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manställning" sheetId="1" state="visible" r:id="rId1"/>
    <sheet name="Master_Data" sheetId="2" state="visible" r:id="rId2"/>
    <sheet name="Table_A_Myndighet" sheetId="3" state="visible" r:id="rId3"/>
    <sheet name="Table_B_Kategorier" sheetId="4" state="visible" r:id="rId4"/>
    <sheet name="Table_C_Kommun_Jmf"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Fördelning av Kravkategorier</a:t>
            </a:r>
          </a:p>
        </rich>
      </tx>
    </title>
    <plotArea>
      <barChart>
        <barDir val="col"/>
        <grouping val="clustered"/>
        <ser>
          <idx val="0"/>
          <order val="0"/>
          <tx>
            <strRef>
              <f>'Table_B_Kategorier'!B1</f>
            </strRef>
          </tx>
          <spPr>
            <a:ln>
              <a:prstDash val="solid"/>
            </a:ln>
          </spPr>
          <cat>
            <numRef>
              <f>'Table_B_Kategorier'!$A$2:$A$10</f>
            </numRef>
          </cat>
          <val>
            <numRef>
              <f>'Table_B_Kategorier'!$B$2:$B$10</f>
            </numRef>
          </val>
        </ser>
        <gapWidth val="150"/>
        <axId val="10"/>
        <axId val="100"/>
      </barChart>
      <catAx>
        <axId val="10"/>
        <scaling>
          <orientation val="minMax"/>
        </scaling>
        <axPos val="l"/>
        <title>
          <tx>
            <rich>
              <a:bodyPr/>
              <a:p>
                <a:pPr>
                  <a:defRPr/>
                </a:pPr>
                <a:r>
                  <a:t>Kategori</a:t>
                </a:r>
              </a:p>
            </rich>
          </tx>
        </title>
        <majorTickMark val="none"/>
        <minorTickMark val="none"/>
        <crossAx val="100"/>
        <lblOffset val="100"/>
      </catAx>
      <valAx>
        <axId val="100"/>
        <scaling>
          <orientation val="minMax"/>
        </scaling>
        <axPos val="l"/>
        <majorGridlines/>
        <title>
          <tx>
            <rich>
              <a:bodyPr/>
              <a:p>
                <a:pPr>
                  <a:defRPr/>
                </a:pPr>
                <a:r>
                  <a:t>Antal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KravData" displayName="KravData" ref="A1:BG2386" headerRowCount="1">
  <autoFilter ref="A1:BG2386"/>
  <tableColumns count="59">
    <tableColumn id="1" name="RequirementId"/>
    <tableColumn id="2" name="CaseId"/>
    <tableColumn id="3" name="DocumentId_x"/>
    <tableColumn id="4" name="PdfViewUrl_x"/>
    <tableColumn id="5" name="PdfOpenLinkSv_x"/>
    <tableColumn id="6" name="PdfOpenLinkEn_x"/>
    <tableColumn id="7" name="ProjectId_x"/>
    <tableColumn id="8" name="KravkallaTyp"/>
    <tableColumn id="9" name="Kravkategori"/>
    <tableColumn id="10" name="Kravsubkategori"/>
    <tableColumn id="11" name="KravtextCitat"/>
    <tableColumn id="12" name="TolkadKravtext"/>
    <tableColumn id="13" name="Kravniva"/>
    <tableColumn id="14" name="RattsligHanvisning"/>
    <tableColumn id="15" name="Tidsfrist"/>
    <tableColumn id="16" name="Kontrollfrekvens"/>
    <tableColumn id="17" name="SanktionEllerKonsekvens"/>
    <tableColumn id="18" name="UtlosandeVillkor"/>
    <tableColumn id="19" name="Avfallsslag"/>
    <tableColumn id="20" name="EWC"/>
    <tableColumn id="21" name="MaxMangdTon"/>
    <tableColumn id="22" name="MaxLagringstid"/>
    <tableColumn id="23" name="KopplingKonstruktion"/>
    <tableColumn id="24" name="KopplingLakvatten"/>
    <tableColumn id="25" name="KopplingKontrollprogram"/>
    <tableColumn id="26" name="KopplingRisk"/>
    <tableColumn id="27" name="Mallavsnitt"/>
    <tableColumn id="28" name="KommunBlankettFalt"/>
    <tableColumn id="29" name="BilagaSomStods"/>
    <tableColumn id="30" name="MinimikravJaNej"/>
    <tableColumn id="31" name="KommunspecifiktJaNej"/>
    <tableColumn id="32" name="StatusIAnmalan"/>
    <tableColumn id="33" name="Kommentar"/>
    <tableColumn id="34" name="Kodningssakerhet"/>
    <tableColumn id="35" name="Verifieringsstatus"/>
    <tableColumn id="36" name="VerifieradJaNej"/>
    <tableColumn id="37" name="VerifieradAv"/>
    <tableColumn id="38" name="VerifieradDatum"/>
    <tableColumn id="39" name="Feltyp"/>
    <tableColumn id="40" name="ValideringsKommentar"/>
    <tableColumn id="41" name="DocumentId_y"/>
    <tableColumn id="42" name="PdfViewUrl_y"/>
    <tableColumn id="43" name="PdfOpenLinkSv_y"/>
    <tableColumn id="44" name="PdfOpenLinkEn_y"/>
    <tableColumn id="45" name="ProjectId_y"/>
    <tableColumn id="46" name="OrganisationId"/>
    <tableColumn id="47" name="Kommun"/>
    <tableColumn id="48" name="Myndighetstyp"/>
    <tableColumn id="49" name="Myndighet"/>
    <tableColumn id="50" name="Diarienummer"/>
    <tableColumn id="51" name="Dokumenttyp"/>
    <tableColumn id="52" name="Dokumentdatum"/>
    <tableColumn id="53" name="KallaFil"/>
    <tableColumn id="54" name="Kallrubrik"/>
    <tableColumn id="55" name="CaseReviewStatus"/>
    <tableColumn id="56" name="ValidatedBy"/>
    <tableColumn id="57" name="ValidatedAt"/>
    <tableColumn id="58" name="Notes"/>
    <tableColumn id="59" name="PDF_Lä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25" customWidth="1" min="2" max="2"/>
  </cols>
  <sheetData>
    <row r="1">
      <c r="A1" s="1" t="inlineStr">
        <is>
          <t>Nyckeltal</t>
        </is>
      </c>
      <c r="B1" s="1" t="inlineStr">
        <is>
          <t>Värde</t>
        </is>
      </c>
    </row>
    <row r="2">
      <c r="A2" t="inlineStr">
        <is>
          <t>Rapportdatum</t>
        </is>
      </c>
      <c r="B2" t="inlineStr">
        <is>
          <t>2026-03-05 09:17</t>
        </is>
      </c>
    </row>
    <row r="3">
      <c r="A3" t="inlineStr">
        <is>
          <t>Totalt antal kravrader</t>
        </is>
      </c>
      <c r="B3" t="n">
        <v>2385</v>
      </c>
    </row>
    <row r="4">
      <c r="A4" t="inlineStr">
        <is>
          <t>Antal unika kommuner</t>
        </is>
      </c>
      <c r="B4" t="n">
        <v>67</v>
      </c>
    </row>
    <row r="5">
      <c r="A5" t="inlineStr">
        <is>
          <t>Antal manuellt verifierade</t>
        </is>
      </c>
      <c r="B5" t="inlineStr">
        <is>
          <t>0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2386"/>
  <sheetViews>
    <sheetView workbookViewId="0">
      <selection activeCell="A1" sqref="A1"/>
    </sheetView>
  </sheetViews>
  <sheetFormatPr baseColWidth="8" defaultRowHeight="15"/>
  <cols>
    <col width="18" customWidth="1" min="1" max="1"/>
    <col width="50" customWidth="1" min="2" max="2"/>
    <col width="27" customWidth="1" min="3" max="3"/>
    <col width="50" customWidth="1" min="4" max="4"/>
    <col width="50" customWidth="1" min="5" max="5"/>
    <col width="50" customWidth="1" min="6" max="6"/>
    <col width="27" customWidth="1" min="7" max="7"/>
    <col width="20" customWidth="1" min="8" max="8"/>
    <col width="27" customWidth="1" min="9" max="9"/>
    <col width="17" customWidth="1" min="10" max="10"/>
    <col width="50" customWidth="1" min="11" max="11"/>
    <col width="50" customWidth="1" min="12" max="12"/>
    <col width="10" customWidth="1" min="13" max="13"/>
    <col width="20" customWidth="1" min="14" max="14"/>
    <col width="39" customWidth="1" min="15" max="15"/>
    <col width="18" customWidth="1" min="16" max="16"/>
    <col width="32" customWidth="1" min="17" max="17"/>
    <col width="29" customWidth="1" min="18" max="18"/>
    <col width="13" customWidth="1" min="19" max="19"/>
    <col width="10" customWidth="1" min="20" max="20"/>
    <col width="13" customWidth="1" min="21" max="21"/>
    <col width="16" customWidth="1" min="22" max="22"/>
    <col width="22" customWidth="1" min="23" max="23"/>
    <col width="19" customWidth="1" min="24" max="24"/>
    <col width="25" customWidth="1" min="25" max="25"/>
    <col width="14" customWidth="1" min="26" max="26"/>
    <col width="13" customWidth="1" min="27" max="27"/>
    <col width="37" customWidth="1" min="28" max="28"/>
    <col width="34" customWidth="1" min="29" max="29"/>
    <col width="17" customWidth="1" min="30" max="30"/>
    <col width="22" customWidth="1" min="31" max="31"/>
    <col width="16" customWidth="1" min="32" max="32"/>
    <col width="46" customWidth="1" min="33" max="33"/>
    <col width="18" customWidth="1" min="34" max="34"/>
    <col width="20" customWidth="1" min="35" max="35"/>
    <col width="17" customWidth="1" min="36" max="36"/>
    <col width="14" customWidth="1" min="37" max="37"/>
    <col width="17" customWidth="1" min="38" max="38"/>
    <col width="8" customWidth="1" min="39" max="39"/>
    <col width="22" customWidth="1" min="40" max="40"/>
    <col width="27" customWidth="1" min="41" max="41"/>
    <col width="50" customWidth="1" min="42" max="42"/>
    <col width="50" customWidth="1" min="43" max="43"/>
    <col width="50" customWidth="1" min="44" max="44"/>
    <col width="27" customWidth="1" min="45" max="45"/>
    <col width="27" customWidth="1" min="46" max="46"/>
    <col width="42" customWidth="1" min="47" max="47"/>
    <col width="15" customWidth="1" min="48" max="48"/>
    <col width="49" customWidth="1" min="49" max="49"/>
    <col width="15" customWidth="1" min="50" max="50"/>
    <col width="15" customWidth="1" min="51" max="51"/>
    <col width="15" customWidth="1" min="52" max="52"/>
    <col width="50" customWidth="1" min="53" max="53"/>
    <col width="50" customWidth="1" min="54" max="54"/>
    <col width="18" customWidth="1" min="55" max="55"/>
    <col width="13" customWidth="1" min="56" max="56"/>
    <col width="13" customWidth="1" min="57" max="57"/>
    <col width="48" customWidth="1" min="58" max="58"/>
    <col width="50" customWidth="1" min="59" max="59"/>
  </cols>
  <sheetData>
    <row r="1">
      <c r="A1" t="inlineStr">
        <is>
          <t>RequirementId</t>
        </is>
      </c>
      <c r="B1" t="inlineStr">
        <is>
          <t>CaseId</t>
        </is>
      </c>
      <c r="C1" t="inlineStr">
        <is>
          <t>DocumentId_x</t>
        </is>
      </c>
      <c r="D1" t="inlineStr">
        <is>
          <t>PdfViewUrl_x</t>
        </is>
      </c>
      <c r="E1" t="inlineStr">
        <is>
          <t>PdfOpenLinkSv_x</t>
        </is>
      </c>
      <c r="F1" t="inlineStr">
        <is>
          <t>PdfOpenLinkEn_x</t>
        </is>
      </c>
      <c r="G1" t="inlineStr">
        <is>
          <t>ProjectId_x</t>
        </is>
      </c>
      <c r="H1" t="inlineStr">
        <is>
          <t>KravkallaTyp</t>
        </is>
      </c>
      <c r="I1" t="inlineStr">
        <is>
          <t>Kravkategori</t>
        </is>
      </c>
      <c r="J1" t="inlineStr">
        <is>
          <t>Kravsubkategori</t>
        </is>
      </c>
      <c r="K1" t="inlineStr">
        <is>
          <t>KravtextCitat</t>
        </is>
      </c>
      <c r="L1" t="inlineStr">
        <is>
          <t>TolkadKravtext</t>
        </is>
      </c>
      <c r="M1" t="inlineStr">
        <is>
          <t>Kravniva</t>
        </is>
      </c>
      <c r="N1" t="inlineStr">
        <is>
          <t>RattsligHanvisning</t>
        </is>
      </c>
      <c r="O1" t="inlineStr">
        <is>
          <t>Tidsfrist</t>
        </is>
      </c>
      <c r="P1" t="inlineStr">
        <is>
          <t>Kontrollfrekvens</t>
        </is>
      </c>
      <c r="Q1" t="inlineStr">
        <is>
          <t>SanktionEllerKonsekvens</t>
        </is>
      </c>
      <c r="R1" t="inlineStr">
        <is>
          <t>UtlosandeVillkor</t>
        </is>
      </c>
      <c r="S1" t="inlineStr">
        <is>
          <t>Avfallsslag</t>
        </is>
      </c>
      <c r="T1" t="inlineStr">
        <is>
          <t>EWC</t>
        </is>
      </c>
      <c r="U1" t="inlineStr">
        <is>
          <t>MaxMangdTon</t>
        </is>
      </c>
      <c r="V1" t="inlineStr">
        <is>
          <t>MaxLagringstid</t>
        </is>
      </c>
      <c r="W1" t="inlineStr">
        <is>
          <t>KopplingKonstruktion</t>
        </is>
      </c>
      <c r="X1" t="inlineStr">
        <is>
          <t>KopplingLakvatten</t>
        </is>
      </c>
      <c r="Y1" t="inlineStr">
        <is>
          <t>KopplingKontrollprogram</t>
        </is>
      </c>
      <c r="Z1" t="inlineStr">
        <is>
          <t>KopplingRisk</t>
        </is>
      </c>
      <c r="AA1" t="inlineStr">
        <is>
          <t>Mallavsnitt</t>
        </is>
      </c>
      <c r="AB1" t="inlineStr">
        <is>
          <t>KommunBlankettFalt</t>
        </is>
      </c>
      <c r="AC1" t="inlineStr">
        <is>
          <t>BilagaSomStods</t>
        </is>
      </c>
      <c r="AD1" t="inlineStr">
        <is>
          <t>MinimikravJaNej</t>
        </is>
      </c>
      <c r="AE1" t="inlineStr">
        <is>
          <t>KommunspecifiktJaNej</t>
        </is>
      </c>
      <c r="AF1" t="inlineStr">
        <is>
          <t>StatusIAnmalan</t>
        </is>
      </c>
      <c r="AG1" t="inlineStr">
        <is>
          <t>Kommentar</t>
        </is>
      </c>
      <c r="AH1" t="inlineStr">
        <is>
          <t>Kodningssakerhet</t>
        </is>
      </c>
      <c r="AI1" t="inlineStr">
        <is>
          <t>Verifieringsstatus</t>
        </is>
      </c>
      <c r="AJ1" t="inlineStr">
        <is>
          <t>VerifieradJaNej</t>
        </is>
      </c>
      <c r="AK1" t="inlineStr">
        <is>
          <t>VerifieradAv</t>
        </is>
      </c>
      <c r="AL1" t="inlineStr">
        <is>
          <t>VerifieradDatum</t>
        </is>
      </c>
      <c r="AM1" t="inlineStr">
        <is>
          <t>Feltyp</t>
        </is>
      </c>
      <c r="AN1" t="inlineStr">
        <is>
          <t>ValideringsKommentar</t>
        </is>
      </c>
      <c r="AO1" t="inlineStr">
        <is>
          <t>DocumentId_y</t>
        </is>
      </c>
      <c r="AP1" t="inlineStr">
        <is>
          <t>PdfViewUrl_y</t>
        </is>
      </c>
      <c r="AQ1" t="inlineStr">
        <is>
          <t>PdfOpenLinkSv_y</t>
        </is>
      </c>
      <c r="AR1" t="inlineStr">
        <is>
          <t>PdfOpenLinkEn_y</t>
        </is>
      </c>
      <c r="AS1" t="inlineStr">
        <is>
          <t>ProjectId_y</t>
        </is>
      </c>
      <c r="AT1" t="inlineStr">
        <is>
          <t>OrganisationId</t>
        </is>
      </c>
      <c r="AU1" t="inlineStr">
        <is>
          <t>Kommun</t>
        </is>
      </c>
      <c r="AV1" t="inlineStr">
        <is>
          <t>Myndighetstyp</t>
        </is>
      </c>
      <c r="AW1" t="inlineStr">
        <is>
          <t>Myndighet</t>
        </is>
      </c>
      <c r="AX1" t="inlineStr">
        <is>
          <t>Diarienummer</t>
        </is>
      </c>
      <c r="AY1" t="inlineStr">
        <is>
          <t>Dokumenttyp</t>
        </is>
      </c>
      <c r="AZ1" t="inlineStr">
        <is>
          <t>Dokumentdatum</t>
        </is>
      </c>
      <c r="BA1" t="inlineStr">
        <is>
          <t>KallaFil</t>
        </is>
      </c>
      <c r="BB1" t="inlineStr">
        <is>
          <t>Kallrubrik</t>
        </is>
      </c>
      <c r="BC1" t="inlineStr">
        <is>
          <t>CaseReviewStatus</t>
        </is>
      </c>
      <c r="BD1" t="inlineStr">
        <is>
          <t>ValidatedBy</t>
        </is>
      </c>
      <c r="BE1" t="inlineStr">
        <is>
          <t>ValidatedAt</t>
        </is>
      </c>
      <c r="BF1" t="inlineStr">
        <is>
          <t>Notes</t>
        </is>
      </c>
      <c r="BG1" t="inlineStr">
        <is>
          <t>PDF_Länk</t>
        </is>
      </c>
    </row>
    <row r="2">
      <c r="A2" t="inlineStr">
        <is>
          <t>KRAV-AUTO-000001</t>
        </is>
      </c>
      <c r="B2" t="inlineStr">
        <is>
          <t>ADMIN-INDEX-2026-02-27-00000000125C043F57453246863FE664CAFE6A3F0700950291EA24F0614FB6ACEDB12BF0E31D00000000010C0000950291EA24F0614FB6ACEDB12BF0E31D00002087B1E10000</t>
        </is>
      </c>
      <c r="C2" t="inlineStr">
        <is>
          <t>cmm4yumxa005ecuqwd2rfqss7</t>
        </is>
      </c>
      <c r="D2" t="inlineStr">
        <is>
          <t>http://localhost:8787/api/admin/requirements/documents/cmm4yumxa005ecuqwd2rfqss7/view</t>
        </is>
      </c>
      <c r="E2">
        <f>HYPERLÄNK("http://localhost:8787/api/admin/requirements/documents/cmm4yumxa005ecuqwd2rfqss7/view";"Öppna PDF")</f>
        <v/>
      </c>
      <c r="F2">
        <f>HYPERLINK("http://localhost:8787/api/admin/requirements/documents/cmm4yumxa005ecuqwd2rfqss7/view","Open PDF")</f>
        <v/>
      </c>
      <c r="G2" t="inlineStr">
        <is>
          <t>cmm55w57p0004cuisfrtpqly8</t>
        </is>
      </c>
      <c r="H2" t="inlineStr">
        <is>
          <t>Informationskrav</t>
        </is>
      </c>
      <c r="I2" t="inlineStr">
        <is>
          <t>LagringsvolymTid</t>
        </is>
      </c>
      <c r="J2" t="inlineStr">
        <is>
          <t>Maxmangd</t>
        </is>
      </c>
      <c r="K2" t="inlineStr">
        <is>
          <t>Miljö- och byggnadskontoret Mängd (ton) 500 25 100 Beskriv kortfattat hur materialet kommer att användas och hur anläggningsarbetet ska utföras Materialförstärkningen täcks med bärlager och väg-grus.</t>
        </is>
      </c>
      <c r="L2" t="inlineStr">
        <is>
          <t>Miljö- och byggnadskontoret Mängd (ton) 500 25 100 Beskriv kortfattat hur materialet kommer att användas och hur anläggningsarbetet ska utföras Materialförstärkningen täcks med bärlager och väg-grus.</t>
        </is>
      </c>
      <c r="M2" t="inlineStr">
        <is>
          <t>SKA</t>
        </is>
      </c>
      <c r="N2" t="inlineStr"/>
      <c r="O2" t="inlineStr"/>
      <c r="P2" t="inlineStr"/>
      <c r="Q2" t="inlineStr"/>
      <c r="R2" t="inlineStr">
        <is>
          <t>Alltid</t>
        </is>
      </c>
      <c r="S2" t="inlineStr"/>
      <c r="T2" t="inlineStr">
        <is>
          <t>556718</t>
        </is>
      </c>
      <c r="U2" t="inlineStr"/>
      <c r="V2" t="inlineStr"/>
      <c r="W2" t="inlineStr">
        <is>
          <t>Nej</t>
        </is>
      </c>
      <c r="X2" t="inlineStr">
        <is>
          <t>Nej</t>
        </is>
      </c>
      <c r="Y2" t="inlineStr">
        <is>
          <t>Nej</t>
        </is>
      </c>
      <c r="Z2" t="inlineStr">
        <is>
          <t>Nej</t>
        </is>
      </c>
      <c r="AA2" t="n">
        <v>4</v>
      </c>
      <c r="AB2" t="inlineStr">
        <is>
          <t>Avfallsmangder och lagringstid</t>
        </is>
      </c>
      <c r="AC2" t="inlineStr">
        <is>
          <t>Avfallsforteckning</t>
        </is>
      </c>
      <c r="AD2" t="inlineStr">
        <is>
          <t>Nej</t>
        </is>
      </c>
      <c r="AE2" t="inlineStr">
        <is>
          <t>Nej</t>
        </is>
      </c>
      <c r="AF2" t="inlineStr">
        <is>
          <t>Ej behandlad</t>
        </is>
      </c>
      <c r="AG2" t="inlineStr">
        <is>
          <t>AUTO_GENERERAD. Verifiera citat mot kallfil.</t>
        </is>
      </c>
      <c r="AH2" t="inlineStr">
        <is>
          <t>MEDIUM</t>
        </is>
      </c>
      <c r="AI2" t="inlineStr">
        <is>
          <t>AUTO</t>
        </is>
      </c>
      <c r="AJ2" t="inlineStr">
        <is>
          <t>Nej</t>
        </is>
      </c>
      <c r="AK2" t="inlineStr"/>
      <c r="AL2" t="inlineStr"/>
      <c r="AM2" t="inlineStr"/>
      <c r="AN2" t="inlineStr"/>
      <c r="AO2" t="inlineStr">
        <is>
          <t>cmm4yumxa005ecuqwd2rfqss7</t>
        </is>
      </c>
      <c r="AP2" t="inlineStr">
        <is>
          <t>http://localhost:8787/api/admin/requirements/documents/cmm4yumxa005ecuqwd2rfqss7/view</t>
        </is>
      </c>
      <c r="AQ2">
        <f>HYPERLÄNK("http://localhost:8787/api/admin/requirements/documents/cmm4yumxa005ecuqwd2rfqss7/view";"Öppna PDF")</f>
        <v/>
      </c>
      <c r="AR2">
        <f>HYPERLINK("http://localhost:8787/api/admin/requirements/documents/cmm4yumxa005ecuqwd2rfqss7/view","Open PDF")</f>
        <v/>
      </c>
      <c r="AS2" t="inlineStr">
        <is>
          <t>cmm55w57p0004cuisfrtpqly8</t>
        </is>
      </c>
      <c r="AT2" t="inlineStr">
        <is>
          <t>cmm4xvu980000cuh4vj0usz09</t>
        </is>
      </c>
      <c r="AU2" t="inlineStr">
        <is>
          <t>Västerviks</t>
        </is>
      </c>
      <c r="AV2" t="inlineStr">
        <is>
          <t>Kommun</t>
        </is>
      </c>
      <c r="AW2" t="inlineStr">
        <is>
          <t>Västerviks kommun</t>
        </is>
      </c>
      <c r="AX2" t="inlineStr">
        <is>
          <t>2024-05</t>
        </is>
      </c>
      <c r="AY2" t="inlineStr">
        <is>
          <t>Anmalan</t>
        </is>
      </c>
      <c r="AZ2" t="inlineStr">
        <is>
          <t>2026-02-02</t>
        </is>
      </c>
      <c r="BA2" t="inlineStr">
        <is>
          <t>2024-786 Anmälan.pdf</t>
        </is>
      </c>
      <c r="BB2" t="inlineStr">
        <is>
          <t>Sv: till registrator</t>
        </is>
      </c>
      <c r="BC2" t="inlineStr">
        <is>
          <t>AUTO</t>
        </is>
      </c>
      <c r="BD2" t="inlineStr"/>
      <c r="BE2" t="inlineStr"/>
      <c r="BF2" t="inlineStr">
        <is>
          <t>AUTO_GENERERAD. Bekrafta metadata mot kallfil.</t>
        </is>
      </c>
      <c r="BG2">
        <f>HYPERLINK("C:\Users\jimmy\Desktop\Examens arbete\Kod\Ny mapp\remix_-copy-of-miljöbeslut.se-portal\2024-786 Anmälan.pdf", "Öppna PDF")</f>
        <v/>
      </c>
    </row>
    <row r="3">
      <c r="A3" t="inlineStr">
        <is>
          <t>KRAV-AUTO-000002</t>
        </is>
      </c>
      <c r="B3" t="inlineStr">
        <is>
          <t>ADMIN-INDEX-2026-02-27-00000000125C043F57453246863FE664CAFE6A3F0700950291EA24F0614FB6ACEDB12BF0E31D00000000010C0000950291EA24F0614FB6ACEDB12BF0E31D00002087B1E10000</t>
        </is>
      </c>
      <c r="C3" t="inlineStr">
        <is>
          <t>cmm4yumxa005ecuqwd2rfqss7</t>
        </is>
      </c>
      <c r="D3" t="inlineStr">
        <is>
          <t>http://localhost:8787/api/admin/requirements/documents/cmm4yumxa005ecuqwd2rfqss7/view</t>
        </is>
      </c>
      <c r="E3">
        <f>HYPERLÄNK("http://localhost:8787/api/admin/requirements/documents/cmm4yumxa005ecuqwd2rfqss7/view";"Öppna PDF")</f>
        <v/>
      </c>
      <c r="F3">
        <f>HYPERLINK("http://localhost:8787/api/admin/requirements/documents/cmm4yumxa005ecuqwd2rfqss7/view","Open PDF")</f>
        <v/>
      </c>
      <c r="G3" t="inlineStr">
        <is>
          <t>cmm55w57p0004cuisfrtpqly8</t>
        </is>
      </c>
      <c r="H3" t="inlineStr">
        <is>
          <t>Informationskrav</t>
        </is>
      </c>
      <c r="I3" t="inlineStr">
        <is>
          <t>MiljopaverkanForsiktighet</t>
        </is>
      </c>
      <c r="J3" t="inlineStr">
        <is>
          <t>Skyddsatgarder</t>
        </is>
      </c>
      <c r="K3" t="inlineStr">
        <is>
          <t>Beskriv vilken behandling som ska ske av avfallet innan användning, t.ex.</t>
        </is>
      </c>
      <c r="L3" t="inlineStr">
        <is>
          <t>Beskriv vilken behandling som ska ske av avfallet innan användning, t.ex.</t>
        </is>
      </c>
      <c r="M3" t="inlineStr">
        <is>
          <t>SKA</t>
        </is>
      </c>
      <c r="N3" t="inlineStr"/>
      <c r="O3" t="inlineStr"/>
      <c r="P3" t="inlineStr"/>
      <c r="Q3" t="inlineStr"/>
      <c r="R3" t="inlineStr">
        <is>
          <t>Alltid</t>
        </is>
      </c>
      <c r="S3" t="inlineStr"/>
      <c r="T3" t="inlineStr">
        <is>
          <t>556718</t>
        </is>
      </c>
      <c r="U3" t="inlineStr"/>
      <c r="V3" t="inlineStr"/>
      <c r="W3" t="inlineStr">
        <is>
          <t>Nej</t>
        </is>
      </c>
      <c r="X3" t="inlineStr">
        <is>
          <t>Nej</t>
        </is>
      </c>
      <c r="Y3" t="inlineStr">
        <is>
          <t>Nej</t>
        </is>
      </c>
      <c r="Z3" t="inlineStr">
        <is>
          <t>Nej</t>
        </is>
      </c>
      <c r="AA3" t="n">
        <v>10</v>
      </c>
      <c r="AB3" t="inlineStr">
        <is>
          <t>Miljopaverkan och forsiktighetsmatt</t>
        </is>
      </c>
      <c r="AC3" t="inlineStr">
        <is>
          <t>Miljo-PM</t>
        </is>
      </c>
      <c r="AD3" t="inlineStr">
        <is>
          <t>Nej</t>
        </is>
      </c>
      <c r="AE3" t="inlineStr">
        <is>
          <t>Nej</t>
        </is>
      </c>
      <c r="AF3" t="inlineStr">
        <is>
          <t>Ej behandlad</t>
        </is>
      </c>
      <c r="AG3" t="inlineStr">
        <is>
          <t>AUTO_GENERERAD. Verifiera citat mot kallfil.</t>
        </is>
      </c>
      <c r="AH3" t="inlineStr">
        <is>
          <t>MEDIUM</t>
        </is>
      </c>
      <c r="AI3" t="inlineStr">
        <is>
          <t>AUTO</t>
        </is>
      </c>
      <c r="AJ3" t="inlineStr">
        <is>
          <t>Nej</t>
        </is>
      </c>
      <c r="AK3" t="inlineStr"/>
      <c r="AL3" t="inlineStr"/>
      <c r="AM3" t="inlineStr"/>
      <c r="AN3" t="inlineStr"/>
      <c r="AO3" t="inlineStr">
        <is>
          <t>cmm4yumxa005ecuqwd2rfqss7</t>
        </is>
      </c>
      <c r="AP3" t="inlineStr">
        <is>
          <t>http://localhost:8787/api/admin/requirements/documents/cmm4yumxa005ecuqwd2rfqss7/view</t>
        </is>
      </c>
      <c r="AQ3">
        <f>HYPERLÄNK("http://localhost:8787/api/admin/requirements/documents/cmm4yumxa005ecuqwd2rfqss7/view";"Öppna PDF")</f>
        <v/>
      </c>
      <c r="AR3">
        <f>HYPERLINK("http://localhost:8787/api/admin/requirements/documents/cmm4yumxa005ecuqwd2rfqss7/view","Open PDF")</f>
        <v/>
      </c>
      <c r="AS3" t="inlineStr">
        <is>
          <t>cmm55w57p0004cuisfrtpqly8</t>
        </is>
      </c>
      <c r="AT3" t="inlineStr">
        <is>
          <t>cmm4xvu980000cuh4vj0usz09</t>
        </is>
      </c>
      <c r="AU3" t="inlineStr">
        <is>
          <t>Västerviks</t>
        </is>
      </c>
      <c r="AV3" t="inlineStr">
        <is>
          <t>Kommun</t>
        </is>
      </c>
      <c r="AW3" t="inlineStr">
        <is>
          <t>Västerviks kommun</t>
        </is>
      </c>
      <c r="AX3" t="inlineStr">
        <is>
          <t>2024-05</t>
        </is>
      </c>
      <c r="AY3" t="inlineStr">
        <is>
          <t>Anmalan</t>
        </is>
      </c>
      <c r="AZ3" t="inlineStr">
        <is>
          <t>2026-02-02</t>
        </is>
      </c>
      <c r="BA3" t="inlineStr">
        <is>
          <t>2024-786 Anmälan.pdf</t>
        </is>
      </c>
      <c r="BB3" t="inlineStr">
        <is>
          <t>Sv: till registrator</t>
        </is>
      </c>
      <c r="BC3" t="inlineStr">
        <is>
          <t>AUTO</t>
        </is>
      </c>
      <c r="BD3" t="inlineStr"/>
      <c r="BE3" t="inlineStr"/>
      <c r="BF3" t="inlineStr">
        <is>
          <t>AUTO_GENERERAD. Bekrafta metadata mot kallfil.</t>
        </is>
      </c>
      <c r="BG3">
        <f>HYPERLINK("C:\Users\jimmy\Desktop\Examens arbete\Kod\Ny mapp\remix_-copy-of-miljöbeslut.se-portal\2024-786 Anmälan.pdf", "Öppna PDF")</f>
        <v/>
      </c>
    </row>
    <row r="4">
      <c r="A4" t="inlineStr">
        <is>
          <t>KRAV-AUTO-000003</t>
        </is>
      </c>
      <c r="B4" t="inlineStr">
        <is>
          <t>ADMIN-INDEX-2026-02-27-00000000125C043F57453246863FE664CAFE6A3F0700950291EA24F0614FB6ACEDB12BF0E31D00000000010C0000950291EA24F0614FB6ACEDB12BF0E31D00002087B1E10000</t>
        </is>
      </c>
      <c r="C4" t="inlineStr">
        <is>
          <t>cmm4yumxa005ecuqwd2rfqss7</t>
        </is>
      </c>
      <c r="D4" t="inlineStr">
        <is>
          <t>http://localhost:8787/api/admin/requirements/documents/cmm4yumxa005ecuqwd2rfqss7/view</t>
        </is>
      </c>
      <c r="E4">
        <f>HYPERLÄNK("http://localhost:8787/api/admin/requirements/documents/cmm4yumxa005ecuqwd2rfqss7/view";"Öppna PDF")</f>
        <v/>
      </c>
      <c r="F4">
        <f>HYPERLINK("http://localhost:8787/api/admin/requirements/documents/cmm4yumxa005ecuqwd2rfqss7/view","Open PDF")</f>
        <v/>
      </c>
      <c r="G4" t="inlineStr">
        <is>
          <t>cmm55w57p0004cuisfrtpqly8</t>
        </is>
      </c>
      <c r="H4" t="inlineStr">
        <is>
          <t>Informationskrav</t>
        </is>
      </c>
      <c r="I4" t="inlineStr">
        <is>
          <t>DagvattenLakvatten</t>
        </is>
      </c>
      <c r="J4" t="inlineStr">
        <is>
          <t>Uppsamling</t>
        </is>
      </c>
      <c r="K4" t="inlineStr">
        <is>
          <t>Beskriv om särskilda skyddsåtgärder ska vidtas för att minimera risken för att föroreningar sprids.</t>
        </is>
      </c>
      <c r="L4" t="inlineStr">
        <is>
          <t>Beskriv om särskilda skyddsåtgärder ska vidtas för att minimera risken för att föroreningar sprids.</t>
        </is>
      </c>
      <c r="M4" t="inlineStr">
        <is>
          <t>SKA</t>
        </is>
      </c>
      <c r="N4" t="inlineStr"/>
      <c r="O4" t="inlineStr"/>
      <c r="P4" t="inlineStr"/>
      <c r="Q4" t="inlineStr"/>
      <c r="R4" t="inlineStr">
        <is>
          <t>Vid nederbord och avrinning</t>
        </is>
      </c>
      <c r="S4" t="inlineStr"/>
      <c r="T4" t="inlineStr">
        <is>
          <t>556718</t>
        </is>
      </c>
      <c r="U4" t="inlineStr"/>
      <c r="V4" t="inlineStr"/>
      <c r="W4" t="inlineStr">
        <is>
          <t>Nej</t>
        </is>
      </c>
      <c r="X4" t="inlineStr">
        <is>
          <t>Ja</t>
        </is>
      </c>
      <c r="Y4" t="inlineStr">
        <is>
          <t>Ja</t>
        </is>
      </c>
      <c r="Z4" t="inlineStr">
        <is>
          <t>Nej</t>
        </is>
      </c>
      <c r="AA4" t="n">
        <v>6</v>
      </c>
      <c r="AB4" t="inlineStr">
        <is>
          <t>Lakvattenhantering</t>
        </is>
      </c>
      <c r="AC4" t="inlineStr">
        <is>
          <t>Flodesschema dagvatten-lakvatten</t>
        </is>
      </c>
      <c r="AD4" t="inlineStr">
        <is>
          <t>Nej</t>
        </is>
      </c>
      <c r="AE4" t="inlineStr">
        <is>
          <t>Nej</t>
        </is>
      </c>
      <c r="AF4" t="inlineStr">
        <is>
          <t>Ej behandlad</t>
        </is>
      </c>
      <c r="AG4" t="inlineStr">
        <is>
          <t>AUTO_GENERERAD. Verifiera citat mot kallfil.</t>
        </is>
      </c>
      <c r="AH4" t="inlineStr">
        <is>
          <t>MEDIUM</t>
        </is>
      </c>
      <c r="AI4" t="inlineStr">
        <is>
          <t>AUTO</t>
        </is>
      </c>
      <c r="AJ4" t="inlineStr">
        <is>
          <t>Nej</t>
        </is>
      </c>
      <c r="AK4" t="inlineStr"/>
      <c r="AL4" t="inlineStr"/>
      <c r="AM4" t="inlineStr"/>
      <c r="AN4" t="inlineStr"/>
      <c r="AO4" t="inlineStr">
        <is>
          <t>cmm4yumxa005ecuqwd2rfqss7</t>
        </is>
      </c>
      <c r="AP4" t="inlineStr">
        <is>
          <t>http://localhost:8787/api/admin/requirements/documents/cmm4yumxa005ecuqwd2rfqss7/view</t>
        </is>
      </c>
      <c r="AQ4">
        <f>HYPERLÄNK("http://localhost:8787/api/admin/requirements/documents/cmm4yumxa005ecuqwd2rfqss7/view";"Öppna PDF")</f>
        <v/>
      </c>
      <c r="AR4">
        <f>HYPERLINK("http://localhost:8787/api/admin/requirements/documents/cmm4yumxa005ecuqwd2rfqss7/view","Open PDF")</f>
        <v/>
      </c>
      <c r="AS4" t="inlineStr">
        <is>
          <t>cmm55w57p0004cuisfrtpqly8</t>
        </is>
      </c>
      <c r="AT4" t="inlineStr">
        <is>
          <t>cmm4xvu980000cuh4vj0usz09</t>
        </is>
      </c>
      <c r="AU4" t="inlineStr">
        <is>
          <t>Västerviks</t>
        </is>
      </c>
      <c r="AV4" t="inlineStr">
        <is>
          <t>Kommun</t>
        </is>
      </c>
      <c r="AW4" t="inlineStr">
        <is>
          <t>Västerviks kommun</t>
        </is>
      </c>
      <c r="AX4" t="inlineStr">
        <is>
          <t>2024-05</t>
        </is>
      </c>
      <c r="AY4" t="inlineStr">
        <is>
          <t>Anmalan</t>
        </is>
      </c>
      <c r="AZ4" t="inlineStr">
        <is>
          <t>2026-02-02</t>
        </is>
      </c>
      <c r="BA4" t="inlineStr">
        <is>
          <t>2024-786 Anmälan.pdf</t>
        </is>
      </c>
      <c r="BB4" t="inlineStr">
        <is>
          <t>Sv: till registrator</t>
        </is>
      </c>
      <c r="BC4" t="inlineStr">
        <is>
          <t>AUTO</t>
        </is>
      </c>
      <c r="BD4" t="inlineStr"/>
      <c r="BE4" t="inlineStr"/>
      <c r="BF4" t="inlineStr">
        <is>
          <t>AUTO_GENERERAD. Bekrafta metadata mot kallfil.</t>
        </is>
      </c>
      <c r="BG4">
        <f>HYPERLINK("C:\Users\jimmy\Desktop\Examens arbete\Kod\Ny mapp\remix_-copy-of-miljöbeslut.se-portal\2024-786 Anmälan.pdf", "Öppna PDF")</f>
        <v/>
      </c>
    </row>
    <row r="5">
      <c r="A5" t="inlineStr">
        <is>
          <t>KRAV-AUTO-000004</t>
        </is>
      </c>
      <c r="B5" t="inlineStr">
        <is>
          <t>ADMIN-INDEX-2026-02-27-00000000125C043F57453246863FE664CAFE6A3F0700950291EA24F0614FB6ACEDB12BF0E31D00000000010C0000950291EA24F0614FB6ACEDB12BF0E31D00002087B1E10000</t>
        </is>
      </c>
      <c r="C5" t="inlineStr">
        <is>
          <t>cmm4yumw2004bcuqwv0icjcu8</t>
        </is>
      </c>
      <c r="D5" t="inlineStr">
        <is>
          <t>http://localhost:8787/api/admin/requirements/documents/cmm4yumw2004bcuqwv0icjcu8/view</t>
        </is>
      </c>
      <c r="E5">
        <f>HYPERLÄNK("http://localhost:8787/api/admin/requirements/documents/cmm4yumw2004bcuqwv0icjcu8/view";"Öppna PDF")</f>
        <v/>
      </c>
      <c r="F5">
        <f>HYPERLINK("http://localhost:8787/api/admin/requirements/documents/cmm4yumw2004bcuqwv0icjcu8/view","Open PDF")</f>
        <v/>
      </c>
      <c r="G5" t="inlineStr">
        <is>
          <t>cmm55w57p0004cuisfrtpqly8</t>
        </is>
      </c>
      <c r="H5" t="inlineStr">
        <is>
          <t>Informationskrav</t>
        </is>
      </c>
      <c r="I5" t="inlineStr">
        <is>
          <t>LagringsvolymTid</t>
        </is>
      </c>
      <c r="J5" t="inlineStr">
        <is>
          <t>Maxmangd</t>
        </is>
      </c>
      <c r="K5" t="inlineStr">
        <is>
          <t>mer än 10 ton men högst 30 000 ton och avfallet ska användas för byggnads- eller anläggningsändamål, eller 2.</t>
        </is>
      </c>
      <c r="L5" t="inlineStr">
        <is>
          <t>mer än 10 ton men högst 30 000 ton och avfallet ska användas för byggnads- eller anläggningsändamål, eller 2.</t>
        </is>
      </c>
      <c r="M5" t="inlineStr">
        <is>
          <t>SKA</t>
        </is>
      </c>
      <c r="N5" t="inlineStr"/>
      <c r="O5" t="inlineStr"/>
      <c r="P5" t="inlineStr"/>
      <c r="Q5" t="inlineStr"/>
      <c r="R5" t="inlineStr">
        <is>
          <t>Alltid</t>
        </is>
      </c>
      <c r="S5" t="inlineStr"/>
      <c r="T5" t="inlineStr">
        <is>
          <t>23 2025</t>
        </is>
      </c>
      <c r="U5" t="n">
        <v>10</v>
      </c>
      <c r="V5" t="inlineStr"/>
      <c r="W5" t="inlineStr">
        <is>
          <t>Nej</t>
        </is>
      </c>
      <c r="X5" t="inlineStr">
        <is>
          <t>Nej</t>
        </is>
      </c>
      <c r="Y5" t="inlineStr">
        <is>
          <t>Nej</t>
        </is>
      </c>
      <c r="Z5" t="inlineStr">
        <is>
          <t>Nej</t>
        </is>
      </c>
      <c r="AA5" t="n">
        <v>4</v>
      </c>
      <c r="AB5" t="inlineStr">
        <is>
          <t>Avfallsmangder och lagringstid</t>
        </is>
      </c>
      <c r="AC5" t="inlineStr">
        <is>
          <t>Avfallsforteckning</t>
        </is>
      </c>
      <c r="AD5" t="inlineStr">
        <is>
          <t>Nej</t>
        </is>
      </c>
      <c r="AE5" t="inlineStr">
        <is>
          <t>Nej</t>
        </is>
      </c>
      <c r="AF5" t="inlineStr">
        <is>
          <t>Ej behandlad</t>
        </is>
      </c>
      <c r="AG5" t="inlineStr">
        <is>
          <t>AUTO_GENERERAD. Verifiera citat mot kallfil.</t>
        </is>
      </c>
      <c r="AH5" t="inlineStr">
        <is>
          <t>MEDIUM</t>
        </is>
      </c>
      <c r="AI5" t="inlineStr">
        <is>
          <t>AUTO</t>
        </is>
      </c>
      <c r="AJ5" t="inlineStr">
        <is>
          <t>Nej</t>
        </is>
      </c>
      <c r="AK5" t="inlineStr"/>
      <c r="AL5" t="inlineStr"/>
      <c r="AM5" t="inlineStr"/>
      <c r="AN5" t="inlineStr"/>
      <c r="AO5" t="inlineStr">
        <is>
          <t>cmm4yumxa005ecuqwd2rfqss7</t>
        </is>
      </c>
      <c r="AP5" t="inlineStr">
        <is>
          <t>http://localhost:8787/api/admin/requirements/documents/cmm4yumxa005ecuqwd2rfqss7/view</t>
        </is>
      </c>
      <c r="AQ5">
        <f>HYPERLÄNK("http://localhost:8787/api/admin/requirements/documents/cmm4yumxa005ecuqwd2rfqss7/view";"Öppna PDF")</f>
        <v/>
      </c>
      <c r="AR5">
        <f>HYPERLINK("http://localhost:8787/api/admin/requirements/documents/cmm4yumxa005ecuqwd2rfqss7/view","Open PDF")</f>
        <v/>
      </c>
      <c r="AS5" t="inlineStr">
        <is>
          <t>cmm55w57p0004cuisfrtpqly8</t>
        </is>
      </c>
      <c r="AT5" t="inlineStr">
        <is>
          <t>cmm4xvu980000cuh4vj0usz09</t>
        </is>
      </c>
      <c r="AU5" t="inlineStr">
        <is>
          <t>Västerviks</t>
        </is>
      </c>
      <c r="AV5" t="inlineStr">
        <is>
          <t>Kommun</t>
        </is>
      </c>
      <c r="AW5" t="inlineStr">
        <is>
          <t>Västerviks kommun</t>
        </is>
      </c>
      <c r="AX5" t="inlineStr">
        <is>
          <t>2024-05</t>
        </is>
      </c>
      <c r="AY5" t="inlineStr">
        <is>
          <t>Anmalan</t>
        </is>
      </c>
      <c r="AZ5" t="inlineStr">
        <is>
          <t>2026-02-02</t>
        </is>
      </c>
      <c r="BA5" t="inlineStr">
        <is>
          <t>2024-786 Anmälan.pdf</t>
        </is>
      </c>
      <c r="BB5" t="inlineStr">
        <is>
          <t>Sv: till registrator</t>
        </is>
      </c>
      <c r="BC5" t="inlineStr">
        <is>
          <t>AUTO</t>
        </is>
      </c>
      <c r="BD5" t="inlineStr"/>
      <c r="BE5" t="inlineStr"/>
      <c r="BF5" t="inlineStr">
        <is>
          <t>AUTO_GENERERAD. Bekrafta metadata mot kallfil.</t>
        </is>
      </c>
      <c r="BG5">
        <f>HYPERLINK("C:\Users\jimmy\Desktop\Examens arbete\Kod\Ny mapp\remix_-copy-of-miljöbeslut.se-portal\2024-786 Anmälan.pdf", "Öppna PDF")</f>
        <v/>
      </c>
    </row>
    <row r="6">
      <c r="A6" t="inlineStr">
        <is>
          <t>KRAV-AUTO-000005</t>
        </is>
      </c>
      <c r="B6" t="inlineStr">
        <is>
          <t>ADMIN-INDEX-2026-02-27-00000000125C043F57453246863FE664CAFE6A3F0700950291EA24F0614FB6ACEDB12BF0E31D00000000010C0000950291EA24F0614FB6ACEDB12BF0E31D00002087B1E10000</t>
        </is>
      </c>
      <c r="C6" t="inlineStr">
        <is>
          <t>cmm4yumvv0045cuqwqu9kp9wx</t>
        </is>
      </c>
      <c r="D6" t="inlineStr">
        <is>
          <t>http://localhost:8787/api/admin/requirements/documents/cmm4yumvv0045cuqwqu9kp9wx/view</t>
        </is>
      </c>
      <c r="E6">
        <f>HYPERLÄNK("http://localhost:8787/api/admin/requirements/documents/cmm4yumvv0045cuqwqu9kp9wx/view";"Öppna PDF")</f>
        <v/>
      </c>
      <c r="F6">
        <f>HYPERLINK("http://localhost:8787/api/admin/requirements/documents/cmm4yumvv0045cuqwqu9kp9wx/view","Open PDF")</f>
        <v/>
      </c>
      <c r="G6" t="inlineStr">
        <is>
          <t>cmm55w57p0004cuisfrtpqly8</t>
        </is>
      </c>
      <c r="H6" t="inlineStr">
        <is>
          <t>Informationskrav</t>
        </is>
      </c>
      <c r="I6" t="inlineStr">
        <is>
          <t>Ytkonstruktion</t>
        </is>
      </c>
      <c r="J6" t="inlineStr">
        <is>
          <t>Tat yta</t>
        </is>
      </c>
      <c r="K6" t="inlineStr">
        <is>
          <t>Massorna som ska användas är en betongplatta som funnits under en spannmålstork som brann upp i början av augusti i år.</t>
        </is>
      </c>
      <c r="L6" t="inlineStr">
        <is>
          <t>Massorna som ska användas är en betongplatta som funnits under en spannmålstork som brann upp i början av augusti i år.</t>
        </is>
      </c>
      <c r="M6" t="inlineStr">
        <is>
          <t>SKA</t>
        </is>
      </c>
      <c r="N6" t="inlineStr"/>
      <c r="O6" t="inlineStr"/>
      <c r="P6" t="inlineStr"/>
      <c r="Q6" t="inlineStr"/>
      <c r="R6" t="inlineStr">
        <is>
          <t>Vid mellanlagring av avfall</t>
        </is>
      </c>
      <c r="S6" t="inlineStr"/>
      <c r="T6" t="inlineStr">
        <is>
          <t>17 2024</t>
        </is>
      </c>
      <c r="U6" t="inlineStr"/>
      <c r="V6" t="inlineStr"/>
      <c r="W6" t="inlineStr">
        <is>
          <t>Ja</t>
        </is>
      </c>
      <c r="X6" t="inlineStr">
        <is>
          <t>Nej</t>
        </is>
      </c>
      <c r="Y6" t="inlineStr">
        <is>
          <t>Nej</t>
        </is>
      </c>
      <c r="Z6" t="inlineStr">
        <is>
          <t>Nej</t>
        </is>
      </c>
      <c r="AA6" t="n">
        <v>5</v>
      </c>
      <c r="AB6" t="inlineStr">
        <is>
          <t>Teknisk beskrivning av platta</t>
        </is>
      </c>
      <c r="AC6" t="inlineStr">
        <is>
          <t>Teknisk ritning platta</t>
        </is>
      </c>
      <c r="AD6" t="inlineStr">
        <is>
          <t>Nej</t>
        </is>
      </c>
      <c r="AE6" t="inlineStr">
        <is>
          <t>Nej</t>
        </is>
      </c>
      <c r="AF6" t="inlineStr">
        <is>
          <t>Ej behandlad</t>
        </is>
      </c>
      <c r="AG6" t="inlineStr">
        <is>
          <t>AUTO_GENERERAD. Verifiera citat mot kallfil.</t>
        </is>
      </c>
      <c r="AH6" t="inlineStr">
        <is>
          <t>MEDIUM</t>
        </is>
      </c>
      <c r="AI6" t="inlineStr">
        <is>
          <t>AUTO</t>
        </is>
      </c>
      <c r="AJ6" t="inlineStr">
        <is>
          <t>Nej</t>
        </is>
      </c>
      <c r="AK6" t="inlineStr"/>
      <c r="AL6" t="inlineStr"/>
      <c r="AM6" t="inlineStr"/>
      <c r="AN6" t="inlineStr"/>
      <c r="AO6" t="inlineStr">
        <is>
          <t>cmm4yumxa005ecuqwd2rfqss7</t>
        </is>
      </c>
      <c r="AP6" t="inlineStr">
        <is>
          <t>http://localhost:8787/api/admin/requirements/documents/cmm4yumxa005ecuqwd2rfqss7/view</t>
        </is>
      </c>
      <c r="AQ6">
        <f>HYPERLÄNK("http://localhost:8787/api/admin/requirements/documents/cmm4yumxa005ecuqwd2rfqss7/view";"Öppna PDF")</f>
        <v/>
      </c>
      <c r="AR6">
        <f>HYPERLINK("http://localhost:8787/api/admin/requirements/documents/cmm4yumxa005ecuqwd2rfqss7/view","Open PDF")</f>
        <v/>
      </c>
      <c r="AS6" t="inlineStr">
        <is>
          <t>cmm55w57p0004cuisfrtpqly8</t>
        </is>
      </c>
      <c r="AT6" t="inlineStr">
        <is>
          <t>cmm4xvu980000cuh4vj0usz09</t>
        </is>
      </c>
      <c r="AU6" t="inlineStr">
        <is>
          <t>Västerviks</t>
        </is>
      </c>
      <c r="AV6" t="inlineStr">
        <is>
          <t>Kommun</t>
        </is>
      </c>
      <c r="AW6" t="inlineStr">
        <is>
          <t>Västerviks kommun</t>
        </is>
      </c>
      <c r="AX6" t="inlineStr">
        <is>
          <t>2024-05</t>
        </is>
      </c>
      <c r="AY6" t="inlineStr">
        <is>
          <t>Anmalan</t>
        </is>
      </c>
      <c r="AZ6" t="inlineStr">
        <is>
          <t>2026-02-02</t>
        </is>
      </c>
      <c r="BA6" t="inlineStr">
        <is>
          <t>2024-786 Anmälan.pdf</t>
        </is>
      </c>
      <c r="BB6" t="inlineStr">
        <is>
          <t>Sv: till registrator</t>
        </is>
      </c>
      <c r="BC6" t="inlineStr">
        <is>
          <t>AUTO</t>
        </is>
      </c>
      <c r="BD6" t="inlineStr"/>
      <c r="BE6" t="inlineStr"/>
      <c r="BF6" t="inlineStr">
        <is>
          <t>AUTO_GENERERAD. Bekrafta metadata mot kallfil.</t>
        </is>
      </c>
      <c r="BG6">
        <f>HYPERLINK("C:\Users\jimmy\Desktop\Examens arbete\Kod\Ny mapp\remix_-copy-of-miljöbeslut.se-portal\2024-786 Anmälan.pdf", "Öppna PDF")</f>
        <v/>
      </c>
    </row>
    <row r="7">
      <c r="A7" t="inlineStr">
        <is>
          <t>KRAV-AUTO-000006</t>
        </is>
      </c>
      <c r="B7" t="inlineStr">
        <is>
          <t>ADMIN-INDEX-2026-02-27-00000000125C043F57453246863FE664CAFE6A3F0700950291EA24F0614FB6ACEDB12BF0E31D00000000010C0000950291EA24F0614FB6ACEDB12BF0E31D00002087B1E10000</t>
        </is>
      </c>
      <c r="C7" t="inlineStr">
        <is>
          <t>cmm4yumvv0045cuqwqu9kp9wx</t>
        </is>
      </c>
      <c r="D7" t="inlineStr">
        <is>
          <t>http://localhost:8787/api/admin/requirements/documents/cmm4yumvv0045cuqwqu9kp9wx/view</t>
        </is>
      </c>
      <c r="E7">
        <f>HYPERLÄNK("http://localhost:8787/api/admin/requirements/documents/cmm4yumvv0045cuqwqu9kp9wx/view";"Öppna PDF")</f>
        <v/>
      </c>
      <c r="F7">
        <f>HYPERLINK("http://localhost:8787/api/admin/requirements/documents/cmm4yumvv0045cuqwqu9kp9wx/view","Open PDF")</f>
        <v/>
      </c>
      <c r="G7" t="inlineStr">
        <is>
          <t>cmm55w57p0004cuisfrtpqly8</t>
        </is>
      </c>
      <c r="H7" t="inlineStr">
        <is>
          <t>Informationskrav</t>
        </is>
      </c>
      <c r="I7" t="inlineStr">
        <is>
          <t>Ytkonstruktion</t>
        </is>
      </c>
      <c r="J7" t="inlineStr">
        <is>
          <t>Tat yta</t>
        </is>
      </c>
      <c r="K7" t="inlineStr">
        <is>
          <t>Betongplattan ska användas som utfyllnad i en vändplan som används för skogsbruket.</t>
        </is>
      </c>
      <c r="L7" t="inlineStr">
        <is>
          <t>Betongplattan ska användas som utfyllnad i en vändplan som används för skogsbruket.</t>
        </is>
      </c>
      <c r="M7" t="inlineStr">
        <is>
          <t>SKA</t>
        </is>
      </c>
      <c r="N7" t="inlineStr"/>
      <c r="O7" t="inlineStr"/>
      <c r="P7" t="inlineStr"/>
      <c r="Q7" t="inlineStr"/>
      <c r="R7" t="inlineStr">
        <is>
          <t>Vid mellanlagring av avfall</t>
        </is>
      </c>
      <c r="S7" t="inlineStr"/>
      <c r="T7" t="inlineStr">
        <is>
          <t>17 2024</t>
        </is>
      </c>
      <c r="U7" t="inlineStr"/>
      <c r="V7" t="inlineStr"/>
      <c r="W7" t="inlineStr">
        <is>
          <t>Ja</t>
        </is>
      </c>
      <c r="X7" t="inlineStr">
        <is>
          <t>Nej</t>
        </is>
      </c>
      <c r="Y7" t="inlineStr">
        <is>
          <t>Nej</t>
        </is>
      </c>
      <c r="Z7" t="inlineStr">
        <is>
          <t>Nej</t>
        </is>
      </c>
      <c r="AA7" t="n">
        <v>5</v>
      </c>
      <c r="AB7" t="inlineStr">
        <is>
          <t>Teknisk beskrivning av platta</t>
        </is>
      </c>
      <c r="AC7" t="inlineStr">
        <is>
          <t>Teknisk ritning platta</t>
        </is>
      </c>
      <c r="AD7" t="inlineStr">
        <is>
          <t>Nej</t>
        </is>
      </c>
      <c r="AE7" t="inlineStr">
        <is>
          <t>Nej</t>
        </is>
      </c>
      <c r="AF7" t="inlineStr">
        <is>
          <t>Ej behandlad</t>
        </is>
      </c>
      <c r="AG7" t="inlineStr">
        <is>
          <t>AUTO_GENERERAD. Verifiera citat mot kallfil.</t>
        </is>
      </c>
      <c r="AH7" t="inlineStr">
        <is>
          <t>MEDIUM</t>
        </is>
      </c>
      <c r="AI7" t="inlineStr">
        <is>
          <t>AUTO</t>
        </is>
      </c>
      <c r="AJ7" t="inlineStr">
        <is>
          <t>Nej</t>
        </is>
      </c>
      <c r="AK7" t="inlineStr"/>
      <c r="AL7" t="inlineStr"/>
      <c r="AM7" t="inlineStr"/>
      <c r="AN7" t="inlineStr"/>
      <c r="AO7" t="inlineStr">
        <is>
          <t>cmm4yumxa005ecuqwd2rfqss7</t>
        </is>
      </c>
      <c r="AP7" t="inlineStr">
        <is>
          <t>http://localhost:8787/api/admin/requirements/documents/cmm4yumxa005ecuqwd2rfqss7/view</t>
        </is>
      </c>
      <c r="AQ7">
        <f>HYPERLÄNK("http://localhost:8787/api/admin/requirements/documents/cmm4yumxa005ecuqwd2rfqss7/view";"Öppna PDF")</f>
        <v/>
      </c>
      <c r="AR7">
        <f>HYPERLINK("http://localhost:8787/api/admin/requirements/documents/cmm4yumxa005ecuqwd2rfqss7/view","Open PDF")</f>
        <v/>
      </c>
      <c r="AS7" t="inlineStr">
        <is>
          <t>cmm55w57p0004cuisfrtpqly8</t>
        </is>
      </c>
      <c r="AT7" t="inlineStr">
        <is>
          <t>cmm4xvu980000cuh4vj0usz09</t>
        </is>
      </c>
      <c r="AU7" t="inlineStr">
        <is>
          <t>Västerviks</t>
        </is>
      </c>
      <c r="AV7" t="inlineStr">
        <is>
          <t>Kommun</t>
        </is>
      </c>
      <c r="AW7" t="inlineStr">
        <is>
          <t>Västerviks kommun</t>
        </is>
      </c>
      <c r="AX7" t="inlineStr">
        <is>
          <t>2024-05</t>
        </is>
      </c>
      <c r="AY7" t="inlineStr">
        <is>
          <t>Anmalan</t>
        </is>
      </c>
      <c r="AZ7" t="inlineStr">
        <is>
          <t>2026-02-02</t>
        </is>
      </c>
      <c r="BA7" t="inlineStr">
        <is>
          <t>2024-786 Anmälan.pdf</t>
        </is>
      </c>
      <c r="BB7" t="inlineStr">
        <is>
          <t>Sv: till registrator</t>
        </is>
      </c>
      <c r="BC7" t="inlineStr">
        <is>
          <t>AUTO</t>
        </is>
      </c>
      <c r="BD7" t="inlineStr"/>
      <c r="BE7" t="inlineStr"/>
      <c r="BF7" t="inlineStr">
        <is>
          <t>AUTO_GENERERAD. Bekrafta metadata mot kallfil.</t>
        </is>
      </c>
      <c r="BG7">
        <f>HYPERLINK("C:\Users\jimmy\Desktop\Examens arbete\Kod\Ny mapp\remix_-copy-of-miljöbeslut.se-portal\2024-786 Anmälan.pdf", "Öppna PDF")</f>
        <v/>
      </c>
    </row>
    <row r="8">
      <c r="A8" t="inlineStr">
        <is>
          <t>KRAV-AUTO-000007</t>
        </is>
      </c>
      <c r="B8" t="inlineStr">
        <is>
          <t>ADMIN-INDEX-2026-02-27-00000000125C043F57453246863FE664CAFE6A3F0700950291EA24F0614FB6ACEDB12BF0E31D00000000010C0000950291EA24F0614FB6ACEDB12BF0E31D00002087B1E10000</t>
        </is>
      </c>
      <c r="C8" t="inlineStr">
        <is>
          <t>cmm4yumvv0045cuqwqu9kp9wx</t>
        </is>
      </c>
      <c r="D8" t="inlineStr">
        <is>
          <t>http://localhost:8787/api/admin/requirements/documents/cmm4yumvv0045cuqwqu9kp9wx/view</t>
        </is>
      </c>
      <c r="E8">
        <f>HYPERLÄNK("http://localhost:8787/api/admin/requirements/documents/cmm4yumvv0045cuqwqu9kp9wx/view";"Öppna PDF")</f>
        <v/>
      </c>
      <c r="F8">
        <f>HYPERLINK("http://localhost:8787/api/admin/requirements/documents/cmm4yumvv0045cuqwqu9kp9wx/view","Open PDF")</f>
        <v/>
      </c>
      <c r="G8" t="inlineStr">
        <is>
          <t>cmm55w57p0004cuisfrtpqly8</t>
        </is>
      </c>
      <c r="H8" t="inlineStr">
        <is>
          <t>Informationskrav</t>
        </is>
      </c>
      <c r="I8" t="inlineStr">
        <is>
          <t>DagvattenLakvatten</t>
        </is>
      </c>
      <c r="J8" t="inlineStr">
        <is>
          <t>Uppsamling</t>
        </is>
      </c>
      <c r="K8" t="inlineStr">
        <is>
          <t>Allt avfall som används ska vara ”rent” och får inte innehålla några föroreningar som kan innebära att föroreningsrisken inte endast är ringa.</t>
        </is>
      </c>
      <c r="L8" t="inlineStr">
        <is>
          <t>Allt avfall som används ska vara ”rent” och får inte innehålla några föroreningar som kan innebära att föroreningsrisken inte endast är ringa.</t>
        </is>
      </c>
      <c r="M8" t="inlineStr">
        <is>
          <t>SKA</t>
        </is>
      </c>
      <c r="N8" t="inlineStr"/>
      <c r="O8" t="inlineStr"/>
      <c r="P8" t="inlineStr"/>
      <c r="Q8" t="inlineStr">
        <is>
          <t>Driftbegransning vid avvikelse</t>
        </is>
      </c>
      <c r="R8" t="inlineStr">
        <is>
          <t>Vid nederbord och avrinning</t>
        </is>
      </c>
      <c r="S8" t="inlineStr"/>
      <c r="T8" t="inlineStr">
        <is>
          <t>17 2024</t>
        </is>
      </c>
      <c r="U8" t="inlineStr"/>
      <c r="V8" t="inlineStr"/>
      <c r="W8" t="inlineStr">
        <is>
          <t>Nej</t>
        </is>
      </c>
      <c r="X8" t="inlineStr">
        <is>
          <t>Ja</t>
        </is>
      </c>
      <c r="Y8" t="inlineStr">
        <is>
          <t>Ja</t>
        </is>
      </c>
      <c r="Z8" t="inlineStr">
        <is>
          <t>Nej</t>
        </is>
      </c>
      <c r="AA8" t="n">
        <v>6</v>
      </c>
      <c r="AB8" t="inlineStr">
        <is>
          <t>Lakvattenhantering</t>
        </is>
      </c>
      <c r="AC8" t="inlineStr">
        <is>
          <t>Flodesschema dagvatten-lakvatten</t>
        </is>
      </c>
      <c r="AD8" t="inlineStr">
        <is>
          <t>Nej</t>
        </is>
      </c>
      <c r="AE8" t="inlineStr">
        <is>
          <t>Nej</t>
        </is>
      </c>
      <c r="AF8" t="inlineStr">
        <is>
          <t>Ej behandlad</t>
        </is>
      </c>
      <c r="AG8" t="inlineStr">
        <is>
          <t>AUTO_GENERERAD. Verifiera citat mot kallfil.</t>
        </is>
      </c>
      <c r="AH8" t="inlineStr">
        <is>
          <t>MEDIUM</t>
        </is>
      </c>
      <c r="AI8" t="inlineStr">
        <is>
          <t>AUTO</t>
        </is>
      </c>
      <c r="AJ8" t="inlineStr">
        <is>
          <t>Nej</t>
        </is>
      </c>
      <c r="AK8" t="inlineStr"/>
      <c r="AL8" t="inlineStr"/>
      <c r="AM8" t="inlineStr"/>
      <c r="AN8" t="inlineStr"/>
      <c r="AO8" t="inlineStr">
        <is>
          <t>cmm4yumxa005ecuqwd2rfqss7</t>
        </is>
      </c>
      <c r="AP8" t="inlineStr">
        <is>
          <t>http://localhost:8787/api/admin/requirements/documents/cmm4yumxa005ecuqwd2rfqss7/view</t>
        </is>
      </c>
      <c r="AQ8">
        <f>HYPERLÄNK("http://localhost:8787/api/admin/requirements/documents/cmm4yumxa005ecuqwd2rfqss7/view";"Öppna PDF")</f>
        <v/>
      </c>
      <c r="AR8">
        <f>HYPERLINK("http://localhost:8787/api/admin/requirements/documents/cmm4yumxa005ecuqwd2rfqss7/view","Open PDF")</f>
        <v/>
      </c>
      <c r="AS8" t="inlineStr">
        <is>
          <t>cmm55w57p0004cuisfrtpqly8</t>
        </is>
      </c>
      <c r="AT8" t="inlineStr">
        <is>
          <t>cmm4xvu980000cuh4vj0usz09</t>
        </is>
      </c>
      <c r="AU8" t="inlineStr">
        <is>
          <t>Västerviks</t>
        </is>
      </c>
      <c r="AV8" t="inlineStr">
        <is>
          <t>Kommun</t>
        </is>
      </c>
      <c r="AW8" t="inlineStr">
        <is>
          <t>Västerviks kommun</t>
        </is>
      </c>
      <c r="AX8" t="inlineStr">
        <is>
          <t>2024-05</t>
        </is>
      </c>
      <c r="AY8" t="inlineStr">
        <is>
          <t>Anmalan</t>
        </is>
      </c>
      <c r="AZ8" t="inlineStr">
        <is>
          <t>2026-02-02</t>
        </is>
      </c>
      <c r="BA8" t="inlineStr">
        <is>
          <t>2024-786 Anmälan.pdf</t>
        </is>
      </c>
      <c r="BB8" t="inlineStr">
        <is>
          <t>Sv: till registrator</t>
        </is>
      </c>
      <c r="BC8" t="inlineStr">
        <is>
          <t>AUTO</t>
        </is>
      </c>
      <c r="BD8" t="inlineStr"/>
      <c r="BE8" t="inlineStr"/>
      <c r="BF8" t="inlineStr">
        <is>
          <t>AUTO_GENERERAD. Bekrafta metadata mot kallfil.</t>
        </is>
      </c>
      <c r="BG8">
        <f>HYPERLINK("C:\Users\jimmy\Desktop\Examens arbete\Kod\Ny mapp\remix_-copy-of-miljöbeslut.se-portal\2024-786 Anmälan.pdf", "Öppna PDF")</f>
        <v/>
      </c>
    </row>
    <row r="9">
      <c r="A9" t="inlineStr">
        <is>
          <t>KRAV-AUTO-000008</t>
        </is>
      </c>
      <c r="B9" t="inlineStr">
        <is>
          <t>ADMIN-INDEX-2026-02-27-00000000125C043F57453246863FE664CAFE6A3F0700950291EA24F0614FB6ACEDB12BF0E31D00000000010C0000950291EA24F0614FB6ACEDB12BF0E31D00002087B1D20000</t>
        </is>
      </c>
      <c r="C9" t="inlineStr">
        <is>
          <t>cmm4yumyz0075cuqwsj0akxcx</t>
        </is>
      </c>
      <c r="D9" t="inlineStr">
        <is>
          <t>http://localhost:8787/api/admin/requirements/documents/cmm4yumyz0075cuqwsj0akxcx/view</t>
        </is>
      </c>
      <c r="E9">
        <f>HYPERLÄNK("http://localhost:8787/api/admin/requirements/documents/cmm4yumyz0075cuqwsj0akxcx/view";"Öppna PDF")</f>
        <v/>
      </c>
      <c r="F9">
        <f>HYPERLINK("http://localhost:8787/api/admin/requirements/documents/cmm4yumyz0075cuqwsj0akxcx/view","Open PDF")</f>
        <v/>
      </c>
      <c r="G9" t="inlineStr">
        <is>
          <t>cmm55w57p0004cuisfrtpqly8</t>
        </is>
      </c>
      <c r="H9" t="inlineStr">
        <is>
          <t>Beslutsvillkor</t>
        </is>
      </c>
      <c r="I9" t="inlineStr">
        <is>
          <t>DagvattenLakvatten</t>
        </is>
      </c>
      <c r="J9" t="inlineStr">
        <is>
          <t>Uppsamling</t>
        </is>
      </c>
      <c r="K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tillräckligt.</t>
        </is>
      </c>
      <c r="L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t>
        </is>
      </c>
      <c r="M9" t="inlineStr">
        <is>
          <t>SKA</t>
        </is>
      </c>
      <c r="N9" t="inlineStr"/>
      <c r="O9" t="inlineStr"/>
      <c r="P9" t="inlineStr"/>
      <c r="Q9" t="inlineStr"/>
      <c r="R9" t="inlineStr">
        <is>
          <t>Vid nederbord och avrinning</t>
        </is>
      </c>
      <c r="S9" t="inlineStr"/>
      <c r="T9" t="inlineStr">
        <is>
          <t>88 50 42</t>
        </is>
      </c>
      <c r="U9" t="inlineStr"/>
      <c r="V9" t="inlineStr"/>
      <c r="W9" t="inlineStr">
        <is>
          <t>Nej</t>
        </is>
      </c>
      <c r="X9" t="inlineStr">
        <is>
          <t>Ja</t>
        </is>
      </c>
      <c r="Y9" t="inlineStr">
        <is>
          <t>Ja</t>
        </is>
      </c>
      <c r="Z9" t="inlineStr">
        <is>
          <t>Nej</t>
        </is>
      </c>
      <c r="AA9" t="n">
        <v>6</v>
      </c>
      <c r="AB9" t="inlineStr">
        <is>
          <t>Lakvattenhantering</t>
        </is>
      </c>
      <c r="AC9" t="inlineStr">
        <is>
          <t>Flodesschema dagvatten-lakvatten</t>
        </is>
      </c>
      <c r="AD9" t="inlineStr">
        <is>
          <t>Nej</t>
        </is>
      </c>
      <c r="AE9" t="inlineStr">
        <is>
          <t>Nej</t>
        </is>
      </c>
      <c r="AF9" t="inlineStr">
        <is>
          <t>Ej behandlad</t>
        </is>
      </c>
      <c r="AG9" t="inlineStr">
        <is>
          <t>AUTO_GENERERAD. Verifiera citat mot kallfil.</t>
        </is>
      </c>
      <c r="AH9" t="inlineStr">
        <is>
          <t>MEDIUM</t>
        </is>
      </c>
      <c r="AI9" t="inlineStr">
        <is>
          <t>AUTO</t>
        </is>
      </c>
      <c r="AJ9" t="inlineStr">
        <is>
          <t>Nej</t>
        </is>
      </c>
      <c r="AK9" t="inlineStr"/>
      <c r="AL9" t="inlineStr"/>
      <c r="AM9" t="inlineStr"/>
      <c r="AN9" t="inlineStr"/>
      <c r="AO9" t="inlineStr">
        <is>
          <t>cmm4yumyz0075cuqwsj0akxcx</t>
        </is>
      </c>
      <c r="AP9" t="inlineStr">
        <is>
          <t>http://localhost:8787/api/admin/requirements/documents/cmm4yumyz0075cuqwsj0akxcx/view</t>
        </is>
      </c>
      <c r="AQ9">
        <f>HYPERLÄNK("http://localhost:8787/api/admin/requirements/documents/cmm4yumyz0075cuqwsj0akxcx/view";"Öppna PDF")</f>
        <v/>
      </c>
      <c r="AR9">
        <f>HYPERLINK("http://localhost:8787/api/admin/requirements/documents/cmm4yumyz0075cuqwsj0akxcx/view","Open PDF")</f>
        <v/>
      </c>
      <c r="AS9" t="inlineStr">
        <is>
          <t>cmm55w57p0004cuisfrtpqly8</t>
        </is>
      </c>
      <c r="AT9" t="inlineStr">
        <is>
          <t>cmm4xvu980000cuh4vj0usz09</t>
        </is>
      </c>
      <c r="AU9" t="inlineStr">
        <is>
          <t>Falkenberg Postadress Falkenbergs</t>
        </is>
      </c>
      <c r="AV9" t="inlineStr">
        <is>
          <t>Kommun</t>
        </is>
      </c>
      <c r="AW9" t="inlineStr">
        <is>
          <t>Falkenberg Postadress Falkenbergs kommun</t>
        </is>
      </c>
      <c r="AX9" t="inlineStr">
        <is>
          <t>2025-02</t>
        </is>
      </c>
      <c r="AY9" t="inlineStr">
        <is>
          <t>Beslut</t>
        </is>
      </c>
      <c r="AZ9" t="inlineStr">
        <is>
          <t>2026-02-03</t>
        </is>
      </c>
      <c r="BA9" t="inlineStr">
        <is>
          <t>M-2024-2727_2025-01-10_Beslut (MHF MHN)_Västra Gärdet 2 1.pdf</t>
        </is>
      </c>
      <c r="BB9" t="inlineStr">
        <is>
          <t>efterfrågade handlingar</t>
        </is>
      </c>
      <c r="BC9" t="inlineStr">
        <is>
          <t>AUTO</t>
        </is>
      </c>
      <c r="BD9" t="inlineStr"/>
      <c r="BE9" t="inlineStr"/>
      <c r="BF9" t="inlineStr">
        <is>
          <t>AUTO_GENERERAD. Bekrafta metadata mot kallfil.</t>
        </is>
      </c>
      <c r="BG9">
        <f>HYPERLINK("C:\Users\jimmy\Desktop\Examens arbete\Kod\Ny mapp\remix_-copy-of-miljöbeslut.se-portal\M-2024-2727_2025-01-10_Beslut (MHF MHN)_Västra Gärdet 2 1.pdf", "Öppna PDF")</f>
        <v/>
      </c>
    </row>
    <row r="10">
      <c r="A10" t="inlineStr">
        <is>
          <t>KRAV-AUTO-000009</t>
        </is>
      </c>
      <c r="B10" t="inlineStr">
        <is>
          <t>ADMIN-INDEX-2026-02-27-00000000125C043F57453246863FE664CAFE6A3F0700950291EA24F0614FB6ACEDB12BF0E31D00000000010C0000950291EA24F0614FB6ACEDB12BF0E31D00002087B1D20000</t>
        </is>
      </c>
      <c r="C10" t="inlineStr">
        <is>
          <t>cmm4yumyz0075cuqwsj0akxcx</t>
        </is>
      </c>
      <c r="D10" t="inlineStr">
        <is>
          <t>http://localhost:8787/api/admin/requirements/documents/cmm4yumyz0075cuqwsj0akxcx/view</t>
        </is>
      </c>
      <c r="E10">
        <f>HYPERLÄNK("http://localhost:8787/api/admin/requirements/documents/cmm4yumyz0075cuqwsj0akxcx/view";"Öppna PDF")</f>
        <v/>
      </c>
      <c r="F10">
        <f>HYPERLINK("http://localhost:8787/api/admin/requirements/documents/cmm4yumyz0075cuqwsj0akxcx/view","Open PDF")</f>
        <v/>
      </c>
      <c r="G10" t="inlineStr">
        <is>
          <t>cmm55w57p0004cuisfrtpqly8</t>
        </is>
      </c>
      <c r="H10" t="inlineStr">
        <is>
          <t>Beslutsvillkor</t>
        </is>
      </c>
      <c r="I10" t="inlineStr">
        <is>
          <t>DagvattenLakvatten</t>
        </is>
      </c>
      <c r="J10" t="inlineStr">
        <is>
          <t>Uppsamling</t>
        </is>
      </c>
      <c r="K10" t="inlineStr">
        <is>
          <t>Rutinen ska förklara hur ni avgör när provtagning är nödvändig eller när en bedömning räcker för att fastställa föroreningsinnehållet.</t>
        </is>
      </c>
      <c r="L10" t="inlineStr">
        <is>
          <t>Rutinen ska förklara hur ni avgör när provtagning är nödvändig eller när en bedömning räcker för att fastställa föroreningsinnehållet.</t>
        </is>
      </c>
      <c r="M10" t="inlineStr">
        <is>
          <t>SKA</t>
        </is>
      </c>
      <c r="N10" t="inlineStr"/>
      <c r="O10" t="inlineStr"/>
      <c r="P10" t="inlineStr"/>
      <c r="Q10" t="inlineStr"/>
      <c r="R10" t="inlineStr">
        <is>
          <t>Vid nederbord och avrinning</t>
        </is>
      </c>
      <c r="S10" t="inlineStr"/>
      <c r="T10" t="inlineStr">
        <is>
          <t>88 50 42</t>
        </is>
      </c>
      <c r="U10" t="inlineStr"/>
      <c r="V10" t="inlineStr"/>
      <c r="W10" t="inlineStr">
        <is>
          <t>Nej</t>
        </is>
      </c>
      <c r="X10" t="inlineStr">
        <is>
          <t>Ja</t>
        </is>
      </c>
      <c r="Y10" t="inlineStr">
        <is>
          <t>Ja</t>
        </is>
      </c>
      <c r="Z10" t="inlineStr">
        <is>
          <t>Nej</t>
        </is>
      </c>
      <c r="AA10" t="n">
        <v>6</v>
      </c>
      <c r="AB10" t="inlineStr">
        <is>
          <t>Lakvattenhantering</t>
        </is>
      </c>
      <c r="AC10" t="inlineStr">
        <is>
          <t>Flodesschema dagvatten-lakvatten</t>
        </is>
      </c>
      <c r="AD10" t="inlineStr">
        <is>
          <t>Nej</t>
        </is>
      </c>
      <c r="AE10" t="inlineStr">
        <is>
          <t>Nej</t>
        </is>
      </c>
      <c r="AF10" t="inlineStr">
        <is>
          <t>Ej behandlad</t>
        </is>
      </c>
      <c r="AG10" t="inlineStr">
        <is>
          <t>AUTO_GENERERAD. Verifiera citat mot kallfil.</t>
        </is>
      </c>
      <c r="AH10" t="inlineStr">
        <is>
          <t>MEDIUM</t>
        </is>
      </c>
      <c r="AI10" t="inlineStr">
        <is>
          <t>AUTO</t>
        </is>
      </c>
      <c r="AJ10" t="inlineStr">
        <is>
          <t>Nej</t>
        </is>
      </c>
      <c r="AK10" t="inlineStr"/>
      <c r="AL10" t="inlineStr"/>
      <c r="AM10" t="inlineStr"/>
      <c r="AN10" t="inlineStr"/>
      <c r="AO10" t="inlineStr">
        <is>
          <t>cmm4yumyz0075cuqwsj0akxcx</t>
        </is>
      </c>
      <c r="AP10" t="inlineStr">
        <is>
          <t>http://localhost:8787/api/admin/requirements/documents/cmm4yumyz0075cuqwsj0akxcx/view</t>
        </is>
      </c>
      <c r="AQ10">
        <f>HYPERLÄNK("http://localhost:8787/api/admin/requirements/documents/cmm4yumyz0075cuqwsj0akxcx/view";"Öppna PDF")</f>
        <v/>
      </c>
      <c r="AR10">
        <f>HYPERLINK("http://localhost:8787/api/admin/requirements/documents/cmm4yumyz0075cuqwsj0akxcx/view","Open PDF")</f>
        <v/>
      </c>
      <c r="AS10" t="inlineStr">
        <is>
          <t>cmm55w57p0004cuisfrtpqly8</t>
        </is>
      </c>
      <c r="AT10" t="inlineStr">
        <is>
          <t>cmm4xvu980000cuh4vj0usz09</t>
        </is>
      </c>
      <c r="AU10" t="inlineStr">
        <is>
          <t>Falkenberg Postadress Falkenbergs</t>
        </is>
      </c>
      <c r="AV10" t="inlineStr">
        <is>
          <t>Kommun</t>
        </is>
      </c>
      <c r="AW10" t="inlineStr">
        <is>
          <t>Falkenberg Postadress Falkenbergs kommun</t>
        </is>
      </c>
      <c r="AX10" t="inlineStr">
        <is>
          <t>2025-02</t>
        </is>
      </c>
      <c r="AY10" t="inlineStr">
        <is>
          <t>Beslut</t>
        </is>
      </c>
      <c r="AZ10" t="inlineStr">
        <is>
          <t>2026-02-03</t>
        </is>
      </c>
      <c r="BA10" t="inlineStr">
        <is>
          <t>M-2024-2727_2025-01-10_Beslut (MHF MHN)_Västra Gärdet 2 1.pdf</t>
        </is>
      </c>
      <c r="BB10" t="inlineStr">
        <is>
          <t>efterfrågade handlingar</t>
        </is>
      </c>
      <c r="BC10" t="inlineStr">
        <is>
          <t>AUTO</t>
        </is>
      </c>
      <c r="BD10" t="inlineStr"/>
      <c r="BE10" t="inlineStr"/>
      <c r="BF10" t="inlineStr">
        <is>
          <t>AUTO_GENERERAD. Bekrafta metadata mot kallfil.</t>
        </is>
      </c>
      <c r="BG10">
        <f>HYPERLINK("C:\Users\jimmy\Desktop\Examens arbete\Kod\Ny mapp\remix_-copy-of-miljöbeslut.se-portal\M-2024-2727_2025-01-10_Beslut (MHF MHN)_Västra Gärdet 2 1.pdf", "Öppna PDF")</f>
        <v/>
      </c>
    </row>
    <row r="11">
      <c r="A11" t="inlineStr">
        <is>
          <t>KRAV-AUTO-000010</t>
        </is>
      </c>
      <c r="B11" t="inlineStr">
        <is>
          <t>ADMIN-INDEX-2026-02-27-00000000125C043F57453246863FE664CAFE6A3F0700950291EA24F0614FB6ACEDB12BF0E31D00000000010C0000950291EA24F0614FB6ACEDB12BF0E31D00002087B1D20000</t>
        </is>
      </c>
      <c r="C11" t="inlineStr">
        <is>
          <t>cmm4yumyz0075cuqwsj0akxcx</t>
        </is>
      </c>
      <c r="D11" t="inlineStr">
        <is>
          <t>http://localhost:8787/api/admin/requirements/documents/cmm4yumyz0075cuqwsj0akxcx/view</t>
        </is>
      </c>
      <c r="E11">
        <f>HYPERLÄNK("http://localhost:8787/api/admin/requirements/documents/cmm4yumyz0075cuqwsj0akxcx/view";"Öppna PDF")</f>
        <v/>
      </c>
      <c r="F11">
        <f>HYPERLINK("http://localhost:8787/api/admin/requirements/documents/cmm4yumyz0075cuqwsj0akxcx/view","Open PDF")</f>
        <v/>
      </c>
      <c r="G11" t="inlineStr">
        <is>
          <t>cmm55w57p0004cuisfrtpqly8</t>
        </is>
      </c>
      <c r="H11" t="inlineStr">
        <is>
          <t>Beslutsvillkor</t>
        </is>
      </c>
      <c r="I11" t="inlineStr">
        <is>
          <t>DagvattenLakvatten</t>
        </is>
      </c>
      <c r="J11" t="inlineStr">
        <is>
          <t>Uppsamling</t>
        </is>
      </c>
      <c r="K11" t="inlineStr">
        <is>
          <t>Dokumentation om hur lagring av avfallsmassor på lagringsplatsen ska hanteras så att olika avfallsmassor med olika föroreningsinnehåll inte blandas.</t>
        </is>
      </c>
      <c r="L11" t="inlineStr">
        <is>
          <t>Dokumentation om hur lagring av avfallsmassor på lagringsplatsen ska hanteras så att olika avfallsmassor med olika föroreningsinnehåll inte blandas.</t>
        </is>
      </c>
      <c r="M11" t="inlineStr">
        <is>
          <t>SKA</t>
        </is>
      </c>
      <c r="N11" t="inlineStr"/>
      <c r="O11" t="inlineStr"/>
      <c r="P11" t="inlineStr"/>
      <c r="Q11" t="inlineStr"/>
      <c r="R11" t="inlineStr">
        <is>
          <t>Vid nederbord och avrinning</t>
        </is>
      </c>
      <c r="S11" t="inlineStr"/>
      <c r="T11" t="inlineStr">
        <is>
          <t>88 50 42</t>
        </is>
      </c>
      <c r="U11" t="inlineStr"/>
      <c r="V11" t="inlineStr"/>
      <c r="W11" t="inlineStr">
        <is>
          <t>Nej</t>
        </is>
      </c>
      <c r="X11" t="inlineStr">
        <is>
          <t>Ja</t>
        </is>
      </c>
      <c r="Y11" t="inlineStr">
        <is>
          <t>Ja</t>
        </is>
      </c>
      <c r="Z11" t="inlineStr">
        <is>
          <t>Nej</t>
        </is>
      </c>
      <c r="AA11" t="n">
        <v>6</v>
      </c>
      <c r="AB11" t="inlineStr">
        <is>
          <t>Lakvattenhantering</t>
        </is>
      </c>
      <c r="AC11" t="inlineStr">
        <is>
          <t>Flodesschema dagvatten-lakvatten</t>
        </is>
      </c>
      <c r="AD11" t="inlineStr">
        <is>
          <t>Nej</t>
        </is>
      </c>
      <c r="AE11" t="inlineStr">
        <is>
          <t>Nej</t>
        </is>
      </c>
      <c r="AF11" t="inlineStr">
        <is>
          <t>Ej behandlad</t>
        </is>
      </c>
      <c r="AG11" t="inlineStr">
        <is>
          <t>AUTO_GENERERAD. Verifiera citat mot kallfil.</t>
        </is>
      </c>
      <c r="AH11" t="inlineStr">
        <is>
          <t>MEDIUM</t>
        </is>
      </c>
      <c r="AI11" t="inlineStr">
        <is>
          <t>AUTO</t>
        </is>
      </c>
      <c r="AJ11" t="inlineStr">
        <is>
          <t>Nej</t>
        </is>
      </c>
      <c r="AK11" t="inlineStr"/>
      <c r="AL11" t="inlineStr"/>
      <c r="AM11" t="inlineStr"/>
      <c r="AN11" t="inlineStr"/>
      <c r="AO11" t="inlineStr">
        <is>
          <t>cmm4yumyz0075cuqwsj0akxcx</t>
        </is>
      </c>
      <c r="AP11" t="inlineStr">
        <is>
          <t>http://localhost:8787/api/admin/requirements/documents/cmm4yumyz0075cuqwsj0akxcx/view</t>
        </is>
      </c>
      <c r="AQ11">
        <f>HYPERLÄNK("http://localhost:8787/api/admin/requirements/documents/cmm4yumyz0075cuqwsj0akxcx/view";"Öppna PDF")</f>
        <v/>
      </c>
      <c r="AR11">
        <f>HYPERLINK("http://localhost:8787/api/admin/requirements/documents/cmm4yumyz0075cuqwsj0akxcx/view","Open PDF")</f>
        <v/>
      </c>
      <c r="AS11" t="inlineStr">
        <is>
          <t>cmm55w57p0004cuisfrtpqly8</t>
        </is>
      </c>
      <c r="AT11" t="inlineStr">
        <is>
          <t>cmm4xvu980000cuh4vj0usz09</t>
        </is>
      </c>
      <c r="AU11" t="inlineStr">
        <is>
          <t>Falkenberg Postadress Falkenbergs</t>
        </is>
      </c>
      <c r="AV11" t="inlineStr">
        <is>
          <t>Kommun</t>
        </is>
      </c>
      <c r="AW11" t="inlineStr">
        <is>
          <t>Falkenberg Postadress Falkenbergs kommun</t>
        </is>
      </c>
      <c r="AX11" t="inlineStr">
        <is>
          <t>2025-02</t>
        </is>
      </c>
      <c r="AY11" t="inlineStr">
        <is>
          <t>Beslut</t>
        </is>
      </c>
      <c r="AZ11" t="inlineStr">
        <is>
          <t>2026-02-03</t>
        </is>
      </c>
      <c r="BA11" t="inlineStr">
        <is>
          <t>M-2024-2727_2025-01-10_Beslut (MHF MHN)_Västra Gärdet 2 1.pdf</t>
        </is>
      </c>
      <c r="BB11" t="inlineStr">
        <is>
          <t>efterfrågade handlingar</t>
        </is>
      </c>
      <c r="BC11" t="inlineStr">
        <is>
          <t>AUTO</t>
        </is>
      </c>
      <c r="BD11" t="inlineStr"/>
      <c r="BE11" t="inlineStr"/>
      <c r="BF11" t="inlineStr">
        <is>
          <t>AUTO_GENERERAD. Bekrafta metadata mot kallfil.</t>
        </is>
      </c>
      <c r="BG11">
        <f>HYPERLINK("C:\Users\jimmy\Desktop\Examens arbete\Kod\Ny mapp\remix_-copy-of-miljöbeslut.se-portal\M-2024-2727_2025-01-10_Beslut (MHF MHN)_Västra Gärdet 2 1.pdf", "Öppna PDF")</f>
        <v/>
      </c>
    </row>
    <row r="12">
      <c r="A12" t="inlineStr">
        <is>
          <t>KRAV-AUTO-000011</t>
        </is>
      </c>
      <c r="B12" t="inlineStr">
        <is>
          <t>ADMIN-INDEX-2026-02-27-00000000125C043F57453246863FE664CAFE6A3F0700950291EA24F0614FB6ACEDB12BF0E31D00000000010C0000950291EA24F0614FB6ACEDB12BF0E31D00002087B1E10000</t>
        </is>
      </c>
      <c r="C12" t="inlineStr">
        <is>
          <t>cmm4yumwj004qcuqwa0802nd0</t>
        </is>
      </c>
      <c r="D12" t="inlineStr">
        <is>
          <t>http://localhost:8787/api/admin/requirements/documents/cmm4yumwj004qcuqwa0802nd0/view</t>
        </is>
      </c>
      <c r="E12">
        <f>HYPERLÄNK("http://localhost:8787/api/admin/requirements/documents/cmm4yumwj004qcuqwa0802nd0/view";"Öppna PDF")</f>
        <v/>
      </c>
      <c r="F12">
        <f>HYPERLINK("http://localhost:8787/api/admin/requirements/documents/cmm4yumwj004qcuqwa0802nd0/view","Open PDF")</f>
        <v/>
      </c>
      <c r="G12" t="inlineStr">
        <is>
          <t>cmm55w57p0004cuisfrtpqly8</t>
        </is>
      </c>
      <c r="H12" t="inlineStr">
        <is>
          <t>Informationskrav</t>
        </is>
      </c>
      <c r="I12" t="inlineStr">
        <is>
          <t>Ytkonstruktion</t>
        </is>
      </c>
      <c r="J12" t="inlineStr">
        <is>
          <t>Tat yta</t>
        </is>
      </c>
      <c r="K12" t="inlineStr">
        <is>
          <t>Flytande råvaror, kemikalier och farligt avfall ska förvaras under tak inom invallning.</t>
        </is>
      </c>
      <c r="L12" t="inlineStr">
        <is>
          <t>Flytande råvaror, kemikalier och farligt avfall ska förvaras under tak inom invallning.</t>
        </is>
      </c>
      <c r="M12" t="inlineStr">
        <is>
          <t>SKA</t>
        </is>
      </c>
      <c r="N12" t="inlineStr"/>
      <c r="O12" t="inlineStr"/>
      <c r="P12" t="inlineStr">
        <is>
          <t>Arlig</t>
        </is>
      </c>
      <c r="Q12" t="inlineStr"/>
      <c r="R12" t="inlineStr">
        <is>
          <t>Vid mellanlagring av avfall</t>
        </is>
      </c>
      <c r="S12" t="inlineStr"/>
      <c r="T12" t="inlineStr">
        <is>
          <t>22 2025</t>
        </is>
      </c>
      <c r="U12" t="inlineStr"/>
      <c r="V12" t="inlineStr"/>
      <c r="W12" t="inlineStr">
        <is>
          <t>Ja</t>
        </is>
      </c>
      <c r="X12" t="inlineStr">
        <is>
          <t>Nej</t>
        </is>
      </c>
      <c r="Y12" t="inlineStr">
        <is>
          <t>Nej</t>
        </is>
      </c>
      <c r="Z12" t="inlineStr">
        <is>
          <t>Nej</t>
        </is>
      </c>
      <c r="AA12" t="n">
        <v>5</v>
      </c>
      <c r="AB12" t="inlineStr">
        <is>
          <t>Teknisk beskrivning av platta</t>
        </is>
      </c>
      <c r="AC12" t="inlineStr">
        <is>
          <t>Teknisk ritning platta</t>
        </is>
      </c>
      <c r="AD12" t="inlineStr">
        <is>
          <t>Nej</t>
        </is>
      </c>
      <c r="AE12" t="inlineStr">
        <is>
          <t>Nej</t>
        </is>
      </c>
      <c r="AF12" t="inlineStr">
        <is>
          <t>Ej behandlad</t>
        </is>
      </c>
      <c r="AG12" t="inlineStr">
        <is>
          <t>AUTO_GENERERAD. Verifiera citat mot kallfil.</t>
        </is>
      </c>
      <c r="AH12" t="inlineStr">
        <is>
          <t>MEDIUM</t>
        </is>
      </c>
      <c r="AI12" t="inlineStr">
        <is>
          <t>AUTO</t>
        </is>
      </c>
      <c r="AJ12" t="inlineStr">
        <is>
          <t>Nej</t>
        </is>
      </c>
      <c r="AK12" t="inlineStr"/>
      <c r="AL12" t="inlineStr"/>
      <c r="AM12" t="inlineStr"/>
      <c r="AN12" t="inlineStr"/>
      <c r="AO12" t="inlineStr">
        <is>
          <t>cmm4yumxa005ecuqwd2rfqss7</t>
        </is>
      </c>
      <c r="AP12" t="inlineStr">
        <is>
          <t>http://localhost:8787/api/admin/requirements/documents/cmm4yumxa005ecuqwd2rfqss7/view</t>
        </is>
      </c>
      <c r="AQ12">
        <f>HYPERLÄNK("http://localhost:8787/api/admin/requirements/documents/cmm4yumxa005ecuqwd2rfqss7/view";"Öppna PDF")</f>
        <v/>
      </c>
      <c r="AR12">
        <f>HYPERLINK("http://localhost:8787/api/admin/requirements/documents/cmm4yumxa005ecuqwd2rfqss7/view","Open PDF")</f>
        <v/>
      </c>
      <c r="AS12" t="inlineStr">
        <is>
          <t>cmm55w57p0004cuisfrtpqly8</t>
        </is>
      </c>
      <c r="AT12" t="inlineStr">
        <is>
          <t>cmm4xvu980000cuh4vj0usz09</t>
        </is>
      </c>
      <c r="AU12" t="inlineStr">
        <is>
          <t>Västerviks</t>
        </is>
      </c>
      <c r="AV12" t="inlineStr">
        <is>
          <t>Kommun</t>
        </is>
      </c>
      <c r="AW12" t="inlineStr">
        <is>
          <t>Västerviks kommun</t>
        </is>
      </c>
      <c r="AX12" t="inlineStr">
        <is>
          <t>2024-05</t>
        </is>
      </c>
      <c r="AY12" t="inlineStr">
        <is>
          <t>Anmalan</t>
        </is>
      </c>
      <c r="AZ12" t="inlineStr">
        <is>
          <t>2026-02-02</t>
        </is>
      </c>
      <c r="BA12" t="inlineStr">
        <is>
          <t>2024-786 Anmälan.pdf</t>
        </is>
      </c>
      <c r="BB12" t="inlineStr">
        <is>
          <t>Sv: till registrator</t>
        </is>
      </c>
      <c r="BC12" t="inlineStr">
        <is>
          <t>AUTO</t>
        </is>
      </c>
      <c r="BD12" t="inlineStr"/>
      <c r="BE12" t="inlineStr"/>
      <c r="BF12" t="inlineStr">
        <is>
          <t>AUTO_GENERERAD. Bekrafta metadata mot kallfil.</t>
        </is>
      </c>
      <c r="BG12">
        <f>HYPERLINK("C:\Users\jimmy\Desktop\Examens arbete\Kod\Ny mapp\remix_-copy-of-miljöbeslut.se-portal\2024-786 Anmälan.pdf", "Öppna PDF")</f>
        <v/>
      </c>
    </row>
    <row r="13">
      <c r="A13" t="inlineStr">
        <is>
          <t>KRAV-AUTO-000012</t>
        </is>
      </c>
      <c r="B13" t="inlineStr">
        <is>
          <t>ADMIN-INDEX-2026-02-27-00000000125C043F57453246863FE664CAFE6A3F0700950291EA24F0614FB6ACEDB12BF0E31D00000000010C0000950291EA24F0614FB6ACEDB12BF0E31D00002087B1E10000</t>
        </is>
      </c>
      <c r="C13" t="inlineStr">
        <is>
          <t>cmm4yumwj004qcuqwa0802nd0</t>
        </is>
      </c>
      <c r="D13" t="inlineStr">
        <is>
          <t>http://localhost:8787/api/admin/requirements/documents/cmm4yumwj004qcuqwa0802nd0/view</t>
        </is>
      </c>
      <c r="E13">
        <f>HYPERLÄNK("http://localhost:8787/api/admin/requirements/documents/cmm4yumwj004qcuqwa0802nd0/view";"Öppna PDF")</f>
        <v/>
      </c>
      <c r="F13">
        <f>HYPERLINK("http://localhost:8787/api/admin/requirements/documents/cmm4yumwj004qcuqwa0802nd0/view","Open PDF")</f>
        <v/>
      </c>
      <c r="G13" t="inlineStr">
        <is>
          <t>cmm55w57p0004cuisfrtpqly8</t>
        </is>
      </c>
      <c r="H13" t="inlineStr">
        <is>
          <t>Informationskrav</t>
        </is>
      </c>
      <c r="I13" t="inlineStr">
        <is>
          <t>Ytkonstruktion</t>
        </is>
      </c>
      <c r="J13" t="inlineStr">
        <is>
          <t>Tat yta</t>
        </is>
      </c>
      <c r="K13" t="inlineStr">
        <is>
          <t>Invallningen ska vara beständig mot det som förvaras däri och rymma största kärlets volym plus 10 % av övriga kärls volym.</t>
        </is>
      </c>
      <c r="L13" t="inlineStr">
        <is>
          <t>Invallningen ska vara beständig mot det som förvaras däri och rymma största kärlets volym plus 10 % av övriga kärls volym.</t>
        </is>
      </c>
      <c r="M13" t="inlineStr">
        <is>
          <t>SKA</t>
        </is>
      </c>
      <c r="N13" t="inlineStr"/>
      <c r="O13" t="inlineStr"/>
      <c r="P13" t="inlineStr"/>
      <c r="Q13" t="inlineStr"/>
      <c r="R13" t="inlineStr">
        <is>
          <t>Vid mellanlagring av avfall</t>
        </is>
      </c>
      <c r="S13" t="inlineStr"/>
      <c r="T13" t="inlineStr">
        <is>
          <t>22 2025</t>
        </is>
      </c>
      <c r="U13" t="inlineStr"/>
      <c r="V13" t="inlineStr"/>
      <c r="W13" t="inlineStr">
        <is>
          <t>Ja</t>
        </is>
      </c>
      <c r="X13" t="inlineStr">
        <is>
          <t>Nej</t>
        </is>
      </c>
      <c r="Y13" t="inlineStr">
        <is>
          <t>Nej</t>
        </is>
      </c>
      <c r="Z13" t="inlineStr">
        <is>
          <t>Nej</t>
        </is>
      </c>
      <c r="AA13" t="n">
        <v>5</v>
      </c>
      <c r="AB13" t="inlineStr">
        <is>
          <t>Teknisk beskrivning av platta</t>
        </is>
      </c>
      <c r="AC13" t="inlineStr">
        <is>
          <t>Teknisk ritning platta</t>
        </is>
      </c>
      <c r="AD13" t="inlineStr">
        <is>
          <t>Nej</t>
        </is>
      </c>
      <c r="AE13" t="inlineStr">
        <is>
          <t>Nej</t>
        </is>
      </c>
      <c r="AF13" t="inlineStr">
        <is>
          <t>Ej behandlad</t>
        </is>
      </c>
      <c r="AG13" t="inlineStr">
        <is>
          <t>AUTO_GENERERAD. Verifiera citat mot kallfil.</t>
        </is>
      </c>
      <c r="AH13" t="inlineStr">
        <is>
          <t>MEDIUM</t>
        </is>
      </c>
      <c r="AI13" t="inlineStr">
        <is>
          <t>AUTO</t>
        </is>
      </c>
      <c r="AJ13" t="inlineStr">
        <is>
          <t>Nej</t>
        </is>
      </c>
      <c r="AK13" t="inlineStr"/>
      <c r="AL13" t="inlineStr"/>
      <c r="AM13" t="inlineStr"/>
      <c r="AN13" t="inlineStr"/>
      <c r="AO13" t="inlineStr">
        <is>
          <t>cmm4yumxa005ecuqwd2rfqss7</t>
        </is>
      </c>
      <c r="AP13" t="inlineStr">
        <is>
          <t>http://localhost:8787/api/admin/requirements/documents/cmm4yumxa005ecuqwd2rfqss7/view</t>
        </is>
      </c>
      <c r="AQ13">
        <f>HYPERLÄNK("http://localhost:8787/api/admin/requirements/documents/cmm4yumxa005ecuqwd2rfqss7/view";"Öppna PDF")</f>
        <v/>
      </c>
      <c r="AR13">
        <f>HYPERLINK("http://localhost:8787/api/admin/requirements/documents/cmm4yumxa005ecuqwd2rfqss7/view","Open PDF")</f>
        <v/>
      </c>
      <c r="AS13" t="inlineStr">
        <is>
          <t>cmm55w57p0004cuisfrtpqly8</t>
        </is>
      </c>
      <c r="AT13" t="inlineStr">
        <is>
          <t>cmm4xvu980000cuh4vj0usz09</t>
        </is>
      </c>
      <c r="AU13" t="inlineStr">
        <is>
          <t>Västerviks</t>
        </is>
      </c>
      <c r="AV13" t="inlineStr">
        <is>
          <t>Kommun</t>
        </is>
      </c>
      <c r="AW13" t="inlineStr">
        <is>
          <t>Västerviks kommun</t>
        </is>
      </c>
      <c r="AX13" t="inlineStr">
        <is>
          <t>2024-05</t>
        </is>
      </c>
      <c r="AY13" t="inlineStr">
        <is>
          <t>Anmalan</t>
        </is>
      </c>
      <c r="AZ13" t="inlineStr">
        <is>
          <t>2026-02-02</t>
        </is>
      </c>
      <c r="BA13" t="inlineStr">
        <is>
          <t>2024-786 Anmälan.pdf</t>
        </is>
      </c>
      <c r="BB13" t="inlineStr">
        <is>
          <t>Sv: till registrator</t>
        </is>
      </c>
      <c r="BC13" t="inlineStr">
        <is>
          <t>AUTO</t>
        </is>
      </c>
      <c r="BD13" t="inlineStr"/>
      <c r="BE13" t="inlineStr"/>
      <c r="BF13" t="inlineStr">
        <is>
          <t>AUTO_GENERERAD. Bekrafta metadata mot kallfil.</t>
        </is>
      </c>
      <c r="BG13">
        <f>HYPERLINK("C:\Users\jimmy\Desktop\Examens arbete\Kod\Ny mapp\remix_-copy-of-miljöbeslut.se-portal\2024-786 Anmälan.pdf", "Öppna PDF")</f>
        <v/>
      </c>
    </row>
    <row r="14">
      <c r="A14" t="inlineStr">
        <is>
          <t>KRAV-AUTO-000013</t>
        </is>
      </c>
      <c r="B14" t="inlineStr">
        <is>
          <t>ADMIN-INDEX-2026-02-27-00000000125C043F57453246863FE664CAFE6A3F0700950291EA24F0614FB6ACEDB12BF0E31D00000000010C0000950291EA24F0614FB6ACEDB12BF0E31D00002087B1E10000</t>
        </is>
      </c>
      <c r="C14" t="inlineStr">
        <is>
          <t>cmm4yumwj004qcuqwa0802nd0</t>
        </is>
      </c>
      <c r="D14" t="inlineStr">
        <is>
          <t>http://localhost:8787/api/admin/requirements/documents/cmm4yumwj004qcuqwa0802nd0/view</t>
        </is>
      </c>
      <c r="E14">
        <f>HYPERLÄNK("http://localhost:8787/api/admin/requirements/documents/cmm4yumwj004qcuqwa0802nd0/view";"Öppna PDF")</f>
        <v/>
      </c>
      <c r="F14">
        <f>HYPERLINK("http://localhost:8787/api/admin/requirements/documents/cmm4yumwj004qcuqwa0802nd0/view","Open PDF")</f>
        <v/>
      </c>
      <c r="G14" t="inlineStr">
        <is>
          <t>cmm55w57p0004cuisfrtpqly8</t>
        </is>
      </c>
      <c r="H14" t="inlineStr">
        <is>
          <t>Informationskrav</t>
        </is>
      </c>
      <c r="I14" t="inlineStr">
        <is>
          <t>Ytkonstruktion</t>
        </is>
      </c>
      <c r="J14" t="inlineStr">
        <is>
          <t>Tat yta</t>
        </is>
      </c>
      <c r="K14" t="inlineStr">
        <is>
          <t>Kemiska produkter som kan befaras medföra risker för människors hälsa eller miljön bör bytas ut mot produkter som antas vara mindre farliga.</t>
        </is>
      </c>
      <c r="L14" t="inlineStr">
        <is>
          <t>Kemiska produkter som kan befaras medföra risker för människors hälsa eller miljön bör bytas ut mot produkter som antas vara mindre farliga.</t>
        </is>
      </c>
      <c r="M14" t="inlineStr">
        <is>
          <t>SKA</t>
        </is>
      </c>
      <c r="N14" t="inlineStr"/>
      <c r="O14" t="inlineStr"/>
      <c r="P14" t="inlineStr">
        <is>
          <t>Arlig</t>
        </is>
      </c>
      <c r="Q14" t="inlineStr"/>
      <c r="R14" t="inlineStr">
        <is>
          <t>Vid mellanlagring av avfall</t>
        </is>
      </c>
      <c r="S14" t="inlineStr"/>
      <c r="T14" t="inlineStr">
        <is>
          <t>22 2025</t>
        </is>
      </c>
      <c r="U14" t="inlineStr"/>
      <c r="V14" t="inlineStr"/>
      <c r="W14" t="inlineStr">
        <is>
          <t>Ja</t>
        </is>
      </c>
      <c r="X14" t="inlineStr">
        <is>
          <t>Nej</t>
        </is>
      </c>
      <c r="Y14" t="inlineStr">
        <is>
          <t>Nej</t>
        </is>
      </c>
      <c r="Z14" t="inlineStr">
        <is>
          <t>Nej</t>
        </is>
      </c>
      <c r="AA14" t="n">
        <v>5</v>
      </c>
      <c r="AB14" t="inlineStr">
        <is>
          <t>Teknisk beskrivning av platta</t>
        </is>
      </c>
      <c r="AC14" t="inlineStr">
        <is>
          <t>Teknisk ritning platta</t>
        </is>
      </c>
      <c r="AD14" t="inlineStr">
        <is>
          <t>Nej</t>
        </is>
      </c>
      <c r="AE14" t="inlineStr">
        <is>
          <t>Nej</t>
        </is>
      </c>
      <c r="AF14" t="inlineStr">
        <is>
          <t>Ej behandlad</t>
        </is>
      </c>
      <c r="AG14" t="inlineStr">
        <is>
          <t>AUTO_GENERERAD. Verifiera citat mot kallfil.</t>
        </is>
      </c>
      <c r="AH14" t="inlineStr">
        <is>
          <t>MEDIUM</t>
        </is>
      </c>
      <c r="AI14" t="inlineStr">
        <is>
          <t>AUTO</t>
        </is>
      </c>
      <c r="AJ14" t="inlineStr">
        <is>
          <t>Nej</t>
        </is>
      </c>
      <c r="AK14" t="inlineStr"/>
      <c r="AL14" t="inlineStr"/>
      <c r="AM14" t="inlineStr"/>
      <c r="AN14" t="inlineStr"/>
      <c r="AO14" t="inlineStr">
        <is>
          <t>cmm4yumxa005ecuqwd2rfqss7</t>
        </is>
      </c>
      <c r="AP14" t="inlineStr">
        <is>
          <t>http://localhost:8787/api/admin/requirements/documents/cmm4yumxa005ecuqwd2rfqss7/view</t>
        </is>
      </c>
      <c r="AQ14">
        <f>HYPERLÄNK("http://localhost:8787/api/admin/requirements/documents/cmm4yumxa005ecuqwd2rfqss7/view";"Öppna PDF")</f>
        <v/>
      </c>
      <c r="AR14">
        <f>HYPERLINK("http://localhost:8787/api/admin/requirements/documents/cmm4yumxa005ecuqwd2rfqss7/view","Open PDF")</f>
        <v/>
      </c>
      <c r="AS14" t="inlineStr">
        <is>
          <t>cmm55w57p0004cuisfrtpqly8</t>
        </is>
      </c>
      <c r="AT14" t="inlineStr">
        <is>
          <t>cmm4xvu980000cuh4vj0usz09</t>
        </is>
      </c>
      <c r="AU14" t="inlineStr">
        <is>
          <t>Västerviks</t>
        </is>
      </c>
      <c r="AV14" t="inlineStr">
        <is>
          <t>Kommun</t>
        </is>
      </c>
      <c r="AW14" t="inlineStr">
        <is>
          <t>Västerviks kommun</t>
        </is>
      </c>
      <c r="AX14" t="inlineStr">
        <is>
          <t>2024-05</t>
        </is>
      </c>
      <c r="AY14" t="inlineStr">
        <is>
          <t>Anmalan</t>
        </is>
      </c>
      <c r="AZ14" t="inlineStr">
        <is>
          <t>2026-02-02</t>
        </is>
      </c>
      <c r="BA14" t="inlineStr">
        <is>
          <t>2024-786 Anmälan.pdf</t>
        </is>
      </c>
      <c r="BB14" t="inlineStr">
        <is>
          <t>Sv: till registrator</t>
        </is>
      </c>
      <c r="BC14" t="inlineStr">
        <is>
          <t>AUTO</t>
        </is>
      </c>
      <c r="BD14" t="inlineStr"/>
      <c r="BE14" t="inlineStr"/>
      <c r="BF14" t="inlineStr">
        <is>
          <t>AUTO_GENERERAD. Bekrafta metadata mot kallfil.</t>
        </is>
      </c>
      <c r="BG14">
        <f>HYPERLINK("C:\Users\jimmy\Desktop\Examens arbete\Kod\Ny mapp\remix_-copy-of-miljöbeslut.se-portal\2024-786 Anmälan.pdf", "Öppna PDF")</f>
        <v/>
      </c>
    </row>
    <row r="15">
      <c r="A15" t="inlineStr">
        <is>
          <t>KRAV-AUTO-000014</t>
        </is>
      </c>
      <c r="B15" t="inlineStr">
        <is>
          <t>ADMIN-INDEX-2026-02-27-00000000125C043F57453246863FE664CAFE6A3F0700950291EA24F0614FB6ACEDB12BF0E31D00000000010C0000950291EA24F0614FB6ACEDB12BF0E31D00002087B1E10000</t>
        </is>
      </c>
      <c r="C15" t="inlineStr">
        <is>
          <t>cmm4yumx10055cuqwd8rfxvty</t>
        </is>
      </c>
      <c r="D15" t="inlineStr">
        <is>
          <t>http://localhost:8787/api/admin/requirements/documents/cmm4yumx10055cuqwd8rfxvty/view</t>
        </is>
      </c>
      <c r="E15">
        <f>HYPERLÄNK("http://localhost:8787/api/admin/requirements/documents/cmm4yumx10055cuqwd8rfxvty/view";"Öppna PDF")</f>
        <v/>
      </c>
      <c r="F15">
        <f>HYPERLINK("http://localhost:8787/api/admin/requirements/documents/cmm4yumx10055cuqwd8rfxvty/view","Open PDF")</f>
        <v/>
      </c>
      <c r="G15" t="inlineStr">
        <is>
          <t>cmm55w57p0004cuisfrtpqly8</t>
        </is>
      </c>
      <c r="H15" t="inlineStr">
        <is>
          <t>Informationskrav</t>
        </is>
      </c>
      <c r="I15" t="inlineStr">
        <is>
          <t>DagvattenLakvatten</t>
        </is>
      </c>
      <c r="J15" t="inlineStr">
        <is>
          <t>Uppsamling</t>
        </is>
      </c>
      <c r="K15" t="inlineStr">
        <is>
          <t>Allt avfall som används ska vara ”rent” och får inte innehålla några föroreningar som kan innebära att föroreningsrisken inte endast är ringa.</t>
        </is>
      </c>
      <c r="L15" t="inlineStr">
        <is>
          <t>Allt avfall som används ska vara ”rent” och får inte innehålla några föroreningar som kan innebära att föroreningsrisken inte endast är ringa.</t>
        </is>
      </c>
      <c r="M15" t="inlineStr">
        <is>
          <t>SKA</t>
        </is>
      </c>
      <c r="N15" t="inlineStr"/>
      <c r="O15" t="inlineStr"/>
      <c r="P15" t="inlineStr"/>
      <c r="Q15" t="inlineStr">
        <is>
          <t>Driftbegransning vid avvikelse</t>
        </is>
      </c>
      <c r="R15" t="inlineStr">
        <is>
          <t>Vid nederbord och avrinning</t>
        </is>
      </c>
      <c r="S15" t="inlineStr"/>
      <c r="T15" t="inlineStr">
        <is>
          <t>02 2024</t>
        </is>
      </c>
      <c r="U15" t="inlineStr"/>
      <c r="V15" t="inlineStr"/>
      <c r="W15" t="inlineStr">
        <is>
          <t>Nej</t>
        </is>
      </c>
      <c r="X15" t="inlineStr">
        <is>
          <t>Ja</t>
        </is>
      </c>
      <c r="Y15" t="inlineStr">
        <is>
          <t>Ja</t>
        </is>
      </c>
      <c r="Z15" t="inlineStr">
        <is>
          <t>Nej</t>
        </is>
      </c>
      <c r="AA15" t="n">
        <v>6</v>
      </c>
      <c r="AB15" t="inlineStr">
        <is>
          <t>Lakvattenhantering</t>
        </is>
      </c>
      <c r="AC15" t="inlineStr">
        <is>
          <t>Flodesschema dagvatten-lakvatten</t>
        </is>
      </c>
      <c r="AD15" t="inlineStr">
        <is>
          <t>Nej</t>
        </is>
      </c>
      <c r="AE15" t="inlineStr">
        <is>
          <t>Nej</t>
        </is>
      </c>
      <c r="AF15" t="inlineStr">
        <is>
          <t>Ej behandlad</t>
        </is>
      </c>
      <c r="AG15" t="inlineStr">
        <is>
          <t>AUTO_GENERERAD. Verifiera citat mot kallfil.</t>
        </is>
      </c>
      <c r="AH15" t="inlineStr">
        <is>
          <t>MEDIUM</t>
        </is>
      </c>
      <c r="AI15" t="inlineStr">
        <is>
          <t>AUTO</t>
        </is>
      </c>
      <c r="AJ15" t="inlineStr">
        <is>
          <t>Nej</t>
        </is>
      </c>
      <c r="AK15" t="inlineStr"/>
      <c r="AL15" t="inlineStr"/>
      <c r="AM15" t="inlineStr"/>
      <c r="AN15" t="inlineStr"/>
      <c r="AO15" t="inlineStr">
        <is>
          <t>cmm4yumxa005ecuqwd2rfqss7</t>
        </is>
      </c>
      <c r="AP15" t="inlineStr">
        <is>
          <t>http://localhost:8787/api/admin/requirements/documents/cmm4yumxa005ecuqwd2rfqss7/view</t>
        </is>
      </c>
      <c r="AQ15">
        <f>HYPERLÄNK("http://localhost:8787/api/admin/requirements/documents/cmm4yumxa005ecuqwd2rfqss7/view";"Öppna PDF")</f>
        <v/>
      </c>
      <c r="AR15">
        <f>HYPERLINK("http://localhost:8787/api/admin/requirements/documents/cmm4yumxa005ecuqwd2rfqss7/view","Open PDF")</f>
        <v/>
      </c>
      <c r="AS15" t="inlineStr">
        <is>
          <t>cmm55w57p0004cuisfrtpqly8</t>
        </is>
      </c>
      <c r="AT15" t="inlineStr">
        <is>
          <t>cmm4xvu980000cuh4vj0usz09</t>
        </is>
      </c>
      <c r="AU15" t="inlineStr">
        <is>
          <t>Västerviks</t>
        </is>
      </c>
      <c r="AV15" t="inlineStr">
        <is>
          <t>Kommun</t>
        </is>
      </c>
      <c r="AW15" t="inlineStr">
        <is>
          <t>Västerviks kommun</t>
        </is>
      </c>
      <c r="AX15" t="inlineStr">
        <is>
          <t>2024-05</t>
        </is>
      </c>
      <c r="AY15" t="inlineStr">
        <is>
          <t>Anmalan</t>
        </is>
      </c>
      <c r="AZ15" t="inlineStr">
        <is>
          <t>2026-02-02</t>
        </is>
      </c>
      <c r="BA15" t="inlineStr">
        <is>
          <t>2024-786 Anmälan.pdf</t>
        </is>
      </c>
      <c r="BB15" t="inlineStr">
        <is>
          <t>Sv: till registrator</t>
        </is>
      </c>
      <c r="BC15" t="inlineStr">
        <is>
          <t>AUTO</t>
        </is>
      </c>
      <c r="BD15" t="inlineStr"/>
      <c r="BE15" t="inlineStr"/>
      <c r="BF15" t="inlineStr">
        <is>
          <t>AUTO_GENERERAD. Bekrafta metadata mot kallfil.</t>
        </is>
      </c>
      <c r="BG15">
        <f>HYPERLINK("C:\Users\jimmy\Desktop\Examens arbete\Kod\Ny mapp\remix_-copy-of-miljöbeslut.se-portal\2024-786 Anmälan.pdf", "Öppna PDF")</f>
        <v/>
      </c>
    </row>
    <row r="16">
      <c r="A16" t="inlineStr">
        <is>
          <t>KRAV-AUTO-000015</t>
        </is>
      </c>
      <c r="B16" t="inlineStr">
        <is>
          <t>ADMIN-INDEX-2026-02-27-00000000125C043F57453246863FE664CAFE6A3F0700950291EA24F0614FB6ACEDB12BF0E31D00000000010C0000950291EA24F0614FB6ACEDB12BF0E31D00002087B1E10000</t>
        </is>
      </c>
      <c r="C16" t="inlineStr">
        <is>
          <t>cmm4yumx10055cuqwd8rfxvty</t>
        </is>
      </c>
      <c r="D16" t="inlineStr">
        <is>
          <t>http://localhost:8787/api/admin/requirements/documents/cmm4yumx10055cuqwd8rfxvty/view</t>
        </is>
      </c>
      <c r="E16">
        <f>HYPERLÄNK("http://localhost:8787/api/admin/requirements/documents/cmm4yumx10055cuqwd8rfxvty/view";"Öppna PDF")</f>
        <v/>
      </c>
      <c r="F16">
        <f>HYPERLINK("http://localhost:8787/api/admin/requirements/documents/cmm4yumx10055cuqwd8rfxvty/view","Open PDF")</f>
        <v/>
      </c>
      <c r="G16" t="inlineStr">
        <is>
          <t>cmm55w57p0004cuisfrtpqly8</t>
        </is>
      </c>
      <c r="H16" t="inlineStr">
        <is>
          <t>Informationskrav</t>
        </is>
      </c>
      <c r="I16" t="inlineStr">
        <is>
          <t>Ytkonstruktion</t>
        </is>
      </c>
      <c r="J16" t="inlineStr">
        <is>
          <t>Tat yta</t>
        </is>
      </c>
      <c r="K16" t="inlineStr">
        <is>
          <t>• Om det använda avfallet behöver flyttas bort i framtiden ska det omhändertas på en godkänd avfallsanläggning eller användas för anläggningsändamål på annan plats efter anmälan till tillsynsmyndigheten.</t>
        </is>
      </c>
      <c r="L16" t="inlineStr">
        <is>
          <t>• Om det använda avfallet behöver flyttas bort i framtiden ska det omhändertas på en godkänd avfallsanläggning eller användas för anläggningsändamål på annan plats efter anmälan till tillsynsmyndigheten.</t>
        </is>
      </c>
      <c r="M16" t="inlineStr">
        <is>
          <t>SKA</t>
        </is>
      </c>
      <c r="N16" t="inlineStr"/>
      <c r="O16" t="inlineStr"/>
      <c r="P16" t="inlineStr"/>
      <c r="Q16" t="inlineStr"/>
      <c r="R16" t="inlineStr">
        <is>
          <t>Vid mellanlagring av avfall</t>
        </is>
      </c>
      <c r="S16" t="inlineStr"/>
      <c r="T16" t="inlineStr">
        <is>
          <t>02 2024</t>
        </is>
      </c>
      <c r="U16" t="inlineStr"/>
      <c r="V16" t="inlineStr"/>
      <c r="W16" t="inlineStr">
        <is>
          <t>Ja</t>
        </is>
      </c>
      <c r="X16" t="inlineStr">
        <is>
          <t>Nej</t>
        </is>
      </c>
      <c r="Y16" t="inlineStr">
        <is>
          <t>Nej</t>
        </is>
      </c>
      <c r="Z16" t="inlineStr">
        <is>
          <t>Nej</t>
        </is>
      </c>
      <c r="AA16" t="n">
        <v>5</v>
      </c>
      <c r="AB16" t="inlineStr">
        <is>
          <t>Teknisk beskrivning av platta</t>
        </is>
      </c>
      <c r="AC16" t="inlineStr">
        <is>
          <t>Teknisk ritning platta</t>
        </is>
      </c>
      <c r="AD16" t="inlineStr">
        <is>
          <t>Nej</t>
        </is>
      </c>
      <c r="AE16" t="inlineStr">
        <is>
          <t>Nej</t>
        </is>
      </c>
      <c r="AF16" t="inlineStr">
        <is>
          <t>Ej behandlad</t>
        </is>
      </c>
      <c r="AG16" t="inlineStr">
        <is>
          <t>AUTO_GENERERAD. Verifiera citat mot kallfil.</t>
        </is>
      </c>
      <c r="AH16" t="inlineStr">
        <is>
          <t>MEDIUM</t>
        </is>
      </c>
      <c r="AI16" t="inlineStr">
        <is>
          <t>AUTO</t>
        </is>
      </c>
      <c r="AJ16" t="inlineStr">
        <is>
          <t>Nej</t>
        </is>
      </c>
      <c r="AK16" t="inlineStr"/>
      <c r="AL16" t="inlineStr"/>
      <c r="AM16" t="inlineStr"/>
      <c r="AN16" t="inlineStr"/>
      <c r="AO16" t="inlineStr">
        <is>
          <t>cmm4yumxa005ecuqwd2rfqss7</t>
        </is>
      </c>
      <c r="AP16" t="inlineStr">
        <is>
          <t>http://localhost:8787/api/admin/requirements/documents/cmm4yumxa005ecuqwd2rfqss7/view</t>
        </is>
      </c>
      <c r="AQ16">
        <f>HYPERLÄNK("http://localhost:8787/api/admin/requirements/documents/cmm4yumxa005ecuqwd2rfqss7/view";"Öppna PDF")</f>
        <v/>
      </c>
      <c r="AR16">
        <f>HYPERLINK("http://localhost:8787/api/admin/requirements/documents/cmm4yumxa005ecuqwd2rfqss7/view","Open PDF")</f>
        <v/>
      </c>
      <c r="AS16" t="inlineStr">
        <is>
          <t>cmm55w57p0004cuisfrtpqly8</t>
        </is>
      </c>
      <c r="AT16" t="inlineStr">
        <is>
          <t>cmm4xvu980000cuh4vj0usz09</t>
        </is>
      </c>
      <c r="AU16" t="inlineStr">
        <is>
          <t>Västerviks</t>
        </is>
      </c>
      <c r="AV16" t="inlineStr">
        <is>
          <t>Kommun</t>
        </is>
      </c>
      <c r="AW16" t="inlineStr">
        <is>
          <t>Västerviks kommun</t>
        </is>
      </c>
      <c r="AX16" t="inlineStr">
        <is>
          <t>2024-05</t>
        </is>
      </c>
      <c r="AY16" t="inlineStr">
        <is>
          <t>Anmalan</t>
        </is>
      </c>
      <c r="AZ16" t="inlineStr">
        <is>
          <t>2026-02-02</t>
        </is>
      </c>
      <c r="BA16" t="inlineStr">
        <is>
          <t>2024-786 Anmälan.pdf</t>
        </is>
      </c>
      <c r="BB16" t="inlineStr">
        <is>
          <t>Sv: till registrator</t>
        </is>
      </c>
      <c r="BC16" t="inlineStr">
        <is>
          <t>AUTO</t>
        </is>
      </c>
      <c r="BD16" t="inlineStr"/>
      <c r="BE16" t="inlineStr"/>
      <c r="BF16" t="inlineStr">
        <is>
          <t>AUTO_GENERERAD. Bekrafta metadata mot kallfil.</t>
        </is>
      </c>
      <c r="BG16">
        <f>HYPERLINK("C:\Users\jimmy\Desktop\Examens arbete\Kod\Ny mapp\remix_-copy-of-miljöbeslut.se-portal\2024-786 Anmälan.pdf", "Öppna PDF")</f>
        <v/>
      </c>
    </row>
    <row r="17">
      <c r="A17" t="inlineStr">
        <is>
          <t>KRAV-AUTO-000016</t>
        </is>
      </c>
      <c r="B17" t="inlineStr">
        <is>
          <t>ADMIN-INDEX-2026-02-27-00000000125C043F57453246863FE664CAFE6A3F0700950291EA24F0614FB6ACEDB12BF0E31D00000000010C0000950291EA24F0614FB6ACEDB12BF0E31D00002087B1E10000</t>
        </is>
      </c>
      <c r="C17" t="inlineStr">
        <is>
          <t>cmm4yumx10055cuqwd8rfxvty</t>
        </is>
      </c>
      <c r="D17" t="inlineStr">
        <is>
          <t>http://localhost:8787/api/admin/requirements/documents/cmm4yumx10055cuqwd8rfxvty/view</t>
        </is>
      </c>
      <c r="E17">
        <f>HYPERLÄNK("http://localhost:8787/api/admin/requirements/documents/cmm4yumx10055cuqwd8rfxvty/view";"Öppna PDF")</f>
        <v/>
      </c>
      <c r="F17">
        <f>HYPERLINK("http://localhost:8787/api/admin/requirements/documents/cmm4yumx10055cuqwd8rfxvty/view","Open PDF")</f>
        <v/>
      </c>
      <c r="G17" t="inlineStr">
        <is>
          <t>cmm55w57p0004cuisfrtpqly8</t>
        </is>
      </c>
      <c r="H17" t="inlineStr">
        <is>
          <t>Informationskrav</t>
        </is>
      </c>
      <c r="I17" t="inlineStr">
        <is>
          <t>DagvattenLakvatten</t>
        </is>
      </c>
      <c r="J17" t="inlineStr">
        <is>
          <t>Uppsamling</t>
        </is>
      </c>
      <c r="K17" t="inlineStr">
        <is>
          <t>Förutsättningarna för att avfallet ska få användas är att syftet är anläggningsändamål och föroreningsrisken är liten.</t>
        </is>
      </c>
      <c r="L17" t="inlineStr">
        <is>
          <t>Förutsättningarna för att avfallet ska få användas är att syftet är anläggningsändamål och föroreningsrisken är liten.</t>
        </is>
      </c>
      <c r="M17" t="inlineStr">
        <is>
          <t>SKA</t>
        </is>
      </c>
      <c r="N17" t="inlineStr"/>
      <c r="O17" t="inlineStr"/>
      <c r="P17" t="inlineStr"/>
      <c r="Q17" t="inlineStr"/>
      <c r="R17" t="inlineStr">
        <is>
          <t>Vid nederbord och avrinning</t>
        </is>
      </c>
      <c r="S17" t="inlineStr"/>
      <c r="T17" t="inlineStr">
        <is>
          <t>02 2024</t>
        </is>
      </c>
      <c r="U17" t="inlineStr"/>
      <c r="V17" t="inlineStr"/>
      <c r="W17" t="inlineStr">
        <is>
          <t>Nej</t>
        </is>
      </c>
      <c r="X17" t="inlineStr">
        <is>
          <t>Ja</t>
        </is>
      </c>
      <c r="Y17" t="inlineStr">
        <is>
          <t>Ja</t>
        </is>
      </c>
      <c r="Z17" t="inlineStr">
        <is>
          <t>Nej</t>
        </is>
      </c>
      <c r="AA17" t="n">
        <v>6</v>
      </c>
      <c r="AB17" t="inlineStr">
        <is>
          <t>Lakvattenhantering</t>
        </is>
      </c>
      <c r="AC17" t="inlineStr">
        <is>
          <t>Flodesschema dagvatten-lakvatten</t>
        </is>
      </c>
      <c r="AD17" t="inlineStr">
        <is>
          <t>Nej</t>
        </is>
      </c>
      <c r="AE17" t="inlineStr">
        <is>
          <t>Nej</t>
        </is>
      </c>
      <c r="AF17" t="inlineStr">
        <is>
          <t>Ej behandlad</t>
        </is>
      </c>
      <c r="AG17" t="inlineStr">
        <is>
          <t>AUTO_GENERERAD. Verifiera citat mot kallfil.</t>
        </is>
      </c>
      <c r="AH17" t="inlineStr">
        <is>
          <t>MEDIUM</t>
        </is>
      </c>
      <c r="AI17" t="inlineStr">
        <is>
          <t>AUTO</t>
        </is>
      </c>
      <c r="AJ17" t="inlineStr">
        <is>
          <t>Nej</t>
        </is>
      </c>
      <c r="AK17" t="inlineStr"/>
      <c r="AL17" t="inlineStr"/>
      <c r="AM17" t="inlineStr"/>
      <c r="AN17" t="inlineStr"/>
      <c r="AO17" t="inlineStr">
        <is>
          <t>cmm4yumxa005ecuqwd2rfqss7</t>
        </is>
      </c>
      <c r="AP17" t="inlineStr">
        <is>
          <t>http://localhost:8787/api/admin/requirements/documents/cmm4yumxa005ecuqwd2rfqss7/view</t>
        </is>
      </c>
      <c r="AQ17">
        <f>HYPERLÄNK("http://localhost:8787/api/admin/requirements/documents/cmm4yumxa005ecuqwd2rfqss7/view";"Öppna PDF")</f>
        <v/>
      </c>
      <c r="AR17">
        <f>HYPERLINK("http://localhost:8787/api/admin/requirements/documents/cmm4yumxa005ecuqwd2rfqss7/view","Open PDF")</f>
        <v/>
      </c>
      <c r="AS17" t="inlineStr">
        <is>
          <t>cmm55w57p0004cuisfrtpqly8</t>
        </is>
      </c>
      <c r="AT17" t="inlineStr">
        <is>
          <t>cmm4xvu980000cuh4vj0usz09</t>
        </is>
      </c>
      <c r="AU17" t="inlineStr">
        <is>
          <t>Västerviks</t>
        </is>
      </c>
      <c r="AV17" t="inlineStr">
        <is>
          <t>Kommun</t>
        </is>
      </c>
      <c r="AW17" t="inlineStr">
        <is>
          <t>Västerviks kommun</t>
        </is>
      </c>
      <c r="AX17" t="inlineStr">
        <is>
          <t>2024-05</t>
        </is>
      </c>
      <c r="AY17" t="inlineStr">
        <is>
          <t>Anmalan</t>
        </is>
      </c>
      <c r="AZ17" t="inlineStr">
        <is>
          <t>2026-02-02</t>
        </is>
      </c>
      <c r="BA17" t="inlineStr">
        <is>
          <t>2024-786 Anmälan.pdf</t>
        </is>
      </c>
      <c r="BB17" t="inlineStr">
        <is>
          <t>Sv: till registrator</t>
        </is>
      </c>
      <c r="BC17" t="inlineStr">
        <is>
          <t>AUTO</t>
        </is>
      </c>
      <c r="BD17" t="inlineStr"/>
      <c r="BE17" t="inlineStr"/>
      <c r="BF17" t="inlineStr">
        <is>
          <t>AUTO_GENERERAD. Bekrafta metadata mot kallfil.</t>
        </is>
      </c>
      <c r="BG17">
        <f>HYPERLINK("C:\Users\jimmy\Desktop\Examens arbete\Kod\Ny mapp\remix_-copy-of-miljöbeslut.se-portal\2024-786 Anmälan.pdf", "Öppna PDF")</f>
        <v/>
      </c>
    </row>
    <row r="18">
      <c r="A18" t="inlineStr">
        <is>
          <t>KRAV-AUTO-000017</t>
        </is>
      </c>
      <c r="B18" t="inlineStr">
        <is>
          <t>ADMIN-INDEX-2026-02-27-00000000125C043F57453246863FE664CAFE6A3F0700950291EA24F0614FB6ACEDB12BF0E31D00000000010C0000950291EA24F0614FB6ACEDB12BF0E31D00002087B1D20000</t>
        </is>
      </c>
      <c r="C18" t="inlineStr">
        <is>
          <t>cmm4yumyw0072cuqw88y4d47i</t>
        </is>
      </c>
      <c r="D18" t="inlineStr">
        <is>
          <t>http://localhost:8787/api/admin/requirements/documents/cmm4yumyw0072cuqw88y4d47i/view</t>
        </is>
      </c>
      <c r="E18">
        <f>HYPERLÄNK("http://localhost:8787/api/admin/requirements/documents/cmm4yumyw0072cuqw88y4d47i/view";"Öppna PDF")</f>
        <v/>
      </c>
      <c r="F18">
        <f>HYPERLINK("http://localhost:8787/api/admin/requirements/documents/cmm4yumyw0072cuqw88y4d47i/view","Open PDF")</f>
        <v/>
      </c>
      <c r="G18" t="inlineStr">
        <is>
          <t>cmm55w57p0004cuisfrtpqly8</t>
        </is>
      </c>
      <c r="H18" t="inlineStr">
        <is>
          <t>Beslutsvillkor</t>
        </is>
      </c>
      <c r="I18" t="inlineStr">
        <is>
          <t>Riskhantering</t>
        </is>
      </c>
      <c r="J18" t="inlineStr">
        <is>
          <t>Riskkontroll</t>
        </is>
      </c>
      <c r="K18" t="inlineStr">
        <is>
          <t>7 § Verksamhetsutövaren skall förteckna de kemiska produkter samt biotekniska organismer som hanteras inom verksamheten och som kan innebära risker från hälso- eller miljösynpunkt.</t>
        </is>
      </c>
      <c r="L18" t="inlineStr">
        <is>
          <t>7 § Verksamhetsutövaren skall förteckna de kemiska produkter samt biotekniska organismer som hanteras inom verksamheten och som kan innebära risker från hälso- eller miljösynpunkt.</t>
        </is>
      </c>
      <c r="M18" t="inlineStr">
        <is>
          <t>SKA</t>
        </is>
      </c>
      <c r="N18" t="inlineStr"/>
      <c r="O18" t="inlineStr"/>
      <c r="P18" t="inlineStr"/>
      <c r="Q18" t="inlineStr"/>
      <c r="R18" t="inlineStr">
        <is>
          <t>Vid risk for incident</t>
        </is>
      </c>
      <c r="S18" t="inlineStr"/>
      <c r="T18" t="inlineStr">
        <is>
          <t>88 63 89</t>
        </is>
      </c>
      <c r="U18" t="inlineStr"/>
      <c r="V18" t="inlineStr"/>
      <c r="W18" t="inlineStr">
        <is>
          <t>Nej</t>
        </is>
      </c>
      <c r="X18" t="inlineStr">
        <is>
          <t>Nej</t>
        </is>
      </c>
      <c r="Y18" t="inlineStr">
        <is>
          <t>Ja</t>
        </is>
      </c>
      <c r="Z18" t="inlineStr">
        <is>
          <t>Ja</t>
        </is>
      </c>
      <c r="AA18" t="n">
        <v>8</v>
      </c>
      <c r="AB18" t="inlineStr">
        <is>
          <t>Riskhantering</t>
        </is>
      </c>
      <c r="AC18" t="inlineStr">
        <is>
          <t>Risk-PM</t>
        </is>
      </c>
      <c r="AD18" t="inlineStr">
        <is>
          <t>Nej</t>
        </is>
      </c>
      <c r="AE18" t="inlineStr">
        <is>
          <t>Nej</t>
        </is>
      </c>
      <c r="AF18" t="inlineStr">
        <is>
          <t>Ej behandlad</t>
        </is>
      </c>
      <c r="AG18" t="inlineStr">
        <is>
          <t>AUTO_GENERERAD. Verifiera citat mot kallfil.</t>
        </is>
      </c>
      <c r="AH18" t="inlineStr">
        <is>
          <t>MEDIUM</t>
        </is>
      </c>
      <c r="AI18" t="inlineStr">
        <is>
          <t>AUTO</t>
        </is>
      </c>
      <c r="AJ18" t="inlineStr">
        <is>
          <t>Nej</t>
        </is>
      </c>
      <c r="AK18" t="inlineStr"/>
      <c r="AL18" t="inlineStr"/>
      <c r="AM18" t="inlineStr"/>
      <c r="AN18" t="inlineStr"/>
      <c r="AO18" t="inlineStr">
        <is>
          <t>cmm4yumyz0075cuqwsj0akxcx</t>
        </is>
      </c>
      <c r="AP18" t="inlineStr">
        <is>
          <t>http://localhost:8787/api/admin/requirements/documents/cmm4yumyz0075cuqwsj0akxcx/view</t>
        </is>
      </c>
      <c r="AQ18">
        <f>HYPERLÄNK("http://localhost:8787/api/admin/requirements/documents/cmm4yumyz0075cuqwsj0akxcx/view";"Öppna PDF")</f>
        <v/>
      </c>
      <c r="AR18">
        <f>HYPERLINK("http://localhost:8787/api/admin/requirements/documents/cmm4yumyz0075cuqwsj0akxcx/view","Open PDF")</f>
        <v/>
      </c>
      <c r="AS18" t="inlineStr">
        <is>
          <t>cmm55w57p0004cuisfrtpqly8</t>
        </is>
      </c>
      <c r="AT18" t="inlineStr">
        <is>
          <t>cmm4xvu980000cuh4vj0usz09</t>
        </is>
      </c>
      <c r="AU18" t="inlineStr">
        <is>
          <t>Falkenberg Postadress Falkenbergs</t>
        </is>
      </c>
      <c r="AV18" t="inlineStr">
        <is>
          <t>Kommun</t>
        </is>
      </c>
      <c r="AW18" t="inlineStr">
        <is>
          <t>Falkenberg Postadress Falkenbergs kommun</t>
        </is>
      </c>
      <c r="AX18" t="inlineStr">
        <is>
          <t>2025-02</t>
        </is>
      </c>
      <c r="AY18" t="inlineStr">
        <is>
          <t>Beslut</t>
        </is>
      </c>
      <c r="AZ18" t="inlineStr">
        <is>
          <t>2026-02-03</t>
        </is>
      </c>
      <c r="BA18" t="inlineStr">
        <is>
          <t>M-2024-2727_2025-01-10_Beslut (MHF MHN)_Västra Gärdet 2 1.pdf</t>
        </is>
      </c>
      <c r="BB18" t="inlineStr">
        <is>
          <t>efterfrågade handlingar</t>
        </is>
      </c>
      <c r="BC18" t="inlineStr">
        <is>
          <t>AUTO</t>
        </is>
      </c>
      <c r="BD18" t="inlineStr"/>
      <c r="BE18" t="inlineStr"/>
      <c r="BF18" t="inlineStr">
        <is>
          <t>AUTO_GENERERAD. Bekrafta metadata mot kallfil.</t>
        </is>
      </c>
      <c r="BG18">
        <f>HYPERLINK("C:\Users\jimmy\Desktop\Examens arbete\Kod\Ny mapp\remix_-copy-of-miljöbeslut.se-portal\M-2024-2727_2025-01-10_Beslut (MHF MHN)_Västra Gärdet 2 1.pdf", "Öppna PDF")</f>
        <v/>
      </c>
    </row>
    <row r="19">
      <c r="A19" t="inlineStr">
        <is>
          <t>KRAV-AUTO-000018</t>
        </is>
      </c>
      <c r="B19" t="inlineStr">
        <is>
          <t>ADMIN-INDEX-2026-02-27-00000000125C043F57453246863FE664CAFE6A3F0700950291EA24F0614FB6ACEDB12BF0E31D00000000010C0000950291EA24F0614FB6ACEDB12BF0E31D00002087B1D20000</t>
        </is>
      </c>
      <c r="C19" t="inlineStr">
        <is>
          <t>cmm4yumyw0072cuqw88y4d47i</t>
        </is>
      </c>
      <c r="D19" t="inlineStr">
        <is>
          <t>http://localhost:8787/api/admin/requirements/documents/cmm4yumyw0072cuqw88y4d47i/view</t>
        </is>
      </c>
      <c r="E19">
        <f>HYPERLÄNK("http://localhost:8787/api/admin/requirements/documents/cmm4yumyw0072cuqw88y4d47i/view";"Öppna PDF")</f>
        <v/>
      </c>
      <c r="F19">
        <f>HYPERLINK("http://localhost:8787/api/admin/requirements/documents/cmm4yumyw0072cuqw88y4d47i/view","Open PDF")</f>
        <v/>
      </c>
      <c r="G19" t="inlineStr">
        <is>
          <t>cmm55w57p0004cuisfrtpqly8</t>
        </is>
      </c>
      <c r="H19" t="inlineStr">
        <is>
          <t>Beslutsvillkor</t>
        </is>
      </c>
      <c r="I19" t="inlineStr">
        <is>
          <t>DriftEgenkontroll</t>
        </is>
      </c>
      <c r="J19" t="inlineStr">
        <is>
          <t>Journalforing</t>
        </is>
      </c>
      <c r="K19" t="inlineStr">
        <is>
          <t>Förordning (1998:901) om verksamhetsutövares egenkontroll 6 § Verksamhetsutövaren skall fortlöpande och systematiskt undersöka och bedöma riskerna med verksamheten från hälso- och miljösynpunkt.</t>
        </is>
      </c>
      <c r="L19" t="inlineStr">
        <is>
          <t>Förordning (1998:901) om verksamhetsutövares egenkontroll 6 § Verksamhetsutövaren skall fortlöpande och systematiskt undersöka och bedöma riskerna med verksamheten från hälso- och miljösynpunkt.</t>
        </is>
      </c>
      <c r="M19" t="inlineStr">
        <is>
          <t>SKA</t>
        </is>
      </c>
      <c r="N19" t="inlineStr"/>
      <c r="O19" t="inlineStr"/>
      <c r="P19" t="inlineStr">
        <is>
          <t>Lopande</t>
        </is>
      </c>
      <c r="Q19" t="inlineStr"/>
      <c r="R19" t="inlineStr">
        <is>
          <t>Lopande drift</t>
        </is>
      </c>
      <c r="S19" t="inlineStr"/>
      <c r="T19" t="inlineStr">
        <is>
          <t>88 63 89</t>
        </is>
      </c>
      <c r="U19" t="inlineStr"/>
      <c r="V19" t="inlineStr"/>
      <c r="W19" t="inlineStr">
        <is>
          <t>Nej</t>
        </is>
      </c>
      <c r="X19" t="inlineStr">
        <is>
          <t>Nej</t>
        </is>
      </c>
      <c r="Y19" t="inlineStr">
        <is>
          <t>Ja</t>
        </is>
      </c>
      <c r="Z19" t="inlineStr">
        <is>
          <t>Nej</t>
        </is>
      </c>
      <c r="AA19" t="n">
        <v>7</v>
      </c>
      <c r="AB19" t="inlineStr">
        <is>
          <t>Egenkontrollrutiner</t>
        </is>
      </c>
      <c r="AC19" t="inlineStr">
        <is>
          <t>Egenkontrollprogram</t>
        </is>
      </c>
      <c r="AD19" t="inlineStr">
        <is>
          <t>Nej</t>
        </is>
      </c>
      <c r="AE19" t="inlineStr">
        <is>
          <t>Nej</t>
        </is>
      </c>
      <c r="AF19" t="inlineStr">
        <is>
          <t>Ej behandlad</t>
        </is>
      </c>
      <c r="AG19" t="inlineStr">
        <is>
          <t>AUTO_GENERERAD. Verifiera citat mot kallfil.</t>
        </is>
      </c>
      <c r="AH19" t="inlineStr">
        <is>
          <t>MEDIUM</t>
        </is>
      </c>
      <c r="AI19" t="inlineStr">
        <is>
          <t>AUTO</t>
        </is>
      </c>
      <c r="AJ19" t="inlineStr">
        <is>
          <t>Nej</t>
        </is>
      </c>
      <c r="AK19" t="inlineStr"/>
      <c r="AL19" t="inlineStr"/>
      <c r="AM19" t="inlineStr"/>
      <c r="AN19" t="inlineStr"/>
      <c r="AO19" t="inlineStr">
        <is>
          <t>cmm4yumyz0075cuqwsj0akxcx</t>
        </is>
      </c>
      <c r="AP19" t="inlineStr">
        <is>
          <t>http://localhost:8787/api/admin/requirements/documents/cmm4yumyz0075cuqwsj0akxcx/view</t>
        </is>
      </c>
      <c r="AQ19">
        <f>HYPERLÄNK("http://localhost:8787/api/admin/requirements/documents/cmm4yumyz0075cuqwsj0akxcx/view";"Öppna PDF")</f>
        <v/>
      </c>
      <c r="AR19">
        <f>HYPERLINK("http://localhost:8787/api/admin/requirements/documents/cmm4yumyz0075cuqwsj0akxcx/view","Open PDF")</f>
        <v/>
      </c>
      <c r="AS19" t="inlineStr">
        <is>
          <t>cmm55w57p0004cuisfrtpqly8</t>
        </is>
      </c>
      <c r="AT19" t="inlineStr">
        <is>
          <t>cmm4xvu980000cuh4vj0usz09</t>
        </is>
      </c>
      <c r="AU19" t="inlineStr">
        <is>
          <t>Falkenberg Postadress Falkenbergs</t>
        </is>
      </c>
      <c r="AV19" t="inlineStr">
        <is>
          <t>Kommun</t>
        </is>
      </c>
      <c r="AW19" t="inlineStr">
        <is>
          <t>Falkenberg Postadress Falkenbergs kommun</t>
        </is>
      </c>
      <c r="AX19" t="inlineStr">
        <is>
          <t>2025-02</t>
        </is>
      </c>
      <c r="AY19" t="inlineStr">
        <is>
          <t>Beslut</t>
        </is>
      </c>
      <c r="AZ19" t="inlineStr">
        <is>
          <t>2026-02-03</t>
        </is>
      </c>
      <c r="BA19" t="inlineStr">
        <is>
          <t>M-2024-2727_2025-01-10_Beslut (MHF MHN)_Västra Gärdet 2 1.pdf</t>
        </is>
      </c>
      <c r="BB19" t="inlineStr">
        <is>
          <t>efterfrågade handlingar</t>
        </is>
      </c>
      <c r="BC19" t="inlineStr">
        <is>
          <t>AUTO</t>
        </is>
      </c>
      <c r="BD19" t="inlineStr"/>
      <c r="BE19" t="inlineStr"/>
      <c r="BF19" t="inlineStr">
        <is>
          <t>AUTO_GENERERAD. Bekrafta metadata mot kallfil.</t>
        </is>
      </c>
      <c r="BG19">
        <f>HYPERLINK("C:\Users\jimmy\Desktop\Examens arbete\Kod\Ny mapp\remix_-copy-of-miljöbeslut.se-portal\M-2024-2727_2025-01-10_Beslut (MHF MHN)_Västra Gärdet 2 1.pdf", "Öppna PDF")</f>
        <v/>
      </c>
    </row>
    <row r="20">
      <c r="A20" t="inlineStr">
        <is>
          <t>KRAV-AUTO-000019</t>
        </is>
      </c>
      <c r="B20" t="inlineStr">
        <is>
          <t>ADMIN-INDEX-2026-02-27-00000000125C043F57453246863FE664CAFE6A3F0700950291EA24F0614FB6ACEDB12BF0E31D00000000010C0000950291EA24F0614FB6ACEDB12BF0E31D00002087B1D20000</t>
        </is>
      </c>
      <c r="C20" t="inlineStr">
        <is>
          <t>cmm4yumyw0072cuqw88y4d47i</t>
        </is>
      </c>
      <c r="D20" t="inlineStr">
        <is>
          <t>http://localhost:8787/api/admin/requirements/documents/cmm4yumyw0072cuqw88y4d47i/view</t>
        </is>
      </c>
      <c r="E20">
        <f>HYPERLÄNK("http://localhost:8787/api/admin/requirements/documents/cmm4yumyw0072cuqw88y4d47i/view";"Öppna PDF")</f>
        <v/>
      </c>
      <c r="F20">
        <f>HYPERLINK("http://localhost:8787/api/admin/requirements/documents/cmm4yumyw0072cuqw88y4d47i/view","Open PDF")</f>
        <v/>
      </c>
      <c r="G20" t="inlineStr">
        <is>
          <t>cmm55w57p0004cuisfrtpqly8</t>
        </is>
      </c>
      <c r="H20" t="inlineStr">
        <is>
          <t>Beslutsvillkor</t>
        </is>
      </c>
      <c r="I20" t="inlineStr">
        <is>
          <t>DagvattenLakvatten</t>
        </is>
      </c>
      <c r="J20" t="inlineStr">
        <is>
          <t>Uppsamling</t>
        </is>
      </c>
      <c r="K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0" t="inlineStr">
        <is>
          <t>SKA</t>
        </is>
      </c>
      <c r="N20" t="inlineStr"/>
      <c r="O20" t="inlineStr"/>
      <c r="P20" t="inlineStr"/>
      <c r="Q20" t="inlineStr"/>
      <c r="R20" t="inlineStr">
        <is>
          <t>Vid nederbord och avrinning</t>
        </is>
      </c>
      <c r="S20" t="inlineStr"/>
      <c r="T20" t="inlineStr">
        <is>
          <t>88 63 89</t>
        </is>
      </c>
      <c r="U20" t="inlineStr"/>
      <c r="V20" t="inlineStr"/>
      <c r="W20" t="inlineStr">
        <is>
          <t>Nej</t>
        </is>
      </c>
      <c r="X20" t="inlineStr">
        <is>
          <t>Ja</t>
        </is>
      </c>
      <c r="Y20" t="inlineStr">
        <is>
          <t>Ja</t>
        </is>
      </c>
      <c r="Z20" t="inlineStr">
        <is>
          <t>Nej</t>
        </is>
      </c>
      <c r="AA20" t="n">
        <v>6</v>
      </c>
      <c r="AB20" t="inlineStr">
        <is>
          <t>Lakvattenhantering</t>
        </is>
      </c>
      <c r="AC20" t="inlineStr">
        <is>
          <t>Flodesschema dagvatten-lakvatten</t>
        </is>
      </c>
      <c r="AD20" t="inlineStr">
        <is>
          <t>Nej</t>
        </is>
      </c>
      <c r="AE20" t="inlineStr">
        <is>
          <t>Nej</t>
        </is>
      </c>
      <c r="AF20" t="inlineStr">
        <is>
          <t>Ej behandlad</t>
        </is>
      </c>
      <c r="AG20" t="inlineStr">
        <is>
          <t>AUTO_GENERERAD. Verifiera citat mot kallfil.</t>
        </is>
      </c>
      <c r="AH20" t="inlineStr">
        <is>
          <t>MEDIUM</t>
        </is>
      </c>
      <c r="AI20" t="inlineStr">
        <is>
          <t>AUTO</t>
        </is>
      </c>
      <c r="AJ20" t="inlineStr">
        <is>
          <t>Nej</t>
        </is>
      </c>
      <c r="AK20" t="inlineStr"/>
      <c r="AL20" t="inlineStr"/>
      <c r="AM20" t="inlineStr"/>
      <c r="AN20" t="inlineStr"/>
      <c r="AO20" t="inlineStr">
        <is>
          <t>cmm4yumyz0075cuqwsj0akxcx</t>
        </is>
      </c>
      <c r="AP20" t="inlineStr">
        <is>
          <t>http://localhost:8787/api/admin/requirements/documents/cmm4yumyz0075cuqwsj0akxcx/view</t>
        </is>
      </c>
      <c r="AQ20">
        <f>HYPERLÄNK("http://localhost:8787/api/admin/requirements/documents/cmm4yumyz0075cuqwsj0akxcx/view";"Öppna PDF")</f>
        <v/>
      </c>
      <c r="AR20">
        <f>HYPERLINK("http://localhost:8787/api/admin/requirements/documents/cmm4yumyz0075cuqwsj0akxcx/view","Open PDF")</f>
        <v/>
      </c>
      <c r="AS20" t="inlineStr">
        <is>
          <t>cmm55w57p0004cuisfrtpqly8</t>
        </is>
      </c>
      <c r="AT20" t="inlineStr">
        <is>
          <t>cmm4xvu980000cuh4vj0usz09</t>
        </is>
      </c>
      <c r="AU20" t="inlineStr">
        <is>
          <t>Falkenberg Postadress Falkenbergs</t>
        </is>
      </c>
      <c r="AV20" t="inlineStr">
        <is>
          <t>Kommun</t>
        </is>
      </c>
      <c r="AW20" t="inlineStr">
        <is>
          <t>Falkenberg Postadress Falkenbergs kommun</t>
        </is>
      </c>
      <c r="AX20" t="inlineStr">
        <is>
          <t>2025-02</t>
        </is>
      </c>
      <c r="AY20" t="inlineStr">
        <is>
          <t>Beslut</t>
        </is>
      </c>
      <c r="AZ20" t="inlineStr">
        <is>
          <t>2026-02-03</t>
        </is>
      </c>
      <c r="BA20" t="inlineStr">
        <is>
          <t>M-2024-2727_2025-01-10_Beslut (MHF MHN)_Västra Gärdet 2 1.pdf</t>
        </is>
      </c>
      <c r="BB20" t="inlineStr">
        <is>
          <t>efterfrågade handlingar</t>
        </is>
      </c>
      <c r="BC20" t="inlineStr">
        <is>
          <t>AUTO</t>
        </is>
      </c>
      <c r="BD20" t="inlineStr"/>
      <c r="BE20" t="inlineStr"/>
      <c r="BF20" t="inlineStr">
        <is>
          <t>AUTO_GENERERAD. Bekrafta metadata mot kallfil.</t>
        </is>
      </c>
      <c r="BG20">
        <f>HYPERLINK("C:\Users\jimmy\Desktop\Examens arbete\Kod\Ny mapp\remix_-copy-of-miljöbeslut.se-portal\M-2024-2727_2025-01-10_Beslut (MHF MHN)_Västra Gärdet 2 1.pdf", "Öppna PDF")</f>
        <v/>
      </c>
    </row>
    <row r="21">
      <c r="A21" t="inlineStr">
        <is>
          <t>KRAV-AUTO-000020</t>
        </is>
      </c>
      <c r="B21" t="inlineStr">
        <is>
          <t>ADMIN-INDEX-2026-02-27-00000000125C043F57453246863FE664CAFE6A3F0700950291EA24F0614FB6ACEDB12BF0E31D00000000010C0000950291EA24F0614FB6ACEDB12BF0E31D00002087B1D20000</t>
        </is>
      </c>
      <c r="C21" t="inlineStr">
        <is>
          <t>cmm4yumyr006zcuqwfswammup</t>
        </is>
      </c>
      <c r="D21" t="inlineStr">
        <is>
          <t>http://localhost:8787/api/admin/requirements/documents/cmm4yumyr006zcuqwfswammup/view</t>
        </is>
      </c>
      <c r="E21">
        <f>HYPERLÄNK("http://localhost:8787/api/admin/requirements/documents/cmm4yumyr006zcuqwfswammup/view";"Öppna PDF")</f>
        <v/>
      </c>
      <c r="F21">
        <f>HYPERLINK("http://localhost:8787/api/admin/requirements/documents/cmm4yumyr006zcuqwfswammup/view","Open PDF")</f>
        <v/>
      </c>
      <c r="G21" t="inlineStr">
        <is>
          <t>cmm55w57p0004cuisfrtpqly8</t>
        </is>
      </c>
      <c r="H21" t="inlineStr">
        <is>
          <t>Beslutsvillkor</t>
        </is>
      </c>
      <c r="I21" t="inlineStr">
        <is>
          <t>DagvattenLakvatten</t>
        </is>
      </c>
      <c r="J21" t="inlineStr">
        <is>
          <t>Uppsamling</t>
        </is>
      </c>
      <c r="K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från verksamhetens oljeavskiljare ska klara de riktvärden som anges i Dagvattenanvisningar för Falkenbergs och Varbergs kommuner.</t>
        </is>
      </c>
      <c r="L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t>
        </is>
      </c>
      <c r="M21" t="inlineStr">
        <is>
          <t>SKA</t>
        </is>
      </c>
      <c r="N21" t="inlineStr"/>
      <c r="O21" t="inlineStr"/>
      <c r="P21" t="inlineStr"/>
      <c r="Q21" t="inlineStr"/>
      <c r="R21" t="inlineStr">
        <is>
          <t>Vid nederbord och avrinning</t>
        </is>
      </c>
      <c r="S21" t="inlineStr"/>
      <c r="T21" t="inlineStr">
        <is>
          <t>88 63 89</t>
        </is>
      </c>
      <c r="U21" t="inlineStr"/>
      <c r="V21" t="inlineStr"/>
      <c r="W21" t="inlineStr">
        <is>
          <t>Nej</t>
        </is>
      </c>
      <c r="X21" t="inlineStr">
        <is>
          <t>Ja</t>
        </is>
      </c>
      <c r="Y21" t="inlineStr">
        <is>
          <t>Ja</t>
        </is>
      </c>
      <c r="Z21" t="inlineStr">
        <is>
          <t>Nej</t>
        </is>
      </c>
      <c r="AA21" t="n">
        <v>6</v>
      </c>
      <c r="AB21" t="inlineStr">
        <is>
          <t>Lakvattenhantering</t>
        </is>
      </c>
      <c r="AC21" t="inlineStr">
        <is>
          <t>Flodesschema dagvatten-lakvatten</t>
        </is>
      </c>
      <c r="AD21" t="inlineStr">
        <is>
          <t>Nej</t>
        </is>
      </c>
      <c r="AE21" t="inlineStr">
        <is>
          <t>Nej</t>
        </is>
      </c>
      <c r="AF21" t="inlineStr">
        <is>
          <t>Ej behandlad</t>
        </is>
      </c>
      <c r="AG21" t="inlineStr">
        <is>
          <t>AUTO_GENERERAD. Verifiera citat mot kallfil.</t>
        </is>
      </c>
      <c r="AH21" t="inlineStr">
        <is>
          <t>MEDIUM</t>
        </is>
      </c>
      <c r="AI21" t="inlineStr">
        <is>
          <t>AUTO</t>
        </is>
      </c>
      <c r="AJ21" t="inlineStr">
        <is>
          <t>Nej</t>
        </is>
      </c>
      <c r="AK21" t="inlineStr"/>
      <c r="AL21" t="inlineStr"/>
      <c r="AM21" t="inlineStr"/>
      <c r="AN21" t="inlineStr"/>
      <c r="AO21" t="inlineStr">
        <is>
          <t>cmm4yumyz0075cuqwsj0akxcx</t>
        </is>
      </c>
      <c r="AP21" t="inlineStr">
        <is>
          <t>http://localhost:8787/api/admin/requirements/documents/cmm4yumyz0075cuqwsj0akxcx/view</t>
        </is>
      </c>
      <c r="AQ21">
        <f>HYPERLÄNK("http://localhost:8787/api/admin/requirements/documents/cmm4yumyz0075cuqwsj0akxcx/view";"Öppna PDF")</f>
        <v/>
      </c>
      <c r="AR21">
        <f>HYPERLINK("http://localhost:8787/api/admin/requirements/documents/cmm4yumyz0075cuqwsj0akxcx/view","Open PDF")</f>
        <v/>
      </c>
      <c r="AS21" t="inlineStr">
        <is>
          <t>cmm55w57p0004cuisfrtpqly8</t>
        </is>
      </c>
      <c r="AT21" t="inlineStr">
        <is>
          <t>cmm4xvu980000cuh4vj0usz09</t>
        </is>
      </c>
      <c r="AU21" t="inlineStr">
        <is>
          <t>Falkenberg Postadress Falkenbergs</t>
        </is>
      </c>
      <c r="AV21" t="inlineStr">
        <is>
          <t>Kommun</t>
        </is>
      </c>
      <c r="AW21" t="inlineStr">
        <is>
          <t>Falkenberg Postadress Falkenbergs kommun</t>
        </is>
      </c>
      <c r="AX21" t="inlineStr">
        <is>
          <t>2025-02</t>
        </is>
      </c>
      <c r="AY21" t="inlineStr">
        <is>
          <t>Beslut</t>
        </is>
      </c>
      <c r="AZ21" t="inlineStr">
        <is>
          <t>2026-02-03</t>
        </is>
      </c>
      <c r="BA21" t="inlineStr">
        <is>
          <t>M-2024-2727_2025-01-10_Beslut (MHF MHN)_Västra Gärdet 2 1.pdf</t>
        </is>
      </c>
      <c r="BB21" t="inlineStr">
        <is>
          <t>efterfrågade handlingar</t>
        </is>
      </c>
      <c r="BC21" t="inlineStr">
        <is>
          <t>AUTO</t>
        </is>
      </c>
      <c r="BD21" t="inlineStr"/>
      <c r="BE21" t="inlineStr"/>
      <c r="BF21" t="inlineStr">
        <is>
          <t>AUTO_GENERERAD. Bekrafta metadata mot kallfil.</t>
        </is>
      </c>
      <c r="BG21">
        <f>HYPERLINK("C:\Users\jimmy\Desktop\Examens arbete\Kod\Ny mapp\remix_-copy-of-miljöbeslut.se-portal\M-2024-2727_2025-01-10_Beslut (MHF MHN)_Västra Gärdet 2 1.pdf", "Öppna PDF")</f>
        <v/>
      </c>
    </row>
    <row r="22">
      <c r="A22" t="inlineStr">
        <is>
          <t>KRAV-AUTO-000021</t>
        </is>
      </c>
      <c r="B22" t="inlineStr">
        <is>
          <t>ADMIN-INDEX-2026-02-27-00000000125C043F57453246863FE664CAFE6A3F0700950291EA24F0614FB6ACEDB12BF0E31D00000000010C0000950291EA24F0614FB6ACEDB12BF0E31D00002087B1D20000</t>
        </is>
      </c>
      <c r="C22" t="inlineStr">
        <is>
          <t>cmm4yumyr006zcuqwfswammup</t>
        </is>
      </c>
      <c r="D22" t="inlineStr">
        <is>
          <t>http://localhost:8787/api/admin/requirements/documents/cmm4yumyr006zcuqwfswammup/view</t>
        </is>
      </c>
      <c r="E22">
        <f>HYPERLÄNK("http://localhost:8787/api/admin/requirements/documents/cmm4yumyr006zcuqwfswammup/view";"Öppna PDF")</f>
        <v/>
      </c>
      <c r="F22">
        <f>HYPERLINK("http://localhost:8787/api/admin/requirements/documents/cmm4yumyr006zcuqwfswammup/view","Open PDF")</f>
        <v/>
      </c>
      <c r="G22" t="inlineStr">
        <is>
          <t>cmm55w57p0004cuisfrtpqly8</t>
        </is>
      </c>
      <c r="H22" t="inlineStr">
        <is>
          <t>Beslutsvillkor</t>
        </is>
      </c>
      <c r="I22" t="inlineStr">
        <is>
          <t>DagvattenLakvatten</t>
        </is>
      </c>
      <c r="J22" t="inlineStr">
        <is>
          <t>Uppsamling</t>
        </is>
      </c>
      <c r="K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2" t="inlineStr">
        <is>
          <t>SKA</t>
        </is>
      </c>
      <c r="N22" t="inlineStr"/>
      <c r="O22" t="inlineStr"/>
      <c r="P22" t="inlineStr"/>
      <c r="Q22" t="inlineStr"/>
      <c r="R22" t="inlineStr">
        <is>
          <t>Vid nederbord och avrinning</t>
        </is>
      </c>
      <c r="S22" t="inlineStr"/>
      <c r="T22" t="inlineStr">
        <is>
          <t>88 63 89</t>
        </is>
      </c>
      <c r="U22" t="inlineStr"/>
      <c r="V22" t="inlineStr"/>
      <c r="W22" t="inlineStr">
        <is>
          <t>Nej</t>
        </is>
      </c>
      <c r="X22" t="inlineStr">
        <is>
          <t>Ja</t>
        </is>
      </c>
      <c r="Y22" t="inlineStr">
        <is>
          <t>Ja</t>
        </is>
      </c>
      <c r="Z22" t="inlineStr">
        <is>
          <t>Nej</t>
        </is>
      </c>
      <c r="AA22" t="n">
        <v>6</v>
      </c>
      <c r="AB22" t="inlineStr">
        <is>
          <t>Lakvattenhantering</t>
        </is>
      </c>
      <c r="AC22" t="inlineStr">
        <is>
          <t>Flodesschema dagvatten-lakvatten</t>
        </is>
      </c>
      <c r="AD22" t="inlineStr">
        <is>
          <t>Nej</t>
        </is>
      </c>
      <c r="AE22" t="inlineStr">
        <is>
          <t>Nej</t>
        </is>
      </c>
      <c r="AF22" t="inlineStr">
        <is>
          <t>Ej behandlad</t>
        </is>
      </c>
      <c r="AG22" t="inlineStr">
        <is>
          <t>AUTO_GENERERAD. Verifiera citat mot kallfil.</t>
        </is>
      </c>
      <c r="AH22" t="inlineStr">
        <is>
          <t>MEDIUM</t>
        </is>
      </c>
      <c r="AI22" t="inlineStr">
        <is>
          <t>AUTO</t>
        </is>
      </c>
      <c r="AJ22" t="inlineStr">
        <is>
          <t>Nej</t>
        </is>
      </c>
      <c r="AK22" t="inlineStr"/>
      <c r="AL22" t="inlineStr"/>
      <c r="AM22" t="inlineStr"/>
      <c r="AN22" t="inlineStr"/>
      <c r="AO22" t="inlineStr">
        <is>
          <t>cmm4yumyz0075cuqwsj0akxcx</t>
        </is>
      </c>
      <c r="AP22" t="inlineStr">
        <is>
          <t>http://localhost:8787/api/admin/requirements/documents/cmm4yumyz0075cuqwsj0akxcx/view</t>
        </is>
      </c>
      <c r="AQ22">
        <f>HYPERLÄNK("http://localhost:8787/api/admin/requirements/documents/cmm4yumyz0075cuqwsj0akxcx/view";"Öppna PDF")</f>
        <v/>
      </c>
      <c r="AR22">
        <f>HYPERLINK("http://localhost:8787/api/admin/requirements/documents/cmm4yumyz0075cuqwsj0akxcx/view","Open PDF")</f>
        <v/>
      </c>
      <c r="AS22" t="inlineStr">
        <is>
          <t>cmm55w57p0004cuisfrtpqly8</t>
        </is>
      </c>
      <c r="AT22" t="inlineStr">
        <is>
          <t>cmm4xvu980000cuh4vj0usz09</t>
        </is>
      </c>
      <c r="AU22" t="inlineStr">
        <is>
          <t>Falkenberg Postadress Falkenbergs</t>
        </is>
      </c>
      <c r="AV22" t="inlineStr">
        <is>
          <t>Kommun</t>
        </is>
      </c>
      <c r="AW22" t="inlineStr">
        <is>
          <t>Falkenberg Postadress Falkenbergs kommun</t>
        </is>
      </c>
      <c r="AX22" t="inlineStr">
        <is>
          <t>2025-02</t>
        </is>
      </c>
      <c r="AY22" t="inlineStr">
        <is>
          <t>Beslut</t>
        </is>
      </c>
      <c r="AZ22" t="inlineStr">
        <is>
          <t>2026-02-03</t>
        </is>
      </c>
      <c r="BA22" t="inlineStr">
        <is>
          <t>M-2024-2727_2025-01-10_Beslut (MHF MHN)_Västra Gärdet 2 1.pdf</t>
        </is>
      </c>
      <c r="BB22" t="inlineStr">
        <is>
          <t>efterfrågade handlingar</t>
        </is>
      </c>
      <c r="BC22" t="inlineStr">
        <is>
          <t>AUTO</t>
        </is>
      </c>
      <c r="BD22" t="inlineStr"/>
      <c r="BE22" t="inlineStr"/>
      <c r="BF22" t="inlineStr">
        <is>
          <t>AUTO_GENERERAD. Bekrafta metadata mot kallfil.</t>
        </is>
      </c>
      <c r="BG22">
        <f>HYPERLINK("C:\Users\jimmy\Desktop\Examens arbete\Kod\Ny mapp\remix_-copy-of-miljöbeslut.se-portal\M-2024-2727_2025-01-10_Beslut (MHF MHN)_Västra Gärdet 2 1.pdf", "Öppna PDF")</f>
        <v/>
      </c>
    </row>
    <row r="23">
      <c r="A23" t="inlineStr">
        <is>
          <t>KRAV-AUTO-000022</t>
        </is>
      </c>
      <c r="B23" t="inlineStr">
        <is>
          <t>ADMIN-INDEX-2026-02-27-00000000125C043F57453246863FE664CAFE6A3F0700950291EA24F0614FB6ACEDB12BF0E31D00000000010C0000950291EA24F0614FB6ACEDB12BF0E31D00002087B1D20000</t>
        </is>
      </c>
      <c r="C23" t="inlineStr">
        <is>
          <t>cmm4yumyr006zcuqwfswammup</t>
        </is>
      </c>
      <c r="D23" t="inlineStr">
        <is>
          <t>http://localhost:8787/api/admin/requirements/documents/cmm4yumyr006zcuqwfswammup/view</t>
        </is>
      </c>
      <c r="E23">
        <f>HYPERLÄNK("http://localhost:8787/api/admin/requirements/documents/cmm4yumyr006zcuqwfswammup/view";"Öppna PDF")</f>
        <v/>
      </c>
      <c r="F23">
        <f>HYPERLINK("http://localhost:8787/api/admin/requirements/documents/cmm4yumyr006zcuqwfswammup/view","Open PDF")</f>
        <v/>
      </c>
      <c r="G23" t="inlineStr">
        <is>
          <t>cmm55w57p0004cuisfrtpqly8</t>
        </is>
      </c>
      <c r="H23" t="inlineStr">
        <is>
          <t>Beslutsvillkor</t>
        </is>
      </c>
      <c r="I23" t="inlineStr">
        <is>
          <t>DagvattenLakvatten</t>
        </is>
      </c>
      <c r="J23" t="inlineStr">
        <is>
          <t>Uppsamling</t>
        </is>
      </c>
      <c r="K23" t="inlineStr">
        <is>
          <t>I din bedömning ska det framgå hur du tagit hänsyn till ursprung på materialet och risk för förorening kopplat till dess ursprung.</t>
        </is>
      </c>
      <c r="L23" t="inlineStr">
        <is>
          <t>I din bedömning ska det framgå hur du tagit hänsyn till ursprung på materialet och risk för förorening kopplat till dess ursprung.</t>
        </is>
      </c>
      <c r="M23" t="inlineStr">
        <is>
          <t>SKA</t>
        </is>
      </c>
      <c r="N23" t="inlineStr"/>
      <c r="O23" t="inlineStr"/>
      <c r="P23" t="inlineStr"/>
      <c r="Q23" t="inlineStr"/>
      <c r="R23" t="inlineStr">
        <is>
          <t>Vid nederbord och avrinning</t>
        </is>
      </c>
      <c r="S23" t="inlineStr"/>
      <c r="T23" t="inlineStr">
        <is>
          <t>88 63 89</t>
        </is>
      </c>
      <c r="U23" t="inlineStr"/>
      <c r="V23" t="inlineStr"/>
      <c r="W23" t="inlineStr">
        <is>
          <t>Nej</t>
        </is>
      </c>
      <c r="X23" t="inlineStr">
        <is>
          <t>Ja</t>
        </is>
      </c>
      <c r="Y23" t="inlineStr">
        <is>
          <t>Ja</t>
        </is>
      </c>
      <c r="Z23" t="inlineStr">
        <is>
          <t>Nej</t>
        </is>
      </c>
      <c r="AA23" t="n">
        <v>6</v>
      </c>
      <c r="AB23" t="inlineStr">
        <is>
          <t>Lakvattenhantering</t>
        </is>
      </c>
      <c r="AC23" t="inlineStr">
        <is>
          <t>Flodesschema dagvatten-lakvatten</t>
        </is>
      </c>
      <c r="AD23" t="inlineStr">
        <is>
          <t>Nej</t>
        </is>
      </c>
      <c r="AE23" t="inlineStr">
        <is>
          <t>Nej</t>
        </is>
      </c>
      <c r="AF23" t="inlineStr">
        <is>
          <t>Ej behandlad</t>
        </is>
      </c>
      <c r="AG23" t="inlineStr">
        <is>
          <t>AUTO_GENERERAD. Verifiera citat mot kallfil.</t>
        </is>
      </c>
      <c r="AH23" t="inlineStr">
        <is>
          <t>MEDIUM</t>
        </is>
      </c>
      <c r="AI23" t="inlineStr">
        <is>
          <t>AUTO</t>
        </is>
      </c>
      <c r="AJ23" t="inlineStr">
        <is>
          <t>Nej</t>
        </is>
      </c>
      <c r="AK23" t="inlineStr"/>
      <c r="AL23" t="inlineStr"/>
      <c r="AM23" t="inlineStr"/>
      <c r="AN23" t="inlineStr"/>
      <c r="AO23" t="inlineStr">
        <is>
          <t>cmm4yumyz0075cuqwsj0akxcx</t>
        </is>
      </c>
      <c r="AP23" t="inlineStr">
        <is>
          <t>http://localhost:8787/api/admin/requirements/documents/cmm4yumyz0075cuqwsj0akxcx/view</t>
        </is>
      </c>
      <c r="AQ23">
        <f>HYPERLÄNK("http://localhost:8787/api/admin/requirements/documents/cmm4yumyz0075cuqwsj0akxcx/view";"Öppna PDF")</f>
        <v/>
      </c>
      <c r="AR23">
        <f>HYPERLINK("http://localhost:8787/api/admin/requirements/documents/cmm4yumyz0075cuqwsj0akxcx/view","Open PDF")</f>
        <v/>
      </c>
      <c r="AS23" t="inlineStr">
        <is>
          <t>cmm55w57p0004cuisfrtpqly8</t>
        </is>
      </c>
      <c r="AT23" t="inlineStr">
        <is>
          <t>cmm4xvu980000cuh4vj0usz09</t>
        </is>
      </c>
      <c r="AU23" t="inlineStr">
        <is>
          <t>Falkenberg Postadress Falkenbergs</t>
        </is>
      </c>
      <c r="AV23" t="inlineStr">
        <is>
          <t>Kommun</t>
        </is>
      </c>
      <c r="AW23" t="inlineStr">
        <is>
          <t>Falkenberg Postadress Falkenbergs kommun</t>
        </is>
      </c>
      <c r="AX23" t="inlineStr">
        <is>
          <t>2025-02</t>
        </is>
      </c>
      <c r="AY23" t="inlineStr">
        <is>
          <t>Beslut</t>
        </is>
      </c>
      <c r="AZ23" t="inlineStr">
        <is>
          <t>2026-02-03</t>
        </is>
      </c>
      <c r="BA23" t="inlineStr">
        <is>
          <t>M-2024-2727_2025-01-10_Beslut (MHF MHN)_Västra Gärdet 2 1.pdf</t>
        </is>
      </c>
      <c r="BB23" t="inlineStr">
        <is>
          <t>efterfrågade handlingar</t>
        </is>
      </c>
      <c r="BC23" t="inlineStr">
        <is>
          <t>AUTO</t>
        </is>
      </c>
      <c r="BD23" t="inlineStr"/>
      <c r="BE23" t="inlineStr"/>
      <c r="BF23" t="inlineStr">
        <is>
          <t>AUTO_GENERERAD. Bekrafta metadata mot kallfil.</t>
        </is>
      </c>
      <c r="BG23">
        <f>HYPERLINK("C:\Users\jimmy\Desktop\Examens arbete\Kod\Ny mapp\remix_-copy-of-miljöbeslut.se-portal\M-2024-2727_2025-01-10_Beslut (MHF MHN)_Västra Gärdet 2 1.pdf", "Öppna PDF")</f>
        <v/>
      </c>
    </row>
    <row r="24">
      <c r="A24" t="inlineStr">
        <is>
          <t>KRAV-AUTO-000023</t>
        </is>
      </c>
      <c r="B24" t="inlineStr">
        <is>
          <t>ADMIN-INDEX-2026-02-27-00000000125C043F57453246863FE664CAFE6A3F0700950291EA24F0614FB6ACEDB12BF0E31D00000000010C0000950291EA24F0614FB6ACEDB12BF0E31D00002087B1DD0000</t>
        </is>
      </c>
      <c r="C24" t="inlineStr">
        <is>
          <t>cmm4yumy7006ecuqwnx9sxuen</t>
        </is>
      </c>
      <c r="D24" t="inlineStr">
        <is>
          <t>http://localhost:8787/api/admin/requirements/documents/cmm4yumy7006ecuqwnx9sxuen/view</t>
        </is>
      </c>
      <c r="E24">
        <f>HYPERLÄNK("http://localhost:8787/api/admin/requirements/documents/cmm4yumy7006ecuqwnx9sxuen/view";"Öppna PDF")</f>
        <v/>
      </c>
      <c r="F24">
        <f>HYPERLINK("http://localhost:8787/api/admin/requirements/documents/cmm4yumy7006ecuqwnx9sxuen/view","Open PDF")</f>
        <v/>
      </c>
      <c r="G24" t="inlineStr">
        <is>
          <t>cmm55w57p0004cuisfrtpqly8</t>
        </is>
      </c>
      <c r="H24" t="inlineStr">
        <is>
          <t>Beslutsvillkor</t>
        </is>
      </c>
      <c r="I24" t="inlineStr">
        <is>
          <t>DagvattenLakvatten</t>
        </is>
      </c>
      <c r="J24" t="inlineStr">
        <is>
          <t>Uppsamling</t>
        </is>
      </c>
      <c r="K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2024-06-15 Utskriftsdatum: 2024-07-02 Provmärkning: Deponi 1:301 Analys Resultat Enhet Metod/ref Mäto.</t>
        </is>
      </c>
      <c r="L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t>
        </is>
      </c>
      <c r="M24" t="inlineStr">
        <is>
          <t>BOR</t>
        </is>
      </c>
      <c r="N24" t="inlineStr"/>
      <c r="O24" t="inlineStr">
        <is>
          <t>2024-06-15</t>
        </is>
      </c>
      <c r="P24" t="inlineStr"/>
      <c r="Q24" t="inlineStr"/>
      <c r="R24" t="inlineStr">
        <is>
          <t>Vid nederbord och avrinning</t>
        </is>
      </c>
      <c r="S24" t="inlineStr"/>
      <c r="T24" t="inlineStr">
        <is>
          <t>135165</t>
        </is>
      </c>
      <c r="U24" t="inlineStr"/>
      <c r="V24" t="inlineStr"/>
      <c r="W24" t="inlineStr">
        <is>
          <t>Nej</t>
        </is>
      </c>
      <c r="X24" t="inlineStr">
        <is>
          <t>Ja</t>
        </is>
      </c>
      <c r="Y24" t="inlineStr">
        <is>
          <t>Ja</t>
        </is>
      </c>
      <c r="Z24" t="inlineStr">
        <is>
          <t>Nej</t>
        </is>
      </c>
      <c r="AA24" t="n">
        <v>6</v>
      </c>
      <c r="AB24" t="inlineStr">
        <is>
          <t>Lakvattenhantering</t>
        </is>
      </c>
      <c r="AC24" t="inlineStr">
        <is>
          <t>Flodesschema dagvatten-lakvatten</t>
        </is>
      </c>
      <c r="AD24" t="inlineStr">
        <is>
          <t>Nej</t>
        </is>
      </c>
      <c r="AE24" t="inlineStr">
        <is>
          <t>Nej</t>
        </is>
      </c>
      <c r="AF24" t="inlineStr">
        <is>
          <t>Ej behandlad</t>
        </is>
      </c>
      <c r="AG24" t="inlineStr">
        <is>
          <t>AUTO_GENERERAD. Verifiera citat mot kallfil.</t>
        </is>
      </c>
      <c r="AH24" t="inlineStr">
        <is>
          <t>MEDIUM</t>
        </is>
      </c>
      <c r="AI24" t="inlineStr">
        <is>
          <t>AUTO</t>
        </is>
      </c>
      <c r="AJ24" t="inlineStr">
        <is>
          <t>Nej</t>
        </is>
      </c>
      <c r="AK24" t="inlineStr"/>
      <c r="AL24" t="inlineStr"/>
      <c r="AM24" t="inlineStr"/>
      <c r="AN24" t="inlineStr"/>
      <c r="AO24" t="inlineStr">
        <is>
          <t>cmm4yumy7006ecuqwnx9sxuen</t>
        </is>
      </c>
      <c r="AP24" t="inlineStr">
        <is>
          <t>http://localhost:8787/api/admin/requirements/documents/cmm4yumy7006ecuqwnx9sxuen/view</t>
        </is>
      </c>
      <c r="AQ24">
        <f>HYPERLÄNK("http://localhost:8787/api/admin/requirements/documents/cmm4yumy7006ecuqwnx9sxuen/view";"Öppna PDF")</f>
        <v/>
      </c>
      <c r="AR24">
        <f>HYPERLINK("http://localhost:8787/api/admin/requirements/documents/cmm4yumy7006ecuqwnx9sxuen/view","Open PDF")</f>
        <v/>
      </c>
      <c r="AS24" t="inlineStr">
        <is>
          <t>cmm55w57p0004cuisfrtpqly8</t>
        </is>
      </c>
      <c r="AT24" t="inlineStr">
        <is>
          <t>cmm4xvu980000cuh4vj0usz09</t>
        </is>
      </c>
      <c r="AU24" t="inlineStr"/>
      <c r="AV24" t="inlineStr">
        <is>
          <t>Kommun</t>
        </is>
      </c>
      <c r="AW24" t="inlineStr"/>
      <c r="AX24" t="inlineStr">
        <is>
          <t>2024-06150267</t>
        </is>
      </c>
      <c r="AY24" t="inlineStr">
        <is>
          <t>Beslut</t>
        </is>
      </c>
      <c r="AZ24" t="inlineStr">
        <is>
          <t>2026-02-02</t>
        </is>
      </c>
      <c r="BA24" t="inlineStr">
        <is>
          <t>Deponi 1301_177-2024-06150267_01 (1).pdf</t>
        </is>
      </c>
      <c r="BB24" t="inlineStr">
        <is>
          <t>Re: till registrator</t>
        </is>
      </c>
      <c r="BC24" t="inlineStr">
        <is>
          <t>AUTO</t>
        </is>
      </c>
      <c r="BD24" t="inlineStr"/>
      <c r="BE24" t="inlineStr"/>
      <c r="BF24" t="inlineStr">
        <is>
          <t>AUTO_GENERERAD. Bekrafta metadata mot kallfil.</t>
        </is>
      </c>
      <c r="BG24">
        <f>HYPERLINK("C:\Users\jimmy\Desktop\Examens arbete\Kod\Ny mapp\remix_-copy-of-miljöbeslut.se-portal\Deponi 1301_177-2024-06150267_01 (1).pdf", "Öppna PDF")</f>
        <v/>
      </c>
    </row>
    <row r="25">
      <c r="A25" t="inlineStr">
        <is>
          <t>KRAV-AUTO-000024</t>
        </is>
      </c>
      <c r="B25" t="inlineStr">
        <is>
          <t>ADMIN-INDEX-2026-02-27-00000000125C043F57453246863FE664CAFE6A3F0700950291EA24F0614FB6ACEDB12BF0E31D00000000010C0000950291EA24F0614FB6ACEDB12BF0E31D00002087B1DD0000</t>
        </is>
      </c>
      <c r="C25" t="inlineStr">
        <is>
          <t>cmm4yumy7006ecuqwnx9sxuen</t>
        </is>
      </c>
      <c r="D25" t="inlineStr">
        <is>
          <t>http://localhost:8787/api/admin/requirements/documents/cmm4yumy7006ecuqwnx9sxuen/view</t>
        </is>
      </c>
      <c r="E25">
        <f>HYPERLÄNK("http://localhost:8787/api/admin/requirements/documents/cmm4yumy7006ecuqwnx9sxuen/view";"Öppna PDF")</f>
        <v/>
      </c>
      <c r="F25">
        <f>HYPERLINK("http://localhost:8787/api/admin/requirements/documents/cmm4yumy7006ecuqwnx9sxuen/view","Open PDF")</f>
        <v/>
      </c>
      <c r="G25" t="inlineStr">
        <is>
          <t>cmm55w57p0004cuisfrtpqly8</t>
        </is>
      </c>
      <c r="H25" t="inlineStr">
        <is>
          <t>Beslutsvillkor</t>
        </is>
      </c>
      <c r="I25" t="inlineStr">
        <is>
          <t>DriftEgenkontroll</t>
        </is>
      </c>
      <c r="J25" t="inlineStr">
        <is>
          <t>Journalforing</t>
        </is>
      </c>
      <c r="K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SWEDEN, ISO/IEC 17025:2017 SWEDAC 10300 c) Uppgift från provtagare Denna rapport är elektroniskt signerad.</t>
        </is>
      </c>
      <c r="L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t>
        </is>
      </c>
      <c r="M25" t="inlineStr">
        <is>
          <t>BOR</t>
        </is>
      </c>
      <c r="N25" t="inlineStr"/>
      <c r="O25" t="inlineStr"/>
      <c r="P25" t="inlineStr"/>
      <c r="Q25" t="inlineStr"/>
      <c r="R25" t="inlineStr">
        <is>
          <t>Lopande drift</t>
        </is>
      </c>
      <c r="S25" t="inlineStr"/>
      <c r="T25" t="inlineStr">
        <is>
          <t>135165</t>
        </is>
      </c>
      <c r="U25" t="inlineStr"/>
      <c r="V25" t="inlineStr"/>
      <c r="W25" t="inlineStr">
        <is>
          <t>Nej</t>
        </is>
      </c>
      <c r="X25" t="inlineStr">
        <is>
          <t>Nej</t>
        </is>
      </c>
      <c r="Y25" t="inlineStr">
        <is>
          <t>Ja</t>
        </is>
      </c>
      <c r="Z25" t="inlineStr">
        <is>
          <t>Nej</t>
        </is>
      </c>
      <c r="AA25" t="n">
        <v>7</v>
      </c>
      <c r="AB25" t="inlineStr">
        <is>
          <t>Egenkontrollrutiner</t>
        </is>
      </c>
      <c r="AC25" t="inlineStr">
        <is>
          <t>Egenkontrollprogram</t>
        </is>
      </c>
      <c r="AD25" t="inlineStr">
        <is>
          <t>Nej</t>
        </is>
      </c>
      <c r="AE25" t="inlineStr">
        <is>
          <t>Nej</t>
        </is>
      </c>
      <c r="AF25" t="inlineStr">
        <is>
          <t>Ej behandlad</t>
        </is>
      </c>
      <c r="AG25" t="inlineStr">
        <is>
          <t>AUTO_GENERERAD. Verifiera citat mot kallfil.</t>
        </is>
      </c>
      <c r="AH25" t="inlineStr">
        <is>
          <t>MEDIUM</t>
        </is>
      </c>
      <c r="AI25" t="inlineStr">
        <is>
          <t>AUTO</t>
        </is>
      </c>
      <c r="AJ25" t="inlineStr">
        <is>
          <t>Nej</t>
        </is>
      </c>
      <c r="AK25" t="inlineStr"/>
      <c r="AL25" t="inlineStr"/>
      <c r="AM25" t="inlineStr"/>
      <c r="AN25" t="inlineStr"/>
      <c r="AO25" t="inlineStr">
        <is>
          <t>cmm4yumy7006ecuqwnx9sxuen</t>
        </is>
      </c>
      <c r="AP25" t="inlineStr">
        <is>
          <t>http://localhost:8787/api/admin/requirements/documents/cmm4yumy7006ecuqwnx9sxuen/view</t>
        </is>
      </c>
      <c r="AQ25">
        <f>HYPERLÄNK("http://localhost:8787/api/admin/requirements/documents/cmm4yumy7006ecuqwnx9sxuen/view";"Öppna PDF")</f>
        <v/>
      </c>
      <c r="AR25">
        <f>HYPERLINK("http://localhost:8787/api/admin/requirements/documents/cmm4yumy7006ecuqwnx9sxuen/view","Open PDF")</f>
        <v/>
      </c>
      <c r="AS25" t="inlineStr">
        <is>
          <t>cmm55w57p0004cuisfrtpqly8</t>
        </is>
      </c>
      <c r="AT25" t="inlineStr">
        <is>
          <t>cmm4xvu980000cuh4vj0usz09</t>
        </is>
      </c>
      <c r="AU25" t="inlineStr"/>
      <c r="AV25" t="inlineStr">
        <is>
          <t>Kommun</t>
        </is>
      </c>
      <c r="AW25" t="inlineStr"/>
      <c r="AX25" t="inlineStr">
        <is>
          <t>2024-06150267</t>
        </is>
      </c>
      <c r="AY25" t="inlineStr">
        <is>
          <t>Beslut</t>
        </is>
      </c>
      <c r="AZ25" t="inlineStr">
        <is>
          <t>2026-02-02</t>
        </is>
      </c>
      <c r="BA25" t="inlineStr">
        <is>
          <t>Deponi 1301_177-2024-06150267_01 (1).pdf</t>
        </is>
      </c>
      <c r="BB25" t="inlineStr">
        <is>
          <t>Re: till registrator</t>
        </is>
      </c>
      <c r="BC25" t="inlineStr">
        <is>
          <t>AUTO</t>
        </is>
      </c>
      <c r="BD25" t="inlineStr"/>
      <c r="BE25" t="inlineStr"/>
      <c r="BF25" t="inlineStr">
        <is>
          <t>AUTO_GENERERAD. Bekrafta metadata mot kallfil.</t>
        </is>
      </c>
      <c r="BG25">
        <f>HYPERLINK("C:\Users\jimmy\Desktop\Examens arbete\Kod\Ny mapp\remix_-copy-of-miljöbeslut.se-portal\Deponi 1301_177-2024-06150267_01 (1).pdf", "Öppna PDF")</f>
        <v/>
      </c>
    </row>
    <row r="26">
      <c r="A26" t="inlineStr">
        <is>
          <t>KRAV-AUTO-000025</t>
        </is>
      </c>
      <c r="B26" t="inlineStr">
        <is>
          <t>ADMIN-INDEX-2026-02-27-00000000125C043F57453246863FE664CAFE6A3F0700950291EA24F0614FB6ACEDB12BF0E31D00000000010C0000950291EA24F0614FB6ACEDB12BF0E31D00002087B1D50000</t>
        </is>
      </c>
      <c r="C26" t="inlineStr">
        <is>
          <t>cmm4yumye006kcuqwoqjb4otw</t>
        </is>
      </c>
      <c r="D26" t="inlineStr">
        <is>
          <t>http://localhost:8787/api/admin/requirements/documents/cmm4yumye006kcuqwoqjb4otw/view</t>
        </is>
      </c>
      <c r="E26">
        <f>HYPERLÄNK("http://localhost:8787/api/admin/requirements/documents/cmm4yumye006kcuqwoqjb4otw/view";"Öppna PDF")</f>
        <v/>
      </c>
      <c r="F26">
        <f>HYPERLINK("http://localhost:8787/api/admin/requirements/documents/cmm4yumye006kcuqwoqjb4otw/view","Open PDF")</f>
        <v/>
      </c>
      <c r="G26" t="inlineStr">
        <is>
          <t>cmm55w57p0004cuisfrtpqly8</t>
        </is>
      </c>
      <c r="H26" t="inlineStr">
        <is>
          <t>Beslutsvillkor</t>
        </is>
      </c>
      <c r="I26" t="inlineStr">
        <is>
          <t>MiljopaverkanForsiktighet</t>
        </is>
      </c>
      <c r="J26" t="inlineStr">
        <is>
          <t>Skyddsatgarder</t>
        </is>
      </c>
      <c r="K26" t="inlineStr">
        <is>
          <t>Avgiften skall täcka den administration som krävs för systemet och som Avfall Sverige (systemägaren) ansvarar för.</t>
        </is>
      </c>
      <c r="L26" t="inlineStr">
        <is>
          <t>Avgiften skall täcka den administration som krävs för systemet och som Avfall Sverige (systemägaren) ansvarar för.</t>
        </is>
      </c>
      <c r="M26" t="inlineStr">
        <is>
          <t>SKA</t>
        </is>
      </c>
      <c r="N26" t="inlineStr"/>
      <c r="O26" t="inlineStr"/>
      <c r="P26" t="inlineStr"/>
      <c r="Q26" t="inlineStr"/>
      <c r="R26" t="inlineStr">
        <is>
          <t>Alltid</t>
        </is>
      </c>
      <c r="S26" t="inlineStr"/>
      <c r="T26" t="inlineStr"/>
      <c r="U26" t="inlineStr"/>
      <c r="V26" t="inlineStr"/>
      <c r="W26" t="inlineStr">
        <is>
          <t>Nej</t>
        </is>
      </c>
      <c r="X26" t="inlineStr">
        <is>
          <t>Nej</t>
        </is>
      </c>
      <c r="Y26" t="inlineStr">
        <is>
          <t>Nej</t>
        </is>
      </c>
      <c r="Z26" t="inlineStr">
        <is>
          <t>Nej</t>
        </is>
      </c>
      <c r="AA26" t="n">
        <v>10</v>
      </c>
      <c r="AB26" t="inlineStr">
        <is>
          <t>Miljopaverkan och forsiktighetsmatt</t>
        </is>
      </c>
      <c r="AC26" t="inlineStr">
        <is>
          <t>Miljo-PM</t>
        </is>
      </c>
      <c r="AD26" t="inlineStr">
        <is>
          <t>Nej</t>
        </is>
      </c>
      <c r="AE26" t="inlineStr">
        <is>
          <t>Nej</t>
        </is>
      </c>
      <c r="AF26" t="inlineStr">
        <is>
          <t>Ej behandlad</t>
        </is>
      </c>
      <c r="AG26" t="inlineStr">
        <is>
          <t>AUTO_GENERERAD. Verifiera citat mot kallfil.</t>
        </is>
      </c>
      <c r="AH26" t="inlineStr">
        <is>
          <t>MEDIUM</t>
        </is>
      </c>
      <c r="AI26" t="inlineStr">
        <is>
          <t>AUTO</t>
        </is>
      </c>
      <c r="AJ26" t="inlineStr">
        <is>
          <t>Nej</t>
        </is>
      </c>
      <c r="AK26" t="inlineStr"/>
      <c r="AL26" t="inlineStr"/>
      <c r="AM26" t="inlineStr"/>
      <c r="AN26" t="inlineStr"/>
      <c r="AO26" t="inlineStr">
        <is>
          <t>cmm4yumye006kcuqwoqjb4otw</t>
        </is>
      </c>
      <c r="AP26" t="inlineStr">
        <is>
          <t>http://localhost:8787/api/admin/requirements/documents/cmm4yumye006kcuqwoqjb4otw/view</t>
        </is>
      </c>
      <c r="AQ26">
        <f>HYPERLÄNK("http://localhost:8787/api/admin/requirements/documents/cmm4yumye006kcuqwoqjb4otw/view";"Öppna PDF")</f>
        <v/>
      </c>
      <c r="AR26">
        <f>HYPERLINK("http://localhost:8787/api/admin/requirements/documents/cmm4yumye006kcuqwoqjb4otw/view","Open PDF")</f>
        <v/>
      </c>
      <c r="AS26" t="inlineStr">
        <is>
          <t>cmm55w57p0004cuisfrtpqly8</t>
        </is>
      </c>
      <c r="AT26" t="inlineStr">
        <is>
          <t>cmm4xvu980000cuh4vj0usz09</t>
        </is>
      </c>
      <c r="AU26" t="inlineStr">
        <is>
          <t>Furunäsets miljöcentral Överkalix</t>
        </is>
      </c>
      <c r="AV26" t="inlineStr">
        <is>
          <t>Kommun</t>
        </is>
      </c>
      <c r="AW26" t="inlineStr">
        <is>
          <t>Furunäsets miljöcentral Överkalix kommun</t>
        </is>
      </c>
      <c r="AX26" t="inlineStr">
        <is>
          <t>2020-09</t>
        </is>
      </c>
      <c r="AY26" t="inlineStr">
        <is>
          <t>Beslut</t>
        </is>
      </c>
      <c r="AZ26" t="inlineStr">
        <is>
          <t>2026-02-03</t>
        </is>
      </c>
      <c r="BA26" t="inlineStr">
        <is>
          <t>Egenkontrollprogram FMC_sep 2020_med bilagor_200917.pdf</t>
        </is>
      </c>
      <c r="BB26" t="inlineStr">
        <is>
          <t>Sv: fråga om sophämtning</t>
        </is>
      </c>
      <c r="BC26" t="inlineStr">
        <is>
          <t>AUTO</t>
        </is>
      </c>
      <c r="BD26" t="inlineStr"/>
      <c r="BE26" t="inlineStr"/>
      <c r="BF26" t="inlineStr">
        <is>
          <t>AUTO_GENERERAD. Bekrafta metadata mot kallfil.</t>
        </is>
      </c>
      <c r="BG26">
        <f>HYPERLINK("C:\Users\jimmy\Desktop\Examens arbete\Kod\Ny mapp\remix_-copy-of-miljöbeslut.se-portal\Egenkontrollprogram FMC_sep 2020_med bilagor_200917.pdf", "Öppna PDF")</f>
        <v/>
      </c>
    </row>
    <row r="27">
      <c r="A27" t="inlineStr">
        <is>
          <t>KRAV-AUTO-000026</t>
        </is>
      </c>
      <c r="B27" t="inlineStr">
        <is>
          <t>ADMIN-INDEX-2026-02-27-00000000125C043F57453246863FE664CAFE6A3F0700950291EA24F0614FB6ACEDB12BF0E31D00000000010C0000950291EA24F0614FB6ACEDB12BF0E31D00002087B1D50000</t>
        </is>
      </c>
      <c r="C27" t="inlineStr">
        <is>
          <t>cmm4yumye006kcuqwoqjb4otw</t>
        </is>
      </c>
      <c r="D27" t="inlineStr">
        <is>
          <t>http://localhost:8787/api/admin/requirements/documents/cmm4yumye006kcuqwoqjb4otw/view</t>
        </is>
      </c>
      <c r="E27">
        <f>HYPERLÄNK("http://localhost:8787/api/admin/requirements/documents/cmm4yumye006kcuqwoqjb4otw/view";"Öppna PDF")</f>
        <v/>
      </c>
      <c r="F27">
        <f>HYPERLINK("http://localhost:8787/api/admin/requirements/documents/cmm4yumye006kcuqwoqjb4otw/view","Open PDF")</f>
        <v/>
      </c>
      <c r="G27" t="inlineStr">
        <is>
          <t>cmm55w57p0004cuisfrtpqly8</t>
        </is>
      </c>
      <c r="H27" t="inlineStr">
        <is>
          <t>Beslutsvillkor</t>
        </is>
      </c>
      <c r="I27" t="inlineStr">
        <is>
          <t>LagringsvolymTid</t>
        </is>
      </c>
      <c r="J27" t="inlineStr">
        <is>
          <t>Maxmangd</t>
        </is>
      </c>
      <c r="K27" t="inlineStr">
        <is>
          <t>Råd och anvisningar för användning av kompost, skall ange vilken mängd kompost som bör eller i före- kommande fall får spridas vid olika tillämpningar.</t>
        </is>
      </c>
      <c r="L27" t="inlineStr">
        <is>
          <t>Råd och anvisningar för användning av kompost, skall ange vilken mängd kompost som bör eller i före- kommande fall får spridas vid olika tillämpningar.</t>
        </is>
      </c>
      <c r="M27" t="inlineStr">
        <is>
          <t>SKA</t>
        </is>
      </c>
      <c r="N27" t="inlineStr"/>
      <c r="O27" t="inlineStr"/>
      <c r="P27" t="inlineStr"/>
      <c r="Q27" t="inlineStr"/>
      <c r="R27" t="inlineStr">
        <is>
          <t>Alltid</t>
        </is>
      </c>
      <c r="S27" t="inlineStr"/>
      <c r="T27" t="inlineStr"/>
      <c r="U27" t="inlineStr"/>
      <c r="V27" t="inlineStr"/>
      <c r="W27" t="inlineStr">
        <is>
          <t>Nej</t>
        </is>
      </c>
      <c r="X27" t="inlineStr">
        <is>
          <t>Nej</t>
        </is>
      </c>
      <c r="Y27" t="inlineStr">
        <is>
          <t>Nej</t>
        </is>
      </c>
      <c r="Z27" t="inlineStr">
        <is>
          <t>Nej</t>
        </is>
      </c>
      <c r="AA27" t="n">
        <v>4</v>
      </c>
      <c r="AB27" t="inlineStr">
        <is>
          <t>Avfallsmangder och lagringstid</t>
        </is>
      </c>
      <c r="AC27" t="inlineStr">
        <is>
          <t>Avfallsforteckning</t>
        </is>
      </c>
      <c r="AD27" t="inlineStr">
        <is>
          <t>Nej</t>
        </is>
      </c>
      <c r="AE27" t="inlineStr">
        <is>
          <t>Nej</t>
        </is>
      </c>
      <c r="AF27" t="inlineStr">
        <is>
          <t>Ej behandlad</t>
        </is>
      </c>
      <c r="AG27" t="inlineStr">
        <is>
          <t>AUTO_GENERERAD. Verifiera citat mot kallfil.</t>
        </is>
      </c>
      <c r="AH27" t="inlineStr">
        <is>
          <t>MEDIUM</t>
        </is>
      </c>
      <c r="AI27" t="inlineStr">
        <is>
          <t>AUTO</t>
        </is>
      </c>
      <c r="AJ27" t="inlineStr">
        <is>
          <t>Nej</t>
        </is>
      </c>
      <c r="AK27" t="inlineStr"/>
      <c r="AL27" t="inlineStr"/>
      <c r="AM27" t="inlineStr"/>
      <c r="AN27" t="inlineStr"/>
      <c r="AO27" t="inlineStr">
        <is>
          <t>cmm4yumye006kcuqwoqjb4otw</t>
        </is>
      </c>
      <c r="AP27" t="inlineStr">
        <is>
          <t>http://localhost:8787/api/admin/requirements/documents/cmm4yumye006kcuqwoqjb4otw/view</t>
        </is>
      </c>
      <c r="AQ27">
        <f>HYPERLÄNK("http://localhost:8787/api/admin/requirements/documents/cmm4yumye006kcuqwoqjb4otw/view";"Öppna PDF")</f>
        <v/>
      </c>
      <c r="AR27">
        <f>HYPERLINK("http://localhost:8787/api/admin/requirements/documents/cmm4yumye006kcuqwoqjb4otw/view","Open PDF")</f>
        <v/>
      </c>
      <c r="AS27" t="inlineStr">
        <is>
          <t>cmm55w57p0004cuisfrtpqly8</t>
        </is>
      </c>
      <c r="AT27" t="inlineStr">
        <is>
          <t>cmm4xvu980000cuh4vj0usz09</t>
        </is>
      </c>
      <c r="AU27" t="inlineStr">
        <is>
          <t>Furunäsets miljöcentral Överkalix</t>
        </is>
      </c>
      <c r="AV27" t="inlineStr">
        <is>
          <t>Kommun</t>
        </is>
      </c>
      <c r="AW27" t="inlineStr">
        <is>
          <t>Furunäsets miljöcentral Överkalix kommun</t>
        </is>
      </c>
      <c r="AX27" t="inlineStr">
        <is>
          <t>2020-09</t>
        </is>
      </c>
      <c r="AY27" t="inlineStr">
        <is>
          <t>Beslut</t>
        </is>
      </c>
      <c r="AZ27" t="inlineStr">
        <is>
          <t>2026-02-03</t>
        </is>
      </c>
      <c r="BA27" t="inlineStr">
        <is>
          <t>Egenkontrollprogram FMC_sep 2020_med bilagor_200917.pdf</t>
        </is>
      </c>
      <c r="BB27" t="inlineStr">
        <is>
          <t>Sv: fråga om sophämtning</t>
        </is>
      </c>
      <c r="BC27" t="inlineStr">
        <is>
          <t>AUTO</t>
        </is>
      </c>
      <c r="BD27" t="inlineStr"/>
      <c r="BE27" t="inlineStr"/>
      <c r="BF27" t="inlineStr">
        <is>
          <t>AUTO_GENERERAD. Bekrafta metadata mot kallfil.</t>
        </is>
      </c>
      <c r="BG27">
        <f>HYPERLINK("C:\Users\jimmy\Desktop\Examens arbete\Kod\Ny mapp\remix_-copy-of-miljöbeslut.se-portal\Egenkontrollprogram FMC_sep 2020_med bilagor_200917.pdf", "Öppna PDF")</f>
        <v/>
      </c>
    </row>
    <row r="28">
      <c r="A28" t="inlineStr">
        <is>
          <t>KRAV-AUTO-000027</t>
        </is>
      </c>
      <c r="B28" t="inlineStr">
        <is>
          <t>ADMIN-INDEX-2026-02-27-00000000125C043F57453246863FE664CAFE6A3F0700950291EA24F0614FB6ACEDB12BF0E31D00000000010C0000950291EA24F0614FB6ACEDB12BF0E31D00002087B1D50000</t>
        </is>
      </c>
      <c r="C28" t="inlineStr">
        <is>
          <t>cmm4yumye006kcuqwoqjb4otw</t>
        </is>
      </c>
      <c r="D28" t="inlineStr">
        <is>
          <t>http://localhost:8787/api/admin/requirements/documents/cmm4yumye006kcuqwoqjb4otw/view</t>
        </is>
      </c>
      <c r="E28">
        <f>HYPERLÄNK("http://localhost:8787/api/admin/requirements/documents/cmm4yumye006kcuqwoqjb4otw/view";"Öppna PDF")</f>
        <v/>
      </c>
      <c r="F28">
        <f>HYPERLINK("http://localhost:8787/api/admin/requirements/documents/cmm4yumye006kcuqwoqjb4otw/view","Open PDF")</f>
        <v/>
      </c>
      <c r="G28" t="inlineStr">
        <is>
          <t>cmm55w57p0004cuisfrtpqly8</t>
        </is>
      </c>
      <c r="H28" t="inlineStr">
        <is>
          <t>Beslutsvillkor</t>
        </is>
      </c>
      <c r="I28" t="inlineStr">
        <is>
          <t>DriftEgenkontroll</t>
        </is>
      </c>
      <c r="J28" t="inlineStr">
        <is>
          <t>Journalforing</t>
        </is>
      </c>
      <c r="K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 5 000 4 4 2 4 från 10 000 8 4 4 4 1) Den bakteriologiska provtagningen vid den fortlöpande kontrollen skall vid två tillfällen bestå av en provtagning där n=5 [3].</t>
        </is>
      </c>
      <c r="L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t>
        </is>
      </c>
      <c r="M28" t="inlineStr">
        <is>
          <t>SKA</t>
        </is>
      </c>
      <c r="N28" t="inlineStr"/>
      <c r="O28" t="inlineStr"/>
      <c r="P28" t="inlineStr">
        <is>
          <t>Lopande</t>
        </is>
      </c>
      <c r="Q28" t="inlineStr"/>
      <c r="R28" t="inlineStr">
        <is>
          <t>Lopande drift</t>
        </is>
      </c>
      <c r="S28" t="inlineStr"/>
      <c r="T28" t="inlineStr"/>
      <c r="U28" t="inlineStr"/>
      <c r="V28" t="inlineStr"/>
      <c r="W28" t="inlineStr">
        <is>
          <t>Nej</t>
        </is>
      </c>
      <c r="X28" t="inlineStr">
        <is>
          <t>Nej</t>
        </is>
      </c>
      <c r="Y28" t="inlineStr">
        <is>
          <t>Ja</t>
        </is>
      </c>
      <c r="Z28" t="inlineStr">
        <is>
          <t>Nej</t>
        </is>
      </c>
      <c r="AA28" t="n">
        <v>7</v>
      </c>
      <c r="AB28" t="inlineStr">
        <is>
          <t>Egenkontrollrutiner</t>
        </is>
      </c>
      <c r="AC28" t="inlineStr">
        <is>
          <t>Egenkontrollprogram</t>
        </is>
      </c>
      <c r="AD28" t="inlineStr">
        <is>
          <t>Nej</t>
        </is>
      </c>
      <c r="AE28" t="inlineStr">
        <is>
          <t>Nej</t>
        </is>
      </c>
      <c r="AF28" t="inlineStr">
        <is>
          <t>Ej behandlad</t>
        </is>
      </c>
      <c r="AG28" t="inlineStr">
        <is>
          <t>AUTO_GENERERAD. Verifiera citat mot kallfil.</t>
        </is>
      </c>
      <c r="AH28" t="inlineStr">
        <is>
          <t>MEDIUM</t>
        </is>
      </c>
      <c r="AI28" t="inlineStr">
        <is>
          <t>AUTO</t>
        </is>
      </c>
      <c r="AJ28" t="inlineStr">
        <is>
          <t>Nej</t>
        </is>
      </c>
      <c r="AK28" t="inlineStr"/>
      <c r="AL28" t="inlineStr"/>
      <c r="AM28" t="inlineStr"/>
      <c r="AN28" t="inlineStr"/>
      <c r="AO28" t="inlineStr">
        <is>
          <t>cmm4yumye006kcuqwoqjb4otw</t>
        </is>
      </c>
      <c r="AP28" t="inlineStr">
        <is>
          <t>http://localhost:8787/api/admin/requirements/documents/cmm4yumye006kcuqwoqjb4otw/view</t>
        </is>
      </c>
      <c r="AQ28">
        <f>HYPERLÄNK("http://localhost:8787/api/admin/requirements/documents/cmm4yumye006kcuqwoqjb4otw/view";"Öppna PDF")</f>
        <v/>
      </c>
      <c r="AR28">
        <f>HYPERLINK("http://localhost:8787/api/admin/requirements/documents/cmm4yumye006kcuqwoqjb4otw/view","Open PDF")</f>
        <v/>
      </c>
      <c r="AS28" t="inlineStr">
        <is>
          <t>cmm55w57p0004cuisfrtpqly8</t>
        </is>
      </c>
      <c r="AT28" t="inlineStr">
        <is>
          <t>cmm4xvu980000cuh4vj0usz09</t>
        </is>
      </c>
      <c r="AU28" t="inlineStr">
        <is>
          <t>Furunäsets miljöcentral Överkalix</t>
        </is>
      </c>
      <c r="AV28" t="inlineStr">
        <is>
          <t>Kommun</t>
        </is>
      </c>
      <c r="AW28" t="inlineStr">
        <is>
          <t>Furunäsets miljöcentral Överkalix kommun</t>
        </is>
      </c>
      <c r="AX28" t="inlineStr">
        <is>
          <t>2020-09</t>
        </is>
      </c>
      <c r="AY28" t="inlineStr">
        <is>
          <t>Beslut</t>
        </is>
      </c>
      <c r="AZ28" t="inlineStr">
        <is>
          <t>2026-02-03</t>
        </is>
      </c>
      <c r="BA28" t="inlineStr">
        <is>
          <t>Egenkontrollprogram FMC_sep 2020_med bilagor_200917.pdf</t>
        </is>
      </c>
      <c r="BB28" t="inlineStr">
        <is>
          <t>Sv: fråga om sophämtning</t>
        </is>
      </c>
      <c r="BC28" t="inlineStr">
        <is>
          <t>AUTO</t>
        </is>
      </c>
      <c r="BD28" t="inlineStr"/>
      <c r="BE28" t="inlineStr"/>
      <c r="BF28" t="inlineStr">
        <is>
          <t>AUTO_GENERERAD. Bekrafta metadata mot kallfil.</t>
        </is>
      </c>
      <c r="BG28">
        <f>HYPERLINK("C:\Users\jimmy\Desktop\Examens arbete\Kod\Ny mapp\remix_-copy-of-miljöbeslut.se-portal\Egenkontrollprogram FMC_sep 2020_med bilagor_200917.pdf", "Öppna PDF")</f>
        <v/>
      </c>
    </row>
    <row r="29">
      <c r="A29" t="inlineStr">
        <is>
          <t>KRAV-AUTO-000028</t>
        </is>
      </c>
      <c r="B29" t="inlineStr">
        <is>
          <t>ADMIN-INDEX-2026-02-27-00000000125C043F57453246863FE664CAFE6A3F0700950291EA24F0614FB6ACEDB12BF0E31D00000000010C0000950291EA24F0614FB6ACEDB12BF0E31D00002087B1E10000</t>
        </is>
      </c>
      <c r="C29" t="inlineStr">
        <is>
          <t>cmm4yumx40058cuqwxcca97de</t>
        </is>
      </c>
      <c r="D29" t="inlineStr">
        <is>
          <t>http://localhost:8787/api/admin/requirements/documents/cmm4yumx40058cuqwxcca97de/view</t>
        </is>
      </c>
      <c r="E29">
        <f>HYPERLÄNK("http://localhost:8787/api/admin/requirements/documents/cmm4yumx40058cuqwxcca97de/view";"Öppna PDF")</f>
        <v/>
      </c>
      <c r="F29">
        <f>HYPERLINK("http://localhost:8787/api/admin/requirements/documents/cmm4yumx40058cuqwxcca97de/view","Open PDF")</f>
        <v/>
      </c>
      <c r="G29" t="inlineStr">
        <is>
          <t>cmm55w57p0004cuisfrtpqly8</t>
        </is>
      </c>
      <c r="H29" t="inlineStr">
        <is>
          <t>Informationskrav</t>
        </is>
      </c>
      <c r="I29" t="inlineStr">
        <is>
          <t>DagvattenLakvatten</t>
        </is>
      </c>
      <c r="J29" t="inlineStr">
        <is>
          <t>Uppsamling</t>
        </is>
      </c>
      <c r="K29" t="inlineStr">
        <is>
          <t>Från dammen rinner en del dagvatten in i skogsområdet och en del pumpar kommunen bort österut till recipient.</t>
        </is>
      </c>
      <c r="L29" t="inlineStr">
        <is>
          <t>Från dammen rinner en del dagvatten in i skogsområdet och en del pumpar kommunen bort österut till recipient.</t>
        </is>
      </c>
      <c r="M29" t="inlineStr">
        <is>
          <t>BOR</t>
        </is>
      </c>
      <c r="N29" t="inlineStr"/>
      <c r="O29" t="inlineStr"/>
      <c r="P29" t="inlineStr"/>
      <c r="Q29" t="inlineStr"/>
      <c r="R29" t="inlineStr">
        <is>
          <t>Vid nederbord och avrinning</t>
        </is>
      </c>
      <c r="S29" t="inlineStr"/>
      <c r="T29" t="inlineStr"/>
      <c r="U29" t="inlineStr"/>
      <c r="V29" t="inlineStr"/>
      <c r="W29" t="inlineStr">
        <is>
          <t>Nej</t>
        </is>
      </c>
      <c r="X29" t="inlineStr">
        <is>
          <t>Ja</t>
        </is>
      </c>
      <c r="Y29" t="inlineStr">
        <is>
          <t>Ja</t>
        </is>
      </c>
      <c r="Z29" t="inlineStr">
        <is>
          <t>Nej</t>
        </is>
      </c>
      <c r="AA29" t="n">
        <v>6</v>
      </c>
      <c r="AB29" t="inlineStr">
        <is>
          <t>Lakvattenhantering</t>
        </is>
      </c>
      <c r="AC29" t="inlineStr">
        <is>
          <t>Flodesschema dagvatten-lakvatten</t>
        </is>
      </c>
      <c r="AD29" t="inlineStr">
        <is>
          <t>Nej</t>
        </is>
      </c>
      <c r="AE29" t="inlineStr">
        <is>
          <t>Nej</t>
        </is>
      </c>
      <c r="AF29" t="inlineStr">
        <is>
          <t>Ej behandlad</t>
        </is>
      </c>
      <c r="AG29" t="inlineStr">
        <is>
          <t>AUTO_GENERERAD. Verifiera citat mot kallfil.</t>
        </is>
      </c>
      <c r="AH29" t="inlineStr">
        <is>
          <t>MEDIUM</t>
        </is>
      </c>
      <c r="AI29" t="inlineStr">
        <is>
          <t>AUTO</t>
        </is>
      </c>
      <c r="AJ29" t="inlineStr">
        <is>
          <t>Nej</t>
        </is>
      </c>
      <c r="AK29" t="inlineStr"/>
      <c r="AL29" t="inlineStr"/>
      <c r="AM29" t="inlineStr"/>
      <c r="AN29" t="inlineStr"/>
      <c r="AO29" t="inlineStr">
        <is>
          <t>cmm4yumxa005ecuqwd2rfqss7</t>
        </is>
      </c>
      <c r="AP29" t="inlineStr">
        <is>
          <t>http://localhost:8787/api/admin/requirements/documents/cmm4yumxa005ecuqwd2rfqss7/view</t>
        </is>
      </c>
      <c r="AQ29">
        <f>HYPERLÄNK("http://localhost:8787/api/admin/requirements/documents/cmm4yumxa005ecuqwd2rfqss7/view";"Öppna PDF")</f>
        <v/>
      </c>
      <c r="AR29">
        <f>HYPERLINK("http://localhost:8787/api/admin/requirements/documents/cmm4yumxa005ecuqwd2rfqss7/view","Open PDF")</f>
        <v/>
      </c>
      <c r="AS29" t="inlineStr">
        <is>
          <t>cmm55w57p0004cuisfrtpqly8</t>
        </is>
      </c>
      <c r="AT29" t="inlineStr">
        <is>
          <t>cmm4xvu980000cuh4vj0usz09</t>
        </is>
      </c>
      <c r="AU29" t="inlineStr">
        <is>
          <t>Västerviks</t>
        </is>
      </c>
      <c r="AV29" t="inlineStr">
        <is>
          <t>Kommun</t>
        </is>
      </c>
      <c r="AW29" t="inlineStr">
        <is>
          <t>Västerviks kommun</t>
        </is>
      </c>
      <c r="AX29" t="inlineStr">
        <is>
          <t>2024-05</t>
        </is>
      </c>
      <c r="AY29" t="inlineStr">
        <is>
          <t>Anmalan</t>
        </is>
      </c>
      <c r="AZ29" t="inlineStr">
        <is>
          <t>2026-02-02</t>
        </is>
      </c>
      <c r="BA29" t="inlineStr">
        <is>
          <t>2024-786 Anmälan.pdf</t>
        </is>
      </c>
      <c r="BB29" t="inlineStr">
        <is>
          <t>Sv: till registrator</t>
        </is>
      </c>
      <c r="BC29" t="inlineStr">
        <is>
          <t>AUTO</t>
        </is>
      </c>
      <c r="BD29" t="inlineStr"/>
      <c r="BE29" t="inlineStr"/>
      <c r="BF29" t="inlineStr">
        <is>
          <t>AUTO_GENERERAD. Bekrafta metadata mot kallfil.</t>
        </is>
      </c>
      <c r="BG29">
        <f>HYPERLINK("C:\Users\jimmy\Desktop\Examens arbete\Kod\Ny mapp\remix_-copy-of-miljöbeslut.se-portal\2024-786 Anmälan.pdf", "Öppna PDF")</f>
        <v/>
      </c>
    </row>
    <row r="30">
      <c r="A30" t="inlineStr">
        <is>
          <t>KRAV-AUTO-000029</t>
        </is>
      </c>
      <c r="B30" t="inlineStr">
        <is>
          <t>ADMIN-INDEX-2026-02-27-00000000125C043F57453246863FE664CAFE6A3F0700950291EA24F0614FB6ACEDB12BF0E31D00000000010C0000950291EA24F0614FB6ACEDB12BF0E31D00002087B1E10000</t>
        </is>
      </c>
      <c r="C30" t="inlineStr">
        <is>
          <t>cmm4yumx40058cuqwxcca97de</t>
        </is>
      </c>
      <c r="D30" t="inlineStr">
        <is>
          <t>http://localhost:8787/api/admin/requirements/documents/cmm4yumx40058cuqwxcca97de/view</t>
        </is>
      </c>
      <c r="E30">
        <f>HYPERLÄNK("http://localhost:8787/api/admin/requirements/documents/cmm4yumx40058cuqwxcca97de/view";"Öppna PDF")</f>
        <v/>
      </c>
      <c r="F30">
        <f>HYPERLINK("http://localhost:8787/api/admin/requirements/documents/cmm4yumx40058cuqwxcca97de/view","Open PDF")</f>
        <v/>
      </c>
      <c r="G30" t="inlineStr">
        <is>
          <t>cmm55w57p0004cuisfrtpqly8</t>
        </is>
      </c>
      <c r="H30" t="inlineStr">
        <is>
          <t>Informationskrav</t>
        </is>
      </c>
      <c r="I30" t="inlineStr">
        <is>
          <t>Riskhantering</t>
        </is>
      </c>
      <c r="J30" t="inlineStr">
        <is>
          <t>Riskkontroll</t>
        </is>
      </c>
      <c r="K30" t="inlineStr">
        <is>
          <t>För att minska risk för brand och minska konsekvenserna om en brand ändå uppkommer iakttas en rad skyddsåtgärder.</t>
        </is>
      </c>
      <c r="L30" t="inlineStr">
        <is>
          <t>För att minska risk för brand och minska konsekvenserna om en brand ändå uppkommer iakttas en rad skyddsåtgärder.</t>
        </is>
      </c>
      <c r="M30" t="inlineStr">
        <is>
          <t>SKA</t>
        </is>
      </c>
      <c r="N30" t="inlineStr"/>
      <c r="O30" t="inlineStr"/>
      <c r="P30" t="inlineStr"/>
      <c r="Q30" t="inlineStr"/>
      <c r="R30" t="inlineStr">
        <is>
          <t>Vid risk for incident</t>
        </is>
      </c>
      <c r="S30" t="inlineStr"/>
      <c r="T30" t="inlineStr"/>
      <c r="U30" t="inlineStr"/>
      <c r="V30" t="inlineStr"/>
      <c r="W30" t="inlineStr">
        <is>
          <t>Nej</t>
        </is>
      </c>
      <c r="X30" t="inlineStr">
        <is>
          <t>Nej</t>
        </is>
      </c>
      <c r="Y30" t="inlineStr">
        <is>
          <t>Ja</t>
        </is>
      </c>
      <c r="Z30" t="inlineStr">
        <is>
          <t>Ja</t>
        </is>
      </c>
      <c r="AA30" t="n">
        <v>8</v>
      </c>
      <c r="AB30" t="inlineStr">
        <is>
          <t>Riskhantering</t>
        </is>
      </c>
      <c r="AC30" t="inlineStr">
        <is>
          <t>Risk-PM</t>
        </is>
      </c>
      <c r="AD30" t="inlineStr">
        <is>
          <t>Nej</t>
        </is>
      </c>
      <c r="AE30" t="inlineStr">
        <is>
          <t>Nej</t>
        </is>
      </c>
      <c r="AF30" t="inlineStr">
        <is>
          <t>Ej behandlad</t>
        </is>
      </c>
      <c r="AG30" t="inlineStr">
        <is>
          <t>AUTO_GENERERAD. Verifiera citat mot kallfil.</t>
        </is>
      </c>
      <c r="AH30" t="inlineStr">
        <is>
          <t>MEDIUM</t>
        </is>
      </c>
      <c r="AI30" t="inlineStr">
        <is>
          <t>AUTO</t>
        </is>
      </c>
      <c r="AJ30" t="inlineStr">
        <is>
          <t>Nej</t>
        </is>
      </c>
      <c r="AK30" t="inlineStr"/>
      <c r="AL30" t="inlineStr"/>
      <c r="AM30" t="inlineStr"/>
      <c r="AN30" t="inlineStr"/>
      <c r="AO30" t="inlineStr">
        <is>
          <t>cmm4yumxa005ecuqwd2rfqss7</t>
        </is>
      </c>
      <c r="AP30" t="inlineStr">
        <is>
          <t>http://localhost:8787/api/admin/requirements/documents/cmm4yumxa005ecuqwd2rfqss7/view</t>
        </is>
      </c>
      <c r="AQ30">
        <f>HYPERLÄNK("http://localhost:8787/api/admin/requirements/documents/cmm4yumxa005ecuqwd2rfqss7/view";"Öppna PDF")</f>
        <v/>
      </c>
      <c r="AR30">
        <f>HYPERLINK("http://localhost:8787/api/admin/requirements/documents/cmm4yumxa005ecuqwd2rfqss7/view","Open PDF")</f>
        <v/>
      </c>
      <c r="AS30" t="inlineStr">
        <is>
          <t>cmm55w57p0004cuisfrtpqly8</t>
        </is>
      </c>
      <c r="AT30" t="inlineStr">
        <is>
          <t>cmm4xvu980000cuh4vj0usz09</t>
        </is>
      </c>
      <c r="AU30" t="inlineStr">
        <is>
          <t>Västerviks</t>
        </is>
      </c>
      <c r="AV30" t="inlineStr">
        <is>
          <t>Kommun</t>
        </is>
      </c>
      <c r="AW30" t="inlineStr">
        <is>
          <t>Västerviks kommun</t>
        </is>
      </c>
      <c r="AX30" t="inlineStr">
        <is>
          <t>2024-05</t>
        </is>
      </c>
      <c r="AY30" t="inlineStr">
        <is>
          <t>Anmalan</t>
        </is>
      </c>
      <c r="AZ30" t="inlineStr">
        <is>
          <t>2026-02-02</t>
        </is>
      </c>
      <c r="BA30" t="inlineStr">
        <is>
          <t>2024-786 Anmälan.pdf</t>
        </is>
      </c>
      <c r="BB30" t="inlineStr">
        <is>
          <t>Sv: till registrator</t>
        </is>
      </c>
      <c r="BC30" t="inlineStr">
        <is>
          <t>AUTO</t>
        </is>
      </c>
      <c r="BD30" t="inlineStr"/>
      <c r="BE30" t="inlineStr"/>
      <c r="BF30" t="inlineStr">
        <is>
          <t>AUTO_GENERERAD. Bekrafta metadata mot kallfil.</t>
        </is>
      </c>
      <c r="BG30">
        <f>HYPERLINK("C:\Users\jimmy\Desktop\Examens arbete\Kod\Ny mapp\remix_-copy-of-miljöbeslut.se-portal\2024-786 Anmälan.pdf", "Öppna PDF")</f>
        <v/>
      </c>
    </row>
    <row r="31">
      <c r="A31" t="inlineStr">
        <is>
          <t>KRAV-AUTO-000030</t>
        </is>
      </c>
      <c r="B31" t="inlineStr">
        <is>
          <t>ADMIN-INDEX-2026-02-27-00000000125C043F57453246863FE664CAFE6A3F0700950291EA24F0614FB6ACEDB12BF0E31D00000000010C0000950291EA24F0614FB6ACEDB12BF0E31D00002087B1E10000</t>
        </is>
      </c>
      <c r="C31" t="inlineStr">
        <is>
          <t>cmm4yumx40058cuqwxcca97de</t>
        </is>
      </c>
      <c r="D31" t="inlineStr">
        <is>
          <t>http://localhost:8787/api/admin/requirements/documents/cmm4yumx40058cuqwxcca97de/view</t>
        </is>
      </c>
      <c r="E31">
        <f>HYPERLÄNK("http://localhost:8787/api/admin/requirements/documents/cmm4yumx40058cuqwxcca97de/view";"Öppna PDF")</f>
        <v/>
      </c>
      <c r="F31">
        <f>HYPERLINK("http://localhost:8787/api/admin/requirements/documents/cmm4yumx40058cuqwxcca97de/view","Open PDF")</f>
        <v/>
      </c>
      <c r="G31" t="inlineStr">
        <is>
          <t>cmm55w57p0004cuisfrtpqly8</t>
        </is>
      </c>
      <c r="H31" t="inlineStr">
        <is>
          <t>Informationskrav</t>
        </is>
      </c>
      <c r="I31" t="inlineStr">
        <is>
          <t>Riskhantering</t>
        </is>
      </c>
      <c r="J31" t="inlineStr">
        <is>
          <t>Riskkontroll</t>
        </is>
      </c>
      <c r="K31" t="inlineStr">
        <is>
          <t>Avfallet kommer endast att utgöras av icke farligt avfall och genom att så snart som möjligt och minst varje dag omlasta avfallet till flak så minskar risken för påverkan på dagvattnet.</t>
        </is>
      </c>
      <c r="L31" t="inlineStr">
        <is>
          <t>Avfallet kommer endast att utgöras av icke farligt avfall och genom att så snart som möjligt och minst varje dag omlasta avfallet till flak så minskar risken för påverkan på dagvattnet.</t>
        </is>
      </c>
      <c r="M31" t="inlineStr">
        <is>
          <t>SKA</t>
        </is>
      </c>
      <c r="N31" t="inlineStr"/>
      <c r="O31" t="inlineStr"/>
      <c r="P31" t="inlineStr">
        <is>
          <t>Arlig</t>
        </is>
      </c>
      <c r="Q31" t="inlineStr"/>
      <c r="R31" t="inlineStr">
        <is>
          <t>Vid risk for incident</t>
        </is>
      </c>
      <c r="S31" t="inlineStr"/>
      <c r="T31" t="inlineStr"/>
      <c r="U31" t="inlineStr"/>
      <c r="V31" t="inlineStr"/>
      <c r="W31" t="inlineStr">
        <is>
          <t>Nej</t>
        </is>
      </c>
      <c r="X31" t="inlineStr">
        <is>
          <t>Nej</t>
        </is>
      </c>
      <c r="Y31" t="inlineStr">
        <is>
          <t>Ja</t>
        </is>
      </c>
      <c r="Z31" t="inlineStr">
        <is>
          <t>Ja</t>
        </is>
      </c>
      <c r="AA31" t="n">
        <v>8</v>
      </c>
      <c r="AB31" t="inlineStr">
        <is>
          <t>Riskhantering</t>
        </is>
      </c>
      <c r="AC31" t="inlineStr">
        <is>
          <t>Risk-PM</t>
        </is>
      </c>
      <c r="AD31" t="inlineStr">
        <is>
          <t>Nej</t>
        </is>
      </c>
      <c r="AE31" t="inlineStr">
        <is>
          <t>Nej</t>
        </is>
      </c>
      <c r="AF31" t="inlineStr">
        <is>
          <t>Ej behandlad</t>
        </is>
      </c>
      <c r="AG31" t="inlineStr">
        <is>
          <t>AUTO_GENERERAD. Verifiera citat mot kallfil.</t>
        </is>
      </c>
      <c r="AH31" t="inlineStr">
        <is>
          <t>MEDIUM</t>
        </is>
      </c>
      <c r="AI31" t="inlineStr">
        <is>
          <t>AUTO</t>
        </is>
      </c>
      <c r="AJ31" t="inlineStr">
        <is>
          <t>Nej</t>
        </is>
      </c>
      <c r="AK31" t="inlineStr"/>
      <c r="AL31" t="inlineStr"/>
      <c r="AM31" t="inlineStr"/>
      <c r="AN31" t="inlineStr"/>
      <c r="AO31" t="inlineStr">
        <is>
          <t>cmm4yumxa005ecuqwd2rfqss7</t>
        </is>
      </c>
      <c r="AP31" t="inlineStr">
        <is>
          <t>http://localhost:8787/api/admin/requirements/documents/cmm4yumxa005ecuqwd2rfqss7/view</t>
        </is>
      </c>
      <c r="AQ31">
        <f>HYPERLÄNK("http://localhost:8787/api/admin/requirements/documents/cmm4yumxa005ecuqwd2rfqss7/view";"Öppna PDF")</f>
        <v/>
      </c>
      <c r="AR31">
        <f>HYPERLINK("http://localhost:8787/api/admin/requirements/documents/cmm4yumxa005ecuqwd2rfqss7/view","Open PDF")</f>
        <v/>
      </c>
      <c r="AS31" t="inlineStr">
        <is>
          <t>cmm55w57p0004cuisfrtpqly8</t>
        </is>
      </c>
      <c r="AT31" t="inlineStr">
        <is>
          <t>cmm4xvu980000cuh4vj0usz09</t>
        </is>
      </c>
      <c r="AU31" t="inlineStr">
        <is>
          <t>Västerviks</t>
        </is>
      </c>
      <c r="AV31" t="inlineStr">
        <is>
          <t>Kommun</t>
        </is>
      </c>
      <c r="AW31" t="inlineStr">
        <is>
          <t>Västerviks kommun</t>
        </is>
      </c>
      <c r="AX31" t="inlineStr">
        <is>
          <t>2024-05</t>
        </is>
      </c>
      <c r="AY31" t="inlineStr">
        <is>
          <t>Anmalan</t>
        </is>
      </c>
      <c r="AZ31" t="inlineStr">
        <is>
          <t>2026-02-02</t>
        </is>
      </c>
      <c r="BA31" t="inlineStr">
        <is>
          <t>2024-786 Anmälan.pdf</t>
        </is>
      </c>
      <c r="BB31" t="inlineStr">
        <is>
          <t>Sv: till registrator</t>
        </is>
      </c>
      <c r="BC31" t="inlineStr">
        <is>
          <t>AUTO</t>
        </is>
      </c>
      <c r="BD31" t="inlineStr"/>
      <c r="BE31" t="inlineStr"/>
      <c r="BF31" t="inlineStr">
        <is>
          <t>AUTO_GENERERAD. Bekrafta metadata mot kallfil.</t>
        </is>
      </c>
      <c r="BG31">
        <f>HYPERLINK("C:\Users\jimmy\Desktop\Examens arbete\Kod\Ny mapp\remix_-copy-of-miljöbeslut.se-portal\2024-786 Anmälan.pdf", "Öppna PDF")</f>
        <v/>
      </c>
    </row>
    <row r="32">
      <c r="A32" t="inlineStr">
        <is>
          <t>KRAV-AUTO-000031</t>
        </is>
      </c>
      <c r="B32" t="inlineStr">
        <is>
          <t>ADMIN-INDEX-2026-02-27-00000000125C043F57453246863FE664CAFE6A3F0700950291EA24F0614FB6ACEDB12BF0E31D00000000010C0000950291EA24F0614FB6ACEDB12BF0E31D00002087B1D20000</t>
        </is>
      </c>
      <c r="C32" t="inlineStr">
        <is>
          <t>cmm4yumyo006wcuqw982eyyr8</t>
        </is>
      </c>
      <c r="D32" t="inlineStr">
        <is>
          <t>http://localhost:8787/api/admin/requirements/documents/cmm4yumyo006wcuqw982eyyr8/view</t>
        </is>
      </c>
      <c r="E32">
        <f>HYPERLÄNK("http://localhost:8787/api/admin/requirements/documents/cmm4yumyo006wcuqw982eyyr8/view";"Öppna PDF")</f>
        <v/>
      </c>
      <c r="F32">
        <f>HYPERLINK("http://localhost:8787/api/admin/requirements/documents/cmm4yumyo006wcuqw982eyyr8/view","Open PDF")</f>
        <v/>
      </c>
      <c r="G32" t="inlineStr">
        <is>
          <t>cmm55w57p0004cuisfrtpqly8</t>
        </is>
      </c>
      <c r="H32" t="inlineStr">
        <is>
          <t>Beslutsvillkor</t>
        </is>
      </c>
      <c r="I32" t="inlineStr">
        <is>
          <t>LagringsvolymTid</t>
        </is>
      </c>
      <c r="J32" t="inlineStr">
        <is>
          <t>Maxmangd</t>
        </is>
      </c>
      <c r="K32" t="inlineStr">
        <is>
          <t>Mängden icke-farligt avfall som yrkesmässigt återvinns genom mekanisk bearbetning i verksamheten och som ska användas för byggnads- och anläggningsändamål får vara högst 20 000 ton per år.</t>
        </is>
      </c>
      <c r="L32" t="inlineStr">
        <is>
          <t>Mängden icke-farligt avfall som yrkesmässigt återvinns genom mekanisk bearbetning i verksamheten och som ska användas för byggnads- och anläggningsändamål får vara högst 20 000 ton per år.</t>
        </is>
      </c>
      <c r="M32" t="inlineStr">
        <is>
          <t>SKA</t>
        </is>
      </c>
      <c r="N32" t="inlineStr"/>
      <c r="O32" t="inlineStr"/>
      <c r="P32" t="inlineStr">
        <is>
          <t>Arlig</t>
        </is>
      </c>
      <c r="Q32" t="inlineStr"/>
      <c r="R32" t="inlineStr">
        <is>
          <t>Alltid</t>
        </is>
      </c>
      <c r="S32" t="inlineStr"/>
      <c r="T32" t="inlineStr">
        <is>
          <t>88 63 89</t>
        </is>
      </c>
      <c r="U32" t="n">
        <v>0</v>
      </c>
      <c r="V32" t="inlineStr"/>
      <c r="W32" t="inlineStr">
        <is>
          <t>Nej</t>
        </is>
      </c>
      <c r="X32" t="inlineStr">
        <is>
          <t>Nej</t>
        </is>
      </c>
      <c r="Y32" t="inlineStr">
        <is>
          <t>Nej</t>
        </is>
      </c>
      <c r="Z32" t="inlineStr">
        <is>
          <t>Nej</t>
        </is>
      </c>
      <c r="AA32" t="n">
        <v>4</v>
      </c>
      <c r="AB32" t="inlineStr">
        <is>
          <t>Avfallsmangder och lagringstid</t>
        </is>
      </c>
      <c r="AC32" t="inlineStr">
        <is>
          <t>Avfallsforteckning</t>
        </is>
      </c>
      <c r="AD32" t="inlineStr">
        <is>
          <t>Nej</t>
        </is>
      </c>
      <c r="AE32" t="inlineStr">
        <is>
          <t>Nej</t>
        </is>
      </c>
      <c r="AF32" t="inlineStr">
        <is>
          <t>Ej behandlad</t>
        </is>
      </c>
      <c r="AG32" t="inlineStr">
        <is>
          <t>AUTO_GENERERAD. Verifiera citat mot kallfil.</t>
        </is>
      </c>
      <c r="AH32" t="inlineStr">
        <is>
          <t>MEDIUM</t>
        </is>
      </c>
      <c r="AI32" t="inlineStr">
        <is>
          <t>AUTO</t>
        </is>
      </c>
      <c r="AJ32" t="inlineStr">
        <is>
          <t>Nej</t>
        </is>
      </c>
      <c r="AK32" t="inlineStr"/>
      <c r="AL32" t="inlineStr"/>
      <c r="AM32" t="inlineStr"/>
      <c r="AN32" t="inlineStr"/>
      <c r="AO32" t="inlineStr">
        <is>
          <t>cmm4yumyz0075cuqwsj0akxcx</t>
        </is>
      </c>
      <c r="AP32" t="inlineStr">
        <is>
          <t>http://localhost:8787/api/admin/requirements/documents/cmm4yumyz0075cuqwsj0akxcx/view</t>
        </is>
      </c>
      <c r="AQ32">
        <f>HYPERLÄNK("http://localhost:8787/api/admin/requirements/documents/cmm4yumyz0075cuqwsj0akxcx/view";"Öppna PDF")</f>
        <v/>
      </c>
      <c r="AR32">
        <f>HYPERLINK("http://localhost:8787/api/admin/requirements/documents/cmm4yumyz0075cuqwsj0akxcx/view","Open PDF")</f>
        <v/>
      </c>
      <c r="AS32" t="inlineStr">
        <is>
          <t>cmm55w57p0004cuisfrtpqly8</t>
        </is>
      </c>
      <c r="AT32" t="inlineStr">
        <is>
          <t>cmm4xvu980000cuh4vj0usz09</t>
        </is>
      </c>
      <c r="AU32" t="inlineStr">
        <is>
          <t>Falkenberg Postadress Falkenbergs</t>
        </is>
      </c>
      <c r="AV32" t="inlineStr">
        <is>
          <t>Kommun</t>
        </is>
      </c>
      <c r="AW32" t="inlineStr">
        <is>
          <t>Falkenberg Postadress Falkenbergs kommun</t>
        </is>
      </c>
      <c r="AX32" t="inlineStr">
        <is>
          <t>2025-02</t>
        </is>
      </c>
      <c r="AY32" t="inlineStr">
        <is>
          <t>Beslut</t>
        </is>
      </c>
      <c r="AZ32" t="inlineStr">
        <is>
          <t>2026-02-03</t>
        </is>
      </c>
      <c r="BA32" t="inlineStr">
        <is>
          <t>M-2024-2727_2025-01-10_Beslut (MHF MHN)_Västra Gärdet 2 1.pdf</t>
        </is>
      </c>
      <c r="BB32" t="inlineStr">
        <is>
          <t>efterfrågade handlingar</t>
        </is>
      </c>
      <c r="BC32" t="inlineStr">
        <is>
          <t>AUTO</t>
        </is>
      </c>
      <c r="BD32" t="inlineStr"/>
      <c r="BE32" t="inlineStr"/>
      <c r="BF32" t="inlineStr">
        <is>
          <t>AUTO_GENERERAD. Bekrafta metadata mot kallfil.</t>
        </is>
      </c>
      <c r="BG32">
        <f>HYPERLINK("C:\Users\jimmy\Desktop\Examens arbete\Kod\Ny mapp\remix_-copy-of-miljöbeslut.se-portal\M-2024-2727_2025-01-10_Beslut (MHF MHN)_Västra Gärdet 2 1.pdf", "Öppna PDF")</f>
        <v/>
      </c>
    </row>
    <row r="33">
      <c r="A33" t="inlineStr">
        <is>
          <t>KRAV-AUTO-000032</t>
        </is>
      </c>
      <c r="B33" t="inlineStr">
        <is>
          <t>ADMIN-INDEX-2026-02-27-00000000125C043F57453246863FE664CAFE6A3F0700950291EA24F0614FB6ACEDB12BF0E31D00000000010C0000950291EA24F0614FB6ACEDB12BF0E31D00002087B1D20000</t>
        </is>
      </c>
      <c r="C33" t="inlineStr">
        <is>
          <t>cmm4yumyo006wcuqw982eyyr8</t>
        </is>
      </c>
      <c r="D33" t="inlineStr">
        <is>
          <t>http://localhost:8787/api/admin/requirements/documents/cmm4yumyo006wcuqw982eyyr8/view</t>
        </is>
      </c>
      <c r="E33">
        <f>HYPERLÄNK("http://localhost:8787/api/admin/requirements/documents/cmm4yumyo006wcuqw982eyyr8/view";"Öppna PDF")</f>
        <v/>
      </c>
      <c r="F33">
        <f>HYPERLINK("http://localhost:8787/api/admin/requirements/documents/cmm4yumyo006wcuqw982eyyr8/view","Open PDF")</f>
        <v/>
      </c>
      <c r="G33" t="inlineStr">
        <is>
          <t>cmm55w57p0004cuisfrtpqly8</t>
        </is>
      </c>
      <c r="H33" t="inlineStr">
        <is>
          <t>Beslutsvillkor</t>
        </is>
      </c>
      <c r="I33" t="inlineStr">
        <is>
          <t>LagringsvolymTid</t>
        </is>
      </c>
      <c r="J33" t="inlineStr">
        <is>
          <t>Maxmangd</t>
        </is>
      </c>
      <c r="K33" t="inlineStr">
        <is>
          <t>Mängden icke-farligt avfall som yrkesmässigt återvinns genom mekanisk bearbetning i verksamheten och som inte ska användas för byggnads- och anläggningsändamål får vara högst 10 000 ton per år.</t>
        </is>
      </c>
      <c r="L33" t="inlineStr">
        <is>
          <t>Mängden icke-farligt avfall som yrkesmässigt återvinns genom mekanisk bearbetning i verksamheten och som inte ska användas för byggnads- och anläggningsändamål får vara högst 10 000 ton per år.</t>
        </is>
      </c>
      <c r="M33" t="inlineStr">
        <is>
          <t>SKA</t>
        </is>
      </c>
      <c r="N33" t="inlineStr"/>
      <c r="O33" t="inlineStr"/>
      <c r="P33" t="inlineStr">
        <is>
          <t>Arlig</t>
        </is>
      </c>
      <c r="Q33" t="inlineStr"/>
      <c r="R33" t="inlineStr">
        <is>
          <t>Alltid</t>
        </is>
      </c>
      <c r="S33" t="inlineStr"/>
      <c r="T33" t="inlineStr">
        <is>
          <t>88 63 89</t>
        </is>
      </c>
      <c r="U33" t="n">
        <v>0</v>
      </c>
      <c r="V33" t="inlineStr"/>
      <c r="W33" t="inlineStr">
        <is>
          <t>Nej</t>
        </is>
      </c>
      <c r="X33" t="inlineStr">
        <is>
          <t>Nej</t>
        </is>
      </c>
      <c r="Y33" t="inlineStr">
        <is>
          <t>Nej</t>
        </is>
      </c>
      <c r="Z33" t="inlineStr">
        <is>
          <t>Nej</t>
        </is>
      </c>
      <c r="AA33" t="n">
        <v>4</v>
      </c>
      <c r="AB33" t="inlineStr">
        <is>
          <t>Avfallsmangder och lagringstid</t>
        </is>
      </c>
      <c r="AC33" t="inlineStr">
        <is>
          <t>Avfallsforteckning</t>
        </is>
      </c>
      <c r="AD33" t="inlineStr">
        <is>
          <t>Nej</t>
        </is>
      </c>
      <c r="AE33" t="inlineStr">
        <is>
          <t>Nej</t>
        </is>
      </c>
      <c r="AF33" t="inlineStr">
        <is>
          <t>Ej behandlad</t>
        </is>
      </c>
      <c r="AG33" t="inlineStr">
        <is>
          <t>AUTO_GENERERAD. Verifiera citat mot kallfil.</t>
        </is>
      </c>
      <c r="AH33" t="inlineStr">
        <is>
          <t>MEDIUM</t>
        </is>
      </c>
      <c r="AI33" t="inlineStr">
        <is>
          <t>AUTO</t>
        </is>
      </c>
      <c r="AJ33" t="inlineStr">
        <is>
          <t>Nej</t>
        </is>
      </c>
      <c r="AK33" t="inlineStr"/>
      <c r="AL33" t="inlineStr"/>
      <c r="AM33" t="inlineStr"/>
      <c r="AN33" t="inlineStr"/>
      <c r="AO33" t="inlineStr">
        <is>
          <t>cmm4yumyz0075cuqwsj0akxcx</t>
        </is>
      </c>
      <c r="AP33" t="inlineStr">
        <is>
          <t>http://localhost:8787/api/admin/requirements/documents/cmm4yumyz0075cuqwsj0akxcx/view</t>
        </is>
      </c>
      <c r="AQ33">
        <f>HYPERLÄNK("http://localhost:8787/api/admin/requirements/documents/cmm4yumyz0075cuqwsj0akxcx/view";"Öppna PDF")</f>
        <v/>
      </c>
      <c r="AR33">
        <f>HYPERLINK("http://localhost:8787/api/admin/requirements/documents/cmm4yumyz0075cuqwsj0akxcx/view","Open PDF")</f>
        <v/>
      </c>
      <c r="AS33" t="inlineStr">
        <is>
          <t>cmm55w57p0004cuisfrtpqly8</t>
        </is>
      </c>
      <c r="AT33" t="inlineStr">
        <is>
          <t>cmm4xvu980000cuh4vj0usz09</t>
        </is>
      </c>
      <c r="AU33" t="inlineStr">
        <is>
          <t>Falkenberg Postadress Falkenbergs</t>
        </is>
      </c>
      <c r="AV33" t="inlineStr">
        <is>
          <t>Kommun</t>
        </is>
      </c>
      <c r="AW33" t="inlineStr">
        <is>
          <t>Falkenberg Postadress Falkenbergs kommun</t>
        </is>
      </c>
      <c r="AX33" t="inlineStr">
        <is>
          <t>2025-02</t>
        </is>
      </c>
      <c r="AY33" t="inlineStr">
        <is>
          <t>Beslut</t>
        </is>
      </c>
      <c r="AZ33" t="inlineStr">
        <is>
          <t>2026-02-03</t>
        </is>
      </c>
      <c r="BA33" t="inlineStr">
        <is>
          <t>M-2024-2727_2025-01-10_Beslut (MHF MHN)_Västra Gärdet 2 1.pdf</t>
        </is>
      </c>
      <c r="BB33" t="inlineStr">
        <is>
          <t>efterfrågade handlingar</t>
        </is>
      </c>
      <c r="BC33" t="inlineStr">
        <is>
          <t>AUTO</t>
        </is>
      </c>
      <c r="BD33" t="inlineStr"/>
      <c r="BE33" t="inlineStr"/>
      <c r="BF33" t="inlineStr">
        <is>
          <t>AUTO_GENERERAD. Bekrafta metadata mot kallfil.</t>
        </is>
      </c>
      <c r="BG33">
        <f>HYPERLINK("C:\Users\jimmy\Desktop\Examens arbete\Kod\Ny mapp\remix_-copy-of-miljöbeslut.se-portal\M-2024-2727_2025-01-10_Beslut (MHF MHN)_Västra Gärdet 2 1.pdf", "Öppna PDF")</f>
        <v/>
      </c>
    </row>
    <row r="34">
      <c r="A34" t="inlineStr">
        <is>
          <t>KRAV-AUTO-000033</t>
        </is>
      </c>
      <c r="B34" t="inlineStr">
        <is>
          <t>ADMIN-INDEX-2026-02-27-00000000125C043F57453246863FE664CAFE6A3F0700950291EA24F0614FB6ACEDB12BF0E31D00000000010C0000950291EA24F0614FB6ACEDB12BF0E31D00002087B1D20000</t>
        </is>
      </c>
      <c r="C34" t="inlineStr">
        <is>
          <t>cmm4yumyo006wcuqw982eyyr8</t>
        </is>
      </c>
      <c r="D34" t="inlineStr">
        <is>
          <t>http://localhost:8787/api/admin/requirements/documents/cmm4yumyo006wcuqw982eyyr8/view</t>
        </is>
      </c>
      <c r="E34">
        <f>HYPERLÄNK("http://localhost:8787/api/admin/requirements/documents/cmm4yumyo006wcuqw982eyyr8/view";"Öppna PDF")</f>
        <v/>
      </c>
      <c r="F34">
        <f>HYPERLINK("http://localhost:8787/api/admin/requirements/documents/cmm4yumyo006wcuqw982eyyr8/view","Open PDF")</f>
        <v/>
      </c>
      <c r="G34" t="inlineStr">
        <is>
          <t>cmm55w57p0004cuisfrtpqly8</t>
        </is>
      </c>
      <c r="H34" t="inlineStr">
        <is>
          <t>Beslutsvillkor</t>
        </is>
      </c>
      <c r="I34" t="inlineStr">
        <is>
          <t>MiljopaverkanForsiktighet</t>
        </is>
      </c>
      <c r="J34" t="inlineStr">
        <is>
          <t>Skyddsatgarder</t>
        </is>
      </c>
      <c r="K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L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M34" t="inlineStr">
        <is>
          <t>SKA</t>
        </is>
      </c>
      <c r="N34" t="inlineStr">
        <is>
          <t>FMH</t>
        </is>
      </c>
      <c r="O34" t="inlineStr"/>
      <c r="P34" t="inlineStr">
        <is>
          <t>Arlig</t>
        </is>
      </c>
      <c r="Q34" t="inlineStr">
        <is>
          <t>Forelaggande vid brist</t>
        </is>
      </c>
      <c r="R34" t="inlineStr">
        <is>
          <t>Alltid</t>
        </is>
      </c>
      <c r="S34" t="inlineStr"/>
      <c r="T34" t="inlineStr">
        <is>
          <t>88 63 89</t>
        </is>
      </c>
      <c r="U34" t="inlineStr"/>
      <c r="V34" t="inlineStr"/>
      <c r="W34" t="inlineStr">
        <is>
          <t>Nej</t>
        </is>
      </c>
      <c r="X34" t="inlineStr">
        <is>
          <t>Nej</t>
        </is>
      </c>
      <c r="Y34" t="inlineStr">
        <is>
          <t>Nej</t>
        </is>
      </c>
      <c r="Z34" t="inlineStr">
        <is>
          <t>Nej</t>
        </is>
      </c>
      <c r="AA34" t="n">
        <v>10</v>
      </c>
      <c r="AB34" t="inlineStr">
        <is>
          <t>Miljopaverkan och forsiktighetsmatt</t>
        </is>
      </c>
      <c r="AC34" t="inlineStr">
        <is>
          <t>Miljo-PM</t>
        </is>
      </c>
      <c r="AD34" t="inlineStr">
        <is>
          <t>Nej</t>
        </is>
      </c>
      <c r="AE34" t="inlineStr">
        <is>
          <t>Nej</t>
        </is>
      </c>
      <c r="AF34" t="inlineStr">
        <is>
          <t>Ej behandlad</t>
        </is>
      </c>
      <c r="AG34" t="inlineStr">
        <is>
          <t>AUTO_GENERERAD. Verifiera citat mot kallfil.</t>
        </is>
      </c>
      <c r="AH34" t="inlineStr">
        <is>
          <t>HIGH</t>
        </is>
      </c>
      <c r="AI34" t="inlineStr">
        <is>
          <t>AUTO</t>
        </is>
      </c>
      <c r="AJ34" t="inlineStr">
        <is>
          <t>Nej</t>
        </is>
      </c>
      <c r="AK34" t="inlineStr"/>
      <c r="AL34" t="inlineStr"/>
      <c r="AM34" t="inlineStr"/>
      <c r="AN34" t="inlineStr"/>
      <c r="AO34" t="inlineStr">
        <is>
          <t>cmm4yumyz0075cuqwsj0akxcx</t>
        </is>
      </c>
      <c r="AP34" t="inlineStr">
        <is>
          <t>http://localhost:8787/api/admin/requirements/documents/cmm4yumyz0075cuqwsj0akxcx/view</t>
        </is>
      </c>
      <c r="AQ34">
        <f>HYPERLÄNK("http://localhost:8787/api/admin/requirements/documents/cmm4yumyz0075cuqwsj0akxcx/view";"Öppna PDF")</f>
        <v/>
      </c>
      <c r="AR34">
        <f>HYPERLINK("http://localhost:8787/api/admin/requirements/documents/cmm4yumyz0075cuqwsj0akxcx/view","Open PDF")</f>
        <v/>
      </c>
      <c r="AS34" t="inlineStr">
        <is>
          <t>cmm55w57p0004cuisfrtpqly8</t>
        </is>
      </c>
      <c r="AT34" t="inlineStr">
        <is>
          <t>cmm4xvu980000cuh4vj0usz09</t>
        </is>
      </c>
      <c r="AU34" t="inlineStr">
        <is>
          <t>Falkenberg Postadress Falkenbergs</t>
        </is>
      </c>
      <c r="AV34" t="inlineStr">
        <is>
          <t>Kommun</t>
        </is>
      </c>
      <c r="AW34" t="inlineStr">
        <is>
          <t>Falkenberg Postadress Falkenbergs kommun</t>
        </is>
      </c>
      <c r="AX34" t="inlineStr">
        <is>
          <t>2025-02</t>
        </is>
      </c>
      <c r="AY34" t="inlineStr">
        <is>
          <t>Beslut</t>
        </is>
      </c>
      <c r="AZ34" t="inlineStr">
        <is>
          <t>2026-02-03</t>
        </is>
      </c>
      <c r="BA34" t="inlineStr">
        <is>
          <t>M-2024-2727_2025-01-10_Beslut (MHF MHN)_Västra Gärdet 2 1.pdf</t>
        </is>
      </c>
      <c r="BB34" t="inlineStr">
        <is>
          <t>efterfrågade handlingar</t>
        </is>
      </c>
      <c r="BC34" t="inlineStr">
        <is>
          <t>AUTO</t>
        </is>
      </c>
      <c r="BD34" t="inlineStr"/>
      <c r="BE34" t="inlineStr"/>
      <c r="BF34" t="inlineStr">
        <is>
          <t>AUTO_GENERERAD. Bekrafta metadata mot kallfil.</t>
        </is>
      </c>
      <c r="BG34">
        <f>HYPERLINK("C:\Users\jimmy\Desktop\Examens arbete\Kod\Ny mapp\remix_-copy-of-miljöbeslut.se-portal\M-2024-2727_2025-01-10_Beslut (MHF MHN)_Västra Gärdet 2 1.pdf", "Öppna PDF")</f>
        <v/>
      </c>
    </row>
    <row r="35">
      <c r="A35" t="inlineStr">
        <is>
          <t>KRAV-AUTO-000034</t>
        </is>
      </c>
      <c r="B35" t="inlineStr">
        <is>
          <t>ADMIN-INDEX-2026-02-27-00000000125C043F57453246863FE664CAFE6A3F0700950291EA24F0614FB6ACEDB12BF0E31D00000000010C0000950291EA24F0614FB6ACEDB12BF0E31D00002087B1D20000</t>
        </is>
      </c>
      <c r="C35" t="inlineStr">
        <is>
          <t>cmm4yumyl006tcuqwb0tvwtrm</t>
        </is>
      </c>
      <c r="D35" t="inlineStr">
        <is>
          <t>http://localhost:8787/api/admin/requirements/documents/cmm4yumyl006tcuqwb0tvwtrm/view</t>
        </is>
      </c>
      <c r="E35">
        <f>HYPERLÄNK("http://localhost:8787/api/admin/requirements/documents/cmm4yumyl006tcuqwb0tvwtrm/view";"Öppna PDF")</f>
        <v/>
      </c>
      <c r="F35">
        <f>HYPERLINK("http://localhost:8787/api/admin/requirements/documents/cmm4yumyl006tcuqwb0tvwtrm/view","Open PDF")</f>
        <v/>
      </c>
      <c r="G35" t="inlineStr">
        <is>
          <t>cmm55w57p0004cuisfrtpqly8</t>
        </is>
      </c>
      <c r="H35" t="inlineStr">
        <is>
          <t>Beslutsvillkor</t>
        </is>
      </c>
      <c r="I35" t="inlineStr">
        <is>
          <t>MiljopaverkanForsiktighet</t>
        </is>
      </c>
      <c r="J35" t="inlineStr">
        <is>
          <t>Skyddsatgarder</t>
        </is>
      </c>
      <c r="K35" t="inlineStr">
        <is>
          <t>Avfallet ska vara borttaget senast fyra månader efter att det här beslutet vunnit laga kraft.</t>
        </is>
      </c>
      <c r="L35" t="inlineStr">
        <is>
          <t>Avfallet ska vara borttaget senast fyra månader efter att det här beslutet vunnit laga kraft.</t>
        </is>
      </c>
      <c r="M35" t="inlineStr">
        <is>
          <t>SKA</t>
        </is>
      </c>
      <c r="N35" t="inlineStr"/>
      <c r="O35" t="inlineStr">
        <is>
          <t>senast fyra manader efter att det har</t>
        </is>
      </c>
      <c r="P35" t="inlineStr">
        <is>
          <t>Manadskontroll</t>
        </is>
      </c>
      <c r="Q35" t="inlineStr"/>
      <c r="R35" t="inlineStr">
        <is>
          <t>Alltid</t>
        </is>
      </c>
      <c r="S35" t="inlineStr"/>
      <c r="T35" t="inlineStr">
        <is>
          <t>88 63 89</t>
        </is>
      </c>
      <c r="U35" t="inlineStr"/>
      <c r="V35" t="inlineStr"/>
      <c r="W35" t="inlineStr">
        <is>
          <t>Nej</t>
        </is>
      </c>
      <c r="X35" t="inlineStr">
        <is>
          <t>Nej</t>
        </is>
      </c>
      <c r="Y35" t="inlineStr">
        <is>
          <t>Nej</t>
        </is>
      </c>
      <c r="Z35" t="inlineStr">
        <is>
          <t>Nej</t>
        </is>
      </c>
      <c r="AA35" t="n">
        <v>10</v>
      </c>
      <c r="AB35" t="inlineStr">
        <is>
          <t>Miljopaverkan och forsiktighetsmatt</t>
        </is>
      </c>
      <c r="AC35" t="inlineStr">
        <is>
          <t>Miljo-PM</t>
        </is>
      </c>
      <c r="AD35" t="inlineStr">
        <is>
          <t>Nej</t>
        </is>
      </c>
      <c r="AE35" t="inlineStr">
        <is>
          <t>Nej</t>
        </is>
      </c>
      <c r="AF35" t="inlineStr">
        <is>
          <t>Ej behandlad</t>
        </is>
      </c>
      <c r="AG35" t="inlineStr">
        <is>
          <t>AUTO_GENERERAD. Verifiera citat mot kallfil.</t>
        </is>
      </c>
      <c r="AH35" t="inlineStr">
        <is>
          <t>MEDIUM</t>
        </is>
      </c>
      <c r="AI35" t="inlineStr">
        <is>
          <t>AUTO</t>
        </is>
      </c>
      <c r="AJ35" t="inlineStr">
        <is>
          <t>Nej</t>
        </is>
      </c>
      <c r="AK35" t="inlineStr"/>
      <c r="AL35" t="inlineStr"/>
      <c r="AM35" t="inlineStr"/>
      <c r="AN35" t="inlineStr"/>
      <c r="AO35" t="inlineStr">
        <is>
          <t>cmm4yumyz0075cuqwsj0akxcx</t>
        </is>
      </c>
      <c r="AP35" t="inlineStr">
        <is>
          <t>http://localhost:8787/api/admin/requirements/documents/cmm4yumyz0075cuqwsj0akxcx/view</t>
        </is>
      </c>
      <c r="AQ35">
        <f>HYPERLÄNK("http://localhost:8787/api/admin/requirements/documents/cmm4yumyz0075cuqwsj0akxcx/view";"Öppna PDF")</f>
        <v/>
      </c>
      <c r="AR35">
        <f>HYPERLINK("http://localhost:8787/api/admin/requirements/documents/cmm4yumyz0075cuqwsj0akxcx/view","Open PDF")</f>
        <v/>
      </c>
      <c r="AS35" t="inlineStr">
        <is>
          <t>cmm55w57p0004cuisfrtpqly8</t>
        </is>
      </c>
      <c r="AT35" t="inlineStr">
        <is>
          <t>cmm4xvu980000cuh4vj0usz09</t>
        </is>
      </c>
      <c r="AU35" t="inlineStr">
        <is>
          <t>Falkenberg Postadress Falkenbergs</t>
        </is>
      </c>
      <c r="AV35" t="inlineStr">
        <is>
          <t>Kommun</t>
        </is>
      </c>
      <c r="AW35" t="inlineStr">
        <is>
          <t>Falkenberg Postadress Falkenbergs kommun</t>
        </is>
      </c>
      <c r="AX35" t="inlineStr">
        <is>
          <t>2025-02</t>
        </is>
      </c>
      <c r="AY35" t="inlineStr">
        <is>
          <t>Beslut</t>
        </is>
      </c>
      <c r="AZ35" t="inlineStr">
        <is>
          <t>2026-02-03</t>
        </is>
      </c>
      <c r="BA35" t="inlineStr">
        <is>
          <t>M-2024-2727_2025-01-10_Beslut (MHF MHN)_Västra Gärdet 2 1.pdf</t>
        </is>
      </c>
      <c r="BB35" t="inlineStr">
        <is>
          <t>efterfrågade handlingar</t>
        </is>
      </c>
      <c r="BC35" t="inlineStr">
        <is>
          <t>AUTO</t>
        </is>
      </c>
      <c r="BD35" t="inlineStr"/>
      <c r="BE35" t="inlineStr"/>
      <c r="BF35" t="inlineStr">
        <is>
          <t>AUTO_GENERERAD. Bekrafta metadata mot kallfil.</t>
        </is>
      </c>
      <c r="BG35">
        <f>HYPERLINK("C:\Users\jimmy\Desktop\Examens arbete\Kod\Ny mapp\remix_-copy-of-miljöbeslut.se-portal\M-2024-2727_2025-01-10_Beslut (MHF MHN)_Västra Gärdet 2 1.pdf", "Öppna PDF")</f>
        <v/>
      </c>
    </row>
    <row r="36">
      <c r="A36" t="inlineStr">
        <is>
          <t>KRAV-AUTO-000035</t>
        </is>
      </c>
      <c r="B36" t="inlineStr">
        <is>
          <t>ADMIN-INDEX-2026-02-27-00000000125C043F57453246863FE664CAFE6A3F0700950291EA24F0614FB6ACEDB12BF0E31D00000000010C0000950291EA24F0614FB6ACEDB12BF0E31D00002087B1D20000</t>
        </is>
      </c>
      <c r="C36" t="inlineStr">
        <is>
          <t>cmm4yumyl006tcuqwb0tvwtrm</t>
        </is>
      </c>
      <c r="D36" t="inlineStr">
        <is>
          <t>http://localhost:8787/api/admin/requirements/documents/cmm4yumyl006tcuqwb0tvwtrm/view</t>
        </is>
      </c>
      <c r="E36">
        <f>HYPERLÄNK("http://localhost:8787/api/admin/requirements/documents/cmm4yumyl006tcuqwb0tvwtrm/view";"Öppna PDF")</f>
        <v/>
      </c>
      <c r="F36">
        <f>HYPERLINK("http://localhost:8787/api/admin/requirements/documents/cmm4yumyl006tcuqwb0tvwtrm/view","Open PDF")</f>
        <v/>
      </c>
      <c r="G36" t="inlineStr">
        <is>
          <t>cmm55w57p0004cuisfrtpqly8</t>
        </is>
      </c>
      <c r="H36" t="inlineStr">
        <is>
          <t>Beslutsvillkor</t>
        </is>
      </c>
      <c r="I36" t="inlineStr">
        <is>
          <t>MiljopaverkanForsiktighet</t>
        </is>
      </c>
      <c r="J36" t="inlineStr">
        <is>
          <t>Skyddsatgarder</t>
        </is>
      </c>
      <c r="K36" t="inlineStr">
        <is>
          <t>Senast tre veckor efter att allt avfall på fastigheten Hanarp 1:4 har tagits bort ska en skriftlig redovisning lämnas in till miljö- och hälsoskyddsförvaltningen.</t>
        </is>
      </c>
      <c r="L36" t="inlineStr">
        <is>
          <t>Senast tre veckor efter att allt avfall på fastigheten Hanarp 1:4 har tagits bort ska en skriftlig redovisning lämnas in till miljö- och hälsoskyddsförvaltningen.</t>
        </is>
      </c>
      <c r="M36" t="inlineStr">
        <is>
          <t>SKA</t>
        </is>
      </c>
      <c r="N36" t="inlineStr"/>
      <c r="O36" t="inlineStr">
        <is>
          <t>senast tre veckor efter att allt avfa</t>
        </is>
      </c>
      <c r="P36" t="inlineStr"/>
      <c r="Q36" t="inlineStr"/>
      <c r="R36" t="inlineStr">
        <is>
          <t>Alltid</t>
        </is>
      </c>
      <c r="S36" t="inlineStr"/>
      <c r="T36" t="inlineStr">
        <is>
          <t>88 63 89</t>
        </is>
      </c>
      <c r="U36" t="inlineStr"/>
      <c r="V36" t="inlineStr"/>
      <c r="W36" t="inlineStr">
        <is>
          <t>Nej</t>
        </is>
      </c>
      <c r="X36" t="inlineStr">
        <is>
          <t>Nej</t>
        </is>
      </c>
      <c r="Y36" t="inlineStr">
        <is>
          <t>Nej</t>
        </is>
      </c>
      <c r="Z36" t="inlineStr">
        <is>
          <t>Nej</t>
        </is>
      </c>
      <c r="AA36" t="n">
        <v>10</v>
      </c>
      <c r="AB36" t="inlineStr">
        <is>
          <t>Miljopaverkan och forsiktighetsmatt</t>
        </is>
      </c>
      <c r="AC36" t="inlineStr">
        <is>
          <t>Miljo-PM</t>
        </is>
      </c>
      <c r="AD36" t="inlineStr">
        <is>
          <t>Nej</t>
        </is>
      </c>
      <c r="AE36" t="inlineStr">
        <is>
          <t>Nej</t>
        </is>
      </c>
      <c r="AF36" t="inlineStr">
        <is>
          <t>Ej behandlad</t>
        </is>
      </c>
      <c r="AG36" t="inlineStr">
        <is>
          <t>AUTO_GENERERAD. Verifiera citat mot kallfil.</t>
        </is>
      </c>
      <c r="AH36" t="inlineStr">
        <is>
          <t>MEDIUM</t>
        </is>
      </c>
      <c r="AI36" t="inlineStr">
        <is>
          <t>AUTO</t>
        </is>
      </c>
      <c r="AJ36" t="inlineStr">
        <is>
          <t>Nej</t>
        </is>
      </c>
      <c r="AK36" t="inlineStr"/>
      <c r="AL36" t="inlineStr"/>
      <c r="AM36" t="inlineStr"/>
      <c r="AN36" t="inlineStr"/>
      <c r="AO36" t="inlineStr">
        <is>
          <t>cmm4yumyz0075cuqwsj0akxcx</t>
        </is>
      </c>
      <c r="AP36" t="inlineStr">
        <is>
          <t>http://localhost:8787/api/admin/requirements/documents/cmm4yumyz0075cuqwsj0akxcx/view</t>
        </is>
      </c>
      <c r="AQ36">
        <f>HYPERLÄNK("http://localhost:8787/api/admin/requirements/documents/cmm4yumyz0075cuqwsj0akxcx/view";"Öppna PDF")</f>
        <v/>
      </c>
      <c r="AR36">
        <f>HYPERLINK("http://localhost:8787/api/admin/requirements/documents/cmm4yumyz0075cuqwsj0akxcx/view","Open PDF")</f>
        <v/>
      </c>
      <c r="AS36" t="inlineStr">
        <is>
          <t>cmm55w57p0004cuisfrtpqly8</t>
        </is>
      </c>
      <c r="AT36" t="inlineStr">
        <is>
          <t>cmm4xvu980000cuh4vj0usz09</t>
        </is>
      </c>
      <c r="AU36" t="inlineStr">
        <is>
          <t>Falkenberg Postadress Falkenbergs</t>
        </is>
      </c>
      <c r="AV36" t="inlineStr">
        <is>
          <t>Kommun</t>
        </is>
      </c>
      <c r="AW36" t="inlineStr">
        <is>
          <t>Falkenberg Postadress Falkenbergs kommun</t>
        </is>
      </c>
      <c r="AX36" t="inlineStr">
        <is>
          <t>2025-02</t>
        </is>
      </c>
      <c r="AY36" t="inlineStr">
        <is>
          <t>Beslut</t>
        </is>
      </c>
      <c r="AZ36" t="inlineStr">
        <is>
          <t>2026-02-03</t>
        </is>
      </c>
      <c r="BA36" t="inlineStr">
        <is>
          <t>M-2024-2727_2025-01-10_Beslut (MHF MHN)_Västra Gärdet 2 1.pdf</t>
        </is>
      </c>
      <c r="BB36" t="inlineStr">
        <is>
          <t>efterfrågade handlingar</t>
        </is>
      </c>
      <c r="BC36" t="inlineStr">
        <is>
          <t>AUTO</t>
        </is>
      </c>
      <c r="BD36" t="inlineStr"/>
      <c r="BE36" t="inlineStr"/>
      <c r="BF36" t="inlineStr">
        <is>
          <t>AUTO_GENERERAD. Bekrafta metadata mot kallfil.</t>
        </is>
      </c>
      <c r="BG36">
        <f>HYPERLINK("C:\Users\jimmy\Desktop\Examens arbete\Kod\Ny mapp\remix_-copy-of-miljöbeslut.se-portal\M-2024-2727_2025-01-10_Beslut (MHF MHN)_Västra Gärdet 2 1.pdf", "Öppna PDF")</f>
        <v/>
      </c>
    </row>
    <row r="37">
      <c r="A37" t="inlineStr">
        <is>
          <t>KRAV-AUTO-000036</t>
        </is>
      </c>
      <c r="B37" t="inlineStr">
        <is>
          <t>ADMIN-INDEX-2026-02-27-00000000125C043F57453246863FE664CAFE6A3F0700950291EA24F0614FB6ACEDB12BF0E31D00000000010C0000950291EA24F0614FB6ACEDB12BF0E31D00002087B1D20000</t>
        </is>
      </c>
      <c r="C37" t="inlineStr">
        <is>
          <t>cmm4yumyl006tcuqwb0tvwtrm</t>
        </is>
      </c>
      <c r="D37" t="inlineStr">
        <is>
          <t>http://localhost:8787/api/admin/requirements/documents/cmm4yumyl006tcuqwb0tvwtrm/view</t>
        </is>
      </c>
      <c r="E37">
        <f>HYPERLÄNK("http://localhost:8787/api/admin/requirements/documents/cmm4yumyl006tcuqwb0tvwtrm/view";"Öppna PDF")</f>
        <v/>
      </c>
      <c r="F37">
        <f>HYPERLINK("http://localhost:8787/api/admin/requirements/documents/cmm4yumyl006tcuqwb0tvwtrm/view","Open PDF")</f>
        <v/>
      </c>
      <c r="G37" t="inlineStr">
        <is>
          <t>cmm55w57p0004cuisfrtpqly8</t>
        </is>
      </c>
      <c r="H37" t="inlineStr">
        <is>
          <t>Beslutsvillkor</t>
        </is>
      </c>
      <c r="I37" t="inlineStr">
        <is>
          <t>MiljopaverkanForsiktighet</t>
        </is>
      </c>
      <c r="J37" t="inlineStr">
        <is>
          <t>Skyddsatgarder</t>
        </is>
      </c>
      <c r="K37" t="inlineStr">
        <is>
          <t>En upplagsplats för avfall som lagras i mer än tre år innan det återvinns eller i mer än ett år innan det bortskaffas är att betrakta som en deponi enligt 15 kap 5 a § i miljöbalken (1998:808).</t>
        </is>
      </c>
      <c r="L37" t="inlineStr">
        <is>
          <t>En upplagsplats för avfall som lagras i mer än tre år innan det återvinns eller i mer än ett år innan det bortskaffas är att betrakta som en deponi enligt 15 kap 5 a § i miljöbalken (1998:808).</t>
        </is>
      </c>
      <c r="M37" t="inlineStr">
        <is>
          <t>SKA</t>
        </is>
      </c>
      <c r="N37" t="inlineStr">
        <is>
          <t>Miljobalken</t>
        </is>
      </c>
      <c r="O37" t="inlineStr"/>
      <c r="P37" t="inlineStr"/>
      <c r="Q37" t="inlineStr"/>
      <c r="R37" t="inlineStr">
        <is>
          <t>Alltid</t>
        </is>
      </c>
      <c r="S37" t="inlineStr"/>
      <c r="T37" t="inlineStr">
        <is>
          <t>88 63 89</t>
        </is>
      </c>
      <c r="U37" t="inlineStr"/>
      <c r="V37" t="inlineStr"/>
      <c r="W37" t="inlineStr">
        <is>
          <t>Nej</t>
        </is>
      </c>
      <c r="X37" t="inlineStr">
        <is>
          <t>Nej</t>
        </is>
      </c>
      <c r="Y37" t="inlineStr">
        <is>
          <t>Nej</t>
        </is>
      </c>
      <c r="Z37" t="inlineStr">
        <is>
          <t>Nej</t>
        </is>
      </c>
      <c r="AA37" t="n">
        <v>10</v>
      </c>
      <c r="AB37" t="inlineStr">
        <is>
          <t>Miljopaverkan och forsiktighetsmatt</t>
        </is>
      </c>
      <c r="AC37" t="inlineStr">
        <is>
          <t>Miljo-PM</t>
        </is>
      </c>
      <c r="AD37" t="inlineStr">
        <is>
          <t>Nej</t>
        </is>
      </c>
      <c r="AE37" t="inlineStr">
        <is>
          <t>Nej</t>
        </is>
      </c>
      <c r="AF37" t="inlineStr">
        <is>
          <t>Ej behandlad</t>
        </is>
      </c>
      <c r="AG37" t="inlineStr">
        <is>
          <t>AUTO_GENERERAD. Verifiera citat mot kallfil.</t>
        </is>
      </c>
      <c r="AH37" t="inlineStr">
        <is>
          <t>HIGH</t>
        </is>
      </c>
      <c r="AI37" t="inlineStr">
        <is>
          <t>AUTO</t>
        </is>
      </c>
      <c r="AJ37" t="inlineStr">
        <is>
          <t>Nej</t>
        </is>
      </c>
      <c r="AK37" t="inlineStr"/>
      <c r="AL37" t="inlineStr"/>
      <c r="AM37" t="inlineStr"/>
      <c r="AN37" t="inlineStr"/>
      <c r="AO37" t="inlineStr">
        <is>
          <t>cmm4yumyz0075cuqwsj0akxcx</t>
        </is>
      </c>
      <c r="AP37" t="inlineStr">
        <is>
          <t>http://localhost:8787/api/admin/requirements/documents/cmm4yumyz0075cuqwsj0akxcx/view</t>
        </is>
      </c>
      <c r="AQ37">
        <f>HYPERLÄNK("http://localhost:8787/api/admin/requirements/documents/cmm4yumyz0075cuqwsj0akxcx/view";"Öppna PDF")</f>
        <v/>
      </c>
      <c r="AR37">
        <f>HYPERLINK("http://localhost:8787/api/admin/requirements/documents/cmm4yumyz0075cuqwsj0akxcx/view","Open PDF")</f>
        <v/>
      </c>
      <c r="AS37" t="inlineStr">
        <is>
          <t>cmm55w57p0004cuisfrtpqly8</t>
        </is>
      </c>
      <c r="AT37" t="inlineStr">
        <is>
          <t>cmm4xvu980000cuh4vj0usz09</t>
        </is>
      </c>
      <c r="AU37" t="inlineStr">
        <is>
          <t>Falkenberg Postadress Falkenbergs</t>
        </is>
      </c>
      <c r="AV37" t="inlineStr">
        <is>
          <t>Kommun</t>
        </is>
      </c>
      <c r="AW37" t="inlineStr">
        <is>
          <t>Falkenberg Postadress Falkenbergs kommun</t>
        </is>
      </c>
      <c r="AX37" t="inlineStr">
        <is>
          <t>2025-02</t>
        </is>
      </c>
      <c r="AY37" t="inlineStr">
        <is>
          <t>Beslut</t>
        </is>
      </c>
      <c r="AZ37" t="inlineStr">
        <is>
          <t>2026-02-03</t>
        </is>
      </c>
      <c r="BA37" t="inlineStr">
        <is>
          <t>M-2024-2727_2025-01-10_Beslut (MHF MHN)_Västra Gärdet 2 1.pdf</t>
        </is>
      </c>
      <c r="BB37" t="inlineStr">
        <is>
          <t>efterfrågade handlingar</t>
        </is>
      </c>
      <c r="BC37" t="inlineStr">
        <is>
          <t>AUTO</t>
        </is>
      </c>
      <c r="BD37" t="inlineStr"/>
      <c r="BE37" t="inlineStr"/>
      <c r="BF37" t="inlineStr">
        <is>
          <t>AUTO_GENERERAD. Bekrafta metadata mot kallfil.</t>
        </is>
      </c>
      <c r="BG37">
        <f>HYPERLINK("C:\Users\jimmy\Desktop\Examens arbete\Kod\Ny mapp\remix_-copy-of-miljöbeslut.se-portal\M-2024-2727_2025-01-10_Beslut (MHF MHN)_Västra Gärdet 2 1.pdf", "Öppna PDF")</f>
        <v/>
      </c>
    </row>
    <row r="38">
      <c r="A38" t="inlineStr">
        <is>
          <t>KRAV-AUTO-000037</t>
        </is>
      </c>
      <c r="B38" t="inlineStr">
        <is>
          <t>ADMIN-INDEX-2026-02-27-00000000125C043F57453246863FE664CAFE6A3F0700950291EA24F0614FB6ACEDB12BF0E31D00000000010C0000950291EA24F0614FB6ACEDB12BF0E31D00002087B1E10000</t>
        </is>
      </c>
      <c r="C38" t="inlineStr">
        <is>
          <t>cmm4yumx8005bcuqwwdi2vz6z</t>
        </is>
      </c>
      <c r="D38" t="inlineStr">
        <is>
          <t>http://localhost:8787/api/admin/requirements/documents/cmm4yumx8005bcuqwwdi2vz6z/view</t>
        </is>
      </c>
      <c r="E38">
        <f>HYPERLÄNK("http://localhost:8787/api/admin/requirements/documents/cmm4yumx8005bcuqwwdi2vz6z/view";"Öppna PDF")</f>
        <v/>
      </c>
      <c r="F38">
        <f>HYPERLINK("http://localhost:8787/api/admin/requirements/documents/cmm4yumx8005bcuqwwdi2vz6z/view","Open PDF")</f>
        <v/>
      </c>
      <c r="G38" t="inlineStr">
        <is>
          <t>cmm55w57p0004cuisfrtpqly8</t>
        </is>
      </c>
      <c r="H38" t="inlineStr">
        <is>
          <t>Informationskrav</t>
        </is>
      </c>
      <c r="I38" t="inlineStr">
        <is>
          <t>Ytkonstruktion</t>
        </is>
      </c>
      <c r="J38" t="inlineStr">
        <is>
          <t>Tat yta</t>
        </is>
      </c>
      <c r="K38" t="inlineStr">
        <is>
          <t>Flytande råvaror, kemikalier och farligt avfall ska förvaras under tak inom invallning.</t>
        </is>
      </c>
      <c r="L38" t="inlineStr">
        <is>
          <t>Flytande råvaror, kemikalier och farligt avfall ska förvaras under tak inom invallning.</t>
        </is>
      </c>
      <c r="M38" t="inlineStr">
        <is>
          <t>SKA</t>
        </is>
      </c>
      <c r="N38" t="inlineStr"/>
      <c r="O38" t="inlineStr"/>
      <c r="P38" t="inlineStr">
        <is>
          <t>Arlig</t>
        </is>
      </c>
      <c r="Q38" t="inlineStr"/>
      <c r="R38" t="inlineStr">
        <is>
          <t>Vid mellanlagring av avfall</t>
        </is>
      </c>
      <c r="S38" t="inlineStr"/>
      <c r="T38" t="inlineStr">
        <is>
          <t>05 2024</t>
        </is>
      </c>
      <c r="U38" t="inlineStr"/>
      <c r="V38" t="inlineStr"/>
      <c r="W38" t="inlineStr">
        <is>
          <t>Ja</t>
        </is>
      </c>
      <c r="X38" t="inlineStr">
        <is>
          <t>Nej</t>
        </is>
      </c>
      <c r="Y38" t="inlineStr">
        <is>
          <t>Nej</t>
        </is>
      </c>
      <c r="Z38" t="inlineStr">
        <is>
          <t>Nej</t>
        </is>
      </c>
      <c r="AA38" t="n">
        <v>5</v>
      </c>
      <c r="AB38" t="inlineStr">
        <is>
          <t>Teknisk beskrivning av platta</t>
        </is>
      </c>
      <c r="AC38" t="inlineStr">
        <is>
          <t>Teknisk ritning platta</t>
        </is>
      </c>
      <c r="AD38" t="inlineStr">
        <is>
          <t>Nej</t>
        </is>
      </c>
      <c r="AE38" t="inlineStr">
        <is>
          <t>Nej</t>
        </is>
      </c>
      <c r="AF38" t="inlineStr">
        <is>
          <t>Ej behandlad</t>
        </is>
      </c>
      <c r="AG38" t="inlineStr">
        <is>
          <t>AUTO_GENERERAD. Verifiera citat mot kallfil.</t>
        </is>
      </c>
      <c r="AH38" t="inlineStr">
        <is>
          <t>MEDIUM</t>
        </is>
      </c>
      <c r="AI38" t="inlineStr">
        <is>
          <t>AUTO</t>
        </is>
      </c>
      <c r="AJ38" t="inlineStr">
        <is>
          <t>Nej</t>
        </is>
      </c>
      <c r="AK38" t="inlineStr"/>
      <c r="AL38" t="inlineStr"/>
      <c r="AM38" t="inlineStr"/>
      <c r="AN38" t="inlineStr"/>
      <c r="AO38" t="inlineStr">
        <is>
          <t>cmm4yumxa005ecuqwd2rfqss7</t>
        </is>
      </c>
      <c r="AP38" t="inlineStr">
        <is>
          <t>http://localhost:8787/api/admin/requirements/documents/cmm4yumxa005ecuqwd2rfqss7/view</t>
        </is>
      </c>
      <c r="AQ38">
        <f>HYPERLÄNK("http://localhost:8787/api/admin/requirements/documents/cmm4yumxa005ecuqwd2rfqss7/view";"Öppna PDF")</f>
        <v/>
      </c>
      <c r="AR38">
        <f>HYPERLINK("http://localhost:8787/api/admin/requirements/documents/cmm4yumxa005ecuqwd2rfqss7/view","Open PDF")</f>
        <v/>
      </c>
      <c r="AS38" t="inlineStr">
        <is>
          <t>cmm55w57p0004cuisfrtpqly8</t>
        </is>
      </c>
      <c r="AT38" t="inlineStr">
        <is>
          <t>cmm4xvu980000cuh4vj0usz09</t>
        </is>
      </c>
      <c r="AU38" t="inlineStr">
        <is>
          <t>Västerviks</t>
        </is>
      </c>
      <c r="AV38" t="inlineStr">
        <is>
          <t>Kommun</t>
        </is>
      </c>
      <c r="AW38" t="inlineStr">
        <is>
          <t>Västerviks kommun</t>
        </is>
      </c>
      <c r="AX38" t="inlineStr">
        <is>
          <t>2024-05</t>
        </is>
      </c>
      <c r="AY38" t="inlineStr">
        <is>
          <t>Anmalan</t>
        </is>
      </c>
      <c r="AZ38" t="inlineStr">
        <is>
          <t>2026-02-02</t>
        </is>
      </c>
      <c r="BA38" t="inlineStr">
        <is>
          <t>2024-786 Anmälan.pdf</t>
        </is>
      </c>
      <c r="BB38" t="inlineStr">
        <is>
          <t>Sv: till registrator</t>
        </is>
      </c>
      <c r="BC38" t="inlineStr">
        <is>
          <t>AUTO</t>
        </is>
      </c>
      <c r="BD38" t="inlineStr"/>
      <c r="BE38" t="inlineStr"/>
      <c r="BF38" t="inlineStr">
        <is>
          <t>AUTO_GENERERAD. Bekrafta metadata mot kallfil.</t>
        </is>
      </c>
      <c r="BG38">
        <f>HYPERLINK("C:\Users\jimmy\Desktop\Examens arbete\Kod\Ny mapp\remix_-copy-of-miljöbeslut.se-portal\2024-786 Anmälan.pdf", "Öppna PDF")</f>
        <v/>
      </c>
    </row>
    <row r="39">
      <c r="A39" t="inlineStr">
        <is>
          <t>KRAV-AUTO-000038</t>
        </is>
      </c>
      <c r="B39" t="inlineStr">
        <is>
          <t>ADMIN-INDEX-2026-02-27-00000000125C043F57453246863FE664CAFE6A3F0700950291EA24F0614FB6ACEDB12BF0E31D00000000010C0000950291EA24F0614FB6ACEDB12BF0E31D00002087B1E10000</t>
        </is>
      </c>
      <c r="C39" t="inlineStr">
        <is>
          <t>cmm4yumx8005bcuqwwdi2vz6z</t>
        </is>
      </c>
      <c r="D39" t="inlineStr">
        <is>
          <t>http://localhost:8787/api/admin/requirements/documents/cmm4yumx8005bcuqwwdi2vz6z/view</t>
        </is>
      </c>
      <c r="E39">
        <f>HYPERLÄNK("http://localhost:8787/api/admin/requirements/documents/cmm4yumx8005bcuqwwdi2vz6z/view";"Öppna PDF")</f>
        <v/>
      </c>
      <c r="F39">
        <f>HYPERLINK("http://localhost:8787/api/admin/requirements/documents/cmm4yumx8005bcuqwwdi2vz6z/view","Open PDF")</f>
        <v/>
      </c>
      <c r="G39" t="inlineStr">
        <is>
          <t>cmm55w57p0004cuisfrtpqly8</t>
        </is>
      </c>
      <c r="H39" t="inlineStr">
        <is>
          <t>Informationskrav</t>
        </is>
      </c>
      <c r="I39" t="inlineStr">
        <is>
          <t>MiljopaverkanForsiktighet</t>
        </is>
      </c>
      <c r="J39" t="inlineStr">
        <is>
          <t>Skyddsatgarder</t>
        </is>
      </c>
      <c r="K39" t="inlineStr">
        <is>
          <t>Ordning och struktur skall råda i mellanlagringen av avfallet i den mån det är möjligt och rimligt.</t>
        </is>
      </c>
      <c r="L39" t="inlineStr">
        <is>
          <t>Ordning och struktur skall råda i mellanlagringen av avfallet i den mån det är möjligt och rimligt.</t>
        </is>
      </c>
      <c r="M39" t="inlineStr">
        <is>
          <t>SKA</t>
        </is>
      </c>
      <c r="N39" t="inlineStr"/>
      <c r="O39" t="inlineStr"/>
      <c r="P39" t="inlineStr"/>
      <c r="Q39" t="inlineStr"/>
      <c r="R39" t="inlineStr">
        <is>
          <t>Alltid</t>
        </is>
      </c>
      <c r="S39" t="inlineStr"/>
      <c r="T39" t="inlineStr">
        <is>
          <t>05 2024</t>
        </is>
      </c>
      <c r="U39" t="inlineStr"/>
      <c r="V39" t="inlineStr"/>
      <c r="W39" t="inlineStr">
        <is>
          <t>Nej</t>
        </is>
      </c>
      <c r="X39" t="inlineStr">
        <is>
          <t>Nej</t>
        </is>
      </c>
      <c r="Y39" t="inlineStr">
        <is>
          <t>Nej</t>
        </is>
      </c>
      <c r="Z39" t="inlineStr">
        <is>
          <t>Nej</t>
        </is>
      </c>
      <c r="AA39" t="n">
        <v>10</v>
      </c>
      <c r="AB39" t="inlineStr">
        <is>
          <t>Miljopaverkan och forsiktighetsmatt</t>
        </is>
      </c>
      <c r="AC39" t="inlineStr">
        <is>
          <t>Miljo-PM</t>
        </is>
      </c>
      <c r="AD39" t="inlineStr">
        <is>
          <t>Nej</t>
        </is>
      </c>
      <c r="AE39" t="inlineStr">
        <is>
          <t>Nej</t>
        </is>
      </c>
      <c r="AF39" t="inlineStr">
        <is>
          <t>Ej behandlad</t>
        </is>
      </c>
      <c r="AG39" t="inlineStr">
        <is>
          <t>AUTO_GENERERAD. Verifiera citat mot kallfil.</t>
        </is>
      </c>
      <c r="AH39" t="inlineStr">
        <is>
          <t>MEDIUM</t>
        </is>
      </c>
      <c r="AI39" t="inlineStr">
        <is>
          <t>AUTO</t>
        </is>
      </c>
      <c r="AJ39" t="inlineStr">
        <is>
          <t>Nej</t>
        </is>
      </c>
      <c r="AK39" t="inlineStr"/>
      <c r="AL39" t="inlineStr"/>
      <c r="AM39" t="inlineStr"/>
      <c r="AN39" t="inlineStr"/>
      <c r="AO39" t="inlineStr">
        <is>
          <t>cmm4yumxa005ecuqwd2rfqss7</t>
        </is>
      </c>
      <c r="AP39" t="inlineStr">
        <is>
          <t>http://localhost:8787/api/admin/requirements/documents/cmm4yumxa005ecuqwd2rfqss7/view</t>
        </is>
      </c>
      <c r="AQ39">
        <f>HYPERLÄNK("http://localhost:8787/api/admin/requirements/documents/cmm4yumxa005ecuqwd2rfqss7/view";"Öppna PDF")</f>
        <v/>
      </c>
      <c r="AR39">
        <f>HYPERLINK("http://localhost:8787/api/admin/requirements/documents/cmm4yumxa005ecuqwd2rfqss7/view","Open PDF")</f>
        <v/>
      </c>
      <c r="AS39" t="inlineStr">
        <is>
          <t>cmm55w57p0004cuisfrtpqly8</t>
        </is>
      </c>
      <c r="AT39" t="inlineStr">
        <is>
          <t>cmm4xvu980000cuh4vj0usz09</t>
        </is>
      </c>
      <c r="AU39" t="inlineStr">
        <is>
          <t>Västerviks</t>
        </is>
      </c>
      <c r="AV39" t="inlineStr">
        <is>
          <t>Kommun</t>
        </is>
      </c>
      <c r="AW39" t="inlineStr">
        <is>
          <t>Västerviks kommun</t>
        </is>
      </c>
      <c r="AX39" t="inlineStr">
        <is>
          <t>2024-05</t>
        </is>
      </c>
      <c r="AY39" t="inlineStr">
        <is>
          <t>Anmalan</t>
        </is>
      </c>
      <c r="AZ39" t="inlineStr">
        <is>
          <t>2026-02-02</t>
        </is>
      </c>
      <c r="BA39" t="inlineStr">
        <is>
          <t>2024-786 Anmälan.pdf</t>
        </is>
      </c>
      <c r="BB39" t="inlineStr">
        <is>
          <t>Sv: till registrator</t>
        </is>
      </c>
      <c r="BC39" t="inlineStr">
        <is>
          <t>AUTO</t>
        </is>
      </c>
      <c r="BD39" t="inlineStr"/>
      <c r="BE39" t="inlineStr"/>
      <c r="BF39" t="inlineStr">
        <is>
          <t>AUTO_GENERERAD. Bekrafta metadata mot kallfil.</t>
        </is>
      </c>
      <c r="BG39">
        <f>HYPERLINK("C:\Users\jimmy\Desktop\Examens arbete\Kod\Ny mapp\remix_-copy-of-miljöbeslut.se-portal\2024-786 Anmälan.pdf", "Öppna PDF")</f>
        <v/>
      </c>
    </row>
    <row r="40">
      <c r="A40" t="inlineStr">
        <is>
          <t>KRAV-AUTO-000039</t>
        </is>
      </c>
      <c r="B40" t="inlineStr">
        <is>
          <t>ADMIN-INDEX-2026-02-27-00000000125C043F57453246863FE664CAFE6A3F0700950291EA24F0614FB6ACEDB12BF0E31D00000000010C0000950291EA24F0614FB6ACEDB12BF0E31D00002087B1E10000</t>
        </is>
      </c>
      <c r="C40" t="inlineStr">
        <is>
          <t>cmm4yumx8005bcuqwwdi2vz6z</t>
        </is>
      </c>
      <c r="D40" t="inlineStr">
        <is>
          <t>http://localhost:8787/api/admin/requirements/documents/cmm4yumx8005bcuqwwdi2vz6z/view</t>
        </is>
      </c>
      <c r="E40">
        <f>HYPERLÄNK("http://localhost:8787/api/admin/requirements/documents/cmm4yumx8005bcuqwwdi2vz6z/view";"Öppna PDF")</f>
        <v/>
      </c>
      <c r="F40">
        <f>HYPERLINK("http://localhost:8787/api/admin/requirements/documents/cmm4yumx8005bcuqwwdi2vz6z/view","Open PDF")</f>
        <v/>
      </c>
      <c r="G40" t="inlineStr">
        <is>
          <t>cmm55w57p0004cuisfrtpqly8</t>
        </is>
      </c>
      <c r="H40" t="inlineStr">
        <is>
          <t>Informationskrav</t>
        </is>
      </c>
      <c r="I40" t="inlineStr">
        <is>
          <t>Ytkonstruktion</t>
        </is>
      </c>
      <c r="J40" t="inlineStr">
        <is>
          <t>Tat yta</t>
        </is>
      </c>
      <c r="K40" t="inlineStr">
        <is>
          <t>Invallningen ska vara beständig mot det som förvaras däri och rymma största kärlets volym plus 10 % av övriga kärls volym.</t>
        </is>
      </c>
      <c r="L40" t="inlineStr">
        <is>
          <t>Invallningen ska vara beständig mot det som förvaras däri och rymma största kärlets volym plus 10 % av övriga kärls volym.</t>
        </is>
      </c>
      <c r="M40" t="inlineStr">
        <is>
          <t>SKA</t>
        </is>
      </c>
      <c r="N40" t="inlineStr"/>
      <c r="O40" t="inlineStr"/>
      <c r="P40" t="inlineStr"/>
      <c r="Q40" t="inlineStr"/>
      <c r="R40" t="inlineStr">
        <is>
          <t>Vid mellanlagring av avfall</t>
        </is>
      </c>
      <c r="S40" t="inlineStr"/>
      <c r="T40" t="inlineStr">
        <is>
          <t>05 2024</t>
        </is>
      </c>
      <c r="U40" t="inlineStr"/>
      <c r="V40" t="inlineStr"/>
      <c r="W40" t="inlineStr">
        <is>
          <t>Ja</t>
        </is>
      </c>
      <c r="X40" t="inlineStr">
        <is>
          <t>Nej</t>
        </is>
      </c>
      <c r="Y40" t="inlineStr">
        <is>
          <t>Nej</t>
        </is>
      </c>
      <c r="Z40" t="inlineStr">
        <is>
          <t>Nej</t>
        </is>
      </c>
      <c r="AA40" t="n">
        <v>5</v>
      </c>
      <c r="AB40" t="inlineStr">
        <is>
          <t>Teknisk beskrivning av platta</t>
        </is>
      </c>
      <c r="AC40" t="inlineStr">
        <is>
          <t>Teknisk ritning platta</t>
        </is>
      </c>
      <c r="AD40" t="inlineStr">
        <is>
          <t>Nej</t>
        </is>
      </c>
      <c r="AE40" t="inlineStr">
        <is>
          <t>Nej</t>
        </is>
      </c>
      <c r="AF40" t="inlineStr">
        <is>
          <t>Ej behandlad</t>
        </is>
      </c>
      <c r="AG40" t="inlineStr">
        <is>
          <t>AUTO_GENERERAD. Verifiera citat mot kallfil.</t>
        </is>
      </c>
      <c r="AH40" t="inlineStr">
        <is>
          <t>MEDIUM</t>
        </is>
      </c>
      <c r="AI40" t="inlineStr">
        <is>
          <t>AUTO</t>
        </is>
      </c>
      <c r="AJ40" t="inlineStr">
        <is>
          <t>Nej</t>
        </is>
      </c>
      <c r="AK40" t="inlineStr"/>
      <c r="AL40" t="inlineStr"/>
      <c r="AM40" t="inlineStr"/>
      <c r="AN40" t="inlineStr"/>
      <c r="AO40" t="inlineStr">
        <is>
          <t>cmm4yumxa005ecuqwd2rfqss7</t>
        </is>
      </c>
      <c r="AP40" t="inlineStr">
        <is>
          <t>http://localhost:8787/api/admin/requirements/documents/cmm4yumxa005ecuqwd2rfqss7/view</t>
        </is>
      </c>
      <c r="AQ40">
        <f>HYPERLÄNK("http://localhost:8787/api/admin/requirements/documents/cmm4yumxa005ecuqwd2rfqss7/view";"Öppna PDF")</f>
        <v/>
      </c>
      <c r="AR40">
        <f>HYPERLINK("http://localhost:8787/api/admin/requirements/documents/cmm4yumxa005ecuqwd2rfqss7/view","Open PDF")</f>
        <v/>
      </c>
      <c r="AS40" t="inlineStr">
        <is>
          <t>cmm55w57p0004cuisfrtpqly8</t>
        </is>
      </c>
      <c r="AT40" t="inlineStr">
        <is>
          <t>cmm4xvu980000cuh4vj0usz09</t>
        </is>
      </c>
      <c r="AU40" t="inlineStr">
        <is>
          <t>Västerviks</t>
        </is>
      </c>
      <c r="AV40" t="inlineStr">
        <is>
          <t>Kommun</t>
        </is>
      </c>
      <c r="AW40" t="inlineStr">
        <is>
          <t>Västerviks kommun</t>
        </is>
      </c>
      <c r="AX40" t="inlineStr">
        <is>
          <t>2024-05</t>
        </is>
      </c>
      <c r="AY40" t="inlineStr">
        <is>
          <t>Anmalan</t>
        </is>
      </c>
      <c r="AZ40" t="inlineStr">
        <is>
          <t>2026-02-02</t>
        </is>
      </c>
      <c r="BA40" t="inlineStr">
        <is>
          <t>2024-786 Anmälan.pdf</t>
        </is>
      </c>
      <c r="BB40" t="inlineStr">
        <is>
          <t>Sv: till registrator</t>
        </is>
      </c>
      <c r="BC40" t="inlineStr">
        <is>
          <t>AUTO</t>
        </is>
      </c>
      <c r="BD40" t="inlineStr"/>
      <c r="BE40" t="inlineStr"/>
      <c r="BF40" t="inlineStr">
        <is>
          <t>AUTO_GENERERAD. Bekrafta metadata mot kallfil.</t>
        </is>
      </c>
      <c r="BG40">
        <f>HYPERLINK("C:\Users\jimmy\Desktop\Examens arbete\Kod\Ny mapp\remix_-copy-of-miljöbeslut.se-portal\2024-786 Anmälan.pdf", "Öppna PDF")</f>
        <v/>
      </c>
    </row>
    <row r="41">
      <c r="A41" t="inlineStr">
        <is>
          <t>KRAV-AUTO-000040</t>
        </is>
      </c>
      <c r="B41" t="inlineStr">
        <is>
          <t>ADMIN-INDEX-2026-02-27-00000000125C043F57453246863FE664CAFE6A3F0700950291EA24F0614FB6ACEDB12BF0E31D00000000010C0000950291EA24F0614FB6ACEDB12BF0E31D00002087B1E10000</t>
        </is>
      </c>
      <c r="C41" t="inlineStr">
        <is>
          <t>cmm4yumxd005hcuqwxsc6y5nv</t>
        </is>
      </c>
      <c r="D41" t="inlineStr">
        <is>
          <t>http://localhost:8787/api/admin/requirements/documents/cmm4yumxd005hcuqwxsc6y5nv/view</t>
        </is>
      </c>
      <c r="E41">
        <f>HYPERLÄNK("http://localhost:8787/api/admin/requirements/documents/cmm4yumxd005hcuqwxsc6y5nv/view";"Öppna PDF")</f>
        <v/>
      </c>
      <c r="F41">
        <f>HYPERLINK("http://localhost:8787/api/admin/requirements/documents/cmm4yumxd005hcuqwxsc6y5nv/view","Open PDF")</f>
        <v/>
      </c>
      <c r="G41" t="inlineStr">
        <is>
          <t>cmm55w57p0004cuisfrtpqly8</t>
        </is>
      </c>
      <c r="H41" t="inlineStr">
        <is>
          <t>Informationskrav</t>
        </is>
      </c>
      <c r="I41" t="inlineStr">
        <is>
          <t>MiljopaverkanForsiktighet</t>
        </is>
      </c>
      <c r="J41" t="inlineStr">
        <is>
          <t>Skyddsatgarder</t>
        </is>
      </c>
      <c r="K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59392 Västervik Lofta-Gröndalen 1:1 – Förbud att anmäld miljöfarlig verksamhet inte får påbörjas förrän miljö- och byggnadsnämnden fattat beslut i ärendet Beslut Miljö- och byggnadsnämnden beslutar att den anmälda miljöfarliga verksamheten, i form av anmälan om avfall för anläggningsändamål, på fastigheten Lofta-Gröndalen 1:1 tills vidare inte får påbörjas.</t>
        </is>
      </c>
      <c r="L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t>
        </is>
      </c>
      <c r="M41" t="inlineStr">
        <is>
          <t>BOR</t>
        </is>
      </c>
      <c r="N41" t="inlineStr">
        <is>
          <t>FMH</t>
        </is>
      </c>
      <c r="O41" t="inlineStr">
        <is>
          <t>2024-06-11</t>
        </is>
      </c>
      <c r="P41" t="inlineStr">
        <is>
          <t>Arlig</t>
        </is>
      </c>
      <c r="Q41" t="inlineStr">
        <is>
          <t>Forbud</t>
        </is>
      </c>
      <c r="R41" t="inlineStr">
        <is>
          <t>Alltid</t>
        </is>
      </c>
      <c r="S41" t="inlineStr"/>
      <c r="T41" t="inlineStr">
        <is>
          <t>11 2024</t>
        </is>
      </c>
      <c r="U41" t="inlineStr"/>
      <c r="V41" t="inlineStr"/>
      <c r="W41" t="inlineStr">
        <is>
          <t>Nej</t>
        </is>
      </c>
      <c r="X41" t="inlineStr">
        <is>
          <t>Nej</t>
        </is>
      </c>
      <c r="Y41" t="inlineStr">
        <is>
          <t>Nej</t>
        </is>
      </c>
      <c r="Z41" t="inlineStr">
        <is>
          <t>Nej</t>
        </is>
      </c>
      <c r="AA41" t="n">
        <v>10</v>
      </c>
      <c r="AB41" t="inlineStr">
        <is>
          <t>Miljopaverkan och forsiktighetsmatt</t>
        </is>
      </c>
      <c r="AC41" t="inlineStr">
        <is>
          <t>Miljo-PM</t>
        </is>
      </c>
      <c r="AD41" t="inlineStr">
        <is>
          <t>Nej</t>
        </is>
      </c>
      <c r="AE41" t="inlineStr">
        <is>
          <t>Nej</t>
        </is>
      </c>
      <c r="AF41" t="inlineStr">
        <is>
          <t>Ej behandlad</t>
        </is>
      </c>
      <c r="AG41" t="inlineStr">
        <is>
          <t>AUTO_GENERERAD. Verifiera citat mot kallfil.</t>
        </is>
      </c>
      <c r="AH41" t="inlineStr">
        <is>
          <t>HIGH</t>
        </is>
      </c>
      <c r="AI41" t="inlineStr">
        <is>
          <t>AUTO</t>
        </is>
      </c>
      <c r="AJ41" t="inlineStr">
        <is>
          <t>Nej</t>
        </is>
      </c>
      <c r="AK41" t="inlineStr"/>
      <c r="AL41" t="inlineStr"/>
      <c r="AM41" t="inlineStr"/>
      <c r="AN41" t="inlineStr"/>
      <c r="AO41" t="inlineStr">
        <is>
          <t>cmm4yumxa005ecuqwd2rfqss7</t>
        </is>
      </c>
      <c r="AP41" t="inlineStr">
        <is>
          <t>http://localhost:8787/api/admin/requirements/documents/cmm4yumxa005ecuqwd2rfqss7/view</t>
        </is>
      </c>
      <c r="AQ41">
        <f>HYPERLÄNK("http://localhost:8787/api/admin/requirements/documents/cmm4yumxa005ecuqwd2rfqss7/view";"Öppna PDF")</f>
        <v/>
      </c>
      <c r="AR41">
        <f>HYPERLINK("http://localhost:8787/api/admin/requirements/documents/cmm4yumxa005ecuqwd2rfqss7/view","Open PDF")</f>
        <v/>
      </c>
      <c r="AS41" t="inlineStr">
        <is>
          <t>cmm55w57p0004cuisfrtpqly8</t>
        </is>
      </c>
      <c r="AT41" t="inlineStr">
        <is>
          <t>cmm4xvu980000cuh4vj0usz09</t>
        </is>
      </c>
      <c r="AU41" t="inlineStr">
        <is>
          <t>Västerviks</t>
        </is>
      </c>
      <c r="AV41" t="inlineStr">
        <is>
          <t>Kommun</t>
        </is>
      </c>
      <c r="AW41" t="inlineStr">
        <is>
          <t>Västerviks kommun</t>
        </is>
      </c>
      <c r="AX41" t="inlineStr">
        <is>
          <t>2024-05</t>
        </is>
      </c>
      <c r="AY41" t="inlineStr">
        <is>
          <t>Anmalan</t>
        </is>
      </c>
      <c r="AZ41" t="inlineStr">
        <is>
          <t>2026-02-02</t>
        </is>
      </c>
      <c r="BA41" t="inlineStr">
        <is>
          <t>2024-786 Anmälan.pdf</t>
        </is>
      </c>
      <c r="BB41" t="inlineStr">
        <is>
          <t>Sv: till registrator</t>
        </is>
      </c>
      <c r="BC41" t="inlineStr">
        <is>
          <t>AUTO</t>
        </is>
      </c>
      <c r="BD41" t="inlineStr"/>
      <c r="BE41" t="inlineStr"/>
      <c r="BF41" t="inlineStr">
        <is>
          <t>AUTO_GENERERAD. Bekrafta metadata mot kallfil.</t>
        </is>
      </c>
      <c r="BG41">
        <f>HYPERLINK("C:\Users\jimmy\Desktop\Examens arbete\Kod\Ny mapp\remix_-copy-of-miljöbeslut.se-portal\2024-786 Anmälan.pdf", "Öppna PDF")</f>
        <v/>
      </c>
    </row>
    <row r="42">
      <c r="A42" t="inlineStr">
        <is>
          <t>KRAV-AUTO-000041</t>
        </is>
      </c>
      <c r="B42" t="inlineStr">
        <is>
          <t>ADMIN-INDEX-2026-02-27-00000000125C043F57453246863FE664CAFE6A3F0700950291EA24F0614FB6ACEDB12BF0E31D00000000010C0000950291EA24F0614FB6ACEDB12BF0E31D00002087B5EE0000</t>
        </is>
      </c>
      <c r="C42" t="inlineStr">
        <is>
          <t>cmm4yumvp003zcuqwqxlxa6rl</t>
        </is>
      </c>
      <c r="D42" t="inlineStr">
        <is>
          <t>http://localhost:8787/api/admin/requirements/documents/cmm4yumvp003zcuqwqxlxa6rl/view</t>
        </is>
      </c>
      <c r="E42">
        <f>HYPERLÄNK("http://localhost:8787/api/admin/requirements/documents/cmm4yumvp003zcuqwqxlxa6rl/view";"Öppna PDF")</f>
        <v/>
      </c>
      <c r="F42">
        <f>HYPERLINK("http://localhost:8787/api/admin/requirements/documents/cmm4yumvp003zcuqwqxlxa6rl/view","Open PDF")</f>
        <v/>
      </c>
      <c r="G42" t="inlineStr">
        <is>
          <t>cmm55w57p0004cuisfrtpqly8</t>
        </is>
      </c>
      <c r="H42" t="inlineStr">
        <is>
          <t>Informationskrav</t>
        </is>
      </c>
      <c r="I42" t="inlineStr">
        <is>
          <t>Riskhantering</t>
        </is>
      </c>
      <c r="J42" t="inlineStr">
        <is>
          <t>Riskkontroll</t>
        </is>
      </c>
      <c r="K42" t="inlineStr">
        <is>
          <t>Förvaring ska ske utan tillgång för obehöriga, utan risk för påkörning och skyddat från nederbörd.</t>
        </is>
      </c>
      <c r="L42" t="inlineStr">
        <is>
          <t>Förvaring ska ske utan tillgång för obehöriga, utan risk för påkörning och skyddat från nederbörd.</t>
        </is>
      </c>
      <c r="M42" t="inlineStr">
        <is>
          <t>SKA</t>
        </is>
      </c>
      <c r="N42" t="inlineStr">
        <is>
          <t>FMH</t>
        </is>
      </c>
      <c r="O42" t="inlineStr"/>
      <c r="P42" t="inlineStr"/>
      <c r="Q42" t="inlineStr"/>
      <c r="R42" t="inlineStr">
        <is>
          <t>Vid risk for incident</t>
        </is>
      </c>
      <c r="S42" t="inlineStr"/>
      <c r="T42" t="inlineStr">
        <is>
          <t>556469</t>
        </is>
      </c>
      <c r="U42" t="inlineStr"/>
      <c r="V42" t="inlineStr"/>
      <c r="W42" t="inlineStr">
        <is>
          <t>Nej</t>
        </is>
      </c>
      <c r="X42" t="inlineStr">
        <is>
          <t>Nej</t>
        </is>
      </c>
      <c r="Y42" t="inlineStr">
        <is>
          <t>Ja</t>
        </is>
      </c>
      <c r="Z42" t="inlineStr">
        <is>
          <t>Ja</t>
        </is>
      </c>
      <c r="AA42" t="n">
        <v>8</v>
      </c>
      <c r="AB42" t="inlineStr">
        <is>
          <t>Riskhantering</t>
        </is>
      </c>
      <c r="AC42" t="inlineStr">
        <is>
          <t>Risk-PM</t>
        </is>
      </c>
      <c r="AD42" t="inlineStr">
        <is>
          <t>Nej</t>
        </is>
      </c>
      <c r="AE42" t="inlineStr">
        <is>
          <t>Nej</t>
        </is>
      </c>
      <c r="AF42" t="inlineStr">
        <is>
          <t>Ej behandlad</t>
        </is>
      </c>
      <c r="AG42" t="inlineStr">
        <is>
          <t>AUTO_GENERERAD. Verifiera citat mot kallfil.</t>
        </is>
      </c>
      <c r="AH42" t="inlineStr">
        <is>
          <t>HIGH</t>
        </is>
      </c>
      <c r="AI42" t="inlineStr">
        <is>
          <t>AUTO</t>
        </is>
      </c>
      <c r="AJ42" t="inlineStr">
        <is>
          <t>Nej</t>
        </is>
      </c>
      <c r="AK42" t="inlineStr"/>
      <c r="AL42" t="inlineStr"/>
      <c r="AM42" t="inlineStr"/>
      <c r="AN42" t="inlineStr"/>
      <c r="AO42" t="inlineStr">
        <is>
          <t>cmm4yumvp003zcuqwqxlxa6rl</t>
        </is>
      </c>
      <c r="AP42" t="inlineStr">
        <is>
          <t>http://localhost:8787/api/admin/requirements/documents/cmm4yumvp003zcuqwqxlxa6rl/view</t>
        </is>
      </c>
      <c r="AQ42">
        <f>HYPERLÄNK("http://localhost:8787/api/admin/requirements/documents/cmm4yumvp003zcuqwqxlxa6rl/view";"Öppna PDF")</f>
        <v/>
      </c>
      <c r="AR42">
        <f>HYPERLINK("http://localhost:8787/api/admin/requirements/documents/cmm4yumvp003zcuqwqxlxa6rl/view","Open PDF")</f>
        <v/>
      </c>
      <c r="AS42" t="inlineStr">
        <is>
          <t>cmm55w57p0004cuisfrtpqly8</t>
        </is>
      </c>
      <c r="AT42" t="inlineStr">
        <is>
          <t>cmm4xvu980000cuh4vj0usz09</t>
        </is>
      </c>
      <c r="AU42" t="inlineStr">
        <is>
          <t>i Haparanda</t>
        </is>
      </c>
      <c r="AV42" t="inlineStr">
        <is>
          <t>Kommun</t>
        </is>
      </c>
      <c r="AW42" t="inlineStr">
        <is>
          <t>i Haparanda kommun</t>
        </is>
      </c>
      <c r="AX42" t="inlineStr">
        <is>
          <t>2025-12</t>
        </is>
      </c>
      <c r="AY42" t="inlineStr">
        <is>
          <t>Anmalan</t>
        </is>
      </c>
      <c r="AZ42" t="inlineStr">
        <is>
          <t>2026-02-02</t>
        </is>
      </c>
      <c r="BA42" t="inlineStr">
        <is>
          <t>Sbn-2025-457-Beslut anmälan om miljöfarlig verksamhet.pdf</t>
        </is>
      </c>
      <c r="BB42" t="inlineStr">
        <is>
          <t>Förfrågan C-verksamheter</t>
        </is>
      </c>
      <c r="BC42" t="inlineStr">
        <is>
          <t>AUTO</t>
        </is>
      </c>
      <c r="BD42" t="inlineStr"/>
      <c r="BE42" t="inlineStr"/>
      <c r="BF42" t="inlineStr">
        <is>
          <t>AUTO_GENERERAD. Bekrafta metadata mot kallfil.</t>
        </is>
      </c>
      <c r="BG42">
        <f>HYPERLINK("C:\Users\jimmy\Desktop\Examens arbete\Kod\Ny mapp\remix_-copy-of-miljöbeslut.se-portal\Sbn-2025-457-Beslut anmälan om miljöfarlig verksamhet.pdf", "Öppna PDF")</f>
        <v/>
      </c>
    </row>
    <row r="43">
      <c r="A43" t="inlineStr">
        <is>
          <t>KRAV-AUTO-000042</t>
        </is>
      </c>
      <c r="B43" t="inlineStr">
        <is>
          <t>ADMIN-INDEX-2026-02-27-00000000125C043F57453246863FE664CAFE6A3F0700950291EA24F0614FB6ACEDB12BF0E31D00000000010C0000950291EA24F0614FB6ACEDB12BF0E31D00002087B5EE0000</t>
        </is>
      </c>
      <c r="C43" t="inlineStr">
        <is>
          <t>cmm4yumvp003zcuqwqxlxa6rl</t>
        </is>
      </c>
      <c r="D43" t="inlineStr">
        <is>
          <t>http://localhost:8787/api/admin/requirements/documents/cmm4yumvp003zcuqwqxlxa6rl/view</t>
        </is>
      </c>
      <c r="E43">
        <f>HYPERLÄNK("http://localhost:8787/api/admin/requirements/documents/cmm4yumvp003zcuqwqxlxa6rl/view";"Öppna PDF")</f>
        <v/>
      </c>
      <c r="F43">
        <f>HYPERLINK("http://localhost:8787/api/admin/requirements/documents/cmm4yumvp003zcuqwqxlxa6rl/view","Open PDF")</f>
        <v/>
      </c>
      <c r="G43" t="inlineStr">
        <is>
          <t>cmm55w57p0004cuisfrtpqly8</t>
        </is>
      </c>
      <c r="H43" t="inlineStr">
        <is>
          <t>Informationskrav</t>
        </is>
      </c>
      <c r="I43" t="inlineStr">
        <is>
          <t>DagvattenLakvatten</t>
        </is>
      </c>
      <c r="J43" t="inlineStr">
        <is>
          <t>Uppsamling</t>
        </is>
      </c>
      <c r="K43" t="inlineStr">
        <is>
          <t>Dagvatten från verksamheten ska hanteras på ett sådant sätt att det inte uppstår föroreningar, på omgivningen.</t>
        </is>
      </c>
      <c r="L43" t="inlineStr">
        <is>
          <t>Dagvatten från verksamheten ska hanteras på ett sådant sätt att det inte uppstår föroreningar, på omgivningen.</t>
        </is>
      </c>
      <c r="M43" t="inlineStr">
        <is>
          <t>SKA</t>
        </is>
      </c>
      <c r="N43" t="inlineStr">
        <is>
          <t>FMH</t>
        </is>
      </c>
      <c r="O43" t="inlineStr"/>
      <c r="P43" t="inlineStr"/>
      <c r="Q43" t="inlineStr"/>
      <c r="R43" t="inlineStr">
        <is>
          <t>Vid nederbord och avrinning</t>
        </is>
      </c>
      <c r="S43" t="inlineStr"/>
      <c r="T43" t="inlineStr">
        <is>
          <t>556469</t>
        </is>
      </c>
      <c r="U43" t="inlineStr"/>
      <c r="V43" t="inlineStr"/>
      <c r="W43" t="inlineStr">
        <is>
          <t>Nej</t>
        </is>
      </c>
      <c r="X43" t="inlineStr">
        <is>
          <t>Ja</t>
        </is>
      </c>
      <c r="Y43" t="inlineStr">
        <is>
          <t>Ja</t>
        </is>
      </c>
      <c r="Z43" t="inlineStr">
        <is>
          <t>Nej</t>
        </is>
      </c>
      <c r="AA43" t="n">
        <v>6</v>
      </c>
      <c r="AB43" t="inlineStr">
        <is>
          <t>Lakvattenhantering</t>
        </is>
      </c>
      <c r="AC43" t="inlineStr">
        <is>
          <t>Flodesschema dagvatten-lakvatten</t>
        </is>
      </c>
      <c r="AD43" t="inlineStr">
        <is>
          <t>Nej</t>
        </is>
      </c>
      <c r="AE43" t="inlineStr">
        <is>
          <t>Nej</t>
        </is>
      </c>
      <c r="AF43" t="inlineStr">
        <is>
          <t>Ej behandlad</t>
        </is>
      </c>
      <c r="AG43" t="inlineStr">
        <is>
          <t>AUTO_GENERERAD. Verifiera citat mot kallfil.</t>
        </is>
      </c>
      <c r="AH43" t="inlineStr">
        <is>
          <t>HIGH</t>
        </is>
      </c>
      <c r="AI43" t="inlineStr">
        <is>
          <t>AUTO</t>
        </is>
      </c>
      <c r="AJ43" t="inlineStr">
        <is>
          <t>Nej</t>
        </is>
      </c>
      <c r="AK43" t="inlineStr"/>
      <c r="AL43" t="inlineStr"/>
      <c r="AM43" t="inlineStr"/>
      <c r="AN43" t="inlineStr"/>
      <c r="AO43" t="inlineStr">
        <is>
          <t>cmm4yumvp003zcuqwqxlxa6rl</t>
        </is>
      </c>
      <c r="AP43" t="inlineStr">
        <is>
          <t>http://localhost:8787/api/admin/requirements/documents/cmm4yumvp003zcuqwqxlxa6rl/view</t>
        </is>
      </c>
      <c r="AQ43">
        <f>HYPERLÄNK("http://localhost:8787/api/admin/requirements/documents/cmm4yumvp003zcuqwqxlxa6rl/view";"Öppna PDF")</f>
        <v/>
      </c>
      <c r="AR43">
        <f>HYPERLINK("http://localhost:8787/api/admin/requirements/documents/cmm4yumvp003zcuqwqxlxa6rl/view","Open PDF")</f>
        <v/>
      </c>
      <c r="AS43" t="inlineStr">
        <is>
          <t>cmm55w57p0004cuisfrtpqly8</t>
        </is>
      </c>
      <c r="AT43" t="inlineStr">
        <is>
          <t>cmm4xvu980000cuh4vj0usz09</t>
        </is>
      </c>
      <c r="AU43" t="inlineStr">
        <is>
          <t>i Haparanda</t>
        </is>
      </c>
      <c r="AV43" t="inlineStr">
        <is>
          <t>Kommun</t>
        </is>
      </c>
      <c r="AW43" t="inlineStr">
        <is>
          <t>i Haparanda kommun</t>
        </is>
      </c>
      <c r="AX43" t="inlineStr">
        <is>
          <t>2025-12</t>
        </is>
      </c>
      <c r="AY43" t="inlineStr">
        <is>
          <t>Anmalan</t>
        </is>
      </c>
      <c r="AZ43" t="inlineStr">
        <is>
          <t>2026-02-02</t>
        </is>
      </c>
      <c r="BA43" t="inlineStr">
        <is>
          <t>Sbn-2025-457-Beslut anmälan om miljöfarlig verksamhet.pdf</t>
        </is>
      </c>
      <c r="BB43" t="inlineStr">
        <is>
          <t>Förfrågan C-verksamheter</t>
        </is>
      </c>
      <c r="BC43" t="inlineStr">
        <is>
          <t>AUTO</t>
        </is>
      </c>
      <c r="BD43" t="inlineStr"/>
      <c r="BE43" t="inlineStr"/>
      <c r="BF43" t="inlineStr">
        <is>
          <t>AUTO_GENERERAD. Bekrafta metadata mot kallfil.</t>
        </is>
      </c>
      <c r="BG43">
        <f>HYPERLINK("C:\Users\jimmy\Desktop\Examens arbete\Kod\Ny mapp\remix_-copy-of-miljöbeslut.se-portal\Sbn-2025-457-Beslut anmälan om miljöfarlig verksamhet.pdf", "Öppna PDF")</f>
        <v/>
      </c>
    </row>
    <row r="44">
      <c r="A44" t="inlineStr">
        <is>
          <t>KRAV-AUTO-000043</t>
        </is>
      </c>
      <c r="B44" t="inlineStr">
        <is>
          <t>ADMIN-INDEX-2026-02-27-00000000125C043F57453246863FE664CAFE6A3F0700950291EA24F0614FB6ACEDB12BF0E31D00000000010C0000950291EA24F0614FB6ACEDB12BF0E31D00002087B5EE0000</t>
        </is>
      </c>
      <c r="C44" t="inlineStr">
        <is>
          <t>cmm4yumvp003zcuqwqxlxa6rl</t>
        </is>
      </c>
      <c r="D44" t="inlineStr">
        <is>
          <t>http://localhost:8787/api/admin/requirements/documents/cmm4yumvp003zcuqwqxlxa6rl/view</t>
        </is>
      </c>
      <c r="E44">
        <f>HYPERLÄNK("http://localhost:8787/api/admin/requirements/documents/cmm4yumvp003zcuqwqxlxa6rl/view";"Öppna PDF")</f>
        <v/>
      </c>
      <c r="F44">
        <f>HYPERLINK("http://localhost:8787/api/admin/requirements/documents/cmm4yumvp003zcuqwqxlxa6rl/view","Open PDF")</f>
        <v/>
      </c>
      <c r="G44" t="inlineStr">
        <is>
          <t>cmm55w57p0004cuisfrtpqly8</t>
        </is>
      </c>
      <c r="H44" t="inlineStr">
        <is>
          <t>Informationskrav</t>
        </is>
      </c>
      <c r="I44" t="inlineStr">
        <is>
          <t>Riskhantering</t>
        </is>
      </c>
      <c r="J44" t="inlineStr">
        <is>
          <t>Riskkontroll</t>
        </is>
      </c>
      <c r="K44" t="inlineStr">
        <is>
          <t>6 § Verksamhetsutövaren skall fortlöpande och systematiskt undersöka och bedöma riskerna med verksamheten från hälso- och miljösynpunkt.</t>
        </is>
      </c>
      <c r="L44" t="inlineStr">
        <is>
          <t>6 § Verksamhetsutövaren skall fortlöpande och systematiskt undersöka och bedöma riskerna med verksamheten från hälso- och miljösynpunkt.</t>
        </is>
      </c>
      <c r="M44" t="inlineStr">
        <is>
          <t>SKA</t>
        </is>
      </c>
      <c r="N44" t="inlineStr">
        <is>
          <t>FMH</t>
        </is>
      </c>
      <c r="O44" t="inlineStr"/>
      <c r="P44" t="inlineStr">
        <is>
          <t>Lopande</t>
        </is>
      </c>
      <c r="Q44" t="inlineStr"/>
      <c r="R44" t="inlineStr">
        <is>
          <t>Vid risk for incident</t>
        </is>
      </c>
      <c r="S44" t="inlineStr"/>
      <c r="T44" t="inlineStr">
        <is>
          <t>556469</t>
        </is>
      </c>
      <c r="U44" t="inlineStr"/>
      <c r="V44" t="inlineStr"/>
      <c r="W44" t="inlineStr">
        <is>
          <t>Nej</t>
        </is>
      </c>
      <c r="X44" t="inlineStr">
        <is>
          <t>Nej</t>
        </is>
      </c>
      <c r="Y44" t="inlineStr">
        <is>
          <t>Ja</t>
        </is>
      </c>
      <c r="Z44" t="inlineStr">
        <is>
          <t>Ja</t>
        </is>
      </c>
      <c r="AA44" t="n">
        <v>8</v>
      </c>
      <c r="AB44" t="inlineStr">
        <is>
          <t>Riskhantering</t>
        </is>
      </c>
      <c r="AC44" t="inlineStr">
        <is>
          <t>Risk-PM</t>
        </is>
      </c>
      <c r="AD44" t="inlineStr">
        <is>
          <t>Nej</t>
        </is>
      </c>
      <c r="AE44" t="inlineStr">
        <is>
          <t>Nej</t>
        </is>
      </c>
      <c r="AF44" t="inlineStr">
        <is>
          <t>Ej behandlad</t>
        </is>
      </c>
      <c r="AG44" t="inlineStr">
        <is>
          <t>AUTO_GENERERAD. Verifiera citat mot kallfil.</t>
        </is>
      </c>
      <c r="AH44" t="inlineStr">
        <is>
          <t>HIGH</t>
        </is>
      </c>
      <c r="AI44" t="inlineStr">
        <is>
          <t>AUTO</t>
        </is>
      </c>
      <c r="AJ44" t="inlineStr">
        <is>
          <t>Nej</t>
        </is>
      </c>
      <c r="AK44" t="inlineStr"/>
      <c r="AL44" t="inlineStr"/>
      <c r="AM44" t="inlineStr"/>
      <c r="AN44" t="inlineStr"/>
      <c r="AO44" t="inlineStr">
        <is>
          <t>cmm4yumvp003zcuqwqxlxa6rl</t>
        </is>
      </c>
      <c r="AP44" t="inlineStr">
        <is>
          <t>http://localhost:8787/api/admin/requirements/documents/cmm4yumvp003zcuqwqxlxa6rl/view</t>
        </is>
      </c>
      <c r="AQ44">
        <f>HYPERLÄNK("http://localhost:8787/api/admin/requirements/documents/cmm4yumvp003zcuqwqxlxa6rl/view";"Öppna PDF")</f>
        <v/>
      </c>
      <c r="AR44">
        <f>HYPERLINK("http://localhost:8787/api/admin/requirements/documents/cmm4yumvp003zcuqwqxlxa6rl/view","Open PDF")</f>
        <v/>
      </c>
      <c r="AS44" t="inlineStr">
        <is>
          <t>cmm55w57p0004cuisfrtpqly8</t>
        </is>
      </c>
      <c r="AT44" t="inlineStr">
        <is>
          <t>cmm4xvu980000cuh4vj0usz09</t>
        </is>
      </c>
      <c r="AU44" t="inlineStr">
        <is>
          <t>i Haparanda</t>
        </is>
      </c>
      <c r="AV44" t="inlineStr">
        <is>
          <t>Kommun</t>
        </is>
      </c>
      <c r="AW44" t="inlineStr">
        <is>
          <t>i Haparanda kommun</t>
        </is>
      </c>
      <c r="AX44" t="inlineStr">
        <is>
          <t>2025-12</t>
        </is>
      </c>
      <c r="AY44" t="inlineStr">
        <is>
          <t>Anmalan</t>
        </is>
      </c>
      <c r="AZ44" t="inlineStr">
        <is>
          <t>2026-02-02</t>
        </is>
      </c>
      <c r="BA44" t="inlineStr">
        <is>
          <t>Sbn-2025-457-Beslut anmälan om miljöfarlig verksamhet.pdf</t>
        </is>
      </c>
      <c r="BB44" t="inlineStr">
        <is>
          <t>Förfrågan C-verksamheter</t>
        </is>
      </c>
      <c r="BC44" t="inlineStr">
        <is>
          <t>AUTO</t>
        </is>
      </c>
      <c r="BD44" t="inlineStr"/>
      <c r="BE44" t="inlineStr"/>
      <c r="BF44" t="inlineStr">
        <is>
          <t>AUTO_GENERERAD. Bekrafta metadata mot kallfil.</t>
        </is>
      </c>
      <c r="BG44">
        <f>HYPERLINK("C:\Users\jimmy\Desktop\Examens arbete\Kod\Ny mapp\remix_-copy-of-miljöbeslut.se-portal\Sbn-2025-457-Beslut anmälan om miljöfarlig verksamhet.pdf", "Öppna PDF")</f>
        <v/>
      </c>
    </row>
    <row r="45">
      <c r="A45" t="inlineStr">
        <is>
          <t>KRAV-AUTO-000044</t>
        </is>
      </c>
      <c r="B45" t="inlineStr">
        <is>
          <t>ADMIN-INDEX-2026-02-27-00000000125C043F57453246863FE664CAFE6A3F0700950291EA24F0614FB6ACEDB12BF0E31D00000000010C0000950291EA24F0614FB6ACEDB12BF0E31D00002087B1D20000</t>
        </is>
      </c>
      <c r="C45" t="inlineStr">
        <is>
          <t>cmm4yumyh006ncuqwgc3rsm71</t>
        </is>
      </c>
      <c r="D45" t="inlineStr">
        <is>
          <t>http://localhost:8787/api/admin/requirements/documents/cmm4yumyh006ncuqwgc3rsm71/view</t>
        </is>
      </c>
      <c r="E45">
        <f>HYPERLÄNK("http://localhost:8787/api/admin/requirements/documents/cmm4yumyh006ncuqwgc3rsm71/view";"Öppna PDF")</f>
        <v/>
      </c>
      <c r="F45">
        <f>HYPERLINK("http://localhost:8787/api/admin/requirements/documents/cmm4yumyh006ncuqwgc3rsm71/view","Open PDF")</f>
        <v/>
      </c>
      <c r="G45" t="inlineStr">
        <is>
          <t>cmm55w57p0004cuisfrtpqly8</t>
        </is>
      </c>
      <c r="H45" t="inlineStr">
        <is>
          <t>Beslutsvillkor</t>
        </is>
      </c>
      <c r="I45" t="inlineStr">
        <is>
          <t>MiljopaverkanForsiktighet</t>
        </is>
      </c>
      <c r="J45" t="inlineStr">
        <is>
          <t>Skyddsatgarder</t>
        </is>
      </c>
      <c r="K45" t="inlineStr">
        <is>
          <t>Avfallet ska vara borttaget senast två månader efter att det här beslutet vunnit laga kraft.</t>
        </is>
      </c>
      <c r="L45" t="inlineStr">
        <is>
          <t>Avfallet ska vara borttaget senast två månader efter att det här beslutet vunnit laga kraft.</t>
        </is>
      </c>
      <c r="M45" t="inlineStr">
        <is>
          <t>SKA</t>
        </is>
      </c>
      <c r="N45" t="inlineStr"/>
      <c r="O45" t="inlineStr">
        <is>
          <t>senast tva manader efter att det har</t>
        </is>
      </c>
      <c r="P45" t="inlineStr">
        <is>
          <t>Manadskontroll</t>
        </is>
      </c>
      <c r="Q45" t="inlineStr"/>
      <c r="R45" t="inlineStr">
        <is>
          <t>Alltid</t>
        </is>
      </c>
      <c r="S45" t="inlineStr"/>
      <c r="T45" t="inlineStr">
        <is>
          <t>88 63 89</t>
        </is>
      </c>
      <c r="U45" t="inlineStr"/>
      <c r="V45" t="inlineStr"/>
      <c r="W45" t="inlineStr">
        <is>
          <t>Nej</t>
        </is>
      </c>
      <c r="X45" t="inlineStr">
        <is>
          <t>Nej</t>
        </is>
      </c>
      <c r="Y45" t="inlineStr">
        <is>
          <t>Nej</t>
        </is>
      </c>
      <c r="Z45" t="inlineStr">
        <is>
          <t>Nej</t>
        </is>
      </c>
      <c r="AA45" t="n">
        <v>10</v>
      </c>
      <c r="AB45" t="inlineStr">
        <is>
          <t>Miljopaverkan och forsiktighetsmatt</t>
        </is>
      </c>
      <c r="AC45" t="inlineStr">
        <is>
          <t>Miljo-PM</t>
        </is>
      </c>
      <c r="AD45" t="inlineStr">
        <is>
          <t>Nej</t>
        </is>
      </c>
      <c r="AE45" t="inlineStr">
        <is>
          <t>Nej</t>
        </is>
      </c>
      <c r="AF45" t="inlineStr">
        <is>
          <t>Ej behandlad</t>
        </is>
      </c>
      <c r="AG45" t="inlineStr">
        <is>
          <t>AUTO_GENERERAD. Verifiera citat mot kallfil.</t>
        </is>
      </c>
      <c r="AH45" t="inlineStr">
        <is>
          <t>MEDIUM</t>
        </is>
      </c>
      <c r="AI45" t="inlineStr">
        <is>
          <t>AUTO</t>
        </is>
      </c>
      <c r="AJ45" t="inlineStr">
        <is>
          <t>Nej</t>
        </is>
      </c>
      <c r="AK45" t="inlineStr"/>
      <c r="AL45" t="inlineStr"/>
      <c r="AM45" t="inlineStr"/>
      <c r="AN45" t="inlineStr"/>
      <c r="AO45" t="inlineStr">
        <is>
          <t>cmm4yumyz0075cuqwsj0akxcx</t>
        </is>
      </c>
      <c r="AP45" t="inlineStr">
        <is>
          <t>http://localhost:8787/api/admin/requirements/documents/cmm4yumyz0075cuqwsj0akxcx/view</t>
        </is>
      </c>
      <c r="AQ45">
        <f>HYPERLÄNK("http://localhost:8787/api/admin/requirements/documents/cmm4yumyz0075cuqwsj0akxcx/view";"Öppna PDF")</f>
        <v/>
      </c>
      <c r="AR45">
        <f>HYPERLINK("http://localhost:8787/api/admin/requirements/documents/cmm4yumyz0075cuqwsj0akxcx/view","Open PDF")</f>
        <v/>
      </c>
      <c r="AS45" t="inlineStr">
        <is>
          <t>cmm55w57p0004cuisfrtpqly8</t>
        </is>
      </c>
      <c r="AT45" t="inlineStr">
        <is>
          <t>cmm4xvu980000cuh4vj0usz09</t>
        </is>
      </c>
      <c r="AU45" t="inlineStr">
        <is>
          <t>Falkenberg Postadress Falkenbergs</t>
        </is>
      </c>
      <c r="AV45" t="inlineStr">
        <is>
          <t>Kommun</t>
        </is>
      </c>
      <c r="AW45" t="inlineStr">
        <is>
          <t>Falkenberg Postadress Falkenbergs kommun</t>
        </is>
      </c>
      <c r="AX45" t="inlineStr">
        <is>
          <t>2025-02</t>
        </is>
      </c>
      <c r="AY45" t="inlineStr">
        <is>
          <t>Beslut</t>
        </is>
      </c>
      <c r="AZ45" t="inlineStr">
        <is>
          <t>2026-02-03</t>
        </is>
      </c>
      <c r="BA45" t="inlineStr">
        <is>
          <t>M-2024-2727_2025-01-10_Beslut (MHF MHN)_Västra Gärdet 2 1.pdf</t>
        </is>
      </c>
      <c r="BB45" t="inlineStr">
        <is>
          <t>efterfrågade handlingar</t>
        </is>
      </c>
      <c r="BC45" t="inlineStr">
        <is>
          <t>AUTO</t>
        </is>
      </c>
      <c r="BD45" t="inlineStr"/>
      <c r="BE45" t="inlineStr"/>
      <c r="BF45" t="inlineStr">
        <is>
          <t>AUTO_GENERERAD. Bekrafta metadata mot kallfil.</t>
        </is>
      </c>
      <c r="BG45">
        <f>HYPERLINK("C:\Users\jimmy\Desktop\Examens arbete\Kod\Ny mapp\remix_-copy-of-miljöbeslut.se-portal\M-2024-2727_2025-01-10_Beslut (MHF MHN)_Västra Gärdet 2 1.pdf", "Öppna PDF")</f>
        <v/>
      </c>
    </row>
    <row r="46">
      <c r="A46" t="inlineStr">
        <is>
          <t>KRAV-AUTO-000045</t>
        </is>
      </c>
      <c r="B46" t="inlineStr">
        <is>
          <t>ADMIN-INDEX-2026-02-27-00000000125C043F57453246863FE664CAFE6A3F0700950291EA24F0614FB6ACEDB12BF0E31D00000000010C0000950291EA24F0614FB6ACEDB12BF0E31D00002087B1D20000</t>
        </is>
      </c>
      <c r="C46" t="inlineStr">
        <is>
          <t>cmm4yumyh006ncuqwgc3rsm71</t>
        </is>
      </c>
      <c r="D46" t="inlineStr">
        <is>
          <t>http://localhost:8787/api/admin/requirements/documents/cmm4yumyh006ncuqwgc3rsm71/view</t>
        </is>
      </c>
      <c r="E46">
        <f>HYPERLÄNK("http://localhost:8787/api/admin/requirements/documents/cmm4yumyh006ncuqwgc3rsm71/view";"Öppna PDF")</f>
        <v/>
      </c>
      <c r="F46">
        <f>HYPERLINK("http://localhost:8787/api/admin/requirements/documents/cmm4yumyh006ncuqwgc3rsm71/view","Open PDF")</f>
        <v/>
      </c>
      <c r="G46" t="inlineStr">
        <is>
          <t>cmm55w57p0004cuisfrtpqly8</t>
        </is>
      </c>
      <c r="H46" t="inlineStr">
        <is>
          <t>Beslutsvillkor</t>
        </is>
      </c>
      <c r="I46" t="inlineStr">
        <is>
          <t>MiljopaverkanForsiktighet</t>
        </is>
      </c>
      <c r="J46" t="inlineStr">
        <is>
          <t>Skyddsatgarder</t>
        </is>
      </c>
      <c r="K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innan det bortskaffas är att betrakta som en deponi enligt 15 kap 5 a § i miljöbalken.</t>
        </is>
      </c>
      <c r="L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t>
        </is>
      </c>
      <c r="M46" t="inlineStr">
        <is>
          <t>SKA</t>
        </is>
      </c>
      <c r="N46" t="inlineStr">
        <is>
          <t>Miljobalken</t>
        </is>
      </c>
      <c r="O46" t="inlineStr"/>
      <c r="P46" t="inlineStr"/>
      <c r="Q46" t="inlineStr"/>
      <c r="R46" t="inlineStr">
        <is>
          <t>Alltid</t>
        </is>
      </c>
      <c r="S46" t="inlineStr"/>
      <c r="T46" t="inlineStr">
        <is>
          <t>88 60 00</t>
        </is>
      </c>
      <c r="U46" t="inlineStr"/>
      <c r="V46" t="inlineStr"/>
      <c r="W46" t="inlineStr">
        <is>
          <t>Nej</t>
        </is>
      </c>
      <c r="X46" t="inlineStr">
        <is>
          <t>Nej</t>
        </is>
      </c>
      <c r="Y46" t="inlineStr">
        <is>
          <t>Nej</t>
        </is>
      </c>
      <c r="Z46" t="inlineStr">
        <is>
          <t>Nej</t>
        </is>
      </c>
      <c r="AA46" t="n">
        <v>10</v>
      </c>
      <c r="AB46" t="inlineStr">
        <is>
          <t>Miljopaverkan och forsiktighetsmatt</t>
        </is>
      </c>
      <c r="AC46" t="inlineStr">
        <is>
          <t>Miljo-PM</t>
        </is>
      </c>
      <c r="AD46" t="inlineStr">
        <is>
          <t>Nej</t>
        </is>
      </c>
      <c r="AE46" t="inlineStr">
        <is>
          <t>Nej</t>
        </is>
      </c>
      <c r="AF46" t="inlineStr">
        <is>
          <t>Ej behandlad</t>
        </is>
      </c>
      <c r="AG46" t="inlineStr">
        <is>
          <t>AUTO_GENERERAD. Verifiera citat mot kallfil.</t>
        </is>
      </c>
      <c r="AH46" t="inlineStr">
        <is>
          <t>HIGH</t>
        </is>
      </c>
      <c r="AI46" t="inlineStr">
        <is>
          <t>AUTO</t>
        </is>
      </c>
      <c r="AJ46" t="inlineStr">
        <is>
          <t>Nej</t>
        </is>
      </c>
      <c r="AK46" t="inlineStr"/>
      <c r="AL46" t="inlineStr"/>
      <c r="AM46" t="inlineStr"/>
      <c r="AN46" t="inlineStr"/>
      <c r="AO46" t="inlineStr">
        <is>
          <t>cmm4yumyz0075cuqwsj0akxcx</t>
        </is>
      </c>
      <c r="AP46" t="inlineStr">
        <is>
          <t>http://localhost:8787/api/admin/requirements/documents/cmm4yumyz0075cuqwsj0akxcx/view</t>
        </is>
      </c>
      <c r="AQ46">
        <f>HYPERLÄNK("http://localhost:8787/api/admin/requirements/documents/cmm4yumyz0075cuqwsj0akxcx/view";"Öppna PDF")</f>
        <v/>
      </c>
      <c r="AR46">
        <f>HYPERLINK("http://localhost:8787/api/admin/requirements/documents/cmm4yumyz0075cuqwsj0akxcx/view","Open PDF")</f>
        <v/>
      </c>
      <c r="AS46" t="inlineStr">
        <is>
          <t>cmm55w57p0004cuisfrtpqly8</t>
        </is>
      </c>
      <c r="AT46" t="inlineStr">
        <is>
          <t>cmm4xvu980000cuh4vj0usz09</t>
        </is>
      </c>
      <c r="AU46" t="inlineStr">
        <is>
          <t>Falkenberg Postadress Falkenbergs</t>
        </is>
      </c>
      <c r="AV46" t="inlineStr">
        <is>
          <t>Kommun</t>
        </is>
      </c>
      <c r="AW46" t="inlineStr">
        <is>
          <t>Falkenberg Postadress Falkenbergs kommun</t>
        </is>
      </c>
      <c r="AX46" t="inlineStr">
        <is>
          <t>2025-02</t>
        </is>
      </c>
      <c r="AY46" t="inlineStr">
        <is>
          <t>Beslut</t>
        </is>
      </c>
      <c r="AZ46" t="inlineStr">
        <is>
          <t>2026-02-03</t>
        </is>
      </c>
      <c r="BA46" t="inlineStr">
        <is>
          <t>M-2024-2727_2025-01-10_Beslut (MHF MHN)_Västra Gärdet 2 1.pdf</t>
        </is>
      </c>
      <c r="BB46" t="inlineStr">
        <is>
          <t>efterfrågade handlingar</t>
        </is>
      </c>
      <c r="BC46" t="inlineStr">
        <is>
          <t>AUTO</t>
        </is>
      </c>
      <c r="BD46" t="inlineStr"/>
      <c r="BE46" t="inlineStr"/>
      <c r="BF46" t="inlineStr">
        <is>
          <t>AUTO_GENERERAD. Bekrafta metadata mot kallfil.</t>
        </is>
      </c>
      <c r="BG46">
        <f>HYPERLINK("C:\Users\jimmy\Desktop\Examens arbete\Kod\Ny mapp\remix_-copy-of-miljöbeslut.se-portal\M-2024-2727_2025-01-10_Beslut (MHF MHN)_Västra Gärdet 2 1.pdf", "Öppna PDF")</f>
        <v/>
      </c>
    </row>
    <row r="47">
      <c r="A47" t="inlineStr">
        <is>
          <t>KRAV-AUTO-000046</t>
        </is>
      </c>
      <c r="B47" t="inlineStr">
        <is>
          <t>ADMIN-INDEX-2026-02-27-00000000125C043F57453246863FE664CAFE6A3F0700950291EA24F0614FB6ACEDB12BF0E31D00000000010C0000950291EA24F0614FB6ACEDB12BF0E31D00002087B1D20000</t>
        </is>
      </c>
      <c r="C47" t="inlineStr">
        <is>
          <t>cmm4yumyh006ncuqwgc3rsm71</t>
        </is>
      </c>
      <c r="D47" t="inlineStr">
        <is>
          <t>http://localhost:8787/api/admin/requirements/documents/cmm4yumyh006ncuqwgc3rsm71/view</t>
        </is>
      </c>
      <c r="E47">
        <f>HYPERLÄNK("http://localhost:8787/api/admin/requirements/documents/cmm4yumyh006ncuqwgc3rsm71/view";"Öppna PDF")</f>
        <v/>
      </c>
      <c r="F47">
        <f>HYPERLINK("http://localhost:8787/api/admin/requirements/documents/cmm4yumyh006ncuqwgc3rsm71/view","Open PDF")</f>
        <v/>
      </c>
      <c r="G47" t="inlineStr">
        <is>
          <t>cmm55w57p0004cuisfrtpqly8</t>
        </is>
      </c>
      <c r="H47" t="inlineStr">
        <is>
          <t>Beslutsvillkor</t>
        </is>
      </c>
      <c r="I47" t="inlineStr">
        <is>
          <t>LagringsvolymTid</t>
        </is>
      </c>
      <c r="J47" t="inlineStr">
        <is>
          <t>Maxmangd</t>
        </is>
      </c>
      <c r="K47" t="inlineStr">
        <is>
          <t>Se till att allt avfall (se bilaga 2), i form av sten, betong, asfalt och grenar, som finns på gårdsplanen på fastigheten Hanarp 1:4 tas bort.</t>
        </is>
      </c>
      <c r="L47" t="inlineStr">
        <is>
          <t>Se till att allt avfall (se bilaga 2), i form av sten, betong, asfalt och grenar, som finns på gårdsplanen på fastigheten Hanarp 1:4 tas bort.</t>
        </is>
      </c>
      <c r="M47" t="inlineStr">
        <is>
          <t>BOR</t>
        </is>
      </c>
      <c r="N47" t="inlineStr"/>
      <c r="O47" t="inlineStr"/>
      <c r="P47" t="inlineStr"/>
      <c r="Q47" t="inlineStr"/>
      <c r="R47" t="inlineStr">
        <is>
          <t>Alltid</t>
        </is>
      </c>
      <c r="S47" t="inlineStr"/>
      <c r="T47" t="inlineStr">
        <is>
          <t>88 63 89</t>
        </is>
      </c>
      <c r="U47" t="inlineStr"/>
      <c r="V47" t="inlineStr"/>
      <c r="W47" t="inlineStr">
        <is>
          <t>Nej</t>
        </is>
      </c>
      <c r="X47" t="inlineStr">
        <is>
          <t>Nej</t>
        </is>
      </c>
      <c r="Y47" t="inlineStr">
        <is>
          <t>Nej</t>
        </is>
      </c>
      <c r="Z47" t="inlineStr">
        <is>
          <t>Nej</t>
        </is>
      </c>
      <c r="AA47" t="n">
        <v>4</v>
      </c>
      <c r="AB47" t="inlineStr">
        <is>
          <t>Avfallsmangder och lagringstid</t>
        </is>
      </c>
      <c r="AC47" t="inlineStr">
        <is>
          <t>Avfallsforteckning</t>
        </is>
      </c>
      <c r="AD47" t="inlineStr">
        <is>
          <t>Nej</t>
        </is>
      </c>
      <c r="AE47" t="inlineStr">
        <is>
          <t>Nej</t>
        </is>
      </c>
      <c r="AF47" t="inlineStr">
        <is>
          <t>Ej behandlad</t>
        </is>
      </c>
      <c r="AG47" t="inlineStr">
        <is>
          <t>AUTO_GENERERAD. Verifiera citat mot kallfil.</t>
        </is>
      </c>
      <c r="AH47" t="inlineStr">
        <is>
          <t>MEDIUM</t>
        </is>
      </c>
      <c r="AI47" t="inlineStr">
        <is>
          <t>AUTO</t>
        </is>
      </c>
      <c r="AJ47" t="inlineStr">
        <is>
          <t>Nej</t>
        </is>
      </c>
      <c r="AK47" t="inlineStr"/>
      <c r="AL47" t="inlineStr"/>
      <c r="AM47" t="inlineStr"/>
      <c r="AN47" t="inlineStr"/>
      <c r="AO47" t="inlineStr">
        <is>
          <t>cmm4yumyz0075cuqwsj0akxcx</t>
        </is>
      </c>
      <c r="AP47" t="inlineStr">
        <is>
          <t>http://localhost:8787/api/admin/requirements/documents/cmm4yumyz0075cuqwsj0akxcx/view</t>
        </is>
      </c>
      <c r="AQ47">
        <f>HYPERLÄNK("http://localhost:8787/api/admin/requirements/documents/cmm4yumyz0075cuqwsj0akxcx/view";"Öppna PDF")</f>
        <v/>
      </c>
      <c r="AR47">
        <f>HYPERLINK("http://localhost:8787/api/admin/requirements/documents/cmm4yumyz0075cuqwsj0akxcx/view","Open PDF")</f>
        <v/>
      </c>
      <c r="AS47" t="inlineStr">
        <is>
          <t>cmm55w57p0004cuisfrtpqly8</t>
        </is>
      </c>
      <c r="AT47" t="inlineStr">
        <is>
          <t>cmm4xvu980000cuh4vj0usz09</t>
        </is>
      </c>
      <c r="AU47" t="inlineStr">
        <is>
          <t>Falkenberg Postadress Falkenbergs</t>
        </is>
      </c>
      <c r="AV47" t="inlineStr">
        <is>
          <t>Kommun</t>
        </is>
      </c>
      <c r="AW47" t="inlineStr">
        <is>
          <t>Falkenberg Postadress Falkenbergs kommun</t>
        </is>
      </c>
      <c r="AX47" t="inlineStr">
        <is>
          <t>2025-02</t>
        </is>
      </c>
      <c r="AY47" t="inlineStr">
        <is>
          <t>Beslut</t>
        </is>
      </c>
      <c r="AZ47" t="inlineStr">
        <is>
          <t>2026-02-03</t>
        </is>
      </c>
      <c r="BA47" t="inlineStr">
        <is>
          <t>M-2024-2727_2025-01-10_Beslut (MHF MHN)_Västra Gärdet 2 1.pdf</t>
        </is>
      </c>
      <c r="BB47" t="inlineStr">
        <is>
          <t>efterfrågade handlingar</t>
        </is>
      </c>
      <c r="BC47" t="inlineStr">
        <is>
          <t>AUTO</t>
        </is>
      </c>
      <c r="BD47" t="inlineStr"/>
      <c r="BE47" t="inlineStr"/>
      <c r="BF47" t="inlineStr">
        <is>
          <t>AUTO_GENERERAD. Bekrafta metadata mot kallfil.</t>
        </is>
      </c>
      <c r="BG47">
        <f>HYPERLINK("C:\Users\jimmy\Desktop\Examens arbete\Kod\Ny mapp\remix_-copy-of-miljöbeslut.se-portal\M-2024-2727_2025-01-10_Beslut (MHF MHN)_Västra Gärdet 2 1.pdf", "Öppna PDF")</f>
        <v/>
      </c>
    </row>
    <row r="48">
      <c r="A48" t="inlineStr">
        <is>
          <t>KRAV-AUTO-000047</t>
        </is>
      </c>
      <c r="B48" t="inlineStr">
        <is>
          <t>ADMIN-INDEX-2026-02-27-00000000125C043F57453246863FE664CAFE6A3F0700950291EA24F0614FB6ACEDB12BF0E31D00000000010C0000950291EA24F0614FB6ACEDB12BF0E31D00002087B1DD0000</t>
        </is>
      </c>
      <c r="C48" t="inlineStr">
        <is>
          <t>cmm4yumy5006bcuqwtam8nvjw</t>
        </is>
      </c>
      <c r="D48" t="inlineStr">
        <is>
          <t>http://localhost:8787/api/admin/requirements/documents/cmm4yumy5006bcuqwtam8nvjw/view</t>
        </is>
      </c>
      <c r="E48">
        <f>HYPERLÄNK("http://localhost:8787/api/admin/requirements/documents/cmm4yumy5006bcuqwtam8nvjw/view";"Öppna PDF")</f>
        <v/>
      </c>
      <c r="F48">
        <f>HYPERLINK("http://localhost:8787/api/admin/requirements/documents/cmm4yumy5006bcuqwtam8nvjw/view","Open PDF")</f>
        <v/>
      </c>
      <c r="G48" t="inlineStr">
        <is>
          <t>cmm55w57p0004cuisfrtpqly8</t>
        </is>
      </c>
      <c r="H48" t="inlineStr">
        <is>
          <t>Beslutsvillkor</t>
        </is>
      </c>
      <c r="I48" t="inlineStr">
        <is>
          <t>DagvattenLakvatten</t>
        </is>
      </c>
      <c r="J48" t="inlineStr">
        <is>
          <t>Uppsamling</t>
        </is>
      </c>
      <c r="K48" t="inlineStr">
        <is>
          <t>Deponin skall enligt delegationsbeslut 14/2011 (Salems kommun 2011-09-07) ha en provtagningsplan för kontroll av lakvatten.</t>
        </is>
      </c>
      <c r="L48" t="inlineStr">
        <is>
          <t>Deponin skall enligt delegationsbeslut 14/2011 (Salems kommun 2011-09-07) ha en provtagningsplan för kontroll av lakvatten.</t>
        </is>
      </c>
      <c r="M48" t="inlineStr">
        <is>
          <t>SKA</t>
        </is>
      </c>
      <c r="N48" t="inlineStr"/>
      <c r="O48" t="inlineStr">
        <is>
          <t>2011-09-07</t>
        </is>
      </c>
      <c r="P48" t="inlineStr"/>
      <c r="Q48" t="inlineStr"/>
      <c r="R48" t="inlineStr">
        <is>
          <t>Vid nederbord och avrinning</t>
        </is>
      </c>
      <c r="S48" t="inlineStr"/>
      <c r="T48" t="inlineStr">
        <is>
          <t>556555</t>
        </is>
      </c>
      <c r="U48" t="inlineStr"/>
      <c r="V48" t="inlineStr"/>
      <c r="W48" t="inlineStr">
        <is>
          <t>Nej</t>
        </is>
      </c>
      <c r="X48" t="inlineStr">
        <is>
          <t>Ja</t>
        </is>
      </c>
      <c r="Y48" t="inlineStr">
        <is>
          <t>Ja</t>
        </is>
      </c>
      <c r="Z48" t="inlineStr">
        <is>
          <t>Nej</t>
        </is>
      </c>
      <c r="AA48" t="n">
        <v>6</v>
      </c>
      <c r="AB48" t="inlineStr">
        <is>
          <t>Lakvattenhantering</t>
        </is>
      </c>
      <c r="AC48" t="inlineStr">
        <is>
          <t>Flodesschema dagvatten-lakvatten</t>
        </is>
      </c>
      <c r="AD48" t="inlineStr">
        <is>
          <t>Nej</t>
        </is>
      </c>
      <c r="AE48" t="inlineStr">
        <is>
          <t>Nej</t>
        </is>
      </c>
      <c r="AF48" t="inlineStr">
        <is>
          <t>Ej behandlad</t>
        </is>
      </c>
      <c r="AG48" t="inlineStr">
        <is>
          <t>AUTO_GENERERAD. Verifiera citat mot kallfil.</t>
        </is>
      </c>
      <c r="AH48" t="inlineStr">
        <is>
          <t>MEDIUM</t>
        </is>
      </c>
      <c r="AI48" t="inlineStr">
        <is>
          <t>AUTO</t>
        </is>
      </c>
      <c r="AJ48" t="inlineStr">
        <is>
          <t>Nej</t>
        </is>
      </c>
      <c r="AK48" t="inlineStr"/>
      <c r="AL48" t="inlineStr"/>
      <c r="AM48" t="inlineStr"/>
      <c r="AN48" t="inlineStr"/>
      <c r="AO48" t="inlineStr">
        <is>
          <t>cmm4yumy7006ecuqwnx9sxuen</t>
        </is>
      </c>
      <c r="AP48" t="inlineStr">
        <is>
          <t>http://localhost:8787/api/admin/requirements/documents/cmm4yumy7006ecuqwnx9sxuen/view</t>
        </is>
      </c>
      <c r="AQ48">
        <f>HYPERLÄNK("http://localhost:8787/api/admin/requirements/documents/cmm4yumy7006ecuqwnx9sxuen/view";"Öppna PDF")</f>
        <v/>
      </c>
      <c r="AR48">
        <f>HYPERLINK("http://localhost:8787/api/admin/requirements/documents/cmm4yumy7006ecuqwnx9sxuen/view","Open PDF")</f>
        <v/>
      </c>
      <c r="AS48" t="inlineStr">
        <is>
          <t>cmm55w57p0004cuisfrtpqly8</t>
        </is>
      </c>
      <c r="AT48" t="inlineStr">
        <is>
          <t>cmm4xvu980000cuh4vj0usz09</t>
        </is>
      </c>
      <c r="AU48" t="inlineStr"/>
      <c r="AV48" t="inlineStr">
        <is>
          <t>Kommun</t>
        </is>
      </c>
      <c r="AW48" t="inlineStr"/>
      <c r="AX48" t="inlineStr">
        <is>
          <t>2024-06150267</t>
        </is>
      </c>
      <c r="AY48" t="inlineStr">
        <is>
          <t>Beslut</t>
        </is>
      </c>
      <c r="AZ48" t="inlineStr">
        <is>
          <t>2026-02-02</t>
        </is>
      </c>
      <c r="BA48" t="inlineStr">
        <is>
          <t>Deponi 1301_177-2024-06150267_01 (1).pdf</t>
        </is>
      </c>
      <c r="BB48" t="inlineStr">
        <is>
          <t>Re: till registrator</t>
        </is>
      </c>
      <c r="BC48" t="inlineStr">
        <is>
          <t>AUTO</t>
        </is>
      </c>
      <c r="BD48" t="inlineStr"/>
      <c r="BE48" t="inlineStr"/>
      <c r="BF48" t="inlineStr">
        <is>
          <t>AUTO_GENERERAD. Bekrafta metadata mot kallfil.</t>
        </is>
      </c>
      <c r="BG48">
        <f>HYPERLINK("C:\Users\jimmy\Desktop\Examens arbete\Kod\Ny mapp\remix_-copy-of-miljöbeslut.se-portal\Deponi 1301_177-2024-06150267_01 (1).pdf", "Öppna PDF")</f>
        <v/>
      </c>
    </row>
    <row r="49">
      <c r="A49" t="inlineStr">
        <is>
          <t>KRAV-AUTO-000048</t>
        </is>
      </c>
      <c r="B49" t="inlineStr">
        <is>
          <t>ADMIN-INDEX-2026-02-27-00000000125C043F57453246863FE664CAFE6A3F0700950291EA24F0614FB6ACEDB12BF0E31D00000000010C0000950291EA24F0614FB6ACEDB12BF0E31D00002087B1DD0000</t>
        </is>
      </c>
      <c r="C49" t="inlineStr">
        <is>
          <t>cmm4yumy5006bcuqwtam8nvjw</t>
        </is>
      </c>
      <c r="D49" t="inlineStr">
        <is>
          <t>http://localhost:8787/api/admin/requirements/documents/cmm4yumy5006bcuqwtam8nvjw/view</t>
        </is>
      </c>
      <c r="E49">
        <f>HYPERLÄNK("http://localhost:8787/api/admin/requirements/documents/cmm4yumy5006bcuqwtam8nvjw/view";"Öppna PDF")</f>
        <v/>
      </c>
      <c r="F49">
        <f>HYPERLINK("http://localhost:8787/api/admin/requirements/documents/cmm4yumy5006bcuqwtam8nvjw/view","Open PDF")</f>
        <v/>
      </c>
      <c r="G49" t="inlineStr">
        <is>
          <t>cmm55w57p0004cuisfrtpqly8</t>
        </is>
      </c>
      <c r="H49" t="inlineStr">
        <is>
          <t>Beslutsvillkor</t>
        </is>
      </c>
      <c r="I49" t="inlineStr">
        <is>
          <t>DagvattenLakvatten</t>
        </is>
      </c>
      <c r="J49" t="inlineStr">
        <is>
          <t>Uppsamling</t>
        </is>
      </c>
      <c r="K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2023-04-14 Utskriftsdatum: 2023-04-25 Provmärkning: Deponi 1:301 Analys Resultat Enhet Metod/ref Mäto.</t>
        </is>
      </c>
      <c r="L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t>
        </is>
      </c>
      <c r="M49" t="inlineStr">
        <is>
          <t>BOR</t>
        </is>
      </c>
      <c r="N49" t="inlineStr"/>
      <c r="O49" t="inlineStr">
        <is>
          <t>2023-04-14</t>
        </is>
      </c>
      <c r="P49" t="inlineStr"/>
      <c r="Q49" t="inlineStr"/>
      <c r="R49" t="inlineStr">
        <is>
          <t>Vid nederbord och avrinning</t>
        </is>
      </c>
      <c r="S49" t="inlineStr"/>
      <c r="T49" t="inlineStr">
        <is>
          <t>556555</t>
        </is>
      </c>
      <c r="U49" t="inlineStr"/>
      <c r="V49" t="inlineStr"/>
      <c r="W49" t="inlineStr">
        <is>
          <t>Nej</t>
        </is>
      </c>
      <c r="X49" t="inlineStr">
        <is>
          <t>Ja</t>
        </is>
      </c>
      <c r="Y49" t="inlineStr">
        <is>
          <t>Ja</t>
        </is>
      </c>
      <c r="Z49" t="inlineStr">
        <is>
          <t>Nej</t>
        </is>
      </c>
      <c r="AA49" t="n">
        <v>6</v>
      </c>
      <c r="AB49" t="inlineStr">
        <is>
          <t>Lakvattenhantering</t>
        </is>
      </c>
      <c r="AC49" t="inlineStr">
        <is>
          <t>Flodesschema dagvatten-lakvatten</t>
        </is>
      </c>
      <c r="AD49" t="inlineStr">
        <is>
          <t>Nej</t>
        </is>
      </c>
      <c r="AE49" t="inlineStr">
        <is>
          <t>Nej</t>
        </is>
      </c>
      <c r="AF49" t="inlineStr">
        <is>
          <t>Ej behandlad</t>
        </is>
      </c>
      <c r="AG49" t="inlineStr">
        <is>
          <t>AUTO_GENERERAD. Verifiera citat mot kallfil.</t>
        </is>
      </c>
      <c r="AH49" t="inlineStr">
        <is>
          <t>MEDIUM</t>
        </is>
      </c>
      <c r="AI49" t="inlineStr">
        <is>
          <t>AUTO</t>
        </is>
      </c>
      <c r="AJ49" t="inlineStr">
        <is>
          <t>Nej</t>
        </is>
      </c>
      <c r="AK49" t="inlineStr"/>
      <c r="AL49" t="inlineStr"/>
      <c r="AM49" t="inlineStr"/>
      <c r="AN49" t="inlineStr"/>
      <c r="AO49" t="inlineStr">
        <is>
          <t>cmm4yumy7006ecuqwnx9sxuen</t>
        </is>
      </c>
      <c r="AP49" t="inlineStr">
        <is>
          <t>http://localhost:8787/api/admin/requirements/documents/cmm4yumy7006ecuqwnx9sxuen/view</t>
        </is>
      </c>
      <c r="AQ49">
        <f>HYPERLÄNK("http://localhost:8787/api/admin/requirements/documents/cmm4yumy7006ecuqwnx9sxuen/view";"Öppna PDF")</f>
        <v/>
      </c>
      <c r="AR49">
        <f>HYPERLINK("http://localhost:8787/api/admin/requirements/documents/cmm4yumy7006ecuqwnx9sxuen/view","Open PDF")</f>
        <v/>
      </c>
      <c r="AS49" t="inlineStr">
        <is>
          <t>cmm55w57p0004cuisfrtpqly8</t>
        </is>
      </c>
      <c r="AT49" t="inlineStr">
        <is>
          <t>cmm4xvu980000cuh4vj0usz09</t>
        </is>
      </c>
      <c r="AU49" t="inlineStr"/>
      <c r="AV49" t="inlineStr">
        <is>
          <t>Kommun</t>
        </is>
      </c>
      <c r="AW49" t="inlineStr"/>
      <c r="AX49" t="inlineStr">
        <is>
          <t>2024-06150267</t>
        </is>
      </c>
      <c r="AY49" t="inlineStr">
        <is>
          <t>Beslut</t>
        </is>
      </c>
      <c r="AZ49" t="inlineStr">
        <is>
          <t>2026-02-02</t>
        </is>
      </c>
      <c r="BA49" t="inlineStr">
        <is>
          <t>Deponi 1301_177-2024-06150267_01 (1).pdf</t>
        </is>
      </c>
      <c r="BB49" t="inlineStr">
        <is>
          <t>Re: till registrator</t>
        </is>
      </c>
      <c r="BC49" t="inlineStr">
        <is>
          <t>AUTO</t>
        </is>
      </c>
      <c r="BD49" t="inlineStr"/>
      <c r="BE49" t="inlineStr"/>
      <c r="BF49" t="inlineStr">
        <is>
          <t>AUTO_GENERERAD. Bekrafta metadata mot kallfil.</t>
        </is>
      </c>
      <c r="BG49">
        <f>HYPERLINK("C:\Users\jimmy\Desktop\Examens arbete\Kod\Ny mapp\remix_-copy-of-miljöbeslut.se-portal\Deponi 1301_177-2024-06150267_01 (1).pdf", "Öppna PDF")</f>
        <v/>
      </c>
    </row>
    <row r="50">
      <c r="A50" t="inlineStr">
        <is>
          <t>KRAV-AUTO-000049</t>
        </is>
      </c>
      <c r="B50" t="inlineStr">
        <is>
          <t>ADMIN-INDEX-2026-02-27-00000000125C043F57453246863FE664CAFE6A3F0700950291EA24F0614FB6ACEDB12BF0E31D00000000010C0000950291EA24F0614FB6ACEDB12BF0E31D00002087B1DD0000</t>
        </is>
      </c>
      <c r="C50" t="inlineStr">
        <is>
          <t>cmm4yumy5006bcuqwtam8nvjw</t>
        </is>
      </c>
      <c r="D50" t="inlineStr">
        <is>
          <t>http://localhost:8787/api/admin/requirements/documents/cmm4yumy5006bcuqwtam8nvjw/view</t>
        </is>
      </c>
      <c r="E50">
        <f>HYPERLÄNK("http://localhost:8787/api/admin/requirements/documents/cmm4yumy5006bcuqwtam8nvjw/view";"Öppna PDF")</f>
        <v/>
      </c>
      <c r="F50">
        <f>HYPERLINK("http://localhost:8787/api/admin/requirements/documents/cmm4yumy5006bcuqwtam8nvjw/view","Open PDF")</f>
        <v/>
      </c>
      <c r="G50" t="inlineStr">
        <is>
          <t>cmm55w57p0004cuisfrtpqly8</t>
        </is>
      </c>
      <c r="H50" t="inlineStr">
        <is>
          <t>Beslutsvillkor</t>
        </is>
      </c>
      <c r="I50" t="inlineStr">
        <is>
          <t>DagvattenLakvatten</t>
        </is>
      </c>
      <c r="J50" t="inlineStr">
        <is>
          <t>Uppsamling</t>
        </is>
      </c>
      <c r="K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2023-10-13 Utskriftsdatum: 2023-10-24 Provmärkning: Deponi 1:301 Analys Resultat Enhet Metod/ref Mäto.</t>
        </is>
      </c>
      <c r="L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t>
        </is>
      </c>
      <c r="M50" t="inlineStr">
        <is>
          <t>BOR</t>
        </is>
      </c>
      <c r="N50" t="inlineStr"/>
      <c r="O50" t="inlineStr">
        <is>
          <t>2023-10-13</t>
        </is>
      </c>
      <c r="P50" t="inlineStr"/>
      <c r="Q50" t="inlineStr"/>
      <c r="R50" t="inlineStr">
        <is>
          <t>Vid nederbord och avrinning</t>
        </is>
      </c>
      <c r="S50" t="inlineStr"/>
      <c r="T50" t="inlineStr">
        <is>
          <t>556555</t>
        </is>
      </c>
      <c r="U50" t="inlineStr"/>
      <c r="V50" t="inlineStr"/>
      <c r="W50" t="inlineStr">
        <is>
          <t>Nej</t>
        </is>
      </c>
      <c r="X50" t="inlineStr">
        <is>
          <t>Ja</t>
        </is>
      </c>
      <c r="Y50" t="inlineStr">
        <is>
          <t>Ja</t>
        </is>
      </c>
      <c r="Z50" t="inlineStr">
        <is>
          <t>Nej</t>
        </is>
      </c>
      <c r="AA50" t="n">
        <v>6</v>
      </c>
      <c r="AB50" t="inlineStr">
        <is>
          <t>Lakvattenhantering</t>
        </is>
      </c>
      <c r="AC50" t="inlineStr">
        <is>
          <t>Flodesschema dagvatten-lakvatten</t>
        </is>
      </c>
      <c r="AD50" t="inlineStr">
        <is>
          <t>Nej</t>
        </is>
      </c>
      <c r="AE50" t="inlineStr">
        <is>
          <t>Nej</t>
        </is>
      </c>
      <c r="AF50" t="inlineStr">
        <is>
          <t>Ej behandlad</t>
        </is>
      </c>
      <c r="AG50" t="inlineStr">
        <is>
          <t>AUTO_GENERERAD. Verifiera citat mot kallfil.</t>
        </is>
      </c>
      <c r="AH50" t="inlineStr">
        <is>
          <t>MEDIUM</t>
        </is>
      </c>
      <c r="AI50" t="inlineStr">
        <is>
          <t>AUTO</t>
        </is>
      </c>
      <c r="AJ50" t="inlineStr">
        <is>
          <t>Nej</t>
        </is>
      </c>
      <c r="AK50" t="inlineStr"/>
      <c r="AL50" t="inlineStr"/>
      <c r="AM50" t="inlineStr"/>
      <c r="AN50" t="inlineStr"/>
      <c r="AO50" t="inlineStr">
        <is>
          <t>cmm4yumy7006ecuqwnx9sxuen</t>
        </is>
      </c>
      <c r="AP50" t="inlineStr">
        <is>
          <t>http://localhost:8787/api/admin/requirements/documents/cmm4yumy7006ecuqwnx9sxuen/view</t>
        </is>
      </c>
      <c r="AQ50">
        <f>HYPERLÄNK("http://localhost:8787/api/admin/requirements/documents/cmm4yumy7006ecuqwnx9sxuen/view";"Öppna PDF")</f>
        <v/>
      </c>
      <c r="AR50">
        <f>HYPERLINK("http://localhost:8787/api/admin/requirements/documents/cmm4yumy7006ecuqwnx9sxuen/view","Open PDF")</f>
        <v/>
      </c>
      <c r="AS50" t="inlineStr">
        <is>
          <t>cmm55w57p0004cuisfrtpqly8</t>
        </is>
      </c>
      <c r="AT50" t="inlineStr">
        <is>
          <t>cmm4xvu980000cuh4vj0usz09</t>
        </is>
      </c>
      <c r="AU50" t="inlineStr"/>
      <c r="AV50" t="inlineStr">
        <is>
          <t>Kommun</t>
        </is>
      </c>
      <c r="AW50" t="inlineStr"/>
      <c r="AX50" t="inlineStr">
        <is>
          <t>2024-06150267</t>
        </is>
      </c>
      <c r="AY50" t="inlineStr">
        <is>
          <t>Beslut</t>
        </is>
      </c>
      <c r="AZ50" t="inlineStr">
        <is>
          <t>2026-02-02</t>
        </is>
      </c>
      <c r="BA50" t="inlineStr">
        <is>
          <t>Deponi 1301_177-2024-06150267_01 (1).pdf</t>
        </is>
      </c>
      <c r="BB50" t="inlineStr">
        <is>
          <t>Re: till registrator</t>
        </is>
      </c>
      <c r="BC50" t="inlineStr">
        <is>
          <t>AUTO</t>
        </is>
      </c>
      <c r="BD50" t="inlineStr"/>
      <c r="BE50" t="inlineStr"/>
      <c r="BF50" t="inlineStr">
        <is>
          <t>AUTO_GENERERAD. Bekrafta metadata mot kallfil.</t>
        </is>
      </c>
      <c r="BG50">
        <f>HYPERLINK("C:\Users\jimmy\Desktop\Examens arbete\Kod\Ny mapp\remix_-copy-of-miljöbeslut.se-portal\Deponi 1301_177-2024-06150267_01 (1).pdf", "Öppna PDF")</f>
        <v/>
      </c>
    </row>
    <row r="51">
      <c r="A51" t="inlineStr">
        <is>
          <t>KRAV-AUTO-000050</t>
        </is>
      </c>
      <c r="B51" t="inlineStr">
        <is>
          <t>ADMIN-INDEX-2026-02-27-00000000125C043F57453246863FE664CAFE6A3F0700950291EA24F0614FB6ACEDB12BF0E31D00000000010C0000950291EA24F0614FB6ACEDB12BF0E31D00002087B1E10000</t>
        </is>
      </c>
      <c r="C51" t="inlineStr">
        <is>
          <t>cmm4yumw9004hcuqw61waiecf</t>
        </is>
      </c>
      <c r="D51" t="inlineStr">
        <is>
          <t>http://localhost:8787/api/admin/requirements/documents/cmm4yumw9004hcuqw61waiecf/view</t>
        </is>
      </c>
      <c r="E51">
        <f>HYPERLÄNK("http://localhost:8787/api/admin/requirements/documents/cmm4yumw9004hcuqw61waiecf/view";"Öppna PDF")</f>
        <v/>
      </c>
      <c r="F51">
        <f>HYPERLINK("http://localhost:8787/api/admin/requirements/documents/cmm4yumw9004hcuqw61waiecf/view","Open PDF")</f>
        <v/>
      </c>
      <c r="G51" t="inlineStr">
        <is>
          <t>cmm55w57p0004cuisfrtpqly8</t>
        </is>
      </c>
      <c r="H51" t="inlineStr">
        <is>
          <t>Informationskrav</t>
        </is>
      </c>
      <c r="I51" t="inlineStr">
        <is>
          <t>Ytkonstruktion</t>
        </is>
      </c>
      <c r="J51" t="inlineStr">
        <is>
          <t>Tat yta</t>
        </is>
      </c>
      <c r="K51" t="inlineStr">
        <is>
          <t>Flytande råvaror, kemikalier och farligt avfall ska förvaras under tak inom invallning.</t>
        </is>
      </c>
      <c r="L51" t="inlineStr">
        <is>
          <t>Flytande råvaror, kemikalier och farligt avfall ska förvaras under tak inom invallning.</t>
        </is>
      </c>
      <c r="M51" t="inlineStr">
        <is>
          <t>SKA</t>
        </is>
      </c>
      <c r="N51" t="inlineStr"/>
      <c r="O51" t="inlineStr"/>
      <c r="P51" t="inlineStr">
        <is>
          <t>Arlig</t>
        </is>
      </c>
      <c r="Q51" t="inlineStr"/>
      <c r="R51" t="inlineStr">
        <is>
          <t>Vid mellanlagring av avfall</t>
        </is>
      </c>
      <c r="S51" t="inlineStr"/>
      <c r="T51" t="inlineStr">
        <is>
          <t>05 2025</t>
        </is>
      </c>
      <c r="U51" t="inlineStr"/>
      <c r="V51" t="inlineStr"/>
      <c r="W51" t="inlineStr">
        <is>
          <t>Ja</t>
        </is>
      </c>
      <c r="X51" t="inlineStr">
        <is>
          <t>Nej</t>
        </is>
      </c>
      <c r="Y51" t="inlineStr">
        <is>
          <t>Nej</t>
        </is>
      </c>
      <c r="Z51" t="inlineStr">
        <is>
          <t>Nej</t>
        </is>
      </c>
      <c r="AA51" t="n">
        <v>5</v>
      </c>
      <c r="AB51" t="inlineStr">
        <is>
          <t>Teknisk beskrivning av platta</t>
        </is>
      </c>
      <c r="AC51" t="inlineStr">
        <is>
          <t>Teknisk ritning platta</t>
        </is>
      </c>
      <c r="AD51" t="inlineStr">
        <is>
          <t>Nej</t>
        </is>
      </c>
      <c r="AE51" t="inlineStr">
        <is>
          <t>Nej</t>
        </is>
      </c>
      <c r="AF51" t="inlineStr">
        <is>
          <t>Ej behandlad</t>
        </is>
      </c>
      <c r="AG51" t="inlineStr">
        <is>
          <t>AUTO_GENERERAD. Verifiera citat mot kallfil.</t>
        </is>
      </c>
      <c r="AH51" t="inlineStr">
        <is>
          <t>MEDIUM</t>
        </is>
      </c>
      <c r="AI51" t="inlineStr">
        <is>
          <t>AUTO</t>
        </is>
      </c>
      <c r="AJ51" t="inlineStr">
        <is>
          <t>Nej</t>
        </is>
      </c>
      <c r="AK51" t="inlineStr"/>
      <c r="AL51" t="inlineStr"/>
      <c r="AM51" t="inlineStr"/>
      <c r="AN51" t="inlineStr"/>
      <c r="AO51" t="inlineStr">
        <is>
          <t>cmm4yumxa005ecuqwd2rfqss7</t>
        </is>
      </c>
      <c r="AP51" t="inlineStr">
        <is>
          <t>http://localhost:8787/api/admin/requirements/documents/cmm4yumxa005ecuqwd2rfqss7/view</t>
        </is>
      </c>
      <c r="AQ51">
        <f>HYPERLÄNK("http://localhost:8787/api/admin/requirements/documents/cmm4yumxa005ecuqwd2rfqss7/view";"Öppna PDF")</f>
        <v/>
      </c>
      <c r="AR51">
        <f>HYPERLINK("http://localhost:8787/api/admin/requirements/documents/cmm4yumxa005ecuqwd2rfqss7/view","Open PDF")</f>
        <v/>
      </c>
      <c r="AS51" t="inlineStr">
        <is>
          <t>cmm55w57p0004cuisfrtpqly8</t>
        </is>
      </c>
      <c r="AT51" t="inlineStr">
        <is>
          <t>cmm4xvu980000cuh4vj0usz09</t>
        </is>
      </c>
      <c r="AU51" t="inlineStr">
        <is>
          <t>Västerviks</t>
        </is>
      </c>
      <c r="AV51" t="inlineStr">
        <is>
          <t>Kommun</t>
        </is>
      </c>
      <c r="AW51" t="inlineStr">
        <is>
          <t>Västerviks kommun</t>
        </is>
      </c>
      <c r="AX51" t="inlineStr">
        <is>
          <t>2024-05</t>
        </is>
      </c>
      <c r="AY51" t="inlineStr">
        <is>
          <t>Anmalan</t>
        </is>
      </c>
      <c r="AZ51" t="inlineStr">
        <is>
          <t>2026-02-02</t>
        </is>
      </c>
      <c r="BA51" t="inlineStr">
        <is>
          <t>2024-786 Anmälan.pdf</t>
        </is>
      </c>
      <c r="BB51" t="inlineStr">
        <is>
          <t>Sv: till registrator</t>
        </is>
      </c>
      <c r="BC51" t="inlineStr">
        <is>
          <t>AUTO</t>
        </is>
      </c>
      <c r="BD51" t="inlineStr"/>
      <c r="BE51" t="inlineStr"/>
      <c r="BF51" t="inlineStr">
        <is>
          <t>AUTO_GENERERAD. Bekrafta metadata mot kallfil.</t>
        </is>
      </c>
      <c r="BG51">
        <f>HYPERLINK("C:\Users\jimmy\Desktop\Examens arbete\Kod\Ny mapp\remix_-copy-of-miljöbeslut.se-portal\2024-786 Anmälan.pdf", "Öppna PDF")</f>
        <v/>
      </c>
    </row>
    <row r="52">
      <c r="A52" t="inlineStr">
        <is>
          <t>KRAV-AUTO-000051</t>
        </is>
      </c>
      <c r="B52" t="inlineStr">
        <is>
          <t>ADMIN-INDEX-2026-02-27-00000000125C043F57453246863FE664CAFE6A3F0700950291EA24F0614FB6ACEDB12BF0E31D00000000010C0000950291EA24F0614FB6ACEDB12BF0E31D00002087B1E10000</t>
        </is>
      </c>
      <c r="C52" t="inlineStr">
        <is>
          <t>cmm4yumw9004hcuqw61waiecf</t>
        </is>
      </c>
      <c r="D52" t="inlineStr">
        <is>
          <t>http://localhost:8787/api/admin/requirements/documents/cmm4yumw9004hcuqw61waiecf/view</t>
        </is>
      </c>
      <c r="E52">
        <f>HYPERLÄNK("http://localhost:8787/api/admin/requirements/documents/cmm4yumw9004hcuqw61waiecf/view";"Öppna PDF")</f>
        <v/>
      </c>
      <c r="F52">
        <f>HYPERLINK("http://localhost:8787/api/admin/requirements/documents/cmm4yumw9004hcuqw61waiecf/view","Open PDF")</f>
        <v/>
      </c>
      <c r="G52" t="inlineStr">
        <is>
          <t>cmm55w57p0004cuisfrtpqly8</t>
        </is>
      </c>
      <c r="H52" t="inlineStr">
        <is>
          <t>Informationskrav</t>
        </is>
      </c>
      <c r="I52" t="inlineStr">
        <is>
          <t>Ytkonstruktion</t>
        </is>
      </c>
      <c r="J52" t="inlineStr">
        <is>
          <t>Tat yta</t>
        </is>
      </c>
      <c r="K52" t="inlineStr">
        <is>
          <t>Invallningen ska vara beständig mot det som förvaras däri och rymma största kärlets volym plus 10 % av övriga kärls volym.</t>
        </is>
      </c>
      <c r="L52" t="inlineStr">
        <is>
          <t>Invallningen ska vara beständig mot det som förvaras däri och rymma största kärlets volym plus 10 % av övriga kärls volym.</t>
        </is>
      </c>
      <c r="M52" t="inlineStr">
        <is>
          <t>SKA</t>
        </is>
      </c>
      <c r="N52" t="inlineStr"/>
      <c r="O52" t="inlineStr"/>
      <c r="P52" t="inlineStr"/>
      <c r="Q52" t="inlineStr"/>
      <c r="R52" t="inlineStr">
        <is>
          <t>Vid mellanlagring av avfall</t>
        </is>
      </c>
      <c r="S52" t="inlineStr"/>
      <c r="T52" t="inlineStr">
        <is>
          <t>05 2025</t>
        </is>
      </c>
      <c r="U52" t="inlineStr"/>
      <c r="V52" t="inlineStr"/>
      <c r="W52" t="inlineStr">
        <is>
          <t>Ja</t>
        </is>
      </c>
      <c r="X52" t="inlineStr">
        <is>
          <t>Nej</t>
        </is>
      </c>
      <c r="Y52" t="inlineStr">
        <is>
          <t>Nej</t>
        </is>
      </c>
      <c r="Z52" t="inlineStr">
        <is>
          <t>Nej</t>
        </is>
      </c>
      <c r="AA52" t="n">
        <v>5</v>
      </c>
      <c r="AB52" t="inlineStr">
        <is>
          <t>Teknisk beskrivning av platta</t>
        </is>
      </c>
      <c r="AC52" t="inlineStr">
        <is>
          <t>Teknisk ritning platta</t>
        </is>
      </c>
      <c r="AD52" t="inlineStr">
        <is>
          <t>Nej</t>
        </is>
      </c>
      <c r="AE52" t="inlineStr">
        <is>
          <t>Nej</t>
        </is>
      </c>
      <c r="AF52" t="inlineStr">
        <is>
          <t>Ej behandlad</t>
        </is>
      </c>
      <c r="AG52" t="inlineStr">
        <is>
          <t>AUTO_GENERERAD. Verifiera citat mot kallfil.</t>
        </is>
      </c>
      <c r="AH52" t="inlineStr">
        <is>
          <t>MEDIUM</t>
        </is>
      </c>
      <c r="AI52" t="inlineStr">
        <is>
          <t>AUTO</t>
        </is>
      </c>
      <c r="AJ52" t="inlineStr">
        <is>
          <t>Nej</t>
        </is>
      </c>
      <c r="AK52" t="inlineStr"/>
      <c r="AL52" t="inlineStr"/>
      <c r="AM52" t="inlineStr"/>
      <c r="AN52" t="inlineStr"/>
      <c r="AO52" t="inlineStr">
        <is>
          <t>cmm4yumxa005ecuqwd2rfqss7</t>
        </is>
      </c>
      <c r="AP52" t="inlineStr">
        <is>
          <t>http://localhost:8787/api/admin/requirements/documents/cmm4yumxa005ecuqwd2rfqss7/view</t>
        </is>
      </c>
      <c r="AQ52">
        <f>HYPERLÄNK("http://localhost:8787/api/admin/requirements/documents/cmm4yumxa005ecuqwd2rfqss7/view";"Öppna PDF")</f>
        <v/>
      </c>
      <c r="AR52">
        <f>HYPERLINK("http://localhost:8787/api/admin/requirements/documents/cmm4yumxa005ecuqwd2rfqss7/view","Open PDF")</f>
        <v/>
      </c>
      <c r="AS52" t="inlineStr">
        <is>
          <t>cmm55w57p0004cuisfrtpqly8</t>
        </is>
      </c>
      <c r="AT52" t="inlineStr">
        <is>
          <t>cmm4xvu980000cuh4vj0usz09</t>
        </is>
      </c>
      <c r="AU52" t="inlineStr">
        <is>
          <t>Västerviks</t>
        </is>
      </c>
      <c r="AV52" t="inlineStr">
        <is>
          <t>Kommun</t>
        </is>
      </c>
      <c r="AW52" t="inlineStr">
        <is>
          <t>Västerviks kommun</t>
        </is>
      </c>
      <c r="AX52" t="inlineStr">
        <is>
          <t>2024-05</t>
        </is>
      </c>
      <c r="AY52" t="inlineStr">
        <is>
          <t>Anmalan</t>
        </is>
      </c>
      <c r="AZ52" t="inlineStr">
        <is>
          <t>2026-02-02</t>
        </is>
      </c>
      <c r="BA52" t="inlineStr">
        <is>
          <t>2024-786 Anmälan.pdf</t>
        </is>
      </c>
      <c r="BB52" t="inlineStr">
        <is>
          <t>Sv: till registrator</t>
        </is>
      </c>
      <c r="BC52" t="inlineStr">
        <is>
          <t>AUTO</t>
        </is>
      </c>
      <c r="BD52" t="inlineStr"/>
      <c r="BE52" t="inlineStr"/>
      <c r="BF52" t="inlineStr">
        <is>
          <t>AUTO_GENERERAD. Bekrafta metadata mot kallfil.</t>
        </is>
      </c>
      <c r="BG52">
        <f>HYPERLINK("C:\Users\jimmy\Desktop\Examens arbete\Kod\Ny mapp\remix_-copy-of-miljöbeslut.se-portal\2024-786 Anmälan.pdf", "Öppna PDF")</f>
        <v/>
      </c>
    </row>
    <row r="53">
      <c r="A53" t="inlineStr">
        <is>
          <t>KRAV-AUTO-000052</t>
        </is>
      </c>
      <c r="B53" t="inlineStr">
        <is>
          <t>ADMIN-INDEX-2026-02-27-00000000125C043F57453246863FE664CAFE6A3F0700950291EA24F0614FB6ACEDB12BF0E31D00000000010C0000950291EA24F0614FB6ACEDB12BF0E31D00002087B1E10000</t>
        </is>
      </c>
      <c r="C53" t="inlineStr">
        <is>
          <t>cmm4yumw9004hcuqw61waiecf</t>
        </is>
      </c>
      <c r="D53" t="inlineStr">
        <is>
          <t>http://localhost:8787/api/admin/requirements/documents/cmm4yumw9004hcuqw61waiecf/view</t>
        </is>
      </c>
      <c r="E53">
        <f>HYPERLÄNK("http://localhost:8787/api/admin/requirements/documents/cmm4yumw9004hcuqw61waiecf/view";"Öppna PDF")</f>
        <v/>
      </c>
      <c r="F53">
        <f>HYPERLINK("http://localhost:8787/api/admin/requirements/documents/cmm4yumw9004hcuqw61waiecf/view","Open PDF")</f>
        <v/>
      </c>
      <c r="G53" t="inlineStr">
        <is>
          <t>cmm55w57p0004cuisfrtpqly8</t>
        </is>
      </c>
      <c r="H53" t="inlineStr">
        <is>
          <t>Informationskrav</t>
        </is>
      </c>
      <c r="I53" t="inlineStr">
        <is>
          <t>MiljopaverkanForsiktighet</t>
        </is>
      </c>
      <c r="J53" t="inlineStr">
        <is>
          <t>Skyddsatgarder</t>
        </is>
      </c>
      <c r="K53" t="inlineStr">
        <is>
          <t>• Uppkomst av avfall ska i första hand förebyggas.</t>
        </is>
      </c>
      <c r="L53" t="inlineStr">
        <is>
          <t>• Uppkomst av avfall ska i första hand förebyggas.</t>
        </is>
      </c>
      <c r="M53" t="inlineStr">
        <is>
          <t>SKA</t>
        </is>
      </c>
      <c r="N53" t="inlineStr"/>
      <c r="O53" t="inlineStr"/>
      <c r="P53" t="inlineStr"/>
      <c r="Q53" t="inlineStr"/>
      <c r="R53" t="inlineStr">
        <is>
          <t>Alltid</t>
        </is>
      </c>
      <c r="S53" t="inlineStr"/>
      <c r="T53" t="inlineStr">
        <is>
          <t>05 2025</t>
        </is>
      </c>
      <c r="U53" t="inlineStr"/>
      <c r="V53" t="inlineStr"/>
      <c r="W53" t="inlineStr">
        <is>
          <t>Nej</t>
        </is>
      </c>
      <c r="X53" t="inlineStr">
        <is>
          <t>Nej</t>
        </is>
      </c>
      <c r="Y53" t="inlineStr">
        <is>
          <t>Nej</t>
        </is>
      </c>
      <c r="Z53" t="inlineStr">
        <is>
          <t>Nej</t>
        </is>
      </c>
      <c r="AA53" t="n">
        <v>10</v>
      </c>
      <c r="AB53" t="inlineStr">
        <is>
          <t>Miljopaverkan och forsiktighetsmatt</t>
        </is>
      </c>
      <c r="AC53" t="inlineStr">
        <is>
          <t>Miljo-PM</t>
        </is>
      </c>
      <c r="AD53" t="inlineStr">
        <is>
          <t>Nej</t>
        </is>
      </c>
      <c r="AE53" t="inlineStr">
        <is>
          <t>Nej</t>
        </is>
      </c>
      <c r="AF53" t="inlineStr">
        <is>
          <t>Ej behandlad</t>
        </is>
      </c>
      <c r="AG53" t="inlineStr">
        <is>
          <t>AUTO_GENERERAD. Verifiera citat mot kallfil.</t>
        </is>
      </c>
      <c r="AH53" t="inlineStr">
        <is>
          <t>MEDIUM</t>
        </is>
      </c>
      <c r="AI53" t="inlineStr">
        <is>
          <t>AUTO</t>
        </is>
      </c>
      <c r="AJ53" t="inlineStr">
        <is>
          <t>Nej</t>
        </is>
      </c>
      <c r="AK53" t="inlineStr"/>
      <c r="AL53" t="inlineStr"/>
      <c r="AM53" t="inlineStr"/>
      <c r="AN53" t="inlineStr"/>
      <c r="AO53" t="inlineStr">
        <is>
          <t>cmm4yumxa005ecuqwd2rfqss7</t>
        </is>
      </c>
      <c r="AP53" t="inlineStr">
        <is>
          <t>http://localhost:8787/api/admin/requirements/documents/cmm4yumxa005ecuqwd2rfqss7/view</t>
        </is>
      </c>
      <c r="AQ53">
        <f>HYPERLÄNK("http://localhost:8787/api/admin/requirements/documents/cmm4yumxa005ecuqwd2rfqss7/view";"Öppna PDF")</f>
        <v/>
      </c>
      <c r="AR53">
        <f>HYPERLINK("http://localhost:8787/api/admin/requirements/documents/cmm4yumxa005ecuqwd2rfqss7/view","Open PDF")</f>
        <v/>
      </c>
      <c r="AS53" t="inlineStr">
        <is>
          <t>cmm55w57p0004cuisfrtpqly8</t>
        </is>
      </c>
      <c r="AT53" t="inlineStr">
        <is>
          <t>cmm4xvu980000cuh4vj0usz09</t>
        </is>
      </c>
      <c r="AU53" t="inlineStr">
        <is>
          <t>Västerviks</t>
        </is>
      </c>
      <c r="AV53" t="inlineStr">
        <is>
          <t>Kommun</t>
        </is>
      </c>
      <c r="AW53" t="inlineStr">
        <is>
          <t>Västerviks kommun</t>
        </is>
      </c>
      <c r="AX53" t="inlineStr">
        <is>
          <t>2024-05</t>
        </is>
      </c>
      <c r="AY53" t="inlineStr">
        <is>
          <t>Anmalan</t>
        </is>
      </c>
      <c r="AZ53" t="inlineStr">
        <is>
          <t>2026-02-02</t>
        </is>
      </c>
      <c r="BA53" t="inlineStr">
        <is>
          <t>2024-786 Anmälan.pdf</t>
        </is>
      </c>
      <c r="BB53" t="inlineStr">
        <is>
          <t>Sv: till registrator</t>
        </is>
      </c>
      <c r="BC53" t="inlineStr">
        <is>
          <t>AUTO</t>
        </is>
      </c>
      <c r="BD53" t="inlineStr"/>
      <c r="BE53" t="inlineStr"/>
      <c r="BF53" t="inlineStr">
        <is>
          <t>AUTO_GENERERAD. Bekrafta metadata mot kallfil.</t>
        </is>
      </c>
      <c r="BG53">
        <f>HYPERLINK("C:\Users\jimmy\Desktop\Examens arbete\Kod\Ny mapp\remix_-copy-of-miljöbeslut.se-portal\2024-786 Anmälan.pdf", "Öppna PDF")</f>
        <v/>
      </c>
    </row>
    <row r="54">
      <c r="A54" t="inlineStr">
        <is>
          <t>KRAV-AUTO-000053</t>
        </is>
      </c>
      <c r="B54" t="inlineStr">
        <is>
          <t>ADMIN-INDEX-2026-02-27-00000000125C043F57453246863FE664CAFE6A3F0700950291EA24F0614FB6ACEDB12BF0E31D00000000010C0000950291EA24F0614FB6ACEDB12BF0E31D00002087B5EE0000</t>
        </is>
      </c>
      <c r="C54" t="inlineStr">
        <is>
          <t>cmm4yumvl003wcuqwuzlxnesd</t>
        </is>
      </c>
      <c r="D54" t="inlineStr">
        <is>
          <t>http://localhost:8787/api/admin/requirements/documents/cmm4yumvl003wcuqwuzlxnesd/view</t>
        </is>
      </c>
      <c r="E54">
        <f>HYPERLÄNK("http://localhost:8787/api/admin/requirements/documents/cmm4yumvl003wcuqwuzlxnesd/view";"Öppna PDF")</f>
        <v/>
      </c>
      <c r="F54">
        <f>HYPERLINK("http://localhost:8787/api/admin/requirements/documents/cmm4yumvl003wcuqwuzlxnesd/view","Open PDF")</f>
        <v/>
      </c>
      <c r="G54" t="inlineStr">
        <is>
          <t>cmm55w57p0004cuisfrtpqly8</t>
        </is>
      </c>
      <c r="H54" t="inlineStr">
        <is>
          <t>Beslutsvillkor</t>
        </is>
      </c>
      <c r="I54" t="inlineStr">
        <is>
          <t>MiljopaverkanForsiktighet</t>
        </is>
      </c>
      <c r="J54" t="inlineStr">
        <is>
          <t>Skyddsatgarder</t>
        </is>
      </c>
      <c r="K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Avfallskoder Förstår.</t>
        </is>
      </c>
      <c r="L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t>
        </is>
      </c>
      <c r="M54" t="inlineStr">
        <is>
          <t>SKA</t>
        </is>
      </c>
      <c r="N54" t="inlineStr"/>
      <c r="O54" t="inlineStr"/>
      <c r="P54" t="inlineStr"/>
      <c r="Q54" t="inlineStr"/>
      <c r="R54" t="inlineStr">
        <is>
          <t>Alltid</t>
        </is>
      </c>
      <c r="S54" t="inlineStr"/>
      <c r="T54" t="inlineStr">
        <is>
          <t>556469</t>
        </is>
      </c>
      <c r="U54" t="inlineStr"/>
      <c r="V54" t="inlineStr"/>
      <c r="W54" t="inlineStr">
        <is>
          <t>Nej</t>
        </is>
      </c>
      <c r="X54" t="inlineStr">
        <is>
          <t>Nej</t>
        </is>
      </c>
      <c r="Y54" t="inlineStr">
        <is>
          <t>Nej</t>
        </is>
      </c>
      <c r="Z54" t="inlineStr">
        <is>
          <t>Nej</t>
        </is>
      </c>
      <c r="AA54" t="n">
        <v>10</v>
      </c>
      <c r="AB54" t="inlineStr">
        <is>
          <t>Miljopaverkan och forsiktighetsmatt</t>
        </is>
      </c>
      <c r="AC54" t="inlineStr">
        <is>
          <t>Miljo-PM</t>
        </is>
      </c>
      <c r="AD54" t="inlineStr">
        <is>
          <t>Nej</t>
        </is>
      </c>
      <c r="AE54" t="inlineStr">
        <is>
          <t>Nej</t>
        </is>
      </c>
      <c r="AF54" t="inlineStr">
        <is>
          <t>Ej behandlad</t>
        </is>
      </c>
      <c r="AG54" t="inlineStr">
        <is>
          <t>AUTO_GENERERAD. Verifiera citat mot kallfil.</t>
        </is>
      </c>
      <c r="AH54" t="inlineStr">
        <is>
          <t>MEDIUM</t>
        </is>
      </c>
      <c r="AI54" t="inlineStr">
        <is>
          <t>AUTO</t>
        </is>
      </c>
      <c r="AJ54" t="inlineStr">
        <is>
          <t>Nej</t>
        </is>
      </c>
      <c r="AK54" t="inlineStr"/>
      <c r="AL54" t="inlineStr"/>
      <c r="AM54" t="inlineStr"/>
      <c r="AN54" t="inlineStr"/>
      <c r="AO54" t="inlineStr">
        <is>
          <t>cmm4yumvp003zcuqwqxlxa6rl</t>
        </is>
      </c>
      <c r="AP54" t="inlineStr">
        <is>
          <t>http://localhost:8787/api/admin/requirements/documents/cmm4yumvp003zcuqwqxlxa6rl/view</t>
        </is>
      </c>
      <c r="AQ54">
        <f>HYPERLÄNK("http://localhost:8787/api/admin/requirements/documents/cmm4yumvp003zcuqwqxlxa6rl/view";"Öppna PDF")</f>
        <v/>
      </c>
      <c r="AR54">
        <f>HYPERLINK("http://localhost:8787/api/admin/requirements/documents/cmm4yumvp003zcuqwqxlxa6rl/view","Open PDF")</f>
        <v/>
      </c>
      <c r="AS54" t="inlineStr">
        <is>
          <t>cmm55w57p0004cuisfrtpqly8</t>
        </is>
      </c>
      <c r="AT54" t="inlineStr">
        <is>
          <t>cmm4xvu980000cuh4vj0usz09</t>
        </is>
      </c>
      <c r="AU54" t="inlineStr">
        <is>
          <t>i Haparanda</t>
        </is>
      </c>
      <c r="AV54" t="inlineStr">
        <is>
          <t>Kommun</t>
        </is>
      </c>
      <c r="AW54" t="inlineStr">
        <is>
          <t>i Haparanda kommun</t>
        </is>
      </c>
      <c r="AX54" t="inlineStr">
        <is>
          <t>2025-12</t>
        </is>
      </c>
      <c r="AY54" t="inlineStr">
        <is>
          <t>Anmalan</t>
        </is>
      </c>
      <c r="AZ54" t="inlineStr">
        <is>
          <t>2026-02-02</t>
        </is>
      </c>
      <c r="BA54" t="inlineStr">
        <is>
          <t>Sbn-2025-457-Beslut anmälan om miljöfarlig verksamhet.pdf</t>
        </is>
      </c>
      <c r="BB54" t="inlineStr">
        <is>
          <t>Förfrågan C-verksamheter</t>
        </is>
      </c>
      <c r="BC54" t="inlineStr">
        <is>
          <t>AUTO</t>
        </is>
      </c>
      <c r="BD54" t="inlineStr"/>
      <c r="BE54" t="inlineStr"/>
      <c r="BF54" t="inlineStr">
        <is>
          <t>AUTO_GENERERAD. Bekrafta metadata mot kallfil.</t>
        </is>
      </c>
      <c r="BG54">
        <f>HYPERLINK("C:\Users\jimmy\Desktop\Examens arbete\Kod\Ny mapp\remix_-copy-of-miljöbeslut.se-portal\Sbn-2025-457-Beslut anmälan om miljöfarlig verksamhet.pdf", "Öppna PDF")</f>
        <v/>
      </c>
    </row>
    <row r="55">
      <c r="A55" t="inlineStr">
        <is>
          <t>KRAV-AUTO-000054</t>
        </is>
      </c>
      <c r="B55" t="inlineStr">
        <is>
          <t>ADMIN-INDEX-2026-02-27-00000000125C043F57453246863FE664CAFE6A3F0700950291EA24F0614FB6ACEDB12BF0E31D00000000010C0000950291EA24F0614FB6ACEDB12BF0E31D00002087B5EE0000</t>
        </is>
      </c>
      <c r="C55" t="inlineStr">
        <is>
          <t>cmm4yumvl003wcuqwuzlxnesd</t>
        </is>
      </c>
      <c r="D55" t="inlineStr">
        <is>
          <t>http://localhost:8787/api/admin/requirements/documents/cmm4yumvl003wcuqwuzlxnesd/view</t>
        </is>
      </c>
      <c r="E55">
        <f>HYPERLÄNK("http://localhost:8787/api/admin/requirements/documents/cmm4yumvl003wcuqwuzlxnesd/view";"Öppna PDF")</f>
        <v/>
      </c>
      <c r="F55">
        <f>HYPERLINK("http://localhost:8787/api/admin/requirements/documents/cmm4yumvl003wcuqwuzlxnesd/view","Open PDF")</f>
        <v/>
      </c>
      <c r="G55" t="inlineStr">
        <is>
          <t>cmm55w57p0004cuisfrtpqly8</t>
        </is>
      </c>
      <c r="H55" t="inlineStr">
        <is>
          <t>Beslutsvillkor</t>
        </is>
      </c>
      <c r="I55" t="inlineStr">
        <is>
          <t>MiljopaverkanForsiktighet</t>
        </is>
      </c>
      <c r="J55" t="inlineStr">
        <is>
          <t>Skyddsatgarder</t>
        </is>
      </c>
      <c r="K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t>
        </is>
      </c>
      <c r="M55" t="inlineStr">
        <is>
          <t>SKA</t>
        </is>
      </c>
      <c r="N55" t="inlineStr"/>
      <c r="O55" t="inlineStr"/>
      <c r="P55" t="inlineStr"/>
      <c r="Q55" t="inlineStr"/>
      <c r="R55" t="inlineStr">
        <is>
          <t>Alltid</t>
        </is>
      </c>
      <c r="S55" t="inlineStr"/>
      <c r="T55" t="inlineStr">
        <is>
          <t>556469</t>
        </is>
      </c>
      <c r="U55" t="inlineStr"/>
      <c r="V55" t="inlineStr"/>
      <c r="W55" t="inlineStr">
        <is>
          <t>Nej</t>
        </is>
      </c>
      <c r="X55" t="inlineStr">
        <is>
          <t>Nej</t>
        </is>
      </c>
      <c r="Y55" t="inlineStr">
        <is>
          <t>Nej</t>
        </is>
      </c>
      <c r="Z55" t="inlineStr">
        <is>
          <t>Nej</t>
        </is>
      </c>
      <c r="AA55" t="n">
        <v>10</v>
      </c>
      <c r="AB55" t="inlineStr">
        <is>
          <t>Miljopaverkan och forsiktighetsmatt</t>
        </is>
      </c>
      <c r="AC55" t="inlineStr">
        <is>
          <t>Miljo-PM</t>
        </is>
      </c>
      <c r="AD55" t="inlineStr">
        <is>
          <t>Nej</t>
        </is>
      </c>
      <c r="AE55" t="inlineStr">
        <is>
          <t>Nej</t>
        </is>
      </c>
      <c r="AF55" t="inlineStr">
        <is>
          <t>Ej behandlad</t>
        </is>
      </c>
      <c r="AG55" t="inlineStr">
        <is>
          <t>AUTO_GENERERAD. Verifiera citat mot kallfil.</t>
        </is>
      </c>
      <c r="AH55" t="inlineStr">
        <is>
          <t>MEDIUM</t>
        </is>
      </c>
      <c r="AI55" t="inlineStr">
        <is>
          <t>AUTO</t>
        </is>
      </c>
      <c r="AJ55" t="inlineStr">
        <is>
          <t>Nej</t>
        </is>
      </c>
      <c r="AK55" t="inlineStr"/>
      <c r="AL55" t="inlineStr"/>
      <c r="AM55" t="inlineStr"/>
      <c r="AN55" t="inlineStr"/>
      <c r="AO55" t="inlineStr">
        <is>
          <t>cmm4yumvp003zcuqwqxlxa6rl</t>
        </is>
      </c>
      <c r="AP55" t="inlineStr">
        <is>
          <t>http://localhost:8787/api/admin/requirements/documents/cmm4yumvp003zcuqwqxlxa6rl/view</t>
        </is>
      </c>
      <c r="AQ55">
        <f>HYPERLÄNK("http://localhost:8787/api/admin/requirements/documents/cmm4yumvp003zcuqwqxlxa6rl/view";"Öppna PDF")</f>
        <v/>
      </c>
      <c r="AR55">
        <f>HYPERLINK("http://localhost:8787/api/admin/requirements/documents/cmm4yumvp003zcuqwqxlxa6rl/view","Open PDF")</f>
        <v/>
      </c>
      <c r="AS55" t="inlineStr">
        <is>
          <t>cmm55w57p0004cuisfrtpqly8</t>
        </is>
      </c>
      <c r="AT55" t="inlineStr">
        <is>
          <t>cmm4xvu980000cuh4vj0usz09</t>
        </is>
      </c>
      <c r="AU55" t="inlineStr">
        <is>
          <t>i Haparanda</t>
        </is>
      </c>
      <c r="AV55" t="inlineStr">
        <is>
          <t>Kommun</t>
        </is>
      </c>
      <c r="AW55" t="inlineStr">
        <is>
          <t>i Haparanda kommun</t>
        </is>
      </c>
      <c r="AX55" t="inlineStr">
        <is>
          <t>2025-12</t>
        </is>
      </c>
      <c r="AY55" t="inlineStr">
        <is>
          <t>Anmalan</t>
        </is>
      </c>
      <c r="AZ55" t="inlineStr">
        <is>
          <t>2026-02-02</t>
        </is>
      </c>
      <c r="BA55" t="inlineStr">
        <is>
          <t>Sbn-2025-457-Beslut anmälan om miljöfarlig verksamhet.pdf</t>
        </is>
      </c>
      <c r="BB55" t="inlineStr">
        <is>
          <t>Förfrågan C-verksamheter</t>
        </is>
      </c>
      <c r="BC55" t="inlineStr">
        <is>
          <t>AUTO</t>
        </is>
      </c>
      <c r="BD55" t="inlineStr"/>
      <c r="BE55" t="inlineStr"/>
      <c r="BF55" t="inlineStr">
        <is>
          <t>AUTO_GENERERAD. Bekrafta metadata mot kallfil.</t>
        </is>
      </c>
      <c r="BG55">
        <f>HYPERLINK("C:\Users\jimmy\Desktop\Examens arbete\Kod\Ny mapp\remix_-copy-of-miljöbeslut.se-portal\Sbn-2025-457-Beslut anmälan om miljöfarlig verksamhet.pdf", "Öppna PDF")</f>
        <v/>
      </c>
    </row>
    <row r="56">
      <c r="A56" t="inlineStr">
        <is>
          <t>KRAV-AUTO-000055</t>
        </is>
      </c>
      <c r="B56" t="inlineStr">
        <is>
          <t>ADMIN-INDEX-2026-02-27-00000000125C043F57453246863FE664CAFE6A3F0700950291EA24F0614FB6ACEDB12BF0E31D00000000010C0000950291EA24F0614FB6ACEDB12BF0E31D00002087B5EE0000</t>
        </is>
      </c>
      <c r="C56" t="inlineStr">
        <is>
          <t>cmm4yumvl003wcuqwuzlxnesd</t>
        </is>
      </c>
      <c r="D56" t="inlineStr">
        <is>
          <t>http://localhost:8787/api/admin/requirements/documents/cmm4yumvl003wcuqwuzlxnesd/view</t>
        </is>
      </c>
      <c r="E56">
        <f>HYPERLÄNK("http://localhost:8787/api/admin/requirements/documents/cmm4yumvl003wcuqwuzlxnesd/view";"Öppna PDF")</f>
        <v/>
      </c>
      <c r="F56">
        <f>HYPERLINK("http://localhost:8787/api/admin/requirements/documents/cmm4yumvl003wcuqwuzlxnesd/view","Open PDF")</f>
        <v/>
      </c>
      <c r="G56" t="inlineStr">
        <is>
          <t>cmm55w57p0004cuisfrtpqly8</t>
        </is>
      </c>
      <c r="H56" t="inlineStr">
        <is>
          <t>Beslutsvillkor</t>
        </is>
      </c>
      <c r="I56" t="inlineStr">
        <is>
          <t>TransportLogistik</t>
        </is>
      </c>
      <c r="J56" t="inlineStr">
        <is>
          <t>Transportvagar</t>
        </is>
      </c>
      <c r="K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Natalie Öman &lt;Natalie.Oman@haparanda.se&gt; Skickat: Thursday, November 27, 2025 1:41:00 PM Till: Krister Asplund &lt;krister@asplundslast.se&gt; Kopia: Mia Jakobsson &lt;Miia.Jakobsson@haparanda.se&gt; Ämne: Sv: Avfallskoder Hej Tack för detta!</t>
        </is>
      </c>
      <c r="L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t>
        </is>
      </c>
      <c r="M56" t="inlineStr">
        <is>
          <t>SKA</t>
        </is>
      </c>
      <c r="N56" t="inlineStr"/>
      <c r="O56" t="inlineStr"/>
      <c r="P56" t="inlineStr"/>
      <c r="Q56" t="inlineStr"/>
      <c r="R56" t="inlineStr">
        <is>
          <t>Vid transporter</t>
        </is>
      </c>
      <c r="S56" t="inlineStr"/>
      <c r="T56" t="inlineStr">
        <is>
          <t>556469</t>
        </is>
      </c>
      <c r="U56" t="inlineStr"/>
      <c r="V56" t="inlineStr"/>
      <c r="W56" t="inlineStr">
        <is>
          <t>Nej</t>
        </is>
      </c>
      <c r="X56" t="inlineStr">
        <is>
          <t>Nej</t>
        </is>
      </c>
      <c r="Y56" t="inlineStr">
        <is>
          <t>Nej</t>
        </is>
      </c>
      <c r="Z56" t="inlineStr">
        <is>
          <t>Ja</t>
        </is>
      </c>
      <c r="AA56" t="n">
        <v>9</v>
      </c>
      <c r="AB56" t="inlineStr">
        <is>
          <t>Transporter och logistik</t>
        </is>
      </c>
      <c r="AC56" t="inlineStr">
        <is>
          <t>Trafikplan</t>
        </is>
      </c>
      <c r="AD56" t="inlineStr">
        <is>
          <t>Nej</t>
        </is>
      </c>
      <c r="AE56" t="inlineStr">
        <is>
          <t>Nej</t>
        </is>
      </c>
      <c r="AF56" t="inlineStr">
        <is>
          <t>Ej behandlad</t>
        </is>
      </c>
      <c r="AG56" t="inlineStr">
        <is>
          <t>AUTO_GENERERAD. Verifiera citat mot kallfil.</t>
        </is>
      </c>
      <c r="AH56" t="inlineStr">
        <is>
          <t>MEDIUM</t>
        </is>
      </c>
      <c r="AI56" t="inlineStr">
        <is>
          <t>AUTO</t>
        </is>
      </c>
      <c r="AJ56" t="inlineStr">
        <is>
          <t>Nej</t>
        </is>
      </c>
      <c r="AK56" t="inlineStr"/>
      <c r="AL56" t="inlineStr"/>
      <c r="AM56" t="inlineStr"/>
      <c r="AN56" t="inlineStr"/>
      <c r="AO56" t="inlineStr">
        <is>
          <t>cmm4yumvp003zcuqwqxlxa6rl</t>
        </is>
      </c>
      <c r="AP56" t="inlineStr">
        <is>
          <t>http://localhost:8787/api/admin/requirements/documents/cmm4yumvp003zcuqwqxlxa6rl/view</t>
        </is>
      </c>
      <c r="AQ56">
        <f>HYPERLÄNK("http://localhost:8787/api/admin/requirements/documents/cmm4yumvp003zcuqwqxlxa6rl/view";"Öppna PDF")</f>
        <v/>
      </c>
      <c r="AR56">
        <f>HYPERLINK("http://localhost:8787/api/admin/requirements/documents/cmm4yumvp003zcuqwqxlxa6rl/view","Open PDF")</f>
        <v/>
      </c>
      <c r="AS56" t="inlineStr">
        <is>
          <t>cmm55w57p0004cuisfrtpqly8</t>
        </is>
      </c>
      <c r="AT56" t="inlineStr">
        <is>
          <t>cmm4xvu980000cuh4vj0usz09</t>
        </is>
      </c>
      <c r="AU56" t="inlineStr">
        <is>
          <t>i Haparanda</t>
        </is>
      </c>
      <c r="AV56" t="inlineStr">
        <is>
          <t>Kommun</t>
        </is>
      </c>
      <c r="AW56" t="inlineStr">
        <is>
          <t>i Haparanda kommun</t>
        </is>
      </c>
      <c r="AX56" t="inlineStr">
        <is>
          <t>2025-12</t>
        </is>
      </c>
      <c r="AY56" t="inlineStr">
        <is>
          <t>Anmalan</t>
        </is>
      </c>
      <c r="AZ56" t="inlineStr">
        <is>
          <t>2026-02-02</t>
        </is>
      </c>
      <c r="BA56" t="inlineStr">
        <is>
          <t>Sbn-2025-457-Beslut anmälan om miljöfarlig verksamhet.pdf</t>
        </is>
      </c>
      <c r="BB56" t="inlineStr">
        <is>
          <t>Förfrågan C-verksamheter</t>
        </is>
      </c>
      <c r="BC56" t="inlineStr">
        <is>
          <t>AUTO</t>
        </is>
      </c>
      <c r="BD56" t="inlineStr"/>
      <c r="BE56" t="inlineStr"/>
      <c r="BF56" t="inlineStr">
        <is>
          <t>AUTO_GENERERAD. Bekrafta metadata mot kallfil.</t>
        </is>
      </c>
      <c r="BG56">
        <f>HYPERLINK("C:\Users\jimmy\Desktop\Examens arbete\Kod\Ny mapp\remix_-copy-of-miljöbeslut.se-portal\Sbn-2025-457-Beslut anmälan om miljöfarlig verksamhet.pdf", "Öppna PDF")</f>
        <v/>
      </c>
    </row>
    <row r="57">
      <c r="A57" t="inlineStr">
        <is>
          <t>KRAV-AUTO-000056</t>
        </is>
      </c>
      <c r="B57" t="inlineStr">
        <is>
          <t>ADMIN-INDEX-2026-02-27-00000000125C043F57453246863FE664CAFE6A3F0700950291EA24F0614FB6ACEDB12BF0E31D00000000010C0000950291EA24F0614FB6ACEDB12BF0E31D00002087B1DD0000</t>
        </is>
      </c>
      <c r="C57" t="inlineStr">
        <is>
          <t>cmm4yumy20068cuqw8jecwk4u</t>
        </is>
      </c>
      <c r="D57" t="inlineStr">
        <is>
          <t>http://localhost:8787/api/admin/requirements/documents/cmm4yumy20068cuqw8jecwk4u/view</t>
        </is>
      </c>
      <c r="E57">
        <f>HYPERLÄNK("http://localhost:8787/api/admin/requirements/documents/cmm4yumy20068cuqw8jecwk4u/view";"Öppna PDF")</f>
        <v/>
      </c>
      <c r="F57">
        <f>HYPERLINK("http://localhost:8787/api/admin/requirements/documents/cmm4yumy20068cuqw8jecwk4u/view","Open PDF")</f>
        <v/>
      </c>
      <c r="G57" t="inlineStr">
        <is>
          <t>cmm55w57p0004cuisfrtpqly8</t>
        </is>
      </c>
      <c r="H57" t="inlineStr">
        <is>
          <t>Beslutsvillkor</t>
        </is>
      </c>
      <c r="I57" t="inlineStr">
        <is>
          <t>DagvattenLakvatten</t>
        </is>
      </c>
      <c r="J57" t="inlineStr">
        <is>
          <t>Uppsamling</t>
        </is>
      </c>
      <c r="K57" t="inlineStr">
        <is>
          <t>-- 3 of 5 -- 4 Kontrollprogram Provtagning och analys av lakvatten från deponin skall utföras två gånger per år (Tabell 1).</t>
        </is>
      </c>
      <c r="L57" t="inlineStr">
        <is>
          <t>-- 3 of 5 -- 4 Kontrollprogram Provtagning och analys av lakvatten från deponin skall utföras två gånger per år (Tabell 1).</t>
        </is>
      </c>
      <c r="M57" t="inlineStr">
        <is>
          <t>SKA</t>
        </is>
      </c>
      <c r="N57" t="inlineStr"/>
      <c r="O57" t="inlineStr"/>
      <c r="P57" t="inlineStr"/>
      <c r="Q57" t="inlineStr"/>
      <c r="R57" t="inlineStr">
        <is>
          <t>Vid nederbord och avrinning</t>
        </is>
      </c>
      <c r="S57" t="inlineStr"/>
      <c r="T57" t="inlineStr">
        <is>
          <t>556555</t>
        </is>
      </c>
      <c r="U57" t="inlineStr"/>
      <c r="V57" t="inlineStr"/>
      <c r="W57" t="inlineStr">
        <is>
          <t>Nej</t>
        </is>
      </c>
      <c r="X57" t="inlineStr">
        <is>
          <t>Ja</t>
        </is>
      </c>
      <c r="Y57" t="inlineStr">
        <is>
          <t>Ja</t>
        </is>
      </c>
      <c r="Z57" t="inlineStr">
        <is>
          <t>Nej</t>
        </is>
      </c>
      <c r="AA57" t="n">
        <v>6</v>
      </c>
      <c r="AB57" t="inlineStr">
        <is>
          <t>Lakvattenhantering</t>
        </is>
      </c>
      <c r="AC57" t="inlineStr">
        <is>
          <t>Flodesschema dagvatten-lakvatten</t>
        </is>
      </c>
      <c r="AD57" t="inlineStr">
        <is>
          <t>Nej</t>
        </is>
      </c>
      <c r="AE57" t="inlineStr">
        <is>
          <t>Nej</t>
        </is>
      </c>
      <c r="AF57" t="inlineStr">
        <is>
          <t>Ej behandlad</t>
        </is>
      </c>
      <c r="AG57" t="inlineStr">
        <is>
          <t>AUTO_GENERERAD. Verifiera citat mot kallfil.</t>
        </is>
      </c>
      <c r="AH57" t="inlineStr">
        <is>
          <t>MEDIUM</t>
        </is>
      </c>
      <c r="AI57" t="inlineStr">
        <is>
          <t>AUTO</t>
        </is>
      </c>
      <c r="AJ57" t="inlineStr">
        <is>
          <t>Nej</t>
        </is>
      </c>
      <c r="AK57" t="inlineStr"/>
      <c r="AL57" t="inlineStr"/>
      <c r="AM57" t="inlineStr"/>
      <c r="AN57" t="inlineStr"/>
      <c r="AO57" t="inlineStr">
        <is>
          <t>cmm4yumy7006ecuqwnx9sxuen</t>
        </is>
      </c>
      <c r="AP57" t="inlineStr">
        <is>
          <t>http://localhost:8787/api/admin/requirements/documents/cmm4yumy7006ecuqwnx9sxuen/view</t>
        </is>
      </c>
      <c r="AQ57">
        <f>HYPERLÄNK("http://localhost:8787/api/admin/requirements/documents/cmm4yumy7006ecuqwnx9sxuen/view";"Öppna PDF")</f>
        <v/>
      </c>
      <c r="AR57">
        <f>HYPERLINK("http://localhost:8787/api/admin/requirements/documents/cmm4yumy7006ecuqwnx9sxuen/view","Open PDF")</f>
        <v/>
      </c>
      <c r="AS57" t="inlineStr">
        <is>
          <t>cmm55w57p0004cuisfrtpqly8</t>
        </is>
      </c>
      <c r="AT57" t="inlineStr">
        <is>
          <t>cmm4xvu980000cuh4vj0usz09</t>
        </is>
      </c>
      <c r="AU57" t="inlineStr"/>
      <c r="AV57" t="inlineStr">
        <is>
          <t>Kommun</t>
        </is>
      </c>
      <c r="AW57" t="inlineStr"/>
      <c r="AX57" t="inlineStr">
        <is>
          <t>2024-06150267</t>
        </is>
      </c>
      <c r="AY57" t="inlineStr">
        <is>
          <t>Beslut</t>
        </is>
      </c>
      <c r="AZ57" t="inlineStr">
        <is>
          <t>2026-02-02</t>
        </is>
      </c>
      <c r="BA57" t="inlineStr">
        <is>
          <t>Deponi 1301_177-2024-06150267_01 (1).pdf</t>
        </is>
      </c>
      <c r="BB57" t="inlineStr">
        <is>
          <t>Re: till registrator</t>
        </is>
      </c>
      <c r="BC57" t="inlineStr">
        <is>
          <t>AUTO</t>
        </is>
      </c>
      <c r="BD57" t="inlineStr"/>
      <c r="BE57" t="inlineStr"/>
      <c r="BF57" t="inlineStr">
        <is>
          <t>AUTO_GENERERAD. Bekrafta metadata mot kallfil.</t>
        </is>
      </c>
      <c r="BG57">
        <f>HYPERLINK("C:\Users\jimmy\Desktop\Examens arbete\Kod\Ny mapp\remix_-copy-of-miljöbeslut.se-portal\Deponi 1301_177-2024-06150267_01 (1).pdf", "Öppna PDF")</f>
        <v/>
      </c>
    </row>
    <row r="58">
      <c r="A58" t="inlineStr">
        <is>
          <t>KRAV-AUTO-000057</t>
        </is>
      </c>
      <c r="B58" t="inlineStr">
        <is>
          <t>ADMIN-INDEX-2026-02-27-00000000125C043F57453246863FE664CAFE6A3F0700950291EA24F0614FB6ACEDB12BF0E31D00000000010C0000950291EA24F0614FB6ACEDB12BF0E31D00002087B1DD0000</t>
        </is>
      </c>
      <c r="C58" t="inlineStr">
        <is>
          <t>cmm4yumy20068cuqw8jecwk4u</t>
        </is>
      </c>
      <c r="D58" t="inlineStr">
        <is>
          <t>http://localhost:8787/api/admin/requirements/documents/cmm4yumy20068cuqw8jecwk4u/view</t>
        </is>
      </c>
      <c r="E58">
        <f>HYPERLÄNK("http://localhost:8787/api/admin/requirements/documents/cmm4yumy20068cuqw8jecwk4u/view";"Öppna PDF")</f>
        <v/>
      </c>
      <c r="F58">
        <f>HYPERLINK("http://localhost:8787/api/admin/requirements/documents/cmm4yumy20068cuqw8jecwk4u/view","Open PDF")</f>
        <v/>
      </c>
      <c r="G58" t="inlineStr">
        <is>
          <t>cmm55w57p0004cuisfrtpqly8</t>
        </is>
      </c>
      <c r="H58" t="inlineStr">
        <is>
          <t>Beslutsvillkor</t>
        </is>
      </c>
      <c r="I58" t="inlineStr">
        <is>
          <t>DagvattenLakvatten</t>
        </is>
      </c>
      <c r="J58" t="inlineStr">
        <is>
          <t>Uppsamling</t>
        </is>
      </c>
      <c r="K58" t="inlineStr">
        <is>
          <t>Deponin skall enligt beslut med Dnr 2009/0386 ha en provtagningsplan för kontroll av lakvatten.</t>
        </is>
      </c>
      <c r="L58" t="inlineStr">
        <is>
          <t>Deponin skall enligt beslut med Dnr 2009/0386 ha en provtagningsplan för kontroll av lakvatten.</t>
        </is>
      </c>
      <c r="M58" t="inlineStr">
        <is>
          <t>SKA</t>
        </is>
      </c>
      <c r="N58" t="inlineStr"/>
      <c r="O58" t="inlineStr"/>
      <c r="P58" t="inlineStr"/>
      <c r="Q58" t="inlineStr"/>
      <c r="R58" t="inlineStr">
        <is>
          <t>Vid nederbord och avrinning</t>
        </is>
      </c>
      <c r="S58" t="inlineStr"/>
      <c r="T58" t="inlineStr">
        <is>
          <t>556555</t>
        </is>
      </c>
      <c r="U58" t="inlineStr"/>
      <c r="V58" t="inlineStr"/>
      <c r="W58" t="inlineStr">
        <is>
          <t>Nej</t>
        </is>
      </c>
      <c r="X58" t="inlineStr">
        <is>
          <t>Ja</t>
        </is>
      </c>
      <c r="Y58" t="inlineStr">
        <is>
          <t>Ja</t>
        </is>
      </c>
      <c r="Z58" t="inlineStr">
        <is>
          <t>Nej</t>
        </is>
      </c>
      <c r="AA58" t="n">
        <v>6</v>
      </c>
      <c r="AB58" t="inlineStr">
        <is>
          <t>Lakvattenhantering</t>
        </is>
      </c>
      <c r="AC58" t="inlineStr">
        <is>
          <t>Flodesschema dagvatten-lakvatten</t>
        </is>
      </c>
      <c r="AD58" t="inlineStr">
        <is>
          <t>Nej</t>
        </is>
      </c>
      <c r="AE58" t="inlineStr">
        <is>
          <t>Nej</t>
        </is>
      </c>
      <c r="AF58" t="inlineStr">
        <is>
          <t>Ej behandlad</t>
        </is>
      </c>
      <c r="AG58" t="inlineStr">
        <is>
          <t>AUTO_GENERERAD. Verifiera citat mot kallfil.</t>
        </is>
      </c>
      <c r="AH58" t="inlineStr">
        <is>
          <t>MEDIUM</t>
        </is>
      </c>
      <c r="AI58" t="inlineStr">
        <is>
          <t>AUTO</t>
        </is>
      </c>
      <c r="AJ58" t="inlineStr">
        <is>
          <t>Nej</t>
        </is>
      </c>
      <c r="AK58" t="inlineStr"/>
      <c r="AL58" t="inlineStr"/>
      <c r="AM58" t="inlineStr"/>
      <c r="AN58" t="inlineStr"/>
      <c r="AO58" t="inlineStr">
        <is>
          <t>cmm4yumy7006ecuqwnx9sxuen</t>
        </is>
      </c>
      <c r="AP58" t="inlineStr">
        <is>
          <t>http://localhost:8787/api/admin/requirements/documents/cmm4yumy7006ecuqwnx9sxuen/view</t>
        </is>
      </c>
      <c r="AQ58">
        <f>HYPERLÄNK("http://localhost:8787/api/admin/requirements/documents/cmm4yumy7006ecuqwnx9sxuen/view";"Öppna PDF")</f>
        <v/>
      </c>
      <c r="AR58">
        <f>HYPERLINK("http://localhost:8787/api/admin/requirements/documents/cmm4yumy7006ecuqwnx9sxuen/view","Open PDF")</f>
        <v/>
      </c>
      <c r="AS58" t="inlineStr">
        <is>
          <t>cmm55w57p0004cuisfrtpqly8</t>
        </is>
      </c>
      <c r="AT58" t="inlineStr">
        <is>
          <t>cmm4xvu980000cuh4vj0usz09</t>
        </is>
      </c>
      <c r="AU58" t="inlineStr"/>
      <c r="AV58" t="inlineStr">
        <is>
          <t>Kommun</t>
        </is>
      </c>
      <c r="AW58" t="inlineStr"/>
      <c r="AX58" t="inlineStr">
        <is>
          <t>2024-06150267</t>
        </is>
      </c>
      <c r="AY58" t="inlineStr">
        <is>
          <t>Beslut</t>
        </is>
      </c>
      <c r="AZ58" t="inlineStr">
        <is>
          <t>2026-02-02</t>
        </is>
      </c>
      <c r="BA58" t="inlineStr">
        <is>
          <t>Deponi 1301_177-2024-06150267_01 (1).pdf</t>
        </is>
      </c>
      <c r="BB58" t="inlineStr">
        <is>
          <t>Re: till registrator</t>
        </is>
      </c>
      <c r="BC58" t="inlineStr">
        <is>
          <t>AUTO</t>
        </is>
      </c>
      <c r="BD58" t="inlineStr"/>
      <c r="BE58" t="inlineStr"/>
      <c r="BF58" t="inlineStr">
        <is>
          <t>AUTO_GENERERAD. Bekrafta metadata mot kallfil.</t>
        </is>
      </c>
      <c r="BG58">
        <f>HYPERLINK("C:\Users\jimmy\Desktop\Examens arbete\Kod\Ny mapp\remix_-copy-of-miljöbeslut.se-portal\Deponi 1301_177-2024-06150267_01 (1).pdf", "Öppna PDF")</f>
        <v/>
      </c>
    </row>
    <row r="59">
      <c r="A59" t="inlineStr">
        <is>
          <t>KRAV-AUTO-000058</t>
        </is>
      </c>
      <c r="B59" t="inlineStr">
        <is>
          <t>ADMIN-INDEX-2026-02-27-00000000125C043F57453246863FE664CAFE6A3F0700950291EA24F0614FB6ACEDB12BF0E31D00000000010C0000950291EA24F0614FB6ACEDB12BF0E31D00002087B1DD0000</t>
        </is>
      </c>
      <c r="C59" t="inlineStr">
        <is>
          <t>cmm4yumy20068cuqw8jecwk4u</t>
        </is>
      </c>
      <c r="D59" t="inlineStr">
        <is>
          <t>http://localhost:8787/api/admin/requirements/documents/cmm4yumy20068cuqw8jecwk4u/view</t>
        </is>
      </c>
      <c r="E59">
        <f>HYPERLÄNK("http://localhost:8787/api/admin/requirements/documents/cmm4yumy20068cuqw8jecwk4u/view";"Öppna PDF")</f>
        <v/>
      </c>
      <c r="F59">
        <f>HYPERLINK("http://localhost:8787/api/admin/requirements/documents/cmm4yumy20068cuqw8jecwk4u/view","Open PDF")</f>
        <v/>
      </c>
      <c r="G59" t="inlineStr">
        <is>
          <t>cmm55w57p0004cuisfrtpqly8</t>
        </is>
      </c>
      <c r="H59" t="inlineStr">
        <is>
          <t>Beslutsvillkor</t>
        </is>
      </c>
      <c r="I59" t="inlineStr">
        <is>
          <t>DriftEgenkontroll</t>
        </is>
      </c>
      <c r="J59" t="inlineStr">
        <is>
          <t>Journalforing</t>
        </is>
      </c>
      <c r="K59" t="inlineStr">
        <is>
          <t>Kontrollprogrammet skall revideras vart tredje år.</t>
        </is>
      </c>
      <c r="L59" t="inlineStr">
        <is>
          <t>Kontrollprogrammet skall revideras vart tredje år.</t>
        </is>
      </c>
      <c r="M59" t="inlineStr">
        <is>
          <t>SKA</t>
        </is>
      </c>
      <c r="N59" t="inlineStr"/>
      <c r="O59" t="inlineStr"/>
      <c r="P59" t="inlineStr"/>
      <c r="Q59" t="inlineStr"/>
      <c r="R59" t="inlineStr">
        <is>
          <t>Lopande drift</t>
        </is>
      </c>
      <c r="S59" t="inlineStr"/>
      <c r="T59" t="inlineStr">
        <is>
          <t>556555</t>
        </is>
      </c>
      <c r="U59" t="inlineStr"/>
      <c r="V59" t="inlineStr"/>
      <c r="W59" t="inlineStr">
        <is>
          <t>Nej</t>
        </is>
      </c>
      <c r="X59" t="inlineStr">
        <is>
          <t>Nej</t>
        </is>
      </c>
      <c r="Y59" t="inlineStr">
        <is>
          <t>Ja</t>
        </is>
      </c>
      <c r="Z59" t="inlineStr">
        <is>
          <t>Nej</t>
        </is>
      </c>
      <c r="AA59" t="n">
        <v>7</v>
      </c>
      <c r="AB59" t="inlineStr">
        <is>
          <t>Egenkontrollrutiner</t>
        </is>
      </c>
      <c r="AC59" t="inlineStr">
        <is>
          <t>Egenkontrollprogram</t>
        </is>
      </c>
      <c r="AD59" t="inlineStr">
        <is>
          <t>Nej</t>
        </is>
      </c>
      <c r="AE59" t="inlineStr">
        <is>
          <t>Nej</t>
        </is>
      </c>
      <c r="AF59" t="inlineStr">
        <is>
          <t>Ej behandlad</t>
        </is>
      </c>
      <c r="AG59" t="inlineStr">
        <is>
          <t>AUTO_GENERERAD. Verifiera citat mot kallfil.</t>
        </is>
      </c>
      <c r="AH59" t="inlineStr">
        <is>
          <t>MEDIUM</t>
        </is>
      </c>
      <c r="AI59" t="inlineStr">
        <is>
          <t>AUTO</t>
        </is>
      </c>
      <c r="AJ59" t="inlineStr">
        <is>
          <t>Nej</t>
        </is>
      </c>
      <c r="AK59" t="inlineStr"/>
      <c r="AL59" t="inlineStr"/>
      <c r="AM59" t="inlineStr"/>
      <c r="AN59" t="inlineStr"/>
      <c r="AO59" t="inlineStr">
        <is>
          <t>cmm4yumy7006ecuqwnx9sxuen</t>
        </is>
      </c>
      <c r="AP59" t="inlineStr">
        <is>
          <t>http://localhost:8787/api/admin/requirements/documents/cmm4yumy7006ecuqwnx9sxuen/view</t>
        </is>
      </c>
      <c r="AQ59">
        <f>HYPERLÄNK("http://localhost:8787/api/admin/requirements/documents/cmm4yumy7006ecuqwnx9sxuen/view";"Öppna PDF")</f>
        <v/>
      </c>
      <c r="AR59">
        <f>HYPERLINK("http://localhost:8787/api/admin/requirements/documents/cmm4yumy7006ecuqwnx9sxuen/view","Open PDF")</f>
        <v/>
      </c>
      <c r="AS59" t="inlineStr">
        <is>
          <t>cmm55w57p0004cuisfrtpqly8</t>
        </is>
      </c>
      <c r="AT59" t="inlineStr">
        <is>
          <t>cmm4xvu980000cuh4vj0usz09</t>
        </is>
      </c>
      <c r="AU59" t="inlineStr"/>
      <c r="AV59" t="inlineStr">
        <is>
          <t>Kommun</t>
        </is>
      </c>
      <c r="AW59" t="inlineStr"/>
      <c r="AX59" t="inlineStr">
        <is>
          <t>2024-06150267</t>
        </is>
      </c>
      <c r="AY59" t="inlineStr">
        <is>
          <t>Beslut</t>
        </is>
      </c>
      <c r="AZ59" t="inlineStr">
        <is>
          <t>2026-02-02</t>
        </is>
      </c>
      <c r="BA59" t="inlineStr">
        <is>
          <t>Deponi 1301_177-2024-06150267_01 (1).pdf</t>
        </is>
      </c>
      <c r="BB59" t="inlineStr">
        <is>
          <t>Re: till registrator</t>
        </is>
      </c>
      <c r="BC59" t="inlineStr">
        <is>
          <t>AUTO</t>
        </is>
      </c>
      <c r="BD59" t="inlineStr"/>
      <c r="BE59" t="inlineStr"/>
      <c r="BF59" t="inlineStr">
        <is>
          <t>AUTO_GENERERAD. Bekrafta metadata mot kallfil.</t>
        </is>
      </c>
      <c r="BG59">
        <f>HYPERLINK("C:\Users\jimmy\Desktop\Examens arbete\Kod\Ny mapp\remix_-copy-of-miljöbeslut.se-portal\Deponi 1301_177-2024-06150267_01 (1).pdf", "Öppna PDF")</f>
        <v/>
      </c>
    </row>
    <row r="60">
      <c r="A60" t="inlineStr">
        <is>
          <t>KRAV-AUTO-000059</t>
        </is>
      </c>
      <c r="B60" t="inlineStr">
        <is>
          <t>ADMIN-INDEX-2026-02-27-00000000125C043F57453246863FE664CAFE6A3F0700950291EA24F0614FB6ACEDB12BF0E31D00000000010C0000950291EA24F0614FB6ACEDB12BF0E31D00002087B1E10000</t>
        </is>
      </c>
      <c r="C60" t="inlineStr">
        <is>
          <t>cmm4yumxj005ncuqwcvbtnwbe</t>
        </is>
      </c>
      <c r="D60" t="inlineStr">
        <is>
          <t>http://localhost:8787/api/admin/requirements/documents/cmm4yumxj005ncuqwcvbtnwbe/view</t>
        </is>
      </c>
      <c r="E60">
        <f>HYPERLÄNK("http://localhost:8787/api/admin/requirements/documents/cmm4yumxj005ncuqwcvbtnwbe/view";"Öppna PDF")</f>
        <v/>
      </c>
      <c r="F60">
        <f>HYPERLINK("http://localhost:8787/api/admin/requirements/documents/cmm4yumxj005ncuqwcvbtnwbe/view","Open PDF")</f>
        <v/>
      </c>
      <c r="G60" t="inlineStr">
        <is>
          <t>cmm55w57p0004cuisfrtpqly8</t>
        </is>
      </c>
      <c r="H60" t="inlineStr">
        <is>
          <t>Informationskrav</t>
        </is>
      </c>
      <c r="I60" t="inlineStr">
        <is>
          <t>DagvattenLakvatten</t>
        </is>
      </c>
      <c r="J60" t="inlineStr">
        <is>
          <t>Uppsamling</t>
        </is>
      </c>
      <c r="K60" t="inlineStr">
        <is>
          <t>Allt avfall som används ska vara ”rent” och får inte innehålla några föroreningar som kan innebära att föroreningsrisken inte endast är ringa.</t>
        </is>
      </c>
      <c r="L60" t="inlineStr">
        <is>
          <t>Allt avfall som används ska vara ”rent” och får inte innehålla några föroreningar som kan innebära att föroreningsrisken inte endast är ringa.</t>
        </is>
      </c>
      <c r="M60" t="inlineStr">
        <is>
          <t>SKA</t>
        </is>
      </c>
      <c r="N60" t="inlineStr"/>
      <c r="O60" t="inlineStr"/>
      <c r="P60" t="inlineStr"/>
      <c r="Q60" t="inlineStr">
        <is>
          <t>Driftbegransning vid avvikelse</t>
        </is>
      </c>
      <c r="R60" t="inlineStr">
        <is>
          <t>Vid nederbord och avrinning</t>
        </is>
      </c>
      <c r="S60" t="inlineStr"/>
      <c r="T60" t="inlineStr">
        <is>
          <t>27 2024</t>
        </is>
      </c>
      <c r="U60" t="inlineStr"/>
      <c r="V60" t="inlineStr"/>
      <c r="W60" t="inlineStr">
        <is>
          <t>Nej</t>
        </is>
      </c>
      <c r="X60" t="inlineStr">
        <is>
          <t>Ja</t>
        </is>
      </c>
      <c r="Y60" t="inlineStr">
        <is>
          <t>Ja</t>
        </is>
      </c>
      <c r="Z60" t="inlineStr">
        <is>
          <t>Nej</t>
        </is>
      </c>
      <c r="AA60" t="n">
        <v>6</v>
      </c>
      <c r="AB60" t="inlineStr">
        <is>
          <t>Lakvattenhantering</t>
        </is>
      </c>
      <c r="AC60" t="inlineStr">
        <is>
          <t>Flodesschema dagvatten-lakvatten</t>
        </is>
      </c>
      <c r="AD60" t="inlineStr">
        <is>
          <t>Nej</t>
        </is>
      </c>
      <c r="AE60" t="inlineStr">
        <is>
          <t>Nej</t>
        </is>
      </c>
      <c r="AF60" t="inlineStr">
        <is>
          <t>Ej behandlad</t>
        </is>
      </c>
      <c r="AG60" t="inlineStr">
        <is>
          <t>AUTO_GENERERAD. Verifiera citat mot kallfil.</t>
        </is>
      </c>
      <c r="AH60" t="inlineStr">
        <is>
          <t>MEDIUM</t>
        </is>
      </c>
      <c r="AI60" t="inlineStr">
        <is>
          <t>AUTO</t>
        </is>
      </c>
      <c r="AJ60" t="inlineStr">
        <is>
          <t>Nej</t>
        </is>
      </c>
      <c r="AK60" t="inlineStr"/>
      <c r="AL60" t="inlineStr"/>
      <c r="AM60" t="inlineStr"/>
      <c r="AN60" t="inlineStr"/>
      <c r="AO60" t="inlineStr">
        <is>
          <t>cmm4yumxa005ecuqwd2rfqss7</t>
        </is>
      </c>
      <c r="AP60" t="inlineStr">
        <is>
          <t>http://localhost:8787/api/admin/requirements/documents/cmm4yumxa005ecuqwd2rfqss7/view</t>
        </is>
      </c>
      <c r="AQ60">
        <f>HYPERLÄNK("http://localhost:8787/api/admin/requirements/documents/cmm4yumxa005ecuqwd2rfqss7/view";"Öppna PDF")</f>
        <v/>
      </c>
      <c r="AR60">
        <f>HYPERLINK("http://localhost:8787/api/admin/requirements/documents/cmm4yumxa005ecuqwd2rfqss7/view","Open PDF")</f>
        <v/>
      </c>
      <c r="AS60" t="inlineStr">
        <is>
          <t>cmm55w57p0004cuisfrtpqly8</t>
        </is>
      </c>
      <c r="AT60" t="inlineStr">
        <is>
          <t>cmm4xvu980000cuh4vj0usz09</t>
        </is>
      </c>
      <c r="AU60" t="inlineStr">
        <is>
          <t>Västerviks</t>
        </is>
      </c>
      <c r="AV60" t="inlineStr">
        <is>
          <t>Kommun</t>
        </is>
      </c>
      <c r="AW60" t="inlineStr">
        <is>
          <t>Västerviks kommun</t>
        </is>
      </c>
      <c r="AX60" t="inlineStr">
        <is>
          <t>2024-05</t>
        </is>
      </c>
      <c r="AY60" t="inlineStr">
        <is>
          <t>Anmalan</t>
        </is>
      </c>
      <c r="AZ60" t="inlineStr">
        <is>
          <t>2026-02-02</t>
        </is>
      </c>
      <c r="BA60" t="inlineStr">
        <is>
          <t>2024-786 Anmälan.pdf</t>
        </is>
      </c>
      <c r="BB60" t="inlineStr">
        <is>
          <t>Sv: till registrator</t>
        </is>
      </c>
      <c r="BC60" t="inlineStr">
        <is>
          <t>AUTO</t>
        </is>
      </c>
      <c r="BD60" t="inlineStr"/>
      <c r="BE60" t="inlineStr"/>
      <c r="BF60" t="inlineStr">
        <is>
          <t>AUTO_GENERERAD. Bekrafta metadata mot kallfil.</t>
        </is>
      </c>
      <c r="BG60">
        <f>HYPERLINK("C:\Users\jimmy\Desktop\Examens arbete\Kod\Ny mapp\remix_-copy-of-miljöbeslut.se-portal\2024-786 Anmälan.pdf", "Öppna PDF")</f>
        <v/>
      </c>
    </row>
    <row r="61">
      <c r="A61" t="inlineStr">
        <is>
          <t>KRAV-AUTO-000060</t>
        </is>
      </c>
      <c r="B61" t="inlineStr">
        <is>
          <t>ADMIN-INDEX-2026-02-27-00000000125C043F57453246863FE664CAFE6A3F0700950291EA24F0614FB6ACEDB12BF0E31D00000000010C0000950291EA24F0614FB6ACEDB12BF0E31D00002087B1E10000</t>
        </is>
      </c>
      <c r="C61" t="inlineStr">
        <is>
          <t>cmm4yumxj005ncuqwcvbtnwbe</t>
        </is>
      </c>
      <c r="D61" t="inlineStr">
        <is>
          <t>http://localhost:8787/api/admin/requirements/documents/cmm4yumxj005ncuqwcvbtnwbe/view</t>
        </is>
      </c>
      <c r="E61">
        <f>HYPERLÄNK("http://localhost:8787/api/admin/requirements/documents/cmm4yumxj005ncuqwcvbtnwbe/view";"Öppna PDF")</f>
        <v/>
      </c>
      <c r="F61">
        <f>HYPERLINK("http://localhost:8787/api/admin/requirements/documents/cmm4yumxj005ncuqwcvbtnwbe/view","Open PDF")</f>
        <v/>
      </c>
      <c r="G61" t="inlineStr">
        <is>
          <t>cmm55w57p0004cuisfrtpqly8</t>
        </is>
      </c>
      <c r="H61" t="inlineStr">
        <is>
          <t>Informationskrav</t>
        </is>
      </c>
      <c r="I61" t="inlineStr">
        <is>
          <t>Ytkonstruktion</t>
        </is>
      </c>
      <c r="J61" t="inlineStr">
        <is>
          <t>Tat yta</t>
        </is>
      </c>
      <c r="K61" t="inlineStr">
        <is>
          <t>• Om det använda avfallet behöver flyttas bort i framtiden ska det omhändertas på en godkänd avfallsanläggning eller användas för anläggningsändamål på annan plats efter anmälan till tillsynsmyndigheten.</t>
        </is>
      </c>
      <c r="L61" t="inlineStr">
        <is>
          <t>• Om det använda avfallet behöver flyttas bort i framtiden ska det omhändertas på en godkänd avfallsanläggning eller användas för anläggningsändamål på annan plats efter anmälan till tillsynsmyndigheten.</t>
        </is>
      </c>
      <c r="M61" t="inlineStr">
        <is>
          <t>SKA</t>
        </is>
      </c>
      <c r="N61" t="inlineStr"/>
      <c r="O61" t="inlineStr"/>
      <c r="P61" t="inlineStr"/>
      <c r="Q61" t="inlineStr"/>
      <c r="R61" t="inlineStr">
        <is>
          <t>Vid mellanlagring av avfall</t>
        </is>
      </c>
      <c r="S61" t="inlineStr"/>
      <c r="T61" t="inlineStr">
        <is>
          <t>27 2024</t>
        </is>
      </c>
      <c r="U61" t="inlineStr"/>
      <c r="V61" t="inlineStr"/>
      <c r="W61" t="inlineStr">
        <is>
          <t>Ja</t>
        </is>
      </c>
      <c r="X61" t="inlineStr">
        <is>
          <t>Nej</t>
        </is>
      </c>
      <c r="Y61" t="inlineStr">
        <is>
          <t>Nej</t>
        </is>
      </c>
      <c r="Z61" t="inlineStr">
        <is>
          <t>Nej</t>
        </is>
      </c>
      <c r="AA61" t="n">
        <v>5</v>
      </c>
      <c r="AB61" t="inlineStr">
        <is>
          <t>Teknisk beskrivning av platta</t>
        </is>
      </c>
      <c r="AC61" t="inlineStr">
        <is>
          <t>Teknisk ritning platta</t>
        </is>
      </c>
      <c r="AD61" t="inlineStr">
        <is>
          <t>Nej</t>
        </is>
      </c>
      <c r="AE61" t="inlineStr">
        <is>
          <t>Nej</t>
        </is>
      </c>
      <c r="AF61" t="inlineStr">
        <is>
          <t>Ej behandlad</t>
        </is>
      </c>
      <c r="AG61" t="inlineStr">
        <is>
          <t>AUTO_GENERERAD. Verifiera citat mot kallfil.</t>
        </is>
      </c>
      <c r="AH61" t="inlineStr">
        <is>
          <t>MEDIUM</t>
        </is>
      </c>
      <c r="AI61" t="inlineStr">
        <is>
          <t>AUTO</t>
        </is>
      </c>
      <c r="AJ61" t="inlineStr">
        <is>
          <t>Nej</t>
        </is>
      </c>
      <c r="AK61" t="inlineStr"/>
      <c r="AL61" t="inlineStr"/>
      <c r="AM61" t="inlineStr"/>
      <c r="AN61" t="inlineStr"/>
      <c r="AO61" t="inlineStr">
        <is>
          <t>cmm4yumxa005ecuqwd2rfqss7</t>
        </is>
      </c>
      <c r="AP61" t="inlineStr">
        <is>
          <t>http://localhost:8787/api/admin/requirements/documents/cmm4yumxa005ecuqwd2rfqss7/view</t>
        </is>
      </c>
      <c r="AQ61">
        <f>HYPERLÄNK("http://localhost:8787/api/admin/requirements/documents/cmm4yumxa005ecuqwd2rfqss7/view";"Öppna PDF")</f>
        <v/>
      </c>
      <c r="AR61">
        <f>HYPERLINK("http://localhost:8787/api/admin/requirements/documents/cmm4yumxa005ecuqwd2rfqss7/view","Open PDF")</f>
        <v/>
      </c>
      <c r="AS61" t="inlineStr">
        <is>
          <t>cmm55w57p0004cuisfrtpqly8</t>
        </is>
      </c>
      <c r="AT61" t="inlineStr">
        <is>
          <t>cmm4xvu980000cuh4vj0usz09</t>
        </is>
      </c>
      <c r="AU61" t="inlineStr">
        <is>
          <t>Västerviks</t>
        </is>
      </c>
      <c r="AV61" t="inlineStr">
        <is>
          <t>Kommun</t>
        </is>
      </c>
      <c r="AW61" t="inlineStr">
        <is>
          <t>Västerviks kommun</t>
        </is>
      </c>
      <c r="AX61" t="inlineStr">
        <is>
          <t>2024-05</t>
        </is>
      </c>
      <c r="AY61" t="inlineStr">
        <is>
          <t>Anmalan</t>
        </is>
      </c>
      <c r="AZ61" t="inlineStr">
        <is>
          <t>2026-02-02</t>
        </is>
      </c>
      <c r="BA61" t="inlineStr">
        <is>
          <t>2024-786 Anmälan.pdf</t>
        </is>
      </c>
      <c r="BB61" t="inlineStr">
        <is>
          <t>Sv: till registrator</t>
        </is>
      </c>
      <c r="BC61" t="inlineStr">
        <is>
          <t>AUTO</t>
        </is>
      </c>
      <c r="BD61" t="inlineStr"/>
      <c r="BE61" t="inlineStr"/>
      <c r="BF61" t="inlineStr">
        <is>
          <t>AUTO_GENERERAD. Bekrafta metadata mot kallfil.</t>
        </is>
      </c>
      <c r="BG61">
        <f>HYPERLINK("C:\Users\jimmy\Desktop\Examens arbete\Kod\Ny mapp\remix_-copy-of-miljöbeslut.se-portal\2024-786 Anmälan.pdf", "Öppna PDF")</f>
        <v/>
      </c>
    </row>
    <row r="62">
      <c r="A62" t="inlineStr">
        <is>
          <t>KRAV-AUTO-000061</t>
        </is>
      </c>
      <c r="B62" t="inlineStr">
        <is>
          <t>ADMIN-INDEX-2026-02-27-00000000125C043F57453246863FE664CAFE6A3F0700950291EA24F0614FB6ACEDB12BF0E31D00000000010C0000950291EA24F0614FB6ACEDB12BF0E31D00002087B1E10000</t>
        </is>
      </c>
      <c r="C62" t="inlineStr">
        <is>
          <t>cmm4yumxj005ncuqwcvbtnwbe</t>
        </is>
      </c>
      <c r="D62" t="inlineStr">
        <is>
          <t>http://localhost:8787/api/admin/requirements/documents/cmm4yumxj005ncuqwcvbtnwbe/view</t>
        </is>
      </c>
      <c r="E62">
        <f>HYPERLÄNK("http://localhost:8787/api/admin/requirements/documents/cmm4yumxj005ncuqwcvbtnwbe/view";"Öppna PDF")</f>
        <v/>
      </c>
      <c r="F62">
        <f>HYPERLINK("http://localhost:8787/api/admin/requirements/documents/cmm4yumxj005ncuqwcvbtnwbe/view","Open PDF")</f>
        <v/>
      </c>
      <c r="G62" t="inlineStr">
        <is>
          <t>cmm55w57p0004cuisfrtpqly8</t>
        </is>
      </c>
      <c r="H62" t="inlineStr">
        <is>
          <t>Informationskrav</t>
        </is>
      </c>
      <c r="I62" t="inlineStr">
        <is>
          <t>DagvattenLakvatten</t>
        </is>
      </c>
      <c r="J62" t="inlineStr">
        <is>
          <t>Uppsamling</t>
        </is>
      </c>
      <c r="K62" t="inlineStr">
        <is>
          <t>Förutsättningarna för att avfallet ska få användas är att syftet är anläggningsändamål och föroreningsrisken är liten.</t>
        </is>
      </c>
      <c r="L62" t="inlineStr">
        <is>
          <t>Förutsättningarna för att avfallet ska få användas är att syftet är anläggningsändamål och föroreningsrisken är liten.</t>
        </is>
      </c>
      <c r="M62" t="inlineStr">
        <is>
          <t>SKA</t>
        </is>
      </c>
      <c r="N62" t="inlineStr"/>
      <c r="O62" t="inlineStr"/>
      <c r="P62" t="inlineStr"/>
      <c r="Q62" t="inlineStr"/>
      <c r="R62" t="inlineStr">
        <is>
          <t>Vid nederbord och avrinning</t>
        </is>
      </c>
      <c r="S62" t="inlineStr"/>
      <c r="T62" t="inlineStr">
        <is>
          <t>27 2024</t>
        </is>
      </c>
      <c r="U62" t="inlineStr"/>
      <c r="V62" t="inlineStr"/>
      <c r="W62" t="inlineStr">
        <is>
          <t>Nej</t>
        </is>
      </c>
      <c r="X62" t="inlineStr">
        <is>
          <t>Ja</t>
        </is>
      </c>
      <c r="Y62" t="inlineStr">
        <is>
          <t>Ja</t>
        </is>
      </c>
      <c r="Z62" t="inlineStr">
        <is>
          <t>Nej</t>
        </is>
      </c>
      <c r="AA62" t="n">
        <v>6</v>
      </c>
      <c r="AB62" t="inlineStr">
        <is>
          <t>Lakvattenhantering</t>
        </is>
      </c>
      <c r="AC62" t="inlineStr">
        <is>
          <t>Flodesschema dagvatten-lakvatten</t>
        </is>
      </c>
      <c r="AD62" t="inlineStr">
        <is>
          <t>Nej</t>
        </is>
      </c>
      <c r="AE62" t="inlineStr">
        <is>
          <t>Nej</t>
        </is>
      </c>
      <c r="AF62" t="inlineStr">
        <is>
          <t>Ej behandlad</t>
        </is>
      </c>
      <c r="AG62" t="inlineStr">
        <is>
          <t>AUTO_GENERERAD. Verifiera citat mot kallfil.</t>
        </is>
      </c>
      <c r="AH62" t="inlineStr">
        <is>
          <t>MEDIUM</t>
        </is>
      </c>
      <c r="AI62" t="inlineStr">
        <is>
          <t>AUTO</t>
        </is>
      </c>
      <c r="AJ62" t="inlineStr">
        <is>
          <t>Nej</t>
        </is>
      </c>
      <c r="AK62" t="inlineStr"/>
      <c r="AL62" t="inlineStr"/>
      <c r="AM62" t="inlineStr"/>
      <c r="AN62" t="inlineStr"/>
      <c r="AO62" t="inlineStr">
        <is>
          <t>cmm4yumxa005ecuqwd2rfqss7</t>
        </is>
      </c>
      <c r="AP62" t="inlineStr">
        <is>
          <t>http://localhost:8787/api/admin/requirements/documents/cmm4yumxa005ecuqwd2rfqss7/view</t>
        </is>
      </c>
      <c r="AQ62">
        <f>HYPERLÄNK("http://localhost:8787/api/admin/requirements/documents/cmm4yumxa005ecuqwd2rfqss7/view";"Öppna PDF")</f>
        <v/>
      </c>
      <c r="AR62">
        <f>HYPERLINK("http://localhost:8787/api/admin/requirements/documents/cmm4yumxa005ecuqwd2rfqss7/view","Open PDF")</f>
        <v/>
      </c>
      <c r="AS62" t="inlineStr">
        <is>
          <t>cmm55w57p0004cuisfrtpqly8</t>
        </is>
      </c>
      <c r="AT62" t="inlineStr">
        <is>
          <t>cmm4xvu980000cuh4vj0usz09</t>
        </is>
      </c>
      <c r="AU62" t="inlineStr">
        <is>
          <t>Västerviks</t>
        </is>
      </c>
      <c r="AV62" t="inlineStr">
        <is>
          <t>Kommun</t>
        </is>
      </c>
      <c r="AW62" t="inlineStr">
        <is>
          <t>Västerviks kommun</t>
        </is>
      </c>
      <c r="AX62" t="inlineStr">
        <is>
          <t>2024-05</t>
        </is>
      </c>
      <c r="AY62" t="inlineStr">
        <is>
          <t>Anmalan</t>
        </is>
      </c>
      <c r="AZ62" t="inlineStr">
        <is>
          <t>2026-02-02</t>
        </is>
      </c>
      <c r="BA62" t="inlineStr">
        <is>
          <t>2024-786 Anmälan.pdf</t>
        </is>
      </c>
      <c r="BB62" t="inlineStr">
        <is>
          <t>Sv: till registrator</t>
        </is>
      </c>
      <c r="BC62" t="inlineStr">
        <is>
          <t>AUTO</t>
        </is>
      </c>
      <c r="BD62" t="inlineStr"/>
      <c r="BE62" t="inlineStr"/>
      <c r="BF62" t="inlineStr">
        <is>
          <t>AUTO_GENERERAD. Bekrafta metadata mot kallfil.</t>
        </is>
      </c>
      <c r="BG62">
        <f>HYPERLINK("C:\Users\jimmy\Desktop\Examens arbete\Kod\Ny mapp\remix_-copy-of-miljöbeslut.se-portal\2024-786 Anmälan.pdf", "Öppna PDF")</f>
        <v/>
      </c>
    </row>
    <row r="63">
      <c r="A63" t="inlineStr">
        <is>
          <t>KRAV-AUTO-000062</t>
        </is>
      </c>
      <c r="B63" t="inlineStr">
        <is>
          <t>ADMIN-INDEX-2026-02-27-00000000125C043F57453246863FE664CAFE6A3F0700950291EA24F0614FB6ACEDB12BF0E31D00000000010C0000950291EA24F0614FB6ACEDB12BF0E31D00002087B1E10000</t>
        </is>
      </c>
      <c r="C63" t="inlineStr">
        <is>
          <t>cmm4yumvs0042cuqw49d8jgsb</t>
        </is>
      </c>
      <c r="D63" t="inlineStr">
        <is>
          <t>http://localhost:8787/api/admin/requirements/documents/cmm4yumvs0042cuqw49d8jgsb/view</t>
        </is>
      </c>
      <c r="E63">
        <f>HYPERLÄNK("http://localhost:8787/api/admin/requirements/documents/cmm4yumvs0042cuqw49d8jgsb/view";"Öppna PDF")</f>
        <v/>
      </c>
      <c r="F63">
        <f>HYPERLINK("http://localhost:8787/api/admin/requirements/documents/cmm4yumvs0042cuqw49d8jgsb/view","Open PDF")</f>
        <v/>
      </c>
      <c r="G63" t="inlineStr">
        <is>
          <t>cmm55w57p0004cuisfrtpqly8</t>
        </is>
      </c>
      <c r="H63" t="inlineStr">
        <is>
          <t>Informationskrav</t>
        </is>
      </c>
      <c r="I63" t="inlineStr">
        <is>
          <t>Ytkonstruktion</t>
        </is>
      </c>
      <c r="J63" t="inlineStr">
        <is>
          <t>Tat yta</t>
        </is>
      </c>
      <c r="K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arbetstider, ange start- och slutdatum Ö &gt; 20 me a 3/12 -24- 2 7 Fyllnadshöjd (m) Avfallets ursprung em &amp; nh k j Jo "4 6 oe = Om avfallet kommer från rivning av byggnad, vad har byggnaden tidigare använts till?</t>
        </is>
      </c>
      <c r="L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t>
        </is>
      </c>
      <c r="M63" t="inlineStr">
        <is>
          <t>SKA</t>
        </is>
      </c>
      <c r="N63" t="inlineStr"/>
      <c r="O63" t="inlineStr"/>
      <c r="P63" t="inlineStr"/>
      <c r="Q63" t="inlineStr"/>
      <c r="R63" t="inlineStr">
        <is>
          <t>Vid mellanlagring av avfall</t>
        </is>
      </c>
      <c r="S63" t="inlineStr"/>
      <c r="T63" t="inlineStr">
        <is>
          <t>15 01 01</t>
        </is>
      </c>
      <c r="U63" t="inlineStr"/>
      <c r="V63" t="inlineStr"/>
      <c r="W63" t="inlineStr">
        <is>
          <t>Ja</t>
        </is>
      </c>
      <c r="X63" t="inlineStr">
        <is>
          <t>Nej</t>
        </is>
      </c>
      <c r="Y63" t="inlineStr">
        <is>
          <t>Nej</t>
        </is>
      </c>
      <c r="Z63" t="inlineStr">
        <is>
          <t>Nej</t>
        </is>
      </c>
      <c r="AA63" t="n">
        <v>5</v>
      </c>
      <c r="AB63" t="inlineStr">
        <is>
          <t>Teknisk beskrivning av platta</t>
        </is>
      </c>
      <c r="AC63" t="inlineStr">
        <is>
          <t>Teknisk ritning platta</t>
        </is>
      </c>
      <c r="AD63" t="inlineStr">
        <is>
          <t>Nej</t>
        </is>
      </c>
      <c r="AE63" t="inlineStr">
        <is>
          <t>Nej</t>
        </is>
      </c>
      <c r="AF63" t="inlineStr">
        <is>
          <t>Ej behandlad</t>
        </is>
      </c>
      <c r="AG63" t="inlineStr">
        <is>
          <t>AUTO_GENERERAD. Verifiera citat mot kallfil.</t>
        </is>
      </c>
      <c r="AH63" t="inlineStr">
        <is>
          <t>MEDIUM</t>
        </is>
      </c>
      <c r="AI63" t="inlineStr">
        <is>
          <t>AUTO</t>
        </is>
      </c>
      <c r="AJ63" t="inlineStr">
        <is>
          <t>Nej</t>
        </is>
      </c>
      <c r="AK63" t="inlineStr"/>
      <c r="AL63" t="inlineStr"/>
      <c r="AM63" t="inlineStr"/>
      <c r="AN63" t="inlineStr"/>
      <c r="AO63" t="inlineStr">
        <is>
          <t>cmm4yumxa005ecuqwd2rfqss7</t>
        </is>
      </c>
      <c r="AP63" t="inlineStr">
        <is>
          <t>http://localhost:8787/api/admin/requirements/documents/cmm4yumxa005ecuqwd2rfqss7/view</t>
        </is>
      </c>
      <c r="AQ63">
        <f>HYPERLÄNK("http://localhost:8787/api/admin/requirements/documents/cmm4yumxa005ecuqwd2rfqss7/view";"Öppna PDF")</f>
        <v/>
      </c>
      <c r="AR63">
        <f>HYPERLINK("http://localhost:8787/api/admin/requirements/documents/cmm4yumxa005ecuqwd2rfqss7/view","Open PDF")</f>
        <v/>
      </c>
      <c r="AS63" t="inlineStr">
        <is>
          <t>cmm55w57p0004cuisfrtpqly8</t>
        </is>
      </c>
      <c r="AT63" t="inlineStr">
        <is>
          <t>cmm4xvu980000cuh4vj0usz09</t>
        </is>
      </c>
      <c r="AU63" t="inlineStr">
        <is>
          <t>Västerviks</t>
        </is>
      </c>
      <c r="AV63" t="inlineStr">
        <is>
          <t>Kommun</t>
        </is>
      </c>
      <c r="AW63" t="inlineStr">
        <is>
          <t>Västerviks kommun</t>
        </is>
      </c>
      <c r="AX63" t="inlineStr">
        <is>
          <t>2024-05</t>
        </is>
      </c>
      <c r="AY63" t="inlineStr">
        <is>
          <t>Anmalan</t>
        </is>
      </c>
      <c r="AZ63" t="inlineStr">
        <is>
          <t>2026-02-02</t>
        </is>
      </c>
      <c r="BA63" t="inlineStr">
        <is>
          <t>2024-786 Anmälan.pdf</t>
        </is>
      </c>
      <c r="BB63" t="inlineStr">
        <is>
          <t>Sv: till registrator</t>
        </is>
      </c>
      <c r="BC63" t="inlineStr">
        <is>
          <t>AUTO</t>
        </is>
      </c>
      <c r="BD63" t="inlineStr"/>
      <c r="BE63" t="inlineStr"/>
      <c r="BF63" t="inlineStr">
        <is>
          <t>AUTO_GENERERAD. Bekrafta metadata mot kallfil.</t>
        </is>
      </c>
      <c r="BG63">
        <f>HYPERLINK("C:\Users\jimmy\Desktop\Examens arbete\Kod\Ny mapp\remix_-copy-of-miljöbeslut.se-portal\2024-786 Anmälan.pdf", "Öppna PDF")</f>
        <v/>
      </c>
    </row>
    <row r="64">
      <c r="A64" t="inlineStr">
        <is>
          <t>KRAV-AUTO-000063</t>
        </is>
      </c>
      <c r="B64" t="inlineStr">
        <is>
          <t>ADMIN-INDEX-2026-02-27-00000000125C043F57453246863FE664CAFE6A3F0700950291EA24F0614FB6ACEDB12BF0E31D00000000010C0000950291EA24F0614FB6ACEDB12BF0E31D00002087B1E10000</t>
        </is>
      </c>
      <c r="C64" t="inlineStr">
        <is>
          <t>cmm4yumvs0042cuqw49d8jgsb</t>
        </is>
      </c>
      <c r="D64" t="inlineStr">
        <is>
          <t>http://localhost:8787/api/admin/requirements/documents/cmm4yumvs0042cuqw49d8jgsb/view</t>
        </is>
      </c>
      <c r="E64">
        <f>HYPERLÄNK("http://localhost:8787/api/admin/requirements/documents/cmm4yumvs0042cuqw49d8jgsb/view";"Öppna PDF")</f>
        <v/>
      </c>
      <c r="F64">
        <f>HYPERLINK("http://localhost:8787/api/admin/requirements/documents/cmm4yumvs0042cuqw49d8jgsb/view","Open PDF")</f>
        <v/>
      </c>
      <c r="G64" t="inlineStr">
        <is>
          <t>cmm55w57p0004cuisfrtpqly8</t>
        </is>
      </c>
      <c r="H64" t="inlineStr">
        <is>
          <t>Informationskrav</t>
        </is>
      </c>
      <c r="I64" t="inlineStr">
        <is>
          <t>MiljopaverkanForsiktighet</t>
        </is>
      </c>
      <c r="J64" t="inlineStr">
        <is>
          <t>Skyddsatgarder</t>
        </is>
      </c>
      <c r="K64" t="inlineStr">
        <is>
          <t>Oman Jögsgar 25 Beskriv vilken behandling som ska ske av avfallet innan användning, t.ex.</t>
        </is>
      </c>
      <c r="L64" t="inlineStr">
        <is>
          <t>Oman Jögsgar 25 Beskriv vilken behandling som ska ske av avfallet innan användning, t.ex.</t>
        </is>
      </c>
      <c r="M64" t="inlineStr">
        <is>
          <t>SKA</t>
        </is>
      </c>
      <c r="N64" t="inlineStr"/>
      <c r="O64" t="inlineStr"/>
      <c r="P64" t="inlineStr"/>
      <c r="Q64" t="inlineStr"/>
      <c r="R64" t="inlineStr">
        <is>
          <t>Alltid</t>
        </is>
      </c>
      <c r="S64" t="inlineStr"/>
      <c r="T64" t="inlineStr"/>
      <c r="U64" t="inlineStr"/>
      <c r="V64" t="inlineStr"/>
      <c r="W64" t="inlineStr">
        <is>
          <t>Nej</t>
        </is>
      </c>
      <c r="X64" t="inlineStr">
        <is>
          <t>Nej</t>
        </is>
      </c>
      <c r="Y64" t="inlineStr">
        <is>
          <t>Nej</t>
        </is>
      </c>
      <c r="Z64" t="inlineStr">
        <is>
          <t>Nej</t>
        </is>
      </c>
      <c r="AA64" t="n">
        <v>10</v>
      </c>
      <c r="AB64" t="inlineStr">
        <is>
          <t>Miljopaverkan och forsiktighetsmatt</t>
        </is>
      </c>
      <c r="AC64" t="inlineStr">
        <is>
          <t>Miljo-PM</t>
        </is>
      </c>
      <c r="AD64" t="inlineStr">
        <is>
          <t>Nej</t>
        </is>
      </c>
      <c r="AE64" t="inlineStr">
        <is>
          <t>Nej</t>
        </is>
      </c>
      <c r="AF64" t="inlineStr">
        <is>
          <t>Ej behandlad</t>
        </is>
      </c>
      <c r="AG64" t="inlineStr">
        <is>
          <t>AUTO_GENERERAD. Verifiera citat mot kallfil.</t>
        </is>
      </c>
      <c r="AH64" t="inlineStr">
        <is>
          <t>MEDIUM</t>
        </is>
      </c>
      <c r="AI64" t="inlineStr">
        <is>
          <t>AUTO</t>
        </is>
      </c>
      <c r="AJ64" t="inlineStr">
        <is>
          <t>Nej</t>
        </is>
      </c>
      <c r="AK64" t="inlineStr"/>
      <c r="AL64" t="inlineStr"/>
      <c r="AM64" t="inlineStr"/>
      <c r="AN64" t="inlineStr"/>
      <c r="AO64" t="inlineStr">
        <is>
          <t>cmm4yumxa005ecuqwd2rfqss7</t>
        </is>
      </c>
      <c r="AP64" t="inlineStr">
        <is>
          <t>http://localhost:8787/api/admin/requirements/documents/cmm4yumxa005ecuqwd2rfqss7/view</t>
        </is>
      </c>
      <c r="AQ64">
        <f>HYPERLÄNK("http://localhost:8787/api/admin/requirements/documents/cmm4yumxa005ecuqwd2rfqss7/view";"Öppna PDF")</f>
        <v/>
      </c>
      <c r="AR64">
        <f>HYPERLINK("http://localhost:8787/api/admin/requirements/documents/cmm4yumxa005ecuqwd2rfqss7/view","Open PDF")</f>
        <v/>
      </c>
      <c r="AS64" t="inlineStr">
        <is>
          <t>cmm55w57p0004cuisfrtpqly8</t>
        </is>
      </c>
      <c r="AT64" t="inlineStr">
        <is>
          <t>cmm4xvu980000cuh4vj0usz09</t>
        </is>
      </c>
      <c r="AU64" t="inlineStr">
        <is>
          <t>Västerviks</t>
        </is>
      </c>
      <c r="AV64" t="inlineStr">
        <is>
          <t>Kommun</t>
        </is>
      </c>
      <c r="AW64" t="inlineStr">
        <is>
          <t>Västerviks kommun</t>
        </is>
      </c>
      <c r="AX64" t="inlineStr">
        <is>
          <t>2024-05</t>
        </is>
      </c>
      <c r="AY64" t="inlineStr">
        <is>
          <t>Anmalan</t>
        </is>
      </c>
      <c r="AZ64" t="inlineStr">
        <is>
          <t>2026-02-02</t>
        </is>
      </c>
      <c r="BA64" t="inlineStr">
        <is>
          <t>2024-786 Anmälan.pdf</t>
        </is>
      </c>
      <c r="BB64" t="inlineStr">
        <is>
          <t>Sv: till registrator</t>
        </is>
      </c>
      <c r="BC64" t="inlineStr">
        <is>
          <t>AUTO</t>
        </is>
      </c>
      <c r="BD64" t="inlineStr"/>
      <c r="BE64" t="inlineStr"/>
      <c r="BF64" t="inlineStr">
        <is>
          <t>AUTO_GENERERAD. Bekrafta metadata mot kallfil.</t>
        </is>
      </c>
      <c r="BG64">
        <f>HYPERLINK("C:\Users\jimmy\Desktop\Examens arbete\Kod\Ny mapp\remix_-copy-of-miljöbeslut.se-portal\2024-786 Anmälan.pdf", "Öppna PDF")</f>
        <v/>
      </c>
    </row>
    <row r="65">
      <c r="A65" t="inlineStr">
        <is>
          <t>KRAV-AUTO-000064</t>
        </is>
      </c>
      <c r="B65" t="inlineStr">
        <is>
          <t>ADMIN-INDEX-2026-02-27-00000000125C043F57453246863FE664CAFE6A3F0700950291EA24F0614FB6ACEDB12BF0E31D00000000010C0000950291EA24F0614FB6ACEDB12BF0E31D00002087B1E10000</t>
        </is>
      </c>
      <c r="C65" t="inlineStr">
        <is>
          <t>cmm4yumvs0042cuqw49d8jgsb</t>
        </is>
      </c>
      <c r="D65" t="inlineStr">
        <is>
          <t>http://localhost:8787/api/admin/requirements/documents/cmm4yumvs0042cuqw49d8jgsb/view</t>
        </is>
      </c>
      <c r="E65">
        <f>HYPERLÄNK("http://localhost:8787/api/admin/requirements/documents/cmm4yumvs0042cuqw49d8jgsb/view";"Öppna PDF")</f>
        <v/>
      </c>
      <c r="F65">
        <f>HYPERLINK("http://localhost:8787/api/admin/requirements/documents/cmm4yumvs0042cuqw49d8jgsb/view","Open PDF")</f>
        <v/>
      </c>
      <c r="G65" t="inlineStr">
        <is>
          <t>cmm55w57p0004cuisfrtpqly8</t>
        </is>
      </c>
      <c r="H65" t="inlineStr">
        <is>
          <t>Informationskrav</t>
        </is>
      </c>
      <c r="I65" t="inlineStr">
        <is>
          <t>DagvattenLakvatten</t>
        </is>
      </c>
      <c r="J65" t="inlineStr">
        <is>
          <t>Uppsamling</t>
        </is>
      </c>
      <c r="K65" t="inlineStr">
        <is>
          <t>Beskriv om särskilda skyddsåtgärder ska vidtas för att minimera risken för att föroreningar sprids.</t>
        </is>
      </c>
      <c r="L65" t="inlineStr">
        <is>
          <t>Beskriv om särskilda skyddsåtgärder ska vidtas för att minimera risken för att föroreningar sprids.</t>
        </is>
      </c>
      <c r="M65" t="inlineStr">
        <is>
          <t>SKA</t>
        </is>
      </c>
      <c r="N65" t="inlineStr"/>
      <c r="O65" t="inlineStr"/>
      <c r="P65" t="inlineStr"/>
      <c r="Q65" t="inlineStr"/>
      <c r="R65" t="inlineStr">
        <is>
          <t>Vid nederbord och avrinning</t>
        </is>
      </c>
      <c r="S65" t="inlineStr"/>
      <c r="T65" t="inlineStr"/>
      <c r="U65" t="inlineStr"/>
      <c r="V65" t="inlineStr"/>
      <c r="W65" t="inlineStr">
        <is>
          <t>Nej</t>
        </is>
      </c>
      <c r="X65" t="inlineStr">
        <is>
          <t>Ja</t>
        </is>
      </c>
      <c r="Y65" t="inlineStr">
        <is>
          <t>Ja</t>
        </is>
      </c>
      <c r="Z65" t="inlineStr">
        <is>
          <t>Nej</t>
        </is>
      </c>
      <c r="AA65" t="n">
        <v>6</v>
      </c>
      <c r="AB65" t="inlineStr">
        <is>
          <t>Lakvattenhantering</t>
        </is>
      </c>
      <c r="AC65" t="inlineStr">
        <is>
          <t>Flodesschema dagvatten-lakvatten</t>
        </is>
      </c>
      <c r="AD65" t="inlineStr">
        <is>
          <t>Nej</t>
        </is>
      </c>
      <c r="AE65" t="inlineStr">
        <is>
          <t>Nej</t>
        </is>
      </c>
      <c r="AF65" t="inlineStr">
        <is>
          <t>Ej behandlad</t>
        </is>
      </c>
      <c r="AG65" t="inlineStr">
        <is>
          <t>AUTO_GENERERAD. Verifiera citat mot kallfil.</t>
        </is>
      </c>
      <c r="AH65" t="inlineStr">
        <is>
          <t>MEDIUM</t>
        </is>
      </c>
      <c r="AI65" t="inlineStr">
        <is>
          <t>AUTO</t>
        </is>
      </c>
      <c r="AJ65" t="inlineStr">
        <is>
          <t>Nej</t>
        </is>
      </c>
      <c r="AK65" t="inlineStr"/>
      <c r="AL65" t="inlineStr"/>
      <c r="AM65" t="inlineStr"/>
      <c r="AN65" t="inlineStr"/>
      <c r="AO65" t="inlineStr">
        <is>
          <t>cmm4yumxa005ecuqwd2rfqss7</t>
        </is>
      </c>
      <c r="AP65" t="inlineStr">
        <is>
          <t>http://localhost:8787/api/admin/requirements/documents/cmm4yumxa005ecuqwd2rfqss7/view</t>
        </is>
      </c>
      <c r="AQ65">
        <f>HYPERLÄNK("http://localhost:8787/api/admin/requirements/documents/cmm4yumxa005ecuqwd2rfqss7/view";"Öppna PDF")</f>
        <v/>
      </c>
      <c r="AR65">
        <f>HYPERLINK("http://localhost:8787/api/admin/requirements/documents/cmm4yumxa005ecuqwd2rfqss7/view","Open PDF")</f>
        <v/>
      </c>
      <c r="AS65" t="inlineStr">
        <is>
          <t>cmm55w57p0004cuisfrtpqly8</t>
        </is>
      </c>
      <c r="AT65" t="inlineStr">
        <is>
          <t>cmm4xvu980000cuh4vj0usz09</t>
        </is>
      </c>
      <c r="AU65" t="inlineStr">
        <is>
          <t>Västerviks</t>
        </is>
      </c>
      <c r="AV65" t="inlineStr">
        <is>
          <t>Kommun</t>
        </is>
      </c>
      <c r="AW65" t="inlineStr">
        <is>
          <t>Västerviks kommun</t>
        </is>
      </c>
      <c r="AX65" t="inlineStr">
        <is>
          <t>2024-05</t>
        </is>
      </c>
      <c r="AY65" t="inlineStr">
        <is>
          <t>Anmalan</t>
        </is>
      </c>
      <c r="AZ65" t="inlineStr">
        <is>
          <t>2026-02-02</t>
        </is>
      </c>
      <c r="BA65" t="inlineStr">
        <is>
          <t>2024-786 Anmälan.pdf</t>
        </is>
      </c>
      <c r="BB65" t="inlineStr">
        <is>
          <t>Sv: till registrator</t>
        </is>
      </c>
      <c r="BC65" t="inlineStr">
        <is>
          <t>AUTO</t>
        </is>
      </c>
      <c r="BD65" t="inlineStr"/>
      <c r="BE65" t="inlineStr"/>
      <c r="BF65" t="inlineStr">
        <is>
          <t>AUTO_GENERERAD. Bekrafta metadata mot kallfil.</t>
        </is>
      </c>
      <c r="BG65">
        <f>HYPERLINK("C:\Users\jimmy\Desktop\Examens arbete\Kod\Ny mapp\remix_-copy-of-miljöbeslut.se-portal\2024-786 Anmälan.pdf", "Öppna PDF")</f>
        <v/>
      </c>
    </row>
    <row r="66">
      <c r="A66" t="inlineStr">
        <is>
          <t>KRAV-AUTO-000065</t>
        </is>
      </c>
      <c r="B66" t="inlineStr">
        <is>
          <t>ADMIN-INDEX-2026-02-27-00000000125C043F57453246863FE664CAFE6A3F0700950291EA24F0614FB6ACEDB12BF0E31D00000000010C0000950291EA24F0614FB6ACEDB12BF0E31D00002087B5EE0000</t>
        </is>
      </c>
      <c r="C66" t="inlineStr">
        <is>
          <t>cmm4yumvf003qcuqwql1iswbe</t>
        </is>
      </c>
      <c r="D66" t="inlineStr">
        <is>
          <t>http://localhost:8787/api/admin/requirements/documents/cmm4yumvf003qcuqwql1iswbe/view</t>
        </is>
      </c>
      <c r="E66">
        <f>HYPERLÄNK("http://localhost:8787/api/admin/requirements/documents/cmm4yumvf003qcuqwql1iswbe/view";"Öppna PDF")</f>
        <v/>
      </c>
      <c r="F66">
        <f>HYPERLINK("http://localhost:8787/api/admin/requirements/documents/cmm4yumvf003qcuqwql1iswbe/view","Open PDF")</f>
        <v/>
      </c>
      <c r="G66" t="inlineStr">
        <is>
          <t>cmm55w57p0004cuisfrtpqly8</t>
        </is>
      </c>
      <c r="H66" t="inlineStr">
        <is>
          <t>Beslutsvillkor</t>
        </is>
      </c>
      <c r="I66" t="inlineStr">
        <is>
          <t>MiljopaverkanForsiktighet</t>
        </is>
      </c>
      <c r="J66" t="inlineStr">
        <is>
          <t>Skyddsatgarder</t>
        </is>
      </c>
      <c r="K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
        </is>
      </c>
      <c r="M66" t="inlineStr">
        <is>
          <t>SKA</t>
        </is>
      </c>
      <c r="N66" t="inlineStr"/>
      <c r="O66" t="inlineStr"/>
      <c r="P66" t="inlineStr"/>
      <c r="Q66" t="inlineStr"/>
      <c r="R66" t="inlineStr">
        <is>
          <t>Alltid</t>
        </is>
      </c>
      <c r="S66" t="inlineStr"/>
      <c r="T66" t="inlineStr">
        <is>
          <t>556469</t>
        </is>
      </c>
      <c r="U66" t="inlineStr"/>
      <c r="V66" t="inlineStr"/>
      <c r="W66" t="inlineStr">
        <is>
          <t>Nej</t>
        </is>
      </c>
      <c r="X66" t="inlineStr">
        <is>
          <t>Nej</t>
        </is>
      </c>
      <c r="Y66" t="inlineStr">
        <is>
          <t>Nej</t>
        </is>
      </c>
      <c r="Z66" t="inlineStr">
        <is>
          <t>Nej</t>
        </is>
      </c>
      <c r="AA66" t="n">
        <v>10</v>
      </c>
      <c r="AB66" t="inlineStr">
        <is>
          <t>Miljopaverkan och forsiktighetsmatt</t>
        </is>
      </c>
      <c r="AC66" t="inlineStr">
        <is>
          <t>Miljo-PM</t>
        </is>
      </c>
      <c r="AD66" t="inlineStr">
        <is>
          <t>Nej</t>
        </is>
      </c>
      <c r="AE66" t="inlineStr">
        <is>
          <t>Nej</t>
        </is>
      </c>
      <c r="AF66" t="inlineStr">
        <is>
          <t>Ej behandlad</t>
        </is>
      </c>
      <c r="AG66" t="inlineStr">
        <is>
          <t>AUTO_GENERERAD. Verifiera citat mot kallfil.</t>
        </is>
      </c>
      <c r="AH66" t="inlineStr">
        <is>
          <t>MEDIUM</t>
        </is>
      </c>
      <c r="AI66" t="inlineStr">
        <is>
          <t>AUTO</t>
        </is>
      </c>
      <c r="AJ66" t="inlineStr">
        <is>
          <t>Nej</t>
        </is>
      </c>
      <c r="AK66" t="inlineStr"/>
      <c r="AL66" t="inlineStr"/>
      <c r="AM66" t="inlineStr"/>
      <c r="AN66" t="inlineStr"/>
      <c r="AO66" t="inlineStr">
        <is>
          <t>cmm4yumvp003zcuqwqxlxa6rl</t>
        </is>
      </c>
      <c r="AP66" t="inlineStr">
        <is>
          <t>http://localhost:8787/api/admin/requirements/documents/cmm4yumvp003zcuqwqxlxa6rl/view</t>
        </is>
      </c>
      <c r="AQ66">
        <f>HYPERLÄNK("http://localhost:8787/api/admin/requirements/documents/cmm4yumvp003zcuqwqxlxa6rl/view";"Öppna PDF")</f>
        <v/>
      </c>
      <c r="AR66">
        <f>HYPERLINK("http://localhost:8787/api/admin/requirements/documents/cmm4yumvp003zcuqwqxlxa6rl/view","Open PDF")</f>
        <v/>
      </c>
      <c r="AS66" t="inlineStr">
        <is>
          <t>cmm55w57p0004cuisfrtpqly8</t>
        </is>
      </c>
      <c r="AT66" t="inlineStr">
        <is>
          <t>cmm4xvu980000cuh4vj0usz09</t>
        </is>
      </c>
      <c r="AU66" t="inlineStr">
        <is>
          <t>i Haparanda</t>
        </is>
      </c>
      <c r="AV66" t="inlineStr">
        <is>
          <t>Kommun</t>
        </is>
      </c>
      <c r="AW66" t="inlineStr">
        <is>
          <t>i Haparanda kommun</t>
        </is>
      </c>
      <c r="AX66" t="inlineStr">
        <is>
          <t>2025-12</t>
        </is>
      </c>
      <c r="AY66" t="inlineStr">
        <is>
          <t>Anmalan</t>
        </is>
      </c>
      <c r="AZ66" t="inlineStr">
        <is>
          <t>2026-02-02</t>
        </is>
      </c>
      <c r="BA66" t="inlineStr">
        <is>
          <t>Sbn-2025-457-Beslut anmälan om miljöfarlig verksamhet.pdf</t>
        </is>
      </c>
      <c r="BB66" t="inlineStr">
        <is>
          <t>Förfrågan C-verksamheter</t>
        </is>
      </c>
      <c r="BC66" t="inlineStr">
        <is>
          <t>AUTO</t>
        </is>
      </c>
      <c r="BD66" t="inlineStr"/>
      <c r="BE66" t="inlineStr"/>
      <c r="BF66" t="inlineStr">
        <is>
          <t>AUTO_GENERERAD. Bekrafta metadata mot kallfil.</t>
        </is>
      </c>
      <c r="BG66">
        <f>HYPERLINK("C:\Users\jimmy\Desktop\Examens arbete\Kod\Ny mapp\remix_-copy-of-miljöbeslut.se-portal\Sbn-2025-457-Beslut anmälan om miljöfarlig verksamhet.pdf", "Öppna PDF")</f>
        <v/>
      </c>
    </row>
    <row r="67">
      <c r="A67" t="inlineStr">
        <is>
          <t>KRAV-AUTO-000066</t>
        </is>
      </c>
      <c r="B67" t="inlineStr">
        <is>
          <t>ADMIN-INDEX-2026-02-27-00000000125C043F57453246863FE664CAFE6A3F0700950291EA24F0614FB6ACEDB12BF0E31D00000000010C0000950291EA24F0614FB6ACEDB12BF0E31D00002087B1E10000</t>
        </is>
      </c>
      <c r="C67" t="inlineStr">
        <is>
          <t>cmm4yumwt004zcuqwyk3bvtfw</t>
        </is>
      </c>
      <c r="D67" t="inlineStr">
        <is>
          <t>http://localhost:8787/api/admin/requirements/documents/cmm4yumwt004zcuqwyk3bvtfw/view</t>
        </is>
      </c>
      <c r="E67">
        <f>HYPERLÄNK("http://localhost:8787/api/admin/requirements/documents/cmm4yumwt004zcuqwyk3bvtfw/view";"Öppna PDF")</f>
        <v/>
      </c>
      <c r="F67">
        <f>HYPERLINK("http://localhost:8787/api/admin/requirements/documents/cmm4yumwt004zcuqwyk3bvtfw/view","Open PDF")</f>
        <v/>
      </c>
      <c r="G67" t="inlineStr">
        <is>
          <t>cmm55w57p0004cuisfrtpqly8</t>
        </is>
      </c>
      <c r="H67" t="inlineStr">
        <is>
          <t>Informationskrav</t>
        </is>
      </c>
      <c r="I67" t="inlineStr">
        <is>
          <t>DagvattenLakvatten</t>
        </is>
      </c>
      <c r="J67" t="inlineStr">
        <is>
          <t>Uppsamling</t>
        </is>
      </c>
      <c r="K67" t="inlineStr">
        <is>
          <t>Allt avfall som används ska vara ”rent” och får inte innehålla några föroreningar som kan innebära att föroreningsrisken inte endast är ringa.</t>
        </is>
      </c>
      <c r="L67" t="inlineStr">
        <is>
          <t>Allt avfall som används ska vara ”rent” och får inte innehålla några föroreningar som kan innebära att föroreningsrisken inte endast är ringa.</t>
        </is>
      </c>
      <c r="M67" t="inlineStr">
        <is>
          <t>SKA</t>
        </is>
      </c>
      <c r="N67" t="inlineStr"/>
      <c r="O67" t="inlineStr"/>
      <c r="P67" t="inlineStr"/>
      <c r="Q67" t="inlineStr">
        <is>
          <t>Driftbegransning vid avvikelse</t>
        </is>
      </c>
      <c r="R67" t="inlineStr">
        <is>
          <t>Vid nederbord och avrinning</t>
        </is>
      </c>
      <c r="S67" t="inlineStr"/>
      <c r="T67" t="inlineStr">
        <is>
          <t>02 2024</t>
        </is>
      </c>
      <c r="U67" t="inlineStr"/>
      <c r="V67" t="inlineStr"/>
      <c r="W67" t="inlineStr">
        <is>
          <t>Nej</t>
        </is>
      </c>
      <c r="X67" t="inlineStr">
        <is>
          <t>Ja</t>
        </is>
      </c>
      <c r="Y67" t="inlineStr">
        <is>
          <t>Ja</t>
        </is>
      </c>
      <c r="Z67" t="inlineStr">
        <is>
          <t>Nej</t>
        </is>
      </c>
      <c r="AA67" t="n">
        <v>6</v>
      </c>
      <c r="AB67" t="inlineStr">
        <is>
          <t>Lakvattenhantering</t>
        </is>
      </c>
      <c r="AC67" t="inlineStr">
        <is>
          <t>Flodesschema dagvatten-lakvatten</t>
        </is>
      </c>
      <c r="AD67" t="inlineStr">
        <is>
          <t>Nej</t>
        </is>
      </c>
      <c r="AE67" t="inlineStr">
        <is>
          <t>Nej</t>
        </is>
      </c>
      <c r="AF67" t="inlineStr">
        <is>
          <t>Ej behandlad</t>
        </is>
      </c>
      <c r="AG67" t="inlineStr">
        <is>
          <t>AUTO_GENERERAD. Verifiera citat mot kallfil.</t>
        </is>
      </c>
      <c r="AH67" t="inlineStr">
        <is>
          <t>MEDIUM</t>
        </is>
      </c>
      <c r="AI67" t="inlineStr">
        <is>
          <t>AUTO</t>
        </is>
      </c>
      <c r="AJ67" t="inlineStr">
        <is>
          <t>Nej</t>
        </is>
      </c>
      <c r="AK67" t="inlineStr"/>
      <c r="AL67" t="inlineStr"/>
      <c r="AM67" t="inlineStr"/>
      <c r="AN67" t="inlineStr"/>
      <c r="AO67" t="inlineStr">
        <is>
          <t>cmm4yumxa005ecuqwd2rfqss7</t>
        </is>
      </c>
      <c r="AP67" t="inlineStr">
        <is>
          <t>http://localhost:8787/api/admin/requirements/documents/cmm4yumxa005ecuqwd2rfqss7/view</t>
        </is>
      </c>
      <c r="AQ67">
        <f>HYPERLÄNK("http://localhost:8787/api/admin/requirements/documents/cmm4yumxa005ecuqwd2rfqss7/view";"Öppna PDF")</f>
        <v/>
      </c>
      <c r="AR67">
        <f>HYPERLINK("http://localhost:8787/api/admin/requirements/documents/cmm4yumxa005ecuqwd2rfqss7/view","Open PDF")</f>
        <v/>
      </c>
      <c r="AS67" t="inlineStr">
        <is>
          <t>cmm55w57p0004cuisfrtpqly8</t>
        </is>
      </c>
      <c r="AT67" t="inlineStr">
        <is>
          <t>cmm4xvu980000cuh4vj0usz09</t>
        </is>
      </c>
      <c r="AU67" t="inlineStr">
        <is>
          <t>Västerviks</t>
        </is>
      </c>
      <c r="AV67" t="inlineStr">
        <is>
          <t>Kommun</t>
        </is>
      </c>
      <c r="AW67" t="inlineStr">
        <is>
          <t>Västerviks kommun</t>
        </is>
      </c>
      <c r="AX67" t="inlineStr">
        <is>
          <t>2024-05</t>
        </is>
      </c>
      <c r="AY67" t="inlineStr">
        <is>
          <t>Anmalan</t>
        </is>
      </c>
      <c r="AZ67" t="inlineStr">
        <is>
          <t>2026-02-02</t>
        </is>
      </c>
      <c r="BA67" t="inlineStr">
        <is>
          <t>2024-786 Anmälan.pdf</t>
        </is>
      </c>
      <c r="BB67" t="inlineStr">
        <is>
          <t>Sv: till registrator</t>
        </is>
      </c>
      <c r="BC67" t="inlineStr">
        <is>
          <t>AUTO</t>
        </is>
      </c>
      <c r="BD67" t="inlineStr"/>
      <c r="BE67" t="inlineStr"/>
      <c r="BF67" t="inlineStr">
        <is>
          <t>AUTO_GENERERAD. Bekrafta metadata mot kallfil.</t>
        </is>
      </c>
      <c r="BG67">
        <f>HYPERLINK("C:\Users\jimmy\Desktop\Examens arbete\Kod\Ny mapp\remix_-copy-of-miljöbeslut.se-portal\2024-786 Anmälan.pdf", "Öppna PDF")</f>
        <v/>
      </c>
    </row>
    <row r="68">
      <c r="A68" t="inlineStr">
        <is>
          <t>KRAV-AUTO-000067</t>
        </is>
      </c>
      <c r="B68" t="inlineStr">
        <is>
          <t>ADMIN-INDEX-2026-02-27-00000000125C043F57453246863FE664CAFE6A3F0700950291EA24F0614FB6ACEDB12BF0E31D00000000010C0000950291EA24F0614FB6ACEDB12BF0E31D00002087B1E10000</t>
        </is>
      </c>
      <c r="C68" t="inlineStr">
        <is>
          <t>cmm4yumwt004zcuqwyk3bvtfw</t>
        </is>
      </c>
      <c r="D68" t="inlineStr">
        <is>
          <t>http://localhost:8787/api/admin/requirements/documents/cmm4yumwt004zcuqwyk3bvtfw/view</t>
        </is>
      </c>
      <c r="E68">
        <f>HYPERLÄNK("http://localhost:8787/api/admin/requirements/documents/cmm4yumwt004zcuqwyk3bvtfw/view";"Öppna PDF")</f>
        <v/>
      </c>
      <c r="F68">
        <f>HYPERLINK("http://localhost:8787/api/admin/requirements/documents/cmm4yumwt004zcuqwyk3bvtfw/view","Open PDF")</f>
        <v/>
      </c>
      <c r="G68" t="inlineStr">
        <is>
          <t>cmm55w57p0004cuisfrtpqly8</t>
        </is>
      </c>
      <c r="H68" t="inlineStr">
        <is>
          <t>Informationskrav</t>
        </is>
      </c>
      <c r="I68" t="inlineStr">
        <is>
          <t>Ytkonstruktion</t>
        </is>
      </c>
      <c r="J68" t="inlineStr">
        <is>
          <t>Tat yta</t>
        </is>
      </c>
      <c r="K68" t="inlineStr">
        <is>
          <t>• Om det använda avfallet behöver flyttas bort i framtiden ska det omhändertas på en godkänd avfallsanläggning eller användas för anläggningsändamål på annan plats efter anmälan till tillsynsmyndigheten.</t>
        </is>
      </c>
      <c r="L68" t="inlineStr">
        <is>
          <t>• Om det använda avfallet behöver flyttas bort i framtiden ska det omhändertas på en godkänd avfallsanläggning eller användas för anläggningsändamål på annan plats efter anmälan till tillsynsmyndigheten.</t>
        </is>
      </c>
      <c r="M68" t="inlineStr">
        <is>
          <t>SKA</t>
        </is>
      </c>
      <c r="N68" t="inlineStr"/>
      <c r="O68" t="inlineStr"/>
      <c r="P68" t="inlineStr"/>
      <c r="Q68" t="inlineStr"/>
      <c r="R68" t="inlineStr">
        <is>
          <t>Vid mellanlagring av avfall</t>
        </is>
      </c>
      <c r="S68" t="inlineStr"/>
      <c r="T68" t="inlineStr">
        <is>
          <t>02 2024</t>
        </is>
      </c>
      <c r="U68" t="inlineStr"/>
      <c r="V68" t="inlineStr"/>
      <c r="W68" t="inlineStr">
        <is>
          <t>Ja</t>
        </is>
      </c>
      <c r="X68" t="inlineStr">
        <is>
          <t>Nej</t>
        </is>
      </c>
      <c r="Y68" t="inlineStr">
        <is>
          <t>Nej</t>
        </is>
      </c>
      <c r="Z68" t="inlineStr">
        <is>
          <t>Nej</t>
        </is>
      </c>
      <c r="AA68" t="n">
        <v>5</v>
      </c>
      <c r="AB68" t="inlineStr">
        <is>
          <t>Teknisk beskrivning av platta</t>
        </is>
      </c>
      <c r="AC68" t="inlineStr">
        <is>
          <t>Teknisk ritning platta</t>
        </is>
      </c>
      <c r="AD68" t="inlineStr">
        <is>
          <t>Nej</t>
        </is>
      </c>
      <c r="AE68" t="inlineStr">
        <is>
          <t>Nej</t>
        </is>
      </c>
      <c r="AF68" t="inlineStr">
        <is>
          <t>Ej behandlad</t>
        </is>
      </c>
      <c r="AG68" t="inlineStr">
        <is>
          <t>AUTO_GENERERAD. Verifiera citat mot kallfil.</t>
        </is>
      </c>
      <c r="AH68" t="inlineStr">
        <is>
          <t>MEDIUM</t>
        </is>
      </c>
      <c r="AI68" t="inlineStr">
        <is>
          <t>AUTO</t>
        </is>
      </c>
      <c r="AJ68" t="inlineStr">
        <is>
          <t>Nej</t>
        </is>
      </c>
      <c r="AK68" t="inlineStr"/>
      <c r="AL68" t="inlineStr"/>
      <c r="AM68" t="inlineStr"/>
      <c r="AN68" t="inlineStr"/>
      <c r="AO68" t="inlineStr">
        <is>
          <t>cmm4yumxa005ecuqwd2rfqss7</t>
        </is>
      </c>
      <c r="AP68" t="inlineStr">
        <is>
          <t>http://localhost:8787/api/admin/requirements/documents/cmm4yumxa005ecuqwd2rfqss7/view</t>
        </is>
      </c>
      <c r="AQ68">
        <f>HYPERLÄNK("http://localhost:8787/api/admin/requirements/documents/cmm4yumxa005ecuqwd2rfqss7/view";"Öppna PDF")</f>
        <v/>
      </c>
      <c r="AR68">
        <f>HYPERLINK("http://localhost:8787/api/admin/requirements/documents/cmm4yumxa005ecuqwd2rfqss7/view","Open PDF")</f>
        <v/>
      </c>
      <c r="AS68" t="inlineStr">
        <is>
          <t>cmm55w57p0004cuisfrtpqly8</t>
        </is>
      </c>
      <c r="AT68" t="inlineStr">
        <is>
          <t>cmm4xvu980000cuh4vj0usz09</t>
        </is>
      </c>
      <c r="AU68" t="inlineStr">
        <is>
          <t>Västerviks</t>
        </is>
      </c>
      <c r="AV68" t="inlineStr">
        <is>
          <t>Kommun</t>
        </is>
      </c>
      <c r="AW68" t="inlineStr">
        <is>
          <t>Västerviks kommun</t>
        </is>
      </c>
      <c r="AX68" t="inlineStr">
        <is>
          <t>2024-05</t>
        </is>
      </c>
      <c r="AY68" t="inlineStr">
        <is>
          <t>Anmalan</t>
        </is>
      </c>
      <c r="AZ68" t="inlineStr">
        <is>
          <t>2026-02-02</t>
        </is>
      </c>
      <c r="BA68" t="inlineStr">
        <is>
          <t>2024-786 Anmälan.pdf</t>
        </is>
      </c>
      <c r="BB68" t="inlineStr">
        <is>
          <t>Sv: till registrator</t>
        </is>
      </c>
      <c r="BC68" t="inlineStr">
        <is>
          <t>AUTO</t>
        </is>
      </c>
      <c r="BD68" t="inlineStr"/>
      <c r="BE68" t="inlineStr"/>
      <c r="BF68" t="inlineStr">
        <is>
          <t>AUTO_GENERERAD. Bekrafta metadata mot kallfil.</t>
        </is>
      </c>
      <c r="BG68">
        <f>HYPERLINK("C:\Users\jimmy\Desktop\Examens arbete\Kod\Ny mapp\remix_-copy-of-miljöbeslut.se-portal\2024-786 Anmälan.pdf", "Öppna PDF")</f>
        <v/>
      </c>
    </row>
    <row r="69">
      <c r="A69" t="inlineStr">
        <is>
          <t>KRAV-AUTO-000068</t>
        </is>
      </c>
      <c r="B69" t="inlineStr">
        <is>
          <t>ADMIN-INDEX-2026-02-27-00000000125C043F57453246863FE664CAFE6A3F0700950291EA24F0614FB6ACEDB12BF0E31D00000000010C0000950291EA24F0614FB6ACEDB12BF0E31D00002087B1E10000</t>
        </is>
      </c>
      <c r="C69" t="inlineStr">
        <is>
          <t>cmm4yumwt004zcuqwyk3bvtfw</t>
        </is>
      </c>
      <c r="D69" t="inlineStr">
        <is>
          <t>http://localhost:8787/api/admin/requirements/documents/cmm4yumwt004zcuqwyk3bvtfw/view</t>
        </is>
      </c>
      <c r="E69">
        <f>HYPERLÄNK("http://localhost:8787/api/admin/requirements/documents/cmm4yumwt004zcuqwyk3bvtfw/view";"Öppna PDF")</f>
        <v/>
      </c>
      <c r="F69">
        <f>HYPERLINK("http://localhost:8787/api/admin/requirements/documents/cmm4yumwt004zcuqwyk3bvtfw/view","Open PDF")</f>
        <v/>
      </c>
      <c r="G69" t="inlineStr">
        <is>
          <t>cmm55w57p0004cuisfrtpqly8</t>
        </is>
      </c>
      <c r="H69" t="inlineStr">
        <is>
          <t>Informationskrav</t>
        </is>
      </c>
      <c r="I69" t="inlineStr">
        <is>
          <t>DagvattenLakvatten</t>
        </is>
      </c>
      <c r="J69" t="inlineStr">
        <is>
          <t>Uppsamling</t>
        </is>
      </c>
      <c r="K69" t="inlineStr">
        <is>
          <t>Förutsättningarna för att avfallet ska få användas är att syftet är anläggningsändamål och föroreningsrisken är liten.</t>
        </is>
      </c>
      <c r="L69" t="inlineStr">
        <is>
          <t>Förutsättningarna för att avfallet ska få användas är att syftet är anläggningsändamål och föroreningsrisken är liten.</t>
        </is>
      </c>
      <c r="M69" t="inlineStr">
        <is>
          <t>SKA</t>
        </is>
      </c>
      <c r="N69" t="inlineStr"/>
      <c r="O69" t="inlineStr"/>
      <c r="P69" t="inlineStr"/>
      <c r="Q69" t="inlineStr"/>
      <c r="R69" t="inlineStr">
        <is>
          <t>Vid nederbord och avrinning</t>
        </is>
      </c>
      <c r="S69" t="inlineStr"/>
      <c r="T69" t="inlineStr">
        <is>
          <t>02 2024</t>
        </is>
      </c>
      <c r="U69" t="inlineStr"/>
      <c r="V69" t="inlineStr"/>
      <c r="W69" t="inlineStr">
        <is>
          <t>Nej</t>
        </is>
      </c>
      <c r="X69" t="inlineStr">
        <is>
          <t>Ja</t>
        </is>
      </c>
      <c r="Y69" t="inlineStr">
        <is>
          <t>Ja</t>
        </is>
      </c>
      <c r="Z69" t="inlineStr">
        <is>
          <t>Nej</t>
        </is>
      </c>
      <c r="AA69" t="n">
        <v>6</v>
      </c>
      <c r="AB69" t="inlineStr">
        <is>
          <t>Lakvattenhantering</t>
        </is>
      </c>
      <c r="AC69" t="inlineStr">
        <is>
          <t>Flodesschema dagvatten-lakvatten</t>
        </is>
      </c>
      <c r="AD69" t="inlineStr">
        <is>
          <t>Nej</t>
        </is>
      </c>
      <c r="AE69" t="inlineStr">
        <is>
          <t>Nej</t>
        </is>
      </c>
      <c r="AF69" t="inlineStr">
        <is>
          <t>Ej behandlad</t>
        </is>
      </c>
      <c r="AG69" t="inlineStr">
        <is>
          <t>AUTO_GENERERAD. Verifiera citat mot kallfil.</t>
        </is>
      </c>
      <c r="AH69" t="inlineStr">
        <is>
          <t>MEDIUM</t>
        </is>
      </c>
      <c r="AI69" t="inlineStr">
        <is>
          <t>AUTO</t>
        </is>
      </c>
      <c r="AJ69" t="inlineStr">
        <is>
          <t>Nej</t>
        </is>
      </c>
      <c r="AK69" t="inlineStr"/>
      <c r="AL69" t="inlineStr"/>
      <c r="AM69" t="inlineStr"/>
      <c r="AN69" t="inlineStr"/>
      <c r="AO69" t="inlineStr">
        <is>
          <t>cmm4yumxa005ecuqwd2rfqss7</t>
        </is>
      </c>
      <c r="AP69" t="inlineStr">
        <is>
          <t>http://localhost:8787/api/admin/requirements/documents/cmm4yumxa005ecuqwd2rfqss7/view</t>
        </is>
      </c>
      <c r="AQ69">
        <f>HYPERLÄNK("http://localhost:8787/api/admin/requirements/documents/cmm4yumxa005ecuqwd2rfqss7/view";"Öppna PDF")</f>
        <v/>
      </c>
      <c r="AR69">
        <f>HYPERLINK("http://localhost:8787/api/admin/requirements/documents/cmm4yumxa005ecuqwd2rfqss7/view","Open PDF")</f>
        <v/>
      </c>
      <c r="AS69" t="inlineStr">
        <is>
          <t>cmm55w57p0004cuisfrtpqly8</t>
        </is>
      </c>
      <c r="AT69" t="inlineStr">
        <is>
          <t>cmm4xvu980000cuh4vj0usz09</t>
        </is>
      </c>
      <c r="AU69" t="inlineStr">
        <is>
          <t>Västerviks</t>
        </is>
      </c>
      <c r="AV69" t="inlineStr">
        <is>
          <t>Kommun</t>
        </is>
      </c>
      <c r="AW69" t="inlineStr">
        <is>
          <t>Västerviks kommun</t>
        </is>
      </c>
      <c r="AX69" t="inlineStr">
        <is>
          <t>2024-05</t>
        </is>
      </c>
      <c r="AY69" t="inlineStr">
        <is>
          <t>Anmalan</t>
        </is>
      </c>
      <c r="AZ69" t="inlineStr">
        <is>
          <t>2026-02-02</t>
        </is>
      </c>
      <c r="BA69" t="inlineStr">
        <is>
          <t>2024-786 Anmälan.pdf</t>
        </is>
      </c>
      <c r="BB69" t="inlineStr">
        <is>
          <t>Sv: till registrator</t>
        </is>
      </c>
      <c r="BC69" t="inlineStr">
        <is>
          <t>AUTO</t>
        </is>
      </c>
      <c r="BD69" t="inlineStr"/>
      <c r="BE69" t="inlineStr"/>
      <c r="BF69" t="inlineStr">
        <is>
          <t>AUTO_GENERERAD. Bekrafta metadata mot kallfil.</t>
        </is>
      </c>
      <c r="BG69">
        <f>HYPERLINK("C:\Users\jimmy\Desktop\Examens arbete\Kod\Ny mapp\remix_-copy-of-miljöbeslut.se-portal\2024-786 Anmälan.pdf", "Öppna PDF")</f>
        <v/>
      </c>
    </row>
    <row r="70">
      <c r="A70" t="inlineStr">
        <is>
          <t>KRAV-AUTO-000069</t>
        </is>
      </c>
      <c r="B70" t="inlineStr">
        <is>
          <t>ADMIN-INDEX-2026-02-27-00000000125C043F57453246863FE664CAFE6A3F0700950291EA24F0614FB6ACEDB12BF0E31D00000000010C0000950291EA24F0614FB6ACEDB12BF0E31D00002087B1E10000</t>
        </is>
      </c>
      <c r="C70" t="inlineStr">
        <is>
          <t>cmm4yumxo005tcuqwriyqkzvz</t>
        </is>
      </c>
      <c r="D70" t="inlineStr">
        <is>
          <t>http://localhost:8787/api/admin/requirements/documents/cmm4yumxo005tcuqwriyqkzvz/view</t>
        </is>
      </c>
      <c r="E70">
        <f>HYPERLÄNK("http://localhost:8787/api/admin/requirements/documents/cmm4yumxo005tcuqwriyqkzvz/view";"Öppna PDF")</f>
        <v/>
      </c>
      <c r="F70">
        <f>HYPERLINK("http://localhost:8787/api/admin/requirements/documents/cmm4yumxo005tcuqwriyqkzvz/view","Open PDF")</f>
        <v/>
      </c>
      <c r="G70" t="inlineStr">
        <is>
          <t>cmm55w57p0004cuisfrtpqly8</t>
        </is>
      </c>
      <c r="H70" t="inlineStr">
        <is>
          <t>Informationskrav</t>
        </is>
      </c>
      <c r="I70" t="inlineStr">
        <is>
          <t>MiljopaverkanForsiktighet</t>
        </is>
      </c>
      <c r="J70" t="inlineStr">
        <is>
          <t>Skyddsatgarder</t>
        </is>
      </c>
      <c r="K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Västervik Västervik 3:1 – Förbud att anmäld miljöfarlig verksamhet inte får påbörjas förrän miljö- och byggnadsnämnden fattat beslut i ärendet Beslut Miljö- och byggnadsnämnden beslutar att den anmälda miljöfarliga verksamheten, i form av mellanlagring av massor från arbete på Stora Trädgårdsgatan, på fastigheten Västervik 3:1 tills vidare inte får påbörjas.</t>
        </is>
      </c>
      <c r="L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t>
        </is>
      </c>
      <c r="M70" t="inlineStr">
        <is>
          <t>BOR</t>
        </is>
      </c>
      <c r="N70" t="inlineStr">
        <is>
          <t>FMH</t>
        </is>
      </c>
      <c r="O70" t="inlineStr">
        <is>
          <t>2024-10-09</t>
        </is>
      </c>
      <c r="P70" t="inlineStr">
        <is>
          <t>Arlig</t>
        </is>
      </c>
      <c r="Q70" t="inlineStr">
        <is>
          <t>Forbud</t>
        </is>
      </c>
      <c r="R70" t="inlineStr">
        <is>
          <t>Alltid</t>
        </is>
      </c>
      <c r="S70" t="inlineStr"/>
      <c r="T70" t="inlineStr">
        <is>
          <t>09 2024</t>
        </is>
      </c>
      <c r="U70" t="inlineStr"/>
      <c r="V70" t="inlineStr"/>
      <c r="W70" t="inlineStr">
        <is>
          <t>Nej</t>
        </is>
      </c>
      <c r="X70" t="inlineStr">
        <is>
          <t>Nej</t>
        </is>
      </c>
      <c r="Y70" t="inlineStr">
        <is>
          <t>Nej</t>
        </is>
      </c>
      <c r="Z70" t="inlineStr">
        <is>
          <t>Nej</t>
        </is>
      </c>
      <c r="AA70" t="n">
        <v>10</v>
      </c>
      <c r="AB70" t="inlineStr">
        <is>
          <t>Miljopaverkan och forsiktighetsmatt</t>
        </is>
      </c>
      <c r="AC70" t="inlineStr">
        <is>
          <t>Miljo-PM</t>
        </is>
      </c>
      <c r="AD70" t="inlineStr">
        <is>
          <t>Nej</t>
        </is>
      </c>
      <c r="AE70" t="inlineStr">
        <is>
          <t>Nej</t>
        </is>
      </c>
      <c r="AF70" t="inlineStr">
        <is>
          <t>Ej behandlad</t>
        </is>
      </c>
      <c r="AG70" t="inlineStr">
        <is>
          <t>AUTO_GENERERAD. Verifiera citat mot kallfil.</t>
        </is>
      </c>
      <c r="AH70" t="inlineStr">
        <is>
          <t>HIGH</t>
        </is>
      </c>
      <c r="AI70" t="inlineStr">
        <is>
          <t>AUTO</t>
        </is>
      </c>
      <c r="AJ70" t="inlineStr">
        <is>
          <t>Nej</t>
        </is>
      </c>
      <c r="AK70" t="inlineStr"/>
      <c r="AL70" t="inlineStr"/>
      <c r="AM70" t="inlineStr"/>
      <c r="AN70" t="inlineStr"/>
      <c r="AO70" t="inlineStr">
        <is>
          <t>cmm4yumxa005ecuqwd2rfqss7</t>
        </is>
      </c>
      <c r="AP70" t="inlineStr">
        <is>
          <t>http://localhost:8787/api/admin/requirements/documents/cmm4yumxa005ecuqwd2rfqss7/view</t>
        </is>
      </c>
      <c r="AQ70">
        <f>HYPERLÄNK("http://localhost:8787/api/admin/requirements/documents/cmm4yumxa005ecuqwd2rfqss7/view";"Öppna PDF")</f>
        <v/>
      </c>
      <c r="AR70">
        <f>HYPERLINK("http://localhost:8787/api/admin/requirements/documents/cmm4yumxa005ecuqwd2rfqss7/view","Open PDF")</f>
        <v/>
      </c>
      <c r="AS70" t="inlineStr">
        <is>
          <t>cmm55w57p0004cuisfrtpqly8</t>
        </is>
      </c>
      <c r="AT70" t="inlineStr">
        <is>
          <t>cmm4xvu980000cuh4vj0usz09</t>
        </is>
      </c>
      <c r="AU70" t="inlineStr">
        <is>
          <t>Västerviks</t>
        </is>
      </c>
      <c r="AV70" t="inlineStr">
        <is>
          <t>Kommun</t>
        </is>
      </c>
      <c r="AW70" t="inlineStr">
        <is>
          <t>Västerviks kommun</t>
        </is>
      </c>
      <c r="AX70" t="inlineStr">
        <is>
          <t>2024-05</t>
        </is>
      </c>
      <c r="AY70" t="inlineStr">
        <is>
          <t>Anmalan</t>
        </is>
      </c>
      <c r="AZ70" t="inlineStr">
        <is>
          <t>2026-02-02</t>
        </is>
      </c>
      <c r="BA70" t="inlineStr">
        <is>
          <t>2024-786 Anmälan.pdf</t>
        </is>
      </c>
      <c r="BB70" t="inlineStr">
        <is>
          <t>Sv: till registrator</t>
        </is>
      </c>
      <c r="BC70" t="inlineStr">
        <is>
          <t>AUTO</t>
        </is>
      </c>
      <c r="BD70" t="inlineStr"/>
      <c r="BE70" t="inlineStr"/>
      <c r="BF70" t="inlineStr">
        <is>
          <t>AUTO_GENERERAD. Bekrafta metadata mot kallfil.</t>
        </is>
      </c>
      <c r="BG70">
        <f>HYPERLINK("C:\Users\jimmy\Desktop\Examens arbete\Kod\Ny mapp\remix_-copy-of-miljöbeslut.se-portal\2024-786 Anmälan.pdf", "Öppna PDF")</f>
        <v/>
      </c>
    </row>
    <row r="71">
      <c r="A71" t="inlineStr">
        <is>
          <t>KRAV-AUTO-000070</t>
        </is>
      </c>
      <c r="B71" t="inlineStr">
        <is>
          <t>ADMIN-INDEX-2026-02-27-00000000125C043F57453246863FE664CAFE6A3F0700950291EA24F0614FB6ACEDB12BF0E31D00000000010C0000950291EA24F0614FB6ACEDB12BF0E31D00002087B1DD0000</t>
        </is>
      </c>
      <c r="C71" t="inlineStr">
        <is>
          <t>cmm4yumy00065cuqwb9q5fm5z</t>
        </is>
      </c>
      <c r="D71" t="inlineStr">
        <is>
          <t>http://localhost:8787/api/admin/requirements/documents/cmm4yumy00065cuqwb9q5fm5z/view</t>
        </is>
      </c>
      <c r="E71">
        <f>HYPERLÄNK("http://localhost:8787/api/admin/requirements/documents/cmm4yumy00065cuqwb9q5fm5z/view";"Öppna PDF")</f>
        <v/>
      </c>
      <c r="F71">
        <f>HYPERLINK("http://localhost:8787/api/admin/requirements/documents/cmm4yumy00065cuqwb9q5fm5z/view","Open PDF")</f>
        <v/>
      </c>
      <c r="G71" t="inlineStr">
        <is>
          <t>cmm55w57p0004cuisfrtpqly8</t>
        </is>
      </c>
      <c r="H71" t="inlineStr">
        <is>
          <t>Beslutsvillkor</t>
        </is>
      </c>
      <c r="I71" t="inlineStr">
        <is>
          <t>Riskhantering</t>
        </is>
      </c>
      <c r="J71" t="inlineStr">
        <is>
          <t>Riskkontroll</t>
        </is>
      </c>
      <c r="K71" t="inlineStr">
        <is>
          <t>Det organiska och brännbara avfallet som lämnas på plats riskerar att orsaka lukter till närboende.</t>
        </is>
      </c>
      <c r="L71" t="inlineStr">
        <is>
          <t>Det organiska och brännbara avfallet som lämnas på plats riskerar att orsaka lukter till närboende.</t>
        </is>
      </c>
      <c r="M71" t="inlineStr">
        <is>
          <t>SKA</t>
        </is>
      </c>
      <c r="N71" t="inlineStr"/>
      <c r="O71" t="inlineStr"/>
      <c r="P71" t="inlineStr"/>
      <c r="Q71" t="inlineStr"/>
      <c r="R71" t="inlineStr">
        <is>
          <t>Vid risk for incident</t>
        </is>
      </c>
      <c r="S71" t="inlineStr"/>
      <c r="T71" t="inlineStr"/>
      <c r="U71" t="inlineStr"/>
      <c r="V71" t="inlineStr"/>
      <c r="W71" t="inlineStr">
        <is>
          <t>Nej</t>
        </is>
      </c>
      <c r="X71" t="inlineStr">
        <is>
          <t>Nej</t>
        </is>
      </c>
      <c r="Y71" t="inlineStr">
        <is>
          <t>Ja</t>
        </is>
      </c>
      <c r="Z71" t="inlineStr">
        <is>
          <t>Ja</t>
        </is>
      </c>
      <c r="AA71" t="n">
        <v>8</v>
      </c>
      <c r="AB71" t="inlineStr">
        <is>
          <t>Riskhantering</t>
        </is>
      </c>
      <c r="AC71" t="inlineStr">
        <is>
          <t>Risk-PM</t>
        </is>
      </c>
      <c r="AD71" t="inlineStr">
        <is>
          <t>Nej</t>
        </is>
      </c>
      <c r="AE71" t="inlineStr">
        <is>
          <t>Nej</t>
        </is>
      </c>
      <c r="AF71" t="inlineStr">
        <is>
          <t>Ej behandlad</t>
        </is>
      </c>
      <c r="AG71" t="inlineStr">
        <is>
          <t>AUTO_GENERERAD. Verifiera citat mot kallfil.</t>
        </is>
      </c>
      <c r="AH71" t="inlineStr">
        <is>
          <t>MEDIUM</t>
        </is>
      </c>
      <c r="AI71" t="inlineStr">
        <is>
          <t>AUTO</t>
        </is>
      </c>
      <c r="AJ71" t="inlineStr">
        <is>
          <t>Nej</t>
        </is>
      </c>
      <c r="AK71" t="inlineStr"/>
      <c r="AL71" t="inlineStr"/>
      <c r="AM71" t="inlineStr"/>
      <c r="AN71" t="inlineStr"/>
      <c r="AO71" t="inlineStr">
        <is>
          <t>cmm4yumy7006ecuqwnx9sxuen</t>
        </is>
      </c>
      <c r="AP71" t="inlineStr">
        <is>
          <t>http://localhost:8787/api/admin/requirements/documents/cmm4yumy7006ecuqwnx9sxuen/view</t>
        </is>
      </c>
      <c r="AQ71">
        <f>HYPERLÄNK("http://localhost:8787/api/admin/requirements/documents/cmm4yumy7006ecuqwnx9sxuen/view";"Öppna PDF")</f>
        <v/>
      </c>
      <c r="AR71">
        <f>HYPERLINK("http://localhost:8787/api/admin/requirements/documents/cmm4yumy7006ecuqwnx9sxuen/view","Open PDF")</f>
        <v/>
      </c>
      <c r="AS71" t="inlineStr">
        <is>
          <t>cmm55w57p0004cuisfrtpqly8</t>
        </is>
      </c>
      <c r="AT71" t="inlineStr">
        <is>
          <t>cmm4xvu980000cuh4vj0usz09</t>
        </is>
      </c>
      <c r="AU71" t="inlineStr"/>
      <c r="AV71" t="inlineStr">
        <is>
          <t>Kommun</t>
        </is>
      </c>
      <c r="AW71" t="inlineStr"/>
      <c r="AX71" t="inlineStr">
        <is>
          <t>2024-06150267</t>
        </is>
      </c>
      <c r="AY71" t="inlineStr">
        <is>
          <t>Beslut</t>
        </is>
      </c>
      <c r="AZ71" t="inlineStr">
        <is>
          <t>2026-02-02</t>
        </is>
      </c>
      <c r="BA71" t="inlineStr">
        <is>
          <t>Deponi 1301_177-2024-06150267_01 (1).pdf</t>
        </is>
      </c>
      <c r="BB71" t="inlineStr">
        <is>
          <t>Re: till registrator</t>
        </is>
      </c>
      <c r="BC71" t="inlineStr">
        <is>
          <t>AUTO</t>
        </is>
      </c>
      <c r="BD71" t="inlineStr"/>
      <c r="BE71" t="inlineStr"/>
      <c r="BF71" t="inlineStr">
        <is>
          <t>AUTO_GENERERAD. Bekrafta metadata mot kallfil.</t>
        </is>
      </c>
      <c r="BG71">
        <f>HYPERLINK("C:\Users\jimmy\Desktop\Examens arbete\Kod\Ny mapp\remix_-copy-of-miljöbeslut.se-portal\Deponi 1301_177-2024-06150267_01 (1).pdf", "Öppna PDF")</f>
        <v/>
      </c>
    </row>
    <row r="72">
      <c r="A72" t="inlineStr">
        <is>
          <t>KRAV-AUTO-000071</t>
        </is>
      </c>
      <c r="B72" t="inlineStr">
        <is>
          <t>ADMIN-INDEX-2026-02-27-00000000125C043F57453246863FE664CAFE6A3F0700950291EA24F0614FB6ACEDB12BF0E31D00000000010C0000950291EA24F0614FB6ACEDB12BF0E31D00002087B1DD0000</t>
        </is>
      </c>
      <c r="C72" t="inlineStr">
        <is>
          <t>cmm4yumy00065cuqwb9q5fm5z</t>
        </is>
      </c>
      <c r="D72" t="inlineStr">
        <is>
          <t>http://localhost:8787/api/admin/requirements/documents/cmm4yumy00065cuqwb9q5fm5z/view</t>
        </is>
      </c>
      <c r="E72">
        <f>HYPERLÄNK("http://localhost:8787/api/admin/requirements/documents/cmm4yumy00065cuqwb9q5fm5z/view";"Öppna PDF")</f>
        <v/>
      </c>
      <c r="F72">
        <f>HYPERLINK("http://localhost:8787/api/admin/requirements/documents/cmm4yumy00065cuqwb9q5fm5z/view","Open PDF")</f>
        <v/>
      </c>
      <c r="G72" t="inlineStr">
        <is>
          <t>cmm55w57p0004cuisfrtpqly8</t>
        </is>
      </c>
      <c r="H72" t="inlineStr">
        <is>
          <t>Beslutsvillkor</t>
        </is>
      </c>
      <c r="I72" t="inlineStr">
        <is>
          <t>MiljopaverkanForsiktighet</t>
        </is>
      </c>
      <c r="J72" t="inlineStr">
        <is>
          <t>Skyddsatgarder</t>
        </is>
      </c>
      <c r="K72" t="inlineStr">
        <is>
          <t>Uppgifter om det farliga avfallet registreras i Naturvårdsverkets elektroniska register.</t>
        </is>
      </c>
      <c r="L72" t="inlineStr">
        <is>
          <t>Uppgifter om det farliga avfallet registreras i Naturvårdsverkets elektroniska register.</t>
        </is>
      </c>
      <c r="M72" t="inlineStr">
        <is>
          <t>SKA</t>
        </is>
      </c>
      <c r="N72" t="inlineStr">
        <is>
          <t>Naturvardsverket</t>
        </is>
      </c>
      <c r="O72" t="inlineStr"/>
      <c r="P72" t="inlineStr">
        <is>
          <t>Arlig</t>
        </is>
      </c>
      <c r="Q72" t="inlineStr"/>
      <c r="R72" t="inlineStr">
        <is>
          <t>Alltid</t>
        </is>
      </c>
      <c r="S72" t="inlineStr"/>
      <c r="T72" t="inlineStr"/>
      <c r="U72" t="inlineStr"/>
      <c r="V72" t="inlineStr"/>
      <c r="W72" t="inlineStr">
        <is>
          <t>Nej</t>
        </is>
      </c>
      <c r="X72" t="inlineStr">
        <is>
          <t>Nej</t>
        </is>
      </c>
      <c r="Y72" t="inlineStr">
        <is>
          <t>Nej</t>
        </is>
      </c>
      <c r="Z72" t="inlineStr">
        <is>
          <t>Nej</t>
        </is>
      </c>
      <c r="AA72" t="n">
        <v>10</v>
      </c>
      <c r="AB72" t="inlineStr">
        <is>
          <t>Miljopaverkan och forsiktighetsmatt</t>
        </is>
      </c>
      <c r="AC72" t="inlineStr">
        <is>
          <t>Miljo-PM</t>
        </is>
      </c>
      <c r="AD72" t="inlineStr">
        <is>
          <t>Nej</t>
        </is>
      </c>
      <c r="AE72" t="inlineStr">
        <is>
          <t>Nej</t>
        </is>
      </c>
      <c r="AF72" t="inlineStr">
        <is>
          <t>Ej behandlad</t>
        </is>
      </c>
      <c r="AG72" t="inlineStr">
        <is>
          <t>AUTO_GENERERAD. Verifiera citat mot kallfil.</t>
        </is>
      </c>
      <c r="AH72" t="inlineStr">
        <is>
          <t>HIGH</t>
        </is>
      </c>
      <c r="AI72" t="inlineStr">
        <is>
          <t>AUTO</t>
        </is>
      </c>
      <c r="AJ72" t="inlineStr">
        <is>
          <t>Nej</t>
        </is>
      </c>
      <c r="AK72" t="inlineStr"/>
      <c r="AL72" t="inlineStr"/>
      <c r="AM72" t="inlineStr"/>
      <c r="AN72" t="inlineStr"/>
      <c r="AO72" t="inlineStr">
        <is>
          <t>cmm4yumy7006ecuqwnx9sxuen</t>
        </is>
      </c>
      <c r="AP72" t="inlineStr">
        <is>
          <t>http://localhost:8787/api/admin/requirements/documents/cmm4yumy7006ecuqwnx9sxuen/view</t>
        </is>
      </c>
      <c r="AQ72">
        <f>HYPERLÄNK("http://localhost:8787/api/admin/requirements/documents/cmm4yumy7006ecuqwnx9sxuen/view";"Öppna PDF")</f>
        <v/>
      </c>
      <c r="AR72">
        <f>HYPERLINK("http://localhost:8787/api/admin/requirements/documents/cmm4yumy7006ecuqwnx9sxuen/view","Open PDF")</f>
        <v/>
      </c>
      <c r="AS72" t="inlineStr">
        <is>
          <t>cmm55w57p0004cuisfrtpqly8</t>
        </is>
      </c>
      <c r="AT72" t="inlineStr">
        <is>
          <t>cmm4xvu980000cuh4vj0usz09</t>
        </is>
      </c>
      <c r="AU72" t="inlineStr"/>
      <c r="AV72" t="inlineStr">
        <is>
          <t>Kommun</t>
        </is>
      </c>
      <c r="AW72" t="inlineStr"/>
      <c r="AX72" t="inlineStr">
        <is>
          <t>2024-06150267</t>
        </is>
      </c>
      <c r="AY72" t="inlineStr">
        <is>
          <t>Beslut</t>
        </is>
      </c>
      <c r="AZ72" t="inlineStr">
        <is>
          <t>2026-02-02</t>
        </is>
      </c>
      <c r="BA72" t="inlineStr">
        <is>
          <t>Deponi 1301_177-2024-06150267_01 (1).pdf</t>
        </is>
      </c>
      <c r="BB72" t="inlineStr">
        <is>
          <t>Re: till registrator</t>
        </is>
      </c>
      <c r="BC72" t="inlineStr">
        <is>
          <t>AUTO</t>
        </is>
      </c>
      <c r="BD72" t="inlineStr"/>
      <c r="BE72" t="inlineStr"/>
      <c r="BF72" t="inlineStr">
        <is>
          <t>AUTO_GENERERAD. Bekrafta metadata mot kallfil.</t>
        </is>
      </c>
      <c r="BG72">
        <f>HYPERLINK("C:\Users\jimmy\Desktop\Examens arbete\Kod\Ny mapp\remix_-copy-of-miljöbeslut.se-portal\Deponi 1301_177-2024-06150267_01 (1).pdf", "Öppna PDF")</f>
        <v/>
      </c>
    </row>
    <row r="73">
      <c r="A73" t="inlineStr">
        <is>
          <t>KRAV-AUTO-000072</t>
        </is>
      </c>
      <c r="B73" t="inlineStr">
        <is>
          <t>ADMIN-INDEX-2026-02-27-00000000125C043F57453246863FE664CAFE6A3F0700950291EA24F0614FB6ACEDB12BF0E31D00000000010C0000950291EA24F0614FB6ACEDB12BF0E31D00002087B5F30000</t>
        </is>
      </c>
      <c r="C73" t="inlineStr">
        <is>
          <t>cmm4yumv4003hcuqw0spjrgud</t>
        </is>
      </c>
      <c r="D73" t="inlineStr">
        <is>
          <t>http://localhost:8787/api/admin/requirements/documents/cmm4yumv4003hcuqw0spjrgud/view</t>
        </is>
      </c>
      <c r="E73">
        <f>HYPERLÄNK("http://localhost:8787/api/admin/requirements/documents/cmm4yumv4003hcuqw0spjrgud/view";"Öppna PDF")</f>
        <v/>
      </c>
      <c r="F73">
        <f>HYPERLINK("http://localhost:8787/api/admin/requirements/documents/cmm4yumv4003hcuqw0spjrgud/view","Open PDF")</f>
        <v/>
      </c>
      <c r="G73" t="inlineStr">
        <is>
          <t>cmm55w57p0004cuisfrtpqly8</t>
        </is>
      </c>
      <c r="H73" t="inlineStr">
        <is>
          <t>Beslutsvillkor</t>
        </is>
      </c>
      <c r="I73" t="inlineStr">
        <is>
          <t>MiljopaverkanForsiktighet</t>
        </is>
      </c>
      <c r="J73" t="inlineStr">
        <is>
          <t>Skyddsatgarder</t>
        </is>
      </c>
      <c r="K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&lt;nike.handel@heidelbergmaterials.com&gt; Ämne: Sv: 0840-106 Hej Nike Enligt 43§ i Naturvårdsverkets föreskrifter NFS 2004:10 om deponering, kriterier och förfaranden för mottagning av avfall vid anläggningar för deponering av avfall så ska sättningar i deponin mätas årligen under deponins aktiva fas.</t>
        </is>
      </c>
      <c r="L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t>
        </is>
      </c>
      <c r="M73" t="inlineStr">
        <is>
          <t>SKA</t>
        </is>
      </c>
      <c r="N73" t="inlineStr">
        <is>
          <t>Naturvardsverket</t>
        </is>
      </c>
      <c r="O73" t="inlineStr">
        <is>
          <t>2026-01-26</t>
        </is>
      </c>
      <c r="P73" t="inlineStr">
        <is>
          <t>Arlig</t>
        </is>
      </c>
      <c r="Q73" t="inlineStr"/>
      <c r="R73" t="inlineStr">
        <is>
          <t>Alltid</t>
        </is>
      </c>
      <c r="S73" t="inlineStr"/>
      <c r="T73" t="inlineStr">
        <is>
          <t>2025 13</t>
        </is>
      </c>
      <c r="U73" t="inlineStr"/>
      <c r="V73" t="inlineStr"/>
      <c r="W73" t="inlineStr">
        <is>
          <t>Nej</t>
        </is>
      </c>
      <c r="X73" t="inlineStr">
        <is>
          <t>Nej</t>
        </is>
      </c>
      <c r="Y73" t="inlineStr">
        <is>
          <t>Nej</t>
        </is>
      </c>
      <c r="Z73" t="inlineStr">
        <is>
          <t>Nej</t>
        </is>
      </c>
      <c r="AA73" t="n">
        <v>10</v>
      </c>
      <c r="AB73" t="inlineStr">
        <is>
          <t>Miljopaverkan och forsiktighetsmatt</t>
        </is>
      </c>
      <c r="AC73" t="inlineStr">
        <is>
          <t>Miljo-PM</t>
        </is>
      </c>
      <c r="AD73" t="inlineStr">
        <is>
          <t>Nej</t>
        </is>
      </c>
      <c r="AE73" t="inlineStr">
        <is>
          <t>Nej</t>
        </is>
      </c>
      <c r="AF73" t="inlineStr">
        <is>
          <t>Ej behandlad</t>
        </is>
      </c>
      <c r="AG73" t="inlineStr">
        <is>
          <t>AUTO_GENERERAD. Verifiera citat mot kallfil.</t>
        </is>
      </c>
      <c r="AH73" t="inlineStr">
        <is>
          <t>MEDIUM</t>
        </is>
      </c>
      <c r="AI73" t="inlineStr">
        <is>
          <t>AUTO</t>
        </is>
      </c>
      <c r="AJ73" t="inlineStr">
        <is>
          <t>Nej</t>
        </is>
      </c>
      <c r="AK73" t="inlineStr"/>
      <c r="AL73" t="inlineStr"/>
      <c r="AM73" t="inlineStr"/>
      <c r="AN73" t="inlineStr"/>
      <c r="AO73" t="inlineStr">
        <is>
          <t>cmm4yumv4003hcuqw0spjrgud</t>
        </is>
      </c>
      <c r="AP73" t="inlineStr">
        <is>
          <t>http://localhost:8787/api/admin/requirements/documents/cmm4yumv4003hcuqw0spjrgud/view</t>
        </is>
      </c>
      <c r="AQ73">
        <f>HYPERLÄNK("http://localhost:8787/api/admin/requirements/documents/cmm4yumv4003hcuqw0spjrgud/view";"Öppna PDF")</f>
        <v/>
      </c>
      <c r="AR73">
        <f>HYPERLINK("http://localhost:8787/api/admin/requirements/documents/cmm4yumv4003hcuqw0spjrgud/view","Open PDF")</f>
        <v/>
      </c>
      <c r="AS73" t="inlineStr">
        <is>
          <t>cmm55w57p0004cuisfrtpqly8</t>
        </is>
      </c>
      <c r="AT73" t="inlineStr">
        <is>
          <t>cmm4xvu980000cuh4vj0usz09</t>
        </is>
      </c>
      <c r="AU73" t="inlineStr"/>
      <c r="AV73" t="inlineStr">
        <is>
          <t>Kommun</t>
        </is>
      </c>
      <c r="AW73" t="inlineStr"/>
      <c r="AX73" t="inlineStr">
        <is>
          <t>2026-01</t>
        </is>
      </c>
      <c r="AY73" t="inlineStr">
        <is>
          <t>Beslut</t>
        </is>
      </c>
      <c r="AZ73" t="inlineStr">
        <is>
          <t>2026-02-02</t>
        </is>
      </c>
      <c r="BA73" t="inlineStr">
        <is>
          <t>MBN-2026-126-Övrigt-0840-106.pdf</t>
        </is>
      </c>
      <c r="BB73" t="inlineStr">
        <is>
          <t>VB: till registrator</t>
        </is>
      </c>
      <c r="BC73" t="inlineStr">
        <is>
          <t>AUTO</t>
        </is>
      </c>
      <c r="BD73" t="inlineStr"/>
      <c r="BE73" t="inlineStr"/>
      <c r="BF73" t="inlineStr">
        <is>
          <t>AUTO_GENERERAD. Bekrafta metadata mot kallfil.</t>
        </is>
      </c>
      <c r="BG73">
        <f>HYPERLINK("C:\Users\jimmy\Desktop\Examens arbete\Kod\Ny mapp\remix_-copy-of-miljöbeslut.se-portal\MBN-2026-126-Övrigt-0840-106.pdf", "Öppna PDF")</f>
        <v/>
      </c>
    </row>
    <row r="74">
      <c r="A74" t="inlineStr">
        <is>
          <t>KRAV-AUTO-000073</t>
        </is>
      </c>
      <c r="B74" t="inlineStr">
        <is>
          <t>ADMIN-INDEX-2026-02-27-00000000125C043F57453246863FE664CAFE6A3F0700950291EA24F0614FB6ACEDB12BF0E31D00000000010C0000950291EA24F0614FB6ACEDB12BF0E31D00002087B7B90000</t>
        </is>
      </c>
      <c r="C74" t="inlineStr">
        <is>
          <t>cmm4yumue002wcuqwf5lxobhn</t>
        </is>
      </c>
      <c r="D74" t="inlineStr">
        <is>
          <t>http://localhost:8787/api/admin/requirements/documents/cmm4yumue002wcuqwf5lxobhn/view</t>
        </is>
      </c>
      <c r="E74">
        <f>HYPERLÄNK("http://localhost:8787/api/admin/requirements/documents/cmm4yumue002wcuqwf5lxobhn/view";"Öppna PDF")</f>
        <v/>
      </c>
      <c r="F74">
        <f>HYPERLINK("http://localhost:8787/api/admin/requirements/documents/cmm4yumue002wcuqwf5lxobhn/view","Open PDF")</f>
        <v/>
      </c>
      <c r="G74" t="inlineStr">
        <is>
          <t>cmm55w57p0004cuisfrtpqly8</t>
        </is>
      </c>
      <c r="H74" t="inlineStr">
        <is>
          <t>Kompletteringskrav</t>
        </is>
      </c>
      <c r="I74" t="inlineStr">
        <is>
          <t>DagvattenLakvatten</t>
        </is>
      </c>
      <c r="J74" t="inlineStr">
        <is>
          <t>Uppsamling</t>
        </is>
      </c>
      <c r="K74" t="inlineStr">
        <is>
          <t>För att inte lagringen ska riskera bidra till ett tillskott av näringsämnen och andra ämnen till omkringliggande åkermark, bör lagringen ske så att avrinning av bildat näringsrikt lakvatten minimeras.</t>
        </is>
      </c>
      <c r="L74" t="inlineStr">
        <is>
          <t>För att inte lagringen ska riskera bidra till ett tillskott av näringsämnen och andra ämnen till omkringliggande åkermark, bör lagringen ske så att avrinning av bildat näringsrikt lakvatten minimeras.</t>
        </is>
      </c>
      <c r="M74" t="inlineStr">
        <is>
          <t>SKA</t>
        </is>
      </c>
      <c r="N74" t="inlineStr"/>
      <c r="O74" t="inlineStr"/>
      <c r="P74" t="inlineStr"/>
      <c r="Q74" t="inlineStr"/>
      <c r="R74" t="inlineStr">
        <is>
          <t>Vid nederbord och avrinning</t>
        </is>
      </c>
      <c r="S74" t="inlineStr"/>
      <c r="T74" t="inlineStr">
        <is>
          <t>212000</t>
        </is>
      </c>
      <c r="U74" t="inlineStr"/>
      <c r="V74" t="inlineStr"/>
      <c r="W74" t="inlineStr">
        <is>
          <t>Nej</t>
        </is>
      </c>
      <c r="X74" t="inlineStr">
        <is>
          <t>Ja</t>
        </is>
      </c>
      <c r="Y74" t="inlineStr">
        <is>
          <t>Ja</t>
        </is>
      </c>
      <c r="Z74" t="inlineStr">
        <is>
          <t>Nej</t>
        </is>
      </c>
      <c r="AA74" t="n">
        <v>6</v>
      </c>
      <c r="AB74" t="inlineStr">
        <is>
          <t>Lakvattenhantering</t>
        </is>
      </c>
      <c r="AC74" t="inlineStr">
        <is>
          <t>Flodesschema dagvatten-lakvatten</t>
        </is>
      </c>
      <c r="AD74" t="inlineStr">
        <is>
          <t>Nej</t>
        </is>
      </c>
      <c r="AE74" t="inlineStr">
        <is>
          <t>Nej</t>
        </is>
      </c>
      <c r="AF74" t="inlineStr">
        <is>
          <t>Ej behandlad</t>
        </is>
      </c>
      <c r="AG74" t="inlineStr">
        <is>
          <t>AUTO_GENERERAD. Verifiera citat mot kallfil.</t>
        </is>
      </c>
      <c r="AH74" t="inlineStr">
        <is>
          <t>MEDIUM</t>
        </is>
      </c>
      <c r="AI74" t="inlineStr">
        <is>
          <t>AUTO</t>
        </is>
      </c>
      <c r="AJ74" t="inlineStr">
        <is>
          <t>Nej</t>
        </is>
      </c>
      <c r="AK74" t="inlineStr"/>
      <c r="AL74" t="inlineStr"/>
      <c r="AM74" t="inlineStr"/>
      <c r="AN74" t="inlineStr"/>
      <c r="AO74" t="inlineStr">
        <is>
          <t>cmm4yumue002wcuqwf5lxobhn</t>
        </is>
      </c>
      <c r="AP74" t="inlineStr">
        <is>
          <t>http://localhost:8787/api/admin/requirements/documents/cmm4yumue002wcuqwf5lxobhn/view</t>
        </is>
      </c>
      <c r="AQ74">
        <f>HYPERLÄNK("http://localhost:8787/api/admin/requirements/documents/cmm4yumue002wcuqwf5lxobhn/view";"Öppna PDF")</f>
        <v/>
      </c>
      <c r="AR74">
        <f>HYPERLINK("http://localhost:8787/api/admin/requirements/documents/cmm4yumue002wcuqwf5lxobhn/view","Open PDF")</f>
        <v/>
      </c>
      <c r="AS74" t="inlineStr">
        <is>
          <t>cmm55w57p0004cuisfrtpqly8</t>
        </is>
      </c>
      <c r="AT74" t="inlineStr">
        <is>
          <t>cmm4xvu980000cuh4vj0usz09</t>
        </is>
      </c>
      <c r="AU74" t="inlineStr">
        <is>
          <t>pdf Karlstads</t>
        </is>
      </c>
      <c r="AV74" t="inlineStr">
        <is>
          <t>Kommun</t>
        </is>
      </c>
      <c r="AW74" t="inlineStr">
        <is>
          <t>pdf Karlstads kommun</t>
        </is>
      </c>
      <c r="AX74" t="inlineStr">
        <is>
          <t>2025-12</t>
        </is>
      </c>
      <c r="AY74" t="inlineStr">
        <is>
          <t>Forelaggande</t>
        </is>
      </c>
      <c r="AZ74" t="inlineStr">
        <is>
          <t>2026-02-02</t>
        </is>
      </c>
      <c r="BA74" t="inlineStr">
        <is>
          <t>MIL Föreläggande försiktighetsåtgärder (3).pdf</t>
        </is>
      </c>
      <c r="BB74" t="inlineStr">
        <is>
          <t>Ang. Begäran om utlämnande av allmän handling – Anmälningar och beslut rörande mellanlagring av avfall samt anläggning av ytor</t>
        </is>
      </c>
      <c r="BC74" t="inlineStr">
        <is>
          <t>AUTO</t>
        </is>
      </c>
      <c r="BD74" t="inlineStr"/>
      <c r="BE74" t="inlineStr"/>
      <c r="BF74" t="inlineStr">
        <is>
          <t>AUTO_GENERERAD. Bekrafta metadata mot kallfil.</t>
        </is>
      </c>
      <c r="BG74">
        <f>HYPERLINK("C:\Users\jimmy\Desktop\Examens arbete\Kod\Ny mapp\remix_-copy-of-miljöbeslut.se-portal\MIL Föreläggande försiktighetsåtgärder (3).pdf", "Öppna PDF")</f>
        <v/>
      </c>
    </row>
    <row r="75">
      <c r="A75" t="inlineStr">
        <is>
          <t>KRAV-AUTO-000074</t>
        </is>
      </c>
      <c r="B75" t="inlineStr">
        <is>
          <t>ADMIN-INDEX-2026-02-27-00000000125C043F57453246863FE664CAFE6A3F0700950291EA24F0614FB6ACEDB12BF0E31D00000000010C0000950291EA24F0614FB6ACEDB12BF0E31D00002087B7B90000</t>
        </is>
      </c>
      <c r="C75" t="inlineStr">
        <is>
          <t>cmm4yumue002wcuqwf5lxobhn</t>
        </is>
      </c>
      <c r="D75" t="inlineStr">
        <is>
          <t>http://localhost:8787/api/admin/requirements/documents/cmm4yumue002wcuqwf5lxobhn/view</t>
        </is>
      </c>
      <c r="E75">
        <f>HYPERLÄNK("http://localhost:8787/api/admin/requirements/documents/cmm4yumue002wcuqwf5lxobhn/view";"Öppna PDF")</f>
        <v/>
      </c>
      <c r="F75">
        <f>HYPERLINK("http://localhost:8787/api/admin/requirements/documents/cmm4yumue002wcuqwf5lxobhn/view","Open PDF")</f>
        <v/>
      </c>
      <c r="G75" t="inlineStr">
        <is>
          <t>cmm55w57p0004cuisfrtpqly8</t>
        </is>
      </c>
      <c r="H75" t="inlineStr">
        <is>
          <t>Kompletteringskrav</t>
        </is>
      </c>
      <c r="I75" t="inlineStr">
        <is>
          <t>MiljopaverkanForsiktighet</t>
        </is>
      </c>
      <c r="J75" t="inlineStr">
        <is>
          <t>Skyddsatgarder</t>
        </is>
      </c>
      <c r="K75" t="inlineStr">
        <is>
          <t>Avfallet får enligt denna punkt inte mellanlagras under längre tid än ett år innan det bortskaffas, eller under längre tid än tre år innan det behandlas eller återvinns.</t>
        </is>
      </c>
      <c r="L75" t="inlineStr">
        <is>
          <t>Avfallet får enligt denna punkt inte mellanlagras under längre tid än ett år innan det bortskaffas, eller under längre tid än tre år innan det behandlas eller återvinns.</t>
        </is>
      </c>
      <c r="M75" t="inlineStr">
        <is>
          <t>SKA</t>
        </is>
      </c>
      <c r="N75" t="inlineStr"/>
      <c r="O75" t="inlineStr"/>
      <c r="P75" t="inlineStr"/>
      <c r="Q75" t="inlineStr"/>
      <c r="R75" t="inlineStr">
        <is>
          <t>Alltid</t>
        </is>
      </c>
      <c r="S75" t="inlineStr"/>
      <c r="T75" t="inlineStr">
        <is>
          <t>212000</t>
        </is>
      </c>
      <c r="U75" t="inlineStr"/>
      <c r="V75" t="inlineStr"/>
      <c r="W75" t="inlineStr">
        <is>
          <t>Nej</t>
        </is>
      </c>
      <c r="X75" t="inlineStr">
        <is>
          <t>Nej</t>
        </is>
      </c>
      <c r="Y75" t="inlineStr">
        <is>
          <t>Nej</t>
        </is>
      </c>
      <c r="Z75" t="inlineStr">
        <is>
          <t>Nej</t>
        </is>
      </c>
      <c r="AA75" t="n">
        <v>10</v>
      </c>
      <c r="AB75" t="inlineStr">
        <is>
          <t>Miljopaverkan och forsiktighetsmatt</t>
        </is>
      </c>
      <c r="AC75" t="inlineStr">
        <is>
          <t>Miljo-PM</t>
        </is>
      </c>
      <c r="AD75" t="inlineStr">
        <is>
          <t>Nej</t>
        </is>
      </c>
      <c r="AE75" t="inlineStr">
        <is>
          <t>Nej</t>
        </is>
      </c>
      <c r="AF75" t="inlineStr">
        <is>
          <t>Ej behandlad</t>
        </is>
      </c>
      <c r="AG75" t="inlineStr">
        <is>
          <t>AUTO_GENERERAD. Verifiera citat mot kallfil.</t>
        </is>
      </c>
      <c r="AH75" t="inlineStr">
        <is>
          <t>MEDIUM</t>
        </is>
      </c>
      <c r="AI75" t="inlineStr">
        <is>
          <t>AUTO</t>
        </is>
      </c>
      <c r="AJ75" t="inlineStr">
        <is>
          <t>Nej</t>
        </is>
      </c>
      <c r="AK75" t="inlineStr"/>
      <c r="AL75" t="inlineStr"/>
      <c r="AM75" t="inlineStr"/>
      <c r="AN75" t="inlineStr"/>
      <c r="AO75" t="inlineStr">
        <is>
          <t>cmm4yumue002wcuqwf5lxobhn</t>
        </is>
      </c>
      <c r="AP75" t="inlineStr">
        <is>
          <t>http://localhost:8787/api/admin/requirements/documents/cmm4yumue002wcuqwf5lxobhn/view</t>
        </is>
      </c>
      <c r="AQ75">
        <f>HYPERLÄNK("http://localhost:8787/api/admin/requirements/documents/cmm4yumue002wcuqwf5lxobhn/view";"Öppna PDF")</f>
        <v/>
      </c>
      <c r="AR75">
        <f>HYPERLINK("http://localhost:8787/api/admin/requirements/documents/cmm4yumue002wcuqwf5lxobhn/view","Open PDF")</f>
        <v/>
      </c>
      <c r="AS75" t="inlineStr">
        <is>
          <t>cmm55w57p0004cuisfrtpqly8</t>
        </is>
      </c>
      <c r="AT75" t="inlineStr">
        <is>
          <t>cmm4xvu980000cuh4vj0usz09</t>
        </is>
      </c>
      <c r="AU75" t="inlineStr">
        <is>
          <t>pdf Karlstads</t>
        </is>
      </c>
      <c r="AV75" t="inlineStr">
        <is>
          <t>Kommun</t>
        </is>
      </c>
      <c r="AW75" t="inlineStr">
        <is>
          <t>pdf Karlstads kommun</t>
        </is>
      </c>
      <c r="AX75" t="inlineStr">
        <is>
          <t>2025-12</t>
        </is>
      </c>
      <c r="AY75" t="inlineStr">
        <is>
          <t>Forelaggande</t>
        </is>
      </c>
      <c r="AZ75" t="inlineStr">
        <is>
          <t>2026-02-02</t>
        </is>
      </c>
      <c r="BA75" t="inlineStr">
        <is>
          <t>MIL Föreläggande försiktighetsåtgärder (3).pdf</t>
        </is>
      </c>
      <c r="BB75" t="inlineStr">
        <is>
          <t>Ang. Begäran om utlämnande av allmän handling – Anmälningar och beslut rörande mellanlagring av avfall samt anläggning av ytor</t>
        </is>
      </c>
      <c r="BC75" t="inlineStr">
        <is>
          <t>AUTO</t>
        </is>
      </c>
      <c r="BD75" t="inlineStr"/>
      <c r="BE75" t="inlineStr"/>
      <c r="BF75" t="inlineStr">
        <is>
          <t>AUTO_GENERERAD. Bekrafta metadata mot kallfil.</t>
        </is>
      </c>
      <c r="BG75">
        <f>HYPERLINK("C:\Users\jimmy\Desktop\Examens arbete\Kod\Ny mapp\remix_-copy-of-miljöbeslut.se-portal\MIL Föreläggande försiktighetsåtgärder (3).pdf", "Öppna PDF")</f>
        <v/>
      </c>
    </row>
    <row r="76">
      <c r="A76" t="inlineStr">
        <is>
          <t>KRAV-AUTO-000075</t>
        </is>
      </c>
      <c r="B76" t="inlineStr">
        <is>
          <t>ADMIN-INDEX-2026-02-27-00000000125C043F57453246863FE664CAFE6A3F0700950291EA24F0614FB6ACEDB12BF0E31D00000000010C0000950291EA24F0614FB6ACEDB12BF0E31D00002087B7B90000</t>
        </is>
      </c>
      <c r="C76" t="inlineStr">
        <is>
          <t>cmm4yumue002wcuqwf5lxobhn</t>
        </is>
      </c>
      <c r="D76" t="inlineStr">
        <is>
          <t>http://localhost:8787/api/admin/requirements/documents/cmm4yumue002wcuqwf5lxobhn/view</t>
        </is>
      </c>
      <c r="E76">
        <f>HYPERLÄNK("http://localhost:8787/api/admin/requirements/documents/cmm4yumue002wcuqwf5lxobhn/view";"Öppna PDF")</f>
        <v/>
      </c>
      <c r="F76">
        <f>HYPERLINK("http://localhost:8787/api/admin/requirements/documents/cmm4yumue002wcuqwf5lxobhn/view","Open PDF")</f>
        <v/>
      </c>
      <c r="G76" t="inlineStr">
        <is>
          <t>cmm55w57p0004cuisfrtpqly8</t>
        </is>
      </c>
      <c r="H76" t="inlineStr">
        <is>
          <t>Kompletteringskrav</t>
        </is>
      </c>
      <c r="I76" t="inlineStr">
        <is>
          <t>DagvattenLakvatten</t>
        </is>
      </c>
      <c r="J76" t="inlineStr">
        <is>
          <t>Uppsamling</t>
        </is>
      </c>
      <c r="K76" t="inlineStr">
        <is>
          <t>Lagringsplatsen ska utformas och slam lagras på så sätt att lakvatten undviks att hamna utanför lagringsplatsen.</t>
        </is>
      </c>
      <c r="L76" t="inlineStr">
        <is>
          <t>Lagringsplatsen ska utformas och slam lagras på så sätt att lakvatten undviks att hamna utanför lagringsplatsen.</t>
        </is>
      </c>
      <c r="M76" t="inlineStr">
        <is>
          <t>SKA</t>
        </is>
      </c>
      <c r="N76" t="inlineStr"/>
      <c r="O76" t="inlineStr"/>
      <c r="P76" t="inlineStr"/>
      <c r="Q76" t="inlineStr"/>
      <c r="R76" t="inlineStr">
        <is>
          <t>Vid nederbord och avrinning</t>
        </is>
      </c>
      <c r="S76" t="inlineStr"/>
      <c r="T76" t="inlineStr">
        <is>
          <t>212000</t>
        </is>
      </c>
      <c r="U76" t="inlineStr"/>
      <c r="V76" t="inlineStr"/>
      <c r="W76" t="inlineStr">
        <is>
          <t>Nej</t>
        </is>
      </c>
      <c r="X76" t="inlineStr">
        <is>
          <t>Ja</t>
        </is>
      </c>
      <c r="Y76" t="inlineStr">
        <is>
          <t>Ja</t>
        </is>
      </c>
      <c r="Z76" t="inlineStr">
        <is>
          <t>Nej</t>
        </is>
      </c>
      <c r="AA76" t="n">
        <v>6</v>
      </c>
      <c r="AB76" t="inlineStr">
        <is>
          <t>Lakvattenhantering</t>
        </is>
      </c>
      <c r="AC76" t="inlineStr">
        <is>
          <t>Flodesschema dagvatten-lakvatten</t>
        </is>
      </c>
      <c r="AD76" t="inlineStr">
        <is>
          <t>Nej</t>
        </is>
      </c>
      <c r="AE76" t="inlineStr">
        <is>
          <t>Nej</t>
        </is>
      </c>
      <c r="AF76" t="inlineStr">
        <is>
          <t>Ej behandlad</t>
        </is>
      </c>
      <c r="AG76" t="inlineStr">
        <is>
          <t>AUTO_GENERERAD. Verifiera citat mot kallfil.</t>
        </is>
      </c>
      <c r="AH76" t="inlineStr">
        <is>
          <t>MEDIUM</t>
        </is>
      </c>
      <c r="AI76" t="inlineStr">
        <is>
          <t>AUTO</t>
        </is>
      </c>
      <c r="AJ76" t="inlineStr">
        <is>
          <t>Nej</t>
        </is>
      </c>
      <c r="AK76" t="inlineStr"/>
      <c r="AL76" t="inlineStr"/>
      <c r="AM76" t="inlineStr"/>
      <c r="AN76" t="inlineStr"/>
      <c r="AO76" t="inlineStr">
        <is>
          <t>cmm4yumue002wcuqwf5lxobhn</t>
        </is>
      </c>
      <c r="AP76" t="inlineStr">
        <is>
          <t>http://localhost:8787/api/admin/requirements/documents/cmm4yumue002wcuqwf5lxobhn/view</t>
        </is>
      </c>
      <c r="AQ76">
        <f>HYPERLÄNK("http://localhost:8787/api/admin/requirements/documents/cmm4yumue002wcuqwf5lxobhn/view";"Öppna PDF")</f>
        <v/>
      </c>
      <c r="AR76">
        <f>HYPERLINK("http://localhost:8787/api/admin/requirements/documents/cmm4yumue002wcuqwf5lxobhn/view","Open PDF")</f>
        <v/>
      </c>
      <c r="AS76" t="inlineStr">
        <is>
          <t>cmm55w57p0004cuisfrtpqly8</t>
        </is>
      </c>
      <c r="AT76" t="inlineStr">
        <is>
          <t>cmm4xvu980000cuh4vj0usz09</t>
        </is>
      </c>
      <c r="AU76" t="inlineStr">
        <is>
          <t>pdf Karlstads</t>
        </is>
      </c>
      <c r="AV76" t="inlineStr">
        <is>
          <t>Kommun</t>
        </is>
      </c>
      <c r="AW76" t="inlineStr">
        <is>
          <t>pdf Karlstads kommun</t>
        </is>
      </c>
      <c r="AX76" t="inlineStr">
        <is>
          <t>2025-12</t>
        </is>
      </c>
      <c r="AY76" t="inlineStr">
        <is>
          <t>Forelaggande</t>
        </is>
      </c>
      <c r="AZ76" t="inlineStr">
        <is>
          <t>2026-02-02</t>
        </is>
      </c>
      <c r="BA76" t="inlineStr">
        <is>
          <t>MIL Föreläggande försiktighetsåtgärder (3).pdf</t>
        </is>
      </c>
      <c r="BB76" t="inlineStr">
        <is>
          <t>Ang. Begäran om utlämnande av allmän handling – Anmälningar och beslut rörande mellanlagring av avfall samt anläggning av ytor</t>
        </is>
      </c>
      <c r="BC76" t="inlineStr">
        <is>
          <t>AUTO</t>
        </is>
      </c>
      <c r="BD76" t="inlineStr"/>
      <c r="BE76" t="inlineStr"/>
      <c r="BF76" t="inlineStr">
        <is>
          <t>AUTO_GENERERAD. Bekrafta metadata mot kallfil.</t>
        </is>
      </c>
      <c r="BG76">
        <f>HYPERLINK("C:\Users\jimmy\Desktop\Examens arbete\Kod\Ny mapp\remix_-copy-of-miljöbeslut.se-portal\MIL Föreläggande försiktighetsåtgärder (3).pdf", "Öppna PDF")</f>
        <v/>
      </c>
    </row>
    <row r="77">
      <c r="A77" t="inlineStr">
        <is>
          <t>KRAV-AUTO-000076</t>
        </is>
      </c>
      <c r="B77" t="inlineStr">
        <is>
          <t>ADMIN-INDEX-2026-02-27-00000000125C043F57453246863FE664CAFE6A3F0700950291EA24F0614FB6ACEDB12BF0E31D00000000010C0000950291EA24F0614FB6ACEDB12BF0E31D00002087B7B90000</t>
        </is>
      </c>
      <c r="C77" t="inlineStr">
        <is>
          <t>cmm4yumu7002qcuqwgspvpbfl</t>
        </is>
      </c>
      <c r="D77" t="inlineStr">
        <is>
          <t>http://localhost:8787/api/admin/requirements/documents/cmm4yumu7002qcuqwgspvpbfl/view</t>
        </is>
      </c>
      <c r="E77">
        <f>HYPERLÄNK("http://localhost:8787/api/admin/requirements/documents/cmm4yumu7002qcuqwgspvpbfl/view";"Öppna PDF")</f>
        <v/>
      </c>
      <c r="F77">
        <f>HYPERLINK("http://localhost:8787/api/admin/requirements/documents/cmm4yumu7002qcuqwgspvpbfl/view","Open PDF")</f>
        <v/>
      </c>
      <c r="G77" t="inlineStr">
        <is>
          <t>cmm55w57p0004cuisfrtpqly8</t>
        </is>
      </c>
      <c r="H77" t="inlineStr">
        <is>
          <t>Informationskrav</t>
        </is>
      </c>
      <c r="I77" t="inlineStr">
        <is>
          <t>LagringsvolymTid</t>
        </is>
      </c>
      <c r="J77" t="inlineStr">
        <is>
          <t>Maxmangd</t>
        </is>
      </c>
      <c r="K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exempelvis invalhiing, och så vidare) Uppkommer proccssavloppsl ätten från verksamheten?E] Ja 181Nq (Mcd prag ssavloppsvatten a\ scs a\lappsvzittcn som år direkt knutet till\crksai\lhct, exempelvis från en tvälthall) Mängd processavloppsvattcn(m'/år) (Uppskatta mängden om du inte har exakta uppgitEcr.</t>
        </is>
      </c>
      <c r="L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t>
        </is>
      </c>
      <c r="M77" t="inlineStr">
        <is>
          <t>SKA</t>
        </is>
      </c>
      <c r="N77" t="inlineStr">
        <is>
          <t>FMH</t>
        </is>
      </c>
      <c r="O77" t="inlineStr"/>
      <c r="P77" t="inlineStr">
        <is>
          <t>Arlig</t>
        </is>
      </c>
      <c r="Q77" t="inlineStr"/>
      <c r="R77" t="inlineStr">
        <is>
          <t>Alltid</t>
        </is>
      </c>
      <c r="S77" t="inlineStr"/>
      <c r="T77" t="inlineStr">
        <is>
          <t>559170</t>
        </is>
      </c>
      <c r="U77" t="inlineStr"/>
      <c r="V77" t="inlineStr"/>
      <c r="W77" t="inlineStr">
        <is>
          <t>Nej</t>
        </is>
      </c>
      <c r="X77" t="inlineStr">
        <is>
          <t>Nej</t>
        </is>
      </c>
      <c r="Y77" t="inlineStr">
        <is>
          <t>Nej</t>
        </is>
      </c>
      <c r="Z77" t="inlineStr">
        <is>
          <t>Nej</t>
        </is>
      </c>
      <c r="AA77" t="n">
        <v>4</v>
      </c>
      <c r="AB77" t="inlineStr">
        <is>
          <t>Avfallsmangder och lagringstid</t>
        </is>
      </c>
      <c r="AC77" t="inlineStr">
        <is>
          <t>Avfallsforteckning</t>
        </is>
      </c>
      <c r="AD77" t="inlineStr">
        <is>
          <t>Nej</t>
        </is>
      </c>
      <c r="AE77" t="inlineStr">
        <is>
          <t>Nej</t>
        </is>
      </c>
      <c r="AF77" t="inlineStr">
        <is>
          <t>Ej behandlad</t>
        </is>
      </c>
      <c r="AG77" t="inlineStr">
        <is>
          <t>AUTO_GENERERAD. Verifiera citat mot kallfil.</t>
        </is>
      </c>
      <c r="AH77" t="inlineStr">
        <is>
          <t>HIGH</t>
        </is>
      </c>
      <c r="AI77" t="inlineStr">
        <is>
          <t>AUTO</t>
        </is>
      </c>
      <c r="AJ77" t="inlineStr">
        <is>
          <t>Nej</t>
        </is>
      </c>
      <c r="AK77" t="inlineStr"/>
      <c r="AL77" t="inlineStr"/>
      <c r="AM77" t="inlineStr"/>
      <c r="AN77" t="inlineStr"/>
      <c r="AO77" t="inlineStr">
        <is>
          <t>cmm4yumue002wcuqwf5lxobhn</t>
        </is>
      </c>
      <c r="AP77" t="inlineStr">
        <is>
          <t>http://localhost:8787/api/admin/requirements/documents/cmm4yumue002wcuqwf5lxobhn/view</t>
        </is>
      </c>
      <c r="AQ77">
        <f>HYPERLÄNK("http://localhost:8787/api/admin/requirements/documents/cmm4yumue002wcuqwf5lxobhn/view";"Öppna PDF")</f>
        <v/>
      </c>
      <c r="AR77">
        <f>HYPERLINK("http://localhost:8787/api/admin/requirements/documents/cmm4yumue002wcuqwf5lxobhn/view","Open PDF")</f>
        <v/>
      </c>
      <c r="AS77" t="inlineStr">
        <is>
          <t>cmm55w57p0004cuisfrtpqly8</t>
        </is>
      </c>
      <c r="AT77" t="inlineStr">
        <is>
          <t>cmm4xvu980000cuh4vj0usz09</t>
        </is>
      </c>
      <c r="AU77" t="inlineStr">
        <is>
          <t>pdf Karlstads</t>
        </is>
      </c>
      <c r="AV77" t="inlineStr">
        <is>
          <t>Kommun</t>
        </is>
      </c>
      <c r="AW77" t="inlineStr">
        <is>
          <t>pdf Karlstads kommun</t>
        </is>
      </c>
      <c r="AX77" t="inlineStr">
        <is>
          <t>2025-12</t>
        </is>
      </c>
      <c r="AY77" t="inlineStr">
        <is>
          <t>Forelaggande</t>
        </is>
      </c>
      <c r="AZ77" t="inlineStr">
        <is>
          <t>2026-02-02</t>
        </is>
      </c>
      <c r="BA77" t="inlineStr">
        <is>
          <t>MIL Föreläggande försiktighetsåtgärder (3).pdf</t>
        </is>
      </c>
      <c r="BB77" t="inlineStr">
        <is>
          <t>Ang. Begäran om utlämnande av allmän handling – Anmälningar och beslut rörande mellanlagring av avfall samt anläggning av ytor</t>
        </is>
      </c>
      <c r="BC77" t="inlineStr">
        <is>
          <t>AUTO</t>
        </is>
      </c>
      <c r="BD77" t="inlineStr"/>
      <c r="BE77" t="inlineStr"/>
      <c r="BF77" t="inlineStr">
        <is>
          <t>AUTO_GENERERAD. Bekrafta metadata mot kallfil.</t>
        </is>
      </c>
      <c r="BG77">
        <f>HYPERLINK("C:\Users\jimmy\Desktop\Examens arbete\Kod\Ny mapp\remix_-copy-of-miljöbeslut.se-portal\MIL Föreläggande försiktighetsåtgärder (3).pdf", "Öppna PDF")</f>
        <v/>
      </c>
    </row>
    <row r="78">
      <c r="A78" t="inlineStr">
        <is>
          <t>KRAV-AUTO-000077</t>
        </is>
      </c>
      <c r="B78" t="inlineStr">
        <is>
          <t>ADMIN-INDEX-2026-02-27-00000000125C043F57453246863FE664CAFE6A3F0700950291EA24F0614FB6ACEDB12BF0E31D00000000010C0000950291EA24F0614FB6ACEDB12BF0E31D00002087B7B90000</t>
        </is>
      </c>
      <c r="C78" t="inlineStr">
        <is>
          <t>cmm4yumu7002qcuqwgspvpbfl</t>
        </is>
      </c>
      <c r="D78" t="inlineStr">
        <is>
          <t>http://localhost:8787/api/admin/requirements/documents/cmm4yumu7002qcuqwgspvpbfl/view</t>
        </is>
      </c>
      <c r="E78">
        <f>HYPERLÄNK("http://localhost:8787/api/admin/requirements/documents/cmm4yumu7002qcuqwgspvpbfl/view";"Öppna PDF")</f>
        <v/>
      </c>
      <c r="F78">
        <f>HYPERLINK("http://localhost:8787/api/admin/requirements/documents/cmm4yumu7002qcuqwgspvpbfl/view","Open PDF")</f>
        <v/>
      </c>
      <c r="G78" t="inlineStr">
        <is>
          <t>cmm55w57p0004cuisfrtpqly8</t>
        </is>
      </c>
      <c r="H78" t="inlineStr">
        <is>
          <t>Informationskrav</t>
        </is>
      </c>
      <c r="I78" t="inlineStr">
        <is>
          <t>MiljopaverkanForsiktighet</t>
        </is>
      </c>
      <c r="J78" t="inlineStr">
        <is>
          <t>Skyddsatgarder</t>
        </is>
      </c>
      <c r="K78" t="inlineStr">
        <is>
          <t>batterier, förbrukad absol, lösningsmedel, färgrester, tryckimpregnerat träavfallmcd mera Farligt avfallsom kan uppkomma i verksamheten Råvaror och kemiska produkter Hanrelas kemikalier?</t>
        </is>
      </c>
      <c r="L78" t="inlineStr">
        <is>
          <t>batterier, förbrukad absol, lösningsmedel, färgrester, tryckimpregnerat träavfallmcd mera Farligt avfallsom kan uppkomma i verksamheten Råvaror och kemiska produkter Hanrelas kemikalier?</t>
        </is>
      </c>
      <c r="M78" t="inlineStr">
        <is>
          <t>SKA</t>
        </is>
      </c>
      <c r="N78" t="inlineStr">
        <is>
          <t>FMH</t>
        </is>
      </c>
      <c r="O78" t="inlineStr"/>
      <c r="P78" t="inlineStr">
        <is>
          <t>Arlig</t>
        </is>
      </c>
      <c r="Q78" t="inlineStr"/>
      <c r="R78" t="inlineStr">
        <is>
          <t>Alltid</t>
        </is>
      </c>
      <c r="S78" t="inlineStr"/>
      <c r="T78" t="inlineStr">
        <is>
          <t>559170</t>
        </is>
      </c>
      <c r="U78" t="inlineStr"/>
      <c r="V78" t="inlineStr"/>
      <c r="W78" t="inlineStr">
        <is>
          <t>Nej</t>
        </is>
      </c>
      <c r="X78" t="inlineStr">
        <is>
          <t>Nej</t>
        </is>
      </c>
      <c r="Y78" t="inlineStr">
        <is>
          <t>Nej</t>
        </is>
      </c>
      <c r="Z78" t="inlineStr">
        <is>
          <t>Nej</t>
        </is>
      </c>
      <c r="AA78" t="n">
        <v>10</v>
      </c>
      <c r="AB78" t="inlineStr">
        <is>
          <t>Miljopaverkan och forsiktighetsmatt</t>
        </is>
      </c>
      <c r="AC78" t="inlineStr">
        <is>
          <t>Miljo-PM</t>
        </is>
      </c>
      <c r="AD78" t="inlineStr">
        <is>
          <t>Nej</t>
        </is>
      </c>
      <c r="AE78" t="inlineStr">
        <is>
          <t>Nej</t>
        </is>
      </c>
      <c r="AF78" t="inlineStr">
        <is>
          <t>Ej behandlad</t>
        </is>
      </c>
      <c r="AG78" t="inlineStr">
        <is>
          <t>AUTO_GENERERAD. Verifiera citat mot kallfil.</t>
        </is>
      </c>
      <c r="AH78" t="inlineStr">
        <is>
          <t>HIGH</t>
        </is>
      </c>
      <c r="AI78" t="inlineStr">
        <is>
          <t>AUTO</t>
        </is>
      </c>
      <c r="AJ78" t="inlineStr">
        <is>
          <t>Nej</t>
        </is>
      </c>
      <c r="AK78" t="inlineStr"/>
      <c r="AL78" t="inlineStr"/>
      <c r="AM78" t="inlineStr"/>
      <c r="AN78" t="inlineStr"/>
      <c r="AO78" t="inlineStr">
        <is>
          <t>cmm4yumue002wcuqwf5lxobhn</t>
        </is>
      </c>
      <c r="AP78" t="inlineStr">
        <is>
          <t>http://localhost:8787/api/admin/requirements/documents/cmm4yumue002wcuqwf5lxobhn/view</t>
        </is>
      </c>
      <c r="AQ78">
        <f>HYPERLÄNK("http://localhost:8787/api/admin/requirements/documents/cmm4yumue002wcuqwf5lxobhn/view";"Öppna PDF")</f>
        <v/>
      </c>
      <c r="AR78">
        <f>HYPERLINK("http://localhost:8787/api/admin/requirements/documents/cmm4yumue002wcuqwf5lxobhn/view","Open PDF")</f>
        <v/>
      </c>
      <c r="AS78" t="inlineStr">
        <is>
          <t>cmm55w57p0004cuisfrtpqly8</t>
        </is>
      </c>
      <c r="AT78" t="inlineStr">
        <is>
          <t>cmm4xvu980000cuh4vj0usz09</t>
        </is>
      </c>
      <c r="AU78" t="inlineStr">
        <is>
          <t>pdf Karlstads</t>
        </is>
      </c>
      <c r="AV78" t="inlineStr">
        <is>
          <t>Kommun</t>
        </is>
      </c>
      <c r="AW78" t="inlineStr">
        <is>
          <t>pdf Karlstads kommun</t>
        </is>
      </c>
      <c r="AX78" t="inlineStr">
        <is>
          <t>2025-12</t>
        </is>
      </c>
      <c r="AY78" t="inlineStr">
        <is>
          <t>Forelaggande</t>
        </is>
      </c>
      <c r="AZ78" t="inlineStr">
        <is>
          <t>2026-02-02</t>
        </is>
      </c>
      <c r="BA78" t="inlineStr">
        <is>
          <t>MIL Föreläggande försiktighetsåtgärder (3).pdf</t>
        </is>
      </c>
      <c r="BB78" t="inlineStr">
        <is>
          <t>Ang. Begäran om utlämnande av allmän handling – Anmälningar och beslut rörande mellanlagring av avfall samt anläggning av ytor</t>
        </is>
      </c>
      <c r="BC78" t="inlineStr">
        <is>
          <t>AUTO</t>
        </is>
      </c>
      <c r="BD78" t="inlineStr"/>
      <c r="BE78" t="inlineStr"/>
      <c r="BF78" t="inlineStr">
        <is>
          <t>AUTO_GENERERAD. Bekrafta metadata mot kallfil.</t>
        </is>
      </c>
      <c r="BG78">
        <f>HYPERLINK("C:\Users\jimmy\Desktop\Examens arbete\Kod\Ny mapp\remix_-copy-of-miljöbeslut.se-portal\MIL Föreläggande försiktighetsåtgärder (3).pdf", "Öppna PDF")</f>
        <v/>
      </c>
    </row>
    <row r="79">
      <c r="A79" t="inlineStr">
        <is>
          <t>KRAV-AUTO-000078</t>
        </is>
      </c>
      <c r="B79" t="inlineStr">
        <is>
          <t>ADMIN-INDEX-2026-02-27-00000000125C043F57453246863FE664CAFE6A3F0700950291EA24F0614FB6ACEDB12BF0E31D00000000010C0000950291EA24F0614FB6ACEDB12BF0E31D00002087B7BA0000</t>
        </is>
      </c>
      <c r="C79" t="inlineStr">
        <is>
          <t>cmm4yumu4002ncuqwsv6yg2uz</t>
        </is>
      </c>
      <c r="D79" t="inlineStr">
        <is>
          <t>http://localhost:8787/api/admin/requirements/documents/cmm4yumu4002ncuqwsv6yg2uz/view</t>
        </is>
      </c>
      <c r="E79">
        <f>HYPERLÄNK("http://localhost:8787/api/admin/requirements/documents/cmm4yumu4002ncuqwsv6yg2uz/view";"Öppna PDF")</f>
        <v/>
      </c>
      <c r="F79">
        <f>HYPERLINK("http://localhost:8787/api/admin/requirements/documents/cmm4yumu4002ncuqwsv6yg2uz/view","Open PDF")</f>
        <v/>
      </c>
      <c r="G79" t="inlineStr">
        <is>
          <t>cmm55w57p0004cuisfrtpqly8</t>
        </is>
      </c>
      <c r="H79" t="inlineStr">
        <is>
          <t>Informationskrav</t>
        </is>
      </c>
      <c r="I79" t="inlineStr">
        <is>
          <t>DriftEgenkontroll</t>
        </is>
      </c>
      <c r="J79" t="inlineStr">
        <is>
          <t>Journalforing</t>
        </is>
      </c>
      <c r="K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 of 36 -- 2 av 12 : Sida Ordernummer : : Kund ST2119023 Lektus Samhällsbyggnad i Malmö Analysresultat BH 1:1 Provbeteckning Matris: JORD Laboratoriets provnummer ST2119023-001 2021-07-08 Provtagningsdatum / tid Resultat Enhet LOR Parameter MU Metod Utf.</t>
        </is>
      </c>
      <c r="L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79" t="inlineStr">
        <is>
          <t>BOR</t>
        </is>
      </c>
      <c r="N79" t="inlineStr"/>
      <c r="O79" t="inlineStr">
        <is>
          <t>2021-07-08</t>
        </is>
      </c>
      <c r="P79" t="inlineStr"/>
      <c r="Q79" t="inlineStr"/>
      <c r="R79" t="inlineStr">
        <is>
          <t>Lopande drift</t>
        </is>
      </c>
      <c r="S79" t="inlineStr"/>
      <c r="T79" t="inlineStr"/>
      <c r="U79" t="inlineStr"/>
      <c r="V79" t="inlineStr"/>
      <c r="W79" t="inlineStr">
        <is>
          <t>Nej</t>
        </is>
      </c>
      <c r="X79" t="inlineStr">
        <is>
          <t>Nej</t>
        </is>
      </c>
      <c r="Y79" t="inlineStr">
        <is>
          <t>Ja</t>
        </is>
      </c>
      <c r="Z79" t="inlineStr">
        <is>
          <t>Nej</t>
        </is>
      </c>
      <c r="AA79" t="n">
        <v>7</v>
      </c>
      <c r="AB79" t="inlineStr">
        <is>
          <t>Egenkontrollrutiner</t>
        </is>
      </c>
      <c r="AC79" t="inlineStr">
        <is>
          <t>Egenkontrollprogram</t>
        </is>
      </c>
      <c r="AD79" t="inlineStr">
        <is>
          <t>Nej</t>
        </is>
      </c>
      <c r="AE79" t="inlineStr">
        <is>
          <t>Nej</t>
        </is>
      </c>
      <c r="AF79" t="inlineStr">
        <is>
          <t>Ej behandlad</t>
        </is>
      </c>
      <c r="AG79" t="inlineStr">
        <is>
          <t>AUTO_GENERERAD. Verifiera citat mot kallfil.</t>
        </is>
      </c>
      <c r="AH79" t="inlineStr">
        <is>
          <t>MEDIUM</t>
        </is>
      </c>
      <c r="AI79" t="inlineStr">
        <is>
          <t>AUTO</t>
        </is>
      </c>
      <c r="AJ79" t="inlineStr">
        <is>
          <t>Nej</t>
        </is>
      </c>
      <c r="AK79" t="inlineStr"/>
      <c r="AL79" t="inlineStr"/>
      <c r="AM79" t="inlineStr"/>
      <c r="AN79" t="inlineStr"/>
      <c r="AO79" t="inlineStr">
        <is>
          <t>cmm4yumu4002ncuqwsv6yg2uz</t>
        </is>
      </c>
      <c r="AP79" t="inlineStr">
        <is>
          <t>http://localhost:8787/api/admin/requirements/documents/cmm4yumu4002ncuqwsv6yg2uz/view</t>
        </is>
      </c>
      <c r="AQ79">
        <f>HYPERLÄNK("http://localhost:8787/api/admin/requirements/documents/cmm4yumu4002ncuqwsv6yg2uz/view";"Öppna PDF")</f>
        <v/>
      </c>
      <c r="AR79">
        <f>HYPERLINK("http://localhost:8787/api/admin/requirements/documents/cmm4yumu4002ncuqwsv6yg2uz/view","Open PDF")</f>
        <v/>
      </c>
      <c r="AS79" t="inlineStr">
        <is>
          <t>cmm55w57p0004cuisfrtpqly8</t>
        </is>
      </c>
      <c r="AT79" t="inlineStr">
        <is>
          <t>cmm4xvu980000cuh4vj0usz09</t>
        </is>
      </c>
      <c r="AU79" t="inlineStr"/>
      <c r="AV79" t="inlineStr">
        <is>
          <t>Kommun</t>
        </is>
      </c>
      <c r="AW79" t="inlineStr"/>
      <c r="AX79" t="inlineStr">
        <is>
          <t>2021-07</t>
        </is>
      </c>
      <c r="AY79" t="inlineStr">
        <is>
          <t>Anmalan</t>
        </is>
      </c>
      <c r="AZ79" t="inlineStr">
        <is>
          <t>2026-01-30</t>
        </is>
      </c>
      <c r="BA79" t="inlineStr">
        <is>
          <t>Miljö-2024-62-1_Bilaga 2. Fullständiga analysprotokoll.pdf</t>
        </is>
      </c>
      <c r="BB79" t="inlineStr">
        <is>
          <t>Sv:  Begäran om utlämnande av allmän handling – Anmälningar och beslut rörande mellanlagring av avfall samt anläggning av ytor</t>
        </is>
      </c>
      <c r="BC79" t="inlineStr">
        <is>
          <t>AUTO</t>
        </is>
      </c>
      <c r="BD79" t="inlineStr"/>
      <c r="BE79" t="inlineStr"/>
      <c r="BF79" t="inlineStr">
        <is>
          <t>AUTO_GENERERAD. Bekrafta metadata mot kallfil.</t>
        </is>
      </c>
      <c r="BG79">
        <f>HYPERLINK("C:\Users\jimmy\Desktop\Examens arbete\Kod\Ny mapp\remix_-copy-of-miljöbeslut.se-portal\Miljö-2024-62-1_Bilaga 2. Fullständiga analysprotokoll.pdf", "Öppna PDF")</f>
        <v/>
      </c>
    </row>
    <row r="80">
      <c r="A80" t="inlineStr">
        <is>
          <t>KRAV-AUTO-000079</t>
        </is>
      </c>
      <c r="B80" t="inlineStr">
        <is>
          <t>ADMIN-INDEX-2026-02-27-00000000125C043F57453246863FE664CAFE6A3F0700950291EA24F0614FB6ACEDB12BF0E31D00000000010C0000950291EA24F0614FB6ACEDB12BF0E31D00002087B7BA0000</t>
        </is>
      </c>
      <c r="C80" t="inlineStr">
        <is>
          <t>cmm4yumu4002ncuqwsv6yg2uz</t>
        </is>
      </c>
      <c r="D80" t="inlineStr">
        <is>
          <t>http://localhost:8787/api/admin/requirements/documents/cmm4yumu4002ncuqwsv6yg2uz/view</t>
        </is>
      </c>
      <c r="E80">
        <f>HYPERLÄNK("http://localhost:8787/api/admin/requirements/documents/cmm4yumu4002ncuqwsv6yg2uz/view";"Öppna PDF")</f>
        <v/>
      </c>
      <c r="F80">
        <f>HYPERLINK("http://localhost:8787/api/admin/requirements/documents/cmm4yumu4002ncuqwsv6yg2uz/view","Open PDF")</f>
        <v/>
      </c>
      <c r="G80" t="inlineStr">
        <is>
          <t>cmm55w57p0004cuisfrtpqly8</t>
        </is>
      </c>
      <c r="H80" t="inlineStr">
        <is>
          <t>Informationskrav</t>
        </is>
      </c>
      <c r="I80" t="inlineStr">
        <is>
          <t>DriftEgenkontroll</t>
        </is>
      </c>
      <c r="J80" t="inlineStr">
        <is>
          <t>Journalforing</t>
        </is>
      </c>
      <c r="K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-- 31 of 36 -- 2 av 6 : Sida Ordernummer : : Kund ST2201002 Lektus Samhällsbyggnad i Malmö Analysresultat BH-31:1 Provbeteckning Matris: JORD Laboratoriets provnummer ST2201002-001 ej specificerad Provtagningsdatum / tid Resultat Enhet LOR Parameter MU Metod Utf.</t>
        </is>
      </c>
      <c r="L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80" t="inlineStr">
        <is>
          <t>BOR</t>
        </is>
      </c>
      <c r="N80" t="inlineStr"/>
      <c r="O80" t="inlineStr"/>
      <c r="P80" t="inlineStr"/>
      <c r="Q80" t="inlineStr"/>
      <c r="R80" t="inlineStr">
        <is>
          <t>Lopande drift</t>
        </is>
      </c>
      <c r="S80" t="inlineStr"/>
      <c r="T80" t="inlineStr"/>
      <c r="U80" t="inlineStr"/>
      <c r="V80" t="inlineStr"/>
      <c r="W80" t="inlineStr">
        <is>
          <t>Nej</t>
        </is>
      </c>
      <c r="X80" t="inlineStr">
        <is>
          <t>Nej</t>
        </is>
      </c>
      <c r="Y80" t="inlineStr">
        <is>
          <t>Ja</t>
        </is>
      </c>
      <c r="Z80" t="inlineStr">
        <is>
          <t>Nej</t>
        </is>
      </c>
      <c r="AA80" t="n">
        <v>7</v>
      </c>
      <c r="AB80" t="inlineStr">
        <is>
          <t>Egenkontrollrutiner</t>
        </is>
      </c>
      <c r="AC80" t="inlineStr">
        <is>
          <t>Egenkontrollprogram</t>
        </is>
      </c>
      <c r="AD80" t="inlineStr">
        <is>
          <t>Nej</t>
        </is>
      </c>
      <c r="AE80" t="inlineStr">
        <is>
          <t>Nej</t>
        </is>
      </c>
      <c r="AF80" t="inlineStr">
        <is>
          <t>Ej behandlad</t>
        </is>
      </c>
      <c r="AG80" t="inlineStr">
        <is>
          <t>AUTO_GENERERAD. Verifiera citat mot kallfil.</t>
        </is>
      </c>
      <c r="AH80" t="inlineStr">
        <is>
          <t>MEDIUM</t>
        </is>
      </c>
      <c r="AI80" t="inlineStr">
        <is>
          <t>AUTO</t>
        </is>
      </c>
      <c r="AJ80" t="inlineStr">
        <is>
          <t>Nej</t>
        </is>
      </c>
      <c r="AK80" t="inlineStr"/>
      <c r="AL80" t="inlineStr"/>
      <c r="AM80" t="inlineStr"/>
      <c r="AN80" t="inlineStr"/>
      <c r="AO80" t="inlineStr">
        <is>
          <t>cmm4yumu4002ncuqwsv6yg2uz</t>
        </is>
      </c>
      <c r="AP80" t="inlineStr">
        <is>
          <t>http://localhost:8787/api/admin/requirements/documents/cmm4yumu4002ncuqwsv6yg2uz/view</t>
        </is>
      </c>
      <c r="AQ80">
        <f>HYPERLÄNK("http://localhost:8787/api/admin/requirements/documents/cmm4yumu4002ncuqwsv6yg2uz/view";"Öppna PDF")</f>
        <v/>
      </c>
      <c r="AR80">
        <f>HYPERLINK("http://localhost:8787/api/admin/requirements/documents/cmm4yumu4002ncuqwsv6yg2uz/view","Open PDF")</f>
        <v/>
      </c>
      <c r="AS80" t="inlineStr">
        <is>
          <t>cmm55w57p0004cuisfrtpqly8</t>
        </is>
      </c>
      <c r="AT80" t="inlineStr">
        <is>
          <t>cmm4xvu980000cuh4vj0usz09</t>
        </is>
      </c>
      <c r="AU80" t="inlineStr"/>
      <c r="AV80" t="inlineStr">
        <is>
          <t>Kommun</t>
        </is>
      </c>
      <c r="AW80" t="inlineStr"/>
      <c r="AX80" t="inlineStr">
        <is>
          <t>2021-07</t>
        </is>
      </c>
      <c r="AY80" t="inlineStr">
        <is>
          <t>Anmalan</t>
        </is>
      </c>
      <c r="AZ80" t="inlineStr">
        <is>
          <t>2026-01-30</t>
        </is>
      </c>
      <c r="BA80" t="inlineStr">
        <is>
          <t>Miljö-2024-62-1_Bilaga 2. Fullständiga analysprotokoll.pdf</t>
        </is>
      </c>
      <c r="BB80" t="inlineStr">
        <is>
          <t>Sv:  Begäran om utlämnande av allmän handling – Anmälningar och beslut rörande mellanlagring av avfall samt anläggning av ytor</t>
        </is>
      </c>
      <c r="BC80" t="inlineStr">
        <is>
          <t>AUTO</t>
        </is>
      </c>
      <c r="BD80" t="inlineStr"/>
      <c r="BE80" t="inlineStr"/>
      <c r="BF80" t="inlineStr">
        <is>
          <t>AUTO_GENERERAD. Bekrafta metadata mot kallfil.</t>
        </is>
      </c>
      <c r="BG80">
        <f>HYPERLINK("C:\Users\jimmy\Desktop\Examens arbete\Kod\Ny mapp\remix_-copy-of-miljöbeslut.se-portal\Miljö-2024-62-1_Bilaga 2. Fullständiga analysprotokoll.pdf", "Öppna PDF")</f>
        <v/>
      </c>
    </row>
    <row r="81">
      <c r="A81" t="inlineStr">
        <is>
          <t>KRAV-AUTO-000080</t>
        </is>
      </c>
      <c r="B81" t="inlineStr">
        <is>
          <t>ADMIN-INDEX-2026-02-27-00000000125C043F57453246863FE664CAFE6A3F0700950291EA24F0614FB6ACEDB12BF0E31D00000000010C0000950291EA24F0614FB6ACEDB12BF0E31D00002087B7BA0000</t>
        </is>
      </c>
      <c r="C81" t="inlineStr">
        <is>
          <t>cmm4yumu4002ncuqwsv6yg2uz</t>
        </is>
      </c>
      <c r="D81" t="inlineStr">
        <is>
          <t>http://localhost:8787/api/admin/requirements/documents/cmm4yumu4002ncuqwsv6yg2uz/view</t>
        </is>
      </c>
      <c r="E81">
        <f>HYPERLÄNK("http://localhost:8787/api/admin/requirements/documents/cmm4yumu4002ncuqwsv6yg2uz/view";"Öppna PDF")</f>
        <v/>
      </c>
      <c r="F81">
        <f>HYPERLINK("http://localhost:8787/api/admin/requirements/documents/cmm4yumu4002ncuqwsv6yg2uz/view","Open PDF")</f>
        <v/>
      </c>
      <c r="G81" t="inlineStr">
        <is>
          <t>cmm55w57p0004cuisfrtpqly8</t>
        </is>
      </c>
      <c r="H81" t="inlineStr">
        <is>
          <t>Informationskrav</t>
        </is>
      </c>
      <c r="I81" t="inlineStr">
        <is>
          <t>DriftEgenkontroll</t>
        </is>
      </c>
      <c r="J81" t="inlineStr">
        <is>
          <t>Journalforing</t>
        </is>
      </c>
      <c r="K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-- 13 of 36 -- 2 av 18 : Sida Ordernummer : : Kund ST2137606 Lektus Samhällsbyggnad i Malmö Analysresultat 21LE01 M3 Provbeteckning Matris: JORD Laboratoriets provnummer ST2137606-001 ej specificerad Provtagningsdatum / tid Resultat Enhet LOR Parameter MU Metod Utf.</t>
        </is>
      </c>
      <c r="L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81" t="inlineStr">
        <is>
          <t>BOR</t>
        </is>
      </c>
      <c r="N81" t="inlineStr"/>
      <c r="O81" t="inlineStr"/>
      <c r="P81" t="inlineStr"/>
      <c r="Q81" t="inlineStr"/>
      <c r="R81" t="inlineStr">
        <is>
          <t>Lopande drift</t>
        </is>
      </c>
      <c r="S81" t="inlineStr"/>
      <c r="T81" t="inlineStr"/>
      <c r="U81" t="inlineStr"/>
      <c r="V81" t="inlineStr"/>
      <c r="W81" t="inlineStr">
        <is>
          <t>Nej</t>
        </is>
      </c>
      <c r="X81" t="inlineStr">
        <is>
          <t>Nej</t>
        </is>
      </c>
      <c r="Y81" t="inlineStr">
        <is>
          <t>Ja</t>
        </is>
      </c>
      <c r="Z81" t="inlineStr">
        <is>
          <t>Nej</t>
        </is>
      </c>
      <c r="AA81" t="n">
        <v>7</v>
      </c>
      <c r="AB81" t="inlineStr">
        <is>
          <t>Egenkontrollrutiner</t>
        </is>
      </c>
      <c r="AC81" t="inlineStr">
        <is>
          <t>Egenkontrollprogram</t>
        </is>
      </c>
      <c r="AD81" t="inlineStr">
        <is>
          <t>Nej</t>
        </is>
      </c>
      <c r="AE81" t="inlineStr">
        <is>
          <t>Nej</t>
        </is>
      </c>
      <c r="AF81" t="inlineStr">
        <is>
          <t>Ej behandlad</t>
        </is>
      </c>
      <c r="AG81" t="inlineStr">
        <is>
          <t>AUTO_GENERERAD. Verifiera citat mot kallfil.</t>
        </is>
      </c>
      <c r="AH81" t="inlineStr">
        <is>
          <t>MEDIUM</t>
        </is>
      </c>
      <c r="AI81" t="inlineStr">
        <is>
          <t>AUTO</t>
        </is>
      </c>
      <c r="AJ81" t="inlineStr">
        <is>
          <t>Nej</t>
        </is>
      </c>
      <c r="AK81" t="inlineStr"/>
      <c r="AL81" t="inlineStr"/>
      <c r="AM81" t="inlineStr"/>
      <c r="AN81" t="inlineStr"/>
      <c r="AO81" t="inlineStr">
        <is>
          <t>cmm4yumu4002ncuqwsv6yg2uz</t>
        </is>
      </c>
      <c r="AP81" t="inlineStr">
        <is>
          <t>http://localhost:8787/api/admin/requirements/documents/cmm4yumu4002ncuqwsv6yg2uz/view</t>
        </is>
      </c>
      <c r="AQ81">
        <f>HYPERLÄNK("http://localhost:8787/api/admin/requirements/documents/cmm4yumu4002ncuqwsv6yg2uz/view";"Öppna PDF")</f>
        <v/>
      </c>
      <c r="AR81">
        <f>HYPERLINK("http://localhost:8787/api/admin/requirements/documents/cmm4yumu4002ncuqwsv6yg2uz/view","Open PDF")</f>
        <v/>
      </c>
      <c r="AS81" t="inlineStr">
        <is>
          <t>cmm55w57p0004cuisfrtpqly8</t>
        </is>
      </c>
      <c r="AT81" t="inlineStr">
        <is>
          <t>cmm4xvu980000cuh4vj0usz09</t>
        </is>
      </c>
      <c r="AU81" t="inlineStr"/>
      <c r="AV81" t="inlineStr">
        <is>
          <t>Kommun</t>
        </is>
      </c>
      <c r="AW81" t="inlineStr"/>
      <c r="AX81" t="inlineStr">
        <is>
          <t>2021-07</t>
        </is>
      </c>
      <c r="AY81" t="inlineStr">
        <is>
          <t>Anmalan</t>
        </is>
      </c>
      <c r="AZ81" t="inlineStr">
        <is>
          <t>2026-01-30</t>
        </is>
      </c>
      <c r="BA81" t="inlineStr">
        <is>
          <t>Miljö-2024-62-1_Bilaga 2. Fullständiga analysprotokoll.pdf</t>
        </is>
      </c>
      <c r="BB81" t="inlineStr">
        <is>
          <t>Sv:  Begäran om utlämnande av allmän handling – Anmälningar och beslut rörande mellanlagring av avfall samt anläggning av ytor</t>
        </is>
      </c>
      <c r="BC81" t="inlineStr">
        <is>
          <t>AUTO</t>
        </is>
      </c>
      <c r="BD81" t="inlineStr"/>
      <c r="BE81" t="inlineStr"/>
      <c r="BF81" t="inlineStr">
        <is>
          <t>AUTO_GENERERAD. Bekrafta metadata mot kallfil.</t>
        </is>
      </c>
      <c r="BG81">
        <f>HYPERLINK("C:\Users\jimmy\Desktop\Examens arbete\Kod\Ny mapp\remix_-copy-of-miljöbeslut.se-portal\Miljö-2024-62-1_Bilaga 2. Fullständiga analysprotokoll.pdf", "Öppna PDF")</f>
        <v/>
      </c>
    </row>
    <row r="82">
      <c r="A82" t="inlineStr">
        <is>
          <t>KRAV-AUTO-000081</t>
        </is>
      </c>
      <c r="B82" t="inlineStr">
        <is>
          <t>ADMIN-INDEX-2026-02-27-00000000125C043F57453246863FE664CAFE6A3F0700950291EA24F0614FB6ACEDB12BF0E31D00000000010C0000950291EA24F0614FB6ACEDB12BF0E31D00002087B7BA0000</t>
        </is>
      </c>
      <c r="C82" t="inlineStr">
        <is>
          <t>cmm4yumu1002kcuqwpkcrq7uf</t>
        </is>
      </c>
      <c r="D82" t="inlineStr">
        <is>
          <t>http://localhost:8787/api/admin/requirements/documents/cmm4yumu1002kcuqwpkcrq7uf/view</t>
        </is>
      </c>
      <c r="E82">
        <f>HYPERLÄNK("http://localhost:8787/api/admin/requirements/documents/cmm4yumu1002kcuqwpkcrq7uf/view";"Öppna PDF")</f>
        <v/>
      </c>
      <c r="F82">
        <f>HYPERLINK("http://localhost:8787/api/admin/requirements/documents/cmm4yumu1002kcuqwpkcrq7uf/view","Open PDF")</f>
        <v/>
      </c>
      <c r="G82" t="inlineStr">
        <is>
          <t>cmm55w57p0004cuisfrtpqly8</t>
        </is>
      </c>
      <c r="H82" t="inlineStr">
        <is>
          <t>Informationskrav</t>
        </is>
      </c>
      <c r="I82" t="inlineStr">
        <is>
          <t>LagringsvolymTid</t>
        </is>
      </c>
      <c r="J82" t="inlineStr">
        <is>
          <t>Maxmangd</t>
        </is>
      </c>
      <c r="K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Beställare Lunds kommun Robert Thylander -- 3 of 10 -- 3 (9) 1 (7) Miljöteknisk markundersökning Hasslanda II och IV Lunds kommun 1 Sammanfattning Lektus har på uppdrag av Lunds kommun genomfört en miljöteknisk markundersökning på området Hasslanda II och IV, Lund.</t>
        </is>
      </c>
      <c r="L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t>
        </is>
      </c>
      <c r="M82" t="inlineStr">
        <is>
          <t>SKA</t>
        </is>
      </c>
      <c r="N82" t="inlineStr"/>
      <c r="O82" t="inlineStr"/>
      <c r="P82" t="inlineStr"/>
      <c r="Q82" t="inlineStr"/>
      <c r="R82" t="inlineStr">
        <is>
          <t>Alltid</t>
        </is>
      </c>
      <c r="S82" t="inlineStr"/>
      <c r="T82" t="inlineStr"/>
      <c r="U82" t="inlineStr"/>
      <c r="V82" t="inlineStr"/>
      <c r="W82" t="inlineStr">
        <is>
          <t>Nej</t>
        </is>
      </c>
      <c r="X82" t="inlineStr">
        <is>
          <t>Nej</t>
        </is>
      </c>
      <c r="Y82" t="inlineStr">
        <is>
          <t>Nej</t>
        </is>
      </c>
      <c r="Z82" t="inlineStr">
        <is>
          <t>Nej</t>
        </is>
      </c>
      <c r="AA82" t="n">
        <v>4</v>
      </c>
      <c r="AB82" t="inlineStr">
        <is>
          <t>Avfallsmangder och lagringstid</t>
        </is>
      </c>
      <c r="AC82" t="inlineStr">
        <is>
          <t>Avfallsforteckning</t>
        </is>
      </c>
      <c r="AD82" t="inlineStr">
        <is>
          <t>Nej</t>
        </is>
      </c>
      <c r="AE82" t="inlineStr">
        <is>
          <t>Nej</t>
        </is>
      </c>
      <c r="AF82" t="inlineStr">
        <is>
          <t>Ej behandlad</t>
        </is>
      </c>
      <c r="AG82" t="inlineStr">
        <is>
          <t>AUTO_GENERERAD. Verifiera citat mot kallfil.</t>
        </is>
      </c>
      <c r="AH82" t="inlineStr">
        <is>
          <t>MEDIUM</t>
        </is>
      </c>
      <c r="AI82" t="inlineStr">
        <is>
          <t>AUTO</t>
        </is>
      </c>
      <c r="AJ82" t="inlineStr">
        <is>
          <t>Nej</t>
        </is>
      </c>
      <c r="AK82" t="inlineStr"/>
      <c r="AL82" t="inlineStr"/>
      <c r="AM82" t="inlineStr"/>
      <c r="AN82" t="inlineStr"/>
      <c r="AO82" t="inlineStr">
        <is>
          <t>cmm4yumu4002ncuqwsv6yg2uz</t>
        </is>
      </c>
      <c r="AP82" t="inlineStr">
        <is>
          <t>http://localhost:8787/api/admin/requirements/documents/cmm4yumu4002ncuqwsv6yg2uz/view</t>
        </is>
      </c>
      <c r="AQ82">
        <f>HYPERLÄNK("http://localhost:8787/api/admin/requirements/documents/cmm4yumu4002ncuqwsv6yg2uz/view";"Öppna PDF")</f>
        <v/>
      </c>
      <c r="AR82">
        <f>HYPERLINK("http://localhost:8787/api/admin/requirements/documents/cmm4yumu4002ncuqwsv6yg2uz/view","Open PDF")</f>
        <v/>
      </c>
      <c r="AS82" t="inlineStr">
        <is>
          <t>cmm55w57p0004cuisfrtpqly8</t>
        </is>
      </c>
      <c r="AT82" t="inlineStr">
        <is>
          <t>cmm4xvu980000cuh4vj0usz09</t>
        </is>
      </c>
      <c r="AU82" t="inlineStr"/>
      <c r="AV82" t="inlineStr">
        <is>
          <t>Kommun</t>
        </is>
      </c>
      <c r="AW82" t="inlineStr"/>
      <c r="AX82" t="inlineStr">
        <is>
          <t>2021-07</t>
        </is>
      </c>
      <c r="AY82" t="inlineStr">
        <is>
          <t>Anmalan</t>
        </is>
      </c>
      <c r="AZ82" t="inlineStr">
        <is>
          <t>2026-01-30</t>
        </is>
      </c>
      <c r="BA82" t="inlineStr">
        <is>
          <t>Miljö-2024-62-1_Bilaga 2. Fullständiga analysprotokoll.pdf</t>
        </is>
      </c>
      <c r="BB82" t="inlineStr">
        <is>
          <t>Sv:  Begäran om utlämnande av allmän handling – Anmälningar och beslut rörande mellanlagring av avfall samt anläggning av ytor</t>
        </is>
      </c>
      <c r="BC82" t="inlineStr">
        <is>
          <t>AUTO</t>
        </is>
      </c>
      <c r="BD82" t="inlineStr"/>
      <c r="BE82" t="inlineStr"/>
      <c r="BF82" t="inlineStr">
        <is>
          <t>AUTO_GENERERAD. Bekrafta metadata mot kallfil.</t>
        </is>
      </c>
      <c r="BG82">
        <f>HYPERLINK("C:\Users\jimmy\Desktop\Examens arbete\Kod\Ny mapp\remix_-copy-of-miljöbeslut.se-portal\Miljö-2024-62-1_Bilaga 2. Fullständiga analysprotokoll.pdf", "Öppna PDF")</f>
        <v/>
      </c>
    </row>
    <row r="83">
      <c r="A83" t="inlineStr">
        <is>
          <t>KRAV-AUTO-000082</t>
        </is>
      </c>
      <c r="B83" t="inlineStr">
        <is>
          <t>ADMIN-INDEX-2026-02-27-00000000125C043F57453246863FE664CAFE6A3F0700950291EA24F0614FB6ACEDB12BF0E31D00000000010C0000950291EA24F0614FB6ACEDB12BF0E31D00002087B7BA0000</t>
        </is>
      </c>
      <c r="C83" t="inlineStr">
        <is>
          <t>cmm4yumu1002kcuqwpkcrq7uf</t>
        </is>
      </c>
      <c r="D83" t="inlineStr">
        <is>
          <t>http://localhost:8787/api/admin/requirements/documents/cmm4yumu1002kcuqwpkcrq7uf/view</t>
        </is>
      </c>
      <c r="E83">
        <f>HYPERLÄNK("http://localhost:8787/api/admin/requirements/documents/cmm4yumu1002kcuqwpkcrq7uf/view";"Öppna PDF")</f>
        <v/>
      </c>
      <c r="F83">
        <f>HYPERLINK("http://localhost:8787/api/admin/requirements/documents/cmm4yumu1002kcuqwpkcrq7uf/view","Open PDF")</f>
        <v/>
      </c>
      <c r="G83" t="inlineStr">
        <is>
          <t>cmm55w57p0004cuisfrtpqly8</t>
        </is>
      </c>
      <c r="H83" t="inlineStr">
        <is>
          <t>Informationskrav</t>
        </is>
      </c>
      <c r="I83" t="inlineStr">
        <is>
          <t>Riskhantering</t>
        </is>
      </c>
      <c r="J83" t="inlineStr">
        <is>
          <t>Riskkontroll</t>
        </is>
      </c>
      <c r="K83" t="inlineStr">
        <is>
          <t>Utdrag ur historiska flygbilder 6.</t>
        </is>
      </c>
      <c r="L83" t="inlineStr">
        <is>
          <t>Utdrag ur historiska flygbilder 6.</t>
        </is>
      </c>
      <c r="M83" t="inlineStr">
        <is>
          <t>SKA</t>
        </is>
      </c>
      <c r="N83" t="inlineStr"/>
      <c r="O83" t="inlineStr"/>
      <c r="P83" t="inlineStr"/>
      <c r="Q83" t="inlineStr"/>
      <c r="R83" t="inlineStr">
        <is>
          <t>Vid risk for incident</t>
        </is>
      </c>
      <c r="S83" t="inlineStr"/>
      <c r="T83" t="inlineStr"/>
      <c r="U83" t="inlineStr"/>
      <c r="V83" t="inlineStr"/>
      <c r="W83" t="inlineStr">
        <is>
          <t>Nej</t>
        </is>
      </c>
      <c r="X83" t="inlineStr">
        <is>
          <t>Nej</t>
        </is>
      </c>
      <c r="Y83" t="inlineStr">
        <is>
          <t>Ja</t>
        </is>
      </c>
      <c r="Z83" t="inlineStr">
        <is>
          <t>Ja</t>
        </is>
      </c>
      <c r="AA83" t="n">
        <v>8</v>
      </c>
      <c r="AB83" t="inlineStr">
        <is>
          <t>Riskhantering</t>
        </is>
      </c>
      <c r="AC83" t="inlineStr">
        <is>
          <t>Risk-PM</t>
        </is>
      </c>
      <c r="AD83" t="inlineStr">
        <is>
          <t>Nej</t>
        </is>
      </c>
      <c r="AE83" t="inlineStr">
        <is>
          <t>Nej</t>
        </is>
      </c>
      <c r="AF83" t="inlineStr">
        <is>
          <t>Ej behandlad</t>
        </is>
      </c>
      <c r="AG83" t="inlineStr">
        <is>
          <t>AUTO_GENERERAD. Verifiera citat mot kallfil.</t>
        </is>
      </c>
      <c r="AH83" t="inlineStr">
        <is>
          <t>LOW</t>
        </is>
      </c>
      <c r="AI83" t="inlineStr">
        <is>
          <t>AUTO</t>
        </is>
      </c>
      <c r="AJ83" t="inlineStr">
        <is>
          <t>Nej</t>
        </is>
      </c>
      <c r="AK83" t="inlineStr"/>
      <c r="AL83" t="inlineStr"/>
      <c r="AM83" t="inlineStr"/>
      <c r="AN83" t="inlineStr"/>
      <c r="AO83" t="inlineStr">
        <is>
          <t>cmm4yumu4002ncuqwsv6yg2uz</t>
        </is>
      </c>
      <c r="AP83" t="inlineStr">
        <is>
          <t>http://localhost:8787/api/admin/requirements/documents/cmm4yumu4002ncuqwsv6yg2uz/view</t>
        </is>
      </c>
      <c r="AQ83">
        <f>HYPERLÄNK("http://localhost:8787/api/admin/requirements/documents/cmm4yumu4002ncuqwsv6yg2uz/view";"Öppna PDF")</f>
        <v/>
      </c>
      <c r="AR83">
        <f>HYPERLINK("http://localhost:8787/api/admin/requirements/documents/cmm4yumu4002ncuqwsv6yg2uz/view","Open PDF")</f>
        <v/>
      </c>
      <c r="AS83" t="inlineStr">
        <is>
          <t>cmm55w57p0004cuisfrtpqly8</t>
        </is>
      </c>
      <c r="AT83" t="inlineStr">
        <is>
          <t>cmm4xvu980000cuh4vj0usz09</t>
        </is>
      </c>
      <c r="AU83" t="inlineStr"/>
      <c r="AV83" t="inlineStr">
        <is>
          <t>Kommun</t>
        </is>
      </c>
      <c r="AW83" t="inlineStr"/>
      <c r="AX83" t="inlineStr">
        <is>
          <t>2021-07</t>
        </is>
      </c>
      <c r="AY83" t="inlineStr">
        <is>
          <t>Anmalan</t>
        </is>
      </c>
      <c r="AZ83" t="inlineStr">
        <is>
          <t>2026-01-30</t>
        </is>
      </c>
      <c r="BA83" t="inlineStr">
        <is>
          <t>Miljö-2024-62-1_Bilaga 2. Fullständiga analysprotokoll.pdf</t>
        </is>
      </c>
      <c r="BB83" t="inlineStr">
        <is>
          <t>Sv:  Begäran om utlämnande av allmän handling – Anmälningar och beslut rörande mellanlagring av avfall samt anläggning av ytor</t>
        </is>
      </c>
      <c r="BC83" t="inlineStr">
        <is>
          <t>AUTO</t>
        </is>
      </c>
      <c r="BD83" t="inlineStr"/>
      <c r="BE83" t="inlineStr"/>
      <c r="BF83" t="inlineStr">
        <is>
          <t>AUTO_GENERERAD. Bekrafta metadata mot kallfil.</t>
        </is>
      </c>
      <c r="BG83">
        <f>HYPERLINK("C:\Users\jimmy\Desktop\Examens arbete\Kod\Ny mapp\remix_-copy-of-miljöbeslut.se-portal\Miljö-2024-62-1_Bilaga 2. Fullständiga analysprotokoll.pdf", "Öppna PDF")</f>
        <v/>
      </c>
    </row>
    <row r="84">
      <c r="A84" t="inlineStr">
        <is>
          <t>KRAV-AUTO-000083</t>
        </is>
      </c>
      <c r="B84" t="inlineStr">
        <is>
          <t>ADMIN-INDEX-2026-02-27-00000000125C043F57453246863FE664CAFE6A3F0700950291EA24F0614FB6ACEDB12BF0E31D00000000010C0000950291EA24F0614FB6ACEDB12BF0E31D00002087B7BA0000</t>
        </is>
      </c>
      <c r="C84" t="inlineStr">
        <is>
          <t>cmm4yumu1002kcuqwpkcrq7uf</t>
        </is>
      </c>
      <c r="D84" t="inlineStr">
        <is>
          <t>http://localhost:8787/api/admin/requirements/documents/cmm4yumu1002kcuqwpkcrq7uf/view</t>
        </is>
      </c>
      <c r="E84">
        <f>HYPERLÄNK("http://localhost:8787/api/admin/requirements/documents/cmm4yumu1002kcuqwpkcrq7uf/view";"Öppna PDF")</f>
        <v/>
      </c>
      <c r="F84">
        <f>HYPERLINK("http://localhost:8787/api/admin/requirements/documents/cmm4yumu1002kcuqwpkcrq7uf/view","Open PDF")</f>
        <v/>
      </c>
      <c r="G84" t="inlineStr">
        <is>
          <t>cmm55w57p0004cuisfrtpqly8</t>
        </is>
      </c>
      <c r="H84" t="inlineStr">
        <is>
          <t>Informationskrav</t>
        </is>
      </c>
      <c r="I84" t="inlineStr">
        <is>
          <t>DriftEgenkontroll</t>
        </is>
      </c>
      <c r="J84" t="inlineStr">
        <is>
          <t>Journalforing</t>
        </is>
      </c>
      <c r="K84" t="inlineStr">
        <is>
          <t>Provtagning och sondering utfördes med borrbandvagn av typen Geomachine 65 (GM 65).</t>
        </is>
      </c>
      <c r="L84" t="inlineStr">
        <is>
          <t>Provtagning och sondering utfördes med borrbandvagn av typen Geomachine 65 (GM 65).</t>
        </is>
      </c>
      <c r="M84" t="inlineStr">
        <is>
          <t>BOR</t>
        </is>
      </c>
      <c r="N84" t="inlineStr"/>
      <c r="O84" t="inlineStr"/>
      <c r="P84" t="inlineStr"/>
      <c r="Q84" t="inlineStr"/>
      <c r="R84" t="inlineStr">
        <is>
          <t>Lopande drift</t>
        </is>
      </c>
      <c r="S84" t="inlineStr"/>
      <c r="T84" t="inlineStr"/>
      <c r="U84" t="inlineStr"/>
      <c r="V84" t="inlineStr"/>
      <c r="W84" t="inlineStr">
        <is>
          <t>Nej</t>
        </is>
      </c>
      <c r="X84" t="inlineStr">
        <is>
          <t>Nej</t>
        </is>
      </c>
      <c r="Y84" t="inlineStr">
        <is>
          <t>Ja</t>
        </is>
      </c>
      <c r="Z84" t="inlineStr">
        <is>
          <t>Nej</t>
        </is>
      </c>
      <c r="AA84" t="n">
        <v>7</v>
      </c>
      <c r="AB84" t="inlineStr">
        <is>
          <t>Egenkontrollrutiner</t>
        </is>
      </c>
      <c r="AC84" t="inlineStr">
        <is>
          <t>Egenkontrollprogram</t>
        </is>
      </c>
      <c r="AD84" t="inlineStr">
        <is>
          <t>Nej</t>
        </is>
      </c>
      <c r="AE84" t="inlineStr">
        <is>
          <t>Nej</t>
        </is>
      </c>
      <c r="AF84" t="inlineStr">
        <is>
          <t>Ej behandlad</t>
        </is>
      </c>
      <c r="AG84" t="inlineStr">
        <is>
          <t>AUTO_GENERERAD. Verifiera citat mot kallfil.</t>
        </is>
      </c>
      <c r="AH84" t="inlineStr">
        <is>
          <t>MEDIUM</t>
        </is>
      </c>
      <c r="AI84" t="inlineStr">
        <is>
          <t>AUTO</t>
        </is>
      </c>
      <c r="AJ84" t="inlineStr">
        <is>
          <t>Nej</t>
        </is>
      </c>
      <c r="AK84" t="inlineStr"/>
      <c r="AL84" t="inlineStr"/>
      <c r="AM84" t="inlineStr"/>
      <c r="AN84" t="inlineStr"/>
      <c r="AO84" t="inlineStr">
        <is>
          <t>cmm4yumu4002ncuqwsv6yg2uz</t>
        </is>
      </c>
      <c r="AP84" t="inlineStr">
        <is>
          <t>http://localhost:8787/api/admin/requirements/documents/cmm4yumu4002ncuqwsv6yg2uz/view</t>
        </is>
      </c>
      <c r="AQ84">
        <f>HYPERLÄNK("http://localhost:8787/api/admin/requirements/documents/cmm4yumu4002ncuqwsv6yg2uz/view";"Öppna PDF")</f>
        <v/>
      </c>
      <c r="AR84">
        <f>HYPERLINK("http://localhost:8787/api/admin/requirements/documents/cmm4yumu4002ncuqwsv6yg2uz/view","Open PDF")</f>
        <v/>
      </c>
      <c r="AS84" t="inlineStr">
        <is>
          <t>cmm55w57p0004cuisfrtpqly8</t>
        </is>
      </c>
      <c r="AT84" t="inlineStr">
        <is>
          <t>cmm4xvu980000cuh4vj0usz09</t>
        </is>
      </c>
      <c r="AU84" t="inlineStr"/>
      <c r="AV84" t="inlineStr">
        <is>
          <t>Kommun</t>
        </is>
      </c>
      <c r="AW84" t="inlineStr"/>
      <c r="AX84" t="inlineStr">
        <is>
          <t>2021-07</t>
        </is>
      </c>
      <c r="AY84" t="inlineStr">
        <is>
          <t>Anmalan</t>
        </is>
      </c>
      <c r="AZ84" t="inlineStr">
        <is>
          <t>2026-01-30</t>
        </is>
      </c>
      <c r="BA84" t="inlineStr">
        <is>
          <t>Miljö-2024-62-1_Bilaga 2. Fullständiga analysprotokoll.pdf</t>
        </is>
      </c>
      <c r="BB84" t="inlineStr">
        <is>
          <t>Sv:  Begäran om utlämnande av allmän handling – Anmälningar och beslut rörande mellanlagring av avfall samt anläggning av ytor</t>
        </is>
      </c>
      <c r="BC84" t="inlineStr">
        <is>
          <t>AUTO</t>
        </is>
      </c>
      <c r="BD84" t="inlineStr"/>
      <c r="BE84" t="inlineStr"/>
      <c r="BF84" t="inlineStr">
        <is>
          <t>AUTO_GENERERAD. Bekrafta metadata mot kallfil.</t>
        </is>
      </c>
      <c r="BG84">
        <f>HYPERLINK("C:\Users\jimmy\Desktop\Examens arbete\Kod\Ny mapp\remix_-copy-of-miljöbeslut.se-portal\Miljö-2024-62-1_Bilaga 2. Fullständiga analysprotokoll.pdf", "Öppna PDF")</f>
        <v/>
      </c>
    </row>
    <row r="85">
      <c r="A85" t="inlineStr">
        <is>
          <t>KRAV-AUTO-000084</t>
        </is>
      </c>
      <c r="B85" t="inlineStr">
        <is>
          <t>ADMIN-INDEX-2026-02-27-00000000125C043F57453246863FE664CAFE6A3F0700950291EA24F0614FB6ACEDB12BF0E31D00000000010C0000950291EA24F0614FB6ACEDB12BF0E31D00002087B7BA0000</t>
        </is>
      </c>
      <c r="C85" t="inlineStr">
        <is>
          <t>cmm4yumtx002hcuqwv0inhjgk</t>
        </is>
      </c>
      <c r="D85" t="inlineStr">
        <is>
          <t>http://localhost:8787/api/admin/requirements/documents/cmm4yumtx002hcuqwv0inhjgk/view</t>
        </is>
      </c>
      <c r="E85">
        <f>HYPERLÄNK("http://localhost:8787/api/admin/requirements/documents/cmm4yumtx002hcuqwv0inhjgk/view";"Öppna PDF")</f>
        <v/>
      </c>
      <c r="F85">
        <f>HYPERLINK("http://localhost:8787/api/admin/requirements/documents/cmm4yumtx002hcuqwv0inhjgk/view","Open PDF")</f>
        <v/>
      </c>
      <c r="G85" t="inlineStr">
        <is>
          <t>cmm55w57p0004cuisfrtpqly8</t>
        </is>
      </c>
      <c r="H85" t="inlineStr">
        <is>
          <t>Informationskrav</t>
        </is>
      </c>
      <c r="I85" t="inlineStr">
        <is>
          <t>DriftEgenkontroll</t>
        </is>
      </c>
      <c r="J85" t="inlineStr">
        <is>
          <t>Journalforing</t>
        </is>
      </c>
      <c r="K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 anläggningen är inritad Karta där följande är inritat 3 st Bilaga 2 närmaste bostads- och fritidshus närmaste vattentäkt (kommunal eller privat) närmaste sjö, vattendrag, dike transportvägar Eventuella analysresultat från provtagning av materialet Kommer in med dessa nor Platren som matit dein sha komma iträn är Desteind Eventuella handlingar som styrker anläggningens syfte.</t>
        </is>
      </c>
      <c r="L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t>
        </is>
      </c>
      <c r="M85" t="inlineStr">
        <is>
          <t>SKA</t>
        </is>
      </c>
      <c r="N85" t="inlineStr"/>
      <c r="O85" t="inlineStr"/>
      <c r="P85" t="inlineStr"/>
      <c r="Q85" t="inlineStr"/>
      <c r="R85" t="inlineStr">
        <is>
          <t>Lopande drift</t>
        </is>
      </c>
      <c r="S85" t="inlineStr"/>
      <c r="T85" t="inlineStr">
        <is>
          <t>670914</t>
        </is>
      </c>
      <c r="U85" t="inlineStr"/>
      <c r="V85" t="inlineStr"/>
      <c r="W85" t="inlineStr">
        <is>
          <t>Nej</t>
        </is>
      </c>
      <c r="X85" t="inlineStr">
        <is>
          <t>Nej</t>
        </is>
      </c>
      <c r="Y85" t="inlineStr">
        <is>
          <t>Ja</t>
        </is>
      </c>
      <c r="Z85" t="inlineStr">
        <is>
          <t>Nej</t>
        </is>
      </c>
      <c r="AA85" t="n">
        <v>7</v>
      </c>
      <c r="AB85" t="inlineStr">
        <is>
          <t>Egenkontrollrutiner</t>
        </is>
      </c>
      <c r="AC85" t="inlineStr">
        <is>
          <t>Egenkontrollprogram</t>
        </is>
      </c>
      <c r="AD85" t="inlineStr">
        <is>
          <t>Nej</t>
        </is>
      </c>
      <c r="AE85" t="inlineStr">
        <is>
          <t>Nej</t>
        </is>
      </c>
      <c r="AF85" t="inlineStr">
        <is>
          <t>Ej behandlad</t>
        </is>
      </c>
      <c r="AG85" t="inlineStr">
        <is>
          <t>AUTO_GENERERAD. Verifiera citat mot kallfil.</t>
        </is>
      </c>
      <c r="AH85" t="inlineStr">
        <is>
          <t>MEDIUM</t>
        </is>
      </c>
      <c r="AI85" t="inlineStr">
        <is>
          <t>AUTO</t>
        </is>
      </c>
      <c r="AJ85" t="inlineStr">
        <is>
          <t>Nej</t>
        </is>
      </c>
      <c r="AK85" t="inlineStr"/>
      <c r="AL85" t="inlineStr"/>
      <c r="AM85" t="inlineStr"/>
      <c r="AN85" t="inlineStr"/>
      <c r="AO85" t="inlineStr">
        <is>
          <t>cmm4yumu4002ncuqwsv6yg2uz</t>
        </is>
      </c>
      <c r="AP85" t="inlineStr">
        <is>
          <t>http://localhost:8787/api/admin/requirements/documents/cmm4yumu4002ncuqwsv6yg2uz/view</t>
        </is>
      </c>
      <c r="AQ85">
        <f>HYPERLÄNK("http://localhost:8787/api/admin/requirements/documents/cmm4yumu4002ncuqwsv6yg2uz/view";"Öppna PDF")</f>
        <v/>
      </c>
      <c r="AR85">
        <f>HYPERLINK("http://localhost:8787/api/admin/requirements/documents/cmm4yumu4002ncuqwsv6yg2uz/view","Open PDF")</f>
        <v/>
      </c>
      <c r="AS85" t="inlineStr">
        <is>
          <t>cmm55w57p0004cuisfrtpqly8</t>
        </is>
      </c>
      <c r="AT85" t="inlineStr">
        <is>
          <t>cmm4xvu980000cuh4vj0usz09</t>
        </is>
      </c>
      <c r="AU85" t="inlineStr"/>
      <c r="AV85" t="inlineStr">
        <is>
          <t>Kommun</t>
        </is>
      </c>
      <c r="AW85" t="inlineStr"/>
      <c r="AX85" t="inlineStr">
        <is>
          <t>2021-07</t>
        </is>
      </c>
      <c r="AY85" t="inlineStr">
        <is>
          <t>Anmalan</t>
        </is>
      </c>
      <c r="AZ85" t="inlineStr">
        <is>
          <t>2026-01-30</t>
        </is>
      </c>
      <c r="BA85" t="inlineStr">
        <is>
          <t>Miljö-2024-62-1_Bilaga 2. Fullständiga analysprotokoll.pdf</t>
        </is>
      </c>
      <c r="BB85" t="inlineStr">
        <is>
          <t>Sv:  Begäran om utlämnande av allmän handling – Anmälningar och beslut rörande mellanlagring av avfall samt anläggning av ytor</t>
        </is>
      </c>
      <c r="BC85" t="inlineStr">
        <is>
          <t>AUTO</t>
        </is>
      </c>
      <c r="BD85" t="inlineStr"/>
      <c r="BE85" t="inlineStr"/>
      <c r="BF85" t="inlineStr">
        <is>
          <t>AUTO_GENERERAD. Bekrafta metadata mot kallfil.</t>
        </is>
      </c>
      <c r="BG85">
        <f>HYPERLINK("C:\Users\jimmy\Desktop\Examens arbete\Kod\Ny mapp\remix_-copy-of-miljöbeslut.se-portal\Miljö-2024-62-1_Bilaga 2. Fullständiga analysprotokoll.pdf", "Öppna PDF")</f>
        <v/>
      </c>
    </row>
    <row r="86">
      <c r="A86" t="inlineStr">
        <is>
          <t>KRAV-AUTO-000085</t>
        </is>
      </c>
      <c r="B86" t="inlineStr">
        <is>
          <t>ADMIN-INDEX-2026-02-27-00000000125C043F57453246863FE664CAFE6A3F0700950291EA24F0614FB6ACEDB12BF0E31D00000000010C0000950291EA24F0614FB6ACEDB12BF0E31D00002087B7BA0000</t>
        </is>
      </c>
      <c r="C86" t="inlineStr">
        <is>
          <t>cmm4yumtx002hcuqwv0inhjgk</t>
        </is>
      </c>
      <c r="D86" t="inlineStr">
        <is>
          <t>http://localhost:8787/api/admin/requirements/documents/cmm4yumtx002hcuqwv0inhjgk/view</t>
        </is>
      </c>
      <c r="E86">
        <f>HYPERLÄNK("http://localhost:8787/api/admin/requirements/documents/cmm4yumtx002hcuqwv0inhjgk/view";"Öppna PDF")</f>
        <v/>
      </c>
      <c r="F86">
        <f>HYPERLINK("http://localhost:8787/api/admin/requirements/documents/cmm4yumtx002hcuqwv0inhjgk/view","Open PDF")</f>
        <v/>
      </c>
      <c r="G86" t="inlineStr">
        <is>
          <t>cmm55w57p0004cuisfrtpqly8</t>
        </is>
      </c>
      <c r="H86" t="inlineStr">
        <is>
          <t>Informationskrav</t>
        </is>
      </c>
      <c r="I86" t="inlineStr">
        <is>
          <t>LagringsvolymTid</t>
        </is>
      </c>
      <c r="J86" t="inlineStr">
        <is>
          <t>Maxmangd</t>
        </is>
      </c>
      <c r="K86" t="inlineStr">
        <is>
          <t>(m²) Ca 10000 m² Total mängd avfall som ska användas Mat jord Även avfallsmängd för respektive avfallsslag ska ton 9500 redovisas, se Bilaga 1.</t>
        </is>
      </c>
      <c r="L86" t="inlineStr">
        <is>
          <t>(m²) Ca 10000 m² Total mängd avfall som ska användas Mat jord Även avfallsmängd för respektive avfallsslag ska ton 9500 redovisas, se Bilaga 1.</t>
        </is>
      </c>
      <c r="M86" t="inlineStr">
        <is>
          <t>SKA</t>
        </is>
      </c>
      <c r="N86" t="inlineStr"/>
      <c r="O86" t="inlineStr"/>
      <c r="P86" t="inlineStr"/>
      <c r="Q86" t="inlineStr"/>
      <c r="R86" t="inlineStr">
        <is>
          <t>Alltid</t>
        </is>
      </c>
      <c r="S86" t="inlineStr"/>
      <c r="T86" t="inlineStr">
        <is>
          <t>670914</t>
        </is>
      </c>
      <c r="U86" t="inlineStr"/>
      <c r="V86" t="inlineStr"/>
      <c r="W86" t="inlineStr">
        <is>
          <t>Nej</t>
        </is>
      </c>
      <c r="X86" t="inlineStr">
        <is>
          <t>Nej</t>
        </is>
      </c>
      <c r="Y86" t="inlineStr">
        <is>
          <t>Nej</t>
        </is>
      </c>
      <c r="Z86" t="inlineStr">
        <is>
          <t>Nej</t>
        </is>
      </c>
      <c r="AA86" t="n">
        <v>4</v>
      </c>
      <c r="AB86" t="inlineStr">
        <is>
          <t>Avfallsmangder och lagringstid</t>
        </is>
      </c>
      <c r="AC86" t="inlineStr">
        <is>
          <t>Avfallsforteckning</t>
        </is>
      </c>
      <c r="AD86" t="inlineStr">
        <is>
          <t>Nej</t>
        </is>
      </c>
      <c r="AE86" t="inlineStr">
        <is>
          <t>Nej</t>
        </is>
      </c>
      <c r="AF86" t="inlineStr">
        <is>
          <t>Ej behandlad</t>
        </is>
      </c>
      <c r="AG86" t="inlineStr">
        <is>
          <t>AUTO_GENERERAD. Verifiera citat mot kallfil.</t>
        </is>
      </c>
      <c r="AH86" t="inlineStr">
        <is>
          <t>MEDIUM</t>
        </is>
      </c>
      <c r="AI86" t="inlineStr">
        <is>
          <t>AUTO</t>
        </is>
      </c>
      <c r="AJ86" t="inlineStr">
        <is>
          <t>Nej</t>
        </is>
      </c>
      <c r="AK86" t="inlineStr"/>
      <c r="AL86" t="inlineStr"/>
      <c r="AM86" t="inlineStr"/>
      <c r="AN86" t="inlineStr"/>
      <c r="AO86" t="inlineStr">
        <is>
          <t>cmm4yumu4002ncuqwsv6yg2uz</t>
        </is>
      </c>
      <c r="AP86" t="inlineStr">
        <is>
          <t>http://localhost:8787/api/admin/requirements/documents/cmm4yumu4002ncuqwsv6yg2uz/view</t>
        </is>
      </c>
      <c r="AQ86">
        <f>HYPERLÄNK("http://localhost:8787/api/admin/requirements/documents/cmm4yumu4002ncuqwsv6yg2uz/view";"Öppna PDF")</f>
        <v/>
      </c>
      <c r="AR86">
        <f>HYPERLINK("http://localhost:8787/api/admin/requirements/documents/cmm4yumu4002ncuqwsv6yg2uz/view","Open PDF")</f>
        <v/>
      </c>
      <c r="AS86" t="inlineStr">
        <is>
          <t>cmm55w57p0004cuisfrtpqly8</t>
        </is>
      </c>
      <c r="AT86" t="inlineStr">
        <is>
          <t>cmm4xvu980000cuh4vj0usz09</t>
        </is>
      </c>
      <c r="AU86" t="inlineStr"/>
      <c r="AV86" t="inlineStr">
        <is>
          <t>Kommun</t>
        </is>
      </c>
      <c r="AW86" t="inlineStr"/>
      <c r="AX86" t="inlineStr">
        <is>
          <t>2021-07</t>
        </is>
      </c>
      <c r="AY86" t="inlineStr">
        <is>
          <t>Anmalan</t>
        </is>
      </c>
      <c r="AZ86" t="inlineStr">
        <is>
          <t>2026-01-30</t>
        </is>
      </c>
      <c r="BA86" t="inlineStr">
        <is>
          <t>Miljö-2024-62-1_Bilaga 2. Fullständiga analysprotokoll.pdf</t>
        </is>
      </c>
      <c r="BB86" t="inlineStr">
        <is>
          <t>Sv:  Begäran om utlämnande av allmän handling – Anmälningar och beslut rörande mellanlagring av avfall samt anläggning av ytor</t>
        </is>
      </c>
      <c r="BC86" t="inlineStr">
        <is>
          <t>AUTO</t>
        </is>
      </c>
      <c r="BD86" t="inlineStr"/>
      <c r="BE86" t="inlineStr"/>
      <c r="BF86" t="inlineStr">
        <is>
          <t>AUTO_GENERERAD. Bekrafta metadata mot kallfil.</t>
        </is>
      </c>
      <c r="BG86">
        <f>HYPERLINK("C:\Users\jimmy\Desktop\Examens arbete\Kod\Ny mapp\remix_-copy-of-miljöbeslut.se-portal\Miljö-2024-62-1_Bilaga 2. Fullständiga analysprotokoll.pdf", "Öppna PDF")</f>
        <v/>
      </c>
    </row>
    <row r="87">
      <c r="A87" t="inlineStr">
        <is>
          <t>KRAV-AUTO-000086</t>
        </is>
      </c>
      <c r="B87" t="inlineStr">
        <is>
          <t>ADMIN-INDEX-2026-02-27-00000000125C043F57453246863FE664CAFE6A3F0700950291EA24F0614FB6ACEDB12BF0E31D00000000010C0000950291EA24F0614FB6ACEDB12BF0E31D00002087B7BA0000</t>
        </is>
      </c>
      <c r="C87" t="inlineStr">
        <is>
          <t>cmm4yumtx002hcuqwv0inhjgk</t>
        </is>
      </c>
      <c r="D87" t="inlineStr">
        <is>
          <t>http://localhost:8787/api/admin/requirements/documents/cmm4yumtx002hcuqwv0inhjgk/view</t>
        </is>
      </c>
      <c r="E87">
        <f>HYPERLÄNK("http://localhost:8787/api/admin/requirements/documents/cmm4yumtx002hcuqwv0inhjgk/view";"Öppna PDF")</f>
        <v/>
      </c>
      <c r="F87">
        <f>HYPERLINK("http://localhost:8787/api/admin/requirements/documents/cmm4yumtx002hcuqwv0inhjgk/view","Open PDF")</f>
        <v/>
      </c>
      <c r="G87" t="inlineStr">
        <is>
          <t>cmm55w57p0004cuisfrtpqly8</t>
        </is>
      </c>
      <c r="H87" t="inlineStr">
        <is>
          <t>Informationskrav</t>
        </is>
      </c>
      <c r="I87" t="inlineStr">
        <is>
          <t>MiljopaverkanForsiktighet</t>
        </is>
      </c>
      <c r="J87" t="inlineStr">
        <is>
          <t>Skyddsatgarder</t>
        </is>
      </c>
      <c r="K87" t="inlineStr">
        <is>
          <t>Med avfall, återvinna avfall, förbereda avfall för återanvändning, materialåtervinna avfall, bortskaffa avfall, samla in avfall och uttjänt bil är definitionen i 29 kap miljöprövningsförordningen detsamma som i 15 kap miljöbalken.</t>
        </is>
      </c>
      <c r="L87" t="inlineStr">
        <is>
          <t>Med avfall, återvinna avfall, förbereda avfall för återanvändning, materialåtervinna avfall, bortskaffa avfall, samla in avfall och uttjänt bil är definitionen i 29 kap miljöprövningsförordningen detsamma som i 15 kap miljöbalken.</t>
        </is>
      </c>
      <c r="M87" t="inlineStr">
        <is>
          <t>SKA</t>
        </is>
      </c>
      <c r="N87" t="inlineStr">
        <is>
          <t>Miljobalken, MPF</t>
        </is>
      </c>
      <c r="O87" t="inlineStr"/>
      <c r="P87" t="inlineStr"/>
      <c r="Q87" t="inlineStr"/>
      <c r="R87" t="inlineStr">
        <is>
          <t>Alltid</t>
        </is>
      </c>
      <c r="S87" t="inlineStr"/>
      <c r="T87" t="inlineStr">
        <is>
          <t>670914</t>
        </is>
      </c>
      <c r="U87" t="inlineStr"/>
      <c r="V87" t="inlineStr"/>
      <c r="W87" t="inlineStr">
        <is>
          <t>Nej</t>
        </is>
      </c>
      <c r="X87" t="inlineStr">
        <is>
          <t>Nej</t>
        </is>
      </c>
      <c r="Y87" t="inlineStr">
        <is>
          <t>Nej</t>
        </is>
      </c>
      <c r="Z87" t="inlineStr">
        <is>
          <t>Nej</t>
        </is>
      </c>
      <c r="AA87" t="n">
        <v>10</v>
      </c>
      <c r="AB87" t="inlineStr">
        <is>
          <t>Miljopaverkan och forsiktighetsmatt</t>
        </is>
      </c>
      <c r="AC87" t="inlineStr">
        <is>
          <t>Miljo-PM</t>
        </is>
      </c>
      <c r="AD87" t="inlineStr">
        <is>
          <t>Nej</t>
        </is>
      </c>
      <c r="AE87" t="inlineStr">
        <is>
          <t>Nej</t>
        </is>
      </c>
      <c r="AF87" t="inlineStr">
        <is>
          <t>Ej behandlad</t>
        </is>
      </c>
      <c r="AG87" t="inlineStr">
        <is>
          <t>AUTO_GENERERAD. Verifiera citat mot kallfil.</t>
        </is>
      </c>
      <c r="AH87" t="inlineStr">
        <is>
          <t>HIGH</t>
        </is>
      </c>
      <c r="AI87" t="inlineStr">
        <is>
          <t>AUTO</t>
        </is>
      </c>
      <c r="AJ87" t="inlineStr">
        <is>
          <t>Nej</t>
        </is>
      </c>
      <c r="AK87" t="inlineStr"/>
      <c r="AL87" t="inlineStr"/>
      <c r="AM87" t="inlineStr"/>
      <c r="AN87" t="inlineStr"/>
      <c r="AO87" t="inlineStr">
        <is>
          <t>cmm4yumu4002ncuqwsv6yg2uz</t>
        </is>
      </c>
      <c r="AP87" t="inlineStr">
        <is>
          <t>http://localhost:8787/api/admin/requirements/documents/cmm4yumu4002ncuqwsv6yg2uz/view</t>
        </is>
      </c>
      <c r="AQ87">
        <f>HYPERLÄNK("http://localhost:8787/api/admin/requirements/documents/cmm4yumu4002ncuqwsv6yg2uz/view";"Öppna PDF")</f>
        <v/>
      </c>
      <c r="AR87">
        <f>HYPERLINK("http://localhost:8787/api/admin/requirements/documents/cmm4yumu4002ncuqwsv6yg2uz/view","Open PDF")</f>
        <v/>
      </c>
      <c r="AS87" t="inlineStr">
        <is>
          <t>cmm55w57p0004cuisfrtpqly8</t>
        </is>
      </c>
      <c r="AT87" t="inlineStr">
        <is>
          <t>cmm4xvu980000cuh4vj0usz09</t>
        </is>
      </c>
      <c r="AU87" t="inlineStr"/>
      <c r="AV87" t="inlineStr">
        <is>
          <t>Kommun</t>
        </is>
      </c>
      <c r="AW87" t="inlineStr"/>
      <c r="AX87" t="inlineStr">
        <is>
          <t>2021-07</t>
        </is>
      </c>
      <c r="AY87" t="inlineStr">
        <is>
          <t>Anmalan</t>
        </is>
      </c>
      <c r="AZ87" t="inlineStr">
        <is>
          <t>2026-01-30</t>
        </is>
      </c>
      <c r="BA87" t="inlineStr">
        <is>
          <t>Miljö-2024-62-1_Bilaga 2. Fullständiga analysprotokoll.pdf</t>
        </is>
      </c>
      <c r="BB87" t="inlineStr">
        <is>
          <t>Sv:  Begäran om utlämnande av allmän handling – Anmälningar och beslut rörande mellanlagring av avfall samt anläggning av ytor</t>
        </is>
      </c>
      <c r="BC87" t="inlineStr">
        <is>
          <t>AUTO</t>
        </is>
      </c>
      <c r="BD87" t="inlineStr"/>
      <c r="BE87" t="inlineStr"/>
      <c r="BF87" t="inlineStr">
        <is>
          <t>AUTO_GENERERAD. Bekrafta metadata mot kallfil.</t>
        </is>
      </c>
      <c r="BG87">
        <f>HYPERLINK("C:\Users\jimmy\Desktop\Examens arbete\Kod\Ny mapp\remix_-copy-of-miljöbeslut.se-portal\Miljö-2024-62-1_Bilaga 2. Fullständiga analysprotokoll.pdf", "Öppna PDF")</f>
        <v/>
      </c>
    </row>
    <row r="88">
      <c r="A88" t="inlineStr">
        <is>
          <t>KRAV-AUTO-000087</t>
        </is>
      </c>
      <c r="B88" t="inlineStr">
        <is>
          <t>ADMIN-INDEX-2026-02-27-00000000125C043F57453246863FE664CAFE6A3F0700950291EA24F0614FB6ACEDB12BF0E31D00000000010C0000950291EA24F0614FB6ACEDB12BF0E31D00002087B7BA0000</t>
        </is>
      </c>
      <c r="C88" t="inlineStr">
        <is>
          <t>cmm4yumtu002ecuqw10ynlboe</t>
        </is>
      </c>
      <c r="D88" t="inlineStr">
        <is>
          <t>http://localhost:8787/api/admin/requirements/documents/cmm4yumtu002ecuqw10ynlboe/view</t>
        </is>
      </c>
      <c r="E88">
        <f>HYPERLÄNK("http://localhost:8787/api/admin/requirements/documents/cmm4yumtu002ecuqw10ynlboe/view";"Öppna PDF")</f>
        <v/>
      </c>
      <c r="F88">
        <f>HYPERLINK("http://localhost:8787/api/admin/requirements/documents/cmm4yumtu002ecuqw10ynlboe/view","Open PDF")</f>
        <v/>
      </c>
      <c r="G88" t="inlineStr">
        <is>
          <t>cmm55w57p0004cuisfrtpqly8</t>
        </is>
      </c>
      <c r="H88" t="inlineStr">
        <is>
          <t>Informationskrav</t>
        </is>
      </c>
      <c r="I88" t="inlineStr">
        <is>
          <t>DagvattenLakvatten</t>
        </is>
      </c>
      <c r="J88" t="inlineStr">
        <is>
          <t>Uppsamling</t>
        </is>
      </c>
      <c r="K88" t="inlineStr">
        <is>
          <t>• Halterna i de jordmassor som tillförs fastigheten får inte överstiga MRR (mindre än ringa risk) enligt riktvärden för föroreningshaltnivåer i avfall samt urlakning beskrivna i Naturvårdsverkets handbok 2010:1.</t>
        </is>
      </c>
      <c r="L88" t="inlineStr">
        <is>
          <t>• Halterna i de jordmassor som tillförs fastigheten får inte överstiga MRR (mindre än ringa risk) enligt riktvärden för föroreningshaltnivåer i avfall samt urlakning beskrivna i Naturvårdsverkets handbok 2010:1.</t>
        </is>
      </c>
      <c r="M88" t="inlineStr">
        <is>
          <t>SKA</t>
        </is>
      </c>
      <c r="N88" t="inlineStr">
        <is>
          <t>Naturvardsverket</t>
        </is>
      </c>
      <c r="O88" t="inlineStr"/>
      <c r="P88" t="inlineStr"/>
      <c r="Q88" t="inlineStr">
        <is>
          <t>Driftbegransning vid avvikelse</t>
        </is>
      </c>
      <c r="R88" t="inlineStr">
        <is>
          <t>Vid nederbord och avrinning</t>
        </is>
      </c>
      <c r="S88" t="inlineStr"/>
      <c r="T88" t="inlineStr">
        <is>
          <t>25 11 00</t>
        </is>
      </c>
      <c r="U88" t="inlineStr"/>
      <c r="V88" t="inlineStr"/>
      <c r="W88" t="inlineStr">
        <is>
          <t>Nej</t>
        </is>
      </c>
      <c r="X88" t="inlineStr">
        <is>
          <t>Ja</t>
        </is>
      </c>
      <c r="Y88" t="inlineStr">
        <is>
          <t>Ja</t>
        </is>
      </c>
      <c r="Z88" t="inlineStr">
        <is>
          <t>Nej</t>
        </is>
      </c>
      <c r="AA88" t="n">
        <v>6</v>
      </c>
      <c r="AB88" t="inlineStr">
        <is>
          <t>Lakvattenhantering</t>
        </is>
      </c>
      <c r="AC88" t="inlineStr">
        <is>
          <t>Flodesschema dagvatten-lakvatten</t>
        </is>
      </c>
      <c r="AD88" t="inlineStr">
        <is>
          <t>Nej</t>
        </is>
      </c>
      <c r="AE88" t="inlineStr">
        <is>
          <t>Nej</t>
        </is>
      </c>
      <c r="AF88" t="inlineStr">
        <is>
          <t>Ej behandlad</t>
        </is>
      </c>
      <c r="AG88" t="inlineStr">
        <is>
          <t>AUTO_GENERERAD. Verifiera citat mot kallfil.</t>
        </is>
      </c>
      <c r="AH88" t="inlineStr">
        <is>
          <t>MEDIUM</t>
        </is>
      </c>
      <c r="AI88" t="inlineStr">
        <is>
          <t>AUTO</t>
        </is>
      </c>
      <c r="AJ88" t="inlineStr">
        <is>
          <t>Nej</t>
        </is>
      </c>
      <c r="AK88" t="inlineStr"/>
      <c r="AL88" t="inlineStr"/>
      <c r="AM88" t="inlineStr"/>
      <c r="AN88" t="inlineStr"/>
      <c r="AO88" t="inlineStr">
        <is>
          <t>cmm4yumu4002ncuqwsv6yg2uz</t>
        </is>
      </c>
      <c r="AP88" t="inlineStr">
        <is>
          <t>http://localhost:8787/api/admin/requirements/documents/cmm4yumu4002ncuqwsv6yg2uz/view</t>
        </is>
      </c>
      <c r="AQ88">
        <f>HYPERLÄNK("http://localhost:8787/api/admin/requirements/documents/cmm4yumu4002ncuqwsv6yg2uz/view";"Öppna PDF")</f>
        <v/>
      </c>
      <c r="AR88">
        <f>HYPERLINK("http://localhost:8787/api/admin/requirements/documents/cmm4yumu4002ncuqwsv6yg2uz/view","Open PDF")</f>
        <v/>
      </c>
      <c r="AS88" t="inlineStr">
        <is>
          <t>cmm55w57p0004cuisfrtpqly8</t>
        </is>
      </c>
      <c r="AT88" t="inlineStr">
        <is>
          <t>cmm4xvu980000cuh4vj0usz09</t>
        </is>
      </c>
      <c r="AU88" t="inlineStr"/>
      <c r="AV88" t="inlineStr">
        <is>
          <t>Kommun</t>
        </is>
      </c>
      <c r="AW88" t="inlineStr"/>
      <c r="AX88" t="inlineStr">
        <is>
          <t>2021-07</t>
        </is>
      </c>
      <c r="AY88" t="inlineStr">
        <is>
          <t>Anmalan</t>
        </is>
      </c>
      <c r="AZ88" t="inlineStr">
        <is>
          <t>2026-01-30</t>
        </is>
      </c>
      <c r="BA88" t="inlineStr">
        <is>
          <t>Miljö-2024-62-1_Bilaga 2. Fullständiga analysprotokoll.pdf</t>
        </is>
      </c>
      <c r="BB88" t="inlineStr">
        <is>
          <t>Sv:  Begäran om utlämnande av allmän handling – Anmälningar och beslut rörande mellanlagring av avfall samt anläggning av ytor</t>
        </is>
      </c>
      <c r="BC88" t="inlineStr">
        <is>
          <t>AUTO</t>
        </is>
      </c>
      <c r="BD88" t="inlineStr"/>
      <c r="BE88" t="inlineStr"/>
      <c r="BF88" t="inlineStr">
        <is>
          <t>AUTO_GENERERAD. Bekrafta metadata mot kallfil.</t>
        </is>
      </c>
      <c r="BG88">
        <f>HYPERLINK("C:\Users\jimmy\Desktop\Examens arbete\Kod\Ny mapp\remix_-copy-of-miljöbeslut.se-portal\Miljö-2024-62-1_Bilaga 2. Fullständiga analysprotokoll.pdf", "Öppna PDF")</f>
        <v/>
      </c>
    </row>
    <row r="89">
      <c r="A89" t="inlineStr">
        <is>
          <t>KRAV-AUTO-000088</t>
        </is>
      </c>
      <c r="B89" t="inlineStr">
        <is>
          <t>ADMIN-INDEX-2026-02-27-00000000125C043F57453246863FE664CAFE6A3F0700950291EA24F0614FB6ACEDB12BF0E31D00000000010C0000950291EA24F0614FB6ACEDB12BF0E31D00002087B7BA0000</t>
        </is>
      </c>
      <c r="C89" t="inlineStr">
        <is>
          <t>cmm4yumtu002ecuqw10ynlboe</t>
        </is>
      </c>
      <c r="D89" t="inlineStr">
        <is>
          <t>http://localhost:8787/api/admin/requirements/documents/cmm4yumtu002ecuqw10ynlboe/view</t>
        </is>
      </c>
      <c r="E89">
        <f>HYPERLÄNK("http://localhost:8787/api/admin/requirements/documents/cmm4yumtu002ecuqw10ynlboe/view";"Öppna PDF")</f>
        <v/>
      </c>
      <c r="F89">
        <f>HYPERLINK("http://localhost:8787/api/admin/requirements/documents/cmm4yumtu002ecuqw10ynlboe/view","Open PDF")</f>
        <v/>
      </c>
      <c r="G89" t="inlineStr">
        <is>
          <t>cmm55w57p0004cuisfrtpqly8</t>
        </is>
      </c>
      <c r="H89" t="inlineStr">
        <is>
          <t>Informationskrav</t>
        </is>
      </c>
      <c r="I89" t="inlineStr">
        <is>
          <t>LagringsvolymTid</t>
        </is>
      </c>
      <c r="J89" t="inlineStr">
        <is>
          <t>Maxmangd</t>
        </is>
      </c>
      <c r="K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L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M89" t="inlineStr">
        <is>
          <t>SKA</t>
        </is>
      </c>
      <c r="N89" t="inlineStr"/>
      <c r="O89" t="inlineStr"/>
      <c r="P89" t="inlineStr"/>
      <c r="Q89" t="inlineStr"/>
      <c r="R89" t="inlineStr">
        <is>
          <t>Alltid</t>
        </is>
      </c>
      <c r="S89" t="inlineStr"/>
      <c r="T89" t="inlineStr">
        <is>
          <t>25 11 00</t>
        </is>
      </c>
      <c r="U89" t="inlineStr"/>
      <c r="V89" t="inlineStr"/>
      <c r="W89" t="inlineStr">
        <is>
          <t>Nej</t>
        </is>
      </c>
      <c r="X89" t="inlineStr">
        <is>
          <t>Nej</t>
        </is>
      </c>
      <c r="Y89" t="inlineStr">
        <is>
          <t>Nej</t>
        </is>
      </c>
      <c r="Z89" t="inlineStr">
        <is>
          <t>Nej</t>
        </is>
      </c>
      <c r="AA89" t="n">
        <v>4</v>
      </c>
      <c r="AB89" t="inlineStr">
        <is>
          <t>Avfallsmangder och lagringstid</t>
        </is>
      </c>
      <c r="AC89" t="inlineStr">
        <is>
          <t>Avfallsforteckning</t>
        </is>
      </c>
      <c r="AD89" t="inlineStr">
        <is>
          <t>Nej</t>
        </is>
      </c>
      <c r="AE89" t="inlineStr">
        <is>
          <t>Nej</t>
        </is>
      </c>
      <c r="AF89" t="inlineStr">
        <is>
          <t>Ej behandlad</t>
        </is>
      </c>
      <c r="AG89" t="inlineStr">
        <is>
          <t>AUTO_GENERERAD. Verifiera citat mot kallfil.</t>
        </is>
      </c>
      <c r="AH89" t="inlineStr">
        <is>
          <t>MEDIUM</t>
        </is>
      </c>
      <c r="AI89" t="inlineStr">
        <is>
          <t>AUTO</t>
        </is>
      </c>
      <c r="AJ89" t="inlineStr">
        <is>
          <t>Nej</t>
        </is>
      </c>
      <c r="AK89" t="inlineStr"/>
      <c r="AL89" t="inlineStr"/>
      <c r="AM89" t="inlineStr"/>
      <c r="AN89" t="inlineStr"/>
      <c r="AO89" t="inlineStr">
        <is>
          <t>cmm4yumu4002ncuqwsv6yg2uz</t>
        </is>
      </c>
      <c r="AP89" t="inlineStr">
        <is>
          <t>http://localhost:8787/api/admin/requirements/documents/cmm4yumu4002ncuqwsv6yg2uz/view</t>
        </is>
      </c>
      <c r="AQ89">
        <f>HYPERLÄNK("http://localhost:8787/api/admin/requirements/documents/cmm4yumu4002ncuqwsv6yg2uz/view";"Öppna PDF")</f>
        <v/>
      </c>
      <c r="AR89">
        <f>HYPERLINK("http://localhost:8787/api/admin/requirements/documents/cmm4yumu4002ncuqwsv6yg2uz/view","Open PDF")</f>
        <v/>
      </c>
      <c r="AS89" t="inlineStr">
        <is>
          <t>cmm55w57p0004cuisfrtpqly8</t>
        </is>
      </c>
      <c r="AT89" t="inlineStr">
        <is>
          <t>cmm4xvu980000cuh4vj0usz09</t>
        </is>
      </c>
      <c r="AU89" t="inlineStr"/>
      <c r="AV89" t="inlineStr">
        <is>
          <t>Kommun</t>
        </is>
      </c>
      <c r="AW89" t="inlineStr"/>
      <c r="AX89" t="inlineStr">
        <is>
          <t>2021-07</t>
        </is>
      </c>
      <c r="AY89" t="inlineStr">
        <is>
          <t>Anmalan</t>
        </is>
      </c>
      <c r="AZ89" t="inlineStr">
        <is>
          <t>2026-01-30</t>
        </is>
      </c>
      <c r="BA89" t="inlineStr">
        <is>
          <t>Miljö-2024-62-1_Bilaga 2. Fullständiga analysprotokoll.pdf</t>
        </is>
      </c>
      <c r="BB89" t="inlineStr">
        <is>
          <t>Sv:  Begäran om utlämnande av allmän handling – Anmälningar och beslut rörande mellanlagring av avfall samt anläggning av ytor</t>
        </is>
      </c>
      <c r="BC89" t="inlineStr">
        <is>
          <t>AUTO</t>
        </is>
      </c>
      <c r="BD89" t="inlineStr"/>
      <c r="BE89" t="inlineStr"/>
      <c r="BF89" t="inlineStr">
        <is>
          <t>AUTO_GENERERAD. Bekrafta metadata mot kallfil.</t>
        </is>
      </c>
      <c r="BG89">
        <f>HYPERLINK("C:\Users\jimmy\Desktop\Examens arbete\Kod\Ny mapp\remix_-copy-of-miljöbeslut.se-portal\Miljö-2024-62-1_Bilaga 2. Fullständiga analysprotokoll.pdf", "Öppna PDF")</f>
        <v/>
      </c>
    </row>
    <row r="90">
      <c r="A90" t="inlineStr">
        <is>
          <t>KRAV-AUTO-000089</t>
        </is>
      </c>
      <c r="B90" t="inlineStr">
        <is>
          <t>ADMIN-INDEX-2026-02-27-00000000125C043F57453246863FE664CAFE6A3F0700950291EA24F0614FB6ACEDB12BF0E31D00000000010C0000950291EA24F0614FB6ACEDB12BF0E31D00002087B7BA0000</t>
        </is>
      </c>
      <c r="C90" t="inlineStr">
        <is>
          <t>cmm4yumtu002ecuqw10ynlboe</t>
        </is>
      </c>
      <c r="D90" t="inlineStr">
        <is>
          <t>http://localhost:8787/api/admin/requirements/documents/cmm4yumtu002ecuqw10ynlboe/view</t>
        </is>
      </c>
      <c r="E90">
        <f>HYPERLÄNK("http://localhost:8787/api/admin/requirements/documents/cmm4yumtu002ecuqw10ynlboe/view";"Öppna PDF")</f>
        <v/>
      </c>
      <c r="F90">
        <f>HYPERLINK("http://localhost:8787/api/admin/requirements/documents/cmm4yumtu002ecuqw10ynlboe/view","Open PDF")</f>
        <v/>
      </c>
      <c r="G90" t="inlineStr">
        <is>
          <t>cmm55w57p0004cuisfrtpqly8</t>
        </is>
      </c>
      <c r="H90" t="inlineStr">
        <is>
          <t>Informationskrav</t>
        </is>
      </c>
      <c r="I90" t="inlineStr">
        <is>
          <t>DriftEgenkontroll</t>
        </is>
      </c>
      <c r="J90" t="inlineStr">
        <is>
          <t>Journalforing</t>
        </is>
      </c>
      <c r="K90" t="inlineStr">
        <is>
          <t>Bedömning av jordmassor samt provtagning och analys av massor, ska redovisas också efter varje delprojekt.</t>
        </is>
      </c>
      <c r="L90" t="inlineStr">
        <is>
          <t>Bedömning av jordmassor samt provtagning och analys av massor, ska redovisas också efter varje delprojekt.</t>
        </is>
      </c>
      <c r="M90" t="inlineStr">
        <is>
          <t>SKA</t>
        </is>
      </c>
      <c r="N90" t="inlineStr"/>
      <c r="O90" t="inlineStr"/>
      <c r="P90" t="inlineStr"/>
      <c r="Q90" t="inlineStr"/>
      <c r="R90" t="inlineStr">
        <is>
          <t>Lopande drift</t>
        </is>
      </c>
      <c r="S90" t="inlineStr"/>
      <c r="T90" t="inlineStr">
        <is>
          <t>25 11 00</t>
        </is>
      </c>
      <c r="U90" t="inlineStr"/>
      <c r="V90" t="inlineStr"/>
      <c r="W90" t="inlineStr">
        <is>
          <t>Nej</t>
        </is>
      </c>
      <c r="X90" t="inlineStr">
        <is>
          <t>Nej</t>
        </is>
      </c>
      <c r="Y90" t="inlineStr">
        <is>
          <t>Ja</t>
        </is>
      </c>
      <c r="Z90" t="inlineStr">
        <is>
          <t>Nej</t>
        </is>
      </c>
      <c r="AA90" t="n">
        <v>7</v>
      </c>
      <c r="AB90" t="inlineStr">
        <is>
          <t>Egenkontrollrutiner</t>
        </is>
      </c>
      <c r="AC90" t="inlineStr">
        <is>
          <t>Egenkontrollprogram</t>
        </is>
      </c>
      <c r="AD90" t="inlineStr">
        <is>
          <t>Nej</t>
        </is>
      </c>
      <c r="AE90" t="inlineStr">
        <is>
          <t>Nej</t>
        </is>
      </c>
      <c r="AF90" t="inlineStr">
        <is>
          <t>Ej behandlad</t>
        </is>
      </c>
      <c r="AG90" t="inlineStr">
        <is>
          <t>AUTO_GENERERAD. Verifiera citat mot kallfil.</t>
        </is>
      </c>
      <c r="AH90" t="inlineStr">
        <is>
          <t>MEDIUM</t>
        </is>
      </c>
      <c r="AI90" t="inlineStr">
        <is>
          <t>AUTO</t>
        </is>
      </c>
      <c r="AJ90" t="inlineStr">
        <is>
          <t>Nej</t>
        </is>
      </c>
      <c r="AK90" t="inlineStr"/>
      <c r="AL90" t="inlineStr"/>
      <c r="AM90" t="inlineStr"/>
      <c r="AN90" t="inlineStr"/>
      <c r="AO90" t="inlineStr">
        <is>
          <t>cmm4yumu4002ncuqwsv6yg2uz</t>
        </is>
      </c>
      <c r="AP90" t="inlineStr">
        <is>
          <t>http://localhost:8787/api/admin/requirements/documents/cmm4yumu4002ncuqwsv6yg2uz/view</t>
        </is>
      </c>
      <c r="AQ90">
        <f>HYPERLÄNK("http://localhost:8787/api/admin/requirements/documents/cmm4yumu4002ncuqwsv6yg2uz/view";"Öppna PDF")</f>
        <v/>
      </c>
      <c r="AR90">
        <f>HYPERLINK("http://localhost:8787/api/admin/requirements/documents/cmm4yumu4002ncuqwsv6yg2uz/view","Open PDF")</f>
        <v/>
      </c>
      <c r="AS90" t="inlineStr">
        <is>
          <t>cmm55w57p0004cuisfrtpqly8</t>
        </is>
      </c>
      <c r="AT90" t="inlineStr">
        <is>
          <t>cmm4xvu980000cuh4vj0usz09</t>
        </is>
      </c>
      <c r="AU90" t="inlineStr"/>
      <c r="AV90" t="inlineStr">
        <is>
          <t>Kommun</t>
        </is>
      </c>
      <c r="AW90" t="inlineStr"/>
      <c r="AX90" t="inlineStr">
        <is>
          <t>2021-07</t>
        </is>
      </c>
      <c r="AY90" t="inlineStr">
        <is>
          <t>Anmalan</t>
        </is>
      </c>
      <c r="AZ90" t="inlineStr">
        <is>
          <t>2026-01-30</t>
        </is>
      </c>
      <c r="BA90" t="inlineStr">
        <is>
          <t>Miljö-2024-62-1_Bilaga 2. Fullständiga analysprotokoll.pdf</t>
        </is>
      </c>
      <c r="BB90" t="inlineStr">
        <is>
          <t>Sv:  Begäran om utlämnande av allmän handling – Anmälningar och beslut rörande mellanlagring av avfall samt anläggning av ytor</t>
        </is>
      </c>
      <c r="BC90" t="inlineStr">
        <is>
          <t>AUTO</t>
        </is>
      </c>
      <c r="BD90" t="inlineStr"/>
      <c r="BE90" t="inlineStr"/>
      <c r="BF90" t="inlineStr">
        <is>
          <t>AUTO_GENERERAD. Bekrafta metadata mot kallfil.</t>
        </is>
      </c>
      <c r="BG90">
        <f>HYPERLINK("C:\Users\jimmy\Desktop\Examens arbete\Kod\Ny mapp\remix_-copy-of-miljöbeslut.se-portal\Miljö-2024-62-1_Bilaga 2. Fullständiga analysprotokoll.pdf", "Öppna PDF")</f>
        <v/>
      </c>
    </row>
    <row r="91">
      <c r="A91" t="inlineStr">
        <is>
          <t>KRAV-AUTO-000090</t>
        </is>
      </c>
      <c r="B91" t="inlineStr">
        <is>
          <t>ADMIN-INDEX-2026-02-27-00000000125C043F57453246863FE664CAFE6A3F0700950291EA24F0614FB6ACEDB12BF0E31D00000000010C0000950291EA24F0614FB6ACEDB12BF0E31D00002087B7BA0000</t>
        </is>
      </c>
      <c r="C91" t="inlineStr">
        <is>
          <t>cmm4yumtr002bcuqweaexxv26</t>
        </is>
      </c>
      <c r="D91" t="inlineStr">
        <is>
          <t>http://localhost:8787/api/admin/requirements/documents/cmm4yumtr002bcuqweaexxv26/view</t>
        </is>
      </c>
      <c r="E91">
        <f>HYPERLÄNK("http://localhost:8787/api/admin/requirements/documents/cmm4yumtr002bcuqweaexxv26/view";"Öppna PDF")</f>
        <v/>
      </c>
      <c r="F91">
        <f>HYPERLINK("http://localhost:8787/api/admin/requirements/documents/cmm4yumtr002bcuqweaexxv26/view","Open PDF")</f>
        <v/>
      </c>
      <c r="G91" t="inlineStr">
        <is>
          <t>cmm55w57p0004cuisfrtpqly8</t>
        </is>
      </c>
      <c r="H91" t="inlineStr">
        <is>
          <t>Kompletteringskrav</t>
        </is>
      </c>
      <c r="I91" t="inlineStr">
        <is>
          <t>DagvattenLakvatten</t>
        </is>
      </c>
      <c r="J91" t="inlineStr">
        <is>
          <t>Uppsamling</t>
        </is>
      </c>
      <c r="K91" t="inlineStr">
        <is>
          <t>• Halterna i de jordmassor som tillförs fastigheten får inte överstiga MRR (mindre än ringa risk) enligt riktvärden för föroreningshaltnivåer i avfall samt urlakning beskrivna i Naturvårdsverkets handbok 2010:1.</t>
        </is>
      </c>
      <c r="L91" t="inlineStr">
        <is>
          <t>• Halterna i de jordmassor som tillförs fastigheten får inte överstiga MRR (mindre än ringa risk) enligt riktvärden för föroreningshaltnivåer i avfall samt urlakning beskrivna i Naturvårdsverkets handbok 2010:1.</t>
        </is>
      </c>
      <c r="M91" t="inlineStr">
        <is>
          <t>SKA</t>
        </is>
      </c>
      <c r="N91" t="inlineStr">
        <is>
          <t>Naturvardsverket</t>
        </is>
      </c>
      <c r="O91" t="inlineStr"/>
      <c r="P91" t="inlineStr"/>
      <c r="Q91" t="inlineStr">
        <is>
          <t>Driftbegransning vid avvikelse</t>
        </is>
      </c>
      <c r="R91" t="inlineStr">
        <is>
          <t>Vid nederbord och avrinning</t>
        </is>
      </c>
      <c r="S91" t="inlineStr"/>
      <c r="T91" t="inlineStr">
        <is>
          <t>25 11 00</t>
        </is>
      </c>
      <c r="U91" t="inlineStr"/>
      <c r="V91" t="inlineStr"/>
      <c r="W91" t="inlineStr">
        <is>
          <t>Nej</t>
        </is>
      </c>
      <c r="X91" t="inlineStr">
        <is>
          <t>Ja</t>
        </is>
      </c>
      <c r="Y91" t="inlineStr">
        <is>
          <t>Ja</t>
        </is>
      </c>
      <c r="Z91" t="inlineStr">
        <is>
          <t>Nej</t>
        </is>
      </c>
      <c r="AA91" t="n">
        <v>6</v>
      </c>
      <c r="AB91" t="inlineStr">
        <is>
          <t>Lakvattenhantering</t>
        </is>
      </c>
      <c r="AC91" t="inlineStr">
        <is>
          <t>Flodesschema dagvatten-lakvatten</t>
        </is>
      </c>
      <c r="AD91" t="inlineStr">
        <is>
          <t>Nej</t>
        </is>
      </c>
      <c r="AE91" t="inlineStr">
        <is>
          <t>Nej</t>
        </is>
      </c>
      <c r="AF91" t="inlineStr">
        <is>
          <t>Ej behandlad</t>
        </is>
      </c>
      <c r="AG91" t="inlineStr">
        <is>
          <t>AUTO_GENERERAD. Verifiera citat mot kallfil.</t>
        </is>
      </c>
      <c r="AH91" t="inlineStr">
        <is>
          <t>MEDIUM</t>
        </is>
      </c>
      <c r="AI91" t="inlineStr">
        <is>
          <t>AUTO</t>
        </is>
      </c>
      <c r="AJ91" t="inlineStr">
        <is>
          <t>Nej</t>
        </is>
      </c>
      <c r="AK91" t="inlineStr"/>
      <c r="AL91" t="inlineStr"/>
      <c r="AM91" t="inlineStr"/>
      <c r="AN91" t="inlineStr"/>
      <c r="AO91" t="inlineStr">
        <is>
          <t>cmm4yumu4002ncuqwsv6yg2uz</t>
        </is>
      </c>
      <c r="AP91" t="inlineStr">
        <is>
          <t>http://localhost:8787/api/admin/requirements/documents/cmm4yumu4002ncuqwsv6yg2uz/view</t>
        </is>
      </c>
      <c r="AQ91">
        <f>HYPERLÄNK("http://localhost:8787/api/admin/requirements/documents/cmm4yumu4002ncuqwsv6yg2uz/view";"Öppna PDF")</f>
        <v/>
      </c>
      <c r="AR91">
        <f>HYPERLINK("http://localhost:8787/api/admin/requirements/documents/cmm4yumu4002ncuqwsv6yg2uz/view","Open PDF")</f>
        <v/>
      </c>
      <c r="AS91" t="inlineStr">
        <is>
          <t>cmm55w57p0004cuisfrtpqly8</t>
        </is>
      </c>
      <c r="AT91" t="inlineStr">
        <is>
          <t>cmm4xvu980000cuh4vj0usz09</t>
        </is>
      </c>
      <c r="AU91" t="inlineStr"/>
      <c r="AV91" t="inlineStr">
        <is>
          <t>Kommun</t>
        </is>
      </c>
      <c r="AW91" t="inlineStr"/>
      <c r="AX91" t="inlineStr">
        <is>
          <t>2021-07</t>
        </is>
      </c>
      <c r="AY91" t="inlineStr">
        <is>
          <t>Anmalan</t>
        </is>
      </c>
      <c r="AZ91" t="inlineStr">
        <is>
          <t>2026-01-30</t>
        </is>
      </c>
      <c r="BA91" t="inlineStr">
        <is>
          <t>Miljö-2024-62-1_Bilaga 2. Fullständiga analysprotokoll.pdf</t>
        </is>
      </c>
      <c r="BB91" t="inlineStr">
        <is>
          <t>Sv:  Begäran om utlämnande av allmän handling – Anmälningar och beslut rörande mellanlagring av avfall samt anläggning av ytor</t>
        </is>
      </c>
      <c r="BC91" t="inlineStr">
        <is>
          <t>AUTO</t>
        </is>
      </c>
      <c r="BD91" t="inlineStr"/>
      <c r="BE91" t="inlineStr"/>
      <c r="BF91" t="inlineStr">
        <is>
          <t>AUTO_GENERERAD. Bekrafta metadata mot kallfil.</t>
        </is>
      </c>
      <c r="BG91">
        <f>HYPERLINK("C:\Users\jimmy\Desktop\Examens arbete\Kod\Ny mapp\remix_-copy-of-miljöbeslut.se-portal\Miljö-2024-62-1_Bilaga 2. Fullständiga analysprotokoll.pdf", "Öppna PDF")</f>
        <v/>
      </c>
    </row>
    <row r="92">
      <c r="A92" t="inlineStr">
        <is>
          <t>KRAV-AUTO-000091</t>
        </is>
      </c>
      <c r="B92" t="inlineStr">
        <is>
          <t>ADMIN-INDEX-2026-02-27-00000000125C043F57453246863FE664CAFE6A3F0700950291EA24F0614FB6ACEDB12BF0E31D00000000010C0000950291EA24F0614FB6ACEDB12BF0E31D00002087B7BA0000</t>
        </is>
      </c>
      <c r="C92" t="inlineStr">
        <is>
          <t>cmm4yumtr002bcuqweaexxv26</t>
        </is>
      </c>
      <c r="D92" t="inlineStr">
        <is>
          <t>http://localhost:8787/api/admin/requirements/documents/cmm4yumtr002bcuqweaexxv26/view</t>
        </is>
      </c>
      <c r="E92">
        <f>HYPERLÄNK("http://localhost:8787/api/admin/requirements/documents/cmm4yumtr002bcuqweaexxv26/view";"Öppna PDF")</f>
        <v/>
      </c>
      <c r="F92">
        <f>HYPERLINK("http://localhost:8787/api/admin/requirements/documents/cmm4yumtr002bcuqweaexxv26/view","Open PDF")</f>
        <v/>
      </c>
      <c r="G92" t="inlineStr">
        <is>
          <t>cmm55w57p0004cuisfrtpqly8</t>
        </is>
      </c>
      <c r="H92" t="inlineStr">
        <is>
          <t>Kompletteringskrav</t>
        </is>
      </c>
      <c r="I92" t="inlineStr">
        <is>
          <t>Riskhantering</t>
        </is>
      </c>
      <c r="J92" t="inlineStr">
        <is>
          <t>Riskkontroll</t>
        </is>
      </c>
      <c r="K92" t="inlineStr">
        <is>
          <t>Massorna som planeras att återvinnas, ska inte innehålla halter som bedöms kunna utgöra en risk för omgivningen.</t>
        </is>
      </c>
      <c r="L92" t="inlineStr">
        <is>
          <t>Massorna som planeras att återvinnas, ska inte innehålla halter som bedöms kunna utgöra en risk för omgivningen.</t>
        </is>
      </c>
      <c r="M92" t="inlineStr">
        <is>
          <t>SKA</t>
        </is>
      </c>
      <c r="N92" t="inlineStr"/>
      <c r="O92" t="inlineStr"/>
      <c r="P92" t="inlineStr"/>
      <c r="Q92" t="inlineStr"/>
      <c r="R92" t="inlineStr">
        <is>
          <t>Vid risk for incident</t>
        </is>
      </c>
      <c r="S92" t="inlineStr"/>
      <c r="T92" t="inlineStr">
        <is>
          <t>25 11 00</t>
        </is>
      </c>
      <c r="U92" t="inlineStr"/>
      <c r="V92" t="inlineStr"/>
      <c r="W92" t="inlineStr">
        <is>
          <t>Nej</t>
        </is>
      </c>
      <c r="X92" t="inlineStr">
        <is>
          <t>Nej</t>
        </is>
      </c>
      <c r="Y92" t="inlineStr">
        <is>
          <t>Ja</t>
        </is>
      </c>
      <c r="Z92" t="inlineStr">
        <is>
          <t>Ja</t>
        </is>
      </c>
      <c r="AA92" t="n">
        <v>8</v>
      </c>
      <c r="AB92" t="inlineStr">
        <is>
          <t>Riskhantering</t>
        </is>
      </c>
      <c r="AC92" t="inlineStr">
        <is>
          <t>Risk-PM</t>
        </is>
      </c>
      <c r="AD92" t="inlineStr">
        <is>
          <t>Nej</t>
        </is>
      </c>
      <c r="AE92" t="inlineStr">
        <is>
          <t>Nej</t>
        </is>
      </c>
      <c r="AF92" t="inlineStr">
        <is>
          <t>Ej behandlad</t>
        </is>
      </c>
      <c r="AG92" t="inlineStr">
        <is>
          <t>AUTO_GENERERAD. Verifiera citat mot kallfil.</t>
        </is>
      </c>
      <c r="AH92" t="inlineStr">
        <is>
          <t>MEDIUM</t>
        </is>
      </c>
      <c r="AI92" t="inlineStr">
        <is>
          <t>AUTO</t>
        </is>
      </c>
      <c r="AJ92" t="inlineStr">
        <is>
          <t>Nej</t>
        </is>
      </c>
      <c r="AK92" t="inlineStr"/>
      <c r="AL92" t="inlineStr"/>
      <c r="AM92" t="inlineStr"/>
      <c r="AN92" t="inlineStr"/>
      <c r="AO92" t="inlineStr">
        <is>
          <t>cmm4yumu4002ncuqwsv6yg2uz</t>
        </is>
      </c>
      <c r="AP92" t="inlineStr">
        <is>
          <t>http://localhost:8787/api/admin/requirements/documents/cmm4yumu4002ncuqwsv6yg2uz/view</t>
        </is>
      </c>
      <c r="AQ92">
        <f>HYPERLÄNK("http://localhost:8787/api/admin/requirements/documents/cmm4yumu4002ncuqwsv6yg2uz/view";"Öppna PDF")</f>
        <v/>
      </c>
      <c r="AR92">
        <f>HYPERLINK("http://localhost:8787/api/admin/requirements/documents/cmm4yumu4002ncuqwsv6yg2uz/view","Open PDF")</f>
        <v/>
      </c>
      <c r="AS92" t="inlineStr">
        <is>
          <t>cmm55w57p0004cuisfrtpqly8</t>
        </is>
      </c>
      <c r="AT92" t="inlineStr">
        <is>
          <t>cmm4xvu980000cuh4vj0usz09</t>
        </is>
      </c>
      <c r="AU92" t="inlineStr"/>
      <c r="AV92" t="inlineStr">
        <is>
          <t>Kommun</t>
        </is>
      </c>
      <c r="AW92" t="inlineStr"/>
      <c r="AX92" t="inlineStr">
        <is>
          <t>2021-07</t>
        </is>
      </c>
      <c r="AY92" t="inlineStr">
        <is>
          <t>Anmalan</t>
        </is>
      </c>
      <c r="AZ92" t="inlineStr">
        <is>
          <t>2026-01-30</t>
        </is>
      </c>
      <c r="BA92" t="inlineStr">
        <is>
          <t>Miljö-2024-62-1_Bilaga 2. Fullständiga analysprotokoll.pdf</t>
        </is>
      </c>
      <c r="BB92" t="inlineStr">
        <is>
          <t>Sv:  Begäran om utlämnande av allmän handling – Anmälningar och beslut rörande mellanlagring av avfall samt anläggning av ytor</t>
        </is>
      </c>
      <c r="BC92" t="inlineStr">
        <is>
          <t>AUTO</t>
        </is>
      </c>
      <c r="BD92" t="inlineStr"/>
      <c r="BE92" t="inlineStr"/>
      <c r="BF92" t="inlineStr">
        <is>
          <t>AUTO_GENERERAD. Bekrafta metadata mot kallfil.</t>
        </is>
      </c>
      <c r="BG92">
        <f>HYPERLINK("C:\Users\jimmy\Desktop\Examens arbete\Kod\Ny mapp\remix_-copy-of-miljöbeslut.se-portal\Miljö-2024-62-1_Bilaga 2. Fullständiga analysprotokoll.pdf", "Öppna PDF")</f>
        <v/>
      </c>
    </row>
    <row r="93">
      <c r="A93" t="inlineStr">
        <is>
          <t>KRAV-AUTO-000092</t>
        </is>
      </c>
      <c r="B93" t="inlineStr">
        <is>
          <t>ADMIN-INDEX-2026-02-27-00000000125C043F57453246863FE664CAFE6A3F0700950291EA24F0614FB6ACEDB12BF0E31D00000000010C0000950291EA24F0614FB6ACEDB12BF0E31D00002087B7BA0000</t>
        </is>
      </c>
      <c r="C93" t="inlineStr">
        <is>
          <t>cmm4yumtr002bcuqweaexxv26</t>
        </is>
      </c>
      <c r="D93" t="inlineStr">
        <is>
          <t>http://localhost:8787/api/admin/requirements/documents/cmm4yumtr002bcuqweaexxv26/view</t>
        </is>
      </c>
      <c r="E93">
        <f>HYPERLÄNK("http://localhost:8787/api/admin/requirements/documents/cmm4yumtr002bcuqweaexxv26/view";"Öppna PDF")</f>
        <v/>
      </c>
      <c r="F93">
        <f>HYPERLINK("http://localhost:8787/api/admin/requirements/documents/cmm4yumtr002bcuqweaexxv26/view","Open PDF")</f>
        <v/>
      </c>
      <c r="G93" t="inlineStr">
        <is>
          <t>cmm55w57p0004cuisfrtpqly8</t>
        </is>
      </c>
      <c r="H93" t="inlineStr">
        <is>
          <t>Kompletteringskrav</t>
        </is>
      </c>
      <c r="I93" t="inlineStr">
        <is>
          <t>MiljopaverkanForsiktighet</t>
        </is>
      </c>
      <c r="J93" t="inlineStr">
        <is>
          <t>Skyddsatgarder</t>
        </is>
      </c>
      <c r="K93" t="inlineStr">
        <is>
          <t>Således får inte överskottmassor läggas upp i syfte att enbart göra sig av med avfallsmassor som har blivit över från ett projekt.</t>
        </is>
      </c>
      <c r="L93" t="inlineStr">
        <is>
          <t>Således får inte överskottmassor läggas upp i syfte att enbart göra sig av med avfallsmassor som har blivit över från ett projekt.</t>
        </is>
      </c>
      <c r="M93" t="inlineStr">
        <is>
          <t>SKA</t>
        </is>
      </c>
      <c r="N93" t="inlineStr"/>
      <c r="O93" t="inlineStr"/>
      <c r="P93" t="inlineStr"/>
      <c r="Q93" t="inlineStr">
        <is>
          <t>Driftbegransning vid avvikelse</t>
        </is>
      </c>
      <c r="R93" t="inlineStr">
        <is>
          <t>Alltid</t>
        </is>
      </c>
      <c r="S93" t="inlineStr"/>
      <c r="T93" t="inlineStr">
        <is>
          <t>25 11 00</t>
        </is>
      </c>
      <c r="U93" t="inlineStr"/>
      <c r="V93" t="inlineStr"/>
      <c r="W93" t="inlineStr">
        <is>
          <t>Nej</t>
        </is>
      </c>
      <c r="X93" t="inlineStr">
        <is>
          <t>Nej</t>
        </is>
      </c>
      <c r="Y93" t="inlineStr">
        <is>
          <t>Nej</t>
        </is>
      </c>
      <c r="Z93" t="inlineStr">
        <is>
          <t>Nej</t>
        </is>
      </c>
      <c r="AA93" t="n">
        <v>10</v>
      </c>
      <c r="AB93" t="inlineStr">
        <is>
          <t>Miljopaverkan och forsiktighetsmatt</t>
        </is>
      </c>
      <c r="AC93" t="inlineStr">
        <is>
          <t>Miljo-PM</t>
        </is>
      </c>
      <c r="AD93" t="inlineStr">
        <is>
          <t>Nej</t>
        </is>
      </c>
      <c r="AE93" t="inlineStr">
        <is>
          <t>Nej</t>
        </is>
      </c>
      <c r="AF93" t="inlineStr">
        <is>
          <t>Ej behandlad</t>
        </is>
      </c>
      <c r="AG93" t="inlineStr">
        <is>
          <t>AUTO_GENERERAD. Verifiera citat mot kallfil.</t>
        </is>
      </c>
      <c r="AH93" t="inlineStr">
        <is>
          <t>MEDIUM</t>
        </is>
      </c>
      <c r="AI93" t="inlineStr">
        <is>
          <t>AUTO</t>
        </is>
      </c>
      <c r="AJ93" t="inlineStr">
        <is>
          <t>Nej</t>
        </is>
      </c>
      <c r="AK93" t="inlineStr"/>
      <c r="AL93" t="inlineStr"/>
      <c r="AM93" t="inlineStr"/>
      <c r="AN93" t="inlineStr"/>
      <c r="AO93" t="inlineStr">
        <is>
          <t>cmm4yumu4002ncuqwsv6yg2uz</t>
        </is>
      </c>
      <c r="AP93" t="inlineStr">
        <is>
          <t>http://localhost:8787/api/admin/requirements/documents/cmm4yumu4002ncuqwsv6yg2uz/view</t>
        </is>
      </c>
      <c r="AQ93">
        <f>HYPERLÄNK("http://localhost:8787/api/admin/requirements/documents/cmm4yumu4002ncuqwsv6yg2uz/view";"Öppna PDF")</f>
        <v/>
      </c>
      <c r="AR93">
        <f>HYPERLINK("http://localhost:8787/api/admin/requirements/documents/cmm4yumu4002ncuqwsv6yg2uz/view","Open PDF")</f>
        <v/>
      </c>
      <c r="AS93" t="inlineStr">
        <is>
          <t>cmm55w57p0004cuisfrtpqly8</t>
        </is>
      </c>
      <c r="AT93" t="inlineStr">
        <is>
          <t>cmm4xvu980000cuh4vj0usz09</t>
        </is>
      </c>
      <c r="AU93" t="inlineStr"/>
      <c r="AV93" t="inlineStr">
        <is>
          <t>Kommun</t>
        </is>
      </c>
      <c r="AW93" t="inlineStr"/>
      <c r="AX93" t="inlineStr">
        <is>
          <t>2021-07</t>
        </is>
      </c>
      <c r="AY93" t="inlineStr">
        <is>
          <t>Anmalan</t>
        </is>
      </c>
      <c r="AZ93" t="inlineStr">
        <is>
          <t>2026-01-30</t>
        </is>
      </c>
      <c r="BA93" t="inlineStr">
        <is>
          <t>Miljö-2024-62-1_Bilaga 2. Fullständiga analysprotokoll.pdf</t>
        </is>
      </c>
      <c r="BB93" t="inlineStr">
        <is>
          <t>Sv:  Begäran om utlämnande av allmän handling – Anmälningar och beslut rörande mellanlagring av avfall samt anläggning av ytor</t>
        </is>
      </c>
      <c r="BC93" t="inlineStr">
        <is>
          <t>AUTO</t>
        </is>
      </c>
      <c r="BD93" t="inlineStr"/>
      <c r="BE93" t="inlineStr"/>
      <c r="BF93" t="inlineStr">
        <is>
          <t>AUTO_GENERERAD. Bekrafta metadata mot kallfil.</t>
        </is>
      </c>
      <c r="BG93">
        <f>HYPERLINK("C:\Users\jimmy\Desktop\Examens arbete\Kod\Ny mapp\remix_-copy-of-miljöbeslut.se-portal\Miljö-2024-62-1_Bilaga 2. Fullständiga analysprotokoll.pdf", "Öppna PDF")</f>
        <v/>
      </c>
    </row>
    <row r="94">
      <c r="A94" t="inlineStr">
        <is>
          <t>KRAV-AUTO-000093</t>
        </is>
      </c>
      <c r="B94" t="inlineStr">
        <is>
          <t>ADMIN-INDEX-2026-02-27-00000000125C043F57453246863FE664CAFE6A3F0700950291EA24F0614FB6ACEDB12BF0E31D00000000010C0000950291EA24F0614FB6ACEDB12BF0E31D00002087B7BA0000</t>
        </is>
      </c>
      <c r="C94" t="inlineStr">
        <is>
          <t>cmm4yumto0028cuqwa3zbe3lz</t>
        </is>
      </c>
      <c r="D94" t="inlineStr">
        <is>
          <t>http://localhost:8787/api/admin/requirements/documents/cmm4yumto0028cuqwa3zbe3lz/view</t>
        </is>
      </c>
      <c r="E94">
        <f>HYPERLÄNK("http://localhost:8787/api/admin/requirements/documents/cmm4yumto0028cuqwa3zbe3lz/view";"Öppna PDF")</f>
        <v/>
      </c>
      <c r="F94">
        <f>HYPERLINK("http://localhost:8787/api/admin/requirements/documents/cmm4yumto0028cuqwa3zbe3lz/view","Open PDF")</f>
        <v/>
      </c>
      <c r="G94" t="inlineStr">
        <is>
          <t>cmm55w57p0004cuisfrtpqly8</t>
        </is>
      </c>
      <c r="H94" t="inlineStr">
        <is>
          <t>Informationskrav</t>
        </is>
      </c>
      <c r="I94" t="inlineStr">
        <is>
          <t>DriftEgenkontroll</t>
        </is>
      </c>
      <c r="J94" t="inlineStr">
        <is>
          <t>Journalforing</t>
        </is>
      </c>
      <c r="K94" t="inlineStr">
        <is>
          <t>• Samtliga massor som tas emot ska ha provtagits av sakkunnig och analyserats på ackrediterat laboratorium med avseende på PAH, alifater, aromater, BTEX och metaller.</t>
        </is>
      </c>
      <c r="L94" t="inlineStr">
        <is>
          <t>• Samtliga massor som tas emot ska ha provtagits av sakkunnig och analyserats på ackrediterat laboratorium med avseende på PAH, alifater, aromater, BTEX och metaller.</t>
        </is>
      </c>
      <c r="M94" t="inlineStr">
        <is>
          <t>SKA</t>
        </is>
      </c>
      <c r="N94" t="inlineStr"/>
      <c r="O94" t="inlineStr"/>
      <c r="P94" t="inlineStr"/>
      <c r="Q94" t="inlineStr"/>
      <c r="R94" t="inlineStr">
        <is>
          <t>Lopande drift</t>
        </is>
      </c>
      <c r="S94" t="inlineStr"/>
      <c r="T94" t="inlineStr">
        <is>
          <t>25 11 00</t>
        </is>
      </c>
      <c r="U94" t="inlineStr"/>
      <c r="V94" t="inlineStr"/>
      <c r="W94" t="inlineStr">
        <is>
          <t>Nej</t>
        </is>
      </c>
      <c r="X94" t="inlineStr">
        <is>
          <t>Nej</t>
        </is>
      </c>
      <c r="Y94" t="inlineStr">
        <is>
          <t>Ja</t>
        </is>
      </c>
      <c r="Z94" t="inlineStr">
        <is>
          <t>Nej</t>
        </is>
      </c>
      <c r="AA94" t="n">
        <v>7</v>
      </c>
      <c r="AB94" t="inlineStr">
        <is>
          <t>Egenkontrollrutiner</t>
        </is>
      </c>
      <c r="AC94" t="inlineStr">
        <is>
          <t>Egenkontrollprogram</t>
        </is>
      </c>
      <c r="AD94" t="inlineStr">
        <is>
          <t>Nej</t>
        </is>
      </c>
      <c r="AE94" t="inlineStr">
        <is>
          <t>Nej</t>
        </is>
      </c>
      <c r="AF94" t="inlineStr">
        <is>
          <t>Ej behandlad</t>
        </is>
      </c>
      <c r="AG94" t="inlineStr">
        <is>
          <t>AUTO_GENERERAD. Verifiera citat mot kallfil.</t>
        </is>
      </c>
      <c r="AH94" t="inlineStr">
        <is>
          <t>MEDIUM</t>
        </is>
      </c>
      <c r="AI94" t="inlineStr">
        <is>
          <t>AUTO</t>
        </is>
      </c>
      <c r="AJ94" t="inlineStr">
        <is>
          <t>Nej</t>
        </is>
      </c>
      <c r="AK94" t="inlineStr"/>
      <c r="AL94" t="inlineStr"/>
      <c r="AM94" t="inlineStr"/>
      <c r="AN94" t="inlineStr"/>
      <c r="AO94" t="inlineStr">
        <is>
          <t>cmm4yumu4002ncuqwsv6yg2uz</t>
        </is>
      </c>
      <c r="AP94" t="inlineStr">
        <is>
          <t>http://localhost:8787/api/admin/requirements/documents/cmm4yumu4002ncuqwsv6yg2uz/view</t>
        </is>
      </c>
      <c r="AQ94">
        <f>HYPERLÄNK("http://localhost:8787/api/admin/requirements/documents/cmm4yumu4002ncuqwsv6yg2uz/view";"Öppna PDF")</f>
        <v/>
      </c>
      <c r="AR94">
        <f>HYPERLINK("http://localhost:8787/api/admin/requirements/documents/cmm4yumu4002ncuqwsv6yg2uz/view","Open PDF")</f>
        <v/>
      </c>
      <c r="AS94" t="inlineStr">
        <is>
          <t>cmm55w57p0004cuisfrtpqly8</t>
        </is>
      </c>
      <c r="AT94" t="inlineStr">
        <is>
          <t>cmm4xvu980000cuh4vj0usz09</t>
        </is>
      </c>
      <c r="AU94" t="inlineStr"/>
      <c r="AV94" t="inlineStr">
        <is>
          <t>Kommun</t>
        </is>
      </c>
      <c r="AW94" t="inlineStr"/>
      <c r="AX94" t="inlineStr">
        <is>
          <t>2021-07</t>
        </is>
      </c>
      <c r="AY94" t="inlineStr">
        <is>
          <t>Anmalan</t>
        </is>
      </c>
      <c r="AZ94" t="inlineStr">
        <is>
          <t>2026-01-30</t>
        </is>
      </c>
      <c r="BA94" t="inlineStr">
        <is>
          <t>Miljö-2024-62-1_Bilaga 2. Fullständiga analysprotokoll.pdf</t>
        </is>
      </c>
      <c r="BB94" t="inlineStr">
        <is>
          <t>Sv:  Begäran om utlämnande av allmän handling – Anmälningar och beslut rörande mellanlagring av avfall samt anläggning av ytor</t>
        </is>
      </c>
      <c r="BC94" t="inlineStr">
        <is>
          <t>AUTO</t>
        </is>
      </c>
      <c r="BD94" t="inlineStr"/>
      <c r="BE94" t="inlineStr"/>
      <c r="BF94" t="inlineStr">
        <is>
          <t>AUTO_GENERERAD. Bekrafta metadata mot kallfil.</t>
        </is>
      </c>
      <c r="BG94">
        <f>HYPERLINK("C:\Users\jimmy\Desktop\Examens arbete\Kod\Ny mapp\remix_-copy-of-miljöbeslut.se-portal\Miljö-2024-62-1_Bilaga 2. Fullständiga analysprotokoll.pdf", "Öppna PDF")</f>
        <v/>
      </c>
    </row>
    <row r="95">
      <c r="A95" t="inlineStr">
        <is>
          <t>KRAV-AUTO-000094</t>
        </is>
      </c>
      <c r="B95" t="inlineStr">
        <is>
          <t>ADMIN-INDEX-2026-02-27-00000000125C043F57453246863FE664CAFE6A3F0700950291EA24F0614FB6ACEDB12BF0E31D00000000010C0000950291EA24F0614FB6ACEDB12BF0E31D00002087B7BA0000</t>
        </is>
      </c>
      <c r="C95" t="inlineStr">
        <is>
          <t>cmm4yumto0028cuqwa3zbe3lz</t>
        </is>
      </c>
      <c r="D95" t="inlineStr">
        <is>
          <t>http://localhost:8787/api/admin/requirements/documents/cmm4yumto0028cuqwa3zbe3lz/view</t>
        </is>
      </c>
      <c r="E95">
        <f>HYPERLÄNK("http://localhost:8787/api/admin/requirements/documents/cmm4yumto0028cuqwa3zbe3lz/view";"Öppna PDF")</f>
        <v/>
      </c>
      <c r="F95">
        <f>HYPERLINK("http://localhost:8787/api/admin/requirements/documents/cmm4yumto0028cuqwa3zbe3lz/view","Open PDF")</f>
        <v/>
      </c>
      <c r="G95" t="inlineStr">
        <is>
          <t>cmm55w57p0004cuisfrtpqly8</t>
        </is>
      </c>
      <c r="H95" t="inlineStr">
        <is>
          <t>Informationskrav</t>
        </is>
      </c>
      <c r="I95" t="inlineStr">
        <is>
          <t>DagvattenLakvatten</t>
        </is>
      </c>
      <c r="J95" t="inlineStr">
        <is>
          <t>Uppsamling</t>
        </is>
      </c>
      <c r="K95" t="inlineStr">
        <is>
          <t>Detta inkluderar riktlinjer för hur avfall som används för anläggningsändamål ska lagras och behandlas för att minimera risken för föroreningar av mark och vatten.</t>
        </is>
      </c>
      <c r="L95" t="inlineStr">
        <is>
          <t>Detta inkluderar riktlinjer för hur avfall som används för anläggningsändamål ska lagras och behandlas för att minimera risken för föroreningar av mark och vatten.</t>
        </is>
      </c>
      <c r="M95" t="inlineStr">
        <is>
          <t>SKA</t>
        </is>
      </c>
      <c r="N95" t="inlineStr"/>
      <c r="O95" t="inlineStr"/>
      <c r="P95" t="inlineStr"/>
      <c r="Q95" t="inlineStr"/>
      <c r="R95" t="inlineStr">
        <is>
          <t>Vid nederbord och avrinning</t>
        </is>
      </c>
      <c r="S95" t="inlineStr"/>
      <c r="T95" t="inlineStr">
        <is>
          <t>25 11 00</t>
        </is>
      </c>
      <c r="U95" t="inlineStr"/>
      <c r="V95" t="inlineStr"/>
      <c r="W95" t="inlineStr">
        <is>
          <t>Nej</t>
        </is>
      </c>
      <c r="X95" t="inlineStr">
        <is>
          <t>Ja</t>
        </is>
      </c>
      <c r="Y95" t="inlineStr">
        <is>
          <t>Ja</t>
        </is>
      </c>
      <c r="Z95" t="inlineStr">
        <is>
          <t>Nej</t>
        </is>
      </c>
      <c r="AA95" t="n">
        <v>6</v>
      </c>
      <c r="AB95" t="inlineStr">
        <is>
          <t>Lakvattenhantering</t>
        </is>
      </c>
      <c r="AC95" t="inlineStr">
        <is>
          <t>Flodesschema dagvatten-lakvatten</t>
        </is>
      </c>
      <c r="AD95" t="inlineStr">
        <is>
          <t>Nej</t>
        </is>
      </c>
      <c r="AE95" t="inlineStr">
        <is>
          <t>Nej</t>
        </is>
      </c>
      <c r="AF95" t="inlineStr">
        <is>
          <t>Ej behandlad</t>
        </is>
      </c>
      <c r="AG95" t="inlineStr">
        <is>
          <t>AUTO_GENERERAD. Verifiera citat mot kallfil.</t>
        </is>
      </c>
      <c r="AH95" t="inlineStr">
        <is>
          <t>MEDIUM</t>
        </is>
      </c>
      <c r="AI95" t="inlineStr">
        <is>
          <t>AUTO</t>
        </is>
      </c>
      <c r="AJ95" t="inlineStr">
        <is>
          <t>Nej</t>
        </is>
      </c>
      <c r="AK95" t="inlineStr"/>
      <c r="AL95" t="inlineStr"/>
      <c r="AM95" t="inlineStr"/>
      <c r="AN95" t="inlineStr"/>
      <c r="AO95" t="inlineStr">
        <is>
          <t>cmm4yumu4002ncuqwsv6yg2uz</t>
        </is>
      </c>
      <c r="AP95" t="inlineStr">
        <is>
          <t>http://localhost:8787/api/admin/requirements/documents/cmm4yumu4002ncuqwsv6yg2uz/view</t>
        </is>
      </c>
      <c r="AQ95">
        <f>HYPERLÄNK("http://localhost:8787/api/admin/requirements/documents/cmm4yumu4002ncuqwsv6yg2uz/view";"Öppna PDF")</f>
        <v/>
      </c>
      <c r="AR95">
        <f>HYPERLINK("http://localhost:8787/api/admin/requirements/documents/cmm4yumu4002ncuqwsv6yg2uz/view","Open PDF")</f>
        <v/>
      </c>
      <c r="AS95" t="inlineStr">
        <is>
          <t>cmm55w57p0004cuisfrtpqly8</t>
        </is>
      </c>
      <c r="AT95" t="inlineStr">
        <is>
          <t>cmm4xvu980000cuh4vj0usz09</t>
        </is>
      </c>
      <c r="AU95" t="inlineStr"/>
      <c r="AV95" t="inlineStr">
        <is>
          <t>Kommun</t>
        </is>
      </c>
      <c r="AW95" t="inlineStr"/>
      <c r="AX95" t="inlineStr">
        <is>
          <t>2021-07</t>
        </is>
      </c>
      <c r="AY95" t="inlineStr">
        <is>
          <t>Anmalan</t>
        </is>
      </c>
      <c r="AZ95" t="inlineStr">
        <is>
          <t>2026-01-30</t>
        </is>
      </c>
      <c r="BA95" t="inlineStr">
        <is>
          <t>Miljö-2024-62-1_Bilaga 2. Fullständiga analysprotokoll.pdf</t>
        </is>
      </c>
      <c r="BB95" t="inlineStr">
        <is>
          <t>Sv:  Begäran om utlämnande av allmän handling – Anmälningar och beslut rörande mellanlagring av avfall samt anläggning av ytor</t>
        </is>
      </c>
      <c r="BC95" t="inlineStr">
        <is>
          <t>AUTO</t>
        </is>
      </c>
      <c r="BD95" t="inlineStr"/>
      <c r="BE95" t="inlineStr"/>
      <c r="BF95" t="inlineStr">
        <is>
          <t>AUTO_GENERERAD. Bekrafta metadata mot kallfil.</t>
        </is>
      </c>
      <c r="BG95">
        <f>HYPERLINK("C:\Users\jimmy\Desktop\Examens arbete\Kod\Ny mapp\remix_-copy-of-miljöbeslut.se-portal\Miljö-2024-62-1_Bilaga 2. Fullständiga analysprotokoll.pdf", "Öppna PDF")</f>
        <v/>
      </c>
    </row>
    <row r="96">
      <c r="A96" t="inlineStr">
        <is>
          <t>KRAV-AUTO-000095</t>
        </is>
      </c>
      <c r="B96" t="inlineStr">
        <is>
          <t>ADMIN-INDEX-2026-02-27-00000000125C043F57453246863FE664CAFE6A3F0700950291EA24F0614FB6ACEDB12BF0E31D00000000010C0000950291EA24F0614FB6ACEDB12BF0E31D00002087B7BA0000</t>
        </is>
      </c>
      <c r="C96" t="inlineStr">
        <is>
          <t>cmm4yumto0028cuqwa3zbe3lz</t>
        </is>
      </c>
      <c r="D96" t="inlineStr">
        <is>
          <t>http://localhost:8787/api/admin/requirements/documents/cmm4yumto0028cuqwa3zbe3lz/view</t>
        </is>
      </c>
      <c r="E96">
        <f>HYPERLÄNK("http://localhost:8787/api/admin/requirements/documents/cmm4yumto0028cuqwa3zbe3lz/view";"Öppna PDF")</f>
        <v/>
      </c>
      <c r="F96">
        <f>HYPERLINK("http://localhost:8787/api/admin/requirements/documents/cmm4yumto0028cuqwa3zbe3lz/view","Open PDF")</f>
        <v/>
      </c>
      <c r="G96" t="inlineStr">
        <is>
          <t>cmm55w57p0004cuisfrtpqly8</t>
        </is>
      </c>
      <c r="H96" t="inlineStr">
        <is>
          <t>Informationskrav</t>
        </is>
      </c>
      <c r="I96" t="inlineStr">
        <is>
          <t>DagvattenLakvatten</t>
        </is>
      </c>
      <c r="J96" t="inlineStr">
        <is>
          <t>Uppsamling</t>
        </is>
      </c>
      <c r="K96" t="inlineStr">
        <is>
          <t>Det innebär att verksamheten måste säkerställa att avfallet hanteras och återvinns utan risk för förorening av mark och vatten, vilket är i linje med de krav som ställs i 2 kap.</t>
        </is>
      </c>
      <c r="L96" t="inlineStr">
        <is>
          <t>Det innebär att verksamheten måste säkerställa att avfallet hanteras och återvinns utan risk för förorening av mark och vatten, vilket är i linje med de krav som ställs i 2 kap.</t>
        </is>
      </c>
      <c r="M96" t="inlineStr">
        <is>
          <t>SKA</t>
        </is>
      </c>
      <c r="N96" t="inlineStr"/>
      <c r="O96" t="inlineStr"/>
      <c r="P96" t="inlineStr"/>
      <c r="Q96" t="inlineStr"/>
      <c r="R96" t="inlineStr">
        <is>
          <t>Vid nederbord och avrinning</t>
        </is>
      </c>
      <c r="S96" t="inlineStr"/>
      <c r="T96" t="inlineStr">
        <is>
          <t>25 11 00</t>
        </is>
      </c>
      <c r="U96" t="inlineStr"/>
      <c r="V96" t="inlineStr"/>
      <c r="W96" t="inlineStr">
        <is>
          <t>Nej</t>
        </is>
      </c>
      <c r="X96" t="inlineStr">
        <is>
          <t>Ja</t>
        </is>
      </c>
      <c r="Y96" t="inlineStr">
        <is>
          <t>Ja</t>
        </is>
      </c>
      <c r="Z96" t="inlineStr">
        <is>
          <t>Nej</t>
        </is>
      </c>
      <c r="AA96" t="n">
        <v>6</v>
      </c>
      <c r="AB96" t="inlineStr">
        <is>
          <t>Lakvattenhantering</t>
        </is>
      </c>
      <c r="AC96" t="inlineStr">
        <is>
          <t>Flodesschema dagvatten-lakvatten</t>
        </is>
      </c>
      <c r="AD96" t="inlineStr">
        <is>
          <t>Nej</t>
        </is>
      </c>
      <c r="AE96" t="inlineStr">
        <is>
          <t>Nej</t>
        </is>
      </c>
      <c r="AF96" t="inlineStr">
        <is>
          <t>Ej behandlad</t>
        </is>
      </c>
      <c r="AG96" t="inlineStr">
        <is>
          <t>AUTO_GENERERAD. Verifiera citat mot kallfil.</t>
        </is>
      </c>
      <c r="AH96" t="inlineStr">
        <is>
          <t>MEDIUM</t>
        </is>
      </c>
      <c r="AI96" t="inlineStr">
        <is>
          <t>AUTO</t>
        </is>
      </c>
      <c r="AJ96" t="inlineStr">
        <is>
          <t>Nej</t>
        </is>
      </c>
      <c r="AK96" t="inlineStr"/>
      <c r="AL96" t="inlineStr"/>
      <c r="AM96" t="inlineStr"/>
      <c r="AN96" t="inlineStr"/>
      <c r="AO96" t="inlineStr">
        <is>
          <t>cmm4yumu4002ncuqwsv6yg2uz</t>
        </is>
      </c>
      <c r="AP96" t="inlineStr">
        <is>
          <t>http://localhost:8787/api/admin/requirements/documents/cmm4yumu4002ncuqwsv6yg2uz/view</t>
        </is>
      </c>
      <c r="AQ96">
        <f>HYPERLÄNK("http://localhost:8787/api/admin/requirements/documents/cmm4yumu4002ncuqwsv6yg2uz/view";"Öppna PDF")</f>
        <v/>
      </c>
      <c r="AR96">
        <f>HYPERLINK("http://localhost:8787/api/admin/requirements/documents/cmm4yumu4002ncuqwsv6yg2uz/view","Open PDF")</f>
        <v/>
      </c>
      <c r="AS96" t="inlineStr">
        <is>
          <t>cmm55w57p0004cuisfrtpqly8</t>
        </is>
      </c>
      <c r="AT96" t="inlineStr">
        <is>
          <t>cmm4xvu980000cuh4vj0usz09</t>
        </is>
      </c>
      <c r="AU96" t="inlineStr"/>
      <c r="AV96" t="inlineStr">
        <is>
          <t>Kommun</t>
        </is>
      </c>
      <c r="AW96" t="inlineStr"/>
      <c r="AX96" t="inlineStr">
        <is>
          <t>2021-07</t>
        </is>
      </c>
      <c r="AY96" t="inlineStr">
        <is>
          <t>Anmalan</t>
        </is>
      </c>
      <c r="AZ96" t="inlineStr">
        <is>
          <t>2026-01-30</t>
        </is>
      </c>
      <c r="BA96" t="inlineStr">
        <is>
          <t>Miljö-2024-62-1_Bilaga 2. Fullständiga analysprotokoll.pdf</t>
        </is>
      </c>
      <c r="BB96" t="inlineStr">
        <is>
          <t>Sv:  Begäran om utlämnande av allmän handling – Anmälningar och beslut rörande mellanlagring av avfall samt anläggning av ytor</t>
        </is>
      </c>
      <c r="BC96" t="inlineStr">
        <is>
          <t>AUTO</t>
        </is>
      </c>
      <c r="BD96" t="inlineStr"/>
      <c r="BE96" t="inlineStr"/>
      <c r="BF96" t="inlineStr">
        <is>
          <t>AUTO_GENERERAD. Bekrafta metadata mot kallfil.</t>
        </is>
      </c>
      <c r="BG96">
        <f>HYPERLINK("C:\Users\jimmy\Desktop\Examens arbete\Kod\Ny mapp\remix_-copy-of-miljöbeslut.se-portal\Miljö-2024-62-1_Bilaga 2. Fullständiga analysprotokoll.pdf", "Öppna PDF")</f>
        <v/>
      </c>
    </row>
    <row r="97">
      <c r="A97" t="inlineStr">
        <is>
          <t>KRAV-AUTO-000096</t>
        </is>
      </c>
      <c r="B97" t="inlineStr">
        <is>
          <t>ADMIN-INDEX-2026-02-27-00000000125C043F57453246863FE664CAFE6A3F0700950291EA24F0614FB6ACEDB12BF0E31D00000000010C0000950291EA24F0614FB6ACEDB12BF0E31D00002087B7BA0000</t>
        </is>
      </c>
      <c r="C97" t="inlineStr">
        <is>
          <t>cmm4yumtk0025cuqwwumnd3qr</t>
        </is>
      </c>
      <c r="D97" t="inlineStr">
        <is>
          <t>http://localhost:8787/api/admin/requirements/documents/cmm4yumtk0025cuqwwumnd3qr/view</t>
        </is>
      </c>
      <c r="E97">
        <f>HYPERLÄNK("http://localhost:8787/api/admin/requirements/documents/cmm4yumtk0025cuqwwumnd3qr/view";"Öppna PDF")</f>
        <v/>
      </c>
      <c r="F97">
        <f>HYPERLINK("http://localhost:8787/api/admin/requirements/documents/cmm4yumtk0025cuqwwumnd3qr/view","Open PDF")</f>
        <v/>
      </c>
      <c r="G97" t="inlineStr">
        <is>
          <t>cmm55w57p0004cuisfrtpqly8</t>
        </is>
      </c>
      <c r="H97" t="inlineStr">
        <is>
          <t>Informationskrav</t>
        </is>
      </c>
      <c r="I97" t="inlineStr">
        <is>
          <t>DagvattenLakvatten</t>
        </is>
      </c>
      <c r="J97" t="inlineStr">
        <is>
          <t>Uppsamling</t>
        </is>
      </c>
      <c r="K97" t="inlineStr">
        <is>
          <t>• Samtliga massor som tas emot ska ha provtagits av sakkunnig och analyserats på ackrediterat laboratorium med avseende på relevanta föroreningar baserat på massornas ursprung.</t>
        </is>
      </c>
      <c r="L97" t="inlineStr">
        <is>
          <t>• Samtliga massor som tas emot ska ha provtagits av sakkunnig och analyserats på ackrediterat laboratorium med avseende på relevanta föroreningar baserat på massornas ursprung.</t>
        </is>
      </c>
      <c r="M97" t="inlineStr">
        <is>
          <t>SKA</t>
        </is>
      </c>
      <c r="N97" t="inlineStr"/>
      <c r="O97" t="inlineStr"/>
      <c r="P97" t="inlineStr"/>
      <c r="Q97" t="inlineStr"/>
      <c r="R97" t="inlineStr">
        <is>
          <t>Vid nederbord och avrinning</t>
        </is>
      </c>
      <c r="S97" t="inlineStr"/>
      <c r="T97" t="inlineStr">
        <is>
          <t>25 11 00</t>
        </is>
      </c>
      <c r="U97" t="inlineStr"/>
      <c r="V97" t="inlineStr"/>
      <c r="W97" t="inlineStr">
        <is>
          <t>Nej</t>
        </is>
      </c>
      <c r="X97" t="inlineStr">
        <is>
          <t>Ja</t>
        </is>
      </c>
      <c r="Y97" t="inlineStr">
        <is>
          <t>Ja</t>
        </is>
      </c>
      <c r="Z97" t="inlineStr">
        <is>
          <t>Nej</t>
        </is>
      </c>
      <c r="AA97" t="n">
        <v>6</v>
      </c>
      <c r="AB97" t="inlineStr">
        <is>
          <t>Lakvattenhantering</t>
        </is>
      </c>
      <c r="AC97" t="inlineStr">
        <is>
          <t>Flodesschema dagvatten-lakvatten</t>
        </is>
      </c>
      <c r="AD97" t="inlineStr">
        <is>
          <t>Nej</t>
        </is>
      </c>
      <c r="AE97" t="inlineStr">
        <is>
          <t>Nej</t>
        </is>
      </c>
      <c r="AF97" t="inlineStr">
        <is>
          <t>Ej behandlad</t>
        </is>
      </c>
      <c r="AG97" t="inlineStr">
        <is>
          <t>AUTO_GENERERAD. Verifiera citat mot kallfil.</t>
        </is>
      </c>
      <c r="AH97" t="inlineStr">
        <is>
          <t>MEDIUM</t>
        </is>
      </c>
      <c r="AI97" t="inlineStr">
        <is>
          <t>AUTO</t>
        </is>
      </c>
      <c r="AJ97" t="inlineStr">
        <is>
          <t>Nej</t>
        </is>
      </c>
      <c r="AK97" t="inlineStr"/>
      <c r="AL97" t="inlineStr"/>
      <c r="AM97" t="inlineStr"/>
      <c r="AN97" t="inlineStr"/>
      <c r="AO97" t="inlineStr">
        <is>
          <t>cmm4yumu4002ncuqwsv6yg2uz</t>
        </is>
      </c>
      <c r="AP97" t="inlineStr">
        <is>
          <t>http://localhost:8787/api/admin/requirements/documents/cmm4yumu4002ncuqwsv6yg2uz/view</t>
        </is>
      </c>
      <c r="AQ97">
        <f>HYPERLÄNK("http://localhost:8787/api/admin/requirements/documents/cmm4yumu4002ncuqwsv6yg2uz/view";"Öppna PDF")</f>
        <v/>
      </c>
      <c r="AR97">
        <f>HYPERLINK("http://localhost:8787/api/admin/requirements/documents/cmm4yumu4002ncuqwsv6yg2uz/view","Open PDF")</f>
        <v/>
      </c>
      <c r="AS97" t="inlineStr">
        <is>
          <t>cmm55w57p0004cuisfrtpqly8</t>
        </is>
      </c>
      <c r="AT97" t="inlineStr">
        <is>
          <t>cmm4xvu980000cuh4vj0usz09</t>
        </is>
      </c>
      <c r="AU97" t="inlineStr"/>
      <c r="AV97" t="inlineStr">
        <is>
          <t>Kommun</t>
        </is>
      </c>
      <c r="AW97" t="inlineStr"/>
      <c r="AX97" t="inlineStr">
        <is>
          <t>2021-07</t>
        </is>
      </c>
      <c r="AY97" t="inlineStr">
        <is>
          <t>Anmalan</t>
        </is>
      </c>
      <c r="AZ97" t="inlineStr">
        <is>
          <t>2026-01-30</t>
        </is>
      </c>
      <c r="BA97" t="inlineStr">
        <is>
          <t>Miljö-2024-62-1_Bilaga 2. Fullständiga analysprotokoll.pdf</t>
        </is>
      </c>
      <c r="BB97" t="inlineStr">
        <is>
          <t>Sv:  Begäran om utlämnande av allmän handling – Anmälningar och beslut rörande mellanlagring av avfall samt anläggning av ytor</t>
        </is>
      </c>
      <c r="BC97" t="inlineStr">
        <is>
          <t>AUTO</t>
        </is>
      </c>
      <c r="BD97" t="inlineStr"/>
      <c r="BE97" t="inlineStr"/>
      <c r="BF97" t="inlineStr">
        <is>
          <t>AUTO_GENERERAD. Bekrafta metadata mot kallfil.</t>
        </is>
      </c>
      <c r="BG97">
        <f>HYPERLINK("C:\Users\jimmy\Desktop\Examens arbete\Kod\Ny mapp\remix_-copy-of-miljöbeslut.se-portal\Miljö-2024-62-1_Bilaga 2. Fullständiga analysprotokoll.pdf", "Öppna PDF")</f>
        <v/>
      </c>
    </row>
    <row r="98">
      <c r="A98" t="inlineStr">
        <is>
          <t>KRAV-AUTO-000097</t>
        </is>
      </c>
      <c r="B98" t="inlineStr">
        <is>
          <t>ADMIN-INDEX-2026-02-27-00000000125C043F57453246863FE664CAFE6A3F0700950291EA24F0614FB6ACEDB12BF0E31D00000000010C0000950291EA24F0614FB6ACEDB12BF0E31D00002087B7BA0000</t>
        </is>
      </c>
      <c r="C98" t="inlineStr">
        <is>
          <t>cmm4yumtk0025cuqwwumnd3qr</t>
        </is>
      </c>
      <c r="D98" t="inlineStr">
        <is>
          <t>http://localhost:8787/api/admin/requirements/documents/cmm4yumtk0025cuqwwumnd3qr/view</t>
        </is>
      </c>
      <c r="E98">
        <f>HYPERLÄNK("http://localhost:8787/api/admin/requirements/documents/cmm4yumtk0025cuqwwumnd3qr/view";"Öppna PDF")</f>
        <v/>
      </c>
      <c r="F98">
        <f>HYPERLINK("http://localhost:8787/api/admin/requirements/documents/cmm4yumtk0025cuqwwumnd3qr/view","Open PDF")</f>
        <v/>
      </c>
      <c r="G98" t="inlineStr">
        <is>
          <t>cmm55w57p0004cuisfrtpqly8</t>
        </is>
      </c>
      <c r="H98" t="inlineStr">
        <is>
          <t>Informationskrav</t>
        </is>
      </c>
      <c r="I98" t="inlineStr">
        <is>
          <t>LagringsvolymTid</t>
        </is>
      </c>
      <c r="J98" t="inlineStr">
        <is>
          <t>Maxmangd</t>
        </is>
      </c>
      <c r="K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L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M98" t="inlineStr">
        <is>
          <t>SKA</t>
        </is>
      </c>
      <c r="N98" t="inlineStr"/>
      <c r="O98" t="inlineStr">
        <is>
          <t>senast tre manader efter att atgarden</t>
        </is>
      </c>
      <c r="P98" t="inlineStr">
        <is>
          <t>Manadskontroll</t>
        </is>
      </c>
      <c r="Q98" t="inlineStr"/>
      <c r="R98" t="inlineStr">
        <is>
          <t>Alltid</t>
        </is>
      </c>
      <c r="S98" t="inlineStr"/>
      <c r="T98" t="inlineStr">
        <is>
          <t>25 11 00</t>
        </is>
      </c>
      <c r="U98" t="inlineStr"/>
      <c r="V98" t="inlineStr"/>
      <c r="W98" t="inlineStr">
        <is>
          <t>Nej</t>
        </is>
      </c>
      <c r="X98" t="inlineStr">
        <is>
          <t>Nej</t>
        </is>
      </c>
      <c r="Y98" t="inlineStr">
        <is>
          <t>Nej</t>
        </is>
      </c>
      <c r="Z98" t="inlineStr">
        <is>
          <t>Nej</t>
        </is>
      </c>
      <c r="AA98" t="n">
        <v>4</v>
      </c>
      <c r="AB98" t="inlineStr">
        <is>
          <t>Avfallsmangder och lagringstid</t>
        </is>
      </c>
      <c r="AC98" t="inlineStr">
        <is>
          <t>Avfallsforteckning</t>
        </is>
      </c>
      <c r="AD98" t="inlineStr">
        <is>
          <t>Nej</t>
        </is>
      </c>
      <c r="AE98" t="inlineStr">
        <is>
          <t>Nej</t>
        </is>
      </c>
      <c r="AF98" t="inlineStr">
        <is>
          <t>Ej behandlad</t>
        </is>
      </c>
      <c r="AG98" t="inlineStr">
        <is>
          <t>AUTO_GENERERAD. Verifiera citat mot kallfil.</t>
        </is>
      </c>
      <c r="AH98" t="inlineStr">
        <is>
          <t>MEDIUM</t>
        </is>
      </c>
      <c r="AI98" t="inlineStr">
        <is>
          <t>AUTO</t>
        </is>
      </c>
      <c r="AJ98" t="inlineStr">
        <is>
          <t>Nej</t>
        </is>
      </c>
      <c r="AK98" t="inlineStr"/>
      <c r="AL98" t="inlineStr"/>
      <c r="AM98" t="inlineStr"/>
      <c r="AN98" t="inlineStr"/>
      <c r="AO98" t="inlineStr">
        <is>
          <t>cmm4yumu4002ncuqwsv6yg2uz</t>
        </is>
      </c>
      <c r="AP98" t="inlineStr">
        <is>
          <t>http://localhost:8787/api/admin/requirements/documents/cmm4yumu4002ncuqwsv6yg2uz/view</t>
        </is>
      </c>
      <c r="AQ98">
        <f>HYPERLÄNK("http://localhost:8787/api/admin/requirements/documents/cmm4yumu4002ncuqwsv6yg2uz/view";"Öppna PDF")</f>
        <v/>
      </c>
      <c r="AR98">
        <f>HYPERLINK("http://localhost:8787/api/admin/requirements/documents/cmm4yumu4002ncuqwsv6yg2uz/view","Open PDF")</f>
        <v/>
      </c>
      <c r="AS98" t="inlineStr">
        <is>
          <t>cmm55w57p0004cuisfrtpqly8</t>
        </is>
      </c>
      <c r="AT98" t="inlineStr">
        <is>
          <t>cmm4xvu980000cuh4vj0usz09</t>
        </is>
      </c>
      <c r="AU98" t="inlineStr"/>
      <c r="AV98" t="inlineStr">
        <is>
          <t>Kommun</t>
        </is>
      </c>
      <c r="AW98" t="inlineStr"/>
      <c r="AX98" t="inlineStr">
        <is>
          <t>2021-07</t>
        </is>
      </c>
      <c r="AY98" t="inlineStr">
        <is>
          <t>Anmalan</t>
        </is>
      </c>
      <c r="AZ98" t="inlineStr">
        <is>
          <t>2026-01-30</t>
        </is>
      </c>
      <c r="BA98" t="inlineStr">
        <is>
          <t>Miljö-2024-62-1_Bilaga 2. Fullständiga analysprotokoll.pdf</t>
        </is>
      </c>
      <c r="BB98" t="inlineStr">
        <is>
          <t>Sv:  Begäran om utlämnande av allmän handling – Anmälningar och beslut rörande mellanlagring av avfall samt anläggning av ytor</t>
        </is>
      </c>
      <c r="BC98" t="inlineStr">
        <is>
          <t>AUTO</t>
        </is>
      </c>
      <c r="BD98" t="inlineStr"/>
      <c r="BE98" t="inlineStr"/>
      <c r="BF98" t="inlineStr">
        <is>
          <t>AUTO_GENERERAD. Bekrafta metadata mot kallfil.</t>
        </is>
      </c>
      <c r="BG98">
        <f>HYPERLINK("C:\Users\jimmy\Desktop\Examens arbete\Kod\Ny mapp\remix_-copy-of-miljöbeslut.se-portal\Miljö-2024-62-1_Bilaga 2. Fullständiga analysprotokoll.pdf", "Öppna PDF")</f>
        <v/>
      </c>
    </row>
    <row r="99">
      <c r="A99" t="inlineStr">
        <is>
          <t>KRAV-AUTO-000098</t>
        </is>
      </c>
      <c r="B99" t="inlineStr">
        <is>
          <t>ADMIN-INDEX-2026-02-27-00000000125C043F57453246863FE664CAFE6A3F0700950291EA24F0614FB6ACEDB12BF0E31D00000000010C0000950291EA24F0614FB6ACEDB12BF0E31D00002087B7BA0000</t>
        </is>
      </c>
      <c r="C99" t="inlineStr">
        <is>
          <t>cmm4yumtk0025cuqwwumnd3qr</t>
        </is>
      </c>
      <c r="D99" t="inlineStr">
        <is>
          <t>http://localhost:8787/api/admin/requirements/documents/cmm4yumtk0025cuqwwumnd3qr/view</t>
        </is>
      </c>
      <c r="E99">
        <f>HYPERLÄNK("http://localhost:8787/api/admin/requirements/documents/cmm4yumtk0025cuqwwumnd3qr/view";"Öppna PDF")</f>
        <v/>
      </c>
      <c r="F99">
        <f>HYPERLINK("http://localhost:8787/api/admin/requirements/documents/cmm4yumtk0025cuqwwumnd3qr/view","Open PDF")</f>
        <v/>
      </c>
      <c r="G99" t="inlineStr">
        <is>
          <t>cmm55w57p0004cuisfrtpqly8</t>
        </is>
      </c>
      <c r="H99" t="inlineStr">
        <is>
          <t>Informationskrav</t>
        </is>
      </c>
      <c r="I99" t="inlineStr">
        <is>
          <t>Riskhantering</t>
        </is>
      </c>
      <c r="J99" t="inlineStr">
        <is>
          <t>Riskkontroll</t>
        </is>
      </c>
      <c r="K99" t="inlineStr">
        <is>
          <t>Parametrar som ska analyseras inkluderar metaller och, vid behov, PAH eller andra ämnen beroende på riskbedömning.</t>
        </is>
      </c>
      <c r="L99" t="inlineStr">
        <is>
          <t>Parametrar som ska analyseras inkluderar metaller och, vid behov, PAH eller andra ämnen beroende på riskbedömning.</t>
        </is>
      </c>
      <c r="M99" t="inlineStr">
        <is>
          <t>SKA</t>
        </is>
      </c>
      <c r="N99" t="inlineStr"/>
      <c r="O99" t="inlineStr"/>
      <c r="P99" t="inlineStr"/>
      <c r="Q99" t="inlineStr"/>
      <c r="R99" t="inlineStr">
        <is>
          <t>Vid risk for incident</t>
        </is>
      </c>
      <c r="S99" t="inlineStr"/>
      <c r="T99" t="inlineStr">
        <is>
          <t>25 11 00</t>
        </is>
      </c>
      <c r="U99" t="inlineStr"/>
      <c r="V99" t="inlineStr"/>
      <c r="W99" t="inlineStr">
        <is>
          <t>Nej</t>
        </is>
      </c>
      <c r="X99" t="inlineStr">
        <is>
          <t>Nej</t>
        </is>
      </c>
      <c r="Y99" t="inlineStr">
        <is>
          <t>Ja</t>
        </is>
      </c>
      <c r="Z99" t="inlineStr">
        <is>
          <t>Ja</t>
        </is>
      </c>
      <c r="AA99" t="n">
        <v>8</v>
      </c>
      <c r="AB99" t="inlineStr">
        <is>
          <t>Riskhantering</t>
        </is>
      </c>
      <c r="AC99" t="inlineStr">
        <is>
          <t>Risk-PM</t>
        </is>
      </c>
      <c r="AD99" t="inlineStr">
        <is>
          <t>Nej</t>
        </is>
      </c>
      <c r="AE99" t="inlineStr">
        <is>
          <t>Nej</t>
        </is>
      </c>
      <c r="AF99" t="inlineStr">
        <is>
          <t>Ej behandlad</t>
        </is>
      </c>
      <c r="AG99" t="inlineStr">
        <is>
          <t>AUTO_GENERERAD. Verifiera citat mot kallfil.</t>
        </is>
      </c>
      <c r="AH99" t="inlineStr">
        <is>
          <t>MEDIUM</t>
        </is>
      </c>
      <c r="AI99" t="inlineStr">
        <is>
          <t>AUTO</t>
        </is>
      </c>
      <c r="AJ99" t="inlineStr">
        <is>
          <t>Nej</t>
        </is>
      </c>
      <c r="AK99" t="inlineStr"/>
      <c r="AL99" t="inlineStr"/>
      <c r="AM99" t="inlineStr"/>
      <c r="AN99" t="inlineStr"/>
      <c r="AO99" t="inlineStr">
        <is>
          <t>cmm4yumu4002ncuqwsv6yg2uz</t>
        </is>
      </c>
      <c r="AP99" t="inlineStr">
        <is>
          <t>http://localhost:8787/api/admin/requirements/documents/cmm4yumu4002ncuqwsv6yg2uz/view</t>
        </is>
      </c>
      <c r="AQ99">
        <f>HYPERLÄNK("http://localhost:8787/api/admin/requirements/documents/cmm4yumu4002ncuqwsv6yg2uz/view";"Öppna PDF")</f>
        <v/>
      </c>
      <c r="AR99">
        <f>HYPERLINK("http://localhost:8787/api/admin/requirements/documents/cmm4yumu4002ncuqwsv6yg2uz/view","Open PDF")</f>
        <v/>
      </c>
      <c r="AS99" t="inlineStr">
        <is>
          <t>cmm55w57p0004cuisfrtpqly8</t>
        </is>
      </c>
      <c r="AT99" t="inlineStr">
        <is>
          <t>cmm4xvu980000cuh4vj0usz09</t>
        </is>
      </c>
      <c r="AU99" t="inlineStr"/>
      <c r="AV99" t="inlineStr">
        <is>
          <t>Kommun</t>
        </is>
      </c>
      <c r="AW99" t="inlineStr"/>
      <c r="AX99" t="inlineStr">
        <is>
          <t>2021-07</t>
        </is>
      </c>
      <c r="AY99" t="inlineStr">
        <is>
          <t>Anmalan</t>
        </is>
      </c>
      <c r="AZ99" t="inlineStr">
        <is>
          <t>2026-01-30</t>
        </is>
      </c>
      <c r="BA99" t="inlineStr">
        <is>
          <t>Miljö-2024-62-1_Bilaga 2. Fullständiga analysprotokoll.pdf</t>
        </is>
      </c>
      <c r="BB99" t="inlineStr">
        <is>
          <t>Sv:  Begäran om utlämnande av allmän handling – Anmälningar och beslut rörande mellanlagring av avfall samt anläggning av ytor</t>
        </is>
      </c>
      <c r="BC99" t="inlineStr">
        <is>
          <t>AUTO</t>
        </is>
      </c>
      <c r="BD99" t="inlineStr"/>
      <c r="BE99" t="inlineStr"/>
      <c r="BF99" t="inlineStr">
        <is>
          <t>AUTO_GENERERAD. Bekrafta metadata mot kallfil.</t>
        </is>
      </c>
      <c r="BG99">
        <f>HYPERLINK("C:\Users\jimmy\Desktop\Examens arbete\Kod\Ny mapp\remix_-copy-of-miljöbeslut.se-portal\Miljö-2024-62-1_Bilaga 2. Fullständiga analysprotokoll.pdf", "Öppna PDF")</f>
        <v/>
      </c>
    </row>
    <row r="100">
      <c r="A100" t="inlineStr">
        <is>
          <t>KRAV-AUTO-000099</t>
        </is>
      </c>
      <c r="B100" t="inlineStr">
        <is>
          <t>ADMIN-INDEX-2026-02-27-00000000125C043F57453246863FE664CAFE6A3F0700950291EA24F0614FB6ACEDB12BF0E31D00000000010C0000950291EA24F0614FB6ACEDB12BF0E31D00002087B7BA0000</t>
        </is>
      </c>
      <c r="C100" t="inlineStr">
        <is>
          <t>cmm4yumth0022cuqwdpqgpa6h</t>
        </is>
      </c>
      <c r="D100" t="inlineStr">
        <is>
          <t>http://localhost:8787/api/admin/requirements/documents/cmm4yumth0022cuqwdpqgpa6h/view</t>
        </is>
      </c>
      <c r="E100">
        <f>HYPERLÄNK("http://localhost:8787/api/admin/requirements/documents/cmm4yumth0022cuqwdpqgpa6h/view";"Öppna PDF")</f>
        <v/>
      </c>
      <c r="F100">
        <f>HYPERLINK("http://localhost:8787/api/admin/requirements/documents/cmm4yumth0022cuqwdpqgpa6h/view","Open PDF")</f>
        <v/>
      </c>
      <c r="G100" t="inlineStr">
        <is>
          <t>cmm55w57p0004cuisfrtpqly8</t>
        </is>
      </c>
      <c r="H100" t="inlineStr">
        <is>
          <t>Informationskrav</t>
        </is>
      </c>
      <c r="I100" t="inlineStr">
        <is>
          <t>DriftEgenkontroll</t>
        </is>
      </c>
      <c r="J100" t="inlineStr">
        <is>
          <t>Journalforing</t>
        </is>
      </c>
      <c r="K100" t="inlineStr">
        <is>
          <t>• Samtliga massor som tas emot ska vara provtagna av sakkunnig och analyserade på ackrediterat laboratorium med avseende på metaller, PAH, alifater och aromater.</t>
        </is>
      </c>
      <c r="L100" t="inlineStr">
        <is>
          <t>• Samtliga massor som tas emot ska vara provtagna av sakkunnig och analyserade på ackrediterat laboratorium med avseende på metaller, PAH, alifater och aromater.</t>
        </is>
      </c>
      <c r="M100" t="inlineStr">
        <is>
          <t>SKA</t>
        </is>
      </c>
      <c r="N100" t="inlineStr"/>
      <c r="O100" t="inlineStr"/>
      <c r="P100" t="inlineStr"/>
      <c r="Q100" t="inlineStr"/>
      <c r="R100" t="inlineStr">
        <is>
          <t>Lopande drift</t>
        </is>
      </c>
      <c r="S100" t="inlineStr"/>
      <c r="T100" t="inlineStr">
        <is>
          <t>25 11 00</t>
        </is>
      </c>
      <c r="U100" t="inlineStr"/>
      <c r="V100" t="inlineStr"/>
      <c r="W100" t="inlineStr">
        <is>
          <t>Nej</t>
        </is>
      </c>
      <c r="X100" t="inlineStr">
        <is>
          <t>Nej</t>
        </is>
      </c>
      <c r="Y100" t="inlineStr">
        <is>
          <t>Ja</t>
        </is>
      </c>
      <c r="Z100" t="inlineStr">
        <is>
          <t>Nej</t>
        </is>
      </c>
      <c r="AA100" t="n">
        <v>7</v>
      </c>
      <c r="AB100" t="inlineStr">
        <is>
          <t>Egenkontrollrutiner</t>
        </is>
      </c>
      <c r="AC100" t="inlineStr">
        <is>
          <t>Egenkontrollprogram</t>
        </is>
      </c>
      <c r="AD100" t="inlineStr">
        <is>
          <t>Nej</t>
        </is>
      </c>
      <c r="AE100" t="inlineStr">
        <is>
          <t>Nej</t>
        </is>
      </c>
      <c r="AF100" t="inlineStr">
        <is>
          <t>Ej behandlad</t>
        </is>
      </c>
      <c r="AG100" t="inlineStr">
        <is>
          <t>AUTO_GENERERAD. Verifiera citat mot kallfil.</t>
        </is>
      </c>
      <c r="AH100" t="inlineStr">
        <is>
          <t>MEDIUM</t>
        </is>
      </c>
      <c r="AI100" t="inlineStr">
        <is>
          <t>AUTO</t>
        </is>
      </c>
      <c r="AJ100" t="inlineStr">
        <is>
          <t>Nej</t>
        </is>
      </c>
      <c r="AK100" t="inlineStr"/>
      <c r="AL100" t="inlineStr"/>
      <c r="AM100" t="inlineStr"/>
      <c r="AN100" t="inlineStr"/>
      <c r="AO100" t="inlineStr">
        <is>
          <t>cmm4yumu4002ncuqwsv6yg2uz</t>
        </is>
      </c>
      <c r="AP100" t="inlineStr">
        <is>
          <t>http://localhost:8787/api/admin/requirements/documents/cmm4yumu4002ncuqwsv6yg2uz/view</t>
        </is>
      </c>
      <c r="AQ100">
        <f>HYPERLÄNK("http://localhost:8787/api/admin/requirements/documents/cmm4yumu4002ncuqwsv6yg2uz/view";"Öppna PDF")</f>
        <v/>
      </c>
      <c r="AR100">
        <f>HYPERLINK("http://localhost:8787/api/admin/requirements/documents/cmm4yumu4002ncuqwsv6yg2uz/view","Open PDF")</f>
        <v/>
      </c>
      <c r="AS100" t="inlineStr">
        <is>
          <t>cmm55w57p0004cuisfrtpqly8</t>
        </is>
      </c>
      <c r="AT100" t="inlineStr">
        <is>
          <t>cmm4xvu980000cuh4vj0usz09</t>
        </is>
      </c>
      <c r="AU100" t="inlineStr"/>
      <c r="AV100" t="inlineStr">
        <is>
          <t>Kommun</t>
        </is>
      </c>
      <c r="AW100" t="inlineStr"/>
      <c r="AX100" t="inlineStr">
        <is>
          <t>2021-07</t>
        </is>
      </c>
      <c r="AY100" t="inlineStr">
        <is>
          <t>Anmalan</t>
        </is>
      </c>
      <c r="AZ100" t="inlineStr">
        <is>
          <t>2026-01-30</t>
        </is>
      </c>
      <c r="BA100" t="inlineStr">
        <is>
          <t>Miljö-2024-62-1_Bilaga 2. Fullständiga analysprotokoll.pdf</t>
        </is>
      </c>
      <c r="BB100" t="inlineStr">
        <is>
          <t>Sv:  Begäran om utlämnande av allmän handling – Anmälningar och beslut rörande mellanlagring av avfall samt anläggning av ytor</t>
        </is>
      </c>
      <c r="BC100" t="inlineStr">
        <is>
          <t>AUTO</t>
        </is>
      </c>
      <c r="BD100" t="inlineStr"/>
      <c r="BE100" t="inlineStr"/>
      <c r="BF100" t="inlineStr">
        <is>
          <t>AUTO_GENERERAD. Bekrafta metadata mot kallfil.</t>
        </is>
      </c>
      <c r="BG100">
        <f>HYPERLINK("C:\Users\jimmy\Desktop\Examens arbete\Kod\Ny mapp\remix_-copy-of-miljöbeslut.se-portal\Miljö-2024-62-1_Bilaga 2. Fullständiga analysprotokoll.pdf", "Öppna PDF")</f>
        <v/>
      </c>
    </row>
    <row r="101">
      <c r="A101" t="inlineStr">
        <is>
          <t>KRAV-AUTO-000100</t>
        </is>
      </c>
      <c r="B101" t="inlineStr">
        <is>
          <t>ADMIN-INDEX-2026-02-27-00000000125C043F57453246863FE664CAFE6A3F0700950291EA24F0614FB6ACEDB12BF0E31D00000000010C0000950291EA24F0614FB6ACEDB12BF0E31D00002087B7BA0000</t>
        </is>
      </c>
      <c r="C101" t="inlineStr">
        <is>
          <t>cmm4yumth0022cuqwdpqgpa6h</t>
        </is>
      </c>
      <c r="D101" t="inlineStr">
        <is>
          <t>http://localhost:8787/api/admin/requirements/documents/cmm4yumth0022cuqwdpqgpa6h/view</t>
        </is>
      </c>
      <c r="E101">
        <f>HYPERLÄNK("http://localhost:8787/api/admin/requirements/documents/cmm4yumth0022cuqwdpqgpa6h/view";"Öppna PDF")</f>
        <v/>
      </c>
      <c r="F101">
        <f>HYPERLINK("http://localhost:8787/api/admin/requirements/documents/cmm4yumth0022cuqwdpqgpa6h/view","Open PDF")</f>
        <v/>
      </c>
      <c r="G101" t="inlineStr">
        <is>
          <t>cmm55w57p0004cuisfrtpqly8</t>
        </is>
      </c>
      <c r="H101" t="inlineStr">
        <is>
          <t>Informationskrav</t>
        </is>
      </c>
      <c r="I101" t="inlineStr">
        <is>
          <t>DriftEgenkontroll</t>
        </is>
      </c>
      <c r="J101" t="inlineStr">
        <is>
          <t>Journalforing</t>
        </is>
      </c>
      <c r="K101" t="inlineStr">
        <is>
          <t>Redovisningen ska innehålla uppgifter om: o mängder (i ton), o ursprunglig fastighet, o leverantör, o resultat från provtagning och analyser, o samt eventuella avvikelser från planerat arbete och åtgärder som vidtagits.</t>
        </is>
      </c>
      <c r="L101" t="inlineStr">
        <is>
          <t>Redovisningen ska innehålla uppgifter om: o mängder (i ton), o ursprunglig fastighet, o leverantör, o resultat från provtagning och analyser, o samt eventuella avvikelser från planerat arbete och åtgärder som vidtagits.</t>
        </is>
      </c>
      <c r="M101" t="inlineStr">
        <is>
          <t>SKA</t>
        </is>
      </c>
      <c r="N101" t="inlineStr"/>
      <c r="O101" t="inlineStr"/>
      <c r="P101" t="inlineStr"/>
      <c r="Q101" t="inlineStr"/>
      <c r="R101" t="inlineStr">
        <is>
          <t>Lopande drift</t>
        </is>
      </c>
      <c r="S101" t="inlineStr"/>
      <c r="T101" t="inlineStr">
        <is>
          <t>25 11 00</t>
        </is>
      </c>
      <c r="U101" t="inlineStr"/>
      <c r="V101" t="inlineStr"/>
      <c r="W101" t="inlineStr">
        <is>
          <t>Nej</t>
        </is>
      </c>
      <c r="X101" t="inlineStr">
        <is>
          <t>Nej</t>
        </is>
      </c>
      <c r="Y101" t="inlineStr">
        <is>
          <t>Ja</t>
        </is>
      </c>
      <c r="Z101" t="inlineStr">
        <is>
          <t>Nej</t>
        </is>
      </c>
      <c r="AA101" t="n">
        <v>7</v>
      </c>
      <c r="AB101" t="inlineStr">
        <is>
          <t>Egenkontrollrutiner</t>
        </is>
      </c>
      <c r="AC101" t="inlineStr">
        <is>
          <t>Egenkontrollprogram</t>
        </is>
      </c>
      <c r="AD101" t="inlineStr">
        <is>
          <t>Nej</t>
        </is>
      </c>
      <c r="AE101" t="inlineStr">
        <is>
          <t>Nej</t>
        </is>
      </c>
      <c r="AF101" t="inlineStr">
        <is>
          <t>Ej behandlad</t>
        </is>
      </c>
      <c r="AG101" t="inlineStr">
        <is>
          <t>AUTO_GENERERAD. Verifiera citat mot kallfil.</t>
        </is>
      </c>
      <c r="AH101" t="inlineStr">
        <is>
          <t>MEDIUM</t>
        </is>
      </c>
      <c r="AI101" t="inlineStr">
        <is>
          <t>AUTO</t>
        </is>
      </c>
      <c r="AJ101" t="inlineStr">
        <is>
          <t>Nej</t>
        </is>
      </c>
      <c r="AK101" t="inlineStr"/>
      <c r="AL101" t="inlineStr"/>
      <c r="AM101" t="inlineStr"/>
      <c r="AN101" t="inlineStr"/>
      <c r="AO101" t="inlineStr">
        <is>
          <t>cmm4yumu4002ncuqwsv6yg2uz</t>
        </is>
      </c>
      <c r="AP101" t="inlineStr">
        <is>
          <t>http://localhost:8787/api/admin/requirements/documents/cmm4yumu4002ncuqwsv6yg2uz/view</t>
        </is>
      </c>
      <c r="AQ101">
        <f>HYPERLÄNK("http://localhost:8787/api/admin/requirements/documents/cmm4yumu4002ncuqwsv6yg2uz/view";"Öppna PDF")</f>
        <v/>
      </c>
      <c r="AR101">
        <f>HYPERLINK("http://localhost:8787/api/admin/requirements/documents/cmm4yumu4002ncuqwsv6yg2uz/view","Open PDF")</f>
        <v/>
      </c>
      <c r="AS101" t="inlineStr">
        <is>
          <t>cmm55w57p0004cuisfrtpqly8</t>
        </is>
      </c>
      <c r="AT101" t="inlineStr">
        <is>
          <t>cmm4xvu980000cuh4vj0usz09</t>
        </is>
      </c>
      <c r="AU101" t="inlineStr"/>
      <c r="AV101" t="inlineStr">
        <is>
          <t>Kommun</t>
        </is>
      </c>
      <c r="AW101" t="inlineStr"/>
      <c r="AX101" t="inlineStr">
        <is>
          <t>2021-07</t>
        </is>
      </c>
      <c r="AY101" t="inlineStr">
        <is>
          <t>Anmalan</t>
        </is>
      </c>
      <c r="AZ101" t="inlineStr">
        <is>
          <t>2026-01-30</t>
        </is>
      </c>
      <c r="BA101" t="inlineStr">
        <is>
          <t>Miljö-2024-62-1_Bilaga 2. Fullständiga analysprotokoll.pdf</t>
        </is>
      </c>
      <c r="BB101" t="inlineStr">
        <is>
          <t>Sv:  Begäran om utlämnande av allmän handling – Anmälningar och beslut rörande mellanlagring av avfall samt anläggning av ytor</t>
        </is>
      </c>
      <c r="BC101" t="inlineStr">
        <is>
          <t>AUTO</t>
        </is>
      </c>
      <c r="BD101" t="inlineStr"/>
      <c r="BE101" t="inlineStr"/>
      <c r="BF101" t="inlineStr">
        <is>
          <t>AUTO_GENERERAD. Bekrafta metadata mot kallfil.</t>
        </is>
      </c>
      <c r="BG101">
        <f>HYPERLINK("C:\Users\jimmy\Desktop\Examens arbete\Kod\Ny mapp\remix_-copy-of-miljöbeslut.se-portal\Miljö-2024-62-1_Bilaga 2. Fullständiga analysprotokoll.pdf", "Öppna PDF")</f>
        <v/>
      </c>
    </row>
    <row r="102">
      <c r="A102" t="inlineStr">
        <is>
          <t>KRAV-AUTO-000101</t>
        </is>
      </c>
      <c r="B102" t="inlineStr">
        <is>
          <t>ADMIN-INDEX-2026-02-27-00000000125C043F57453246863FE664CAFE6A3F0700950291EA24F0614FB6ACEDB12BF0E31D00000000010C0000950291EA24F0614FB6ACEDB12BF0E31D00002087B7BA0000</t>
        </is>
      </c>
      <c r="C102" t="inlineStr">
        <is>
          <t>cmm4yumth0022cuqwdpqgpa6h</t>
        </is>
      </c>
      <c r="D102" t="inlineStr">
        <is>
          <t>http://localhost:8787/api/admin/requirements/documents/cmm4yumth0022cuqwdpqgpa6h/view</t>
        </is>
      </c>
      <c r="E102">
        <f>HYPERLÄNK("http://localhost:8787/api/admin/requirements/documents/cmm4yumth0022cuqwdpqgpa6h/view";"Öppna PDF")</f>
        <v/>
      </c>
      <c r="F102">
        <f>HYPERLINK("http://localhost:8787/api/admin/requirements/documents/cmm4yumth0022cuqwdpqgpa6h/view","Open PDF")</f>
        <v/>
      </c>
      <c r="G102" t="inlineStr">
        <is>
          <t>cmm55w57p0004cuisfrtpqly8</t>
        </is>
      </c>
      <c r="H102" t="inlineStr">
        <is>
          <t>Informationskrav</t>
        </is>
      </c>
      <c r="I102" t="inlineStr">
        <is>
          <t>MiljopaverkanForsiktighet</t>
        </is>
      </c>
      <c r="J102" t="inlineStr">
        <is>
          <t>Skyddsatgarder</t>
        </is>
      </c>
      <c r="K102" t="inlineStr">
        <is>
          <t>Rivningsavfall, byggavfall eller liknande får inte tillföras.</t>
        </is>
      </c>
      <c r="L102" t="inlineStr">
        <is>
          <t>Rivningsavfall, byggavfall eller liknande får inte tillföras.</t>
        </is>
      </c>
      <c r="M102" t="inlineStr">
        <is>
          <t>SKA</t>
        </is>
      </c>
      <c r="N102" t="inlineStr"/>
      <c r="O102" t="inlineStr"/>
      <c r="P102" t="inlineStr"/>
      <c r="Q102" t="inlineStr">
        <is>
          <t>Driftbegransning vid avvikelse</t>
        </is>
      </c>
      <c r="R102" t="inlineStr">
        <is>
          <t>Alltid</t>
        </is>
      </c>
      <c r="S102" t="inlineStr"/>
      <c r="T102" t="inlineStr">
        <is>
          <t>25 11 00</t>
        </is>
      </c>
      <c r="U102" t="inlineStr"/>
      <c r="V102" t="inlineStr"/>
      <c r="W102" t="inlineStr">
        <is>
          <t>Nej</t>
        </is>
      </c>
      <c r="X102" t="inlineStr">
        <is>
          <t>Nej</t>
        </is>
      </c>
      <c r="Y102" t="inlineStr">
        <is>
          <t>Nej</t>
        </is>
      </c>
      <c r="Z102" t="inlineStr">
        <is>
          <t>Nej</t>
        </is>
      </c>
      <c r="AA102" t="n">
        <v>10</v>
      </c>
      <c r="AB102" t="inlineStr">
        <is>
          <t>Miljopaverkan och forsiktighetsmatt</t>
        </is>
      </c>
      <c r="AC102" t="inlineStr">
        <is>
          <t>Miljo-PM</t>
        </is>
      </c>
      <c r="AD102" t="inlineStr">
        <is>
          <t>Nej</t>
        </is>
      </c>
      <c r="AE102" t="inlineStr">
        <is>
          <t>Nej</t>
        </is>
      </c>
      <c r="AF102" t="inlineStr">
        <is>
          <t>Ej behandlad</t>
        </is>
      </c>
      <c r="AG102" t="inlineStr">
        <is>
          <t>AUTO_GENERERAD. Verifiera citat mot kallfil.</t>
        </is>
      </c>
      <c r="AH102" t="inlineStr">
        <is>
          <t>MEDIUM</t>
        </is>
      </c>
      <c r="AI102" t="inlineStr">
        <is>
          <t>AUTO</t>
        </is>
      </c>
      <c r="AJ102" t="inlineStr">
        <is>
          <t>Nej</t>
        </is>
      </c>
      <c r="AK102" t="inlineStr"/>
      <c r="AL102" t="inlineStr"/>
      <c r="AM102" t="inlineStr"/>
      <c r="AN102" t="inlineStr"/>
      <c r="AO102" t="inlineStr">
        <is>
          <t>cmm4yumu4002ncuqwsv6yg2uz</t>
        </is>
      </c>
      <c r="AP102" t="inlineStr">
        <is>
          <t>http://localhost:8787/api/admin/requirements/documents/cmm4yumu4002ncuqwsv6yg2uz/view</t>
        </is>
      </c>
      <c r="AQ102">
        <f>HYPERLÄNK("http://localhost:8787/api/admin/requirements/documents/cmm4yumu4002ncuqwsv6yg2uz/view";"Öppna PDF")</f>
        <v/>
      </c>
      <c r="AR102">
        <f>HYPERLINK("http://localhost:8787/api/admin/requirements/documents/cmm4yumu4002ncuqwsv6yg2uz/view","Open PDF")</f>
        <v/>
      </c>
      <c r="AS102" t="inlineStr">
        <is>
          <t>cmm55w57p0004cuisfrtpqly8</t>
        </is>
      </c>
      <c r="AT102" t="inlineStr">
        <is>
          <t>cmm4xvu980000cuh4vj0usz09</t>
        </is>
      </c>
      <c r="AU102" t="inlineStr"/>
      <c r="AV102" t="inlineStr">
        <is>
          <t>Kommun</t>
        </is>
      </c>
      <c r="AW102" t="inlineStr"/>
      <c r="AX102" t="inlineStr">
        <is>
          <t>2021-07</t>
        </is>
      </c>
      <c r="AY102" t="inlineStr">
        <is>
          <t>Anmalan</t>
        </is>
      </c>
      <c r="AZ102" t="inlineStr">
        <is>
          <t>2026-01-30</t>
        </is>
      </c>
      <c r="BA102" t="inlineStr">
        <is>
          <t>Miljö-2024-62-1_Bilaga 2. Fullständiga analysprotokoll.pdf</t>
        </is>
      </c>
      <c r="BB102" t="inlineStr">
        <is>
          <t>Sv:  Begäran om utlämnande av allmän handling – Anmälningar och beslut rörande mellanlagring av avfall samt anläggning av ytor</t>
        </is>
      </c>
      <c r="BC102" t="inlineStr">
        <is>
          <t>AUTO</t>
        </is>
      </c>
      <c r="BD102" t="inlineStr"/>
      <c r="BE102" t="inlineStr"/>
      <c r="BF102" t="inlineStr">
        <is>
          <t>AUTO_GENERERAD. Bekrafta metadata mot kallfil.</t>
        </is>
      </c>
      <c r="BG102">
        <f>HYPERLINK("C:\Users\jimmy\Desktop\Examens arbete\Kod\Ny mapp\remix_-copy-of-miljöbeslut.se-portal\Miljö-2024-62-1_Bilaga 2. Fullständiga analysprotokoll.pdf", "Öppna PDF")</f>
        <v/>
      </c>
    </row>
    <row r="103">
      <c r="A103" t="inlineStr">
        <is>
          <t>KRAV-AUTO-000102</t>
        </is>
      </c>
      <c r="B103" t="inlineStr">
        <is>
          <t>ADMIN-INDEX-2026-02-27-00000000125C043F57453246863FE664CAFE6A3F0700950291EA24F0614FB6ACEDB12BF0E31D00000000010C0000950291EA24F0614FB6ACEDB12BF0E31D00002087B7BA0000</t>
        </is>
      </c>
      <c r="C103" t="inlineStr">
        <is>
          <t>cmm4yumtd001zcuqwggjdrutg</t>
        </is>
      </c>
      <c r="D103" t="inlineStr">
        <is>
          <t>http://localhost:8787/api/admin/requirements/documents/cmm4yumtd001zcuqwggjdrutg/view</t>
        </is>
      </c>
      <c r="E103">
        <f>HYPERLÄNK("http://localhost:8787/api/admin/requirements/documents/cmm4yumtd001zcuqwggjdrutg/view";"Öppna PDF")</f>
        <v/>
      </c>
      <c r="F103">
        <f>HYPERLINK("http://localhost:8787/api/admin/requirements/documents/cmm4yumtd001zcuqwggjdrutg/view","Open PDF")</f>
        <v/>
      </c>
      <c r="G103" t="inlineStr">
        <is>
          <t>cmm55w57p0004cuisfrtpqly8</t>
        </is>
      </c>
      <c r="H103" t="inlineStr">
        <is>
          <t>Informationskrav</t>
        </is>
      </c>
      <c r="I103" t="inlineStr">
        <is>
          <t>LagringsvolymTid</t>
        </is>
      </c>
      <c r="J103" t="inlineStr">
        <is>
          <t>Maxmangd</t>
        </is>
      </c>
      <c r="K103" t="inlineStr">
        <is>
          <t>• Slutrapport: En sammanställning av mottagna fyllnadsmassor, inklusive mängder (angivet i ton), datum för mottagande, ursprunglig fastighet samt leverantör, ska skickas in till Stadsbyggnadsnämnden senast tre månader efter att åtgärden har avslutats.</t>
        </is>
      </c>
      <c r="L103" t="inlineStr">
        <is>
          <t>• Slutrapport: En sammanställning av mottagna fyllnadsmassor, inklusive mängder (angivet i ton), datum för mottagande, ursprunglig fastighet samt leverantör, ska skickas in till Stadsbyggnadsnämnden senast tre månader efter att åtgärden har avslutats.</t>
        </is>
      </c>
      <c r="M103" t="inlineStr">
        <is>
          <t>SKA</t>
        </is>
      </c>
      <c r="N103" t="inlineStr"/>
      <c r="O103" t="inlineStr">
        <is>
          <t>senast tre manader efter att atgarden</t>
        </is>
      </c>
      <c r="P103" t="inlineStr">
        <is>
          <t>Manadskontroll</t>
        </is>
      </c>
      <c r="Q103" t="inlineStr"/>
      <c r="R103" t="inlineStr">
        <is>
          <t>Alltid</t>
        </is>
      </c>
      <c r="S103" t="inlineStr"/>
      <c r="T103" t="inlineStr">
        <is>
          <t>25 11 00</t>
        </is>
      </c>
      <c r="U103" t="inlineStr"/>
      <c r="V103" t="inlineStr"/>
      <c r="W103" t="inlineStr">
        <is>
          <t>Nej</t>
        </is>
      </c>
      <c r="X103" t="inlineStr">
        <is>
          <t>Nej</t>
        </is>
      </c>
      <c r="Y103" t="inlineStr">
        <is>
          <t>Nej</t>
        </is>
      </c>
      <c r="Z103" t="inlineStr">
        <is>
          <t>Nej</t>
        </is>
      </c>
      <c r="AA103" t="n">
        <v>4</v>
      </c>
      <c r="AB103" t="inlineStr">
        <is>
          <t>Avfallsmangder och lagringstid</t>
        </is>
      </c>
      <c r="AC103" t="inlineStr">
        <is>
          <t>Avfallsforteckning</t>
        </is>
      </c>
      <c r="AD103" t="inlineStr">
        <is>
          <t>Nej</t>
        </is>
      </c>
      <c r="AE103" t="inlineStr">
        <is>
          <t>Nej</t>
        </is>
      </c>
      <c r="AF103" t="inlineStr">
        <is>
          <t>Ej behandlad</t>
        </is>
      </c>
      <c r="AG103" t="inlineStr">
        <is>
          <t>AUTO_GENERERAD. Verifiera citat mot kallfil.</t>
        </is>
      </c>
      <c r="AH103" t="inlineStr">
        <is>
          <t>MEDIUM</t>
        </is>
      </c>
      <c r="AI103" t="inlineStr">
        <is>
          <t>AUTO</t>
        </is>
      </c>
      <c r="AJ103" t="inlineStr">
        <is>
          <t>Nej</t>
        </is>
      </c>
      <c r="AK103" t="inlineStr"/>
      <c r="AL103" t="inlineStr"/>
      <c r="AM103" t="inlineStr"/>
      <c r="AN103" t="inlineStr"/>
      <c r="AO103" t="inlineStr">
        <is>
          <t>cmm4yumu4002ncuqwsv6yg2uz</t>
        </is>
      </c>
      <c r="AP103" t="inlineStr">
        <is>
          <t>http://localhost:8787/api/admin/requirements/documents/cmm4yumu4002ncuqwsv6yg2uz/view</t>
        </is>
      </c>
      <c r="AQ103">
        <f>HYPERLÄNK("http://localhost:8787/api/admin/requirements/documents/cmm4yumu4002ncuqwsv6yg2uz/view";"Öppna PDF")</f>
        <v/>
      </c>
      <c r="AR103">
        <f>HYPERLINK("http://localhost:8787/api/admin/requirements/documents/cmm4yumu4002ncuqwsv6yg2uz/view","Open PDF")</f>
        <v/>
      </c>
      <c r="AS103" t="inlineStr">
        <is>
          <t>cmm55w57p0004cuisfrtpqly8</t>
        </is>
      </c>
      <c r="AT103" t="inlineStr">
        <is>
          <t>cmm4xvu980000cuh4vj0usz09</t>
        </is>
      </c>
      <c r="AU103" t="inlineStr"/>
      <c r="AV103" t="inlineStr">
        <is>
          <t>Kommun</t>
        </is>
      </c>
      <c r="AW103" t="inlineStr"/>
      <c r="AX103" t="inlineStr">
        <is>
          <t>2021-07</t>
        </is>
      </c>
      <c r="AY103" t="inlineStr">
        <is>
          <t>Anmalan</t>
        </is>
      </c>
      <c r="AZ103" t="inlineStr">
        <is>
          <t>2026-01-30</t>
        </is>
      </c>
      <c r="BA103" t="inlineStr">
        <is>
          <t>Miljö-2024-62-1_Bilaga 2. Fullständiga analysprotokoll.pdf</t>
        </is>
      </c>
      <c r="BB103" t="inlineStr">
        <is>
          <t>Sv:  Begäran om utlämnande av allmän handling – Anmälningar och beslut rörande mellanlagring av avfall samt anläggning av ytor</t>
        </is>
      </c>
      <c r="BC103" t="inlineStr">
        <is>
          <t>AUTO</t>
        </is>
      </c>
      <c r="BD103" t="inlineStr"/>
      <c r="BE103" t="inlineStr"/>
      <c r="BF103" t="inlineStr">
        <is>
          <t>AUTO_GENERERAD. Bekrafta metadata mot kallfil.</t>
        </is>
      </c>
      <c r="BG103">
        <f>HYPERLINK("C:\Users\jimmy\Desktop\Examens arbete\Kod\Ny mapp\remix_-copy-of-miljöbeslut.se-portal\Miljö-2024-62-1_Bilaga 2. Fullständiga analysprotokoll.pdf", "Öppna PDF")</f>
        <v/>
      </c>
    </row>
    <row r="104">
      <c r="A104" t="inlineStr">
        <is>
          <t>KRAV-AUTO-000103</t>
        </is>
      </c>
      <c r="B104" t="inlineStr">
        <is>
          <t>ADMIN-INDEX-2026-02-27-00000000125C043F57453246863FE664CAFE6A3F0700950291EA24F0614FB6ACEDB12BF0E31D00000000010C0000950291EA24F0614FB6ACEDB12BF0E31D00002087B7BA0000</t>
        </is>
      </c>
      <c r="C104" t="inlineStr">
        <is>
          <t>cmm4yumtd001zcuqwggjdrutg</t>
        </is>
      </c>
      <c r="D104" t="inlineStr">
        <is>
          <t>http://localhost:8787/api/admin/requirements/documents/cmm4yumtd001zcuqwggjdrutg/view</t>
        </is>
      </c>
      <c r="E104">
        <f>HYPERLÄNK("http://localhost:8787/api/admin/requirements/documents/cmm4yumtd001zcuqwggjdrutg/view";"Öppna PDF")</f>
        <v/>
      </c>
      <c r="F104">
        <f>HYPERLINK("http://localhost:8787/api/admin/requirements/documents/cmm4yumtd001zcuqwggjdrutg/view","Open PDF")</f>
        <v/>
      </c>
      <c r="G104" t="inlineStr">
        <is>
          <t>cmm55w57p0004cuisfrtpqly8</t>
        </is>
      </c>
      <c r="H104" t="inlineStr">
        <is>
          <t>Informationskrav</t>
        </is>
      </c>
      <c r="I104" t="inlineStr">
        <is>
          <t>Riskhantering</t>
        </is>
      </c>
      <c r="J104" t="inlineStr">
        <is>
          <t>Riskkontroll</t>
        </is>
      </c>
      <c r="K104" t="inlineStr">
        <is>
          <t>Dessa massor ska användas för täckning av bullervallen, vilket bedöms som en låg miljörisk.</t>
        </is>
      </c>
      <c r="L104" t="inlineStr">
        <is>
          <t>Dessa massor ska användas för täckning av bullervallen, vilket bedöms som en låg miljörisk.</t>
        </is>
      </c>
      <c r="M104" t="inlineStr">
        <is>
          <t>SKA</t>
        </is>
      </c>
      <c r="N104" t="inlineStr"/>
      <c r="O104" t="inlineStr"/>
      <c r="P104" t="inlineStr"/>
      <c r="Q104" t="inlineStr"/>
      <c r="R104" t="inlineStr">
        <is>
          <t>Vid risk for incident</t>
        </is>
      </c>
      <c r="S104" t="inlineStr"/>
      <c r="T104" t="inlineStr">
        <is>
          <t>25 11 00</t>
        </is>
      </c>
      <c r="U104" t="inlineStr"/>
      <c r="V104" t="inlineStr"/>
      <c r="W104" t="inlineStr">
        <is>
          <t>Nej</t>
        </is>
      </c>
      <c r="X104" t="inlineStr">
        <is>
          <t>Nej</t>
        </is>
      </c>
      <c r="Y104" t="inlineStr">
        <is>
          <t>Ja</t>
        </is>
      </c>
      <c r="Z104" t="inlineStr">
        <is>
          <t>Ja</t>
        </is>
      </c>
      <c r="AA104" t="n">
        <v>8</v>
      </c>
      <c r="AB104" t="inlineStr">
        <is>
          <t>Riskhantering</t>
        </is>
      </c>
      <c r="AC104" t="inlineStr">
        <is>
          <t>Risk-PM</t>
        </is>
      </c>
      <c r="AD104" t="inlineStr">
        <is>
          <t>Nej</t>
        </is>
      </c>
      <c r="AE104" t="inlineStr">
        <is>
          <t>Nej</t>
        </is>
      </c>
      <c r="AF104" t="inlineStr">
        <is>
          <t>Ej behandlad</t>
        </is>
      </c>
      <c r="AG104" t="inlineStr">
        <is>
          <t>AUTO_GENERERAD. Verifiera citat mot kallfil.</t>
        </is>
      </c>
      <c r="AH104" t="inlineStr">
        <is>
          <t>MEDIUM</t>
        </is>
      </c>
      <c r="AI104" t="inlineStr">
        <is>
          <t>AUTO</t>
        </is>
      </c>
      <c r="AJ104" t="inlineStr">
        <is>
          <t>Nej</t>
        </is>
      </c>
      <c r="AK104" t="inlineStr"/>
      <c r="AL104" t="inlineStr"/>
      <c r="AM104" t="inlineStr"/>
      <c r="AN104" t="inlineStr"/>
      <c r="AO104" t="inlineStr">
        <is>
          <t>cmm4yumu4002ncuqwsv6yg2uz</t>
        </is>
      </c>
      <c r="AP104" t="inlineStr">
        <is>
          <t>http://localhost:8787/api/admin/requirements/documents/cmm4yumu4002ncuqwsv6yg2uz/view</t>
        </is>
      </c>
      <c r="AQ104">
        <f>HYPERLÄNK("http://localhost:8787/api/admin/requirements/documents/cmm4yumu4002ncuqwsv6yg2uz/view";"Öppna PDF")</f>
        <v/>
      </c>
      <c r="AR104">
        <f>HYPERLINK("http://localhost:8787/api/admin/requirements/documents/cmm4yumu4002ncuqwsv6yg2uz/view","Open PDF")</f>
        <v/>
      </c>
      <c r="AS104" t="inlineStr">
        <is>
          <t>cmm55w57p0004cuisfrtpqly8</t>
        </is>
      </c>
      <c r="AT104" t="inlineStr">
        <is>
          <t>cmm4xvu980000cuh4vj0usz09</t>
        </is>
      </c>
      <c r="AU104" t="inlineStr"/>
      <c r="AV104" t="inlineStr">
        <is>
          <t>Kommun</t>
        </is>
      </c>
      <c r="AW104" t="inlineStr"/>
      <c r="AX104" t="inlineStr">
        <is>
          <t>2021-07</t>
        </is>
      </c>
      <c r="AY104" t="inlineStr">
        <is>
          <t>Anmalan</t>
        </is>
      </c>
      <c r="AZ104" t="inlineStr">
        <is>
          <t>2026-01-30</t>
        </is>
      </c>
      <c r="BA104" t="inlineStr">
        <is>
          <t>Miljö-2024-62-1_Bilaga 2. Fullständiga analysprotokoll.pdf</t>
        </is>
      </c>
      <c r="BB104" t="inlineStr">
        <is>
          <t>Sv:  Begäran om utlämnande av allmän handling – Anmälningar och beslut rörande mellanlagring av avfall samt anläggning av ytor</t>
        </is>
      </c>
      <c r="BC104" t="inlineStr">
        <is>
          <t>AUTO</t>
        </is>
      </c>
      <c r="BD104" t="inlineStr"/>
      <c r="BE104" t="inlineStr"/>
      <c r="BF104" t="inlineStr">
        <is>
          <t>AUTO_GENERERAD. Bekrafta metadata mot kallfil.</t>
        </is>
      </c>
      <c r="BG104">
        <f>HYPERLINK("C:\Users\jimmy\Desktop\Examens arbete\Kod\Ny mapp\remix_-copy-of-miljöbeslut.se-portal\Miljö-2024-62-1_Bilaga 2. Fullständiga analysprotokoll.pdf", "Öppna PDF")</f>
        <v/>
      </c>
    </row>
    <row r="105">
      <c r="A105" t="inlineStr">
        <is>
          <t>KRAV-AUTO-000104</t>
        </is>
      </c>
      <c r="B105" t="inlineStr">
        <is>
          <t>ADMIN-INDEX-2026-02-27-00000000125C043F57453246863FE664CAFE6A3F0700950291EA24F0614FB6ACEDB12BF0E31D00000000010C0000950291EA24F0614FB6ACEDB12BF0E31D00002087B7BA0000</t>
        </is>
      </c>
      <c r="C105" t="inlineStr">
        <is>
          <t>cmm4yumtd001zcuqwggjdrutg</t>
        </is>
      </c>
      <c r="D105" t="inlineStr">
        <is>
          <t>http://localhost:8787/api/admin/requirements/documents/cmm4yumtd001zcuqwggjdrutg/view</t>
        </is>
      </c>
      <c r="E105">
        <f>HYPERLÄNK("http://localhost:8787/api/admin/requirements/documents/cmm4yumtd001zcuqwggjdrutg/view";"Öppna PDF")</f>
        <v/>
      </c>
      <c r="F105">
        <f>HYPERLINK("http://localhost:8787/api/admin/requirements/documents/cmm4yumtd001zcuqwggjdrutg/view","Open PDF")</f>
        <v/>
      </c>
      <c r="G105" t="inlineStr">
        <is>
          <t>cmm55w57p0004cuisfrtpqly8</t>
        </is>
      </c>
      <c r="H105" t="inlineStr">
        <is>
          <t>Informationskrav</t>
        </is>
      </c>
      <c r="I105" t="inlineStr">
        <is>
          <t>DagvattenLakvatten</t>
        </is>
      </c>
      <c r="J105" t="inlineStr">
        <is>
          <t>Uppsamling</t>
        </is>
      </c>
      <c r="K105" t="inlineStr">
        <is>
          <t>Detta kan innefatta användning av tätande material eller avskärmande konstruktioner för att minimera risken för föroreningsspridning.</t>
        </is>
      </c>
      <c r="L105" t="inlineStr">
        <is>
          <t>Detta kan innefatta användning av tätande material eller avskärmande konstruktioner för att minimera risken för föroreningsspridning.</t>
        </is>
      </c>
      <c r="M105" t="inlineStr">
        <is>
          <t>SKA</t>
        </is>
      </c>
      <c r="N105" t="inlineStr"/>
      <c r="O105" t="inlineStr"/>
      <c r="P105" t="inlineStr"/>
      <c r="Q105" t="inlineStr"/>
      <c r="R105" t="inlineStr">
        <is>
          <t>Vid nederbord och avrinning</t>
        </is>
      </c>
      <c r="S105" t="inlineStr"/>
      <c r="T105" t="inlineStr">
        <is>
          <t>25 11 00</t>
        </is>
      </c>
      <c r="U105" t="inlineStr"/>
      <c r="V105" t="inlineStr"/>
      <c r="W105" t="inlineStr">
        <is>
          <t>Nej</t>
        </is>
      </c>
      <c r="X105" t="inlineStr">
        <is>
          <t>Ja</t>
        </is>
      </c>
      <c r="Y105" t="inlineStr">
        <is>
          <t>Ja</t>
        </is>
      </c>
      <c r="Z105" t="inlineStr">
        <is>
          <t>Nej</t>
        </is>
      </c>
      <c r="AA105" t="n">
        <v>6</v>
      </c>
      <c r="AB105" t="inlineStr">
        <is>
          <t>Lakvattenhantering</t>
        </is>
      </c>
      <c r="AC105" t="inlineStr">
        <is>
          <t>Flodesschema dagvatten-lakvatten</t>
        </is>
      </c>
      <c r="AD105" t="inlineStr">
        <is>
          <t>Nej</t>
        </is>
      </c>
      <c r="AE105" t="inlineStr">
        <is>
          <t>Nej</t>
        </is>
      </c>
      <c r="AF105" t="inlineStr">
        <is>
          <t>Ej behandlad</t>
        </is>
      </c>
      <c r="AG105" t="inlineStr">
        <is>
          <t>AUTO_GENERERAD. Verifiera citat mot kallfil.</t>
        </is>
      </c>
      <c r="AH105" t="inlineStr">
        <is>
          <t>MEDIUM</t>
        </is>
      </c>
      <c r="AI105" t="inlineStr">
        <is>
          <t>AUTO</t>
        </is>
      </c>
      <c r="AJ105" t="inlineStr">
        <is>
          <t>Nej</t>
        </is>
      </c>
      <c r="AK105" t="inlineStr"/>
      <c r="AL105" t="inlineStr"/>
      <c r="AM105" t="inlineStr"/>
      <c r="AN105" t="inlineStr"/>
      <c r="AO105" t="inlineStr">
        <is>
          <t>cmm4yumu4002ncuqwsv6yg2uz</t>
        </is>
      </c>
      <c r="AP105" t="inlineStr">
        <is>
          <t>http://localhost:8787/api/admin/requirements/documents/cmm4yumu4002ncuqwsv6yg2uz/view</t>
        </is>
      </c>
      <c r="AQ105">
        <f>HYPERLÄNK("http://localhost:8787/api/admin/requirements/documents/cmm4yumu4002ncuqwsv6yg2uz/view";"Öppna PDF")</f>
        <v/>
      </c>
      <c r="AR105">
        <f>HYPERLINK("http://localhost:8787/api/admin/requirements/documents/cmm4yumu4002ncuqwsv6yg2uz/view","Open PDF")</f>
        <v/>
      </c>
      <c r="AS105" t="inlineStr">
        <is>
          <t>cmm55w57p0004cuisfrtpqly8</t>
        </is>
      </c>
      <c r="AT105" t="inlineStr">
        <is>
          <t>cmm4xvu980000cuh4vj0usz09</t>
        </is>
      </c>
      <c r="AU105" t="inlineStr"/>
      <c r="AV105" t="inlineStr">
        <is>
          <t>Kommun</t>
        </is>
      </c>
      <c r="AW105" t="inlineStr"/>
      <c r="AX105" t="inlineStr">
        <is>
          <t>2021-07</t>
        </is>
      </c>
      <c r="AY105" t="inlineStr">
        <is>
          <t>Anmalan</t>
        </is>
      </c>
      <c r="AZ105" t="inlineStr">
        <is>
          <t>2026-01-30</t>
        </is>
      </c>
      <c r="BA105" t="inlineStr">
        <is>
          <t>Miljö-2024-62-1_Bilaga 2. Fullständiga analysprotokoll.pdf</t>
        </is>
      </c>
      <c r="BB105" t="inlineStr">
        <is>
          <t>Sv:  Begäran om utlämnande av allmän handling – Anmälningar och beslut rörande mellanlagring av avfall samt anläggning av ytor</t>
        </is>
      </c>
      <c r="BC105" t="inlineStr">
        <is>
          <t>AUTO</t>
        </is>
      </c>
      <c r="BD105" t="inlineStr"/>
      <c r="BE105" t="inlineStr"/>
      <c r="BF105" t="inlineStr">
        <is>
          <t>AUTO_GENERERAD. Bekrafta metadata mot kallfil.</t>
        </is>
      </c>
      <c r="BG105">
        <f>HYPERLINK("C:\Users\jimmy\Desktop\Examens arbete\Kod\Ny mapp\remix_-copy-of-miljöbeslut.se-portal\Miljö-2024-62-1_Bilaga 2. Fullständiga analysprotokoll.pdf", "Öppna PDF")</f>
        <v/>
      </c>
    </row>
    <row r="106">
      <c r="A106" t="inlineStr">
        <is>
          <t>KRAV-AUTO-000105</t>
        </is>
      </c>
      <c r="B106" t="inlineStr">
        <is>
          <t>ADMIN-INDEX-2026-02-27-00000000125C043F57453246863FE664CAFE6A3F0700950291EA24F0614FB6ACEDB12BF0E31D00000000010C0000950291EA24F0614FB6ACEDB12BF0E31D00002087B7BA0000</t>
        </is>
      </c>
      <c r="C106" t="inlineStr">
        <is>
          <t>cmm4yumta001wcuqw6fy3f4r4</t>
        </is>
      </c>
      <c r="D106" t="inlineStr">
        <is>
          <t>http://localhost:8787/api/admin/requirements/documents/cmm4yumta001wcuqw6fy3f4r4/view</t>
        </is>
      </c>
      <c r="E106">
        <f>HYPERLÄNK("http://localhost:8787/api/admin/requirements/documents/cmm4yumta001wcuqw6fy3f4r4/view";"Öppna PDF")</f>
        <v/>
      </c>
      <c r="F106">
        <f>HYPERLINK("http://localhost:8787/api/admin/requirements/documents/cmm4yumta001wcuqw6fy3f4r4/view","Open PDF")</f>
        <v/>
      </c>
      <c r="G106" t="inlineStr">
        <is>
          <t>cmm55w57p0004cuisfrtpqly8</t>
        </is>
      </c>
      <c r="H106" t="inlineStr">
        <is>
          <t>Informationskrav</t>
        </is>
      </c>
      <c r="I106" t="inlineStr">
        <is>
          <t>MiljopaverkanForsiktighet</t>
        </is>
      </c>
      <c r="J106" t="inlineStr">
        <is>
          <t>Skyddsatgarder</t>
        </is>
      </c>
      <c r="K106" t="inlineStr">
        <is>
          <t>Redogörelse för ärendet Tekniska avdelningen på Staffanstorps kommun har inkommit till Stadsbyggnadsnämnden med en anmälan enligt miljöbalken om mellanlagring av avfall inom fastigheten Borggård 1:4.</t>
        </is>
      </c>
      <c r="L106" t="inlineStr">
        <is>
          <t>Redogörelse för ärendet Tekniska avdelningen på Staffanstorps kommun har inkommit till Stadsbyggnadsnämnden med en anmälan enligt miljöbalken om mellanlagring av avfall inom fastigheten Borggård 1:4.</t>
        </is>
      </c>
      <c r="M106" t="inlineStr">
        <is>
          <t>SKA</t>
        </is>
      </c>
      <c r="N106" t="inlineStr">
        <is>
          <t>Miljobalken</t>
        </is>
      </c>
      <c r="O106" t="inlineStr"/>
      <c r="P106" t="inlineStr"/>
      <c r="Q106" t="inlineStr"/>
      <c r="R106" t="inlineStr">
        <is>
          <t>Alltid</t>
        </is>
      </c>
      <c r="S106" t="inlineStr"/>
      <c r="T106" t="inlineStr">
        <is>
          <t>25 11 00</t>
        </is>
      </c>
      <c r="U106" t="inlineStr"/>
      <c r="V106" t="inlineStr"/>
      <c r="W106" t="inlineStr">
        <is>
          <t>Nej</t>
        </is>
      </c>
      <c r="X106" t="inlineStr">
        <is>
          <t>Nej</t>
        </is>
      </c>
      <c r="Y106" t="inlineStr">
        <is>
          <t>Nej</t>
        </is>
      </c>
      <c r="Z106" t="inlineStr">
        <is>
          <t>Nej</t>
        </is>
      </c>
      <c r="AA106" t="n">
        <v>10</v>
      </c>
      <c r="AB106" t="inlineStr">
        <is>
          <t>Miljopaverkan och forsiktighetsmatt</t>
        </is>
      </c>
      <c r="AC106" t="inlineStr">
        <is>
          <t>Miljo-PM</t>
        </is>
      </c>
      <c r="AD106" t="inlineStr">
        <is>
          <t>Nej</t>
        </is>
      </c>
      <c r="AE106" t="inlineStr">
        <is>
          <t>Nej</t>
        </is>
      </c>
      <c r="AF106" t="inlineStr">
        <is>
          <t>Ej behandlad</t>
        </is>
      </c>
      <c r="AG106" t="inlineStr">
        <is>
          <t>AUTO_GENERERAD. Verifiera citat mot kallfil.</t>
        </is>
      </c>
      <c r="AH106" t="inlineStr">
        <is>
          <t>HIGH</t>
        </is>
      </c>
      <c r="AI106" t="inlineStr">
        <is>
          <t>AUTO</t>
        </is>
      </c>
      <c r="AJ106" t="inlineStr">
        <is>
          <t>Nej</t>
        </is>
      </c>
      <c r="AK106" t="inlineStr"/>
      <c r="AL106" t="inlineStr"/>
      <c r="AM106" t="inlineStr"/>
      <c r="AN106" t="inlineStr"/>
      <c r="AO106" t="inlineStr">
        <is>
          <t>cmm4yumu4002ncuqwsv6yg2uz</t>
        </is>
      </c>
      <c r="AP106" t="inlineStr">
        <is>
          <t>http://localhost:8787/api/admin/requirements/documents/cmm4yumu4002ncuqwsv6yg2uz/view</t>
        </is>
      </c>
      <c r="AQ106">
        <f>HYPERLÄNK("http://localhost:8787/api/admin/requirements/documents/cmm4yumu4002ncuqwsv6yg2uz/view";"Öppna PDF")</f>
        <v/>
      </c>
      <c r="AR106">
        <f>HYPERLINK("http://localhost:8787/api/admin/requirements/documents/cmm4yumu4002ncuqwsv6yg2uz/view","Open PDF")</f>
        <v/>
      </c>
      <c r="AS106" t="inlineStr">
        <is>
          <t>cmm55w57p0004cuisfrtpqly8</t>
        </is>
      </c>
      <c r="AT106" t="inlineStr">
        <is>
          <t>cmm4xvu980000cuh4vj0usz09</t>
        </is>
      </c>
      <c r="AU106" t="inlineStr"/>
      <c r="AV106" t="inlineStr">
        <is>
          <t>Kommun</t>
        </is>
      </c>
      <c r="AW106" t="inlineStr"/>
      <c r="AX106" t="inlineStr">
        <is>
          <t>2021-07</t>
        </is>
      </c>
      <c r="AY106" t="inlineStr">
        <is>
          <t>Anmalan</t>
        </is>
      </c>
      <c r="AZ106" t="inlineStr">
        <is>
          <t>2026-01-30</t>
        </is>
      </c>
      <c r="BA106" t="inlineStr">
        <is>
          <t>Miljö-2024-62-1_Bilaga 2. Fullständiga analysprotokoll.pdf</t>
        </is>
      </c>
      <c r="BB106" t="inlineStr">
        <is>
          <t>Sv:  Begäran om utlämnande av allmän handling – Anmälningar och beslut rörande mellanlagring av avfall samt anläggning av ytor</t>
        </is>
      </c>
      <c r="BC106" t="inlineStr">
        <is>
          <t>AUTO</t>
        </is>
      </c>
      <c r="BD106" t="inlineStr"/>
      <c r="BE106" t="inlineStr"/>
      <c r="BF106" t="inlineStr">
        <is>
          <t>AUTO_GENERERAD. Bekrafta metadata mot kallfil.</t>
        </is>
      </c>
      <c r="BG106">
        <f>HYPERLINK("C:\Users\jimmy\Desktop\Examens arbete\Kod\Ny mapp\remix_-copy-of-miljöbeslut.se-portal\Miljö-2024-62-1_Bilaga 2. Fullständiga analysprotokoll.pdf", "Öppna PDF")</f>
        <v/>
      </c>
    </row>
    <row r="107">
      <c r="A107" t="inlineStr">
        <is>
          <t>KRAV-AUTO-000106</t>
        </is>
      </c>
      <c r="B107" t="inlineStr">
        <is>
          <t>ADMIN-INDEX-2026-02-27-00000000125C043F57453246863FE664CAFE6A3F0700950291EA24F0614FB6ACEDB12BF0E31D00000000010C0000950291EA24F0614FB6ACEDB12BF0E31D00002087B7BA0000</t>
        </is>
      </c>
      <c r="C107" t="inlineStr">
        <is>
          <t>cmm4yumta001wcuqw6fy3f4r4</t>
        </is>
      </c>
      <c r="D107" t="inlineStr">
        <is>
          <t>http://localhost:8787/api/admin/requirements/documents/cmm4yumta001wcuqw6fy3f4r4/view</t>
        </is>
      </c>
      <c r="E107">
        <f>HYPERLÄNK("http://localhost:8787/api/admin/requirements/documents/cmm4yumta001wcuqw6fy3f4r4/view";"Öppna PDF")</f>
        <v/>
      </c>
      <c r="F107">
        <f>HYPERLINK("http://localhost:8787/api/admin/requirements/documents/cmm4yumta001wcuqw6fy3f4r4/view","Open PDF")</f>
        <v/>
      </c>
      <c r="G107" t="inlineStr">
        <is>
          <t>cmm55w57p0004cuisfrtpqly8</t>
        </is>
      </c>
      <c r="H107" t="inlineStr">
        <is>
          <t>Informationskrav</t>
        </is>
      </c>
      <c r="I107" t="inlineStr">
        <is>
          <t>MiljopaverkanForsiktighet</t>
        </is>
      </c>
      <c r="J107" t="inlineStr">
        <is>
          <t>Skyddsatgarder</t>
        </is>
      </c>
      <c r="K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Borggård 1:4.</t>
        </is>
      </c>
      <c r="L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t>
        </is>
      </c>
      <c r="M107" t="inlineStr">
        <is>
          <t>SKA</t>
        </is>
      </c>
      <c r="N107" t="inlineStr">
        <is>
          <t>Miljobalken</t>
        </is>
      </c>
      <c r="O107" t="inlineStr"/>
      <c r="P107" t="inlineStr"/>
      <c r="Q107" t="inlineStr"/>
      <c r="R107" t="inlineStr">
        <is>
          <t>Alltid</t>
        </is>
      </c>
      <c r="S107" t="inlineStr"/>
      <c r="T107" t="inlineStr">
        <is>
          <t>25 11 00</t>
        </is>
      </c>
      <c r="U107" t="inlineStr"/>
      <c r="V107" t="inlineStr"/>
      <c r="W107" t="inlineStr">
        <is>
          <t>Nej</t>
        </is>
      </c>
      <c r="X107" t="inlineStr">
        <is>
          <t>Nej</t>
        </is>
      </c>
      <c r="Y107" t="inlineStr">
        <is>
          <t>Nej</t>
        </is>
      </c>
      <c r="Z107" t="inlineStr">
        <is>
          <t>Nej</t>
        </is>
      </c>
      <c r="AA107" t="n">
        <v>10</v>
      </c>
      <c r="AB107" t="inlineStr">
        <is>
          <t>Miljopaverkan och forsiktighetsmatt</t>
        </is>
      </c>
      <c r="AC107" t="inlineStr">
        <is>
          <t>Miljo-PM</t>
        </is>
      </c>
      <c r="AD107" t="inlineStr">
        <is>
          <t>Nej</t>
        </is>
      </c>
      <c r="AE107" t="inlineStr">
        <is>
          <t>Nej</t>
        </is>
      </c>
      <c r="AF107" t="inlineStr">
        <is>
          <t>Ej behandlad</t>
        </is>
      </c>
      <c r="AG107" t="inlineStr">
        <is>
          <t>AUTO_GENERERAD. Verifiera citat mot kallfil.</t>
        </is>
      </c>
      <c r="AH107" t="inlineStr">
        <is>
          <t>HIGH</t>
        </is>
      </c>
      <c r="AI107" t="inlineStr">
        <is>
          <t>AUTO</t>
        </is>
      </c>
      <c r="AJ107" t="inlineStr">
        <is>
          <t>Nej</t>
        </is>
      </c>
      <c r="AK107" t="inlineStr"/>
      <c r="AL107" t="inlineStr"/>
      <c r="AM107" t="inlineStr"/>
      <c r="AN107" t="inlineStr"/>
      <c r="AO107" t="inlineStr">
        <is>
          <t>cmm4yumu4002ncuqwsv6yg2uz</t>
        </is>
      </c>
      <c r="AP107" t="inlineStr">
        <is>
          <t>http://localhost:8787/api/admin/requirements/documents/cmm4yumu4002ncuqwsv6yg2uz/view</t>
        </is>
      </c>
      <c r="AQ107">
        <f>HYPERLÄNK("http://localhost:8787/api/admin/requirements/documents/cmm4yumu4002ncuqwsv6yg2uz/view";"Öppna PDF")</f>
        <v/>
      </c>
      <c r="AR107">
        <f>HYPERLINK("http://localhost:8787/api/admin/requirements/documents/cmm4yumu4002ncuqwsv6yg2uz/view","Open PDF")</f>
        <v/>
      </c>
      <c r="AS107" t="inlineStr">
        <is>
          <t>cmm55w57p0004cuisfrtpqly8</t>
        </is>
      </c>
      <c r="AT107" t="inlineStr">
        <is>
          <t>cmm4xvu980000cuh4vj0usz09</t>
        </is>
      </c>
      <c r="AU107" t="inlineStr"/>
      <c r="AV107" t="inlineStr">
        <is>
          <t>Kommun</t>
        </is>
      </c>
      <c r="AW107" t="inlineStr"/>
      <c r="AX107" t="inlineStr">
        <is>
          <t>2021-07</t>
        </is>
      </c>
      <c r="AY107" t="inlineStr">
        <is>
          <t>Anmalan</t>
        </is>
      </c>
      <c r="AZ107" t="inlineStr">
        <is>
          <t>2026-01-30</t>
        </is>
      </c>
      <c r="BA107" t="inlineStr">
        <is>
          <t>Miljö-2024-62-1_Bilaga 2. Fullständiga analysprotokoll.pdf</t>
        </is>
      </c>
      <c r="BB107" t="inlineStr">
        <is>
          <t>Sv:  Begäran om utlämnande av allmän handling – Anmälningar och beslut rörande mellanlagring av avfall samt anläggning av ytor</t>
        </is>
      </c>
      <c r="BC107" t="inlineStr">
        <is>
          <t>AUTO</t>
        </is>
      </c>
      <c r="BD107" t="inlineStr"/>
      <c r="BE107" t="inlineStr"/>
      <c r="BF107" t="inlineStr">
        <is>
          <t>AUTO_GENERERAD. Bekrafta metadata mot kallfil.</t>
        </is>
      </c>
      <c r="BG107">
        <f>HYPERLINK("C:\Users\jimmy\Desktop\Examens arbete\Kod\Ny mapp\remix_-copy-of-miljöbeslut.se-portal\Miljö-2024-62-1_Bilaga 2. Fullständiga analysprotokoll.pdf", "Öppna PDF")</f>
        <v/>
      </c>
    </row>
    <row r="108">
      <c r="A108" t="inlineStr">
        <is>
          <t>KRAV-AUTO-000107</t>
        </is>
      </c>
      <c r="B108" t="inlineStr">
        <is>
          <t>ADMIN-INDEX-2026-02-27-00000000125C043F57453246863FE664CAFE6A3F0700950291EA24F0614FB6ACEDB12BF0E31D00000000010C0000950291EA24F0614FB6ACEDB12BF0E31D00002087B7BA0000</t>
        </is>
      </c>
      <c r="C108" t="inlineStr">
        <is>
          <t>cmm4yumta001wcuqw6fy3f4r4</t>
        </is>
      </c>
      <c r="D108" t="inlineStr">
        <is>
          <t>http://localhost:8787/api/admin/requirements/documents/cmm4yumta001wcuqw6fy3f4r4/view</t>
        </is>
      </c>
      <c r="E108">
        <f>HYPERLÄNK("http://localhost:8787/api/admin/requirements/documents/cmm4yumta001wcuqw6fy3f4r4/view";"Öppna PDF")</f>
        <v/>
      </c>
      <c r="F108">
        <f>HYPERLINK("http://localhost:8787/api/admin/requirements/documents/cmm4yumta001wcuqw6fy3f4r4/view","Open PDF")</f>
        <v/>
      </c>
      <c r="G108" t="inlineStr">
        <is>
          <t>cmm55w57p0004cuisfrtpqly8</t>
        </is>
      </c>
      <c r="H108" t="inlineStr">
        <is>
          <t>Informationskrav</t>
        </is>
      </c>
      <c r="I108" t="inlineStr">
        <is>
          <t>LagringsvolymTid</t>
        </is>
      </c>
      <c r="J108" t="inlineStr">
        <is>
          <t>Maxmangd</t>
        </is>
      </c>
      <c r="K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Staffanstorps kommun, org.nr 212000 – 1017, med de inlämnade handlingarna och kompletteringar, har fullgjort sin anmälningsplikt enligt 10 § miljöprövningsförordning (2013:251).</t>
        </is>
      </c>
      <c r="L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t>
        </is>
      </c>
      <c r="M108" t="inlineStr">
        <is>
          <t>SKA</t>
        </is>
      </c>
      <c r="N108" t="inlineStr">
        <is>
          <t>MPF</t>
        </is>
      </c>
      <c r="O108" t="inlineStr"/>
      <c r="P108" t="inlineStr">
        <is>
          <t>Arlig</t>
        </is>
      </c>
      <c r="Q108" t="inlineStr"/>
      <c r="R108" t="inlineStr">
        <is>
          <t>Alltid</t>
        </is>
      </c>
      <c r="S108" t="inlineStr"/>
      <c r="T108" t="inlineStr">
        <is>
          <t>212000</t>
        </is>
      </c>
      <c r="U108" t="n">
        <v>10</v>
      </c>
      <c r="V108" t="inlineStr"/>
      <c r="W108" t="inlineStr">
        <is>
          <t>Nej</t>
        </is>
      </c>
      <c r="X108" t="inlineStr">
        <is>
          <t>Nej</t>
        </is>
      </c>
      <c r="Y108" t="inlineStr">
        <is>
          <t>Nej</t>
        </is>
      </c>
      <c r="Z108" t="inlineStr">
        <is>
          <t>Nej</t>
        </is>
      </c>
      <c r="AA108" t="n">
        <v>4</v>
      </c>
      <c r="AB108" t="inlineStr">
        <is>
          <t>Avfallsmangder och lagringstid</t>
        </is>
      </c>
      <c r="AC108" t="inlineStr">
        <is>
          <t>Avfallsforteckning</t>
        </is>
      </c>
      <c r="AD108" t="inlineStr">
        <is>
          <t>Nej</t>
        </is>
      </c>
      <c r="AE108" t="inlineStr">
        <is>
          <t>Nej</t>
        </is>
      </c>
      <c r="AF108" t="inlineStr">
        <is>
          <t>Ej behandlad</t>
        </is>
      </c>
      <c r="AG108" t="inlineStr">
        <is>
          <t>AUTO_GENERERAD. Verifiera citat mot kallfil.</t>
        </is>
      </c>
      <c r="AH108" t="inlineStr">
        <is>
          <t>HIGH</t>
        </is>
      </c>
      <c r="AI108" t="inlineStr">
        <is>
          <t>AUTO</t>
        </is>
      </c>
      <c r="AJ108" t="inlineStr">
        <is>
          <t>Nej</t>
        </is>
      </c>
      <c r="AK108" t="inlineStr"/>
      <c r="AL108" t="inlineStr"/>
      <c r="AM108" t="inlineStr"/>
      <c r="AN108" t="inlineStr"/>
      <c r="AO108" t="inlineStr">
        <is>
          <t>cmm4yumu4002ncuqwsv6yg2uz</t>
        </is>
      </c>
      <c r="AP108" t="inlineStr">
        <is>
          <t>http://localhost:8787/api/admin/requirements/documents/cmm4yumu4002ncuqwsv6yg2uz/view</t>
        </is>
      </c>
      <c r="AQ108">
        <f>HYPERLÄNK("http://localhost:8787/api/admin/requirements/documents/cmm4yumu4002ncuqwsv6yg2uz/view";"Öppna PDF")</f>
        <v/>
      </c>
      <c r="AR108">
        <f>HYPERLINK("http://localhost:8787/api/admin/requirements/documents/cmm4yumu4002ncuqwsv6yg2uz/view","Open PDF")</f>
        <v/>
      </c>
      <c r="AS108" t="inlineStr">
        <is>
          <t>cmm55w57p0004cuisfrtpqly8</t>
        </is>
      </c>
      <c r="AT108" t="inlineStr">
        <is>
          <t>cmm4xvu980000cuh4vj0usz09</t>
        </is>
      </c>
      <c r="AU108" t="inlineStr"/>
      <c r="AV108" t="inlineStr">
        <is>
          <t>Kommun</t>
        </is>
      </c>
      <c r="AW108" t="inlineStr"/>
      <c r="AX108" t="inlineStr">
        <is>
          <t>2021-07</t>
        </is>
      </c>
      <c r="AY108" t="inlineStr">
        <is>
          <t>Anmalan</t>
        </is>
      </c>
      <c r="AZ108" t="inlineStr">
        <is>
          <t>2026-01-30</t>
        </is>
      </c>
      <c r="BA108" t="inlineStr">
        <is>
          <t>Miljö-2024-62-1_Bilaga 2. Fullständiga analysprotokoll.pdf</t>
        </is>
      </c>
      <c r="BB108" t="inlineStr">
        <is>
          <t>Sv:  Begäran om utlämnande av allmän handling – Anmälningar och beslut rörande mellanlagring av avfall samt anläggning av ytor</t>
        </is>
      </c>
      <c r="BC108" t="inlineStr">
        <is>
          <t>AUTO</t>
        </is>
      </c>
      <c r="BD108" t="inlineStr"/>
      <c r="BE108" t="inlineStr"/>
      <c r="BF108" t="inlineStr">
        <is>
          <t>AUTO_GENERERAD. Bekrafta metadata mot kallfil.</t>
        </is>
      </c>
      <c r="BG108">
        <f>HYPERLINK("C:\Users\jimmy\Desktop\Examens arbete\Kod\Ny mapp\remix_-copy-of-miljöbeslut.se-portal\Miljö-2024-62-1_Bilaga 2. Fullständiga analysprotokoll.pdf", "Öppna PDF")</f>
        <v/>
      </c>
    </row>
    <row r="109">
      <c r="A109" t="inlineStr">
        <is>
          <t>KRAV-AUTO-000108</t>
        </is>
      </c>
      <c r="B109" t="inlineStr">
        <is>
          <t>ADMIN-INDEX-2026-02-27-00000000125C043F57453246863FE664CAFE6A3F0700950291EA24F0614FB6ACEDB12BF0E31D00000000010C0000950291EA24F0614FB6ACEDB12BF0E31D00002087B7BA0000</t>
        </is>
      </c>
      <c r="C109" t="inlineStr">
        <is>
          <t>cmm4yumt7001tcuqwlo8pv8ex</t>
        </is>
      </c>
      <c r="D109" t="inlineStr">
        <is>
          <t>http://localhost:8787/api/admin/requirements/documents/cmm4yumt7001tcuqwlo8pv8ex/view</t>
        </is>
      </c>
      <c r="E109">
        <f>HYPERLÄNK("http://localhost:8787/api/admin/requirements/documents/cmm4yumt7001tcuqwlo8pv8ex/view";"Öppna PDF")</f>
        <v/>
      </c>
      <c r="F109">
        <f>HYPERLINK("http://localhost:8787/api/admin/requirements/documents/cmm4yumt7001tcuqwlo8pv8ex/view","Open PDF")</f>
        <v/>
      </c>
      <c r="G109" t="inlineStr">
        <is>
          <t>cmm55w57p0004cuisfrtpqly8</t>
        </is>
      </c>
      <c r="H109" t="inlineStr">
        <is>
          <t>Informationskrav</t>
        </is>
      </c>
      <c r="I109" t="inlineStr">
        <is>
          <t>MiljopaverkanForsiktighet</t>
        </is>
      </c>
      <c r="J109" t="inlineStr">
        <is>
          <t>Skyddsatgarder</t>
        </is>
      </c>
      <c r="K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 Gullåkra 6:25 Beslut Stadsbyggnadsnämnden förelägger, med stöd av 2 kap.</t>
        </is>
      </c>
      <c r="L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t>
        </is>
      </c>
      <c r="M109" t="inlineStr">
        <is>
          <t>SKA</t>
        </is>
      </c>
      <c r="N109" t="inlineStr">
        <is>
          <t>Miljobalken</t>
        </is>
      </c>
      <c r="O109" t="inlineStr"/>
      <c r="P109" t="inlineStr"/>
      <c r="Q109" t="inlineStr">
        <is>
          <t>Forelaggande vid brist</t>
        </is>
      </c>
      <c r="R109" t="inlineStr">
        <is>
          <t>Alltid</t>
        </is>
      </c>
      <c r="S109" t="inlineStr"/>
      <c r="T109" t="inlineStr">
        <is>
          <t>25 11 00</t>
        </is>
      </c>
      <c r="U109" t="inlineStr"/>
      <c r="V109" t="inlineStr"/>
      <c r="W109" t="inlineStr">
        <is>
          <t>Nej</t>
        </is>
      </c>
      <c r="X109" t="inlineStr">
        <is>
          <t>Nej</t>
        </is>
      </c>
      <c r="Y109" t="inlineStr">
        <is>
          <t>Nej</t>
        </is>
      </c>
      <c r="Z109" t="inlineStr">
        <is>
          <t>Nej</t>
        </is>
      </c>
      <c r="AA109" t="n">
        <v>10</v>
      </c>
      <c r="AB109" t="inlineStr">
        <is>
          <t>Miljopaverkan och forsiktighetsmatt</t>
        </is>
      </c>
      <c r="AC109" t="inlineStr">
        <is>
          <t>Miljo-PM</t>
        </is>
      </c>
      <c r="AD109" t="inlineStr">
        <is>
          <t>Nej</t>
        </is>
      </c>
      <c r="AE109" t="inlineStr">
        <is>
          <t>Nej</t>
        </is>
      </c>
      <c r="AF109" t="inlineStr">
        <is>
          <t>Ej behandlad</t>
        </is>
      </c>
      <c r="AG109" t="inlineStr">
        <is>
          <t>AUTO_GENERERAD. Verifiera citat mot kallfil.</t>
        </is>
      </c>
      <c r="AH109" t="inlineStr">
        <is>
          <t>MEDIUM</t>
        </is>
      </c>
      <c r="AI109" t="inlineStr">
        <is>
          <t>AUTO</t>
        </is>
      </c>
      <c r="AJ109" t="inlineStr">
        <is>
          <t>Nej</t>
        </is>
      </c>
      <c r="AK109" t="inlineStr"/>
      <c r="AL109" t="inlineStr"/>
      <c r="AM109" t="inlineStr"/>
      <c r="AN109" t="inlineStr"/>
      <c r="AO109" t="inlineStr">
        <is>
          <t>cmm4yumu4002ncuqwsv6yg2uz</t>
        </is>
      </c>
      <c r="AP109" t="inlineStr">
        <is>
          <t>http://localhost:8787/api/admin/requirements/documents/cmm4yumu4002ncuqwsv6yg2uz/view</t>
        </is>
      </c>
      <c r="AQ109">
        <f>HYPERLÄNK("http://localhost:8787/api/admin/requirements/documents/cmm4yumu4002ncuqwsv6yg2uz/view";"Öppna PDF")</f>
        <v/>
      </c>
      <c r="AR109">
        <f>HYPERLINK("http://localhost:8787/api/admin/requirements/documents/cmm4yumu4002ncuqwsv6yg2uz/view","Open PDF")</f>
        <v/>
      </c>
      <c r="AS109" t="inlineStr">
        <is>
          <t>cmm55w57p0004cuisfrtpqly8</t>
        </is>
      </c>
      <c r="AT109" t="inlineStr">
        <is>
          <t>cmm4xvu980000cuh4vj0usz09</t>
        </is>
      </c>
      <c r="AU109" t="inlineStr"/>
      <c r="AV109" t="inlineStr">
        <is>
          <t>Kommun</t>
        </is>
      </c>
      <c r="AW109" t="inlineStr"/>
      <c r="AX109" t="inlineStr">
        <is>
          <t>2021-07</t>
        </is>
      </c>
      <c r="AY109" t="inlineStr">
        <is>
          <t>Anmalan</t>
        </is>
      </c>
      <c r="AZ109" t="inlineStr">
        <is>
          <t>2026-01-30</t>
        </is>
      </c>
      <c r="BA109" t="inlineStr">
        <is>
          <t>Miljö-2024-62-1_Bilaga 2. Fullständiga analysprotokoll.pdf</t>
        </is>
      </c>
      <c r="BB109" t="inlineStr">
        <is>
          <t>Sv:  Begäran om utlämnande av allmän handling – Anmälningar och beslut rörande mellanlagring av avfall samt anläggning av ytor</t>
        </is>
      </c>
      <c r="BC109" t="inlineStr">
        <is>
          <t>AUTO</t>
        </is>
      </c>
      <c r="BD109" t="inlineStr"/>
      <c r="BE109" t="inlineStr"/>
      <c r="BF109" t="inlineStr">
        <is>
          <t>AUTO_GENERERAD. Bekrafta metadata mot kallfil.</t>
        </is>
      </c>
      <c r="BG109">
        <f>HYPERLINK("C:\Users\jimmy\Desktop\Examens arbete\Kod\Ny mapp\remix_-copy-of-miljöbeslut.se-portal\Miljö-2024-62-1_Bilaga 2. Fullständiga analysprotokoll.pdf", "Öppna PDF")</f>
        <v/>
      </c>
    </row>
    <row r="110">
      <c r="A110" t="inlineStr">
        <is>
          <t>KRAV-AUTO-000109</t>
        </is>
      </c>
      <c r="B110" t="inlineStr">
        <is>
          <t>ADMIN-INDEX-2026-02-27-00000000125C043F57453246863FE664CAFE6A3F0700950291EA24F0614FB6ACEDB12BF0E31D00000000010C0000950291EA24F0614FB6ACEDB12BF0E31D00002087B7BA0000</t>
        </is>
      </c>
      <c r="C110" t="inlineStr">
        <is>
          <t>cmm4yumt7001tcuqwlo8pv8ex</t>
        </is>
      </c>
      <c r="D110" t="inlineStr">
        <is>
          <t>http://localhost:8787/api/admin/requirements/documents/cmm4yumt7001tcuqwlo8pv8ex/view</t>
        </is>
      </c>
      <c r="E110">
        <f>HYPERLÄNK("http://localhost:8787/api/admin/requirements/documents/cmm4yumt7001tcuqwlo8pv8ex/view";"Öppna PDF")</f>
        <v/>
      </c>
      <c r="F110">
        <f>HYPERLINK("http://localhost:8787/api/admin/requirements/documents/cmm4yumt7001tcuqwlo8pv8ex/view","Open PDF")</f>
        <v/>
      </c>
      <c r="G110" t="inlineStr">
        <is>
          <t>cmm55w57p0004cuisfrtpqly8</t>
        </is>
      </c>
      <c r="H110" t="inlineStr">
        <is>
          <t>Informationskrav</t>
        </is>
      </c>
      <c r="I110" t="inlineStr">
        <is>
          <t>LagringsvolymTid</t>
        </is>
      </c>
      <c r="J110" t="inlineStr">
        <is>
          <t>Maxmangd</t>
        </is>
      </c>
      <c r="K110" t="inlineStr">
        <is>
          <t>mer än 10 ton men högst 30 000 ton och avfallet ska användas för byggnads- eller anläggningsändamål, eller 2.</t>
        </is>
      </c>
      <c r="L110" t="inlineStr">
        <is>
          <t>mer än 10 ton men högst 30 000 ton och avfallet ska användas för byggnads- eller anläggningsändamål, eller 2.</t>
        </is>
      </c>
      <c r="M110" t="inlineStr">
        <is>
          <t>SKA</t>
        </is>
      </c>
      <c r="N110" t="inlineStr"/>
      <c r="O110" t="inlineStr"/>
      <c r="P110" t="inlineStr"/>
      <c r="Q110" t="inlineStr"/>
      <c r="R110" t="inlineStr">
        <is>
          <t>Alltid</t>
        </is>
      </c>
      <c r="S110" t="inlineStr"/>
      <c r="T110" t="inlineStr">
        <is>
          <t>25 11 00</t>
        </is>
      </c>
      <c r="U110" t="n">
        <v>10</v>
      </c>
      <c r="V110" t="inlineStr"/>
      <c r="W110" t="inlineStr">
        <is>
          <t>Nej</t>
        </is>
      </c>
      <c r="X110" t="inlineStr">
        <is>
          <t>Nej</t>
        </is>
      </c>
      <c r="Y110" t="inlineStr">
        <is>
          <t>Nej</t>
        </is>
      </c>
      <c r="Z110" t="inlineStr">
        <is>
          <t>Nej</t>
        </is>
      </c>
      <c r="AA110" t="n">
        <v>4</v>
      </c>
      <c r="AB110" t="inlineStr">
        <is>
          <t>Avfallsmangder och lagringstid</t>
        </is>
      </c>
      <c r="AC110" t="inlineStr">
        <is>
          <t>Avfallsforteckning</t>
        </is>
      </c>
      <c r="AD110" t="inlineStr">
        <is>
          <t>Nej</t>
        </is>
      </c>
      <c r="AE110" t="inlineStr">
        <is>
          <t>Nej</t>
        </is>
      </c>
      <c r="AF110" t="inlineStr">
        <is>
          <t>Ej behandlad</t>
        </is>
      </c>
      <c r="AG110" t="inlineStr">
        <is>
          <t>AUTO_GENERERAD. Verifiera citat mot kallfil.</t>
        </is>
      </c>
      <c r="AH110" t="inlineStr">
        <is>
          <t>MEDIUM</t>
        </is>
      </c>
      <c r="AI110" t="inlineStr">
        <is>
          <t>AUTO</t>
        </is>
      </c>
      <c r="AJ110" t="inlineStr">
        <is>
          <t>Nej</t>
        </is>
      </c>
      <c r="AK110" t="inlineStr"/>
      <c r="AL110" t="inlineStr"/>
      <c r="AM110" t="inlineStr"/>
      <c r="AN110" t="inlineStr"/>
      <c r="AO110" t="inlineStr">
        <is>
          <t>cmm4yumu4002ncuqwsv6yg2uz</t>
        </is>
      </c>
      <c r="AP110" t="inlineStr">
        <is>
          <t>http://localhost:8787/api/admin/requirements/documents/cmm4yumu4002ncuqwsv6yg2uz/view</t>
        </is>
      </c>
      <c r="AQ110">
        <f>HYPERLÄNK("http://localhost:8787/api/admin/requirements/documents/cmm4yumu4002ncuqwsv6yg2uz/view";"Öppna PDF")</f>
        <v/>
      </c>
      <c r="AR110">
        <f>HYPERLINK("http://localhost:8787/api/admin/requirements/documents/cmm4yumu4002ncuqwsv6yg2uz/view","Open PDF")</f>
        <v/>
      </c>
      <c r="AS110" t="inlineStr">
        <is>
          <t>cmm55w57p0004cuisfrtpqly8</t>
        </is>
      </c>
      <c r="AT110" t="inlineStr">
        <is>
          <t>cmm4xvu980000cuh4vj0usz09</t>
        </is>
      </c>
      <c r="AU110" t="inlineStr"/>
      <c r="AV110" t="inlineStr">
        <is>
          <t>Kommun</t>
        </is>
      </c>
      <c r="AW110" t="inlineStr"/>
      <c r="AX110" t="inlineStr">
        <is>
          <t>2021-07</t>
        </is>
      </c>
      <c r="AY110" t="inlineStr">
        <is>
          <t>Anmalan</t>
        </is>
      </c>
      <c r="AZ110" t="inlineStr">
        <is>
          <t>2026-01-30</t>
        </is>
      </c>
      <c r="BA110" t="inlineStr">
        <is>
          <t>Miljö-2024-62-1_Bilaga 2. Fullständiga analysprotokoll.pdf</t>
        </is>
      </c>
      <c r="BB110" t="inlineStr">
        <is>
          <t>Sv:  Begäran om utlämnande av allmän handling – Anmälningar och beslut rörande mellanlagring av avfall samt anläggning av ytor</t>
        </is>
      </c>
      <c r="BC110" t="inlineStr">
        <is>
          <t>AUTO</t>
        </is>
      </c>
      <c r="BD110" t="inlineStr"/>
      <c r="BE110" t="inlineStr"/>
      <c r="BF110" t="inlineStr">
        <is>
          <t>AUTO_GENERERAD. Bekrafta metadata mot kallfil.</t>
        </is>
      </c>
      <c r="BG110">
        <f>HYPERLINK("C:\Users\jimmy\Desktop\Examens arbete\Kod\Ny mapp\remix_-copy-of-miljöbeslut.se-portal\Miljö-2024-62-1_Bilaga 2. Fullständiga analysprotokoll.pdf", "Öppna PDF")</f>
        <v/>
      </c>
    </row>
    <row r="111">
      <c r="A111" t="inlineStr">
        <is>
          <t>KRAV-AUTO-000110</t>
        </is>
      </c>
      <c r="B111" t="inlineStr">
        <is>
          <t>ADMIN-INDEX-2026-02-27-00000000125C043F57453246863FE664CAFE6A3F0700950291EA24F0614FB6ACEDB12BF0E31D00000000010C0000950291EA24F0614FB6ACEDB12BF0E31D00002087B7BA0000</t>
        </is>
      </c>
      <c r="C111" t="inlineStr">
        <is>
          <t>cmm4yumt7001tcuqwlo8pv8ex</t>
        </is>
      </c>
      <c r="D111" t="inlineStr">
        <is>
          <t>http://localhost:8787/api/admin/requirements/documents/cmm4yumt7001tcuqwlo8pv8ex/view</t>
        </is>
      </c>
      <c r="E111">
        <f>HYPERLÄNK("http://localhost:8787/api/admin/requirements/documents/cmm4yumt7001tcuqwlo8pv8ex/view";"Öppna PDF")</f>
        <v/>
      </c>
      <c r="F111">
        <f>HYPERLINK("http://localhost:8787/api/admin/requirements/documents/cmm4yumt7001tcuqwlo8pv8ex/view","Open PDF")</f>
        <v/>
      </c>
      <c r="G111" t="inlineStr">
        <is>
          <t>cmm55w57p0004cuisfrtpqly8</t>
        </is>
      </c>
      <c r="H111" t="inlineStr">
        <is>
          <t>Informationskrav</t>
        </is>
      </c>
      <c r="I111" t="inlineStr">
        <is>
          <t>DriftEgenkontroll</t>
        </is>
      </c>
      <c r="J111" t="inlineStr">
        <is>
          <t>Journalforing</t>
        </is>
      </c>
      <c r="K111" t="inlineStr">
        <is>
          <t>Slutrapporten ska bland annat innehålla information om eventuella avvikelser från anmälan, provtagningsresultat och transportörer.</t>
        </is>
      </c>
      <c r="L111" t="inlineStr">
        <is>
          <t>Slutrapporten ska bland annat innehålla information om eventuella avvikelser från anmälan, provtagningsresultat och transportörer.</t>
        </is>
      </c>
      <c r="M111" t="inlineStr">
        <is>
          <t>SKA</t>
        </is>
      </c>
      <c r="N111" t="inlineStr"/>
      <c r="O111" t="inlineStr"/>
      <c r="P111" t="inlineStr"/>
      <c r="Q111" t="inlineStr"/>
      <c r="R111" t="inlineStr">
        <is>
          <t>Lopande drift</t>
        </is>
      </c>
      <c r="S111" t="inlineStr"/>
      <c r="T111" t="inlineStr">
        <is>
          <t>25 11 00</t>
        </is>
      </c>
      <c r="U111" t="inlineStr"/>
      <c r="V111" t="inlineStr"/>
      <c r="W111" t="inlineStr">
        <is>
          <t>Nej</t>
        </is>
      </c>
      <c r="X111" t="inlineStr">
        <is>
          <t>Nej</t>
        </is>
      </c>
      <c r="Y111" t="inlineStr">
        <is>
          <t>Ja</t>
        </is>
      </c>
      <c r="Z111" t="inlineStr">
        <is>
          <t>Nej</t>
        </is>
      </c>
      <c r="AA111" t="n">
        <v>7</v>
      </c>
      <c r="AB111" t="inlineStr">
        <is>
          <t>Egenkontrollrutiner</t>
        </is>
      </c>
      <c r="AC111" t="inlineStr">
        <is>
          <t>Egenkontrollprogram</t>
        </is>
      </c>
      <c r="AD111" t="inlineStr">
        <is>
          <t>Nej</t>
        </is>
      </c>
      <c r="AE111" t="inlineStr">
        <is>
          <t>Nej</t>
        </is>
      </c>
      <c r="AF111" t="inlineStr">
        <is>
          <t>Ej behandlad</t>
        </is>
      </c>
      <c r="AG111" t="inlineStr">
        <is>
          <t>AUTO_GENERERAD. Verifiera citat mot kallfil.</t>
        </is>
      </c>
      <c r="AH111" t="inlineStr">
        <is>
          <t>MEDIUM</t>
        </is>
      </c>
      <c r="AI111" t="inlineStr">
        <is>
          <t>AUTO</t>
        </is>
      </c>
      <c r="AJ111" t="inlineStr">
        <is>
          <t>Nej</t>
        </is>
      </c>
      <c r="AK111" t="inlineStr"/>
      <c r="AL111" t="inlineStr"/>
      <c r="AM111" t="inlineStr"/>
      <c r="AN111" t="inlineStr"/>
      <c r="AO111" t="inlineStr">
        <is>
          <t>cmm4yumu4002ncuqwsv6yg2uz</t>
        </is>
      </c>
      <c r="AP111" t="inlineStr">
        <is>
          <t>http://localhost:8787/api/admin/requirements/documents/cmm4yumu4002ncuqwsv6yg2uz/view</t>
        </is>
      </c>
      <c r="AQ111">
        <f>HYPERLÄNK("http://localhost:8787/api/admin/requirements/documents/cmm4yumu4002ncuqwsv6yg2uz/view";"Öppna PDF")</f>
        <v/>
      </c>
      <c r="AR111">
        <f>HYPERLINK("http://localhost:8787/api/admin/requirements/documents/cmm4yumu4002ncuqwsv6yg2uz/view","Open PDF")</f>
        <v/>
      </c>
      <c r="AS111" t="inlineStr">
        <is>
          <t>cmm55w57p0004cuisfrtpqly8</t>
        </is>
      </c>
      <c r="AT111" t="inlineStr">
        <is>
          <t>cmm4xvu980000cuh4vj0usz09</t>
        </is>
      </c>
      <c r="AU111" t="inlineStr"/>
      <c r="AV111" t="inlineStr">
        <is>
          <t>Kommun</t>
        </is>
      </c>
      <c r="AW111" t="inlineStr"/>
      <c r="AX111" t="inlineStr">
        <is>
          <t>2021-07</t>
        </is>
      </c>
      <c r="AY111" t="inlineStr">
        <is>
          <t>Anmalan</t>
        </is>
      </c>
      <c r="AZ111" t="inlineStr">
        <is>
          <t>2026-01-30</t>
        </is>
      </c>
      <c r="BA111" t="inlineStr">
        <is>
          <t>Miljö-2024-62-1_Bilaga 2. Fullständiga analysprotokoll.pdf</t>
        </is>
      </c>
      <c r="BB111" t="inlineStr">
        <is>
          <t>Sv:  Begäran om utlämnande av allmän handling – Anmälningar och beslut rörande mellanlagring av avfall samt anläggning av ytor</t>
        </is>
      </c>
      <c r="BC111" t="inlineStr">
        <is>
          <t>AUTO</t>
        </is>
      </c>
      <c r="BD111" t="inlineStr"/>
      <c r="BE111" t="inlineStr"/>
      <c r="BF111" t="inlineStr">
        <is>
          <t>AUTO_GENERERAD. Bekrafta metadata mot kallfil.</t>
        </is>
      </c>
      <c r="BG111">
        <f>HYPERLINK("C:\Users\jimmy\Desktop\Examens arbete\Kod\Ny mapp\remix_-copy-of-miljöbeslut.se-portal\Miljö-2024-62-1_Bilaga 2. Fullständiga analysprotokoll.pdf", "Öppna PDF")</f>
        <v/>
      </c>
    </row>
    <row r="112">
      <c r="A112" t="inlineStr">
        <is>
          <t>KRAV-AUTO-000111</t>
        </is>
      </c>
      <c r="B112" t="inlineStr">
        <is>
          <t>ADMIN-INDEX-2026-02-27-00000000125C043F57453246863FE664CAFE6A3F0700950291EA24F0614FB6ACEDB12BF0E31D00000000010C0000950291EA24F0614FB6ACEDB12BF0E31D00002087B7BA0000</t>
        </is>
      </c>
      <c r="C112" t="inlineStr">
        <is>
          <t>cmm4yumsy001kcuqwowdjeo8k</t>
        </is>
      </c>
      <c r="D112" t="inlineStr">
        <is>
          <t>http://localhost:8787/api/admin/requirements/documents/cmm4yumsy001kcuqwowdjeo8k/view</t>
        </is>
      </c>
      <c r="E112">
        <f>HYPERLÄNK("http://localhost:8787/api/admin/requirements/documents/cmm4yumsy001kcuqwowdjeo8k/view";"Öppna PDF")</f>
        <v/>
      </c>
      <c r="F112">
        <f>HYPERLINK("http://localhost:8787/api/admin/requirements/documents/cmm4yumsy001kcuqwowdjeo8k/view","Open PDF")</f>
        <v/>
      </c>
      <c r="G112" t="inlineStr">
        <is>
          <t>cmm55w57p0004cuisfrtpqly8</t>
        </is>
      </c>
      <c r="H112" t="inlineStr">
        <is>
          <t>Informationskrav</t>
        </is>
      </c>
      <c r="I112" t="inlineStr">
        <is>
          <t>DriftEgenkontroll</t>
        </is>
      </c>
      <c r="J112" t="inlineStr">
        <is>
          <t>Journalforing</t>
        </is>
      </c>
      <c r="K112" t="inlineStr">
        <is>
          <t>Mottagningskontroll ska ske enligt i anmälan bifogat kontrollprogram.</t>
        </is>
      </c>
      <c r="L112" t="inlineStr">
        <is>
          <t>Mottagningskontroll ska ske enligt i anmälan bifogat kontrollprogram.</t>
        </is>
      </c>
      <c r="M112" t="inlineStr">
        <is>
          <t>SKA</t>
        </is>
      </c>
      <c r="N112" t="inlineStr"/>
      <c r="O112" t="inlineStr"/>
      <c r="P112" t="inlineStr"/>
      <c r="Q112" t="inlineStr"/>
      <c r="R112" t="inlineStr">
        <is>
          <t>Lopande drift</t>
        </is>
      </c>
      <c r="S112" t="inlineStr"/>
      <c r="T112" t="inlineStr">
        <is>
          <t>556969</t>
        </is>
      </c>
      <c r="U112" t="inlineStr"/>
      <c r="V112" t="inlineStr"/>
      <c r="W112" t="inlineStr">
        <is>
          <t>Nej</t>
        </is>
      </c>
      <c r="X112" t="inlineStr">
        <is>
          <t>Nej</t>
        </is>
      </c>
      <c r="Y112" t="inlineStr">
        <is>
          <t>Ja</t>
        </is>
      </c>
      <c r="Z112" t="inlineStr">
        <is>
          <t>Nej</t>
        </is>
      </c>
      <c r="AA112" t="n">
        <v>7</v>
      </c>
      <c r="AB112" t="inlineStr">
        <is>
          <t>Egenkontrollrutiner</t>
        </is>
      </c>
      <c r="AC112" t="inlineStr">
        <is>
          <t>Egenkontrollprogram</t>
        </is>
      </c>
      <c r="AD112" t="inlineStr">
        <is>
          <t>Nej</t>
        </is>
      </c>
      <c r="AE112" t="inlineStr">
        <is>
          <t>Nej</t>
        </is>
      </c>
      <c r="AF112" t="inlineStr">
        <is>
          <t>Ej behandlad</t>
        </is>
      </c>
      <c r="AG112" t="inlineStr">
        <is>
          <t>AUTO_GENERERAD. Verifiera citat mot kallfil.</t>
        </is>
      </c>
      <c r="AH112" t="inlineStr">
        <is>
          <t>MEDIUM</t>
        </is>
      </c>
      <c r="AI112" t="inlineStr">
        <is>
          <t>AUTO</t>
        </is>
      </c>
      <c r="AJ112" t="inlineStr">
        <is>
          <t>Nej</t>
        </is>
      </c>
      <c r="AK112" t="inlineStr"/>
      <c r="AL112" t="inlineStr"/>
      <c r="AM112" t="inlineStr"/>
      <c r="AN112" t="inlineStr"/>
      <c r="AO112" t="inlineStr">
        <is>
          <t>cmm4yumu4002ncuqwsv6yg2uz</t>
        </is>
      </c>
      <c r="AP112" t="inlineStr">
        <is>
          <t>http://localhost:8787/api/admin/requirements/documents/cmm4yumu4002ncuqwsv6yg2uz/view</t>
        </is>
      </c>
      <c r="AQ112">
        <f>HYPERLÄNK("http://localhost:8787/api/admin/requirements/documents/cmm4yumu4002ncuqwsv6yg2uz/view";"Öppna PDF")</f>
        <v/>
      </c>
      <c r="AR112">
        <f>HYPERLINK("http://localhost:8787/api/admin/requirements/documents/cmm4yumu4002ncuqwsv6yg2uz/view","Open PDF")</f>
        <v/>
      </c>
      <c r="AS112" t="inlineStr">
        <is>
          <t>cmm55w57p0004cuisfrtpqly8</t>
        </is>
      </c>
      <c r="AT112" t="inlineStr">
        <is>
          <t>cmm4xvu980000cuh4vj0usz09</t>
        </is>
      </c>
      <c r="AU112" t="inlineStr"/>
      <c r="AV112" t="inlineStr">
        <is>
          <t>Kommun</t>
        </is>
      </c>
      <c r="AW112" t="inlineStr"/>
      <c r="AX112" t="inlineStr">
        <is>
          <t>2021-07</t>
        </is>
      </c>
      <c r="AY112" t="inlineStr">
        <is>
          <t>Anmalan</t>
        </is>
      </c>
      <c r="AZ112" t="inlineStr">
        <is>
          <t>2026-01-30</t>
        </is>
      </c>
      <c r="BA112" t="inlineStr">
        <is>
          <t>Miljö-2024-62-1_Bilaga 2. Fullständiga analysprotokoll.pdf</t>
        </is>
      </c>
      <c r="BB112" t="inlineStr">
        <is>
          <t>Sv:  Begäran om utlämnande av allmän handling – Anmälningar och beslut rörande mellanlagring av avfall samt anläggning av ytor</t>
        </is>
      </c>
      <c r="BC112" t="inlineStr">
        <is>
          <t>AUTO</t>
        </is>
      </c>
      <c r="BD112" t="inlineStr"/>
      <c r="BE112" t="inlineStr"/>
      <c r="BF112" t="inlineStr">
        <is>
          <t>AUTO_GENERERAD. Bekrafta metadata mot kallfil.</t>
        </is>
      </c>
      <c r="BG112">
        <f>HYPERLINK("C:\Users\jimmy\Desktop\Examens arbete\Kod\Ny mapp\remix_-copy-of-miljöbeslut.se-portal\Miljö-2024-62-1_Bilaga 2. Fullständiga analysprotokoll.pdf", "Öppna PDF")</f>
        <v/>
      </c>
    </row>
    <row r="113">
      <c r="A113" t="inlineStr">
        <is>
          <t>KRAV-AUTO-000112</t>
        </is>
      </c>
      <c r="B113" t="inlineStr">
        <is>
          <t>ADMIN-INDEX-2026-02-27-00000000125C043F57453246863FE664CAFE6A3F0700950291EA24F0614FB6ACEDB12BF0E31D00000000010C0000950291EA24F0614FB6ACEDB12BF0E31D00002087B7BA0000</t>
        </is>
      </c>
      <c r="C113" t="inlineStr">
        <is>
          <t>cmm4yumsy001kcuqwowdjeo8k</t>
        </is>
      </c>
      <c r="D113" t="inlineStr">
        <is>
          <t>http://localhost:8787/api/admin/requirements/documents/cmm4yumsy001kcuqwowdjeo8k/view</t>
        </is>
      </c>
      <c r="E113">
        <f>HYPERLÄNK("http://localhost:8787/api/admin/requirements/documents/cmm4yumsy001kcuqwowdjeo8k/view";"Öppna PDF")</f>
        <v/>
      </c>
      <c r="F113">
        <f>HYPERLINK("http://localhost:8787/api/admin/requirements/documents/cmm4yumsy001kcuqwowdjeo8k/view","Open PDF")</f>
        <v/>
      </c>
      <c r="G113" t="inlineStr">
        <is>
          <t>cmm55w57p0004cuisfrtpqly8</t>
        </is>
      </c>
      <c r="H113" t="inlineStr">
        <is>
          <t>Informationskrav</t>
        </is>
      </c>
      <c r="I113" t="inlineStr">
        <is>
          <t>DriftEgenkontroll</t>
        </is>
      </c>
      <c r="J113" t="inlineStr">
        <is>
          <t>Journalforing</t>
        </is>
      </c>
      <c r="K113" t="inlineStr">
        <is>
          <t>Provtagning ska utföras av en person som är väl förtrogen med provtagning.</t>
        </is>
      </c>
      <c r="L113" t="inlineStr">
        <is>
          <t>Provtagning ska utföras av en person som är väl förtrogen med provtagning.</t>
        </is>
      </c>
      <c r="M113" t="inlineStr">
        <is>
          <t>SKA</t>
        </is>
      </c>
      <c r="N113" t="inlineStr"/>
      <c r="O113" t="inlineStr"/>
      <c r="P113" t="inlineStr"/>
      <c r="Q113" t="inlineStr"/>
      <c r="R113" t="inlineStr">
        <is>
          <t>Lopande drift</t>
        </is>
      </c>
      <c r="S113" t="inlineStr"/>
      <c r="T113" t="inlineStr">
        <is>
          <t>556969</t>
        </is>
      </c>
      <c r="U113" t="inlineStr"/>
      <c r="V113" t="inlineStr"/>
      <c r="W113" t="inlineStr">
        <is>
          <t>Nej</t>
        </is>
      </c>
      <c r="X113" t="inlineStr">
        <is>
          <t>Nej</t>
        </is>
      </c>
      <c r="Y113" t="inlineStr">
        <is>
          <t>Ja</t>
        </is>
      </c>
      <c r="Z113" t="inlineStr">
        <is>
          <t>Nej</t>
        </is>
      </c>
      <c r="AA113" t="n">
        <v>7</v>
      </c>
      <c r="AB113" t="inlineStr">
        <is>
          <t>Egenkontrollrutiner</t>
        </is>
      </c>
      <c r="AC113" t="inlineStr">
        <is>
          <t>Egenkontrollprogram</t>
        </is>
      </c>
      <c r="AD113" t="inlineStr">
        <is>
          <t>Nej</t>
        </is>
      </c>
      <c r="AE113" t="inlineStr">
        <is>
          <t>Nej</t>
        </is>
      </c>
      <c r="AF113" t="inlineStr">
        <is>
          <t>Ej behandlad</t>
        </is>
      </c>
      <c r="AG113" t="inlineStr">
        <is>
          <t>AUTO_GENERERAD. Verifiera citat mot kallfil.</t>
        </is>
      </c>
      <c r="AH113" t="inlineStr">
        <is>
          <t>MEDIUM</t>
        </is>
      </c>
      <c r="AI113" t="inlineStr">
        <is>
          <t>AUTO</t>
        </is>
      </c>
      <c r="AJ113" t="inlineStr">
        <is>
          <t>Nej</t>
        </is>
      </c>
      <c r="AK113" t="inlineStr"/>
      <c r="AL113" t="inlineStr"/>
      <c r="AM113" t="inlineStr"/>
      <c r="AN113" t="inlineStr"/>
      <c r="AO113" t="inlineStr">
        <is>
          <t>cmm4yumu4002ncuqwsv6yg2uz</t>
        </is>
      </c>
      <c r="AP113" t="inlineStr">
        <is>
          <t>http://localhost:8787/api/admin/requirements/documents/cmm4yumu4002ncuqwsv6yg2uz/view</t>
        </is>
      </c>
      <c r="AQ113">
        <f>HYPERLÄNK("http://localhost:8787/api/admin/requirements/documents/cmm4yumu4002ncuqwsv6yg2uz/view";"Öppna PDF")</f>
        <v/>
      </c>
      <c r="AR113">
        <f>HYPERLINK("http://localhost:8787/api/admin/requirements/documents/cmm4yumu4002ncuqwsv6yg2uz/view","Open PDF")</f>
        <v/>
      </c>
      <c r="AS113" t="inlineStr">
        <is>
          <t>cmm55w57p0004cuisfrtpqly8</t>
        </is>
      </c>
      <c r="AT113" t="inlineStr">
        <is>
          <t>cmm4xvu980000cuh4vj0usz09</t>
        </is>
      </c>
      <c r="AU113" t="inlineStr"/>
      <c r="AV113" t="inlineStr">
        <is>
          <t>Kommun</t>
        </is>
      </c>
      <c r="AW113" t="inlineStr"/>
      <c r="AX113" t="inlineStr">
        <is>
          <t>2021-07</t>
        </is>
      </c>
      <c r="AY113" t="inlineStr">
        <is>
          <t>Anmalan</t>
        </is>
      </c>
      <c r="AZ113" t="inlineStr">
        <is>
          <t>2026-01-30</t>
        </is>
      </c>
      <c r="BA113" t="inlineStr">
        <is>
          <t>Miljö-2024-62-1_Bilaga 2. Fullständiga analysprotokoll.pdf</t>
        </is>
      </c>
      <c r="BB113" t="inlineStr">
        <is>
          <t>Sv:  Begäran om utlämnande av allmän handling – Anmälningar och beslut rörande mellanlagring av avfall samt anläggning av ytor</t>
        </is>
      </c>
      <c r="BC113" t="inlineStr">
        <is>
          <t>AUTO</t>
        </is>
      </c>
      <c r="BD113" t="inlineStr"/>
      <c r="BE113" t="inlineStr"/>
      <c r="BF113" t="inlineStr">
        <is>
          <t>AUTO_GENERERAD. Bekrafta metadata mot kallfil.</t>
        </is>
      </c>
      <c r="BG113">
        <f>HYPERLINK("C:\Users\jimmy\Desktop\Examens arbete\Kod\Ny mapp\remix_-copy-of-miljöbeslut.se-portal\Miljö-2024-62-1_Bilaga 2. Fullständiga analysprotokoll.pdf", "Öppna PDF")</f>
        <v/>
      </c>
    </row>
    <row r="114">
      <c r="A114" t="inlineStr">
        <is>
          <t>KRAV-AUTO-000113</t>
        </is>
      </c>
      <c r="B114" t="inlineStr">
        <is>
          <t>ADMIN-INDEX-2026-02-27-00000000125C043F57453246863FE664CAFE6A3F0700950291EA24F0614FB6ACEDB12BF0E31D00000000010C0000950291EA24F0614FB6ACEDB12BF0E31D00002087B7BA0000</t>
        </is>
      </c>
      <c r="C114" t="inlineStr">
        <is>
          <t>cmm4yumsy001kcuqwowdjeo8k</t>
        </is>
      </c>
      <c r="D114" t="inlineStr">
        <is>
          <t>http://localhost:8787/api/admin/requirements/documents/cmm4yumsy001kcuqwowdjeo8k/view</t>
        </is>
      </c>
      <c r="E114">
        <f>HYPERLÄNK("http://localhost:8787/api/admin/requirements/documents/cmm4yumsy001kcuqwowdjeo8k/view";"Öppna PDF")</f>
        <v/>
      </c>
      <c r="F114">
        <f>HYPERLINK("http://localhost:8787/api/admin/requirements/documents/cmm4yumsy001kcuqwowdjeo8k/view","Open PDF")</f>
        <v/>
      </c>
      <c r="G114" t="inlineStr">
        <is>
          <t>cmm55w57p0004cuisfrtpqly8</t>
        </is>
      </c>
      <c r="H114" t="inlineStr">
        <is>
          <t>Informationskrav</t>
        </is>
      </c>
      <c r="I114" t="inlineStr">
        <is>
          <t>DriftEgenkontroll</t>
        </is>
      </c>
      <c r="J114" t="inlineStr">
        <is>
          <t>Journalforing</t>
        </is>
      </c>
      <c r="K114" t="inlineStr">
        <is>
          <t>Saknas dokumentation eller om massornas innehåll inte är känt ska provtagning utföras.</t>
        </is>
      </c>
      <c r="L114" t="inlineStr">
        <is>
          <t>Saknas dokumentation eller om massornas innehåll inte är känt ska provtagning utföras.</t>
        </is>
      </c>
      <c r="M114" t="inlineStr">
        <is>
          <t>SKA</t>
        </is>
      </c>
      <c r="N114" t="inlineStr"/>
      <c r="O114" t="inlineStr"/>
      <c r="P114" t="inlineStr"/>
      <c r="Q114" t="inlineStr"/>
      <c r="R114" t="inlineStr">
        <is>
          <t>Lopande drift</t>
        </is>
      </c>
      <c r="S114" t="inlineStr"/>
      <c r="T114" t="inlineStr">
        <is>
          <t>556969</t>
        </is>
      </c>
      <c r="U114" t="inlineStr"/>
      <c r="V114" t="inlineStr"/>
      <c r="W114" t="inlineStr">
        <is>
          <t>Nej</t>
        </is>
      </c>
      <c r="X114" t="inlineStr">
        <is>
          <t>Nej</t>
        </is>
      </c>
      <c r="Y114" t="inlineStr">
        <is>
          <t>Ja</t>
        </is>
      </c>
      <c r="Z114" t="inlineStr">
        <is>
          <t>Nej</t>
        </is>
      </c>
      <c r="AA114" t="n">
        <v>7</v>
      </c>
      <c r="AB114" t="inlineStr">
        <is>
          <t>Egenkontrollrutiner</t>
        </is>
      </c>
      <c r="AC114" t="inlineStr">
        <is>
          <t>Egenkontrollprogram</t>
        </is>
      </c>
      <c r="AD114" t="inlineStr">
        <is>
          <t>Nej</t>
        </is>
      </c>
      <c r="AE114" t="inlineStr">
        <is>
          <t>Nej</t>
        </is>
      </c>
      <c r="AF114" t="inlineStr">
        <is>
          <t>Ej behandlad</t>
        </is>
      </c>
      <c r="AG114" t="inlineStr">
        <is>
          <t>AUTO_GENERERAD. Verifiera citat mot kallfil.</t>
        </is>
      </c>
      <c r="AH114" t="inlineStr">
        <is>
          <t>MEDIUM</t>
        </is>
      </c>
      <c r="AI114" t="inlineStr">
        <is>
          <t>AUTO</t>
        </is>
      </c>
      <c r="AJ114" t="inlineStr">
        <is>
          <t>Nej</t>
        </is>
      </c>
      <c r="AK114" t="inlineStr"/>
      <c r="AL114" t="inlineStr"/>
      <c r="AM114" t="inlineStr"/>
      <c r="AN114" t="inlineStr"/>
      <c r="AO114" t="inlineStr">
        <is>
          <t>cmm4yumu4002ncuqwsv6yg2uz</t>
        </is>
      </c>
      <c r="AP114" t="inlineStr">
        <is>
          <t>http://localhost:8787/api/admin/requirements/documents/cmm4yumu4002ncuqwsv6yg2uz/view</t>
        </is>
      </c>
      <c r="AQ114">
        <f>HYPERLÄNK("http://localhost:8787/api/admin/requirements/documents/cmm4yumu4002ncuqwsv6yg2uz/view";"Öppna PDF")</f>
        <v/>
      </c>
      <c r="AR114">
        <f>HYPERLINK("http://localhost:8787/api/admin/requirements/documents/cmm4yumu4002ncuqwsv6yg2uz/view","Open PDF")</f>
        <v/>
      </c>
      <c r="AS114" t="inlineStr">
        <is>
          <t>cmm55w57p0004cuisfrtpqly8</t>
        </is>
      </c>
      <c r="AT114" t="inlineStr">
        <is>
          <t>cmm4xvu980000cuh4vj0usz09</t>
        </is>
      </c>
      <c r="AU114" t="inlineStr"/>
      <c r="AV114" t="inlineStr">
        <is>
          <t>Kommun</t>
        </is>
      </c>
      <c r="AW114" t="inlineStr"/>
      <c r="AX114" t="inlineStr">
        <is>
          <t>2021-07</t>
        </is>
      </c>
      <c r="AY114" t="inlineStr">
        <is>
          <t>Anmalan</t>
        </is>
      </c>
      <c r="AZ114" t="inlineStr">
        <is>
          <t>2026-01-30</t>
        </is>
      </c>
      <c r="BA114" t="inlineStr">
        <is>
          <t>Miljö-2024-62-1_Bilaga 2. Fullständiga analysprotokoll.pdf</t>
        </is>
      </c>
      <c r="BB114" t="inlineStr">
        <is>
          <t>Sv:  Begäran om utlämnande av allmän handling – Anmälningar och beslut rörande mellanlagring av avfall samt anläggning av ytor</t>
        </is>
      </c>
      <c r="BC114" t="inlineStr">
        <is>
          <t>AUTO</t>
        </is>
      </c>
      <c r="BD114" t="inlineStr"/>
      <c r="BE114" t="inlineStr"/>
      <c r="BF114" t="inlineStr">
        <is>
          <t>AUTO_GENERERAD. Bekrafta metadata mot kallfil.</t>
        </is>
      </c>
      <c r="BG114">
        <f>HYPERLINK("C:\Users\jimmy\Desktop\Examens arbete\Kod\Ny mapp\remix_-copy-of-miljöbeslut.se-portal\Miljö-2024-62-1_Bilaga 2. Fullständiga analysprotokoll.pdf", "Öppna PDF")</f>
        <v/>
      </c>
    </row>
    <row r="115">
      <c r="A115" t="inlineStr">
        <is>
          <t>KRAV-AUTO-000114</t>
        </is>
      </c>
      <c r="B115" t="inlineStr">
        <is>
          <t>ADMIN-INDEX-2026-02-27-00000000125C043F57453246863FE664CAFE6A3F0700950291EA24F0614FB6ACEDB12BF0E31D00000000010C0000950291EA24F0614FB6ACEDB12BF0E31D00002087B7BA0000</t>
        </is>
      </c>
      <c r="C115" t="inlineStr">
        <is>
          <t>cmm4yumsv001hcuqwrfu6fkd3</t>
        </is>
      </c>
      <c r="D115" t="inlineStr">
        <is>
          <t>http://localhost:8787/api/admin/requirements/documents/cmm4yumsv001hcuqwrfu6fkd3/view</t>
        </is>
      </c>
      <c r="E115">
        <f>HYPERLÄNK("http://localhost:8787/api/admin/requirements/documents/cmm4yumsv001hcuqwrfu6fkd3/view";"Öppna PDF")</f>
        <v/>
      </c>
      <c r="F115">
        <f>HYPERLINK("http://localhost:8787/api/admin/requirements/documents/cmm4yumsv001hcuqwrfu6fkd3/view","Open PDF")</f>
        <v/>
      </c>
      <c r="G115" t="inlineStr">
        <is>
          <t>cmm55w57p0004cuisfrtpqly8</t>
        </is>
      </c>
      <c r="H115" t="inlineStr">
        <is>
          <t>Informationskrav</t>
        </is>
      </c>
      <c r="I115" t="inlineStr">
        <is>
          <t>Riskhantering</t>
        </is>
      </c>
      <c r="J115" t="inlineStr">
        <is>
          <t>Riskkontroll</t>
        </is>
      </c>
      <c r="K115" t="inlineStr">
        <is>
          <t>Historiska flygfoton, EBH- karta.</t>
        </is>
      </c>
      <c r="L115" t="inlineStr">
        <is>
          <t>Historiska flygfoton, EBH- karta.</t>
        </is>
      </c>
      <c r="M115" t="inlineStr">
        <is>
          <t>SKA</t>
        </is>
      </c>
      <c r="N115" t="inlineStr"/>
      <c r="O115" t="inlineStr"/>
      <c r="P115" t="inlineStr"/>
      <c r="Q115" t="inlineStr"/>
      <c r="R115" t="inlineStr">
        <is>
          <t>Vid risk for incident</t>
        </is>
      </c>
      <c r="S115" t="inlineStr"/>
      <c r="T115" t="inlineStr">
        <is>
          <t>556969</t>
        </is>
      </c>
      <c r="U115" t="inlineStr"/>
      <c r="V115" t="inlineStr"/>
      <c r="W115" t="inlineStr">
        <is>
          <t>Nej</t>
        </is>
      </c>
      <c r="X115" t="inlineStr">
        <is>
          <t>Nej</t>
        </is>
      </c>
      <c r="Y115" t="inlineStr">
        <is>
          <t>Ja</t>
        </is>
      </c>
      <c r="Z115" t="inlineStr">
        <is>
          <t>Ja</t>
        </is>
      </c>
      <c r="AA115" t="n">
        <v>8</v>
      </c>
      <c r="AB115" t="inlineStr">
        <is>
          <t>Riskhantering</t>
        </is>
      </c>
      <c r="AC115" t="inlineStr">
        <is>
          <t>Risk-PM</t>
        </is>
      </c>
      <c r="AD115" t="inlineStr">
        <is>
          <t>Nej</t>
        </is>
      </c>
      <c r="AE115" t="inlineStr">
        <is>
          <t>Nej</t>
        </is>
      </c>
      <c r="AF115" t="inlineStr">
        <is>
          <t>Ej behandlad</t>
        </is>
      </c>
      <c r="AG115" t="inlineStr">
        <is>
          <t>AUTO_GENERERAD. Verifiera citat mot kallfil.</t>
        </is>
      </c>
      <c r="AH115" t="inlineStr">
        <is>
          <t>LOW</t>
        </is>
      </c>
      <c r="AI115" t="inlineStr">
        <is>
          <t>AUTO</t>
        </is>
      </c>
      <c r="AJ115" t="inlineStr">
        <is>
          <t>Nej</t>
        </is>
      </c>
      <c r="AK115" t="inlineStr"/>
      <c r="AL115" t="inlineStr"/>
      <c r="AM115" t="inlineStr"/>
      <c r="AN115" t="inlineStr"/>
      <c r="AO115" t="inlineStr">
        <is>
          <t>cmm4yumu4002ncuqwsv6yg2uz</t>
        </is>
      </c>
      <c r="AP115" t="inlineStr">
        <is>
          <t>http://localhost:8787/api/admin/requirements/documents/cmm4yumu4002ncuqwsv6yg2uz/view</t>
        </is>
      </c>
      <c r="AQ115">
        <f>HYPERLÄNK("http://localhost:8787/api/admin/requirements/documents/cmm4yumu4002ncuqwsv6yg2uz/view";"Öppna PDF")</f>
        <v/>
      </c>
      <c r="AR115">
        <f>HYPERLINK("http://localhost:8787/api/admin/requirements/documents/cmm4yumu4002ncuqwsv6yg2uz/view","Open PDF")</f>
        <v/>
      </c>
      <c r="AS115" t="inlineStr">
        <is>
          <t>cmm55w57p0004cuisfrtpqly8</t>
        </is>
      </c>
      <c r="AT115" t="inlineStr">
        <is>
          <t>cmm4xvu980000cuh4vj0usz09</t>
        </is>
      </c>
      <c r="AU115" t="inlineStr"/>
      <c r="AV115" t="inlineStr">
        <is>
          <t>Kommun</t>
        </is>
      </c>
      <c r="AW115" t="inlineStr"/>
      <c r="AX115" t="inlineStr">
        <is>
          <t>2021-07</t>
        </is>
      </c>
      <c r="AY115" t="inlineStr">
        <is>
          <t>Anmalan</t>
        </is>
      </c>
      <c r="AZ115" t="inlineStr">
        <is>
          <t>2026-01-30</t>
        </is>
      </c>
      <c r="BA115" t="inlineStr">
        <is>
          <t>Miljö-2024-62-1_Bilaga 2. Fullständiga analysprotokoll.pdf</t>
        </is>
      </c>
      <c r="BB115" t="inlineStr">
        <is>
          <t>Sv:  Begäran om utlämnande av allmän handling – Anmälningar och beslut rörande mellanlagring av avfall samt anläggning av ytor</t>
        </is>
      </c>
      <c r="BC115" t="inlineStr">
        <is>
          <t>AUTO</t>
        </is>
      </c>
      <c r="BD115" t="inlineStr"/>
      <c r="BE115" t="inlineStr"/>
      <c r="BF115" t="inlineStr">
        <is>
          <t>AUTO_GENERERAD. Bekrafta metadata mot kallfil.</t>
        </is>
      </c>
      <c r="BG115">
        <f>HYPERLINK("C:\Users\jimmy\Desktop\Examens arbete\Kod\Ny mapp\remix_-copy-of-miljöbeslut.se-portal\Miljö-2024-62-1_Bilaga 2. Fullständiga analysprotokoll.pdf", "Öppna PDF")</f>
        <v/>
      </c>
    </row>
    <row r="116">
      <c r="A116" t="inlineStr">
        <is>
          <t>KRAV-AUTO-000115</t>
        </is>
      </c>
      <c r="B116" t="inlineStr">
        <is>
          <t>ADMIN-INDEX-2026-02-27-00000000125C043F57453246863FE664CAFE6A3F0700950291EA24F0614FB6ACEDB12BF0E31D00000000010C0000950291EA24F0614FB6ACEDB12BF0E31D00002087B7BA0000</t>
        </is>
      </c>
      <c r="C116" t="inlineStr">
        <is>
          <t>cmm4yumsv001hcuqwrfu6fkd3</t>
        </is>
      </c>
      <c r="D116" t="inlineStr">
        <is>
          <t>http://localhost:8787/api/admin/requirements/documents/cmm4yumsv001hcuqwrfu6fkd3/view</t>
        </is>
      </c>
      <c r="E116">
        <f>HYPERLÄNK("http://localhost:8787/api/admin/requirements/documents/cmm4yumsv001hcuqwrfu6fkd3/view";"Öppna PDF")</f>
        <v/>
      </c>
      <c r="F116">
        <f>HYPERLINK("http://localhost:8787/api/admin/requirements/documents/cmm4yumsv001hcuqwrfu6fkd3/view","Open PDF")</f>
        <v/>
      </c>
      <c r="G116" t="inlineStr">
        <is>
          <t>cmm55w57p0004cuisfrtpqly8</t>
        </is>
      </c>
      <c r="H116" t="inlineStr">
        <is>
          <t>Informationskrav</t>
        </is>
      </c>
      <c r="I116" t="inlineStr">
        <is>
          <t>Ytkonstruktion</t>
        </is>
      </c>
      <c r="J116" t="inlineStr">
        <is>
          <t>Tat yta</t>
        </is>
      </c>
      <c r="K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16" t="inlineStr">
        <is>
          <t>SKA</t>
        </is>
      </c>
      <c r="N116" t="inlineStr"/>
      <c r="O116" t="inlineStr"/>
      <c r="P116" t="inlineStr"/>
      <c r="Q116" t="inlineStr"/>
      <c r="R116" t="inlineStr">
        <is>
          <t>Vid mellanlagring av avfall</t>
        </is>
      </c>
      <c r="S116" t="inlineStr"/>
      <c r="T116" t="inlineStr">
        <is>
          <t>556969</t>
        </is>
      </c>
      <c r="U116" t="inlineStr"/>
      <c r="V116" t="inlineStr"/>
      <c r="W116" t="inlineStr">
        <is>
          <t>Ja</t>
        </is>
      </c>
      <c r="X116" t="inlineStr">
        <is>
          <t>Nej</t>
        </is>
      </c>
      <c r="Y116" t="inlineStr">
        <is>
          <t>Nej</t>
        </is>
      </c>
      <c r="Z116" t="inlineStr">
        <is>
          <t>Nej</t>
        </is>
      </c>
      <c r="AA116" t="n">
        <v>5</v>
      </c>
      <c r="AB116" t="inlineStr">
        <is>
          <t>Teknisk beskrivning av platta</t>
        </is>
      </c>
      <c r="AC116" t="inlineStr">
        <is>
          <t>Teknisk ritning platta</t>
        </is>
      </c>
      <c r="AD116" t="inlineStr">
        <is>
          <t>Nej</t>
        </is>
      </c>
      <c r="AE116" t="inlineStr">
        <is>
          <t>Nej</t>
        </is>
      </c>
      <c r="AF116" t="inlineStr">
        <is>
          <t>Ej behandlad</t>
        </is>
      </c>
      <c r="AG116" t="inlineStr">
        <is>
          <t>AUTO_GENERERAD. Verifiera citat mot kallfil.</t>
        </is>
      </c>
      <c r="AH116" t="inlineStr">
        <is>
          <t>MEDIUM</t>
        </is>
      </c>
      <c r="AI116" t="inlineStr">
        <is>
          <t>AUTO</t>
        </is>
      </c>
      <c r="AJ116" t="inlineStr">
        <is>
          <t>Nej</t>
        </is>
      </c>
      <c r="AK116" t="inlineStr"/>
      <c r="AL116" t="inlineStr"/>
      <c r="AM116" t="inlineStr"/>
      <c r="AN116" t="inlineStr"/>
      <c r="AO116" t="inlineStr">
        <is>
          <t>cmm4yumu4002ncuqwsv6yg2uz</t>
        </is>
      </c>
      <c r="AP116" t="inlineStr">
        <is>
          <t>http://localhost:8787/api/admin/requirements/documents/cmm4yumu4002ncuqwsv6yg2uz/view</t>
        </is>
      </c>
      <c r="AQ116">
        <f>HYPERLÄNK("http://localhost:8787/api/admin/requirements/documents/cmm4yumu4002ncuqwsv6yg2uz/view";"Öppna PDF")</f>
        <v/>
      </c>
      <c r="AR116">
        <f>HYPERLINK("http://localhost:8787/api/admin/requirements/documents/cmm4yumu4002ncuqwsv6yg2uz/view","Open PDF")</f>
        <v/>
      </c>
      <c r="AS116" t="inlineStr">
        <is>
          <t>cmm55w57p0004cuisfrtpqly8</t>
        </is>
      </c>
      <c r="AT116" t="inlineStr">
        <is>
          <t>cmm4xvu980000cuh4vj0usz09</t>
        </is>
      </c>
      <c r="AU116" t="inlineStr"/>
      <c r="AV116" t="inlineStr">
        <is>
          <t>Kommun</t>
        </is>
      </c>
      <c r="AW116" t="inlineStr"/>
      <c r="AX116" t="inlineStr">
        <is>
          <t>2021-07</t>
        </is>
      </c>
      <c r="AY116" t="inlineStr">
        <is>
          <t>Anmalan</t>
        </is>
      </c>
      <c r="AZ116" t="inlineStr">
        <is>
          <t>2026-01-30</t>
        </is>
      </c>
      <c r="BA116" t="inlineStr">
        <is>
          <t>Miljö-2024-62-1_Bilaga 2. Fullständiga analysprotokoll.pdf</t>
        </is>
      </c>
      <c r="BB116" t="inlineStr">
        <is>
          <t>Sv:  Begäran om utlämnande av allmän handling – Anmälningar och beslut rörande mellanlagring av avfall samt anläggning av ytor</t>
        </is>
      </c>
      <c r="BC116" t="inlineStr">
        <is>
          <t>AUTO</t>
        </is>
      </c>
      <c r="BD116" t="inlineStr"/>
      <c r="BE116" t="inlineStr"/>
      <c r="BF116" t="inlineStr">
        <is>
          <t>AUTO_GENERERAD. Bekrafta metadata mot kallfil.</t>
        </is>
      </c>
      <c r="BG116">
        <f>HYPERLINK("C:\Users\jimmy\Desktop\Examens arbete\Kod\Ny mapp\remix_-copy-of-miljöbeslut.se-portal\Miljö-2024-62-1_Bilaga 2. Fullständiga analysprotokoll.pdf", "Öppna PDF")</f>
        <v/>
      </c>
    </row>
    <row r="117">
      <c r="A117" t="inlineStr">
        <is>
          <t>KRAV-AUTO-000116</t>
        </is>
      </c>
      <c r="B117" t="inlineStr">
        <is>
          <t>ADMIN-INDEX-2026-02-27-00000000125C043F57453246863FE664CAFE6A3F0700950291EA24F0614FB6ACEDB12BF0E31D00000000010C0000950291EA24F0614FB6ACEDB12BF0E31D00002087B7BA0000</t>
        </is>
      </c>
      <c r="C117" t="inlineStr">
        <is>
          <t>cmm4yumsv001hcuqwrfu6fkd3</t>
        </is>
      </c>
      <c r="D117" t="inlineStr">
        <is>
          <t>http://localhost:8787/api/admin/requirements/documents/cmm4yumsv001hcuqwrfu6fkd3/view</t>
        </is>
      </c>
      <c r="E117">
        <f>HYPERLÄNK("http://localhost:8787/api/admin/requirements/documents/cmm4yumsv001hcuqwrfu6fkd3/view";"Öppna PDF")</f>
        <v/>
      </c>
      <c r="F117">
        <f>HYPERLINK("http://localhost:8787/api/admin/requirements/documents/cmm4yumsv001hcuqwrfu6fkd3/view","Open PDF")</f>
        <v/>
      </c>
      <c r="G117" t="inlineStr">
        <is>
          <t>cmm55w57p0004cuisfrtpqly8</t>
        </is>
      </c>
      <c r="H117" t="inlineStr">
        <is>
          <t>Informationskrav</t>
        </is>
      </c>
      <c r="I117" t="inlineStr">
        <is>
          <t>DriftEgenkontroll</t>
        </is>
      </c>
      <c r="J117" t="inlineStr">
        <is>
          <t>Journalforing</t>
        </is>
      </c>
      <c r="K117" t="inlineStr">
        <is>
          <t>Regional provtagning från Sveriges geologiska undersökning 4.</t>
        </is>
      </c>
      <c r="L117" t="inlineStr">
        <is>
          <t>Regional provtagning från Sveriges geologiska undersökning 4.</t>
        </is>
      </c>
      <c r="M117" t="inlineStr">
        <is>
          <t>SKA</t>
        </is>
      </c>
      <c r="N117" t="inlineStr"/>
      <c r="O117" t="inlineStr"/>
      <c r="P117" t="inlineStr"/>
      <c r="Q117" t="inlineStr"/>
      <c r="R117" t="inlineStr">
        <is>
          <t>Lopande drift</t>
        </is>
      </c>
      <c r="S117" t="inlineStr"/>
      <c r="T117" t="inlineStr">
        <is>
          <t>556969</t>
        </is>
      </c>
      <c r="U117" t="inlineStr"/>
      <c r="V117" t="inlineStr"/>
      <c r="W117" t="inlineStr">
        <is>
          <t>Nej</t>
        </is>
      </c>
      <c r="X117" t="inlineStr">
        <is>
          <t>Nej</t>
        </is>
      </c>
      <c r="Y117" t="inlineStr">
        <is>
          <t>Ja</t>
        </is>
      </c>
      <c r="Z117" t="inlineStr">
        <is>
          <t>Nej</t>
        </is>
      </c>
      <c r="AA117" t="n">
        <v>7</v>
      </c>
      <c r="AB117" t="inlineStr">
        <is>
          <t>Egenkontrollrutiner</t>
        </is>
      </c>
      <c r="AC117" t="inlineStr">
        <is>
          <t>Egenkontrollprogram</t>
        </is>
      </c>
      <c r="AD117" t="inlineStr">
        <is>
          <t>Nej</t>
        </is>
      </c>
      <c r="AE117" t="inlineStr">
        <is>
          <t>Nej</t>
        </is>
      </c>
      <c r="AF117" t="inlineStr">
        <is>
          <t>Ej behandlad</t>
        </is>
      </c>
      <c r="AG117" t="inlineStr">
        <is>
          <t>AUTO_GENERERAD. Verifiera citat mot kallfil.</t>
        </is>
      </c>
      <c r="AH117" t="inlineStr">
        <is>
          <t>MEDIUM</t>
        </is>
      </c>
      <c r="AI117" t="inlineStr">
        <is>
          <t>AUTO</t>
        </is>
      </c>
      <c r="AJ117" t="inlineStr">
        <is>
          <t>Nej</t>
        </is>
      </c>
      <c r="AK117" t="inlineStr"/>
      <c r="AL117" t="inlineStr"/>
      <c r="AM117" t="inlineStr"/>
      <c r="AN117" t="inlineStr"/>
      <c r="AO117" t="inlineStr">
        <is>
          <t>cmm4yumu4002ncuqwsv6yg2uz</t>
        </is>
      </c>
      <c r="AP117" t="inlineStr">
        <is>
          <t>http://localhost:8787/api/admin/requirements/documents/cmm4yumu4002ncuqwsv6yg2uz/view</t>
        </is>
      </c>
      <c r="AQ117">
        <f>HYPERLÄNK("http://localhost:8787/api/admin/requirements/documents/cmm4yumu4002ncuqwsv6yg2uz/view";"Öppna PDF")</f>
        <v/>
      </c>
      <c r="AR117">
        <f>HYPERLINK("http://localhost:8787/api/admin/requirements/documents/cmm4yumu4002ncuqwsv6yg2uz/view","Open PDF")</f>
        <v/>
      </c>
      <c r="AS117" t="inlineStr">
        <is>
          <t>cmm55w57p0004cuisfrtpqly8</t>
        </is>
      </c>
      <c r="AT117" t="inlineStr">
        <is>
          <t>cmm4xvu980000cuh4vj0usz09</t>
        </is>
      </c>
      <c r="AU117" t="inlineStr"/>
      <c r="AV117" t="inlineStr">
        <is>
          <t>Kommun</t>
        </is>
      </c>
      <c r="AW117" t="inlineStr"/>
      <c r="AX117" t="inlineStr">
        <is>
          <t>2021-07</t>
        </is>
      </c>
      <c r="AY117" t="inlineStr">
        <is>
          <t>Anmalan</t>
        </is>
      </c>
      <c r="AZ117" t="inlineStr">
        <is>
          <t>2026-01-30</t>
        </is>
      </c>
      <c r="BA117" t="inlineStr">
        <is>
          <t>Miljö-2024-62-1_Bilaga 2. Fullständiga analysprotokoll.pdf</t>
        </is>
      </c>
      <c r="BB117" t="inlineStr">
        <is>
          <t>Sv:  Begäran om utlämnande av allmän handling – Anmälningar och beslut rörande mellanlagring av avfall samt anläggning av ytor</t>
        </is>
      </c>
      <c r="BC117" t="inlineStr">
        <is>
          <t>AUTO</t>
        </is>
      </c>
      <c r="BD117" t="inlineStr"/>
      <c r="BE117" t="inlineStr"/>
      <c r="BF117" t="inlineStr">
        <is>
          <t>AUTO_GENERERAD. Bekrafta metadata mot kallfil.</t>
        </is>
      </c>
      <c r="BG117">
        <f>HYPERLINK("C:\Users\jimmy\Desktop\Examens arbete\Kod\Ny mapp\remix_-copy-of-miljöbeslut.se-portal\Miljö-2024-62-1_Bilaga 2. Fullständiga analysprotokoll.pdf", "Öppna PDF")</f>
        <v/>
      </c>
    </row>
    <row r="118">
      <c r="A118" t="inlineStr">
        <is>
          <t>KRAV-AUTO-000117</t>
        </is>
      </c>
      <c r="B118" t="inlineStr">
        <is>
          <t>ADMIN-INDEX-2026-02-27-00000000125C043F57453246863FE664CAFE6A3F0700950291EA24F0614FB6ACEDB12BF0E31D00000000010C0000950291EA24F0614FB6ACEDB12BF0E31D00002087B7BA0000</t>
        </is>
      </c>
      <c r="C118" t="inlineStr">
        <is>
          <t>cmm4yumrq000kcuqwwxn5bzwo</t>
        </is>
      </c>
      <c r="D118" t="inlineStr">
        <is>
          <t>http://localhost:8787/api/admin/requirements/documents/cmm4yumrq000kcuqwwxn5bzwo/view</t>
        </is>
      </c>
      <c r="E118">
        <f>HYPERLÄNK("http://localhost:8787/api/admin/requirements/documents/cmm4yumrq000kcuqwwxn5bzwo/view";"Öppna PDF")</f>
        <v/>
      </c>
      <c r="F118">
        <f>HYPERLINK("http://localhost:8787/api/admin/requirements/documents/cmm4yumrq000kcuqwwxn5bzwo/view","Open PDF")</f>
        <v/>
      </c>
      <c r="G118" t="inlineStr">
        <is>
          <t>cmm55w57p0004cuisfrtpqly8</t>
        </is>
      </c>
      <c r="H118" t="inlineStr">
        <is>
          <t>Informationskrav</t>
        </is>
      </c>
      <c r="I118" t="inlineStr">
        <is>
          <t>Riskhantering</t>
        </is>
      </c>
      <c r="J118" t="inlineStr">
        <is>
          <t>Riskkontroll</t>
        </is>
      </c>
      <c r="K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L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M118" t="inlineStr">
        <is>
          <t>SKA</t>
        </is>
      </c>
      <c r="N118" t="inlineStr"/>
      <c r="O118" t="inlineStr"/>
      <c r="P118" t="inlineStr">
        <is>
          <t>Arlig</t>
        </is>
      </c>
      <c r="Q118" t="inlineStr"/>
      <c r="R118" t="inlineStr">
        <is>
          <t>Vid risk for incident</t>
        </is>
      </c>
      <c r="S118" t="inlineStr"/>
      <c r="T118" t="inlineStr">
        <is>
          <t>25 11 00</t>
        </is>
      </c>
      <c r="U118" t="inlineStr"/>
      <c r="V118" t="inlineStr"/>
      <c r="W118" t="inlineStr">
        <is>
          <t>Nej</t>
        </is>
      </c>
      <c r="X118" t="inlineStr">
        <is>
          <t>Nej</t>
        </is>
      </c>
      <c r="Y118" t="inlineStr">
        <is>
          <t>Ja</t>
        </is>
      </c>
      <c r="Z118" t="inlineStr">
        <is>
          <t>Ja</t>
        </is>
      </c>
      <c r="AA118" t="n">
        <v>8</v>
      </c>
      <c r="AB118" t="inlineStr">
        <is>
          <t>Riskhantering</t>
        </is>
      </c>
      <c r="AC118" t="inlineStr">
        <is>
          <t>Risk-PM</t>
        </is>
      </c>
      <c r="AD118" t="inlineStr">
        <is>
          <t>Nej</t>
        </is>
      </c>
      <c r="AE118" t="inlineStr">
        <is>
          <t>Nej</t>
        </is>
      </c>
      <c r="AF118" t="inlineStr">
        <is>
          <t>Ej behandlad</t>
        </is>
      </c>
      <c r="AG118" t="inlineStr">
        <is>
          <t>AUTO_GENERERAD. Verifiera citat mot kallfil.</t>
        </is>
      </c>
      <c r="AH118" t="inlineStr">
        <is>
          <t>MEDIUM</t>
        </is>
      </c>
      <c r="AI118" t="inlineStr">
        <is>
          <t>AUTO</t>
        </is>
      </c>
      <c r="AJ118" t="inlineStr">
        <is>
          <t>Nej</t>
        </is>
      </c>
      <c r="AK118" t="inlineStr"/>
      <c r="AL118" t="inlineStr"/>
      <c r="AM118" t="inlineStr"/>
      <c r="AN118" t="inlineStr"/>
      <c r="AO118" t="inlineStr">
        <is>
          <t>cmm4yumu4002ncuqwsv6yg2uz</t>
        </is>
      </c>
      <c r="AP118" t="inlineStr">
        <is>
          <t>http://localhost:8787/api/admin/requirements/documents/cmm4yumu4002ncuqwsv6yg2uz/view</t>
        </is>
      </c>
      <c r="AQ118">
        <f>HYPERLÄNK("http://localhost:8787/api/admin/requirements/documents/cmm4yumu4002ncuqwsv6yg2uz/view";"Öppna PDF")</f>
        <v/>
      </c>
      <c r="AR118">
        <f>HYPERLINK("http://localhost:8787/api/admin/requirements/documents/cmm4yumu4002ncuqwsv6yg2uz/view","Open PDF")</f>
        <v/>
      </c>
      <c r="AS118" t="inlineStr">
        <is>
          <t>cmm55w57p0004cuisfrtpqly8</t>
        </is>
      </c>
      <c r="AT118" t="inlineStr">
        <is>
          <t>cmm4xvu980000cuh4vj0usz09</t>
        </is>
      </c>
      <c r="AU118" t="inlineStr"/>
      <c r="AV118" t="inlineStr">
        <is>
          <t>Kommun</t>
        </is>
      </c>
      <c r="AW118" t="inlineStr"/>
      <c r="AX118" t="inlineStr">
        <is>
          <t>2021-07</t>
        </is>
      </c>
      <c r="AY118" t="inlineStr">
        <is>
          <t>Anmalan</t>
        </is>
      </c>
      <c r="AZ118" t="inlineStr">
        <is>
          <t>2026-01-30</t>
        </is>
      </c>
      <c r="BA118" t="inlineStr">
        <is>
          <t>Miljö-2024-62-1_Bilaga 2. Fullständiga analysprotokoll.pdf</t>
        </is>
      </c>
      <c r="BB118" t="inlineStr">
        <is>
          <t>Sv:  Begäran om utlämnande av allmän handling – Anmälningar och beslut rörande mellanlagring av avfall samt anläggning av ytor</t>
        </is>
      </c>
      <c r="BC118" t="inlineStr">
        <is>
          <t>AUTO</t>
        </is>
      </c>
      <c r="BD118" t="inlineStr"/>
      <c r="BE118" t="inlineStr"/>
      <c r="BF118" t="inlineStr">
        <is>
          <t>AUTO_GENERERAD. Bekrafta metadata mot kallfil.</t>
        </is>
      </c>
      <c r="BG118">
        <f>HYPERLINK("C:\Users\jimmy\Desktop\Examens arbete\Kod\Ny mapp\remix_-copy-of-miljöbeslut.se-portal\Miljö-2024-62-1_Bilaga 2. Fullständiga analysprotokoll.pdf", "Öppna PDF")</f>
        <v/>
      </c>
    </row>
    <row r="119">
      <c r="A119" t="inlineStr">
        <is>
          <t>KRAV-AUTO-000118</t>
        </is>
      </c>
      <c r="B119" t="inlineStr">
        <is>
          <t>ADMIN-INDEX-2026-02-27-00000000125C043F57453246863FE664CAFE6A3F0700950291EA24F0614FB6ACEDB12BF0E31D00000000010C0000950291EA24F0614FB6ACEDB12BF0E31D00002087B7BA0000</t>
        </is>
      </c>
      <c r="C119" t="inlineStr">
        <is>
          <t>cmm4yumrn000hcuqwgfvsaief</t>
        </is>
      </c>
      <c r="D119" t="inlineStr">
        <is>
          <t>http://localhost:8787/api/admin/requirements/documents/cmm4yumrn000hcuqwgfvsaief/view</t>
        </is>
      </c>
      <c r="E119">
        <f>HYPERLÄNK("http://localhost:8787/api/admin/requirements/documents/cmm4yumrn000hcuqwgfvsaief/view";"Öppna PDF")</f>
        <v/>
      </c>
      <c r="F119">
        <f>HYPERLINK("http://localhost:8787/api/admin/requirements/documents/cmm4yumrn000hcuqwgfvsaief/view","Open PDF")</f>
        <v/>
      </c>
      <c r="G119" t="inlineStr">
        <is>
          <t>cmm55w57p0004cuisfrtpqly8</t>
        </is>
      </c>
      <c r="H119" t="inlineStr">
        <is>
          <t>Informationskrav</t>
        </is>
      </c>
      <c r="I119" t="inlineStr">
        <is>
          <t>Riskhantering</t>
        </is>
      </c>
      <c r="J119" t="inlineStr">
        <is>
          <t>Riskkontroll</t>
        </is>
      </c>
      <c r="K119" t="inlineStr">
        <is>
          <t>Historiska flygbilder.pdf, Bilaga 6.</t>
        </is>
      </c>
      <c r="L119" t="inlineStr">
        <is>
          <t>Historiska flygbilder.pdf, Bilaga 6.</t>
        </is>
      </c>
      <c r="M119" t="inlineStr">
        <is>
          <t>SKA</t>
        </is>
      </c>
      <c r="N119" t="inlineStr"/>
      <c r="O119" t="inlineStr"/>
      <c r="P119" t="inlineStr"/>
      <c r="Q119" t="inlineStr"/>
      <c r="R119" t="inlineStr">
        <is>
          <t>Vid risk for incident</t>
        </is>
      </c>
      <c r="S119" t="inlineStr"/>
      <c r="T119" t="inlineStr">
        <is>
          <t>39 97 83</t>
        </is>
      </c>
      <c r="U119" t="inlineStr"/>
      <c r="V119" t="inlineStr"/>
      <c r="W119" t="inlineStr">
        <is>
          <t>Nej</t>
        </is>
      </c>
      <c r="X119" t="inlineStr">
        <is>
          <t>Nej</t>
        </is>
      </c>
      <c r="Y119" t="inlineStr">
        <is>
          <t>Ja</t>
        </is>
      </c>
      <c r="Z119" t="inlineStr">
        <is>
          <t>Ja</t>
        </is>
      </c>
      <c r="AA119" t="n">
        <v>8</v>
      </c>
      <c r="AB119" t="inlineStr">
        <is>
          <t>Riskhantering</t>
        </is>
      </c>
      <c r="AC119" t="inlineStr">
        <is>
          <t>Risk-PM</t>
        </is>
      </c>
      <c r="AD119" t="inlineStr">
        <is>
          <t>Nej</t>
        </is>
      </c>
      <c r="AE119" t="inlineStr">
        <is>
          <t>Nej</t>
        </is>
      </c>
      <c r="AF119" t="inlineStr">
        <is>
          <t>Ej behandlad</t>
        </is>
      </c>
      <c r="AG119" t="inlineStr">
        <is>
          <t>AUTO_GENERERAD. Verifiera citat mot kallfil.</t>
        </is>
      </c>
      <c r="AH119" t="inlineStr">
        <is>
          <t>LOW</t>
        </is>
      </c>
      <c r="AI119" t="inlineStr">
        <is>
          <t>AUTO</t>
        </is>
      </c>
      <c r="AJ119" t="inlineStr">
        <is>
          <t>Nej</t>
        </is>
      </c>
      <c r="AK119" t="inlineStr"/>
      <c r="AL119" t="inlineStr"/>
      <c r="AM119" t="inlineStr"/>
      <c r="AN119" t="inlineStr"/>
      <c r="AO119" t="inlineStr">
        <is>
          <t>cmm4yumu4002ncuqwsv6yg2uz</t>
        </is>
      </c>
      <c r="AP119" t="inlineStr">
        <is>
          <t>http://localhost:8787/api/admin/requirements/documents/cmm4yumu4002ncuqwsv6yg2uz/view</t>
        </is>
      </c>
      <c r="AQ119">
        <f>HYPERLÄNK("http://localhost:8787/api/admin/requirements/documents/cmm4yumu4002ncuqwsv6yg2uz/view";"Öppna PDF")</f>
        <v/>
      </c>
      <c r="AR119">
        <f>HYPERLINK("http://localhost:8787/api/admin/requirements/documents/cmm4yumu4002ncuqwsv6yg2uz/view","Open PDF")</f>
        <v/>
      </c>
      <c r="AS119" t="inlineStr">
        <is>
          <t>cmm55w57p0004cuisfrtpqly8</t>
        </is>
      </c>
      <c r="AT119" t="inlineStr">
        <is>
          <t>cmm4xvu980000cuh4vj0usz09</t>
        </is>
      </c>
      <c r="AU119" t="inlineStr"/>
      <c r="AV119" t="inlineStr">
        <is>
          <t>Kommun</t>
        </is>
      </c>
      <c r="AW119" t="inlineStr"/>
      <c r="AX119" t="inlineStr">
        <is>
          <t>2021-07</t>
        </is>
      </c>
      <c r="AY119" t="inlineStr">
        <is>
          <t>Anmalan</t>
        </is>
      </c>
      <c r="AZ119" t="inlineStr">
        <is>
          <t>2026-01-30</t>
        </is>
      </c>
      <c r="BA119" t="inlineStr">
        <is>
          <t>Miljö-2024-62-1_Bilaga 2. Fullständiga analysprotokoll.pdf</t>
        </is>
      </c>
      <c r="BB119" t="inlineStr">
        <is>
          <t>Sv:  Begäran om utlämnande av allmän handling – Anmälningar och beslut rörande mellanlagring av avfall samt anläggning av ytor</t>
        </is>
      </c>
      <c r="BC119" t="inlineStr">
        <is>
          <t>AUTO</t>
        </is>
      </c>
      <c r="BD119" t="inlineStr"/>
      <c r="BE119" t="inlineStr"/>
      <c r="BF119" t="inlineStr">
        <is>
          <t>AUTO_GENERERAD. Bekrafta metadata mot kallfil.</t>
        </is>
      </c>
      <c r="BG119">
        <f>HYPERLINK("C:\Users\jimmy\Desktop\Examens arbete\Kod\Ny mapp\remix_-copy-of-miljöbeslut.se-portal\Miljö-2024-62-1_Bilaga 2. Fullständiga analysprotokoll.pdf", "Öppna PDF")</f>
        <v/>
      </c>
    </row>
    <row r="120">
      <c r="A120" t="inlineStr">
        <is>
          <t>KRAV-AUTO-000119</t>
        </is>
      </c>
      <c r="B120" t="inlineStr">
        <is>
          <t>ADMIN-INDEX-2026-02-27-00000000125C043F57453246863FE664CAFE6A3F0700950291EA24F0614FB6ACEDB12BF0E31D00000000010C0000950291EA24F0614FB6ACEDB12BF0E31D00002087B7BA0000</t>
        </is>
      </c>
      <c r="C120" t="inlineStr">
        <is>
          <t>cmm4yumrk000ecuqwf7aep1lm</t>
        </is>
      </c>
      <c r="D120" t="inlineStr">
        <is>
          <t>http://localhost:8787/api/admin/requirements/documents/cmm4yumrk000ecuqwf7aep1lm/view</t>
        </is>
      </c>
      <c r="E120">
        <f>HYPERLÄNK("http://localhost:8787/api/admin/requirements/documents/cmm4yumrk000ecuqwf7aep1lm/view";"Öppna PDF")</f>
        <v/>
      </c>
      <c r="F120">
        <f>HYPERLINK("http://localhost:8787/api/admin/requirements/documents/cmm4yumrk000ecuqwf7aep1lm/view","Open PDF")</f>
        <v/>
      </c>
      <c r="G120" t="inlineStr">
        <is>
          <t>cmm55w57p0004cuisfrtpqly8</t>
        </is>
      </c>
      <c r="H120" t="inlineStr">
        <is>
          <t>Informationskrav</t>
        </is>
      </c>
      <c r="I120" t="inlineStr">
        <is>
          <t>DriftEgenkontroll</t>
        </is>
      </c>
      <c r="J120" t="inlineStr">
        <is>
          <t>Journalforing</t>
        </is>
      </c>
      <c r="K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fritidshus Ο närmaste vattentäkt (kommunal eller privat) Ο närmaste sjö, vattendrag, dike transportvägar Eventuella analysresultat från provtagning av materialet Eventuella handlingar som styrker anläggningens syfte.</t>
        </is>
      </c>
      <c r="L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t>
        </is>
      </c>
      <c r="M120" t="inlineStr">
        <is>
          <t>SKA</t>
        </is>
      </c>
      <c r="N120" t="inlineStr"/>
      <c r="O120" t="inlineStr"/>
      <c r="P120" t="inlineStr"/>
      <c r="Q120" t="inlineStr"/>
      <c r="R120" t="inlineStr">
        <is>
          <t>Lopande drift</t>
        </is>
      </c>
      <c r="S120" t="inlineStr"/>
      <c r="T120" t="inlineStr">
        <is>
          <t>660916</t>
        </is>
      </c>
      <c r="U120" t="inlineStr"/>
      <c r="V120" t="inlineStr"/>
      <c r="W120" t="inlineStr">
        <is>
          <t>Nej</t>
        </is>
      </c>
      <c r="X120" t="inlineStr">
        <is>
          <t>Nej</t>
        </is>
      </c>
      <c r="Y120" t="inlineStr">
        <is>
          <t>Ja</t>
        </is>
      </c>
      <c r="Z120" t="inlineStr">
        <is>
          <t>Nej</t>
        </is>
      </c>
      <c r="AA120" t="n">
        <v>7</v>
      </c>
      <c r="AB120" t="inlineStr">
        <is>
          <t>Egenkontrollrutiner</t>
        </is>
      </c>
      <c r="AC120" t="inlineStr">
        <is>
          <t>Egenkontrollprogram</t>
        </is>
      </c>
      <c r="AD120" t="inlineStr">
        <is>
          <t>Nej</t>
        </is>
      </c>
      <c r="AE120" t="inlineStr">
        <is>
          <t>Nej</t>
        </is>
      </c>
      <c r="AF120" t="inlineStr">
        <is>
          <t>Ej behandlad</t>
        </is>
      </c>
      <c r="AG120" t="inlineStr">
        <is>
          <t>AUTO_GENERERAD. Verifiera citat mot kallfil.</t>
        </is>
      </c>
      <c r="AH120" t="inlineStr">
        <is>
          <t>MEDIUM</t>
        </is>
      </c>
      <c r="AI120" t="inlineStr">
        <is>
          <t>AUTO</t>
        </is>
      </c>
      <c r="AJ120" t="inlineStr">
        <is>
          <t>Nej</t>
        </is>
      </c>
      <c r="AK120" t="inlineStr"/>
      <c r="AL120" t="inlineStr"/>
      <c r="AM120" t="inlineStr"/>
      <c r="AN120" t="inlineStr"/>
      <c r="AO120" t="inlineStr">
        <is>
          <t>cmm4yumu4002ncuqwsv6yg2uz</t>
        </is>
      </c>
      <c r="AP120" t="inlineStr">
        <is>
          <t>http://localhost:8787/api/admin/requirements/documents/cmm4yumu4002ncuqwsv6yg2uz/view</t>
        </is>
      </c>
      <c r="AQ120">
        <f>HYPERLÄNK("http://localhost:8787/api/admin/requirements/documents/cmm4yumu4002ncuqwsv6yg2uz/view";"Öppna PDF")</f>
        <v/>
      </c>
      <c r="AR120">
        <f>HYPERLINK("http://localhost:8787/api/admin/requirements/documents/cmm4yumu4002ncuqwsv6yg2uz/view","Open PDF")</f>
        <v/>
      </c>
      <c r="AS120" t="inlineStr">
        <is>
          <t>cmm55w57p0004cuisfrtpqly8</t>
        </is>
      </c>
      <c r="AT120" t="inlineStr">
        <is>
          <t>cmm4xvu980000cuh4vj0usz09</t>
        </is>
      </c>
      <c r="AU120" t="inlineStr"/>
      <c r="AV120" t="inlineStr">
        <is>
          <t>Kommun</t>
        </is>
      </c>
      <c r="AW120" t="inlineStr"/>
      <c r="AX120" t="inlineStr">
        <is>
          <t>2021-07</t>
        </is>
      </c>
      <c r="AY120" t="inlineStr">
        <is>
          <t>Anmalan</t>
        </is>
      </c>
      <c r="AZ120" t="inlineStr">
        <is>
          <t>2026-01-30</t>
        </is>
      </c>
      <c r="BA120" t="inlineStr">
        <is>
          <t>Miljö-2024-62-1_Bilaga 2. Fullständiga analysprotokoll.pdf</t>
        </is>
      </c>
      <c r="BB120" t="inlineStr">
        <is>
          <t>Sv:  Begäran om utlämnande av allmän handling – Anmälningar och beslut rörande mellanlagring av avfall samt anläggning av ytor</t>
        </is>
      </c>
      <c r="BC120" t="inlineStr">
        <is>
          <t>AUTO</t>
        </is>
      </c>
      <c r="BD120" t="inlineStr"/>
      <c r="BE120" t="inlineStr"/>
      <c r="BF120" t="inlineStr">
        <is>
          <t>AUTO_GENERERAD. Bekrafta metadata mot kallfil.</t>
        </is>
      </c>
      <c r="BG120">
        <f>HYPERLINK("C:\Users\jimmy\Desktop\Examens arbete\Kod\Ny mapp\remix_-copy-of-miljöbeslut.se-portal\Miljö-2024-62-1_Bilaga 2. Fullständiga analysprotokoll.pdf", "Öppna PDF")</f>
        <v/>
      </c>
    </row>
    <row r="121">
      <c r="A121" t="inlineStr">
        <is>
          <t>KRAV-AUTO-000120</t>
        </is>
      </c>
      <c r="B121" t="inlineStr">
        <is>
          <t>ADMIN-INDEX-2026-02-27-00000000125C043F57453246863FE664CAFE6A3F0700950291EA24F0614FB6ACEDB12BF0E31D00000000010C0000950291EA24F0614FB6ACEDB12BF0E31D00002087B7BA0000</t>
        </is>
      </c>
      <c r="C121" t="inlineStr">
        <is>
          <t>cmm4yumrk000ecuqwf7aep1lm</t>
        </is>
      </c>
      <c r="D121" t="inlineStr">
        <is>
          <t>http://localhost:8787/api/admin/requirements/documents/cmm4yumrk000ecuqwf7aep1lm/view</t>
        </is>
      </c>
      <c r="E121">
        <f>HYPERLÄNK("http://localhost:8787/api/admin/requirements/documents/cmm4yumrk000ecuqwf7aep1lm/view";"Öppna PDF")</f>
        <v/>
      </c>
      <c r="F121">
        <f>HYPERLINK("http://localhost:8787/api/admin/requirements/documents/cmm4yumrk000ecuqwf7aep1lm/view","Open PDF")</f>
        <v/>
      </c>
      <c r="G121" t="inlineStr">
        <is>
          <t>cmm55w57p0004cuisfrtpqly8</t>
        </is>
      </c>
      <c r="H121" t="inlineStr">
        <is>
          <t>Informationskrav</t>
        </is>
      </c>
      <c r="I121" t="inlineStr">
        <is>
          <t>LagringsvolymTid</t>
        </is>
      </c>
      <c r="J121" t="inlineStr">
        <is>
          <t>Maxmangd</t>
        </is>
      </c>
      <c r="K121" t="inlineStr">
        <is>
          <t>(m²) 67000m2 Total mängd avfall som ska användas Även avfallsmängd för respektive avfallsslag ska ton 40000 redovisas, se Bilaga 1.</t>
        </is>
      </c>
      <c r="L121" t="inlineStr">
        <is>
          <t>(m²) 67000m2 Total mängd avfall som ska användas Även avfallsmängd för respektive avfallsslag ska ton 40000 redovisas, se Bilaga 1.</t>
        </is>
      </c>
      <c r="M121" t="inlineStr">
        <is>
          <t>SKA</t>
        </is>
      </c>
      <c r="N121" t="inlineStr"/>
      <c r="O121" t="inlineStr"/>
      <c r="P121" t="inlineStr"/>
      <c r="Q121" t="inlineStr"/>
      <c r="R121" t="inlineStr">
        <is>
          <t>Alltid</t>
        </is>
      </c>
      <c r="S121" t="inlineStr"/>
      <c r="T121" t="inlineStr">
        <is>
          <t>660916</t>
        </is>
      </c>
      <c r="U121" t="inlineStr"/>
      <c r="V121" t="inlineStr"/>
      <c r="W121" t="inlineStr">
        <is>
          <t>Nej</t>
        </is>
      </c>
      <c r="X121" t="inlineStr">
        <is>
          <t>Nej</t>
        </is>
      </c>
      <c r="Y121" t="inlineStr">
        <is>
          <t>Nej</t>
        </is>
      </c>
      <c r="Z121" t="inlineStr">
        <is>
          <t>Nej</t>
        </is>
      </c>
      <c r="AA121" t="n">
        <v>4</v>
      </c>
      <c r="AB121" t="inlineStr">
        <is>
          <t>Avfallsmangder och lagringstid</t>
        </is>
      </c>
      <c r="AC121" t="inlineStr">
        <is>
          <t>Avfallsforteckning</t>
        </is>
      </c>
      <c r="AD121" t="inlineStr">
        <is>
          <t>Nej</t>
        </is>
      </c>
      <c r="AE121" t="inlineStr">
        <is>
          <t>Nej</t>
        </is>
      </c>
      <c r="AF121" t="inlineStr">
        <is>
          <t>Ej behandlad</t>
        </is>
      </c>
      <c r="AG121" t="inlineStr">
        <is>
          <t>AUTO_GENERERAD. Verifiera citat mot kallfil.</t>
        </is>
      </c>
      <c r="AH121" t="inlineStr">
        <is>
          <t>MEDIUM</t>
        </is>
      </c>
      <c r="AI121" t="inlineStr">
        <is>
          <t>AUTO</t>
        </is>
      </c>
      <c r="AJ121" t="inlineStr">
        <is>
          <t>Nej</t>
        </is>
      </c>
      <c r="AK121" t="inlineStr"/>
      <c r="AL121" t="inlineStr"/>
      <c r="AM121" t="inlineStr"/>
      <c r="AN121" t="inlineStr"/>
      <c r="AO121" t="inlineStr">
        <is>
          <t>cmm4yumu4002ncuqwsv6yg2uz</t>
        </is>
      </c>
      <c r="AP121" t="inlineStr">
        <is>
          <t>http://localhost:8787/api/admin/requirements/documents/cmm4yumu4002ncuqwsv6yg2uz/view</t>
        </is>
      </c>
      <c r="AQ121">
        <f>HYPERLÄNK("http://localhost:8787/api/admin/requirements/documents/cmm4yumu4002ncuqwsv6yg2uz/view";"Öppna PDF")</f>
        <v/>
      </c>
      <c r="AR121">
        <f>HYPERLINK("http://localhost:8787/api/admin/requirements/documents/cmm4yumu4002ncuqwsv6yg2uz/view","Open PDF")</f>
        <v/>
      </c>
      <c r="AS121" t="inlineStr">
        <is>
          <t>cmm55w57p0004cuisfrtpqly8</t>
        </is>
      </c>
      <c r="AT121" t="inlineStr">
        <is>
          <t>cmm4xvu980000cuh4vj0usz09</t>
        </is>
      </c>
      <c r="AU121" t="inlineStr"/>
      <c r="AV121" t="inlineStr">
        <is>
          <t>Kommun</t>
        </is>
      </c>
      <c r="AW121" t="inlineStr"/>
      <c r="AX121" t="inlineStr">
        <is>
          <t>2021-07</t>
        </is>
      </c>
      <c r="AY121" t="inlineStr">
        <is>
          <t>Anmalan</t>
        </is>
      </c>
      <c r="AZ121" t="inlineStr">
        <is>
          <t>2026-01-30</t>
        </is>
      </c>
      <c r="BA121" t="inlineStr">
        <is>
          <t>Miljö-2024-62-1_Bilaga 2. Fullständiga analysprotokoll.pdf</t>
        </is>
      </c>
      <c r="BB121" t="inlineStr">
        <is>
          <t>Sv:  Begäran om utlämnande av allmän handling – Anmälningar och beslut rörande mellanlagring av avfall samt anläggning av ytor</t>
        </is>
      </c>
      <c r="BC121" t="inlineStr">
        <is>
          <t>AUTO</t>
        </is>
      </c>
      <c r="BD121" t="inlineStr"/>
      <c r="BE121" t="inlineStr"/>
      <c r="BF121" t="inlineStr">
        <is>
          <t>AUTO_GENERERAD. Bekrafta metadata mot kallfil.</t>
        </is>
      </c>
      <c r="BG121">
        <f>HYPERLINK("C:\Users\jimmy\Desktop\Examens arbete\Kod\Ny mapp\remix_-copy-of-miljöbeslut.se-portal\Miljö-2024-62-1_Bilaga 2. Fullständiga analysprotokoll.pdf", "Öppna PDF")</f>
        <v/>
      </c>
    </row>
    <row r="122">
      <c r="A122" t="inlineStr">
        <is>
          <t>KRAV-AUTO-000121</t>
        </is>
      </c>
      <c r="B122" t="inlineStr">
        <is>
          <t>ADMIN-INDEX-2026-02-27-00000000125C043F57453246863FE664CAFE6A3F0700950291EA24F0614FB6ACEDB12BF0E31D00000000010C0000950291EA24F0614FB6ACEDB12BF0E31D00002087B7BA0000</t>
        </is>
      </c>
      <c r="C122" t="inlineStr">
        <is>
          <t>cmm4yumrk000ecuqwf7aep1lm</t>
        </is>
      </c>
      <c r="D122" t="inlineStr">
        <is>
          <t>http://localhost:8787/api/admin/requirements/documents/cmm4yumrk000ecuqwf7aep1lm/view</t>
        </is>
      </c>
      <c r="E122">
        <f>HYPERLÄNK("http://localhost:8787/api/admin/requirements/documents/cmm4yumrk000ecuqwf7aep1lm/view";"Öppna PDF")</f>
        <v/>
      </c>
      <c r="F122">
        <f>HYPERLINK("http://localhost:8787/api/admin/requirements/documents/cmm4yumrk000ecuqwf7aep1lm/view","Open PDF")</f>
        <v/>
      </c>
      <c r="G122" t="inlineStr">
        <is>
          <t>cmm55w57p0004cuisfrtpqly8</t>
        </is>
      </c>
      <c r="H122" t="inlineStr">
        <is>
          <t>Informationskrav</t>
        </is>
      </c>
      <c r="I122" t="inlineStr">
        <is>
          <t>LagringsvolymTid</t>
        </is>
      </c>
      <c r="J122" t="inlineStr">
        <is>
          <t>Maxmangd</t>
        </is>
      </c>
      <c r="K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anläggningsprojektet ka50st Staffanstorps kommun Bilaga 1 – Mängd avfall för respektive avfallsslag Avfallsslag Ex: Betong Jord Avfallskod 17 01 01 170504 ton 2,4 ca 40000 m³ 1 Ca 27000 7 (7) ipes väg Johan Anders väg Johan Anders väg Staffanstorp Särslöv 7:8 Det sträcka Området Ska täckas med jord.</t>
        </is>
      </c>
      <c r="L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t>
        </is>
      </c>
      <c r="M122" t="inlineStr">
        <is>
          <t>SKA</t>
        </is>
      </c>
      <c r="N122" t="inlineStr"/>
      <c r="O122" t="inlineStr"/>
      <c r="P122" t="inlineStr"/>
      <c r="Q122" t="inlineStr"/>
      <c r="R122" t="inlineStr">
        <is>
          <t>Alltid</t>
        </is>
      </c>
      <c r="S122" t="inlineStr"/>
      <c r="T122" t="inlineStr">
        <is>
          <t>17 01 01</t>
        </is>
      </c>
      <c r="U122" t="n">
        <v>170504</v>
      </c>
      <c r="V122" t="inlineStr"/>
      <c r="W122" t="inlineStr">
        <is>
          <t>Nej</t>
        </is>
      </c>
      <c r="X122" t="inlineStr">
        <is>
          <t>Nej</t>
        </is>
      </c>
      <c r="Y122" t="inlineStr">
        <is>
          <t>Nej</t>
        </is>
      </c>
      <c r="Z122" t="inlineStr">
        <is>
          <t>Nej</t>
        </is>
      </c>
      <c r="AA122" t="n">
        <v>4</v>
      </c>
      <c r="AB122" t="inlineStr">
        <is>
          <t>Avfallsmangder och lagringstid</t>
        </is>
      </c>
      <c r="AC122" t="inlineStr">
        <is>
          <t>Avfallsforteckning</t>
        </is>
      </c>
      <c r="AD122" t="inlineStr">
        <is>
          <t>Nej</t>
        </is>
      </c>
      <c r="AE122" t="inlineStr">
        <is>
          <t>Nej</t>
        </is>
      </c>
      <c r="AF122" t="inlineStr">
        <is>
          <t>Ej behandlad</t>
        </is>
      </c>
      <c r="AG122" t="inlineStr">
        <is>
          <t>AUTO_GENERERAD. Verifiera citat mot kallfil.</t>
        </is>
      </c>
      <c r="AH122" t="inlineStr">
        <is>
          <t>MEDIUM</t>
        </is>
      </c>
      <c r="AI122" t="inlineStr">
        <is>
          <t>AUTO</t>
        </is>
      </c>
      <c r="AJ122" t="inlineStr">
        <is>
          <t>Nej</t>
        </is>
      </c>
      <c r="AK122" t="inlineStr"/>
      <c r="AL122" t="inlineStr"/>
      <c r="AM122" t="inlineStr"/>
      <c r="AN122" t="inlineStr"/>
      <c r="AO122" t="inlineStr">
        <is>
          <t>cmm4yumu4002ncuqwsv6yg2uz</t>
        </is>
      </c>
      <c r="AP122" t="inlineStr">
        <is>
          <t>http://localhost:8787/api/admin/requirements/documents/cmm4yumu4002ncuqwsv6yg2uz/view</t>
        </is>
      </c>
      <c r="AQ122">
        <f>HYPERLÄNK("http://localhost:8787/api/admin/requirements/documents/cmm4yumu4002ncuqwsv6yg2uz/view";"Öppna PDF")</f>
        <v/>
      </c>
      <c r="AR122">
        <f>HYPERLINK("http://localhost:8787/api/admin/requirements/documents/cmm4yumu4002ncuqwsv6yg2uz/view","Open PDF")</f>
        <v/>
      </c>
      <c r="AS122" t="inlineStr">
        <is>
          <t>cmm55w57p0004cuisfrtpqly8</t>
        </is>
      </c>
      <c r="AT122" t="inlineStr">
        <is>
          <t>cmm4xvu980000cuh4vj0usz09</t>
        </is>
      </c>
      <c r="AU122" t="inlineStr"/>
      <c r="AV122" t="inlineStr">
        <is>
          <t>Kommun</t>
        </is>
      </c>
      <c r="AW122" t="inlineStr"/>
      <c r="AX122" t="inlineStr">
        <is>
          <t>2021-07</t>
        </is>
      </c>
      <c r="AY122" t="inlineStr">
        <is>
          <t>Anmalan</t>
        </is>
      </c>
      <c r="AZ122" t="inlineStr">
        <is>
          <t>2026-01-30</t>
        </is>
      </c>
      <c r="BA122" t="inlineStr">
        <is>
          <t>Miljö-2024-62-1_Bilaga 2. Fullständiga analysprotokoll.pdf</t>
        </is>
      </c>
      <c r="BB122" t="inlineStr">
        <is>
          <t>Sv:  Begäran om utlämnande av allmän handling – Anmälningar och beslut rörande mellanlagring av avfall samt anläggning av ytor</t>
        </is>
      </c>
      <c r="BC122" t="inlineStr">
        <is>
          <t>AUTO</t>
        </is>
      </c>
      <c r="BD122" t="inlineStr"/>
      <c r="BE122" t="inlineStr"/>
      <c r="BF122" t="inlineStr">
        <is>
          <t>AUTO_GENERERAD. Bekrafta metadata mot kallfil.</t>
        </is>
      </c>
      <c r="BG122">
        <f>HYPERLINK("C:\Users\jimmy\Desktop\Examens arbete\Kod\Ny mapp\remix_-copy-of-miljöbeslut.se-portal\Miljö-2024-62-1_Bilaga 2. Fullständiga analysprotokoll.pdf", "Öppna PDF")</f>
        <v/>
      </c>
    </row>
    <row r="123">
      <c r="A123" t="inlineStr">
        <is>
          <t>KRAV-AUTO-000122</t>
        </is>
      </c>
      <c r="B123" t="inlineStr">
        <is>
          <t>ADMIN-INDEX-2026-02-27-00000000125C043F57453246863FE664CAFE6A3F0700950291EA24F0614FB6ACEDB12BF0E31D00000000010C0000950291EA24F0614FB6ACEDB12BF0E31D00002087B7BA0000</t>
        </is>
      </c>
      <c r="C123" t="inlineStr">
        <is>
          <t>cmm4yumrg000bcuqwghi5yoch</t>
        </is>
      </c>
      <c r="D123" t="inlineStr">
        <is>
          <t>http://localhost:8787/api/admin/requirements/documents/cmm4yumrg000bcuqwghi5yoch/view</t>
        </is>
      </c>
      <c r="E123">
        <f>HYPERLÄNK("http://localhost:8787/api/admin/requirements/documents/cmm4yumrg000bcuqwghi5yoch/view";"Öppna PDF")</f>
        <v/>
      </c>
      <c r="F123">
        <f>HYPERLINK("http://localhost:8787/api/admin/requirements/documents/cmm4yumrg000bcuqwghi5yoch/view","Open PDF")</f>
        <v/>
      </c>
      <c r="G123" t="inlineStr">
        <is>
          <t>cmm55w57p0004cuisfrtpqly8</t>
        </is>
      </c>
      <c r="H123" t="inlineStr">
        <is>
          <t>Informationskrav</t>
        </is>
      </c>
      <c r="I123" t="inlineStr">
        <is>
          <t>Riskhantering</t>
        </is>
      </c>
      <c r="J123" t="inlineStr">
        <is>
          <t>Riskkontroll</t>
        </is>
      </c>
      <c r="K123" t="inlineStr">
        <is>
          <t>Utdrag ur historiska flygbilder från år 2001 (nedan till vänster) och år 2007 (nedan till höger) ©Lantmäteriet.</t>
        </is>
      </c>
      <c r="L123" t="inlineStr">
        <is>
          <t>Utdrag ur historiska flygbilder från år 2001 (nedan till vänster) och år 2007 (nedan till höger) ©Lantmäteriet.</t>
        </is>
      </c>
      <c r="M123" t="inlineStr">
        <is>
          <t>SKA</t>
        </is>
      </c>
      <c r="N123" t="inlineStr"/>
      <c r="O123" t="inlineStr"/>
      <c r="P123" t="inlineStr"/>
      <c r="Q123" t="inlineStr"/>
      <c r="R123" t="inlineStr">
        <is>
          <t>Vid risk for incident</t>
        </is>
      </c>
      <c r="S123" t="inlineStr"/>
      <c r="T123" t="inlineStr"/>
      <c r="U123" t="inlineStr"/>
      <c r="V123" t="inlineStr"/>
      <c r="W123" t="inlineStr">
        <is>
          <t>Nej</t>
        </is>
      </c>
      <c r="X123" t="inlineStr">
        <is>
          <t>Nej</t>
        </is>
      </c>
      <c r="Y123" t="inlineStr">
        <is>
          <t>Ja</t>
        </is>
      </c>
      <c r="Z123" t="inlineStr">
        <is>
          <t>Ja</t>
        </is>
      </c>
      <c r="AA123" t="n">
        <v>8</v>
      </c>
      <c r="AB123" t="inlineStr">
        <is>
          <t>Riskhantering</t>
        </is>
      </c>
      <c r="AC123" t="inlineStr">
        <is>
          <t>Risk-PM</t>
        </is>
      </c>
      <c r="AD123" t="inlineStr">
        <is>
          <t>Nej</t>
        </is>
      </c>
      <c r="AE123" t="inlineStr">
        <is>
          <t>Nej</t>
        </is>
      </c>
      <c r="AF123" t="inlineStr">
        <is>
          <t>Ej behandlad</t>
        </is>
      </c>
      <c r="AG123" t="inlineStr">
        <is>
          <t>AUTO_GENERERAD. Verifiera citat mot kallfil.</t>
        </is>
      </c>
      <c r="AH123" t="inlineStr">
        <is>
          <t>LOW</t>
        </is>
      </c>
      <c r="AI123" t="inlineStr">
        <is>
          <t>AUTO</t>
        </is>
      </c>
      <c r="AJ123" t="inlineStr">
        <is>
          <t>Nej</t>
        </is>
      </c>
      <c r="AK123" t="inlineStr"/>
      <c r="AL123" t="inlineStr"/>
      <c r="AM123" t="inlineStr"/>
      <c r="AN123" t="inlineStr"/>
      <c r="AO123" t="inlineStr">
        <is>
          <t>cmm4yumu4002ncuqwsv6yg2uz</t>
        </is>
      </c>
      <c r="AP123" t="inlineStr">
        <is>
          <t>http://localhost:8787/api/admin/requirements/documents/cmm4yumu4002ncuqwsv6yg2uz/view</t>
        </is>
      </c>
      <c r="AQ123">
        <f>HYPERLÄNK("http://localhost:8787/api/admin/requirements/documents/cmm4yumu4002ncuqwsv6yg2uz/view";"Öppna PDF")</f>
        <v/>
      </c>
      <c r="AR123">
        <f>HYPERLINK("http://localhost:8787/api/admin/requirements/documents/cmm4yumu4002ncuqwsv6yg2uz/view","Open PDF")</f>
        <v/>
      </c>
      <c r="AS123" t="inlineStr">
        <is>
          <t>cmm55w57p0004cuisfrtpqly8</t>
        </is>
      </c>
      <c r="AT123" t="inlineStr">
        <is>
          <t>cmm4xvu980000cuh4vj0usz09</t>
        </is>
      </c>
      <c r="AU123" t="inlineStr"/>
      <c r="AV123" t="inlineStr">
        <is>
          <t>Kommun</t>
        </is>
      </c>
      <c r="AW123" t="inlineStr"/>
      <c r="AX123" t="inlineStr">
        <is>
          <t>2021-07</t>
        </is>
      </c>
      <c r="AY123" t="inlineStr">
        <is>
          <t>Anmalan</t>
        </is>
      </c>
      <c r="AZ123" t="inlineStr">
        <is>
          <t>2026-01-30</t>
        </is>
      </c>
      <c r="BA123" t="inlineStr">
        <is>
          <t>Miljö-2024-62-1_Bilaga 2. Fullständiga analysprotokoll.pdf</t>
        </is>
      </c>
      <c r="BB123" t="inlineStr">
        <is>
          <t>Sv:  Begäran om utlämnande av allmän handling – Anmälningar och beslut rörande mellanlagring av avfall samt anläggning av ytor</t>
        </is>
      </c>
      <c r="BC123" t="inlineStr">
        <is>
          <t>AUTO</t>
        </is>
      </c>
      <c r="BD123" t="inlineStr"/>
      <c r="BE123" t="inlineStr"/>
      <c r="BF123" t="inlineStr">
        <is>
          <t>AUTO_GENERERAD. Bekrafta metadata mot kallfil.</t>
        </is>
      </c>
      <c r="BG123">
        <f>HYPERLINK("C:\Users\jimmy\Desktop\Examens arbete\Kod\Ny mapp\remix_-copy-of-miljöbeslut.se-portal\Miljö-2024-62-1_Bilaga 2. Fullständiga analysprotokoll.pdf", "Öppna PDF")</f>
        <v/>
      </c>
    </row>
    <row r="124">
      <c r="A124" t="inlineStr">
        <is>
          <t>KRAV-AUTO-000123</t>
        </is>
      </c>
      <c r="B124" t="inlineStr">
        <is>
          <t>ADMIN-INDEX-2026-02-27-00000000125C043F57453246863FE664CAFE6A3F0700950291EA24F0614FB6ACEDB12BF0E31D00000000010C0000950291EA24F0614FB6ACEDB12BF0E31D00002087B7BA0000</t>
        </is>
      </c>
      <c r="C124" t="inlineStr">
        <is>
          <t>cmm4yumrg000bcuqwghi5yoch</t>
        </is>
      </c>
      <c r="D124" t="inlineStr">
        <is>
          <t>http://localhost:8787/api/admin/requirements/documents/cmm4yumrg000bcuqwghi5yoch/view</t>
        </is>
      </c>
      <c r="E124">
        <f>HYPERLÄNK("http://localhost:8787/api/admin/requirements/documents/cmm4yumrg000bcuqwghi5yoch/view";"Öppna PDF")</f>
        <v/>
      </c>
      <c r="F124">
        <f>HYPERLINK("http://localhost:8787/api/admin/requirements/documents/cmm4yumrg000bcuqwghi5yoch/view","Open PDF")</f>
        <v/>
      </c>
      <c r="G124" t="inlineStr">
        <is>
          <t>cmm55w57p0004cuisfrtpqly8</t>
        </is>
      </c>
      <c r="H124" t="inlineStr">
        <is>
          <t>Informationskrav</t>
        </is>
      </c>
      <c r="I124" t="inlineStr">
        <is>
          <t>Riskhantering</t>
        </is>
      </c>
      <c r="J124" t="inlineStr">
        <is>
          <t>Riskkontroll</t>
        </is>
      </c>
      <c r="K124" t="inlineStr">
        <is>
          <t>2001 2007 PAH-förorenat delområde PAH-förorenat delområde -- 1 of 4 -- Utdrag ur historiska flygbilder från år 2010 (nedan till vänster) och år 2012 (nedan till höger) ©Lantmäteriet.</t>
        </is>
      </c>
      <c r="L124" t="inlineStr">
        <is>
          <t>2001 2007 PAH-förorenat delområde PAH-förorenat delområde -- 1 of 4 -- Utdrag ur historiska flygbilder från år 2010 (nedan till vänster) och år 2012 (nedan till höger) ©Lantmäteriet.</t>
        </is>
      </c>
      <c r="M124" t="inlineStr">
        <is>
          <t>SKA</t>
        </is>
      </c>
      <c r="N124" t="inlineStr"/>
      <c r="O124" t="inlineStr"/>
      <c r="P124" t="inlineStr"/>
      <c r="Q124" t="inlineStr"/>
      <c r="R124" t="inlineStr">
        <is>
          <t>Vid risk for incident</t>
        </is>
      </c>
      <c r="S124" t="inlineStr"/>
      <c r="T124" t="inlineStr"/>
      <c r="U124" t="inlineStr"/>
      <c r="V124" t="inlineStr"/>
      <c r="W124" t="inlineStr">
        <is>
          <t>Nej</t>
        </is>
      </c>
      <c r="X124" t="inlineStr">
        <is>
          <t>Nej</t>
        </is>
      </c>
      <c r="Y124" t="inlineStr">
        <is>
          <t>Ja</t>
        </is>
      </c>
      <c r="Z124" t="inlineStr">
        <is>
          <t>Ja</t>
        </is>
      </c>
      <c r="AA124" t="n">
        <v>8</v>
      </c>
      <c r="AB124" t="inlineStr">
        <is>
          <t>Riskhantering</t>
        </is>
      </c>
      <c r="AC124" t="inlineStr">
        <is>
          <t>Risk-PM</t>
        </is>
      </c>
      <c r="AD124" t="inlineStr">
        <is>
          <t>Nej</t>
        </is>
      </c>
      <c r="AE124" t="inlineStr">
        <is>
          <t>Nej</t>
        </is>
      </c>
      <c r="AF124" t="inlineStr">
        <is>
          <t>Ej behandlad</t>
        </is>
      </c>
      <c r="AG124" t="inlineStr">
        <is>
          <t>AUTO_GENERERAD. Verifiera citat mot kallfil.</t>
        </is>
      </c>
      <c r="AH124" t="inlineStr">
        <is>
          <t>LOW</t>
        </is>
      </c>
      <c r="AI124" t="inlineStr">
        <is>
          <t>AUTO</t>
        </is>
      </c>
      <c r="AJ124" t="inlineStr">
        <is>
          <t>Nej</t>
        </is>
      </c>
      <c r="AK124" t="inlineStr"/>
      <c r="AL124" t="inlineStr"/>
      <c r="AM124" t="inlineStr"/>
      <c r="AN124" t="inlineStr"/>
      <c r="AO124" t="inlineStr">
        <is>
          <t>cmm4yumu4002ncuqwsv6yg2uz</t>
        </is>
      </c>
      <c r="AP124" t="inlineStr">
        <is>
          <t>http://localhost:8787/api/admin/requirements/documents/cmm4yumu4002ncuqwsv6yg2uz/view</t>
        </is>
      </c>
      <c r="AQ124">
        <f>HYPERLÄNK("http://localhost:8787/api/admin/requirements/documents/cmm4yumu4002ncuqwsv6yg2uz/view";"Öppna PDF")</f>
        <v/>
      </c>
      <c r="AR124">
        <f>HYPERLINK("http://localhost:8787/api/admin/requirements/documents/cmm4yumu4002ncuqwsv6yg2uz/view","Open PDF")</f>
        <v/>
      </c>
      <c r="AS124" t="inlineStr">
        <is>
          <t>cmm55w57p0004cuisfrtpqly8</t>
        </is>
      </c>
      <c r="AT124" t="inlineStr">
        <is>
          <t>cmm4xvu980000cuh4vj0usz09</t>
        </is>
      </c>
      <c r="AU124" t="inlineStr"/>
      <c r="AV124" t="inlineStr">
        <is>
          <t>Kommun</t>
        </is>
      </c>
      <c r="AW124" t="inlineStr"/>
      <c r="AX124" t="inlineStr">
        <is>
          <t>2021-07</t>
        </is>
      </c>
      <c r="AY124" t="inlineStr">
        <is>
          <t>Anmalan</t>
        </is>
      </c>
      <c r="AZ124" t="inlineStr">
        <is>
          <t>2026-01-30</t>
        </is>
      </c>
      <c r="BA124" t="inlineStr">
        <is>
          <t>Miljö-2024-62-1_Bilaga 2. Fullständiga analysprotokoll.pdf</t>
        </is>
      </c>
      <c r="BB124" t="inlineStr">
        <is>
          <t>Sv:  Begäran om utlämnande av allmän handling – Anmälningar och beslut rörande mellanlagring av avfall samt anläggning av ytor</t>
        </is>
      </c>
      <c r="BC124" t="inlineStr">
        <is>
          <t>AUTO</t>
        </is>
      </c>
      <c r="BD124" t="inlineStr"/>
      <c r="BE124" t="inlineStr"/>
      <c r="BF124" t="inlineStr">
        <is>
          <t>AUTO_GENERERAD. Bekrafta metadata mot kallfil.</t>
        </is>
      </c>
      <c r="BG124">
        <f>HYPERLINK("C:\Users\jimmy\Desktop\Examens arbete\Kod\Ny mapp\remix_-copy-of-miljöbeslut.se-portal\Miljö-2024-62-1_Bilaga 2. Fullständiga analysprotokoll.pdf", "Öppna PDF")</f>
        <v/>
      </c>
    </row>
    <row r="125">
      <c r="A125" t="inlineStr">
        <is>
          <t>KRAV-AUTO-000124</t>
        </is>
      </c>
      <c r="B125" t="inlineStr">
        <is>
          <t>ADMIN-INDEX-2026-02-27-00000000125C043F57453246863FE664CAFE6A3F0700950291EA24F0614FB6ACEDB12BF0E31D00000000010C0000950291EA24F0614FB6ACEDB12BF0E31D00002087B7BA0000</t>
        </is>
      </c>
      <c r="C125" t="inlineStr">
        <is>
          <t>cmm4yumrg000bcuqwghi5yoch</t>
        </is>
      </c>
      <c r="D125" t="inlineStr">
        <is>
          <t>http://localhost:8787/api/admin/requirements/documents/cmm4yumrg000bcuqwghi5yoch/view</t>
        </is>
      </c>
      <c r="E125">
        <f>HYPERLÄNK("http://localhost:8787/api/admin/requirements/documents/cmm4yumrg000bcuqwghi5yoch/view";"Öppna PDF")</f>
        <v/>
      </c>
      <c r="F125">
        <f>HYPERLINK("http://localhost:8787/api/admin/requirements/documents/cmm4yumrg000bcuqwghi5yoch/view","Open PDF")</f>
        <v/>
      </c>
      <c r="G125" t="inlineStr">
        <is>
          <t>cmm55w57p0004cuisfrtpqly8</t>
        </is>
      </c>
      <c r="H125" t="inlineStr">
        <is>
          <t>Informationskrav</t>
        </is>
      </c>
      <c r="I125" t="inlineStr">
        <is>
          <t>Riskhantering</t>
        </is>
      </c>
      <c r="J125" t="inlineStr">
        <is>
          <t>Riskkontroll</t>
        </is>
      </c>
      <c r="K125" t="inlineStr">
        <is>
          <t>2010 2012 PAH-förorenat delområde PAH-förorenat delområde -- 2 of 4 -- Utdrag ur historiska flygbilder från år 2014 (nedan till vänster) och år 2016 (nedan till höger) ©Lantmäteriet.</t>
        </is>
      </c>
      <c r="L125" t="inlineStr">
        <is>
          <t>2010 2012 PAH-förorenat delområde PAH-förorenat delområde -- 2 of 4 -- Utdrag ur historiska flygbilder från år 2014 (nedan till vänster) och år 2016 (nedan till höger) ©Lantmäteriet.</t>
        </is>
      </c>
      <c r="M125" t="inlineStr">
        <is>
          <t>SKA</t>
        </is>
      </c>
      <c r="N125" t="inlineStr"/>
      <c r="O125" t="inlineStr"/>
      <c r="P125" t="inlineStr"/>
      <c r="Q125" t="inlineStr"/>
      <c r="R125" t="inlineStr">
        <is>
          <t>Vid risk for incident</t>
        </is>
      </c>
      <c r="S125" t="inlineStr"/>
      <c r="T125" t="inlineStr"/>
      <c r="U125" t="inlineStr"/>
      <c r="V125" t="inlineStr"/>
      <c r="W125" t="inlineStr">
        <is>
          <t>Nej</t>
        </is>
      </c>
      <c r="X125" t="inlineStr">
        <is>
          <t>Nej</t>
        </is>
      </c>
      <c r="Y125" t="inlineStr">
        <is>
          <t>Ja</t>
        </is>
      </c>
      <c r="Z125" t="inlineStr">
        <is>
          <t>Ja</t>
        </is>
      </c>
      <c r="AA125" t="n">
        <v>8</v>
      </c>
      <c r="AB125" t="inlineStr">
        <is>
          <t>Riskhantering</t>
        </is>
      </c>
      <c r="AC125" t="inlineStr">
        <is>
          <t>Risk-PM</t>
        </is>
      </c>
      <c r="AD125" t="inlineStr">
        <is>
          <t>Nej</t>
        </is>
      </c>
      <c r="AE125" t="inlineStr">
        <is>
          <t>Nej</t>
        </is>
      </c>
      <c r="AF125" t="inlineStr">
        <is>
          <t>Ej behandlad</t>
        </is>
      </c>
      <c r="AG125" t="inlineStr">
        <is>
          <t>AUTO_GENERERAD. Verifiera citat mot kallfil.</t>
        </is>
      </c>
      <c r="AH125" t="inlineStr">
        <is>
          <t>LOW</t>
        </is>
      </c>
      <c r="AI125" t="inlineStr">
        <is>
          <t>AUTO</t>
        </is>
      </c>
      <c r="AJ125" t="inlineStr">
        <is>
          <t>Nej</t>
        </is>
      </c>
      <c r="AK125" t="inlineStr"/>
      <c r="AL125" t="inlineStr"/>
      <c r="AM125" t="inlineStr"/>
      <c r="AN125" t="inlineStr"/>
      <c r="AO125" t="inlineStr">
        <is>
          <t>cmm4yumu4002ncuqwsv6yg2uz</t>
        </is>
      </c>
      <c r="AP125" t="inlineStr">
        <is>
          <t>http://localhost:8787/api/admin/requirements/documents/cmm4yumu4002ncuqwsv6yg2uz/view</t>
        </is>
      </c>
      <c r="AQ125">
        <f>HYPERLÄNK("http://localhost:8787/api/admin/requirements/documents/cmm4yumu4002ncuqwsv6yg2uz/view";"Öppna PDF")</f>
        <v/>
      </c>
      <c r="AR125">
        <f>HYPERLINK("http://localhost:8787/api/admin/requirements/documents/cmm4yumu4002ncuqwsv6yg2uz/view","Open PDF")</f>
        <v/>
      </c>
      <c r="AS125" t="inlineStr">
        <is>
          <t>cmm55w57p0004cuisfrtpqly8</t>
        </is>
      </c>
      <c r="AT125" t="inlineStr">
        <is>
          <t>cmm4xvu980000cuh4vj0usz09</t>
        </is>
      </c>
      <c r="AU125" t="inlineStr"/>
      <c r="AV125" t="inlineStr">
        <is>
          <t>Kommun</t>
        </is>
      </c>
      <c r="AW125" t="inlineStr"/>
      <c r="AX125" t="inlineStr">
        <is>
          <t>2021-07</t>
        </is>
      </c>
      <c r="AY125" t="inlineStr">
        <is>
          <t>Anmalan</t>
        </is>
      </c>
      <c r="AZ125" t="inlineStr">
        <is>
          <t>2026-01-30</t>
        </is>
      </c>
      <c r="BA125" t="inlineStr">
        <is>
          <t>Miljö-2024-62-1_Bilaga 2. Fullständiga analysprotokoll.pdf</t>
        </is>
      </c>
      <c r="BB125" t="inlineStr">
        <is>
          <t>Sv:  Begäran om utlämnande av allmän handling – Anmälningar och beslut rörande mellanlagring av avfall samt anläggning av ytor</t>
        </is>
      </c>
      <c r="BC125" t="inlineStr">
        <is>
          <t>AUTO</t>
        </is>
      </c>
      <c r="BD125" t="inlineStr"/>
      <c r="BE125" t="inlineStr"/>
      <c r="BF125" t="inlineStr">
        <is>
          <t>AUTO_GENERERAD. Bekrafta metadata mot kallfil.</t>
        </is>
      </c>
      <c r="BG125">
        <f>HYPERLINK("C:\Users\jimmy\Desktop\Examens arbete\Kod\Ny mapp\remix_-copy-of-miljöbeslut.se-portal\Miljö-2024-62-1_Bilaga 2. Fullständiga analysprotokoll.pdf", "Öppna PDF")</f>
        <v/>
      </c>
    </row>
    <row r="126">
      <c r="A126" t="inlineStr">
        <is>
          <t>KRAV-AUTO-000125</t>
        </is>
      </c>
      <c r="B126" t="inlineStr">
        <is>
          <t>ADMIN-INDEX-2026-02-27-00000000125C043F57453246863FE664CAFE6A3F0700950291EA24F0614FB6ACEDB12BF0E31D00000000010C0000950291EA24F0614FB6ACEDB12BF0E31D00002087AE560000</t>
        </is>
      </c>
      <c r="C126" t="inlineStr">
        <is>
          <t>cmm4yupsi02xhcuqwgbgcjc0r</t>
        </is>
      </c>
      <c r="D126" t="inlineStr">
        <is>
          <t>http://localhost:8787/api/admin/requirements/documents/cmm4yupsi02xhcuqwgbgcjc0r/view</t>
        </is>
      </c>
      <c r="E126">
        <f>HYPERLÄNK("http://localhost:8787/api/admin/requirements/documents/cmm4yupsi02xhcuqwgbgcjc0r/view";"Öppna PDF")</f>
        <v/>
      </c>
      <c r="F126">
        <f>HYPERLINK("http://localhost:8787/api/admin/requirements/documents/cmm4yupsi02xhcuqwgbgcjc0r/view","Open PDF")</f>
        <v/>
      </c>
      <c r="G126" t="inlineStr">
        <is>
          <t>cmm55w57p0004cuisfrtpqly8</t>
        </is>
      </c>
      <c r="H126" t="inlineStr">
        <is>
          <t>Beslutsvillkor</t>
        </is>
      </c>
      <c r="I126" t="inlineStr">
        <is>
          <t>Riskhantering</t>
        </is>
      </c>
      <c r="J126" t="inlineStr">
        <is>
          <t>Riskkontroll</t>
        </is>
      </c>
      <c r="K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26" t="inlineStr">
        <is>
          <t>SKA</t>
        </is>
      </c>
      <c r="N126" t="inlineStr"/>
      <c r="O126" t="inlineStr"/>
      <c r="P126" t="inlineStr">
        <is>
          <t>Manadskontroll</t>
        </is>
      </c>
      <c r="Q126" t="inlineStr"/>
      <c r="R126" t="inlineStr">
        <is>
          <t>Vid risk for incident</t>
        </is>
      </c>
      <c r="S126" t="inlineStr"/>
      <c r="T126" t="inlineStr"/>
      <c r="U126" t="inlineStr"/>
      <c r="V126" t="inlineStr">
        <is>
          <t>12 manader</t>
        </is>
      </c>
      <c r="W126" t="inlineStr">
        <is>
          <t>Nej</t>
        </is>
      </c>
      <c r="X126" t="inlineStr">
        <is>
          <t>Nej</t>
        </is>
      </c>
      <c r="Y126" t="inlineStr">
        <is>
          <t>Ja</t>
        </is>
      </c>
      <c r="Z126" t="inlineStr">
        <is>
          <t>Ja</t>
        </is>
      </c>
      <c r="AA126" t="n">
        <v>8</v>
      </c>
      <c r="AB126" t="inlineStr">
        <is>
          <t>Riskhantering</t>
        </is>
      </c>
      <c r="AC126" t="inlineStr">
        <is>
          <t>Risk-PM</t>
        </is>
      </c>
      <c r="AD126" t="inlineStr">
        <is>
          <t>Nej</t>
        </is>
      </c>
      <c r="AE126" t="inlineStr">
        <is>
          <t>Nej</t>
        </is>
      </c>
      <c r="AF126" t="inlineStr">
        <is>
          <t>Ej behandlad</t>
        </is>
      </c>
      <c r="AG126" t="inlineStr">
        <is>
          <t>AUTO_GENERERAD. Verifiera citat mot kallfil.</t>
        </is>
      </c>
      <c r="AH126" t="inlineStr">
        <is>
          <t>MEDIUM</t>
        </is>
      </c>
      <c r="AI126" t="inlineStr">
        <is>
          <t>AUTO</t>
        </is>
      </c>
      <c r="AJ126" t="inlineStr">
        <is>
          <t>Nej</t>
        </is>
      </c>
      <c r="AK126" t="inlineStr"/>
      <c r="AL126" t="inlineStr"/>
      <c r="AM126" t="inlineStr"/>
      <c r="AN126" t="inlineStr"/>
      <c r="AO126" t="inlineStr">
        <is>
          <t>cmm4yupsi02xhcuqwgbgcjc0r</t>
        </is>
      </c>
      <c r="AP126" t="inlineStr">
        <is>
          <t>http://localhost:8787/api/admin/requirements/documents/cmm4yupsi02xhcuqwgbgcjc0r/view</t>
        </is>
      </c>
      <c r="AQ126">
        <f>HYPERLÄNK("http://localhost:8787/api/admin/requirements/documents/cmm4yupsi02xhcuqwgbgcjc0r/view";"Öppna PDF")</f>
        <v/>
      </c>
      <c r="AR126">
        <f>HYPERLINK("http://localhost:8787/api/admin/requirements/documents/cmm4yupsi02xhcuqwgbgcjc0r/view","Open PDF")</f>
        <v/>
      </c>
      <c r="AS126" t="inlineStr">
        <is>
          <t>cmm55w57p0004cuisfrtpqly8</t>
        </is>
      </c>
      <c r="AT126" t="inlineStr">
        <is>
          <t>cmm4xvu980000cuh4vj0usz09</t>
        </is>
      </c>
      <c r="AU126" t="inlineStr"/>
      <c r="AV126" t="inlineStr">
        <is>
          <t>Kommun</t>
        </is>
      </c>
      <c r="AW126" t="inlineStr"/>
      <c r="AX126" t="inlineStr">
        <is>
          <t>2024-576</t>
        </is>
      </c>
      <c r="AY126" t="inlineStr">
        <is>
          <t>Beslut</t>
        </is>
      </c>
      <c r="AZ126" t="inlineStr">
        <is>
          <t>2026-02-04</t>
        </is>
      </c>
      <c r="BA126" t="inlineStr">
        <is>
          <t>Säkerhetsdatablad Nordic Shampoo.pdf</t>
        </is>
      </c>
      <c r="BB126" t="inlineStr">
        <is>
          <t>2024-576</t>
        </is>
      </c>
      <c r="BC126" t="inlineStr">
        <is>
          <t>AUTO</t>
        </is>
      </c>
      <c r="BD126" t="inlineStr"/>
      <c r="BE126" t="inlineStr"/>
      <c r="BF126" t="inlineStr">
        <is>
          <t>AUTO_GENERERAD. Bekrafta metadata mot kallfil.</t>
        </is>
      </c>
      <c r="BG126">
        <f>HYPERLINK("C:\Users\jimmy\Desktop\Examens arbete\Kod\Ny mapp\remix_-copy-of-miljöbeslut.se-portal\Säkerhetsdatablad Nordic Shampoo.pdf", "Öppna PDF")</f>
        <v/>
      </c>
    </row>
    <row r="127">
      <c r="A127" t="inlineStr">
        <is>
          <t>KRAV-AUTO-000126</t>
        </is>
      </c>
      <c r="B127" t="inlineStr">
        <is>
          <t>ADMIN-INDEX-2026-02-27-00000000125C043F57453246863FE664CAFE6A3F0700950291EA24F0614FB6ACEDB12BF0E31D00000000010C0000950291EA24F0614FB6ACEDB12BF0E31D00002087AE560000</t>
        </is>
      </c>
      <c r="C127" t="inlineStr">
        <is>
          <t>cmm4yupsi02xhcuqwgbgcjc0r</t>
        </is>
      </c>
      <c r="D127" t="inlineStr">
        <is>
          <t>http://localhost:8787/api/admin/requirements/documents/cmm4yupsi02xhcuqwgbgcjc0r/view</t>
        </is>
      </c>
      <c r="E127">
        <f>HYPERLÄNK("http://localhost:8787/api/admin/requirements/documents/cmm4yupsi02xhcuqwgbgcjc0r/view";"Öppna PDF")</f>
        <v/>
      </c>
      <c r="F127">
        <f>HYPERLINK("http://localhost:8787/api/admin/requirements/documents/cmm4yupsi02xhcuqwgbgcjc0r/view","Open PDF")</f>
        <v/>
      </c>
      <c r="G127" t="inlineStr">
        <is>
          <t>cmm55w57p0004cuisfrtpqly8</t>
        </is>
      </c>
      <c r="H127" t="inlineStr">
        <is>
          <t>Beslutsvillkor</t>
        </is>
      </c>
      <c r="I127" t="inlineStr">
        <is>
          <t>Riskhantering</t>
        </is>
      </c>
      <c r="J127" t="inlineStr">
        <is>
          <t>Riskkontroll</t>
        </is>
      </c>
      <c r="K127" t="inlineStr">
        <is>
          <t>AFS 2014:43 Kemiska arbetsmiljörisker.</t>
        </is>
      </c>
      <c r="L127" t="inlineStr">
        <is>
          <t>AFS 2014:43 Kemiska arbetsmiljörisker.</t>
        </is>
      </c>
      <c r="M127" t="inlineStr">
        <is>
          <t>SKA</t>
        </is>
      </c>
      <c r="N127" t="inlineStr"/>
      <c r="O127" t="inlineStr"/>
      <c r="P127" t="inlineStr"/>
      <c r="Q127" t="inlineStr"/>
      <c r="R127" t="inlineStr">
        <is>
          <t>Vid risk for incident</t>
        </is>
      </c>
      <c r="S127" t="inlineStr"/>
      <c r="T127" t="inlineStr"/>
      <c r="U127" t="inlineStr"/>
      <c r="V127" t="inlineStr"/>
      <c r="W127" t="inlineStr">
        <is>
          <t>Nej</t>
        </is>
      </c>
      <c r="X127" t="inlineStr">
        <is>
          <t>Nej</t>
        </is>
      </c>
      <c r="Y127" t="inlineStr">
        <is>
          <t>Ja</t>
        </is>
      </c>
      <c r="Z127" t="inlineStr">
        <is>
          <t>Ja</t>
        </is>
      </c>
      <c r="AA127" t="n">
        <v>8</v>
      </c>
      <c r="AB127" t="inlineStr">
        <is>
          <t>Riskhantering</t>
        </is>
      </c>
      <c r="AC127" t="inlineStr">
        <is>
          <t>Risk-PM</t>
        </is>
      </c>
      <c r="AD127" t="inlineStr">
        <is>
          <t>Nej</t>
        </is>
      </c>
      <c r="AE127" t="inlineStr">
        <is>
          <t>Nej</t>
        </is>
      </c>
      <c r="AF127" t="inlineStr">
        <is>
          <t>Ej behandlad</t>
        </is>
      </c>
      <c r="AG127" t="inlineStr">
        <is>
          <t>AUTO_GENERERAD. Verifiera citat mot kallfil.</t>
        </is>
      </c>
      <c r="AH127" t="inlineStr">
        <is>
          <t>LOW</t>
        </is>
      </c>
      <c r="AI127" t="inlineStr">
        <is>
          <t>AUTO</t>
        </is>
      </c>
      <c r="AJ127" t="inlineStr">
        <is>
          <t>Nej</t>
        </is>
      </c>
      <c r="AK127" t="inlineStr"/>
      <c r="AL127" t="inlineStr"/>
      <c r="AM127" t="inlineStr"/>
      <c r="AN127" t="inlineStr"/>
      <c r="AO127" t="inlineStr">
        <is>
          <t>cmm4yupsi02xhcuqwgbgcjc0r</t>
        </is>
      </c>
      <c r="AP127" t="inlineStr">
        <is>
          <t>http://localhost:8787/api/admin/requirements/documents/cmm4yupsi02xhcuqwgbgcjc0r/view</t>
        </is>
      </c>
      <c r="AQ127">
        <f>HYPERLÄNK("http://localhost:8787/api/admin/requirements/documents/cmm4yupsi02xhcuqwgbgcjc0r/view";"Öppna PDF")</f>
        <v/>
      </c>
      <c r="AR127">
        <f>HYPERLINK("http://localhost:8787/api/admin/requirements/documents/cmm4yupsi02xhcuqwgbgcjc0r/view","Open PDF")</f>
        <v/>
      </c>
      <c r="AS127" t="inlineStr">
        <is>
          <t>cmm55w57p0004cuisfrtpqly8</t>
        </is>
      </c>
      <c r="AT127" t="inlineStr">
        <is>
          <t>cmm4xvu980000cuh4vj0usz09</t>
        </is>
      </c>
      <c r="AU127" t="inlineStr"/>
      <c r="AV127" t="inlineStr">
        <is>
          <t>Kommun</t>
        </is>
      </c>
      <c r="AW127" t="inlineStr"/>
      <c r="AX127" t="inlineStr">
        <is>
          <t>2024-576</t>
        </is>
      </c>
      <c r="AY127" t="inlineStr">
        <is>
          <t>Beslut</t>
        </is>
      </c>
      <c r="AZ127" t="inlineStr">
        <is>
          <t>2026-02-04</t>
        </is>
      </c>
      <c r="BA127" t="inlineStr">
        <is>
          <t>Säkerhetsdatablad Nordic Shampoo.pdf</t>
        </is>
      </c>
      <c r="BB127" t="inlineStr">
        <is>
          <t>2024-576</t>
        </is>
      </c>
      <c r="BC127" t="inlineStr">
        <is>
          <t>AUTO</t>
        </is>
      </c>
      <c r="BD127" t="inlineStr"/>
      <c r="BE127" t="inlineStr"/>
      <c r="BF127" t="inlineStr">
        <is>
          <t>AUTO_GENERERAD. Bekrafta metadata mot kallfil.</t>
        </is>
      </c>
      <c r="BG127">
        <f>HYPERLINK("C:\Users\jimmy\Desktop\Examens arbete\Kod\Ny mapp\remix_-copy-of-miljöbeslut.se-portal\Säkerhetsdatablad Nordic Shampoo.pdf", "Öppna PDF")</f>
        <v/>
      </c>
    </row>
    <row r="128">
      <c r="A128" t="inlineStr">
        <is>
          <t>KRAV-AUTO-000127</t>
        </is>
      </c>
      <c r="B128" t="inlineStr">
        <is>
          <t>ADMIN-INDEX-2026-02-27-00000000125C043F57453246863FE664CAFE6A3F0700950291EA24F0614FB6ACEDB12BF0E31D00000000010C0000950291EA24F0614FB6ACEDB12BF0E31D00002087AE560000</t>
        </is>
      </c>
      <c r="C128" t="inlineStr">
        <is>
          <t>cmm4yupsi02xhcuqwgbgcjc0r</t>
        </is>
      </c>
      <c r="D128" t="inlineStr">
        <is>
          <t>http://localhost:8787/api/admin/requirements/documents/cmm4yupsi02xhcuqwgbgcjc0r/view</t>
        </is>
      </c>
      <c r="E128">
        <f>HYPERLÄNK("http://localhost:8787/api/admin/requirements/documents/cmm4yupsi02xhcuqwgbgcjc0r/view";"Öppna PDF")</f>
        <v/>
      </c>
      <c r="F128">
        <f>HYPERLINK("http://localhost:8787/api/admin/requirements/documents/cmm4yupsi02xhcuqwgbgcjc0r/view","Open PDF")</f>
        <v/>
      </c>
      <c r="G128" t="inlineStr">
        <is>
          <t>cmm55w57p0004cuisfrtpqly8</t>
        </is>
      </c>
      <c r="H128" t="inlineStr">
        <is>
          <t>Beslutsvillkor</t>
        </is>
      </c>
      <c r="I128" t="inlineStr">
        <is>
          <t>Riskhantering</t>
        </is>
      </c>
      <c r="J128" t="inlineStr">
        <is>
          <t>Riskkontroll</t>
        </is>
      </c>
      <c r="K128" t="inlineStr">
        <is>
          <t>Andra lagar: AFS 2011:19 Kemiska arbetsmiljörisker.</t>
        </is>
      </c>
      <c r="L128" t="inlineStr">
        <is>
          <t>Andra lagar: AFS 2011:19 Kemiska arbetsmiljörisker.</t>
        </is>
      </c>
      <c r="M128" t="inlineStr">
        <is>
          <t>SKA</t>
        </is>
      </c>
      <c r="N128" t="inlineStr"/>
      <c r="O128" t="inlineStr"/>
      <c r="P128" t="inlineStr"/>
      <c r="Q128" t="inlineStr"/>
      <c r="R128" t="inlineStr">
        <is>
          <t>Vid risk for incident</t>
        </is>
      </c>
      <c r="S128" t="inlineStr"/>
      <c r="T128" t="inlineStr"/>
      <c r="U128" t="inlineStr"/>
      <c r="V128" t="inlineStr"/>
      <c r="W128" t="inlineStr">
        <is>
          <t>Nej</t>
        </is>
      </c>
      <c r="X128" t="inlineStr">
        <is>
          <t>Nej</t>
        </is>
      </c>
      <c r="Y128" t="inlineStr">
        <is>
          <t>Ja</t>
        </is>
      </c>
      <c r="Z128" t="inlineStr">
        <is>
          <t>Ja</t>
        </is>
      </c>
      <c r="AA128" t="n">
        <v>8</v>
      </c>
      <c r="AB128" t="inlineStr">
        <is>
          <t>Riskhantering</t>
        </is>
      </c>
      <c r="AC128" t="inlineStr">
        <is>
          <t>Risk-PM</t>
        </is>
      </c>
      <c r="AD128" t="inlineStr">
        <is>
          <t>Nej</t>
        </is>
      </c>
      <c r="AE128" t="inlineStr">
        <is>
          <t>Nej</t>
        </is>
      </c>
      <c r="AF128" t="inlineStr">
        <is>
          <t>Ej behandlad</t>
        </is>
      </c>
      <c r="AG128" t="inlineStr">
        <is>
          <t>AUTO_GENERERAD. Verifiera citat mot kallfil.</t>
        </is>
      </c>
      <c r="AH128" t="inlineStr">
        <is>
          <t>MEDIUM</t>
        </is>
      </c>
      <c r="AI128" t="inlineStr">
        <is>
          <t>AUTO</t>
        </is>
      </c>
      <c r="AJ128" t="inlineStr">
        <is>
          <t>Nej</t>
        </is>
      </c>
      <c r="AK128" t="inlineStr"/>
      <c r="AL128" t="inlineStr"/>
      <c r="AM128" t="inlineStr"/>
      <c r="AN128" t="inlineStr"/>
      <c r="AO128" t="inlineStr">
        <is>
          <t>cmm4yupsi02xhcuqwgbgcjc0r</t>
        </is>
      </c>
      <c r="AP128" t="inlineStr">
        <is>
          <t>http://localhost:8787/api/admin/requirements/documents/cmm4yupsi02xhcuqwgbgcjc0r/view</t>
        </is>
      </c>
      <c r="AQ128">
        <f>HYPERLÄNK("http://localhost:8787/api/admin/requirements/documents/cmm4yupsi02xhcuqwgbgcjc0r/view";"Öppna PDF")</f>
        <v/>
      </c>
      <c r="AR128">
        <f>HYPERLINK("http://localhost:8787/api/admin/requirements/documents/cmm4yupsi02xhcuqwgbgcjc0r/view","Open PDF")</f>
        <v/>
      </c>
      <c r="AS128" t="inlineStr">
        <is>
          <t>cmm55w57p0004cuisfrtpqly8</t>
        </is>
      </c>
      <c r="AT128" t="inlineStr">
        <is>
          <t>cmm4xvu980000cuh4vj0usz09</t>
        </is>
      </c>
      <c r="AU128" t="inlineStr"/>
      <c r="AV128" t="inlineStr">
        <is>
          <t>Kommun</t>
        </is>
      </c>
      <c r="AW128" t="inlineStr"/>
      <c r="AX128" t="inlineStr">
        <is>
          <t>2024-576</t>
        </is>
      </c>
      <c r="AY128" t="inlineStr">
        <is>
          <t>Beslut</t>
        </is>
      </c>
      <c r="AZ128" t="inlineStr">
        <is>
          <t>2026-02-04</t>
        </is>
      </c>
      <c r="BA128" t="inlineStr">
        <is>
          <t>Säkerhetsdatablad Nordic Shampoo.pdf</t>
        </is>
      </c>
      <c r="BB128" t="inlineStr">
        <is>
          <t>2024-576</t>
        </is>
      </c>
      <c r="BC128" t="inlineStr">
        <is>
          <t>AUTO</t>
        </is>
      </c>
      <c r="BD128" t="inlineStr"/>
      <c r="BE128" t="inlineStr"/>
      <c r="BF128" t="inlineStr">
        <is>
          <t>AUTO_GENERERAD. Bekrafta metadata mot kallfil.</t>
        </is>
      </c>
      <c r="BG128">
        <f>HYPERLINK("C:\Users\jimmy\Desktop\Examens arbete\Kod\Ny mapp\remix_-copy-of-miljöbeslut.se-portal\Säkerhetsdatablad Nordic Shampoo.pdf", "Öppna PDF")</f>
        <v/>
      </c>
    </row>
    <row r="129">
      <c r="A129" t="inlineStr">
        <is>
          <t>KRAV-AUTO-000128</t>
        </is>
      </c>
      <c r="B129" t="inlineStr">
        <is>
          <t>ADMIN-INDEX-2026-02-27-00000000125C043F57453246863FE664CAFE6A3F0700950291EA24F0614FB6ACEDB12BF0E31D00000000010C0000950291EA24F0614FB6ACEDB12BF0E31D00002087AE390000</t>
        </is>
      </c>
      <c r="C129" t="inlineStr">
        <is>
          <t>cmm4yuq2p036zcuqwaceu4qia</t>
        </is>
      </c>
      <c r="D129" t="inlineStr">
        <is>
          <t>http://localhost:8787/api/admin/requirements/documents/cmm4yuq2p036zcuqwaceu4qia/view</t>
        </is>
      </c>
      <c r="E129">
        <f>HYPERLÄNK("http://localhost:8787/api/admin/requirements/documents/cmm4yuq2p036zcuqwaceu4qia/view";"Öppna PDF")</f>
        <v/>
      </c>
      <c r="F129">
        <f>HYPERLINK("http://localhost:8787/api/admin/requirements/documents/cmm4yuq2p036zcuqwaceu4qia/view","Open PDF")</f>
        <v/>
      </c>
      <c r="G129" t="inlineStr">
        <is>
          <t>cmm55w57p0004cuisfrtpqly8</t>
        </is>
      </c>
      <c r="H129" t="inlineStr">
        <is>
          <t>Beslutsvillkor</t>
        </is>
      </c>
      <c r="I129" t="inlineStr">
        <is>
          <t>DriftEgenkontroll</t>
        </is>
      </c>
      <c r="J129" t="inlineStr">
        <is>
          <t>Journalforing</t>
        </is>
      </c>
      <c r="K129" t="inlineStr">
        <is>
          <t>Proverna uttogs i provtagningskärl tillhandahållna av laboratoriet.</t>
        </is>
      </c>
      <c r="L129" t="inlineStr">
        <is>
          <t>Proverna uttogs i provtagningskärl tillhandahållna av laboratoriet.</t>
        </is>
      </c>
      <c r="M129" t="inlineStr">
        <is>
          <t>SKA</t>
        </is>
      </c>
      <c r="N129" t="inlineStr"/>
      <c r="O129" t="inlineStr"/>
      <c r="P129" t="inlineStr"/>
      <c r="Q129" t="inlineStr"/>
      <c r="R129" t="inlineStr">
        <is>
          <t>Lopande drift</t>
        </is>
      </c>
      <c r="S129" t="inlineStr"/>
      <c r="T129" t="inlineStr"/>
      <c r="U129" t="inlineStr"/>
      <c r="V129" t="inlineStr"/>
      <c r="W129" t="inlineStr">
        <is>
          <t>Nej</t>
        </is>
      </c>
      <c r="X129" t="inlineStr">
        <is>
          <t>Nej</t>
        </is>
      </c>
      <c r="Y129" t="inlineStr">
        <is>
          <t>Ja</t>
        </is>
      </c>
      <c r="Z129" t="inlineStr">
        <is>
          <t>Nej</t>
        </is>
      </c>
      <c r="AA129" t="n">
        <v>7</v>
      </c>
      <c r="AB129" t="inlineStr">
        <is>
          <t>Egenkontrollrutiner</t>
        </is>
      </c>
      <c r="AC129" t="inlineStr">
        <is>
          <t>Egenkontrollprogram</t>
        </is>
      </c>
      <c r="AD129" t="inlineStr">
        <is>
          <t>Nej</t>
        </is>
      </c>
      <c r="AE129" t="inlineStr">
        <is>
          <t>Nej</t>
        </is>
      </c>
      <c r="AF129" t="inlineStr">
        <is>
          <t>Ej behandlad</t>
        </is>
      </c>
      <c r="AG129" t="inlineStr">
        <is>
          <t>AUTO_GENERERAD. Verifiera citat mot kallfil.</t>
        </is>
      </c>
      <c r="AH129" t="inlineStr">
        <is>
          <t>MEDIUM</t>
        </is>
      </c>
      <c r="AI129" t="inlineStr">
        <is>
          <t>AUTO</t>
        </is>
      </c>
      <c r="AJ129" t="inlineStr">
        <is>
          <t>Nej</t>
        </is>
      </c>
      <c r="AK129" t="inlineStr"/>
      <c r="AL129" t="inlineStr"/>
      <c r="AM129" t="inlineStr"/>
      <c r="AN129" t="inlineStr"/>
      <c r="AO129" t="inlineStr">
        <is>
          <t>cmm4yuq2p036zcuqwaceu4qia</t>
        </is>
      </c>
      <c r="AP129" t="inlineStr">
        <is>
          <t>http://localhost:8787/api/admin/requirements/documents/cmm4yuq2p036zcuqwaceu4qia/view</t>
        </is>
      </c>
      <c r="AQ129">
        <f>HYPERLÄNK("http://localhost:8787/api/admin/requirements/documents/cmm4yuq2p036zcuqwaceu4qia/view";"Öppna PDF")</f>
        <v/>
      </c>
      <c r="AR129">
        <f>HYPERLINK("http://localhost:8787/api/admin/requirements/documents/cmm4yuq2p036zcuqwaceu4qia/view","Open PDF")</f>
        <v/>
      </c>
      <c r="AS129" t="inlineStr">
        <is>
          <t>cmm55w57p0004cuisfrtpqly8</t>
        </is>
      </c>
      <c r="AT129" t="inlineStr">
        <is>
          <t>cmm4xvu980000cuh4vj0usz09</t>
        </is>
      </c>
      <c r="AU129" t="inlineStr">
        <is>
          <t>Lilla Edets</t>
        </is>
      </c>
      <c r="AV129" t="inlineStr">
        <is>
          <t>Kommun</t>
        </is>
      </c>
      <c r="AW129" t="inlineStr">
        <is>
          <t>Lilla Edets kommun</t>
        </is>
      </c>
      <c r="AX129" t="inlineStr">
        <is>
          <t>2024-06</t>
        </is>
      </c>
      <c r="AY129" t="inlineStr">
        <is>
          <t>Beslut</t>
        </is>
      </c>
      <c r="AZ129" t="inlineStr">
        <is>
          <t>2026-02-04</t>
        </is>
      </c>
      <c r="BA129" t="inlineStr">
        <is>
          <t>MB-2024-625-1 13.3 Miljöteknisk markundersökning.pdf</t>
        </is>
      </c>
      <c r="BB129" t="inlineStr">
        <is>
          <t>VB: till registrator</t>
        </is>
      </c>
      <c r="BC129" t="inlineStr">
        <is>
          <t>AUTO</t>
        </is>
      </c>
      <c r="BD129" t="inlineStr"/>
      <c r="BE129" t="inlineStr"/>
      <c r="BF129" t="inlineStr">
        <is>
          <t>AUTO_GENERERAD. Bekrafta metadata mot kallfil.</t>
        </is>
      </c>
      <c r="BG129">
        <f>HYPERLINK("C:\Users\jimmy\Desktop\Examens arbete\Kod\Ny mapp\remix_-copy-of-miljöbeslut.se-portal\MB-2024-625-1 13.3 Miljöteknisk markundersökning.pdf", "Öppna PDF")</f>
        <v/>
      </c>
    </row>
    <row r="130">
      <c r="A130" t="inlineStr">
        <is>
          <t>KRAV-AUTO-000129</t>
        </is>
      </c>
      <c r="B130" t="inlineStr">
        <is>
          <t>ADMIN-INDEX-2026-02-27-00000000125C043F57453246863FE664CAFE6A3F0700950291EA24F0614FB6ACEDB12BF0E31D00000000010C0000950291EA24F0614FB6ACEDB12BF0E31D00002087AE390000</t>
        </is>
      </c>
      <c r="C130" t="inlineStr">
        <is>
          <t>cmm4yuq2p036zcuqwaceu4qia</t>
        </is>
      </c>
      <c r="D130" t="inlineStr">
        <is>
          <t>http://localhost:8787/api/admin/requirements/documents/cmm4yuq2p036zcuqwaceu4qia/view</t>
        </is>
      </c>
      <c r="E130">
        <f>HYPERLÄNK("http://localhost:8787/api/admin/requirements/documents/cmm4yuq2p036zcuqwaceu4qia/view";"Öppna PDF")</f>
        <v/>
      </c>
      <c r="F130">
        <f>HYPERLINK("http://localhost:8787/api/admin/requirements/documents/cmm4yuq2p036zcuqwaceu4qia/view","Open PDF")</f>
        <v/>
      </c>
      <c r="G130" t="inlineStr">
        <is>
          <t>cmm55w57p0004cuisfrtpqly8</t>
        </is>
      </c>
      <c r="H130" t="inlineStr">
        <is>
          <t>Beslutsvillkor</t>
        </is>
      </c>
      <c r="I130" t="inlineStr">
        <is>
          <t>Riskhantering</t>
        </is>
      </c>
      <c r="J130" t="inlineStr">
        <is>
          <t>Riskkontroll</t>
        </is>
      </c>
      <c r="K130" t="inlineStr">
        <is>
          <t>2.5 Historiska kartor Historisk markanvändning inom det aktuella området har undersökts genom att studera historiska flygfoton från Lantmäteriet1 (Lantmäteriet, 2024).</t>
        </is>
      </c>
      <c r="L130" t="inlineStr">
        <is>
          <t>2.5 Historiska kartor Historisk markanvändning inom det aktuella området har undersökts genom att studera historiska flygfoton från Lantmäteriet1 (Lantmäteriet, 2024).</t>
        </is>
      </c>
      <c r="M130" t="inlineStr">
        <is>
          <t>SKA</t>
        </is>
      </c>
      <c r="N130" t="inlineStr"/>
      <c r="O130" t="inlineStr"/>
      <c r="P130" t="inlineStr"/>
      <c r="Q130" t="inlineStr"/>
      <c r="R130" t="inlineStr">
        <is>
          <t>Vid risk for incident</t>
        </is>
      </c>
      <c r="S130" t="inlineStr"/>
      <c r="T130" t="inlineStr"/>
      <c r="U130" t="inlineStr"/>
      <c r="V130" t="inlineStr"/>
      <c r="W130" t="inlineStr">
        <is>
          <t>Nej</t>
        </is>
      </c>
      <c r="X130" t="inlineStr">
        <is>
          <t>Nej</t>
        </is>
      </c>
      <c r="Y130" t="inlineStr">
        <is>
          <t>Ja</t>
        </is>
      </c>
      <c r="Z130" t="inlineStr">
        <is>
          <t>Ja</t>
        </is>
      </c>
      <c r="AA130" t="n">
        <v>8</v>
      </c>
      <c r="AB130" t="inlineStr">
        <is>
          <t>Riskhantering</t>
        </is>
      </c>
      <c r="AC130" t="inlineStr">
        <is>
          <t>Risk-PM</t>
        </is>
      </c>
      <c r="AD130" t="inlineStr">
        <is>
          <t>Nej</t>
        </is>
      </c>
      <c r="AE130" t="inlineStr">
        <is>
          <t>Nej</t>
        </is>
      </c>
      <c r="AF130" t="inlineStr">
        <is>
          <t>Ej behandlad</t>
        </is>
      </c>
      <c r="AG130" t="inlineStr">
        <is>
          <t>AUTO_GENERERAD. Verifiera citat mot kallfil.</t>
        </is>
      </c>
      <c r="AH130" t="inlineStr">
        <is>
          <t>MEDIUM</t>
        </is>
      </c>
      <c r="AI130" t="inlineStr">
        <is>
          <t>AUTO</t>
        </is>
      </c>
      <c r="AJ130" t="inlineStr">
        <is>
          <t>Nej</t>
        </is>
      </c>
      <c r="AK130" t="inlineStr"/>
      <c r="AL130" t="inlineStr"/>
      <c r="AM130" t="inlineStr"/>
      <c r="AN130" t="inlineStr"/>
      <c r="AO130" t="inlineStr">
        <is>
          <t>cmm4yuq2p036zcuqwaceu4qia</t>
        </is>
      </c>
      <c r="AP130" t="inlineStr">
        <is>
          <t>http://localhost:8787/api/admin/requirements/documents/cmm4yuq2p036zcuqwaceu4qia/view</t>
        </is>
      </c>
      <c r="AQ130">
        <f>HYPERLÄNK("http://localhost:8787/api/admin/requirements/documents/cmm4yuq2p036zcuqwaceu4qia/view";"Öppna PDF")</f>
        <v/>
      </c>
      <c r="AR130">
        <f>HYPERLINK("http://localhost:8787/api/admin/requirements/documents/cmm4yuq2p036zcuqwaceu4qia/view","Open PDF")</f>
        <v/>
      </c>
      <c r="AS130" t="inlineStr">
        <is>
          <t>cmm55w57p0004cuisfrtpqly8</t>
        </is>
      </c>
      <c r="AT130" t="inlineStr">
        <is>
          <t>cmm4xvu980000cuh4vj0usz09</t>
        </is>
      </c>
      <c r="AU130" t="inlineStr">
        <is>
          <t>Lilla Edets</t>
        </is>
      </c>
      <c r="AV130" t="inlineStr">
        <is>
          <t>Kommun</t>
        </is>
      </c>
      <c r="AW130" t="inlineStr">
        <is>
          <t>Lilla Edets kommun</t>
        </is>
      </c>
      <c r="AX130" t="inlineStr">
        <is>
          <t>2024-06</t>
        </is>
      </c>
      <c r="AY130" t="inlineStr">
        <is>
          <t>Beslut</t>
        </is>
      </c>
      <c r="AZ130" t="inlineStr">
        <is>
          <t>2026-02-04</t>
        </is>
      </c>
      <c r="BA130" t="inlineStr">
        <is>
          <t>MB-2024-625-1 13.3 Miljöteknisk markundersökning.pdf</t>
        </is>
      </c>
      <c r="BB130" t="inlineStr">
        <is>
          <t>VB: till registrator</t>
        </is>
      </c>
      <c r="BC130" t="inlineStr">
        <is>
          <t>AUTO</t>
        </is>
      </c>
      <c r="BD130" t="inlineStr"/>
      <c r="BE130" t="inlineStr"/>
      <c r="BF130" t="inlineStr">
        <is>
          <t>AUTO_GENERERAD. Bekrafta metadata mot kallfil.</t>
        </is>
      </c>
      <c r="BG130">
        <f>HYPERLINK("C:\Users\jimmy\Desktop\Examens arbete\Kod\Ny mapp\remix_-copy-of-miljöbeslut.se-portal\MB-2024-625-1 13.3 Miljöteknisk markundersökning.pdf", "Öppna PDF")</f>
        <v/>
      </c>
    </row>
    <row r="131">
      <c r="A131" t="inlineStr">
        <is>
          <t>KRAV-AUTO-000130</t>
        </is>
      </c>
      <c r="B131" t="inlineStr">
        <is>
          <t>ADMIN-INDEX-2026-02-27-00000000125C043F57453246863FE664CAFE6A3F0700950291EA24F0614FB6ACEDB12BF0E31D00000000010C0000950291EA24F0614FB6ACEDB12BF0E31D00002087AE390000</t>
        </is>
      </c>
      <c r="C131" t="inlineStr">
        <is>
          <t>cmm4yuq2p036zcuqwaceu4qia</t>
        </is>
      </c>
      <c r="D131" t="inlineStr">
        <is>
          <t>http://localhost:8787/api/admin/requirements/documents/cmm4yuq2p036zcuqwaceu4qia/view</t>
        </is>
      </c>
      <c r="E131">
        <f>HYPERLÄNK("http://localhost:8787/api/admin/requirements/documents/cmm4yuq2p036zcuqwaceu4qia/view";"Öppna PDF")</f>
        <v/>
      </c>
      <c r="F131">
        <f>HYPERLINK("http://localhost:8787/api/admin/requirements/documents/cmm4yuq2p036zcuqwaceu4qia/view","Open PDF")</f>
        <v/>
      </c>
      <c r="G131" t="inlineStr">
        <is>
          <t>cmm55w57p0004cuisfrtpqly8</t>
        </is>
      </c>
      <c r="H131" t="inlineStr">
        <is>
          <t>Beslutsvillkor</t>
        </is>
      </c>
      <c r="I131" t="inlineStr">
        <is>
          <t>Riskhantering</t>
        </is>
      </c>
      <c r="J131" t="inlineStr">
        <is>
          <t>Riskkontroll</t>
        </is>
      </c>
      <c r="K131" t="inlineStr">
        <is>
          <t>8 2.5 Historiska kartor ..................................................................................................................</t>
        </is>
      </c>
      <c r="L131" t="inlineStr">
        <is>
          <t>8 2.5 Historiska kartor ..................................................................................................................</t>
        </is>
      </c>
      <c r="M131" t="inlineStr">
        <is>
          <t>SKA</t>
        </is>
      </c>
      <c r="N131" t="inlineStr"/>
      <c r="O131" t="inlineStr"/>
      <c r="P131" t="inlineStr"/>
      <c r="Q131" t="inlineStr"/>
      <c r="R131" t="inlineStr">
        <is>
          <t>Vid risk for incident</t>
        </is>
      </c>
      <c r="S131" t="inlineStr"/>
      <c r="T131" t="inlineStr"/>
      <c r="U131" t="inlineStr"/>
      <c r="V131" t="inlineStr"/>
      <c r="W131" t="inlineStr">
        <is>
          <t>Nej</t>
        </is>
      </c>
      <c r="X131" t="inlineStr">
        <is>
          <t>Nej</t>
        </is>
      </c>
      <c r="Y131" t="inlineStr">
        <is>
          <t>Ja</t>
        </is>
      </c>
      <c r="Z131" t="inlineStr">
        <is>
          <t>Ja</t>
        </is>
      </c>
      <c r="AA131" t="n">
        <v>8</v>
      </c>
      <c r="AB131" t="inlineStr">
        <is>
          <t>Riskhantering</t>
        </is>
      </c>
      <c r="AC131" t="inlineStr">
        <is>
          <t>Risk-PM</t>
        </is>
      </c>
      <c r="AD131" t="inlineStr">
        <is>
          <t>Nej</t>
        </is>
      </c>
      <c r="AE131" t="inlineStr">
        <is>
          <t>Nej</t>
        </is>
      </c>
      <c r="AF131" t="inlineStr">
        <is>
          <t>Ej behandlad</t>
        </is>
      </c>
      <c r="AG131" t="inlineStr">
        <is>
          <t>AUTO_GENERERAD. Verifiera citat mot kallfil.</t>
        </is>
      </c>
      <c r="AH131" t="inlineStr">
        <is>
          <t>MEDIUM</t>
        </is>
      </c>
      <c r="AI131" t="inlineStr">
        <is>
          <t>AUTO</t>
        </is>
      </c>
      <c r="AJ131" t="inlineStr">
        <is>
          <t>Nej</t>
        </is>
      </c>
      <c r="AK131" t="inlineStr"/>
      <c r="AL131" t="inlineStr"/>
      <c r="AM131" t="inlineStr"/>
      <c r="AN131" t="inlineStr"/>
      <c r="AO131" t="inlineStr">
        <is>
          <t>cmm4yuq2p036zcuqwaceu4qia</t>
        </is>
      </c>
      <c r="AP131" t="inlineStr">
        <is>
          <t>http://localhost:8787/api/admin/requirements/documents/cmm4yuq2p036zcuqwaceu4qia/view</t>
        </is>
      </c>
      <c r="AQ131">
        <f>HYPERLÄNK("http://localhost:8787/api/admin/requirements/documents/cmm4yuq2p036zcuqwaceu4qia/view";"Öppna PDF")</f>
        <v/>
      </c>
      <c r="AR131">
        <f>HYPERLINK("http://localhost:8787/api/admin/requirements/documents/cmm4yuq2p036zcuqwaceu4qia/view","Open PDF")</f>
        <v/>
      </c>
      <c r="AS131" t="inlineStr">
        <is>
          <t>cmm55w57p0004cuisfrtpqly8</t>
        </is>
      </c>
      <c r="AT131" t="inlineStr">
        <is>
          <t>cmm4xvu980000cuh4vj0usz09</t>
        </is>
      </c>
      <c r="AU131" t="inlineStr">
        <is>
          <t>Lilla Edets</t>
        </is>
      </c>
      <c r="AV131" t="inlineStr">
        <is>
          <t>Kommun</t>
        </is>
      </c>
      <c r="AW131" t="inlineStr">
        <is>
          <t>Lilla Edets kommun</t>
        </is>
      </c>
      <c r="AX131" t="inlineStr">
        <is>
          <t>2024-06</t>
        </is>
      </c>
      <c r="AY131" t="inlineStr">
        <is>
          <t>Beslut</t>
        </is>
      </c>
      <c r="AZ131" t="inlineStr">
        <is>
          <t>2026-02-04</t>
        </is>
      </c>
      <c r="BA131" t="inlineStr">
        <is>
          <t>MB-2024-625-1 13.3 Miljöteknisk markundersökning.pdf</t>
        </is>
      </c>
      <c r="BB131" t="inlineStr">
        <is>
          <t>VB: till registrator</t>
        </is>
      </c>
      <c r="BC131" t="inlineStr">
        <is>
          <t>AUTO</t>
        </is>
      </c>
      <c r="BD131" t="inlineStr"/>
      <c r="BE131" t="inlineStr"/>
      <c r="BF131" t="inlineStr">
        <is>
          <t>AUTO_GENERERAD. Bekrafta metadata mot kallfil.</t>
        </is>
      </c>
      <c r="BG131">
        <f>HYPERLINK("C:\Users\jimmy\Desktop\Examens arbete\Kod\Ny mapp\remix_-copy-of-miljöbeslut.se-portal\MB-2024-625-1 13.3 Miljöteknisk markundersökning.pdf", "Öppna PDF")</f>
        <v/>
      </c>
    </row>
    <row r="132">
      <c r="A132" t="inlineStr">
        <is>
          <t>KRAV-AUTO-000131</t>
        </is>
      </c>
      <c r="B132" t="inlineStr">
        <is>
          <t>ADMIN-INDEX-2026-02-27-00000000125C043F57453246863FE664CAFE6A3F0700950291EA24F0614FB6ACEDB12BF0E31D00000000010C0000950291EA24F0614FB6ACEDB12BF0E31D00002087AE050000</t>
        </is>
      </c>
      <c r="C132" t="inlineStr">
        <is>
          <t>cmm4yuqbf03fecuqw8hit9x13</t>
        </is>
      </c>
      <c r="D132" t="inlineStr">
        <is>
          <t>http://localhost:8787/api/admin/requirements/documents/cmm4yuqbf03fecuqw8hit9x13/view</t>
        </is>
      </c>
      <c r="E132">
        <f>HYPERLÄNK("http://localhost:8787/api/admin/requirements/documents/cmm4yuqbf03fecuqw8hit9x13/view";"Öppna PDF")</f>
        <v/>
      </c>
      <c r="F132">
        <f>HYPERLINK("http://localhost:8787/api/admin/requirements/documents/cmm4yuqbf03fecuqw8hit9x13/view","Open PDF")</f>
        <v/>
      </c>
      <c r="G132" t="inlineStr">
        <is>
          <t>cmm55w57p0004cuisfrtpqly8</t>
        </is>
      </c>
      <c r="H132" t="inlineStr">
        <is>
          <t>Kompletteringskrav</t>
        </is>
      </c>
      <c r="I132" t="inlineStr">
        <is>
          <t>LagringsvolymTid</t>
        </is>
      </c>
      <c r="J132" t="inlineStr">
        <is>
          <t>Maxmangd</t>
        </is>
      </c>
      <c r="K132" t="inlineStr">
        <is>
          <t>Den mängd avfall som återvinns eller bortskaffas årligen iv.</t>
        </is>
      </c>
      <c r="L132" t="inlineStr">
        <is>
          <t>Den mängd avfall som återvinns eller bortskaffas årligen iv.</t>
        </is>
      </c>
      <c r="M132" t="inlineStr">
        <is>
          <t>SKA</t>
        </is>
      </c>
      <c r="N132" t="inlineStr"/>
      <c r="O132" t="inlineStr"/>
      <c r="P132" t="inlineStr">
        <is>
          <t>Arlig</t>
        </is>
      </c>
      <c r="Q132" t="inlineStr"/>
      <c r="R132" t="inlineStr">
        <is>
          <t>Alltid</t>
        </is>
      </c>
      <c r="S132" t="inlineStr"/>
      <c r="T132" t="inlineStr">
        <is>
          <t>556527</t>
        </is>
      </c>
      <c r="U132" t="inlineStr"/>
      <c r="V132" t="inlineStr"/>
      <c r="W132" t="inlineStr">
        <is>
          <t>Nej</t>
        </is>
      </c>
      <c r="X132" t="inlineStr">
        <is>
          <t>Nej</t>
        </is>
      </c>
      <c r="Y132" t="inlineStr">
        <is>
          <t>Nej</t>
        </is>
      </c>
      <c r="Z132" t="inlineStr">
        <is>
          <t>Nej</t>
        </is>
      </c>
      <c r="AA132" t="n">
        <v>4</v>
      </c>
      <c r="AB132" t="inlineStr">
        <is>
          <t>Avfallsmangder och lagringstid</t>
        </is>
      </c>
      <c r="AC132" t="inlineStr">
        <is>
          <t>Avfallsforteckning</t>
        </is>
      </c>
      <c r="AD132" t="inlineStr">
        <is>
          <t>Nej</t>
        </is>
      </c>
      <c r="AE132" t="inlineStr">
        <is>
          <t>Nej</t>
        </is>
      </c>
      <c r="AF132" t="inlineStr">
        <is>
          <t>Ej behandlad</t>
        </is>
      </c>
      <c r="AG132" t="inlineStr">
        <is>
          <t>AUTO_GENERERAD. Verifiera citat mot kallfil.</t>
        </is>
      </c>
      <c r="AH132" t="inlineStr">
        <is>
          <t>MEDIUM</t>
        </is>
      </c>
      <c r="AI132" t="inlineStr">
        <is>
          <t>AUTO</t>
        </is>
      </c>
      <c r="AJ132" t="inlineStr">
        <is>
          <t>Nej</t>
        </is>
      </c>
      <c r="AK132" t="inlineStr"/>
      <c r="AL132" t="inlineStr"/>
      <c r="AM132" t="inlineStr"/>
      <c r="AN132" t="inlineStr"/>
      <c r="AO132" t="inlineStr">
        <is>
          <t>cmm4yuqbf03fecuqw8hit9x13</t>
        </is>
      </c>
      <c r="AP132" t="inlineStr">
        <is>
          <t>http://localhost:8787/api/admin/requirements/documents/cmm4yuqbf03fecuqw8hit9x13/view</t>
        </is>
      </c>
      <c r="AQ132">
        <f>HYPERLÄNK("http://localhost:8787/api/admin/requirements/documents/cmm4yuqbf03fecuqw8hit9x13/view";"Öppna PDF")</f>
        <v/>
      </c>
      <c r="AR132">
        <f>HYPERLINK("http://localhost:8787/api/admin/requirements/documents/cmm4yuqbf03fecuqw8hit9x13/view","Open PDF")</f>
        <v/>
      </c>
      <c r="AS132" t="inlineStr">
        <is>
          <t>cmm55w57p0004cuisfrtpqly8</t>
        </is>
      </c>
      <c r="AT132" t="inlineStr">
        <is>
          <t>cmm4xvu980000cuh4vj0usz09</t>
        </is>
      </c>
      <c r="AU132" t="inlineStr">
        <is>
          <t>i Huddinge</t>
        </is>
      </c>
      <c r="AV132" t="inlineStr">
        <is>
          <t>Kommun</t>
        </is>
      </c>
      <c r="AW132" t="inlineStr">
        <is>
          <t>i Huddinge kommun</t>
        </is>
      </c>
      <c r="AX132" t="inlineStr">
        <is>
          <t>2025-2029</t>
        </is>
      </c>
      <c r="AY132" t="inlineStr">
        <is>
          <t>Forelaggande</t>
        </is>
      </c>
      <c r="AZ132" t="inlineStr">
        <is>
          <t>2026-02-04</t>
        </is>
      </c>
      <c r="BA132" t="inlineStr">
        <is>
          <t>M-2025-2937 Beslut om föreläggande försiktighetsmått.pdf</t>
        </is>
      </c>
      <c r="BB132" t="inlineStr">
        <is>
          <t>Sv: till registrator [2026SC9796]</t>
        </is>
      </c>
      <c r="BC132" t="inlineStr">
        <is>
          <t>AUTO</t>
        </is>
      </c>
      <c r="BD132" t="inlineStr"/>
      <c r="BE132" t="inlineStr"/>
      <c r="BF132" t="inlineStr">
        <is>
          <t>AUTO_GENERERAD. Bekrafta metadata mot kallfil.</t>
        </is>
      </c>
      <c r="BG132">
        <f>HYPERLINK("C:\Users\jimmy\Desktop\Examens arbete\Kod\Ny mapp\remix_-copy-of-miljöbeslut.se-portal\M-2025-2937 Beslut om föreläggande försiktighetsmått.pdf", "Öppna PDF")</f>
        <v/>
      </c>
    </row>
    <row r="133">
      <c r="A133" t="inlineStr">
        <is>
          <t>KRAV-AUTO-000132</t>
        </is>
      </c>
      <c r="B133" t="inlineStr">
        <is>
          <t>ADMIN-INDEX-2026-02-27-00000000125C043F57453246863FE664CAFE6A3F0700950291EA24F0614FB6ACEDB12BF0E31D00000000010C0000950291EA24F0614FB6ACEDB12BF0E31D00002087AE050000</t>
        </is>
      </c>
      <c r="C133" t="inlineStr">
        <is>
          <t>cmm4yuqbf03fecuqw8hit9x13</t>
        </is>
      </c>
      <c r="D133" t="inlineStr">
        <is>
          <t>http://localhost:8787/api/admin/requirements/documents/cmm4yuqbf03fecuqw8hit9x13/view</t>
        </is>
      </c>
      <c r="E133">
        <f>HYPERLÄNK("http://localhost:8787/api/admin/requirements/documents/cmm4yuqbf03fecuqw8hit9x13/view";"Öppna PDF")</f>
        <v/>
      </c>
      <c r="F133">
        <f>HYPERLINK("http://localhost:8787/api/admin/requirements/documents/cmm4yuqbf03fecuqw8hit9x13/view","Open PDF")</f>
        <v/>
      </c>
      <c r="G133" t="inlineStr">
        <is>
          <t>cmm55w57p0004cuisfrtpqly8</t>
        </is>
      </c>
      <c r="H133" t="inlineStr">
        <is>
          <t>Kompletteringskrav</t>
        </is>
      </c>
      <c r="I133" t="inlineStr">
        <is>
          <t>DagvattenLakvatten</t>
        </is>
      </c>
      <c r="J133" t="inlineStr">
        <is>
          <t>Uppsamling</t>
        </is>
      </c>
      <c r="K133" t="inlineStr">
        <is>
          <t>Förvaring och hantering av avfall, material, gods och maskiner ska ske på ett sätt som minimerar utsläpp av föroreningar till dagvatten och avlopp.</t>
        </is>
      </c>
      <c r="L133" t="inlineStr">
        <is>
          <t>Förvaring och hantering av avfall, material, gods och maskiner ska ske på ett sätt som minimerar utsläpp av föroreningar till dagvatten och avlopp.</t>
        </is>
      </c>
      <c r="M133" t="inlineStr">
        <is>
          <t>SKA</t>
        </is>
      </c>
      <c r="N133" t="inlineStr"/>
      <c r="O133" t="inlineStr"/>
      <c r="P133" t="inlineStr"/>
      <c r="Q133" t="inlineStr"/>
      <c r="R133" t="inlineStr">
        <is>
          <t>Vid nederbord och avrinning</t>
        </is>
      </c>
      <c r="S133" t="inlineStr"/>
      <c r="T133" t="inlineStr">
        <is>
          <t>556527</t>
        </is>
      </c>
      <c r="U133" t="inlineStr"/>
      <c r="V133" t="inlineStr"/>
      <c r="W133" t="inlineStr">
        <is>
          <t>Nej</t>
        </is>
      </c>
      <c r="X133" t="inlineStr">
        <is>
          <t>Ja</t>
        </is>
      </c>
      <c r="Y133" t="inlineStr">
        <is>
          <t>Ja</t>
        </is>
      </c>
      <c r="Z133" t="inlineStr">
        <is>
          <t>Nej</t>
        </is>
      </c>
      <c r="AA133" t="n">
        <v>6</v>
      </c>
      <c r="AB133" t="inlineStr">
        <is>
          <t>Lakvattenhantering</t>
        </is>
      </c>
      <c r="AC133" t="inlineStr">
        <is>
          <t>Flodesschema dagvatten-lakvatten</t>
        </is>
      </c>
      <c r="AD133" t="inlineStr">
        <is>
          <t>Nej</t>
        </is>
      </c>
      <c r="AE133" t="inlineStr">
        <is>
          <t>Nej</t>
        </is>
      </c>
      <c r="AF133" t="inlineStr">
        <is>
          <t>Ej behandlad</t>
        </is>
      </c>
      <c r="AG133" t="inlineStr">
        <is>
          <t>AUTO_GENERERAD. Verifiera citat mot kallfil.</t>
        </is>
      </c>
      <c r="AH133" t="inlineStr">
        <is>
          <t>MEDIUM</t>
        </is>
      </c>
      <c r="AI133" t="inlineStr">
        <is>
          <t>AUTO</t>
        </is>
      </c>
      <c r="AJ133" t="inlineStr">
        <is>
          <t>Nej</t>
        </is>
      </c>
      <c r="AK133" t="inlineStr"/>
      <c r="AL133" t="inlineStr"/>
      <c r="AM133" t="inlineStr"/>
      <c r="AN133" t="inlineStr"/>
      <c r="AO133" t="inlineStr">
        <is>
          <t>cmm4yuqbf03fecuqw8hit9x13</t>
        </is>
      </c>
      <c r="AP133" t="inlineStr">
        <is>
          <t>http://localhost:8787/api/admin/requirements/documents/cmm4yuqbf03fecuqw8hit9x13/view</t>
        </is>
      </c>
      <c r="AQ133">
        <f>HYPERLÄNK("http://localhost:8787/api/admin/requirements/documents/cmm4yuqbf03fecuqw8hit9x13/view";"Öppna PDF")</f>
        <v/>
      </c>
      <c r="AR133">
        <f>HYPERLINK("http://localhost:8787/api/admin/requirements/documents/cmm4yuqbf03fecuqw8hit9x13/view","Open PDF")</f>
        <v/>
      </c>
      <c r="AS133" t="inlineStr">
        <is>
          <t>cmm55w57p0004cuisfrtpqly8</t>
        </is>
      </c>
      <c r="AT133" t="inlineStr">
        <is>
          <t>cmm4xvu980000cuh4vj0usz09</t>
        </is>
      </c>
      <c r="AU133" t="inlineStr">
        <is>
          <t>i Huddinge</t>
        </is>
      </c>
      <c r="AV133" t="inlineStr">
        <is>
          <t>Kommun</t>
        </is>
      </c>
      <c r="AW133" t="inlineStr">
        <is>
          <t>i Huddinge kommun</t>
        </is>
      </c>
      <c r="AX133" t="inlineStr">
        <is>
          <t>2025-2029</t>
        </is>
      </c>
      <c r="AY133" t="inlineStr">
        <is>
          <t>Forelaggande</t>
        </is>
      </c>
      <c r="AZ133" t="inlineStr">
        <is>
          <t>2026-02-04</t>
        </is>
      </c>
      <c r="BA133" t="inlineStr">
        <is>
          <t>M-2025-2937 Beslut om föreläggande försiktighetsmått.pdf</t>
        </is>
      </c>
      <c r="BB133" t="inlineStr">
        <is>
          <t>Sv: till registrator [2026SC9796]</t>
        </is>
      </c>
      <c r="BC133" t="inlineStr">
        <is>
          <t>AUTO</t>
        </is>
      </c>
      <c r="BD133" t="inlineStr"/>
      <c r="BE133" t="inlineStr"/>
      <c r="BF133" t="inlineStr">
        <is>
          <t>AUTO_GENERERAD. Bekrafta metadata mot kallfil.</t>
        </is>
      </c>
      <c r="BG133">
        <f>HYPERLINK("C:\Users\jimmy\Desktop\Examens arbete\Kod\Ny mapp\remix_-copy-of-miljöbeslut.se-portal\M-2025-2937 Beslut om föreläggande försiktighetsmått.pdf", "Öppna PDF")</f>
        <v/>
      </c>
    </row>
    <row r="134">
      <c r="A134" t="inlineStr">
        <is>
          <t>KRAV-AUTO-000133</t>
        </is>
      </c>
      <c r="B134" t="inlineStr">
        <is>
          <t>ADMIN-INDEX-2026-02-27-00000000125C043F57453246863FE664CAFE6A3F0700950291EA24F0614FB6ACEDB12BF0E31D00000000010C0000950291EA24F0614FB6ACEDB12BF0E31D00002087AE050000</t>
        </is>
      </c>
      <c r="C134" t="inlineStr">
        <is>
          <t>cmm4yuqbf03fecuqw8hit9x13</t>
        </is>
      </c>
      <c r="D134" t="inlineStr">
        <is>
          <t>http://localhost:8787/api/admin/requirements/documents/cmm4yuqbf03fecuqw8hit9x13/view</t>
        </is>
      </c>
      <c r="E134">
        <f>HYPERLÄNK("http://localhost:8787/api/admin/requirements/documents/cmm4yuqbf03fecuqw8hit9x13/view";"Öppna PDF")</f>
        <v/>
      </c>
      <c r="F134">
        <f>HYPERLINK("http://localhost:8787/api/admin/requirements/documents/cmm4yuqbf03fecuqw8hit9x13/view","Open PDF")</f>
        <v/>
      </c>
      <c r="G134" t="inlineStr">
        <is>
          <t>cmm55w57p0004cuisfrtpqly8</t>
        </is>
      </c>
      <c r="H134" t="inlineStr">
        <is>
          <t>Kompletteringskrav</t>
        </is>
      </c>
      <c r="I134" t="inlineStr">
        <is>
          <t>Ytkonstruktion</t>
        </is>
      </c>
      <c r="J134" t="inlineStr">
        <is>
          <t>Tat yta</t>
        </is>
      </c>
      <c r="K134" t="inlineStr">
        <is>
          <t>Flytande farligt avfall ska förvaras i spillsäker invallning som rymmer hela volymen av den största behållaren plus 10 procent av resterande behållares volym.</t>
        </is>
      </c>
      <c r="L134" t="inlineStr">
        <is>
          <t>Flytande farligt avfall ska förvaras i spillsäker invallning som rymmer hela volymen av den största behållaren plus 10 procent av resterande behållares volym.</t>
        </is>
      </c>
      <c r="M134" t="inlineStr">
        <is>
          <t>SKA</t>
        </is>
      </c>
      <c r="N134" t="inlineStr"/>
      <c r="O134" t="inlineStr"/>
      <c r="P134" t="inlineStr">
        <is>
          <t>Arlig</t>
        </is>
      </c>
      <c r="Q134" t="inlineStr"/>
      <c r="R134" t="inlineStr">
        <is>
          <t>Vid mellanlagring av avfall</t>
        </is>
      </c>
      <c r="S134" t="inlineStr"/>
      <c r="T134" t="inlineStr">
        <is>
          <t>556527</t>
        </is>
      </c>
      <c r="U134" t="inlineStr"/>
      <c r="V134" t="inlineStr"/>
      <c r="W134" t="inlineStr">
        <is>
          <t>Ja</t>
        </is>
      </c>
      <c r="X134" t="inlineStr">
        <is>
          <t>Nej</t>
        </is>
      </c>
      <c r="Y134" t="inlineStr">
        <is>
          <t>Nej</t>
        </is>
      </c>
      <c r="Z134" t="inlineStr">
        <is>
          <t>Nej</t>
        </is>
      </c>
      <c r="AA134" t="n">
        <v>5</v>
      </c>
      <c r="AB134" t="inlineStr">
        <is>
          <t>Teknisk beskrivning av platta</t>
        </is>
      </c>
      <c r="AC134" t="inlineStr">
        <is>
          <t>Teknisk ritning platta</t>
        </is>
      </c>
      <c r="AD134" t="inlineStr">
        <is>
          <t>Nej</t>
        </is>
      </c>
      <c r="AE134" t="inlineStr">
        <is>
          <t>Nej</t>
        </is>
      </c>
      <c r="AF134" t="inlineStr">
        <is>
          <t>Ej behandlad</t>
        </is>
      </c>
      <c r="AG134" t="inlineStr">
        <is>
          <t>AUTO_GENERERAD. Verifiera citat mot kallfil.</t>
        </is>
      </c>
      <c r="AH134" t="inlineStr">
        <is>
          <t>MEDIUM</t>
        </is>
      </c>
      <c r="AI134" t="inlineStr">
        <is>
          <t>AUTO</t>
        </is>
      </c>
      <c r="AJ134" t="inlineStr">
        <is>
          <t>Nej</t>
        </is>
      </c>
      <c r="AK134" t="inlineStr"/>
      <c r="AL134" t="inlineStr"/>
      <c r="AM134" t="inlineStr"/>
      <c r="AN134" t="inlineStr"/>
      <c r="AO134" t="inlineStr">
        <is>
          <t>cmm4yuqbf03fecuqw8hit9x13</t>
        </is>
      </c>
      <c r="AP134" t="inlineStr">
        <is>
          <t>http://localhost:8787/api/admin/requirements/documents/cmm4yuqbf03fecuqw8hit9x13/view</t>
        </is>
      </c>
      <c r="AQ134">
        <f>HYPERLÄNK("http://localhost:8787/api/admin/requirements/documents/cmm4yuqbf03fecuqw8hit9x13/view";"Öppna PDF")</f>
        <v/>
      </c>
      <c r="AR134">
        <f>HYPERLINK("http://localhost:8787/api/admin/requirements/documents/cmm4yuqbf03fecuqw8hit9x13/view","Open PDF")</f>
        <v/>
      </c>
      <c r="AS134" t="inlineStr">
        <is>
          <t>cmm55w57p0004cuisfrtpqly8</t>
        </is>
      </c>
      <c r="AT134" t="inlineStr">
        <is>
          <t>cmm4xvu980000cuh4vj0usz09</t>
        </is>
      </c>
      <c r="AU134" t="inlineStr">
        <is>
          <t>i Huddinge</t>
        </is>
      </c>
      <c r="AV134" t="inlineStr">
        <is>
          <t>Kommun</t>
        </is>
      </c>
      <c r="AW134" t="inlineStr">
        <is>
          <t>i Huddinge kommun</t>
        </is>
      </c>
      <c r="AX134" t="inlineStr">
        <is>
          <t>2025-2029</t>
        </is>
      </c>
      <c r="AY134" t="inlineStr">
        <is>
          <t>Forelaggande</t>
        </is>
      </c>
      <c r="AZ134" t="inlineStr">
        <is>
          <t>2026-02-04</t>
        </is>
      </c>
      <c r="BA134" t="inlineStr">
        <is>
          <t>M-2025-2937 Beslut om föreläggande försiktighetsmått.pdf</t>
        </is>
      </c>
      <c r="BB134" t="inlineStr">
        <is>
          <t>Sv: till registrator [2026SC9796]</t>
        </is>
      </c>
      <c r="BC134" t="inlineStr">
        <is>
          <t>AUTO</t>
        </is>
      </c>
      <c r="BD134" t="inlineStr"/>
      <c r="BE134" t="inlineStr"/>
      <c r="BF134" t="inlineStr">
        <is>
          <t>AUTO_GENERERAD. Bekrafta metadata mot kallfil.</t>
        </is>
      </c>
      <c r="BG134">
        <f>HYPERLINK("C:\Users\jimmy\Desktop\Examens arbete\Kod\Ny mapp\remix_-copy-of-miljöbeslut.se-portal\M-2025-2937 Beslut om föreläggande försiktighetsmått.pdf", "Öppna PDF")</f>
        <v/>
      </c>
    </row>
    <row r="135">
      <c r="A135" t="inlineStr">
        <is>
          <t>KRAV-AUTO-000134</t>
        </is>
      </c>
      <c r="B135" t="inlineStr">
        <is>
          <t>ADMIN-INDEX-2026-02-27-00000000125C043F57453246863FE664CAFE6A3F0700950291EA24F0614FB6ACEDB12BF0E31D00000000010C0000950291EA24F0614FB6ACEDB12BF0E31D00002087A5DB0000</t>
        </is>
      </c>
      <c r="C135" t="inlineStr">
        <is>
          <t>cmm4yuqq103u2cuqwxq5c1oxv</t>
        </is>
      </c>
      <c r="D135" t="inlineStr">
        <is>
          <t>http://localhost:8787/api/admin/requirements/documents/cmm4yuqq103u2cuqwxq5c1oxv/view</t>
        </is>
      </c>
      <c r="E135">
        <f>HYPERLÄNK("http://localhost:8787/api/admin/requirements/documents/cmm4yuqq103u2cuqwxq5c1oxv/view";"Öppna PDF")</f>
        <v/>
      </c>
      <c r="F135">
        <f>HYPERLINK("http://localhost:8787/api/admin/requirements/documents/cmm4yuqq103u2cuqwxq5c1oxv/view","Open PDF")</f>
        <v/>
      </c>
      <c r="G135" t="inlineStr">
        <is>
          <t>cmm55w57p0004cuisfrtpqly8</t>
        </is>
      </c>
      <c r="H135" t="inlineStr">
        <is>
          <t>Informationskrav</t>
        </is>
      </c>
      <c r="I135" t="inlineStr">
        <is>
          <t>DagvattenLakvatten</t>
        </is>
      </c>
      <c r="J135" t="inlineStr">
        <is>
          <t>Uppsamling</t>
        </is>
      </c>
      <c r="K135" t="inlineStr">
        <is>
          <t>All förvaring av kemiska produkter och farligt avfall ska ske på yta som är tät och beständig mot de produkter och det avfall som lagras, invallad samt skyddad från nederbörd och dagvatten.</t>
        </is>
      </c>
      <c r="L135" t="inlineStr">
        <is>
          <t>All förvaring av kemiska produkter och farligt avfall ska ske på yta som är tät och beständig mot de produkter och det avfall som lagras, invallad samt skyddad från nederbörd och dagvatten.</t>
        </is>
      </c>
      <c r="M135" t="inlineStr">
        <is>
          <t>SKA</t>
        </is>
      </c>
      <c r="N135" t="inlineStr"/>
      <c r="O135" t="inlineStr"/>
      <c r="P135" t="inlineStr">
        <is>
          <t>Arlig</t>
        </is>
      </c>
      <c r="Q135" t="inlineStr"/>
      <c r="R135" t="inlineStr">
        <is>
          <t>Vid nederbord och avrinning</t>
        </is>
      </c>
      <c r="S135" t="inlineStr"/>
      <c r="T135" t="inlineStr">
        <is>
          <t>26 70 00</t>
        </is>
      </c>
      <c r="U135" t="inlineStr"/>
      <c r="V135" t="inlineStr"/>
      <c r="W135" t="inlineStr">
        <is>
          <t>Nej</t>
        </is>
      </c>
      <c r="X135" t="inlineStr">
        <is>
          <t>Ja</t>
        </is>
      </c>
      <c r="Y135" t="inlineStr">
        <is>
          <t>Ja</t>
        </is>
      </c>
      <c r="Z135" t="inlineStr">
        <is>
          <t>Nej</t>
        </is>
      </c>
      <c r="AA135" t="n">
        <v>6</v>
      </c>
      <c r="AB135" t="inlineStr">
        <is>
          <t>Lakvattenhantering</t>
        </is>
      </c>
      <c r="AC135" t="inlineStr">
        <is>
          <t>Flodesschema dagvatten-lakvatten</t>
        </is>
      </c>
      <c r="AD135" t="inlineStr">
        <is>
          <t>Nej</t>
        </is>
      </c>
      <c r="AE135" t="inlineStr">
        <is>
          <t>Nej</t>
        </is>
      </c>
      <c r="AF135" t="inlineStr">
        <is>
          <t>Ej behandlad</t>
        </is>
      </c>
      <c r="AG135" t="inlineStr">
        <is>
          <t>AUTO_GENERERAD. Verifiera citat mot kallfil.</t>
        </is>
      </c>
      <c r="AH135" t="inlineStr">
        <is>
          <t>MEDIUM</t>
        </is>
      </c>
      <c r="AI135" t="inlineStr">
        <is>
          <t>AUTO</t>
        </is>
      </c>
      <c r="AJ135" t="inlineStr">
        <is>
          <t>Nej</t>
        </is>
      </c>
      <c r="AK135" t="inlineStr"/>
      <c r="AL135" t="inlineStr"/>
      <c r="AM135" t="inlineStr"/>
      <c r="AN135" t="inlineStr"/>
      <c r="AO135" t="inlineStr">
        <is>
          <t>cmm4yuqq103u2cuqwxq5c1oxv</t>
        </is>
      </c>
      <c r="AP135" t="inlineStr">
        <is>
          <t>http://localhost:8787/api/admin/requirements/documents/cmm4yuqq103u2cuqwxq5c1oxv/view</t>
        </is>
      </c>
      <c r="AQ135">
        <f>HYPERLÄNK("http://localhost:8787/api/admin/requirements/documents/cmm4yuqq103u2cuqwxq5c1oxv/view";"Öppna PDF")</f>
        <v/>
      </c>
      <c r="AR135">
        <f>HYPERLINK("http://localhost:8787/api/admin/requirements/documents/cmm4yuqq103u2cuqwxq5c1oxv/view","Open PDF")</f>
        <v/>
      </c>
      <c r="AS135" t="inlineStr">
        <is>
          <t>cmm55w57p0004cuisfrtpqly8</t>
        </is>
      </c>
      <c r="AT135" t="inlineStr">
        <is>
          <t>cmm4xvu980000cuh4vj0usz09</t>
        </is>
      </c>
      <c r="AU135" t="inlineStr">
        <is>
          <t>Hässleholms</t>
        </is>
      </c>
      <c r="AV135" t="inlineStr">
        <is>
          <t>Kommun</t>
        </is>
      </c>
      <c r="AW135" t="inlineStr">
        <is>
          <t>Hässleholms kommun</t>
        </is>
      </c>
      <c r="AX135" t="inlineStr">
        <is>
          <t>0451-26</t>
        </is>
      </c>
      <c r="AY135" t="inlineStr">
        <is>
          <t>Anmalan</t>
        </is>
      </c>
      <c r="AZ135" t="inlineStr">
        <is>
          <t>2026-02-05</t>
        </is>
      </c>
      <c r="BA135" t="inlineStr">
        <is>
          <t>M-2025-1599 - MFV C-verksamhet.pdf</t>
        </is>
      </c>
      <c r="BB135" t="inlineStr">
        <is>
          <t>Sv:  Begäran om utlämnande av allmän handling – Anmälningar och beslut rörande mellanlagring av avfall samt anläggning av ytor</t>
        </is>
      </c>
      <c r="BC135" t="inlineStr">
        <is>
          <t>AUTO</t>
        </is>
      </c>
      <c r="BD135" t="inlineStr"/>
      <c r="BE135" t="inlineStr"/>
      <c r="BF135" t="inlineStr">
        <is>
          <t>AUTO_GENERERAD. Bekrafta metadata mot kallfil.</t>
        </is>
      </c>
      <c r="BG135">
        <f>HYPERLINK("C:\Users\jimmy\Desktop\Examens arbete\Kod\Ny mapp\remix_-copy-of-miljöbeslut.se-portal\M-2025-1599 - MFV C-verksamhet.pdf", "Öppna PDF")</f>
        <v/>
      </c>
    </row>
    <row r="136">
      <c r="A136" t="inlineStr">
        <is>
          <t>KRAV-AUTO-000135</t>
        </is>
      </c>
      <c r="B136" t="inlineStr">
        <is>
          <t>ADMIN-INDEX-2026-02-27-00000000125C043F57453246863FE664CAFE6A3F0700950291EA24F0614FB6ACEDB12BF0E31D00000000010C0000950291EA24F0614FB6ACEDB12BF0E31D00002087A5DB0000</t>
        </is>
      </c>
      <c r="C136" t="inlineStr">
        <is>
          <t>cmm4yuqq103u2cuqwxq5c1oxv</t>
        </is>
      </c>
      <c r="D136" t="inlineStr">
        <is>
          <t>http://localhost:8787/api/admin/requirements/documents/cmm4yuqq103u2cuqwxq5c1oxv/view</t>
        </is>
      </c>
      <c r="E136">
        <f>HYPERLÄNK("http://localhost:8787/api/admin/requirements/documents/cmm4yuqq103u2cuqwxq5c1oxv/view";"Öppna PDF")</f>
        <v/>
      </c>
      <c r="F136">
        <f>HYPERLINK("http://localhost:8787/api/admin/requirements/documents/cmm4yuqq103u2cuqwxq5c1oxv/view","Open PDF")</f>
        <v/>
      </c>
      <c r="G136" t="inlineStr">
        <is>
          <t>cmm55w57p0004cuisfrtpqly8</t>
        </is>
      </c>
      <c r="H136" t="inlineStr">
        <is>
          <t>Informationskrav</t>
        </is>
      </c>
      <c r="I136" t="inlineStr">
        <is>
          <t>LagringsvolymTid</t>
        </is>
      </c>
      <c r="J136" t="inlineStr">
        <is>
          <t>Maxmangd</t>
        </is>
      </c>
      <c r="K136" t="inlineStr">
        <is>
          <t>Mängden farligt avfall, i detta fall katalysatorer, får inte vid något tillfälle uppgå till mer än 1 ton.</t>
        </is>
      </c>
      <c r="L136" t="inlineStr">
        <is>
          <t>Mängden farligt avfall, i detta fall katalysatorer, får inte vid något tillfälle uppgå till mer än 1 ton.</t>
        </is>
      </c>
      <c r="M136" t="inlineStr">
        <is>
          <t>SKA</t>
        </is>
      </c>
      <c r="N136" t="inlineStr"/>
      <c r="O136" t="inlineStr"/>
      <c r="P136" t="inlineStr">
        <is>
          <t>Arlig</t>
        </is>
      </c>
      <c r="Q136" t="inlineStr">
        <is>
          <t>Driftbegransning vid avvikelse</t>
        </is>
      </c>
      <c r="R136" t="inlineStr">
        <is>
          <t>Alltid</t>
        </is>
      </c>
      <c r="S136" t="inlineStr"/>
      <c r="T136" t="inlineStr">
        <is>
          <t>26 70 00</t>
        </is>
      </c>
      <c r="U136" t="n">
        <v>1</v>
      </c>
      <c r="V136" t="inlineStr"/>
      <c r="W136" t="inlineStr">
        <is>
          <t>Nej</t>
        </is>
      </c>
      <c r="X136" t="inlineStr">
        <is>
          <t>Nej</t>
        </is>
      </c>
      <c r="Y136" t="inlineStr">
        <is>
          <t>Nej</t>
        </is>
      </c>
      <c r="Z136" t="inlineStr">
        <is>
          <t>Nej</t>
        </is>
      </c>
      <c r="AA136" t="n">
        <v>4</v>
      </c>
      <c r="AB136" t="inlineStr">
        <is>
          <t>Avfallsmangder och lagringstid</t>
        </is>
      </c>
      <c r="AC136" t="inlineStr">
        <is>
          <t>Avfallsforteckning</t>
        </is>
      </c>
      <c r="AD136" t="inlineStr">
        <is>
          <t>Nej</t>
        </is>
      </c>
      <c r="AE136" t="inlineStr">
        <is>
          <t>Nej</t>
        </is>
      </c>
      <c r="AF136" t="inlineStr">
        <is>
          <t>Ej behandlad</t>
        </is>
      </c>
      <c r="AG136" t="inlineStr">
        <is>
          <t>AUTO_GENERERAD. Verifiera citat mot kallfil.</t>
        </is>
      </c>
      <c r="AH136" t="inlineStr">
        <is>
          <t>MEDIUM</t>
        </is>
      </c>
      <c r="AI136" t="inlineStr">
        <is>
          <t>AUTO</t>
        </is>
      </c>
      <c r="AJ136" t="inlineStr">
        <is>
          <t>Nej</t>
        </is>
      </c>
      <c r="AK136" t="inlineStr"/>
      <c r="AL136" t="inlineStr"/>
      <c r="AM136" t="inlineStr"/>
      <c r="AN136" t="inlineStr"/>
      <c r="AO136" t="inlineStr">
        <is>
          <t>cmm4yuqq103u2cuqwxq5c1oxv</t>
        </is>
      </c>
      <c r="AP136" t="inlineStr">
        <is>
          <t>http://localhost:8787/api/admin/requirements/documents/cmm4yuqq103u2cuqwxq5c1oxv/view</t>
        </is>
      </c>
      <c r="AQ136">
        <f>HYPERLÄNK("http://localhost:8787/api/admin/requirements/documents/cmm4yuqq103u2cuqwxq5c1oxv/view";"Öppna PDF")</f>
        <v/>
      </c>
      <c r="AR136">
        <f>HYPERLINK("http://localhost:8787/api/admin/requirements/documents/cmm4yuqq103u2cuqwxq5c1oxv/view","Open PDF")</f>
        <v/>
      </c>
      <c r="AS136" t="inlineStr">
        <is>
          <t>cmm55w57p0004cuisfrtpqly8</t>
        </is>
      </c>
      <c r="AT136" t="inlineStr">
        <is>
          <t>cmm4xvu980000cuh4vj0usz09</t>
        </is>
      </c>
      <c r="AU136" t="inlineStr">
        <is>
          <t>Hässleholms</t>
        </is>
      </c>
      <c r="AV136" t="inlineStr">
        <is>
          <t>Kommun</t>
        </is>
      </c>
      <c r="AW136" t="inlineStr">
        <is>
          <t>Hässleholms kommun</t>
        </is>
      </c>
      <c r="AX136" t="inlineStr">
        <is>
          <t>0451-26</t>
        </is>
      </c>
      <c r="AY136" t="inlineStr">
        <is>
          <t>Anmalan</t>
        </is>
      </c>
      <c r="AZ136" t="inlineStr">
        <is>
          <t>2026-02-05</t>
        </is>
      </c>
      <c r="BA136" t="inlineStr">
        <is>
          <t>M-2025-1599 - MFV C-verksamhet.pdf</t>
        </is>
      </c>
      <c r="BB136" t="inlineStr">
        <is>
          <t>Sv:  Begäran om utlämnande av allmän handling – Anmälningar och beslut rörande mellanlagring av avfall samt anläggning av ytor</t>
        </is>
      </c>
      <c r="BC136" t="inlineStr">
        <is>
          <t>AUTO</t>
        </is>
      </c>
      <c r="BD136" t="inlineStr"/>
      <c r="BE136" t="inlineStr"/>
      <c r="BF136" t="inlineStr">
        <is>
          <t>AUTO_GENERERAD. Bekrafta metadata mot kallfil.</t>
        </is>
      </c>
      <c r="BG136">
        <f>HYPERLINK("C:\Users\jimmy\Desktop\Examens arbete\Kod\Ny mapp\remix_-copy-of-miljöbeslut.se-portal\M-2025-1599 - MFV C-verksamhet.pdf", "Öppna PDF")</f>
        <v/>
      </c>
    </row>
    <row r="137">
      <c r="A137" t="inlineStr">
        <is>
          <t>KRAV-AUTO-000136</t>
        </is>
      </c>
      <c r="B137" t="inlineStr">
        <is>
          <t>ADMIN-INDEX-2026-02-27-00000000125C043F57453246863FE664CAFE6A3F0700950291EA24F0614FB6ACEDB12BF0E31D00000000010C0000950291EA24F0614FB6ACEDB12BF0E31D00002087A5DB0000</t>
        </is>
      </c>
      <c r="C137" t="inlineStr">
        <is>
          <t>cmm4yuqq103u2cuqwxq5c1oxv</t>
        </is>
      </c>
      <c r="D137" t="inlineStr">
        <is>
          <t>http://localhost:8787/api/admin/requirements/documents/cmm4yuqq103u2cuqwxq5c1oxv/view</t>
        </is>
      </c>
      <c r="E137">
        <f>HYPERLÄNK("http://localhost:8787/api/admin/requirements/documents/cmm4yuqq103u2cuqwxq5c1oxv/view";"Öppna PDF")</f>
        <v/>
      </c>
      <c r="F137">
        <f>HYPERLINK("http://localhost:8787/api/admin/requirements/documents/cmm4yuqq103u2cuqwxq5c1oxv/view","Open PDF")</f>
        <v/>
      </c>
      <c r="G137" t="inlineStr">
        <is>
          <t>cmm55w57p0004cuisfrtpqly8</t>
        </is>
      </c>
      <c r="H137" t="inlineStr">
        <is>
          <t>Informationskrav</t>
        </is>
      </c>
      <c r="I137" t="inlineStr">
        <is>
          <t>Riskhantering</t>
        </is>
      </c>
      <c r="J137" t="inlineStr">
        <is>
          <t>Riskkontroll</t>
        </is>
      </c>
      <c r="K137" t="inlineStr">
        <is>
          <t>Anläggningen ska vara försedd med brandsläckningsutrustning anpassad för den mängd och typ avfall som lagras.</t>
        </is>
      </c>
      <c r="L137" t="inlineStr">
        <is>
          <t>Anläggningen ska vara försedd med brandsläckningsutrustning anpassad för den mängd och typ avfall som lagras.</t>
        </is>
      </c>
      <c r="M137" t="inlineStr">
        <is>
          <t>SKA</t>
        </is>
      </c>
      <c r="N137" t="inlineStr"/>
      <c r="O137" t="inlineStr"/>
      <c r="P137" t="inlineStr"/>
      <c r="Q137" t="inlineStr"/>
      <c r="R137" t="inlineStr">
        <is>
          <t>Vid risk for incident</t>
        </is>
      </c>
      <c r="S137" t="inlineStr"/>
      <c r="T137" t="inlineStr">
        <is>
          <t>26 70 00</t>
        </is>
      </c>
      <c r="U137" t="inlineStr"/>
      <c r="V137" t="inlineStr"/>
      <c r="W137" t="inlineStr">
        <is>
          <t>Nej</t>
        </is>
      </c>
      <c r="X137" t="inlineStr">
        <is>
          <t>Nej</t>
        </is>
      </c>
      <c r="Y137" t="inlineStr">
        <is>
          <t>Ja</t>
        </is>
      </c>
      <c r="Z137" t="inlineStr">
        <is>
          <t>Ja</t>
        </is>
      </c>
      <c r="AA137" t="n">
        <v>8</v>
      </c>
      <c r="AB137" t="inlineStr">
        <is>
          <t>Riskhantering</t>
        </is>
      </c>
      <c r="AC137" t="inlineStr">
        <is>
          <t>Risk-PM</t>
        </is>
      </c>
      <c r="AD137" t="inlineStr">
        <is>
          <t>Nej</t>
        </is>
      </c>
      <c r="AE137" t="inlineStr">
        <is>
          <t>Nej</t>
        </is>
      </c>
      <c r="AF137" t="inlineStr">
        <is>
          <t>Ej behandlad</t>
        </is>
      </c>
      <c r="AG137" t="inlineStr">
        <is>
          <t>AUTO_GENERERAD. Verifiera citat mot kallfil.</t>
        </is>
      </c>
      <c r="AH137" t="inlineStr">
        <is>
          <t>MEDIUM</t>
        </is>
      </c>
      <c r="AI137" t="inlineStr">
        <is>
          <t>AUTO</t>
        </is>
      </c>
      <c r="AJ137" t="inlineStr">
        <is>
          <t>Nej</t>
        </is>
      </c>
      <c r="AK137" t="inlineStr"/>
      <c r="AL137" t="inlineStr"/>
      <c r="AM137" t="inlineStr"/>
      <c r="AN137" t="inlineStr"/>
      <c r="AO137" t="inlineStr">
        <is>
          <t>cmm4yuqq103u2cuqwxq5c1oxv</t>
        </is>
      </c>
      <c r="AP137" t="inlineStr">
        <is>
          <t>http://localhost:8787/api/admin/requirements/documents/cmm4yuqq103u2cuqwxq5c1oxv/view</t>
        </is>
      </c>
      <c r="AQ137">
        <f>HYPERLÄNK("http://localhost:8787/api/admin/requirements/documents/cmm4yuqq103u2cuqwxq5c1oxv/view";"Öppna PDF")</f>
        <v/>
      </c>
      <c r="AR137">
        <f>HYPERLINK("http://localhost:8787/api/admin/requirements/documents/cmm4yuqq103u2cuqwxq5c1oxv/view","Open PDF")</f>
        <v/>
      </c>
      <c r="AS137" t="inlineStr">
        <is>
          <t>cmm55w57p0004cuisfrtpqly8</t>
        </is>
      </c>
      <c r="AT137" t="inlineStr">
        <is>
          <t>cmm4xvu980000cuh4vj0usz09</t>
        </is>
      </c>
      <c r="AU137" t="inlineStr">
        <is>
          <t>Hässleholms</t>
        </is>
      </c>
      <c r="AV137" t="inlineStr">
        <is>
          <t>Kommun</t>
        </is>
      </c>
      <c r="AW137" t="inlineStr">
        <is>
          <t>Hässleholms kommun</t>
        </is>
      </c>
      <c r="AX137" t="inlineStr">
        <is>
          <t>0451-26</t>
        </is>
      </c>
      <c r="AY137" t="inlineStr">
        <is>
          <t>Anmalan</t>
        </is>
      </c>
      <c r="AZ137" t="inlineStr">
        <is>
          <t>2026-02-05</t>
        </is>
      </c>
      <c r="BA137" t="inlineStr">
        <is>
          <t>M-2025-1599 - MFV C-verksamhet.pdf</t>
        </is>
      </c>
      <c r="BB137" t="inlineStr">
        <is>
          <t>Sv:  Begäran om utlämnande av allmän handling – Anmälningar och beslut rörande mellanlagring av avfall samt anläggning av ytor</t>
        </is>
      </c>
      <c r="BC137" t="inlineStr">
        <is>
          <t>AUTO</t>
        </is>
      </c>
      <c r="BD137" t="inlineStr"/>
      <c r="BE137" t="inlineStr"/>
      <c r="BF137" t="inlineStr">
        <is>
          <t>AUTO_GENERERAD. Bekrafta metadata mot kallfil.</t>
        </is>
      </c>
      <c r="BG137">
        <f>HYPERLINK("C:\Users\jimmy\Desktop\Examens arbete\Kod\Ny mapp\remix_-copy-of-miljöbeslut.se-portal\M-2025-1599 - MFV C-verksamhet.pdf", "Öppna PDF")</f>
        <v/>
      </c>
    </row>
    <row r="138">
      <c r="A138" t="inlineStr">
        <is>
          <t>KRAV-AUTO-000137</t>
        </is>
      </c>
      <c r="B138" t="inlineStr">
        <is>
          <t>ADMIN-INDEX-2026-02-27-00000000125C043F57453246863FE664CAFE6A3F0700950291EA24F0614FB6ACEDB12BF0E31D00000000010C0000950291EA24F0614FB6ACEDB12BF0E31D00002087AE390000</t>
        </is>
      </c>
      <c r="C138" t="inlineStr">
        <is>
          <t>cmm4yuq1i035tcuqwll7f5gf1</t>
        </is>
      </c>
      <c r="D138" t="inlineStr">
        <is>
          <t>http://localhost:8787/api/admin/requirements/documents/cmm4yuq1i035tcuqwll7f5gf1/view</t>
        </is>
      </c>
      <c r="E138">
        <f>HYPERLÄNK("http://localhost:8787/api/admin/requirements/documents/cmm4yuq1i035tcuqwll7f5gf1/view";"Öppna PDF")</f>
        <v/>
      </c>
      <c r="F138">
        <f>HYPERLINK("http://localhost:8787/api/admin/requirements/documents/cmm4yuq1i035tcuqwll7f5gf1/view","Open PDF")</f>
        <v/>
      </c>
      <c r="G138" t="inlineStr">
        <is>
          <t>cmm55w57p0004cuisfrtpqly8</t>
        </is>
      </c>
      <c r="H138" t="inlineStr">
        <is>
          <t>Kompletteringskrav</t>
        </is>
      </c>
      <c r="I138" t="inlineStr">
        <is>
          <t>DriftEgenkontroll</t>
        </is>
      </c>
      <c r="J138" t="inlineStr">
        <is>
          <t>Journalforing</t>
        </is>
      </c>
      <c r="K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38" t="inlineStr">
        <is>
          <t>BOR</t>
        </is>
      </c>
      <c r="N138" t="inlineStr"/>
      <c r="O138" t="inlineStr">
        <is>
          <t>senast 7 augusti 2024</t>
        </is>
      </c>
      <c r="P138" t="inlineStr"/>
      <c r="Q138" t="inlineStr"/>
      <c r="R138" t="inlineStr">
        <is>
          <t>Lopande drift</t>
        </is>
      </c>
      <c r="S138" t="inlineStr"/>
      <c r="T138" t="inlineStr">
        <is>
          <t>511461</t>
        </is>
      </c>
      <c r="U138" t="inlineStr"/>
      <c r="V138" t="inlineStr"/>
      <c r="W138" t="inlineStr">
        <is>
          <t>Nej</t>
        </is>
      </c>
      <c r="X138" t="inlineStr">
        <is>
          <t>Nej</t>
        </is>
      </c>
      <c r="Y138" t="inlineStr">
        <is>
          <t>Ja</t>
        </is>
      </c>
      <c r="Z138" t="inlineStr">
        <is>
          <t>Nej</t>
        </is>
      </c>
      <c r="AA138" t="n">
        <v>7</v>
      </c>
      <c r="AB138" t="inlineStr">
        <is>
          <t>Egenkontrollrutiner</t>
        </is>
      </c>
      <c r="AC138" t="inlineStr">
        <is>
          <t>Egenkontrollprogram</t>
        </is>
      </c>
      <c r="AD138" t="inlineStr">
        <is>
          <t>Nej</t>
        </is>
      </c>
      <c r="AE138" t="inlineStr">
        <is>
          <t>Nej</t>
        </is>
      </c>
      <c r="AF138" t="inlineStr">
        <is>
          <t>Ej behandlad</t>
        </is>
      </c>
      <c r="AG138" t="inlineStr">
        <is>
          <t>AUTO_GENERERAD. Verifiera citat mot kallfil.</t>
        </is>
      </c>
      <c r="AH138" t="inlineStr">
        <is>
          <t>MEDIUM</t>
        </is>
      </c>
      <c r="AI138" t="inlineStr">
        <is>
          <t>AUTO</t>
        </is>
      </c>
      <c r="AJ138" t="inlineStr">
        <is>
          <t>Nej</t>
        </is>
      </c>
      <c r="AK138" t="inlineStr"/>
      <c r="AL138" t="inlineStr"/>
      <c r="AM138" t="inlineStr"/>
      <c r="AN138" t="inlineStr"/>
      <c r="AO138" t="inlineStr">
        <is>
          <t>cmm4yuq2p036zcuqwaceu4qia</t>
        </is>
      </c>
      <c r="AP138" t="inlineStr">
        <is>
          <t>http://localhost:8787/api/admin/requirements/documents/cmm4yuq2p036zcuqwaceu4qia/view</t>
        </is>
      </c>
      <c r="AQ138">
        <f>HYPERLÄNK("http://localhost:8787/api/admin/requirements/documents/cmm4yuq2p036zcuqwaceu4qia/view";"Öppna PDF")</f>
        <v/>
      </c>
      <c r="AR138">
        <f>HYPERLINK("http://localhost:8787/api/admin/requirements/documents/cmm4yuq2p036zcuqwaceu4qia/view","Open PDF")</f>
        <v/>
      </c>
      <c r="AS138" t="inlineStr">
        <is>
          <t>cmm55w57p0004cuisfrtpqly8</t>
        </is>
      </c>
      <c r="AT138" t="inlineStr">
        <is>
          <t>cmm4xvu980000cuh4vj0usz09</t>
        </is>
      </c>
      <c r="AU138" t="inlineStr">
        <is>
          <t>Lilla Edets</t>
        </is>
      </c>
      <c r="AV138" t="inlineStr">
        <is>
          <t>Kommun</t>
        </is>
      </c>
      <c r="AW138" t="inlineStr">
        <is>
          <t>Lilla Edets kommun</t>
        </is>
      </c>
      <c r="AX138" t="inlineStr">
        <is>
          <t>2024-06</t>
        </is>
      </c>
      <c r="AY138" t="inlineStr">
        <is>
          <t>Beslut</t>
        </is>
      </c>
      <c r="AZ138" t="inlineStr">
        <is>
          <t>2026-02-04</t>
        </is>
      </c>
      <c r="BA138" t="inlineStr">
        <is>
          <t>MB-2024-625-1 13.3 Miljöteknisk markundersökning.pdf</t>
        </is>
      </c>
      <c r="BB138" t="inlineStr">
        <is>
          <t>VB: till registrator</t>
        </is>
      </c>
      <c r="BC138" t="inlineStr">
        <is>
          <t>AUTO</t>
        </is>
      </c>
      <c r="BD138" t="inlineStr"/>
      <c r="BE138" t="inlineStr"/>
      <c r="BF138" t="inlineStr">
        <is>
          <t>AUTO_GENERERAD. Bekrafta metadata mot kallfil.</t>
        </is>
      </c>
      <c r="BG138">
        <f>HYPERLINK("C:\Users\jimmy\Desktop\Examens arbete\Kod\Ny mapp\remix_-copy-of-miljöbeslut.se-portal\MB-2024-625-1 13.3 Miljöteknisk markundersökning.pdf", "Öppna PDF")</f>
        <v/>
      </c>
    </row>
    <row r="139">
      <c r="A139" t="inlineStr">
        <is>
          <t>KRAV-AUTO-000138</t>
        </is>
      </c>
      <c r="B139" t="inlineStr">
        <is>
          <t>ADMIN-INDEX-2026-02-27-00000000125C043F57453246863FE664CAFE6A3F0700950291EA24F0614FB6ACEDB12BF0E31D00000000010C0000950291EA24F0614FB6ACEDB12BF0E31D00002087AE390000</t>
        </is>
      </c>
      <c r="C139" t="inlineStr">
        <is>
          <t>cmm4yuq1i035tcuqwll7f5gf1</t>
        </is>
      </c>
      <c r="D139" t="inlineStr">
        <is>
          <t>http://localhost:8787/api/admin/requirements/documents/cmm4yuq1i035tcuqwll7f5gf1/view</t>
        </is>
      </c>
      <c r="E139">
        <f>HYPERLÄNK("http://localhost:8787/api/admin/requirements/documents/cmm4yuq1i035tcuqwll7f5gf1/view";"Öppna PDF")</f>
        <v/>
      </c>
      <c r="F139">
        <f>HYPERLINK("http://localhost:8787/api/admin/requirements/documents/cmm4yuq1i035tcuqwll7f5gf1/view","Open PDF")</f>
        <v/>
      </c>
      <c r="G139" t="inlineStr">
        <is>
          <t>cmm55w57p0004cuisfrtpqly8</t>
        </is>
      </c>
      <c r="H139" t="inlineStr">
        <is>
          <t>Kompletteringskrav</t>
        </is>
      </c>
      <c r="I139" t="inlineStr">
        <is>
          <t>DriftEgenkontroll</t>
        </is>
      </c>
      <c r="J139" t="inlineStr">
        <is>
          <t>Journalforing</t>
        </is>
      </c>
      <c r="K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39" t="inlineStr">
        <is>
          <t>SKA</t>
        </is>
      </c>
      <c r="N139" t="inlineStr"/>
      <c r="O139" t="inlineStr"/>
      <c r="P139" t="inlineStr"/>
      <c r="Q139" t="inlineStr"/>
      <c r="R139" t="inlineStr">
        <is>
          <t>Lopande drift</t>
        </is>
      </c>
      <c r="S139" t="inlineStr"/>
      <c r="T139" t="inlineStr">
        <is>
          <t>511461</t>
        </is>
      </c>
      <c r="U139" t="inlineStr"/>
      <c r="V139" t="inlineStr"/>
      <c r="W139" t="inlineStr">
        <is>
          <t>Nej</t>
        </is>
      </c>
      <c r="X139" t="inlineStr">
        <is>
          <t>Nej</t>
        </is>
      </c>
      <c r="Y139" t="inlineStr">
        <is>
          <t>Ja</t>
        </is>
      </c>
      <c r="Z139" t="inlineStr">
        <is>
          <t>Nej</t>
        </is>
      </c>
      <c r="AA139" t="n">
        <v>7</v>
      </c>
      <c r="AB139" t="inlineStr">
        <is>
          <t>Egenkontrollrutiner</t>
        </is>
      </c>
      <c r="AC139" t="inlineStr">
        <is>
          <t>Egenkontrollprogram</t>
        </is>
      </c>
      <c r="AD139" t="inlineStr">
        <is>
          <t>Nej</t>
        </is>
      </c>
      <c r="AE139" t="inlineStr">
        <is>
          <t>Nej</t>
        </is>
      </c>
      <c r="AF139" t="inlineStr">
        <is>
          <t>Ej behandlad</t>
        </is>
      </c>
      <c r="AG139" t="inlineStr">
        <is>
          <t>AUTO_GENERERAD. Verifiera citat mot kallfil.</t>
        </is>
      </c>
      <c r="AH139" t="inlineStr">
        <is>
          <t>MEDIUM</t>
        </is>
      </c>
      <c r="AI139" t="inlineStr">
        <is>
          <t>AUTO</t>
        </is>
      </c>
      <c r="AJ139" t="inlineStr">
        <is>
          <t>Nej</t>
        </is>
      </c>
      <c r="AK139" t="inlineStr"/>
      <c r="AL139" t="inlineStr"/>
      <c r="AM139" t="inlineStr"/>
      <c r="AN139" t="inlineStr"/>
      <c r="AO139" t="inlineStr">
        <is>
          <t>cmm4yuq2p036zcuqwaceu4qia</t>
        </is>
      </c>
      <c r="AP139" t="inlineStr">
        <is>
          <t>http://localhost:8787/api/admin/requirements/documents/cmm4yuq2p036zcuqwaceu4qia/view</t>
        </is>
      </c>
      <c r="AQ139">
        <f>HYPERLÄNK("http://localhost:8787/api/admin/requirements/documents/cmm4yuq2p036zcuqwaceu4qia/view";"Öppna PDF")</f>
        <v/>
      </c>
      <c r="AR139">
        <f>HYPERLINK("http://localhost:8787/api/admin/requirements/documents/cmm4yuq2p036zcuqwaceu4qia/view","Open PDF")</f>
        <v/>
      </c>
      <c r="AS139" t="inlineStr">
        <is>
          <t>cmm55w57p0004cuisfrtpqly8</t>
        </is>
      </c>
      <c r="AT139" t="inlineStr">
        <is>
          <t>cmm4xvu980000cuh4vj0usz09</t>
        </is>
      </c>
      <c r="AU139" t="inlineStr">
        <is>
          <t>Lilla Edets</t>
        </is>
      </c>
      <c r="AV139" t="inlineStr">
        <is>
          <t>Kommun</t>
        </is>
      </c>
      <c r="AW139" t="inlineStr">
        <is>
          <t>Lilla Edets kommun</t>
        </is>
      </c>
      <c r="AX139" t="inlineStr">
        <is>
          <t>2024-06</t>
        </is>
      </c>
      <c r="AY139" t="inlineStr">
        <is>
          <t>Beslut</t>
        </is>
      </c>
      <c r="AZ139" t="inlineStr">
        <is>
          <t>2026-02-04</t>
        </is>
      </c>
      <c r="BA139" t="inlineStr">
        <is>
          <t>MB-2024-625-1 13.3 Miljöteknisk markundersökning.pdf</t>
        </is>
      </c>
      <c r="BB139" t="inlineStr">
        <is>
          <t>VB: till registrator</t>
        </is>
      </c>
      <c r="BC139" t="inlineStr">
        <is>
          <t>AUTO</t>
        </is>
      </c>
      <c r="BD139" t="inlineStr"/>
      <c r="BE139" t="inlineStr"/>
      <c r="BF139" t="inlineStr">
        <is>
          <t>AUTO_GENERERAD. Bekrafta metadata mot kallfil.</t>
        </is>
      </c>
      <c r="BG139">
        <f>HYPERLINK("C:\Users\jimmy\Desktop\Examens arbete\Kod\Ny mapp\remix_-copy-of-miljöbeslut.se-portal\MB-2024-625-1 13.3 Miljöteknisk markundersökning.pdf", "Öppna PDF")</f>
        <v/>
      </c>
    </row>
    <row r="140">
      <c r="A140" t="inlineStr">
        <is>
          <t>KRAV-AUTO-000139</t>
        </is>
      </c>
      <c r="B140" t="inlineStr">
        <is>
          <t>ADMIN-INDEX-2026-02-27-00000000125C043F57453246863FE664CAFE6A3F0700950291EA24F0614FB6ACEDB12BF0E31D00000000010C0000950291EA24F0614FB6ACEDB12BF0E31D00002087AE390000</t>
        </is>
      </c>
      <c r="C140" t="inlineStr">
        <is>
          <t>cmm4yuq0f034qcuqwmjrrurc0</t>
        </is>
      </c>
      <c r="D140" t="inlineStr">
        <is>
          <t>http://localhost:8787/api/admin/requirements/documents/cmm4yuq0f034qcuqwmjrrurc0/view</t>
        </is>
      </c>
      <c r="E140">
        <f>HYPERLÄNK("http://localhost:8787/api/admin/requirements/documents/cmm4yuq0f034qcuqwmjrrurc0/view";"Öppna PDF")</f>
        <v/>
      </c>
      <c r="F140">
        <f>HYPERLINK("http://localhost:8787/api/admin/requirements/documents/cmm4yuq0f034qcuqwmjrrurc0/view","Open PDF")</f>
        <v/>
      </c>
      <c r="G140" t="inlineStr">
        <is>
          <t>cmm55w57p0004cuisfrtpqly8</t>
        </is>
      </c>
      <c r="H140" t="inlineStr">
        <is>
          <t>Beslutsvillkor</t>
        </is>
      </c>
      <c r="I140" t="inlineStr">
        <is>
          <t>Riskhantering</t>
        </is>
      </c>
      <c r="J140" t="inlineStr">
        <is>
          <t>Riskkontroll</t>
        </is>
      </c>
      <c r="K140" t="inlineStr">
        <is>
          <t>Tillfällig VA 11.1 Finns det tekniska hjälpmedel att tillgå för att undvika ergonomiska risker?</t>
        </is>
      </c>
      <c r="L140" t="inlineStr">
        <is>
          <t>Tillfällig VA 11.1 Finns det tekniska hjälpmedel att tillgå för att undvika ergonomiska risker?</t>
        </is>
      </c>
      <c r="M140" t="inlineStr">
        <is>
          <t>SKA</t>
        </is>
      </c>
      <c r="N140" t="inlineStr"/>
      <c r="O140" t="inlineStr"/>
      <c r="P140" t="inlineStr"/>
      <c r="Q140" t="inlineStr"/>
      <c r="R140" t="inlineStr">
        <is>
          <t>Vid risk for incident</t>
        </is>
      </c>
      <c r="S140" t="inlineStr"/>
      <c r="T140" t="inlineStr"/>
      <c r="U140" t="inlineStr"/>
      <c r="V140" t="inlineStr"/>
      <c r="W140" t="inlineStr">
        <is>
          <t>Nej</t>
        </is>
      </c>
      <c r="X140" t="inlineStr">
        <is>
          <t>Nej</t>
        </is>
      </c>
      <c r="Y140" t="inlineStr">
        <is>
          <t>Ja</t>
        </is>
      </c>
      <c r="Z140" t="inlineStr">
        <is>
          <t>Ja</t>
        </is>
      </c>
      <c r="AA140" t="n">
        <v>8</v>
      </c>
      <c r="AB140" t="inlineStr">
        <is>
          <t>Riskhantering</t>
        </is>
      </c>
      <c r="AC140" t="inlineStr">
        <is>
          <t>Risk-PM</t>
        </is>
      </c>
      <c r="AD140" t="inlineStr">
        <is>
          <t>Nej</t>
        </is>
      </c>
      <c r="AE140" t="inlineStr">
        <is>
          <t>Nej</t>
        </is>
      </c>
      <c r="AF140" t="inlineStr">
        <is>
          <t>Ej behandlad</t>
        </is>
      </c>
      <c r="AG140" t="inlineStr">
        <is>
          <t>AUTO_GENERERAD. Verifiera citat mot kallfil.</t>
        </is>
      </c>
      <c r="AH140" t="inlineStr">
        <is>
          <t>MEDIUM</t>
        </is>
      </c>
      <c r="AI140" t="inlineStr">
        <is>
          <t>AUTO</t>
        </is>
      </c>
      <c r="AJ140" t="inlineStr">
        <is>
          <t>Nej</t>
        </is>
      </c>
      <c r="AK140" t="inlineStr"/>
      <c r="AL140" t="inlineStr"/>
      <c r="AM140" t="inlineStr"/>
      <c r="AN140" t="inlineStr"/>
      <c r="AO140" t="inlineStr">
        <is>
          <t>cmm4yuq2p036zcuqwaceu4qia</t>
        </is>
      </c>
      <c r="AP140" t="inlineStr">
        <is>
          <t>http://localhost:8787/api/admin/requirements/documents/cmm4yuq2p036zcuqwaceu4qia/view</t>
        </is>
      </c>
      <c r="AQ140">
        <f>HYPERLÄNK("http://localhost:8787/api/admin/requirements/documents/cmm4yuq2p036zcuqwaceu4qia/view";"Öppna PDF")</f>
        <v/>
      </c>
      <c r="AR140">
        <f>HYPERLINK("http://localhost:8787/api/admin/requirements/documents/cmm4yuq2p036zcuqwaceu4qia/view","Open PDF")</f>
        <v/>
      </c>
      <c r="AS140" t="inlineStr">
        <is>
          <t>cmm55w57p0004cuisfrtpqly8</t>
        </is>
      </c>
      <c r="AT140" t="inlineStr">
        <is>
          <t>cmm4xvu980000cuh4vj0usz09</t>
        </is>
      </c>
      <c r="AU140" t="inlineStr">
        <is>
          <t>Lilla Edets</t>
        </is>
      </c>
      <c r="AV140" t="inlineStr">
        <is>
          <t>Kommun</t>
        </is>
      </c>
      <c r="AW140" t="inlineStr">
        <is>
          <t>Lilla Edets kommun</t>
        </is>
      </c>
      <c r="AX140" t="inlineStr">
        <is>
          <t>2024-06</t>
        </is>
      </c>
      <c r="AY140" t="inlineStr">
        <is>
          <t>Beslut</t>
        </is>
      </c>
      <c r="AZ140" t="inlineStr">
        <is>
          <t>2026-02-04</t>
        </is>
      </c>
      <c r="BA140" t="inlineStr">
        <is>
          <t>MB-2024-625-1 13.3 Miljöteknisk markundersökning.pdf</t>
        </is>
      </c>
      <c r="BB140" t="inlineStr">
        <is>
          <t>VB: till registrator</t>
        </is>
      </c>
      <c r="BC140" t="inlineStr">
        <is>
          <t>AUTO</t>
        </is>
      </c>
      <c r="BD140" t="inlineStr"/>
      <c r="BE140" t="inlineStr"/>
      <c r="BF140" t="inlineStr">
        <is>
          <t>AUTO_GENERERAD. Bekrafta metadata mot kallfil.</t>
        </is>
      </c>
      <c r="BG140">
        <f>HYPERLINK("C:\Users\jimmy\Desktop\Examens arbete\Kod\Ny mapp\remix_-copy-of-miljöbeslut.se-portal\MB-2024-625-1 13.3 Miljöteknisk markundersökning.pdf", "Öppna PDF")</f>
        <v/>
      </c>
    </row>
    <row r="141">
      <c r="A141" t="inlineStr">
        <is>
          <t>KRAV-AUTO-000140</t>
        </is>
      </c>
      <c r="B141" t="inlineStr">
        <is>
          <t>ADMIN-INDEX-2026-02-27-00000000125C043F57453246863FE664CAFE6A3F0700950291EA24F0614FB6ACEDB12BF0E31D00000000010C0000950291EA24F0614FB6ACEDB12BF0E31D00002087AE3A0000</t>
        </is>
      </c>
      <c r="C141" t="inlineStr">
        <is>
          <t>cmm4yuq04034hcuqwue9hvqhc</t>
        </is>
      </c>
      <c r="D141" t="inlineStr">
        <is>
          <t>http://localhost:8787/api/admin/requirements/documents/cmm4yuq04034hcuqwue9hvqhc/view</t>
        </is>
      </c>
      <c r="E141">
        <f>HYPERLÄNK("http://localhost:8787/api/admin/requirements/documents/cmm4yuq04034hcuqwue9hvqhc/view";"Öppna PDF")</f>
        <v/>
      </c>
      <c r="F141">
        <f>HYPERLINK("http://localhost:8787/api/admin/requirements/documents/cmm4yuq04034hcuqwue9hvqhc/view","Open PDF")</f>
        <v/>
      </c>
      <c r="G141" t="inlineStr">
        <is>
          <t>cmm55w57p0004cuisfrtpqly8</t>
        </is>
      </c>
      <c r="H141" t="inlineStr">
        <is>
          <t>Beslutsvillkor</t>
        </is>
      </c>
      <c r="I141" t="inlineStr">
        <is>
          <t>DriftEgenkontroll</t>
        </is>
      </c>
      <c r="J141" t="inlineStr">
        <is>
          <t>Journalforing</t>
        </is>
      </c>
      <c r="K141" t="inlineStr">
        <is>
          <t>Proverna uttogs i provtagningskärl tillhandahållna av laboratoriet.</t>
        </is>
      </c>
      <c r="L141" t="inlineStr">
        <is>
          <t>Proverna uttogs i provtagningskärl tillhandahållna av laboratoriet.</t>
        </is>
      </c>
      <c r="M141" t="inlineStr">
        <is>
          <t>SKA</t>
        </is>
      </c>
      <c r="N141" t="inlineStr"/>
      <c r="O141" t="inlineStr"/>
      <c r="P141" t="inlineStr"/>
      <c r="Q141" t="inlineStr"/>
      <c r="R141" t="inlineStr">
        <is>
          <t>Lopande drift</t>
        </is>
      </c>
      <c r="S141" t="inlineStr"/>
      <c r="T141" t="inlineStr"/>
      <c r="U141" t="inlineStr"/>
      <c r="V141" t="inlineStr"/>
      <c r="W141" t="inlineStr">
        <is>
          <t>Nej</t>
        </is>
      </c>
      <c r="X141" t="inlineStr">
        <is>
          <t>Nej</t>
        </is>
      </c>
      <c r="Y141" t="inlineStr">
        <is>
          <t>Ja</t>
        </is>
      </c>
      <c r="Z141" t="inlineStr">
        <is>
          <t>Nej</t>
        </is>
      </c>
      <c r="AA141" t="n">
        <v>7</v>
      </c>
      <c r="AB141" t="inlineStr">
        <is>
          <t>Egenkontrollrutiner</t>
        </is>
      </c>
      <c r="AC141" t="inlineStr">
        <is>
          <t>Egenkontrollprogram</t>
        </is>
      </c>
      <c r="AD141" t="inlineStr">
        <is>
          <t>Nej</t>
        </is>
      </c>
      <c r="AE141" t="inlineStr">
        <is>
          <t>Nej</t>
        </is>
      </c>
      <c r="AF141" t="inlineStr">
        <is>
          <t>Ej behandlad</t>
        </is>
      </c>
      <c r="AG141" t="inlineStr">
        <is>
          <t>AUTO_GENERERAD. Verifiera citat mot kallfil.</t>
        </is>
      </c>
      <c r="AH141" t="inlineStr">
        <is>
          <t>MEDIUM</t>
        </is>
      </c>
      <c r="AI141" t="inlineStr">
        <is>
          <t>AUTO</t>
        </is>
      </c>
      <c r="AJ141" t="inlineStr">
        <is>
          <t>Nej</t>
        </is>
      </c>
      <c r="AK141" t="inlineStr"/>
      <c r="AL141" t="inlineStr"/>
      <c r="AM141" t="inlineStr"/>
      <c r="AN141" t="inlineStr"/>
      <c r="AO141" t="inlineStr">
        <is>
          <t>cmm4yuq04034hcuqwue9hvqhc</t>
        </is>
      </c>
      <c r="AP141" t="inlineStr">
        <is>
          <t>http://localhost:8787/api/admin/requirements/documents/cmm4yuq04034hcuqwue9hvqhc/view</t>
        </is>
      </c>
      <c r="AQ141">
        <f>HYPERLÄNK("http://localhost:8787/api/admin/requirements/documents/cmm4yuq04034hcuqwue9hvqhc/view";"Öppna PDF")</f>
        <v/>
      </c>
      <c r="AR141">
        <f>HYPERLINK("http://localhost:8787/api/admin/requirements/documents/cmm4yuq04034hcuqwue9hvqhc/view","Open PDF")</f>
        <v/>
      </c>
      <c r="AS141" t="inlineStr">
        <is>
          <t>cmm55w57p0004cuisfrtpqly8</t>
        </is>
      </c>
      <c r="AT141" t="inlineStr">
        <is>
          <t>cmm4xvu980000cuh4vj0usz09</t>
        </is>
      </c>
      <c r="AU141" t="inlineStr">
        <is>
          <t>Lilla Edets</t>
        </is>
      </c>
      <c r="AV141" t="inlineStr">
        <is>
          <t>Kommun</t>
        </is>
      </c>
      <c r="AW141" t="inlineStr">
        <is>
          <t>Lilla Edets kommun</t>
        </is>
      </c>
      <c r="AX141" t="inlineStr">
        <is>
          <t>2024-06</t>
        </is>
      </c>
      <c r="AY141" t="inlineStr">
        <is>
          <t>Beslut</t>
        </is>
      </c>
      <c r="AZ141" t="inlineStr">
        <is>
          <t>2026-02-04</t>
        </is>
      </c>
      <c r="BA141" t="inlineStr">
        <is>
          <t>MB-2024-625-7 13.3 Miljöteknisk markundersökning m bilagor.pdf</t>
        </is>
      </c>
      <c r="BB141" t="inlineStr">
        <is>
          <t>VB: till registrator</t>
        </is>
      </c>
      <c r="BC141" t="inlineStr">
        <is>
          <t>AUTO</t>
        </is>
      </c>
      <c r="BD141" t="inlineStr"/>
      <c r="BE141" t="inlineStr"/>
      <c r="BF141" t="inlineStr">
        <is>
          <t>AUTO_GENERERAD. Bekrafta metadata mot kallfil.</t>
        </is>
      </c>
      <c r="BG141">
        <f>HYPERLINK("C:\Users\jimmy\Desktop\Examens arbete\Kod\Ny mapp\remix_-copy-of-miljöbeslut.se-portal\MB-2024-625-7 13.3 Miljöteknisk markundersökning m bilagor.pdf", "Öppna PDF")</f>
        <v/>
      </c>
    </row>
    <row r="142">
      <c r="A142" t="inlineStr">
        <is>
          <t>KRAV-AUTO-000141</t>
        </is>
      </c>
      <c r="B142" t="inlineStr">
        <is>
          <t>ADMIN-INDEX-2026-02-27-00000000125C043F57453246863FE664CAFE6A3F0700950291EA24F0614FB6ACEDB12BF0E31D00000000010C0000950291EA24F0614FB6ACEDB12BF0E31D00002087AE3A0000</t>
        </is>
      </c>
      <c r="C142" t="inlineStr">
        <is>
          <t>cmm4yuq04034hcuqwue9hvqhc</t>
        </is>
      </c>
      <c r="D142" t="inlineStr">
        <is>
          <t>http://localhost:8787/api/admin/requirements/documents/cmm4yuq04034hcuqwue9hvqhc/view</t>
        </is>
      </c>
      <c r="E142">
        <f>HYPERLÄNK("http://localhost:8787/api/admin/requirements/documents/cmm4yuq04034hcuqwue9hvqhc/view";"Öppna PDF")</f>
        <v/>
      </c>
      <c r="F142">
        <f>HYPERLINK("http://localhost:8787/api/admin/requirements/documents/cmm4yuq04034hcuqwue9hvqhc/view","Open PDF")</f>
        <v/>
      </c>
      <c r="G142" t="inlineStr">
        <is>
          <t>cmm55w57p0004cuisfrtpqly8</t>
        </is>
      </c>
      <c r="H142" t="inlineStr">
        <is>
          <t>Beslutsvillkor</t>
        </is>
      </c>
      <c r="I142" t="inlineStr">
        <is>
          <t>Riskhantering</t>
        </is>
      </c>
      <c r="J142" t="inlineStr">
        <is>
          <t>Riskkontroll</t>
        </is>
      </c>
      <c r="K142" t="inlineStr">
        <is>
          <t>2.5 Historiska kartor Historisk markanvändning inom det aktuella området har undersökts genom att studera historiska flygfoton från Lantmäteriet1 (Lantmäteriet, 2024).</t>
        </is>
      </c>
      <c r="L142" t="inlineStr">
        <is>
          <t>2.5 Historiska kartor Historisk markanvändning inom det aktuella området har undersökts genom att studera historiska flygfoton från Lantmäteriet1 (Lantmäteriet, 2024).</t>
        </is>
      </c>
      <c r="M142" t="inlineStr">
        <is>
          <t>SKA</t>
        </is>
      </c>
      <c r="N142" t="inlineStr"/>
      <c r="O142" t="inlineStr"/>
      <c r="P142" t="inlineStr"/>
      <c r="Q142" t="inlineStr"/>
      <c r="R142" t="inlineStr">
        <is>
          <t>Vid risk for incident</t>
        </is>
      </c>
      <c r="S142" t="inlineStr"/>
      <c r="T142" t="inlineStr"/>
      <c r="U142" t="inlineStr"/>
      <c r="V142" t="inlineStr"/>
      <c r="W142" t="inlineStr">
        <is>
          <t>Nej</t>
        </is>
      </c>
      <c r="X142" t="inlineStr">
        <is>
          <t>Nej</t>
        </is>
      </c>
      <c r="Y142" t="inlineStr">
        <is>
          <t>Ja</t>
        </is>
      </c>
      <c r="Z142" t="inlineStr">
        <is>
          <t>Ja</t>
        </is>
      </c>
      <c r="AA142" t="n">
        <v>8</v>
      </c>
      <c r="AB142" t="inlineStr">
        <is>
          <t>Riskhantering</t>
        </is>
      </c>
      <c r="AC142" t="inlineStr">
        <is>
          <t>Risk-PM</t>
        </is>
      </c>
      <c r="AD142" t="inlineStr">
        <is>
          <t>Nej</t>
        </is>
      </c>
      <c r="AE142" t="inlineStr">
        <is>
          <t>Nej</t>
        </is>
      </c>
      <c r="AF142" t="inlineStr">
        <is>
          <t>Ej behandlad</t>
        </is>
      </c>
      <c r="AG142" t="inlineStr">
        <is>
          <t>AUTO_GENERERAD. Verifiera citat mot kallfil.</t>
        </is>
      </c>
      <c r="AH142" t="inlineStr">
        <is>
          <t>MEDIUM</t>
        </is>
      </c>
      <c r="AI142" t="inlineStr">
        <is>
          <t>AUTO</t>
        </is>
      </c>
      <c r="AJ142" t="inlineStr">
        <is>
          <t>Nej</t>
        </is>
      </c>
      <c r="AK142" t="inlineStr"/>
      <c r="AL142" t="inlineStr"/>
      <c r="AM142" t="inlineStr"/>
      <c r="AN142" t="inlineStr"/>
      <c r="AO142" t="inlineStr">
        <is>
          <t>cmm4yuq04034hcuqwue9hvqhc</t>
        </is>
      </c>
      <c r="AP142" t="inlineStr">
        <is>
          <t>http://localhost:8787/api/admin/requirements/documents/cmm4yuq04034hcuqwue9hvqhc/view</t>
        </is>
      </c>
      <c r="AQ142">
        <f>HYPERLÄNK("http://localhost:8787/api/admin/requirements/documents/cmm4yuq04034hcuqwue9hvqhc/view";"Öppna PDF")</f>
        <v/>
      </c>
      <c r="AR142">
        <f>HYPERLINK("http://localhost:8787/api/admin/requirements/documents/cmm4yuq04034hcuqwue9hvqhc/view","Open PDF")</f>
        <v/>
      </c>
      <c r="AS142" t="inlineStr">
        <is>
          <t>cmm55w57p0004cuisfrtpqly8</t>
        </is>
      </c>
      <c r="AT142" t="inlineStr">
        <is>
          <t>cmm4xvu980000cuh4vj0usz09</t>
        </is>
      </c>
      <c r="AU142" t="inlineStr">
        <is>
          <t>Lilla Edets</t>
        </is>
      </c>
      <c r="AV142" t="inlineStr">
        <is>
          <t>Kommun</t>
        </is>
      </c>
      <c r="AW142" t="inlineStr">
        <is>
          <t>Lilla Edets kommun</t>
        </is>
      </c>
      <c r="AX142" t="inlineStr">
        <is>
          <t>2024-06</t>
        </is>
      </c>
      <c r="AY142" t="inlineStr">
        <is>
          <t>Beslut</t>
        </is>
      </c>
      <c r="AZ142" t="inlineStr">
        <is>
          <t>2026-02-04</t>
        </is>
      </c>
      <c r="BA142" t="inlineStr">
        <is>
          <t>MB-2024-625-7 13.3 Miljöteknisk markundersökning m bilagor.pdf</t>
        </is>
      </c>
      <c r="BB142" t="inlineStr">
        <is>
          <t>VB: till registrator</t>
        </is>
      </c>
      <c r="BC142" t="inlineStr">
        <is>
          <t>AUTO</t>
        </is>
      </c>
      <c r="BD142" t="inlineStr"/>
      <c r="BE142" t="inlineStr"/>
      <c r="BF142" t="inlineStr">
        <is>
          <t>AUTO_GENERERAD. Bekrafta metadata mot kallfil.</t>
        </is>
      </c>
      <c r="BG142">
        <f>HYPERLINK("C:\Users\jimmy\Desktop\Examens arbete\Kod\Ny mapp\remix_-copy-of-miljöbeslut.se-portal\MB-2024-625-7 13.3 Miljöteknisk markundersökning m bilagor.pdf", "Öppna PDF")</f>
        <v/>
      </c>
    </row>
    <row r="143">
      <c r="A143" t="inlineStr">
        <is>
          <t>KRAV-AUTO-000142</t>
        </is>
      </c>
      <c r="B143" t="inlineStr">
        <is>
          <t>ADMIN-INDEX-2026-02-27-00000000125C043F57453246863FE664CAFE6A3F0700950291EA24F0614FB6ACEDB12BF0E31D00000000010C0000950291EA24F0614FB6ACEDB12BF0E31D00002087AE3A0000</t>
        </is>
      </c>
      <c r="C143" t="inlineStr">
        <is>
          <t>cmm4yuq04034hcuqwue9hvqhc</t>
        </is>
      </c>
      <c r="D143" t="inlineStr">
        <is>
          <t>http://localhost:8787/api/admin/requirements/documents/cmm4yuq04034hcuqwue9hvqhc/view</t>
        </is>
      </c>
      <c r="E143">
        <f>HYPERLÄNK("http://localhost:8787/api/admin/requirements/documents/cmm4yuq04034hcuqwue9hvqhc/view";"Öppna PDF")</f>
        <v/>
      </c>
      <c r="F143">
        <f>HYPERLINK("http://localhost:8787/api/admin/requirements/documents/cmm4yuq04034hcuqwue9hvqhc/view","Open PDF")</f>
        <v/>
      </c>
      <c r="G143" t="inlineStr">
        <is>
          <t>cmm55w57p0004cuisfrtpqly8</t>
        </is>
      </c>
      <c r="H143" t="inlineStr">
        <is>
          <t>Beslutsvillkor</t>
        </is>
      </c>
      <c r="I143" t="inlineStr">
        <is>
          <t>Riskhantering</t>
        </is>
      </c>
      <c r="J143" t="inlineStr">
        <is>
          <t>Riskkontroll</t>
        </is>
      </c>
      <c r="K143" t="inlineStr">
        <is>
          <t>8 2.5 Historiska kartor ..................................................................................................................</t>
        </is>
      </c>
      <c r="L143" t="inlineStr">
        <is>
          <t>8 2.5 Historiska kartor ..................................................................................................................</t>
        </is>
      </c>
      <c r="M143" t="inlineStr">
        <is>
          <t>SKA</t>
        </is>
      </c>
      <c r="N143" t="inlineStr"/>
      <c r="O143" t="inlineStr"/>
      <c r="P143" t="inlineStr"/>
      <c r="Q143" t="inlineStr"/>
      <c r="R143" t="inlineStr">
        <is>
          <t>Vid risk for incident</t>
        </is>
      </c>
      <c r="S143" t="inlineStr"/>
      <c r="T143" t="inlineStr"/>
      <c r="U143" t="inlineStr"/>
      <c r="V143" t="inlineStr"/>
      <c r="W143" t="inlineStr">
        <is>
          <t>Nej</t>
        </is>
      </c>
      <c r="X143" t="inlineStr">
        <is>
          <t>Nej</t>
        </is>
      </c>
      <c r="Y143" t="inlineStr">
        <is>
          <t>Ja</t>
        </is>
      </c>
      <c r="Z143" t="inlineStr">
        <is>
          <t>Ja</t>
        </is>
      </c>
      <c r="AA143" t="n">
        <v>8</v>
      </c>
      <c r="AB143" t="inlineStr">
        <is>
          <t>Riskhantering</t>
        </is>
      </c>
      <c r="AC143" t="inlineStr">
        <is>
          <t>Risk-PM</t>
        </is>
      </c>
      <c r="AD143" t="inlineStr">
        <is>
          <t>Nej</t>
        </is>
      </c>
      <c r="AE143" t="inlineStr">
        <is>
          <t>Nej</t>
        </is>
      </c>
      <c r="AF143" t="inlineStr">
        <is>
          <t>Ej behandlad</t>
        </is>
      </c>
      <c r="AG143" t="inlineStr">
        <is>
          <t>AUTO_GENERERAD. Verifiera citat mot kallfil.</t>
        </is>
      </c>
      <c r="AH143" t="inlineStr">
        <is>
          <t>MEDIUM</t>
        </is>
      </c>
      <c r="AI143" t="inlineStr">
        <is>
          <t>AUTO</t>
        </is>
      </c>
      <c r="AJ143" t="inlineStr">
        <is>
          <t>Nej</t>
        </is>
      </c>
      <c r="AK143" t="inlineStr"/>
      <c r="AL143" t="inlineStr"/>
      <c r="AM143" t="inlineStr"/>
      <c r="AN143" t="inlineStr"/>
      <c r="AO143" t="inlineStr">
        <is>
          <t>cmm4yuq04034hcuqwue9hvqhc</t>
        </is>
      </c>
      <c r="AP143" t="inlineStr">
        <is>
          <t>http://localhost:8787/api/admin/requirements/documents/cmm4yuq04034hcuqwue9hvqhc/view</t>
        </is>
      </c>
      <c r="AQ143">
        <f>HYPERLÄNK("http://localhost:8787/api/admin/requirements/documents/cmm4yuq04034hcuqwue9hvqhc/view";"Öppna PDF")</f>
        <v/>
      </c>
      <c r="AR143">
        <f>HYPERLINK("http://localhost:8787/api/admin/requirements/documents/cmm4yuq04034hcuqwue9hvqhc/view","Open PDF")</f>
        <v/>
      </c>
      <c r="AS143" t="inlineStr">
        <is>
          <t>cmm55w57p0004cuisfrtpqly8</t>
        </is>
      </c>
      <c r="AT143" t="inlineStr">
        <is>
          <t>cmm4xvu980000cuh4vj0usz09</t>
        </is>
      </c>
      <c r="AU143" t="inlineStr">
        <is>
          <t>Lilla Edets</t>
        </is>
      </c>
      <c r="AV143" t="inlineStr">
        <is>
          <t>Kommun</t>
        </is>
      </c>
      <c r="AW143" t="inlineStr">
        <is>
          <t>Lilla Edets kommun</t>
        </is>
      </c>
      <c r="AX143" t="inlineStr">
        <is>
          <t>2024-06</t>
        </is>
      </c>
      <c r="AY143" t="inlineStr">
        <is>
          <t>Beslut</t>
        </is>
      </c>
      <c r="AZ143" t="inlineStr">
        <is>
          <t>2026-02-04</t>
        </is>
      </c>
      <c r="BA143" t="inlineStr">
        <is>
          <t>MB-2024-625-7 13.3 Miljöteknisk markundersökning m bilagor.pdf</t>
        </is>
      </c>
      <c r="BB143" t="inlineStr">
        <is>
          <t>VB: till registrator</t>
        </is>
      </c>
      <c r="BC143" t="inlineStr">
        <is>
          <t>AUTO</t>
        </is>
      </c>
      <c r="BD143" t="inlineStr"/>
      <c r="BE143" t="inlineStr"/>
      <c r="BF143" t="inlineStr">
        <is>
          <t>AUTO_GENERERAD. Bekrafta metadata mot kallfil.</t>
        </is>
      </c>
      <c r="BG143">
        <f>HYPERLINK("C:\Users\jimmy\Desktop\Examens arbete\Kod\Ny mapp\remix_-copy-of-miljöbeslut.se-portal\MB-2024-625-7 13.3 Miljöteknisk markundersökning m bilagor.pdf", "Öppna PDF")</f>
        <v/>
      </c>
    </row>
    <row r="144">
      <c r="A144" t="inlineStr">
        <is>
          <t>KRAV-AUTO-000143</t>
        </is>
      </c>
      <c r="B144" t="inlineStr">
        <is>
          <t>ADMIN-INDEX-2026-02-27-00000000125C043F57453246863FE664CAFE6A3F0700950291EA24F0614FB6ACEDB12BF0E31D00000000010C0000950291EA24F0614FB6ACEDB12BF0E31D00002087A5BD0000</t>
        </is>
      </c>
      <c r="C144" t="inlineStr">
        <is>
          <t>cmm4yur13043ncuqw78adtuo1</t>
        </is>
      </c>
      <c r="D144" t="inlineStr">
        <is>
          <t>http://localhost:8787/api/admin/requirements/documents/cmm4yur13043ncuqw78adtuo1/view</t>
        </is>
      </c>
      <c r="E144">
        <f>HYPERLÄNK("http://localhost:8787/api/admin/requirements/documents/cmm4yur13043ncuqw78adtuo1/view";"Öppna PDF")</f>
        <v/>
      </c>
      <c r="F144">
        <f>HYPERLINK("http://localhost:8787/api/admin/requirements/documents/cmm4yur13043ncuqw78adtuo1/view","Open PDF")</f>
        <v/>
      </c>
      <c r="G144" t="inlineStr">
        <is>
          <t>cmm55w57p0004cuisfrtpqly8</t>
        </is>
      </c>
      <c r="H144" t="inlineStr">
        <is>
          <t>Beslutsvillkor</t>
        </is>
      </c>
      <c r="I144" t="inlineStr">
        <is>
          <t>Ytkonstruktion</t>
        </is>
      </c>
      <c r="J144" t="inlineStr">
        <is>
          <t>Tat yta</t>
        </is>
      </c>
      <c r="K144" t="inlineStr">
        <is>
          <t>Kemikalier, petroleumprodukter och farligt avfall ska förvaras i täta behållare på tät, invallad yta, som är skyddad från nederbörd.</t>
        </is>
      </c>
      <c r="L144" t="inlineStr">
        <is>
          <t>Kemikalier, petroleumprodukter och farligt avfall ska förvaras i täta behållare på tät, invallad yta, som är skyddad från nederbörd.</t>
        </is>
      </c>
      <c r="M144" t="inlineStr">
        <is>
          <t>SKA</t>
        </is>
      </c>
      <c r="N144" t="inlineStr"/>
      <c r="O144" t="inlineStr"/>
      <c r="P144" t="inlineStr">
        <is>
          <t>Arlig</t>
        </is>
      </c>
      <c r="Q144" t="inlineStr"/>
      <c r="R144" t="inlineStr">
        <is>
          <t>Vid mellanlagring av avfall</t>
        </is>
      </c>
      <c r="S144" t="inlineStr"/>
      <c r="T144" t="inlineStr">
        <is>
          <t>714755</t>
        </is>
      </c>
      <c r="U144" t="inlineStr"/>
      <c r="V144" t="inlineStr"/>
      <c r="W144" t="inlineStr">
        <is>
          <t>Ja</t>
        </is>
      </c>
      <c r="X144" t="inlineStr">
        <is>
          <t>Nej</t>
        </is>
      </c>
      <c r="Y144" t="inlineStr">
        <is>
          <t>Nej</t>
        </is>
      </c>
      <c r="Z144" t="inlineStr">
        <is>
          <t>Nej</t>
        </is>
      </c>
      <c r="AA144" t="n">
        <v>5</v>
      </c>
      <c r="AB144" t="inlineStr">
        <is>
          <t>Teknisk beskrivning av platta</t>
        </is>
      </c>
      <c r="AC144" t="inlineStr">
        <is>
          <t>Teknisk ritning platta</t>
        </is>
      </c>
      <c r="AD144" t="inlineStr">
        <is>
          <t>Nej</t>
        </is>
      </c>
      <c r="AE144" t="inlineStr">
        <is>
          <t>Nej</t>
        </is>
      </c>
      <c r="AF144" t="inlineStr">
        <is>
          <t>Ej behandlad</t>
        </is>
      </c>
      <c r="AG144" t="inlineStr">
        <is>
          <t>AUTO_GENERERAD. Verifiera citat mot kallfil.</t>
        </is>
      </c>
      <c r="AH144" t="inlineStr">
        <is>
          <t>MEDIUM</t>
        </is>
      </c>
      <c r="AI144" t="inlineStr">
        <is>
          <t>AUTO</t>
        </is>
      </c>
      <c r="AJ144" t="inlineStr">
        <is>
          <t>Nej</t>
        </is>
      </c>
      <c r="AK144" t="inlineStr"/>
      <c r="AL144" t="inlineStr"/>
      <c r="AM144" t="inlineStr"/>
      <c r="AN144" t="inlineStr"/>
      <c r="AO144" t="inlineStr">
        <is>
          <t>cmm4yur13043ncuqw78adtuo1</t>
        </is>
      </c>
      <c r="AP144" t="inlineStr">
        <is>
          <t>http://localhost:8787/api/admin/requirements/documents/cmm4yur13043ncuqw78adtuo1/view</t>
        </is>
      </c>
      <c r="AQ144">
        <f>HYPERLÄNK("http://localhost:8787/api/admin/requirements/documents/cmm4yur13043ncuqw78adtuo1/view";"Öppna PDF")</f>
        <v/>
      </c>
      <c r="AR144">
        <f>HYPERLINK("http://localhost:8787/api/admin/requirements/documents/cmm4yur13043ncuqw78adtuo1/view","Open PDF")</f>
        <v/>
      </c>
      <c r="AS144" t="inlineStr">
        <is>
          <t>cmm55w57p0004cuisfrtpqly8</t>
        </is>
      </c>
      <c r="AT144" t="inlineStr">
        <is>
          <t>cmm4xvu980000cuh4vj0usz09</t>
        </is>
      </c>
      <c r="AU144" t="inlineStr">
        <is>
          <t>Miljöprövningsdelegationen Jokkmokks</t>
        </is>
      </c>
      <c r="AV144" t="inlineStr">
        <is>
          <t>Kommun</t>
        </is>
      </c>
      <c r="AW144" t="inlineStr">
        <is>
          <t>Miljöprövningsdelegationen Jokkmokks kommun</t>
        </is>
      </c>
      <c r="AX144" t="inlineStr">
        <is>
          <t>2013:251</t>
        </is>
      </c>
      <c r="AY144" t="inlineStr">
        <is>
          <t>Beslut</t>
        </is>
      </c>
      <c r="AZ144" t="inlineStr">
        <is>
          <t>2026-02-05</t>
        </is>
      </c>
      <c r="BA144" t="inlineStr">
        <is>
          <t>Beslut(26289851) (0)_TMP.pdf</t>
        </is>
      </c>
      <c r="BB144" t="inlineStr">
        <is>
          <t>Sv: till registrator</t>
        </is>
      </c>
      <c r="BC144" t="inlineStr">
        <is>
          <t>AUTO</t>
        </is>
      </c>
      <c r="BD144" t="inlineStr"/>
      <c r="BE144" t="inlineStr"/>
      <c r="BF144" t="inlineStr">
        <is>
          <t>AUTO_GENERERAD. Bekrafta metadata mot kallfil.</t>
        </is>
      </c>
      <c r="BG144">
        <f>HYPERLINK("C:\Users\jimmy\Desktop\Examens arbete\Kod\Ny mapp\remix_-copy-of-miljöbeslut.se-portal\Beslut(26289851) (0)_TMP.pdf", "Öppna PDF")</f>
        <v/>
      </c>
    </row>
    <row r="145">
      <c r="A145" t="inlineStr">
        <is>
          <t>KRAV-AUTO-000144</t>
        </is>
      </c>
      <c r="B145" t="inlineStr">
        <is>
          <t>ADMIN-INDEX-2026-02-27-00000000125C043F57453246863FE664CAFE6A3F0700950291EA24F0614FB6ACEDB12BF0E31D00000000010C0000950291EA24F0614FB6ACEDB12BF0E31D00002087A5BD0000</t>
        </is>
      </c>
      <c r="C145" t="inlineStr">
        <is>
          <t>cmm4yur13043ncuqw78adtuo1</t>
        </is>
      </c>
      <c r="D145" t="inlineStr">
        <is>
          <t>http://localhost:8787/api/admin/requirements/documents/cmm4yur13043ncuqw78adtuo1/view</t>
        </is>
      </c>
      <c r="E145">
        <f>HYPERLÄNK("http://localhost:8787/api/admin/requirements/documents/cmm4yur13043ncuqw78adtuo1/view";"Öppna PDF")</f>
        <v/>
      </c>
      <c r="F145">
        <f>HYPERLINK("http://localhost:8787/api/admin/requirements/documents/cmm4yur13043ncuqw78adtuo1/view","Open PDF")</f>
        <v/>
      </c>
      <c r="G145" t="inlineStr">
        <is>
          <t>cmm55w57p0004cuisfrtpqly8</t>
        </is>
      </c>
      <c r="H145" t="inlineStr">
        <is>
          <t>Beslutsvillkor</t>
        </is>
      </c>
      <c r="I145" t="inlineStr">
        <is>
          <t>Ytkonstruktion</t>
        </is>
      </c>
      <c r="J145" t="inlineStr">
        <is>
          <t>Tat yta</t>
        </is>
      </c>
      <c r="K145" t="inlineStr">
        <is>
          <t>Behållare ska skyddas mot påkörning och vid förvaring utomhus ska invallningen vara skyddad mot nederbörd.</t>
        </is>
      </c>
      <c r="L145" t="inlineStr">
        <is>
          <t>Behållare ska skyddas mot påkörning och vid förvaring utomhus ska invallningen vara skyddad mot nederbörd.</t>
        </is>
      </c>
      <c r="M145" t="inlineStr">
        <is>
          <t>SKA</t>
        </is>
      </c>
      <c r="N145" t="inlineStr"/>
      <c r="O145" t="inlineStr"/>
      <c r="P145" t="inlineStr"/>
      <c r="Q145" t="inlineStr"/>
      <c r="R145" t="inlineStr">
        <is>
          <t>Vid mellanlagring av avfall</t>
        </is>
      </c>
      <c r="S145" t="inlineStr"/>
      <c r="T145" t="inlineStr">
        <is>
          <t>714755</t>
        </is>
      </c>
      <c r="U145" t="inlineStr"/>
      <c r="V145" t="inlineStr"/>
      <c r="W145" t="inlineStr">
        <is>
          <t>Ja</t>
        </is>
      </c>
      <c r="X145" t="inlineStr">
        <is>
          <t>Nej</t>
        </is>
      </c>
      <c r="Y145" t="inlineStr">
        <is>
          <t>Nej</t>
        </is>
      </c>
      <c r="Z145" t="inlineStr">
        <is>
          <t>Nej</t>
        </is>
      </c>
      <c r="AA145" t="n">
        <v>5</v>
      </c>
      <c r="AB145" t="inlineStr">
        <is>
          <t>Teknisk beskrivning av platta</t>
        </is>
      </c>
      <c r="AC145" t="inlineStr">
        <is>
          <t>Teknisk ritning platta</t>
        </is>
      </c>
      <c r="AD145" t="inlineStr">
        <is>
          <t>Nej</t>
        </is>
      </c>
      <c r="AE145" t="inlineStr">
        <is>
          <t>Nej</t>
        </is>
      </c>
      <c r="AF145" t="inlineStr">
        <is>
          <t>Ej behandlad</t>
        </is>
      </c>
      <c r="AG145" t="inlineStr">
        <is>
          <t>AUTO_GENERERAD. Verifiera citat mot kallfil.</t>
        </is>
      </c>
      <c r="AH145" t="inlineStr">
        <is>
          <t>MEDIUM</t>
        </is>
      </c>
      <c r="AI145" t="inlineStr">
        <is>
          <t>AUTO</t>
        </is>
      </c>
      <c r="AJ145" t="inlineStr">
        <is>
          <t>Nej</t>
        </is>
      </c>
      <c r="AK145" t="inlineStr"/>
      <c r="AL145" t="inlineStr"/>
      <c r="AM145" t="inlineStr"/>
      <c r="AN145" t="inlineStr"/>
      <c r="AO145" t="inlineStr">
        <is>
          <t>cmm4yur13043ncuqw78adtuo1</t>
        </is>
      </c>
      <c r="AP145" t="inlineStr">
        <is>
          <t>http://localhost:8787/api/admin/requirements/documents/cmm4yur13043ncuqw78adtuo1/view</t>
        </is>
      </c>
      <c r="AQ145">
        <f>HYPERLÄNK("http://localhost:8787/api/admin/requirements/documents/cmm4yur13043ncuqw78adtuo1/view";"Öppna PDF")</f>
        <v/>
      </c>
      <c r="AR145">
        <f>HYPERLINK("http://localhost:8787/api/admin/requirements/documents/cmm4yur13043ncuqw78adtuo1/view","Open PDF")</f>
        <v/>
      </c>
      <c r="AS145" t="inlineStr">
        <is>
          <t>cmm55w57p0004cuisfrtpqly8</t>
        </is>
      </c>
      <c r="AT145" t="inlineStr">
        <is>
          <t>cmm4xvu980000cuh4vj0usz09</t>
        </is>
      </c>
      <c r="AU145" t="inlineStr">
        <is>
          <t>Miljöprövningsdelegationen Jokkmokks</t>
        </is>
      </c>
      <c r="AV145" t="inlineStr">
        <is>
          <t>Kommun</t>
        </is>
      </c>
      <c r="AW145" t="inlineStr">
        <is>
          <t>Miljöprövningsdelegationen Jokkmokks kommun</t>
        </is>
      </c>
      <c r="AX145" t="inlineStr">
        <is>
          <t>2013:251</t>
        </is>
      </c>
      <c r="AY145" t="inlineStr">
        <is>
          <t>Beslut</t>
        </is>
      </c>
      <c r="AZ145" t="inlineStr">
        <is>
          <t>2026-02-05</t>
        </is>
      </c>
      <c r="BA145" t="inlineStr">
        <is>
          <t>Beslut(26289851) (0)_TMP.pdf</t>
        </is>
      </c>
      <c r="BB145" t="inlineStr">
        <is>
          <t>Sv: till registrator</t>
        </is>
      </c>
      <c r="BC145" t="inlineStr">
        <is>
          <t>AUTO</t>
        </is>
      </c>
      <c r="BD145" t="inlineStr"/>
      <c r="BE145" t="inlineStr"/>
      <c r="BF145" t="inlineStr">
        <is>
          <t>AUTO_GENERERAD. Bekrafta metadata mot kallfil.</t>
        </is>
      </c>
      <c r="BG145">
        <f>HYPERLINK("C:\Users\jimmy\Desktop\Examens arbete\Kod\Ny mapp\remix_-copy-of-miljöbeslut.se-portal\Beslut(26289851) (0)_TMP.pdf", "Öppna PDF")</f>
        <v/>
      </c>
    </row>
    <row r="146">
      <c r="A146" t="inlineStr">
        <is>
          <t>KRAV-AUTO-000145</t>
        </is>
      </c>
      <c r="B146" t="inlineStr">
        <is>
          <t>ADMIN-INDEX-2026-02-27-00000000125C043F57453246863FE664CAFE6A3F0700950291EA24F0614FB6ACEDB12BF0E31D00000000010C0000950291EA24F0614FB6ACEDB12BF0E31D00002087A5BD0000</t>
        </is>
      </c>
      <c r="C146" t="inlineStr">
        <is>
          <t>cmm4yur13043ncuqw78adtuo1</t>
        </is>
      </c>
      <c r="D146" t="inlineStr">
        <is>
          <t>http://localhost:8787/api/admin/requirements/documents/cmm4yur13043ncuqw78adtuo1/view</t>
        </is>
      </c>
      <c r="E146">
        <f>HYPERLÄNK("http://localhost:8787/api/admin/requirements/documents/cmm4yur13043ncuqw78adtuo1/view";"Öppna PDF")</f>
        <v/>
      </c>
      <c r="F146">
        <f>HYPERLINK("http://localhost:8787/api/admin/requirements/documents/cmm4yur13043ncuqw78adtuo1/view","Open PDF")</f>
        <v/>
      </c>
      <c r="G146" t="inlineStr">
        <is>
          <t>cmm55w57p0004cuisfrtpqly8</t>
        </is>
      </c>
      <c r="H146" t="inlineStr">
        <is>
          <t>Beslutsvillkor</t>
        </is>
      </c>
      <c r="I146" t="inlineStr">
        <is>
          <t>DagvattenLakvatten</t>
        </is>
      </c>
      <c r="J146" t="inlineStr">
        <is>
          <t>Uppsamling</t>
        </is>
      </c>
      <c r="K146" t="inlineStr">
        <is>
          <t>Lagring av flytande miljö- och hälsofarliga kemiska produkter och flytande farligt avfall ska ske på tät invallad yta eller med motsvarande typ av säkerhetssystem för uppsamling av vätska.</t>
        </is>
      </c>
      <c r="L146" t="inlineStr">
        <is>
          <t>Lagring av flytande miljö- och hälsofarliga kemiska produkter och flytande farligt avfall ska ske på tät invallad yta eller med motsvarande typ av säkerhetssystem för uppsamling av vätska.</t>
        </is>
      </c>
      <c r="M146" t="inlineStr">
        <is>
          <t>SKA</t>
        </is>
      </c>
      <c r="N146" t="inlineStr"/>
      <c r="O146" t="inlineStr"/>
      <c r="P146" t="inlineStr">
        <is>
          <t>Arlig</t>
        </is>
      </c>
      <c r="Q146" t="inlineStr"/>
      <c r="R146" t="inlineStr">
        <is>
          <t>Vid nederbord och avrinning</t>
        </is>
      </c>
      <c r="S146" t="inlineStr"/>
      <c r="T146" t="inlineStr">
        <is>
          <t>714755</t>
        </is>
      </c>
      <c r="U146" t="inlineStr"/>
      <c r="V146" t="inlineStr"/>
      <c r="W146" t="inlineStr">
        <is>
          <t>Nej</t>
        </is>
      </c>
      <c r="X146" t="inlineStr">
        <is>
          <t>Ja</t>
        </is>
      </c>
      <c r="Y146" t="inlineStr">
        <is>
          <t>Ja</t>
        </is>
      </c>
      <c r="Z146" t="inlineStr">
        <is>
          <t>Nej</t>
        </is>
      </c>
      <c r="AA146" t="n">
        <v>6</v>
      </c>
      <c r="AB146" t="inlineStr">
        <is>
          <t>Lakvattenhantering</t>
        </is>
      </c>
      <c r="AC146" t="inlineStr">
        <is>
          <t>Flodesschema dagvatten-lakvatten</t>
        </is>
      </c>
      <c r="AD146" t="inlineStr">
        <is>
          <t>Nej</t>
        </is>
      </c>
      <c r="AE146" t="inlineStr">
        <is>
          <t>Nej</t>
        </is>
      </c>
      <c r="AF146" t="inlineStr">
        <is>
          <t>Ej behandlad</t>
        </is>
      </c>
      <c r="AG146" t="inlineStr">
        <is>
          <t>AUTO_GENERERAD. Verifiera citat mot kallfil.</t>
        </is>
      </c>
      <c r="AH146" t="inlineStr">
        <is>
          <t>MEDIUM</t>
        </is>
      </c>
      <c r="AI146" t="inlineStr">
        <is>
          <t>AUTO</t>
        </is>
      </c>
      <c r="AJ146" t="inlineStr">
        <is>
          <t>Nej</t>
        </is>
      </c>
      <c r="AK146" t="inlineStr"/>
      <c r="AL146" t="inlineStr"/>
      <c r="AM146" t="inlineStr"/>
      <c r="AN146" t="inlineStr"/>
      <c r="AO146" t="inlineStr">
        <is>
          <t>cmm4yur13043ncuqw78adtuo1</t>
        </is>
      </c>
      <c r="AP146" t="inlineStr">
        <is>
          <t>http://localhost:8787/api/admin/requirements/documents/cmm4yur13043ncuqw78adtuo1/view</t>
        </is>
      </c>
      <c r="AQ146">
        <f>HYPERLÄNK("http://localhost:8787/api/admin/requirements/documents/cmm4yur13043ncuqw78adtuo1/view";"Öppna PDF")</f>
        <v/>
      </c>
      <c r="AR146">
        <f>HYPERLINK("http://localhost:8787/api/admin/requirements/documents/cmm4yur13043ncuqw78adtuo1/view","Open PDF")</f>
        <v/>
      </c>
      <c r="AS146" t="inlineStr">
        <is>
          <t>cmm55w57p0004cuisfrtpqly8</t>
        </is>
      </c>
      <c r="AT146" t="inlineStr">
        <is>
          <t>cmm4xvu980000cuh4vj0usz09</t>
        </is>
      </c>
      <c r="AU146" t="inlineStr">
        <is>
          <t>Miljöprövningsdelegationen Jokkmokks</t>
        </is>
      </c>
      <c r="AV146" t="inlineStr">
        <is>
          <t>Kommun</t>
        </is>
      </c>
      <c r="AW146" t="inlineStr">
        <is>
          <t>Miljöprövningsdelegationen Jokkmokks kommun</t>
        </is>
      </c>
      <c r="AX146" t="inlineStr">
        <is>
          <t>2013:251</t>
        </is>
      </c>
      <c r="AY146" t="inlineStr">
        <is>
          <t>Beslut</t>
        </is>
      </c>
      <c r="AZ146" t="inlineStr">
        <is>
          <t>2026-02-05</t>
        </is>
      </c>
      <c r="BA146" t="inlineStr">
        <is>
          <t>Beslut(26289851) (0)_TMP.pdf</t>
        </is>
      </c>
      <c r="BB146" t="inlineStr">
        <is>
          <t>Sv: till registrator</t>
        </is>
      </c>
      <c r="BC146" t="inlineStr">
        <is>
          <t>AUTO</t>
        </is>
      </c>
      <c r="BD146" t="inlineStr"/>
      <c r="BE146" t="inlineStr"/>
      <c r="BF146" t="inlineStr">
        <is>
          <t>AUTO_GENERERAD. Bekrafta metadata mot kallfil.</t>
        </is>
      </c>
      <c r="BG146">
        <f>HYPERLINK("C:\Users\jimmy\Desktop\Examens arbete\Kod\Ny mapp\remix_-copy-of-miljöbeslut.se-portal\Beslut(26289851) (0)_TMP.pdf", "Öppna PDF")</f>
        <v/>
      </c>
    </row>
    <row r="147">
      <c r="A147" t="inlineStr">
        <is>
          <t>KRAV-AUTO-000146</t>
        </is>
      </c>
      <c r="B147" t="inlineStr">
        <is>
          <t>ADMIN-INDEX-2026-02-27-00000000125C043F57453246863FE664CAFE6A3F0700950291EA24F0614FB6ACEDB12BF0E31D00000000010C0000950291EA24F0614FB6ACEDB12BF0E31D00002087AE3A0000</t>
        </is>
      </c>
      <c r="C147" t="inlineStr">
        <is>
          <t>cmm4yupzb033tcuqwp8c4w8jp</t>
        </is>
      </c>
      <c r="D147" t="inlineStr">
        <is>
          <t>http://localhost:8787/api/admin/requirements/documents/cmm4yupzb033tcuqwp8c4w8jp/view</t>
        </is>
      </c>
      <c r="E147">
        <f>HYPERLÄNK("http://localhost:8787/api/admin/requirements/documents/cmm4yupzb033tcuqwp8c4w8jp/view";"Öppna PDF")</f>
        <v/>
      </c>
      <c r="F147">
        <f>HYPERLINK("http://localhost:8787/api/admin/requirements/documents/cmm4yupzb033tcuqwp8c4w8jp/view","Open PDF")</f>
        <v/>
      </c>
      <c r="G147" t="inlineStr">
        <is>
          <t>cmm55w57p0004cuisfrtpqly8</t>
        </is>
      </c>
      <c r="H147" t="inlineStr">
        <is>
          <t>Kompletteringskrav</t>
        </is>
      </c>
      <c r="I147" t="inlineStr">
        <is>
          <t>MiljopaverkanForsiktighet</t>
        </is>
      </c>
      <c r="J147" t="inlineStr">
        <is>
          <t>Skyddsatgarder</t>
        </is>
      </c>
      <c r="K147" t="inlineStr">
        <is>
          <t>Dokument: MB-2024-625-10 2024-10-14 Föreläggande om försiktighetsmått - Återanvändning av avfall för anläggningsändamål.pdf.</t>
        </is>
      </c>
      <c r="L147" t="inlineStr">
        <is>
          <t>Dokument: MB-2024-625-10 2024-10-14 Föreläggande om försiktighetsmått - Återanvändning av avfall för anläggningsändamål.pdf.</t>
        </is>
      </c>
      <c r="M147" t="inlineStr">
        <is>
          <t>INFO</t>
        </is>
      </c>
      <c r="N147" t="inlineStr"/>
      <c r="O147" t="inlineStr">
        <is>
          <t>2024-10-14</t>
        </is>
      </c>
      <c r="P147" t="inlineStr"/>
      <c r="Q147" t="inlineStr">
        <is>
          <t>Forelaggande vid brist</t>
        </is>
      </c>
      <c r="R147" t="inlineStr">
        <is>
          <t>Alltid</t>
        </is>
      </c>
      <c r="S147" t="inlineStr"/>
      <c r="T147" t="inlineStr">
        <is>
          <t>10 2024</t>
        </is>
      </c>
      <c r="U147" t="inlineStr"/>
      <c r="V147" t="inlineStr"/>
      <c r="W147" t="inlineStr">
        <is>
          <t>Nej</t>
        </is>
      </c>
      <c r="X147" t="inlineStr">
        <is>
          <t>Nej</t>
        </is>
      </c>
      <c r="Y147" t="inlineStr">
        <is>
          <t>Nej</t>
        </is>
      </c>
      <c r="Z147" t="inlineStr">
        <is>
          <t>Nej</t>
        </is>
      </c>
      <c r="AA147" t="n">
        <v>10</v>
      </c>
      <c r="AB147" t="inlineStr">
        <is>
          <t>Miljopaverkan och forsiktighetsmatt</t>
        </is>
      </c>
      <c r="AC147" t="inlineStr">
        <is>
          <t>Miljo-PM</t>
        </is>
      </c>
      <c r="AD147" t="inlineStr">
        <is>
          <t>Nej</t>
        </is>
      </c>
      <c r="AE147" t="inlineStr">
        <is>
          <t>Nej</t>
        </is>
      </c>
      <c r="AF147" t="inlineStr">
        <is>
          <t>Ej behandlad</t>
        </is>
      </c>
      <c r="AG147" t="inlineStr">
        <is>
          <t>AUTO_GENERERAD. Verifiera citat mot kallfil.</t>
        </is>
      </c>
      <c r="AH147" t="inlineStr">
        <is>
          <t>MEDIUM</t>
        </is>
      </c>
      <c r="AI147" t="inlineStr">
        <is>
          <t>AUTO</t>
        </is>
      </c>
      <c r="AJ147" t="inlineStr">
        <is>
          <t>Nej</t>
        </is>
      </c>
      <c r="AK147" t="inlineStr"/>
      <c r="AL147" t="inlineStr"/>
      <c r="AM147" t="inlineStr"/>
      <c r="AN147" t="inlineStr"/>
      <c r="AO147" t="inlineStr">
        <is>
          <t>cmm4yuq04034hcuqwue9hvqhc</t>
        </is>
      </c>
      <c r="AP147" t="inlineStr">
        <is>
          <t>http://localhost:8787/api/admin/requirements/documents/cmm4yuq04034hcuqwue9hvqhc/view</t>
        </is>
      </c>
      <c r="AQ147">
        <f>HYPERLÄNK("http://localhost:8787/api/admin/requirements/documents/cmm4yuq04034hcuqwue9hvqhc/view";"Öppna PDF")</f>
        <v/>
      </c>
      <c r="AR147">
        <f>HYPERLINK("http://localhost:8787/api/admin/requirements/documents/cmm4yuq04034hcuqwue9hvqhc/view","Open PDF")</f>
        <v/>
      </c>
      <c r="AS147" t="inlineStr">
        <is>
          <t>cmm55w57p0004cuisfrtpqly8</t>
        </is>
      </c>
      <c r="AT147" t="inlineStr">
        <is>
          <t>cmm4xvu980000cuh4vj0usz09</t>
        </is>
      </c>
      <c r="AU147" t="inlineStr">
        <is>
          <t>Lilla Edets</t>
        </is>
      </c>
      <c r="AV147" t="inlineStr">
        <is>
          <t>Kommun</t>
        </is>
      </c>
      <c r="AW147" t="inlineStr">
        <is>
          <t>Lilla Edets kommun</t>
        </is>
      </c>
      <c r="AX147" t="inlineStr">
        <is>
          <t>2024-06</t>
        </is>
      </c>
      <c r="AY147" t="inlineStr">
        <is>
          <t>Beslut</t>
        </is>
      </c>
      <c r="AZ147" t="inlineStr">
        <is>
          <t>2026-02-04</t>
        </is>
      </c>
      <c r="BA147" t="inlineStr">
        <is>
          <t>MB-2024-625-7 13.3 Miljöteknisk markundersökning m bilagor.pdf</t>
        </is>
      </c>
      <c r="BB147" t="inlineStr">
        <is>
          <t>VB: till registrator</t>
        </is>
      </c>
      <c r="BC147" t="inlineStr">
        <is>
          <t>AUTO</t>
        </is>
      </c>
      <c r="BD147" t="inlineStr"/>
      <c r="BE147" t="inlineStr"/>
      <c r="BF147" t="inlineStr">
        <is>
          <t>AUTO_GENERERAD. Bekrafta metadata mot kallfil.</t>
        </is>
      </c>
      <c r="BG147">
        <f>HYPERLINK("C:\Users\jimmy\Desktop\Examens arbete\Kod\Ny mapp\remix_-copy-of-miljöbeslut.se-portal\MB-2024-625-7 13.3 Miljöteknisk markundersökning m bilagor.pdf", "Öppna PDF")</f>
        <v/>
      </c>
    </row>
    <row r="148">
      <c r="A148" t="inlineStr">
        <is>
          <t>KRAV-AUTO-000147</t>
        </is>
      </c>
      <c r="B148" t="inlineStr">
        <is>
          <t>ADMIN-INDEX-2026-02-27-00000000125C043F57453246863FE664CAFE6A3F0700950291EA24F0614FB6ACEDB12BF0E31D00000000010C0000950291EA24F0614FB6ACEDB12BF0E31D00002087AE3A0000</t>
        </is>
      </c>
      <c r="C148" t="inlineStr">
        <is>
          <t>cmm4yupyt033ecuqwj5qe61qv</t>
        </is>
      </c>
      <c r="D148" t="inlineStr">
        <is>
          <t>http://localhost:8787/api/admin/requirements/documents/cmm4yupyt033ecuqwj5qe61qv/view</t>
        </is>
      </c>
      <c r="E148">
        <f>HYPERLÄNK("http://localhost:8787/api/admin/requirements/documents/cmm4yupyt033ecuqwj5qe61qv/view";"Öppna PDF")</f>
        <v/>
      </c>
      <c r="F148">
        <f>HYPERLINK("http://localhost:8787/api/admin/requirements/documents/cmm4yupyt033ecuqwj5qe61qv/view","Open PDF")</f>
        <v/>
      </c>
      <c r="G148" t="inlineStr">
        <is>
          <t>cmm55w57p0004cuisfrtpqly8</t>
        </is>
      </c>
      <c r="H148" t="inlineStr">
        <is>
          <t>Beslutsvillkor</t>
        </is>
      </c>
      <c r="I148" t="inlineStr">
        <is>
          <t>MiljopaverkanForsiktighet</t>
        </is>
      </c>
      <c r="J148" t="inlineStr">
        <is>
          <t>Skyddsatgarder</t>
        </is>
      </c>
      <c r="K148" t="inlineStr">
        <is>
          <t>Den 16 februari meddelade Christian Berg att han önskar att dra tillbaka anmälan om användning av avfall för anläggningsändamål.</t>
        </is>
      </c>
      <c r="L148" t="inlineStr">
        <is>
          <t>Den 16 februari meddelade Christian Berg att han önskar att dra tillbaka anmälan om användning av avfall för anläggningsändamål.</t>
        </is>
      </c>
      <c r="M148" t="inlineStr">
        <is>
          <t>SKA</t>
        </is>
      </c>
      <c r="N148" t="inlineStr"/>
      <c r="O148" t="inlineStr"/>
      <c r="P148" t="inlineStr"/>
      <c r="Q148" t="inlineStr"/>
      <c r="R148" t="inlineStr">
        <is>
          <t>Alltid</t>
        </is>
      </c>
      <c r="S148" t="inlineStr"/>
      <c r="T148" t="inlineStr">
        <is>
          <t>659902</t>
        </is>
      </c>
      <c r="U148" t="inlineStr"/>
      <c r="V148" t="inlineStr"/>
      <c r="W148" t="inlineStr">
        <is>
          <t>Nej</t>
        </is>
      </c>
      <c r="X148" t="inlineStr">
        <is>
          <t>Nej</t>
        </is>
      </c>
      <c r="Y148" t="inlineStr">
        <is>
          <t>Nej</t>
        </is>
      </c>
      <c r="Z148" t="inlineStr">
        <is>
          <t>Nej</t>
        </is>
      </c>
      <c r="AA148" t="n">
        <v>10</v>
      </c>
      <c r="AB148" t="inlineStr">
        <is>
          <t>Miljopaverkan och forsiktighetsmatt</t>
        </is>
      </c>
      <c r="AC148" t="inlineStr">
        <is>
          <t>Miljo-PM</t>
        </is>
      </c>
      <c r="AD148" t="inlineStr">
        <is>
          <t>Nej</t>
        </is>
      </c>
      <c r="AE148" t="inlineStr">
        <is>
          <t>Nej</t>
        </is>
      </c>
      <c r="AF148" t="inlineStr">
        <is>
          <t>Ej behandlad</t>
        </is>
      </c>
      <c r="AG148" t="inlineStr">
        <is>
          <t>AUTO_GENERERAD. Verifiera citat mot kallfil.</t>
        </is>
      </c>
      <c r="AH148" t="inlineStr">
        <is>
          <t>MEDIUM</t>
        </is>
      </c>
      <c r="AI148" t="inlineStr">
        <is>
          <t>AUTO</t>
        </is>
      </c>
      <c r="AJ148" t="inlineStr">
        <is>
          <t>Nej</t>
        </is>
      </c>
      <c r="AK148" t="inlineStr"/>
      <c r="AL148" t="inlineStr"/>
      <c r="AM148" t="inlineStr"/>
      <c r="AN148" t="inlineStr"/>
      <c r="AO148" t="inlineStr">
        <is>
          <t>cmm4yuq04034hcuqwue9hvqhc</t>
        </is>
      </c>
      <c r="AP148" t="inlineStr">
        <is>
          <t>http://localhost:8787/api/admin/requirements/documents/cmm4yuq04034hcuqwue9hvqhc/view</t>
        </is>
      </c>
      <c r="AQ148">
        <f>HYPERLÄNK("http://localhost:8787/api/admin/requirements/documents/cmm4yuq04034hcuqwue9hvqhc/view";"Öppna PDF")</f>
        <v/>
      </c>
      <c r="AR148">
        <f>HYPERLINK("http://localhost:8787/api/admin/requirements/documents/cmm4yuq04034hcuqwue9hvqhc/view","Open PDF")</f>
        <v/>
      </c>
      <c r="AS148" t="inlineStr">
        <is>
          <t>cmm55w57p0004cuisfrtpqly8</t>
        </is>
      </c>
      <c r="AT148" t="inlineStr">
        <is>
          <t>cmm4xvu980000cuh4vj0usz09</t>
        </is>
      </c>
      <c r="AU148" t="inlineStr">
        <is>
          <t>Lilla Edets</t>
        </is>
      </c>
      <c r="AV148" t="inlineStr">
        <is>
          <t>Kommun</t>
        </is>
      </c>
      <c r="AW148" t="inlineStr">
        <is>
          <t>Lilla Edets kommun</t>
        </is>
      </c>
      <c r="AX148" t="inlineStr">
        <is>
          <t>2024-06</t>
        </is>
      </c>
      <c r="AY148" t="inlineStr">
        <is>
          <t>Beslut</t>
        </is>
      </c>
      <c r="AZ148" t="inlineStr">
        <is>
          <t>2026-02-04</t>
        </is>
      </c>
      <c r="BA148" t="inlineStr">
        <is>
          <t>MB-2024-625-7 13.3 Miljöteknisk markundersökning m bilagor.pdf</t>
        </is>
      </c>
      <c r="BB148" t="inlineStr">
        <is>
          <t>VB: till registrator</t>
        </is>
      </c>
      <c r="BC148" t="inlineStr">
        <is>
          <t>AUTO</t>
        </is>
      </c>
      <c r="BD148" t="inlineStr"/>
      <c r="BE148" t="inlineStr"/>
      <c r="BF148" t="inlineStr">
        <is>
          <t>AUTO_GENERERAD. Bekrafta metadata mot kallfil.</t>
        </is>
      </c>
      <c r="BG148">
        <f>HYPERLINK("C:\Users\jimmy\Desktop\Examens arbete\Kod\Ny mapp\remix_-copy-of-miljöbeslut.se-portal\MB-2024-625-7 13.3 Miljöteknisk markundersökning m bilagor.pdf", "Öppna PDF")</f>
        <v/>
      </c>
    </row>
    <row r="149">
      <c r="A149" t="inlineStr">
        <is>
          <t>KRAV-AUTO-000148</t>
        </is>
      </c>
      <c r="B149" t="inlineStr">
        <is>
          <t>ADMIN-INDEX-2026-02-27-00000000125C043F57453246863FE664CAFE6A3F0700950291EA24F0614FB6ACEDB12BF0E31D00000000010C0000950291EA24F0614FB6ACEDB12BF0E31D00002087AE3A0000</t>
        </is>
      </c>
      <c r="C149" t="inlineStr">
        <is>
          <t>cmm4yupyt033ecuqwj5qe61qv</t>
        </is>
      </c>
      <c r="D149" t="inlineStr">
        <is>
          <t>http://localhost:8787/api/admin/requirements/documents/cmm4yupyt033ecuqwj5qe61qv/view</t>
        </is>
      </c>
      <c r="E149">
        <f>HYPERLÄNK("http://localhost:8787/api/admin/requirements/documents/cmm4yupyt033ecuqwj5qe61qv/view";"Öppna PDF")</f>
        <v/>
      </c>
      <c r="F149">
        <f>HYPERLINK("http://localhost:8787/api/admin/requirements/documents/cmm4yupyt033ecuqwj5qe61qv/view","Open PDF")</f>
        <v/>
      </c>
      <c r="G149" t="inlineStr">
        <is>
          <t>cmm55w57p0004cuisfrtpqly8</t>
        </is>
      </c>
      <c r="H149" t="inlineStr">
        <is>
          <t>Beslutsvillkor</t>
        </is>
      </c>
      <c r="I149" t="inlineStr">
        <is>
          <t>DriftEgenkontroll</t>
        </is>
      </c>
      <c r="J149" t="inlineStr">
        <is>
          <t>Journalforing</t>
        </is>
      </c>
      <c r="K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149" t="inlineStr">
        <is>
          <t>SKA</t>
        </is>
      </c>
      <c r="N149" t="inlineStr"/>
      <c r="O149" t="inlineStr"/>
      <c r="P149" t="inlineStr"/>
      <c r="Q149" t="inlineStr"/>
      <c r="R149" t="inlineStr">
        <is>
          <t>Lopande drift</t>
        </is>
      </c>
      <c r="S149" t="inlineStr"/>
      <c r="T149" t="inlineStr">
        <is>
          <t>659902</t>
        </is>
      </c>
      <c r="U149" t="inlineStr"/>
      <c r="V149" t="inlineStr"/>
      <c r="W149" t="inlineStr">
        <is>
          <t>Nej</t>
        </is>
      </c>
      <c r="X149" t="inlineStr">
        <is>
          <t>Nej</t>
        </is>
      </c>
      <c r="Y149" t="inlineStr">
        <is>
          <t>Ja</t>
        </is>
      </c>
      <c r="Z149" t="inlineStr">
        <is>
          <t>Nej</t>
        </is>
      </c>
      <c r="AA149" t="n">
        <v>7</v>
      </c>
      <c r="AB149" t="inlineStr">
        <is>
          <t>Egenkontrollrutiner</t>
        </is>
      </c>
      <c r="AC149" t="inlineStr">
        <is>
          <t>Egenkontrollprogram</t>
        </is>
      </c>
      <c r="AD149" t="inlineStr">
        <is>
          <t>Nej</t>
        </is>
      </c>
      <c r="AE149" t="inlineStr">
        <is>
          <t>Nej</t>
        </is>
      </c>
      <c r="AF149" t="inlineStr">
        <is>
          <t>Ej behandlad</t>
        </is>
      </c>
      <c r="AG149" t="inlineStr">
        <is>
          <t>AUTO_GENERERAD. Verifiera citat mot kallfil.</t>
        </is>
      </c>
      <c r="AH149" t="inlineStr">
        <is>
          <t>MEDIUM</t>
        </is>
      </c>
      <c r="AI149" t="inlineStr">
        <is>
          <t>AUTO</t>
        </is>
      </c>
      <c r="AJ149" t="inlineStr">
        <is>
          <t>Nej</t>
        </is>
      </c>
      <c r="AK149" t="inlineStr"/>
      <c r="AL149" t="inlineStr"/>
      <c r="AM149" t="inlineStr"/>
      <c r="AN149" t="inlineStr"/>
      <c r="AO149" t="inlineStr">
        <is>
          <t>cmm4yuq04034hcuqwue9hvqhc</t>
        </is>
      </c>
      <c r="AP149" t="inlineStr">
        <is>
          <t>http://localhost:8787/api/admin/requirements/documents/cmm4yuq04034hcuqwue9hvqhc/view</t>
        </is>
      </c>
      <c r="AQ149">
        <f>HYPERLÄNK("http://localhost:8787/api/admin/requirements/documents/cmm4yuq04034hcuqwue9hvqhc/view";"Öppna PDF")</f>
        <v/>
      </c>
      <c r="AR149">
        <f>HYPERLINK("http://localhost:8787/api/admin/requirements/documents/cmm4yuq04034hcuqwue9hvqhc/view","Open PDF")</f>
        <v/>
      </c>
      <c r="AS149" t="inlineStr">
        <is>
          <t>cmm55w57p0004cuisfrtpqly8</t>
        </is>
      </c>
      <c r="AT149" t="inlineStr">
        <is>
          <t>cmm4xvu980000cuh4vj0usz09</t>
        </is>
      </c>
      <c r="AU149" t="inlineStr">
        <is>
          <t>Lilla Edets</t>
        </is>
      </c>
      <c r="AV149" t="inlineStr">
        <is>
          <t>Kommun</t>
        </is>
      </c>
      <c r="AW149" t="inlineStr">
        <is>
          <t>Lilla Edets kommun</t>
        </is>
      </c>
      <c r="AX149" t="inlineStr">
        <is>
          <t>2024-06</t>
        </is>
      </c>
      <c r="AY149" t="inlineStr">
        <is>
          <t>Beslut</t>
        </is>
      </c>
      <c r="AZ149" t="inlineStr">
        <is>
          <t>2026-02-04</t>
        </is>
      </c>
      <c r="BA149" t="inlineStr">
        <is>
          <t>MB-2024-625-7 13.3 Miljöteknisk markundersökning m bilagor.pdf</t>
        </is>
      </c>
      <c r="BB149" t="inlineStr">
        <is>
          <t>VB: till registrator</t>
        </is>
      </c>
      <c r="BC149" t="inlineStr">
        <is>
          <t>AUTO</t>
        </is>
      </c>
      <c r="BD149" t="inlineStr"/>
      <c r="BE149" t="inlineStr"/>
      <c r="BF149" t="inlineStr">
        <is>
          <t>AUTO_GENERERAD. Bekrafta metadata mot kallfil.</t>
        </is>
      </c>
      <c r="BG149">
        <f>HYPERLINK("C:\Users\jimmy\Desktop\Examens arbete\Kod\Ny mapp\remix_-copy-of-miljöbeslut.se-portal\MB-2024-625-7 13.3 Miljöteknisk markundersökning m bilagor.pdf", "Öppna PDF")</f>
        <v/>
      </c>
    </row>
    <row r="150">
      <c r="A150" t="inlineStr">
        <is>
          <t>KRAV-AUTO-000149</t>
        </is>
      </c>
      <c r="B150" t="inlineStr">
        <is>
          <t>ADMIN-INDEX-2026-02-27-00000000125C043F57453246863FE664CAFE6A3F0700950291EA24F0614FB6ACEDB12BF0E31D00000000010C0000950291EA24F0614FB6ACEDB12BF0E31D00002087AE3A0000</t>
        </is>
      </c>
      <c r="C150" t="inlineStr">
        <is>
          <t>cmm4yupym0338cuqw5obas4kh</t>
        </is>
      </c>
      <c r="D150" t="inlineStr">
        <is>
          <t>http://localhost:8787/api/admin/requirements/documents/cmm4yupym0338cuqw5obas4kh/view</t>
        </is>
      </c>
      <c r="E150">
        <f>HYPERLÄNK("http://localhost:8787/api/admin/requirements/documents/cmm4yupym0338cuqw5obas4kh/view";"Öppna PDF")</f>
        <v/>
      </c>
      <c r="F150">
        <f>HYPERLINK("http://localhost:8787/api/admin/requirements/documents/cmm4yupym0338cuqw5obas4kh/view","Open PDF")</f>
        <v/>
      </c>
      <c r="G150" t="inlineStr">
        <is>
          <t>cmm55w57p0004cuisfrtpqly8</t>
        </is>
      </c>
      <c r="H150" t="inlineStr">
        <is>
          <t>Kompletteringskrav</t>
        </is>
      </c>
      <c r="I150" t="inlineStr">
        <is>
          <t>DriftEgenkontroll</t>
        </is>
      </c>
      <c r="J150" t="inlineStr">
        <is>
          <t>Journalforing</t>
        </is>
      </c>
      <c r="K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50" t="inlineStr">
        <is>
          <t>BOR</t>
        </is>
      </c>
      <c r="N150" t="inlineStr"/>
      <c r="O150" t="inlineStr">
        <is>
          <t>senast 7 augusti 2024</t>
        </is>
      </c>
      <c r="P150" t="inlineStr"/>
      <c r="Q150" t="inlineStr"/>
      <c r="R150" t="inlineStr">
        <is>
          <t>Lopande drift</t>
        </is>
      </c>
      <c r="S150" t="inlineStr"/>
      <c r="T150" t="inlineStr">
        <is>
          <t>511461</t>
        </is>
      </c>
      <c r="U150" t="inlineStr"/>
      <c r="V150" t="inlineStr"/>
      <c r="W150" t="inlineStr">
        <is>
          <t>Nej</t>
        </is>
      </c>
      <c r="X150" t="inlineStr">
        <is>
          <t>Nej</t>
        </is>
      </c>
      <c r="Y150" t="inlineStr">
        <is>
          <t>Ja</t>
        </is>
      </c>
      <c r="Z150" t="inlineStr">
        <is>
          <t>Nej</t>
        </is>
      </c>
      <c r="AA150" t="n">
        <v>7</v>
      </c>
      <c r="AB150" t="inlineStr">
        <is>
          <t>Egenkontrollrutiner</t>
        </is>
      </c>
      <c r="AC150" t="inlineStr">
        <is>
          <t>Egenkontrollprogram</t>
        </is>
      </c>
      <c r="AD150" t="inlineStr">
        <is>
          <t>Nej</t>
        </is>
      </c>
      <c r="AE150" t="inlineStr">
        <is>
          <t>Nej</t>
        </is>
      </c>
      <c r="AF150" t="inlineStr">
        <is>
          <t>Ej behandlad</t>
        </is>
      </c>
      <c r="AG150" t="inlineStr">
        <is>
          <t>AUTO_GENERERAD. Verifiera citat mot kallfil.</t>
        </is>
      </c>
      <c r="AH150" t="inlineStr">
        <is>
          <t>MEDIUM</t>
        </is>
      </c>
      <c r="AI150" t="inlineStr">
        <is>
          <t>AUTO</t>
        </is>
      </c>
      <c r="AJ150" t="inlineStr">
        <is>
          <t>Nej</t>
        </is>
      </c>
      <c r="AK150" t="inlineStr"/>
      <c r="AL150" t="inlineStr"/>
      <c r="AM150" t="inlineStr"/>
      <c r="AN150" t="inlineStr"/>
      <c r="AO150" t="inlineStr">
        <is>
          <t>cmm4yuq04034hcuqwue9hvqhc</t>
        </is>
      </c>
      <c r="AP150" t="inlineStr">
        <is>
          <t>http://localhost:8787/api/admin/requirements/documents/cmm4yuq04034hcuqwue9hvqhc/view</t>
        </is>
      </c>
      <c r="AQ150">
        <f>HYPERLÄNK("http://localhost:8787/api/admin/requirements/documents/cmm4yuq04034hcuqwue9hvqhc/view";"Öppna PDF")</f>
        <v/>
      </c>
      <c r="AR150">
        <f>HYPERLINK("http://localhost:8787/api/admin/requirements/documents/cmm4yuq04034hcuqwue9hvqhc/view","Open PDF")</f>
        <v/>
      </c>
      <c r="AS150" t="inlineStr">
        <is>
          <t>cmm55w57p0004cuisfrtpqly8</t>
        </is>
      </c>
      <c r="AT150" t="inlineStr">
        <is>
          <t>cmm4xvu980000cuh4vj0usz09</t>
        </is>
      </c>
      <c r="AU150" t="inlineStr">
        <is>
          <t>Lilla Edets</t>
        </is>
      </c>
      <c r="AV150" t="inlineStr">
        <is>
          <t>Kommun</t>
        </is>
      </c>
      <c r="AW150" t="inlineStr">
        <is>
          <t>Lilla Edets kommun</t>
        </is>
      </c>
      <c r="AX150" t="inlineStr">
        <is>
          <t>2024-06</t>
        </is>
      </c>
      <c r="AY150" t="inlineStr">
        <is>
          <t>Beslut</t>
        </is>
      </c>
      <c r="AZ150" t="inlineStr">
        <is>
          <t>2026-02-04</t>
        </is>
      </c>
      <c r="BA150" t="inlineStr">
        <is>
          <t>MB-2024-625-7 13.3 Miljöteknisk markundersökning m bilagor.pdf</t>
        </is>
      </c>
      <c r="BB150" t="inlineStr">
        <is>
          <t>VB: till registrator</t>
        </is>
      </c>
      <c r="BC150" t="inlineStr">
        <is>
          <t>AUTO</t>
        </is>
      </c>
      <c r="BD150" t="inlineStr"/>
      <c r="BE150" t="inlineStr"/>
      <c r="BF150" t="inlineStr">
        <is>
          <t>AUTO_GENERERAD. Bekrafta metadata mot kallfil.</t>
        </is>
      </c>
      <c r="BG150">
        <f>HYPERLINK("C:\Users\jimmy\Desktop\Examens arbete\Kod\Ny mapp\remix_-copy-of-miljöbeslut.se-portal\MB-2024-625-7 13.3 Miljöteknisk markundersökning m bilagor.pdf", "Öppna PDF")</f>
        <v/>
      </c>
    </row>
    <row r="151">
      <c r="A151" t="inlineStr">
        <is>
          <t>KRAV-AUTO-000150</t>
        </is>
      </c>
      <c r="B151" t="inlineStr">
        <is>
          <t>ADMIN-INDEX-2026-02-27-00000000125C043F57453246863FE664CAFE6A3F0700950291EA24F0614FB6ACEDB12BF0E31D00000000010C0000950291EA24F0614FB6ACEDB12BF0E31D00002087AE3A0000</t>
        </is>
      </c>
      <c r="C151" t="inlineStr">
        <is>
          <t>cmm4yupym0338cuqw5obas4kh</t>
        </is>
      </c>
      <c r="D151" t="inlineStr">
        <is>
          <t>http://localhost:8787/api/admin/requirements/documents/cmm4yupym0338cuqw5obas4kh/view</t>
        </is>
      </c>
      <c r="E151">
        <f>HYPERLÄNK("http://localhost:8787/api/admin/requirements/documents/cmm4yupym0338cuqw5obas4kh/view";"Öppna PDF")</f>
        <v/>
      </c>
      <c r="F151">
        <f>HYPERLINK("http://localhost:8787/api/admin/requirements/documents/cmm4yupym0338cuqw5obas4kh/view","Open PDF")</f>
        <v/>
      </c>
      <c r="G151" t="inlineStr">
        <is>
          <t>cmm55w57p0004cuisfrtpqly8</t>
        </is>
      </c>
      <c r="H151" t="inlineStr">
        <is>
          <t>Kompletteringskrav</t>
        </is>
      </c>
      <c r="I151" t="inlineStr">
        <is>
          <t>DriftEgenkontroll</t>
        </is>
      </c>
      <c r="J151" t="inlineStr">
        <is>
          <t>Journalforing</t>
        </is>
      </c>
      <c r="K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51" t="inlineStr">
        <is>
          <t>SKA</t>
        </is>
      </c>
      <c r="N151" t="inlineStr"/>
      <c r="O151" t="inlineStr"/>
      <c r="P151" t="inlineStr"/>
      <c r="Q151" t="inlineStr"/>
      <c r="R151" t="inlineStr">
        <is>
          <t>Lopande drift</t>
        </is>
      </c>
      <c r="S151" t="inlineStr"/>
      <c r="T151" t="inlineStr">
        <is>
          <t>511461</t>
        </is>
      </c>
      <c r="U151" t="inlineStr"/>
      <c r="V151" t="inlineStr"/>
      <c r="W151" t="inlineStr">
        <is>
          <t>Nej</t>
        </is>
      </c>
      <c r="X151" t="inlineStr">
        <is>
          <t>Nej</t>
        </is>
      </c>
      <c r="Y151" t="inlineStr">
        <is>
          <t>Ja</t>
        </is>
      </c>
      <c r="Z151" t="inlineStr">
        <is>
          <t>Nej</t>
        </is>
      </c>
      <c r="AA151" t="n">
        <v>7</v>
      </c>
      <c r="AB151" t="inlineStr">
        <is>
          <t>Egenkontrollrutiner</t>
        </is>
      </c>
      <c r="AC151" t="inlineStr">
        <is>
          <t>Egenkontrollprogram</t>
        </is>
      </c>
      <c r="AD151" t="inlineStr">
        <is>
          <t>Nej</t>
        </is>
      </c>
      <c r="AE151" t="inlineStr">
        <is>
          <t>Nej</t>
        </is>
      </c>
      <c r="AF151" t="inlineStr">
        <is>
          <t>Ej behandlad</t>
        </is>
      </c>
      <c r="AG151" t="inlineStr">
        <is>
          <t>AUTO_GENERERAD. Verifiera citat mot kallfil.</t>
        </is>
      </c>
      <c r="AH151" t="inlineStr">
        <is>
          <t>MEDIUM</t>
        </is>
      </c>
      <c r="AI151" t="inlineStr">
        <is>
          <t>AUTO</t>
        </is>
      </c>
      <c r="AJ151" t="inlineStr">
        <is>
          <t>Nej</t>
        </is>
      </c>
      <c r="AK151" t="inlineStr"/>
      <c r="AL151" t="inlineStr"/>
      <c r="AM151" t="inlineStr"/>
      <c r="AN151" t="inlineStr"/>
      <c r="AO151" t="inlineStr">
        <is>
          <t>cmm4yuq04034hcuqwue9hvqhc</t>
        </is>
      </c>
      <c r="AP151" t="inlineStr">
        <is>
          <t>http://localhost:8787/api/admin/requirements/documents/cmm4yuq04034hcuqwue9hvqhc/view</t>
        </is>
      </c>
      <c r="AQ151">
        <f>HYPERLÄNK("http://localhost:8787/api/admin/requirements/documents/cmm4yuq04034hcuqwue9hvqhc/view";"Öppna PDF")</f>
        <v/>
      </c>
      <c r="AR151">
        <f>HYPERLINK("http://localhost:8787/api/admin/requirements/documents/cmm4yuq04034hcuqwue9hvqhc/view","Open PDF")</f>
        <v/>
      </c>
      <c r="AS151" t="inlineStr">
        <is>
          <t>cmm55w57p0004cuisfrtpqly8</t>
        </is>
      </c>
      <c r="AT151" t="inlineStr">
        <is>
          <t>cmm4xvu980000cuh4vj0usz09</t>
        </is>
      </c>
      <c r="AU151" t="inlineStr">
        <is>
          <t>Lilla Edets</t>
        </is>
      </c>
      <c r="AV151" t="inlineStr">
        <is>
          <t>Kommun</t>
        </is>
      </c>
      <c r="AW151" t="inlineStr">
        <is>
          <t>Lilla Edets kommun</t>
        </is>
      </c>
      <c r="AX151" t="inlineStr">
        <is>
          <t>2024-06</t>
        </is>
      </c>
      <c r="AY151" t="inlineStr">
        <is>
          <t>Beslut</t>
        </is>
      </c>
      <c r="AZ151" t="inlineStr">
        <is>
          <t>2026-02-04</t>
        </is>
      </c>
      <c r="BA151" t="inlineStr">
        <is>
          <t>MB-2024-625-7 13.3 Miljöteknisk markundersökning m bilagor.pdf</t>
        </is>
      </c>
      <c r="BB151" t="inlineStr">
        <is>
          <t>VB: till registrator</t>
        </is>
      </c>
      <c r="BC151" t="inlineStr">
        <is>
          <t>AUTO</t>
        </is>
      </c>
      <c r="BD151" t="inlineStr"/>
      <c r="BE151" t="inlineStr"/>
      <c r="BF151" t="inlineStr">
        <is>
          <t>AUTO_GENERERAD. Bekrafta metadata mot kallfil.</t>
        </is>
      </c>
      <c r="BG151">
        <f>HYPERLINK("C:\Users\jimmy\Desktop\Examens arbete\Kod\Ny mapp\remix_-copy-of-miljöbeslut.se-portal\MB-2024-625-7 13.3 Miljöteknisk markundersökning m bilagor.pdf", "Öppna PDF")</f>
        <v/>
      </c>
    </row>
    <row r="152">
      <c r="A152" t="inlineStr">
        <is>
          <t>KRAV-AUTO-000151</t>
        </is>
      </c>
      <c r="B152" t="inlineStr">
        <is>
          <t>ADMIN-INDEX-2026-02-27-00000000125C043F57453246863FE664CAFE6A3F0700950291EA24F0614FB6ACEDB12BF0E31D00000000010C0000950291EA24F0614FB6ACEDB12BF0E31D00002087B1790000</t>
        </is>
      </c>
      <c r="C152" t="inlineStr">
        <is>
          <t>cmm4yunmd00twcuqw2m7dyyg5</t>
        </is>
      </c>
      <c r="D152" t="inlineStr">
        <is>
          <t>http://localhost:8787/api/admin/requirements/documents/cmm4yunmd00twcuqw2m7dyyg5/view</t>
        </is>
      </c>
      <c r="E152">
        <f>HYPERLÄNK("http://localhost:8787/api/admin/requirements/documents/cmm4yunmd00twcuqw2m7dyyg5/view";"Öppna PDF")</f>
        <v/>
      </c>
      <c r="F152">
        <f>HYPERLINK("http://localhost:8787/api/admin/requirements/documents/cmm4yunmd00twcuqw2m7dyyg5/view","Open PDF")</f>
        <v/>
      </c>
      <c r="G152" t="inlineStr">
        <is>
          <t>cmm55w57p0004cuisfrtpqly8</t>
        </is>
      </c>
      <c r="H152" t="inlineStr">
        <is>
          <t>Informationskrav</t>
        </is>
      </c>
      <c r="I152" t="inlineStr">
        <is>
          <t>DagvattenLakvatten</t>
        </is>
      </c>
      <c r="J152" t="inlineStr">
        <is>
          <t>Uppsamling</t>
        </is>
      </c>
      <c r="K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fastställd taxa.</t>
        </is>
      </c>
      <c r="L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t>
        </is>
      </c>
      <c r="M152" t="inlineStr">
        <is>
          <t>SKA</t>
        </is>
      </c>
      <c r="N152" t="inlineStr"/>
      <c r="O152" t="inlineStr"/>
      <c r="P152" t="inlineStr"/>
      <c r="Q152" t="inlineStr"/>
      <c r="R152" t="inlineStr">
        <is>
          <t>Vid nederbord och avrinning</t>
        </is>
      </c>
      <c r="S152" t="inlineStr"/>
      <c r="T152" t="inlineStr"/>
      <c r="U152" t="inlineStr"/>
      <c r="V152" t="inlineStr"/>
      <c r="W152" t="inlineStr">
        <is>
          <t>Nej</t>
        </is>
      </c>
      <c r="X152" t="inlineStr">
        <is>
          <t>Ja</t>
        </is>
      </c>
      <c r="Y152" t="inlineStr">
        <is>
          <t>Ja</t>
        </is>
      </c>
      <c r="Z152" t="inlineStr">
        <is>
          <t>Nej</t>
        </is>
      </c>
      <c r="AA152" t="n">
        <v>6</v>
      </c>
      <c r="AB152" t="inlineStr">
        <is>
          <t>Lakvattenhantering</t>
        </is>
      </c>
      <c r="AC152" t="inlineStr">
        <is>
          <t>Flodesschema dagvatten-lakvatten</t>
        </is>
      </c>
      <c r="AD152" t="inlineStr">
        <is>
          <t>Nej</t>
        </is>
      </c>
      <c r="AE152" t="inlineStr">
        <is>
          <t>Nej</t>
        </is>
      </c>
      <c r="AF152" t="inlineStr">
        <is>
          <t>Ej behandlad</t>
        </is>
      </c>
      <c r="AG152" t="inlineStr">
        <is>
          <t>AUTO_GENERERAD. Verifiera citat mot kallfil.</t>
        </is>
      </c>
      <c r="AH152" t="inlineStr">
        <is>
          <t>MEDIUM</t>
        </is>
      </c>
      <c r="AI152" t="inlineStr">
        <is>
          <t>AUTO</t>
        </is>
      </c>
      <c r="AJ152" t="inlineStr">
        <is>
          <t>Nej</t>
        </is>
      </c>
      <c r="AK152" t="inlineStr"/>
      <c r="AL152" t="inlineStr"/>
      <c r="AM152" t="inlineStr"/>
      <c r="AN152" t="inlineStr"/>
      <c r="AO152" t="inlineStr">
        <is>
          <t>cmm4yunmd00twcuqw2m7dyyg5</t>
        </is>
      </c>
      <c r="AP152" t="inlineStr">
        <is>
          <t>http://localhost:8787/api/admin/requirements/documents/cmm4yunmd00twcuqw2m7dyyg5/view</t>
        </is>
      </c>
      <c r="AQ152">
        <f>HYPERLÄNK("http://localhost:8787/api/admin/requirements/documents/cmm4yunmd00twcuqw2m7dyyg5/view";"Öppna PDF")</f>
        <v/>
      </c>
      <c r="AR152">
        <f>HYPERLINK("http://localhost:8787/api/admin/requirements/documents/cmm4yunmd00twcuqw2m7dyyg5/view","Open PDF")</f>
        <v/>
      </c>
      <c r="AS152" t="inlineStr">
        <is>
          <t>cmm55w57p0004cuisfrtpqly8</t>
        </is>
      </c>
      <c r="AT152" t="inlineStr">
        <is>
          <t>cmm4xvu980000cuh4vj0usz09</t>
        </is>
      </c>
      <c r="AU152" t="inlineStr">
        <is>
          <t>-- Miljökontoret Söderköpings</t>
        </is>
      </c>
      <c r="AV152" t="inlineStr">
        <is>
          <t>Kommun</t>
        </is>
      </c>
      <c r="AW152" t="inlineStr">
        <is>
          <t>-- Miljökontoret Söderköpings kommun</t>
        </is>
      </c>
      <c r="AX152" t="inlineStr">
        <is>
          <t>2024-05</t>
        </is>
      </c>
      <c r="AY152" t="inlineStr">
        <is>
          <t>Anmalan</t>
        </is>
      </c>
      <c r="AZ152" t="inlineStr">
        <is>
          <t>2026-02-03</t>
        </is>
      </c>
      <c r="BA152" t="inlineStr">
        <is>
          <t>MBNV-2024-602_2024-05-15_Anmälan.pdf</t>
        </is>
      </c>
      <c r="BB152" t="inlineStr">
        <is>
          <t>SV: till registrator</t>
        </is>
      </c>
      <c r="BC152" t="inlineStr">
        <is>
          <t>AUTO</t>
        </is>
      </c>
      <c r="BD152" t="inlineStr"/>
      <c r="BE152" t="inlineStr"/>
      <c r="BF152" t="inlineStr">
        <is>
          <t>AUTO_GENERERAD. Bekrafta metadata mot kallfil.</t>
        </is>
      </c>
      <c r="BG152">
        <f>HYPERLINK("C:\Users\jimmy\Desktop\Examens arbete\Kod\Ny mapp\remix_-copy-of-miljöbeslut.se-portal\MBNV-2024-602_2024-05-15_Anmälan.pdf", "Öppna PDF")</f>
        <v/>
      </c>
    </row>
    <row r="153">
      <c r="A153" t="inlineStr">
        <is>
          <t>KRAV-AUTO-000152</t>
        </is>
      </c>
      <c r="B153" t="inlineStr">
        <is>
          <t>ADMIN-INDEX-2026-02-27-00000000125C043F57453246863FE664CAFE6A3F0700950291EA24F0614FB6ACEDB12BF0E31D00000000010C0000950291EA24F0614FB6ACEDB12BF0E31D00002087B1790000</t>
        </is>
      </c>
      <c r="C153" t="inlineStr">
        <is>
          <t>cmm4yunmd00twcuqw2m7dyyg5</t>
        </is>
      </c>
      <c r="D153" t="inlineStr">
        <is>
          <t>http://localhost:8787/api/admin/requirements/documents/cmm4yunmd00twcuqw2m7dyyg5/view</t>
        </is>
      </c>
      <c r="E153">
        <f>HYPERLÄNK("http://localhost:8787/api/admin/requirements/documents/cmm4yunmd00twcuqw2m7dyyg5/view";"Öppna PDF")</f>
        <v/>
      </c>
      <c r="F153">
        <f>HYPERLINK("http://localhost:8787/api/admin/requirements/documents/cmm4yunmd00twcuqw2m7dyyg5/view","Open PDF")</f>
        <v/>
      </c>
      <c r="G153" t="inlineStr">
        <is>
          <t>cmm55w57p0004cuisfrtpqly8</t>
        </is>
      </c>
      <c r="H153" t="inlineStr">
        <is>
          <t>Informationskrav</t>
        </is>
      </c>
      <c r="I153" t="inlineStr">
        <is>
          <t>LagringsvolymTid</t>
        </is>
      </c>
      <c r="J153" t="inlineStr">
        <is>
          <t>Maxmangd</t>
        </is>
      </c>
      <c r="K153" t="inlineStr">
        <is>
          <t>Ett av facken förses med väggar och tak (papp/kartong) för att skyddas mot nederbörd.</t>
        </is>
      </c>
      <c r="L153" t="inlineStr">
        <is>
          <t>Ett av facken förses med väggar och tak (papp/kartong) för att skyddas mot nederbörd.</t>
        </is>
      </c>
      <c r="M153" t="inlineStr">
        <is>
          <t>BOR</t>
        </is>
      </c>
      <c r="N153" t="inlineStr"/>
      <c r="O153" t="inlineStr"/>
      <c r="P153" t="inlineStr"/>
      <c r="Q153" t="inlineStr"/>
      <c r="R153" t="inlineStr">
        <is>
          <t>Alltid</t>
        </is>
      </c>
      <c r="S153" t="inlineStr"/>
      <c r="T153" t="inlineStr"/>
      <c r="U153" t="inlineStr"/>
      <c r="V153" t="inlineStr"/>
      <c r="W153" t="inlineStr">
        <is>
          <t>Nej</t>
        </is>
      </c>
      <c r="X153" t="inlineStr">
        <is>
          <t>Nej</t>
        </is>
      </c>
      <c r="Y153" t="inlineStr">
        <is>
          <t>Nej</t>
        </is>
      </c>
      <c r="Z153" t="inlineStr">
        <is>
          <t>Nej</t>
        </is>
      </c>
      <c r="AA153" t="n">
        <v>4</v>
      </c>
      <c r="AB153" t="inlineStr">
        <is>
          <t>Avfallsmangder och lagringstid</t>
        </is>
      </c>
      <c r="AC153" t="inlineStr">
        <is>
          <t>Avfallsforteckning</t>
        </is>
      </c>
      <c r="AD153" t="inlineStr">
        <is>
          <t>Nej</t>
        </is>
      </c>
      <c r="AE153" t="inlineStr">
        <is>
          <t>Nej</t>
        </is>
      </c>
      <c r="AF153" t="inlineStr">
        <is>
          <t>Ej behandlad</t>
        </is>
      </c>
      <c r="AG153" t="inlineStr">
        <is>
          <t>AUTO_GENERERAD. Verifiera citat mot kallfil.</t>
        </is>
      </c>
      <c r="AH153" t="inlineStr">
        <is>
          <t>MEDIUM</t>
        </is>
      </c>
      <c r="AI153" t="inlineStr">
        <is>
          <t>AUTO</t>
        </is>
      </c>
      <c r="AJ153" t="inlineStr">
        <is>
          <t>Nej</t>
        </is>
      </c>
      <c r="AK153" t="inlineStr"/>
      <c r="AL153" t="inlineStr"/>
      <c r="AM153" t="inlineStr"/>
      <c r="AN153" t="inlineStr"/>
      <c r="AO153" t="inlineStr">
        <is>
          <t>cmm4yunmd00twcuqw2m7dyyg5</t>
        </is>
      </c>
      <c r="AP153" t="inlineStr">
        <is>
          <t>http://localhost:8787/api/admin/requirements/documents/cmm4yunmd00twcuqw2m7dyyg5/view</t>
        </is>
      </c>
      <c r="AQ153">
        <f>HYPERLÄNK("http://localhost:8787/api/admin/requirements/documents/cmm4yunmd00twcuqw2m7dyyg5/view";"Öppna PDF")</f>
        <v/>
      </c>
      <c r="AR153">
        <f>HYPERLINK("http://localhost:8787/api/admin/requirements/documents/cmm4yunmd00twcuqw2m7dyyg5/view","Open PDF")</f>
        <v/>
      </c>
      <c r="AS153" t="inlineStr">
        <is>
          <t>cmm55w57p0004cuisfrtpqly8</t>
        </is>
      </c>
      <c r="AT153" t="inlineStr">
        <is>
          <t>cmm4xvu980000cuh4vj0usz09</t>
        </is>
      </c>
      <c r="AU153" t="inlineStr">
        <is>
          <t>-- Miljökontoret Söderköpings</t>
        </is>
      </c>
      <c r="AV153" t="inlineStr">
        <is>
          <t>Kommun</t>
        </is>
      </c>
      <c r="AW153" t="inlineStr">
        <is>
          <t>-- Miljökontoret Söderköpings kommun</t>
        </is>
      </c>
      <c r="AX153" t="inlineStr">
        <is>
          <t>2024-05</t>
        </is>
      </c>
      <c r="AY153" t="inlineStr">
        <is>
          <t>Anmalan</t>
        </is>
      </c>
      <c r="AZ153" t="inlineStr">
        <is>
          <t>2026-02-03</t>
        </is>
      </c>
      <c r="BA153" t="inlineStr">
        <is>
          <t>MBNV-2024-602_2024-05-15_Anmälan.pdf</t>
        </is>
      </c>
      <c r="BB153" t="inlineStr">
        <is>
          <t>SV: till registrator</t>
        </is>
      </c>
      <c r="BC153" t="inlineStr">
        <is>
          <t>AUTO</t>
        </is>
      </c>
      <c r="BD153" t="inlineStr"/>
      <c r="BE153" t="inlineStr"/>
      <c r="BF153" t="inlineStr">
        <is>
          <t>AUTO_GENERERAD. Bekrafta metadata mot kallfil.</t>
        </is>
      </c>
      <c r="BG153">
        <f>HYPERLINK("C:\Users\jimmy\Desktop\Examens arbete\Kod\Ny mapp\remix_-copy-of-miljöbeslut.se-portal\MBNV-2024-602_2024-05-15_Anmälan.pdf", "Öppna PDF")</f>
        <v/>
      </c>
    </row>
    <row r="154">
      <c r="A154" t="inlineStr">
        <is>
          <t>KRAV-AUTO-000153</t>
        </is>
      </c>
      <c r="B154" t="inlineStr">
        <is>
          <t>ADMIN-INDEX-2026-02-27-00000000125C043F57453246863FE664CAFE6A3F0700950291EA24F0614FB6ACEDB12BF0E31D00000000010C0000950291EA24F0614FB6ACEDB12BF0E31D00002087AE340000</t>
        </is>
      </c>
      <c r="C154" t="inlineStr">
        <is>
          <t>cmm4yuq3a037kcuqwpi0d7k4c</t>
        </is>
      </c>
      <c r="D154" t="inlineStr">
        <is>
          <t>http://localhost:8787/api/admin/requirements/documents/cmm4yuq3a037kcuqwpi0d7k4c/view</t>
        </is>
      </c>
      <c r="E154">
        <f>HYPERLÄNK("http://localhost:8787/api/admin/requirements/documents/cmm4yuq3a037kcuqwpi0d7k4c/view";"Öppna PDF")</f>
        <v/>
      </c>
      <c r="F154">
        <f>HYPERLINK("http://localhost:8787/api/admin/requirements/documents/cmm4yuq3a037kcuqwpi0d7k4c/view","Open PDF")</f>
        <v/>
      </c>
      <c r="G154" t="inlineStr">
        <is>
          <t>cmm55w57p0004cuisfrtpqly8</t>
        </is>
      </c>
      <c r="H154" t="inlineStr">
        <is>
          <t>Beslutsvillkor</t>
        </is>
      </c>
      <c r="I154" t="inlineStr">
        <is>
          <t>DriftEgenkontroll</t>
        </is>
      </c>
      <c r="J154" t="inlineStr">
        <is>
          <t>Journalforing</t>
        </is>
      </c>
      <c r="K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54" t="inlineStr">
        <is>
          <t>BOR</t>
        </is>
      </c>
      <c r="N154" t="inlineStr"/>
      <c r="O154" t="inlineStr">
        <is>
          <t>2021-10-28</t>
        </is>
      </c>
      <c r="P154" t="inlineStr"/>
      <c r="Q154" t="inlineStr"/>
      <c r="R154" t="inlineStr">
        <is>
          <t>Lopande drift</t>
        </is>
      </c>
      <c r="S154" t="inlineStr"/>
      <c r="T154" t="inlineStr">
        <is>
          <t>505924</t>
        </is>
      </c>
      <c r="U154" t="inlineStr"/>
      <c r="V154" t="inlineStr"/>
      <c r="W154" t="inlineStr">
        <is>
          <t>Nej</t>
        </is>
      </c>
      <c r="X154" t="inlineStr">
        <is>
          <t>Nej</t>
        </is>
      </c>
      <c r="Y154" t="inlineStr">
        <is>
          <t>Ja</t>
        </is>
      </c>
      <c r="Z154" t="inlineStr">
        <is>
          <t>Nej</t>
        </is>
      </c>
      <c r="AA154" t="n">
        <v>7</v>
      </c>
      <c r="AB154" t="inlineStr">
        <is>
          <t>Egenkontrollrutiner</t>
        </is>
      </c>
      <c r="AC154" t="inlineStr">
        <is>
          <t>Egenkontrollprogram</t>
        </is>
      </c>
      <c r="AD154" t="inlineStr">
        <is>
          <t>Nej</t>
        </is>
      </c>
      <c r="AE154" t="inlineStr">
        <is>
          <t>Nej</t>
        </is>
      </c>
      <c r="AF154" t="inlineStr">
        <is>
          <t>Ej behandlad</t>
        </is>
      </c>
      <c r="AG154" t="inlineStr">
        <is>
          <t>AUTO_GENERERAD. Verifiera citat mot kallfil.</t>
        </is>
      </c>
      <c r="AH154" t="inlineStr">
        <is>
          <t>MEDIUM</t>
        </is>
      </c>
      <c r="AI154" t="inlineStr">
        <is>
          <t>AUTO</t>
        </is>
      </c>
      <c r="AJ154" t="inlineStr">
        <is>
          <t>Nej</t>
        </is>
      </c>
      <c r="AK154" t="inlineStr"/>
      <c r="AL154" t="inlineStr"/>
      <c r="AM154" t="inlineStr"/>
      <c r="AN154" t="inlineStr"/>
      <c r="AO154" t="inlineStr">
        <is>
          <t>cmm4yuq3a037kcuqwpi0d7k4c</t>
        </is>
      </c>
      <c r="AP154" t="inlineStr">
        <is>
          <t>http://localhost:8787/api/admin/requirements/documents/cmm4yuq3a037kcuqwpi0d7k4c/view</t>
        </is>
      </c>
      <c r="AQ154">
        <f>HYPERLÄNK("http://localhost:8787/api/admin/requirements/documents/cmm4yuq3a037kcuqwpi0d7k4c/view";"Öppna PDF")</f>
        <v/>
      </c>
      <c r="AR154">
        <f>HYPERLINK("http://localhost:8787/api/admin/requirements/documents/cmm4yuq3a037kcuqwpi0d7k4c/view","Open PDF")</f>
        <v/>
      </c>
      <c r="AS154" t="inlineStr">
        <is>
          <t>cmm55w57p0004cuisfrtpqly8</t>
        </is>
      </c>
      <c r="AT154" t="inlineStr">
        <is>
          <t>cmm4xvu980000cuh4vj0usz09</t>
        </is>
      </c>
      <c r="AU154" t="inlineStr"/>
      <c r="AV154" t="inlineStr">
        <is>
          <t>Kommun</t>
        </is>
      </c>
      <c r="AW154" t="inlineStr"/>
      <c r="AX154" t="inlineStr">
        <is>
          <t>2019:01</t>
        </is>
      </c>
      <c r="AY154" t="inlineStr">
        <is>
          <t>Beslut</t>
        </is>
      </c>
      <c r="AZ154" t="inlineStr">
        <is>
          <t>2026-02-04</t>
        </is>
      </c>
      <c r="BA154" t="inlineStr">
        <is>
          <t>Analysresultat - Muraren 4.pdf</t>
        </is>
      </c>
      <c r="BB154" t="inlineStr">
        <is>
          <t>Sv: till registrator</t>
        </is>
      </c>
      <c r="BC154" t="inlineStr">
        <is>
          <t>AUTO</t>
        </is>
      </c>
      <c r="BD154" t="inlineStr"/>
      <c r="BE154" t="inlineStr"/>
      <c r="BF154" t="inlineStr">
        <is>
          <t>AUTO_GENERERAD. Bekrafta metadata mot kallfil.</t>
        </is>
      </c>
      <c r="BG154">
        <f>HYPERLINK("C:\Users\jimmy\Desktop\Examens arbete\Kod\Ny mapp\remix_-copy-of-miljöbeslut.se-portal\Analysresultat - Muraren 4.pdf", "Öppna PDF")</f>
        <v/>
      </c>
    </row>
    <row r="155">
      <c r="A155" t="inlineStr">
        <is>
          <t>KRAV-AUTO-000154</t>
        </is>
      </c>
      <c r="B155" t="inlineStr">
        <is>
          <t>ADMIN-INDEX-2026-02-27-00000000125C043F57453246863FE664CAFE6A3F0700950291EA24F0614FB6ACEDB12BF0E31D00000000010C0000950291EA24F0614FB6ACEDB12BF0E31D00002087AE340000</t>
        </is>
      </c>
      <c r="C155" t="inlineStr">
        <is>
          <t>cmm4yuq3a037kcuqwpi0d7k4c</t>
        </is>
      </c>
      <c r="D155" t="inlineStr">
        <is>
          <t>http://localhost:8787/api/admin/requirements/documents/cmm4yuq3a037kcuqwpi0d7k4c/view</t>
        </is>
      </c>
      <c r="E155">
        <f>HYPERLÄNK("http://localhost:8787/api/admin/requirements/documents/cmm4yuq3a037kcuqwpi0d7k4c/view";"Öppna PDF")</f>
        <v/>
      </c>
      <c r="F155">
        <f>HYPERLINK("http://localhost:8787/api/admin/requirements/documents/cmm4yuq3a037kcuqwpi0d7k4c/view","Open PDF")</f>
        <v/>
      </c>
      <c r="G155" t="inlineStr">
        <is>
          <t>cmm55w57p0004cuisfrtpqly8</t>
        </is>
      </c>
      <c r="H155" t="inlineStr">
        <is>
          <t>Beslutsvillkor</t>
        </is>
      </c>
      <c r="I155" t="inlineStr">
        <is>
          <t>DriftEgenkontroll</t>
        </is>
      </c>
      <c r="J155" t="inlineStr">
        <is>
          <t>Journalforing</t>
        </is>
      </c>
      <c r="K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55" t="inlineStr">
        <is>
          <t>BOR</t>
        </is>
      </c>
      <c r="N155" t="inlineStr"/>
      <c r="O155" t="inlineStr">
        <is>
          <t>2021-10-28</t>
        </is>
      </c>
      <c r="P155" t="inlineStr"/>
      <c r="Q155" t="inlineStr"/>
      <c r="R155" t="inlineStr">
        <is>
          <t>Lopande drift</t>
        </is>
      </c>
      <c r="S155" t="inlineStr"/>
      <c r="T155" t="inlineStr">
        <is>
          <t>505924</t>
        </is>
      </c>
      <c r="U155" t="inlineStr"/>
      <c r="V155" t="inlineStr"/>
      <c r="W155" t="inlineStr">
        <is>
          <t>Nej</t>
        </is>
      </c>
      <c r="X155" t="inlineStr">
        <is>
          <t>Nej</t>
        </is>
      </c>
      <c r="Y155" t="inlineStr">
        <is>
          <t>Ja</t>
        </is>
      </c>
      <c r="Z155" t="inlineStr">
        <is>
          <t>Nej</t>
        </is>
      </c>
      <c r="AA155" t="n">
        <v>7</v>
      </c>
      <c r="AB155" t="inlineStr">
        <is>
          <t>Egenkontrollrutiner</t>
        </is>
      </c>
      <c r="AC155" t="inlineStr">
        <is>
          <t>Egenkontrollprogram</t>
        </is>
      </c>
      <c r="AD155" t="inlineStr">
        <is>
          <t>Nej</t>
        </is>
      </c>
      <c r="AE155" t="inlineStr">
        <is>
          <t>Nej</t>
        </is>
      </c>
      <c r="AF155" t="inlineStr">
        <is>
          <t>Ej behandlad</t>
        </is>
      </c>
      <c r="AG155" t="inlineStr">
        <is>
          <t>AUTO_GENERERAD. Verifiera citat mot kallfil.</t>
        </is>
      </c>
      <c r="AH155" t="inlineStr">
        <is>
          <t>MEDIUM</t>
        </is>
      </c>
      <c r="AI155" t="inlineStr">
        <is>
          <t>AUTO</t>
        </is>
      </c>
      <c r="AJ155" t="inlineStr">
        <is>
          <t>Nej</t>
        </is>
      </c>
      <c r="AK155" t="inlineStr"/>
      <c r="AL155" t="inlineStr"/>
      <c r="AM155" t="inlineStr"/>
      <c r="AN155" t="inlineStr"/>
      <c r="AO155" t="inlineStr">
        <is>
          <t>cmm4yuq3a037kcuqwpi0d7k4c</t>
        </is>
      </c>
      <c r="AP155" t="inlineStr">
        <is>
          <t>http://localhost:8787/api/admin/requirements/documents/cmm4yuq3a037kcuqwpi0d7k4c/view</t>
        </is>
      </c>
      <c r="AQ155">
        <f>HYPERLÄNK("http://localhost:8787/api/admin/requirements/documents/cmm4yuq3a037kcuqwpi0d7k4c/view";"Öppna PDF")</f>
        <v/>
      </c>
      <c r="AR155">
        <f>HYPERLINK("http://localhost:8787/api/admin/requirements/documents/cmm4yuq3a037kcuqwpi0d7k4c/view","Open PDF")</f>
        <v/>
      </c>
      <c r="AS155" t="inlineStr">
        <is>
          <t>cmm55w57p0004cuisfrtpqly8</t>
        </is>
      </c>
      <c r="AT155" t="inlineStr">
        <is>
          <t>cmm4xvu980000cuh4vj0usz09</t>
        </is>
      </c>
      <c r="AU155" t="inlineStr"/>
      <c r="AV155" t="inlineStr">
        <is>
          <t>Kommun</t>
        </is>
      </c>
      <c r="AW155" t="inlineStr"/>
      <c r="AX155" t="inlineStr">
        <is>
          <t>2019:01</t>
        </is>
      </c>
      <c r="AY155" t="inlineStr">
        <is>
          <t>Beslut</t>
        </is>
      </c>
      <c r="AZ155" t="inlineStr">
        <is>
          <t>2026-02-04</t>
        </is>
      </c>
      <c r="BA155" t="inlineStr">
        <is>
          <t>Analysresultat - Muraren 4.pdf</t>
        </is>
      </c>
      <c r="BB155" t="inlineStr">
        <is>
          <t>Sv: till registrator</t>
        </is>
      </c>
      <c r="BC155" t="inlineStr">
        <is>
          <t>AUTO</t>
        </is>
      </c>
      <c r="BD155" t="inlineStr"/>
      <c r="BE155" t="inlineStr"/>
      <c r="BF155" t="inlineStr">
        <is>
          <t>AUTO_GENERERAD. Bekrafta metadata mot kallfil.</t>
        </is>
      </c>
      <c r="BG155">
        <f>HYPERLINK("C:\Users\jimmy\Desktop\Examens arbete\Kod\Ny mapp\remix_-copy-of-miljöbeslut.se-portal\Analysresultat - Muraren 4.pdf", "Öppna PDF")</f>
        <v/>
      </c>
    </row>
    <row r="156">
      <c r="A156" t="inlineStr">
        <is>
          <t>KRAV-AUTO-000155</t>
        </is>
      </c>
      <c r="B156" t="inlineStr">
        <is>
          <t>ADMIN-INDEX-2026-02-27-00000000125C043F57453246863FE664CAFE6A3F0700950291EA24F0614FB6ACEDB12BF0E31D00000000010C0000950291EA24F0614FB6ACEDB12BF0E31D00002087AE340000</t>
        </is>
      </c>
      <c r="C156" t="inlineStr">
        <is>
          <t>cmm4yuq3a037kcuqwpi0d7k4c</t>
        </is>
      </c>
      <c r="D156" t="inlineStr">
        <is>
          <t>http://localhost:8787/api/admin/requirements/documents/cmm4yuq3a037kcuqwpi0d7k4c/view</t>
        </is>
      </c>
      <c r="E156">
        <f>HYPERLÄNK("http://localhost:8787/api/admin/requirements/documents/cmm4yuq3a037kcuqwpi0d7k4c/view";"Öppna PDF")</f>
        <v/>
      </c>
      <c r="F156">
        <f>HYPERLINK("http://localhost:8787/api/admin/requirements/documents/cmm4yuq3a037kcuqwpi0d7k4c/view","Open PDF")</f>
        <v/>
      </c>
      <c r="G156" t="inlineStr">
        <is>
          <t>cmm55w57p0004cuisfrtpqly8</t>
        </is>
      </c>
      <c r="H156" t="inlineStr">
        <is>
          <t>Beslutsvillkor</t>
        </is>
      </c>
      <c r="I156" t="inlineStr">
        <is>
          <t>DriftEgenkontroll</t>
        </is>
      </c>
      <c r="J156" t="inlineStr">
        <is>
          <t>Journalforing</t>
        </is>
      </c>
      <c r="K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56" t="inlineStr">
        <is>
          <t>BOR</t>
        </is>
      </c>
      <c r="N156" t="inlineStr"/>
      <c r="O156" t="inlineStr">
        <is>
          <t>2021-10-28</t>
        </is>
      </c>
      <c r="P156" t="inlineStr"/>
      <c r="Q156" t="inlineStr"/>
      <c r="R156" t="inlineStr">
        <is>
          <t>Lopande drift</t>
        </is>
      </c>
      <c r="S156" t="inlineStr"/>
      <c r="T156" t="inlineStr">
        <is>
          <t>505924</t>
        </is>
      </c>
      <c r="U156" t="inlineStr"/>
      <c r="V156" t="inlineStr"/>
      <c r="W156" t="inlineStr">
        <is>
          <t>Nej</t>
        </is>
      </c>
      <c r="X156" t="inlineStr">
        <is>
          <t>Nej</t>
        </is>
      </c>
      <c r="Y156" t="inlineStr">
        <is>
          <t>Ja</t>
        </is>
      </c>
      <c r="Z156" t="inlineStr">
        <is>
          <t>Nej</t>
        </is>
      </c>
      <c r="AA156" t="n">
        <v>7</v>
      </c>
      <c r="AB156" t="inlineStr">
        <is>
          <t>Egenkontrollrutiner</t>
        </is>
      </c>
      <c r="AC156" t="inlineStr">
        <is>
          <t>Egenkontrollprogram</t>
        </is>
      </c>
      <c r="AD156" t="inlineStr">
        <is>
          <t>Nej</t>
        </is>
      </c>
      <c r="AE156" t="inlineStr">
        <is>
          <t>Nej</t>
        </is>
      </c>
      <c r="AF156" t="inlineStr">
        <is>
          <t>Ej behandlad</t>
        </is>
      </c>
      <c r="AG156" t="inlineStr">
        <is>
          <t>AUTO_GENERERAD. Verifiera citat mot kallfil.</t>
        </is>
      </c>
      <c r="AH156" t="inlineStr">
        <is>
          <t>MEDIUM</t>
        </is>
      </c>
      <c r="AI156" t="inlineStr">
        <is>
          <t>AUTO</t>
        </is>
      </c>
      <c r="AJ156" t="inlineStr">
        <is>
          <t>Nej</t>
        </is>
      </c>
      <c r="AK156" t="inlineStr"/>
      <c r="AL156" t="inlineStr"/>
      <c r="AM156" t="inlineStr"/>
      <c r="AN156" t="inlineStr"/>
      <c r="AO156" t="inlineStr">
        <is>
          <t>cmm4yuq3a037kcuqwpi0d7k4c</t>
        </is>
      </c>
      <c r="AP156" t="inlineStr">
        <is>
          <t>http://localhost:8787/api/admin/requirements/documents/cmm4yuq3a037kcuqwpi0d7k4c/view</t>
        </is>
      </c>
      <c r="AQ156">
        <f>HYPERLÄNK("http://localhost:8787/api/admin/requirements/documents/cmm4yuq3a037kcuqwpi0d7k4c/view";"Öppna PDF")</f>
        <v/>
      </c>
      <c r="AR156">
        <f>HYPERLINK("http://localhost:8787/api/admin/requirements/documents/cmm4yuq3a037kcuqwpi0d7k4c/view","Open PDF")</f>
        <v/>
      </c>
      <c r="AS156" t="inlineStr">
        <is>
          <t>cmm55w57p0004cuisfrtpqly8</t>
        </is>
      </c>
      <c r="AT156" t="inlineStr">
        <is>
          <t>cmm4xvu980000cuh4vj0usz09</t>
        </is>
      </c>
      <c r="AU156" t="inlineStr"/>
      <c r="AV156" t="inlineStr">
        <is>
          <t>Kommun</t>
        </is>
      </c>
      <c r="AW156" t="inlineStr"/>
      <c r="AX156" t="inlineStr">
        <is>
          <t>2019:01</t>
        </is>
      </c>
      <c r="AY156" t="inlineStr">
        <is>
          <t>Beslut</t>
        </is>
      </c>
      <c r="AZ156" t="inlineStr">
        <is>
          <t>2026-02-04</t>
        </is>
      </c>
      <c r="BA156" t="inlineStr">
        <is>
          <t>Analysresultat - Muraren 4.pdf</t>
        </is>
      </c>
      <c r="BB156" t="inlineStr">
        <is>
          <t>Sv: till registrator</t>
        </is>
      </c>
      <c r="BC156" t="inlineStr">
        <is>
          <t>AUTO</t>
        </is>
      </c>
      <c r="BD156" t="inlineStr"/>
      <c r="BE156" t="inlineStr"/>
      <c r="BF156" t="inlineStr">
        <is>
          <t>AUTO_GENERERAD. Bekrafta metadata mot kallfil.</t>
        </is>
      </c>
      <c r="BG156">
        <f>HYPERLINK("C:\Users\jimmy\Desktop\Examens arbete\Kod\Ny mapp\remix_-copy-of-miljöbeslut.se-portal\Analysresultat - Muraren 4.pdf", "Öppna PDF")</f>
        <v/>
      </c>
    </row>
    <row r="157">
      <c r="A157" t="inlineStr">
        <is>
          <t>KRAV-AUTO-000156</t>
        </is>
      </c>
      <c r="B157" t="inlineStr">
        <is>
          <t>ADMIN-INDEX-2026-02-27-00000000125C043F57453246863FE664CAFE6A3F0700950291EA24F0614FB6ACEDB12BF0E31D00000000010C0000950291EA24F0614FB6ACEDB12BF0E31D00002087A59A0000</t>
        </is>
      </c>
      <c r="C157" t="inlineStr">
        <is>
          <t>cmm4yur6y048tcuqwl5ag5aul</t>
        </is>
      </c>
      <c r="D157" t="inlineStr">
        <is>
          <t>http://localhost:8787/api/admin/requirements/documents/cmm4yur6y048tcuqwl5ag5aul/view</t>
        </is>
      </c>
      <c r="E157">
        <f>HYPERLÄNK("http://localhost:8787/api/admin/requirements/documents/cmm4yur6y048tcuqwl5ag5aul/view";"Öppna PDF")</f>
        <v/>
      </c>
      <c r="F157">
        <f>HYPERLINK("http://localhost:8787/api/admin/requirements/documents/cmm4yur6y048tcuqwl5ag5aul/view","Open PDF")</f>
        <v/>
      </c>
      <c r="G157" t="inlineStr">
        <is>
          <t>cmm55w57p0004cuisfrtpqly8</t>
        </is>
      </c>
      <c r="H157" t="inlineStr">
        <is>
          <t>Informationskrav</t>
        </is>
      </c>
      <c r="I157" t="inlineStr">
        <is>
          <t>Riskhantering</t>
        </is>
      </c>
      <c r="J157" t="inlineStr">
        <is>
          <t>Riskkontroll</t>
        </is>
      </c>
      <c r="K157" t="inlineStr">
        <is>
          <t>Tanken från Hilbrands är att vi ska lasta betongen i Väderstad och transportera den till Gottorp och där på plats separera armeringen från betongen.</t>
        </is>
      </c>
      <c r="L157" t="inlineStr">
        <is>
          <t>Tanken från Hilbrands är att vi ska lasta betongen i Väderstad och transportera den till Gottorp och där på plats separera armeringen från betongen.</t>
        </is>
      </c>
      <c r="M157" t="inlineStr">
        <is>
          <t>SKA</t>
        </is>
      </c>
      <c r="N157" t="inlineStr"/>
      <c r="O157" t="inlineStr"/>
      <c r="P157" t="inlineStr"/>
      <c r="Q157" t="inlineStr"/>
      <c r="R157" t="inlineStr">
        <is>
          <t>Vid risk for incident</t>
        </is>
      </c>
      <c r="S157" t="inlineStr"/>
      <c r="T157" t="inlineStr">
        <is>
          <t>2025 20</t>
        </is>
      </c>
      <c r="U157" t="inlineStr"/>
      <c r="V157" t="inlineStr"/>
      <c r="W157" t="inlineStr">
        <is>
          <t>Nej</t>
        </is>
      </c>
      <c r="X157" t="inlineStr">
        <is>
          <t>Nej</t>
        </is>
      </c>
      <c r="Y157" t="inlineStr">
        <is>
          <t>Ja</t>
        </is>
      </c>
      <c r="Z157" t="inlineStr">
        <is>
          <t>Ja</t>
        </is>
      </c>
      <c r="AA157" t="n">
        <v>8</v>
      </c>
      <c r="AB157" t="inlineStr">
        <is>
          <t>Riskhantering</t>
        </is>
      </c>
      <c r="AC157" t="inlineStr">
        <is>
          <t>Risk-PM</t>
        </is>
      </c>
      <c r="AD157" t="inlineStr">
        <is>
          <t>Nej</t>
        </is>
      </c>
      <c r="AE157" t="inlineStr">
        <is>
          <t>Nej</t>
        </is>
      </c>
      <c r="AF157" t="inlineStr">
        <is>
          <t>Ej behandlad</t>
        </is>
      </c>
      <c r="AG157" t="inlineStr">
        <is>
          <t>AUTO_GENERERAD. Verifiera citat mot kallfil.</t>
        </is>
      </c>
      <c r="AH157" t="inlineStr">
        <is>
          <t>LOW</t>
        </is>
      </c>
      <c r="AI157" t="inlineStr">
        <is>
          <t>AUTO</t>
        </is>
      </c>
      <c r="AJ157" t="inlineStr">
        <is>
          <t>Nej</t>
        </is>
      </c>
      <c r="AK157" t="inlineStr"/>
      <c r="AL157" t="inlineStr"/>
      <c r="AM157" t="inlineStr"/>
      <c r="AN157" t="inlineStr"/>
      <c r="AO157" t="inlineStr">
        <is>
          <t>cmm4yur6y048tcuqwl5ag5aul</t>
        </is>
      </c>
      <c r="AP157" t="inlineStr">
        <is>
          <t>http://localhost:8787/api/admin/requirements/documents/cmm4yur6y048tcuqwl5ag5aul/view</t>
        </is>
      </c>
      <c r="AQ157">
        <f>HYPERLÄNK("http://localhost:8787/api/admin/requirements/documents/cmm4yur6y048tcuqwl5ag5aul/view";"Öppna PDF")</f>
        <v/>
      </c>
      <c r="AR157">
        <f>HYPERLINK("http://localhost:8787/api/admin/requirements/documents/cmm4yur6y048tcuqwl5ag5aul/view","Open PDF")</f>
        <v/>
      </c>
      <c r="AS157" t="inlineStr">
        <is>
          <t>cmm55w57p0004cuisfrtpqly8</t>
        </is>
      </c>
      <c r="AT157" t="inlineStr">
        <is>
          <t>cmm4xvu980000cuh4vj0usz09</t>
        </is>
      </c>
      <c r="AU157" t="inlineStr"/>
      <c r="AV157" t="inlineStr">
        <is>
          <t>Kommun</t>
        </is>
      </c>
      <c r="AW157" t="inlineStr"/>
      <c r="AX157" t="inlineStr"/>
      <c r="AY157" t="inlineStr">
        <is>
          <t>Anmalan</t>
        </is>
      </c>
      <c r="AZ157" t="inlineStr">
        <is>
          <t>2026-02-09</t>
        </is>
      </c>
      <c r="BA157" t="inlineStr">
        <is>
          <t>MN-2025-455-4 Krossning.pdf</t>
        </is>
      </c>
      <c r="BB157" t="inlineStr">
        <is>
          <t>Anmälningspliktiga verksamheter rörande avfall</t>
        </is>
      </c>
      <c r="BC157" t="inlineStr">
        <is>
          <t>AUTO</t>
        </is>
      </c>
      <c r="BD157" t="inlineStr"/>
      <c r="BE157" t="inlineStr"/>
      <c r="BF157" t="inlineStr">
        <is>
          <t>AUTO_GENERERAD. Bekrafta metadata mot kallfil.</t>
        </is>
      </c>
      <c r="BG157">
        <f>HYPERLINK("C:\Users\jimmy\Desktop\Examens arbete\Kod\Ny mapp\remix_-copy-of-miljöbeslut.se-portal\MN-2025-455-4 Krossning.pdf", "Öppna PDF")</f>
        <v/>
      </c>
    </row>
    <row r="158">
      <c r="A158" t="inlineStr">
        <is>
          <t>KRAV-AUTO-000157</t>
        </is>
      </c>
      <c r="B158" t="inlineStr">
        <is>
          <t>ADMIN-INDEX-2026-02-27-00000000125C043F57453246863FE664CAFE6A3F0700950291EA24F0614FB6ACEDB12BF0E31D00000000010C0000950291EA24F0614FB6ACEDB12BF0E31D00002087A59A0000</t>
        </is>
      </c>
      <c r="C158" t="inlineStr">
        <is>
          <t>cmm4yur6y048tcuqwl5ag5aul</t>
        </is>
      </c>
      <c r="D158" t="inlineStr">
        <is>
          <t>http://localhost:8787/api/admin/requirements/documents/cmm4yur6y048tcuqwl5ag5aul/view</t>
        </is>
      </c>
      <c r="E158">
        <f>HYPERLÄNK("http://localhost:8787/api/admin/requirements/documents/cmm4yur6y048tcuqwl5ag5aul/view";"Öppna PDF")</f>
        <v/>
      </c>
      <c r="F158">
        <f>HYPERLINK("http://localhost:8787/api/admin/requirements/documents/cmm4yur6y048tcuqwl5ag5aul/view","Open PDF")</f>
        <v/>
      </c>
      <c r="G158" t="inlineStr">
        <is>
          <t>cmm55w57p0004cuisfrtpqly8</t>
        </is>
      </c>
      <c r="H158" t="inlineStr">
        <is>
          <t>Informationskrav</t>
        </is>
      </c>
      <c r="I158" t="inlineStr">
        <is>
          <t>LagringsvolymTid</t>
        </is>
      </c>
      <c r="J158" t="inlineStr">
        <is>
          <t>Maxmangd</t>
        </is>
      </c>
      <c r="K158" t="inlineStr">
        <is>
          <t>Jag tog för givet att vi skulle klippa bort armeringen på betongen innan transport till Gottorp, nu var/är inte tanken att vi skulle göra detta.</t>
        </is>
      </c>
      <c r="L158" t="inlineStr">
        <is>
          <t>Jag tog för givet att vi skulle klippa bort armeringen på betongen innan transport till Gottorp, nu var/är inte tanken att vi skulle göra detta.</t>
        </is>
      </c>
      <c r="M158" t="inlineStr">
        <is>
          <t>BOR</t>
        </is>
      </c>
      <c r="N158" t="inlineStr"/>
      <c r="O158" t="inlineStr"/>
      <c r="P158" t="inlineStr"/>
      <c r="Q158" t="inlineStr"/>
      <c r="R158" t="inlineStr">
        <is>
          <t>Alltid</t>
        </is>
      </c>
      <c r="S158" t="inlineStr"/>
      <c r="T158" t="inlineStr">
        <is>
          <t>2025 20</t>
        </is>
      </c>
      <c r="U158" t="inlineStr"/>
      <c r="V158" t="inlineStr"/>
      <c r="W158" t="inlineStr">
        <is>
          <t>Nej</t>
        </is>
      </c>
      <c r="X158" t="inlineStr">
        <is>
          <t>Nej</t>
        </is>
      </c>
      <c r="Y158" t="inlineStr">
        <is>
          <t>Nej</t>
        </is>
      </c>
      <c r="Z158" t="inlineStr">
        <is>
          <t>Nej</t>
        </is>
      </c>
      <c r="AA158" t="n">
        <v>4</v>
      </c>
      <c r="AB158" t="inlineStr">
        <is>
          <t>Avfallsmangder och lagringstid</t>
        </is>
      </c>
      <c r="AC158" t="inlineStr">
        <is>
          <t>Avfallsforteckning</t>
        </is>
      </c>
      <c r="AD158" t="inlineStr">
        <is>
          <t>Nej</t>
        </is>
      </c>
      <c r="AE158" t="inlineStr">
        <is>
          <t>Nej</t>
        </is>
      </c>
      <c r="AF158" t="inlineStr">
        <is>
          <t>Ej behandlad</t>
        </is>
      </c>
      <c r="AG158" t="inlineStr">
        <is>
          <t>AUTO_GENERERAD. Verifiera citat mot kallfil.</t>
        </is>
      </c>
      <c r="AH158" t="inlineStr">
        <is>
          <t>LOW</t>
        </is>
      </c>
      <c r="AI158" t="inlineStr">
        <is>
          <t>AUTO</t>
        </is>
      </c>
      <c r="AJ158" t="inlineStr">
        <is>
          <t>Nej</t>
        </is>
      </c>
      <c r="AK158" t="inlineStr"/>
      <c r="AL158" t="inlineStr"/>
      <c r="AM158" t="inlineStr"/>
      <c r="AN158" t="inlineStr"/>
      <c r="AO158" t="inlineStr">
        <is>
          <t>cmm4yur6y048tcuqwl5ag5aul</t>
        </is>
      </c>
      <c r="AP158" t="inlineStr">
        <is>
          <t>http://localhost:8787/api/admin/requirements/documents/cmm4yur6y048tcuqwl5ag5aul/view</t>
        </is>
      </c>
      <c r="AQ158">
        <f>HYPERLÄNK("http://localhost:8787/api/admin/requirements/documents/cmm4yur6y048tcuqwl5ag5aul/view";"Öppna PDF")</f>
        <v/>
      </c>
      <c r="AR158">
        <f>HYPERLINK("http://localhost:8787/api/admin/requirements/documents/cmm4yur6y048tcuqwl5ag5aul/view","Open PDF")</f>
        <v/>
      </c>
      <c r="AS158" t="inlineStr">
        <is>
          <t>cmm55w57p0004cuisfrtpqly8</t>
        </is>
      </c>
      <c r="AT158" t="inlineStr">
        <is>
          <t>cmm4xvu980000cuh4vj0usz09</t>
        </is>
      </c>
      <c r="AU158" t="inlineStr"/>
      <c r="AV158" t="inlineStr">
        <is>
          <t>Kommun</t>
        </is>
      </c>
      <c r="AW158" t="inlineStr"/>
      <c r="AX158" t="inlineStr"/>
      <c r="AY158" t="inlineStr">
        <is>
          <t>Anmalan</t>
        </is>
      </c>
      <c r="AZ158" t="inlineStr">
        <is>
          <t>2026-02-09</t>
        </is>
      </c>
      <c r="BA158" t="inlineStr">
        <is>
          <t>MN-2025-455-4 Krossning.pdf</t>
        </is>
      </c>
      <c r="BB158" t="inlineStr">
        <is>
          <t>Anmälningspliktiga verksamheter rörande avfall</t>
        </is>
      </c>
      <c r="BC158" t="inlineStr">
        <is>
          <t>AUTO</t>
        </is>
      </c>
      <c r="BD158" t="inlineStr"/>
      <c r="BE158" t="inlineStr"/>
      <c r="BF158" t="inlineStr">
        <is>
          <t>AUTO_GENERERAD. Bekrafta metadata mot kallfil.</t>
        </is>
      </c>
      <c r="BG158">
        <f>HYPERLINK("C:\Users\jimmy\Desktop\Examens arbete\Kod\Ny mapp\remix_-copy-of-miljöbeslut.se-portal\MN-2025-455-4 Krossning.pdf", "Öppna PDF")</f>
        <v/>
      </c>
    </row>
    <row r="159">
      <c r="A159" t="inlineStr">
        <is>
          <t>KRAV-AUTO-000158</t>
        </is>
      </c>
      <c r="B159" t="inlineStr">
        <is>
          <t>ADMIN-INDEX-2026-02-27-00000000125C043F57453246863FE664CAFE6A3F0700950291EA24F0614FB6ACEDB12BF0E31D00000000010C0000950291EA24F0614FB6ACEDB12BF0E31D00002087A59A0000</t>
        </is>
      </c>
      <c r="C159" t="inlineStr">
        <is>
          <t>cmm4yur6y048tcuqwl5ag5aul</t>
        </is>
      </c>
      <c r="D159" t="inlineStr">
        <is>
          <t>http://localhost:8787/api/admin/requirements/documents/cmm4yur6y048tcuqwl5ag5aul/view</t>
        </is>
      </c>
      <c r="E159">
        <f>HYPERLÄNK("http://localhost:8787/api/admin/requirements/documents/cmm4yur6y048tcuqwl5ag5aul/view";"Öppna PDF")</f>
        <v/>
      </c>
      <c r="F159">
        <f>HYPERLINK("http://localhost:8787/api/admin/requirements/documents/cmm4yur6y048tcuqwl5ag5aul/view","Open PDF")</f>
        <v/>
      </c>
      <c r="G159" t="inlineStr">
        <is>
          <t>cmm55w57p0004cuisfrtpqly8</t>
        </is>
      </c>
      <c r="H159" t="inlineStr">
        <is>
          <t>Informationskrav</t>
        </is>
      </c>
      <c r="I159" t="inlineStr">
        <is>
          <t>Riskhantering</t>
        </is>
      </c>
      <c r="J159" t="inlineStr">
        <is>
          <t>Riskkontroll</t>
        </is>
      </c>
      <c r="K159" t="inlineStr">
        <is>
          <t>Från: Jan Fasching &lt;janne@hilbrands.se&gt; Skickat: den 11 mars 2025 20:00 Till: Jenny Asp Andersson &lt;jenny.asp.andersson@mjolby.se&gt; Ämne: Re: Komplettering av anmälan om Hej Jenny, Jag måste be om ursäkt men jag har helt missuppfattat min arbetsgivare.</t>
        </is>
      </c>
      <c r="L159" t="inlineStr">
        <is>
          <t>Från: Jan Fasching &lt;janne@hilbrands.se&gt; Skickat: den 11 mars 2025 20:00 Till: Jenny Asp Andersson &lt;jenny.asp.andersson@mjolby.se&gt; Ämne: Re: Komplettering av anmälan om Hej Jenny, Jag måste be om ursäkt men jag har helt missuppfattat min arbetsgivare.</t>
        </is>
      </c>
      <c r="M159" t="inlineStr">
        <is>
          <t>SKA</t>
        </is>
      </c>
      <c r="N159" t="inlineStr"/>
      <c r="O159" t="inlineStr"/>
      <c r="P159" t="inlineStr"/>
      <c r="Q159" t="inlineStr"/>
      <c r="R159" t="inlineStr">
        <is>
          <t>Vid risk for incident</t>
        </is>
      </c>
      <c r="S159" t="inlineStr"/>
      <c r="T159" t="inlineStr">
        <is>
          <t>2025 20</t>
        </is>
      </c>
      <c r="U159" t="inlineStr"/>
      <c r="V159" t="inlineStr"/>
      <c r="W159" t="inlineStr">
        <is>
          <t>Nej</t>
        </is>
      </c>
      <c r="X159" t="inlineStr">
        <is>
          <t>Nej</t>
        </is>
      </c>
      <c r="Y159" t="inlineStr">
        <is>
          <t>Ja</t>
        </is>
      </c>
      <c r="Z159" t="inlineStr">
        <is>
          <t>Ja</t>
        </is>
      </c>
      <c r="AA159" t="n">
        <v>8</v>
      </c>
      <c r="AB159" t="inlineStr">
        <is>
          <t>Riskhantering</t>
        </is>
      </c>
      <c r="AC159" t="inlineStr">
        <is>
          <t>Risk-PM</t>
        </is>
      </c>
      <c r="AD159" t="inlineStr">
        <is>
          <t>Nej</t>
        </is>
      </c>
      <c r="AE159" t="inlineStr">
        <is>
          <t>Nej</t>
        </is>
      </c>
      <c r="AF159" t="inlineStr">
        <is>
          <t>Ej behandlad</t>
        </is>
      </c>
      <c r="AG159" t="inlineStr">
        <is>
          <t>AUTO_GENERERAD. Verifiera citat mot kallfil.</t>
        </is>
      </c>
      <c r="AH159" t="inlineStr">
        <is>
          <t>LOW</t>
        </is>
      </c>
      <c r="AI159" t="inlineStr">
        <is>
          <t>AUTO</t>
        </is>
      </c>
      <c r="AJ159" t="inlineStr">
        <is>
          <t>Nej</t>
        </is>
      </c>
      <c r="AK159" t="inlineStr"/>
      <c r="AL159" t="inlineStr"/>
      <c r="AM159" t="inlineStr"/>
      <c r="AN159" t="inlineStr"/>
      <c r="AO159" t="inlineStr">
        <is>
          <t>cmm4yur6y048tcuqwl5ag5aul</t>
        </is>
      </c>
      <c r="AP159" t="inlineStr">
        <is>
          <t>http://localhost:8787/api/admin/requirements/documents/cmm4yur6y048tcuqwl5ag5aul/view</t>
        </is>
      </c>
      <c r="AQ159">
        <f>HYPERLÄNK("http://localhost:8787/api/admin/requirements/documents/cmm4yur6y048tcuqwl5ag5aul/view";"Öppna PDF")</f>
        <v/>
      </c>
      <c r="AR159">
        <f>HYPERLINK("http://localhost:8787/api/admin/requirements/documents/cmm4yur6y048tcuqwl5ag5aul/view","Open PDF")</f>
        <v/>
      </c>
      <c r="AS159" t="inlineStr">
        <is>
          <t>cmm55w57p0004cuisfrtpqly8</t>
        </is>
      </c>
      <c r="AT159" t="inlineStr">
        <is>
          <t>cmm4xvu980000cuh4vj0usz09</t>
        </is>
      </c>
      <c r="AU159" t="inlineStr"/>
      <c r="AV159" t="inlineStr">
        <is>
          <t>Kommun</t>
        </is>
      </c>
      <c r="AW159" t="inlineStr"/>
      <c r="AX159" t="inlineStr"/>
      <c r="AY159" t="inlineStr">
        <is>
          <t>Anmalan</t>
        </is>
      </c>
      <c r="AZ159" t="inlineStr">
        <is>
          <t>2026-02-09</t>
        </is>
      </c>
      <c r="BA159" t="inlineStr">
        <is>
          <t>MN-2025-455-4 Krossning.pdf</t>
        </is>
      </c>
      <c r="BB159" t="inlineStr">
        <is>
          <t>Anmälningspliktiga verksamheter rörande avfall</t>
        </is>
      </c>
      <c r="BC159" t="inlineStr">
        <is>
          <t>AUTO</t>
        </is>
      </c>
      <c r="BD159" t="inlineStr"/>
      <c r="BE159" t="inlineStr"/>
      <c r="BF159" t="inlineStr">
        <is>
          <t>AUTO_GENERERAD. Bekrafta metadata mot kallfil.</t>
        </is>
      </c>
      <c r="BG159">
        <f>HYPERLINK("C:\Users\jimmy\Desktop\Examens arbete\Kod\Ny mapp\remix_-copy-of-miljöbeslut.se-portal\MN-2025-455-4 Krossning.pdf", "Öppna PDF")</f>
        <v/>
      </c>
    </row>
    <row r="160">
      <c r="A160" t="inlineStr">
        <is>
          <t>KRAV-AUTO-000159</t>
        </is>
      </c>
      <c r="B160" t="inlineStr">
        <is>
          <t>ADMIN-INDEX-2026-02-27-00000000125C043F57453246863FE664CAFE6A3F0700950291EA24F0614FB6ACEDB12BF0E31D00000000010C0000950291EA24F0614FB6ACEDB12BF0E31D00002087A59F0000</t>
        </is>
      </c>
      <c r="C160" t="inlineStr">
        <is>
          <t>cmm4yur5z047wcuqwz6szyfhk</t>
        </is>
      </c>
      <c r="D160" t="inlineStr">
        <is>
          <t>http://localhost:8787/api/admin/requirements/documents/cmm4yur5z047wcuqwz6szyfhk/view</t>
        </is>
      </c>
      <c r="E160">
        <f>HYPERLÄNK("http://localhost:8787/api/admin/requirements/documents/cmm4yur5z047wcuqwz6szyfhk/view";"Öppna PDF")</f>
        <v/>
      </c>
      <c r="F160">
        <f>HYPERLINK("http://localhost:8787/api/admin/requirements/documents/cmm4yur5z047wcuqwz6szyfhk/view","Open PDF")</f>
        <v/>
      </c>
      <c r="G160" t="inlineStr">
        <is>
          <t>cmm55w57p0004cuisfrtpqly8</t>
        </is>
      </c>
      <c r="H160" t="inlineStr">
        <is>
          <t>Beslutsvillkor</t>
        </is>
      </c>
      <c r="I160" t="inlineStr">
        <is>
          <t>Ytkonstruktion</t>
        </is>
      </c>
      <c r="J160" t="inlineStr">
        <is>
          <t>Tat yta</t>
        </is>
      </c>
      <c r="K160" t="inlineStr">
        <is>
          <t>Lagring av flytande kemiska produkter och farligt avfall ska ske nederbördsskyddat i tät invallning.</t>
        </is>
      </c>
      <c r="L160" t="inlineStr">
        <is>
          <t>Lagring av flytande kemiska produkter och farligt avfall ska ske nederbördsskyddat i tät invallning.</t>
        </is>
      </c>
      <c r="M160" t="inlineStr">
        <is>
          <t>SKA</t>
        </is>
      </c>
      <c r="N160" t="inlineStr"/>
      <c r="O160" t="inlineStr"/>
      <c r="P160" t="inlineStr">
        <is>
          <t>Arlig</t>
        </is>
      </c>
      <c r="Q160" t="inlineStr"/>
      <c r="R160" t="inlineStr">
        <is>
          <t>Vid mellanlagring av avfall</t>
        </is>
      </c>
      <c r="S160" t="inlineStr"/>
      <c r="T160" t="inlineStr">
        <is>
          <t>559088</t>
        </is>
      </c>
      <c r="U160" t="inlineStr"/>
      <c r="V160" t="inlineStr"/>
      <c r="W160" t="inlineStr">
        <is>
          <t>Ja</t>
        </is>
      </c>
      <c r="X160" t="inlineStr">
        <is>
          <t>Nej</t>
        </is>
      </c>
      <c r="Y160" t="inlineStr">
        <is>
          <t>Nej</t>
        </is>
      </c>
      <c r="Z160" t="inlineStr">
        <is>
          <t>Nej</t>
        </is>
      </c>
      <c r="AA160" t="n">
        <v>5</v>
      </c>
      <c r="AB160" t="inlineStr">
        <is>
          <t>Teknisk beskrivning av platta</t>
        </is>
      </c>
      <c r="AC160" t="inlineStr">
        <is>
          <t>Teknisk ritning platta</t>
        </is>
      </c>
      <c r="AD160" t="inlineStr">
        <is>
          <t>Nej</t>
        </is>
      </c>
      <c r="AE160" t="inlineStr">
        <is>
          <t>Nej</t>
        </is>
      </c>
      <c r="AF160" t="inlineStr">
        <is>
          <t>Ej behandlad</t>
        </is>
      </c>
      <c r="AG160" t="inlineStr">
        <is>
          <t>AUTO_GENERERAD. Verifiera citat mot kallfil.</t>
        </is>
      </c>
      <c r="AH160" t="inlineStr">
        <is>
          <t>MEDIUM</t>
        </is>
      </c>
      <c r="AI160" t="inlineStr">
        <is>
          <t>AUTO</t>
        </is>
      </c>
      <c r="AJ160" t="inlineStr">
        <is>
          <t>Nej</t>
        </is>
      </c>
      <c r="AK160" t="inlineStr"/>
      <c r="AL160" t="inlineStr"/>
      <c r="AM160" t="inlineStr"/>
      <c r="AN160" t="inlineStr"/>
      <c r="AO160" t="inlineStr">
        <is>
          <t>cmm4yur5z047wcuqwz6szyfhk</t>
        </is>
      </c>
      <c r="AP160" t="inlineStr">
        <is>
          <t>http://localhost:8787/api/admin/requirements/documents/cmm4yur5z047wcuqwz6szyfhk/view</t>
        </is>
      </c>
      <c r="AQ160">
        <f>HYPERLÄNK("http://localhost:8787/api/admin/requirements/documents/cmm4yur5z047wcuqwz6szyfhk/view";"Öppna PDF")</f>
        <v/>
      </c>
      <c r="AR160">
        <f>HYPERLINK("http://localhost:8787/api/admin/requirements/documents/cmm4yur5z047wcuqwz6szyfhk/view","Open PDF")</f>
        <v/>
      </c>
      <c r="AS160" t="inlineStr">
        <is>
          <t>cmm55w57p0004cuisfrtpqly8</t>
        </is>
      </c>
      <c r="AT160" t="inlineStr">
        <is>
          <t>cmm4xvu980000cuh4vj0usz09</t>
        </is>
      </c>
      <c r="AU160" t="inlineStr">
        <is>
          <t>Åtvidabergs</t>
        </is>
      </c>
      <c r="AV160" t="inlineStr">
        <is>
          <t>Kommun</t>
        </is>
      </c>
      <c r="AW160" t="inlineStr">
        <is>
          <t>Åtvidabergs kommun</t>
        </is>
      </c>
      <c r="AX160" t="inlineStr">
        <is>
          <t>2025-11</t>
        </is>
      </c>
      <c r="AY160" t="inlineStr">
        <is>
          <t>Beslut</t>
        </is>
      </c>
      <c r="AZ160" t="inlineStr">
        <is>
          <t>2026-02-09</t>
        </is>
      </c>
      <c r="BA160" t="inlineStr">
        <is>
          <t>MK-2025-452-6_Beslut_2025-11-14.pdf</t>
        </is>
      </c>
      <c r="BB160" t="inlineStr">
        <is>
          <t>Begärda handlingar</t>
        </is>
      </c>
      <c r="BC160" t="inlineStr">
        <is>
          <t>AUTO</t>
        </is>
      </c>
      <c r="BD160" t="inlineStr"/>
      <c r="BE160" t="inlineStr"/>
      <c r="BF160" t="inlineStr">
        <is>
          <t>AUTO_GENERERAD. Bekrafta metadata mot kallfil.</t>
        </is>
      </c>
      <c r="BG160">
        <f>HYPERLINK("C:\Users\jimmy\Desktop\Examens arbete\Kod\Ny mapp\remix_-copy-of-miljöbeslut.se-portal\MK-2025-452-6_Beslut_2025-11-14.pdf", "Öppna PDF")</f>
        <v/>
      </c>
    </row>
    <row r="161">
      <c r="A161" t="inlineStr">
        <is>
          <t>KRAV-AUTO-000160</t>
        </is>
      </c>
      <c r="B161" t="inlineStr">
        <is>
          <t>ADMIN-INDEX-2026-02-27-00000000125C043F57453246863FE664CAFE6A3F0700950291EA24F0614FB6ACEDB12BF0E31D00000000010C0000950291EA24F0614FB6ACEDB12BF0E31D00002087A59F0000</t>
        </is>
      </c>
      <c r="C161" t="inlineStr">
        <is>
          <t>cmm4yur5z047wcuqwz6szyfhk</t>
        </is>
      </c>
      <c r="D161" t="inlineStr">
        <is>
          <t>http://localhost:8787/api/admin/requirements/documents/cmm4yur5z047wcuqwz6szyfhk/view</t>
        </is>
      </c>
      <c r="E161">
        <f>HYPERLÄNK("http://localhost:8787/api/admin/requirements/documents/cmm4yur5z047wcuqwz6szyfhk/view";"Öppna PDF")</f>
        <v/>
      </c>
      <c r="F161">
        <f>HYPERLINK("http://localhost:8787/api/admin/requirements/documents/cmm4yur5z047wcuqwz6szyfhk/view","Open PDF")</f>
        <v/>
      </c>
      <c r="G161" t="inlineStr">
        <is>
          <t>cmm55w57p0004cuisfrtpqly8</t>
        </is>
      </c>
      <c r="H161" t="inlineStr">
        <is>
          <t>Beslutsvillkor</t>
        </is>
      </c>
      <c r="I161" t="inlineStr">
        <is>
          <t>Ytkonstruktion</t>
        </is>
      </c>
      <c r="J161" t="inlineStr">
        <is>
          <t>Tat yta</t>
        </is>
      </c>
      <c r="K161" t="inlineStr">
        <is>
          <t>Invallningen ska rymma största behållarens volym plus 10 % av resterande behållares volym.</t>
        </is>
      </c>
      <c r="L161" t="inlineStr">
        <is>
          <t>Invallningen ska rymma största behållarens volym plus 10 % av resterande behållares volym.</t>
        </is>
      </c>
      <c r="M161" t="inlineStr">
        <is>
          <t>SKA</t>
        </is>
      </c>
      <c r="N161" t="inlineStr"/>
      <c r="O161" t="inlineStr"/>
      <c r="P161" t="inlineStr"/>
      <c r="Q161" t="inlineStr"/>
      <c r="R161" t="inlineStr">
        <is>
          <t>Vid mellanlagring av avfall</t>
        </is>
      </c>
      <c r="S161" t="inlineStr"/>
      <c r="T161" t="inlineStr">
        <is>
          <t>559088</t>
        </is>
      </c>
      <c r="U161" t="inlineStr"/>
      <c r="V161" t="inlineStr"/>
      <c r="W161" t="inlineStr">
        <is>
          <t>Ja</t>
        </is>
      </c>
      <c r="X161" t="inlineStr">
        <is>
          <t>Nej</t>
        </is>
      </c>
      <c r="Y161" t="inlineStr">
        <is>
          <t>Nej</t>
        </is>
      </c>
      <c r="Z161" t="inlineStr">
        <is>
          <t>Nej</t>
        </is>
      </c>
      <c r="AA161" t="n">
        <v>5</v>
      </c>
      <c r="AB161" t="inlineStr">
        <is>
          <t>Teknisk beskrivning av platta</t>
        </is>
      </c>
      <c r="AC161" t="inlineStr">
        <is>
          <t>Teknisk ritning platta</t>
        </is>
      </c>
      <c r="AD161" t="inlineStr">
        <is>
          <t>Nej</t>
        </is>
      </c>
      <c r="AE161" t="inlineStr">
        <is>
          <t>Nej</t>
        </is>
      </c>
      <c r="AF161" t="inlineStr">
        <is>
          <t>Ej behandlad</t>
        </is>
      </c>
      <c r="AG161" t="inlineStr">
        <is>
          <t>AUTO_GENERERAD. Verifiera citat mot kallfil.</t>
        </is>
      </c>
      <c r="AH161" t="inlineStr">
        <is>
          <t>MEDIUM</t>
        </is>
      </c>
      <c r="AI161" t="inlineStr">
        <is>
          <t>AUTO</t>
        </is>
      </c>
      <c r="AJ161" t="inlineStr">
        <is>
          <t>Nej</t>
        </is>
      </c>
      <c r="AK161" t="inlineStr"/>
      <c r="AL161" t="inlineStr"/>
      <c r="AM161" t="inlineStr"/>
      <c r="AN161" t="inlineStr"/>
      <c r="AO161" t="inlineStr">
        <is>
          <t>cmm4yur5z047wcuqwz6szyfhk</t>
        </is>
      </c>
      <c r="AP161" t="inlineStr">
        <is>
          <t>http://localhost:8787/api/admin/requirements/documents/cmm4yur5z047wcuqwz6szyfhk/view</t>
        </is>
      </c>
      <c r="AQ161">
        <f>HYPERLÄNK("http://localhost:8787/api/admin/requirements/documents/cmm4yur5z047wcuqwz6szyfhk/view";"Öppna PDF")</f>
        <v/>
      </c>
      <c r="AR161">
        <f>HYPERLINK("http://localhost:8787/api/admin/requirements/documents/cmm4yur5z047wcuqwz6szyfhk/view","Open PDF")</f>
        <v/>
      </c>
      <c r="AS161" t="inlineStr">
        <is>
          <t>cmm55w57p0004cuisfrtpqly8</t>
        </is>
      </c>
      <c r="AT161" t="inlineStr">
        <is>
          <t>cmm4xvu980000cuh4vj0usz09</t>
        </is>
      </c>
      <c r="AU161" t="inlineStr">
        <is>
          <t>Åtvidabergs</t>
        </is>
      </c>
      <c r="AV161" t="inlineStr">
        <is>
          <t>Kommun</t>
        </is>
      </c>
      <c r="AW161" t="inlineStr">
        <is>
          <t>Åtvidabergs kommun</t>
        </is>
      </c>
      <c r="AX161" t="inlineStr">
        <is>
          <t>2025-11</t>
        </is>
      </c>
      <c r="AY161" t="inlineStr">
        <is>
          <t>Beslut</t>
        </is>
      </c>
      <c r="AZ161" t="inlineStr">
        <is>
          <t>2026-02-09</t>
        </is>
      </c>
      <c r="BA161" t="inlineStr">
        <is>
          <t>MK-2025-452-6_Beslut_2025-11-14.pdf</t>
        </is>
      </c>
      <c r="BB161" t="inlineStr">
        <is>
          <t>Begärda handlingar</t>
        </is>
      </c>
      <c r="BC161" t="inlineStr">
        <is>
          <t>AUTO</t>
        </is>
      </c>
      <c r="BD161" t="inlineStr"/>
      <c r="BE161" t="inlineStr"/>
      <c r="BF161" t="inlineStr">
        <is>
          <t>AUTO_GENERERAD. Bekrafta metadata mot kallfil.</t>
        </is>
      </c>
      <c r="BG161">
        <f>HYPERLINK("C:\Users\jimmy\Desktop\Examens arbete\Kod\Ny mapp\remix_-copy-of-miljöbeslut.se-portal\MK-2025-452-6_Beslut_2025-11-14.pdf", "Öppna PDF")</f>
        <v/>
      </c>
    </row>
    <row r="162">
      <c r="A162" t="inlineStr">
        <is>
          <t>KRAV-AUTO-000161</t>
        </is>
      </c>
      <c r="B162" t="inlineStr">
        <is>
          <t>ADMIN-INDEX-2026-02-27-00000000125C043F57453246863FE664CAFE6A3F0700950291EA24F0614FB6ACEDB12BF0E31D00000000010C0000950291EA24F0614FB6ACEDB12BF0E31D00002087A59F0000</t>
        </is>
      </c>
      <c r="C162" t="inlineStr">
        <is>
          <t>cmm4yur5z047wcuqwz6szyfhk</t>
        </is>
      </c>
      <c r="D162" t="inlineStr">
        <is>
          <t>http://localhost:8787/api/admin/requirements/documents/cmm4yur5z047wcuqwz6szyfhk/view</t>
        </is>
      </c>
      <c r="E162">
        <f>HYPERLÄNK("http://localhost:8787/api/admin/requirements/documents/cmm4yur5z047wcuqwz6szyfhk/view";"Öppna PDF")</f>
        <v/>
      </c>
      <c r="F162">
        <f>HYPERLINK("http://localhost:8787/api/admin/requirements/documents/cmm4yur5z047wcuqwz6szyfhk/view","Open PDF")</f>
        <v/>
      </c>
      <c r="G162" t="inlineStr">
        <is>
          <t>cmm55w57p0004cuisfrtpqly8</t>
        </is>
      </c>
      <c r="H162" t="inlineStr">
        <is>
          <t>Beslutsvillkor</t>
        </is>
      </c>
      <c r="I162" t="inlineStr">
        <is>
          <t>MiljopaverkanForsiktighet</t>
        </is>
      </c>
      <c r="J162" t="inlineStr">
        <is>
          <t>Skyddsatgarder</t>
        </is>
      </c>
      <c r="K162" t="inlineStr">
        <is>
          <t>5 § innebär att råvaror och energi ska användas så effektivt som möjligt så att förbrukningen och avfallet minimeras: Det som utvinns ur naturen ska återanvändas, återvinnas eller bortskaffas på ett miljöriktigt sätt.</t>
        </is>
      </c>
      <c r="L162" t="inlineStr">
        <is>
          <t>5 § innebär att råvaror och energi ska användas så effektivt som möjligt så att förbrukningen och avfallet minimeras: Det som utvinns ur naturen ska återanvändas, återvinnas eller bortskaffas på ett miljöriktigt sätt.</t>
        </is>
      </c>
      <c r="M162" t="inlineStr">
        <is>
          <t>SKA</t>
        </is>
      </c>
      <c r="N162" t="inlineStr"/>
      <c r="O162" t="inlineStr"/>
      <c r="P162" t="inlineStr"/>
      <c r="Q162" t="inlineStr"/>
      <c r="R162" t="inlineStr">
        <is>
          <t>Alltid</t>
        </is>
      </c>
      <c r="S162" t="inlineStr"/>
      <c r="T162" t="inlineStr">
        <is>
          <t>559088</t>
        </is>
      </c>
      <c r="U162" t="inlineStr"/>
      <c r="V162" t="inlineStr"/>
      <c r="W162" t="inlineStr">
        <is>
          <t>Nej</t>
        </is>
      </c>
      <c r="X162" t="inlineStr">
        <is>
          <t>Nej</t>
        </is>
      </c>
      <c r="Y162" t="inlineStr">
        <is>
          <t>Nej</t>
        </is>
      </c>
      <c r="Z162" t="inlineStr">
        <is>
          <t>Nej</t>
        </is>
      </c>
      <c r="AA162" t="n">
        <v>10</v>
      </c>
      <c r="AB162" t="inlineStr">
        <is>
          <t>Miljopaverkan och forsiktighetsmatt</t>
        </is>
      </c>
      <c r="AC162" t="inlineStr">
        <is>
          <t>Miljo-PM</t>
        </is>
      </c>
      <c r="AD162" t="inlineStr">
        <is>
          <t>Nej</t>
        </is>
      </c>
      <c r="AE162" t="inlineStr">
        <is>
          <t>Nej</t>
        </is>
      </c>
      <c r="AF162" t="inlineStr">
        <is>
          <t>Ej behandlad</t>
        </is>
      </c>
      <c r="AG162" t="inlineStr">
        <is>
          <t>AUTO_GENERERAD. Verifiera citat mot kallfil.</t>
        </is>
      </c>
      <c r="AH162" t="inlineStr">
        <is>
          <t>MEDIUM</t>
        </is>
      </c>
      <c r="AI162" t="inlineStr">
        <is>
          <t>AUTO</t>
        </is>
      </c>
      <c r="AJ162" t="inlineStr">
        <is>
          <t>Nej</t>
        </is>
      </c>
      <c r="AK162" t="inlineStr"/>
      <c r="AL162" t="inlineStr"/>
      <c r="AM162" t="inlineStr"/>
      <c r="AN162" t="inlineStr"/>
      <c r="AO162" t="inlineStr">
        <is>
          <t>cmm4yur5z047wcuqwz6szyfhk</t>
        </is>
      </c>
      <c r="AP162" t="inlineStr">
        <is>
          <t>http://localhost:8787/api/admin/requirements/documents/cmm4yur5z047wcuqwz6szyfhk/view</t>
        </is>
      </c>
      <c r="AQ162">
        <f>HYPERLÄNK("http://localhost:8787/api/admin/requirements/documents/cmm4yur5z047wcuqwz6szyfhk/view";"Öppna PDF")</f>
        <v/>
      </c>
      <c r="AR162">
        <f>HYPERLINK("http://localhost:8787/api/admin/requirements/documents/cmm4yur5z047wcuqwz6szyfhk/view","Open PDF")</f>
        <v/>
      </c>
      <c r="AS162" t="inlineStr">
        <is>
          <t>cmm55w57p0004cuisfrtpqly8</t>
        </is>
      </c>
      <c r="AT162" t="inlineStr">
        <is>
          <t>cmm4xvu980000cuh4vj0usz09</t>
        </is>
      </c>
      <c r="AU162" t="inlineStr">
        <is>
          <t>Åtvidabergs</t>
        </is>
      </c>
      <c r="AV162" t="inlineStr">
        <is>
          <t>Kommun</t>
        </is>
      </c>
      <c r="AW162" t="inlineStr">
        <is>
          <t>Åtvidabergs kommun</t>
        </is>
      </c>
      <c r="AX162" t="inlineStr">
        <is>
          <t>2025-11</t>
        </is>
      </c>
      <c r="AY162" t="inlineStr">
        <is>
          <t>Beslut</t>
        </is>
      </c>
      <c r="AZ162" t="inlineStr">
        <is>
          <t>2026-02-09</t>
        </is>
      </c>
      <c r="BA162" t="inlineStr">
        <is>
          <t>MK-2025-452-6_Beslut_2025-11-14.pdf</t>
        </is>
      </c>
      <c r="BB162" t="inlineStr">
        <is>
          <t>Begärda handlingar</t>
        </is>
      </c>
      <c r="BC162" t="inlineStr">
        <is>
          <t>AUTO</t>
        </is>
      </c>
      <c r="BD162" t="inlineStr"/>
      <c r="BE162" t="inlineStr"/>
      <c r="BF162" t="inlineStr">
        <is>
          <t>AUTO_GENERERAD. Bekrafta metadata mot kallfil.</t>
        </is>
      </c>
      <c r="BG162">
        <f>HYPERLINK("C:\Users\jimmy\Desktop\Examens arbete\Kod\Ny mapp\remix_-copy-of-miljöbeslut.se-portal\MK-2025-452-6_Beslut_2025-11-14.pdf", "Öppna PDF")</f>
        <v/>
      </c>
    </row>
    <row r="163">
      <c r="A163" t="inlineStr">
        <is>
          <t>KRAV-AUTO-000162</t>
        </is>
      </c>
      <c r="B163" t="inlineStr">
        <is>
          <t>ADMIN-INDEX-2026-02-27-00000000125C043F57453246863FE664CAFE6A3F0700950291EA24F0614FB6ACEDB12BF0E31D00000000010C0000950291EA24F0614FB6ACEDB12BF0E31D00002087AE3A0000</t>
        </is>
      </c>
      <c r="C163" t="inlineStr">
        <is>
          <t>cmm4yupya032zcuqwg8dfhwi7</t>
        </is>
      </c>
      <c r="D163" t="inlineStr">
        <is>
          <t>http://localhost:8787/api/admin/requirements/documents/cmm4yupya032zcuqwg8dfhwi7/view</t>
        </is>
      </c>
      <c r="E163">
        <f>HYPERLÄNK("http://localhost:8787/api/admin/requirements/documents/cmm4yupya032zcuqwg8dfhwi7/view";"Öppna PDF")</f>
        <v/>
      </c>
      <c r="F163">
        <f>HYPERLINK("http://localhost:8787/api/admin/requirements/documents/cmm4yupya032zcuqwg8dfhwi7/view","Open PDF")</f>
        <v/>
      </c>
      <c r="G163" t="inlineStr">
        <is>
          <t>cmm55w57p0004cuisfrtpqly8</t>
        </is>
      </c>
      <c r="H163" t="inlineStr">
        <is>
          <t>Informationskrav</t>
        </is>
      </c>
      <c r="I163" t="inlineStr">
        <is>
          <t>DagvattenLakvatten</t>
        </is>
      </c>
      <c r="J163" t="inlineStr">
        <is>
          <t>Uppsamling</t>
        </is>
      </c>
      <c r="K163" t="inlineStr">
        <is>
          <t>Zonen utgör i stället en varningssignal och påminnelse om att iaktta särskild försiktighet och att omedelbart rapportera risk för vattenförorening med skadlig påverkan på vattenkvaliteten.</t>
        </is>
      </c>
      <c r="L163" t="inlineStr">
        <is>
          <t>Zonen utgör i stället en varningssignal och påminnelse om att iaktta särskild försiktighet och att omedelbart rapportera risk för vattenförorening med skadlig påverkan på vattenkvaliteten.</t>
        </is>
      </c>
      <c r="M163" t="inlineStr">
        <is>
          <t>SKA</t>
        </is>
      </c>
      <c r="N163" t="inlineStr"/>
      <c r="O163" t="inlineStr"/>
      <c r="P163" t="inlineStr"/>
      <c r="Q163" t="inlineStr"/>
      <c r="R163" t="inlineStr">
        <is>
          <t>Vid nederbord och avrinning</t>
        </is>
      </c>
      <c r="S163" t="inlineStr"/>
      <c r="T163" t="inlineStr"/>
      <c r="U163" t="inlineStr"/>
      <c r="V163" t="inlineStr"/>
      <c r="W163" t="inlineStr">
        <is>
          <t>Nej</t>
        </is>
      </c>
      <c r="X163" t="inlineStr">
        <is>
          <t>Ja</t>
        </is>
      </c>
      <c r="Y163" t="inlineStr">
        <is>
          <t>Ja</t>
        </is>
      </c>
      <c r="Z163" t="inlineStr">
        <is>
          <t>Nej</t>
        </is>
      </c>
      <c r="AA163" t="n">
        <v>6</v>
      </c>
      <c r="AB163" t="inlineStr">
        <is>
          <t>Lakvattenhantering</t>
        </is>
      </c>
      <c r="AC163" t="inlineStr">
        <is>
          <t>Flodesschema dagvatten-lakvatten</t>
        </is>
      </c>
      <c r="AD163" t="inlineStr">
        <is>
          <t>Nej</t>
        </is>
      </c>
      <c r="AE163" t="inlineStr">
        <is>
          <t>Nej</t>
        </is>
      </c>
      <c r="AF163" t="inlineStr">
        <is>
          <t>Ej behandlad</t>
        </is>
      </c>
      <c r="AG163" t="inlineStr">
        <is>
          <t>AUTO_GENERERAD. Verifiera citat mot kallfil.</t>
        </is>
      </c>
      <c r="AH163" t="inlineStr">
        <is>
          <t>MEDIUM</t>
        </is>
      </c>
      <c r="AI163" t="inlineStr">
        <is>
          <t>AUTO</t>
        </is>
      </c>
      <c r="AJ163" t="inlineStr">
        <is>
          <t>Nej</t>
        </is>
      </c>
      <c r="AK163" t="inlineStr"/>
      <c r="AL163" t="inlineStr"/>
      <c r="AM163" t="inlineStr"/>
      <c r="AN163" t="inlineStr"/>
      <c r="AO163" t="inlineStr">
        <is>
          <t>cmm4yuq04034hcuqwue9hvqhc</t>
        </is>
      </c>
      <c r="AP163" t="inlineStr">
        <is>
          <t>http://localhost:8787/api/admin/requirements/documents/cmm4yuq04034hcuqwue9hvqhc/view</t>
        </is>
      </c>
      <c r="AQ163">
        <f>HYPERLÄNK("http://localhost:8787/api/admin/requirements/documents/cmm4yuq04034hcuqwue9hvqhc/view";"Öppna PDF")</f>
        <v/>
      </c>
      <c r="AR163">
        <f>HYPERLINK("http://localhost:8787/api/admin/requirements/documents/cmm4yuq04034hcuqwue9hvqhc/view","Open PDF")</f>
        <v/>
      </c>
      <c r="AS163" t="inlineStr">
        <is>
          <t>cmm55w57p0004cuisfrtpqly8</t>
        </is>
      </c>
      <c r="AT163" t="inlineStr">
        <is>
          <t>cmm4xvu980000cuh4vj0usz09</t>
        </is>
      </c>
      <c r="AU163" t="inlineStr">
        <is>
          <t>Lilla Edets</t>
        </is>
      </c>
      <c r="AV163" t="inlineStr">
        <is>
          <t>Kommun</t>
        </is>
      </c>
      <c r="AW163" t="inlineStr">
        <is>
          <t>Lilla Edets kommun</t>
        </is>
      </c>
      <c r="AX163" t="inlineStr">
        <is>
          <t>2024-06</t>
        </is>
      </c>
      <c r="AY163" t="inlineStr">
        <is>
          <t>Beslut</t>
        </is>
      </c>
      <c r="AZ163" t="inlineStr">
        <is>
          <t>2026-02-04</t>
        </is>
      </c>
      <c r="BA163" t="inlineStr">
        <is>
          <t>MB-2024-625-7 13.3 Miljöteknisk markundersökning m bilagor.pdf</t>
        </is>
      </c>
      <c r="BB163" t="inlineStr">
        <is>
          <t>VB: till registrator</t>
        </is>
      </c>
      <c r="BC163" t="inlineStr">
        <is>
          <t>AUTO</t>
        </is>
      </c>
      <c r="BD163" t="inlineStr"/>
      <c r="BE163" t="inlineStr"/>
      <c r="BF163" t="inlineStr">
        <is>
          <t>AUTO_GENERERAD. Bekrafta metadata mot kallfil.</t>
        </is>
      </c>
      <c r="BG163">
        <f>HYPERLINK("C:\Users\jimmy\Desktop\Examens arbete\Kod\Ny mapp\remix_-copy-of-miljöbeslut.se-portal\MB-2024-625-7 13.3 Miljöteknisk markundersökning m bilagor.pdf", "Öppna PDF")</f>
        <v/>
      </c>
    </row>
    <row r="164">
      <c r="A164" t="inlineStr">
        <is>
          <t>KRAV-AUTO-000163</t>
        </is>
      </c>
      <c r="B164" t="inlineStr">
        <is>
          <t>ADMIN-INDEX-2026-02-27-00000000125C043F57453246863FE664CAFE6A3F0700950291EA24F0614FB6ACEDB12BF0E31D00000000010C0000950291EA24F0614FB6ACEDB12BF0E31D00002087AE3A0000</t>
        </is>
      </c>
      <c r="C164" t="inlineStr">
        <is>
          <t>cmm4yupxq032hcuqwpnrsoo68</t>
        </is>
      </c>
      <c r="D164" t="inlineStr">
        <is>
          <t>http://localhost:8787/api/admin/requirements/documents/cmm4yupxq032hcuqwpnrsoo68/view</t>
        </is>
      </c>
      <c r="E164">
        <f>HYPERLÄNK("http://localhost:8787/api/admin/requirements/documents/cmm4yupxq032hcuqwpnrsoo68/view";"Öppna PDF")</f>
        <v/>
      </c>
      <c r="F164">
        <f>HYPERLINK("http://localhost:8787/api/admin/requirements/documents/cmm4yupxq032hcuqwpnrsoo68/view","Open PDF")</f>
        <v/>
      </c>
      <c r="G164" t="inlineStr">
        <is>
          <t>cmm55w57p0004cuisfrtpqly8</t>
        </is>
      </c>
      <c r="H164" t="inlineStr">
        <is>
          <t>Beslutsvillkor</t>
        </is>
      </c>
      <c r="I164" t="inlineStr">
        <is>
          <t>LagringsvolymTid</t>
        </is>
      </c>
      <c r="J164" t="inlineStr">
        <is>
          <t>Maxmangd</t>
        </is>
      </c>
      <c r="K164" t="inlineStr">
        <is>
          <t>Uppskattning av använda mängder kan göras när projektet närmas sig sitt slut.</t>
        </is>
      </c>
      <c r="L164" t="inlineStr">
        <is>
          <t>Uppskattning av använda mängder kan göras när projektet närmas sig sitt slut.</t>
        </is>
      </c>
      <c r="M164" t="inlineStr">
        <is>
          <t>SKA</t>
        </is>
      </c>
      <c r="N164" t="inlineStr"/>
      <c r="O164" t="inlineStr"/>
      <c r="P164" t="inlineStr"/>
      <c r="Q164" t="inlineStr"/>
      <c r="R164" t="inlineStr">
        <is>
          <t>Alltid</t>
        </is>
      </c>
      <c r="S164" t="inlineStr"/>
      <c r="T164" t="inlineStr">
        <is>
          <t>200617</t>
        </is>
      </c>
      <c r="U164" t="inlineStr"/>
      <c r="V164" t="inlineStr"/>
      <c r="W164" t="inlineStr">
        <is>
          <t>Nej</t>
        </is>
      </c>
      <c r="X164" t="inlineStr">
        <is>
          <t>Nej</t>
        </is>
      </c>
      <c r="Y164" t="inlineStr">
        <is>
          <t>Nej</t>
        </is>
      </c>
      <c r="Z164" t="inlineStr">
        <is>
          <t>Nej</t>
        </is>
      </c>
      <c r="AA164" t="n">
        <v>4</v>
      </c>
      <c r="AB164" t="inlineStr">
        <is>
          <t>Avfallsmangder och lagringstid</t>
        </is>
      </c>
      <c r="AC164" t="inlineStr">
        <is>
          <t>Avfallsforteckning</t>
        </is>
      </c>
      <c r="AD164" t="inlineStr">
        <is>
          <t>Nej</t>
        </is>
      </c>
      <c r="AE164" t="inlineStr">
        <is>
          <t>Nej</t>
        </is>
      </c>
      <c r="AF164" t="inlineStr">
        <is>
          <t>Ej behandlad</t>
        </is>
      </c>
      <c r="AG164" t="inlineStr">
        <is>
          <t>AUTO_GENERERAD. Verifiera citat mot kallfil.</t>
        </is>
      </c>
      <c r="AH164" t="inlineStr">
        <is>
          <t>MEDIUM</t>
        </is>
      </c>
      <c r="AI164" t="inlineStr">
        <is>
          <t>AUTO</t>
        </is>
      </c>
      <c r="AJ164" t="inlineStr">
        <is>
          <t>Nej</t>
        </is>
      </c>
      <c r="AK164" t="inlineStr"/>
      <c r="AL164" t="inlineStr"/>
      <c r="AM164" t="inlineStr"/>
      <c r="AN164" t="inlineStr"/>
      <c r="AO164" t="inlineStr">
        <is>
          <t>cmm4yuq04034hcuqwue9hvqhc</t>
        </is>
      </c>
      <c r="AP164" t="inlineStr">
        <is>
          <t>http://localhost:8787/api/admin/requirements/documents/cmm4yuq04034hcuqwue9hvqhc/view</t>
        </is>
      </c>
      <c r="AQ164">
        <f>HYPERLÄNK("http://localhost:8787/api/admin/requirements/documents/cmm4yuq04034hcuqwue9hvqhc/view";"Öppna PDF")</f>
        <v/>
      </c>
      <c r="AR164">
        <f>HYPERLINK("http://localhost:8787/api/admin/requirements/documents/cmm4yuq04034hcuqwue9hvqhc/view","Open PDF")</f>
        <v/>
      </c>
      <c r="AS164" t="inlineStr">
        <is>
          <t>cmm55w57p0004cuisfrtpqly8</t>
        </is>
      </c>
      <c r="AT164" t="inlineStr">
        <is>
          <t>cmm4xvu980000cuh4vj0usz09</t>
        </is>
      </c>
      <c r="AU164" t="inlineStr">
        <is>
          <t>Lilla Edets</t>
        </is>
      </c>
      <c r="AV164" t="inlineStr">
        <is>
          <t>Kommun</t>
        </is>
      </c>
      <c r="AW164" t="inlineStr">
        <is>
          <t>Lilla Edets kommun</t>
        </is>
      </c>
      <c r="AX164" t="inlineStr">
        <is>
          <t>2024-06</t>
        </is>
      </c>
      <c r="AY164" t="inlineStr">
        <is>
          <t>Beslut</t>
        </is>
      </c>
      <c r="AZ164" t="inlineStr">
        <is>
          <t>2026-02-04</t>
        </is>
      </c>
      <c r="BA164" t="inlineStr">
        <is>
          <t>MB-2024-625-7 13.3 Miljöteknisk markundersökning m bilagor.pdf</t>
        </is>
      </c>
      <c r="BB164" t="inlineStr">
        <is>
          <t>VB: till registrator</t>
        </is>
      </c>
      <c r="BC164" t="inlineStr">
        <is>
          <t>AUTO</t>
        </is>
      </c>
      <c r="BD164" t="inlineStr"/>
      <c r="BE164" t="inlineStr"/>
      <c r="BF164" t="inlineStr">
        <is>
          <t>AUTO_GENERERAD. Bekrafta metadata mot kallfil.</t>
        </is>
      </c>
      <c r="BG164">
        <f>HYPERLINK("C:\Users\jimmy\Desktop\Examens arbete\Kod\Ny mapp\remix_-copy-of-miljöbeslut.se-portal\MB-2024-625-7 13.3 Miljöteknisk markundersökning m bilagor.pdf", "Öppna PDF")</f>
        <v/>
      </c>
    </row>
    <row r="165">
      <c r="A165" t="inlineStr">
        <is>
          <t>KRAV-AUTO-000164</t>
        </is>
      </c>
      <c r="B165" t="inlineStr">
        <is>
          <t>ADMIN-INDEX-2026-02-27-00000000125C043F57453246863FE664CAFE6A3F0700950291EA24F0614FB6ACEDB12BF0E31D00000000010C0000950291EA24F0614FB6ACEDB12BF0E31D00002087AE3A0000</t>
        </is>
      </c>
      <c r="C165" t="inlineStr">
        <is>
          <t>cmm4yupxq032hcuqwpnrsoo68</t>
        </is>
      </c>
      <c r="D165" t="inlineStr">
        <is>
          <t>http://localhost:8787/api/admin/requirements/documents/cmm4yupxq032hcuqwpnrsoo68/view</t>
        </is>
      </c>
      <c r="E165">
        <f>HYPERLÄNK("http://localhost:8787/api/admin/requirements/documents/cmm4yupxq032hcuqwpnrsoo68/view";"Öppna PDF")</f>
        <v/>
      </c>
      <c r="F165">
        <f>HYPERLINK("http://localhost:8787/api/admin/requirements/documents/cmm4yupxq032hcuqwpnrsoo68/view","Open PDF")</f>
        <v/>
      </c>
      <c r="G165" t="inlineStr">
        <is>
          <t>cmm55w57p0004cuisfrtpqly8</t>
        </is>
      </c>
      <c r="H165" t="inlineStr">
        <is>
          <t>Beslutsvillkor</t>
        </is>
      </c>
      <c r="I165" t="inlineStr">
        <is>
          <t>MiljopaverkanForsiktighet</t>
        </is>
      </c>
      <c r="J165" t="inlineStr">
        <is>
          <t>Skyddsatgarder</t>
        </is>
      </c>
      <c r="K165" t="inlineStr">
        <is>
          <t>Avfall och farligt avfall Skulle misstänkt förorenade massor upptäckas ska detta omedelbart anmälas till VD.</t>
        </is>
      </c>
      <c r="L165" t="inlineStr">
        <is>
          <t>Avfall och farligt avfall Skulle misstänkt förorenade massor upptäckas ska detta omedelbart anmälas till VD.</t>
        </is>
      </c>
      <c r="M165" t="inlineStr">
        <is>
          <t>SKA</t>
        </is>
      </c>
      <c r="N165" t="inlineStr"/>
      <c r="O165" t="inlineStr"/>
      <c r="P165" t="inlineStr">
        <is>
          <t>Arlig</t>
        </is>
      </c>
      <c r="Q165" t="inlineStr"/>
      <c r="R165" t="inlineStr">
        <is>
          <t>Alltid</t>
        </is>
      </c>
      <c r="S165" t="inlineStr"/>
      <c r="T165" t="inlineStr">
        <is>
          <t>200617</t>
        </is>
      </c>
      <c r="U165" t="inlineStr"/>
      <c r="V165" t="inlineStr"/>
      <c r="W165" t="inlineStr">
        <is>
          <t>Nej</t>
        </is>
      </c>
      <c r="X165" t="inlineStr">
        <is>
          <t>Nej</t>
        </is>
      </c>
      <c r="Y165" t="inlineStr">
        <is>
          <t>Nej</t>
        </is>
      </c>
      <c r="Z165" t="inlineStr">
        <is>
          <t>Nej</t>
        </is>
      </c>
      <c r="AA165" t="n">
        <v>10</v>
      </c>
      <c r="AB165" t="inlineStr">
        <is>
          <t>Miljopaverkan och forsiktighetsmatt</t>
        </is>
      </c>
      <c r="AC165" t="inlineStr">
        <is>
          <t>Miljo-PM</t>
        </is>
      </c>
      <c r="AD165" t="inlineStr">
        <is>
          <t>Nej</t>
        </is>
      </c>
      <c r="AE165" t="inlineStr">
        <is>
          <t>Nej</t>
        </is>
      </c>
      <c r="AF165" t="inlineStr">
        <is>
          <t>Ej behandlad</t>
        </is>
      </c>
      <c r="AG165" t="inlineStr">
        <is>
          <t>AUTO_GENERERAD. Verifiera citat mot kallfil.</t>
        </is>
      </c>
      <c r="AH165" t="inlineStr">
        <is>
          <t>MEDIUM</t>
        </is>
      </c>
      <c r="AI165" t="inlineStr">
        <is>
          <t>AUTO</t>
        </is>
      </c>
      <c r="AJ165" t="inlineStr">
        <is>
          <t>Nej</t>
        </is>
      </c>
      <c r="AK165" t="inlineStr"/>
      <c r="AL165" t="inlineStr"/>
      <c r="AM165" t="inlineStr"/>
      <c r="AN165" t="inlineStr"/>
      <c r="AO165" t="inlineStr">
        <is>
          <t>cmm4yuq04034hcuqwue9hvqhc</t>
        </is>
      </c>
      <c r="AP165" t="inlineStr">
        <is>
          <t>http://localhost:8787/api/admin/requirements/documents/cmm4yuq04034hcuqwue9hvqhc/view</t>
        </is>
      </c>
      <c r="AQ165">
        <f>HYPERLÄNK("http://localhost:8787/api/admin/requirements/documents/cmm4yuq04034hcuqwue9hvqhc/view";"Öppna PDF")</f>
        <v/>
      </c>
      <c r="AR165">
        <f>HYPERLINK("http://localhost:8787/api/admin/requirements/documents/cmm4yuq04034hcuqwue9hvqhc/view","Open PDF")</f>
        <v/>
      </c>
      <c r="AS165" t="inlineStr">
        <is>
          <t>cmm55w57p0004cuisfrtpqly8</t>
        </is>
      </c>
      <c r="AT165" t="inlineStr">
        <is>
          <t>cmm4xvu980000cuh4vj0usz09</t>
        </is>
      </c>
      <c r="AU165" t="inlineStr">
        <is>
          <t>Lilla Edets</t>
        </is>
      </c>
      <c r="AV165" t="inlineStr">
        <is>
          <t>Kommun</t>
        </is>
      </c>
      <c r="AW165" t="inlineStr">
        <is>
          <t>Lilla Edets kommun</t>
        </is>
      </c>
      <c r="AX165" t="inlineStr">
        <is>
          <t>2024-06</t>
        </is>
      </c>
      <c r="AY165" t="inlineStr">
        <is>
          <t>Beslut</t>
        </is>
      </c>
      <c r="AZ165" t="inlineStr">
        <is>
          <t>2026-02-04</t>
        </is>
      </c>
      <c r="BA165" t="inlineStr">
        <is>
          <t>MB-2024-625-7 13.3 Miljöteknisk markundersökning m bilagor.pdf</t>
        </is>
      </c>
      <c r="BB165" t="inlineStr">
        <is>
          <t>VB: till registrator</t>
        </is>
      </c>
      <c r="BC165" t="inlineStr">
        <is>
          <t>AUTO</t>
        </is>
      </c>
      <c r="BD165" t="inlineStr"/>
      <c r="BE165" t="inlineStr"/>
      <c r="BF165" t="inlineStr">
        <is>
          <t>AUTO_GENERERAD. Bekrafta metadata mot kallfil.</t>
        </is>
      </c>
      <c r="BG165">
        <f>HYPERLINK("C:\Users\jimmy\Desktop\Examens arbete\Kod\Ny mapp\remix_-copy-of-miljöbeslut.se-portal\MB-2024-625-7 13.3 Miljöteknisk markundersökning m bilagor.pdf", "Öppna PDF")</f>
        <v/>
      </c>
    </row>
    <row r="166">
      <c r="A166" t="inlineStr">
        <is>
          <t>KRAV-AUTO-000165</t>
        </is>
      </c>
      <c r="B166" t="inlineStr">
        <is>
          <t>ADMIN-INDEX-2026-02-27-00000000125C043F57453246863FE664CAFE6A3F0700950291EA24F0614FB6ACEDB12BF0E31D00000000010C0000950291EA24F0614FB6ACEDB12BF0E31D00002087AE3A0000</t>
        </is>
      </c>
      <c r="C166" t="inlineStr">
        <is>
          <t>cmm4yupxq032hcuqwpnrsoo68</t>
        </is>
      </c>
      <c r="D166" t="inlineStr">
        <is>
          <t>http://localhost:8787/api/admin/requirements/documents/cmm4yupxq032hcuqwpnrsoo68/view</t>
        </is>
      </c>
      <c r="E166">
        <f>HYPERLÄNK("http://localhost:8787/api/admin/requirements/documents/cmm4yupxq032hcuqwpnrsoo68/view";"Öppna PDF")</f>
        <v/>
      </c>
      <c r="F166">
        <f>HYPERLINK("http://localhost:8787/api/admin/requirements/documents/cmm4yupxq032hcuqwpnrsoo68/view","Open PDF")</f>
        <v/>
      </c>
      <c r="G166" t="inlineStr">
        <is>
          <t>cmm55w57p0004cuisfrtpqly8</t>
        </is>
      </c>
      <c r="H166" t="inlineStr">
        <is>
          <t>Beslutsvillkor</t>
        </is>
      </c>
      <c r="I166" t="inlineStr">
        <is>
          <t>Riskhantering</t>
        </is>
      </c>
      <c r="J166" t="inlineStr">
        <is>
          <t>Riskkontroll</t>
        </is>
      </c>
      <c r="K166" t="inlineStr">
        <is>
          <t>Val och hantering av material och kemiska produkter Lagring av kemikalier ska ske brandsäkert samt utom räckhåll för obehöriga.</t>
        </is>
      </c>
      <c r="L166" t="inlineStr">
        <is>
          <t>Val och hantering av material och kemiska produkter Lagring av kemikalier ska ske brandsäkert samt utom räckhåll för obehöriga.</t>
        </is>
      </c>
      <c r="M166" t="inlineStr">
        <is>
          <t>SKA</t>
        </is>
      </c>
      <c r="N166" t="inlineStr"/>
      <c r="O166" t="inlineStr"/>
      <c r="P166" t="inlineStr"/>
      <c r="Q166" t="inlineStr"/>
      <c r="R166" t="inlineStr">
        <is>
          <t>Vid risk for incident</t>
        </is>
      </c>
      <c r="S166" t="inlineStr"/>
      <c r="T166" t="inlineStr">
        <is>
          <t>200617</t>
        </is>
      </c>
      <c r="U166" t="inlineStr"/>
      <c r="V166" t="inlineStr"/>
      <c r="W166" t="inlineStr">
        <is>
          <t>Nej</t>
        </is>
      </c>
      <c r="X166" t="inlineStr">
        <is>
          <t>Nej</t>
        </is>
      </c>
      <c r="Y166" t="inlineStr">
        <is>
          <t>Ja</t>
        </is>
      </c>
      <c r="Z166" t="inlineStr">
        <is>
          <t>Ja</t>
        </is>
      </c>
      <c r="AA166" t="n">
        <v>8</v>
      </c>
      <c r="AB166" t="inlineStr">
        <is>
          <t>Riskhantering</t>
        </is>
      </c>
      <c r="AC166" t="inlineStr">
        <is>
          <t>Risk-PM</t>
        </is>
      </c>
      <c r="AD166" t="inlineStr">
        <is>
          <t>Nej</t>
        </is>
      </c>
      <c r="AE166" t="inlineStr">
        <is>
          <t>Nej</t>
        </is>
      </c>
      <c r="AF166" t="inlineStr">
        <is>
          <t>Ej behandlad</t>
        </is>
      </c>
      <c r="AG166" t="inlineStr">
        <is>
          <t>AUTO_GENERERAD. Verifiera citat mot kallfil.</t>
        </is>
      </c>
      <c r="AH166" t="inlineStr">
        <is>
          <t>MEDIUM</t>
        </is>
      </c>
      <c r="AI166" t="inlineStr">
        <is>
          <t>AUTO</t>
        </is>
      </c>
      <c r="AJ166" t="inlineStr">
        <is>
          <t>Nej</t>
        </is>
      </c>
      <c r="AK166" t="inlineStr"/>
      <c r="AL166" t="inlineStr"/>
      <c r="AM166" t="inlineStr"/>
      <c r="AN166" t="inlineStr"/>
      <c r="AO166" t="inlineStr">
        <is>
          <t>cmm4yuq04034hcuqwue9hvqhc</t>
        </is>
      </c>
      <c r="AP166" t="inlineStr">
        <is>
          <t>http://localhost:8787/api/admin/requirements/documents/cmm4yuq04034hcuqwue9hvqhc/view</t>
        </is>
      </c>
      <c r="AQ166">
        <f>HYPERLÄNK("http://localhost:8787/api/admin/requirements/documents/cmm4yuq04034hcuqwue9hvqhc/view";"Öppna PDF")</f>
        <v/>
      </c>
      <c r="AR166">
        <f>HYPERLINK("http://localhost:8787/api/admin/requirements/documents/cmm4yuq04034hcuqwue9hvqhc/view","Open PDF")</f>
        <v/>
      </c>
      <c r="AS166" t="inlineStr">
        <is>
          <t>cmm55w57p0004cuisfrtpqly8</t>
        </is>
      </c>
      <c r="AT166" t="inlineStr">
        <is>
          <t>cmm4xvu980000cuh4vj0usz09</t>
        </is>
      </c>
      <c r="AU166" t="inlineStr">
        <is>
          <t>Lilla Edets</t>
        </is>
      </c>
      <c r="AV166" t="inlineStr">
        <is>
          <t>Kommun</t>
        </is>
      </c>
      <c r="AW166" t="inlineStr">
        <is>
          <t>Lilla Edets kommun</t>
        </is>
      </c>
      <c r="AX166" t="inlineStr">
        <is>
          <t>2024-06</t>
        </is>
      </c>
      <c r="AY166" t="inlineStr">
        <is>
          <t>Beslut</t>
        </is>
      </c>
      <c r="AZ166" t="inlineStr">
        <is>
          <t>2026-02-04</t>
        </is>
      </c>
      <c r="BA166" t="inlineStr">
        <is>
          <t>MB-2024-625-7 13.3 Miljöteknisk markundersökning m bilagor.pdf</t>
        </is>
      </c>
      <c r="BB166" t="inlineStr">
        <is>
          <t>VB: till registrator</t>
        </is>
      </c>
      <c r="BC166" t="inlineStr">
        <is>
          <t>AUTO</t>
        </is>
      </c>
      <c r="BD166" t="inlineStr"/>
      <c r="BE166" t="inlineStr"/>
      <c r="BF166" t="inlineStr">
        <is>
          <t>AUTO_GENERERAD. Bekrafta metadata mot kallfil.</t>
        </is>
      </c>
      <c r="BG166">
        <f>HYPERLINK("C:\Users\jimmy\Desktop\Examens arbete\Kod\Ny mapp\remix_-copy-of-miljöbeslut.se-portal\MB-2024-625-7 13.3 Miljöteknisk markundersökning m bilagor.pdf", "Öppna PDF")</f>
        <v/>
      </c>
    </row>
    <row r="167">
      <c r="A167" t="inlineStr">
        <is>
          <t>KRAV-AUTO-000166</t>
        </is>
      </c>
      <c r="B167" t="inlineStr">
        <is>
          <t>ADMIN-INDEX-2026-02-27-00000000125C043F57453246863FE664CAFE6A3F0700950291EA24F0614FB6ACEDB12BF0E31D00000000010C0000950291EA24F0614FB6ACEDB12BF0E31D00002087AE450000</t>
        </is>
      </c>
      <c r="C167" t="inlineStr">
        <is>
          <t>cmm4yupwf031ecuqwcuwsaack</t>
        </is>
      </c>
      <c r="D167" t="inlineStr">
        <is>
          <t>http://localhost:8787/api/admin/requirements/documents/cmm4yupwf031ecuqwcuwsaack/view</t>
        </is>
      </c>
      <c r="E167">
        <f>HYPERLÄNK("http://localhost:8787/api/admin/requirements/documents/cmm4yupwf031ecuqwcuwsaack/view";"Öppna PDF")</f>
        <v/>
      </c>
      <c r="F167">
        <f>HYPERLINK("http://localhost:8787/api/admin/requirements/documents/cmm4yupwf031ecuqwcuwsaack/view","Open PDF")</f>
        <v/>
      </c>
      <c r="G167" t="inlineStr">
        <is>
          <t>cmm55w57p0004cuisfrtpqly8</t>
        </is>
      </c>
      <c r="H167" t="inlineStr">
        <is>
          <t>Informationskrav</t>
        </is>
      </c>
      <c r="I167" t="inlineStr">
        <is>
          <t>MiljopaverkanForsiktighet</t>
        </is>
      </c>
      <c r="J167" t="inlineStr">
        <is>
          <t>Skyddsatgarder</t>
        </is>
      </c>
      <c r="K167" t="inlineStr">
        <is>
          <t>Farligt avfall skall ej mellanlagras på området utan det skall omgående skickas på deponi.</t>
        </is>
      </c>
      <c r="L167" t="inlineStr">
        <is>
          <t>Farligt avfall skall ej mellanlagras på området utan det skall omgående skickas på deponi.</t>
        </is>
      </c>
      <c r="M167" t="inlineStr">
        <is>
          <t>SKA</t>
        </is>
      </c>
      <c r="N167" t="inlineStr">
        <is>
          <t>FMH</t>
        </is>
      </c>
      <c r="O167" t="inlineStr"/>
      <c r="P167" t="inlineStr">
        <is>
          <t>Arlig</t>
        </is>
      </c>
      <c r="Q167" t="inlineStr"/>
      <c r="R167" t="inlineStr">
        <is>
          <t>Alltid</t>
        </is>
      </c>
      <c r="S167" t="inlineStr"/>
      <c r="T167" t="inlineStr">
        <is>
          <t>212000</t>
        </is>
      </c>
      <c r="U167" t="inlineStr"/>
      <c r="V167" t="inlineStr"/>
      <c r="W167" t="inlineStr">
        <is>
          <t>Nej</t>
        </is>
      </c>
      <c r="X167" t="inlineStr">
        <is>
          <t>Nej</t>
        </is>
      </c>
      <c r="Y167" t="inlineStr">
        <is>
          <t>Nej</t>
        </is>
      </c>
      <c r="Z167" t="inlineStr">
        <is>
          <t>Nej</t>
        </is>
      </c>
      <c r="AA167" t="n">
        <v>10</v>
      </c>
      <c r="AB167" t="inlineStr">
        <is>
          <t>Miljopaverkan och forsiktighetsmatt</t>
        </is>
      </c>
      <c r="AC167" t="inlineStr">
        <is>
          <t>Miljo-PM</t>
        </is>
      </c>
      <c r="AD167" t="inlineStr">
        <is>
          <t>Nej</t>
        </is>
      </c>
      <c r="AE167" t="inlineStr">
        <is>
          <t>Nej</t>
        </is>
      </c>
      <c r="AF167" t="inlineStr">
        <is>
          <t>Ej behandlad</t>
        </is>
      </c>
      <c r="AG167" t="inlineStr">
        <is>
          <t>AUTO_GENERERAD. Verifiera citat mot kallfil.</t>
        </is>
      </c>
      <c r="AH167" t="inlineStr">
        <is>
          <t>MEDIUM</t>
        </is>
      </c>
      <c r="AI167" t="inlineStr">
        <is>
          <t>AUTO</t>
        </is>
      </c>
      <c r="AJ167" t="inlineStr">
        <is>
          <t>Nej</t>
        </is>
      </c>
      <c r="AK167" t="inlineStr"/>
      <c r="AL167" t="inlineStr"/>
      <c r="AM167" t="inlineStr"/>
      <c r="AN167" t="inlineStr"/>
      <c r="AO167" t="inlineStr">
        <is>
          <t>cmm4yupwf031ecuqwcuwsaack</t>
        </is>
      </c>
      <c r="AP167" t="inlineStr">
        <is>
          <t>http://localhost:8787/api/admin/requirements/documents/cmm4yupwf031ecuqwcuwsaack/view</t>
        </is>
      </c>
      <c r="AQ167">
        <f>HYPERLÄNK("http://localhost:8787/api/admin/requirements/documents/cmm4yupwf031ecuqwcuwsaack/view";"Öppna PDF")</f>
        <v/>
      </c>
      <c r="AR167">
        <f>HYPERLINK("http://localhost:8787/api/admin/requirements/documents/cmm4yupwf031ecuqwcuwsaack/view","Open PDF")</f>
        <v/>
      </c>
      <c r="AS167" t="inlineStr">
        <is>
          <t>cmm55w57p0004cuisfrtpqly8</t>
        </is>
      </c>
      <c r="AT167" t="inlineStr">
        <is>
          <t>cmm4xvu980000cuh4vj0usz09</t>
        </is>
      </c>
      <c r="AU167" t="inlineStr"/>
      <c r="AV167" t="inlineStr">
        <is>
          <t>Kommun</t>
        </is>
      </c>
      <c r="AW167" t="inlineStr"/>
      <c r="AX167" t="inlineStr">
        <is>
          <t>2013:251</t>
        </is>
      </c>
      <c r="AY167" t="inlineStr">
        <is>
          <t>Anmalan</t>
        </is>
      </c>
      <c r="AZ167" t="inlineStr">
        <is>
          <t>2026-02-04</t>
        </is>
      </c>
      <c r="BA167" t="inlineStr">
        <is>
          <t>Anmälan miljöfarlig verksamhet v1.pdf</t>
        </is>
      </c>
      <c r="BB167" t="inlineStr">
        <is>
          <t>Verksamhet i Tidaholm</t>
        </is>
      </c>
      <c r="BC167" t="inlineStr">
        <is>
          <t>AUTO</t>
        </is>
      </c>
      <c r="BD167" t="inlineStr"/>
      <c r="BE167" t="inlineStr"/>
      <c r="BF167" t="inlineStr">
        <is>
          <t>AUTO_GENERERAD. Bekrafta metadata mot kallfil.</t>
        </is>
      </c>
      <c r="BG167">
        <f>HYPERLINK("C:\Users\jimmy\Desktop\Examens arbete\Kod\Ny mapp\remix_-copy-of-miljöbeslut.se-portal\Anmälan miljöfarlig verksamhet v1.pdf", "Öppna PDF")</f>
        <v/>
      </c>
    </row>
    <row r="168">
      <c r="A168" t="inlineStr">
        <is>
          <t>KRAV-AUTO-000167</t>
        </is>
      </c>
      <c r="B168" t="inlineStr">
        <is>
          <t>ADMIN-INDEX-2026-02-27-00000000125C043F57453246863FE664CAFE6A3F0700950291EA24F0614FB6ACEDB12BF0E31D00000000010C0000950291EA24F0614FB6ACEDB12BF0E31D00002087AE450000</t>
        </is>
      </c>
      <c r="C168" t="inlineStr">
        <is>
          <t>cmm4yupwf031ecuqwcuwsaack</t>
        </is>
      </c>
      <c r="D168" t="inlineStr">
        <is>
          <t>http://localhost:8787/api/admin/requirements/documents/cmm4yupwf031ecuqwcuwsaack/view</t>
        </is>
      </c>
      <c r="E168">
        <f>HYPERLÄNK("http://localhost:8787/api/admin/requirements/documents/cmm4yupwf031ecuqwcuwsaack/view";"Öppna PDF")</f>
        <v/>
      </c>
      <c r="F168">
        <f>HYPERLINK("http://localhost:8787/api/admin/requirements/documents/cmm4yupwf031ecuqwcuwsaack/view","Open PDF")</f>
        <v/>
      </c>
      <c r="G168" t="inlineStr">
        <is>
          <t>cmm55w57p0004cuisfrtpqly8</t>
        </is>
      </c>
      <c r="H168" t="inlineStr">
        <is>
          <t>Informationskrav</t>
        </is>
      </c>
      <c r="I168" t="inlineStr">
        <is>
          <t>DagvattenLakvatten</t>
        </is>
      </c>
      <c r="J168" t="inlineStr">
        <is>
          <t>Uppsamling</t>
        </is>
      </c>
      <c r="K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68" t="inlineStr">
        <is>
          <t>SKA</t>
        </is>
      </c>
      <c r="N168" t="inlineStr">
        <is>
          <t>FMH</t>
        </is>
      </c>
      <c r="O168" t="inlineStr">
        <is>
          <t>2023-06-09</t>
        </is>
      </c>
      <c r="P168" t="inlineStr"/>
      <c r="Q168" t="inlineStr"/>
      <c r="R168" t="inlineStr">
        <is>
          <t>Vid nederbord och avrinning</t>
        </is>
      </c>
      <c r="S168" t="inlineStr"/>
      <c r="T168" t="inlineStr">
        <is>
          <t>212000</t>
        </is>
      </c>
      <c r="U168" t="inlineStr"/>
      <c r="V168" t="inlineStr"/>
      <c r="W168" t="inlineStr">
        <is>
          <t>Nej</t>
        </is>
      </c>
      <c r="X168" t="inlineStr">
        <is>
          <t>Ja</t>
        </is>
      </c>
      <c r="Y168" t="inlineStr">
        <is>
          <t>Ja</t>
        </is>
      </c>
      <c r="Z168" t="inlineStr">
        <is>
          <t>Nej</t>
        </is>
      </c>
      <c r="AA168" t="n">
        <v>6</v>
      </c>
      <c r="AB168" t="inlineStr">
        <is>
          <t>Lakvattenhantering</t>
        </is>
      </c>
      <c r="AC168" t="inlineStr">
        <is>
          <t>Flodesschema dagvatten-lakvatten</t>
        </is>
      </c>
      <c r="AD168" t="inlineStr">
        <is>
          <t>Nej</t>
        </is>
      </c>
      <c r="AE168" t="inlineStr">
        <is>
          <t>Nej</t>
        </is>
      </c>
      <c r="AF168" t="inlineStr">
        <is>
          <t>Ej behandlad</t>
        </is>
      </c>
      <c r="AG168" t="inlineStr">
        <is>
          <t>AUTO_GENERERAD. Verifiera citat mot kallfil.</t>
        </is>
      </c>
      <c r="AH168" t="inlineStr">
        <is>
          <t>MEDIUM</t>
        </is>
      </c>
      <c r="AI168" t="inlineStr">
        <is>
          <t>AUTO</t>
        </is>
      </c>
      <c r="AJ168" t="inlineStr">
        <is>
          <t>Nej</t>
        </is>
      </c>
      <c r="AK168" t="inlineStr"/>
      <c r="AL168" t="inlineStr"/>
      <c r="AM168" t="inlineStr"/>
      <c r="AN168" t="inlineStr"/>
      <c r="AO168" t="inlineStr">
        <is>
          <t>cmm4yupwf031ecuqwcuwsaack</t>
        </is>
      </c>
      <c r="AP168" t="inlineStr">
        <is>
          <t>http://localhost:8787/api/admin/requirements/documents/cmm4yupwf031ecuqwcuwsaack/view</t>
        </is>
      </c>
      <c r="AQ168">
        <f>HYPERLÄNK("http://localhost:8787/api/admin/requirements/documents/cmm4yupwf031ecuqwcuwsaack/view";"Öppna PDF")</f>
        <v/>
      </c>
      <c r="AR168">
        <f>HYPERLINK("http://localhost:8787/api/admin/requirements/documents/cmm4yupwf031ecuqwcuwsaack/view","Open PDF")</f>
        <v/>
      </c>
      <c r="AS168" t="inlineStr">
        <is>
          <t>cmm55w57p0004cuisfrtpqly8</t>
        </is>
      </c>
      <c r="AT168" t="inlineStr">
        <is>
          <t>cmm4xvu980000cuh4vj0usz09</t>
        </is>
      </c>
      <c r="AU168" t="inlineStr"/>
      <c r="AV168" t="inlineStr">
        <is>
          <t>Kommun</t>
        </is>
      </c>
      <c r="AW168" t="inlineStr"/>
      <c r="AX168" t="inlineStr">
        <is>
          <t>2013:251</t>
        </is>
      </c>
      <c r="AY168" t="inlineStr">
        <is>
          <t>Anmalan</t>
        </is>
      </c>
      <c r="AZ168" t="inlineStr">
        <is>
          <t>2026-02-04</t>
        </is>
      </c>
      <c r="BA168" t="inlineStr">
        <is>
          <t>Anmälan miljöfarlig verksamhet v1.pdf</t>
        </is>
      </c>
      <c r="BB168" t="inlineStr">
        <is>
          <t>Verksamhet i Tidaholm</t>
        </is>
      </c>
      <c r="BC168" t="inlineStr">
        <is>
          <t>AUTO</t>
        </is>
      </c>
      <c r="BD168" t="inlineStr"/>
      <c r="BE168" t="inlineStr"/>
      <c r="BF168" t="inlineStr">
        <is>
          <t>AUTO_GENERERAD. Bekrafta metadata mot kallfil.</t>
        </is>
      </c>
      <c r="BG168">
        <f>HYPERLINK("C:\Users\jimmy\Desktop\Examens arbete\Kod\Ny mapp\remix_-copy-of-miljöbeslut.se-portal\Anmälan miljöfarlig verksamhet v1.pdf", "Öppna PDF")</f>
        <v/>
      </c>
    </row>
    <row r="169">
      <c r="A169" t="inlineStr">
        <is>
          <t>KRAV-AUTO-000168</t>
        </is>
      </c>
      <c r="B169" t="inlineStr">
        <is>
          <t>ADMIN-INDEX-2026-02-27-00000000125C043F57453246863FE664CAFE6A3F0700950291EA24F0614FB6ACEDB12BF0E31D00000000010C0000950291EA24F0614FB6ACEDB12BF0E31D00002087AE450000</t>
        </is>
      </c>
      <c r="C169" t="inlineStr">
        <is>
          <t>cmm4yupwf031ecuqwcuwsaack</t>
        </is>
      </c>
      <c r="D169" t="inlineStr">
        <is>
          <t>http://localhost:8787/api/admin/requirements/documents/cmm4yupwf031ecuqwcuwsaack/view</t>
        </is>
      </c>
      <c r="E169">
        <f>HYPERLÄNK("http://localhost:8787/api/admin/requirements/documents/cmm4yupwf031ecuqwcuwsaack/view";"Öppna PDF")</f>
        <v/>
      </c>
      <c r="F169">
        <f>HYPERLINK("http://localhost:8787/api/admin/requirements/documents/cmm4yupwf031ecuqwcuwsaack/view","Open PDF")</f>
        <v/>
      </c>
      <c r="G169" t="inlineStr">
        <is>
          <t>cmm55w57p0004cuisfrtpqly8</t>
        </is>
      </c>
      <c r="H169" t="inlineStr">
        <is>
          <t>Informationskrav</t>
        </is>
      </c>
      <c r="I169" t="inlineStr">
        <is>
          <t>LagringsvolymTid</t>
        </is>
      </c>
      <c r="J169" t="inlineStr">
        <is>
          <t>Maxmangd</t>
        </is>
      </c>
      <c r="K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69" t="inlineStr">
        <is>
          <t>BOR</t>
        </is>
      </c>
      <c r="N169" t="inlineStr">
        <is>
          <t>FMH</t>
        </is>
      </c>
      <c r="O169" t="inlineStr">
        <is>
          <t>2023-06-09</t>
        </is>
      </c>
      <c r="P169" t="inlineStr">
        <is>
          <t>Arlig</t>
        </is>
      </c>
      <c r="Q169" t="inlineStr"/>
      <c r="R169" t="inlineStr">
        <is>
          <t>Alltid</t>
        </is>
      </c>
      <c r="S169" t="inlineStr"/>
      <c r="T169" t="inlineStr">
        <is>
          <t>17 03 01</t>
        </is>
      </c>
      <c r="U169" t="inlineStr"/>
      <c r="V169" t="inlineStr"/>
      <c r="W169" t="inlineStr">
        <is>
          <t>Nej</t>
        </is>
      </c>
      <c r="X169" t="inlineStr">
        <is>
          <t>Nej</t>
        </is>
      </c>
      <c r="Y169" t="inlineStr">
        <is>
          <t>Nej</t>
        </is>
      </c>
      <c r="Z169" t="inlineStr">
        <is>
          <t>Nej</t>
        </is>
      </c>
      <c r="AA169" t="n">
        <v>4</v>
      </c>
      <c r="AB169" t="inlineStr">
        <is>
          <t>Avfallsmangder och lagringstid</t>
        </is>
      </c>
      <c r="AC169" t="inlineStr">
        <is>
          <t>Avfallsforteckning</t>
        </is>
      </c>
      <c r="AD169" t="inlineStr">
        <is>
          <t>Nej</t>
        </is>
      </c>
      <c r="AE169" t="inlineStr">
        <is>
          <t>Nej</t>
        </is>
      </c>
      <c r="AF169" t="inlineStr">
        <is>
          <t>Ej behandlad</t>
        </is>
      </c>
      <c r="AG169" t="inlineStr">
        <is>
          <t>AUTO_GENERERAD. Verifiera citat mot kallfil.</t>
        </is>
      </c>
      <c r="AH169" t="inlineStr">
        <is>
          <t>MEDIUM</t>
        </is>
      </c>
      <c r="AI169" t="inlineStr">
        <is>
          <t>AUTO</t>
        </is>
      </c>
      <c r="AJ169" t="inlineStr">
        <is>
          <t>Nej</t>
        </is>
      </c>
      <c r="AK169" t="inlineStr"/>
      <c r="AL169" t="inlineStr"/>
      <c r="AM169" t="inlineStr"/>
      <c r="AN169" t="inlineStr"/>
      <c r="AO169" t="inlineStr">
        <is>
          <t>cmm4yupwf031ecuqwcuwsaack</t>
        </is>
      </c>
      <c r="AP169" t="inlineStr">
        <is>
          <t>http://localhost:8787/api/admin/requirements/documents/cmm4yupwf031ecuqwcuwsaack/view</t>
        </is>
      </c>
      <c r="AQ169">
        <f>HYPERLÄNK("http://localhost:8787/api/admin/requirements/documents/cmm4yupwf031ecuqwcuwsaack/view";"Öppna PDF")</f>
        <v/>
      </c>
      <c r="AR169">
        <f>HYPERLINK("http://localhost:8787/api/admin/requirements/documents/cmm4yupwf031ecuqwcuwsaack/view","Open PDF")</f>
        <v/>
      </c>
      <c r="AS169" t="inlineStr">
        <is>
          <t>cmm55w57p0004cuisfrtpqly8</t>
        </is>
      </c>
      <c r="AT169" t="inlineStr">
        <is>
          <t>cmm4xvu980000cuh4vj0usz09</t>
        </is>
      </c>
      <c r="AU169" t="inlineStr"/>
      <c r="AV169" t="inlineStr">
        <is>
          <t>Kommun</t>
        </is>
      </c>
      <c r="AW169" t="inlineStr"/>
      <c r="AX169" t="inlineStr">
        <is>
          <t>2013:251</t>
        </is>
      </c>
      <c r="AY169" t="inlineStr">
        <is>
          <t>Anmalan</t>
        </is>
      </c>
      <c r="AZ169" t="inlineStr">
        <is>
          <t>2026-02-04</t>
        </is>
      </c>
      <c r="BA169" t="inlineStr">
        <is>
          <t>Anmälan miljöfarlig verksamhet v1.pdf</t>
        </is>
      </c>
      <c r="BB169" t="inlineStr">
        <is>
          <t>Verksamhet i Tidaholm</t>
        </is>
      </c>
      <c r="BC169" t="inlineStr">
        <is>
          <t>AUTO</t>
        </is>
      </c>
      <c r="BD169" t="inlineStr"/>
      <c r="BE169" t="inlineStr"/>
      <c r="BF169" t="inlineStr">
        <is>
          <t>AUTO_GENERERAD. Bekrafta metadata mot kallfil.</t>
        </is>
      </c>
      <c r="BG169">
        <f>HYPERLINK("C:\Users\jimmy\Desktop\Examens arbete\Kod\Ny mapp\remix_-copy-of-miljöbeslut.se-portal\Anmälan miljöfarlig verksamhet v1.pdf", "Öppna PDF")</f>
        <v/>
      </c>
    </row>
    <row r="170">
      <c r="A170" t="inlineStr">
        <is>
          <t>KRAV-AUTO-000169</t>
        </is>
      </c>
      <c r="B170" t="inlineStr">
        <is>
          <t>ADMIN-INDEX-2026-02-27-00000000125C043F57453246863FE664CAFE6A3F0700950291EA24F0614FB6ACEDB12BF0E31D00000000010C0000950291EA24F0614FB6ACEDB12BF0E31D00002087AE460000</t>
        </is>
      </c>
      <c r="C170" t="inlineStr">
        <is>
          <t>cmm4yupvw030wcuqwlg1cpc8c</t>
        </is>
      </c>
      <c r="D170" t="inlineStr">
        <is>
          <t>http://localhost:8787/api/admin/requirements/documents/cmm4yupvw030wcuqwlg1cpc8c/view</t>
        </is>
      </c>
      <c r="E170">
        <f>HYPERLÄNK("http://localhost:8787/api/admin/requirements/documents/cmm4yupvw030wcuqwlg1cpc8c/view";"Öppna PDF")</f>
        <v/>
      </c>
      <c r="F170">
        <f>HYPERLINK("http://localhost:8787/api/admin/requirements/documents/cmm4yupvw030wcuqwlg1cpc8c/view","Open PDF")</f>
        <v/>
      </c>
      <c r="G170" t="inlineStr">
        <is>
          <t>cmm55w57p0004cuisfrtpqly8</t>
        </is>
      </c>
      <c r="H170" t="inlineStr">
        <is>
          <t>Informationskrav</t>
        </is>
      </c>
      <c r="I170" t="inlineStr">
        <is>
          <t>MiljopaverkanForsiktighet</t>
        </is>
      </c>
      <c r="J170" t="inlineStr">
        <is>
          <t>Skyddsatgarder</t>
        </is>
      </c>
      <c r="K170" t="inlineStr">
        <is>
          <t>Inget farligt avfall skall mellanlagras på området utan det skall omgående skickas på deponi.</t>
        </is>
      </c>
      <c r="L170" t="inlineStr">
        <is>
          <t>Inget farligt avfall skall mellanlagras på området utan det skall omgående skickas på deponi.</t>
        </is>
      </c>
      <c r="M170" t="inlineStr">
        <is>
          <t>SKA</t>
        </is>
      </c>
      <c r="N170" t="inlineStr">
        <is>
          <t>FMH</t>
        </is>
      </c>
      <c r="O170" t="inlineStr"/>
      <c r="P170" t="inlineStr">
        <is>
          <t>Arlig</t>
        </is>
      </c>
      <c r="Q170" t="inlineStr"/>
      <c r="R170" t="inlineStr">
        <is>
          <t>Alltid</t>
        </is>
      </c>
      <c r="S170" t="inlineStr"/>
      <c r="T170" t="inlineStr">
        <is>
          <t>606209</t>
        </is>
      </c>
      <c r="U170" t="inlineStr"/>
      <c r="V170" t="inlineStr"/>
      <c r="W170" t="inlineStr">
        <is>
          <t>Nej</t>
        </is>
      </c>
      <c r="X170" t="inlineStr">
        <is>
          <t>Nej</t>
        </is>
      </c>
      <c r="Y170" t="inlineStr">
        <is>
          <t>Nej</t>
        </is>
      </c>
      <c r="Z170" t="inlineStr">
        <is>
          <t>Nej</t>
        </is>
      </c>
      <c r="AA170" t="n">
        <v>10</v>
      </c>
      <c r="AB170" t="inlineStr">
        <is>
          <t>Miljopaverkan och forsiktighetsmatt</t>
        </is>
      </c>
      <c r="AC170" t="inlineStr">
        <is>
          <t>Miljo-PM</t>
        </is>
      </c>
      <c r="AD170" t="inlineStr">
        <is>
          <t>Nej</t>
        </is>
      </c>
      <c r="AE170" t="inlineStr">
        <is>
          <t>Nej</t>
        </is>
      </c>
      <c r="AF170" t="inlineStr">
        <is>
          <t>Ej behandlad</t>
        </is>
      </c>
      <c r="AG170" t="inlineStr">
        <is>
          <t>AUTO_GENERERAD. Verifiera citat mot kallfil.</t>
        </is>
      </c>
      <c r="AH170" t="inlineStr">
        <is>
          <t>MEDIUM</t>
        </is>
      </c>
      <c r="AI170" t="inlineStr">
        <is>
          <t>AUTO</t>
        </is>
      </c>
      <c r="AJ170" t="inlineStr">
        <is>
          <t>Nej</t>
        </is>
      </c>
      <c r="AK170" t="inlineStr"/>
      <c r="AL170" t="inlineStr"/>
      <c r="AM170" t="inlineStr"/>
      <c r="AN170" t="inlineStr"/>
      <c r="AO170" t="inlineStr">
        <is>
          <t>cmm4yupvw030wcuqwlg1cpc8c</t>
        </is>
      </c>
      <c r="AP170" t="inlineStr">
        <is>
          <t>http://localhost:8787/api/admin/requirements/documents/cmm4yupvw030wcuqwlg1cpc8c/view</t>
        </is>
      </c>
      <c r="AQ170">
        <f>HYPERLÄNK("http://localhost:8787/api/admin/requirements/documents/cmm4yupvw030wcuqwlg1cpc8c/view";"Öppna PDF")</f>
        <v/>
      </c>
      <c r="AR170">
        <f>HYPERLINK("http://localhost:8787/api/admin/requirements/documents/cmm4yupvw030wcuqwlg1cpc8c/view","Open PDF")</f>
        <v/>
      </c>
      <c r="AS170" t="inlineStr">
        <is>
          <t>cmm55w57p0004cuisfrtpqly8</t>
        </is>
      </c>
      <c r="AT170" t="inlineStr">
        <is>
          <t>cmm4xvu980000cuh4vj0usz09</t>
        </is>
      </c>
      <c r="AU170" t="inlineStr"/>
      <c r="AV170" t="inlineStr">
        <is>
          <t>Kommun</t>
        </is>
      </c>
      <c r="AW170" t="inlineStr"/>
      <c r="AX170" t="inlineStr">
        <is>
          <t>2013:251</t>
        </is>
      </c>
      <c r="AY170" t="inlineStr">
        <is>
          <t>Anmalan</t>
        </is>
      </c>
      <c r="AZ170" t="inlineStr">
        <is>
          <t>2026-02-04</t>
        </is>
      </c>
      <c r="BA170" t="inlineStr">
        <is>
          <t>Anmälan miljöfarlig verksamhet.pdf</t>
        </is>
      </c>
      <c r="BB170" t="inlineStr">
        <is>
          <t>Verksamhet i Tidaholm</t>
        </is>
      </c>
      <c r="BC170" t="inlineStr">
        <is>
          <t>AUTO</t>
        </is>
      </c>
      <c r="BD170" t="inlineStr"/>
      <c r="BE170" t="inlineStr"/>
      <c r="BF170" t="inlineStr">
        <is>
          <t>AUTO_GENERERAD. Bekrafta metadata mot kallfil.</t>
        </is>
      </c>
      <c r="BG170">
        <f>HYPERLINK("C:\Users\jimmy\Desktop\Examens arbete\Kod\Ny mapp\remix_-copy-of-miljöbeslut.se-portal\Anmälan miljöfarlig verksamhet.pdf", "Öppna PDF")</f>
        <v/>
      </c>
    </row>
    <row r="171">
      <c r="A171" t="inlineStr">
        <is>
          <t>KRAV-AUTO-000170</t>
        </is>
      </c>
      <c r="B171" t="inlineStr">
        <is>
          <t>ADMIN-INDEX-2026-02-27-00000000125C043F57453246863FE664CAFE6A3F0700950291EA24F0614FB6ACEDB12BF0E31D00000000010C0000950291EA24F0614FB6ACEDB12BF0E31D00002087AE460000</t>
        </is>
      </c>
      <c r="C171" t="inlineStr">
        <is>
          <t>cmm4yupvw030wcuqwlg1cpc8c</t>
        </is>
      </c>
      <c r="D171" t="inlineStr">
        <is>
          <t>http://localhost:8787/api/admin/requirements/documents/cmm4yupvw030wcuqwlg1cpc8c/view</t>
        </is>
      </c>
      <c r="E171">
        <f>HYPERLÄNK("http://localhost:8787/api/admin/requirements/documents/cmm4yupvw030wcuqwlg1cpc8c/view";"Öppna PDF")</f>
        <v/>
      </c>
      <c r="F171">
        <f>HYPERLINK("http://localhost:8787/api/admin/requirements/documents/cmm4yupvw030wcuqwlg1cpc8c/view","Open PDF")</f>
        <v/>
      </c>
      <c r="G171" t="inlineStr">
        <is>
          <t>cmm55w57p0004cuisfrtpqly8</t>
        </is>
      </c>
      <c r="H171" t="inlineStr">
        <is>
          <t>Informationskrav</t>
        </is>
      </c>
      <c r="I171" t="inlineStr">
        <is>
          <t>DagvattenLakvatten</t>
        </is>
      </c>
      <c r="J171" t="inlineStr">
        <is>
          <t>Uppsamling</t>
        </is>
      </c>
      <c r="K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171" t="inlineStr">
        <is>
          <t>SKA</t>
        </is>
      </c>
      <c r="N171" t="inlineStr">
        <is>
          <t>FMH</t>
        </is>
      </c>
      <c r="O171" t="inlineStr">
        <is>
          <t>2023-08-17</t>
        </is>
      </c>
      <c r="P171" t="inlineStr"/>
      <c r="Q171" t="inlineStr"/>
      <c r="R171" t="inlineStr">
        <is>
          <t>Vid nederbord och avrinning</t>
        </is>
      </c>
      <c r="S171" t="inlineStr"/>
      <c r="T171" t="inlineStr">
        <is>
          <t>606209</t>
        </is>
      </c>
      <c r="U171" t="inlineStr"/>
      <c r="V171" t="inlineStr"/>
      <c r="W171" t="inlineStr">
        <is>
          <t>Nej</t>
        </is>
      </c>
      <c r="X171" t="inlineStr">
        <is>
          <t>Ja</t>
        </is>
      </c>
      <c r="Y171" t="inlineStr">
        <is>
          <t>Ja</t>
        </is>
      </c>
      <c r="Z171" t="inlineStr">
        <is>
          <t>Nej</t>
        </is>
      </c>
      <c r="AA171" t="n">
        <v>6</v>
      </c>
      <c r="AB171" t="inlineStr">
        <is>
          <t>Lakvattenhantering</t>
        </is>
      </c>
      <c r="AC171" t="inlineStr">
        <is>
          <t>Flodesschema dagvatten-lakvatten</t>
        </is>
      </c>
      <c r="AD171" t="inlineStr">
        <is>
          <t>Nej</t>
        </is>
      </c>
      <c r="AE171" t="inlineStr">
        <is>
          <t>Nej</t>
        </is>
      </c>
      <c r="AF171" t="inlineStr">
        <is>
          <t>Ej behandlad</t>
        </is>
      </c>
      <c r="AG171" t="inlineStr">
        <is>
          <t>AUTO_GENERERAD. Verifiera citat mot kallfil.</t>
        </is>
      </c>
      <c r="AH171" t="inlineStr">
        <is>
          <t>MEDIUM</t>
        </is>
      </c>
      <c r="AI171" t="inlineStr">
        <is>
          <t>AUTO</t>
        </is>
      </c>
      <c r="AJ171" t="inlineStr">
        <is>
          <t>Nej</t>
        </is>
      </c>
      <c r="AK171" t="inlineStr"/>
      <c r="AL171" t="inlineStr"/>
      <c r="AM171" t="inlineStr"/>
      <c r="AN171" t="inlineStr"/>
      <c r="AO171" t="inlineStr">
        <is>
          <t>cmm4yupvw030wcuqwlg1cpc8c</t>
        </is>
      </c>
      <c r="AP171" t="inlineStr">
        <is>
          <t>http://localhost:8787/api/admin/requirements/documents/cmm4yupvw030wcuqwlg1cpc8c/view</t>
        </is>
      </c>
      <c r="AQ171">
        <f>HYPERLÄNK("http://localhost:8787/api/admin/requirements/documents/cmm4yupvw030wcuqwlg1cpc8c/view";"Öppna PDF")</f>
        <v/>
      </c>
      <c r="AR171">
        <f>HYPERLINK("http://localhost:8787/api/admin/requirements/documents/cmm4yupvw030wcuqwlg1cpc8c/view","Open PDF")</f>
        <v/>
      </c>
      <c r="AS171" t="inlineStr">
        <is>
          <t>cmm55w57p0004cuisfrtpqly8</t>
        </is>
      </c>
      <c r="AT171" t="inlineStr">
        <is>
          <t>cmm4xvu980000cuh4vj0usz09</t>
        </is>
      </c>
      <c r="AU171" t="inlineStr"/>
      <c r="AV171" t="inlineStr">
        <is>
          <t>Kommun</t>
        </is>
      </c>
      <c r="AW171" t="inlineStr"/>
      <c r="AX171" t="inlineStr">
        <is>
          <t>2013:251</t>
        </is>
      </c>
      <c r="AY171" t="inlineStr">
        <is>
          <t>Anmalan</t>
        </is>
      </c>
      <c r="AZ171" t="inlineStr">
        <is>
          <t>2026-02-04</t>
        </is>
      </c>
      <c r="BA171" t="inlineStr">
        <is>
          <t>Anmälan miljöfarlig verksamhet.pdf</t>
        </is>
      </c>
      <c r="BB171" t="inlineStr">
        <is>
          <t>Verksamhet i Tidaholm</t>
        </is>
      </c>
      <c r="BC171" t="inlineStr">
        <is>
          <t>AUTO</t>
        </is>
      </c>
      <c r="BD171" t="inlineStr"/>
      <c r="BE171" t="inlineStr"/>
      <c r="BF171" t="inlineStr">
        <is>
          <t>AUTO_GENERERAD. Bekrafta metadata mot kallfil.</t>
        </is>
      </c>
      <c r="BG171">
        <f>HYPERLINK("C:\Users\jimmy\Desktop\Examens arbete\Kod\Ny mapp\remix_-copy-of-miljöbeslut.se-portal\Anmälan miljöfarlig verksamhet.pdf", "Öppna PDF")</f>
        <v/>
      </c>
    </row>
    <row r="172">
      <c r="A172" t="inlineStr">
        <is>
          <t>KRAV-AUTO-000171</t>
        </is>
      </c>
      <c r="B172" t="inlineStr">
        <is>
          <t>ADMIN-INDEX-2026-02-27-00000000125C043F57453246863FE664CAFE6A3F0700950291EA24F0614FB6ACEDB12BF0E31D00000000010C0000950291EA24F0614FB6ACEDB12BF0E31D00002087AE460000</t>
        </is>
      </c>
      <c r="C172" t="inlineStr">
        <is>
          <t>cmm4yupvw030wcuqwlg1cpc8c</t>
        </is>
      </c>
      <c r="D172" t="inlineStr">
        <is>
          <t>http://localhost:8787/api/admin/requirements/documents/cmm4yupvw030wcuqwlg1cpc8c/view</t>
        </is>
      </c>
      <c r="E172">
        <f>HYPERLÄNK("http://localhost:8787/api/admin/requirements/documents/cmm4yupvw030wcuqwlg1cpc8c/view";"Öppna PDF")</f>
        <v/>
      </c>
      <c r="F172">
        <f>HYPERLINK("http://localhost:8787/api/admin/requirements/documents/cmm4yupvw030wcuqwlg1cpc8c/view","Open PDF")</f>
        <v/>
      </c>
      <c r="G172" t="inlineStr">
        <is>
          <t>cmm55w57p0004cuisfrtpqly8</t>
        </is>
      </c>
      <c r="H172" t="inlineStr">
        <is>
          <t>Informationskrav</t>
        </is>
      </c>
      <c r="I172" t="inlineStr">
        <is>
          <t>LagringsvolymTid</t>
        </is>
      </c>
      <c r="J172" t="inlineStr">
        <is>
          <t>Maxmangd</t>
        </is>
      </c>
      <c r="K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172" t="inlineStr">
        <is>
          <t>BOR</t>
        </is>
      </c>
      <c r="N172" t="inlineStr">
        <is>
          <t>FMH</t>
        </is>
      </c>
      <c r="O172" t="inlineStr">
        <is>
          <t>2023-08-17</t>
        </is>
      </c>
      <c r="P172" t="inlineStr">
        <is>
          <t>Arlig</t>
        </is>
      </c>
      <c r="Q172" t="inlineStr"/>
      <c r="R172" t="inlineStr">
        <is>
          <t>Alltid</t>
        </is>
      </c>
      <c r="S172" t="inlineStr"/>
      <c r="T172" t="inlineStr">
        <is>
          <t>606209</t>
        </is>
      </c>
      <c r="U172" t="inlineStr"/>
      <c r="V172" t="inlineStr"/>
      <c r="W172" t="inlineStr">
        <is>
          <t>Nej</t>
        </is>
      </c>
      <c r="X172" t="inlineStr">
        <is>
          <t>Nej</t>
        </is>
      </c>
      <c r="Y172" t="inlineStr">
        <is>
          <t>Nej</t>
        </is>
      </c>
      <c r="Z172" t="inlineStr">
        <is>
          <t>Nej</t>
        </is>
      </c>
      <c r="AA172" t="n">
        <v>4</v>
      </c>
      <c r="AB172" t="inlineStr">
        <is>
          <t>Avfallsmangder och lagringstid</t>
        </is>
      </c>
      <c r="AC172" t="inlineStr">
        <is>
          <t>Avfallsforteckning</t>
        </is>
      </c>
      <c r="AD172" t="inlineStr">
        <is>
          <t>Nej</t>
        </is>
      </c>
      <c r="AE172" t="inlineStr">
        <is>
          <t>Nej</t>
        </is>
      </c>
      <c r="AF172" t="inlineStr">
        <is>
          <t>Ej behandlad</t>
        </is>
      </c>
      <c r="AG172" t="inlineStr">
        <is>
          <t>AUTO_GENERERAD. Verifiera citat mot kallfil.</t>
        </is>
      </c>
      <c r="AH172" t="inlineStr">
        <is>
          <t>MEDIUM</t>
        </is>
      </c>
      <c r="AI172" t="inlineStr">
        <is>
          <t>AUTO</t>
        </is>
      </c>
      <c r="AJ172" t="inlineStr">
        <is>
          <t>Nej</t>
        </is>
      </c>
      <c r="AK172" t="inlineStr"/>
      <c r="AL172" t="inlineStr"/>
      <c r="AM172" t="inlineStr"/>
      <c r="AN172" t="inlineStr"/>
      <c r="AO172" t="inlineStr">
        <is>
          <t>cmm4yupvw030wcuqwlg1cpc8c</t>
        </is>
      </c>
      <c r="AP172" t="inlineStr">
        <is>
          <t>http://localhost:8787/api/admin/requirements/documents/cmm4yupvw030wcuqwlg1cpc8c/view</t>
        </is>
      </c>
      <c r="AQ172">
        <f>HYPERLÄNK("http://localhost:8787/api/admin/requirements/documents/cmm4yupvw030wcuqwlg1cpc8c/view";"Öppna PDF")</f>
        <v/>
      </c>
      <c r="AR172">
        <f>HYPERLINK("http://localhost:8787/api/admin/requirements/documents/cmm4yupvw030wcuqwlg1cpc8c/view","Open PDF")</f>
        <v/>
      </c>
      <c r="AS172" t="inlineStr">
        <is>
          <t>cmm55w57p0004cuisfrtpqly8</t>
        </is>
      </c>
      <c r="AT172" t="inlineStr">
        <is>
          <t>cmm4xvu980000cuh4vj0usz09</t>
        </is>
      </c>
      <c r="AU172" t="inlineStr"/>
      <c r="AV172" t="inlineStr">
        <is>
          <t>Kommun</t>
        </is>
      </c>
      <c r="AW172" t="inlineStr"/>
      <c r="AX172" t="inlineStr">
        <is>
          <t>2013:251</t>
        </is>
      </c>
      <c r="AY172" t="inlineStr">
        <is>
          <t>Anmalan</t>
        </is>
      </c>
      <c r="AZ172" t="inlineStr">
        <is>
          <t>2026-02-04</t>
        </is>
      </c>
      <c r="BA172" t="inlineStr">
        <is>
          <t>Anmälan miljöfarlig verksamhet.pdf</t>
        </is>
      </c>
      <c r="BB172" t="inlineStr">
        <is>
          <t>Verksamhet i Tidaholm</t>
        </is>
      </c>
      <c r="BC172" t="inlineStr">
        <is>
          <t>AUTO</t>
        </is>
      </c>
      <c r="BD172" t="inlineStr"/>
      <c r="BE172" t="inlineStr"/>
      <c r="BF172" t="inlineStr">
        <is>
          <t>AUTO_GENERERAD. Bekrafta metadata mot kallfil.</t>
        </is>
      </c>
      <c r="BG172">
        <f>HYPERLINK("C:\Users\jimmy\Desktop\Examens arbete\Kod\Ny mapp\remix_-copy-of-miljöbeslut.se-portal\Anmälan miljöfarlig verksamhet.pdf", "Öppna PDF")</f>
        <v/>
      </c>
    </row>
    <row r="173">
      <c r="A173" t="inlineStr">
        <is>
          <t>KRAV-AUTO-000172</t>
        </is>
      </c>
      <c r="B173" t="inlineStr">
        <is>
          <t>ADMIN-INDEX-2026-02-27-00000000125C043F57453246863FE664CAFE6A3F0700950291EA24F0614FB6ACEDB12BF0E31D00000000010C0000950291EA24F0614FB6ACEDB12BF0E31D00002087AE460000</t>
        </is>
      </c>
      <c r="C173" t="inlineStr">
        <is>
          <t>cmm4yupvt030tcuqwrkkxc019</t>
        </is>
      </c>
      <c r="D173" t="inlineStr">
        <is>
          <t>http://localhost:8787/api/admin/requirements/documents/cmm4yupvt030tcuqwrkkxc019/view</t>
        </is>
      </c>
      <c r="E173">
        <f>HYPERLÄNK("http://localhost:8787/api/admin/requirements/documents/cmm4yupvt030tcuqwrkkxc019/view";"Öppna PDF")</f>
        <v/>
      </c>
      <c r="F173">
        <f>HYPERLINK("http://localhost:8787/api/admin/requirements/documents/cmm4yupvt030tcuqwrkkxc019/view","Open PDF")</f>
        <v/>
      </c>
      <c r="G173" t="inlineStr">
        <is>
          <t>cmm55w57p0004cuisfrtpqly8</t>
        </is>
      </c>
      <c r="H173" t="inlineStr">
        <is>
          <t>Informationskrav</t>
        </is>
      </c>
      <c r="I173" t="inlineStr">
        <is>
          <t>MiljopaverkanForsiktighet</t>
        </is>
      </c>
      <c r="J173" t="inlineStr">
        <is>
          <t>Skyddsatgarder</t>
        </is>
      </c>
      <c r="K173" t="inlineStr">
        <is>
          <t>Farligt avfall skall ej mellanlagras på området utan det skall omgående skickas på deponi.</t>
        </is>
      </c>
      <c r="L173" t="inlineStr">
        <is>
          <t>Farligt avfall skall ej mellanlagras på området utan det skall omgående skickas på deponi.</t>
        </is>
      </c>
      <c r="M173" t="inlineStr">
        <is>
          <t>SKA</t>
        </is>
      </c>
      <c r="N173" t="inlineStr">
        <is>
          <t>FMH</t>
        </is>
      </c>
      <c r="O173" t="inlineStr"/>
      <c r="P173" t="inlineStr">
        <is>
          <t>Arlig</t>
        </is>
      </c>
      <c r="Q173" t="inlineStr"/>
      <c r="R173" t="inlineStr">
        <is>
          <t>Alltid</t>
        </is>
      </c>
      <c r="S173" t="inlineStr"/>
      <c r="T173" t="inlineStr">
        <is>
          <t>212000</t>
        </is>
      </c>
      <c r="U173" t="inlineStr"/>
      <c r="V173" t="inlineStr"/>
      <c r="W173" t="inlineStr">
        <is>
          <t>Nej</t>
        </is>
      </c>
      <c r="X173" t="inlineStr">
        <is>
          <t>Nej</t>
        </is>
      </c>
      <c r="Y173" t="inlineStr">
        <is>
          <t>Nej</t>
        </is>
      </c>
      <c r="Z173" t="inlineStr">
        <is>
          <t>Nej</t>
        </is>
      </c>
      <c r="AA173" t="n">
        <v>10</v>
      </c>
      <c r="AB173" t="inlineStr">
        <is>
          <t>Miljopaverkan och forsiktighetsmatt</t>
        </is>
      </c>
      <c r="AC173" t="inlineStr">
        <is>
          <t>Miljo-PM</t>
        </is>
      </c>
      <c r="AD173" t="inlineStr">
        <is>
          <t>Nej</t>
        </is>
      </c>
      <c r="AE173" t="inlineStr">
        <is>
          <t>Nej</t>
        </is>
      </c>
      <c r="AF173" t="inlineStr">
        <is>
          <t>Ej behandlad</t>
        </is>
      </c>
      <c r="AG173" t="inlineStr">
        <is>
          <t>AUTO_GENERERAD. Verifiera citat mot kallfil.</t>
        </is>
      </c>
      <c r="AH173" t="inlineStr">
        <is>
          <t>MEDIUM</t>
        </is>
      </c>
      <c r="AI173" t="inlineStr">
        <is>
          <t>AUTO</t>
        </is>
      </c>
      <c r="AJ173" t="inlineStr">
        <is>
          <t>Nej</t>
        </is>
      </c>
      <c r="AK173" t="inlineStr"/>
      <c r="AL173" t="inlineStr"/>
      <c r="AM173" t="inlineStr"/>
      <c r="AN173" t="inlineStr"/>
      <c r="AO173" t="inlineStr">
        <is>
          <t>cmm4yupvw030wcuqwlg1cpc8c</t>
        </is>
      </c>
      <c r="AP173" t="inlineStr">
        <is>
          <t>http://localhost:8787/api/admin/requirements/documents/cmm4yupvw030wcuqwlg1cpc8c/view</t>
        </is>
      </c>
      <c r="AQ173">
        <f>HYPERLÄNK("http://localhost:8787/api/admin/requirements/documents/cmm4yupvw030wcuqwlg1cpc8c/view";"Öppna PDF")</f>
        <v/>
      </c>
      <c r="AR173">
        <f>HYPERLINK("http://localhost:8787/api/admin/requirements/documents/cmm4yupvw030wcuqwlg1cpc8c/view","Open PDF")</f>
        <v/>
      </c>
      <c r="AS173" t="inlineStr">
        <is>
          <t>cmm55w57p0004cuisfrtpqly8</t>
        </is>
      </c>
      <c r="AT173" t="inlineStr">
        <is>
          <t>cmm4xvu980000cuh4vj0usz09</t>
        </is>
      </c>
      <c r="AU173" t="inlineStr"/>
      <c r="AV173" t="inlineStr">
        <is>
          <t>Kommun</t>
        </is>
      </c>
      <c r="AW173" t="inlineStr"/>
      <c r="AX173" t="inlineStr">
        <is>
          <t>2013:251</t>
        </is>
      </c>
      <c r="AY173" t="inlineStr">
        <is>
          <t>Anmalan</t>
        </is>
      </c>
      <c r="AZ173" t="inlineStr">
        <is>
          <t>2026-02-04</t>
        </is>
      </c>
      <c r="BA173" t="inlineStr">
        <is>
          <t>Anmälan miljöfarlig verksamhet.pdf</t>
        </is>
      </c>
      <c r="BB173" t="inlineStr">
        <is>
          <t>Verksamhet i Tidaholm</t>
        </is>
      </c>
      <c r="BC173" t="inlineStr">
        <is>
          <t>AUTO</t>
        </is>
      </c>
      <c r="BD173" t="inlineStr"/>
      <c r="BE173" t="inlineStr"/>
      <c r="BF173" t="inlineStr">
        <is>
          <t>AUTO_GENERERAD. Bekrafta metadata mot kallfil.</t>
        </is>
      </c>
      <c r="BG173">
        <f>HYPERLINK("C:\Users\jimmy\Desktop\Examens arbete\Kod\Ny mapp\remix_-copy-of-miljöbeslut.se-portal\Anmälan miljöfarlig verksamhet.pdf", "Öppna PDF")</f>
        <v/>
      </c>
    </row>
    <row r="174">
      <c r="A174" t="inlineStr">
        <is>
          <t>KRAV-AUTO-000173</t>
        </is>
      </c>
      <c r="B174" t="inlineStr">
        <is>
          <t>ADMIN-INDEX-2026-02-27-00000000125C043F57453246863FE664CAFE6A3F0700950291EA24F0614FB6ACEDB12BF0E31D00000000010C0000950291EA24F0614FB6ACEDB12BF0E31D00002087AE460000</t>
        </is>
      </c>
      <c r="C174" t="inlineStr">
        <is>
          <t>cmm4yupvt030tcuqwrkkxc019</t>
        </is>
      </c>
      <c r="D174" t="inlineStr">
        <is>
          <t>http://localhost:8787/api/admin/requirements/documents/cmm4yupvt030tcuqwrkkxc019/view</t>
        </is>
      </c>
      <c r="E174">
        <f>HYPERLÄNK("http://localhost:8787/api/admin/requirements/documents/cmm4yupvt030tcuqwrkkxc019/view";"Öppna PDF")</f>
        <v/>
      </c>
      <c r="F174">
        <f>HYPERLINK("http://localhost:8787/api/admin/requirements/documents/cmm4yupvt030tcuqwrkkxc019/view","Open PDF")</f>
        <v/>
      </c>
      <c r="G174" t="inlineStr">
        <is>
          <t>cmm55w57p0004cuisfrtpqly8</t>
        </is>
      </c>
      <c r="H174" t="inlineStr">
        <is>
          <t>Informationskrav</t>
        </is>
      </c>
      <c r="I174" t="inlineStr">
        <is>
          <t>DagvattenLakvatten</t>
        </is>
      </c>
      <c r="J174" t="inlineStr">
        <is>
          <t>Uppsamling</t>
        </is>
      </c>
      <c r="K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74" t="inlineStr">
        <is>
          <t>SKA</t>
        </is>
      </c>
      <c r="N174" t="inlineStr">
        <is>
          <t>FMH</t>
        </is>
      </c>
      <c r="O174" t="inlineStr">
        <is>
          <t>2023-06-09</t>
        </is>
      </c>
      <c r="P174" t="inlineStr"/>
      <c r="Q174" t="inlineStr"/>
      <c r="R174" t="inlineStr">
        <is>
          <t>Vid nederbord och avrinning</t>
        </is>
      </c>
      <c r="S174" t="inlineStr"/>
      <c r="T174" t="inlineStr">
        <is>
          <t>212000</t>
        </is>
      </c>
      <c r="U174" t="inlineStr"/>
      <c r="V174" t="inlineStr"/>
      <c r="W174" t="inlineStr">
        <is>
          <t>Nej</t>
        </is>
      </c>
      <c r="X174" t="inlineStr">
        <is>
          <t>Ja</t>
        </is>
      </c>
      <c r="Y174" t="inlineStr">
        <is>
          <t>Ja</t>
        </is>
      </c>
      <c r="Z174" t="inlineStr">
        <is>
          <t>Nej</t>
        </is>
      </c>
      <c r="AA174" t="n">
        <v>6</v>
      </c>
      <c r="AB174" t="inlineStr">
        <is>
          <t>Lakvattenhantering</t>
        </is>
      </c>
      <c r="AC174" t="inlineStr">
        <is>
          <t>Flodesschema dagvatten-lakvatten</t>
        </is>
      </c>
      <c r="AD174" t="inlineStr">
        <is>
          <t>Nej</t>
        </is>
      </c>
      <c r="AE174" t="inlineStr">
        <is>
          <t>Nej</t>
        </is>
      </c>
      <c r="AF174" t="inlineStr">
        <is>
          <t>Ej behandlad</t>
        </is>
      </c>
      <c r="AG174" t="inlineStr">
        <is>
          <t>AUTO_GENERERAD. Verifiera citat mot kallfil.</t>
        </is>
      </c>
      <c r="AH174" t="inlineStr">
        <is>
          <t>MEDIUM</t>
        </is>
      </c>
      <c r="AI174" t="inlineStr">
        <is>
          <t>AUTO</t>
        </is>
      </c>
      <c r="AJ174" t="inlineStr">
        <is>
          <t>Nej</t>
        </is>
      </c>
      <c r="AK174" t="inlineStr"/>
      <c r="AL174" t="inlineStr"/>
      <c r="AM174" t="inlineStr"/>
      <c r="AN174" t="inlineStr"/>
      <c r="AO174" t="inlineStr">
        <is>
          <t>cmm4yupvw030wcuqwlg1cpc8c</t>
        </is>
      </c>
      <c r="AP174" t="inlineStr">
        <is>
          <t>http://localhost:8787/api/admin/requirements/documents/cmm4yupvw030wcuqwlg1cpc8c/view</t>
        </is>
      </c>
      <c r="AQ174">
        <f>HYPERLÄNK("http://localhost:8787/api/admin/requirements/documents/cmm4yupvw030wcuqwlg1cpc8c/view";"Öppna PDF")</f>
        <v/>
      </c>
      <c r="AR174">
        <f>HYPERLINK("http://localhost:8787/api/admin/requirements/documents/cmm4yupvw030wcuqwlg1cpc8c/view","Open PDF")</f>
        <v/>
      </c>
      <c r="AS174" t="inlineStr">
        <is>
          <t>cmm55w57p0004cuisfrtpqly8</t>
        </is>
      </c>
      <c r="AT174" t="inlineStr">
        <is>
          <t>cmm4xvu980000cuh4vj0usz09</t>
        </is>
      </c>
      <c r="AU174" t="inlineStr"/>
      <c r="AV174" t="inlineStr">
        <is>
          <t>Kommun</t>
        </is>
      </c>
      <c r="AW174" t="inlineStr"/>
      <c r="AX174" t="inlineStr">
        <is>
          <t>2013:251</t>
        </is>
      </c>
      <c r="AY174" t="inlineStr">
        <is>
          <t>Anmalan</t>
        </is>
      </c>
      <c r="AZ174" t="inlineStr">
        <is>
          <t>2026-02-04</t>
        </is>
      </c>
      <c r="BA174" t="inlineStr">
        <is>
          <t>Anmälan miljöfarlig verksamhet.pdf</t>
        </is>
      </c>
      <c r="BB174" t="inlineStr">
        <is>
          <t>Verksamhet i Tidaholm</t>
        </is>
      </c>
      <c r="BC174" t="inlineStr">
        <is>
          <t>AUTO</t>
        </is>
      </c>
      <c r="BD174" t="inlineStr"/>
      <c r="BE174" t="inlineStr"/>
      <c r="BF174" t="inlineStr">
        <is>
          <t>AUTO_GENERERAD. Bekrafta metadata mot kallfil.</t>
        </is>
      </c>
      <c r="BG174">
        <f>HYPERLINK("C:\Users\jimmy\Desktop\Examens arbete\Kod\Ny mapp\remix_-copy-of-miljöbeslut.se-portal\Anmälan miljöfarlig verksamhet.pdf", "Öppna PDF")</f>
        <v/>
      </c>
    </row>
    <row r="175">
      <c r="A175" t="inlineStr">
        <is>
          <t>KRAV-AUTO-000174</t>
        </is>
      </c>
      <c r="B175" t="inlineStr">
        <is>
          <t>ADMIN-INDEX-2026-02-27-00000000125C043F57453246863FE664CAFE6A3F0700950291EA24F0614FB6ACEDB12BF0E31D00000000010C0000950291EA24F0614FB6ACEDB12BF0E31D00002087AE460000</t>
        </is>
      </c>
      <c r="C175" t="inlineStr">
        <is>
          <t>cmm4yupvt030tcuqwrkkxc019</t>
        </is>
      </c>
      <c r="D175" t="inlineStr">
        <is>
          <t>http://localhost:8787/api/admin/requirements/documents/cmm4yupvt030tcuqwrkkxc019/view</t>
        </is>
      </c>
      <c r="E175">
        <f>HYPERLÄNK("http://localhost:8787/api/admin/requirements/documents/cmm4yupvt030tcuqwrkkxc019/view";"Öppna PDF")</f>
        <v/>
      </c>
      <c r="F175">
        <f>HYPERLINK("http://localhost:8787/api/admin/requirements/documents/cmm4yupvt030tcuqwrkkxc019/view","Open PDF")</f>
        <v/>
      </c>
      <c r="G175" t="inlineStr">
        <is>
          <t>cmm55w57p0004cuisfrtpqly8</t>
        </is>
      </c>
      <c r="H175" t="inlineStr">
        <is>
          <t>Informationskrav</t>
        </is>
      </c>
      <c r="I175" t="inlineStr">
        <is>
          <t>LagringsvolymTid</t>
        </is>
      </c>
      <c r="J175" t="inlineStr">
        <is>
          <t>Maxmangd</t>
        </is>
      </c>
      <c r="K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75" t="inlineStr">
        <is>
          <t>BOR</t>
        </is>
      </c>
      <c r="N175" t="inlineStr">
        <is>
          <t>FMH</t>
        </is>
      </c>
      <c r="O175" t="inlineStr">
        <is>
          <t>2023-06-09</t>
        </is>
      </c>
      <c r="P175" t="inlineStr">
        <is>
          <t>Arlig</t>
        </is>
      </c>
      <c r="Q175" t="inlineStr"/>
      <c r="R175" t="inlineStr">
        <is>
          <t>Alltid</t>
        </is>
      </c>
      <c r="S175" t="inlineStr"/>
      <c r="T175" t="inlineStr">
        <is>
          <t>17 03 01</t>
        </is>
      </c>
      <c r="U175" t="inlineStr"/>
      <c r="V175" t="inlineStr"/>
      <c r="W175" t="inlineStr">
        <is>
          <t>Nej</t>
        </is>
      </c>
      <c r="X175" t="inlineStr">
        <is>
          <t>Nej</t>
        </is>
      </c>
      <c r="Y175" t="inlineStr">
        <is>
          <t>Nej</t>
        </is>
      </c>
      <c r="Z175" t="inlineStr">
        <is>
          <t>Nej</t>
        </is>
      </c>
      <c r="AA175" t="n">
        <v>4</v>
      </c>
      <c r="AB175" t="inlineStr">
        <is>
          <t>Avfallsmangder och lagringstid</t>
        </is>
      </c>
      <c r="AC175" t="inlineStr">
        <is>
          <t>Avfallsforteckning</t>
        </is>
      </c>
      <c r="AD175" t="inlineStr">
        <is>
          <t>Nej</t>
        </is>
      </c>
      <c r="AE175" t="inlineStr">
        <is>
          <t>Nej</t>
        </is>
      </c>
      <c r="AF175" t="inlineStr">
        <is>
          <t>Ej behandlad</t>
        </is>
      </c>
      <c r="AG175" t="inlineStr">
        <is>
          <t>AUTO_GENERERAD. Verifiera citat mot kallfil.</t>
        </is>
      </c>
      <c r="AH175" t="inlineStr">
        <is>
          <t>MEDIUM</t>
        </is>
      </c>
      <c r="AI175" t="inlineStr">
        <is>
          <t>AUTO</t>
        </is>
      </c>
      <c r="AJ175" t="inlineStr">
        <is>
          <t>Nej</t>
        </is>
      </c>
      <c r="AK175" t="inlineStr"/>
      <c r="AL175" t="inlineStr"/>
      <c r="AM175" t="inlineStr"/>
      <c r="AN175" t="inlineStr"/>
      <c r="AO175" t="inlineStr">
        <is>
          <t>cmm4yupvw030wcuqwlg1cpc8c</t>
        </is>
      </c>
      <c r="AP175" t="inlineStr">
        <is>
          <t>http://localhost:8787/api/admin/requirements/documents/cmm4yupvw030wcuqwlg1cpc8c/view</t>
        </is>
      </c>
      <c r="AQ175">
        <f>HYPERLÄNK("http://localhost:8787/api/admin/requirements/documents/cmm4yupvw030wcuqwlg1cpc8c/view";"Öppna PDF")</f>
        <v/>
      </c>
      <c r="AR175">
        <f>HYPERLINK("http://localhost:8787/api/admin/requirements/documents/cmm4yupvw030wcuqwlg1cpc8c/view","Open PDF")</f>
        <v/>
      </c>
      <c r="AS175" t="inlineStr">
        <is>
          <t>cmm55w57p0004cuisfrtpqly8</t>
        </is>
      </c>
      <c r="AT175" t="inlineStr">
        <is>
          <t>cmm4xvu980000cuh4vj0usz09</t>
        </is>
      </c>
      <c r="AU175" t="inlineStr"/>
      <c r="AV175" t="inlineStr">
        <is>
          <t>Kommun</t>
        </is>
      </c>
      <c r="AW175" t="inlineStr"/>
      <c r="AX175" t="inlineStr">
        <is>
          <t>2013:251</t>
        </is>
      </c>
      <c r="AY175" t="inlineStr">
        <is>
          <t>Anmalan</t>
        </is>
      </c>
      <c r="AZ175" t="inlineStr">
        <is>
          <t>2026-02-04</t>
        </is>
      </c>
      <c r="BA175" t="inlineStr">
        <is>
          <t>Anmälan miljöfarlig verksamhet.pdf</t>
        </is>
      </c>
      <c r="BB175" t="inlineStr">
        <is>
          <t>Verksamhet i Tidaholm</t>
        </is>
      </c>
      <c r="BC175" t="inlineStr">
        <is>
          <t>AUTO</t>
        </is>
      </c>
      <c r="BD175" t="inlineStr"/>
      <c r="BE175" t="inlineStr"/>
      <c r="BF175" t="inlineStr">
        <is>
          <t>AUTO_GENERERAD. Bekrafta metadata mot kallfil.</t>
        </is>
      </c>
      <c r="BG175">
        <f>HYPERLINK("C:\Users\jimmy\Desktop\Examens arbete\Kod\Ny mapp\remix_-copy-of-miljöbeslut.se-portal\Anmälan miljöfarlig verksamhet.pdf", "Öppna PDF")</f>
        <v/>
      </c>
    </row>
    <row r="176">
      <c r="A176" t="inlineStr">
        <is>
          <t>KRAV-AUTO-000175</t>
        </is>
      </c>
      <c r="B176" t="inlineStr">
        <is>
          <t>ADMIN-INDEX-2026-02-27-00000000125C043F57453246863FE664CAFE6A3F0700950291EA24F0614FB6ACEDB12BF0E31D00000000010C0000950291EA24F0614FB6ACEDB12BF0E31D00002087A5DC0000</t>
        </is>
      </c>
      <c r="C176" t="inlineStr">
        <is>
          <t>cmm4yuqnj03rhcuqw5kt2masi</t>
        </is>
      </c>
      <c r="D176" t="inlineStr">
        <is>
          <t>http://localhost:8787/api/admin/requirements/documents/cmm4yuqnj03rhcuqw5kt2masi/view</t>
        </is>
      </c>
      <c r="E176">
        <f>HYPERLÄNK("http://localhost:8787/api/admin/requirements/documents/cmm4yuqnj03rhcuqw5kt2masi/view";"Öppna PDF")</f>
        <v/>
      </c>
      <c r="F176">
        <f>HYPERLINK("http://localhost:8787/api/admin/requirements/documents/cmm4yuqnj03rhcuqw5kt2masi/view","Open PDF")</f>
        <v/>
      </c>
      <c r="G176" t="inlineStr">
        <is>
          <t>cmm55w57p0004cuisfrtpqly8</t>
        </is>
      </c>
      <c r="H176" t="inlineStr">
        <is>
          <t>Informationskrav</t>
        </is>
      </c>
      <c r="I176" t="inlineStr">
        <is>
          <t>MiljopaverkanForsiktighet</t>
        </is>
      </c>
      <c r="J176" t="inlineStr">
        <is>
          <t>Skyddsatgarder</t>
        </is>
      </c>
      <c r="K176" t="inlineStr">
        <is>
          <t>De jordmassorna som innehåller parkslide ska deponeras på Vankiva avfallsanläggning.</t>
        </is>
      </c>
      <c r="L176" t="inlineStr">
        <is>
          <t>De jordmassorna som innehåller parkslide ska deponeras på Vankiva avfallsanläggning.</t>
        </is>
      </c>
      <c r="M176" t="inlineStr">
        <is>
          <t>SKA</t>
        </is>
      </c>
      <c r="N176" t="inlineStr"/>
      <c r="O176" t="inlineStr"/>
      <c r="P176" t="inlineStr"/>
      <c r="Q176" t="inlineStr"/>
      <c r="R176" t="inlineStr">
        <is>
          <t>Alltid</t>
        </is>
      </c>
      <c r="S176" t="inlineStr"/>
      <c r="T176" t="inlineStr">
        <is>
          <t>26 70 00</t>
        </is>
      </c>
      <c r="U176" t="inlineStr"/>
      <c r="V176" t="inlineStr"/>
      <c r="W176" t="inlineStr">
        <is>
          <t>Nej</t>
        </is>
      </c>
      <c r="X176" t="inlineStr">
        <is>
          <t>Nej</t>
        </is>
      </c>
      <c r="Y176" t="inlineStr">
        <is>
          <t>Nej</t>
        </is>
      </c>
      <c r="Z176" t="inlineStr">
        <is>
          <t>Nej</t>
        </is>
      </c>
      <c r="AA176" t="n">
        <v>10</v>
      </c>
      <c r="AB176" t="inlineStr">
        <is>
          <t>Miljopaverkan och forsiktighetsmatt</t>
        </is>
      </c>
      <c r="AC176" t="inlineStr">
        <is>
          <t>Miljo-PM</t>
        </is>
      </c>
      <c r="AD176" t="inlineStr">
        <is>
          <t>Nej</t>
        </is>
      </c>
      <c r="AE176" t="inlineStr">
        <is>
          <t>Nej</t>
        </is>
      </c>
      <c r="AF176" t="inlineStr">
        <is>
          <t>Ej behandlad</t>
        </is>
      </c>
      <c r="AG176" t="inlineStr">
        <is>
          <t>AUTO_GENERERAD. Verifiera citat mot kallfil.</t>
        </is>
      </c>
      <c r="AH176" t="inlineStr">
        <is>
          <t>MEDIUM</t>
        </is>
      </c>
      <c r="AI176" t="inlineStr">
        <is>
          <t>AUTO</t>
        </is>
      </c>
      <c r="AJ176" t="inlineStr">
        <is>
          <t>Nej</t>
        </is>
      </c>
      <c r="AK176" t="inlineStr"/>
      <c r="AL176" t="inlineStr"/>
      <c r="AM176" t="inlineStr"/>
      <c r="AN176" t="inlineStr"/>
      <c r="AO176" t="inlineStr">
        <is>
          <t>cmm4yuqnj03rhcuqw5kt2masi</t>
        </is>
      </c>
      <c r="AP176" t="inlineStr">
        <is>
          <t>http://localhost:8787/api/admin/requirements/documents/cmm4yuqnj03rhcuqw5kt2masi/view</t>
        </is>
      </c>
      <c r="AQ176">
        <f>HYPERLÄNK("http://localhost:8787/api/admin/requirements/documents/cmm4yuqnj03rhcuqw5kt2masi/view";"Öppna PDF")</f>
        <v/>
      </c>
      <c r="AR176">
        <f>HYPERLINK("http://localhost:8787/api/admin/requirements/documents/cmm4yuqnj03rhcuqw5kt2masi/view","Open PDF")</f>
        <v/>
      </c>
      <c r="AS176" t="inlineStr">
        <is>
          <t>cmm55w57p0004cuisfrtpqly8</t>
        </is>
      </c>
      <c r="AT176" t="inlineStr">
        <is>
          <t>cmm4xvu980000cuh4vj0usz09</t>
        </is>
      </c>
      <c r="AU176" t="inlineStr">
        <is>
          <t>Hässleholms</t>
        </is>
      </c>
      <c r="AV176" t="inlineStr">
        <is>
          <t>Kommun</t>
        </is>
      </c>
      <c r="AW176" t="inlineStr">
        <is>
          <t>Hässleholms kommun</t>
        </is>
      </c>
      <c r="AX176" t="inlineStr">
        <is>
          <t>0451-26</t>
        </is>
      </c>
      <c r="AY176" t="inlineStr">
        <is>
          <t>Anmalan</t>
        </is>
      </c>
      <c r="AZ176" t="inlineStr">
        <is>
          <t>2026-02-05</t>
        </is>
      </c>
      <c r="BA176" t="inlineStr">
        <is>
          <t>M-2025-2674 - Avskrivning.pdf</t>
        </is>
      </c>
      <c r="BB176" t="inlineStr">
        <is>
          <t>Sv:  Begäran om utlämnande av allmän handling – Anmälningar och beslut rörande mellanlagring av avfall samt anläggning av ytor</t>
        </is>
      </c>
      <c r="BC176" t="inlineStr">
        <is>
          <t>AUTO</t>
        </is>
      </c>
      <c r="BD176" t="inlineStr"/>
      <c r="BE176" t="inlineStr"/>
      <c r="BF176" t="inlineStr">
        <is>
          <t>AUTO_GENERERAD. Bekrafta metadata mot kallfil.</t>
        </is>
      </c>
      <c r="BG176">
        <f>HYPERLINK("C:\Users\jimmy\Desktop\Examens arbete\Kod\Ny mapp\remix_-copy-of-miljöbeslut.se-portal\M-2025-2674 - Avskrivning.pdf", "Öppna PDF")</f>
        <v/>
      </c>
    </row>
    <row r="177">
      <c r="A177" t="inlineStr">
        <is>
          <t>KRAV-AUTO-000176</t>
        </is>
      </c>
      <c r="B177" t="inlineStr">
        <is>
          <t>ADMIN-INDEX-2026-02-27-00000000125C043F57453246863FE664CAFE6A3F0700950291EA24F0614FB6ACEDB12BF0E31D00000000010C0000950291EA24F0614FB6ACEDB12BF0E31D00002087AE4B0000</t>
        </is>
      </c>
      <c r="C177" t="inlineStr">
        <is>
          <t>cmm4yupvf030ecuqwvyai5yx8</t>
        </is>
      </c>
      <c r="D177" t="inlineStr">
        <is>
          <t>http://localhost:8787/api/admin/requirements/documents/cmm4yupvf030ecuqwvyai5yx8/view</t>
        </is>
      </c>
      <c r="E177">
        <f>HYPERLÄNK("http://localhost:8787/api/admin/requirements/documents/cmm4yupvf030ecuqwvyai5yx8/view";"Öppna PDF")</f>
        <v/>
      </c>
      <c r="F177">
        <f>HYPERLINK("http://localhost:8787/api/admin/requirements/documents/cmm4yupvf030ecuqwvyai5yx8/view","Open PDF")</f>
        <v/>
      </c>
      <c r="G177" t="inlineStr">
        <is>
          <t>cmm55w57p0004cuisfrtpqly8</t>
        </is>
      </c>
      <c r="H177" t="inlineStr">
        <is>
          <t>Informationskrav</t>
        </is>
      </c>
      <c r="I177" t="inlineStr">
        <is>
          <t>DriftEgenkontroll</t>
        </is>
      </c>
      <c r="J177" t="inlineStr">
        <is>
          <t>Journalforing</t>
        </is>
      </c>
      <c r="K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77" t="inlineStr">
        <is>
          <t>SKA</t>
        </is>
      </c>
      <c r="N177" t="inlineStr"/>
      <c r="O177" t="inlineStr"/>
      <c r="P177" t="inlineStr"/>
      <c r="Q177" t="inlineStr">
        <is>
          <t>Forelaggande vid brist</t>
        </is>
      </c>
      <c r="R177" t="inlineStr">
        <is>
          <t>Lopande drift</t>
        </is>
      </c>
      <c r="S177" t="inlineStr"/>
      <c r="T177" t="inlineStr"/>
      <c r="U177" t="inlineStr"/>
      <c r="V177" t="inlineStr"/>
      <c r="W177" t="inlineStr">
        <is>
          <t>Nej</t>
        </is>
      </c>
      <c r="X177" t="inlineStr">
        <is>
          <t>Nej</t>
        </is>
      </c>
      <c r="Y177" t="inlineStr">
        <is>
          <t>Ja</t>
        </is>
      </c>
      <c r="Z177" t="inlineStr">
        <is>
          <t>Nej</t>
        </is>
      </c>
      <c r="AA177" t="n">
        <v>7</v>
      </c>
      <c r="AB177" t="inlineStr">
        <is>
          <t>Egenkontrollrutiner</t>
        </is>
      </c>
      <c r="AC177" t="inlineStr">
        <is>
          <t>Egenkontrollprogram</t>
        </is>
      </c>
      <c r="AD177" t="inlineStr">
        <is>
          <t>Nej</t>
        </is>
      </c>
      <c r="AE177" t="inlineStr">
        <is>
          <t>Nej</t>
        </is>
      </c>
      <c r="AF177" t="inlineStr">
        <is>
          <t>Ej behandlad</t>
        </is>
      </c>
      <c r="AG177" t="inlineStr">
        <is>
          <t>AUTO_GENERERAD. Verifiera citat mot kallfil.</t>
        </is>
      </c>
      <c r="AH177" t="inlineStr">
        <is>
          <t>LOW</t>
        </is>
      </c>
      <c r="AI177" t="inlineStr">
        <is>
          <t>AUTO</t>
        </is>
      </c>
      <c r="AJ177" t="inlineStr">
        <is>
          <t>Nej</t>
        </is>
      </c>
      <c r="AK177" t="inlineStr"/>
      <c r="AL177" t="inlineStr"/>
      <c r="AM177" t="inlineStr"/>
      <c r="AN177" t="inlineStr"/>
      <c r="AO177" t="inlineStr">
        <is>
          <t>cmm4yupvf030ecuqwvyai5yx8</t>
        </is>
      </c>
      <c r="AP177" t="inlineStr">
        <is>
          <t>http://localhost:8787/api/admin/requirements/documents/cmm4yupvf030ecuqwvyai5yx8/view</t>
        </is>
      </c>
      <c r="AQ177">
        <f>HYPERLÄNK("http://localhost:8787/api/admin/requirements/documents/cmm4yupvf030ecuqwvyai5yx8/view";"Öppna PDF")</f>
        <v/>
      </c>
      <c r="AR177">
        <f>HYPERLINK("http://localhost:8787/api/admin/requirements/documents/cmm4yupvf030ecuqwvyai5yx8/view","Open PDF")</f>
        <v/>
      </c>
      <c r="AS177" t="inlineStr">
        <is>
          <t>cmm55w57p0004cuisfrtpqly8</t>
        </is>
      </c>
      <c r="AT177" t="inlineStr">
        <is>
          <t>cmm4xvu980000cuh4vj0usz09</t>
        </is>
      </c>
      <c r="AU177" t="inlineStr"/>
      <c r="AV177" t="inlineStr">
        <is>
          <t>Kommun</t>
        </is>
      </c>
      <c r="AW177" t="inlineStr"/>
      <c r="AX177" t="inlineStr"/>
      <c r="AY177" t="inlineStr">
        <is>
          <t>Anmalan</t>
        </is>
      </c>
      <c r="AZ177" t="inlineStr">
        <is>
          <t>2026-02-04</t>
        </is>
      </c>
      <c r="BA177" t="inlineStr">
        <is>
          <t>Anmälan Hynboholm terminal 240313_Redacted.pdf</t>
        </is>
      </c>
      <c r="BB177" t="inlineStr">
        <is>
          <t>VB:  Begäran om utlämnande av allmän handling – Anmälningar och beslut rörande mellanlagring av avfall samt anläggning av ytor</t>
        </is>
      </c>
      <c r="BC177" t="inlineStr">
        <is>
          <t>AUTO</t>
        </is>
      </c>
      <c r="BD177" t="inlineStr"/>
      <c r="BE177" t="inlineStr"/>
      <c r="BF177" t="inlineStr">
        <is>
          <t>AUTO_GENERERAD. Bekrafta metadata mot kallfil.</t>
        </is>
      </c>
      <c r="BG177">
        <f>HYPERLINK("C:\Users\jimmy\Desktop\Examens arbete\Kod\Ny mapp\remix_-copy-of-miljöbeslut.se-portal\Anmälan Hynboholm terminal 240313_Redacted.pdf", "Öppna PDF")</f>
        <v/>
      </c>
    </row>
    <row r="178">
      <c r="A178" t="inlineStr">
        <is>
          <t>KRAV-AUTO-000177</t>
        </is>
      </c>
      <c r="B178" t="inlineStr">
        <is>
          <t>ADMIN-INDEX-2026-02-27-00000000125C043F57453246863FE664CAFE6A3F0700950291EA24F0614FB6ACEDB12BF0E31D00000000010C0000950291EA24F0614FB6ACEDB12BF0E31D00002087AE4B0000</t>
        </is>
      </c>
      <c r="C178" t="inlineStr">
        <is>
          <t>cmm4yupvf030ecuqwvyai5yx8</t>
        </is>
      </c>
      <c r="D178" t="inlineStr">
        <is>
          <t>http://localhost:8787/api/admin/requirements/documents/cmm4yupvf030ecuqwvyai5yx8/view</t>
        </is>
      </c>
      <c r="E178">
        <f>HYPERLÄNK("http://localhost:8787/api/admin/requirements/documents/cmm4yupvf030ecuqwvyai5yx8/view";"Öppna PDF")</f>
        <v/>
      </c>
      <c r="F178">
        <f>HYPERLINK("http://localhost:8787/api/admin/requirements/documents/cmm4yupvf030ecuqwvyai5yx8/view","Open PDF")</f>
        <v/>
      </c>
      <c r="G178" t="inlineStr">
        <is>
          <t>cmm55w57p0004cuisfrtpqly8</t>
        </is>
      </c>
      <c r="H178" t="inlineStr">
        <is>
          <t>Informationskrav</t>
        </is>
      </c>
      <c r="I178" t="inlineStr">
        <is>
          <t>Ytkonstruktion</t>
        </is>
      </c>
      <c r="J178" t="inlineStr">
        <is>
          <t>Tat yta</t>
        </is>
      </c>
      <c r="K178" t="inlineStr">
        <is>
          <t>Flytande kemiska produkter inklusive petroleumprodukter förvaras i ADR-klassade tankar, alternativt i tankar på ogenomsläpplig invallad yta eller i tråg som rymmer hela vätskemängden.</t>
        </is>
      </c>
      <c r="L178" t="inlineStr">
        <is>
          <t>Flytande kemiska produkter inklusive petroleumprodukter förvaras i ADR-klassade tankar, alternativt i tankar på ogenomsläpplig invallad yta eller i tråg som rymmer hela vätskemängden.</t>
        </is>
      </c>
      <c r="M178" t="inlineStr">
        <is>
          <t>SKA</t>
        </is>
      </c>
      <c r="N178" t="inlineStr"/>
      <c r="O178" t="inlineStr"/>
      <c r="P178" t="inlineStr"/>
      <c r="Q178" t="inlineStr"/>
      <c r="R178" t="inlineStr">
        <is>
          <t>Vid mellanlagring av avfall</t>
        </is>
      </c>
      <c r="S178" t="inlineStr"/>
      <c r="T178" t="inlineStr"/>
      <c r="U178" t="inlineStr"/>
      <c r="V178" t="inlineStr"/>
      <c r="W178" t="inlineStr">
        <is>
          <t>Ja</t>
        </is>
      </c>
      <c r="X178" t="inlineStr">
        <is>
          <t>Nej</t>
        </is>
      </c>
      <c r="Y178" t="inlineStr">
        <is>
          <t>Nej</t>
        </is>
      </c>
      <c r="Z178" t="inlineStr">
        <is>
          <t>Nej</t>
        </is>
      </c>
      <c r="AA178" t="n">
        <v>5</v>
      </c>
      <c r="AB178" t="inlineStr">
        <is>
          <t>Teknisk beskrivning av platta</t>
        </is>
      </c>
      <c r="AC178" t="inlineStr">
        <is>
          <t>Teknisk ritning platta</t>
        </is>
      </c>
      <c r="AD178" t="inlineStr">
        <is>
          <t>Nej</t>
        </is>
      </c>
      <c r="AE178" t="inlineStr">
        <is>
          <t>Nej</t>
        </is>
      </c>
      <c r="AF178" t="inlineStr">
        <is>
          <t>Ej behandlad</t>
        </is>
      </c>
      <c r="AG178" t="inlineStr">
        <is>
          <t>AUTO_GENERERAD. Verifiera citat mot kallfil.</t>
        </is>
      </c>
      <c r="AH178" t="inlineStr">
        <is>
          <t>LOW</t>
        </is>
      </c>
      <c r="AI178" t="inlineStr">
        <is>
          <t>AUTO</t>
        </is>
      </c>
      <c r="AJ178" t="inlineStr">
        <is>
          <t>Nej</t>
        </is>
      </c>
      <c r="AK178" t="inlineStr"/>
      <c r="AL178" t="inlineStr"/>
      <c r="AM178" t="inlineStr"/>
      <c r="AN178" t="inlineStr"/>
      <c r="AO178" t="inlineStr">
        <is>
          <t>cmm4yupvf030ecuqwvyai5yx8</t>
        </is>
      </c>
      <c r="AP178" t="inlineStr">
        <is>
          <t>http://localhost:8787/api/admin/requirements/documents/cmm4yupvf030ecuqwvyai5yx8/view</t>
        </is>
      </c>
      <c r="AQ178">
        <f>HYPERLÄNK("http://localhost:8787/api/admin/requirements/documents/cmm4yupvf030ecuqwvyai5yx8/view";"Öppna PDF")</f>
        <v/>
      </c>
      <c r="AR178">
        <f>HYPERLINK("http://localhost:8787/api/admin/requirements/documents/cmm4yupvf030ecuqwvyai5yx8/view","Open PDF")</f>
        <v/>
      </c>
      <c r="AS178" t="inlineStr">
        <is>
          <t>cmm55w57p0004cuisfrtpqly8</t>
        </is>
      </c>
      <c r="AT178" t="inlineStr">
        <is>
          <t>cmm4xvu980000cuh4vj0usz09</t>
        </is>
      </c>
      <c r="AU178" t="inlineStr"/>
      <c r="AV178" t="inlineStr">
        <is>
          <t>Kommun</t>
        </is>
      </c>
      <c r="AW178" t="inlineStr"/>
      <c r="AX178" t="inlineStr"/>
      <c r="AY178" t="inlineStr">
        <is>
          <t>Anmalan</t>
        </is>
      </c>
      <c r="AZ178" t="inlineStr">
        <is>
          <t>2026-02-04</t>
        </is>
      </c>
      <c r="BA178" t="inlineStr">
        <is>
          <t>Anmälan Hynboholm terminal 240313_Redacted.pdf</t>
        </is>
      </c>
      <c r="BB178" t="inlineStr">
        <is>
          <t>VB:  Begäran om utlämnande av allmän handling – Anmälningar och beslut rörande mellanlagring av avfall samt anläggning av ytor</t>
        </is>
      </c>
      <c r="BC178" t="inlineStr">
        <is>
          <t>AUTO</t>
        </is>
      </c>
      <c r="BD178" t="inlineStr"/>
      <c r="BE178" t="inlineStr"/>
      <c r="BF178" t="inlineStr">
        <is>
          <t>AUTO_GENERERAD. Bekrafta metadata mot kallfil.</t>
        </is>
      </c>
      <c r="BG178">
        <f>HYPERLINK("C:\Users\jimmy\Desktop\Examens arbete\Kod\Ny mapp\remix_-copy-of-miljöbeslut.se-portal\Anmälan Hynboholm terminal 240313_Redacted.pdf", "Öppna PDF")</f>
        <v/>
      </c>
    </row>
    <row r="179">
      <c r="A179" t="inlineStr">
        <is>
          <t>KRAV-AUTO-000178</t>
        </is>
      </c>
      <c r="B179" t="inlineStr">
        <is>
          <t>ADMIN-INDEX-2026-02-27-00000000125C043F57453246863FE664CAFE6A3F0700950291EA24F0614FB6ACEDB12BF0E31D00000000010C0000950291EA24F0614FB6ACEDB12BF0E31D00002087AE4B0000</t>
        </is>
      </c>
      <c r="C179" t="inlineStr">
        <is>
          <t>cmm4yupvf030ecuqwvyai5yx8</t>
        </is>
      </c>
      <c r="D179" t="inlineStr">
        <is>
          <t>http://localhost:8787/api/admin/requirements/documents/cmm4yupvf030ecuqwvyai5yx8/view</t>
        </is>
      </c>
      <c r="E179">
        <f>HYPERLÄNK("http://localhost:8787/api/admin/requirements/documents/cmm4yupvf030ecuqwvyai5yx8/view";"Öppna PDF")</f>
        <v/>
      </c>
      <c r="F179">
        <f>HYPERLINK("http://localhost:8787/api/admin/requirements/documents/cmm4yupvf030ecuqwvyai5yx8/view","Open PDF")</f>
        <v/>
      </c>
      <c r="G179" t="inlineStr">
        <is>
          <t>cmm55w57p0004cuisfrtpqly8</t>
        </is>
      </c>
      <c r="H179" t="inlineStr">
        <is>
          <t>Informationskrav</t>
        </is>
      </c>
      <c r="I179" t="inlineStr">
        <is>
          <t>DriftEgenkontroll</t>
        </is>
      </c>
      <c r="J179" t="inlineStr">
        <is>
          <t>Journalforing</t>
        </is>
      </c>
      <c r="K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79" t="inlineStr">
        <is>
          <t>SKA</t>
        </is>
      </c>
      <c r="N179" t="inlineStr"/>
      <c r="O179" t="inlineStr"/>
      <c r="P179" t="inlineStr"/>
      <c r="Q179" t="inlineStr"/>
      <c r="R179" t="inlineStr">
        <is>
          <t>Lopande drift</t>
        </is>
      </c>
      <c r="S179" t="inlineStr"/>
      <c r="T179" t="inlineStr"/>
      <c r="U179" t="inlineStr"/>
      <c r="V179" t="inlineStr"/>
      <c r="W179" t="inlineStr">
        <is>
          <t>Nej</t>
        </is>
      </c>
      <c r="X179" t="inlineStr">
        <is>
          <t>Nej</t>
        </is>
      </c>
      <c r="Y179" t="inlineStr">
        <is>
          <t>Ja</t>
        </is>
      </c>
      <c r="Z179" t="inlineStr">
        <is>
          <t>Nej</t>
        </is>
      </c>
      <c r="AA179" t="n">
        <v>7</v>
      </c>
      <c r="AB179" t="inlineStr">
        <is>
          <t>Egenkontrollrutiner</t>
        </is>
      </c>
      <c r="AC179" t="inlineStr">
        <is>
          <t>Egenkontrollprogram</t>
        </is>
      </c>
      <c r="AD179" t="inlineStr">
        <is>
          <t>Nej</t>
        </is>
      </c>
      <c r="AE179" t="inlineStr">
        <is>
          <t>Nej</t>
        </is>
      </c>
      <c r="AF179" t="inlineStr">
        <is>
          <t>Ej behandlad</t>
        </is>
      </c>
      <c r="AG179" t="inlineStr">
        <is>
          <t>AUTO_GENERERAD. Verifiera citat mot kallfil.</t>
        </is>
      </c>
      <c r="AH179" t="inlineStr">
        <is>
          <t>LOW</t>
        </is>
      </c>
      <c r="AI179" t="inlineStr">
        <is>
          <t>AUTO</t>
        </is>
      </c>
      <c r="AJ179" t="inlineStr">
        <is>
          <t>Nej</t>
        </is>
      </c>
      <c r="AK179" t="inlineStr"/>
      <c r="AL179" t="inlineStr"/>
      <c r="AM179" t="inlineStr"/>
      <c r="AN179" t="inlineStr"/>
      <c r="AO179" t="inlineStr">
        <is>
          <t>cmm4yupvf030ecuqwvyai5yx8</t>
        </is>
      </c>
      <c r="AP179" t="inlineStr">
        <is>
          <t>http://localhost:8787/api/admin/requirements/documents/cmm4yupvf030ecuqwvyai5yx8/view</t>
        </is>
      </c>
      <c r="AQ179">
        <f>HYPERLÄNK("http://localhost:8787/api/admin/requirements/documents/cmm4yupvf030ecuqwvyai5yx8/view";"Öppna PDF")</f>
        <v/>
      </c>
      <c r="AR179">
        <f>HYPERLINK("http://localhost:8787/api/admin/requirements/documents/cmm4yupvf030ecuqwvyai5yx8/view","Open PDF")</f>
        <v/>
      </c>
      <c r="AS179" t="inlineStr">
        <is>
          <t>cmm55w57p0004cuisfrtpqly8</t>
        </is>
      </c>
      <c r="AT179" t="inlineStr">
        <is>
          <t>cmm4xvu980000cuh4vj0usz09</t>
        </is>
      </c>
      <c r="AU179" t="inlineStr"/>
      <c r="AV179" t="inlineStr">
        <is>
          <t>Kommun</t>
        </is>
      </c>
      <c r="AW179" t="inlineStr"/>
      <c r="AX179" t="inlineStr"/>
      <c r="AY179" t="inlineStr">
        <is>
          <t>Anmalan</t>
        </is>
      </c>
      <c r="AZ179" t="inlineStr">
        <is>
          <t>2026-02-04</t>
        </is>
      </c>
      <c r="BA179" t="inlineStr">
        <is>
          <t>Anmälan Hynboholm terminal 240313_Redacted.pdf</t>
        </is>
      </c>
      <c r="BB179" t="inlineStr">
        <is>
          <t>VB:  Begäran om utlämnande av allmän handling – Anmälningar och beslut rörande mellanlagring av avfall samt anläggning av ytor</t>
        </is>
      </c>
      <c r="BC179" t="inlineStr">
        <is>
          <t>AUTO</t>
        </is>
      </c>
      <c r="BD179" t="inlineStr"/>
      <c r="BE179" t="inlineStr"/>
      <c r="BF179" t="inlineStr">
        <is>
          <t>AUTO_GENERERAD. Bekrafta metadata mot kallfil.</t>
        </is>
      </c>
      <c r="BG179">
        <f>HYPERLINK("C:\Users\jimmy\Desktop\Examens arbete\Kod\Ny mapp\remix_-copy-of-miljöbeslut.se-portal\Anmälan Hynboholm terminal 240313_Redacted.pdf", "Öppna PDF")</f>
        <v/>
      </c>
    </row>
    <row r="180">
      <c r="A180" t="inlineStr">
        <is>
          <t>KRAV-AUTO-000179</t>
        </is>
      </c>
      <c r="B180" t="inlineStr">
        <is>
          <t>ADMIN-INDEX-2026-02-27-00000000125C043F57453246863FE664CAFE6A3F0700950291EA24F0614FB6ACEDB12BF0E31D00000000010C0000950291EA24F0614FB6ACEDB12BF0E31D00002087AE4C0000</t>
        </is>
      </c>
      <c r="C180" t="inlineStr">
        <is>
          <t>cmm4yupv90308cuqwbgubbii1</t>
        </is>
      </c>
      <c r="D180" t="inlineStr">
        <is>
          <t>http://localhost:8787/api/admin/requirements/documents/cmm4yupv90308cuqwbgubbii1/view</t>
        </is>
      </c>
      <c r="E180">
        <f>HYPERLÄNK("http://localhost:8787/api/admin/requirements/documents/cmm4yupv90308cuqwbgubbii1/view";"Öppna PDF")</f>
        <v/>
      </c>
      <c r="F180">
        <f>HYPERLINK("http://localhost:8787/api/admin/requirements/documents/cmm4yupv90308cuqwbgubbii1/view","Open PDF")</f>
        <v/>
      </c>
      <c r="G180" t="inlineStr">
        <is>
          <t>cmm55w57p0004cuisfrtpqly8</t>
        </is>
      </c>
      <c r="H180" t="inlineStr">
        <is>
          <t>Informationskrav</t>
        </is>
      </c>
      <c r="I180" t="inlineStr">
        <is>
          <t>DriftEgenkontroll</t>
        </is>
      </c>
      <c r="J180" t="inlineStr">
        <is>
          <t>Journalforing</t>
        </is>
      </c>
      <c r="K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80" t="inlineStr">
        <is>
          <t>SKA</t>
        </is>
      </c>
      <c r="N180" t="inlineStr"/>
      <c r="O180" t="inlineStr"/>
      <c r="P180" t="inlineStr"/>
      <c r="Q180" t="inlineStr">
        <is>
          <t>Forelaggande vid brist</t>
        </is>
      </c>
      <c r="R180" t="inlineStr">
        <is>
          <t>Lopande drift</t>
        </is>
      </c>
      <c r="S180" t="inlineStr"/>
      <c r="T180" t="inlineStr"/>
      <c r="U180" t="inlineStr"/>
      <c r="V180" t="inlineStr"/>
      <c r="W180" t="inlineStr">
        <is>
          <t>Nej</t>
        </is>
      </c>
      <c r="X180" t="inlineStr">
        <is>
          <t>Nej</t>
        </is>
      </c>
      <c r="Y180" t="inlineStr">
        <is>
          <t>Ja</t>
        </is>
      </c>
      <c r="Z180" t="inlineStr">
        <is>
          <t>Nej</t>
        </is>
      </c>
      <c r="AA180" t="n">
        <v>7</v>
      </c>
      <c r="AB180" t="inlineStr">
        <is>
          <t>Egenkontrollrutiner</t>
        </is>
      </c>
      <c r="AC180" t="inlineStr">
        <is>
          <t>Egenkontrollprogram</t>
        </is>
      </c>
      <c r="AD180" t="inlineStr">
        <is>
          <t>Nej</t>
        </is>
      </c>
      <c r="AE180" t="inlineStr">
        <is>
          <t>Nej</t>
        </is>
      </c>
      <c r="AF180" t="inlineStr">
        <is>
          <t>Ej behandlad</t>
        </is>
      </c>
      <c r="AG180" t="inlineStr">
        <is>
          <t>AUTO_GENERERAD. Verifiera citat mot kallfil.</t>
        </is>
      </c>
      <c r="AH180" t="inlineStr">
        <is>
          <t>LOW</t>
        </is>
      </c>
      <c r="AI180" t="inlineStr">
        <is>
          <t>AUTO</t>
        </is>
      </c>
      <c r="AJ180" t="inlineStr">
        <is>
          <t>Nej</t>
        </is>
      </c>
      <c r="AK180" t="inlineStr"/>
      <c r="AL180" t="inlineStr"/>
      <c r="AM180" t="inlineStr"/>
      <c r="AN180" t="inlineStr"/>
      <c r="AO180" t="inlineStr">
        <is>
          <t>cmm4yupv90308cuqwbgubbii1</t>
        </is>
      </c>
      <c r="AP180" t="inlineStr">
        <is>
          <t>http://localhost:8787/api/admin/requirements/documents/cmm4yupv90308cuqwbgubbii1/view</t>
        </is>
      </c>
      <c r="AQ180">
        <f>HYPERLÄNK("http://localhost:8787/api/admin/requirements/documents/cmm4yupv90308cuqwbgubbii1/view";"Öppna PDF")</f>
        <v/>
      </c>
      <c r="AR180">
        <f>HYPERLINK("http://localhost:8787/api/admin/requirements/documents/cmm4yupv90308cuqwbgubbii1/view","Open PDF")</f>
        <v/>
      </c>
      <c r="AS180" t="inlineStr">
        <is>
          <t>cmm55w57p0004cuisfrtpqly8</t>
        </is>
      </c>
      <c r="AT180" t="inlineStr">
        <is>
          <t>cmm4xvu980000cuh4vj0usz09</t>
        </is>
      </c>
      <c r="AU180" t="inlineStr"/>
      <c r="AV180" t="inlineStr">
        <is>
          <t>Kommun</t>
        </is>
      </c>
      <c r="AW180" t="inlineStr"/>
      <c r="AX180" t="inlineStr"/>
      <c r="AY180" t="inlineStr">
        <is>
          <t>Anmalan</t>
        </is>
      </c>
      <c r="AZ180" t="inlineStr">
        <is>
          <t>2026-02-04</t>
        </is>
      </c>
      <c r="BA180" t="inlineStr">
        <is>
          <t>Anmälan Hynboholm terminal 240313_Redacted.pdf</t>
        </is>
      </c>
      <c r="BB180" t="inlineStr">
        <is>
          <t>VB:  Begäran om utlämnande av allmän handling – Anmälningar och beslut rörande mellanlagring av avfall samt anläggning av ytor</t>
        </is>
      </c>
      <c r="BC180" t="inlineStr">
        <is>
          <t>AUTO</t>
        </is>
      </c>
      <c r="BD180" t="inlineStr"/>
      <c r="BE180" t="inlineStr"/>
      <c r="BF180" t="inlineStr">
        <is>
          <t>AUTO_GENERERAD. Bekrafta metadata mot kallfil.</t>
        </is>
      </c>
      <c r="BG180">
        <f>HYPERLINK("C:\Users\jimmy\Desktop\Examens arbete\Kod\Ny mapp\remix_-copy-of-miljöbeslut.se-portal\Anmälan Hynboholm terminal 240313_Redacted.pdf", "Öppna PDF")</f>
        <v/>
      </c>
    </row>
    <row r="181">
      <c r="A181" t="inlineStr">
        <is>
          <t>KRAV-AUTO-000180</t>
        </is>
      </c>
      <c r="B181" t="inlineStr">
        <is>
          <t>ADMIN-INDEX-2026-02-27-00000000125C043F57453246863FE664CAFE6A3F0700950291EA24F0614FB6ACEDB12BF0E31D00000000010C0000950291EA24F0614FB6ACEDB12BF0E31D00002087AE4C0000</t>
        </is>
      </c>
      <c r="C181" t="inlineStr">
        <is>
          <t>cmm4yupv90308cuqwbgubbii1</t>
        </is>
      </c>
      <c r="D181" t="inlineStr">
        <is>
          <t>http://localhost:8787/api/admin/requirements/documents/cmm4yupv90308cuqwbgubbii1/view</t>
        </is>
      </c>
      <c r="E181">
        <f>HYPERLÄNK("http://localhost:8787/api/admin/requirements/documents/cmm4yupv90308cuqwbgubbii1/view";"Öppna PDF")</f>
        <v/>
      </c>
      <c r="F181">
        <f>HYPERLINK("http://localhost:8787/api/admin/requirements/documents/cmm4yupv90308cuqwbgubbii1/view","Open PDF")</f>
        <v/>
      </c>
      <c r="G181" t="inlineStr">
        <is>
          <t>cmm55w57p0004cuisfrtpqly8</t>
        </is>
      </c>
      <c r="H181" t="inlineStr">
        <is>
          <t>Informationskrav</t>
        </is>
      </c>
      <c r="I181" t="inlineStr">
        <is>
          <t>Ytkonstruktion</t>
        </is>
      </c>
      <c r="J181" t="inlineStr">
        <is>
          <t>Tat yta</t>
        </is>
      </c>
      <c r="K181" t="inlineStr">
        <is>
          <t>Flytande kemiska produkter inklusive petroleumprodukter förvaras i ADR-klassade tankar, alternativt i tankar på ogenomsläpplig invallad yta eller i tråg som rymmer hela vätskemängden.</t>
        </is>
      </c>
      <c r="L181" t="inlineStr">
        <is>
          <t>Flytande kemiska produkter inklusive petroleumprodukter förvaras i ADR-klassade tankar, alternativt i tankar på ogenomsläpplig invallad yta eller i tråg som rymmer hela vätskemängden.</t>
        </is>
      </c>
      <c r="M181" t="inlineStr">
        <is>
          <t>SKA</t>
        </is>
      </c>
      <c r="N181" t="inlineStr"/>
      <c r="O181" t="inlineStr"/>
      <c r="P181" t="inlineStr"/>
      <c r="Q181" t="inlineStr"/>
      <c r="R181" t="inlineStr">
        <is>
          <t>Vid mellanlagring av avfall</t>
        </is>
      </c>
      <c r="S181" t="inlineStr"/>
      <c r="T181" t="inlineStr"/>
      <c r="U181" t="inlineStr"/>
      <c r="V181" t="inlineStr"/>
      <c r="W181" t="inlineStr">
        <is>
          <t>Ja</t>
        </is>
      </c>
      <c r="X181" t="inlineStr">
        <is>
          <t>Nej</t>
        </is>
      </c>
      <c r="Y181" t="inlineStr">
        <is>
          <t>Nej</t>
        </is>
      </c>
      <c r="Z181" t="inlineStr">
        <is>
          <t>Nej</t>
        </is>
      </c>
      <c r="AA181" t="n">
        <v>5</v>
      </c>
      <c r="AB181" t="inlineStr">
        <is>
          <t>Teknisk beskrivning av platta</t>
        </is>
      </c>
      <c r="AC181" t="inlineStr">
        <is>
          <t>Teknisk ritning platta</t>
        </is>
      </c>
      <c r="AD181" t="inlineStr">
        <is>
          <t>Nej</t>
        </is>
      </c>
      <c r="AE181" t="inlineStr">
        <is>
          <t>Nej</t>
        </is>
      </c>
      <c r="AF181" t="inlineStr">
        <is>
          <t>Ej behandlad</t>
        </is>
      </c>
      <c r="AG181" t="inlineStr">
        <is>
          <t>AUTO_GENERERAD. Verifiera citat mot kallfil.</t>
        </is>
      </c>
      <c r="AH181" t="inlineStr">
        <is>
          <t>LOW</t>
        </is>
      </c>
      <c r="AI181" t="inlineStr">
        <is>
          <t>AUTO</t>
        </is>
      </c>
      <c r="AJ181" t="inlineStr">
        <is>
          <t>Nej</t>
        </is>
      </c>
      <c r="AK181" t="inlineStr"/>
      <c r="AL181" t="inlineStr"/>
      <c r="AM181" t="inlineStr"/>
      <c r="AN181" t="inlineStr"/>
      <c r="AO181" t="inlineStr">
        <is>
          <t>cmm4yupv90308cuqwbgubbii1</t>
        </is>
      </c>
      <c r="AP181" t="inlineStr">
        <is>
          <t>http://localhost:8787/api/admin/requirements/documents/cmm4yupv90308cuqwbgubbii1/view</t>
        </is>
      </c>
      <c r="AQ181">
        <f>HYPERLÄNK("http://localhost:8787/api/admin/requirements/documents/cmm4yupv90308cuqwbgubbii1/view";"Öppna PDF")</f>
        <v/>
      </c>
      <c r="AR181">
        <f>HYPERLINK("http://localhost:8787/api/admin/requirements/documents/cmm4yupv90308cuqwbgubbii1/view","Open PDF")</f>
        <v/>
      </c>
      <c r="AS181" t="inlineStr">
        <is>
          <t>cmm55w57p0004cuisfrtpqly8</t>
        </is>
      </c>
      <c r="AT181" t="inlineStr">
        <is>
          <t>cmm4xvu980000cuh4vj0usz09</t>
        </is>
      </c>
      <c r="AU181" t="inlineStr"/>
      <c r="AV181" t="inlineStr">
        <is>
          <t>Kommun</t>
        </is>
      </c>
      <c r="AW181" t="inlineStr"/>
      <c r="AX181" t="inlineStr"/>
      <c r="AY181" t="inlineStr">
        <is>
          <t>Anmalan</t>
        </is>
      </c>
      <c r="AZ181" t="inlineStr">
        <is>
          <t>2026-02-04</t>
        </is>
      </c>
      <c r="BA181" t="inlineStr">
        <is>
          <t>Anmälan Hynboholm terminal 240313_Redacted.pdf</t>
        </is>
      </c>
      <c r="BB181" t="inlineStr">
        <is>
          <t>VB:  Begäran om utlämnande av allmän handling – Anmälningar och beslut rörande mellanlagring av avfall samt anläggning av ytor</t>
        </is>
      </c>
      <c r="BC181" t="inlineStr">
        <is>
          <t>AUTO</t>
        </is>
      </c>
      <c r="BD181" t="inlineStr"/>
      <c r="BE181" t="inlineStr"/>
      <c r="BF181" t="inlineStr">
        <is>
          <t>AUTO_GENERERAD. Bekrafta metadata mot kallfil.</t>
        </is>
      </c>
      <c r="BG181">
        <f>HYPERLINK("C:\Users\jimmy\Desktop\Examens arbete\Kod\Ny mapp\remix_-copy-of-miljöbeslut.se-portal\Anmälan Hynboholm terminal 240313_Redacted.pdf", "Öppna PDF")</f>
        <v/>
      </c>
    </row>
    <row r="182">
      <c r="A182" t="inlineStr">
        <is>
          <t>KRAV-AUTO-000181</t>
        </is>
      </c>
      <c r="B182" t="inlineStr">
        <is>
          <t>ADMIN-INDEX-2026-02-27-00000000125C043F57453246863FE664CAFE6A3F0700950291EA24F0614FB6ACEDB12BF0E31D00000000010C0000950291EA24F0614FB6ACEDB12BF0E31D00002087AE4C0000</t>
        </is>
      </c>
      <c r="C182" t="inlineStr">
        <is>
          <t>cmm4yupv90308cuqwbgubbii1</t>
        </is>
      </c>
      <c r="D182" t="inlineStr">
        <is>
          <t>http://localhost:8787/api/admin/requirements/documents/cmm4yupv90308cuqwbgubbii1/view</t>
        </is>
      </c>
      <c r="E182">
        <f>HYPERLÄNK("http://localhost:8787/api/admin/requirements/documents/cmm4yupv90308cuqwbgubbii1/view";"Öppna PDF")</f>
        <v/>
      </c>
      <c r="F182">
        <f>HYPERLINK("http://localhost:8787/api/admin/requirements/documents/cmm4yupv90308cuqwbgubbii1/view","Open PDF")</f>
        <v/>
      </c>
      <c r="G182" t="inlineStr">
        <is>
          <t>cmm55w57p0004cuisfrtpqly8</t>
        </is>
      </c>
      <c r="H182" t="inlineStr">
        <is>
          <t>Informationskrav</t>
        </is>
      </c>
      <c r="I182" t="inlineStr">
        <is>
          <t>DriftEgenkontroll</t>
        </is>
      </c>
      <c r="J182" t="inlineStr">
        <is>
          <t>Journalforing</t>
        </is>
      </c>
      <c r="K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82" t="inlineStr">
        <is>
          <t>SKA</t>
        </is>
      </c>
      <c r="N182" t="inlineStr"/>
      <c r="O182" t="inlineStr"/>
      <c r="P182" t="inlineStr"/>
      <c r="Q182" t="inlineStr"/>
      <c r="R182" t="inlineStr">
        <is>
          <t>Lopande drift</t>
        </is>
      </c>
      <c r="S182" t="inlineStr"/>
      <c r="T182" t="inlineStr"/>
      <c r="U182" t="inlineStr"/>
      <c r="V182" t="inlineStr"/>
      <c r="W182" t="inlineStr">
        <is>
          <t>Nej</t>
        </is>
      </c>
      <c r="X182" t="inlineStr">
        <is>
          <t>Nej</t>
        </is>
      </c>
      <c r="Y182" t="inlineStr">
        <is>
          <t>Ja</t>
        </is>
      </c>
      <c r="Z182" t="inlineStr">
        <is>
          <t>Nej</t>
        </is>
      </c>
      <c r="AA182" t="n">
        <v>7</v>
      </c>
      <c r="AB182" t="inlineStr">
        <is>
          <t>Egenkontrollrutiner</t>
        </is>
      </c>
      <c r="AC182" t="inlineStr">
        <is>
          <t>Egenkontrollprogram</t>
        </is>
      </c>
      <c r="AD182" t="inlineStr">
        <is>
          <t>Nej</t>
        </is>
      </c>
      <c r="AE182" t="inlineStr">
        <is>
          <t>Nej</t>
        </is>
      </c>
      <c r="AF182" t="inlineStr">
        <is>
          <t>Ej behandlad</t>
        </is>
      </c>
      <c r="AG182" t="inlineStr">
        <is>
          <t>AUTO_GENERERAD. Verifiera citat mot kallfil.</t>
        </is>
      </c>
      <c r="AH182" t="inlineStr">
        <is>
          <t>LOW</t>
        </is>
      </c>
      <c r="AI182" t="inlineStr">
        <is>
          <t>AUTO</t>
        </is>
      </c>
      <c r="AJ182" t="inlineStr">
        <is>
          <t>Nej</t>
        </is>
      </c>
      <c r="AK182" t="inlineStr"/>
      <c r="AL182" t="inlineStr"/>
      <c r="AM182" t="inlineStr"/>
      <c r="AN182" t="inlineStr"/>
      <c r="AO182" t="inlineStr">
        <is>
          <t>cmm4yupv90308cuqwbgubbii1</t>
        </is>
      </c>
      <c r="AP182" t="inlineStr">
        <is>
          <t>http://localhost:8787/api/admin/requirements/documents/cmm4yupv90308cuqwbgubbii1/view</t>
        </is>
      </c>
      <c r="AQ182">
        <f>HYPERLÄNK("http://localhost:8787/api/admin/requirements/documents/cmm4yupv90308cuqwbgubbii1/view";"Öppna PDF")</f>
        <v/>
      </c>
      <c r="AR182">
        <f>HYPERLINK("http://localhost:8787/api/admin/requirements/documents/cmm4yupv90308cuqwbgubbii1/view","Open PDF")</f>
        <v/>
      </c>
      <c r="AS182" t="inlineStr">
        <is>
          <t>cmm55w57p0004cuisfrtpqly8</t>
        </is>
      </c>
      <c r="AT182" t="inlineStr">
        <is>
          <t>cmm4xvu980000cuh4vj0usz09</t>
        </is>
      </c>
      <c r="AU182" t="inlineStr"/>
      <c r="AV182" t="inlineStr">
        <is>
          <t>Kommun</t>
        </is>
      </c>
      <c r="AW182" t="inlineStr"/>
      <c r="AX182" t="inlineStr"/>
      <c r="AY182" t="inlineStr">
        <is>
          <t>Anmalan</t>
        </is>
      </c>
      <c r="AZ182" t="inlineStr">
        <is>
          <t>2026-02-04</t>
        </is>
      </c>
      <c r="BA182" t="inlineStr">
        <is>
          <t>Anmälan Hynboholm terminal 240313_Redacted.pdf</t>
        </is>
      </c>
      <c r="BB182" t="inlineStr">
        <is>
          <t>VB:  Begäran om utlämnande av allmän handling – Anmälningar och beslut rörande mellanlagring av avfall samt anläggning av ytor</t>
        </is>
      </c>
      <c r="BC182" t="inlineStr">
        <is>
          <t>AUTO</t>
        </is>
      </c>
      <c r="BD182" t="inlineStr"/>
      <c r="BE182" t="inlineStr"/>
      <c r="BF182" t="inlineStr">
        <is>
          <t>AUTO_GENERERAD. Bekrafta metadata mot kallfil.</t>
        </is>
      </c>
      <c r="BG182">
        <f>HYPERLINK("C:\Users\jimmy\Desktop\Examens arbete\Kod\Ny mapp\remix_-copy-of-miljöbeslut.se-portal\Anmälan Hynboholm terminal 240313_Redacted.pdf", "Öppna PDF")</f>
        <v/>
      </c>
    </row>
    <row r="183">
      <c r="A183" t="inlineStr">
        <is>
          <t>KRAV-AUTO-000182</t>
        </is>
      </c>
      <c r="B183" t="inlineStr">
        <is>
          <t>ADMIN-INDEX-2026-02-27-00000000125C043F57453246863FE664CAFE6A3F0700950291EA24F0614FB6ACEDB12BF0E31D00000000010C0000950291EA24F0614FB6ACEDB12BF0E31D00002087AE550000</t>
        </is>
      </c>
      <c r="C183" t="inlineStr">
        <is>
          <t>cmm4yupu002yzcuqw92mpgtbw</t>
        </is>
      </c>
      <c r="D183" t="inlineStr">
        <is>
          <t>http://localhost:8787/api/admin/requirements/documents/cmm4yupu002yzcuqw92mpgtbw/view</t>
        </is>
      </c>
      <c r="E183">
        <f>HYPERLÄNK("http://localhost:8787/api/admin/requirements/documents/cmm4yupu002yzcuqw92mpgtbw/view";"Öppna PDF")</f>
        <v/>
      </c>
      <c r="F183">
        <f>HYPERLINK("http://localhost:8787/api/admin/requirements/documents/cmm4yupu002yzcuqw92mpgtbw/view","Open PDF")</f>
        <v/>
      </c>
      <c r="G183" t="inlineStr">
        <is>
          <t>cmm55w57p0004cuisfrtpqly8</t>
        </is>
      </c>
      <c r="H183" t="inlineStr">
        <is>
          <t>Beslutsvillkor</t>
        </is>
      </c>
      <c r="I183" t="inlineStr">
        <is>
          <t>Riskhantering</t>
        </is>
      </c>
      <c r="J183" t="inlineStr">
        <is>
          <t>Riskkontroll</t>
        </is>
      </c>
      <c r="K183" t="inlineStr">
        <is>
          <t>5.3 Råd till brandbekämpningspersonal Speciell skyddsutrustning: Vid brandbekämpning skall vanliga åtgärder vidtas.</t>
        </is>
      </c>
      <c r="L183" t="inlineStr">
        <is>
          <t>5.3 Råd till brandbekämpningspersonal Speciell skyddsutrustning: Vid brandbekämpning skall vanliga åtgärder vidtas.</t>
        </is>
      </c>
      <c r="M183" t="inlineStr">
        <is>
          <t>SKA</t>
        </is>
      </c>
      <c r="N183" t="inlineStr"/>
      <c r="O183" t="inlineStr"/>
      <c r="P183" t="inlineStr"/>
      <c r="Q183" t="inlineStr"/>
      <c r="R183" t="inlineStr">
        <is>
          <t>Vid risk for incident</t>
        </is>
      </c>
      <c r="S183" t="inlineStr"/>
      <c r="T183" t="inlineStr">
        <is>
          <t>513330</t>
        </is>
      </c>
      <c r="U183" t="inlineStr"/>
      <c r="V183" t="inlineStr"/>
      <c r="W183" t="inlineStr">
        <is>
          <t>Nej</t>
        </is>
      </c>
      <c r="X183" t="inlineStr">
        <is>
          <t>Nej</t>
        </is>
      </c>
      <c r="Y183" t="inlineStr">
        <is>
          <t>Ja</t>
        </is>
      </c>
      <c r="Z183" t="inlineStr">
        <is>
          <t>Ja</t>
        </is>
      </c>
      <c r="AA183" t="n">
        <v>8</v>
      </c>
      <c r="AB183" t="inlineStr">
        <is>
          <t>Riskhantering</t>
        </is>
      </c>
      <c r="AC183" t="inlineStr">
        <is>
          <t>Risk-PM</t>
        </is>
      </c>
      <c r="AD183" t="inlineStr">
        <is>
          <t>Nej</t>
        </is>
      </c>
      <c r="AE183" t="inlineStr">
        <is>
          <t>Nej</t>
        </is>
      </c>
      <c r="AF183" t="inlineStr">
        <is>
          <t>Ej behandlad</t>
        </is>
      </c>
      <c r="AG183" t="inlineStr">
        <is>
          <t>AUTO_GENERERAD. Verifiera citat mot kallfil.</t>
        </is>
      </c>
      <c r="AH183" t="inlineStr">
        <is>
          <t>MEDIUM</t>
        </is>
      </c>
      <c r="AI183" t="inlineStr">
        <is>
          <t>AUTO</t>
        </is>
      </c>
      <c r="AJ183" t="inlineStr">
        <is>
          <t>Nej</t>
        </is>
      </c>
      <c r="AK183" t="inlineStr"/>
      <c r="AL183" t="inlineStr"/>
      <c r="AM183" t="inlineStr"/>
      <c r="AN183" t="inlineStr"/>
      <c r="AO183" t="inlineStr">
        <is>
          <t>cmm4yupu002yzcuqw92mpgtbw</t>
        </is>
      </c>
      <c r="AP183" t="inlineStr">
        <is>
          <t>http://localhost:8787/api/admin/requirements/documents/cmm4yupu002yzcuqw92mpgtbw/view</t>
        </is>
      </c>
      <c r="AQ183">
        <f>HYPERLÄNK("http://localhost:8787/api/admin/requirements/documents/cmm4yupu002yzcuqw92mpgtbw/view";"Öppna PDF")</f>
        <v/>
      </c>
      <c r="AR183">
        <f>HYPERLINK("http://localhost:8787/api/admin/requirements/documents/cmm4yupu002yzcuqw92mpgtbw/view","Open PDF")</f>
        <v/>
      </c>
      <c r="AS183" t="inlineStr">
        <is>
          <t>cmm55w57p0004cuisfrtpqly8</t>
        </is>
      </c>
      <c r="AT183" t="inlineStr">
        <is>
          <t>cmm4xvu980000cuh4vj0usz09</t>
        </is>
      </c>
      <c r="AU183" t="inlineStr"/>
      <c r="AV183" t="inlineStr">
        <is>
          <t>Kommun</t>
        </is>
      </c>
      <c r="AW183" t="inlineStr"/>
      <c r="AX183" t="inlineStr">
        <is>
          <t>2024-576</t>
        </is>
      </c>
      <c r="AY183" t="inlineStr">
        <is>
          <t>Beslut</t>
        </is>
      </c>
      <c r="AZ183" t="inlineStr">
        <is>
          <t>2026-02-04</t>
        </is>
      </c>
      <c r="BA183" t="inlineStr">
        <is>
          <t>Säkerhetsdatablad Sonax Gloss Dryer.pdf</t>
        </is>
      </c>
      <c r="BB183" t="inlineStr">
        <is>
          <t>2024-576</t>
        </is>
      </c>
      <c r="BC183" t="inlineStr">
        <is>
          <t>AUTO</t>
        </is>
      </c>
      <c r="BD183" t="inlineStr"/>
      <c r="BE183" t="inlineStr"/>
      <c r="BF183" t="inlineStr">
        <is>
          <t>AUTO_GENERERAD. Bekrafta metadata mot kallfil.</t>
        </is>
      </c>
      <c r="BG183">
        <f>HYPERLINK("C:\Users\jimmy\Desktop\Examens arbete\Kod\Ny mapp\remix_-copy-of-miljöbeslut.se-portal\Säkerhetsdatablad Sonax Gloss Dryer.pdf", "Öppna PDF")</f>
        <v/>
      </c>
    </row>
    <row r="184">
      <c r="A184" t="inlineStr">
        <is>
          <t>KRAV-AUTO-000183</t>
        </is>
      </c>
      <c r="B184" t="inlineStr">
        <is>
          <t>ADMIN-INDEX-2026-02-27-00000000125C043F57453246863FE664CAFE6A3F0700950291EA24F0614FB6ACEDB12BF0E31D00000000010C0000950291EA24F0614FB6ACEDB12BF0E31D00002087AE550000</t>
        </is>
      </c>
      <c r="C184" t="inlineStr">
        <is>
          <t>cmm4yupu002yzcuqw92mpgtbw</t>
        </is>
      </c>
      <c r="D184" t="inlineStr">
        <is>
          <t>http://localhost:8787/api/admin/requirements/documents/cmm4yupu002yzcuqw92mpgtbw/view</t>
        </is>
      </c>
      <c r="E184">
        <f>HYPERLÄNK("http://localhost:8787/api/admin/requirements/documents/cmm4yupu002yzcuqw92mpgtbw/view";"Öppna PDF")</f>
        <v/>
      </c>
      <c r="F184">
        <f>HYPERLINK("http://localhost:8787/api/admin/requirements/documents/cmm4yupu002yzcuqw92mpgtbw/view","Open PDF")</f>
        <v/>
      </c>
      <c r="G184" t="inlineStr">
        <is>
          <t>cmm55w57p0004cuisfrtpqly8</t>
        </is>
      </c>
      <c r="H184" t="inlineStr">
        <is>
          <t>Beslutsvillkor</t>
        </is>
      </c>
      <c r="I184" t="inlineStr">
        <is>
          <t>MiljopaverkanForsiktighet</t>
        </is>
      </c>
      <c r="J184" t="inlineStr">
        <is>
          <t>Skyddsatgarder</t>
        </is>
      </c>
      <c r="K184" t="inlineStr">
        <is>
          <t>Rekommendation: Avfall måste hanteras och avlägsnas enligt lokala föreskrifter.</t>
        </is>
      </c>
      <c r="L184" t="inlineStr">
        <is>
          <t>Rekommendation: Avfall måste hanteras och avlägsnas enligt lokala föreskrifter.</t>
        </is>
      </c>
      <c r="M184" t="inlineStr">
        <is>
          <t>SKA</t>
        </is>
      </c>
      <c r="N184" t="inlineStr"/>
      <c r="O184" t="inlineStr"/>
      <c r="P184" t="inlineStr"/>
      <c r="Q184" t="inlineStr"/>
      <c r="R184" t="inlineStr">
        <is>
          <t>Alltid</t>
        </is>
      </c>
      <c r="S184" t="inlineStr"/>
      <c r="T184" t="inlineStr">
        <is>
          <t>513330</t>
        </is>
      </c>
      <c r="U184" t="inlineStr"/>
      <c r="V184" t="inlineStr"/>
      <c r="W184" t="inlineStr">
        <is>
          <t>Nej</t>
        </is>
      </c>
      <c r="X184" t="inlineStr">
        <is>
          <t>Nej</t>
        </is>
      </c>
      <c r="Y184" t="inlineStr">
        <is>
          <t>Nej</t>
        </is>
      </c>
      <c r="Z184" t="inlineStr">
        <is>
          <t>Nej</t>
        </is>
      </c>
      <c r="AA184" t="n">
        <v>10</v>
      </c>
      <c r="AB184" t="inlineStr">
        <is>
          <t>Miljopaverkan och forsiktighetsmatt</t>
        </is>
      </c>
      <c r="AC184" t="inlineStr">
        <is>
          <t>Miljo-PM</t>
        </is>
      </c>
      <c r="AD184" t="inlineStr">
        <is>
          <t>Nej</t>
        </is>
      </c>
      <c r="AE184" t="inlineStr">
        <is>
          <t>Nej</t>
        </is>
      </c>
      <c r="AF184" t="inlineStr">
        <is>
          <t>Ej behandlad</t>
        </is>
      </c>
      <c r="AG184" t="inlineStr">
        <is>
          <t>AUTO_GENERERAD. Verifiera citat mot kallfil.</t>
        </is>
      </c>
      <c r="AH184" t="inlineStr">
        <is>
          <t>MEDIUM</t>
        </is>
      </c>
      <c r="AI184" t="inlineStr">
        <is>
          <t>AUTO</t>
        </is>
      </c>
      <c r="AJ184" t="inlineStr">
        <is>
          <t>Nej</t>
        </is>
      </c>
      <c r="AK184" t="inlineStr"/>
      <c r="AL184" t="inlineStr"/>
      <c r="AM184" t="inlineStr"/>
      <c r="AN184" t="inlineStr"/>
      <c r="AO184" t="inlineStr">
        <is>
          <t>cmm4yupu002yzcuqw92mpgtbw</t>
        </is>
      </c>
      <c r="AP184" t="inlineStr">
        <is>
          <t>http://localhost:8787/api/admin/requirements/documents/cmm4yupu002yzcuqw92mpgtbw/view</t>
        </is>
      </c>
      <c r="AQ184">
        <f>HYPERLÄNK("http://localhost:8787/api/admin/requirements/documents/cmm4yupu002yzcuqw92mpgtbw/view";"Öppna PDF")</f>
        <v/>
      </c>
      <c r="AR184">
        <f>HYPERLINK("http://localhost:8787/api/admin/requirements/documents/cmm4yupu002yzcuqw92mpgtbw/view","Open PDF")</f>
        <v/>
      </c>
      <c r="AS184" t="inlineStr">
        <is>
          <t>cmm55w57p0004cuisfrtpqly8</t>
        </is>
      </c>
      <c r="AT184" t="inlineStr">
        <is>
          <t>cmm4xvu980000cuh4vj0usz09</t>
        </is>
      </c>
      <c r="AU184" t="inlineStr"/>
      <c r="AV184" t="inlineStr">
        <is>
          <t>Kommun</t>
        </is>
      </c>
      <c r="AW184" t="inlineStr"/>
      <c r="AX184" t="inlineStr">
        <is>
          <t>2024-576</t>
        </is>
      </c>
      <c r="AY184" t="inlineStr">
        <is>
          <t>Beslut</t>
        </is>
      </c>
      <c r="AZ184" t="inlineStr">
        <is>
          <t>2026-02-04</t>
        </is>
      </c>
      <c r="BA184" t="inlineStr">
        <is>
          <t>Säkerhetsdatablad Sonax Gloss Dryer.pdf</t>
        </is>
      </c>
      <c r="BB184" t="inlineStr">
        <is>
          <t>2024-576</t>
        </is>
      </c>
      <c r="BC184" t="inlineStr">
        <is>
          <t>AUTO</t>
        </is>
      </c>
      <c r="BD184" t="inlineStr"/>
      <c r="BE184" t="inlineStr"/>
      <c r="BF184" t="inlineStr">
        <is>
          <t>AUTO_GENERERAD. Bekrafta metadata mot kallfil.</t>
        </is>
      </c>
      <c r="BG184">
        <f>HYPERLINK("C:\Users\jimmy\Desktop\Examens arbete\Kod\Ny mapp\remix_-copy-of-miljöbeslut.se-portal\Säkerhetsdatablad Sonax Gloss Dryer.pdf", "Öppna PDF")</f>
        <v/>
      </c>
    </row>
    <row r="185">
      <c r="A185" t="inlineStr">
        <is>
          <t>KRAV-AUTO-000184</t>
        </is>
      </c>
      <c r="B185" t="inlineStr">
        <is>
          <t>ADMIN-INDEX-2026-02-27-00000000125C043F57453246863FE664CAFE6A3F0700950291EA24F0614FB6ACEDB12BF0E31D00000000010C0000950291EA24F0614FB6ACEDB12BF0E31D00002087AE550000</t>
        </is>
      </c>
      <c r="C185" t="inlineStr">
        <is>
          <t>cmm4yupu002yzcuqw92mpgtbw</t>
        </is>
      </c>
      <c r="D185" t="inlineStr">
        <is>
          <t>http://localhost:8787/api/admin/requirements/documents/cmm4yupu002yzcuqw92mpgtbw/view</t>
        </is>
      </c>
      <c r="E185">
        <f>HYPERLÄNK("http://localhost:8787/api/admin/requirements/documents/cmm4yupu002yzcuqw92mpgtbw/view";"Öppna PDF")</f>
        <v/>
      </c>
      <c r="F185">
        <f>HYPERLINK("http://localhost:8787/api/admin/requirements/documents/cmm4yupu002yzcuqw92mpgtbw/view","Open PDF")</f>
        <v/>
      </c>
      <c r="G185" t="inlineStr">
        <is>
          <t>cmm55w57p0004cuisfrtpqly8</t>
        </is>
      </c>
      <c r="H185" t="inlineStr">
        <is>
          <t>Beslutsvillkor</t>
        </is>
      </c>
      <c r="I185" t="inlineStr">
        <is>
          <t>Riskhantering</t>
        </is>
      </c>
      <c r="J185" t="inlineStr">
        <is>
          <t>Riskkontroll</t>
        </is>
      </c>
      <c r="K185" t="inlineStr">
        <is>
          <t>Hänvisningar beträffande brand- och explosionsskydd: Inga speciella åtgärder krävs.</t>
        </is>
      </c>
      <c r="L185" t="inlineStr">
        <is>
          <t>Hänvisningar beträffande brand- och explosionsskydd: Inga speciella åtgärder krävs.</t>
        </is>
      </c>
      <c r="M185" t="inlineStr">
        <is>
          <t>SKA</t>
        </is>
      </c>
      <c r="N185" t="inlineStr"/>
      <c r="O185" t="inlineStr"/>
      <c r="P185" t="inlineStr"/>
      <c r="Q185" t="inlineStr"/>
      <c r="R185" t="inlineStr">
        <is>
          <t>Vid risk for incident</t>
        </is>
      </c>
      <c r="S185" t="inlineStr"/>
      <c r="T185" t="inlineStr">
        <is>
          <t>513330</t>
        </is>
      </c>
      <c r="U185" t="inlineStr"/>
      <c r="V185" t="inlineStr"/>
      <c r="W185" t="inlineStr">
        <is>
          <t>Nej</t>
        </is>
      </c>
      <c r="X185" t="inlineStr">
        <is>
          <t>Nej</t>
        </is>
      </c>
      <c r="Y185" t="inlineStr">
        <is>
          <t>Ja</t>
        </is>
      </c>
      <c r="Z185" t="inlineStr">
        <is>
          <t>Ja</t>
        </is>
      </c>
      <c r="AA185" t="n">
        <v>8</v>
      </c>
      <c r="AB185" t="inlineStr">
        <is>
          <t>Riskhantering</t>
        </is>
      </c>
      <c r="AC185" t="inlineStr">
        <is>
          <t>Risk-PM</t>
        </is>
      </c>
      <c r="AD185" t="inlineStr">
        <is>
          <t>Nej</t>
        </is>
      </c>
      <c r="AE185" t="inlineStr">
        <is>
          <t>Nej</t>
        </is>
      </c>
      <c r="AF185" t="inlineStr">
        <is>
          <t>Ej behandlad</t>
        </is>
      </c>
      <c r="AG185" t="inlineStr">
        <is>
          <t>AUTO_GENERERAD. Verifiera citat mot kallfil.</t>
        </is>
      </c>
      <c r="AH185" t="inlineStr">
        <is>
          <t>MEDIUM</t>
        </is>
      </c>
      <c r="AI185" t="inlineStr">
        <is>
          <t>AUTO</t>
        </is>
      </c>
      <c r="AJ185" t="inlineStr">
        <is>
          <t>Nej</t>
        </is>
      </c>
      <c r="AK185" t="inlineStr"/>
      <c r="AL185" t="inlineStr"/>
      <c r="AM185" t="inlineStr"/>
      <c r="AN185" t="inlineStr"/>
      <c r="AO185" t="inlineStr">
        <is>
          <t>cmm4yupu002yzcuqw92mpgtbw</t>
        </is>
      </c>
      <c r="AP185" t="inlineStr">
        <is>
          <t>http://localhost:8787/api/admin/requirements/documents/cmm4yupu002yzcuqw92mpgtbw/view</t>
        </is>
      </c>
      <c r="AQ185">
        <f>HYPERLÄNK("http://localhost:8787/api/admin/requirements/documents/cmm4yupu002yzcuqw92mpgtbw/view";"Öppna PDF")</f>
        <v/>
      </c>
      <c r="AR185">
        <f>HYPERLINK("http://localhost:8787/api/admin/requirements/documents/cmm4yupu002yzcuqw92mpgtbw/view","Open PDF")</f>
        <v/>
      </c>
      <c r="AS185" t="inlineStr">
        <is>
          <t>cmm55w57p0004cuisfrtpqly8</t>
        </is>
      </c>
      <c r="AT185" t="inlineStr">
        <is>
          <t>cmm4xvu980000cuh4vj0usz09</t>
        </is>
      </c>
      <c r="AU185" t="inlineStr"/>
      <c r="AV185" t="inlineStr">
        <is>
          <t>Kommun</t>
        </is>
      </c>
      <c r="AW185" t="inlineStr"/>
      <c r="AX185" t="inlineStr">
        <is>
          <t>2024-576</t>
        </is>
      </c>
      <c r="AY185" t="inlineStr">
        <is>
          <t>Beslut</t>
        </is>
      </c>
      <c r="AZ185" t="inlineStr">
        <is>
          <t>2026-02-04</t>
        </is>
      </c>
      <c r="BA185" t="inlineStr">
        <is>
          <t>Säkerhetsdatablad Sonax Gloss Dryer.pdf</t>
        </is>
      </c>
      <c r="BB185" t="inlineStr">
        <is>
          <t>2024-576</t>
        </is>
      </c>
      <c r="BC185" t="inlineStr">
        <is>
          <t>AUTO</t>
        </is>
      </c>
      <c r="BD185" t="inlineStr"/>
      <c r="BE185" t="inlineStr"/>
      <c r="BF185" t="inlineStr">
        <is>
          <t>AUTO_GENERERAD. Bekrafta metadata mot kallfil.</t>
        </is>
      </c>
      <c r="BG185">
        <f>HYPERLINK("C:\Users\jimmy\Desktop\Examens arbete\Kod\Ny mapp\remix_-copy-of-miljöbeslut.se-portal\Säkerhetsdatablad Sonax Gloss Dryer.pdf", "Öppna PDF")</f>
        <v/>
      </c>
    </row>
    <row r="186">
      <c r="A186" t="inlineStr">
        <is>
          <t>KRAV-AUTO-000185</t>
        </is>
      </c>
      <c r="B186" t="inlineStr">
        <is>
          <t>ADMIN-INDEX-2026-02-27-00000000125C043F57453246863FE664CAFE6A3F0700950291EA24F0614FB6ACEDB12BF0E31D00000000010C0000950291EA24F0614FB6ACEDB12BF0E31D00002087AE550000</t>
        </is>
      </c>
      <c r="C186" t="inlineStr">
        <is>
          <t>cmm4yuptx02ywcuqwfpwkaem8</t>
        </is>
      </c>
      <c r="D186" t="inlineStr">
        <is>
          <t>http://localhost:8787/api/admin/requirements/documents/cmm4yuptx02ywcuqwfpwkaem8/view</t>
        </is>
      </c>
      <c r="E186">
        <f>HYPERLÄNK("http://localhost:8787/api/admin/requirements/documents/cmm4yuptx02ywcuqwfpwkaem8/view";"Öppna PDF")</f>
        <v/>
      </c>
      <c r="F186">
        <f>HYPERLINK("http://localhost:8787/api/admin/requirements/documents/cmm4yuptx02ywcuqwfpwkaem8/view","Open PDF")</f>
        <v/>
      </c>
      <c r="G186" t="inlineStr">
        <is>
          <t>cmm55w57p0004cuisfrtpqly8</t>
        </is>
      </c>
      <c r="H186" t="inlineStr">
        <is>
          <t>Beslutsvillkor</t>
        </is>
      </c>
      <c r="I186" t="inlineStr">
        <is>
          <t>Riskhantering</t>
        </is>
      </c>
      <c r="J186" t="inlineStr">
        <is>
          <t>Riskkontroll</t>
        </is>
      </c>
      <c r="K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86" t="inlineStr">
        <is>
          <t>SKA</t>
        </is>
      </c>
      <c r="N186" t="inlineStr"/>
      <c r="O186" t="inlineStr"/>
      <c r="P186" t="inlineStr">
        <is>
          <t>Manadskontroll</t>
        </is>
      </c>
      <c r="Q186" t="inlineStr"/>
      <c r="R186" t="inlineStr">
        <is>
          <t>Vid risk for incident</t>
        </is>
      </c>
      <c r="S186" t="inlineStr"/>
      <c r="T186" t="inlineStr"/>
      <c r="U186" t="inlineStr"/>
      <c r="V186" t="inlineStr">
        <is>
          <t>12 manader</t>
        </is>
      </c>
      <c r="W186" t="inlineStr">
        <is>
          <t>Nej</t>
        </is>
      </c>
      <c r="X186" t="inlineStr">
        <is>
          <t>Nej</t>
        </is>
      </c>
      <c r="Y186" t="inlineStr">
        <is>
          <t>Ja</t>
        </is>
      </c>
      <c r="Z186" t="inlineStr">
        <is>
          <t>Ja</t>
        </is>
      </c>
      <c r="AA186" t="n">
        <v>8</v>
      </c>
      <c r="AB186" t="inlineStr">
        <is>
          <t>Riskhantering</t>
        </is>
      </c>
      <c r="AC186" t="inlineStr">
        <is>
          <t>Risk-PM</t>
        </is>
      </c>
      <c r="AD186" t="inlineStr">
        <is>
          <t>Nej</t>
        </is>
      </c>
      <c r="AE186" t="inlineStr">
        <is>
          <t>Nej</t>
        </is>
      </c>
      <c r="AF186" t="inlineStr">
        <is>
          <t>Ej behandlad</t>
        </is>
      </c>
      <c r="AG186" t="inlineStr">
        <is>
          <t>AUTO_GENERERAD. Verifiera citat mot kallfil.</t>
        </is>
      </c>
      <c r="AH186" t="inlineStr">
        <is>
          <t>MEDIUM</t>
        </is>
      </c>
      <c r="AI186" t="inlineStr">
        <is>
          <t>AUTO</t>
        </is>
      </c>
      <c r="AJ186" t="inlineStr">
        <is>
          <t>Nej</t>
        </is>
      </c>
      <c r="AK186" t="inlineStr"/>
      <c r="AL186" t="inlineStr"/>
      <c r="AM186" t="inlineStr"/>
      <c r="AN186" t="inlineStr"/>
      <c r="AO186" t="inlineStr">
        <is>
          <t>cmm4yupu002yzcuqw92mpgtbw</t>
        </is>
      </c>
      <c r="AP186" t="inlineStr">
        <is>
          <t>http://localhost:8787/api/admin/requirements/documents/cmm4yupu002yzcuqw92mpgtbw/view</t>
        </is>
      </c>
      <c r="AQ186">
        <f>HYPERLÄNK("http://localhost:8787/api/admin/requirements/documents/cmm4yupu002yzcuqw92mpgtbw/view";"Öppna PDF")</f>
        <v/>
      </c>
      <c r="AR186">
        <f>HYPERLINK("http://localhost:8787/api/admin/requirements/documents/cmm4yupu002yzcuqw92mpgtbw/view","Open PDF")</f>
        <v/>
      </c>
      <c r="AS186" t="inlineStr">
        <is>
          <t>cmm55w57p0004cuisfrtpqly8</t>
        </is>
      </c>
      <c r="AT186" t="inlineStr">
        <is>
          <t>cmm4xvu980000cuh4vj0usz09</t>
        </is>
      </c>
      <c r="AU186" t="inlineStr"/>
      <c r="AV186" t="inlineStr">
        <is>
          <t>Kommun</t>
        </is>
      </c>
      <c r="AW186" t="inlineStr"/>
      <c r="AX186" t="inlineStr">
        <is>
          <t>2024-576</t>
        </is>
      </c>
      <c r="AY186" t="inlineStr">
        <is>
          <t>Beslut</t>
        </is>
      </c>
      <c r="AZ186" t="inlineStr">
        <is>
          <t>2026-02-04</t>
        </is>
      </c>
      <c r="BA186" t="inlineStr">
        <is>
          <t>Säkerhetsdatablad Sonax Gloss Dryer.pdf</t>
        </is>
      </c>
      <c r="BB186" t="inlineStr">
        <is>
          <t>2024-576</t>
        </is>
      </c>
      <c r="BC186" t="inlineStr">
        <is>
          <t>AUTO</t>
        </is>
      </c>
      <c r="BD186" t="inlineStr"/>
      <c r="BE186" t="inlineStr"/>
      <c r="BF186" t="inlineStr">
        <is>
          <t>AUTO_GENERERAD. Bekrafta metadata mot kallfil.</t>
        </is>
      </c>
      <c r="BG186">
        <f>HYPERLINK("C:\Users\jimmy\Desktop\Examens arbete\Kod\Ny mapp\remix_-copy-of-miljöbeslut.se-portal\Säkerhetsdatablad Sonax Gloss Dryer.pdf", "Öppna PDF")</f>
        <v/>
      </c>
    </row>
    <row r="187">
      <c r="A187" t="inlineStr">
        <is>
          <t>KRAV-AUTO-000186</t>
        </is>
      </c>
      <c r="B187" t="inlineStr">
        <is>
          <t>ADMIN-INDEX-2026-02-27-00000000125C043F57453246863FE664CAFE6A3F0700950291EA24F0614FB6ACEDB12BF0E31D00000000010C0000950291EA24F0614FB6ACEDB12BF0E31D00002087AE550000</t>
        </is>
      </c>
      <c r="C187" t="inlineStr">
        <is>
          <t>cmm4yuptx02ywcuqwfpwkaem8</t>
        </is>
      </c>
      <c r="D187" t="inlineStr">
        <is>
          <t>http://localhost:8787/api/admin/requirements/documents/cmm4yuptx02ywcuqwfpwkaem8/view</t>
        </is>
      </c>
      <c r="E187">
        <f>HYPERLÄNK("http://localhost:8787/api/admin/requirements/documents/cmm4yuptx02ywcuqwfpwkaem8/view";"Öppna PDF")</f>
        <v/>
      </c>
      <c r="F187">
        <f>HYPERLINK("http://localhost:8787/api/admin/requirements/documents/cmm4yuptx02ywcuqwfpwkaem8/view","Open PDF")</f>
        <v/>
      </c>
      <c r="G187" t="inlineStr">
        <is>
          <t>cmm55w57p0004cuisfrtpqly8</t>
        </is>
      </c>
      <c r="H187" t="inlineStr">
        <is>
          <t>Beslutsvillkor</t>
        </is>
      </c>
      <c r="I187" t="inlineStr">
        <is>
          <t>Riskhantering</t>
        </is>
      </c>
      <c r="J187" t="inlineStr">
        <is>
          <t>Riskkontroll</t>
        </is>
      </c>
      <c r="K187" t="inlineStr">
        <is>
          <t>AFS 2014:43 Kemiska arbetsmiljörisker.</t>
        </is>
      </c>
      <c r="L187" t="inlineStr">
        <is>
          <t>AFS 2014:43 Kemiska arbetsmiljörisker.</t>
        </is>
      </c>
      <c r="M187" t="inlineStr">
        <is>
          <t>SKA</t>
        </is>
      </c>
      <c r="N187" t="inlineStr"/>
      <c r="O187" t="inlineStr"/>
      <c r="P187" t="inlineStr"/>
      <c r="Q187" t="inlineStr"/>
      <c r="R187" t="inlineStr">
        <is>
          <t>Vid risk for incident</t>
        </is>
      </c>
      <c r="S187" t="inlineStr"/>
      <c r="T187" t="inlineStr"/>
      <c r="U187" t="inlineStr"/>
      <c r="V187" t="inlineStr"/>
      <c r="W187" t="inlineStr">
        <is>
          <t>Nej</t>
        </is>
      </c>
      <c r="X187" t="inlineStr">
        <is>
          <t>Nej</t>
        </is>
      </c>
      <c r="Y187" t="inlineStr">
        <is>
          <t>Ja</t>
        </is>
      </c>
      <c r="Z187" t="inlineStr">
        <is>
          <t>Ja</t>
        </is>
      </c>
      <c r="AA187" t="n">
        <v>8</v>
      </c>
      <c r="AB187" t="inlineStr">
        <is>
          <t>Riskhantering</t>
        </is>
      </c>
      <c r="AC187" t="inlineStr">
        <is>
          <t>Risk-PM</t>
        </is>
      </c>
      <c r="AD187" t="inlineStr">
        <is>
          <t>Nej</t>
        </is>
      </c>
      <c r="AE187" t="inlineStr">
        <is>
          <t>Nej</t>
        </is>
      </c>
      <c r="AF187" t="inlineStr">
        <is>
          <t>Ej behandlad</t>
        </is>
      </c>
      <c r="AG187" t="inlineStr">
        <is>
          <t>AUTO_GENERERAD. Verifiera citat mot kallfil.</t>
        </is>
      </c>
      <c r="AH187" t="inlineStr">
        <is>
          <t>LOW</t>
        </is>
      </c>
      <c r="AI187" t="inlineStr">
        <is>
          <t>AUTO</t>
        </is>
      </c>
      <c r="AJ187" t="inlineStr">
        <is>
          <t>Nej</t>
        </is>
      </c>
      <c r="AK187" t="inlineStr"/>
      <c r="AL187" t="inlineStr"/>
      <c r="AM187" t="inlineStr"/>
      <c r="AN187" t="inlineStr"/>
      <c r="AO187" t="inlineStr">
        <is>
          <t>cmm4yupu002yzcuqw92mpgtbw</t>
        </is>
      </c>
      <c r="AP187" t="inlineStr">
        <is>
          <t>http://localhost:8787/api/admin/requirements/documents/cmm4yupu002yzcuqw92mpgtbw/view</t>
        </is>
      </c>
      <c r="AQ187">
        <f>HYPERLÄNK("http://localhost:8787/api/admin/requirements/documents/cmm4yupu002yzcuqw92mpgtbw/view";"Öppna PDF")</f>
        <v/>
      </c>
      <c r="AR187">
        <f>HYPERLINK("http://localhost:8787/api/admin/requirements/documents/cmm4yupu002yzcuqw92mpgtbw/view","Open PDF")</f>
        <v/>
      </c>
      <c r="AS187" t="inlineStr">
        <is>
          <t>cmm55w57p0004cuisfrtpqly8</t>
        </is>
      </c>
      <c r="AT187" t="inlineStr">
        <is>
          <t>cmm4xvu980000cuh4vj0usz09</t>
        </is>
      </c>
      <c r="AU187" t="inlineStr"/>
      <c r="AV187" t="inlineStr">
        <is>
          <t>Kommun</t>
        </is>
      </c>
      <c r="AW187" t="inlineStr"/>
      <c r="AX187" t="inlineStr">
        <is>
          <t>2024-576</t>
        </is>
      </c>
      <c r="AY187" t="inlineStr">
        <is>
          <t>Beslut</t>
        </is>
      </c>
      <c r="AZ187" t="inlineStr">
        <is>
          <t>2026-02-04</t>
        </is>
      </c>
      <c r="BA187" t="inlineStr">
        <is>
          <t>Säkerhetsdatablad Sonax Gloss Dryer.pdf</t>
        </is>
      </c>
      <c r="BB187" t="inlineStr">
        <is>
          <t>2024-576</t>
        </is>
      </c>
      <c r="BC187" t="inlineStr">
        <is>
          <t>AUTO</t>
        </is>
      </c>
      <c r="BD187" t="inlineStr"/>
      <c r="BE187" t="inlineStr"/>
      <c r="BF187" t="inlineStr">
        <is>
          <t>AUTO_GENERERAD. Bekrafta metadata mot kallfil.</t>
        </is>
      </c>
      <c r="BG187">
        <f>HYPERLINK("C:\Users\jimmy\Desktop\Examens arbete\Kod\Ny mapp\remix_-copy-of-miljöbeslut.se-portal\Säkerhetsdatablad Sonax Gloss Dryer.pdf", "Öppna PDF")</f>
        <v/>
      </c>
    </row>
    <row r="188">
      <c r="A188" t="inlineStr">
        <is>
          <t>KRAV-AUTO-000187</t>
        </is>
      </c>
      <c r="B188" t="inlineStr">
        <is>
          <t>ADMIN-INDEX-2026-02-27-00000000125C043F57453246863FE664CAFE6A3F0700950291EA24F0614FB6ACEDB12BF0E31D00000000010C0000950291EA24F0614FB6ACEDB12BF0E31D00002087AE550000</t>
        </is>
      </c>
      <c r="C188" t="inlineStr">
        <is>
          <t>cmm4yuptx02ywcuqwfpwkaem8</t>
        </is>
      </c>
      <c r="D188" t="inlineStr">
        <is>
          <t>http://localhost:8787/api/admin/requirements/documents/cmm4yuptx02ywcuqwfpwkaem8/view</t>
        </is>
      </c>
      <c r="E188">
        <f>HYPERLÄNK("http://localhost:8787/api/admin/requirements/documents/cmm4yuptx02ywcuqwfpwkaem8/view";"Öppna PDF")</f>
        <v/>
      </c>
      <c r="F188">
        <f>HYPERLINK("http://localhost:8787/api/admin/requirements/documents/cmm4yuptx02ywcuqwfpwkaem8/view","Open PDF")</f>
        <v/>
      </c>
      <c r="G188" t="inlineStr">
        <is>
          <t>cmm55w57p0004cuisfrtpqly8</t>
        </is>
      </c>
      <c r="H188" t="inlineStr">
        <is>
          <t>Beslutsvillkor</t>
        </is>
      </c>
      <c r="I188" t="inlineStr">
        <is>
          <t>Riskhantering</t>
        </is>
      </c>
      <c r="J188" t="inlineStr">
        <is>
          <t>Riskkontroll</t>
        </is>
      </c>
      <c r="K188" t="inlineStr">
        <is>
          <t>Andra lagar: AFS 2011:19 Kemiska arbetsmiljörisker.</t>
        </is>
      </c>
      <c r="L188" t="inlineStr">
        <is>
          <t>Andra lagar: AFS 2011:19 Kemiska arbetsmiljörisker.</t>
        </is>
      </c>
      <c r="M188" t="inlineStr">
        <is>
          <t>SKA</t>
        </is>
      </c>
      <c r="N188" t="inlineStr"/>
      <c r="O188" t="inlineStr"/>
      <c r="P188" t="inlineStr"/>
      <c r="Q188" t="inlineStr"/>
      <c r="R188" t="inlineStr">
        <is>
          <t>Vid risk for incident</t>
        </is>
      </c>
      <c r="S188" t="inlineStr"/>
      <c r="T188" t="inlineStr"/>
      <c r="U188" t="inlineStr"/>
      <c r="V188" t="inlineStr"/>
      <c r="W188" t="inlineStr">
        <is>
          <t>Nej</t>
        </is>
      </c>
      <c r="X188" t="inlineStr">
        <is>
          <t>Nej</t>
        </is>
      </c>
      <c r="Y188" t="inlineStr">
        <is>
          <t>Ja</t>
        </is>
      </c>
      <c r="Z188" t="inlineStr">
        <is>
          <t>Ja</t>
        </is>
      </c>
      <c r="AA188" t="n">
        <v>8</v>
      </c>
      <c r="AB188" t="inlineStr">
        <is>
          <t>Riskhantering</t>
        </is>
      </c>
      <c r="AC188" t="inlineStr">
        <is>
          <t>Risk-PM</t>
        </is>
      </c>
      <c r="AD188" t="inlineStr">
        <is>
          <t>Nej</t>
        </is>
      </c>
      <c r="AE188" t="inlineStr">
        <is>
          <t>Nej</t>
        </is>
      </c>
      <c r="AF188" t="inlineStr">
        <is>
          <t>Ej behandlad</t>
        </is>
      </c>
      <c r="AG188" t="inlineStr">
        <is>
          <t>AUTO_GENERERAD. Verifiera citat mot kallfil.</t>
        </is>
      </c>
      <c r="AH188" t="inlineStr">
        <is>
          <t>MEDIUM</t>
        </is>
      </c>
      <c r="AI188" t="inlineStr">
        <is>
          <t>AUTO</t>
        </is>
      </c>
      <c r="AJ188" t="inlineStr">
        <is>
          <t>Nej</t>
        </is>
      </c>
      <c r="AK188" t="inlineStr"/>
      <c r="AL188" t="inlineStr"/>
      <c r="AM188" t="inlineStr"/>
      <c r="AN188" t="inlineStr"/>
      <c r="AO188" t="inlineStr">
        <is>
          <t>cmm4yupu002yzcuqw92mpgtbw</t>
        </is>
      </c>
      <c r="AP188" t="inlineStr">
        <is>
          <t>http://localhost:8787/api/admin/requirements/documents/cmm4yupu002yzcuqw92mpgtbw/view</t>
        </is>
      </c>
      <c r="AQ188">
        <f>HYPERLÄNK("http://localhost:8787/api/admin/requirements/documents/cmm4yupu002yzcuqw92mpgtbw/view";"Öppna PDF")</f>
        <v/>
      </c>
      <c r="AR188">
        <f>HYPERLINK("http://localhost:8787/api/admin/requirements/documents/cmm4yupu002yzcuqw92mpgtbw/view","Open PDF")</f>
        <v/>
      </c>
      <c r="AS188" t="inlineStr">
        <is>
          <t>cmm55w57p0004cuisfrtpqly8</t>
        </is>
      </c>
      <c r="AT188" t="inlineStr">
        <is>
          <t>cmm4xvu980000cuh4vj0usz09</t>
        </is>
      </c>
      <c r="AU188" t="inlineStr"/>
      <c r="AV188" t="inlineStr">
        <is>
          <t>Kommun</t>
        </is>
      </c>
      <c r="AW188" t="inlineStr"/>
      <c r="AX188" t="inlineStr">
        <is>
          <t>2024-576</t>
        </is>
      </c>
      <c r="AY188" t="inlineStr">
        <is>
          <t>Beslut</t>
        </is>
      </c>
      <c r="AZ188" t="inlineStr">
        <is>
          <t>2026-02-04</t>
        </is>
      </c>
      <c r="BA188" t="inlineStr">
        <is>
          <t>Säkerhetsdatablad Sonax Gloss Dryer.pdf</t>
        </is>
      </c>
      <c r="BB188" t="inlineStr">
        <is>
          <t>2024-576</t>
        </is>
      </c>
      <c r="BC188" t="inlineStr">
        <is>
          <t>AUTO</t>
        </is>
      </c>
      <c r="BD188" t="inlineStr"/>
      <c r="BE188" t="inlineStr"/>
      <c r="BF188" t="inlineStr">
        <is>
          <t>AUTO_GENERERAD. Bekrafta metadata mot kallfil.</t>
        </is>
      </c>
      <c r="BG188">
        <f>HYPERLINK("C:\Users\jimmy\Desktop\Examens arbete\Kod\Ny mapp\remix_-copy-of-miljöbeslut.se-portal\Säkerhetsdatablad Sonax Gloss Dryer.pdf", "Öppna PDF")</f>
        <v/>
      </c>
    </row>
    <row r="189">
      <c r="A189" t="inlineStr">
        <is>
          <t>KRAV-AUTO-000188</t>
        </is>
      </c>
      <c r="B189" t="inlineStr">
        <is>
          <t>ADMIN-INDEX-2026-02-27-00000000125C043F57453246863FE664CAFE6A3F0700950291EA24F0614FB6ACEDB12BF0E31D00000000010C0000950291EA24F0614FB6ACEDB12BF0E31D00002087A5B20000</t>
        </is>
      </c>
      <c r="C189" t="inlineStr">
        <is>
          <t>cmm4yur3i045ncuqwdc30ai1k</t>
        </is>
      </c>
      <c r="D189" t="inlineStr">
        <is>
          <t>http://localhost:8787/api/admin/requirements/documents/cmm4yur3i045ncuqwdc30ai1k/view</t>
        </is>
      </c>
      <c r="E189">
        <f>HYPERLÄNK("http://localhost:8787/api/admin/requirements/documents/cmm4yur3i045ncuqwdc30ai1k/view";"Öppna PDF")</f>
        <v/>
      </c>
      <c r="F189">
        <f>HYPERLINK("http://localhost:8787/api/admin/requirements/documents/cmm4yur3i045ncuqwdc30ai1k/view","Open PDF")</f>
        <v/>
      </c>
      <c r="G189" t="inlineStr">
        <is>
          <t>cmm55w57p0004cuisfrtpqly8</t>
        </is>
      </c>
      <c r="H189" t="inlineStr">
        <is>
          <t>Informationskrav</t>
        </is>
      </c>
      <c r="I189" t="inlineStr">
        <is>
          <t>DriftEgenkontroll</t>
        </is>
      </c>
      <c r="J189" t="inlineStr">
        <is>
          <t>Journalforing</t>
        </is>
      </c>
      <c r="K189" t="inlineStr">
        <is>
          <t>När det gäller anläggningsjord för försäljning så ska rutinen vara att en provtagning genomförs per 1000 ton.</t>
        </is>
      </c>
      <c r="L189" t="inlineStr">
        <is>
          <t>När det gäller anläggningsjord för försäljning så ska rutinen vara att en provtagning genomförs per 1000 ton.</t>
        </is>
      </c>
      <c r="M189" t="inlineStr">
        <is>
          <t>SKA</t>
        </is>
      </c>
      <c r="N189" t="inlineStr"/>
      <c r="O189" t="inlineStr"/>
      <c r="P189" t="inlineStr"/>
      <c r="Q189" t="inlineStr"/>
      <c r="R189" t="inlineStr">
        <is>
          <t>Lopande drift</t>
        </is>
      </c>
      <c r="S189" t="inlineStr"/>
      <c r="T189" t="inlineStr">
        <is>
          <t>611123</t>
        </is>
      </c>
      <c r="U189" t="n">
        <v>1000</v>
      </c>
      <c r="V189" t="inlineStr"/>
      <c r="W189" t="inlineStr">
        <is>
          <t>Nej</t>
        </is>
      </c>
      <c r="X189" t="inlineStr">
        <is>
          <t>Nej</t>
        </is>
      </c>
      <c r="Y189" t="inlineStr">
        <is>
          <t>Ja</t>
        </is>
      </c>
      <c r="Z189" t="inlineStr">
        <is>
          <t>Nej</t>
        </is>
      </c>
      <c r="AA189" t="n">
        <v>7</v>
      </c>
      <c r="AB189" t="inlineStr">
        <is>
          <t>Egenkontrollrutiner</t>
        </is>
      </c>
      <c r="AC189" t="inlineStr">
        <is>
          <t>Egenkontrollprogram</t>
        </is>
      </c>
      <c r="AD189" t="inlineStr">
        <is>
          <t>Nej</t>
        </is>
      </c>
      <c r="AE189" t="inlineStr">
        <is>
          <t>Nej</t>
        </is>
      </c>
      <c r="AF189" t="inlineStr">
        <is>
          <t>Ej behandlad</t>
        </is>
      </c>
      <c r="AG189" t="inlineStr">
        <is>
          <t>AUTO_GENERERAD. Verifiera citat mot kallfil.</t>
        </is>
      </c>
      <c r="AH189" t="inlineStr">
        <is>
          <t>MEDIUM</t>
        </is>
      </c>
      <c r="AI189" t="inlineStr">
        <is>
          <t>AUTO</t>
        </is>
      </c>
      <c r="AJ189" t="inlineStr">
        <is>
          <t>Nej</t>
        </is>
      </c>
      <c r="AK189" t="inlineStr"/>
      <c r="AL189" t="inlineStr"/>
      <c r="AM189" t="inlineStr"/>
      <c r="AN189" t="inlineStr"/>
      <c r="AO189" t="inlineStr">
        <is>
          <t>cmm4yur3i045ncuqwdc30ai1k</t>
        </is>
      </c>
      <c r="AP189" t="inlineStr">
        <is>
          <t>http://localhost:8787/api/admin/requirements/documents/cmm4yur3i045ncuqwdc30ai1k/view</t>
        </is>
      </c>
      <c r="AQ189">
        <f>HYPERLÄNK("http://localhost:8787/api/admin/requirements/documents/cmm4yur3i045ncuqwdc30ai1k/view";"Öppna PDF")</f>
        <v/>
      </c>
      <c r="AR189">
        <f>HYPERLINK("http://localhost:8787/api/admin/requirements/documents/cmm4yur3i045ncuqwdc30ai1k/view","Open PDF")</f>
        <v/>
      </c>
      <c r="AS189" t="inlineStr">
        <is>
          <t>cmm55w57p0004cuisfrtpqly8</t>
        </is>
      </c>
      <c r="AT189" t="inlineStr">
        <is>
          <t>cmm4xvu980000cuh4vj0usz09</t>
        </is>
      </c>
      <c r="AU189" t="inlineStr"/>
      <c r="AV189" t="inlineStr">
        <is>
          <t>Kommun</t>
        </is>
      </c>
      <c r="AW189" t="inlineStr"/>
      <c r="AX189" t="inlineStr">
        <is>
          <t>2025-04</t>
        </is>
      </c>
      <c r="AY189" t="inlineStr">
        <is>
          <t>Anmalan</t>
        </is>
      </c>
      <c r="AZ189" t="inlineStr">
        <is>
          <t>2026-02-06</t>
        </is>
      </c>
      <c r="BA189" t="inlineStr">
        <is>
          <t>Beslut - svar på anmälan.pdf</t>
        </is>
      </c>
      <c r="BB189" t="inlineStr">
        <is>
          <t>Sv: till registrator</t>
        </is>
      </c>
      <c r="BC189" t="inlineStr">
        <is>
          <t>AUTO</t>
        </is>
      </c>
      <c r="BD189" t="inlineStr"/>
      <c r="BE189" t="inlineStr"/>
      <c r="BF189" t="inlineStr">
        <is>
          <t>AUTO_GENERERAD. Bekrafta metadata mot kallfil.</t>
        </is>
      </c>
      <c r="BG189">
        <f>HYPERLINK("C:\Users\jimmy\Desktop\Examens arbete\Kod\Ny mapp\remix_-copy-of-miljöbeslut.se-portal\Beslut - svar på anmälan.pdf", "Öppna PDF")</f>
        <v/>
      </c>
    </row>
    <row r="190">
      <c r="A190" t="inlineStr">
        <is>
          <t>KRAV-AUTO-000189</t>
        </is>
      </c>
      <c r="B190" t="inlineStr">
        <is>
          <t>ADMIN-INDEX-2026-02-27-00000000125C043F57453246863FE664CAFE6A3F0700950291EA24F0614FB6ACEDB12BF0E31D00000000010C0000950291EA24F0614FB6ACEDB12BF0E31D00002087A5B20000</t>
        </is>
      </c>
      <c r="C190" t="inlineStr">
        <is>
          <t>cmm4yur3i045ncuqwdc30ai1k</t>
        </is>
      </c>
      <c r="D190" t="inlineStr">
        <is>
          <t>http://localhost:8787/api/admin/requirements/documents/cmm4yur3i045ncuqwdc30ai1k/view</t>
        </is>
      </c>
      <c r="E190">
        <f>HYPERLÄNK("http://localhost:8787/api/admin/requirements/documents/cmm4yur3i045ncuqwdc30ai1k/view";"Öppna PDF")</f>
        <v/>
      </c>
      <c r="F190">
        <f>HYPERLINK("http://localhost:8787/api/admin/requirements/documents/cmm4yur3i045ncuqwdc30ai1k/view","Open PDF")</f>
        <v/>
      </c>
      <c r="G190" t="inlineStr">
        <is>
          <t>cmm55w57p0004cuisfrtpqly8</t>
        </is>
      </c>
      <c r="H190" t="inlineStr">
        <is>
          <t>Informationskrav</t>
        </is>
      </c>
      <c r="I190" t="inlineStr">
        <is>
          <t>DriftEgenkontroll</t>
        </is>
      </c>
      <c r="J190" t="inlineStr">
        <is>
          <t>Journalforing</t>
        </is>
      </c>
      <c r="K190" t="inlineStr">
        <is>
          <t>Information om genomförd provtagning av de 10 000 ton som lagras inom fastigheten sedan tidigare verksamhet och som ska bearbetas, ska inkomma till miljöenheten senast 2025-05-12.</t>
        </is>
      </c>
      <c r="L190" t="inlineStr">
        <is>
          <t>Information om genomförd provtagning av de 10 000 ton som lagras inom fastigheten sedan tidigare verksamhet och som ska bearbetas, ska inkomma till miljöenheten senast 2025-05-12.</t>
        </is>
      </c>
      <c r="M190" t="inlineStr">
        <is>
          <t>SKA</t>
        </is>
      </c>
      <c r="N190" t="inlineStr"/>
      <c r="O190" t="inlineStr">
        <is>
          <t>2025-05-12</t>
        </is>
      </c>
      <c r="P190" t="inlineStr"/>
      <c r="Q190" t="inlineStr"/>
      <c r="R190" t="inlineStr">
        <is>
          <t>Lopande drift</t>
        </is>
      </c>
      <c r="S190" t="inlineStr"/>
      <c r="T190" t="inlineStr">
        <is>
          <t>611123</t>
        </is>
      </c>
      <c r="U190" t="n">
        <v>0</v>
      </c>
      <c r="V190" t="inlineStr"/>
      <c r="W190" t="inlineStr">
        <is>
          <t>Nej</t>
        </is>
      </c>
      <c r="X190" t="inlineStr">
        <is>
          <t>Nej</t>
        </is>
      </c>
      <c r="Y190" t="inlineStr">
        <is>
          <t>Ja</t>
        </is>
      </c>
      <c r="Z190" t="inlineStr">
        <is>
          <t>Nej</t>
        </is>
      </c>
      <c r="AA190" t="n">
        <v>7</v>
      </c>
      <c r="AB190" t="inlineStr">
        <is>
          <t>Egenkontrollrutiner</t>
        </is>
      </c>
      <c r="AC190" t="inlineStr">
        <is>
          <t>Egenkontrollprogram</t>
        </is>
      </c>
      <c r="AD190" t="inlineStr">
        <is>
          <t>Nej</t>
        </is>
      </c>
      <c r="AE190" t="inlineStr">
        <is>
          <t>Nej</t>
        </is>
      </c>
      <c r="AF190" t="inlineStr">
        <is>
          <t>Ej behandlad</t>
        </is>
      </c>
      <c r="AG190" t="inlineStr">
        <is>
          <t>AUTO_GENERERAD. Verifiera citat mot kallfil.</t>
        </is>
      </c>
      <c r="AH190" t="inlineStr">
        <is>
          <t>MEDIUM</t>
        </is>
      </c>
      <c r="AI190" t="inlineStr">
        <is>
          <t>AUTO</t>
        </is>
      </c>
      <c r="AJ190" t="inlineStr">
        <is>
          <t>Nej</t>
        </is>
      </c>
      <c r="AK190" t="inlineStr"/>
      <c r="AL190" t="inlineStr"/>
      <c r="AM190" t="inlineStr"/>
      <c r="AN190" t="inlineStr"/>
      <c r="AO190" t="inlineStr">
        <is>
          <t>cmm4yur3i045ncuqwdc30ai1k</t>
        </is>
      </c>
      <c r="AP190" t="inlineStr">
        <is>
          <t>http://localhost:8787/api/admin/requirements/documents/cmm4yur3i045ncuqwdc30ai1k/view</t>
        </is>
      </c>
      <c r="AQ190">
        <f>HYPERLÄNK("http://localhost:8787/api/admin/requirements/documents/cmm4yur3i045ncuqwdc30ai1k/view";"Öppna PDF")</f>
        <v/>
      </c>
      <c r="AR190">
        <f>HYPERLINK("http://localhost:8787/api/admin/requirements/documents/cmm4yur3i045ncuqwdc30ai1k/view","Open PDF")</f>
        <v/>
      </c>
      <c r="AS190" t="inlineStr">
        <is>
          <t>cmm55w57p0004cuisfrtpqly8</t>
        </is>
      </c>
      <c r="AT190" t="inlineStr">
        <is>
          <t>cmm4xvu980000cuh4vj0usz09</t>
        </is>
      </c>
      <c r="AU190" t="inlineStr"/>
      <c r="AV190" t="inlineStr">
        <is>
          <t>Kommun</t>
        </is>
      </c>
      <c r="AW190" t="inlineStr"/>
      <c r="AX190" t="inlineStr">
        <is>
          <t>2025-04</t>
        </is>
      </c>
      <c r="AY190" t="inlineStr">
        <is>
          <t>Anmalan</t>
        </is>
      </c>
      <c r="AZ190" t="inlineStr">
        <is>
          <t>2026-02-06</t>
        </is>
      </c>
      <c r="BA190" t="inlineStr">
        <is>
          <t>Beslut - svar på anmälan.pdf</t>
        </is>
      </c>
      <c r="BB190" t="inlineStr">
        <is>
          <t>Sv: till registrator</t>
        </is>
      </c>
      <c r="BC190" t="inlineStr">
        <is>
          <t>AUTO</t>
        </is>
      </c>
      <c r="BD190" t="inlineStr"/>
      <c r="BE190" t="inlineStr"/>
      <c r="BF190" t="inlineStr">
        <is>
          <t>AUTO_GENERERAD. Bekrafta metadata mot kallfil.</t>
        </is>
      </c>
      <c r="BG190">
        <f>HYPERLINK("C:\Users\jimmy\Desktop\Examens arbete\Kod\Ny mapp\remix_-copy-of-miljöbeslut.se-portal\Beslut - svar på anmälan.pdf", "Öppna PDF")</f>
        <v/>
      </c>
    </row>
    <row r="191">
      <c r="A191" t="inlineStr">
        <is>
          <t>KRAV-AUTO-000190</t>
        </is>
      </c>
      <c r="B191" t="inlineStr">
        <is>
          <t>ADMIN-INDEX-2026-02-27-00000000125C043F57453246863FE664CAFE6A3F0700950291EA24F0614FB6ACEDB12BF0E31D00000000010C0000950291EA24F0614FB6ACEDB12BF0E31D00002087A5B20000</t>
        </is>
      </c>
      <c r="C191" t="inlineStr">
        <is>
          <t>cmm4yur3i045ncuqwdc30ai1k</t>
        </is>
      </c>
      <c r="D191" t="inlineStr">
        <is>
          <t>http://localhost:8787/api/admin/requirements/documents/cmm4yur3i045ncuqwdc30ai1k/view</t>
        </is>
      </c>
      <c r="E191">
        <f>HYPERLÄNK("http://localhost:8787/api/admin/requirements/documents/cmm4yur3i045ncuqwdc30ai1k/view";"Öppna PDF")</f>
        <v/>
      </c>
      <c r="F191">
        <f>HYPERLINK("http://localhost:8787/api/admin/requirements/documents/cmm4yur3i045ncuqwdc30ai1k/view","Open PDF")</f>
        <v/>
      </c>
      <c r="G191" t="inlineStr">
        <is>
          <t>cmm55w57p0004cuisfrtpqly8</t>
        </is>
      </c>
      <c r="H191" t="inlineStr">
        <is>
          <t>Informationskrav</t>
        </is>
      </c>
      <c r="I191" t="inlineStr">
        <is>
          <t>DriftEgenkontroll</t>
        </is>
      </c>
      <c r="J191" t="inlineStr">
        <is>
          <t>Journalforing</t>
        </is>
      </c>
      <c r="K191" t="inlineStr">
        <is>
          <t>För de 10 000 ton som lagras inom fastigheten sedan tidigare verksamhet och som ska bearbetas enligt anmälan, har miljöenheten därför tidigare ställt krav på provtagning i efterhand.</t>
        </is>
      </c>
      <c r="L191" t="inlineStr">
        <is>
          <t>För de 10 000 ton som lagras inom fastigheten sedan tidigare verksamhet och som ska bearbetas enligt anmälan, har miljöenheten därför tidigare ställt krav på provtagning i efterhand.</t>
        </is>
      </c>
      <c r="M191" t="inlineStr">
        <is>
          <t>SKA</t>
        </is>
      </c>
      <c r="N191" t="inlineStr"/>
      <c r="O191" t="inlineStr"/>
      <c r="P191" t="inlineStr"/>
      <c r="Q191" t="inlineStr"/>
      <c r="R191" t="inlineStr">
        <is>
          <t>Lopande drift</t>
        </is>
      </c>
      <c r="S191" t="inlineStr"/>
      <c r="T191" t="inlineStr">
        <is>
          <t>611123</t>
        </is>
      </c>
      <c r="U191" t="n">
        <v>0</v>
      </c>
      <c r="V191" t="inlineStr"/>
      <c r="W191" t="inlineStr">
        <is>
          <t>Nej</t>
        </is>
      </c>
      <c r="X191" t="inlineStr">
        <is>
          <t>Nej</t>
        </is>
      </c>
      <c r="Y191" t="inlineStr">
        <is>
          <t>Ja</t>
        </is>
      </c>
      <c r="Z191" t="inlineStr">
        <is>
          <t>Nej</t>
        </is>
      </c>
      <c r="AA191" t="n">
        <v>7</v>
      </c>
      <c r="AB191" t="inlineStr">
        <is>
          <t>Egenkontrollrutiner</t>
        </is>
      </c>
      <c r="AC191" t="inlineStr">
        <is>
          <t>Egenkontrollprogram</t>
        </is>
      </c>
      <c r="AD191" t="inlineStr">
        <is>
          <t>Nej</t>
        </is>
      </c>
      <c r="AE191" t="inlineStr">
        <is>
          <t>Nej</t>
        </is>
      </c>
      <c r="AF191" t="inlineStr">
        <is>
          <t>Ej behandlad</t>
        </is>
      </c>
      <c r="AG191" t="inlineStr">
        <is>
          <t>AUTO_GENERERAD. Verifiera citat mot kallfil.</t>
        </is>
      </c>
      <c r="AH191" t="inlineStr">
        <is>
          <t>MEDIUM</t>
        </is>
      </c>
      <c r="AI191" t="inlineStr">
        <is>
          <t>AUTO</t>
        </is>
      </c>
      <c r="AJ191" t="inlineStr">
        <is>
          <t>Nej</t>
        </is>
      </c>
      <c r="AK191" t="inlineStr"/>
      <c r="AL191" t="inlineStr"/>
      <c r="AM191" t="inlineStr"/>
      <c r="AN191" t="inlineStr"/>
      <c r="AO191" t="inlineStr">
        <is>
          <t>cmm4yur3i045ncuqwdc30ai1k</t>
        </is>
      </c>
      <c r="AP191" t="inlineStr">
        <is>
          <t>http://localhost:8787/api/admin/requirements/documents/cmm4yur3i045ncuqwdc30ai1k/view</t>
        </is>
      </c>
      <c r="AQ191">
        <f>HYPERLÄNK("http://localhost:8787/api/admin/requirements/documents/cmm4yur3i045ncuqwdc30ai1k/view";"Öppna PDF")</f>
        <v/>
      </c>
      <c r="AR191">
        <f>HYPERLINK("http://localhost:8787/api/admin/requirements/documents/cmm4yur3i045ncuqwdc30ai1k/view","Open PDF")</f>
        <v/>
      </c>
      <c r="AS191" t="inlineStr">
        <is>
          <t>cmm55w57p0004cuisfrtpqly8</t>
        </is>
      </c>
      <c r="AT191" t="inlineStr">
        <is>
          <t>cmm4xvu980000cuh4vj0usz09</t>
        </is>
      </c>
      <c r="AU191" t="inlineStr"/>
      <c r="AV191" t="inlineStr">
        <is>
          <t>Kommun</t>
        </is>
      </c>
      <c r="AW191" t="inlineStr"/>
      <c r="AX191" t="inlineStr">
        <is>
          <t>2025-04</t>
        </is>
      </c>
      <c r="AY191" t="inlineStr">
        <is>
          <t>Anmalan</t>
        </is>
      </c>
      <c r="AZ191" t="inlineStr">
        <is>
          <t>2026-02-06</t>
        </is>
      </c>
      <c r="BA191" t="inlineStr">
        <is>
          <t>Beslut - svar på anmälan.pdf</t>
        </is>
      </c>
      <c r="BB191" t="inlineStr">
        <is>
          <t>Sv: till registrator</t>
        </is>
      </c>
      <c r="BC191" t="inlineStr">
        <is>
          <t>AUTO</t>
        </is>
      </c>
      <c r="BD191" t="inlineStr"/>
      <c r="BE191" t="inlineStr"/>
      <c r="BF191" t="inlineStr">
        <is>
          <t>AUTO_GENERERAD. Bekrafta metadata mot kallfil.</t>
        </is>
      </c>
      <c r="BG191">
        <f>HYPERLINK("C:\Users\jimmy\Desktop\Examens arbete\Kod\Ny mapp\remix_-copy-of-miljöbeslut.se-portal\Beslut - svar på anmälan.pdf", "Öppna PDF")</f>
        <v/>
      </c>
    </row>
    <row r="192">
      <c r="A192" t="inlineStr">
        <is>
          <t>KRAV-AUTO-000191</t>
        </is>
      </c>
      <c r="B192" t="inlineStr">
        <is>
          <t>ADMIN-INDEX-2026-02-27-00000000125C043F57453246863FE664CAFE6A3F0700950291EA24F0614FB6ACEDB12BF0E31D00000000010C0000950291EA24F0614FB6ACEDB12BF0E31D00002087A5B20000</t>
        </is>
      </c>
      <c r="C192" t="inlineStr">
        <is>
          <t>cmm4yur2x0455cuqw3saqr9dp</t>
        </is>
      </c>
      <c r="D192" t="inlineStr">
        <is>
          <t>http://localhost:8787/api/admin/requirements/documents/cmm4yur2x0455cuqw3saqr9dp/view</t>
        </is>
      </c>
      <c r="E192">
        <f>HYPERLÄNK("http://localhost:8787/api/admin/requirements/documents/cmm4yur2x0455cuqw3saqr9dp/view";"Öppna PDF")</f>
        <v/>
      </c>
      <c r="F192">
        <f>HYPERLINK("http://localhost:8787/api/admin/requirements/documents/cmm4yur2x0455cuqw3saqr9dp/view","Open PDF")</f>
        <v/>
      </c>
      <c r="G192" t="inlineStr">
        <is>
          <t>cmm55w57p0004cuisfrtpqly8</t>
        </is>
      </c>
      <c r="H192" t="inlineStr">
        <is>
          <t>Informationskrav</t>
        </is>
      </c>
      <c r="I192" t="inlineStr">
        <is>
          <t>DriftEgenkontroll</t>
        </is>
      </c>
      <c r="J192" t="inlineStr">
        <is>
          <t>Journalforing</t>
        </is>
      </c>
      <c r="K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leverantörens bekostnad.</t>
        </is>
      </c>
      <c r="L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t>
        </is>
      </c>
      <c r="M192" t="inlineStr">
        <is>
          <t>SKA</t>
        </is>
      </c>
      <c r="N192" t="inlineStr"/>
      <c r="O192" t="inlineStr"/>
      <c r="P192" t="inlineStr"/>
      <c r="Q192" t="inlineStr"/>
      <c r="R192" t="inlineStr">
        <is>
          <t>Lopande drift</t>
        </is>
      </c>
      <c r="S192" t="inlineStr"/>
      <c r="T192" t="inlineStr">
        <is>
          <t>611123</t>
        </is>
      </c>
      <c r="U192" t="inlineStr"/>
      <c r="V192" t="inlineStr"/>
      <c r="W192" t="inlineStr">
        <is>
          <t>Nej</t>
        </is>
      </c>
      <c r="X192" t="inlineStr">
        <is>
          <t>Nej</t>
        </is>
      </c>
      <c r="Y192" t="inlineStr">
        <is>
          <t>Ja</t>
        </is>
      </c>
      <c r="Z192" t="inlineStr">
        <is>
          <t>Nej</t>
        </is>
      </c>
      <c r="AA192" t="n">
        <v>7</v>
      </c>
      <c r="AB192" t="inlineStr">
        <is>
          <t>Egenkontrollrutiner</t>
        </is>
      </c>
      <c r="AC192" t="inlineStr">
        <is>
          <t>Egenkontrollprogram</t>
        </is>
      </c>
      <c r="AD192" t="inlineStr">
        <is>
          <t>Nej</t>
        </is>
      </c>
      <c r="AE192" t="inlineStr">
        <is>
          <t>Nej</t>
        </is>
      </c>
      <c r="AF192" t="inlineStr">
        <is>
          <t>Ej behandlad</t>
        </is>
      </c>
      <c r="AG192" t="inlineStr">
        <is>
          <t>AUTO_GENERERAD. Verifiera citat mot kallfil.</t>
        </is>
      </c>
      <c r="AH192" t="inlineStr">
        <is>
          <t>MEDIUM</t>
        </is>
      </c>
      <c r="AI192" t="inlineStr">
        <is>
          <t>AUTO</t>
        </is>
      </c>
      <c r="AJ192" t="inlineStr">
        <is>
          <t>Nej</t>
        </is>
      </c>
      <c r="AK192" t="inlineStr"/>
      <c r="AL192" t="inlineStr"/>
      <c r="AM192" t="inlineStr"/>
      <c r="AN192" t="inlineStr"/>
      <c r="AO192" t="inlineStr">
        <is>
          <t>cmm4yur3i045ncuqwdc30ai1k</t>
        </is>
      </c>
      <c r="AP192" t="inlineStr">
        <is>
          <t>http://localhost:8787/api/admin/requirements/documents/cmm4yur3i045ncuqwdc30ai1k/view</t>
        </is>
      </c>
      <c r="AQ192">
        <f>HYPERLÄNK("http://localhost:8787/api/admin/requirements/documents/cmm4yur3i045ncuqwdc30ai1k/view";"Öppna PDF")</f>
        <v/>
      </c>
      <c r="AR192">
        <f>HYPERLINK("http://localhost:8787/api/admin/requirements/documents/cmm4yur3i045ncuqwdc30ai1k/view","Open PDF")</f>
        <v/>
      </c>
      <c r="AS192" t="inlineStr">
        <is>
          <t>cmm55w57p0004cuisfrtpqly8</t>
        </is>
      </c>
      <c r="AT192" t="inlineStr">
        <is>
          <t>cmm4xvu980000cuh4vj0usz09</t>
        </is>
      </c>
      <c r="AU192" t="inlineStr"/>
      <c r="AV192" t="inlineStr">
        <is>
          <t>Kommun</t>
        </is>
      </c>
      <c r="AW192" t="inlineStr"/>
      <c r="AX192" t="inlineStr">
        <is>
          <t>2025-04</t>
        </is>
      </c>
      <c r="AY192" t="inlineStr">
        <is>
          <t>Anmalan</t>
        </is>
      </c>
      <c r="AZ192" t="inlineStr">
        <is>
          <t>2026-02-06</t>
        </is>
      </c>
      <c r="BA192" t="inlineStr">
        <is>
          <t>Beslut - svar på anmälan.pdf</t>
        </is>
      </c>
      <c r="BB192" t="inlineStr">
        <is>
          <t>Sv: till registrator</t>
        </is>
      </c>
      <c r="BC192" t="inlineStr">
        <is>
          <t>AUTO</t>
        </is>
      </c>
      <c r="BD192" t="inlineStr"/>
      <c r="BE192" t="inlineStr"/>
      <c r="BF192" t="inlineStr">
        <is>
          <t>AUTO_GENERERAD. Bekrafta metadata mot kallfil.</t>
        </is>
      </c>
      <c r="BG192">
        <f>HYPERLINK("C:\Users\jimmy\Desktop\Examens arbete\Kod\Ny mapp\remix_-copy-of-miljöbeslut.se-portal\Beslut - svar på anmälan.pdf", "Öppna PDF")</f>
        <v/>
      </c>
    </row>
    <row r="193">
      <c r="A193" t="inlineStr">
        <is>
          <t>KRAV-AUTO-000192</t>
        </is>
      </c>
      <c r="B193" t="inlineStr">
        <is>
          <t>ADMIN-INDEX-2026-02-27-00000000125C043F57453246863FE664CAFE6A3F0700950291EA24F0614FB6ACEDB12BF0E31D00000000010C0000950291EA24F0614FB6ACEDB12BF0E31D00002087A5B20000</t>
        </is>
      </c>
      <c r="C193" t="inlineStr">
        <is>
          <t>cmm4yur2x0455cuqw3saqr9dp</t>
        </is>
      </c>
      <c r="D193" t="inlineStr">
        <is>
          <t>http://localhost:8787/api/admin/requirements/documents/cmm4yur2x0455cuqw3saqr9dp/view</t>
        </is>
      </c>
      <c r="E193">
        <f>HYPERLÄNK("http://localhost:8787/api/admin/requirements/documents/cmm4yur2x0455cuqw3saqr9dp/view";"Öppna PDF")</f>
        <v/>
      </c>
      <c r="F193">
        <f>HYPERLINK("http://localhost:8787/api/admin/requirements/documents/cmm4yur2x0455cuqw3saqr9dp/view","Open PDF")</f>
        <v/>
      </c>
      <c r="G193" t="inlineStr">
        <is>
          <t>cmm55w57p0004cuisfrtpqly8</t>
        </is>
      </c>
      <c r="H193" t="inlineStr">
        <is>
          <t>Informationskrav</t>
        </is>
      </c>
      <c r="I193" t="inlineStr">
        <is>
          <t>DriftEgenkontroll</t>
        </is>
      </c>
      <c r="J193" t="inlineStr">
        <is>
          <t>Journalforing</t>
        </is>
      </c>
      <c r="K193" t="inlineStr">
        <is>
          <t>Vid försäljning och leverans av anläggningsjord samt återvunnet flismaterial skall minst en provtagning utföras per 1 000 ton för att säkerställa att material är inom miljöklassning MK.</t>
        </is>
      </c>
      <c r="L193" t="inlineStr">
        <is>
          <t>Vid försäljning och leverans av anläggningsjord samt återvunnet flismaterial skall minst en provtagning utföras per 1 000 ton för att säkerställa att material är inom miljöklassning MK.</t>
        </is>
      </c>
      <c r="M193" t="inlineStr">
        <is>
          <t>SKA</t>
        </is>
      </c>
      <c r="N193" t="inlineStr"/>
      <c r="O193" t="inlineStr"/>
      <c r="P193" t="inlineStr"/>
      <c r="Q193" t="inlineStr"/>
      <c r="R193" t="inlineStr">
        <is>
          <t>Lopande drift</t>
        </is>
      </c>
      <c r="S193" t="inlineStr"/>
      <c r="T193" t="inlineStr">
        <is>
          <t>611123</t>
        </is>
      </c>
      <c r="U193" t="n">
        <v>0</v>
      </c>
      <c r="V193" t="inlineStr"/>
      <c r="W193" t="inlineStr">
        <is>
          <t>Nej</t>
        </is>
      </c>
      <c r="X193" t="inlineStr">
        <is>
          <t>Nej</t>
        </is>
      </c>
      <c r="Y193" t="inlineStr">
        <is>
          <t>Ja</t>
        </is>
      </c>
      <c r="Z193" t="inlineStr">
        <is>
          <t>Nej</t>
        </is>
      </c>
      <c r="AA193" t="n">
        <v>7</v>
      </c>
      <c r="AB193" t="inlineStr">
        <is>
          <t>Egenkontrollrutiner</t>
        </is>
      </c>
      <c r="AC193" t="inlineStr">
        <is>
          <t>Egenkontrollprogram</t>
        </is>
      </c>
      <c r="AD193" t="inlineStr">
        <is>
          <t>Nej</t>
        </is>
      </c>
      <c r="AE193" t="inlineStr">
        <is>
          <t>Nej</t>
        </is>
      </c>
      <c r="AF193" t="inlineStr">
        <is>
          <t>Ej behandlad</t>
        </is>
      </c>
      <c r="AG193" t="inlineStr">
        <is>
          <t>AUTO_GENERERAD. Verifiera citat mot kallfil.</t>
        </is>
      </c>
      <c r="AH193" t="inlineStr">
        <is>
          <t>MEDIUM</t>
        </is>
      </c>
      <c r="AI193" t="inlineStr">
        <is>
          <t>AUTO</t>
        </is>
      </c>
      <c r="AJ193" t="inlineStr">
        <is>
          <t>Nej</t>
        </is>
      </c>
      <c r="AK193" t="inlineStr"/>
      <c r="AL193" t="inlineStr"/>
      <c r="AM193" t="inlineStr"/>
      <c r="AN193" t="inlineStr"/>
      <c r="AO193" t="inlineStr">
        <is>
          <t>cmm4yur3i045ncuqwdc30ai1k</t>
        </is>
      </c>
      <c r="AP193" t="inlineStr">
        <is>
          <t>http://localhost:8787/api/admin/requirements/documents/cmm4yur3i045ncuqwdc30ai1k/view</t>
        </is>
      </c>
      <c r="AQ193">
        <f>HYPERLÄNK("http://localhost:8787/api/admin/requirements/documents/cmm4yur3i045ncuqwdc30ai1k/view";"Öppna PDF")</f>
        <v/>
      </c>
      <c r="AR193">
        <f>HYPERLINK("http://localhost:8787/api/admin/requirements/documents/cmm4yur3i045ncuqwdc30ai1k/view","Open PDF")</f>
        <v/>
      </c>
      <c r="AS193" t="inlineStr">
        <is>
          <t>cmm55w57p0004cuisfrtpqly8</t>
        </is>
      </c>
      <c r="AT193" t="inlineStr">
        <is>
          <t>cmm4xvu980000cuh4vj0usz09</t>
        </is>
      </c>
      <c r="AU193" t="inlineStr"/>
      <c r="AV193" t="inlineStr">
        <is>
          <t>Kommun</t>
        </is>
      </c>
      <c r="AW193" t="inlineStr"/>
      <c r="AX193" t="inlineStr">
        <is>
          <t>2025-04</t>
        </is>
      </c>
      <c r="AY193" t="inlineStr">
        <is>
          <t>Anmalan</t>
        </is>
      </c>
      <c r="AZ193" t="inlineStr">
        <is>
          <t>2026-02-06</t>
        </is>
      </c>
      <c r="BA193" t="inlineStr">
        <is>
          <t>Beslut - svar på anmälan.pdf</t>
        </is>
      </c>
      <c r="BB193" t="inlineStr">
        <is>
          <t>Sv: till registrator</t>
        </is>
      </c>
      <c r="BC193" t="inlineStr">
        <is>
          <t>AUTO</t>
        </is>
      </c>
      <c r="BD193" t="inlineStr"/>
      <c r="BE193" t="inlineStr"/>
      <c r="BF193" t="inlineStr">
        <is>
          <t>AUTO_GENERERAD. Bekrafta metadata mot kallfil.</t>
        </is>
      </c>
      <c r="BG193">
        <f>HYPERLINK("C:\Users\jimmy\Desktop\Examens arbete\Kod\Ny mapp\remix_-copy-of-miljöbeslut.se-portal\Beslut - svar på anmälan.pdf", "Öppna PDF")</f>
        <v/>
      </c>
    </row>
    <row r="194">
      <c r="A194" t="inlineStr">
        <is>
          <t>KRAV-AUTO-000193</t>
        </is>
      </c>
      <c r="B194" t="inlineStr">
        <is>
          <t>ADMIN-INDEX-2026-02-27-00000000125C043F57453246863FE664CAFE6A3F0700950291EA24F0614FB6ACEDB12BF0E31D00000000010C0000950291EA24F0614FB6ACEDB12BF0E31D00002087A5B20000</t>
        </is>
      </c>
      <c r="C194" t="inlineStr">
        <is>
          <t>cmm4yur2x0455cuqw3saqr9dp</t>
        </is>
      </c>
      <c r="D194" t="inlineStr">
        <is>
          <t>http://localhost:8787/api/admin/requirements/documents/cmm4yur2x0455cuqw3saqr9dp/view</t>
        </is>
      </c>
      <c r="E194">
        <f>HYPERLÄNK("http://localhost:8787/api/admin/requirements/documents/cmm4yur2x0455cuqw3saqr9dp/view";"Öppna PDF")</f>
        <v/>
      </c>
      <c r="F194">
        <f>HYPERLINK("http://localhost:8787/api/admin/requirements/documents/cmm4yur2x0455cuqw3saqr9dp/view","Open PDF")</f>
        <v/>
      </c>
      <c r="G194" t="inlineStr">
        <is>
          <t>cmm55w57p0004cuisfrtpqly8</t>
        </is>
      </c>
      <c r="H194" t="inlineStr">
        <is>
          <t>Informationskrav</t>
        </is>
      </c>
      <c r="I194" t="inlineStr">
        <is>
          <t>TransportLogistik</t>
        </is>
      </c>
      <c r="J194" t="inlineStr">
        <is>
          <t>Transportvagar</t>
        </is>
      </c>
      <c r="K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Översiktskarta Signatur Ort och datum Nol den 05 mars 2025 Namnteckning Namnförtydligande Sven Ingvar Johansson sid 2/2 Ale kommun SE-449 80 Alafors Organisationsnummer 212000-1439 Telefon 0303-70 30 00 E-post kommun@ale.se Webb www.ale.se Ankom: 2025-03-17 Ärende: MIL.2025.213 Handling: 1307026</t>
        </is>
      </c>
      <c r="L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t>
        </is>
      </c>
      <c r="M194" t="inlineStr">
        <is>
          <t>SKA</t>
        </is>
      </c>
      <c r="N194" t="inlineStr"/>
      <c r="O194" t="inlineStr">
        <is>
          <t>2025-03-17</t>
        </is>
      </c>
      <c r="P194" t="inlineStr"/>
      <c r="Q194" t="inlineStr"/>
      <c r="R194" t="inlineStr">
        <is>
          <t>Vid transporter</t>
        </is>
      </c>
      <c r="S194" t="inlineStr"/>
      <c r="T194" t="inlineStr">
        <is>
          <t>212000</t>
        </is>
      </c>
      <c r="U194" t="inlineStr"/>
      <c r="V194" t="inlineStr"/>
      <c r="W194" t="inlineStr">
        <is>
          <t>Nej</t>
        </is>
      </c>
      <c r="X194" t="inlineStr">
        <is>
          <t>Nej</t>
        </is>
      </c>
      <c r="Y194" t="inlineStr">
        <is>
          <t>Nej</t>
        </is>
      </c>
      <c r="Z194" t="inlineStr">
        <is>
          <t>Ja</t>
        </is>
      </c>
      <c r="AA194" t="n">
        <v>9</v>
      </c>
      <c r="AB194" t="inlineStr">
        <is>
          <t>Transporter och logistik</t>
        </is>
      </c>
      <c r="AC194" t="inlineStr">
        <is>
          <t>Trafikplan</t>
        </is>
      </c>
      <c r="AD194" t="inlineStr">
        <is>
          <t>Nej</t>
        </is>
      </c>
      <c r="AE194" t="inlineStr">
        <is>
          <t>Nej</t>
        </is>
      </c>
      <c r="AF194" t="inlineStr">
        <is>
          <t>Ej behandlad</t>
        </is>
      </c>
      <c r="AG194" t="inlineStr">
        <is>
          <t>AUTO_GENERERAD. Verifiera citat mot kallfil.</t>
        </is>
      </c>
      <c r="AH194" t="inlineStr">
        <is>
          <t>MEDIUM</t>
        </is>
      </c>
      <c r="AI194" t="inlineStr">
        <is>
          <t>AUTO</t>
        </is>
      </c>
      <c r="AJ194" t="inlineStr">
        <is>
          <t>Nej</t>
        </is>
      </c>
      <c r="AK194" t="inlineStr"/>
      <c r="AL194" t="inlineStr"/>
      <c r="AM194" t="inlineStr"/>
      <c r="AN194" t="inlineStr"/>
      <c r="AO194" t="inlineStr">
        <is>
          <t>cmm4yur3i045ncuqwdc30ai1k</t>
        </is>
      </c>
      <c r="AP194" t="inlineStr">
        <is>
          <t>http://localhost:8787/api/admin/requirements/documents/cmm4yur3i045ncuqwdc30ai1k/view</t>
        </is>
      </c>
      <c r="AQ194">
        <f>HYPERLÄNK("http://localhost:8787/api/admin/requirements/documents/cmm4yur3i045ncuqwdc30ai1k/view";"Öppna PDF")</f>
        <v/>
      </c>
      <c r="AR194">
        <f>HYPERLINK("http://localhost:8787/api/admin/requirements/documents/cmm4yur3i045ncuqwdc30ai1k/view","Open PDF")</f>
        <v/>
      </c>
      <c r="AS194" t="inlineStr">
        <is>
          <t>cmm55w57p0004cuisfrtpqly8</t>
        </is>
      </c>
      <c r="AT194" t="inlineStr">
        <is>
          <t>cmm4xvu980000cuh4vj0usz09</t>
        </is>
      </c>
      <c r="AU194" t="inlineStr"/>
      <c r="AV194" t="inlineStr">
        <is>
          <t>Kommun</t>
        </is>
      </c>
      <c r="AW194" t="inlineStr"/>
      <c r="AX194" t="inlineStr">
        <is>
          <t>2025-04</t>
        </is>
      </c>
      <c r="AY194" t="inlineStr">
        <is>
          <t>Anmalan</t>
        </is>
      </c>
      <c r="AZ194" t="inlineStr">
        <is>
          <t>2026-02-06</t>
        </is>
      </c>
      <c r="BA194" t="inlineStr">
        <is>
          <t>Beslut - svar på anmälan.pdf</t>
        </is>
      </c>
      <c r="BB194" t="inlineStr">
        <is>
          <t>Sv: till registrator</t>
        </is>
      </c>
      <c r="BC194" t="inlineStr">
        <is>
          <t>AUTO</t>
        </is>
      </c>
      <c r="BD194" t="inlineStr"/>
      <c r="BE194" t="inlineStr"/>
      <c r="BF194" t="inlineStr">
        <is>
          <t>AUTO_GENERERAD. Bekrafta metadata mot kallfil.</t>
        </is>
      </c>
      <c r="BG194">
        <f>HYPERLINK("C:\Users\jimmy\Desktop\Examens arbete\Kod\Ny mapp\remix_-copy-of-miljöbeslut.se-portal\Beslut - svar på anmälan.pdf", "Öppna PDF")</f>
        <v/>
      </c>
    </row>
    <row r="195">
      <c r="A195" t="inlineStr">
        <is>
          <t>KRAV-AUTO-000194</t>
        </is>
      </c>
      <c r="B195" t="inlineStr">
        <is>
          <t>ADMIN-INDEX-2026-02-27-00000000125C043F57453246863FE664CAFE6A3F0700950291EA24F0614FB6ACEDB12BF0E31D00000000010C0000950291EA24F0614FB6ACEDB12BF0E31D00002087AE560000</t>
        </is>
      </c>
      <c r="C195" t="inlineStr">
        <is>
          <t>cmm4yupsp02xncuqwhs492xv6</t>
        </is>
      </c>
      <c r="D195" t="inlineStr">
        <is>
          <t>http://localhost:8787/api/admin/requirements/documents/cmm4yupsp02xncuqwhs492xv6/view</t>
        </is>
      </c>
      <c r="E195">
        <f>HYPERLÄNK("http://localhost:8787/api/admin/requirements/documents/cmm4yupsp02xncuqwhs492xv6/view";"Öppna PDF")</f>
        <v/>
      </c>
      <c r="F195">
        <f>HYPERLINK("http://localhost:8787/api/admin/requirements/documents/cmm4yupsp02xncuqwhs492xv6/view","Open PDF")</f>
        <v/>
      </c>
      <c r="G195" t="inlineStr">
        <is>
          <t>cmm55w57p0004cuisfrtpqly8</t>
        </is>
      </c>
      <c r="H195" t="inlineStr">
        <is>
          <t>Beslutsvillkor</t>
        </is>
      </c>
      <c r="I195" t="inlineStr">
        <is>
          <t>Riskhantering</t>
        </is>
      </c>
      <c r="J195" t="inlineStr">
        <is>
          <t>Riskkontroll</t>
        </is>
      </c>
      <c r="K195" t="inlineStr">
        <is>
          <t>5.3 Råd till brandbekämpningspersonal Speciell skyddsutrustning: Vid brandbekämpning skall vanliga åtgärder vidtas.</t>
        </is>
      </c>
      <c r="L195" t="inlineStr">
        <is>
          <t>5.3 Råd till brandbekämpningspersonal Speciell skyddsutrustning: Vid brandbekämpning skall vanliga åtgärder vidtas.</t>
        </is>
      </c>
      <c r="M195" t="inlineStr">
        <is>
          <t>SKA</t>
        </is>
      </c>
      <c r="N195" t="inlineStr"/>
      <c r="O195" t="inlineStr"/>
      <c r="P195" t="inlineStr"/>
      <c r="Q195" t="inlineStr"/>
      <c r="R195" t="inlineStr">
        <is>
          <t>Vid risk for incident</t>
        </is>
      </c>
      <c r="S195" t="inlineStr"/>
      <c r="T195" t="inlineStr">
        <is>
          <t>513330</t>
        </is>
      </c>
      <c r="U195" t="inlineStr"/>
      <c r="V195" t="inlineStr"/>
      <c r="W195" t="inlineStr">
        <is>
          <t>Nej</t>
        </is>
      </c>
      <c r="X195" t="inlineStr">
        <is>
          <t>Nej</t>
        </is>
      </c>
      <c r="Y195" t="inlineStr">
        <is>
          <t>Ja</t>
        </is>
      </c>
      <c r="Z195" t="inlineStr">
        <is>
          <t>Ja</t>
        </is>
      </c>
      <c r="AA195" t="n">
        <v>8</v>
      </c>
      <c r="AB195" t="inlineStr">
        <is>
          <t>Riskhantering</t>
        </is>
      </c>
      <c r="AC195" t="inlineStr">
        <is>
          <t>Risk-PM</t>
        </is>
      </c>
      <c r="AD195" t="inlineStr">
        <is>
          <t>Nej</t>
        </is>
      </c>
      <c r="AE195" t="inlineStr">
        <is>
          <t>Nej</t>
        </is>
      </c>
      <c r="AF195" t="inlineStr">
        <is>
          <t>Ej behandlad</t>
        </is>
      </c>
      <c r="AG195" t="inlineStr">
        <is>
          <t>AUTO_GENERERAD. Verifiera citat mot kallfil.</t>
        </is>
      </c>
      <c r="AH195" t="inlineStr">
        <is>
          <t>MEDIUM</t>
        </is>
      </c>
      <c r="AI195" t="inlineStr">
        <is>
          <t>AUTO</t>
        </is>
      </c>
      <c r="AJ195" t="inlineStr">
        <is>
          <t>Nej</t>
        </is>
      </c>
      <c r="AK195" t="inlineStr"/>
      <c r="AL195" t="inlineStr"/>
      <c r="AM195" t="inlineStr"/>
      <c r="AN195" t="inlineStr"/>
      <c r="AO195" t="inlineStr">
        <is>
          <t>cmm4yupsi02xhcuqwgbgcjc0r</t>
        </is>
      </c>
      <c r="AP195" t="inlineStr">
        <is>
          <t>http://localhost:8787/api/admin/requirements/documents/cmm4yupsi02xhcuqwgbgcjc0r/view</t>
        </is>
      </c>
      <c r="AQ195">
        <f>HYPERLÄNK("http://localhost:8787/api/admin/requirements/documents/cmm4yupsi02xhcuqwgbgcjc0r/view";"Öppna PDF")</f>
        <v/>
      </c>
      <c r="AR195">
        <f>HYPERLINK("http://localhost:8787/api/admin/requirements/documents/cmm4yupsi02xhcuqwgbgcjc0r/view","Open PDF")</f>
        <v/>
      </c>
      <c r="AS195" t="inlineStr">
        <is>
          <t>cmm55w57p0004cuisfrtpqly8</t>
        </is>
      </c>
      <c r="AT195" t="inlineStr">
        <is>
          <t>cmm4xvu980000cuh4vj0usz09</t>
        </is>
      </c>
      <c r="AU195" t="inlineStr"/>
      <c r="AV195" t="inlineStr">
        <is>
          <t>Kommun</t>
        </is>
      </c>
      <c r="AW195" t="inlineStr"/>
      <c r="AX195" t="inlineStr">
        <is>
          <t>2024-576</t>
        </is>
      </c>
      <c r="AY195" t="inlineStr">
        <is>
          <t>Beslut</t>
        </is>
      </c>
      <c r="AZ195" t="inlineStr">
        <is>
          <t>2026-02-04</t>
        </is>
      </c>
      <c r="BA195" t="inlineStr">
        <is>
          <t>Säkerhetsdatablad Nordic Shampoo.pdf</t>
        </is>
      </c>
      <c r="BB195" t="inlineStr">
        <is>
          <t>2024-576</t>
        </is>
      </c>
      <c r="BC195" t="inlineStr">
        <is>
          <t>AUTO</t>
        </is>
      </c>
      <c r="BD195" t="inlineStr"/>
      <c r="BE195" t="inlineStr"/>
      <c r="BF195" t="inlineStr">
        <is>
          <t>AUTO_GENERERAD. Bekrafta metadata mot kallfil.</t>
        </is>
      </c>
      <c r="BG195">
        <f>HYPERLINK("C:\Users\jimmy\Desktop\Examens arbete\Kod\Ny mapp\remix_-copy-of-miljöbeslut.se-portal\Säkerhetsdatablad Nordic Shampoo.pdf", "Öppna PDF")</f>
        <v/>
      </c>
    </row>
    <row r="196">
      <c r="A196" t="inlineStr">
        <is>
          <t>KRAV-AUTO-000195</t>
        </is>
      </c>
      <c r="B196" t="inlineStr">
        <is>
          <t>ADMIN-INDEX-2026-02-27-00000000125C043F57453246863FE664CAFE6A3F0700950291EA24F0614FB6ACEDB12BF0E31D00000000010C0000950291EA24F0614FB6ACEDB12BF0E31D00002087AE560000</t>
        </is>
      </c>
      <c r="C196" t="inlineStr">
        <is>
          <t>cmm4yupsp02xncuqwhs492xv6</t>
        </is>
      </c>
      <c r="D196" t="inlineStr">
        <is>
          <t>http://localhost:8787/api/admin/requirements/documents/cmm4yupsp02xncuqwhs492xv6/view</t>
        </is>
      </c>
      <c r="E196">
        <f>HYPERLÄNK("http://localhost:8787/api/admin/requirements/documents/cmm4yupsp02xncuqwhs492xv6/view";"Öppna PDF")</f>
        <v/>
      </c>
      <c r="F196">
        <f>HYPERLINK("http://localhost:8787/api/admin/requirements/documents/cmm4yupsp02xncuqwhs492xv6/view","Open PDF")</f>
        <v/>
      </c>
      <c r="G196" t="inlineStr">
        <is>
          <t>cmm55w57p0004cuisfrtpqly8</t>
        </is>
      </c>
      <c r="H196" t="inlineStr">
        <is>
          <t>Beslutsvillkor</t>
        </is>
      </c>
      <c r="I196" t="inlineStr">
        <is>
          <t>MiljopaverkanForsiktighet</t>
        </is>
      </c>
      <c r="J196" t="inlineStr">
        <is>
          <t>Skyddsatgarder</t>
        </is>
      </c>
      <c r="K196" t="inlineStr">
        <is>
          <t>Rekommendation: Avfall måste hanteras och avlägsnas enligt lokala föreskrifter.</t>
        </is>
      </c>
      <c r="L196" t="inlineStr">
        <is>
          <t>Rekommendation: Avfall måste hanteras och avlägsnas enligt lokala föreskrifter.</t>
        </is>
      </c>
      <c r="M196" t="inlineStr">
        <is>
          <t>SKA</t>
        </is>
      </c>
      <c r="N196" t="inlineStr"/>
      <c r="O196" t="inlineStr"/>
      <c r="P196" t="inlineStr"/>
      <c r="Q196" t="inlineStr"/>
      <c r="R196" t="inlineStr">
        <is>
          <t>Alltid</t>
        </is>
      </c>
      <c r="S196" t="inlineStr"/>
      <c r="T196" t="inlineStr">
        <is>
          <t>513330</t>
        </is>
      </c>
      <c r="U196" t="inlineStr"/>
      <c r="V196" t="inlineStr"/>
      <c r="W196" t="inlineStr">
        <is>
          <t>Nej</t>
        </is>
      </c>
      <c r="X196" t="inlineStr">
        <is>
          <t>Nej</t>
        </is>
      </c>
      <c r="Y196" t="inlineStr">
        <is>
          <t>Nej</t>
        </is>
      </c>
      <c r="Z196" t="inlineStr">
        <is>
          <t>Nej</t>
        </is>
      </c>
      <c r="AA196" t="n">
        <v>10</v>
      </c>
      <c r="AB196" t="inlineStr">
        <is>
          <t>Miljopaverkan och forsiktighetsmatt</t>
        </is>
      </c>
      <c r="AC196" t="inlineStr">
        <is>
          <t>Miljo-PM</t>
        </is>
      </c>
      <c r="AD196" t="inlineStr">
        <is>
          <t>Nej</t>
        </is>
      </c>
      <c r="AE196" t="inlineStr">
        <is>
          <t>Nej</t>
        </is>
      </c>
      <c r="AF196" t="inlineStr">
        <is>
          <t>Ej behandlad</t>
        </is>
      </c>
      <c r="AG196" t="inlineStr">
        <is>
          <t>AUTO_GENERERAD. Verifiera citat mot kallfil.</t>
        </is>
      </c>
      <c r="AH196" t="inlineStr">
        <is>
          <t>MEDIUM</t>
        </is>
      </c>
      <c r="AI196" t="inlineStr">
        <is>
          <t>AUTO</t>
        </is>
      </c>
      <c r="AJ196" t="inlineStr">
        <is>
          <t>Nej</t>
        </is>
      </c>
      <c r="AK196" t="inlineStr"/>
      <c r="AL196" t="inlineStr"/>
      <c r="AM196" t="inlineStr"/>
      <c r="AN196" t="inlineStr"/>
      <c r="AO196" t="inlineStr">
        <is>
          <t>cmm4yupsi02xhcuqwgbgcjc0r</t>
        </is>
      </c>
      <c r="AP196" t="inlineStr">
        <is>
          <t>http://localhost:8787/api/admin/requirements/documents/cmm4yupsi02xhcuqwgbgcjc0r/view</t>
        </is>
      </c>
      <c r="AQ196">
        <f>HYPERLÄNK("http://localhost:8787/api/admin/requirements/documents/cmm4yupsi02xhcuqwgbgcjc0r/view";"Öppna PDF")</f>
        <v/>
      </c>
      <c r="AR196">
        <f>HYPERLINK("http://localhost:8787/api/admin/requirements/documents/cmm4yupsi02xhcuqwgbgcjc0r/view","Open PDF")</f>
        <v/>
      </c>
      <c r="AS196" t="inlineStr">
        <is>
          <t>cmm55w57p0004cuisfrtpqly8</t>
        </is>
      </c>
      <c r="AT196" t="inlineStr">
        <is>
          <t>cmm4xvu980000cuh4vj0usz09</t>
        </is>
      </c>
      <c r="AU196" t="inlineStr"/>
      <c r="AV196" t="inlineStr">
        <is>
          <t>Kommun</t>
        </is>
      </c>
      <c r="AW196" t="inlineStr"/>
      <c r="AX196" t="inlineStr">
        <is>
          <t>2024-576</t>
        </is>
      </c>
      <c r="AY196" t="inlineStr">
        <is>
          <t>Beslut</t>
        </is>
      </c>
      <c r="AZ196" t="inlineStr">
        <is>
          <t>2026-02-04</t>
        </is>
      </c>
      <c r="BA196" t="inlineStr">
        <is>
          <t>Säkerhetsdatablad Nordic Shampoo.pdf</t>
        </is>
      </c>
      <c r="BB196" t="inlineStr">
        <is>
          <t>2024-576</t>
        </is>
      </c>
      <c r="BC196" t="inlineStr">
        <is>
          <t>AUTO</t>
        </is>
      </c>
      <c r="BD196" t="inlineStr"/>
      <c r="BE196" t="inlineStr"/>
      <c r="BF196" t="inlineStr">
        <is>
          <t>AUTO_GENERERAD. Bekrafta metadata mot kallfil.</t>
        </is>
      </c>
      <c r="BG196">
        <f>HYPERLINK("C:\Users\jimmy\Desktop\Examens arbete\Kod\Ny mapp\remix_-copy-of-miljöbeslut.se-portal\Säkerhetsdatablad Nordic Shampoo.pdf", "Öppna PDF")</f>
        <v/>
      </c>
    </row>
    <row r="197">
      <c r="A197" t="inlineStr">
        <is>
          <t>KRAV-AUTO-000196</t>
        </is>
      </c>
      <c r="B197" t="inlineStr">
        <is>
          <t>ADMIN-INDEX-2026-02-27-00000000125C043F57453246863FE664CAFE6A3F0700950291EA24F0614FB6ACEDB12BF0E31D00000000010C0000950291EA24F0614FB6ACEDB12BF0E31D00002087AE560000</t>
        </is>
      </c>
      <c r="C197" t="inlineStr">
        <is>
          <t>cmm4yupsp02xncuqwhs492xv6</t>
        </is>
      </c>
      <c r="D197" t="inlineStr">
        <is>
          <t>http://localhost:8787/api/admin/requirements/documents/cmm4yupsp02xncuqwhs492xv6/view</t>
        </is>
      </c>
      <c r="E197">
        <f>HYPERLÄNK("http://localhost:8787/api/admin/requirements/documents/cmm4yupsp02xncuqwhs492xv6/view";"Öppna PDF")</f>
        <v/>
      </c>
      <c r="F197">
        <f>HYPERLINK("http://localhost:8787/api/admin/requirements/documents/cmm4yupsp02xncuqwhs492xv6/view","Open PDF")</f>
        <v/>
      </c>
      <c r="G197" t="inlineStr">
        <is>
          <t>cmm55w57p0004cuisfrtpqly8</t>
        </is>
      </c>
      <c r="H197" t="inlineStr">
        <is>
          <t>Beslutsvillkor</t>
        </is>
      </c>
      <c r="I197" t="inlineStr">
        <is>
          <t>Riskhantering</t>
        </is>
      </c>
      <c r="J197" t="inlineStr">
        <is>
          <t>Riskkontroll</t>
        </is>
      </c>
      <c r="K197" t="inlineStr">
        <is>
          <t>Hänvisningar beträffande brand- och explosionsskydd: Inga speciella åtgärder krävs.</t>
        </is>
      </c>
      <c r="L197" t="inlineStr">
        <is>
          <t>Hänvisningar beträffande brand- och explosionsskydd: Inga speciella åtgärder krävs.</t>
        </is>
      </c>
      <c r="M197" t="inlineStr">
        <is>
          <t>SKA</t>
        </is>
      </c>
      <c r="N197" t="inlineStr"/>
      <c r="O197" t="inlineStr"/>
      <c r="P197" t="inlineStr"/>
      <c r="Q197" t="inlineStr"/>
      <c r="R197" t="inlineStr">
        <is>
          <t>Vid risk for incident</t>
        </is>
      </c>
      <c r="S197" t="inlineStr"/>
      <c r="T197" t="inlineStr">
        <is>
          <t>513330</t>
        </is>
      </c>
      <c r="U197" t="inlineStr"/>
      <c r="V197" t="inlineStr"/>
      <c r="W197" t="inlineStr">
        <is>
          <t>Nej</t>
        </is>
      </c>
      <c r="X197" t="inlineStr">
        <is>
          <t>Nej</t>
        </is>
      </c>
      <c r="Y197" t="inlineStr">
        <is>
          <t>Ja</t>
        </is>
      </c>
      <c r="Z197" t="inlineStr">
        <is>
          <t>Ja</t>
        </is>
      </c>
      <c r="AA197" t="n">
        <v>8</v>
      </c>
      <c r="AB197" t="inlineStr">
        <is>
          <t>Riskhantering</t>
        </is>
      </c>
      <c r="AC197" t="inlineStr">
        <is>
          <t>Risk-PM</t>
        </is>
      </c>
      <c r="AD197" t="inlineStr">
        <is>
          <t>Nej</t>
        </is>
      </c>
      <c r="AE197" t="inlineStr">
        <is>
          <t>Nej</t>
        </is>
      </c>
      <c r="AF197" t="inlineStr">
        <is>
          <t>Ej behandlad</t>
        </is>
      </c>
      <c r="AG197" t="inlineStr">
        <is>
          <t>AUTO_GENERERAD. Verifiera citat mot kallfil.</t>
        </is>
      </c>
      <c r="AH197" t="inlineStr">
        <is>
          <t>MEDIUM</t>
        </is>
      </c>
      <c r="AI197" t="inlineStr">
        <is>
          <t>AUTO</t>
        </is>
      </c>
      <c r="AJ197" t="inlineStr">
        <is>
          <t>Nej</t>
        </is>
      </c>
      <c r="AK197" t="inlineStr"/>
      <c r="AL197" t="inlineStr"/>
      <c r="AM197" t="inlineStr"/>
      <c r="AN197" t="inlineStr"/>
      <c r="AO197" t="inlineStr">
        <is>
          <t>cmm4yupsi02xhcuqwgbgcjc0r</t>
        </is>
      </c>
      <c r="AP197" t="inlineStr">
        <is>
          <t>http://localhost:8787/api/admin/requirements/documents/cmm4yupsi02xhcuqwgbgcjc0r/view</t>
        </is>
      </c>
      <c r="AQ197">
        <f>HYPERLÄNK("http://localhost:8787/api/admin/requirements/documents/cmm4yupsi02xhcuqwgbgcjc0r/view";"Öppna PDF")</f>
        <v/>
      </c>
      <c r="AR197">
        <f>HYPERLINK("http://localhost:8787/api/admin/requirements/documents/cmm4yupsi02xhcuqwgbgcjc0r/view","Open PDF")</f>
        <v/>
      </c>
      <c r="AS197" t="inlineStr">
        <is>
          <t>cmm55w57p0004cuisfrtpqly8</t>
        </is>
      </c>
      <c r="AT197" t="inlineStr">
        <is>
          <t>cmm4xvu980000cuh4vj0usz09</t>
        </is>
      </c>
      <c r="AU197" t="inlineStr"/>
      <c r="AV197" t="inlineStr">
        <is>
          <t>Kommun</t>
        </is>
      </c>
      <c r="AW197" t="inlineStr"/>
      <c r="AX197" t="inlineStr">
        <is>
          <t>2024-576</t>
        </is>
      </c>
      <c r="AY197" t="inlineStr">
        <is>
          <t>Beslut</t>
        </is>
      </c>
      <c r="AZ197" t="inlineStr">
        <is>
          <t>2026-02-04</t>
        </is>
      </c>
      <c r="BA197" t="inlineStr">
        <is>
          <t>Säkerhetsdatablad Nordic Shampoo.pdf</t>
        </is>
      </c>
      <c r="BB197" t="inlineStr">
        <is>
          <t>2024-576</t>
        </is>
      </c>
      <c r="BC197" t="inlineStr">
        <is>
          <t>AUTO</t>
        </is>
      </c>
      <c r="BD197" t="inlineStr"/>
      <c r="BE197" t="inlineStr"/>
      <c r="BF197" t="inlineStr">
        <is>
          <t>AUTO_GENERERAD. Bekrafta metadata mot kallfil.</t>
        </is>
      </c>
      <c r="BG197">
        <f>HYPERLINK("C:\Users\jimmy\Desktop\Examens arbete\Kod\Ny mapp\remix_-copy-of-miljöbeslut.se-portal\Säkerhetsdatablad Nordic Shampoo.pdf", "Öppna PDF")</f>
        <v/>
      </c>
    </row>
    <row r="198">
      <c r="A198" t="inlineStr">
        <is>
          <t>KRAV-AUTO-000197</t>
        </is>
      </c>
      <c r="B198" t="inlineStr">
        <is>
          <t>ADMIN-INDEX-2026-02-27-00000000125C043F57453246863FE664CAFE6A3F0700950291EA24F0614FB6ACEDB12BF0E31D00000000010C0000950291EA24F0614FB6ACEDB12BF0E31D00002087AE560000</t>
        </is>
      </c>
      <c r="C198" t="inlineStr">
        <is>
          <t>cmm4yupsm02xkcuqwbbzjb2ew</t>
        </is>
      </c>
      <c r="D198" t="inlineStr">
        <is>
          <t>http://localhost:8787/api/admin/requirements/documents/cmm4yupsm02xkcuqwbbzjb2ew/view</t>
        </is>
      </c>
      <c r="E198">
        <f>HYPERLÄNK("http://localhost:8787/api/admin/requirements/documents/cmm4yupsm02xkcuqwbbzjb2ew/view";"Öppna PDF")</f>
        <v/>
      </c>
      <c r="F198">
        <f>HYPERLINK("http://localhost:8787/api/admin/requirements/documents/cmm4yupsm02xkcuqwbbzjb2ew/view","Open PDF")</f>
        <v/>
      </c>
      <c r="G198" t="inlineStr">
        <is>
          <t>cmm55w57p0004cuisfrtpqly8</t>
        </is>
      </c>
      <c r="H198" t="inlineStr">
        <is>
          <t>Beslutsvillkor</t>
        </is>
      </c>
      <c r="I198" t="inlineStr">
        <is>
          <t>Riskhantering</t>
        </is>
      </c>
      <c r="J198" t="inlineStr">
        <is>
          <t>Riskkontroll</t>
        </is>
      </c>
      <c r="K198" t="inlineStr">
        <is>
          <t>5.3 Råd till brandbekämpningspersonal Speciell skyddsutrustning: Vid brandbekämpning skall vanliga åtgärder vidtas.</t>
        </is>
      </c>
      <c r="L198" t="inlineStr">
        <is>
          <t>5.3 Råd till brandbekämpningspersonal Speciell skyddsutrustning: Vid brandbekämpning skall vanliga åtgärder vidtas.</t>
        </is>
      </c>
      <c r="M198" t="inlineStr">
        <is>
          <t>SKA</t>
        </is>
      </c>
      <c r="N198" t="inlineStr"/>
      <c r="O198" t="inlineStr"/>
      <c r="P198" t="inlineStr"/>
      <c r="Q198" t="inlineStr"/>
      <c r="R198" t="inlineStr">
        <is>
          <t>Vid risk for incident</t>
        </is>
      </c>
      <c r="S198" t="inlineStr"/>
      <c r="T198" t="inlineStr">
        <is>
          <t>513330</t>
        </is>
      </c>
      <c r="U198" t="inlineStr"/>
      <c r="V198" t="inlineStr"/>
      <c r="W198" t="inlineStr">
        <is>
          <t>Nej</t>
        </is>
      </c>
      <c r="X198" t="inlineStr">
        <is>
          <t>Nej</t>
        </is>
      </c>
      <c r="Y198" t="inlineStr">
        <is>
          <t>Ja</t>
        </is>
      </c>
      <c r="Z198" t="inlineStr">
        <is>
          <t>Ja</t>
        </is>
      </c>
      <c r="AA198" t="n">
        <v>8</v>
      </c>
      <c r="AB198" t="inlineStr">
        <is>
          <t>Riskhantering</t>
        </is>
      </c>
      <c r="AC198" t="inlineStr">
        <is>
          <t>Risk-PM</t>
        </is>
      </c>
      <c r="AD198" t="inlineStr">
        <is>
          <t>Nej</t>
        </is>
      </c>
      <c r="AE198" t="inlineStr">
        <is>
          <t>Nej</t>
        </is>
      </c>
      <c r="AF198" t="inlineStr">
        <is>
          <t>Ej behandlad</t>
        </is>
      </c>
      <c r="AG198" t="inlineStr">
        <is>
          <t>AUTO_GENERERAD. Verifiera citat mot kallfil.</t>
        </is>
      </c>
      <c r="AH198" t="inlineStr">
        <is>
          <t>MEDIUM</t>
        </is>
      </c>
      <c r="AI198" t="inlineStr">
        <is>
          <t>AUTO</t>
        </is>
      </c>
      <c r="AJ198" t="inlineStr">
        <is>
          <t>Nej</t>
        </is>
      </c>
      <c r="AK198" t="inlineStr"/>
      <c r="AL198" t="inlineStr"/>
      <c r="AM198" t="inlineStr"/>
      <c r="AN198" t="inlineStr"/>
      <c r="AO198" t="inlineStr">
        <is>
          <t>cmm4yupsi02xhcuqwgbgcjc0r</t>
        </is>
      </c>
      <c r="AP198" t="inlineStr">
        <is>
          <t>http://localhost:8787/api/admin/requirements/documents/cmm4yupsi02xhcuqwgbgcjc0r/view</t>
        </is>
      </c>
      <c r="AQ198">
        <f>HYPERLÄNK("http://localhost:8787/api/admin/requirements/documents/cmm4yupsi02xhcuqwgbgcjc0r/view";"Öppna PDF")</f>
        <v/>
      </c>
      <c r="AR198">
        <f>HYPERLINK("http://localhost:8787/api/admin/requirements/documents/cmm4yupsi02xhcuqwgbgcjc0r/view","Open PDF")</f>
        <v/>
      </c>
      <c r="AS198" t="inlineStr">
        <is>
          <t>cmm55w57p0004cuisfrtpqly8</t>
        </is>
      </c>
      <c r="AT198" t="inlineStr">
        <is>
          <t>cmm4xvu980000cuh4vj0usz09</t>
        </is>
      </c>
      <c r="AU198" t="inlineStr"/>
      <c r="AV198" t="inlineStr">
        <is>
          <t>Kommun</t>
        </is>
      </c>
      <c r="AW198" t="inlineStr"/>
      <c r="AX198" t="inlineStr">
        <is>
          <t>2024-576</t>
        </is>
      </c>
      <c r="AY198" t="inlineStr">
        <is>
          <t>Beslut</t>
        </is>
      </c>
      <c r="AZ198" t="inlineStr">
        <is>
          <t>2026-02-04</t>
        </is>
      </c>
      <c r="BA198" t="inlineStr">
        <is>
          <t>Säkerhetsdatablad Nordic Shampoo.pdf</t>
        </is>
      </c>
      <c r="BB198" t="inlineStr">
        <is>
          <t>2024-576</t>
        </is>
      </c>
      <c r="BC198" t="inlineStr">
        <is>
          <t>AUTO</t>
        </is>
      </c>
      <c r="BD198" t="inlineStr"/>
      <c r="BE198" t="inlineStr"/>
      <c r="BF198" t="inlineStr">
        <is>
          <t>AUTO_GENERERAD. Bekrafta metadata mot kallfil.</t>
        </is>
      </c>
      <c r="BG198">
        <f>HYPERLINK("C:\Users\jimmy\Desktop\Examens arbete\Kod\Ny mapp\remix_-copy-of-miljöbeslut.se-portal\Säkerhetsdatablad Nordic Shampoo.pdf", "Öppna PDF")</f>
        <v/>
      </c>
    </row>
    <row r="199">
      <c r="A199" t="inlineStr">
        <is>
          <t>KRAV-AUTO-000198</t>
        </is>
      </c>
      <c r="B199" t="inlineStr">
        <is>
          <t>ADMIN-INDEX-2026-02-27-00000000125C043F57453246863FE664CAFE6A3F0700950291EA24F0614FB6ACEDB12BF0E31D00000000010C0000950291EA24F0614FB6ACEDB12BF0E31D00002087AE560000</t>
        </is>
      </c>
      <c r="C199" t="inlineStr">
        <is>
          <t>cmm4yupsm02xkcuqwbbzjb2ew</t>
        </is>
      </c>
      <c r="D199" t="inlineStr">
        <is>
          <t>http://localhost:8787/api/admin/requirements/documents/cmm4yupsm02xkcuqwbbzjb2ew/view</t>
        </is>
      </c>
      <c r="E199">
        <f>HYPERLÄNK("http://localhost:8787/api/admin/requirements/documents/cmm4yupsm02xkcuqwbbzjb2ew/view";"Öppna PDF")</f>
        <v/>
      </c>
      <c r="F199">
        <f>HYPERLINK("http://localhost:8787/api/admin/requirements/documents/cmm4yupsm02xkcuqwbbzjb2ew/view","Open PDF")</f>
        <v/>
      </c>
      <c r="G199" t="inlineStr">
        <is>
          <t>cmm55w57p0004cuisfrtpqly8</t>
        </is>
      </c>
      <c r="H199" t="inlineStr">
        <is>
          <t>Beslutsvillkor</t>
        </is>
      </c>
      <c r="I199" t="inlineStr">
        <is>
          <t>MiljopaverkanForsiktighet</t>
        </is>
      </c>
      <c r="J199" t="inlineStr">
        <is>
          <t>Skyddsatgarder</t>
        </is>
      </c>
      <c r="K199" t="inlineStr">
        <is>
          <t>Rekommendation: Avfall måste hanteras och avlägsnas enligt lokala föreskrifter.</t>
        </is>
      </c>
      <c r="L199" t="inlineStr">
        <is>
          <t>Rekommendation: Avfall måste hanteras och avlägsnas enligt lokala föreskrifter.</t>
        </is>
      </c>
      <c r="M199" t="inlineStr">
        <is>
          <t>SKA</t>
        </is>
      </c>
      <c r="N199" t="inlineStr"/>
      <c r="O199" t="inlineStr"/>
      <c r="P199" t="inlineStr"/>
      <c r="Q199" t="inlineStr"/>
      <c r="R199" t="inlineStr">
        <is>
          <t>Alltid</t>
        </is>
      </c>
      <c r="S199" t="inlineStr"/>
      <c r="T199" t="inlineStr">
        <is>
          <t>513330</t>
        </is>
      </c>
      <c r="U199" t="inlineStr"/>
      <c r="V199" t="inlineStr"/>
      <c r="W199" t="inlineStr">
        <is>
          <t>Nej</t>
        </is>
      </c>
      <c r="X199" t="inlineStr">
        <is>
          <t>Nej</t>
        </is>
      </c>
      <c r="Y199" t="inlineStr">
        <is>
          <t>Nej</t>
        </is>
      </c>
      <c r="Z199" t="inlineStr">
        <is>
          <t>Nej</t>
        </is>
      </c>
      <c r="AA199" t="n">
        <v>10</v>
      </c>
      <c r="AB199" t="inlineStr">
        <is>
          <t>Miljopaverkan och forsiktighetsmatt</t>
        </is>
      </c>
      <c r="AC199" t="inlineStr">
        <is>
          <t>Miljo-PM</t>
        </is>
      </c>
      <c r="AD199" t="inlineStr">
        <is>
          <t>Nej</t>
        </is>
      </c>
      <c r="AE199" t="inlineStr">
        <is>
          <t>Nej</t>
        </is>
      </c>
      <c r="AF199" t="inlineStr">
        <is>
          <t>Ej behandlad</t>
        </is>
      </c>
      <c r="AG199" t="inlineStr">
        <is>
          <t>AUTO_GENERERAD. Verifiera citat mot kallfil.</t>
        </is>
      </c>
      <c r="AH199" t="inlineStr">
        <is>
          <t>MEDIUM</t>
        </is>
      </c>
      <c r="AI199" t="inlineStr">
        <is>
          <t>AUTO</t>
        </is>
      </c>
      <c r="AJ199" t="inlineStr">
        <is>
          <t>Nej</t>
        </is>
      </c>
      <c r="AK199" t="inlineStr"/>
      <c r="AL199" t="inlineStr"/>
      <c r="AM199" t="inlineStr"/>
      <c r="AN199" t="inlineStr"/>
      <c r="AO199" t="inlineStr">
        <is>
          <t>cmm4yupsi02xhcuqwgbgcjc0r</t>
        </is>
      </c>
      <c r="AP199" t="inlineStr">
        <is>
          <t>http://localhost:8787/api/admin/requirements/documents/cmm4yupsi02xhcuqwgbgcjc0r/view</t>
        </is>
      </c>
      <c r="AQ199">
        <f>HYPERLÄNK("http://localhost:8787/api/admin/requirements/documents/cmm4yupsi02xhcuqwgbgcjc0r/view";"Öppna PDF")</f>
        <v/>
      </c>
      <c r="AR199">
        <f>HYPERLINK("http://localhost:8787/api/admin/requirements/documents/cmm4yupsi02xhcuqwgbgcjc0r/view","Open PDF")</f>
        <v/>
      </c>
      <c r="AS199" t="inlineStr">
        <is>
          <t>cmm55w57p0004cuisfrtpqly8</t>
        </is>
      </c>
      <c r="AT199" t="inlineStr">
        <is>
          <t>cmm4xvu980000cuh4vj0usz09</t>
        </is>
      </c>
      <c r="AU199" t="inlineStr"/>
      <c r="AV199" t="inlineStr">
        <is>
          <t>Kommun</t>
        </is>
      </c>
      <c r="AW199" t="inlineStr"/>
      <c r="AX199" t="inlineStr">
        <is>
          <t>2024-576</t>
        </is>
      </c>
      <c r="AY199" t="inlineStr">
        <is>
          <t>Beslut</t>
        </is>
      </c>
      <c r="AZ199" t="inlineStr">
        <is>
          <t>2026-02-04</t>
        </is>
      </c>
      <c r="BA199" t="inlineStr">
        <is>
          <t>Säkerhetsdatablad Nordic Shampoo.pdf</t>
        </is>
      </c>
      <c r="BB199" t="inlineStr">
        <is>
          <t>2024-576</t>
        </is>
      </c>
      <c r="BC199" t="inlineStr">
        <is>
          <t>AUTO</t>
        </is>
      </c>
      <c r="BD199" t="inlineStr"/>
      <c r="BE199" t="inlineStr"/>
      <c r="BF199" t="inlineStr">
        <is>
          <t>AUTO_GENERERAD. Bekrafta metadata mot kallfil.</t>
        </is>
      </c>
      <c r="BG199">
        <f>HYPERLINK("C:\Users\jimmy\Desktop\Examens arbete\Kod\Ny mapp\remix_-copy-of-miljöbeslut.se-portal\Säkerhetsdatablad Nordic Shampoo.pdf", "Öppna PDF")</f>
        <v/>
      </c>
    </row>
    <row r="200">
      <c r="A200" t="inlineStr">
        <is>
          <t>KRAV-AUTO-000199</t>
        </is>
      </c>
      <c r="B200" t="inlineStr">
        <is>
          <t>ADMIN-INDEX-2026-02-27-00000000125C043F57453246863FE664CAFE6A3F0700950291EA24F0614FB6ACEDB12BF0E31D00000000010C0000950291EA24F0614FB6ACEDB12BF0E31D00002087AE560000</t>
        </is>
      </c>
      <c r="C200" t="inlineStr">
        <is>
          <t>cmm4yupsm02xkcuqwbbzjb2ew</t>
        </is>
      </c>
      <c r="D200" t="inlineStr">
        <is>
          <t>http://localhost:8787/api/admin/requirements/documents/cmm4yupsm02xkcuqwbbzjb2ew/view</t>
        </is>
      </c>
      <c r="E200">
        <f>HYPERLÄNK("http://localhost:8787/api/admin/requirements/documents/cmm4yupsm02xkcuqwbbzjb2ew/view";"Öppna PDF")</f>
        <v/>
      </c>
      <c r="F200">
        <f>HYPERLINK("http://localhost:8787/api/admin/requirements/documents/cmm4yupsm02xkcuqwbbzjb2ew/view","Open PDF")</f>
        <v/>
      </c>
      <c r="G200" t="inlineStr">
        <is>
          <t>cmm55w57p0004cuisfrtpqly8</t>
        </is>
      </c>
      <c r="H200" t="inlineStr">
        <is>
          <t>Beslutsvillkor</t>
        </is>
      </c>
      <c r="I200" t="inlineStr">
        <is>
          <t>Riskhantering</t>
        </is>
      </c>
      <c r="J200" t="inlineStr">
        <is>
          <t>Riskkontroll</t>
        </is>
      </c>
      <c r="K200" t="inlineStr">
        <is>
          <t>Hänvisningar beträffande brand- och explosionsskydd: Inga speciella åtgärder krävs.</t>
        </is>
      </c>
      <c r="L200" t="inlineStr">
        <is>
          <t>Hänvisningar beträffande brand- och explosionsskydd: Inga speciella åtgärder krävs.</t>
        </is>
      </c>
      <c r="M200" t="inlineStr">
        <is>
          <t>SKA</t>
        </is>
      </c>
      <c r="N200" t="inlineStr"/>
      <c r="O200" t="inlineStr"/>
      <c r="P200" t="inlineStr"/>
      <c r="Q200" t="inlineStr"/>
      <c r="R200" t="inlineStr">
        <is>
          <t>Vid risk for incident</t>
        </is>
      </c>
      <c r="S200" t="inlineStr"/>
      <c r="T200" t="inlineStr">
        <is>
          <t>513330</t>
        </is>
      </c>
      <c r="U200" t="inlineStr"/>
      <c r="V200" t="inlineStr"/>
      <c r="W200" t="inlineStr">
        <is>
          <t>Nej</t>
        </is>
      </c>
      <c r="X200" t="inlineStr">
        <is>
          <t>Nej</t>
        </is>
      </c>
      <c r="Y200" t="inlineStr">
        <is>
          <t>Ja</t>
        </is>
      </c>
      <c r="Z200" t="inlineStr">
        <is>
          <t>Ja</t>
        </is>
      </c>
      <c r="AA200" t="n">
        <v>8</v>
      </c>
      <c r="AB200" t="inlineStr">
        <is>
          <t>Riskhantering</t>
        </is>
      </c>
      <c r="AC200" t="inlineStr">
        <is>
          <t>Risk-PM</t>
        </is>
      </c>
      <c r="AD200" t="inlineStr">
        <is>
          <t>Nej</t>
        </is>
      </c>
      <c r="AE200" t="inlineStr">
        <is>
          <t>Nej</t>
        </is>
      </c>
      <c r="AF200" t="inlineStr">
        <is>
          <t>Ej behandlad</t>
        </is>
      </c>
      <c r="AG200" t="inlineStr">
        <is>
          <t>AUTO_GENERERAD. Verifiera citat mot kallfil.</t>
        </is>
      </c>
      <c r="AH200" t="inlineStr">
        <is>
          <t>MEDIUM</t>
        </is>
      </c>
      <c r="AI200" t="inlineStr">
        <is>
          <t>AUTO</t>
        </is>
      </c>
      <c r="AJ200" t="inlineStr">
        <is>
          <t>Nej</t>
        </is>
      </c>
      <c r="AK200" t="inlineStr"/>
      <c r="AL200" t="inlineStr"/>
      <c r="AM200" t="inlineStr"/>
      <c r="AN200" t="inlineStr"/>
      <c r="AO200" t="inlineStr">
        <is>
          <t>cmm4yupsi02xhcuqwgbgcjc0r</t>
        </is>
      </c>
      <c r="AP200" t="inlineStr">
        <is>
          <t>http://localhost:8787/api/admin/requirements/documents/cmm4yupsi02xhcuqwgbgcjc0r/view</t>
        </is>
      </c>
      <c r="AQ200">
        <f>HYPERLÄNK("http://localhost:8787/api/admin/requirements/documents/cmm4yupsi02xhcuqwgbgcjc0r/view";"Öppna PDF")</f>
        <v/>
      </c>
      <c r="AR200">
        <f>HYPERLINK("http://localhost:8787/api/admin/requirements/documents/cmm4yupsi02xhcuqwgbgcjc0r/view","Open PDF")</f>
        <v/>
      </c>
      <c r="AS200" t="inlineStr">
        <is>
          <t>cmm55w57p0004cuisfrtpqly8</t>
        </is>
      </c>
      <c r="AT200" t="inlineStr">
        <is>
          <t>cmm4xvu980000cuh4vj0usz09</t>
        </is>
      </c>
      <c r="AU200" t="inlineStr"/>
      <c r="AV200" t="inlineStr">
        <is>
          <t>Kommun</t>
        </is>
      </c>
      <c r="AW200" t="inlineStr"/>
      <c r="AX200" t="inlineStr">
        <is>
          <t>2024-576</t>
        </is>
      </c>
      <c r="AY200" t="inlineStr">
        <is>
          <t>Beslut</t>
        </is>
      </c>
      <c r="AZ200" t="inlineStr">
        <is>
          <t>2026-02-04</t>
        </is>
      </c>
      <c r="BA200" t="inlineStr">
        <is>
          <t>Säkerhetsdatablad Nordic Shampoo.pdf</t>
        </is>
      </c>
      <c r="BB200" t="inlineStr">
        <is>
          <t>2024-576</t>
        </is>
      </c>
      <c r="BC200" t="inlineStr">
        <is>
          <t>AUTO</t>
        </is>
      </c>
      <c r="BD200" t="inlineStr"/>
      <c r="BE200" t="inlineStr"/>
      <c r="BF200" t="inlineStr">
        <is>
          <t>AUTO_GENERERAD. Bekrafta metadata mot kallfil.</t>
        </is>
      </c>
      <c r="BG200">
        <f>HYPERLINK("C:\Users\jimmy\Desktop\Examens arbete\Kod\Ny mapp\remix_-copy-of-miljöbeslut.se-portal\Säkerhetsdatablad Nordic Shampoo.pdf", "Öppna PDF")</f>
        <v/>
      </c>
    </row>
    <row r="201">
      <c r="A201" t="inlineStr">
        <is>
          <t>KRAV-AUTO-000200</t>
        </is>
      </c>
      <c r="B201" t="inlineStr">
        <is>
          <t>ADMIN-INDEX-2026-02-27-00000000125C043F57453246863FE664CAFE6A3F0700950291EA24F0614FB6ACEDB12BF0E31D00000000010C0000950291EA24F0614FB6ACEDB12BF0E31D00002087A5B70000</t>
        </is>
      </c>
      <c r="C201" t="inlineStr">
        <is>
          <t>cmm4yur1h043zcuqw32zc4vim</t>
        </is>
      </c>
      <c r="D201" t="inlineStr">
        <is>
          <t>http://localhost:8787/api/admin/requirements/documents/cmm4yur1h043zcuqw32zc4vim/view</t>
        </is>
      </c>
      <c r="E201">
        <f>HYPERLÄNK("http://localhost:8787/api/admin/requirements/documents/cmm4yur1h043zcuqw32zc4vim/view";"Öppna PDF")</f>
        <v/>
      </c>
      <c r="F201">
        <f>HYPERLINK("http://localhost:8787/api/admin/requirements/documents/cmm4yur1h043zcuqw32zc4vim/view","Open PDF")</f>
        <v/>
      </c>
      <c r="G201" t="inlineStr">
        <is>
          <t>cmm55w57p0004cuisfrtpqly8</t>
        </is>
      </c>
      <c r="H201" t="inlineStr">
        <is>
          <t>Beslutsvillkor</t>
        </is>
      </c>
      <c r="I201" t="inlineStr">
        <is>
          <t>Ytkonstruktion</t>
        </is>
      </c>
      <c r="J201" t="inlineStr">
        <is>
          <t>Tat yta</t>
        </is>
      </c>
      <c r="K201" t="inlineStr">
        <is>
          <t>Det finns dock noteringar i den tekniska statusbesiktningen om att större arbeten med plattan kan behöva utföras om en ny hyresgäst ska tillträda.</t>
        </is>
      </c>
      <c r="L201" t="inlineStr">
        <is>
          <t>Det finns dock noteringar i den tekniska statusbesiktningen om att större arbeten med plattan kan behöva utföras om en ny hyresgäst ska tillträda.</t>
        </is>
      </c>
      <c r="M201" t="inlineStr">
        <is>
          <t>SKA</t>
        </is>
      </c>
      <c r="N201" t="inlineStr"/>
      <c r="O201" t="inlineStr"/>
      <c r="P201" t="inlineStr"/>
      <c r="Q201" t="inlineStr"/>
      <c r="R201" t="inlineStr">
        <is>
          <t>Vid mellanlagring av avfall</t>
        </is>
      </c>
      <c r="S201" t="inlineStr"/>
      <c r="T201" t="inlineStr"/>
      <c r="U201" t="inlineStr"/>
      <c r="V201" t="inlineStr"/>
      <c r="W201" t="inlineStr">
        <is>
          <t>Ja</t>
        </is>
      </c>
      <c r="X201" t="inlineStr">
        <is>
          <t>Nej</t>
        </is>
      </c>
      <c r="Y201" t="inlineStr">
        <is>
          <t>Nej</t>
        </is>
      </c>
      <c r="Z201" t="inlineStr">
        <is>
          <t>Nej</t>
        </is>
      </c>
      <c r="AA201" t="n">
        <v>5</v>
      </c>
      <c r="AB201" t="inlineStr">
        <is>
          <t>Teknisk beskrivning av platta</t>
        </is>
      </c>
      <c r="AC201" t="inlineStr">
        <is>
          <t>Teknisk ritning platta</t>
        </is>
      </c>
      <c r="AD201" t="inlineStr">
        <is>
          <t>Nej</t>
        </is>
      </c>
      <c r="AE201" t="inlineStr">
        <is>
          <t>Nej</t>
        </is>
      </c>
      <c r="AF201" t="inlineStr">
        <is>
          <t>Ej behandlad</t>
        </is>
      </c>
      <c r="AG201" t="inlineStr">
        <is>
          <t>AUTO_GENERERAD. Verifiera citat mot kallfil.</t>
        </is>
      </c>
      <c r="AH201" t="inlineStr">
        <is>
          <t>MEDIUM</t>
        </is>
      </c>
      <c r="AI201" t="inlineStr">
        <is>
          <t>AUTO</t>
        </is>
      </c>
      <c r="AJ201" t="inlineStr">
        <is>
          <t>Nej</t>
        </is>
      </c>
      <c r="AK201" t="inlineStr"/>
      <c r="AL201" t="inlineStr"/>
      <c r="AM201" t="inlineStr"/>
      <c r="AN201" t="inlineStr"/>
      <c r="AO201" t="inlineStr">
        <is>
          <t>cmm4yur1h043zcuqw32zc4vim</t>
        </is>
      </c>
      <c r="AP201" t="inlineStr">
        <is>
          <t>http://localhost:8787/api/admin/requirements/documents/cmm4yur1h043zcuqw32zc4vim/view</t>
        </is>
      </c>
      <c r="AQ201">
        <f>HYPERLÄNK("http://localhost:8787/api/admin/requirements/documents/cmm4yur1h043zcuqw32zc4vim/view";"Öppna PDF")</f>
        <v/>
      </c>
      <c r="AR201">
        <f>HYPERLINK("http://localhost:8787/api/admin/requirements/documents/cmm4yur1h043zcuqw32zc4vim/view","Open PDF")</f>
        <v/>
      </c>
      <c r="AS201" t="inlineStr">
        <is>
          <t>cmm55w57p0004cuisfrtpqly8</t>
        </is>
      </c>
      <c r="AT201" t="inlineStr">
        <is>
          <t>cmm4xvu980000cuh4vj0usz09</t>
        </is>
      </c>
      <c r="AU201" t="inlineStr">
        <is>
          <t>i Upplands Väsby</t>
        </is>
      </c>
      <c r="AV201" t="inlineStr">
        <is>
          <t>Kommun</t>
        </is>
      </c>
      <c r="AW201" t="inlineStr">
        <is>
          <t>i Upplands Väsby kommun</t>
        </is>
      </c>
      <c r="AX201" t="inlineStr">
        <is>
          <t>2025-12</t>
        </is>
      </c>
      <c r="AY201" t="inlineStr">
        <is>
          <t>Beslut</t>
        </is>
      </c>
      <c r="AZ201" t="inlineStr">
        <is>
          <t>2026-02-06</t>
        </is>
      </c>
      <c r="BA201" t="inlineStr">
        <is>
          <t>Miljöteknisk markundersökning, Skälby 2.3.pdf</t>
        </is>
      </c>
      <c r="BB201" t="inlineStr">
        <is>
          <t>till registrator [2026KC17362]</t>
        </is>
      </c>
      <c r="BC201" t="inlineStr">
        <is>
          <t>AUTO</t>
        </is>
      </c>
      <c r="BD201" t="inlineStr"/>
      <c r="BE201" t="inlineStr"/>
      <c r="BF201" t="inlineStr">
        <is>
          <t>AUTO_GENERERAD. Bekrafta metadata mot kallfil.</t>
        </is>
      </c>
      <c r="BG201">
        <f>HYPERLINK("C:\Users\jimmy\Desktop\Examens arbete\Kod\Ny mapp\remix_-copy-of-miljöbeslut.se-portal\Miljöteknisk markundersökning, Skälby 2.3.pdf", "Öppna PDF")</f>
        <v/>
      </c>
    </row>
    <row r="202">
      <c r="A202" t="inlineStr">
        <is>
          <t>KRAV-AUTO-000201</t>
        </is>
      </c>
      <c r="B202" t="inlineStr">
        <is>
          <t>ADMIN-INDEX-2026-02-27-00000000125C043F57453246863FE664CAFE6A3F0700950291EA24F0614FB6ACEDB12BF0E31D00000000010C0000950291EA24F0614FB6ACEDB12BF0E31D00002087A5B70000</t>
        </is>
      </c>
      <c r="C202" t="inlineStr">
        <is>
          <t>cmm4yur1h043zcuqw32zc4vim</t>
        </is>
      </c>
      <c r="D202" t="inlineStr">
        <is>
          <t>http://localhost:8787/api/admin/requirements/documents/cmm4yur1h043zcuqw32zc4vim/view</t>
        </is>
      </c>
      <c r="E202">
        <f>HYPERLÄNK("http://localhost:8787/api/admin/requirements/documents/cmm4yur1h043zcuqw32zc4vim/view";"Öppna PDF")</f>
        <v/>
      </c>
      <c r="F202">
        <f>HYPERLINK("http://localhost:8787/api/admin/requirements/documents/cmm4yur1h043zcuqw32zc4vim/view","Open PDF")</f>
        <v/>
      </c>
      <c r="G202" t="inlineStr">
        <is>
          <t>cmm55w57p0004cuisfrtpqly8</t>
        </is>
      </c>
      <c r="H202" t="inlineStr">
        <is>
          <t>Beslutsvillkor</t>
        </is>
      </c>
      <c r="I202" t="inlineStr">
        <is>
          <t>Riskhantering</t>
        </is>
      </c>
      <c r="J202" t="inlineStr">
        <is>
          <t>Riskkontroll</t>
        </is>
      </c>
      <c r="K202" t="inlineStr">
        <is>
          <t>Betongen ska vara obehandlat och det finns därför risk att betongen närmast skärsågarna har sugit åt sig skärolja.</t>
        </is>
      </c>
      <c r="L202" t="inlineStr">
        <is>
          <t>Betongen ska vara obehandlat och det finns därför risk att betongen närmast skärsågarna har sugit åt sig skärolja.</t>
        </is>
      </c>
      <c r="M202" t="inlineStr">
        <is>
          <t>SKA</t>
        </is>
      </c>
      <c r="N202" t="inlineStr"/>
      <c r="O202" t="inlineStr"/>
      <c r="P202" t="inlineStr"/>
      <c r="Q202" t="inlineStr"/>
      <c r="R202" t="inlineStr">
        <is>
          <t>Vid risk for incident</t>
        </is>
      </c>
      <c r="S202" t="inlineStr"/>
      <c r="T202" t="inlineStr"/>
      <c r="U202" t="inlineStr"/>
      <c r="V202" t="inlineStr"/>
      <c r="W202" t="inlineStr">
        <is>
          <t>Nej</t>
        </is>
      </c>
      <c r="X202" t="inlineStr">
        <is>
          <t>Nej</t>
        </is>
      </c>
      <c r="Y202" t="inlineStr">
        <is>
          <t>Ja</t>
        </is>
      </c>
      <c r="Z202" t="inlineStr">
        <is>
          <t>Ja</t>
        </is>
      </c>
      <c r="AA202" t="n">
        <v>8</v>
      </c>
      <c r="AB202" t="inlineStr">
        <is>
          <t>Riskhantering</t>
        </is>
      </c>
      <c r="AC202" t="inlineStr">
        <is>
          <t>Risk-PM</t>
        </is>
      </c>
      <c r="AD202" t="inlineStr">
        <is>
          <t>Nej</t>
        </is>
      </c>
      <c r="AE202" t="inlineStr">
        <is>
          <t>Nej</t>
        </is>
      </c>
      <c r="AF202" t="inlineStr">
        <is>
          <t>Ej behandlad</t>
        </is>
      </c>
      <c r="AG202" t="inlineStr">
        <is>
          <t>AUTO_GENERERAD. Verifiera citat mot kallfil.</t>
        </is>
      </c>
      <c r="AH202" t="inlineStr">
        <is>
          <t>MEDIUM</t>
        </is>
      </c>
      <c r="AI202" t="inlineStr">
        <is>
          <t>AUTO</t>
        </is>
      </c>
      <c r="AJ202" t="inlineStr">
        <is>
          <t>Nej</t>
        </is>
      </c>
      <c r="AK202" t="inlineStr"/>
      <c r="AL202" t="inlineStr"/>
      <c r="AM202" t="inlineStr"/>
      <c r="AN202" t="inlineStr"/>
      <c r="AO202" t="inlineStr">
        <is>
          <t>cmm4yur1h043zcuqw32zc4vim</t>
        </is>
      </c>
      <c r="AP202" t="inlineStr">
        <is>
          <t>http://localhost:8787/api/admin/requirements/documents/cmm4yur1h043zcuqw32zc4vim/view</t>
        </is>
      </c>
      <c r="AQ202">
        <f>HYPERLÄNK("http://localhost:8787/api/admin/requirements/documents/cmm4yur1h043zcuqw32zc4vim/view";"Öppna PDF")</f>
        <v/>
      </c>
      <c r="AR202">
        <f>HYPERLINK("http://localhost:8787/api/admin/requirements/documents/cmm4yur1h043zcuqw32zc4vim/view","Open PDF")</f>
        <v/>
      </c>
      <c r="AS202" t="inlineStr">
        <is>
          <t>cmm55w57p0004cuisfrtpqly8</t>
        </is>
      </c>
      <c r="AT202" t="inlineStr">
        <is>
          <t>cmm4xvu980000cuh4vj0usz09</t>
        </is>
      </c>
      <c r="AU202" t="inlineStr">
        <is>
          <t>i Upplands Väsby</t>
        </is>
      </c>
      <c r="AV202" t="inlineStr">
        <is>
          <t>Kommun</t>
        </is>
      </c>
      <c r="AW202" t="inlineStr">
        <is>
          <t>i Upplands Väsby kommun</t>
        </is>
      </c>
      <c r="AX202" t="inlineStr">
        <is>
          <t>2025-12</t>
        </is>
      </c>
      <c r="AY202" t="inlineStr">
        <is>
          <t>Beslut</t>
        </is>
      </c>
      <c r="AZ202" t="inlineStr">
        <is>
          <t>2026-02-06</t>
        </is>
      </c>
      <c r="BA202" t="inlineStr">
        <is>
          <t>Miljöteknisk markundersökning, Skälby 2.3.pdf</t>
        </is>
      </c>
      <c r="BB202" t="inlineStr">
        <is>
          <t>till registrator [2026KC17362]</t>
        </is>
      </c>
      <c r="BC202" t="inlineStr">
        <is>
          <t>AUTO</t>
        </is>
      </c>
      <c r="BD202" t="inlineStr"/>
      <c r="BE202" t="inlineStr"/>
      <c r="BF202" t="inlineStr">
        <is>
          <t>AUTO_GENERERAD. Bekrafta metadata mot kallfil.</t>
        </is>
      </c>
      <c r="BG202">
        <f>HYPERLINK("C:\Users\jimmy\Desktop\Examens arbete\Kod\Ny mapp\remix_-copy-of-miljöbeslut.se-portal\Miljöteknisk markundersökning, Skälby 2.3.pdf", "Öppna PDF")</f>
        <v/>
      </c>
    </row>
    <row r="203">
      <c r="A203" t="inlineStr">
        <is>
          <t>KRAV-AUTO-000202</t>
        </is>
      </c>
      <c r="B203" t="inlineStr">
        <is>
          <t>ADMIN-INDEX-2026-02-27-00000000125C043F57453246863FE664CAFE6A3F0700950291EA24F0614FB6ACEDB12BF0E31D00000000010C0000950291EA24F0614FB6ACEDB12BF0E31D00002087A5B70000</t>
        </is>
      </c>
      <c r="C203" t="inlineStr">
        <is>
          <t>cmm4yur1h043zcuqw32zc4vim</t>
        </is>
      </c>
      <c r="D203" t="inlineStr">
        <is>
          <t>http://localhost:8787/api/admin/requirements/documents/cmm4yur1h043zcuqw32zc4vim/view</t>
        </is>
      </c>
      <c r="E203">
        <f>HYPERLÄNK("http://localhost:8787/api/admin/requirements/documents/cmm4yur1h043zcuqw32zc4vim/view";"Öppna PDF")</f>
        <v/>
      </c>
      <c r="F203">
        <f>HYPERLINK("http://localhost:8787/api/admin/requirements/documents/cmm4yur1h043zcuqw32zc4vim/view","Open PDF")</f>
        <v/>
      </c>
      <c r="G203" t="inlineStr">
        <is>
          <t>cmm55w57p0004cuisfrtpqly8</t>
        </is>
      </c>
      <c r="H203" t="inlineStr">
        <is>
          <t>Beslutsvillkor</t>
        </is>
      </c>
      <c r="I203" t="inlineStr">
        <is>
          <t>DriftEgenkontroll</t>
        </is>
      </c>
      <c r="J203" t="inlineStr">
        <is>
          <t>Journalforing</t>
        </is>
      </c>
      <c r="K203" t="inlineStr">
        <is>
          <t>5 Figur 2 Utklipp med provtagningspunkter inom Skälby 2:2.</t>
        </is>
      </c>
      <c r="L203" t="inlineStr">
        <is>
          <t>5 Figur 2 Utklipp med provtagningspunkter inom Skälby 2:2.</t>
        </is>
      </c>
      <c r="M203" t="inlineStr">
        <is>
          <t>SKA</t>
        </is>
      </c>
      <c r="N203" t="inlineStr"/>
      <c r="O203" t="inlineStr"/>
      <c r="P203" t="inlineStr"/>
      <c r="Q203" t="inlineStr"/>
      <c r="R203" t="inlineStr">
        <is>
          <t>Lopande drift</t>
        </is>
      </c>
      <c r="S203" t="inlineStr"/>
      <c r="T203" t="inlineStr"/>
      <c r="U203" t="inlineStr"/>
      <c r="V203" t="inlineStr"/>
      <c r="W203" t="inlineStr">
        <is>
          <t>Nej</t>
        </is>
      </c>
      <c r="X203" t="inlineStr">
        <is>
          <t>Nej</t>
        </is>
      </c>
      <c r="Y203" t="inlineStr">
        <is>
          <t>Ja</t>
        </is>
      </c>
      <c r="Z203" t="inlineStr">
        <is>
          <t>Nej</t>
        </is>
      </c>
      <c r="AA203" t="n">
        <v>7</v>
      </c>
      <c r="AB203" t="inlineStr">
        <is>
          <t>Egenkontrollrutiner</t>
        </is>
      </c>
      <c r="AC203" t="inlineStr">
        <is>
          <t>Egenkontrollprogram</t>
        </is>
      </c>
      <c r="AD203" t="inlineStr">
        <is>
          <t>Nej</t>
        </is>
      </c>
      <c r="AE203" t="inlineStr">
        <is>
          <t>Nej</t>
        </is>
      </c>
      <c r="AF203" t="inlineStr">
        <is>
          <t>Ej behandlad</t>
        </is>
      </c>
      <c r="AG203" t="inlineStr">
        <is>
          <t>AUTO_GENERERAD. Verifiera citat mot kallfil.</t>
        </is>
      </c>
      <c r="AH203" t="inlineStr">
        <is>
          <t>MEDIUM</t>
        </is>
      </c>
      <c r="AI203" t="inlineStr">
        <is>
          <t>AUTO</t>
        </is>
      </c>
      <c r="AJ203" t="inlineStr">
        <is>
          <t>Nej</t>
        </is>
      </c>
      <c r="AK203" t="inlineStr"/>
      <c r="AL203" t="inlineStr"/>
      <c r="AM203" t="inlineStr"/>
      <c r="AN203" t="inlineStr"/>
      <c r="AO203" t="inlineStr">
        <is>
          <t>cmm4yur1h043zcuqw32zc4vim</t>
        </is>
      </c>
      <c r="AP203" t="inlineStr">
        <is>
          <t>http://localhost:8787/api/admin/requirements/documents/cmm4yur1h043zcuqw32zc4vim/view</t>
        </is>
      </c>
      <c r="AQ203">
        <f>HYPERLÄNK("http://localhost:8787/api/admin/requirements/documents/cmm4yur1h043zcuqw32zc4vim/view";"Öppna PDF")</f>
        <v/>
      </c>
      <c r="AR203">
        <f>HYPERLINK("http://localhost:8787/api/admin/requirements/documents/cmm4yur1h043zcuqw32zc4vim/view","Open PDF")</f>
        <v/>
      </c>
      <c r="AS203" t="inlineStr">
        <is>
          <t>cmm55w57p0004cuisfrtpqly8</t>
        </is>
      </c>
      <c r="AT203" t="inlineStr">
        <is>
          <t>cmm4xvu980000cuh4vj0usz09</t>
        </is>
      </c>
      <c r="AU203" t="inlineStr">
        <is>
          <t>i Upplands Väsby</t>
        </is>
      </c>
      <c r="AV203" t="inlineStr">
        <is>
          <t>Kommun</t>
        </is>
      </c>
      <c r="AW203" t="inlineStr">
        <is>
          <t>i Upplands Väsby kommun</t>
        </is>
      </c>
      <c r="AX203" t="inlineStr">
        <is>
          <t>2025-12</t>
        </is>
      </c>
      <c r="AY203" t="inlineStr">
        <is>
          <t>Beslut</t>
        </is>
      </c>
      <c r="AZ203" t="inlineStr">
        <is>
          <t>2026-02-06</t>
        </is>
      </c>
      <c r="BA203" t="inlineStr">
        <is>
          <t>Miljöteknisk markundersökning, Skälby 2.3.pdf</t>
        </is>
      </c>
      <c r="BB203" t="inlineStr">
        <is>
          <t>till registrator [2026KC17362]</t>
        </is>
      </c>
      <c r="BC203" t="inlineStr">
        <is>
          <t>AUTO</t>
        </is>
      </c>
      <c r="BD203" t="inlineStr"/>
      <c r="BE203" t="inlineStr"/>
      <c r="BF203" t="inlineStr">
        <is>
          <t>AUTO_GENERERAD. Bekrafta metadata mot kallfil.</t>
        </is>
      </c>
      <c r="BG203">
        <f>HYPERLINK("C:\Users\jimmy\Desktop\Examens arbete\Kod\Ny mapp\remix_-copy-of-miljöbeslut.se-portal\Miljöteknisk markundersökning, Skälby 2.3.pdf", "Öppna PDF")</f>
        <v/>
      </c>
    </row>
    <row r="204">
      <c r="A204" t="inlineStr">
        <is>
          <t>KRAV-AUTO-000203</t>
        </is>
      </c>
      <c r="B204" t="inlineStr">
        <is>
          <t>ADMIN-INDEX-2026-02-27-00000000125C043F57453246863FE664CAFE6A3F0700950291EA24F0614FB6ACEDB12BF0E31D00000000010C0000950291EA24F0614FB6ACEDB12BF0E31D00002087A5BD0000</t>
        </is>
      </c>
      <c r="C204" t="inlineStr">
        <is>
          <t>cmm4yur11043kcuqwckdjnskl</t>
        </is>
      </c>
      <c r="D204" t="inlineStr">
        <is>
          <t>http://localhost:8787/api/admin/requirements/documents/cmm4yur11043kcuqwckdjnskl/view</t>
        </is>
      </c>
      <c r="E204">
        <f>HYPERLÄNK("http://localhost:8787/api/admin/requirements/documents/cmm4yur11043kcuqwckdjnskl/view";"Öppna PDF")</f>
        <v/>
      </c>
      <c r="F204">
        <f>HYPERLINK("http://localhost:8787/api/admin/requirements/documents/cmm4yur11043kcuqwckdjnskl/view","Open PDF")</f>
        <v/>
      </c>
      <c r="G204" t="inlineStr">
        <is>
          <t>cmm55w57p0004cuisfrtpqly8</t>
        </is>
      </c>
      <c r="H204" t="inlineStr">
        <is>
          <t>Beslutsvillkor</t>
        </is>
      </c>
      <c r="I204" t="inlineStr">
        <is>
          <t>Ytkonstruktion</t>
        </is>
      </c>
      <c r="J204" t="inlineStr">
        <is>
          <t>Tat yta</t>
        </is>
      </c>
      <c r="K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204" t="inlineStr">
        <is>
          <t>SKA</t>
        </is>
      </c>
      <c r="N204" t="inlineStr"/>
      <c r="O204" t="inlineStr"/>
      <c r="P204" t="inlineStr">
        <is>
          <t>Arlig</t>
        </is>
      </c>
      <c r="Q204" t="inlineStr"/>
      <c r="R204" t="inlineStr">
        <is>
          <t>Vid mellanlagring av avfall</t>
        </is>
      </c>
      <c r="S204" t="inlineStr"/>
      <c r="T204" t="inlineStr">
        <is>
          <t>556057</t>
        </is>
      </c>
      <c r="U204" t="inlineStr"/>
      <c r="V204" t="inlineStr"/>
      <c r="W204" t="inlineStr">
        <is>
          <t>Ja</t>
        </is>
      </c>
      <c r="X204" t="inlineStr">
        <is>
          <t>Nej</t>
        </is>
      </c>
      <c r="Y204" t="inlineStr">
        <is>
          <t>Nej</t>
        </is>
      </c>
      <c r="Z204" t="inlineStr">
        <is>
          <t>Nej</t>
        </is>
      </c>
      <c r="AA204" t="n">
        <v>5</v>
      </c>
      <c r="AB204" t="inlineStr">
        <is>
          <t>Teknisk beskrivning av platta</t>
        </is>
      </c>
      <c r="AC204" t="inlineStr">
        <is>
          <t>Teknisk ritning platta</t>
        </is>
      </c>
      <c r="AD204" t="inlineStr">
        <is>
          <t>Nej</t>
        </is>
      </c>
      <c r="AE204" t="inlineStr">
        <is>
          <t>Nej</t>
        </is>
      </c>
      <c r="AF204" t="inlineStr">
        <is>
          <t>Ej behandlad</t>
        </is>
      </c>
      <c r="AG204" t="inlineStr">
        <is>
          <t>AUTO_GENERERAD. Verifiera citat mot kallfil.</t>
        </is>
      </c>
      <c r="AH204" t="inlineStr">
        <is>
          <t>MEDIUM</t>
        </is>
      </c>
      <c r="AI204" t="inlineStr">
        <is>
          <t>AUTO</t>
        </is>
      </c>
      <c r="AJ204" t="inlineStr">
        <is>
          <t>Nej</t>
        </is>
      </c>
      <c r="AK204" t="inlineStr"/>
      <c r="AL204" t="inlineStr"/>
      <c r="AM204" t="inlineStr"/>
      <c r="AN204" t="inlineStr"/>
      <c r="AO204" t="inlineStr">
        <is>
          <t>cmm4yur13043ncuqw78adtuo1</t>
        </is>
      </c>
      <c r="AP204" t="inlineStr">
        <is>
          <t>http://localhost:8787/api/admin/requirements/documents/cmm4yur13043ncuqw78adtuo1/view</t>
        </is>
      </c>
      <c r="AQ204">
        <f>HYPERLÄNK("http://localhost:8787/api/admin/requirements/documents/cmm4yur13043ncuqw78adtuo1/view";"Öppna PDF")</f>
        <v/>
      </c>
      <c r="AR204">
        <f>HYPERLINK("http://localhost:8787/api/admin/requirements/documents/cmm4yur13043ncuqw78adtuo1/view","Open PDF")</f>
        <v/>
      </c>
      <c r="AS204" t="inlineStr">
        <is>
          <t>cmm55w57p0004cuisfrtpqly8</t>
        </is>
      </c>
      <c r="AT204" t="inlineStr">
        <is>
          <t>cmm4xvu980000cuh4vj0usz09</t>
        </is>
      </c>
      <c r="AU204" t="inlineStr">
        <is>
          <t>Miljöprövningsdelegationen Jokkmokks</t>
        </is>
      </c>
      <c r="AV204" t="inlineStr">
        <is>
          <t>Kommun</t>
        </is>
      </c>
      <c r="AW204" t="inlineStr">
        <is>
          <t>Miljöprövningsdelegationen Jokkmokks kommun</t>
        </is>
      </c>
      <c r="AX204" t="inlineStr">
        <is>
          <t>2013:251</t>
        </is>
      </c>
      <c r="AY204" t="inlineStr">
        <is>
          <t>Beslut</t>
        </is>
      </c>
      <c r="AZ204" t="inlineStr">
        <is>
          <t>2026-02-05</t>
        </is>
      </c>
      <c r="BA204" t="inlineStr">
        <is>
          <t>Beslut(26289851) (0)_TMP.pdf</t>
        </is>
      </c>
      <c r="BB204" t="inlineStr">
        <is>
          <t>Sv: till registrator</t>
        </is>
      </c>
      <c r="BC204" t="inlineStr">
        <is>
          <t>AUTO</t>
        </is>
      </c>
      <c r="BD204" t="inlineStr"/>
      <c r="BE204" t="inlineStr"/>
      <c r="BF204" t="inlineStr">
        <is>
          <t>AUTO_GENERERAD. Bekrafta metadata mot kallfil.</t>
        </is>
      </c>
      <c r="BG204">
        <f>HYPERLINK("C:\Users\jimmy\Desktop\Examens arbete\Kod\Ny mapp\remix_-copy-of-miljöbeslut.se-portal\Beslut(26289851) (0)_TMP.pdf", "Öppna PDF")</f>
        <v/>
      </c>
    </row>
    <row r="205">
      <c r="A205" t="inlineStr">
        <is>
          <t>KRAV-AUTO-000204</t>
        </is>
      </c>
      <c r="B205" t="inlineStr">
        <is>
          <t>ADMIN-INDEX-2026-02-27-00000000125C043F57453246863FE664CAFE6A3F0700950291EA24F0614FB6ACEDB12BF0E31D00000000010C0000950291EA24F0614FB6ACEDB12BF0E31D00002087A5BD0000</t>
        </is>
      </c>
      <c r="C205" t="inlineStr">
        <is>
          <t>cmm4yur11043kcuqwckdjnskl</t>
        </is>
      </c>
      <c r="D205" t="inlineStr">
        <is>
          <t>http://localhost:8787/api/admin/requirements/documents/cmm4yur11043kcuqwckdjnskl/view</t>
        </is>
      </c>
      <c r="E205">
        <f>HYPERLÄNK("http://localhost:8787/api/admin/requirements/documents/cmm4yur11043kcuqwckdjnskl/view";"Öppna PDF")</f>
        <v/>
      </c>
      <c r="F205">
        <f>HYPERLINK("http://localhost:8787/api/admin/requirements/documents/cmm4yur11043kcuqwckdjnskl/view","Open PDF")</f>
        <v/>
      </c>
      <c r="G205" t="inlineStr">
        <is>
          <t>cmm55w57p0004cuisfrtpqly8</t>
        </is>
      </c>
      <c r="H205" t="inlineStr">
        <is>
          <t>Beslutsvillkor</t>
        </is>
      </c>
      <c r="I205" t="inlineStr">
        <is>
          <t>LagringsvolymTid</t>
        </is>
      </c>
      <c r="J205" t="inlineStr">
        <is>
          <t>Maxmangd</t>
        </is>
      </c>
      <c r="K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205" t="inlineStr">
        <is>
          <t>SKA</t>
        </is>
      </c>
      <c r="N205" t="inlineStr"/>
      <c r="O205" t="inlineStr"/>
      <c r="P205" t="inlineStr">
        <is>
          <t>Arlig</t>
        </is>
      </c>
      <c r="Q205" t="inlineStr"/>
      <c r="R205" t="inlineStr">
        <is>
          <t>Alltid</t>
        </is>
      </c>
      <c r="S205" t="inlineStr"/>
      <c r="T205" t="inlineStr">
        <is>
          <t>556057</t>
        </is>
      </c>
      <c r="U205" t="inlineStr"/>
      <c r="V205" t="inlineStr"/>
      <c r="W205" t="inlineStr">
        <is>
          <t>Nej</t>
        </is>
      </c>
      <c r="X205" t="inlineStr">
        <is>
          <t>Nej</t>
        </is>
      </c>
      <c r="Y205" t="inlineStr">
        <is>
          <t>Nej</t>
        </is>
      </c>
      <c r="Z205" t="inlineStr">
        <is>
          <t>Nej</t>
        </is>
      </c>
      <c r="AA205" t="n">
        <v>4</v>
      </c>
      <c r="AB205" t="inlineStr">
        <is>
          <t>Avfallsmangder och lagringstid</t>
        </is>
      </c>
      <c r="AC205" t="inlineStr">
        <is>
          <t>Avfallsforteckning</t>
        </is>
      </c>
      <c r="AD205" t="inlineStr">
        <is>
          <t>Nej</t>
        </is>
      </c>
      <c r="AE205" t="inlineStr">
        <is>
          <t>Nej</t>
        </is>
      </c>
      <c r="AF205" t="inlineStr">
        <is>
          <t>Ej behandlad</t>
        </is>
      </c>
      <c r="AG205" t="inlineStr">
        <is>
          <t>AUTO_GENERERAD. Verifiera citat mot kallfil.</t>
        </is>
      </c>
      <c r="AH205" t="inlineStr">
        <is>
          <t>MEDIUM</t>
        </is>
      </c>
      <c r="AI205" t="inlineStr">
        <is>
          <t>AUTO</t>
        </is>
      </c>
      <c r="AJ205" t="inlineStr">
        <is>
          <t>Nej</t>
        </is>
      </c>
      <c r="AK205" t="inlineStr"/>
      <c r="AL205" t="inlineStr"/>
      <c r="AM205" t="inlineStr"/>
      <c r="AN205" t="inlineStr"/>
      <c r="AO205" t="inlineStr">
        <is>
          <t>cmm4yur13043ncuqw78adtuo1</t>
        </is>
      </c>
      <c r="AP205" t="inlineStr">
        <is>
          <t>http://localhost:8787/api/admin/requirements/documents/cmm4yur13043ncuqw78adtuo1/view</t>
        </is>
      </c>
      <c r="AQ205">
        <f>HYPERLÄNK("http://localhost:8787/api/admin/requirements/documents/cmm4yur13043ncuqw78adtuo1/view";"Öppna PDF")</f>
        <v/>
      </c>
      <c r="AR205">
        <f>HYPERLINK("http://localhost:8787/api/admin/requirements/documents/cmm4yur13043ncuqw78adtuo1/view","Open PDF")</f>
        <v/>
      </c>
      <c r="AS205" t="inlineStr">
        <is>
          <t>cmm55w57p0004cuisfrtpqly8</t>
        </is>
      </c>
      <c r="AT205" t="inlineStr">
        <is>
          <t>cmm4xvu980000cuh4vj0usz09</t>
        </is>
      </c>
      <c r="AU205" t="inlineStr">
        <is>
          <t>Miljöprövningsdelegationen Jokkmokks</t>
        </is>
      </c>
      <c r="AV205" t="inlineStr">
        <is>
          <t>Kommun</t>
        </is>
      </c>
      <c r="AW205" t="inlineStr">
        <is>
          <t>Miljöprövningsdelegationen Jokkmokks kommun</t>
        </is>
      </c>
      <c r="AX205" t="inlineStr">
        <is>
          <t>2013:251</t>
        </is>
      </c>
      <c r="AY205" t="inlineStr">
        <is>
          <t>Beslut</t>
        </is>
      </c>
      <c r="AZ205" t="inlineStr">
        <is>
          <t>2026-02-05</t>
        </is>
      </c>
      <c r="BA205" t="inlineStr">
        <is>
          <t>Beslut(26289851) (0)_TMP.pdf</t>
        </is>
      </c>
      <c r="BB205" t="inlineStr">
        <is>
          <t>Sv: till registrator</t>
        </is>
      </c>
      <c r="BC205" t="inlineStr">
        <is>
          <t>AUTO</t>
        </is>
      </c>
      <c r="BD205" t="inlineStr"/>
      <c r="BE205" t="inlineStr"/>
      <c r="BF205" t="inlineStr">
        <is>
          <t>AUTO_GENERERAD. Bekrafta metadata mot kallfil.</t>
        </is>
      </c>
      <c r="BG205">
        <f>HYPERLINK("C:\Users\jimmy\Desktop\Examens arbete\Kod\Ny mapp\remix_-copy-of-miljöbeslut.se-portal\Beslut(26289851) (0)_TMP.pdf", "Öppna PDF")</f>
        <v/>
      </c>
    </row>
    <row r="206">
      <c r="A206" t="inlineStr">
        <is>
          <t>KRAV-AUTO-000205</t>
        </is>
      </c>
      <c r="B206" t="inlineStr">
        <is>
          <t>ADMIN-INDEX-2026-02-27-00000000125C043F57453246863FE664CAFE6A3F0700950291EA24F0614FB6ACEDB12BF0E31D00000000010C0000950291EA24F0614FB6ACEDB12BF0E31D00002087A5BD0000</t>
        </is>
      </c>
      <c r="C206" t="inlineStr">
        <is>
          <t>cmm4yur11043kcuqwckdjnskl</t>
        </is>
      </c>
      <c r="D206" t="inlineStr">
        <is>
          <t>http://localhost:8787/api/admin/requirements/documents/cmm4yur11043kcuqwckdjnskl/view</t>
        </is>
      </c>
      <c r="E206">
        <f>HYPERLÄNK("http://localhost:8787/api/admin/requirements/documents/cmm4yur11043kcuqwckdjnskl/view";"Öppna PDF")</f>
        <v/>
      </c>
      <c r="F206">
        <f>HYPERLINK("http://localhost:8787/api/admin/requirements/documents/cmm4yur11043kcuqwckdjnskl/view","Open PDF")</f>
        <v/>
      </c>
      <c r="G206" t="inlineStr">
        <is>
          <t>cmm55w57p0004cuisfrtpqly8</t>
        </is>
      </c>
      <c r="H206" t="inlineStr">
        <is>
          <t>Beslutsvillkor</t>
        </is>
      </c>
      <c r="I206" t="inlineStr">
        <is>
          <t>LagringsvolymTid</t>
        </is>
      </c>
      <c r="J206" t="inlineStr">
        <is>
          <t>Maxmangd</t>
        </is>
      </c>
      <c r="K206" t="inlineStr">
        <is>
          <t>Möbler Mellanlagras i betongfack och lastas i samband med borttransport till container.</t>
        </is>
      </c>
      <c r="L206" t="inlineStr">
        <is>
          <t>Möbler Mellanlagras i betongfack och lastas i samband med borttransport till container.</t>
        </is>
      </c>
      <c r="M206" t="inlineStr">
        <is>
          <t>BOR</t>
        </is>
      </c>
      <c r="N206" t="inlineStr"/>
      <c r="O206" t="inlineStr"/>
      <c r="P206" t="inlineStr"/>
      <c r="Q206" t="inlineStr"/>
      <c r="R206" t="inlineStr">
        <is>
          <t>Alltid</t>
        </is>
      </c>
      <c r="S206" t="inlineStr"/>
      <c r="T206" t="inlineStr">
        <is>
          <t>556057</t>
        </is>
      </c>
      <c r="U206" t="inlineStr"/>
      <c r="V206" t="inlineStr"/>
      <c r="W206" t="inlineStr">
        <is>
          <t>Nej</t>
        </is>
      </c>
      <c r="X206" t="inlineStr">
        <is>
          <t>Nej</t>
        </is>
      </c>
      <c r="Y206" t="inlineStr">
        <is>
          <t>Nej</t>
        </is>
      </c>
      <c r="Z206" t="inlineStr">
        <is>
          <t>Nej</t>
        </is>
      </c>
      <c r="AA206" t="n">
        <v>4</v>
      </c>
      <c r="AB206" t="inlineStr">
        <is>
          <t>Avfallsmangder och lagringstid</t>
        </is>
      </c>
      <c r="AC206" t="inlineStr">
        <is>
          <t>Avfallsforteckning</t>
        </is>
      </c>
      <c r="AD206" t="inlineStr">
        <is>
          <t>Nej</t>
        </is>
      </c>
      <c r="AE206" t="inlineStr">
        <is>
          <t>Nej</t>
        </is>
      </c>
      <c r="AF206" t="inlineStr">
        <is>
          <t>Ej behandlad</t>
        </is>
      </c>
      <c r="AG206" t="inlineStr">
        <is>
          <t>AUTO_GENERERAD. Verifiera citat mot kallfil.</t>
        </is>
      </c>
      <c r="AH206" t="inlineStr">
        <is>
          <t>MEDIUM</t>
        </is>
      </c>
      <c r="AI206" t="inlineStr">
        <is>
          <t>AUTO</t>
        </is>
      </c>
      <c r="AJ206" t="inlineStr">
        <is>
          <t>Nej</t>
        </is>
      </c>
      <c r="AK206" t="inlineStr"/>
      <c r="AL206" t="inlineStr"/>
      <c r="AM206" t="inlineStr"/>
      <c r="AN206" t="inlineStr"/>
      <c r="AO206" t="inlineStr">
        <is>
          <t>cmm4yur13043ncuqw78adtuo1</t>
        </is>
      </c>
      <c r="AP206" t="inlineStr">
        <is>
          <t>http://localhost:8787/api/admin/requirements/documents/cmm4yur13043ncuqw78adtuo1/view</t>
        </is>
      </c>
      <c r="AQ206">
        <f>HYPERLÄNK("http://localhost:8787/api/admin/requirements/documents/cmm4yur13043ncuqw78adtuo1/view";"Öppna PDF")</f>
        <v/>
      </c>
      <c r="AR206">
        <f>HYPERLINK("http://localhost:8787/api/admin/requirements/documents/cmm4yur13043ncuqw78adtuo1/view","Open PDF")</f>
        <v/>
      </c>
      <c r="AS206" t="inlineStr">
        <is>
          <t>cmm55w57p0004cuisfrtpqly8</t>
        </is>
      </c>
      <c r="AT206" t="inlineStr">
        <is>
          <t>cmm4xvu980000cuh4vj0usz09</t>
        </is>
      </c>
      <c r="AU206" t="inlineStr">
        <is>
          <t>Miljöprövningsdelegationen Jokkmokks</t>
        </is>
      </c>
      <c r="AV206" t="inlineStr">
        <is>
          <t>Kommun</t>
        </is>
      </c>
      <c r="AW206" t="inlineStr">
        <is>
          <t>Miljöprövningsdelegationen Jokkmokks kommun</t>
        </is>
      </c>
      <c r="AX206" t="inlineStr">
        <is>
          <t>2013:251</t>
        </is>
      </c>
      <c r="AY206" t="inlineStr">
        <is>
          <t>Beslut</t>
        </is>
      </c>
      <c r="AZ206" t="inlineStr">
        <is>
          <t>2026-02-05</t>
        </is>
      </c>
      <c r="BA206" t="inlineStr">
        <is>
          <t>Beslut(26289851) (0)_TMP.pdf</t>
        </is>
      </c>
      <c r="BB206" t="inlineStr">
        <is>
          <t>Sv: till registrator</t>
        </is>
      </c>
      <c r="BC206" t="inlineStr">
        <is>
          <t>AUTO</t>
        </is>
      </c>
      <c r="BD206" t="inlineStr"/>
      <c r="BE206" t="inlineStr"/>
      <c r="BF206" t="inlineStr">
        <is>
          <t>AUTO_GENERERAD. Bekrafta metadata mot kallfil.</t>
        </is>
      </c>
      <c r="BG206">
        <f>HYPERLINK("C:\Users\jimmy\Desktop\Examens arbete\Kod\Ny mapp\remix_-copy-of-miljöbeslut.se-portal\Beslut(26289851) (0)_TMP.pdf", "Öppna PDF")</f>
        <v/>
      </c>
    </row>
    <row r="207">
      <c r="A207" t="inlineStr">
        <is>
          <t>KRAV-AUTO-000206</t>
        </is>
      </c>
      <c r="B207" t="inlineStr">
        <is>
          <t>ADMIN-INDEX-2026-02-27-00000000125C043F57453246863FE664CAFE6A3F0700950291EA24F0614FB6ACEDB12BF0E31D00000000010C0000950291EA24F0614FB6ACEDB12BF0E31D00002087A5C60000</t>
        </is>
      </c>
      <c r="C207" t="inlineStr">
        <is>
          <t>cmm4yur0a042qcuqwf2d6fl9v</t>
        </is>
      </c>
      <c r="D207" t="inlineStr">
        <is>
          <t>http://localhost:8787/api/admin/requirements/documents/cmm4yur0a042qcuqwf2d6fl9v/view</t>
        </is>
      </c>
      <c r="E207">
        <f>HYPERLÄNK("http://localhost:8787/api/admin/requirements/documents/cmm4yur0a042qcuqwf2d6fl9v/view";"Öppna PDF")</f>
        <v/>
      </c>
      <c r="F207">
        <f>HYPERLINK("http://localhost:8787/api/admin/requirements/documents/cmm4yur0a042qcuqwf2d6fl9v/view","Open PDF")</f>
        <v/>
      </c>
      <c r="G207" t="inlineStr">
        <is>
          <t>cmm55w57p0004cuisfrtpqly8</t>
        </is>
      </c>
      <c r="H207" t="inlineStr">
        <is>
          <t>Beslutsvillkor</t>
        </is>
      </c>
      <c r="I207" t="inlineStr">
        <is>
          <t>Ytkonstruktion</t>
        </is>
      </c>
      <c r="J207" t="inlineStr">
        <is>
          <t>Tat yta</t>
        </is>
      </c>
      <c r="K207" t="inlineStr">
        <is>
          <t>Eventuell förvaring utomhus ska ske på ogenomsläpplig och invallad yta under tak eller annat regnskydd.</t>
        </is>
      </c>
      <c r="L207" t="inlineStr">
        <is>
          <t>Eventuell förvaring utomhus ska ske på ogenomsläpplig och invallad yta under tak eller annat regnskydd.</t>
        </is>
      </c>
      <c r="M207" t="inlineStr">
        <is>
          <t>SKA</t>
        </is>
      </c>
      <c r="N207" t="inlineStr"/>
      <c r="O207" t="inlineStr"/>
      <c r="P207" t="inlineStr"/>
      <c r="Q207" t="inlineStr"/>
      <c r="R207" t="inlineStr">
        <is>
          <t>Vid mellanlagring av avfall</t>
        </is>
      </c>
      <c r="S207" t="inlineStr"/>
      <c r="T207" t="inlineStr">
        <is>
          <t>2024 07</t>
        </is>
      </c>
      <c r="U207" t="inlineStr"/>
      <c r="V207" t="inlineStr"/>
      <c r="W207" t="inlineStr">
        <is>
          <t>Ja</t>
        </is>
      </c>
      <c r="X207" t="inlineStr">
        <is>
          <t>Nej</t>
        </is>
      </c>
      <c r="Y207" t="inlineStr">
        <is>
          <t>Nej</t>
        </is>
      </c>
      <c r="Z207" t="inlineStr">
        <is>
          <t>Nej</t>
        </is>
      </c>
      <c r="AA207" t="n">
        <v>5</v>
      </c>
      <c r="AB207" t="inlineStr">
        <is>
          <t>Teknisk beskrivning av platta</t>
        </is>
      </c>
      <c r="AC207" t="inlineStr">
        <is>
          <t>Teknisk ritning platta</t>
        </is>
      </c>
      <c r="AD207" t="inlineStr">
        <is>
          <t>Nej</t>
        </is>
      </c>
      <c r="AE207" t="inlineStr">
        <is>
          <t>Nej</t>
        </is>
      </c>
      <c r="AF207" t="inlineStr">
        <is>
          <t>Ej behandlad</t>
        </is>
      </c>
      <c r="AG207" t="inlineStr">
        <is>
          <t>AUTO_GENERERAD. Verifiera citat mot kallfil.</t>
        </is>
      </c>
      <c r="AH207" t="inlineStr">
        <is>
          <t>MEDIUM</t>
        </is>
      </c>
      <c r="AI207" t="inlineStr">
        <is>
          <t>AUTO</t>
        </is>
      </c>
      <c r="AJ207" t="inlineStr">
        <is>
          <t>Nej</t>
        </is>
      </c>
      <c r="AK207" t="inlineStr"/>
      <c r="AL207" t="inlineStr"/>
      <c r="AM207" t="inlineStr"/>
      <c r="AN207" t="inlineStr"/>
      <c r="AO207" t="inlineStr">
        <is>
          <t>cmm4yur0a042qcuqwf2d6fl9v</t>
        </is>
      </c>
      <c r="AP207" t="inlineStr">
        <is>
          <t>http://localhost:8787/api/admin/requirements/documents/cmm4yur0a042qcuqwf2d6fl9v/view</t>
        </is>
      </c>
      <c r="AQ207">
        <f>HYPERLÄNK("http://localhost:8787/api/admin/requirements/documents/cmm4yur0a042qcuqwf2d6fl9v/view";"Öppna PDF")</f>
        <v/>
      </c>
      <c r="AR207">
        <f>HYPERLINK("http://localhost:8787/api/admin/requirements/documents/cmm4yur0a042qcuqwf2d6fl9v/view","Open PDF")</f>
        <v/>
      </c>
      <c r="AS207" t="inlineStr">
        <is>
          <t>cmm55w57p0004cuisfrtpqly8</t>
        </is>
      </c>
      <c r="AT207" t="inlineStr">
        <is>
          <t>cmm4xvu980000cuh4vj0usz09</t>
        </is>
      </c>
      <c r="AU207" t="inlineStr"/>
      <c r="AV207" t="inlineStr">
        <is>
          <t>Kommun</t>
        </is>
      </c>
      <c r="AW207" t="inlineStr"/>
      <c r="AX207" t="inlineStr">
        <is>
          <t>2024-09</t>
        </is>
      </c>
      <c r="AY207" t="inlineStr">
        <is>
          <t>Beslut</t>
        </is>
      </c>
      <c r="AZ207" t="inlineStr">
        <is>
          <t>2026-02-05</t>
        </is>
      </c>
      <c r="BA207" t="inlineStr">
        <is>
          <t>MILJ20241464.pdf</t>
        </is>
      </c>
      <c r="BB207" t="inlineStr">
        <is>
          <t>Handlingar</t>
        </is>
      </c>
      <c r="BC207" t="inlineStr">
        <is>
          <t>AUTO</t>
        </is>
      </c>
      <c r="BD207" t="inlineStr"/>
      <c r="BE207" t="inlineStr"/>
      <c r="BF207" t="inlineStr">
        <is>
          <t>AUTO_GENERERAD. Bekrafta metadata mot kallfil.</t>
        </is>
      </c>
      <c r="BG207">
        <f>HYPERLINK("C:\Users\jimmy\Desktop\Examens arbete\Kod\Ny mapp\remix_-copy-of-miljöbeslut.se-portal\MILJ20241464.pdf", "Öppna PDF")</f>
        <v/>
      </c>
    </row>
    <row r="208">
      <c r="A208" t="inlineStr">
        <is>
          <t>KRAV-AUTO-000207</t>
        </is>
      </c>
      <c r="B208" t="inlineStr">
        <is>
          <t>ADMIN-INDEX-2026-02-27-00000000125C043F57453246863FE664CAFE6A3F0700950291EA24F0614FB6ACEDB12BF0E31D00000000010C0000950291EA24F0614FB6ACEDB12BF0E31D00002087A5C60000</t>
        </is>
      </c>
      <c r="C208" t="inlineStr">
        <is>
          <t>cmm4yur0a042qcuqwf2d6fl9v</t>
        </is>
      </c>
      <c r="D208" t="inlineStr">
        <is>
          <t>http://localhost:8787/api/admin/requirements/documents/cmm4yur0a042qcuqwf2d6fl9v/view</t>
        </is>
      </c>
      <c r="E208">
        <f>HYPERLÄNK("http://localhost:8787/api/admin/requirements/documents/cmm4yur0a042qcuqwf2d6fl9v/view";"Öppna PDF")</f>
        <v/>
      </c>
      <c r="F208">
        <f>HYPERLINK("http://localhost:8787/api/admin/requirements/documents/cmm4yur0a042qcuqwf2d6fl9v/view","Open PDF")</f>
        <v/>
      </c>
      <c r="G208" t="inlineStr">
        <is>
          <t>cmm55w57p0004cuisfrtpqly8</t>
        </is>
      </c>
      <c r="H208" t="inlineStr">
        <is>
          <t>Beslutsvillkor</t>
        </is>
      </c>
      <c r="I208" t="inlineStr">
        <is>
          <t>LagringsvolymTid</t>
        </is>
      </c>
      <c r="J208" t="inlineStr">
        <is>
          <t>Maxmangd</t>
        </is>
      </c>
      <c r="K208" t="inlineStr">
        <is>
          <t>Verksamheten ska dokumentera mängd metallavfall som förs in och lagras inom fastigheten.</t>
        </is>
      </c>
      <c r="L208" t="inlineStr">
        <is>
          <t>Verksamheten ska dokumentera mängd metallavfall som förs in och lagras inom fastigheten.</t>
        </is>
      </c>
      <c r="M208" t="inlineStr">
        <is>
          <t>SKA</t>
        </is>
      </c>
      <c r="N208" t="inlineStr"/>
      <c r="O208" t="inlineStr"/>
      <c r="P208" t="inlineStr"/>
      <c r="Q208" t="inlineStr"/>
      <c r="R208" t="inlineStr">
        <is>
          <t>Alltid</t>
        </is>
      </c>
      <c r="S208" t="inlineStr"/>
      <c r="T208" t="inlineStr">
        <is>
          <t>2024 07</t>
        </is>
      </c>
      <c r="U208" t="inlineStr"/>
      <c r="V208" t="inlineStr"/>
      <c r="W208" t="inlineStr">
        <is>
          <t>Nej</t>
        </is>
      </c>
      <c r="X208" t="inlineStr">
        <is>
          <t>Nej</t>
        </is>
      </c>
      <c r="Y208" t="inlineStr">
        <is>
          <t>Nej</t>
        </is>
      </c>
      <c r="Z208" t="inlineStr">
        <is>
          <t>Nej</t>
        </is>
      </c>
      <c r="AA208" t="n">
        <v>4</v>
      </c>
      <c r="AB208" t="inlineStr">
        <is>
          <t>Avfallsmangder och lagringstid</t>
        </is>
      </c>
      <c r="AC208" t="inlineStr">
        <is>
          <t>Avfallsforteckning</t>
        </is>
      </c>
      <c r="AD208" t="inlineStr">
        <is>
          <t>Nej</t>
        </is>
      </c>
      <c r="AE208" t="inlineStr">
        <is>
          <t>Nej</t>
        </is>
      </c>
      <c r="AF208" t="inlineStr">
        <is>
          <t>Ej behandlad</t>
        </is>
      </c>
      <c r="AG208" t="inlineStr">
        <is>
          <t>AUTO_GENERERAD. Verifiera citat mot kallfil.</t>
        </is>
      </c>
      <c r="AH208" t="inlineStr">
        <is>
          <t>MEDIUM</t>
        </is>
      </c>
      <c r="AI208" t="inlineStr">
        <is>
          <t>AUTO</t>
        </is>
      </c>
      <c r="AJ208" t="inlineStr">
        <is>
          <t>Nej</t>
        </is>
      </c>
      <c r="AK208" t="inlineStr"/>
      <c r="AL208" t="inlineStr"/>
      <c r="AM208" t="inlineStr"/>
      <c r="AN208" t="inlineStr"/>
      <c r="AO208" t="inlineStr">
        <is>
          <t>cmm4yur0a042qcuqwf2d6fl9v</t>
        </is>
      </c>
      <c r="AP208" t="inlineStr">
        <is>
          <t>http://localhost:8787/api/admin/requirements/documents/cmm4yur0a042qcuqwf2d6fl9v/view</t>
        </is>
      </c>
      <c r="AQ208">
        <f>HYPERLÄNK("http://localhost:8787/api/admin/requirements/documents/cmm4yur0a042qcuqwf2d6fl9v/view";"Öppna PDF")</f>
        <v/>
      </c>
      <c r="AR208">
        <f>HYPERLINK("http://localhost:8787/api/admin/requirements/documents/cmm4yur0a042qcuqwf2d6fl9v/view","Open PDF")</f>
        <v/>
      </c>
      <c r="AS208" t="inlineStr">
        <is>
          <t>cmm55w57p0004cuisfrtpqly8</t>
        </is>
      </c>
      <c r="AT208" t="inlineStr">
        <is>
          <t>cmm4xvu980000cuh4vj0usz09</t>
        </is>
      </c>
      <c r="AU208" t="inlineStr"/>
      <c r="AV208" t="inlineStr">
        <is>
          <t>Kommun</t>
        </is>
      </c>
      <c r="AW208" t="inlineStr"/>
      <c r="AX208" t="inlineStr">
        <is>
          <t>2024-09</t>
        </is>
      </c>
      <c r="AY208" t="inlineStr">
        <is>
          <t>Beslut</t>
        </is>
      </c>
      <c r="AZ208" t="inlineStr">
        <is>
          <t>2026-02-05</t>
        </is>
      </c>
      <c r="BA208" t="inlineStr">
        <is>
          <t>MILJ20241464.pdf</t>
        </is>
      </c>
      <c r="BB208" t="inlineStr">
        <is>
          <t>Handlingar</t>
        </is>
      </c>
      <c r="BC208" t="inlineStr">
        <is>
          <t>AUTO</t>
        </is>
      </c>
      <c r="BD208" t="inlineStr"/>
      <c r="BE208" t="inlineStr"/>
      <c r="BF208" t="inlineStr">
        <is>
          <t>AUTO_GENERERAD. Bekrafta metadata mot kallfil.</t>
        </is>
      </c>
      <c r="BG208">
        <f>HYPERLINK("C:\Users\jimmy\Desktop\Examens arbete\Kod\Ny mapp\remix_-copy-of-miljöbeslut.se-portal\MILJ20241464.pdf", "Öppna PDF")</f>
        <v/>
      </c>
    </row>
    <row r="209">
      <c r="A209" t="inlineStr">
        <is>
          <t>KRAV-AUTO-000208</t>
        </is>
      </c>
      <c r="B209" t="inlineStr">
        <is>
          <t>ADMIN-INDEX-2026-02-27-00000000125C043F57453246863FE664CAFE6A3F0700950291EA24F0614FB6ACEDB12BF0E31D00000000010C0000950291EA24F0614FB6ACEDB12BF0E31D00002087A5C60000</t>
        </is>
      </c>
      <c r="C209" t="inlineStr">
        <is>
          <t>cmm4yur0a042qcuqwf2d6fl9v</t>
        </is>
      </c>
      <c r="D209" t="inlineStr">
        <is>
          <t>http://localhost:8787/api/admin/requirements/documents/cmm4yur0a042qcuqwf2d6fl9v/view</t>
        </is>
      </c>
      <c r="E209">
        <f>HYPERLÄNK("http://localhost:8787/api/admin/requirements/documents/cmm4yur0a042qcuqwf2d6fl9v/view";"Öppna PDF")</f>
        <v/>
      </c>
      <c r="F209">
        <f>HYPERLINK("http://localhost:8787/api/admin/requirements/documents/cmm4yur0a042qcuqwf2d6fl9v/view","Open PDF")</f>
        <v/>
      </c>
      <c r="G209" t="inlineStr">
        <is>
          <t>cmm55w57p0004cuisfrtpqly8</t>
        </is>
      </c>
      <c r="H209" t="inlineStr">
        <is>
          <t>Beslutsvillkor</t>
        </is>
      </c>
      <c r="I209" t="inlineStr">
        <is>
          <t>LagringsvolymTid</t>
        </is>
      </c>
      <c r="J209" t="inlineStr">
        <is>
          <t>Maxmangd</t>
        </is>
      </c>
      <c r="K209" t="inlineStr">
        <is>
          <t>mer än 1 000 ton per kalenderår och avfallet ska användas för byggnads- eller anläggningsändamål, eller 2.</t>
        </is>
      </c>
      <c r="L209" t="inlineStr">
        <is>
          <t>mer än 1 000 ton per kalenderår och avfallet ska användas för byggnads- eller anläggningsändamål, eller 2.</t>
        </is>
      </c>
      <c r="M209" t="inlineStr">
        <is>
          <t>SKA</t>
        </is>
      </c>
      <c r="N209" t="inlineStr"/>
      <c r="O209" t="inlineStr"/>
      <c r="P209" t="inlineStr"/>
      <c r="Q209" t="inlineStr"/>
      <c r="R209" t="inlineStr">
        <is>
          <t>Alltid</t>
        </is>
      </c>
      <c r="S209" t="inlineStr"/>
      <c r="T209" t="inlineStr">
        <is>
          <t>2024 07</t>
        </is>
      </c>
      <c r="U209" t="n">
        <v>0</v>
      </c>
      <c r="V209" t="inlineStr"/>
      <c r="W209" t="inlineStr">
        <is>
          <t>Nej</t>
        </is>
      </c>
      <c r="X209" t="inlineStr">
        <is>
          <t>Nej</t>
        </is>
      </c>
      <c r="Y209" t="inlineStr">
        <is>
          <t>Nej</t>
        </is>
      </c>
      <c r="Z209" t="inlineStr">
        <is>
          <t>Nej</t>
        </is>
      </c>
      <c r="AA209" t="n">
        <v>4</v>
      </c>
      <c r="AB209" t="inlineStr">
        <is>
          <t>Avfallsmangder och lagringstid</t>
        </is>
      </c>
      <c r="AC209" t="inlineStr">
        <is>
          <t>Avfallsforteckning</t>
        </is>
      </c>
      <c r="AD209" t="inlineStr">
        <is>
          <t>Nej</t>
        </is>
      </c>
      <c r="AE209" t="inlineStr">
        <is>
          <t>Nej</t>
        </is>
      </c>
      <c r="AF209" t="inlineStr">
        <is>
          <t>Ej behandlad</t>
        </is>
      </c>
      <c r="AG209" t="inlineStr">
        <is>
          <t>AUTO_GENERERAD. Verifiera citat mot kallfil.</t>
        </is>
      </c>
      <c r="AH209" t="inlineStr">
        <is>
          <t>MEDIUM</t>
        </is>
      </c>
      <c r="AI209" t="inlineStr">
        <is>
          <t>AUTO</t>
        </is>
      </c>
      <c r="AJ209" t="inlineStr">
        <is>
          <t>Nej</t>
        </is>
      </c>
      <c r="AK209" t="inlineStr"/>
      <c r="AL209" t="inlineStr"/>
      <c r="AM209" t="inlineStr"/>
      <c r="AN209" t="inlineStr"/>
      <c r="AO209" t="inlineStr">
        <is>
          <t>cmm4yur0a042qcuqwf2d6fl9v</t>
        </is>
      </c>
      <c r="AP209" t="inlineStr">
        <is>
          <t>http://localhost:8787/api/admin/requirements/documents/cmm4yur0a042qcuqwf2d6fl9v/view</t>
        </is>
      </c>
      <c r="AQ209">
        <f>HYPERLÄNK("http://localhost:8787/api/admin/requirements/documents/cmm4yur0a042qcuqwf2d6fl9v/view";"Öppna PDF")</f>
        <v/>
      </c>
      <c r="AR209">
        <f>HYPERLINK("http://localhost:8787/api/admin/requirements/documents/cmm4yur0a042qcuqwf2d6fl9v/view","Open PDF")</f>
        <v/>
      </c>
      <c r="AS209" t="inlineStr">
        <is>
          <t>cmm55w57p0004cuisfrtpqly8</t>
        </is>
      </c>
      <c r="AT209" t="inlineStr">
        <is>
          <t>cmm4xvu980000cuh4vj0usz09</t>
        </is>
      </c>
      <c r="AU209" t="inlineStr"/>
      <c r="AV209" t="inlineStr">
        <is>
          <t>Kommun</t>
        </is>
      </c>
      <c r="AW209" t="inlineStr"/>
      <c r="AX209" t="inlineStr">
        <is>
          <t>2024-09</t>
        </is>
      </c>
      <c r="AY209" t="inlineStr">
        <is>
          <t>Beslut</t>
        </is>
      </c>
      <c r="AZ209" t="inlineStr">
        <is>
          <t>2026-02-05</t>
        </is>
      </c>
      <c r="BA209" t="inlineStr">
        <is>
          <t>MILJ20241464.pdf</t>
        </is>
      </c>
      <c r="BB209" t="inlineStr">
        <is>
          <t>Handlingar</t>
        </is>
      </c>
      <c r="BC209" t="inlineStr">
        <is>
          <t>AUTO</t>
        </is>
      </c>
      <c r="BD209" t="inlineStr"/>
      <c r="BE209" t="inlineStr"/>
      <c r="BF209" t="inlineStr">
        <is>
          <t>AUTO_GENERERAD. Bekrafta metadata mot kallfil.</t>
        </is>
      </c>
      <c r="BG209">
        <f>HYPERLINK("C:\Users\jimmy\Desktop\Examens arbete\Kod\Ny mapp\remix_-copy-of-miljöbeslut.se-portal\MILJ20241464.pdf", "Öppna PDF")</f>
        <v/>
      </c>
    </row>
    <row r="210">
      <c r="A210" t="inlineStr">
        <is>
          <t>KRAV-AUTO-000209</t>
        </is>
      </c>
      <c r="B210" t="inlineStr">
        <is>
          <t>ADMIN-INDEX-2026-02-27-00000000125C043F57453246863FE664CAFE6A3F0700950291EA24F0614FB6ACEDB12BF0E31D00000000010C0000950291EA24F0614FB6ACEDB12BF0E31D00002087A5C60000</t>
        </is>
      </c>
      <c r="C210" t="inlineStr">
        <is>
          <t>cmm4yur06042kcuqwchioonhf</t>
        </is>
      </c>
      <c r="D210" t="inlineStr">
        <is>
          <t>http://localhost:8787/api/admin/requirements/documents/cmm4yur06042kcuqwchioonhf/view</t>
        </is>
      </c>
      <c r="E210">
        <f>HYPERLÄNK("http://localhost:8787/api/admin/requirements/documents/cmm4yur06042kcuqwchioonhf/view";"Öppna PDF")</f>
        <v/>
      </c>
      <c r="F210">
        <f>HYPERLINK("http://localhost:8787/api/admin/requirements/documents/cmm4yur06042kcuqwchioonhf/view","Open PDF")</f>
        <v/>
      </c>
      <c r="G210" t="inlineStr">
        <is>
          <t>cmm55w57p0004cuisfrtpqly8</t>
        </is>
      </c>
      <c r="H210" t="inlineStr">
        <is>
          <t>Beslutsvillkor</t>
        </is>
      </c>
      <c r="I210" t="inlineStr">
        <is>
          <t>MiljopaverkanForsiktighet</t>
        </is>
      </c>
      <c r="J210" t="inlineStr">
        <is>
          <t>Skyddsatgarder</t>
        </is>
      </c>
      <c r="K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210" t="inlineStr">
        <is>
          <t>SKA</t>
        </is>
      </c>
      <c r="N210" t="inlineStr"/>
      <c r="O210" t="inlineStr"/>
      <c r="P210" t="inlineStr">
        <is>
          <t>Arlig</t>
        </is>
      </c>
      <c r="Q210" t="inlineStr"/>
      <c r="R210" t="inlineStr">
        <is>
          <t>Alltid</t>
        </is>
      </c>
      <c r="S210" t="inlineStr"/>
      <c r="T210" t="inlineStr"/>
      <c r="U210" t="inlineStr"/>
      <c r="V210" t="inlineStr"/>
      <c r="W210" t="inlineStr">
        <is>
          <t>Nej</t>
        </is>
      </c>
      <c r="X210" t="inlineStr">
        <is>
          <t>Nej</t>
        </is>
      </c>
      <c r="Y210" t="inlineStr">
        <is>
          <t>Nej</t>
        </is>
      </c>
      <c r="Z210" t="inlineStr">
        <is>
          <t>Nej</t>
        </is>
      </c>
      <c r="AA210" t="n">
        <v>10</v>
      </c>
      <c r="AB210" t="inlineStr">
        <is>
          <t>Miljopaverkan och forsiktighetsmatt</t>
        </is>
      </c>
      <c r="AC210" t="inlineStr">
        <is>
          <t>Miljo-PM</t>
        </is>
      </c>
      <c r="AD210" t="inlineStr">
        <is>
          <t>Nej</t>
        </is>
      </c>
      <c r="AE210" t="inlineStr">
        <is>
          <t>Nej</t>
        </is>
      </c>
      <c r="AF210" t="inlineStr">
        <is>
          <t>Ej behandlad</t>
        </is>
      </c>
      <c r="AG210" t="inlineStr">
        <is>
          <t>AUTO_GENERERAD. Verifiera citat mot kallfil.</t>
        </is>
      </c>
      <c r="AH210" t="inlineStr">
        <is>
          <t>MEDIUM</t>
        </is>
      </c>
      <c r="AI210" t="inlineStr">
        <is>
          <t>AUTO</t>
        </is>
      </c>
      <c r="AJ210" t="inlineStr">
        <is>
          <t>Nej</t>
        </is>
      </c>
      <c r="AK210" t="inlineStr"/>
      <c r="AL210" t="inlineStr"/>
      <c r="AM210" t="inlineStr"/>
      <c r="AN210" t="inlineStr"/>
      <c r="AO210" t="inlineStr">
        <is>
          <t>cmm4yur0a042qcuqwf2d6fl9v</t>
        </is>
      </c>
      <c r="AP210" t="inlineStr">
        <is>
          <t>http://localhost:8787/api/admin/requirements/documents/cmm4yur0a042qcuqwf2d6fl9v/view</t>
        </is>
      </c>
      <c r="AQ210">
        <f>HYPERLÄNK("http://localhost:8787/api/admin/requirements/documents/cmm4yur0a042qcuqwf2d6fl9v/view";"Öppna PDF")</f>
        <v/>
      </c>
      <c r="AR210">
        <f>HYPERLINK("http://localhost:8787/api/admin/requirements/documents/cmm4yur0a042qcuqwf2d6fl9v/view","Open PDF")</f>
        <v/>
      </c>
      <c r="AS210" t="inlineStr">
        <is>
          <t>cmm55w57p0004cuisfrtpqly8</t>
        </is>
      </c>
      <c r="AT210" t="inlineStr">
        <is>
          <t>cmm4xvu980000cuh4vj0usz09</t>
        </is>
      </c>
      <c r="AU210" t="inlineStr"/>
      <c r="AV210" t="inlineStr">
        <is>
          <t>Kommun</t>
        </is>
      </c>
      <c r="AW210" t="inlineStr"/>
      <c r="AX210" t="inlineStr">
        <is>
          <t>2024-09</t>
        </is>
      </c>
      <c r="AY210" t="inlineStr">
        <is>
          <t>Beslut</t>
        </is>
      </c>
      <c r="AZ210" t="inlineStr">
        <is>
          <t>2026-02-05</t>
        </is>
      </c>
      <c r="BA210" t="inlineStr">
        <is>
          <t>MILJ20241464.pdf</t>
        </is>
      </c>
      <c r="BB210" t="inlineStr">
        <is>
          <t>Handlingar</t>
        </is>
      </c>
      <c r="BC210" t="inlineStr">
        <is>
          <t>AUTO</t>
        </is>
      </c>
      <c r="BD210" t="inlineStr"/>
      <c r="BE210" t="inlineStr"/>
      <c r="BF210" t="inlineStr">
        <is>
          <t>AUTO_GENERERAD. Bekrafta metadata mot kallfil.</t>
        </is>
      </c>
      <c r="BG210">
        <f>HYPERLINK("C:\Users\jimmy\Desktop\Examens arbete\Kod\Ny mapp\remix_-copy-of-miljöbeslut.se-portal\MILJ20241464.pdf", "Öppna PDF")</f>
        <v/>
      </c>
    </row>
    <row r="211">
      <c r="A211" t="inlineStr">
        <is>
          <t>KRAV-AUTO-000210</t>
        </is>
      </c>
      <c r="B211" t="inlineStr">
        <is>
          <t>ADMIN-INDEX-2026-02-27-00000000125C043F57453246863FE664CAFE6A3F0700950291EA24F0614FB6ACEDB12BF0E31D00000000010C0000950291EA24F0614FB6ACEDB12BF0E31D00002087A5C60000</t>
        </is>
      </c>
      <c r="C211" t="inlineStr">
        <is>
          <t>cmm4yur06042kcuqwchioonhf</t>
        </is>
      </c>
      <c r="D211" t="inlineStr">
        <is>
          <t>http://localhost:8787/api/admin/requirements/documents/cmm4yur06042kcuqwchioonhf/view</t>
        </is>
      </c>
      <c r="E211">
        <f>HYPERLÄNK("http://localhost:8787/api/admin/requirements/documents/cmm4yur06042kcuqwchioonhf/view";"Öppna PDF")</f>
        <v/>
      </c>
      <c r="F211">
        <f>HYPERLINK("http://localhost:8787/api/admin/requirements/documents/cmm4yur06042kcuqwchioonhf/view","Open PDF")</f>
        <v/>
      </c>
      <c r="G211" t="inlineStr">
        <is>
          <t>cmm55w57p0004cuisfrtpqly8</t>
        </is>
      </c>
      <c r="H211" t="inlineStr">
        <is>
          <t>Beslutsvillkor</t>
        </is>
      </c>
      <c r="I211" t="inlineStr">
        <is>
          <t>DriftEgenkontroll</t>
        </is>
      </c>
      <c r="J211" t="inlineStr">
        <is>
          <t>Journalforing</t>
        </is>
      </c>
      <c r="K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211" t="inlineStr">
        <is>
          <t>SKA</t>
        </is>
      </c>
      <c r="N211" t="inlineStr"/>
      <c r="O211" t="inlineStr">
        <is>
          <t>2022-04-12</t>
        </is>
      </c>
      <c r="P211" t="inlineStr"/>
      <c r="Q211" t="inlineStr">
        <is>
          <t>Vite</t>
        </is>
      </c>
      <c r="R211" t="inlineStr">
        <is>
          <t>Lopande drift</t>
        </is>
      </c>
      <c r="S211" t="inlineStr"/>
      <c r="T211" t="inlineStr"/>
      <c r="U211" t="inlineStr"/>
      <c r="V211" t="inlineStr"/>
      <c r="W211" t="inlineStr">
        <is>
          <t>Nej</t>
        </is>
      </c>
      <c r="X211" t="inlineStr">
        <is>
          <t>Nej</t>
        </is>
      </c>
      <c r="Y211" t="inlineStr">
        <is>
          <t>Ja</t>
        </is>
      </c>
      <c r="Z211" t="inlineStr">
        <is>
          <t>Nej</t>
        </is>
      </c>
      <c r="AA211" t="n">
        <v>7</v>
      </c>
      <c r="AB211" t="inlineStr">
        <is>
          <t>Egenkontrollrutiner</t>
        </is>
      </c>
      <c r="AC211" t="inlineStr">
        <is>
          <t>Egenkontrollprogram</t>
        </is>
      </c>
      <c r="AD211" t="inlineStr">
        <is>
          <t>Nej</t>
        </is>
      </c>
      <c r="AE211" t="inlineStr">
        <is>
          <t>Nej</t>
        </is>
      </c>
      <c r="AF211" t="inlineStr">
        <is>
          <t>Ej behandlad</t>
        </is>
      </c>
      <c r="AG211" t="inlineStr">
        <is>
          <t>AUTO_GENERERAD. Verifiera citat mot kallfil.</t>
        </is>
      </c>
      <c r="AH211" t="inlineStr">
        <is>
          <t>MEDIUM</t>
        </is>
      </c>
      <c r="AI211" t="inlineStr">
        <is>
          <t>AUTO</t>
        </is>
      </c>
      <c r="AJ211" t="inlineStr">
        <is>
          <t>Nej</t>
        </is>
      </c>
      <c r="AK211" t="inlineStr"/>
      <c r="AL211" t="inlineStr"/>
      <c r="AM211" t="inlineStr"/>
      <c r="AN211" t="inlineStr"/>
      <c r="AO211" t="inlineStr">
        <is>
          <t>cmm4yur0a042qcuqwf2d6fl9v</t>
        </is>
      </c>
      <c r="AP211" t="inlineStr">
        <is>
          <t>http://localhost:8787/api/admin/requirements/documents/cmm4yur0a042qcuqwf2d6fl9v/view</t>
        </is>
      </c>
      <c r="AQ211">
        <f>HYPERLÄNK("http://localhost:8787/api/admin/requirements/documents/cmm4yur0a042qcuqwf2d6fl9v/view";"Öppna PDF")</f>
        <v/>
      </c>
      <c r="AR211">
        <f>HYPERLINK("http://localhost:8787/api/admin/requirements/documents/cmm4yur0a042qcuqwf2d6fl9v/view","Open PDF")</f>
        <v/>
      </c>
      <c r="AS211" t="inlineStr">
        <is>
          <t>cmm55w57p0004cuisfrtpqly8</t>
        </is>
      </c>
      <c r="AT211" t="inlineStr">
        <is>
          <t>cmm4xvu980000cuh4vj0usz09</t>
        </is>
      </c>
      <c r="AU211" t="inlineStr"/>
      <c r="AV211" t="inlineStr">
        <is>
          <t>Kommun</t>
        </is>
      </c>
      <c r="AW211" t="inlineStr"/>
      <c r="AX211" t="inlineStr">
        <is>
          <t>2024-09</t>
        </is>
      </c>
      <c r="AY211" t="inlineStr">
        <is>
          <t>Beslut</t>
        </is>
      </c>
      <c r="AZ211" t="inlineStr">
        <is>
          <t>2026-02-05</t>
        </is>
      </c>
      <c r="BA211" t="inlineStr">
        <is>
          <t>MILJ20241464.pdf</t>
        </is>
      </c>
      <c r="BB211" t="inlineStr">
        <is>
          <t>Handlingar</t>
        </is>
      </c>
      <c r="BC211" t="inlineStr">
        <is>
          <t>AUTO</t>
        </is>
      </c>
      <c r="BD211" t="inlineStr"/>
      <c r="BE211" t="inlineStr"/>
      <c r="BF211" t="inlineStr">
        <is>
          <t>AUTO_GENERERAD. Bekrafta metadata mot kallfil.</t>
        </is>
      </c>
      <c r="BG211">
        <f>HYPERLINK("C:\Users\jimmy\Desktop\Examens arbete\Kod\Ny mapp\remix_-copy-of-miljöbeslut.se-portal\MILJ20241464.pdf", "Öppna PDF")</f>
        <v/>
      </c>
    </row>
    <row r="212">
      <c r="A212" t="inlineStr">
        <is>
          <t>KRAV-AUTO-000211</t>
        </is>
      </c>
      <c r="B212" t="inlineStr">
        <is>
          <t>ADMIN-INDEX-2026-02-27-00000000125C043F57453246863FE664CAFE6A3F0700950291EA24F0614FB6ACEDB12BF0E31D00000000010C0000950291EA24F0614FB6ACEDB12BF0E31D00002087A5C60000</t>
        </is>
      </c>
      <c r="C212" t="inlineStr">
        <is>
          <t>cmm4yur06042kcuqwchioonhf</t>
        </is>
      </c>
      <c r="D212" t="inlineStr">
        <is>
          <t>http://localhost:8787/api/admin/requirements/documents/cmm4yur06042kcuqwchioonhf/view</t>
        </is>
      </c>
      <c r="E212">
        <f>HYPERLÄNK("http://localhost:8787/api/admin/requirements/documents/cmm4yur06042kcuqwchioonhf/view";"Öppna PDF")</f>
        <v/>
      </c>
      <c r="F212">
        <f>HYPERLINK("http://localhost:8787/api/admin/requirements/documents/cmm4yur06042kcuqwchioonhf/view","Open PDF")</f>
        <v/>
      </c>
      <c r="G212" t="inlineStr">
        <is>
          <t>cmm55w57p0004cuisfrtpqly8</t>
        </is>
      </c>
      <c r="H212" t="inlineStr">
        <is>
          <t>Beslutsvillkor</t>
        </is>
      </c>
      <c r="I212" t="inlineStr">
        <is>
          <t>Ytkonstruktion</t>
        </is>
      </c>
      <c r="J212" t="inlineStr">
        <is>
          <t>Tat yta</t>
        </is>
      </c>
      <c r="K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212" t="inlineStr">
        <is>
          <t>SKA</t>
        </is>
      </c>
      <c r="N212" t="inlineStr"/>
      <c r="O212" t="inlineStr"/>
      <c r="P212" t="inlineStr"/>
      <c r="Q212" t="inlineStr"/>
      <c r="R212" t="inlineStr">
        <is>
          <t>Vid mellanlagring av avfall</t>
        </is>
      </c>
      <c r="S212" t="inlineStr"/>
      <c r="T212" t="inlineStr">
        <is>
          <t>12 17 28</t>
        </is>
      </c>
      <c r="U212" t="inlineStr"/>
      <c r="V212" t="inlineStr"/>
      <c r="W212" t="inlineStr">
        <is>
          <t>Ja</t>
        </is>
      </c>
      <c r="X212" t="inlineStr">
        <is>
          <t>Nej</t>
        </is>
      </c>
      <c r="Y212" t="inlineStr">
        <is>
          <t>Nej</t>
        </is>
      </c>
      <c r="Z212" t="inlineStr">
        <is>
          <t>Nej</t>
        </is>
      </c>
      <c r="AA212" t="n">
        <v>5</v>
      </c>
      <c r="AB212" t="inlineStr">
        <is>
          <t>Teknisk beskrivning av platta</t>
        </is>
      </c>
      <c r="AC212" t="inlineStr">
        <is>
          <t>Teknisk ritning platta</t>
        </is>
      </c>
      <c r="AD212" t="inlineStr">
        <is>
          <t>Nej</t>
        </is>
      </c>
      <c r="AE212" t="inlineStr">
        <is>
          <t>Nej</t>
        </is>
      </c>
      <c r="AF212" t="inlineStr">
        <is>
          <t>Ej behandlad</t>
        </is>
      </c>
      <c r="AG212" t="inlineStr">
        <is>
          <t>AUTO_GENERERAD. Verifiera citat mot kallfil.</t>
        </is>
      </c>
      <c r="AH212" t="inlineStr">
        <is>
          <t>MEDIUM</t>
        </is>
      </c>
      <c r="AI212" t="inlineStr">
        <is>
          <t>AUTO</t>
        </is>
      </c>
      <c r="AJ212" t="inlineStr">
        <is>
          <t>Nej</t>
        </is>
      </c>
      <c r="AK212" t="inlineStr"/>
      <c r="AL212" t="inlineStr"/>
      <c r="AM212" t="inlineStr"/>
      <c r="AN212" t="inlineStr"/>
      <c r="AO212" t="inlineStr">
        <is>
          <t>cmm4yur0a042qcuqwf2d6fl9v</t>
        </is>
      </c>
      <c r="AP212" t="inlineStr">
        <is>
          <t>http://localhost:8787/api/admin/requirements/documents/cmm4yur0a042qcuqwf2d6fl9v/view</t>
        </is>
      </c>
      <c r="AQ212">
        <f>HYPERLÄNK("http://localhost:8787/api/admin/requirements/documents/cmm4yur0a042qcuqwf2d6fl9v/view";"Öppna PDF")</f>
        <v/>
      </c>
      <c r="AR212">
        <f>HYPERLINK("http://localhost:8787/api/admin/requirements/documents/cmm4yur0a042qcuqwf2d6fl9v/view","Open PDF")</f>
        <v/>
      </c>
      <c r="AS212" t="inlineStr">
        <is>
          <t>cmm55w57p0004cuisfrtpqly8</t>
        </is>
      </c>
      <c r="AT212" t="inlineStr">
        <is>
          <t>cmm4xvu980000cuh4vj0usz09</t>
        </is>
      </c>
      <c r="AU212" t="inlineStr"/>
      <c r="AV212" t="inlineStr">
        <is>
          <t>Kommun</t>
        </is>
      </c>
      <c r="AW212" t="inlineStr"/>
      <c r="AX212" t="inlineStr">
        <is>
          <t>2024-09</t>
        </is>
      </c>
      <c r="AY212" t="inlineStr">
        <is>
          <t>Beslut</t>
        </is>
      </c>
      <c r="AZ212" t="inlineStr">
        <is>
          <t>2026-02-05</t>
        </is>
      </c>
      <c r="BA212" t="inlineStr">
        <is>
          <t>MILJ20241464.pdf</t>
        </is>
      </c>
      <c r="BB212" t="inlineStr">
        <is>
          <t>Handlingar</t>
        </is>
      </c>
      <c r="BC212" t="inlineStr">
        <is>
          <t>AUTO</t>
        </is>
      </c>
      <c r="BD212" t="inlineStr"/>
      <c r="BE212" t="inlineStr"/>
      <c r="BF212" t="inlineStr">
        <is>
          <t>AUTO_GENERERAD. Bekrafta metadata mot kallfil.</t>
        </is>
      </c>
      <c r="BG212">
        <f>HYPERLINK("C:\Users\jimmy\Desktop\Examens arbete\Kod\Ny mapp\remix_-copy-of-miljöbeslut.se-portal\MILJ20241464.pdf", "Öppna PDF")</f>
        <v/>
      </c>
    </row>
    <row r="213">
      <c r="A213" t="inlineStr">
        <is>
          <t>KRAV-AUTO-000212</t>
        </is>
      </c>
      <c r="B213" t="inlineStr">
        <is>
          <t>ADMIN-INDEX-2026-02-27-00000000125C043F57453246863FE664CAFE6A3F0700950291EA24F0614FB6ACEDB12BF0E31D00000000010C0000950291EA24F0614FB6ACEDB12BF0E31D00002087A5CF0000</t>
        </is>
      </c>
      <c r="C213" t="inlineStr">
        <is>
          <t>cmm4yuqzn041zcuqwy7h3npzx</t>
        </is>
      </c>
      <c r="D213" t="inlineStr">
        <is>
          <t>http://localhost:8787/api/admin/requirements/documents/cmm4yuqzn041zcuqwy7h3npzx/view</t>
        </is>
      </c>
      <c r="E213">
        <f>HYPERLÄNK("http://localhost:8787/api/admin/requirements/documents/cmm4yuqzn041zcuqwy7h3npzx/view";"Öppna PDF")</f>
        <v/>
      </c>
      <c r="F213">
        <f>HYPERLINK("http://localhost:8787/api/admin/requirements/documents/cmm4yuqzn041zcuqwy7h3npzx/view","Open PDF")</f>
        <v/>
      </c>
      <c r="G213" t="inlineStr">
        <is>
          <t>cmm55w57p0004cuisfrtpqly8</t>
        </is>
      </c>
      <c r="H213" t="inlineStr">
        <is>
          <t>Informationskrav</t>
        </is>
      </c>
      <c r="I213" t="inlineStr">
        <is>
          <t>TransportLogistik</t>
        </is>
      </c>
      <c r="J213" t="inlineStr">
        <is>
          <t>Transportvagar</t>
        </is>
      </c>
      <c r="K213" t="inlineStr">
        <is>
          <t>sortera, lagra eller på annat sätt ta befattning med avfall innan det transporteras vidare till den plats där behandlingen ska påbörjas, om åtgärden inte utförs av avfallsproducenten på den plats där avfallet uppkom.</t>
        </is>
      </c>
      <c r="L213" t="inlineStr">
        <is>
          <t>sortera, lagra eller på annat sätt ta befattning med avfall innan det transporteras vidare till den plats där behandlingen ska påbörjas, om åtgärden inte utförs av avfallsproducenten på den plats där avfallet uppkom.</t>
        </is>
      </c>
      <c r="M213" t="inlineStr">
        <is>
          <t>SKA</t>
        </is>
      </c>
      <c r="N213" t="inlineStr"/>
      <c r="O213" t="inlineStr"/>
      <c r="P213" t="inlineStr"/>
      <c r="Q213" t="inlineStr"/>
      <c r="R213" t="inlineStr">
        <is>
          <t>Vid transporter</t>
        </is>
      </c>
      <c r="S213" t="inlineStr"/>
      <c r="T213" t="inlineStr">
        <is>
          <t>556481</t>
        </is>
      </c>
      <c r="U213" t="inlineStr"/>
      <c r="V213" t="inlineStr"/>
      <c r="W213" t="inlineStr">
        <is>
          <t>Nej</t>
        </is>
      </c>
      <c r="X213" t="inlineStr">
        <is>
          <t>Nej</t>
        </is>
      </c>
      <c r="Y213" t="inlineStr">
        <is>
          <t>Nej</t>
        </is>
      </c>
      <c r="Z213" t="inlineStr">
        <is>
          <t>Ja</t>
        </is>
      </c>
      <c r="AA213" t="n">
        <v>9</v>
      </c>
      <c r="AB213" t="inlineStr">
        <is>
          <t>Transporter och logistik</t>
        </is>
      </c>
      <c r="AC213" t="inlineStr">
        <is>
          <t>Trafikplan</t>
        </is>
      </c>
      <c r="AD213" t="inlineStr">
        <is>
          <t>Nej</t>
        </is>
      </c>
      <c r="AE213" t="inlineStr">
        <is>
          <t>Nej</t>
        </is>
      </c>
      <c r="AF213" t="inlineStr">
        <is>
          <t>Ej behandlad</t>
        </is>
      </c>
      <c r="AG213" t="inlineStr">
        <is>
          <t>AUTO_GENERERAD. Verifiera citat mot kallfil.</t>
        </is>
      </c>
      <c r="AH213" t="inlineStr">
        <is>
          <t>MEDIUM</t>
        </is>
      </c>
      <c r="AI213" t="inlineStr">
        <is>
          <t>AUTO</t>
        </is>
      </c>
      <c r="AJ213" t="inlineStr">
        <is>
          <t>Nej</t>
        </is>
      </c>
      <c r="AK213" t="inlineStr"/>
      <c r="AL213" t="inlineStr"/>
      <c r="AM213" t="inlineStr"/>
      <c r="AN213" t="inlineStr"/>
      <c r="AO213" t="inlineStr">
        <is>
          <t>cmm4yuqzn041zcuqwy7h3npzx</t>
        </is>
      </c>
      <c r="AP213" t="inlineStr">
        <is>
          <t>http://localhost:8787/api/admin/requirements/documents/cmm4yuqzn041zcuqwy7h3npzx/view</t>
        </is>
      </c>
      <c r="AQ213">
        <f>HYPERLÄNK("http://localhost:8787/api/admin/requirements/documents/cmm4yuqzn041zcuqwy7h3npzx/view";"Öppna PDF")</f>
        <v/>
      </c>
      <c r="AR213">
        <f>HYPERLINK("http://localhost:8787/api/admin/requirements/documents/cmm4yuqzn041zcuqwy7h3npzx/view","Open PDF")</f>
        <v/>
      </c>
      <c r="AS213" t="inlineStr">
        <is>
          <t>cmm55w57p0004cuisfrtpqly8</t>
        </is>
      </c>
      <c r="AT213" t="inlineStr">
        <is>
          <t>cmm4xvu980000cuh4vj0usz09</t>
        </is>
      </c>
      <c r="AU213" t="inlineStr"/>
      <c r="AV213" t="inlineStr">
        <is>
          <t>Kommun</t>
        </is>
      </c>
      <c r="AW213" t="inlineStr"/>
      <c r="AX213" t="inlineStr">
        <is>
          <t>2025-03</t>
        </is>
      </c>
      <c r="AY213" t="inlineStr">
        <is>
          <t>Anmalan</t>
        </is>
      </c>
      <c r="AZ213" t="inlineStr">
        <is>
          <t>2026-02-05</t>
        </is>
      </c>
      <c r="BA213" t="inlineStr">
        <is>
          <t>Ärendenr 2025-88. MaserFrakt AB. Anmälan och Beslut (2).pdf</t>
        </is>
      </c>
      <c r="BB213" t="inlineStr">
        <is>
          <t>SV: till registrator</t>
        </is>
      </c>
      <c r="BC213" t="inlineStr">
        <is>
          <t>AUTO</t>
        </is>
      </c>
      <c r="BD213" t="inlineStr"/>
      <c r="BE213" t="inlineStr"/>
      <c r="BF213" t="inlineStr">
        <is>
          <t>AUTO_GENERERAD. Bekrafta metadata mot kallfil.</t>
        </is>
      </c>
      <c r="BG213">
        <f>HYPERLINK("C:\Users\jimmy\Desktop\Examens arbete\Kod\Ny mapp\remix_-copy-of-miljöbeslut.se-portal\Ärendenr 2025-88. MaserFrakt AB. Anmälan och Beslut (2).pdf", "Öppna PDF")</f>
        <v/>
      </c>
    </row>
    <row r="214">
      <c r="A214" t="inlineStr">
        <is>
          <t>KRAV-AUTO-000213</t>
        </is>
      </c>
      <c r="B214" t="inlineStr">
        <is>
          <t>ADMIN-INDEX-2026-02-27-00000000125C043F57453246863FE664CAFE6A3F0700950291EA24F0614FB6ACEDB12BF0E31D00000000010C0000950291EA24F0614FB6ACEDB12BF0E31D00002087A5CF0000</t>
        </is>
      </c>
      <c r="C214" t="inlineStr">
        <is>
          <t>cmm4yuqzn041zcuqwy7h3npzx</t>
        </is>
      </c>
      <c r="D214" t="inlineStr">
        <is>
          <t>http://localhost:8787/api/admin/requirements/documents/cmm4yuqzn041zcuqwy7h3npzx/view</t>
        </is>
      </c>
      <c r="E214">
        <f>HYPERLÄNK("http://localhost:8787/api/admin/requirements/documents/cmm4yuqzn041zcuqwy7h3npzx/view";"Öppna PDF")</f>
        <v/>
      </c>
      <c r="F214">
        <f>HYPERLINK("http://localhost:8787/api/admin/requirements/documents/cmm4yuqzn041zcuqwy7h3npzx/view","Open PDF")</f>
        <v/>
      </c>
      <c r="G214" t="inlineStr">
        <is>
          <t>cmm55w57p0004cuisfrtpqly8</t>
        </is>
      </c>
      <c r="H214" t="inlineStr">
        <is>
          <t>Informationskrav</t>
        </is>
      </c>
      <c r="I214" t="inlineStr">
        <is>
          <t>MiljopaverkanForsiktighet</t>
        </is>
      </c>
      <c r="J214" t="inlineStr">
        <is>
          <t>Skyddsatgarder</t>
        </is>
      </c>
      <c r="K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214" t="inlineStr">
        <is>
          <t>SKA</t>
        </is>
      </c>
      <c r="N214" t="inlineStr"/>
      <c r="O214" t="inlineStr"/>
      <c r="P214" t="inlineStr"/>
      <c r="Q214" t="inlineStr"/>
      <c r="R214" t="inlineStr">
        <is>
          <t>Alltid</t>
        </is>
      </c>
      <c r="S214" t="inlineStr"/>
      <c r="T214" t="inlineStr">
        <is>
          <t>556481</t>
        </is>
      </c>
      <c r="U214" t="inlineStr"/>
      <c r="V214" t="inlineStr"/>
      <c r="W214" t="inlineStr">
        <is>
          <t>Nej</t>
        </is>
      </c>
      <c r="X214" t="inlineStr">
        <is>
          <t>Nej</t>
        </is>
      </c>
      <c r="Y214" t="inlineStr">
        <is>
          <t>Nej</t>
        </is>
      </c>
      <c r="Z214" t="inlineStr">
        <is>
          <t>Nej</t>
        </is>
      </c>
      <c r="AA214" t="n">
        <v>10</v>
      </c>
      <c r="AB214" t="inlineStr">
        <is>
          <t>Miljopaverkan och forsiktighetsmatt</t>
        </is>
      </c>
      <c r="AC214" t="inlineStr">
        <is>
          <t>Miljo-PM</t>
        </is>
      </c>
      <c r="AD214" t="inlineStr">
        <is>
          <t>Nej</t>
        </is>
      </c>
      <c r="AE214" t="inlineStr">
        <is>
          <t>Nej</t>
        </is>
      </c>
      <c r="AF214" t="inlineStr">
        <is>
          <t>Ej behandlad</t>
        </is>
      </c>
      <c r="AG214" t="inlineStr">
        <is>
          <t>AUTO_GENERERAD. Verifiera citat mot kallfil.</t>
        </is>
      </c>
      <c r="AH214" t="inlineStr">
        <is>
          <t>MEDIUM</t>
        </is>
      </c>
      <c r="AI214" t="inlineStr">
        <is>
          <t>AUTO</t>
        </is>
      </c>
      <c r="AJ214" t="inlineStr">
        <is>
          <t>Nej</t>
        </is>
      </c>
      <c r="AK214" t="inlineStr"/>
      <c r="AL214" t="inlineStr"/>
      <c r="AM214" t="inlineStr"/>
      <c r="AN214" t="inlineStr"/>
      <c r="AO214" t="inlineStr">
        <is>
          <t>cmm4yuqzn041zcuqwy7h3npzx</t>
        </is>
      </c>
      <c r="AP214" t="inlineStr">
        <is>
          <t>http://localhost:8787/api/admin/requirements/documents/cmm4yuqzn041zcuqwy7h3npzx/view</t>
        </is>
      </c>
      <c r="AQ214">
        <f>HYPERLÄNK("http://localhost:8787/api/admin/requirements/documents/cmm4yuqzn041zcuqwy7h3npzx/view";"Öppna PDF")</f>
        <v/>
      </c>
      <c r="AR214">
        <f>HYPERLINK("http://localhost:8787/api/admin/requirements/documents/cmm4yuqzn041zcuqwy7h3npzx/view","Open PDF")</f>
        <v/>
      </c>
      <c r="AS214" t="inlineStr">
        <is>
          <t>cmm55w57p0004cuisfrtpqly8</t>
        </is>
      </c>
      <c r="AT214" t="inlineStr">
        <is>
          <t>cmm4xvu980000cuh4vj0usz09</t>
        </is>
      </c>
      <c r="AU214" t="inlineStr"/>
      <c r="AV214" t="inlineStr">
        <is>
          <t>Kommun</t>
        </is>
      </c>
      <c r="AW214" t="inlineStr"/>
      <c r="AX214" t="inlineStr">
        <is>
          <t>2025-03</t>
        </is>
      </c>
      <c r="AY214" t="inlineStr">
        <is>
          <t>Anmalan</t>
        </is>
      </c>
      <c r="AZ214" t="inlineStr">
        <is>
          <t>2026-02-05</t>
        </is>
      </c>
      <c r="BA214" t="inlineStr">
        <is>
          <t>Ärendenr 2025-88. MaserFrakt AB. Anmälan och Beslut (2).pdf</t>
        </is>
      </c>
      <c r="BB214" t="inlineStr">
        <is>
          <t>SV: till registrator</t>
        </is>
      </c>
      <c r="BC214" t="inlineStr">
        <is>
          <t>AUTO</t>
        </is>
      </c>
      <c r="BD214" t="inlineStr"/>
      <c r="BE214" t="inlineStr"/>
      <c r="BF214" t="inlineStr">
        <is>
          <t>AUTO_GENERERAD. Bekrafta metadata mot kallfil.</t>
        </is>
      </c>
      <c r="BG214">
        <f>HYPERLINK("C:\Users\jimmy\Desktop\Examens arbete\Kod\Ny mapp\remix_-copy-of-miljöbeslut.se-portal\Ärendenr 2025-88. MaserFrakt AB. Anmälan och Beslut (2).pdf", "Öppna PDF")</f>
        <v/>
      </c>
    </row>
    <row r="215">
      <c r="A215" t="inlineStr">
        <is>
          <t>KRAV-AUTO-000214</t>
        </is>
      </c>
      <c r="B215" t="inlineStr">
        <is>
          <t>ADMIN-INDEX-2026-02-27-00000000125C043F57453246863FE664CAFE6A3F0700950291EA24F0614FB6ACEDB12BF0E31D00000000010C0000950291EA24F0614FB6ACEDB12BF0E31D00002087A5CF0000</t>
        </is>
      </c>
      <c r="C215" t="inlineStr">
        <is>
          <t>cmm4yuqzn041zcuqwy7h3npzx</t>
        </is>
      </c>
      <c r="D215" t="inlineStr">
        <is>
          <t>http://localhost:8787/api/admin/requirements/documents/cmm4yuqzn041zcuqwy7h3npzx/view</t>
        </is>
      </c>
      <c r="E215">
        <f>HYPERLÄNK("http://localhost:8787/api/admin/requirements/documents/cmm4yuqzn041zcuqwy7h3npzx/view";"Öppna PDF")</f>
        <v/>
      </c>
      <c r="F215">
        <f>HYPERLINK("http://localhost:8787/api/admin/requirements/documents/cmm4yuqzn041zcuqwy7h3npzx/view","Open PDF")</f>
        <v/>
      </c>
      <c r="G215" t="inlineStr">
        <is>
          <t>cmm55w57p0004cuisfrtpqly8</t>
        </is>
      </c>
      <c r="H215" t="inlineStr">
        <is>
          <t>Informationskrav</t>
        </is>
      </c>
      <c r="I215" t="inlineStr">
        <is>
          <t>Riskhantering</t>
        </is>
      </c>
      <c r="J215" t="inlineStr">
        <is>
          <t>Riskkontroll</t>
        </is>
      </c>
      <c r="K215" t="inlineStr">
        <is>
          <t>Lag (2016:782) 11 § Den som hanterar avfall ska se till att hanteringen inte skadar eller orsakar risk för skada på människors hälsa eller miljön.</t>
        </is>
      </c>
      <c r="L215" t="inlineStr">
        <is>
          <t>Lag (2016:782) 11 § Den som hanterar avfall ska se till att hanteringen inte skadar eller orsakar risk för skada på människors hälsa eller miljön.</t>
        </is>
      </c>
      <c r="M215" t="inlineStr">
        <is>
          <t>SKA</t>
        </is>
      </c>
      <c r="N215" t="inlineStr"/>
      <c r="O215" t="inlineStr"/>
      <c r="P215" t="inlineStr"/>
      <c r="Q215" t="inlineStr"/>
      <c r="R215" t="inlineStr">
        <is>
          <t>Vid risk for incident</t>
        </is>
      </c>
      <c r="S215" t="inlineStr"/>
      <c r="T215" t="inlineStr">
        <is>
          <t>556481</t>
        </is>
      </c>
      <c r="U215" t="inlineStr"/>
      <c r="V215" t="inlineStr"/>
      <c r="W215" t="inlineStr">
        <is>
          <t>Nej</t>
        </is>
      </c>
      <c r="X215" t="inlineStr">
        <is>
          <t>Nej</t>
        </is>
      </c>
      <c r="Y215" t="inlineStr">
        <is>
          <t>Ja</t>
        </is>
      </c>
      <c r="Z215" t="inlineStr">
        <is>
          <t>Ja</t>
        </is>
      </c>
      <c r="AA215" t="n">
        <v>8</v>
      </c>
      <c r="AB215" t="inlineStr">
        <is>
          <t>Riskhantering</t>
        </is>
      </c>
      <c r="AC215" t="inlineStr">
        <is>
          <t>Risk-PM</t>
        </is>
      </c>
      <c r="AD215" t="inlineStr">
        <is>
          <t>Nej</t>
        </is>
      </c>
      <c r="AE215" t="inlineStr">
        <is>
          <t>Nej</t>
        </is>
      </c>
      <c r="AF215" t="inlineStr">
        <is>
          <t>Ej behandlad</t>
        </is>
      </c>
      <c r="AG215" t="inlineStr">
        <is>
          <t>AUTO_GENERERAD. Verifiera citat mot kallfil.</t>
        </is>
      </c>
      <c r="AH215" t="inlineStr">
        <is>
          <t>MEDIUM</t>
        </is>
      </c>
      <c r="AI215" t="inlineStr">
        <is>
          <t>AUTO</t>
        </is>
      </c>
      <c r="AJ215" t="inlineStr">
        <is>
          <t>Nej</t>
        </is>
      </c>
      <c r="AK215" t="inlineStr"/>
      <c r="AL215" t="inlineStr"/>
      <c r="AM215" t="inlineStr"/>
      <c r="AN215" t="inlineStr"/>
      <c r="AO215" t="inlineStr">
        <is>
          <t>cmm4yuqzn041zcuqwy7h3npzx</t>
        </is>
      </c>
      <c r="AP215" t="inlineStr">
        <is>
          <t>http://localhost:8787/api/admin/requirements/documents/cmm4yuqzn041zcuqwy7h3npzx/view</t>
        </is>
      </c>
      <c r="AQ215">
        <f>HYPERLÄNK("http://localhost:8787/api/admin/requirements/documents/cmm4yuqzn041zcuqwy7h3npzx/view";"Öppna PDF")</f>
        <v/>
      </c>
      <c r="AR215">
        <f>HYPERLINK("http://localhost:8787/api/admin/requirements/documents/cmm4yuqzn041zcuqwy7h3npzx/view","Open PDF")</f>
        <v/>
      </c>
      <c r="AS215" t="inlineStr">
        <is>
          <t>cmm55w57p0004cuisfrtpqly8</t>
        </is>
      </c>
      <c r="AT215" t="inlineStr">
        <is>
          <t>cmm4xvu980000cuh4vj0usz09</t>
        </is>
      </c>
      <c r="AU215" t="inlineStr"/>
      <c r="AV215" t="inlineStr">
        <is>
          <t>Kommun</t>
        </is>
      </c>
      <c r="AW215" t="inlineStr"/>
      <c r="AX215" t="inlineStr">
        <is>
          <t>2025-03</t>
        </is>
      </c>
      <c r="AY215" t="inlineStr">
        <is>
          <t>Anmalan</t>
        </is>
      </c>
      <c r="AZ215" t="inlineStr">
        <is>
          <t>2026-02-05</t>
        </is>
      </c>
      <c r="BA215" t="inlineStr">
        <is>
          <t>Ärendenr 2025-88. MaserFrakt AB. Anmälan och Beslut (2).pdf</t>
        </is>
      </c>
      <c r="BB215" t="inlineStr">
        <is>
          <t>SV: till registrator</t>
        </is>
      </c>
      <c r="BC215" t="inlineStr">
        <is>
          <t>AUTO</t>
        </is>
      </c>
      <c r="BD215" t="inlineStr"/>
      <c r="BE215" t="inlineStr"/>
      <c r="BF215" t="inlineStr">
        <is>
          <t>AUTO_GENERERAD. Bekrafta metadata mot kallfil.</t>
        </is>
      </c>
      <c r="BG215">
        <f>HYPERLINK("C:\Users\jimmy\Desktop\Examens arbete\Kod\Ny mapp\remix_-copy-of-miljöbeslut.se-portal\Ärendenr 2025-88. MaserFrakt AB. Anmälan och Beslut (2).pdf", "Öppna PDF")</f>
        <v/>
      </c>
    </row>
    <row r="216">
      <c r="A216" t="inlineStr">
        <is>
          <t>KRAV-AUTO-000215</t>
        </is>
      </c>
      <c r="B216" t="inlineStr">
        <is>
          <t>ADMIN-INDEX-2026-02-27-00000000125C043F57453246863FE664CAFE6A3F0700950291EA24F0614FB6ACEDB12BF0E31D00000000010C0000950291EA24F0614FB6ACEDB12BF0E31D00002087A5D10000</t>
        </is>
      </c>
      <c r="C216" t="inlineStr">
        <is>
          <t>cmm4yuqwv0415cuqw0pl0005p</t>
        </is>
      </c>
      <c r="D216" t="inlineStr">
        <is>
          <t>http://localhost:8787/api/admin/requirements/documents/cmm4yuqwv0415cuqw0pl0005p/view</t>
        </is>
      </c>
      <c r="E216">
        <f>HYPERLÄNK("http://localhost:8787/api/admin/requirements/documents/cmm4yuqwv0415cuqw0pl0005p/view";"Öppna PDF")</f>
        <v/>
      </c>
      <c r="F216">
        <f>HYPERLINK("http://localhost:8787/api/admin/requirements/documents/cmm4yuqwv0415cuqw0pl0005p/view","Open PDF")</f>
        <v/>
      </c>
      <c r="G216" t="inlineStr">
        <is>
          <t>cmm55w57p0004cuisfrtpqly8</t>
        </is>
      </c>
      <c r="H216" t="inlineStr">
        <is>
          <t>Beslutsvillkor</t>
        </is>
      </c>
      <c r="I216" t="inlineStr">
        <is>
          <t>Riskhantering</t>
        </is>
      </c>
      <c r="J216" t="inlineStr">
        <is>
          <t>Riskkontroll</t>
        </is>
      </c>
      <c r="K216" t="inlineStr">
        <is>
          <t>Den totala mängden farligt avfall som lagras på fastigheten får inte vid något tillfälle överstiga: 30 ton blybatterier, 50 ton elektriska eller elektroniska produkter, eller 1 ton avfall i andra fall, enligt 29 Kap.</t>
        </is>
      </c>
      <c r="L216" t="inlineStr">
        <is>
          <t>Den totala mängden farligt avfall som lagras på fastigheten får inte vid något tillfälle överstiga: 30 ton blybatterier, 50 ton elektriska eller elektroniska produkter, eller 1 ton avfall i andra fall, enligt 29 Kap.</t>
        </is>
      </c>
      <c r="M216" t="inlineStr">
        <is>
          <t>SKA</t>
        </is>
      </c>
      <c r="N216" t="inlineStr"/>
      <c r="O216" t="inlineStr"/>
      <c r="P216" t="inlineStr">
        <is>
          <t>Arlig</t>
        </is>
      </c>
      <c r="Q216" t="inlineStr">
        <is>
          <t>Driftbegransning vid avvikelse</t>
        </is>
      </c>
      <c r="R216" t="inlineStr">
        <is>
          <t>Vid risk for incident</t>
        </is>
      </c>
      <c r="S216" t="inlineStr"/>
      <c r="T216" t="inlineStr">
        <is>
          <t>66 12 92</t>
        </is>
      </c>
      <c r="U216" t="n">
        <v>30</v>
      </c>
      <c r="V216" t="inlineStr"/>
      <c r="W216" t="inlineStr">
        <is>
          <t>Nej</t>
        </is>
      </c>
      <c r="X216" t="inlineStr">
        <is>
          <t>Nej</t>
        </is>
      </c>
      <c r="Y216" t="inlineStr">
        <is>
          <t>Ja</t>
        </is>
      </c>
      <c r="Z216" t="inlineStr">
        <is>
          <t>Ja</t>
        </is>
      </c>
      <c r="AA216" t="n">
        <v>8</v>
      </c>
      <c r="AB216" t="inlineStr">
        <is>
          <t>Riskhantering</t>
        </is>
      </c>
      <c r="AC216" t="inlineStr">
        <is>
          <t>Risk-PM</t>
        </is>
      </c>
      <c r="AD216" t="inlineStr">
        <is>
          <t>Nej</t>
        </is>
      </c>
      <c r="AE216" t="inlineStr">
        <is>
          <t>Nej</t>
        </is>
      </c>
      <c r="AF216" t="inlineStr">
        <is>
          <t>Ej behandlad</t>
        </is>
      </c>
      <c r="AG216" t="inlineStr">
        <is>
          <t>AUTO_GENERERAD. Verifiera citat mot kallfil.</t>
        </is>
      </c>
      <c r="AH216" t="inlineStr">
        <is>
          <t>MEDIUM</t>
        </is>
      </c>
      <c r="AI216" t="inlineStr">
        <is>
          <t>AUTO</t>
        </is>
      </c>
      <c r="AJ216" t="inlineStr">
        <is>
          <t>Nej</t>
        </is>
      </c>
      <c r="AK216" t="inlineStr"/>
      <c r="AL216" t="inlineStr"/>
      <c r="AM216" t="inlineStr"/>
      <c r="AN216" t="inlineStr"/>
      <c r="AO216" t="inlineStr">
        <is>
          <t>cmm4yuqwv0415cuqw0pl0005p</t>
        </is>
      </c>
      <c r="AP216" t="inlineStr">
        <is>
          <t>http://localhost:8787/api/admin/requirements/documents/cmm4yuqwv0415cuqw0pl0005p/view</t>
        </is>
      </c>
      <c r="AQ216">
        <f>HYPERLÄNK("http://localhost:8787/api/admin/requirements/documents/cmm4yuqwv0415cuqw0pl0005p/view";"Öppna PDF")</f>
        <v/>
      </c>
      <c r="AR216">
        <f>HYPERLINK("http://localhost:8787/api/admin/requirements/documents/cmm4yuqwv0415cuqw0pl0005p/view","Open PDF")</f>
        <v/>
      </c>
      <c r="AS216" t="inlineStr">
        <is>
          <t>cmm55w57p0004cuisfrtpqly8</t>
        </is>
      </c>
      <c r="AT216" t="inlineStr">
        <is>
          <t>cmm4xvu980000cuh4vj0usz09</t>
        </is>
      </c>
      <c r="AU216" t="inlineStr"/>
      <c r="AV216" t="inlineStr">
        <is>
          <t>Kommun</t>
        </is>
      </c>
      <c r="AW216" t="inlineStr"/>
      <c r="AX216" t="inlineStr">
        <is>
          <t>0381-66</t>
        </is>
      </c>
      <c r="AY216" t="inlineStr">
        <is>
          <t>Beslut</t>
        </is>
      </c>
      <c r="AZ216" t="inlineStr">
        <is>
          <t>2026-02-05</t>
        </is>
      </c>
      <c r="BA216" t="inlineStr">
        <is>
          <t>YDR Miljö Registrering C-anläggning YDM 2025 131.pdf</t>
        </is>
      </c>
      <c r="BB216" t="inlineStr">
        <is>
          <t>Re: till registrator</t>
        </is>
      </c>
      <c r="BC216" t="inlineStr">
        <is>
          <t>AUTO</t>
        </is>
      </c>
      <c r="BD216" t="inlineStr"/>
      <c r="BE216" t="inlineStr"/>
      <c r="BF216" t="inlineStr">
        <is>
          <t>AUTO_GENERERAD. Bekrafta metadata mot kallfil.</t>
        </is>
      </c>
      <c r="BG216">
        <f>HYPERLINK("C:\Users\jimmy\Desktop\Examens arbete\Kod\Ny mapp\remix_-copy-of-miljöbeslut.se-portal\YDR Miljö Registrering C-anläggning YDM 2025 131.pdf", "Öppna PDF")</f>
        <v/>
      </c>
    </row>
    <row r="217">
      <c r="A217" t="inlineStr">
        <is>
          <t>KRAV-AUTO-000216</t>
        </is>
      </c>
      <c r="B217" t="inlineStr">
        <is>
          <t>ADMIN-INDEX-2026-02-27-00000000125C043F57453246863FE664CAFE6A3F0700950291EA24F0614FB6ACEDB12BF0E31D00000000010C0000950291EA24F0614FB6ACEDB12BF0E31D00002087A5D10000</t>
        </is>
      </c>
      <c r="C217" t="inlineStr">
        <is>
          <t>cmm4yuqwv0415cuqw0pl0005p</t>
        </is>
      </c>
      <c r="D217" t="inlineStr">
        <is>
          <t>http://localhost:8787/api/admin/requirements/documents/cmm4yuqwv0415cuqw0pl0005p/view</t>
        </is>
      </c>
      <c r="E217">
        <f>HYPERLÄNK("http://localhost:8787/api/admin/requirements/documents/cmm4yuqwv0415cuqw0pl0005p/view";"Öppna PDF")</f>
        <v/>
      </c>
      <c r="F217">
        <f>HYPERLINK("http://localhost:8787/api/admin/requirements/documents/cmm4yuqwv0415cuqw0pl0005p/view","Open PDF")</f>
        <v/>
      </c>
      <c r="G217" t="inlineStr">
        <is>
          <t>cmm55w57p0004cuisfrtpqly8</t>
        </is>
      </c>
      <c r="H217" t="inlineStr">
        <is>
          <t>Beslutsvillkor</t>
        </is>
      </c>
      <c r="I217" t="inlineStr">
        <is>
          <t>DagvattenLakvatten</t>
        </is>
      </c>
      <c r="J217" t="inlineStr">
        <is>
          <t>Uppsamling</t>
        </is>
      </c>
      <c r="K217" t="inlineStr">
        <is>
          <t>Uppsamlingskärl och invallningar ska rymma total mängd vätska som kan läcka ut från respektive kärl.</t>
        </is>
      </c>
      <c r="L217" t="inlineStr">
        <is>
          <t>Uppsamlingskärl och invallningar ska rymma total mängd vätska som kan läcka ut från respektive kärl.</t>
        </is>
      </c>
      <c r="M217" t="inlineStr">
        <is>
          <t>SKA</t>
        </is>
      </c>
      <c r="N217" t="inlineStr"/>
      <c r="O217" t="inlineStr"/>
      <c r="P217" t="inlineStr"/>
      <c r="Q217" t="inlineStr"/>
      <c r="R217" t="inlineStr">
        <is>
          <t>Vid nederbord och avrinning</t>
        </is>
      </c>
      <c r="S217" t="inlineStr"/>
      <c r="T217" t="inlineStr">
        <is>
          <t>66 12 92</t>
        </is>
      </c>
      <c r="U217" t="inlineStr"/>
      <c r="V217" t="inlineStr"/>
      <c r="W217" t="inlineStr">
        <is>
          <t>Nej</t>
        </is>
      </c>
      <c r="X217" t="inlineStr">
        <is>
          <t>Ja</t>
        </is>
      </c>
      <c r="Y217" t="inlineStr">
        <is>
          <t>Ja</t>
        </is>
      </c>
      <c r="Z217" t="inlineStr">
        <is>
          <t>Nej</t>
        </is>
      </c>
      <c r="AA217" t="n">
        <v>6</v>
      </c>
      <c r="AB217" t="inlineStr">
        <is>
          <t>Lakvattenhantering</t>
        </is>
      </c>
      <c r="AC217" t="inlineStr">
        <is>
          <t>Flodesschema dagvatten-lakvatten</t>
        </is>
      </c>
      <c r="AD217" t="inlineStr">
        <is>
          <t>Nej</t>
        </is>
      </c>
      <c r="AE217" t="inlineStr">
        <is>
          <t>Nej</t>
        </is>
      </c>
      <c r="AF217" t="inlineStr">
        <is>
          <t>Ej behandlad</t>
        </is>
      </c>
      <c r="AG217" t="inlineStr">
        <is>
          <t>AUTO_GENERERAD. Verifiera citat mot kallfil.</t>
        </is>
      </c>
      <c r="AH217" t="inlineStr">
        <is>
          <t>MEDIUM</t>
        </is>
      </c>
      <c r="AI217" t="inlineStr">
        <is>
          <t>AUTO</t>
        </is>
      </c>
      <c r="AJ217" t="inlineStr">
        <is>
          <t>Nej</t>
        </is>
      </c>
      <c r="AK217" t="inlineStr"/>
      <c r="AL217" t="inlineStr"/>
      <c r="AM217" t="inlineStr"/>
      <c r="AN217" t="inlineStr"/>
      <c r="AO217" t="inlineStr">
        <is>
          <t>cmm4yuqwv0415cuqw0pl0005p</t>
        </is>
      </c>
      <c r="AP217" t="inlineStr">
        <is>
          <t>http://localhost:8787/api/admin/requirements/documents/cmm4yuqwv0415cuqw0pl0005p/view</t>
        </is>
      </c>
      <c r="AQ217">
        <f>HYPERLÄNK("http://localhost:8787/api/admin/requirements/documents/cmm4yuqwv0415cuqw0pl0005p/view";"Öppna PDF")</f>
        <v/>
      </c>
      <c r="AR217">
        <f>HYPERLINK("http://localhost:8787/api/admin/requirements/documents/cmm4yuqwv0415cuqw0pl0005p/view","Open PDF")</f>
        <v/>
      </c>
      <c r="AS217" t="inlineStr">
        <is>
          <t>cmm55w57p0004cuisfrtpqly8</t>
        </is>
      </c>
      <c r="AT217" t="inlineStr">
        <is>
          <t>cmm4xvu980000cuh4vj0usz09</t>
        </is>
      </c>
      <c r="AU217" t="inlineStr"/>
      <c r="AV217" t="inlineStr">
        <is>
          <t>Kommun</t>
        </is>
      </c>
      <c r="AW217" t="inlineStr"/>
      <c r="AX217" t="inlineStr">
        <is>
          <t>0381-66</t>
        </is>
      </c>
      <c r="AY217" t="inlineStr">
        <is>
          <t>Beslut</t>
        </is>
      </c>
      <c r="AZ217" t="inlineStr">
        <is>
          <t>2026-02-05</t>
        </is>
      </c>
      <c r="BA217" t="inlineStr">
        <is>
          <t>YDR Miljö Registrering C-anläggning YDM 2025 131.pdf</t>
        </is>
      </c>
      <c r="BB217" t="inlineStr">
        <is>
          <t>Re: till registrator</t>
        </is>
      </c>
      <c r="BC217" t="inlineStr">
        <is>
          <t>AUTO</t>
        </is>
      </c>
      <c r="BD217" t="inlineStr"/>
      <c r="BE217" t="inlineStr"/>
      <c r="BF217" t="inlineStr">
        <is>
          <t>AUTO_GENERERAD. Bekrafta metadata mot kallfil.</t>
        </is>
      </c>
      <c r="BG217">
        <f>HYPERLINK("C:\Users\jimmy\Desktop\Examens arbete\Kod\Ny mapp\remix_-copy-of-miljöbeslut.se-portal\YDR Miljö Registrering C-anläggning YDM 2025 131.pdf", "Öppna PDF")</f>
        <v/>
      </c>
    </row>
    <row r="218">
      <c r="A218" t="inlineStr">
        <is>
          <t>KRAV-AUTO-000217</t>
        </is>
      </c>
      <c r="B218" t="inlineStr">
        <is>
          <t>ADMIN-INDEX-2026-02-27-00000000125C043F57453246863FE664CAFE6A3F0700950291EA24F0614FB6ACEDB12BF0E31D00000000010C0000950291EA24F0614FB6ACEDB12BF0E31D00002087A5D10000</t>
        </is>
      </c>
      <c r="C218" t="inlineStr">
        <is>
          <t>cmm4yuqwv0415cuqw0pl0005p</t>
        </is>
      </c>
      <c r="D218" t="inlineStr">
        <is>
          <t>http://localhost:8787/api/admin/requirements/documents/cmm4yuqwv0415cuqw0pl0005p/view</t>
        </is>
      </c>
      <c r="E218">
        <f>HYPERLÄNK("http://localhost:8787/api/admin/requirements/documents/cmm4yuqwv0415cuqw0pl0005p/view";"Öppna PDF")</f>
        <v/>
      </c>
      <c r="F218">
        <f>HYPERLINK("http://localhost:8787/api/admin/requirements/documents/cmm4yuqwv0415cuqw0pl0005p/view","Open PDF")</f>
        <v/>
      </c>
      <c r="G218" t="inlineStr">
        <is>
          <t>cmm55w57p0004cuisfrtpqly8</t>
        </is>
      </c>
      <c r="H218" t="inlineStr">
        <is>
          <t>Beslutsvillkor</t>
        </is>
      </c>
      <c r="I218" t="inlineStr">
        <is>
          <t>Ytkonstruktion</t>
        </is>
      </c>
      <c r="J218" t="inlineStr">
        <is>
          <t>Tat yta</t>
        </is>
      </c>
      <c r="K218" t="inlineStr">
        <is>
          <t>Behandling av farligt avfall ska ske inomhus eller invallat och väderskyddat 5.</t>
        </is>
      </c>
      <c r="L218" t="inlineStr">
        <is>
          <t>Behandling av farligt avfall ska ske inomhus eller invallat och väderskyddat 5.</t>
        </is>
      </c>
      <c r="M218" t="inlineStr">
        <is>
          <t>SKA</t>
        </is>
      </c>
      <c r="N218" t="inlineStr"/>
      <c r="O218" t="inlineStr"/>
      <c r="P218" t="inlineStr">
        <is>
          <t>Arlig</t>
        </is>
      </c>
      <c r="Q218" t="inlineStr"/>
      <c r="R218" t="inlineStr">
        <is>
          <t>Vid mellanlagring av avfall</t>
        </is>
      </c>
      <c r="S218" t="inlineStr"/>
      <c r="T218" t="inlineStr">
        <is>
          <t>66 12 92</t>
        </is>
      </c>
      <c r="U218" t="inlineStr"/>
      <c r="V218" t="inlineStr"/>
      <c r="W218" t="inlineStr">
        <is>
          <t>Ja</t>
        </is>
      </c>
      <c r="X218" t="inlineStr">
        <is>
          <t>Nej</t>
        </is>
      </c>
      <c r="Y218" t="inlineStr">
        <is>
          <t>Nej</t>
        </is>
      </c>
      <c r="Z218" t="inlineStr">
        <is>
          <t>Nej</t>
        </is>
      </c>
      <c r="AA218" t="n">
        <v>5</v>
      </c>
      <c r="AB218" t="inlineStr">
        <is>
          <t>Teknisk beskrivning av platta</t>
        </is>
      </c>
      <c r="AC218" t="inlineStr">
        <is>
          <t>Teknisk ritning platta</t>
        </is>
      </c>
      <c r="AD218" t="inlineStr">
        <is>
          <t>Nej</t>
        </is>
      </c>
      <c r="AE218" t="inlineStr">
        <is>
          <t>Nej</t>
        </is>
      </c>
      <c r="AF218" t="inlineStr">
        <is>
          <t>Ej behandlad</t>
        </is>
      </c>
      <c r="AG218" t="inlineStr">
        <is>
          <t>AUTO_GENERERAD. Verifiera citat mot kallfil.</t>
        </is>
      </c>
      <c r="AH218" t="inlineStr">
        <is>
          <t>MEDIUM</t>
        </is>
      </c>
      <c r="AI218" t="inlineStr">
        <is>
          <t>AUTO</t>
        </is>
      </c>
      <c r="AJ218" t="inlineStr">
        <is>
          <t>Nej</t>
        </is>
      </c>
      <c r="AK218" t="inlineStr"/>
      <c r="AL218" t="inlineStr"/>
      <c r="AM218" t="inlineStr"/>
      <c r="AN218" t="inlineStr"/>
      <c r="AO218" t="inlineStr">
        <is>
          <t>cmm4yuqwv0415cuqw0pl0005p</t>
        </is>
      </c>
      <c r="AP218" t="inlineStr">
        <is>
          <t>http://localhost:8787/api/admin/requirements/documents/cmm4yuqwv0415cuqw0pl0005p/view</t>
        </is>
      </c>
      <c r="AQ218">
        <f>HYPERLÄNK("http://localhost:8787/api/admin/requirements/documents/cmm4yuqwv0415cuqw0pl0005p/view";"Öppna PDF")</f>
        <v/>
      </c>
      <c r="AR218">
        <f>HYPERLINK("http://localhost:8787/api/admin/requirements/documents/cmm4yuqwv0415cuqw0pl0005p/view","Open PDF")</f>
        <v/>
      </c>
      <c r="AS218" t="inlineStr">
        <is>
          <t>cmm55w57p0004cuisfrtpqly8</t>
        </is>
      </c>
      <c r="AT218" t="inlineStr">
        <is>
          <t>cmm4xvu980000cuh4vj0usz09</t>
        </is>
      </c>
      <c r="AU218" t="inlineStr"/>
      <c r="AV218" t="inlineStr">
        <is>
          <t>Kommun</t>
        </is>
      </c>
      <c r="AW218" t="inlineStr"/>
      <c r="AX218" t="inlineStr">
        <is>
          <t>0381-66</t>
        </is>
      </c>
      <c r="AY218" t="inlineStr">
        <is>
          <t>Beslut</t>
        </is>
      </c>
      <c r="AZ218" t="inlineStr">
        <is>
          <t>2026-02-05</t>
        </is>
      </c>
      <c r="BA218" t="inlineStr">
        <is>
          <t>YDR Miljö Registrering C-anläggning YDM 2025 131.pdf</t>
        </is>
      </c>
      <c r="BB218" t="inlineStr">
        <is>
          <t>Re: till registrator</t>
        </is>
      </c>
      <c r="BC218" t="inlineStr">
        <is>
          <t>AUTO</t>
        </is>
      </c>
      <c r="BD218" t="inlineStr"/>
      <c r="BE218" t="inlineStr"/>
      <c r="BF218" t="inlineStr">
        <is>
          <t>AUTO_GENERERAD. Bekrafta metadata mot kallfil.</t>
        </is>
      </c>
      <c r="BG218">
        <f>HYPERLINK("C:\Users\jimmy\Desktop\Examens arbete\Kod\Ny mapp\remix_-copy-of-miljöbeslut.se-portal\YDR Miljö Registrering C-anläggning YDM 2025 131.pdf", "Öppna PDF")</f>
        <v/>
      </c>
    </row>
    <row r="219">
      <c r="A219" t="inlineStr">
        <is>
          <t>KRAV-AUTO-000218</t>
        </is>
      </c>
      <c r="B219" t="inlineStr">
        <is>
          <t>ADMIN-INDEX-2026-02-27-00000000125C043F57453246863FE664CAFE6A3F0700950291EA24F0614FB6ACEDB12BF0E31D00000000010C0000950291EA24F0614FB6ACEDB12BF0E31D00002087A5D70000</t>
        </is>
      </c>
      <c r="C219" t="inlineStr">
        <is>
          <t>cmm4yuqwe040ncuqwqo98vhru</t>
        </is>
      </c>
      <c r="D219" t="inlineStr">
        <is>
          <t>http://localhost:8787/api/admin/requirements/documents/cmm4yuqwe040ncuqwqo98vhru/view</t>
        </is>
      </c>
      <c r="E219">
        <f>HYPERLÄNK("http://localhost:8787/api/admin/requirements/documents/cmm4yuqwe040ncuqwqo98vhru/view";"Öppna PDF")</f>
        <v/>
      </c>
      <c r="F219">
        <f>HYPERLINK("http://localhost:8787/api/admin/requirements/documents/cmm4yuqwe040ncuqwqo98vhru/view","Open PDF")</f>
        <v/>
      </c>
      <c r="G219" t="inlineStr">
        <is>
          <t>cmm55w57p0004cuisfrtpqly8</t>
        </is>
      </c>
      <c r="H219" t="inlineStr">
        <is>
          <t>Informationskrav</t>
        </is>
      </c>
      <c r="I219" t="inlineStr">
        <is>
          <t>LagringsvolymTid</t>
        </is>
      </c>
      <c r="J219" t="inlineStr">
        <is>
          <t>Maxmangd</t>
        </is>
      </c>
      <c r="K219" t="inlineStr">
        <is>
          <t>Beskrivning av avfallet Beskriv vilken typ av avfall som ska användas (ange även mängd i ton eller m³) Barlagen 0,16,032 ca.</t>
        </is>
      </c>
      <c r="L219" t="inlineStr">
        <is>
          <t>Beskrivning av avfallet Beskriv vilken typ av avfall som ska användas (ange även mängd i ton eller m³) Barlagen 0,16,032 ca.</t>
        </is>
      </c>
      <c r="M219" t="inlineStr">
        <is>
          <t>SKA</t>
        </is>
      </c>
      <c r="N219" t="inlineStr"/>
      <c r="O219" t="inlineStr"/>
      <c r="P219" t="inlineStr"/>
      <c r="Q219" t="inlineStr"/>
      <c r="R219" t="inlineStr">
        <is>
          <t>Alltid</t>
        </is>
      </c>
      <c r="S219" t="inlineStr"/>
      <c r="T219" t="inlineStr">
        <is>
          <t>556634</t>
        </is>
      </c>
      <c r="U219" t="inlineStr"/>
      <c r="V219" t="inlineStr"/>
      <c r="W219" t="inlineStr">
        <is>
          <t>Nej</t>
        </is>
      </c>
      <c r="X219" t="inlineStr">
        <is>
          <t>Nej</t>
        </is>
      </c>
      <c r="Y219" t="inlineStr">
        <is>
          <t>Nej</t>
        </is>
      </c>
      <c r="Z219" t="inlineStr">
        <is>
          <t>Nej</t>
        </is>
      </c>
      <c r="AA219" t="n">
        <v>4</v>
      </c>
      <c r="AB219" t="inlineStr">
        <is>
          <t>Avfallsmangder och lagringstid</t>
        </is>
      </c>
      <c r="AC219" t="inlineStr">
        <is>
          <t>Avfallsforteckning</t>
        </is>
      </c>
      <c r="AD219" t="inlineStr">
        <is>
          <t>Nej</t>
        </is>
      </c>
      <c r="AE219" t="inlineStr">
        <is>
          <t>Nej</t>
        </is>
      </c>
      <c r="AF219" t="inlineStr">
        <is>
          <t>Ej behandlad</t>
        </is>
      </c>
      <c r="AG219" t="inlineStr">
        <is>
          <t>AUTO_GENERERAD. Verifiera citat mot kallfil.</t>
        </is>
      </c>
      <c r="AH219" t="inlineStr">
        <is>
          <t>MEDIUM</t>
        </is>
      </c>
      <c r="AI219" t="inlineStr">
        <is>
          <t>AUTO</t>
        </is>
      </c>
      <c r="AJ219" t="inlineStr">
        <is>
          <t>Nej</t>
        </is>
      </c>
      <c r="AK219" t="inlineStr"/>
      <c r="AL219" t="inlineStr"/>
      <c r="AM219" t="inlineStr"/>
      <c r="AN219" t="inlineStr"/>
      <c r="AO219" t="inlineStr">
        <is>
          <t>cmm4yuqwe040ncuqwqo98vhru</t>
        </is>
      </c>
      <c r="AP219" t="inlineStr">
        <is>
          <t>http://localhost:8787/api/admin/requirements/documents/cmm4yuqwe040ncuqwqo98vhru/view</t>
        </is>
      </c>
      <c r="AQ219">
        <f>HYPERLÄNK("http://localhost:8787/api/admin/requirements/documents/cmm4yuqwe040ncuqwqo98vhru/view";"Öppna PDF")</f>
        <v/>
      </c>
      <c r="AR219">
        <f>HYPERLINK("http://localhost:8787/api/admin/requirements/documents/cmm4yuqwe040ncuqwqo98vhru/view","Open PDF")</f>
        <v/>
      </c>
      <c r="AS219" t="inlineStr">
        <is>
          <t>cmm55w57p0004cuisfrtpqly8</t>
        </is>
      </c>
      <c r="AT219" t="inlineStr">
        <is>
          <t>cmm4xvu980000cuh4vj0usz09</t>
        </is>
      </c>
      <c r="AU219" t="inlineStr">
        <is>
          <t>Hässleholms</t>
        </is>
      </c>
      <c r="AV219" t="inlineStr">
        <is>
          <t>Kommun</t>
        </is>
      </c>
      <c r="AW219" t="inlineStr">
        <is>
          <t>Hässleholms kommun</t>
        </is>
      </c>
      <c r="AX219" t="inlineStr">
        <is>
          <t>2024-877</t>
        </is>
      </c>
      <c r="AY219" t="inlineStr">
        <is>
          <t>Anmalan</t>
        </is>
      </c>
      <c r="AZ219" t="inlineStr">
        <is>
          <t>2026-02-05</t>
        </is>
      </c>
      <c r="BA219" t="inlineStr">
        <is>
          <t>M-2024-877 - Anmälan.pdf</t>
        </is>
      </c>
      <c r="BB219" t="inlineStr">
        <is>
          <t>Sv:  Begäran om utlämnande av allmän handling – Anmälningar och beslut rörande mellanlagring av avfall samt anläggning av ytor</t>
        </is>
      </c>
      <c r="BC219" t="inlineStr">
        <is>
          <t>AUTO</t>
        </is>
      </c>
      <c r="BD219" t="inlineStr"/>
      <c r="BE219" t="inlineStr"/>
      <c r="BF219" t="inlineStr">
        <is>
          <t>AUTO_GENERERAD. Bekrafta metadata mot kallfil.</t>
        </is>
      </c>
      <c r="BG219">
        <f>HYPERLINK("C:\Users\jimmy\Desktop\Examens arbete\Kod\Ny mapp\remix_-copy-of-miljöbeslut.se-portal\M-2024-877 - Anmälan.pdf", "Öppna PDF")</f>
        <v/>
      </c>
    </row>
    <row r="220">
      <c r="A220" t="inlineStr">
        <is>
          <t>KRAV-AUTO-000219</t>
        </is>
      </c>
      <c r="B220" t="inlineStr">
        <is>
          <t>ADMIN-INDEX-2026-02-27-00000000125C043F57453246863FE664CAFE6A3F0700950291EA24F0614FB6ACEDB12BF0E31D00000000010C0000950291EA24F0614FB6ACEDB12BF0E31D00002087A5D70000</t>
        </is>
      </c>
      <c r="C220" t="inlineStr">
        <is>
          <t>cmm4yuqwe040ncuqwqo98vhru</t>
        </is>
      </c>
      <c r="D220" t="inlineStr">
        <is>
          <t>http://localhost:8787/api/admin/requirements/documents/cmm4yuqwe040ncuqwqo98vhru/view</t>
        </is>
      </c>
      <c r="E220">
        <f>HYPERLÄNK("http://localhost:8787/api/admin/requirements/documents/cmm4yuqwe040ncuqwqo98vhru/view";"Öppna PDF")</f>
        <v/>
      </c>
      <c r="F220">
        <f>HYPERLINK("http://localhost:8787/api/admin/requirements/documents/cmm4yuqwe040ncuqwqo98vhru/view","Open PDF")</f>
        <v/>
      </c>
      <c r="G220" t="inlineStr">
        <is>
          <t>cmm55w57p0004cuisfrtpqly8</t>
        </is>
      </c>
      <c r="H220" t="inlineStr">
        <is>
          <t>Informationskrav</t>
        </is>
      </c>
      <c r="I220" t="inlineStr">
        <is>
          <t>MiljopaverkanForsiktighet</t>
        </is>
      </c>
      <c r="J220" t="inlineStr">
        <is>
          <t>Skyddsatgarder</t>
        </is>
      </c>
      <c r="K220" t="inlineStr">
        <is>
          <t>Beskriv nuvarande och framtida markanvändning på den plats där avfallet ska användas Tomt/fastighet utan bebyggelse som skall bebyggas med 1 plans/1½ plans villor.</t>
        </is>
      </c>
      <c r="L220" t="inlineStr">
        <is>
          <t>Beskriv nuvarande och framtida markanvändning på den plats där avfallet ska användas Tomt/fastighet utan bebyggelse som skall bebyggas med 1 plans/1½ plans villor.</t>
        </is>
      </c>
      <c r="M220" t="inlineStr">
        <is>
          <t>SKA</t>
        </is>
      </c>
      <c r="N220" t="inlineStr"/>
      <c r="O220" t="inlineStr"/>
      <c r="P220" t="inlineStr"/>
      <c r="Q220" t="inlineStr"/>
      <c r="R220" t="inlineStr">
        <is>
          <t>Alltid</t>
        </is>
      </c>
      <c r="S220" t="inlineStr"/>
      <c r="T220" t="inlineStr">
        <is>
          <t>556634</t>
        </is>
      </c>
      <c r="U220" t="inlineStr"/>
      <c r="V220" t="inlineStr"/>
      <c r="W220" t="inlineStr">
        <is>
          <t>Nej</t>
        </is>
      </c>
      <c r="X220" t="inlineStr">
        <is>
          <t>Nej</t>
        </is>
      </c>
      <c r="Y220" t="inlineStr">
        <is>
          <t>Nej</t>
        </is>
      </c>
      <c r="Z220" t="inlineStr">
        <is>
          <t>Nej</t>
        </is>
      </c>
      <c r="AA220" t="n">
        <v>10</v>
      </c>
      <c r="AB220" t="inlineStr">
        <is>
          <t>Miljopaverkan och forsiktighetsmatt</t>
        </is>
      </c>
      <c r="AC220" t="inlineStr">
        <is>
          <t>Miljo-PM</t>
        </is>
      </c>
      <c r="AD220" t="inlineStr">
        <is>
          <t>Nej</t>
        </is>
      </c>
      <c r="AE220" t="inlineStr">
        <is>
          <t>Nej</t>
        </is>
      </c>
      <c r="AF220" t="inlineStr">
        <is>
          <t>Ej behandlad</t>
        </is>
      </c>
      <c r="AG220" t="inlineStr">
        <is>
          <t>AUTO_GENERERAD. Verifiera citat mot kallfil.</t>
        </is>
      </c>
      <c r="AH220" t="inlineStr">
        <is>
          <t>MEDIUM</t>
        </is>
      </c>
      <c r="AI220" t="inlineStr">
        <is>
          <t>AUTO</t>
        </is>
      </c>
      <c r="AJ220" t="inlineStr">
        <is>
          <t>Nej</t>
        </is>
      </c>
      <c r="AK220" t="inlineStr"/>
      <c r="AL220" t="inlineStr"/>
      <c r="AM220" t="inlineStr"/>
      <c r="AN220" t="inlineStr"/>
      <c r="AO220" t="inlineStr">
        <is>
          <t>cmm4yuqwe040ncuqwqo98vhru</t>
        </is>
      </c>
      <c r="AP220" t="inlineStr">
        <is>
          <t>http://localhost:8787/api/admin/requirements/documents/cmm4yuqwe040ncuqwqo98vhru/view</t>
        </is>
      </c>
      <c r="AQ220">
        <f>HYPERLÄNK("http://localhost:8787/api/admin/requirements/documents/cmm4yuqwe040ncuqwqo98vhru/view";"Öppna PDF")</f>
        <v/>
      </c>
      <c r="AR220">
        <f>HYPERLINK("http://localhost:8787/api/admin/requirements/documents/cmm4yuqwe040ncuqwqo98vhru/view","Open PDF")</f>
        <v/>
      </c>
      <c r="AS220" t="inlineStr">
        <is>
          <t>cmm55w57p0004cuisfrtpqly8</t>
        </is>
      </c>
      <c r="AT220" t="inlineStr">
        <is>
          <t>cmm4xvu980000cuh4vj0usz09</t>
        </is>
      </c>
      <c r="AU220" t="inlineStr">
        <is>
          <t>Hässleholms</t>
        </is>
      </c>
      <c r="AV220" t="inlineStr">
        <is>
          <t>Kommun</t>
        </is>
      </c>
      <c r="AW220" t="inlineStr">
        <is>
          <t>Hässleholms kommun</t>
        </is>
      </c>
      <c r="AX220" t="inlineStr">
        <is>
          <t>2024-877</t>
        </is>
      </c>
      <c r="AY220" t="inlineStr">
        <is>
          <t>Anmalan</t>
        </is>
      </c>
      <c r="AZ220" t="inlineStr">
        <is>
          <t>2026-02-05</t>
        </is>
      </c>
      <c r="BA220" t="inlineStr">
        <is>
          <t>M-2024-877 - Anmälan.pdf</t>
        </is>
      </c>
      <c r="BB220" t="inlineStr">
        <is>
          <t>Sv:  Begäran om utlämnande av allmän handling – Anmälningar och beslut rörande mellanlagring av avfall samt anläggning av ytor</t>
        </is>
      </c>
      <c r="BC220" t="inlineStr">
        <is>
          <t>AUTO</t>
        </is>
      </c>
      <c r="BD220" t="inlineStr"/>
      <c r="BE220" t="inlineStr"/>
      <c r="BF220" t="inlineStr">
        <is>
          <t>AUTO_GENERERAD. Bekrafta metadata mot kallfil.</t>
        </is>
      </c>
      <c r="BG220">
        <f>HYPERLINK("C:\Users\jimmy\Desktop\Examens arbete\Kod\Ny mapp\remix_-copy-of-miljöbeslut.se-portal\M-2024-877 - Anmälan.pdf", "Öppna PDF")</f>
        <v/>
      </c>
    </row>
    <row r="221">
      <c r="A221" t="inlineStr">
        <is>
          <t>KRAV-AUTO-000220</t>
        </is>
      </c>
      <c r="B221" t="inlineStr">
        <is>
          <t>ADMIN-INDEX-2026-02-27-00000000125C043F57453246863FE664CAFE6A3F0700950291EA24F0614FB6ACEDB12BF0E31D00000000010C0000950291EA24F0614FB6ACEDB12BF0E31D00002087A5D70000</t>
        </is>
      </c>
      <c r="C221" t="inlineStr">
        <is>
          <t>cmm4yuqwe040ncuqwqo98vhru</t>
        </is>
      </c>
      <c r="D221" t="inlineStr">
        <is>
          <t>http://localhost:8787/api/admin/requirements/documents/cmm4yuqwe040ncuqwqo98vhru/view</t>
        </is>
      </c>
      <c r="E221">
        <f>HYPERLÄNK("http://localhost:8787/api/admin/requirements/documents/cmm4yuqwe040ncuqwqo98vhru/view";"Öppna PDF")</f>
        <v/>
      </c>
      <c r="F221">
        <f>HYPERLINK("http://localhost:8787/api/admin/requirements/documents/cmm4yuqwe040ncuqwqo98vhru/view","Open PDF")</f>
        <v/>
      </c>
      <c r="G221" t="inlineStr">
        <is>
          <t>cmm55w57p0004cuisfrtpqly8</t>
        </is>
      </c>
      <c r="H221" t="inlineStr">
        <is>
          <t>Informationskrav</t>
        </is>
      </c>
      <c r="I221" t="inlineStr">
        <is>
          <t>MiljopaverkanForsiktighet</t>
        </is>
      </c>
      <c r="J221" t="inlineStr">
        <is>
          <t>Skyddsatgarder</t>
        </is>
      </c>
      <c r="K221" t="inlineStr">
        <is>
          <t>Beskrivning av anläggningen Beskriv vad för slags anläggning som avfallet ska användas till och vilken funktion anläggningen fyller uppfyllund tomt som skall bebyggas.</t>
        </is>
      </c>
      <c r="L221" t="inlineStr">
        <is>
          <t>Beskrivning av anläggningen Beskriv vad för slags anläggning som avfallet ska användas till och vilken funktion anläggningen fyller uppfyllund tomt som skall bebyggas.</t>
        </is>
      </c>
      <c r="M221" t="inlineStr">
        <is>
          <t>SKA</t>
        </is>
      </c>
      <c r="N221" t="inlineStr"/>
      <c r="O221" t="inlineStr"/>
      <c r="P221" t="inlineStr"/>
      <c r="Q221" t="inlineStr"/>
      <c r="R221" t="inlineStr">
        <is>
          <t>Alltid</t>
        </is>
      </c>
      <c r="S221" t="inlineStr"/>
      <c r="T221" t="inlineStr">
        <is>
          <t>556634</t>
        </is>
      </c>
      <c r="U221" t="inlineStr"/>
      <c r="V221" t="inlineStr"/>
      <c r="W221" t="inlineStr">
        <is>
          <t>Nej</t>
        </is>
      </c>
      <c r="X221" t="inlineStr">
        <is>
          <t>Nej</t>
        </is>
      </c>
      <c r="Y221" t="inlineStr">
        <is>
          <t>Nej</t>
        </is>
      </c>
      <c r="Z221" t="inlineStr">
        <is>
          <t>Nej</t>
        </is>
      </c>
      <c r="AA221" t="n">
        <v>10</v>
      </c>
      <c r="AB221" t="inlineStr">
        <is>
          <t>Miljopaverkan och forsiktighetsmatt</t>
        </is>
      </c>
      <c r="AC221" t="inlineStr">
        <is>
          <t>Miljo-PM</t>
        </is>
      </c>
      <c r="AD221" t="inlineStr">
        <is>
          <t>Nej</t>
        </is>
      </c>
      <c r="AE221" t="inlineStr">
        <is>
          <t>Nej</t>
        </is>
      </c>
      <c r="AF221" t="inlineStr">
        <is>
          <t>Ej behandlad</t>
        </is>
      </c>
      <c r="AG221" t="inlineStr">
        <is>
          <t>AUTO_GENERERAD. Verifiera citat mot kallfil.</t>
        </is>
      </c>
      <c r="AH221" t="inlineStr">
        <is>
          <t>MEDIUM</t>
        </is>
      </c>
      <c r="AI221" t="inlineStr">
        <is>
          <t>AUTO</t>
        </is>
      </c>
      <c r="AJ221" t="inlineStr">
        <is>
          <t>Nej</t>
        </is>
      </c>
      <c r="AK221" t="inlineStr"/>
      <c r="AL221" t="inlineStr"/>
      <c r="AM221" t="inlineStr"/>
      <c r="AN221" t="inlineStr"/>
      <c r="AO221" t="inlineStr">
        <is>
          <t>cmm4yuqwe040ncuqwqo98vhru</t>
        </is>
      </c>
      <c r="AP221" t="inlineStr">
        <is>
          <t>http://localhost:8787/api/admin/requirements/documents/cmm4yuqwe040ncuqwqo98vhru/view</t>
        </is>
      </c>
      <c r="AQ221">
        <f>HYPERLÄNK("http://localhost:8787/api/admin/requirements/documents/cmm4yuqwe040ncuqwqo98vhru/view";"Öppna PDF")</f>
        <v/>
      </c>
      <c r="AR221">
        <f>HYPERLINK("http://localhost:8787/api/admin/requirements/documents/cmm4yuqwe040ncuqwqo98vhru/view","Open PDF")</f>
        <v/>
      </c>
      <c r="AS221" t="inlineStr">
        <is>
          <t>cmm55w57p0004cuisfrtpqly8</t>
        </is>
      </c>
      <c r="AT221" t="inlineStr">
        <is>
          <t>cmm4xvu980000cuh4vj0usz09</t>
        </is>
      </c>
      <c r="AU221" t="inlineStr">
        <is>
          <t>Hässleholms</t>
        </is>
      </c>
      <c r="AV221" t="inlineStr">
        <is>
          <t>Kommun</t>
        </is>
      </c>
      <c r="AW221" t="inlineStr">
        <is>
          <t>Hässleholms kommun</t>
        </is>
      </c>
      <c r="AX221" t="inlineStr">
        <is>
          <t>2024-877</t>
        </is>
      </c>
      <c r="AY221" t="inlineStr">
        <is>
          <t>Anmalan</t>
        </is>
      </c>
      <c r="AZ221" t="inlineStr">
        <is>
          <t>2026-02-05</t>
        </is>
      </c>
      <c r="BA221" t="inlineStr">
        <is>
          <t>M-2024-877 - Anmälan.pdf</t>
        </is>
      </c>
      <c r="BB221" t="inlineStr">
        <is>
          <t>Sv:  Begäran om utlämnande av allmän handling – Anmälningar och beslut rörande mellanlagring av avfall samt anläggning av ytor</t>
        </is>
      </c>
      <c r="BC221" t="inlineStr">
        <is>
          <t>AUTO</t>
        </is>
      </c>
      <c r="BD221" t="inlineStr"/>
      <c r="BE221" t="inlineStr"/>
      <c r="BF221" t="inlineStr">
        <is>
          <t>AUTO_GENERERAD. Bekrafta metadata mot kallfil.</t>
        </is>
      </c>
      <c r="BG221">
        <f>HYPERLINK("C:\Users\jimmy\Desktop\Examens arbete\Kod\Ny mapp\remix_-copy-of-miljöbeslut.se-portal\M-2024-877 - Anmälan.pdf", "Öppna PDF")</f>
        <v/>
      </c>
    </row>
    <row r="222">
      <c r="A222" t="inlineStr">
        <is>
          <t>KRAV-AUTO-000221</t>
        </is>
      </c>
      <c r="B222" t="inlineStr">
        <is>
          <t>ADMIN-INDEX-2026-02-27-00000000125C043F57453246863FE664CAFE6A3F0700950291EA24F0614FB6ACEDB12BF0E31D00000000010C0000950291EA24F0614FB6ACEDB12BF0E31D00002087A5D80000</t>
        </is>
      </c>
      <c r="C222" t="inlineStr">
        <is>
          <t>cmm4yuqvk03ztcuqwn64kirb8</t>
        </is>
      </c>
      <c r="D222" t="inlineStr">
        <is>
          <t>http://localhost:8787/api/admin/requirements/documents/cmm4yuqvk03ztcuqwn64kirb8/view</t>
        </is>
      </c>
      <c r="E222">
        <f>HYPERLÄNK("http://localhost:8787/api/admin/requirements/documents/cmm4yuqvk03ztcuqwn64kirb8/view";"Öppna PDF")</f>
        <v/>
      </c>
      <c r="F222">
        <f>HYPERLINK("http://localhost:8787/api/admin/requirements/documents/cmm4yuqvk03ztcuqwn64kirb8/view","Open PDF")</f>
        <v/>
      </c>
      <c r="G222" t="inlineStr">
        <is>
          <t>cmm55w57p0004cuisfrtpqly8</t>
        </is>
      </c>
      <c r="H222" t="inlineStr">
        <is>
          <t>Informationskrav</t>
        </is>
      </c>
      <c r="I222" t="inlineStr">
        <is>
          <t>LagringsvolymTid</t>
        </is>
      </c>
      <c r="J222" t="inlineStr">
        <is>
          <t>Maxmangd</t>
        </is>
      </c>
      <c r="K222" t="inlineStr">
        <is>
          <t>Beskrivning av avfallet Beskriv vilken typ av avfall som ska användas (ange även mängd i ton eller m³) Bärlager 0,16,032 ca.</t>
        </is>
      </c>
      <c r="L222" t="inlineStr">
        <is>
          <t>Beskrivning av avfallet Beskriv vilken typ av avfall som ska användas (ange även mängd i ton eller m³) Bärlager 0,16,032 ca.</t>
        </is>
      </c>
      <c r="M222" t="inlineStr">
        <is>
          <t>SKA</t>
        </is>
      </c>
      <c r="N222" t="inlineStr"/>
      <c r="O222" t="inlineStr"/>
      <c r="P222" t="inlineStr"/>
      <c r="Q222" t="inlineStr"/>
      <c r="R222" t="inlineStr">
        <is>
          <t>Alltid</t>
        </is>
      </c>
      <c r="S222" t="inlineStr"/>
      <c r="T222" t="inlineStr">
        <is>
          <t>556634</t>
        </is>
      </c>
      <c r="U222" t="inlineStr"/>
      <c r="V222" t="inlineStr"/>
      <c r="W222" t="inlineStr">
        <is>
          <t>Nej</t>
        </is>
      </c>
      <c r="X222" t="inlineStr">
        <is>
          <t>Nej</t>
        </is>
      </c>
      <c r="Y222" t="inlineStr">
        <is>
          <t>Nej</t>
        </is>
      </c>
      <c r="Z222" t="inlineStr">
        <is>
          <t>Nej</t>
        </is>
      </c>
      <c r="AA222" t="n">
        <v>4</v>
      </c>
      <c r="AB222" t="inlineStr">
        <is>
          <t>Avfallsmangder och lagringstid</t>
        </is>
      </c>
      <c r="AC222" t="inlineStr">
        <is>
          <t>Avfallsforteckning</t>
        </is>
      </c>
      <c r="AD222" t="inlineStr">
        <is>
          <t>Nej</t>
        </is>
      </c>
      <c r="AE222" t="inlineStr">
        <is>
          <t>Nej</t>
        </is>
      </c>
      <c r="AF222" t="inlineStr">
        <is>
          <t>Ej behandlad</t>
        </is>
      </c>
      <c r="AG222" t="inlineStr">
        <is>
          <t>AUTO_GENERERAD. Verifiera citat mot kallfil.</t>
        </is>
      </c>
      <c r="AH222" t="inlineStr">
        <is>
          <t>MEDIUM</t>
        </is>
      </c>
      <c r="AI222" t="inlineStr">
        <is>
          <t>AUTO</t>
        </is>
      </c>
      <c r="AJ222" t="inlineStr">
        <is>
          <t>Nej</t>
        </is>
      </c>
      <c r="AK222" t="inlineStr"/>
      <c r="AL222" t="inlineStr"/>
      <c r="AM222" t="inlineStr"/>
      <c r="AN222" t="inlineStr"/>
      <c r="AO222" t="inlineStr">
        <is>
          <t>cmm4yuqvk03ztcuqwn64kirb8</t>
        </is>
      </c>
      <c r="AP222" t="inlineStr">
        <is>
          <t>http://localhost:8787/api/admin/requirements/documents/cmm4yuqvk03ztcuqwn64kirb8/view</t>
        </is>
      </c>
      <c r="AQ222">
        <f>HYPERLÄNK("http://localhost:8787/api/admin/requirements/documents/cmm4yuqvk03ztcuqwn64kirb8/view";"Öppna PDF")</f>
        <v/>
      </c>
      <c r="AR222">
        <f>HYPERLINK("http://localhost:8787/api/admin/requirements/documents/cmm4yuqvk03ztcuqwn64kirb8/view","Open PDF")</f>
        <v/>
      </c>
      <c r="AS222" t="inlineStr">
        <is>
          <t>cmm55w57p0004cuisfrtpqly8</t>
        </is>
      </c>
      <c r="AT222" t="inlineStr">
        <is>
          <t>cmm4xvu980000cuh4vj0usz09</t>
        </is>
      </c>
      <c r="AU222" t="inlineStr">
        <is>
          <t>Hässleholms</t>
        </is>
      </c>
      <c r="AV222" t="inlineStr">
        <is>
          <t>Kommun</t>
        </is>
      </c>
      <c r="AW222" t="inlineStr">
        <is>
          <t>Hässleholms kommun</t>
        </is>
      </c>
      <c r="AX222" t="inlineStr">
        <is>
          <t>2024-877</t>
        </is>
      </c>
      <c r="AY222" t="inlineStr">
        <is>
          <t>Anmalan</t>
        </is>
      </c>
      <c r="AZ222" t="inlineStr">
        <is>
          <t>2026-02-05</t>
        </is>
      </c>
      <c r="BA222" t="inlineStr">
        <is>
          <t>M-2024-877 - Anmälan.pdf</t>
        </is>
      </c>
      <c r="BB222" t="inlineStr">
        <is>
          <t>Sv:  Begäran om utlämnande av allmän handling – Anmälningar och beslut rörande mellanlagring av avfall samt anläggning av ytor</t>
        </is>
      </c>
      <c r="BC222" t="inlineStr">
        <is>
          <t>AUTO</t>
        </is>
      </c>
      <c r="BD222" t="inlineStr"/>
      <c r="BE222" t="inlineStr"/>
      <c r="BF222" t="inlineStr">
        <is>
          <t>AUTO_GENERERAD. Bekrafta metadata mot kallfil.</t>
        </is>
      </c>
      <c r="BG222">
        <f>HYPERLINK("C:\Users\jimmy\Desktop\Examens arbete\Kod\Ny mapp\remix_-copy-of-miljöbeslut.se-portal\M-2024-877 - Anmälan.pdf", "Öppna PDF")</f>
        <v/>
      </c>
    </row>
    <row r="223">
      <c r="A223" t="inlineStr">
        <is>
          <t>KRAV-AUTO-000222</t>
        </is>
      </c>
      <c r="B223" t="inlineStr">
        <is>
          <t>ADMIN-INDEX-2026-02-27-00000000125C043F57453246863FE664CAFE6A3F0700950291EA24F0614FB6ACEDB12BF0E31D00000000010C0000950291EA24F0614FB6ACEDB12BF0E31D00002087A5D80000</t>
        </is>
      </c>
      <c r="C223" t="inlineStr">
        <is>
          <t>cmm4yuqvk03ztcuqwn64kirb8</t>
        </is>
      </c>
      <c r="D223" t="inlineStr">
        <is>
          <t>http://localhost:8787/api/admin/requirements/documents/cmm4yuqvk03ztcuqwn64kirb8/view</t>
        </is>
      </c>
      <c r="E223">
        <f>HYPERLÄNK("http://localhost:8787/api/admin/requirements/documents/cmm4yuqvk03ztcuqwn64kirb8/view";"Öppna PDF")</f>
        <v/>
      </c>
      <c r="F223">
        <f>HYPERLINK("http://localhost:8787/api/admin/requirements/documents/cmm4yuqvk03ztcuqwn64kirb8/view","Open PDF")</f>
        <v/>
      </c>
      <c r="G223" t="inlineStr">
        <is>
          <t>cmm55w57p0004cuisfrtpqly8</t>
        </is>
      </c>
      <c r="H223" t="inlineStr">
        <is>
          <t>Informationskrav</t>
        </is>
      </c>
      <c r="I223" t="inlineStr">
        <is>
          <t>MiljopaverkanForsiktighet</t>
        </is>
      </c>
      <c r="J223" t="inlineStr">
        <is>
          <t>Skyddsatgarder</t>
        </is>
      </c>
      <c r="K223" t="inlineStr">
        <is>
          <t>Beskriv nuvarande och framtida markanvändning på den plats där avfallet ska användas Tomt/fastighet utan bebyggelse som skall bebyggas med 1 plans/1½ plans villor.</t>
        </is>
      </c>
      <c r="L223" t="inlineStr">
        <is>
          <t>Beskriv nuvarande och framtida markanvändning på den plats där avfallet ska användas Tomt/fastighet utan bebyggelse som skall bebyggas med 1 plans/1½ plans villor.</t>
        </is>
      </c>
      <c r="M223" t="inlineStr">
        <is>
          <t>SKA</t>
        </is>
      </c>
      <c r="N223" t="inlineStr"/>
      <c r="O223" t="inlineStr"/>
      <c r="P223" t="inlineStr"/>
      <c r="Q223" t="inlineStr"/>
      <c r="R223" t="inlineStr">
        <is>
          <t>Alltid</t>
        </is>
      </c>
      <c r="S223" t="inlineStr"/>
      <c r="T223" t="inlineStr">
        <is>
          <t>556634</t>
        </is>
      </c>
      <c r="U223" t="inlineStr"/>
      <c r="V223" t="inlineStr"/>
      <c r="W223" t="inlineStr">
        <is>
          <t>Nej</t>
        </is>
      </c>
      <c r="X223" t="inlineStr">
        <is>
          <t>Nej</t>
        </is>
      </c>
      <c r="Y223" t="inlineStr">
        <is>
          <t>Nej</t>
        </is>
      </c>
      <c r="Z223" t="inlineStr">
        <is>
          <t>Nej</t>
        </is>
      </c>
      <c r="AA223" t="n">
        <v>10</v>
      </c>
      <c r="AB223" t="inlineStr">
        <is>
          <t>Miljopaverkan och forsiktighetsmatt</t>
        </is>
      </c>
      <c r="AC223" t="inlineStr">
        <is>
          <t>Miljo-PM</t>
        </is>
      </c>
      <c r="AD223" t="inlineStr">
        <is>
          <t>Nej</t>
        </is>
      </c>
      <c r="AE223" t="inlineStr">
        <is>
          <t>Nej</t>
        </is>
      </c>
      <c r="AF223" t="inlineStr">
        <is>
          <t>Ej behandlad</t>
        </is>
      </c>
      <c r="AG223" t="inlineStr">
        <is>
          <t>AUTO_GENERERAD. Verifiera citat mot kallfil.</t>
        </is>
      </c>
      <c r="AH223" t="inlineStr">
        <is>
          <t>MEDIUM</t>
        </is>
      </c>
      <c r="AI223" t="inlineStr">
        <is>
          <t>AUTO</t>
        </is>
      </c>
      <c r="AJ223" t="inlineStr">
        <is>
          <t>Nej</t>
        </is>
      </c>
      <c r="AK223" t="inlineStr"/>
      <c r="AL223" t="inlineStr"/>
      <c r="AM223" t="inlineStr"/>
      <c r="AN223" t="inlineStr"/>
      <c r="AO223" t="inlineStr">
        <is>
          <t>cmm4yuqvk03ztcuqwn64kirb8</t>
        </is>
      </c>
      <c r="AP223" t="inlineStr">
        <is>
          <t>http://localhost:8787/api/admin/requirements/documents/cmm4yuqvk03ztcuqwn64kirb8/view</t>
        </is>
      </c>
      <c r="AQ223">
        <f>HYPERLÄNK("http://localhost:8787/api/admin/requirements/documents/cmm4yuqvk03ztcuqwn64kirb8/view";"Öppna PDF")</f>
        <v/>
      </c>
      <c r="AR223">
        <f>HYPERLINK("http://localhost:8787/api/admin/requirements/documents/cmm4yuqvk03ztcuqwn64kirb8/view","Open PDF")</f>
        <v/>
      </c>
      <c r="AS223" t="inlineStr">
        <is>
          <t>cmm55w57p0004cuisfrtpqly8</t>
        </is>
      </c>
      <c r="AT223" t="inlineStr">
        <is>
          <t>cmm4xvu980000cuh4vj0usz09</t>
        </is>
      </c>
      <c r="AU223" t="inlineStr">
        <is>
          <t>Hässleholms</t>
        </is>
      </c>
      <c r="AV223" t="inlineStr">
        <is>
          <t>Kommun</t>
        </is>
      </c>
      <c r="AW223" t="inlineStr">
        <is>
          <t>Hässleholms kommun</t>
        </is>
      </c>
      <c r="AX223" t="inlineStr">
        <is>
          <t>2024-877</t>
        </is>
      </c>
      <c r="AY223" t="inlineStr">
        <is>
          <t>Anmalan</t>
        </is>
      </c>
      <c r="AZ223" t="inlineStr">
        <is>
          <t>2026-02-05</t>
        </is>
      </c>
      <c r="BA223" t="inlineStr">
        <is>
          <t>M-2024-877 - Anmälan.pdf</t>
        </is>
      </c>
      <c r="BB223" t="inlineStr">
        <is>
          <t>Sv:  Begäran om utlämnande av allmän handling – Anmälningar och beslut rörande mellanlagring av avfall samt anläggning av ytor</t>
        </is>
      </c>
      <c r="BC223" t="inlineStr">
        <is>
          <t>AUTO</t>
        </is>
      </c>
      <c r="BD223" t="inlineStr"/>
      <c r="BE223" t="inlineStr"/>
      <c r="BF223" t="inlineStr">
        <is>
          <t>AUTO_GENERERAD. Bekrafta metadata mot kallfil.</t>
        </is>
      </c>
      <c r="BG223">
        <f>HYPERLINK("C:\Users\jimmy\Desktop\Examens arbete\Kod\Ny mapp\remix_-copy-of-miljöbeslut.se-portal\M-2024-877 - Anmälan.pdf", "Öppna PDF")</f>
        <v/>
      </c>
    </row>
    <row r="224">
      <c r="A224" t="inlineStr">
        <is>
          <t>KRAV-AUTO-000223</t>
        </is>
      </c>
      <c r="B224" t="inlineStr">
        <is>
          <t>ADMIN-INDEX-2026-02-27-00000000125C043F57453246863FE664CAFE6A3F0700950291EA24F0614FB6ACEDB12BF0E31D00000000010C0000950291EA24F0614FB6ACEDB12BF0E31D00002087A5D80000</t>
        </is>
      </c>
      <c r="C224" t="inlineStr">
        <is>
          <t>cmm4yuqvk03ztcuqwn64kirb8</t>
        </is>
      </c>
      <c r="D224" t="inlineStr">
        <is>
          <t>http://localhost:8787/api/admin/requirements/documents/cmm4yuqvk03ztcuqwn64kirb8/view</t>
        </is>
      </c>
      <c r="E224">
        <f>HYPERLÄNK("http://localhost:8787/api/admin/requirements/documents/cmm4yuqvk03ztcuqwn64kirb8/view";"Öppna PDF")</f>
        <v/>
      </c>
      <c r="F224">
        <f>HYPERLINK("http://localhost:8787/api/admin/requirements/documents/cmm4yuqvk03ztcuqwn64kirb8/view","Open PDF")</f>
        <v/>
      </c>
      <c r="G224" t="inlineStr">
        <is>
          <t>cmm55w57p0004cuisfrtpqly8</t>
        </is>
      </c>
      <c r="H224" t="inlineStr">
        <is>
          <t>Informationskrav</t>
        </is>
      </c>
      <c r="I224" t="inlineStr">
        <is>
          <t>MiljopaverkanForsiktighet</t>
        </is>
      </c>
      <c r="J224" t="inlineStr">
        <is>
          <t>Skyddsatgarder</t>
        </is>
      </c>
      <c r="K224" t="inlineStr">
        <is>
          <t>Beskrivning av anläggningen Beskriv vad för slags anläggning som avfallet ska användas till och vilken funktion anläggningen fyller Uppfyllund tomt som skall bebyggas.</t>
        </is>
      </c>
      <c r="L224" t="inlineStr">
        <is>
          <t>Beskrivning av anläggningen Beskriv vad för slags anläggning som avfallet ska användas till och vilken funktion anläggningen fyller Uppfyllund tomt som skall bebyggas.</t>
        </is>
      </c>
      <c r="M224" t="inlineStr">
        <is>
          <t>SKA</t>
        </is>
      </c>
      <c r="N224" t="inlineStr"/>
      <c r="O224" t="inlineStr"/>
      <c r="P224" t="inlineStr"/>
      <c r="Q224" t="inlineStr"/>
      <c r="R224" t="inlineStr">
        <is>
          <t>Alltid</t>
        </is>
      </c>
      <c r="S224" t="inlineStr"/>
      <c r="T224" t="inlineStr">
        <is>
          <t>556634</t>
        </is>
      </c>
      <c r="U224" t="inlineStr"/>
      <c r="V224" t="inlineStr"/>
      <c r="W224" t="inlineStr">
        <is>
          <t>Nej</t>
        </is>
      </c>
      <c r="X224" t="inlineStr">
        <is>
          <t>Nej</t>
        </is>
      </c>
      <c r="Y224" t="inlineStr">
        <is>
          <t>Nej</t>
        </is>
      </c>
      <c r="Z224" t="inlineStr">
        <is>
          <t>Nej</t>
        </is>
      </c>
      <c r="AA224" t="n">
        <v>10</v>
      </c>
      <c r="AB224" t="inlineStr">
        <is>
          <t>Miljopaverkan och forsiktighetsmatt</t>
        </is>
      </c>
      <c r="AC224" t="inlineStr">
        <is>
          <t>Miljo-PM</t>
        </is>
      </c>
      <c r="AD224" t="inlineStr">
        <is>
          <t>Nej</t>
        </is>
      </c>
      <c r="AE224" t="inlineStr">
        <is>
          <t>Nej</t>
        </is>
      </c>
      <c r="AF224" t="inlineStr">
        <is>
          <t>Ej behandlad</t>
        </is>
      </c>
      <c r="AG224" t="inlineStr">
        <is>
          <t>AUTO_GENERERAD. Verifiera citat mot kallfil.</t>
        </is>
      </c>
      <c r="AH224" t="inlineStr">
        <is>
          <t>MEDIUM</t>
        </is>
      </c>
      <c r="AI224" t="inlineStr">
        <is>
          <t>AUTO</t>
        </is>
      </c>
      <c r="AJ224" t="inlineStr">
        <is>
          <t>Nej</t>
        </is>
      </c>
      <c r="AK224" t="inlineStr"/>
      <c r="AL224" t="inlineStr"/>
      <c r="AM224" t="inlineStr"/>
      <c r="AN224" t="inlineStr"/>
      <c r="AO224" t="inlineStr">
        <is>
          <t>cmm4yuqvk03ztcuqwn64kirb8</t>
        </is>
      </c>
      <c r="AP224" t="inlineStr">
        <is>
          <t>http://localhost:8787/api/admin/requirements/documents/cmm4yuqvk03ztcuqwn64kirb8/view</t>
        </is>
      </c>
      <c r="AQ224">
        <f>HYPERLÄNK("http://localhost:8787/api/admin/requirements/documents/cmm4yuqvk03ztcuqwn64kirb8/view";"Öppna PDF")</f>
        <v/>
      </c>
      <c r="AR224">
        <f>HYPERLINK("http://localhost:8787/api/admin/requirements/documents/cmm4yuqvk03ztcuqwn64kirb8/view","Open PDF")</f>
        <v/>
      </c>
      <c r="AS224" t="inlineStr">
        <is>
          <t>cmm55w57p0004cuisfrtpqly8</t>
        </is>
      </c>
      <c r="AT224" t="inlineStr">
        <is>
          <t>cmm4xvu980000cuh4vj0usz09</t>
        </is>
      </c>
      <c r="AU224" t="inlineStr">
        <is>
          <t>Hässleholms</t>
        </is>
      </c>
      <c r="AV224" t="inlineStr">
        <is>
          <t>Kommun</t>
        </is>
      </c>
      <c r="AW224" t="inlineStr">
        <is>
          <t>Hässleholms kommun</t>
        </is>
      </c>
      <c r="AX224" t="inlineStr">
        <is>
          <t>2024-877</t>
        </is>
      </c>
      <c r="AY224" t="inlineStr">
        <is>
          <t>Anmalan</t>
        </is>
      </c>
      <c r="AZ224" t="inlineStr">
        <is>
          <t>2026-02-05</t>
        </is>
      </c>
      <c r="BA224" t="inlineStr">
        <is>
          <t>M-2024-877 - Anmälan.pdf</t>
        </is>
      </c>
      <c r="BB224" t="inlineStr">
        <is>
          <t>Sv:  Begäran om utlämnande av allmän handling – Anmälningar och beslut rörande mellanlagring av avfall samt anläggning av ytor</t>
        </is>
      </c>
      <c r="BC224" t="inlineStr">
        <is>
          <t>AUTO</t>
        </is>
      </c>
      <c r="BD224" t="inlineStr"/>
      <c r="BE224" t="inlineStr"/>
      <c r="BF224" t="inlineStr">
        <is>
          <t>AUTO_GENERERAD. Bekrafta metadata mot kallfil.</t>
        </is>
      </c>
      <c r="BG224">
        <f>HYPERLINK("C:\Users\jimmy\Desktop\Examens arbete\Kod\Ny mapp\remix_-copy-of-miljöbeslut.se-portal\M-2024-877 - Anmälan.pdf", "Öppna PDF")</f>
        <v/>
      </c>
    </row>
    <row r="225">
      <c r="A225" t="inlineStr">
        <is>
          <t>KRAV-AUTO-000224</t>
        </is>
      </c>
      <c r="B225" t="inlineStr">
        <is>
          <t>ADMIN-INDEX-2026-02-27-00000000125C043F57453246863FE664CAFE6A3F0700950291EA24F0614FB6ACEDB12BF0E31D00000000010C0000950291EA24F0614FB6ACEDB12BF0E31D00002087A5D90000</t>
        </is>
      </c>
      <c r="C225" t="inlineStr">
        <is>
          <t>cmm4yuquq03yzcuqwmekbklcz</t>
        </is>
      </c>
      <c r="D225" t="inlineStr">
        <is>
          <t>http://localhost:8787/api/admin/requirements/documents/cmm4yuquq03yzcuqwmekbklcz/view</t>
        </is>
      </c>
      <c r="E225">
        <f>HYPERLÄNK("http://localhost:8787/api/admin/requirements/documents/cmm4yuquq03yzcuqwmekbklcz/view";"Öppna PDF")</f>
        <v/>
      </c>
      <c r="F225">
        <f>HYPERLINK("http://localhost:8787/api/admin/requirements/documents/cmm4yuquq03yzcuqwmekbklcz/view","Open PDF")</f>
        <v/>
      </c>
      <c r="G225" t="inlineStr">
        <is>
          <t>cmm55w57p0004cuisfrtpqly8</t>
        </is>
      </c>
      <c r="H225" t="inlineStr">
        <is>
          <t>Informationskrav</t>
        </is>
      </c>
      <c r="I225" t="inlineStr">
        <is>
          <t>Riskhantering</t>
        </is>
      </c>
      <c r="J225" t="inlineStr">
        <is>
          <t>Riskkontroll</t>
        </is>
      </c>
      <c r="K225" t="inlineStr">
        <is>
          <t>Historisk har området delvis varit öppen mark varför vi anser att det inte krävs en anmälan för att skapa ny odlingsmark, se bilaga.</t>
        </is>
      </c>
      <c r="L225" t="inlineStr">
        <is>
          <t>Historisk har området delvis varit öppen mark varför vi anser att det inte krävs en anmälan för att skapa ny odlingsmark, se bilaga.</t>
        </is>
      </c>
      <c r="M225" t="inlineStr">
        <is>
          <t>SKA</t>
        </is>
      </c>
      <c r="N225" t="inlineStr"/>
      <c r="O225" t="inlineStr"/>
      <c r="P225" t="inlineStr"/>
      <c r="Q225" t="inlineStr"/>
      <c r="R225" t="inlineStr">
        <is>
          <t>Vid risk for incident</t>
        </is>
      </c>
      <c r="S225" t="inlineStr"/>
      <c r="T225" t="inlineStr">
        <is>
          <t>556876</t>
        </is>
      </c>
      <c r="U225" t="inlineStr"/>
      <c r="V225" t="inlineStr"/>
      <c r="W225" t="inlineStr">
        <is>
          <t>Nej</t>
        </is>
      </c>
      <c r="X225" t="inlineStr">
        <is>
          <t>Nej</t>
        </is>
      </c>
      <c r="Y225" t="inlineStr">
        <is>
          <t>Ja</t>
        </is>
      </c>
      <c r="Z225" t="inlineStr">
        <is>
          <t>Ja</t>
        </is>
      </c>
      <c r="AA225" t="n">
        <v>8</v>
      </c>
      <c r="AB225" t="inlineStr">
        <is>
          <t>Riskhantering</t>
        </is>
      </c>
      <c r="AC225" t="inlineStr">
        <is>
          <t>Risk-PM</t>
        </is>
      </c>
      <c r="AD225" t="inlineStr">
        <is>
          <t>Nej</t>
        </is>
      </c>
      <c r="AE225" t="inlineStr">
        <is>
          <t>Nej</t>
        </is>
      </c>
      <c r="AF225" t="inlineStr">
        <is>
          <t>Ej behandlad</t>
        </is>
      </c>
      <c r="AG225" t="inlineStr">
        <is>
          <t>AUTO_GENERERAD. Verifiera citat mot kallfil.</t>
        </is>
      </c>
      <c r="AH225" t="inlineStr">
        <is>
          <t>MEDIUM</t>
        </is>
      </c>
      <c r="AI225" t="inlineStr">
        <is>
          <t>AUTO</t>
        </is>
      </c>
      <c r="AJ225" t="inlineStr">
        <is>
          <t>Nej</t>
        </is>
      </c>
      <c r="AK225" t="inlineStr"/>
      <c r="AL225" t="inlineStr"/>
      <c r="AM225" t="inlineStr"/>
      <c r="AN225" t="inlineStr"/>
      <c r="AO225" t="inlineStr">
        <is>
          <t>cmm4yuquq03yzcuqwmekbklcz</t>
        </is>
      </c>
      <c r="AP225" t="inlineStr">
        <is>
          <t>http://localhost:8787/api/admin/requirements/documents/cmm4yuquq03yzcuqwmekbklcz/view</t>
        </is>
      </c>
      <c r="AQ225">
        <f>HYPERLÄNK("http://localhost:8787/api/admin/requirements/documents/cmm4yuquq03yzcuqwmekbklcz/view";"Öppna PDF")</f>
        <v/>
      </c>
      <c r="AR225">
        <f>HYPERLINK("http://localhost:8787/api/admin/requirements/documents/cmm4yuquq03yzcuqwmekbklcz/view","Open PDF")</f>
        <v/>
      </c>
      <c r="AS225" t="inlineStr">
        <is>
          <t>cmm55w57p0004cuisfrtpqly8</t>
        </is>
      </c>
      <c r="AT225" t="inlineStr">
        <is>
          <t>cmm4xvu980000cuh4vj0usz09</t>
        </is>
      </c>
      <c r="AU225" t="inlineStr">
        <is>
          <t>Hässleholms</t>
        </is>
      </c>
      <c r="AV225" t="inlineStr">
        <is>
          <t>Kommun</t>
        </is>
      </c>
      <c r="AW225" t="inlineStr">
        <is>
          <t>Hässleholms kommun</t>
        </is>
      </c>
      <c r="AX225" t="inlineStr">
        <is>
          <t>2024-2225</t>
        </is>
      </c>
      <c r="AY225" t="inlineStr">
        <is>
          <t>Anmalan</t>
        </is>
      </c>
      <c r="AZ225" t="inlineStr">
        <is>
          <t>2026-02-05</t>
        </is>
      </c>
      <c r="BA225" t="inlineStr">
        <is>
          <t>M-2024-2225 - Anmälan (2).pdf</t>
        </is>
      </c>
      <c r="BB225" t="inlineStr">
        <is>
          <t>Sv:  Begäran om utlämnande av allmän handling – Anmälningar och beslut rörande mellanlagring av avfall samt anläggning av ytor</t>
        </is>
      </c>
      <c r="BC225" t="inlineStr">
        <is>
          <t>AUTO</t>
        </is>
      </c>
      <c r="BD225" t="inlineStr"/>
      <c r="BE225" t="inlineStr"/>
      <c r="BF225" t="inlineStr">
        <is>
          <t>AUTO_GENERERAD. Bekrafta metadata mot kallfil.</t>
        </is>
      </c>
      <c r="BG225">
        <f>HYPERLINK("C:\Users\jimmy\Desktop\Examens arbete\Kod\Ny mapp\remix_-copy-of-miljöbeslut.se-portal\M-2024-2225 - Anmälan (2).pdf", "Öppna PDF")</f>
        <v/>
      </c>
    </row>
    <row r="226">
      <c r="A226" t="inlineStr">
        <is>
          <t>KRAV-AUTO-000225</t>
        </is>
      </c>
      <c r="B226" t="inlineStr">
        <is>
          <t>ADMIN-INDEX-2026-02-27-00000000125C043F57453246863FE664CAFE6A3F0700950291EA24F0614FB6ACEDB12BF0E31D00000000010C0000950291EA24F0614FB6ACEDB12BF0E31D00002087A5D90000</t>
        </is>
      </c>
      <c r="C226" t="inlineStr">
        <is>
          <t>cmm4yuquq03yzcuqwmekbklcz</t>
        </is>
      </c>
      <c r="D226" t="inlineStr">
        <is>
          <t>http://localhost:8787/api/admin/requirements/documents/cmm4yuquq03yzcuqwmekbklcz/view</t>
        </is>
      </c>
      <c r="E226">
        <f>HYPERLÄNK("http://localhost:8787/api/admin/requirements/documents/cmm4yuquq03yzcuqwmekbklcz/view";"Öppna PDF")</f>
        <v/>
      </c>
      <c r="F226">
        <f>HYPERLINK("http://localhost:8787/api/admin/requirements/documents/cmm4yuquq03yzcuqwmekbklcz/view","Open PDF")</f>
        <v/>
      </c>
      <c r="G226" t="inlineStr">
        <is>
          <t>cmm55w57p0004cuisfrtpqly8</t>
        </is>
      </c>
      <c r="H226" t="inlineStr">
        <is>
          <t>Informationskrav</t>
        </is>
      </c>
      <c r="I226" t="inlineStr">
        <is>
          <t>LagringsvolymTid</t>
        </is>
      </c>
      <c r="J226" t="inlineStr">
        <is>
          <t>Maxmangd</t>
        </is>
      </c>
      <c r="K226" t="inlineStr">
        <is>
          <t>Beskrivning av avfallet Beskriv vilken typ av avfall som ska användas (ange även mängd i ton eller m³) Mineraljord, 72 000 m3 och matjord 8 000 m3.</t>
        </is>
      </c>
      <c r="L226" t="inlineStr">
        <is>
          <t>Beskrivning av avfallet Beskriv vilken typ av avfall som ska användas (ange även mängd i ton eller m³) Mineraljord, 72 000 m3 och matjord 8 000 m3.</t>
        </is>
      </c>
      <c r="M226" t="inlineStr">
        <is>
          <t>SKA</t>
        </is>
      </c>
      <c r="N226" t="inlineStr"/>
      <c r="O226" t="inlineStr"/>
      <c r="P226" t="inlineStr"/>
      <c r="Q226" t="inlineStr"/>
      <c r="R226" t="inlineStr">
        <is>
          <t>Alltid</t>
        </is>
      </c>
      <c r="S226" t="inlineStr"/>
      <c r="T226" t="inlineStr">
        <is>
          <t>556876</t>
        </is>
      </c>
      <c r="U226" t="inlineStr"/>
      <c r="V226" t="inlineStr"/>
      <c r="W226" t="inlineStr">
        <is>
          <t>Nej</t>
        </is>
      </c>
      <c r="X226" t="inlineStr">
        <is>
          <t>Nej</t>
        </is>
      </c>
      <c r="Y226" t="inlineStr">
        <is>
          <t>Nej</t>
        </is>
      </c>
      <c r="Z226" t="inlineStr">
        <is>
          <t>Nej</t>
        </is>
      </c>
      <c r="AA226" t="n">
        <v>4</v>
      </c>
      <c r="AB226" t="inlineStr">
        <is>
          <t>Avfallsmangder och lagringstid</t>
        </is>
      </c>
      <c r="AC226" t="inlineStr">
        <is>
          <t>Avfallsforteckning</t>
        </is>
      </c>
      <c r="AD226" t="inlineStr">
        <is>
          <t>Nej</t>
        </is>
      </c>
      <c r="AE226" t="inlineStr">
        <is>
          <t>Nej</t>
        </is>
      </c>
      <c r="AF226" t="inlineStr">
        <is>
          <t>Ej behandlad</t>
        </is>
      </c>
      <c r="AG226" t="inlineStr">
        <is>
          <t>AUTO_GENERERAD. Verifiera citat mot kallfil.</t>
        </is>
      </c>
      <c r="AH226" t="inlineStr">
        <is>
          <t>MEDIUM</t>
        </is>
      </c>
      <c r="AI226" t="inlineStr">
        <is>
          <t>AUTO</t>
        </is>
      </c>
      <c r="AJ226" t="inlineStr">
        <is>
          <t>Nej</t>
        </is>
      </c>
      <c r="AK226" t="inlineStr"/>
      <c r="AL226" t="inlineStr"/>
      <c r="AM226" t="inlineStr"/>
      <c r="AN226" t="inlineStr"/>
      <c r="AO226" t="inlineStr">
        <is>
          <t>cmm4yuquq03yzcuqwmekbklcz</t>
        </is>
      </c>
      <c r="AP226" t="inlineStr">
        <is>
          <t>http://localhost:8787/api/admin/requirements/documents/cmm4yuquq03yzcuqwmekbklcz/view</t>
        </is>
      </c>
      <c r="AQ226">
        <f>HYPERLÄNK("http://localhost:8787/api/admin/requirements/documents/cmm4yuquq03yzcuqwmekbklcz/view";"Öppna PDF")</f>
        <v/>
      </c>
      <c r="AR226">
        <f>HYPERLINK("http://localhost:8787/api/admin/requirements/documents/cmm4yuquq03yzcuqwmekbklcz/view","Open PDF")</f>
        <v/>
      </c>
      <c r="AS226" t="inlineStr">
        <is>
          <t>cmm55w57p0004cuisfrtpqly8</t>
        </is>
      </c>
      <c r="AT226" t="inlineStr">
        <is>
          <t>cmm4xvu980000cuh4vj0usz09</t>
        </is>
      </c>
      <c r="AU226" t="inlineStr">
        <is>
          <t>Hässleholms</t>
        </is>
      </c>
      <c r="AV226" t="inlineStr">
        <is>
          <t>Kommun</t>
        </is>
      </c>
      <c r="AW226" t="inlineStr">
        <is>
          <t>Hässleholms kommun</t>
        </is>
      </c>
      <c r="AX226" t="inlineStr">
        <is>
          <t>2024-2225</t>
        </is>
      </c>
      <c r="AY226" t="inlineStr">
        <is>
          <t>Anmalan</t>
        </is>
      </c>
      <c r="AZ226" t="inlineStr">
        <is>
          <t>2026-02-05</t>
        </is>
      </c>
      <c r="BA226" t="inlineStr">
        <is>
          <t>M-2024-2225 - Anmälan (2).pdf</t>
        </is>
      </c>
      <c r="BB226" t="inlineStr">
        <is>
          <t>Sv:  Begäran om utlämnande av allmän handling – Anmälningar och beslut rörande mellanlagring av avfall samt anläggning av ytor</t>
        </is>
      </c>
      <c r="BC226" t="inlineStr">
        <is>
          <t>AUTO</t>
        </is>
      </c>
      <c r="BD226" t="inlineStr"/>
      <c r="BE226" t="inlineStr"/>
      <c r="BF226" t="inlineStr">
        <is>
          <t>AUTO_GENERERAD. Bekrafta metadata mot kallfil.</t>
        </is>
      </c>
      <c r="BG226">
        <f>HYPERLINK("C:\Users\jimmy\Desktop\Examens arbete\Kod\Ny mapp\remix_-copy-of-miljöbeslut.se-portal\M-2024-2225 - Anmälan (2).pdf", "Öppna PDF")</f>
        <v/>
      </c>
    </row>
    <row r="227">
      <c r="A227" t="inlineStr">
        <is>
          <t>KRAV-AUTO-000226</t>
        </is>
      </c>
      <c r="B227" t="inlineStr">
        <is>
          <t>ADMIN-INDEX-2026-02-27-00000000125C043F57453246863FE664CAFE6A3F0700950291EA24F0614FB6ACEDB12BF0E31D00000000010C0000950291EA24F0614FB6ACEDB12BF0E31D00002087A5D90000</t>
        </is>
      </c>
      <c r="C227" t="inlineStr">
        <is>
          <t>cmm4yuquq03yzcuqwmekbklcz</t>
        </is>
      </c>
      <c r="D227" t="inlineStr">
        <is>
          <t>http://localhost:8787/api/admin/requirements/documents/cmm4yuquq03yzcuqwmekbklcz/view</t>
        </is>
      </c>
      <c r="E227">
        <f>HYPERLÄNK("http://localhost:8787/api/admin/requirements/documents/cmm4yuquq03yzcuqwmekbklcz/view";"Öppna PDF")</f>
        <v/>
      </c>
      <c r="F227">
        <f>HYPERLINK("http://localhost:8787/api/admin/requirements/documents/cmm4yuquq03yzcuqwmekbklcz/view","Open PDF")</f>
        <v/>
      </c>
      <c r="G227" t="inlineStr">
        <is>
          <t>cmm55w57p0004cuisfrtpqly8</t>
        </is>
      </c>
      <c r="H227" t="inlineStr">
        <is>
          <t>Informationskrav</t>
        </is>
      </c>
      <c r="I227" t="inlineStr">
        <is>
          <t>DriftEgenkontroll</t>
        </is>
      </c>
      <c r="J227" t="inlineStr">
        <is>
          <t>Journalforing</t>
        </is>
      </c>
      <c r="K227" t="inlineStr">
        <is>
          <t>Beskriv hur provtagningen av avfallet har genomförts Maskintjänst i Åbuen AB planerar att ta emot och återvinna schaktmassor vid entreprenadarbeten tex åt Skanska, Trafikverket mfl.</t>
        </is>
      </c>
      <c r="L227" t="inlineStr">
        <is>
          <t>Beskriv hur provtagningen av avfallet har genomförts Maskintjänst i Åbuen AB planerar att ta emot och återvinna schaktmassor vid entreprenadarbeten tex åt Skanska, Trafikverket mfl.</t>
        </is>
      </c>
      <c r="M227" t="inlineStr">
        <is>
          <t>SKA</t>
        </is>
      </c>
      <c r="N227" t="inlineStr"/>
      <c r="O227" t="inlineStr"/>
      <c r="P227" t="inlineStr"/>
      <c r="Q227" t="inlineStr"/>
      <c r="R227" t="inlineStr">
        <is>
          <t>Lopande drift</t>
        </is>
      </c>
      <c r="S227" t="inlineStr"/>
      <c r="T227" t="inlineStr">
        <is>
          <t>556876</t>
        </is>
      </c>
      <c r="U227" t="inlineStr"/>
      <c r="V227" t="inlineStr"/>
      <c r="W227" t="inlineStr">
        <is>
          <t>Nej</t>
        </is>
      </c>
      <c r="X227" t="inlineStr">
        <is>
          <t>Nej</t>
        </is>
      </c>
      <c r="Y227" t="inlineStr">
        <is>
          <t>Ja</t>
        </is>
      </c>
      <c r="Z227" t="inlineStr">
        <is>
          <t>Nej</t>
        </is>
      </c>
      <c r="AA227" t="n">
        <v>7</v>
      </c>
      <c r="AB227" t="inlineStr">
        <is>
          <t>Egenkontrollrutiner</t>
        </is>
      </c>
      <c r="AC227" t="inlineStr">
        <is>
          <t>Egenkontrollprogram</t>
        </is>
      </c>
      <c r="AD227" t="inlineStr">
        <is>
          <t>Nej</t>
        </is>
      </c>
      <c r="AE227" t="inlineStr">
        <is>
          <t>Nej</t>
        </is>
      </c>
      <c r="AF227" t="inlineStr">
        <is>
          <t>Ej behandlad</t>
        </is>
      </c>
      <c r="AG227" t="inlineStr">
        <is>
          <t>AUTO_GENERERAD. Verifiera citat mot kallfil.</t>
        </is>
      </c>
      <c r="AH227" t="inlineStr">
        <is>
          <t>MEDIUM</t>
        </is>
      </c>
      <c r="AI227" t="inlineStr">
        <is>
          <t>AUTO</t>
        </is>
      </c>
      <c r="AJ227" t="inlineStr">
        <is>
          <t>Nej</t>
        </is>
      </c>
      <c r="AK227" t="inlineStr"/>
      <c r="AL227" t="inlineStr"/>
      <c r="AM227" t="inlineStr"/>
      <c r="AN227" t="inlineStr"/>
      <c r="AO227" t="inlineStr">
        <is>
          <t>cmm4yuquq03yzcuqwmekbklcz</t>
        </is>
      </c>
      <c r="AP227" t="inlineStr">
        <is>
          <t>http://localhost:8787/api/admin/requirements/documents/cmm4yuquq03yzcuqwmekbklcz/view</t>
        </is>
      </c>
      <c r="AQ227">
        <f>HYPERLÄNK("http://localhost:8787/api/admin/requirements/documents/cmm4yuquq03yzcuqwmekbklcz/view";"Öppna PDF")</f>
        <v/>
      </c>
      <c r="AR227">
        <f>HYPERLINK("http://localhost:8787/api/admin/requirements/documents/cmm4yuquq03yzcuqwmekbklcz/view","Open PDF")</f>
        <v/>
      </c>
      <c r="AS227" t="inlineStr">
        <is>
          <t>cmm55w57p0004cuisfrtpqly8</t>
        </is>
      </c>
      <c r="AT227" t="inlineStr">
        <is>
          <t>cmm4xvu980000cuh4vj0usz09</t>
        </is>
      </c>
      <c r="AU227" t="inlineStr">
        <is>
          <t>Hässleholms</t>
        </is>
      </c>
      <c r="AV227" t="inlineStr">
        <is>
          <t>Kommun</t>
        </is>
      </c>
      <c r="AW227" t="inlineStr">
        <is>
          <t>Hässleholms kommun</t>
        </is>
      </c>
      <c r="AX227" t="inlineStr">
        <is>
          <t>2024-2225</t>
        </is>
      </c>
      <c r="AY227" t="inlineStr">
        <is>
          <t>Anmalan</t>
        </is>
      </c>
      <c r="AZ227" t="inlineStr">
        <is>
          <t>2026-02-05</t>
        </is>
      </c>
      <c r="BA227" t="inlineStr">
        <is>
          <t>M-2024-2225 - Anmälan (2).pdf</t>
        </is>
      </c>
      <c r="BB227" t="inlineStr">
        <is>
          <t>Sv:  Begäran om utlämnande av allmän handling – Anmälningar och beslut rörande mellanlagring av avfall samt anläggning av ytor</t>
        </is>
      </c>
      <c r="BC227" t="inlineStr">
        <is>
          <t>AUTO</t>
        </is>
      </c>
      <c r="BD227" t="inlineStr"/>
      <c r="BE227" t="inlineStr"/>
      <c r="BF227" t="inlineStr">
        <is>
          <t>AUTO_GENERERAD. Bekrafta metadata mot kallfil.</t>
        </is>
      </c>
      <c r="BG227">
        <f>HYPERLINK("C:\Users\jimmy\Desktop\Examens arbete\Kod\Ny mapp\remix_-copy-of-miljöbeslut.se-portal\M-2024-2225 - Anmälan (2).pdf", "Öppna PDF")</f>
        <v/>
      </c>
    </row>
    <row r="228">
      <c r="A228" t="inlineStr">
        <is>
          <t>KRAV-AUTO-000227</t>
        </is>
      </c>
      <c r="B228" t="inlineStr">
        <is>
          <t>ADMIN-INDEX-2026-02-27-00000000125C043F57453246863FE664CAFE6A3F0700950291EA24F0614FB6ACEDB12BF0E31D00000000010C0000950291EA24F0614FB6ACEDB12BF0E31D00002087A5D90000</t>
        </is>
      </c>
      <c r="C228" t="inlineStr">
        <is>
          <t>cmm4yuqu903yhcuqw8jf7qgy7</t>
        </is>
      </c>
      <c r="D228" t="inlineStr">
        <is>
          <t>http://localhost:8787/api/admin/requirements/documents/cmm4yuqu903yhcuqw8jf7qgy7/view</t>
        </is>
      </c>
      <c r="E228">
        <f>HYPERLÄNK("http://localhost:8787/api/admin/requirements/documents/cmm4yuqu903yhcuqw8jf7qgy7/view";"Öppna PDF")</f>
        <v/>
      </c>
      <c r="F228">
        <f>HYPERLINK("http://localhost:8787/api/admin/requirements/documents/cmm4yuqu903yhcuqw8jf7qgy7/view","Open PDF")</f>
        <v/>
      </c>
      <c r="G228" t="inlineStr">
        <is>
          <t>cmm55w57p0004cuisfrtpqly8</t>
        </is>
      </c>
      <c r="H228" t="inlineStr">
        <is>
          <t>Informationskrav</t>
        </is>
      </c>
      <c r="I228" t="inlineStr">
        <is>
          <t>MiljopaverkanForsiktighet</t>
        </is>
      </c>
      <c r="J228" t="inlineStr">
        <is>
          <t>Skyddsatgarder</t>
        </is>
      </c>
      <c r="K228" t="inlineStr">
        <is>
          <t>För att massorna inte ska klassas som avfall krävs det att det finns en säkerställd avsättning för dem inom rimlig tidsrymd och att de är lämpliga för miljö och hälsa att använda på avsedd plats.</t>
        </is>
      </c>
      <c r="L228" t="inlineStr">
        <is>
          <t>För att massorna inte ska klassas som avfall krävs det att det finns en säkerställd avsättning för dem inom rimlig tidsrymd och att de är lämpliga för miljö och hälsa att använda på avsedd plats.</t>
        </is>
      </c>
      <c r="M228" t="inlineStr">
        <is>
          <t>SKA</t>
        </is>
      </c>
      <c r="N228" t="inlineStr"/>
      <c r="O228" t="inlineStr"/>
      <c r="P228" t="inlineStr"/>
      <c r="Q228" t="inlineStr"/>
      <c r="R228" t="inlineStr">
        <is>
          <t>Alltid</t>
        </is>
      </c>
      <c r="S228" t="inlineStr"/>
      <c r="T228" t="inlineStr">
        <is>
          <t>26 70 00</t>
        </is>
      </c>
      <c r="U228" t="inlineStr"/>
      <c r="V228" t="inlineStr"/>
      <c r="W228" t="inlineStr">
        <is>
          <t>Nej</t>
        </is>
      </c>
      <c r="X228" t="inlineStr">
        <is>
          <t>Nej</t>
        </is>
      </c>
      <c r="Y228" t="inlineStr">
        <is>
          <t>Nej</t>
        </is>
      </c>
      <c r="Z228" t="inlineStr">
        <is>
          <t>Nej</t>
        </is>
      </c>
      <c r="AA228" t="n">
        <v>10</v>
      </c>
      <c r="AB228" t="inlineStr">
        <is>
          <t>Miljopaverkan och forsiktighetsmatt</t>
        </is>
      </c>
      <c r="AC228" t="inlineStr">
        <is>
          <t>Miljo-PM</t>
        </is>
      </c>
      <c r="AD228" t="inlineStr">
        <is>
          <t>Nej</t>
        </is>
      </c>
      <c r="AE228" t="inlineStr">
        <is>
          <t>Nej</t>
        </is>
      </c>
      <c r="AF228" t="inlineStr">
        <is>
          <t>Ej behandlad</t>
        </is>
      </c>
      <c r="AG228" t="inlineStr">
        <is>
          <t>AUTO_GENERERAD. Verifiera citat mot kallfil.</t>
        </is>
      </c>
      <c r="AH228" t="inlineStr">
        <is>
          <t>MEDIUM</t>
        </is>
      </c>
      <c r="AI228" t="inlineStr">
        <is>
          <t>AUTO</t>
        </is>
      </c>
      <c r="AJ228" t="inlineStr">
        <is>
          <t>Nej</t>
        </is>
      </c>
      <c r="AK228" t="inlineStr"/>
      <c r="AL228" t="inlineStr"/>
      <c r="AM228" t="inlineStr"/>
      <c r="AN228" t="inlineStr"/>
      <c r="AO228" t="inlineStr">
        <is>
          <t>cmm4yuquq03yzcuqwmekbklcz</t>
        </is>
      </c>
      <c r="AP228" t="inlineStr">
        <is>
          <t>http://localhost:8787/api/admin/requirements/documents/cmm4yuquq03yzcuqwmekbklcz/view</t>
        </is>
      </c>
      <c r="AQ228">
        <f>HYPERLÄNK("http://localhost:8787/api/admin/requirements/documents/cmm4yuquq03yzcuqwmekbklcz/view";"Öppna PDF")</f>
        <v/>
      </c>
      <c r="AR228">
        <f>HYPERLINK("http://localhost:8787/api/admin/requirements/documents/cmm4yuquq03yzcuqwmekbklcz/view","Open PDF")</f>
        <v/>
      </c>
      <c r="AS228" t="inlineStr">
        <is>
          <t>cmm55w57p0004cuisfrtpqly8</t>
        </is>
      </c>
      <c r="AT228" t="inlineStr">
        <is>
          <t>cmm4xvu980000cuh4vj0usz09</t>
        </is>
      </c>
      <c r="AU228" t="inlineStr">
        <is>
          <t>Hässleholms</t>
        </is>
      </c>
      <c r="AV228" t="inlineStr">
        <is>
          <t>Kommun</t>
        </is>
      </c>
      <c r="AW228" t="inlineStr">
        <is>
          <t>Hässleholms kommun</t>
        </is>
      </c>
      <c r="AX228" t="inlineStr">
        <is>
          <t>2024-2225</t>
        </is>
      </c>
      <c r="AY228" t="inlineStr">
        <is>
          <t>Anmalan</t>
        </is>
      </c>
      <c r="AZ228" t="inlineStr">
        <is>
          <t>2026-02-05</t>
        </is>
      </c>
      <c r="BA228" t="inlineStr">
        <is>
          <t>M-2024-2225 - Anmälan (2).pdf</t>
        </is>
      </c>
      <c r="BB228" t="inlineStr">
        <is>
          <t>Sv:  Begäran om utlämnande av allmän handling – Anmälningar och beslut rörande mellanlagring av avfall samt anläggning av ytor</t>
        </is>
      </c>
      <c r="BC228" t="inlineStr">
        <is>
          <t>AUTO</t>
        </is>
      </c>
      <c r="BD228" t="inlineStr"/>
      <c r="BE228" t="inlineStr"/>
      <c r="BF228" t="inlineStr">
        <is>
          <t>AUTO_GENERERAD. Bekrafta metadata mot kallfil.</t>
        </is>
      </c>
      <c r="BG228">
        <f>HYPERLINK("C:\Users\jimmy\Desktop\Examens arbete\Kod\Ny mapp\remix_-copy-of-miljöbeslut.se-portal\M-2024-2225 - Anmälan (2).pdf", "Öppna PDF")</f>
        <v/>
      </c>
    </row>
    <row r="229">
      <c r="A229" t="inlineStr">
        <is>
          <t>KRAV-AUTO-000228</t>
        </is>
      </c>
      <c r="B229" t="inlineStr">
        <is>
          <t>ADMIN-INDEX-2026-02-27-00000000125C043F57453246863FE664CAFE6A3F0700950291EA24F0614FB6ACEDB12BF0E31D00000000010C0000950291EA24F0614FB6ACEDB12BF0E31D00002087A5D90000</t>
        </is>
      </c>
      <c r="C229" t="inlineStr">
        <is>
          <t>cmm4yuqu903yhcuqw8jf7qgy7</t>
        </is>
      </c>
      <c r="D229" t="inlineStr">
        <is>
          <t>http://localhost:8787/api/admin/requirements/documents/cmm4yuqu903yhcuqw8jf7qgy7/view</t>
        </is>
      </c>
      <c r="E229">
        <f>HYPERLÄNK("http://localhost:8787/api/admin/requirements/documents/cmm4yuqu903yhcuqw8jf7qgy7/view";"Öppna PDF")</f>
        <v/>
      </c>
      <c r="F229">
        <f>HYPERLINK("http://localhost:8787/api/admin/requirements/documents/cmm4yuqu903yhcuqw8jf7qgy7/view","Open PDF")</f>
        <v/>
      </c>
      <c r="G229" t="inlineStr">
        <is>
          <t>cmm55w57p0004cuisfrtpqly8</t>
        </is>
      </c>
      <c r="H229" t="inlineStr">
        <is>
          <t>Informationskrav</t>
        </is>
      </c>
      <c r="I229" t="inlineStr">
        <is>
          <t>MiljopaverkanForsiktighet</t>
        </is>
      </c>
      <c r="J229" t="inlineStr">
        <is>
          <t>Skyddsatgarder</t>
        </is>
      </c>
      <c r="K229" t="inlineStr">
        <is>
          <t>Enligt inkommen anmälan ska massorna inte utgöra ett avfall.</t>
        </is>
      </c>
      <c r="L229" t="inlineStr">
        <is>
          <t>Enligt inkommen anmälan ska massorna inte utgöra ett avfall.</t>
        </is>
      </c>
      <c r="M229" t="inlineStr">
        <is>
          <t>SKA</t>
        </is>
      </c>
      <c r="N229" t="inlineStr"/>
      <c r="O229" t="inlineStr"/>
      <c r="P229" t="inlineStr"/>
      <c r="Q229" t="inlineStr"/>
      <c r="R229" t="inlineStr">
        <is>
          <t>Alltid</t>
        </is>
      </c>
      <c r="S229" t="inlineStr"/>
      <c r="T229" t="inlineStr">
        <is>
          <t>26 70 00</t>
        </is>
      </c>
      <c r="U229" t="inlineStr"/>
      <c r="V229" t="inlineStr"/>
      <c r="W229" t="inlineStr">
        <is>
          <t>Nej</t>
        </is>
      </c>
      <c r="X229" t="inlineStr">
        <is>
          <t>Nej</t>
        </is>
      </c>
      <c r="Y229" t="inlineStr">
        <is>
          <t>Nej</t>
        </is>
      </c>
      <c r="Z229" t="inlineStr">
        <is>
          <t>Nej</t>
        </is>
      </c>
      <c r="AA229" t="n">
        <v>10</v>
      </c>
      <c r="AB229" t="inlineStr">
        <is>
          <t>Miljopaverkan och forsiktighetsmatt</t>
        </is>
      </c>
      <c r="AC229" t="inlineStr">
        <is>
          <t>Miljo-PM</t>
        </is>
      </c>
      <c r="AD229" t="inlineStr">
        <is>
          <t>Nej</t>
        </is>
      </c>
      <c r="AE229" t="inlineStr">
        <is>
          <t>Nej</t>
        </is>
      </c>
      <c r="AF229" t="inlineStr">
        <is>
          <t>Ej behandlad</t>
        </is>
      </c>
      <c r="AG229" t="inlineStr">
        <is>
          <t>AUTO_GENERERAD. Verifiera citat mot kallfil.</t>
        </is>
      </c>
      <c r="AH229" t="inlineStr">
        <is>
          <t>MEDIUM</t>
        </is>
      </c>
      <c r="AI229" t="inlineStr">
        <is>
          <t>AUTO</t>
        </is>
      </c>
      <c r="AJ229" t="inlineStr">
        <is>
          <t>Nej</t>
        </is>
      </c>
      <c r="AK229" t="inlineStr"/>
      <c r="AL229" t="inlineStr"/>
      <c r="AM229" t="inlineStr"/>
      <c r="AN229" t="inlineStr"/>
      <c r="AO229" t="inlineStr">
        <is>
          <t>cmm4yuquq03yzcuqwmekbklcz</t>
        </is>
      </c>
      <c r="AP229" t="inlineStr">
        <is>
          <t>http://localhost:8787/api/admin/requirements/documents/cmm4yuquq03yzcuqwmekbklcz/view</t>
        </is>
      </c>
      <c r="AQ229">
        <f>HYPERLÄNK("http://localhost:8787/api/admin/requirements/documents/cmm4yuquq03yzcuqwmekbklcz/view";"Öppna PDF")</f>
        <v/>
      </c>
      <c r="AR229">
        <f>HYPERLINK("http://localhost:8787/api/admin/requirements/documents/cmm4yuquq03yzcuqwmekbklcz/view","Open PDF")</f>
        <v/>
      </c>
      <c r="AS229" t="inlineStr">
        <is>
          <t>cmm55w57p0004cuisfrtpqly8</t>
        </is>
      </c>
      <c r="AT229" t="inlineStr">
        <is>
          <t>cmm4xvu980000cuh4vj0usz09</t>
        </is>
      </c>
      <c r="AU229" t="inlineStr">
        <is>
          <t>Hässleholms</t>
        </is>
      </c>
      <c r="AV229" t="inlineStr">
        <is>
          <t>Kommun</t>
        </is>
      </c>
      <c r="AW229" t="inlineStr">
        <is>
          <t>Hässleholms kommun</t>
        </is>
      </c>
      <c r="AX229" t="inlineStr">
        <is>
          <t>2024-2225</t>
        </is>
      </c>
      <c r="AY229" t="inlineStr">
        <is>
          <t>Anmalan</t>
        </is>
      </c>
      <c r="AZ229" t="inlineStr">
        <is>
          <t>2026-02-05</t>
        </is>
      </c>
      <c r="BA229" t="inlineStr">
        <is>
          <t>M-2024-2225 - Anmälan (2).pdf</t>
        </is>
      </c>
      <c r="BB229" t="inlineStr">
        <is>
          <t>Sv:  Begäran om utlämnande av allmän handling – Anmälningar och beslut rörande mellanlagring av avfall samt anläggning av ytor</t>
        </is>
      </c>
      <c r="BC229" t="inlineStr">
        <is>
          <t>AUTO</t>
        </is>
      </c>
      <c r="BD229" t="inlineStr"/>
      <c r="BE229" t="inlineStr"/>
      <c r="BF229" t="inlineStr">
        <is>
          <t>AUTO_GENERERAD. Bekrafta metadata mot kallfil.</t>
        </is>
      </c>
      <c r="BG229">
        <f>HYPERLINK("C:\Users\jimmy\Desktop\Examens arbete\Kod\Ny mapp\remix_-copy-of-miljöbeslut.se-portal\M-2024-2225 - Anmälan (2).pdf", "Öppna PDF")</f>
        <v/>
      </c>
    </row>
    <row r="230">
      <c r="A230" t="inlineStr">
        <is>
          <t>KRAV-AUTO-000229</t>
        </is>
      </c>
      <c r="B230" t="inlineStr">
        <is>
          <t>ADMIN-INDEX-2026-02-27-00000000125C043F57453246863FE664CAFE6A3F0700950291EA24F0614FB6ACEDB12BF0E31D00000000010C0000950291EA24F0614FB6ACEDB12BF0E31D00002087A5D90000</t>
        </is>
      </c>
      <c r="C230" t="inlineStr">
        <is>
          <t>cmm4yuqtu03y2cuqwoi0ilf0w</t>
        </is>
      </c>
      <c r="D230" t="inlineStr">
        <is>
          <t>http://localhost:8787/api/admin/requirements/documents/cmm4yuqtu03y2cuqwoi0ilf0w/view</t>
        </is>
      </c>
      <c r="E230">
        <f>HYPERLÄNK("http://localhost:8787/api/admin/requirements/documents/cmm4yuqtu03y2cuqwoi0ilf0w/view";"Öppna PDF")</f>
        <v/>
      </c>
      <c r="F230">
        <f>HYPERLINK("http://localhost:8787/api/admin/requirements/documents/cmm4yuqtu03y2cuqwoi0ilf0w/view","Open PDF")</f>
        <v/>
      </c>
      <c r="G230" t="inlineStr">
        <is>
          <t>cmm55w57p0004cuisfrtpqly8</t>
        </is>
      </c>
      <c r="H230" t="inlineStr">
        <is>
          <t>Informationskrav</t>
        </is>
      </c>
      <c r="I230" t="inlineStr">
        <is>
          <t>Riskhantering</t>
        </is>
      </c>
      <c r="J230" t="inlineStr">
        <is>
          <t>Riskkontroll</t>
        </is>
      </c>
      <c r="K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0451-26 70 00 SESAM ARKITEKTER AB 044-184880 RAMEÖLL 010-6152171</t>
        </is>
      </c>
      <c r="L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t>
        </is>
      </c>
      <c r="M230" t="inlineStr">
        <is>
          <t>SKA</t>
        </is>
      </c>
      <c r="N230" t="inlineStr"/>
      <c r="O230" t="inlineStr"/>
      <c r="P230" t="inlineStr"/>
      <c r="Q230" t="inlineStr"/>
      <c r="R230" t="inlineStr">
        <is>
          <t>Vid risk for incident</t>
        </is>
      </c>
      <c r="S230" t="inlineStr"/>
      <c r="T230" t="inlineStr">
        <is>
          <t>100341</t>
        </is>
      </c>
      <c r="U230" t="inlineStr"/>
      <c r="V230" t="inlineStr"/>
      <c r="W230" t="inlineStr">
        <is>
          <t>Nej</t>
        </is>
      </c>
      <c r="X230" t="inlineStr">
        <is>
          <t>Nej</t>
        </is>
      </c>
      <c r="Y230" t="inlineStr">
        <is>
          <t>Ja</t>
        </is>
      </c>
      <c r="Z230" t="inlineStr">
        <is>
          <t>Ja</t>
        </is>
      </c>
      <c r="AA230" t="n">
        <v>8</v>
      </c>
      <c r="AB230" t="inlineStr">
        <is>
          <t>Riskhantering</t>
        </is>
      </c>
      <c r="AC230" t="inlineStr">
        <is>
          <t>Risk-PM</t>
        </is>
      </c>
      <c r="AD230" t="inlineStr">
        <is>
          <t>Nej</t>
        </is>
      </c>
      <c r="AE230" t="inlineStr">
        <is>
          <t>Nej</t>
        </is>
      </c>
      <c r="AF230" t="inlineStr">
        <is>
          <t>Ej behandlad</t>
        </is>
      </c>
      <c r="AG230" t="inlineStr">
        <is>
          <t>AUTO_GENERERAD. Verifiera citat mot kallfil.</t>
        </is>
      </c>
      <c r="AH230" t="inlineStr">
        <is>
          <t>MEDIUM</t>
        </is>
      </c>
      <c r="AI230" t="inlineStr">
        <is>
          <t>AUTO</t>
        </is>
      </c>
      <c r="AJ230" t="inlineStr">
        <is>
          <t>Nej</t>
        </is>
      </c>
      <c r="AK230" t="inlineStr"/>
      <c r="AL230" t="inlineStr"/>
      <c r="AM230" t="inlineStr"/>
      <c r="AN230" t="inlineStr"/>
      <c r="AO230" t="inlineStr">
        <is>
          <t>cmm4yuquq03yzcuqwmekbklcz</t>
        </is>
      </c>
      <c r="AP230" t="inlineStr">
        <is>
          <t>http://localhost:8787/api/admin/requirements/documents/cmm4yuquq03yzcuqwmekbklcz/view</t>
        </is>
      </c>
      <c r="AQ230">
        <f>HYPERLÄNK("http://localhost:8787/api/admin/requirements/documents/cmm4yuquq03yzcuqwmekbklcz/view";"Öppna PDF")</f>
        <v/>
      </c>
      <c r="AR230">
        <f>HYPERLINK("http://localhost:8787/api/admin/requirements/documents/cmm4yuquq03yzcuqwmekbklcz/view","Open PDF")</f>
        <v/>
      </c>
      <c r="AS230" t="inlineStr">
        <is>
          <t>cmm55w57p0004cuisfrtpqly8</t>
        </is>
      </c>
      <c r="AT230" t="inlineStr">
        <is>
          <t>cmm4xvu980000cuh4vj0usz09</t>
        </is>
      </c>
      <c r="AU230" t="inlineStr">
        <is>
          <t>Hässleholms</t>
        </is>
      </c>
      <c r="AV230" t="inlineStr">
        <is>
          <t>Kommun</t>
        </is>
      </c>
      <c r="AW230" t="inlineStr">
        <is>
          <t>Hässleholms kommun</t>
        </is>
      </c>
      <c r="AX230" t="inlineStr">
        <is>
          <t>2024-2225</t>
        </is>
      </c>
      <c r="AY230" t="inlineStr">
        <is>
          <t>Anmalan</t>
        </is>
      </c>
      <c r="AZ230" t="inlineStr">
        <is>
          <t>2026-02-05</t>
        </is>
      </c>
      <c r="BA230" t="inlineStr">
        <is>
          <t>M-2024-2225 - Anmälan (2).pdf</t>
        </is>
      </c>
      <c r="BB230" t="inlineStr">
        <is>
          <t>Sv:  Begäran om utlämnande av allmän handling – Anmälningar och beslut rörande mellanlagring av avfall samt anläggning av ytor</t>
        </is>
      </c>
      <c r="BC230" t="inlineStr">
        <is>
          <t>AUTO</t>
        </is>
      </c>
      <c r="BD230" t="inlineStr"/>
      <c r="BE230" t="inlineStr"/>
      <c r="BF230" t="inlineStr">
        <is>
          <t>AUTO_GENERERAD. Bekrafta metadata mot kallfil.</t>
        </is>
      </c>
      <c r="BG230">
        <f>HYPERLINK("C:\Users\jimmy\Desktop\Examens arbete\Kod\Ny mapp\remix_-copy-of-miljöbeslut.se-portal\M-2024-2225 - Anmälan (2).pdf", "Öppna PDF")</f>
        <v/>
      </c>
    </row>
    <row r="231">
      <c r="A231" t="inlineStr">
        <is>
          <t>KRAV-AUTO-000230</t>
        </is>
      </c>
      <c r="B231" t="inlineStr">
        <is>
          <t>ADMIN-INDEX-2026-02-27-00000000125C043F57453246863FE664CAFE6A3F0700950291EA24F0614FB6ACEDB12BF0E31D00000000010C0000950291EA24F0614FB6ACEDB12BF0E31D00002087A5D90000</t>
        </is>
      </c>
      <c r="C231" t="inlineStr">
        <is>
          <t>cmm4yuqtf03xncuqwjhhh2u4r</t>
        </is>
      </c>
      <c r="D231" t="inlineStr">
        <is>
          <t>http://localhost:8787/api/admin/requirements/documents/cmm4yuqtf03xncuqwjhhh2u4r/view</t>
        </is>
      </c>
      <c r="E231">
        <f>HYPERLÄNK("http://localhost:8787/api/admin/requirements/documents/cmm4yuqtf03xncuqwjhhh2u4r/view";"Öppna PDF")</f>
        <v/>
      </c>
      <c r="F231">
        <f>HYPERLINK("http://localhost:8787/api/admin/requirements/documents/cmm4yuqtf03xncuqwjhhh2u4r/view","Open PDF")</f>
        <v/>
      </c>
      <c r="G231" t="inlineStr">
        <is>
          <t>cmm55w57p0004cuisfrtpqly8</t>
        </is>
      </c>
      <c r="H231" t="inlineStr">
        <is>
          <t>Informationskrav</t>
        </is>
      </c>
      <c r="I231" t="inlineStr">
        <is>
          <t>MiljopaverkanForsiktighet</t>
        </is>
      </c>
      <c r="J231" t="inlineStr">
        <is>
          <t>Skyddsatgarder</t>
        </is>
      </c>
      <c r="K231" t="inlineStr">
        <is>
          <t>I detta beslut anges bland annat att hantering och användningsplats för aktuellt anläggningsavfall i huvudsak ska ske i överensstämmelse med vad som angetts i ärendet.</t>
        </is>
      </c>
      <c r="L231" t="inlineStr">
        <is>
          <t>I detta beslut anges bland annat att hantering och användningsplats för aktuellt anläggningsavfall i huvudsak ska ske i överensstämmelse med vad som angetts i ärendet.</t>
        </is>
      </c>
      <c r="M231" t="inlineStr">
        <is>
          <t>SKA</t>
        </is>
      </c>
      <c r="N231" t="inlineStr"/>
      <c r="O231" t="inlineStr"/>
      <c r="P231" t="inlineStr"/>
      <c r="Q231" t="inlineStr"/>
      <c r="R231" t="inlineStr">
        <is>
          <t>Alltid</t>
        </is>
      </c>
      <c r="S231" t="inlineStr"/>
      <c r="T231" t="inlineStr">
        <is>
          <t>26 70 00</t>
        </is>
      </c>
      <c r="U231" t="inlineStr"/>
      <c r="V231" t="inlineStr"/>
      <c r="W231" t="inlineStr">
        <is>
          <t>Nej</t>
        </is>
      </c>
      <c r="X231" t="inlineStr">
        <is>
          <t>Nej</t>
        </is>
      </c>
      <c r="Y231" t="inlineStr">
        <is>
          <t>Nej</t>
        </is>
      </c>
      <c r="Z231" t="inlineStr">
        <is>
          <t>Nej</t>
        </is>
      </c>
      <c r="AA231" t="n">
        <v>10</v>
      </c>
      <c r="AB231" t="inlineStr">
        <is>
          <t>Miljopaverkan och forsiktighetsmatt</t>
        </is>
      </c>
      <c r="AC231" t="inlineStr">
        <is>
          <t>Miljo-PM</t>
        </is>
      </c>
      <c r="AD231" t="inlineStr">
        <is>
          <t>Nej</t>
        </is>
      </c>
      <c r="AE231" t="inlineStr">
        <is>
          <t>Nej</t>
        </is>
      </c>
      <c r="AF231" t="inlineStr">
        <is>
          <t>Ej behandlad</t>
        </is>
      </c>
      <c r="AG231" t="inlineStr">
        <is>
          <t>AUTO_GENERERAD. Verifiera citat mot kallfil.</t>
        </is>
      </c>
      <c r="AH231" t="inlineStr">
        <is>
          <t>MEDIUM</t>
        </is>
      </c>
      <c r="AI231" t="inlineStr">
        <is>
          <t>AUTO</t>
        </is>
      </c>
      <c r="AJ231" t="inlineStr">
        <is>
          <t>Nej</t>
        </is>
      </c>
      <c r="AK231" t="inlineStr"/>
      <c r="AL231" t="inlineStr"/>
      <c r="AM231" t="inlineStr"/>
      <c r="AN231" t="inlineStr"/>
      <c r="AO231" t="inlineStr">
        <is>
          <t>cmm4yuquq03yzcuqwmekbklcz</t>
        </is>
      </c>
      <c r="AP231" t="inlineStr">
        <is>
          <t>http://localhost:8787/api/admin/requirements/documents/cmm4yuquq03yzcuqwmekbklcz/view</t>
        </is>
      </c>
      <c r="AQ231">
        <f>HYPERLÄNK("http://localhost:8787/api/admin/requirements/documents/cmm4yuquq03yzcuqwmekbklcz/view";"Öppna PDF")</f>
        <v/>
      </c>
      <c r="AR231">
        <f>HYPERLINK("http://localhost:8787/api/admin/requirements/documents/cmm4yuquq03yzcuqwmekbklcz/view","Open PDF")</f>
        <v/>
      </c>
      <c r="AS231" t="inlineStr">
        <is>
          <t>cmm55w57p0004cuisfrtpqly8</t>
        </is>
      </c>
      <c r="AT231" t="inlineStr">
        <is>
          <t>cmm4xvu980000cuh4vj0usz09</t>
        </is>
      </c>
      <c r="AU231" t="inlineStr">
        <is>
          <t>Hässleholms</t>
        </is>
      </c>
      <c r="AV231" t="inlineStr">
        <is>
          <t>Kommun</t>
        </is>
      </c>
      <c r="AW231" t="inlineStr">
        <is>
          <t>Hässleholms kommun</t>
        </is>
      </c>
      <c r="AX231" t="inlineStr">
        <is>
          <t>2024-2225</t>
        </is>
      </c>
      <c r="AY231" t="inlineStr">
        <is>
          <t>Anmalan</t>
        </is>
      </c>
      <c r="AZ231" t="inlineStr">
        <is>
          <t>2026-02-05</t>
        </is>
      </c>
      <c r="BA231" t="inlineStr">
        <is>
          <t>M-2024-2225 - Anmälan (2).pdf</t>
        </is>
      </c>
      <c r="BB231" t="inlineStr">
        <is>
          <t>Sv:  Begäran om utlämnande av allmän handling – Anmälningar och beslut rörande mellanlagring av avfall samt anläggning av ytor</t>
        </is>
      </c>
      <c r="BC231" t="inlineStr">
        <is>
          <t>AUTO</t>
        </is>
      </c>
      <c r="BD231" t="inlineStr"/>
      <c r="BE231" t="inlineStr"/>
      <c r="BF231" t="inlineStr">
        <is>
          <t>AUTO_GENERERAD. Bekrafta metadata mot kallfil.</t>
        </is>
      </c>
      <c r="BG231">
        <f>HYPERLINK("C:\Users\jimmy\Desktop\Examens arbete\Kod\Ny mapp\remix_-copy-of-miljöbeslut.se-portal\M-2024-2225 - Anmälan (2).pdf", "Öppna PDF")</f>
        <v/>
      </c>
    </row>
    <row r="232">
      <c r="A232" t="inlineStr">
        <is>
          <t>KRAV-AUTO-000231</t>
        </is>
      </c>
      <c r="B232" t="inlineStr">
        <is>
          <t>ADMIN-INDEX-2026-02-27-00000000125C043F57453246863FE664CAFE6A3F0700950291EA24F0614FB6ACEDB12BF0E31D00000000010C0000950291EA24F0614FB6ACEDB12BF0E31D00002087A5D90000</t>
        </is>
      </c>
      <c r="C232" t="inlineStr">
        <is>
          <t>cmm4yuqtf03xncuqwjhhh2u4r</t>
        </is>
      </c>
      <c r="D232" t="inlineStr">
        <is>
          <t>http://localhost:8787/api/admin/requirements/documents/cmm4yuqtf03xncuqwjhhh2u4r/view</t>
        </is>
      </c>
      <c r="E232">
        <f>HYPERLÄNK("http://localhost:8787/api/admin/requirements/documents/cmm4yuqtf03xncuqwjhhh2u4r/view";"Öppna PDF")</f>
        <v/>
      </c>
      <c r="F232">
        <f>HYPERLINK("http://localhost:8787/api/admin/requirements/documents/cmm4yuqtf03xncuqwjhhh2u4r/view","Open PDF")</f>
        <v/>
      </c>
      <c r="G232" t="inlineStr">
        <is>
          <t>cmm55w57p0004cuisfrtpqly8</t>
        </is>
      </c>
      <c r="H232" t="inlineStr">
        <is>
          <t>Informationskrav</t>
        </is>
      </c>
      <c r="I232" t="inlineStr">
        <is>
          <t>MiljopaverkanForsiktighet</t>
        </is>
      </c>
      <c r="J232" t="inlineStr">
        <is>
          <t>Skyddsatgarder</t>
        </is>
      </c>
      <c r="K232" t="inlineStr">
        <is>
          <t>Den 7 november 2025 återkopplade vi till Tekniska förvaltningen med följdfrågor om det är samma typ av åtgärder och avfallsmassor som angetts tidigare i ärendet även om projektet hanteras och färdigställs längre fram.</t>
        </is>
      </c>
      <c r="L232" t="inlineStr">
        <is>
          <t>Den 7 november 2025 återkopplade vi till Tekniska förvaltningen med följdfrågor om det är samma typ av åtgärder och avfallsmassor som angetts tidigare i ärendet även om projektet hanteras och färdigställs längre fram.</t>
        </is>
      </c>
      <c r="M232" t="inlineStr">
        <is>
          <t>SKA</t>
        </is>
      </c>
      <c r="N232" t="inlineStr"/>
      <c r="O232" t="inlineStr"/>
      <c r="P232" t="inlineStr"/>
      <c r="Q232" t="inlineStr"/>
      <c r="R232" t="inlineStr">
        <is>
          <t>Alltid</t>
        </is>
      </c>
      <c r="S232" t="inlineStr"/>
      <c r="T232" t="inlineStr">
        <is>
          <t>26 70 00</t>
        </is>
      </c>
      <c r="U232" t="inlineStr"/>
      <c r="V232" t="inlineStr"/>
      <c r="W232" t="inlineStr">
        <is>
          <t>Nej</t>
        </is>
      </c>
      <c r="X232" t="inlineStr">
        <is>
          <t>Nej</t>
        </is>
      </c>
      <c r="Y232" t="inlineStr">
        <is>
          <t>Nej</t>
        </is>
      </c>
      <c r="Z232" t="inlineStr">
        <is>
          <t>Nej</t>
        </is>
      </c>
      <c r="AA232" t="n">
        <v>10</v>
      </c>
      <c r="AB232" t="inlineStr">
        <is>
          <t>Miljopaverkan och forsiktighetsmatt</t>
        </is>
      </c>
      <c r="AC232" t="inlineStr">
        <is>
          <t>Miljo-PM</t>
        </is>
      </c>
      <c r="AD232" t="inlineStr">
        <is>
          <t>Nej</t>
        </is>
      </c>
      <c r="AE232" t="inlineStr">
        <is>
          <t>Nej</t>
        </is>
      </c>
      <c r="AF232" t="inlineStr">
        <is>
          <t>Ej behandlad</t>
        </is>
      </c>
      <c r="AG232" t="inlineStr">
        <is>
          <t>AUTO_GENERERAD. Verifiera citat mot kallfil.</t>
        </is>
      </c>
      <c r="AH232" t="inlineStr">
        <is>
          <t>MEDIUM</t>
        </is>
      </c>
      <c r="AI232" t="inlineStr">
        <is>
          <t>AUTO</t>
        </is>
      </c>
      <c r="AJ232" t="inlineStr">
        <is>
          <t>Nej</t>
        </is>
      </c>
      <c r="AK232" t="inlineStr"/>
      <c r="AL232" t="inlineStr"/>
      <c r="AM232" t="inlineStr"/>
      <c r="AN232" t="inlineStr"/>
      <c r="AO232" t="inlineStr">
        <is>
          <t>cmm4yuquq03yzcuqwmekbklcz</t>
        </is>
      </c>
      <c r="AP232" t="inlineStr">
        <is>
          <t>http://localhost:8787/api/admin/requirements/documents/cmm4yuquq03yzcuqwmekbklcz/view</t>
        </is>
      </c>
      <c r="AQ232">
        <f>HYPERLÄNK("http://localhost:8787/api/admin/requirements/documents/cmm4yuquq03yzcuqwmekbklcz/view";"Öppna PDF")</f>
        <v/>
      </c>
      <c r="AR232">
        <f>HYPERLINK("http://localhost:8787/api/admin/requirements/documents/cmm4yuquq03yzcuqwmekbklcz/view","Open PDF")</f>
        <v/>
      </c>
      <c r="AS232" t="inlineStr">
        <is>
          <t>cmm55w57p0004cuisfrtpqly8</t>
        </is>
      </c>
      <c r="AT232" t="inlineStr">
        <is>
          <t>cmm4xvu980000cuh4vj0usz09</t>
        </is>
      </c>
      <c r="AU232" t="inlineStr">
        <is>
          <t>Hässleholms</t>
        </is>
      </c>
      <c r="AV232" t="inlineStr">
        <is>
          <t>Kommun</t>
        </is>
      </c>
      <c r="AW232" t="inlineStr">
        <is>
          <t>Hässleholms kommun</t>
        </is>
      </c>
      <c r="AX232" t="inlineStr">
        <is>
          <t>2024-2225</t>
        </is>
      </c>
      <c r="AY232" t="inlineStr">
        <is>
          <t>Anmalan</t>
        </is>
      </c>
      <c r="AZ232" t="inlineStr">
        <is>
          <t>2026-02-05</t>
        </is>
      </c>
      <c r="BA232" t="inlineStr">
        <is>
          <t>M-2024-2225 - Anmälan (2).pdf</t>
        </is>
      </c>
      <c r="BB232" t="inlineStr">
        <is>
          <t>Sv:  Begäran om utlämnande av allmän handling – Anmälningar och beslut rörande mellanlagring av avfall samt anläggning av ytor</t>
        </is>
      </c>
      <c r="BC232" t="inlineStr">
        <is>
          <t>AUTO</t>
        </is>
      </c>
      <c r="BD232" t="inlineStr"/>
      <c r="BE232" t="inlineStr"/>
      <c r="BF232" t="inlineStr">
        <is>
          <t>AUTO_GENERERAD. Bekrafta metadata mot kallfil.</t>
        </is>
      </c>
      <c r="BG232">
        <f>HYPERLINK("C:\Users\jimmy\Desktop\Examens arbete\Kod\Ny mapp\remix_-copy-of-miljöbeslut.se-portal\M-2024-2225 - Anmälan (2).pdf", "Öppna PDF")</f>
        <v/>
      </c>
    </row>
    <row r="233">
      <c r="A233" t="inlineStr">
        <is>
          <t>KRAV-AUTO-000232</t>
        </is>
      </c>
      <c r="B233" t="inlineStr">
        <is>
          <t>ADMIN-INDEX-2026-02-27-00000000125C043F57453246863FE664CAFE6A3F0700950291EA24F0614FB6ACEDB12BF0E31D00000000010C0000950291EA24F0614FB6ACEDB12BF0E31D00002087A5DA0000</t>
        </is>
      </c>
      <c r="C233" t="inlineStr">
        <is>
          <t>cmm4yuqt403xbcuqwn5w6kvre</t>
        </is>
      </c>
      <c r="D233" t="inlineStr">
        <is>
          <t>http://localhost:8787/api/admin/requirements/documents/cmm4yuqt403xbcuqwn5w6kvre/view</t>
        </is>
      </c>
      <c r="E233">
        <f>HYPERLÄNK("http://localhost:8787/api/admin/requirements/documents/cmm4yuqt403xbcuqwn5w6kvre/view";"Öppna PDF")</f>
        <v/>
      </c>
      <c r="F233">
        <f>HYPERLINK("http://localhost:8787/api/admin/requirements/documents/cmm4yuqt403xbcuqwn5w6kvre/view","Open PDF")</f>
        <v/>
      </c>
      <c r="G233" t="inlineStr">
        <is>
          <t>cmm55w57p0004cuisfrtpqly8</t>
        </is>
      </c>
      <c r="H233" t="inlineStr">
        <is>
          <t>Informationskrav</t>
        </is>
      </c>
      <c r="I233" t="inlineStr">
        <is>
          <t>LagringsvolymTid</t>
        </is>
      </c>
      <c r="J233" t="inlineStr">
        <is>
          <t>Maxmangd</t>
        </is>
      </c>
      <c r="K233" t="inlineStr">
        <is>
          <t>Beskrivning av avfallet Beskriv vilken typ av avfall som ska användas (ange även mängd i ton eller m³) Asfalt som krossas.</t>
        </is>
      </c>
      <c r="L233" t="inlineStr">
        <is>
          <t>Beskrivning av avfallet Beskriv vilken typ av avfall som ska användas (ange även mängd i ton eller m³) Asfalt som krossas.</t>
        </is>
      </c>
      <c r="M233" t="inlineStr">
        <is>
          <t>SKA</t>
        </is>
      </c>
      <c r="N233" t="inlineStr"/>
      <c r="O233" t="inlineStr"/>
      <c r="P233" t="inlineStr"/>
      <c r="Q233" t="inlineStr"/>
      <c r="R233" t="inlineStr">
        <is>
          <t>Alltid</t>
        </is>
      </c>
      <c r="S233" t="inlineStr"/>
      <c r="T233" t="inlineStr">
        <is>
          <t>556574</t>
        </is>
      </c>
      <c r="U233" t="inlineStr"/>
      <c r="V233" t="inlineStr"/>
      <c r="W233" t="inlineStr">
        <is>
          <t>Nej</t>
        </is>
      </c>
      <c r="X233" t="inlineStr">
        <is>
          <t>Nej</t>
        </is>
      </c>
      <c r="Y233" t="inlineStr">
        <is>
          <t>Nej</t>
        </is>
      </c>
      <c r="Z233" t="inlineStr">
        <is>
          <t>Nej</t>
        </is>
      </c>
      <c r="AA233" t="n">
        <v>4</v>
      </c>
      <c r="AB233" t="inlineStr">
        <is>
          <t>Avfallsmangder och lagringstid</t>
        </is>
      </c>
      <c r="AC233" t="inlineStr">
        <is>
          <t>Avfallsforteckning</t>
        </is>
      </c>
      <c r="AD233" t="inlineStr">
        <is>
          <t>Nej</t>
        </is>
      </c>
      <c r="AE233" t="inlineStr">
        <is>
          <t>Nej</t>
        </is>
      </c>
      <c r="AF233" t="inlineStr">
        <is>
          <t>Ej behandlad</t>
        </is>
      </c>
      <c r="AG233" t="inlineStr">
        <is>
          <t>AUTO_GENERERAD. Verifiera citat mot kallfil.</t>
        </is>
      </c>
      <c r="AH233" t="inlineStr">
        <is>
          <t>MEDIUM</t>
        </is>
      </c>
      <c r="AI233" t="inlineStr">
        <is>
          <t>AUTO</t>
        </is>
      </c>
      <c r="AJ233" t="inlineStr">
        <is>
          <t>Nej</t>
        </is>
      </c>
      <c r="AK233" t="inlineStr"/>
      <c r="AL233" t="inlineStr"/>
      <c r="AM233" t="inlineStr"/>
      <c r="AN233" t="inlineStr"/>
      <c r="AO233" t="inlineStr">
        <is>
          <t>cmm4yuqt403xbcuqwn5w6kvre</t>
        </is>
      </c>
      <c r="AP233" t="inlineStr">
        <is>
          <t>http://localhost:8787/api/admin/requirements/documents/cmm4yuqt403xbcuqwn5w6kvre/view</t>
        </is>
      </c>
      <c r="AQ233">
        <f>HYPERLÄNK("http://localhost:8787/api/admin/requirements/documents/cmm4yuqt403xbcuqwn5w6kvre/view";"Öppna PDF")</f>
        <v/>
      </c>
      <c r="AR233">
        <f>HYPERLINK("http://localhost:8787/api/admin/requirements/documents/cmm4yuqt403xbcuqwn5w6kvre/view","Open PDF")</f>
        <v/>
      </c>
      <c r="AS233" t="inlineStr">
        <is>
          <t>cmm55w57p0004cuisfrtpqly8</t>
        </is>
      </c>
      <c r="AT233" t="inlineStr">
        <is>
          <t>cmm4xvu980000cuh4vj0usz09</t>
        </is>
      </c>
      <c r="AU233" t="inlineStr"/>
      <c r="AV233" t="inlineStr">
        <is>
          <t>Kommun</t>
        </is>
      </c>
      <c r="AW233" t="inlineStr"/>
      <c r="AX233" t="inlineStr">
        <is>
          <t>2024-2166</t>
        </is>
      </c>
      <c r="AY233" t="inlineStr">
        <is>
          <t>Anmalan</t>
        </is>
      </c>
      <c r="AZ233" t="inlineStr">
        <is>
          <t>2026-02-05</t>
        </is>
      </c>
      <c r="BA233" t="inlineStr">
        <is>
          <t>M-2024-2166 - Anmälan.pdf</t>
        </is>
      </c>
      <c r="BB233" t="inlineStr">
        <is>
          <t>Sv:  Begäran om utlämnande av allmän handling – Anmälningar och beslut rörande mellanlagring av avfall samt anläggning av ytor</t>
        </is>
      </c>
      <c r="BC233" t="inlineStr">
        <is>
          <t>AUTO</t>
        </is>
      </c>
      <c r="BD233" t="inlineStr"/>
      <c r="BE233" t="inlineStr"/>
      <c r="BF233" t="inlineStr">
        <is>
          <t>AUTO_GENERERAD. Bekrafta metadata mot kallfil.</t>
        </is>
      </c>
      <c r="BG233">
        <f>HYPERLINK("C:\Users\jimmy\Desktop\Examens arbete\Kod\Ny mapp\remix_-copy-of-miljöbeslut.se-portal\M-2024-2166 - Anmälan.pdf", "Öppna PDF")</f>
        <v/>
      </c>
    </row>
    <row r="234">
      <c r="A234" t="inlineStr">
        <is>
          <t>KRAV-AUTO-000233</t>
        </is>
      </c>
      <c r="B234" t="inlineStr">
        <is>
          <t>ADMIN-INDEX-2026-02-27-00000000125C043F57453246863FE664CAFE6A3F0700950291EA24F0614FB6ACEDB12BF0E31D00000000010C0000950291EA24F0614FB6ACEDB12BF0E31D00002087A5DA0000</t>
        </is>
      </c>
      <c r="C234" t="inlineStr">
        <is>
          <t>cmm4yuqt403xbcuqwn5w6kvre</t>
        </is>
      </c>
      <c r="D234" t="inlineStr">
        <is>
          <t>http://localhost:8787/api/admin/requirements/documents/cmm4yuqt403xbcuqwn5w6kvre/view</t>
        </is>
      </c>
      <c r="E234">
        <f>HYPERLÄNK("http://localhost:8787/api/admin/requirements/documents/cmm4yuqt403xbcuqwn5w6kvre/view";"Öppna PDF")</f>
        <v/>
      </c>
      <c r="F234">
        <f>HYPERLINK("http://localhost:8787/api/admin/requirements/documents/cmm4yuqt403xbcuqwn5w6kvre/view","Open PDF")</f>
        <v/>
      </c>
      <c r="G234" t="inlineStr">
        <is>
          <t>cmm55w57p0004cuisfrtpqly8</t>
        </is>
      </c>
      <c r="H234" t="inlineStr">
        <is>
          <t>Informationskrav</t>
        </is>
      </c>
      <c r="I234" t="inlineStr">
        <is>
          <t>DagvattenLakvatten</t>
        </is>
      </c>
      <c r="J234" t="inlineStr">
        <is>
          <t>Uppsamling</t>
        </is>
      </c>
      <c r="K234" t="inlineStr">
        <is>
          <t>Beskriv de skyddsåtgärder som kommer att vidtas för att minska risken att föroreningar sprids Genom egenkontroller, provtagningar av asfalten som skickas på analys.</t>
        </is>
      </c>
      <c r="L234" t="inlineStr">
        <is>
          <t>Beskriv de skyddsåtgärder som kommer att vidtas för att minska risken att föroreningar sprids Genom egenkontroller, provtagningar av asfalten som skickas på analys.</t>
        </is>
      </c>
      <c r="M234" t="inlineStr">
        <is>
          <t>SKA</t>
        </is>
      </c>
      <c r="N234" t="inlineStr"/>
      <c r="O234" t="inlineStr"/>
      <c r="P234" t="inlineStr"/>
      <c r="Q234" t="inlineStr"/>
      <c r="R234" t="inlineStr">
        <is>
          <t>Vid nederbord och avrinning</t>
        </is>
      </c>
      <c r="S234" t="inlineStr"/>
      <c r="T234" t="inlineStr">
        <is>
          <t>556574</t>
        </is>
      </c>
      <c r="U234" t="inlineStr"/>
      <c r="V234" t="inlineStr"/>
      <c r="W234" t="inlineStr">
        <is>
          <t>Nej</t>
        </is>
      </c>
      <c r="X234" t="inlineStr">
        <is>
          <t>Ja</t>
        </is>
      </c>
      <c r="Y234" t="inlineStr">
        <is>
          <t>Ja</t>
        </is>
      </c>
      <c r="Z234" t="inlineStr">
        <is>
          <t>Nej</t>
        </is>
      </c>
      <c r="AA234" t="n">
        <v>6</v>
      </c>
      <c r="AB234" t="inlineStr">
        <is>
          <t>Lakvattenhantering</t>
        </is>
      </c>
      <c r="AC234" t="inlineStr">
        <is>
          <t>Flodesschema dagvatten-lakvatten</t>
        </is>
      </c>
      <c r="AD234" t="inlineStr">
        <is>
          <t>Nej</t>
        </is>
      </c>
      <c r="AE234" t="inlineStr">
        <is>
          <t>Nej</t>
        </is>
      </c>
      <c r="AF234" t="inlineStr">
        <is>
          <t>Ej behandlad</t>
        </is>
      </c>
      <c r="AG234" t="inlineStr">
        <is>
          <t>AUTO_GENERERAD. Verifiera citat mot kallfil.</t>
        </is>
      </c>
      <c r="AH234" t="inlineStr">
        <is>
          <t>MEDIUM</t>
        </is>
      </c>
      <c r="AI234" t="inlineStr">
        <is>
          <t>AUTO</t>
        </is>
      </c>
      <c r="AJ234" t="inlineStr">
        <is>
          <t>Nej</t>
        </is>
      </c>
      <c r="AK234" t="inlineStr"/>
      <c r="AL234" t="inlineStr"/>
      <c r="AM234" t="inlineStr"/>
      <c r="AN234" t="inlineStr"/>
      <c r="AO234" t="inlineStr">
        <is>
          <t>cmm4yuqt403xbcuqwn5w6kvre</t>
        </is>
      </c>
      <c r="AP234" t="inlineStr">
        <is>
          <t>http://localhost:8787/api/admin/requirements/documents/cmm4yuqt403xbcuqwn5w6kvre/view</t>
        </is>
      </c>
      <c r="AQ234">
        <f>HYPERLÄNK("http://localhost:8787/api/admin/requirements/documents/cmm4yuqt403xbcuqwn5w6kvre/view";"Öppna PDF")</f>
        <v/>
      </c>
      <c r="AR234">
        <f>HYPERLINK("http://localhost:8787/api/admin/requirements/documents/cmm4yuqt403xbcuqwn5w6kvre/view","Open PDF")</f>
        <v/>
      </c>
      <c r="AS234" t="inlineStr">
        <is>
          <t>cmm55w57p0004cuisfrtpqly8</t>
        </is>
      </c>
      <c r="AT234" t="inlineStr">
        <is>
          <t>cmm4xvu980000cuh4vj0usz09</t>
        </is>
      </c>
      <c r="AU234" t="inlineStr"/>
      <c r="AV234" t="inlineStr">
        <is>
          <t>Kommun</t>
        </is>
      </c>
      <c r="AW234" t="inlineStr"/>
      <c r="AX234" t="inlineStr">
        <is>
          <t>2024-2166</t>
        </is>
      </c>
      <c r="AY234" t="inlineStr">
        <is>
          <t>Anmalan</t>
        </is>
      </c>
      <c r="AZ234" t="inlineStr">
        <is>
          <t>2026-02-05</t>
        </is>
      </c>
      <c r="BA234" t="inlineStr">
        <is>
          <t>M-2024-2166 - Anmälan.pdf</t>
        </is>
      </c>
      <c r="BB234" t="inlineStr">
        <is>
          <t>Sv:  Begäran om utlämnande av allmän handling – Anmälningar och beslut rörande mellanlagring av avfall samt anläggning av ytor</t>
        </is>
      </c>
      <c r="BC234" t="inlineStr">
        <is>
          <t>AUTO</t>
        </is>
      </c>
      <c r="BD234" t="inlineStr"/>
      <c r="BE234" t="inlineStr"/>
      <c r="BF234" t="inlineStr">
        <is>
          <t>AUTO_GENERERAD. Bekrafta metadata mot kallfil.</t>
        </is>
      </c>
      <c r="BG234">
        <f>HYPERLINK("C:\Users\jimmy\Desktop\Examens arbete\Kod\Ny mapp\remix_-copy-of-miljöbeslut.se-portal\M-2024-2166 - Anmälan.pdf", "Öppna PDF")</f>
        <v/>
      </c>
    </row>
    <row r="235">
      <c r="A235" t="inlineStr">
        <is>
          <t>KRAV-AUTO-000234</t>
        </is>
      </c>
      <c r="B235" t="inlineStr">
        <is>
          <t>ADMIN-INDEX-2026-02-27-00000000125C043F57453246863FE664CAFE6A3F0700950291EA24F0614FB6ACEDB12BF0E31D00000000010C0000950291EA24F0614FB6ACEDB12BF0E31D00002087A5DA0000</t>
        </is>
      </c>
      <c r="C235" t="inlineStr">
        <is>
          <t>cmm4yuqt403xbcuqwn5w6kvre</t>
        </is>
      </c>
      <c r="D235" t="inlineStr">
        <is>
          <t>http://localhost:8787/api/admin/requirements/documents/cmm4yuqt403xbcuqwn5w6kvre/view</t>
        </is>
      </c>
      <c r="E235">
        <f>HYPERLÄNK("http://localhost:8787/api/admin/requirements/documents/cmm4yuqt403xbcuqwn5w6kvre/view";"Öppna PDF")</f>
        <v/>
      </c>
      <c r="F235">
        <f>HYPERLINK("http://localhost:8787/api/admin/requirements/documents/cmm4yuqt403xbcuqwn5w6kvre/view","Open PDF")</f>
        <v/>
      </c>
      <c r="G235" t="inlineStr">
        <is>
          <t>cmm55w57p0004cuisfrtpqly8</t>
        </is>
      </c>
      <c r="H235" t="inlineStr">
        <is>
          <t>Informationskrav</t>
        </is>
      </c>
      <c r="I235" t="inlineStr">
        <is>
          <t>DagvattenLakvatten</t>
        </is>
      </c>
      <c r="J235" t="inlineStr">
        <is>
          <t>Uppsamling</t>
        </is>
      </c>
      <c r="K235" t="inlineStr">
        <is>
          <t>6 § miljöbalken (SFS 1998:808) krävs en anmälan vid användning av avfall för anläggningsändamål på ett sätt som kan förorena mark, vattenområde eller grundvatten och där föroreningsrisken bedöms som ringa.</t>
        </is>
      </c>
      <c r="L235" t="inlineStr">
        <is>
          <t>6 § miljöbalken (SFS 1998:808) krävs en anmälan vid användning av avfall för anläggningsändamål på ett sätt som kan förorena mark, vattenområde eller grundvatten och där föroreningsrisken bedöms som ringa.</t>
        </is>
      </c>
      <c r="M235" t="inlineStr">
        <is>
          <t>SKA</t>
        </is>
      </c>
      <c r="N235" t="inlineStr">
        <is>
          <t>Miljobalken</t>
        </is>
      </c>
      <c r="O235" t="inlineStr"/>
      <c r="P235" t="inlineStr"/>
      <c r="Q235" t="inlineStr"/>
      <c r="R235" t="inlineStr">
        <is>
          <t>Vid nederbord och avrinning</t>
        </is>
      </c>
      <c r="S235" t="inlineStr"/>
      <c r="T235" t="inlineStr">
        <is>
          <t>556574</t>
        </is>
      </c>
      <c r="U235" t="inlineStr"/>
      <c r="V235" t="inlineStr"/>
      <c r="W235" t="inlineStr">
        <is>
          <t>Nej</t>
        </is>
      </c>
      <c r="X235" t="inlineStr">
        <is>
          <t>Ja</t>
        </is>
      </c>
      <c r="Y235" t="inlineStr">
        <is>
          <t>Ja</t>
        </is>
      </c>
      <c r="Z235" t="inlineStr">
        <is>
          <t>Nej</t>
        </is>
      </c>
      <c r="AA235" t="n">
        <v>6</v>
      </c>
      <c r="AB235" t="inlineStr">
        <is>
          <t>Lakvattenhantering</t>
        </is>
      </c>
      <c r="AC235" t="inlineStr">
        <is>
          <t>Flodesschema dagvatten-lakvatten</t>
        </is>
      </c>
      <c r="AD235" t="inlineStr">
        <is>
          <t>Nej</t>
        </is>
      </c>
      <c r="AE235" t="inlineStr">
        <is>
          <t>Nej</t>
        </is>
      </c>
      <c r="AF235" t="inlineStr">
        <is>
          <t>Ej behandlad</t>
        </is>
      </c>
      <c r="AG235" t="inlineStr">
        <is>
          <t>AUTO_GENERERAD. Verifiera citat mot kallfil.</t>
        </is>
      </c>
      <c r="AH235" t="inlineStr">
        <is>
          <t>MEDIUM</t>
        </is>
      </c>
      <c r="AI235" t="inlineStr">
        <is>
          <t>AUTO</t>
        </is>
      </c>
      <c r="AJ235" t="inlineStr">
        <is>
          <t>Nej</t>
        </is>
      </c>
      <c r="AK235" t="inlineStr"/>
      <c r="AL235" t="inlineStr"/>
      <c r="AM235" t="inlineStr"/>
      <c r="AN235" t="inlineStr"/>
      <c r="AO235" t="inlineStr">
        <is>
          <t>cmm4yuqt403xbcuqwn5w6kvre</t>
        </is>
      </c>
      <c r="AP235" t="inlineStr">
        <is>
          <t>http://localhost:8787/api/admin/requirements/documents/cmm4yuqt403xbcuqwn5w6kvre/view</t>
        </is>
      </c>
      <c r="AQ235">
        <f>HYPERLÄNK("http://localhost:8787/api/admin/requirements/documents/cmm4yuqt403xbcuqwn5w6kvre/view";"Öppna PDF")</f>
        <v/>
      </c>
      <c r="AR235">
        <f>HYPERLINK("http://localhost:8787/api/admin/requirements/documents/cmm4yuqt403xbcuqwn5w6kvre/view","Open PDF")</f>
        <v/>
      </c>
      <c r="AS235" t="inlineStr">
        <is>
          <t>cmm55w57p0004cuisfrtpqly8</t>
        </is>
      </c>
      <c r="AT235" t="inlineStr">
        <is>
          <t>cmm4xvu980000cuh4vj0usz09</t>
        </is>
      </c>
      <c r="AU235" t="inlineStr"/>
      <c r="AV235" t="inlineStr">
        <is>
          <t>Kommun</t>
        </is>
      </c>
      <c r="AW235" t="inlineStr"/>
      <c r="AX235" t="inlineStr">
        <is>
          <t>2024-2166</t>
        </is>
      </c>
      <c r="AY235" t="inlineStr">
        <is>
          <t>Anmalan</t>
        </is>
      </c>
      <c r="AZ235" t="inlineStr">
        <is>
          <t>2026-02-05</t>
        </is>
      </c>
      <c r="BA235" t="inlineStr">
        <is>
          <t>M-2024-2166 - Anmälan.pdf</t>
        </is>
      </c>
      <c r="BB235" t="inlineStr">
        <is>
          <t>Sv:  Begäran om utlämnande av allmän handling – Anmälningar och beslut rörande mellanlagring av avfall samt anläggning av ytor</t>
        </is>
      </c>
      <c r="BC235" t="inlineStr">
        <is>
          <t>AUTO</t>
        </is>
      </c>
      <c r="BD235" t="inlineStr"/>
      <c r="BE235" t="inlineStr"/>
      <c r="BF235" t="inlineStr">
        <is>
          <t>AUTO_GENERERAD. Bekrafta metadata mot kallfil.</t>
        </is>
      </c>
      <c r="BG235">
        <f>HYPERLINK("C:\Users\jimmy\Desktop\Examens arbete\Kod\Ny mapp\remix_-copy-of-miljöbeslut.se-portal\M-2024-2166 - Anmälan.pdf", "Öppna PDF")</f>
        <v/>
      </c>
    </row>
    <row r="236">
      <c r="A236" t="inlineStr">
        <is>
          <t>KRAV-AUTO-000235</t>
        </is>
      </c>
      <c r="B236" t="inlineStr">
        <is>
          <t>ADMIN-INDEX-2026-02-27-00000000125C043F57453246863FE664CAFE6A3F0700950291EA24F0614FB6ACEDB12BF0E31D00000000010C0000950291EA24F0614FB6ACEDB12BF0E31D00002087A5DA0000</t>
        </is>
      </c>
      <c r="C236" t="inlineStr">
        <is>
          <t>cmm4yuqsn03wtcuqw04slgb54</t>
        </is>
      </c>
      <c r="D236" t="inlineStr">
        <is>
          <t>http://localhost:8787/api/admin/requirements/documents/cmm4yuqsn03wtcuqw04slgb54/view</t>
        </is>
      </c>
      <c r="E236">
        <f>HYPERLÄNK("http://localhost:8787/api/admin/requirements/documents/cmm4yuqsn03wtcuqw04slgb54/view";"Öppna PDF")</f>
        <v/>
      </c>
      <c r="F236">
        <f>HYPERLINK("http://localhost:8787/api/admin/requirements/documents/cmm4yuqsn03wtcuqw04slgb54/view","Open PDF")</f>
        <v/>
      </c>
      <c r="G236" t="inlineStr">
        <is>
          <t>cmm55w57p0004cuisfrtpqly8</t>
        </is>
      </c>
      <c r="H236" t="inlineStr">
        <is>
          <t>Informationskrav</t>
        </is>
      </c>
      <c r="I236" t="inlineStr">
        <is>
          <t>DriftEgenkontroll</t>
        </is>
      </c>
      <c r="J236" t="inlineStr">
        <is>
          <t>Journalforing</t>
        </is>
      </c>
      <c r="K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36" t="inlineStr">
        <is>
          <t>SKA</t>
        </is>
      </c>
      <c r="N236" t="inlineStr"/>
      <c r="O236" t="inlineStr"/>
      <c r="P236" t="inlineStr">
        <is>
          <t>Arlig</t>
        </is>
      </c>
      <c r="Q236" t="inlineStr"/>
      <c r="R236" t="inlineStr">
        <is>
          <t>Lopande drift</t>
        </is>
      </c>
      <c r="S236" t="inlineStr"/>
      <c r="T236" t="inlineStr"/>
      <c r="U236" t="inlineStr"/>
      <c r="V236" t="inlineStr"/>
      <c r="W236" t="inlineStr">
        <is>
          <t>Nej</t>
        </is>
      </c>
      <c r="X236" t="inlineStr">
        <is>
          <t>Nej</t>
        </is>
      </c>
      <c r="Y236" t="inlineStr">
        <is>
          <t>Ja</t>
        </is>
      </c>
      <c r="Z236" t="inlineStr">
        <is>
          <t>Nej</t>
        </is>
      </c>
      <c r="AA236" t="n">
        <v>7</v>
      </c>
      <c r="AB236" t="inlineStr">
        <is>
          <t>Egenkontrollrutiner</t>
        </is>
      </c>
      <c r="AC236" t="inlineStr">
        <is>
          <t>Egenkontrollprogram</t>
        </is>
      </c>
      <c r="AD236" t="inlineStr">
        <is>
          <t>Nej</t>
        </is>
      </c>
      <c r="AE236" t="inlineStr">
        <is>
          <t>Nej</t>
        </is>
      </c>
      <c r="AF236" t="inlineStr">
        <is>
          <t>Ej behandlad</t>
        </is>
      </c>
      <c r="AG236" t="inlineStr">
        <is>
          <t>AUTO_GENERERAD. Verifiera citat mot kallfil.</t>
        </is>
      </c>
      <c r="AH236" t="inlineStr">
        <is>
          <t>MEDIUM</t>
        </is>
      </c>
      <c r="AI236" t="inlineStr">
        <is>
          <t>AUTO</t>
        </is>
      </c>
      <c r="AJ236" t="inlineStr">
        <is>
          <t>Nej</t>
        </is>
      </c>
      <c r="AK236" t="inlineStr"/>
      <c r="AL236" t="inlineStr"/>
      <c r="AM236" t="inlineStr"/>
      <c r="AN236" t="inlineStr"/>
      <c r="AO236" t="inlineStr">
        <is>
          <t>cmm4yuqt403xbcuqwn5w6kvre</t>
        </is>
      </c>
      <c r="AP236" t="inlineStr">
        <is>
          <t>http://localhost:8787/api/admin/requirements/documents/cmm4yuqt403xbcuqwn5w6kvre/view</t>
        </is>
      </c>
      <c r="AQ236">
        <f>HYPERLÄNK("http://localhost:8787/api/admin/requirements/documents/cmm4yuqt403xbcuqwn5w6kvre/view";"Öppna PDF")</f>
        <v/>
      </c>
      <c r="AR236">
        <f>HYPERLINK("http://localhost:8787/api/admin/requirements/documents/cmm4yuqt403xbcuqwn5w6kvre/view","Open PDF")</f>
        <v/>
      </c>
      <c r="AS236" t="inlineStr">
        <is>
          <t>cmm55w57p0004cuisfrtpqly8</t>
        </is>
      </c>
      <c r="AT236" t="inlineStr">
        <is>
          <t>cmm4xvu980000cuh4vj0usz09</t>
        </is>
      </c>
      <c r="AU236" t="inlineStr"/>
      <c r="AV236" t="inlineStr">
        <is>
          <t>Kommun</t>
        </is>
      </c>
      <c r="AW236" t="inlineStr"/>
      <c r="AX236" t="inlineStr">
        <is>
          <t>2024-2166</t>
        </is>
      </c>
      <c r="AY236" t="inlineStr">
        <is>
          <t>Anmalan</t>
        </is>
      </c>
      <c r="AZ236" t="inlineStr">
        <is>
          <t>2026-02-05</t>
        </is>
      </c>
      <c r="BA236" t="inlineStr">
        <is>
          <t>M-2024-2166 - Anmälan.pdf</t>
        </is>
      </c>
      <c r="BB236" t="inlineStr">
        <is>
          <t>Sv:  Begäran om utlämnande av allmän handling – Anmälningar och beslut rörande mellanlagring av avfall samt anläggning av ytor</t>
        </is>
      </c>
      <c r="BC236" t="inlineStr">
        <is>
          <t>AUTO</t>
        </is>
      </c>
      <c r="BD236" t="inlineStr"/>
      <c r="BE236" t="inlineStr"/>
      <c r="BF236" t="inlineStr">
        <is>
          <t>AUTO_GENERERAD. Bekrafta metadata mot kallfil.</t>
        </is>
      </c>
      <c r="BG236">
        <f>HYPERLINK("C:\Users\jimmy\Desktop\Examens arbete\Kod\Ny mapp\remix_-copy-of-miljöbeslut.se-portal\M-2024-2166 - Anmälan.pdf", "Öppna PDF")</f>
        <v/>
      </c>
    </row>
    <row r="237">
      <c r="A237" t="inlineStr">
        <is>
          <t>KRAV-AUTO-000236</t>
        </is>
      </c>
      <c r="B237" t="inlineStr">
        <is>
          <t>ADMIN-INDEX-2026-02-27-00000000125C043F57453246863FE664CAFE6A3F0700950291EA24F0614FB6ACEDB12BF0E31D00000000010C0000950291EA24F0614FB6ACEDB12BF0E31D00002087A5DA0000</t>
        </is>
      </c>
      <c r="C237" t="inlineStr">
        <is>
          <t>cmm4yuqsn03wtcuqw04slgb54</t>
        </is>
      </c>
      <c r="D237" t="inlineStr">
        <is>
          <t>http://localhost:8787/api/admin/requirements/documents/cmm4yuqsn03wtcuqw04slgb54/view</t>
        </is>
      </c>
      <c r="E237">
        <f>HYPERLÄNK("http://localhost:8787/api/admin/requirements/documents/cmm4yuqsn03wtcuqw04slgb54/view";"Öppna PDF")</f>
        <v/>
      </c>
      <c r="F237">
        <f>HYPERLINK("http://localhost:8787/api/admin/requirements/documents/cmm4yuqsn03wtcuqw04slgb54/view","Open PDF")</f>
        <v/>
      </c>
      <c r="G237" t="inlineStr">
        <is>
          <t>cmm55w57p0004cuisfrtpqly8</t>
        </is>
      </c>
      <c r="H237" t="inlineStr">
        <is>
          <t>Informationskrav</t>
        </is>
      </c>
      <c r="I237" t="inlineStr">
        <is>
          <t>DagvattenLakvatten</t>
        </is>
      </c>
      <c r="J237" t="inlineStr">
        <is>
          <t>Uppsamling</t>
        </is>
      </c>
      <c r="K237" t="inlineStr">
        <is>
          <t>6 § miljöbalken (SFS 1998:808) krävs en anmälan vid användning av avfall för anläggningsändamål på ett sätt som kan förorena mark, vattenområde eller grundvatten och där föroreningsrisken bedöms som ringa.</t>
        </is>
      </c>
      <c r="L237" t="inlineStr">
        <is>
          <t>6 § miljöbalken (SFS 1998:808) krävs en anmälan vid användning av avfall för anläggningsändamål på ett sätt som kan förorena mark, vattenområde eller grundvatten och där föroreningsrisken bedöms som ringa.</t>
        </is>
      </c>
      <c r="M237" t="inlineStr">
        <is>
          <t>SKA</t>
        </is>
      </c>
      <c r="N237" t="inlineStr">
        <is>
          <t>Miljobalken</t>
        </is>
      </c>
      <c r="O237" t="inlineStr"/>
      <c r="P237" t="inlineStr"/>
      <c r="Q237" t="inlineStr"/>
      <c r="R237" t="inlineStr">
        <is>
          <t>Vid nederbord och avrinning</t>
        </is>
      </c>
      <c r="S237" t="inlineStr"/>
      <c r="T237" t="inlineStr"/>
      <c r="U237" t="inlineStr"/>
      <c r="V237" t="inlineStr"/>
      <c r="W237" t="inlineStr">
        <is>
          <t>Nej</t>
        </is>
      </c>
      <c r="X237" t="inlineStr">
        <is>
          <t>Ja</t>
        </is>
      </c>
      <c r="Y237" t="inlineStr">
        <is>
          <t>Ja</t>
        </is>
      </c>
      <c r="Z237" t="inlineStr">
        <is>
          <t>Nej</t>
        </is>
      </c>
      <c r="AA237" t="n">
        <v>6</v>
      </c>
      <c r="AB237" t="inlineStr">
        <is>
          <t>Lakvattenhantering</t>
        </is>
      </c>
      <c r="AC237" t="inlineStr">
        <is>
          <t>Flodesschema dagvatten-lakvatten</t>
        </is>
      </c>
      <c r="AD237" t="inlineStr">
        <is>
          <t>Nej</t>
        </is>
      </c>
      <c r="AE237" t="inlineStr">
        <is>
          <t>Nej</t>
        </is>
      </c>
      <c r="AF237" t="inlineStr">
        <is>
          <t>Ej behandlad</t>
        </is>
      </c>
      <c r="AG237" t="inlineStr">
        <is>
          <t>AUTO_GENERERAD. Verifiera citat mot kallfil.</t>
        </is>
      </c>
      <c r="AH237" t="inlineStr">
        <is>
          <t>MEDIUM</t>
        </is>
      </c>
      <c r="AI237" t="inlineStr">
        <is>
          <t>AUTO</t>
        </is>
      </c>
      <c r="AJ237" t="inlineStr">
        <is>
          <t>Nej</t>
        </is>
      </c>
      <c r="AK237" t="inlineStr"/>
      <c r="AL237" t="inlineStr"/>
      <c r="AM237" t="inlineStr"/>
      <c r="AN237" t="inlineStr"/>
      <c r="AO237" t="inlineStr">
        <is>
          <t>cmm4yuqt403xbcuqwn5w6kvre</t>
        </is>
      </c>
      <c r="AP237" t="inlineStr">
        <is>
          <t>http://localhost:8787/api/admin/requirements/documents/cmm4yuqt403xbcuqwn5w6kvre/view</t>
        </is>
      </c>
      <c r="AQ237">
        <f>HYPERLÄNK("http://localhost:8787/api/admin/requirements/documents/cmm4yuqt403xbcuqwn5w6kvre/view";"Öppna PDF")</f>
        <v/>
      </c>
      <c r="AR237">
        <f>HYPERLINK("http://localhost:8787/api/admin/requirements/documents/cmm4yuqt403xbcuqwn5w6kvre/view","Open PDF")</f>
        <v/>
      </c>
      <c r="AS237" t="inlineStr">
        <is>
          <t>cmm55w57p0004cuisfrtpqly8</t>
        </is>
      </c>
      <c r="AT237" t="inlineStr">
        <is>
          <t>cmm4xvu980000cuh4vj0usz09</t>
        </is>
      </c>
      <c r="AU237" t="inlineStr"/>
      <c r="AV237" t="inlineStr">
        <is>
          <t>Kommun</t>
        </is>
      </c>
      <c r="AW237" t="inlineStr"/>
      <c r="AX237" t="inlineStr">
        <is>
          <t>2024-2166</t>
        </is>
      </c>
      <c r="AY237" t="inlineStr">
        <is>
          <t>Anmalan</t>
        </is>
      </c>
      <c r="AZ237" t="inlineStr">
        <is>
          <t>2026-02-05</t>
        </is>
      </c>
      <c r="BA237" t="inlineStr">
        <is>
          <t>M-2024-2166 - Anmälan.pdf</t>
        </is>
      </c>
      <c r="BB237" t="inlineStr">
        <is>
          <t>Sv:  Begäran om utlämnande av allmän handling – Anmälningar och beslut rörande mellanlagring av avfall samt anläggning av ytor</t>
        </is>
      </c>
      <c r="BC237" t="inlineStr">
        <is>
          <t>AUTO</t>
        </is>
      </c>
      <c r="BD237" t="inlineStr"/>
      <c r="BE237" t="inlineStr"/>
      <c r="BF237" t="inlineStr">
        <is>
          <t>AUTO_GENERERAD. Bekrafta metadata mot kallfil.</t>
        </is>
      </c>
      <c r="BG237">
        <f>HYPERLINK("C:\Users\jimmy\Desktop\Examens arbete\Kod\Ny mapp\remix_-copy-of-miljöbeslut.se-portal\M-2024-2166 - Anmälan.pdf", "Öppna PDF")</f>
        <v/>
      </c>
    </row>
    <row r="238">
      <c r="A238" t="inlineStr">
        <is>
          <t>KRAV-AUTO-000237</t>
        </is>
      </c>
      <c r="B238" t="inlineStr">
        <is>
          <t>ADMIN-INDEX-2026-02-27-00000000125C043F57453246863FE664CAFE6A3F0700950291EA24F0614FB6ACEDB12BF0E31D00000000010C0000950291EA24F0614FB6ACEDB12BF0E31D00002087A5DA0000</t>
        </is>
      </c>
      <c r="C238" t="inlineStr">
        <is>
          <t>cmm4yuqsn03wtcuqw04slgb54</t>
        </is>
      </c>
      <c r="D238" t="inlineStr">
        <is>
          <t>http://localhost:8787/api/admin/requirements/documents/cmm4yuqsn03wtcuqw04slgb54/view</t>
        </is>
      </c>
      <c r="E238">
        <f>HYPERLÄNK("http://localhost:8787/api/admin/requirements/documents/cmm4yuqsn03wtcuqw04slgb54/view";"Öppna PDF")</f>
        <v/>
      </c>
      <c r="F238">
        <f>HYPERLINK("http://localhost:8787/api/admin/requirements/documents/cmm4yuqsn03wtcuqw04slgb54/view","Open PDF")</f>
        <v/>
      </c>
      <c r="G238" t="inlineStr">
        <is>
          <t>cmm55w57p0004cuisfrtpqly8</t>
        </is>
      </c>
      <c r="H238" t="inlineStr">
        <is>
          <t>Informationskrav</t>
        </is>
      </c>
      <c r="I238" t="inlineStr">
        <is>
          <t>MiljopaverkanForsiktighet</t>
        </is>
      </c>
      <c r="J238" t="inlineStr">
        <is>
          <t>Skyddsatgarder</t>
        </is>
      </c>
      <c r="K238" t="inlineStr">
        <is>
          <t>- Skalenliga profilskisser av platsen där avfallet ska användas.</t>
        </is>
      </c>
      <c r="L238" t="inlineStr">
        <is>
          <t>- Skalenliga profilskisser av platsen där avfallet ska användas.</t>
        </is>
      </c>
      <c r="M238" t="inlineStr">
        <is>
          <t>SKA</t>
        </is>
      </c>
      <c r="N238" t="inlineStr"/>
      <c r="O238" t="inlineStr"/>
      <c r="P238" t="inlineStr"/>
      <c r="Q238" t="inlineStr"/>
      <c r="R238" t="inlineStr">
        <is>
          <t>Alltid</t>
        </is>
      </c>
      <c r="S238" t="inlineStr"/>
      <c r="T238" t="inlineStr"/>
      <c r="U238" t="inlineStr"/>
      <c r="V238" t="inlineStr"/>
      <c r="W238" t="inlineStr">
        <is>
          <t>Nej</t>
        </is>
      </c>
      <c r="X238" t="inlineStr">
        <is>
          <t>Nej</t>
        </is>
      </c>
      <c r="Y238" t="inlineStr">
        <is>
          <t>Nej</t>
        </is>
      </c>
      <c r="Z238" t="inlineStr">
        <is>
          <t>Nej</t>
        </is>
      </c>
      <c r="AA238" t="n">
        <v>10</v>
      </c>
      <c r="AB238" t="inlineStr">
        <is>
          <t>Miljopaverkan och forsiktighetsmatt</t>
        </is>
      </c>
      <c r="AC238" t="inlineStr">
        <is>
          <t>Miljo-PM</t>
        </is>
      </c>
      <c r="AD238" t="inlineStr">
        <is>
          <t>Nej</t>
        </is>
      </c>
      <c r="AE238" t="inlineStr">
        <is>
          <t>Nej</t>
        </is>
      </c>
      <c r="AF238" t="inlineStr">
        <is>
          <t>Ej behandlad</t>
        </is>
      </c>
      <c r="AG238" t="inlineStr">
        <is>
          <t>AUTO_GENERERAD. Verifiera citat mot kallfil.</t>
        </is>
      </c>
      <c r="AH238" t="inlineStr">
        <is>
          <t>MEDIUM</t>
        </is>
      </c>
      <c r="AI238" t="inlineStr">
        <is>
          <t>AUTO</t>
        </is>
      </c>
      <c r="AJ238" t="inlineStr">
        <is>
          <t>Nej</t>
        </is>
      </c>
      <c r="AK238" t="inlineStr"/>
      <c r="AL238" t="inlineStr"/>
      <c r="AM238" t="inlineStr"/>
      <c r="AN238" t="inlineStr"/>
      <c r="AO238" t="inlineStr">
        <is>
          <t>cmm4yuqt403xbcuqwn5w6kvre</t>
        </is>
      </c>
      <c r="AP238" t="inlineStr">
        <is>
          <t>http://localhost:8787/api/admin/requirements/documents/cmm4yuqt403xbcuqwn5w6kvre/view</t>
        </is>
      </c>
      <c r="AQ238">
        <f>HYPERLÄNK("http://localhost:8787/api/admin/requirements/documents/cmm4yuqt403xbcuqwn5w6kvre/view";"Öppna PDF")</f>
        <v/>
      </c>
      <c r="AR238">
        <f>HYPERLINK("http://localhost:8787/api/admin/requirements/documents/cmm4yuqt403xbcuqwn5w6kvre/view","Open PDF")</f>
        <v/>
      </c>
      <c r="AS238" t="inlineStr">
        <is>
          <t>cmm55w57p0004cuisfrtpqly8</t>
        </is>
      </c>
      <c r="AT238" t="inlineStr">
        <is>
          <t>cmm4xvu980000cuh4vj0usz09</t>
        </is>
      </c>
      <c r="AU238" t="inlineStr"/>
      <c r="AV238" t="inlineStr">
        <is>
          <t>Kommun</t>
        </is>
      </c>
      <c r="AW238" t="inlineStr"/>
      <c r="AX238" t="inlineStr">
        <is>
          <t>2024-2166</t>
        </is>
      </c>
      <c r="AY238" t="inlineStr">
        <is>
          <t>Anmalan</t>
        </is>
      </c>
      <c r="AZ238" t="inlineStr">
        <is>
          <t>2026-02-05</t>
        </is>
      </c>
      <c r="BA238" t="inlineStr">
        <is>
          <t>M-2024-2166 - Anmälan.pdf</t>
        </is>
      </c>
      <c r="BB238" t="inlineStr">
        <is>
          <t>Sv:  Begäran om utlämnande av allmän handling – Anmälningar och beslut rörande mellanlagring av avfall samt anläggning av ytor</t>
        </is>
      </c>
      <c r="BC238" t="inlineStr">
        <is>
          <t>AUTO</t>
        </is>
      </c>
      <c r="BD238" t="inlineStr"/>
      <c r="BE238" t="inlineStr"/>
      <c r="BF238" t="inlineStr">
        <is>
          <t>AUTO_GENERERAD. Bekrafta metadata mot kallfil.</t>
        </is>
      </c>
      <c r="BG238">
        <f>HYPERLINK("C:\Users\jimmy\Desktop\Examens arbete\Kod\Ny mapp\remix_-copy-of-miljöbeslut.se-portal\M-2024-2166 - Anmälan.pdf", "Öppna PDF")</f>
        <v/>
      </c>
    </row>
    <row r="239">
      <c r="A239" t="inlineStr">
        <is>
          <t>KRAV-AUTO-000238</t>
        </is>
      </c>
      <c r="B239" t="inlineStr">
        <is>
          <t>ADMIN-INDEX-2026-02-27-00000000125C043F57453246863FE664CAFE6A3F0700950291EA24F0614FB6ACEDB12BF0E31D00000000010C0000950291EA24F0614FB6ACEDB12BF0E31D00002087A5DA0000</t>
        </is>
      </c>
      <c r="C239" t="inlineStr">
        <is>
          <t>cmm4yuqsb03whcuqwtwnu1tsm</t>
        </is>
      </c>
      <c r="D239" t="inlineStr">
        <is>
          <t>http://localhost:8787/api/admin/requirements/documents/cmm4yuqsb03whcuqwtwnu1tsm/view</t>
        </is>
      </c>
      <c r="E239">
        <f>HYPERLÄNK("http://localhost:8787/api/admin/requirements/documents/cmm4yuqsb03whcuqwtwnu1tsm/view";"Öppna PDF")</f>
        <v/>
      </c>
      <c r="F239">
        <f>HYPERLINK("http://localhost:8787/api/admin/requirements/documents/cmm4yuqsb03whcuqwtwnu1tsm/view","Open PDF")</f>
        <v/>
      </c>
      <c r="G239" t="inlineStr">
        <is>
          <t>cmm55w57p0004cuisfrtpqly8</t>
        </is>
      </c>
      <c r="H239" t="inlineStr">
        <is>
          <t>Informationskrav</t>
        </is>
      </c>
      <c r="I239" t="inlineStr">
        <is>
          <t>LagringsvolymTid</t>
        </is>
      </c>
      <c r="J239" t="inlineStr">
        <is>
          <t>Maxmangd</t>
        </is>
      </c>
      <c r="K239" t="inlineStr">
        <is>
          <t>Beskrivning av avfallet Beskriv vilken typ av avfall som ska användas (ange även mängd i ton eller m³) Barlager 0,14,032 siltig sand.</t>
        </is>
      </c>
      <c r="L239" t="inlineStr">
        <is>
          <t>Beskrivning av avfallet Beskriv vilken typ av avfall som ska användas (ange även mängd i ton eller m³) Barlager 0,14,032 siltig sand.</t>
        </is>
      </c>
      <c r="M239" t="inlineStr">
        <is>
          <t>SKA</t>
        </is>
      </c>
      <c r="N239" t="inlineStr"/>
      <c r="O239" t="inlineStr"/>
      <c r="P239" t="inlineStr"/>
      <c r="Q239" t="inlineStr"/>
      <c r="R239" t="inlineStr">
        <is>
          <t>Alltid</t>
        </is>
      </c>
      <c r="S239" t="inlineStr"/>
      <c r="T239" t="inlineStr">
        <is>
          <t>556634</t>
        </is>
      </c>
      <c r="U239" t="inlineStr"/>
      <c r="V239" t="inlineStr"/>
      <c r="W239" t="inlineStr">
        <is>
          <t>Nej</t>
        </is>
      </c>
      <c r="X239" t="inlineStr">
        <is>
          <t>Nej</t>
        </is>
      </c>
      <c r="Y239" t="inlineStr">
        <is>
          <t>Nej</t>
        </is>
      </c>
      <c r="Z239" t="inlineStr">
        <is>
          <t>Nej</t>
        </is>
      </c>
      <c r="AA239" t="n">
        <v>4</v>
      </c>
      <c r="AB239" t="inlineStr">
        <is>
          <t>Avfallsmangder och lagringstid</t>
        </is>
      </c>
      <c r="AC239" t="inlineStr">
        <is>
          <t>Avfallsforteckning</t>
        </is>
      </c>
      <c r="AD239" t="inlineStr">
        <is>
          <t>Nej</t>
        </is>
      </c>
      <c r="AE239" t="inlineStr">
        <is>
          <t>Nej</t>
        </is>
      </c>
      <c r="AF239" t="inlineStr">
        <is>
          <t>Ej behandlad</t>
        </is>
      </c>
      <c r="AG239" t="inlineStr">
        <is>
          <t>AUTO_GENERERAD. Verifiera citat mot kallfil.</t>
        </is>
      </c>
      <c r="AH239" t="inlineStr">
        <is>
          <t>MEDIUM</t>
        </is>
      </c>
      <c r="AI239" t="inlineStr">
        <is>
          <t>AUTO</t>
        </is>
      </c>
      <c r="AJ239" t="inlineStr">
        <is>
          <t>Nej</t>
        </is>
      </c>
      <c r="AK239" t="inlineStr"/>
      <c r="AL239" t="inlineStr"/>
      <c r="AM239" t="inlineStr"/>
      <c r="AN239" t="inlineStr"/>
      <c r="AO239" t="inlineStr">
        <is>
          <t>cmm4yuqt403xbcuqwn5w6kvre</t>
        </is>
      </c>
      <c r="AP239" t="inlineStr">
        <is>
          <t>http://localhost:8787/api/admin/requirements/documents/cmm4yuqt403xbcuqwn5w6kvre/view</t>
        </is>
      </c>
      <c r="AQ239">
        <f>HYPERLÄNK("http://localhost:8787/api/admin/requirements/documents/cmm4yuqt403xbcuqwn5w6kvre/view";"Öppna PDF")</f>
        <v/>
      </c>
      <c r="AR239">
        <f>HYPERLINK("http://localhost:8787/api/admin/requirements/documents/cmm4yuqt403xbcuqwn5w6kvre/view","Open PDF")</f>
        <v/>
      </c>
      <c r="AS239" t="inlineStr">
        <is>
          <t>cmm55w57p0004cuisfrtpqly8</t>
        </is>
      </c>
      <c r="AT239" t="inlineStr">
        <is>
          <t>cmm4xvu980000cuh4vj0usz09</t>
        </is>
      </c>
      <c r="AU239" t="inlineStr"/>
      <c r="AV239" t="inlineStr">
        <is>
          <t>Kommun</t>
        </is>
      </c>
      <c r="AW239" t="inlineStr"/>
      <c r="AX239" t="inlineStr">
        <is>
          <t>2024-2166</t>
        </is>
      </c>
      <c r="AY239" t="inlineStr">
        <is>
          <t>Anmalan</t>
        </is>
      </c>
      <c r="AZ239" t="inlineStr">
        <is>
          <t>2026-02-05</t>
        </is>
      </c>
      <c r="BA239" t="inlineStr">
        <is>
          <t>M-2024-2166 - Anmälan.pdf</t>
        </is>
      </c>
      <c r="BB239" t="inlineStr">
        <is>
          <t>Sv:  Begäran om utlämnande av allmän handling – Anmälningar och beslut rörande mellanlagring av avfall samt anläggning av ytor</t>
        </is>
      </c>
      <c r="BC239" t="inlineStr">
        <is>
          <t>AUTO</t>
        </is>
      </c>
      <c r="BD239" t="inlineStr"/>
      <c r="BE239" t="inlineStr"/>
      <c r="BF239" t="inlineStr">
        <is>
          <t>AUTO_GENERERAD. Bekrafta metadata mot kallfil.</t>
        </is>
      </c>
      <c r="BG239">
        <f>HYPERLINK("C:\Users\jimmy\Desktop\Examens arbete\Kod\Ny mapp\remix_-copy-of-miljöbeslut.se-portal\M-2024-2166 - Anmälan.pdf", "Öppna PDF")</f>
        <v/>
      </c>
    </row>
    <row r="240">
      <c r="A240" t="inlineStr">
        <is>
          <t>KRAV-AUTO-000239</t>
        </is>
      </c>
      <c r="B240" t="inlineStr">
        <is>
          <t>ADMIN-INDEX-2026-02-27-00000000125C043F57453246863FE664CAFE6A3F0700950291EA24F0614FB6ACEDB12BF0E31D00000000010C0000950291EA24F0614FB6ACEDB12BF0E31D00002087A5DA0000</t>
        </is>
      </c>
      <c r="C240" t="inlineStr">
        <is>
          <t>cmm4yuqsb03whcuqwtwnu1tsm</t>
        </is>
      </c>
      <c r="D240" t="inlineStr">
        <is>
          <t>http://localhost:8787/api/admin/requirements/documents/cmm4yuqsb03whcuqwtwnu1tsm/view</t>
        </is>
      </c>
      <c r="E240">
        <f>HYPERLÄNK("http://localhost:8787/api/admin/requirements/documents/cmm4yuqsb03whcuqwtwnu1tsm/view";"Öppna PDF")</f>
        <v/>
      </c>
      <c r="F240">
        <f>HYPERLINK("http://localhost:8787/api/admin/requirements/documents/cmm4yuqsb03whcuqwtwnu1tsm/view","Open PDF")</f>
        <v/>
      </c>
      <c r="G240" t="inlineStr">
        <is>
          <t>cmm55w57p0004cuisfrtpqly8</t>
        </is>
      </c>
      <c r="H240" t="inlineStr">
        <is>
          <t>Informationskrav</t>
        </is>
      </c>
      <c r="I240" t="inlineStr">
        <is>
          <t>MiljopaverkanForsiktighet</t>
        </is>
      </c>
      <c r="J240" t="inlineStr">
        <is>
          <t>Skyddsatgarder</t>
        </is>
      </c>
      <c r="K240" t="inlineStr">
        <is>
          <t>Beskrivning av anläggningen Beskriv vad för slags anläggning som avfallet ska användas till och vilken funktion anläggningen fyller Upp fyllnad, av tount Som skall be bysgas med Industri fastighet.</t>
        </is>
      </c>
      <c r="L240" t="inlineStr">
        <is>
          <t>Beskrivning av anläggningen Beskriv vad för slags anläggning som avfallet ska användas till och vilken funktion anläggningen fyller Upp fyllnad, av tount Som skall be bysgas med Industri fastighet.</t>
        </is>
      </c>
      <c r="M240" t="inlineStr">
        <is>
          <t>SKA</t>
        </is>
      </c>
      <c r="N240" t="inlineStr"/>
      <c r="O240" t="inlineStr"/>
      <c r="P240" t="inlineStr"/>
      <c r="Q240" t="inlineStr"/>
      <c r="R240" t="inlineStr">
        <is>
          <t>Alltid</t>
        </is>
      </c>
      <c r="S240" t="inlineStr"/>
      <c r="T240" t="inlineStr">
        <is>
          <t>556634</t>
        </is>
      </c>
      <c r="U240" t="inlineStr"/>
      <c r="V240" t="inlineStr"/>
      <c r="W240" t="inlineStr">
        <is>
          <t>Nej</t>
        </is>
      </c>
      <c r="X240" t="inlineStr">
        <is>
          <t>Nej</t>
        </is>
      </c>
      <c r="Y240" t="inlineStr">
        <is>
          <t>Nej</t>
        </is>
      </c>
      <c r="Z240" t="inlineStr">
        <is>
          <t>Nej</t>
        </is>
      </c>
      <c r="AA240" t="n">
        <v>10</v>
      </c>
      <c r="AB240" t="inlineStr">
        <is>
          <t>Miljopaverkan och forsiktighetsmatt</t>
        </is>
      </c>
      <c r="AC240" t="inlineStr">
        <is>
          <t>Miljo-PM</t>
        </is>
      </c>
      <c r="AD240" t="inlineStr">
        <is>
          <t>Nej</t>
        </is>
      </c>
      <c r="AE240" t="inlineStr">
        <is>
          <t>Nej</t>
        </is>
      </c>
      <c r="AF240" t="inlineStr">
        <is>
          <t>Ej behandlad</t>
        </is>
      </c>
      <c r="AG240" t="inlineStr">
        <is>
          <t>AUTO_GENERERAD. Verifiera citat mot kallfil.</t>
        </is>
      </c>
      <c r="AH240" t="inlineStr">
        <is>
          <t>MEDIUM</t>
        </is>
      </c>
      <c r="AI240" t="inlineStr">
        <is>
          <t>AUTO</t>
        </is>
      </c>
      <c r="AJ240" t="inlineStr">
        <is>
          <t>Nej</t>
        </is>
      </c>
      <c r="AK240" t="inlineStr"/>
      <c r="AL240" t="inlineStr"/>
      <c r="AM240" t="inlineStr"/>
      <c r="AN240" t="inlineStr"/>
      <c r="AO240" t="inlineStr">
        <is>
          <t>cmm4yuqt403xbcuqwn5w6kvre</t>
        </is>
      </c>
      <c r="AP240" t="inlineStr">
        <is>
          <t>http://localhost:8787/api/admin/requirements/documents/cmm4yuqt403xbcuqwn5w6kvre/view</t>
        </is>
      </c>
      <c r="AQ240">
        <f>HYPERLÄNK("http://localhost:8787/api/admin/requirements/documents/cmm4yuqt403xbcuqwn5w6kvre/view";"Öppna PDF")</f>
        <v/>
      </c>
      <c r="AR240">
        <f>HYPERLINK("http://localhost:8787/api/admin/requirements/documents/cmm4yuqt403xbcuqwn5w6kvre/view","Open PDF")</f>
        <v/>
      </c>
      <c r="AS240" t="inlineStr">
        <is>
          <t>cmm55w57p0004cuisfrtpqly8</t>
        </is>
      </c>
      <c r="AT240" t="inlineStr">
        <is>
          <t>cmm4xvu980000cuh4vj0usz09</t>
        </is>
      </c>
      <c r="AU240" t="inlineStr"/>
      <c r="AV240" t="inlineStr">
        <is>
          <t>Kommun</t>
        </is>
      </c>
      <c r="AW240" t="inlineStr"/>
      <c r="AX240" t="inlineStr">
        <is>
          <t>2024-2166</t>
        </is>
      </c>
      <c r="AY240" t="inlineStr">
        <is>
          <t>Anmalan</t>
        </is>
      </c>
      <c r="AZ240" t="inlineStr">
        <is>
          <t>2026-02-05</t>
        </is>
      </c>
      <c r="BA240" t="inlineStr">
        <is>
          <t>M-2024-2166 - Anmälan.pdf</t>
        </is>
      </c>
      <c r="BB240" t="inlineStr">
        <is>
          <t>Sv:  Begäran om utlämnande av allmän handling – Anmälningar och beslut rörande mellanlagring av avfall samt anläggning av ytor</t>
        </is>
      </c>
      <c r="BC240" t="inlineStr">
        <is>
          <t>AUTO</t>
        </is>
      </c>
      <c r="BD240" t="inlineStr"/>
      <c r="BE240" t="inlineStr"/>
      <c r="BF240" t="inlineStr">
        <is>
          <t>AUTO_GENERERAD. Bekrafta metadata mot kallfil.</t>
        </is>
      </c>
      <c r="BG240">
        <f>HYPERLINK("C:\Users\jimmy\Desktop\Examens arbete\Kod\Ny mapp\remix_-copy-of-miljöbeslut.se-portal\M-2024-2166 - Anmälan.pdf", "Öppna PDF")</f>
        <v/>
      </c>
    </row>
    <row r="241">
      <c r="A241" t="inlineStr">
        <is>
          <t>KRAV-AUTO-000240</t>
        </is>
      </c>
      <c r="B241" t="inlineStr">
        <is>
          <t>ADMIN-INDEX-2026-02-27-00000000125C043F57453246863FE664CAFE6A3F0700950291EA24F0614FB6ACEDB12BF0E31D00000000010C0000950291EA24F0614FB6ACEDB12BF0E31D00002087A5DA0000</t>
        </is>
      </c>
      <c r="C241" t="inlineStr">
        <is>
          <t>cmm4yuqsb03whcuqwtwnu1tsm</t>
        </is>
      </c>
      <c r="D241" t="inlineStr">
        <is>
          <t>http://localhost:8787/api/admin/requirements/documents/cmm4yuqsb03whcuqwtwnu1tsm/view</t>
        </is>
      </c>
      <c r="E241">
        <f>HYPERLÄNK("http://localhost:8787/api/admin/requirements/documents/cmm4yuqsb03whcuqwtwnu1tsm/view";"Öppna PDF")</f>
        <v/>
      </c>
      <c r="F241">
        <f>HYPERLINK("http://localhost:8787/api/admin/requirements/documents/cmm4yuqsb03whcuqwtwnu1tsm/view","Open PDF")</f>
        <v/>
      </c>
      <c r="G241" t="inlineStr">
        <is>
          <t>cmm55w57p0004cuisfrtpqly8</t>
        </is>
      </c>
      <c r="H241" t="inlineStr">
        <is>
          <t>Informationskrav</t>
        </is>
      </c>
      <c r="I241" t="inlineStr">
        <is>
          <t>DriftEgenkontroll</t>
        </is>
      </c>
      <c r="J241" t="inlineStr">
        <is>
          <t>Journalforing</t>
        </is>
      </c>
      <c r="K241" t="inlineStr">
        <is>
          <t>Beskriv hur provtagningen av avfallet har genomförts Genom borrning matriser i läge se bilaga (6 4.</t>
        </is>
      </c>
      <c r="L241" t="inlineStr">
        <is>
          <t>Beskriv hur provtagningen av avfallet har genomförts Genom borrning matriser i läge se bilaga (6 4.</t>
        </is>
      </c>
      <c r="M241" t="inlineStr">
        <is>
          <t>BOR</t>
        </is>
      </c>
      <c r="N241" t="inlineStr"/>
      <c r="O241" t="inlineStr"/>
      <c r="P241" t="inlineStr"/>
      <c r="Q241" t="inlineStr"/>
      <c r="R241" t="inlineStr">
        <is>
          <t>Lopande drift</t>
        </is>
      </c>
      <c r="S241" t="inlineStr"/>
      <c r="T241" t="inlineStr">
        <is>
          <t>556634</t>
        </is>
      </c>
      <c r="U241" t="inlineStr"/>
      <c r="V241" t="inlineStr"/>
      <c r="W241" t="inlineStr">
        <is>
          <t>Nej</t>
        </is>
      </c>
      <c r="X241" t="inlineStr">
        <is>
          <t>Nej</t>
        </is>
      </c>
      <c r="Y241" t="inlineStr">
        <is>
          <t>Ja</t>
        </is>
      </c>
      <c r="Z241" t="inlineStr">
        <is>
          <t>Nej</t>
        </is>
      </c>
      <c r="AA241" t="n">
        <v>7</v>
      </c>
      <c r="AB241" t="inlineStr">
        <is>
          <t>Egenkontrollrutiner</t>
        </is>
      </c>
      <c r="AC241" t="inlineStr">
        <is>
          <t>Egenkontrollprogram</t>
        </is>
      </c>
      <c r="AD241" t="inlineStr">
        <is>
          <t>Nej</t>
        </is>
      </c>
      <c r="AE241" t="inlineStr">
        <is>
          <t>Nej</t>
        </is>
      </c>
      <c r="AF241" t="inlineStr">
        <is>
          <t>Ej behandlad</t>
        </is>
      </c>
      <c r="AG241" t="inlineStr">
        <is>
          <t>AUTO_GENERERAD. Verifiera citat mot kallfil.</t>
        </is>
      </c>
      <c r="AH241" t="inlineStr">
        <is>
          <t>MEDIUM</t>
        </is>
      </c>
      <c r="AI241" t="inlineStr">
        <is>
          <t>AUTO</t>
        </is>
      </c>
      <c r="AJ241" t="inlineStr">
        <is>
          <t>Nej</t>
        </is>
      </c>
      <c r="AK241" t="inlineStr"/>
      <c r="AL241" t="inlineStr"/>
      <c r="AM241" t="inlineStr"/>
      <c r="AN241" t="inlineStr"/>
      <c r="AO241" t="inlineStr">
        <is>
          <t>cmm4yuqt403xbcuqwn5w6kvre</t>
        </is>
      </c>
      <c r="AP241" t="inlineStr">
        <is>
          <t>http://localhost:8787/api/admin/requirements/documents/cmm4yuqt403xbcuqwn5w6kvre/view</t>
        </is>
      </c>
      <c r="AQ241">
        <f>HYPERLÄNK("http://localhost:8787/api/admin/requirements/documents/cmm4yuqt403xbcuqwn5w6kvre/view";"Öppna PDF")</f>
        <v/>
      </c>
      <c r="AR241">
        <f>HYPERLINK("http://localhost:8787/api/admin/requirements/documents/cmm4yuqt403xbcuqwn5w6kvre/view","Open PDF")</f>
        <v/>
      </c>
      <c r="AS241" t="inlineStr">
        <is>
          <t>cmm55w57p0004cuisfrtpqly8</t>
        </is>
      </c>
      <c r="AT241" t="inlineStr">
        <is>
          <t>cmm4xvu980000cuh4vj0usz09</t>
        </is>
      </c>
      <c r="AU241" t="inlineStr"/>
      <c r="AV241" t="inlineStr">
        <is>
          <t>Kommun</t>
        </is>
      </c>
      <c r="AW241" t="inlineStr"/>
      <c r="AX241" t="inlineStr">
        <is>
          <t>2024-2166</t>
        </is>
      </c>
      <c r="AY241" t="inlineStr">
        <is>
          <t>Anmalan</t>
        </is>
      </c>
      <c r="AZ241" t="inlineStr">
        <is>
          <t>2026-02-05</t>
        </is>
      </c>
      <c r="BA241" t="inlineStr">
        <is>
          <t>M-2024-2166 - Anmälan.pdf</t>
        </is>
      </c>
      <c r="BB241" t="inlineStr">
        <is>
          <t>Sv:  Begäran om utlämnande av allmän handling – Anmälningar och beslut rörande mellanlagring av avfall samt anläggning av ytor</t>
        </is>
      </c>
      <c r="BC241" t="inlineStr">
        <is>
          <t>AUTO</t>
        </is>
      </c>
      <c r="BD241" t="inlineStr"/>
      <c r="BE241" t="inlineStr"/>
      <c r="BF241" t="inlineStr">
        <is>
          <t>AUTO_GENERERAD. Bekrafta metadata mot kallfil.</t>
        </is>
      </c>
      <c r="BG241">
        <f>HYPERLINK("C:\Users\jimmy\Desktop\Examens arbete\Kod\Ny mapp\remix_-copy-of-miljöbeslut.se-portal\M-2024-2166 - Anmälan.pdf", "Öppna PDF")</f>
        <v/>
      </c>
    </row>
    <row r="242">
      <c r="A242" t="inlineStr">
        <is>
          <t>KRAV-AUTO-000241</t>
        </is>
      </c>
      <c r="B242" t="inlineStr">
        <is>
          <t>ADMIN-INDEX-2026-02-27-00000000125C043F57453246863FE664CAFE6A3F0700950291EA24F0614FB6ACEDB12BF0E31D00000000010C0000950291EA24F0614FB6ACEDB12BF0E31D000073AF24010000</t>
        </is>
      </c>
      <c r="C242" t="inlineStr">
        <is>
          <t>cmm4yurgk04j2cuqw5vz3m5i0</t>
        </is>
      </c>
      <c r="D242" t="inlineStr">
        <is>
          <t>http://localhost:8787/api/admin/requirements/documents/cmm4yurgk04j2cuqw5vz3m5i0/view</t>
        </is>
      </c>
      <c r="E242">
        <f>HYPERLÄNK("http://localhost:8787/api/admin/requirements/documents/cmm4yurgk04j2cuqw5vz3m5i0/view";"Öppna PDF")</f>
        <v/>
      </c>
      <c r="F242">
        <f>HYPERLINK("http://localhost:8787/api/admin/requirements/documents/cmm4yurgk04j2cuqw5vz3m5i0/view","Open PDF")</f>
        <v/>
      </c>
      <c r="G242" t="inlineStr">
        <is>
          <t>cmm55w57p0004cuisfrtpqly8</t>
        </is>
      </c>
      <c r="H242" t="inlineStr">
        <is>
          <t>Beslutsvillkor</t>
        </is>
      </c>
      <c r="I242" t="inlineStr">
        <is>
          <t>Ytkonstruktion</t>
        </is>
      </c>
      <c r="J242" t="inlineStr">
        <is>
          <t>Tat yta</t>
        </is>
      </c>
      <c r="K242" t="inlineStr">
        <is>
          <t>66,28 105,14 66,88 0,00 0,27 3,05 108,25 Y: 7290,79 m² O: 349,87 m Fastighetskartan Mellanlagringsyta Bredaryd © Värnamo kommun och Lantmäteriet 2024-12-10 Kartredovisningen har inte rättsverkan, jmfr mot beslut i lantmäterihandlingar.</t>
        </is>
      </c>
      <c r="L242" t="inlineStr">
        <is>
          <t>66,28 105,14 66,88 0,00 0,27 3,05 108,25 Y: 7290,79 m² O: 349,87 m Fastighetskartan Mellanlagringsyta Bredaryd © Värnamo kommun och Lantmäteriet 2024-12-10 Kartredovisningen har inte rättsverkan, jmfr mot beslut i lantmäterihandlingar.</t>
        </is>
      </c>
      <c r="M242" t="inlineStr">
        <is>
          <t>SKA</t>
        </is>
      </c>
      <c r="N242" t="inlineStr"/>
      <c r="O242" t="inlineStr">
        <is>
          <t>2024-12-10</t>
        </is>
      </c>
      <c r="P242" t="inlineStr"/>
      <c r="Q242" t="inlineStr"/>
      <c r="R242" t="inlineStr">
        <is>
          <t>Vid mellanlagring av avfall</t>
        </is>
      </c>
      <c r="S242" t="inlineStr"/>
      <c r="T242" t="inlineStr"/>
      <c r="U242" t="inlineStr"/>
      <c r="V242" t="inlineStr"/>
      <c r="W242" t="inlineStr">
        <is>
          <t>Ja</t>
        </is>
      </c>
      <c r="X242" t="inlineStr">
        <is>
          <t>Nej</t>
        </is>
      </c>
      <c r="Y242" t="inlineStr">
        <is>
          <t>Nej</t>
        </is>
      </c>
      <c r="Z242" t="inlineStr">
        <is>
          <t>Nej</t>
        </is>
      </c>
      <c r="AA242" t="n">
        <v>5</v>
      </c>
      <c r="AB242" t="inlineStr">
        <is>
          <t>Teknisk beskrivning av platta</t>
        </is>
      </c>
      <c r="AC242" t="inlineStr">
        <is>
          <t>Teknisk ritning platta</t>
        </is>
      </c>
      <c r="AD242" t="inlineStr">
        <is>
          <t>Nej</t>
        </is>
      </c>
      <c r="AE242" t="inlineStr">
        <is>
          <t>Nej</t>
        </is>
      </c>
      <c r="AF242" t="inlineStr">
        <is>
          <t>Ej behandlad</t>
        </is>
      </c>
      <c r="AG242" t="inlineStr">
        <is>
          <t>AUTO_GENERERAD. Verifiera citat mot kallfil.</t>
        </is>
      </c>
      <c r="AH242" t="inlineStr">
        <is>
          <t>MEDIUM</t>
        </is>
      </c>
      <c r="AI242" t="inlineStr">
        <is>
          <t>AUTO</t>
        </is>
      </c>
      <c r="AJ242" t="inlineStr">
        <is>
          <t>Nej</t>
        </is>
      </c>
      <c r="AK242" t="inlineStr"/>
      <c r="AL242" t="inlineStr"/>
      <c r="AM242" t="inlineStr"/>
      <c r="AN242" t="inlineStr"/>
      <c r="AO242" t="inlineStr">
        <is>
          <t>cmm4yurgk04j2cuqw5vz3m5i0</t>
        </is>
      </c>
      <c r="AP242" t="inlineStr">
        <is>
          <t>http://localhost:8787/api/admin/requirements/documents/cmm4yurgk04j2cuqw5vz3m5i0/view</t>
        </is>
      </c>
      <c r="AQ242">
        <f>HYPERLÄNK("http://localhost:8787/api/admin/requirements/documents/cmm4yurgk04j2cuqw5vz3m5i0/view";"Öppna PDF")</f>
        <v/>
      </c>
      <c r="AR242">
        <f>HYPERLINK("http://localhost:8787/api/admin/requirements/documents/cmm4yurgk04j2cuqw5vz3m5i0/view","Open PDF")</f>
        <v/>
      </c>
      <c r="AS242" t="inlineStr">
        <is>
          <t>cmm55w57p0004cuisfrtpqly8</t>
        </is>
      </c>
      <c r="AT242" t="inlineStr">
        <is>
          <t>cmm4xvu980000cuh4vj0usz09</t>
        </is>
      </c>
      <c r="AU242" t="inlineStr">
        <is>
          <t>Värnamo</t>
        </is>
      </c>
      <c r="AV242" t="inlineStr">
        <is>
          <t>Kommun</t>
        </is>
      </c>
      <c r="AW242" t="inlineStr">
        <is>
          <t>Värnamo kommun</t>
        </is>
      </c>
      <c r="AX242" t="inlineStr">
        <is>
          <t>2024-12</t>
        </is>
      </c>
      <c r="AY242" t="inlineStr">
        <is>
          <t>Beslut</t>
        </is>
      </c>
      <c r="AZ242" t="inlineStr">
        <is>
          <t>2026-02-13</t>
        </is>
      </c>
      <c r="BA242" t="inlineStr">
        <is>
          <t>TFF bre sit.pdf</t>
        </is>
      </c>
      <c r="BB242" t="inlineStr">
        <is>
          <t>SV: till registrator [2026KC7547]</t>
        </is>
      </c>
      <c r="BC242" t="inlineStr">
        <is>
          <t>AUTO</t>
        </is>
      </c>
      <c r="BD242" t="inlineStr"/>
      <c r="BE242" t="inlineStr"/>
      <c r="BF242" t="inlineStr">
        <is>
          <t>AUTO_GENERERAD. Bekrafta metadata mot kallfil.</t>
        </is>
      </c>
      <c r="BG242">
        <f>HYPERLINK("C:\Users\jimmy\Desktop\Examens arbete\Kod\Ny mapp\remix_-copy-of-miljöbeslut.se-portal\TFF bre sit.pdf", "Öppna PDF")</f>
        <v/>
      </c>
    </row>
    <row r="243">
      <c r="A243" t="inlineStr">
        <is>
          <t>KRAV-AUTO-000242</t>
        </is>
      </c>
      <c r="B243" t="inlineStr">
        <is>
          <t>ADMIN-INDEX-2026-02-27-00000000125C043F57453246863FE664CAFE6A3F0700950291EA24F0614FB6ACEDB12BF0E31D00000000010C0000950291EA24F0614FB6ACEDB12BF0E31D00002087A5DA0000</t>
        </is>
      </c>
      <c r="C243" t="inlineStr">
        <is>
          <t>cmm4yuqs803wecuqwbqa3qufk</t>
        </is>
      </c>
      <c r="D243" t="inlineStr">
        <is>
          <t>http://localhost:8787/api/admin/requirements/documents/cmm4yuqs803wecuqwbqa3qufk/view</t>
        </is>
      </c>
      <c r="E243">
        <f>HYPERLÄNK("http://localhost:8787/api/admin/requirements/documents/cmm4yuqs803wecuqwbqa3qufk/view";"Öppna PDF")</f>
        <v/>
      </c>
      <c r="F243">
        <f>HYPERLINK("http://localhost:8787/api/admin/requirements/documents/cmm4yuqs803wecuqwbqa3qufk/view","Open PDF")</f>
        <v/>
      </c>
      <c r="G243" t="inlineStr">
        <is>
          <t>cmm55w57p0004cuisfrtpqly8</t>
        </is>
      </c>
      <c r="H243" t="inlineStr">
        <is>
          <t>Informationskrav</t>
        </is>
      </c>
      <c r="I243" t="inlineStr">
        <is>
          <t>DriftEgenkontroll</t>
        </is>
      </c>
      <c r="J243" t="inlineStr">
        <is>
          <t>Journalforing</t>
        </is>
      </c>
      <c r="K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43" t="inlineStr">
        <is>
          <t>SKA</t>
        </is>
      </c>
      <c r="N243" t="inlineStr"/>
      <c r="O243" t="inlineStr"/>
      <c r="P243" t="inlineStr">
        <is>
          <t>Arlig</t>
        </is>
      </c>
      <c r="Q243" t="inlineStr"/>
      <c r="R243" t="inlineStr">
        <is>
          <t>Lopande drift</t>
        </is>
      </c>
      <c r="S243" t="inlineStr"/>
      <c r="T243" t="inlineStr"/>
      <c r="U243" t="inlineStr"/>
      <c r="V243" t="inlineStr"/>
      <c r="W243" t="inlineStr">
        <is>
          <t>Nej</t>
        </is>
      </c>
      <c r="X243" t="inlineStr">
        <is>
          <t>Nej</t>
        </is>
      </c>
      <c r="Y243" t="inlineStr">
        <is>
          <t>Ja</t>
        </is>
      </c>
      <c r="Z243" t="inlineStr">
        <is>
          <t>Nej</t>
        </is>
      </c>
      <c r="AA243" t="n">
        <v>7</v>
      </c>
      <c r="AB243" t="inlineStr">
        <is>
          <t>Egenkontrollrutiner</t>
        </is>
      </c>
      <c r="AC243" t="inlineStr">
        <is>
          <t>Egenkontrollprogram</t>
        </is>
      </c>
      <c r="AD243" t="inlineStr">
        <is>
          <t>Nej</t>
        </is>
      </c>
      <c r="AE243" t="inlineStr">
        <is>
          <t>Nej</t>
        </is>
      </c>
      <c r="AF243" t="inlineStr">
        <is>
          <t>Ej behandlad</t>
        </is>
      </c>
      <c r="AG243" t="inlineStr">
        <is>
          <t>AUTO_GENERERAD. Verifiera citat mot kallfil.</t>
        </is>
      </c>
      <c r="AH243" t="inlineStr">
        <is>
          <t>MEDIUM</t>
        </is>
      </c>
      <c r="AI243" t="inlineStr">
        <is>
          <t>AUTO</t>
        </is>
      </c>
      <c r="AJ243" t="inlineStr">
        <is>
          <t>Nej</t>
        </is>
      </c>
      <c r="AK243" t="inlineStr"/>
      <c r="AL243" t="inlineStr"/>
      <c r="AM243" t="inlineStr"/>
      <c r="AN243" t="inlineStr"/>
      <c r="AO243" t="inlineStr">
        <is>
          <t>cmm4yuqt403xbcuqwn5w6kvre</t>
        </is>
      </c>
      <c r="AP243" t="inlineStr">
        <is>
          <t>http://localhost:8787/api/admin/requirements/documents/cmm4yuqt403xbcuqwn5w6kvre/view</t>
        </is>
      </c>
      <c r="AQ243">
        <f>HYPERLÄNK("http://localhost:8787/api/admin/requirements/documents/cmm4yuqt403xbcuqwn5w6kvre/view";"Öppna PDF")</f>
        <v/>
      </c>
      <c r="AR243">
        <f>HYPERLINK("http://localhost:8787/api/admin/requirements/documents/cmm4yuqt403xbcuqwn5w6kvre/view","Open PDF")</f>
        <v/>
      </c>
      <c r="AS243" t="inlineStr">
        <is>
          <t>cmm55w57p0004cuisfrtpqly8</t>
        </is>
      </c>
      <c r="AT243" t="inlineStr">
        <is>
          <t>cmm4xvu980000cuh4vj0usz09</t>
        </is>
      </c>
      <c r="AU243" t="inlineStr"/>
      <c r="AV243" t="inlineStr">
        <is>
          <t>Kommun</t>
        </is>
      </c>
      <c r="AW243" t="inlineStr"/>
      <c r="AX243" t="inlineStr">
        <is>
          <t>2024-2166</t>
        </is>
      </c>
      <c r="AY243" t="inlineStr">
        <is>
          <t>Anmalan</t>
        </is>
      </c>
      <c r="AZ243" t="inlineStr">
        <is>
          <t>2026-02-05</t>
        </is>
      </c>
      <c r="BA243" t="inlineStr">
        <is>
          <t>M-2024-2166 - Anmälan.pdf</t>
        </is>
      </c>
      <c r="BB243" t="inlineStr">
        <is>
          <t>Sv:  Begäran om utlämnande av allmän handling – Anmälningar och beslut rörande mellanlagring av avfall samt anläggning av ytor</t>
        </is>
      </c>
      <c r="BC243" t="inlineStr">
        <is>
          <t>AUTO</t>
        </is>
      </c>
      <c r="BD243" t="inlineStr"/>
      <c r="BE243" t="inlineStr"/>
      <c r="BF243" t="inlineStr">
        <is>
          <t>AUTO_GENERERAD. Bekrafta metadata mot kallfil.</t>
        </is>
      </c>
      <c r="BG243">
        <f>HYPERLINK("C:\Users\jimmy\Desktop\Examens arbete\Kod\Ny mapp\remix_-copy-of-miljöbeslut.se-portal\M-2024-2166 - Anmälan.pdf", "Öppna PDF")</f>
        <v/>
      </c>
    </row>
    <row r="244">
      <c r="A244" t="inlineStr">
        <is>
          <t>KRAV-AUTO-000243</t>
        </is>
      </c>
      <c r="B244" t="inlineStr">
        <is>
          <t>ADMIN-INDEX-2026-02-27-00000000125C043F57453246863FE664CAFE6A3F0700950291EA24F0614FB6ACEDB12BF0E31D00000000010C0000950291EA24F0614FB6ACEDB12BF0E31D00002087A5DA0000</t>
        </is>
      </c>
      <c r="C244" t="inlineStr">
        <is>
          <t>cmm4yuqs803wecuqwbqa3qufk</t>
        </is>
      </c>
      <c r="D244" t="inlineStr">
        <is>
          <t>http://localhost:8787/api/admin/requirements/documents/cmm4yuqs803wecuqwbqa3qufk/view</t>
        </is>
      </c>
      <c r="E244">
        <f>HYPERLÄNK("http://localhost:8787/api/admin/requirements/documents/cmm4yuqs803wecuqwbqa3qufk/view";"Öppna PDF")</f>
        <v/>
      </c>
      <c r="F244">
        <f>HYPERLINK("http://localhost:8787/api/admin/requirements/documents/cmm4yuqs803wecuqwbqa3qufk/view","Open PDF")</f>
        <v/>
      </c>
      <c r="G244" t="inlineStr">
        <is>
          <t>cmm55w57p0004cuisfrtpqly8</t>
        </is>
      </c>
      <c r="H244" t="inlineStr">
        <is>
          <t>Informationskrav</t>
        </is>
      </c>
      <c r="I244" t="inlineStr">
        <is>
          <t>DagvattenLakvatten</t>
        </is>
      </c>
      <c r="J244" t="inlineStr">
        <is>
          <t>Uppsamling</t>
        </is>
      </c>
      <c r="K244" t="inlineStr">
        <is>
          <t>6 § miljöbalken (SFS 1998:808) krävs en anmälan vid användning av avfall för anläggningsändamål på ett sätt som kan förorena mark, vattenområde eller grundvatten och där föroreningsrisken bedöms som ringa.</t>
        </is>
      </c>
      <c r="L244" t="inlineStr">
        <is>
          <t>6 § miljöbalken (SFS 1998:808) krävs en anmälan vid användning av avfall för anläggningsändamål på ett sätt som kan förorena mark, vattenområde eller grundvatten och där föroreningsrisken bedöms som ringa.</t>
        </is>
      </c>
      <c r="M244" t="inlineStr">
        <is>
          <t>SKA</t>
        </is>
      </c>
      <c r="N244" t="inlineStr">
        <is>
          <t>Miljobalken</t>
        </is>
      </c>
      <c r="O244" t="inlineStr"/>
      <c r="P244" t="inlineStr"/>
      <c r="Q244" t="inlineStr"/>
      <c r="R244" t="inlineStr">
        <is>
          <t>Vid nederbord och avrinning</t>
        </is>
      </c>
      <c r="S244" t="inlineStr"/>
      <c r="T244" t="inlineStr"/>
      <c r="U244" t="inlineStr"/>
      <c r="V244" t="inlineStr"/>
      <c r="W244" t="inlineStr">
        <is>
          <t>Nej</t>
        </is>
      </c>
      <c r="X244" t="inlineStr">
        <is>
          <t>Ja</t>
        </is>
      </c>
      <c r="Y244" t="inlineStr">
        <is>
          <t>Ja</t>
        </is>
      </c>
      <c r="Z244" t="inlineStr">
        <is>
          <t>Nej</t>
        </is>
      </c>
      <c r="AA244" t="n">
        <v>6</v>
      </c>
      <c r="AB244" t="inlineStr">
        <is>
          <t>Lakvattenhantering</t>
        </is>
      </c>
      <c r="AC244" t="inlineStr">
        <is>
          <t>Flodesschema dagvatten-lakvatten</t>
        </is>
      </c>
      <c r="AD244" t="inlineStr">
        <is>
          <t>Nej</t>
        </is>
      </c>
      <c r="AE244" t="inlineStr">
        <is>
          <t>Nej</t>
        </is>
      </c>
      <c r="AF244" t="inlineStr">
        <is>
          <t>Ej behandlad</t>
        </is>
      </c>
      <c r="AG244" t="inlineStr">
        <is>
          <t>AUTO_GENERERAD. Verifiera citat mot kallfil.</t>
        </is>
      </c>
      <c r="AH244" t="inlineStr">
        <is>
          <t>MEDIUM</t>
        </is>
      </c>
      <c r="AI244" t="inlineStr">
        <is>
          <t>AUTO</t>
        </is>
      </c>
      <c r="AJ244" t="inlineStr">
        <is>
          <t>Nej</t>
        </is>
      </c>
      <c r="AK244" t="inlineStr"/>
      <c r="AL244" t="inlineStr"/>
      <c r="AM244" t="inlineStr"/>
      <c r="AN244" t="inlineStr"/>
      <c r="AO244" t="inlineStr">
        <is>
          <t>cmm4yuqt403xbcuqwn5w6kvre</t>
        </is>
      </c>
      <c r="AP244" t="inlineStr">
        <is>
          <t>http://localhost:8787/api/admin/requirements/documents/cmm4yuqt403xbcuqwn5w6kvre/view</t>
        </is>
      </c>
      <c r="AQ244">
        <f>HYPERLÄNK("http://localhost:8787/api/admin/requirements/documents/cmm4yuqt403xbcuqwn5w6kvre/view";"Öppna PDF")</f>
        <v/>
      </c>
      <c r="AR244">
        <f>HYPERLINK("http://localhost:8787/api/admin/requirements/documents/cmm4yuqt403xbcuqwn5w6kvre/view","Open PDF")</f>
        <v/>
      </c>
      <c r="AS244" t="inlineStr">
        <is>
          <t>cmm55w57p0004cuisfrtpqly8</t>
        </is>
      </c>
      <c r="AT244" t="inlineStr">
        <is>
          <t>cmm4xvu980000cuh4vj0usz09</t>
        </is>
      </c>
      <c r="AU244" t="inlineStr"/>
      <c r="AV244" t="inlineStr">
        <is>
          <t>Kommun</t>
        </is>
      </c>
      <c r="AW244" t="inlineStr"/>
      <c r="AX244" t="inlineStr">
        <is>
          <t>2024-2166</t>
        </is>
      </c>
      <c r="AY244" t="inlineStr">
        <is>
          <t>Anmalan</t>
        </is>
      </c>
      <c r="AZ244" t="inlineStr">
        <is>
          <t>2026-02-05</t>
        </is>
      </c>
      <c r="BA244" t="inlineStr">
        <is>
          <t>M-2024-2166 - Anmälan.pdf</t>
        </is>
      </c>
      <c r="BB244" t="inlineStr">
        <is>
          <t>Sv:  Begäran om utlämnande av allmän handling – Anmälningar och beslut rörande mellanlagring av avfall samt anläggning av ytor</t>
        </is>
      </c>
      <c r="BC244" t="inlineStr">
        <is>
          <t>AUTO</t>
        </is>
      </c>
      <c r="BD244" t="inlineStr"/>
      <c r="BE244" t="inlineStr"/>
      <c r="BF244" t="inlineStr">
        <is>
          <t>AUTO_GENERERAD. Bekrafta metadata mot kallfil.</t>
        </is>
      </c>
      <c r="BG244">
        <f>HYPERLINK("C:\Users\jimmy\Desktop\Examens arbete\Kod\Ny mapp\remix_-copy-of-miljöbeslut.se-portal\M-2024-2166 - Anmälan.pdf", "Öppna PDF")</f>
        <v/>
      </c>
    </row>
    <row r="245">
      <c r="A245" t="inlineStr">
        <is>
          <t>KRAV-AUTO-000244</t>
        </is>
      </c>
      <c r="B245" t="inlineStr">
        <is>
          <t>ADMIN-INDEX-2026-02-27-00000000125C043F57453246863FE664CAFE6A3F0700950291EA24F0614FB6ACEDB12BF0E31D00000000010C0000950291EA24F0614FB6ACEDB12BF0E31D00002087A5DA0000</t>
        </is>
      </c>
      <c r="C245" t="inlineStr">
        <is>
          <t>cmm4yuqs803wecuqwbqa3qufk</t>
        </is>
      </c>
      <c r="D245" t="inlineStr">
        <is>
          <t>http://localhost:8787/api/admin/requirements/documents/cmm4yuqs803wecuqwbqa3qufk/view</t>
        </is>
      </c>
      <c r="E245">
        <f>HYPERLÄNK("http://localhost:8787/api/admin/requirements/documents/cmm4yuqs803wecuqwbqa3qufk/view";"Öppna PDF")</f>
        <v/>
      </c>
      <c r="F245">
        <f>HYPERLINK("http://localhost:8787/api/admin/requirements/documents/cmm4yuqs803wecuqwbqa3qufk/view","Open PDF")</f>
        <v/>
      </c>
      <c r="G245" t="inlineStr">
        <is>
          <t>cmm55w57p0004cuisfrtpqly8</t>
        </is>
      </c>
      <c r="H245" t="inlineStr">
        <is>
          <t>Informationskrav</t>
        </is>
      </c>
      <c r="I245" t="inlineStr">
        <is>
          <t>MiljopaverkanForsiktighet</t>
        </is>
      </c>
      <c r="J245" t="inlineStr">
        <is>
          <t>Skyddsatgarder</t>
        </is>
      </c>
      <c r="K245" t="inlineStr">
        <is>
          <t>- Skalenliga profilskisser av platsen där avfallet ska användas.</t>
        </is>
      </c>
      <c r="L245" t="inlineStr">
        <is>
          <t>- Skalenliga profilskisser av platsen där avfallet ska användas.</t>
        </is>
      </c>
      <c r="M245" t="inlineStr">
        <is>
          <t>SKA</t>
        </is>
      </c>
      <c r="N245" t="inlineStr"/>
      <c r="O245" t="inlineStr"/>
      <c r="P245" t="inlineStr"/>
      <c r="Q245" t="inlineStr"/>
      <c r="R245" t="inlineStr">
        <is>
          <t>Alltid</t>
        </is>
      </c>
      <c r="S245" t="inlineStr"/>
      <c r="T245" t="inlineStr"/>
      <c r="U245" t="inlineStr"/>
      <c r="V245" t="inlineStr"/>
      <c r="W245" t="inlineStr">
        <is>
          <t>Nej</t>
        </is>
      </c>
      <c r="X245" t="inlineStr">
        <is>
          <t>Nej</t>
        </is>
      </c>
      <c r="Y245" t="inlineStr">
        <is>
          <t>Nej</t>
        </is>
      </c>
      <c r="Z245" t="inlineStr">
        <is>
          <t>Nej</t>
        </is>
      </c>
      <c r="AA245" t="n">
        <v>10</v>
      </c>
      <c r="AB245" t="inlineStr">
        <is>
          <t>Miljopaverkan och forsiktighetsmatt</t>
        </is>
      </c>
      <c r="AC245" t="inlineStr">
        <is>
          <t>Miljo-PM</t>
        </is>
      </c>
      <c r="AD245" t="inlineStr">
        <is>
          <t>Nej</t>
        </is>
      </c>
      <c r="AE245" t="inlineStr">
        <is>
          <t>Nej</t>
        </is>
      </c>
      <c r="AF245" t="inlineStr">
        <is>
          <t>Ej behandlad</t>
        </is>
      </c>
      <c r="AG245" t="inlineStr">
        <is>
          <t>AUTO_GENERERAD. Verifiera citat mot kallfil.</t>
        </is>
      </c>
      <c r="AH245" t="inlineStr">
        <is>
          <t>MEDIUM</t>
        </is>
      </c>
      <c r="AI245" t="inlineStr">
        <is>
          <t>AUTO</t>
        </is>
      </c>
      <c r="AJ245" t="inlineStr">
        <is>
          <t>Nej</t>
        </is>
      </c>
      <c r="AK245" t="inlineStr"/>
      <c r="AL245" t="inlineStr"/>
      <c r="AM245" t="inlineStr"/>
      <c r="AN245" t="inlineStr"/>
      <c r="AO245" t="inlineStr">
        <is>
          <t>cmm4yuqt403xbcuqwn5w6kvre</t>
        </is>
      </c>
      <c r="AP245" t="inlineStr">
        <is>
          <t>http://localhost:8787/api/admin/requirements/documents/cmm4yuqt403xbcuqwn5w6kvre/view</t>
        </is>
      </c>
      <c r="AQ245">
        <f>HYPERLÄNK("http://localhost:8787/api/admin/requirements/documents/cmm4yuqt403xbcuqwn5w6kvre/view";"Öppna PDF")</f>
        <v/>
      </c>
      <c r="AR245">
        <f>HYPERLINK("http://localhost:8787/api/admin/requirements/documents/cmm4yuqt403xbcuqwn5w6kvre/view","Open PDF")</f>
        <v/>
      </c>
      <c r="AS245" t="inlineStr">
        <is>
          <t>cmm55w57p0004cuisfrtpqly8</t>
        </is>
      </c>
      <c r="AT245" t="inlineStr">
        <is>
          <t>cmm4xvu980000cuh4vj0usz09</t>
        </is>
      </c>
      <c r="AU245" t="inlineStr"/>
      <c r="AV245" t="inlineStr">
        <is>
          <t>Kommun</t>
        </is>
      </c>
      <c r="AW245" t="inlineStr"/>
      <c r="AX245" t="inlineStr">
        <is>
          <t>2024-2166</t>
        </is>
      </c>
      <c r="AY245" t="inlineStr">
        <is>
          <t>Anmalan</t>
        </is>
      </c>
      <c r="AZ245" t="inlineStr">
        <is>
          <t>2026-02-05</t>
        </is>
      </c>
      <c r="BA245" t="inlineStr">
        <is>
          <t>M-2024-2166 - Anmälan.pdf</t>
        </is>
      </c>
      <c r="BB245" t="inlineStr">
        <is>
          <t>Sv:  Begäran om utlämnande av allmän handling – Anmälningar och beslut rörande mellanlagring av avfall samt anläggning av ytor</t>
        </is>
      </c>
      <c r="BC245" t="inlineStr">
        <is>
          <t>AUTO</t>
        </is>
      </c>
      <c r="BD245" t="inlineStr"/>
      <c r="BE245" t="inlineStr"/>
      <c r="BF245" t="inlineStr">
        <is>
          <t>AUTO_GENERERAD. Bekrafta metadata mot kallfil.</t>
        </is>
      </c>
      <c r="BG245">
        <f>HYPERLINK("C:\Users\jimmy\Desktop\Examens arbete\Kod\Ny mapp\remix_-copy-of-miljöbeslut.se-portal\M-2024-2166 - Anmälan.pdf", "Öppna PDF")</f>
        <v/>
      </c>
    </row>
    <row r="246">
      <c r="A246" t="inlineStr">
        <is>
          <t>KRAV-AUTO-000245</t>
        </is>
      </c>
      <c r="B246" t="inlineStr">
        <is>
          <t>ADMIN-INDEX-2026-02-27-00000000125C043F57453246863FE664CAFE6A3F0700950291EA24F0614FB6ACEDB12BF0E31D00000000010C0000950291EA24F0614FB6ACEDB12BF0E31D00002087A5DB0000</t>
        </is>
      </c>
      <c r="C246" t="inlineStr">
        <is>
          <t>cmm4yuqru03vzcuqwfz8vze5g</t>
        </is>
      </c>
      <c r="D246" t="inlineStr">
        <is>
          <t>http://localhost:8787/api/admin/requirements/documents/cmm4yuqru03vzcuqwfz8vze5g/view</t>
        </is>
      </c>
      <c r="E246">
        <f>HYPERLÄNK("http://localhost:8787/api/admin/requirements/documents/cmm4yuqru03vzcuqwfz8vze5g/view";"Öppna PDF")</f>
        <v/>
      </c>
      <c r="F246">
        <f>HYPERLINK("http://localhost:8787/api/admin/requirements/documents/cmm4yuqru03vzcuqwfz8vze5g/view","Open PDF")</f>
        <v/>
      </c>
      <c r="G246" t="inlineStr">
        <is>
          <t>cmm55w57p0004cuisfrtpqly8</t>
        </is>
      </c>
      <c r="H246" t="inlineStr">
        <is>
          <t>Informationskrav</t>
        </is>
      </c>
      <c r="I246" t="inlineStr">
        <is>
          <t>LagringsvolymTid</t>
        </is>
      </c>
      <c r="J246" t="inlineStr">
        <is>
          <t>Maxmangd</t>
        </is>
      </c>
      <c r="K246" t="inlineStr">
        <is>
          <t>Vi åker till återvinningen med eventuella produkter Hur planerar ni att arbeta för att minska mängden avfall?</t>
        </is>
      </c>
      <c r="L246" t="inlineStr">
        <is>
          <t>Vi åker till återvinningen med eventuella produkter Hur planerar ni att arbeta för att minska mängden avfall?</t>
        </is>
      </c>
      <c r="M246" t="inlineStr">
        <is>
          <t>SKA</t>
        </is>
      </c>
      <c r="N246" t="inlineStr"/>
      <c r="O246" t="inlineStr"/>
      <c r="P246" t="inlineStr"/>
      <c r="Q246" t="inlineStr"/>
      <c r="R246" t="inlineStr">
        <is>
          <t>Alltid</t>
        </is>
      </c>
      <c r="S246" t="inlineStr"/>
      <c r="T246" t="inlineStr">
        <is>
          <t>241115</t>
        </is>
      </c>
      <c r="U246" t="inlineStr"/>
      <c r="V246" t="inlineStr"/>
      <c r="W246" t="inlineStr">
        <is>
          <t>Nej</t>
        </is>
      </c>
      <c r="X246" t="inlineStr">
        <is>
          <t>Nej</t>
        </is>
      </c>
      <c r="Y246" t="inlineStr">
        <is>
          <t>Nej</t>
        </is>
      </c>
      <c r="Z246" t="inlineStr">
        <is>
          <t>Nej</t>
        </is>
      </c>
      <c r="AA246" t="n">
        <v>4</v>
      </c>
      <c r="AB246" t="inlineStr">
        <is>
          <t>Avfallsmangder och lagringstid</t>
        </is>
      </c>
      <c r="AC246" t="inlineStr">
        <is>
          <t>Avfallsforteckning</t>
        </is>
      </c>
      <c r="AD246" t="inlineStr">
        <is>
          <t>Nej</t>
        </is>
      </c>
      <c r="AE246" t="inlineStr">
        <is>
          <t>Nej</t>
        </is>
      </c>
      <c r="AF246" t="inlineStr">
        <is>
          <t>Ej behandlad</t>
        </is>
      </c>
      <c r="AG246" t="inlineStr">
        <is>
          <t>AUTO_GENERERAD. Verifiera citat mot kallfil.</t>
        </is>
      </c>
      <c r="AH246" t="inlineStr">
        <is>
          <t>MEDIUM</t>
        </is>
      </c>
      <c r="AI246" t="inlineStr">
        <is>
          <t>AUTO</t>
        </is>
      </c>
      <c r="AJ246" t="inlineStr">
        <is>
          <t>Nej</t>
        </is>
      </c>
      <c r="AK246" t="inlineStr"/>
      <c r="AL246" t="inlineStr"/>
      <c r="AM246" t="inlineStr"/>
      <c r="AN246" t="inlineStr"/>
      <c r="AO246" t="inlineStr">
        <is>
          <t>cmm4yuqq103u2cuqwxq5c1oxv</t>
        </is>
      </c>
      <c r="AP246" t="inlineStr">
        <is>
          <t>http://localhost:8787/api/admin/requirements/documents/cmm4yuqq103u2cuqwxq5c1oxv/view</t>
        </is>
      </c>
      <c r="AQ246">
        <f>HYPERLÄNK("http://localhost:8787/api/admin/requirements/documents/cmm4yuqq103u2cuqwxq5c1oxv/view";"Öppna PDF")</f>
        <v/>
      </c>
      <c r="AR246">
        <f>HYPERLINK("http://localhost:8787/api/admin/requirements/documents/cmm4yuqq103u2cuqwxq5c1oxv/view","Open PDF")</f>
        <v/>
      </c>
      <c r="AS246" t="inlineStr">
        <is>
          <t>cmm55w57p0004cuisfrtpqly8</t>
        </is>
      </c>
      <c r="AT246" t="inlineStr">
        <is>
          <t>cmm4xvu980000cuh4vj0usz09</t>
        </is>
      </c>
      <c r="AU246" t="inlineStr">
        <is>
          <t>Hässleholms</t>
        </is>
      </c>
      <c r="AV246" t="inlineStr">
        <is>
          <t>Kommun</t>
        </is>
      </c>
      <c r="AW246" t="inlineStr">
        <is>
          <t>Hässleholms kommun</t>
        </is>
      </c>
      <c r="AX246" t="inlineStr">
        <is>
          <t>0451-26</t>
        </is>
      </c>
      <c r="AY246" t="inlineStr">
        <is>
          <t>Anmalan</t>
        </is>
      </c>
      <c r="AZ246" t="inlineStr">
        <is>
          <t>2026-02-05</t>
        </is>
      </c>
      <c r="BA246" t="inlineStr">
        <is>
          <t>M-2025-1599 - MFV C-verksamhet.pdf</t>
        </is>
      </c>
      <c r="BB246" t="inlineStr">
        <is>
          <t>Sv:  Begäran om utlämnande av allmän handling – Anmälningar och beslut rörande mellanlagring av avfall samt anläggning av ytor</t>
        </is>
      </c>
      <c r="BC246" t="inlineStr">
        <is>
          <t>AUTO</t>
        </is>
      </c>
      <c r="BD246" t="inlineStr"/>
      <c r="BE246" t="inlineStr"/>
      <c r="BF246" t="inlineStr">
        <is>
          <t>AUTO_GENERERAD. Bekrafta metadata mot kallfil.</t>
        </is>
      </c>
      <c r="BG246">
        <f>HYPERLINK("C:\Users\jimmy\Desktop\Examens arbete\Kod\Ny mapp\remix_-copy-of-miljöbeslut.se-portal\M-2025-1599 - MFV C-verksamhet.pdf", "Öppna PDF")</f>
        <v/>
      </c>
    </row>
    <row r="247">
      <c r="A247" t="inlineStr">
        <is>
          <t>KRAV-AUTO-000246</t>
        </is>
      </c>
      <c r="B247" t="inlineStr">
        <is>
          <t>ADMIN-INDEX-2026-02-27-00000000125C043F57453246863FE664CAFE6A3F0700950291EA24F0614FB6ACEDB12BF0E31D00000000010C0000950291EA24F0614FB6ACEDB12BF0E31D00002087A5DB0000</t>
        </is>
      </c>
      <c r="C247" t="inlineStr">
        <is>
          <t>cmm4yuqru03vzcuqwfz8vze5g</t>
        </is>
      </c>
      <c r="D247" t="inlineStr">
        <is>
          <t>http://localhost:8787/api/admin/requirements/documents/cmm4yuqru03vzcuqwfz8vze5g/view</t>
        </is>
      </c>
      <c r="E247">
        <f>HYPERLÄNK("http://localhost:8787/api/admin/requirements/documents/cmm4yuqru03vzcuqwfz8vze5g/view";"Öppna PDF")</f>
        <v/>
      </c>
      <c r="F247">
        <f>HYPERLINK("http://localhost:8787/api/admin/requirements/documents/cmm4yuqru03vzcuqwfz8vze5g/view","Open PDF")</f>
        <v/>
      </c>
      <c r="G247" t="inlineStr">
        <is>
          <t>cmm55w57p0004cuisfrtpqly8</t>
        </is>
      </c>
      <c r="H247" t="inlineStr">
        <is>
          <t>Informationskrav</t>
        </is>
      </c>
      <c r="I247" t="inlineStr">
        <is>
          <t>Riskhantering</t>
        </is>
      </c>
      <c r="J247" t="inlineStr">
        <is>
          <t>Riskkontroll</t>
        </is>
      </c>
      <c r="K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247" t="inlineStr">
        <is>
          <t>SKA</t>
        </is>
      </c>
      <c r="N247" t="inlineStr"/>
      <c r="O247" t="inlineStr"/>
      <c r="P247" t="inlineStr">
        <is>
          <t>Arlig</t>
        </is>
      </c>
      <c r="Q247" t="inlineStr"/>
      <c r="R247" t="inlineStr">
        <is>
          <t>Vid risk for incident</t>
        </is>
      </c>
      <c r="S247" t="inlineStr"/>
      <c r="T247" t="inlineStr">
        <is>
          <t>241115</t>
        </is>
      </c>
      <c r="U247" t="inlineStr"/>
      <c r="V247" t="inlineStr"/>
      <c r="W247" t="inlineStr">
        <is>
          <t>Nej</t>
        </is>
      </c>
      <c r="X247" t="inlineStr">
        <is>
          <t>Nej</t>
        </is>
      </c>
      <c r="Y247" t="inlineStr">
        <is>
          <t>Ja</t>
        </is>
      </c>
      <c r="Z247" t="inlineStr">
        <is>
          <t>Ja</t>
        </is>
      </c>
      <c r="AA247" t="n">
        <v>8</v>
      </c>
      <c r="AB247" t="inlineStr">
        <is>
          <t>Riskhantering</t>
        </is>
      </c>
      <c r="AC247" t="inlineStr">
        <is>
          <t>Risk-PM</t>
        </is>
      </c>
      <c r="AD247" t="inlineStr">
        <is>
          <t>Nej</t>
        </is>
      </c>
      <c r="AE247" t="inlineStr">
        <is>
          <t>Nej</t>
        </is>
      </c>
      <c r="AF247" t="inlineStr">
        <is>
          <t>Ej behandlad</t>
        </is>
      </c>
      <c r="AG247" t="inlineStr">
        <is>
          <t>AUTO_GENERERAD. Verifiera citat mot kallfil.</t>
        </is>
      </c>
      <c r="AH247" t="inlineStr">
        <is>
          <t>MEDIUM</t>
        </is>
      </c>
      <c r="AI247" t="inlineStr">
        <is>
          <t>AUTO</t>
        </is>
      </c>
      <c r="AJ247" t="inlineStr">
        <is>
          <t>Nej</t>
        </is>
      </c>
      <c r="AK247" t="inlineStr"/>
      <c r="AL247" t="inlineStr"/>
      <c r="AM247" t="inlineStr"/>
      <c r="AN247" t="inlineStr"/>
      <c r="AO247" t="inlineStr">
        <is>
          <t>cmm4yuqq103u2cuqwxq5c1oxv</t>
        </is>
      </c>
      <c r="AP247" t="inlineStr">
        <is>
          <t>http://localhost:8787/api/admin/requirements/documents/cmm4yuqq103u2cuqwxq5c1oxv/view</t>
        </is>
      </c>
      <c r="AQ247">
        <f>HYPERLÄNK("http://localhost:8787/api/admin/requirements/documents/cmm4yuqq103u2cuqwxq5c1oxv/view";"Öppna PDF")</f>
        <v/>
      </c>
      <c r="AR247">
        <f>HYPERLINK("http://localhost:8787/api/admin/requirements/documents/cmm4yuqq103u2cuqwxq5c1oxv/view","Open PDF")</f>
        <v/>
      </c>
      <c r="AS247" t="inlineStr">
        <is>
          <t>cmm55w57p0004cuisfrtpqly8</t>
        </is>
      </c>
      <c r="AT247" t="inlineStr">
        <is>
          <t>cmm4xvu980000cuh4vj0usz09</t>
        </is>
      </c>
      <c r="AU247" t="inlineStr">
        <is>
          <t>Hässleholms</t>
        </is>
      </c>
      <c r="AV247" t="inlineStr">
        <is>
          <t>Kommun</t>
        </is>
      </c>
      <c r="AW247" t="inlineStr">
        <is>
          <t>Hässleholms kommun</t>
        </is>
      </c>
      <c r="AX247" t="inlineStr">
        <is>
          <t>0451-26</t>
        </is>
      </c>
      <c r="AY247" t="inlineStr">
        <is>
          <t>Anmalan</t>
        </is>
      </c>
      <c r="AZ247" t="inlineStr">
        <is>
          <t>2026-02-05</t>
        </is>
      </c>
      <c r="BA247" t="inlineStr">
        <is>
          <t>M-2025-1599 - MFV C-verksamhet.pdf</t>
        </is>
      </c>
      <c r="BB247" t="inlineStr">
        <is>
          <t>Sv:  Begäran om utlämnande av allmän handling – Anmälningar och beslut rörande mellanlagring av avfall samt anläggning av ytor</t>
        </is>
      </c>
      <c r="BC247" t="inlineStr">
        <is>
          <t>AUTO</t>
        </is>
      </c>
      <c r="BD247" t="inlineStr"/>
      <c r="BE247" t="inlineStr"/>
      <c r="BF247" t="inlineStr">
        <is>
          <t>AUTO_GENERERAD. Bekrafta metadata mot kallfil.</t>
        </is>
      </c>
      <c r="BG247">
        <f>HYPERLINK("C:\Users\jimmy\Desktop\Examens arbete\Kod\Ny mapp\remix_-copy-of-miljöbeslut.se-portal\M-2025-1599 - MFV C-verksamhet.pdf", "Öppna PDF")</f>
        <v/>
      </c>
    </row>
    <row r="248">
      <c r="A248" t="inlineStr">
        <is>
          <t>KRAV-AUTO-000247</t>
        </is>
      </c>
      <c r="B248" t="inlineStr">
        <is>
          <t>ADMIN-INDEX-2026-02-27-00000000125C043F57453246863FE664CAFE6A3F0700950291EA24F0614FB6ACEDB12BF0E31D00000000010C0000950291EA24F0614FB6ACEDB12BF0E31D00002087A5DB0000</t>
        </is>
      </c>
      <c r="C248" t="inlineStr">
        <is>
          <t>cmm4yuqru03vzcuqwfz8vze5g</t>
        </is>
      </c>
      <c r="D248" t="inlineStr">
        <is>
          <t>http://localhost:8787/api/admin/requirements/documents/cmm4yuqru03vzcuqwfz8vze5g/view</t>
        </is>
      </c>
      <c r="E248">
        <f>HYPERLÄNK("http://localhost:8787/api/admin/requirements/documents/cmm4yuqru03vzcuqwfz8vze5g/view";"Öppna PDF")</f>
        <v/>
      </c>
      <c r="F248">
        <f>HYPERLINK("http://localhost:8787/api/admin/requirements/documents/cmm4yuqru03vzcuqwfz8vze5g/view","Open PDF")</f>
        <v/>
      </c>
      <c r="G248" t="inlineStr">
        <is>
          <t>cmm55w57p0004cuisfrtpqly8</t>
        </is>
      </c>
      <c r="H248" t="inlineStr">
        <is>
          <t>Informationskrav</t>
        </is>
      </c>
      <c r="I248" t="inlineStr">
        <is>
          <t>LagringsvolymTid</t>
        </is>
      </c>
      <c r="J248" t="inlineStr">
        <is>
          <t>Maxmangd</t>
        </is>
      </c>
      <c r="K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248" t="inlineStr">
        <is>
          <t>SKA</t>
        </is>
      </c>
      <c r="N248" t="inlineStr"/>
      <c r="O248" t="inlineStr"/>
      <c r="P248" t="inlineStr">
        <is>
          <t>Manadskontroll</t>
        </is>
      </c>
      <c r="Q248" t="inlineStr"/>
      <c r="R248" t="inlineStr">
        <is>
          <t>Alltid</t>
        </is>
      </c>
      <c r="S248" t="inlineStr"/>
      <c r="T248" t="inlineStr">
        <is>
          <t>241115</t>
        </is>
      </c>
      <c r="U248" t="inlineStr"/>
      <c r="V248" t="inlineStr"/>
      <c r="W248" t="inlineStr">
        <is>
          <t>Nej</t>
        </is>
      </c>
      <c r="X248" t="inlineStr">
        <is>
          <t>Nej</t>
        </is>
      </c>
      <c r="Y248" t="inlineStr">
        <is>
          <t>Nej</t>
        </is>
      </c>
      <c r="Z248" t="inlineStr">
        <is>
          <t>Nej</t>
        </is>
      </c>
      <c r="AA248" t="n">
        <v>4</v>
      </c>
      <c r="AB248" t="inlineStr">
        <is>
          <t>Avfallsmangder och lagringstid</t>
        </is>
      </c>
      <c r="AC248" t="inlineStr">
        <is>
          <t>Avfallsforteckning</t>
        </is>
      </c>
      <c r="AD248" t="inlineStr">
        <is>
          <t>Nej</t>
        </is>
      </c>
      <c r="AE248" t="inlineStr">
        <is>
          <t>Nej</t>
        </is>
      </c>
      <c r="AF248" t="inlineStr">
        <is>
          <t>Ej behandlad</t>
        </is>
      </c>
      <c r="AG248" t="inlineStr">
        <is>
          <t>AUTO_GENERERAD. Verifiera citat mot kallfil.</t>
        </is>
      </c>
      <c r="AH248" t="inlineStr">
        <is>
          <t>MEDIUM</t>
        </is>
      </c>
      <c r="AI248" t="inlineStr">
        <is>
          <t>AUTO</t>
        </is>
      </c>
      <c r="AJ248" t="inlineStr">
        <is>
          <t>Nej</t>
        </is>
      </c>
      <c r="AK248" t="inlineStr"/>
      <c r="AL248" t="inlineStr"/>
      <c r="AM248" t="inlineStr"/>
      <c r="AN248" t="inlineStr"/>
      <c r="AO248" t="inlineStr">
        <is>
          <t>cmm4yuqq103u2cuqwxq5c1oxv</t>
        </is>
      </c>
      <c r="AP248" t="inlineStr">
        <is>
          <t>http://localhost:8787/api/admin/requirements/documents/cmm4yuqq103u2cuqwxq5c1oxv/view</t>
        </is>
      </c>
      <c r="AQ248">
        <f>HYPERLÄNK("http://localhost:8787/api/admin/requirements/documents/cmm4yuqq103u2cuqwxq5c1oxv/view";"Öppna PDF")</f>
        <v/>
      </c>
      <c r="AR248">
        <f>HYPERLINK("http://localhost:8787/api/admin/requirements/documents/cmm4yuqq103u2cuqwxq5c1oxv/view","Open PDF")</f>
        <v/>
      </c>
      <c r="AS248" t="inlineStr">
        <is>
          <t>cmm55w57p0004cuisfrtpqly8</t>
        </is>
      </c>
      <c r="AT248" t="inlineStr">
        <is>
          <t>cmm4xvu980000cuh4vj0usz09</t>
        </is>
      </c>
      <c r="AU248" t="inlineStr">
        <is>
          <t>Hässleholms</t>
        </is>
      </c>
      <c r="AV248" t="inlineStr">
        <is>
          <t>Kommun</t>
        </is>
      </c>
      <c r="AW248" t="inlineStr">
        <is>
          <t>Hässleholms kommun</t>
        </is>
      </c>
      <c r="AX248" t="inlineStr">
        <is>
          <t>0451-26</t>
        </is>
      </c>
      <c r="AY248" t="inlineStr">
        <is>
          <t>Anmalan</t>
        </is>
      </c>
      <c r="AZ248" t="inlineStr">
        <is>
          <t>2026-02-05</t>
        </is>
      </c>
      <c r="BA248" t="inlineStr">
        <is>
          <t>M-2025-1599 - MFV C-verksamhet.pdf</t>
        </is>
      </c>
      <c r="BB248" t="inlineStr">
        <is>
          <t>Sv:  Begäran om utlämnande av allmän handling – Anmälningar och beslut rörande mellanlagring av avfall samt anläggning av ytor</t>
        </is>
      </c>
      <c r="BC248" t="inlineStr">
        <is>
          <t>AUTO</t>
        </is>
      </c>
      <c r="BD248" t="inlineStr"/>
      <c r="BE248" t="inlineStr"/>
      <c r="BF248" t="inlineStr">
        <is>
          <t>AUTO_GENERERAD. Bekrafta metadata mot kallfil.</t>
        </is>
      </c>
      <c r="BG248">
        <f>HYPERLINK("C:\Users\jimmy\Desktop\Examens arbete\Kod\Ny mapp\remix_-copy-of-miljöbeslut.se-portal\M-2025-1599 - MFV C-verksamhet.pdf", "Öppna PDF")</f>
        <v/>
      </c>
    </row>
    <row r="249">
      <c r="A249" t="inlineStr">
        <is>
          <t>KRAV-AUTO-000248</t>
        </is>
      </c>
      <c r="B249" t="inlineStr">
        <is>
          <t>ADMIN-INDEX-2026-02-27-00000000125C043F57453246863FE664CAFE6A3F0700950291EA24F0614FB6ACEDB12BF0E31D00000000010C0000950291EA24F0614FB6ACEDB12BF0E31D00002087A5DB0000</t>
        </is>
      </c>
      <c r="C249" t="inlineStr">
        <is>
          <t>cmm4yuqrg03vkcuqwpuaahqvr</t>
        </is>
      </c>
      <c r="D249" t="inlineStr">
        <is>
          <t>http://localhost:8787/api/admin/requirements/documents/cmm4yuqrg03vkcuqwpuaahqvr/view</t>
        </is>
      </c>
      <c r="E249">
        <f>HYPERLÄNK("http://localhost:8787/api/admin/requirements/documents/cmm4yuqrg03vkcuqwpuaahqvr/view";"Öppna PDF")</f>
        <v/>
      </c>
      <c r="F249">
        <f>HYPERLINK("http://localhost:8787/api/admin/requirements/documents/cmm4yuqrg03vkcuqwpuaahqvr/view","Open PDF")</f>
        <v/>
      </c>
      <c r="G249" t="inlineStr">
        <is>
          <t>cmm55w57p0004cuisfrtpqly8</t>
        </is>
      </c>
      <c r="H249" t="inlineStr">
        <is>
          <t>Informationskrav</t>
        </is>
      </c>
      <c r="I249" t="inlineStr">
        <is>
          <t>DagvattenLakvatten</t>
        </is>
      </c>
      <c r="J249" t="inlineStr">
        <is>
          <t>Uppsamling</t>
        </is>
      </c>
      <c r="K249" t="inlineStr">
        <is>
          <t>Dagvattensystemet ska vara så konstruerat att utflödet till recipienten kan stängas av.</t>
        </is>
      </c>
      <c r="L249" t="inlineStr">
        <is>
          <t>Dagvattensystemet ska vara så konstruerat att utflödet till recipienten kan stängas av.</t>
        </is>
      </c>
      <c r="M249" t="inlineStr">
        <is>
          <t>SKA</t>
        </is>
      </c>
      <c r="N249" t="inlineStr">
        <is>
          <t>FMH</t>
        </is>
      </c>
      <c r="O249" t="inlineStr"/>
      <c r="P249" t="inlineStr"/>
      <c r="Q249" t="inlineStr"/>
      <c r="R249" t="inlineStr">
        <is>
          <t>Vid nederbord och avrinning</t>
        </is>
      </c>
      <c r="S249" t="inlineStr"/>
      <c r="T249" t="inlineStr">
        <is>
          <t>26 70 00</t>
        </is>
      </c>
      <c r="U249" t="inlineStr"/>
      <c r="V249" t="inlineStr"/>
      <c r="W249" t="inlineStr">
        <is>
          <t>Nej</t>
        </is>
      </c>
      <c r="X249" t="inlineStr">
        <is>
          <t>Ja</t>
        </is>
      </c>
      <c r="Y249" t="inlineStr">
        <is>
          <t>Ja</t>
        </is>
      </c>
      <c r="Z249" t="inlineStr">
        <is>
          <t>Nej</t>
        </is>
      </c>
      <c r="AA249" t="n">
        <v>6</v>
      </c>
      <c r="AB249" t="inlineStr">
        <is>
          <t>Lakvattenhantering</t>
        </is>
      </c>
      <c r="AC249" t="inlineStr">
        <is>
          <t>Flodesschema dagvatten-lakvatten</t>
        </is>
      </c>
      <c r="AD249" t="inlineStr">
        <is>
          <t>Nej</t>
        </is>
      </c>
      <c r="AE249" t="inlineStr">
        <is>
          <t>Nej</t>
        </is>
      </c>
      <c r="AF249" t="inlineStr">
        <is>
          <t>Ej behandlad</t>
        </is>
      </c>
      <c r="AG249" t="inlineStr">
        <is>
          <t>AUTO_GENERERAD. Verifiera citat mot kallfil.</t>
        </is>
      </c>
      <c r="AH249" t="inlineStr">
        <is>
          <t>HIGH</t>
        </is>
      </c>
      <c r="AI249" t="inlineStr">
        <is>
          <t>AUTO</t>
        </is>
      </c>
      <c r="AJ249" t="inlineStr">
        <is>
          <t>Nej</t>
        </is>
      </c>
      <c r="AK249" t="inlineStr"/>
      <c r="AL249" t="inlineStr"/>
      <c r="AM249" t="inlineStr"/>
      <c r="AN249" t="inlineStr"/>
      <c r="AO249" t="inlineStr">
        <is>
          <t>cmm4yuqq103u2cuqwxq5c1oxv</t>
        </is>
      </c>
      <c r="AP249" t="inlineStr">
        <is>
          <t>http://localhost:8787/api/admin/requirements/documents/cmm4yuqq103u2cuqwxq5c1oxv/view</t>
        </is>
      </c>
      <c r="AQ249">
        <f>HYPERLÄNK("http://localhost:8787/api/admin/requirements/documents/cmm4yuqq103u2cuqwxq5c1oxv/view";"Öppna PDF")</f>
        <v/>
      </c>
      <c r="AR249">
        <f>HYPERLINK("http://localhost:8787/api/admin/requirements/documents/cmm4yuqq103u2cuqwxq5c1oxv/view","Open PDF")</f>
        <v/>
      </c>
      <c r="AS249" t="inlineStr">
        <is>
          <t>cmm55w57p0004cuisfrtpqly8</t>
        </is>
      </c>
      <c r="AT249" t="inlineStr">
        <is>
          <t>cmm4xvu980000cuh4vj0usz09</t>
        </is>
      </c>
      <c r="AU249" t="inlineStr">
        <is>
          <t>Hässleholms</t>
        </is>
      </c>
      <c r="AV249" t="inlineStr">
        <is>
          <t>Kommun</t>
        </is>
      </c>
      <c r="AW249" t="inlineStr">
        <is>
          <t>Hässleholms kommun</t>
        </is>
      </c>
      <c r="AX249" t="inlineStr">
        <is>
          <t>0451-26</t>
        </is>
      </c>
      <c r="AY249" t="inlineStr">
        <is>
          <t>Anmalan</t>
        </is>
      </c>
      <c r="AZ249" t="inlineStr">
        <is>
          <t>2026-02-05</t>
        </is>
      </c>
      <c r="BA249" t="inlineStr">
        <is>
          <t>M-2025-1599 - MFV C-verksamhet.pdf</t>
        </is>
      </c>
      <c r="BB249" t="inlineStr">
        <is>
          <t>Sv:  Begäran om utlämnande av allmän handling – Anmälningar och beslut rörande mellanlagring av avfall samt anläggning av ytor</t>
        </is>
      </c>
      <c r="BC249" t="inlineStr">
        <is>
          <t>AUTO</t>
        </is>
      </c>
      <c r="BD249" t="inlineStr"/>
      <c r="BE249" t="inlineStr"/>
      <c r="BF249" t="inlineStr">
        <is>
          <t>AUTO_GENERERAD. Bekrafta metadata mot kallfil.</t>
        </is>
      </c>
      <c r="BG249">
        <f>HYPERLINK("C:\Users\jimmy\Desktop\Examens arbete\Kod\Ny mapp\remix_-copy-of-miljöbeslut.se-portal\M-2025-1599 - MFV C-verksamhet.pdf", "Öppna PDF")</f>
        <v/>
      </c>
    </row>
    <row r="250">
      <c r="A250" t="inlineStr">
        <is>
          <t>KRAV-AUTO-000249</t>
        </is>
      </c>
      <c r="B250" t="inlineStr">
        <is>
          <t>ADMIN-INDEX-2026-02-27-00000000125C043F57453246863FE664CAFE6A3F0700950291EA24F0614FB6ACEDB12BF0E31D00000000010C0000950291EA24F0614FB6ACEDB12BF0E31D00002087A5DB0000</t>
        </is>
      </c>
      <c r="C250" t="inlineStr">
        <is>
          <t>cmm4yuqrg03vkcuqwpuaahqvr</t>
        </is>
      </c>
      <c r="D250" t="inlineStr">
        <is>
          <t>http://localhost:8787/api/admin/requirements/documents/cmm4yuqrg03vkcuqwpuaahqvr/view</t>
        </is>
      </c>
      <c r="E250">
        <f>HYPERLÄNK("http://localhost:8787/api/admin/requirements/documents/cmm4yuqrg03vkcuqwpuaahqvr/view";"Öppna PDF")</f>
        <v/>
      </c>
      <c r="F250">
        <f>HYPERLINK("http://localhost:8787/api/admin/requirements/documents/cmm4yuqrg03vkcuqwpuaahqvr/view","Open PDF")</f>
        <v/>
      </c>
      <c r="G250" t="inlineStr">
        <is>
          <t>cmm55w57p0004cuisfrtpqly8</t>
        </is>
      </c>
      <c r="H250" t="inlineStr">
        <is>
          <t>Informationskrav</t>
        </is>
      </c>
      <c r="I250" t="inlineStr">
        <is>
          <t>Riskhantering</t>
        </is>
      </c>
      <c r="J250" t="inlineStr">
        <is>
          <t>Riskkontroll</t>
        </is>
      </c>
      <c r="K250" t="inlineStr">
        <is>
          <t>Anläggningen ska vara försedd med brandsläckningsutrustning anpassad för den mängd och typ av avfall som lagras.</t>
        </is>
      </c>
      <c r="L250" t="inlineStr">
        <is>
          <t>Anläggningen ska vara försedd med brandsläckningsutrustning anpassad för den mängd och typ av avfall som lagras.</t>
        </is>
      </c>
      <c r="M250" t="inlineStr">
        <is>
          <t>SKA</t>
        </is>
      </c>
      <c r="N250" t="inlineStr">
        <is>
          <t>FMH</t>
        </is>
      </c>
      <c r="O250" t="inlineStr"/>
      <c r="P250" t="inlineStr"/>
      <c r="Q250" t="inlineStr"/>
      <c r="R250" t="inlineStr">
        <is>
          <t>Vid risk for incident</t>
        </is>
      </c>
      <c r="S250" t="inlineStr"/>
      <c r="T250" t="inlineStr">
        <is>
          <t>26 70 00</t>
        </is>
      </c>
      <c r="U250" t="inlineStr"/>
      <c r="V250" t="inlineStr"/>
      <c r="W250" t="inlineStr">
        <is>
          <t>Nej</t>
        </is>
      </c>
      <c r="X250" t="inlineStr">
        <is>
          <t>Nej</t>
        </is>
      </c>
      <c r="Y250" t="inlineStr">
        <is>
          <t>Ja</t>
        </is>
      </c>
      <c r="Z250" t="inlineStr">
        <is>
          <t>Ja</t>
        </is>
      </c>
      <c r="AA250" t="n">
        <v>8</v>
      </c>
      <c r="AB250" t="inlineStr">
        <is>
          <t>Riskhantering</t>
        </is>
      </c>
      <c r="AC250" t="inlineStr">
        <is>
          <t>Risk-PM</t>
        </is>
      </c>
      <c r="AD250" t="inlineStr">
        <is>
          <t>Nej</t>
        </is>
      </c>
      <c r="AE250" t="inlineStr">
        <is>
          <t>Nej</t>
        </is>
      </c>
      <c r="AF250" t="inlineStr">
        <is>
          <t>Ej behandlad</t>
        </is>
      </c>
      <c r="AG250" t="inlineStr">
        <is>
          <t>AUTO_GENERERAD. Verifiera citat mot kallfil.</t>
        </is>
      </c>
      <c r="AH250" t="inlineStr">
        <is>
          <t>HIGH</t>
        </is>
      </c>
      <c r="AI250" t="inlineStr">
        <is>
          <t>AUTO</t>
        </is>
      </c>
      <c r="AJ250" t="inlineStr">
        <is>
          <t>Nej</t>
        </is>
      </c>
      <c r="AK250" t="inlineStr"/>
      <c r="AL250" t="inlineStr"/>
      <c r="AM250" t="inlineStr"/>
      <c r="AN250" t="inlineStr"/>
      <c r="AO250" t="inlineStr">
        <is>
          <t>cmm4yuqq103u2cuqwxq5c1oxv</t>
        </is>
      </c>
      <c r="AP250" t="inlineStr">
        <is>
          <t>http://localhost:8787/api/admin/requirements/documents/cmm4yuqq103u2cuqwxq5c1oxv/view</t>
        </is>
      </c>
      <c r="AQ250">
        <f>HYPERLÄNK("http://localhost:8787/api/admin/requirements/documents/cmm4yuqq103u2cuqwxq5c1oxv/view";"Öppna PDF")</f>
        <v/>
      </c>
      <c r="AR250">
        <f>HYPERLINK("http://localhost:8787/api/admin/requirements/documents/cmm4yuqq103u2cuqwxq5c1oxv/view","Open PDF")</f>
        <v/>
      </c>
      <c r="AS250" t="inlineStr">
        <is>
          <t>cmm55w57p0004cuisfrtpqly8</t>
        </is>
      </c>
      <c r="AT250" t="inlineStr">
        <is>
          <t>cmm4xvu980000cuh4vj0usz09</t>
        </is>
      </c>
      <c r="AU250" t="inlineStr">
        <is>
          <t>Hässleholms</t>
        </is>
      </c>
      <c r="AV250" t="inlineStr">
        <is>
          <t>Kommun</t>
        </is>
      </c>
      <c r="AW250" t="inlineStr">
        <is>
          <t>Hässleholms kommun</t>
        </is>
      </c>
      <c r="AX250" t="inlineStr">
        <is>
          <t>0451-26</t>
        </is>
      </c>
      <c r="AY250" t="inlineStr">
        <is>
          <t>Anmalan</t>
        </is>
      </c>
      <c r="AZ250" t="inlineStr">
        <is>
          <t>2026-02-05</t>
        </is>
      </c>
      <c r="BA250" t="inlineStr">
        <is>
          <t>M-2025-1599 - MFV C-verksamhet.pdf</t>
        </is>
      </c>
      <c r="BB250" t="inlineStr">
        <is>
          <t>Sv:  Begäran om utlämnande av allmän handling – Anmälningar och beslut rörande mellanlagring av avfall samt anläggning av ytor</t>
        </is>
      </c>
      <c r="BC250" t="inlineStr">
        <is>
          <t>AUTO</t>
        </is>
      </c>
      <c r="BD250" t="inlineStr"/>
      <c r="BE250" t="inlineStr"/>
      <c r="BF250" t="inlineStr">
        <is>
          <t>AUTO_GENERERAD. Bekrafta metadata mot kallfil.</t>
        </is>
      </c>
      <c r="BG250">
        <f>HYPERLINK("C:\Users\jimmy\Desktop\Examens arbete\Kod\Ny mapp\remix_-copy-of-miljöbeslut.se-portal\M-2025-1599 - MFV C-verksamhet.pdf", "Öppna PDF")</f>
        <v/>
      </c>
    </row>
    <row r="251">
      <c r="A251" t="inlineStr">
        <is>
          <t>KRAV-AUTO-000250</t>
        </is>
      </c>
      <c r="B251" t="inlineStr">
        <is>
          <t>ADMIN-INDEX-2026-02-27-00000000125C043F57453246863FE664CAFE6A3F0700950291EA24F0614FB6ACEDB12BF0E31D00000000010C0000950291EA24F0614FB6ACEDB12BF0E31D00002087A5DB0000</t>
        </is>
      </c>
      <c r="C251" t="inlineStr">
        <is>
          <t>cmm4yuqrg03vkcuqwpuaahqvr</t>
        </is>
      </c>
      <c r="D251" t="inlineStr">
        <is>
          <t>http://localhost:8787/api/admin/requirements/documents/cmm4yuqrg03vkcuqwpuaahqvr/view</t>
        </is>
      </c>
      <c r="E251">
        <f>HYPERLÄNK("http://localhost:8787/api/admin/requirements/documents/cmm4yuqrg03vkcuqwpuaahqvr/view";"Öppna PDF")</f>
        <v/>
      </c>
      <c r="F251">
        <f>HYPERLINK("http://localhost:8787/api/admin/requirements/documents/cmm4yuqrg03vkcuqwpuaahqvr/view","Open PDF")</f>
        <v/>
      </c>
      <c r="G251" t="inlineStr">
        <is>
          <t>cmm55w57p0004cuisfrtpqly8</t>
        </is>
      </c>
      <c r="H251" t="inlineStr">
        <is>
          <t>Informationskrav</t>
        </is>
      </c>
      <c r="I251" t="inlineStr">
        <is>
          <t>DagvattenLakvatten</t>
        </is>
      </c>
      <c r="J251" t="inlineStr">
        <is>
          <t>Uppsamling</t>
        </is>
      </c>
      <c r="K251" t="inlineStr">
        <is>
          <t>Provtagning ska utföras på det uppsamlade dagvattnet och detta får inte släppas vidare till recipienten utan miljö- och stadsbyggnadsförvaltningens godkännande.</t>
        </is>
      </c>
      <c r="L251" t="inlineStr">
        <is>
          <t>Provtagning ska utföras på det uppsamlade dagvattnet och detta får inte släppas vidare till recipienten utan miljö- och stadsbyggnadsförvaltningens godkännande.</t>
        </is>
      </c>
      <c r="M251" t="inlineStr">
        <is>
          <t>SKA</t>
        </is>
      </c>
      <c r="N251" t="inlineStr">
        <is>
          <t>FMH</t>
        </is>
      </c>
      <c r="O251" t="inlineStr"/>
      <c r="P251" t="inlineStr"/>
      <c r="Q251" t="inlineStr">
        <is>
          <t>Driftbegransning vid avvikelse</t>
        </is>
      </c>
      <c r="R251" t="inlineStr">
        <is>
          <t>Vid nederbord och avrinning</t>
        </is>
      </c>
      <c r="S251" t="inlineStr"/>
      <c r="T251" t="inlineStr">
        <is>
          <t>26 70 00</t>
        </is>
      </c>
      <c r="U251" t="inlineStr"/>
      <c r="V251" t="inlineStr"/>
      <c r="W251" t="inlineStr">
        <is>
          <t>Nej</t>
        </is>
      </c>
      <c r="X251" t="inlineStr">
        <is>
          <t>Ja</t>
        </is>
      </c>
      <c r="Y251" t="inlineStr">
        <is>
          <t>Ja</t>
        </is>
      </c>
      <c r="Z251" t="inlineStr">
        <is>
          <t>Nej</t>
        </is>
      </c>
      <c r="AA251" t="n">
        <v>6</v>
      </c>
      <c r="AB251" t="inlineStr">
        <is>
          <t>Lakvattenhantering</t>
        </is>
      </c>
      <c r="AC251" t="inlineStr">
        <is>
          <t>Flodesschema dagvatten-lakvatten</t>
        </is>
      </c>
      <c r="AD251" t="inlineStr">
        <is>
          <t>Nej</t>
        </is>
      </c>
      <c r="AE251" t="inlineStr">
        <is>
          <t>Nej</t>
        </is>
      </c>
      <c r="AF251" t="inlineStr">
        <is>
          <t>Ej behandlad</t>
        </is>
      </c>
      <c r="AG251" t="inlineStr">
        <is>
          <t>AUTO_GENERERAD. Verifiera citat mot kallfil.</t>
        </is>
      </c>
      <c r="AH251" t="inlineStr">
        <is>
          <t>HIGH</t>
        </is>
      </c>
      <c r="AI251" t="inlineStr">
        <is>
          <t>AUTO</t>
        </is>
      </c>
      <c r="AJ251" t="inlineStr">
        <is>
          <t>Nej</t>
        </is>
      </c>
      <c r="AK251" t="inlineStr"/>
      <c r="AL251" t="inlineStr"/>
      <c r="AM251" t="inlineStr"/>
      <c r="AN251" t="inlineStr"/>
      <c r="AO251" t="inlineStr">
        <is>
          <t>cmm4yuqq103u2cuqwxq5c1oxv</t>
        </is>
      </c>
      <c r="AP251" t="inlineStr">
        <is>
          <t>http://localhost:8787/api/admin/requirements/documents/cmm4yuqq103u2cuqwxq5c1oxv/view</t>
        </is>
      </c>
      <c r="AQ251">
        <f>HYPERLÄNK("http://localhost:8787/api/admin/requirements/documents/cmm4yuqq103u2cuqwxq5c1oxv/view";"Öppna PDF")</f>
        <v/>
      </c>
      <c r="AR251">
        <f>HYPERLINK("http://localhost:8787/api/admin/requirements/documents/cmm4yuqq103u2cuqwxq5c1oxv/view","Open PDF")</f>
        <v/>
      </c>
      <c r="AS251" t="inlineStr">
        <is>
          <t>cmm55w57p0004cuisfrtpqly8</t>
        </is>
      </c>
      <c r="AT251" t="inlineStr">
        <is>
          <t>cmm4xvu980000cuh4vj0usz09</t>
        </is>
      </c>
      <c r="AU251" t="inlineStr">
        <is>
          <t>Hässleholms</t>
        </is>
      </c>
      <c r="AV251" t="inlineStr">
        <is>
          <t>Kommun</t>
        </is>
      </c>
      <c r="AW251" t="inlineStr">
        <is>
          <t>Hässleholms kommun</t>
        </is>
      </c>
      <c r="AX251" t="inlineStr">
        <is>
          <t>0451-26</t>
        </is>
      </c>
      <c r="AY251" t="inlineStr">
        <is>
          <t>Anmalan</t>
        </is>
      </c>
      <c r="AZ251" t="inlineStr">
        <is>
          <t>2026-02-05</t>
        </is>
      </c>
      <c r="BA251" t="inlineStr">
        <is>
          <t>M-2025-1599 - MFV C-verksamhet.pdf</t>
        </is>
      </c>
      <c r="BB251" t="inlineStr">
        <is>
          <t>Sv:  Begäran om utlämnande av allmän handling – Anmälningar och beslut rörande mellanlagring av avfall samt anläggning av ytor</t>
        </is>
      </c>
      <c r="BC251" t="inlineStr">
        <is>
          <t>AUTO</t>
        </is>
      </c>
      <c r="BD251" t="inlineStr"/>
      <c r="BE251" t="inlineStr"/>
      <c r="BF251" t="inlineStr">
        <is>
          <t>AUTO_GENERERAD. Bekrafta metadata mot kallfil.</t>
        </is>
      </c>
      <c r="BG251">
        <f>HYPERLINK("C:\Users\jimmy\Desktop\Examens arbete\Kod\Ny mapp\remix_-copy-of-miljöbeslut.se-portal\M-2025-1599 - MFV C-verksamhet.pdf", "Öppna PDF")</f>
        <v/>
      </c>
    </row>
    <row r="252">
      <c r="A252" t="inlineStr">
        <is>
          <t>KRAV-AUTO-000251</t>
        </is>
      </c>
      <c r="B252" t="inlineStr">
        <is>
          <t>ADMIN-INDEX-2026-02-27-00000000125C043F57453246863FE664CAFE6A3F0700950291EA24F0614FB6ACEDB12BF0E31D00000000010C0000950291EA24F0614FB6ACEDB12BF0E31D000073AF24000000</t>
        </is>
      </c>
      <c r="C252" t="inlineStr">
        <is>
          <t>cmm4yurfq04i5cuqw1drt61jr</t>
        </is>
      </c>
      <c r="D252" t="inlineStr">
        <is>
          <t>http://localhost:8787/api/admin/requirements/documents/cmm4yurfq04i5cuqw1drt61jr/view</t>
        </is>
      </c>
      <c r="E252">
        <f>HYPERLÄNK("http://localhost:8787/api/admin/requirements/documents/cmm4yurfq04i5cuqw1drt61jr/view";"Öppna PDF")</f>
        <v/>
      </c>
      <c r="F252">
        <f>HYPERLINK("http://localhost:8787/api/admin/requirements/documents/cmm4yurfq04i5cuqw1drt61jr/view","Open PDF")</f>
        <v/>
      </c>
      <c r="G252" t="inlineStr">
        <is>
          <t>cmm55w57p0004cuisfrtpqly8</t>
        </is>
      </c>
      <c r="H252" t="inlineStr">
        <is>
          <t>Beslutsvillkor</t>
        </is>
      </c>
      <c r="I252" t="inlineStr">
        <is>
          <t>MiljopaverkanForsiktighet</t>
        </is>
      </c>
      <c r="J252" t="inlineStr">
        <is>
          <t>Skyddsatgarder</t>
        </is>
      </c>
      <c r="K252" t="inlineStr">
        <is>
          <t>Inga kontaminerade avfall tas in i processen och slaggsammansättningen kontrolleras väl genom definierade metallurgiska processer.</t>
        </is>
      </c>
      <c r="L252" t="inlineStr">
        <is>
          <t>Inga kontaminerade avfall tas in i processen och slaggsammansättningen kontrolleras väl genom definierade metallurgiska processer.</t>
        </is>
      </c>
      <c r="M252" t="inlineStr">
        <is>
          <t>SKA</t>
        </is>
      </c>
      <c r="N252" t="inlineStr"/>
      <c r="O252" t="inlineStr"/>
      <c r="P252" t="inlineStr"/>
      <c r="Q252" t="inlineStr"/>
      <c r="R252" t="inlineStr">
        <is>
          <t>Alltid</t>
        </is>
      </c>
      <c r="S252" t="inlineStr"/>
      <c r="T252" t="inlineStr">
        <is>
          <t>559441</t>
        </is>
      </c>
      <c r="U252" t="inlineStr"/>
      <c r="V252" t="inlineStr"/>
      <c r="W252" t="inlineStr">
        <is>
          <t>Nej</t>
        </is>
      </c>
      <c r="X252" t="inlineStr">
        <is>
          <t>Nej</t>
        </is>
      </c>
      <c r="Y252" t="inlineStr">
        <is>
          <t>Nej</t>
        </is>
      </c>
      <c r="Z252" t="inlineStr">
        <is>
          <t>Nej</t>
        </is>
      </c>
      <c r="AA252" t="n">
        <v>10</v>
      </c>
      <c r="AB252" t="inlineStr">
        <is>
          <t>Miljopaverkan och forsiktighetsmatt</t>
        </is>
      </c>
      <c r="AC252" t="inlineStr">
        <is>
          <t>Miljo-PM</t>
        </is>
      </c>
      <c r="AD252" t="inlineStr">
        <is>
          <t>Nej</t>
        </is>
      </c>
      <c r="AE252" t="inlineStr">
        <is>
          <t>Nej</t>
        </is>
      </c>
      <c r="AF252" t="inlineStr">
        <is>
          <t>Ej behandlad</t>
        </is>
      </c>
      <c r="AG252" t="inlineStr">
        <is>
          <t>AUTO_GENERERAD. Verifiera citat mot kallfil.</t>
        </is>
      </c>
      <c r="AH252" t="inlineStr">
        <is>
          <t>MEDIUM</t>
        </is>
      </c>
      <c r="AI252" t="inlineStr">
        <is>
          <t>AUTO</t>
        </is>
      </c>
      <c r="AJ252" t="inlineStr">
        <is>
          <t>Nej</t>
        </is>
      </c>
      <c r="AK252" t="inlineStr"/>
      <c r="AL252" t="inlineStr"/>
      <c r="AM252" t="inlineStr"/>
      <c r="AN252" t="inlineStr"/>
      <c r="AO252" t="inlineStr">
        <is>
          <t>cmm4yurfq04i5cuqw1drt61jr</t>
        </is>
      </c>
      <c r="AP252" t="inlineStr">
        <is>
          <t>http://localhost:8787/api/admin/requirements/documents/cmm4yurfq04i5cuqw1drt61jr/view</t>
        </is>
      </c>
      <c r="AQ252">
        <f>HYPERLÄNK("http://localhost:8787/api/admin/requirements/documents/cmm4yurfq04i5cuqw1drt61jr/view";"Öppna PDF")</f>
        <v/>
      </c>
      <c r="AR252">
        <f>HYPERLINK("http://localhost:8787/api/admin/requirements/documents/cmm4yurfq04i5cuqw1drt61jr/view","Open PDF")</f>
        <v/>
      </c>
      <c r="AS252" t="inlineStr">
        <is>
          <t>cmm55w57p0004cuisfrtpqly8</t>
        </is>
      </c>
      <c r="AT252" t="inlineStr">
        <is>
          <t>cmm4xvu980000cuh4vj0usz09</t>
        </is>
      </c>
      <c r="AU252" t="inlineStr"/>
      <c r="AV252" t="inlineStr">
        <is>
          <t>Kommun</t>
        </is>
      </c>
      <c r="AW252" t="inlineStr"/>
      <c r="AX252" t="inlineStr">
        <is>
          <t>2025-10</t>
        </is>
      </c>
      <c r="AY252" t="inlineStr">
        <is>
          <t>Beslut</t>
        </is>
      </c>
      <c r="AZ252" t="inlineStr">
        <is>
          <t>2026-02-13</t>
        </is>
      </c>
      <c r="BA252" t="inlineStr">
        <is>
          <t>VGS-MH-2025-2444.pdf</t>
        </is>
      </c>
      <c r="BB252" t="inlineStr">
        <is>
          <t>Sv: till registrator</t>
        </is>
      </c>
      <c r="BC252" t="inlineStr">
        <is>
          <t>AUTO</t>
        </is>
      </c>
      <c r="BD252" t="inlineStr"/>
      <c r="BE252" t="inlineStr"/>
      <c r="BF252" t="inlineStr">
        <is>
          <t>AUTO_GENERERAD. Bekrafta metadata mot kallfil.</t>
        </is>
      </c>
      <c r="BG252">
        <f>HYPERLINK("C:\Users\jimmy\Desktop\Examens arbete\Kod\Ny mapp\remix_-copy-of-miljöbeslut.se-portal\VGS-MH-2025-2444.pdf", "Öppna PDF")</f>
        <v/>
      </c>
    </row>
    <row r="253">
      <c r="A253" t="inlineStr">
        <is>
          <t>KRAV-AUTO-000252</t>
        </is>
      </c>
      <c r="B253" t="inlineStr">
        <is>
          <t>ADMIN-INDEX-2026-02-27-00000000125C043F57453246863FE664CAFE6A3F0700950291EA24F0614FB6ACEDB12BF0E31D00000000010C0000950291EA24F0614FB6ACEDB12BF0E31D000073AF24000000</t>
        </is>
      </c>
      <c r="C253" t="inlineStr">
        <is>
          <t>cmm4yurfq04i5cuqw1drt61jr</t>
        </is>
      </c>
      <c r="D253" t="inlineStr">
        <is>
          <t>http://localhost:8787/api/admin/requirements/documents/cmm4yurfq04i5cuqw1drt61jr/view</t>
        </is>
      </c>
      <c r="E253">
        <f>HYPERLÄNK("http://localhost:8787/api/admin/requirements/documents/cmm4yurfq04i5cuqw1drt61jr/view";"Öppna PDF")</f>
        <v/>
      </c>
      <c r="F253">
        <f>HYPERLINK("http://localhost:8787/api/admin/requirements/documents/cmm4yurfq04i5cuqw1drt61jr/view","Open PDF")</f>
        <v/>
      </c>
      <c r="G253" t="inlineStr">
        <is>
          <t>cmm55w57p0004cuisfrtpqly8</t>
        </is>
      </c>
      <c r="H253" t="inlineStr">
        <is>
          <t>Beslutsvillkor</t>
        </is>
      </c>
      <c r="I253" t="inlineStr">
        <is>
          <t>LagringsvolymTid</t>
        </is>
      </c>
      <c r="J253" t="inlineStr">
        <is>
          <t>Maxmangd</t>
        </is>
      </c>
      <c r="K253" t="inlineStr">
        <is>
          <t>Bolaget önskar därför att få friheten att färdigställa fastigheten utan att ta exakt hänsyn till de 75 000 ton som man beviljats genom tillståndet.</t>
        </is>
      </c>
      <c r="L253" t="inlineStr">
        <is>
          <t>Bolaget önskar därför att få friheten att färdigställa fastigheten utan att ta exakt hänsyn till de 75 000 ton som man beviljats genom tillståndet.</t>
        </is>
      </c>
      <c r="M253" t="inlineStr">
        <is>
          <t>SKA</t>
        </is>
      </c>
      <c r="N253" t="inlineStr"/>
      <c r="O253" t="inlineStr"/>
      <c r="P253" t="inlineStr"/>
      <c r="Q253" t="inlineStr"/>
      <c r="R253" t="inlineStr">
        <is>
          <t>Alltid</t>
        </is>
      </c>
      <c r="S253" t="inlineStr"/>
      <c r="T253" t="inlineStr">
        <is>
          <t>559441</t>
        </is>
      </c>
      <c r="U253" t="n">
        <v>0</v>
      </c>
      <c r="V253" t="inlineStr"/>
      <c r="W253" t="inlineStr">
        <is>
          <t>Nej</t>
        </is>
      </c>
      <c r="X253" t="inlineStr">
        <is>
          <t>Nej</t>
        </is>
      </c>
      <c r="Y253" t="inlineStr">
        <is>
          <t>Nej</t>
        </is>
      </c>
      <c r="Z253" t="inlineStr">
        <is>
          <t>Nej</t>
        </is>
      </c>
      <c r="AA253" t="n">
        <v>4</v>
      </c>
      <c r="AB253" t="inlineStr">
        <is>
          <t>Avfallsmangder och lagringstid</t>
        </is>
      </c>
      <c r="AC253" t="inlineStr">
        <is>
          <t>Avfallsforteckning</t>
        </is>
      </c>
      <c r="AD253" t="inlineStr">
        <is>
          <t>Nej</t>
        </is>
      </c>
      <c r="AE253" t="inlineStr">
        <is>
          <t>Nej</t>
        </is>
      </c>
      <c r="AF253" t="inlineStr">
        <is>
          <t>Ej behandlad</t>
        </is>
      </c>
      <c r="AG253" t="inlineStr">
        <is>
          <t>AUTO_GENERERAD. Verifiera citat mot kallfil.</t>
        </is>
      </c>
      <c r="AH253" t="inlineStr">
        <is>
          <t>MEDIUM</t>
        </is>
      </c>
      <c r="AI253" t="inlineStr">
        <is>
          <t>AUTO</t>
        </is>
      </c>
      <c r="AJ253" t="inlineStr">
        <is>
          <t>Nej</t>
        </is>
      </c>
      <c r="AK253" t="inlineStr"/>
      <c r="AL253" t="inlineStr"/>
      <c r="AM253" t="inlineStr"/>
      <c r="AN253" t="inlineStr"/>
      <c r="AO253" t="inlineStr">
        <is>
          <t>cmm4yurfq04i5cuqw1drt61jr</t>
        </is>
      </c>
      <c r="AP253" t="inlineStr">
        <is>
          <t>http://localhost:8787/api/admin/requirements/documents/cmm4yurfq04i5cuqw1drt61jr/view</t>
        </is>
      </c>
      <c r="AQ253">
        <f>HYPERLÄNK("http://localhost:8787/api/admin/requirements/documents/cmm4yurfq04i5cuqw1drt61jr/view";"Öppna PDF")</f>
        <v/>
      </c>
      <c r="AR253">
        <f>HYPERLINK("http://localhost:8787/api/admin/requirements/documents/cmm4yurfq04i5cuqw1drt61jr/view","Open PDF")</f>
        <v/>
      </c>
      <c r="AS253" t="inlineStr">
        <is>
          <t>cmm55w57p0004cuisfrtpqly8</t>
        </is>
      </c>
      <c r="AT253" t="inlineStr">
        <is>
          <t>cmm4xvu980000cuh4vj0usz09</t>
        </is>
      </c>
      <c r="AU253" t="inlineStr"/>
      <c r="AV253" t="inlineStr">
        <is>
          <t>Kommun</t>
        </is>
      </c>
      <c r="AW253" t="inlineStr"/>
      <c r="AX253" t="inlineStr">
        <is>
          <t>2025-10</t>
        </is>
      </c>
      <c r="AY253" t="inlineStr">
        <is>
          <t>Beslut</t>
        </is>
      </c>
      <c r="AZ253" t="inlineStr">
        <is>
          <t>2026-02-13</t>
        </is>
      </c>
      <c r="BA253" t="inlineStr">
        <is>
          <t>VGS-MH-2025-2444.pdf</t>
        </is>
      </c>
      <c r="BB253" t="inlineStr">
        <is>
          <t>Sv: till registrator</t>
        </is>
      </c>
      <c r="BC253" t="inlineStr">
        <is>
          <t>AUTO</t>
        </is>
      </c>
      <c r="BD253" t="inlineStr"/>
      <c r="BE253" t="inlineStr"/>
      <c r="BF253" t="inlineStr">
        <is>
          <t>AUTO_GENERERAD. Bekrafta metadata mot kallfil.</t>
        </is>
      </c>
      <c r="BG253">
        <f>HYPERLINK("C:\Users\jimmy\Desktop\Examens arbete\Kod\Ny mapp\remix_-copy-of-miljöbeslut.se-portal\VGS-MH-2025-2444.pdf", "Öppna PDF")</f>
        <v/>
      </c>
    </row>
    <row r="254">
      <c r="A254" t="inlineStr">
        <is>
          <t>KRAV-AUTO-000253</t>
        </is>
      </c>
      <c r="B254" t="inlineStr">
        <is>
          <t>ADMIN-INDEX-2026-02-27-00000000125C043F57453246863FE664CAFE6A3F0700950291EA24F0614FB6ACEDB12BF0E31D00000000010C0000950291EA24F0614FB6ACEDB12BF0E31D000073AF24000000</t>
        </is>
      </c>
      <c r="C254" t="inlineStr">
        <is>
          <t>cmm4yurfq04i5cuqw1drt61jr</t>
        </is>
      </c>
      <c r="D254" t="inlineStr">
        <is>
          <t>http://localhost:8787/api/admin/requirements/documents/cmm4yurfq04i5cuqw1drt61jr/view</t>
        </is>
      </c>
      <c r="E254">
        <f>HYPERLÄNK("http://localhost:8787/api/admin/requirements/documents/cmm4yurfq04i5cuqw1drt61jr/view";"Öppna PDF")</f>
        <v/>
      </c>
      <c r="F254">
        <f>HYPERLINK("http://localhost:8787/api/admin/requirements/documents/cmm4yurfq04i5cuqw1drt61jr/view","Open PDF")</f>
        <v/>
      </c>
      <c r="G254" t="inlineStr">
        <is>
          <t>cmm55w57p0004cuisfrtpqly8</t>
        </is>
      </c>
      <c r="H254" t="inlineStr">
        <is>
          <t>Beslutsvillkor</t>
        </is>
      </c>
      <c r="I254" t="inlineStr">
        <is>
          <t>MiljopaverkanForsiktighet</t>
        </is>
      </c>
      <c r="J254" t="inlineStr">
        <is>
          <t>Skyddsatgarder</t>
        </is>
      </c>
      <c r="K254" t="inlineStr">
        <is>
          <t>Denna ändring i verksamheten en del av hur bolaget aktivt arbetar med att se över hur hantering av avfall för återanvändning och återvinning ska ske på bästa sätt.</t>
        </is>
      </c>
      <c r="L254" t="inlineStr">
        <is>
          <t>Denna ändring i verksamheten en del av hur bolaget aktivt arbetar med att se över hur hantering av avfall för återanvändning och återvinning ska ske på bästa sätt.</t>
        </is>
      </c>
      <c r="M254" t="inlineStr">
        <is>
          <t>SKA</t>
        </is>
      </c>
      <c r="N254" t="inlineStr"/>
      <c r="O254" t="inlineStr"/>
      <c r="P254" t="inlineStr"/>
      <c r="Q254" t="inlineStr"/>
      <c r="R254" t="inlineStr">
        <is>
          <t>Alltid</t>
        </is>
      </c>
      <c r="S254" t="inlineStr"/>
      <c r="T254" t="inlineStr">
        <is>
          <t>559441</t>
        </is>
      </c>
      <c r="U254" t="inlineStr"/>
      <c r="V254" t="inlineStr"/>
      <c r="W254" t="inlineStr">
        <is>
          <t>Nej</t>
        </is>
      </c>
      <c r="X254" t="inlineStr">
        <is>
          <t>Nej</t>
        </is>
      </c>
      <c r="Y254" t="inlineStr">
        <is>
          <t>Nej</t>
        </is>
      </c>
      <c r="Z254" t="inlineStr">
        <is>
          <t>Nej</t>
        </is>
      </c>
      <c r="AA254" t="n">
        <v>10</v>
      </c>
      <c r="AB254" t="inlineStr">
        <is>
          <t>Miljopaverkan och forsiktighetsmatt</t>
        </is>
      </c>
      <c r="AC254" t="inlineStr">
        <is>
          <t>Miljo-PM</t>
        </is>
      </c>
      <c r="AD254" t="inlineStr">
        <is>
          <t>Nej</t>
        </is>
      </c>
      <c r="AE254" t="inlineStr">
        <is>
          <t>Nej</t>
        </is>
      </c>
      <c r="AF254" t="inlineStr">
        <is>
          <t>Ej behandlad</t>
        </is>
      </c>
      <c r="AG254" t="inlineStr">
        <is>
          <t>AUTO_GENERERAD. Verifiera citat mot kallfil.</t>
        </is>
      </c>
      <c r="AH254" t="inlineStr">
        <is>
          <t>MEDIUM</t>
        </is>
      </c>
      <c r="AI254" t="inlineStr">
        <is>
          <t>AUTO</t>
        </is>
      </c>
      <c r="AJ254" t="inlineStr">
        <is>
          <t>Nej</t>
        </is>
      </c>
      <c r="AK254" t="inlineStr"/>
      <c r="AL254" t="inlineStr"/>
      <c r="AM254" t="inlineStr"/>
      <c r="AN254" t="inlineStr"/>
      <c r="AO254" t="inlineStr">
        <is>
          <t>cmm4yurfq04i5cuqw1drt61jr</t>
        </is>
      </c>
      <c r="AP254" t="inlineStr">
        <is>
          <t>http://localhost:8787/api/admin/requirements/documents/cmm4yurfq04i5cuqw1drt61jr/view</t>
        </is>
      </c>
      <c r="AQ254">
        <f>HYPERLÄNK("http://localhost:8787/api/admin/requirements/documents/cmm4yurfq04i5cuqw1drt61jr/view";"Öppna PDF")</f>
        <v/>
      </c>
      <c r="AR254">
        <f>HYPERLINK("http://localhost:8787/api/admin/requirements/documents/cmm4yurfq04i5cuqw1drt61jr/view","Open PDF")</f>
        <v/>
      </c>
      <c r="AS254" t="inlineStr">
        <is>
          <t>cmm55w57p0004cuisfrtpqly8</t>
        </is>
      </c>
      <c r="AT254" t="inlineStr">
        <is>
          <t>cmm4xvu980000cuh4vj0usz09</t>
        </is>
      </c>
      <c r="AU254" t="inlineStr"/>
      <c r="AV254" t="inlineStr">
        <is>
          <t>Kommun</t>
        </is>
      </c>
      <c r="AW254" t="inlineStr"/>
      <c r="AX254" t="inlineStr">
        <is>
          <t>2025-10</t>
        </is>
      </c>
      <c r="AY254" t="inlineStr">
        <is>
          <t>Beslut</t>
        </is>
      </c>
      <c r="AZ254" t="inlineStr">
        <is>
          <t>2026-02-13</t>
        </is>
      </c>
      <c r="BA254" t="inlineStr">
        <is>
          <t>VGS-MH-2025-2444.pdf</t>
        </is>
      </c>
      <c r="BB254" t="inlineStr">
        <is>
          <t>Sv: till registrator</t>
        </is>
      </c>
      <c r="BC254" t="inlineStr">
        <is>
          <t>AUTO</t>
        </is>
      </c>
      <c r="BD254" t="inlineStr"/>
      <c r="BE254" t="inlineStr"/>
      <c r="BF254" t="inlineStr">
        <is>
          <t>AUTO_GENERERAD. Bekrafta metadata mot kallfil.</t>
        </is>
      </c>
      <c r="BG254">
        <f>HYPERLINK("C:\Users\jimmy\Desktop\Examens arbete\Kod\Ny mapp\remix_-copy-of-miljöbeslut.se-portal\VGS-MH-2025-2444.pdf", "Öppna PDF")</f>
        <v/>
      </c>
    </row>
    <row r="255">
      <c r="A255" t="inlineStr">
        <is>
          <t>KRAV-AUTO-000254</t>
        </is>
      </c>
      <c r="B255" t="inlineStr">
        <is>
          <t>ADMIN-INDEX-2026-02-27-00000000125C043F57453246863FE664CAFE6A3F0700950291EA24F0614FB6ACEDB12BF0E31D00000000010C0000950291EA24F0614FB6ACEDB12BF0E31D000073AF24000000</t>
        </is>
      </c>
      <c r="C255" t="inlineStr">
        <is>
          <t>cmm4yurfd04hqcuqw29esmmu5</t>
        </is>
      </c>
      <c r="D255" t="inlineStr">
        <is>
          <t>http://localhost:8787/api/admin/requirements/documents/cmm4yurfd04hqcuqw29esmmu5/view</t>
        </is>
      </c>
      <c r="E255">
        <f>HYPERLÄNK("http://localhost:8787/api/admin/requirements/documents/cmm4yurfd04hqcuqw29esmmu5/view";"Öppna PDF")</f>
        <v/>
      </c>
      <c r="F255">
        <f>HYPERLINK("http://localhost:8787/api/admin/requirements/documents/cmm4yurfd04hqcuqw29esmmu5/view","Open PDF")</f>
        <v/>
      </c>
      <c r="G255" t="inlineStr">
        <is>
          <t>cmm55w57p0004cuisfrtpqly8</t>
        </is>
      </c>
      <c r="H255" t="inlineStr">
        <is>
          <t>Beslutsvillkor</t>
        </is>
      </c>
      <c r="I255" t="inlineStr">
        <is>
          <t>Ytkonstruktion</t>
        </is>
      </c>
      <c r="J255" t="inlineStr">
        <is>
          <t>Tat yta</t>
        </is>
      </c>
      <c r="K255" t="inlineStr">
        <is>
          <t>Beskrivning Västra Gästriklands samhällsbyggnadsnämnd beslutade den 2 oktober 2025 om ett föreläggande om att åtgärda brister gällande lagring av flytande kemikalier och farligt avfall.</t>
        </is>
      </c>
      <c r="L255" t="inlineStr">
        <is>
          <t>Beskrivning Västra Gästriklands samhällsbyggnadsnämnd beslutade den 2 oktober 2025 om ett föreläggande om att åtgärda brister gällande lagring av flytande kemikalier och farligt avfall.</t>
        </is>
      </c>
      <c r="M255" t="inlineStr">
        <is>
          <t>INFO</t>
        </is>
      </c>
      <c r="N255" t="inlineStr"/>
      <c r="O255" t="inlineStr"/>
      <c r="P255" t="inlineStr">
        <is>
          <t>Arlig</t>
        </is>
      </c>
      <c r="Q255" t="inlineStr">
        <is>
          <t>Forelaggande vid brist</t>
        </is>
      </c>
      <c r="R255" t="inlineStr">
        <is>
          <t>Vid mellanlagring av avfall</t>
        </is>
      </c>
      <c r="S255" t="inlineStr"/>
      <c r="T255" t="inlineStr">
        <is>
          <t>24 00 00</t>
        </is>
      </c>
      <c r="U255" t="inlineStr"/>
      <c r="V255" t="inlineStr"/>
      <c r="W255" t="inlineStr">
        <is>
          <t>Ja</t>
        </is>
      </c>
      <c r="X255" t="inlineStr">
        <is>
          <t>Nej</t>
        </is>
      </c>
      <c r="Y255" t="inlineStr">
        <is>
          <t>Nej</t>
        </is>
      </c>
      <c r="Z255" t="inlineStr">
        <is>
          <t>Nej</t>
        </is>
      </c>
      <c r="AA255" t="n">
        <v>5</v>
      </c>
      <c r="AB255" t="inlineStr">
        <is>
          <t>Teknisk beskrivning av platta</t>
        </is>
      </c>
      <c r="AC255" t="inlineStr">
        <is>
          <t>Teknisk ritning platta</t>
        </is>
      </c>
      <c r="AD255" t="inlineStr">
        <is>
          <t>Nej</t>
        </is>
      </c>
      <c r="AE255" t="inlineStr">
        <is>
          <t>Nej</t>
        </is>
      </c>
      <c r="AF255" t="inlineStr">
        <is>
          <t>Ej behandlad</t>
        </is>
      </c>
      <c r="AG255" t="inlineStr">
        <is>
          <t>AUTO_GENERERAD. Verifiera citat mot kallfil.</t>
        </is>
      </c>
      <c r="AH255" t="inlineStr">
        <is>
          <t>MEDIUM</t>
        </is>
      </c>
      <c r="AI255" t="inlineStr">
        <is>
          <t>AUTO</t>
        </is>
      </c>
      <c r="AJ255" t="inlineStr">
        <is>
          <t>Nej</t>
        </is>
      </c>
      <c r="AK255" t="inlineStr"/>
      <c r="AL255" t="inlineStr"/>
      <c r="AM255" t="inlineStr"/>
      <c r="AN255" t="inlineStr"/>
      <c r="AO255" t="inlineStr">
        <is>
          <t>cmm4yurfq04i5cuqw1drt61jr</t>
        </is>
      </c>
      <c r="AP255" t="inlineStr">
        <is>
          <t>http://localhost:8787/api/admin/requirements/documents/cmm4yurfq04i5cuqw1drt61jr/view</t>
        </is>
      </c>
      <c r="AQ255">
        <f>HYPERLÄNK("http://localhost:8787/api/admin/requirements/documents/cmm4yurfq04i5cuqw1drt61jr/view";"Öppna PDF")</f>
        <v/>
      </c>
      <c r="AR255">
        <f>HYPERLINK("http://localhost:8787/api/admin/requirements/documents/cmm4yurfq04i5cuqw1drt61jr/view","Open PDF")</f>
        <v/>
      </c>
      <c r="AS255" t="inlineStr">
        <is>
          <t>cmm55w57p0004cuisfrtpqly8</t>
        </is>
      </c>
      <c r="AT255" t="inlineStr">
        <is>
          <t>cmm4xvu980000cuh4vj0usz09</t>
        </is>
      </c>
      <c r="AU255" t="inlineStr"/>
      <c r="AV255" t="inlineStr">
        <is>
          <t>Kommun</t>
        </is>
      </c>
      <c r="AW255" t="inlineStr"/>
      <c r="AX255" t="inlineStr">
        <is>
          <t>2025-10</t>
        </is>
      </c>
      <c r="AY255" t="inlineStr">
        <is>
          <t>Beslut</t>
        </is>
      </c>
      <c r="AZ255" t="inlineStr">
        <is>
          <t>2026-02-13</t>
        </is>
      </c>
      <c r="BA255" t="inlineStr">
        <is>
          <t>VGS-MH-2025-2444.pdf</t>
        </is>
      </c>
      <c r="BB255" t="inlineStr">
        <is>
          <t>Sv: till registrator</t>
        </is>
      </c>
      <c r="BC255" t="inlineStr">
        <is>
          <t>AUTO</t>
        </is>
      </c>
      <c r="BD255" t="inlineStr"/>
      <c r="BE255" t="inlineStr"/>
      <c r="BF255" t="inlineStr">
        <is>
          <t>AUTO_GENERERAD. Bekrafta metadata mot kallfil.</t>
        </is>
      </c>
      <c r="BG255">
        <f>HYPERLINK("C:\Users\jimmy\Desktop\Examens arbete\Kod\Ny mapp\remix_-copy-of-miljöbeslut.se-portal\VGS-MH-2025-2444.pdf", "Öppna PDF")</f>
        <v/>
      </c>
    </row>
    <row r="256">
      <c r="A256" t="inlineStr">
        <is>
          <t>KRAV-AUTO-000255</t>
        </is>
      </c>
      <c r="B256" t="inlineStr">
        <is>
          <t>ADMIN-INDEX-2026-02-27-00000000125C043F57453246863FE664CAFE6A3F0700950291EA24F0614FB6ACEDB12BF0E31D00000000010C0000950291EA24F0614FB6ACEDB12BF0E31D00002087A5800000</t>
        </is>
      </c>
      <c r="C256" t="inlineStr">
        <is>
          <t>cmm4yurbv04e2cuqwb1kd6w43</t>
        </is>
      </c>
      <c r="D256" t="inlineStr">
        <is>
          <t>http://localhost:8787/api/admin/requirements/documents/cmm4yurbv04e2cuqwb1kd6w43/view</t>
        </is>
      </c>
      <c r="E256">
        <f>HYPERLÄNK("http://localhost:8787/api/admin/requirements/documents/cmm4yurbv04e2cuqwb1kd6w43/view";"Öppna PDF")</f>
        <v/>
      </c>
      <c r="F256">
        <f>HYPERLINK("http://localhost:8787/api/admin/requirements/documents/cmm4yurbv04e2cuqwb1kd6w43/view","Open PDF")</f>
        <v/>
      </c>
      <c r="G256" t="inlineStr">
        <is>
          <t>cmm55w57p0004cuisfrtpqly8</t>
        </is>
      </c>
      <c r="H256" t="inlineStr">
        <is>
          <t>Informationskrav</t>
        </is>
      </c>
      <c r="I256" t="inlineStr">
        <is>
          <t>LagringsvolymTid</t>
        </is>
      </c>
      <c r="J256" t="inlineStr">
        <is>
          <t>Maxmangd</t>
        </is>
      </c>
      <c r="K256" t="inlineStr">
        <is>
          <t>Råvaran/produktens namn Mängd/år Andvändningsområde Ange hur kemiska produkter kommer att lagras och hanteras.</t>
        </is>
      </c>
      <c r="L256" t="inlineStr">
        <is>
          <t>Råvaran/produktens namn Mängd/år Andvändningsområde Ange hur kemiska produkter kommer att lagras och hanteras.</t>
        </is>
      </c>
      <c r="M256" t="inlineStr">
        <is>
          <t>SKA</t>
        </is>
      </c>
      <c r="N256" t="inlineStr">
        <is>
          <t>FMH</t>
        </is>
      </c>
      <c r="O256" t="inlineStr"/>
      <c r="P256" t="inlineStr"/>
      <c r="Q256" t="inlineStr"/>
      <c r="R256" t="inlineStr">
        <is>
          <t>Alltid</t>
        </is>
      </c>
      <c r="S256" t="inlineStr"/>
      <c r="T256" t="inlineStr">
        <is>
          <t>73 90 00</t>
        </is>
      </c>
      <c r="U256" t="inlineStr"/>
      <c r="V256" t="inlineStr"/>
      <c r="W256" t="inlineStr">
        <is>
          <t>Nej</t>
        </is>
      </c>
      <c r="X256" t="inlineStr">
        <is>
          <t>Nej</t>
        </is>
      </c>
      <c r="Y256" t="inlineStr">
        <is>
          <t>Nej</t>
        </is>
      </c>
      <c r="Z256" t="inlineStr">
        <is>
          <t>Nej</t>
        </is>
      </c>
      <c r="AA256" t="n">
        <v>4</v>
      </c>
      <c r="AB256" t="inlineStr">
        <is>
          <t>Avfallsmangder och lagringstid</t>
        </is>
      </c>
      <c r="AC256" t="inlineStr">
        <is>
          <t>Avfallsforteckning</t>
        </is>
      </c>
      <c r="AD256" t="inlineStr">
        <is>
          <t>Nej</t>
        </is>
      </c>
      <c r="AE256" t="inlineStr">
        <is>
          <t>Nej</t>
        </is>
      </c>
      <c r="AF256" t="inlineStr">
        <is>
          <t>Ej behandlad</t>
        </is>
      </c>
      <c r="AG256" t="inlineStr">
        <is>
          <t>AUTO_GENERERAD. Verifiera citat mot kallfil.</t>
        </is>
      </c>
      <c r="AH256" t="inlineStr">
        <is>
          <t>MEDIUM</t>
        </is>
      </c>
      <c r="AI256" t="inlineStr">
        <is>
          <t>AUTO</t>
        </is>
      </c>
      <c r="AJ256" t="inlineStr">
        <is>
          <t>Nej</t>
        </is>
      </c>
      <c r="AK256" t="inlineStr"/>
      <c r="AL256" t="inlineStr"/>
      <c r="AM256" t="inlineStr"/>
      <c r="AN256" t="inlineStr"/>
      <c r="AO256" t="inlineStr">
        <is>
          <t>cmm4yurbv04e2cuqwb1kd6w43</t>
        </is>
      </c>
      <c r="AP256" t="inlineStr">
        <is>
          <t>http://localhost:8787/api/admin/requirements/documents/cmm4yurbv04e2cuqwb1kd6w43/view</t>
        </is>
      </c>
      <c r="AQ256">
        <f>HYPERLÄNK("http://localhost:8787/api/admin/requirements/documents/cmm4yurbv04e2cuqwb1kd6w43/view";"Öppna PDF")</f>
        <v/>
      </c>
      <c r="AR256">
        <f>HYPERLINK("http://localhost:8787/api/admin/requirements/documents/cmm4yurbv04e2cuqwb1kd6w43/view","Open PDF")</f>
        <v/>
      </c>
      <c r="AS256" t="inlineStr">
        <is>
          <t>cmm55w57p0004cuisfrtpqly8</t>
        </is>
      </c>
      <c r="AT256" t="inlineStr">
        <is>
          <t>cmm4xvu980000cuh4vj0usz09</t>
        </is>
      </c>
      <c r="AU256" t="inlineStr"/>
      <c r="AV256" t="inlineStr">
        <is>
          <t>Kommun</t>
        </is>
      </c>
      <c r="AW256" t="inlineStr"/>
      <c r="AX256" t="inlineStr">
        <is>
          <t>2013:251</t>
        </is>
      </c>
      <c r="AY256" t="inlineStr">
        <is>
          <t>Anmalan</t>
        </is>
      </c>
      <c r="AZ256" t="inlineStr">
        <is>
          <t>2026-02-12</t>
        </is>
      </c>
      <c r="BA256" t="inlineStr">
        <is>
          <t>MB-2023-716-6 - Miljöfarlig verksamhet_anmälan.pdf</t>
        </is>
      </c>
      <c r="BB256" t="inlineStr">
        <is>
          <t>Sv:  Begäran om utlämnande av allmän handling – Anmälningar och beslut rörande mellanlagring av avfall samt anläggning av ytor</t>
        </is>
      </c>
      <c r="BC256" t="inlineStr">
        <is>
          <t>AUTO</t>
        </is>
      </c>
      <c r="BD256" t="inlineStr"/>
      <c r="BE256" t="inlineStr"/>
      <c r="BF256" t="inlineStr">
        <is>
          <t>AUTO_GENERERAD. Bekrafta metadata mot kallfil.</t>
        </is>
      </c>
      <c r="BG256">
        <f>HYPERLINK("C:\Users\jimmy\Desktop\Examens arbete\Kod\Ny mapp\remix_-copy-of-miljöbeslut.se-portal\MB-2023-716-6 - Miljöfarlig verksamhet_anmälan.pdf", "Öppna PDF")</f>
        <v/>
      </c>
    </row>
    <row r="257">
      <c r="A257" t="inlineStr">
        <is>
          <t>KRAV-AUTO-000256</t>
        </is>
      </c>
      <c r="B257" t="inlineStr">
        <is>
          <t>ADMIN-INDEX-2026-02-27-00000000125C043F57453246863FE664CAFE6A3F0700950291EA24F0614FB6ACEDB12BF0E31D00000000010C0000950291EA24F0614FB6ACEDB12BF0E31D00002087A5800000</t>
        </is>
      </c>
      <c r="C257" t="inlineStr">
        <is>
          <t>cmm4yurbv04e2cuqwb1kd6w43</t>
        </is>
      </c>
      <c r="D257" t="inlineStr">
        <is>
          <t>http://localhost:8787/api/admin/requirements/documents/cmm4yurbv04e2cuqwb1kd6w43/view</t>
        </is>
      </c>
      <c r="E257">
        <f>HYPERLÄNK("http://localhost:8787/api/admin/requirements/documents/cmm4yurbv04e2cuqwb1kd6w43/view";"Öppna PDF")</f>
        <v/>
      </c>
      <c r="F257">
        <f>HYPERLINK("http://localhost:8787/api/admin/requirements/documents/cmm4yurbv04e2cuqwb1kd6w43/view","Open PDF")</f>
        <v/>
      </c>
      <c r="G257" t="inlineStr">
        <is>
          <t>cmm55w57p0004cuisfrtpqly8</t>
        </is>
      </c>
      <c r="H257" t="inlineStr">
        <is>
          <t>Informationskrav</t>
        </is>
      </c>
      <c r="I257" t="inlineStr">
        <is>
          <t>LagringsvolymTid</t>
        </is>
      </c>
      <c r="J257" t="inlineStr">
        <is>
          <t>Maxmangd</t>
        </is>
      </c>
      <c r="K257" t="inlineStr">
        <is>
          <t>Beskriv verksamheten, ev kort historik, produktions- och behandlingsmetoder, produktionskapacitet, producerad mängd m m.</t>
        </is>
      </c>
      <c r="L257" t="inlineStr">
        <is>
          <t>Beskriv verksamheten, ev kort historik, produktions- och behandlingsmetoder, produktionskapacitet, producerad mängd m m.</t>
        </is>
      </c>
      <c r="M257" t="inlineStr">
        <is>
          <t>SKA</t>
        </is>
      </c>
      <c r="N257" t="inlineStr">
        <is>
          <t>FMH</t>
        </is>
      </c>
      <c r="O257" t="inlineStr"/>
      <c r="P257" t="inlineStr"/>
      <c r="Q257" t="inlineStr"/>
      <c r="R257" t="inlineStr">
        <is>
          <t>Alltid</t>
        </is>
      </c>
      <c r="S257" t="inlineStr"/>
      <c r="T257" t="inlineStr">
        <is>
          <t>73 90 00</t>
        </is>
      </c>
      <c r="U257" t="inlineStr"/>
      <c r="V257" t="inlineStr"/>
      <c r="W257" t="inlineStr">
        <is>
          <t>Nej</t>
        </is>
      </c>
      <c r="X257" t="inlineStr">
        <is>
          <t>Nej</t>
        </is>
      </c>
      <c r="Y257" t="inlineStr">
        <is>
          <t>Nej</t>
        </is>
      </c>
      <c r="Z257" t="inlineStr">
        <is>
          <t>Nej</t>
        </is>
      </c>
      <c r="AA257" t="n">
        <v>4</v>
      </c>
      <c r="AB257" t="inlineStr">
        <is>
          <t>Avfallsmangder och lagringstid</t>
        </is>
      </c>
      <c r="AC257" t="inlineStr">
        <is>
          <t>Avfallsforteckning</t>
        </is>
      </c>
      <c r="AD257" t="inlineStr">
        <is>
          <t>Nej</t>
        </is>
      </c>
      <c r="AE257" t="inlineStr">
        <is>
          <t>Nej</t>
        </is>
      </c>
      <c r="AF257" t="inlineStr">
        <is>
          <t>Ej behandlad</t>
        </is>
      </c>
      <c r="AG257" t="inlineStr">
        <is>
          <t>AUTO_GENERERAD. Verifiera citat mot kallfil.</t>
        </is>
      </c>
      <c r="AH257" t="inlineStr">
        <is>
          <t>MEDIUM</t>
        </is>
      </c>
      <c r="AI257" t="inlineStr">
        <is>
          <t>AUTO</t>
        </is>
      </c>
      <c r="AJ257" t="inlineStr">
        <is>
          <t>Nej</t>
        </is>
      </c>
      <c r="AK257" t="inlineStr"/>
      <c r="AL257" t="inlineStr"/>
      <c r="AM257" t="inlineStr"/>
      <c r="AN257" t="inlineStr"/>
      <c r="AO257" t="inlineStr">
        <is>
          <t>cmm4yurbv04e2cuqwb1kd6w43</t>
        </is>
      </c>
      <c r="AP257" t="inlineStr">
        <is>
          <t>http://localhost:8787/api/admin/requirements/documents/cmm4yurbv04e2cuqwb1kd6w43/view</t>
        </is>
      </c>
      <c r="AQ257">
        <f>HYPERLÄNK("http://localhost:8787/api/admin/requirements/documents/cmm4yurbv04e2cuqwb1kd6w43/view";"Öppna PDF")</f>
        <v/>
      </c>
      <c r="AR257">
        <f>HYPERLINK("http://localhost:8787/api/admin/requirements/documents/cmm4yurbv04e2cuqwb1kd6w43/view","Open PDF")</f>
        <v/>
      </c>
      <c r="AS257" t="inlineStr">
        <is>
          <t>cmm55w57p0004cuisfrtpqly8</t>
        </is>
      </c>
      <c r="AT257" t="inlineStr">
        <is>
          <t>cmm4xvu980000cuh4vj0usz09</t>
        </is>
      </c>
      <c r="AU257" t="inlineStr"/>
      <c r="AV257" t="inlineStr">
        <is>
          <t>Kommun</t>
        </is>
      </c>
      <c r="AW257" t="inlineStr"/>
      <c r="AX257" t="inlineStr">
        <is>
          <t>2013:251</t>
        </is>
      </c>
      <c r="AY257" t="inlineStr">
        <is>
          <t>Anmalan</t>
        </is>
      </c>
      <c r="AZ257" t="inlineStr">
        <is>
          <t>2026-02-12</t>
        </is>
      </c>
      <c r="BA257" t="inlineStr">
        <is>
          <t>MB-2023-716-6 - Miljöfarlig verksamhet_anmälan.pdf</t>
        </is>
      </c>
      <c r="BB257" t="inlineStr">
        <is>
          <t>Sv:  Begäran om utlämnande av allmän handling – Anmälningar och beslut rörande mellanlagring av avfall samt anläggning av ytor</t>
        </is>
      </c>
      <c r="BC257" t="inlineStr">
        <is>
          <t>AUTO</t>
        </is>
      </c>
      <c r="BD257" t="inlineStr"/>
      <c r="BE257" t="inlineStr"/>
      <c r="BF257" t="inlineStr">
        <is>
          <t>AUTO_GENERERAD. Bekrafta metadata mot kallfil.</t>
        </is>
      </c>
      <c r="BG257">
        <f>HYPERLINK("C:\Users\jimmy\Desktop\Examens arbete\Kod\Ny mapp\remix_-copy-of-miljöbeslut.se-portal\MB-2023-716-6 - Miljöfarlig verksamhet_anmälan.pdf", "Öppna PDF")</f>
        <v/>
      </c>
    </row>
    <row r="258">
      <c r="A258" t="inlineStr">
        <is>
          <t>KRAV-AUTO-000257</t>
        </is>
      </c>
      <c r="B258" t="inlineStr">
        <is>
          <t>ADMIN-INDEX-2026-02-27-00000000125C043F57453246863FE664CAFE6A3F0700950291EA24F0614FB6ACEDB12BF0E31D00000000010C0000950291EA24F0614FB6ACEDB12BF0E31D00002087A5950000</t>
        </is>
      </c>
      <c r="C258" t="inlineStr">
        <is>
          <t>cmm4yur7g049ecuqw03gdal1n</t>
        </is>
      </c>
      <c r="D258" t="inlineStr">
        <is>
          <t>http://localhost:8787/api/admin/requirements/documents/cmm4yur7g049ecuqw03gdal1n/view</t>
        </is>
      </c>
      <c r="E258">
        <f>HYPERLÄNK("http://localhost:8787/api/admin/requirements/documents/cmm4yur7g049ecuqw03gdal1n/view";"Öppna PDF")</f>
        <v/>
      </c>
      <c r="F258">
        <f>HYPERLINK("http://localhost:8787/api/admin/requirements/documents/cmm4yur7g049ecuqw03gdal1n/view","Open PDF")</f>
        <v/>
      </c>
      <c r="G258" t="inlineStr">
        <is>
          <t>cmm55w57p0004cuisfrtpqly8</t>
        </is>
      </c>
      <c r="H258" t="inlineStr">
        <is>
          <t>Informationskrav</t>
        </is>
      </c>
      <c r="I258" t="inlineStr">
        <is>
          <t>Ytkonstruktion</t>
        </is>
      </c>
      <c r="J258" t="inlineStr">
        <is>
          <t>Tat yta</t>
        </is>
      </c>
      <c r="K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L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M258" t="inlineStr">
        <is>
          <t>SKA</t>
        </is>
      </c>
      <c r="N258" t="inlineStr"/>
      <c r="O258" t="inlineStr">
        <is>
          <t>2024-12-11</t>
        </is>
      </c>
      <c r="P258" t="inlineStr"/>
      <c r="Q258" t="inlineStr"/>
      <c r="R258" t="inlineStr">
        <is>
          <t>Vid mellanlagring av avfall</t>
        </is>
      </c>
      <c r="S258" t="inlineStr"/>
      <c r="T258" t="inlineStr"/>
      <c r="U258" t="inlineStr"/>
      <c r="V258" t="inlineStr"/>
      <c r="W258" t="inlineStr">
        <is>
          <t>Ja</t>
        </is>
      </c>
      <c r="X258" t="inlineStr">
        <is>
          <t>Nej</t>
        </is>
      </c>
      <c r="Y258" t="inlineStr">
        <is>
          <t>Nej</t>
        </is>
      </c>
      <c r="Z258" t="inlineStr">
        <is>
          <t>Nej</t>
        </is>
      </c>
      <c r="AA258" t="n">
        <v>5</v>
      </c>
      <c r="AB258" t="inlineStr">
        <is>
          <t>Teknisk beskrivning av platta</t>
        </is>
      </c>
      <c r="AC258" t="inlineStr">
        <is>
          <t>Teknisk ritning platta</t>
        </is>
      </c>
      <c r="AD258" t="inlineStr">
        <is>
          <t>Nej</t>
        </is>
      </c>
      <c r="AE258" t="inlineStr">
        <is>
          <t>Nej</t>
        </is>
      </c>
      <c r="AF258" t="inlineStr">
        <is>
          <t>Ej behandlad</t>
        </is>
      </c>
      <c r="AG258" t="inlineStr">
        <is>
          <t>AUTO_GENERERAD. Verifiera citat mot kallfil.</t>
        </is>
      </c>
      <c r="AH258" t="inlineStr">
        <is>
          <t>MEDIUM</t>
        </is>
      </c>
      <c r="AI258" t="inlineStr">
        <is>
          <t>AUTO</t>
        </is>
      </c>
      <c r="AJ258" t="inlineStr">
        <is>
          <t>Nej</t>
        </is>
      </c>
      <c r="AK258" t="inlineStr"/>
      <c r="AL258" t="inlineStr"/>
      <c r="AM258" t="inlineStr"/>
      <c r="AN258" t="inlineStr"/>
      <c r="AO258" t="inlineStr">
        <is>
          <t>cmm4yur7g049ecuqw03gdal1n</t>
        </is>
      </c>
      <c r="AP258" t="inlineStr">
        <is>
          <t>http://localhost:8787/api/admin/requirements/documents/cmm4yur7g049ecuqw03gdal1n/view</t>
        </is>
      </c>
      <c r="AQ258">
        <f>HYPERLÄNK("http://localhost:8787/api/admin/requirements/documents/cmm4yur7g049ecuqw03gdal1n/view";"Öppna PDF")</f>
        <v/>
      </c>
      <c r="AR258">
        <f>HYPERLINK("http://localhost:8787/api/admin/requirements/documents/cmm4yur7g049ecuqw03gdal1n/view","Open PDF")</f>
        <v/>
      </c>
      <c r="AS258" t="inlineStr">
        <is>
          <t>cmm55w57p0004cuisfrtpqly8</t>
        </is>
      </c>
      <c r="AT258" t="inlineStr">
        <is>
          <t>cmm4xvu980000cuh4vj0usz09</t>
        </is>
      </c>
      <c r="AU258" t="inlineStr">
        <is>
          <t>mottagning av verksamhetsavfall Hagfors</t>
        </is>
      </c>
      <c r="AV258" t="inlineStr">
        <is>
          <t>Kommun</t>
        </is>
      </c>
      <c r="AW258" t="inlineStr">
        <is>
          <t>mottagning av verksamhetsavfall Hagfors kommun</t>
        </is>
      </c>
      <c r="AX258" t="inlineStr">
        <is>
          <t>2024-12</t>
        </is>
      </c>
      <c r="AY258" t="inlineStr">
        <is>
          <t>Anmalan</t>
        </is>
      </c>
      <c r="AZ258" t="inlineStr">
        <is>
          <t>2026-02-09</t>
        </is>
      </c>
      <c r="BA258" t="inlineStr">
        <is>
          <t>GetContent (25).pdf</t>
        </is>
      </c>
      <c r="BB258" t="inlineStr">
        <is>
          <t>Anmälningspliktiga C-verksamheter</t>
        </is>
      </c>
      <c r="BC258" t="inlineStr">
        <is>
          <t>AUTO</t>
        </is>
      </c>
      <c r="BD258" t="inlineStr"/>
      <c r="BE258" t="inlineStr"/>
      <c r="BF258" t="inlineStr">
        <is>
          <t>AUTO_GENERERAD. Bekrafta metadata mot kallfil.</t>
        </is>
      </c>
      <c r="BG258">
        <f>HYPERLINK("C:\Users\jimmy\Desktop\Examens arbete\Kod\Ny mapp\remix_-copy-of-miljöbeslut.se-portal\GetContent (25).pdf", "Öppna PDF")</f>
        <v/>
      </c>
    </row>
    <row r="259">
      <c r="A259" t="inlineStr">
        <is>
          <t>KRAV-AUTO-000258</t>
        </is>
      </c>
      <c r="B259" t="inlineStr">
        <is>
          <t>ADMIN-INDEX-2026-02-27-00000000125C043F57453246863FE664CAFE6A3F0700950291EA24F0614FB6ACEDB12BF0E31D00000000010C0000950291EA24F0614FB6ACEDB12BF0E31D00002087A5B40000</t>
        </is>
      </c>
      <c r="C259" t="inlineStr">
        <is>
          <t>cmm4yur1z044ecuqwtn36cfk3</t>
        </is>
      </c>
      <c r="D259" t="inlineStr">
        <is>
          <t>http://localhost:8787/api/admin/requirements/documents/cmm4yur1z044ecuqwtn36cfk3/view</t>
        </is>
      </c>
      <c r="E259">
        <f>HYPERLÄNK("http://localhost:8787/api/admin/requirements/documents/cmm4yur1z044ecuqwtn36cfk3/view";"Öppna PDF")</f>
        <v/>
      </c>
      <c r="F259">
        <f>HYPERLINK("http://localhost:8787/api/admin/requirements/documents/cmm4yur1z044ecuqwtn36cfk3/view","Open PDF")</f>
        <v/>
      </c>
      <c r="G259" t="inlineStr">
        <is>
          <t>cmm55w57p0004cuisfrtpqly8</t>
        </is>
      </c>
      <c r="H259" t="inlineStr">
        <is>
          <t>Beslutsvillkor</t>
        </is>
      </c>
      <c r="I259" t="inlineStr">
        <is>
          <t>Ytkonstruktion</t>
        </is>
      </c>
      <c r="J259" t="inlineStr">
        <is>
          <t>Tat yta</t>
        </is>
      </c>
      <c r="K259" t="inlineStr">
        <is>
          <t>Petroleumprodukter och andra för grund- och ytvattnet skadliga ämnen ska hanteras och förvaras på hårdgjord invallad yta som ska skyddas mot nederbörd.</t>
        </is>
      </c>
      <c r="L259" t="inlineStr">
        <is>
          <t>Petroleumprodukter och andra för grund- och ytvattnet skadliga ämnen ska hanteras och förvaras på hårdgjord invallad yta som ska skyddas mot nederbörd.</t>
        </is>
      </c>
      <c r="M259" t="inlineStr">
        <is>
          <t>SKA</t>
        </is>
      </c>
      <c r="N259" t="inlineStr"/>
      <c r="O259" t="inlineStr"/>
      <c r="P259" t="inlineStr"/>
      <c r="Q259" t="inlineStr"/>
      <c r="R259" t="inlineStr">
        <is>
          <t>Vid mellanlagring av avfall</t>
        </is>
      </c>
      <c r="S259" t="inlineStr"/>
      <c r="T259" t="inlineStr">
        <is>
          <t>853560</t>
        </is>
      </c>
      <c r="U259" t="inlineStr"/>
      <c r="V259" t="inlineStr"/>
      <c r="W259" t="inlineStr">
        <is>
          <t>Ja</t>
        </is>
      </c>
      <c r="X259" t="inlineStr">
        <is>
          <t>Nej</t>
        </is>
      </c>
      <c r="Y259" t="inlineStr">
        <is>
          <t>Nej</t>
        </is>
      </c>
      <c r="Z259" t="inlineStr">
        <is>
          <t>Nej</t>
        </is>
      </c>
      <c r="AA259" t="n">
        <v>5</v>
      </c>
      <c r="AB259" t="inlineStr">
        <is>
          <t>Teknisk beskrivning av platta</t>
        </is>
      </c>
      <c r="AC259" t="inlineStr">
        <is>
          <t>Teknisk ritning platta</t>
        </is>
      </c>
      <c r="AD259" t="inlineStr">
        <is>
          <t>Nej</t>
        </is>
      </c>
      <c r="AE259" t="inlineStr">
        <is>
          <t>Nej</t>
        </is>
      </c>
      <c r="AF259" t="inlineStr">
        <is>
          <t>Ej behandlad</t>
        </is>
      </c>
      <c r="AG259" t="inlineStr">
        <is>
          <t>AUTO_GENERERAD. Verifiera citat mot kallfil.</t>
        </is>
      </c>
      <c r="AH259" t="inlineStr">
        <is>
          <t>MEDIUM</t>
        </is>
      </c>
      <c r="AI259" t="inlineStr">
        <is>
          <t>AUTO</t>
        </is>
      </c>
      <c r="AJ259" t="inlineStr">
        <is>
          <t>Nej</t>
        </is>
      </c>
      <c r="AK259" t="inlineStr"/>
      <c r="AL259" t="inlineStr"/>
      <c r="AM259" t="inlineStr"/>
      <c r="AN259" t="inlineStr"/>
      <c r="AO259" t="inlineStr">
        <is>
          <t>cmm4yur1z044ecuqwtn36cfk3</t>
        </is>
      </c>
      <c r="AP259" t="inlineStr">
        <is>
          <t>http://localhost:8787/api/admin/requirements/documents/cmm4yur1z044ecuqwtn36cfk3/view</t>
        </is>
      </c>
      <c r="AQ259">
        <f>HYPERLÄNK("http://localhost:8787/api/admin/requirements/documents/cmm4yur1z044ecuqwtn36cfk3/view";"Öppna PDF")</f>
        <v/>
      </c>
      <c r="AR259">
        <f>HYPERLINK("http://localhost:8787/api/admin/requirements/documents/cmm4yur1z044ecuqwtn36cfk3/view","Open PDF")</f>
        <v/>
      </c>
      <c r="AS259" t="inlineStr">
        <is>
          <t>cmm55w57p0004cuisfrtpqly8</t>
        </is>
      </c>
      <c r="AT259" t="inlineStr">
        <is>
          <t>cmm4xvu980000cuh4vj0usz09</t>
        </is>
      </c>
      <c r="AU259" t="inlineStr">
        <is>
          <t>i Pajala</t>
        </is>
      </c>
      <c r="AV259" t="inlineStr">
        <is>
          <t>Kommun</t>
        </is>
      </c>
      <c r="AW259" t="inlineStr">
        <is>
          <t>i Pajala kommun</t>
        </is>
      </c>
      <c r="AX259" t="inlineStr">
        <is>
          <t>2013:251</t>
        </is>
      </c>
      <c r="AY259" t="inlineStr">
        <is>
          <t>Beslut</t>
        </is>
      </c>
      <c r="AZ259" t="inlineStr">
        <is>
          <t>2026-02-06</t>
        </is>
      </c>
      <c r="BA259" t="inlineStr">
        <is>
          <t>M-2024-109Beslut om bifall med villkor(29439417).pdf</t>
        </is>
      </c>
      <c r="BB259" t="inlineStr">
        <is>
          <t>Sv: till registrator</t>
        </is>
      </c>
      <c r="BC259" t="inlineStr">
        <is>
          <t>AUTO</t>
        </is>
      </c>
      <c r="BD259" t="inlineStr"/>
      <c r="BE259" t="inlineStr"/>
      <c r="BF259" t="inlineStr">
        <is>
          <t>AUTO_GENERERAD. Bekrafta metadata mot kallfil.</t>
        </is>
      </c>
      <c r="BG259">
        <f>HYPERLINK("C:\Users\jimmy\Desktop\Examens arbete\Kod\Ny mapp\remix_-copy-of-miljöbeslut.se-portal\M-2024-109Beslut om bifall med villkor(29439417).pdf", "Öppna PDF")</f>
        <v/>
      </c>
    </row>
    <row r="260">
      <c r="A260" t="inlineStr">
        <is>
          <t>KRAV-AUTO-000259</t>
        </is>
      </c>
      <c r="B260" t="inlineStr">
        <is>
          <t>ADMIN-INDEX-2026-02-27-00000000125C043F57453246863FE664CAFE6A3F0700950291EA24F0614FB6ACEDB12BF0E31D00000000010C0000950291EA24F0614FB6ACEDB12BF0E31D00002087A5B40000</t>
        </is>
      </c>
      <c r="C260" t="inlineStr">
        <is>
          <t>cmm4yur1z044ecuqwtn36cfk3</t>
        </is>
      </c>
      <c r="D260" t="inlineStr">
        <is>
          <t>http://localhost:8787/api/admin/requirements/documents/cmm4yur1z044ecuqwtn36cfk3/view</t>
        </is>
      </c>
      <c r="E260">
        <f>HYPERLÄNK("http://localhost:8787/api/admin/requirements/documents/cmm4yur1z044ecuqwtn36cfk3/view";"Öppna PDF")</f>
        <v/>
      </c>
      <c r="F260">
        <f>HYPERLINK("http://localhost:8787/api/admin/requirements/documents/cmm4yur1z044ecuqwtn36cfk3/view","Open PDF")</f>
        <v/>
      </c>
      <c r="G260" t="inlineStr">
        <is>
          <t>cmm55w57p0004cuisfrtpqly8</t>
        </is>
      </c>
      <c r="H260" t="inlineStr">
        <is>
          <t>Beslutsvillkor</t>
        </is>
      </c>
      <c r="I260" t="inlineStr">
        <is>
          <t>Ytkonstruktion</t>
        </is>
      </c>
      <c r="J260" t="inlineStr">
        <is>
          <t>Tat yta</t>
        </is>
      </c>
      <c r="K260" t="inlineStr">
        <is>
          <t>Petroleumprodukter och andra för grund- och ytvattnet skadliga ämnen ska hanteras och förvaras på en hårdgjord invallad yta som ska skyddas mot nederbörd.</t>
        </is>
      </c>
      <c r="L260" t="inlineStr">
        <is>
          <t>Petroleumprodukter och andra för grund- och ytvattnet skadliga ämnen ska hanteras och förvaras på en hårdgjord invallad yta som ska skyddas mot nederbörd.</t>
        </is>
      </c>
      <c r="M260" t="inlineStr">
        <is>
          <t>SKA</t>
        </is>
      </c>
      <c r="N260" t="inlineStr"/>
      <c r="O260" t="inlineStr"/>
      <c r="P260" t="inlineStr"/>
      <c r="Q260" t="inlineStr"/>
      <c r="R260" t="inlineStr">
        <is>
          <t>Vid mellanlagring av avfall</t>
        </is>
      </c>
      <c r="S260" t="inlineStr"/>
      <c r="T260" t="inlineStr">
        <is>
          <t>853560</t>
        </is>
      </c>
      <c r="U260" t="inlineStr"/>
      <c r="V260" t="inlineStr"/>
      <c r="W260" t="inlineStr">
        <is>
          <t>Ja</t>
        </is>
      </c>
      <c r="X260" t="inlineStr">
        <is>
          <t>Nej</t>
        </is>
      </c>
      <c r="Y260" t="inlineStr">
        <is>
          <t>Nej</t>
        </is>
      </c>
      <c r="Z260" t="inlineStr">
        <is>
          <t>Nej</t>
        </is>
      </c>
      <c r="AA260" t="n">
        <v>5</v>
      </c>
      <c r="AB260" t="inlineStr">
        <is>
          <t>Teknisk beskrivning av platta</t>
        </is>
      </c>
      <c r="AC260" t="inlineStr">
        <is>
          <t>Teknisk ritning platta</t>
        </is>
      </c>
      <c r="AD260" t="inlineStr">
        <is>
          <t>Nej</t>
        </is>
      </c>
      <c r="AE260" t="inlineStr">
        <is>
          <t>Nej</t>
        </is>
      </c>
      <c r="AF260" t="inlineStr">
        <is>
          <t>Ej behandlad</t>
        </is>
      </c>
      <c r="AG260" t="inlineStr">
        <is>
          <t>AUTO_GENERERAD. Verifiera citat mot kallfil.</t>
        </is>
      </c>
      <c r="AH260" t="inlineStr">
        <is>
          <t>MEDIUM</t>
        </is>
      </c>
      <c r="AI260" t="inlineStr">
        <is>
          <t>AUTO</t>
        </is>
      </c>
      <c r="AJ260" t="inlineStr">
        <is>
          <t>Nej</t>
        </is>
      </c>
      <c r="AK260" t="inlineStr"/>
      <c r="AL260" t="inlineStr"/>
      <c r="AM260" t="inlineStr"/>
      <c r="AN260" t="inlineStr"/>
      <c r="AO260" t="inlineStr">
        <is>
          <t>cmm4yur1z044ecuqwtn36cfk3</t>
        </is>
      </c>
      <c r="AP260" t="inlineStr">
        <is>
          <t>http://localhost:8787/api/admin/requirements/documents/cmm4yur1z044ecuqwtn36cfk3/view</t>
        </is>
      </c>
      <c r="AQ260">
        <f>HYPERLÄNK("http://localhost:8787/api/admin/requirements/documents/cmm4yur1z044ecuqwtn36cfk3/view";"Öppna PDF")</f>
        <v/>
      </c>
      <c r="AR260">
        <f>HYPERLINK("http://localhost:8787/api/admin/requirements/documents/cmm4yur1z044ecuqwtn36cfk3/view","Open PDF")</f>
        <v/>
      </c>
      <c r="AS260" t="inlineStr">
        <is>
          <t>cmm55w57p0004cuisfrtpqly8</t>
        </is>
      </c>
      <c r="AT260" t="inlineStr">
        <is>
          <t>cmm4xvu980000cuh4vj0usz09</t>
        </is>
      </c>
      <c r="AU260" t="inlineStr">
        <is>
          <t>i Pajala</t>
        </is>
      </c>
      <c r="AV260" t="inlineStr">
        <is>
          <t>Kommun</t>
        </is>
      </c>
      <c r="AW260" t="inlineStr">
        <is>
          <t>i Pajala kommun</t>
        </is>
      </c>
      <c r="AX260" t="inlineStr">
        <is>
          <t>2013:251</t>
        </is>
      </c>
      <c r="AY260" t="inlineStr">
        <is>
          <t>Beslut</t>
        </is>
      </c>
      <c r="AZ260" t="inlineStr">
        <is>
          <t>2026-02-06</t>
        </is>
      </c>
      <c r="BA260" t="inlineStr">
        <is>
          <t>M-2024-109Beslut om bifall med villkor(29439417).pdf</t>
        </is>
      </c>
      <c r="BB260" t="inlineStr">
        <is>
          <t>Sv: till registrator</t>
        </is>
      </c>
      <c r="BC260" t="inlineStr">
        <is>
          <t>AUTO</t>
        </is>
      </c>
      <c r="BD260" t="inlineStr"/>
      <c r="BE260" t="inlineStr"/>
      <c r="BF260" t="inlineStr">
        <is>
          <t>AUTO_GENERERAD. Bekrafta metadata mot kallfil.</t>
        </is>
      </c>
      <c r="BG260">
        <f>HYPERLINK("C:\Users\jimmy\Desktop\Examens arbete\Kod\Ny mapp\remix_-copy-of-miljöbeslut.se-portal\M-2024-109Beslut om bifall med villkor(29439417).pdf", "Öppna PDF")</f>
        <v/>
      </c>
    </row>
    <row r="261">
      <c r="A261" t="inlineStr">
        <is>
          <t>KRAV-AUTO-000260</t>
        </is>
      </c>
      <c r="B261" t="inlineStr">
        <is>
          <t>ADMIN-INDEX-2026-02-27-00000000125C043F57453246863FE664CAFE6A3F0700950291EA24F0614FB6ACEDB12BF0E31D00000000010C0000950291EA24F0614FB6ACEDB12BF0E31D00002087A5B40000</t>
        </is>
      </c>
      <c r="C261" t="inlineStr">
        <is>
          <t>cmm4yur1z044ecuqwtn36cfk3</t>
        </is>
      </c>
      <c r="D261" t="inlineStr">
        <is>
          <t>http://localhost:8787/api/admin/requirements/documents/cmm4yur1z044ecuqwtn36cfk3/view</t>
        </is>
      </c>
      <c r="E261">
        <f>HYPERLÄNK("http://localhost:8787/api/admin/requirements/documents/cmm4yur1z044ecuqwtn36cfk3/view";"Öppna PDF")</f>
        <v/>
      </c>
      <c r="F261">
        <f>HYPERLINK("http://localhost:8787/api/admin/requirements/documents/cmm4yur1z044ecuqwtn36cfk3/view","Open PDF")</f>
        <v/>
      </c>
      <c r="G261" t="inlineStr">
        <is>
          <t>cmm55w57p0004cuisfrtpqly8</t>
        </is>
      </c>
      <c r="H261" t="inlineStr">
        <is>
          <t>Beslutsvillkor</t>
        </is>
      </c>
      <c r="I261" t="inlineStr">
        <is>
          <t>Ytkonstruktion</t>
        </is>
      </c>
      <c r="J261" t="inlineStr">
        <is>
          <t>Tat yta</t>
        </is>
      </c>
      <c r="K261" t="inlineStr">
        <is>
          <t>Invallningen ska utföras så att den volym behållarna innehåller kan samlas upp vid läckage.</t>
        </is>
      </c>
      <c r="L261" t="inlineStr">
        <is>
          <t>Invallningen ska utföras så att den volym behållarna innehåller kan samlas upp vid läckage.</t>
        </is>
      </c>
      <c r="M261" t="inlineStr">
        <is>
          <t>SKA</t>
        </is>
      </c>
      <c r="N261" t="inlineStr"/>
      <c r="O261" t="inlineStr"/>
      <c r="P261" t="inlineStr"/>
      <c r="Q261" t="inlineStr"/>
      <c r="R261" t="inlineStr">
        <is>
          <t>Vid mellanlagring av avfall</t>
        </is>
      </c>
      <c r="S261" t="inlineStr"/>
      <c r="T261" t="inlineStr">
        <is>
          <t>853560</t>
        </is>
      </c>
      <c r="U261" t="inlineStr"/>
      <c r="V261" t="inlineStr"/>
      <c r="W261" t="inlineStr">
        <is>
          <t>Ja</t>
        </is>
      </c>
      <c r="X261" t="inlineStr">
        <is>
          <t>Nej</t>
        </is>
      </c>
      <c r="Y261" t="inlineStr">
        <is>
          <t>Nej</t>
        </is>
      </c>
      <c r="Z261" t="inlineStr">
        <is>
          <t>Nej</t>
        </is>
      </c>
      <c r="AA261" t="n">
        <v>5</v>
      </c>
      <c r="AB261" t="inlineStr">
        <is>
          <t>Teknisk beskrivning av platta</t>
        </is>
      </c>
      <c r="AC261" t="inlineStr">
        <is>
          <t>Teknisk ritning platta</t>
        </is>
      </c>
      <c r="AD261" t="inlineStr">
        <is>
          <t>Nej</t>
        </is>
      </c>
      <c r="AE261" t="inlineStr">
        <is>
          <t>Nej</t>
        </is>
      </c>
      <c r="AF261" t="inlineStr">
        <is>
          <t>Ej behandlad</t>
        </is>
      </c>
      <c r="AG261" t="inlineStr">
        <is>
          <t>AUTO_GENERERAD. Verifiera citat mot kallfil.</t>
        </is>
      </c>
      <c r="AH261" t="inlineStr">
        <is>
          <t>MEDIUM</t>
        </is>
      </c>
      <c r="AI261" t="inlineStr">
        <is>
          <t>AUTO</t>
        </is>
      </c>
      <c r="AJ261" t="inlineStr">
        <is>
          <t>Nej</t>
        </is>
      </c>
      <c r="AK261" t="inlineStr"/>
      <c r="AL261" t="inlineStr"/>
      <c r="AM261" t="inlineStr"/>
      <c r="AN261" t="inlineStr"/>
      <c r="AO261" t="inlineStr">
        <is>
          <t>cmm4yur1z044ecuqwtn36cfk3</t>
        </is>
      </c>
      <c r="AP261" t="inlineStr">
        <is>
          <t>http://localhost:8787/api/admin/requirements/documents/cmm4yur1z044ecuqwtn36cfk3/view</t>
        </is>
      </c>
      <c r="AQ261">
        <f>HYPERLÄNK("http://localhost:8787/api/admin/requirements/documents/cmm4yur1z044ecuqwtn36cfk3/view";"Öppna PDF")</f>
        <v/>
      </c>
      <c r="AR261">
        <f>HYPERLINK("http://localhost:8787/api/admin/requirements/documents/cmm4yur1z044ecuqwtn36cfk3/view","Open PDF")</f>
        <v/>
      </c>
      <c r="AS261" t="inlineStr">
        <is>
          <t>cmm55w57p0004cuisfrtpqly8</t>
        </is>
      </c>
      <c r="AT261" t="inlineStr">
        <is>
          <t>cmm4xvu980000cuh4vj0usz09</t>
        </is>
      </c>
      <c r="AU261" t="inlineStr">
        <is>
          <t>i Pajala</t>
        </is>
      </c>
      <c r="AV261" t="inlineStr">
        <is>
          <t>Kommun</t>
        </is>
      </c>
      <c r="AW261" t="inlineStr">
        <is>
          <t>i Pajala kommun</t>
        </is>
      </c>
      <c r="AX261" t="inlineStr">
        <is>
          <t>2013:251</t>
        </is>
      </c>
      <c r="AY261" t="inlineStr">
        <is>
          <t>Beslut</t>
        </is>
      </c>
      <c r="AZ261" t="inlineStr">
        <is>
          <t>2026-02-06</t>
        </is>
      </c>
      <c r="BA261" t="inlineStr">
        <is>
          <t>M-2024-109Beslut om bifall med villkor(29439417).pdf</t>
        </is>
      </c>
      <c r="BB261" t="inlineStr">
        <is>
          <t>Sv: till registrator</t>
        </is>
      </c>
      <c r="BC261" t="inlineStr">
        <is>
          <t>AUTO</t>
        </is>
      </c>
      <c r="BD261" t="inlineStr"/>
      <c r="BE261" t="inlineStr"/>
      <c r="BF261" t="inlineStr">
        <is>
          <t>AUTO_GENERERAD. Bekrafta metadata mot kallfil.</t>
        </is>
      </c>
      <c r="BG261">
        <f>HYPERLINK("C:\Users\jimmy\Desktop\Examens arbete\Kod\Ny mapp\remix_-copy-of-miljöbeslut.se-portal\M-2024-109Beslut om bifall med villkor(29439417).pdf", "Öppna PDF")</f>
        <v/>
      </c>
    </row>
    <row r="262">
      <c r="A262" t="inlineStr">
        <is>
          <t>KRAV-AUTO-000261</t>
        </is>
      </c>
      <c r="B262" t="inlineStr">
        <is>
          <t>ADMIN-INDEX-2026-02-27-00000000125C043F57453246863FE664CAFE6A3F0700950291EA24F0614FB6ACEDB12BF0E31D00000000010C0000950291EA24F0614FB6ACEDB12BF0E31D00002087A5D00000</t>
        </is>
      </c>
      <c r="C262" t="inlineStr">
        <is>
          <t>cmm4yuqx2041bcuqw058z69j7</t>
        </is>
      </c>
      <c r="D262" t="inlineStr">
        <is>
          <t>http://localhost:8787/api/admin/requirements/documents/cmm4yuqx2041bcuqw058z69j7/view</t>
        </is>
      </c>
      <c r="E262">
        <f>HYPERLÄNK("http://localhost:8787/api/admin/requirements/documents/cmm4yuqx2041bcuqw058z69j7/view";"Öppna PDF")</f>
        <v/>
      </c>
      <c r="F262">
        <f>HYPERLINK("http://localhost:8787/api/admin/requirements/documents/cmm4yuqx2041bcuqw058z69j7/view","Open PDF")</f>
        <v/>
      </c>
      <c r="G262" t="inlineStr">
        <is>
          <t>cmm55w57p0004cuisfrtpqly8</t>
        </is>
      </c>
      <c r="H262" t="inlineStr">
        <is>
          <t>Informationskrav</t>
        </is>
      </c>
      <c r="I262" t="inlineStr">
        <is>
          <t>Riskhantering</t>
        </is>
      </c>
      <c r="J262" t="inlineStr">
        <is>
          <t>Riskkontroll</t>
        </is>
      </c>
      <c r="K262" t="inlineStr">
        <is>
          <t>b.) Verksamhetskod 90.90 avser endast kabel och inga andra elektriska och elektroniska produkter, kabel får inte skalas.</t>
        </is>
      </c>
      <c r="L262" t="inlineStr">
        <is>
          <t>b.) Verksamhetskod 90.90 avser endast kabel och inga andra elektriska och elektroniska produkter, kabel får inte skalas.</t>
        </is>
      </c>
      <c r="M262" t="inlineStr">
        <is>
          <t>SKA</t>
        </is>
      </c>
      <c r="N262" t="inlineStr"/>
      <c r="O262" t="inlineStr"/>
      <c r="P262" t="inlineStr"/>
      <c r="Q262" t="inlineStr">
        <is>
          <t>Driftbegransning vid avvikelse</t>
        </is>
      </c>
      <c r="R262" t="inlineStr">
        <is>
          <t>Vid risk for incident</t>
        </is>
      </c>
      <c r="S262" t="inlineStr"/>
      <c r="T262" t="inlineStr">
        <is>
          <t>556060</t>
        </is>
      </c>
      <c r="U262" t="inlineStr"/>
      <c r="V262" t="inlineStr"/>
      <c r="W262" t="inlineStr">
        <is>
          <t>Nej</t>
        </is>
      </c>
      <c r="X262" t="inlineStr">
        <is>
          <t>Nej</t>
        </is>
      </c>
      <c r="Y262" t="inlineStr">
        <is>
          <t>Ja</t>
        </is>
      </c>
      <c r="Z262" t="inlineStr">
        <is>
          <t>Ja</t>
        </is>
      </c>
      <c r="AA262" t="n">
        <v>8</v>
      </c>
      <c r="AB262" t="inlineStr">
        <is>
          <t>Riskhantering</t>
        </is>
      </c>
      <c r="AC262" t="inlineStr">
        <is>
          <t>Risk-PM</t>
        </is>
      </c>
      <c r="AD262" t="inlineStr">
        <is>
          <t>Nej</t>
        </is>
      </c>
      <c r="AE262" t="inlineStr">
        <is>
          <t>Nej</t>
        </is>
      </c>
      <c r="AF262" t="inlineStr">
        <is>
          <t>Ej behandlad</t>
        </is>
      </c>
      <c r="AG262" t="inlineStr">
        <is>
          <t>AUTO_GENERERAD. Verifiera citat mot kallfil.</t>
        </is>
      </c>
      <c r="AH262" t="inlineStr">
        <is>
          <t>MEDIUM</t>
        </is>
      </c>
      <c r="AI262" t="inlineStr">
        <is>
          <t>AUTO</t>
        </is>
      </c>
      <c r="AJ262" t="inlineStr">
        <is>
          <t>Nej</t>
        </is>
      </c>
      <c r="AK262" t="inlineStr"/>
      <c r="AL262" t="inlineStr"/>
      <c r="AM262" t="inlineStr"/>
      <c r="AN262" t="inlineStr"/>
      <c r="AO262" t="inlineStr">
        <is>
          <t>cmm4yuqx2041bcuqw058z69j7</t>
        </is>
      </c>
      <c r="AP262" t="inlineStr">
        <is>
          <t>http://localhost:8787/api/admin/requirements/documents/cmm4yuqx2041bcuqw058z69j7/view</t>
        </is>
      </c>
      <c r="AQ262">
        <f>HYPERLÄNK("http://localhost:8787/api/admin/requirements/documents/cmm4yuqx2041bcuqw058z69j7/view";"Öppna PDF")</f>
        <v/>
      </c>
      <c r="AR262">
        <f>HYPERLINK("http://localhost:8787/api/admin/requirements/documents/cmm4yuqx2041bcuqw058z69j7/view","Open PDF")</f>
        <v/>
      </c>
      <c r="AS262" t="inlineStr">
        <is>
          <t>cmm55w57p0004cuisfrtpqly8</t>
        </is>
      </c>
      <c r="AT262" t="inlineStr">
        <is>
          <t>cmm4xvu980000cuh4vj0usz09</t>
        </is>
      </c>
      <c r="AU262" t="inlineStr"/>
      <c r="AV262" t="inlineStr">
        <is>
          <t>Kommun</t>
        </is>
      </c>
      <c r="AW262" t="inlineStr"/>
      <c r="AX262" t="inlineStr">
        <is>
          <t>2024-10</t>
        </is>
      </c>
      <c r="AY262" t="inlineStr">
        <is>
          <t>Anmalan</t>
        </is>
      </c>
      <c r="AZ262" t="inlineStr">
        <is>
          <t>2026-02-05</t>
        </is>
      </c>
      <c r="BA262" t="inlineStr">
        <is>
          <t>Ärendenr 2023-1413. Motor-Ola AB. Anmälan och Beslut (2).pdf</t>
        </is>
      </c>
      <c r="BB262" t="inlineStr">
        <is>
          <t>SV: till registrator</t>
        </is>
      </c>
      <c r="BC262" t="inlineStr">
        <is>
          <t>AUTO</t>
        </is>
      </c>
      <c r="BD262" t="inlineStr"/>
      <c r="BE262" t="inlineStr"/>
      <c r="BF262" t="inlineStr">
        <is>
          <t>AUTO_GENERERAD. Bekrafta metadata mot kallfil.</t>
        </is>
      </c>
      <c r="BG262">
        <f>HYPERLINK("C:\Users\jimmy\Desktop\Examens arbete\Kod\Ny mapp\remix_-copy-of-miljöbeslut.se-portal\Ärendenr 2023-1413. Motor-Ola AB. Anmälan och Beslut (2).pdf", "Öppna PDF")</f>
        <v/>
      </c>
    </row>
    <row r="263">
      <c r="A263" t="inlineStr">
        <is>
          <t>KRAV-AUTO-000262</t>
        </is>
      </c>
      <c r="B263" t="inlineStr">
        <is>
          <t>ADMIN-INDEX-2026-02-27-00000000125C043F57453246863FE664CAFE6A3F0700950291EA24F0614FB6ACEDB12BF0E31D00000000010C0000950291EA24F0614FB6ACEDB12BF0E31D00002087A5D00000</t>
        </is>
      </c>
      <c r="C263" t="inlineStr">
        <is>
          <t>cmm4yuqx2041bcuqw058z69j7</t>
        </is>
      </c>
      <c r="D263" t="inlineStr">
        <is>
          <t>http://localhost:8787/api/admin/requirements/documents/cmm4yuqx2041bcuqw058z69j7/view</t>
        </is>
      </c>
      <c r="E263">
        <f>HYPERLÄNK("http://localhost:8787/api/admin/requirements/documents/cmm4yuqx2041bcuqw058z69j7/view";"Öppna PDF")</f>
        <v/>
      </c>
      <c r="F263">
        <f>HYPERLINK("http://localhost:8787/api/admin/requirements/documents/cmm4yuqx2041bcuqw058z69j7/view","Open PDF")</f>
        <v/>
      </c>
      <c r="G263" t="inlineStr">
        <is>
          <t>cmm55w57p0004cuisfrtpqly8</t>
        </is>
      </c>
      <c r="H263" t="inlineStr">
        <is>
          <t>Informationskrav</t>
        </is>
      </c>
      <c r="I263" t="inlineStr">
        <is>
          <t>Riskhantering</t>
        </is>
      </c>
      <c r="J263" t="inlineStr">
        <is>
          <t>Riskkontroll</t>
        </is>
      </c>
      <c r="K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bygg- och rivningsavfall får endast transporteras och tas emot vid anläggningen om mottagaren av avfallet har kontrollerat att den som producerat avfallet har ansökt om undantag från krav på utsortering.</t>
        </is>
      </c>
      <c r="L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t>
        </is>
      </c>
      <c r="M263" t="inlineStr">
        <is>
          <t>SKA</t>
        </is>
      </c>
      <c r="N263" t="inlineStr"/>
      <c r="O263" t="inlineStr"/>
      <c r="P263" t="inlineStr"/>
      <c r="Q263" t="inlineStr"/>
      <c r="R263" t="inlineStr">
        <is>
          <t>Vid risk for incident</t>
        </is>
      </c>
      <c r="S263" t="inlineStr"/>
      <c r="T263" t="inlineStr">
        <is>
          <t>16 01 17</t>
        </is>
      </c>
      <c r="U263" t="inlineStr"/>
      <c r="V263" t="inlineStr"/>
      <c r="W263" t="inlineStr">
        <is>
          <t>Nej</t>
        </is>
      </c>
      <c r="X263" t="inlineStr">
        <is>
          <t>Nej</t>
        </is>
      </c>
      <c r="Y263" t="inlineStr">
        <is>
          <t>Ja</t>
        </is>
      </c>
      <c r="Z263" t="inlineStr">
        <is>
          <t>Ja</t>
        </is>
      </c>
      <c r="AA263" t="n">
        <v>8</v>
      </c>
      <c r="AB263" t="inlineStr">
        <is>
          <t>Riskhantering</t>
        </is>
      </c>
      <c r="AC263" t="inlineStr">
        <is>
          <t>Risk-PM</t>
        </is>
      </c>
      <c r="AD263" t="inlineStr">
        <is>
          <t>Nej</t>
        </is>
      </c>
      <c r="AE263" t="inlineStr">
        <is>
          <t>Nej</t>
        </is>
      </c>
      <c r="AF263" t="inlineStr">
        <is>
          <t>Ej behandlad</t>
        </is>
      </c>
      <c r="AG263" t="inlineStr">
        <is>
          <t>AUTO_GENERERAD. Verifiera citat mot kallfil.</t>
        </is>
      </c>
      <c r="AH263" t="inlineStr">
        <is>
          <t>MEDIUM</t>
        </is>
      </c>
      <c r="AI263" t="inlineStr">
        <is>
          <t>AUTO</t>
        </is>
      </c>
      <c r="AJ263" t="inlineStr">
        <is>
          <t>Nej</t>
        </is>
      </c>
      <c r="AK263" t="inlineStr"/>
      <c r="AL263" t="inlineStr"/>
      <c r="AM263" t="inlineStr"/>
      <c r="AN263" t="inlineStr"/>
      <c r="AO263" t="inlineStr">
        <is>
          <t>cmm4yuqx2041bcuqw058z69j7</t>
        </is>
      </c>
      <c r="AP263" t="inlineStr">
        <is>
          <t>http://localhost:8787/api/admin/requirements/documents/cmm4yuqx2041bcuqw058z69j7/view</t>
        </is>
      </c>
      <c r="AQ263">
        <f>HYPERLÄNK("http://localhost:8787/api/admin/requirements/documents/cmm4yuqx2041bcuqw058z69j7/view";"Öppna PDF")</f>
        <v/>
      </c>
      <c r="AR263">
        <f>HYPERLINK("http://localhost:8787/api/admin/requirements/documents/cmm4yuqx2041bcuqw058z69j7/view","Open PDF")</f>
        <v/>
      </c>
      <c r="AS263" t="inlineStr">
        <is>
          <t>cmm55w57p0004cuisfrtpqly8</t>
        </is>
      </c>
      <c r="AT263" t="inlineStr">
        <is>
          <t>cmm4xvu980000cuh4vj0usz09</t>
        </is>
      </c>
      <c r="AU263" t="inlineStr"/>
      <c r="AV263" t="inlineStr">
        <is>
          <t>Kommun</t>
        </is>
      </c>
      <c r="AW263" t="inlineStr"/>
      <c r="AX263" t="inlineStr">
        <is>
          <t>2024-10</t>
        </is>
      </c>
      <c r="AY263" t="inlineStr">
        <is>
          <t>Anmalan</t>
        </is>
      </c>
      <c r="AZ263" t="inlineStr">
        <is>
          <t>2026-02-05</t>
        </is>
      </c>
      <c r="BA263" t="inlineStr">
        <is>
          <t>Ärendenr 2023-1413. Motor-Ola AB. Anmälan och Beslut (2).pdf</t>
        </is>
      </c>
      <c r="BB263" t="inlineStr">
        <is>
          <t>SV: till registrator</t>
        </is>
      </c>
      <c r="BC263" t="inlineStr">
        <is>
          <t>AUTO</t>
        </is>
      </c>
      <c r="BD263" t="inlineStr"/>
      <c r="BE263" t="inlineStr"/>
      <c r="BF263" t="inlineStr">
        <is>
          <t>AUTO_GENERERAD. Bekrafta metadata mot kallfil.</t>
        </is>
      </c>
      <c r="BG263">
        <f>HYPERLINK("C:\Users\jimmy\Desktop\Examens arbete\Kod\Ny mapp\remix_-copy-of-miljöbeslut.se-portal\Ärendenr 2023-1413. Motor-Ola AB. Anmälan och Beslut (2).pdf", "Öppna PDF")</f>
        <v/>
      </c>
    </row>
    <row r="264">
      <c r="A264" t="inlineStr">
        <is>
          <t>KRAV-AUTO-000263</t>
        </is>
      </c>
      <c r="B264" t="inlineStr">
        <is>
          <t>ADMIN-INDEX-2026-02-27-00000000125C043F57453246863FE664CAFE6A3F0700950291EA24F0614FB6ACEDB12BF0E31D00000000010C0000950291EA24F0614FB6ACEDB12BF0E31D00002087A5D80000</t>
        </is>
      </c>
      <c r="C264" t="inlineStr">
        <is>
          <t>cmm4yuqv203zbcuqw04apxh1c</t>
        </is>
      </c>
      <c r="D264" t="inlineStr">
        <is>
          <t>http://localhost:8787/api/admin/requirements/documents/cmm4yuqv203zbcuqw04apxh1c/view</t>
        </is>
      </c>
      <c r="E264">
        <f>HYPERLÄNK("http://localhost:8787/api/admin/requirements/documents/cmm4yuqv203zbcuqw04apxh1c/view";"Öppna PDF")</f>
        <v/>
      </c>
      <c r="F264">
        <f>HYPERLINK("http://localhost:8787/api/admin/requirements/documents/cmm4yuqv203zbcuqw04apxh1c/view","Open PDF")</f>
        <v/>
      </c>
      <c r="G264" t="inlineStr">
        <is>
          <t>cmm55w57p0004cuisfrtpqly8</t>
        </is>
      </c>
      <c r="H264" t="inlineStr">
        <is>
          <t>Informationskrav</t>
        </is>
      </c>
      <c r="I264" t="inlineStr">
        <is>
          <t>DagvattenLakvatten</t>
        </is>
      </c>
      <c r="J264" t="inlineStr">
        <is>
          <t>Uppsamling</t>
        </is>
      </c>
      <c r="K264" t="inlineStr">
        <is>
          <t>Med utgångspunkt från: • det redovisade avfallets egenskaper • platsens lämplighet • mängden avfall bedömer vi att föroreningsrisken är ringa.</t>
        </is>
      </c>
      <c r="L264" t="inlineStr">
        <is>
          <t>Med utgångspunkt från: • det redovisade avfallets egenskaper • platsens lämplighet • mängden avfall bedömer vi att föroreningsrisken är ringa.</t>
        </is>
      </c>
      <c r="M264" t="inlineStr">
        <is>
          <t>SKA</t>
        </is>
      </c>
      <c r="N264" t="inlineStr"/>
      <c r="O264" t="inlineStr"/>
      <c r="P264" t="inlineStr"/>
      <c r="Q264" t="inlineStr"/>
      <c r="R264" t="inlineStr">
        <is>
          <t>Vid nederbord och avrinning</t>
        </is>
      </c>
      <c r="S264" t="inlineStr"/>
      <c r="T264" t="inlineStr">
        <is>
          <t>26 67 50</t>
        </is>
      </c>
      <c r="U264" t="inlineStr"/>
      <c r="V264" t="inlineStr"/>
      <c r="W264" t="inlineStr">
        <is>
          <t>Nej</t>
        </is>
      </c>
      <c r="X264" t="inlineStr">
        <is>
          <t>Ja</t>
        </is>
      </c>
      <c r="Y264" t="inlineStr">
        <is>
          <t>Ja</t>
        </is>
      </c>
      <c r="Z264" t="inlineStr">
        <is>
          <t>Nej</t>
        </is>
      </c>
      <c r="AA264" t="n">
        <v>6</v>
      </c>
      <c r="AB264" t="inlineStr">
        <is>
          <t>Lakvattenhantering</t>
        </is>
      </c>
      <c r="AC264" t="inlineStr">
        <is>
          <t>Flodesschema dagvatten-lakvatten</t>
        </is>
      </c>
      <c r="AD264" t="inlineStr">
        <is>
          <t>Nej</t>
        </is>
      </c>
      <c r="AE264" t="inlineStr">
        <is>
          <t>Nej</t>
        </is>
      </c>
      <c r="AF264" t="inlineStr">
        <is>
          <t>Ej behandlad</t>
        </is>
      </c>
      <c r="AG264" t="inlineStr">
        <is>
          <t>AUTO_GENERERAD. Verifiera citat mot kallfil.</t>
        </is>
      </c>
      <c r="AH264" t="inlineStr">
        <is>
          <t>MEDIUM</t>
        </is>
      </c>
      <c r="AI264" t="inlineStr">
        <is>
          <t>AUTO</t>
        </is>
      </c>
      <c r="AJ264" t="inlineStr">
        <is>
          <t>Nej</t>
        </is>
      </c>
      <c r="AK264" t="inlineStr"/>
      <c r="AL264" t="inlineStr"/>
      <c r="AM264" t="inlineStr"/>
      <c r="AN264" t="inlineStr"/>
      <c r="AO264" t="inlineStr">
        <is>
          <t>cmm4yuqvk03ztcuqwn64kirb8</t>
        </is>
      </c>
      <c r="AP264" t="inlineStr">
        <is>
          <t>http://localhost:8787/api/admin/requirements/documents/cmm4yuqvk03ztcuqwn64kirb8/view</t>
        </is>
      </c>
      <c r="AQ264">
        <f>HYPERLÄNK("http://localhost:8787/api/admin/requirements/documents/cmm4yuqvk03ztcuqwn64kirb8/view";"Öppna PDF")</f>
        <v/>
      </c>
      <c r="AR264">
        <f>HYPERLINK("http://localhost:8787/api/admin/requirements/documents/cmm4yuqvk03ztcuqwn64kirb8/view","Open PDF")</f>
        <v/>
      </c>
      <c r="AS264" t="inlineStr">
        <is>
          <t>cmm55w57p0004cuisfrtpqly8</t>
        </is>
      </c>
      <c r="AT264" t="inlineStr">
        <is>
          <t>cmm4xvu980000cuh4vj0usz09</t>
        </is>
      </c>
      <c r="AU264" t="inlineStr">
        <is>
          <t>Hässleholms</t>
        </is>
      </c>
      <c r="AV264" t="inlineStr">
        <is>
          <t>Kommun</t>
        </is>
      </c>
      <c r="AW264" t="inlineStr">
        <is>
          <t>Hässleholms kommun</t>
        </is>
      </c>
      <c r="AX264" t="inlineStr">
        <is>
          <t>2024-877</t>
        </is>
      </c>
      <c r="AY264" t="inlineStr">
        <is>
          <t>Anmalan</t>
        </is>
      </c>
      <c r="AZ264" t="inlineStr">
        <is>
          <t>2026-02-05</t>
        </is>
      </c>
      <c r="BA264" t="inlineStr">
        <is>
          <t>M-2024-877 - Anmälan.pdf</t>
        </is>
      </c>
      <c r="BB264" t="inlineStr">
        <is>
          <t>Sv:  Begäran om utlämnande av allmän handling – Anmälningar och beslut rörande mellanlagring av avfall samt anläggning av ytor</t>
        </is>
      </c>
      <c r="BC264" t="inlineStr">
        <is>
          <t>AUTO</t>
        </is>
      </c>
      <c r="BD264" t="inlineStr"/>
      <c r="BE264" t="inlineStr"/>
      <c r="BF264" t="inlineStr">
        <is>
          <t>AUTO_GENERERAD. Bekrafta metadata mot kallfil.</t>
        </is>
      </c>
      <c r="BG264">
        <f>HYPERLINK("C:\Users\jimmy\Desktop\Examens arbete\Kod\Ny mapp\remix_-copy-of-miljöbeslut.se-portal\M-2024-877 - Anmälan.pdf", "Öppna PDF")</f>
        <v/>
      </c>
    </row>
    <row r="265">
      <c r="A265" t="inlineStr">
        <is>
          <t>KRAV-AUTO-000264</t>
        </is>
      </c>
      <c r="B265" t="inlineStr">
        <is>
          <t>ADMIN-INDEX-2026-02-27-00000000125C043F57453246863FE664CAFE6A3F0700950291EA24F0614FB6ACEDB12BF0E31D00000000010C0000950291EA24F0614FB6ACEDB12BF0E31D00002087A5D80000</t>
        </is>
      </c>
      <c r="C265" t="inlineStr">
        <is>
          <t>cmm4yuqv203zbcuqw04apxh1c</t>
        </is>
      </c>
      <c r="D265" t="inlineStr">
        <is>
          <t>http://localhost:8787/api/admin/requirements/documents/cmm4yuqv203zbcuqw04apxh1c/view</t>
        </is>
      </c>
      <c r="E265">
        <f>HYPERLÄNK("http://localhost:8787/api/admin/requirements/documents/cmm4yuqv203zbcuqw04apxh1c/view";"Öppna PDF")</f>
        <v/>
      </c>
      <c r="F265">
        <f>HYPERLINK("http://localhost:8787/api/admin/requirements/documents/cmm4yuqv203zbcuqw04apxh1c/view","Open PDF")</f>
        <v/>
      </c>
      <c r="G265" t="inlineStr">
        <is>
          <t>cmm55w57p0004cuisfrtpqly8</t>
        </is>
      </c>
      <c r="H265" t="inlineStr">
        <is>
          <t>Informationskrav</t>
        </is>
      </c>
      <c r="I265" t="inlineStr">
        <is>
          <t>LagringsvolymTid</t>
        </is>
      </c>
      <c r="J265" t="inlineStr">
        <is>
          <t>Maxmangd</t>
        </is>
      </c>
      <c r="K265" t="inlineStr">
        <is>
          <t>Massor innehållande fraktioner av bygg-, rivningsavfall, metall, plast, gummi, pulveriserat material av betong, puts och cement eller annat liknande avfall får inte återanvändas.</t>
        </is>
      </c>
      <c r="L265" t="inlineStr">
        <is>
          <t>Massor innehållande fraktioner av bygg-, rivningsavfall, metall, plast, gummi, pulveriserat material av betong, puts och cement eller annat liknande avfall får inte återanvändas.</t>
        </is>
      </c>
      <c r="M265" t="inlineStr">
        <is>
          <t>SKA</t>
        </is>
      </c>
      <c r="N265" t="inlineStr"/>
      <c r="O265" t="inlineStr"/>
      <c r="P265" t="inlineStr"/>
      <c r="Q265" t="inlineStr">
        <is>
          <t>Driftbegransning vid avvikelse</t>
        </is>
      </c>
      <c r="R265" t="inlineStr">
        <is>
          <t>Alltid</t>
        </is>
      </c>
      <c r="S265" t="inlineStr"/>
      <c r="T265" t="inlineStr">
        <is>
          <t>26 67 50</t>
        </is>
      </c>
      <c r="U265" t="inlineStr"/>
      <c r="V265" t="inlineStr"/>
      <c r="W265" t="inlineStr">
        <is>
          <t>Nej</t>
        </is>
      </c>
      <c r="X265" t="inlineStr">
        <is>
          <t>Nej</t>
        </is>
      </c>
      <c r="Y265" t="inlineStr">
        <is>
          <t>Nej</t>
        </is>
      </c>
      <c r="Z265" t="inlineStr">
        <is>
          <t>Nej</t>
        </is>
      </c>
      <c r="AA265" t="n">
        <v>4</v>
      </c>
      <c r="AB265" t="inlineStr">
        <is>
          <t>Avfallsmangder och lagringstid</t>
        </is>
      </c>
      <c r="AC265" t="inlineStr">
        <is>
          <t>Avfallsforteckning</t>
        </is>
      </c>
      <c r="AD265" t="inlineStr">
        <is>
          <t>Nej</t>
        </is>
      </c>
      <c r="AE265" t="inlineStr">
        <is>
          <t>Nej</t>
        </is>
      </c>
      <c r="AF265" t="inlineStr">
        <is>
          <t>Ej behandlad</t>
        </is>
      </c>
      <c r="AG265" t="inlineStr">
        <is>
          <t>AUTO_GENERERAD. Verifiera citat mot kallfil.</t>
        </is>
      </c>
      <c r="AH265" t="inlineStr">
        <is>
          <t>MEDIUM</t>
        </is>
      </c>
      <c r="AI265" t="inlineStr">
        <is>
          <t>AUTO</t>
        </is>
      </c>
      <c r="AJ265" t="inlineStr">
        <is>
          <t>Nej</t>
        </is>
      </c>
      <c r="AK265" t="inlineStr"/>
      <c r="AL265" t="inlineStr"/>
      <c r="AM265" t="inlineStr"/>
      <c r="AN265" t="inlineStr"/>
      <c r="AO265" t="inlineStr">
        <is>
          <t>cmm4yuqvk03ztcuqwn64kirb8</t>
        </is>
      </c>
      <c r="AP265" t="inlineStr">
        <is>
          <t>http://localhost:8787/api/admin/requirements/documents/cmm4yuqvk03ztcuqwn64kirb8/view</t>
        </is>
      </c>
      <c r="AQ265">
        <f>HYPERLÄNK("http://localhost:8787/api/admin/requirements/documents/cmm4yuqvk03ztcuqwn64kirb8/view";"Öppna PDF")</f>
        <v/>
      </c>
      <c r="AR265">
        <f>HYPERLINK("http://localhost:8787/api/admin/requirements/documents/cmm4yuqvk03ztcuqwn64kirb8/view","Open PDF")</f>
        <v/>
      </c>
      <c r="AS265" t="inlineStr">
        <is>
          <t>cmm55w57p0004cuisfrtpqly8</t>
        </is>
      </c>
      <c r="AT265" t="inlineStr">
        <is>
          <t>cmm4xvu980000cuh4vj0usz09</t>
        </is>
      </c>
      <c r="AU265" t="inlineStr">
        <is>
          <t>Hässleholms</t>
        </is>
      </c>
      <c r="AV265" t="inlineStr">
        <is>
          <t>Kommun</t>
        </is>
      </c>
      <c r="AW265" t="inlineStr">
        <is>
          <t>Hässleholms kommun</t>
        </is>
      </c>
      <c r="AX265" t="inlineStr">
        <is>
          <t>2024-877</t>
        </is>
      </c>
      <c r="AY265" t="inlineStr">
        <is>
          <t>Anmalan</t>
        </is>
      </c>
      <c r="AZ265" t="inlineStr">
        <is>
          <t>2026-02-05</t>
        </is>
      </c>
      <c r="BA265" t="inlineStr">
        <is>
          <t>M-2024-877 - Anmälan.pdf</t>
        </is>
      </c>
      <c r="BB265" t="inlineStr">
        <is>
          <t>Sv:  Begäran om utlämnande av allmän handling – Anmälningar och beslut rörande mellanlagring av avfall samt anläggning av ytor</t>
        </is>
      </c>
      <c r="BC265" t="inlineStr">
        <is>
          <t>AUTO</t>
        </is>
      </c>
      <c r="BD265" t="inlineStr"/>
      <c r="BE265" t="inlineStr"/>
      <c r="BF265" t="inlineStr">
        <is>
          <t>AUTO_GENERERAD. Bekrafta metadata mot kallfil.</t>
        </is>
      </c>
      <c r="BG265">
        <f>HYPERLINK("C:\Users\jimmy\Desktop\Examens arbete\Kod\Ny mapp\remix_-copy-of-miljöbeslut.se-portal\M-2024-877 - Anmälan.pdf", "Öppna PDF")</f>
        <v/>
      </c>
    </row>
    <row r="266">
      <c r="A266" t="inlineStr">
        <is>
          <t>KRAV-AUTO-000265</t>
        </is>
      </c>
      <c r="B266" t="inlineStr">
        <is>
          <t>ADMIN-INDEX-2026-02-27-00000000125C043F57453246863FE664CAFE6A3F0700950291EA24F0614FB6ACEDB12BF0E31D00000000010C0000950291EA24F0614FB6ACEDB12BF0E31D00002087A5D80000</t>
        </is>
      </c>
      <c r="C266" t="inlineStr">
        <is>
          <t>cmm4yuqv203zbcuqw04apxh1c</t>
        </is>
      </c>
      <c r="D266" t="inlineStr">
        <is>
          <t>http://localhost:8787/api/admin/requirements/documents/cmm4yuqv203zbcuqw04apxh1c/view</t>
        </is>
      </c>
      <c r="E266">
        <f>HYPERLÄNK("http://localhost:8787/api/admin/requirements/documents/cmm4yuqv203zbcuqw04apxh1c/view";"Öppna PDF")</f>
        <v/>
      </c>
      <c r="F266">
        <f>HYPERLINK("http://localhost:8787/api/admin/requirements/documents/cmm4yuqv203zbcuqw04apxh1c/view","Open PDF")</f>
        <v/>
      </c>
      <c r="G266" t="inlineStr">
        <is>
          <t>cmm55w57p0004cuisfrtpqly8</t>
        </is>
      </c>
      <c r="H266" t="inlineStr">
        <is>
          <t>Informationskrav</t>
        </is>
      </c>
      <c r="I266" t="inlineStr">
        <is>
          <t>Ytkonstruktion</t>
        </is>
      </c>
      <c r="J266" t="inlineStr">
        <is>
          <t>Tat yta</t>
        </is>
      </c>
      <c r="K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66" t="inlineStr">
        <is>
          <t>SKA</t>
        </is>
      </c>
      <c r="N266" t="inlineStr"/>
      <c r="O266" t="inlineStr"/>
      <c r="P266" t="inlineStr"/>
      <c r="Q266" t="inlineStr"/>
      <c r="R266" t="inlineStr">
        <is>
          <t>Vid mellanlagring av avfall</t>
        </is>
      </c>
      <c r="S266" t="inlineStr"/>
      <c r="T266" t="inlineStr">
        <is>
          <t>26 67 50</t>
        </is>
      </c>
      <c r="U266" t="inlineStr"/>
      <c r="V266" t="inlineStr"/>
      <c r="W266" t="inlineStr">
        <is>
          <t>Ja</t>
        </is>
      </c>
      <c r="X266" t="inlineStr">
        <is>
          <t>Nej</t>
        </is>
      </c>
      <c r="Y266" t="inlineStr">
        <is>
          <t>Nej</t>
        </is>
      </c>
      <c r="Z266" t="inlineStr">
        <is>
          <t>Nej</t>
        </is>
      </c>
      <c r="AA266" t="n">
        <v>5</v>
      </c>
      <c r="AB266" t="inlineStr">
        <is>
          <t>Teknisk beskrivning av platta</t>
        </is>
      </c>
      <c r="AC266" t="inlineStr">
        <is>
          <t>Teknisk ritning platta</t>
        </is>
      </c>
      <c r="AD266" t="inlineStr">
        <is>
          <t>Nej</t>
        </is>
      </c>
      <c r="AE266" t="inlineStr">
        <is>
          <t>Nej</t>
        </is>
      </c>
      <c r="AF266" t="inlineStr">
        <is>
          <t>Ej behandlad</t>
        </is>
      </c>
      <c r="AG266" t="inlineStr">
        <is>
          <t>AUTO_GENERERAD. Verifiera citat mot kallfil.</t>
        </is>
      </c>
      <c r="AH266" t="inlineStr">
        <is>
          <t>MEDIUM</t>
        </is>
      </c>
      <c r="AI266" t="inlineStr">
        <is>
          <t>AUTO</t>
        </is>
      </c>
      <c r="AJ266" t="inlineStr">
        <is>
          <t>Nej</t>
        </is>
      </c>
      <c r="AK266" t="inlineStr"/>
      <c r="AL266" t="inlineStr"/>
      <c r="AM266" t="inlineStr"/>
      <c r="AN266" t="inlineStr"/>
      <c r="AO266" t="inlineStr">
        <is>
          <t>cmm4yuqvk03ztcuqwn64kirb8</t>
        </is>
      </c>
      <c r="AP266" t="inlineStr">
        <is>
          <t>http://localhost:8787/api/admin/requirements/documents/cmm4yuqvk03ztcuqwn64kirb8/view</t>
        </is>
      </c>
      <c r="AQ266">
        <f>HYPERLÄNK("http://localhost:8787/api/admin/requirements/documents/cmm4yuqvk03ztcuqwn64kirb8/view";"Öppna PDF")</f>
        <v/>
      </c>
      <c r="AR266">
        <f>HYPERLINK("http://localhost:8787/api/admin/requirements/documents/cmm4yuqvk03ztcuqwn64kirb8/view","Open PDF")</f>
        <v/>
      </c>
      <c r="AS266" t="inlineStr">
        <is>
          <t>cmm55w57p0004cuisfrtpqly8</t>
        </is>
      </c>
      <c r="AT266" t="inlineStr">
        <is>
          <t>cmm4xvu980000cuh4vj0usz09</t>
        </is>
      </c>
      <c r="AU266" t="inlineStr">
        <is>
          <t>Hässleholms</t>
        </is>
      </c>
      <c r="AV266" t="inlineStr">
        <is>
          <t>Kommun</t>
        </is>
      </c>
      <c r="AW266" t="inlineStr">
        <is>
          <t>Hässleholms kommun</t>
        </is>
      </c>
      <c r="AX266" t="inlineStr">
        <is>
          <t>2024-877</t>
        </is>
      </c>
      <c r="AY266" t="inlineStr">
        <is>
          <t>Anmalan</t>
        </is>
      </c>
      <c r="AZ266" t="inlineStr">
        <is>
          <t>2026-02-05</t>
        </is>
      </c>
      <c r="BA266" t="inlineStr">
        <is>
          <t>M-2024-877 - Anmälan.pdf</t>
        </is>
      </c>
      <c r="BB266" t="inlineStr">
        <is>
          <t>Sv:  Begäran om utlämnande av allmän handling – Anmälningar och beslut rörande mellanlagring av avfall samt anläggning av ytor</t>
        </is>
      </c>
      <c r="BC266" t="inlineStr">
        <is>
          <t>AUTO</t>
        </is>
      </c>
      <c r="BD266" t="inlineStr"/>
      <c r="BE266" t="inlineStr"/>
      <c r="BF266" t="inlineStr">
        <is>
          <t>AUTO_GENERERAD. Bekrafta metadata mot kallfil.</t>
        </is>
      </c>
      <c r="BG266">
        <f>HYPERLINK("C:\Users\jimmy\Desktop\Examens arbete\Kod\Ny mapp\remix_-copy-of-miljöbeslut.se-portal\M-2024-877 - Anmälan.pdf", "Öppna PDF")</f>
        <v/>
      </c>
    </row>
    <row r="267">
      <c r="A267" t="inlineStr">
        <is>
          <t>KRAV-AUTO-000266</t>
        </is>
      </c>
      <c r="B267" t="inlineStr">
        <is>
          <t>ADMIN-INDEX-2026-02-27-00000000125C043F57453246863FE664CAFE6A3F0700950291EA24F0614FB6ACEDB12BF0E31D00000000010C0000950291EA24F0614FB6ACEDB12BF0E31D00002087A5D90000</t>
        </is>
      </c>
      <c r="C267" t="inlineStr">
        <is>
          <t>cmm4yuqun03ywcuqwq2zmaall</t>
        </is>
      </c>
      <c r="D267" t="inlineStr">
        <is>
          <t>http://localhost:8787/api/admin/requirements/documents/cmm4yuqun03ywcuqwq2zmaall/view</t>
        </is>
      </c>
      <c r="E267">
        <f>HYPERLÄNK("http://localhost:8787/api/admin/requirements/documents/cmm4yuqun03ywcuqwq2zmaall/view";"Öppna PDF")</f>
        <v/>
      </c>
      <c r="F267">
        <f>HYPERLINK("http://localhost:8787/api/admin/requirements/documents/cmm4yuqun03ywcuqwq2zmaall/view","Open PDF")</f>
        <v/>
      </c>
      <c r="G267" t="inlineStr">
        <is>
          <t>cmm55w57p0004cuisfrtpqly8</t>
        </is>
      </c>
      <c r="H267" t="inlineStr">
        <is>
          <t>Informationskrav</t>
        </is>
      </c>
      <c r="I267" t="inlineStr">
        <is>
          <t>LagringsvolymTid</t>
        </is>
      </c>
      <c r="J267" t="inlineStr">
        <is>
          <t>Maxmangd</t>
        </is>
      </c>
      <c r="K267" t="inlineStr">
        <is>
          <t>minska mängden avfall, 2.</t>
        </is>
      </c>
      <c r="L267" t="inlineStr">
        <is>
          <t>minska mängden avfall, 2.</t>
        </is>
      </c>
      <c r="M267" t="inlineStr">
        <is>
          <t>SKA</t>
        </is>
      </c>
      <c r="N267" t="inlineStr"/>
      <c r="O267" t="inlineStr"/>
      <c r="P267" t="inlineStr"/>
      <c r="Q267" t="inlineStr"/>
      <c r="R267" t="inlineStr">
        <is>
          <t>Alltid</t>
        </is>
      </c>
      <c r="S267" t="inlineStr"/>
      <c r="T267" t="inlineStr">
        <is>
          <t>26 67 50</t>
        </is>
      </c>
      <c r="U267" t="inlineStr"/>
      <c r="V267" t="inlineStr"/>
      <c r="W267" t="inlineStr">
        <is>
          <t>Nej</t>
        </is>
      </c>
      <c r="X267" t="inlineStr">
        <is>
          <t>Nej</t>
        </is>
      </c>
      <c r="Y267" t="inlineStr">
        <is>
          <t>Nej</t>
        </is>
      </c>
      <c r="Z267" t="inlineStr">
        <is>
          <t>Nej</t>
        </is>
      </c>
      <c r="AA267" t="n">
        <v>4</v>
      </c>
      <c r="AB267" t="inlineStr">
        <is>
          <t>Avfallsmangder och lagringstid</t>
        </is>
      </c>
      <c r="AC267" t="inlineStr">
        <is>
          <t>Avfallsforteckning</t>
        </is>
      </c>
      <c r="AD267" t="inlineStr">
        <is>
          <t>Nej</t>
        </is>
      </c>
      <c r="AE267" t="inlineStr">
        <is>
          <t>Nej</t>
        </is>
      </c>
      <c r="AF267" t="inlineStr">
        <is>
          <t>Ej behandlad</t>
        </is>
      </c>
      <c r="AG267" t="inlineStr">
        <is>
          <t>AUTO_GENERERAD. Verifiera citat mot kallfil.</t>
        </is>
      </c>
      <c r="AH267" t="inlineStr">
        <is>
          <t>LOW</t>
        </is>
      </c>
      <c r="AI267" t="inlineStr">
        <is>
          <t>AUTO</t>
        </is>
      </c>
      <c r="AJ267" t="inlineStr">
        <is>
          <t>Nej</t>
        </is>
      </c>
      <c r="AK267" t="inlineStr"/>
      <c r="AL267" t="inlineStr"/>
      <c r="AM267" t="inlineStr"/>
      <c r="AN267" t="inlineStr"/>
      <c r="AO267" t="inlineStr">
        <is>
          <t>cmm4yuquq03yzcuqwmekbklcz</t>
        </is>
      </c>
      <c r="AP267" t="inlineStr">
        <is>
          <t>http://localhost:8787/api/admin/requirements/documents/cmm4yuquq03yzcuqwmekbklcz/view</t>
        </is>
      </c>
      <c r="AQ267">
        <f>HYPERLÄNK("http://localhost:8787/api/admin/requirements/documents/cmm4yuquq03yzcuqwmekbklcz/view";"Öppna PDF")</f>
        <v/>
      </c>
      <c r="AR267">
        <f>HYPERLINK("http://localhost:8787/api/admin/requirements/documents/cmm4yuquq03yzcuqwmekbklcz/view","Open PDF")</f>
        <v/>
      </c>
      <c r="AS267" t="inlineStr">
        <is>
          <t>cmm55w57p0004cuisfrtpqly8</t>
        </is>
      </c>
      <c r="AT267" t="inlineStr">
        <is>
          <t>cmm4xvu980000cuh4vj0usz09</t>
        </is>
      </c>
      <c r="AU267" t="inlineStr">
        <is>
          <t>Hässleholms</t>
        </is>
      </c>
      <c r="AV267" t="inlineStr">
        <is>
          <t>Kommun</t>
        </is>
      </c>
      <c r="AW267" t="inlineStr">
        <is>
          <t>Hässleholms kommun</t>
        </is>
      </c>
      <c r="AX267" t="inlineStr">
        <is>
          <t>2024-2225</t>
        </is>
      </c>
      <c r="AY267" t="inlineStr">
        <is>
          <t>Anmalan</t>
        </is>
      </c>
      <c r="AZ267" t="inlineStr">
        <is>
          <t>2026-02-05</t>
        </is>
      </c>
      <c r="BA267" t="inlineStr">
        <is>
          <t>M-2024-2225 - Anmälan (2).pdf</t>
        </is>
      </c>
      <c r="BB267" t="inlineStr">
        <is>
          <t>Sv:  Begäran om utlämnande av allmän handling – Anmälningar och beslut rörande mellanlagring av avfall samt anläggning av ytor</t>
        </is>
      </c>
      <c r="BC267" t="inlineStr">
        <is>
          <t>AUTO</t>
        </is>
      </c>
      <c r="BD267" t="inlineStr"/>
      <c r="BE267" t="inlineStr"/>
      <c r="BF267" t="inlineStr">
        <is>
          <t>AUTO_GENERERAD. Bekrafta metadata mot kallfil.</t>
        </is>
      </c>
      <c r="BG267">
        <f>HYPERLINK("C:\Users\jimmy\Desktop\Examens arbete\Kod\Ny mapp\remix_-copy-of-miljöbeslut.se-portal\M-2024-2225 - Anmälan (2).pdf", "Öppna PDF")</f>
        <v/>
      </c>
    </row>
    <row r="268">
      <c r="A268" t="inlineStr">
        <is>
          <t>KRAV-AUTO-000267</t>
        </is>
      </c>
      <c r="B268" t="inlineStr">
        <is>
          <t>ADMIN-INDEX-2026-02-27-00000000125C043F57453246863FE664CAFE6A3F0700950291EA24F0614FB6ACEDB12BF0E31D00000000010C0000950291EA24F0614FB6ACEDB12BF0E31D00002087A5D90000</t>
        </is>
      </c>
      <c r="C268" t="inlineStr">
        <is>
          <t>cmm4yuqun03ywcuqwq2zmaall</t>
        </is>
      </c>
      <c r="D268" t="inlineStr">
        <is>
          <t>http://localhost:8787/api/admin/requirements/documents/cmm4yuqun03ywcuqwq2zmaall/view</t>
        </is>
      </c>
      <c r="E268">
        <f>HYPERLÄNK("http://localhost:8787/api/admin/requirements/documents/cmm4yuqun03ywcuqwq2zmaall/view";"Öppna PDF")</f>
        <v/>
      </c>
      <c r="F268">
        <f>HYPERLINK("http://localhost:8787/api/admin/requirements/documents/cmm4yuqun03ywcuqwq2zmaall/view","Open PDF")</f>
        <v/>
      </c>
      <c r="G268" t="inlineStr">
        <is>
          <t>cmm55w57p0004cuisfrtpqly8</t>
        </is>
      </c>
      <c r="H268" t="inlineStr">
        <is>
          <t>Informationskrav</t>
        </is>
      </c>
      <c r="I268" t="inlineStr">
        <is>
          <t>MiljopaverkanForsiktighet</t>
        </is>
      </c>
      <c r="J268" t="inlineStr">
        <is>
          <t>Skyddsatgarder</t>
        </is>
      </c>
      <c r="K268" t="inlineStr">
        <is>
          <t>minska de negativa effekterna av avfall, och 4.</t>
        </is>
      </c>
      <c r="L268" t="inlineStr">
        <is>
          <t>minska de negativa effekterna av avfall, och 4.</t>
        </is>
      </c>
      <c r="M268" t="inlineStr">
        <is>
          <t>SKA</t>
        </is>
      </c>
      <c r="N268" t="inlineStr"/>
      <c r="O268" t="inlineStr"/>
      <c r="P268" t="inlineStr"/>
      <c r="Q268" t="inlineStr"/>
      <c r="R268" t="inlineStr">
        <is>
          <t>Alltid</t>
        </is>
      </c>
      <c r="S268" t="inlineStr"/>
      <c r="T268" t="inlineStr">
        <is>
          <t>26 67 50</t>
        </is>
      </c>
      <c r="U268" t="inlineStr"/>
      <c r="V268" t="inlineStr"/>
      <c r="W268" t="inlineStr">
        <is>
          <t>Nej</t>
        </is>
      </c>
      <c r="X268" t="inlineStr">
        <is>
          <t>Nej</t>
        </is>
      </c>
      <c r="Y268" t="inlineStr">
        <is>
          <t>Nej</t>
        </is>
      </c>
      <c r="Z268" t="inlineStr">
        <is>
          <t>Nej</t>
        </is>
      </c>
      <c r="AA268" t="n">
        <v>10</v>
      </c>
      <c r="AB268" t="inlineStr">
        <is>
          <t>Miljopaverkan och forsiktighetsmatt</t>
        </is>
      </c>
      <c r="AC268" t="inlineStr">
        <is>
          <t>Miljo-PM</t>
        </is>
      </c>
      <c r="AD268" t="inlineStr">
        <is>
          <t>Nej</t>
        </is>
      </c>
      <c r="AE268" t="inlineStr">
        <is>
          <t>Nej</t>
        </is>
      </c>
      <c r="AF268" t="inlineStr">
        <is>
          <t>Ej behandlad</t>
        </is>
      </c>
      <c r="AG268" t="inlineStr">
        <is>
          <t>AUTO_GENERERAD. Verifiera citat mot kallfil.</t>
        </is>
      </c>
      <c r="AH268" t="inlineStr">
        <is>
          <t>MEDIUM</t>
        </is>
      </c>
      <c r="AI268" t="inlineStr">
        <is>
          <t>AUTO</t>
        </is>
      </c>
      <c r="AJ268" t="inlineStr">
        <is>
          <t>Nej</t>
        </is>
      </c>
      <c r="AK268" t="inlineStr"/>
      <c r="AL268" t="inlineStr"/>
      <c r="AM268" t="inlineStr"/>
      <c r="AN268" t="inlineStr"/>
      <c r="AO268" t="inlineStr">
        <is>
          <t>cmm4yuquq03yzcuqwmekbklcz</t>
        </is>
      </c>
      <c r="AP268" t="inlineStr">
        <is>
          <t>http://localhost:8787/api/admin/requirements/documents/cmm4yuquq03yzcuqwmekbklcz/view</t>
        </is>
      </c>
      <c r="AQ268">
        <f>HYPERLÄNK("http://localhost:8787/api/admin/requirements/documents/cmm4yuquq03yzcuqwmekbklcz/view";"Öppna PDF")</f>
        <v/>
      </c>
      <c r="AR268">
        <f>HYPERLINK("http://localhost:8787/api/admin/requirements/documents/cmm4yuquq03yzcuqwmekbklcz/view","Open PDF")</f>
        <v/>
      </c>
      <c r="AS268" t="inlineStr">
        <is>
          <t>cmm55w57p0004cuisfrtpqly8</t>
        </is>
      </c>
      <c r="AT268" t="inlineStr">
        <is>
          <t>cmm4xvu980000cuh4vj0usz09</t>
        </is>
      </c>
      <c r="AU268" t="inlineStr">
        <is>
          <t>Hässleholms</t>
        </is>
      </c>
      <c r="AV268" t="inlineStr">
        <is>
          <t>Kommun</t>
        </is>
      </c>
      <c r="AW268" t="inlineStr">
        <is>
          <t>Hässleholms kommun</t>
        </is>
      </c>
      <c r="AX268" t="inlineStr">
        <is>
          <t>2024-2225</t>
        </is>
      </c>
      <c r="AY268" t="inlineStr">
        <is>
          <t>Anmalan</t>
        </is>
      </c>
      <c r="AZ268" t="inlineStr">
        <is>
          <t>2026-02-05</t>
        </is>
      </c>
      <c r="BA268" t="inlineStr">
        <is>
          <t>M-2024-2225 - Anmälan (2).pdf</t>
        </is>
      </c>
      <c r="BB268" t="inlineStr">
        <is>
          <t>Sv:  Begäran om utlämnande av allmän handling – Anmälningar och beslut rörande mellanlagring av avfall samt anläggning av ytor</t>
        </is>
      </c>
      <c r="BC268" t="inlineStr">
        <is>
          <t>AUTO</t>
        </is>
      </c>
      <c r="BD268" t="inlineStr"/>
      <c r="BE268" t="inlineStr"/>
      <c r="BF268" t="inlineStr">
        <is>
          <t>AUTO_GENERERAD. Bekrafta metadata mot kallfil.</t>
        </is>
      </c>
      <c r="BG268">
        <f>HYPERLINK("C:\Users\jimmy\Desktop\Examens arbete\Kod\Ny mapp\remix_-copy-of-miljöbeslut.se-portal\M-2024-2225 - Anmälan (2).pdf", "Öppna PDF")</f>
        <v/>
      </c>
    </row>
    <row r="269">
      <c r="A269" t="inlineStr">
        <is>
          <t>KRAV-AUTO-000268</t>
        </is>
      </c>
      <c r="B269" t="inlineStr">
        <is>
          <t>ADMIN-INDEX-2026-02-27-00000000125C043F57453246863FE664CAFE6A3F0700950291EA24F0614FB6ACEDB12BF0E31D00000000010C0000950291EA24F0614FB6ACEDB12BF0E31D00002087A5D90000</t>
        </is>
      </c>
      <c r="C269" t="inlineStr">
        <is>
          <t>cmm4yuqun03ywcuqwq2zmaall</t>
        </is>
      </c>
      <c r="D269" t="inlineStr">
        <is>
          <t>http://localhost:8787/api/admin/requirements/documents/cmm4yuqun03ywcuqwq2zmaall/view</t>
        </is>
      </c>
      <c r="E269">
        <f>HYPERLÄNK("http://localhost:8787/api/admin/requirements/documents/cmm4yuqun03ywcuqwq2zmaall/view";"Öppna PDF")</f>
        <v/>
      </c>
      <c r="F269">
        <f>HYPERLINK("http://localhost:8787/api/admin/requirements/documents/cmm4yuqun03ywcuqwq2zmaall/view","Open PDF")</f>
        <v/>
      </c>
      <c r="G269" t="inlineStr">
        <is>
          <t>cmm55w57p0004cuisfrtpqly8</t>
        </is>
      </c>
      <c r="H269" t="inlineStr">
        <is>
          <t>Informationskrav</t>
        </is>
      </c>
      <c r="I269" t="inlineStr">
        <is>
          <t>DriftEgenkontroll</t>
        </is>
      </c>
      <c r="J269" t="inlineStr">
        <is>
          <t>Journalforing</t>
        </is>
      </c>
      <c r="K269" t="inlineStr">
        <is>
          <t>Egenkontroll ska utföras på det avfall som ska användas.</t>
        </is>
      </c>
      <c r="L269" t="inlineStr">
        <is>
          <t>Egenkontroll ska utföras på det avfall som ska användas.</t>
        </is>
      </c>
      <c r="M269" t="inlineStr">
        <is>
          <t>SKA</t>
        </is>
      </c>
      <c r="N269" t="inlineStr"/>
      <c r="O269" t="inlineStr"/>
      <c r="P269" t="inlineStr"/>
      <c r="Q269" t="inlineStr"/>
      <c r="R269" t="inlineStr">
        <is>
          <t>Lopande drift</t>
        </is>
      </c>
      <c r="S269" t="inlineStr"/>
      <c r="T269" t="inlineStr">
        <is>
          <t>26 67 50</t>
        </is>
      </c>
      <c r="U269" t="inlineStr"/>
      <c r="V269" t="inlineStr"/>
      <c r="W269" t="inlineStr">
        <is>
          <t>Nej</t>
        </is>
      </c>
      <c r="X269" t="inlineStr">
        <is>
          <t>Nej</t>
        </is>
      </c>
      <c r="Y269" t="inlineStr">
        <is>
          <t>Ja</t>
        </is>
      </c>
      <c r="Z269" t="inlineStr">
        <is>
          <t>Nej</t>
        </is>
      </c>
      <c r="AA269" t="n">
        <v>7</v>
      </c>
      <c r="AB269" t="inlineStr">
        <is>
          <t>Egenkontrollrutiner</t>
        </is>
      </c>
      <c r="AC269" t="inlineStr">
        <is>
          <t>Egenkontrollprogram</t>
        </is>
      </c>
      <c r="AD269" t="inlineStr">
        <is>
          <t>Nej</t>
        </is>
      </c>
      <c r="AE269" t="inlineStr">
        <is>
          <t>Nej</t>
        </is>
      </c>
      <c r="AF269" t="inlineStr">
        <is>
          <t>Ej behandlad</t>
        </is>
      </c>
      <c r="AG269" t="inlineStr">
        <is>
          <t>AUTO_GENERERAD. Verifiera citat mot kallfil.</t>
        </is>
      </c>
      <c r="AH269" t="inlineStr">
        <is>
          <t>MEDIUM</t>
        </is>
      </c>
      <c r="AI269" t="inlineStr">
        <is>
          <t>AUTO</t>
        </is>
      </c>
      <c r="AJ269" t="inlineStr">
        <is>
          <t>Nej</t>
        </is>
      </c>
      <c r="AK269" t="inlineStr"/>
      <c r="AL269" t="inlineStr"/>
      <c r="AM269" t="inlineStr"/>
      <c r="AN269" t="inlineStr"/>
      <c r="AO269" t="inlineStr">
        <is>
          <t>cmm4yuquq03yzcuqwmekbklcz</t>
        </is>
      </c>
      <c r="AP269" t="inlineStr">
        <is>
          <t>http://localhost:8787/api/admin/requirements/documents/cmm4yuquq03yzcuqwmekbklcz/view</t>
        </is>
      </c>
      <c r="AQ269">
        <f>HYPERLÄNK("http://localhost:8787/api/admin/requirements/documents/cmm4yuquq03yzcuqwmekbklcz/view";"Öppna PDF")</f>
        <v/>
      </c>
      <c r="AR269">
        <f>HYPERLINK("http://localhost:8787/api/admin/requirements/documents/cmm4yuquq03yzcuqwmekbklcz/view","Open PDF")</f>
        <v/>
      </c>
      <c r="AS269" t="inlineStr">
        <is>
          <t>cmm55w57p0004cuisfrtpqly8</t>
        </is>
      </c>
      <c r="AT269" t="inlineStr">
        <is>
          <t>cmm4xvu980000cuh4vj0usz09</t>
        </is>
      </c>
      <c r="AU269" t="inlineStr">
        <is>
          <t>Hässleholms</t>
        </is>
      </c>
      <c r="AV269" t="inlineStr">
        <is>
          <t>Kommun</t>
        </is>
      </c>
      <c r="AW269" t="inlineStr">
        <is>
          <t>Hässleholms kommun</t>
        </is>
      </c>
      <c r="AX269" t="inlineStr">
        <is>
          <t>2024-2225</t>
        </is>
      </c>
      <c r="AY269" t="inlineStr">
        <is>
          <t>Anmalan</t>
        </is>
      </c>
      <c r="AZ269" t="inlineStr">
        <is>
          <t>2026-02-05</t>
        </is>
      </c>
      <c r="BA269" t="inlineStr">
        <is>
          <t>M-2024-2225 - Anmälan (2).pdf</t>
        </is>
      </c>
      <c r="BB269" t="inlineStr">
        <is>
          <t>Sv:  Begäran om utlämnande av allmän handling – Anmälningar och beslut rörande mellanlagring av avfall samt anläggning av ytor</t>
        </is>
      </c>
      <c r="BC269" t="inlineStr">
        <is>
          <t>AUTO</t>
        </is>
      </c>
      <c r="BD269" t="inlineStr"/>
      <c r="BE269" t="inlineStr"/>
      <c r="BF269" t="inlineStr">
        <is>
          <t>AUTO_GENERERAD. Bekrafta metadata mot kallfil.</t>
        </is>
      </c>
      <c r="BG269">
        <f>HYPERLINK("C:\Users\jimmy\Desktop\Examens arbete\Kod\Ny mapp\remix_-copy-of-miljöbeslut.se-portal\M-2024-2225 - Anmälan (2).pdf", "Öppna PDF")</f>
        <v/>
      </c>
    </row>
    <row r="270">
      <c r="A270" t="inlineStr">
        <is>
          <t>KRAV-AUTO-000269</t>
        </is>
      </c>
      <c r="B270" t="inlineStr">
        <is>
          <t>ADMIN-INDEX-2026-02-27-00000000125C043F57453246863FE664CAFE6A3F0700950291EA24F0614FB6ACEDB12BF0E31D00000000010C0000950291EA24F0614FB6ACEDB12BF0E31D00002087A5D90000</t>
        </is>
      </c>
      <c r="C270" t="inlineStr">
        <is>
          <t>cmm4yuqtx03y5cuqwsyyyl7cv</t>
        </is>
      </c>
      <c r="D270" t="inlineStr">
        <is>
          <t>http://localhost:8787/api/admin/requirements/documents/cmm4yuqtx03y5cuqwsyyyl7cv/view</t>
        </is>
      </c>
      <c r="E270">
        <f>HYPERLÄNK("http://localhost:8787/api/admin/requirements/documents/cmm4yuqtx03y5cuqwsyyyl7cv/view";"Öppna PDF")</f>
        <v/>
      </c>
      <c r="F270">
        <f>HYPERLINK("http://localhost:8787/api/admin/requirements/documents/cmm4yuqtx03y5cuqwsyyyl7cv/view","Open PDF")</f>
        <v/>
      </c>
      <c r="G270" t="inlineStr">
        <is>
          <t>cmm55w57p0004cuisfrtpqly8</t>
        </is>
      </c>
      <c r="H270" t="inlineStr">
        <is>
          <t>Informationskrav</t>
        </is>
      </c>
      <c r="I270" t="inlineStr">
        <is>
          <t>DagvattenLakvatten</t>
        </is>
      </c>
      <c r="J270" t="inlineStr">
        <is>
          <t>Uppsamling</t>
        </is>
      </c>
      <c r="K270" t="inlineStr">
        <is>
          <t>Med utgångspunkt från: • det redovisade avfallets egenskaper • platsens lämplighet • mängden avfall bedömer vi att föroreningsrisken är ringa.</t>
        </is>
      </c>
      <c r="L270" t="inlineStr">
        <is>
          <t>Med utgångspunkt från: • det redovisade avfallets egenskaper • platsens lämplighet • mängden avfall bedömer vi att föroreningsrisken är ringa.</t>
        </is>
      </c>
      <c r="M270" t="inlineStr">
        <is>
          <t>SKA</t>
        </is>
      </c>
      <c r="N270" t="inlineStr"/>
      <c r="O270" t="inlineStr"/>
      <c r="P270" t="inlineStr"/>
      <c r="Q270" t="inlineStr"/>
      <c r="R270" t="inlineStr">
        <is>
          <t>Vid nederbord och avrinning</t>
        </is>
      </c>
      <c r="S270" t="inlineStr"/>
      <c r="T270" t="inlineStr">
        <is>
          <t>26 67 50</t>
        </is>
      </c>
      <c r="U270" t="inlineStr"/>
      <c r="V270" t="inlineStr"/>
      <c r="W270" t="inlineStr">
        <is>
          <t>Nej</t>
        </is>
      </c>
      <c r="X270" t="inlineStr">
        <is>
          <t>Ja</t>
        </is>
      </c>
      <c r="Y270" t="inlineStr">
        <is>
          <t>Ja</t>
        </is>
      </c>
      <c r="Z270" t="inlineStr">
        <is>
          <t>Nej</t>
        </is>
      </c>
      <c r="AA270" t="n">
        <v>6</v>
      </c>
      <c r="AB270" t="inlineStr">
        <is>
          <t>Lakvattenhantering</t>
        </is>
      </c>
      <c r="AC270" t="inlineStr">
        <is>
          <t>Flodesschema dagvatten-lakvatten</t>
        </is>
      </c>
      <c r="AD270" t="inlineStr">
        <is>
          <t>Nej</t>
        </is>
      </c>
      <c r="AE270" t="inlineStr">
        <is>
          <t>Nej</t>
        </is>
      </c>
      <c r="AF270" t="inlineStr">
        <is>
          <t>Ej behandlad</t>
        </is>
      </c>
      <c r="AG270" t="inlineStr">
        <is>
          <t>AUTO_GENERERAD. Verifiera citat mot kallfil.</t>
        </is>
      </c>
      <c r="AH270" t="inlineStr">
        <is>
          <t>MEDIUM</t>
        </is>
      </c>
      <c r="AI270" t="inlineStr">
        <is>
          <t>AUTO</t>
        </is>
      </c>
      <c r="AJ270" t="inlineStr">
        <is>
          <t>Nej</t>
        </is>
      </c>
      <c r="AK270" t="inlineStr"/>
      <c r="AL270" t="inlineStr"/>
      <c r="AM270" t="inlineStr"/>
      <c r="AN270" t="inlineStr"/>
      <c r="AO270" t="inlineStr">
        <is>
          <t>cmm4yuquq03yzcuqwmekbklcz</t>
        </is>
      </c>
      <c r="AP270" t="inlineStr">
        <is>
          <t>http://localhost:8787/api/admin/requirements/documents/cmm4yuquq03yzcuqwmekbklcz/view</t>
        </is>
      </c>
      <c r="AQ270">
        <f>HYPERLÄNK("http://localhost:8787/api/admin/requirements/documents/cmm4yuquq03yzcuqwmekbklcz/view";"Öppna PDF")</f>
        <v/>
      </c>
      <c r="AR270">
        <f>HYPERLINK("http://localhost:8787/api/admin/requirements/documents/cmm4yuquq03yzcuqwmekbklcz/view","Open PDF")</f>
        <v/>
      </c>
      <c r="AS270" t="inlineStr">
        <is>
          <t>cmm55w57p0004cuisfrtpqly8</t>
        </is>
      </c>
      <c r="AT270" t="inlineStr">
        <is>
          <t>cmm4xvu980000cuh4vj0usz09</t>
        </is>
      </c>
      <c r="AU270" t="inlineStr">
        <is>
          <t>Hässleholms</t>
        </is>
      </c>
      <c r="AV270" t="inlineStr">
        <is>
          <t>Kommun</t>
        </is>
      </c>
      <c r="AW270" t="inlineStr">
        <is>
          <t>Hässleholms kommun</t>
        </is>
      </c>
      <c r="AX270" t="inlineStr">
        <is>
          <t>2024-2225</t>
        </is>
      </c>
      <c r="AY270" t="inlineStr">
        <is>
          <t>Anmalan</t>
        </is>
      </c>
      <c r="AZ270" t="inlineStr">
        <is>
          <t>2026-02-05</t>
        </is>
      </c>
      <c r="BA270" t="inlineStr">
        <is>
          <t>M-2024-2225 - Anmälan (2).pdf</t>
        </is>
      </c>
      <c r="BB270" t="inlineStr">
        <is>
          <t>Sv:  Begäran om utlämnande av allmän handling – Anmälningar och beslut rörande mellanlagring av avfall samt anläggning av ytor</t>
        </is>
      </c>
      <c r="BC270" t="inlineStr">
        <is>
          <t>AUTO</t>
        </is>
      </c>
      <c r="BD270" t="inlineStr"/>
      <c r="BE270" t="inlineStr"/>
      <c r="BF270" t="inlineStr">
        <is>
          <t>AUTO_GENERERAD. Bekrafta metadata mot kallfil.</t>
        </is>
      </c>
      <c r="BG270">
        <f>HYPERLINK("C:\Users\jimmy\Desktop\Examens arbete\Kod\Ny mapp\remix_-copy-of-miljöbeslut.se-portal\M-2024-2225 - Anmälan (2).pdf", "Öppna PDF")</f>
        <v/>
      </c>
    </row>
    <row r="271">
      <c r="A271" t="inlineStr">
        <is>
          <t>KRAV-AUTO-000270</t>
        </is>
      </c>
      <c r="B271" t="inlineStr">
        <is>
          <t>ADMIN-INDEX-2026-02-27-00000000125C043F57453246863FE664CAFE6A3F0700950291EA24F0614FB6ACEDB12BF0E31D00000000010C0000950291EA24F0614FB6ACEDB12BF0E31D00002087A5D90000</t>
        </is>
      </c>
      <c r="C271" t="inlineStr">
        <is>
          <t>cmm4yuqtx03y5cuqwsyyyl7cv</t>
        </is>
      </c>
      <c r="D271" t="inlineStr">
        <is>
          <t>http://localhost:8787/api/admin/requirements/documents/cmm4yuqtx03y5cuqwsyyyl7cv/view</t>
        </is>
      </c>
      <c r="E271">
        <f>HYPERLÄNK("http://localhost:8787/api/admin/requirements/documents/cmm4yuqtx03y5cuqwsyyyl7cv/view";"Öppna PDF")</f>
        <v/>
      </c>
      <c r="F271">
        <f>HYPERLINK("http://localhost:8787/api/admin/requirements/documents/cmm4yuqtx03y5cuqwsyyyl7cv/view","Open PDF")</f>
        <v/>
      </c>
      <c r="G271" t="inlineStr">
        <is>
          <t>cmm55w57p0004cuisfrtpqly8</t>
        </is>
      </c>
      <c r="H271" t="inlineStr">
        <is>
          <t>Informationskrav</t>
        </is>
      </c>
      <c r="I271" t="inlineStr">
        <is>
          <t>LagringsvolymTid</t>
        </is>
      </c>
      <c r="J271" t="inlineStr">
        <is>
          <t>Maxmangd</t>
        </is>
      </c>
      <c r="K271" t="inlineStr">
        <is>
          <t>Massor innehållande fraktioner av bygg-, rivningsavfall, metall, plast, gummi, pulveriserat material av betong, puts och cement eller annat liknande avfall får inte återanvändas.</t>
        </is>
      </c>
      <c r="L271" t="inlineStr">
        <is>
          <t>Massor innehållande fraktioner av bygg-, rivningsavfall, metall, plast, gummi, pulveriserat material av betong, puts och cement eller annat liknande avfall får inte återanvändas.</t>
        </is>
      </c>
      <c r="M271" t="inlineStr">
        <is>
          <t>SKA</t>
        </is>
      </c>
      <c r="N271" t="inlineStr"/>
      <c r="O271" t="inlineStr"/>
      <c r="P271" t="inlineStr"/>
      <c r="Q271" t="inlineStr">
        <is>
          <t>Driftbegransning vid avvikelse</t>
        </is>
      </c>
      <c r="R271" t="inlineStr">
        <is>
          <t>Alltid</t>
        </is>
      </c>
      <c r="S271" t="inlineStr"/>
      <c r="T271" t="inlineStr">
        <is>
          <t>26 67 50</t>
        </is>
      </c>
      <c r="U271" t="inlineStr"/>
      <c r="V271" t="inlineStr"/>
      <c r="W271" t="inlineStr">
        <is>
          <t>Nej</t>
        </is>
      </c>
      <c r="X271" t="inlineStr">
        <is>
          <t>Nej</t>
        </is>
      </c>
      <c r="Y271" t="inlineStr">
        <is>
          <t>Nej</t>
        </is>
      </c>
      <c r="Z271" t="inlineStr">
        <is>
          <t>Nej</t>
        </is>
      </c>
      <c r="AA271" t="n">
        <v>4</v>
      </c>
      <c r="AB271" t="inlineStr">
        <is>
          <t>Avfallsmangder och lagringstid</t>
        </is>
      </c>
      <c r="AC271" t="inlineStr">
        <is>
          <t>Avfallsforteckning</t>
        </is>
      </c>
      <c r="AD271" t="inlineStr">
        <is>
          <t>Nej</t>
        </is>
      </c>
      <c r="AE271" t="inlineStr">
        <is>
          <t>Nej</t>
        </is>
      </c>
      <c r="AF271" t="inlineStr">
        <is>
          <t>Ej behandlad</t>
        </is>
      </c>
      <c r="AG271" t="inlineStr">
        <is>
          <t>AUTO_GENERERAD. Verifiera citat mot kallfil.</t>
        </is>
      </c>
      <c r="AH271" t="inlineStr">
        <is>
          <t>MEDIUM</t>
        </is>
      </c>
      <c r="AI271" t="inlineStr">
        <is>
          <t>AUTO</t>
        </is>
      </c>
      <c r="AJ271" t="inlineStr">
        <is>
          <t>Nej</t>
        </is>
      </c>
      <c r="AK271" t="inlineStr"/>
      <c r="AL271" t="inlineStr"/>
      <c r="AM271" t="inlineStr"/>
      <c r="AN271" t="inlineStr"/>
      <c r="AO271" t="inlineStr">
        <is>
          <t>cmm4yuquq03yzcuqwmekbklcz</t>
        </is>
      </c>
      <c r="AP271" t="inlineStr">
        <is>
          <t>http://localhost:8787/api/admin/requirements/documents/cmm4yuquq03yzcuqwmekbklcz/view</t>
        </is>
      </c>
      <c r="AQ271">
        <f>HYPERLÄNK("http://localhost:8787/api/admin/requirements/documents/cmm4yuquq03yzcuqwmekbklcz/view";"Öppna PDF")</f>
        <v/>
      </c>
      <c r="AR271">
        <f>HYPERLINK("http://localhost:8787/api/admin/requirements/documents/cmm4yuquq03yzcuqwmekbklcz/view","Open PDF")</f>
        <v/>
      </c>
      <c r="AS271" t="inlineStr">
        <is>
          <t>cmm55w57p0004cuisfrtpqly8</t>
        </is>
      </c>
      <c r="AT271" t="inlineStr">
        <is>
          <t>cmm4xvu980000cuh4vj0usz09</t>
        </is>
      </c>
      <c r="AU271" t="inlineStr">
        <is>
          <t>Hässleholms</t>
        </is>
      </c>
      <c r="AV271" t="inlineStr">
        <is>
          <t>Kommun</t>
        </is>
      </c>
      <c r="AW271" t="inlineStr">
        <is>
          <t>Hässleholms kommun</t>
        </is>
      </c>
      <c r="AX271" t="inlineStr">
        <is>
          <t>2024-2225</t>
        </is>
      </c>
      <c r="AY271" t="inlineStr">
        <is>
          <t>Anmalan</t>
        </is>
      </c>
      <c r="AZ271" t="inlineStr">
        <is>
          <t>2026-02-05</t>
        </is>
      </c>
      <c r="BA271" t="inlineStr">
        <is>
          <t>M-2024-2225 - Anmälan (2).pdf</t>
        </is>
      </c>
      <c r="BB271" t="inlineStr">
        <is>
          <t>Sv:  Begäran om utlämnande av allmän handling – Anmälningar och beslut rörande mellanlagring av avfall samt anläggning av ytor</t>
        </is>
      </c>
      <c r="BC271" t="inlineStr">
        <is>
          <t>AUTO</t>
        </is>
      </c>
      <c r="BD271" t="inlineStr"/>
      <c r="BE271" t="inlineStr"/>
      <c r="BF271" t="inlineStr">
        <is>
          <t>AUTO_GENERERAD. Bekrafta metadata mot kallfil.</t>
        </is>
      </c>
      <c r="BG271">
        <f>HYPERLINK("C:\Users\jimmy\Desktop\Examens arbete\Kod\Ny mapp\remix_-copy-of-miljöbeslut.se-portal\M-2024-2225 - Anmälan (2).pdf", "Öppna PDF")</f>
        <v/>
      </c>
    </row>
    <row r="272">
      <c r="A272" t="inlineStr">
        <is>
          <t>KRAV-AUTO-000271</t>
        </is>
      </c>
      <c r="B272" t="inlineStr">
        <is>
          <t>ADMIN-INDEX-2026-02-27-00000000125C043F57453246863FE664CAFE6A3F0700950291EA24F0614FB6ACEDB12BF0E31D00000000010C0000950291EA24F0614FB6ACEDB12BF0E31D00002087A5D90000</t>
        </is>
      </c>
      <c r="C272" t="inlineStr">
        <is>
          <t>cmm4yuqtx03y5cuqwsyyyl7cv</t>
        </is>
      </c>
      <c r="D272" t="inlineStr">
        <is>
          <t>http://localhost:8787/api/admin/requirements/documents/cmm4yuqtx03y5cuqwsyyyl7cv/view</t>
        </is>
      </c>
      <c r="E272">
        <f>HYPERLÄNK("http://localhost:8787/api/admin/requirements/documents/cmm4yuqtx03y5cuqwsyyyl7cv/view";"Öppna PDF")</f>
        <v/>
      </c>
      <c r="F272">
        <f>HYPERLINK("http://localhost:8787/api/admin/requirements/documents/cmm4yuqtx03y5cuqwsyyyl7cv/view","Open PDF")</f>
        <v/>
      </c>
      <c r="G272" t="inlineStr">
        <is>
          <t>cmm55w57p0004cuisfrtpqly8</t>
        </is>
      </c>
      <c r="H272" t="inlineStr">
        <is>
          <t>Informationskrav</t>
        </is>
      </c>
      <c r="I272" t="inlineStr">
        <is>
          <t>Ytkonstruktion</t>
        </is>
      </c>
      <c r="J272" t="inlineStr">
        <is>
          <t>Tat yta</t>
        </is>
      </c>
      <c r="K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72" t="inlineStr">
        <is>
          <t>SKA</t>
        </is>
      </c>
      <c r="N272" t="inlineStr"/>
      <c r="O272" t="inlineStr"/>
      <c r="P272" t="inlineStr"/>
      <c r="Q272" t="inlineStr"/>
      <c r="R272" t="inlineStr">
        <is>
          <t>Vid mellanlagring av avfall</t>
        </is>
      </c>
      <c r="S272" t="inlineStr"/>
      <c r="T272" t="inlineStr">
        <is>
          <t>26 67 50</t>
        </is>
      </c>
      <c r="U272" t="inlineStr"/>
      <c r="V272" t="inlineStr"/>
      <c r="W272" t="inlineStr">
        <is>
          <t>Ja</t>
        </is>
      </c>
      <c r="X272" t="inlineStr">
        <is>
          <t>Nej</t>
        </is>
      </c>
      <c r="Y272" t="inlineStr">
        <is>
          <t>Nej</t>
        </is>
      </c>
      <c r="Z272" t="inlineStr">
        <is>
          <t>Nej</t>
        </is>
      </c>
      <c r="AA272" t="n">
        <v>5</v>
      </c>
      <c r="AB272" t="inlineStr">
        <is>
          <t>Teknisk beskrivning av platta</t>
        </is>
      </c>
      <c r="AC272" t="inlineStr">
        <is>
          <t>Teknisk ritning platta</t>
        </is>
      </c>
      <c r="AD272" t="inlineStr">
        <is>
          <t>Nej</t>
        </is>
      </c>
      <c r="AE272" t="inlineStr">
        <is>
          <t>Nej</t>
        </is>
      </c>
      <c r="AF272" t="inlineStr">
        <is>
          <t>Ej behandlad</t>
        </is>
      </c>
      <c r="AG272" t="inlineStr">
        <is>
          <t>AUTO_GENERERAD. Verifiera citat mot kallfil.</t>
        </is>
      </c>
      <c r="AH272" t="inlineStr">
        <is>
          <t>MEDIUM</t>
        </is>
      </c>
      <c r="AI272" t="inlineStr">
        <is>
          <t>AUTO</t>
        </is>
      </c>
      <c r="AJ272" t="inlineStr">
        <is>
          <t>Nej</t>
        </is>
      </c>
      <c r="AK272" t="inlineStr"/>
      <c r="AL272" t="inlineStr"/>
      <c r="AM272" t="inlineStr"/>
      <c r="AN272" t="inlineStr"/>
      <c r="AO272" t="inlineStr">
        <is>
          <t>cmm4yuquq03yzcuqwmekbklcz</t>
        </is>
      </c>
      <c r="AP272" t="inlineStr">
        <is>
          <t>http://localhost:8787/api/admin/requirements/documents/cmm4yuquq03yzcuqwmekbklcz/view</t>
        </is>
      </c>
      <c r="AQ272">
        <f>HYPERLÄNK("http://localhost:8787/api/admin/requirements/documents/cmm4yuquq03yzcuqwmekbklcz/view";"Öppna PDF")</f>
        <v/>
      </c>
      <c r="AR272">
        <f>HYPERLINK("http://localhost:8787/api/admin/requirements/documents/cmm4yuquq03yzcuqwmekbklcz/view","Open PDF")</f>
        <v/>
      </c>
      <c r="AS272" t="inlineStr">
        <is>
          <t>cmm55w57p0004cuisfrtpqly8</t>
        </is>
      </c>
      <c r="AT272" t="inlineStr">
        <is>
          <t>cmm4xvu980000cuh4vj0usz09</t>
        </is>
      </c>
      <c r="AU272" t="inlineStr">
        <is>
          <t>Hässleholms</t>
        </is>
      </c>
      <c r="AV272" t="inlineStr">
        <is>
          <t>Kommun</t>
        </is>
      </c>
      <c r="AW272" t="inlineStr">
        <is>
          <t>Hässleholms kommun</t>
        </is>
      </c>
      <c r="AX272" t="inlineStr">
        <is>
          <t>2024-2225</t>
        </is>
      </c>
      <c r="AY272" t="inlineStr">
        <is>
          <t>Anmalan</t>
        </is>
      </c>
      <c r="AZ272" t="inlineStr">
        <is>
          <t>2026-02-05</t>
        </is>
      </c>
      <c r="BA272" t="inlineStr">
        <is>
          <t>M-2024-2225 - Anmälan (2).pdf</t>
        </is>
      </c>
      <c r="BB272" t="inlineStr">
        <is>
          <t>Sv:  Begäran om utlämnande av allmän handling – Anmälningar och beslut rörande mellanlagring av avfall samt anläggning av ytor</t>
        </is>
      </c>
      <c r="BC272" t="inlineStr">
        <is>
          <t>AUTO</t>
        </is>
      </c>
      <c r="BD272" t="inlineStr"/>
      <c r="BE272" t="inlineStr"/>
      <c r="BF272" t="inlineStr">
        <is>
          <t>AUTO_GENERERAD. Bekrafta metadata mot kallfil.</t>
        </is>
      </c>
      <c r="BG272">
        <f>HYPERLINK("C:\Users\jimmy\Desktop\Examens arbete\Kod\Ny mapp\remix_-copy-of-miljöbeslut.se-portal\M-2024-2225 - Anmälan (2).pdf", "Öppna PDF")</f>
        <v/>
      </c>
    </row>
    <row r="273">
      <c r="A273" t="inlineStr">
        <is>
          <t>KRAV-AUTO-000272</t>
        </is>
      </c>
      <c r="B273" t="inlineStr">
        <is>
          <t>ADMIN-INDEX-2026-02-27-00000000125C043F57453246863FE664CAFE6A3F0700950291EA24F0614FB6ACEDB12BF0E31D00000000010C0000950291EA24F0614FB6ACEDB12BF0E31D00002087A5D90000</t>
        </is>
      </c>
      <c r="C273" t="inlineStr">
        <is>
          <t>cmm4yuqti03xqcuqw1v65d4q7</t>
        </is>
      </c>
      <c r="D273" t="inlineStr">
        <is>
          <t>http://localhost:8787/api/admin/requirements/documents/cmm4yuqti03xqcuqw1v65d4q7/view</t>
        </is>
      </c>
      <c r="E273">
        <f>HYPERLÄNK("http://localhost:8787/api/admin/requirements/documents/cmm4yuqti03xqcuqw1v65d4q7/view";"Öppna PDF")</f>
        <v/>
      </c>
      <c r="F273">
        <f>HYPERLINK("http://localhost:8787/api/admin/requirements/documents/cmm4yuqti03xqcuqw1v65d4q7/view","Open PDF")</f>
        <v/>
      </c>
      <c r="G273" t="inlineStr">
        <is>
          <t>cmm55w57p0004cuisfrtpqly8</t>
        </is>
      </c>
      <c r="H273" t="inlineStr">
        <is>
          <t>Informationskrav</t>
        </is>
      </c>
      <c r="I273" t="inlineStr">
        <is>
          <t>Riskhantering</t>
        </is>
      </c>
      <c r="J273" t="inlineStr">
        <is>
          <t>Riskkontroll</t>
        </is>
      </c>
      <c r="K273" t="inlineStr">
        <is>
          <t>I detta läge, detaljplaneskedet, bedöms att även marken inom etapp 5 skall hänföras till normalriskmark.</t>
        </is>
      </c>
      <c r="L273" t="inlineStr">
        <is>
          <t>I detta läge, detaljplaneskedet, bedöms att även marken inom etapp 5 skall hänföras till normalriskmark.</t>
        </is>
      </c>
      <c r="M273" t="inlineStr">
        <is>
          <t>SKA</t>
        </is>
      </c>
      <c r="N273" t="inlineStr"/>
      <c r="O273" t="inlineStr"/>
      <c r="P273" t="inlineStr"/>
      <c r="Q273" t="inlineStr"/>
      <c r="R273" t="inlineStr">
        <is>
          <t>Vid risk for incident</t>
        </is>
      </c>
      <c r="S273" t="inlineStr"/>
      <c r="T273" t="inlineStr">
        <is>
          <t>41 64 90</t>
        </is>
      </c>
      <c r="U273" t="inlineStr"/>
      <c r="V273" t="inlineStr"/>
      <c r="W273" t="inlineStr">
        <is>
          <t>Nej</t>
        </is>
      </c>
      <c r="X273" t="inlineStr">
        <is>
          <t>Nej</t>
        </is>
      </c>
      <c r="Y273" t="inlineStr">
        <is>
          <t>Ja</t>
        </is>
      </c>
      <c r="Z273" t="inlineStr">
        <is>
          <t>Ja</t>
        </is>
      </c>
      <c r="AA273" t="n">
        <v>8</v>
      </c>
      <c r="AB273" t="inlineStr">
        <is>
          <t>Riskhantering</t>
        </is>
      </c>
      <c r="AC273" t="inlineStr">
        <is>
          <t>Risk-PM</t>
        </is>
      </c>
      <c r="AD273" t="inlineStr">
        <is>
          <t>Nej</t>
        </is>
      </c>
      <c r="AE273" t="inlineStr">
        <is>
          <t>Nej</t>
        </is>
      </c>
      <c r="AF273" t="inlineStr">
        <is>
          <t>Ej behandlad</t>
        </is>
      </c>
      <c r="AG273" t="inlineStr">
        <is>
          <t>AUTO_GENERERAD. Verifiera citat mot kallfil.</t>
        </is>
      </c>
      <c r="AH273" t="inlineStr">
        <is>
          <t>MEDIUM</t>
        </is>
      </c>
      <c r="AI273" t="inlineStr">
        <is>
          <t>AUTO</t>
        </is>
      </c>
      <c r="AJ273" t="inlineStr">
        <is>
          <t>Nej</t>
        </is>
      </c>
      <c r="AK273" t="inlineStr"/>
      <c r="AL273" t="inlineStr"/>
      <c r="AM273" t="inlineStr"/>
      <c r="AN273" t="inlineStr"/>
      <c r="AO273" t="inlineStr">
        <is>
          <t>cmm4yuquq03yzcuqwmekbklcz</t>
        </is>
      </c>
      <c r="AP273" t="inlineStr">
        <is>
          <t>http://localhost:8787/api/admin/requirements/documents/cmm4yuquq03yzcuqwmekbklcz/view</t>
        </is>
      </c>
      <c r="AQ273">
        <f>HYPERLÄNK("http://localhost:8787/api/admin/requirements/documents/cmm4yuquq03yzcuqwmekbklcz/view";"Öppna PDF")</f>
        <v/>
      </c>
      <c r="AR273">
        <f>HYPERLINK("http://localhost:8787/api/admin/requirements/documents/cmm4yuquq03yzcuqwmekbklcz/view","Open PDF")</f>
        <v/>
      </c>
      <c r="AS273" t="inlineStr">
        <is>
          <t>cmm55w57p0004cuisfrtpqly8</t>
        </is>
      </c>
      <c r="AT273" t="inlineStr">
        <is>
          <t>cmm4xvu980000cuh4vj0usz09</t>
        </is>
      </c>
      <c r="AU273" t="inlineStr">
        <is>
          <t>Hässleholms</t>
        </is>
      </c>
      <c r="AV273" t="inlineStr">
        <is>
          <t>Kommun</t>
        </is>
      </c>
      <c r="AW273" t="inlineStr">
        <is>
          <t>Hässleholms kommun</t>
        </is>
      </c>
      <c r="AX273" t="inlineStr">
        <is>
          <t>2024-2225</t>
        </is>
      </c>
      <c r="AY273" t="inlineStr">
        <is>
          <t>Anmalan</t>
        </is>
      </c>
      <c r="AZ273" t="inlineStr">
        <is>
          <t>2026-02-05</t>
        </is>
      </c>
      <c r="BA273" t="inlineStr">
        <is>
          <t>M-2024-2225 - Anmälan (2).pdf</t>
        </is>
      </c>
      <c r="BB273" t="inlineStr">
        <is>
          <t>Sv:  Begäran om utlämnande av allmän handling – Anmälningar och beslut rörande mellanlagring av avfall samt anläggning av ytor</t>
        </is>
      </c>
      <c r="BC273" t="inlineStr">
        <is>
          <t>AUTO</t>
        </is>
      </c>
      <c r="BD273" t="inlineStr"/>
      <c r="BE273" t="inlineStr"/>
      <c r="BF273" t="inlineStr">
        <is>
          <t>AUTO_GENERERAD. Bekrafta metadata mot kallfil.</t>
        </is>
      </c>
      <c r="BG273">
        <f>HYPERLINK("C:\Users\jimmy\Desktop\Examens arbete\Kod\Ny mapp\remix_-copy-of-miljöbeslut.se-portal\M-2024-2225 - Anmälan (2).pdf", "Öppna PDF")</f>
        <v/>
      </c>
    </row>
    <row r="274">
      <c r="A274" t="inlineStr">
        <is>
          <t>KRAV-AUTO-000273</t>
        </is>
      </c>
      <c r="B274" t="inlineStr">
        <is>
          <t>ADMIN-INDEX-2026-02-27-00000000125C043F57453246863FE664CAFE6A3F0700950291EA24F0614FB6ACEDB12BF0E31D00000000010C0000950291EA24F0614FB6ACEDB12BF0E31D00002087A5D90000</t>
        </is>
      </c>
      <c r="C274" t="inlineStr">
        <is>
          <t>cmm4yuqti03xqcuqw1v65d4q7</t>
        </is>
      </c>
      <c r="D274" t="inlineStr">
        <is>
          <t>http://localhost:8787/api/admin/requirements/documents/cmm4yuqti03xqcuqw1v65d4q7/view</t>
        </is>
      </c>
      <c r="E274">
        <f>HYPERLÄNK("http://localhost:8787/api/admin/requirements/documents/cmm4yuqti03xqcuqw1v65d4q7/view";"Öppna PDF")</f>
        <v/>
      </c>
      <c r="F274">
        <f>HYPERLINK("http://localhost:8787/api/admin/requirements/documents/cmm4yuqti03xqcuqw1v65d4q7/view","Open PDF")</f>
        <v/>
      </c>
      <c r="G274" t="inlineStr">
        <is>
          <t>cmm55w57p0004cuisfrtpqly8</t>
        </is>
      </c>
      <c r="H274" t="inlineStr">
        <is>
          <t>Informationskrav</t>
        </is>
      </c>
      <c r="I274" t="inlineStr">
        <is>
          <t>Riskhantering</t>
        </is>
      </c>
      <c r="J274" t="inlineStr">
        <is>
          <t>Riskkontroll</t>
        </is>
      </c>
      <c r="K274" t="inlineStr">
        <is>
          <t>Utöver ovanstående bedöms risken för omgivningspåverkan som liten men skall tas med i bedömningen, t.ex.</t>
        </is>
      </c>
      <c r="L274" t="inlineStr">
        <is>
          <t>Utöver ovanstående bedöms risken för omgivningspåverkan som liten men skall tas med i bedömningen, t.ex.</t>
        </is>
      </c>
      <c r="M274" t="inlineStr">
        <is>
          <t>SKA</t>
        </is>
      </c>
      <c r="N274" t="inlineStr"/>
      <c r="O274" t="inlineStr"/>
      <c r="P274" t="inlineStr"/>
      <c r="Q274" t="inlineStr"/>
      <c r="R274" t="inlineStr">
        <is>
          <t>Vid risk for incident</t>
        </is>
      </c>
      <c r="S274" t="inlineStr"/>
      <c r="T274" t="inlineStr">
        <is>
          <t>41 64 90</t>
        </is>
      </c>
      <c r="U274" t="inlineStr"/>
      <c r="V274" t="inlineStr"/>
      <c r="W274" t="inlineStr">
        <is>
          <t>Nej</t>
        </is>
      </c>
      <c r="X274" t="inlineStr">
        <is>
          <t>Nej</t>
        </is>
      </c>
      <c r="Y274" t="inlineStr">
        <is>
          <t>Ja</t>
        </is>
      </c>
      <c r="Z274" t="inlineStr">
        <is>
          <t>Ja</t>
        </is>
      </c>
      <c r="AA274" t="n">
        <v>8</v>
      </c>
      <c r="AB274" t="inlineStr">
        <is>
          <t>Riskhantering</t>
        </is>
      </c>
      <c r="AC274" t="inlineStr">
        <is>
          <t>Risk-PM</t>
        </is>
      </c>
      <c r="AD274" t="inlineStr">
        <is>
          <t>Nej</t>
        </is>
      </c>
      <c r="AE274" t="inlineStr">
        <is>
          <t>Nej</t>
        </is>
      </c>
      <c r="AF274" t="inlineStr">
        <is>
          <t>Ej behandlad</t>
        </is>
      </c>
      <c r="AG274" t="inlineStr">
        <is>
          <t>AUTO_GENERERAD. Verifiera citat mot kallfil.</t>
        </is>
      </c>
      <c r="AH274" t="inlineStr">
        <is>
          <t>MEDIUM</t>
        </is>
      </c>
      <c r="AI274" t="inlineStr">
        <is>
          <t>AUTO</t>
        </is>
      </c>
      <c r="AJ274" t="inlineStr">
        <is>
          <t>Nej</t>
        </is>
      </c>
      <c r="AK274" t="inlineStr"/>
      <c r="AL274" t="inlineStr"/>
      <c r="AM274" t="inlineStr"/>
      <c r="AN274" t="inlineStr"/>
      <c r="AO274" t="inlineStr">
        <is>
          <t>cmm4yuquq03yzcuqwmekbklcz</t>
        </is>
      </c>
      <c r="AP274" t="inlineStr">
        <is>
          <t>http://localhost:8787/api/admin/requirements/documents/cmm4yuquq03yzcuqwmekbklcz/view</t>
        </is>
      </c>
      <c r="AQ274">
        <f>HYPERLÄNK("http://localhost:8787/api/admin/requirements/documents/cmm4yuquq03yzcuqwmekbklcz/view";"Öppna PDF")</f>
        <v/>
      </c>
      <c r="AR274">
        <f>HYPERLINK("http://localhost:8787/api/admin/requirements/documents/cmm4yuquq03yzcuqwmekbklcz/view","Open PDF")</f>
        <v/>
      </c>
      <c r="AS274" t="inlineStr">
        <is>
          <t>cmm55w57p0004cuisfrtpqly8</t>
        </is>
      </c>
      <c r="AT274" t="inlineStr">
        <is>
          <t>cmm4xvu980000cuh4vj0usz09</t>
        </is>
      </c>
      <c r="AU274" t="inlineStr">
        <is>
          <t>Hässleholms</t>
        </is>
      </c>
      <c r="AV274" t="inlineStr">
        <is>
          <t>Kommun</t>
        </is>
      </c>
      <c r="AW274" t="inlineStr">
        <is>
          <t>Hässleholms kommun</t>
        </is>
      </c>
      <c r="AX274" t="inlineStr">
        <is>
          <t>2024-2225</t>
        </is>
      </c>
      <c r="AY274" t="inlineStr">
        <is>
          <t>Anmalan</t>
        </is>
      </c>
      <c r="AZ274" t="inlineStr">
        <is>
          <t>2026-02-05</t>
        </is>
      </c>
      <c r="BA274" t="inlineStr">
        <is>
          <t>M-2024-2225 - Anmälan (2).pdf</t>
        </is>
      </c>
      <c r="BB274" t="inlineStr">
        <is>
          <t>Sv:  Begäran om utlämnande av allmän handling – Anmälningar och beslut rörande mellanlagring av avfall samt anläggning av ytor</t>
        </is>
      </c>
      <c r="BC274" t="inlineStr">
        <is>
          <t>AUTO</t>
        </is>
      </c>
      <c r="BD274" t="inlineStr"/>
      <c r="BE274" t="inlineStr"/>
      <c r="BF274" t="inlineStr">
        <is>
          <t>AUTO_GENERERAD. Bekrafta metadata mot kallfil.</t>
        </is>
      </c>
      <c r="BG274">
        <f>HYPERLINK("C:\Users\jimmy\Desktop\Examens arbete\Kod\Ny mapp\remix_-copy-of-miljöbeslut.se-portal\M-2024-2225 - Anmälan (2).pdf", "Öppna PDF")</f>
        <v/>
      </c>
    </row>
    <row r="275">
      <c r="A275" t="inlineStr">
        <is>
          <t>KRAV-AUTO-000274</t>
        </is>
      </c>
      <c r="B275" t="inlineStr">
        <is>
          <t>ADMIN-INDEX-2026-02-27-00000000125C043F57453246863FE664CAFE6A3F0700950291EA24F0614FB6ACEDB12BF0E31D00000000010C0000950291EA24F0614FB6ACEDB12BF0E31D00002087A5D90000</t>
        </is>
      </c>
      <c r="C275" t="inlineStr">
        <is>
          <t>cmm4yuqti03xqcuqw1v65d4q7</t>
        </is>
      </c>
      <c r="D275" t="inlineStr">
        <is>
          <t>http://localhost:8787/api/admin/requirements/documents/cmm4yuqti03xqcuqw1v65d4q7/view</t>
        </is>
      </c>
      <c r="E275">
        <f>HYPERLÄNK("http://localhost:8787/api/admin/requirements/documents/cmm4yuqti03xqcuqw1v65d4q7/view";"Öppna PDF")</f>
        <v/>
      </c>
      <c r="F275">
        <f>HYPERLINK("http://localhost:8787/api/admin/requirements/documents/cmm4yuqti03xqcuqw1v65d4q7/view","Open PDF")</f>
        <v/>
      </c>
      <c r="G275" t="inlineStr">
        <is>
          <t>cmm55w57p0004cuisfrtpqly8</t>
        </is>
      </c>
      <c r="H275" t="inlineStr">
        <is>
          <t>Informationskrav</t>
        </is>
      </c>
      <c r="I275" t="inlineStr">
        <is>
          <t>Riskhantering</t>
        </is>
      </c>
      <c r="J275" t="inlineStr">
        <is>
          <t>Riskkontroll</t>
        </is>
      </c>
      <c r="K275" t="inlineStr">
        <is>
          <t>Värdering och riskanalys Värdering Geoteknik.</t>
        </is>
      </c>
      <c r="L275" t="inlineStr">
        <is>
          <t>Värdering och riskanalys Värdering Geoteknik.</t>
        </is>
      </c>
      <c r="M275" t="inlineStr">
        <is>
          <t>SKA</t>
        </is>
      </c>
      <c r="N275" t="inlineStr"/>
      <c r="O275" t="inlineStr"/>
      <c r="P275" t="inlineStr"/>
      <c r="Q275" t="inlineStr"/>
      <c r="R275" t="inlineStr">
        <is>
          <t>Vid risk for incident</t>
        </is>
      </c>
      <c r="S275" t="inlineStr"/>
      <c r="T275" t="inlineStr">
        <is>
          <t>41 64 90</t>
        </is>
      </c>
      <c r="U275" t="inlineStr"/>
      <c r="V275" t="inlineStr"/>
      <c r="W275" t="inlineStr">
        <is>
          <t>Nej</t>
        </is>
      </c>
      <c r="X275" t="inlineStr">
        <is>
          <t>Nej</t>
        </is>
      </c>
      <c r="Y275" t="inlineStr">
        <is>
          <t>Ja</t>
        </is>
      </c>
      <c r="Z275" t="inlineStr">
        <is>
          <t>Ja</t>
        </is>
      </c>
      <c r="AA275" t="n">
        <v>8</v>
      </c>
      <c r="AB275" t="inlineStr">
        <is>
          <t>Riskhantering</t>
        </is>
      </c>
      <c r="AC275" t="inlineStr">
        <is>
          <t>Risk-PM</t>
        </is>
      </c>
      <c r="AD275" t="inlineStr">
        <is>
          <t>Nej</t>
        </is>
      </c>
      <c r="AE275" t="inlineStr">
        <is>
          <t>Nej</t>
        </is>
      </c>
      <c r="AF275" t="inlineStr">
        <is>
          <t>Ej behandlad</t>
        </is>
      </c>
      <c r="AG275" t="inlineStr">
        <is>
          <t>AUTO_GENERERAD. Verifiera citat mot kallfil.</t>
        </is>
      </c>
      <c r="AH275" t="inlineStr">
        <is>
          <t>MEDIUM</t>
        </is>
      </c>
      <c r="AI275" t="inlineStr">
        <is>
          <t>AUTO</t>
        </is>
      </c>
      <c r="AJ275" t="inlineStr">
        <is>
          <t>Nej</t>
        </is>
      </c>
      <c r="AK275" t="inlineStr"/>
      <c r="AL275" t="inlineStr"/>
      <c r="AM275" t="inlineStr"/>
      <c r="AN275" t="inlineStr"/>
      <c r="AO275" t="inlineStr">
        <is>
          <t>cmm4yuquq03yzcuqwmekbklcz</t>
        </is>
      </c>
      <c r="AP275" t="inlineStr">
        <is>
          <t>http://localhost:8787/api/admin/requirements/documents/cmm4yuquq03yzcuqwmekbklcz/view</t>
        </is>
      </c>
      <c r="AQ275">
        <f>HYPERLÄNK("http://localhost:8787/api/admin/requirements/documents/cmm4yuquq03yzcuqwmekbklcz/view";"Öppna PDF")</f>
        <v/>
      </c>
      <c r="AR275">
        <f>HYPERLINK("http://localhost:8787/api/admin/requirements/documents/cmm4yuquq03yzcuqwmekbklcz/view","Open PDF")</f>
        <v/>
      </c>
      <c r="AS275" t="inlineStr">
        <is>
          <t>cmm55w57p0004cuisfrtpqly8</t>
        </is>
      </c>
      <c r="AT275" t="inlineStr">
        <is>
          <t>cmm4xvu980000cuh4vj0usz09</t>
        </is>
      </c>
      <c r="AU275" t="inlineStr">
        <is>
          <t>Hässleholms</t>
        </is>
      </c>
      <c r="AV275" t="inlineStr">
        <is>
          <t>Kommun</t>
        </is>
      </c>
      <c r="AW275" t="inlineStr">
        <is>
          <t>Hässleholms kommun</t>
        </is>
      </c>
      <c r="AX275" t="inlineStr">
        <is>
          <t>2024-2225</t>
        </is>
      </c>
      <c r="AY275" t="inlineStr">
        <is>
          <t>Anmalan</t>
        </is>
      </c>
      <c r="AZ275" t="inlineStr">
        <is>
          <t>2026-02-05</t>
        </is>
      </c>
      <c r="BA275" t="inlineStr">
        <is>
          <t>M-2024-2225 - Anmälan (2).pdf</t>
        </is>
      </c>
      <c r="BB275" t="inlineStr">
        <is>
          <t>Sv:  Begäran om utlämnande av allmän handling – Anmälningar och beslut rörande mellanlagring av avfall samt anläggning av ytor</t>
        </is>
      </c>
      <c r="BC275" t="inlineStr">
        <is>
          <t>AUTO</t>
        </is>
      </c>
      <c r="BD275" t="inlineStr"/>
      <c r="BE275" t="inlineStr"/>
      <c r="BF275" t="inlineStr">
        <is>
          <t>AUTO_GENERERAD. Bekrafta metadata mot kallfil.</t>
        </is>
      </c>
      <c r="BG275">
        <f>HYPERLINK("C:\Users\jimmy\Desktop\Examens arbete\Kod\Ny mapp\remix_-copy-of-miljöbeslut.se-portal\M-2024-2225 - Anmälan (2).pdf", "Öppna PDF")</f>
        <v/>
      </c>
    </row>
    <row r="276">
      <c r="A276" t="inlineStr">
        <is>
          <t>KRAV-AUTO-000275</t>
        </is>
      </c>
      <c r="B276" t="inlineStr">
        <is>
          <t>ADMIN-INDEX-2026-02-27-00000000125C043F57453246863FE664CAFE6A3F0700950291EA24F0614FB6ACEDB12BF0E31D00000000010C0000950291EA24F0614FB6ACEDB12BF0E31D00002087A5DA0000</t>
        </is>
      </c>
      <c r="C276" t="inlineStr">
        <is>
          <t>cmm4yuqt703xecuqw0udsfi9g</t>
        </is>
      </c>
      <c r="D276" t="inlineStr">
        <is>
          <t>http://localhost:8787/api/admin/requirements/documents/cmm4yuqt703xecuqw0udsfi9g/view</t>
        </is>
      </c>
      <c r="E276">
        <f>HYPERLÄNK("http://localhost:8787/api/admin/requirements/documents/cmm4yuqt703xecuqw0udsfi9g/view";"Öppna PDF")</f>
        <v/>
      </c>
      <c r="F276">
        <f>HYPERLINK("http://localhost:8787/api/admin/requirements/documents/cmm4yuqt703xecuqw0udsfi9g/view","Open PDF")</f>
        <v/>
      </c>
      <c r="G276" t="inlineStr">
        <is>
          <t>cmm55w57p0004cuisfrtpqly8</t>
        </is>
      </c>
      <c r="H276" t="inlineStr">
        <is>
          <t>Informationskrav</t>
        </is>
      </c>
      <c r="I276" t="inlineStr">
        <is>
          <t>LagringsvolymTid</t>
        </is>
      </c>
      <c r="J276" t="inlineStr">
        <is>
          <t>Maxmangd</t>
        </is>
      </c>
      <c r="K276" t="inlineStr">
        <is>
          <t>minska mängden avfall, 2.</t>
        </is>
      </c>
      <c r="L276" t="inlineStr">
        <is>
          <t>minska mängden avfall, 2.</t>
        </is>
      </c>
      <c r="M276" t="inlineStr">
        <is>
          <t>SKA</t>
        </is>
      </c>
      <c r="N276" t="inlineStr"/>
      <c r="O276" t="inlineStr"/>
      <c r="P276" t="inlineStr"/>
      <c r="Q276" t="inlineStr"/>
      <c r="R276" t="inlineStr">
        <is>
          <t>Alltid</t>
        </is>
      </c>
      <c r="S276" t="inlineStr"/>
      <c r="T276" t="inlineStr">
        <is>
          <t>26 67 50</t>
        </is>
      </c>
      <c r="U276" t="inlineStr"/>
      <c r="V276" t="inlineStr"/>
      <c r="W276" t="inlineStr">
        <is>
          <t>Nej</t>
        </is>
      </c>
      <c r="X276" t="inlineStr">
        <is>
          <t>Nej</t>
        </is>
      </c>
      <c r="Y276" t="inlineStr">
        <is>
          <t>Nej</t>
        </is>
      </c>
      <c r="Z276" t="inlineStr">
        <is>
          <t>Nej</t>
        </is>
      </c>
      <c r="AA276" t="n">
        <v>4</v>
      </c>
      <c r="AB276" t="inlineStr">
        <is>
          <t>Avfallsmangder och lagringstid</t>
        </is>
      </c>
      <c r="AC276" t="inlineStr">
        <is>
          <t>Avfallsforteckning</t>
        </is>
      </c>
      <c r="AD276" t="inlineStr">
        <is>
          <t>Nej</t>
        </is>
      </c>
      <c r="AE276" t="inlineStr">
        <is>
          <t>Nej</t>
        </is>
      </c>
      <c r="AF276" t="inlineStr">
        <is>
          <t>Ej behandlad</t>
        </is>
      </c>
      <c r="AG276" t="inlineStr">
        <is>
          <t>AUTO_GENERERAD. Verifiera citat mot kallfil.</t>
        </is>
      </c>
      <c r="AH276" t="inlineStr">
        <is>
          <t>LOW</t>
        </is>
      </c>
      <c r="AI276" t="inlineStr">
        <is>
          <t>AUTO</t>
        </is>
      </c>
      <c r="AJ276" t="inlineStr">
        <is>
          <t>Nej</t>
        </is>
      </c>
      <c r="AK276" t="inlineStr"/>
      <c r="AL276" t="inlineStr"/>
      <c r="AM276" t="inlineStr"/>
      <c r="AN276" t="inlineStr"/>
      <c r="AO276" t="inlineStr">
        <is>
          <t>cmm4yuqt403xbcuqwn5w6kvre</t>
        </is>
      </c>
      <c r="AP276" t="inlineStr">
        <is>
          <t>http://localhost:8787/api/admin/requirements/documents/cmm4yuqt403xbcuqwn5w6kvre/view</t>
        </is>
      </c>
      <c r="AQ276">
        <f>HYPERLÄNK("http://localhost:8787/api/admin/requirements/documents/cmm4yuqt403xbcuqwn5w6kvre/view";"Öppna PDF")</f>
        <v/>
      </c>
      <c r="AR276">
        <f>HYPERLINK("http://localhost:8787/api/admin/requirements/documents/cmm4yuqt403xbcuqwn5w6kvre/view","Open PDF")</f>
        <v/>
      </c>
      <c r="AS276" t="inlineStr">
        <is>
          <t>cmm55w57p0004cuisfrtpqly8</t>
        </is>
      </c>
      <c r="AT276" t="inlineStr">
        <is>
          <t>cmm4xvu980000cuh4vj0usz09</t>
        </is>
      </c>
      <c r="AU276" t="inlineStr"/>
      <c r="AV276" t="inlineStr">
        <is>
          <t>Kommun</t>
        </is>
      </c>
      <c r="AW276" t="inlineStr"/>
      <c r="AX276" t="inlineStr">
        <is>
          <t>2024-2166</t>
        </is>
      </c>
      <c r="AY276" t="inlineStr">
        <is>
          <t>Anmalan</t>
        </is>
      </c>
      <c r="AZ276" t="inlineStr">
        <is>
          <t>2026-02-05</t>
        </is>
      </c>
      <c r="BA276" t="inlineStr">
        <is>
          <t>M-2024-2166 - Anmälan.pdf</t>
        </is>
      </c>
      <c r="BB276" t="inlineStr">
        <is>
          <t>Sv:  Begäran om utlämnande av allmän handling – Anmälningar och beslut rörande mellanlagring av avfall samt anläggning av ytor</t>
        </is>
      </c>
      <c r="BC276" t="inlineStr">
        <is>
          <t>AUTO</t>
        </is>
      </c>
      <c r="BD276" t="inlineStr"/>
      <c r="BE276" t="inlineStr"/>
      <c r="BF276" t="inlineStr">
        <is>
          <t>AUTO_GENERERAD. Bekrafta metadata mot kallfil.</t>
        </is>
      </c>
      <c r="BG276">
        <f>HYPERLINK("C:\Users\jimmy\Desktop\Examens arbete\Kod\Ny mapp\remix_-copy-of-miljöbeslut.se-portal\M-2024-2166 - Anmälan.pdf", "Öppna PDF")</f>
        <v/>
      </c>
    </row>
    <row r="277">
      <c r="A277" t="inlineStr">
        <is>
          <t>KRAV-AUTO-000276</t>
        </is>
      </c>
      <c r="B277" t="inlineStr">
        <is>
          <t>ADMIN-INDEX-2026-02-27-00000000125C043F57453246863FE664CAFE6A3F0700950291EA24F0614FB6ACEDB12BF0E31D00000000010C0000950291EA24F0614FB6ACEDB12BF0E31D00002087A5DA0000</t>
        </is>
      </c>
      <c r="C277" t="inlineStr">
        <is>
          <t>cmm4yuqt703xecuqw0udsfi9g</t>
        </is>
      </c>
      <c r="D277" t="inlineStr">
        <is>
          <t>http://localhost:8787/api/admin/requirements/documents/cmm4yuqt703xecuqw0udsfi9g/view</t>
        </is>
      </c>
      <c r="E277">
        <f>HYPERLÄNK("http://localhost:8787/api/admin/requirements/documents/cmm4yuqt703xecuqw0udsfi9g/view";"Öppna PDF")</f>
        <v/>
      </c>
      <c r="F277">
        <f>HYPERLINK("http://localhost:8787/api/admin/requirements/documents/cmm4yuqt703xecuqw0udsfi9g/view","Open PDF")</f>
        <v/>
      </c>
      <c r="G277" t="inlineStr">
        <is>
          <t>cmm55w57p0004cuisfrtpqly8</t>
        </is>
      </c>
      <c r="H277" t="inlineStr">
        <is>
          <t>Informationskrav</t>
        </is>
      </c>
      <c r="I277" t="inlineStr">
        <is>
          <t>MiljopaverkanForsiktighet</t>
        </is>
      </c>
      <c r="J277" t="inlineStr">
        <is>
          <t>Skyddsatgarder</t>
        </is>
      </c>
      <c r="K277" t="inlineStr">
        <is>
          <t>minska de negativa effekterna av avfall, och 4.</t>
        </is>
      </c>
      <c r="L277" t="inlineStr">
        <is>
          <t>minska de negativa effekterna av avfall, och 4.</t>
        </is>
      </c>
      <c r="M277" t="inlineStr">
        <is>
          <t>SKA</t>
        </is>
      </c>
      <c r="N277" t="inlineStr"/>
      <c r="O277" t="inlineStr"/>
      <c r="P277" t="inlineStr"/>
      <c r="Q277" t="inlineStr"/>
      <c r="R277" t="inlineStr">
        <is>
          <t>Alltid</t>
        </is>
      </c>
      <c r="S277" t="inlineStr"/>
      <c r="T277" t="inlineStr">
        <is>
          <t>26 67 50</t>
        </is>
      </c>
      <c r="U277" t="inlineStr"/>
      <c r="V277" t="inlineStr"/>
      <c r="W277" t="inlineStr">
        <is>
          <t>Nej</t>
        </is>
      </c>
      <c r="X277" t="inlineStr">
        <is>
          <t>Nej</t>
        </is>
      </c>
      <c r="Y277" t="inlineStr">
        <is>
          <t>Nej</t>
        </is>
      </c>
      <c r="Z277" t="inlineStr">
        <is>
          <t>Nej</t>
        </is>
      </c>
      <c r="AA277" t="n">
        <v>10</v>
      </c>
      <c r="AB277" t="inlineStr">
        <is>
          <t>Miljopaverkan och forsiktighetsmatt</t>
        </is>
      </c>
      <c r="AC277" t="inlineStr">
        <is>
          <t>Miljo-PM</t>
        </is>
      </c>
      <c r="AD277" t="inlineStr">
        <is>
          <t>Nej</t>
        </is>
      </c>
      <c r="AE277" t="inlineStr">
        <is>
          <t>Nej</t>
        </is>
      </c>
      <c r="AF277" t="inlineStr">
        <is>
          <t>Ej behandlad</t>
        </is>
      </c>
      <c r="AG277" t="inlineStr">
        <is>
          <t>AUTO_GENERERAD. Verifiera citat mot kallfil.</t>
        </is>
      </c>
      <c r="AH277" t="inlineStr">
        <is>
          <t>MEDIUM</t>
        </is>
      </c>
      <c r="AI277" t="inlineStr">
        <is>
          <t>AUTO</t>
        </is>
      </c>
      <c r="AJ277" t="inlineStr">
        <is>
          <t>Nej</t>
        </is>
      </c>
      <c r="AK277" t="inlineStr"/>
      <c r="AL277" t="inlineStr"/>
      <c r="AM277" t="inlineStr"/>
      <c r="AN277" t="inlineStr"/>
      <c r="AO277" t="inlineStr">
        <is>
          <t>cmm4yuqt403xbcuqwn5w6kvre</t>
        </is>
      </c>
      <c r="AP277" t="inlineStr">
        <is>
          <t>http://localhost:8787/api/admin/requirements/documents/cmm4yuqt403xbcuqwn5w6kvre/view</t>
        </is>
      </c>
      <c r="AQ277">
        <f>HYPERLÄNK("http://localhost:8787/api/admin/requirements/documents/cmm4yuqt403xbcuqwn5w6kvre/view";"Öppna PDF")</f>
        <v/>
      </c>
      <c r="AR277">
        <f>HYPERLINK("http://localhost:8787/api/admin/requirements/documents/cmm4yuqt403xbcuqwn5w6kvre/view","Open PDF")</f>
        <v/>
      </c>
      <c r="AS277" t="inlineStr">
        <is>
          <t>cmm55w57p0004cuisfrtpqly8</t>
        </is>
      </c>
      <c r="AT277" t="inlineStr">
        <is>
          <t>cmm4xvu980000cuh4vj0usz09</t>
        </is>
      </c>
      <c r="AU277" t="inlineStr"/>
      <c r="AV277" t="inlineStr">
        <is>
          <t>Kommun</t>
        </is>
      </c>
      <c r="AW277" t="inlineStr"/>
      <c r="AX277" t="inlineStr">
        <is>
          <t>2024-2166</t>
        </is>
      </c>
      <c r="AY277" t="inlineStr">
        <is>
          <t>Anmalan</t>
        </is>
      </c>
      <c r="AZ277" t="inlineStr">
        <is>
          <t>2026-02-05</t>
        </is>
      </c>
      <c r="BA277" t="inlineStr">
        <is>
          <t>M-2024-2166 - Anmälan.pdf</t>
        </is>
      </c>
      <c r="BB277" t="inlineStr">
        <is>
          <t>Sv:  Begäran om utlämnande av allmän handling – Anmälningar och beslut rörande mellanlagring av avfall samt anläggning av ytor</t>
        </is>
      </c>
      <c r="BC277" t="inlineStr">
        <is>
          <t>AUTO</t>
        </is>
      </c>
      <c r="BD277" t="inlineStr"/>
      <c r="BE277" t="inlineStr"/>
      <c r="BF277" t="inlineStr">
        <is>
          <t>AUTO_GENERERAD. Bekrafta metadata mot kallfil.</t>
        </is>
      </c>
      <c r="BG277">
        <f>HYPERLINK("C:\Users\jimmy\Desktop\Examens arbete\Kod\Ny mapp\remix_-copy-of-miljöbeslut.se-portal\M-2024-2166 - Anmälan.pdf", "Öppna PDF")</f>
        <v/>
      </c>
    </row>
    <row r="278">
      <c r="A278" t="inlineStr">
        <is>
          <t>KRAV-AUTO-000277</t>
        </is>
      </c>
      <c r="B278" t="inlineStr">
        <is>
          <t>ADMIN-INDEX-2026-02-27-00000000125C043F57453246863FE664CAFE6A3F0700950291EA24F0614FB6ACEDB12BF0E31D00000000010C0000950291EA24F0614FB6ACEDB12BF0E31D00002087A5DA0000</t>
        </is>
      </c>
      <c r="C278" t="inlineStr">
        <is>
          <t>cmm4yuqt703xecuqw0udsfi9g</t>
        </is>
      </c>
      <c r="D278" t="inlineStr">
        <is>
          <t>http://localhost:8787/api/admin/requirements/documents/cmm4yuqt703xecuqw0udsfi9g/view</t>
        </is>
      </c>
      <c r="E278">
        <f>HYPERLÄNK("http://localhost:8787/api/admin/requirements/documents/cmm4yuqt703xecuqw0udsfi9g/view";"Öppna PDF")</f>
        <v/>
      </c>
      <c r="F278">
        <f>HYPERLINK("http://localhost:8787/api/admin/requirements/documents/cmm4yuqt703xecuqw0udsfi9g/view","Open PDF")</f>
        <v/>
      </c>
      <c r="G278" t="inlineStr">
        <is>
          <t>cmm55w57p0004cuisfrtpqly8</t>
        </is>
      </c>
      <c r="H278" t="inlineStr">
        <is>
          <t>Informationskrav</t>
        </is>
      </c>
      <c r="I278" t="inlineStr">
        <is>
          <t>DriftEgenkontroll</t>
        </is>
      </c>
      <c r="J278" t="inlineStr">
        <is>
          <t>Journalforing</t>
        </is>
      </c>
      <c r="K278" t="inlineStr">
        <is>
          <t>Egenkontroll ska utföras på det avfall som ska användas.</t>
        </is>
      </c>
      <c r="L278" t="inlineStr">
        <is>
          <t>Egenkontroll ska utföras på det avfall som ska användas.</t>
        </is>
      </c>
      <c r="M278" t="inlineStr">
        <is>
          <t>SKA</t>
        </is>
      </c>
      <c r="N278" t="inlineStr"/>
      <c r="O278" t="inlineStr"/>
      <c r="P278" t="inlineStr"/>
      <c r="Q278" t="inlineStr"/>
      <c r="R278" t="inlineStr">
        <is>
          <t>Lopande drift</t>
        </is>
      </c>
      <c r="S278" t="inlineStr"/>
      <c r="T278" t="inlineStr">
        <is>
          <t>26 67 50</t>
        </is>
      </c>
      <c r="U278" t="inlineStr"/>
      <c r="V278" t="inlineStr"/>
      <c r="W278" t="inlineStr">
        <is>
          <t>Nej</t>
        </is>
      </c>
      <c r="X278" t="inlineStr">
        <is>
          <t>Nej</t>
        </is>
      </c>
      <c r="Y278" t="inlineStr">
        <is>
          <t>Ja</t>
        </is>
      </c>
      <c r="Z278" t="inlineStr">
        <is>
          <t>Nej</t>
        </is>
      </c>
      <c r="AA278" t="n">
        <v>7</v>
      </c>
      <c r="AB278" t="inlineStr">
        <is>
          <t>Egenkontrollrutiner</t>
        </is>
      </c>
      <c r="AC278" t="inlineStr">
        <is>
          <t>Egenkontrollprogram</t>
        </is>
      </c>
      <c r="AD278" t="inlineStr">
        <is>
          <t>Nej</t>
        </is>
      </c>
      <c r="AE278" t="inlineStr">
        <is>
          <t>Nej</t>
        </is>
      </c>
      <c r="AF278" t="inlineStr">
        <is>
          <t>Ej behandlad</t>
        </is>
      </c>
      <c r="AG278" t="inlineStr">
        <is>
          <t>AUTO_GENERERAD. Verifiera citat mot kallfil.</t>
        </is>
      </c>
      <c r="AH278" t="inlineStr">
        <is>
          <t>MEDIUM</t>
        </is>
      </c>
      <c r="AI278" t="inlineStr">
        <is>
          <t>AUTO</t>
        </is>
      </c>
      <c r="AJ278" t="inlineStr">
        <is>
          <t>Nej</t>
        </is>
      </c>
      <c r="AK278" t="inlineStr"/>
      <c r="AL278" t="inlineStr"/>
      <c r="AM278" t="inlineStr"/>
      <c r="AN278" t="inlineStr"/>
      <c r="AO278" t="inlineStr">
        <is>
          <t>cmm4yuqt403xbcuqwn5w6kvre</t>
        </is>
      </c>
      <c r="AP278" t="inlineStr">
        <is>
          <t>http://localhost:8787/api/admin/requirements/documents/cmm4yuqt403xbcuqwn5w6kvre/view</t>
        </is>
      </c>
      <c r="AQ278">
        <f>HYPERLÄNK("http://localhost:8787/api/admin/requirements/documents/cmm4yuqt403xbcuqwn5w6kvre/view";"Öppna PDF")</f>
        <v/>
      </c>
      <c r="AR278">
        <f>HYPERLINK("http://localhost:8787/api/admin/requirements/documents/cmm4yuqt403xbcuqwn5w6kvre/view","Open PDF")</f>
        <v/>
      </c>
      <c r="AS278" t="inlineStr">
        <is>
          <t>cmm55w57p0004cuisfrtpqly8</t>
        </is>
      </c>
      <c r="AT278" t="inlineStr">
        <is>
          <t>cmm4xvu980000cuh4vj0usz09</t>
        </is>
      </c>
      <c r="AU278" t="inlineStr"/>
      <c r="AV278" t="inlineStr">
        <is>
          <t>Kommun</t>
        </is>
      </c>
      <c r="AW278" t="inlineStr"/>
      <c r="AX278" t="inlineStr">
        <is>
          <t>2024-2166</t>
        </is>
      </c>
      <c r="AY278" t="inlineStr">
        <is>
          <t>Anmalan</t>
        </is>
      </c>
      <c r="AZ278" t="inlineStr">
        <is>
          <t>2026-02-05</t>
        </is>
      </c>
      <c r="BA278" t="inlineStr">
        <is>
          <t>M-2024-2166 - Anmälan.pdf</t>
        </is>
      </c>
      <c r="BB278" t="inlineStr">
        <is>
          <t>Sv:  Begäran om utlämnande av allmän handling – Anmälningar och beslut rörande mellanlagring av avfall samt anläggning av ytor</t>
        </is>
      </c>
      <c r="BC278" t="inlineStr">
        <is>
          <t>AUTO</t>
        </is>
      </c>
      <c r="BD278" t="inlineStr"/>
      <c r="BE278" t="inlineStr"/>
      <c r="BF278" t="inlineStr">
        <is>
          <t>AUTO_GENERERAD. Bekrafta metadata mot kallfil.</t>
        </is>
      </c>
      <c r="BG278">
        <f>HYPERLINK("C:\Users\jimmy\Desktop\Examens arbete\Kod\Ny mapp\remix_-copy-of-miljöbeslut.se-portal\M-2024-2166 - Anmälan.pdf", "Öppna PDF")</f>
        <v/>
      </c>
    </row>
    <row r="279">
      <c r="A279" t="inlineStr">
        <is>
          <t>KRAV-AUTO-000278</t>
        </is>
      </c>
      <c r="B279" t="inlineStr">
        <is>
          <t>ADMIN-INDEX-2026-02-27-00000000125C043F57453246863FE664CAFE6A3F0700950291EA24F0614FB6ACEDB12BF0E31D00000000010C0000950291EA24F0614FB6ACEDB12BF0E31D00002087A5DA0000</t>
        </is>
      </c>
      <c r="C279" t="inlineStr">
        <is>
          <t>cmm4yuqt203x8cuqws5ahixm1</t>
        </is>
      </c>
      <c r="D279" t="inlineStr">
        <is>
          <t>http://localhost:8787/api/admin/requirements/documents/cmm4yuqt203x8cuqws5ahixm1/view</t>
        </is>
      </c>
      <c r="E279">
        <f>HYPERLÄNK("http://localhost:8787/api/admin/requirements/documents/cmm4yuqt203x8cuqws5ahixm1/view";"Öppna PDF")</f>
        <v/>
      </c>
      <c r="F279">
        <f>HYPERLINK("http://localhost:8787/api/admin/requirements/documents/cmm4yuqt203x8cuqws5ahixm1/view","Open PDF")</f>
        <v/>
      </c>
      <c r="G279" t="inlineStr">
        <is>
          <t>cmm55w57p0004cuisfrtpqly8</t>
        </is>
      </c>
      <c r="H279" t="inlineStr">
        <is>
          <t>Informationskrav</t>
        </is>
      </c>
      <c r="I279" t="inlineStr">
        <is>
          <t>DriftEgenkontroll</t>
        </is>
      </c>
      <c r="J279" t="inlineStr">
        <is>
          <t>Journalforing</t>
        </is>
      </c>
      <c r="K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79" t="inlineStr">
        <is>
          <t>SKA</t>
        </is>
      </c>
      <c r="N279" t="inlineStr"/>
      <c r="O279" t="inlineStr"/>
      <c r="P279" t="inlineStr">
        <is>
          <t>Arlig</t>
        </is>
      </c>
      <c r="Q279" t="inlineStr"/>
      <c r="R279" t="inlineStr">
        <is>
          <t>Lopande drift</t>
        </is>
      </c>
      <c r="S279" t="inlineStr"/>
      <c r="T279" t="inlineStr"/>
      <c r="U279" t="inlineStr"/>
      <c r="V279" t="inlineStr"/>
      <c r="W279" t="inlineStr">
        <is>
          <t>Nej</t>
        </is>
      </c>
      <c r="X279" t="inlineStr">
        <is>
          <t>Nej</t>
        </is>
      </c>
      <c r="Y279" t="inlineStr">
        <is>
          <t>Ja</t>
        </is>
      </c>
      <c r="Z279" t="inlineStr">
        <is>
          <t>Nej</t>
        </is>
      </c>
      <c r="AA279" t="n">
        <v>7</v>
      </c>
      <c r="AB279" t="inlineStr">
        <is>
          <t>Egenkontrollrutiner</t>
        </is>
      </c>
      <c r="AC279" t="inlineStr">
        <is>
          <t>Egenkontrollprogram</t>
        </is>
      </c>
      <c r="AD279" t="inlineStr">
        <is>
          <t>Nej</t>
        </is>
      </c>
      <c r="AE279" t="inlineStr">
        <is>
          <t>Nej</t>
        </is>
      </c>
      <c r="AF279" t="inlineStr">
        <is>
          <t>Ej behandlad</t>
        </is>
      </c>
      <c r="AG279" t="inlineStr">
        <is>
          <t>AUTO_GENERERAD. Verifiera citat mot kallfil.</t>
        </is>
      </c>
      <c r="AH279" t="inlineStr">
        <is>
          <t>MEDIUM</t>
        </is>
      </c>
      <c r="AI279" t="inlineStr">
        <is>
          <t>AUTO</t>
        </is>
      </c>
      <c r="AJ279" t="inlineStr">
        <is>
          <t>Nej</t>
        </is>
      </c>
      <c r="AK279" t="inlineStr"/>
      <c r="AL279" t="inlineStr"/>
      <c r="AM279" t="inlineStr"/>
      <c r="AN279" t="inlineStr"/>
      <c r="AO279" t="inlineStr">
        <is>
          <t>cmm4yuqt403xbcuqwn5w6kvre</t>
        </is>
      </c>
      <c r="AP279" t="inlineStr">
        <is>
          <t>http://localhost:8787/api/admin/requirements/documents/cmm4yuqt403xbcuqwn5w6kvre/view</t>
        </is>
      </c>
      <c r="AQ279">
        <f>HYPERLÄNK("http://localhost:8787/api/admin/requirements/documents/cmm4yuqt403xbcuqwn5w6kvre/view";"Öppna PDF")</f>
        <v/>
      </c>
      <c r="AR279">
        <f>HYPERLINK("http://localhost:8787/api/admin/requirements/documents/cmm4yuqt403xbcuqwn5w6kvre/view","Open PDF")</f>
        <v/>
      </c>
      <c r="AS279" t="inlineStr">
        <is>
          <t>cmm55w57p0004cuisfrtpqly8</t>
        </is>
      </c>
      <c r="AT279" t="inlineStr">
        <is>
          <t>cmm4xvu980000cuh4vj0usz09</t>
        </is>
      </c>
      <c r="AU279" t="inlineStr"/>
      <c r="AV279" t="inlineStr">
        <is>
          <t>Kommun</t>
        </is>
      </c>
      <c r="AW279" t="inlineStr"/>
      <c r="AX279" t="inlineStr">
        <is>
          <t>2024-2166</t>
        </is>
      </c>
      <c r="AY279" t="inlineStr">
        <is>
          <t>Anmalan</t>
        </is>
      </c>
      <c r="AZ279" t="inlineStr">
        <is>
          <t>2026-02-05</t>
        </is>
      </c>
      <c r="BA279" t="inlineStr">
        <is>
          <t>M-2024-2166 - Anmälan.pdf</t>
        </is>
      </c>
      <c r="BB279" t="inlineStr">
        <is>
          <t>Sv:  Begäran om utlämnande av allmän handling – Anmälningar och beslut rörande mellanlagring av avfall samt anläggning av ytor</t>
        </is>
      </c>
      <c r="BC279" t="inlineStr">
        <is>
          <t>AUTO</t>
        </is>
      </c>
      <c r="BD279" t="inlineStr"/>
      <c r="BE279" t="inlineStr"/>
      <c r="BF279" t="inlineStr">
        <is>
          <t>AUTO_GENERERAD. Bekrafta metadata mot kallfil.</t>
        </is>
      </c>
      <c r="BG279">
        <f>HYPERLINK("C:\Users\jimmy\Desktop\Examens arbete\Kod\Ny mapp\remix_-copy-of-miljöbeslut.se-portal\M-2024-2166 - Anmälan.pdf", "Öppna PDF")</f>
        <v/>
      </c>
    </row>
    <row r="280">
      <c r="A280" t="inlineStr">
        <is>
          <t>KRAV-AUTO-000279</t>
        </is>
      </c>
      <c r="B280" t="inlineStr">
        <is>
          <t>ADMIN-INDEX-2026-02-27-00000000125C043F57453246863FE664CAFE6A3F0700950291EA24F0614FB6ACEDB12BF0E31D00000000010C0000950291EA24F0614FB6ACEDB12BF0E31D00002087A5DA0000</t>
        </is>
      </c>
      <c r="C280" t="inlineStr">
        <is>
          <t>cmm4yuqt203x8cuqws5ahixm1</t>
        </is>
      </c>
      <c r="D280" t="inlineStr">
        <is>
          <t>http://localhost:8787/api/admin/requirements/documents/cmm4yuqt203x8cuqws5ahixm1/view</t>
        </is>
      </c>
      <c r="E280">
        <f>HYPERLÄNK("http://localhost:8787/api/admin/requirements/documents/cmm4yuqt203x8cuqws5ahixm1/view";"Öppna PDF")</f>
        <v/>
      </c>
      <c r="F280">
        <f>HYPERLINK("http://localhost:8787/api/admin/requirements/documents/cmm4yuqt203x8cuqws5ahixm1/view","Open PDF")</f>
        <v/>
      </c>
      <c r="G280" t="inlineStr">
        <is>
          <t>cmm55w57p0004cuisfrtpqly8</t>
        </is>
      </c>
      <c r="H280" t="inlineStr">
        <is>
          <t>Informationskrav</t>
        </is>
      </c>
      <c r="I280" t="inlineStr">
        <is>
          <t>DagvattenLakvatten</t>
        </is>
      </c>
      <c r="J280" t="inlineStr">
        <is>
          <t>Uppsamling</t>
        </is>
      </c>
      <c r="K280" t="inlineStr">
        <is>
          <t>6 § miljöbalken (SFS 1998:808) krävs en anmälan vid användning av avfall för anläggningsändamål på ett sätt som kan förorena mark, vattenområde eller grundvatten och där föroreningsrisken bedöms som ringa.</t>
        </is>
      </c>
      <c r="L280" t="inlineStr">
        <is>
          <t>6 § miljöbalken (SFS 1998:808) krävs en anmälan vid användning av avfall för anläggningsändamål på ett sätt som kan förorena mark, vattenområde eller grundvatten och där föroreningsrisken bedöms som ringa.</t>
        </is>
      </c>
      <c r="M280" t="inlineStr">
        <is>
          <t>SKA</t>
        </is>
      </c>
      <c r="N280" t="inlineStr">
        <is>
          <t>Miljobalken</t>
        </is>
      </c>
      <c r="O280" t="inlineStr"/>
      <c r="P280" t="inlineStr"/>
      <c r="Q280" t="inlineStr"/>
      <c r="R280" t="inlineStr">
        <is>
          <t>Vid nederbord och avrinning</t>
        </is>
      </c>
      <c r="S280" t="inlineStr"/>
      <c r="T280" t="inlineStr"/>
      <c r="U280" t="inlineStr"/>
      <c r="V280" t="inlineStr"/>
      <c r="W280" t="inlineStr">
        <is>
          <t>Nej</t>
        </is>
      </c>
      <c r="X280" t="inlineStr">
        <is>
          <t>Ja</t>
        </is>
      </c>
      <c r="Y280" t="inlineStr">
        <is>
          <t>Ja</t>
        </is>
      </c>
      <c r="Z280" t="inlineStr">
        <is>
          <t>Nej</t>
        </is>
      </c>
      <c r="AA280" t="n">
        <v>6</v>
      </c>
      <c r="AB280" t="inlineStr">
        <is>
          <t>Lakvattenhantering</t>
        </is>
      </c>
      <c r="AC280" t="inlineStr">
        <is>
          <t>Flodesschema dagvatten-lakvatten</t>
        </is>
      </c>
      <c r="AD280" t="inlineStr">
        <is>
          <t>Nej</t>
        </is>
      </c>
      <c r="AE280" t="inlineStr">
        <is>
          <t>Nej</t>
        </is>
      </c>
      <c r="AF280" t="inlineStr">
        <is>
          <t>Ej behandlad</t>
        </is>
      </c>
      <c r="AG280" t="inlineStr">
        <is>
          <t>AUTO_GENERERAD. Verifiera citat mot kallfil.</t>
        </is>
      </c>
      <c r="AH280" t="inlineStr">
        <is>
          <t>MEDIUM</t>
        </is>
      </c>
      <c r="AI280" t="inlineStr">
        <is>
          <t>AUTO</t>
        </is>
      </c>
      <c r="AJ280" t="inlineStr">
        <is>
          <t>Nej</t>
        </is>
      </c>
      <c r="AK280" t="inlineStr"/>
      <c r="AL280" t="inlineStr"/>
      <c r="AM280" t="inlineStr"/>
      <c r="AN280" t="inlineStr"/>
      <c r="AO280" t="inlineStr">
        <is>
          <t>cmm4yuqt403xbcuqwn5w6kvre</t>
        </is>
      </c>
      <c r="AP280" t="inlineStr">
        <is>
          <t>http://localhost:8787/api/admin/requirements/documents/cmm4yuqt403xbcuqwn5w6kvre/view</t>
        </is>
      </c>
      <c r="AQ280">
        <f>HYPERLÄNK("http://localhost:8787/api/admin/requirements/documents/cmm4yuqt403xbcuqwn5w6kvre/view";"Öppna PDF")</f>
        <v/>
      </c>
      <c r="AR280">
        <f>HYPERLINK("http://localhost:8787/api/admin/requirements/documents/cmm4yuqt403xbcuqwn5w6kvre/view","Open PDF")</f>
        <v/>
      </c>
      <c r="AS280" t="inlineStr">
        <is>
          <t>cmm55w57p0004cuisfrtpqly8</t>
        </is>
      </c>
      <c r="AT280" t="inlineStr">
        <is>
          <t>cmm4xvu980000cuh4vj0usz09</t>
        </is>
      </c>
      <c r="AU280" t="inlineStr"/>
      <c r="AV280" t="inlineStr">
        <is>
          <t>Kommun</t>
        </is>
      </c>
      <c r="AW280" t="inlineStr"/>
      <c r="AX280" t="inlineStr">
        <is>
          <t>2024-2166</t>
        </is>
      </c>
      <c r="AY280" t="inlineStr">
        <is>
          <t>Anmalan</t>
        </is>
      </c>
      <c r="AZ280" t="inlineStr">
        <is>
          <t>2026-02-05</t>
        </is>
      </c>
      <c r="BA280" t="inlineStr">
        <is>
          <t>M-2024-2166 - Anmälan.pdf</t>
        </is>
      </c>
      <c r="BB280" t="inlineStr">
        <is>
          <t>Sv:  Begäran om utlämnande av allmän handling – Anmälningar och beslut rörande mellanlagring av avfall samt anläggning av ytor</t>
        </is>
      </c>
      <c r="BC280" t="inlineStr">
        <is>
          <t>AUTO</t>
        </is>
      </c>
      <c r="BD280" t="inlineStr"/>
      <c r="BE280" t="inlineStr"/>
      <c r="BF280" t="inlineStr">
        <is>
          <t>AUTO_GENERERAD. Bekrafta metadata mot kallfil.</t>
        </is>
      </c>
      <c r="BG280">
        <f>HYPERLINK("C:\Users\jimmy\Desktop\Examens arbete\Kod\Ny mapp\remix_-copy-of-miljöbeslut.se-portal\M-2024-2166 - Anmälan.pdf", "Öppna PDF")</f>
        <v/>
      </c>
    </row>
    <row r="281">
      <c r="A281" t="inlineStr">
        <is>
          <t>KRAV-AUTO-000280</t>
        </is>
      </c>
      <c r="B281" t="inlineStr">
        <is>
          <t>ADMIN-INDEX-2026-02-27-00000000125C043F57453246863FE664CAFE6A3F0700950291EA24F0614FB6ACEDB12BF0E31D00000000010C0000950291EA24F0614FB6ACEDB12BF0E31D00002087A5DA0000</t>
        </is>
      </c>
      <c r="C281" t="inlineStr">
        <is>
          <t>cmm4yuqt203x8cuqws5ahixm1</t>
        </is>
      </c>
      <c r="D281" t="inlineStr">
        <is>
          <t>http://localhost:8787/api/admin/requirements/documents/cmm4yuqt203x8cuqws5ahixm1/view</t>
        </is>
      </c>
      <c r="E281">
        <f>HYPERLÄNK("http://localhost:8787/api/admin/requirements/documents/cmm4yuqt203x8cuqws5ahixm1/view";"Öppna PDF")</f>
        <v/>
      </c>
      <c r="F281">
        <f>HYPERLINK("http://localhost:8787/api/admin/requirements/documents/cmm4yuqt203x8cuqws5ahixm1/view","Open PDF")</f>
        <v/>
      </c>
      <c r="G281" t="inlineStr">
        <is>
          <t>cmm55w57p0004cuisfrtpqly8</t>
        </is>
      </c>
      <c r="H281" t="inlineStr">
        <is>
          <t>Informationskrav</t>
        </is>
      </c>
      <c r="I281" t="inlineStr">
        <is>
          <t>MiljopaverkanForsiktighet</t>
        </is>
      </c>
      <c r="J281" t="inlineStr">
        <is>
          <t>Skyddsatgarder</t>
        </is>
      </c>
      <c r="K281" t="inlineStr">
        <is>
          <t>- Skalenliga profilskisser av platsen där avfallet ska användas.</t>
        </is>
      </c>
      <c r="L281" t="inlineStr">
        <is>
          <t>- Skalenliga profilskisser av platsen där avfallet ska användas.</t>
        </is>
      </c>
      <c r="M281" t="inlineStr">
        <is>
          <t>SKA</t>
        </is>
      </c>
      <c r="N281" t="inlineStr"/>
      <c r="O281" t="inlineStr"/>
      <c r="P281" t="inlineStr"/>
      <c r="Q281" t="inlineStr"/>
      <c r="R281" t="inlineStr">
        <is>
          <t>Alltid</t>
        </is>
      </c>
      <c r="S281" t="inlineStr"/>
      <c r="T281" t="inlineStr"/>
      <c r="U281" t="inlineStr"/>
      <c r="V281" t="inlineStr"/>
      <c r="W281" t="inlineStr">
        <is>
          <t>Nej</t>
        </is>
      </c>
      <c r="X281" t="inlineStr">
        <is>
          <t>Nej</t>
        </is>
      </c>
      <c r="Y281" t="inlineStr">
        <is>
          <t>Nej</t>
        </is>
      </c>
      <c r="Z281" t="inlineStr">
        <is>
          <t>Nej</t>
        </is>
      </c>
      <c r="AA281" t="n">
        <v>10</v>
      </c>
      <c r="AB281" t="inlineStr">
        <is>
          <t>Miljopaverkan och forsiktighetsmatt</t>
        </is>
      </c>
      <c r="AC281" t="inlineStr">
        <is>
          <t>Miljo-PM</t>
        </is>
      </c>
      <c r="AD281" t="inlineStr">
        <is>
          <t>Nej</t>
        </is>
      </c>
      <c r="AE281" t="inlineStr">
        <is>
          <t>Nej</t>
        </is>
      </c>
      <c r="AF281" t="inlineStr">
        <is>
          <t>Ej behandlad</t>
        </is>
      </c>
      <c r="AG281" t="inlineStr">
        <is>
          <t>AUTO_GENERERAD. Verifiera citat mot kallfil.</t>
        </is>
      </c>
      <c r="AH281" t="inlineStr">
        <is>
          <t>MEDIUM</t>
        </is>
      </c>
      <c r="AI281" t="inlineStr">
        <is>
          <t>AUTO</t>
        </is>
      </c>
      <c r="AJ281" t="inlineStr">
        <is>
          <t>Nej</t>
        </is>
      </c>
      <c r="AK281" t="inlineStr"/>
      <c r="AL281" t="inlineStr"/>
      <c r="AM281" t="inlineStr"/>
      <c r="AN281" t="inlineStr"/>
      <c r="AO281" t="inlineStr">
        <is>
          <t>cmm4yuqt403xbcuqwn5w6kvre</t>
        </is>
      </c>
      <c r="AP281" t="inlineStr">
        <is>
          <t>http://localhost:8787/api/admin/requirements/documents/cmm4yuqt403xbcuqwn5w6kvre/view</t>
        </is>
      </c>
      <c r="AQ281">
        <f>HYPERLÄNK("http://localhost:8787/api/admin/requirements/documents/cmm4yuqt403xbcuqwn5w6kvre/view";"Öppna PDF")</f>
        <v/>
      </c>
      <c r="AR281">
        <f>HYPERLINK("http://localhost:8787/api/admin/requirements/documents/cmm4yuqt403xbcuqwn5w6kvre/view","Open PDF")</f>
        <v/>
      </c>
      <c r="AS281" t="inlineStr">
        <is>
          <t>cmm55w57p0004cuisfrtpqly8</t>
        </is>
      </c>
      <c r="AT281" t="inlineStr">
        <is>
          <t>cmm4xvu980000cuh4vj0usz09</t>
        </is>
      </c>
      <c r="AU281" t="inlineStr"/>
      <c r="AV281" t="inlineStr">
        <is>
          <t>Kommun</t>
        </is>
      </c>
      <c r="AW281" t="inlineStr"/>
      <c r="AX281" t="inlineStr">
        <is>
          <t>2024-2166</t>
        </is>
      </c>
      <c r="AY281" t="inlineStr">
        <is>
          <t>Anmalan</t>
        </is>
      </c>
      <c r="AZ281" t="inlineStr">
        <is>
          <t>2026-02-05</t>
        </is>
      </c>
      <c r="BA281" t="inlineStr">
        <is>
          <t>M-2024-2166 - Anmälan.pdf</t>
        </is>
      </c>
      <c r="BB281" t="inlineStr">
        <is>
          <t>Sv:  Begäran om utlämnande av allmän handling – Anmälningar och beslut rörande mellanlagring av avfall samt anläggning av ytor</t>
        </is>
      </c>
      <c r="BC281" t="inlineStr">
        <is>
          <t>AUTO</t>
        </is>
      </c>
      <c r="BD281" t="inlineStr"/>
      <c r="BE281" t="inlineStr"/>
      <c r="BF281" t="inlineStr">
        <is>
          <t>AUTO_GENERERAD. Bekrafta metadata mot kallfil.</t>
        </is>
      </c>
      <c r="BG281">
        <f>HYPERLINK("C:\Users\jimmy\Desktop\Examens arbete\Kod\Ny mapp\remix_-copy-of-miljöbeslut.se-portal\M-2024-2166 - Anmälan.pdf", "Öppna PDF")</f>
        <v/>
      </c>
    </row>
    <row r="282">
      <c r="A282" t="inlineStr">
        <is>
          <t>KRAV-AUTO-000281</t>
        </is>
      </c>
      <c r="B282" t="inlineStr">
        <is>
          <t>ADMIN-INDEX-2026-02-27-00000000125C043F57453246863FE664CAFE6A3F0700950291EA24F0614FB6ACEDB12BF0E31D00000000010C0000950291EA24F0614FB6ACEDB12BF0E31D00002087A5DA0000</t>
        </is>
      </c>
      <c r="C282" t="inlineStr">
        <is>
          <t>cmm4yuqsq03wwcuqworgh5mo1</t>
        </is>
      </c>
      <c r="D282" t="inlineStr">
        <is>
          <t>http://localhost:8787/api/admin/requirements/documents/cmm4yuqsq03wwcuqworgh5mo1/view</t>
        </is>
      </c>
      <c r="E282">
        <f>HYPERLÄNK("http://localhost:8787/api/admin/requirements/documents/cmm4yuqsq03wwcuqworgh5mo1/view";"Öppna PDF")</f>
        <v/>
      </c>
      <c r="F282">
        <f>HYPERLINK("http://localhost:8787/api/admin/requirements/documents/cmm4yuqsq03wwcuqworgh5mo1/view","Open PDF")</f>
        <v/>
      </c>
      <c r="G282" t="inlineStr">
        <is>
          <t>cmm55w57p0004cuisfrtpqly8</t>
        </is>
      </c>
      <c r="H282" t="inlineStr">
        <is>
          <t>Informationskrav</t>
        </is>
      </c>
      <c r="I282" t="inlineStr">
        <is>
          <t>DriftEgenkontroll</t>
        </is>
      </c>
      <c r="J282" t="inlineStr">
        <is>
          <t>Journalforing</t>
        </is>
      </c>
      <c r="K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82" t="inlineStr">
        <is>
          <t>SKA</t>
        </is>
      </c>
      <c r="N282" t="inlineStr"/>
      <c r="O282" t="inlineStr"/>
      <c r="P282" t="inlineStr">
        <is>
          <t>Arlig</t>
        </is>
      </c>
      <c r="Q282" t="inlineStr"/>
      <c r="R282" t="inlineStr">
        <is>
          <t>Lopande drift</t>
        </is>
      </c>
      <c r="S282" t="inlineStr"/>
      <c r="T282" t="inlineStr"/>
      <c r="U282" t="inlineStr"/>
      <c r="V282" t="inlineStr"/>
      <c r="W282" t="inlineStr">
        <is>
          <t>Nej</t>
        </is>
      </c>
      <c r="X282" t="inlineStr">
        <is>
          <t>Nej</t>
        </is>
      </c>
      <c r="Y282" t="inlineStr">
        <is>
          <t>Ja</t>
        </is>
      </c>
      <c r="Z282" t="inlineStr">
        <is>
          <t>Nej</t>
        </is>
      </c>
      <c r="AA282" t="n">
        <v>7</v>
      </c>
      <c r="AB282" t="inlineStr">
        <is>
          <t>Egenkontrollrutiner</t>
        </is>
      </c>
      <c r="AC282" t="inlineStr">
        <is>
          <t>Egenkontrollprogram</t>
        </is>
      </c>
      <c r="AD282" t="inlineStr">
        <is>
          <t>Nej</t>
        </is>
      </c>
      <c r="AE282" t="inlineStr">
        <is>
          <t>Nej</t>
        </is>
      </c>
      <c r="AF282" t="inlineStr">
        <is>
          <t>Ej behandlad</t>
        </is>
      </c>
      <c r="AG282" t="inlineStr">
        <is>
          <t>AUTO_GENERERAD. Verifiera citat mot kallfil.</t>
        </is>
      </c>
      <c r="AH282" t="inlineStr">
        <is>
          <t>MEDIUM</t>
        </is>
      </c>
      <c r="AI282" t="inlineStr">
        <is>
          <t>AUTO</t>
        </is>
      </c>
      <c r="AJ282" t="inlineStr">
        <is>
          <t>Nej</t>
        </is>
      </c>
      <c r="AK282" t="inlineStr"/>
      <c r="AL282" t="inlineStr"/>
      <c r="AM282" t="inlineStr"/>
      <c r="AN282" t="inlineStr"/>
      <c r="AO282" t="inlineStr">
        <is>
          <t>cmm4yuqt403xbcuqwn5w6kvre</t>
        </is>
      </c>
      <c r="AP282" t="inlineStr">
        <is>
          <t>http://localhost:8787/api/admin/requirements/documents/cmm4yuqt403xbcuqwn5w6kvre/view</t>
        </is>
      </c>
      <c r="AQ282">
        <f>HYPERLÄNK("http://localhost:8787/api/admin/requirements/documents/cmm4yuqt403xbcuqwn5w6kvre/view";"Öppna PDF")</f>
        <v/>
      </c>
      <c r="AR282">
        <f>HYPERLINK("http://localhost:8787/api/admin/requirements/documents/cmm4yuqt403xbcuqwn5w6kvre/view","Open PDF")</f>
        <v/>
      </c>
      <c r="AS282" t="inlineStr">
        <is>
          <t>cmm55w57p0004cuisfrtpqly8</t>
        </is>
      </c>
      <c r="AT282" t="inlineStr">
        <is>
          <t>cmm4xvu980000cuh4vj0usz09</t>
        </is>
      </c>
      <c r="AU282" t="inlineStr"/>
      <c r="AV282" t="inlineStr">
        <is>
          <t>Kommun</t>
        </is>
      </c>
      <c r="AW282" t="inlineStr"/>
      <c r="AX282" t="inlineStr">
        <is>
          <t>2024-2166</t>
        </is>
      </c>
      <c r="AY282" t="inlineStr">
        <is>
          <t>Anmalan</t>
        </is>
      </c>
      <c r="AZ282" t="inlineStr">
        <is>
          <t>2026-02-05</t>
        </is>
      </c>
      <c r="BA282" t="inlineStr">
        <is>
          <t>M-2024-2166 - Anmälan.pdf</t>
        </is>
      </c>
      <c r="BB282" t="inlineStr">
        <is>
          <t>Sv:  Begäran om utlämnande av allmän handling – Anmälningar och beslut rörande mellanlagring av avfall samt anläggning av ytor</t>
        </is>
      </c>
      <c r="BC282" t="inlineStr">
        <is>
          <t>AUTO</t>
        </is>
      </c>
      <c r="BD282" t="inlineStr"/>
      <c r="BE282" t="inlineStr"/>
      <c r="BF282" t="inlineStr">
        <is>
          <t>AUTO_GENERERAD. Bekrafta metadata mot kallfil.</t>
        </is>
      </c>
      <c r="BG282">
        <f>HYPERLINK("C:\Users\jimmy\Desktop\Examens arbete\Kod\Ny mapp\remix_-copy-of-miljöbeslut.se-portal\M-2024-2166 - Anmälan.pdf", "Öppna PDF")</f>
        <v/>
      </c>
    </row>
    <row r="283">
      <c r="A283" t="inlineStr">
        <is>
          <t>KRAV-AUTO-000282</t>
        </is>
      </c>
      <c r="B283" t="inlineStr">
        <is>
          <t>ADMIN-INDEX-2026-02-27-00000000125C043F57453246863FE664CAFE6A3F0700950291EA24F0614FB6ACEDB12BF0E31D00000000010C0000950291EA24F0614FB6ACEDB12BF0E31D00002087A5DA0000</t>
        </is>
      </c>
      <c r="C283" t="inlineStr">
        <is>
          <t>cmm4yuqsq03wwcuqworgh5mo1</t>
        </is>
      </c>
      <c r="D283" t="inlineStr">
        <is>
          <t>http://localhost:8787/api/admin/requirements/documents/cmm4yuqsq03wwcuqworgh5mo1/view</t>
        </is>
      </c>
      <c r="E283">
        <f>HYPERLÄNK("http://localhost:8787/api/admin/requirements/documents/cmm4yuqsq03wwcuqworgh5mo1/view";"Öppna PDF")</f>
        <v/>
      </c>
      <c r="F283">
        <f>HYPERLINK("http://localhost:8787/api/admin/requirements/documents/cmm4yuqsq03wwcuqworgh5mo1/view","Open PDF")</f>
        <v/>
      </c>
      <c r="G283" t="inlineStr">
        <is>
          <t>cmm55w57p0004cuisfrtpqly8</t>
        </is>
      </c>
      <c r="H283" t="inlineStr">
        <is>
          <t>Informationskrav</t>
        </is>
      </c>
      <c r="I283" t="inlineStr">
        <is>
          <t>DagvattenLakvatten</t>
        </is>
      </c>
      <c r="J283" t="inlineStr">
        <is>
          <t>Uppsamling</t>
        </is>
      </c>
      <c r="K283" t="inlineStr">
        <is>
          <t>6 § miljöbalken (SFS 1998:808) krävs en anmälan vid användning av avfall för anläggningsändamål på ett sätt som kan förorena mark, vattenområde eller grundvatten och där föroreningsrisken bedöms som ringa.</t>
        </is>
      </c>
      <c r="L283" t="inlineStr">
        <is>
          <t>6 § miljöbalken (SFS 1998:808) krävs en anmälan vid användning av avfall för anläggningsändamål på ett sätt som kan förorena mark, vattenområde eller grundvatten och där föroreningsrisken bedöms som ringa.</t>
        </is>
      </c>
      <c r="M283" t="inlineStr">
        <is>
          <t>SKA</t>
        </is>
      </c>
      <c r="N283" t="inlineStr">
        <is>
          <t>Miljobalken</t>
        </is>
      </c>
      <c r="O283" t="inlineStr"/>
      <c r="P283" t="inlineStr"/>
      <c r="Q283" t="inlineStr"/>
      <c r="R283" t="inlineStr">
        <is>
          <t>Vid nederbord och avrinning</t>
        </is>
      </c>
      <c r="S283" t="inlineStr"/>
      <c r="T283" t="inlineStr"/>
      <c r="U283" t="inlineStr"/>
      <c r="V283" t="inlineStr"/>
      <c r="W283" t="inlineStr">
        <is>
          <t>Nej</t>
        </is>
      </c>
      <c r="X283" t="inlineStr">
        <is>
          <t>Ja</t>
        </is>
      </c>
      <c r="Y283" t="inlineStr">
        <is>
          <t>Ja</t>
        </is>
      </c>
      <c r="Z283" t="inlineStr">
        <is>
          <t>Nej</t>
        </is>
      </c>
      <c r="AA283" t="n">
        <v>6</v>
      </c>
      <c r="AB283" t="inlineStr">
        <is>
          <t>Lakvattenhantering</t>
        </is>
      </c>
      <c r="AC283" t="inlineStr">
        <is>
          <t>Flodesschema dagvatten-lakvatten</t>
        </is>
      </c>
      <c r="AD283" t="inlineStr">
        <is>
          <t>Nej</t>
        </is>
      </c>
      <c r="AE283" t="inlineStr">
        <is>
          <t>Nej</t>
        </is>
      </c>
      <c r="AF283" t="inlineStr">
        <is>
          <t>Ej behandlad</t>
        </is>
      </c>
      <c r="AG283" t="inlineStr">
        <is>
          <t>AUTO_GENERERAD. Verifiera citat mot kallfil.</t>
        </is>
      </c>
      <c r="AH283" t="inlineStr">
        <is>
          <t>MEDIUM</t>
        </is>
      </c>
      <c r="AI283" t="inlineStr">
        <is>
          <t>AUTO</t>
        </is>
      </c>
      <c r="AJ283" t="inlineStr">
        <is>
          <t>Nej</t>
        </is>
      </c>
      <c r="AK283" t="inlineStr"/>
      <c r="AL283" t="inlineStr"/>
      <c r="AM283" t="inlineStr"/>
      <c r="AN283" t="inlineStr"/>
      <c r="AO283" t="inlineStr">
        <is>
          <t>cmm4yuqt403xbcuqwn5w6kvre</t>
        </is>
      </c>
      <c r="AP283" t="inlineStr">
        <is>
          <t>http://localhost:8787/api/admin/requirements/documents/cmm4yuqt403xbcuqwn5w6kvre/view</t>
        </is>
      </c>
      <c r="AQ283">
        <f>HYPERLÄNK("http://localhost:8787/api/admin/requirements/documents/cmm4yuqt403xbcuqwn5w6kvre/view";"Öppna PDF")</f>
        <v/>
      </c>
      <c r="AR283">
        <f>HYPERLINK("http://localhost:8787/api/admin/requirements/documents/cmm4yuqt403xbcuqwn5w6kvre/view","Open PDF")</f>
        <v/>
      </c>
      <c r="AS283" t="inlineStr">
        <is>
          <t>cmm55w57p0004cuisfrtpqly8</t>
        </is>
      </c>
      <c r="AT283" t="inlineStr">
        <is>
          <t>cmm4xvu980000cuh4vj0usz09</t>
        </is>
      </c>
      <c r="AU283" t="inlineStr"/>
      <c r="AV283" t="inlineStr">
        <is>
          <t>Kommun</t>
        </is>
      </c>
      <c r="AW283" t="inlineStr"/>
      <c r="AX283" t="inlineStr">
        <is>
          <t>2024-2166</t>
        </is>
      </c>
      <c r="AY283" t="inlineStr">
        <is>
          <t>Anmalan</t>
        </is>
      </c>
      <c r="AZ283" t="inlineStr">
        <is>
          <t>2026-02-05</t>
        </is>
      </c>
      <c r="BA283" t="inlineStr">
        <is>
          <t>M-2024-2166 - Anmälan.pdf</t>
        </is>
      </c>
      <c r="BB283" t="inlineStr">
        <is>
          <t>Sv:  Begäran om utlämnande av allmän handling – Anmälningar och beslut rörande mellanlagring av avfall samt anläggning av ytor</t>
        </is>
      </c>
      <c r="BC283" t="inlineStr">
        <is>
          <t>AUTO</t>
        </is>
      </c>
      <c r="BD283" t="inlineStr"/>
      <c r="BE283" t="inlineStr"/>
      <c r="BF283" t="inlineStr">
        <is>
          <t>AUTO_GENERERAD. Bekrafta metadata mot kallfil.</t>
        </is>
      </c>
      <c r="BG283">
        <f>HYPERLINK("C:\Users\jimmy\Desktop\Examens arbete\Kod\Ny mapp\remix_-copy-of-miljöbeslut.se-portal\M-2024-2166 - Anmälan.pdf", "Öppna PDF")</f>
        <v/>
      </c>
    </row>
    <row r="284">
      <c r="A284" t="inlineStr">
        <is>
          <t>KRAV-AUTO-000283</t>
        </is>
      </c>
      <c r="B284" t="inlineStr">
        <is>
          <t>ADMIN-INDEX-2026-02-27-00000000125C043F57453246863FE664CAFE6A3F0700950291EA24F0614FB6ACEDB12BF0E31D00000000010C0000950291EA24F0614FB6ACEDB12BF0E31D00002087A5DA0000</t>
        </is>
      </c>
      <c r="C284" t="inlineStr">
        <is>
          <t>cmm4yuqsq03wwcuqworgh5mo1</t>
        </is>
      </c>
      <c r="D284" t="inlineStr">
        <is>
          <t>http://localhost:8787/api/admin/requirements/documents/cmm4yuqsq03wwcuqworgh5mo1/view</t>
        </is>
      </c>
      <c r="E284">
        <f>HYPERLÄNK("http://localhost:8787/api/admin/requirements/documents/cmm4yuqsq03wwcuqworgh5mo1/view";"Öppna PDF")</f>
        <v/>
      </c>
      <c r="F284">
        <f>HYPERLINK("http://localhost:8787/api/admin/requirements/documents/cmm4yuqsq03wwcuqworgh5mo1/view","Open PDF")</f>
        <v/>
      </c>
      <c r="G284" t="inlineStr">
        <is>
          <t>cmm55w57p0004cuisfrtpqly8</t>
        </is>
      </c>
      <c r="H284" t="inlineStr">
        <is>
          <t>Informationskrav</t>
        </is>
      </c>
      <c r="I284" t="inlineStr">
        <is>
          <t>MiljopaverkanForsiktighet</t>
        </is>
      </c>
      <c r="J284" t="inlineStr">
        <is>
          <t>Skyddsatgarder</t>
        </is>
      </c>
      <c r="K284" t="inlineStr">
        <is>
          <t>- Skalenliga profilskisser av platsen där avfallet ska användas.</t>
        </is>
      </c>
      <c r="L284" t="inlineStr">
        <is>
          <t>- Skalenliga profilskisser av platsen där avfallet ska användas.</t>
        </is>
      </c>
      <c r="M284" t="inlineStr">
        <is>
          <t>SKA</t>
        </is>
      </c>
      <c r="N284" t="inlineStr"/>
      <c r="O284" t="inlineStr"/>
      <c r="P284" t="inlineStr"/>
      <c r="Q284" t="inlineStr"/>
      <c r="R284" t="inlineStr">
        <is>
          <t>Alltid</t>
        </is>
      </c>
      <c r="S284" t="inlineStr"/>
      <c r="T284" t="inlineStr"/>
      <c r="U284" t="inlineStr"/>
      <c r="V284" t="inlineStr"/>
      <c r="W284" t="inlineStr">
        <is>
          <t>Nej</t>
        </is>
      </c>
      <c r="X284" t="inlineStr">
        <is>
          <t>Nej</t>
        </is>
      </c>
      <c r="Y284" t="inlineStr">
        <is>
          <t>Nej</t>
        </is>
      </c>
      <c r="Z284" t="inlineStr">
        <is>
          <t>Nej</t>
        </is>
      </c>
      <c r="AA284" t="n">
        <v>10</v>
      </c>
      <c r="AB284" t="inlineStr">
        <is>
          <t>Miljopaverkan och forsiktighetsmatt</t>
        </is>
      </c>
      <c r="AC284" t="inlineStr">
        <is>
          <t>Miljo-PM</t>
        </is>
      </c>
      <c r="AD284" t="inlineStr">
        <is>
          <t>Nej</t>
        </is>
      </c>
      <c r="AE284" t="inlineStr">
        <is>
          <t>Nej</t>
        </is>
      </c>
      <c r="AF284" t="inlineStr">
        <is>
          <t>Ej behandlad</t>
        </is>
      </c>
      <c r="AG284" t="inlineStr">
        <is>
          <t>AUTO_GENERERAD. Verifiera citat mot kallfil.</t>
        </is>
      </c>
      <c r="AH284" t="inlineStr">
        <is>
          <t>MEDIUM</t>
        </is>
      </c>
      <c r="AI284" t="inlineStr">
        <is>
          <t>AUTO</t>
        </is>
      </c>
      <c r="AJ284" t="inlineStr">
        <is>
          <t>Nej</t>
        </is>
      </c>
      <c r="AK284" t="inlineStr"/>
      <c r="AL284" t="inlineStr"/>
      <c r="AM284" t="inlineStr"/>
      <c r="AN284" t="inlineStr"/>
      <c r="AO284" t="inlineStr">
        <is>
          <t>cmm4yuqt403xbcuqwn5w6kvre</t>
        </is>
      </c>
      <c r="AP284" t="inlineStr">
        <is>
          <t>http://localhost:8787/api/admin/requirements/documents/cmm4yuqt403xbcuqwn5w6kvre/view</t>
        </is>
      </c>
      <c r="AQ284">
        <f>HYPERLÄNK("http://localhost:8787/api/admin/requirements/documents/cmm4yuqt403xbcuqwn5w6kvre/view";"Öppna PDF")</f>
        <v/>
      </c>
      <c r="AR284">
        <f>HYPERLINK("http://localhost:8787/api/admin/requirements/documents/cmm4yuqt403xbcuqwn5w6kvre/view","Open PDF")</f>
        <v/>
      </c>
      <c r="AS284" t="inlineStr">
        <is>
          <t>cmm55w57p0004cuisfrtpqly8</t>
        </is>
      </c>
      <c r="AT284" t="inlineStr">
        <is>
          <t>cmm4xvu980000cuh4vj0usz09</t>
        </is>
      </c>
      <c r="AU284" t="inlineStr"/>
      <c r="AV284" t="inlineStr">
        <is>
          <t>Kommun</t>
        </is>
      </c>
      <c r="AW284" t="inlineStr"/>
      <c r="AX284" t="inlineStr">
        <is>
          <t>2024-2166</t>
        </is>
      </c>
      <c r="AY284" t="inlineStr">
        <is>
          <t>Anmalan</t>
        </is>
      </c>
      <c r="AZ284" t="inlineStr">
        <is>
          <t>2026-02-05</t>
        </is>
      </c>
      <c r="BA284" t="inlineStr">
        <is>
          <t>M-2024-2166 - Anmälan.pdf</t>
        </is>
      </c>
      <c r="BB284" t="inlineStr">
        <is>
          <t>Sv:  Begäran om utlämnande av allmän handling – Anmälningar och beslut rörande mellanlagring av avfall samt anläggning av ytor</t>
        </is>
      </c>
      <c r="BC284" t="inlineStr">
        <is>
          <t>AUTO</t>
        </is>
      </c>
      <c r="BD284" t="inlineStr"/>
      <c r="BE284" t="inlineStr"/>
      <c r="BF284" t="inlineStr">
        <is>
          <t>AUTO_GENERERAD. Bekrafta metadata mot kallfil.</t>
        </is>
      </c>
      <c r="BG284">
        <f>HYPERLINK("C:\Users\jimmy\Desktop\Examens arbete\Kod\Ny mapp\remix_-copy-of-miljöbeslut.se-portal\M-2024-2166 - Anmälan.pdf", "Öppna PDF")</f>
        <v/>
      </c>
    </row>
    <row r="285">
      <c r="A285" t="inlineStr">
        <is>
          <t>KRAV-AUTO-000284</t>
        </is>
      </c>
      <c r="B285" t="inlineStr">
        <is>
          <t>ADMIN-INDEX-2026-02-27-00000000125C043F57453246863FE664CAFE6A3F0700950291EA24F0614FB6ACEDB12BF0E31D00000000010C0000950291EA24F0614FB6ACEDB12BF0E31D00002087A5D00000</t>
        </is>
      </c>
      <c r="C285" t="inlineStr">
        <is>
          <t>cmm4yuqxd041ncuqw0xs9r3na</t>
        </is>
      </c>
      <c r="D285" t="inlineStr">
        <is>
          <t>http://localhost:8787/api/admin/requirements/documents/cmm4yuqxd041ncuqw0xs9r3na/view</t>
        </is>
      </c>
      <c r="E285">
        <f>HYPERLÄNK("http://localhost:8787/api/admin/requirements/documents/cmm4yuqxd041ncuqw0xs9r3na/view";"Öppna PDF")</f>
        <v/>
      </c>
      <c r="F285">
        <f>HYPERLINK("http://localhost:8787/api/admin/requirements/documents/cmm4yuqxd041ncuqw0xs9r3na/view","Open PDF")</f>
        <v/>
      </c>
      <c r="G285" t="inlineStr">
        <is>
          <t>cmm55w57p0004cuisfrtpqly8</t>
        </is>
      </c>
      <c r="H285" t="inlineStr">
        <is>
          <t>Informationskrav</t>
        </is>
      </c>
      <c r="I285" t="inlineStr">
        <is>
          <t>Ytkonstruktion</t>
        </is>
      </c>
      <c r="J285" t="inlineStr">
        <is>
          <t>Tat yta</t>
        </is>
      </c>
      <c r="K285" t="inlineStr">
        <is>
          <t>Då verksamheten redan har kunskap, yta och avtal med mottagande verksamheter ställdes frågan huruvida avfallsmängd från stubbar faller inom redan godkända avfallskoder.</t>
        </is>
      </c>
      <c r="L285" t="inlineStr">
        <is>
          <t>Då verksamheten redan har kunskap, yta och avtal med mottagande verksamheter ställdes frågan huruvida avfallsmängd från stubbar faller inom redan godkända avfallskoder.</t>
        </is>
      </c>
      <c r="M285" t="inlineStr">
        <is>
          <t>SKA</t>
        </is>
      </c>
      <c r="N285" t="inlineStr"/>
      <c r="O285" t="inlineStr"/>
      <c r="P285" t="inlineStr"/>
      <c r="Q285" t="inlineStr"/>
      <c r="R285" t="inlineStr">
        <is>
          <t>Vid mellanlagring av avfall</t>
        </is>
      </c>
      <c r="S285" t="inlineStr"/>
      <c r="T285" t="inlineStr">
        <is>
          <t>23 2025</t>
        </is>
      </c>
      <c r="U285" t="inlineStr"/>
      <c r="V285" t="inlineStr"/>
      <c r="W285" t="inlineStr">
        <is>
          <t>Ja</t>
        </is>
      </c>
      <c r="X285" t="inlineStr">
        <is>
          <t>Nej</t>
        </is>
      </c>
      <c r="Y285" t="inlineStr">
        <is>
          <t>Nej</t>
        </is>
      </c>
      <c r="Z285" t="inlineStr">
        <is>
          <t>Nej</t>
        </is>
      </c>
      <c r="AA285" t="n">
        <v>5</v>
      </c>
      <c r="AB285" t="inlineStr">
        <is>
          <t>Teknisk beskrivning av platta</t>
        </is>
      </c>
      <c r="AC285" t="inlineStr">
        <is>
          <t>Teknisk ritning platta</t>
        </is>
      </c>
      <c r="AD285" t="inlineStr">
        <is>
          <t>Nej</t>
        </is>
      </c>
      <c r="AE285" t="inlineStr">
        <is>
          <t>Nej</t>
        </is>
      </c>
      <c r="AF285" t="inlineStr">
        <is>
          <t>Ej behandlad</t>
        </is>
      </c>
      <c r="AG285" t="inlineStr">
        <is>
          <t>AUTO_GENERERAD. Verifiera citat mot kallfil.</t>
        </is>
      </c>
      <c r="AH285" t="inlineStr">
        <is>
          <t>MEDIUM</t>
        </is>
      </c>
      <c r="AI285" t="inlineStr">
        <is>
          <t>AUTO</t>
        </is>
      </c>
      <c r="AJ285" t="inlineStr">
        <is>
          <t>Nej</t>
        </is>
      </c>
      <c r="AK285" t="inlineStr"/>
      <c r="AL285" t="inlineStr"/>
      <c r="AM285" t="inlineStr"/>
      <c r="AN285" t="inlineStr"/>
      <c r="AO285" t="inlineStr">
        <is>
          <t>cmm4yuqx2041bcuqw058z69j7</t>
        </is>
      </c>
      <c r="AP285" t="inlineStr">
        <is>
          <t>http://localhost:8787/api/admin/requirements/documents/cmm4yuqx2041bcuqw058z69j7/view</t>
        </is>
      </c>
      <c r="AQ285">
        <f>HYPERLÄNK("http://localhost:8787/api/admin/requirements/documents/cmm4yuqx2041bcuqw058z69j7/view";"Öppna PDF")</f>
        <v/>
      </c>
      <c r="AR285">
        <f>HYPERLINK("http://localhost:8787/api/admin/requirements/documents/cmm4yuqx2041bcuqw058z69j7/view","Open PDF")</f>
        <v/>
      </c>
      <c r="AS285" t="inlineStr">
        <is>
          <t>cmm55w57p0004cuisfrtpqly8</t>
        </is>
      </c>
      <c r="AT285" t="inlineStr">
        <is>
          <t>cmm4xvu980000cuh4vj0usz09</t>
        </is>
      </c>
      <c r="AU285" t="inlineStr"/>
      <c r="AV285" t="inlineStr">
        <is>
          <t>Kommun</t>
        </is>
      </c>
      <c r="AW285" t="inlineStr"/>
      <c r="AX285" t="inlineStr">
        <is>
          <t>2024-10</t>
        </is>
      </c>
      <c r="AY285" t="inlineStr">
        <is>
          <t>Anmalan</t>
        </is>
      </c>
      <c r="AZ285" t="inlineStr">
        <is>
          <t>2026-02-05</t>
        </is>
      </c>
      <c r="BA285" t="inlineStr">
        <is>
          <t>Ärendenr 2023-1413. Motor-Ola AB. Anmälan och Beslut (2).pdf</t>
        </is>
      </c>
      <c r="BB285" t="inlineStr">
        <is>
          <t>SV: till registrator</t>
        </is>
      </c>
      <c r="BC285" t="inlineStr">
        <is>
          <t>AUTO</t>
        </is>
      </c>
      <c r="BD285" t="inlineStr"/>
      <c r="BE285" t="inlineStr"/>
      <c r="BF285" t="inlineStr">
        <is>
          <t>AUTO_GENERERAD. Bekrafta metadata mot kallfil.</t>
        </is>
      </c>
      <c r="BG285">
        <f>HYPERLINK("C:\Users\jimmy\Desktop\Examens arbete\Kod\Ny mapp\remix_-copy-of-miljöbeslut.se-portal\Ärendenr 2023-1413. Motor-Ola AB. Anmälan och Beslut (2).pdf", "Öppna PDF")</f>
        <v/>
      </c>
    </row>
    <row r="286">
      <c r="A286" t="inlineStr">
        <is>
          <t>KRAV-AUTO-000285</t>
        </is>
      </c>
      <c r="B286" t="inlineStr">
        <is>
          <t>ADMIN-INDEX-2026-02-27-00000000125C043F57453246863FE664CAFE6A3F0700950291EA24F0614FB6ACEDB12BF0E31D00000000010C0000950291EA24F0614FB6ACEDB12BF0E31D00002087A5D00000</t>
        </is>
      </c>
      <c r="C286" t="inlineStr">
        <is>
          <t>cmm4yuqxd041ncuqw0xs9r3na</t>
        </is>
      </c>
      <c r="D286" t="inlineStr">
        <is>
          <t>http://localhost:8787/api/admin/requirements/documents/cmm4yuqxd041ncuqw0xs9r3na/view</t>
        </is>
      </c>
      <c r="E286">
        <f>HYPERLÄNK("http://localhost:8787/api/admin/requirements/documents/cmm4yuqxd041ncuqw0xs9r3na/view";"Öppna PDF")</f>
        <v/>
      </c>
      <c r="F286">
        <f>HYPERLINK("http://localhost:8787/api/admin/requirements/documents/cmm4yuqxd041ncuqw0xs9r3na/view","Open PDF")</f>
        <v/>
      </c>
      <c r="G286" t="inlineStr">
        <is>
          <t>cmm55w57p0004cuisfrtpqly8</t>
        </is>
      </c>
      <c r="H286" t="inlineStr">
        <is>
          <t>Informationskrav</t>
        </is>
      </c>
      <c r="I286" t="inlineStr">
        <is>
          <t>Riskhantering</t>
        </is>
      </c>
      <c r="J286" t="inlineStr">
        <is>
          <t>Riskkontroll</t>
        </is>
      </c>
      <c r="K286" t="inlineStr">
        <is>
          <t>Den nya hanteringen medges med stöd av följande paragrafer i Miljöbalken 15 kap: 11 § Den som hanterar avfall ska se till att hanteringen inte skadar eller orsakar risk för skada på människors hälsa eller miljön.</t>
        </is>
      </c>
      <c r="L286" t="inlineStr">
        <is>
          <t>Den nya hanteringen medges med stöd av följande paragrafer i Miljöbalken 15 kap: 11 § Den som hanterar avfall ska se till att hanteringen inte skadar eller orsakar risk för skada på människors hälsa eller miljön.</t>
        </is>
      </c>
      <c r="M286" t="inlineStr">
        <is>
          <t>SKA</t>
        </is>
      </c>
      <c r="N286" t="inlineStr">
        <is>
          <t>Miljobalken</t>
        </is>
      </c>
      <c r="O286" t="inlineStr"/>
      <c r="P286" t="inlineStr"/>
      <c r="Q286" t="inlineStr"/>
      <c r="R286" t="inlineStr">
        <is>
          <t>Vid risk for incident</t>
        </is>
      </c>
      <c r="S286" t="inlineStr"/>
      <c r="T286" t="inlineStr">
        <is>
          <t>23 2025</t>
        </is>
      </c>
      <c r="U286" t="inlineStr"/>
      <c r="V286" t="inlineStr"/>
      <c r="W286" t="inlineStr">
        <is>
          <t>Nej</t>
        </is>
      </c>
      <c r="X286" t="inlineStr">
        <is>
          <t>Nej</t>
        </is>
      </c>
      <c r="Y286" t="inlineStr">
        <is>
          <t>Ja</t>
        </is>
      </c>
      <c r="Z286" t="inlineStr">
        <is>
          <t>Ja</t>
        </is>
      </c>
      <c r="AA286" t="n">
        <v>8</v>
      </c>
      <c r="AB286" t="inlineStr">
        <is>
          <t>Riskhantering</t>
        </is>
      </c>
      <c r="AC286" t="inlineStr">
        <is>
          <t>Risk-PM</t>
        </is>
      </c>
      <c r="AD286" t="inlineStr">
        <is>
          <t>Nej</t>
        </is>
      </c>
      <c r="AE286" t="inlineStr">
        <is>
          <t>Nej</t>
        </is>
      </c>
      <c r="AF286" t="inlineStr">
        <is>
          <t>Ej behandlad</t>
        </is>
      </c>
      <c r="AG286" t="inlineStr">
        <is>
          <t>AUTO_GENERERAD. Verifiera citat mot kallfil.</t>
        </is>
      </c>
      <c r="AH286" t="inlineStr">
        <is>
          <t>MEDIUM</t>
        </is>
      </c>
      <c r="AI286" t="inlineStr">
        <is>
          <t>AUTO</t>
        </is>
      </c>
      <c r="AJ286" t="inlineStr">
        <is>
          <t>Nej</t>
        </is>
      </c>
      <c r="AK286" t="inlineStr"/>
      <c r="AL286" t="inlineStr"/>
      <c r="AM286" t="inlineStr"/>
      <c r="AN286" t="inlineStr"/>
      <c r="AO286" t="inlineStr">
        <is>
          <t>cmm4yuqx2041bcuqw058z69j7</t>
        </is>
      </c>
      <c r="AP286" t="inlineStr">
        <is>
          <t>http://localhost:8787/api/admin/requirements/documents/cmm4yuqx2041bcuqw058z69j7/view</t>
        </is>
      </c>
      <c r="AQ286">
        <f>HYPERLÄNK("http://localhost:8787/api/admin/requirements/documents/cmm4yuqx2041bcuqw058z69j7/view";"Öppna PDF")</f>
        <v/>
      </c>
      <c r="AR286">
        <f>HYPERLINK("http://localhost:8787/api/admin/requirements/documents/cmm4yuqx2041bcuqw058z69j7/view","Open PDF")</f>
        <v/>
      </c>
      <c r="AS286" t="inlineStr">
        <is>
          <t>cmm55w57p0004cuisfrtpqly8</t>
        </is>
      </c>
      <c r="AT286" t="inlineStr">
        <is>
          <t>cmm4xvu980000cuh4vj0usz09</t>
        </is>
      </c>
      <c r="AU286" t="inlineStr"/>
      <c r="AV286" t="inlineStr">
        <is>
          <t>Kommun</t>
        </is>
      </c>
      <c r="AW286" t="inlineStr"/>
      <c r="AX286" t="inlineStr">
        <is>
          <t>2024-10</t>
        </is>
      </c>
      <c r="AY286" t="inlineStr">
        <is>
          <t>Anmalan</t>
        </is>
      </c>
      <c r="AZ286" t="inlineStr">
        <is>
          <t>2026-02-05</t>
        </is>
      </c>
      <c r="BA286" t="inlineStr">
        <is>
          <t>Ärendenr 2023-1413. Motor-Ola AB. Anmälan och Beslut (2).pdf</t>
        </is>
      </c>
      <c r="BB286" t="inlineStr">
        <is>
          <t>SV: till registrator</t>
        </is>
      </c>
      <c r="BC286" t="inlineStr">
        <is>
          <t>AUTO</t>
        </is>
      </c>
      <c r="BD286" t="inlineStr"/>
      <c r="BE286" t="inlineStr"/>
      <c r="BF286" t="inlineStr">
        <is>
          <t>AUTO_GENERERAD. Bekrafta metadata mot kallfil.</t>
        </is>
      </c>
      <c r="BG286">
        <f>HYPERLINK("C:\Users\jimmy\Desktop\Examens arbete\Kod\Ny mapp\remix_-copy-of-miljöbeslut.se-portal\Ärendenr 2023-1413. Motor-Ola AB. Anmälan och Beslut (2).pdf", "Öppna PDF")</f>
        <v/>
      </c>
    </row>
    <row r="287">
      <c r="A287" t="inlineStr">
        <is>
          <t>KRAV-AUTO-000286</t>
        </is>
      </c>
      <c r="B287" t="inlineStr">
        <is>
          <t>ADMIN-INDEX-2026-02-27-00000000125C043F57453246863FE664CAFE6A3F0700950291EA24F0614FB6ACEDB12BF0E31D00000000010C0000950291EA24F0614FB6ACEDB12BF0E31D00002087A5D00000</t>
        </is>
      </c>
      <c r="C287" t="inlineStr">
        <is>
          <t>cmm4yuqxd041ncuqw0xs9r3na</t>
        </is>
      </c>
      <c r="D287" t="inlineStr">
        <is>
          <t>http://localhost:8787/api/admin/requirements/documents/cmm4yuqxd041ncuqw0xs9r3na/view</t>
        </is>
      </c>
      <c r="E287">
        <f>HYPERLÄNK("http://localhost:8787/api/admin/requirements/documents/cmm4yuqxd041ncuqw0xs9r3na/view";"Öppna PDF")</f>
        <v/>
      </c>
      <c r="F287">
        <f>HYPERLINK("http://localhost:8787/api/admin/requirements/documents/cmm4yuqxd041ncuqw0xs9r3na/view","Open PDF")</f>
        <v/>
      </c>
      <c r="G287" t="inlineStr">
        <is>
          <t>cmm55w57p0004cuisfrtpqly8</t>
        </is>
      </c>
      <c r="H287" t="inlineStr">
        <is>
          <t>Informationskrav</t>
        </is>
      </c>
      <c r="I287" t="inlineStr">
        <is>
          <t>TransportLogistik</t>
        </is>
      </c>
      <c r="J287" t="inlineStr">
        <is>
          <t>Transportvagar</t>
        </is>
      </c>
      <c r="K287" t="inlineStr">
        <is>
          <t>var avfallet ska lämnas efter insamlingen eller transporten, och 4.</t>
        </is>
      </c>
      <c r="L287" t="inlineStr">
        <is>
          <t>var avfallet ska lämnas efter insamlingen eller transporten, och 4.</t>
        </is>
      </c>
      <c r="M287" t="inlineStr">
        <is>
          <t>SKA</t>
        </is>
      </c>
      <c r="N287" t="inlineStr"/>
      <c r="O287" t="inlineStr"/>
      <c r="P287" t="inlineStr"/>
      <c r="Q287" t="inlineStr"/>
      <c r="R287" t="inlineStr">
        <is>
          <t>Vid transporter</t>
        </is>
      </c>
      <c r="S287" t="inlineStr"/>
      <c r="T287" t="inlineStr">
        <is>
          <t>23 2025</t>
        </is>
      </c>
      <c r="U287" t="inlineStr"/>
      <c r="V287" t="inlineStr"/>
      <c r="W287" t="inlineStr">
        <is>
          <t>Nej</t>
        </is>
      </c>
      <c r="X287" t="inlineStr">
        <is>
          <t>Nej</t>
        </is>
      </c>
      <c r="Y287" t="inlineStr">
        <is>
          <t>Nej</t>
        </is>
      </c>
      <c r="Z287" t="inlineStr">
        <is>
          <t>Ja</t>
        </is>
      </c>
      <c r="AA287" t="n">
        <v>9</v>
      </c>
      <c r="AB287" t="inlineStr">
        <is>
          <t>Transporter och logistik</t>
        </is>
      </c>
      <c r="AC287" t="inlineStr">
        <is>
          <t>Trafikplan</t>
        </is>
      </c>
      <c r="AD287" t="inlineStr">
        <is>
          <t>Nej</t>
        </is>
      </c>
      <c r="AE287" t="inlineStr">
        <is>
          <t>Nej</t>
        </is>
      </c>
      <c r="AF287" t="inlineStr">
        <is>
          <t>Ej behandlad</t>
        </is>
      </c>
      <c r="AG287" t="inlineStr">
        <is>
          <t>AUTO_GENERERAD. Verifiera citat mot kallfil.</t>
        </is>
      </c>
      <c r="AH287" t="inlineStr">
        <is>
          <t>MEDIUM</t>
        </is>
      </c>
      <c r="AI287" t="inlineStr">
        <is>
          <t>AUTO</t>
        </is>
      </c>
      <c r="AJ287" t="inlineStr">
        <is>
          <t>Nej</t>
        </is>
      </c>
      <c r="AK287" t="inlineStr"/>
      <c r="AL287" t="inlineStr"/>
      <c r="AM287" t="inlineStr"/>
      <c r="AN287" t="inlineStr"/>
      <c r="AO287" t="inlineStr">
        <is>
          <t>cmm4yuqx2041bcuqw058z69j7</t>
        </is>
      </c>
      <c r="AP287" t="inlineStr">
        <is>
          <t>http://localhost:8787/api/admin/requirements/documents/cmm4yuqx2041bcuqw058z69j7/view</t>
        </is>
      </c>
      <c r="AQ287">
        <f>HYPERLÄNK("http://localhost:8787/api/admin/requirements/documents/cmm4yuqx2041bcuqw058z69j7/view";"Öppna PDF")</f>
        <v/>
      </c>
      <c r="AR287">
        <f>HYPERLINK("http://localhost:8787/api/admin/requirements/documents/cmm4yuqx2041bcuqw058z69j7/view","Open PDF")</f>
        <v/>
      </c>
      <c r="AS287" t="inlineStr">
        <is>
          <t>cmm55w57p0004cuisfrtpqly8</t>
        </is>
      </c>
      <c r="AT287" t="inlineStr">
        <is>
          <t>cmm4xvu980000cuh4vj0usz09</t>
        </is>
      </c>
      <c r="AU287" t="inlineStr"/>
      <c r="AV287" t="inlineStr">
        <is>
          <t>Kommun</t>
        </is>
      </c>
      <c r="AW287" t="inlineStr"/>
      <c r="AX287" t="inlineStr">
        <is>
          <t>2024-10</t>
        </is>
      </c>
      <c r="AY287" t="inlineStr">
        <is>
          <t>Anmalan</t>
        </is>
      </c>
      <c r="AZ287" t="inlineStr">
        <is>
          <t>2026-02-05</t>
        </is>
      </c>
      <c r="BA287" t="inlineStr">
        <is>
          <t>Ärendenr 2023-1413. Motor-Ola AB. Anmälan och Beslut (2).pdf</t>
        </is>
      </c>
      <c r="BB287" t="inlineStr">
        <is>
          <t>SV: till registrator</t>
        </is>
      </c>
      <c r="BC287" t="inlineStr">
        <is>
          <t>AUTO</t>
        </is>
      </c>
      <c r="BD287" t="inlineStr"/>
      <c r="BE287" t="inlineStr"/>
      <c r="BF287" t="inlineStr">
        <is>
          <t>AUTO_GENERERAD. Bekrafta metadata mot kallfil.</t>
        </is>
      </c>
      <c r="BG287">
        <f>HYPERLINK("C:\Users\jimmy\Desktop\Examens arbete\Kod\Ny mapp\remix_-copy-of-miljöbeslut.se-portal\Ärendenr 2023-1413. Motor-Ola AB. Anmälan och Beslut (2).pdf", "Öppna PDF")</f>
        <v/>
      </c>
    </row>
    <row r="288">
      <c r="A288" t="inlineStr">
        <is>
          <t>KRAV-AUTO-000287</t>
        </is>
      </c>
      <c r="B288" t="inlineStr">
        <is>
          <t>ADMIN-INDEX-2026-02-27-00000000125C043F57453246863FE664CAFE6A3F0700950291EA24F0614FB6ACEDB12BF0E31D00000000010C0000950291EA24F0614FB6ACEDB12BF0E31D00002087A5D00000</t>
        </is>
      </c>
      <c r="C288" t="inlineStr">
        <is>
          <t>cmm4yuqxa041kcuqwazdzig9h</t>
        </is>
      </c>
      <c r="D288" t="inlineStr">
        <is>
          <t>http://localhost:8787/api/admin/requirements/documents/cmm4yuqxa041kcuqwazdzig9h/view</t>
        </is>
      </c>
      <c r="E288">
        <f>HYPERLÄNK("http://localhost:8787/api/admin/requirements/documents/cmm4yuqxa041kcuqwazdzig9h/view";"Öppna PDF")</f>
        <v/>
      </c>
      <c r="F288">
        <f>HYPERLINK("http://localhost:8787/api/admin/requirements/documents/cmm4yuqxa041kcuqwazdzig9h/view","Open PDF")</f>
        <v/>
      </c>
      <c r="G288" t="inlineStr">
        <is>
          <t>cmm55w57p0004cuisfrtpqly8</t>
        </is>
      </c>
      <c r="H288" t="inlineStr">
        <is>
          <t>Informationskrav</t>
        </is>
      </c>
      <c r="I288" t="inlineStr">
        <is>
          <t>Riskhantering</t>
        </is>
      </c>
      <c r="J288" t="inlineStr">
        <is>
          <t>Riskkontroll</t>
        </is>
      </c>
      <c r="K288" t="inlineStr">
        <is>
          <t>Lagring ska ske åtskilt för brandrisken.</t>
        </is>
      </c>
      <c r="L288" t="inlineStr">
        <is>
          <t>Lagring ska ske åtskilt för brandrisken.</t>
        </is>
      </c>
      <c r="M288" t="inlineStr">
        <is>
          <t>SKA</t>
        </is>
      </c>
      <c r="N288" t="inlineStr"/>
      <c r="O288" t="inlineStr"/>
      <c r="P288" t="inlineStr"/>
      <c r="Q288" t="inlineStr"/>
      <c r="R288" t="inlineStr">
        <is>
          <t>Vid risk for incident</t>
        </is>
      </c>
      <c r="S288" t="inlineStr"/>
      <c r="T288" t="inlineStr">
        <is>
          <t>556481</t>
        </is>
      </c>
      <c r="U288" t="inlineStr"/>
      <c r="V288" t="inlineStr"/>
      <c r="W288" t="inlineStr">
        <is>
          <t>Nej</t>
        </is>
      </c>
      <c r="X288" t="inlineStr">
        <is>
          <t>Nej</t>
        </is>
      </c>
      <c r="Y288" t="inlineStr">
        <is>
          <t>Ja</t>
        </is>
      </c>
      <c r="Z288" t="inlineStr">
        <is>
          <t>Ja</t>
        </is>
      </c>
      <c r="AA288" t="n">
        <v>8</v>
      </c>
      <c r="AB288" t="inlineStr">
        <is>
          <t>Riskhantering</t>
        </is>
      </c>
      <c r="AC288" t="inlineStr">
        <is>
          <t>Risk-PM</t>
        </is>
      </c>
      <c r="AD288" t="inlineStr">
        <is>
          <t>Nej</t>
        </is>
      </c>
      <c r="AE288" t="inlineStr">
        <is>
          <t>Nej</t>
        </is>
      </c>
      <c r="AF288" t="inlineStr">
        <is>
          <t>Ej behandlad</t>
        </is>
      </c>
      <c r="AG288" t="inlineStr">
        <is>
          <t>AUTO_GENERERAD. Verifiera citat mot kallfil.</t>
        </is>
      </c>
      <c r="AH288" t="inlineStr">
        <is>
          <t>MEDIUM</t>
        </is>
      </c>
      <c r="AI288" t="inlineStr">
        <is>
          <t>AUTO</t>
        </is>
      </c>
      <c r="AJ288" t="inlineStr">
        <is>
          <t>Nej</t>
        </is>
      </c>
      <c r="AK288" t="inlineStr"/>
      <c r="AL288" t="inlineStr"/>
      <c r="AM288" t="inlineStr"/>
      <c r="AN288" t="inlineStr"/>
      <c r="AO288" t="inlineStr">
        <is>
          <t>cmm4yuqx2041bcuqw058z69j7</t>
        </is>
      </c>
      <c r="AP288" t="inlineStr">
        <is>
          <t>http://localhost:8787/api/admin/requirements/documents/cmm4yuqx2041bcuqw058z69j7/view</t>
        </is>
      </c>
      <c r="AQ288">
        <f>HYPERLÄNK("http://localhost:8787/api/admin/requirements/documents/cmm4yuqx2041bcuqw058z69j7/view";"Öppna PDF")</f>
        <v/>
      </c>
      <c r="AR288">
        <f>HYPERLINK("http://localhost:8787/api/admin/requirements/documents/cmm4yuqx2041bcuqw058z69j7/view","Open PDF")</f>
        <v/>
      </c>
      <c r="AS288" t="inlineStr">
        <is>
          <t>cmm55w57p0004cuisfrtpqly8</t>
        </is>
      </c>
      <c r="AT288" t="inlineStr">
        <is>
          <t>cmm4xvu980000cuh4vj0usz09</t>
        </is>
      </c>
      <c r="AU288" t="inlineStr"/>
      <c r="AV288" t="inlineStr">
        <is>
          <t>Kommun</t>
        </is>
      </c>
      <c r="AW288" t="inlineStr"/>
      <c r="AX288" t="inlineStr">
        <is>
          <t>2024-10</t>
        </is>
      </c>
      <c r="AY288" t="inlineStr">
        <is>
          <t>Anmalan</t>
        </is>
      </c>
      <c r="AZ288" t="inlineStr">
        <is>
          <t>2026-02-05</t>
        </is>
      </c>
      <c r="BA288" t="inlineStr">
        <is>
          <t>Ärendenr 2023-1413. Motor-Ola AB. Anmälan och Beslut (2).pdf</t>
        </is>
      </c>
      <c r="BB288" t="inlineStr">
        <is>
          <t>SV: till registrator</t>
        </is>
      </c>
      <c r="BC288" t="inlineStr">
        <is>
          <t>AUTO</t>
        </is>
      </c>
      <c r="BD288" t="inlineStr"/>
      <c r="BE288" t="inlineStr"/>
      <c r="BF288" t="inlineStr">
        <is>
          <t>AUTO_GENERERAD. Bekrafta metadata mot kallfil.</t>
        </is>
      </c>
      <c r="BG288">
        <f>HYPERLINK("C:\Users\jimmy\Desktop\Examens arbete\Kod\Ny mapp\remix_-copy-of-miljöbeslut.se-portal\Ärendenr 2023-1413. Motor-Ola AB. Anmälan och Beslut (2).pdf", "Öppna PDF")</f>
        <v/>
      </c>
    </row>
    <row r="289">
      <c r="A289" t="inlineStr">
        <is>
          <t>KRAV-AUTO-000288</t>
        </is>
      </c>
      <c r="B289" t="inlineStr">
        <is>
          <t>ADMIN-INDEX-2026-02-27-00000000125C043F57453246863FE664CAFE6A3F0700950291EA24F0614FB6ACEDB12BF0E31D00000000010C0000950291EA24F0614FB6ACEDB12BF0E31D00002087A5D00000</t>
        </is>
      </c>
      <c r="C289" t="inlineStr">
        <is>
          <t>cmm4yuqxa041kcuqwazdzig9h</t>
        </is>
      </c>
      <c r="D289" t="inlineStr">
        <is>
          <t>http://localhost:8787/api/admin/requirements/documents/cmm4yuqxa041kcuqwazdzig9h/view</t>
        </is>
      </c>
      <c r="E289">
        <f>HYPERLÄNK("http://localhost:8787/api/admin/requirements/documents/cmm4yuqxa041kcuqwazdzig9h/view";"Öppna PDF")</f>
        <v/>
      </c>
      <c r="F289">
        <f>HYPERLINK("http://localhost:8787/api/admin/requirements/documents/cmm4yuqxa041kcuqwazdzig9h/view","Open PDF")</f>
        <v/>
      </c>
      <c r="G289" t="inlineStr">
        <is>
          <t>cmm55w57p0004cuisfrtpqly8</t>
        </is>
      </c>
      <c r="H289" t="inlineStr">
        <is>
          <t>Informationskrav</t>
        </is>
      </c>
      <c r="I289" t="inlineStr">
        <is>
          <t>LagringsvolymTid</t>
        </is>
      </c>
      <c r="J289" t="inlineStr">
        <is>
          <t>Maxmangd</t>
        </is>
      </c>
      <c r="K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L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M289" t="inlineStr">
        <is>
          <t>SKA</t>
        </is>
      </c>
      <c r="N289" t="inlineStr"/>
      <c r="O289" t="inlineStr"/>
      <c r="P289" t="inlineStr"/>
      <c r="Q289" t="inlineStr"/>
      <c r="R289" t="inlineStr">
        <is>
          <t>Alltid</t>
        </is>
      </c>
      <c r="S289" t="inlineStr"/>
      <c r="T289" t="inlineStr">
        <is>
          <t>556481</t>
        </is>
      </c>
      <c r="U289" t="inlineStr"/>
      <c r="V289" t="inlineStr"/>
      <c r="W289" t="inlineStr">
        <is>
          <t>Nej</t>
        </is>
      </c>
      <c r="X289" t="inlineStr">
        <is>
          <t>Nej</t>
        </is>
      </c>
      <c r="Y289" t="inlineStr">
        <is>
          <t>Nej</t>
        </is>
      </c>
      <c r="Z289" t="inlineStr">
        <is>
          <t>Nej</t>
        </is>
      </c>
      <c r="AA289" t="n">
        <v>4</v>
      </c>
      <c r="AB289" t="inlineStr">
        <is>
          <t>Avfallsmangder och lagringstid</t>
        </is>
      </c>
      <c r="AC289" t="inlineStr">
        <is>
          <t>Avfallsforteckning</t>
        </is>
      </c>
      <c r="AD289" t="inlineStr">
        <is>
          <t>Nej</t>
        </is>
      </c>
      <c r="AE289" t="inlineStr">
        <is>
          <t>Nej</t>
        </is>
      </c>
      <c r="AF289" t="inlineStr">
        <is>
          <t>Ej behandlad</t>
        </is>
      </c>
      <c r="AG289" t="inlineStr">
        <is>
          <t>AUTO_GENERERAD. Verifiera citat mot kallfil.</t>
        </is>
      </c>
      <c r="AH289" t="inlineStr">
        <is>
          <t>MEDIUM</t>
        </is>
      </c>
      <c r="AI289" t="inlineStr">
        <is>
          <t>AUTO</t>
        </is>
      </c>
      <c r="AJ289" t="inlineStr">
        <is>
          <t>Nej</t>
        </is>
      </c>
      <c r="AK289" t="inlineStr"/>
      <c r="AL289" t="inlineStr"/>
      <c r="AM289" t="inlineStr"/>
      <c r="AN289" t="inlineStr"/>
      <c r="AO289" t="inlineStr">
        <is>
          <t>cmm4yuqx2041bcuqw058z69j7</t>
        </is>
      </c>
      <c r="AP289" t="inlineStr">
        <is>
          <t>http://localhost:8787/api/admin/requirements/documents/cmm4yuqx2041bcuqw058z69j7/view</t>
        </is>
      </c>
      <c r="AQ289">
        <f>HYPERLÄNK("http://localhost:8787/api/admin/requirements/documents/cmm4yuqx2041bcuqw058z69j7/view";"Öppna PDF")</f>
        <v/>
      </c>
      <c r="AR289">
        <f>HYPERLINK("http://localhost:8787/api/admin/requirements/documents/cmm4yuqx2041bcuqw058z69j7/view","Open PDF")</f>
        <v/>
      </c>
      <c r="AS289" t="inlineStr">
        <is>
          <t>cmm55w57p0004cuisfrtpqly8</t>
        </is>
      </c>
      <c r="AT289" t="inlineStr">
        <is>
          <t>cmm4xvu980000cuh4vj0usz09</t>
        </is>
      </c>
      <c r="AU289" t="inlineStr"/>
      <c r="AV289" t="inlineStr">
        <is>
          <t>Kommun</t>
        </is>
      </c>
      <c r="AW289" t="inlineStr"/>
      <c r="AX289" t="inlineStr">
        <is>
          <t>2024-10</t>
        </is>
      </c>
      <c r="AY289" t="inlineStr">
        <is>
          <t>Anmalan</t>
        </is>
      </c>
      <c r="AZ289" t="inlineStr">
        <is>
          <t>2026-02-05</t>
        </is>
      </c>
      <c r="BA289" t="inlineStr">
        <is>
          <t>Ärendenr 2023-1413. Motor-Ola AB. Anmälan och Beslut (2).pdf</t>
        </is>
      </c>
      <c r="BB289" t="inlineStr">
        <is>
          <t>SV: till registrator</t>
        </is>
      </c>
      <c r="BC289" t="inlineStr">
        <is>
          <t>AUTO</t>
        </is>
      </c>
      <c r="BD289" t="inlineStr"/>
      <c r="BE289" t="inlineStr"/>
      <c r="BF289" t="inlineStr">
        <is>
          <t>AUTO_GENERERAD. Bekrafta metadata mot kallfil.</t>
        </is>
      </c>
      <c r="BG289">
        <f>HYPERLINK("C:\Users\jimmy\Desktop\Examens arbete\Kod\Ny mapp\remix_-copy-of-miljöbeslut.se-portal\Ärendenr 2023-1413. Motor-Ola AB. Anmälan och Beslut (2).pdf", "Öppna PDF")</f>
        <v/>
      </c>
    </row>
    <row r="290">
      <c r="A290" t="inlineStr">
        <is>
          <t>KRAV-AUTO-000289</t>
        </is>
      </c>
      <c r="B290" t="inlineStr">
        <is>
          <t>ADMIN-INDEX-2026-02-27-00000000125C043F57453246863FE664CAFE6A3F0700950291EA24F0614FB6ACEDB12BF0E31D00000000010C0000950291EA24F0614FB6ACEDB12BF0E31D00002087A5D00000</t>
        </is>
      </c>
      <c r="C290" t="inlineStr">
        <is>
          <t>cmm4yuqxa041kcuqwazdzig9h</t>
        </is>
      </c>
      <c r="D290" t="inlineStr">
        <is>
          <t>http://localhost:8787/api/admin/requirements/documents/cmm4yuqxa041kcuqwazdzig9h/view</t>
        </is>
      </c>
      <c r="E290">
        <f>HYPERLÄNK("http://localhost:8787/api/admin/requirements/documents/cmm4yuqxa041kcuqwazdzig9h/view";"Öppna PDF")</f>
        <v/>
      </c>
      <c r="F290">
        <f>HYPERLINK("http://localhost:8787/api/admin/requirements/documents/cmm4yuqxa041kcuqwazdzig9h/view","Open PDF")</f>
        <v/>
      </c>
      <c r="G290" t="inlineStr">
        <is>
          <t>cmm55w57p0004cuisfrtpqly8</t>
        </is>
      </c>
      <c r="H290" t="inlineStr">
        <is>
          <t>Informationskrav</t>
        </is>
      </c>
      <c r="I290" t="inlineStr">
        <is>
          <t>DriftEgenkontroll</t>
        </is>
      </c>
      <c r="J290" t="inlineStr">
        <is>
          <t>Journalforing</t>
        </is>
      </c>
      <c r="K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290" t="inlineStr">
        <is>
          <t>SKA</t>
        </is>
      </c>
      <c r="N290" t="inlineStr"/>
      <c r="O290" t="inlineStr"/>
      <c r="P290" t="inlineStr"/>
      <c r="Q290" t="inlineStr"/>
      <c r="R290" t="inlineStr">
        <is>
          <t>Lopande drift</t>
        </is>
      </c>
      <c r="S290" t="inlineStr"/>
      <c r="T290" t="inlineStr">
        <is>
          <t>556481</t>
        </is>
      </c>
      <c r="U290" t="inlineStr"/>
      <c r="V290" t="inlineStr"/>
      <c r="W290" t="inlineStr">
        <is>
          <t>Nej</t>
        </is>
      </c>
      <c r="X290" t="inlineStr">
        <is>
          <t>Nej</t>
        </is>
      </c>
      <c r="Y290" t="inlineStr">
        <is>
          <t>Ja</t>
        </is>
      </c>
      <c r="Z290" t="inlineStr">
        <is>
          <t>Nej</t>
        </is>
      </c>
      <c r="AA290" t="n">
        <v>7</v>
      </c>
      <c r="AB290" t="inlineStr">
        <is>
          <t>Egenkontrollrutiner</t>
        </is>
      </c>
      <c r="AC290" t="inlineStr">
        <is>
          <t>Egenkontrollprogram</t>
        </is>
      </c>
      <c r="AD290" t="inlineStr">
        <is>
          <t>Nej</t>
        </is>
      </c>
      <c r="AE290" t="inlineStr">
        <is>
          <t>Nej</t>
        </is>
      </c>
      <c r="AF290" t="inlineStr">
        <is>
          <t>Ej behandlad</t>
        </is>
      </c>
      <c r="AG290" t="inlineStr">
        <is>
          <t>AUTO_GENERERAD. Verifiera citat mot kallfil.</t>
        </is>
      </c>
      <c r="AH290" t="inlineStr">
        <is>
          <t>MEDIUM</t>
        </is>
      </c>
      <c r="AI290" t="inlineStr">
        <is>
          <t>AUTO</t>
        </is>
      </c>
      <c r="AJ290" t="inlineStr">
        <is>
          <t>Nej</t>
        </is>
      </c>
      <c r="AK290" t="inlineStr"/>
      <c r="AL290" t="inlineStr"/>
      <c r="AM290" t="inlineStr"/>
      <c r="AN290" t="inlineStr"/>
      <c r="AO290" t="inlineStr">
        <is>
          <t>cmm4yuqx2041bcuqw058z69j7</t>
        </is>
      </c>
      <c r="AP290" t="inlineStr">
        <is>
          <t>http://localhost:8787/api/admin/requirements/documents/cmm4yuqx2041bcuqw058z69j7/view</t>
        </is>
      </c>
      <c r="AQ290">
        <f>HYPERLÄNK("http://localhost:8787/api/admin/requirements/documents/cmm4yuqx2041bcuqw058z69j7/view";"Öppna PDF")</f>
        <v/>
      </c>
      <c r="AR290">
        <f>HYPERLINK("http://localhost:8787/api/admin/requirements/documents/cmm4yuqx2041bcuqw058z69j7/view","Open PDF")</f>
        <v/>
      </c>
      <c r="AS290" t="inlineStr">
        <is>
          <t>cmm55w57p0004cuisfrtpqly8</t>
        </is>
      </c>
      <c r="AT290" t="inlineStr">
        <is>
          <t>cmm4xvu980000cuh4vj0usz09</t>
        </is>
      </c>
      <c r="AU290" t="inlineStr"/>
      <c r="AV290" t="inlineStr">
        <is>
          <t>Kommun</t>
        </is>
      </c>
      <c r="AW290" t="inlineStr"/>
      <c r="AX290" t="inlineStr">
        <is>
          <t>2024-10</t>
        </is>
      </c>
      <c r="AY290" t="inlineStr">
        <is>
          <t>Anmalan</t>
        </is>
      </c>
      <c r="AZ290" t="inlineStr">
        <is>
          <t>2026-02-05</t>
        </is>
      </c>
      <c r="BA290" t="inlineStr">
        <is>
          <t>Ärendenr 2023-1413. Motor-Ola AB. Anmälan och Beslut (2).pdf</t>
        </is>
      </c>
      <c r="BB290" t="inlineStr">
        <is>
          <t>SV: till registrator</t>
        </is>
      </c>
      <c r="BC290" t="inlineStr">
        <is>
          <t>AUTO</t>
        </is>
      </c>
      <c r="BD290" t="inlineStr"/>
      <c r="BE290" t="inlineStr"/>
      <c r="BF290" t="inlineStr">
        <is>
          <t>AUTO_GENERERAD. Bekrafta metadata mot kallfil.</t>
        </is>
      </c>
      <c r="BG290">
        <f>HYPERLINK("C:\Users\jimmy\Desktop\Examens arbete\Kod\Ny mapp\remix_-copy-of-miljöbeslut.se-portal\Ärendenr 2023-1413. Motor-Ola AB. Anmälan och Beslut (2).pdf", "Öppna PDF")</f>
        <v/>
      </c>
    </row>
    <row r="291">
      <c r="A291" t="inlineStr">
        <is>
          <t>KRAV-AUTO-000290</t>
        </is>
      </c>
      <c r="B291" t="inlineStr">
        <is>
          <t>ADMIN-INDEX-2026-02-27-00000000125C043F57453246863FE664CAFE6A3F0700950291EA24F0614FB6ACEDB12BF0E31D00000000010C0000950291EA24F0614FB6ACEDB12BF0E31D00002087A5DC0000</t>
        </is>
      </c>
      <c r="C291" t="inlineStr">
        <is>
          <t>cmm4yuqn203qzcuqwuuqj8a9w</t>
        </is>
      </c>
      <c r="D291" t="inlineStr">
        <is>
          <t>http://localhost:8787/api/admin/requirements/documents/cmm4yuqn203qzcuqwuuqj8a9w/view</t>
        </is>
      </c>
      <c r="E291">
        <f>HYPERLÄNK("http://localhost:8787/api/admin/requirements/documents/cmm4yuqn203qzcuqwuuqj8a9w/view";"Öppna PDF")</f>
        <v/>
      </c>
      <c r="F291">
        <f>HYPERLINK("http://localhost:8787/api/admin/requirements/documents/cmm4yuqn203qzcuqwuuqj8a9w/view","Open PDF")</f>
        <v/>
      </c>
      <c r="G291" t="inlineStr">
        <is>
          <t>cmm55w57p0004cuisfrtpqly8</t>
        </is>
      </c>
      <c r="H291" t="inlineStr">
        <is>
          <t>Informationskrav</t>
        </is>
      </c>
      <c r="I291" t="inlineStr">
        <is>
          <t>DriftEgenkontroll</t>
        </is>
      </c>
      <c r="J291" t="inlineStr">
        <is>
          <t>Journalforing</t>
        </is>
      </c>
      <c r="K291" t="inlineStr">
        <is>
          <t>Kontroll ska göras genom exempelvis provtagning.</t>
        </is>
      </c>
      <c r="L291" t="inlineStr">
        <is>
          <t>Kontroll ska göras genom exempelvis provtagning.</t>
        </is>
      </c>
      <c r="M291" t="inlineStr">
        <is>
          <t>SKA</t>
        </is>
      </c>
      <c r="N291" t="inlineStr"/>
      <c r="O291" t="inlineStr"/>
      <c r="P291" t="inlineStr"/>
      <c r="Q291" t="inlineStr"/>
      <c r="R291" t="inlineStr">
        <is>
          <t>Lopande drift</t>
        </is>
      </c>
      <c r="S291" t="inlineStr"/>
      <c r="T291" t="inlineStr">
        <is>
          <t>26 70 00</t>
        </is>
      </c>
      <c r="U291" t="inlineStr"/>
      <c r="V291" t="inlineStr"/>
      <c r="W291" t="inlineStr">
        <is>
          <t>Nej</t>
        </is>
      </c>
      <c r="X291" t="inlineStr">
        <is>
          <t>Nej</t>
        </is>
      </c>
      <c r="Y291" t="inlineStr">
        <is>
          <t>Ja</t>
        </is>
      </c>
      <c r="Z291" t="inlineStr">
        <is>
          <t>Nej</t>
        </is>
      </c>
      <c r="AA291" t="n">
        <v>7</v>
      </c>
      <c r="AB291" t="inlineStr">
        <is>
          <t>Egenkontrollrutiner</t>
        </is>
      </c>
      <c r="AC291" t="inlineStr">
        <is>
          <t>Egenkontrollprogram</t>
        </is>
      </c>
      <c r="AD291" t="inlineStr">
        <is>
          <t>Nej</t>
        </is>
      </c>
      <c r="AE291" t="inlineStr">
        <is>
          <t>Nej</t>
        </is>
      </c>
      <c r="AF291" t="inlineStr">
        <is>
          <t>Ej behandlad</t>
        </is>
      </c>
      <c r="AG291" t="inlineStr">
        <is>
          <t>AUTO_GENERERAD. Verifiera citat mot kallfil.</t>
        </is>
      </c>
      <c r="AH291" t="inlineStr">
        <is>
          <t>MEDIUM</t>
        </is>
      </c>
      <c r="AI291" t="inlineStr">
        <is>
          <t>AUTO</t>
        </is>
      </c>
      <c r="AJ291" t="inlineStr">
        <is>
          <t>Nej</t>
        </is>
      </c>
      <c r="AK291" t="inlineStr"/>
      <c r="AL291" t="inlineStr"/>
      <c r="AM291" t="inlineStr"/>
      <c r="AN291" t="inlineStr"/>
      <c r="AO291" t="inlineStr">
        <is>
          <t>cmm4yuqnj03rhcuqw5kt2masi</t>
        </is>
      </c>
      <c r="AP291" t="inlineStr">
        <is>
          <t>http://localhost:8787/api/admin/requirements/documents/cmm4yuqnj03rhcuqw5kt2masi/view</t>
        </is>
      </c>
      <c r="AQ291">
        <f>HYPERLÄNK("http://localhost:8787/api/admin/requirements/documents/cmm4yuqnj03rhcuqw5kt2masi/view";"Öppna PDF")</f>
        <v/>
      </c>
      <c r="AR291">
        <f>HYPERLINK("http://localhost:8787/api/admin/requirements/documents/cmm4yuqnj03rhcuqw5kt2masi/view","Open PDF")</f>
        <v/>
      </c>
      <c r="AS291" t="inlineStr">
        <is>
          <t>cmm55w57p0004cuisfrtpqly8</t>
        </is>
      </c>
      <c r="AT291" t="inlineStr">
        <is>
          <t>cmm4xvu980000cuh4vj0usz09</t>
        </is>
      </c>
      <c r="AU291" t="inlineStr">
        <is>
          <t>Hässleholms</t>
        </is>
      </c>
      <c r="AV291" t="inlineStr">
        <is>
          <t>Kommun</t>
        </is>
      </c>
      <c r="AW291" t="inlineStr">
        <is>
          <t>Hässleholms kommun</t>
        </is>
      </c>
      <c r="AX291" t="inlineStr">
        <is>
          <t>0451-26</t>
        </is>
      </c>
      <c r="AY291" t="inlineStr">
        <is>
          <t>Anmalan</t>
        </is>
      </c>
      <c r="AZ291" t="inlineStr">
        <is>
          <t>2026-02-05</t>
        </is>
      </c>
      <c r="BA291" t="inlineStr">
        <is>
          <t>M-2025-2674 - Avskrivning.pdf</t>
        </is>
      </c>
      <c r="BB291" t="inlineStr">
        <is>
          <t>Sv:  Begäran om utlämnande av allmän handling – Anmälningar och beslut rörande mellanlagring av avfall samt anläggning av ytor</t>
        </is>
      </c>
      <c r="BC291" t="inlineStr">
        <is>
          <t>AUTO</t>
        </is>
      </c>
      <c r="BD291" t="inlineStr"/>
      <c r="BE291" t="inlineStr"/>
      <c r="BF291" t="inlineStr">
        <is>
          <t>AUTO_GENERERAD. Bekrafta metadata mot kallfil.</t>
        </is>
      </c>
      <c r="BG291">
        <f>HYPERLINK("C:\Users\jimmy\Desktop\Examens arbete\Kod\Ny mapp\remix_-copy-of-miljöbeslut.se-portal\M-2025-2674 - Avskrivning.pdf", "Öppna PDF")</f>
        <v/>
      </c>
    </row>
    <row r="292">
      <c r="A292" t="inlineStr">
        <is>
          <t>KRAV-AUTO-000291</t>
        </is>
      </c>
      <c r="B292" t="inlineStr">
        <is>
          <t>ADMIN-INDEX-2026-02-27-00000000125C043F57453246863FE664CAFE6A3F0700950291EA24F0614FB6ACEDB12BF0E31D00000000010C0000950291EA24F0614FB6ACEDB12BF0E31D00002087A5DC0000</t>
        </is>
      </c>
      <c r="C292" t="inlineStr">
        <is>
          <t>cmm4yuqn203qzcuqwuuqj8a9w</t>
        </is>
      </c>
      <c r="D292" t="inlineStr">
        <is>
          <t>http://localhost:8787/api/admin/requirements/documents/cmm4yuqn203qzcuqwuuqj8a9w/view</t>
        </is>
      </c>
      <c r="E292">
        <f>HYPERLÄNK("http://localhost:8787/api/admin/requirements/documents/cmm4yuqn203qzcuqwuuqj8a9w/view";"Öppna PDF")</f>
        <v/>
      </c>
      <c r="F292">
        <f>HYPERLINK("http://localhost:8787/api/admin/requirements/documents/cmm4yuqn203qzcuqwuuqj8a9w/view","Open PDF")</f>
        <v/>
      </c>
      <c r="G292" t="inlineStr">
        <is>
          <t>cmm55w57p0004cuisfrtpqly8</t>
        </is>
      </c>
      <c r="H292" t="inlineStr">
        <is>
          <t>Informationskrav</t>
        </is>
      </c>
      <c r="I292" t="inlineStr">
        <is>
          <t>LagringsvolymTid</t>
        </is>
      </c>
      <c r="J292" t="inlineStr">
        <is>
          <t>Maxmangd</t>
        </is>
      </c>
      <c r="K292" t="inlineStr">
        <is>
          <t>I anmälan anges att cirka 5000 ton schaktmassor från olika anläggningsfirmor i Hässleholm ska användas för att fylla upp betesmark.</t>
        </is>
      </c>
      <c r="L292" t="inlineStr">
        <is>
          <t>I anmälan anges att cirka 5000 ton schaktmassor från olika anläggningsfirmor i Hässleholm ska användas för att fylla upp betesmark.</t>
        </is>
      </c>
      <c r="M292" t="inlineStr">
        <is>
          <t>SKA</t>
        </is>
      </c>
      <c r="N292" t="inlineStr"/>
      <c r="O292" t="inlineStr"/>
      <c r="P292" t="inlineStr"/>
      <c r="Q292" t="inlineStr"/>
      <c r="R292" t="inlineStr">
        <is>
          <t>Alltid</t>
        </is>
      </c>
      <c r="S292" t="inlineStr"/>
      <c r="T292" t="inlineStr">
        <is>
          <t>26 70 00</t>
        </is>
      </c>
      <c r="U292" t="n">
        <v>5000</v>
      </c>
      <c r="V292" t="inlineStr"/>
      <c r="W292" t="inlineStr">
        <is>
          <t>Nej</t>
        </is>
      </c>
      <c r="X292" t="inlineStr">
        <is>
          <t>Nej</t>
        </is>
      </c>
      <c r="Y292" t="inlineStr">
        <is>
          <t>Nej</t>
        </is>
      </c>
      <c r="Z292" t="inlineStr">
        <is>
          <t>Nej</t>
        </is>
      </c>
      <c r="AA292" t="n">
        <v>4</v>
      </c>
      <c r="AB292" t="inlineStr">
        <is>
          <t>Avfallsmangder och lagringstid</t>
        </is>
      </c>
      <c r="AC292" t="inlineStr">
        <is>
          <t>Avfallsforteckning</t>
        </is>
      </c>
      <c r="AD292" t="inlineStr">
        <is>
          <t>Nej</t>
        </is>
      </c>
      <c r="AE292" t="inlineStr">
        <is>
          <t>Nej</t>
        </is>
      </c>
      <c r="AF292" t="inlineStr">
        <is>
          <t>Ej behandlad</t>
        </is>
      </c>
      <c r="AG292" t="inlineStr">
        <is>
          <t>AUTO_GENERERAD. Verifiera citat mot kallfil.</t>
        </is>
      </c>
      <c r="AH292" t="inlineStr">
        <is>
          <t>MEDIUM</t>
        </is>
      </c>
      <c r="AI292" t="inlineStr">
        <is>
          <t>AUTO</t>
        </is>
      </c>
      <c r="AJ292" t="inlineStr">
        <is>
          <t>Nej</t>
        </is>
      </c>
      <c r="AK292" t="inlineStr"/>
      <c r="AL292" t="inlineStr"/>
      <c r="AM292" t="inlineStr"/>
      <c r="AN292" t="inlineStr"/>
      <c r="AO292" t="inlineStr">
        <is>
          <t>cmm4yuqnj03rhcuqw5kt2masi</t>
        </is>
      </c>
      <c r="AP292" t="inlineStr">
        <is>
          <t>http://localhost:8787/api/admin/requirements/documents/cmm4yuqnj03rhcuqw5kt2masi/view</t>
        </is>
      </c>
      <c r="AQ292">
        <f>HYPERLÄNK("http://localhost:8787/api/admin/requirements/documents/cmm4yuqnj03rhcuqw5kt2masi/view";"Öppna PDF")</f>
        <v/>
      </c>
      <c r="AR292">
        <f>HYPERLINK("http://localhost:8787/api/admin/requirements/documents/cmm4yuqnj03rhcuqw5kt2masi/view","Open PDF")</f>
        <v/>
      </c>
      <c r="AS292" t="inlineStr">
        <is>
          <t>cmm55w57p0004cuisfrtpqly8</t>
        </is>
      </c>
      <c r="AT292" t="inlineStr">
        <is>
          <t>cmm4xvu980000cuh4vj0usz09</t>
        </is>
      </c>
      <c r="AU292" t="inlineStr">
        <is>
          <t>Hässleholms</t>
        </is>
      </c>
      <c r="AV292" t="inlineStr">
        <is>
          <t>Kommun</t>
        </is>
      </c>
      <c r="AW292" t="inlineStr">
        <is>
          <t>Hässleholms kommun</t>
        </is>
      </c>
      <c r="AX292" t="inlineStr">
        <is>
          <t>0451-26</t>
        </is>
      </c>
      <c r="AY292" t="inlineStr">
        <is>
          <t>Anmalan</t>
        </is>
      </c>
      <c r="AZ292" t="inlineStr">
        <is>
          <t>2026-02-05</t>
        </is>
      </c>
      <c r="BA292" t="inlineStr">
        <is>
          <t>M-2025-2674 - Avskrivning.pdf</t>
        </is>
      </c>
      <c r="BB292" t="inlineStr">
        <is>
          <t>Sv:  Begäran om utlämnande av allmän handling – Anmälningar och beslut rörande mellanlagring av avfall samt anläggning av ytor</t>
        </is>
      </c>
      <c r="BC292" t="inlineStr">
        <is>
          <t>AUTO</t>
        </is>
      </c>
      <c r="BD292" t="inlineStr"/>
      <c r="BE292" t="inlineStr"/>
      <c r="BF292" t="inlineStr">
        <is>
          <t>AUTO_GENERERAD. Bekrafta metadata mot kallfil.</t>
        </is>
      </c>
      <c r="BG292">
        <f>HYPERLINK("C:\Users\jimmy\Desktop\Examens arbete\Kod\Ny mapp\remix_-copy-of-miljöbeslut.se-portal\M-2025-2674 - Avskrivning.pdf", "Öppna PDF")</f>
        <v/>
      </c>
    </row>
    <row r="293">
      <c r="A293" t="inlineStr">
        <is>
          <t>KRAV-AUTO-000292</t>
        </is>
      </c>
      <c r="B293" t="inlineStr">
        <is>
          <t>ADMIN-INDEX-2026-02-27-00000000125C043F57453246863FE664CAFE6A3F0700950291EA24F0614FB6ACEDB12BF0E31D00000000010C0000950291EA24F0614FB6ACEDB12BF0E31D00002087A5DC0000</t>
        </is>
      </c>
      <c r="C293" t="inlineStr">
        <is>
          <t>cmm4yuqn203qzcuqwuuqj8a9w</t>
        </is>
      </c>
      <c r="D293" t="inlineStr">
        <is>
          <t>http://localhost:8787/api/admin/requirements/documents/cmm4yuqn203qzcuqwuuqj8a9w/view</t>
        </is>
      </c>
      <c r="E293">
        <f>HYPERLÄNK("http://localhost:8787/api/admin/requirements/documents/cmm4yuqn203qzcuqwuuqj8a9w/view";"Öppna PDF")</f>
        <v/>
      </c>
      <c r="F293">
        <f>HYPERLINK("http://localhost:8787/api/admin/requirements/documents/cmm4yuqn203qzcuqwuuqj8a9w/view","Open PDF")</f>
        <v/>
      </c>
      <c r="G293" t="inlineStr">
        <is>
          <t>cmm55w57p0004cuisfrtpqly8</t>
        </is>
      </c>
      <c r="H293" t="inlineStr">
        <is>
          <t>Informationskrav</t>
        </is>
      </c>
      <c r="I293" t="inlineStr">
        <is>
          <t>MiljopaverkanForsiktighet</t>
        </is>
      </c>
      <c r="J293" t="inlineStr">
        <is>
          <t>Skyddsatgarder</t>
        </is>
      </c>
      <c r="K293" t="inlineStr">
        <is>
          <t>Då inga uppgifter har inkommit bedömer miljö- och stadsbyggnadsförvaltningen att den kunskap om avfallet som behövs för att kunna skydda människors hälsa och miljön mot skada eller olägenhet saknas.</t>
        </is>
      </c>
      <c r="L293" t="inlineStr">
        <is>
          <t>Då inga uppgifter har inkommit bedömer miljö- och stadsbyggnadsförvaltningen att den kunskap om avfallet som behövs för att kunna skydda människors hälsa och miljön mot skada eller olägenhet saknas.</t>
        </is>
      </c>
      <c r="M293" t="inlineStr">
        <is>
          <t>SKA</t>
        </is>
      </c>
      <c r="N293" t="inlineStr"/>
      <c r="O293" t="inlineStr"/>
      <c r="P293" t="inlineStr"/>
      <c r="Q293" t="inlineStr"/>
      <c r="R293" t="inlineStr">
        <is>
          <t>Alltid</t>
        </is>
      </c>
      <c r="S293" t="inlineStr"/>
      <c r="T293" t="inlineStr">
        <is>
          <t>26 70 00</t>
        </is>
      </c>
      <c r="U293" t="inlineStr"/>
      <c r="V293" t="inlineStr"/>
      <c r="W293" t="inlineStr">
        <is>
          <t>Nej</t>
        </is>
      </c>
      <c r="X293" t="inlineStr">
        <is>
          <t>Nej</t>
        </is>
      </c>
      <c r="Y293" t="inlineStr">
        <is>
          <t>Nej</t>
        </is>
      </c>
      <c r="Z293" t="inlineStr">
        <is>
          <t>Nej</t>
        </is>
      </c>
      <c r="AA293" t="n">
        <v>10</v>
      </c>
      <c r="AB293" t="inlineStr">
        <is>
          <t>Miljopaverkan och forsiktighetsmatt</t>
        </is>
      </c>
      <c r="AC293" t="inlineStr">
        <is>
          <t>Miljo-PM</t>
        </is>
      </c>
      <c r="AD293" t="inlineStr">
        <is>
          <t>Nej</t>
        </is>
      </c>
      <c r="AE293" t="inlineStr">
        <is>
          <t>Nej</t>
        </is>
      </c>
      <c r="AF293" t="inlineStr">
        <is>
          <t>Ej behandlad</t>
        </is>
      </c>
      <c r="AG293" t="inlineStr">
        <is>
          <t>AUTO_GENERERAD. Verifiera citat mot kallfil.</t>
        </is>
      </c>
      <c r="AH293" t="inlineStr">
        <is>
          <t>MEDIUM</t>
        </is>
      </c>
      <c r="AI293" t="inlineStr">
        <is>
          <t>AUTO</t>
        </is>
      </c>
      <c r="AJ293" t="inlineStr">
        <is>
          <t>Nej</t>
        </is>
      </c>
      <c r="AK293" t="inlineStr"/>
      <c r="AL293" t="inlineStr"/>
      <c r="AM293" t="inlineStr"/>
      <c r="AN293" t="inlineStr"/>
      <c r="AO293" t="inlineStr">
        <is>
          <t>cmm4yuqnj03rhcuqw5kt2masi</t>
        </is>
      </c>
      <c r="AP293" t="inlineStr">
        <is>
          <t>http://localhost:8787/api/admin/requirements/documents/cmm4yuqnj03rhcuqw5kt2masi/view</t>
        </is>
      </c>
      <c r="AQ293">
        <f>HYPERLÄNK("http://localhost:8787/api/admin/requirements/documents/cmm4yuqnj03rhcuqw5kt2masi/view";"Öppna PDF")</f>
        <v/>
      </c>
      <c r="AR293">
        <f>HYPERLINK("http://localhost:8787/api/admin/requirements/documents/cmm4yuqnj03rhcuqw5kt2masi/view","Open PDF")</f>
        <v/>
      </c>
      <c r="AS293" t="inlineStr">
        <is>
          <t>cmm55w57p0004cuisfrtpqly8</t>
        </is>
      </c>
      <c r="AT293" t="inlineStr">
        <is>
          <t>cmm4xvu980000cuh4vj0usz09</t>
        </is>
      </c>
      <c r="AU293" t="inlineStr">
        <is>
          <t>Hässleholms</t>
        </is>
      </c>
      <c r="AV293" t="inlineStr">
        <is>
          <t>Kommun</t>
        </is>
      </c>
      <c r="AW293" t="inlineStr">
        <is>
          <t>Hässleholms kommun</t>
        </is>
      </c>
      <c r="AX293" t="inlineStr">
        <is>
          <t>0451-26</t>
        </is>
      </c>
      <c r="AY293" t="inlineStr">
        <is>
          <t>Anmalan</t>
        </is>
      </c>
      <c r="AZ293" t="inlineStr">
        <is>
          <t>2026-02-05</t>
        </is>
      </c>
      <c r="BA293" t="inlineStr">
        <is>
          <t>M-2025-2674 - Avskrivning.pdf</t>
        </is>
      </c>
      <c r="BB293" t="inlineStr">
        <is>
          <t>Sv:  Begäran om utlämnande av allmän handling – Anmälningar och beslut rörande mellanlagring av avfall samt anläggning av ytor</t>
        </is>
      </c>
      <c r="BC293" t="inlineStr">
        <is>
          <t>AUTO</t>
        </is>
      </c>
      <c r="BD293" t="inlineStr"/>
      <c r="BE293" t="inlineStr"/>
      <c r="BF293" t="inlineStr">
        <is>
          <t>AUTO_GENERERAD. Bekrafta metadata mot kallfil.</t>
        </is>
      </c>
      <c r="BG293">
        <f>HYPERLINK("C:\Users\jimmy\Desktop\Examens arbete\Kod\Ny mapp\remix_-copy-of-miljöbeslut.se-portal\M-2025-2674 - Avskrivning.pdf", "Öppna PDF")</f>
        <v/>
      </c>
    </row>
    <row r="294">
      <c r="A294" t="inlineStr">
        <is>
          <t>KRAV-AUTO-000293</t>
        </is>
      </c>
      <c r="B294" t="inlineStr">
        <is>
          <t>ADMIN-INDEX-2026-02-27-00000000125C043F57453246863FE664CAFE6A3F0700950291EA24F0614FB6ACEDB12BF0E31D00000000010C0000950291EA24F0614FB6ACEDB12BF0E31D00002087A5DC0000</t>
        </is>
      </c>
      <c r="C294" t="inlineStr">
        <is>
          <t>cmm4yuqmn03qkcuqwegxhc1f9</t>
        </is>
      </c>
      <c r="D294" t="inlineStr">
        <is>
          <t>http://localhost:8787/api/admin/requirements/documents/cmm4yuqmn03qkcuqwegxhc1f9/view</t>
        </is>
      </c>
      <c r="E294">
        <f>HYPERLÄNK("http://localhost:8787/api/admin/requirements/documents/cmm4yuqmn03qkcuqwegxhc1f9/view";"Öppna PDF")</f>
        <v/>
      </c>
      <c r="F294">
        <f>HYPERLINK("http://localhost:8787/api/admin/requirements/documents/cmm4yuqmn03qkcuqwegxhc1f9/view","Open PDF")</f>
        <v/>
      </c>
      <c r="G294" t="inlineStr">
        <is>
          <t>cmm55w57p0004cuisfrtpqly8</t>
        </is>
      </c>
      <c r="H294" t="inlineStr">
        <is>
          <t>Informationskrav</t>
        </is>
      </c>
      <c r="I294" t="inlineStr">
        <is>
          <t>DagvattenLakvatten</t>
        </is>
      </c>
      <c r="J294" t="inlineStr">
        <is>
          <t>Uppsamling</t>
        </is>
      </c>
      <c r="K294" t="inlineStr">
        <is>
          <t>All förvaring av övriga kemiska produkter och farligt avfall ska ske på yta som är tät och beständig mot de produkter och det avfall som lagras, invallad samt skyddad från nederbörd och dagvatten.</t>
        </is>
      </c>
      <c r="L294" t="inlineStr">
        <is>
          <t>All förvaring av övriga kemiska produkter och farligt avfall ska ske på yta som är tät och beständig mot de produkter och det avfall som lagras, invallad samt skyddad från nederbörd och dagvatten.</t>
        </is>
      </c>
      <c r="M294" t="inlineStr">
        <is>
          <t>SKA</t>
        </is>
      </c>
      <c r="N294" t="inlineStr"/>
      <c r="O294" t="inlineStr"/>
      <c r="P294" t="inlineStr">
        <is>
          <t>Arlig</t>
        </is>
      </c>
      <c r="Q294" t="inlineStr"/>
      <c r="R294" t="inlineStr">
        <is>
          <t>Vid nederbord och avrinning</t>
        </is>
      </c>
      <c r="S294" t="inlineStr"/>
      <c r="T294" t="inlineStr">
        <is>
          <t>26 70 00</t>
        </is>
      </c>
      <c r="U294" t="inlineStr"/>
      <c r="V294" t="inlineStr"/>
      <c r="W294" t="inlineStr">
        <is>
          <t>Nej</t>
        </is>
      </c>
      <c r="X294" t="inlineStr">
        <is>
          <t>Ja</t>
        </is>
      </c>
      <c r="Y294" t="inlineStr">
        <is>
          <t>Ja</t>
        </is>
      </c>
      <c r="Z294" t="inlineStr">
        <is>
          <t>Nej</t>
        </is>
      </c>
      <c r="AA294" t="n">
        <v>6</v>
      </c>
      <c r="AB294" t="inlineStr">
        <is>
          <t>Lakvattenhantering</t>
        </is>
      </c>
      <c r="AC294" t="inlineStr">
        <is>
          <t>Flodesschema dagvatten-lakvatten</t>
        </is>
      </c>
      <c r="AD294" t="inlineStr">
        <is>
          <t>Nej</t>
        </is>
      </c>
      <c r="AE294" t="inlineStr">
        <is>
          <t>Nej</t>
        </is>
      </c>
      <c r="AF294" t="inlineStr">
        <is>
          <t>Ej behandlad</t>
        </is>
      </c>
      <c r="AG294" t="inlineStr">
        <is>
          <t>AUTO_GENERERAD. Verifiera citat mot kallfil.</t>
        </is>
      </c>
      <c r="AH294" t="inlineStr">
        <is>
          <t>MEDIUM</t>
        </is>
      </c>
      <c r="AI294" t="inlineStr">
        <is>
          <t>AUTO</t>
        </is>
      </c>
      <c r="AJ294" t="inlineStr">
        <is>
          <t>Nej</t>
        </is>
      </c>
      <c r="AK294" t="inlineStr"/>
      <c r="AL294" t="inlineStr"/>
      <c r="AM294" t="inlineStr"/>
      <c r="AN294" t="inlineStr"/>
      <c r="AO294" t="inlineStr">
        <is>
          <t>cmm4yuqnj03rhcuqw5kt2masi</t>
        </is>
      </c>
      <c r="AP294" t="inlineStr">
        <is>
          <t>http://localhost:8787/api/admin/requirements/documents/cmm4yuqnj03rhcuqw5kt2masi/view</t>
        </is>
      </c>
      <c r="AQ294">
        <f>HYPERLÄNK("http://localhost:8787/api/admin/requirements/documents/cmm4yuqnj03rhcuqw5kt2masi/view";"Öppna PDF")</f>
        <v/>
      </c>
      <c r="AR294">
        <f>HYPERLINK("http://localhost:8787/api/admin/requirements/documents/cmm4yuqnj03rhcuqw5kt2masi/view","Open PDF")</f>
        <v/>
      </c>
      <c r="AS294" t="inlineStr">
        <is>
          <t>cmm55w57p0004cuisfrtpqly8</t>
        </is>
      </c>
      <c r="AT294" t="inlineStr">
        <is>
          <t>cmm4xvu980000cuh4vj0usz09</t>
        </is>
      </c>
      <c r="AU294" t="inlineStr">
        <is>
          <t>Hässleholms</t>
        </is>
      </c>
      <c r="AV294" t="inlineStr">
        <is>
          <t>Kommun</t>
        </is>
      </c>
      <c r="AW294" t="inlineStr">
        <is>
          <t>Hässleholms kommun</t>
        </is>
      </c>
      <c r="AX294" t="inlineStr">
        <is>
          <t>0451-26</t>
        </is>
      </c>
      <c r="AY294" t="inlineStr">
        <is>
          <t>Anmalan</t>
        </is>
      </c>
      <c r="AZ294" t="inlineStr">
        <is>
          <t>2026-02-05</t>
        </is>
      </c>
      <c r="BA294" t="inlineStr">
        <is>
          <t>M-2025-2674 - Avskrivning.pdf</t>
        </is>
      </c>
      <c r="BB294" t="inlineStr">
        <is>
          <t>Sv:  Begäran om utlämnande av allmän handling – Anmälningar och beslut rörande mellanlagring av avfall samt anläggning av ytor</t>
        </is>
      </c>
      <c r="BC294" t="inlineStr">
        <is>
          <t>AUTO</t>
        </is>
      </c>
      <c r="BD294" t="inlineStr"/>
      <c r="BE294" t="inlineStr"/>
      <c r="BF294" t="inlineStr">
        <is>
          <t>AUTO_GENERERAD. Bekrafta metadata mot kallfil.</t>
        </is>
      </c>
      <c r="BG294">
        <f>HYPERLINK("C:\Users\jimmy\Desktop\Examens arbete\Kod\Ny mapp\remix_-copy-of-miljöbeslut.se-portal\M-2025-2674 - Avskrivning.pdf", "Öppna PDF")</f>
        <v/>
      </c>
    </row>
    <row r="295">
      <c r="A295" t="inlineStr">
        <is>
          <t>KRAV-AUTO-000294</t>
        </is>
      </c>
      <c r="B295" t="inlineStr">
        <is>
          <t>ADMIN-INDEX-2026-02-27-00000000125C043F57453246863FE664CAFE6A3F0700950291EA24F0614FB6ACEDB12BF0E31D00000000010C0000950291EA24F0614FB6ACEDB12BF0E31D00002087A5DC0000</t>
        </is>
      </c>
      <c r="C295" t="inlineStr">
        <is>
          <t>cmm4yuqmn03qkcuqwegxhc1f9</t>
        </is>
      </c>
      <c r="D295" t="inlineStr">
        <is>
          <t>http://localhost:8787/api/admin/requirements/documents/cmm4yuqmn03qkcuqwegxhc1f9/view</t>
        </is>
      </c>
      <c r="E295">
        <f>HYPERLÄNK("http://localhost:8787/api/admin/requirements/documents/cmm4yuqmn03qkcuqwegxhc1f9/view";"Öppna PDF")</f>
        <v/>
      </c>
      <c r="F295">
        <f>HYPERLINK("http://localhost:8787/api/admin/requirements/documents/cmm4yuqmn03qkcuqwegxhc1f9/view","Open PDF")</f>
        <v/>
      </c>
      <c r="G295" t="inlineStr">
        <is>
          <t>cmm55w57p0004cuisfrtpqly8</t>
        </is>
      </c>
      <c r="H295" t="inlineStr">
        <is>
          <t>Informationskrav</t>
        </is>
      </c>
      <c r="I295" t="inlineStr">
        <is>
          <t>LagringsvolymTid</t>
        </is>
      </c>
      <c r="J295" t="inlineStr">
        <is>
          <t>Maxmangd</t>
        </is>
      </c>
      <c r="K295" t="inlineStr">
        <is>
          <t>Mängden farligt avfall, i detta fall katalysatorer får inte vid något tillfälle uppgå till mer än 1 ton.</t>
        </is>
      </c>
      <c r="L295" t="inlineStr">
        <is>
          <t>Mängden farligt avfall, i detta fall katalysatorer får inte vid något tillfälle uppgå till mer än 1 ton.</t>
        </is>
      </c>
      <c r="M295" t="inlineStr">
        <is>
          <t>SKA</t>
        </is>
      </c>
      <c r="N295" t="inlineStr"/>
      <c r="O295" t="inlineStr"/>
      <c r="P295" t="inlineStr">
        <is>
          <t>Arlig</t>
        </is>
      </c>
      <c r="Q295" t="inlineStr">
        <is>
          <t>Driftbegransning vid avvikelse</t>
        </is>
      </c>
      <c r="R295" t="inlineStr">
        <is>
          <t>Alltid</t>
        </is>
      </c>
      <c r="S295" t="inlineStr"/>
      <c r="T295" t="inlineStr">
        <is>
          <t>26 70 00</t>
        </is>
      </c>
      <c r="U295" t="n">
        <v>1</v>
      </c>
      <c r="V295" t="inlineStr"/>
      <c r="W295" t="inlineStr">
        <is>
          <t>Nej</t>
        </is>
      </c>
      <c r="X295" t="inlineStr">
        <is>
          <t>Nej</t>
        </is>
      </c>
      <c r="Y295" t="inlineStr">
        <is>
          <t>Nej</t>
        </is>
      </c>
      <c r="Z295" t="inlineStr">
        <is>
          <t>Nej</t>
        </is>
      </c>
      <c r="AA295" t="n">
        <v>4</v>
      </c>
      <c r="AB295" t="inlineStr">
        <is>
          <t>Avfallsmangder och lagringstid</t>
        </is>
      </c>
      <c r="AC295" t="inlineStr">
        <is>
          <t>Avfallsforteckning</t>
        </is>
      </c>
      <c r="AD295" t="inlineStr">
        <is>
          <t>Nej</t>
        </is>
      </c>
      <c r="AE295" t="inlineStr">
        <is>
          <t>Nej</t>
        </is>
      </c>
      <c r="AF295" t="inlineStr">
        <is>
          <t>Ej behandlad</t>
        </is>
      </c>
      <c r="AG295" t="inlineStr">
        <is>
          <t>AUTO_GENERERAD. Verifiera citat mot kallfil.</t>
        </is>
      </c>
      <c r="AH295" t="inlineStr">
        <is>
          <t>MEDIUM</t>
        </is>
      </c>
      <c r="AI295" t="inlineStr">
        <is>
          <t>AUTO</t>
        </is>
      </c>
      <c r="AJ295" t="inlineStr">
        <is>
          <t>Nej</t>
        </is>
      </c>
      <c r="AK295" t="inlineStr"/>
      <c r="AL295" t="inlineStr"/>
      <c r="AM295" t="inlineStr"/>
      <c r="AN295" t="inlineStr"/>
      <c r="AO295" t="inlineStr">
        <is>
          <t>cmm4yuqnj03rhcuqw5kt2masi</t>
        </is>
      </c>
      <c r="AP295" t="inlineStr">
        <is>
          <t>http://localhost:8787/api/admin/requirements/documents/cmm4yuqnj03rhcuqw5kt2masi/view</t>
        </is>
      </c>
      <c r="AQ295">
        <f>HYPERLÄNK("http://localhost:8787/api/admin/requirements/documents/cmm4yuqnj03rhcuqw5kt2masi/view";"Öppna PDF")</f>
        <v/>
      </c>
      <c r="AR295">
        <f>HYPERLINK("http://localhost:8787/api/admin/requirements/documents/cmm4yuqnj03rhcuqw5kt2masi/view","Open PDF")</f>
        <v/>
      </c>
      <c r="AS295" t="inlineStr">
        <is>
          <t>cmm55w57p0004cuisfrtpqly8</t>
        </is>
      </c>
      <c r="AT295" t="inlineStr">
        <is>
          <t>cmm4xvu980000cuh4vj0usz09</t>
        </is>
      </c>
      <c r="AU295" t="inlineStr">
        <is>
          <t>Hässleholms</t>
        </is>
      </c>
      <c r="AV295" t="inlineStr">
        <is>
          <t>Kommun</t>
        </is>
      </c>
      <c r="AW295" t="inlineStr">
        <is>
          <t>Hässleholms kommun</t>
        </is>
      </c>
      <c r="AX295" t="inlineStr">
        <is>
          <t>0451-26</t>
        </is>
      </c>
      <c r="AY295" t="inlineStr">
        <is>
          <t>Anmalan</t>
        </is>
      </c>
      <c r="AZ295" t="inlineStr">
        <is>
          <t>2026-02-05</t>
        </is>
      </c>
      <c r="BA295" t="inlineStr">
        <is>
          <t>M-2025-2674 - Avskrivning.pdf</t>
        </is>
      </c>
      <c r="BB295" t="inlineStr">
        <is>
          <t>Sv:  Begäran om utlämnande av allmän handling – Anmälningar och beslut rörande mellanlagring av avfall samt anläggning av ytor</t>
        </is>
      </c>
      <c r="BC295" t="inlineStr">
        <is>
          <t>AUTO</t>
        </is>
      </c>
      <c r="BD295" t="inlineStr"/>
      <c r="BE295" t="inlineStr"/>
      <c r="BF295" t="inlineStr">
        <is>
          <t>AUTO_GENERERAD. Bekrafta metadata mot kallfil.</t>
        </is>
      </c>
      <c r="BG295">
        <f>HYPERLINK("C:\Users\jimmy\Desktop\Examens arbete\Kod\Ny mapp\remix_-copy-of-miljöbeslut.se-portal\M-2025-2674 - Avskrivning.pdf", "Öppna PDF")</f>
        <v/>
      </c>
    </row>
    <row r="296">
      <c r="A296" t="inlineStr">
        <is>
          <t>KRAV-AUTO-000295</t>
        </is>
      </c>
      <c r="B296" t="inlineStr">
        <is>
          <t>ADMIN-INDEX-2026-02-27-00000000125C043F57453246863FE664CAFE6A3F0700950291EA24F0614FB6ACEDB12BF0E31D00000000010C0000950291EA24F0614FB6ACEDB12BF0E31D00002087A5DC0000</t>
        </is>
      </c>
      <c r="C296" t="inlineStr">
        <is>
          <t>cmm4yuqmn03qkcuqwegxhc1f9</t>
        </is>
      </c>
      <c r="D296" t="inlineStr">
        <is>
          <t>http://localhost:8787/api/admin/requirements/documents/cmm4yuqmn03qkcuqwegxhc1f9/view</t>
        </is>
      </c>
      <c r="E296">
        <f>HYPERLÄNK("http://localhost:8787/api/admin/requirements/documents/cmm4yuqmn03qkcuqwegxhc1f9/view";"Öppna PDF")</f>
        <v/>
      </c>
      <c r="F296">
        <f>HYPERLINK("http://localhost:8787/api/admin/requirements/documents/cmm4yuqmn03qkcuqwegxhc1f9/view","Open PDF")</f>
        <v/>
      </c>
      <c r="G296" t="inlineStr">
        <is>
          <t>cmm55w57p0004cuisfrtpqly8</t>
        </is>
      </c>
      <c r="H296" t="inlineStr">
        <is>
          <t>Informationskrav</t>
        </is>
      </c>
      <c r="I296" t="inlineStr">
        <is>
          <t>Ytkonstruktion</t>
        </is>
      </c>
      <c r="J296" t="inlineStr">
        <is>
          <t>Tat yta</t>
        </is>
      </c>
      <c r="K296" t="inlineStr">
        <is>
          <t>Förvaringsplats inomhus ska förses med invallning om det finns golvavlopp eller otätheter i golv eller väggar.</t>
        </is>
      </c>
      <c r="L296" t="inlineStr">
        <is>
          <t>Förvaringsplats inomhus ska förses med invallning om det finns golvavlopp eller otätheter i golv eller väggar.</t>
        </is>
      </c>
      <c r="M296" t="inlineStr">
        <is>
          <t>SKA</t>
        </is>
      </c>
      <c r="N296" t="inlineStr"/>
      <c r="O296" t="inlineStr"/>
      <c r="P296" t="inlineStr"/>
      <c r="Q296" t="inlineStr"/>
      <c r="R296" t="inlineStr">
        <is>
          <t>Vid mellanlagring av avfall</t>
        </is>
      </c>
      <c r="S296" t="inlineStr"/>
      <c r="T296" t="inlineStr">
        <is>
          <t>26 70 00</t>
        </is>
      </c>
      <c r="U296" t="inlineStr"/>
      <c r="V296" t="inlineStr"/>
      <c r="W296" t="inlineStr">
        <is>
          <t>Ja</t>
        </is>
      </c>
      <c r="X296" t="inlineStr">
        <is>
          <t>Nej</t>
        </is>
      </c>
      <c r="Y296" t="inlineStr">
        <is>
          <t>Nej</t>
        </is>
      </c>
      <c r="Z296" t="inlineStr">
        <is>
          <t>Nej</t>
        </is>
      </c>
      <c r="AA296" t="n">
        <v>5</v>
      </c>
      <c r="AB296" t="inlineStr">
        <is>
          <t>Teknisk beskrivning av platta</t>
        </is>
      </c>
      <c r="AC296" t="inlineStr">
        <is>
          <t>Teknisk ritning platta</t>
        </is>
      </c>
      <c r="AD296" t="inlineStr">
        <is>
          <t>Nej</t>
        </is>
      </c>
      <c r="AE296" t="inlineStr">
        <is>
          <t>Nej</t>
        </is>
      </c>
      <c r="AF296" t="inlineStr">
        <is>
          <t>Ej behandlad</t>
        </is>
      </c>
      <c r="AG296" t="inlineStr">
        <is>
          <t>AUTO_GENERERAD. Verifiera citat mot kallfil.</t>
        </is>
      </c>
      <c r="AH296" t="inlineStr">
        <is>
          <t>MEDIUM</t>
        </is>
      </c>
      <c r="AI296" t="inlineStr">
        <is>
          <t>AUTO</t>
        </is>
      </c>
      <c r="AJ296" t="inlineStr">
        <is>
          <t>Nej</t>
        </is>
      </c>
      <c r="AK296" t="inlineStr"/>
      <c r="AL296" t="inlineStr"/>
      <c r="AM296" t="inlineStr"/>
      <c r="AN296" t="inlineStr"/>
      <c r="AO296" t="inlineStr">
        <is>
          <t>cmm4yuqnj03rhcuqw5kt2masi</t>
        </is>
      </c>
      <c r="AP296" t="inlineStr">
        <is>
          <t>http://localhost:8787/api/admin/requirements/documents/cmm4yuqnj03rhcuqw5kt2masi/view</t>
        </is>
      </c>
      <c r="AQ296">
        <f>HYPERLÄNK("http://localhost:8787/api/admin/requirements/documents/cmm4yuqnj03rhcuqw5kt2masi/view";"Öppna PDF")</f>
        <v/>
      </c>
      <c r="AR296">
        <f>HYPERLINK("http://localhost:8787/api/admin/requirements/documents/cmm4yuqnj03rhcuqw5kt2masi/view","Open PDF")</f>
        <v/>
      </c>
      <c r="AS296" t="inlineStr">
        <is>
          <t>cmm55w57p0004cuisfrtpqly8</t>
        </is>
      </c>
      <c r="AT296" t="inlineStr">
        <is>
          <t>cmm4xvu980000cuh4vj0usz09</t>
        </is>
      </c>
      <c r="AU296" t="inlineStr">
        <is>
          <t>Hässleholms</t>
        </is>
      </c>
      <c r="AV296" t="inlineStr">
        <is>
          <t>Kommun</t>
        </is>
      </c>
      <c r="AW296" t="inlineStr">
        <is>
          <t>Hässleholms kommun</t>
        </is>
      </c>
      <c r="AX296" t="inlineStr">
        <is>
          <t>0451-26</t>
        </is>
      </c>
      <c r="AY296" t="inlineStr">
        <is>
          <t>Anmalan</t>
        </is>
      </c>
      <c r="AZ296" t="inlineStr">
        <is>
          <t>2026-02-05</t>
        </is>
      </c>
      <c r="BA296" t="inlineStr">
        <is>
          <t>M-2025-2674 - Avskrivning.pdf</t>
        </is>
      </c>
      <c r="BB296" t="inlineStr">
        <is>
          <t>Sv:  Begäran om utlämnande av allmän handling – Anmälningar och beslut rörande mellanlagring av avfall samt anläggning av ytor</t>
        </is>
      </c>
      <c r="BC296" t="inlineStr">
        <is>
          <t>AUTO</t>
        </is>
      </c>
      <c r="BD296" t="inlineStr"/>
      <c r="BE296" t="inlineStr"/>
      <c r="BF296" t="inlineStr">
        <is>
          <t>AUTO_GENERERAD. Bekrafta metadata mot kallfil.</t>
        </is>
      </c>
      <c r="BG296">
        <f>HYPERLINK("C:\Users\jimmy\Desktop\Examens arbete\Kod\Ny mapp\remix_-copy-of-miljöbeslut.se-portal\M-2025-2674 - Avskrivning.pdf", "Öppna PDF")</f>
        <v/>
      </c>
    </row>
    <row r="297">
      <c r="A297" t="inlineStr">
        <is>
          <t>KRAV-AUTO-000296</t>
        </is>
      </c>
      <c r="B297" t="inlineStr">
        <is>
          <t>ADMIN-INDEX-2026-02-27-00000000125C043F57453246863FE664CAFE6A3F0700950291EA24F0614FB6ACEDB12BF0E31D00000000010C0000950291EA24F0614FB6ACEDB12BF0E31D00002087ADE30000</t>
        </is>
      </c>
      <c r="C297" t="inlineStr">
        <is>
          <t>cmm4yuqm903q5cuqw4e2lm0yq</t>
        </is>
      </c>
      <c r="D297" t="inlineStr">
        <is>
          <t>http://localhost:8787/api/admin/requirements/documents/cmm4yuqm903q5cuqw4e2lm0yq/view</t>
        </is>
      </c>
      <c r="E297">
        <f>HYPERLÄNK("http://localhost:8787/api/admin/requirements/documents/cmm4yuqm903q5cuqw4e2lm0yq/view";"Öppna PDF")</f>
        <v/>
      </c>
      <c r="F297">
        <f>HYPERLINK("http://localhost:8787/api/admin/requirements/documents/cmm4yuqm903q5cuqw4e2lm0yq/view","Open PDF")</f>
        <v/>
      </c>
      <c r="G297" t="inlineStr">
        <is>
          <t>cmm55w57p0004cuisfrtpqly8</t>
        </is>
      </c>
      <c r="H297" t="inlineStr">
        <is>
          <t>Beslutsvillkor</t>
        </is>
      </c>
      <c r="I297" t="inlineStr">
        <is>
          <t>DagvattenLakvatten</t>
        </is>
      </c>
      <c r="J297" t="inlineStr">
        <is>
          <t>Uppsamling</t>
        </is>
      </c>
      <c r="K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297" t="inlineStr">
        <is>
          <t>SKA</t>
        </is>
      </c>
      <c r="N297" t="inlineStr"/>
      <c r="O297" t="inlineStr"/>
      <c r="P297" t="inlineStr"/>
      <c r="Q297" t="inlineStr"/>
      <c r="R297" t="inlineStr">
        <is>
          <t>Vid nederbord och avrinning</t>
        </is>
      </c>
      <c r="S297" t="inlineStr"/>
      <c r="T297" t="inlineStr"/>
      <c r="U297" t="inlineStr"/>
      <c r="V297" t="inlineStr"/>
      <c r="W297" t="inlineStr">
        <is>
          <t>Nej</t>
        </is>
      </c>
      <c r="X297" t="inlineStr">
        <is>
          <t>Ja</t>
        </is>
      </c>
      <c r="Y297" t="inlineStr">
        <is>
          <t>Ja</t>
        </is>
      </c>
      <c r="Z297" t="inlineStr">
        <is>
          <t>Nej</t>
        </is>
      </c>
      <c r="AA297" t="n">
        <v>6</v>
      </c>
      <c r="AB297" t="inlineStr">
        <is>
          <t>Lakvattenhantering</t>
        </is>
      </c>
      <c r="AC297" t="inlineStr">
        <is>
          <t>Flodesschema dagvatten-lakvatten</t>
        </is>
      </c>
      <c r="AD297" t="inlineStr">
        <is>
          <t>Nej</t>
        </is>
      </c>
      <c r="AE297" t="inlineStr">
        <is>
          <t>Nej</t>
        </is>
      </c>
      <c r="AF297" t="inlineStr">
        <is>
          <t>Ej behandlad</t>
        </is>
      </c>
      <c r="AG297" t="inlineStr">
        <is>
          <t>AUTO_GENERERAD. Verifiera citat mot kallfil.</t>
        </is>
      </c>
      <c r="AH297" t="inlineStr">
        <is>
          <t>MEDIUM</t>
        </is>
      </c>
      <c r="AI297" t="inlineStr">
        <is>
          <t>AUTO</t>
        </is>
      </c>
      <c r="AJ297" t="inlineStr">
        <is>
          <t>Nej</t>
        </is>
      </c>
      <c r="AK297" t="inlineStr"/>
      <c r="AL297" t="inlineStr"/>
      <c r="AM297" t="inlineStr"/>
      <c r="AN297" t="inlineStr"/>
      <c r="AO297" t="inlineStr">
        <is>
          <t>cmm4yuqm903q5cuqw4e2lm0yq</t>
        </is>
      </c>
      <c r="AP297" t="inlineStr">
        <is>
          <t>http://localhost:8787/api/admin/requirements/documents/cmm4yuqm903q5cuqw4e2lm0yq/view</t>
        </is>
      </c>
      <c r="AQ297">
        <f>HYPERLÄNK("http://localhost:8787/api/admin/requirements/documents/cmm4yuqm903q5cuqw4e2lm0yq/view";"Öppna PDF")</f>
        <v/>
      </c>
      <c r="AR297">
        <f>HYPERLINK("http://localhost:8787/api/admin/requirements/documents/cmm4yuqm903q5cuqw4e2lm0yq/view","Open PDF")</f>
        <v/>
      </c>
      <c r="AS297" t="inlineStr">
        <is>
          <t>cmm55w57p0004cuisfrtpqly8</t>
        </is>
      </c>
      <c r="AT297" t="inlineStr">
        <is>
          <t>cmm4xvu980000cuh4vj0usz09</t>
        </is>
      </c>
      <c r="AU297" t="inlineStr">
        <is>
          <t>Miljöinspektör Bygg och Miljö Ljusdals</t>
        </is>
      </c>
      <c r="AV297" t="inlineStr">
        <is>
          <t>Kommun</t>
        </is>
      </c>
      <c r="AW297" t="inlineStr">
        <is>
          <t>Miljöinspektör Bygg och Miljö Ljusdals kommun</t>
        </is>
      </c>
      <c r="AX297" t="inlineStr">
        <is>
          <t>0651-18</t>
        </is>
      </c>
      <c r="AY297" t="inlineStr">
        <is>
          <t>Beslut</t>
        </is>
      </c>
      <c r="AZ297" t="inlineStr">
        <is>
          <t>2026-02-05</t>
        </is>
      </c>
      <c r="BA297" t="inlineStr">
        <is>
          <t>MFV.2025.230.pdf</t>
        </is>
      </c>
      <c r="BB297" t="inlineStr">
        <is>
          <t>Sv: Skickat till MILJÖ             Extern: till registrator</t>
        </is>
      </c>
      <c r="BC297" t="inlineStr">
        <is>
          <t>AUTO</t>
        </is>
      </c>
      <c r="BD297" t="inlineStr"/>
      <c r="BE297" t="inlineStr"/>
      <c r="BF297" t="inlineStr">
        <is>
          <t>AUTO_GENERERAD. Bekrafta metadata mot kallfil.</t>
        </is>
      </c>
      <c r="BG297">
        <f>HYPERLINK("C:\Users\jimmy\Desktop\Examens arbete\Kod\Ny mapp\remix_-copy-of-miljöbeslut.se-portal\MFV.2025.230.pdf", "Öppna PDF")</f>
        <v/>
      </c>
    </row>
    <row r="298">
      <c r="A298" t="inlineStr">
        <is>
          <t>KRAV-AUTO-000297</t>
        </is>
      </c>
      <c r="B298" t="inlineStr">
        <is>
          <t>ADMIN-INDEX-2026-02-27-00000000125C043F57453246863FE664CAFE6A3F0700950291EA24F0614FB6ACEDB12BF0E31D00000000010C0000950291EA24F0614FB6ACEDB12BF0E31D00002087ADE30000</t>
        </is>
      </c>
      <c r="C298" t="inlineStr">
        <is>
          <t>cmm4yuqm903q5cuqw4e2lm0yq</t>
        </is>
      </c>
      <c r="D298" t="inlineStr">
        <is>
          <t>http://localhost:8787/api/admin/requirements/documents/cmm4yuqm903q5cuqw4e2lm0yq/view</t>
        </is>
      </c>
      <c r="E298">
        <f>HYPERLÄNK("http://localhost:8787/api/admin/requirements/documents/cmm4yuqm903q5cuqw4e2lm0yq/view";"Öppna PDF")</f>
        <v/>
      </c>
      <c r="F298">
        <f>HYPERLINK("http://localhost:8787/api/admin/requirements/documents/cmm4yuqm903q5cuqw4e2lm0yq/view","Open PDF")</f>
        <v/>
      </c>
      <c r="G298" t="inlineStr">
        <is>
          <t>cmm55w57p0004cuisfrtpqly8</t>
        </is>
      </c>
      <c r="H298" t="inlineStr">
        <is>
          <t>Beslutsvillkor</t>
        </is>
      </c>
      <c r="I298" t="inlineStr">
        <is>
          <t>DagvattenLakvatten</t>
        </is>
      </c>
      <c r="J298" t="inlineStr">
        <is>
          <t>Uppsamling</t>
        </is>
      </c>
      <c r="K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298" t="inlineStr">
        <is>
          <t>SKA</t>
        </is>
      </c>
      <c r="N298" t="inlineStr"/>
      <c r="O298" t="inlineStr"/>
      <c r="P298" t="inlineStr"/>
      <c r="Q298" t="inlineStr"/>
      <c r="R298" t="inlineStr">
        <is>
          <t>Vid nederbord och avrinning</t>
        </is>
      </c>
      <c r="S298" t="inlineStr"/>
      <c r="T298" t="inlineStr"/>
      <c r="U298" t="inlineStr"/>
      <c r="V298" t="inlineStr"/>
      <c r="W298" t="inlineStr">
        <is>
          <t>Nej</t>
        </is>
      </c>
      <c r="X298" t="inlineStr">
        <is>
          <t>Ja</t>
        </is>
      </c>
      <c r="Y298" t="inlineStr">
        <is>
          <t>Ja</t>
        </is>
      </c>
      <c r="Z298" t="inlineStr">
        <is>
          <t>Nej</t>
        </is>
      </c>
      <c r="AA298" t="n">
        <v>6</v>
      </c>
      <c r="AB298" t="inlineStr">
        <is>
          <t>Lakvattenhantering</t>
        </is>
      </c>
      <c r="AC298" t="inlineStr">
        <is>
          <t>Flodesschema dagvatten-lakvatten</t>
        </is>
      </c>
      <c r="AD298" t="inlineStr">
        <is>
          <t>Nej</t>
        </is>
      </c>
      <c r="AE298" t="inlineStr">
        <is>
          <t>Nej</t>
        </is>
      </c>
      <c r="AF298" t="inlineStr">
        <is>
          <t>Ej behandlad</t>
        </is>
      </c>
      <c r="AG298" t="inlineStr">
        <is>
          <t>AUTO_GENERERAD. Verifiera citat mot kallfil.</t>
        </is>
      </c>
      <c r="AH298" t="inlineStr">
        <is>
          <t>MEDIUM</t>
        </is>
      </c>
      <c r="AI298" t="inlineStr">
        <is>
          <t>AUTO</t>
        </is>
      </c>
      <c r="AJ298" t="inlineStr">
        <is>
          <t>Nej</t>
        </is>
      </c>
      <c r="AK298" t="inlineStr"/>
      <c r="AL298" t="inlineStr"/>
      <c r="AM298" t="inlineStr"/>
      <c r="AN298" t="inlineStr"/>
      <c r="AO298" t="inlineStr">
        <is>
          <t>cmm4yuqm903q5cuqw4e2lm0yq</t>
        </is>
      </c>
      <c r="AP298" t="inlineStr">
        <is>
          <t>http://localhost:8787/api/admin/requirements/documents/cmm4yuqm903q5cuqw4e2lm0yq/view</t>
        </is>
      </c>
      <c r="AQ298">
        <f>HYPERLÄNK("http://localhost:8787/api/admin/requirements/documents/cmm4yuqm903q5cuqw4e2lm0yq/view";"Öppna PDF")</f>
        <v/>
      </c>
      <c r="AR298">
        <f>HYPERLINK("http://localhost:8787/api/admin/requirements/documents/cmm4yuqm903q5cuqw4e2lm0yq/view","Open PDF")</f>
        <v/>
      </c>
      <c r="AS298" t="inlineStr">
        <is>
          <t>cmm55w57p0004cuisfrtpqly8</t>
        </is>
      </c>
      <c r="AT298" t="inlineStr">
        <is>
          <t>cmm4xvu980000cuh4vj0usz09</t>
        </is>
      </c>
      <c r="AU298" t="inlineStr">
        <is>
          <t>Miljöinspektör Bygg och Miljö Ljusdals</t>
        </is>
      </c>
      <c r="AV298" t="inlineStr">
        <is>
          <t>Kommun</t>
        </is>
      </c>
      <c r="AW298" t="inlineStr">
        <is>
          <t>Miljöinspektör Bygg och Miljö Ljusdals kommun</t>
        </is>
      </c>
      <c r="AX298" t="inlineStr">
        <is>
          <t>0651-18</t>
        </is>
      </c>
      <c r="AY298" t="inlineStr">
        <is>
          <t>Beslut</t>
        </is>
      </c>
      <c r="AZ298" t="inlineStr">
        <is>
          <t>2026-02-05</t>
        </is>
      </c>
      <c r="BA298" t="inlineStr">
        <is>
          <t>MFV.2025.230.pdf</t>
        </is>
      </c>
      <c r="BB298" t="inlineStr">
        <is>
          <t>Sv: Skickat till MILJÖ             Extern: till registrator</t>
        </is>
      </c>
      <c r="BC298" t="inlineStr">
        <is>
          <t>AUTO</t>
        </is>
      </c>
      <c r="BD298" t="inlineStr"/>
      <c r="BE298" t="inlineStr"/>
      <c r="BF298" t="inlineStr">
        <is>
          <t>AUTO_GENERERAD. Bekrafta metadata mot kallfil.</t>
        </is>
      </c>
      <c r="BG298">
        <f>HYPERLINK("C:\Users\jimmy\Desktop\Examens arbete\Kod\Ny mapp\remix_-copy-of-miljöbeslut.se-portal\MFV.2025.230.pdf", "Öppna PDF")</f>
        <v/>
      </c>
    </row>
    <row r="299">
      <c r="A299" t="inlineStr">
        <is>
          <t>KRAV-AUTO-000298</t>
        </is>
      </c>
      <c r="B299" t="inlineStr">
        <is>
          <t>ADMIN-INDEX-2026-02-27-00000000125C043F57453246863FE664CAFE6A3F0700950291EA24F0614FB6ACEDB12BF0E31D00000000010C0000950291EA24F0614FB6ACEDB12BF0E31D00002087ADE30000</t>
        </is>
      </c>
      <c r="C299" t="inlineStr">
        <is>
          <t>cmm4yuqm903q5cuqw4e2lm0yq</t>
        </is>
      </c>
      <c r="D299" t="inlineStr">
        <is>
          <t>http://localhost:8787/api/admin/requirements/documents/cmm4yuqm903q5cuqw4e2lm0yq/view</t>
        </is>
      </c>
      <c r="E299">
        <f>HYPERLÄNK("http://localhost:8787/api/admin/requirements/documents/cmm4yuqm903q5cuqw4e2lm0yq/view";"Öppna PDF")</f>
        <v/>
      </c>
      <c r="F299">
        <f>HYPERLINK("http://localhost:8787/api/admin/requirements/documents/cmm4yuqm903q5cuqw4e2lm0yq/view","Open PDF")</f>
        <v/>
      </c>
      <c r="G299" t="inlineStr">
        <is>
          <t>cmm55w57p0004cuisfrtpqly8</t>
        </is>
      </c>
      <c r="H299" t="inlineStr">
        <is>
          <t>Beslutsvillkor</t>
        </is>
      </c>
      <c r="I299" t="inlineStr">
        <is>
          <t>DagvattenLakvatten</t>
        </is>
      </c>
      <c r="J299" t="inlineStr">
        <is>
          <t>Uppsamling</t>
        </is>
      </c>
      <c r="K299" t="inlineStr">
        <is>
          <t>Åtgärden ska utföras så att lakvatten inte avleds mot bäcken.</t>
        </is>
      </c>
      <c r="L299" t="inlineStr">
        <is>
          <t>Åtgärden ska utföras så att lakvatten inte avleds mot bäcken.</t>
        </is>
      </c>
      <c r="M299" t="inlineStr">
        <is>
          <t>SKA</t>
        </is>
      </c>
      <c r="N299" t="inlineStr"/>
      <c r="O299" t="inlineStr"/>
      <c r="P299" t="inlineStr"/>
      <c r="Q299" t="inlineStr"/>
      <c r="R299" t="inlineStr">
        <is>
          <t>Vid nederbord och avrinning</t>
        </is>
      </c>
      <c r="S299" t="inlineStr"/>
      <c r="T299" t="inlineStr"/>
      <c r="U299" t="inlineStr"/>
      <c r="V299" t="inlineStr"/>
      <c r="W299" t="inlineStr">
        <is>
          <t>Nej</t>
        </is>
      </c>
      <c r="X299" t="inlineStr">
        <is>
          <t>Ja</t>
        </is>
      </c>
      <c r="Y299" t="inlineStr">
        <is>
          <t>Ja</t>
        </is>
      </c>
      <c r="Z299" t="inlineStr">
        <is>
          <t>Nej</t>
        </is>
      </c>
      <c r="AA299" t="n">
        <v>6</v>
      </c>
      <c r="AB299" t="inlineStr">
        <is>
          <t>Lakvattenhantering</t>
        </is>
      </c>
      <c r="AC299" t="inlineStr">
        <is>
          <t>Flodesschema dagvatten-lakvatten</t>
        </is>
      </c>
      <c r="AD299" t="inlineStr">
        <is>
          <t>Nej</t>
        </is>
      </c>
      <c r="AE299" t="inlineStr">
        <is>
          <t>Nej</t>
        </is>
      </c>
      <c r="AF299" t="inlineStr">
        <is>
          <t>Ej behandlad</t>
        </is>
      </c>
      <c r="AG299" t="inlineStr">
        <is>
          <t>AUTO_GENERERAD. Verifiera citat mot kallfil.</t>
        </is>
      </c>
      <c r="AH299" t="inlineStr">
        <is>
          <t>MEDIUM</t>
        </is>
      </c>
      <c r="AI299" t="inlineStr">
        <is>
          <t>AUTO</t>
        </is>
      </c>
      <c r="AJ299" t="inlineStr">
        <is>
          <t>Nej</t>
        </is>
      </c>
      <c r="AK299" t="inlineStr"/>
      <c r="AL299" t="inlineStr"/>
      <c r="AM299" t="inlineStr"/>
      <c r="AN299" t="inlineStr"/>
      <c r="AO299" t="inlineStr">
        <is>
          <t>cmm4yuqm903q5cuqw4e2lm0yq</t>
        </is>
      </c>
      <c r="AP299" t="inlineStr">
        <is>
          <t>http://localhost:8787/api/admin/requirements/documents/cmm4yuqm903q5cuqw4e2lm0yq/view</t>
        </is>
      </c>
      <c r="AQ299">
        <f>HYPERLÄNK("http://localhost:8787/api/admin/requirements/documents/cmm4yuqm903q5cuqw4e2lm0yq/view";"Öppna PDF")</f>
        <v/>
      </c>
      <c r="AR299">
        <f>HYPERLINK("http://localhost:8787/api/admin/requirements/documents/cmm4yuqm903q5cuqw4e2lm0yq/view","Open PDF")</f>
        <v/>
      </c>
      <c r="AS299" t="inlineStr">
        <is>
          <t>cmm55w57p0004cuisfrtpqly8</t>
        </is>
      </c>
      <c r="AT299" t="inlineStr">
        <is>
          <t>cmm4xvu980000cuh4vj0usz09</t>
        </is>
      </c>
      <c r="AU299" t="inlineStr">
        <is>
          <t>Miljöinspektör Bygg och Miljö Ljusdals</t>
        </is>
      </c>
      <c r="AV299" t="inlineStr">
        <is>
          <t>Kommun</t>
        </is>
      </c>
      <c r="AW299" t="inlineStr">
        <is>
          <t>Miljöinspektör Bygg och Miljö Ljusdals kommun</t>
        </is>
      </c>
      <c r="AX299" t="inlineStr">
        <is>
          <t>0651-18</t>
        </is>
      </c>
      <c r="AY299" t="inlineStr">
        <is>
          <t>Beslut</t>
        </is>
      </c>
      <c r="AZ299" t="inlineStr">
        <is>
          <t>2026-02-05</t>
        </is>
      </c>
      <c r="BA299" t="inlineStr">
        <is>
          <t>MFV.2025.230.pdf</t>
        </is>
      </c>
      <c r="BB299" t="inlineStr">
        <is>
          <t>Sv: Skickat till MILJÖ             Extern: till registrator</t>
        </is>
      </c>
      <c r="BC299" t="inlineStr">
        <is>
          <t>AUTO</t>
        </is>
      </c>
      <c r="BD299" t="inlineStr"/>
      <c r="BE299" t="inlineStr"/>
      <c r="BF299" t="inlineStr">
        <is>
          <t>AUTO_GENERERAD. Bekrafta metadata mot kallfil.</t>
        </is>
      </c>
      <c r="BG299">
        <f>HYPERLINK("C:\Users\jimmy\Desktop\Examens arbete\Kod\Ny mapp\remix_-copy-of-miljöbeslut.se-portal\MFV.2025.230.pdf", "Öppna PDF")</f>
        <v/>
      </c>
    </row>
    <row r="300">
      <c r="A300" t="inlineStr">
        <is>
          <t>KRAV-AUTO-000299</t>
        </is>
      </c>
      <c r="B300" t="inlineStr">
        <is>
          <t>ADMIN-INDEX-2026-02-27-00000000125C043F57453246863FE664CAFE6A3F0700950291EA24F0614FB6ACEDB12BF0E31D00000000010C0000950291EA24F0614FB6ACEDB12BF0E31D00002087ADEF0000</t>
        </is>
      </c>
      <c r="C300" t="inlineStr">
        <is>
          <t>cmm4yuqkr03oncuqwctsx0nxt</t>
        </is>
      </c>
      <c r="D300" t="inlineStr">
        <is>
          <t>http://localhost:8787/api/admin/requirements/documents/cmm4yuqkr03oncuqwctsx0nxt/view</t>
        </is>
      </c>
      <c r="E300">
        <f>HYPERLÄNK("http://localhost:8787/api/admin/requirements/documents/cmm4yuqkr03oncuqwctsx0nxt/view";"Öppna PDF")</f>
        <v/>
      </c>
      <c r="F300">
        <f>HYPERLINK("http://localhost:8787/api/admin/requirements/documents/cmm4yuqkr03oncuqwctsx0nxt/view","Open PDF")</f>
        <v/>
      </c>
      <c r="G300" t="inlineStr">
        <is>
          <t>cmm55w57p0004cuisfrtpqly8</t>
        </is>
      </c>
      <c r="H300" t="inlineStr">
        <is>
          <t>Beslutsvillkor</t>
        </is>
      </c>
      <c r="I300" t="inlineStr">
        <is>
          <t>LagringsvolymTid</t>
        </is>
      </c>
      <c r="J300" t="inlineStr">
        <is>
          <t>Maxmangd</t>
        </is>
      </c>
      <c r="K300" t="inlineStr">
        <is>
          <t>Potentiella handlingar som kan skapas med rutinbetonade åtgärder har kommunen en skyldighet skapa och lämna ut.</t>
        </is>
      </c>
      <c r="L300" t="inlineStr">
        <is>
          <t>Potentiella handlingar som kan skapas med rutinbetonade åtgärder har kommunen en skyldighet skapa och lämna ut.</t>
        </is>
      </c>
      <c r="M300" t="inlineStr">
        <is>
          <t>SKA</t>
        </is>
      </c>
      <c r="N300" t="inlineStr"/>
      <c r="O300" t="inlineStr"/>
      <c r="P300" t="inlineStr"/>
      <c r="Q300" t="inlineStr"/>
      <c r="R300" t="inlineStr">
        <is>
          <t>Alltid</t>
        </is>
      </c>
      <c r="S300" t="inlineStr"/>
      <c r="T300" t="inlineStr"/>
      <c r="U300" t="inlineStr"/>
      <c r="V300" t="inlineStr"/>
      <c r="W300" t="inlineStr">
        <is>
          <t>Nej</t>
        </is>
      </c>
      <c r="X300" t="inlineStr">
        <is>
          <t>Nej</t>
        </is>
      </c>
      <c r="Y300" t="inlineStr">
        <is>
          <t>Nej</t>
        </is>
      </c>
      <c r="Z300" t="inlineStr">
        <is>
          <t>Nej</t>
        </is>
      </c>
      <c r="AA300" t="n">
        <v>4</v>
      </c>
      <c r="AB300" t="inlineStr">
        <is>
          <t>Avfallsmangder och lagringstid</t>
        </is>
      </c>
      <c r="AC300" t="inlineStr">
        <is>
          <t>Avfallsforteckning</t>
        </is>
      </c>
      <c r="AD300" t="inlineStr">
        <is>
          <t>Nej</t>
        </is>
      </c>
      <c r="AE300" t="inlineStr">
        <is>
          <t>Nej</t>
        </is>
      </c>
      <c r="AF300" t="inlineStr">
        <is>
          <t>Ej behandlad</t>
        </is>
      </c>
      <c r="AG300" t="inlineStr">
        <is>
          <t>AUTO_GENERERAD. Verifiera citat mot kallfil.</t>
        </is>
      </c>
      <c r="AH300" t="inlineStr">
        <is>
          <t>MEDIUM</t>
        </is>
      </c>
      <c r="AI300" t="inlineStr">
        <is>
          <t>AUTO</t>
        </is>
      </c>
      <c r="AJ300" t="inlineStr">
        <is>
          <t>Nej</t>
        </is>
      </c>
      <c r="AK300" t="inlineStr"/>
      <c r="AL300" t="inlineStr"/>
      <c r="AM300" t="inlineStr"/>
      <c r="AN300" t="inlineStr"/>
      <c r="AO300" t="inlineStr">
        <is>
          <t>cmm4yuqkr03oncuqwctsx0nxt</t>
        </is>
      </c>
      <c r="AP300" t="inlineStr">
        <is>
          <t>http://localhost:8787/api/admin/requirements/documents/cmm4yuqkr03oncuqwctsx0nxt/view</t>
        </is>
      </c>
      <c r="AQ300">
        <f>HYPERLÄNK("http://localhost:8787/api/admin/requirements/documents/cmm4yuqkr03oncuqwctsx0nxt/view";"Öppna PDF")</f>
        <v/>
      </c>
      <c r="AR300">
        <f>HYPERLINK("http://localhost:8787/api/admin/requirements/documents/cmm4yuqkr03oncuqwctsx0nxt/view","Open PDF")</f>
        <v/>
      </c>
      <c r="AS300" t="inlineStr">
        <is>
          <t>cmm55w57p0004cuisfrtpqly8</t>
        </is>
      </c>
      <c r="AT300" t="inlineStr">
        <is>
          <t>cmm4xvu980000cuh4vj0usz09</t>
        </is>
      </c>
      <c r="AU300" t="inlineStr"/>
      <c r="AV300" t="inlineStr">
        <is>
          <t>Kommun</t>
        </is>
      </c>
      <c r="AW300" t="inlineStr"/>
      <c r="AX300" t="inlineStr">
        <is>
          <t>2022/1163</t>
        </is>
      </c>
      <c r="AY300" t="inlineStr">
        <is>
          <t>Beslut</t>
        </is>
      </c>
      <c r="AZ300" t="inlineStr">
        <is>
          <t>2026-02-05</t>
        </is>
      </c>
      <c r="BA300" t="inlineStr">
        <is>
          <t>Avgiftstaxa.pdf</t>
        </is>
      </c>
      <c r="BB300" t="inlineStr">
        <is>
          <t>VB: Utlämnande av allmänna handlingar</t>
        </is>
      </c>
      <c r="BC300" t="inlineStr">
        <is>
          <t>AUTO</t>
        </is>
      </c>
      <c r="BD300" t="inlineStr"/>
      <c r="BE300" t="inlineStr"/>
      <c r="BF300" t="inlineStr">
        <is>
          <t>AUTO_GENERERAD. Bekrafta metadata mot kallfil.</t>
        </is>
      </c>
      <c r="BG300">
        <f>HYPERLINK("C:\Users\jimmy\Desktop\Examens arbete\Kod\Ny mapp\remix_-copy-of-miljöbeslut.se-portal\Avgiftstaxa.pdf", "Öppna PDF")</f>
        <v/>
      </c>
    </row>
    <row r="301">
      <c r="A301" t="inlineStr">
        <is>
          <t>KRAV-AUTO-000300</t>
        </is>
      </c>
      <c r="B301" t="inlineStr">
        <is>
          <t>ADMIN-INDEX-2026-02-27-00000000125C043F57453246863FE664CAFE6A3F0700950291EA24F0614FB6ACEDB12BF0E31D00000000010C0000950291EA24F0614FB6ACEDB12BF0E31D00002087ADF30000</t>
        </is>
      </c>
      <c r="C301" t="inlineStr">
        <is>
          <t>cmm4yuqhc03l8cuqwfjrfoy1e</t>
        </is>
      </c>
      <c r="D301" t="inlineStr">
        <is>
          <t>http://localhost:8787/api/admin/requirements/documents/cmm4yuqhc03l8cuqwfjrfoy1e/view</t>
        </is>
      </c>
      <c r="E301">
        <f>HYPERLÄNK("http://localhost:8787/api/admin/requirements/documents/cmm4yuqhc03l8cuqwfjrfoy1e/view";"Öppna PDF")</f>
        <v/>
      </c>
      <c r="F301">
        <f>HYPERLINK("http://localhost:8787/api/admin/requirements/documents/cmm4yuqhc03l8cuqwfjrfoy1e/view","Open PDF")</f>
        <v/>
      </c>
      <c r="G301" t="inlineStr">
        <is>
          <t>cmm55w57p0004cuisfrtpqly8</t>
        </is>
      </c>
      <c r="H301" t="inlineStr">
        <is>
          <t>Beslutsvillkor</t>
        </is>
      </c>
      <c r="I301" t="inlineStr">
        <is>
          <t>Ytkonstruktion</t>
        </is>
      </c>
      <c r="J301" t="inlineStr">
        <is>
          <t>Tat yta</t>
        </is>
      </c>
      <c r="K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301" t="inlineStr">
        <is>
          <t>SKA</t>
        </is>
      </c>
      <c r="N301" t="inlineStr"/>
      <c r="O301" t="inlineStr"/>
      <c r="P301" t="inlineStr"/>
      <c r="Q301" t="inlineStr"/>
      <c r="R301" t="inlineStr">
        <is>
          <t>Vid mellanlagring av avfall</t>
        </is>
      </c>
      <c r="S301" t="inlineStr"/>
      <c r="T301" t="inlineStr">
        <is>
          <t>251021</t>
        </is>
      </c>
      <c r="U301" t="inlineStr"/>
      <c r="V301" t="inlineStr"/>
      <c r="W301" t="inlineStr">
        <is>
          <t>Ja</t>
        </is>
      </c>
      <c r="X301" t="inlineStr">
        <is>
          <t>Nej</t>
        </is>
      </c>
      <c r="Y301" t="inlineStr">
        <is>
          <t>Nej</t>
        </is>
      </c>
      <c r="Z301" t="inlineStr">
        <is>
          <t>Nej</t>
        </is>
      </c>
      <c r="AA301" t="n">
        <v>5</v>
      </c>
      <c r="AB301" t="inlineStr">
        <is>
          <t>Teknisk beskrivning av platta</t>
        </is>
      </c>
      <c r="AC301" t="inlineStr">
        <is>
          <t>Teknisk ritning platta</t>
        </is>
      </c>
      <c r="AD301" t="inlineStr">
        <is>
          <t>Nej</t>
        </is>
      </c>
      <c r="AE301" t="inlineStr">
        <is>
          <t>Nej</t>
        </is>
      </c>
      <c r="AF301" t="inlineStr">
        <is>
          <t>Ej behandlad</t>
        </is>
      </c>
      <c r="AG301" t="inlineStr">
        <is>
          <t>AUTO_GENERERAD. Verifiera citat mot kallfil.</t>
        </is>
      </c>
      <c r="AH301" t="inlineStr">
        <is>
          <t>MEDIUM</t>
        </is>
      </c>
      <c r="AI301" t="inlineStr">
        <is>
          <t>AUTO</t>
        </is>
      </c>
      <c r="AJ301" t="inlineStr">
        <is>
          <t>Nej</t>
        </is>
      </c>
      <c r="AK301" t="inlineStr"/>
      <c r="AL301" t="inlineStr"/>
      <c r="AM301" t="inlineStr"/>
      <c r="AN301" t="inlineStr"/>
      <c r="AO301" t="inlineStr">
        <is>
          <t>cmm4yuqhc03l8cuqwfjrfoy1e</t>
        </is>
      </c>
      <c r="AP301" t="inlineStr">
        <is>
          <t>http://localhost:8787/api/admin/requirements/documents/cmm4yuqhc03l8cuqwfjrfoy1e/view</t>
        </is>
      </c>
      <c r="AQ301">
        <f>HYPERLÄNK("http://localhost:8787/api/admin/requirements/documents/cmm4yuqhc03l8cuqwfjrfoy1e/view";"Öppna PDF")</f>
        <v/>
      </c>
      <c r="AR301">
        <f>HYPERLINK("http://localhost:8787/api/admin/requirements/documents/cmm4yuqhc03l8cuqwfjrfoy1e/view","Open PDF")</f>
        <v/>
      </c>
      <c r="AS301" t="inlineStr">
        <is>
          <t>cmm55w57p0004cuisfrtpqly8</t>
        </is>
      </c>
      <c r="AT301" t="inlineStr">
        <is>
          <t>cmm4xvu980000cuh4vj0usz09</t>
        </is>
      </c>
      <c r="AU301" t="inlineStr"/>
      <c r="AV301" t="inlineStr">
        <is>
          <t>Kommun</t>
        </is>
      </c>
      <c r="AW301" t="inlineStr"/>
      <c r="AX301" t="inlineStr">
        <is>
          <t>2025-10</t>
        </is>
      </c>
      <c r="AY301" t="inlineStr">
        <is>
          <t>Beslut</t>
        </is>
      </c>
      <c r="AZ301" t="inlineStr">
        <is>
          <t>2026-02-05</t>
        </is>
      </c>
      <c r="BA301" t="inlineStr">
        <is>
          <t>251021-MMAVANLAN-CD02 2025-3268.pdf</t>
        </is>
      </c>
      <c r="BB301" t="inlineStr">
        <is>
          <t>Sv: till registrator</t>
        </is>
      </c>
      <c r="BC301" t="inlineStr">
        <is>
          <t>AUTO</t>
        </is>
      </c>
      <c r="BD301" t="inlineStr"/>
      <c r="BE301" t="inlineStr"/>
      <c r="BF301" t="inlineStr">
        <is>
          <t>AUTO_GENERERAD. Bekrafta metadata mot kallfil.</t>
        </is>
      </c>
      <c r="BG301">
        <f>HYPERLINK("C:\Users\jimmy\Desktop\Examens arbete\Kod\Ny mapp\remix_-copy-of-miljöbeslut.se-portal\251021-MMAVANLAN-CD02 2025-3268.pdf", "Öppna PDF")</f>
        <v/>
      </c>
    </row>
    <row r="302">
      <c r="A302" t="inlineStr">
        <is>
          <t>KRAV-AUTO-000301</t>
        </is>
      </c>
      <c r="B302" t="inlineStr">
        <is>
          <t>ADMIN-INDEX-2026-02-27-00000000125C043F57453246863FE664CAFE6A3F0700950291EA24F0614FB6ACEDB12BF0E31D00000000010C0000950291EA24F0614FB6ACEDB12BF0E31D00002087ADF30000</t>
        </is>
      </c>
      <c r="C302" t="inlineStr">
        <is>
          <t>cmm4yuqhc03l8cuqwfjrfoy1e</t>
        </is>
      </c>
      <c r="D302" t="inlineStr">
        <is>
          <t>http://localhost:8787/api/admin/requirements/documents/cmm4yuqhc03l8cuqwfjrfoy1e/view</t>
        </is>
      </c>
      <c r="E302">
        <f>HYPERLÄNK("http://localhost:8787/api/admin/requirements/documents/cmm4yuqhc03l8cuqwfjrfoy1e/view";"Öppna PDF")</f>
        <v/>
      </c>
      <c r="F302">
        <f>HYPERLINK("http://localhost:8787/api/admin/requirements/documents/cmm4yuqhc03l8cuqwfjrfoy1e/view","Open PDF")</f>
        <v/>
      </c>
      <c r="G302" t="inlineStr">
        <is>
          <t>cmm55w57p0004cuisfrtpqly8</t>
        </is>
      </c>
      <c r="H302" t="inlineStr">
        <is>
          <t>Beslutsvillkor</t>
        </is>
      </c>
      <c r="I302" t="inlineStr">
        <is>
          <t>LagringsvolymTid</t>
        </is>
      </c>
      <c r="J302" t="inlineStr">
        <is>
          <t>Maxmangd</t>
        </is>
      </c>
      <c r="K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302" t="inlineStr">
        <is>
          <t>SKA</t>
        </is>
      </c>
      <c r="N302" t="inlineStr"/>
      <c r="O302" t="inlineStr"/>
      <c r="P302" t="inlineStr"/>
      <c r="Q302" t="inlineStr"/>
      <c r="R302" t="inlineStr">
        <is>
          <t>Alltid</t>
        </is>
      </c>
      <c r="S302" t="inlineStr"/>
      <c r="T302" t="inlineStr">
        <is>
          <t>170504</t>
        </is>
      </c>
      <c r="U302" t="inlineStr"/>
      <c r="V302" t="inlineStr"/>
      <c r="W302" t="inlineStr">
        <is>
          <t>Nej</t>
        </is>
      </c>
      <c r="X302" t="inlineStr">
        <is>
          <t>Nej</t>
        </is>
      </c>
      <c r="Y302" t="inlineStr">
        <is>
          <t>Nej</t>
        </is>
      </c>
      <c r="Z302" t="inlineStr">
        <is>
          <t>Nej</t>
        </is>
      </c>
      <c r="AA302" t="n">
        <v>4</v>
      </c>
      <c r="AB302" t="inlineStr">
        <is>
          <t>Avfallsmangder och lagringstid</t>
        </is>
      </c>
      <c r="AC302" t="inlineStr">
        <is>
          <t>Avfallsforteckning</t>
        </is>
      </c>
      <c r="AD302" t="inlineStr">
        <is>
          <t>Nej</t>
        </is>
      </c>
      <c r="AE302" t="inlineStr">
        <is>
          <t>Nej</t>
        </is>
      </c>
      <c r="AF302" t="inlineStr">
        <is>
          <t>Ej behandlad</t>
        </is>
      </c>
      <c r="AG302" t="inlineStr">
        <is>
          <t>AUTO_GENERERAD. Verifiera citat mot kallfil.</t>
        </is>
      </c>
      <c r="AH302" t="inlineStr">
        <is>
          <t>MEDIUM</t>
        </is>
      </c>
      <c r="AI302" t="inlineStr">
        <is>
          <t>AUTO</t>
        </is>
      </c>
      <c r="AJ302" t="inlineStr">
        <is>
          <t>Nej</t>
        </is>
      </c>
      <c r="AK302" t="inlineStr"/>
      <c r="AL302" t="inlineStr"/>
      <c r="AM302" t="inlineStr"/>
      <c r="AN302" t="inlineStr"/>
      <c r="AO302" t="inlineStr">
        <is>
          <t>cmm4yuqhc03l8cuqwfjrfoy1e</t>
        </is>
      </c>
      <c r="AP302" t="inlineStr">
        <is>
          <t>http://localhost:8787/api/admin/requirements/documents/cmm4yuqhc03l8cuqwfjrfoy1e/view</t>
        </is>
      </c>
      <c r="AQ302">
        <f>HYPERLÄNK("http://localhost:8787/api/admin/requirements/documents/cmm4yuqhc03l8cuqwfjrfoy1e/view";"Öppna PDF")</f>
        <v/>
      </c>
      <c r="AR302">
        <f>HYPERLINK("http://localhost:8787/api/admin/requirements/documents/cmm4yuqhc03l8cuqwfjrfoy1e/view","Open PDF")</f>
        <v/>
      </c>
      <c r="AS302" t="inlineStr">
        <is>
          <t>cmm55w57p0004cuisfrtpqly8</t>
        </is>
      </c>
      <c r="AT302" t="inlineStr">
        <is>
          <t>cmm4xvu980000cuh4vj0usz09</t>
        </is>
      </c>
      <c r="AU302" t="inlineStr"/>
      <c r="AV302" t="inlineStr">
        <is>
          <t>Kommun</t>
        </is>
      </c>
      <c r="AW302" t="inlineStr"/>
      <c r="AX302" t="inlineStr">
        <is>
          <t>2025-10</t>
        </is>
      </c>
      <c r="AY302" t="inlineStr">
        <is>
          <t>Beslut</t>
        </is>
      </c>
      <c r="AZ302" t="inlineStr">
        <is>
          <t>2026-02-05</t>
        </is>
      </c>
      <c r="BA302" t="inlineStr">
        <is>
          <t>251021-MMAVANLAN-CD02 2025-3268.pdf</t>
        </is>
      </c>
      <c r="BB302" t="inlineStr">
        <is>
          <t>Sv: till registrator</t>
        </is>
      </c>
      <c r="BC302" t="inlineStr">
        <is>
          <t>AUTO</t>
        </is>
      </c>
      <c r="BD302" t="inlineStr"/>
      <c r="BE302" t="inlineStr"/>
      <c r="BF302" t="inlineStr">
        <is>
          <t>AUTO_GENERERAD. Bekrafta metadata mot kallfil.</t>
        </is>
      </c>
      <c r="BG302">
        <f>HYPERLINK("C:\Users\jimmy\Desktop\Examens arbete\Kod\Ny mapp\remix_-copy-of-miljöbeslut.se-portal\251021-MMAVANLAN-CD02 2025-3268.pdf", "Öppna PDF")</f>
        <v/>
      </c>
    </row>
    <row r="303">
      <c r="A303" t="inlineStr">
        <is>
          <t>KRAV-AUTO-000302</t>
        </is>
      </c>
      <c r="B303" t="inlineStr">
        <is>
          <t>ADMIN-INDEX-2026-02-27-00000000125C043F57453246863FE664CAFE6A3F0700950291EA24F0614FB6ACEDB12BF0E31D00000000010C0000950291EA24F0614FB6ACEDB12BF0E31D00002087ADF30000</t>
        </is>
      </c>
      <c r="C303" t="inlineStr">
        <is>
          <t>cmm4yuqhc03l8cuqwfjrfoy1e</t>
        </is>
      </c>
      <c r="D303" t="inlineStr">
        <is>
          <t>http://localhost:8787/api/admin/requirements/documents/cmm4yuqhc03l8cuqwfjrfoy1e/view</t>
        </is>
      </c>
      <c r="E303">
        <f>HYPERLÄNK("http://localhost:8787/api/admin/requirements/documents/cmm4yuqhc03l8cuqwfjrfoy1e/view";"Öppna PDF")</f>
        <v/>
      </c>
      <c r="F303">
        <f>HYPERLINK("http://localhost:8787/api/admin/requirements/documents/cmm4yuqhc03l8cuqwfjrfoy1e/view","Open PDF")</f>
        <v/>
      </c>
      <c r="G303" t="inlineStr">
        <is>
          <t>cmm55w57p0004cuisfrtpqly8</t>
        </is>
      </c>
      <c r="H303" t="inlineStr">
        <is>
          <t>Beslutsvillkor</t>
        </is>
      </c>
      <c r="I303" t="inlineStr">
        <is>
          <t>DagvattenLakvatten</t>
        </is>
      </c>
      <c r="J303" t="inlineStr">
        <is>
          <t>Uppsamling</t>
        </is>
      </c>
      <c r="K303" t="inlineStr">
        <is>
          <t>Beskrivning av massorna eller avfallet Beskriv ursprung och föroreningsinnehåll Alla massor måste ligga under Naturvårdsverkets värde för känslig mark (KM).</t>
        </is>
      </c>
      <c r="L303" t="inlineStr">
        <is>
          <t>Beskrivning av massorna eller avfallet Beskriv ursprung och föroreningsinnehåll Alla massor måste ligga under Naturvårdsverkets värde för känslig mark (KM).</t>
        </is>
      </c>
      <c r="M303" t="inlineStr">
        <is>
          <t>SKA</t>
        </is>
      </c>
      <c r="N303" t="inlineStr">
        <is>
          <t>Naturvardsverket</t>
        </is>
      </c>
      <c r="O303" t="inlineStr"/>
      <c r="P303" t="inlineStr"/>
      <c r="Q303" t="inlineStr"/>
      <c r="R303" t="inlineStr">
        <is>
          <t>Vid nederbord och avrinning</t>
        </is>
      </c>
      <c r="S303" t="inlineStr"/>
      <c r="T303" t="inlineStr">
        <is>
          <t>251021</t>
        </is>
      </c>
      <c r="U303" t="inlineStr"/>
      <c r="V303" t="inlineStr"/>
      <c r="W303" t="inlineStr">
        <is>
          <t>Nej</t>
        </is>
      </c>
      <c r="X303" t="inlineStr">
        <is>
          <t>Ja</t>
        </is>
      </c>
      <c r="Y303" t="inlineStr">
        <is>
          <t>Ja</t>
        </is>
      </c>
      <c r="Z303" t="inlineStr">
        <is>
          <t>Nej</t>
        </is>
      </c>
      <c r="AA303" t="n">
        <v>6</v>
      </c>
      <c r="AB303" t="inlineStr">
        <is>
          <t>Lakvattenhantering</t>
        </is>
      </c>
      <c r="AC303" t="inlineStr">
        <is>
          <t>Flodesschema dagvatten-lakvatten</t>
        </is>
      </c>
      <c r="AD303" t="inlineStr">
        <is>
          <t>Nej</t>
        </is>
      </c>
      <c r="AE303" t="inlineStr">
        <is>
          <t>Nej</t>
        </is>
      </c>
      <c r="AF303" t="inlineStr">
        <is>
          <t>Ej behandlad</t>
        </is>
      </c>
      <c r="AG303" t="inlineStr">
        <is>
          <t>AUTO_GENERERAD. Verifiera citat mot kallfil.</t>
        </is>
      </c>
      <c r="AH303" t="inlineStr">
        <is>
          <t>MEDIUM</t>
        </is>
      </c>
      <c r="AI303" t="inlineStr">
        <is>
          <t>AUTO</t>
        </is>
      </c>
      <c r="AJ303" t="inlineStr">
        <is>
          <t>Nej</t>
        </is>
      </c>
      <c r="AK303" t="inlineStr"/>
      <c r="AL303" t="inlineStr"/>
      <c r="AM303" t="inlineStr"/>
      <c r="AN303" t="inlineStr"/>
      <c r="AO303" t="inlineStr">
        <is>
          <t>cmm4yuqhc03l8cuqwfjrfoy1e</t>
        </is>
      </c>
      <c r="AP303" t="inlineStr">
        <is>
          <t>http://localhost:8787/api/admin/requirements/documents/cmm4yuqhc03l8cuqwfjrfoy1e/view</t>
        </is>
      </c>
      <c r="AQ303">
        <f>HYPERLÄNK("http://localhost:8787/api/admin/requirements/documents/cmm4yuqhc03l8cuqwfjrfoy1e/view";"Öppna PDF")</f>
        <v/>
      </c>
      <c r="AR303">
        <f>HYPERLINK("http://localhost:8787/api/admin/requirements/documents/cmm4yuqhc03l8cuqwfjrfoy1e/view","Open PDF")</f>
        <v/>
      </c>
      <c r="AS303" t="inlineStr">
        <is>
          <t>cmm55w57p0004cuisfrtpqly8</t>
        </is>
      </c>
      <c r="AT303" t="inlineStr">
        <is>
          <t>cmm4xvu980000cuh4vj0usz09</t>
        </is>
      </c>
      <c r="AU303" t="inlineStr"/>
      <c r="AV303" t="inlineStr">
        <is>
          <t>Kommun</t>
        </is>
      </c>
      <c r="AW303" t="inlineStr"/>
      <c r="AX303" t="inlineStr">
        <is>
          <t>2025-10</t>
        </is>
      </c>
      <c r="AY303" t="inlineStr">
        <is>
          <t>Beslut</t>
        </is>
      </c>
      <c r="AZ303" t="inlineStr">
        <is>
          <t>2026-02-05</t>
        </is>
      </c>
      <c r="BA303" t="inlineStr">
        <is>
          <t>251021-MMAVANLAN-CD02 2025-3268.pdf</t>
        </is>
      </c>
      <c r="BB303" t="inlineStr">
        <is>
          <t>Sv: till registrator</t>
        </is>
      </c>
      <c r="BC303" t="inlineStr">
        <is>
          <t>AUTO</t>
        </is>
      </c>
      <c r="BD303" t="inlineStr"/>
      <c r="BE303" t="inlineStr"/>
      <c r="BF303" t="inlineStr">
        <is>
          <t>AUTO_GENERERAD. Bekrafta metadata mot kallfil.</t>
        </is>
      </c>
      <c r="BG303">
        <f>HYPERLINK("C:\Users\jimmy\Desktop\Examens arbete\Kod\Ny mapp\remix_-copy-of-miljöbeslut.se-portal\251021-MMAVANLAN-CD02 2025-3268.pdf", "Öppna PDF")</f>
        <v/>
      </c>
    </row>
    <row r="304">
      <c r="A304" t="inlineStr">
        <is>
          <t>KRAV-AUTO-000303</t>
        </is>
      </c>
      <c r="B304" t="inlineStr">
        <is>
          <t>ADMIN-INDEX-2026-02-27-00000000125C043F57453246863FE664CAFE6A3F0700950291EA24F0614FB6ACEDB12BF0E31D00000000010C0000950291EA24F0614FB6ACEDB12BF0E31D00002087ADF90000</t>
        </is>
      </c>
      <c r="C304" t="inlineStr">
        <is>
          <t>cmm4yuqf403iwcuqwm70zklx6</t>
        </is>
      </c>
      <c r="D304" t="inlineStr">
        <is>
          <t>http://localhost:8787/api/admin/requirements/documents/cmm4yuqf403iwcuqwm70zklx6/view</t>
        </is>
      </c>
      <c r="E304">
        <f>HYPERLÄNK("http://localhost:8787/api/admin/requirements/documents/cmm4yuqf403iwcuqwm70zklx6/view";"Öppna PDF")</f>
        <v/>
      </c>
      <c r="F304">
        <f>HYPERLINK("http://localhost:8787/api/admin/requirements/documents/cmm4yuqf403iwcuqwm70zklx6/view","Open PDF")</f>
        <v/>
      </c>
      <c r="G304" t="inlineStr">
        <is>
          <t>cmm55w57p0004cuisfrtpqly8</t>
        </is>
      </c>
      <c r="H304" t="inlineStr">
        <is>
          <t>Informationskrav</t>
        </is>
      </c>
      <c r="I304" t="inlineStr">
        <is>
          <t>MiljopaverkanForsiktighet</t>
        </is>
      </c>
      <c r="J304" t="inlineStr">
        <is>
          <t>Skyddsatgarder</t>
        </is>
      </c>
      <c r="K304" t="inlineStr">
        <is>
          <t>Bakgrund Skanska Sverige AB inkom den 6 februari 2024 med en anmälan om lagring av avfall i form av uppgrävda schaktmassor inom fastigheten Flisan 2.</t>
        </is>
      </c>
      <c r="L304" t="inlineStr">
        <is>
          <t>Bakgrund Skanska Sverige AB inkom den 6 februari 2024 med en anmälan om lagring av avfall i form av uppgrävda schaktmassor inom fastigheten Flisan 2.</t>
        </is>
      </c>
      <c r="M304" t="inlineStr">
        <is>
          <t>SKA</t>
        </is>
      </c>
      <c r="N304" t="inlineStr"/>
      <c r="O304" t="inlineStr"/>
      <c r="P304" t="inlineStr"/>
      <c r="Q304" t="inlineStr"/>
      <c r="R304" t="inlineStr">
        <is>
          <t>Alltid</t>
        </is>
      </c>
      <c r="S304" t="inlineStr"/>
      <c r="T304" t="inlineStr">
        <is>
          <t>556033</t>
        </is>
      </c>
      <c r="U304" t="inlineStr"/>
      <c r="V304" t="inlineStr"/>
      <c r="W304" t="inlineStr">
        <is>
          <t>Nej</t>
        </is>
      </c>
      <c r="X304" t="inlineStr">
        <is>
          <t>Nej</t>
        </is>
      </c>
      <c r="Y304" t="inlineStr">
        <is>
          <t>Nej</t>
        </is>
      </c>
      <c r="Z304" t="inlineStr">
        <is>
          <t>Nej</t>
        </is>
      </c>
      <c r="AA304" t="n">
        <v>10</v>
      </c>
      <c r="AB304" t="inlineStr">
        <is>
          <t>Miljopaverkan och forsiktighetsmatt</t>
        </is>
      </c>
      <c r="AC304" t="inlineStr">
        <is>
          <t>Miljo-PM</t>
        </is>
      </c>
      <c r="AD304" t="inlineStr">
        <is>
          <t>Nej</t>
        </is>
      </c>
      <c r="AE304" t="inlineStr">
        <is>
          <t>Nej</t>
        </is>
      </c>
      <c r="AF304" t="inlineStr">
        <is>
          <t>Ej behandlad</t>
        </is>
      </c>
      <c r="AG304" t="inlineStr">
        <is>
          <t>AUTO_GENERERAD. Verifiera citat mot kallfil.</t>
        </is>
      </c>
      <c r="AH304" t="inlineStr">
        <is>
          <t>MEDIUM</t>
        </is>
      </c>
      <c r="AI304" t="inlineStr">
        <is>
          <t>AUTO</t>
        </is>
      </c>
      <c r="AJ304" t="inlineStr">
        <is>
          <t>Nej</t>
        </is>
      </c>
      <c r="AK304" t="inlineStr"/>
      <c r="AL304" t="inlineStr"/>
      <c r="AM304" t="inlineStr"/>
      <c r="AN304" t="inlineStr"/>
      <c r="AO304" t="inlineStr">
        <is>
          <t>cmm4yuqf403iwcuqwm70zklx6</t>
        </is>
      </c>
      <c r="AP304" t="inlineStr">
        <is>
          <t>http://localhost:8787/api/admin/requirements/documents/cmm4yuqf403iwcuqwm70zklx6/view</t>
        </is>
      </c>
      <c r="AQ304">
        <f>HYPERLÄNK("http://localhost:8787/api/admin/requirements/documents/cmm4yuqf403iwcuqwm70zklx6/view";"Öppna PDF")</f>
        <v/>
      </c>
      <c r="AR304">
        <f>HYPERLINK("http://localhost:8787/api/admin/requirements/documents/cmm4yuqf403iwcuqwm70zklx6/view","Open PDF")</f>
        <v/>
      </c>
      <c r="AS304" t="inlineStr">
        <is>
          <t>cmm55w57p0004cuisfrtpqly8</t>
        </is>
      </c>
      <c r="AT304" t="inlineStr">
        <is>
          <t>cmm4xvu980000cuh4vj0usz09</t>
        </is>
      </c>
      <c r="AU304" t="inlineStr"/>
      <c r="AV304" t="inlineStr">
        <is>
          <t>Kommun</t>
        </is>
      </c>
      <c r="AW304" t="inlineStr"/>
      <c r="AX304" t="inlineStr">
        <is>
          <t>2024-02</t>
        </is>
      </c>
      <c r="AY304" t="inlineStr">
        <is>
          <t>Anmalan</t>
        </is>
      </c>
      <c r="AZ304" t="inlineStr">
        <is>
          <t>2026-02-05</t>
        </is>
      </c>
      <c r="BA304" t="inlineStr">
        <is>
          <t>Skanska Sverige AB Anmälan Flisan 2 Beslut 240214.pdf</t>
        </is>
      </c>
      <c r="BB304" t="inlineStr">
        <is>
          <t>Begäran om utlämnande av allmän handling – Anmälningar och beslut rörande mellanlagring av avfall samt anläggning av ytor</t>
        </is>
      </c>
      <c r="BC304" t="inlineStr">
        <is>
          <t>AUTO</t>
        </is>
      </c>
      <c r="BD304" t="inlineStr"/>
      <c r="BE304" t="inlineStr"/>
      <c r="BF304" t="inlineStr">
        <is>
          <t>AUTO_GENERERAD. Bekrafta metadata mot kallfil.</t>
        </is>
      </c>
      <c r="BG304">
        <f>HYPERLINK("C:\Users\jimmy\Desktop\Examens arbete\Kod\Ny mapp\remix_-copy-of-miljöbeslut.se-portal\Skanska Sverige AB Anmälan Flisan 2 Beslut 240214.pdf", "Öppna PDF")</f>
        <v/>
      </c>
    </row>
    <row r="305">
      <c r="A305" t="inlineStr">
        <is>
          <t>KRAV-AUTO-000304</t>
        </is>
      </c>
      <c r="B305" t="inlineStr">
        <is>
          <t>ADMIN-INDEX-2026-02-27-00000000125C043F57453246863FE664CAFE6A3F0700950291EA24F0614FB6ACEDB12BF0E31D00000000010C0000950291EA24F0614FB6ACEDB12BF0E31D00002087ADF90000</t>
        </is>
      </c>
      <c r="C305" t="inlineStr">
        <is>
          <t>cmm4yuqf403iwcuqwm70zklx6</t>
        </is>
      </c>
      <c r="D305" t="inlineStr">
        <is>
          <t>http://localhost:8787/api/admin/requirements/documents/cmm4yuqf403iwcuqwm70zklx6/view</t>
        </is>
      </c>
      <c r="E305">
        <f>HYPERLÄNK("http://localhost:8787/api/admin/requirements/documents/cmm4yuqf403iwcuqwm70zklx6/view";"Öppna PDF")</f>
        <v/>
      </c>
      <c r="F305">
        <f>HYPERLINK("http://localhost:8787/api/admin/requirements/documents/cmm4yuqf403iwcuqwm70zklx6/view","Open PDF")</f>
        <v/>
      </c>
      <c r="G305" t="inlineStr">
        <is>
          <t>cmm55w57p0004cuisfrtpqly8</t>
        </is>
      </c>
      <c r="H305" t="inlineStr">
        <is>
          <t>Informationskrav</t>
        </is>
      </c>
      <c r="I305" t="inlineStr">
        <is>
          <t>DriftEgenkontroll</t>
        </is>
      </c>
      <c r="J305" t="inlineStr">
        <is>
          <t>Journalforing</t>
        </is>
      </c>
      <c r="K305" t="inlineStr">
        <is>
          <t>I ett svar från Skanska som inkom den 13 februari framgår att dessa utgörs av matjordslager som ska köras tillbaka till och att dessa inte är provtagna.</t>
        </is>
      </c>
      <c r="L305" t="inlineStr">
        <is>
          <t>I ett svar från Skanska som inkom den 13 februari framgår att dessa utgörs av matjordslager som ska köras tillbaka till och att dessa inte är provtagna.</t>
        </is>
      </c>
      <c r="M305" t="inlineStr">
        <is>
          <t>SKA</t>
        </is>
      </c>
      <c r="N305" t="inlineStr"/>
      <c r="O305" t="inlineStr"/>
      <c r="P305" t="inlineStr"/>
      <c r="Q305" t="inlineStr"/>
      <c r="R305" t="inlineStr">
        <is>
          <t>Lopande drift</t>
        </is>
      </c>
      <c r="S305" t="inlineStr"/>
      <c r="T305" t="inlineStr">
        <is>
          <t>556033</t>
        </is>
      </c>
      <c r="U305" t="inlineStr"/>
      <c r="V305" t="inlineStr"/>
      <c r="W305" t="inlineStr">
        <is>
          <t>Nej</t>
        </is>
      </c>
      <c r="X305" t="inlineStr">
        <is>
          <t>Nej</t>
        </is>
      </c>
      <c r="Y305" t="inlineStr">
        <is>
          <t>Ja</t>
        </is>
      </c>
      <c r="Z305" t="inlineStr">
        <is>
          <t>Nej</t>
        </is>
      </c>
      <c r="AA305" t="n">
        <v>7</v>
      </c>
      <c r="AB305" t="inlineStr">
        <is>
          <t>Egenkontrollrutiner</t>
        </is>
      </c>
      <c r="AC305" t="inlineStr">
        <is>
          <t>Egenkontrollprogram</t>
        </is>
      </c>
      <c r="AD305" t="inlineStr">
        <is>
          <t>Nej</t>
        </is>
      </c>
      <c r="AE305" t="inlineStr">
        <is>
          <t>Nej</t>
        </is>
      </c>
      <c r="AF305" t="inlineStr">
        <is>
          <t>Ej behandlad</t>
        </is>
      </c>
      <c r="AG305" t="inlineStr">
        <is>
          <t>AUTO_GENERERAD. Verifiera citat mot kallfil.</t>
        </is>
      </c>
      <c r="AH305" t="inlineStr">
        <is>
          <t>MEDIUM</t>
        </is>
      </c>
      <c r="AI305" t="inlineStr">
        <is>
          <t>AUTO</t>
        </is>
      </c>
      <c r="AJ305" t="inlineStr">
        <is>
          <t>Nej</t>
        </is>
      </c>
      <c r="AK305" t="inlineStr"/>
      <c r="AL305" t="inlineStr"/>
      <c r="AM305" t="inlineStr"/>
      <c r="AN305" t="inlineStr"/>
      <c r="AO305" t="inlineStr">
        <is>
          <t>cmm4yuqf403iwcuqwm70zklx6</t>
        </is>
      </c>
      <c r="AP305" t="inlineStr">
        <is>
          <t>http://localhost:8787/api/admin/requirements/documents/cmm4yuqf403iwcuqwm70zklx6/view</t>
        </is>
      </c>
      <c r="AQ305">
        <f>HYPERLÄNK("http://localhost:8787/api/admin/requirements/documents/cmm4yuqf403iwcuqwm70zklx6/view";"Öppna PDF")</f>
        <v/>
      </c>
      <c r="AR305">
        <f>HYPERLINK("http://localhost:8787/api/admin/requirements/documents/cmm4yuqf403iwcuqwm70zklx6/view","Open PDF")</f>
        <v/>
      </c>
      <c r="AS305" t="inlineStr">
        <is>
          <t>cmm55w57p0004cuisfrtpqly8</t>
        </is>
      </c>
      <c r="AT305" t="inlineStr">
        <is>
          <t>cmm4xvu980000cuh4vj0usz09</t>
        </is>
      </c>
      <c r="AU305" t="inlineStr"/>
      <c r="AV305" t="inlineStr">
        <is>
          <t>Kommun</t>
        </is>
      </c>
      <c r="AW305" t="inlineStr"/>
      <c r="AX305" t="inlineStr">
        <is>
          <t>2024-02</t>
        </is>
      </c>
      <c r="AY305" t="inlineStr">
        <is>
          <t>Anmalan</t>
        </is>
      </c>
      <c r="AZ305" t="inlineStr">
        <is>
          <t>2026-02-05</t>
        </is>
      </c>
      <c r="BA305" t="inlineStr">
        <is>
          <t>Skanska Sverige AB Anmälan Flisan 2 Beslut 240214.pdf</t>
        </is>
      </c>
      <c r="BB305" t="inlineStr">
        <is>
          <t>Begäran om utlämnande av allmän handling – Anmälningar och beslut rörande mellanlagring av avfall samt anläggning av ytor</t>
        </is>
      </c>
      <c r="BC305" t="inlineStr">
        <is>
          <t>AUTO</t>
        </is>
      </c>
      <c r="BD305" t="inlineStr"/>
      <c r="BE305" t="inlineStr"/>
      <c r="BF305" t="inlineStr">
        <is>
          <t>AUTO_GENERERAD. Bekrafta metadata mot kallfil.</t>
        </is>
      </c>
      <c r="BG305">
        <f>HYPERLINK("C:\Users\jimmy\Desktop\Examens arbete\Kod\Ny mapp\remix_-copy-of-miljöbeslut.se-portal\Skanska Sverige AB Anmälan Flisan 2 Beslut 240214.pdf", "Öppna PDF")</f>
        <v/>
      </c>
    </row>
    <row r="306">
      <c r="A306" t="inlineStr">
        <is>
          <t>KRAV-AUTO-000305</t>
        </is>
      </c>
      <c r="B306" t="inlineStr">
        <is>
          <t>ADMIN-INDEX-2026-02-27-00000000125C043F57453246863FE664CAFE6A3F0700950291EA24F0614FB6ACEDB12BF0E31D00000000010C0000950291EA24F0614FB6ACEDB12BF0E31D00002087ADF90000</t>
        </is>
      </c>
      <c r="C306" t="inlineStr">
        <is>
          <t>cmm4yuqf403iwcuqwm70zklx6</t>
        </is>
      </c>
      <c r="D306" t="inlineStr">
        <is>
          <t>http://localhost:8787/api/admin/requirements/documents/cmm4yuqf403iwcuqwm70zklx6/view</t>
        </is>
      </c>
      <c r="E306">
        <f>HYPERLÄNK("http://localhost:8787/api/admin/requirements/documents/cmm4yuqf403iwcuqwm70zklx6/view";"Öppna PDF")</f>
        <v/>
      </c>
      <c r="F306">
        <f>HYPERLINK("http://localhost:8787/api/admin/requirements/documents/cmm4yuqf403iwcuqwm70zklx6/view","Open PDF")</f>
        <v/>
      </c>
      <c r="G306" t="inlineStr">
        <is>
          <t>cmm55w57p0004cuisfrtpqly8</t>
        </is>
      </c>
      <c r="H306" t="inlineStr">
        <is>
          <t>Informationskrav</t>
        </is>
      </c>
      <c r="I306" t="inlineStr">
        <is>
          <t>DagvattenLakvatten</t>
        </is>
      </c>
      <c r="J306" t="inlineStr">
        <is>
          <t>Uppsamling</t>
        </is>
      </c>
      <c r="K306" t="inlineStr">
        <is>
          <t>Följande framkom: Schaktmassor från projekt lagras på platsen i en mängd som uppskatta- des till omkring I anmälan anges att dessa massor är klassade som massor med föroreningshalter under MKM.</t>
        </is>
      </c>
      <c r="L306" t="inlineStr">
        <is>
          <t>Följande framkom: Schaktmassor från projekt lagras på platsen i en mängd som uppskatta- des till omkring I anmälan anges att dessa massor är klassade som massor med föroreningshalter under MKM.</t>
        </is>
      </c>
      <c r="M306" t="inlineStr">
        <is>
          <t>SKA</t>
        </is>
      </c>
      <c r="N306" t="inlineStr"/>
      <c r="O306" t="inlineStr"/>
      <c r="P306" t="inlineStr"/>
      <c r="Q306" t="inlineStr"/>
      <c r="R306" t="inlineStr">
        <is>
          <t>Vid nederbord och avrinning</t>
        </is>
      </c>
      <c r="S306" t="inlineStr"/>
      <c r="T306" t="inlineStr">
        <is>
          <t>556033</t>
        </is>
      </c>
      <c r="U306" t="inlineStr"/>
      <c r="V306" t="inlineStr"/>
      <c r="W306" t="inlineStr">
        <is>
          <t>Nej</t>
        </is>
      </c>
      <c r="X306" t="inlineStr">
        <is>
          <t>Ja</t>
        </is>
      </c>
      <c r="Y306" t="inlineStr">
        <is>
          <t>Ja</t>
        </is>
      </c>
      <c r="Z306" t="inlineStr">
        <is>
          <t>Nej</t>
        </is>
      </c>
      <c r="AA306" t="n">
        <v>6</v>
      </c>
      <c r="AB306" t="inlineStr">
        <is>
          <t>Lakvattenhantering</t>
        </is>
      </c>
      <c r="AC306" t="inlineStr">
        <is>
          <t>Flodesschema dagvatten-lakvatten</t>
        </is>
      </c>
      <c r="AD306" t="inlineStr">
        <is>
          <t>Nej</t>
        </is>
      </c>
      <c r="AE306" t="inlineStr">
        <is>
          <t>Nej</t>
        </is>
      </c>
      <c r="AF306" t="inlineStr">
        <is>
          <t>Ej behandlad</t>
        </is>
      </c>
      <c r="AG306" t="inlineStr">
        <is>
          <t>AUTO_GENERERAD. Verifiera citat mot kallfil.</t>
        </is>
      </c>
      <c r="AH306" t="inlineStr">
        <is>
          <t>MEDIUM</t>
        </is>
      </c>
      <c r="AI306" t="inlineStr">
        <is>
          <t>AUTO</t>
        </is>
      </c>
      <c r="AJ306" t="inlineStr">
        <is>
          <t>Nej</t>
        </is>
      </c>
      <c r="AK306" t="inlineStr"/>
      <c r="AL306" t="inlineStr"/>
      <c r="AM306" t="inlineStr"/>
      <c r="AN306" t="inlineStr"/>
      <c r="AO306" t="inlineStr">
        <is>
          <t>cmm4yuqf403iwcuqwm70zklx6</t>
        </is>
      </c>
      <c r="AP306" t="inlineStr">
        <is>
          <t>http://localhost:8787/api/admin/requirements/documents/cmm4yuqf403iwcuqwm70zklx6/view</t>
        </is>
      </c>
      <c r="AQ306">
        <f>HYPERLÄNK("http://localhost:8787/api/admin/requirements/documents/cmm4yuqf403iwcuqwm70zklx6/view";"Öppna PDF")</f>
        <v/>
      </c>
      <c r="AR306">
        <f>HYPERLINK("http://localhost:8787/api/admin/requirements/documents/cmm4yuqf403iwcuqwm70zklx6/view","Open PDF")</f>
        <v/>
      </c>
      <c r="AS306" t="inlineStr">
        <is>
          <t>cmm55w57p0004cuisfrtpqly8</t>
        </is>
      </c>
      <c r="AT306" t="inlineStr">
        <is>
          <t>cmm4xvu980000cuh4vj0usz09</t>
        </is>
      </c>
      <c r="AU306" t="inlineStr"/>
      <c r="AV306" t="inlineStr">
        <is>
          <t>Kommun</t>
        </is>
      </c>
      <c r="AW306" t="inlineStr"/>
      <c r="AX306" t="inlineStr">
        <is>
          <t>2024-02</t>
        </is>
      </c>
      <c r="AY306" t="inlineStr">
        <is>
          <t>Anmalan</t>
        </is>
      </c>
      <c r="AZ306" t="inlineStr">
        <is>
          <t>2026-02-05</t>
        </is>
      </c>
      <c r="BA306" t="inlineStr">
        <is>
          <t>Skanska Sverige AB Anmälan Flisan 2 Beslut 240214.pdf</t>
        </is>
      </c>
      <c r="BB306" t="inlineStr">
        <is>
          <t>Begäran om utlämnande av allmän handling – Anmälningar och beslut rörande mellanlagring av avfall samt anläggning av ytor</t>
        </is>
      </c>
      <c r="BC306" t="inlineStr">
        <is>
          <t>AUTO</t>
        </is>
      </c>
      <c r="BD306" t="inlineStr"/>
      <c r="BE306" t="inlineStr"/>
      <c r="BF306" t="inlineStr">
        <is>
          <t>AUTO_GENERERAD. Bekrafta metadata mot kallfil.</t>
        </is>
      </c>
      <c r="BG306">
        <f>HYPERLINK("C:\Users\jimmy\Desktop\Examens arbete\Kod\Ny mapp\remix_-copy-of-miljöbeslut.se-portal\Skanska Sverige AB Anmälan Flisan 2 Beslut 240214.pdf", "Öppna PDF")</f>
        <v/>
      </c>
    </row>
    <row r="307">
      <c r="A307" t="inlineStr">
        <is>
          <t>KRAV-AUTO-000306</t>
        </is>
      </c>
      <c r="B307" t="inlineStr">
        <is>
          <t>ADMIN-INDEX-2026-02-27-00000000125C043F57453246863FE664CAFE6A3F0700950291EA24F0614FB6ACEDB12BF0E31D00000000010C0000950291EA24F0614FB6ACEDB12BF0E31D00002087ADFA0000</t>
        </is>
      </c>
      <c r="C307" t="inlineStr">
        <is>
          <t>cmm4yuqev03incuqwhki43c68</t>
        </is>
      </c>
      <c r="D307" t="inlineStr">
        <is>
          <t>http://localhost:8787/api/admin/requirements/documents/cmm4yuqev03incuqwhki43c68/view</t>
        </is>
      </c>
      <c r="E307">
        <f>HYPERLÄNK("http://localhost:8787/api/admin/requirements/documents/cmm4yuqev03incuqwhki43c68/view";"Öppna PDF")</f>
        <v/>
      </c>
      <c r="F307">
        <f>HYPERLINK("http://localhost:8787/api/admin/requirements/documents/cmm4yuqev03incuqwhki43c68/view","Open PDF")</f>
        <v/>
      </c>
      <c r="G307" t="inlineStr">
        <is>
          <t>cmm55w57p0004cuisfrtpqly8</t>
        </is>
      </c>
      <c r="H307" t="inlineStr">
        <is>
          <t>Informationskrav</t>
        </is>
      </c>
      <c r="I307" t="inlineStr">
        <is>
          <t>MiljopaverkanForsiktighet</t>
        </is>
      </c>
      <c r="J307" t="inlineStr">
        <is>
          <t>Skyddsatgarder</t>
        </is>
      </c>
      <c r="K307" t="inlineStr">
        <is>
          <t>Bakgrund Skanska Sverige AB inkom den 6 februari 2024 med en anmälan om lagring av avfall i form av uppgrävda schaktmassor inom fastigheten Flisan 2.</t>
        </is>
      </c>
      <c r="L307" t="inlineStr">
        <is>
          <t>Bakgrund Skanska Sverige AB inkom den 6 februari 2024 med en anmälan om lagring av avfall i form av uppgrävda schaktmassor inom fastigheten Flisan 2.</t>
        </is>
      </c>
      <c r="M307" t="inlineStr">
        <is>
          <t>SKA</t>
        </is>
      </c>
      <c r="N307" t="inlineStr"/>
      <c r="O307" t="inlineStr"/>
      <c r="P307" t="inlineStr"/>
      <c r="Q307" t="inlineStr"/>
      <c r="R307" t="inlineStr">
        <is>
          <t>Alltid</t>
        </is>
      </c>
      <c r="S307" t="inlineStr"/>
      <c r="T307" t="inlineStr">
        <is>
          <t>556033</t>
        </is>
      </c>
      <c r="U307" t="inlineStr"/>
      <c r="V307" t="inlineStr"/>
      <c r="W307" t="inlineStr">
        <is>
          <t>Nej</t>
        </is>
      </c>
      <c r="X307" t="inlineStr">
        <is>
          <t>Nej</t>
        </is>
      </c>
      <c r="Y307" t="inlineStr">
        <is>
          <t>Nej</t>
        </is>
      </c>
      <c r="Z307" t="inlineStr">
        <is>
          <t>Nej</t>
        </is>
      </c>
      <c r="AA307" t="n">
        <v>10</v>
      </c>
      <c r="AB307" t="inlineStr">
        <is>
          <t>Miljopaverkan och forsiktighetsmatt</t>
        </is>
      </c>
      <c r="AC307" t="inlineStr">
        <is>
          <t>Miljo-PM</t>
        </is>
      </c>
      <c r="AD307" t="inlineStr">
        <is>
          <t>Nej</t>
        </is>
      </c>
      <c r="AE307" t="inlineStr">
        <is>
          <t>Nej</t>
        </is>
      </c>
      <c r="AF307" t="inlineStr">
        <is>
          <t>Ej behandlad</t>
        </is>
      </c>
      <c r="AG307" t="inlineStr">
        <is>
          <t>AUTO_GENERERAD. Verifiera citat mot kallfil.</t>
        </is>
      </c>
      <c r="AH307" t="inlineStr">
        <is>
          <t>MEDIUM</t>
        </is>
      </c>
      <c r="AI307" t="inlineStr">
        <is>
          <t>AUTO</t>
        </is>
      </c>
      <c r="AJ307" t="inlineStr">
        <is>
          <t>Nej</t>
        </is>
      </c>
      <c r="AK307" t="inlineStr"/>
      <c r="AL307" t="inlineStr"/>
      <c r="AM307" t="inlineStr"/>
      <c r="AN307" t="inlineStr"/>
      <c r="AO307" t="inlineStr">
        <is>
          <t>cmm4yuqev03incuqwhki43c68</t>
        </is>
      </c>
      <c r="AP307" t="inlineStr">
        <is>
          <t>http://localhost:8787/api/admin/requirements/documents/cmm4yuqev03incuqwhki43c68/view</t>
        </is>
      </c>
      <c r="AQ307">
        <f>HYPERLÄNK("http://localhost:8787/api/admin/requirements/documents/cmm4yuqev03incuqwhki43c68/view";"Öppna PDF")</f>
        <v/>
      </c>
      <c r="AR307">
        <f>HYPERLINK("http://localhost:8787/api/admin/requirements/documents/cmm4yuqev03incuqwhki43c68/view","Open PDF")</f>
        <v/>
      </c>
      <c r="AS307" t="inlineStr">
        <is>
          <t>cmm55w57p0004cuisfrtpqly8</t>
        </is>
      </c>
      <c r="AT307" t="inlineStr">
        <is>
          <t>cmm4xvu980000cuh4vj0usz09</t>
        </is>
      </c>
      <c r="AU307" t="inlineStr"/>
      <c r="AV307" t="inlineStr">
        <is>
          <t>Kommun</t>
        </is>
      </c>
      <c r="AW307" t="inlineStr"/>
      <c r="AX307" t="inlineStr">
        <is>
          <t>2024-02</t>
        </is>
      </c>
      <c r="AY307" t="inlineStr">
        <is>
          <t>Anmalan</t>
        </is>
      </c>
      <c r="AZ307" t="inlineStr">
        <is>
          <t>2026-02-05</t>
        </is>
      </c>
      <c r="BA307" t="inlineStr">
        <is>
          <t>Skanska Sverige AB Anmälan Flisan 2 Beslut 240214.pdf</t>
        </is>
      </c>
      <c r="BB307" t="inlineStr">
        <is>
          <t>Begäran om utlämnande av allmän handling – Anmälningar och beslut rörande mellanlagring av avfall samt anläggning av ytor</t>
        </is>
      </c>
      <c r="BC307" t="inlineStr">
        <is>
          <t>AUTO</t>
        </is>
      </c>
      <c r="BD307" t="inlineStr"/>
      <c r="BE307" t="inlineStr"/>
      <c r="BF307" t="inlineStr">
        <is>
          <t>AUTO_GENERERAD. Bekrafta metadata mot kallfil.</t>
        </is>
      </c>
      <c r="BG307">
        <f>HYPERLINK("C:\Users\jimmy\Desktop\Examens arbete\Kod\Ny mapp\remix_-copy-of-miljöbeslut.se-portal\Skanska Sverige AB Anmälan Flisan 2 Beslut 240214.pdf", "Öppna PDF")</f>
        <v/>
      </c>
    </row>
    <row r="308">
      <c r="A308" t="inlineStr">
        <is>
          <t>KRAV-AUTO-000307</t>
        </is>
      </c>
      <c r="B308" t="inlineStr">
        <is>
          <t>ADMIN-INDEX-2026-02-27-00000000125C043F57453246863FE664CAFE6A3F0700950291EA24F0614FB6ACEDB12BF0E31D00000000010C0000950291EA24F0614FB6ACEDB12BF0E31D00002087ADFA0000</t>
        </is>
      </c>
      <c r="C308" t="inlineStr">
        <is>
          <t>cmm4yuqev03incuqwhki43c68</t>
        </is>
      </c>
      <c r="D308" t="inlineStr">
        <is>
          <t>http://localhost:8787/api/admin/requirements/documents/cmm4yuqev03incuqwhki43c68/view</t>
        </is>
      </c>
      <c r="E308">
        <f>HYPERLÄNK("http://localhost:8787/api/admin/requirements/documents/cmm4yuqev03incuqwhki43c68/view";"Öppna PDF")</f>
        <v/>
      </c>
      <c r="F308">
        <f>HYPERLINK("http://localhost:8787/api/admin/requirements/documents/cmm4yuqev03incuqwhki43c68/view","Open PDF")</f>
        <v/>
      </c>
      <c r="G308" t="inlineStr">
        <is>
          <t>cmm55w57p0004cuisfrtpqly8</t>
        </is>
      </c>
      <c r="H308" t="inlineStr">
        <is>
          <t>Informationskrav</t>
        </is>
      </c>
      <c r="I308" t="inlineStr">
        <is>
          <t>DriftEgenkontroll</t>
        </is>
      </c>
      <c r="J308" t="inlineStr">
        <is>
          <t>Journalforing</t>
        </is>
      </c>
      <c r="K308" t="inlineStr">
        <is>
          <t>I ett svar från Skanska som inkom den 13 februari framgår att dessa utgörs av matjordslager som ska köras tillbaka till och att dessa inte är provtagna.</t>
        </is>
      </c>
      <c r="L308" t="inlineStr">
        <is>
          <t>I ett svar från Skanska som inkom den 13 februari framgår att dessa utgörs av matjordslager som ska köras tillbaka till och att dessa inte är provtagna.</t>
        </is>
      </c>
      <c r="M308" t="inlineStr">
        <is>
          <t>SKA</t>
        </is>
      </c>
      <c r="N308" t="inlineStr"/>
      <c r="O308" t="inlineStr"/>
      <c r="P308" t="inlineStr"/>
      <c r="Q308" t="inlineStr"/>
      <c r="R308" t="inlineStr">
        <is>
          <t>Lopande drift</t>
        </is>
      </c>
      <c r="S308" t="inlineStr"/>
      <c r="T308" t="inlineStr">
        <is>
          <t>556033</t>
        </is>
      </c>
      <c r="U308" t="inlineStr"/>
      <c r="V308" t="inlineStr"/>
      <c r="W308" t="inlineStr">
        <is>
          <t>Nej</t>
        </is>
      </c>
      <c r="X308" t="inlineStr">
        <is>
          <t>Nej</t>
        </is>
      </c>
      <c r="Y308" t="inlineStr">
        <is>
          <t>Ja</t>
        </is>
      </c>
      <c r="Z308" t="inlineStr">
        <is>
          <t>Nej</t>
        </is>
      </c>
      <c r="AA308" t="n">
        <v>7</v>
      </c>
      <c r="AB308" t="inlineStr">
        <is>
          <t>Egenkontrollrutiner</t>
        </is>
      </c>
      <c r="AC308" t="inlineStr">
        <is>
          <t>Egenkontrollprogram</t>
        </is>
      </c>
      <c r="AD308" t="inlineStr">
        <is>
          <t>Nej</t>
        </is>
      </c>
      <c r="AE308" t="inlineStr">
        <is>
          <t>Nej</t>
        </is>
      </c>
      <c r="AF308" t="inlineStr">
        <is>
          <t>Ej behandlad</t>
        </is>
      </c>
      <c r="AG308" t="inlineStr">
        <is>
          <t>AUTO_GENERERAD. Verifiera citat mot kallfil.</t>
        </is>
      </c>
      <c r="AH308" t="inlineStr">
        <is>
          <t>MEDIUM</t>
        </is>
      </c>
      <c r="AI308" t="inlineStr">
        <is>
          <t>AUTO</t>
        </is>
      </c>
      <c r="AJ308" t="inlineStr">
        <is>
          <t>Nej</t>
        </is>
      </c>
      <c r="AK308" t="inlineStr"/>
      <c r="AL308" t="inlineStr"/>
      <c r="AM308" t="inlineStr"/>
      <c r="AN308" t="inlineStr"/>
      <c r="AO308" t="inlineStr">
        <is>
          <t>cmm4yuqev03incuqwhki43c68</t>
        </is>
      </c>
      <c r="AP308" t="inlineStr">
        <is>
          <t>http://localhost:8787/api/admin/requirements/documents/cmm4yuqev03incuqwhki43c68/view</t>
        </is>
      </c>
      <c r="AQ308">
        <f>HYPERLÄNK("http://localhost:8787/api/admin/requirements/documents/cmm4yuqev03incuqwhki43c68/view";"Öppna PDF")</f>
        <v/>
      </c>
      <c r="AR308">
        <f>HYPERLINK("http://localhost:8787/api/admin/requirements/documents/cmm4yuqev03incuqwhki43c68/view","Open PDF")</f>
        <v/>
      </c>
      <c r="AS308" t="inlineStr">
        <is>
          <t>cmm55w57p0004cuisfrtpqly8</t>
        </is>
      </c>
      <c r="AT308" t="inlineStr">
        <is>
          <t>cmm4xvu980000cuh4vj0usz09</t>
        </is>
      </c>
      <c r="AU308" t="inlineStr"/>
      <c r="AV308" t="inlineStr">
        <is>
          <t>Kommun</t>
        </is>
      </c>
      <c r="AW308" t="inlineStr"/>
      <c r="AX308" t="inlineStr">
        <is>
          <t>2024-02</t>
        </is>
      </c>
      <c r="AY308" t="inlineStr">
        <is>
          <t>Anmalan</t>
        </is>
      </c>
      <c r="AZ308" t="inlineStr">
        <is>
          <t>2026-02-05</t>
        </is>
      </c>
      <c r="BA308" t="inlineStr">
        <is>
          <t>Skanska Sverige AB Anmälan Flisan 2 Beslut 240214.pdf</t>
        </is>
      </c>
      <c r="BB308" t="inlineStr">
        <is>
          <t>Begäran om utlämnande av allmän handling – Anmälningar och beslut rörande mellanlagring av avfall samt anläggning av ytor</t>
        </is>
      </c>
      <c r="BC308" t="inlineStr">
        <is>
          <t>AUTO</t>
        </is>
      </c>
      <c r="BD308" t="inlineStr"/>
      <c r="BE308" t="inlineStr"/>
      <c r="BF308" t="inlineStr">
        <is>
          <t>AUTO_GENERERAD. Bekrafta metadata mot kallfil.</t>
        </is>
      </c>
      <c r="BG308">
        <f>HYPERLINK("C:\Users\jimmy\Desktop\Examens arbete\Kod\Ny mapp\remix_-copy-of-miljöbeslut.se-portal\Skanska Sverige AB Anmälan Flisan 2 Beslut 240214.pdf", "Öppna PDF")</f>
        <v/>
      </c>
    </row>
    <row r="309">
      <c r="A309" t="inlineStr">
        <is>
          <t>KRAV-AUTO-000308</t>
        </is>
      </c>
      <c r="B309" t="inlineStr">
        <is>
          <t>ADMIN-INDEX-2026-02-27-00000000125C043F57453246863FE664CAFE6A3F0700950291EA24F0614FB6ACEDB12BF0E31D00000000010C0000950291EA24F0614FB6ACEDB12BF0E31D00002087ADFA0000</t>
        </is>
      </c>
      <c r="C309" t="inlineStr">
        <is>
          <t>cmm4yuqev03incuqwhki43c68</t>
        </is>
      </c>
      <c r="D309" t="inlineStr">
        <is>
          <t>http://localhost:8787/api/admin/requirements/documents/cmm4yuqev03incuqwhki43c68/view</t>
        </is>
      </c>
      <c r="E309">
        <f>HYPERLÄNK("http://localhost:8787/api/admin/requirements/documents/cmm4yuqev03incuqwhki43c68/view";"Öppna PDF")</f>
        <v/>
      </c>
      <c r="F309">
        <f>HYPERLINK("http://localhost:8787/api/admin/requirements/documents/cmm4yuqev03incuqwhki43c68/view","Open PDF")</f>
        <v/>
      </c>
      <c r="G309" t="inlineStr">
        <is>
          <t>cmm55w57p0004cuisfrtpqly8</t>
        </is>
      </c>
      <c r="H309" t="inlineStr">
        <is>
          <t>Informationskrav</t>
        </is>
      </c>
      <c r="I309" t="inlineStr">
        <is>
          <t>DagvattenLakvatten</t>
        </is>
      </c>
      <c r="J309" t="inlineStr">
        <is>
          <t>Uppsamling</t>
        </is>
      </c>
      <c r="K309" t="inlineStr">
        <is>
          <t>Följande framkom: Schaktmassor från projekt lagras på platsen i en mängd som uppskatta- des till omkring I anmälan anges att dessa massor är klassade som massor med föroreningshalter under MKM.</t>
        </is>
      </c>
      <c r="L309" t="inlineStr">
        <is>
          <t>Följande framkom: Schaktmassor från projekt lagras på platsen i en mängd som uppskatta- des till omkring I anmälan anges att dessa massor är klassade som massor med föroreningshalter under MKM.</t>
        </is>
      </c>
      <c r="M309" t="inlineStr">
        <is>
          <t>SKA</t>
        </is>
      </c>
      <c r="N309" t="inlineStr"/>
      <c r="O309" t="inlineStr"/>
      <c r="P309" t="inlineStr"/>
      <c r="Q309" t="inlineStr"/>
      <c r="R309" t="inlineStr">
        <is>
          <t>Vid nederbord och avrinning</t>
        </is>
      </c>
      <c r="S309" t="inlineStr"/>
      <c r="T309" t="inlineStr">
        <is>
          <t>556033</t>
        </is>
      </c>
      <c r="U309" t="inlineStr"/>
      <c r="V309" t="inlineStr"/>
      <c r="W309" t="inlineStr">
        <is>
          <t>Nej</t>
        </is>
      </c>
      <c r="X309" t="inlineStr">
        <is>
          <t>Ja</t>
        </is>
      </c>
      <c r="Y309" t="inlineStr">
        <is>
          <t>Ja</t>
        </is>
      </c>
      <c r="Z309" t="inlineStr">
        <is>
          <t>Nej</t>
        </is>
      </c>
      <c r="AA309" t="n">
        <v>6</v>
      </c>
      <c r="AB309" t="inlineStr">
        <is>
          <t>Lakvattenhantering</t>
        </is>
      </c>
      <c r="AC309" t="inlineStr">
        <is>
          <t>Flodesschema dagvatten-lakvatten</t>
        </is>
      </c>
      <c r="AD309" t="inlineStr">
        <is>
          <t>Nej</t>
        </is>
      </c>
      <c r="AE309" t="inlineStr">
        <is>
          <t>Nej</t>
        </is>
      </c>
      <c r="AF309" t="inlineStr">
        <is>
          <t>Ej behandlad</t>
        </is>
      </c>
      <c r="AG309" t="inlineStr">
        <is>
          <t>AUTO_GENERERAD. Verifiera citat mot kallfil.</t>
        </is>
      </c>
      <c r="AH309" t="inlineStr">
        <is>
          <t>MEDIUM</t>
        </is>
      </c>
      <c r="AI309" t="inlineStr">
        <is>
          <t>AUTO</t>
        </is>
      </c>
      <c r="AJ309" t="inlineStr">
        <is>
          <t>Nej</t>
        </is>
      </c>
      <c r="AK309" t="inlineStr"/>
      <c r="AL309" t="inlineStr"/>
      <c r="AM309" t="inlineStr"/>
      <c r="AN309" t="inlineStr"/>
      <c r="AO309" t="inlineStr">
        <is>
          <t>cmm4yuqev03incuqwhki43c68</t>
        </is>
      </c>
      <c r="AP309" t="inlineStr">
        <is>
          <t>http://localhost:8787/api/admin/requirements/documents/cmm4yuqev03incuqwhki43c68/view</t>
        </is>
      </c>
      <c r="AQ309">
        <f>HYPERLÄNK("http://localhost:8787/api/admin/requirements/documents/cmm4yuqev03incuqwhki43c68/view";"Öppna PDF")</f>
        <v/>
      </c>
      <c r="AR309">
        <f>HYPERLINK("http://localhost:8787/api/admin/requirements/documents/cmm4yuqev03incuqwhki43c68/view","Open PDF")</f>
        <v/>
      </c>
      <c r="AS309" t="inlineStr">
        <is>
          <t>cmm55w57p0004cuisfrtpqly8</t>
        </is>
      </c>
      <c r="AT309" t="inlineStr">
        <is>
          <t>cmm4xvu980000cuh4vj0usz09</t>
        </is>
      </c>
      <c r="AU309" t="inlineStr"/>
      <c r="AV309" t="inlineStr">
        <is>
          <t>Kommun</t>
        </is>
      </c>
      <c r="AW309" t="inlineStr"/>
      <c r="AX309" t="inlineStr">
        <is>
          <t>2024-02</t>
        </is>
      </c>
      <c r="AY309" t="inlineStr">
        <is>
          <t>Anmalan</t>
        </is>
      </c>
      <c r="AZ309" t="inlineStr">
        <is>
          <t>2026-02-05</t>
        </is>
      </c>
      <c r="BA309" t="inlineStr">
        <is>
          <t>Skanska Sverige AB Anmälan Flisan 2 Beslut 240214.pdf</t>
        </is>
      </c>
      <c r="BB309" t="inlineStr">
        <is>
          <t>Begäran om utlämnande av allmän handling – Anmälningar och beslut rörande mellanlagring av avfall samt anläggning av ytor</t>
        </is>
      </c>
      <c r="BC309" t="inlineStr">
        <is>
          <t>AUTO</t>
        </is>
      </c>
      <c r="BD309" t="inlineStr"/>
      <c r="BE309" t="inlineStr"/>
      <c r="BF309" t="inlineStr">
        <is>
          <t>AUTO_GENERERAD. Bekrafta metadata mot kallfil.</t>
        </is>
      </c>
      <c r="BG309">
        <f>HYPERLINK("C:\Users\jimmy\Desktop\Examens arbete\Kod\Ny mapp\remix_-copy-of-miljöbeslut.se-portal\Skanska Sverige AB Anmälan Flisan 2 Beslut 240214.pdf", "Öppna PDF")</f>
        <v/>
      </c>
    </row>
    <row r="310">
      <c r="A310" t="inlineStr">
        <is>
          <t>KRAV-AUTO-000309</t>
        </is>
      </c>
      <c r="B310" t="inlineStr">
        <is>
          <t>ADMIN-INDEX-2026-02-27-00000000125C043F57453246863FE664CAFE6A3F0700950291EA24F0614FB6ACEDB12BF0E31D00000000010C0000950291EA24F0614FB6ACEDB12BF0E31D00002087ADFB0000</t>
        </is>
      </c>
      <c r="C310" t="inlineStr">
        <is>
          <t>cmm4yuqej03ibcuqw3s2t4bqi</t>
        </is>
      </c>
      <c r="D310" t="inlineStr">
        <is>
          <t>http://localhost:8787/api/admin/requirements/documents/cmm4yuqej03ibcuqw3s2t4bqi/view</t>
        </is>
      </c>
      <c r="E310">
        <f>HYPERLÄNK("http://localhost:8787/api/admin/requirements/documents/cmm4yuqej03ibcuqw3s2t4bqi/view";"Öppna PDF")</f>
        <v/>
      </c>
      <c r="F310">
        <f>HYPERLINK("http://localhost:8787/api/admin/requirements/documents/cmm4yuqej03ibcuqw3s2t4bqi/view","Open PDF")</f>
        <v/>
      </c>
      <c r="G310" t="inlineStr">
        <is>
          <t>cmm55w57p0004cuisfrtpqly8</t>
        </is>
      </c>
      <c r="H310" t="inlineStr">
        <is>
          <t>Informationskrav</t>
        </is>
      </c>
      <c r="I310" t="inlineStr">
        <is>
          <t>Riskhantering</t>
        </is>
      </c>
      <c r="J310" t="inlineStr">
        <is>
          <t>Riskkontroll</t>
        </is>
      </c>
      <c r="K310" t="inlineStr">
        <is>
          <t>Skyddsåtgärder vid mellanlagring, SKEPPAREN 6 Människors hälsa och miljön För att minska risken för påverkan på människors hälsa och miljön kommer massorna att läggas på tät presenning samt övertäckas med tät presenning.</t>
        </is>
      </c>
      <c r="L310" t="inlineStr">
        <is>
          <t>Skyddsåtgärder vid mellanlagring, SKEPPAREN 6 Människors hälsa och miljön För att minska risken för påverkan på människors hälsa och miljön kommer massorna att läggas på tät presenning samt övertäckas med tät presenning.</t>
        </is>
      </c>
      <c r="M310" t="inlineStr">
        <is>
          <t>SKA</t>
        </is>
      </c>
      <c r="N310" t="inlineStr"/>
      <c r="O310" t="inlineStr"/>
      <c r="P310" t="inlineStr"/>
      <c r="Q310" t="inlineStr"/>
      <c r="R310" t="inlineStr">
        <is>
          <t>Vid risk for incident</t>
        </is>
      </c>
      <c r="S310" t="inlineStr"/>
      <c r="T310" t="inlineStr"/>
      <c r="U310" t="inlineStr"/>
      <c r="V310" t="inlineStr"/>
      <c r="W310" t="inlineStr">
        <is>
          <t>Nej</t>
        </is>
      </c>
      <c r="X310" t="inlineStr">
        <is>
          <t>Nej</t>
        </is>
      </c>
      <c r="Y310" t="inlineStr">
        <is>
          <t>Ja</t>
        </is>
      </c>
      <c r="Z310" t="inlineStr">
        <is>
          <t>Ja</t>
        </is>
      </c>
      <c r="AA310" t="n">
        <v>8</v>
      </c>
      <c r="AB310" t="inlineStr">
        <is>
          <t>Riskhantering</t>
        </is>
      </c>
      <c r="AC310" t="inlineStr">
        <is>
          <t>Risk-PM</t>
        </is>
      </c>
      <c r="AD310" t="inlineStr">
        <is>
          <t>Nej</t>
        </is>
      </c>
      <c r="AE310" t="inlineStr">
        <is>
          <t>Nej</t>
        </is>
      </c>
      <c r="AF310" t="inlineStr">
        <is>
          <t>Ej behandlad</t>
        </is>
      </c>
      <c r="AG310" t="inlineStr">
        <is>
          <t>AUTO_GENERERAD. Verifiera citat mot kallfil.</t>
        </is>
      </c>
      <c r="AH310" t="inlineStr">
        <is>
          <t>LOW</t>
        </is>
      </c>
      <c r="AI310" t="inlineStr">
        <is>
          <t>AUTO</t>
        </is>
      </c>
      <c r="AJ310" t="inlineStr">
        <is>
          <t>Nej</t>
        </is>
      </c>
      <c r="AK310" t="inlineStr"/>
      <c r="AL310" t="inlineStr"/>
      <c r="AM310" t="inlineStr"/>
      <c r="AN310" t="inlineStr"/>
      <c r="AO310" t="inlineStr">
        <is>
          <t>cmm4yuqej03ibcuqw3s2t4bqi</t>
        </is>
      </c>
      <c r="AP310" t="inlineStr">
        <is>
          <t>http://localhost:8787/api/admin/requirements/documents/cmm4yuqej03ibcuqw3s2t4bqi/view</t>
        </is>
      </c>
      <c r="AQ310">
        <f>HYPERLÄNK("http://localhost:8787/api/admin/requirements/documents/cmm4yuqej03ibcuqw3s2t4bqi/view";"Öppna PDF")</f>
        <v/>
      </c>
      <c r="AR310">
        <f>HYPERLINK("http://localhost:8787/api/admin/requirements/documents/cmm4yuqej03ibcuqw3s2t4bqi/view","Open PDF")</f>
        <v/>
      </c>
      <c r="AS310" t="inlineStr">
        <is>
          <t>cmm55w57p0004cuisfrtpqly8</t>
        </is>
      </c>
      <c r="AT310" t="inlineStr">
        <is>
          <t>cmm4xvu980000cuh4vj0usz09</t>
        </is>
      </c>
      <c r="AU310" t="inlineStr"/>
      <c r="AV310" t="inlineStr">
        <is>
          <t>Kommun</t>
        </is>
      </c>
      <c r="AW310" t="inlineStr"/>
      <c r="AX310" t="inlineStr"/>
      <c r="AY310" t="inlineStr">
        <is>
          <t>Anmalan</t>
        </is>
      </c>
      <c r="AZ310" t="inlineStr">
        <is>
          <t>2026-02-05</t>
        </is>
      </c>
      <c r="BA310" t="inlineStr">
        <is>
          <t>Skyddsåtgärder vid mellanlagring.pdf</t>
        </is>
      </c>
      <c r="BB310" t="inlineStr">
        <is>
          <t>Begäran om utlämnande av allmän handling – Anmälningar och beslut rörande mellanlagring av avfall samt anläggning av ytor</t>
        </is>
      </c>
      <c r="BC310" t="inlineStr">
        <is>
          <t>AUTO</t>
        </is>
      </c>
      <c r="BD310" t="inlineStr"/>
      <c r="BE310" t="inlineStr"/>
      <c r="BF310" t="inlineStr">
        <is>
          <t>AUTO_GENERERAD. Bekrafta metadata mot kallfil.</t>
        </is>
      </c>
      <c r="BG310">
        <f>HYPERLINK("C:\Users\jimmy\Desktop\Examens arbete\Kod\Ny mapp\remix_-copy-of-miljöbeslut.se-portal\Skyddsåtgärder vid mellanlagring.pdf", "Öppna PDF")</f>
        <v/>
      </c>
    </row>
    <row r="311">
      <c r="A311" t="inlineStr">
        <is>
          <t>KRAV-AUTO-000310</t>
        </is>
      </c>
      <c r="B311" t="inlineStr">
        <is>
          <t>ADMIN-INDEX-2026-02-27-00000000125C043F57453246863FE664CAFE6A3F0700950291EA24F0614FB6ACEDB12BF0E31D00000000010C0000950291EA24F0614FB6ACEDB12BF0E31D00002087ADFD0000</t>
        </is>
      </c>
      <c r="C311" t="inlineStr">
        <is>
          <t>cmm4yuqdi03h8cuqwtpenx3af</t>
        </is>
      </c>
      <c r="D311" t="inlineStr">
        <is>
          <t>http://localhost:8787/api/admin/requirements/documents/cmm4yuqdi03h8cuqwtpenx3af/view</t>
        </is>
      </c>
      <c r="E311">
        <f>HYPERLÄNK("http://localhost:8787/api/admin/requirements/documents/cmm4yuqdi03h8cuqwtpenx3af/view";"Öppna PDF")</f>
        <v/>
      </c>
      <c r="F311">
        <f>HYPERLINK("http://localhost:8787/api/admin/requirements/documents/cmm4yuqdi03h8cuqwtpenx3af/view","Open PDF")</f>
        <v/>
      </c>
      <c r="G311" t="inlineStr">
        <is>
          <t>cmm55w57p0004cuisfrtpqly8</t>
        </is>
      </c>
      <c r="H311" t="inlineStr">
        <is>
          <t>Informationskrav</t>
        </is>
      </c>
      <c r="I311" t="inlineStr">
        <is>
          <t>LagringsvolymTid</t>
        </is>
      </c>
      <c r="J311" t="inlineStr">
        <is>
          <t>Maxmangd</t>
        </is>
      </c>
      <c r="K311" t="inlineStr">
        <is>
          <t>Årsrapporten ska innehålla följande uppgifter: • mängden avfall som tillförts området fördelat på respektive av- fallsslag inkl.</t>
        </is>
      </c>
      <c r="L311" t="inlineStr">
        <is>
          <t>Årsrapporten ska innehålla följande uppgifter: • mängden avfall som tillförts området fördelat på respektive av- fallsslag inkl.</t>
        </is>
      </c>
      <c r="M311" t="inlineStr">
        <is>
          <t>SKA</t>
        </is>
      </c>
      <c r="N311" t="inlineStr"/>
      <c r="O311" t="inlineStr"/>
      <c r="P311" t="inlineStr"/>
      <c r="Q311" t="inlineStr"/>
      <c r="R311" t="inlineStr">
        <is>
          <t>Alltid</t>
        </is>
      </c>
      <c r="S311" t="inlineStr"/>
      <c r="T311" t="inlineStr">
        <is>
          <t>559478</t>
        </is>
      </c>
      <c r="U311" t="inlineStr"/>
      <c r="V311" t="inlineStr"/>
      <c r="W311" t="inlineStr">
        <is>
          <t>Nej</t>
        </is>
      </c>
      <c r="X311" t="inlineStr">
        <is>
          <t>Nej</t>
        </is>
      </c>
      <c r="Y311" t="inlineStr">
        <is>
          <t>Nej</t>
        </is>
      </c>
      <c r="Z311" t="inlineStr">
        <is>
          <t>Nej</t>
        </is>
      </c>
      <c r="AA311" t="n">
        <v>4</v>
      </c>
      <c r="AB311" t="inlineStr">
        <is>
          <t>Avfallsmangder och lagringstid</t>
        </is>
      </c>
      <c r="AC311" t="inlineStr">
        <is>
          <t>Avfallsforteckning</t>
        </is>
      </c>
      <c r="AD311" t="inlineStr">
        <is>
          <t>Nej</t>
        </is>
      </c>
      <c r="AE311" t="inlineStr">
        <is>
          <t>Nej</t>
        </is>
      </c>
      <c r="AF311" t="inlineStr">
        <is>
          <t>Ej behandlad</t>
        </is>
      </c>
      <c r="AG311" t="inlineStr">
        <is>
          <t>AUTO_GENERERAD. Verifiera citat mot kallfil.</t>
        </is>
      </c>
      <c r="AH311" t="inlineStr">
        <is>
          <t>MEDIUM</t>
        </is>
      </c>
      <c r="AI311" t="inlineStr">
        <is>
          <t>AUTO</t>
        </is>
      </c>
      <c r="AJ311" t="inlineStr">
        <is>
          <t>Nej</t>
        </is>
      </c>
      <c r="AK311" t="inlineStr"/>
      <c r="AL311" t="inlineStr"/>
      <c r="AM311" t="inlineStr"/>
      <c r="AN311" t="inlineStr"/>
      <c r="AO311" t="inlineStr">
        <is>
          <t>cmm4yuqdi03h8cuqwtpenx3af</t>
        </is>
      </c>
      <c r="AP311" t="inlineStr">
        <is>
          <t>http://localhost:8787/api/admin/requirements/documents/cmm4yuqdi03h8cuqwtpenx3af/view</t>
        </is>
      </c>
      <c r="AQ311">
        <f>HYPERLÄNK("http://localhost:8787/api/admin/requirements/documents/cmm4yuqdi03h8cuqwtpenx3af/view";"Öppna PDF")</f>
        <v/>
      </c>
      <c r="AR311">
        <f>HYPERLINK("http://localhost:8787/api/admin/requirements/documents/cmm4yuqdi03h8cuqwtpenx3af/view","Open PDF")</f>
        <v/>
      </c>
      <c r="AS311" t="inlineStr">
        <is>
          <t>cmm55w57p0004cuisfrtpqly8</t>
        </is>
      </c>
      <c r="AT311" t="inlineStr">
        <is>
          <t>cmm4xvu980000cuh4vj0usz09</t>
        </is>
      </c>
      <c r="AU311" t="inlineStr">
        <is>
          <t>Karlstads</t>
        </is>
      </c>
      <c r="AV311" t="inlineStr">
        <is>
          <t>Kommun</t>
        </is>
      </c>
      <c r="AW311" t="inlineStr">
        <is>
          <t>Karlstads kommun</t>
        </is>
      </c>
      <c r="AX311" t="inlineStr">
        <is>
          <t>2025-06</t>
        </is>
      </c>
      <c r="AY311" t="inlineStr">
        <is>
          <t>Anmalan</t>
        </is>
      </c>
      <c r="AZ311" t="inlineStr">
        <is>
          <t>2026-02-05</t>
        </is>
      </c>
      <c r="BA311" t="inlineStr">
        <is>
          <t>SERAB Vålberg 1 431 Beslut 250609.pdf</t>
        </is>
      </c>
      <c r="BB311" t="inlineStr">
        <is>
          <t>Begäran om utlämnande av allmän handling – Anmälningar och beslut rörande mellanlagring av avfall samt anläggning av ytor</t>
        </is>
      </c>
      <c r="BC311" t="inlineStr">
        <is>
          <t>AUTO</t>
        </is>
      </c>
      <c r="BD311" t="inlineStr"/>
      <c r="BE311" t="inlineStr"/>
      <c r="BF311" t="inlineStr">
        <is>
          <t>AUTO_GENERERAD. Bekrafta metadata mot kallfil.</t>
        </is>
      </c>
      <c r="BG311">
        <f>HYPERLINK("C:\Users\jimmy\Desktop\Examens arbete\Kod\Ny mapp\remix_-copy-of-miljöbeslut.se-portal\SERAB Vålberg 1 431 Beslut 250609.pdf", "Öppna PDF")</f>
        <v/>
      </c>
    </row>
    <row r="312">
      <c r="A312" t="inlineStr">
        <is>
          <t>KRAV-AUTO-000311</t>
        </is>
      </c>
      <c r="B312" t="inlineStr">
        <is>
          <t>ADMIN-INDEX-2026-02-27-00000000125C043F57453246863FE664CAFE6A3F0700950291EA24F0614FB6ACEDB12BF0E31D00000000010C0000950291EA24F0614FB6ACEDB12BF0E31D00002087ADFD0000</t>
        </is>
      </c>
      <c r="C312" t="inlineStr">
        <is>
          <t>cmm4yuqdi03h8cuqwtpenx3af</t>
        </is>
      </c>
      <c r="D312" t="inlineStr">
        <is>
          <t>http://localhost:8787/api/admin/requirements/documents/cmm4yuqdi03h8cuqwtpenx3af/view</t>
        </is>
      </c>
      <c r="E312">
        <f>HYPERLÄNK("http://localhost:8787/api/admin/requirements/documents/cmm4yuqdi03h8cuqwtpenx3af/view";"Öppna PDF")</f>
        <v/>
      </c>
      <c r="F312">
        <f>HYPERLINK("http://localhost:8787/api/admin/requirements/documents/cmm4yuqdi03h8cuqwtpenx3af/view","Open PDF")</f>
        <v/>
      </c>
      <c r="G312" t="inlineStr">
        <is>
          <t>cmm55w57p0004cuisfrtpqly8</t>
        </is>
      </c>
      <c r="H312" t="inlineStr">
        <is>
          <t>Informationskrav</t>
        </is>
      </c>
      <c r="I312" t="inlineStr">
        <is>
          <t>LagringsvolymTid</t>
        </is>
      </c>
      <c r="J312" t="inlineStr">
        <is>
          <t>Maxmangd</t>
        </is>
      </c>
      <c r="K312" t="inlineStr">
        <is>
          <t>Detta betyder att mängden avfall som får tas emot i anläggningen från och med 2025 uppgår till högst [BLANK] varav [BLANK] (avrundat till närmaste helt 100-tal) får utgöras av schakt- massor med invasiva växter.</t>
        </is>
      </c>
      <c r="L312" t="inlineStr">
        <is>
          <t>Detta betyder att mängden avfall som får tas emot i anläggningen från och med 2025 uppgår till högst [BLANK] varav [BLANK] (avrundat till närmaste helt 100-tal) får utgöras av schakt- massor med invasiva växter.</t>
        </is>
      </c>
      <c r="M312" t="inlineStr">
        <is>
          <t>SKA</t>
        </is>
      </c>
      <c r="N312" t="inlineStr"/>
      <c r="O312" t="inlineStr"/>
      <c r="P312" t="inlineStr"/>
      <c r="Q312" t="inlineStr"/>
      <c r="R312" t="inlineStr">
        <is>
          <t>Alltid</t>
        </is>
      </c>
      <c r="S312" t="inlineStr"/>
      <c r="T312" t="inlineStr">
        <is>
          <t>559478</t>
        </is>
      </c>
      <c r="U312" t="inlineStr"/>
      <c r="V312" t="inlineStr"/>
      <c r="W312" t="inlineStr">
        <is>
          <t>Nej</t>
        </is>
      </c>
      <c r="X312" t="inlineStr">
        <is>
          <t>Nej</t>
        </is>
      </c>
      <c r="Y312" t="inlineStr">
        <is>
          <t>Nej</t>
        </is>
      </c>
      <c r="Z312" t="inlineStr">
        <is>
          <t>Nej</t>
        </is>
      </c>
      <c r="AA312" t="n">
        <v>4</v>
      </c>
      <c r="AB312" t="inlineStr">
        <is>
          <t>Avfallsmangder och lagringstid</t>
        </is>
      </c>
      <c r="AC312" t="inlineStr">
        <is>
          <t>Avfallsforteckning</t>
        </is>
      </c>
      <c r="AD312" t="inlineStr">
        <is>
          <t>Nej</t>
        </is>
      </c>
      <c r="AE312" t="inlineStr">
        <is>
          <t>Nej</t>
        </is>
      </c>
      <c r="AF312" t="inlineStr">
        <is>
          <t>Ej behandlad</t>
        </is>
      </c>
      <c r="AG312" t="inlineStr">
        <is>
          <t>AUTO_GENERERAD. Verifiera citat mot kallfil.</t>
        </is>
      </c>
      <c r="AH312" t="inlineStr">
        <is>
          <t>MEDIUM</t>
        </is>
      </c>
      <c r="AI312" t="inlineStr">
        <is>
          <t>AUTO</t>
        </is>
      </c>
      <c r="AJ312" t="inlineStr">
        <is>
          <t>Nej</t>
        </is>
      </c>
      <c r="AK312" t="inlineStr"/>
      <c r="AL312" t="inlineStr"/>
      <c r="AM312" t="inlineStr"/>
      <c r="AN312" t="inlineStr"/>
      <c r="AO312" t="inlineStr">
        <is>
          <t>cmm4yuqdi03h8cuqwtpenx3af</t>
        </is>
      </c>
      <c r="AP312" t="inlineStr">
        <is>
          <t>http://localhost:8787/api/admin/requirements/documents/cmm4yuqdi03h8cuqwtpenx3af/view</t>
        </is>
      </c>
      <c r="AQ312">
        <f>HYPERLÄNK("http://localhost:8787/api/admin/requirements/documents/cmm4yuqdi03h8cuqwtpenx3af/view";"Öppna PDF")</f>
        <v/>
      </c>
      <c r="AR312">
        <f>HYPERLINK("http://localhost:8787/api/admin/requirements/documents/cmm4yuqdi03h8cuqwtpenx3af/view","Open PDF")</f>
        <v/>
      </c>
      <c r="AS312" t="inlineStr">
        <is>
          <t>cmm55w57p0004cuisfrtpqly8</t>
        </is>
      </c>
      <c r="AT312" t="inlineStr">
        <is>
          <t>cmm4xvu980000cuh4vj0usz09</t>
        </is>
      </c>
      <c r="AU312" t="inlineStr">
        <is>
          <t>Karlstads</t>
        </is>
      </c>
      <c r="AV312" t="inlineStr">
        <is>
          <t>Kommun</t>
        </is>
      </c>
      <c r="AW312" t="inlineStr">
        <is>
          <t>Karlstads kommun</t>
        </is>
      </c>
      <c r="AX312" t="inlineStr">
        <is>
          <t>2025-06</t>
        </is>
      </c>
      <c r="AY312" t="inlineStr">
        <is>
          <t>Anmalan</t>
        </is>
      </c>
      <c r="AZ312" t="inlineStr">
        <is>
          <t>2026-02-05</t>
        </is>
      </c>
      <c r="BA312" t="inlineStr">
        <is>
          <t>SERAB Vålberg 1 431 Beslut 250609.pdf</t>
        </is>
      </c>
      <c r="BB312" t="inlineStr">
        <is>
          <t>Begäran om utlämnande av allmän handling – Anmälningar och beslut rörande mellanlagring av avfall samt anläggning av ytor</t>
        </is>
      </c>
      <c r="BC312" t="inlineStr">
        <is>
          <t>AUTO</t>
        </is>
      </c>
      <c r="BD312" t="inlineStr"/>
      <c r="BE312" t="inlineStr"/>
      <c r="BF312" t="inlineStr">
        <is>
          <t>AUTO_GENERERAD. Bekrafta metadata mot kallfil.</t>
        </is>
      </c>
      <c r="BG312">
        <f>HYPERLINK("C:\Users\jimmy\Desktop\Examens arbete\Kod\Ny mapp\remix_-copy-of-miljöbeslut.se-portal\SERAB Vålberg 1 431 Beslut 250609.pdf", "Öppna PDF")</f>
        <v/>
      </c>
    </row>
    <row r="313">
      <c r="A313" t="inlineStr">
        <is>
          <t>KRAV-AUTO-000312</t>
        </is>
      </c>
      <c r="B313" t="inlineStr">
        <is>
          <t>ADMIN-INDEX-2026-02-27-00000000125C043F57453246863FE664CAFE6A3F0700950291EA24F0614FB6ACEDB12BF0E31D00000000010C0000950291EA24F0614FB6ACEDB12BF0E31D00002087ADFD0000</t>
        </is>
      </c>
      <c r="C313" t="inlineStr">
        <is>
          <t>cmm4yuqdi03h8cuqwtpenx3af</t>
        </is>
      </c>
      <c r="D313" t="inlineStr">
        <is>
          <t>http://localhost:8787/api/admin/requirements/documents/cmm4yuqdi03h8cuqwtpenx3af/view</t>
        </is>
      </c>
      <c r="E313">
        <f>HYPERLÄNK("http://localhost:8787/api/admin/requirements/documents/cmm4yuqdi03h8cuqwtpenx3af/view";"Öppna PDF")</f>
        <v/>
      </c>
      <c r="F313">
        <f>HYPERLINK("http://localhost:8787/api/admin/requirements/documents/cmm4yuqdi03h8cuqwtpenx3af/view","Open PDF")</f>
        <v/>
      </c>
      <c r="G313" t="inlineStr">
        <is>
          <t>cmm55w57p0004cuisfrtpqly8</t>
        </is>
      </c>
      <c r="H313" t="inlineStr">
        <is>
          <t>Informationskrav</t>
        </is>
      </c>
      <c r="I313" t="inlineStr">
        <is>
          <t>Ytkonstruktion</t>
        </is>
      </c>
      <c r="J313" t="inlineStr">
        <is>
          <t>Tat yta</t>
        </is>
      </c>
      <c r="K313" t="inlineStr">
        <is>
          <t>• var avfall med invasiva arter placerats på området och på vilket djup under markytan ska anges på karta.</t>
        </is>
      </c>
      <c r="L313" t="inlineStr">
        <is>
          <t>• var avfall med invasiva arter placerats på området och på vilket djup under markytan ska anges på karta.</t>
        </is>
      </c>
      <c r="M313" t="inlineStr">
        <is>
          <t>SKA</t>
        </is>
      </c>
      <c r="N313" t="inlineStr"/>
      <c r="O313" t="inlineStr"/>
      <c r="P313" t="inlineStr"/>
      <c r="Q313" t="inlineStr"/>
      <c r="R313" t="inlineStr">
        <is>
          <t>Vid mellanlagring av avfall</t>
        </is>
      </c>
      <c r="S313" t="inlineStr"/>
      <c r="T313" t="inlineStr">
        <is>
          <t>559478</t>
        </is>
      </c>
      <c r="U313" t="inlineStr"/>
      <c r="V313" t="inlineStr"/>
      <c r="W313" t="inlineStr">
        <is>
          <t>Ja</t>
        </is>
      </c>
      <c r="X313" t="inlineStr">
        <is>
          <t>Nej</t>
        </is>
      </c>
      <c r="Y313" t="inlineStr">
        <is>
          <t>Nej</t>
        </is>
      </c>
      <c r="Z313" t="inlineStr">
        <is>
          <t>Nej</t>
        </is>
      </c>
      <c r="AA313" t="n">
        <v>5</v>
      </c>
      <c r="AB313" t="inlineStr">
        <is>
          <t>Teknisk beskrivning av platta</t>
        </is>
      </c>
      <c r="AC313" t="inlineStr">
        <is>
          <t>Teknisk ritning platta</t>
        </is>
      </c>
      <c r="AD313" t="inlineStr">
        <is>
          <t>Nej</t>
        </is>
      </c>
      <c r="AE313" t="inlineStr">
        <is>
          <t>Nej</t>
        </is>
      </c>
      <c r="AF313" t="inlineStr">
        <is>
          <t>Ej behandlad</t>
        </is>
      </c>
      <c r="AG313" t="inlineStr">
        <is>
          <t>AUTO_GENERERAD. Verifiera citat mot kallfil.</t>
        </is>
      </c>
      <c r="AH313" t="inlineStr">
        <is>
          <t>MEDIUM</t>
        </is>
      </c>
      <c r="AI313" t="inlineStr">
        <is>
          <t>AUTO</t>
        </is>
      </c>
      <c r="AJ313" t="inlineStr">
        <is>
          <t>Nej</t>
        </is>
      </c>
      <c r="AK313" t="inlineStr"/>
      <c r="AL313" t="inlineStr"/>
      <c r="AM313" t="inlineStr"/>
      <c r="AN313" t="inlineStr"/>
      <c r="AO313" t="inlineStr">
        <is>
          <t>cmm4yuqdi03h8cuqwtpenx3af</t>
        </is>
      </c>
      <c r="AP313" t="inlineStr">
        <is>
          <t>http://localhost:8787/api/admin/requirements/documents/cmm4yuqdi03h8cuqwtpenx3af/view</t>
        </is>
      </c>
      <c r="AQ313">
        <f>HYPERLÄNK("http://localhost:8787/api/admin/requirements/documents/cmm4yuqdi03h8cuqwtpenx3af/view";"Öppna PDF")</f>
        <v/>
      </c>
      <c r="AR313">
        <f>HYPERLINK("http://localhost:8787/api/admin/requirements/documents/cmm4yuqdi03h8cuqwtpenx3af/view","Open PDF")</f>
        <v/>
      </c>
      <c r="AS313" t="inlineStr">
        <is>
          <t>cmm55w57p0004cuisfrtpqly8</t>
        </is>
      </c>
      <c r="AT313" t="inlineStr">
        <is>
          <t>cmm4xvu980000cuh4vj0usz09</t>
        </is>
      </c>
      <c r="AU313" t="inlineStr">
        <is>
          <t>Karlstads</t>
        </is>
      </c>
      <c r="AV313" t="inlineStr">
        <is>
          <t>Kommun</t>
        </is>
      </c>
      <c r="AW313" t="inlineStr">
        <is>
          <t>Karlstads kommun</t>
        </is>
      </c>
      <c r="AX313" t="inlineStr">
        <is>
          <t>2025-06</t>
        </is>
      </c>
      <c r="AY313" t="inlineStr">
        <is>
          <t>Anmalan</t>
        </is>
      </c>
      <c r="AZ313" t="inlineStr">
        <is>
          <t>2026-02-05</t>
        </is>
      </c>
      <c r="BA313" t="inlineStr">
        <is>
          <t>SERAB Vålberg 1 431 Beslut 250609.pdf</t>
        </is>
      </c>
      <c r="BB313" t="inlineStr">
        <is>
          <t>Begäran om utlämnande av allmän handling – Anmälningar och beslut rörande mellanlagring av avfall samt anläggning av ytor</t>
        </is>
      </c>
      <c r="BC313" t="inlineStr">
        <is>
          <t>AUTO</t>
        </is>
      </c>
      <c r="BD313" t="inlineStr"/>
      <c r="BE313" t="inlineStr"/>
      <c r="BF313" t="inlineStr">
        <is>
          <t>AUTO_GENERERAD. Bekrafta metadata mot kallfil.</t>
        </is>
      </c>
      <c r="BG313">
        <f>HYPERLINK("C:\Users\jimmy\Desktop\Examens arbete\Kod\Ny mapp\remix_-copy-of-miljöbeslut.se-portal\SERAB Vålberg 1 431 Beslut 250609.pdf", "Öppna PDF")</f>
        <v/>
      </c>
    </row>
    <row r="314">
      <c r="A314" t="inlineStr">
        <is>
          <t>KRAV-AUTO-000313</t>
        </is>
      </c>
      <c r="B314" t="inlineStr">
        <is>
          <t>ADMIN-INDEX-2026-02-27-00000000125C043F57453246863FE664CAFE6A3F0700950291EA24F0614FB6ACEDB12BF0E31D00000000010C0000950291EA24F0614FB6ACEDB12BF0E31D00002087ADFD0000</t>
        </is>
      </c>
      <c r="C314" t="inlineStr">
        <is>
          <t>cmm4yuqdc03h2cuqwnvci4ldd</t>
        </is>
      </c>
      <c r="D314" t="inlineStr">
        <is>
          <t>http://localhost:8787/api/admin/requirements/documents/cmm4yuqdc03h2cuqwnvci4ldd/view</t>
        </is>
      </c>
      <c r="E314">
        <f>HYPERLÄNK("http://localhost:8787/api/admin/requirements/documents/cmm4yuqdc03h2cuqwnvci4ldd/view";"Öppna PDF")</f>
        <v/>
      </c>
      <c r="F314">
        <f>HYPERLINK("http://localhost:8787/api/admin/requirements/documents/cmm4yuqdc03h2cuqwnvci4ldd/view","Open PDF")</f>
        <v/>
      </c>
      <c r="G314" t="inlineStr">
        <is>
          <t>cmm55w57p0004cuisfrtpqly8</t>
        </is>
      </c>
      <c r="H314" t="inlineStr">
        <is>
          <t>Informationskrav</t>
        </is>
      </c>
      <c r="I314" t="inlineStr">
        <is>
          <t>MiljopaverkanForsiktighet</t>
        </is>
      </c>
      <c r="J314" t="inlineStr">
        <is>
          <t>Skyddsatgarder</t>
        </is>
      </c>
      <c r="K314" t="inlineStr">
        <is>
          <t>Beskriv syftet med den nya anläggningen som avfallet ska användas till Masshantering av mottagna massor för sortering och sållning.</t>
        </is>
      </c>
      <c r="L314" t="inlineStr">
        <is>
          <t>Beskriv syftet med den nya anläggningen som avfallet ska användas till Masshantering av mottagna massor för sortering och sållning.</t>
        </is>
      </c>
      <c r="M314" t="inlineStr">
        <is>
          <t>SKA</t>
        </is>
      </c>
      <c r="N314" t="inlineStr"/>
      <c r="O314" t="inlineStr"/>
      <c r="P314" t="inlineStr"/>
      <c r="Q314" t="inlineStr"/>
      <c r="R314" t="inlineStr">
        <is>
          <t>Alltid</t>
        </is>
      </c>
      <c r="S314" t="inlineStr"/>
      <c r="T314" t="inlineStr">
        <is>
          <t>240313</t>
        </is>
      </c>
      <c r="U314" t="inlineStr"/>
      <c r="V314" t="inlineStr"/>
      <c r="W314" t="inlineStr">
        <is>
          <t>Nej</t>
        </is>
      </c>
      <c r="X314" t="inlineStr">
        <is>
          <t>Nej</t>
        </is>
      </c>
      <c r="Y314" t="inlineStr">
        <is>
          <t>Nej</t>
        </is>
      </c>
      <c r="Z314" t="inlineStr">
        <is>
          <t>Nej</t>
        </is>
      </c>
      <c r="AA314" t="n">
        <v>10</v>
      </c>
      <c r="AB314" t="inlineStr">
        <is>
          <t>Miljopaverkan och forsiktighetsmatt</t>
        </is>
      </c>
      <c r="AC314" t="inlineStr">
        <is>
          <t>Miljo-PM</t>
        </is>
      </c>
      <c r="AD314" t="inlineStr">
        <is>
          <t>Nej</t>
        </is>
      </c>
      <c r="AE314" t="inlineStr">
        <is>
          <t>Nej</t>
        </is>
      </c>
      <c r="AF314" t="inlineStr">
        <is>
          <t>Ej behandlad</t>
        </is>
      </c>
      <c r="AG314" t="inlineStr">
        <is>
          <t>AUTO_GENERERAD. Verifiera citat mot kallfil.</t>
        </is>
      </c>
      <c r="AH314" t="inlineStr">
        <is>
          <t>MEDIUM</t>
        </is>
      </c>
      <c r="AI314" t="inlineStr">
        <is>
          <t>AUTO</t>
        </is>
      </c>
      <c r="AJ314" t="inlineStr">
        <is>
          <t>Nej</t>
        </is>
      </c>
      <c r="AK314" t="inlineStr"/>
      <c r="AL314" t="inlineStr"/>
      <c r="AM314" t="inlineStr"/>
      <c r="AN314" t="inlineStr"/>
      <c r="AO314" t="inlineStr">
        <is>
          <t>cmm4yuqdi03h8cuqwtpenx3af</t>
        </is>
      </c>
      <c r="AP314" t="inlineStr">
        <is>
          <t>http://localhost:8787/api/admin/requirements/documents/cmm4yuqdi03h8cuqwtpenx3af/view</t>
        </is>
      </c>
      <c r="AQ314">
        <f>HYPERLÄNK("http://localhost:8787/api/admin/requirements/documents/cmm4yuqdi03h8cuqwtpenx3af/view";"Öppna PDF")</f>
        <v/>
      </c>
      <c r="AR314">
        <f>HYPERLINK("http://localhost:8787/api/admin/requirements/documents/cmm4yuqdi03h8cuqwtpenx3af/view","Open PDF")</f>
        <v/>
      </c>
      <c r="AS314" t="inlineStr">
        <is>
          <t>cmm55w57p0004cuisfrtpqly8</t>
        </is>
      </c>
      <c r="AT314" t="inlineStr">
        <is>
          <t>cmm4xvu980000cuh4vj0usz09</t>
        </is>
      </c>
      <c r="AU314" t="inlineStr">
        <is>
          <t>Karlstads</t>
        </is>
      </c>
      <c r="AV314" t="inlineStr">
        <is>
          <t>Kommun</t>
        </is>
      </c>
      <c r="AW314" t="inlineStr">
        <is>
          <t>Karlstads kommun</t>
        </is>
      </c>
      <c r="AX314" t="inlineStr">
        <is>
          <t>2025-06</t>
        </is>
      </c>
      <c r="AY314" t="inlineStr">
        <is>
          <t>Anmalan</t>
        </is>
      </c>
      <c r="AZ314" t="inlineStr">
        <is>
          <t>2026-02-05</t>
        </is>
      </c>
      <c r="BA314" t="inlineStr">
        <is>
          <t>SERAB Vålberg 1 431 Beslut 250609.pdf</t>
        </is>
      </c>
      <c r="BB314" t="inlineStr">
        <is>
          <t>Begäran om utlämnande av allmän handling – Anmälningar och beslut rörande mellanlagring av avfall samt anläggning av ytor</t>
        </is>
      </c>
      <c r="BC314" t="inlineStr">
        <is>
          <t>AUTO</t>
        </is>
      </c>
      <c r="BD314" t="inlineStr"/>
      <c r="BE314" t="inlineStr"/>
      <c r="BF314" t="inlineStr">
        <is>
          <t>AUTO_GENERERAD. Bekrafta metadata mot kallfil.</t>
        </is>
      </c>
      <c r="BG314">
        <f>HYPERLINK("C:\Users\jimmy\Desktop\Examens arbete\Kod\Ny mapp\remix_-copy-of-miljöbeslut.se-portal\SERAB Vålberg 1 431 Beslut 250609.pdf", "Öppna PDF")</f>
        <v/>
      </c>
    </row>
    <row r="315">
      <c r="A315" t="inlineStr">
        <is>
          <t>KRAV-AUTO-000314</t>
        </is>
      </c>
      <c r="B315" t="inlineStr">
        <is>
          <t>ADMIN-INDEX-2026-02-27-00000000125C043F57453246863FE664CAFE6A3F0700950291EA24F0614FB6ACEDB12BF0E31D00000000010C0000950291EA24F0614FB6ACEDB12BF0E31D00002087ADFD0000</t>
        </is>
      </c>
      <c r="C315" t="inlineStr">
        <is>
          <t>cmm4yuqdc03h2cuqwnvci4ldd</t>
        </is>
      </c>
      <c r="D315" t="inlineStr">
        <is>
          <t>http://localhost:8787/api/admin/requirements/documents/cmm4yuqdc03h2cuqwnvci4ldd/view</t>
        </is>
      </c>
      <c r="E315">
        <f>HYPERLÄNK("http://localhost:8787/api/admin/requirements/documents/cmm4yuqdc03h2cuqwnvci4ldd/view";"Öppna PDF")</f>
        <v/>
      </c>
      <c r="F315">
        <f>HYPERLINK("http://localhost:8787/api/admin/requirements/documents/cmm4yuqdc03h2cuqwnvci4ldd/view","Open PDF")</f>
        <v/>
      </c>
      <c r="G315" t="inlineStr">
        <is>
          <t>cmm55w57p0004cuisfrtpqly8</t>
        </is>
      </c>
      <c r="H315" t="inlineStr">
        <is>
          <t>Informationskrav</t>
        </is>
      </c>
      <c r="I315" t="inlineStr">
        <is>
          <t>Riskhantering</t>
        </is>
      </c>
      <c r="J315" t="inlineStr">
        <is>
          <t>Riskkontroll</t>
        </is>
      </c>
      <c r="K315" t="inlineStr">
        <is>
          <t>Hänsyn ska tas till verksamheten, den plats som verksamheten bedrivs på och andra omständigheter som buller, damning, risk för spill- eller haveri, detaljplan, vattenskyddsområde, naturreservat och invasiva arter.</t>
        </is>
      </c>
      <c r="L315" t="inlineStr">
        <is>
          <t>Hänsyn ska tas till verksamheten, den plats som verksamheten bedrivs på och andra omständigheter som buller, damning, risk för spill- eller haveri, detaljplan, vattenskyddsområde, naturreservat och invasiva arter.</t>
        </is>
      </c>
      <c r="M315" t="inlineStr">
        <is>
          <t>SKA</t>
        </is>
      </c>
      <c r="N315" t="inlineStr"/>
      <c r="O315" t="inlineStr"/>
      <c r="P315" t="inlineStr"/>
      <c r="Q315" t="inlineStr"/>
      <c r="R315" t="inlineStr">
        <is>
          <t>Vid risk for incident</t>
        </is>
      </c>
      <c r="S315" t="inlineStr"/>
      <c r="T315" t="inlineStr">
        <is>
          <t>240313</t>
        </is>
      </c>
      <c r="U315" t="inlineStr"/>
      <c r="V315" t="inlineStr"/>
      <c r="W315" t="inlineStr">
        <is>
          <t>Nej</t>
        </is>
      </c>
      <c r="X315" t="inlineStr">
        <is>
          <t>Nej</t>
        </is>
      </c>
      <c r="Y315" t="inlineStr">
        <is>
          <t>Ja</t>
        </is>
      </c>
      <c r="Z315" t="inlineStr">
        <is>
          <t>Ja</t>
        </is>
      </c>
      <c r="AA315" t="n">
        <v>8</v>
      </c>
      <c r="AB315" t="inlineStr">
        <is>
          <t>Riskhantering</t>
        </is>
      </c>
      <c r="AC315" t="inlineStr">
        <is>
          <t>Risk-PM</t>
        </is>
      </c>
      <c r="AD315" t="inlineStr">
        <is>
          <t>Nej</t>
        </is>
      </c>
      <c r="AE315" t="inlineStr">
        <is>
          <t>Nej</t>
        </is>
      </c>
      <c r="AF315" t="inlineStr">
        <is>
          <t>Ej behandlad</t>
        </is>
      </c>
      <c r="AG315" t="inlineStr">
        <is>
          <t>AUTO_GENERERAD. Verifiera citat mot kallfil.</t>
        </is>
      </c>
      <c r="AH315" t="inlineStr">
        <is>
          <t>MEDIUM</t>
        </is>
      </c>
      <c r="AI315" t="inlineStr">
        <is>
          <t>AUTO</t>
        </is>
      </c>
      <c r="AJ315" t="inlineStr">
        <is>
          <t>Nej</t>
        </is>
      </c>
      <c r="AK315" t="inlineStr"/>
      <c r="AL315" t="inlineStr"/>
      <c r="AM315" t="inlineStr"/>
      <c r="AN315" t="inlineStr"/>
      <c r="AO315" t="inlineStr">
        <is>
          <t>cmm4yuqdi03h8cuqwtpenx3af</t>
        </is>
      </c>
      <c r="AP315" t="inlineStr">
        <is>
          <t>http://localhost:8787/api/admin/requirements/documents/cmm4yuqdi03h8cuqwtpenx3af/view</t>
        </is>
      </c>
      <c r="AQ315">
        <f>HYPERLÄNK("http://localhost:8787/api/admin/requirements/documents/cmm4yuqdi03h8cuqwtpenx3af/view";"Öppna PDF")</f>
        <v/>
      </c>
      <c r="AR315">
        <f>HYPERLINK("http://localhost:8787/api/admin/requirements/documents/cmm4yuqdi03h8cuqwtpenx3af/view","Open PDF")</f>
        <v/>
      </c>
      <c r="AS315" t="inlineStr">
        <is>
          <t>cmm55w57p0004cuisfrtpqly8</t>
        </is>
      </c>
      <c r="AT315" t="inlineStr">
        <is>
          <t>cmm4xvu980000cuh4vj0usz09</t>
        </is>
      </c>
      <c r="AU315" t="inlineStr">
        <is>
          <t>Karlstads</t>
        </is>
      </c>
      <c r="AV315" t="inlineStr">
        <is>
          <t>Kommun</t>
        </is>
      </c>
      <c r="AW315" t="inlineStr">
        <is>
          <t>Karlstads kommun</t>
        </is>
      </c>
      <c r="AX315" t="inlineStr">
        <is>
          <t>2025-06</t>
        </is>
      </c>
      <c r="AY315" t="inlineStr">
        <is>
          <t>Anmalan</t>
        </is>
      </c>
      <c r="AZ315" t="inlineStr">
        <is>
          <t>2026-02-05</t>
        </is>
      </c>
      <c r="BA315" t="inlineStr">
        <is>
          <t>SERAB Vålberg 1 431 Beslut 250609.pdf</t>
        </is>
      </c>
      <c r="BB315" t="inlineStr">
        <is>
          <t>Begäran om utlämnande av allmän handling – Anmälningar och beslut rörande mellanlagring av avfall samt anläggning av ytor</t>
        </is>
      </c>
      <c r="BC315" t="inlineStr">
        <is>
          <t>AUTO</t>
        </is>
      </c>
      <c r="BD315" t="inlineStr"/>
      <c r="BE315" t="inlineStr"/>
      <c r="BF315" t="inlineStr">
        <is>
          <t>AUTO_GENERERAD. Bekrafta metadata mot kallfil.</t>
        </is>
      </c>
      <c r="BG315">
        <f>HYPERLINK("C:\Users\jimmy\Desktop\Examens arbete\Kod\Ny mapp\remix_-copy-of-miljöbeslut.se-portal\SERAB Vålberg 1 431 Beslut 250609.pdf", "Öppna PDF")</f>
        <v/>
      </c>
    </row>
    <row r="316">
      <c r="A316" t="inlineStr">
        <is>
          <t>KRAV-AUTO-000315</t>
        </is>
      </c>
      <c r="B316" t="inlineStr">
        <is>
          <t>ADMIN-INDEX-2026-02-27-00000000125C043F57453246863FE664CAFE6A3F0700950291EA24F0614FB6ACEDB12BF0E31D00000000010C0000950291EA24F0614FB6ACEDB12BF0E31D00002087ADFE0000</t>
        </is>
      </c>
      <c r="C316" t="inlineStr">
        <is>
          <t>cmm4yuqd303gtcuqw3vlw8j3n</t>
        </is>
      </c>
      <c r="D316" t="inlineStr">
        <is>
          <t>http://localhost:8787/api/admin/requirements/documents/cmm4yuqd303gtcuqw3vlw8j3n/view</t>
        </is>
      </c>
      <c r="E316">
        <f>HYPERLÄNK("http://localhost:8787/api/admin/requirements/documents/cmm4yuqd303gtcuqw3vlw8j3n/view";"Öppna PDF")</f>
        <v/>
      </c>
      <c r="F316">
        <f>HYPERLINK("http://localhost:8787/api/admin/requirements/documents/cmm4yuqd303gtcuqw3vlw8j3n/view","Open PDF")</f>
        <v/>
      </c>
      <c r="G316" t="inlineStr">
        <is>
          <t>cmm55w57p0004cuisfrtpqly8</t>
        </is>
      </c>
      <c r="H316" t="inlineStr">
        <is>
          <t>Informationskrav</t>
        </is>
      </c>
      <c r="I316" t="inlineStr">
        <is>
          <t>Riskhantering</t>
        </is>
      </c>
      <c r="J316" t="inlineStr">
        <is>
          <t>Riskkontroll</t>
        </is>
      </c>
      <c r="K316" t="inlineStr">
        <is>
          <t>Förutom information om var materialet ska placeras bör det klart framgå hur det ska deponeras och vilka risker som är förknippade med detta.</t>
        </is>
      </c>
      <c r="L316" t="inlineStr">
        <is>
          <t>Förutom information om var materialet ska placeras bör det klart framgå hur det ska deponeras och vilka risker som är förknippade med detta.</t>
        </is>
      </c>
      <c r="M316" t="inlineStr">
        <is>
          <t>SKA</t>
        </is>
      </c>
      <c r="N316" t="inlineStr"/>
      <c r="O316" t="inlineStr"/>
      <c r="P316" t="inlineStr"/>
      <c r="Q316" t="inlineStr"/>
      <c r="R316" t="inlineStr">
        <is>
          <t>Vid risk for incident</t>
        </is>
      </c>
      <c r="S316" t="inlineStr"/>
      <c r="T316" t="inlineStr"/>
      <c r="U316" t="inlineStr"/>
      <c r="V316" t="inlineStr"/>
      <c r="W316" t="inlineStr">
        <is>
          <t>Nej</t>
        </is>
      </c>
      <c r="X316" t="inlineStr">
        <is>
          <t>Nej</t>
        </is>
      </c>
      <c r="Y316" t="inlineStr">
        <is>
          <t>Ja</t>
        </is>
      </c>
      <c r="Z316" t="inlineStr">
        <is>
          <t>Ja</t>
        </is>
      </c>
      <c r="AA316" t="n">
        <v>8</v>
      </c>
      <c r="AB316" t="inlineStr">
        <is>
          <t>Riskhantering</t>
        </is>
      </c>
      <c r="AC316" t="inlineStr">
        <is>
          <t>Risk-PM</t>
        </is>
      </c>
      <c r="AD316" t="inlineStr">
        <is>
          <t>Nej</t>
        </is>
      </c>
      <c r="AE316" t="inlineStr">
        <is>
          <t>Nej</t>
        </is>
      </c>
      <c r="AF316" t="inlineStr">
        <is>
          <t>Ej behandlad</t>
        </is>
      </c>
      <c r="AG316" t="inlineStr">
        <is>
          <t>AUTO_GENERERAD. Verifiera citat mot kallfil.</t>
        </is>
      </c>
      <c r="AH316" t="inlineStr">
        <is>
          <t>LOW</t>
        </is>
      </c>
      <c r="AI316" t="inlineStr">
        <is>
          <t>AUTO</t>
        </is>
      </c>
      <c r="AJ316" t="inlineStr">
        <is>
          <t>Nej</t>
        </is>
      </c>
      <c r="AK316" t="inlineStr"/>
      <c r="AL316" t="inlineStr"/>
      <c r="AM316" t="inlineStr"/>
      <c r="AN316" t="inlineStr"/>
      <c r="AO316" t="inlineStr">
        <is>
          <t>cmm4yuqd303gtcuqw3vlw8j3n</t>
        </is>
      </c>
      <c r="AP316" t="inlineStr">
        <is>
          <t>http://localhost:8787/api/admin/requirements/documents/cmm4yuqd303gtcuqw3vlw8j3n/view</t>
        </is>
      </c>
      <c r="AQ316">
        <f>HYPERLÄNK("http://localhost:8787/api/admin/requirements/documents/cmm4yuqd303gtcuqw3vlw8j3n/view";"Öppna PDF")</f>
        <v/>
      </c>
      <c r="AR316">
        <f>HYPERLINK("http://localhost:8787/api/admin/requirements/documents/cmm4yuqd303gtcuqw3vlw8j3n/view","Open PDF")</f>
        <v/>
      </c>
      <c r="AS316" t="inlineStr">
        <is>
          <t>cmm55w57p0004cuisfrtpqly8</t>
        </is>
      </c>
      <c r="AT316" t="inlineStr">
        <is>
          <t>cmm4xvu980000cuh4vj0usz09</t>
        </is>
      </c>
      <c r="AU316" t="inlineStr"/>
      <c r="AV316" t="inlineStr">
        <is>
          <t>Kommun</t>
        </is>
      </c>
      <c r="AW316" t="inlineStr"/>
      <c r="AX316" t="inlineStr"/>
      <c r="AY316" t="inlineStr">
        <is>
          <t>Anmalan</t>
        </is>
      </c>
      <c r="AZ316" t="inlineStr">
        <is>
          <t>2026-02-05</t>
        </is>
      </c>
      <c r="BA316" t="inlineStr">
        <is>
          <t>Styrning och kontroll - GIFA.pdf</t>
        </is>
      </c>
      <c r="BB316" t="inlineStr">
        <is>
          <t>Begäran om utlämnande av allmän handling – Anmälningar och beslut rörande mellanlagring av avfall samt anläggning av ytor</t>
        </is>
      </c>
      <c r="BC316" t="inlineStr">
        <is>
          <t>AUTO</t>
        </is>
      </c>
      <c r="BD316" t="inlineStr"/>
      <c r="BE316" t="inlineStr"/>
      <c r="BF316" t="inlineStr">
        <is>
          <t>AUTO_GENERERAD. Bekrafta metadata mot kallfil.</t>
        </is>
      </c>
      <c r="BG316">
        <f>HYPERLINK("C:\Users\jimmy\Desktop\Examens arbete\Kod\Ny mapp\remix_-copy-of-miljöbeslut.se-portal\Styrning och kontroll - GIFA.pdf", "Öppna PDF")</f>
        <v/>
      </c>
    </row>
    <row r="317">
      <c r="A317" t="inlineStr">
        <is>
          <t>KRAV-AUTO-000316</t>
        </is>
      </c>
      <c r="B317" t="inlineStr">
        <is>
          <t>ADMIN-INDEX-2026-02-27-00000000125C043F57453246863FE664CAFE6A3F0700950291EA24F0614FB6ACEDB12BF0E31D00000000010C0000950291EA24F0614FB6ACEDB12BF0E31D00002087ADFE0000</t>
        </is>
      </c>
      <c r="C317" t="inlineStr">
        <is>
          <t>cmm4yuqd303gtcuqw3vlw8j3n</t>
        </is>
      </c>
      <c r="D317" t="inlineStr">
        <is>
          <t>http://localhost:8787/api/admin/requirements/documents/cmm4yuqd303gtcuqw3vlw8j3n/view</t>
        </is>
      </c>
      <c r="E317">
        <f>HYPERLÄNK("http://localhost:8787/api/admin/requirements/documents/cmm4yuqd303gtcuqw3vlw8j3n/view";"Öppna PDF")</f>
        <v/>
      </c>
      <c r="F317">
        <f>HYPERLINK("http://localhost:8787/api/admin/requirements/documents/cmm4yuqd303gtcuqw3vlw8j3n/view","Open PDF")</f>
        <v/>
      </c>
      <c r="G317" t="inlineStr">
        <is>
          <t>cmm55w57p0004cuisfrtpqly8</t>
        </is>
      </c>
      <c r="H317" t="inlineStr">
        <is>
          <t>Informationskrav</t>
        </is>
      </c>
      <c r="I317" t="inlineStr">
        <is>
          <t>Ytkonstruktion</t>
        </is>
      </c>
      <c r="J317" t="inlineStr">
        <is>
          <t>Tat yta</t>
        </is>
      </c>
      <c r="K317" t="inlineStr">
        <is>
          <t>En ytterligare fördel med att täcka GIFA med andra schaktmassor är att det förhindrar att växterna börjar gro snabbt efter att de har lossats, vilket bidrar till att minska risken för spridning.</t>
        </is>
      </c>
      <c r="L317" t="inlineStr">
        <is>
          <t>En ytterligare fördel med att täcka GIFA med andra schaktmassor är att det förhindrar att växterna börjar gro snabbt efter att de har lossats, vilket bidrar till att minska risken för spridning.</t>
        </is>
      </c>
      <c r="M317" t="inlineStr">
        <is>
          <t>SKA</t>
        </is>
      </c>
      <c r="N317" t="inlineStr"/>
      <c r="O317" t="inlineStr"/>
      <c r="P317" t="inlineStr"/>
      <c r="Q317" t="inlineStr"/>
      <c r="R317" t="inlineStr">
        <is>
          <t>Vid mellanlagring av avfall</t>
        </is>
      </c>
      <c r="S317" t="inlineStr"/>
      <c r="T317" t="inlineStr"/>
      <c r="U317" t="inlineStr"/>
      <c r="V317" t="inlineStr"/>
      <c r="W317" t="inlineStr">
        <is>
          <t>Ja</t>
        </is>
      </c>
      <c r="X317" t="inlineStr">
        <is>
          <t>Nej</t>
        </is>
      </c>
      <c r="Y317" t="inlineStr">
        <is>
          <t>Nej</t>
        </is>
      </c>
      <c r="Z317" t="inlineStr">
        <is>
          <t>Nej</t>
        </is>
      </c>
      <c r="AA317" t="n">
        <v>5</v>
      </c>
      <c r="AB317" t="inlineStr">
        <is>
          <t>Teknisk beskrivning av platta</t>
        </is>
      </c>
      <c r="AC317" t="inlineStr">
        <is>
          <t>Teknisk ritning platta</t>
        </is>
      </c>
      <c r="AD317" t="inlineStr">
        <is>
          <t>Nej</t>
        </is>
      </c>
      <c r="AE317" t="inlineStr">
        <is>
          <t>Nej</t>
        </is>
      </c>
      <c r="AF317" t="inlineStr">
        <is>
          <t>Ej behandlad</t>
        </is>
      </c>
      <c r="AG317" t="inlineStr">
        <is>
          <t>AUTO_GENERERAD. Verifiera citat mot kallfil.</t>
        </is>
      </c>
      <c r="AH317" t="inlineStr">
        <is>
          <t>LOW</t>
        </is>
      </c>
      <c r="AI317" t="inlineStr">
        <is>
          <t>AUTO</t>
        </is>
      </c>
      <c r="AJ317" t="inlineStr">
        <is>
          <t>Nej</t>
        </is>
      </c>
      <c r="AK317" t="inlineStr"/>
      <c r="AL317" t="inlineStr"/>
      <c r="AM317" t="inlineStr"/>
      <c r="AN317" t="inlineStr"/>
      <c r="AO317" t="inlineStr">
        <is>
          <t>cmm4yuqd303gtcuqw3vlw8j3n</t>
        </is>
      </c>
      <c r="AP317" t="inlineStr">
        <is>
          <t>http://localhost:8787/api/admin/requirements/documents/cmm4yuqd303gtcuqw3vlw8j3n/view</t>
        </is>
      </c>
      <c r="AQ317">
        <f>HYPERLÄNK("http://localhost:8787/api/admin/requirements/documents/cmm4yuqd303gtcuqw3vlw8j3n/view";"Öppna PDF")</f>
        <v/>
      </c>
      <c r="AR317">
        <f>HYPERLINK("http://localhost:8787/api/admin/requirements/documents/cmm4yuqd303gtcuqw3vlw8j3n/view","Open PDF")</f>
        <v/>
      </c>
      <c r="AS317" t="inlineStr">
        <is>
          <t>cmm55w57p0004cuisfrtpqly8</t>
        </is>
      </c>
      <c r="AT317" t="inlineStr">
        <is>
          <t>cmm4xvu980000cuh4vj0usz09</t>
        </is>
      </c>
      <c r="AU317" t="inlineStr"/>
      <c r="AV317" t="inlineStr">
        <is>
          <t>Kommun</t>
        </is>
      </c>
      <c r="AW317" t="inlineStr"/>
      <c r="AX317" t="inlineStr"/>
      <c r="AY317" t="inlineStr">
        <is>
          <t>Anmalan</t>
        </is>
      </c>
      <c r="AZ317" t="inlineStr">
        <is>
          <t>2026-02-05</t>
        </is>
      </c>
      <c r="BA317" t="inlineStr">
        <is>
          <t>Styrning och kontroll - GIFA.pdf</t>
        </is>
      </c>
      <c r="BB317" t="inlineStr">
        <is>
          <t>Begäran om utlämnande av allmän handling – Anmälningar och beslut rörande mellanlagring av avfall samt anläggning av ytor</t>
        </is>
      </c>
      <c r="BC317" t="inlineStr">
        <is>
          <t>AUTO</t>
        </is>
      </c>
      <c r="BD317" t="inlineStr"/>
      <c r="BE317" t="inlineStr"/>
      <c r="BF317" t="inlineStr">
        <is>
          <t>AUTO_GENERERAD. Bekrafta metadata mot kallfil.</t>
        </is>
      </c>
      <c r="BG317">
        <f>HYPERLINK("C:\Users\jimmy\Desktop\Examens arbete\Kod\Ny mapp\remix_-copy-of-miljöbeslut.se-portal\Styrning och kontroll - GIFA.pdf", "Öppna PDF")</f>
        <v/>
      </c>
    </row>
    <row r="318">
      <c r="A318" t="inlineStr">
        <is>
          <t>KRAV-AUTO-000317</t>
        </is>
      </c>
      <c r="B318" t="inlineStr">
        <is>
          <t>ADMIN-INDEX-2026-02-27-00000000125C043F57453246863FE664CAFE6A3F0700950291EA24F0614FB6ACEDB12BF0E31D00000000010C0000950291EA24F0614FB6ACEDB12BF0E31D00002087ADFE0000</t>
        </is>
      </c>
      <c r="C318" t="inlineStr">
        <is>
          <t>cmm4yuqd303gtcuqw3vlw8j3n</t>
        </is>
      </c>
      <c r="D318" t="inlineStr">
        <is>
          <t>http://localhost:8787/api/admin/requirements/documents/cmm4yuqd303gtcuqw3vlw8j3n/view</t>
        </is>
      </c>
      <c r="E318">
        <f>HYPERLÄNK("http://localhost:8787/api/admin/requirements/documents/cmm4yuqd303gtcuqw3vlw8j3n/view";"Öppna PDF")</f>
        <v/>
      </c>
      <c r="F318">
        <f>HYPERLINK("http://localhost:8787/api/admin/requirements/documents/cmm4yuqd303gtcuqw3vlw8j3n/view","Open PDF")</f>
        <v/>
      </c>
      <c r="G318" t="inlineStr">
        <is>
          <t>cmm55w57p0004cuisfrtpqly8</t>
        </is>
      </c>
      <c r="H318" t="inlineStr">
        <is>
          <t>Informationskrav</t>
        </is>
      </c>
      <c r="I318" t="inlineStr">
        <is>
          <t>Riskhantering</t>
        </is>
      </c>
      <c r="J318" t="inlineStr">
        <is>
          <t>Riskkontroll</t>
        </is>
      </c>
      <c r="K318" t="inlineStr">
        <is>
          <t>Interntransport Vid riskbedömningen bör den interna transporten kartläggas noggrant.</t>
        </is>
      </c>
      <c r="L318" t="inlineStr">
        <is>
          <t>Interntransport Vid riskbedömningen bör den interna transporten kartläggas noggrant.</t>
        </is>
      </c>
      <c r="M318" t="inlineStr">
        <is>
          <t>BOR</t>
        </is>
      </c>
      <c r="N318" t="inlineStr"/>
      <c r="O318" t="inlineStr"/>
      <c r="P318" t="inlineStr"/>
      <c r="Q318" t="inlineStr"/>
      <c r="R318" t="inlineStr">
        <is>
          <t>Vid risk for incident</t>
        </is>
      </c>
      <c r="S318" t="inlineStr"/>
      <c r="T318" t="inlineStr"/>
      <c r="U318" t="inlineStr"/>
      <c r="V318" t="inlineStr"/>
      <c r="W318" t="inlineStr">
        <is>
          <t>Nej</t>
        </is>
      </c>
      <c r="X318" t="inlineStr">
        <is>
          <t>Nej</t>
        </is>
      </c>
      <c r="Y318" t="inlineStr">
        <is>
          <t>Ja</t>
        </is>
      </c>
      <c r="Z318" t="inlineStr">
        <is>
          <t>Ja</t>
        </is>
      </c>
      <c r="AA318" t="n">
        <v>8</v>
      </c>
      <c r="AB318" t="inlineStr">
        <is>
          <t>Riskhantering</t>
        </is>
      </c>
      <c r="AC318" t="inlineStr">
        <is>
          <t>Risk-PM</t>
        </is>
      </c>
      <c r="AD318" t="inlineStr">
        <is>
          <t>Nej</t>
        </is>
      </c>
      <c r="AE318" t="inlineStr">
        <is>
          <t>Nej</t>
        </is>
      </c>
      <c r="AF318" t="inlineStr">
        <is>
          <t>Ej behandlad</t>
        </is>
      </c>
      <c r="AG318" t="inlineStr">
        <is>
          <t>AUTO_GENERERAD. Verifiera citat mot kallfil.</t>
        </is>
      </c>
      <c r="AH318" t="inlineStr">
        <is>
          <t>LOW</t>
        </is>
      </c>
      <c r="AI318" t="inlineStr">
        <is>
          <t>AUTO</t>
        </is>
      </c>
      <c r="AJ318" t="inlineStr">
        <is>
          <t>Nej</t>
        </is>
      </c>
      <c r="AK318" t="inlineStr"/>
      <c r="AL318" t="inlineStr"/>
      <c r="AM318" t="inlineStr"/>
      <c r="AN318" t="inlineStr"/>
      <c r="AO318" t="inlineStr">
        <is>
          <t>cmm4yuqd303gtcuqw3vlw8j3n</t>
        </is>
      </c>
      <c r="AP318" t="inlineStr">
        <is>
          <t>http://localhost:8787/api/admin/requirements/documents/cmm4yuqd303gtcuqw3vlw8j3n/view</t>
        </is>
      </c>
      <c r="AQ318">
        <f>HYPERLÄNK("http://localhost:8787/api/admin/requirements/documents/cmm4yuqd303gtcuqw3vlw8j3n/view";"Öppna PDF")</f>
        <v/>
      </c>
      <c r="AR318">
        <f>HYPERLINK("http://localhost:8787/api/admin/requirements/documents/cmm4yuqd303gtcuqw3vlw8j3n/view","Open PDF")</f>
        <v/>
      </c>
      <c r="AS318" t="inlineStr">
        <is>
          <t>cmm55w57p0004cuisfrtpqly8</t>
        </is>
      </c>
      <c r="AT318" t="inlineStr">
        <is>
          <t>cmm4xvu980000cuh4vj0usz09</t>
        </is>
      </c>
      <c r="AU318" t="inlineStr"/>
      <c r="AV318" t="inlineStr">
        <is>
          <t>Kommun</t>
        </is>
      </c>
      <c r="AW318" t="inlineStr"/>
      <c r="AX318" t="inlineStr"/>
      <c r="AY318" t="inlineStr">
        <is>
          <t>Anmalan</t>
        </is>
      </c>
      <c r="AZ318" t="inlineStr">
        <is>
          <t>2026-02-05</t>
        </is>
      </c>
      <c r="BA318" t="inlineStr">
        <is>
          <t>Styrning och kontroll - GIFA.pdf</t>
        </is>
      </c>
      <c r="BB318" t="inlineStr">
        <is>
          <t>Begäran om utlämnande av allmän handling – Anmälningar och beslut rörande mellanlagring av avfall samt anläggning av ytor</t>
        </is>
      </c>
      <c r="BC318" t="inlineStr">
        <is>
          <t>AUTO</t>
        </is>
      </c>
      <c r="BD318" t="inlineStr"/>
      <c r="BE318" t="inlineStr"/>
      <c r="BF318" t="inlineStr">
        <is>
          <t>AUTO_GENERERAD. Bekrafta metadata mot kallfil.</t>
        </is>
      </c>
      <c r="BG318">
        <f>HYPERLINK("C:\Users\jimmy\Desktop\Examens arbete\Kod\Ny mapp\remix_-copy-of-miljöbeslut.se-portal\Styrning och kontroll - GIFA.pdf", "Öppna PDF")</f>
        <v/>
      </c>
    </row>
    <row r="319">
      <c r="A319" t="inlineStr">
        <is>
          <t>KRAV-AUTO-000318</t>
        </is>
      </c>
      <c r="B319" t="inlineStr">
        <is>
          <t>ADMIN-INDEX-2026-02-27-00000000125C043F57453246863FE664CAFE6A3F0700950291EA24F0614FB6ACEDB12BF0E31D00000000010C0000950291EA24F0614FB6ACEDB12BF0E31D00002087ADFE0000</t>
        </is>
      </c>
      <c r="C319" t="inlineStr">
        <is>
          <t>cmm4yuqcn03ghcuqwyey1nsdt</t>
        </is>
      </c>
      <c r="D319" t="inlineStr">
        <is>
          <t>http://localhost:8787/api/admin/requirements/documents/cmm4yuqcn03ghcuqwyey1nsdt/view</t>
        </is>
      </c>
      <c r="E319">
        <f>HYPERLÄNK("http://localhost:8787/api/admin/requirements/documents/cmm4yuqcn03ghcuqwyey1nsdt/view";"Öppna PDF")</f>
        <v/>
      </c>
      <c r="F319">
        <f>HYPERLINK("http://localhost:8787/api/admin/requirements/documents/cmm4yuqcn03ghcuqwyey1nsdt/view","Open PDF")</f>
        <v/>
      </c>
      <c r="G319" t="inlineStr">
        <is>
          <t>cmm55w57p0004cuisfrtpqly8</t>
        </is>
      </c>
      <c r="H319" t="inlineStr">
        <is>
          <t>Kompletteringskrav</t>
        </is>
      </c>
      <c r="I319" t="inlineStr">
        <is>
          <t>LagringsvolymTid</t>
        </is>
      </c>
      <c r="J319" t="inlineStr">
        <is>
          <t>Maxmangd</t>
        </is>
      </c>
      <c r="K319" t="inlineStr">
        <is>
          <t>Mängd avfall som ska användas ton 5000m3 Ange fyllnadshöjd i meter (vid fyllning över 0,5 m inom detaljplanelagt område krävs även mark lov) Från 0-2,9 meter, dal/svacka fylls igen för att nå normativ marknivå.</t>
        </is>
      </c>
      <c r="L319" t="inlineStr">
        <is>
          <t>Mängd avfall som ska användas ton 5000m3 Ange fyllnadshöjd i meter (vid fyllning över 0,5 m inom detaljplanelagt område krävs även mark lov) Från 0-2,9 meter, dal/svacka fylls igen för att nå normativ marknivå.</t>
        </is>
      </c>
      <c r="M319" t="inlineStr">
        <is>
          <t>SKA</t>
        </is>
      </c>
      <c r="N319" t="inlineStr"/>
      <c r="O319" t="inlineStr"/>
      <c r="P319" t="inlineStr"/>
      <c r="Q319" t="inlineStr"/>
      <c r="R319" t="inlineStr">
        <is>
          <t>Alltid</t>
        </is>
      </c>
      <c r="S319" t="inlineStr"/>
      <c r="T319" t="inlineStr">
        <is>
          <t>559003</t>
        </is>
      </c>
      <c r="U319" t="inlineStr"/>
      <c r="V319" t="inlineStr"/>
      <c r="W319" t="inlineStr">
        <is>
          <t>Nej</t>
        </is>
      </c>
      <c r="X319" t="inlineStr">
        <is>
          <t>Nej</t>
        </is>
      </c>
      <c r="Y319" t="inlineStr">
        <is>
          <t>Nej</t>
        </is>
      </c>
      <c r="Z319" t="inlineStr">
        <is>
          <t>Nej</t>
        </is>
      </c>
      <c r="AA319" t="n">
        <v>4</v>
      </c>
      <c r="AB319" t="inlineStr">
        <is>
          <t>Avfallsmangder och lagringstid</t>
        </is>
      </c>
      <c r="AC319" t="inlineStr">
        <is>
          <t>Avfallsforteckning</t>
        </is>
      </c>
      <c r="AD319" t="inlineStr">
        <is>
          <t>Nej</t>
        </is>
      </c>
      <c r="AE319" t="inlineStr">
        <is>
          <t>Nej</t>
        </is>
      </c>
      <c r="AF319" t="inlineStr">
        <is>
          <t>Ej behandlad</t>
        </is>
      </c>
      <c r="AG319" t="inlineStr">
        <is>
          <t>AUTO_GENERERAD. Verifiera citat mot kallfil.</t>
        </is>
      </c>
      <c r="AH319" t="inlineStr">
        <is>
          <t>MEDIUM</t>
        </is>
      </c>
      <c r="AI319" t="inlineStr">
        <is>
          <t>AUTO</t>
        </is>
      </c>
      <c r="AJ319" t="inlineStr">
        <is>
          <t>Nej</t>
        </is>
      </c>
      <c r="AK319" t="inlineStr"/>
      <c r="AL319" t="inlineStr"/>
      <c r="AM319" t="inlineStr"/>
      <c r="AN319" t="inlineStr"/>
      <c r="AO319" t="inlineStr">
        <is>
          <t>cmm4yuqd303gtcuqw3vlw8j3n</t>
        </is>
      </c>
      <c r="AP319" t="inlineStr">
        <is>
          <t>http://localhost:8787/api/admin/requirements/documents/cmm4yuqd303gtcuqw3vlw8j3n/view</t>
        </is>
      </c>
      <c r="AQ319">
        <f>HYPERLÄNK("http://localhost:8787/api/admin/requirements/documents/cmm4yuqd303gtcuqw3vlw8j3n/view";"Öppna PDF")</f>
        <v/>
      </c>
      <c r="AR319">
        <f>HYPERLINK("http://localhost:8787/api/admin/requirements/documents/cmm4yuqd303gtcuqw3vlw8j3n/view","Open PDF")</f>
        <v/>
      </c>
      <c r="AS319" t="inlineStr">
        <is>
          <t>cmm55w57p0004cuisfrtpqly8</t>
        </is>
      </c>
      <c r="AT319" t="inlineStr">
        <is>
          <t>cmm4xvu980000cuh4vj0usz09</t>
        </is>
      </c>
      <c r="AU319" t="inlineStr"/>
      <c r="AV319" t="inlineStr">
        <is>
          <t>Kommun</t>
        </is>
      </c>
      <c r="AW319" t="inlineStr"/>
      <c r="AX319" t="inlineStr"/>
      <c r="AY319" t="inlineStr">
        <is>
          <t>Anmalan</t>
        </is>
      </c>
      <c r="AZ319" t="inlineStr">
        <is>
          <t>2026-02-05</t>
        </is>
      </c>
      <c r="BA319" t="inlineStr">
        <is>
          <t>Styrning och kontroll - GIFA.pdf</t>
        </is>
      </c>
      <c r="BB319" t="inlineStr">
        <is>
          <t>Begäran om utlämnande av allmän handling – Anmälningar och beslut rörande mellanlagring av avfall samt anläggning av ytor</t>
        </is>
      </c>
      <c r="BC319" t="inlineStr">
        <is>
          <t>AUTO</t>
        </is>
      </c>
      <c r="BD319" t="inlineStr"/>
      <c r="BE319" t="inlineStr"/>
      <c r="BF319" t="inlineStr">
        <is>
          <t>AUTO_GENERERAD. Bekrafta metadata mot kallfil.</t>
        </is>
      </c>
      <c r="BG319">
        <f>HYPERLINK("C:\Users\jimmy\Desktop\Examens arbete\Kod\Ny mapp\remix_-copy-of-miljöbeslut.se-portal\Styrning och kontroll - GIFA.pdf", "Öppna PDF")</f>
        <v/>
      </c>
    </row>
    <row r="320">
      <c r="A320" t="inlineStr">
        <is>
          <t>KRAV-AUTO-000319</t>
        </is>
      </c>
      <c r="B320" t="inlineStr">
        <is>
          <t>ADMIN-INDEX-2026-02-27-00000000125C043F57453246863FE664CAFE6A3F0700950291EA24F0614FB6ACEDB12BF0E31D00000000010C0000950291EA24F0614FB6ACEDB12BF0E31D00002087ADFE0000</t>
        </is>
      </c>
      <c r="C320" t="inlineStr">
        <is>
          <t>cmm4yuqcn03ghcuqwyey1nsdt</t>
        </is>
      </c>
      <c r="D320" t="inlineStr">
        <is>
          <t>http://localhost:8787/api/admin/requirements/documents/cmm4yuqcn03ghcuqwyey1nsdt/view</t>
        </is>
      </c>
      <c r="E320">
        <f>HYPERLÄNK("http://localhost:8787/api/admin/requirements/documents/cmm4yuqcn03ghcuqwyey1nsdt/view";"Öppna PDF")</f>
        <v/>
      </c>
      <c r="F320">
        <f>HYPERLINK("http://localhost:8787/api/admin/requirements/documents/cmm4yuqcn03ghcuqwyey1nsdt/view","Open PDF")</f>
        <v/>
      </c>
      <c r="G320" t="inlineStr">
        <is>
          <t>cmm55w57p0004cuisfrtpqly8</t>
        </is>
      </c>
      <c r="H320" t="inlineStr">
        <is>
          <t>Kompletteringskrav</t>
        </is>
      </c>
      <c r="I320" t="inlineStr">
        <is>
          <t>TransportLogistik</t>
        </is>
      </c>
      <c r="J320" t="inlineStr">
        <is>
          <t>Transportvagar</t>
        </is>
      </c>
      <c r="K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320" t="inlineStr">
        <is>
          <t>SKA</t>
        </is>
      </c>
      <c r="N320" t="inlineStr"/>
      <c r="O320" t="inlineStr">
        <is>
          <t>2024-05-20</t>
        </is>
      </c>
      <c r="P320" t="inlineStr">
        <is>
          <t>Arlig</t>
        </is>
      </c>
      <c r="Q320" t="inlineStr"/>
      <c r="R320" t="inlineStr">
        <is>
          <t>Vid transporter</t>
        </is>
      </c>
      <c r="S320" t="inlineStr"/>
      <c r="T320" t="inlineStr">
        <is>
          <t>559003</t>
        </is>
      </c>
      <c r="U320" t="inlineStr"/>
      <c r="V320" t="inlineStr"/>
      <c r="W320" t="inlineStr">
        <is>
          <t>Nej</t>
        </is>
      </c>
      <c r="X320" t="inlineStr">
        <is>
          <t>Nej</t>
        </is>
      </c>
      <c r="Y320" t="inlineStr">
        <is>
          <t>Nej</t>
        </is>
      </c>
      <c r="Z320" t="inlineStr">
        <is>
          <t>Ja</t>
        </is>
      </c>
      <c r="AA320" t="n">
        <v>9</v>
      </c>
      <c r="AB320" t="inlineStr">
        <is>
          <t>Transporter och logistik</t>
        </is>
      </c>
      <c r="AC320" t="inlineStr">
        <is>
          <t>Trafikplan</t>
        </is>
      </c>
      <c r="AD320" t="inlineStr">
        <is>
          <t>Nej</t>
        </is>
      </c>
      <c r="AE320" t="inlineStr">
        <is>
          <t>Nej</t>
        </is>
      </c>
      <c r="AF320" t="inlineStr">
        <is>
          <t>Ej behandlad</t>
        </is>
      </c>
      <c r="AG320" t="inlineStr">
        <is>
          <t>AUTO_GENERERAD. Verifiera citat mot kallfil.</t>
        </is>
      </c>
      <c r="AH320" t="inlineStr">
        <is>
          <t>MEDIUM</t>
        </is>
      </c>
      <c r="AI320" t="inlineStr">
        <is>
          <t>AUTO</t>
        </is>
      </c>
      <c r="AJ320" t="inlineStr">
        <is>
          <t>Nej</t>
        </is>
      </c>
      <c r="AK320" t="inlineStr"/>
      <c r="AL320" t="inlineStr"/>
      <c r="AM320" t="inlineStr"/>
      <c r="AN320" t="inlineStr"/>
      <c r="AO320" t="inlineStr">
        <is>
          <t>cmm4yuqd303gtcuqw3vlw8j3n</t>
        </is>
      </c>
      <c r="AP320" t="inlineStr">
        <is>
          <t>http://localhost:8787/api/admin/requirements/documents/cmm4yuqd303gtcuqw3vlw8j3n/view</t>
        </is>
      </c>
      <c r="AQ320">
        <f>HYPERLÄNK("http://localhost:8787/api/admin/requirements/documents/cmm4yuqd303gtcuqw3vlw8j3n/view";"Öppna PDF")</f>
        <v/>
      </c>
      <c r="AR320">
        <f>HYPERLINK("http://localhost:8787/api/admin/requirements/documents/cmm4yuqd303gtcuqw3vlw8j3n/view","Open PDF")</f>
        <v/>
      </c>
      <c r="AS320" t="inlineStr">
        <is>
          <t>cmm55w57p0004cuisfrtpqly8</t>
        </is>
      </c>
      <c r="AT320" t="inlineStr">
        <is>
          <t>cmm4xvu980000cuh4vj0usz09</t>
        </is>
      </c>
      <c r="AU320" t="inlineStr"/>
      <c r="AV320" t="inlineStr">
        <is>
          <t>Kommun</t>
        </is>
      </c>
      <c r="AW320" t="inlineStr"/>
      <c r="AX320" t="inlineStr"/>
      <c r="AY320" t="inlineStr">
        <is>
          <t>Anmalan</t>
        </is>
      </c>
      <c r="AZ320" t="inlineStr">
        <is>
          <t>2026-02-05</t>
        </is>
      </c>
      <c r="BA320" t="inlineStr">
        <is>
          <t>Styrning och kontroll - GIFA.pdf</t>
        </is>
      </c>
      <c r="BB320" t="inlineStr">
        <is>
          <t>Begäran om utlämnande av allmän handling – Anmälningar och beslut rörande mellanlagring av avfall samt anläggning av ytor</t>
        </is>
      </c>
      <c r="BC320" t="inlineStr">
        <is>
          <t>AUTO</t>
        </is>
      </c>
      <c r="BD320" t="inlineStr"/>
      <c r="BE320" t="inlineStr"/>
      <c r="BF320" t="inlineStr">
        <is>
          <t>AUTO_GENERERAD. Bekrafta metadata mot kallfil.</t>
        </is>
      </c>
      <c r="BG320">
        <f>HYPERLINK("C:\Users\jimmy\Desktop\Examens arbete\Kod\Ny mapp\remix_-copy-of-miljöbeslut.se-portal\Styrning och kontroll - GIFA.pdf", "Öppna PDF")</f>
        <v/>
      </c>
    </row>
    <row r="321">
      <c r="A321" t="inlineStr">
        <is>
          <t>KRAV-AUTO-000320</t>
        </is>
      </c>
      <c r="B321" t="inlineStr">
        <is>
          <t>ADMIN-INDEX-2026-02-27-00000000125C043F57453246863FE664CAFE6A3F0700950291EA24F0614FB6ACEDB12BF0E31D00000000010C0000950291EA24F0614FB6ACEDB12BF0E31D00002087ADFE0000</t>
        </is>
      </c>
      <c r="C321" t="inlineStr">
        <is>
          <t>cmm4yuqcn03ghcuqwyey1nsdt</t>
        </is>
      </c>
      <c r="D321" t="inlineStr">
        <is>
          <t>http://localhost:8787/api/admin/requirements/documents/cmm4yuqcn03ghcuqwyey1nsdt/view</t>
        </is>
      </c>
      <c r="E321">
        <f>HYPERLÄNK("http://localhost:8787/api/admin/requirements/documents/cmm4yuqcn03ghcuqwyey1nsdt/view";"Öppna PDF")</f>
        <v/>
      </c>
      <c r="F321">
        <f>HYPERLINK("http://localhost:8787/api/admin/requirements/documents/cmm4yuqcn03ghcuqwyey1nsdt/view","Open PDF")</f>
        <v/>
      </c>
      <c r="G321" t="inlineStr">
        <is>
          <t>cmm55w57p0004cuisfrtpqly8</t>
        </is>
      </c>
      <c r="H321" t="inlineStr">
        <is>
          <t>Kompletteringskrav</t>
        </is>
      </c>
      <c r="I321" t="inlineStr">
        <is>
          <t>Riskhantering</t>
        </is>
      </c>
      <c r="J321" t="inlineStr">
        <is>
          <t>Riskkontroll</t>
        </is>
      </c>
      <c r="K321" t="inlineStr">
        <is>
          <t>Utrustning som hanterar massorna rengörs efter hantering enligt rutin för minskad risk för spridning.</t>
        </is>
      </c>
      <c r="L321" t="inlineStr">
        <is>
          <t>Utrustning som hanterar massorna rengörs efter hantering enligt rutin för minskad risk för spridning.</t>
        </is>
      </c>
      <c r="M321" t="inlineStr">
        <is>
          <t>SKA</t>
        </is>
      </c>
      <c r="N321" t="inlineStr"/>
      <c r="O321" t="inlineStr"/>
      <c r="P321" t="inlineStr"/>
      <c r="Q321" t="inlineStr"/>
      <c r="R321" t="inlineStr">
        <is>
          <t>Vid risk for incident</t>
        </is>
      </c>
      <c r="S321" t="inlineStr"/>
      <c r="T321" t="inlineStr">
        <is>
          <t>559003</t>
        </is>
      </c>
      <c r="U321" t="inlineStr"/>
      <c r="V321" t="inlineStr"/>
      <c r="W321" t="inlineStr">
        <is>
          <t>Nej</t>
        </is>
      </c>
      <c r="X321" t="inlineStr">
        <is>
          <t>Nej</t>
        </is>
      </c>
      <c r="Y321" t="inlineStr">
        <is>
          <t>Ja</t>
        </is>
      </c>
      <c r="Z321" t="inlineStr">
        <is>
          <t>Ja</t>
        </is>
      </c>
      <c r="AA321" t="n">
        <v>8</v>
      </c>
      <c r="AB321" t="inlineStr">
        <is>
          <t>Riskhantering</t>
        </is>
      </c>
      <c r="AC321" t="inlineStr">
        <is>
          <t>Risk-PM</t>
        </is>
      </c>
      <c r="AD321" t="inlineStr">
        <is>
          <t>Nej</t>
        </is>
      </c>
      <c r="AE321" t="inlineStr">
        <is>
          <t>Nej</t>
        </is>
      </c>
      <c r="AF321" t="inlineStr">
        <is>
          <t>Ej behandlad</t>
        </is>
      </c>
      <c r="AG321" t="inlineStr">
        <is>
          <t>AUTO_GENERERAD. Verifiera citat mot kallfil.</t>
        </is>
      </c>
      <c r="AH321" t="inlineStr">
        <is>
          <t>MEDIUM</t>
        </is>
      </c>
      <c r="AI321" t="inlineStr">
        <is>
          <t>AUTO</t>
        </is>
      </c>
      <c r="AJ321" t="inlineStr">
        <is>
          <t>Nej</t>
        </is>
      </c>
      <c r="AK321" t="inlineStr"/>
      <c r="AL321" t="inlineStr"/>
      <c r="AM321" t="inlineStr"/>
      <c r="AN321" t="inlineStr"/>
      <c r="AO321" t="inlineStr">
        <is>
          <t>cmm4yuqd303gtcuqw3vlw8j3n</t>
        </is>
      </c>
      <c r="AP321" t="inlineStr">
        <is>
          <t>http://localhost:8787/api/admin/requirements/documents/cmm4yuqd303gtcuqw3vlw8j3n/view</t>
        </is>
      </c>
      <c r="AQ321">
        <f>HYPERLÄNK("http://localhost:8787/api/admin/requirements/documents/cmm4yuqd303gtcuqw3vlw8j3n/view";"Öppna PDF")</f>
        <v/>
      </c>
      <c r="AR321">
        <f>HYPERLINK("http://localhost:8787/api/admin/requirements/documents/cmm4yuqd303gtcuqw3vlw8j3n/view","Open PDF")</f>
        <v/>
      </c>
      <c r="AS321" t="inlineStr">
        <is>
          <t>cmm55w57p0004cuisfrtpqly8</t>
        </is>
      </c>
      <c r="AT321" t="inlineStr">
        <is>
          <t>cmm4xvu980000cuh4vj0usz09</t>
        </is>
      </c>
      <c r="AU321" t="inlineStr"/>
      <c r="AV321" t="inlineStr">
        <is>
          <t>Kommun</t>
        </is>
      </c>
      <c r="AW321" t="inlineStr"/>
      <c r="AX321" t="inlineStr"/>
      <c r="AY321" t="inlineStr">
        <is>
          <t>Anmalan</t>
        </is>
      </c>
      <c r="AZ321" t="inlineStr">
        <is>
          <t>2026-02-05</t>
        </is>
      </c>
      <c r="BA321" t="inlineStr">
        <is>
          <t>Styrning och kontroll - GIFA.pdf</t>
        </is>
      </c>
      <c r="BB321" t="inlineStr">
        <is>
          <t>Begäran om utlämnande av allmän handling – Anmälningar och beslut rörande mellanlagring av avfall samt anläggning av ytor</t>
        </is>
      </c>
      <c r="BC321" t="inlineStr">
        <is>
          <t>AUTO</t>
        </is>
      </c>
      <c r="BD321" t="inlineStr"/>
      <c r="BE321" t="inlineStr"/>
      <c r="BF321" t="inlineStr">
        <is>
          <t>AUTO_GENERERAD. Bekrafta metadata mot kallfil.</t>
        </is>
      </c>
      <c r="BG321">
        <f>HYPERLINK("C:\Users\jimmy\Desktop\Examens arbete\Kod\Ny mapp\remix_-copy-of-miljöbeslut.se-portal\Styrning och kontroll - GIFA.pdf", "Öppna PDF")</f>
        <v/>
      </c>
    </row>
    <row r="322">
      <c r="A322" t="inlineStr">
        <is>
          <t>KRAV-AUTO-000321</t>
        </is>
      </c>
      <c r="B322" t="inlineStr">
        <is>
          <t>ADMIN-INDEX-2026-02-27-00000000125C043F57453246863FE664CAFE6A3F0700950291EA24F0614FB6ACEDB12BF0E31D00000000010C0000950291EA24F0614FB6ACEDB12BF0E31D00002087AE060000</t>
        </is>
      </c>
      <c r="C322" t="inlineStr">
        <is>
          <t>cmm4yuqad03ekcuqwsjee53ix</t>
        </is>
      </c>
      <c r="D322" t="inlineStr">
        <is>
          <t>http://localhost:8787/api/admin/requirements/documents/cmm4yuqad03ekcuqwsjee53ix/view</t>
        </is>
      </c>
      <c r="E322">
        <f>HYPERLÄNK("http://localhost:8787/api/admin/requirements/documents/cmm4yuqad03ekcuqwsjee53ix/view";"Öppna PDF")</f>
        <v/>
      </c>
      <c r="F322">
        <f>HYPERLINK("http://localhost:8787/api/admin/requirements/documents/cmm4yuqad03ekcuqwsjee53ix/view","Open PDF")</f>
        <v/>
      </c>
      <c r="G322" t="inlineStr">
        <is>
          <t>cmm55w57p0004cuisfrtpqly8</t>
        </is>
      </c>
      <c r="H322" t="inlineStr">
        <is>
          <t>Beslutsvillkor</t>
        </is>
      </c>
      <c r="I322" t="inlineStr">
        <is>
          <t>Riskhantering</t>
        </is>
      </c>
      <c r="J322" t="inlineStr">
        <is>
          <t>Riskkontroll</t>
        </is>
      </c>
      <c r="K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322" t="inlineStr">
        <is>
          <t>SKA</t>
        </is>
      </c>
      <c r="N322" t="inlineStr"/>
      <c r="O322" t="inlineStr"/>
      <c r="P322" t="inlineStr"/>
      <c r="Q322" t="inlineStr"/>
      <c r="R322" t="inlineStr">
        <is>
          <t>Vid risk for incident</t>
        </is>
      </c>
      <c r="S322" t="inlineStr"/>
      <c r="T322" t="inlineStr">
        <is>
          <t>556569</t>
        </is>
      </c>
      <c r="U322" t="inlineStr"/>
      <c r="V322" t="inlineStr"/>
      <c r="W322" t="inlineStr">
        <is>
          <t>Nej</t>
        </is>
      </c>
      <c r="X322" t="inlineStr">
        <is>
          <t>Nej</t>
        </is>
      </c>
      <c r="Y322" t="inlineStr">
        <is>
          <t>Ja</t>
        </is>
      </c>
      <c r="Z322" t="inlineStr">
        <is>
          <t>Ja</t>
        </is>
      </c>
      <c r="AA322" t="n">
        <v>8</v>
      </c>
      <c r="AB322" t="inlineStr">
        <is>
          <t>Riskhantering</t>
        </is>
      </c>
      <c r="AC322" t="inlineStr">
        <is>
          <t>Risk-PM</t>
        </is>
      </c>
      <c r="AD322" t="inlineStr">
        <is>
          <t>Nej</t>
        </is>
      </c>
      <c r="AE322" t="inlineStr">
        <is>
          <t>Nej</t>
        </is>
      </c>
      <c r="AF322" t="inlineStr">
        <is>
          <t>Ej behandlad</t>
        </is>
      </c>
      <c r="AG322" t="inlineStr">
        <is>
          <t>AUTO_GENERERAD. Verifiera citat mot kallfil.</t>
        </is>
      </c>
      <c r="AH322" t="inlineStr">
        <is>
          <t>MEDIUM</t>
        </is>
      </c>
      <c r="AI322" t="inlineStr">
        <is>
          <t>AUTO</t>
        </is>
      </c>
      <c r="AJ322" t="inlineStr">
        <is>
          <t>Nej</t>
        </is>
      </c>
      <c r="AK322" t="inlineStr"/>
      <c r="AL322" t="inlineStr"/>
      <c r="AM322" t="inlineStr"/>
      <c r="AN322" t="inlineStr"/>
      <c r="AO322" t="inlineStr">
        <is>
          <t>cmm4yuqad03ekcuqwsjee53ix</t>
        </is>
      </c>
      <c r="AP322" t="inlineStr">
        <is>
          <t>http://localhost:8787/api/admin/requirements/documents/cmm4yuqad03ekcuqwsjee53ix/view</t>
        </is>
      </c>
      <c r="AQ322">
        <f>HYPERLÄNK("http://localhost:8787/api/admin/requirements/documents/cmm4yuqad03ekcuqwsjee53ix/view";"Öppna PDF")</f>
        <v/>
      </c>
      <c r="AR322">
        <f>HYPERLINK("http://localhost:8787/api/admin/requirements/documents/cmm4yuqad03ekcuqwsjee53ix/view","Open PDF")</f>
        <v/>
      </c>
      <c r="AS322" t="inlineStr">
        <is>
          <t>cmm55w57p0004cuisfrtpqly8</t>
        </is>
      </c>
      <c r="AT322" t="inlineStr">
        <is>
          <t>cmm4xvu980000cuh4vj0usz09</t>
        </is>
      </c>
      <c r="AU322" t="inlineStr">
        <is>
          <t>i Huddinge</t>
        </is>
      </c>
      <c r="AV322" t="inlineStr">
        <is>
          <t>Kommun</t>
        </is>
      </c>
      <c r="AW322" t="inlineStr">
        <is>
          <t>i Huddinge kommun</t>
        </is>
      </c>
      <c r="AX322" t="inlineStr">
        <is>
          <t>2025-03</t>
        </is>
      </c>
      <c r="AY322" t="inlineStr">
        <is>
          <t>Beslut</t>
        </is>
      </c>
      <c r="AZ322" t="inlineStr">
        <is>
          <t>2026-02-04</t>
        </is>
      </c>
      <c r="BA322" t="inlineStr">
        <is>
          <t>MILJ.2025.963.pdf</t>
        </is>
      </c>
      <c r="BB322" t="inlineStr">
        <is>
          <t>Sv: till registrator [2026SC9796]</t>
        </is>
      </c>
      <c r="BC322" t="inlineStr">
        <is>
          <t>AUTO</t>
        </is>
      </c>
      <c r="BD322" t="inlineStr"/>
      <c r="BE322" t="inlineStr"/>
      <c r="BF322" t="inlineStr">
        <is>
          <t>AUTO_GENERERAD. Bekrafta metadata mot kallfil.</t>
        </is>
      </c>
      <c r="BG322">
        <f>HYPERLINK("C:\Users\jimmy\Desktop\Examens arbete\Kod\Ny mapp\remix_-copy-of-miljöbeslut.se-portal\MILJ.2025.963.pdf", "Öppna PDF")</f>
        <v/>
      </c>
    </row>
    <row r="323">
      <c r="A323" t="inlineStr">
        <is>
          <t>KRAV-AUTO-000322</t>
        </is>
      </c>
      <c r="B323" t="inlineStr">
        <is>
          <t>ADMIN-INDEX-2026-02-27-00000000125C043F57453246863FE664CAFE6A3F0700950291EA24F0614FB6ACEDB12BF0E31D00000000010C0000950291EA24F0614FB6ACEDB12BF0E31D00002087AE060000</t>
        </is>
      </c>
      <c r="C323" t="inlineStr">
        <is>
          <t>cmm4yuqad03ekcuqwsjee53ix</t>
        </is>
      </c>
      <c r="D323" t="inlineStr">
        <is>
          <t>http://localhost:8787/api/admin/requirements/documents/cmm4yuqad03ekcuqwsjee53ix/view</t>
        </is>
      </c>
      <c r="E323">
        <f>HYPERLÄNK("http://localhost:8787/api/admin/requirements/documents/cmm4yuqad03ekcuqwsjee53ix/view";"Öppna PDF")</f>
        <v/>
      </c>
      <c r="F323">
        <f>HYPERLINK("http://localhost:8787/api/admin/requirements/documents/cmm4yuqad03ekcuqwsjee53ix/view","Open PDF")</f>
        <v/>
      </c>
      <c r="G323" t="inlineStr">
        <is>
          <t>cmm55w57p0004cuisfrtpqly8</t>
        </is>
      </c>
      <c r="H323" t="inlineStr">
        <is>
          <t>Beslutsvillkor</t>
        </is>
      </c>
      <c r="I323" t="inlineStr">
        <is>
          <t>Riskhantering</t>
        </is>
      </c>
      <c r="J323" t="inlineStr">
        <is>
          <t>Riskkontroll</t>
        </is>
      </c>
      <c r="K323" t="inlineStr">
        <is>
          <t>Verksamhetskoder 90.60 gällande lagring av elektriska eller elektroniska produkter (inklusive kabel) samt batterier.</t>
        </is>
      </c>
      <c r="L323" t="inlineStr">
        <is>
          <t>Verksamhetskoder 90.60 gällande lagring av elektriska eller elektroniska produkter (inklusive kabel) samt batterier.</t>
        </is>
      </c>
      <c r="M323" t="inlineStr">
        <is>
          <t>SKA</t>
        </is>
      </c>
      <c r="N323" t="inlineStr"/>
      <c r="O323" t="inlineStr"/>
      <c r="P323" t="inlineStr"/>
      <c r="Q323" t="inlineStr"/>
      <c r="R323" t="inlineStr">
        <is>
          <t>Vid risk for incident</t>
        </is>
      </c>
      <c r="S323" t="inlineStr"/>
      <c r="T323" t="inlineStr">
        <is>
          <t>556569</t>
        </is>
      </c>
      <c r="U323" t="inlineStr"/>
      <c r="V323" t="inlineStr"/>
      <c r="W323" t="inlineStr">
        <is>
          <t>Nej</t>
        </is>
      </c>
      <c r="X323" t="inlineStr">
        <is>
          <t>Nej</t>
        </is>
      </c>
      <c r="Y323" t="inlineStr">
        <is>
          <t>Ja</t>
        </is>
      </c>
      <c r="Z323" t="inlineStr">
        <is>
          <t>Ja</t>
        </is>
      </c>
      <c r="AA323" t="n">
        <v>8</v>
      </c>
      <c r="AB323" t="inlineStr">
        <is>
          <t>Riskhantering</t>
        </is>
      </c>
      <c r="AC323" t="inlineStr">
        <is>
          <t>Risk-PM</t>
        </is>
      </c>
      <c r="AD323" t="inlineStr">
        <is>
          <t>Nej</t>
        </is>
      </c>
      <c r="AE323" t="inlineStr">
        <is>
          <t>Nej</t>
        </is>
      </c>
      <c r="AF323" t="inlineStr">
        <is>
          <t>Ej behandlad</t>
        </is>
      </c>
      <c r="AG323" t="inlineStr">
        <is>
          <t>AUTO_GENERERAD. Verifiera citat mot kallfil.</t>
        </is>
      </c>
      <c r="AH323" t="inlineStr">
        <is>
          <t>MEDIUM</t>
        </is>
      </c>
      <c r="AI323" t="inlineStr">
        <is>
          <t>AUTO</t>
        </is>
      </c>
      <c r="AJ323" t="inlineStr">
        <is>
          <t>Nej</t>
        </is>
      </c>
      <c r="AK323" t="inlineStr"/>
      <c r="AL323" t="inlineStr"/>
      <c r="AM323" t="inlineStr"/>
      <c r="AN323" t="inlineStr"/>
      <c r="AO323" t="inlineStr">
        <is>
          <t>cmm4yuqad03ekcuqwsjee53ix</t>
        </is>
      </c>
      <c r="AP323" t="inlineStr">
        <is>
          <t>http://localhost:8787/api/admin/requirements/documents/cmm4yuqad03ekcuqwsjee53ix/view</t>
        </is>
      </c>
      <c r="AQ323">
        <f>HYPERLÄNK("http://localhost:8787/api/admin/requirements/documents/cmm4yuqad03ekcuqwsjee53ix/view";"Öppna PDF")</f>
        <v/>
      </c>
      <c r="AR323">
        <f>HYPERLINK("http://localhost:8787/api/admin/requirements/documents/cmm4yuqad03ekcuqwsjee53ix/view","Open PDF")</f>
        <v/>
      </c>
      <c r="AS323" t="inlineStr">
        <is>
          <t>cmm55w57p0004cuisfrtpqly8</t>
        </is>
      </c>
      <c r="AT323" t="inlineStr">
        <is>
          <t>cmm4xvu980000cuh4vj0usz09</t>
        </is>
      </c>
      <c r="AU323" t="inlineStr">
        <is>
          <t>i Huddinge</t>
        </is>
      </c>
      <c r="AV323" t="inlineStr">
        <is>
          <t>Kommun</t>
        </is>
      </c>
      <c r="AW323" t="inlineStr">
        <is>
          <t>i Huddinge kommun</t>
        </is>
      </c>
      <c r="AX323" t="inlineStr">
        <is>
          <t>2025-03</t>
        </is>
      </c>
      <c r="AY323" t="inlineStr">
        <is>
          <t>Beslut</t>
        </is>
      </c>
      <c r="AZ323" t="inlineStr">
        <is>
          <t>2026-02-04</t>
        </is>
      </c>
      <c r="BA323" t="inlineStr">
        <is>
          <t>MILJ.2025.963.pdf</t>
        </is>
      </c>
      <c r="BB323" t="inlineStr">
        <is>
          <t>Sv: till registrator [2026SC9796]</t>
        </is>
      </c>
      <c r="BC323" t="inlineStr">
        <is>
          <t>AUTO</t>
        </is>
      </c>
      <c r="BD323" t="inlineStr"/>
      <c r="BE323" t="inlineStr"/>
      <c r="BF323" t="inlineStr">
        <is>
          <t>AUTO_GENERERAD. Bekrafta metadata mot kallfil.</t>
        </is>
      </c>
      <c r="BG323">
        <f>HYPERLINK("C:\Users\jimmy\Desktop\Examens arbete\Kod\Ny mapp\remix_-copy-of-miljöbeslut.se-portal\MILJ.2025.963.pdf", "Öppna PDF")</f>
        <v/>
      </c>
    </row>
    <row r="324">
      <c r="A324" t="inlineStr">
        <is>
          <t>KRAV-AUTO-000323</t>
        </is>
      </c>
      <c r="B324" t="inlineStr">
        <is>
          <t>ADMIN-INDEX-2026-02-27-00000000125C043F57453246863FE664CAFE6A3F0700950291EA24F0614FB6ACEDB12BF0E31D00000000010C0000950291EA24F0614FB6ACEDB12BF0E31D00002087AE060000</t>
        </is>
      </c>
      <c r="C324" t="inlineStr">
        <is>
          <t>cmm4yuqad03ekcuqwsjee53ix</t>
        </is>
      </c>
      <c r="D324" t="inlineStr">
        <is>
          <t>http://localhost:8787/api/admin/requirements/documents/cmm4yuqad03ekcuqwsjee53ix/view</t>
        </is>
      </c>
      <c r="E324">
        <f>HYPERLÄNK("http://localhost:8787/api/admin/requirements/documents/cmm4yuqad03ekcuqwsjee53ix/view";"Öppna PDF")</f>
        <v/>
      </c>
      <c r="F324">
        <f>HYPERLINK("http://localhost:8787/api/admin/requirements/documents/cmm4yuqad03ekcuqwsjee53ix/view","Open PDF")</f>
        <v/>
      </c>
      <c r="G324" t="inlineStr">
        <is>
          <t>cmm55w57p0004cuisfrtpqly8</t>
        </is>
      </c>
      <c r="H324" t="inlineStr">
        <is>
          <t>Beslutsvillkor</t>
        </is>
      </c>
      <c r="I324" t="inlineStr">
        <is>
          <t>Riskhantering</t>
        </is>
      </c>
      <c r="J324" t="inlineStr">
        <is>
          <t>Riskkontroll</t>
        </is>
      </c>
      <c r="K324" t="inlineStr">
        <is>
          <t>Nr 556569 2414) bedriver sedan 2023 återvinningsverksamhet med inriktning på återbruk (reuse) av elektriska och elektronisk utrustning på fastigheten LYFTKRANEN 2 i Huddinge kommun.</t>
        </is>
      </c>
      <c r="L324" t="inlineStr">
        <is>
          <t>Nr 556569 2414) bedriver sedan 2023 återvinningsverksamhet med inriktning på återbruk (reuse) av elektriska och elektronisk utrustning på fastigheten LYFTKRANEN 2 i Huddinge kommun.</t>
        </is>
      </c>
      <c r="M324" t="inlineStr">
        <is>
          <t>SKA</t>
        </is>
      </c>
      <c r="N324" t="inlineStr"/>
      <c r="O324" t="inlineStr"/>
      <c r="P324" t="inlineStr"/>
      <c r="Q324" t="inlineStr"/>
      <c r="R324" t="inlineStr">
        <is>
          <t>Vid risk for incident</t>
        </is>
      </c>
      <c r="S324" t="inlineStr"/>
      <c r="T324" t="inlineStr">
        <is>
          <t>556569</t>
        </is>
      </c>
      <c r="U324" t="inlineStr"/>
      <c r="V324" t="inlineStr"/>
      <c r="W324" t="inlineStr">
        <is>
          <t>Nej</t>
        </is>
      </c>
      <c r="X324" t="inlineStr">
        <is>
          <t>Nej</t>
        </is>
      </c>
      <c r="Y324" t="inlineStr">
        <is>
          <t>Ja</t>
        </is>
      </c>
      <c r="Z324" t="inlineStr">
        <is>
          <t>Ja</t>
        </is>
      </c>
      <c r="AA324" t="n">
        <v>8</v>
      </c>
      <c r="AB324" t="inlineStr">
        <is>
          <t>Riskhantering</t>
        </is>
      </c>
      <c r="AC324" t="inlineStr">
        <is>
          <t>Risk-PM</t>
        </is>
      </c>
      <c r="AD324" t="inlineStr">
        <is>
          <t>Nej</t>
        </is>
      </c>
      <c r="AE324" t="inlineStr">
        <is>
          <t>Nej</t>
        </is>
      </c>
      <c r="AF324" t="inlineStr">
        <is>
          <t>Ej behandlad</t>
        </is>
      </c>
      <c r="AG324" t="inlineStr">
        <is>
          <t>AUTO_GENERERAD. Verifiera citat mot kallfil.</t>
        </is>
      </c>
      <c r="AH324" t="inlineStr">
        <is>
          <t>MEDIUM</t>
        </is>
      </c>
      <c r="AI324" t="inlineStr">
        <is>
          <t>AUTO</t>
        </is>
      </c>
      <c r="AJ324" t="inlineStr">
        <is>
          <t>Nej</t>
        </is>
      </c>
      <c r="AK324" t="inlineStr"/>
      <c r="AL324" t="inlineStr"/>
      <c r="AM324" t="inlineStr"/>
      <c r="AN324" t="inlineStr"/>
      <c r="AO324" t="inlineStr">
        <is>
          <t>cmm4yuqad03ekcuqwsjee53ix</t>
        </is>
      </c>
      <c r="AP324" t="inlineStr">
        <is>
          <t>http://localhost:8787/api/admin/requirements/documents/cmm4yuqad03ekcuqwsjee53ix/view</t>
        </is>
      </c>
      <c r="AQ324">
        <f>HYPERLÄNK("http://localhost:8787/api/admin/requirements/documents/cmm4yuqad03ekcuqwsjee53ix/view";"Öppna PDF")</f>
        <v/>
      </c>
      <c r="AR324">
        <f>HYPERLINK("http://localhost:8787/api/admin/requirements/documents/cmm4yuqad03ekcuqwsjee53ix/view","Open PDF")</f>
        <v/>
      </c>
      <c r="AS324" t="inlineStr">
        <is>
          <t>cmm55w57p0004cuisfrtpqly8</t>
        </is>
      </c>
      <c r="AT324" t="inlineStr">
        <is>
          <t>cmm4xvu980000cuh4vj0usz09</t>
        </is>
      </c>
      <c r="AU324" t="inlineStr">
        <is>
          <t>i Huddinge</t>
        </is>
      </c>
      <c r="AV324" t="inlineStr">
        <is>
          <t>Kommun</t>
        </is>
      </c>
      <c r="AW324" t="inlineStr">
        <is>
          <t>i Huddinge kommun</t>
        </is>
      </c>
      <c r="AX324" t="inlineStr">
        <is>
          <t>2025-03</t>
        </is>
      </c>
      <c r="AY324" t="inlineStr">
        <is>
          <t>Beslut</t>
        </is>
      </c>
      <c r="AZ324" t="inlineStr">
        <is>
          <t>2026-02-04</t>
        </is>
      </c>
      <c r="BA324" t="inlineStr">
        <is>
          <t>MILJ.2025.963.pdf</t>
        </is>
      </c>
      <c r="BB324" t="inlineStr">
        <is>
          <t>Sv: till registrator [2026SC9796]</t>
        </is>
      </c>
      <c r="BC324" t="inlineStr">
        <is>
          <t>AUTO</t>
        </is>
      </c>
      <c r="BD324" t="inlineStr"/>
      <c r="BE324" t="inlineStr"/>
      <c r="BF324" t="inlineStr">
        <is>
          <t>AUTO_GENERERAD. Bekrafta metadata mot kallfil.</t>
        </is>
      </c>
      <c r="BG324">
        <f>HYPERLINK("C:\Users\jimmy\Desktop\Examens arbete\Kod\Ny mapp\remix_-copy-of-miljöbeslut.se-portal\MILJ.2025.963.pdf", "Öppna PDF")</f>
        <v/>
      </c>
    </row>
    <row r="325">
      <c r="A325" t="inlineStr">
        <is>
          <t>KRAV-AUTO-000324</t>
        </is>
      </c>
      <c r="B325" t="inlineStr">
        <is>
          <t>ADMIN-INDEX-2026-02-27-00000000125C043F57453246863FE664CAFE6A3F0700950291EA24F0614FB6ACEDB12BF0E31D00000000010C0000950291EA24F0614FB6ACEDB12BF0E31D00002087AE100000</t>
        </is>
      </c>
      <c r="C325" t="inlineStr">
        <is>
          <t>cmm4yuq7u03c2cuqwlx068jjt</t>
        </is>
      </c>
      <c r="D325" t="inlineStr">
        <is>
          <t>http://localhost:8787/api/admin/requirements/documents/cmm4yuq7u03c2cuqwlx068jjt/view</t>
        </is>
      </c>
      <c r="E325">
        <f>HYPERLÄNK("http://localhost:8787/api/admin/requirements/documents/cmm4yuq7u03c2cuqwlx068jjt/view";"Öppna PDF")</f>
        <v/>
      </c>
      <c r="F325">
        <f>HYPERLINK("http://localhost:8787/api/admin/requirements/documents/cmm4yuq7u03c2cuqwlx068jjt/view","Open PDF")</f>
        <v/>
      </c>
      <c r="G325" t="inlineStr">
        <is>
          <t>cmm55w57p0004cuisfrtpqly8</t>
        </is>
      </c>
      <c r="H325" t="inlineStr">
        <is>
          <t>Informationskrav</t>
        </is>
      </c>
      <c r="I325" t="inlineStr">
        <is>
          <t>MiljopaverkanForsiktighet</t>
        </is>
      </c>
      <c r="J325" t="inlineStr">
        <is>
          <t>Skyddsatgarder</t>
        </is>
      </c>
      <c r="K325" t="inlineStr">
        <is>
          <t>Con- tainrar och kärl kommer att placeras ut på platsen för att boende i närområ- det enkelt ska kunna lämna sitt trädgårdsavfall.</t>
        </is>
      </c>
      <c r="L325" t="inlineStr">
        <is>
          <t>Con- tainrar och kärl kommer att placeras ut på platsen för att boende i närområ- det enkelt ska kunna lämna sitt trädgårdsavfall.</t>
        </is>
      </c>
      <c r="M325" t="inlineStr">
        <is>
          <t>SKA</t>
        </is>
      </c>
      <c r="N325" t="inlineStr">
        <is>
          <t>FMH</t>
        </is>
      </c>
      <c r="O325" t="inlineStr"/>
      <c r="P325" t="inlineStr"/>
      <c r="Q325" t="inlineStr"/>
      <c r="R325" t="inlineStr">
        <is>
          <t>Alltid</t>
        </is>
      </c>
      <c r="S325" t="inlineStr"/>
      <c r="T325" t="inlineStr">
        <is>
          <t>143000</t>
        </is>
      </c>
      <c r="U325" t="inlineStr"/>
      <c r="V325" t="inlineStr"/>
      <c r="W325" t="inlineStr">
        <is>
          <t>Nej</t>
        </is>
      </c>
      <c r="X325" t="inlineStr">
        <is>
          <t>Nej</t>
        </is>
      </c>
      <c r="Y325" t="inlineStr">
        <is>
          <t>Nej</t>
        </is>
      </c>
      <c r="Z325" t="inlineStr">
        <is>
          <t>Nej</t>
        </is>
      </c>
      <c r="AA325" t="n">
        <v>10</v>
      </c>
      <c r="AB325" t="inlineStr">
        <is>
          <t>Miljopaverkan och forsiktighetsmatt</t>
        </is>
      </c>
      <c r="AC325" t="inlineStr">
        <is>
          <t>Miljo-PM</t>
        </is>
      </c>
      <c r="AD325" t="inlineStr">
        <is>
          <t>Nej</t>
        </is>
      </c>
      <c r="AE325" t="inlineStr">
        <is>
          <t>Nej</t>
        </is>
      </c>
      <c r="AF325" t="inlineStr">
        <is>
          <t>Ej behandlad</t>
        </is>
      </c>
      <c r="AG325" t="inlineStr">
        <is>
          <t>AUTO_GENERERAD. Verifiera citat mot kallfil.</t>
        </is>
      </c>
      <c r="AH325" t="inlineStr">
        <is>
          <t>HIGH</t>
        </is>
      </c>
      <c r="AI325" t="inlineStr">
        <is>
          <t>AUTO</t>
        </is>
      </c>
      <c r="AJ325" t="inlineStr">
        <is>
          <t>Nej</t>
        </is>
      </c>
      <c r="AK325" t="inlineStr"/>
      <c r="AL325" t="inlineStr"/>
      <c r="AM325" t="inlineStr"/>
      <c r="AN325" t="inlineStr"/>
      <c r="AO325" t="inlineStr">
        <is>
          <t>cmm4yuq7u03c2cuqwlx068jjt</t>
        </is>
      </c>
      <c r="AP325" t="inlineStr">
        <is>
          <t>http://localhost:8787/api/admin/requirements/documents/cmm4yuq7u03c2cuqwlx068jjt/view</t>
        </is>
      </c>
      <c r="AQ325">
        <f>HYPERLÄNK("http://localhost:8787/api/admin/requirements/documents/cmm4yuq7u03c2cuqwlx068jjt/view";"Öppna PDF")</f>
        <v/>
      </c>
      <c r="AR325">
        <f>HYPERLINK("http://localhost:8787/api/admin/requirements/documents/cmm4yuq7u03c2cuqwlx068jjt/view","Open PDF")</f>
        <v/>
      </c>
      <c r="AS325" t="inlineStr">
        <is>
          <t>cmm55w57p0004cuisfrtpqly8</t>
        </is>
      </c>
      <c r="AT325" t="inlineStr">
        <is>
          <t>cmm4xvu980000cuh4vj0usz09</t>
        </is>
      </c>
      <c r="AU325" t="inlineStr">
        <is>
          <t>Östersunds</t>
        </is>
      </c>
      <c r="AV325" t="inlineStr">
        <is>
          <t>Kommun</t>
        </is>
      </c>
      <c r="AW325" t="inlineStr">
        <is>
          <t>Östersunds kommun</t>
        </is>
      </c>
      <c r="AX325" t="inlineStr">
        <is>
          <t>2025-07</t>
        </is>
      </c>
      <c r="AY325" t="inlineStr">
        <is>
          <t>Anmalan</t>
        </is>
      </c>
      <c r="AZ325" t="inlineStr">
        <is>
          <t>2026-02-04</t>
        </is>
      </c>
      <c r="BA325" t="inlineStr">
        <is>
          <t>Handlingar för ärende TN-00592-2025.pdf</t>
        </is>
      </c>
      <c r="BB325" t="inlineStr">
        <is>
          <t>Handlingar för ärende TN-00592-2025, Anmälan av miljöfarlig verksamhet - Tillfällig insamling av trädgårdsavfall Frösön - Frösö-Berge 21:212</t>
        </is>
      </c>
      <c r="BC325" t="inlineStr">
        <is>
          <t>AUTO</t>
        </is>
      </c>
      <c r="BD325" t="inlineStr"/>
      <c r="BE325" t="inlineStr"/>
      <c r="BF325" t="inlineStr">
        <is>
          <t>AUTO_GENERERAD. Bekrafta metadata mot kallfil.</t>
        </is>
      </c>
      <c r="BG325">
        <f>HYPERLINK("C:\Users\jimmy\Desktop\Examens arbete\Kod\Ny mapp\remix_-copy-of-miljöbeslut.se-portal\Handlingar för ärende TN-00592-2025.pdf", "Öppna PDF")</f>
        <v/>
      </c>
    </row>
    <row r="326">
      <c r="A326" t="inlineStr">
        <is>
          <t>KRAV-AUTO-000325</t>
        </is>
      </c>
      <c r="B326" t="inlineStr">
        <is>
          <t>ADMIN-INDEX-2026-02-27-00000000125C043F57453246863FE664CAFE6A3F0700950291EA24F0614FB6ACEDB12BF0E31D00000000010C0000950291EA24F0614FB6ACEDB12BF0E31D00002087AE100000</t>
        </is>
      </c>
      <c r="C326" t="inlineStr">
        <is>
          <t>cmm4yuq7u03c2cuqwlx068jjt</t>
        </is>
      </c>
      <c r="D326" t="inlineStr">
        <is>
          <t>http://localhost:8787/api/admin/requirements/documents/cmm4yuq7u03c2cuqwlx068jjt/view</t>
        </is>
      </c>
      <c r="E326">
        <f>HYPERLÄNK("http://localhost:8787/api/admin/requirements/documents/cmm4yuq7u03c2cuqwlx068jjt/view";"Öppna PDF")</f>
        <v/>
      </c>
      <c r="F326">
        <f>HYPERLINK("http://localhost:8787/api/admin/requirements/documents/cmm4yuq7u03c2cuqwlx068jjt/view","Open PDF")</f>
        <v/>
      </c>
      <c r="G326" t="inlineStr">
        <is>
          <t>cmm55w57p0004cuisfrtpqly8</t>
        </is>
      </c>
      <c r="H326" t="inlineStr">
        <is>
          <t>Informationskrav</t>
        </is>
      </c>
      <c r="I326" t="inlineStr">
        <is>
          <t>MiljopaverkanForsiktighet</t>
        </is>
      </c>
      <c r="J326" t="inlineStr">
        <is>
          <t>Skyddsatgarder</t>
        </is>
      </c>
      <c r="K326" t="inlineStr">
        <is>
          <t>Nämnden anser att det är viktigt att det inte står kvar några containrar/kärl under övrig tid för att inte allmänheten ska få uppfattningen att det är en permanent läm- ningsplats för trädgårdsavfall.</t>
        </is>
      </c>
      <c r="L326" t="inlineStr">
        <is>
          <t>Nämnden anser att det är viktigt att det inte står kvar några containrar/kärl under övrig tid för att inte allmänheten ska få uppfattningen att det är en permanent läm- ningsplats för trädgårdsavfall.</t>
        </is>
      </c>
      <c r="M326" t="inlineStr">
        <is>
          <t>SKA</t>
        </is>
      </c>
      <c r="N326" t="inlineStr">
        <is>
          <t>FMH</t>
        </is>
      </c>
      <c r="O326" t="inlineStr"/>
      <c r="P326" t="inlineStr"/>
      <c r="Q326" t="inlineStr"/>
      <c r="R326" t="inlineStr">
        <is>
          <t>Alltid</t>
        </is>
      </c>
      <c r="S326" t="inlineStr"/>
      <c r="T326" t="inlineStr">
        <is>
          <t>143000</t>
        </is>
      </c>
      <c r="U326" t="inlineStr"/>
      <c r="V326" t="inlineStr"/>
      <c r="W326" t="inlineStr">
        <is>
          <t>Nej</t>
        </is>
      </c>
      <c r="X326" t="inlineStr">
        <is>
          <t>Nej</t>
        </is>
      </c>
      <c r="Y326" t="inlineStr">
        <is>
          <t>Nej</t>
        </is>
      </c>
      <c r="Z326" t="inlineStr">
        <is>
          <t>Nej</t>
        </is>
      </c>
      <c r="AA326" t="n">
        <v>10</v>
      </c>
      <c r="AB326" t="inlineStr">
        <is>
          <t>Miljopaverkan och forsiktighetsmatt</t>
        </is>
      </c>
      <c r="AC326" t="inlineStr">
        <is>
          <t>Miljo-PM</t>
        </is>
      </c>
      <c r="AD326" t="inlineStr">
        <is>
          <t>Nej</t>
        </is>
      </c>
      <c r="AE326" t="inlineStr">
        <is>
          <t>Nej</t>
        </is>
      </c>
      <c r="AF326" t="inlineStr">
        <is>
          <t>Ej behandlad</t>
        </is>
      </c>
      <c r="AG326" t="inlineStr">
        <is>
          <t>AUTO_GENERERAD. Verifiera citat mot kallfil.</t>
        </is>
      </c>
      <c r="AH326" t="inlineStr">
        <is>
          <t>HIGH</t>
        </is>
      </c>
      <c r="AI326" t="inlineStr">
        <is>
          <t>AUTO</t>
        </is>
      </c>
      <c r="AJ326" t="inlineStr">
        <is>
          <t>Nej</t>
        </is>
      </c>
      <c r="AK326" t="inlineStr"/>
      <c r="AL326" t="inlineStr"/>
      <c r="AM326" t="inlineStr"/>
      <c r="AN326" t="inlineStr"/>
      <c r="AO326" t="inlineStr">
        <is>
          <t>cmm4yuq7u03c2cuqwlx068jjt</t>
        </is>
      </c>
      <c r="AP326" t="inlineStr">
        <is>
          <t>http://localhost:8787/api/admin/requirements/documents/cmm4yuq7u03c2cuqwlx068jjt/view</t>
        </is>
      </c>
      <c r="AQ326">
        <f>HYPERLÄNK("http://localhost:8787/api/admin/requirements/documents/cmm4yuq7u03c2cuqwlx068jjt/view";"Öppna PDF")</f>
        <v/>
      </c>
      <c r="AR326">
        <f>HYPERLINK("http://localhost:8787/api/admin/requirements/documents/cmm4yuq7u03c2cuqwlx068jjt/view","Open PDF")</f>
        <v/>
      </c>
      <c r="AS326" t="inlineStr">
        <is>
          <t>cmm55w57p0004cuisfrtpqly8</t>
        </is>
      </c>
      <c r="AT326" t="inlineStr">
        <is>
          <t>cmm4xvu980000cuh4vj0usz09</t>
        </is>
      </c>
      <c r="AU326" t="inlineStr">
        <is>
          <t>Östersunds</t>
        </is>
      </c>
      <c r="AV326" t="inlineStr">
        <is>
          <t>Kommun</t>
        </is>
      </c>
      <c r="AW326" t="inlineStr">
        <is>
          <t>Östersunds kommun</t>
        </is>
      </c>
      <c r="AX326" t="inlineStr">
        <is>
          <t>2025-07</t>
        </is>
      </c>
      <c r="AY326" t="inlineStr">
        <is>
          <t>Anmalan</t>
        </is>
      </c>
      <c r="AZ326" t="inlineStr">
        <is>
          <t>2026-02-04</t>
        </is>
      </c>
      <c r="BA326" t="inlineStr">
        <is>
          <t>Handlingar för ärende TN-00592-2025.pdf</t>
        </is>
      </c>
      <c r="BB326" t="inlineStr">
        <is>
          <t>Handlingar för ärende TN-00592-2025, Anmälan av miljöfarlig verksamhet - Tillfällig insamling av trädgårdsavfall Frösön - Frösö-Berge 21:212</t>
        </is>
      </c>
      <c r="BC326" t="inlineStr">
        <is>
          <t>AUTO</t>
        </is>
      </c>
      <c r="BD326" t="inlineStr"/>
      <c r="BE326" t="inlineStr"/>
      <c r="BF326" t="inlineStr">
        <is>
          <t>AUTO_GENERERAD. Bekrafta metadata mot kallfil.</t>
        </is>
      </c>
      <c r="BG326">
        <f>HYPERLINK("C:\Users\jimmy\Desktop\Examens arbete\Kod\Ny mapp\remix_-copy-of-miljöbeslut.se-portal\Handlingar för ärende TN-00592-2025.pdf", "Öppna PDF")</f>
        <v/>
      </c>
    </row>
    <row r="327">
      <c r="A327" t="inlineStr">
        <is>
          <t>KRAV-AUTO-000326</t>
        </is>
      </c>
      <c r="B327" t="inlineStr">
        <is>
          <t>ADMIN-INDEX-2026-02-27-00000000125C043F57453246863FE664CAFE6A3F0700950291EA24F0614FB6ACEDB12BF0E31D00000000010C0000950291EA24F0614FB6ACEDB12BF0E31D00002087AE100000</t>
        </is>
      </c>
      <c r="C327" t="inlineStr">
        <is>
          <t>cmm4yuq7u03c2cuqwlx068jjt</t>
        </is>
      </c>
      <c r="D327" t="inlineStr">
        <is>
          <t>http://localhost:8787/api/admin/requirements/documents/cmm4yuq7u03c2cuqwlx068jjt/view</t>
        </is>
      </c>
      <c r="E327">
        <f>HYPERLÄNK("http://localhost:8787/api/admin/requirements/documents/cmm4yuq7u03c2cuqwlx068jjt/view";"Öppna PDF")</f>
        <v/>
      </c>
      <c r="F327">
        <f>HYPERLINK("http://localhost:8787/api/admin/requirements/documents/cmm4yuq7u03c2cuqwlx068jjt/view","Open PDF")</f>
        <v/>
      </c>
      <c r="G327" t="inlineStr">
        <is>
          <t>cmm55w57p0004cuisfrtpqly8</t>
        </is>
      </c>
      <c r="H327" t="inlineStr">
        <is>
          <t>Informationskrav</t>
        </is>
      </c>
      <c r="I327" t="inlineStr">
        <is>
          <t>Riskhantering</t>
        </is>
      </c>
      <c r="J327" t="inlineStr">
        <is>
          <t>Riskkontroll</t>
        </is>
      </c>
      <c r="K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327" t="inlineStr">
        <is>
          <t>SKA</t>
        </is>
      </c>
      <c r="N327" t="inlineStr">
        <is>
          <t>FMH</t>
        </is>
      </c>
      <c r="O327" t="inlineStr">
        <is>
          <t>2025-05-02</t>
        </is>
      </c>
      <c r="P327" t="inlineStr"/>
      <c r="Q327" t="inlineStr"/>
      <c r="R327" t="inlineStr">
        <is>
          <t>Vid risk for incident</t>
        </is>
      </c>
      <c r="S327" t="inlineStr"/>
      <c r="T327" t="inlineStr">
        <is>
          <t>143000</t>
        </is>
      </c>
      <c r="U327" t="inlineStr"/>
      <c r="V327" t="inlineStr"/>
      <c r="W327" t="inlineStr">
        <is>
          <t>Nej</t>
        </is>
      </c>
      <c r="X327" t="inlineStr">
        <is>
          <t>Nej</t>
        </is>
      </c>
      <c r="Y327" t="inlineStr">
        <is>
          <t>Ja</t>
        </is>
      </c>
      <c r="Z327" t="inlineStr">
        <is>
          <t>Ja</t>
        </is>
      </c>
      <c r="AA327" t="n">
        <v>8</v>
      </c>
      <c r="AB327" t="inlineStr">
        <is>
          <t>Riskhantering</t>
        </is>
      </c>
      <c r="AC327" t="inlineStr">
        <is>
          <t>Risk-PM</t>
        </is>
      </c>
      <c r="AD327" t="inlineStr">
        <is>
          <t>Nej</t>
        </is>
      </c>
      <c r="AE327" t="inlineStr">
        <is>
          <t>Nej</t>
        </is>
      </c>
      <c r="AF327" t="inlineStr">
        <is>
          <t>Ej behandlad</t>
        </is>
      </c>
      <c r="AG327" t="inlineStr">
        <is>
          <t>AUTO_GENERERAD. Verifiera citat mot kallfil.</t>
        </is>
      </c>
      <c r="AH327" t="inlineStr">
        <is>
          <t>HIGH</t>
        </is>
      </c>
      <c r="AI327" t="inlineStr">
        <is>
          <t>AUTO</t>
        </is>
      </c>
      <c r="AJ327" t="inlineStr">
        <is>
          <t>Nej</t>
        </is>
      </c>
      <c r="AK327" t="inlineStr"/>
      <c r="AL327" t="inlineStr"/>
      <c r="AM327" t="inlineStr"/>
      <c r="AN327" t="inlineStr"/>
      <c r="AO327" t="inlineStr">
        <is>
          <t>cmm4yuq7u03c2cuqwlx068jjt</t>
        </is>
      </c>
      <c r="AP327" t="inlineStr">
        <is>
          <t>http://localhost:8787/api/admin/requirements/documents/cmm4yuq7u03c2cuqwlx068jjt/view</t>
        </is>
      </c>
      <c r="AQ327">
        <f>HYPERLÄNK("http://localhost:8787/api/admin/requirements/documents/cmm4yuq7u03c2cuqwlx068jjt/view";"Öppna PDF")</f>
        <v/>
      </c>
      <c r="AR327">
        <f>HYPERLINK("http://localhost:8787/api/admin/requirements/documents/cmm4yuq7u03c2cuqwlx068jjt/view","Open PDF")</f>
        <v/>
      </c>
      <c r="AS327" t="inlineStr">
        <is>
          <t>cmm55w57p0004cuisfrtpqly8</t>
        </is>
      </c>
      <c r="AT327" t="inlineStr">
        <is>
          <t>cmm4xvu980000cuh4vj0usz09</t>
        </is>
      </c>
      <c r="AU327" t="inlineStr">
        <is>
          <t>Östersunds</t>
        </is>
      </c>
      <c r="AV327" t="inlineStr">
        <is>
          <t>Kommun</t>
        </is>
      </c>
      <c r="AW327" t="inlineStr">
        <is>
          <t>Östersunds kommun</t>
        </is>
      </c>
      <c r="AX327" t="inlineStr">
        <is>
          <t>2025-07</t>
        </is>
      </c>
      <c r="AY327" t="inlineStr">
        <is>
          <t>Anmalan</t>
        </is>
      </c>
      <c r="AZ327" t="inlineStr">
        <is>
          <t>2026-02-04</t>
        </is>
      </c>
      <c r="BA327" t="inlineStr">
        <is>
          <t>Handlingar för ärende TN-00592-2025.pdf</t>
        </is>
      </c>
      <c r="BB327" t="inlineStr">
        <is>
          <t>Handlingar för ärende TN-00592-2025, Anmälan av miljöfarlig verksamhet - Tillfällig insamling av trädgårdsavfall Frösön - Frösö-Berge 21:212</t>
        </is>
      </c>
      <c r="BC327" t="inlineStr">
        <is>
          <t>AUTO</t>
        </is>
      </c>
      <c r="BD327" t="inlineStr"/>
      <c r="BE327" t="inlineStr"/>
      <c r="BF327" t="inlineStr">
        <is>
          <t>AUTO_GENERERAD. Bekrafta metadata mot kallfil.</t>
        </is>
      </c>
      <c r="BG327">
        <f>HYPERLINK("C:\Users\jimmy\Desktop\Examens arbete\Kod\Ny mapp\remix_-copy-of-miljöbeslut.se-portal\Handlingar för ärende TN-00592-2025.pdf", "Öppna PDF")</f>
        <v/>
      </c>
    </row>
    <row r="328">
      <c r="A328" t="inlineStr">
        <is>
          <t>KRAV-AUTO-000327</t>
        </is>
      </c>
      <c r="B328" t="inlineStr">
        <is>
          <t>ADMIN-INDEX-2026-02-27-00000000125C043F57453246863FE664CAFE6A3F0700950291EA24F0614FB6ACEDB12BF0E31D00000000010C0000950291EA24F0614FB6ACEDB12BF0E31D00002087AE2C0000</t>
        </is>
      </c>
      <c r="C328" t="inlineStr">
        <is>
          <t>cmm4yuq6d03ahcuqwmgnuflvh</t>
        </is>
      </c>
      <c r="D328" t="inlineStr">
        <is>
          <t>http://localhost:8787/api/admin/requirements/documents/cmm4yuq6d03ahcuqwmgnuflvh/view</t>
        </is>
      </c>
      <c r="E328">
        <f>HYPERLÄNK("http://localhost:8787/api/admin/requirements/documents/cmm4yuq6d03ahcuqwmgnuflvh/view";"Öppna PDF")</f>
        <v/>
      </c>
      <c r="F328">
        <f>HYPERLINK("http://localhost:8787/api/admin/requirements/documents/cmm4yuq6d03ahcuqwmgnuflvh/view","Open PDF")</f>
        <v/>
      </c>
      <c r="G328" t="inlineStr">
        <is>
          <t>cmm55w57p0004cuisfrtpqly8</t>
        </is>
      </c>
      <c r="H328" t="inlineStr">
        <is>
          <t>Beslutsvillkor</t>
        </is>
      </c>
      <c r="I328" t="inlineStr">
        <is>
          <t>DriftEgenkontroll</t>
        </is>
      </c>
      <c r="J328" t="inlineStr">
        <is>
          <t>Journalforing</t>
        </is>
      </c>
      <c r="K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 • Endast det material och de mängder som finns på platsen ska fortsatt lagras på platsen.</t>
        </is>
      </c>
      <c r="L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t>
        </is>
      </c>
      <c r="M328" t="inlineStr">
        <is>
          <t>SKA</t>
        </is>
      </c>
      <c r="N328" t="inlineStr"/>
      <c r="O328" t="inlineStr">
        <is>
          <t>2023-12-27</t>
        </is>
      </c>
      <c r="P328" t="inlineStr"/>
      <c r="Q328" t="inlineStr">
        <is>
          <t>Forelaggande vid brist</t>
        </is>
      </c>
      <c r="R328" t="inlineStr">
        <is>
          <t>Lopande drift</t>
        </is>
      </c>
      <c r="S328" t="inlineStr"/>
      <c r="T328" t="inlineStr">
        <is>
          <t>556613</t>
        </is>
      </c>
      <c r="U328" t="inlineStr"/>
      <c r="V328" t="inlineStr"/>
      <c r="W328" t="inlineStr">
        <is>
          <t>Nej</t>
        </is>
      </c>
      <c r="X328" t="inlineStr">
        <is>
          <t>Nej</t>
        </is>
      </c>
      <c r="Y328" t="inlineStr">
        <is>
          <t>Ja</t>
        </is>
      </c>
      <c r="Z328" t="inlineStr">
        <is>
          <t>Nej</t>
        </is>
      </c>
      <c r="AA328" t="n">
        <v>7</v>
      </c>
      <c r="AB328" t="inlineStr">
        <is>
          <t>Egenkontrollrutiner</t>
        </is>
      </c>
      <c r="AC328" t="inlineStr">
        <is>
          <t>Egenkontrollprogram</t>
        </is>
      </c>
      <c r="AD328" t="inlineStr">
        <is>
          <t>Nej</t>
        </is>
      </c>
      <c r="AE328" t="inlineStr">
        <is>
          <t>Nej</t>
        </is>
      </c>
      <c r="AF328" t="inlineStr">
        <is>
          <t>Ej behandlad</t>
        </is>
      </c>
      <c r="AG328" t="inlineStr">
        <is>
          <t>AUTO_GENERERAD. Verifiera citat mot kallfil.</t>
        </is>
      </c>
      <c r="AH328" t="inlineStr">
        <is>
          <t>MEDIUM</t>
        </is>
      </c>
      <c r="AI328" t="inlineStr">
        <is>
          <t>AUTO</t>
        </is>
      </c>
      <c r="AJ328" t="inlineStr">
        <is>
          <t>Nej</t>
        </is>
      </c>
      <c r="AK328" t="inlineStr"/>
      <c r="AL328" t="inlineStr"/>
      <c r="AM328" t="inlineStr"/>
      <c r="AN328" t="inlineStr"/>
      <c r="AO328" t="inlineStr">
        <is>
          <t>cmm4yuq6d03ahcuqwmgnuflvh</t>
        </is>
      </c>
      <c r="AP328" t="inlineStr">
        <is>
          <t>http://localhost:8787/api/admin/requirements/documents/cmm4yuq6d03ahcuqwmgnuflvh/view</t>
        </is>
      </c>
      <c r="AQ328">
        <f>HYPERLÄNK("http://localhost:8787/api/admin/requirements/documents/cmm4yuq6d03ahcuqwmgnuflvh/view";"Öppna PDF")</f>
        <v/>
      </c>
      <c r="AR328">
        <f>HYPERLINK("http://localhost:8787/api/admin/requirements/documents/cmm4yuq6d03ahcuqwmgnuflvh/view","Open PDF")</f>
        <v/>
      </c>
      <c r="AS328" t="inlineStr">
        <is>
          <t>cmm55w57p0004cuisfrtpqly8</t>
        </is>
      </c>
      <c r="AT328" t="inlineStr">
        <is>
          <t>cmm4xvu980000cuh4vj0usz09</t>
        </is>
      </c>
      <c r="AU328" t="inlineStr">
        <is>
          <t>-- Borgholms</t>
        </is>
      </c>
      <c r="AV328" t="inlineStr">
        <is>
          <t>Kommun</t>
        </is>
      </c>
      <c r="AW328" t="inlineStr">
        <is>
          <t>-- Borgholms kommun</t>
        </is>
      </c>
      <c r="AX328" t="inlineStr">
        <is>
          <t>2023-12</t>
        </is>
      </c>
      <c r="AY328" t="inlineStr">
        <is>
          <t>Beslut</t>
        </is>
      </c>
      <c r="AZ328" t="inlineStr">
        <is>
          <t>2026-02-04</t>
        </is>
      </c>
      <c r="BA328" t="inlineStr">
        <is>
          <t>FÖRA 8_4 MBN-2023-1561 Delegationsbeslut 2023-12-27.pdf</t>
        </is>
      </c>
      <c r="BB328" t="inlineStr">
        <is>
          <t>Sv: till registrator</t>
        </is>
      </c>
      <c r="BC328" t="inlineStr">
        <is>
          <t>AUTO</t>
        </is>
      </c>
      <c r="BD328" t="inlineStr"/>
      <c r="BE328" t="inlineStr"/>
      <c r="BF328" t="inlineStr">
        <is>
          <t>AUTO_GENERERAD. Bekrafta metadata mot kallfil.</t>
        </is>
      </c>
      <c r="BG328">
        <f>HYPERLINK("C:\Users\jimmy\Desktop\Examens arbete\Kod\Ny mapp\remix_-copy-of-miljöbeslut.se-portal\FÖRA 8_4 MBN-2023-1561 Delegationsbeslut 2023-12-27.pdf", "Öppna PDF")</f>
        <v/>
      </c>
    </row>
    <row r="329">
      <c r="A329" t="inlineStr">
        <is>
          <t>KRAV-AUTO-000328</t>
        </is>
      </c>
      <c r="B329" t="inlineStr">
        <is>
          <t>ADMIN-INDEX-2026-02-27-00000000125C043F57453246863FE664CAFE6A3F0700950291EA24F0614FB6ACEDB12BF0E31D00000000010C0000950291EA24F0614FB6ACEDB12BF0E31D00002087AE2C0000</t>
        </is>
      </c>
      <c r="C329" t="inlineStr">
        <is>
          <t>cmm4yuq6d03ahcuqwmgnuflvh</t>
        </is>
      </c>
      <c r="D329" t="inlineStr">
        <is>
          <t>http://localhost:8787/api/admin/requirements/documents/cmm4yuq6d03ahcuqwmgnuflvh/view</t>
        </is>
      </c>
      <c r="E329">
        <f>HYPERLÄNK("http://localhost:8787/api/admin/requirements/documents/cmm4yuq6d03ahcuqwmgnuflvh/view";"Öppna PDF")</f>
        <v/>
      </c>
      <c r="F329">
        <f>HYPERLINK("http://localhost:8787/api/admin/requirements/documents/cmm4yuq6d03ahcuqwmgnuflvh/view","Open PDF")</f>
        <v/>
      </c>
      <c r="G329" t="inlineStr">
        <is>
          <t>cmm55w57p0004cuisfrtpqly8</t>
        </is>
      </c>
      <c r="H329" t="inlineStr">
        <is>
          <t>Beslutsvillkor</t>
        </is>
      </c>
      <c r="I329" t="inlineStr">
        <is>
          <t>MiljopaverkanForsiktighet</t>
        </is>
      </c>
      <c r="J329" t="inlineStr">
        <is>
          <t>Skyddsatgarder</t>
        </is>
      </c>
      <c r="K329" t="inlineStr">
        <is>
          <t>Avfallet som anmälan avser har uppkommit lokalt och ska återanvändas till anläggningsändamål i närområdet.</t>
        </is>
      </c>
      <c r="L329" t="inlineStr">
        <is>
          <t>Avfallet som anmälan avser har uppkommit lokalt och ska återanvändas till anläggningsändamål i närområdet.</t>
        </is>
      </c>
      <c r="M329" t="inlineStr">
        <is>
          <t>SKA</t>
        </is>
      </c>
      <c r="N329" t="inlineStr"/>
      <c r="O329" t="inlineStr"/>
      <c r="P329" t="inlineStr"/>
      <c r="Q329" t="inlineStr"/>
      <c r="R329" t="inlineStr">
        <is>
          <t>Alltid</t>
        </is>
      </c>
      <c r="S329" t="inlineStr"/>
      <c r="T329" t="inlineStr">
        <is>
          <t>556613</t>
        </is>
      </c>
      <c r="U329" t="inlineStr"/>
      <c r="V329" t="inlineStr"/>
      <c r="W329" t="inlineStr">
        <is>
          <t>Nej</t>
        </is>
      </c>
      <c r="X329" t="inlineStr">
        <is>
          <t>Nej</t>
        </is>
      </c>
      <c r="Y329" t="inlineStr">
        <is>
          <t>Nej</t>
        </is>
      </c>
      <c r="Z329" t="inlineStr">
        <is>
          <t>Nej</t>
        </is>
      </c>
      <c r="AA329" t="n">
        <v>10</v>
      </c>
      <c r="AB329" t="inlineStr">
        <is>
          <t>Miljopaverkan och forsiktighetsmatt</t>
        </is>
      </c>
      <c r="AC329" t="inlineStr">
        <is>
          <t>Miljo-PM</t>
        </is>
      </c>
      <c r="AD329" t="inlineStr">
        <is>
          <t>Nej</t>
        </is>
      </c>
      <c r="AE329" t="inlineStr">
        <is>
          <t>Nej</t>
        </is>
      </c>
      <c r="AF329" t="inlineStr">
        <is>
          <t>Ej behandlad</t>
        </is>
      </c>
      <c r="AG329" t="inlineStr">
        <is>
          <t>AUTO_GENERERAD. Verifiera citat mot kallfil.</t>
        </is>
      </c>
      <c r="AH329" t="inlineStr">
        <is>
          <t>MEDIUM</t>
        </is>
      </c>
      <c r="AI329" t="inlineStr">
        <is>
          <t>AUTO</t>
        </is>
      </c>
      <c r="AJ329" t="inlineStr">
        <is>
          <t>Nej</t>
        </is>
      </c>
      <c r="AK329" t="inlineStr"/>
      <c r="AL329" t="inlineStr"/>
      <c r="AM329" t="inlineStr"/>
      <c r="AN329" t="inlineStr"/>
      <c r="AO329" t="inlineStr">
        <is>
          <t>cmm4yuq6d03ahcuqwmgnuflvh</t>
        </is>
      </c>
      <c r="AP329" t="inlineStr">
        <is>
          <t>http://localhost:8787/api/admin/requirements/documents/cmm4yuq6d03ahcuqwmgnuflvh/view</t>
        </is>
      </c>
      <c r="AQ329">
        <f>HYPERLÄNK("http://localhost:8787/api/admin/requirements/documents/cmm4yuq6d03ahcuqwmgnuflvh/view";"Öppna PDF")</f>
        <v/>
      </c>
      <c r="AR329">
        <f>HYPERLINK("http://localhost:8787/api/admin/requirements/documents/cmm4yuq6d03ahcuqwmgnuflvh/view","Open PDF")</f>
        <v/>
      </c>
      <c r="AS329" t="inlineStr">
        <is>
          <t>cmm55w57p0004cuisfrtpqly8</t>
        </is>
      </c>
      <c r="AT329" t="inlineStr">
        <is>
          <t>cmm4xvu980000cuh4vj0usz09</t>
        </is>
      </c>
      <c r="AU329" t="inlineStr">
        <is>
          <t>-- Borgholms</t>
        </is>
      </c>
      <c r="AV329" t="inlineStr">
        <is>
          <t>Kommun</t>
        </is>
      </c>
      <c r="AW329" t="inlineStr">
        <is>
          <t>-- Borgholms kommun</t>
        </is>
      </c>
      <c r="AX329" t="inlineStr">
        <is>
          <t>2023-12</t>
        </is>
      </c>
      <c r="AY329" t="inlineStr">
        <is>
          <t>Beslut</t>
        </is>
      </c>
      <c r="AZ329" t="inlineStr">
        <is>
          <t>2026-02-04</t>
        </is>
      </c>
      <c r="BA329" t="inlineStr">
        <is>
          <t>FÖRA 8_4 MBN-2023-1561 Delegationsbeslut 2023-12-27.pdf</t>
        </is>
      </c>
      <c r="BB329" t="inlineStr">
        <is>
          <t>Sv: till registrator</t>
        </is>
      </c>
      <c r="BC329" t="inlineStr">
        <is>
          <t>AUTO</t>
        </is>
      </c>
      <c r="BD329" t="inlineStr"/>
      <c r="BE329" t="inlineStr"/>
      <c r="BF329" t="inlineStr">
        <is>
          <t>AUTO_GENERERAD. Bekrafta metadata mot kallfil.</t>
        </is>
      </c>
      <c r="BG329">
        <f>HYPERLINK("C:\Users\jimmy\Desktop\Examens arbete\Kod\Ny mapp\remix_-copy-of-miljöbeslut.se-portal\FÖRA 8_4 MBN-2023-1561 Delegationsbeslut 2023-12-27.pdf", "Öppna PDF")</f>
        <v/>
      </c>
    </row>
    <row r="330">
      <c r="A330" t="inlineStr">
        <is>
          <t>KRAV-AUTO-000329</t>
        </is>
      </c>
      <c r="B330" t="inlineStr">
        <is>
          <t>ADMIN-INDEX-2026-02-27-00000000125C043F57453246863FE664CAFE6A3F0700950291EA24F0614FB6ACEDB12BF0E31D00000000010C0000950291EA24F0614FB6ACEDB12BF0E31D00002087AE450000</t>
        </is>
      </c>
      <c r="C330" t="inlineStr">
        <is>
          <t>cmm4yupwi031hcuqw0av2nvqk</t>
        </is>
      </c>
      <c r="D330" t="inlineStr">
        <is>
          <t>http://localhost:8787/api/admin/requirements/documents/cmm4yupwi031hcuqw0av2nvqk/view</t>
        </is>
      </c>
      <c r="E330">
        <f>HYPERLÄNK("http://localhost:8787/api/admin/requirements/documents/cmm4yupwi031hcuqw0av2nvqk/view";"Öppna PDF")</f>
        <v/>
      </c>
      <c r="F330">
        <f>HYPERLINK("http://localhost:8787/api/admin/requirements/documents/cmm4yupwi031hcuqw0av2nvqk/view","Open PDF")</f>
        <v/>
      </c>
      <c r="G330" t="inlineStr">
        <is>
          <t>cmm55w57p0004cuisfrtpqly8</t>
        </is>
      </c>
      <c r="H330" t="inlineStr">
        <is>
          <t>Informationskrav</t>
        </is>
      </c>
      <c r="I330" t="inlineStr">
        <is>
          <t>MiljopaverkanForsiktighet</t>
        </is>
      </c>
      <c r="J330" t="inlineStr">
        <is>
          <t>Skyddsatgarder</t>
        </is>
      </c>
      <c r="K330" t="inlineStr">
        <is>
          <t>Inget farligt avfall skall mellanlagras på området utan det skall omgående skickas på deponi.</t>
        </is>
      </c>
      <c r="L330" t="inlineStr">
        <is>
          <t>Inget farligt avfall skall mellanlagras på området utan det skall omgående skickas på deponi.</t>
        </is>
      </c>
      <c r="M330" t="inlineStr">
        <is>
          <t>SKA</t>
        </is>
      </c>
      <c r="N330" t="inlineStr">
        <is>
          <t>FMH</t>
        </is>
      </c>
      <c r="O330" t="inlineStr"/>
      <c r="P330" t="inlineStr">
        <is>
          <t>Arlig</t>
        </is>
      </c>
      <c r="Q330" t="inlineStr"/>
      <c r="R330" t="inlineStr">
        <is>
          <t>Alltid</t>
        </is>
      </c>
      <c r="S330" t="inlineStr"/>
      <c r="T330" t="inlineStr">
        <is>
          <t>606209</t>
        </is>
      </c>
      <c r="U330" t="inlineStr"/>
      <c r="V330" t="inlineStr"/>
      <c r="W330" t="inlineStr">
        <is>
          <t>Nej</t>
        </is>
      </c>
      <c r="X330" t="inlineStr">
        <is>
          <t>Nej</t>
        </is>
      </c>
      <c r="Y330" t="inlineStr">
        <is>
          <t>Nej</t>
        </is>
      </c>
      <c r="Z330" t="inlineStr">
        <is>
          <t>Nej</t>
        </is>
      </c>
      <c r="AA330" t="n">
        <v>10</v>
      </c>
      <c r="AB330" t="inlineStr">
        <is>
          <t>Miljopaverkan och forsiktighetsmatt</t>
        </is>
      </c>
      <c r="AC330" t="inlineStr">
        <is>
          <t>Miljo-PM</t>
        </is>
      </c>
      <c r="AD330" t="inlineStr">
        <is>
          <t>Nej</t>
        </is>
      </c>
      <c r="AE330" t="inlineStr">
        <is>
          <t>Nej</t>
        </is>
      </c>
      <c r="AF330" t="inlineStr">
        <is>
          <t>Ej behandlad</t>
        </is>
      </c>
      <c r="AG330" t="inlineStr">
        <is>
          <t>AUTO_GENERERAD. Verifiera citat mot kallfil.</t>
        </is>
      </c>
      <c r="AH330" t="inlineStr">
        <is>
          <t>MEDIUM</t>
        </is>
      </c>
      <c r="AI330" t="inlineStr">
        <is>
          <t>AUTO</t>
        </is>
      </c>
      <c r="AJ330" t="inlineStr">
        <is>
          <t>Nej</t>
        </is>
      </c>
      <c r="AK330" t="inlineStr"/>
      <c r="AL330" t="inlineStr"/>
      <c r="AM330" t="inlineStr"/>
      <c r="AN330" t="inlineStr"/>
      <c r="AO330" t="inlineStr">
        <is>
          <t>cmm4yupwf031ecuqwcuwsaack</t>
        </is>
      </c>
      <c r="AP330" t="inlineStr">
        <is>
          <t>http://localhost:8787/api/admin/requirements/documents/cmm4yupwf031ecuqwcuwsaack/view</t>
        </is>
      </c>
      <c r="AQ330">
        <f>HYPERLÄNK("http://localhost:8787/api/admin/requirements/documents/cmm4yupwf031ecuqwcuwsaack/view";"Öppna PDF")</f>
        <v/>
      </c>
      <c r="AR330">
        <f>HYPERLINK("http://localhost:8787/api/admin/requirements/documents/cmm4yupwf031ecuqwcuwsaack/view","Open PDF")</f>
        <v/>
      </c>
      <c r="AS330" t="inlineStr">
        <is>
          <t>cmm55w57p0004cuisfrtpqly8</t>
        </is>
      </c>
      <c r="AT330" t="inlineStr">
        <is>
          <t>cmm4xvu980000cuh4vj0usz09</t>
        </is>
      </c>
      <c r="AU330" t="inlineStr"/>
      <c r="AV330" t="inlineStr">
        <is>
          <t>Kommun</t>
        </is>
      </c>
      <c r="AW330" t="inlineStr"/>
      <c r="AX330" t="inlineStr">
        <is>
          <t>2013:251</t>
        </is>
      </c>
      <c r="AY330" t="inlineStr">
        <is>
          <t>Anmalan</t>
        </is>
      </c>
      <c r="AZ330" t="inlineStr">
        <is>
          <t>2026-02-04</t>
        </is>
      </c>
      <c r="BA330" t="inlineStr">
        <is>
          <t>Anmälan miljöfarlig verksamhet v1.pdf</t>
        </is>
      </c>
      <c r="BB330" t="inlineStr">
        <is>
          <t>Verksamhet i Tidaholm</t>
        </is>
      </c>
      <c r="BC330" t="inlineStr">
        <is>
          <t>AUTO</t>
        </is>
      </c>
      <c r="BD330" t="inlineStr"/>
      <c r="BE330" t="inlineStr"/>
      <c r="BF330" t="inlineStr">
        <is>
          <t>AUTO_GENERERAD. Bekrafta metadata mot kallfil.</t>
        </is>
      </c>
      <c r="BG330">
        <f>HYPERLINK("C:\Users\jimmy\Desktop\Examens arbete\Kod\Ny mapp\remix_-copy-of-miljöbeslut.se-portal\Anmälan miljöfarlig verksamhet v1.pdf", "Öppna PDF")</f>
        <v/>
      </c>
    </row>
    <row r="331">
      <c r="A331" t="inlineStr">
        <is>
          <t>KRAV-AUTO-000330</t>
        </is>
      </c>
      <c r="B331" t="inlineStr">
        <is>
          <t>ADMIN-INDEX-2026-02-27-00000000125C043F57453246863FE664CAFE6A3F0700950291EA24F0614FB6ACEDB12BF0E31D00000000010C0000950291EA24F0614FB6ACEDB12BF0E31D00002087AE450000</t>
        </is>
      </c>
      <c r="C331" t="inlineStr">
        <is>
          <t>cmm4yupwi031hcuqw0av2nvqk</t>
        </is>
      </c>
      <c r="D331" t="inlineStr">
        <is>
          <t>http://localhost:8787/api/admin/requirements/documents/cmm4yupwi031hcuqw0av2nvqk/view</t>
        </is>
      </c>
      <c r="E331">
        <f>HYPERLÄNK("http://localhost:8787/api/admin/requirements/documents/cmm4yupwi031hcuqw0av2nvqk/view";"Öppna PDF")</f>
        <v/>
      </c>
      <c r="F331">
        <f>HYPERLINK("http://localhost:8787/api/admin/requirements/documents/cmm4yupwi031hcuqw0av2nvqk/view","Open PDF")</f>
        <v/>
      </c>
      <c r="G331" t="inlineStr">
        <is>
          <t>cmm55w57p0004cuisfrtpqly8</t>
        </is>
      </c>
      <c r="H331" t="inlineStr">
        <is>
          <t>Informationskrav</t>
        </is>
      </c>
      <c r="I331" t="inlineStr">
        <is>
          <t>DagvattenLakvatten</t>
        </is>
      </c>
      <c r="J331" t="inlineStr">
        <is>
          <t>Uppsamling</t>
        </is>
      </c>
      <c r="K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331" t="inlineStr">
        <is>
          <t>SKA</t>
        </is>
      </c>
      <c r="N331" t="inlineStr">
        <is>
          <t>FMH</t>
        </is>
      </c>
      <c r="O331" t="inlineStr">
        <is>
          <t>2023-08-17</t>
        </is>
      </c>
      <c r="P331" t="inlineStr"/>
      <c r="Q331" t="inlineStr"/>
      <c r="R331" t="inlineStr">
        <is>
          <t>Vid nederbord och avrinning</t>
        </is>
      </c>
      <c r="S331" t="inlineStr"/>
      <c r="T331" t="inlineStr">
        <is>
          <t>606209</t>
        </is>
      </c>
      <c r="U331" t="inlineStr"/>
      <c r="V331" t="inlineStr"/>
      <c r="W331" t="inlineStr">
        <is>
          <t>Nej</t>
        </is>
      </c>
      <c r="X331" t="inlineStr">
        <is>
          <t>Ja</t>
        </is>
      </c>
      <c r="Y331" t="inlineStr">
        <is>
          <t>Ja</t>
        </is>
      </c>
      <c r="Z331" t="inlineStr">
        <is>
          <t>Nej</t>
        </is>
      </c>
      <c r="AA331" t="n">
        <v>6</v>
      </c>
      <c r="AB331" t="inlineStr">
        <is>
          <t>Lakvattenhantering</t>
        </is>
      </c>
      <c r="AC331" t="inlineStr">
        <is>
          <t>Flodesschema dagvatten-lakvatten</t>
        </is>
      </c>
      <c r="AD331" t="inlineStr">
        <is>
          <t>Nej</t>
        </is>
      </c>
      <c r="AE331" t="inlineStr">
        <is>
          <t>Nej</t>
        </is>
      </c>
      <c r="AF331" t="inlineStr">
        <is>
          <t>Ej behandlad</t>
        </is>
      </c>
      <c r="AG331" t="inlineStr">
        <is>
          <t>AUTO_GENERERAD. Verifiera citat mot kallfil.</t>
        </is>
      </c>
      <c r="AH331" t="inlineStr">
        <is>
          <t>MEDIUM</t>
        </is>
      </c>
      <c r="AI331" t="inlineStr">
        <is>
          <t>AUTO</t>
        </is>
      </c>
      <c r="AJ331" t="inlineStr">
        <is>
          <t>Nej</t>
        </is>
      </c>
      <c r="AK331" t="inlineStr"/>
      <c r="AL331" t="inlineStr"/>
      <c r="AM331" t="inlineStr"/>
      <c r="AN331" t="inlineStr"/>
      <c r="AO331" t="inlineStr">
        <is>
          <t>cmm4yupwf031ecuqwcuwsaack</t>
        </is>
      </c>
      <c r="AP331" t="inlineStr">
        <is>
          <t>http://localhost:8787/api/admin/requirements/documents/cmm4yupwf031ecuqwcuwsaack/view</t>
        </is>
      </c>
      <c r="AQ331">
        <f>HYPERLÄNK("http://localhost:8787/api/admin/requirements/documents/cmm4yupwf031ecuqwcuwsaack/view";"Öppna PDF")</f>
        <v/>
      </c>
      <c r="AR331">
        <f>HYPERLINK("http://localhost:8787/api/admin/requirements/documents/cmm4yupwf031ecuqwcuwsaack/view","Open PDF")</f>
        <v/>
      </c>
      <c r="AS331" t="inlineStr">
        <is>
          <t>cmm55w57p0004cuisfrtpqly8</t>
        </is>
      </c>
      <c r="AT331" t="inlineStr">
        <is>
          <t>cmm4xvu980000cuh4vj0usz09</t>
        </is>
      </c>
      <c r="AU331" t="inlineStr"/>
      <c r="AV331" t="inlineStr">
        <is>
          <t>Kommun</t>
        </is>
      </c>
      <c r="AW331" t="inlineStr"/>
      <c r="AX331" t="inlineStr">
        <is>
          <t>2013:251</t>
        </is>
      </c>
      <c r="AY331" t="inlineStr">
        <is>
          <t>Anmalan</t>
        </is>
      </c>
      <c r="AZ331" t="inlineStr">
        <is>
          <t>2026-02-04</t>
        </is>
      </c>
      <c r="BA331" t="inlineStr">
        <is>
          <t>Anmälan miljöfarlig verksamhet v1.pdf</t>
        </is>
      </c>
      <c r="BB331" t="inlineStr">
        <is>
          <t>Verksamhet i Tidaholm</t>
        </is>
      </c>
      <c r="BC331" t="inlineStr">
        <is>
          <t>AUTO</t>
        </is>
      </c>
      <c r="BD331" t="inlineStr"/>
      <c r="BE331" t="inlineStr"/>
      <c r="BF331" t="inlineStr">
        <is>
          <t>AUTO_GENERERAD. Bekrafta metadata mot kallfil.</t>
        </is>
      </c>
      <c r="BG331">
        <f>HYPERLINK("C:\Users\jimmy\Desktop\Examens arbete\Kod\Ny mapp\remix_-copy-of-miljöbeslut.se-portal\Anmälan miljöfarlig verksamhet v1.pdf", "Öppna PDF")</f>
        <v/>
      </c>
    </row>
    <row r="332">
      <c r="A332" t="inlineStr">
        <is>
          <t>KRAV-AUTO-000331</t>
        </is>
      </c>
      <c r="B332" t="inlineStr">
        <is>
          <t>ADMIN-INDEX-2026-02-27-00000000125C043F57453246863FE664CAFE6A3F0700950291EA24F0614FB6ACEDB12BF0E31D00000000010C0000950291EA24F0614FB6ACEDB12BF0E31D00002087AE450000</t>
        </is>
      </c>
      <c r="C332" t="inlineStr">
        <is>
          <t>cmm4yupwi031hcuqw0av2nvqk</t>
        </is>
      </c>
      <c r="D332" t="inlineStr">
        <is>
          <t>http://localhost:8787/api/admin/requirements/documents/cmm4yupwi031hcuqw0av2nvqk/view</t>
        </is>
      </c>
      <c r="E332">
        <f>HYPERLÄNK("http://localhost:8787/api/admin/requirements/documents/cmm4yupwi031hcuqw0av2nvqk/view";"Öppna PDF")</f>
        <v/>
      </c>
      <c r="F332">
        <f>HYPERLINK("http://localhost:8787/api/admin/requirements/documents/cmm4yupwi031hcuqw0av2nvqk/view","Open PDF")</f>
        <v/>
      </c>
      <c r="G332" t="inlineStr">
        <is>
          <t>cmm55w57p0004cuisfrtpqly8</t>
        </is>
      </c>
      <c r="H332" t="inlineStr">
        <is>
          <t>Informationskrav</t>
        </is>
      </c>
      <c r="I332" t="inlineStr">
        <is>
          <t>LagringsvolymTid</t>
        </is>
      </c>
      <c r="J332" t="inlineStr">
        <is>
          <t>Maxmangd</t>
        </is>
      </c>
      <c r="K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332" t="inlineStr">
        <is>
          <t>BOR</t>
        </is>
      </c>
      <c r="N332" t="inlineStr">
        <is>
          <t>FMH</t>
        </is>
      </c>
      <c r="O332" t="inlineStr">
        <is>
          <t>2023-08-17</t>
        </is>
      </c>
      <c r="P332" t="inlineStr">
        <is>
          <t>Arlig</t>
        </is>
      </c>
      <c r="Q332" t="inlineStr"/>
      <c r="R332" t="inlineStr">
        <is>
          <t>Alltid</t>
        </is>
      </c>
      <c r="S332" t="inlineStr"/>
      <c r="T332" t="inlineStr">
        <is>
          <t>606209</t>
        </is>
      </c>
      <c r="U332" t="inlineStr"/>
      <c r="V332" t="inlineStr"/>
      <c r="W332" t="inlineStr">
        <is>
          <t>Nej</t>
        </is>
      </c>
      <c r="X332" t="inlineStr">
        <is>
          <t>Nej</t>
        </is>
      </c>
      <c r="Y332" t="inlineStr">
        <is>
          <t>Nej</t>
        </is>
      </c>
      <c r="Z332" t="inlineStr">
        <is>
          <t>Nej</t>
        </is>
      </c>
      <c r="AA332" t="n">
        <v>4</v>
      </c>
      <c r="AB332" t="inlineStr">
        <is>
          <t>Avfallsmangder och lagringstid</t>
        </is>
      </c>
      <c r="AC332" t="inlineStr">
        <is>
          <t>Avfallsforteckning</t>
        </is>
      </c>
      <c r="AD332" t="inlineStr">
        <is>
          <t>Nej</t>
        </is>
      </c>
      <c r="AE332" t="inlineStr">
        <is>
          <t>Nej</t>
        </is>
      </c>
      <c r="AF332" t="inlineStr">
        <is>
          <t>Ej behandlad</t>
        </is>
      </c>
      <c r="AG332" t="inlineStr">
        <is>
          <t>AUTO_GENERERAD. Verifiera citat mot kallfil.</t>
        </is>
      </c>
      <c r="AH332" t="inlineStr">
        <is>
          <t>MEDIUM</t>
        </is>
      </c>
      <c r="AI332" t="inlineStr">
        <is>
          <t>AUTO</t>
        </is>
      </c>
      <c r="AJ332" t="inlineStr">
        <is>
          <t>Nej</t>
        </is>
      </c>
      <c r="AK332" t="inlineStr"/>
      <c r="AL332" t="inlineStr"/>
      <c r="AM332" t="inlineStr"/>
      <c r="AN332" t="inlineStr"/>
      <c r="AO332" t="inlineStr">
        <is>
          <t>cmm4yupwf031ecuqwcuwsaack</t>
        </is>
      </c>
      <c r="AP332" t="inlineStr">
        <is>
          <t>http://localhost:8787/api/admin/requirements/documents/cmm4yupwf031ecuqwcuwsaack/view</t>
        </is>
      </c>
      <c r="AQ332">
        <f>HYPERLÄNK("http://localhost:8787/api/admin/requirements/documents/cmm4yupwf031ecuqwcuwsaack/view";"Öppna PDF")</f>
        <v/>
      </c>
      <c r="AR332">
        <f>HYPERLINK("http://localhost:8787/api/admin/requirements/documents/cmm4yupwf031ecuqwcuwsaack/view","Open PDF")</f>
        <v/>
      </c>
      <c r="AS332" t="inlineStr">
        <is>
          <t>cmm55w57p0004cuisfrtpqly8</t>
        </is>
      </c>
      <c r="AT332" t="inlineStr">
        <is>
          <t>cmm4xvu980000cuh4vj0usz09</t>
        </is>
      </c>
      <c r="AU332" t="inlineStr"/>
      <c r="AV332" t="inlineStr">
        <is>
          <t>Kommun</t>
        </is>
      </c>
      <c r="AW332" t="inlineStr"/>
      <c r="AX332" t="inlineStr">
        <is>
          <t>2013:251</t>
        </is>
      </c>
      <c r="AY332" t="inlineStr">
        <is>
          <t>Anmalan</t>
        </is>
      </c>
      <c r="AZ332" t="inlineStr">
        <is>
          <t>2026-02-04</t>
        </is>
      </c>
      <c r="BA332" t="inlineStr">
        <is>
          <t>Anmälan miljöfarlig verksamhet v1.pdf</t>
        </is>
      </c>
      <c r="BB332" t="inlineStr">
        <is>
          <t>Verksamhet i Tidaholm</t>
        </is>
      </c>
      <c r="BC332" t="inlineStr">
        <is>
          <t>AUTO</t>
        </is>
      </c>
      <c r="BD332" t="inlineStr"/>
      <c r="BE332" t="inlineStr"/>
      <c r="BF332" t="inlineStr">
        <is>
          <t>AUTO_GENERERAD. Bekrafta metadata mot kallfil.</t>
        </is>
      </c>
      <c r="BG332">
        <f>HYPERLINK("C:\Users\jimmy\Desktop\Examens arbete\Kod\Ny mapp\remix_-copy-of-miljöbeslut.se-portal\Anmälan miljöfarlig verksamhet v1.pdf", "Öppna PDF")</f>
        <v/>
      </c>
    </row>
    <row r="333">
      <c r="A333" t="inlineStr">
        <is>
          <t>KRAV-AUTO-000332</t>
        </is>
      </c>
      <c r="B333" t="inlineStr">
        <is>
          <t>ADMIN-INDEX-2026-02-27-00000000125C043F57453246863FE664CAFE6A3F0700950291EA24F0614FB6ACEDB12BF0E31D00000000010C0000950291EA24F0614FB6ACEDB12BF0E31D00002087AE550000</t>
        </is>
      </c>
      <c r="C333" t="inlineStr">
        <is>
          <t>cmm4yupu902z8cuqwgdajjrxt</t>
        </is>
      </c>
      <c r="D333" t="inlineStr">
        <is>
          <t>http://localhost:8787/api/admin/requirements/documents/cmm4yupu902z8cuqwgdajjrxt/view</t>
        </is>
      </c>
      <c r="E333">
        <f>HYPERLÄNK("http://localhost:8787/api/admin/requirements/documents/cmm4yupu902z8cuqwgdajjrxt/view";"Öppna PDF")</f>
        <v/>
      </c>
      <c r="F333">
        <f>HYPERLINK("http://localhost:8787/api/admin/requirements/documents/cmm4yupu902z8cuqwgdajjrxt/view","Open PDF")</f>
        <v/>
      </c>
      <c r="G333" t="inlineStr">
        <is>
          <t>cmm55w57p0004cuisfrtpqly8</t>
        </is>
      </c>
      <c r="H333" t="inlineStr">
        <is>
          <t>Beslutsvillkor</t>
        </is>
      </c>
      <c r="I333" t="inlineStr">
        <is>
          <t>Riskhantering</t>
        </is>
      </c>
      <c r="J333" t="inlineStr">
        <is>
          <t>Riskkontroll</t>
        </is>
      </c>
      <c r="K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333" t="inlineStr">
        <is>
          <t>SKA</t>
        </is>
      </c>
      <c r="N333" t="inlineStr"/>
      <c r="O333" t="inlineStr"/>
      <c r="P333" t="inlineStr"/>
      <c r="Q333" t="inlineStr"/>
      <c r="R333" t="inlineStr">
        <is>
          <t>Vid risk for incident</t>
        </is>
      </c>
      <c r="S333" t="inlineStr"/>
      <c r="T333" t="inlineStr"/>
      <c r="U333" t="inlineStr"/>
      <c r="V333" t="inlineStr"/>
      <c r="W333" t="inlineStr">
        <is>
          <t>Nej</t>
        </is>
      </c>
      <c r="X333" t="inlineStr">
        <is>
          <t>Nej</t>
        </is>
      </c>
      <c r="Y333" t="inlineStr">
        <is>
          <t>Ja</t>
        </is>
      </c>
      <c r="Z333" t="inlineStr">
        <is>
          <t>Ja</t>
        </is>
      </c>
      <c r="AA333" t="n">
        <v>8</v>
      </c>
      <c r="AB333" t="inlineStr">
        <is>
          <t>Riskhantering</t>
        </is>
      </c>
      <c r="AC333" t="inlineStr">
        <is>
          <t>Risk-PM</t>
        </is>
      </c>
      <c r="AD333" t="inlineStr">
        <is>
          <t>Nej</t>
        </is>
      </c>
      <c r="AE333" t="inlineStr">
        <is>
          <t>Nej</t>
        </is>
      </c>
      <c r="AF333" t="inlineStr">
        <is>
          <t>Ej behandlad</t>
        </is>
      </c>
      <c r="AG333" t="inlineStr">
        <is>
          <t>AUTO_GENERERAD. Verifiera citat mot kallfil.</t>
        </is>
      </c>
      <c r="AH333" t="inlineStr">
        <is>
          <t>MEDIUM</t>
        </is>
      </c>
      <c r="AI333" t="inlineStr">
        <is>
          <t>AUTO</t>
        </is>
      </c>
      <c r="AJ333" t="inlineStr">
        <is>
          <t>Nej</t>
        </is>
      </c>
      <c r="AK333" t="inlineStr"/>
      <c r="AL333" t="inlineStr"/>
      <c r="AM333" t="inlineStr"/>
      <c r="AN333" t="inlineStr"/>
      <c r="AO333" t="inlineStr">
        <is>
          <t>cmm4yupu002yzcuqw92mpgtbw</t>
        </is>
      </c>
      <c r="AP333" t="inlineStr">
        <is>
          <t>http://localhost:8787/api/admin/requirements/documents/cmm4yupu002yzcuqw92mpgtbw/view</t>
        </is>
      </c>
      <c r="AQ333">
        <f>HYPERLÄNK("http://localhost:8787/api/admin/requirements/documents/cmm4yupu002yzcuqw92mpgtbw/view";"Öppna PDF")</f>
        <v/>
      </c>
      <c r="AR333">
        <f>HYPERLINK("http://localhost:8787/api/admin/requirements/documents/cmm4yupu002yzcuqw92mpgtbw/view","Open PDF")</f>
        <v/>
      </c>
      <c r="AS333" t="inlineStr">
        <is>
          <t>cmm55w57p0004cuisfrtpqly8</t>
        </is>
      </c>
      <c r="AT333" t="inlineStr">
        <is>
          <t>cmm4xvu980000cuh4vj0usz09</t>
        </is>
      </c>
      <c r="AU333" t="inlineStr"/>
      <c r="AV333" t="inlineStr">
        <is>
          <t>Kommun</t>
        </is>
      </c>
      <c r="AW333" t="inlineStr"/>
      <c r="AX333" t="inlineStr">
        <is>
          <t>2024-576</t>
        </is>
      </c>
      <c r="AY333" t="inlineStr">
        <is>
          <t>Beslut</t>
        </is>
      </c>
      <c r="AZ333" t="inlineStr">
        <is>
          <t>2026-02-04</t>
        </is>
      </c>
      <c r="BA333" t="inlineStr">
        <is>
          <t>Säkerhetsdatablad Sonax Gloss Dryer.pdf</t>
        </is>
      </c>
      <c r="BB333" t="inlineStr">
        <is>
          <t>2024-576</t>
        </is>
      </c>
      <c r="BC333" t="inlineStr">
        <is>
          <t>AUTO</t>
        </is>
      </c>
      <c r="BD333" t="inlineStr"/>
      <c r="BE333" t="inlineStr"/>
      <c r="BF333" t="inlineStr">
        <is>
          <t>AUTO_GENERERAD. Bekrafta metadata mot kallfil.</t>
        </is>
      </c>
      <c r="BG333">
        <f>HYPERLINK("C:\Users\jimmy\Desktop\Examens arbete\Kod\Ny mapp\remix_-copy-of-miljöbeslut.se-portal\Säkerhetsdatablad Sonax Gloss Dryer.pdf", "Öppna PDF")</f>
        <v/>
      </c>
    </row>
    <row r="334">
      <c r="A334" t="inlineStr">
        <is>
          <t>KRAV-AUTO-000333</t>
        </is>
      </c>
      <c r="B334" t="inlineStr">
        <is>
          <t>ADMIN-INDEX-2026-02-27-00000000125C043F57453246863FE664CAFE6A3F0700950291EA24F0614FB6ACEDB12BF0E31D00000000010C0000950291EA24F0614FB6ACEDB12BF0E31D00002087AE550000</t>
        </is>
      </c>
      <c r="C334" t="inlineStr">
        <is>
          <t>cmm4yupu902z8cuqwgdajjrxt</t>
        </is>
      </c>
      <c r="D334" t="inlineStr">
        <is>
          <t>http://localhost:8787/api/admin/requirements/documents/cmm4yupu902z8cuqwgdajjrxt/view</t>
        </is>
      </c>
      <c r="E334">
        <f>HYPERLÄNK("http://localhost:8787/api/admin/requirements/documents/cmm4yupu902z8cuqwgdajjrxt/view";"Öppna PDF")</f>
        <v/>
      </c>
      <c r="F334">
        <f>HYPERLINK("http://localhost:8787/api/admin/requirements/documents/cmm4yupu902z8cuqwgdajjrxt/view","Open PDF")</f>
        <v/>
      </c>
      <c r="G334" t="inlineStr">
        <is>
          <t>cmm55w57p0004cuisfrtpqly8</t>
        </is>
      </c>
      <c r="H334" t="inlineStr">
        <is>
          <t>Beslutsvillkor</t>
        </is>
      </c>
      <c r="I334" t="inlineStr">
        <is>
          <t>Riskhantering</t>
        </is>
      </c>
      <c r="J334" t="inlineStr">
        <is>
          <t>Riskkontroll</t>
        </is>
      </c>
      <c r="K334" t="inlineStr">
        <is>
          <t>AFS 2014:43 Kemiska arbetsmiljörisker.</t>
        </is>
      </c>
      <c r="L334" t="inlineStr">
        <is>
          <t>AFS 2014:43 Kemiska arbetsmiljörisker.</t>
        </is>
      </c>
      <c r="M334" t="inlineStr">
        <is>
          <t>SKA</t>
        </is>
      </c>
      <c r="N334" t="inlineStr"/>
      <c r="O334" t="inlineStr"/>
      <c r="P334" t="inlineStr"/>
      <c r="Q334" t="inlineStr"/>
      <c r="R334" t="inlineStr">
        <is>
          <t>Vid risk for incident</t>
        </is>
      </c>
      <c r="S334" t="inlineStr"/>
      <c r="T334" t="inlineStr"/>
      <c r="U334" t="inlineStr"/>
      <c r="V334" t="inlineStr"/>
      <c r="W334" t="inlineStr">
        <is>
          <t>Nej</t>
        </is>
      </c>
      <c r="X334" t="inlineStr">
        <is>
          <t>Nej</t>
        </is>
      </c>
      <c r="Y334" t="inlineStr">
        <is>
          <t>Ja</t>
        </is>
      </c>
      <c r="Z334" t="inlineStr">
        <is>
          <t>Ja</t>
        </is>
      </c>
      <c r="AA334" t="n">
        <v>8</v>
      </c>
      <c r="AB334" t="inlineStr">
        <is>
          <t>Riskhantering</t>
        </is>
      </c>
      <c r="AC334" t="inlineStr">
        <is>
          <t>Risk-PM</t>
        </is>
      </c>
      <c r="AD334" t="inlineStr">
        <is>
          <t>Nej</t>
        </is>
      </c>
      <c r="AE334" t="inlineStr">
        <is>
          <t>Nej</t>
        </is>
      </c>
      <c r="AF334" t="inlineStr">
        <is>
          <t>Ej behandlad</t>
        </is>
      </c>
      <c r="AG334" t="inlineStr">
        <is>
          <t>AUTO_GENERERAD. Verifiera citat mot kallfil.</t>
        </is>
      </c>
      <c r="AH334" t="inlineStr">
        <is>
          <t>LOW</t>
        </is>
      </c>
      <c r="AI334" t="inlineStr">
        <is>
          <t>AUTO</t>
        </is>
      </c>
      <c r="AJ334" t="inlineStr">
        <is>
          <t>Nej</t>
        </is>
      </c>
      <c r="AK334" t="inlineStr"/>
      <c r="AL334" t="inlineStr"/>
      <c r="AM334" t="inlineStr"/>
      <c r="AN334" t="inlineStr"/>
      <c r="AO334" t="inlineStr">
        <is>
          <t>cmm4yupu002yzcuqw92mpgtbw</t>
        </is>
      </c>
      <c r="AP334" t="inlineStr">
        <is>
          <t>http://localhost:8787/api/admin/requirements/documents/cmm4yupu002yzcuqw92mpgtbw/view</t>
        </is>
      </c>
      <c r="AQ334">
        <f>HYPERLÄNK("http://localhost:8787/api/admin/requirements/documents/cmm4yupu002yzcuqw92mpgtbw/view";"Öppna PDF")</f>
        <v/>
      </c>
      <c r="AR334">
        <f>HYPERLINK("http://localhost:8787/api/admin/requirements/documents/cmm4yupu002yzcuqw92mpgtbw/view","Open PDF")</f>
        <v/>
      </c>
      <c r="AS334" t="inlineStr">
        <is>
          <t>cmm55w57p0004cuisfrtpqly8</t>
        </is>
      </c>
      <c r="AT334" t="inlineStr">
        <is>
          <t>cmm4xvu980000cuh4vj0usz09</t>
        </is>
      </c>
      <c r="AU334" t="inlineStr"/>
      <c r="AV334" t="inlineStr">
        <is>
          <t>Kommun</t>
        </is>
      </c>
      <c r="AW334" t="inlineStr"/>
      <c r="AX334" t="inlineStr">
        <is>
          <t>2024-576</t>
        </is>
      </c>
      <c r="AY334" t="inlineStr">
        <is>
          <t>Beslut</t>
        </is>
      </c>
      <c r="AZ334" t="inlineStr">
        <is>
          <t>2026-02-04</t>
        </is>
      </c>
      <c r="BA334" t="inlineStr">
        <is>
          <t>Säkerhetsdatablad Sonax Gloss Dryer.pdf</t>
        </is>
      </c>
      <c r="BB334" t="inlineStr">
        <is>
          <t>2024-576</t>
        </is>
      </c>
      <c r="BC334" t="inlineStr">
        <is>
          <t>AUTO</t>
        </is>
      </c>
      <c r="BD334" t="inlineStr"/>
      <c r="BE334" t="inlineStr"/>
      <c r="BF334" t="inlineStr">
        <is>
          <t>AUTO_GENERERAD. Bekrafta metadata mot kallfil.</t>
        </is>
      </c>
      <c r="BG334">
        <f>HYPERLINK("C:\Users\jimmy\Desktop\Examens arbete\Kod\Ny mapp\remix_-copy-of-miljöbeslut.se-portal\Säkerhetsdatablad Sonax Gloss Dryer.pdf", "Öppna PDF")</f>
        <v/>
      </c>
    </row>
    <row r="335">
      <c r="A335" t="inlineStr">
        <is>
          <t>KRAV-AUTO-000334</t>
        </is>
      </c>
      <c r="B335" t="inlineStr">
        <is>
          <t>ADMIN-INDEX-2026-02-27-00000000125C043F57453246863FE664CAFE6A3F0700950291EA24F0614FB6ACEDB12BF0E31D00000000010C0000950291EA24F0614FB6ACEDB12BF0E31D00002087AE550000</t>
        </is>
      </c>
      <c r="C335" t="inlineStr">
        <is>
          <t>cmm4yupu902z8cuqwgdajjrxt</t>
        </is>
      </c>
      <c r="D335" t="inlineStr">
        <is>
          <t>http://localhost:8787/api/admin/requirements/documents/cmm4yupu902z8cuqwgdajjrxt/view</t>
        </is>
      </c>
      <c r="E335">
        <f>HYPERLÄNK("http://localhost:8787/api/admin/requirements/documents/cmm4yupu902z8cuqwgdajjrxt/view";"Öppna PDF")</f>
        <v/>
      </c>
      <c r="F335">
        <f>HYPERLINK("http://localhost:8787/api/admin/requirements/documents/cmm4yupu902z8cuqwgdajjrxt/view","Open PDF")</f>
        <v/>
      </c>
      <c r="G335" t="inlineStr">
        <is>
          <t>cmm55w57p0004cuisfrtpqly8</t>
        </is>
      </c>
      <c r="H335" t="inlineStr">
        <is>
          <t>Beslutsvillkor</t>
        </is>
      </c>
      <c r="I335" t="inlineStr">
        <is>
          <t>Riskhantering</t>
        </is>
      </c>
      <c r="J335" t="inlineStr">
        <is>
          <t>Riskkontroll</t>
        </is>
      </c>
      <c r="K335" t="inlineStr">
        <is>
          <t>B.- Tekniska rekommendationer för att förebygga bränder och explosioner.</t>
        </is>
      </c>
      <c r="L335" t="inlineStr">
        <is>
          <t>B.- Tekniska rekommendationer för att förebygga bränder och explosioner.</t>
        </is>
      </c>
      <c r="M335" t="inlineStr">
        <is>
          <t>SKA</t>
        </is>
      </c>
      <c r="N335" t="inlineStr"/>
      <c r="O335" t="inlineStr"/>
      <c r="P335" t="inlineStr"/>
      <c r="Q335" t="inlineStr"/>
      <c r="R335" t="inlineStr">
        <is>
          <t>Vid risk for incident</t>
        </is>
      </c>
      <c r="S335" t="inlineStr"/>
      <c r="T335" t="inlineStr"/>
      <c r="U335" t="inlineStr"/>
      <c r="V335" t="inlineStr"/>
      <c r="W335" t="inlineStr">
        <is>
          <t>Nej</t>
        </is>
      </c>
      <c r="X335" t="inlineStr">
        <is>
          <t>Nej</t>
        </is>
      </c>
      <c r="Y335" t="inlineStr">
        <is>
          <t>Ja</t>
        </is>
      </c>
      <c r="Z335" t="inlineStr">
        <is>
          <t>Ja</t>
        </is>
      </c>
      <c r="AA335" t="n">
        <v>8</v>
      </c>
      <c r="AB335" t="inlineStr">
        <is>
          <t>Riskhantering</t>
        </is>
      </c>
      <c r="AC335" t="inlineStr">
        <is>
          <t>Risk-PM</t>
        </is>
      </c>
      <c r="AD335" t="inlineStr">
        <is>
          <t>Nej</t>
        </is>
      </c>
      <c r="AE335" t="inlineStr">
        <is>
          <t>Nej</t>
        </is>
      </c>
      <c r="AF335" t="inlineStr">
        <is>
          <t>Ej behandlad</t>
        </is>
      </c>
      <c r="AG335" t="inlineStr">
        <is>
          <t>AUTO_GENERERAD. Verifiera citat mot kallfil.</t>
        </is>
      </c>
      <c r="AH335" t="inlineStr">
        <is>
          <t>MEDIUM</t>
        </is>
      </c>
      <c r="AI335" t="inlineStr">
        <is>
          <t>AUTO</t>
        </is>
      </c>
      <c r="AJ335" t="inlineStr">
        <is>
          <t>Nej</t>
        </is>
      </c>
      <c r="AK335" t="inlineStr"/>
      <c r="AL335" t="inlineStr"/>
      <c r="AM335" t="inlineStr"/>
      <c r="AN335" t="inlineStr"/>
      <c r="AO335" t="inlineStr">
        <is>
          <t>cmm4yupu002yzcuqw92mpgtbw</t>
        </is>
      </c>
      <c r="AP335" t="inlineStr">
        <is>
          <t>http://localhost:8787/api/admin/requirements/documents/cmm4yupu002yzcuqw92mpgtbw/view</t>
        </is>
      </c>
      <c r="AQ335">
        <f>HYPERLÄNK("http://localhost:8787/api/admin/requirements/documents/cmm4yupu002yzcuqw92mpgtbw/view";"Öppna PDF")</f>
        <v/>
      </c>
      <c r="AR335">
        <f>HYPERLINK("http://localhost:8787/api/admin/requirements/documents/cmm4yupu002yzcuqw92mpgtbw/view","Open PDF")</f>
        <v/>
      </c>
      <c r="AS335" t="inlineStr">
        <is>
          <t>cmm55w57p0004cuisfrtpqly8</t>
        </is>
      </c>
      <c r="AT335" t="inlineStr">
        <is>
          <t>cmm4xvu980000cuh4vj0usz09</t>
        </is>
      </c>
      <c r="AU335" t="inlineStr"/>
      <c r="AV335" t="inlineStr">
        <is>
          <t>Kommun</t>
        </is>
      </c>
      <c r="AW335" t="inlineStr"/>
      <c r="AX335" t="inlineStr">
        <is>
          <t>2024-576</t>
        </is>
      </c>
      <c r="AY335" t="inlineStr">
        <is>
          <t>Beslut</t>
        </is>
      </c>
      <c r="AZ335" t="inlineStr">
        <is>
          <t>2026-02-04</t>
        </is>
      </c>
      <c r="BA335" t="inlineStr">
        <is>
          <t>Säkerhetsdatablad Sonax Gloss Dryer.pdf</t>
        </is>
      </c>
      <c r="BB335" t="inlineStr">
        <is>
          <t>2024-576</t>
        </is>
      </c>
      <c r="BC335" t="inlineStr">
        <is>
          <t>AUTO</t>
        </is>
      </c>
      <c r="BD335" t="inlineStr"/>
      <c r="BE335" t="inlineStr"/>
      <c r="BF335" t="inlineStr">
        <is>
          <t>AUTO_GENERERAD. Bekrafta metadata mot kallfil.</t>
        </is>
      </c>
      <c r="BG335">
        <f>HYPERLINK("C:\Users\jimmy\Desktop\Examens arbete\Kod\Ny mapp\remix_-copy-of-miljöbeslut.se-portal\Säkerhetsdatablad Sonax Gloss Dryer.pdf", "Öppna PDF")</f>
        <v/>
      </c>
    </row>
    <row r="336">
      <c r="A336" t="inlineStr">
        <is>
          <t>KRAV-AUTO-000335</t>
        </is>
      </c>
      <c r="B336" t="inlineStr">
        <is>
          <t>ADMIN-INDEX-2026-02-27-00000000125C043F57453246863FE664CAFE6A3F0700950291EA24F0614FB6ACEDB12BF0E31D00000000010C0000950291EA24F0614FB6ACEDB12BF0E31D00002087AE550000</t>
        </is>
      </c>
      <c r="C336" t="inlineStr">
        <is>
          <t>cmm4yupu302z2cuqw9f8i4jfi</t>
        </is>
      </c>
      <c r="D336" t="inlineStr">
        <is>
          <t>http://localhost:8787/api/admin/requirements/documents/cmm4yupu302z2cuqw9f8i4jfi/view</t>
        </is>
      </c>
      <c r="E336">
        <f>HYPERLÄNK("http://localhost:8787/api/admin/requirements/documents/cmm4yupu302z2cuqw9f8i4jfi/view";"Öppna PDF")</f>
        <v/>
      </c>
      <c r="F336">
        <f>HYPERLINK("http://localhost:8787/api/admin/requirements/documents/cmm4yupu302z2cuqw9f8i4jfi/view","Open PDF")</f>
        <v/>
      </c>
      <c r="G336" t="inlineStr">
        <is>
          <t>cmm55w57p0004cuisfrtpqly8</t>
        </is>
      </c>
      <c r="H336" t="inlineStr">
        <is>
          <t>Beslutsvillkor</t>
        </is>
      </c>
      <c r="I336" t="inlineStr">
        <is>
          <t>Riskhantering</t>
        </is>
      </c>
      <c r="J336" t="inlineStr">
        <is>
          <t>Riskkontroll</t>
        </is>
      </c>
      <c r="K336" t="inlineStr">
        <is>
          <t>5.3 Råd till brandbekämpningspersonal Speciell skyddsutrustning: Vid brandbekämpning skall vanliga åtgärder vidtas.</t>
        </is>
      </c>
      <c r="L336" t="inlineStr">
        <is>
          <t>5.3 Råd till brandbekämpningspersonal Speciell skyddsutrustning: Vid brandbekämpning skall vanliga åtgärder vidtas.</t>
        </is>
      </c>
      <c r="M336" t="inlineStr">
        <is>
          <t>SKA</t>
        </is>
      </c>
      <c r="N336" t="inlineStr"/>
      <c r="O336" t="inlineStr"/>
      <c r="P336" t="inlineStr"/>
      <c r="Q336" t="inlineStr"/>
      <c r="R336" t="inlineStr">
        <is>
          <t>Vid risk for incident</t>
        </is>
      </c>
      <c r="S336" t="inlineStr"/>
      <c r="T336" t="inlineStr">
        <is>
          <t>513330</t>
        </is>
      </c>
      <c r="U336" t="inlineStr"/>
      <c r="V336" t="inlineStr"/>
      <c r="W336" t="inlineStr">
        <is>
          <t>Nej</t>
        </is>
      </c>
      <c r="X336" t="inlineStr">
        <is>
          <t>Nej</t>
        </is>
      </c>
      <c r="Y336" t="inlineStr">
        <is>
          <t>Ja</t>
        </is>
      </c>
      <c r="Z336" t="inlineStr">
        <is>
          <t>Ja</t>
        </is>
      </c>
      <c r="AA336" t="n">
        <v>8</v>
      </c>
      <c r="AB336" t="inlineStr">
        <is>
          <t>Riskhantering</t>
        </is>
      </c>
      <c r="AC336" t="inlineStr">
        <is>
          <t>Risk-PM</t>
        </is>
      </c>
      <c r="AD336" t="inlineStr">
        <is>
          <t>Nej</t>
        </is>
      </c>
      <c r="AE336" t="inlineStr">
        <is>
          <t>Nej</t>
        </is>
      </c>
      <c r="AF336" t="inlineStr">
        <is>
          <t>Ej behandlad</t>
        </is>
      </c>
      <c r="AG336" t="inlineStr">
        <is>
          <t>AUTO_GENERERAD. Verifiera citat mot kallfil.</t>
        </is>
      </c>
      <c r="AH336" t="inlineStr">
        <is>
          <t>MEDIUM</t>
        </is>
      </c>
      <c r="AI336" t="inlineStr">
        <is>
          <t>AUTO</t>
        </is>
      </c>
      <c r="AJ336" t="inlineStr">
        <is>
          <t>Nej</t>
        </is>
      </c>
      <c r="AK336" t="inlineStr"/>
      <c r="AL336" t="inlineStr"/>
      <c r="AM336" t="inlineStr"/>
      <c r="AN336" t="inlineStr"/>
      <c r="AO336" t="inlineStr">
        <is>
          <t>cmm4yupu002yzcuqw92mpgtbw</t>
        </is>
      </c>
      <c r="AP336" t="inlineStr">
        <is>
          <t>http://localhost:8787/api/admin/requirements/documents/cmm4yupu002yzcuqw92mpgtbw/view</t>
        </is>
      </c>
      <c r="AQ336">
        <f>HYPERLÄNK("http://localhost:8787/api/admin/requirements/documents/cmm4yupu002yzcuqw92mpgtbw/view";"Öppna PDF")</f>
        <v/>
      </c>
      <c r="AR336">
        <f>HYPERLINK("http://localhost:8787/api/admin/requirements/documents/cmm4yupu002yzcuqw92mpgtbw/view","Open PDF")</f>
        <v/>
      </c>
      <c r="AS336" t="inlineStr">
        <is>
          <t>cmm55w57p0004cuisfrtpqly8</t>
        </is>
      </c>
      <c r="AT336" t="inlineStr">
        <is>
          <t>cmm4xvu980000cuh4vj0usz09</t>
        </is>
      </c>
      <c r="AU336" t="inlineStr"/>
      <c r="AV336" t="inlineStr">
        <is>
          <t>Kommun</t>
        </is>
      </c>
      <c r="AW336" t="inlineStr"/>
      <c r="AX336" t="inlineStr">
        <is>
          <t>2024-576</t>
        </is>
      </c>
      <c r="AY336" t="inlineStr">
        <is>
          <t>Beslut</t>
        </is>
      </c>
      <c r="AZ336" t="inlineStr">
        <is>
          <t>2026-02-04</t>
        </is>
      </c>
      <c r="BA336" t="inlineStr">
        <is>
          <t>Säkerhetsdatablad Sonax Gloss Dryer.pdf</t>
        </is>
      </c>
      <c r="BB336" t="inlineStr">
        <is>
          <t>2024-576</t>
        </is>
      </c>
      <c r="BC336" t="inlineStr">
        <is>
          <t>AUTO</t>
        </is>
      </c>
      <c r="BD336" t="inlineStr"/>
      <c r="BE336" t="inlineStr"/>
      <c r="BF336" t="inlineStr">
        <is>
          <t>AUTO_GENERERAD. Bekrafta metadata mot kallfil.</t>
        </is>
      </c>
      <c r="BG336">
        <f>HYPERLINK("C:\Users\jimmy\Desktop\Examens arbete\Kod\Ny mapp\remix_-copy-of-miljöbeslut.se-portal\Säkerhetsdatablad Sonax Gloss Dryer.pdf", "Öppna PDF")</f>
        <v/>
      </c>
    </row>
    <row r="337">
      <c r="A337" t="inlineStr">
        <is>
          <t>KRAV-AUTO-000336</t>
        </is>
      </c>
      <c r="B337" t="inlineStr">
        <is>
          <t>ADMIN-INDEX-2026-02-27-00000000125C043F57453246863FE664CAFE6A3F0700950291EA24F0614FB6ACEDB12BF0E31D00000000010C0000950291EA24F0614FB6ACEDB12BF0E31D00002087AE550000</t>
        </is>
      </c>
      <c r="C337" t="inlineStr">
        <is>
          <t>cmm4yupu302z2cuqw9f8i4jfi</t>
        </is>
      </c>
      <c r="D337" t="inlineStr">
        <is>
          <t>http://localhost:8787/api/admin/requirements/documents/cmm4yupu302z2cuqw9f8i4jfi/view</t>
        </is>
      </c>
      <c r="E337">
        <f>HYPERLÄNK("http://localhost:8787/api/admin/requirements/documents/cmm4yupu302z2cuqw9f8i4jfi/view";"Öppna PDF")</f>
        <v/>
      </c>
      <c r="F337">
        <f>HYPERLINK("http://localhost:8787/api/admin/requirements/documents/cmm4yupu302z2cuqw9f8i4jfi/view","Open PDF")</f>
        <v/>
      </c>
      <c r="G337" t="inlineStr">
        <is>
          <t>cmm55w57p0004cuisfrtpqly8</t>
        </is>
      </c>
      <c r="H337" t="inlineStr">
        <is>
          <t>Beslutsvillkor</t>
        </is>
      </c>
      <c r="I337" t="inlineStr">
        <is>
          <t>MiljopaverkanForsiktighet</t>
        </is>
      </c>
      <c r="J337" t="inlineStr">
        <is>
          <t>Skyddsatgarder</t>
        </is>
      </c>
      <c r="K337" t="inlineStr">
        <is>
          <t>Rekommendation: Avfall måste hanteras och avlägsnas enligt lokala föreskrifter.</t>
        </is>
      </c>
      <c r="L337" t="inlineStr">
        <is>
          <t>Rekommendation: Avfall måste hanteras och avlägsnas enligt lokala föreskrifter.</t>
        </is>
      </c>
      <c r="M337" t="inlineStr">
        <is>
          <t>SKA</t>
        </is>
      </c>
      <c r="N337" t="inlineStr"/>
      <c r="O337" t="inlineStr"/>
      <c r="P337" t="inlineStr"/>
      <c r="Q337" t="inlineStr"/>
      <c r="R337" t="inlineStr">
        <is>
          <t>Alltid</t>
        </is>
      </c>
      <c r="S337" t="inlineStr"/>
      <c r="T337" t="inlineStr">
        <is>
          <t>513330</t>
        </is>
      </c>
      <c r="U337" t="inlineStr"/>
      <c r="V337" t="inlineStr"/>
      <c r="W337" t="inlineStr">
        <is>
          <t>Nej</t>
        </is>
      </c>
      <c r="X337" t="inlineStr">
        <is>
          <t>Nej</t>
        </is>
      </c>
      <c r="Y337" t="inlineStr">
        <is>
          <t>Nej</t>
        </is>
      </c>
      <c r="Z337" t="inlineStr">
        <is>
          <t>Nej</t>
        </is>
      </c>
      <c r="AA337" t="n">
        <v>10</v>
      </c>
      <c r="AB337" t="inlineStr">
        <is>
          <t>Miljopaverkan och forsiktighetsmatt</t>
        </is>
      </c>
      <c r="AC337" t="inlineStr">
        <is>
          <t>Miljo-PM</t>
        </is>
      </c>
      <c r="AD337" t="inlineStr">
        <is>
          <t>Nej</t>
        </is>
      </c>
      <c r="AE337" t="inlineStr">
        <is>
          <t>Nej</t>
        </is>
      </c>
      <c r="AF337" t="inlineStr">
        <is>
          <t>Ej behandlad</t>
        </is>
      </c>
      <c r="AG337" t="inlineStr">
        <is>
          <t>AUTO_GENERERAD. Verifiera citat mot kallfil.</t>
        </is>
      </c>
      <c r="AH337" t="inlineStr">
        <is>
          <t>MEDIUM</t>
        </is>
      </c>
      <c r="AI337" t="inlineStr">
        <is>
          <t>AUTO</t>
        </is>
      </c>
      <c r="AJ337" t="inlineStr">
        <is>
          <t>Nej</t>
        </is>
      </c>
      <c r="AK337" t="inlineStr"/>
      <c r="AL337" t="inlineStr"/>
      <c r="AM337" t="inlineStr"/>
      <c r="AN337" t="inlineStr"/>
      <c r="AO337" t="inlineStr">
        <is>
          <t>cmm4yupu002yzcuqw92mpgtbw</t>
        </is>
      </c>
      <c r="AP337" t="inlineStr">
        <is>
          <t>http://localhost:8787/api/admin/requirements/documents/cmm4yupu002yzcuqw92mpgtbw/view</t>
        </is>
      </c>
      <c r="AQ337">
        <f>HYPERLÄNK("http://localhost:8787/api/admin/requirements/documents/cmm4yupu002yzcuqw92mpgtbw/view";"Öppna PDF")</f>
        <v/>
      </c>
      <c r="AR337">
        <f>HYPERLINK("http://localhost:8787/api/admin/requirements/documents/cmm4yupu002yzcuqw92mpgtbw/view","Open PDF")</f>
        <v/>
      </c>
      <c r="AS337" t="inlineStr">
        <is>
          <t>cmm55w57p0004cuisfrtpqly8</t>
        </is>
      </c>
      <c r="AT337" t="inlineStr">
        <is>
          <t>cmm4xvu980000cuh4vj0usz09</t>
        </is>
      </c>
      <c r="AU337" t="inlineStr"/>
      <c r="AV337" t="inlineStr">
        <is>
          <t>Kommun</t>
        </is>
      </c>
      <c r="AW337" t="inlineStr"/>
      <c r="AX337" t="inlineStr">
        <is>
          <t>2024-576</t>
        </is>
      </c>
      <c r="AY337" t="inlineStr">
        <is>
          <t>Beslut</t>
        </is>
      </c>
      <c r="AZ337" t="inlineStr">
        <is>
          <t>2026-02-04</t>
        </is>
      </c>
      <c r="BA337" t="inlineStr">
        <is>
          <t>Säkerhetsdatablad Sonax Gloss Dryer.pdf</t>
        </is>
      </c>
      <c r="BB337" t="inlineStr">
        <is>
          <t>2024-576</t>
        </is>
      </c>
      <c r="BC337" t="inlineStr">
        <is>
          <t>AUTO</t>
        </is>
      </c>
      <c r="BD337" t="inlineStr"/>
      <c r="BE337" t="inlineStr"/>
      <c r="BF337" t="inlineStr">
        <is>
          <t>AUTO_GENERERAD. Bekrafta metadata mot kallfil.</t>
        </is>
      </c>
      <c r="BG337">
        <f>HYPERLINK("C:\Users\jimmy\Desktop\Examens arbete\Kod\Ny mapp\remix_-copy-of-miljöbeslut.se-portal\Säkerhetsdatablad Sonax Gloss Dryer.pdf", "Öppna PDF")</f>
        <v/>
      </c>
    </row>
    <row r="338">
      <c r="A338" t="inlineStr">
        <is>
          <t>KRAV-AUTO-000337</t>
        </is>
      </c>
      <c r="B338" t="inlineStr">
        <is>
          <t>ADMIN-INDEX-2026-02-27-00000000125C043F57453246863FE664CAFE6A3F0700950291EA24F0614FB6ACEDB12BF0E31D00000000010C0000950291EA24F0614FB6ACEDB12BF0E31D00002087AE550000</t>
        </is>
      </c>
      <c r="C338" t="inlineStr">
        <is>
          <t>cmm4yupu302z2cuqw9f8i4jfi</t>
        </is>
      </c>
      <c r="D338" t="inlineStr">
        <is>
          <t>http://localhost:8787/api/admin/requirements/documents/cmm4yupu302z2cuqw9f8i4jfi/view</t>
        </is>
      </c>
      <c r="E338">
        <f>HYPERLÄNK("http://localhost:8787/api/admin/requirements/documents/cmm4yupu302z2cuqw9f8i4jfi/view";"Öppna PDF")</f>
        <v/>
      </c>
      <c r="F338">
        <f>HYPERLINK("http://localhost:8787/api/admin/requirements/documents/cmm4yupu302z2cuqw9f8i4jfi/view","Open PDF")</f>
        <v/>
      </c>
      <c r="G338" t="inlineStr">
        <is>
          <t>cmm55w57p0004cuisfrtpqly8</t>
        </is>
      </c>
      <c r="H338" t="inlineStr">
        <is>
          <t>Beslutsvillkor</t>
        </is>
      </c>
      <c r="I338" t="inlineStr">
        <is>
          <t>Riskhantering</t>
        </is>
      </c>
      <c r="J338" t="inlineStr">
        <is>
          <t>Riskkontroll</t>
        </is>
      </c>
      <c r="K338" t="inlineStr">
        <is>
          <t>Hänvisningar beträffande brand- och explosionsskydd: Inga speciella åtgärder krävs.</t>
        </is>
      </c>
      <c r="L338" t="inlineStr">
        <is>
          <t>Hänvisningar beträffande brand- och explosionsskydd: Inga speciella åtgärder krävs.</t>
        </is>
      </c>
      <c r="M338" t="inlineStr">
        <is>
          <t>SKA</t>
        </is>
      </c>
      <c r="N338" t="inlineStr"/>
      <c r="O338" t="inlineStr"/>
      <c r="P338" t="inlineStr"/>
      <c r="Q338" t="inlineStr"/>
      <c r="R338" t="inlineStr">
        <is>
          <t>Vid risk for incident</t>
        </is>
      </c>
      <c r="S338" t="inlineStr"/>
      <c r="T338" t="inlineStr">
        <is>
          <t>513330</t>
        </is>
      </c>
      <c r="U338" t="inlineStr"/>
      <c r="V338" t="inlineStr"/>
      <c r="W338" t="inlineStr">
        <is>
          <t>Nej</t>
        </is>
      </c>
      <c r="X338" t="inlineStr">
        <is>
          <t>Nej</t>
        </is>
      </c>
      <c r="Y338" t="inlineStr">
        <is>
          <t>Ja</t>
        </is>
      </c>
      <c r="Z338" t="inlineStr">
        <is>
          <t>Ja</t>
        </is>
      </c>
      <c r="AA338" t="n">
        <v>8</v>
      </c>
      <c r="AB338" t="inlineStr">
        <is>
          <t>Riskhantering</t>
        </is>
      </c>
      <c r="AC338" t="inlineStr">
        <is>
          <t>Risk-PM</t>
        </is>
      </c>
      <c r="AD338" t="inlineStr">
        <is>
          <t>Nej</t>
        </is>
      </c>
      <c r="AE338" t="inlineStr">
        <is>
          <t>Nej</t>
        </is>
      </c>
      <c r="AF338" t="inlineStr">
        <is>
          <t>Ej behandlad</t>
        </is>
      </c>
      <c r="AG338" t="inlineStr">
        <is>
          <t>AUTO_GENERERAD. Verifiera citat mot kallfil.</t>
        </is>
      </c>
      <c r="AH338" t="inlineStr">
        <is>
          <t>MEDIUM</t>
        </is>
      </c>
      <c r="AI338" t="inlineStr">
        <is>
          <t>AUTO</t>
        </is>
      </c>
      <c r="AJ338" t="inlineStr">
        <is>
          <t>Nej</t>
        </is>
      </c>
      <c r="AK338" t="inlineStr"/>
      <c r="AL338" t="inlineStr"/>
      <c r="AM338" t="inlineStr"/>
      <c r="AN338" t="inlineStr"/>
      <c r="AO338" t="inlineStr">
        <is>
          <t>cmm4yupu002yzcuqw92mpgtbw</t>
        </is>
      </c>
      <c r="AP338" t="inlineStr">
        <is>
          <t>http://localhost:8787/api/admin/requirements/documents/cmm4yupu002yzcuqw92mpgtbw/view</t>
        </is>
      </c>
      <c r="AQ338">
        <f>HYPERLÄNK("http://localhost:8787/api/admin/requirements/documents/cmm4yupu002yzcuqw92mpgtbw/view";"Öppna PDF")</f>
        <v/>
      </c>
      <c r="AR338">
        <f>HYPERLINK("http://localhost:8787/api/admin/requirements/documents/cmm4yupu002yzcuqw92mpgtbw/view","Open PDF")</f>
        <v/>
      </c>
      <c r="AS338" t="inlineStr">
        <is>
          <t>cmm55w57p0004cuisfrtpqly8</t>
        </is>
      </c>
      <c r="AT338" t="inlineStr">
        <is>
          <t>cmm4xvu980000cuh4vj0usz09</t>
        </is>
      </c>
      <c r="AU338" t="inlineStr"/>
      <c r="AV338" t="inlineStr">
        <is>
          <t>Kommun</t>
        </is>
      </c>
      <c r="AW338" t="inlineStr"/>
      <c r="AX338" t="inlineStr">
        <is>
          <t>2024-576</t>
        </is>
      </c>
      <c r="AY338" t="inlineStr">
        <is>
          <t>Beslut</t>
        </is>
      </c>
      <c r="AZ338" t="inlineStr">
        <is>
          <t>2026-02-04</t>
        </is>
      </c>
      <c r="BA338" t="inlineStr">
        <is>
          <t>Säkerhetsdatablad Sonax Gloss Dryer.pdf</t>
        </is>
      </c>
      <c r="BB338" t="inlineStr">
        <is>
          <t>2024-576</t>
        </is>
      </c>
      <c r="BC338" t="inlineStr">
        <is>
          <t>AUTO</t>
        </is>
      </c>
      <c r="BD338" t="inlineStr"/>
      <c r="BE338" t="inlineStr"/>
      <c r="BF338" t="inlineStr">
        <is>
          <t>AUTO_GENERERAD. Bekrafta metadata mot kallfil.</t>
        </is>
      </c>
      <c r="BG338">
        <f>HYPERLINK("C:\Users\jimmy\Desktop\Examens arbete\Kod\Ny mapp\remix_-copy-of-miljöbeslut.se-portal\Säkerhetsdatablad Sonax Gloss Dryer.pdf", "Öppna PDF")</f>
        <v/>
      </c>
    </row>
    <row r="339">
      <c r="A339" t="inlineStr">
        <is>
          <t>KRAV-AUTO-000338</t>
        </is>
      </c>
      <c r="B339" t="inlineStr">
        <is>
          <t>ADMIN-INDEX-2026-02-27-00000000125C043F57453246863FE664CAFE6A3F0700950291EA24F0614FB6ACEDB12BF0E31D00000000010C0000950291EA24F0614FB6ACEDB12BF0E31D00002087A5DB0000</t>
        </is>
      </c>
      <c r="C339" t="inlineStr">
        <is>
          <t>cmm4yuqq603u8cuqw6lhlfmjw</t>
        </is>
      </c>
      <c r="D339" t="inlineStr">
        <is>
          <t>http://localhost:8787/api/admin/requirements/documents/cmm4yuqq603u8cuqw6lhlfmjw/view</t>
        </is>
      </c>
      <c r="E339">
        <f>HYPERLÄNK("http://localhost:8787/api/admin/requirements/documents/cmm4yuqq603u8cuqw6lhlfmjw/view";"Öppna PDF")</f>
        <v/>
      </c>
      <c r="F339">
        <f>HYPERLINK("http://localhost:8787/api/admin/requirements/documents/cmm4yuqq603u8cuqw6lhlfmjw/view","Open PDF")</f>
        <v/>
      </c>
      <c r="G339" t="inlineStr">
        <is>
          <t>cmm55w57p0004cuisfrtpqly8</t>
        </is>
      </c>
      <c r="H339" t="inlineStr">
        <is>
          <t>Informationskrav</t>
        </is>
      </c>
      <c r="I339" t="inlineStr">
        <is>
          <t>MiljopaverkanForsiktighet</t>
        </is>
      </c>
      <c r="J339" t="inlineStr">
        <is>
          <t>Skyddsatgarder</t>
        </is>
      </c>
      <c r="K339" t="inlineStr">
        <is>
          <t>De jordmassorna som innehåller parkslide ska deponeras på Vankiva avfallsanläggning.</t>
        </is>
      </c>
      <c r="L339" t="inlineStr">
        <is>
          <t>De jordmassorna som innehåller parkslide ska deponeras på Vankiva avfallsanläggning.</t>
        </is>
      </c>
      <c r="M339" t="inlineStr">
        <is>
          <t>SKA</t>
        </is>
      </c>
      <c r="N339" t="inlineStr"/>
      <c r="O339" t="inlineStr"/>
      <c r="P339" t="inlineStr"/>
      <c r="Q339" t="inlineStr"/>
      <c r="R339" t="inlineStr">
        <is>
          <t>Alltid</t>
        </is>
      </c>
      <c r="S339" t="inlineStr"/>
      <c r="T339" t="inlineStr">
        <is>
          <t>26 70 00</t>
        </is>
      </c>
      <c r="U339" t="inlineStr"/>
      <c r="V339" t="inlineStr"/>
      <c r="W339" t="inlineStr">
        <is>
          <t>Nej</t>
        </is>
      </c>
      <c r="X339" t="inlineStr">
        <is>
          <t>Nej</t>
        </is>
      </c>
      <c r="Y339" t="inlineStr">
        <is>
          <t>Nej</t>
        </is>
      </c>
      <c r="Z339" t="inlineStr">
        <is>
          <t>Nej</t>
        </is>
      </c>
      <c r="AA339" t="n">
        <v>10</v>
      </c>
      <c r="AB339" t="inlineStr">
        <is>
          <t>Miljopaverkan och forsiktighetsmatt</t>
        </is>
      </c>
      <c r="AC339" t="inlineStr">
        <is>
          <t>Miljo-PM</t>
        </is>
      </c>
      <c r="AD339" t="inlineStr">
        <is>
          <t>Nej</t>
        </is>
      </c>
      <c r="AE339" t="inlineStr">
        <is>
          <t>Nej</t>
        </is>
      </c>
      <c r="AF339" t="inlineStr">
        <is>
          <t>Ej behandlad</t>
        </is>
      </c>
      <c r="AG339" t="inlineStr">
        <is>
          <t>AUTO_GENERERAD. Verifiera citat mot kallfil.</t>
        </is>
      </c>
      <c r="AH339" t="inlineStr">
        <is>
          <t>MEDIUM</t>
        </is>
      </c>
      <c r="AI339" t="inlineStr">
        <is>
          <t>AUTO</t>
        </is>
      </c>
      <c r="AJ339" t="inlineStr">
        <is>
          <t>Nej</t>
        </is>
      </c>
      <c r="AK339" t="inlineStr"/>
      <c r="AL339" t="inlineStr"/>
      <c r="AM339" t="inlineStr"/>
      <c r="AN339" t="inlineStr"/>
      <c r="AO339" t="inlineStr">
        <is>
          <t>cmm4yuqq103u2cuqwxq5c1oxv</t>
        </is>
      </c>
      <c r="AP339" t="inlineStr">
        <is>
          <t>http://localhost:8787/api/admin/requirements/documents/cmm4yuqq103u2cuqwxq5c1oxv/view</t>
        </is>
      </c>
      <c r="AQ339">
        <f>HYPERLÄNK("http://localhost:8787/api/admin/requirements/documents/cmm4yuqq103u2cuqwxq5c1oxv/view";"Öppna PDF")</f>
        <v/>
      </c>
      <c r="AR339">
        <f>HYPERLINK("http://localhost:8787/api/admin/requirements/documents/cmm4yuqq103u2cuqwxq5c1oxv/view","Open PDF")</f>
        <v/>
      </c>
      <c r="AS339" t="inlineStr">
        <is>
          <t>cmm55w57p0004cuisfrtpqly8</t>
        </is>
      </c>
      <c r="AT339" t="inlineStr">
        <is>
          <t>cmm4xvu980000cuh4vj0usz09</t>
        </is>
      </c>
      <c r="AU339" t="inlineStr">
        <is>
          <t>Hässleholms</t>
        </is>
      </c>
      <c r="AV339" t="inlineStr">
        <is>
          <t>Kommun</t>
        </is>
      </c>
      <c r="AW339" t="inlineStr">
        <is>
          <t>Hässleholms kommun</t>
        </is>
      </c>
      <c r="AX339" t="inlineStr">
        <is>
          <t>0451-26</t>
        </is>
      </c>
      <c r="AY339" t="inlineStr">
        <is>
          <t>Anmalan</t>
        </is>
      </c>
      <c r="AZ339" t="inlineStr">
        <is>
          <t>2026-02-05</t>
        </is>
      </c>
      <c r="BA339" t="inlineStr">
        <is>
          <t>M-2025-1599 - MFV C-verksamhet.pdf</t>
        </is>
      </c>
      <c r="BB339" t="inlineStr">
        <is>
          <t>Sv:  Begäran om utlämnande av allmän handling – Anmälningar och beslut rörande mellanlagring av avfall samt anläggning av ytor</t>
        </is>
      </c>
      <c r="BC339" t="inlineStr">
        <is>
          <t>AUTO</t>
        </is>
      </c>
      <c r="BD339" t="inlineStr"/>
      <c r="BE339" t="inlineStr"/>
      <c r="BF339" t="inlineStr">
        <is>
          <t>AUTO_GENERERAD. Bekrafta metadata mot kallfil.</t>
        </is>
      </c>
      <c r="BG339">
        <f>HYPERLINK("C:\Users\jimmy\Desktop\Examens arbete\Kod\Ny mapp\remix_-copy-of-miljöbeslut.se-portal\M-2025-1599 - MFV C-verksamhet.pdf", "Öppna PDF")</f>
        <v/>
      </c>
    </row>
    <row r="340">
      <c r="A340" t="inlineStr">
        <is>
          <t>KRAV-AUTO-000339</t>
        </is>
      </c>
      <c r="B340" t="inlineStr">
        <is>
          <t>ADMIN-INDEX-2026-02-27-00000000125C043F57453246863FE664CAFE6A3F0700950291EA24F0614FB6ACEDB12BF0E31D00000000010C0000950291EA24F0614FB6ACEDB12BF0E31D00002087A5DB0000</t>
        </is>
      </c>
      <c r="C340" t="inlineStr">
        <is>
          <t>cmm4yuqpq03tqcuqwetdpqa2n</t>
        </is>
      </c>
      <c r="D340" t="inlineStr">
        <is>
          <t>http://localhost:8787/api/admin/requirements/documents/cmm4yuqpq03tqcuqwetdpqa2n/view</t>
        </is>
      </c>
      <c r="E340">
        <f>HYPERLÄNK("http://localhost:8787/api/admin/requirements/documents/cmm4yuqpq03tqcuqwetdpqa2n/view";"Öppna PDF")</f>
        <v/>
      </c>
      <c r="F340">
        <f>HYPERLINK("http://localhost:8787/api/admin/requirements/documents/cmm4yuqpq03tqcuqwetdpqa2n/view","Open PDF")</f>
        <v/>
      </c>
      <c r="G340" t="inlineStr">
        <is>
          <t>cmm55w57p0004cuisfrtpqly8</t>
        </is>
      </c>
      <c r="H340" t="inlineStr">
        <is>
          <t>Informationskrav</t>
        </is>
      </c>
      <c r="I340" t="inlineStr">
        <is>
          <t>DriftEgenkontroll</t>
        </is>
      </c>
      <c r="J340" t="inlineStr">
        <is>
          <t>Journalforing</t>
        </is>
      </c>
      <c r="K340" t="inlineStr">
        <is>
          <t>Kontroll ska göras genom exempelvis provtagning.</t>
        </is>
      </c>
      <c r="L340" t="inlineStr">
        <is>
          <t>Kontroll ska göras genom exempelvis provtagning.</t>
        </is>
      </c>
      <c r="M340" t="inlineStr">
        <is>
          <t>SKA</t>
        </is>
      </c>
      <c r="N340" t="inlineStr"/>
      <c r="O340" t="inlineStr"/>
      <c r="P340" t="inlineStr"/>
      <c r="Q340" t="inlineStr"/>
      <c r="R340" t="inlineStr">
        <is>
          <t>Lopande drift</t>
        </is>
      </c>
      <c r="S340" t="inlineStr"/>
      <c r="T340" t="inlineStr">
        <is>
          <t>26 70 00</t>
        </is>
      </c>
      <c r="U340" t="inlineStr"/>
      <c r="V340" t="inlineStr"/>
      <c r="W340" t="inlineStr">
        <is>
          <t>Nej</t>
        </is>
      </c>
      <c r="X340" t="inlineStr">
        <is>
          <t>Nej</t>
        </is>
      </c>
      <c r="Y340" t="inlineStr">
        <is>
          <t>Ja</t>
        </is>
      </c>
      <c r="Z340" t="inlineStr">
        <is>
          <t>Nej</t>
        </is>
      </c>
      <c r="AA340" t="n">
        <v>7</v>
      </c>
      <c r="AB340" t="inlineStr">
        <is>
          <t>Egenkontrollrutiner</t>
        </is>
      </c>
      <c r="AC340" t="inlineStr">
        <is>
          <t>Egenkontrollprogram</t>
        </is>
      </c>
      <c r="AD340" t="inlineStr">
        <is>
          <t>Nej</t>
        </is>
      </c>
      <c r="AE340" t="inlineStr">
        <is>
          <t>Nej</t>
        </is>
      </c>
      <c r="AF340" t="inlineStr">
        <is>
          <t>Ej behandlad</t>
        </is>
      </c>
      <c r="AG340" t="inlineStr">
        <is>
          <t>AUTO_GENERERAD. Verifiera citat mot kallfil.</t>
        </is>
      </c>
      <c r="AH340" t="inlineStr">
        <is>
          <t>MEDIUM</t>
        </is>
      </c>
      <c r="AI340" t="inlineStr">
        <is>
          <t>AUTO</t>
        </is>
      </c>
      <c r="AJ340" t="inlineStr">
        <is>
          <t>Nej</t>
        </is>
      </c>
      <c r="AK340" t="inlineStr"/>
      <c r="AL340" t="inlineStr"/>
      <c r="AM340" t="inlineStr"/>
      <c r="AN340" t="inlineStr"/>
      <c r="AO340" t="inlineStr">
        <is>
          <t>cmm4yuqq103u2cuqwxq5c1oxv</t>
        </is>
      </c>
      <c r="AP340" t="inlineStr">
        <is>
          <t>http://localhost:8787/api/admin/requirements/documents/cmm4yuqq103u2cuqwxq5c1oxv/view</t>
        </is>
      </c>
      <c r="AQ340">
        <f>HYPERLÄNK("http://localhost:8787/api/admin/requirements/documents/cmm4yuqq103u2cuqwxq5c1oxv/view";"Öppna PDF")</f>
        <v/>
      </c>
      <c r="AR340">
        <f>HYPERLINK("http://localhost:8787/api/admin/requirements/documents/cmm4yuqq103u2cuqwxq5c1oxv/view","Open PDF")</f>
        <v/>
      </c>
      <c r="AS340" t="inlineStr">
        <is>
          <t>cmm55w57p0004cuisfrtpqly8</t>
        </is>
      </c>
      <c r="AT340" t="inlineStr">
        <is>
          <t>cmm4xvu980000cuh4vj0usz09</t>
        </is>
      </c>
      <c r="AU340" t="inlineStr">
        <is>
          <t>Hässleholms</t>
        </is>
      </c>
      <c r="AV340" t="inlineStr">
        <is>
          <t>Kommun</t>
        </is>
      </c>
      <c r="AW340" t="inlineStr">
        <is>
          <t>Hässleholms kommun</t>
        </is>
      </c>
      <c r="AX340" t="inlineStr">
        <is>
          <t>0451-26</t>
        </is>
      </c>
      <c r="AY340" t="inlineStr">
        <is>
          <t>Anmalan</t>
        </is>
      </c>
      <c r="AZ340" t="inlineStr">
        <is>
          <t>2026-02-05</t>
        </is>
      </c>
      <c r="BA340" t="inlineStr">
        <is>
          <t>M-2025-1599 - MFV C-verksamhet.pdf</t>
        </is>
      </c>
      <c r="BB340" t="inlineStr">
        <is>
          <t>Sv:  Begäran om utlämnande av allmän handling – Anmälningar och beslut rörande mellanlagring av avfall samt anläggning av ytor</t>
        </is>
      </c>
      <c r="BC340" t="inlineStr">
        <is>
          <t>AUTO</t>
        </is>
      </c>
      <c r="BD340" t="inlineStr"/>
      <c r="BE340" t="inlineStr"/>
      <c r="BF340" t="inlineStr">
        <is>
          <t>AUTO_GENERERAD. Bekrafta metadata mot kallfil.</t>
        </is>
      </c>
      <c r="BG340">
        <f>HYPERLINK("C:\Users\jimmy\Desktop\Examens arbete\Kod\Ny mapp\remix_-copy-of-miljöbeslut.se-portal\M-2025-1599 - MFV C-verksamhet.pdf", "Öppna PDF")</f>
        <v/>
      </c>
    </row>
    <row r="341">
      <c r="A341" t="inlineStr">
        <is>
          <t>KRAV-AUTO-000340</t>
        </is>
      </c>
      <c r="B341" t="inlineStr">
        <is>
          <t>ADMIN-INDEX-2026-02-27-00000000125C043F57453246863FE664CAFE6A3F0700950291EA24F0614FB6ACEDB12BF0E31D00000000010C0000950291EA24F0614FB6ACEDB12BF0E31D00002087A5DB0000</t>
        </is>
      </c>
      <c r="C341" t="inlineStr">
        <is>
          <t>cmm4yuqpq03tqcuqwetdpqa2n</t>
        </is>
      </c>
      <c r="D341" t="inlineStr">
        <is>
          <t>http://localhost:8787/api/admin/requirements/documents/cmm4yuqpq03tqcuqwetdpqa2n/view</t>
        </is>
      </c>
      <c r="E341">
        <f>HYPERLÄNK("http://localhost:8787/api/admin/requirements/documents/cmm4yuqpq03tqcuqwetdpqa2n/view";"Öppna PDF")</f>
        <v/>
      </c>
      <c r="F341">
        <f>HYPERLINK("http://localhost:8787/api/admin/requirements/documents/cmm4yuqpq03tqcuqwetdpqa2n/view","Open PDF")</f>
        <v/>
      </c>
      <c r="G341" t="inlineStr">
        <is>
          <t>cmm55w57p0004cuisfrtpqly8</t>
        </is>
      </c>
      <c r="H341" t="inlineStr">
        <is>
          <t>Informationskrav</t>
        </is>
      </c>
      <c r="I341" t="inlineStr">
        <is>
          <t>LagringsvolymTid</t>
        </is>
      </c>
      <c r="J341" t="inlineStr">
        <is>
          <t>Maxmangd</t>
        </is>
      </c>
      <c r="K341" t="inlineStr">
        <is>
          <t>I anmälan anges att cirka 5000 ton schaktmassor från olika anläggningsfirmor i Hässleholm ska användas för att fylla upp betesmark.</t>
        </is>
      </c>
      <c r="L341" t="inlineStr">
        <is>
          <t>I anmälan anges att cirka 5000 ton schaktmassor från olika anläggningsfirmor i Hässleholm ska användas för att fylla upp betesmark.</t>
        </is>
      </c>
      <c r="M341" t="inlineStr">
        <is>
          <t>SKA</t>
        </is>
      </c>
      <c r="N341" t="inlineStr"/>
      <c r="O341" t="inlineStr"/>
      <c r="P341" t="inlineStr"/>
      <c r="Q341" t="inlineStr"/>
      <c r="R341" t="inlineStr">
        <is>
          <t>Alltid</t>
        </is>
      </c>
      <c r="S341" t="inlineStr"/>
      <c r="T341" t="inlineStr">
        <is>
          <t>26 70 00</t>
        </is>
      </c>
      <c r="U341" t="n">
        <v>5000</v>
      </c>
      <c r="V341" t="inlineStr"/>
      <c r="W341" t="inlineStr">
        <is>
          <t>Nej</t>
        </is>
      </c>
      <c r="X341" t="inlineStr">
        <is>
          <t>Nej</t>
        </is>
      </c>
      <c r="Y341" t="inlineStr">
        <is>
          <t>Nej</t>
        </is>
      </c>
      <c r="Z341" t="inlineStr">
        <is>
          <t>Nej</t>
        </is>
      </c>
      <c r="AA341" t="n">
        <v>4</v>
      </c>
      <c r="AB341" t="inlineStr">
        <is>
          <t>Avfallsmangder och lagringstid</t>
        </is>
      </c>
      <c r="AC341" t="inlineStr">
        <is>
          <t>Avfallsforteckning</t>
        </is>
      </c>
      <c r="AD341" t="inlineStr">
        <is>
          <t>Nej</t>
        </is>
      </c>
      <c r="AE341" t="inlineStr">
        <is>
          <t>Nej</t>
        </is>
      </c>
      <c r="AF341" t="inlineStr">
        <is>
          <t>Ej behandlad</t>
        </is>
      </c>
      <c r="AG341" t="inlineStr">
        <is>
          <t>AUTO_GENERERAD. Verifiera citat mot kallfil.</t>
        </is>
      </c>
      <c r="AH341" t="inlineStr">
        <is>
          <t>MEDIUM</t>
        </is>
      </c>
      <c r="AI341" t="inlineStr">
        <is>
          <t>AUTO</t>
        </is>
      </c>
      <c r="AJ341" t="inlineStr">
        <is>
          <t>Nej</t>
        </is>
      </c>
      <c r="AK341" t="inlineStr"/>
      <c r="AL341" t="inlineStr"/>
      <c r="AM341" t="inlineStr"/>
      <c r="AN341" t="inlineStr"/>
      <c r="AO341" t="inlineStr">
        <is>
          <t>cmm4yuqq103u2cuqwxq5c1oxv</t>
        </is>
      </c>
      <c r="AP341" t="inlineStr">
        <is>
          <t>http://localhost:8787/api/admin/requirements/documents/cmm4yuqq103u2cuqwxq5c1oxv/view</t>
        </is>
      </c>
      <c r="AQ341">
        <f>HYPERLÄNK("http://localhost:8787/api/admin/requirements/documents/cmm4yuqq103u2cuqwxq5c1oxv/view";"Öppna PDF")</f>
        <v/>
      </c>
      <c r="AR341">
        <f>HYPERLINK("http://localhost:8787/api/admin/requirements/documents/cmm4yuqq103u2cuqwxq5c1oxv/view","Open PDF")</f>
        <v/>
      </c>
      <c r="AS341" t="inlineStr">
        <is>
          <t>cmm55w57p0004cuisfrtpqly8</t>
        </is>
      </c>
      <c r="AT341" t="inlineStr">
        <is>
          <t>cmm4xvu980000cuh4vj0usz09</t>
        </is>
      </c>
      <c r="AU341" t="inlineStr">
        <is>
          <t>Hässleholms</t>
        </is>
      </c>
      <c r="AV341" t="inlineStr">
        <is>
          <t>Kommun</t>
        </is>
      </c>
      <c r="AW341" t="inlineStr">
        <is>
          <t>Hässleholms kommun</t>
        </is>
      </c>
      <c r="AX341" t="inlineStr">
        <is>
          <t>0451-26</t>
        </is>
      </c>
      <c r="AY341" t="inlineStr">
        <is>
          <t>Anmalan</t>
        </is>
      </c>
      <c r="AZ341" t="inlineStr">
        <is>
          <t>2026-02-05</t>
        </is>
      </c>
      <c r="BA341" t="inlineStr">
        <is>
          <t>M-2025-1599 - MFV C-verksamhet.pdf</t>
        </is>
      </c>
      <c r="BB341" t="inlineStr">
        <is>
          <t>Sv:  Begäran om utlämnande av allmän handling – Anmälningar och beslut rörande mellanlagring av avfall samt anläggning av ytor</t>
        </is>
      </c>
      <c r="BC341" t="inlineStr">
        <is>
          <t>AUTO</t>
        </is>
      </c>
      <c r="BD341" t="inlineStr"/>
      <c r="BE341" t="inlineStr"/>
      <c r="BF341" t="inlineStr">
        <is>
          <t>AUTO_GENERERAD. Bekrafta metadata mot kallfil.</t>
        </is>
      </c>
      <c r="BG341">
        <f>HYPERLINK("C:\Users\jimmy\Desktop\Examens arbete\Kod\Ny mapp\remix_-copy-of-miljöbeslut.se-portal\M-2025-1599 - MFV C-verksamhet.pdf", "Öppna PDF")</f>
        <v/>
      </c>
    </row>
    <row r="342">
      <c r="A342" t="inlineStr">
        <is>
          <t>KRAV-AUTO-000341</t>
        </is>
      </c>
      <c r="B342" t="inlineStr">
        <is>
          <t>ADMIN-INDEX-2026-02-27-00000000125C043F57453246863FE664CAFE6A3F0700950291EA24F0614FB6ACEDB12BF0E31D00000000010C0000950291EA24F0614FB6ACEDB12BF0E31D00002087A5DB0000</t>
        </is>
      </c>
      <c r="C342" t="inlineStr">
        <is>
          <t>cmm4yuqpq03tqcuqwetdpqa2n</t>
        </is>
      </c>
      <c r="D342" t="inlineStr">
        <is>
          <t>http://localhost:8787/api/admin/requirements/documents/cmm4yuqpq03tqcuqwetdpqa2n/view</t>
        </is>
      </c>
      <c r="E342">
        <f>HYPERLÄNK("http://localhost:8787/api/admin/requirements/documents/cmm4yuqpq03tqcuqwetdpqa2n/view";"Öppna PDF")</f>
        <v/>
      </c>
      <c r="F342">
        <f>HYPERLINK("http://localhost:8787/api/admin/requirements/documents/cmm4yuqpq03tqcuqwetdpqa2n/view","Open PDF")</f>
        <v/>
      </c>
      <c r="G342" t="inlineStr">
        <is>
          <t>cmm55w57p0004cuisfrtpqly8</t>
        </is>
      </c>
      <c r="H342" t="inlineStr">
        <is>
          <t>Informationskrav</t>
        </is>
      </c>
      <c r="I342" t="inlineStr">
        <is>
          <t>MiljopaverkanForsiktighet</t>
        </is>
      </c>
      <c r="J342" t="inlineStr">
        <is>
          <t>Skyddsatgarder</t>
        </is>
      </c>
      <c r="K342" t="inlineStr">
        <is>
          <t>Då inga uppgifter har inkommit bedömer miljö- och stadsbyggnadsförvaltningen att den kunskap om avfallet som behövs för att kunna skydda människors hälsa och miljön mot skada eller olägenhet saknas.</t>
        </is>
      </c>
      <c r="L342" t="inlineStr">
        <is>
          <t>Då inga uppgifter har inkommit bedömer miljö- och stadsbyggnadsförvaltningen att den kunskap om avfallet som behövs för att kunna skydda människors hälsa och miljön mot skada eller olägenhet saknas.</t>
        </is>
      </c>
      <c r="M342" t="inlineStr">
        <is>
          <t>SKA</t>
        </is>
      </c>
      <c r="N342" t="inlineStr"/>
      <c r="O342" t="inlineStr"/>
      <c r="P342" t="inlineStr"/>
      <c r="Q342" t="inlineStr"/>
      <c r="R342" t="inlineStr">
        <is>
          <t>Alltid</t>
        </is>
      </c>
      <c r="S342" t="inlineStr"/>
      <c r="T342" t="inlineStr">
        <is>
          <t>26 70 00</t>
        </is>
      </c>
      <c r="U342" t="inlineStr"/>
      <c r="V342" t="inlineStr"/>
      <c r="W342" t="inlineStr">
        <is>
          <t>Nej</t>
        </is>
      </c>
      <c r="X342" t="inlineStr">
        <is>
          <t>Nej</t>
        </is>
      </c>
      <c r="Y342" t="inlineStr">
        <is>
          <t>Nej</t>
        </is>
      </c>
      <c r="Z342" t="inlineStr">
        <is>
          <t>Nej</t>
        </is>
      </c>
      <c r="AA342" t="n">
        <v>10</v>
      </c>
      <c r="AB342" t="inlineStr">
        <is>
          <t>Miljopaverkan och forsiktighetsmatt</t>
        </is>
      </c>
      <c r="AC342" t="inlineStr">
        <is>
          <t>Miljo-PM</t>
        </is>
      </c>
      <c r="AD342" t="inlineStr">
        <is>
          <t>Nej</t>
        </is>
      </c>
      <c r="AE342" t="inlineStr">
        <is>
          <t>Nej</t>
        </is>
      </c>
      <c r="AF342" t="inlineStr">
        <is>
          <t>Ej behandlad</t>
        </is>
      </c>
      <c r="AG342" t="inlineStr">
        <is>
          <t>AUTO_GENERERAD. Verifiera citat mot kallfil.</t>
        </is>
      </c>
      <c r="AH342" t="inlineStr">
        <is>
          <t>MEDIUM</t>
        </is>
      </c>
      <c r="AI342" t="inlineStr">
        <is>
          <t>AUTO</t>
        </is>
      </c>
      <c r="AJ342" t="inlineStr">
        <is>
          <t>Nej</t>
        </is>
      </c>
      <c r="AK342" t="inlineStr"/>
      <c r="AL342" t="inlineStr"/>
      <c r="AM342" t="inlineStr"/>
      <c r="AN342" t="inlineStr"/>
      <c r="AO342" t="inlineStr">
        <is>
          <t>cmm4yuqq103u2cuqwxq5c1oxv</t>
        </is>
      </c>
      <c r="AP342" t="inlineStr">
        <is>
          <t>http://localhost:8787/api/admin/requirements/documents/cmm4yuqq103u2cuqwxq5c1oxv/view</t>
        </is>
      </c>
      <c r="AQ342">
        <f>HYPERLÄNK("http://localhost:8787/api/admin/requirements/documents/cmm4yuqq103u2cuqwxq5c1oxv/view";"Öppna PDF")</f>
        <v/>
      </c>
      <c r="AR342">
        <f>HYPERLINK("http://localhost:8787/api/admin/requirements/documents/cmm4yuqq103u2cuqwxq5c1oxv/view","Open PDF")</f>
        <v/>
      </c>
      <c r="AS342" t="inlineStr">
        <is>
          <t>cmm55w57p0004cuisfrtpqly8</t>
        </is>
      </c>
      <c r="AT342" t="inlineStr">
        <is>
          <t>cmm4xvu980000cuh4vj0usz09</t>
        </is>
      </c>
      <c r="AU342" t="inlineStr">
        <is>
          <t>Hässleholms</t>
        </is>
      </c>
      <c r="AV342" t="inlineStr">
        <is>
          <t>Kommun</t>
        </is>
      </c>
      <c r="AW342" t="inlineStr">
        <is>
          <t>Hässleholms kommun</t>
        </is>
      </c>
      <c r="AX342" t="inlineStr">
        <is>
          <t>0451-26</t>
        </is>
      </c>
      <c r="AY342" t="inlineStr">
        <is>
          <t>Anmalan</t>
        </is>
      </c>
      <c r="AZ342" t="inlineStr">
        <is>
          <t>2026-02-05</t>
        </is>
      </c>
      <c r="BA342" t="inlineStr">
        <is>
          <t>M-2025-1599 - MFV C-verksamhet.pdf</t>
        </is>
      </c>
      <c r="BB342" t="inlineStr">
        <is>
          <t>Sv:  Begäran om utlämnande av allmän handling – Anmälningar och beslut rörande mellanlagring av avfall samt anläggning av ytor</t>
        </is>
      </c>
      <c r="BC342" t="inlineStr">
        <is>
          <t>AUTO</t>
        </is>
      </c>
      <c r="BD342" t="inlineStr"/>
      <c r="BE342" t="inlineStr"/>
      <c r="BF342" t="inlineStr">
        <is>
          <t>AUTO_GENERERAD. Bekrafta metadata mot kallfil.</t>
        </is>
      </c>
      <c r="BG342">
        <f>HYPERLINK("C:\Users\jimmy\Desktop\Examens arbete\Kod\Ny mapp\remix_-copy-of-miljöbeslut.se-portal\M-2025-1599 - MFV C-verksamhet.pdf", "Öppna PDF")</f>
        <v/>
      </c>
    </row>
    <row r="343">
      <c r="A343" t="inlineStr">
        <is>
          <t>KRAV-AUTO-000342</t>
        </is>
      </c>
      <c r="B343" t="inlineStr">
        <is>
          <t>ADMIN-INDEX-2026-02-27-00000000125C043F57453246863FE664CAFE6A3F0700950291EA24F0614FB6ACEDB12BF0E31D00000000010C0000950291EA24F0614FB6ACEDB12BF0E31D00002087A5DB0000</t>
        </is>
      </c>
      <c r="C343" t="inlineStr">
        <is>
          <t>cmm4yuqpn03tncuqwr2v487dq</t>
        </is>
      </c>
      <c r="D343" t="inlineStr">
        <is>
          <t>http://localhost:8787/api/admin/requirements/documents/cmm4yuqpn03tncuqwr2v487dq/view</t>
        </is>
      </c>
      <c r="E343">
        <f>HYPERLÄNK("http://localhost:8787/api/admin/requirements/documents/cmm4yuqpn03tncuqwr2v487dq/view";"Öppna PDF")</f>
        <v/>
      </c>
      <c r="F343">
        <f>HYPERLINK("http://localhost:8787/api/admin/requirements/documents/cmm4yuqpn03tncuqwr2v487dq/view","Open PDF")</f>
        <v/>
      </c>
      <c r="G343" t="inlineStr">
        <is>
          <t>cmm55w57p0004cuisfrtpqly8</t>
        </is>
      </c>
      <c r="H343" t="inlineStr">
        <is>
          <t>Informationskrav</t>
        </is>
      </c>
      <c r="I343" t="inlineStr">
        <is>
          <t>DagvattenLakvatten</t>
        </is>
      </c>
      <c r="J343" t="inlineStr">
        <is>
          <t>Uppsamling</t>
        </is>
      </c>
      <c r="K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43" t="inlineStr">
        <is>
          <t>SKA</t>
        </is>
      </c>
      <c r="N343" t="inlineStr"/>
      <c r="O343" t="inlineStr"/>
      <c r="P343" t="inlineStr">
        <is>
          <t>Arlig</t>
        </is>
      </c>
      <c r="Q343" t="inlineStr"/>
      <c r="R343" t="inlineStr">
        <is>
          <t>Vid nederbord och avrinning</t>
        </is>
      </c>
      <c r="S343" t="inlineStr"/>
      <c r="T343" t="inlineStr"/>
      <c r="U343" t="n">
        <v>5000</v>
      </c>
      <c r="V343" t="inlineStr"/>
      <c r="W343" t="inlineStr">
        <is>
          <t>Nej</t>
        </is>
      </c>
      <c r="X343" t="inlineStr">
        <is>
          <t>Ja</t>
        </is>
      </c>
      <c r="Y343" t="inlineStr">
        <is>
          <t>Ja</t>
        </is>
      </c>
      <c r="Z343" t="inlineStr">
        <is>
          <t>Nej</t>
        </is>
      </c>
      <c r="AA343" t="n">
        <v>6</v>
      </c>
      <c r="AB343" t="inlineStr">
        <is>
          <t>Lakvattenhantering</t>
        </is>
      </c>
      <c r="AC343" t="inlineStr">
        <is>
          <t>Flodesschema dagvatten-lakvatten</t>
        </is>
      </c>
      <c r="AD343" t="inlineStr">
        <is>
          <t>Nej</t>
        </is>
      </c>
      <c r="AE343" t="inlineStr">
        <is>
          <t>Nej</t>
        </is>
      </c>
      <c r="AF343" t="inlineStr">
        <is>
          <t>Ej behandlad</t>
        </is>
      </c>
      <c r="AG343" t="inlineStr">
        <is>
          <t>AUTO_GENERERAD. Verifiera citat mot kallfil.</t>
        </is>
      </c>
      <c r="AH343" t="inlineStr">
        <is>
          <t>MEDIUM</t>
        </is>
      </c>
      <c r="AI343" t="inlineStr">
        <is>
          <t>AUTO</t>
        </is>
      </c>
      <c r="AJ343" t="inlineStr">
        <is>
          <t>Nej</t>
        </is>
      </c>
      <c r="AK343" t="inlineStr"/>
      <c r="AL343" t="inlineStr"/>
      <c r="AM343" t="inlineStr"/>
      <c r="AN343" t="inlineStr"/>
      <c r="AO343" t="inlineStr">
        <is>
          <t>cmm4yuqq103u2cuqwxq5c1oxv</t>
        </is>
      </c>
      <c r="AP343" t="inlineStr">
        <is>
          <t>http://localhost:8787/api/admin/requirements/documents/cmm4yuqq103u2cuqwxq5c1oxv/view</t>
        </is>
      </c>
      <c r="AQ343">
        <f>HYPERLÄNK("http://localhost:8787/api/admin/requirements/documents/cmm4yuqq103u2cuqwxq5c1oxv/view";"Öppna PDF")</f>
        <v/>
      </c>
      <c r="AR343">
        <f>HYPERLINK("http://localhost:8787/api/admin/requirements/documents/cmm4yuqq103u2cuqwxq5c1oxv/view","Open PDF")</f>
        <v/>
      </c>
      <c r="AS343" t="inlineStr">
        <is>
          <t>cmm55w57p0004cuisfrtpqly8</t>
        </is>
      </c>
      <c r="AT343" t="inlineStr">
        <is>
          <t>cmm4xvu980000cuh4vj0usz09</t>
        </is>
      </c>
      <c r="AU343" t="inlineStr">
        <is>
          <t>Hässleholms</t>
        </is>
      </c>
      <c r="AV343" t="inlineStr">
        <is>
          <t>Kommun</t>
        </is>
      </c>
      <c r="AW343" t="inlineStr">
        <is>
          <t>Hässleholms kommun</t>
        </is>
      </c>
      <c r="AX343" t="inlineStr">
        <is>
          <t>0451-26</t>
        </is>
      </c>
      <c r="AY343" t="inlineStr">
        <is>
          <t>Anmalan</t>
        </is>
      </c>
      <c r="AZ343" t="inlineStr">
        <is>
          <t>2026-02-05</t>
        </is>
      </c>
      <c r="BA343" t="inlineStr">
        <is>
          <t>M-2025-1599 - MFV C-verksamhet.pdf</t>
        </is>
      </c>
      <c r="BB343" t="inlineStr">
        <is>
          <t>Sv:  Begäran om utlämnande av allmän handling – Anmälningar och beslut rörande mellanlagring av avfall samt anläggning av ytor</t>
        </is>
      </c>
      <c r="BC343" t="inlineStr">
        <is>
          <t>AUTO</t>
        </is>
      </c>
      <c r="BD343" t="inlineStr"/>
      <c r="BE343" t="inlineStr"/>
      <c r="BF343" t="inlineStr">
        <is>
          <t>AUTO_GENERERAD. Bekrafta metadata mot kallfil.</t>
        </is>
      </c>
      <c r="BG343">
        <f>HYPERLINK("C:\Users\jimmy\Desktop\Examens arbete\Kod\Ny mapp\remix_-copy-of-miljöbeslut.se-portal\M-2025-1599 - MFV C-verksamhet.pdf", "Öppna PDF")</f>
        <v/>
      </c>
    </row>
    <row r="344">
      <c r="A344" t="inlineStr">
        <is>
          <t>KRAV-AUTO-000343</t>
        </is>
      </c>
      <c r="B344" t="inlineStr">
        <is>
          <t>ADMIN-INDEX-2026-02-27-00000000125C043F57453246863FE664CAFE6A3F0700950291EA24F0614FB6ACEDB12BF0E31D00000000010C0000950291EA24F0614FB6ACEDB12BF0E31D00002087A5DB0000</t>
        </is>
      </c>
      <c r="C344" t="inlineStr">
        <is>
          <t>cmm4yuqpn03tncuqwr2v487dq</t>
        </is>
      </c>
      <c r="D344" t="inlineStr">
        <is>
          <t>http://localhost:8787/api/admin/requirements/documents/cmm4yuqpn03tncuqwr2v487dq/view</t>
        </is>
      </c>
      <c r="E344">
        <f>HYPERLÄNK("http://localhost:8787/api/admin/requirements/documents/cmm4yuqpn03tncuqwr2v487dq/view";"Öppna PDF")</f>
        <v/>
      </c>
      <c r="F344">
        <f>HYPERLINK("http://localhost:8787/api/admin/requirements/documents/cmm4yuqpn03tncuqwr2v487dq/view","Open PDF")</f>
        <v/>
      </c>
      <c r="G344" t="inlineStr">
        <is>
          <t>cmm55w57p0004cuisfrtpqly8</t>
        </is>
      </c>
      <c r="H344" t="inlineStr">
        <is>
          <t>Informationskrav</t>
        </is>
      </c>
      <c r="I344" t="inlineStr">
        <is>
          <t>DagvattenLakvatten</t>
        </is>
      </c>
      <c r="J344" t="inlineStr">
        <is>
          <t>Uppsamling</t>
        </is>
      </c>
      <c r="K344" t="inlineStr">
        <is>
          <t>6 § miljöbalken (SFS 1998:808) krävs en anmälan vid användning av avfall för anläggningsändamål på ett sätt som kan förorena mark, vattenområde eller grundvatten och där föroreningsrisken bedöms som ringa.</t>
        </is>
      </c>
      <c r="L344" t="inlineStr">
        <is>
          <t>6 § miljöbalken (SFS 1998:808) krävs en anmälan vid användning av avfall för anläggningsändamål på ett sätt som kan förorena mark, vattenområde eller grundvatten och där föroreningsrisken bedöms som ringa.</t>
        </is>
      </c>
      <c r="M344" t="inlineStr">
        <is>
          <t>SKA</t>
        </is>
      </c>
      <c r="N344" t="inlineStr">
        <is>
          <t>Miljobalken</t>
        </is>
      </c>
      <c r="O344" t="inlineStr"/>
      <c r="P344" t="inlineStr"/>
      <c r="Q344" t="inlineStr"/>
      <c r="R344" t="inlineStr">
        <is>
          <t>Vid nederbord och avrinning</t>
        </is>
      </c>
      <c r="S344" t="inlineStr"/>
      <c r="T344" t="inlineStr"/>
      <c r="U344" t="inlineStr"/>
      <c r="V344" t="inlineStr"/>
      <c r="W344" t="inlineStr">
        <is>
          <t>Nej</t>
        </is>
      </c>
      <c r="X344" t="inlineStr">
        <is>
          <t>Ja</t>
        </is>
      </c>
      <c r="Y344" t="inlineStr">
        <is>
          <t>Ja</t>
        </is>
      </c>
      <c r="Z344" t="inlineStr">
        <is>
          <t>Nej</t>
        </is>
      </c>
      <c r="AA344" t="n">
        <v>6</v>
      </c>
      <c r="AB344" t="inlineStr">
        <is>
          <t>Lakvattenhantering</t>
        </is>
      </c>
      <c r="AC344" t="inlineStr">
        <is>
          <t>Flodesschema dagvatten-lakvatten</t>
        </is>
      </c>
      <c r="AD344" t="inlineStr">
        <is>
          <t>Nej</t>
        </is>
      </c>
      <c r="AE344" t="inlineStr">
        <is>
          <t>Nej</t>
        </is>
      </c>
      <c r="AF344" t="inlineStr">
        <is>
          <t>Ej behandlad</t>
        </is>
      </c>
      <c r="AG344" t="inlineStr">
        <is>
          <t>AUTO_GENERERAD. Verifiera citat mot kallfil.</t>
        </is>
      </c>
      <c r="AH344" t="inlineStr">
        <is>
          <t>MEDIUM</t>
        </is>
      </c>
      <c r="AI344" t="inlineStr">
        <is>
          <t>AUTO</t>
        </is>
      </c>
      <c r="AJ344" t="inlineStr">
        <is>
          <t>Nej</t>
        </is>
      </c>
      <c r="AK344" t="inlineStr"/>
      <c r="AL344" t="inlineStr"/>
      <c r="AM344" t="inlineStr"/>
      <c r="AN344" t="inlineStr"/>
      <c r="AO344" t="inlineStr">
        <is>
          <t>cmm4yuqq103u2cuqwxq5c1oxv</t>
        </is>
      </c>
      <c r="AP344" t="inlineStr">
        <is>
          <t>http://localhost:8787/api/admin/requirements/documents/cmm4yuqq103u2cuqwxq5c1oxv/view</t>
        </is>
      </c>
      <c r="AQ344">
        <f>HYPERLÄNK("http://localhost:8787/api/admin/requirements/documents/cmm4yuqq103u2cuqwxq5c1oxv/view";"Öppna PDF")</f>
        <v/>
      </c>
      <c r="AR344">
        <f>HYPERLINK("http://localhost:8787/api/admin/requirements/documents/cmm4yuqq103u2cuqwxq5c1oxv/view","Open PDF")</f>
        <v/>
      </c>
      <c r="AS344" t="inlineStr">
        <is>
          <t>cmm55w57p0004cuisfrtpqly8</t>
        </is>
      </c>
      <c r="AT344" t="inlineStr">
        <is>
          <t>cmm4xvu980000cuh4vj0usz09</t>
        </is>
      </c>
      <c r="AU344" t="inlineStr">
        <is>
          <t>Hässleholms</t>
        </is>
      </c>
      <c r="AV344" t="inlineStr">
        <is>
          <t>Kommun</t>
        </is>
      </c>
      <c r="AW344" t="inlineStr">
        <is>
          <t>Hässleholms kommun</t>
        </is>
      </c>
      <c r="AX344" t="inlineStr">
        <is>
          <t>0451-26</t>
        </is>
      </c>
      <c r="AY344" t="inlineStr">
        <is>
          <t>Anmalan</t>
        </is>
      </c>
      <c r="AZ344" t="inlineStr">
        <is>
          <t>2026-02-05</t>
        </is>
      </c>
      <c r="BA344" t="inlineStr">
        <is>
          <t>M-2025-1599 - MFV C-verksamhet.pdf</t>
        </is>
      </c>
      <c r="BB344" t="inlineStr">
        <is>
          <t>Sv:  Begäran om utlämnande av allmän handling – Anmälningar och beslut rörande mellanlagring av avfall samt anläggning av ytor</t>
        </is>
      </c>
      <c r="BC344" t="inlineStr">
        <is>
          <t>AUTO</t>
        </is>
      </c>
      <c r="BD344" t="inlineStr"/>
      <c r="BE344" t="inlineStr"/>
      <c r="BF344" t="inlineStr">
        <is>
          <t>AUTO_GENERERAD. Bekrafta metadata mot kallfil.</t>
        </is>
      </c>
      <c r="BG344">
        <f>HYPERLINK("C:\Users\jimmy\Desktop\Examens arbete\Kod\Ny mapp\remix_-copy-of-miljöbeslut.se-portal\M-2025-1599 - MFV C-verksamhet.pdf", "Öppna PDF")</f>
        <v/>
      </c>
    </row>
    <row r="345">
      <c r="A345" t="inlineStr">
        <is>
          <t>KRAV-AUTO-000344</t>
        </is>
      </c>
      <c r="B345" t="inlineStr">
        <is>
          <t>ADMIN-INDEX-2026-02-27-00000000125C043F57453246863FE664CAFE6A3F0700950291EA24F0614FB6ACEDB12BF0E31D00000000010C0000950291EA24F0614FB6ACEDB12BF0E31D00002087A5DB0000</t>
        </is>
      </c>
      <c r="C345" t="inlineStr">
        <is>
          <t>cmm4yuqpn03tncuqwr2v487dq</t>
        </is>
      </c>
      <c r="D345" t="inlineStr">
        <is>
          <t>http://localhost:8787/api/admin/requirements/documents/cmm4yuqpn03tncuqwr2v487dq/view</t>
        </is>
      </c>
      <c r="E345">
        <f>HYPERLÄNK("http://localhost:8787/api/admin/requirements/documents/cmm4yuqpn03tncuqwr2v487dq/view";"Öppna PDF")</f>
        <v/>
      </c>
      <c r="F345">
        <f>HYPERLINK("http://localhost:8787/api/admin/requirements/documents/cmm4yuqpn03tncuqwr2v487dq/view","Open PDF")</f>
        <v/>
      </c>
      <c r="G345" t="inlineStr">
        <is>
          <t>cmm55w57p0004cuisfrtpqly8</t>
        </is>
      </c>
      <c r="H345" t="inlineStr">
        <is>
          <t>Informationskrav</t>
        </is>
      </c>
      <c r="I345" t="inlineStr">
        <is>
          <t>MiljopaverkanForsiktighet</t>
        </is>
      </c>
      <c r="J345" t="inlineStr">
        <is>
          <t>Skyddsatgarder</t>
        </is>
      </c>
      <c r="K345" t="inlineStr">
        <is>
          <t>Skalenliga profilskisser av platsen där avfallet ska användas.</t>
        </is>
      </c>
      <c r="L345" t="inlineStr">
        <is>
          <t>Skalenliga profilskisser av platsen där avfallet ska användas.</t>
        </is>
      </c>
      <c r="M345" t="inlineStr">
        <is>
          <t>SKA</t>
        </is>
      </c>
      <c r="N345" t="inlineStr"/>
      <c r="O345" t="inlineStr"/>
      <c r="P345" t="inlineStr"/>
      <c r="Q345" t="inlineStr"/>
      <c r="R345" t="inlineStr">
        <is>
          <t>Alltid</t>
        </is>
      </c>
      <c r="S345" t="inlineStr"/>
      <c r="T345" t="inlineStr"/>
      <c r="U345" t="inlineStr"/>
      <c r="V345" t="inlineStr"/>
      <c r="W345" t="inlineStr">
        <is>
          <t>Nej</t>
        </is>
      </c>
      <c r="X345" t="inlineStr">
        <is>
          <t>Nej</t>
        </is>
      </c>
      <c r="Y345" t="inlineStr">
        <is>
          <t>Nej</t>
        </is>
      </c>
      <c r="Z345" t="inlineStr">
        <is>
          <t>Nej</t>
        </is>
      </c>
      <c r="AA345" t="n">
        <v>10</v>
      </c>
      <c r="AB345" t="inlineStr">
        <is>
          <t>Miljopaverkan och forsiktighetsmatt</t>
        </is>
      </c>
      <c r="AC345" t="inlineStr">
        <is>
          <t>Miljo-PM</t>
        </is>
      </c>
      <c r="AD345" t="inlineStr">
        <is>
          <t>Nej</t>
        </is>
      </c>
      <c r="AE345" t="inlineStr">
        <is>
          <t>Nej</t>
        </is>
      </c>
      <c r="AF345" t="inlineStr">
        <is>
          <t>Ej behandlad</t>
        </is>
      </c>
      <c r="AG345" t="inlineStr">
        <is>
          <t>AUTO_GENERERAD. Verifiera citat mot kallfil.</t>
        </is>
      </c>
      <c r="AH345" t="inlineStr">
        <is>
          <t>MEDIUM</t>
        </is>
      </c>
      <c r="AI345" t="inlineStr">
        <is>
          <t>AUTO</t>
        </is>
      </c>
      <c r="AJ345" t="inlineStr">
        <is>
          <t>Nej</t>
        </is>
      </c>
      <c r="AK345" t="inlineStr"/>
      <c r="AL345" t="inlineStr"/>
      <c r="AM345" t="inlineStr"/>
      <c r="AN345" t="inlineStr"/>
      <c r="AO345" t="inlineStr">
        <is>
          <t>cmm4yuqq103u2cuqwxq5c1oxv</t>
        </is>
      </c>
      <c r="AP345" t="inlineStr">
        <is>
          <t>http://localhost:8787/api/admin/requirements/documents/cmm4yuqq103u2cuqwxq5c1oxv/view</t>
        </is>
      </c>
      <c r="AQ345">
        <f>HYPERLÄNK("http://localhost:8787/api/admin/requirements/documents/cmm4yuqq103u2cuqwxq5c1oxv/view";"Öppna PDF")</f>
        <v/>
      </c>
      <c r="AR345">
        <f>HYPERLINK("http://localhost:8787/api/admin/requirements/documents/cmm4yuqq103u2cuqwxq5c1oxv/view","Open PDF")</f>
        <v/>
      </c>
      <c r="AS345" t="inlineStr">
        <is>
          <t>cmm55w57p0004cuisfrtpqly8</t>
        </is>
      </c>
      <c r="AT345" t="inlineStr">
        <is>
          <t>cmm4xvu980000cuh4vj0usz09</t>
        </is>
      </c>
      <c r="AU345" t="inlineStr">
        <is>
          <t>Hässleholms</t>
        </is>
      </c>
      <c r="AV345" t="inlineStr">
        <is>
          <t>Kommun</t>
        </is>
      </c>
      <c r="AW345" t="inlineStr">
        <is>
          <t>Hässleholms kommun</t>
        </is>
      </c>
      <c r="AX345" t="inlineStr">
        <is>
          <t>0451-26</t>
        </is>
      </c>
      <c r="AY345" t="inlineStr">
        <is>
          <t>Anmalan</t>
        </is>
      </c>
      <c r="AZ345" t="inlineStr">
        <is>
          <t>2026-02-05</t>
        </is>
      </c>
      <c r="BA345" t="inlineStr">
        <is>
          <t>M-2025-1599 - MFV C-verksamhet.pdf</t>
        </is>
      </c>
      <c r="BB345" t="inlineStr">
        <is>
          <t>Sv:  Begäran om utlämnande av allmän handling – Anmälningar och beslut rörande mellanlagring av avfall samt anläggning av ytor</t>
        </is>
      </c>
      <c r="BC345" t="inlineStr">
        <is>
          <t>AUTO</t>
        </is>
      </c>
      <c r="BD345" t="inlineStr"/>
      <c r="BE345" t="inlineStr"/>
      <c r="BF345" t="inlineStr">
        <is>
          <t>AUTO_GENERERAD. Bekrafta metadata mot kallfil.</t>
        </is>
      </c>
      <c r="BG345">
        <f>HYPERLINK("C:\Users\jimmy\Desktop\Examens arbete\Kod\Ny mapp\remix_-copy-of-miljöbeslut.se-portal\M-2025-1599 - MFV C-verksamhet.pdf", "Öppna PDF")</f>
        <v/>
      </c>
    </row>
    <row r="346">
      <c r="A346" t="inlineStr">
        <is>
          <t>KRAV-AUTO-000345</t>
        </is>
      </c>
      <c r="B346" t="inlineStr">
        <is>
          <t>ADMIN-INDEX-2026-02-27-00000000125C043F57453246863FE664CAFE6A3F0700950291EA24F0614FB6ACEDB12BF0E31D00000000010C0000950291EA24F0614FB6ACEDB12BF0E31D00002087A5DB0000</t>
        </is>
      </c>
      <c r="C346" t="inlineStr">
        <is>
          <t>cmm4yuqpd03tbcuqw7a0q4p57</t>
        </is>
      </c>
      <c r="D346" t="inlineStr">
        <is>
          <t>http://localhost:8787/api/admin/requirements/documents/cmm4yuqpd03tbcuqw7a0q4p57/view</t>
        </is>
      </c>
      <c r="E346">
        <f>HYPERLÄNK("http://localhost:8787/api/admin/requirements/documents/cmm4yuqpd03tbcuqw7a0q4p57/view";"Öppna PDF")</f>
        <v/>
      </c>
      <c r="F346">
        <f>HYPERLINK("http://localhost:8787/api/admin/requirements/documents/cmm4yuqpd03tbcuqw7a0q4p57/view","Open PDF")</f>
        <v/>
      </c>
      <c r="G346" t="inlineStr">
        <is>
          <t>cmm55w57p0004cuisfrtpqly8</t>
        </is>
      </c>
      <c r="H346" t="inlineStr">
        <is>
          <t>Informationskrav</t>
        </is>
      </c>
      <c r="I346" t="inlineStr">
        <is>
          <t>DagvattenLakvatten</t>
        </is>
      </c>
      <c r="J346" t="inlineStr">
        <is>
          <t>Uppsamling</t>
        </is>
      </c>
      <c r="K346" t="inlineStr">
        <is>
          <t>All förvaring av övriga kemiska produkter och farligt avfall ska ske på yta som är tät och beständig mot de produkter och det avfall som lagras, invallad samt skyddad från nederbörd och dagvatten.</t>
        </is>
      </c>
      <c r="L346" t="inlineStr">
        <is>
          <t>All förvaring av övriga kemiska produkter och farligt avfall ska ske på yta som är tät och beständig mot de produkter och det avfall som lagras, invallad samt skyddad från nederbörd och dagvatten.</t>
        </is>
      </c>
      <c r="M346" t="inlineStr">
        <is>
          <t>SKA</t>
        </is>
      </c>
      <c r="N346" t="inlineStr"/>
      <c r="O346" t="inlineStr"/>
      <c r="P346" t="inlineStr">
        <is>
          <t>Arlig</t>
        </is>
      </c>
      <c r="Q346" t="inlineStr"/>
      <c r="R346" t="inlineStr">
        <is>
          <t>Vid nederbord och avrinning</t>
        </is>
      </c>
      <c r="S346" t="inlineStr"/>
      <c r="T346" t="inlineStr">
        <is>
          <t>26 70 00</t>
        </is>
      </c>
      <c r="U346" t="inlineStr"/>
      <c r="V346" t="inlineStr"/>
      <c r="W346" t="inlineStr">
        <is>
          <t>Nej</t>
        </is>
      </c>
      <c r="X346" t="inlineStr">
        <is>
          <t>Ja</t>
        </is>
      </c>
      <c r="Y346" t="inlineStr">
        <is>
          <t>Ja</t>
        </is>
      </c>
      <c r="Z346" t="inlineStr">
        <is>
          <t>Nej</t>
        </is>
      </c>
      <c r="AA346" t="n">
        <v>6</v>
      </c>
      <c r="AB346" t="inlineStr">
        <is>
          <t>Lakvattenhantering</t>
        </is>
      </c>
      <c r="AC346" t="inlineStr">
        <is>
          <t>Flodesschema dagvatten-lakvatten</t>
        </is>
      </c>
      <c r="AD346" t="inlineStr">
        <is>
          <t>Nej</t>
        </is>
      </c>
      <c r="AE346" t="inlineStr">
        <is>
          <t>Nej</t>
        </is>
      </c>
      <c r="AF346" t="inlineStr">
        <is>
          <t>Ej behandlad</t>
        </is>
      </c>
      <c r="AG346" t="inlineStr">
        <is>
          <t>AUTO_GENERERAD. Verifiera citat mot kallfil.</t>
        </is>
      </c>
      <c r="AH346" t="inlineStr">
        <is>
          <t>MEDIUM</t>
        </is>
      </c>
      <c r="AI346" t="inlineStr">
        <is>
          <t>AUTO</t>
        </is>
      </c>
      <c r="AJ346" t="inlineStr">
        <is>
          <t>Nej</t>
        </is>
      </c>
      <c r="AK346" t="inlineStr"/>
      <c r="AL346" t="inlineStr"/>
      <c r="AM346" t="inlineStr"/>
      <c r="AN346" t="inlineStr"/>
      <c r="AO346" t="inlineStr">
        <is>
          <t>cmm4yuqq103u2cuqwxq5c1oxv</t>
        </is>
      </c>
      <c r="AP346" t="inlineStr">
        <is>
          <t>http://localhost:8787/api/admin/requirements/documents/cmm4yuqq103u2cuqwxq5c1oxv/view</t>
        </is>
      </c>
      <c r="AQ346">
        <f>HYPERLÄNK("http://localhost:8787/api/admin/requirements/documents/cmm4yuqq103u2cuqwxq5c1oxv/view";"Öppna PDF")</f>
        <v/>
      </c>
      <c r="AR346">
        <f>HYPERLINK("http://localhost:8787/api/admin/requirements/documents/cmm4yuqq103u2cuqwxq5c1oxv/view","Open PDF")</f>
        <v/>
      </c>
      <c r="AS346" t="inlineStr">
        <is>
          <t>cmm55w57p0004cuisfrtpqly8</t>
        </is>
      </c>
      <c r="AT346" t="inlineStr">
        <is>
          <t>cmm4xvu980000cuh4vj0usz09</t>
        </is>
      </c>
      <c r="AU346" t="inlineStr">
        <is>
          <t>Hässleholms</t>
        </is>
      </c>
      <c r="AV346" t="inlineStr">
        <is>
          <t>Kommun</t>
        </is>
      </c>
      <c r="AW346" t="inlineStr">
        <is>
          <t>Hässleholms kommun</t>
        </is>
      </c>
      <c r="AX346" t="inlineStr">
        <is>
          <t>0451-26</t>
        </is>
      </c>
      <c r="AY346" t="inlineStr">
        <is>
          <t>Anmalan</t>
        </is>
      </c>
      <c r="AZ346" t="inlineStr">
        <is>
          <t>2026-02-05</t>
        </is>
      </c>
      <c r="BA346" t="inlineStr">
        <is>
          <t>M-2025-1599 - MFV C-verksamhet.pdf</t>
        </is>
      </c>
      <c r="BB346" t="inlineStr">
        <is>
          <t>Sv:  Begäran om utlämnande av allmän handling – Anmälningar och beslut rörande mellanlagring av avfall samt anläggning av ytor</t>
        </is>
      </c>
      <c r="BC346" t="inlineStr">
        <is>
          <t>AUTO</t>
        </is>
      </c>
      <c r="BD346" t="inlineStr"/>
      <c r="BE346" t="inlineStr"/>
      <c r="BF346" t="inlineStr">
        <is>
          <t>AUTO_GENERERAD. Bekrafta metadata mot kallfil.</t>
        </is>
      </c>
      <c r="BG346">
        <f>HYPERLINK("C:\Users\jimmy\Desktop\Examens arbete\Kod\Ny mapp\remix_-copy-of-miljöbeslut.se-portal\M-2025-1599 - MFV C-verksamhet.pdf", "Öppna PDF")</f>
        <v/>
      </c>
    </row>
    <row r="347">
      <c r="A347" t="inlineStr">
        <is>
          <t>KRAV-AUTO-000346</t>
        </is>
      </c>
      <c r="B347" t="inlineStr">
        <is>
          <t>ADMIN-INDEX-2026-02-27-00000000125C043F57453246863FE664CAFE6A3F0700950291EA24F0614FB6ACEDB12BF0E31D00000000010C0000950291EA24F0614FB6ACEDB12BF0E31D00002087A5DB0000</t>
        </is>
      </c>
      <c r="C347" t="inlineStr">
        <is>
          <t>cmm4yuqpd03tbcuqw7a0q4p57</t>
        </is>
      </c>
      <c r="D347" t="inlineStr">
        <is>
          <t>http://localhost:8787/api/admin/requirements/documents/cmm4yuqpd03tbcuqw7a0q4p57/view</t>
        </is>
      </c>
      <c r="E347">
        <f>HYPERLÄNK("http://localhost:8787/api/admin/requirements/documents/cmm4yuqpd03tbcuqw7a0q4p57/view";"Öppna PDF")</f>
        <v/>
      </c>
      <c r="F347">
        <f>HYPERLINK("http://localhost:8787/api/admin/requirements/documents/cmm4yuqpd03tbcuqw7a0q4p57/view","Open PDF")</f>
        <v/>
      </c>
      <c r="G347" t="inlineStr">
        <is>
          <t>cmm55w57p0004cuisfrtpqly8</t>
        </is>
      </c>
      <c r="H347" t="inlineStr">
        <is>
          <t>Informationskrav</t>
        </is>
      </c>
      <c r="I347" t="inlineStr">
        <is>
          <t>LagringsvolymTid</t>
        </is>
      </c>
      <c r="J347" t="inlineStr">
        <is>
          <t>Maxmangd</t>
        </is>
      </c>
      <c r="K347" t="inlineStr">
        <is>
          <t>Mängden farligt avfall, i detta fall katalysatorer får inte vid något tillfälle uppgå till mer än 1 ton.</t>
        </is>
      </c>
      <c r="L347" t="inlineStr">
        <is>
          <t>Mängden farligt avfall, i detta fall katalysatorer får inte vid något tillfälle uppgå till mer än 1 ton.</t>
        </is>
      </c>
      <c r="M347" t="inlineStr">
        <is>
          <t>SKA</t>
        </is>
      </c>
      <c r="N347" t="inlineStr"/>
      <c r="O347" t="inlineStr"/>
      <c r="P347" t="inlineStr">
        <is>
          <t>Arlig</t>
        </is>
      </c>
      <c r="Q347" t="inlineStr">
        <is>
          <t>Driftbegransning vid avvikelse</t>
        </is>
      </c>
      <c r="R347" t="inlineStr">
        <is>
          <t>Alltid</t>
        </is>
      </c>
      <c r="S347" t="inlineStr"/>
      <c r="T347" t="inlineStr">
        <is>
          <t>26 70 00</t>
        </is>
      </c>
      <c r="U347" t="n">
        <v>1</v>
      </c>
      <c r="V347" t="inlineStr"/>
      <c r="W347" t="inlineStr">
        <is>
          <t>Nej</t>
        </is>
      </c>
      <c r="X347" t="inlineStr">
        <is>
          <t>Nej</t>
        </is>
      </c>
      <c r="Y347" t="inlineStr">
        <is>
          <t>Nej</t>
        </is>
      </c>
      <c r="Z347" t="inlineStr">
        <is>
          <t>Nej</t>
        </is>
      </c>
      <c r="AA347" t="n">
        <v>4</v>
      </c>
      <c r="AB347" t="inlineStr">
        <is>
          <t>Avfallsmangder och lagringstid</t>
        </is>
      </c>
      <c r="AC347" t="inlineStr">
        <is>
          <t>Avfallsforteckning</t>
        </is>
      </c>
      <c r="AD347" t="inlineStr">
        <is>
          <t>Nej</t>
        </is>
      </c>
      <c r="AE347" t="inlineStr">
        <is>
          <t>Nej</t>
        </is>
      </c>
      <c r="AF347" t="inlineStr">
        <is>
          <t>Ej behandlad</t>
        </is>
      </c>
      <c r="AG347" t="inlineStr">
        <is>
          <t>AUTO_GENERERAD. Verifiera citat mot kallfil.</t>
        </is>
      </c>
      <c r="AH347" t="inlineStr">
        <is>
          <t>MEDIUM</t>
        </is>
      </c>
      <c r="AI347" t="inlineStr">
        <is>
          <t>AUTO</t>
        </is>
      </c>
      <c r="AJ347" t="inlineStr">
        <is>
          <t>Nej</t>
        </is>
      </c>
      <c r="AK347" t="inlineStr"/>
      <c r="AL347" t="inlineStr"/>
      <c r="AM347" t="inlineStr"/>
      <c r="AN347" t="inlineStr"/>
      <c r="AO347" t="inlineStr">
        <is>
          <t>cmm4yuqq103u2cuqwxq5c1oxv</t>
        </is>
      </c>
      <c r="AP347" t="inlineStr">
        <is>
          <t>http://localhost:8787/api/admin/requirements/documents/cmm4yuqq103u2cuqwxq5c1oxv/view</t>
        </is>
      </c>
      <c r="AQ347">
        <f>HYPERLÄNK("http://localhost:8787/api/admin/requirements/documents/cmm4yuqq103u2cuqwxq5c1oxv/view";"Öppna PDF")</f>
        <v/>
      </c>
      <c r="AR347">
        <f>HYPERLINK("http://localhost:8787/api/admin/requirements/documents/cmm4yuqq103u2cuqwxq5c1oxv/view","Open PDF")</f>
        <v/>
      </c>
      <c r="AS347" t="inlineStr">
        <is>
          <t>cmm55w57p0004cuisfrtpqly8</t>
        </is>
      </c>
      <c r="AT347" t="inlineStr">
        <is>
          <t>cmm4xvu980000cuh4vj0usz09</t>
        </is>
      </c>
      <c r="AU347" t="inlineStr">
        <is>
          <t>Hässleholms</t>
        </is>
      </c>
      <c r="AV347" t="inlineStr">
        <is>
          <t>Kommun</t>
        </is>
      </c>
      <c r="AW347" t="inlineStr">
        <is>
          <t>Hässleholms kommun</t>
        </is>
      </c>
      <c r="AX347" t="inlineStr">
        <is>
          <t>0451-26</t>
        </is>
      </c>
      <c r="AY347" t="inlineStr">
        <is>
          <t>Anmalan</t>
        </is>
      </c>
      <c r="AZ347" t="inlineStr">
        <is>
          <t>2026-02-05</t>
        </is>
      </c>
      <c r="BA347" t="inlineStr">
        <is>
          <t>M-2025-1599 - MFV C-verksamhet.pdf</t>
        </is>
      </c>
      <c r="BB347" t="inlineStr">
        <is>
          <t>Sv:  Begäran om utlämnande av allmän handling – Anmälningar och beslut rörande mellanlagring av avfall samt anläggning av ytor</t>
        </is>
      </c>
      <c r="BC347" t="inlineStr">
        <is>
          <t>AUTO</t>
        </is>
      </c>
      <c r="BD347" t="inlineStr"/>
      <c r="BE347" t="inlineStr"/>
      <c r="BF347" t="inlineStr">
        <is>
          <t>AUTO_GENERERAD. Bekrafta metadata mot kallfil.</t>
        </is>
      </c>
      <c r="BG347">
        <f>HYPERLINK("C:\Users\jimmy\Desktop\Examens arbete\Kod\Ny mapp\remix_-copy-of-miljöbeslut.se-portal\M-2025-1599 - MFV C-verksamhet.pdf", "Öppna PDF")</f>
        <v/>
      </c>
    </row>
    <row r="348">
      <c r="A348" t="inlineStr">
        <is>
          <t>KRAV-AUTO-000347</t>
        </is>
      </c>
      <c r="B348" t="inlineStr">
        <is>
          <t>ADMIN-INDEX-2026-02-27-00000000125C043F57453246863FE664CAFE6A3F0700950291EA24F0614FB6ACEDB12BF0E31D00000000010C0000950291EA24F0614FB6ACEDB12BF0E31D00002087A5DB0000</t>
        </is>
      </c>
      <c r="C348" t="inlineStr">
        <is>
          <t>cmm4yuqpd03tbcuqw7a0q4p57</t>
        </is>
      </c>
      <c r="D348" t="inlineStr">
        <is>
          <t>http://localhost:8787/api/admin/requirements/documents/cmm4yuqpd03tbcuqw7a0q4p57/view</t>
        </is>
      </c>
      <c r="E348">
        <f>HYPERLÄNK("http://localhost:8787/api/admin/requirements/documents/cmm4yuqpd03tbcuqw7a0q4p57/view";"Öppna PDF")</f>
        <v/>
      </c>
      <c r="F348">
        <f>HYPERLINK("http://localhost:8787/api/admin/requirements/documents/cmm4yuqpd03tbcuqw7a0q4p57/view","Open PDF")</f>
        <v/>
      </c>
      <c r="G348" t="inlineStr">
        <is>
          <t>cmm55w57p0004cuisfrtpqly8</t>
        </is>
      </c>
      <c r="H348" t="inlineStr">
        <is>
          <t>Informationskrav</t>
        </is>
      </c>
      <c r="I348" t="inlineStr">
        <is>
          <t>Ytkonstruktion</t>
        </is>
      </c>
      <c r="J348" t="inlineStr">
        <is>
          <t>Tat yta</t>
        </is>
      </c>
      <c r="K348" t="inlineStr">
        <is>
          <t>Förvaringsplats inomhus ska förses med invallning om det finns golvavlopp eller otätheter i golv eller väggar.</t>
        </is>
      </c>
      <c r="L348" t="inlineStr">
        <is>
          <t>Förvaringsplats inomhus ska förses med invallning om det finns golvavlopp eller otätheter i golv eller väggar.</t>
        </is>
      </c>
      <c r="M348" t="inlineStr">
        <is>
          <t>SKA</t>
        </is>
      </c>
      <c r="N348" t="inlineStr"/>
      <c r="O348" t="inlineStr"/>
      <c r="P348" t="inlineStr"/>
      <c r="Q348" t="inlineStr"/>
      <c r="R348" t="inlineStr">
        <is>
          <t>Vid mellanlagring av avfall</t>
        </is>
      </c>
      <c r="S348" t="inlineStr"/>
      <c r="T348" t="inlineStr">
        <is>
          <t>26 70 00</t>
        </is>
      </c>
      <c r="U348" t="inlineStr"/>
      <c r="V348" t="inlineStr"/>
      <c r="W348" t="inlineStr">
        <is>
          <t>Ja</t>
        </is>
      </c>
      <c r="X348" t="inlineStr">
        <is>
          <t>Nej</t>
        </is>
      </c>
      <c r="Y348" t="inlineStr">
        <is>
          <t>Nej</t>
        </is>
      </c>
      <c r="Z348" t="inlineStr">
        <is>
          <t>Nej</t>
        </is>
      </c>
      <c r="AA348" t="n">
        <v>5</v>
      </c>
      <c r="AB348" t="inlineStr">
        <is>
          <t>Teknisk beskrivning av platta</t>
        </is>
      </c>
      <c r="AC348" t="inlineStr">
        <is>
          <t>Teknisk ritning platta</t>
        </is>
      </c>
      <c r="AD348" t="inlineStr">
        <is>
          <t>Nej</t>
        </is>
      </c>
      <c r="AE348" t="inlineStr">
        <is>
          <t>Nej</t>
        </is>
      </c>
      <c r="AF348" t="inlineStr">
        <is>
          <t>Ej behandlad</t>
        </is>
      </c>
      <c r="AG348" t="inlineStr">
        <is>
          <t>AUTO_GENERERAD. Verifiera citat mot kallfil.</t>
        </is>
      </c>
      <c r="AH348" t="inlineStr">
        <is>
          <t>MEDIUM</t>
        </is>
      </c>
      <c r="AI348" t="inlineStr">
        <is>
          <t>AUTO</t>
        </is>
      </c>
      <c r="AJ348" t="inlineStr">
        <is>
          <t>Nej</t>
        </is>
      </c>
      <c r="AK348" t="inlineStr"/>
      <c r="AL348" t="inlineStr"/>
      <c r="AM348" t="inlineStr"/>
      <c r="AN348" t="inlineStr"/>
      <c r="AO348" t="inlineStr">
        <is>
          <t>cmm4yuqq103u2cuqwxq5c1oxv</t>
        </is>
      </c>
      <c r="AP348" t="inlineStr">
        <is>
          <t>http://localhost:8787/api/admin/requirements/documents/cmm4yuqq103u2cuqwxq5c1oxv/view</t>
        </is>
      </c>
      <c r="AQ348">
        <f>HYPERLÄNK("http://localhost:8787/api/admin/requirements/documents/cmm4yuqq103u2cuqwxq5c1oxv/view";"Öppna PDF")</f>
        <v/>
      </c>
      <c r="AR348">
        <f>HYPERLINK("http://localhost:8787/api/admin/requirements/documents/cmm4yuqq103u2cuqwxq5c1oxv/view","Open PDF")</f>
        <v/>
      </c>
      <c r="AS348" t="inlineStr">
        <is>
          <t>cmm55w57p0004cuisfrtpqly8</t>
        </is>
      </c>
      <c r="AT348" t="inlineStr">
        <is>
          <t>cmm4xvu980000cuh4vj0usz09</t>
        </is>
      </c>
      <c r="AU348" t="inlineStr">
        <is>
          <t>Hässleholms</t>
        </is>
      </c>
      <c r="AV348" t="inlineStr">
        <is>
          <t>Kommun</t>
        </is>
      </c>
      <c r="AW348" t="inlineStr">
        <is>
          <t>Hässleholms kommun</t>
        </is>
      </c>
      <c r="AX348" t="inlineStr">
        <is>
          <t>0451-26</t>
        </is>
      </c>
      <c r="AY348" t="inlineStr">
        <is>
          <t>Anmalan</t>
        </is>
      </c>
      <c r="AZ348" t="inlineStr">
        <is>
          <t>2026-02-05</t>
        </is>
      </c>
      <c r="BA348" t="inlineStr">
        <is>
          <t>M-2025-1599 - MFV C-verksamhet.pdf</t>
        </is>
      </c>
      <c r="BB348" t="inlineStr">
        <is>
          <t>Sv:  Begäran om utlämnande av allmän handling – Anmälningar och beslut rörande mellanlagring av avfall samt anläggning av ytor</t>
        </is>
      </c>
      <c r="BC348" t="inlineStr">
        <is>
          <t>AUTO</t>
        </is>
      </c>
      <c r="BD348" t="inlineStr"/>
      <c r="BE348" t="inlineStr"/>
      <c r="BF348" t="inlineStr">
        <is>
          <t>AUTO_GENERERAD. Bekrafta metadata mot kallfil.</t>
        </is>
      </c>
      <c r="BG348">
        <f>HYPERLINK("C:\Users\jimmy\Desktop\Examens arbete\Kod\Ny mapp\remix_-copy-of-miljöbeslut.se-portal\M-2025-1599 - MFV C-verksamhet.pdf", "Öppna PDF")</f>
        <v/>
      </c>
    </row>
    <row r="349">
      <c r="A349" t="inlineStr">
        <is>
          <t>KRAV-AUTO-000348</t>
        </is>
      </c>
      <c r="B349" t="inlineStr">
        <is>
          <t>ADMIN-INDEX-2026-02-27-00000000125C043F57453246863FE664CAFE6A3F0700950291EA24F0614FB6ACEDB12BF0E31D00000000010C0000950291EA24F0614FB6ACEDB12BF0E31D00002087A5DC0000</t>
        </is>
      </c>
      <c r="C349" t="inlineStr">
        <is>
          <t>cmm4yuqpa03t8cuqwl7q44v5a</t>
        </is>
      </c>
      <c r="D349" t="inlineStr">
        <is>
          <t>http://localhost:8787/api/admin/requirements/documents/cmm4yuqpa03t8cuqwl7q44v5a/view</t>
        </is>
      </c>
      <c r="E349">
        <f>HYPERLÄNK("http://localhost:8787/api/admin/requirements/documents/cmm4yuqpa03t8cuqwl7q44v5a/view";"Öppna PDF")</f>
        <v/>
      </c>
      <c r="F349">
        <f>HYPERLINK("http://localhost:8787/api/admin/requirements/documents/cmm4yuqpa03t8cuqwl7q44v5a/view","Open PDF")</f>
        <v/>
      </c>
      <c r="G349" t="inlineStr">
        <is>
          <t>cmm55w57p0004cuisfrtpqly8</t>
        </is>
      </c>
      <c r="H349" t="inlineStr">
        <is>
          <t>Informationskrav</t>
        </is>
      </c>
      <c r="I349" t="inlineStr">
        <is>
          <t>LagringsvolymTid</t>
        </is>
      </c>
      <c r="J349" t="inlineStr">
        <is>
          <t>Maxmangd</t>
        </is>
      </c>
      <c r="K349" t="inlineStr">
        <is>
          <t>Vi åker till återvinningen med eventuella produkter Hur planerar ni att arbeta för att minska mängden avfall?</t>
        </is>
      </c>
      <c r="L349" t="inlineStr">
        <is>
          <t>Vi åker till återvinningen med eventuella produkter Hur planerar ni att arbeta för att minska mängden avfall?</t>
        </is>
      </c>
      <c r="M349" t="inlineStr">
        <is>
          <t>SKA</t>
        </is>
      </c>
      <c r="N349" t="inlineStr"/>
      <c r="O349" t="inlineStr"/>
      <c r="P349" t="inlineStr"/>
      <c r="Q349" t="inlineStr"/>
      <c r="R349" t="inlineStr">
        <is>
          <t>Alltid</t>
        </is>
      </c>
      <c r="S349" t="inlineStr"/>
      <c r="T349" t="inlineStr">
        <is>
          <t>241115</t>
        </is>
      </c>
      <c r="U349" t="inlineStr"/>
      <c r="V349" t="inlineStr"/>
      <c r="W349" t="inlineStr">
        <is>
          <t>Nej</t>
        </is>
      </c>
      <c r="X349" t="inlineStr">
        <is>
          <t>Nej</t>
        </is>
      </c>
      <c r="Y349" t="inlineStr">
        <is>
          <t>Nej</t>
        </is>
      </c>
      <c r="Z349" t="inlineStr">
        <is>
          <t>Nej</t>
        </is>
      </c>
      <c r="AA349" t="n">
        <v>4</v>
      </c>
      <c r="AB349" t="inlineStr">
        <is>
          <t>Avfallsmangder och lagringstid</t>
        </is>
      </c>
      <c r="AC349" t="inlineStr">
        <is>
          <t>Avfallsforteckning</t>
        </is>
      </c>
      <c r="AD349" t="inlineStr">
        <is>
          <t>Nej</t>
        </is>
      </c>
      <c r="AE349" t="inlineStr">
        <is>
          <t>Nej</t>
        </is>
      </c>
      <c r="AF349" t="inlineStr">
        <is>
          <t>Ej behandlad</t>
        </is>
      </c>
      <c r="AG349" t="inlineStr">
        <is>
          <t>AUTO_GENERERAD. Verifiera citat mot kallfil.</t>
        </is>
      </c>
      <c r="AH349" t="inlineStr">
        <is>
          <t>MEDIUM</t>
        </is>
      </c>
      <c r="AI349" t="inlineStr">
        <is>
          <t>AUTO</t>
        </is>
      </c>
      <c r="AJ349" t="inlineStr">
        <is>
          <t>Nej</t>
        </is>
      </c>
      <c r="AK349" t="inlineStr"/>
      <c r="AL349" t="inlineStr"/>
      <c r="AM349" t="inlineStr"/>
      <c r="AN349" t="inlineStr"/>
      <c r="AO349" t="inlineStr">
        <is>
          <t>cmm4yuqnj03rhcuqw5kt2masi</t>
        </is>
      </c>
      <c r="AP349" t="inlineStr">
        <is>
          <t>http://localhost:8787/api/admin/requirements/documents/cmm4yuqnj03rhcuqw5kt2masi/view</t>
        </is>
      </c>
      <c r="AQ349">
        <f>HYPERLÄNK("http://localhost:8787/api/admin/requirements/documents/cmm4yuqnj03rhcuqw5kt2masi/view";"Öppna PDF")</f>
        <v/>
      </c>
      <c r="AR349">
        <f>HYPERLINK("http://localhost:8787/api/admin/requirements/documents/cmm4yuqnj03rhcuqw5kt2masi/view","Open PDF")</f>
        <v/>
      </c>
      <c r="AS349" t="inlineStr">
        <is>
          <t>cmm55w57p0004cuisfrtpqly8</t>
        </is>
      </c>
      <c r="AT349" t="inlineStr">
        <is>
          <t>cmm4xvu980000cuh4vj0usz09</t>
        </is>
      </c>
      <c r="AU349" t="inlineStr">
        <is>
          <t>Hässleholms</t>
        </is>
      </c>
      <c r="AV349" t="inlineStr">
        <is>
          <t>Kommun</t>
        </is>
      </c>
      <c r="AW349" t="inlineStr">
        <is>
          <t>Hässleholms kommun</t>
        </is>
      </c>
      <c r="AX349" t="inlineStr">
        <is>
          <t>0451-26</t>
        </is>
      </c>
      <c r="AY349" t="inlineStr">
        <is>
          <t>Anmalan</t>
        </is>
      </c>
      <c r="AZ349" t="inlineStr">
        <is>
          <t>2026-02-05</t>
        </is>
      </c>
      <c r="BA349" t="inlineStr">
        <is>
          <t>M-2025-2674 - Avskrivning.pdf</t>
        </is>
      </c>
      <c r="BB349" t="inlineStr">
        <is>
          <t>Sv:  Begäran om utlämnande av allmän handling – Anmälningar och beslut rörande mellanlagring av avfall samt anläggning av ytor</t>
        </is>
      </c>
      <c r="BC349" t="inlineStr">
        <is>
          <t>AUTO</t>
        </is>
      </c>
      <c r="BD349" t="inlineStr"/>
      <c r="BE349" t="inlineStr"/>
      <c r="BF349" t="inlineStr">
        <is>
          <t>AUTO_GENERERAD. Bekrafta metadata mot kallfil.</t>
        </is>
      </c>
      <c r="BG349">
        <f>HYPERLINK("C:\Users\jimmy\Desktop\Examens arbete\Kod\Ny mapp\remix_-copy-of-miljöbeslut.se-portal\M-2025-2674 - Avskrivning.pdf", "Öppna PDF")</f>
        <v/>
      </c>
    </row>
    <row r="350">
      <c r="A350" t="inlineStr">
        <is>
          <t>KRAV-AUTO-000349</t>
        </is>
      </c>
      <c r="B350" t="inlineStr">
        <is>
          <t>ADMIN-INDEX-2026-02-27-00000000125C043F57453246863FE664CAFE6A3F0700950291EA24F0614FB6ACEDB12BF0E31D00000000010C0000950291EA24F0614FB6ACEDB12BF0E31D00002087A5DC0000</t>
        </is>
      </c>
      <c r="C350" t="inlineStr">
        <is>
          <t>cmm4yuqpa03t8cuqwl7q44v5a</t>
        </is>
      </c>
      <c r="D350" t="inlineStr">
        <is>
          <t>http://localhost:8787/api/admin/requirements/documents/cmm4yuqpa03t8cuqwl7q44v5a/view</t>
        </is>
      </c>
      <c r="E350">
        <f>HYPERLÄNK("http://localhost:8787/api/admin/requirements/documents/cmm4yuqpa03t8cuqwl7q44v5a/view";"Öppna PDF")</f>
        <v/>
      </c>
      <c r="F350">
        <f>HYPERLINK("http://localhost:8787/api/admin/requirements/documents/cmm4yuqpa03t8cuqwl7q44v5a/view","Open PDF")</f>
        <v/>
      </c>
      <c r="G350" t="inlineStr">
        <is>
          <t>cmm55w57p0004cuisfrtpqly8</t>
        </is>
      </c>
      <c r="H350" t="inlineStr">
        <is>
          <t>Informationskrav</t>
        </is>
      </c>
      <c r="I350" t="inlineStr">
        <is>
          <t>Riskhantering</t>
        </is>
      </c>
      <c r="J350" t="inlineStr">
        <is>
          <t>Riskkontroll</t>
        </is>
      </c>
      <c r="K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350" t="inlineStr">
        <is>
          <t>SKA</t>
        </is>
      </c>
      <c r="N350" t="inlineStr"/>
      <c r="O350" t="inlineStr"/>
      <c r="P350" t="inlineStr">
        <is>
          <t>Arlig</t>
        </is>
      </c>
      <c r="Q350" t="inlineStr"/>
      <c r="R350" t="inlineStr">
        <is>
          <t>Vid risk for incident</t>
        </is>
      </c>
      <c r="S350" t="inlineStr"/>
      <c r="T350" t="inlineStr">
        <is>
          <t>241115</t>
        </is>
      </c>
      <c r="U350" t="inlineStr"/>
      <c r="V350" t="inlineStr"/>
      <c r="W350" t="inlineStr">
        <is>
          <t>Nej</t>
        </is>
      </c>
      <c r="X350" t="inlineStr">
        <is>
          <t>Nej</t>
        </is>
      </c>
      <c r="Y350" t="inlineStr">
        <is>
          <t>Ja</t>
        </is>
      </c>
      <c r="Z350" t="inlineStr">
        <is>
          <t>Ja</t>
        </is>
      </c>
      <c r="AA350" t="n">
        <v>8</v>
      </c>
      <c r="AB350" t="inlineStr">
        <is>
          <t>Riskhantering</t>
        </is>
      </c>
      <c r="AC350" t="inlineStr">
        <is>
          <t>Risk-PM</t>
        </is>
      </c>
      <c r="AD350" t="inlineStr">
        <is>
          <t>Nej</t>
        </is>
      </c>
      <c r="AE350" t="inlineStr">
        <is>
          <t>Nej</t>
        </is>
      </c>
      <c r="AF350" t="inlineStr">
        <is>
          <t>Ej behandlad</t>
        </is>
      </c>
      <c r="AG350" t="inlineStr">
        <is>
          <t>AUTO_GENERERAD. Verifiera citat mot kallfil.</t>
        </is>
      </c>
      <c r="AH350" t="inlineStr">
        <is>
          <t>MEDIUM</t>
        </is>
      </c>
      <c r="AI350" t="inlineStr">
        <is>
          <t>AUTO</t>
        </is>
      </c>
      <c r="AJ350" t="inlineStr">
        <is>
          <t>Nej</t>
        </is>
      </c>
      <c r="AK350" t="inlineStr"/>
      <c r="AL350" t="inlineStr"/>
      <c r="AM350" t="inlineStr"/>
      <c r="AN350" t="inlineStr"/>
      <c r="AO350" t="inlineStr">
        <is>
          <t>cmm4yuqnj03rhcuqw5kt2masi</t>
        </is>
      </c>
      <c r="AP350" t="inlineStr">
        <is>
          <t>http://localhost:8787/api/admin/requirements/documents/cmm4yuqnj03rhcuqw5kt2masi/view</t>
        </is>
      </c>
      <c r="AQ350">
        <f>HYPERLÄNK("http://localhost:8787/api/admin/requirements/documents/cmm4yuqnj03rhcuqw5kt2masi/view";"Öppna PDF")</f>
        <v/>
      </c>
      <c r="AR350">
        <f>HYPERLINK("http://localhost:8787/api/admin/requirements/documents/cmm4yuqnj03rhcuqw5kt2masi/view","Open PDF")</f>
        <v/>
      </c>
      <c r="AS350" t="inlineStr">
        <is>
          <t>cmm55w57p0004cuisfrtpqly8</t>
        </is>
      </c>
      <c r="AT350" t="inlineStr">
        <is>
          <t>cmm4xvu980000cuh4vj0usz09</t>
        </is>
      </c>
      <c r="AU350" t="inlineStr">
        <is>
          <t>Hässleholms</t>
        </is>
      </c>
      <c r="AV350" t="inlineStr">
        <is>
          <t>Kommun</t>
        </is>
      </c>
      <c r="AW350" t="inlineStr">
        <is>
          <t>Hässleholms kommun</t>
        </is>
      </c>
      <c r="AX350" t="inlineStr">
        <is>
          <t>0451-26</t>
        </is>
      </c>
      <c r="AY350" t="inlineStr">
        <is>
          <t>Anmalan</t>
        </is>
      </c>
      <c r="AZ350" t="inlineStr">
        <is>
          <t>2026-02-05</t>
        </is>
      </c>
      <c r="BA350" t="inlineStr">
        <is>
          <t>M-2025-2674 - Avskrivning.pdf</t>
        </is>
      </c>
      <c r="BB350" t="inlineStr">
        <is>
          <t>Sv:  Begäran om utlämnande av allmän handling – Anmälningar och beslut rörande mellanlagring av avfall samt anläggning av ytor</t>
        </is>
      </c>
      <c r="BC350" t="inlineStr">
        <is>
          <t>AUTO</t>
        </is>
      </c>
      <c r="BD350" t="inlineStr"/>
      <c r="BE350" t="inlineStr"/>
      <c r="BF350" t="inlineStr">
        <is>
          <t>AUTO_GENERERAD. Bekrafta metadata mot kallfil.</t>
        </is>
      </c>
      <c r="BG350">
        <f>HYPERLINK("C:\Users\jimmy\Desktop\Examens arbete\Kod\Ny mapp\remix_-copy-of-miljöbeslut.se-portal\M-2025-2674 - Avskrivning.pdf", "Öppna PDF")</f>
        <v/>
      </c>
    </row>
    <row r="351">
      <c r="A351" t="inlineStr">
        <is>
          <t>KRAV-AUTO-000350</t>
        </is>
      </c>
      <c r="B351" t="inlineStr">
        <is>
          <t>ADMIN-INDEX-2026-02-27-00000000125C043F57453246863FE664CAFE6A3F0700950291EA24F0614FB6ACEDB12BF0E31D00000000010C0000950291EA24F0614FB6ACEDB12BF0E31D00002087A5DC0000</t>
        </is>
      </c>
      <c r="C351" t="inlineStr">
        <is>
          <t>cmm4yuqpa03t8cuqwl7q44v5a</t>
        </is>
      </c>
      <c r="D351" t="inlineStr">
        <is>
          <t>http://localhost:8787/api/admin/requirements/documents/cmm4yuqpa03t8cuqwl7q44v5a/view</t>
        </is>
      </c>
      <c r="E351">
        <f>HYPERLÄNK("http://localhost:8787/api/admin/requirements/documents/cmm4yuqpa03t8cuqwl7q44v5a/view";"Öppna PDF")</f>
        <v/>
      </c>
      <c r="F351">
        <f>HYPERLINK("http://localhost:8787/api/admin/requirements/documents/cmm4yuqpa03t8cuqwl7q44v5a/view","Open PDF")</f>
        <v/>
      </c>
      <c r="G351" t="inlineStr">
        <is>
          <t>cmm55w57p0004cuisfrtpqly8</t>
        </is>
      </c>
      <c r="H351" t="inlineStr">
        <is>
          <t>Informationskrav</t>
        </is>
      </c>
      <c r="I351" t="inlineStr">
        <is>
          <t>LagringsvolymTid</t>
        </is>
      </c>
      <c r="J351" t="inlineStr">
        <is>
          <t>Maxmangd</t>
        </is>
      </c>
      <c r="K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351" t="inlineStr">
        <is>
          <t>SKA</t>
        </is>
      </c>
      <c r="N351" t="inlineStr"/>
      <c r="O351" t="inlineStr"/>
      <c r="P351" t="inlineStr">
        <is>
          <t>Manadskontroll</t>
        </is>
      </c>
      <c r="Q351" t="inlineStr"/>
      <c r="R351" t="inlineStr">
        <is>
          <t>Alltid</t>
        </is>
      </c>
      <c r="S351" t="inlineStr"/>
      <c r="T351" t="inlineStr">
        <is>
          <t>241115</t>
        </is>
      </c>
      <c r="U351" t="inlineStr"/>
      <c r="V351" t="inlineStr"/>
      <c r="W351" t="inlineStr">
        <is>
          <t>Nej</t>
        </is>
      </c>
      <c r="X351" t="inlineStr">
        <is>
          <t>Nej</t>
        </is>
      </c>
      <c r="Y351" t="inlineStr">
        <is>
          <t>Nej</t>
        </is>
      </c>
      <c r="Z351" t="inlineStr">
        <is>
          <t>Nej</t>
        </is>
      </c>
      <c r="AA351" t="n">
        <v>4</v>
      </c>
      <c r="AB351" t="inlineStr">
        <is>
          <t>Avfallsmangder och lagringstid</t>
        </is>
      </c>
      <c r="AC351" t="inlineStr">
        <is>
          <t>Avfallsforteckning</t>
        </is>
      </c>
      <c r="AD351" t="inlineStr">
        <is>
          <t>Nej</t>
        </is>
      </c>
      <c r="AE351" t="inlineStr">
        <is>
          <t>Nej</t>
        </is>
      </c>
      <c r="AF351" t="inlineStr">
        <is>
          <t>Ej behandlad</t>
        </is>
      </c>
      <c r="AG351" t="inlineStr">
        <is>
          <t>AUTO_GENERERAD. Verifiera citat mot kallfil.</t>
        </is>
      </c>
      <c r="AH351" t="inlineStr">
        <is>
          <t>MEDIUM</t>
        </is>
      </c>
      <c r="AI351" t="inlineStr">
        <is>
          <t>AUTO</t>
        </is>
      </c>
      <c r="AJ351" t="inlineStr">
        <is>
          <t>Nej</t>
        </is>
      </c>
      <c r="AK351" t="inlineStr"/>
      <c r="AL351" t="inlineStr"/>
      <c r="AM351" t="inlineStr"/>
      <c r="AN351" t="inlineStr"/>
      <c r="AO351" t="inlineStr">
        <is>
          <t>cmm4yuqnj03rhcuqw5kt2masi</t>
        </is>
      </c>
      <c r="AP351" t="inlineStr">
        <is>
          <t>http://localhost:8787/api/admin/requirements/documents/cmm4yuqnj03rhcuqw5kt2masi/view</t>
        </is>
      </c>
      <c r="AQ351">
        <f>HYPERLÄNK("http://localhost:8787/api/admin/requirements/documents/cmm4yuqnj03rhcuqw5kt2masi/view";"Öppna PDF")</f>
        <v/>
      </c>
      <c r="AR351">
        <f>HYPERLINK("http://localhost:8787/api/admin/requirements/documents/cmm4yuqnj03rhcuqw5kt2masi/view","Open PDF")</f>
        <v/>
      </c>
      <c r="AS351" t="inlineStr">
        <is>
          <t>cmm55w57p0004cuisfrtpqly8</t>
        </is>
      </c>
      <c r="AT351" t="inlineStr">
        <is>
          <t>cmm4xvu980000cuh4vj0usz09</t>
        </is>
      </c>
      <c r="AU351" t="inlineStr">
        <is>
          <t>Hässleholms</t>
        </is>
      </c>
      <c r="AV351" t="inlineStr">
        <is>
          <t>Kommun</t>
        </is>
      </c>
      <c r="AW351" t="inlineStr">
        <is>
          <t>Hässleholms kommun</t>
        </is>
      </c>
      <c r="AX351" t="inlineStr">
        <is>
          <t>0451-26</t>
        </is>
      </c>
      <c r="AY351" t="inlineStr">
        <is>
          <t>Anmalan</t>
        </is>
      </c>
      <c r="AZ351" t="inlineStr">
        <is>
          <t>2026-02-05</t>
        </is>
      </c>
      <c r="BA351" t="inlineStr">
        <is>
          <t>M-2025-2674 - Avskrivning.pdf</t>
        </is>
      </c>
      <c r="BB351" t="inlineStr">
        <is>
          <t>Sv:  Begäran om utlämnande av allmän handling – Anmälningar och beslut rörande mellanlagring av avfall samt anläggning av ytor</t>
        </is>
      </c>
      <c r="BC351" t="inlineStr">
        <is>
          <t>AUTO</t>
        </is>
      </c>
      <c r="BD351" t="inlineStr"/>
      <c r="BE351" t="inlineStr"/>
      <c r="BF351" t="inlineStr">
        <is>
          <t>AUTO_GENERERAD. Bekrafta metadata mot kallfil.</t>
        </is>
      </c>
      <c r="BG351">
        <f>HYPERLINK("C:\Users\jimmy\Desktop\Examens arbete\Kod\Ny mapp\remix_-copy-of-miljöbeslut.se-portal\M-2025-2674 - Avskrivning.pdf", "Öppna PDF")</f>
        <v/>
      </c>
    </row>
    <row r="352">
      <c r="A352" t="inlineStr">
        <is>
          <t>KRAV-AUTO-000351</t>
        </is>
      </c>
      <c r="B352" t="inlineStr">
        <is>
          <t>ADMIN-INDEX-2026-02-27-00000000125C043F57453246863FE664CAFE6A3F0700950291EA24F0614FB6ACEDB12BF0E31D00000000010C0000950291EA24F0614FB6ACEDB12BF0E31D00002087A5DC0000</t>
        </is>
      </c>
      <c r="C352" t="inlineStr">
        <is>
          <t>cmm4yuqov03stcuqw721buerk</t>
        </is>
      </c>
      <c r="D352" t="inlineStr">
        <is>
          <t>http://localhost:8787/api/admin/requirements/documents/cmm4yuqov03stcuqw721buerk/view</t>
        </is>
      </c>
      <c r="E352">
        <f>HYPERLÄNK("http://localhost:8787/api/admin/requirements/documents/cmm4yuqov03stcuqw721buerk/view";"Öppna PDF")</f>
        <v/>
      </c>
      <c r="F352">
        <f>HYPERLINK("http://localhost:8787/api/admin/requirements/documents/cmm4yuqov03stcuqw721buerk/view","Open PDF")</f>
        <v/>
      </c>
      <c r="G352" t="inlineStr">
        <is>
          <t>cmm55w57p0004cuisfrtpqly8</t>
        </is>
      </c>
      <c r="H352" t="inlineStr">
        <is>
          <t>Informationskrav</t>
        </is>
      </c>
      <c r="I352" t="inlineStr">
        <is>
          <t>DagvattenLakvatten</t>
        </is>
      </c>
      <c r="J352" t="inlineStr">
        <is>
          <t>Uppsamling</t>
        </is>
      </c>
      <c r="K352" t="inlineStr">
        <is>
          <t>Dagvattensystemet ska vara så konstruerat att utflödet till recipienten kan stängas av.</t>
        </is>
      </c>
      <c r="L352" t="inlineStr">
        <is>
          <t>Dagvattensystemet ska vara så konstruerat att utflödet till recipienten kan stängas av.</t>
        </is>
      </c>
      <c r="M352" t="inlineStr">
        <is>
          <t>SKA</t>
        </is>
      </c>
      <c r="N352" t="inlineStr">
        <is>
          <t>FMH</t>
        </is>
      </c>
      <c r="O352" t="inlineStr"/>
      <c r="P352" t="inlineStr"/>
      <c r="Q352" t="inlineStr"/>
      <c r="R352" t="inlineStr">
        <is>
          <t>Vid nederbord och avrinning</t>
        </is>
      </c>
      <c r="S352" t="inlineStr"/>
      <c r="T352" t="inlineStr">
        <is>
          <t>26 70 00</t>
        </is>
      </c>
      <c r="U352" t="inlineStr"/>
      <c r="V352" t="inlineStr"/>
      <c r="W352" t="inlineStr">
        <is>
          <t>Nej</t>
        </is>
      </c>
      <c r="X352" t="inlineStr">
        <is>
          <t>Ja</t>
        </is>
      </c>
      <c r="Y352" t="inlineStr">
        <is>
          <t>Ja</t>
        </is>
      </c>
      <c r="Z352" t="inlineStr">
        <is>
          <t>Nej</t>
        </is>
      </c>
      <c r="AA352" t="n">
        <v>6</v>
      </c>
      <c r="AB352" t="inlineStr">
        <is>
          <t>Lakvattenhantering</t>
        </is>
      </c>
      <c r="AC352" t="inlineStr">
        <is>
          <t>Flodesschema dagvatten-lakvatten</t>
        </is>
      </c>
      <c r="AD352" t="inlineStr">
        <is>
          <t>Nej</t>
        </is>
      </c>
      <c r="AE352" t="inlineStr">
        <is>
          <t>Nej</t>
        </is>
      </c>
      <c r="AF352" t="inlineStr">
        <is>
          <t>Ej behandlad</t>
        </is>
      </c>
      <c r="AG352" t="inlineStr">
        <is>
          <t>AUTO_GENERERAD. Verifiera citat mot kallfil.</t>
        </is>
      </c>
      <c r="AH352" t="inlineStr">
        <is>
          <t>HIGH</t>
        </is>
      </c>
      <c r="AI352" t="inlineStr">
        <is>
          <t>AUTO</t>
        </is>
      </c>
      <c r="AJ352" t="inlineStr">
        <is>
          <t>Nej</t>
        </is>
      </c>
      <c r="AK352" t="inlineStr"/>
      <c r="AL352" t="inlineStr"/>
      <c r="AM352" t="inlineStr"/>
      <c r="AN352" t="inlineStr"/>
      <c r="AO352" t="inlineStr">
        <is>
          <t>cmm4yuqnj03rhcuqw5kt2masi</t>
        </is>
      </c>
      <c r="AP352" t="inlineStr">
        <is>
          <t>http://localhost:8787/api/admin/requirements/documents/cmm4yuqnj03rhcuqw5kt2masi/view</t>
        </is>
      </c>
      <c r="AQ352">
        <f>HYPERLÄNK("http://localhost:8787/api/admin/requirements/documents/cmm4yuqnj03rhcuqw5kt2masi/view";"Öppna PDF")</f>
        <v/>
      </c>
      <c r="AR352">
        <f>HYPERLINK("http://localhost:8787/api/admin/requirements/documents/cmm4yuqnj03rhcuqw5kt2masi/view","Open PDF")</f>
        <v/>
      </c>
      <c r="AS352" t="inlineStr">
        <is>
          <t>cmm55w57p0004cuisfrtpqly8</t>
        </is>
      </c>
      <c r="AT352" t="inlineStr">
        <is>
          <t>cmm4xvu980000cuh4vj0usz09</t>
        </is>
      </c>
      <c r="AU352" t="inlineStr">
        <is>
          <t>Hässleholms</t>
        </is>
      </c>
      <c r="AV352" t="inlineStr">
        <is>
          <t>Kommun</t>
        </is>
      </c>
      <c r="AW352" t="inlineStr">
        <is>
          <t>Hässleholms kommun</t>
        </is>
      </c>
      <c r="AX352" t="inlineStr">
        <is>
          <t>0451-26</t>
        </is>
      </c>
      <c r="AY352" t="inlineStr">
        <is>
          <t>Anmalan</t>
        </is>
      </c>
      <c r="AZ352" t="inlineStr">
        <is>
          <t>2026-02-05</t>
        </is>
      </c>
      <c r="BA352" t="inlineStr">
        <is>
          <t>M-2025-2674 - Avskrivning.pdf</t>
        </is>
      </c>
      <c r="BB352" t="inlineStr">
        <is>
          <t>Sv:  Begäran om utlämnande av allmän handling – Anmälningar och beslut rörande mellanlagring av avfall samt anläggning av ytor</t>
        </is>
      </c>
      <c r="BC352" t="inlineStr">
        <is>
          <t>AUTO</t>
        </is>
      </c>
      <c r="BD352" t="inlineStr"/>
      <c r="BE352" t="inlineStr"/>
      <c r="BF352" t="inlineStr">
        <is>
          <t>AUTO_GENERERAD. Bekrafta metadata mot kallfil.</t>
        </is>
      </c>
      <c r="BG352">
        <f>HYPERLINK("C:\Users\jimmy\Desktop\Examens arbete\Kod\Ny mapp\remix_-copy-of-miljöbeslut.se-portal\M-2025-2674 - Avskrivning.pdf", "Öppna PDF")</f>
        <v/>
      </c>
    </row>
    <row r="353">
      <c r="A353" t="inlineStr">
        <is>
          <t>KRAV-AUTO-000352</t>
        </is>
      </c>
      <c r="B353" t="inlineStr">
        <is>
          <t>ADMIN-INDEX-2026-02-27-00000000125C043F57453246863FE664CAFE6A3F0700950291EA24F0614FB6ACEDB12BF0E31D00000000010C0000950291EA24F0614FB6ACEDB12BF0E31D00002087A5DC0000</t>
        </is>
      </c>
      <c r="C353" t="inlineStr">
        <is>
          <t>cmm4yuqov03stcuqw721buerk</t>
        </is>
      </c>
      <c r="D353" t="inlineStr">
        <is>
          <t>http://localhost:8787/api/admin/requirements/documents/cmm4yuqov03stcuqw721buerk/view</t>
        </is>
      </c>
      <c r="E353">
        <f>HYPERLÄNK("http://localhost:8787/api/admin/requirements/documents/cmm4yuqov03stcuqw721buerk/view";"Öppna PDF")</f>
        <v/>
      </c>
      <c r="F353">
        <f>HYPERLINK("http://localhost:8787/api/admin/requirements/documents/cmm4yuqov03stcuqw721buerk/view","Open PDF")</f>
        <v/>
      </c>
      <c r="G353" t="inlineStr">
        <is>
          <t>cmm55w57p0004cuisfrtpqly8</t>
        </is>
      </c>
      <c r="H353" t="inlineStr">
        <is>
          <t>Informationskrav</t>
        </is>
      </c>
      <c r="I353" t="inlineStr">
        <is>
          <t>Riskhantering</t>
        </is>
      </c>
      <c r="J353" t="inlineStr">
        <is>
          <t>Riskkontroll</t>
        </is>
      </c>
      <c r="K353" t="inlineStr">
        <is>
          <t>Anläggningen ska vara försedd med brandsläckningsutrustning anpassad för den mängd och typ av avfall som lagras.</t>
        </is>
      </c>
      <c r="L353" t="inlineStr">
        <is>
          <t>Anläggningen ska vara försedd med brandsläckningsutrustning anpassad för den mängd och typ av avfall som lagras.</t>
        </is>
      </c>
      <c r="M353" t="inlineStr">
        <is>
          <t>SKA</t>
        </is>
      </c>
      <c r="N353" t="inlineStr">
        <is>
          <t>FMH</t>
        </is>
      </c>
      <c r="O353" t="inlineStr"/>
      <c r="P353" t="inlineStr"/>
      <c r="Q353" t="inlineStr"/>
      <c r="R353" t="inlineStr">
        <is>
          <t>Vid risk for incident</t>
        </is>
      </c>
      <c r="S353" t="inlineStr"/>
      <c r="T353" t="inlineStr">
        <is>
          <t>26 70 00</t>
        </is>
      </c>
      <c r="U353" t="inlineStr"/>
      <c r="V353" t="inlineStr"/>
      <c r="W353" t="inlineStr">
        <is>
          <t>Nej</t>
        </is>
      </c>
      <c r="X353" t="inlineStr">
        <is>
          <t>Nej</t>
        </is>
      </c>
      <c r="Y353" t="inlineStr">
        <is>
          <t>Ja</t>
        </is>
      </c>
      <c r="Z353" t="inlineStr">
        <is>
          <t>Ja</t>
        </is>
      </c>
      <c r="AA353" t="n">
        <v>8</v>
      </c>
      <c r="AB353" t="inlineStr">
        <is>
          <t>Riskhantering</t>
        </is>
      </c>
      <c r="AC353" t="inlineStr">
        <is>
          <t>Risk-PM</t>
        </is>
      </c>
      <c r="AD353" t="inlineStr">
        <is>
          <t>Nej</t>
        </is>
      </c>
      <c r="AE353" t="inlineStr">
        <is>
          <t>Nej</t>
        </is>
      </c>
      <c r="AF353" t="inlineStr">
        <is>
          <t>Ej behandlad</t>
        </is>
      </c>
      <c r="AG353" t="inlineStr">
        <is>
          <t>AUTO_GENERERAD. Verifiera citat mot kallfil.</t>
        </is>
      </c>
      <c r="AH353" t="inlineStr">
        <is>
          <t>HIGH</t>
        </is>
      </c>
      <c r="AI353" t="inlineStr">
        <is>
          <t>AUTO</t>
        </is>
      </c>
      <c r="AJ353" t="inlineStr">
        <is>
          <t>Nej</t>
        </is>
      </c>
      <c r="AK353" t="inlineStr"/>
      <c r="AL353" t="inlineStr"/>
      <c r="AM353" t="inlineStr"/>
      <c r="AN353" t="inlineStr"/>
      <c r="AO353" t="inlineStr">
        <is>
          <t>cmm4yuqnj03rhcuqw5kt2masi</t>
        </is>
      </c>
      <c r="AP353" t="inlineStr">
        <is>
          <t>http://localhost:8787/api/admin/requirements/documents/cmm4yuqnj03rhcuqw5kt2masi/view</t>
        </is>
      </c>
      <c r="AQ353">
        <f>HYPERLÄNK("http://localhost:8787/api/admin/requirements/documents/cmm4yuqnj03rhcuqw5kt2masi/view";"Öppna PDF")</f>
        <v/>
      </c>
      <c r="AR353">
        <f>HYPERLINK("http://localhost:8787/api/admin/requirements/documents/cmm4yuqnj03rhcuqw5kt2masi/view","Open PDF")</f>
        <v/>
      </c>
      <c r="AS353" t="inlineStr">
        <is>
          <t>cmm55w57p0004cuisfrtpqly8</t>
        </is>
      </c>
      <c r="AT353" t="inlineStr">
        <is>
          <t>cmm4xvu980000cuh4vj0usz09</t>
        </is>
      </c>
      <c r="AU353" t="inlineStr">
        <is>
          <t>Hässleholms</t>
        </is>
      </c>
      <c r="AV353" t="inlineStr">
        <is>
          <t>Kommun</t>
        </is>
      </c>
      <c r="AW353" t="inlineStr">
        <is>
          <t>Hässleholms kommun</t>
        </is>
      </c>
      <c r="AX353" t="inlineStr">
        <is>
          <t>0451-26</t>
        </is>
      </c>
      <c r="AY353" t="inlineStr">
        <is>
          <t>Anmalan</t>
        </is>
      </c>
      <c r="AZ353" t="inlineStr">
        <is>
          <t>2026-02-05</t>
        </is>
      </c>
      <c r="BA353" t="inlineStr">
        <is>
          <t>M-2025-2674 - Avskrivning.pdf</t>
        </is>
      </c>
      <c r="BB353" t="inlineStr">
        <is>
          <t>Sv:  Begäran om utlämnande av allmän handling – Anmälningar och beslut rörande mellanlagring av avfall samt anläggning av ytor</t>
        </is>
      </c>
      <c r="BC353" t="inlineStr">
        <is>
          <t>AUTO</t>
        </is>
      </c>
      <c r="BD353" t="inlineStr"/>
      <c r="BE353" t="inlineStr"/>
      <c r="BF353" t="inlineStr">
        <is>
          <t>AUTO_GENERERAD. Bekrafta metadata mot kallfil.</t>
        </is>
      </c>
      <c r="BG353">
        <f>HYPERLINK("C:\Users\jimmy\Desktop\Examens arbete\Kod\Ny mapp\remix_-copy-of-miljöbeslut.se-portal\M-2025-2674 - Avskrivning.pdf", "Öppna PDF")</f>
        <v/>
      </c>
    </row>
    <row r="354">
      <c r="A354" t="inlineStr">
        <is>
          <t>KRAV-AUTO-000353</t>
        </is>
      </c>
      <c r="B354" t="inlineStr">
        <is>
          <t>ADMIN-INDEX-2026-02-27-00000000125C043F57453246863FE664CAFE6A3F0700950291EA24F0614FB6ACEDB12BF0E31D00000000010C0000950291EA24F0614FB6ACEDB12BF0E31D00002087A5DC0000</t>
        </is>
      </c>
      <c r="C354" t="inlineStr">
        <is>
          <t>cmm4yuqov03stcuqw721buerk</t>
        </is>
      </c>
      <c r="D354" t="inlineStr">
        <is>
          <t>http://localhost:8787/api/admin/requirements/documents/cmm4yuqov03stcuqw721buerk/view</t>
        </is>
      </c>
      <c r="E354">
        <f>HYPERLÄNK("http://localhost:8787/api/admin/requirements/documents/cmm4yuqov03stcuqw721buerk/view";"Öppna PDF")</f>
        <v/>
      </c>
      <c r="F354">
        <f>HYPERLINK("http://localhost:8787/api/admin/requirements/documents/cmm4yuqov03stcuqw721buerk/view","Open PDF")</f>
        <v/>
      </c>
      <c r="G354" t="inlineStr">
        <is>
          <t>cmm55w57p0004cuisfrtpqly8</t>
        </is>
      </c>
      <c r="H354" t="inlineStr">
        <is>
          <t>Informationskrav</t>
        </is>
      </c>
      <c r="I354" t="inlineStr">
        <is>
          <t>DagvattenLakvatten</t>
        </is>
      </c>
      <c r="J354" t="inlineStr">
        <is>
          <t>Uppsamling</t>
        </is>
      </c>
      <c r="K354" t="inlineStr">
        <is>
          <t>Provtagning ska utföras på det uppsamlade dagvattnet och detta får inte släppas vidare till recipienten utan miljö- och stadsbyggnadsförvaltningens godkännande.</t>
        </is>
      </c>
      <c r="L354" t="inlineStr">
        <is>
          <t>Provtagning ska utföras på det uppsamlade dagvattnet och detta får inte släppas vidare till recipienten utan miljö- och stadsbyggnadsförvaltningens godkännande.</t>
        </is>
      </c>
      <c r="M354" t="inlineStr">
        <is>
          <t>SKA</t>
        </is>
      </c>
      <c r="N354" t="inlineStr">
        <is>
          <t>FMH</t>
        </is>
      </c>
      <c r="O354" t="inlineStr"/>
      <c r="P354" t="inlineStr"/>
      <c r="Q354" t="inlineStr">
        <is>
          <t>Driftbegransning vid avvikelse</t>
        </is>
      </c>
      <c r="R354" t="inlineStr">
        <is>
          <t>Vid nederbord och avrinning</t>
        </is>
      </c>
      <c r="S354" t="inlineStr"/>
      <c r="T354" t="inlineStr">
        <is>
          <t>26 70 00</t>
        </is>
      </c>
      <c r="U354" t="inlineStr"/>
      <c r="V354" t="inlineStr"/>
      <c r="W354" t="inlineStr">
        <is>
          <t>Nej</t>
        </is>
      </c>
      <c r="X354" t="inlineStr">
        <is>
          <t>Ja</t>
        </is>
      </c>
      <c r="Y354" t="inlineStr">
        <is>
          <t>Ja</t>
        </is>
      </c>
      <c r="Z354" t="inlineStr">
        <is>
          <t>Nej</t>
        </is>
      </c>
      <c r="AA354" t="n">
        <v>6</v>
      </c>
      <c r="AB354" t="inlineStr">
        <is>
          <t>Lakvattenhantering</t>
        </is>
      </c>
      <c r="AC354" t="inlineStr">
        <is>
          <t>Flodesschema dagvatten-lakvatten</t>
        </is>
      </c>
      <c r="AD354" t="inlineStr">
        <is>
          <t>Nej</t>
        </is>
      </c>
      <c r="AE354" t="inlineStr">
        <is>
          <t>Nej</t>
        </is>
      </c>
      <c r="AF354" t="inlineStr">
        <is>
          <t>Ej behandlad</t>
        </is>
      </c>
      <c r="AG354" t="inlineStr">
        <is>
          <t>AUTO_GENERERAD. Verifiera citat mot kallfil.</t>
        </is>
      </c>
      <c r="AH354" t="inlineStr">
        <is>
          <t>HIGH</t>
        </is>
      </c>
      <c r="AI354" t="inlineStr">
        <is>
          <t>AUTO</t>
        </is>
      </c>
      <c r="AJ354" t="inlineStr">
        <is>
          <t>Nej</t>
        </is>
      </c>
      <c r="AK354" t="inlineStr"/>
      <c r="AL354" t="inlineStr"/>
      <c r="AM354" t="inlineStr"/>
      <c r="AN354" t="inlineStr"/>
      <c r="AO354" t="inlineStr">
        <is>
          <t>cmm4yuqnj03rhcuqw5kt2masi</t>
        </is>
      </c>
      <c r="AP354" t="inlineStr">
        <is>
          <t>http://localhost:8787/api/admin/requirements/documents/cmm4yuqnj03rhcuqw5kt2masi/view</t>
        </is>
      </c>
      <c r="AQ354">
        <f>HYPERLÄNK("http://localhost:8787/api/admin/requirements/documents/cmm4yuqnj03rhcuqw5kt2masi/view";"Öppna PDF")</f>
        <v/>
      </c>
      <c r="AR354">
        <f>HYPERLINK("http://localhost:8787/api/admin/requirements/documents/cmm4yuqnj03rhcuqw5kt2masi/view","Open PDF")</f>
        <v/>
      </c>
      <c r="AS354" t="inlineStr">
        <is>
          <t>cmm55w57p0004cuisfrtpqly8</t>
        </is>
      </c>
      <c r="AT354" t="inlineStr">
        <is>
          <t>cmm4xvu980000cuh4vj0usz09</t>
        </is>
      </c>
      <c r="AU354" t="inlineStr">
        <is>
          <t>Hässleholms</t>
        </is>
      </c>
      <c r="AV354" t="inlineStr">
        <is>
          <t>Kommun</t>
        </is>
      </c>
      <c r="AW354" t="inlineStr">
        <is>
          <t>Hässleholms kommun</t>
        </is>
      </c>
      <c r="AX354" t="inlineStr">
        <is>
          <t>0451-26</t>
        </is>
      </c>
      <c r="AY354" t="inlineStr">
        <is>
          <t>Anmalan</t>
        </is>
      </c>
      <c r="AZ354" t="inlineStr">
        <is>
          <t>2026-02-05</t>
        </is>
      </c>
      <c r="BA354" t="inlineStr">
        <is>
          <t>M-2025-2674 - Avskrivning.pdf</t>
        </is>
      </c>
      <c r="BB354" t="inlineStr">
        <is>
          <t>Sv:  Begäran om utlämnande av allmän handling – Anmälningar och beslut rörande mellanlagring av avfall samt anläggning av ytor</t>
        </is>
      </c>
      <c r="BC354" t="inlineStr">
        <is>
          <t>AUTO</t>
        </is>
      </c>
      <c r="BD354" t="inlineStr"/>
      <c r="BE354" t="inlineStr"/>
      <c r="BF354" t="inlineStr">
        <is>
          <t>AUTO_GENERERAD. Bekrafta metadata mot kallfil.</t>
        </is>
      </c>
      <c r="BG354">
        <f>HYPERLINK("C:\Users\jimmy\Desktop\Examens arbete\Kod\Ny mapp\remix_-copy-of-miljöbeslut.se-portal\M-2025-2674 - Avskrivning.pdf", "Öppna PDF")</f>
        <v/>
      </c>
    </row>
    <row r="355">
      <c r="A355" t="inlineStr">
        <is>
          <t>KRAV-AUTO-000354</t>
        </is>
      </c>
      <c r="B355" t="inlineStr">
        <is>
          <t>ADMIN-INDEX-2026-02-27-00000000125C043F57453246863FE664CAFE6A3F0700950291EA24F0614FB6ACEDB12BF0E31D00000000010C0000950291EA24F0614FB6ACEDB12BF0E31D00002087A5DC0000</t>
        </is>
      </c>
      <c r="C355" t="inlineStr">
        <is>
          <t>cmm4yuqnd03rbcuqw1pdg2zuy</t>
        </is>
      </c>
      <c r="D355" t="inlineStr">
        <is>
          <t>http://localhost:8787/api/admin/requirements/documents/cmm4yuqnd03rbcuqw1pdg2zuy/view</t>
        </is>
      </c>
      <c r="E355">
        <f>HYPERLÄNK("http://localhost:8787/api/admin/requirements/documents/cmm4yuqnd03rbcuqw1pdg2zuy/view";"Öppna PDF")</f>
        <v/>
      </c>
      <c r="F355">
        <f>HYPERLINK("http://localhost:8787/api/admin/requirements/documents/cmm4yuqnd03rbcuqw1pdg2zuy/view","Open PDF")</f>
        <v/>
      </c>
      <c r="G355" t="inlineStr">
        <is>
          <t>cmm55w57p0004cuisfrtpqly8</t>
        </is>
      </c>
      <c r="H355" t="inlineStr">
        <is>
          <t>Informationskrav</t>
        </is>
      </c>
      <c r="I355" t="inlineStr">
        <is>
          <t>DagvattenLakvatten</t>
        </is>
      </c>
      <c r="J355" t="inlineStr">
        <is>
          <t>Uppsamling</t>
        </is>
      </c>
      <c r="K355" t="inlineStr">
        <is>
          <t>All förvaring av kemiska produkter och farligt avfall ska ske på yta som är tät och beständig mot de produkter och det avfall som lagras, invallad samt skyddad från nederbörd och dagvatten.</t>
        </is>
      </c>
      <c r="L355" t="inlineStr">
        <is>
          <t>All förvaring av kemiska produkter och farligt avfall ska ske på yta som är tät och beständig mot de produkter och det avfall som lagras, invallad samt skyddad från nederbörd och dagvatten.</t>
        </is>
      </c>
      <c r="M355" t="inlineStr">
        <is>
          <t>SKA</t>
        </is>
      </c>
      <c r="N355" t="inlineStr"/>
      <c r="O355" t="inlineStr"/>
      <c r="P355" t="inlineStr">
        <is>
          <t>Arlig</t>
        </is>
      </c>
      <c r="Q355" t="inlineStr"/>
      <c r="R355" t="inlineStr">
        <is>
          <t>Vid nederbord och avrinning</t>
        </is>
      </c>
      <c r="S355" t="inlineStr"/>
      <c r="T355" t="inlineStr">
        <is>
          <t>26 70 00</t>
        </is>
      </c>
      <c r="U355" t="inlineStr"/>
      <c r="V355" t="inlineStr"/>
      <c r="W355" t="inlineStr">
        <is>
          <t>Nej</t>
        </is>
      </c>
      <c r="X355" t="inlineStr">
        <is>
          <t>Ja</t>
        </is>
      </c>
      <c r="Y355" t="inlineStr">
        <is>
          <t>Ja</t>
        </is>
      </c>
      <c r="Z355" t="inlineStr">
        <is>
          <t>Nej</t>
        </is>
      </c>
      <c r="AA355" t="n">
        <v>6</v>
      </c>
      <c r="AB355" t="inlineStr">
        <is>
          <t>Lakvattenhantering</t>
        </is>
      </c>
      <c r="AC355" t="inlineStr">
        <is>
          <t>Flodesschema dagvatten-lakvatten</t>
        </is>
      </c>
      <c r="AD355" t="inlineStr">
        <is>
          <t>Nej</t>
        </is>
      </c>
      <c r="AE355" t="inlineStr">
        <is>
          <t>Nej</t>
        </is>
      </c>
      <c r="AF355" t="inlineStr">
        <is>
          <t>Ej behandlad</t>
        </is>
      </c>
      <c r="AG355" t="inlineStr">
        <is>
          <t>AUTO_GENERERAD. Verifiera citat mot kallfil.</t>
        </is>
      </c>
      <c r="AH355" t="inlineStr">
        <is>
          <t>MEDIUM</t>
        </is>
      </c>
      <c r="AI355" t="inlineStr">
        <is>
          <t>AUTO</t>
        </is>
      </c>
      <c r="AJ355" t="inlineStr">
        <is>
          <t>Nej</t>
        </is>
      </c>
      <c r="AK355" t="inlineStr"/>
      <c r="AL355" t="inlineStr"/>
      <c r="AM355" t="inlineStr"/>
      <c r="AN355" t="inlineStr"/>
      <c r="AO355" t="inlineStr">
        <is>
          <t>cmm4yuqnj03rhcuqw5kt2masi</t>
        </is>
      </c>
      <c r="AP355" t="inlineStr">
        <is>
          <t>http://localhost:8787/api/admin/requirements/documents/cmm4yuqnj03rhcuqw5kt2masi/view</t>
        </is>
      </c>
      <c r="AQ355">
        <f>HYPERLÄNK("http://localhost:8787/api/admin/requirements/documents/cmm4yuqnj03rhcuqw5kt2masi/view";"Öppna PDF")</f>
        <v/>
      </c>
      <c r="AR355">
        <f>HYPERLINK("http://localhost:8787/api/admin/requirements/documents/cmm4yuqnj03rhcuqw5kt2masi/view","Open PDF")</f>
        <v/>
      </c>
      <c r="AS355" t="inlineStr">
        <is>
          <t>cmm55w57p0004cuisfrtpqly8</t>
        </is>
      </c>
      <c r="AT355" t="inlineStr">
        <is>
          <t>cmm4xvu980000cuh4vj0usz09</t>
        </is>
      </c>
      <c r="AU355" t="inlineStr">
        <is>
          <t>Hässleholms</t>
        </is>
      </c>
      <c r="AV355" t="inlineStr">
        <is>
          <t>Kommun</t>
        </is>
      </c>
      <c r="AW355" t="inlineStr">
        <is>
          <t>Hässleholms kommun</t>
        </is>
      </c>
      <c r="AX355" t="inlineStr">
        <is>
          <t>0451-26</t>
        </is>
      </c>
      <c r="AY355" t="inlineStr">
        <is>
          <t>Anmalan</t>
        </is>
      </c>
      <c r="AZ355" t="inlineStr">
        <is>
          <t>2026-02-05</t>
        </is>
      </c>
      <c r="BA355" t="inlineStr">
        <is>
          <t>M-2025-2674 - Avskrivning.pdf</t>
        </is>
      </c>
      <c r="BB355" t="inlineStr">
        <is>
          <t>Sv:  Begäran om utlämnande av allmän handling – Anmälningar och beslut rörande mellanlagring av avfall samt anläggning av ytor</t>
        </is>
      </c>
      <c r="BC355" t="inlineStr">
        <is>
          <t>AUTO</t>
        </is>
      </c>
      <c r="BD355" t="inlineStr"/>
      <c r="BE355" t="inlineStr"/>
      <c r="BF355" t="inlineStr">
        <is>
          <t>AUTO_GENERERAD. Bekrafta metadata mot kallfil.</t>
        </is>
      </c>
      <c r="BG355">
        <f>HYPERLINK("C:\Users\jimmy\Desktop\Examens arbete\Kod\Ny mapp\remix_-copy-of-miljöbeslut.se-portal\M-2025-2674 - Avskrivning.pdf", "Öppna PDF")</f>
        <v/>
      </c>
    </row>
    <row r="356">
      <c r="A356" t="inlineStr">
        <is>
          <t>KRAV-AUTO-000355</t>
        </is>
      </c>
      <c r="B356" t="inlineStr">
        <is>
          <t>ADMIN-INDEX-2026-02-27-00000000125C043F57453246863FE664CAFE6A3F0700950291EA24F0614FB6ACEDB12BF0E31D00000000010C0000950291EA24F0614FB6ACEDB12BF0E31D00002087A5DC0000</t>
        </is>
      </c>
      <c r="C356" t="inlineStr">
        <is>
          <t>cmm4yuqnd03rbcuqw1pdg2zuy</t>
        </is>
      </c>
      <c r="D356" t="inlineStr">
        <is>
          <t>http://localhost:8787/api/admin/requirements/documents/cmm4yuqnd03rbcuqw1pdg2zuy/view</t>
        </is>
      </c>
      <c r="E356">
        <f>HYPERLÄNK("http://localhost:8787/api/admin/requirements/documents/cmm4yuqnd03rbcuqw1pdg2zuy/view";"Öppna PDF")</f>
        <v/>
      </c>
      <c r="F356">
        <f>HYPERLINK("http://localhost:8787/api/admin/requirements/documents/cmm4yuqnd03rbcuqw1pdg2zuy/view","Open PDF")</f>
        <v/>
      </c>
      <c r="G356" t="inlineStr">
        <is>
          <t>cmm55w57p0004cuisfrtpqly8</t>
        </is>
      </c>
      <c r="H356" t="inlineStr">
        <is>
          <t>Informationskrav</t>
        </is>
      </c>
      <c r="I356" t="inlineStr">
        <is>
          <t>LagringsvolymTid</t>
        </is>
      </c>
      <c r="J356" t="inlineStr">
        <is>
          <t>Maxmangd</t>
        </is>
      </c>
      <c r="K356" t="inlineStr">
        <is>
          <t>Mängden farligt avfall, i detta fall katalysatorer, får inte vid något tillfälle uppgå till mer än 1 ton.</t>
        </is>
      </c>
      <c r="L356" t="inlineStr">
        <is>
          <t>Mängden farligt avfall, i detta fall katalysatorer, får inte vid något tillfälle uppgå till mer än 1 ton.</t>
        </is>
      </c>
      <c r="M356" t="inlineStr">
        <is>
          <t>SKA</t>
        </is>
      </c>
      <c r="N356" t="inlineStr"/>
      <c r="O356" t="inlineStr"/>
      <c r="P356" t="inlineStr">
        <is>
          <t>Arlig</t>
        </is>
      </c>
      <c r="Q356" t="inlineStr">
        <is>
          <t>Driftbegransning vid avvikelse</t>
        </is>
      </c>
      <c r="R356" t="inlineStr">
        <is>
          <t>Alltid</t>
        </is>
      </c>
      <c r="S356" t="inlineStr"/>
      <c r="T356" t="inlineStr">
        <is>
          <t>26 70 00</t>
        </is>
      </c>
      <c r="U356" t="n">
        <v>1</v>
      </c>
      <c r="V356" t="inlineStr"/>
      <c r="W356" t="inlineStr">
        <is>
          <t>Nej</t>
        </is>
      </c>
      <c r="X356" t="inlineStr">
        <is>
          <t>Nej</t>
        </is>
      </c>
      <c r="Y356" t="inlineStr">
        <is>
          <t>Nej</t>
        </is>
      </c>
      <c r="Z356" t="inlineStr">
        <is>
          <t>Nej</t>
        </is>
      </c>
      <c r="AA356" t="n">
        <v>4</v>
      </c>
      <c r="AB356" t="inlineStr">
        <is>
          <t>Avfallsmangder och lagringstid</t>
        </is>
      </c>
      <c r="AC356" t="inlineStr">
        <is>
          <t>Avfallsforteckning</t>
        </is>
      </c>
      <c r="AD356" t="inlineStr">
        <is>
          <t>Nej</t>
        </is>
      </c>
      <c r="AE356" t="inlineStr">
        <is>
          <t>Nej</t>
        </is>
      </c>
      <c r="AF356" t="inlineStr">
        <is>
          <t>Ej behandlad</t>
        </is>
      </c>
      <c r="AG356" t="inlineStr">
        <is>
          <t>AUTO_GENERERAD. Verifiera citat mot kallfil.</t>
        </is>
      </c>
      <c r="AH356" t="inlineStr">
        <is>
          <t>MEDIUM</t>
        </is>
      </c>
      <c r="AI356" t="inlineStr">
        <is>
          <t>AUTO</t>
        </is>
      </c>
      <c r="AJ356" t="inlineStr">
        <is>
          <t>Nej</t>
        </is>
      </c>
      <c r="AK356" t="inlineStr"/>
      <c r="AL356" t="inlineStr"/>
      <c r="AM356" t="inlineStr"/>
      <c r="AN356" t="inlineStr"/>
      <c r="AO356" t="inlineStr">
        <is>
          <t>cmm4yuqnj03rhcuqw5kt2masi</t>
        </is>
      </c>
      <c r="AP356" t="inlineStr">
        <is>
          <t>http://localhost:8787/api/admin/requirements/documents/cmm4yuqnj03rhcuqw5kt2masi/view</t>
        </is>
      </c>
      <c r="AQ356">
        <f>HYPERLÄNK("http://localhost:8787/api/admin/requirements/documents/cmm4yuqnj03rhcuqw5kt2masi/view";"Öppna PDF")</f>
        <v/>
      </c>
      <c r="AR356">
        <f>HYPERLINK("http://localhost:8787/api/admin/requirements/documents/cmm4yuqnj03rhcuqw5kt2masi/view","Open PDF")</f>
        <v/>
      </c>
      <c r="AS356" t="inlineStr">
        <is>
          <t>cmm55w57p0004cuisfrtpqly8</t>
        </is>
      </c>
      <c r="AT356" t="inlineStr">
        <is>
          <t>cmm4xvu980000cuh4vj0usz09</t>
        </is>
      </c>
      <c r="AU356" t="inlineStr">
        <is>
          <t>Hässleholms</t>
        </is>
      </c>
      <c r="AV356" t="inlineStr">
        <is>
          <t>Kommun</t>
        </is>
      </c>
      <c r="AW356" t="inlineStr">
        <is>
          <t>Hässleholms kommun</t>
        </is>
      </c>
      <c r="AX356" t="inlineStr">
        <is>
          <t>0451-26</t>
        </is>
      </c>
      <c r="AY356" t="inlineStr">
        <is>
          <t>Anmalan</t>
        </is>
      </c>
      <c r="AZ356" t="inlineStr">
        <is>
          <t>2026-02-05</t>
        </is>
      </c>
      <c r="BA356" t="inlineStr">
        <is>
          <t>M-2025-2674 - Avskrivning.pdf</t>
        </is>
      </c>
      <c r="BB356" t="inlineStr">
        <is>
          <t>Sv:  Begäran om utlämnande av allmän handling – Anmälningar och beslut rörande mellanlagring av avfall samt anläggning av ytor</t>
        </is>
      </c>
      <c r="BC356" t="inlineStr">
        <is>
          <t>AUTO</t>
        </is>
      </c>
      <c r="BD356" t="inlineStr"/>
      <c r="BE356" t="inlineStr"/>
      <c r="BF356" t="inlineStr">
        <is>
          <t>AUTO_GENERERAD. Bekrafta metadata mot kallfil.</t>
        </is>
      </c>
      <c r="BG356">
        <f>HYPERLINK("C:\Users\jimmy\Desktop\Examens arbete\Kod\Ny mapp\remix_-copy-of-miljöbeslut.se-portal\M-2025-2674 - Avskrivning.pdf", "Öppna PDF")</f>
        <v/>
      </c>
    </row>
    <row r="357">
      <c r="A357" t="inlineStr">
        <is>
          <t>KRAV-AUTO-000356</t>
        </is>
      </c>
      <c r="B357" t="inlineStr">
        <is>
          <t>ADMIN-INDEX-2026-02-27-00000000125C043F57453246863FE664CAFE6A3F0700950291EA24F0614FB6ACEDB12BF0E31D00000000010C0000950291EA24F0614FB6ACEDB12BF0E31D00002087A5DC0000</t>
        </is>
      </c>
      <c r="C357" t="inlineStr">
        <is>
          <t>cmm4yuqnd03rbcuqw1pdg2zuy</t>
        </is>
      </c>
      <c r="D357" t="inlineStr">
        <is>
          <t>http://localhost:8787/api/admin/requirements/documents/cmm4yuqnd03rbcuqw1pdg2zuy/view</t>
        </is>
      </c>
      <c r="E357">
        <f>HYPERLÄNK("http://localhost:8787/api/admin/requirements/documents/cmm4yuqnd03rbcuqw1pdg2zuy/view";"Öppna PDF")</f>
        <v/>
      </c>
      <c r="F357">
        <f>HYPERLINK("http://localhost:8787/api/admin/requirements/documents/cmm4yuqnd03rbcuqw1pdg2zuy/view","Open PDF")</f>
        <v/>
      </c>
      <c r="G357" t="inlineStr">
        <is>
          <t>cmm55w57p0004cuisfrtpqly8</t>
        </is>
      </c>
      <c r="H357" t="inlineStr">
        <is>
          <t>Informationskrav</t>
        </is>
      </c>
      <c r="I357" t="inlineStr">
        <is>
          <t>Riskhantering</t>
        </is>
      </c>
      <c r="J357" t="inlineStr">
        <is>
          <t>Riskkontroll</t>
        </is>
      </c>
      <c r="K357" t="inlineStr">
        <is>
          <t>Anläggningen ska vara försedd med brandsläckningsutrustning anpassad för den mängd och typ avfall som lagras.</t>
        </is>
      </c>
      <c r="L357" t="inlineStr">
        <is>
          <t>Anläggningen ska vara försedd med brandsläckningsutrustning anpassad för den mängd och typ avfall som lagras.</t>
        </is>
      </c>
      <c r="M357" t="inlineStr">
        <is>
          <t>SKA</t>
        </is>
      </c>
      <c r="N357" t="inlineStr"/>
      <c r="O357" t="inlineStr"/>
      <c r="P357" t="inlineStr"/>
      <c r="Q357" t="inlineStr"/>
      <c r="R357" t="inlineStr">
        <is>
          <t>Vid risk for incident</t>
        </is>
      </c>
      <c r="S357" t="inlineStr"/>
      <c r="T357" t="inlineStr">
        <is>
          <t>26 70 00</t>
        </is>
      </c>
      <c r="U357" t="inlineStr"/>
      <c r="V357" t="inlineStr"/>
      <c r="W357" t="inlineStr">
        <is>
          <t>Nej</t>
        </is>
      </c>
      <c r="X357" t="inlineStr">
        <is>
          <t>Nej</t>
        </is>
      </c>
      <c r="Y357" t="inlineStr">
        <is>
          <t>Ja</t>
        </is>
      </c>
      <c r="Z357" t="inlineStr">
        <is>
          <t>Ja</t>
        </is>
      </c>
      <c r="AA357" t="n">
        <v>8</v>
      </c>
      <c r="AB357" t="inlineStr">
        <is>
          <t>Riskhantering</t>
        </is>
      </c>
      <c r="AC357" t="inlineStr">
        <is>
          <t>Risk-PM</t>
        </is>
      </c>
      <c r="AD357" t="inlineStr">
        <is>
          <t>Nej</t>
        </is>
      </c>
      <c r="AE357" t="inlineStr">
        <is>
          <t>Nej</t>
        </is>
      </c>
      <c r="AF357" t="inlineStr">
        <is>
          <t>Ej behandlad</t>
        </is>
      </c>
      <c r="AG357" t="inlineStr">
        <is>
          <t>AUTO_GENERERAD. Verifiera citat mot kallfil.</t>
        </is>
      </c>
      <c r="AH357" t="inlineStr">
        <is>
          <t>MEDIUM</t>
        </is>
      </c>
      <c r="AI357" t="inlineStr">
        <is>
          <t>AUTO</t>
        </is>
      </c>
      <c r="AJ357" t="inlineStr">
        <is>
          <t>Nej</t>
        </is>
      </c>
      <c r="AK357" t="inlineStr"/>
      <c r="AL357" t="inlineStr"/>
      <c r="AM357" t="inlineStr"/>
      <c r="AN357" t="inlineStr"/>
      <c r="AO357" t="inlineStr">
        <is>
          <t>cmm4yuqnj03rhcuqw5kt2masi</t>
        </is>
      </c>
      <c r="AP357" t="inlineStr">
        <is>
          <t>http://localhost:8787/api/admin/requirements/documents/cmm4yuqnj03rhcuqw5kt2masi/view</t>
        </is>
      </c>
      <c r="AQ357">
        <f>HYPERLÄNK("http://localhost:8787/api/admin/requirements/documents/cmm4yuqnj03rhcuqw5kt2masi/view";"Öppna PDF")</f>
        <v/>
      </c>
      <c r="AR357">
        <f>HYPERLINK("http://localhost:8787/api/admin/requirements/documents/cmm4yuqnj03rhcuqw5kt2masi/view","Open PDF")</f>
        <v/>
      </c>
      <c r="AS357" t="inlineStr">
        <is>
          <t>cmm55w57p0004cuisfrtpqly8</t>
        </is>
      </c>
      <c r="AT357" t="inlineStr">
        <is>
          <t>cmm4xvu980000cuh4vj0usz09</t>
        </is>
      </c>
      <c r="AU357" t="inlineStr">
        <is>
          <t>Hässleholms</t>
        </is>
      </c>
      <c r="AV357" t="inlineStr">
        <is>
          <t>Kommun</t>
        </is>
      </c>
      <c r="AW357" t="inlineStr">
        <is>
          <t>Hässleholms kommun</t>
        </is>
      </c>
      <c r="AX357" t="inlineStr">
        <is>
          <t>0451-26</t>
        </is>
      </c>
      <c r="AY357" t="inlineStr">
        <is>
          <t>Anmalan</t>
        </is>
      </c>
      <c r="AZ357" t="inlineStr">
        <is>
          <t>2026-02-05</t>
        </is>
      </c>
      <c r="BA357" t="inlineStr">
        <is>
          <t>M-2025-2674 - Avskrivning.pdf</t>
        </is>
      </c>
      <c r="BB357" t="inlineStr">
        <is>
          <t>Sv:  Begäran om utlämnande av allmän handling – Anmälningar och beslut rörande mellanlagring av avfall samt anläggning av ytor</t>
        </is>
      </c>
      <c r="BC357" t="inlineStr">
        <is>
          <t>AUTO</t>
        </is>
      </c>
      <c r="BD357" t="inlineStr"/>
      <c r="BE357" t="inlineStr"/>
      <c r="BF357" t="inlineStr">
        <is>
          <t>AUTO_GENERERAD. Bekrafta metadata mot kallfil.</t>
        </is>
      </c>
      <c r="BG357">
        <f>HYPERLINK("C:\Users\jimmy\Desktop\Examens arbete\Kod\Ny mapp\remix_-copy-of-miljöbeslut.se-portal\M-2025-2674 - Avskrivning.pdf", "Öppna PDF")</f>
        <v/>
      </c>
    </row>
    <row r="358">
      <c r="A358" t="inlineStr">
        <is>
          <t>KRAV-AUTO-000357</t>
        </is>
      </c>
      <c r="B358" t="inlineStr">
        <is>
          <t>ADMIN-INDEX-2026-02-27-00000000125C043F57453246863FE664CAFE6A3F0700950291EA24F0614FB6ACEDB12BF0E31D00000000010C0000950291EA24F0614FB6ACEDB12BF0E31D00002087A5860000</t>
        </is>
      </c>
      <c r="C358" t="inlineStr">
        <is>
          <t>cmm4yurb604dbcuqwpk6azwk6</t>
        </is>
      </c>
      <c r="D358" t="inlineStr">
        <is>
          <t>http://localhost:8787/api/admin/requirements/documents/cmm4yurb604dbcuqwpk6azwk6/view</t>
        </is>
      </c>
      <c r="E358">
        <f>HYPERLÄNK("http://localhost:8787/api/admin/requirements/documents/cmm4yurb604dbcuqwpk6azwk6/view";"Öppna PDF")</f>
        <v/>
      </c>
      <c r="F358">
        <f>HYPERLINK("http://localhost:8787/api/admin/requirements/documents/cmm4yurb604dbcuqwpk6azwk6/view","Open PDF")</f>
        <v/>
      </c>
      <c r="G358" t="inlineStr">
        <is>
          <t>cmm55w57p0004cuisfrtpqly8</t>
        </is>
      </c>
      <c r="H358" t="inlineStr">
        <is>
          <t>Beslutsvillkor</t>
        </is>
      </c>
      <c r="I358" t="inlineStr">
        <is>
          <t>LagringsvolymTid</t>
        </is>
      </c>
      <c r="J358" t="inlineStr">
        <is>
          <t>Maxmangd</t>
        </is>
      </c>
      <c r="K358" t="inlineStr">
        <is>
          <t>Ändringen innefattar att verksamheten vill börja ta emot 500 ton betongslam per år och sälja detta som jordförbättring/kalkningsmedel.</t>
        </is>
      </c>
      <c r="L358" t="inlineStr">
        <is>
          <t>Ändringen innefattar att verksamheten vill börja ta emot 500 ton betongslam per år och sälja detta som jordförbättring/kalkningsmedel.</t>
        </is>
      </c>
      <c r="M358" t="inlineStr">
        <is>
          <t>BOR</t>
        </is>
      </c>
      <c r="N358" t="inlineStr"/>
      <c r="O358" t="inlineStr"/>
      <c r="P358" t="inlineStr"/>
      <c r="Q358" t="inlineStr"/>
      <c r="R358" t="inlineStr">
        <is>
          <t>Alltid</t>
        </is>
      </c>
      <c r="S358" t="inlineStr"/>
      <c r="T358" t="inlineStr">
        <is>
          <t>212000</t>
        </is>
      </c>
      <c r="U358" t="n">
        <v>500</v>
      </c>
      <c r="V358" t="inlineStr"/>
      <c r="W358" t="inlineStr">
        <is>
          <t>Nej</t>
        </is>
      </c>
      <c r="X358" t="inlineStr">
        <is>
          <t>Nej</t>
        </is>
      </c>
      <c r="Y358" t="inlineStr">
        <is>
          <t>Nej</t>
        </is>
      </c>
      <c r="Z358" t="inlineStr">
        <is>
          <t>Nej</t>
        </is>
      </c>
      <c r="AA358" t="n">
        <v>4</v>
      </c>
      <c r="AB358" t="inlineStr">
        <is>
          <t>Avfallsmangder och lagringstid</t>
        </is>
      </c>
      <c r="AC358" t="inlineStr">
        <is>
          <t>Avfallsforteckning</t>
        </is>
      </c>
      <c r="AD358" t="inlineStr">
        <is>
          <t>Nej</t>
        </is>
      </c>
      <c r="AE358" t="inlineStr">
        <is>
          <t>Nej</t>
        </is>
      </c>
      <c r="AF358" t="inlineStr">
        <is>
          <t>Ej behandlad</t>
        </is>
      </c>
      <c r="AG358" t="inlineStr">
        <is>
          <t>AUTO_GENERERAD. Verifiera citat mot kallfil.</t>
        </is>
      </c>
      <c r="AH358" t="inlineStr">
        <is>
          <t>MEDIUM</t>
        </is>
      </c>
      <c r="AI358" t="inlineStr">
        <is>
          <t>AUTO</t>
        </is>
      </c>
      <c r="AJ358" t="inlineStr">
        <is>
          <t>Nej</t>
        </is>
      </c>
      <c r="AK358" t="inlineStr"/>
      <c r="AL358" t="inlineStr"/>
      <c r="AM358" t="inlineStr"/>
      <c r="AN358" t="inlineStr"/>
      <c r="AO358" t="inlineStr">
        <is>
          <t>cmm4yurb604dbcuqwpk6azwk6</t>
        </is>
      </c>
      <c r="AP358" t="inlineStr">
        <is>
          <t>http://localhost:8787/api/admin/requirements/documents/cmm4yurb604dbcuqwpk6azwk6/view</t>
        </is>
      </c>
      <c r="AQ358">
        <f>HYPERLÄNK("http://localhost:8787/api/admin/requirements/documents/cmm4yurb604dbcuqwpk6azwk6/view";"Öppna PDF")</f>
        <v/>
      </c>
      <c r="AR358">
        <f>HYPERLINK("http://localhost:8787/api/admin/requirements/documents/cmm4yurb604dbcuqwpk6azwk6/view","Open PDF")</f>
        <v/>
      </c>
      <c r="AS358" t="inlineStr">
        <is>
          <t>cmm55w57p0004cuisfrtpqly8</t>
        </is>
      </c>
      <c r="AT358" t="inlineStr">
        <is>
          <t>cmm4xvu980000cuh4vj0usz09</t>
        </is>
      </c>
      <c r="AU358" t="inlineStr"/>
      <c r="AV358" t="inlineStr">
        <is>
          <t>Kommun</t>
        </is>
      </c>
      <c r="AW358" t="inlineStr"/>
      <c r="AX358" t="inlineStr">
        <is>
          <t>0472-150</t>
        </is>
      </c>
      <c r="AY358" t="inlineStr">
        <is>
          <t>Beslut</t>
        </is>
      </c>
      <c r="AZ358" t="inlineStr">
        <is>
          <t>2026-02-11</t>
        </is>
      </c>
      <c r="BA358" t="inlineStr">
        <is>
          <t>2024.1848..pdf</t>
        </is>
      </c>
      <c r="BB358" t="inlineStr">
        <is>
          <t>Handlingar</t>
        </is>
      </c>
      <c r="BC358" t="inlineStr">
        <is>
          <t>AUTO</t>
        </is>
      </c>
      <c r="BD358" t="inlineStr"/>
      <c r="BE358" t="inlineStr"/>
      <c r="BF358" t="inlineStr">
        <is>
          <t>AUTO_GENERERAD. Bekrafta metadata mot kallfil.</t>
        </is>
      </c>
      <c r="BG358">
        <f>HYPERLINK("C:\Users\jimmy\Desktop\Examens arbete\Kod\Ny mapp\remix_-copy-of-miljöbeslut.se-portal\2024.1848..pdf", "Öppna PDF")</f>
        <v/>
      </c>
    </row>
    <row r="359">
      <c r="A359" t="inlineStr">
        <is>
          <t>KRAV-AUTO-000358</t>
        </is>
      </c>
      <c r="B359" t="inlineStr">
        <is>
          <t>ADMIN-INDEX-2026-02-27-00000000125C043F57453246863FE664CAFE6A3F0700950291EA24F0614FB6ACEDB12BF0E31D00000000010C0000950291EA24F0614FB6ACEDB12BF0E31D00002087A5860000</t>
        </is>
      </c>
      <c r="C359" t="inlineStr">
        <is>
          <t>cmm4yurb604dbcuqwpk6azwk6</t>
        </is>
      </c>
      <c r="D359" t="inlineStr">
        <is>
          <t>http://localhost:8787/api/admin/requirements/documents/cmm4yurb604dbcuqwpk6azwk6/view</t>
        </is>
      </c>
      <c r="E359">
        <f>HYPERLÄNK("http://localhost:8787/api/admin/requirements/documents/cmm4yurb604dbcuqwpk6azwk6/view";"Öppna PDF")</f>
        <v/>
      </c>
      <c r="F359">
        <f>HYPERLINK("http://localhost:8787/api/admin/requirements/documents/cmm4yurb604dbcuqwpk6azwk6/view","Open PDF")</f>
        <v/>
      </c>
      <c r="G359" t="inlineStr">
        <is>
          <t>cmm55w57p0004cuisfrtpqly8</t>
        </is>
      </c>
      <c r="H359" t="inlineStr">
        <is>
          <t>Beslutsvillkor</t>
        </is>
      </c>
      <c r="I359" t="inlineStr">
        <is>
          <t>LagringsvolymTid</t>
        </is>
      </c>
      <c r="J359" t="inlineStr">
        <is>
          <t>Maxmangd</t>
        </is>
      </c>
      <c r="K359" t="inlineStr">
        <is>
          <t>Nämnden för myndighetsutövning gör därför bedömningen att innehållet i betongslammet bör dokumenteras och förmedlas vid försäljning av betongslammet som kalkningsmedel eller jordförbättringsmedel.</t>
        </is>
      </c>
      <c r="L359" t="inlineStr">
        <is>
          <t>Nämnden för myndighetsutövning gör därför bedömningen att innehållet i betongslammet bör dokumenteras och förmedlas vid försäljning av betongslammet som kalkningsmedel eller jordförbättringsmedel.</t>
        </is>
      </c>
      <c r="M359" t="inlineStr">
        <is>
          <t>BOR</t>
        </is>
      </c>
      <c r="N359" t="inlineStr"/>
      <c r="O359" t="inlineStr"/>
      <c r="P359" t="inlineStr"/>
      <c r="Q359" t="inlineStr"/>
      <c r="R359" t="inlineStr">
        <is>
          <t>Alltid</t>
        </is>
      </c>
      <c r="S359" t="inlineStr"/>
      <c r="T359" t="inlineStr">
        <is>
          <t>212000</t>
        </is>
      </c>
      <c r="U359" t="inlineStr"/>
      <c r="V359" t="inlineStr"/>
      <c r="W359" t="inlineStr">
        <is>
          <t>Nej</t>
        </is>
      </c>
      <c r="X359" t="inlineStr">
        <is>
          <t>Nej</t>
        </is>
      </c>
      <c r="Y359" t="inlineStr">
        <is>
          <t>Nej</t>
        </is>
      </c>
      <c r="Z359" t="inlineStr">
        <is>
          <t>Nej</t>
        </is>
      </c>
      <c r="AA359" t="n">
        <v>4</v>
      </c>
      <c r="AB359" t="inlineStr">
        <is>
          <t>Avfallsmangder och lagringstid</t>
        </is>
      </c>
      <c r="AC359" t="inlineStr">
        <is>
          <t>Avfallsforteckning</t>
        </is>
      </c>
      <c r="AD359" t="inlineStr">
        <is>
          <t>Nej</t>
        </is>
      </c>
      <c r="AE359" t="inlineStr">
        <is>
          <t>Nej</t>
        </is>
      </c>
      <c r="AF359" t="inlineStr">
        <is>
          <t>Ej behandlad</t>
        </is>
      </c>
      <c r="AG359" t="inlineStr">
        <is>
          <t>AUTO_GENERERAD. Verifiera citat mot kallfil.</t>
        </is>
      </c>
      <c r="AH359" t="inlineStr">
        <is>
          <t>MEDIUM</t>
        </is>
      </c>
      <c r="AI359" t="inlineStr">
        <is>
          <t>AUTO</t>
        </is>
      </c>
      <c r="AJ359" t="inlineStr">
        <is>
          <t>Nej</t>
        </is>
      </c>
      <c r="AK359" t="inlineStr"/>
      <c r="AL359" t="inlineStr"/>
      <c r="AM359" t="inlineStr"/>
      <c r="AN359" t="inlineStr"/>
      <c r="AO359" t="inlineStr">
        <is>
          <t>cmm4yurb604dbcuqwpk6azwk6</t>
        </is>
      </c>
      <c r="AP359" t="inlineStr">
        <is>
          <t>http://localhost:8787/api/admin/requirements/documents/cmm4yurb604dbcuqwpk6azwk6/view</t>
        </is>
      </c>
      <c r="AQ359">
        <f>HYPERLÄNK("http://localhost:8787/api/admin/requirements/documents/cmm4yurb604dbcuqwpk6azwk6/view";"Öppna PDF")</f>
        <v/>
      </c>
      <c r="AR359">
        <f>HYPERLINK("http://localhost:8787/api/admin/requirements/documents/cmm4yurb604dbcuqwpk6azwk6/view","Open PDF")</f>
        <v/>
      </c>
      <c r="AS359" t="inlineStr">
        <is>
          <t>cmm55w57p0004cuisfrtpqly8</t>
        </is>
      </c>
      <c r="AT359" t="inlineStr">
        <is>
          <t>cmm4xvu980000cuh4vj0usz09</t>
        </is>
      </c>
      <c r="AU359" t="inlineStr"/>
      <c r="AV359" t="inlineStr">
        <is>
          <t>Kommun</t>
        </is>
      </c>
      <c r="AW359" t="inlineStr"/>
      <c r="AX359" t="inlineStr">
        <is>
          <t>0472-150</t>
        </is>
      </c>
      <c r="AY359" t="inlineStr">
        <is>
          <t>Beslut</t>
        </is>
      </c>
      <c r="AZ359" t="inlineStr">
        <is>
          <t>2026-02-11</t>
        </is>
      </c>
      <c r="BA359" t="inlineStr">
        <is>
          <t>2024.1848..pdf</t>
        </is>
      </c>
      <c r="BB359" t="inlineStr">
        <is>
          <t>Handlingar</t>
        </is>
      </c>
      <c r="BC359" t="inlineStr">
        <is>
          <t>AUTO</t>
        </is>
      </c>
      <c r="BD359" t="inlineStr"/>
      <c r="BE359" t="inlineStr"/>
      <c r="BF359" t="inlineStr">
        <is>
          <t>AUTO_GENERERAD. Bekrafta metadata mot kallfil.</t>
        </is>
      </c>
      <c r="BG359">
        <f>HYPERLINK("C:\Users\jimmy\Desktop\Examens arbete\Kod\Ny mapp\remix_-copy-of-miljöbeslut.se-portal\2024.1848..pdf", "Öppna PDF")</f>
        <v/>
      </c>
    </row>
    <row r="360">
      <c r="A360" t="inlineStr">
        <is>
          <t>KRAV-AUTO-000359</t>
        </is>
      </c>
      <c r="B360" t="inlineStr">
        <is>
          <t>ADMIN-INDEX-2026-02-27-00000000125C043F57453246863FE664CAFE6A3F0700950291EA24F0614FB6ACEDB12BF0E31D00000000010C0000950291EA24F0614FB6ACEDB12BF0E31D00002087A5860000</t>
        </is>
      </c>
      <c r="C360" t="inlineStr">
        <is>
          <t>cmm4yurar04cwcuqwxnofej9e</t>
        </is>
      </c>
      <c r="D360" t="inlineStr">
        <is>
          <t>http://localhost:8787/api/admin/requirements/documents/cmm4yurar04cwcuqwxnofej9e/view</t>
        </is>
      </c>
      <c r="E360">
        <f>HYPERLÄNK("http://localhost:8787/api/admin/requirements/documents/cmm4yurar04cwcuqwxnofej9e/view";"Öppna PDF")</f>
        <v/>
      </c>
      <c r="F360">
        <f>HYPERLINK("http://localhost:8787/api/admin/requirements/documents/cmm4yurar04cwcuqwxnofej9e/view","Open PDF")</f>
        <v/>
      </c>
      <c r="G360" t="inlineStr">
        <is>
          <t>cmm55w57p0004cuisfrtpqly8</t>
        </is>
      </c>
      <c r="H360" t="inlineStr">
        <is>
          <t>Beslutsvillkor</t>
        </is>
      </c>
      <c r="I360" t="inlineStr">
        <is>
          <t>Riskhantering</t>
        </is>
      </c>
      <c r="J360" t="inlineStr">
        <is>
          <t>Riskkontroll</t>
        </is>
      </c>
      <c r="K360" t="inlineStr">
        <is>
          <t>Åtgärden ska så långt det är ekonomiskt rimligt och tekniskt möjligt reducera miljö- och hälsoriskerna och bör vara av en engångskaraktär.</t>
        </is>
      </c>
      <c r="L360" t="inlineStr">
        <is>
          <t>Åtgärden ska så långt det är ekonomiskt rimligt och tekniskt möjligt reducera miljö- och hälsoriskerna och bör vara av en engångskaraktär.</t>
        </is>
      </c>
      <c r="M360" t="inlineStr">
        <is>
          <t>SKA</t>
        </is>
      </c>
      <c r="N360" t="inlineStr"/>
      <c r="O360" t="inlineStr"/>
      <c r="P360" t="inlineStr"/>
      <c r="Q360" t="inlineStr"/>
      <c r="R360" t="inlineStr">
        <is>
          <t>Vid risk for incident</t>
        </is>
      </c>
      <c r="S360" t="inlineStr"/>
      <c r="T360" t="inlineStr">
        <is>
          <t>82 2024</t>
        </is>
      </c>
      <c r="U360" t="inlineStr"/>
      <c r="V360" t="inlineStr"/>
      <c r="W360" t="inlineStr">
        <is>
          <t>Nej</t>
        </is>
      </c>
      <c r="X360" t="inlineStr">
        <is>
          <t>Nej</t>
        </is>
      </c>
      <c r="Y360" t="inlineStr">
        <is>
          <t>Ja</t>
        </is>
      </c>
      <c r="Z360" t="inlineStr">
        <is>
          <t>Ja</t>
        </is>
      </c>
      <c r="AA360" t="n">
        <v>8</v>
      </c>
      <c r="AB360" t="inlineStr">
        <is>
          <t>Riskhantering</t>
        </is>
      </c>
      <c r="AC360" t="inlineStr">
        <is>
          <t>Risk-PM</t>
        </is>
      </c>
      <c r="AD360" t="inlineStr">
        <is>
          <t>Nej</t>
        </is>
      </c>
      <c r="AE360" t="inlineStr">
        <is>
          <t>Nej</t>
        </is>
      </c>
      <c r="AF360" t="inlineStr">
        <is>
          <t>Ej behandlad</t>
        </is>
      </c>
      <c r="AG360" t="inlineStr">
        <is>
          <t>AUTO_GENERERAD. Verifiera citat mot kallfil.</t>
        </is>
      </c>
      <c r="AH360" t="inlineStr">
        <is>
          <t>MEDIUM</t>
        </is>
      </c>
      <c r="AI360" t="inlineStr">
        <is>
          <t>AUTO</t>
        </is>
      </c>
      <c r="AJ360" t="inlineStr">
        <is>
          <t>Nej</t>
        </is>
      </c>
      <c r="AK360" t="inlineStr"/>
      <c r="AL360" t="inlineStr"/>
      <c r="AM360" t="inlineStr"/>
      <c r="AN360" t="inlineStr"/>
      <c r="AO360" t="inlineStr">
        <is>
          <t>cmm4yurb604dbcuqwpk6azwk6</t>
        </is>
      </c>
      <c r="AP360" t="inlineStr">
        <is>
          <t>http://localhost:8787/api/admin/requirements/documents/cmm4yurb604dbcuqwpk6azwk6/view</t>
        </is>
      </c>
      <c r="AQ360">
        <f>HYPERLÄNK("http://localhost:8787/api/admin/requirements/documents/cmm4yurb604dbcuqwpk6azwk6/view";"Öppna PDF")</f>
        <v/>
      </c>
      <c r="AR360">
        <f>HYPERLINK("http://localhost:8787/api/admin/requirements/documents/cmm4yurb604dbcuqwpk6azwk6/view","Open PDF")</f>
        <v/>
      </c>
      <c r="AS360" t="inlineStr">
        <is>
          <t>cmm55w57p0004cuisfrtpqly8</t>
        </is>
      </c>
      <c r="AT360" t="inlineStr">
        <is>
          <t>cmm4xvu980000cuh4vj0usz09</t>
        </is>
      </c>
      <c r="AU360" t="inlineStr"/>
      <c r="AV360" t="inlineStr">
        <is>
          <t>Kommun</t>
        </is>
      </c>
      <c r="AW360" t="inlineStr"/>
      <c r="AX360" t="inlineStr">
        <is>
          <t>0472-150</t>
        </is>
      </c>
      <c r="AY360" t="inlineStr">
        <is>
          <t>Beslut</t>
        </is>
      </c>
      <c r="AZ360" t="inlineStr">
        <is>
          <t>2026-02-11</t>
        </is>
      </c>
      <c r="BA360" t="inlineStr">
        <is>
          <t>2024.1848..pdf</t>
        </is>
      </c>
      <c r="BB360" t="inlineStr">
        <is>
          <t>Handlingar</t>
        </is>
      </c>
      <c r="BC360" t="inlineStr">
        <is>
          <t>AUTO</t>
        </is>
      </c>
      <c r="BD360" t="inlineStr"/>
      <c r="BE360" t="inlineStr"/>
      <c r="BF360" t="inlineStr">
        <is>
          <t>AUTO_GENERERAD. Bekrafta metadata mot kallfil.</t>
        </is>
      </c>
      <c r="BG360">
        <f>HYPERLINK("C:\Users\jimmy\Desktop\Examens arbete\Kod\Ny mapp\remix_-copy-of-miljöbeslut.se-portal\2024.1848..pdf", "Öppna PDF")</f>
        <v/>
      </c>
    </row>
    <row r="361">
      <c r="A361" t="inlineStr">
        <is>
          <t>KRAV-AUTO-000360</t>
        </is>
      </c>
      <c r="B361" t="inlineStr">
        <is>
          <t>ADMIN-INDEX-2026-02-27-00000000125C043F57453246863FE664CAFE6A3F0700950291EA24F0614FB6ACEDB12BF0E31D00000000010C0000950291EA24F0614FB6ACEDB12BF0E31D00002087A5860000</t>
        </is>
      </c>
      <c r="C361" t="inlineStr">
        <is>
          <t>cmm4yurar04cwcuqwxnofej9e</t>
        </is>
      </c>
      <c r="D361" t="inlineStr">
        <is>
          <t>http://localhost:8787/api/admin/requirements/documents/cmm4yurar04cwcuqwxnofej9e/view</t>
        </is>
      </c>
      <c r="E361">
        <f>HYPERLÄNK("http://localhost:8787/api/admin/requirements/documents/cmm4yurar04cwcuqwxnofej9e/view";"Öppna PDF")</f>
        <v/>
      </c>
      <c r="F361">
        <f>HYPERLINK("http://localhost:8787/api/admin/requirements/documents/cmm4yurar04cwcuqwxnofej9e/view","Open PDF")</f>
        <v/>
      </c>
      <c r="G361" t="inlineStr">
        <is>
          <t>cmm55w57p0004cuisfrtpqly8</t>
        </is>
      </c>
      <c r="H361" t="inlineStr">
        <is>
          <t>Beslutsvillkor</t>
        </is>
      </c>
      <c r="I361" t="inlineStr">
        <is>
          <t>DagvattenLakvatten</t>
        </is>
      </c>
      <c r="J361" t="inlineStr">
        <is>
          <t>Uppsamling</t>
        </is>
      </c>
      <c r="K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L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M361" t="inlineStr">
        <is>
          <t>SKA</t>
        </is>
      </c>
      <c r="N361" t="inlineStr"/>
      <c r="O361" t="inlineStr"/>
      <c r="P361" t="inlineStr"/>
      <c r="Q361" t="inlineStr"/>
      <c r="R361" t="inlineStr">
        <is>
          <t>Vid nederbord och avrinning</t>
        </is>
      </c>
      <c r="S361" t="inlineStr"/>
      <c r="T361" t="inlineStr">
        <is>
          <t>82 2024</t>
        </is>
      </c>
      <c r="U361" t="inlineStr"/>
      <c r="V361" t="inlineStr"/>
      <c r="W361" t="inlineStr">
        <is>
          <t>Nej</t>
        </is>
      </c>
      <c r="X361" t="inlineStr">
        <is>
          <t>Ja</t>
        </is>
      </c>
      <c r="Y361" t="inlineStr">
        <is>
          <t>Ja</t>
        </is>
      </c>
      <c r="Z361" t="inlineStr">
        <is>
          <t>Nej</t>
        </is>
      </c>
      <c r="AA361" t="n">
        <v>6</v>
      </c>
      <c r="AB361" t="inlineStr">
        <is>
          <t>Lakvattenhantering</t>
        </is>
      </c>
      <c r="AC361" t="inlineStr">
        <is>
          <t>Flodesschema dagvatten-lakvatten</t>
        </is>
      </c>
      <c r="AD361" t="inlineStr">
        <is>
          <t>Nej</t>
        </is>
      </c>
      <c r="AE361" t="inlineStr">
        <is>
          <t>Nej</t>
        </is>
      </c>
      <c r="AF361" t="inlineStr">
        <is>
          <t>Ej behandlad</t>
        </is>
      </c>
      <c r="AG361" t="inlineStr">
        <is>
          <t>AUTO_GENERERAD. Verifiera citat mot kallfil.</t>
        </is>
      </c>
      <c r="AH361" t="inlineStr">
        <is>
          <t>MEDIUM</t>
        </is>
      </c>
      <c r="AI361" t="inlineStr">
        <is>
          <t>AUTO</t>
        </is>
      </c>
      <c r="AJ361" t="inlineStr">
        <is>
          <t>Nej</t>
        </is>
      </c>
      <c r="AK361" t="inlineStr"/>
      <c r="AL361" t="inlineStr"/>
      <c r="AM361" t="inlineStr"/>
      <c r="AN361" t="inlineStr"/>
      <c r="AO361" t="inlineStr">
        <is>
          <t>cmm4yurb604dbcuqwpk6azwk6</t>
        </is>
      </c>
      <c r="AP361" t="inlineStr">
        <is>
          <t>http://localhost:8787/api/admin/requirements/documents/cmm4yurb604dbcuqwpk6azwk6/view</t>
        </is>
      </c>
      <c r="AQ361">
        <f>HYPERLÄNK("http://localhost:8787/api/admin/requirements/documents/cmm4yurb604dbcuqwpk6azwk6/view";"Öppna PDF")</f>
        <v/>
      </c>
      <c r="AR361">
        <f>HYPERLINK("http://localhost:8787/api/admin/requirements/documents/cmm4yurb604dbcuqwpk6azwk6/view","Open PDF")</f>
        <v/>
      </c>
      <c r="AS361" t="inlineStr">
        <is>
          <t>cmm55w57p0004cuisfrtpqly8</t>
        </is>
      </c>
      <c r="AT361" t="inlineStr">
        <is>
          <t>cmm4xvu980000cuh4vj0usz09</t>
        </is>
      </c>
      <c r="AU361" t="inlineStr"/>
      <c r="AV361" t="inlineStr">
        <is>
          <t>Kommun</t>
        </is>
      </c>
      <c r="AW361" t="inlineStr"/>
      <c r="AX361" t="inlineStr">
        <is>
          <t>0472-150</t>
        </is>
      </c>
      <c r="AY361" t="inlineStr">
        <is>
          <t>Beslut</t>
        </is>
      </c>
      <c r="AZ361" t="inlineStr">
        <is>
          <t>2026-02-11</t>
        </is>
      </c>
      <c r="BA361" t="inlineStr">
        <is>
          <t>2024.1848..pdf</t>
        </is>
      </c>
      <c r="BB361" t="inlineStr">
        <is>
          <t>Handlingar</t>
        </is>
      </c>
      <c r="BC361" t="inlineStr">
        <is>
          <t>AUTO</t>
        </is>
      </c>
      <c r="BD361" t="inlineStr"/>
      <c r="BE361" t="inlineStr"/>
      <c r="BF361" t="inlineStr">
        <is>
          <t>AUTO_GENERERAD. Bekrafta metadata mot kallfil.</t>
        </is>
      </c>
      <c r="BG361">
        <f>HYPERLINK("C:\Users\jimmy\Desktop\Examens arbete\Kod\Ny mapp\remix_-copy-of-miljöbeslut.se-portal\2024.1848..pdf", "Öppna PDF")</f>
        <v/>
      </c>
    </row>
    <row r="362">
      <c r="A362" t="inlineStr">
        <is>
          <t>KRAV-AUTO-000361</t>
        </is>
      </c>
      <c r="B362" t="inlineStr">
        <is>
          <t>ADMIN-INDEX-2026-02-27-00000000125C043F57453246863FE664CAFE6A3F0700950291EA24F0614FB6ACEDB12BF0E31D00000000010C0000950291EA24F0614FB6ACEDB12BF0E31D00002087A5860000</t>
        </is>
      </c>
      <c r="C362" t="inlineStr">
        <is>
          <t>cmm4yurar04cwcuqwxnofej9e</t>
        </is>
      </c>
      <c r="D362" t="inlineStr">
        <is>
          <t>http://localhost:8787/api/admin/requirements/documents/cmm4yurar04cwcuqwxnofej9e/view</t>
        </is>
      </c>
      <c r="E362">
        <f>HYPERLÄNK("http://localhost:8787/api/admin/requirements/documents/cmm4yurar04cwcuqwxnofej9e/view";"Öppna PDF")</f>
        <v/>
      </c>
      <c r="F362">
        <f>HYPERLINK("http://localhost:8787/api/admin/requirements/documents/cmm4yurar04cwcuqwxnofej9e/view","Open PDF")</f>
        <v/>
      </c>
      <c r="G362" t="inlineStr">
        <is>
          <t>cmm55w57p0004cuisfrtpqly8</t>
        </is>
      </c>
      <c r="H362" t="inlineStr">
        <is>
          <t>Beslutsvillkor</t>
        </is>
      </c>
      <c r="I362" t="inlineStr">
        <is>
          <t>DagvattenLakvatten</t>
        </is>
      </c>
      <c r="J362" t="inlineStr">
        <is>
          <t>Uppsamling</t>
        </is>
      </c>
      <c r="K362" t="inlineStr">
        <is>
          <t>Minskar, men liten risk kvarstår då föroreningen är kvar.</t>
        </is>
      </c>
      <c r="L362" t="inlineStr">
        <is>
          <t>Minskar, men liten risk kvarstår då föroreningen är kvar.</t>
        </is>
      </c>
      <c r="M362" t="inlineStr">
        <is>
          <t>SKA</t>
        </is>
      </c>
      <c r="N362" t="inlineStr"/>
      <c r="O362" t="inlineStr"/>
      <c r="P362" t="inlineStr"/>
      <c r="Q362" t="inlineStr"/>
      <c r="R362" t="inlineStr">
        <is>
          <t>Vid nederbord och avrinning</t>
        </is>
      </c>
      <c r="S362" t="inlineStr"/>
      <c r="T362" t="inlineStr">
        <is>
          <t>82 2024</t>
        </is>
      </c>
      <c r="U362" t="inlineStr"/>
      <c r="V362" t="inlineStr"/>
      <c r="W362" t="inlineStr">
        <is>
          <t>Nej</t>
        </is>
      </c>
      <c r="X362" t="inlineStr">
        <is>
          <t>Ja</t>
        </is>
      </c>
      <c r="Y362" t="inlineStr">
        <is>
          <t>Ja</t>
        </is>
      </c>
      <c r="Z362" t="inlineStr">
        <is>
          <t>Nej</t>
        </is>
      </c>
      <c r="AA362" t="n">
        <v>6</v>
      </c>
      <c r="AB362" t="inlineStr">
        <is>
          <t>Lakvattenhantering</t>
        </is>
      </c>
      <c r="AC362" t="inlineStr">
        <is>
          <t>Flodesschema dagvatten-lakvatten</t>
        </is>
      </c>
      <c r="AD362" t="inlineStr">
        <is>
          <t>Nej</t>
        </is>
      </c>
      <c r="AE362" t="inlineStr">
        <is>
          <t>Nej</t>
        </is>
      </c>
      <c r="AF362" t="inlineStr">
        <is>
          <t>Ej behandlad</t>
        </is>
      </c>
      <c r="AG362" t="inlineStr">
        <is>
          <t>AUTO_GENERERAD. Verifiera citat mot kallfil.</t>
        </is>
      </c>
      <c r="AH362" t="inlineStr">
        <is>
          <t>MEDIUM</t>
        </is>
      </c>
      <c r="AI362" t="inlineStr">
        <is>
          <t>AUTO</t>
        </is>
      </c>
      <c r="AJ362" t="inlineStr">
        <is>
          <t>Nej</t>
        </is>
      </c>
      <c r="AK362" t="inlineStr"/>
      <c r="AL362" t="inlineStr"/>
      <c r="AM362" t="inlineStr"/>
      <c r="AN362" t="inlineStr"/>
      <c r="AO362" t="inlineStr">
        <is>
          <t>cmm4yurb604dbcuqwpk6azwk6</t>
        </is>
      </c>
      <c r="AP362" t="inlineStr">
        <is>
          <t>http://localhost:8787/api/admin/requirements/documents/cmm4yurb604dbcuqwpk6azwk6/view</t>
        </is>
      </c>
      <c r="AQ362">
        <f>HYPERLÄNK("http://localhost:8787/api/admin/requirements/documents/cmm4yurb604dbcuqwpk6azwk6/view";"Öppna PDF")</f>
        <v/>
      </c>
      <c r="AR362">
        <f>HYPERLINK("http://localhost:8787/api/admin/requirements/documents/cmm4yurb604dbcuqwpk6azwk6/view","Open PDF")</f>
        <v/>
      </c>
      <c r="AS362" t="inlineStr">
        <is>
          <t>cmm55w57p0004cuisfrtpqly8</t>
        </is>
      </c>
      <c r="AT362" t="inlineStr">
        <is>
          <t>cmm4xvu980000cuh4vj0usz09</t>
        </is>
      </c>
      <c r="AU362" t="inlineStr"/>
      <c r="AV362" t="inlineStr">
        <is>
          <t>Kommun</t>
        </is>
      </c>
      <c r="AW362" t="inlineStr"/>
      <c r="AX362" t="inlineStr">
        <is>
          <t>0472-150</t>
        </is>
      </c>
      <c r="AY362" t="inlineStr">
        <is>
          <t>Beslut</t>
        </is>
      </c>
      <c r="AZ362" t="inlineStr">
        <is>
          <t>2026-02-11</t>
        </is>
      </c>
      <c r="BA362" t="inlineStr">
        <is>
          <t>2024.1848..pdf</t>
        </is>
      </c>
      <c r="BB362" t="inlineStr">
        <is>
          <t>Handlingar</t>
        </is>
      </c>
      <c r="BC362" t="inlineStr">
        <is>
          <t>AUTO</t>
        </is>
      </c>
      <c r="BD362" t="inlineStr"/>
      <c r="BE362" t="inlineStr"/>
      <c r="BF362" t="inlineStr">
        <is>
          <t>AUTO_GENERERAD. Bekrafta metadata mot kallfil.</t>
        </is>
      </c>
      <c r="BG362">
        <f>HYPERLINK("C:\Users\jimmy\Desktop\Examens arbete\Kod\Ny mapp\remix_-copy-of-miljöbeslut.se-portal\2024.1848..pdf", "Öppna PDF")</f>
        <v/>
      </c>
    </row>
    <row r="363">
      <c r="A363" t="inlineStr">
        <is>
          <t>KRAV-AUTO-000362</t>
        </is>
      </c>
      <c r="B363" t="inlineStr">
        <is>
          <t>ADMIN-INDEX-2026-02-27-00000000125C043F57453246863FE664CAFE6A3F0700950291EA24F0614FB6ACEDB12BF0E31D00000000010C0000950291EA24F0614FB6ACEDB12BF0E31D00002087A57E0000</t>
        </is>
      </c>
      <c r="C363" t="inlineStr">
        <is>
          <t>cmm4yure104gbcuqw0iyq01tw</t>
        </is>
      </c>
      <c r="D363" t="inlineStr">
        <is>
          <t>http://localhost:8787/api/admin/requirements/documents/cmm4yure104gbcuqw0iyq01tw/view</t>
        </is>
      </c>
      <c r="E363">
        <f>HYPERLÄNK("http://localhost:8787/api/admin/requirements/documents/cmm4yure104gbcuqw0iyq01tw/view";"Öppna PDF")</f>
        <v/>
      </c>
      <c r="F363">
        <f>HYPERLINK("http://localhost:8787/api/admin/requirements/documents/cmm4yure104gbcuqw0iyq01tw/view","Open PDF")</f>
        <v/>
      </c>
      <c r="G363" t="inlineStr">
        <is>
          <t>cmm55w57p0004cuisfrtpqly8</t>
        </is>
      </c>
      <c r="H363" t="inlineStr">
        <is>
          <t>Beslutsvillkor</t>
        </is>
      </c>
      <c r="I363" t="inlineStr">
        <is>
          <t>DagvattenLakvatten</t>
        </is>
      </c>
      <c r="J363" t="inlineStr">
        <is>
          <t>Uppsamling</t>
        </is>
      </c>
      <c r="K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kriterier för bland annat PFAS som ska uppfyllas innan avfallet kan användas på platsen.</t>
        </is>
      </c>
      <c r="L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t>
        </is>
      </c>
      <c r="M363" t="inlineStr">
        <is>
          <t>SKA</t>
        </is>
      </c>
      <c r="N363" t="inlineStr"/>
      <c r="O363" t="inlineStr"/>
      <c r="P363" t="inlineStr"/>
      <c r="Q363" t="inlineStr"/>
      <c r="R363" t="inlineStr">
        <is>
          <t>Vid nederbord och avrinning</t>
        </is>
      </c>
      <c r="S363" t="inlineStr"/>
      <c r="T363" t="inlineStr">
        <is>
          <t>212000</t>
        </is>
      </c>
      <c r="U363" t="inlineStr"/>
      <c r="V363" t="inlineStr"/>
      <c r="W363" t="inlineStr">
        <is>
          <t>Nej</t>
        </is>
      </c>
      <c r="X363" t="inlineStr">
        <is>
          <t>Ja</t>
        </is>
      </c>
      <c r="Y363" t="inlineStr">
        <is>
          <t>Ja</t>
        </is>
      </c>
      <c r="Z363" t="inlineStr">
        <is>
          <t>Nej</t>
        </is>
      </c>
      <c r="AA363" t="n">
        <v>6</v>
      </c>
      <c r="AB363" t="inlineStr">
        <is>
          <t>Lakvattenhantering</t>
        </is>
      </c>
      <c r="AC363" t="inlineStr">
        <is>
          <t>Flodesschema dagvatten-lakvatten</t>
        </is>
      </c>
      <c r="AD363" t="inlineStr">
        <is>
          <t>Nej</t>
        </is>
      </c>
      <c r="AE363" t="inlineStr">
        <is>
          <t>Nej</t>
        </is>
      </c>
      <c r="AF363" t="inlineStr">
        <is>
          <t>Ej behandlad</t>
        </is>
      </c>
      <c r="AG363" t="inlineStr">
        <is>
          <t>AUTO_GENERERAD. Verifiera citat mot kallfil.</t>
        </is>
      </c>
      <c r="AH363" t="inlineStr">
        <is>
          <t>MEDIUM</t>
        </is>
      </c>
      <c r="AI363" t="inlineStr">
        <is>
          <t>AUTO</t>
        </is>
      </c>
      <c r="AJ363" t="inlineStr">
        <is>
          <t>Nej</t>
        </is>
      </c>
      <c r="AK363" t="inlineStr"/>
      <c r="AL363" t="inlineStr"/>
      <c r="AM363" t="inlineStr"/>
      <c r="AN363" t="inlineStr"/>
      <c r="AO363" t="inlineStr">
        <is>
          <t>cmm4yure104gbcuqw0iyq01tw</t>
        </is>
      </c>
      <c r="AP363" t="inlineStr">
        <is>
          <t>http://localhost:8787/api/admin/requirements/documents/cmm4yure104gbcuqw0iyq01tw/view</t>
        </is>
      </c>
      <c r="AQ363">
        <f>HYPERLÄNK("http://localhost:8787/api/admin/requirements/documents/cmm4yure104gbcuqw0iyq01tw/view";"Öppna PDF")</f>
        <v/>
      </c>
      <c r="AR363">
        <f>HYPERLINK("http://localhost:8787/api/admin/requirements/documents/cmm4yure104gbcuqw0iyq01tw/view","Open PDF")</f>
        <v/>
      </c>
      <c r="AS363" t="inlineStr">
        <is>
          <t>cmm55w57p0004cuisfrtpqly8</t>
        </is>
      </c>
      <c r="AT363" t="inlineStr">
        <is>
          <t>cmm4xvu980000cuh4vj0usz09</t>
        </is>
      </c>
      <c r="AU363" t="inlineStr">
        <is>
          <t>i Örnsköldsviks</t>
        </is>
      </c>
      <c r="AV363" t="inlineStr">
        <is>
          <t>Kommun</t>
        </is>
      </c>
      <c r="AW363" t="inlineStr">
        <is>
          <t>i Örnsköldsviks kommun</t>
        </is>
      </c>
      <c r="AX363" t="inlineStr">
        <is>
          <t>0660-880</t>
        </is>
      </c>
      <c r="AY363" t="inlineStr">
        <is>
          <t>Beslut</t>
        </is>
      </c>
      <c r="AZ363" t="inlineStr">
        <is>
          <t>2026-02-12</t>
        </is>
      </c>
      <c r="BA363" t="inlineStr">
        <is>
          <t>E-2025-840, beslut.pdf</t>
        </is>
      </c>
      <c r="BB363" t="inlineStr">
        <is>
          <t>Sv: till registrator</t>
        </is>
      </c>
      <c r="BC363" t="inlineStr">
        <is>
          <t>AUTO</t>
        </is>
      </c>
      <c r="BD363" t="inlineStr"/>
      <c r="BE363" t="inlineStr"/>
      <c r="BF363" t="inlineStr">
        <is>
          <t>AUTO_GENERERAD. Bekrafta metadata mot kallfil.</t>
        </is>
      </c>
      <c r="BG363">
        <f>HYPERLINK("C:\Users\jimmy\Desktop\Examens arbete\Kod\Ny mapp\remix_-copy-of-miljöbeslut.se-portal\E-2025-840, beslut.pdf", "Öppna PDF")</f>
        <v/>
      </c>
    </row>
    <row r="364">
      <c r="A364" t="inlineStr">
        <is>
          <t>KRAV-AUTO-000363</t>
        </is>
      </c>
      <c r="B364" t="inlineStr">
        <is>
          <t>ADMIN-INDEX-2026-02-27-00000000125C043F57453246863FE664CAFE6A3F0700950291EA24F0614FB6ACEDB12BF0E31D00000000010C0000950291EA24F0614FB6ACEDB12BF0E31D00002087A57E0000</t>
        </is>
      </c>
      <c r="C364" t="inlineStr">
        <is>
          <t>cmm4yure104gbcuqw0iyq01tw</t>
        </is>
      </c>
      <c r="D364" t="inlineStr">
        <is>
          <t>http://localhost:8787/api/admin/requirements/documents/cmm4yure104gbcuqw0iyq01tw/view</t>
        </is>
      </c>
      <c r="E364">
        <f>HYPERLÄNK("http://localhost:8787/api/admin/requirements/documents/cmm4yure104gbcuqw0iyq01tw/view";"Öppna PDF")</f>
        <v/>
      </c>
      <c r="F364">
        <f>HYPERLINK("http://localhost:8787/api/admin/requirements/documents/cmm4yure104gbcuqw0iyq01tw/view","Open PDF")</f>
        <v/>
      </c>
      <c r="G364" t="inlineStr">
        <is>
          <t>cmm55w57p0004cuisfrtpqly8</t>
        </is>
      </c>
      <c r="H364" t="inlineStr">
        <is>
          <t>Beslutsvillkor</t>
        </is>
      </c>
      <c r="I364" t="inlineStr">
        <is>
          <t>LagringsvolymTid</t>
        </is>
      </c>
      <c r="J364" t="inlineStr">
        <is>
          <t>Maxmangd</t>
        </is>
      </c>
      <c r="K364" t="inlineStr">
        <is>
          <t>Behovet av avfall uppskattas uppgå till totalt ca 25 000 kbm men mängden är beroende på markförhållanden och kan komma att öka eller minskas.</t>
        </is>
      </c>
      <c r="L364" t="inlineStr">
        <is>
          <t>Behovet av avfall uppskattas uppgå till totalt ca 25 000 kbm men mängden är beroende på markförhållanden och kan komma att öka eller minskas.</t>
        </is>
      </c>
      <c r="M364" t="inlineStr">
        <is>
          <t>SKA</t>
        </is>
      </c>
      <c r="N364" t="inlineStr"/>
      <c r="O364" t="inlineStr"/>
      <c r="P364" t="inlineStr"/>
      <c r="Q364" t="inlineStr"/>
      <c r="R364" t="inlineStr">
        <is>
          <t>Alltid</t>
        </is>
      </c>
      <c r="S364" t="inlineStr"/>
      <c r="T364" t="inlineStr">
        <is>
          <t>212000</t>
        </is>
      </c>
      <c r="U364" t="inlineStr"/>
      <c r="V364" t="inlineStr"/>
      <c r="W364" t="inlineStr">
        <is>
          <t>Nej</t>
        </is>
      </c>
      <c r="X364" t="inlineStr">
        <is>
          <t>Nej</t>
        </is>
      </c>
      <c r="Y364" t="inlineStr">
        <is>
          <t>Nej</t>
        </is>
      </c>
      <c r="Z364" t="inlineStr">
        <is>
          <t>Nej</t>
        </is>
      </c>
      <c r="AA364" t="n">
        <v>4</v>
      </c>
      <c r="AB364" t="inlineStr">
        <is>
          <t>Avfallsmangder och lagringstid</t>
        </is>
      </c>
      <c r="AC364" t="inlineStr">
        <is>
          <t>Avfallsforteckning</t>
        </is>
      </c>
      <c r="AD364" t="inlineStr">
        <is>
          <t>Nej</t>
        </is>
      </c>
      <c r="AE364" t="inlineStr">
        <is>
          <t>Nej</t>
        </is>
      </c>
      <c r="AF364" t="inlineStr">
        <is>
          <t>Ej behandlad</t>
        </is>
      </c>
      <c r="AG364" t="inlineStr">
        <is>
          <t>AUTO_GENERERAD. Verifiera citat mot kallfil.</t>
        </is>
      </c>
      <c r="AH364" t="inlineStr">
        <is>
          <t>MEDIUM</t>
        </is>
      </c>
      <c r="AI364" t="inlineStr">
        <is>
          <t>AUTO</t>
        </is>
      </c>
      <c r="AJ364" t="inlineStr">
        <is>
          <t>Nej</t>
        </is>
      </c>
      <c r="AK364" t="inlineStr"/>
      <c r="AL364" t="inlineStr"/>
      <c r="AM364" t="inlineStr"/>
      <c r="AN364" t="inlineStr"/>
      <c r="AO364" t="inlineStr">
        <is>
          <t>cmm4yure104gbcuqw0iyq01tw</t>
        </is>
      </c>
      <c r="AP364" t="inlineStr">
        <is>
          <t>http://localhost:8787/api/admin/requirements/documents/cmm4yure104gbcuqw0iyq01tw/view</t>
        </is>
      </c>
      <c r="AQ364">
        <f>HYPERLÄNK("http://localhost:8787/api/admin/requirements/documents/cmm4yure104gbcuqw0iyq01tw/view";"Öppna PDF")</f>
        <v/>
      </c>
      <c r="AR364">
        <f>HYPERLINK("http://localhost:8787/api/admin/requirements/documents/cmm4yure104gbcuqw0iyq01tw/view","Open PDF")</f>
        <v/>
      </c>
      <c r="AS364" t="inlineStr">
        <is>
          <t>cmm55w57p0004cuisfrtpqly8</t>
        </is>
      </c>
      <c r="AT364" t="inlineStr">
        <is>
          <t>cmm4xvu980000cuh4vj0usz09</t>
        </is>
      </c>
      <c r="AU364" t="inlineStr">
        <is>
          <t>i Örnsköldsviks</t>
        </is>
      </c>
      <c r="AV364" t="inlineStr">
        <is>
          <t>Kommun</t>
        </is>
      </c>
      <c r="AW364" t="inlineStr">
        <is>
          <t>i Örnsköldsviks kommun</t>
        </is>
      </c>
      <c r="AX364" t="inlineStr">
        <is>
          <t>0660-880</t>
        </is>
      </c>
      <c r="AY364" t="inlineStr">
        <is>
          <t>Beslut</t>
        </is>
      </c>
      <c r="AZ364" t="inlineStr">
        <is>
          <t>2026-02-12</t>
        </is>
      </c>
      <c r="BA364" t="inlineStr">
        <is>
          <t>E-2025-840, beslut.pdf</t>
        </is>
      </c>
      <c r="BB364" t="inlineStr">
        <is>
          <t>Sv: till registrator</t>
        </is>
      </c>
      <c r="BC364" t="inlineStr">
        <is>
          <t>AUTO</t>
        </is>
      </c>
      <c r="BD364" t="inlineStr"/>
      <c r="BE364" t="inlineStr"/>
      <c r="BF364" t="inlineStr">
        <is>
          <t>AUTO_GENERERAD. Bekrafta metadata mot kallfil.</t>
        </is>
      </c>
      <c r="BG364">
        <f>HYPERLINK("C:\Users\jimmy\Desktop\Examens arbete\Kod\Ny mapp\remix_-copy-of-miljöbeslut.se-portal\E-2025-840, beslut.pdf", "Öppna PDF")</f>
        <v/>
      </c>
    </row>
    <row r="365">
      <c r="A365" t="inlineStr">
        <is>
          <t>KRAV-AUTO-000364</t>
        </is>
      </c>
      <c r="B365" t="inlineStr">
        <is>
          <t>ADMIN-INDEX-2026-02-27-00000000125C043F57453246863FE664CAFE6A3F0700950291EA24F0614FB6ACEDB12BF0E31D00000000010C0000950291EA24F0614FB6ACEDB12BF0E31D00002087A57E0000</t>
        </is>
      </c>
      <c r="C365" t="inlineStr">
        <is>
          <t>cmm4yure104gbcuqw0iyq01tw</t>
        </is>
      </c>
      <c r="D365" t="inlineStr">
        <is>
          <t>http://localhost:8787/api/admin/requirements/documents/cmm4yure104gbcuqw0iyq01tw/view</t>
        </is>
      </c>
      <c r="E365">
        <f>HYPERLÄNK("http://localhost:8787/api/admin/requirements/documents/cmm4yure104gbcuqw0iyq01tw/view";"Öppna PDF")</f>
        <v/>
      </c>
      <c r="F365">
        <f>HYPERLINK("http://localhost:8787/api/admin/requirements/documents/cmm4yure104gbcuqw0iyq01tw/view","Open PDF")</f>
        <v/>
      </c>
      <c r="G365" t="inlineStr">
        <is>
          <t>cmm55w57p0004cuisfrtpqly8</t>
        </is>
      </c>
      <c r="H365" t="inlineStr">
        <is>
          <t>Beslutsvillkor</t>
        </is>
      </c>
      <c r="I365" t="inlineStr">
        <is>
          <t>Ytkonstruktion</t>
        </is>
      </c>
      <c r="J365" t="inlineStr">
        <is>
          <t>Tat yta</t>
        </is>
      </c>
      <c r="K365" t="inlineStr">
        <is>
          <t>Syftet med att återvinna lämpliga avfall vid anläggandet av ytan är att minska användningen av jungfruligt material.</t>
        </is>
      </c>
      <c r="L365" t="inlineStr">
        <is>
          <t>Syftet med att återvinna lämpliga avfall vid anläggandet av ytan är att minska användningen av jungfruligt material.</t>
        </is>
      </c>
      <c r="M365" t="inlineStr">
        <is>
          <t>SKA</t>
        </is>
      </c>
      <c r="N365" t="inlineStr"/>
      <c r="O365" t="inlineStr"/>
      <c r="P365" t="inlineStr"/>
      <c r="Q365" t="inlineStr"/>
      <c r="R365" t="inlineStr">
        <is>
          <t>Vid mellanlagring av avfall</t>
        </is>
      </c>
      <c r="S365" t="inlineStr"/>
      <c r="T365" t="inlineStr">
        <is>
          <t>212000</t>
        </is>
      </c>
      <c r="U365" t="inlineStr"/>
      <c r="V365" t="inlineStr"/>
      <c r="W365" t="inlineStr">
        <is>
          <t>Ja</t>
        </is>
      </c>
      <c r="X365" t="inlineStr">
        <is>
          <t>Nej</t>
        </is>
      </c>
      <c r="Y365" t="inlineStr">
        <is>
          <t>Nej</t>
        </is>
      </c>
      <c r="Z365" t="inlineStr">
        <is>
          <t>Nej</t>
        </is>
      </c>
      <c r="AA365" t="n">
        <v>5</v>
      </c>
      <c r="AB365" t="inlineStr">
        <is>
          <t>Teknisk beskrivning av platta</t>
        </is>
      </c>
      <c r="AC365" t="inlineStr">
        <is>
          <t>Teknisk ritning platta</t>
        </is>
      </c>
      <c r="AD365" t="inlineStr">
        <is>
          <t>Nej</t>
        </is>
      </c>
      <c r="AE365" t="inlineStr">
        <is>
          <t>Nej</t>
        </is>
      </c>
      <c r="AF365" t="inlineStr">
        <is>
          <t>Ej behandlad</t>
        </is>
      </c>
      <c r="AG365" t="inlineStr">
        <is>
          <t>AUTO_GENERERAD. Verifiera citat mot kallfil.</t>
        </is>
      </c>
      <c r="AH365" t="inlineStr">
        <is>
          <t>MEDIUM</t>
        </is>
      </c>
      <c r="AI365" t="inlineStr">
        <is>
          <t>AUTO</t>
        </is>
      </c>
      <c r="AJ365" t="inlineStr">
        <is>
          <t>Nej</t>
        </is>
      </c>
      <c r="AK365" t="inlineStr"/>
      <c r="AL365" t="inlineStr"/>
      <c r="AM365" t="inlineStr"/>
      <c r="AN365" t="inlineStr"/>
      <c r="AO365" t="inlineStr">
        <is>
          <t>cmm4yure104gbcuqw0iyq01tw</t>
        </is>
      </c>
      <c r="AP365" t="inlineStr">
        <is>
          <t>http://localhost:8787/api/admin/requirements/documents/cmm4yure104gbcuqw0iyq01tw/view</t>
        </is>
      </c>
      <c r="AQ365">
        <f>HYPERLÄNK("http://localhost:8787/api/admin/requirements/documents/cmm4yure104gbcuqw0iyq01tw/view";"Öppna PDF")</f>
        <v/>
      </c>
      <c r="AR365">
        <f>HYPERLINK("http://localhost:8787/api/admin/requirements/documents/cmm4yure104gbcuqw0iyq01tw/view","Open PDF")</f>
        <v/>
      </c>
      <c r="AS365" t="inlineStr">
        <is>
          <t>cmm55w57p0004cuisfrtpqly8</t>
        </is>
      </c>
      <c r="AT365" t="inlineStr">
        <is>
          <t>cmm4xvu980000cuh4vj0usz09</t>
        </is>
      </c>
      <c r="AU365" t="inlineStr">
        <is>
          <t>i Örnsköldsviks</t>
        </is>
      </c>
      <c r="AV365" t="inlineStr">
        <is>
          <t>Kommun</t>
        </is>
      </c>
      <c r="AW365" t="inlineStr">
        <is>
          <t>i Örnsköldsviks kommun</t>
        </is>
      </c>
      <c r="AX365" t="inlineStr">
        <is>
          <t>0660-880</t>
        </is>
      </c>
      <c r="AY365" t="inlineStr">
        <is>
          <t>Beslut</t>
        </is>
      </c>
      <c r="AZ365" t="inlineStr">
        <is>
          <t>2026-02-12</t>
        </is>
      </c>
      <c r="BA365" t="inlineStr">
        <is>
          <t>E-2025-840, beslut.pdf</t>
        </is>
      </c>
      <c r="BB365" t="inlineStr">
        <is>
          <t>Sv: till registrator</t>
        </is>
      </c>
      <c r="BC365" t="inlineStr">
        <is>
          <t>AUTO</t>
        </is>
      </c>
      <c r="BD365" t="inlineStr"/>
      <c r="BE365" t="inlineStr"/>
      <c r="BF365" t="inlineStr">
        <is>
          <t>AUTO_GENERERAD. Bekrafta metadata mot kallfil.</t>
        </is>
      </c>
      <c r="BG365">
        <f>HYPERLINK("C:\Users\jimmy\Desktop\Examens arbete\Kod\Ny mapp\remix_-copy-of-miljöbeslut.se-portal\E-2025-840, beslut.pdf", "Öppna PDF")</f>
        <v/>
      </c>
    </row>
    <row r="366">
      <c r="A366" t="inlineStr">
        <is>
          <t>KRAV-AUTO-000365</t>
        </is>
      </c>
      <c r="B366" t="inlineStr">
        <is>
          <t>ADMIN-INDEX-2026-02-27-00000000125C043F57453246863FE664CAFE6A3F0700950291EA24F0614FB6ACEDB12BF0E31D00000000010C0000950291EA24F0614FB6ACEDB12BF0E31D00002087A58B0000</t>
        </is>
      </c>
      <c r="C366" t="inlineStr">
        <is>
          <t>cmm4yura904cecuqwjfm8vkfa</t>
        </is>
      </c>
      <c r="D366" t="inlineStr">
        <is>
          <t>http://localhost:8787/api/admin/requirements/documents/cmm4yura904cecuqwjfm8vkfa/view</t>
        </is>
      </c>
      <c r="E366">
        <f>HYPERLÄNK("http://localhost:8787/api/admin/requirements/documents/cmm4yura904cecuqwjfm8vkfa/view";"Öppna PDF")</f>
        <v/>
      </c>
      <c r="F366">
        <f>HYPERLINK("http://localhost:8787/api/admin/requirements/documents/cmm4yura904cecuqwjfm8vkfa/view","Open PDF")</f>
        <v/>
      </c>
      <c r="G366" t="inlineStr">
        <is>
          <t>cmm55w57p0004cuisfrtpqly8</t>
        </is>
      </c>
      <c r="H366" t="inlineStr">
        <is>
          <t>Informationskrav</t>
        </is>
      </c>
      <c r="I366" t="inlineStr">
        <is>
          <t>Ytkonstruktion</t>
        </is>
      </c>
      <c r="J366" t="inlineStr">
        <is>
          <t>Tat yta</t>
        </is>
      </c>
      <c r="K366" t="inlineStr">
        <is>
          <t>Flytande kemiska produkter och farligt avfall ska, utöver vad som följer av punkt 2, förvaras på tät invallad yta eller motsvarande skydd som tillsynsmyndigheten kan tillåta.</t>
        </is>
      </c>
      <c r="L366" t="inlineStr">
        <is>
          <t>Flytande kemiska produkter och farligt avfall ska, utöver vad som följer av punkt 2, förvaras på tät invallad yta eller motsvarande skydd som tillsynsmyndigheten kan tillåta.</t>
        </is>
      </c>
      <c r="M366" t="inlineStr">
        <is>
          <t>SKA</t>
        </is>
      </c>
      <c r="N366" t="inlineStr"/>
      <c r="O366" t="inlineStr"/>
      <c r="P366" t="inlineStr">
        <is>
          <t>Arlig</t>
        </is>
      </c>
      <c r="Q366" t="inlineStr"/>
      <c r="R366" t="inlineStr">
        <is>
          <t>Vid mellanlagring av avfall</t>
        </is>
      </c>
      <c r="S366" t="inlineStr"/>
      <c r="T366" t="inlineStr">
        <is>
          <t>556748</t>
        </is>
      </c>
      <c r="U366" t="inlineStr"/>
      <c r="V366" t="inlineStr"/>
      <c r="W366" t="inlineStr">
        <is>
          <t>Ja</t>
        </is>
      </c>
      <c r="X366" t="inlineStr">
        <is>
          <t>Nej</t>
        </is>
      </c>
      <c r="Y366" t="inlineStr">
        <is>
          <t>Nej</t>
        </is>
      </c>
      <c r="Z366" t="inlineStr">
        <is>
          <t>Nej</t>
        </is>
      </c>
      <c r="AA366" t="n">
        <v>5</v>
      </c>
      <c r="AB366" t="inlineStr">
        <is>
          <t>Teknisk beskrivning av platta</t>
        </is>
      </c>
      <c r="AC366" t="inlineStr">
        <is>
          <t>Teknisk ritning platta</t>
        </is>
      </c>
      <c r="AD366" t="inlineStr">
        <is>
          <t>Nej</t>
        </is>
      </c>
      <c r="AE366" t="inlineStr">
        <is>
          <t>Nej</t>
        </is>
      </c>
      <c r="AF366" t="inlineStr">
        <is>
          <t>Ej behandlad</t>
        </is>
      </c>
      <c r="AG366" t="inlineStr">
        <is>
          <t>AUTO_GENERERAD. Verifiera citat mot kallfil.</t>
        </is>
      </c>
      <c r="AH366" t="inlineStr">
        <is>
          <t>MEDIUM</t>
        </is>
      </c>
      <c r="AI366" t="inlineStr">
        <is>
          <t>AUTO</t>
        </is>
      </c>
      <c r="AJ366" t="inlineStr">
        <is>
          <t>Nej</t>
        </is>
      </c>
      <c r="AK366" t="inlineStr"/>
      <c r="AL366" t="inlineStr"/>
      <c r="AM366" t="inlineStr"/>
      <c r="AN366" t="inlineStr"/>
      <c r="AO366" t="inlineStr">
        <is>
          <t>cmm4yura904cecuqwjfm8vkfa</t>
        </is>
      </c>
      <c r="AP366" t="inlineStr">
        <is>
          <t>http://localhost:8787/api/admin/requirements/documents/cmm4yura904cecuqwjfm8vkfa/view</t>
        </is>
      </c>
      <c r="AQ366">
        <f>HYPERLÄNK("http://localhost:8787/api/admin/requirements/documents/cmm4yura904cecuqwjfm8vkfa/view";"Öppna PDF")</f>
        <v/>
      </c>
      <c r="AR366">
        <f>HYPERLINK("http://localhost:8787/api/admin/requirements/documents/cmm4yura904cecuqwjfm8vkfa/view","Open PDF")</f>
        <v/>
      </c>
      <c r="AS366" t="inlineStr">
        <is>
          <t>cmm55w57p0004cuisfrtpqly8</t>
        </is>
      </c>
      <c r="AT366" t="inlineStr">
        <is>
          <t>cmm4xvu980000cuh4vj0usz09</t>
        </is>
      </c>
      <c r="AU366" t="inlineStr"/>
      <c r="AV366" t="inlineStr">
        <is>
          <t>Kommun</t>
        </is>
      </c>
      <c r="AW366" t="inlineStr"/>
      <c r="AX366" t="inlineStr">
        <is>
          <t>1998:808</t>
        </is>
      </c>
      <c r="AY366" t="inlineStr">
        <is>
          <t>Anmalan</t>
        </is>
      </c>
      <c r="AZ366" t="inlineStr">
        <is>
          <t>2026-02-10</t>
        </is>
      </c>
      <c r="BA366" t="inlineStr">
        <is>
          <t>Beslut slamlager.pdf</t>
        </is>
      </c>
      <c r="BB366" t="inlineStr">
        <is>
          <t>Anmälan och beslut</t>
        </is>
      </c>
      <c r="BC366" t="inlineStr">
        <is>
          <t>AUTO</t>
        </is>
      </c>
      <c r="BD366" t="inlineStr"/>
      <c r="BE366" t="inlineStr"/>
      <c r="BF366" t="inlineStr">
        <is>
          <t>AUTO_GENERERAD. Bekrafta metadata mot kallfil.</t>
        </is>
      </c>
      <c r="BG366">
        <f>HYPERLINK("C:\Users\jimmy\Desktop\Examens arbete\Kod\Ny mapp\remix_-copy-of-miljöbeslut.se-portal\Beslut slamlager.pdf", "Öppna PDF")</f>
        <v/>
      </c>
    </row>
    <row r="367">
      <c r="A367" t="inlineStr">
        <is>
          <t>KRAV-AUTO-000366</t>
        </is>
      </c>
      <c r="B367" t="inlineStr">
        <is>
          <t>ADMIN-INDEX-2026-02-27-00000000125C043F57453246863FE664CAFE6A3F0700950291EA24F0614FB6ACEDB12BF0E31D00000000010C0000950291EA24F0614FB6ACEDB12BF0E31D00002087A58B0000</t>
        </is>
      </c>
      <c r="C367" t="inlineStr">
        <is>
          <t>cmm4yura904cecuqwjfm8vkfa</t>
        </is>
      </c>
      <c r="D367" t="inlineStr">
        <is>
          <t>http://localhost:8787/api/admin/requirements/documents/cmm4yura904cecuqwjfm8vkfa/view</t>
        </is>
      </c>
      <c r="E367">
        <f>HYPERLÄNK("http://localhost:8787/api/admin/requirements/documents/cmm4yura904cecuqwjfm8vkfa/view";"Öppna PDF")</f>
        <v/>
      </c>
      <c r="F367">
        <f>HYPERLINK("http://localhost:8787/api/admin/requirements/documents/cmm4yura904cecuqwjfm8vkfa/view","Open PDF")</f>
        <v/>
      </c>
      <c r="G367" t="inlineStr">
        <is>
          <t>cmm55w57p0004cuisfrtpqly8</t>
        </is>
      </c>
      <c r="H367" t="inlineStr">
        <is>
          <t>Informationskrav</t>
        </is>
      </c>
      <c r="I367" t="inlineStr">
        <is>
          <t>Ytkonstruktion</t>
        </is>
      </c>
      <c r="J367" t="inlineStr">
        <is>
          <t>Tat yta</t>
        </is>
      </c>
      <c r="K367" t="inlineStr">
        <is>
          <t>Invallningen ska rymma en volym som motsvarar den största behållarens volym samt minst 10 % av summan av övriga behållares volym.</t>
        </is>
      </c>
      <c r="L367" t="inlineStr">
        <is>
          <t>Invallningen ska rymma en volym som motsvarar den största behållarens volym samt minst 10 % av summan av övriga behållares volym.</t>
        </is>
      </c>
      <c r="M367" t="inlineStr">
        <is>
          <t>SKA</t>
        </is>
      </c>
      <c r="N367" t="inlineStr"/>
      <c r="O367" t="inlineStr"/>
      <c r="P367" t="inlineStr"/>
      <c r="Q367" t="inlineStr"/>
      <c r="R367" t="inlineStr">
        <is>
          <t>Vid mellanlagring av avfall</t>
        </is>
      </c>
      <c r="S367" t="inlineStr"/>
      <c r="T367" t="inlineStr">
        <is>
          <t>556748</t>
        </is>
      </c>
      <c r="U367" t="inlineStr"/>
      <c r="V367" t="inlineStr"/>
      <c r="W367" t="inlineStr">
        <is>
          <t>Ja</t>
        </is>
      </c>
      <c r="X367" t="inlineStr">
        <is>
          <t>Nej</t>
        </is>
      </c>
      <c r="Y367" t="inlineStr">
        <is>
          <t>Nej</t>
        </is>
      </c>
      <c r="Z367" t="inlineStr">
        <is>
          <t>Nej</t>
        </is>
      </c>
      <c r="AA367" t="n">
        <v>5</v>
      </c>
      <c r="AB367" t="inlineStr">
        <is>
          <t>Teknisk beskrivning av platta</t>
        </is>
      </c>
      <c r="AC367" t="inlineStr">
        <is>
          <t>Teknisk ritning platta</t>
        </is>
      </c>
      <c r="AD367" t="inlineStr">
        <is>
          <t>Nej</t>
        </is>
      </c>
      <c r="AE367" t="inlineStr">
        <is>
          <t>Nej</t>
        </is>
      </c>
      <c r="AF367" t="inlineStr">
        <is>
          <t>Ej behandlad</t>
        </is>
      </c>
      <c r="AG367" t="inlineStr">
        <is>
          <t>AUTO_GENERERAD. Verifiera citat mot kallfil.</t>
        </is>
      </c>
      <c r="AH367" t="inlineStr">
        <is>
          <t>MEDIUM</t>
        </is>
      </c>
      <c r="AI367" t="inlineStr">
        <is>
          <t>AUTO</t>
        </is>
      </c>
      <c r="AJ367" t="inlineStr">
        <is>
          <t>Nej</t>
        </is>
      </c>
      <c r="AK367" t="inlineStr"/>
      <c r="AL367" t="inlineStr"/>
      <c r="AM367" t="inlineStr"/>
      <c r="AN367" t="inlineStr"/>
      <c r="AO367" t="inlineStr">
        <is>
          <t>cmm4yura904cecuqwjfm8vkfa</t>
        </is>
      </c>
      <c r="AP367" t="inlineStr">
        <is>
          <t>http://localhost:8787/api/admin/requirements/documents/cmm4yura904cecuqwjfm8vkfa/view</t>
        </is>
      </c>
      <c r="AQ367">
        <f>HYPERLÄNK("http://localhost:8787/api/admin/requirements/documents/cmm4yura904cecuqwjfm8vkfa/view";"Öppna PDF")</f>
        <v/>
      </c>
      <c r="AR367">
        <f>HYPERLINK("http://localhost:8787/api/admin/requirements/documents/cmm4yura904cecuqwjfm8vkfa/view","Open PDF")</f>
        <v/>
      </c>
      <c r="AS367" t="inlineStr">
        <is>
          <t>cmm55w57p0004cuisfrtpqly8</t>
        </is>
      </c>
      <c r="AT367" t="inlineStr">
        <is>
          <t>cmm4xvu980000cuh4vj0usz09</t>
        </is>
      </c>
      <c r="AU367" t="inlineStr"/>
      <c r="AV367" t="inlineStr">
        <is>
          <t>Kommun</t>
        </is>
      </c>
      <c r="AW367" t="inlineStr"/>
      <c r="AX367" t="inlineStr">
        <is>
          <t>1998:808</t>
        </is>
      </c>
      <c r="AY367" t="inlineStr">
        <is>
          <t>Anmalan</t>
        </is>
      </c>
      <c r="AZ367" t="inlineStr">
        <is>
          <t>2026-02-10</t>
        </is>
      </c>
      <c r="BA367" t="inlineStr">
        <is>
          <t>Beslut slamlager.pdf</t>
        </is>
      </c>
      <c r="BB367" t="inlineStr">
        <is>
          <t>Anmälan och beslut</t>
        </is>
      </c>
      <c r="BC367" t="inlineStr">
        <is>
          <t>AUTO</t>
        </is>
      </c>
      <c r="BD367" t="inlineStr"/>
      <c r="BE367" t="inlineStr"/>
      <c r="BF367" t="inlineStr">
        <is>
          <t>AUTO_GENERERAD. Bekrafta metadata mot kallfil.</t>
        </is>
      </c>
      <c r="BG367">
        <f>HYPERLINK("C:\Users\jimmy\Desktop\Examens arbete\Kod\Ny mapp\remix_-copy-of-miljöbeslut.se-portal\Beslut slamlager.pdf", "Öppna PDF")</f>
        <v/>
      </c>
    </row>
    <row r="368">
      <c r="A368" t="inlineStr">
        <is>
          <t>KRAV-AUTO-000367</t>
        </is>
      </c>
      <c r="B368" t="inlineStr">
        <is>
          <t>ADMIN-INDEX-2026-02-27-00000000125C043F57453246863FE664CAFE6A3F0700950291EA24F0614FB6ACEDB12BF0E31D00000000010C0000950291EA24F0614FB6ACEDB12BF0E31D00002087A58B0000</t>
        </is>
      </c>
      <c r="C368" t="inlineStr">
        <is>
          <t>cmm4yura904cecuqwjfm8vkfa</t>
        </is>
      </c>
      <c r="D368" t="inlineStr">
        <is>
          <t>http://localhost:8787/api/admin/requirements/documents/cmm4yura904cecuqwjfm8vkfa/view</t>
        </is>
      </c>
      <c r="E368">
        <f>HYPERLÄNK("http://localhost:8787/api/admin/requirements/documents/cmm4yura904cecuqwjfm8vkfa/view";"Öppna PDF")</f>
        <v/>
      </c>
      <c r="F368">
        <f>HYPERLINK("http://localhost:8787/api/admin/requirements/documents/cmm4yura904cecuqwjfm8vkfa/view","Open PDF")</f>
        <v/>
      </c>
      <c r="G368" t="inlineStr">
        <is>
          <t>cmm55w57p0004cuisfrtpqly8</t>
        </is>
      </c>
      <c r="H368" t="inlineStr">
        <is>
          <t>Informationskrav</t>
        </is>
      </c>
      <c r="I368" t="inlineStr">
        <is>
          <t>MiljopaverkanForsiktighet</t>
        </is>
      </c>
      <c r="J368" t="inlineStr">
        <is>
          <t>Skyddsatgarder</t>
        </is>
      </c>
      <c r="K368" t="inlineStr">
        <is>
          <t>Kemiska produkter och farligt avfall skall förvaras inlåst, väl uppmärkt under tak och på sådant sätt att olägenhet för människors hälsa eller miljön inte uppstår.</t>
        </is>
      </c>
      <c r="L368" t="inlineStr">
        <is>
          <t>Kemiska produkter och farligt avfall skall förvaras inlåst, väl uppmärkt under tak och på sådant sätt att olägenhet för människors hälsa eller miljön inte uppstår.</t>
        </is>
      </c>
      <c r="M368" t="inlineStr">
        <is>
          <t>SKA</t>
        </is>
      </c>
      <c r="N368" t="inlineStr"/>
      <c r="O368" t="inlineStr"/>
      <c r="P368" t="inlineStr">
        <is>
          <t>Arlig</t>
        </is>
      </c>
      <c r="Q368" t="inlineStr"/>
      <c r="R368" t="inlineStr">
        <is>
          <t>Alltid</t>
        </is>
      </c>
      <c r="S368" t="inlineStr"/>
      <c r="T368" t="inlineStr">
        <is>
          <t>556748</t>
        </is>
      </c>
      <c r="U368" t="inlineStr"/>
      <c r="V368" t="inlineStr"/>
      <c r="W368" t="inlineStr">
        <is>
          <t>Nej</t>
        </is>
      </c>
      <c r="X368" t="inlineStr">
        <is>
          <t>Nej</t>
        </is>
      </c>
      <c r="Y368" t="inlineStr">
        <is>
          <t>Nej</t>
        </is>
      </c>
      <c r="Z368" t="inlineStr">
        <is>
          <t>Nej</t>
        </is>
      </c>
      <c r="AA368" t="n">
        <v>10</v>
      </c>
      <c r="AB368" t="inlineStr">
        <is>
          <t>Miljopaverkan och forsiktighetsmatt</t>
        </is>
      </c>
      <c r="AC368" t="inlineStr">
        <is>
          <t>Miljo-PM</t>
        </is>
      </c>
      <c r="AD368" t="inlineStr">
        <is>
          <t>Nej</t>
        </is>
      </c>
      <c r="AE368" t="inlineStr">
        <is>
          <t>Nej</t>
        </is>
      </c>
      <c r="AF368" t="inlineStr">
        <is>
          <t>Ej behandlad</t>
        </is>
      </c>
      <c r="AG368" t="inlineStr">
        <is>
          <t>AUTO_GENERERAD. Verifiera citat mot kallfil.</t>
        </is>
      </c>
      <c r="AH368" t="inlineStr">
        <is>
          <t>MEDIUM</t>
        </is>
      </c>
      <c r="AI368" t="inlineStr">
        <is>
          <t>AUTO</t>
        </is>
      </c>
      <c r="AJ368" t="inlineStr">
        <is>
          <t>Nej</t>
        </is>
      </c>
      <c r="AK368" t="inlineStr"/>
      <c r="AL368" t="inlineStr"/>
      <c r="AM368" t="inlineStr"/>
      <c r="AN368" t="inlineStr"/>
      <c r="AO368" t="inlineStr">
        <is>
          <t>cmm4yura904cecuqwjfm8vkfa</t>
        </is>
      </c>
      <c r="AP368" t="inlineStr">
        <is>
          <t>http://localhost:8787/api/admin/requirements/documents/cmm4yura904cecuqwjfm8vkfa/view</t>
        </is>
      </c>
      <c r="AQ368">
        <f>HYPERLÄNK("http://localhost:8787/api/admin/requirements/documents/cmm4yura904cecuqwjfm8vkfa/view";"Öppna PDF")</f>
        <v/>
      </c>
      <c r="AR368">
        <f>HYPERLINK("http://localhost:8787/api/admin/requirements/documents/cmm4yura904cecuqwjfm8vkfa/view","Open PDF")</f>
        <v/>
      </c>
      <c r="AS368" t="inlineStr">
        <is>
          <t>cmm55w57p0004cuisfrtpqly8</t>
        </is>
      </c>
      <c r="AT368" t="inlineStr">
        <is>
          <t>cmm4xvu980000cuh4vj0usz09</t>
        </is>
      </c>
      <c r="AU368" t="inlineStr"/>
      <c r="AV368" t="inlineStr">
        <is>
          <t>Kommun</t>
        </is>
      </c>
      <c r="AW368" t="inlineStr"/>
      <c r="AX368" t="inlineStr">
        <is>
          <t>1998:808</t>
        </is>
      </c>
      <c r="AY368" t="inlineStr">
        <is>
          <t>Anmalan</t>
        </is>
      </c>
      <c r="AZ368" t="inlineStr">
        <is>
          <t>2026-02-10</t>
        </is>
      </c>
      <c r="BA368" t="inlineStr">
        <is>
          <t>Beslut slamlager.pdf</t>
        </is>
      </c>
      <c r="BB368" t="inlineStr">
        <is>
          <t>Anmälan och beslut</t>
        </is>
      </c>
      <c r="BC368" t="inlineStr">
        <is>
          <t>AUTO</t>
        </is>
      </c>
      <c r="BD368" t="inlineStr"/>
      <c r="BE368" t="inlineStr"/>
      <c r="BF368" t="inlineStr">
        <is>
          <t>AUTO_GENERERAD. Bekrafta metadata mot kallfil.</t>
        </is>
      </c>
      <c r="BG368">
        <f>HYPERLINK("C:\Users\jimmy\Desktop\Examens arbete\Kod\Ny mapp\remix_-copy-of-miljöbeslut.se-portal\Beslut slamlager.pdf", "Öppna PDF")</f>
        <v/>
      </c>
    </row>
    <row r="369">
      <c r="A369" t="inlineStr">
        <is>
          <t>KRAV-AUTO-000368</t>
        </is>
      </c>
      <c r="B369" t="inlineStr">
        <is>
          <t>ADMIN-INDEX-2026-02-27-00000000125C043F57453246863FE664CAFE6A3F0700950291EA24F0614FB6ACEDB12BF0E31D00000000010C0000950291EA24F0614FB6ACEDB12BF0E31D000073AF24010000</t>
        </is>
      </c>
      <c r="C369" t="inlineStr">
        <is>
          <t>cmm4yurgh04izcuqw94zu0lgm</t>
        </is>
      </c>
      <c r="D369" t="inlineStr">
        <is>
          <t>http://localhost:8787/api/admin/requirements/documents/cmm4yurgh04izcuqw94zu0lgm/view</t>
        </is>
      </c>
      <c r="E369">
        <f>HYPERLÄNK("http://localhost:8787/api/admin/requirements/documents/cmm4yurgh04izcuqw94zu0lgm/view";"Öppna PDF")</f>
        <v/>
      </c>
      <c r="F369">
        <f>HYPERLINK("http://localhost:8787/api/admin/requirements/documents/cmm4yurgh04izcuqw94zu0lgm/view","Open PDF")</f>
        <v/>
      </c>
      <c r="G369" t="inlineStr">
        <is>
          <t>cmm55w57p0004cuisfrtpqly8</t>
        </is>
      </c>
      <c r="H369" t="inlineStr">
        <is>
          <t>Beslutsvillkor</t>
        </is>
      </c>
      <c r="I369" t="inlineStr">
        <is>
          <t>DriftEgenkontroll</t>
        </is>
      </c>
      <c r="J369" t="inlineStr">
        <is>
          <t>Journalforing</t>
        </is>
      </c>
      <c r="K369" t="inlineStr">
        <is>
          <t>I egenkontrollen på mellanlagringen granskas att nivåerna inte underskrids.</t>
        </is>
      </c>
      <c r="L369" t="inlineStr">
        <is>
          <t>I egenkontrollen på mellanlagringen granskas att nivåerna inte underskrids.</t>
        </is>
      </c>
      <c r="M369" t="inlineStr">
        <is>
          <t>SKA</t>
        </is>
      </c>
      <c r="N369" t="inlineStr"/>
      <c r="O369" t="inlineStr"/>
      <c r="P369" t="inlineStr"/>
      <c r="Q369" t="inlineStr"/>
      <c r="R369" t="inlineStr">
        <is>
          <t>Lopande drift</t>
        </is>
      </c>
      <c r="S369" t="inlineStr"/>
      <c r="T369" t="inlineStr">
        <is>
          <t>2025 14</t>
        </is>
      </c>
      <c r="U369" t="inlineStr"/>
      <c r="V369" t="inlineStr"/>
      <c r="W369" t="inlineStr">
        <is>
          <t>Nej</t>
        </is>
      </c>
      <c r="X369" t="inlineStr">
        <is>
          <t>Nej</t>
        </is>
      </c>
      <c r="Y369" t="inlineStr">
        <is>
          <t>Ja</t>
        </is>
      </c>
      <c r="Z369" t="inlineStr">
        <is>
          <t>Nej</t>
        </is>
      </c>
      <c r="AA369" t="n">
        <v>7</v>
      </c>
      <c r="AB369" t="inlineStr">
        <is>
          <t>Egenkontrollrutiner</t>
        </is>
      </c>
      <c r="AC369" t="inlineStr">
        <is>
          <t>Egenkontrollprogram</t>
        </is>
      </c>
      <c r="AD369" t="inlineStr">
        <is>
          <t>Nej</t>
        </is>
      </c>
      <c r="AE369" t="inlineStr">
        <is>
          <t>Nej</t>
        </is>
      </c>
      <c r="AF369" t="inlineStr">
        <is>
          <t>Ej behandlad</t>
        </is>
      </c>
      <c r="AG369" t="inlineStr">
        <is>
          <t>AUTO_GENERERAD. Verifiera citat mot kallfil.</t>
        </is>
      </c>
      <c r="AH369" t="inlineStr">
        <is>
          <t>MEDIUM</t>
        </is>
      </c>
      <c r="AI369" t="inlineStr">
        <is>
          <t>AUTO</t>
        </is>
      </c>
      <c r="AJ369" t="inlineStr">
        <is>
          <t>Nej</t>
        </is>
      </c>
      <c r="AK369" t="inlineStr"/>
      <c r="AL369" t="inlineStr"/>
      <c r="AM369" t="inlineStr"/>
      <c r="AN369" t="inlineStr"/>
      <c r="AO369" t="inlineStr">
        <is>
          <t>cmm4yurgk04j2cuqw5vz3m5i0</t>
        </is>
      </c>
      <c r="AP369" t="inlineStr">
        <is>
          <t>http://localhost:8787/api/admin/requirements/documents/cmm4yurgk04j2cuqw5vz3m5i0/view</t>
        </is>
      </c>
      <c r="AQ369">
        <f>HYPERLÄNK("http://localhost:8787/api/admin/requirements/documents/cmm4yurgk04j2cuqw5vz3m5i0/view";"Öppna PDF")</f>
        <v/>
      </c>
      <c r="AR369">
        <f>HYPERLINK("http://localhost:8787/api/admin/requirements/documents/cmm4yurgk04j2cuqw5vz3m5i0/view","Open PDF")</f>
        <v/>
      </c>
      <c r="AS369" t="inlineStr">
        <is>
          <t>cmm55w57p0004cuisfrtpqly8</t>
        </is>
      </c>
      <c r="AT369" t="inlineStr">
        <is>
          <t>cmm4xvu980000cuh4vj0usz09</t>
        </is>
      </c>
      <c r="AU369" t="inlineStr">
        <is>
          <t>Värnamo</t>
        </is>
      </c>
      <c r="AV369" t="inlineStr">
        <is>
          <t>Kommun</t>
        </is>
      </c>
      <c r="AW369" t="inlineStr">
        <is>
          <t>Värnamo kommun</t>
        </is>
      </c>
      <c r="AX369" t="inlineStr">
        <is>
          <t>2024-12</t>
        </is>
      </c>
      <c r="AY369" t="inlineStr">
        <is>
          <t>Beslut</t>
        </is>
      </c>
      <c r="AZ369" t="inlineStr">
        <is>
          <t>2026-02-13</t>
        </is>
      </c>
      <c r="BA369" t="inlineStr">
        <is>
          <t>TFF bre sit.pdf</t>
        </is>
      </c>
      <c r="BB369" t="inlineStr">
        <is>
          <t>SV: till registrator [2026KC7547]</t>
        </is>
      </c>
      <c r="BC369" t="inlineStr">
        <is>
          <t>AUTO</t>
        </is>
      </c>
      <c r="BD369" t="inlineStr"/>
      <c r="BE369" t="inlineStr"/>
      <c r="BF369" t="inlineStr">
        <is>
          <t>AUTO_GENERERAD. Bekrafta metadata mot kallfil.</t>
        </is>
      </c>
      <c r="BG369">
        <f>HYPERLINK("C:\Users\jimmy\Desktop\Examens arbete\Kod\Ny mapp\remix_-copy-of-miljöbeslut.se-portal\TFF bre sit.pdf", "Öppna PDF")</f>
        <v/>
      </c>
    </row>
    <row r="370">
      <c r="A370" t="inlineStr">
        <is>
          <t>KRAV-AUTO-000369</t>
        </is>
      </c>
      <c r="B370" t="inlineStr">
        <is>
          <t>ADMIN-INDEX-2026-02-27-00000000125C043F57453246863FE664CAFE6A3F0700950291EA24F0614FB6ACEDB12BF0E31D00000000010C0000950291EA24F0614FB6ACEDB12BF0E31D000073AF24010000</t>
        </is>
      </c>
      <c r="C370" t="inlineStr">
        <is>
          <t>cmm4yurgh04izcuqw94zu0lgm</t>
        </is>
      </c>
      <c r="D370" t="inlineStr">
        <is>
          <t>http://localhost:8787/api/admin/requirements/documents/cmm4yurgh04izcuqw94zu0lgm/view</t>
        </is>
      </c>
      <c r="E370">
        <f>HYPERLÄNK("http://localhost:8787/api/admin/requirements/documents/cmm4yurgh04izcuqw94zu0lgm/view";"Öppna PDF")</f>
        <v/>
      </c>
      <c r="F370">
        <f>HYPERLINK("http://localhost:8787/api/admin/requirements/documents/cmm4yurgh04izcuqw94zu0lgm/view","Open PDF")</f>
        <v/>
      </c>
      <c r="G370" t="inlineStr">
        <is>
          <t>cmm55w57p0004cuisfrtpqly8</t>
        </is>
      </c>
      <c r="H370" t="inlineStr">
        <is>
          <t>Beslutsvillkor</t>
        </is>
      </c>
      <c r="I370" t="inlineStr">
        <is>
          <t>Ytkonstruktion</t>
        </is>
      </c>
      <c r="J370" t="inlineStr">
        <is>
          <t>Tat yta</t>
        </is>
      </c>
      <c r="K370" t="inlineStr">
        <is>
          <t>Enligt historiska kartor har det varit en uppställningsplats med virke på ytan men på EBH-kartan är inte själva fastigheten markerad som förorenad utan det är anliggande fastigheter där det pågått verksamhet.</t>
        </is>
      </c>
      <c r="L370" t="inlineStr">
        <is>
          <t>Enligt historiska kartor har det varit en uppställningsplats med virke på ytan men på EBH-kartan är inte själva fastigheten markerad som förorenad utan det är anliggande fastigheter där det pågått verksamhet.</t>
        </is>
      </c>
      <c r="M370" t="inlineStr">
        <is>
          <t>SKA</t>
        </is>
      </c>
      <c r="N370" t="inlineStr"/>
      <c r="O370" t="inlineStr"/>
      <c r="P370" t="inlineStr"/>
      <c r="Q370" t="inlineStr"/>
      <c r="R370" t="inlineStr">
        <is>
          <t>Vid mellanlagring av avfall</t>
        </is>
      </c>
      <c r="S370" t="inlineStr"/>
      <c r="T370" t="inlineStr">
        <is>
          <t>2025 14</t>
        </is>
      </c>
      <c r="U370" t="inlineStr"/>
      <c r="V370" t="inlineStr"/>
      <c r="W370" t="inlineStr">
        <is>
          <t>Ja</t>
        </is>
      </c>
      <c r="X370" t="inlineStr">
        <is>
          <t>Nej</t>
        </is>
      </c>
      <c r="Y370" t="inlineStr">
        <is>
          <t>Nej</t>
        </is>
      </c>
      <c r="Z370" t="inlineStr">
        <is>
          <t>Nej</t>
        </is>
      </c>
      <c r="AA370" t="n">
        <v>5</v>
      </c>
      <c r="AB370" t="inlineStr">
        <is>
          <t>Teknisk beskrivning av platta</t>
        </is>
      </c>
      <c r="AC370" t="inlineStr">
        <is>
          <t>Teknisk ritning platta</t>
        </is>
      </c>
      <c r="AD370" t="inlineStr">
        <is>
          <t>Nej</t>
        </is>
      </c>
      <c r="AE370" t="inlineStr">
        <is>
          <t>Nej</t>
        </is>
      </c>
      <c r="AF370" t="inlineStr">
        <is>
          <t>Ej behandlad</t>
        </is>
      </c>
      <c r="AG370" t="inlineStr">
        <is>
          <t>AUTO_GENERERAD. Verifiera citat mot kallfil.</t>
        </is>
      </c>
      <c r="AH370" t="inlineStr">
        <is>
          <t>MEDIUM</t>
        </is>
      </c>
      <c r="AI370" t="inlineStr">
        <is>
          <t>AUTO</t>
        </is>
      </c>
      <c r="AJ370" t="inlineStr">
        <is>
          <t>Nej</t>
        </is>
      </c>
      <c r="AK370" t="inlineStr"/>
      <c r="AL370" t="inlineStr"/>
      <c r="AM370" t="inlineStr"/>
      <c r="AN370" t="inlineStr"/>
      <c r="AO370" t="inlineStr">
        <is>
          <t>cmm4yurgk04j2cuqw5vz3m5i0</t>
        </is>
      </c>
      <c r="AP370" t="inlineStr">
        <is>
          <t>http://localhost:8787/api/admin/requirements/documents/cmm4yurgk04j2cuqw5vz3m5i0/view</t>
        </is>
      </c>
      <c r="AQ370">
        <f>HYPERLÄNK("http://localhost:8787/api/admin/requirements/documents/cmm4yurgk04j2cuqw5vz3m5i0/view";"Öppna PDF")</f>
        <v/>
      </c>
      <c r="AR370">
        <f>HYPERLINK("http://localhost:8787/api/admin/requirements/documents/cmm4yurgk04j2cuqw5vz3m5i0/view","Open PDF")</f>
        <v/>
      </c>
      <c r="AS370" t="inlineStr">
        <is>
          <t>cmm55w57p0004cuisfrtpqly8</t>
        </is>
      </c>
      <c r="AT370" t="inlineStr">
        <is>
          <t>cmm4xvu980000cuh4vj0usz09</t>
        </is>
      </c>
      <c r="AU370" t="inlineStr">
        <is>
          <t>Värnamo</t>
        </is>
      </c>
      <c r="AV370" t="inlineStr">
        <is>
          <t>Kommun</t>
        </is>
      </c>
      <c r="AW370" t="inlineStr">
        <is>
          <t>Värnamo kommun</t>
        </is>
      </c>
      <c r="AX370" t="inlineStr">
        <is>
          <t>2024-12</t>
        </is>
      </c>
      <c r="AY370" t="inlineStr">
        <is>
          <t>Beslut</t>
        </is>
      </c>
      <c r="AZ370" t="inlineStr">
        <is>
          <t>2026-02-13</t>
        </is>
      </c>
      <c r="BA370" t="inlineStr">
        <is>
          <t>TFF bre sit.pdf</t>
        </is>
      </c>
      <c r="BB370" t="inlineStr">
        <is>
          <t>SV: till registrator [2026KC7547]</t>
        </is>
      </c>
      <c r="BC370" t="inlineStr">
        <is>
          <t>AUTO</t>
        </is>
      </c>
      <c r="BD370" t="inlineStr"/>
      <c r="BE370" t="inlineStr"/>
      <c r="BF370" t="inlineStr">
        <is>
          <t>AUTO_GENERERAD. Bekrafta metadata mot kallfil.</t>
        </is>
      </c>
      <c r="BG370">
        <f>HYPERLINK("C:\Users\jimmy\Desktop\Examens arbete\Kod\Ny mapp\remix_-copy-of-miljöbeslut.se-portal\TFF bre sit.pdf", "Öppna PDF")</f>
        <v/>
      </c>
    </row>
    <row r="371">
      <c r="A371" t="inlineStr">
        <is>
          <t>KRAV-AUTO-000370</t>
        </is>
      </c>
      <c r="B371" t="inlineStr">
        <is>
          <t>ADMIN-INDEX-2026-02-27-00000000125C043F57453246863FE664CAFE6A3F0700950291EA24F0614FB6ACEDB12BF0E31D00000000010C0000950291EA24F0614FB6ACEDB12BF0E31D000073AF24010000</t>
        </is>
      </c>
      <c r="C371" t="inlineStr">
        <is>
          <t>cmm4yurgf04iwcuqwko04ao6j</t>
        </is>
      </c>
      <c r="D371" t="inlineStr">
        <is>
          <t>http://localhost:8787/api/admin/requirements/documents/cmm4yurgf04iwcuqwko04ao6j/view</t>
        </is>
      </c>
      <c r="E371">
        <f>HYPERLÄNK("http://localhost:8787/api/admin/requirements/documents/cmm4yurgf04iwcuqwko04ao6j/view";"Öppna PDF")</f>
        <v/>
      </c>
      <c r="F371">
        <f>HYPERLINK("http://localhost:8787/api/admin/requirements/documents/cmm4yurgf04iwcuqwko04ao6j/view","Open PDF")</f>
        <v/>
      </c>
      <c r="G371" t="inlineStr">
        <is>
          <t>cmm55w57p0004cuisfrtpqly8</t>
        </is>
      </c>
      <c r="H371" t="inlineStr">
        <is>
          <t>Beslutsvillkor</t>
        </is>
      </c>
      <c r="I371" t="inlineStr">
        <is>
          <t>DriftEgenkontroll</t>
        </is>
      </c>
      <c r="J371" t="inlineStr">
        <is>
          <t>Journalforing</t>
        </is>
      </c>
      <c r="K371" t="inlineStr">
        <is>
          <t>I egenkontrollen på mellanlagringen granskas att nivåerna inte underskrids.</t>
        </is>
      </c>
      <c r="L371" t="inlineStr">
        <is>
          <t>I egenkontrollen på mellanlagringen granskas att nivåerna inte underskrids.</t>
        </is>
      </c>
      <c r="M371" t="inlineStr">
        <is>
          <t>SKA</t>
        </is>
      </c>
      <c r="N371" t="inlineStr"/>
      <c r="O371" t="inlineStr"/>
      <c r="P371" t="inlineStr"/>
      <c r="Q371" t="inlineStr"/>
      <c r="R371" t="inlineStr">
        <is>
          <t>Lopande drift</t>
        </is>
      </c>
      <c r="S371" t="inlineStr"/>
      <c r="T371" t="inlineStr">
        <is>
          <t>2025 13</t>
        </is>
      </c>
      <c r="U371" t="inlineStr"/>
      <c r="V371" t="inlineStr"/>
      <c r="W371" t="inlineStr">
        <is>
          <t>Nej</t>
        </is>
      </c>
      <c r="X371" t="inlineStr">
        <is>
          <t>Nej</t>
        </is>
      </c>
      <c r="Y371" t="inlineStr">
        <is>
          <t>Ja</t>
        </is>
      </c>
      <c r="Z371" t="inlineStr">
        <is>
          <t>Nej</t>
        </is>
      </c>
      <c r="AA371" t="n">
        <v>7</v>
      </c>
      <c r="AB371" t="inlineStr">
        <is>
          <t>Egenkontrollrutiner</t>
        </is>
      </c>
      <c r="AC371" t="inlineStr">
        <is>
          <t>Egenkontrollprogram</t>
        </is>
      </c>
      <c r="AD371" t="inlineStr">
        <is>
          <t>Nej</t>
        </is>
      </c>
      <c r="AE371" t="inlineStr">
        <is>
          <t>Nej</t>
        </is>
      </c>
      <c r="AF371" t="inlineStr">
        <is>
          <t>Ej behandlad</t>
        </is>
      </c>
      <c r="AG371" t="inlineStr">
        <is>
          <t>AUTO_GENERERAD. Verifiera citat mot kallfil.</t>
        </is>
      </c>
      <c r="AH371" t="inlineStr">
        <is>
          <t>LOW</t>
        </is>
      </c>
      <c r="AI371" t="inlineStr">
        <is>
          <t>AUTO</t>
        </is>
      </c>
      <c r="AJ371" t="inlineStr">
        <is>
          <t>Nej</t>
        </is>
      </c>
      <c r="AK371" t="inlineStr"/>
      <c r="AL371" t="inlineStr"/>
      <c r="AM371" t="inlineStr"/>
      <c r="AN371" t="inlineStr"/>
      <c r="AO371" t="inlineStr">
        <is>
          <t>cmm4yurgk04j2cuqw5vz3m5i0</t>
        </is>
      </c>
      <c r="AP371" t="inlineStr">
        <is>
          <t>http://localhost:8787/api/admin/requirements/documents/cmm4yurgk04j2cuqw5vz3m5i0/view</t>
        </is>
      </c>
      <c r="AQ371">
        <f>HYPERLÄNK("http://localhost:8787/api/admin/requirements/documents/cmm4yurgk04j2cuqw5vz3m5i0/view";"Öppna PDF")</f>
        <v/>
      </c>
      <c r="AR371">
        <f>HYPERLINK("http://localhost:8787/api/admin/requirements/documents/cmm4yurgk04j2cuqw5vz3m5i0/view","Open PDF")</f>
        <v/>
      </c>
      <c r="AS371" t="inlineStr">
        <is>
          <t>cmm55w57p0004cuisfrtpqly8</t>
        </is>
      </c>
      <c r="AT371" t="inlineStr">
        <is>
          <t>cmm4xvu980000cuh4vj0usz09</t>
        </is>
      </c>
      <c r="AU371" t="inlineStr">
        <is>
          <t>Värnamo</t>
        </is>
      </c>
      <c r="AV371" t="inlineStr">
        <is>
          <t>Kommun</t>
        </is>
      </c>
      <c r="AW371" t="inlineStr">
        <is>
          <t>Värnamo kommun</t>
        </is>
      </c>
      <c r="AX371" t="inlineStr">
        <is>
          <t>2024-12</t>
        </is>
      </c>
      <c r="AY371" t="inlineStr">
        <is>
          <t>Beslut</t>
        </is>
      </c>
      <c r="AZ371" t="inlineStr">
        <is>
          <t>2026-02-13</t>
        </is>
      </c>
      <c r="BA371" t="inlineStr">
        <is>
          <t>TFF bre sit.pdf</t>
        </is>
      </c>
      <c r="BB371" t="inlineStr">
        <is>
          <t>SV: till registrator [2026KC7547]</t>
        </is>
      </c>
      <c r="BC371" t="inlineStr">
        <is>
          <t>AUTO</t>
        </is>
      </c>
      <c r="BD371" t="inlineStr"/>
      <c r="BE371" t="inlineStr"/>
      <c r="BF371" t="inlineStr">
        <is>
          <t>AUTO_GENERERAD. Bekrafta metadata mot kallfil.</t>
        </is>
      </c>
      <c r="BG371">
        <f>HYPERLINK("C:\Users\jimmy\Desktop\Examens arbete\Kod\Ny mapp\remix_-copy-of-miljöbeslut.se-portal\TFF bre sit.pdf", "Öppna PDF")</f>
        <v/>
      </c>
    </row>
    <row r="372">
      <c r="A372" t="inlineStr">
        <is>
          <t>KRAV-AUTO-000371</t>
        </is>
      </c>
      <c r="B372" t="inlineStr">
        <is>
          <t>ADMIN-INDEX-2026-02-27-00000000125C043F57453246863FE664CAFE6A3F0700950291EA24F0614FB6ACEDB12BF0E31D00000000010C0000950291EA24F0614FB6ACEDB12BF0E31D000073AF24010000</t>
        </is>
      </c>
      <c r="C372" t="inlineStr">
        <is>
          <t>cmm4yurgf04iwcuqwko04ao6j</t>
        </is>
      </c>
      <c r="D372" t="inlineStr">
        <is>
          <t>http://localhost:8787/api/admin/requirements/documents/cmm4yurgf04iwcuqwko04ao6j/view</t>
        </is>
      </c>
      <c r="E372">
        <f>HYPERLÄNK("http://localhost:8787/api/admin/requirements/documents/cmm4yurgf04iwcuqwko04ao6j/view";"Öppna PDF")</f>
        <v/>
      </c>
      <c r="F372">
        <f>HYPERLINK("http://localhost:8787/api/admin/requirements/documents/cmm4yurgf04iwcuqwko04ao6j/view","Open PDF")</f>
        <v/>
      </c>
      <c r="G372" t="inlineStr">
        <is>
          <t>cmm55w57p0004cuisfrtpqly8</t>
        </is>
      </c>
      <c r="H372" t="inlineStr">
        <is>
          <t>Beslutsvillkor</t>
        </is>
      </c>
      <c r="I372" t="inlineStr">
        <is>
          <t>Ytkonstruktion</t>
        </is>
      </c>
      <c r="J372" t="inlineStr">
        <is>
          <t>Tat yta</t>
        </is>
      </c>
      <c r="K372" t="inlineStr">
        <is>
          <t>Enligt historiska kartor har det varit en uppställningsplats med virke på ytan men på EBH-kartan är inte själva fastigheten markerad som förorenad utan det är anliggande fastigheter där det pågått verksamhet.</t>
        </is>
      </c>
      <c r="L372" t="inlineStr">
        <is>
          <t>Enligt historiska kartor har det varit en uppställningsplats med virke på ytan men på EBH-kartan är inte själva fastigheten markerad som förorenad utan det är anliggande fastigheter där det pågått verksamhet.</t>
        </is>
      </c>
      <c r="M372" t="inlineStr">
        <is>
          <t>SKA</t>
        </is>
      </c>
      <c r="N372" t="inlineStr"/>
      <c r="O372" t="inlineStr"/>
      <c r="P372" t="inlineStr"/>
      <c r="Q372" t="inlineStr"/>
      <c r="R372" t="inlineStr">
        <is>
          <t>Vid mellanlagring av avfall</t>
        </is>
      </c>
      <c r="S372" t="inlineStr"/>
      <c r="T372" t="inlineStr">
        <is>
          <t>2025 13</t>
        </is>
      </c>
      <c r="U372" t="inlineStr"/>
      <c r="V372" t="inlineStr"/>
      <c r="W372" t="inlineStr">
        <is>
          <t>Ja</t>
        </is>
      </c>
      <c r="X372" t="inlineStr">
        <is>
          <t>Nej</t>
        </is>
      </c>
      <c r="Y372" t="inlineStr">
        <is>
          <t>Nej</t>
        </is>
      </c>
      <c r="Z372" t="inlineStr">
        <is>
          <t>Nej</t>
        </is>
      </c>
      <c r="AA372" t="n">
        <v>5</v>
      </c>
      <c r="AB372" t="inlineStr">
        <is>
          <t>Teknisk beskrivning av platta</t>
        </is>
      </c>
      <c r="AC372" t="inlineStr">
        <is>
          <t>Teknisk ritning platta</t>
        </is>
      </c>
      <c r="AD372" t="inlineStr">
        <is>
          <t>Nej</t>
        </is>
      </c>
      <c r="AE372" t="inlineStr">
        <is>
          <t>Nej</t>
        </is>
      </c>
      <c r="AF372" t="inlineStr">
        <is>
          <t>Ej behandlad</t>
        </is>
      </c>
      <c r="AG372" t="inlineStr">
        <is>
          <t>AUTO_GENERERAD. Verifiera citat mot kallfil.</t>
        </is>
      </c>
      <c r="AH372" t="inlineStr">
        <is>
          <t>LOW</t>
        </is>
      </c>
      <c r="AI372" t="inlineStr">
        <is>
          <t>AUTO</t>
        </is>
      </c>
      <c r="AJ372" t="inlineStr">
        <is>
          <t>Nej</t>
        </is>
      </c>
      <c r="AK372" t="inlineStr"/>
      <c r="AL372" t="inlineStr"/>
      <c r="AM372" t="inlineStr"/>
      <c r="AN372" t="inlineStr"/>
      <c r="AO372" t="inlineStr">
        <is>
          <t>cmm4yurgk04j2cuqw5vz3m5i0</t>
        </is>
      </c>
      <c r="AP372" t="inlineStr">
        <is>
          <t>http://localhost:8787/api/admin/requirements/documents/cmm4yurgk04j2cuqw5vz3m5i0/view</t>
        </is>
      </c>
      <c r="AQ372">
        <f>HYPERLÄNK("http://localhost:8787/api/admin/requirements/documents/cmm4yurgk04j2cuqw5vz3m5i0/view";"Öppna PDF")</f>
        <v/>
      </c>
      <c r="AR372">
        <f>HYPERLINK("http://localhost:8787/api/admin/requirements/documents/cmm4yurgk04j2cuqw5vz3m5i0/view","Open PDF")</f>
        <v/>
      </c>
      <c r="AS372" t="inlineStr">
        <is>
          <t>cmm55w57p0004cuisfrtpqly8</t>
        </is>
      </c>
      <c r="AT372" t="inlineStr">
        <is>
          <t>cmm4xvu980000cuh4vj0usz09</t>
        </is>
      </c>
      <c r="AU372" t="inlineStr">
        <is>
          <t>Värnamo</t>
        </is>
      </c>
      <c r="AV372" t="inlineStr">
        <is>
          <t>Kommun</t>
        </is>
      </c>
      <c r="AW372" t="inlineStr">
        <is>
          <t>Värnamo kommun</t>
        </is>
      </c>
      <c r="AX372" t="inlineStr">
        <is>
          <t>2024-12</t>
        </is>
      </c>
      <c r="AY372" t="inlineStr">
        <is>
          <t>Beslut</t>
        </is>
      </c>
      <c r="AZ372" t="inlineStr">
        <is>
          <t>2026-02-13</t>
        </is>
      </c>
      <c r="BA372" t="inlineStr">
        <is>
          <t>TFF bre sit.pdf</t>
        </is>
      </c>
      <c r="BB372" t="inlineStr">
        <is>
          <t>SV: till registrator [2026KC7547]</t>
        </is>
      </c>
      <c r="BC372" t="inlineStr">
        <is>
          <t>AUTO</t>
        </is>
      </c>
      <c r="BD372" t="inlineStr"/>
      <c r="BE372" t="inlineStr"/>
      <c r="BF372" t="inlineStr">
        <is>
          <t>AUTO_GENERERAD. Bekrafta metadata mot kallfil.</t>
        </is>
      </c>
      <c r="BG372">
        <f>HYPERLINK("C:\Users\jimmy\Desktop\Examens arbete\Kod\Ny mapp\remix_-copy-of-miljöbeslut.se-portal\TFF bre sit.pdf", "Öppna PDF")</f>
        <v/>
      </c>
    </row>
    <row r="373">
      <c r="A373" t="inlineStr">
        <is>
          <t>KRAV-AUTO-000372</t>
        </is>
      </c>
      <c r="B373" t="inlineStr">
        <is>
          <t>ADMIN-INDEX-2026-02-27-00000000125C043F57453246863FE664CAFE6A3F0700950291EA24F0614FB6ACEDB12BF0E31D00000000010C0000950291EA24F0614FB6ACEDB12BF0E31D00002087A5DC0000</t>
        </is>
      </c>
      <c r="C373" t="inlineStr">
        <is>
          <t>cmm4yuqmz03qwcuqwsrhh9s97</t>
        </is>
      </c>
      <c r="D373" t="inlineStr">
        <is>
          <t>http://localhost:8787/api/admin/requirements/documents/cmm4yuqmz03qwcuqwsrhh9s97/view</t>
        </is>
      </c>
      <c r="E373">
        <f>HYPERLÄNK("http://localhost:8787/api/admin/requirements/documents/cmm4yuqmz03qwcuqwsrhh9s97/view";"Öppna PDF")</f>
        <v/>
      </c>
      <c r="F373">
        <f>HYPERLINK("http://localhost:8787/api/admin/requirements/documents/cmm4yuqmz03qwcuqwsrhh9s97/view","Open PDF")</f>
        <v/>
      </c>
      <c r="G373" t="inlineStr">
        <is>
          <t>cmm55w57p0004cuisfrtpqly8</t>
        </is>
      </c>
      <c r="H373" t="inlineStr">
        <is>
          <t>Informationskrav</t>
        </is>
      </c>
      <c r="I373" t="inlineStr">
        <is>
          <t>DagvattenLakvatten</t>
        </is>
      </c>
      <c r="J373" t="inlineStr">
        <is>
          <t>Uppsamling</t>
        </is>
      </c>
      <c r="K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73" t="inlineStr">
        <is>
          <t>SKA</t>
        </is>
      </c>
      <c r="N373" t="inlineStr"/>
      <c r="O373" t="inlineStr"/>
      <c r="P373" t="inlineStr">
        <is>
          <t>Arlig</t>
        </is>
      </c>
      <c r="Q373" t="inlineStr"/>
      <c r="R373" t="inlineStr">
        <is>
          <t>Vid nederbord och avrinning</t>
        </is>
      </c>
      <c r="S373" t="inlineStr"/>
      <c r="T373" t="inlineStr"/>
      <c r="U373" t="n">
        <v>5000</v>
      </c>
      <c r="V373" t="inlineStr"/>
      <c r="W373" t="inlineStr">
        <is>
          <t>Nej</t>
        </is>
      </c>
      <c r="X373" t="inlineStr">
        <is>
          <t>Ja</t>
        </is>
      </c>
      <c r="Y373" t="inlineStr">
        <is>
          <t>Ja</t>
        </is>
      </c>
      <c r="Z373" t="inlineStr">
        <is>
          <t>Nej</t>
        </is>
      </c>
      <c r="AA373" t="n">
        <v>6</v>
      </c>
      <c r="AB373" t="inlineStr">
        <is>
          <t>Lakvattenhantering</t>
        </is>
      </c>
      <c r="AC373" t="inlineStr">
        <is>
          <t>Flodesschema dagvatten-lakvatten</t>
        </is>
      </c>
      <c r="AD373" t="inlineStr">
        <is>
          <t>Nej</t>
        </is>
      </c>
      <c r="AE373" t="inlineStr">
        <is>
          <t>Nej</t>
        </is>
      </c>
      <c r="AF373" t="inlineStr">
        <is>
          <t>Ej behandlad</t>
        </is>
      </c>
      <c r="AG373" t="inlineStr">
        <is>
          <t>AUTO_GENERERAD. Verifiera citat mot kallfil.</t>
        </is>
      </c>
      <c r="AH373" t="inlineStr">
        <is>
          <t>MEDIUM</t>
        </is>
      </c>
      <c r="AI373" t="inlineStr">
        <is>
          <t>AUTO</t>
        </is>
      </c>
      <c r="AJ373" t="inlineStr">
        <is>
          <t>Nej</t>
        </is>
      </c>
      <c r="AK373" t="inlineStr"/>
      <c r="AL373" t="inlineStr"/>
      <c r="AM373" t="inlineStr"/>
      <c r="AN373" t="inlineStr"/>
      <c r="AO373" t="inlineStr">
        <is>
          <t>cmm4yuqnj03rhcuqw5kt2masi</t>
        </is>
      </c>
      <c r="AP373" t="inlineStr">
        <is>
          <t>http://localhost:8787/api/admin/requirements/documents/cmm4yuqnj03rhcuqw5kt2masi/view</t>
        </is>
      </c>
      <c r="AQ373">
        <f>HYPERLÄNK("http://localhost:8787/api/admin/requirements/documents/cmm4yuqnj03rhcuqw5kt2masi/view";"Öppna PDF")</f>
        <v/>
      </c>
      <c r="AR373">
        <f>HYPERLINK("http://localhost:8787/api/admin/requirements/documents/cmm4yuqnj03rhcuqw5kt2masi/view","Open PDF")</f>
        <v/>
      </c>
      <c r="AS373" t="inlineStr">
        <is>
          <t>cmm55w57p0004cuisfrtpqly8</t>
        </is>
      </c>
      <c r="AT373" t="inlineStr">
        <is>
          <t>cmm4xvu980000cuh4vj0usz09</t>
        </is>
      </c>
      <c r="AU373" t="inlineStr">
        <is>
          <t>Hässleholms</t>
        </is>
      </c>
      <c r="AV373" t="inlineStr">
        <is>
          <t>Kommun</t>
        </is>
      </c>
      <c r="AW373" t="inlineStr">
        <is>
          <t>Hässleholms kommun</t>
        </is>
      </c>
      <c r="AX373" t="inlineStr">
        <is>
          <t>0451-26</t>
        </is>
      </c>
      <c r="AY373" t="inlineStr">
        <is>
          <t>Anmalan</t>
        </is>
      </c>
      <c r="AZ373" t="inlineStr">
        <is>
          <t>2026-02-05</t>
        </is>
      </c>
      <c r="BA373" t="inlineStr">
        <is>
          <t>M-2025-2674 - Avskrivning.pdf</t>
        </is>
      </c>
      <c r="BB373" t="inlineStr">
        <is>
          <t>Sv:  Begäran om utlämnande av allmän handling – Anmälningar och beslut rörande mellanlagring av avfall samt anläggning av ytor</t>
        </is>
      </c>
      <c r="BC373" t="inlineStr">
        <is>
          <t>AUTO</t>
        </is>
      </c>
      <c r="BD373" t="inlineStr"/>
      <c r="BE373" t="inlineStr"/>
      <c r="BF373" t="inlineStr">
        <is>
          <t>AUTO_GENERERAD. Bekrafta metadata mot kallfil.</t>
        </is>
      </c>
      <c r="BG373">
        <f>HYPERLINK("C:\Users\jimmy\Desktop\Examens arbete\Kod\Ny mapp\remix_-copy-of-miljöbeslut.se-portal\M-2025-2674 - Avskrivning.pdf", "Öppna PDF")</f>
        <v/>
      </c>
    </row>
    <row r="374">
      <c r="A374" t="inlineStr">
        <is>
          <t>KRAV-AUTO-000373</t>
        </is>
      </c>
      <c r="B374" t="inlineStr">
        <is>
          <t>ADMIN-INDEX-2026-02-27-00000000125C043F57453246863FE664CAFE6A3F0700950291EA24F0614FB6ACEDB12BF0E31D00000000010C0000950291EA24F0614FB6ACEDB12BF0E31D00002087A5DC0000</t>
        </is>
      </c>
      <c r="C374" t="inlineStr">
        <is>
          <t>cmm4yuqmz03qwcuqwsrhh9s97</t>
        </is>
      </c>
      <c r="D374" t="inlineStr">
        <is>
          <t>http://localhost:8787/api/admin/requirements/documents/cmm4yuqmz03qwcuqwsrhh9s97/view</t>
        </is>
      </c>
      <c r="E374">
        <f>HYPERLÄNK("http://localhost:8787/api/admin/requirements/documents/cmm4yuqmz03qwcuqwsrhh9s97/view";"Öppna PDF")</f>
        <v/>
      </c>
      <c r="F374">
        <f>HYPERLINK("http://localhost:8787/api/admin/requirements/documents/cmm4yuqmz03qwcuqwsrhh9s97/view","Open PDF")</f>
        <v/>
      </c>
      <c r="G374" t="inlineStr">
        <is>
          <t>cmm55w57p0004cuisfrtpqly8</t>
        </is>
      </c>
      <c r="H374" t="inlineStr">
        <is>
          <t>Informationskrav</t>
        </is>
      </c>
      <c r="I374" t="inlineStr">
        <is>
          <t>DagvattenLakvatten</t>
        </is>
      </c>
      <c r="J374" t="inlineStr">
        <is>
          <t>Uppsamling</t>
        </is>
      </c>
      <c r="K374" t="inlineStr">
        <is>
          <t>6 § miljöbalken (SFS 1998:808) krävs en anmälan vid användning av avfall för anläggningsändamål på ett sätt som kan förorena mark, vattenområde eller grundvatten och där föroreningsrisken bedöms som ringa.</t>
        </is>
      </c>
      <c r="L374" t="inlineStr">
        <is>
          <t>6 § miljöbalken (SFS 1998:808) krävs en anmälan vid användning av avfall för anläggningsändamål på ett sätt som kan förorena mark, vattenområde eller grundvatten och där föroreningsrisken bedöms som ringa.</t>
        </is>
      </c>
      <c r="M374" t="inlineStr">
        <is>
          <t>SKA</t>
        </is>
      </c>
      <c r="N374" t="inlineStr">
        <is>
          <t>Miljobalken</t>
        </is>
      </c>
      <c r="O374" t="inlineStr"/>
      <c r="P374" t="inlineStr"/>
      <c r="Q374" t="inlineStr"/>
      <c r="R374" t="inlineStr">
        <is>
          <t>Vid nederbord och avrinning</t>
        </is>
      </c>
      <c r="S374" t="inlineStr"/>
      <c r="T374" t="inlineStr"/>
      <c r="U374" t="inlineStr"/>
      <c r="V374" t="inlineStr"/>
      <c r="W374" t="inlineStr">
        <is>
          <t>Nej</t>
        </is>
      </c>
      <c r="X374" t="inlineStr">
        <is>
          <t>Ja</t>
        </is>
      </c>
      <c r="Y374" t="inlineStr">
        <is>
          <t>Ja</t>
        </is>
      </c>
      <c r="Z374" t="inlineStr">
        <is>
          <t>Nej</t>
        </is>
      </c>
      <c r="AA374" t="n">
        <v>6</v>
      </c>
      <c r="AB374" t="inlineStr">
        <is>
          <t>Lakvattenhantering</t>
        </is>
      </c>
      <c r="AC374" t="inlineStr">
        <is>
          <t>Flodesschema dagvatten-lakvatten</t>
        </is>
      </c>
      <c r="AD374" t="inlineStr">
        <is>
          <t>Nej</t>
        </is>
      </c>
      <c r="AE374" t="inlineStr">
        <is>
          <t>Nej</t>
        </is>
      </c>
      <c r="AF374" t="inlineStr">
        <is>
          <t>Ej behandlad</t>
        </is>
      </c>
      <c r="AG374" t="inlineStr">
        <is>
          <t>AUTO_GENERERAD. Verifiera citat mot kallfil.</t>
        </is>
      </c>
      <c r="AH374" t="inlineStr">
        <is>
          <t>MEDIUM</t>
        </is>
      </c>
      <c r="AI374" t="inlineStr">
        <is>
          <t>AUTO</t>
        </is>
      </c>
      <c r="AJ374" t="inlineStr">
        <is>
          <t>Nej</t>
        </is>
      </c>
      <c r="AK374" t="inlineStr"/>
      <c r="AL374" t="inlineStr"/>
      <c r="AM374" t="inlineStr"/>
      <c r="AN374" t="inlineStr"/>
      <c r="AO374" t="inlineStr">
        <is>
          <t>cmm4yuqnj03rhcuqw5kt2masi</t>
        </is>
      </c>
      <c r="AP374" t="inlineStr">
        <is>
          <t>http://localhost:8787/api/admin/requirements/documents/cmm4yuqnj03rhcuqw5kt2masi/view</t>
        </is>
      </c>
      <c r="AQ374">
        <f>HYPERLÄNK("http://localhost:8787/api/admin/requirements/documents/cmm4yuqnj03rhcuqw5kt2masi/view";"Öppna PDF")</f>
        <v/>
      </c>
      <c r="AR374">
        <f>HYPERLINK("http://localhost:8787/api/admin/requirements/documents/cmm4yuqnj03rhcuqw5kt2masi/view","Open PDF")</f>
        <v/>
      </c>
      <c r="AS374" t="inlineStr">
        <is>
          <t>cmm55w57p0004cuisfrtpqly8</t>
        </is>
      </c>
      <c r="AT374" t="inlineStr">
        <is>
          <t>cmm4xvu980000cuh4vj0usz09</t>
        </is>
      </c>
      <c r="AU374" t="inlineStr">
        <is>
          <t>Hässleholms</t>
        </is>
      </c>
      <c r="AV374" t="inlineStr">
        <is>
          <t>Kommun</t>
        </is>
      </c>
      <c r="AW374" t="inlineStr">
        <is>
          <t>Hässleholms kommun</t>
        </is>
      </c>
      <c r="AX374" t="inlineStr">
        <is>
          <t>0451-26</t>
        </is>
      </c>
      <c r="AY374" t="inlineStr">
        <is>
          <t>Anmalan</t>
        </is>
      </c>
      <c r="AZ374" t="inlineStr">
        <is>
          <t>2026-02-05</t>
        </is>
      </c>
      <c r="BA374" t="inlineStr">
        <is>
          <t>M-2025-2674 - Avskrivning.pdf</t>
        </is>
      </c>
      <c r="BB374" t="inlineStr">
        <is>
          <t>Sv:  Begäran om utlämnande av allmän handling – Anmälningar och beslut rörande mellanlagring av avfall samt anläggning av ytor</t>
        </is>
      </c>
      <c r="BC374" t="inlineStr">
        <is>
          <t>AUTO</t>
        </is>
      </c>
      <c r="BD374" t="inlineStr"/>
      <c r="BE374" t="inlineStr"/>
      <c r="BF374" t="inlineStr">
        <is>
          <t>AUTO_GENERERAD. Bekrafta metadata mot kallfil.</t>
        </is>
      </c>
      <c r="BG374">
        <f>HYPERLINK("C:\Users\jimmy\Desktop\Examens arbete\Kod\Ny mapp\remix_-copy-of-miljöbeslut.se-portal\M-2025-2674 - Avskrivning.pdf", "Öppna PDF")</f>
        <v/>
      </c>
    </row>
    <row r="375">
      <c r="A375" t="inlineStr">
        <is>
          <t>KRAV-AUTO-000374</t>
        </is>
      </c>
      <c r="B375" t="inlineStr">
        <is>
          <t>ADMIN-INDEX-2026-02-27-00000000125C043F57453246863FE664CAFE6A3F0700950291EA24F0614FB6ACEDB12BF0E31D00000000010C0000950291EA24F0614FB6ACEDB12BF0E31D00002087A5DC0000</t>
        </is>
      </c>
      <c r="C375" t="inlineStr">
        <is>
          <t>cmm4yuqmz03qwcuqwsrhh9s97</t>
        </is>
      </c>
      <c r="D375" t="inlineStr">
        <is>
          <t>http://localhost:8787/api/admin/requirements/documents/cmm4yuqmz03qwcuqwsrhh9s97/view</t>
        </is>
      </c>
      <c r="E375">
        <f>HYPERLÄNK("http://localhost:8787/api/admin/requirements/documents/cmm4yuqmz03qwcuqwsrhh9s97/view";"Öppna PDF")</f>
        <v/>
      </c>
      <c r="F375">
        <f>HYPERLINK("http://localhost:8787/api/admin/requirements/documents/cmm4yuqmz03qwcuqwsrhh9s97/view","Open PDF")</f>
        <v/>
      </c>
      <c r="G375" t="inlineStr">
        <is>
          <t>cmm55w57p0004cuisfrtpqly8</t>
        </is>
      </c>
      <c r="H375" t="inlineStr">
        <is>
          <t>Informationskrav</t>
        </is>
      </c>
      <c r="I375" t="inlineStr">
        <is>
          <t>MiljopaverkanForsiktighet</t>
        </is>
      </c>
      <c r="J375" t="inlineStr">
        <is>
          <t>Skyddsatgarder</t>
        </is>
      </c>
      <c r="K375" t="inlineStr">
        <is>
          <t>Skalenliga profilskisser av platsen där avfallet ska användas.</t>
        </is>
      </c>
      <c r="L375" t="inlineStr">
        <is>
          <t>Skalenliga profilskisser av platsen där avfallet ska användas.</t>
        </is>
      </c>
      <c r="M375" t="inlineStr">
        <is>
          <t>SKA</t>
        </is>
      </c>
      <c r="N375" t="inlineStr"/>
      <c r="O375" t="inlineStr"/>
      <c r="P375" t="inlineStr"/>
      <c r="Q375" t="inlineStr"/>
      <c r="R375" t="inlineStr">
        <is>
          <t>Alltid</t>
        </is>
      </c>
      <c r="S375" t="inlineStr"/>
      <c r="T375" t="inlineStr"/>
      <c r="U375" t="inlineStr"/>
      <c r="V375" t="inlineStr"/>
      <c r="W375" t="inlineStr">
        <is>
          <t>Nej</t>
        </is>
      </c>
      <c r="X375" t="inlineStr">
        <is>
          <t>Nej</t>
        </is>
      </c>
      <c r="Y375" t="inlineStr">
        <is>
          <t>Nej</t>
        </is>
      </c>
      <c r="Z375" t="inlineStr">
        <is>
          <t>Nej</t>
        </is>
      </c>
      <c r="AA375" t="n">
        <v>10</v>
      </c>
      <c r="AB375" t="inlineStr">
        <is>
          <t>Miljopaverkan och forsiktighetsmatt</t>
        </is>
      </c>
      <c r="AC375" t="inlineStr">
        <is>
          <t>Miljo-PM</t>
        </is>
      </c>
      <c r="AD375" t="inlineStr">
        <is>
          <t>Nej</t>
        </is>
      </c>
      <c r="AE375" t="inlineStr">
        <is>
          <t>Nej</t>
        </is>
      </c>
      <c r="AF375" t="inlineStr">
        <is>
          <t>Ej behandlad</t>
        </is>
      </c>
      <c r="AG375" t="inlineStr">
        <is>
          <t>AUTO_GENERERAD. Verifiera citat mot kallfil.</t>
        </is>
      </c>
      <c r="AH375" t="inlineStr">
        <is>
          <t>MEDIUM</t>
        </is>
      </c>
      <c r="AI375" t="inlineStr">
        <is>
          <t>AUTO</t>
        </is>
      </c>
      <c r="AJ375" t="inlineStr">
        <is>
          <t>Nej</t>
        </is>
      </c>
      <c r="AK375" t="inlineStr"/>
      <c r="AL375" t="inlineStr"/>
      <c r="AM375" t="inlineStr"/>
      <c r="AN375" t="inlineStr"/>
      <c r="AO375" t="inlineStr">
        <is>
          <t>cmm4yuqnj03rhcuqw5kt2masi</t>
        </is>
      </c>
      <c r="AP375" t="inlineStr">
        <is>
          <t>http://localhost:8787/api/admin/requirements/documents/cmm4yuqnj03rhcuqw5kt2masi/view</t>
        </is>
      </c>
      <c r="AQ375">
        <f>HYPERLÄNK("http://localhost:8787/api/admin/requirements/documents/cmm4yuqnj03rhcuqw5kt2masi/view";"Öppna PDF")</f>
        <v/>
      </c>
      <c r="AR375">
        <f>HYPERLINK("http://localhost:8787/api/admin/requirements/documents/cmm4yuqnj03rhcuqw5kt2masi/view","Open PDF")</f>
        <v/>
      </c>
      <c r="AS375" t="inlineStr">
        <is>
          <t>cmm55w57p0004cuisfrtpqly8</t>
        </is>
      </c>
      <c r="AT375" t="inlineStr">
        <is>
          <t>cmm4xvu980000cuh4vj0usz09</t>
        </is>
      </c>
      <c r="AU375" t="inlineStr">
        <is>
          <t>Hässleholms</t>
        </is>
      </c>
      <c r="AV375" t="inlineStr">
        <is>
          <t>Kommun</t>
        </is>
      </c>
      <c r="AW375" t="inlineStr">
        <is>
          <t>Hässleholms kommun</t>
        </is>
      </c>
      <c r="AX375" t="inlineStr">
        <is>
          <t>0451-26</t>
        </is>
      </c>
      <c r="AY375" t="inlineStr">
        <is>
          <t>Anmalan</t>
        </is>
      </c>
      <c r="AZ375" t="inlineStr">
        <is>
          <t>2026-02-05</t>
        </is>
      </c>
      <c r="BA375" t="inlineStr">
        <is>
          <t>M-2025-2674 - Avskrivning.pdf</t>
        </is>
      </c>
      <c r="BB375" t="inlineStr">
        <is>
          <t>Sv:  Begäran om utlämnande av allmän handling – Anmälningar och beslut rörande mellanlagring av avfall samt anläggning av ytor</t>
        </is>
      </c>
      <c r="BC375" t="inlineStr">
        <is>
          <t>AUTO</t>
        </is>
      </c>
      <c r="BD375" t="inlineStr"/>
      <c r="BE375" t="inlineStr"/>
      <c r="BF375" t="inlineStr">
        <is>
          <t>AUTO_GENERERAD. Bekrafta metadata mot kallfil.</t>
        </is>
      </c>
      <c r="BG375">
        <f>HYPERLINK("C:\Users\jimmy\Desktop\Examens arbete\Kod\Ny mapp\remix_-copy-of-miljöbeslut.se-portal\M-2025-2674 - Avskrivning.pdf", "Öppna PDF")</f>
        <v/>
      </c>
    </row>
    <row r="376">
      <c r="A376" t="inlineStr">
        <is>
          <t>KRAV-AUTO-000375</t>
        </is>
      </c>
      <c r="B376" t="inlineStr">
        <is>
          <t>ADMIN-INDEX-2026-02-27-00000000125C043F57453246863FE664CAFE6A3F0700950291EA24F0614FB6ACEDB12BF0E31D00000000010C0000950291EA24F0614FB6ACEDB12BF0E31D00002087ADE40000</t>
        </is>
      </c>
      <c r="C376" t="inlineStr">
        <is>
          <t>cmm4yuqm603q2cuqw6h2pp8a0</t>
        </is>
      </c>
      <c r="D376" t="inlineStr">
        <is>
          <t>http://localhost:8787/api/admin/requirements/documents/cmm4yuqm603q2cuqw6h2pp8a0/view</t>
        </is>
      </c>
      <c r="E376">
        <f>HYPERLÄNK("http://localhost:8787/api/admin/requirements/documents/cmm4yuqm603q2cuqw6h2pp8a0/view";"Öppna PDF")</f>
        <v/>
      </c>
      <c r="F376">
        <f>HYPERLINK("http://localhost:8787/api/admin/requirements/documents/cmm4yuqm603q2cuqw6h2pp8a0/view","Open PDF")</f>
        <v/>
      </c>
      <c r="G376" t="inlineStr">
        <is>
          <t>cmm55w57p0004cuisfrtpqly8</t>
        </is>
      </c>
      <c r="H376" t="inlineStr">
        <is>
          <t>Beslutsvillkor</t>
        </is>
      </c>
      <c r="I376" t="inlineStr">
        <is>
          <t>MiljopaverkanForsiktighet</t>
        </is>
      </c>
      <c r="J376" t="inlineStr">
        <is>
          <t>Skyddsatgarder</t>
        </is>
      </c>
      <c r="K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376" t="inlineStr">
        <is>
          <t>INFO</t>
        </is>
      </c>
      <c r="N376" t="inlineStr">
        <is>
          <t>MPF</t>
        </is>
      </c>
      <c r="O376" t="inlineStr"/>
      <c r="P376" t="inlineStr"/>
      <c r="Q376" t="inlineStr">
        <is>
          <t>Forelaggande vid brist</t>
        </is>
      </c>
      <c r="R376" t="inlineStr">
        <is>
          <t>Alltid</t>
        </is>
      </c>
      <c r="S376" t="inlineStr"/>
      <c r="T376" t="inlineStr">
        <is>
          <t>212000</t>
        </is>
      </c>
      <c r="U376" t="inlineStr"/>
      <c r="V376" t="inlineStr"/>
      <c r="W376" t="inlineStr">
        <is>
          <t>Nej</t>
        </is>
      </c>
      <c r="X376" t="inlineStr">
        <is>
          <t>Nej</t>
        </is>
      </c>
      <c r="Y376" t="inlineStr">
        <is>
          <t>Nej</t>
        </is>
      </c>
      <c r="Z376" t="inlineStr">
        <is>
          <t>Nej</t>
        </is>
      </c>
      <c r="AA376" t="n">
        <v>10</v>
      </c>
      <c r="AB376" t="inlineStr">
        <is>
          <t>Miljopaverkan och forsiktighetsmatt</t>
        </is>
      </c>
      <c r="AC376" t="inlineStr">
        <is>
          <t>Miljo-PM</t>
        </is>
      </c>
      <c r="AD376" t="inlineStr">
        <is>
          <t>Nej</t>
        </is>
      </c>
      <c r="AE376" t="inlineStr">
        <is>
          <t>Nej</t>
        </is>
      </c>
      <c r="AF376" t="inlineStr">
        <is>
          <t>Ej behandlad</t>
        </is>
      </c>
      <c r="AG376" t="inlineStr">
        <is>
          <t>AUTO_GENERERAD. Verifiera citat mot kallfil.</t>
        </is>
      </c>
      <c r="AH376" t="inlineStr">
        <is>
          <t>HIGH</t>
        </is>
      </c>
      <c r="AI376" t="inlineStr">
        <is>
          <t>AUTO</t>
        </is>
      </c>
      <c r="AJ376" t="inlineStr">
        <is>
          <t>Nej</t>
        </is>
      </c>
      <c r="AK376" t="inlineStr"/>
      <c r="AL376" t="inlineStr"/>
      <c r="AM376" t="inlineStr"/>
      <c r="AN376" t="inlineStr"/>
      <c r="AO376" t="inlineStr">
        <is>
          <t>cmm4yuqm603q2cuqw6h2pp8a0</t>
        </is>
      </c>
      <c r="AP376" t="inlineStr">
        <is>
          <t>http://localhost:8787/api/admin/requirements/documents/cmm4yuqm603q2cuqw6h2pp8a0/view</t>
        </is>
      </c>
      <c r="AQ376">
        <f>HYPERLÄNK("http://localhost:8787/api/admin/requirements/documents/cmm4yuqm603q2cuqw6h2pp8a0/view";"Öppna PDF")</f>
        <v/>
      </c>
      <c r="AR376">
        <f>HYPERLINK("http://localhost:8787/api/admin/requirements/documents/cmm4yuqm603q2cuqw6h2pp8a0/view","Open PDF")</f>
        <v/>
      </c>
      <c r="AS376" t="inlineStr">
        <is>
          <t>cmm55w57p0004cuisfrtpqly8</t>
        </is>
      </c>
      <c r="AT376" t="inlineStr">
        <is>
          <t>cmm4xvu980000cuh4vj0usz09</t>
        </is>
      </c>
      <c r="AU376" t="inlineStr">
        <is>
          <t>ämnden beslutar att förelägga Ljusdals</t>
        </is>
      </c>
      <c r="AV376" t="inlineStr">
        <is>
          <t>Kommun</t>
        </is>
      </c>
      <c r="AW376" t="inlineStr">
        <is>
          <t>ämnden beslutar att förelägga Ljusdals kommun</t>
        </is>
      </c>
      <c r="AX376" t="inlineStr">
        <is>
          <t>0651-180</t>
        </is>
      </c>
      <c r="AY376" t="inlineStr">
        <is>
          <t>Beslut</t>
        </is>
      </c>
      <c r="AZ376" t="inlineStr">
        <is>
          <t>2026-02-05</t>
        </is>
      </c>
      <c r="BA376" t="inlineStr">
        <is>
          <t>MFV.2024.202.pdf</t>
        </is>
      </c>
      <c r="BB376" t="inlineStr">
        <is>
          <t>Sv: Skickat till MILJÖ             Extern: till registrator</t>
        </is>
      </c>
      <c r="BC376" t="inlineStr">
        <is>
          <t>AUTO</t>
        </is>
      </c>
      <c r="BD376" t="inlineStr"/>
      <c r="BE376" t="inlineStr"/>
      <c r="BF376" t="inlineStr">
        <is>
          <t>AUTO_GENERERAD. Bekrafta metadata mot kallfil.</t>
        </is>
      </c>
      <c r="BG376">
        <f>HYPERLINK("C:\Users\jimmy\Desktop\Examens arbete\Kod\Ny mapp\remix_-copy-of-miljöbeslut.se-portal\MFV.2024.202.pdf", "Öppna PDF")</f>
        <v/>
      </c>
    </row>
    <row r="377">
      <c r="A377" t="inlineStr">
        <is>
          <t>KRAV-AUTO-000376</t>
        </is>
      </c>
      <c r="B377" t="inlineStr">
        <is>
          <t>ADMIN-INDEX-2026-02-27-00000000125C043F57453246863FE664CAFE6A3F0700950291EA24F0614FB6ACEDB12BF0E31D00000000010C0000950291EA24F0614FB6ACEDB12BF0E31D000073AF24010000</t>
        </is>
      </c>
      <c r="C377" t="inlineStr">
        <is>
          <t>cmm4yurg404ikcuqw3vuicrdg</t>
        </is>
      </c>
      <c r="D377" t="inlineStr">
        <is>
          <t>http://localhost:8787/api/admin/requirements/documents/cmm4yurg404ikcuqw3vuicrdg/view</t>
        </is>
      </c>
      <c r="E377">
        <f>HYPERLÄNK("http://localhost:8787/api/admin/requirements/documents/cmm4yurg404ikcuqw3vuicrdg/view";"Öppna PDF")</f>
        <v/>
      </c>
      <c r="F377">
        <f>HYPERLINK("http://localhost:8787/api/admin/requirements/documents/cmm4yurg404ikcuqw3vuicrdg/view","Open PDF")</f>
        <v/>
      </c>
      <c r="G377" t="inlineStr">
        <is>
          <t>cmm55w57p0004cuisfrtpqly8</t>
        </is>
      </c>
      <c r="H377" t="inlineStr">
        <is>
          <t>Beslutsvillkor</t>
        </is>
      </c>
      <c r="I377" t="inlineStr">
        <is>
          <t>LagringsvolymTid</t>
        </is>
      </c>
      <c r="J377" t="inlineStr">
        <is>
          <t>Maxmangd</t>
        </is>
      </c>
      <c r="K377" t="inlineStr">
        <is>
          <t>Mer än 10 ton men högst 30 000 ton och avfallet ska användas för byggnads- eller anläggningsändamål, eller 2.</t>
        </is>
      </c>
      <c r="L377" t="inlineStr">
        <is>
          <t>Mer än 10 ton men högst 30 000 ton och avfallet ska användas för byggnads- eller anläggningsändamål, eller 2.</t>
        </is>
      </c>
      <c r="M377" t="inlineStr">
        <is>
          <t>SKA</t>
        </is>
      </c>
      <c r="N377" t="inlineStr"/>
      <c r="O377" t="inlineStr"/>
      <c r="P377" t="inlineStr"/>
      <c r="Q377" t="inlineStr"/>
      <c r="R377" t="inlineStr">
        <is>
          <t>Alltid</t>
        </is>
      </c>
      <c r="S377" t="inlineStr"/>
      <c r="T377" t="inlineStr">
        <is>
          <t>556765</t>
        </is>
      </c>
      <c r="U377" t="n">
        <v>10</v>
      </c>
      <c r="V377" t="inlineStr"/>
      <c r="W377" t="inlineStr">
        <is>
          <t>Nej</t>
        </is>
      </c>
      <c r="X377" t="inlineStr">
        <is>
          <t>Nej</t>
        </is>
      </c>
      <c r="Y377" t="inlineStr">
        <is>
          <t>Nej</t>
        </is>
      </c>
      <c r="Z377" t="inlineStr">
        <is>
          <t>Nej</t>
        </is>
      </c>
      <c r="AA377" t="n">
        <v>4</v>
      </c>
      <c r="AB377" t="inlineStr">
        <is>
          <t>Avfallsmangder och lagringstid</t>
        </is>
      </c>
      <c r="AC377" t="inlineStr">
        <is>
          <t>Avfallsforteckning</t>
        </is>
      </c>
      <c r="AD377" t="inlineStr">
        <is>
          <t>Nej</t>
        </is>
      </c>
      <c r="AE377" t="inlineStr">
        <is>
          <t>Nej</t>
        </is>
      </c>
      <c r="AF377" t="inlineStr">
        <is>
          <t>Ej behandlad</t>
        </is>
      </c>
      <c r="AG377" t="inlineStr">
        <is>
          <t>AUTO_GENERERAD. Verifiera citat mot kallfil.</t>
        </is>
      </c>
      <c r="AH377" t="inlineStr">
        <is>
          <t>MEDIUM</t>
        </is>
      </c>
      <c r="AI377" t="inlineStr">
        <is>
          <t>AUTO</t>
        </is>
      </c>
      <c r="AJ377" t="inlineStr">
        <is>
          <t>Nej</t>
        </is>
      </c>
      <c r="AK377" t="inlineStr"/>
      <c r="AL377" t="inlineStr"/>
      <c r="AM377" t="inlineStr"/>
      <c r="AN377" t="inlineStr"/>
      <c r="AO377" t="inlineStr">
        <is>
          <t>cmm4yurgk04j2cuqw5vz3m5i0</t>
        </is>
      </c>
      <c r="AP377" t="inlineStr">
        <is>
          <t>http://localhost:8787/api/admin/requirements/documents/cmm4yurgk04j2cuqw5vz3m5i0/view</t>
        </is>
      </c>
      <c r="AQ377">
        <f>HYPERLÄNK("http://localhost:8787/api/admin/requirements/documents/cmm4yurgk04j2cuqw5vz3m5i0/view";"Öppna PDF")</f>
        <v/>
      </c>
      <c r="AR377">
        <f>HYPERLINK("http://localhost:8787/api/admin/requirements/documents/cmm4yurgk04j2cuqw5vz3m5i0/view","Open PDF")</f>
        <v/>
      </c>
      <c r="AS377" t="inlineStr">
        <is>
          <t>cmm55w57p0004cuisfrtpqly8</t>
        </is>
      </c>
      <c r="AT377" t="inlineStr">
        <is>
          <t>cmm4xvu980000cuh4vj0usz09</t>
        </is>
      </c>
      <c r="AU377" t="inlineStr">
        <is>
          <t>Värnamo</t>
        </is>
      </c>
      <c r="AV377" t="inlineStr">
        <is>
          <t>Kommun</t>
        </is>
      </c>
      <c r="AW377" t="inlineStr">
        <is>
          <t>Värnamo kommun</t>
        </is>
      </c>
      <c r="AX377" t="inlineStr">
        <is>
          <t>2024-12</t>
        </is>
      </c>
      <c r="AY377" t="inlineStr">
        <is>
          <t>Beslut</t>
        </is>
      </c>
      <c r="AZ377" t="inlineStr">
        <is>
          <t>2026-02-13</t>
        </is>
      </c>
      <c r="BA377" t="inlineStr">
        <is>
          <t>TFF bre sit.pdf</t>
        </is>
      </c>
      <c r="BB377" t="inlineStr">
        <is>
          <t>SV: till registrator [2026KC7547]</t>
        </is>
      </c>
      <c r="BC377" t="inlineStr">
        <is>
          <t>AUTO</t>
        </is>
      </c>
      <c r="BD377" t="inlineStr"/>
      <c r="BE377" t="inlineStr"/>
      <c r="BF377" t="inlineStr">
        <is>
          <t>AUTO_GENERERAD. Bekrafta metadata mot kallfil.</t>
        </is>
      </c>
      <c r="BG377">
        <f>HYPERLINK("C:\Users\jimmy\Desktop\Examens arbete\Kod\Ny mapp\remix_-copy-of-miljöbeslut.se-portal\TFF bre sit.pdf", "Öppna PDF")</f>
        <v/>
      </c>
    </row>
    <row r="378">
      <c r="A378" t="inlineStr">
        <is>
          <t>KRAV-AUTO-000377</t>
        </is>
      </c>
      <c r="B378" t="inlineStr">
        <is>
          <t>ADMIN-INDEX-2026-02-27-00000000125C043F57453246863FE664CAFE6A3F0700950291EA24F0614FB6ACEDB12BF0E31D00000000010C0000950291EA24F0614FB6ACEDB12BF0E31D000073AF24010000</t>
        </is>
      </c>
      <c r="C378" t="inlineStr">
        <is>
          <t>cmm4yurg404ikcuqw3vuicrdg</t>
        </is>
      </c>
      <c r="D378" t="inlineStr">
        <is>
          <t>http://localhost:8787/api/admin/requirements/documents/cmm4yurg404ikcuqw3vuicrdg/view</t>
        </is>
      </c>
      <c r="E378">
        <f>HYPERLÄNK("http://localhost:8787/api/admin/requirements/documents/cmm4yurg404ikcuqw3vuicrdg/view";"Öppna PDF")</f>
        <v/>
      </c>
      <c r="F378">
        <f>HYPERLINK("http://localhost:8787/api/admin/requirements/documents/cmm4yurg404ikcuqw3vuicrdg/view","Open PDF")</f>
        <v/>
      </c>
      <c r="G378" t="inlineStr">
        <is>
          <t>cmm55w57p0004cuisfrtpqly8</t>
        </is>
      </c>
      <c r="H378" t="inlineStr">
        <is>
          <t>Beslutsvillkor</t>
        </is>
      </c>
      <c r="I378" t="inlineStr">
        <is>
          <t>LagringsvolymTid</t>
        </is>
      </c>
      <c r="J378" t="inlineStr">
        <is>
          <t>Maxmangd</t>
        </is>
      </c>
      <c r="K378" t="inlineStr">
        <is>
          <t>Det får vara upp till 30 000 ton om avfallet ska användas för byggnads- eller anläggningsändamål och upp till 10 000 ton annat icke farligt avfall i andra fall.</t>
        </is>
      </c>
      <c r="L378" t="inlineStr">
        <is>
          <t>Det får vara upp till 30 000 ton om avfallet ska användas för byggnads- eller anläggningsändamål och upp till 10 000 ton annat icke farligt avfall i andra fall.</t>
        </is>
      </c>
      <c r="M378" t="inlineStr">
        <is>
          <t>SKA</t>
        </is>
      </c>
      <c r="N378" t="inlineStr"/>
      <c r="O378" t="inlineStr"/>
      <c r="P378" t="inlineStr">
        <is>
          <t>Arlig</t>
        </is>
      </c>
      <c r="Q378" t="inlineStr"/>
      <c r="R378" t="inlineStr">
        <is>
          <t>Alltid</t>
        </is>
      </c>
      <c r="S378" t="inlineStr"/>
      <c r="T378" t="inlineStr">
        <is>
          <t>556765</t>
        </is>
      </c>
      <c r="U378" t="n">
        <v>0</v>
      </c>
      <c r="V378" t="inlineStr"/>
      <c r="W378" t="inlineStr">
        <is>
          <t>Nej</t>
        </is>
      </c>
      <c r="X378" t="inlineStr">
        <is>
          <t>Nej</t>
        </is>
      </c>
      <c r="Y378" t="inlineStr">
        <is>
          <t>Nej</t>
        </is>
      </c>
      <c r="Z378" t="inlineStr">
        <is>
          <t>Nej</t>
        </is>
      </c>
      <c r="AA378" t="n">
        <v>4</v>
      </c>
      <c r="AB378" t="inlineStr">
        <is>
          <t>Avfallsmangder och lagringstid</t>
        </is>
      </c>
      <c r="AC378" t="inlineStr">
        <is>
          <t>Avfallsforteckning</t>
        </is>
      </c>
      <c r="AD378" t="inlineStr">
        <is>
          <t>Nej</t>
        </is>
      </c>
      <c r="AE378" t="inlineStr">
        <is>
          <t>Nej</t>
        </is>
      </c>
      <c r="AF378" t="inlineStr">
        <is>
          <t>Ej behandlad</t>
        </is>
      </c>
      <c r="AG378" t="inlineStr">
        <is>
          <t>AUTO_GENERERAD. Verifiera citat mot kallfil.</t>
        </is>
      </c>
      <c r="AH378" t="inlineStr">
        <is>
          <t>MEDIUM</t>
        </is>
      </c>
      <c r="AI378" t="inlineStr">
        <is>
          <t>AUTO</t>
        </is>
      </c>
      <c r="AJ378" t="inlineStr">
        <is>
          <t>Nej</t>
        </is>
      </c>
      <c r="AK378" t="inlineStr"/>
      <c r="AL378" t="inlineStr"/>
      <c r="AM378" t="inlineStr"/>
      <c r="AN378" t="inlineStr"/>
      <c r="AO378" t="inlineStr">
        <is>
          <t>cmm4yurgk04j2cuqw5vz3m5i0</t>
        </is>
      </c>
      <c r="AP378" t="inlineStr">
        <is>
          <t>http://localhost:8787/api/admin/requirements/documents/cmm4yurgk04j2cuqw5vz3m5i0/view</t>
        </is>
      </c>
      <c r="AQ378">
        <f>HYPERLÄNK("http://localhost:8787/api/admin/requirements/documents/cmm4yurgk04j2cuqw5vz3m5i0/view";"Öppna PDF")</f>
        <v/>
      </c>
      <c r="AR378">
        <f>HYPERLINK("http://localhost:8787/api/admin/requirements/documents/cmm4yurgk04j2cuqw5vz3m5i0/view","Open PDF")</f>
        <v/>
      </c>
      <c r="AS378" t="inlineStr">
        <is>
          <t>cmm55w57p0004cuisfrtpqly8</t>
        </is>
      </c>
      <c r="AT378" t="inlineStr">
        <is>
          <t>cmm4xvu980000cuh4vj0usz09</t>
        </is>
      </c>
      <c r="AU378" t="inlineStr">
        <is>
          <t>Värnamo</t>
        </is>
      </c>
      <c r="AV378" t="inlineStr">
        <is>
          <t>Kommun</t>
        </is>
      </c>
      <c r="AW378" t="inlineStr">
        <is>
          <t>Värnamo kommun</t>
        </is>
      </c>
      <c r="AX378" t="inlineStr">
        <is>
          <t>2024-12</t>
        </is>
      </c>
      <c r="AY378" t="inlineStr">
        <is>
          <t>Beslut</t>
        </is>
      </c>
      <c r="AZ378" t="inlineStr">
        <is>
          <t>2026-02-13</t>
        </is>
      </c>
      <c r="BA378" t="inlineStr">
        <is>
          <t>TFF bre sit.pdf</t>
        </is>
      </c>
      <c r="BB378" t="inlineStr">
        <is>
          <t>SV: till registrator [2026KC7547]</t>
        </is>
      </c>
      <c r="BC378" t="inlineStr">
        <is>
          <t>AUTO</t>
        </is>
      </c>
      <c r="BD378" t="inlineStr"/>
      <c r="BE378" t="inlineStr"/>
      <c r="BF378" t="inlineStr">
        <is>
          <t>AUTO_GENERERAD. Bekrafta metadata mot kallfil.</t>
        </is>
      </c>
      <c r="BG378">
        <f>HYPERLINK("C:\Users\jimmy\Desktop\Examens arbete\Kod\Ny mapp\remix_-copy-of-miljöbeslut.se-portal\TFF bre sit.pdf", "Öppna PDF")</f>
        <v/>
      </c>
    </row>
    <row r="379">
      <c r="A379" t="inlineStr">
        <is>
          <t>KRAV-AUTO-000378</t>
        </is>
      </c>
      <c r="B379" t="inlineStr">
        <is>
          <t>ADMIN-INDEX-2026-02-27-00000000125C043F57453246863FE664CAFE6A3F0700950291EA24F0614FB6ACEDB12BF0E31D00000000010C0000950291EA24F0614FB6ACEDB12BF0E31D000073AF24010000</t>
        </is>
      </c>
      <c r="C379" t="inlineStr">
        <is>
          <t>cmm4yurg404ikcuqw3vuicrdg</t>
        </is>
      </c>
      <c r="D379" t="inlineStr">
        <is>
          <t>http://localhost:8787/api/admin/requirements/documents/cmm4yurg404ikcuqw3vuicrdg/view</t>
        </is>
      </c>
      <c r="E379">
        <f>HYPERLÄNK("http://localhost:8787/api/admin/requirements/documents/cmm4yurg404ikcuqw3vuicrdg/view";"Öppna PDF")</f>
        <v/>
      </c>
      <c r="F379">
        <f>HYPERLINK("http://localhost:8787/api/admin/requirements/documents/cmm4yurg404ikcuqw3vuicrdg/view","Open PDF")</f>
        <v/>
      </c>
      <c r="G379" t="inlineStr">
        <is>
          <t>cmm55w57p0004cuisfrtpqly8</t>
        </is>
      </c>
      <c r="H379" t="inlineStr">
        <is>
          <t>Beslutsvillkor</t>
        </is>
      </c>
      <c r="I379" t="inlineStr">
        <is>
          <t>LagringsvolymTid</t>
        </is>
      </c>
      <c r="J379" t="inlineStr">
        <is>
          <t>Maxmangd</t>
        </is>
      </c>
      <c r="K379" t="inlineStr">
        <is>
          <t>Även utleverans av material ska dokumenteras avseende mängd, leveransdatum samt mottagare.</t>
        </is>
      </c>
      <c r="L379" t="inlineStr">
        <is>
          <t>Även utleverans av material ska dokumenteras avseende mängd, leveransdatum samt mottagare.</t>
        </is>
      </c>
      <c r="M379" t="inlineStr">
        <is>
          <t>SKA</t>
        </is>
      </c>
      <c r="N379" t="inlineStr"/>
      <c r="O379" t="inlineStr"/>
      <c r="P379" t="inlineStr"/>
      <c r="Q379" t="inlineStr"/>
      <c r="R379" t="inlineStr">
        <is>
          <t>Alltid</t>
        </is>
      </c>
      <c r="S379" t="inlineStr"/>
      <c r="T379" t="inlineStr">
        <is>
          <t>556765</t>
        </is>
      </c>
      <c r="U379" t="inlineStr"/>
      <c r="V379" t="inlineStr"/>
      <c r="W379" t="inlineStr">
        <is>
          <t>Nej</t>
        </is>
      </c>
      <c r="X379" t="inlineStr">
        <is>
          <t>Nej</t>
        </is>
      </c>
      <c r="Y379" t="inlineStr">
        <is>
          <t>Nej</t>
        </is>
      </c>
      <c r="Z379" t="inlineStr">
        <is>
          <t>Nej</t>
        </is>
      </c>
      <c r="AA379" t="n">
        <v>4</v>
      </c>
      <c r="AB379" t="inlineStr">
        <is>
          <t>Avfallsmangder och lagringstid</t>
        </is>
      </c>
      <c r="AC379" t="inlineStr">
        <is>
          <t>Avfallsforteckning</t>
        </is>
      </c>
      <c r="AD379" t="inlineStr">
        <is>
          <t>Nej</t>
        </is>
      </c>
      <c r="AE379" t="inlineStr">
        <is>
          <t>Nej</t>
        </is>
      </c>
      <c r="AF379" t="inlineStr">
        <is>
          <t>Ej behandlad</t>
        </is>
      </c>
      <c r="AG379" t="inlineStr">
        <is>
          <t>AUTO_GENERERAD. Verifiera citat mot kallfil.</t>
        </is>
      </c>
      <c r="AH379" t="inlineStr">
        <is>
          <t>MEDIUM</t>
        </is>
      </c>
      <c r="AI379" t="inlineStr">
        <is>
          <t>AUTO</t>
        </is>
      </c>
      <c r="AJ379" t="inlineStr">
        <is>
          <t>Nej</t>
        </is>
      </c>
      <c r="AK379" t="inlineStr"/>
      <c r="AL379" t="inlineStr"/>
      <c r="AM379" t="inlineStr"/>
      <c r="AN379" t="inlineStr"/>
      <c r="AO379" t="inlineStr">
        <is>
          <t>cmm4yurgk04j2cuqw5vz3m5i0</t>
        </is>
      </c>
      <c r="AP379" t="inlineStr">
        <is>
          <t>http://localhost:8787/api/admin/requirements/documents/cmm4yurgk04j2cuqw5vz3m5i0/view</t>
        </is>
      </c>
      <c r="AQ379">
        <f>HYPERLÄNK("http://localhost:8787/api/admin/requirements/documents/cmm4yurgk04j2cuqw5vz3m5i0/view";"Öppna PDF")</f>
        <v/>
      </c>
      <c r="AR379">
        <f>HYPERLINK("http://localhost:8787/api/admin/requirements/documents/cmm4yurgk04j2cuqw5vz3m5i0/view","Open PDF")</f>
        <v/>
      </c>
      <c r="AS379" t="inlineStr">
        <is>
          <t>cmm55w57p0004cuisfrtpqly8</t>
        </is>
      </c>
      <c r="AT379" t="inlineStr">
        <is>
          <t>cmm4xvu980000cuh4vj0usz09</t>
        </is>
      </c>
      <c r="AU379" t="inlineStr">
        <is>
          <t>Värnamo</t>
        </is>
      </c>
      <c r="AV379" t="inlineStr">
        <is>
          <t>Kommun</t>
        </is>
      </c>
      <c r="AW379" t="inlineStr">
        <is>
          <t>Värnamo kommun</t>
        </is>
      </c>
      <c r="AX379" t="inlineStr">
        <is>
          <t>2024-12</t>
        </is>
      </c>
      <c r="AY379" t="inlineStr">
        <is>
          <t>Beslut</t>
        </is>
      </c>
      <c r="AZ379" t="inlineStr">
        <is>
          <t>2026-02-13</t>
        </is>
      </c>
      <c r="BA379" t="inlineStr">
        <is>
          <t>TFF bre sit.pdf</t>
        </is>
      </c>
      <c r="BB379" t="inlineStr">
        <is>
          <t>SV: till registrator [2026KC7547]</t>
        </is>
      </c>
      <c r="BC379" t="inlineStr">
        <is>
          <t>AUTO</t>
        </is>
      </c>
      <c r="BD379" t="inlineStr"/>
      <c r="BE379" t="inlineStr"/>
      <c r="BF379" t="inlineStr">
        <is>
          <t>AUTO_GENERERAD. Bekrafta metadata mot kallfil.</t>
        </is>
      </c>
      <c r="BG379">
        <f>HYPERLINK("C:\Users\jimmy\Desktop\Examens arbete\Kod\Ny mapp\remix_-copy-of-miljöbeslut.se-portal\TFF bre sit.pdf", "Öppna PDF")</f>
        <v/>
      </c>
    </row>
    <row r="380">
      <c r="A380" t="inlineStr">
        <is>
          <t>KRAV-AUTO-000379</t>
        </is>
      </c>
      <c r="B380" t="inlineStr">
        <is>
          <t>ADMIN-INDEX-2026-02-27-00000000125C043F57453246863FE664CAFE6A3F0700950291EA24F0614FB6ACEDB12BF0E31D00000000010C0000950291EA24F0614FB6ACEDB12BF0E31D000073AF24010000</t>
        </is>
      </c>
      <c r="C380" t="inlineStr">
        <is>
          <t>cmm4yurfv04ibcuqw16arjc1p</t>
        </is>
      </c>
      <c r="D380" t="inlineStr">
        <is>
          <t>http://localhost:8787/api/admin/requirements/documents/cmm4yurfv04ibcuqw16arjc1p/view</t>
        </is>
      </c>
      <c r="E380">
        <f>HYPERLÄNK("http://localhost:8787/api/admin/requirements/documents/cmm4yurfv04ibcuqw16arjc1p/view";"Öppna PDF")</f>
        <v/>
      </c>
      <c r="F380">
        <f>HYPERLINK("http://localhost:8787/api/admin/requirements/documents/cmm4yurfv04ibcuqw16arjc1p/view","Open PDF")</f>
        <v/>
      </c>
      <c r="G380" t="inlineStr">
        <is>
          <t>cmm55w57p0004cuisfrtpqly8</t>
        </is>
      </c>
      <c r="H380" t="inlineStr">
        <is>
          <t>Beslutsvillkor</t>
        </is>
      </c>
      <c r="I380" t="inlineStr">
        <is>
          <t>LagringsvolymTid</t>
        </is>
      </c>
      <c r="J380" t="inlineStr">
        <is>
          <t>Maxmangd</t>
        </is>
      </c>
      <c r="K380" t="inlineStr">
        <is>
          <t>om mängden vid något tillfälle är mer än 10 ton men högst 30 000 ton och avfallet ska användas för byggnads- och anläggningsändamål eller ✔ 2.</t>
        </is>
      </c>
      <c r="L380" t="inlineStr">
        <is>
          <t>om mängden vid något tillfälle är mer än 10 ton men högst 30 000 ton och avfallet ska användas för byggnads- och anläggningsändamål eller ✔ 2.</t>
        </is>
      </c>
      <c r="M380" t="inlineStr">
        <is>
          <t>SKA</t>
        </is>
      </c>
      <c r="N380" t="inlineStr"/>
      <c r="O380" t="inlineStr"/>
      <c r="P380" t="inlineStr"/>
      <c r="Q380" t="inlineStr"/>
      <c r="R380" t="inlineStr">
        <is>
          <t>Alltid</t>
        </is>
      </c>
      <c r="S380" t="inlineStr"/>
      <c r="T380" t="inlineStr">
        <is>
          <t>17 03 02</t>
        </is>
      </c>
      <c r="U380" t="n">
        <v>10</v>
      </c>
      <c r="V380" t="inlineStr"/>
      <c r="W380" t="inlineStr">
        <is>
          <t>Nej</t>
        </is>
      </c>
      <c r="X380" t="inlineStr">
        <is>
          <t>Nej</t>
        </is>
      </c>
      <c r="Y380" t="inlineStr">
        <is>
          <t>Nej</t>
        </is>
      </c>
      <c r="Z380" t="inlineStr">
        <is>
          <t>Nej</t>
        </is>
      </c>
      <c r="AA380" t="n">
        <v>4</v>
      </c>
      <c r="AB380" t="inlineStr">
        <is>
          <t>Avfallsmangder och lagringstid</t>
        </is>
      </c>
      <c r="AC380" t="inlineStr">
        <is>
          <t>Avfallsforteckning</t>
        </is>
      </c>
      <c r="AD380" t="inlineStr">
        <is>
          <t>Nej</t>
        </is>
      </c>
      <c r="AE380" t="inlineStr">
        <is>
          <t>Nej</t>
        </is>
      </c>
      <c r="AF380" t="inlineStr">
        <is>
          <t>Ej behandlad</t>
        </is>
      </c>
      <c r="AG380" t="inlineStr">
        <is>
          <t>AUTO_GENERERAD. Verifiera citat mot kallfil.</t>
        </is>
      </c>
      <c r="AH380" t="inlineStr">
        <is>
          <t>MEDIUM</t>
        </is>
      </c>
      <c r="AI380" t="inlineStr">
        <is>
          <t>AUTO</t>
        </is>
      </c>
      <c r="AJ380" t="inlineStr">
        <is>
          <t>Nej</t>
        </is>
      </c>
      <c r="AK380" t="inlineStr"/>
      <c r="AL380" t="inlineStr"/>
      <c r="AM380" t="inlineStr"/>
      <c r="AN380" t="inlineStr"/>
      <c r="AO380" t="inlineStr">
        <is>
          <t>cmm4yurgk04j2cuqw5vz3m5i0</t>
        </is>
      </c>
      <c r="AP380" t="inlineStr">
        <is>
          <t>http://localhost:8787/api/admin/requirements/documents/cmm4yurgk04j2cuqw5vz3m5i0/view</t>
        </is>
      </c>
      <c r="AQ380">
        <f>HYPERLÄNK("http://localhost:8787/api/admin/requirements/documents/cmm4yurgk04j2cuqw5vz3m5i0/view";"Öppna PDF")</f>
        <v/>
      </c>
      <c r="AR380">
        <f>HYPERLINK("http://localhost:8787/api/admin/requirements/documents/cmm4yurgk04j2cuqw5vz3m5i0/view","Open PDF")</f>
        <v/>
      </c>
      <c r="AS380" t="inlineStr">
        <is>
          <t>cmm55w57p0004cuisfrtpqly8</t>
        </is>
      </c>
      <c r="AT380" t="inlineStr">
        <is>
          <t>cmm4xvu980000cuh4vj0usz09</t>
        </is>
      </c>
      <c r="AU380" t="inlineStr">
        <is>
          <t>Värnamo</t>
        </is>
      </c>
      <c r="AV380" t="inlineStr">
        <is>
          <t>Kommun</t>
        </is>
      </c>
      <c r="AW380" t="inlineStr">
        <is>
          <t>Värnamo kommun</t>
        </is>
      </c>
      <c r="AX380" t="inlineStr">
        <is>
          <t>2024-12</t>
        </is>
      </c>
      <c r="AY380" t="inlineStr">
        <is>
          <t>Beslut</t>
        </is>
      </c>
      <c r="AZ380" t="inlineStr">
        <is>
          <t>2026-02-13</t>
        </is>
      </c>
      <c r="BA380" t="inlineStr">
        <is>
          <t>TFF bre sit.pdf</t>
        </is>
      </c>
      <c r="BB380" t="inlineStr">
        <is>
          <t>SV: till registrator [2026KC7547]</t>
        </is>
      </c>
      <c r="BC380" t="inlineStr">
        <is>
          <t>AUTO</t>
        </is>
      </c>
      <c r="BD380" t="inlineStr"/>
      <c r="BE380" t="inlineStr"/>
      <c r="BF380" t="inlineStr">
        <is>
          <t>AUTO_GENERERAD. Bekrafta metadata mot kallfil.</t>
        </is>
      </c>
      <c r="BG380">
        <f>HYPERLINK("C:\Users\jimmy\Desktop\Examens arbete\Kod\Ny mapp\remix_-copy-of-miljöbeslut.se-portal\TFF bre sit.pdf", "Öppna PDF")</f>
        <v/>
      </c>
    </row>
    <row r="381">
      <c r="A381" t="inlineStr">
        <is>
          <t>KRAV-AUTO-000380</t>
        </is>
      </c>
      <c r="B381" t="inlineStr">
        <is>
          <t>ADMIN-INDEX-2026-02-27-00000000125C043F57453246863FE664CAFE6A3F0700950291EA24F0614FB6ACEDB12BF0E31D00000000010C0000950291EA24F0614FB6ACEDB12BF0E31D00002087ADEB0000</t>
        </is>
      </c>
      <c r="C381" t="inlineStr">
        <is>
          <t>cmm4yuqlm03pkcuqwjxh8oxe1</t>
        </is>
      </c>
      <c r="D381" t="inlineStr">
        <is>
          <t>http://localhost:8787/api/admin/requirements/documents/cmm4yuqlm03pkcuqwjxh8oxe1/view</t>
        </is>
      </c>
      <c r="E381">
        <f>HYPERLÄNK("http://localhost:8787/api/admin/requirements/documents/cmm4yuqlm03pkcuqwjxh8oxe1/view";"Öppna PDF")</f>
        <v/>
      </c>
      <c r="F381">
        <f>HYPERLINK("http://localhost:8787/api/admin/requirements/documents/cmm4yuqlm03pkcuqwjxh8oxe1/view","Open PDF")</f>
        <v/>
      </c>
      <c r="G381" t="inlineStr">
        <is>
          <t>cmm55w57p0004cuisfrtpqly8</t>
        </is>
      </c>
      <c r="H381" t="inlineStr">
        <is>
          <t>Beslutsvillkor</t>
        </is>
      </c>
      <c r="I381" t="inlineStr">
        <is>
          <t>DagvattenLakvatten</t>
        </is>
      </c>
      <c r="J381" t="inlineStr">
        <is>
          <t>Uppsamling</t>
        </is>
      </c>
      <c r="K381" t="inlineStr">
        <is>
          <t>- Arbetsmaskiner ska vara försedda med spillplåt för uppsamling av ev.</t>
        </is>
      </c>
      <c r="L381" t="inlineStr">
        <is>
          <t>- Arbetsmaskiner ska vara försedda med spillplåt för uppsamling av ev.</t>
        </is>
      </c>
      <c r="M381" t="inlineStr">
        <is>
          <t>SKA</t>
        </is>
      </c>
      <c r="N381" t="inlineStr"/>
      <c r="O381" t="inlineStr"/>
      <c r="P381" t="inlineStr"/>
      <c r="Q381" t="inlineStr"/>
      <c r="R381" t="inlineStr">
        <is>
          <t>Vid nederbord och avrinning</t>
        </is>
      </c>
      <c r="S381" t="inlineStr"/>
      <c r="T381" t="inlineStr">
        <is>
          <t>40 2024</t>
        </is>
      </c>
      <c r="U381" t="inlineStr"/>
      <c r="V381" t="inlineStr"/>
      <c r="W381" t="inlineStr">
        <is>
          <t>Nej</t>
        </is>
      </c>
      <c r="X381" t="inlineStr">
        <is>
          <t>Ja</t>
        </is>
      </c>
      <c r="Y381" t="inlineStr">
        <is>
          <t>Ja</t>
        </is>
      </c>
      <c r="Z381" t="inlineStr">
        <is>
          <t>Nej</t>
        </is>
      </c>
      <c r="AA381" t="n">
        <v>6</v>
      </c>
      <c r="AB381" t="inlineStr">
        <is>
          <t>Lakvattenhantering</t>
        </is>
      </c>
      <c r="AC381" t="inlineStr">
        <is>
          <t>Flodesschema dagvatten-lakvatten</t>
        </is>
      </c>
      <c r="AD381" t="inlineStr">
        <is>
          <t>Nej</t>
        </is>
      </c>
      <c r="AE381" t="inlineStr">
        <is>
          <t>Nej</t>
        </is>
      </c>
      <c r="AF381" t="inlineStr">
        <is>
          <t>Ej behandlad</t>
        </is>
      </c>
      <c r="AG381" t="inlineStr">
        <is>
          <t>AUTO_GENERERAD. Verifiera citat mot kallfil.</t>
        </is>
      </c>
      <c r="AH381" t="inlineStr">
        <is>
          <t>MEDIUM</t>
        </is>
      </c>
      <c r="AI381" t="inlineStr">
        <is>
          <t>AUTO</t>
        </is>
      </c>
      <c r="AJ381" t="inlineStr">
        <is>
          <t>Nej</t>
        </is>
      </c>
      <c r="AK381" t="inlineStr"/>
      <c r="AL381" t="inlineStr"/>
      <c r="AM381" t="inlineStr"/>
      <c r="AN381" t="inlineStr"/>
      <c r="AO381" t="inlineStr">
        <is>
          <t>cmm4yuqlm03pkcuqwjxh8oxe1</t>
        </is>
      </c>
      <c r="AP381" t="inlineStr">
        <is>
          <t>http://localhost:8787/api/admin/requirements/documents/cmm4yuqlm03pkcuqwjxh8oxe1/view</t>
        </is>
      </c>
      <c r="AQ381">
        <f>HYPERLÄNK("http://localhost:8787/api/admin/requirements/documents/cmm4yuqlm03pkcuqwjxh8oxe1/view";"Öppna PDF")</f>
        <v/>
      </c>
      <c r="AR381">
        <f>HYPERLINK("http://localhost:8787/api/admin/requirements/documents/cmm4yuqlm03pkcuqwjxh8oxe1/view","Open PDF")</f>
        <v/>
      </c>
      <c r="AS381" t="inlineStr">
        <is>
          <t>cmm55w57p0004cuisfrtpqly8</t>
        </is>
      </c>
      <c r="AT381" t="inlineStr">
        <is>
          <t>cmm4xvu980000cuh4vj0usz09</t>
        </is>
      </c>
      <c r="AU381" t="inlineStr">
        <is>
          <t>Norsjö</t>
        </is>
      </c>
      <c r="AV381" t="inlineStr">
        <is>
          <t>Kommun</t>
        </is>
      </c>
      <c r="AW381" t="inlineStr">
        <is>
          <t>Norsjö kommun</t>
        </is>
      </c>
      <c r="AX381" t="inlineStr">
        <is>
          <t>2024-05</t>
        </is>
      </c>
      <c r="AY381" t="inlineStr">
        <is>
          <t>Beslut</t>
        </is>
      </c>
      <c r="AZ381" t="inlineStr">
        <is>
          <t>2026-02-05</t>
        </is>
      </c>
      <c r="BA381" t="inlineStr">
        <is>
          <t>MBN-2024-178_1377_001_2024-04-12.pdf</t>
        </is>
      </c>
      <c r="BB381" t="inlineStr">
        <is>
          <t>Begäran om allmänna handlingar</t>
        </is>
      </c>
      <c r="BC381" t="inlineStr">
        <is>
          <t>AUTO</t>
        </is>
      </c>
      <c r="BD381" t="inlineStr"/>
      <c r="BE381" t="inlineStr"/>
      <c r="BF381" t="inlineStr">
        <is>
          <t>AUTO_GENERERAD. Bekrafta metadata mot kallfil.</t>
        </is>
      </c>
      <c r="BG381">
        <f>HYPERLINK("C:\Users\jimmy\Desktop\Examens arbete\Kod\Ny mapp\remix_-copy-of-miljöbeslut.se-portal\MBN-2024-178_1377_001_2024-04-12.pdf", "Öppna PDF")</f>
        <v/>
      </c>
    </row>
    <row r="382">
      <c r="A382" t="inlineStr">
        <is>
          <t>KRAV-AUTO-000381</t>
        </is>
      </c>
      <c r="B382" t="inlineStr">
        <is>
          <t>ADMIN-INDEX-2026-02-27-00000000125C043F57453246863FE664CAFE6A3F0700950291EA24F0614FB6ACEDB12BF0E31D00000000010C0000950291EA24F0614FB6ACEDB12BF0E31D00002087ADEB0000</t>
        </is>
      </c>
      <c r="C382" t="inlineStr">
        <is>
          <t>cmm4yuqlm03pkcuqwjxh8oxe1</t>
        </is>
      </c>
      <c r="D382" t="inlineStr">
        <is>
          <t>http://localhost:8787/api/admin/requirements/documents/cmm4yuqlm03pkcuqwjxh8oxe1/view</t>
        </is>
      </c>
      <c r="E382">
        <f>HYPERLÄNK("http://localhost:8787/api/admin/requirements/documents/cmm4yuqlm03pkcuqwjxh8oxe1/view";"Öppna PDF")</f>
        <v/>
      </c>
      <c r="F382">
        <f>HYPERLINK("http://localhost:8787/api/admin/requirements/documents/cmm4yuqlm03pkcuqwjxh8oxe1/view","Open PDF")</f>
        <v/>
      </c>
      <c r="G382" t="inlineStr">
        <is>
          <t>cmm55w57p0004cuisfrtpqly8</t>
        </is>
      </c>
      <c r="H382" t="inlineStr">
        <is>
          <t>Beslutsvillkor</t>
        </is>
      </c>
      <c r="I382" t="inlineStr">
        <is>
          <t>LagringsvolymTid</t>
        </is>
      </c>
      <c r="J382" t="inlineStr">
        <is>
          <t>Maxmangd</t>
        </is>
      </c>
      <c r="K382" t="inlineStr">
        <is>
          <t>Volymen material som ska krossas/sorteras uppgår till ca 3000 ton IFA klassade överskottsmassor.</t>
        </is>
      </c>
      <c r="L382" t="inlineStr">
        <is>
          <t>Volymen material som ska krossas/sorteras uppgår till ca 3000 ton IFA klassade överskottsmassor.</t>
        </is>
      </c>
      <c r="M382" t="inlineStr">
        <is>
          <t>SKA</t>
        </is>
      </c>
      <c r="N382" t="inlineStr"/>
      <c r="O382" t="inlineStr"/>
      <c r="P382" t="inlineStr"/>
      <c r="Q382" t="inlineStr"/>
      <c r="R382" t="inlineStr">
        <is>
          <t>Alltid</t>
        </is>
      </c>
      <c r="S382" t="inlineStr"/>
      <c r="T382" t="inlineStr">
        <is>
          <t>40 2024</t>
        </is>
      </c>
      <c r="U382" t="n">
        <v>3000</v>
      </c>
      <c r="V382" t="inlineStr"/>
      <c r="W382" t="inlineStr">
        <is>
          <t>Nej</t>
        </is>
      </c>
      <c r="X382" t="inlineStr">
        <is>
          <t>Nej</t>
        </is>
      </c>
      <c r="Y382" t="inlineStr">
        <is>
          <t>Nej</t>
        </is>
      </c>
      <c r="Z382" t="inlineStr">
        <is>
          <t>Nej</t>
        </is>
      </c>
      <c r="AA382" t="n">
        <v>4</v>
      </c>
      <c r="AB382" t="inlineStr">
        <is>
          <t>Avfallsmangder och lagringstid</t>
        </is>
      </c>
      <c r="AC382" t="inlineStr">
        <is>
          <t>Avfallsforteckning</t>
        </is>
      </c>
      <c r="AD382" t="inlineStr">
        <is>
          <t>Nej</t>
        </is>
      </c>
      <c r="AE382" t="inlineStr">
        <is>
          <t>Nej</t>
        </is>
      </c>
      <c r="AF382" t="inlineStr">
        <is>
          <t>Ej behandlad</t>
        </is>
      </c>
      <c r="AG382" t="inlineStr">
        <is>
          <t>AUTO_GENERERAD. Verifiera citat mot kallfil.</t>
        </is>
      </c>
      <c r="AH382" t="inlineStr">
        <is>
          <t>MEDIUM</t>
        </is>
      </c>
      <c r="AI382" t="inlineStr">
        <is>
          <t>AUTO</t>
        </is>
      </c>
      <c r="AJ382" t="inlineStr">
        <is>
          <t>Nej</t>
        </is>
      </c>
      <c r="AK382" t="inlineStr"/>
      <c r="AL382" t="inlineStr"/>
      <c r="AM382" t="inlineStr"/>
      <c r="AN382" t="inlineStr"/>
      <c r="AO382" t="inlineStr">
        <is>
          <t>cmm4yuqlm03pkcuqwjxh8oxe1</t>
        </is>
      </c>
      <c r="AP382" t="inlineStr">
        <is>
          <t>http://localhost:8787/api/admin/requirements/documents/cmm4yuqlm03pkcuqwjxh8oxe1/view</t>
        </is>
      </c>
      <c r="AQ382">
        <f>HYPERLÄNK("http://localhost:8787/api/admin/requirements/documents/cmm4yuqlm03pkcuqwjxh8oxe1/view";"Öppna PDF")</f>
        <v/>
      </c>
      <c r="AR382">
        <f>HYPERLINK("http://localhost:8787/api/admin/requirements/documents/cmm4yuqlm03pkcuqwjxh8oxe1/view","Open PDF")</f>
        <v/>
      </c>
      <c r="AS382" t="inlineStr">
        <is>
          <t>cmm55w57p0004cuisfrtpqly8</t>
        </is>
      </c>
      <c r="AT382" t="inlineStr">
        <is>
          <t>cmm4xvu980000cuh4vj0usz09</t>
        </is>
      </c>
      <c r="AU382" t="inlineStr">
        <is>
          <t>Norsjö</t>
        </is>
      </c>
      <c r="AV382" t="inlineStr">
        <is>
          <t>Kommun</t>
        </is>
      </c>
      <c r="AW382" t="inlineStr">
        <is>
          <t>Norsjö kommun</t>
        </is>
      </c>
      <c r="AX382" t="inlineStr">
        <is>
          <t>2024-05</t>
        </is>
      </c>
      <c r="AY382" t="inlineStr">
        <is>
          <t>Beslut</t>
        </is>
      </c>
      <c r="AZ382" t="inlineStr">
        <is>
          <t>2026-02-05</t>
        </is>
      </c>
      <c r="BA382" t="inlineStr">
        <is>
          <t>MBN-2024-178_1377_001_2024-04-12.pdf</t>
        </is>
      </c>
      <c r="BB382" t="inlineStr">
        <is>
          <t>Begäran om allmänna handlingar</t>
        </is>
      </c>
      <c r="BC382" t="inlineStr">
        <is>
          <t>AUTO</t>
        </is>
      </c>
      <c r="BD382" t="inlineStr"/>
      <c r="BE382" t="inlineStr"/>
      <c r="BF382" t="inlineStr">
        <is>
          <t>AUTO_GENERERAD. Bekrafta metadata mot kallfil.</t>
        </is>
      </c>
      <c r="BG382">
        <f>HYPERLINK("C:\Users\jimmy\Desktop\Examens arbete\Kod\Ny mapp\remix_-copy-of-miljöbeslut.se-portal\MBN-2024-178_1377_001_2024-04-12.pdf", "Öppna PDF")</f>
        <v/>
      </c>
    </row>
    <row r="383">
      <c r="A383" t="inlineStr">
        <is>
          <t>KRAV-AUTO-000382</t>
        </is>
      </c>
      <c r="B383" t="inlineStr">
        <is>
          <t>ADMIN-INDEX-2026-02-27-00000000125C043F57453246863FE664CAFE6A3F0700950291EA24F0614FB6ACEDB12BF0E31D00000000010C0000950291EA24F0614FB6ACEDB12BF0E31D00002087ADEC0000</t>
        </is>
      </c>
      <c r="C383" t="inlineStr">
        <is>
          <t>cmm4yuql503p2cuqwh5xr4lq2</t>
        </is>
      </c>
      <c r="D383" t="inlineStr">
        <is>
          <t>http://localhost:8787/api/admin/requirements/documents/cmm4yuql503p2cuqwh5xr4lq2/view</t>
        </is>
      </c>
      <c r="E383">
        <f>HYPERLÄNK("http://localhost:8787/api/admin/requirements/documents/cmm4yuql503p2cuqwh5xr4lq2/view";"Öppna PDF")</f>
        <v/>
      </c>
      <c r="F383">
        <f>HYPERLINK("http://localhost:8787/api/admin/requirements/documents/cmm4yuql503p2cuqwh5xr4lq2/view","Open PDF")</f>
        <v/>
      </c>
      <c r="G383" t="inlineStr">
        <is>
          <t>cmm55w57p0004cuisfrtpqly8</t>
        </is>
      </c>
      <c r="H383" t="inlineStr">
        <is>
          <t>Beslutsvillkor</t>
        </is>
      </c>
      <c r="I383" t="inlineStr">
        <is>
          <t>DagvattenLakvatten</t>
        </is>
      </c>
      <c r="J383" t="inlineStr">
        <is>
          <t>Uppsamling</t>
        </is>
      </c>
      <c r="K383" t="inlineStr">
        <is>
          <t>- Arbetsmaskiner ska vara försedda med spillplåt för uppsamling av ev.</t>
        </is>
      </c>
      <c r="L383" t="inlineStr">
        <is>
          <t>- Arbetsmaskiner ska vara försedda med spillplåt för uppsamling av ev.</t>
        </is>
      </c>
      <c r="M383" t="inlineStr">
        <is>
          <t>SKA</t>
        </is>
      </c>
      <c r="N383" t="inlineStr"/>
      <c r="O383" t="inlineStr"/>
      <c r="P383" t="inlineStr"/>
      <c r="Q383" t="inlineStr"/>
      <c r="R383" t="inlineStr">
        <is>
          <t>Vid nederbord och avrinning</t>
        </is>
      </c>
      <c r="S383" t="inlineStr"/>
      <c r="T383" t="inlineStr">
        <is>
          <t>40 2024</t>
        </is>
      </c>
      <c r="U383" t="inlineStr"/>
      <c r="V383" t="inlineStr"/>
      <c r="W383" t="inlineStr">
        <is>
          <t>Nej</t>
        </is>
      </c>
      <c r="X383" t="inlineStr">
        <is>
          <t>Ja</t>
        </is>
      </c>
      <c r="Y383" t="inlineStr">
        <is>
          <t>Ja</t>
        </is>
      </c>
      <c r="Z383" t="inlineStr">
        <is>
          <t>Nej</t>
        </is>
      </c>
      <c r="AA383" t="n">
        <v>6</v>
      </c>
      <c r="AB383" t="inlineStr">
        <is>
          <t>Lakvattenhantering</t>
        </is>
      </c>
      <c r="AC383" t="inlineStr">
        <is>
          <t>Flodesschema dagvatten-lakvatten</t>
        </is>
      </c>
      <c r="AD383" t="inlineStr">
        <is>
          <t>Nej</t>
        </is>
      </c>
      <c r="AE383" t="inlineStr">
        <is>
          <t>Nej</t>
        </is>
      </c>
      <c r="AF383" t="inlineStr">
        <is>
          <t>Ej behandlad</t>
        </is>
      </c>
      <c r="AG383" t="inlineStr">
        <is>
          <t>AUTO_GENERERAD. Verifiera citat mot kallfil.</t>
        </is>
      </c>
      <c r="AH383" t="inlineStr">
        <is>
          <t>MEDIUM</t>
        </is>
      </c>
      <c r="AI383" t="inlineStr">
        <is>
          <t>AUTO</t>
        </is>
      </c>
      <c r="AJ383" t="inlineStr">
        <is>
          <t>Nej</t>
        </is>
      </c>
      <c r="AK383" t="inlineStr"/>
      <c r="AL383" t="inlineStr"/>
      <c r="AM383" t="inlineStr"/>
      <c r="AN383" t="inlineStr"/>
      <c r="AO383" t="inlineStr">
        <is>
          <t>cmm4yuql503p2cuqwh5xr4lq2</t>
        </is>
      </c>
      <c r="AP383" t="inlineStr">
        <is>
          <t>http://localhost:8787/api/admin/requirements/documents/cmm4yuql503p2cuqwh5xr4lq2/view</t>
        </is>
      </c>
      <c r="AQ383">
        <f>HYPERLÄNK("http://localhost:8787/api/admin/requirements/documents/cmm4yuql503p2cuqwh5xr4lq2/view";"Öppna PDF")</f>
        <v/>
      </c>
      <c r="AR383">
        <f>HYPERLINK("http://localhost:8787/api/admin/requirements/documents/cmm4yuql503p2cuqwh5xr4lq2/view","Open PDF")</f>
        <v/>
      </c>
      <c r="AS383" t="inlineStr">
        <is>
          <t>cmm55w57p0004cuisfrtpqly8</t>
        </is>
      </c>
      <c r="AT383" t="inlineStr">
        <is>
          <t>cmm4xvu980000cuh4vj0usz09</t>
        </is>
      </c>
      <c r="AU383" t="inlineStr">
        <is>
          <t>Norsjö</t>
        </is>
      </c>
      <c r="AV383" t="inlineStr">
        <is>
          <t>Kommun</t>
        </is>
      </c>
      <c r="AW383" t="inlineStr">
        <is>
          <t>Norsjö kommun</t>
        </is>
      </c>
      <c r="AX383" t="inlineStr">
        <is>
          <t>2024-05</t>
        </is>
      </c>
      <c r="AY383" t="inlineStr">
        <is>
          <t>Beslut</t>
        </is>
      </c>
      <c r="AZ383" t="inlineStr">
        <is>
          <t>2026-02-05</t>
        </is>
      </c>
      <c r="BA383" t="inlineStr">
        <is>
          <t>MBN-2024-178_1377_001_2024-04-12.pdf</t>
        </is>
      </c>
      <c r="BB383" t="inlineStr">
        <is>
          <t>Begäran om allmänna handlingar</t>
        </is>
      </c>
      <c r="BC383" t="inlineStr">
        <is>
          <t>AUTO</t>
        </is>
      </c>
      <c r="BD383" t="inlineStr"/>
      <c r="BE383" t="inlineStr"/>
      <c r="BF383" t="inlineStr">
        <is>
          <t>AUTO_GENERERAD. Bekrafta metadata mot kallfil.</t>
        </is>
      </c>
      <c r="BG383">
        <f>HYPERLINK("C:\Users\jimmy\Desktop\Examens arbete\Kod\Ny mapp\remix_-copy-of-miljöbeslut.se-portal\MBN-2024-178_1377_001_2024-04-12.pdf", "Öppna PDF")</f>
        <v/>
      </c>
    </row>
    <row r="384">
      <c r="A384" t="inlineStr">
        <is>
          <t>KRAV-AUTO-000383</t>
        </is>
      </c>
      <c r="B384" t="inlineStr">
        <is>
          <t>ADMIN-INDEX-2026-02-27-00000000125C043F57453246863FE664CAFE6A3F0700950291EA24F0614FB6ACEDB12BF0E31D00000000010C0000950291EA24F0614FB6ACEDB12BF0E31D00002087ADEC0000</t>
        </is>
      </c>
      <c r="C384" t="inlineStr">
        <is>
          <t>cmm4yuql503p2cuqwh5xr4lq2</t>
        </is>
      </c>
      <c r="D384" t="inlineStr">
        <is>
          <t>http://localhost:8787/api/admin/requirements/documents/cmm4yuql503p2cuqwh5xr4lq2/view</t>
        </is>
      </c>
      <c r="E384">
        <f>HYPERLÄNK("http://localhost:8787/api/admin/requirements/documents/cmm4yuql503p2cuqwh5xr4lq2/view";"Öppna PDF")</f>
        <v/>
      </c>
      <c r="F384">
        <f>HYPERLINK("http://localhost:8787/api/admin/requirements/documents/cmm4yuql503p2cuqwh5xr4lq2/view","Open PDF")</f>
        <v/>
      </c>
      <c r="G384" t="inlineStr">
        <is>
          <t>cmm55w57p0004cuisfrtpqly8</t>
        </is>
      </c>
      <c r="H384" t="inlineStr">
        <is>
          <t>Beslutsvillkor</t>
        </is>
      </c>
      <c r="I384" t="inlineStr">
        <is>
          <t>LagringsvolymTid</t>
        </is>
      </c>
      <c r="J384" t="inlineStr">
        <is>
          <t>Maxmangd</t>
        </is>
      </c>
      <c r="K384" t="inlineStr">
        <is>
          <t>Volymen material som ska krossas/sorteras uppgår till ca 3000 ton IFA klassade överskottsmassor.</t>
        </is>
      </c>
      <c r="L384" t="inlineStr">
        <is>
          <t>Volymen material som ska krossas/sorteras uppgår till ca 3000 ton IFA klassade överskottsmassor.</t>
        </is>
      </c>
      <c r="M384" t="inlineStr">
        <is>
          <t>SKA</t>
        </is>
      </c>
      <c r="N384" t="inlineStr"/>
      <c r="O384" t="inlineStr"/>
      <c r="P384" t="inlineStr"/>
      <c r="Q384" t="inlineStr"/>
      <c r="R384" t="inlineStr">
        <is>
          <t>Alltid</t>
        </is>
      </c>
      <c r="S384" t="inlineStr"/>
      <c r="T384" t="inlineStr">
        <is>
          <t>40 2024</t>
        </is>
      </c>
      <c r="U384" t="n">
        <v>3000</v>
      </c>
      <c r="V384" t="inlineStr"/>
      <c r="W384" t="inlineStr">
        <is>
          <t>Nej</t>
        </is>
      </c>
      <c r="X384" t="inlineStr">
        <is>
          <t>Nej</t>
        </is>
      </c>
      <c r="Y384" t="inlineStr">
        <is>
          <t>Nej</t>
        </is>
      </c>
      <c r="Z384" t="inlineStr">
        <is>
          <t>Nej</t>
        </is>
      </c>
      <c r="AA384" t="n">
        <v>4</v>
      </c>
      <c r="AB384" t="inlineStr">
        <is>
          <t>Avfallsmangder och lagringstid</t>
        </is>
      </c>
      <c r="AC384" t="inlineStr">
        <is>
          <t>Avfallsforteckning</t>
        </is>
      </c>
      <c r="AD384" t="inlineStr">
        <is>
          <t>Nej</t>
        </is>
      </c>
      <c r="AE384" t="inlineStr">
        <is>
          <t>Nej</t>
        </is>
      </c>
      <c r="AF384" t="inlineStr">
        <is>
          <t>Ej behandlad</t>
        </is>
      </c>
      <c r="AG384" t="inlineStr">
        <is>
          <t>AUTO_GENERERAD. Verifiera citat mot kallfil.</t>
        </is>
      </c>
      <c r="AH384" t="inlineStr">
        <is>
          <t>MEDIUM</t>
        </is>
      </c>
      <c r="AI384" t="inlineStr">
        <is>
          <t>AUTO</t>
        </is>
      </c>
      <c r="AJ384" t="inlineStr">
        <is>
          <t>Nej</t>
        </is>
      </c>
      <c r="AK384" t="inlineStr"/>
      <c r="AL384" t="inlineStr"/>
      <c r="AM384" t="inlineStr"/>
      <c r="AN384" t="inlineStr"/>
      <c r="AO384" t="inlineStr">
        <is>
          <t>cmm4yuql503p2cuqwh5xr4lq2</t>
        </is>
      </c>
      <c r="AP384" t="inlineStr">
        <is>
          <t>http://localhost:8787/api/admin/requirements/documents/cmm4yuql503p2cuqwh5xr4lq2/view</t>
        </is>
      </c>
      <c r="AQ384">
        <f>HYPERLÄNK("http://localhost:8787/api/admin/requirements/documents/cmm4yuql503p2cuqwh5xr4lq2/view";"Öppna PDF")</f>
        <v/>
      </c>
      <c r="AR384">
        <f>HYPERLINK("http://localhost:8787/api/admin/requirements/documents/cmm4yuql503p2cuqwh5xr4lq2/view","Open PDF")</f>
        <v/>
      </c>
      <c r="AS384" t="inlineStr">
        <is>
          <t>cmm55w57p0004cuisfrtpqly8</t>
        </is>
      </c>
      <c r="AT384" t="inlineStr">
        <is>
          <t>cmm4xvu980000cuh4vj0usz09</t>
        </is>
      </c>
      <c r="AU384" t="inlineStr">
        <is>
          <t>Norsjö</t>
        </is>
      </c>
      <c r="AV384" t="inlineStr">
        <is>
          <t>Kommun</t>
        </is>
      </c>
      <c r="AW384" t="inlineStr">
        <is>
          <t>Norsjö kommun</t>
        </is>
      </c>
      <c r="AX384" t="inlineStr">
        <is>
          <t>2024-05</t>
        </is>
      </c>
      <c r="AY384" t="inlineStr">
        <is>
          <t>Beslut</t>
        </is>
      </c>
      <c r="AZ384" t="inlineStr">
        <is>
          <t>2026-02-05</t>
        </is>
      </c>
      <c r="BA384" t="inlineStr">
        <is>
          <t>MBN-2024-178_1377_001_2024-04-12.pdf</t>
        </is>
      </c>
      <c r="BB384" t="inlineStr">
        <is>
          <t>Begäran om allmänna handlingar</t>
        </is>
      </c>
      <c r="BC384" t="inlineStr">
        <is>
          <t>AUTO</t>
        </is>
      </c>
      <c r="BD384" t="inlineStr"/>
      <c r="BE384" t="inlineStr"/>
      <c r="BF384" t="inlineStr">
        <is>
          <t>AUTO_GENERERAD. Bekrafta metadata mot kallfil.</t>
        </is>
      </c>
      <c r="BG384">
        <f>HYPERLINK("C:\Users\jimmy\Desktop\Examens arbete\Kod\Ny mapp\remix_-copy-of-miljöbeslut.se-portal\MBN-2024-178_1377_001_2024-04-12.pdf", "Öppna PDF")</f>
        <v/>
      </c>
    </row>
    <row r="385">
      <c r="A385" t="inlineStr">
        <is>
          <t>KRAV-AUTO-000384</t>
        </is>
      </c>
      <c r="B385" t="inlineStr">
        <is>
          <t>ADMIN-INDEX-2026-02-27-00000000125C043F57453246863FE664CAFE6A3F0700950291EA24F0614FB6ACEDB12BF0E31D00000000010C0000950291EA24F0614FB6ACEDB12BF0E31D000073AF24000000</t>
        </is>
      </c>
      <c r="C385" t="inlineStr">
        <is>
          <t>cmm4yurfk04hzcuqwezgzwot3</t>
        </is>
      </c>
      <c r="D385" t="inlineStr">
        <is>
          <t>http://localhost:8787/api/admin/requirements/documents/cmm4yurfk04hzcuqwezgzwot3/view</t>
        </is>
      </c>
      <c r="E385">
        <f>HYPERLÄNK("http://localhost:8787/api/admin/requirements/documents/cmm4yurfk04hzcuqwezgzwot3/view";"Öppna PDF")</f>
        <v/>
      </c>
      <c r="F385">
        <f>HYPERLINK("http://localhost:8787/api/admin/requirements/documents/cmm4yurfk04hzcuqwezgzwot3/view","Open PDF")</f>
        <v/>
      </c>
      <c r="G385" t="inlineStr">
        <is>
          <t>cmm55w57p0004cuisfrtpqly8</t>
        </is>
      </c>
      <c r="H385" t="inlineStr">
        <is>
          <t>Beslutsvillkor</t>
        </is>
      </c>
      <c r="I385" t="inlineStr">
        <is>
          <t>DagvattenLakvatten</t>
        </is>
      </c>
      <c r="J385" t="inlineStr">
        <is>
          <t>Uppsamling</t>
        </is>
      </c>
      <c r="K385" t="inlineStr">
        <is>
          <t>Krav i föreläggandet angående invallning av kemikalier och farligt avfall, uppsamling av eventuellt spill samt tillgång till absorptionsmedel beslutas med hänvisning till 2 kap.</t>
        </is>
      </c>
      <c r="L385" t="inlineStr">
        <is>
          <t>Krav i föreläggandet angående invallning av kemikalier och farligt avfall, uppsamling av eventuellt spill samt tillgång till absorptionsmedel beslutas med hänvisning till 2 kap.</t>
        </is>
      </c>
      <c r="M385" t="inlineStr">
        <is>
          <t>INFO</t>
        </is>
      </c>
      <c r="N385" t="inlineStr"/>
      <c r="O385" t="inlineStr"/>
      <c r="P385" t="inlineStr">
        <is>
          <t>Arlig</t>
        </is>
      </c>
      <c r="Q385" t="inlineStr">
        <is>
          <t>Forelaggande vid brist</t>
        </is>
      </c>
      <c r="R385" t="inlineStr">
        <is>
          <t>Vid nederbord och avrinning</t>
        </is>
      </c>
      <c r="S385" t="inlineStr"/>
      <c r="T385" t="inlineStr">
        <is>
          <t>251025</t>
        </is>
      </c>
      <c r="U385" t="inlineStr"/>
      <c r="V385" t="inlineStr"/>
      <c r="W385" t="inlineStr">
        <is>
          <t>Nej</t>
        </is>
      </c>
      <c r="X385" t="inlineStr">
        <is>
          <t>Ja</t>
        </is>
      </c>
      <c r="Y385" t="inlineStr">
        <is>
          <t>Ja</t>
        </is>
      </c>
      <c r="Z385" t="inlineStr">
        <is>
          <t>Nej</t>
        </is>
      </c>
      <c r="AA385" t="n">
        <v>6</v>
      </c>
      <c r="AB385" t="inlineStr">
        <is>
          <t>Lakvattenhantering</t>
        </is>
      </c>
      <c r="AC385" t="inlineStr">
        <is>
          <t>Flodesschema dagvatten-lakvatten</t>
        </is>
      </c>
      <c r="AD385" t="inlineStr">
        <is>
          <t>Nej</t>
        </is>
      </c>
      <c r="AE385" t="inlineStr">
        <is>
          <t>Nej</t>
        </is>
      </c>
      <c r="AF385" t="inlineStr">
        <is>
          <t>Ej behandlad</t>
        </is>
      </c>
      <c r="AG385" t="inlineStr">
        <is>
          <t>AUTO_GENERERAD. Verifiera citat mot kallfil.</t>
        </is>
      </c>
      <c r="AH385" t="inlineStr">
        <is>
          <t>MEDIUM</t>
        </is>
      </c>
      <c r="AI385" t="inlineStr">
        <is>
          <t>AUTO</t>
        </is>
      </c>
      <c r="AJ385" t="inlineStr">
        <is>
          <t>Nej</t>
        </is>
      </c>
      <c r="AK385" t="inlineStr"/>
      <c r="AL385" t="inlineStr"/>
      <c r="AM385" t="inlineStr"/>
      <c r="AN385" t="inlineStr"/>
      <c r="AO385" t="inlineStr">
        <is>
          <t>cmm4yurfq04i5cuqw1drt61jr</t>
        </is>
      </c>
      <c r="AP385" t="inlineStr">
        <is>
          <t>http://localhost:8787/api/admin/requirements/documents/cmm4yurfq04i5cuqw1drt61jr/view</t>
        </is>
      </c>
      <c r="AQ385">
        <f>HYPERLÄNK("http://localhost:8787/api/admin/requirements/documents/cmm4yurfq04i5cuqw1drt61jr/view";"Öppna PDF")</f>
        <v/>
      </c>
      <c r="AR385">
        <f>HYPERLINK("http://localhost:8787/api/admin/requirements/documents/cmm4yurfq04i5cuqw1drt61jr/view","Open PDF")</f>
        <v/>
      </c>
      <c r="AS385" t="inlineStr">
        <is>
          <t>cmm55w57p0004cuisfrtpqly8</t>
        </is>
      </c>
      <c r="AT385" t="inlineStr">
        <is>
          <t>cmm4xvu980000cuh4vj0usz09</t>
        </is>
      </c>
      <c r="AU385" t="inlineStr"/>
      <c r="AV385" t="inlineStr">
        <is>
          <t>Kommun</t>
        </is>
      </c>
      <c r="AW385" t="inlineStr"/>
      <c r="AX385" t="inlineStr">
        <is>
          <t>2025-10</t>
        </is>
      </c>
      <c r="AY385" t="inlineStr">
        <is>
          <t>Beslut</t>
        </is>
      </c>
      <c r="AZ385" t="inlineStr">
        <is>
          <t>2026-02-13</t>
        </is>
      </c>
      <c r="BA385" t="inlineStr">
        <is>
          <t>VGS-MH-2025-2444.pdf</t>
        </is>
      </c>
      <c r="BB385" t="inlineStr">
        <is>
          <t>Sv: till registrator</t>
        </is>
      </c>
      <c r="BC385" t="inlineStr">
        <is>
          <t>AUTO</t>
        </is>
      </c>
      <c r="BD385" t="inlineStr"/>
      <c r="BE385" t="inlineStr"/>
      <c r="BF385" t="inlineStr">
        <is>
          <t>AUTO_GENERERAD. Bekrafta metadata mot kallfil.</t>
        </is>
      </c>
      <c r="BG385">
        <f>HYPERLINK("C:\Users\jimmy\Desktop\Examens arbete\Kod\Ny mapp\remix_-copy-of-miljöbeslut.se-portal\VGS-MH-2025-2444.pdf", "Öppna PDF")</f>
        <v/>
      </c>
    </row>
    <row r="386">
      <c r="A386" t="inlineStr">
        <is>
          <t>KRAV-AUTO-000385</t>
        </is>
      </c>
      <c r="B386" t="inlineStr">
        <is>
          <t>ADMIN-INDEX-2026-02-27-00000000125C043F57453246863FE664CAFE6A3F0700950291EA24F0614FB6ACEDB12BF0E31D00000000010C0000950291EA24F0614FB6ACEDB12BF0E31D000073AF24000000</t>
        </is>
      </c>
      <c r="C386" t="inlineStr">
        <is>
          <t>cmm4yurfk04hzcuqwezgzwot3</t>
        </is>
      </c>
      <c r="D386" t="inlineStr">
        <is>
          <t>http://localhost:8787/api/admin/requirements/documents/cmm4yurfk04hzcuqwezgzwot3/view</t>
        </is>
      </c>
      <c r="E386">
        <f>HYPERLÄNK("http://localhost:8787/api/admin/requirements/documents/cmm4yurfk04hzcuqwezgzwot3/view";"Öppna PDF")</f>
        <v/>
      </c>
      <c r="F386">
        <f>HYPERLINK("http://localhost:8787/api/admin/requirements/documents/cmm4yurfk04hzcuqwezgzwot3/view","Open PDF")</f>
        <v/>
      </c>
      <c r="G386" t="inlineStr">
        <is>
          <t>cmm55w57p0004cuisfrtpqly8</t>
        </is>
      </c>
      <c r="H386" t="inlineStr">
        <is>
          <t>Beslutsvillkor</t>
        </is>
      </c>
      <c r="I386" t="inlineStr">
        <is>
          <t>Riskhantering</t>
        </is>
      </c>
      <c r="J386" t="inlineStr">
        <is>
          <t>Riskkontroll</t>
        </is>
      </c>
      <c r="K386" t="inlineStr">
        <is>
          <t>Verksamhetsområdet ska utformas så att risken för att utomstående kan lämna avfall på upplaget minimeras.</t>
        </is>
      </c>
      <c r="L386" t="inlineStr">
        <is>
          <t>Verksamhetsområdet ska utformas så att risken för att utomstående kan lämna avfall på upplaget minimeras.</t>
        </is>
      </c>
      <c r="M386" t="inlineStr">
        <is>
          <t>SKA</t>
        </is>
      </c>
      <c r="N386" t="inlineStr"/>
      <c r="O386" t="inlineStr"/>
      <c r="P386" t="inlineStr"/>
      <c r="Q386" t="inlineStr"/>
      <c r="R386" t="inlineStr">
        <is>
          <t>Vid risk for incident</t>
        </is>
      </c>
      <c r="S386" t="inlineStr"/>
      <c r="T386" t="inlineStr">
        <is>
          <t>251025</t>
        </is>
      </c>
      <c r="U386" t="inlineStr"/>
      <c r="V386" t="inlineStr"/>
      <c r="W386" t="inlineStr">
        <is>
          <t>Nej</t>
        </is>
      </c>
      <c r="X386" t="inlineStr">
        <is>
          <t>Nej</t>
        </is>
      </c>
      <c r="Y386" t="inlineStr">
        <is>
          <t>Ja</t>
        </is>
      </c>
      <c r="Z386" t="inlineStr">
        <is>
          <t>Ja</t>
        </is>
      </c>
      <c r="AA386" t="n">
        <v>8</v>
      </c>
      <c r="AB386" t="inlineStr">
        <is>
          <t>Riskhantering</t>
        </is>
      </c>
      <c r="AC386" t="inlineStr">
        <is>
          <t>Risk-PM</t>
        </is>
      </c>
      <c r="AD386" t="inlineStr">
        <is>
          <t>Nej</t>
        </is>
      </c>
      <c r="AE386" t="inlineStr">
        <is>
          <t>Nej</t>
        </is>
      </c>
      <c r="AF386" t="inlineStr">
        <is>
          <t>Ej behandlad</t>
        </is>
      </c>
      <c r="AG386" t="inlineStr">
        <is>
          <t>AUTO_GENERERAD. Verifiera citat mot kallfil.</t>
        </is>
      </c>
      <c r="AH386" t="inlineStr">
        <is>
          <t>MEDIUM</t>
        </is>
      </c>
      <c r="AI386" t="inlineStr">
        <is>
          <t>AUTO</t>
        </is>
      </c>
      <c r="AJ386" t="inlineStr">
        <is>
          <t>Nej</t>
        </is>
      </c>
      <c r="AK386" t="inlineStr"/>
      <c r="AL386" t="inlineStr"/>
      <c r="AM386" t="inlineStr"/>
      <c r="AN386" t="inlineStr"/>
      <c r="AO386" t="inlineStr">
        <is>
          <t>cmm4yurfq04i5cuqw1drt61jr</t>
        </is>
      </c>
      <c r="AP386" t="inlineStr">
        <is>
          <t>http://localhost:8787/api/admin/requirements/documents/cmm4yurfq04i5cuqw1drt61jr/view</t>
        </is>
      </c>
      <c r="AQ386">
        <f>HYPERLÄNK("http://localhost:8787/api/admin/requirements/documents/cmm4yurfq04i5cuqw1drt61jr/view";"Öppna PDF")</f>
        <v/>
      </c>
      <c r="AR386">
        <f>HYPERLINK("http://localhost:8787/api/admin/requirements/documents/cmm4yurfq04i5cuqw1drt61jr/view","Open PDF")</f>
        <v/>
      </c>
      <c r="AS386" t="inlineStr">
        <is>
          <t>cmm55w57p0004cuisfrtpqly8</t>
        </is>
      </c>
      <c r="AT386" t="inlineStr">
        <is>
          <t>cmm4xvu980000cuh4vj0usz09</t>
        </is>
      </c>
      <c r="AU386" t="inlineStr"/>
      <c r="AV386" t="inlineStr">
        <is>
          <t>Kommun</t>
        </is>
      </c>
      <c r="AW386" t="inlineStr"/>
      <c r="AX386" t="inlineStr">
        <is>
          <t>2025-10</t>
        </is>
      </c>
      <c r="AY386" t="inlineStr">
        <is>
          <t>Beslut</t>
        </is>
      </c>
      <c r="AZ386" t="inlineStr">
        <is>
          <t>2026-02-13</t>
        </is>
      </c>
      <c r="BA386" t="inlineStr">
        <is>
          <t>VGS-MH-2025-2444.pdf</t>
        </is>
      </c>
      <c r="BB386" t="inlineStr">
        <is>
          <t>Sv: till registrator</t>
        </is>
      </c>
      <c r="BC386" t="inlineStr">
        <is>
          <t>AUTO</t>
        </is>
      </c>
      <c r="BD386" t="inlineStr"/>
      <c r="BE386" t="inlineStr"/>
      <c r="BF386" t="inlineStr">
        <is>
          <t>AUTO_GENERERAD. Bekrafta metadata mot kallfil.</t>
        </is>
      </c>
      <c r="BG386">
        <f>HYPERLINK("C:\Users\jimmy\Desktop\Examens arbete\Kod\Ny mapp\remix_-copy-of-miljöbeslut.se-portal\VGS-MH-2025-2444.pdf", "Öppna PDF")</f>
        <v/>
      </c>
    </row>
    <row r="387">
      <c r="A387" t="inlineStr">
        <is>
          <t>KRAV-AUTO-000386</t>
        </is>
      </c>
      <c r="B387" t="inlineStr">
        <is>
          <t>ADMIN-INDEX-2026-02-27-00000000125C043F57453246863FE664CAFE6A3F0700950291EA24F0614FB6ACEDB12BF0E31D00000000010C0000950291EA24F0614FB6ACEDB12BF0E31D000073AF24000000</t>
        </is>
      </c>
      <c r="C387" t="inlineStr">
        <is>
          <t>cmm4yurfk04hzcuqwezgzwot3</t>
        </is>
      </c>
      <c r="D387" t="inlineStr">
        <is>
          <t>http://localhost:8787/api/admin/requirements/documents/cmm4yurfk04hzcuqwezgzwot3/view</t>
        </is>
      </c>
      <c r="E387">
        <f>HYPERLÄNK("http://localhost:8787/api/admin/requirements/documents/cmm4yurfk04hzcuqwezgzwot3/view";"Öppna PDF")</f>
        <v/>
      </c>
      <c r="F387">
        <f>HYPERLINK("http://localhost:8787/api/admin/requirements/documents/cmm4yurfk04hzcuqwezgzwot3/view","Open PDF")</f>
        <v/>
      </c>
      <c r="G387" t="inlineStr">
        <is>
          <t>cmm55w57p0004cuisfrtpqly8</t>
        </is>
      </c>
      <c r="H387" t="inlineStr">
        <is>
          <t>Beslutsvillkor</t>
        </is>
      </c>
      <c r="I387" t="inlineStr">
        <is>
          <t>LagringsvolymTid</t>
        </is>
      </c>
      <c r="J387" t="inlineStr">
        <is>
          <t>Maxmangd</t>
        </is>
      </c>
      <c r="K387" t="inlineStr">
        <is>
          <t>Ja Avfallsbehandlare Ange de typer och mängder av avfall som ska behandlas Jord Mest från egna och andras dikningar.</t>
        </is>
      </c>
      <c r="L387" t="inlineStr">
        <is>
          <t>Ja Avfallsbehandlare Ange de typer och mängder av avfall som ska behandlas Jord Mest från egna och andras dikningar.</t>
        </is>
      </c>
      <c r="M387" t="inlineStr">
        <is>
          <t>SKA</t>
        </is>
      </c>
      <c r="N387" t="inlineStr"/>
      <c r="O387" t="inlineStr"/>
      <c r="P387" t="inlineStr"/>
      <c r="Q387" t="inlineStr"/>
      <c r="R387" t="inlineStr">
        <is>
          <t>Alltid</t>
        </is>
      </c>
      <c r="S387" t="inlineStr"/>
      <c r="T387" t="inlineStr">
        <is>
          <t>251025</t>
        </is>
      </c>
      <c r="U387" t="inlineStr"/>
      <c r="V387" t="inlineStr"/>
      <c r="W387" t="inlineStr">
        <is>
          <t>Nej</t>
        </is>
      </c>
      <c r="X387" t="inlineStr">
        <is>
          <t>Nej</t>
        </is>
      </c>
      <c r="Y387" t="inlineStr">
        <is>
          <t>Nej</t>
        </is>
      </c>
      <c r="Z387" t="inlineStr">
        <is>
          <t>Nej</t>
        </is>
      </c>
      <c r="AA387" t="n">
        <v>4</v>
      </c>
      <c r="AB387" t="inlineStr">
        <is>
          <t>Avfallsmangder och lagringstid</t>
        </is>
      </c>
      <c r="AC387" t="inlineStr">
        <is>
          <t>Avfallsforteckning</t>
        </is>
      </c>
      <c r="AD387" t="inlineStr">
        <is>
          <t>Nej</t>
        </is>
      </c>
      <c r="AE387" t="inlineStr">
        <is>
          <t>Nej</t>
        </is>
      </c>
      <c r="AF387" t="inlineStr">
        <is>
          <t>Ej behandlad</t>
        </is>
      </c>
      <c r="AG387" t="inlineStr">
        <is>
          <t>AUTO_GENERERAD. Verifiera citat mot kallfil.</t>
        </is>
      </c>
      <c r="AH387" t="inlineStr">
        <is>
          <t>MEDIUM</t>
        </is>
      </c>
      <c r="AI387" t="inlineStr">
        <is>
          <t>AUTO</t>
        </is>
      </c>
      <c r="AJ387" t="inlineStr">
        <is>
          <t>Nej</t>
        </is>
      </c>
      <c r="AK387" t="inlineStr"/>
      <c r="AL387" t="inlineStr"/>
      <c r="AM387" t="inlineStr"/>
      <c r="AN387" t="inlineStr"/>
      <c r="AO387" t="inlineStr">
        <is>
          <t>cmm4yurfq04i5cuqw1drt61jr</t>
        </is>
      </c>
      <c r="AP387" t="inlineStr">
        <is>
          <t>http://localhost:8787/api/admin/requirements/documents/cmm4yurfq04i5cuqw1drt61jr/view</t>
        </is>
      </c>
      <c r="AQ387">
        <f>HYPERLÄNK("http://localhost:8787/api/admin/requirements/documents/cmm4yurfq04i5cuqw1drt61jr/view";"Öppna PDF")</f>
        <v/>
      </c>
      <c r="AR387">
        <f>HYPERLINK("http://localhost:8787/api/admin/requirements/documents/cmm4yurfq04i5cuqw1drt61jr/view","Open PDF")</f>
        <v/>
      </c>
      <c r="AS387" t="inlineStr">
        <is>
          <t>cmm55w57p0004cuisfrtpqly8</t>
        </is>
      </c>
      <c r="AT387" t="inlineStr">
        <is>
          <t>cmm4xvu980000cuh4vj0usz09</t>
        </is>
      </c>
      <c r="AU387" t="inlineStr"/>
      <c r="AV387" t="inlineStr">
        <is>
          <t>Kommun</t>
        </is>
      </c>
      <c r="AW387" t="inlineStr"/>
      <c r="AX387" t="inlineStr">
        <is>
          <t>2025-10</t>
        </is>
      </c>
      <c r="AY387" t="inlineStr">
        <is>
          <t>Beslut</t>
        </is>
      </c>
      <c r="AZ387" t="inlineStr">
        <is>
          <t>2026-02-13</t>
        </is>
      </c>
      <c r="BA387" t="inlineStr">
        <is>
          <t>VGS-MH-2025-2444.pdf</t>
        </is>
      </c>
      <c r="BB387" t="inlineStr">
        <is>
          <t>Sv: till registrator</t>
        </is>
      </c>
      <c r="BC387" t="inlineStr">
        <is>
          <t>AUTO</t>
        </is>
      </c>
      <c r="BD387" t="inlineStr"/>
      <c r="BE387" t="inlineStr"/>
      <c r="BF387" t="inlineStr">
        <is>
          <t>AUTO_GENERERAD. Bekrafta metadata mot kallfil.</t>
        </is>
      </c>
      <c r="BG387">
        <f>HYPERLINK("C:\Users\jimmy\Desktop\Examens arbete\Kod\Ny mapp\remix_-copy-of-miljöbeslut.se-portal\VGS-MH-2025-2444.pdf", "Öppna PDF")</f>
        <v/>
      </c>
    </row>
    <row r="388">
      <c r="A388" t="inlineStr">
        <is>
          <t>KRAV-AUTO-000387</t>
        </is>
      </c>
      <c r="B388" t="inlineStr">
        <is>
          <t>ADMIN-INDEX-2026-02-27-00000000125C043F57453246863FE664CAFE6A3F0700950291EA24F0614FB6ACEDB12BF0E31D00000000010C0000950291EA24F0614FB6ACEDB12BF0E31D000073AF24000000</t>
        </is>
      </c>
      <c r="C388" t="inlineStr">
        <is>
          <t>cmm4yurfi04hwcuqwie6w52wk</t>
        </is>
      </c>
      <c r="D388" t="inlineStr">
        <is>
          <t>http://localhost:8787/api/admin/requirements/documents/cmm4yurfi04hwcuqwie6w52wk/view</t>
        </is>
      </c>
      <c r="E388">
        <f>HYPERLÄNK("http://localhost:8787/api/admin/requirements/documents/cmm4yurfi04hwcuqwie6w52wk/view";"Öppna PDF")</f>
        <v/>
      </c>
      <c r="F388">
        <f>HYPERLINK("http://localhost:8787/api/admin/requirements/documents/cmm4yurfi04hwcuqwie6w52wk/view","Open PDF")</f>
        <v/>
      </c>
      <c r="G388" t="inlineStr">
        <is>
          <t>cmm55w57p0004cuisfrtpqly8</t>
        </is>
      </c>
      <c r="H388" t="inlineStr">
        <is>
          <t>Beslutsvillkor</t>
        </is>
      </c>
      <c r="I388" t="inlineStr">
        <is>
          <t>DagvattenLakvatten</t>
        </is>
      </c>
      <c r="J388" t="inlineStr">
        <is>
          <t>Uppsamling</t>
        </is>
      </c>
      <c r="K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L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M388" t="inlineStr">
        <is>
          <t>INFO</t>
        </is>
      </c>
      <c r="N388" t="inlineStr"/>
      <c r="O388" t="inlineStr">
        <is>
          <t>2025-10-22</t>
        </is>
      </c>
      <c r="P388" t="inlineStr">
        <is>
          <t>Arlig</t>
        </is>
      </c>
      <c r="Q388" t="inlineStr">
        <is>
          <t>Forelaggande vid brist</t>
        </is>
      </c>
      <c r="R388" t="inlineStr">
        <is>
          <t>Vid nederbord och avrinning</t>
        </is>
      </c>
      <c r="S388" t="inlineStr"/>
      <c r="T388" t="inlineStr">
        <is>
          <t>25 78 06</t>
        </is>
      </c>
      <c r="U388" t="inlineStr"/>
      <c r="V388" t="inlineStr"/>
      <c r="W388" t="inlineStr">
        <is>
          <t>Nej</t>
        </is>
      </c>
      <c r="X388" t="inlineStr">
        <is>
          <t>Ja</t>
        </is>
      </c>
      <c r="Y388" t="inlineStr">
        <is>
          <t>Ja</t>
        </is>
      </c>
      <c r="Z388" t="inlineStr">
        <is>
          <t>Nej</t>
        </is>
      </c>
      <c r="AA388" t="n">
        <v>6</v>
      </c>
      <c r="AB388" t="inlineStr">
        <is>
          <t>Lakvattenhantering</t>
        </is>
      </c>
      <c r="AC388" t="inlineStr">
        <is>
          <t>Flodesschema dagvatten-lakvatten</t>
        </is>
      </c>
      <c r="AD388" t="inlineStr">
        <is>
          <t>Nej</t>
        </is>
      </c>
      <c r="AE388" t="inlineStr">
        <is>
          <t>Nej</t>
        </is>
      </c>
      <c r="AF388" t="inlineStr">
        <is>
          <t>Ej behandlad</t>
        </is>
      </c>
      <c r="AG388" t="inlineStr">
        <is>
          <t>AUTO_GENERERAD. Verifiera citat mot kallfil.</t>
        </is>
      </c>
      <c r="AH388" t="inlineStr">
        <is>
          <t>MEDIUM</t>
        </is>
      </c>
      <c r="AI388" t="inlineStr">
        <is>
          <t>AUTO</t>
        </is>
      </c>
      <c r="AJ388" t="inlineStr">
        <is>
          <t>Nej</t>
        </is>
      </c>
      <c r="AK388" t="inlineStr"/>
      <c r="AL388" t="inlineStr"/>
      <c r="AM388" t="inlineStr"/>
      <c r="AN388" t="inlineStr"/>
      <c r="AO388" t="inlineStr">
        <is>
          <t>cmm4yurfq04i5cuqw1drt61jr</t>
        </is>
      </c>
      <c r="AP388" t="inlineStr">
        <is>
          <t>http://localhost:8787/api/admin/requirements/documents/cmm4yurfq04i5cuqw1drt61jr/view</t>
        </is>
      </c>
      <c r="AQ388">
        <f>HYPERLÄNK("http://localhost:8787/api/admin/requirements/documents/cmm4yurfq04i5cuqw1drt61jr/view";"Öppna PDF")</f>
        <v/>
      </c>
      <c r="AR388">
        <f>HYPERLINK("http://localhost:8787/api/admin/requirements/documents/cmm4yurfq04i5cuqw1drt61jr/view","Open PDF")</f>
        <v/>
      </c>
      <c r="AS388" t="inlineStr">
        <is>
          <t>cmm55w57p0004cuisfrtpqly8</t>
        </is>
      </c>
      <c r="AT388" t="inlineStr">
        <is>
          <t>cmm4xvu980000cuh4vj0usz09</t>
        </is>
      </c>
      <c r="AU388" t="inlineStr"/>
      <c r="AV388" t="inlineStr">
        <is>
          <t>Kommun</t>
        </is>
      </c>
      <c r="AW388" t="inlineStr"/>
      <c r="AX388" t="inlineStr">
        <is>
          <t>2025-10</t>
        </is>
      </c>
      <c r="AY388" t="inlineStr">
        <is>
          <t>Beslut</t>
        </is>
      </c>
      <c r="AZ388" t="inlineStr">
        <is>
          <t>2026-02-13</t>
        </is>
      </c>
      <c r="BA388" t="inlineStr">
        <is>
          <t>VGS-MH-2025-2444.pdf</t>
        </is>
      </c>
      <c r="BB388" t="inlineStr">
        <is>
          <t>Sv: till registrator</t>
        </is>
      </c>
      <c r="BC388" t="inlineStr">
        <is>
          <t>AUTO</t>
        </is>
      </c>
      <c r="BD388" t="inlineStr"/>
      <c r="BE388" t="inlineStr"/>
      <c r="BF388" t="inlineStr">
        <is>
          <t>AUTO_GENERERAD. Bekrafta metadata mot kallfil.</t>
        </is>
      </c>
      <c r="BG388">
        <f>HYPERLINK("C:\Users\jimmy\Desktop\Examens arbete\Kod\Ny mapp\remix_-copy-of-miljöbeslut.se-portal\VGS-MH-2025-2444.pdf", "Öppna PDF")</f>
        <v/>
      </c>
    </row>
    <row r="389">
      <c r="A389" t="inlineStr">
        <is>
          <t>KRAV-AUTO-000388</t>
        </is>
      </c>
      <c r="B389" t="inlineStr">
        <is>
          <t>ADMIN-INDEX-2026-02-27-00000000125C043F57453246863FE664CAFE6A3F0700950291EA24F0614FB6ACEDB12BF0E31D00000000010C0000950291EA24F0614FB6ACEDB12BF0E31D000073AF24000000</t>
        </is>
      </c>
      <c r="C389" t="inlineStr">
        <is>
          <t>cmm4yurfi04hwcuqwie6w52wk</t>
        </is>
      </c>
      <c r="D389" t="inlineStr">
        <is>
          <t>http://localhost:8787/api/admin/requirements/documents/cmm4yurfi04hwcuqwie6w52wk/view</t>
        </is>
      </c>
      <c r="E389">
        <f>HYPERLÄNK("http://localhost:8787/api/admin/requirements/documents/cmm4yurfi04hwcuqwie6w52wk/view";"Öppna PDF")</f>
        <v/>
      </c>
      <c r="F389">
        <f>HYPERLINK("http://localhost:8787/api/admin/requirements/documents/cmm4yurfi04hwcuqwie6w52wk/view","Open PDF")</f>
        <v/>
      </c>
      <c r="G389" t="inlineStr">
        <is>
          <t>cmm55w57p0004cuisfrtpqly8</t>
        </is>
      </c>
      <c r="H389" t="inlineStr">
        <is>
          <t>Beslutsvillkor</t>
        </is>
      </c>
      <c r="I389" t="inlineStr">
        <is>
          <t>Riskhantering</t>
        </is>
      </c>
      <c r="J389" t="inlineStr">
        <is>
          <t>Riskkontroll</t>
        </is>
      </c>
      <c r="K389" t="inlineStr">
        <is>
          <t>Verksamhetsområdet ska utformas så att risken för att utomstående kan lämna avfall på upplaget minimeras.</t>
        </is>
      </c>
      <c r="L389" t="inlineStr">
        <is>
          <t>Verksamhetsområdet ska utformas så att risken för att utomstående kan lämna avfall på upplaget minimeras.</t>
        </is>
      </c>
      <c r="M389" t="inlineStr">
        <is>
          <t>SKA</t>
        </is>
      </c>
      <c r="N389" t="inlineStr"/>
      <c r="O389" t="inlineStr"/>
      <c r="P389" t="inlineStr"/>
      <c r="Q389" t="inlineStr"/>
      <c r="R389" t="inlineStr">
        <is>
          <t>Vid risk for incident</t>
        </is>
      </c>
      <c r="S389" t="inlineStr"/>
      <c r="T389" t="inlineStr">
        <is>
          <t>25 78 06</t>
        </is>
      </c>
      <c r="U389" t="inlineStr"/>
      <c r="V389" t="inlineStr"/>
      <c r="W389" t="inlineStr">
        <is>
          <t>Nej</t>
        </is>
      </c>
      <c r="X389" t="inlineStr">
        <is>
          <t>Nej</t>
        </is>
      </c>
      <c r="Y389" t="inlineStr">
        <is>
          <t>Ja</t>
        </is>
      </c>
      <c r="Z389" t="inlineStr">
        <is>
          <t>Ja</t>
        </is>
      </c>
      <c r="AA389" t="n">
        <v>8</v>
      </c>
      <c r="AB389" t="inlineStr">
        <is>
          <t>Riskhantering</t>
        </is>
      </c>
      <c r="AC389" t="inlineStr">
        <is>
          <t>Risk-PM</t>
        </is>
      </c>
      <c r="AD389" t="inlineStr">
        <is>
          <t>Nej</t>
        </is>
      </c>
      <c r="AE389" t="inlineStr">
        <is>
          <t>Nej</t>
        </is>
      </c>
      <c r="AF389" t="inlineStr">
        <is>
          <t>Ej behandlad</t>
        </is>
      </c>
      <c r="AG389" t="inlineStr">
        <is>
          <t>AUTO_GENERERAD. Verifiera citat mot kallfil.</t>
        </is>
      </c>
      <c r="AH389" t="inlineStr">
        <is>
          <t>MEDIUM</t>
        </is>
      </c>
      <c r="AI389" t="inlineStr">
        <is>
          <t>AUTO</t>
        </is>
      </c>
      <c r="AJ389" t="inlineStr">
        <is>
          <t>Nej</t>
        </is>
      </c>
      <c r="AK389" t="inlineStr"/>
      <c r="AL389" t="inlineStr"/>
      <c r="AM389" t="inlineStr"/>
      <c r="AN389" t="inlineStr"/>
      <c r="AO389" t="inlineStr">
        <is>
          <t>cmm4yurfq04i5cuqw1drt61jr</t>
        </is>
      </c>
      <c r="AP389" t="inlineStr">
        <is>
          <t>http://localhost:8787/api/admin/requirements/documents/cmm4yurfq04i5cuqw1drt61jr/view</t>
        </is>
      </c>
      <c r="AQ389">
        <f>HYPERLÄNK("http://localhost:8787/api/admin/requirements/documents/cmm4yurfq04i5cuqw1drt61jr/view";"Öppna PDF")</f>
        <v/>
      </c>
      <c r="AR389">
        <f>HYPERLINK("http://localhost:8787/api/admin/requirements/documents/cmm4yurfq04i5cuqw1drt61jr/view","Open PDF")</f>
        <v/>
      </c>
      <c r="AS389" t="inlineStr">
        <is>
          <t>cmm55w57p0004cuisfrtpqly8</t>
        </is>
      </c>
      <c r="AT389" t="inlineStr">
        <is>
          <t>cmm4xvu980000cuh4vj0usz09</t>
        </is>
      </c>
      <c r="AU389" t="inlineStr"/>
      <c r="AV389" t="inlineStr">
        <is>
          <t>Kommun</t>
        </is>
      </c>
      <c r="AW389" t="inlineStr"/>
      <c r="AX389" t="inlineStr">
        <is>
          <t>2025-10</t>
        </is>
      </c>
      <c r="AY389" t="inlineStr">
        <is>
          <t>Beslut</t>
        </is>
      </c>
      <c r="AZ389" t="inlineStr">
        <is>
          <t>2026-02-13</t>
        </is>
      </c>
      <c r="BA389" t="inlineStr">
        <is>
          <t>VGS-MH-2025-2444.pdf</t>
        </is>
      </c>
      <c r="BB389" t="inlineStr">
        <is>
          <t>Sv: till registrator</t>
        </is>
      </c>
      <c r="BC389" t="inlineStr">
        <is>
          <t>AUTO</t>
        </is>
      </c>
      <c r="BD389" t="inlineStr"/>
      <c r="BE389" t="inlineStr"/>
      <c r="BF389" t="inlineStr">
        <is>
          <t>AUTO_GENERERAD. Bekrafta metadata mot kallfil.</t>
        </is>
      </c>
      <c r="BG389">
        <f>HYPERLINK("C:\Users\jimmy\Desktop\Examens arbete\Kod\Ny mapp\remix_-copy-of-miljöbeslut.se-portal\VGS-MH-2025-2444.pdf", "Öppna PDF")</f>
        <v/>
      </c>
    </row>
    <row r="390">
      <c r="A390" t="inlineStr">
        <is>
          <t>KRAV-AUTO-000389</t>
        </is>
      </c>
      <c r="B390" t="inlineStr">
        <is>
          <t>ADMIN-INDEX-2026-02-27-00000000125C043F57453246863FE664CAFE6A3F0700950291EA24F0614FB6ACEDB12BF0E31D00000000010C0000950291EA24F0614FB6ACEDB12BF0E31D000073AF24000000</t>
        </is>
      </c>
      <c r="C390" t="inlineStr">
        <is>
          <t>cmm4yurfi04hwcuqwie6w52wk</t>
        </is>
      </c>
      <c r="D390" t="inlineStr">
        <is>
          <t>http://localhost:8787/api/admin/requirements/documents/cmm4yurfi04hwcuqwie6w52wk/view</t>
        </is>
      </c>
      <c r="E390">
        <f>HYPERLÄNK("http://localhost:8787/api/admin/requirements/documents/cmm4yurfi04hwcuqwie6w52wk/view";"Öppna PDF")</f>
        <v/>
      </c>
      <c r="F390">
        <f>HYPERLINK("http://localhost:8787/api/admin/requirements/documents/cmm4yurfi04hwcuqwie6w52wk/view","Open PDF")</f>
        <v/>
      </c>
      <c r="G390" t="inlineStr">
        <is>
          <t>cmm55w57p0004cuisfrtpqly8</t>
        </is>
      </c>
      <c r="H390" t="inlineStr">
        <is>
          <t>Beslutsvillkor</t>
        </is>
      </c>
      <c r="I390" t="inlineStr">
        <is>
          <t>LagringsvolymTid</t>
        </is>
      </c>
      <c r="J390" t="inlineStr">
        <is>
          <t>Maxmangd</t>
        </is>
      </c>
      <c r="K390" t="inlineStr">
        <is>
          <t>mer än 1 000 ton per kalenderår och avfallet ska användas för byggnads- eller anläggningsändamål, eller 2.</t>
        </is>
      </c>
      <c r="L390" t="inlineStr">
        <is>
          <t>mer än 1 000 ton per kalenderår och avfallet ska användas för byggnads- eller anläggningsändamål, eller 2.</t>
        </is>
      </c>
      <c r="M390" t="inlineStr">
        <is>
          <t>SKA</t>
        </is>
      </c>
      <c r="N390" t="inlineStr"/>
      <c r="O390" t="inlineStr"/>
      <c r="P390" t="inlineStr"/>
      <c r="Q390" t="inlineStr"/>
      <c r="R390" t="inlineStr">
        <is>
          <t>Alltid</t>
        </is>
      </c>
      <c r="S390" t="inlineStr"/>
      <c r="T390" t="inlineStr">
        <is>
          <t>25 78 06</t>
        </is>
      </c>
      <c r="U390" t="n">
        <v>0</v>
      </c>
      <c r="V390" t="inlineStr"/>
      <c r="W390" t="inlineStr">
        <is>
          <t>Nej</t>
        </is>
      </c>
      <c r="X390" t="inlineStr">
        <is>
          <t>Nej</t>
        </is>
      </c>
      <c r="Y390" t="inlineStr">
        <is>
          <t>Nej</t>
        </is>
      </c>
      <c r="Z390" t="inlineStr">
        <is>
          <t>Nej</t>
        </is>
      </c>
      <c r="AA390" t="n">
        <v>4</v>
      </c>
      <c r="AB390" t="inlineStr">
        <is>
          <t>Avfallsmangder och lagringstid</t>
        </is>
      </c>
      <c r="AC390" t="inlineStr">
        <is>
          <t>Avfallsforteckning</t>
        </is>
      </c>
      <c r="AD390" t="inlineStr">
        <is>
          <t>Nej</t>
        </is>
      </c>
      <c r="AE390" t="inlineStr">
        <is>
          <t>Nej</t>
        </is>
      </c>
      <c r="AF390" t="inlineStr">
        <is>
          <t>Ej behandlad</t>
        </is>
      </c>
      <c r="AG390" t="inlineStr">
        <is>
          <t>AUTO_GENERERAD. Verifiera citat mot kallfil.</t>
        </is>
      </c>
      <c r="AH390" t="inlineStr">
        <is>
          <t>MEDIUM</t>
        </is>
      </c>
      <c r="AI390" t="inlineStr">
        <is>
          <t>AUTO</t>
        </is>
      </c>
      <c r="AJ390" t="inlineStr">
        <is>
          <t>Nej</t>
        </is>
      </c>
      <c r="AK390" t="inlineStr"/>
      <c r="AL390" t="inlineStr"/>
      <c r="AM390" t="inlineStr"/>
      <c r="AN390" t="inlineStr"/>
      <c r="AO390" t="inlineStr">
        <is>
          <t>cmm4yurfq04i5cuqw1drt61jr</t>
        </is>
      </c>
      <c r="AP390" t="inlineStr">
        <is>
          <t>http://localhost:8787/api/admin/requirements/documents/cmm4yurfq04i5cuqw1drt61jr/view</t>
        </is>
      </c>
      <c r="AQ390">
        <f>HYPERLÄNK("http://localhost:8787/api/admin/requirements/documents/cmm4yurfq04i5cuqw1drt61jr/view";"Öppna PDF")</f>
        <v/>
      </c>
      <c r="AR390">
        <f>HYPERLINK("http://localhost:8787/api/admin/requirements/documents/cmm4yurfq04i5cuqw1drt61jr/view","Open PDF")</f>
        <v/>
      </c>
      <c r="AS390" t="inlineStr">
        <is>
          <t>cmm55w57p0004cuisfrtpqly8</t>
        </is>
      </c>
      <c r="AT390" t="inlineStr">
        <is>
          <t>cmm4xvu980000cuh4vj0usz09</t>
        </is>
      </c>
      <c r="AU390" t="inlineStr"/>
      <c r="AV390" t="inlineStr">
        <is>
          <t>Kommun</t>
        </is>
      </c>
      <c r="AW390" t="inlineStr"/>
      <c r="AX390" t="inlineStr">
        <is>
          <t>2025-10</t>
        </is>
      </c>
      <c r="AY390" t="inlineStr">
        <is>
          <t>Beslut</t>
        </is>
      </c>
      <c r="AZ390" t="inlineStr">
        <is>
          <t>2026-02-13</t>
        </is>
      </c>
      <c r="BA390" t="inlineStr">
        <is>
          <t>VGS-MH-2025-2444.pdf</t>
        </is>
      </c>
      <c r="BB390" t="inlineStr">
        <is>
          <t>Sv: till registrator</t>
        </is>
      </c>
      <c r="BC390" t="inlineStr">
        <is>
          <t>AUTO</t>
        </is>
      </c>
      <c r="BD390" t="inlineStr"/>
      <c r="BE390" t="inlineStr"/>
      <c r="BF390" t="inlineStr">
        <is>
          <t>AUTO_GENERERAD. Bekrafta metadata mot kallfil.</t>
        </is>
      </c>
      <c r="BG390">
        <f>HYPERLINK("C:\Users\jimmy\Desktop\Examens arbete\Kod\Ny mapp\remix_-copy-of-miljöbeslut.se-portal\VGS-MH-2025-2444.pdf", "Öppna PDF")</f>
        <v/>
      </c>
    </row>
    <row r="391">
      <c r="A391" t="inlineStr">
        <is>
          <t>KRAV-AUTO-000390</t>
        </is>
      </c>
      <c r="B391" t="inlineStr">
        <is>
          <t>ADMIN-INDEX-2026-02-27-00000000125C043F57453246863FE664CAFE6A3F0700950291EA24F0614FB6ACEDB12BF0E31D00000000010C0000950291EA24F0614FB6ACEDB12BF0E31D000073AF24000000</t>
        </is>
      </c>
      <c r="C391" t="inlineStr">
        <is>
          <t>cmm4yurf504hhcuqwlbc7m7mi</t>
        </is>
      </c>
      <c r="D391" t="inlineStr">
        <is>
          <t>http://localhost:8787/api/admin/requirements/documents/cmm4yurf504hhcuqwlbc7m7mi/view</t>
        </is>
      </c>
      <c r="E391">
        <f>HYPERLÄNK("http://localhost:8787/api/admin/requirements/documents/cmm4yurf504hhcuqwlbc7m7mi/view";"Öppna PDF")</f>
        <v/>
      </c>
      <c r="F391">
        <f>HYPERLINK("http://localhost:8787/api/admin/requirements/documents/cmm4yurf504hhcuqwlbc7m7mi/view","Open PDF")</f>
        <v/>
      </c>
      <c r="G391" t="inlineStr">
        <is>
          <t>cmm55w57p0004cuisfrtpqly8</t>
        </is>
      </c>
      <c r="H391" t="inlineStr">
        <is>
          <t>Beslutsvillkor</t>
        </is>
      </c>
      <c r="I391" t="inlineStr">
        <is>
          <t>DagvattenLakvatten</t>
        </is>
      </c>
      <c r="J391" t="inlineStr">
        <is>
          <t>Uppsamling</t>
        </is>
      </c>
      <c r="K391" t="inlineStr">
        <is>
          <t>Krav i föreläggandet angående invallning av kemikalier och farligt avfall, uppsamling av eventuellt spill samt tillgång till absorptionsmedel beslutas med hänvisning till 2 kap.</t>
        </is>
      </c>
      <c r="L391" t="inlineStr">
        <is>
          <t>Krav i föreläggandet angående invallning av kemikalier och farligt avfall, uppsamling av eventuellt spill samt tillgång till absorptionsmedel beslutas med hänvisning till 2 kap.</t>
        </is>
      </c>
      <c r="M391" t="inlineStr">
        <is>
          <t>INFO</t>
        </is>
      </c>
      <c r="N391" t="inlineStr"/>
      <c r="O391" t="inlineStr"/>
      <c r="P391" t="inlineStr">
        <is>
          <t>Arlig</t>
        </is>
      </c>
      <c r="Q391" t="inlineStr">
        <is>
          <t>Forelaggande vid brist</t>
        </is>
      </c>
      <c r="R391" t="inlineStr">
        <is>
          <t>Vid nederbord och avrinning</t>
        </is>
      </c>
      <c r="S391" t="inlineStr"/>
      <c r="T391" t="inlineStr">
        <is>
          <t>250707</t>
        </is>
      </c>
      <c r="U391" t="inlineStr"/>
      <c r="V391" t="inlineStr"/>
      <c r="W391" t="inlineStr">
        <is>
          <t>Nej</t>
        </is>
      </c>
      <c r="X391" t="inlineStr">
        <is>
          <t>Ja</t>
        </is>
      </c>
      <c r="Y391" t="inlineStr">
        <is>
          <t>Ja</t>
        </is>
      </c>
      <c r="Z391" t="inlineStr">
        <is>
          <t>Nej</t>
        </is>
      </c>
      <c r="AA391" t="n">
        <v>6</v>
      </c>
      <c r="AB391" t="inlineStr">
        <is>
          <t>Lakvattenhantering</t>
        </is>
      </c>
      <c r="AC391" t="inlineStr">
        <is>
          <t>Flodesschema dagvatten-lakvatten</t>
        </is>
      </c>
      <c r="AD391" t="inlineStr">
        <is>
          <t>Nej</t>
        </is>
      </c>
      <c r="AE391" t="inlineStr">
        <is>
          <t>Nej</t>
        </is>
      </c>
      <c r="AF391" t="inlineStr">
        <is>
          <t>Ej behandlad</t>
        </is>
      </c>
      <c r="AG391" t="inlineStr">
        <is>
          <t>AUTO_GENERERAD. Verifiera citat mot kallfil.</t>
        </is>
      </c>
      <c r="AH391" t="inlineStr">
        <is>
          <t>MEDIUM</t>
        </is>
      </c>
      <c r="AI391" t="inlineStr">
        <is>
          <t>AUTO</t>
        </is>
      </c>
      <c r="AJ391" t="inlineStr">
        <is>
          <t>Nej</t>
        </is>
      </c>
      <c r="AK391" t="inlineStr"/>
      <c r="AL391" t="inlineStr"/>
      <c r="AM391" t="inlineStr"/>
      <c r="AN391" t="inlineStr"/>
      <c r="AO391" t="inlineStr">
        <is>
          <t>cmm4yurfq04i5cuqw1drt61jr</t>
        </is>
      </c>
      <c r="AP391" t="inlineStr">
        <is>
          <t>http://localhost:8787/api/admin/requirements/documents/cmm4yurfq04i5cuqw1drt61jr/view</t>
        </is>
      </c>
      <c r="AQ391">
        <f>HYPERLÄNK("http://localhost:8787/api/admin/requirements/documents/cmm4yurfq04i5cuqw1drt61jr/view";"Öppna PDF")</f>
        <v/>
      </c>
      <c r="AR391">
        <f>HYPERLINK("http://localhost:8787/api/admin/requirements/documents/cmm4yurfq04i5cuqw1drt61jr/view","Open PDF")</f>
        <v/>
      </c>
      <c r="AS391" t="inlineStr">
        <is>
          <t>cmm55w57p0004cuisfrtpqly8</t>
        </is>
      </c>
      <c r="AT391" t="inlineStr">
        <is>
          <t>cmm4xvu980000cuh4vj0usz09</t>
        </is>
      </c>
      <c r="AU391" t="inlineStr"/>
      <c r="AV391" t="inlineStr">
        <is>
          <t>Kommun</t>
        </is>
      </c>
      <c r="AW391" t="inlineStr"/>
      <c r="AX391" t="inlineStr">
        <is>
          <t>2025-10</t>
        </is>
      </c>
      <c r="AY391" t="inlineStr">
        <is>
          <t>Beslut</t>
        </is>
      </c>
      <c r="AZ391" t="inlineStr">
        <is>
          <t>2026-02-13</t>
        </is>
      </c>
      <c r="BA391" t="inlineStr">
        <is>
          <t>VGS-MH-2025-2444.pdf</t>
        </is>
      </c>
      <c r="BB391" t="inlineStr">
        <is>
          <t>Sv: till registrator</t>
        </is>
      </c>
      <c r="BC391" t="inlineStr">
        <is>
          <t>AUTO</t>
        </is>
      </c>
      <c r="BD391" t="inlineStr"/>
      <c r="BE391" t="inlineStr"/>
      <c r="BF391" t="inlineStr">
        <is>
          <t>AUTO_GENERERAD. Bekrafta metadata mot kallfil.</t>
        </is>
      </c>
      <c r="BG391">
        <f>HYPERLINK("C:\Users\jimmy\Desktop\Examens arbete\Kod\Ny mapp\remix_-copy-of-miljöbeslut.se-portal\VGS-MH-2025-2444.pdf", "Öppna PDF")</f>
        <v/>
      </c>
    </row>
    <row r="392">
      <c r="A392" t="inlineStr">
        <is>
          <t>KRAV-AUTO-000391</t>
        </is>
      </c>
      <c r="B392" t="inlineStr">
        <is>
          <t>ADMIN-INDEX-2026-02-27-00000000125C043F57453246863FE664CAFE6A3F0700950291EA24F0614FB6ACEDB12BF0E31D00000000010C0000950291EA24F0614FB6ACEDB12BF0E31D000073AF24000000</t>
        </is>
      </c>
      <c r="C392" t="inlineStr">
        <is>
          <t>cmm4yurf504hhcuqwlbc7m7mi</t>
        </is>
      </c>
      <c r="D392" t="inlineStr">
        <is>
          <t>http://localhost:8787/api/admin/requirements/documents/cmm4yurf504hhcuqwlbc7m7mi/view</t>
        </is>
      </c>
      <c r="E392">
        <f>HYPERLÄNK("http://localhost:8787/api/admin/requirements/documents/cmm4yurf504hhcuqwlbc7m7mi/view";"Öppna PDF")</f>
        <v/>
      </c>
      <c r="F392">
        <f>HYPERLINK("http://localhost:8787/api/admin/requirements/documents/cmm4yurf504hhcuqwlbc7m7mi/view","Open PDF")</f>
        <v/>
      </c>
      <c r="G392" t="inlineStr">
        <is>
          <t>cmm55w57p0004cuisfrtpqly8</t>
        </is>
      </c>
      <c r="H392" t="inlineStr">
        <is>
          <t>Beslutsvillkor</t>
        </is>
      </c>
      <c r="I392" t="inlineStr">
        <is>
          <t>LagringsvolymTid</t>
        </is>
      </c>
      <c r="J392" t="inlineStr">
        <is>
          <t>Maxmangd</t>
        </is>
      </c>
      <c r="K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 har de tillstånd som krävs?</t>
        </is>
      </c>
      <c r="L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t>
        </is>
      </c>
      <c r="M392" t="inlineStr">
        <is>
          <t>SKA</t>
        </is>
      </c>
      <c r="N392" t="inlineStr"/>
      <c r="O392" t="inlineStr"/>
      <c r="P392" t="inlineStr"/>
      <c r="Q392" t="inlineStr"/>
      <c r="R392" t="inlineStr">
        <is>
          <t>Alltid</t>
        </is>
      </c>
      <c r="S392" t="inlineStr"/>
      <c r="T392" t="inlineStr">
        <is>
          <t>250707</t>
        </is>
      </c>
      <c r="U392" t="inlineStr"/>
      <c r="V392" t="inlineStr"/>
      <c r="W392" t="inlineStr">
        <is>
          <t>Nej</t>
        </is>
      </c>
      <c r="X392" t="inlineStr">
        <is>
          <t>Nej</t>
        </is>
      </c>
      <c r="Y392" t="inlineStr">
        <is>
          <t>Nej</t>
        </is>
      </c>
      <c r="Z392" t="inlineStr">
        <is>
          <t>Nej</t>
        </is>
      </c>
      <c r="AA392" t="n">
        <v>4</v>
      </c>
      <c r="AB392" t="inlineStr">
        <is>
          <t>Avfallsmangder och lagringstid</t>
        </is>
      </c>
      <c r="AC392" t="inlineStr">
        <is>
          <t>Avfallsforteckning</t>
        </is>
      </c>
      <c r="AD392" t="inlineStr">
        <is>
          <t>Nej</t>
        </is>
      </c>
      <c r="AE392" t="inlineStr">
        <is>
          <t>Nej</t>
        </is>
      </c>
      <c r="AF392" t="inlineStr">
        <is>
          <t>Ej behandlad</t>
        </is>
      </c>
      <c r="AG392" t="inlineStr">
        <is>
          <t>AUTO_GENERERAD. Verifiera citat mot kallfil.</t>
        </is>
      </c>
      <c r="AH392" t="inlineStr">
        <is>
          <t>MEDIUM</t>
        </is>
      </c>
      <c r="AI392" t="inlineStr">
        <is>
          <t>AUTO</t>
        </is>
      </c>
      <c r="AJ392" t="inlineStr">
        <is>
          <t>Nej</t>
        </is>
      </c>
      <c r="AK392" t="inlineStr"/>
      <c r="AL392" t="inlineStr"/>
      <c r="AM392" t="inlineStr"/>
      <c r="AN392" t="inlineStr"/>
      <c r="AO392" t="inlineStr">
        <is>
          <t>cmm4yurfq04i5cuqw1drt61jr</t>
        </is>
      </c>
      <c r="AP392" t="inlineStr">
        <is>
          <t>http://localhost:8787/api/admin/requirements/documents/cmm4yurfq04i5cuqw1drt61jr/view</t>
        </is>
      </c>
      <c r="AQ392">
        <f>HYPERLÄNK("http://localhost:8787/api/admin/requirements/documents/cmm4yurfq04i5cuqw1drt61jr/view";"Öppna PDF")</f>
        <v/>
      </c>
      <c r="AR392">
        <f>HYPERLINK("http://localhost:8787/api/admin/requirements/documents/cmm4yurfq04i5cuqw1drt61jr/view","Open PDF")</f>
        <v/>
      </c>
      <c r="AS392" t="inlineStr">
        <is>
          <t>cmm55w57p0004cuisfrtpqly8</t>
        </is>
      </c>
      <c r="AT392" t="inlineStr">
        <is>
          <t>cmm4xvu980000cuh4vj0usz09</t>
        </is>
      </c>
      <c r="AU392" t="inlineStr"/>
      <c r="AV392" t="inlineStr">
        <is>
          <t>Kommun</t>
        </is>
      </c>
      <c r="AW392" t="inlineStr"/>
      <c r="AX392" t="inlineStr">
        <is>
          <t>2025-10</t>
        </is>
      </c>
      <c r="AY392" t="inlineStr">
        <is>
          <t>Beslut</t>
        </is>
      </c>
      <c r="AZ392" t="inlineStr">
        <is>
          <t>2026-02-13</t>
        </is>
      </c>
      <c r="BA392" t="inlineStr">
        <is>
          <t>VGS-MH-2025-2444.pdf</t>
        </is>
      </c>
      <c r="BB392" t="inlineStr">
        <is>
          <t>Sv: till registrator</t>
        </is>
      </c>
      <c r="BC392" t="inlineStr">
        <is>
          <t>AUTO</t>
        </is>
      </c>
      <c r="BD392" t="inlineStr"/>
      <c r="BE392" t="inlineStr"/>
      <c r="BF392" t="inlineStr">
        <is>
          <t>AUTO_GENERERAD. Bekrafta metadata mot kallfil.</t>
        </is>
      </c>
      <c r="BG392">
        <f>HYPERLINK("C:\Users\jimmy\Desktop\Examens arbete\Kod\Ny mapp\remix_-copy-of-miljöbeslut.se-portal\VGS-MH-2025-2444.pdf", "Öppna PDF")</f>
        <v/>
      </c>
    </row>
    <row r="393">
      <c r="A393" t="inlineStr">
        <is>
          <t>KRAV-AUTO-000392</t>
        </is>
      </c>
      <c r="B393" t="inlineStr">
        <is>
          <t>ADMIN-INDEX-2026-02-27-00000000125C043F57453246863FE664CAFE6A3F0700950291EA24F0614FB6ACEDB12BF0E31D00000000010C0000950291EA24F0614FB6ACEDB12BF0E31D000073AF24000000</t>
        </is>
      </c>
      <c r="C393" t="inlineStr">
        <is>
          <t>cmm4yurf504hhcuqwlbc7m7mi</t>
        </is>
      </c>
      <c r="D393" t="inlineStr">
        <is>
          <t>http://localhost:8787/api/admin/requirements/documents/cmm4yurf504hhcuqwlbc7m7mi/view</t>
        </is>
      </c>
      <c r="E393">
        <f>HYPERLÄNK("http://localhost:8787/api/admin/requirements/documents/cmm4yurf504hhcuqwlbc7m7mi/view";"Öppna PDF")</f>
        <v/>
      </c>
      <c r="F393">
        <f>HYPERLINK("http://localhost:8787/api/admin/requirements/documents/cmm4yurf504hhcuqwlbc7m7mi/view","Open PDF")</f>
        <v/>
      </c>
      <c r="G393" t="inlineStr">
        <is>
          <t>cmm55w57p0004cuisfrtpqly8</t>
        </is>
      </c>
      <c r="H393" t="inlineStr">
        <is>
          <t>Beslutsvillkor</t>
        </is>
      </c>
      <c r="I393" t="inlineStr">
        <is>
          <t>TransportLogistik</t>
        </is>
      </c>
      <c r="J393" t="inlineStr">
        <is>
          <t>Transportvagar</t>
        </is>
      </c>
      <c r="K393" t="inlineStr">
        <is>
          <t>Valbo Entreprenad AB Hur ofta ska avfallet transporteras bort?</t>
        </is>
      </c>
      <c r="L393" t="inlineStr">
        <is>
          <t>Valbo Entreprenad AB Hur ofta ska avfallet transporteras bort?</t>
        </is>
      </c>
      <c r="M393" t="inlineStr">
        <is>
          <t>SKA</t>
        </is>
      </c>
      <c r="N393" t="inlineStr"/>
      <c r="O393" t="inlineStr"/>
      <c r="P393" t="inlineStr"/>
      <c r="Q393" t="inlineStr"/>
      <c r="R393" t="inlineStr">
        <is>
          <t>Vid transporter</t>
        </is>
      </c>
      <c r="S393" t="inlineStr"/>
      <c r="T393" t="inlineStr">
        <is>
          <t>250707</t>
        </is>
      </c>
      <c r="U393" t="inlineStr"/>
      <c r="V393" t="inlineStr"/>
      <c r="W393" t="inlineStr">
        <is>
          <t>Nej</t>
        </is>
      </c>
      <c r="X393" t="inlineStr">
        <is>
          <t>Nej</t>
        </is>
      </c>
      <c r="Y393" t="inlineStr">
        <is>
          <t>Nej</t>
        </is>
      </c>
      <c r="Z393" t="inlineStr">
        <is>
          <t>Ja</t>
        </is>
      </c>
      <c r="AA393" t="n">
        <v>9</v>
      </c>
      <c r="AB393" t="inlineStr">
        <is>
          <t>Transporter och logistik</t>
        </is>
      </c>
      <c r="AC393" t="inlineStr">
        <is>
          <t>Trafikplan</t>
        </is>
      </c>
      <c r="AD393" t="inlineStr">
        <is>
          <t>Nej</t>
        </is>
      </c>
      <c r="AE393" t="inlineStr">
        <is>
          <t>Nej</t>
        </is>
      </c>
      <c r="AF393" t="inlineStr">
        <is>
          <t>Ej behandlad</t>
        </is>
      </c>
      <c r="AG393" t="inlineStr">
        <is>
          <t>AUTO_GENERERAD. Verifiera citat mot kallfil.</t>
        </is>
      </c>
      <c r="AH393" t="inlineStr">
        <is>
          <t>MEDIUM</t>
        </is>
      </c>
      <c r="AI393" t="inlineStr">
        <is>
          <t>AUTO</t>
        </is>
      </c>
      <c r="AJ393" t="inlineStr">
        <is>
          <t>Nej</t>
        </is>
      </c>
      <c r="AK393" t="inlineStr"/>
      <c r="AL393" t="inlineStr"/>
      <c r="AM393" t="inlineStr"/>
      <c r="AN393" t="inlineStr"/>
      <c r="AO393" t="inlineStr">
        <is>
          <t>cmm4yurfq04i5cuqw1drt61jr</t>
        </is>
      </c>
      <c r="AP393" t="inlineStr">
        <is>
          <t>http://localhost:8787/api/admin/requirements/documents/cmm4yurfq04i5cuqw1drt61jr/view</t>
        </is>
      </c>
      <c r="AQ393">
        <f>HYPERLÄNK("http://localhost:8787/api/admin/requirements/documents/cmm4yurfq04i5cuqw1drt61jr/view";"Öppna PDF")</f>
        <v/>
      </c>
      <c r="AR393">
        <f>HYPERLINK("http://localhost:8787/api/admin/requirements/documents/cmm4yurfq04i5cuqw1drt61jr/view","Open PDF")</f>
        <v/>
      </c>
      <c r="AS393" t="inlineStr">
        <is>
          <t>cmm55w57p0004cuisfrtpqly8</t>
        </is>
      </c>
      <c r="AT393" t="inlineStr">
        <is>
          <t>cmm4xvu980000cuh4vj0usz09</t>
        </is>
      </c>
      <c r="AU393" t="inlineStr"/>
      <c r="AV393" t="inlineStr">
        <is>
          <t>Kommun</t>
        </is>
      </c>
      <c r="AW393" t="inlineStr"/>
      <c r="AX393" t="inlineStr">
        <is>
          <t>2025-10</t>
        </is>
      </c>
      <c r="AY393" t="inlineStr">
        <is>
          <t>Beslut</t>
        </is>
      </c>
      <c r="AZ393" t="inlineStr">
        <is>
          <t>2026-02-13</t>
        </is>
      </c>
      <c r="BA393" t="inlineStr">
        <is>
          <t>VGS-MH-2025-2444.pdf</t>
        </is>
      </c>
      <c r="BB393" t="inlineStr">
        <is>
          <t>Sv: till registrator</t>
        </is>
      </c>
      <c r="BC393" t="inlineStr">
        <is>
          <t>AUTO</t>
        </is>
      </c>
      <c r="BD393" t="inlineStr"/>
      <c r="BE393" t="inlineStr"/>
      <c r="BF393" t="inlineStr">
        <is>
          <t>AUTO_GENERERAD. Bekrafta metadata mot kallfil.</t>
        </is>
      </c>
      <c r="BG393">
        <f>HYPERLINK("C:\Users\jimmy\Desktop\Examens arbete\Kod\Ny mapp\remix_-copy-of-miljöbeslut.se-portal\VGS-MH-2025-2444.pdf", "Öppna PDF")</f>
        <v/>
      </c>
    </row>
    <row r="394">
      <c r="A394" t="inlineStr">
        <is>
          <t>KRAV-AUTO-000393</t>
        </is>
      </c>
      <c r="B394" t="inlineStr">
        <is>
          <t>ADMIN-INDEX-2026-02-27-00000000125C043F57453246863FE664CAFE6A3F0700950291EA24F0614FB6ACEDB12BF0E31D00000000010C0000950291EA24F0614FB6ACEDB12BF0E31D000073AF24000000</t>
        </is>
      </c>
      <c r="C394" t="inlineStr">
        <is>
          <t>cmm4yurf204hecuqwvl3ipi92</t>
        </is>
      </c>
      <c r="D394" t="inlineStr">
        <is>
          <t>http://localhost:8787/api/admin/requirements/documents/cmm4yurf204hecuqwvl3ipi92/view</t>
        </is>
      </c>
      <c r="E394">
        <f>HYPERLÄNK("http://localhost:8787/api/admin/requirements/documents/cmm4yurf204hecuqwvl3ipi92/view";"Öppna PDF")</f>
        <v/>
      </c>
      <c r="F394">
        <f>HYPERLINK("http://localhost:8787/api/admin/requirements/documents/cmm4yurf204hecuqwvl3ipi92/view","Open PDF")</f>
        <v/>
      </c>
      <c r="G394" t="inlineStr">
        <is>
          <t>cmm55w57p0004cuisfrtpqly8</t>
        </is>
      </c>
      <c r="H394" t="inlineStr">
        <is>
          <t>Beslutsvillkor</t>
        </is>
      </c>
      <c r="I394" t="inlineStr">
        <is>
          <t>DagvattenLakvatten</t>
        </is>
      </c>
      <c r="J394" t="inlineStr">
        <is>
          <t>Uppsamling</t>
        </is>
      </c>
      <c r="K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L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M394" t="inlineStr">
        <is>
          <t>SKA</t>
        </is>
      </c>
      <c r="N394" t="inlineStr"/>
      <c r="O394" t="inlineStr"/>
      <c r="P394" t="inlineStr"/>
      <c r="Q394" t="inlineStr"/>
      <c r="R394" t="inlineStr">
        <is>
          <t>Vid nederbord och avrinning</t>
        </is>
      </c>
      <c r="S394" t="inlineStr"/>
      <c r="T394" t="inlineStr">
        <is>
          <t>212000</t>
        </is>
      </c>
      <c r="U394" t="inlineStr"/>
      <c r="V394" t="inlineStr"/>
      <c r="W394" t="inlineStr">
        <is>
          <t>Nej</t>
        </is>
      </c>
      <c r="X394" t="inlineStr">
        <is>
          <t>Ja</t>
        </is>
      </c>
      <c r="Y394" t="inlineStr">
        <is>
          <t>Ja</t>
        </is>
      </c>
      <c r="Z394" t="inlineStr">
        <is>
          <t>Nej</t>
        </is>
      </c>
      <c r="AA394" t="n">
        <v>6</v>
      </c>
      <c r="AB394" t="inlineStr">
        <is>
          <t>Lakvattenhantering</t>
        </is>
      </c>
      <c r="AC394" t="inlineStr">
        <is>
          <t>Flodesschema dagvatten-lakvatten</t>
        </is>
      </c>
      <c r="AD394" t="inlineStr">
        <is>
          <t>Nej</t>
        </is>
      </c>
      <c r="AE394" t="inlineStr">
        <is>
          <t>Nej</t>
        </is>
      </c>
      <c r="AF394" t="inlineStr">
        <is>
          <t>Ej behandlad</t>
        </is>
      </c>
      <c r="AG394" t="inlineStr">
        <is>
          <t>AUTO_GENERERAD. Verifiera citat mot kallfil.</t>
        </is>
      </c>
      <c r="AH394" t="inlineStr">
        <is>
          <t>MEDIUM</t>
        </is>
      </c>
      <c r="AI394" t="inlineStr">
        <is>
          <t>AUTO</t>
        </is>
      </c>
      <c r="AJ394" t="inlineStr">
        <is>
          <t>Nej</t>
        </is>
      </c>
      <c r="AK394" t="inlineStr"/>
      <c r="AL394" t="inlineStr"/>
      <c r="AM394" t="inlineStr"/>
      <c r="AN394" t="inlineStr"/>
      <c r="AO394" t="inlineStr">
        <is>
          <t>cmm4yurfq04i5cuqw1drt61jr</t>
        </is>
      </c>
      <c r="AP394" t="inlineStr">
        <is>
          <t>http://localhost:8787/api/admin/requirements/documents/cmm4yurfq04i5cuqw1drt61jr/view</t>
        </is>
      </c>
      <c r="AQ394">
        <f>HYPERLÄNK("http://localhost:8787/api/admin/requirements/documents/cmm4yurfq04i5cuqw1drt61jr/view";"Öppna PDF")</f>
        <v/>
      </c>
      <c r="AR394">
        <f>HYPERLINK("http://localhost:8787/api/admin/requirements/documents/cmm4yurfq04i5cuqw1drt61jr/view","Open PDF")</f>
        <v/>
      </c>
      <c r="AS394" t="inlineStr">
        <is>
          <t>cmm55w57p0004cuisfrtpqly8</t>
        </is>
      </c>
      <c r="AT394" t="inlineStr">
        <is>
          <t>cmm4xvu980000cuh4vj0usz09</t>
        </is>
      </c>
      <c r="AU394" t="inlineStr"/>
      <c r="AV394" t="inlineStr">
        <is>
          <t>Kommun</t>
        </is>
      </c>
      <c r="AW394" t="inlineStr"/>
      <c r="AX394" t="inlineStr">
        <is>
          <t>2025-10</t>
        </is>
      </c>
      <c r="AY394" t="inlineStr">
        <is>
          <t>Beslut</t>
        </is>
      </c>
      <c r="AZ394" t="inlineStr">
        <is>
          <t>2026-02-13</t>
        </is>
      </c>
      <c r="BA394" t="inlineStr">
        <is>
          <t>VGS-MH-2025-2444.pdf</t>
        </is>
      </c>
      <c r="BB394" t="inlineStr">
        <is>
          <t>Sv: till registrator</t>
        </is>
      </c>
      <c r="BC394" t="inlineStr">
        <is>
          <t>AUTO</t>
        </is>
      </c>
      <c r="BD394" t="inlineStr"/>
      <c r="BE394" t="inlineStr"/>
      <c r="BF394" t="inlineStr">
        <is>
          <t>AUTO_GENERERAD. Bekrafta metadata mot kallfil.</t>
        </is>
      </c>
      <c r="BG394">
        <f>HYPERLINK("C:\Users\jimmy\Desktop\Examens arbete\Kod\Ny mapp\remix_-copy-of-miljöbeslut.se-portal\VGS-MH-2025-2444.pdf", "Öppna PDF")</f>
        <v/>
      </c>
    </row>
    <row r="395">
      <c r="A395" t="inlineStr">
        <is>
          <t>KRAV-AUTO-000394</t>
        </is>
      </c>
      <c r="B395" t="inlineStr">
        <is>
          <t>ADMIN-INDEX-2026-02-27-00000000125C043F57453246863FE664CAFE6A3F0700950291EA24F0614FB6ACEDB12BF0E31D00000000010C0000950291EA24F0614FB6ACEDB12BF0E31D000073AF24000000</t>
        </is>
      </c>
      <c r="C395" t="inlineStr">
        <is>
          <t>cmm4yurf204hecuqwvl3ipi92</t>
        </is>
      </c>
      <c r="D395" t="inlineStr">
        <is>
          <t>http://localhost:8787/api/admin/requirements/documents/cmm4yurf204hecuqwvl3ipi92/view</t>
        </is>
      </c>
      <c r="E395">
        <f>HYPERLÄNK("http://localhost:8787/api/admin/requirements/documents/cmm4yurf204hecuqwvl3ipi92/view";"Öppna PDF")</f>
        <v/>
      </c>
      <c r="F395">
        <f>HYPERLINK("http://localhost:8787/api/admin/requirements/documents/cmm4yurf204hecuqwvl3ipi92/view","Open PDF")</f>
        <v/>
      </c>
      <c r="G395" t="inlineStr">
        <is>
          <t>cmm55w57p0004cuisfrtpqly8</t>
        </is>
      </c>
      <c r="H395" t="inlineStr">
        <is>
          <t>Beslutsvillkor</t>
        </is>
      </c>
      <c r="I395" t="inlineStr">
        <is>
          <t>DagvattenLakvatten</t>
        </is>
      </c>
      <c r="J395" t="inlineStr">
        <is>
          <t>Uppsamling</t>
        </is>
      </c>
      <c r="K395" t="inlineStr">
        <is>
          <t>Krav i föreläggandet angående invallning av kemikalier och farligt avfall, uppsamling av eventuellt spill samt tillgång till absorptionsmedel beslutas med hänvisning till 2 kap.</t>
        </is>
      </c>
      <c r="L395" t="inlineStr">
        <is>
          <t>Krav i föreläggandet angående invallning av kemikalier och farligt avfall, uppsamling av eventuellt spill samt tillgång till absorptionsmedel beslutas med hänvisning till 2 kap.</t>
        </is>
      </c>
      <c r="M395" t="inlineStr">
        <is>
          <t>INFO</t>
        </is>
      </c>
      <c r="N395" t="inlineStr"/>
      <c r="O395" t="inlineStr"/>
      <c r="P395" t="inlineStr">
        <is>
          <t>Arlig</t>
        </is>
      </c>
      <c r="Q395" t="inlineStr">
        <is>
          <t>Forelaggande vid brist</t>
        </is>
      </c>
      <c r="R395" t="inlineStr">
        <is>
          <t>Vid nederbord och avrinning</t>
        </is>
      </c>
      <c r="S395" t="inlineStr"/>
      <c r="T395" t="inlineStr">
        <is>
          <t>212000</t>
        </is>
      </c>
      <c r="U395" t="inlineStr"/>
      <c r="V395" t="inlineStr"/>
      <c r="W395" t="inlineStr">
        <is>
          <t>Nej</t>
        </is>
      </c>
      <c r="X395" t="inlineStr">
        <is>
          <t>Ja</t>
        </is>
      </c>
      <c r="Y395" t="inlineStr">
        <is>
          <t>Ja</t>
        </is>
      </c>
      <c r="Z395" t="inlineStr">
        <is>
          <t>Nej</t>
        </is>
      </c>
      <c r="AA395" t="n">
        <v>6</v>
      </c>
      <c r="AB395" t="inlineStr">
        <is>
          <t>Lakvattenhantering</t>
        </is>
      </c>
      <c r="AC395" t="inlineStr">
        <is>
          <t>Flodesschema dagvatten-lakvatten</t>
        </is>
      </c>
      <c r="AD395" t="inlineStr">
        <is>
          <t>Nej</t>
        </is>
      </c>
      <c r="AE395" t="inlineStr">
        <is>
          <t>Nej</t>
        </is>
      </c>
      <c r="AF395" t="inlineStr">
        <is>
          <t>Ej behandlad</t>
        </is>
      </c>
      <c r="AG395" t="inlineStr">
        <is>
          <t>AUTO_GENERERAD. Verifiera citat mot kallfil.</t>
        </is>
      </c>
      <c r="AH395" t="inlineStr">
        <is>
          <t>MEDIUM</t>
        </is>
      </c>
      <c r="AI395" t="inlineStr">
        <is>
          <t>AUTO</t>
        </is>
      </c>
      <c r="AJ395" t="inlineStr">
        <is>
          <t>Nej</t>
        </is>
      </c>
      <c r="AK395" t="inlineStr"/>
      <c r="AL395" t="inlineStr"/>
      <c r="AM395" t="inlineStr"/>
      <c r="AN395" t="inlineStr"/>
      <c r="AO395" t="inlineStr">
        <is>
          <t>cmm4yurfq04i5cuqw1drt61jr</t>
        </is>
      </c>
      <c r="AP395" t="inlineStr">
        <is>
          <t>http://localhost:8787/api/admin/requirements/documents/cmm4yurfq04i5cuqw1drt61jr/view</t>
        </is>
      </c>
      <c r="AQ395">
        <f>HYPERLÄNK("http://localhost:8787/api/admin/requirements/documents/cmm4yurfq04i5cuqw1drt61jr/view";"Öppna PDF")</f>
        <v/>
      </c>
      <c r="AR395">
        <f>HYPERLINK("http://localhost:8787/api/admin/requirements/documents/cmm4yurfq04i5cuqw1drt61jr/view","Open PDF")</f>
        <v/>
      </c>
      <c r="AS395" t="inlineStr">
        <is>
          <t>cmm55w57p0004cuisfrtpqly8</t>
        </is>
      </c>
      <c r="AT395" t="inlineStr">
        <is>
          <t>cmm4xvu980000cuh4vj0usz09</t>
        </is>
      </c>
      <c r="AU395" t="inlineStr"/>
      <c r="AV395" t="inlineStr">
        <is>
          <t>Kommun</t>
        </is>
      </c>
      <c r="AW395" t="inlineStr"/>
      <c r="AX395" t="inlineStr">
        <is>
          <t>2025-10</t>
        </is>
      </c>
      <c r="AY395" t="inlineStr">
        <is>
          <t>Beslut</t>
        </is>
      </c>
      <c r="AZ395" t="inlineStr">
        <is>
          <t>2026-02-13</t>
        </is>
      </c>
      <c r="BA395" t="inlineStr">
        <is>
          <t>VGS-MH-2025-2444.pdf</t>
        </is>
      </c>
      <c r="BB395" t="inlineStr">
        <is>
          <t>Sv: till registrator</t>
        </is>
      </c>
      <c r="BC395" t="inlineStr">
        <is>
          <t>AUTO</t>
        </is>
      </c>
      <c r="BD395" t="inlineStr"/>
      <c r="BE395" t="inlineStr"/>
      <c r="BF395" t="inlineStr">
        <is>
          <t>AUTO_GENERERAD. Bekrafta metadata mot kallfil.</t>
        </is>
      </c>
      <c r="BG395">
        <f>HYPERLINK("C:\Users\jimmy\Desktop\Examens arbete\Kod\Ny mapp\remix_-copy-of-miljöbeslut.se-portal\VGS-MH-2025-2444.pdf", "Öppna PDF")</f>
        <v/>
      </c>
    </row>
    <row r="396">
      <c r="A396" t="inlineStr">
        <is>
          <t>KRAV-AUTO-000395</t>
        </is>
      </c>
      <c r="B396" t="inlineStr">
        <is>
          <t>ADMIN-INDEX-2026-02-27-00000000125C043F57453246863FE664CAFE6A3F0700950291EA24F0614FB6ACEDB12BF0E31D00000000010C0000950291EA24F0614FB6ACEDB12BF0E31D000073AF24000000</t>
        </is>
      </c>
      <c r="C396" t="inlineStr">
        <is>
          <t>cmm4yurf204hecuqwvl3ipi92</t>
        </is>
      </c>
      <c r="D396" t="inlineStr">
        <is>
          <t>http://localhost:8787/api/admin/requirements/documents/cmm4yurf204hecuqwvl3ipi92/view</t>
        </is>
      </c>
      <c r="E396">
        <f>HYPERLÄNK("http://localhost:8787/api/admin/requirements/documents/cmm4yurf204hecuqwvl3ipi92/view";"Öppna PDF")</f>
        <v/>
      </c>
      <c r="F396">
        <f>HYPERLINK("http://localhost:8787/api/admin/requirements/documents/cmm4yurf204hecuqwvl3ipi92/view","Open PDF")</f>
        <v/>
      </c>
      <c r="G396" t="inlineStr">
        <is>
          <t>cmm55w57p0004cuisfrtpqly8</t>
        </is>
      </c>
      <c r="H396" t="inlineStr">
        <is>
          <t>Beslutsvillkor</t>
        </is>
      </c>
      <c r="I396" t="inlineStr">
        <is>
          <t>TransportLogistik</t>
        </is>
      </c>
      <c r="J396" t="inlineStr">
        <is>
          <t>Transportvagar</t>
        </is>
      </c>
      <c r="K396" t="inlineStr">
        <is>
          <t>MB Gräv &amp; Last AB Hur ofta ska avfallet transporteras bort?</t>
        </is>
      </c>
      <c r="L396" t="inlineStr">
        <is>
          <t>MB Gräv &amp; Last AB Hur ofta ska avfallet transporteras bort?</t>
        </is>
      </c>
      <c r="M396" t="inlineStr">
        <is>
          <t>SKA</t>
        </is>
      </c>
      <c r="N396" t="inlineStr"/>
      <c r="O396" t="inlineStr"/>
      <c r="P396" t="inlineStr"/>
      <c r="Q396" t="inlineStr"/>
      <c r="R396" t="inlineStr">
        <is>
          <t>Vid transporter</t>
        </is>
      </c>
      <c r="S396" t="inlineStr"/>
      <c r="T396" t="inlineStr">
        <is>
          <t>212000</t>
        </is>
      </c>
      <c r="U396" t="inlineStr"/>
      <c r="V396" t="inlineStr"/>
      <c r="W396" t="inlineStr">
        <is>
          <t>Nej</t>
        </is>
      </c>
      <c r="X396" t="inlineStr">
        <is>
          <t>Nej</t>
        </is>
      </c>
      <c r="Y396" t="inlineStr">
        <is>
          <t>Nej</t>
        </is>
      </c>
      <c r="Z396" t="inlineStr">
        <is>
          <t>Ja</t>
        </is>
      </c>
      <c r="AA396" t="n">
        <v>9</v>
      </c>
      <c r="AB396" t="inlineStr">
        <is>
          <t>Transporter och logistik</t>
        </is>
      </c>
      <c r="AC396" t="inlineStr">
        <is>
          <t>Trafikplan</t>
        </is>
      </c>
      <c r="AD396" t="inlineStr">
        <is>
          <t>Nej</t>
        </is>
      </c>
      <c r="AE396" t="inlineStr">
        <is>
          <t>Nej</t>
        </is>
      </c>
      <c r="AF396" t="inlineStr">
        <is>
          <t>Ej behandlad</t>
        </is>
      </c>
      <c r="AG396" t="inlineStr">
        <is>
          <t>AUTO_GENERERAD. Verifiera citat mot kallfil.</t>
        </is>
      </c>
      <c r="AH396" t="inlineStr">
        <is>
          <t>MEDIUM</t>
        </is>
      </c>
      <c r="AI396" t="inlineStr">
        <is>
          <t>AUTO</t>
        </is>
      </c>
      <c r="AJ396" t="inlineStr">
        <is>
          <t>Nej</t>
        </is>
      </c>
      <c r="AK396" t="inlineStr"/>
      <c r="AL396" t="inlineStr"/>
      <c r="AM396" t="inlineStr"/>
      <c r="AN396" t="inlineStr"/>
      <c r="AO396" t="inlineStr">
        <is>
          <t>cmm4yurfq04i5cuqw1drt61jr</t>
        </is>
      </c>
      <c r="AP396" t="inlineStr">
        <is>
          <t>http://localhost:8787/api/admin/requirements/documents/cmm4yurfq04i5cuqw1drt61jr/view</t>
        </is>
      </c>
      <c r="AQ396">
        <f>HYPERLÄNK("http://localhost:8787/api/admin/requirements/documents/cmm4yurfq04i5cuqw1drt61jr/view";"Öppna PDF")</f>
        <v/>
      </c>
      <c r="AR396">
        <f>HYPERLINK("http://localhost:8787/api/admin/requirements/documents/cmm4yurfq04i5cuqw1drt61jr/view","Open PDF")</f>
        <v/>
      </c>
      <c r="AS396" t="inlineStr">
        <is>
          <t>cmm55w57p0004cuisfrtpqly8</t>
        </is>
      </c>
      <c r="AT396" t="inlineStr">
        <is>
          <t>cmm4xvu980000cuh4vj0usz09</t>
        </is>
      </c>
      <c r="AU396" t="inlineStr"/>
      <c r="AV396" t="inlineStr">
        <is>
          <t>Kommun</t>
        </is>
      </c>
      <c r="AW396" t="inlineStr"/>
      <c r="AX396" t="inlineStr">
        <is>
          <t>2025-10</t>
        </is>
      </c>
      <c r="AY396" t="inlineStr">
        <is>
          <t>Beslut</t>
        </is>
      </c>
      <c r="AZ396" t="inlineStr">
        <is>
          <t>2026-02-13</t>
        </is>
      </c>
      <c r="BA396" t="inlineStr">
        <is>
          <t>VGS-MH-2025-2444.pdf</t>
        </is>
      </c>
      <c r="BB396" t="inlineStr">
        <is>
          <t>Sv: till registrator</t>
        </is>
      </c>
      <c r="BC396" t="inlineStr">
        <is>
          <t>AUTO</t>
        </is>
      </c>
      <c r="BD396" t="inlineStr"/>
      <c r="BE396" t="inlineStr"/>
      <c r="BF396" t="inlineStr">
        <is>
          <t>AUTO_GENERERAD. Bekrafta metadata mot kallfil.</t>
        </is>
      </c>
      <c r="BG396">
        <f>HYPERLINK("C:\Users\jimmy\Desktop\Examens arbete\Kod\Ny mapp\remix_-copy-of-miljöbeslut.se-portal\VGS-MH-2025-2444.pdf", "Öppna PDF")</f>
        <v/>
      </c>
    </row>
    <row r="397">
      <c r="A397" t="inlineStr">
        <is>
          <t>KRAV-AUTO-000396</t>
        </is>
      </c>
      <c r="B397" t="inlineStr">
        <is>
          <t>ADMIN-INDEX-2026-02-27-00000000125C043F57453246863FE664CAFE6A3F0700950291EA24F0614FB6ACEDB12BF0E31D00000000010C0000950291EA24F0614FB6ACEDB12BF0E31D00002087A57E0000</t>
        </is>
      </c>
      <c r="C397" t="inlineStr">
        <is>
          <t>cmm4yuren04gzcuqwx63secqv</t>
        </is>
      </c>
      <c r="D397" t="inlineStr">
        <is>
          <t>http://localhost:8787/api/admin/requirements/documents/cmm4yuren04gzcuqwx63secqv/view</t>
        </is>
      </c>
      <c r="E397">
        <f>HYPERLÄNK("http://localhost:8787/api/admin/requirements/documents/cmm4yuren04gzcuqwx63secqv/view";"Öppna PDF")</f>
        <v/>
      </c>
      <c r="F397">
        <f>HYPERLINK("http://localhost:8787/api/admin/requirements/documents/cmm4yuren04gzcuqwx63secqv/view","Open PDF")</f>
        <v/>
      </c>
      <c r="G397" t="inlineStr">
        <is>
          <t>cmm55w57p0004cuisfrtpqly8</t>
        </is>
      </c>
      <c r="H397" t="inlineStr">
        <is>
          <t>Beslutsvillkor</t>
        </is>
      </c>
      <c r="I397" t="inlineStr">
        <is>
          <t>LagringsvolymTid</t>
        </is>
      </c>
      <c r="J397" t="inlineStr">
        <is>
          <t>Maxmangd</t>
        </is>
      </c>
      <c r="K397" t="inlineStr">
        <is>
          <t>mer än 10 ton men högst 30 000 ton och avfallet ska användas för byggnads- eller anläggningsändamål, eller 2.</t>
        </is>
      </c>
      <c r="L397" t="inlineStr">
        <is>
          <t>mer än 10 ton men högst 30 000 ton och avfallet ska användas för byggnads- eller anläggningsändamål, eller 2.</t>
        </is>
      </c>
      <c r="M397" t="inlineStr">
        <is>
          <t>SKA</t>
        </is>
      </c>
      <c r="N397" t="inlineStr"/>
      <c r="O397" t="inlineStr"/>
      <c r="P397" t="inlineStr"/>
      <c r="Q397" t="inlineStr"/>
      <c r="R397" t="inlineStr">
        <is>
          <t>Alltid</t>
        </is>
      </c>
      <c r="S397" t="inlineStr"/>
      <c r="T397" t="inlineStr">
        <is>
          <t>212000</t>
        </is>
      </c>
      <c r="U397" t="n">
        <v>10</v>
      </c>
      <c r="V397" t="inlineStr"/>
      <c r="W397" t="inlineStr">
        <is>
          <t>Nej</t>
        </is>
      </c>
      <c r="X397" t="inlineStr">
        <is>
          <t>Nej</t>
        </is>
      </c>
      <c r="Y397" t="inlineStr">
        <is>
          <t>Nej</t>
        </is>
      </c>
      <c r="Z397" t="inlineStr">
        <is>
          <t>Nej</t>
        </is>
      </c>
      <c r="AA397" t="n">
        <v>4</v>
      </c>
      <c r="AB397" t="inlineStr">
        <is>
          <t>Avfallsmangder och lagringstid</t>
        </is>
      </c>
      <c r="AC397" t="inlineStr">
        <is>
          <t>Avfallsforteckning</t>
        </is>
      </c>
      <c r="AD397" t="inlineStr">
        <is>
          <t>Nej</t>
        </is>
      </c>
      <c r="AE397" t="inlineStr">
        <is>
          <t>Nej</t>
        </is>
      </c>
      <c r="AF397" t="inlineStr">
        <is>
          <t>Ej behandlad</t>
        </is>
      </c>
      <c r="AG397" t="inlineStr">
        <is>
          <t>AUTO_GENERERAD. Verifiera citat mot kallfil.</t>
        </is>
      </c>
      <c r="AH397" t="inlineStr">
        <is>
          <t>MEDIUM</t>
        </is>
      </c>
      <c r="AI397" t="inlineStr">
        <is>
          <t>AUTO</t>
        </is>
      </c>
      <c r="AJ397" t="inlineStr">
        <is>
          <t>Nej</t>
        </is>
      </c>
      <c r="AK397" t="inlineStr"/>
      <c r="AL397" t="inlineStr"/>
      <c r="AM397" t="inlineStr"/>
      <c r="AN397" t="inlineStr"/>
      <c r="AO397" t="inlineStr">
        <is>
          <t>cmm4yure104gbcuqw0iyq01tw</t>
        </is>
      </c>
      <c r="AP397" t="inlineStr">
        <is>
          <t>http://localhost:8787/api/admin/requirements/documents/cmm4yure104gbcuqw0iyq01tw/view</t>
        </is>
      </c>
      <c r="AQ397">
        <f>HYPERLÄNK("http://localhost:8787/api/admin/requirements/documents/cmm4yure104gbcuqw0iyq01tw/view";"Öppna PDF")</f>
        <v/>
      </c>
      <c r="AR397">
        <f>HYPERLINK("http://localhost:8787/api/admin/requirements/documents/cmm4yure104gbcuqw0iyq01tw/view","Open PDF")</f>
        <v/>
      </c>
      <c r="AS397" t="inlineStr">
        <is>
          <t>cmm55w57p0004cuisfrtpqly8</t>
        </is>
      </c>
      <c r="AT397" t="inlineStr">
        <is>
          <t>cmm4xvu980000cuh4vj0usz09</t>
        </is>
      </c>
      <c r="AU397" t="inlineStr">
        <is>
          <t>i Örnsköldsviks</t>
        </is>
      </c>
      <c r="AV397" t="inlineStr">
        <is>
          <t>Kommun</t>
        </is>
      </c>
      <c r="AW397" t="inlineStr">
        <is>
          <t>i Örnsköldsviks kommun</t>
        </is>
      </c>
      <c r="AX397" t="inlineStr">
        <is>
          <t>0660-880</t>
        </is>
      </c>
      <c r="AY397" t="inlineStr">
        <is>
          <t>Beslut</t>
        </is>
      </c>
      <c r="AZ397" t="inlineStr">
        <is>
          <t>2026-02-12</t>
        </is>
      </c>
      <c r="BA397" t="inlineStr">
        <is>
          <t>E-2025-840, beslut.pdf</t>
        </is>
      </c>
      <c r="BB397" t="inlineStr">
        <is>
          <t>Sv: till registrator</t>
        </is>
      </c>
      <c r="BC397" t="inlineStr">
        <is>
          <t>AUTO</t>
        </is>
      </c>
      <c r="BD397" t="inlineStr"/>
      <c r="BE397" t="inlineStr"/>
      <c r="BF397" t="inlineStr">
        <is>
          <t>AUTO_GENERERAD. Bekrafta metadata mot kallfil.</t>
        </is>
      </c>
      <c r="BG397">
        <f>HYPERLINK("C:\Users\jimmy\Desktop\Examens arbete\Kod\Ny mapp\remix_-copy-of-miljöbeslut.se-portal\E-2025-840, beslut.pdf", "Öppna PDF")</f>
        <v/>
      </c>
    </row>
    <row r="398">
      <c r="A398" t="inlineStr">
        <is>
          <t>KRAV-AUTO-000397</t>
        </is>
      </c>
      <c r="B398" t="inlineStr">
        <is>
          <t>ADMIN-INDEX-2026-02-27-00000000125C043F57453246863FE664CAFE6A3F0700950291EA24F0614FB6ACEDB12BF0E31D00000000010C0000950291EA24F0614FB6ACEDB12BF0E31D00002087A57E0000</t>
        </is>
      </c>
      <c r="C398" t="inlineStr">
        <is>
          <t>cmm4yuren04gzcuqwx63secqv</t>
        </is>
      </c>
      <c r="D398" t="inlineStr">
        <is>
          <t>http://localhost:8787/api/admin/requirements/documents/cmm4yuren04gzcuqwx63secqv/view</t>
        </is>
      </c>
      <c r="E398">
        <f>HYPERLÄNK("http://localhost:8787/api/admin/requirements/documents/cmm4yuren04gzcuqwx63secqv/view";"Öppna PDF")</f>
        <v/>
      </c>
      <c r="F398">
        <f>HYPERLINK("http://localhost:8787/api/admin/requirements/documents/cmm4yuren04gzcuqwx63secqv/view","Open PDF")</f>
        <v/>
      </c>
      <c r="G398" t="inlineStr">
        <is>
          <t>cmm55w57p0004cuisfrtpqly8</t>
        </is>
      </c>
      <c r="H398" t="inlineStr">
        <is>
          <t>Beslutsvillkor</t>
        </is>
      </c>
      <c r="I398" t="inlineStr">
        <is>
          <t>MiljopaverkanForsiktighet</t>
        </is>
      </c>
      <c r="J398" t="inlineStr">
        <is>
          <t>Skyddsatgarder</t>
        </is>
      </c>
      <c r="K398" t="inlineStr">
        <is>
          <t>Nämnden anser inte att en bullerutredning är skälig då bullret från mellanlagringen kommer vara lågt och endast förekomma vid användning och sortering av massorna.</t>
        </is>
      </c>
      <c r="L398" t="inlineStr">
        <is>
          <t>Nämnden anser inte att en bullerutredning är skälig då bullret från mellanlagringen kommer vara lågt och endast förekomma vid användning och sortering av massorna.</t>
        </is>
      </c>
      <c r="M398" t="inlineStr">
        <is>
          <t>SKA</t>
        </is>
      </c>
      <c r="N398" t="inlineStr"/>
      <c r="O398" t="inlineStr"/>
      <c r="P398" t="inlineStr"/>
      <c r="Q398" t="inlineStr"/>
      <c r="R398" t="inlineStr">
        <is>
          <t>Alltid</t>
        </is>
      </c>
      <c r="S398" t="inlineStr"/>
      <c r="T398" t="inlineStr">
        <is>
          <t>212000</t>
        </is>
      </c>
      <c r="U398" t="inlineStr"/>
      <c r="V398" t="inlineStr"/>
      <c r="W398" t="inlineStr">
        <is>
          <t>Nej</t>
        </is>
      </c>
      <c r="X398" t="inlineStr">
        <is>
          <t>Nej</t>
        </is>
      </c>
      <c r="Y398" t="inlineStr">
        <is>
          <t>Nej</t>
        </is>
      </c>
      <c r="Z398" t="inlineStr">
        <is>
          <t>Nej</t>
        </is>
      </c>
      <c r="AA398" t="n">
        <v>10</v>
      </c>
      <c r="AB398" t="inlineStr">
        <is>
          <t>Miljopaverkan och forsiktighetsmatt</t>
        </is>
      </c>
      <c r="AC398" t="inlineStr">
        <is>
          <t>Miljo-PM</t>
        </is>
      </c>
      <c r="AD398" t="inlineStr">
        <is>
          <t>Nej</t>
        </is>
      </c>
      <c r="AE398" t="inlineStr">
        <is>
          <t>Nej</t>
        </is>
      </c>
      <c r="AF398" t="inlineStr">
        <is>
          <t>Ej behandlad</t>
        </is>
      </c>
      <c r="AG398" t="inlineStr">
        <is>
          <t>AUTO_GENERERAD. Verifiera citat mot kallfil.</t>
        </is>
      </c>
      <c r="AH398" t="inlineStr">
        <is>
          <t>MEDIUM</t>
        </is>
      </c>
      <c r="AI398" t="inlineStr">
        <is>
          <t>AUTO</t>
        </is>
      </c>
      <c r="AJ398" t="inlineStr">
        <is>
          <t>Nej</t>
        </is>
      </c>
      <c r="AK398" t="inlineStr"/>
      <c r="AL398" t="inlineStr"/>
      <c r="AM398" t="inlineStr"/>
      <c r="AN398" t="inlineStr"/>
      <c r="AO398" t="inlineStr">
        <is>
          <t>cmm4yure104gbcuqw0iyq01tw</t>
        </is>
      </c>
      <c r="AP398" t="inlineStr">
        <is>
          <t>http://localhost:8787/api/admin/requirements/documents/cmm4yure104gbcuqw0iyq01tw/view</t>
        </is>
      </c>
      <c r="AQ398">
        <f>HYPERLÄNK("http://localhost:8787/api/admin/requirements/documents/cmm4yure104gbcuqw0iyq01tw/view";"Öppna PDF")</f>
        <v/>
      </c>
      <c r="AR398">
        <f>HYPERLINK("http://localhost:8787/api/admin/requirements/documents/cmm4yure104gbcuqw0iyq01tw/view","Open PDF")</f>
        <v/>
      </c>
      <c r="AS398" t="inlineStr">
        <is>
          <t>cmm55w57p0004cuisfrtpqly8</t>
        </is>
      </c>
      <c r="AT398" t="inlineStr">
        <is>
          <t>cmm4xvu980000cuh4vj0usz09</t>
        </is>
      </c>
      <c r="AU398" t="inlineStr">
        <is>
          <t>i Örnsköldsviks</t>
        </is>
      </c>
      <c r="AV398" t="inlineStr">
        <is>
          <t>Kommun</t>
        </is>
      </c>
      <c r="AW398" t="inlineStr">
        <is>
          <t>i Örnsköldsviks kommun</t>
        </is>
      </c>
      <c r="AX398" t="inlineStr">
        <is>
          <t>0660-880</t>
        </is>
      </c>
      <c r="AY398" t="inlineStr">
        <is>
          <t>Beslut</t>
        </is>
      </c>
      <c r="AZ398" t="inlineStr">
        <is>
          <t>2026-02-12</t>
        </is>
      </c>
      <c r="BA398" t="inlineStr">
        <is>
          <t>E-2025-840, beslut.pdf</t>
        </is>
      </c>
      <c r="BB398" t="inlineStr">
        <is>
          <t>Sv: till registrator</t>
        </is>
      </c>
      <c r="BC398" t="inlineStr">
        <is>
          <t>AUTO</t>
        </is>
      </c>
      <c r="BD398" t="inlineStr"/>
      <c r="BE398" t="inlineStr"/>
      <c r="BF398" t="inlineStr">
        <is>
          <t>AUTO_GENERERAD. Bekrafta metadata mot kallfil.</t>
        </is>
      </c>
      <c r="BG398">
        <f>HYPERLINK("C:\Users\jimmy\Desktop\Examens arbete\Kod\Ny mapp\remix_-copy-of-miljöbeslut.se-portal\E-2025-840, beslut.pdf", "Öppna PDF")</f>
        <v/>
      </c>
    </row>
    <row r="399">
      <c r="A399" t="inlineStr">
        <is>
          <t>KRAV-AUTO-000398</t>
        </is>
      </c>
      <c r="B399" t="inlineStr">
        <is>
          <t>ADMIN-INDEX-2026-02-27-00000000125C043F57453246863FE664CAFE6A3F0700950291EA24F0614FB6ACEDB12BF0E31D00000000010C0000950291EA24F0614FB6ACEDB12BF0E31D00002087A57E0000</t>
        </is>
      </c>
      <c r="C399" t="inlineStr">
        <is>
          <t>cmm4yuren04gzcuqwx63secqv</t>
        </is>
      </c>
      <c r="D399" t="inlineStr">
        <is>
          <t>http://localhost:8787/api/admin/requirements/documents/cmm4yuren04gzcuqwx63secqv/view</t>
        </is>
      </c>
      <c r="E399">
        <f>HYPERLÄNK("http://localhost:8787/api/admin/requirements/documents/cmm4yuren04gzcuqwx63secqv/view";"Öppna PDF")</f>
        <v/>
      </c>
      <c r="F399">
        <f>HYPERLINK("http://localhost:8787/api/admin/requirements/documents/cmm4yuren04gzcuqwx63secqv/view","Open PDF")</f>
        <v/>
      </c>
      <c r="G399" t="inlineStr">
        <is>
          <t>cmm55w57p0004cuisfrtpqly8</t>
        </is>
      </c>
      <c r="H399" t="inlineStr">
        <is>
          <t>Beslutsvillkor</t>
        </is>
      </c>
      <c r="I399" t="inlineStr">
        <is>
          <t>LagringsvolymTid</t>
        </is>
      </c>
      <c r="J399" t="inlineStr">
        <is>
          <t>Maxmangd</t>
        </is>
      </c>
      <c r="K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samhallsbyggnad@ornskoldsvik.se 0660-849 67 återkommande impulser som vid nitningsarbete, lossning av metallskrot och liknande eller innehåller ljud med tydligt hörbara tonkomponenter bör värdena ovan sänkas med 5 dBA.</t>
        </is>
      </c>
      <c r="L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t>
        </is>
      </c>
      <c r="M399" t="inlineStr">
        <is>
          <t>BOR</t>
        </is>
      </c>
      <c r="N399" t="inlineStr"/>
      <c r="O399" t="inlineStr">
        <is>
          <t>2025-11-06</t>
        </is>
      </c>
      <c r="P399" t="inlineStr"/>
      <c r="Q399" t="inlineStr"/>
      <c r="R399" t="inlineStr">
        <is>
          <t>Alltid</t>
        </is>
      </c>
      <c r="S399" t="inlineStr"/>
      <c r="T399" t="inlineStr">
        <is>
          <t>212000</t>
        </is>
      </c>
      <c r="U399" t="inlineStr"/>
      <c r="V399" t="inlineStr"/>
      <c r="W399" t="inlineStr">
        <is>
          <t>Nej</t>
        </is>
      </c>
      <c r="X399" t="inlineStr">
        <is>
          <t>Nej</t>
        </is>
      </c>
      <c r="Y399" t="inlineStr">
        <is>
          <t>Nej</t>
        </is>
      </c>
      <c r="Z399" t="inlineStr">
        <is>
          <t>Nej</t>
        </is>
      </c>
      <c r="AA399" t="n">
        <v>4</v>
      </c>
      <c r="AB399" t="inlineStr">
        <is>
          <t>Avfallsmangder och lagringstid</t>
        </is>
      </c>
      <c r="AC399" t="inlineStr">
        <is>
          <t>Avfallsforteckning</t>
        </is>
      </c>
      <c r="AD399" t="inlineStr">
        <is>
          <t>Nej</t>
        </is>
      </c>
      <c r="AE399" t="inlineStr">
        <is>
          <t>Nej</t>
        </is>
      </c>
      <c r="AF399" t="inlineStr">
        <is>
          <t>Ej behandlad</t>
        </is>
      </c>
      <c r="AG399" t="inlineStr">
        <is>
          <t>AUTO_GENERERAD. Verifiera citat mot kallfil.</t>
        </is>
      </c>
      <c r="AH399" t="inlineStr">
        <is>
          <t>MEDIUM</t>
        </is>
      </c>
      <c r="AI399" t="inlineStr">
        <is>
          <t>AUTO</t>
        </is>
      </c>
      <c r="AJ399" t="inlineStr">
        <is>
          <t>Nej</t>
        </is>
      </c>
      <c r="AK399" t="inlineStr"/>
      <c r="AL399" t="inlineStr"/>
      <c r="AM399" t="inlineStr"/>
      <c r="AN399" t="inlineStr"/>
      <c r="AO399" t="inlineStr">
        <is>
          <t>cmm4yure104gbcuqw0iyq01tw</t>
        </is>
      </c>
      <c r="AP399" t="inlineStr">
        <is>
          <t>http://localhost:8787/api/admin/requirements/documents/cmm4yure104gbcuqw0iyq01tw/view</t>
        </is>
      </c>
      <c r="AQ399">
        <f>HYPERLÄNK("http://localhost:8787/api/admin/requirements/documents/cmm4yure104gbcuqw0iyq01tw/view";"Öppna PDF")</f>
        <v/>
      </c>
      <c r="AR399">
        <f>HYPERLINK("http://localhost:8787/api/admin/requirements/documents/cmm4yure104gbcuqw0iyq01tw/view","Open PDF")</f>
        <v/>
      </c>
      <c r="AS399" t="inlineStr">
        <is>
          <t>cmm55w57p0004cuisfrtpqly8</t>
        </is>
      </c>
      <c r="AT399" t="inlineStr">
        <is>
          <t>cmm4xvu980000cuh4vj0usz09</t>
        </is>
      </c>
      <c r="AU399" t="inlineStr">
        <is>
          <t>i Örnsköldsviks</t>
        </is>
      </c>
      <c r="AV399" t="inlineStr">
        <is>
          <t>Kommun</t>
        </is>
      </c>
      <c r="AW399" t="inlineStr">
        <is>
          <t>i Örnsköldsviks kommun</t>
        </is>
      </c>
      <c r="AX399" t="inlineStr">
        <is>
          <t>0660-880</t>
        </is>
      </c>
      <c r="AY399" t="inlineStr">
        <is>
          <t>Beslut</t>
        </is>
      </c>
      <c r="AZ399" t="inlineStr">
        <is>
          <t>2026-02-12</t>
        </is>
      </c>
      <c r="BA399" t="inlineStr">
        <is>
          <t>E-2025-840, beslut.pdf</t>
        </is>
      </c>
      <c r="BB399" t="inlineStr">
        <is>
          <t>Sv: till registrator</t>
        </is>
      </c>
      <c r="BC399" t="inlineStr">
        <is>
          <t>AUTO</t>
        </is>
      </c>
      <c r="BD399" t="inlineStr"/>
      <c r="BE399" t="inlineStr"/>
      <c r="BF399" t="inlineStr">
        <is>
          <t>AUTO_GENERERAD. Bekrafta metadata mot kallfil.</t>
        </is>
      </c>
      <c r="BG399">
        <f>HYPERLINK("C:\Users\jimmy\Desktop\Examens arbete\Kod\Ny mapp\remix_-copy-of-miljöbeslut.se-portal\E-2025-840, beslut.pdf", "Öppna PDF")</f>
        <v/>
      </c>
    </row>
    <row r="400">
      <c r="A400" t="inlineStr">
        <is>
          <t>KRAV-AUTO-000399</t>
        </is>
      </c>
      <c r="B400" t="inlineStr">
        <is>
          <t>ADMIN-INDEX-2026-02-27-00000000125C043F57453246863FE664CAFE6A3F0700950291EA24F0614FB6ACEDB12BF0E31D00000000010C0000950291EA24F0614FB6ACEDB12BF0E31D00002087A57E0000</t>
        </is>
      </c>
      <c r="C400" t="inlineStr">
        <is>
          <t>cmm4yurek04gwcuqw9v5w0hxt</t>
        </is>
      </c>
      <c r="D400" t="inlineStr">
        <is>
          <t>http://localhost:8787/api/admin/requirements/documents/cmm4yurek04gwcuqw9v5w0hxt/view</t>
        </is>
      </c>
      <c r="E400">
        <f>HYPERLÄNK("http://localhost:8787/api/admin/requirements/documents/cmm4yurek04gwcuqw9v5w0hxt/view";"Öppna PDF")</f>
        <v/>
      </c>
      <c r="F400">
        <f>HYPERLINK("http://localhost:8787/api/admin/requirements/documents/cmm4yurek04gwcuqw9v5w0hxt/view","Open PDF")</f>
        <v/>
      </c>
      <c r="G400" t="inlineStr">
        <is>
          <t>cmm55w57p0004cuisfrtpqly8</t>
        </is>
      </c>
      <c r="H400" t="inlineStr">
        <is>
          <t>Informationskrav</t>
        </is>
      </c>
      <c r="I400" t="inlineStr">
        <is>
          <t>DagvattenLakvatten</t>
        </is>
      </c>
      <c r="J400" t="inlineStr">
        <is>
          <t>Uppsamling</t>
        </is>
      </c>
      <c r="K400" t="inlineStr">
        <is>
          <t>Namn Sammansättning Mängd/år Användningsområde Iw &amp; CC — — Beskriv pa vilket sätt kemiska produkter förvaras på fastigheten (inomhus/utomhus, närhet till golvavlopp, dagvattenbrunnar, max lagerhållen volym, m.m.).</t>
        </is>
      </c>
      <c r="L400" t="inlineStr">
        <is>
          <t>Namn Sammansättning Mängd/år Användningsområde Iw &amp; CC — — Beskriv pa vilket sätt kemiska produkter förvaras på fastigheten (inomhus/utomhus, närhet till golvavlopp, dagvattenbrunnar, max lagerhållen volym, m.m.).</t>
        </is>
      </c>
      <c r="M400" t="inlineStr">
        <is>
          <t>SKA</t>
        </is>
      </c>
      <c r="N400" t="inlineStr"/>
      <c r="O400" t="inlineStr"/>
      <c r="P400" t="inlineStr"/>
      <c r="Q400" t="inlineStr"/>
      <c r="R400" t="inlineStr">
        <is>
          <t>Vid nederbord och avrinning</t>
        </is>
      </c>
      <c r="S400" t="inlineStr"/>
      <c r="T400" t="inlineStr"/>
      <c r="U400" t="inlineStr"/>
      <c r="V400" t="inlineStr"/>
      <c r="W400" t="inlineStr">
        <is>
          <t>Nej</t>
        </is>
      </c>
      <c r="X400" t="inlineStr">
        <is>
          <t>Ja</t>
        </is>
      </c>
      <c r="Y400" t="inlineStr">
        <is>
          <t>Ja</t>
        </is>
      </c>
      <c r="Z400" t="inlineStr">
        <is>
          <t>Nej</t>
        </is>
      </c>
      <c r="AA400" t="n">
        <v>6</v>
      </c>
      <c r="AB400" t="inlineStr">
        <is>
          <t>Lakvattenhantering</t>
        </is>
      </c>
      <c r="AC400" t="inlineStr">
        <is>
          <t>Flodesschema dagvatten-lakvatten</t>
        </is>
      </c>
      <c r="AD400" t="inlineStr">
        <is>
          <t>Nej</t>
        </is>
      </c>
      <c r="AE400" t="inlineStr">
        <is>
          <t>Nej</t>
        </is>
      </c>
      <c r="AF400" t="inlineStr">
        <is>
          <t>Ej behandlad</t>
        </is>
      </c>
      <c r="AG400" t="inlineStr">
        <is>
          <t>AUTO_GENERERAD. Verifiera citat mot kallfil.</t>
        </is>
      </c>
      <c r="AH400" t="inlineStr">
        <is>
          <t>MEDIUM</t>
        </is>
      </c>
      <c r="AI400" t="inlineStr">
        <is>
          <t>AUTO</t>
        </is>
      </c>
      <c r="AJ400" t="inlineStr">
        <is>
          <t>Nej</t>
        </is>
      </c>
      <c r="AK400" t="inlineStr"/>
      <c r="AL400" t="inlineStr"/>
      <c r="AM400" t="inlineStr"/>
      <c r="AN400" t="inlineStr"/>
      <c r="AO400" t="inlineStr">
        <is>
          <t>cmm4yure104gbcuqw0iyq01tw</t>
        </is>
      </c>
      <c r="AP400" t="inlineStr">
        <is>
          <t>http://localhost:8787/api/admin/requirements/documents/cmm4yure104gbcuqw0iyq01tw/view</t>
        </is>
      </c>
      <c r="AQ400">
        <f>HYPERLÄNK("http://localhost:8787/api/admin/requirements/documents/cmm4yure104gbcuqw0iyq01tw/view";"Öppna PDF")</f>
        <v/>
      </c>
      <c r="AR400">
        <f>HYPERLINK("http://localhost:8787/api/admin/requirements/documents/cmm4yure104gbcuqw0iyq01tw/view","Open PDF")</f>
        <v/>
      </c>
      <c r="AS400" t="inlineStr">
        <is>
          <t>cmm55w57p0004cuisfrtpqly8</t>
        </is>
      </c>
      <c r="AT400" t="inlineStr">
        <is>
          <t>cmm4xvu980000cuh4vj0usz09</t>
        </is>
      </c>
      <c r="AU400" t="inlineStr">
        <is>
          <t>i Örnsköldsviks</t>
        </is>
      </c>
      <c r="AV400" t="inlineStr">
        <is>
          <t>Kommun</t>
        </is>
      </c>
      <c r="AW400" t="inlineStr">
        <is>
          <t>i Örnsköldsviks kommun</t>
        </is>
      </c>
      <c r="AX400" t="inlineStr">
        <is>
          <t>0660-880</t>
        </is>
      </c>
      <c r="AY400" t="inlineStr">
        <is>
          <t>Beslut</t>
        </is>
      </c>
      <c r="AZ400" t="inlineStr">
        <is>
          <t>2026-02-12</t>
        </is>
      </c>
      <c r="BA400" t="inlineStr">
        <is>
          <t>E-2025-840, beslut.pdf</t>
        </is>
      </c>
      <c r="BB400" t="inlineStr">
        <is>
          <t>Sv: till registrator</t>
        </is>
      </c>
      <c r="BC400" t="inlineStr">
        <is>
          <t>AUTO</t>
        </is>
      </c>
      <c r="BD400" t="inlineStr"/>
      <c r="BE400" t="inlineStr"/>
      <c r="BF400" t="inlineStr">
        <is>
          <t>AUTO_GENERERAD. Bekrafta metadata mot kallfil.</t>
        </is>
      </c>
      <c r="BG400">
        <f>HYPERLINK("C:\Users\jimmy\Desktop\Examens arbete\Kod\Ny mapp\remix_-copy-of-miljöbeslut.se-portal\E-2025-840, beslut.pdf", "Öppna PDF")</f>
        <v/>
      </c>
    </row>
    <row r="401">
      <c r="A401" t="inlineStr">
        <is>
          <t>KRAV-AUTO-000400</t>
        </is>
      </c>
      <c r="B401" t="inlineStr">
        <is>
          <t>ADMIN-INDEX-2026-02-27-00000000125C043F57453246863FE664CAFE6A3F0700950291EA24F0614FB6ACEDB12BF0E31D00000000010C0000950291EA24F0614FB6ACEDB12BF0E31D00002087A57E0000</t>
        </is>
      </c>
      <c r="C401" t="inlineStr">
        <is>
          <t>cmm4yure604ghcuqw62m2b2d9</t>
        </is>
      </c>
      <c r="D401" t="inlineStr">
        <is>
          <t>http://localhost:8787/api/admin/requirements/documents/cmm4yure604ghcuqw62m2b2d9/view</t>
        </is>
      </c>
      <c r="E401">
        <f>HYPERLÄNK("http://localhost:8787/api/admin/requirements/documents/cmm4yure604ghcuqw62m2b2d9/view";"Öppna PDF")</f>
        <v/>
      </c>
      <c r="F401">
        <f>HYPERLINK("http://localhost:8787/api/admin/requirements/documents/cmm4yure604ghcuqw62m2b2d9/view","Open PDF")</f>
        <v/>
      </c>
      <c r="G401" t="inlineStr">
        <is>
          <t>cmm55w57p0004cuisfrtpqly8</t>
        </is>
      </c>
      <c r="H401" t="inlineStr">
        <is>
          <t>Beslutsvillkor</t>
        </is>
      </c>
      <c r="I401" t="inlineStr">
        <is>
          <t>Ytkonstruktion</t>
        </is>
      </c>
      <c r="J401" t="inlineStr">
        <is>
          <t>Tat yta</t>
        </is>
      </c>
      <c r="K401" t="inlineStr">
        <is>
          <t>Kemikalier och farligt avfall Invallning och nederbördsskydd av kemikalier och farligt avfall är viktigt för att förhindra spill och läckage som kan skada människors hälsa och miljön.</t>
        </is>
      </c>
      <c r="L401" t="inlineStr">
        <is>
          <t>Kemikalier och farligt avfall Invallning och nederbördsskydd av kemikalier och farligt avfall är viktigt för att förhindra spill och läckage som kan skada människors hälsa och miljön.</t>
        </is>
      </c>
      <c r="M401" t="inlineStr">
        <is>
          <t>SKA</t>
        </is>
      </c>
      <c r="N401" t="inlineStr"/>
      <c r="O401" t="inlineStr"/>
      <c r="P401" t="inlineStr">
        <is>
          <t>Arlig</t>
        </is>
      </c>
      <c r="Q401" t="inlineStr"/>
      <c r="R401" t="inlineStr">
        <is>
          <t>Vid mellanlagring av avfall</t>
        </is>
      </c>
      <c r="S401" t="inlineStr"/>
      <c r="T401" t="inlineStr">
        <is>
          <t>212000</t>
        </is>
      </c>
      <c r="U401" t="inlineStr"/>
      <c r="V401" t="inlineStr"/>
      <c r="W401" t="inlineStr">
        <is>
          <t>Ja</t>
        </is>
      </c>
      <c r="X401" t="inlineStr">
        <is>
          <t>Nej</t>
        </is>
      </c>
      <c r="Y401" t="inlineStr">
        <is>
          <t>Nej</t>
        </is>
      </c>
      <c r="Z401" t="inlineStr">
        <is>
          <t>Nej</t>
        </is>
      </c>
      <c r="AA401" t="n">
        <v>5</v>
      </c>
      <c r="AB401" t="inlineStr">
        <is>
          <t>Teknisk beskrivning av platta</t>
        </is>
      </c>
      <c r="AC401" t="inlineStr">
        <is>
          <t>Teknisk ritning platta</t>
        </is>
      </c>
      <c r="AD401" t="inlineStr">
        <is>
          <t>Nej</t>
        </is>
      </c>
      <c r="AE401" t="inlineStr">
        <is>
          <t>Nej</t>
        </is>
      </c>
      <c r="AF401" t="inlineStr">
        <is>
          <t>Ej behandlad</t>
        </is>
      </c>
      <c r="AG401" t="inlineStr">
        <is>
          <t>AUTO_GENERERAD. Verifiera citat mot kallfil.</t>
        </is>
      </c>
      <c r="AH401" t="inlineStr">
        <is>
          <t>MEDIUM</t>
        </is>
      </c>
      <c r="AI401" t="inlineStr">
        <is>
          <t>AUTO</t>
        </is>
      </c>
      <c r="AJ401" t="inlineStr">
        <is>
          <t>Nej</t>
        </is>
      </c>
      <c r="AK401" t="inlineStr"/>
      <c r="AL401" t="inlineStr"/>
      <c r="AM401" t="inlineStr"/>
      <c r="AN401" t="inlineStr"/>
      <c r="AO401" t="inlineStr">
        <is>
          <t>cmm4yure104gbcuqw0iyq01tw</t>
        </is>
      </c>
      <c r="AP401" t="inlineStr">
        <is>
          <t>http://localhost:8787/api/admin/requirements/documents/cmm4yure104gbcuqw0iyq01tw/view</t>
        </is>
      </c>
      <c r="AQ401">
        <f>HYPERLÄNK("http://localhost:8787/api/admin/requirements/documents/cmm4yure104gbcuqw0iyq01tw/view";"Öppna PDF")</f>
        <v/>
      </c>
      <c r="AR401">
        <f>HYPERLINK("http://localhost:8787/api/admin/requirements/documents/cmm4yure104gbcuqw0iyq01tw/view","Open PDF")</f>
        <v/>
      </c>
      <c r="AS401" t="inlineStr">
        <is>
          <t>cmm55w57p0004cuisfrtpqly8</t>
        </is>
      </c>
      <c r="AT401" t="inlineStr">
        <is>
          <t>cmm4xvu980000cuh4vj0usz09</t>
        </is>
      </c>
      <c r="AU401" t="inlineStr">
        <is>
          <t>i Örnsköldsviks</t>
        </is>
      </c>
      <c r="AV401" t="inlineStr">
        <is>
          <t>Kommun</t>
        </is>
      </c>
      <c r="AW401" t="inlineStr">
        <is>
          <t>i Örnsköldsviks kommun</t>
        </is>
      </c>
      <c r="AX401" t="inlineStr">
        <is>
          <t>0660-880</t>
        </is>
      </c>
      <c r="AY401" t="inlineStr">
        <is>
          <t>Beslut</t>
        </is>
      </c>
      <c r="AZ401" t="inlineStr">
        <is>
          <t>2026-02-12</t>
        </is>
      </c>
      <c r="BA401" t="inlineStr">
        <is>
          <t>E-2025-840, beslut.pdf</t>
        </is>
      </c>
      <c r="BB401" t="inlineStr">
        <is>
          <t>Sv: till registrator</t>
        </is>
      </c>
      <c r="BC401" t="inlineStr">
        <is>
          <t>AUTO</t>
        </is>
      </c>
      <c r="BD401" t="inlineStr"/>
      <c r="BE401" t="inlineStr"/>
      <c r="BF401" t="inlineStr">
        <is>
          <t>AUTO_GENERERAD. Bekrafta metadata mot kallfil.</t>
        </is>
      </c>
      <c r="BG401">
        <f>HYPERLINK("C:\Users\jimmy\Desktop\Examens arbete\Kod\Ny mapp\remix_-copy-of-miljöbeslut.se-portal\E-2025-840, beslut.pdf", "Öppna PDF")</f>
        <v/>
      </c>
    </row>
    <row r="402">
      <c r="A402" t="inlineStr">
        <is>
          <t>KRAV-AUTO-000401</t>
        </is>
      </c>
      <c r="B402" t="inlineStr">
        <is>
          <t>ADMIN-INDEX-2026-02-27-00000000125C043F57453246863FE664CAFE6A3F0700950291EA24F0614FB6ACEDB12BF0E31D00000000010C0000950291EA24F0614FB6ACEDB12BF0E31D00002087A57E0000</t>
        </is>
      </c>
      <c r="C402" t="inlineStr">
        <is>
          <t>cmm4yure604ghcuqw62m2b2d9</t>
        </is>
      </c>
      <c r="D402" t="inlineStr">
        <is>
          <t>http://localhost:8787/api/admin/requirements/documents/cmm4yure604ghcuqw62m2b2d9/view</t>
        </is>
      </c>
      <c r="E402">
        <f>HYPERLÄNK("http://localhost:8787/api/admin/requirements/documents/cmm4yure604ghcuqw62m2b2d9/view";"Öppna PDF")</f>
        <v/>
      </c>
      <c r="F402">
        <f>HYPERLINK("http://localhost:8787/api/admin/requirements/documents/cmm4yure604ghcuqw62m2b2d9/view","Open PDF")</f>
        <v/>
      </c>
      <c r="G402" t="inlineStr">
        <is>
          <t>cmm55w57p0004cuisfrtpqly8</t>
        </is>
      </c>
      <c r="H402" t="inlineStr">
        <is>
          <t>Beslutsvillkor</t>
        </is>
      </c>
      <c r="I402" t="inlineStr">
        <is>
          <t>Ytkonstruktion</t>
        </is>
      </c>
      <c r="J402" t="inlineStr">
        <is>
          <t>Tat yta</t>
        </is>
      </c>
      <c r="K402" t="inlineStr">
        <is>
          <t>Invallningen ska vara utformad så att den inte fylls med nederbörd.</t>
        </is>
      </c>
      <c r="L402" t="inlineStr">
        <is>
          <t>Invallningen ska vara utformad så att den inte fylls med nederbörd.</t>
        </is>
      </c>
      <c r="M402" t="inlineStr">
        <is>
          <t>SKA</t>
        </is>
      </c>
      <c r="N402" t="inlineStr"/>
      <c r="O402" t="inlineStr"/>
      <c r="P402" t="inlineStr"/>
      <c r="Q402" t="inlineStr"/>
      <c r="R402" t="inlineStr">
        <is>
          <t>Vid mellanlagring av avfall</t>
        </is>
      </c>
      <c r="S402" t="inlineStr"/>
      <c r="T402" t="inlineStr">
        <is>
          <t>212000</t>
        </is>
      </c>
      <c r="U402" t="inlineStr"/>
      <c r="V402" t="inlineStr"/>
      <c r="W402" t="inlineStr">
        <is>
          <t>Ja</t>
        </is>
      </c>
      <c r="X402" t="inlineStr">
        <is>
          <t>Nej</t>
        </is>
      </c>
      <c r="Y402" t="inlineStr">
        <is>
          <t>Nej</t>
        </is>
      </c>
      <c r="Z402" t="inlineStr">
        <is>
          <t>Nej</t>
        </is>
      </c>
      <c r="AA402" t="n">
        <v>5</v>
      </c>
      <c r="AB402" t="inlineStr">
        <is>
          <t>Teknisk beskrivning av platta</t>
        </is>
      </c>
      <c r="AC402" t="inlineStr">
        <is>
          <t>Teknisk ritning platta</t>
        </is>
      </c>
      <c r="AD402" t="inlineStr">
        <is>
          <t>Nej</t>
        </is>
      </c>
      <c r="AE402" t="inlineStr">
        <is>
          <t>Nej</t>
        </is>
      </c>
      <c r="AF402" t="inlineStr">
        <is>
          <t>Ej behandlad</t>
        </is>
      </c>
      <c r="AG402" t="inlineStr">
        <is>
          <t>AUTO_GENERERAD. Verifiera citat mot kallfil.</t>
        </is>
      </c>
      <c r="AH402" t="inlineStr">
        <is>
          <t>MEDIUM</t>
        </is>
      </c>
      <c r="AI402" t="inlineStr">
        <is>
          <t>AUTO</t>
        </is>
      </c>
      <c r="AJ402" t="inlineStr">
        <is>
          <t>Nej</t>
        </is>
      </c>
      <c r="AK402" t="inlineStr"/>
      <c r="AL402" t="inlineStr"/>
      <c r="AM402" t="inlineStr"/>
      <c r="AN402" t="inlineStr"/>
      <c r="AO402" t="inlineStr">
        <is>
          <t>cmm4yure104gbcuqw0iyq01tw</t>
        </is>
      </c>
      <c r="AP402" t="inlineStr">
        <is>
          <t>http://localhost:8787/api/admin/requirements/documents/cmm4yure104gbcuqw0iyq01tw/view</t>
        </is>
      </c>
      <c r="AQ402">
        <f>HYPERLÄNK("http://localhost:8787/api/admin/requirements/documents/cmm4yure104gbcuqw0iyq01tw/view";"Öppna PDF")</f>
        <v/>
      </c>
      <c r="AR402">
        <f>HYPERLINK("http://localhost:8787/api/admin/requirements/documents/cmm4yure104gbcuqw0iyq01tw/view","Open PDF")</f>
        <v/>
      </c>
      <c r="AS402" t="inlineStr">
        <is>
          <t>cmm55w57p0004cuisfrtpqly8</t>
        </is>
      </c>
      <c r="AT402" t="inlineStr">
        <is>
          <t>cmm4xvu980000cuh4vj0usz09</t>
        </is>
      </c>
      <c r="AU402" t="inlineStr">
        <is>
          <t>i Örnsköldsviks</t>
        </is>
      </c>
      <c r="AV402" t="inlineStr">
        <is>
          <t>Kommun</t>
        </is>
      </c>
      <c r="AW402" t="inlineStr">
        <is>
          <t>i Örnsköldsviks kommun</t>
        </is>
      </c>
      <c r="AX402" t="inlineStr">
        <is>
          <t>0660-880</t>
        </is>
      </c>
      <c r="AY402" t="inlineStr">
        <is>
          <t>Beslut</t>
        </is>
      </c>
      <c r="AZ402" t="inlineStr">
        <is>
          <t>2026-02-12</t>
        </is>
      </c>
      <c r="BA402" t="inlineStr">
        <is>
          <t>E-2025-840, beslut.pdf</t>
        </is>
      </c>
      <c r="BB402" t="inlineStr">
        <is>
          <t>Sv: till registrator</t>
        </is>
      </c>
      <c r="BC402" t="inlineStr">
        <is>
          <t>AUTO</t>
        </is>
      </c>
      <c r="BD402" t="inlineStr"/>
      <c r="BE402" t="inlineStr"/>
      <c r="BF402" t="inlineStr">
        <is>
          <t>AUTO_GENERERAD. Bekrafta metadata mot kallfil.</t>
        </is>
      </c>
      <c r="BG402">
        <f>HYPERLINK("C:\Users\jimmy\Desktop\Examens arbete\Kod\Ny mapp\remix_-copy-of-miljöbeslut.se-portal\E-2025-840, beslut.pdf", "Öppna PDF")</f>
        <v/>
      </c>
    </row>
    <row r="403">
      <c r="A403" t="inlineStr">
        <is>
          <t>KRAV-AUTO-000402</t>
        </is>
      </c>
      <c r="B403" t="inlineStr">
        <is>
          <t>ADMIN-INDEX-2026-02-27-00000000125C043F57453246863FE664CAFE6A3F0700950291EA24F0614FB6ACEDB12BF0E31D00000000010C0000950291EA24F0614FB6ACEDB12BF0E31D00002087A57E0000</t>
        </is>
      </c>
      <c r="C403" t="inlineStr">
        <is>
          <t>cmm4yure604ghcuqw62m2b2d9</t>
        </is>
      </c>
      <c r="D403" t="inlineStr">
        <is>
          <t>http://localhost:8787/api/admin/requirements/documents/cmm4yure604ghcuqw62m2b2d9/view</t>
        </is>
      </c>
      <c r="E403">
        <f>HYPERLÄNK("http://localhost:8787/api/admin/requirements/documents/cmm4yure604ghcuqw62m2b2d9/view";"Öppna PDF")</f>
        <v/>
      </c>
      <c r="F403">
        <f>HYPERLINK("http://localhost:8787/api/admin/requirements/documents/cmm4yure604ghcuqw62m2b2d9/view","Open PDF")</f>
        <v/>
      </c>
      <c r="G403" t="inlineStr">
        <is>
          <t>cmm55w57p0004cuisfrtpqly8</t>
        </is>
      </c>
      <c r="H403" t="inlineStr">
        <is>
          <t>Beslutsvillkor</t>
        </is>
      </c>
      <c r="I403" t="inlineStr">
        <is>
          <t>DagvattenLakvatten</t>
        </is>
      </c>
      <c r="J403" t="inlineStr">
        <is>
          <t>Uppsamling</t>
        </is>
      </c>
      <c r="K403" t="inlineStr">
        <is>
          <t>Dagvatten från återvinningsytan för icke-farligt avfall ska samlas upp och passerar genom en tät sedimentationsdamm.</t>
        </is>
      </c>
      <c r="L403" t="inlineStr">
        <is>
          <t>Dagvatten från återvinningsytan för icke-farligt avfall ska samlas upp och passerar genom en tät sedimentationsdamm.</t>
        </is>
      </c>
      <c r="M403" t="inlineStr">
        <is>
          <t>SKA</t>
        </is>
      </c>
      <c r="N403" t="inlineStr"/>
      <c r="O403" t="inlineStr"/>
      <c r="P403" t="inlineStr">
        <is>
          <t>Arlig</t>
        </is>
      </c>
      <c r="Q403" t="inlineStr"/>
      <c r="R403" t="inlineStr">
        <is>
          <t>Vid nederbord och avrinning</t>
        </is>
      </c>
      <c r="S403" t="inlineStr"/>
      <c r="T403" t="inlineStr">
        <is>
          <t>212000</t>
        </is>
      </c>
      <c r="U403" t="inlineStr"/>
      <c r="V403" t="inlineStr"/>
      <c r="W403" t="inlineStr">
        <is>
          <t>Nej</t>
        </is>
      </c>
      <c r="X403" t="inlineStr">
        <is>
          <t>Ja</t>
        </is>
      </c>
      <c r="Y403" t="inlineStr">
        <is>
          <t>Ja</t>
        </is>
      </c>
      <c r="Z403" t="inlineStr">
        <is>
          <t>Nej</t>
        </is>
      </c>
      <c r="AA403" t="n">
        <v>6</v>
      </c>
      <c r="AB403" t="inlineStr">
        <is>
          <t>Lakvattenhantering</t>
        </is>
      </c>
      <c r="AC403" t="inlineStr">
        <is>
          <t>Flodesschema dagvatten-lakvatten</t>
        </is>
      </c>
      <c r="AD403" t="inlineStr">
        <is>
          <t>Nej</t>
        </is>
      </c>
      <c r="AE403" t="inlineStr">
        <is>
          <t>Nej</t>
        </is>
      </c>
      <c r="AF403" t="inlineStr">
        <is>
          <t>Ej behandlad</t>
        </is>
      </c>
      <c r="AG403" t="inlineStr">
        <is>
          <t>AUTO_GENERERAD. Verifiera citat mot kallfil.</t>
        </is>
      </c>
      <c r="AH403" t="inlineStr">
        <is>
          <t>MEDIUM</t>
        </is>
      </c>
      <c r="AI403" t="inlineStr">
        <is>
          <t>AUTO</t>
        </is>
      </c>
      <c r="AJ403" t="inlineStr">
        <is>
          <t>Nej</t>
        </is>
      </c>
      <c r="AK403" t="inlineStr"/>
      <c r="AL403" t="inlineStr"/>
      <c r="AM403" t="inlineStr"/>
      <c r="AN403" t="inlineStr"/>
      <c r="AO403" t="inlineStr">
        <is>
          <t>cmm4yure104gbcuqw0iyq01tw</t>
        </is>
      </c>
      <c r="AP403" t="inlineStr">
        <is>
          <t>http://localhost:8787/api/admin/requirements/documents/cmm4yure104gbcuqw0iyq01tw/view</t>
        </is>
      </c>
      <c r="AQ403">
        <f>HYPERLÄNK("http://localhost:8787/api/admin/requirements/documents/cmm4yure104gbcuqw0iyq01tw/view";"Öppna PDF")</f>
        <v/>
      </c>
      <c r="AR403">
        <f>HYPERLINK("http://localhost:8787/api/admin/requirements/documents/cmm4yure104gbcuqw0iyq01tw/view","Open PDF")</f>
        <v/>
      </c>
      <c r="AS403" t="inlineStr">
        <is>
          <t>cmm55w57p0004cuisfrtpqly8</t>
        </is>
      </c>
      <c r="AT403" t="inlineStr">
        <is>
          <t>cmm4xvu980000cuh4vj0usz09</t>
        </is>
      </c>
      <c r="AU403" t="inlineStr">
        <is>
          <t>i Örnsköldsviks</t>
        </is>
      </c>
      <c r="AV403" t="inlineStr">
        <is>
          <t>Kommun</t>
        </is>
      </c>
      <c r="AW403" t="inlineStr">
        <is>
          <t>i Örnsköldsviks kommun</t>
        </is>
      </c>
      <c r="AX403" t="inlineStr">
        <is>
          <t>0660-880</t>
        </is>
      </c>
      <c r="AY403" t="inlineStr">
        <is>
          <t>Beslut</t>
        </is>
      </c>
      <c r="AZ403" t="inlineStr">
        <is>
          <t>2026-02-12</t>
        </is>
      </c>
      <c r="BA403" t="inlineStr">
        <is>
          <t>E-2025-840, beslut.pdf</t>
        </is>
      </c>
      <c r="BB403" t="inlineStr">
        <is>
          <t>Sv: till registrator</t>
        </is>
      </c>
      <c r="BC403" t="inlineStr">
        <is>
          <t>AUTO</t>
        </is>
      </c>
      <c r="BD403" t="inlineStr"/>
      <c r="BE403" t="inlineStr"/>
      <c r="BF403" t="inlineStr">
        <is>
          <t>AUTO_GENERERAD. Bekrafta metadata mot kallfil.</t>
        </is>
      </c>
      <c r="BG403">
        <f>HYPERLINK("C:\Users\jimmy\Desktop\Examens arbete\Kod\Ny mapp\remix_-copy-of-miljöbeslut.se-portal\E-2025-840, beslut.pdf", "Öppna PDF")</f>
        <v/>
      </c>
    </row>
    <row r="404">
      <c r="A404" t="inlineStr">
        <is>
          <t>KRAV-AUTO-000403</t>
        </is>
      </c>
      <c r="B404" t="inlineStr">
        <is>
          <t>ADMIN-INDEX-2026-02-27-00000000125C043F57453246863FE664CAFE6A3F0700950291EA24F0614FB6ACEDB12BF0E31D00000000010C0000950291EA24F0614FB6ACEDB12BF0E31D00002087A57E0000</t>
        </is>
      </c>
      <c r="C404" t="inlineStr">
        <is>
          <t>cmm4yure404gecuqwonagntdx</t>
        </is>
      </c>
      <c r="D404" t="inlineStr">
        <is>
          <t>http://localhost:8787/api/admin/requirements/documents/cmm4yure404gecuqwonagntdx/view</t>
        </is>
      </c>
      <c r="E404">
        <f>HYPERLÄNK("http://localhost:8787/api/admin/requirements/documents/cmm4yure404gecuqwonagntdx/view";"Öppna PDF")</f>
        <v/>
      </c>
      <c r="F404">
        <f>HYPERLINK("http://localhost:8787/api/admin/requirements/documents/cmm4yure404gecuqwonagntdx/view","Open PDF")</f>
        <v/>
      </c>
      <c r="G404" t="inlineStr">
        <is>
          <t>cmm55w57p0004cuisfrtpqly8</t>
        </is>
      </c>
      <c r="H404" t="inlineStr">
        <is>
          <t>Informationskrav</t>
        </is>
      </c>
      <c r="I404" t="inlineStr">
        <is>
          <t>DagvattenLakvatten</t>
        </is>
      </c>
      <c r="J404" t="inlineStr">
        <is>
          <t>Uppsamling</t>
        </is>
      </c>
      <c r="K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L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M404" t="inlineStr">
        <is>
          <t>SKA</t>
        </is>
      </c>
      <c r="N404" t="inlineStr"/>
      <c r="O404" t="inlineStr">
        <is>
          <t>2020-03-11</t>
        </is>
      </c>
      <c r="P404" t="inlineStr">
        <is>
          <t>Arlig</t>
        </is>
      </c>
      <c r="Q404" t="inlineStr"/>
      <c r="R404" t="inlineStr">
        <is>
          <t>Vid nederbord och avrinning</t>
        </is>
      </c>
      <c r="S404" t="inlineStr"/>
      <c r="T404" t="inlineStr">
        <is>
          <t>121454</t>
        </is>
      </c>
      <c r="U404" t="inlineStr"/>
      <c r="V404" t="inlineStr"/>
      <c r="W404" t="inlineStr">
        <is>
          <t>Nej</t>
        </is>
      </c>
      <c r="X404" t="inlineStr">
        <is>
          <t>Ja</t>
        </is>
      </c>
      <c r="Y404" t="inlineStr">
        <is>
          <t>Ja</t>
        </is>
      </c>
      <c r="Z404" t="inlineStr">
        <is>
          <t>Nej</t>
        </is>
      </c>
      <c r="AA404" t="n">
        <v>6</v>
      </c>
      <c r="AB404" t="inlineStr">
        <is>
          <t>Lakvattenhantering</t>
        </is>
      </c>
      <c r="AC404" t="inlineStr">
        <is>
          <t>Flodesschema dagvatten-lakvatten</t>
        </is>
      </c>
      <c r="AD404" t="inlineStr">
        <is>
          <t>Nej</t>
        </is>
      </c>
      <c r="AE404" t="inlineStr">
        <is>
          <t>Nej</t>
        </is>
      </c>
      <c r="AF404" t="inlineStr">
        <is>
          <t>Ej behandlad</t>
        </is>
      </c>
      <c r="AG404" t="inlineStr">
        <is>
          <t>AUTO_GENERERAD. Verifiera citat mot kallfil.</t>
        </is>
      </c>
      <c r="AH404" t="inlineStr">
        <is>
          <t>MEDIUM</t>
        </is>
      </c>
      <c r="AI404" t="inlineStr">
        <is>
          <t>AUTO</t>
        </is>
      </c>
      <c r="AJ404" t="inlineStr">
        <is>
          <t>Nej</t>
        </is>
      </c>
      <c r="AK404" t="inlineStr"/>
      <c r="AL404" t="inlineStr"/>
      <c r="AM404" t="inlineStr"/>
      <c r="AN404" t="inlineStr"/>
      <c r="AO404" t="inlineStr">
        <is>
          <t>cmm4yure104gbcuqw0iyq01tw</t>
        </is>
      </c>
      <c r="AP404" t="inlineStr">
        <is>
          <t>http://localhost:8787/api/admin/requirements/documents/cmm4yure104gbcuqw0iyq01tw/view</t>
        </is>
      </c>
      <c r="AQ404">
        <f>HYPERLÄNK("http://localhost:8787/api/admin/requirements/documents/cmm4yure104gbcuqw0iyq01tw/view";"Öppna PDF")</f>
        <v/>
      </c>
      <c r="AR404">
        <f>HYPERLINK("http://localhost:8787/api/admin/requirements/documents/cmm4yure104gbcuqw0iyq01tw/view","Open PDF")</f>
        <v/>
      </c>
      <c r="AS404" t="inlineStr">
        <is>
          <t>cmm55w57p0004cuisfrtpqly8</t>
        </is>
      </c>
      <c r="AT404" t="inlineStr">
        <is>
          <t>cmm4xvu980000cuh4vj0usz09</t>
        </is>
      </c>
      <c r="AU404" t="inlineStr">
        <is>
          <t>i Örnsköldsviks</t>
        </is>
      </c>
      <c r="AV404" t="inlineStr">
        <is>
          <t>Kommun</t>
        </is>
      </c>
      <c r="AW404" t="inlineStr">
        <is>
          <t>i Örnsköldsviks kommun</t>
        </is>
      </c>
      <c r="AX404" t="inlineStr">
        <is>
          <t>0660-880</t>
        </is>
      </c>
      <c r="AY404" t="inlineStr">
        <is>
          <t>Beslut</t>
        </is>
      </c>
      <c r="AZ404" t="inlineStr">
        <is>
          <t>2026-02-12</t>
        </is>
      </c>
      <c r="BA404" t="inlineStr">
        <is>
          <t>E-2025-840, beslut.pdf</t>
        </is>
      </c>
      <c r="BB404" t="inlineStr">
        <is>
          <t>Sv: till registrator</t>
        </is>
      </c>
      <c r="BC404" t="inlineStr">
        <is>
          <t>AUTO</t>
        </is>
      </c>
      <c r="BD404" t="inlineStr"/>
      <c r="BE404" t="inlineStr"/>
      <c r="BF404" t="inlineStr">
        <is>
          <t>AUTO_GENERERAD. Bekrafta metadata mot kallfil.</t>
        </is>
      </c>
      <c r="BG404">
        <f>HYPERLINK("C:\Users\jimmy\Desktop\Examens arbete\Kod\Ny mapp\remix_-copy-of-miljöbeslut.se-portal\E-2025-840, beslut.pdf", "Öppna PDF")</f>
        <v/>
      </c>
    </row>
    <row r="405">
      <c r="A405" t="inlineStr">
        <is>
          <t>KRAV-AUTO-000404</t>
        </is>
      </c>
      <c r="B405" t="inlineStr">
        <is>
          <t>ADMIN-INDEX-2026-02-27-00000000125C043F57453246863FE664CAFE6A3F0700950291EA24F0614FB6ACEDB12BF0E31D00000000010C0000950291EA24F0614FB6ACEDB12BF0E31D00002087A57E0000</t>
        </is>
      </c>
      <c r="C405" t="inlineStr">
        <is>
          <t>cmm4yure404gecuqwonagntdx</t>
        </is>
      </c>
      <c r="D405" t="inlineStr">
        <is>
          <t>http://localhost:8787/api/admin/requirements/documents/cmm4yure404gecuqwonagntdx/view</t>
        </is>
      </c>
      <c r="E405">
        <f>HYPERLÄNK("http://localhost:8787/api/admin/requirements/documents/cmm4yure404gecuqwonagntdx/view";"Öppna PDF")</f>
        <v/>
      </c>
      <c r="F405">
        <f>HYPERLINK("http://localhost:8787/api/admin/requirements/documents/cmm4yure404gecuqwonagntdx/view","Open PDF")</f>
        <v/>
      </c>
      <c r="G405" t="inlineStr">
        <is>
          <t>cmm55w57p0004cuisfrtpqly8</t>
        </is>
      </c>
      <c r="H405" t="inlineStr">
        <is>
          <t>Informationskrav</t>
        </is>
      </c>
      <c r="I405" t="inlineStr">
        <is>
          <t>LagringsvolymTid</t>
        </is>
      </c>
      <c r="J405" t="inlineStr">
        <is>
          <t>Maxmangd</t>
        </is>
      </c>
      <c r="K405" t="inlineStr">
        <is>
          <t>Sortering föregår andra typer av bearbetningsmetoder för att minska mängden massor som måste bortskaffas.</t>
        </is>
      </c>
      <c r="L405" t="inlineStr">
        <is>
          <t>Sortering föregår andra typer av bearbetningsmetoder för att minska mängden massor som måste bortskaffas.</t>
        </is>
      </c>
      <c r="M405" t="inlineStr">
        <is>
          <t>SKA</t>
        </is>
      </c>
      <c r="N405" t="inlineStr"/>
      <c r="O405" t="inlineStr"/>
      <c r="P405" t="inlineStr"/>
      <c r="Q405" t="inlineStr"/>
      <c r="R405" t="inlineStr">
        <is>
          <t>Alltid</t>
        </is>
      </c>
      <c r="S405" t="inlineStr"/>
      <c r="T405" t="inlineStr">
        <is>
          <t>121454</t>
        </is>
      </c>
      <c r="U405" t="inlineStr"/>
      <c r="V405" t="inlineStr"/>
      <c r="W405" t="inlineStr">
        <is>
          <t>Nej</t>
        </is>
      </c>
      <c r="X405" t="inlineStr">
        <is>
          <t>Nej</t>
        </is>
      </c>
      <c r="Y405" t="inlineStr">
        <is>
          <t>Nej</t>
        </is>
      </c>
      <c r="Z405" t="inlineStr">
        <is>
          <t>Nej</t>
        </is>
      </c>
      <c r="AA405" t="n">
        <v>4</v>
      </c>
      <c r="AB405" t="inlineStr">
        <is>
          <t>Avfallsmangder och lagringstid</t>
        </is>
      </c>
      <c r="AC405" t="inlineStr">
        <is>
          <t>Avfallsforteckning</t>
        </is>
      </c>
      <c r="AD405" t="inlineStr">
        <is>
          <t>Nej</t>
        </is>
      </c>
      <c r="AE405" t="inlineStr">
        <is>
          <t>Nej</t>
        </is>
      </c>
      <c r="AF405" t="inlineStr">
        <is>
          <t>Ej behandlad</t>
        </is>
      </c>
      <c r="AG405" t="inlineStr">
        <is>
          <t>AUTO_GENERERAD. Verifiera citat mot kallfil.</t>
        </is>
      </c>
      <c r="AH405" t="inlineStr">
        <is>
          <t>MEDIUM</t>
        </is>
      </c>
      <c r="AI405" t="inlineStr">
        <is>
          <t>AUTO</t>
        </is>
      </c>
      <c r="AJ405" t="inlineStr">
        <is>
          <t>Nej</t>
        </is>
      </c>
      <c r="AK405" t="inlineStr"/>
      <c r="AL405" t="inlineStr"/>
      <c r="AM405" t="inlineStr"/>
      <c r="AN405" t="inlineStr"/>
      <c r="AO405" t="inlineStr">
        <is>
          <t>cmm4yure104gbcuqw0iyq01tw</t>
        </is>
      </c>
      <c r="AP405" t="inlineStr">
        <is>
          <t>http://localhost:8787/api/admin/requirements/documents/cmm4yure104gbcuqw0iyq01tw/view</t>
        </is>
      </c>
      <c r="AQ405">
        <f>HYPERLÄNK("http://localhost:8787/api/admin/requirements/documents/cmm4yure104gbcuqw0iyq01tw/view";"Öppna PDF")</f>
        <v/>
      </c>
      <c r="AR405">
        <f>HYPERLINK("http://localhost:8787/api/admin/requirements/documents/cmm4yure104gbcuqw0iyq01tw/view","Open PDF")</f>
        <v/>
      </c>
      <c r="AS405" t="inlineStr">
        <is>
          <t>cmm55w57p0004cuisfrtpqly8</t>
        </is>
      </c>
      <c r="AT405" t="inlineStr">
        <is>
          <t>cmm4xvu980000cuh4vj0usz09</t>
        </is>
      </c>
      <c r="AU405" t="inlineStr">
        <is>
          <t>i Örnsköldsviks</t>
        </is>
      </c>
      <c r="AV405" t="inlineStr">
        <is>
          <t>Kommun</t>
        </is>
      </c>
      <c r="AW405" t="inlineStr">
        <is>
          <t>i Örnsköldsviks kommun</t>
        </is>
      </c>
      <c r="AX405" t="inlineStr">
        <is>
          <t>0660-880</t>
        </is>
      </c>
      <c r="AY405" t="inlineStr">
        <is>
          <t>Beslut</t>
        </is>
      </c>
      <c r="AZ405" t="inlineStr">
        <is>
          <t>2026-02-12</t>
        </is>
      </c>
      <c r="BA405" t="inlineStr">
        <is>
          <t>E-2025-840, beslut.pdf</t>
        </is>
      </c>
      <c r="BB405" t="inlineStr">
        <is>
          <t>Sv: till registrator</t>
        </is>
      </c>
      <c r="BC405" t="inlineStr">
        <is>
          <t>AUTO</t>
        </is>
      </c>
      <c r="BD405" t="inlineStr"/>
      <c r="BE405" t="inlineStr"/>
      <c r="BF405" t="inlineStr">
        <is>
          <t>AUTO_GENERERAD. Bekrafta metadata mot kallfil.</t>
        </is>
      </c>
      <c r="BG405">
        <f>HYPERLINK("C:\Users\jimmy\Desktop\Examens arbete\Kod\Ny mapp\remix_-copy-of-miljöbeslut.se-portal\E-2025-840, beslut.pdf", "Öppna PDF")</f>
        <v/>
      </c>
    </row>
    <row r="406">
      <c r="A406" t="inlineStr">
        <is>
          <t>KRAV-AUTO-000405</t>
        </is>
      </c>
      <c r="B406" t="inlineStr">
        <is>
          <t>ADMIN-INDEX-2026-02-27-00000000125C043F57453246863FE664CAFE6A3F0700950291EA24F0614FB6ACEDB12BF0E31D00000000010C0000950291EA24F0614FB6ACEDB12BF0E31D00002087A57E0000</t>
        </is>
      </c>
      <c r="C406" t="inlineStr">
        <is>
          <t>cmm4yure404gecuqwonagntdx</t>
        </is>
      </c>
      <c r="D406" t="inlineStr">
        <is>
          <t>http://localhost:8787/api/admin/requirements/documents/cmm4yure404gecuqwonagntdx/view</t>
        </is>
      </c>
      <c r="E406">
        <f>HYPERLÄNK("http://localhost:8787/api/admin/requirements/documents/cmm4yure404gecuqwonagntdx/view";"Öppna PDF")</f>
        <v/>
      </c>
      <c r="F406">
        <f>HYPERLINK("http://localhost:8787/api/admin/requirements/documents/cmm4yure404gecuqwonagntdx/view","Open PDF")</f>
        <v/>
      </c>
      <c r="G406" t="inlineStr">
        <is>
          <t>cmm55w57p0004cuisfrtpqly8</t>
        </is>
      </c>
      <c r="H406" t="inlineStr">
        <is>
          <t>Informationskrav</t>
        </is>
      </c>
      <c r="I406" t="inlineStr">
        <is>
          <t>DagvattenLakvatten</t>
        </is>
      </c>
      <c r="J406" t="inlineStr">
        <is>
          <t>Uppsamling</t>
        </is>
      </c>
      <c r="K406" t="inlineStr">
        <is>
          <t>På anläggningen är riskerna att föroreningar ska spridas till omgivande mark och vatten vid ett eventuellt läckage mycket liten då all verksamhet sker på asfalterade ytor med uppsamling och hantering av dagvatten och eventuella spill.</t>
        </is>
      </c>
      <c r="L406" t="inlineStr">
        <is>
          <t>På anläggningen är riskerna att föroreningar ska spridas till omgivande mark och vatten vid ett eventuellt läckage mycket liten då all verksamhet sker på asfalterade ytor med uppsamling och hantering av dagvatten och eventuella spill.</t>
        </is>
      </c>
      <c r="M406" t="inlineStr">
        <is>
          <t>SKA</t>
        </is>
      </c>
      <c r="N406" t="inlineStr"/>
      <c r="O406" t="inlineStr"/>
      <c r="P406" t="inlineStr"/>
      <c r="Q406" t="inlineStr"/>
      <c r="R406" t="inlineStr">
        <is>
          <t>Vid nederbord och avrinning</t>
        </is>
      </c>
      <c r="S406" t="inlineStr"/>
      <c r="T406" t="inlineStr">
        <is>
          <t>121454</t>
        </is>
      </c>
      <c r="U406" t="inlineStr"/>
      <c r="V406" t="inlineStr"/>
      <c r="W406" t="inlineStr">
        <is>
          <t>Nej</t>
        </is>
      </c>
      <c r="X406" t="inlineStr">
        <is>
          <t>Ja</t>
        </is>
      </c>
      <c r="Y406" t="inlineStr">
        <is>
          <t>Ja</t>
        </is>
      </c>
      <c r="Z406" t="inlineStr">
        <is>
          <t>Nej</t>
        </is>
      </c>
      <c r="AA406" t="n">
        <v>6</v>
      </c>
      <c r="AB406" t="inlineStr">
        <is>
          <t>Lakvattenhantering</t>
        </is>
      </c>
      <c r="AC406" t="inlineStr">
        <is>
          <t>Flodesschema dagvatten-lakvatten</t>
        </is>
      </c>
      <c r="AD406" t="inlineStr">
        <is>
          <t>Nej</t>
        </is>
      </c>
      <c r="AE406" t="inlineStr">
        <is>
          <t>Nej</t>
        </is>
      </c>
      <c r="AF406" t="inlineStr">
        <is>
          <t>Ej behandlad</t>
        </is>
      </c>
      <c r="AG406" t="inlineStr">
        <is>
          <t>AUTO_GENERERAD. Verifiera citat mot kallfil.</t>
        </is>
      </c>
      <c r="AH406" t="inlineStr">
        <is>
          <t>MEDIUM</t>
        </is>
      </c>
      <c r="AI406" t="inlineStr">
        <is>
          <t>AUTO</t>
        </is>
      </c>
      <c r="AJ406" t="inlineStr">
        <is>
          <t>Nej</t>
        </is>
      </c>
      <c r="AK406" t="inlineStr"/>
      <c r="AL406" t="inlineStr"/>
      <c r="AM406" t="inlineStr"/>
      <c r="AN406" t="inlineStr"/>
      <c r="AO406" t="inlineStr">
        <is>
          <t>cmm4yure104gbcuqw0iyq01tw</t>
        </is>
      </c>
      <c r="AP406" t="inlineStr">
        <is>
          <t>http://localhost:8787/api/admin/requirements/documents/cmm4yure104gbcuqw0iyq01tw/view</t>
        </is>
      </c>
      <c r="AQ406">
        <f>HYPERLÄNK("http://localhost:8787/api/admin/requirements/documents/cmm4yure104gbcuqw0iyq01tw/view";"Öppna PDF")</f>
        <v/>
      </c>
      <c r="AR406">
        <f>HYPERLINK("http://localhost:8787/api/admin/requirements/documents/cmm4yure104gbcuqw0iyq01tw/view","Open PDF")</f>
        <v/>
      </c>
      <c r="AS406" t="inlineStr">
        <is>
          <t>cmm55w57p0004cuisfrtpqly8</t>
        </is>
      </c>
      <c r="AT406" t="inlineStr">
        <is>
          <t>cmm4xvu980000cuh4vj0usz09</t>
        </is>
      </c>
      <c r="AU406" t="inlineStr">
        <is>
          <t>i Örnsköldsviks</t>
        </is>
      </c>
      <c r="AV406" t="inlineStr">
        <is>
          <t>Kommun</t>
        </is>
      </c>
      <c r="AW406" t="inlineStr">
        <is>
          <t>i Örnsköldsviks kommun</t>
        </is>
      </c>
      <c r="AX406" t="inlineStr">
        <is>
          <t>0660-880</t>
        </is>
      </c>
      <c r="AY406" t="inlineStr">
        <is>
          <t>Beslut</t>
        </is>
      </c>
      <c r="AZ406" t="inlineStr">
        <is>
          <t>2026-02-12</t>
        </is>
      </c>
      <c r="BA406" t="inlineStr">
        <is>
          <t>E-2025-840, beslut.pdf</t>
        </is>
      </c>
      <c r="BB406" t="inlineStr">
        <is>
          <t>Sv: till registrator</t>
        </is>
      </c>
      <c r="BC406" t="inlineStr">
        <is>
          <t>AUTO</t>
        </is>
      </c>
      <c r="BD406" t="inlineStr"/>
      <c r="BE406" t="inlineStr"/>
      <c r="BF406" t="inlineStr">
        <is>
          <t>AUTO_GENERERAD. Bekrafta metadata mot kallfil.</t>
        </is>
      </c>
      <c r="BG406">
        <f>HYPERLINK("C:\Users\jimmy\Desktop\Examens arbete\Kod\Ny mapp\remix_-copy-of-miljöbeslut.se-portal\E-2025-840, beslut.pdf", "Öppna PDF")</f>
        <v/>
      </c>
    </row>
    <row r="407">
      <c r="A407" t="inlineStr">
        <is>
          <t>KRAV-AUTO-000406</t>
        </is>
      </c>
      <c r="B407" t="inlineStr">
        <is>
          <t>ADMIN-INDEX-2026-02-27-00000000125C043F57453246863FE664CAFE6A3F0700950291EA24F0614FB6ACEDB12BF0E31D00000000010C0000950291EA24F0614FB6ACEDB12BF0E31D00002087A57E0000</t>
        </is>
      </c>
      <c r="C407" t="inlineStr">
        <is>
          <t>cmm4yurdt04g2cuqwnjbo5z95</t>
        </is>
      </c>
      <c r="D407" t="inlineStr">
        <is>
          <t>http://localhost:8787/api/admin/requirements/documents/cmm4yurdt04g2cuqwnjbo5z95/view</t>
        </is>
      </c>
      <c r="E407">
        <f>HYPERLÄNK("http://localhost:8787/api/admin/requirements/documents/cmm4yurdt04g2cuqwnjbo5z95/view";"Öppna PDF")</f>
        <v/>
      </c>
      <c r="F407">
        <f>HYPERLINK("http://localhost:8787/api/admin/requirements/documents/cmm4yurdt04g2cuqwnjbo5z95/view","Open PDF")</f>
        <v/>
      </c>
      <c r="G407" t="inlineStr">
        <is>
          <t>cmm55w57p0004cuisfrtpqly8</t>
        </is>
      </c>
      <c r="H407" t="inlineStr">
        <is>
          <t>Informationskrav</t>
        </is>
      </c>
      <c r="I407" t="inlineStr">
        <is>
          <t>DagvattenLakvatten</t>
        </is>
      </c>
      <c r="J407" t="inlineStr">
        <is>
          <t>Uppsamling</t>
        </is>
      </c>
      <c r="K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www.ornskoldsvik.se 0660-880 00 Fax 0660-849 67 2(3) ÖRNSKÖLDSVIKS KOMMUN Anmälan om krossverksamhet, asfalt- och oljegrustillverkning 9 kap 6 § miljöbalken (1998:808) samt 10-11 §§ miljöprövningsförordningen (2013:251) Skickas in av verksamhetsutövaren i god tid verksamheten påbörjas.</t>
        </is>
      </c>
      <c r="L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t>
        </is>
      </c>
      <c r="M407" t="inlineStr">
        <is>
          <t>SKA</t>
        </is>
      </c>
      <c r="N407" t="inlineStr">
        <is>
          <t>Miljobalken, MPF</t>
        </is>
      </c>
      <c r="O407" t="inlineStr"/>
      <c r="P407" t="inlineStr"/>
      <c r="Q407" t="inlineStr"/>
      <c r="R407" t="inlineStr">
        <is>
          <t>Vid nederbord och avrinning</t>
        </is>
      </c>
      <c r="S407" t="inlineStr"/>
      <c r="T407" t="inlineStr">
        <is>
          <t>212000</t>
        </is>
      </c>
      <c r="U407" t="inlineStr"/>
      <c r="V407" t="inlineStr"/>
      <c r="W407" t="inlineStr">
        <is>
          <t>Nej</t>
        </is>
      </c>
      <c r="X407" t="inlineStr">
        <is>
          <t>Ja</t>
        </is>
      </c>
      <c r="Y407" t="inlineStr">
        <is>
          <t>Ja</t>
        </is>
      </c>
      <c r="Z407" t="inlineStr">
        <is>
          <t>Nej</t>
        </is>
      </c>
      <c r="AA407" t="n">
        <v>6</v>
      </c>
      <c r="AB407" t="inlineStr">
        <is>
          <t>Lakvattenhantering</t>
        </is>
      </c>
      <c r="AC407" t="inlineStr">
        <is>
          <t>Flodesschema dagvatten-lakvatten</t>
        </is>
      </c>
      <c r="AD407" t="inlineStr">
        <is>
          <t>Nej</t>
        </is>
      </c>
      <c r="AE407" t="inlineStr">
        <is>
          <t>Nej</t>
        </is>
      </c>
      <c r="AF407" t="inlineStr">
        <is>
          <t>Ej behandlad</t>
        </is>
      </c>
      <c r="AG407" t="inlineStr">
        <is>
          <t>AUTO_GENERERAD. Verifiera citat mot kallfil.</t>
        </is>
      </c>
      <c r="AH407" t="inlineStr">
        <is>
          <t>MEDIUM</t>
        </is>
      </c>
      <c r="AI407" t="inlineStr">
        <is>
          <t>AUTO</t>
        </is>
      </c>
      <c r="AJ407" t="inlineStr">
        <is>
          <t>Nej</t>
        </is>
      </c>
      <c r="AK407" t="inlineStr"/>
      <c r="AL407" t="inlineStr"/>
      <c r="AM407" t="inlineStr"/>
      <c r="AN407" t="inlineStr"/>
      <c r="AO407" t="inlineStr">
        <is>
          <t>cmm4yure104gbcuqw0iyq01tw</t>
        </is>
      </c>
      <c r="AP407" t="inlineStr">
        <is>
          <t>http://localhost:8787/api/admin/requirements/documents/cmm4yure104gbcuqw0iyq01tw/view</t>
        </is>
      </c>
      <c r="AQ407">
        <f>HYPERLÄNK("http://localhost:8787/api/admin/requirements/documents/cmm4yure104gbcuqw0iyq01tw/view";"Öppna PDF")</f>
        <v/>
      </c>
      <c r="AR407">
        <f>HYPERLINK("http://localhost:8787/api/admin/requirements/documents/cmm4yure104gbcuqw0iyq01tw/view","Open PDF")</f>
        <v/>
      </c>
      <c r="AS407" t="inlineStr">
        <is>
          <t>cmm55w57p0004cuisfrtpqly8</t>
        </is>
      </c>
      <c r="AT407" t="inlineStr">
        <is>
          <t>cmm4xvu980000cuh4vj0usz09</t>
        </is>
      </c>
      <c r="AU407" t="inlineStr">
        <is>
          <t>i Örnsköldsviks</t>
        </is>
      </c>
      <c r="AV407" t="inlineStr">
        <is>
          <t>Kommun</t>
        </is>
      </c>
      <c r="AW407" t="inlineStr">
        <is>
          <t>i Örnsköldsviks kommun</t>
        </is>
      </c>
      <c r="AX407" t="inlineStr">
        <is>
          <t>0660-880</t>
        </is>
      </c>
      <c r="AY407" t="inlineStr">
        <is>
          <t>Beslut</t>
        </is>
      </c>
      <c r="AZ407" t="inlineStr">
        <is>
          <t>2026-02-12</t>
        </is>
      </c>
      <c r="BA407" t="inlineStr">
        <is>
          <t>E-2025-840, beslut.pdf</t>
        </is>
      </c>
      <c r="BB407" t="inlineStr">
        <is>
          <t>Sv: till registrator</t>
        </is>
      </c>
      <c r="BC407" t="inlineStr">
        <is>
          <t>AUTO</t>
        </is>
      </c>
      <c r="BD407" t="inlineStr"/>
      <c r="BE407" t="inlineStr"/>
      <c r="BF407" t="inlineStr">
        <is>
          <t>AUTO_GENERERAD. Bekrafta metadata mot kallfil.</t>
        </is>
      </c>
      <c r="BG407">
        <f>HYPERLINK("C:\Users\jimmy\Desktop\Examens arbete\Kod\Ny mapp\remix_-copy-of-miljöbeslut.se-portal\E-2025-840, beslut.pdf", "Öppna PDF")</f>
        <v/>
      </c>
    </row>
    <row r="408">
      <c r="A408" t="inlineStr">
        <is>
          <t>KRAV-AUTO-000407</t>
        </is>
      </c>
      <c r="B408" t="inlineStr">
        <is>
          <t>ADMIN-INDEX-2026-02-27-00000000125C043F57453246863FE664CAFE6A3F0700950291EA24F0614FB6ACEDB12BF0E31D00000000010C0000950291EA24F0614FB6ACEDB12BF0E31D00002087A57E0000</t>
        </is>
      </c>
      <c r="C408" t="inlineStr">
        <is>
          <t>cmm4yurdq04fzcuqwsyl3rad1</t>
        </is>
      </c>
      <c r="D408" t="inlineStr">
        <is>
          <t>http://localhost:8787/api/admin/requirements/documents/cmm4yurdq04fzcuqwsyl3rad1/view</t>
        </is>
      </c>
      <c r="E408">
        <f>HYPERLÄNK("http://localhost:8787/api/admin/requirements/documents/cmm4yurdq04fzcuqwsyl3rad1/view";"Öppna PDF")</f>
        <v/>
      </c>
      <c r="F408">
        <f>HYPERLINK("http://localhost:8787/api/admin/requirements/documents/cmm4yurdq04fzcuqwsyl3rad1/view","Open PDF")</f>
        <v/>
      </c>
      <c r="G408" t="inlineStr">
        <is>
          <t>cmm55w57p0004cuisfrtpqly8</t>
        </is>
      </c>
      <c r="H408" t="inlineStr">
        <is>
          <t>Beslutsvillkor</t>
        </is>
      </c>
      <c r="I408" t="inlineStr">
        <is>
          <t>LagringsvolymTid</t>
        </is>
      </c>
      <c r="J408" t="inlineStr">
        <is>
          <t>Maxmangd</t>
        </is>
      </c>
      <c r="K408" t="inlineStr">
        <is>
          <t>mer än 10 ton men högst 30 000 ton och avfallet ska användas för byggnads- eller anläggningsändamål, eller 2.</t>
        </is>
      </c>
      <c r="L408" t="inlineStr">
        <is>
          <t>mer än 10 ton men högst 30 000 ton och avfallet ska användas för byggnads- eller anläggningsändamål, eller 2.</t>
        </is>
      </c>
      <c r="M408" t="inlineStr">
        <is>
          <t>SKA</t>
        </is>
      </c>
      <c r="N408" t="inlineStr"/>
      <c r="O408" t="inlineStr"/>
      <c r="P408" t="inlineStr"/>
      <c r="Q408" t="inlineStr"/>
      <c r="R408" t="inlineStr">
        <is>
          <t>Alltid</t>
        </is>
      </c>
      <c r="S408" t="inlineStr"/>
      <c r="T408" t="inlineStr">
        <is>
          <t>212000</t>
        </is>
      </c>
      <c r="U408" t="n">
        <v>10</v>
      </c>
      <c r="V408" t="inlineStr"/>
      <c r="W408" t="inlineStr">
        <is>
          <t>Nej</t>
        </is>
      </c>
      <c r="X408" t="inlineStr">
        <is>
          <t>Nej</t>
        </is>
      </c>
      <c r="Y408" t="inlineStr">
        <is>
          <t>Nej</t>
        </is>
      </c>
      <c r="Z408" t="inlineStr">
        <is>
          <t>Nej</t>
        </is>
      </c>
      <c r="AA408" t="n">
        <v>4</v>
      </c>
      <c r="AB408" t="inlineStr">
        <is>
          <t>Avfallsmangder och lagringstid</t>
        </is>
      </c>
      <c r="AC408" t="inlineStr">
        <is>
          <t>Avfallsforteckning</t>
        </is>
      </c>
      <c r="AD408" t="inlineStr">
        <is>
          <t>Nej</t>
        </is>
      </c>
      <c r="AE408" t="inlineStr">
        <is>
          <t>Nej</t>
        </is>
      </c>
      <c r="AF408" t="inlineStr">
        <is>
          <t>Ej behandlad</t>
        </is>
      </c>
      <c r="AG408" t="inlineStr">
        <is>
          <t>AUTO_GENERERAD. Verifiera citat mot kallfil.</t>
        </is>
      </c>
      <c r="AH408" t="inlineStr">
        <is>
          <t>MEDIUM</t>
        </is>
      </c>
      <c r="AI408" t="inlineStr">
        <is>
          <t>AUTO</t>
        </is>
      </c>
      <c r="AJ408" t="inlineStr">
        <is>
          <t>Nej</t>
        </is>
      </c>
      <c r="AK408" t="inlineStr"/>
      <c r="AL408" t="inlineStr"/>
      <c r="AM408" t="inlineStr"/>
      <c r="AN408" t="inlineStr"/>
      <c r="AO408" t="inlineStr">
        <is>
          <t>cmm4yure104gbcuqw0iyq01tw</t>
        </is>
      </c>
      <c r="AP408" t="inlineStr">
        <is>
          <t>http://localhost:8787/api/admin/requirements/documents/cmm4yure104gbcuqw0iyq01tw/view</t>
        </is>
      </c>
      <c r="AQ408">
        <f>HYPERLÄNK("http://localhost:8787/api/admin/requirements/documents/cmm4yure104gbcuqw0iyq01tw/view";"Öppna PDF")</f>
        <v/>
      </c>
      <c r="AR408">
        <f>HYPERLINK("http://localhost:8787/api/admin/requirements/documents/cmm4yure104gbcuqw0iyq01tw/view","Open PDF")</f>
        <v/>
      </c>
      <c r="AS408" t="inlineStr">
        <is>
          <t>cmm55w57p0004cuisfrtpqly8</t>
        </is>
      </c>
      <c r="AT408" t="inlineStr">
        <is>
          <t>cmm4xvu980000cuh4vj0usz09</t>
        </is>
      </c>
      <c r="AU408" t="inlineStr">
        <is>
          <t>i Örnsköldsviks</t>
        </is>
      </c>
      <c r="AV408" t="inlineStr">
        <is>
          <t>Kommun</t>
        </is>
      </c>
      <c r="AW408" t="inlineStr">
        <is>
          <t>i Örnsköldsviks kommun</t>
        </is>
      </c>
      <c r="AX408" t="inlineStr">
        <is>
          <t>0660-880</t>
        </is>
      </c>
      <c r="AY408" t="inlineStr">
        <is>
          <t>Beslut</t>
        </is>
      </c>
      <c r="AZ408" t="inlineStr">
        <is>
          <t>2026-02-12</t>
        </is>
      </c>
      <c r="BA408" t="inlineStr">
        <is>
          <t>E-2025-840, beslut.pdf</t>
        </is>
      </c>
      <c r="BB408" t="inlineStr">
        <is>
          <t>Sv: till registrator</t>
        </is>
      </c>
      <c r="BC408" t="inlineStr">
        <is>
          <t>AUTO</t>
        </is>
      </c>
      <c r="BD408" t="inlineStr"/>
      <c r="BE408" t="inlineStr"/>
      <c r="BF408" t="inlineStr">
        <is>
          <t>AUTO_GENERERAD. Bekrafta metadata mot kallfil.</t>
        </is>
      </c>
      <c r="BG408">
        <f>HYPERLINK("C:\Users\jimmy\Desktop\Examens arbete\Kod\Ny mapp\remix_-copy-of-miljöbeslut.se-portal\E-2025-840, beslut.pdf", "Öppna PDF")</f>
        <v/>
      </c>
    </row>
    <row r="409">
      <c r="A409" t="inlineStr">
        <is>
          <t>KRAV-AUTO-000408</t>
        </is>
      </c>
      <c r="B409" t="inlineStr">
        <is>
          <t>ADMIN-INDEX-2026-02-27-00000000125C043F57453246863FE664CAFE6A3F0700950291EA24F0614FB6ACEDB12BF0E31D00000000010C0000950291EA24F0614FB6ACEDB12BF0E31D00002087A57E0000</t>
        </is>
      </c>
      <c r="C409" t="inlineStr">
        <is>
          <t>cmm4yurdq04fzcuqwsyl3rad1</t>
        </is>
      </c>
      <c r="D409" t="inlineStr">
        <is>
          <t>http://localhost:8787/api/admin/requirements/documents/cmm4yurdq04fzcuqwsyl3rad1/view</t>
        </is>
      </c>
      <c r="E409">
        <f>HYPERLÄNK("http://localhost:8787/api/admin/requirements/documents/cmm4yurdq04fzcuqwsyl3rad1/view";"Öppna PDF")</f>
        <v/>
      </c>
      <c r="F409">
        <f>HYPERLINK("http://localhost:8787/api/admin/requirements/documents/cmm4yurdq04fzcuqwsyl3rad1/view","Open PDF")</f>
        <v/>
      </c>
      <c r="G409" t="inlineStr">
        <is>
          <t>cmm55w57p0004cuisfrtpqly8</t>
        </is>
      </c>
      <c r="H409" t="inlineStr">
        <is>
          <t>Beslutsvillkor</t>
        </is>
      </c>
      <c r="I409" t="inlineStr">
        <is>
          <t>DagvattenLakvatten</t>
        </is>
      </c>
      <c r="J409" t="inlineStr">
        <is>
          <t>Uppsamling</t>
        </is>
      </c>
      <c r="K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L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M409" t="inlineStr">
        <is>
          <t>INFO</t>
        </is>
      </c>
      <c r="N409" t="inlineStr"/>
      <c r="O409" t="inlineStr"/>
      <c r="P409" t="inlineStr"/>
      <c r="Q409" t="inlineStr">
        <is>
          <t>Forelaggande vid brist</t>
        </is>
      </c>
      <c r="R409" t="inlineStr">
        <is>
          <t>Vid nederbord och avrinning</t>
        </is>
      </c>
      <c r="S409" t="inlineStr"/>
      <c r="T409" t="inlineStr">
        <is>
          <t>889600</t>
        </is>
      </c>
      <c r="U409" t="inlineStr"/>
      <c r="V409" t="inlineStr"/>
      <c r="W409" t="inlineStr">
        <is>
          <t>Nej</t>
        </is>
      </c>
      <c r="X409" t="inlineStr">
        <is>
          <t>Ja</t>
        </is>
      </c>
      <c r="Y409" t="inlineStr">
        <is>
          <t>Ja</t>
        </is>
      </c>
      <c r="Z409" t="inlineStr">
        <is>
          <t>Nej</t>
        </is>
      </c>
      <c r="AA409" t="n">
        <v>6</v>
      </c>
      <c r="AB409" t="inlineStr">
        <is>
          <t>Lakvattenhantering</t>
        </is>
      </c>
      <c r="AC409" t="inlineStr">
        <is>
          <t>Flodesschema dagvatten-lakvatten</t>
        </is>
      </c>
      <c r="AD409" t="inlineStr">
        <is>
          <t>Nej</t>
        </is>
      </c>
      <c r="AE409" t="inlineStr">
        <is>
          <t>Nej</t>
        </is>
      </c>
      <c r="AF409" t="inlineStr">
        <is>
          <t>Ej behandlad</t>
        </is>
      </c>
      <c r="AG409" t="inlineStr">
        <is>
          <t>AUTO_GENERERAD. Verifiera citat mot kallfil.</t>
        </is>
      </c>
      <c r="AH409" t="inlineStr">
        <is>
          <t>MEDIUM</t>
        </is>
      </c>
      <c r="AI409" t="inlineStr">
        <is>
          <t>AUTO</t>
        </is>
      </c>
      <c r="AJ409" t="inlineStr">
        <is>
          <t>Nej</t>
        </is>
      </c>
      <c r="AK409" t="inlineStr"/>
      <c r="AL409" t="inlineStr"/>
      <c r="AM409" t="inlineStr"/>
      <c r="AN409" t="inlineStr"/>
      <c r="AO409" t="inlineStr">
        <is>
          <t>cmm4yure104gbcuqw0iyq01tw</t>
        </is>
      </c>
      <c r="AP409" t="inlineStr">
        <is>
          <t>http://localhost:8787/api/admin/requirements/documents/cmm4yure104gbcuqw0iyq01tw/view</t>
        </is>
      </c>
      <c r="AQ409">
        <f>HYPERLÄNK("http://localhost:8787/api/admin/requirements/documents/cmm4yure104gbcuqw0iyq01tw/view";"Öppna PDF")</f>
        <v/>
      </c>
      <c r="AR409">
        <f>HYPERLINK("http://localhost:8787/api/admin/requirements/documents/cmm4yure104gbcuqw0iyq01tw/view","Open PDF")</f>
        <v/>
      </c>
      <c r="AS409" t="inlineStr">
        <is>
          <t>cmm55w57p0004cuisfrtpqly8</t>
        </is>
      </c>
      <c r="AT409" t="inlineStr">
        <is>
          <t>cmm4xvu980000cuh4vj0usz09</t>
        </is>
      </c>
      <c r="AU409" t="inlineStr">
        <is>
          <t>i Örnsköldsviks</t>
        </is>
      </c>
      <c r="AV409" t="inlineStr">
        <is>
          <t>Kommun</t>
        </is>
      </c>
      <c r="AW409" t="inlineStr">
        <is>
          <t>i Örnsköldsviks kommun</t>
        </is>
      </c>
      <c r="AX409" t="inlineStr">
        <is>
          <t>0660-880</t>
        </is>
      </c>
      <c r="AY409" t="inlineStr">
        <is>
          <t>Beslut</t>
        </is>
      </c>
      <c r="AZ409" t="inlineStr">
        <is>
          <t>2026-02-12</t>
        </is>
      </c>
      <c r="BA409" t="inlineStr">
        <is>
          <t>E-2025-840, beslut.pdf</t>
        </is>
      </c>
      <c r="BB409" t="inlineStr">
        <is>
          <t>Sv: till registrator</t>
        </is>
      </c>
      <c r="BC409" t="inlineStr">
        <is>
          <t>AUTO</t>
        </is>
      </c>
      <c r="BD409" t="inlineStr"/>
      <c r="BE409" t="inlineStr"/>
      <c r="BF409" t="inlineStr">
        <is>
          <t>AUTO_GENERERAD. Bekrafta metadata mot kallfil.</t>
        </is>
      </c>
      <c r="BG409">
        <f>HYPERLINK("C:\Users\jimmy\Desktop\Examens arbete\Kod\Ny mapp\remix_-copy-of-miljöbeslut.se-portal\E-2025-840, beslut.pdf", "Öppna PDF")</f>
        <v/>
      </c>
    </row>
    <row r="410">
      <c r="A410" t="inlineStr">
        <is>
          <t>KRAV-AUTO-000409</t>
        </is>
      </c>
      <c r="B410" t="inlineStr">
        <is>
          <t>ADMIN-INDEX-2026-02-27-00000000125C043F57453246863FE664CAFE6A3F0700950291EA24F0614FB6ACEDB12BF0E31D00000000010C0000950291EA24F0614FB6ACEDB12BF0E31D00002087A57E0000</t>
        </is>
      </c>
      <c r="C410" t="inlineStr">
        <is>
          <t>cmm4yurdq04fzcuqwsyl3rad1</t>
        </is>
      </c>
      <c r="D410" t="inlineStr">
        <is>
          <t>http://localhost:8787/api/admin/requirements/documents/cmm4yurdq04fzcuqwsyl3rad1/view</t>
        </is>
      </c>
      <c r="E410">
        <f>HYPERLÄNK("http://localhost:8787/api/admin/requirements/documents/cmm4yurdq04fzcuqwsyl3rad1/view";"Öppna PDF")</f>
        <v/>
      </c>
      <c r="F410">
        <f>HYPERLINK("http://localhost:8787/api/admin/requirements/documents/cmm4yurdq04fzcuqwsyl3rad1/view","Open PDF")</f>
        <v/>
      </c>
      <c r="G410" t="inlineStr">
        <is>
          <t>cmm55w57p0004cuisfrtpqly8</t>
        </is>
      </c>
      <c r="H410" t="inlineStr">
        <is>
          <t>Beslutsvillkor</t>
        </is>
      </c>
      <c r="I410" t="inlineStr">
        <is>
          <t>DriftEgenkontroll</t>
        </is>
      </c>
      <c r="J410" t="inlineStr">
        <is>
          <t>Journalforing</t>
        </is>
      </c>
      <c r="K410" t="inlineStr">
        <is>
          <t>Verksamhetsutövaren ska lämna förslag på kontrollprogram eller förbättrande åtgärder om tillsynsmyndigheten begär det.</t>
        </is>
      </c>
      <c r="L410" t="inlineStr">
        <is>
          <t>Verksamhetsutövaren ska lämna förslag på kontrollprogram eller förbättrande åtgärder om tillsynsmyndigheten begär det.</t>
        </is>
      </c>
      <c r="M410" t="inlineStr">
        <is>
          <t>SKA</t>
        </is>
      </c>
      <c r="N410" t="inlineStr"/>
      <c r="O410" t="inlineStr"/>
      <c r="P410" t="inlineStr"/>
      <c r="Q410" t="inlineStr"/>
      <c r="R410" t="inlineStr">
        <is>
          <t>Lopande drift</t>
        </is>
      </c>
      <c r="S410" t="inlineStr"/>
      <c r="T410" t="inlineStr">
        <is>
          <t>212000</t>
        </is>
      </c>
      <c r="U410" t="inlineStr"/>
      <c r="V410" t="inlineStr"/>
      <c r="W410" t="inlineStr">
        <is>
          <t>Nej</t>
        </is>
      </c>
      <c r="X410" t="inlineStr">
        <is>
          <t>Nej</t>
        </is>
      </c>
      <c r="Y410" t="inlineStr">
        <is>
          <t>Ja</t>
        </is>
      </c>
      <c r="Z410" t="inlineStr">
        <is>
          <t>Nej</t>
        </is>
      </c>
      <c r="AA410" t="n">
        <v>7</v>
      </c>
      <c r="AB410" t="inlineStr">
        <is>
          <t>Egenkontrollrutiner</t>
        </is>
      </c>
      <c r="AC410" t="inlineStr">
        <is>
          <t>Egenkontrollprogram</t>
        </is>
      </c>
      <c r="AD410" t="inlineStr">
        <is>
          <t>Nej</t>
        </is>
      </c>
      <c r="AE410" t="inlineStr">
        <is>
          <t>Nej</t>
        </is>
      </c>
      <c r="AF410" t="inlineStr">
        <is>
          <t>Ej behandlad</t>
        </is>
      </c>
      <c r="AG410" t="inlineStr">
        <is>
          <t>AUTO_GENERERAD. Verifiera citat mot kallfil.</t>
        </is>
      </c>
      <c r="AH410" t="inlineStr">
        <is>
          <t>MEDIUM</t>
        </is>
      </c>
      <c r="AI410" t="inlineStr">
        <is>
          <t>AUTO</t>
        </is>
      </c>
      <c r="AJ410" t="inlineStr">
        <is>
          <t>Nej</t>
        </is>
      </c>
      <c r="AK410" t="inlineStr"/>
      <c r="AL410" t="inlineStr"/>
      <c r="AM410" t="inlineStr"/>
      <c r="AN410" t="inlineStr"/>
      <c r="AO410" t="inlineStr">
        <is>
          <t>cmm4yure104gbcuqw0iyq01tw</t>
        </is>
      </c>
      <c r="AP410" t="inlineStr">
        <is>
          <t>http://localhost:8787/api/admin/requirements/documents/cmm4yure104gbcuqw0iyq01tw/view</t>
        </is>
      </c>
      <c r="AQ410">
        <f>HYPERLÄNK("http://localhost:8787/api/admin/requirements/documents/cmm4yure104gbcuqw0iyq01tw/view";"Öppna PDF")</f>
        <v/>
      </c>
      <c r="AR410">
        <f>HYPERLINK("http://localhost:8787/api/admin/requirements/documents/cmm4yure104gbcuqw0iyq01tw/view","Open PDF")</f>
        <v/>
      </c>
      <c r="AS410" t="inlineStr">
        <is>
          <t>cmm55w57p0004cuisfrtpqly8</t>
        </is>
      </c>
      <c r="AT410" t="inlineStr">
        <is>
          <t>cmm4xvu980000cuh4vj0usz09</t>
        </is>
      </c>
      <c r="AU410" t="inlineStr">
        <is>
          <t>i Örnsköldsviks</t>
        </is>
      </c>
      <c r="AV410" t="inlineStr">
        <is>
          <t>Kommun</t>
        </is>
      </c>
      <c r="AW410" t="inlineStr">
        <is>
          <t>i Örnsköldsviks kommun</t>
        </is>
      </c>
      <c r="AX410" t="inlineStr">
        <is>
          <t>0660-880</t>
        </is>
      </c>
      <c r="AY410" t="inlineStr">
        <is>
          <t>Beslut</t>
        </is>
      </c>
      <c r="AZ410" t="inlineStr">
        <is>
          <t>2026-02-12</t>
        </is>
      </c>
      <c r="BA410" t="inlineStr">
        <is>
          <t>E-2025-840, beslut.pdf</t>
        </is>
      </c>
      <c r="BB410" t="inlineStr">
        <is>
          <t>Sv: till registrator</t>
        </is>
      </c>
      <c r="BC410" t="inlineStr">
        <is>
          <t>AUTO</t>
        </is>
      </c>
      <c r="BD410" t="inlineStr"/>
      <c r="BE410" t="inlineStr"/>
      <c r="BF410" t="inlineStr">
        <is>
          <t>AUTO_GENERERAD. Bekrafta metadata mot kallfil.</t>
        </is>
      </c>
      <c r="BG410">
        <f>HYPERLINK("C:\Users\jimmy\Desktop\Examens arbete\Kod\Ny mapp\remix_-copy-of-miljöbeslut.se-portal\E-2025-840, beslut.pdf", "Öppna PDF")</f>
        <v/>
      </c>
    </row>
    <row r="411">
      <c r="A411" t="inlineStr">
        <is>
          <t>KRAV-AUTO-000410</t>
        </is>
      </c>
      <c r="B411" t="inlineStr">
        <is>
          <t>ADMIN-INDEX-2026-02-27-00000000125C043F57453246863FE664CAFE6A3F0700950291EA24F0614FB6ACEDB12BF0E31D00000000010C0000950291EA24F0614FB6ACEDB12BF0E31D00002087A57E0000</t>
        </is>
      </c>
      <c r="C411" t="inlineStr">
        <is>
          <t>cmm4yurdm04fwcuqwy9jsatvw</t>
        </is>
      </c>
      <c r="D411" t="inlineStr">
        <is>
          <t>http://localhost:8787/api/admin/requirements/documents/cmm4yurdm04fwcuqwy9jsatvw/view</t>
        </is>
      </c>
      <c r="E411">
        <f>HYPERLÄNK("http://localhost:8787/api/admin/requirements/documents/cmm4yurdm04fwcuqwy9jsatvw/view";"Öppna PDF")</f>
        <v/>
      </c>
      <c r="F411">
        <f>HYPERLINK("http://localhost:8787/api/admin/requirements/documents/cmm4yurdm04fwcuqwy9jsatvw/view","Open PDF")</f>
        <v/>
      </c>
      <c r="G411" t="inlineStr">
        <is>
          <t>cmm55w57p0004cuisfrtpqly8</t>
        </is>
      </c>
      <c r="H411" t="inlineStr">
        <is>
          <t>Informationskrav</t>
        </is>
      </c>
      <c r="I411" t="inlineStr">
        <is>
          <t>LokaliseringPlats</t>
        </is>
      </c>
      <c r="J411" t="inlineStr">
        <is>
          <t>Skyddsobjekt</t>
        </is>
      </c>
      <c r="K411" t="inlineStr">
        <is>
          <t>Ange vilka bilagor som följer med anmälan Bilaga 1 Situationsplan över fastigheten, karta eller liknande Bilaga 3 Allmänna hänsynsregler Bilaga 2 Avfall Bilaga 4 Annat: Skickas in av verksamhetsutövaren i god tid innan mellanlagringen påbörjas.</t>
        </is>
      </c>
      <c r="L411" t="inlineStr">
        <is>
          <t>Ange vilka bilagor som följer med anmälan Bilaga 1 Situationsplan över fastigheten, karta eller liknande Bilaga 3 Allmänna hänsynsregler Bilaga 2 Avfall Bilaga 4 Annat: Skickas in av verksamhetsutövaren i god tid innan mellanlagringen påbörjas.</t>
        </is>
      </c>
      <c r="M411" t="inlineStr">
        <is>
          <t>BOR</t>
        </is>
      </c>
      <c r="N411" t="inlineStr"/>
      <c r="O411" t="inlineStr"/>
      <c r="P411" t="inlineStr"/>
      <c r="Q411" t="inlineStr"/>
      <c r="R411" t="inlineStr">
        <is>
          <t>Fore beslut</t>
        </is>
      </c>
      <c r="S411" t="inlineStr"/>
      <c r="T411" t="inlineStr">
        <is>
          <t>889600</t>
        </is>
      </c>
      <c r="U411" t="inlineStr"/>
      <c r="V411" t="inlineStr"/>
      <c r="W411" t="inlineStr">
        <is>
          <t>Nej</t>
        </is>
      </c>
      <c r="X411" t="inlineStr">
        <is>
          <t>Nej</t>
        </is>
      </c>
      <c r="Y411" t="inlineStr">
        <is>
          <t>Nej</t>
        </is>
      </c>
      <c r="Z411" t="inlineStr">
        <is>
          <t>Nej</t>
        </is>
      </c>
      <c r="AA411" t="n">
        <v>3</v>
      </c>
      <c r="AB411" t="inlineStr">
        <is>
          <t>Platsforutsattningar</t>
        </is>
      </c>
      <c r="AC411" t="inlineStr">
        <is>
          <t>Situationsplan</t>
        </is>
      </c>
      <c r="AD411" t="inlineStr">
        <is>
          <t>Nej</t>
        </is>
      </c>
      <c r="AE411" t="inlineStr">
        <is>
          <t>Nej</t>
        </is>
      </c>
      <c r="AF411" t="inlineStr">
        <is>
          <t>Ej behandlad</t>
        </is>
      </c>
      <c r="AG411" t="inlineStr">
        <is>
          <t>AUTO_GENERERAD. Verifiera citat mot kallfil.</t>
        </is>
      </c>
      <c r="AH411" t="inlineStr">
        <is>
          <t>MEDIUM</t>
        </is>
      </c>
      <c r="AI411" t="inlineStr">
        <is>
          <t>AUTO</t>
        </is>
      </c>
      <c r="AJ411" t="inlineStr">
        <is>
          <t>Nej</t>
        </is>
      </c>
      <c r="AK411" t="inlineStr"/>
      <c r="AL411" t="inlineStr"/>
      <c r="AM411" t="inlineStr"/>
      <c r="AN411" t="inlineStr"/>
      <c r="AO411" t="inlineStr">
        <is>
          <t>cmm4yure104gbcuqw0iyq01tw</t>
        </is>
      </c>
      <c r="AP411" t="inlineStr">
        <is>
          <t>http://localhost:8787/api/admin/requirements/documents/cmm4yure104gbcuqw0iyq01tw/view</t>
        </is>
      </c>
      <c r="AQ411">
        <f>HYPERLÄNK("http://localhost:8787/api/admin/requirements/documents/cmm4yure104gbcuqw0iyq01tw/view";"Öppna PDF")</f>
        <v/>
      </c>
      <c r="AR411">
        <f>HYPERLINK("http://localhost:8787/api/admin/requirements/documents/cmm4yure104gbcuqw0iyq01tw/view","Open PDF")</f>
        <v/>
      </c>
      <c r="AS411" t="inlineStr">
        <is>
          <t>cmm55w57p0004cuisfrtpqly8</t>
        </is>
      </c>
      <c r="AT411" t="inlineStr">
        <is>
          <t>cmm4xvu980000cuh4vj0usz09</t>
        </is>
      </c>
      <c r="AU411" t="inlineStr">
        <is>
          <t>i Örnsköldsviks</t>
        </is>
      </c>
      <c r="AV411" t="inlineStr">
        <is>
          <t>Kommun</t>
        </is>
      </c>
      <c r="AW411" t="inlineStr">
        <is>
          <t>i Örnsköldsviks kommun</t>
        </is>
      </c>
      <c r="AX411" t="inlineStr">
        <is>
          <t>0660-880</t>
        </is>
      </c>
      <c r="AY411" t="inlineStr">
        <is>
          <t>Beslut</t>
        </is>
      </c>
      <c r="AZ411" t="inlineStr">
        <is>
          <t>2026-02-12</t>
        </is>
      </c>
      <c r="BA411" t="inlineStr">
        <is>
          <t>E-2025-840, beslut.pdf</t>
        </is>
      </c>
      <c r="BB411" t="inlineStr">
        <is>
          <t>Sv: till registrator</t>
        </is>
      </c>
      <c r="BC411" t="inlineStr">
        <is>
          <t>AUTO</t>
        </is>
      </c>
      <c r="BD411" t="inlineStr"/>
      <c r="BE411" t="inlineStr"/>
      <c r="BF411" t="inlineStr">
        <is>
          <t>AUTO_GENERERAD. Bekrafta metadata mot kallfil.</t>
        </is>
      </c>
      <c r="BG411">
        <f>HYPERLINK("C:\Users\jimmy\Desktop\Examens arbete\Kod\Ny mapp\remix_-copy-of-miljöbeslut.se-portal\E-2025-840, beslut.pdf", "Öppna PDF")</f>
        <v/>
      </c>
    </row>
    <row r="412">
      <c r="A412" t="inlineStr">
        <is>
          <t>KRAV-AUTO-000411</t>
        </is>
      </c>
      <c r="B412" t="inlineStr">
        <is>
          <t>ADMIN-INDEX-2026-02-27-00000000125C043F57453246863FE664CAFE6A3F0700950291EA24F0614FB6ACEDB12BF0E31D00000000010C0000950291EA24F0614FB6ACEDB12BF0E31D00002087A57F0000</t>
        </is>
      </c>
      <c r="C412" t="inlineStr">
        <is>
          <t>cmm4yurd804fhcuqw6hiurhyu</t>
        </is>
      </c>
      <c r="D412" t="inlineStr">
        <is>
          <t>http://localhost:8787/api/admin/requirements/documents/cmm4yurd804fhcuqw6hiurhyu/view</t>
        </is>
      </c>
      <c r="E412">
        <f>HYPERLÄNK("http://localhost:8787/api/admin/requirements/documents/cmm4yurd804fhcuqw6hiurhyu/view";"Öppna PDF")</f>
        <v/>
      </c>
      <c r="F412">
        <f>HYPERLINK("http://localhost:8787/api/admin/requirements/documents/cmm4yurd804fhcuqw6hiurhyu/view","Open PDF")</f>
        <v/>
      </c>
      <c r="G412" t="inlineStr">
        <is>
          <t>cmm55w57p0004cuisfrtpqly8</t>
        </is>
      </c>
      <c r="H412" t="inlineStr">
        <is>
          <t>Informationskrav</t>
        </is>
      </c>
      <c r="I412" t="inlineStr">
        <is>
          <t>LagringsvolymTid</t>
        </is>
      </c>
      <c r="J412" t="inlineStr">
        <is>
          <t>Maxmangd</t>
        </is>
      </c>
      <c r="K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Notifieringar E-post Mobiltelefon 0702167511 E-postadress jesper.gunnarsson@yahoo.se Telefon 043321040 För- och efternamn Jesper Gunnarsson Kontaktperson 2.</t>
        </is>
      </c>
      <c r="L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t>
        </is>
      </c>
      <c r="M412" t="inlineStr">
        <is>
          <t>SKA</t>
        </is>
      </c>
      <c r="N412" t="inlineStr">
        <is>
          <t>FMH</t>
        </is>
      </c>
      <c r="O412" t="inlineStr">
        <is>
          <t>2024-11-21</t>
        </is>
      </c>
      <c r="P412" t="inlineStr"/>
      <c r="Q412" t="inlineStr"/>
      <c r="R412" t="inlineStr">
        <is>
          <t>Alltid</t>
        </is>
      </c>
      <c r="S412" t="inlineStr"/>
      <c r="T412" t="inlineStr">
        <is>
          <t>556684</t>
        </is>
      </c>
      <c r="U412" t="inlineStr"/>
      <c r="V412" t="inlineStr"/>
      <c r="W412" t="inlineStr">
        <is>
          <t>Nej</t>
        </is>
      </c>
      <c r="X412" t="inlineStr">
        <is>
          <t>Nej</t>
        </is>
      </c>
      <c r="Y412" t="inlineStr">
        <is>
          <t>Nej</t>
        </is>
      </c>
      <c r="Z412" t="inlineStr">
        <is>
          <t>Nej</t>
        </is>
      </c>
      <c r="AA412" t="n">
        <v>4</v>
      </c>
      <c r="AB412" t="inlineStr">
        <is>
          <t>Avfallsmangder och lagringstid</t>
        </is>
      </c>
      <c r="AC412" t="inlineStr">
        <is>
          <t>Avfallsforteckning</t>
        </is>
      </c>
      <c r="AD412" t="inlineStr">
        <is>
          <t>Nej</t>
        </is>
      </c>
      <c r="AE412" t="inlineStr">
        <is>
          <t>Nej</t>
        </is>
      </c>
      <c r="AF412" t="inlineStr">
        <is>
          <t>Ej behandlad</t>
        </is>
      </c>
      <c r="AG412" t="inlineStr">
        <is>
          <t>AUTO_GENERERAD. Verifiera citat mot kallfil.</t>
        </is>
      </c>
      <c r="AH412" t="inlineStr">
        <is>
          <t>MEDIUM</t>
        </is>
      </c>
      <c r="AI412" t="inlineStr">
        <is>
          <t>AUTO</t>
        </is>
      </c>
      <c r="AJ412" t="inlineStr">
        <is>
          <t>Nej</t>
        </is>
      </c>
      <c r="AK412" t="inlineStr"/>
      <c r="AL412" t="inlineStr"/>
      <c r="AM412" t="inlineStr"/>
      <c r="AN412" t="inlineStr"/>
      <c r="AO412" t="inlineStr">
        <is>
          <t>cmm4yurd804fhcuqw6hiurhyu</t>
        </is>
      </c>
      <c r="AP412" t="inlineStr">
        <is>
          <t>http://localhost:8787/api/admin/requirements/documents/cmm4yurd804fhcuqw6hiurhyu/view</t>
        </is>
      </c>
      <c r="AQ412">
        <f>HYPERLÄNK("http://localhost:8787/api/admin/requirements/documents/cmm4yurd804fhcuqw6hiurhyu/view";"Öppna PDF")</f>
        <v/>
      </c>
      <c r="AR412">
        <f>HYPERLINK("http://localhost:8787/api/admin/requirements/documents/cmm4yurd804fhcuqw6hiurhyu/view","Open PDF")</f>
        <v/>
      </c>
      <c r="AS412" t="inlineStr">
        <is>
          <t>cmm55w57p0004cuisfrtpqly8</t>
        </is>
      </c>
      <c r="AT412" t="inlineStr">
        <is>
          <t>cmm4xvu980000cuh4vj0usz09</t>
        </is>
      </c>
      <c r="AU412" t="inlineStr"/>
      <c r="AV412" t="inlineStr">
        <is>
          <t>Kommun</t>
        </is>
      </c>
      <c r="AW412" t="inlineStr"/>
      <c r="AX412" t="inlineStr">
        <is>
          <t>2024-11</t>
        </is>
      </c>
      <c r="AY412" t="inlineStr">
        <is>
          <t>Anmalan</t>
        </is>
      </c>
      <c r="AZ412" t="inlineStr">
        <is>
          <t>2026-02-12</t>
        </is>
      </c>
      <c r="BA412" t="inlineStr">
        <is>
          <t>2024-923Miljöfarlig verksamhet, anmälan _ ändring - 10928.pdf</t>
        </is>
      </c>
      <c r="BB412" t="inlineStr">
        <is>
          <t>Sv: till registrator</t>
        </is>
      </c>
      <c r="BC412" t="inlineStr">
        <is>
          <t>AUTO</t>
        </is>
      </c>
      <c r="BD412" t="inlineStr"/>
      <c r="BE412" t="inlineStr"/>
      <c r="BF412" t="inlineStr">
        <is>
          <t>AUTO_GENERERAD. Bekrafta metadata mot kallfil.</t>
        </is>
      </c>
      <c r="BG412">
        <f>HYPERLINK("C:\Users\jimmy\Desktop\Examens arbete\Kod\Ny mapp\remix_-copy-of-miljöbeslut.se-portal\2024-923Miljöfarlig verksamhet, anmälan _ ändring - 10928.pdf", "Öppna PDF")</f>
        <v/>
      </c>
    </row>
    <row r="413">
      <c r="A413" t="inlineStr">
        <is>
          <t>KRAV-AUTO-000412</t>
        </is>
      </c>
      <c r="B413" t="inlineStr">
        <is>
          <t>ADMIN-INDEX-2026-02-27-00000000125C043F57453246863FE664CAFE6A3F0700950291EA24F0614FB6ACEDB12BF0E31D00000000010C0000950291EA24F0614FB6ACEDB12BF0E31D00002087A57F0000</t>
        </is>
      </c>
      <c r="C413" t="inlineStr">
        <is>
          <t>cmm4yurcr04ezcuqwhc9p3iuj</t>
        </is>
      </c>
      <c r="D413" t="inlineStr">
        <is>
          <t>http://localhost:8787/api/admin/requirements/documents/cmm4yurcr04ezcuqwhc9p3iuj/view</t>
        </is>
      </c>
      <c r="E413">
        <f>HYPERLÄNK("http://localhost:8787/api/admin/requirements/documents/cmm4yurcr04ezcuqwhc9p3iuj/view";"Öppna PDF")</f>
        <v/>
      </c>
      <c r="F413">
        <f>HYPERLINK("http://localhost:8787/api/admin/requirements/documents/cmm4yurcr04ezcuqwhc9p3iuj/view","Open PDF")</f>
        <v/>
      </c>
      <c r="G413" t="inlineStr">
        <is>
          <t>cmm55w57p0004cuisfrtpqly8</t>
        </is>
      </c>
      <c r="H413" t="inlineStr">
        <is>
          <t>Beslutsvillkor</t>
        </is>
      </c>
      <c r="I413" t="inlineStr">
        <is>
          <t>DagvattenLakvatten</t>
        </is>
      </c>
      <c r="J413" t="inlineStr">
        <is>
          <t>Uppsamling</t>
        </is>
      </c>
      <c r="K413" t="inlineStr">
        <is>
          <t>Flöden, utsläppspunkter, uppskattade vattenföroreningsmängder.</t>
        </is>
      </c>
      <c r="L413" t="inlineStr">
        <is>
          <t>Flöden, utsläppspunkter, uppskattade vattenföroreningsmängder.</t>
        </is>
      </c>
      <c r="M413" t="inlineStr">
        <is>
          <t>SKA</t>
        </is>
      </c>
      <c r="N413" t="inlineStr">
        <is>
          <t>FMH</t>
        </is>
      </c>
      <c r="O413" t="inlineStr"/>
      <c r="P413" t="inlineStr"/>
      <c r="Q413" t="inlineStr"/>
      <c r="R413" t="inlineStr">
        <is>
          <t>Vid nederbord och avrinning</t>
        </is>
      </c>
      <c r="S413" t="inlineStr"/>
      <c r="T413" t="inlineStr"/>
      <c r="U413" t="inlineStr"/>
      <c r="V413" t="inlineStr"/>
      <c r="W413" t="inlineStr">
        <is>
          <t>Nej</t>
        </is>
      </c>
      <c r="X413" t="inlineStr">
        <is>
          <t>Ja</t>
        </is>
      </c>
      <c r="Y413" t="inlineStr">
        <is>
          <t>Ja</t>
        </is>
      </c>
      <c r="Z413" t="inlineStr">
        <is>
          <t>Nej</t>
        </is>
      </c>
      <c r="AA413" t="n">
        <v>6</v>
      </c>
      <c r="AB413" t="inlineStr">
        <is>
          <t>Lakvattenhantering</t>
        </is>
      </c>
      <c r="AC413" t="inlineStr">
        <is>
          <t>Flodesschema dagvatten-lakvatten</t>
        </is>
      </c>
      <c r="AD413" t="inlineStr">
        <is>
          <t>Nej</t>
        </is>
      </c>
      <c r="AE413" t="inlineStr">
        <is>
          <t>Nej</t>
        </is>
      </c>
      <c r="AF413" t="inlineStr">
        <is>
          <t>Ej behandlad</t>
        </is>
      </c>
      <c r="AG413" t="inlineStr">
        <is>
          <t>AUTO_GENERERAD. Verifiera citat mot kallfil.</t>
        </is>
      </c>
      <c r="AH413" t="inlineStr">
        <is>
          <t>MEDIUM</t>
        </is>
      </c>
      <c r="AI413" t="inlineStr">
        <is>
          <t>AUTO</t>
        </is>
      </c>
      <c r="AJ413" t="inlineStr">
        <is>
          <t>Nej</t>
        </is>
      </c>
      <c r="AK413" t="inlineStr"/>
      <c r="AL413" t="inlineStr"/>
      <c r="AM413" t="inlineStr"/>
      <c r="AN413" t="inlineStr"/>
      <c r="AO413" t="inlineStr">
        <is>
          <t>cmm4yurd804fhcuqw6hiurhyu</t>
        </is>
      </c>
      <c r="AP413" t="inlineStr">
        <is>
          <t>http://localhost:8787/api/admin/requirements/documents/cmm4yurd804fhcuqw6hiurhyu/view</t>
        </is>
      </c>
      <c r="AQ413">
        <f>HYPERLÄNK("http://localhost:8787/api/admin/requirements/documents/cmm4yurd804fhcuqw6hiurhyu/view";"Öppna PDF")</f>
        <v/>
      </c>
      <c r="AR413">
        <f>HYPERLINK("http://localhost:8787/api/admin/requirements/documents/cmm4yurd804fhcuqw6hiurhyu/view","Open PDF")</f>
        <v/>
      </c>
      <c r="AS413" t="inlineStr">
        <is>
          <t>cmm55w57p0004cuisfrtpqly8</t>
        </is>
      </c>
      <c r="AT413" t="inlineStr">
        <is>
          <t>cmm4xvu980000cuh4vj0usz09</t>
        </is>
      </c>
      <c r="AU413" t="inlineStr"/>
      <c r="AV413" t="inlineStr">
        <is>
          <t>Kommun</t>
        </is>
      </c>
      <c r="AW413" t="inlineStr"/>
      <c r="AX413" t="inlineStr">
        <is>
          <t>2024-11</t>
        </is>
      </c>
      <c r="AY413" t="inlineStr">
        <is>
          <t>Anmalan</t>
        </is>
      </c>
      <c r="AZ413" t="inlineStr">
        <is>
          <t>2026-02-12</t>
        </is>
      </c>
      <c r="BA413" t="inlineStr">
        <is>
          <t>2024-923Miljöfarlig verksamhet, anmälan _ ändring - 10928.pdf</t>
        </is>
      </c>
      <c r="BB413" t="inlineStr">
        <is>
          <t>Sv: till registrator</t>
        </is>
      </c>
      <c r="BC413" t="inlineStr">
        <is>
          <t>AUTO</t>
        </is>
      </c>
      <c r="BD413" t="inlineStr"/>
      <c r="BE413" t="inlineStr"/>
      <c r="BF413" t="inlineStr">
        <is>
          <t>AUTO_GENERERAD. Bekrafta metadata mot kallfil.</t>
        </is>
      </c>
      <c r="BG413">
        <f>HYPERLINK("C:\Users\jimmy\Desktop\Examens arbete\Kod\Ny mapp\remix_-copy-of-miljöbeslut.se-portal\2024-923Miljöfarlig verksamhet, anmälan _ ändring - 10928.pdf", "Öppna PDF")</f>
        <v/>
      </c>
    </row>
    <row r="414">
      <c r="A414" t="inlineStr">
        <is>
          <t>KRAV-AUTO-000413</t>
        </is>
      </c>
      <c r="B414" t="inlineStr">
        <is>
          <t>ADMIN-INDEX-2026-02-27-00000000125C043F57453246863FE664CAFE6A3F0700950291EA24F0614FB6ACEDB12BF0E31D00000000010C0000950291EA24F0614FB6ACEDB12BF0E31D00002087A57F0000</t>
        </is>
      </c>
      <c r="C414" t="inlineStr">
        <is>
          <t>cmm4yurcr04ezcuqwhc9p3iuj</t>
        </is>
      </c>
      <c r="D414" t="inlineStr">
        <is>
          <t>http://localhost:8787/api/admin/requirements/documents/cmm4yurcr04ezcuqwhc9p3iuj/view</t>
        </is>
      </c>
      <c r="E414">
        <f>HYPERLÄNK("http://localhost:8787/api/admin/requirements/documents/cmm4yurcr04ezcuqwhc9p3iuj/view";"Öppna PDF")</f>
        <v/>
      </c>
      <c r="F414">
        <f>HYPERLINK("http://localhost:8787/api/admin/requirements/documents/cmm4yurcr04ezcuqwhc9p3iuj/view","Open PDF")</f>
        <v/>
      </c>
      <c r="G414" t="inlineStr">
        <is>
          <t>cmm55w57p0004cuisfrtpqly8</t>
        </is>
      </c>
      <c r="H414" t="inlineStr">
        <is>
          <t>Beslutsvillkor</t>
        </is>
      </c>
      <c r="I414" t="inlineStr">
        <is>
          <t>DagvattenLakvatten</t>
        </is>
      </c>
      <c r="J414" t="inlineStr">
        <is>
          <t>Uppsamling</t>
        </is>
      </c>
      <c r="K414" t="inlineStr">
        <is>
          <t>* Ja Nej Ange luftflöden, utsläppspunkter och uppskattade luftföroreningsmängder Reningsmetod Finns vattenrening?</t>
        </is>
      </c>
      <c r="L414" t="inlineStr">
        <is>
          <t>* Ja Nej Ange luftflöden, utsläppspunkter och uppskattade luftföroreningsmängder Reningsmetod Finns vattenrening?</t>
        </is>
      </c>
      <c r="M414" t="inlineStr">
        <is>
          <t>SKA</t>
        </is>
      </c>
      <c r="N414" t="inlineStr">
        <is>
          <t>FMH</t>
        </is>
      </c>
      <c r="O414" t="inlineStr"/>
      <c r="P414" t="inlineStr"/>
      <c r="Q414" t="inlineStr"/>
      <c r="R414" t="inlineStr">
        <is>
          <t>Vid nederbord och avrinning</t>
        </is>
      </c>
      <c r="S414" t="inlineStr"/>
      <c r="T414" t="inlineStr"/>
      <c r="U414" t="inlineStr"/>
      <c r="V414" t="inlineStr"/>
      <c r="W414" t="inlineStr">
        <is>
          <t>Nej</t>
        </is>
      </c>
      <c r="X414" t="inlineStr">
        <is>
          <t>Ja</t>
        </is>
      </c>
      <c r="Y414" t="inlineStr">
        <is>
          <t>Ja</t>
        </is>
      </c>
      <c r="Z414" t="inlineStr">
        <is>
          <t>Nej</t>
        </is>
      </c>
      <c r="AA414" t="n">
        <v>6</v>
      </c>
      <c r="AB414" t="inlineStr">
        <is>
          <t>Lakvattenhantering</t>
        </is>
      </c>
      <c r="AC414" t="inlineStr">
        <is>
          <t>Flodesschema dagvatten-lakvatten</t>
        </is>
      </c>
      <c r="AD414" t="inlineStr">
        <is>
          <t>Nej</t>
        </is>
      </c>
      <c r="AE414" t="inlineStr">
        <is>
          <t>Nej</t>
        </is>
      </c>
      <c r="AF414" t="inlineStr">
        <is>
          <t>Ej behandlad</t>
        </is>
      </c>
      <c r="AG414" t="inlineStr">
        <is>
          <t>AUTO_GENERERAD. Verifiera citat mot kallfil.</t>
        </is>
      </c>
      <c r="AH414" t="inlineStr">
        <is>
          <t>MEDIUM</t>
        </is>
      </c>
      <c r="AI414" t="inlineStr">
        <is>
          <t>AUTO</t>
        </is>
      </c>
      <c r="AJ414" t="inlineStr">
        <is>
          <t>Nej</t>
        </is>
      </c>
      <c r="AK414" t="inlineStr"/>
      <c r="AL414" t="inlineStr"/>
      <c r="AM414" t="inlineStr"/>
      <c r="AN414" t="inlineStr"/>
      <c r="AO414" t="inlineStr">
        <is>
          <t>cmm4yurd804fhcuqw6hiurhyu</t>
        </is>
      </c>
      <c r="AP414" t="inlineStr">
        <is>
          <t>http://localhost:8787/api/admin/requirements/documents/cmm4yurd804fhcuqw6hiurhyu/view</t>
        </is>
      </c>
      <c r="AQ414">
        <f>HYPERLÄNK("http://localhost:8787/api/admin/requirements/documents/cmm4yurd804fhcuqw6hiurhyu/view";"Öppna PDF")</f>
        <v/>
      </c>
      <c r="AR414">
        <f>HYPERLINK("http://localhost:8787/api/admin/requirements/documents/cmm4yurd804fhcuqw6hiurhyu/view","Open PDF")</f>
        <v/>
      </c>
      <c r="AS414" t="inlineStr">
        <is>
          <t>cmm55w57p0004cuisfrtpqly8</t>
        </is>
      </c>
      <c r="AT414" t="inlineStr">
        <is>
          <t>cmm4xvu980000cuh4vj0usz09</t>
        </is>
      </c>
      <c r="AU414" t="inlineStr"/>
      <c r="AV414" t="inlineStr">
        <is>
          <t>Kommun</t>
        </is>
      </c>
      <c r="AW414" t="inlineStr"/>
      <c r="AX414" t="inlineStr">
        <is>
          <t>2024-11</t>
        </is>
      </c>
      <c r="AY414" t="inlineStr">
        <is>
          <t>Anmalan</t>
        </is>
      </c>
      <c r="AZ414" t="inlineStr">
        <is>
          <t>2026-02-12</t>
        </is>
      </c>
      <c r="BA414" t="inlineStr">
        <is>
          <t>2024-923Miljöfarlig verksamhet, anmälan _ ändring - 10928.pdf</t>
        </is>
      </c>
      <c r="BB414" t="inlineStr">
        <is>
          <t>Sv: till registrator</t>
        </is>
      </c>
      <c r="BC414" t="inlineStr">
        <is>
          <t>AUTO</t>
        </is>
      </c>
      <c r="BD414" t="inlineStr"/>
      <c r="BE414" t="inlineStr"/>
      <c r="BF414" t="inlineStr">
        <is>
          <t>AUTO_GENERERAD. Bekrafta metadata mot kallfil.</t>
        </is>
      </c>
      <c r="BG414">
        <f>HYPERLINK("C:\Users\jimmy\Desktop\Examens arbete\Kod\Ny mapp\remix_-copy-of-miljöbeslut.se-portal\2024-923Miljöfarlig verksamhet, anmälan _ ändring - 10928.pdf", "Öppna PDF")</f>
        <v/>
      </c>
    </row>
    <row r="415">
      <c r="A415" t="inlineStr">
        <is>
          <t>KRAV-AUTO-000414</t>
        </is>
      </c>
      <c r="B415" t="inlineStr">
        <is>
          <t>ADMIN-INDEX-2026-02-27-00000000125C043F57453246863FE664CAFE6A3F0700950291EA24F0614FB6ACEDB12BF0E31D00000000010C0000950291EA24F0614FB6ACEDB12BF0E31D00002087A57F0000</t>
        </is>
      </c>
      <c r="C415" t="inlineStr">
        <is>
          <t>cmm4yurcr04ezcuqwhc9p3iuj</t>
        </is>
      </c>
      <c r="D415" t="inlineStr">
        <is>
          <t>http://localhost:8787/api/admin/requirements/documents/cmm4yurcr04ezcuqwhc9p3iuj/view</t>
        </is>
      </c>
      <c r="E415">
        <f>HYPERLÄNK("http://localhost:8787/api/admin/requirements/documents/cmm4yurcr04ezcuqwhc9p3iuj/view";"Öppna PDF")</f>
        <v/>
      </c>
      <c r="F415">
        <f>HYPERLINK("http://localhost:8787/api/admin/requirements/documents/cmm4yurcr04ezcuqwhc9p3iuj/view","Open PDF")</f>
        <v/>
      </c>
      <c r="G415" t="inlineStr">
        <is>
          <t>cmm55w57p0004cuisfrtpqly8</t>
        </is>
      </c>
      <c r="H415" t="inlineStr">
        <is>
          <t>Beslutsvillkor</t>
        </is>
      </c>
      <c r="I415" t="inlineStr">
        <is>
          <t>DagvattenLakvatten</t>
        </is>
      </c>
      <c r="J415" t="inlineStr">
        <is>
          <t>Uppsamling</t>
        </is>
      </c>
      <c r="K415" t="inlineStr">
        <is>
          <t>* Ja Nej Från vilka processer förekommer spillvatten (ej WC, kök m.m.) Ange flöden, utsläppspunkter och uppskattade vattenföroreningsmängder.</t>
        </is>
      </c>
      <c r="L415" t="inlineStr">
        <is>
          <t>* Ja Nej Från vilka processer förekommer spillvatten (ej WC, kök m.m.) Ange flöden, utsläppspunkter och uppskattade vattenföroreningsmängder.</t>
        </is>
      </c>
      <c r="M415" t="inlineStr">
        <is>
          <t>SKA</t>
        </is>
      </c>
      <c r="N415" t="inlineStr">
        <is>
          <t>FMH</t>
        </is>
      </c>
      <c r="O415" t="inlineStr"/>
      <c r="P415" t="inlineStr"/>
      <c r="Q415" t="inlineStr"/>
      <c r="R415" t="inlineStr">
        <is>
          <t>Vid nederbord och avrinning</t>
        </is>
      </c>
      <c r="S415" t="inlineStr"/>
      <c r="T415" t="inlineStr"/>
      <c r="U415" t="inlineStr"/>
      <c r="V415" t="inlineStr"/>
      <c r="W415" t="inlineStr">
        <is>
          <t>Nej</t>
        </is>
      </c>
      <c r="X415" t="inlineStr">
        <is>
          <t>Ja</t>
        </is>
      </c>
      <c r="Y415" t="inlineStr">
        <is>
          <t>Ja</t>
        </is>
      </c>
      <c r="Z415" t="inlineStr">
        <is>
          <t>Nej</t>
        </is>
      </c>
      <c r="AA415" t="n">
        <v>6</v>
      </c>
      <c r="AB415" t="inlineStr">
        <is>
          <t>Lakvattenhantering</t>
        </is>
      </c>
      <c r="AC415" t="inlineStr">
        <is>
          <t>Flodesschema dagvatten-lakvatten</t>
        </is>
      </c>
      <c r="AD415" t="inlineStr">
        <is>
          <t>Nej</t>
        </is>
      </c>
      <c r="AE415" t="inlineStr">
        <is>
          <t>Nej</t>
        </is>
      </c>
      <c r="AF415" t="inlineStr">
        <is>
          <t>Ej behandlad</t>
        </is>
      </c>
      <c r="AG415" t="inlineStr">
        <is>
          <t>AUTO_GENERERAD. Verifiera citat mot kallfil.</t>
        </is>
      </c>
      <c r="AH415" t="inlineStr">
        <is>
          <t>MEDIUM</t>
        </is>
      </c>
      <c r="AI415" t="inlineStr">
        <is>
          <t>AUTO</t>
        </is>
      </c>
      <c r="AJ415" t="inlineStr">
        <is>
          <t>Nej</t>
        </is>
      </c>
      <c r="AK415" t="inlineStr"/>
      <c r="AL415" t="inlineStr"/>
      <c r="AM415" t="inlineStr"/>
      <c r="AN415" t="inlineStr"/>
      <c r="AO415" t="inlineStr">
        <is>
          <t>cmm4yurd804fhcuqw6hiurhyu</t>
        </is>
      </c>
      <c r="AP415" t="inlineStr">
        <is>
          <t>http://localhost:8787/api/admin/requirements/documents/cmm4yurd804fhcuqw6hiurhyu/view</t>
        </is>
      </c>
      <c r="AQ415">
        <f>HYPERLÄNK("http://localhost:8787/api/admin/requirements/documents/cmm4yurd804fhcuqw6hiurhyu/view";"Öppna PDF")</f>
        <v/>
      </c>
      <c r="AR415">
        <f>HYPERLINK("http://localhost:8787/api/admin/requirements/documents/cmm4yurd804fhcuqw6hiurhyu/view","Open PDF")</f>
        <v/>
      </c>
      <c r="AS415" t="inlineStr">
        <is>
          <t>cmm55w57p0004cuisfrtpqly8</t>
        </is>
      </c>
      <c r="AT415" t="inlineStr">
        <is>
          <t>cmm4xvu980000cuh4vj0usz09</t>
        </is>
      </c>
      <c r="AU415" t="inlineStr"/>
      <c r="AV415" t="inlineStr">
        <is>
          <t>Kommun</t>
        </is>
      </c>
      <c r="AW415" t="inlineStr"/>
      <c r="AX415" t="inlineStr">
        <is>
          <t>2024-11</t>
        </is>
      </c>
      <c r="AY415" t="inlineStr">
        <is>
          <t>Anmalan</t>
        </is>
      </c>
      <c r="AZ415" t="inlineStr">
        <is>
          <t>2026-02-12</t>
        </is>
      </c>
      <c r="BA415" t="inlineStr">
        <is>
          <t>2024-923Miljöfarlig verksamhet, anmälan _ ändring - 10928.pdf</t>
        </is>
      </c>
      <c r="BB415" t="inlineStr">
        <is>
          <t>Sv: till registrator</t>
        </is>
      </c>
      <c r="BC415" t="inlineStr">
        <is>
          <t>AUTO</t>
        </is>
      </c>
      <c r="BD415" t="inlineStr"/>
      <c r="BE415" t="inlineStr"/>
      <c r="BF415" t="inlineStr">
        <is>
          <t>AUTO_GENERERAD. Bekrafta metadata mot kallfil.</t>
        </is>
      </c>
      <c r="BG415">
        <f>HYPERLINK("C:\Users\jimmy\Desktop\Examens arbete\Kod\Ny mapp\remix_-copy-of-miljöbeslut.se-portal\2024-923Miljöfarlig verksamhet, anmälan _ ändring - 10928.pdf", "Öppna PDF")</f>
        <v/>
      </c>
    </row>
    <row r="416">
      <c r="A416" t="inlineStr">
        <is>
          <t>KRAV-AUTO-000415</t>
        </is>
      </c>
      <c r="B416" t="inlineStr">
        <is>
          <t>ADMIN-INDEX-2026-02-27-00000000125C043F57453246863FE664CAFE6A3F0700950291EA24F0614FB6ACEDB12BF0E31D00000000010C0000950291EA24F0614FB6ACEDB12BF0E31D00002087A57F0000</t>
        </is>
      </c>
      <c r="C416" t="inlineStr">
        <is>
          <t>cmm4yurco04ewcuqwgtxybrxw</t>
        </is>
      </c>
      <c r="D416" t="inlineStr">
        <is>
          <t>http://localhost:8787/api/admin/requirements/documents/cmm4yurco04ewcuqwgtxybrxw/view</t>
        </is>
      </c>
      <c r="E416">
        <f>HYPERLÄNK("http://localhost:8787/api/admin/requirements/documents/cmm4yurco04ewcuqwgtxybrxw/view";"Öppna PDF")</f>
        <v/>
      </c>
      <c r="F416">
        <f>HYPERLINK("http://localhost:8787/api/admin/requirements/documents/cmm4yurco04ewcuqwgtxybrxw/view","Open PDF")</f>
        <v/>
      </c>
      <c r="G416" t="inlineStr">
        <is>
          <t>cmm55w57p0004cuisfrtpqly8</t>
        </is>
      </c>
      <c r="H416" t="inlineStr">
        <is>
          <t>Beslutsvillkor</t>
        </is>
      </c>
      <c r="I416" t="inlineStr">
        <is>
          <t>Ytkonstruktion</t>
        </is>
      </c>
      <c r="J416" t="inlineStr">
        <is>
          <t>Tat yta</t>
        </is>
      </c>
      <c r="K416" t="inlineStr">
        <is>
          <t>Bilaga Beskrivning av verksamhet Husbehovstäkt På fastigheten Åmot 3:3 (se karta) önskar man att bryta mer än 10 000 ton naturgrus för markinnehavarens husbehov.</t>
        </is>
      </c>
      <c r="L416" t="inlineStr">
        <is>
          <t>Bilaga Beskrivning av verksamhet Husbehovstäkt På fastigheten Åmot 3:3 (se karta) önskar man att bryta mer än 10 000 ton naturgrus för markinnehavarens husbehov.</t>
        </is>
      </c>
      <c r="M416" t="inlineStr">
        <is>
          <t>SKA</t>
        </is>
      </c>
      <c r="N416" t="inlineStr"/>
      <c r="O416" t="inlineStr"/>
      <c r="P416" t="inlineStr"/>
      <c r="Q416" t="inlineStr"/>
      <c r="R416" t="inlineStr">
        <is>
          <t>Vid mellanlagring av avfall</t>
        </is>
      </c>
      <c r="S416" t="inlineStr"/>
      <c r="T416" t="inlineStr">
        <is>
          <t>17 03 02</t>
        </is>
      </c>
      <c r="U416" t="n">
        <v>0</v>
      </c>
      <c r="V416" t="inlineStr"/>
      <c r="W416" t="inlineStr">
        <is>
          <t>Ja</t>
        </is>
      </c>
      <c r="X416" t="inlineStr">
        <is>
          <t>Nej</t>
        </is>
      </c>
      <c r="Y416" t="inlineStr">
        <is>
          <t>Nej</t>
        </is>
      </c>
      <c r="Z416" t="inlineStr">
        <is>
          <t>Nej</t>
        </is>
      </c>
      <c r="AA416" t="n">
        <v>5</v>
      </c>
      <c r="AB416" t="inlineStr">
        <is>
          <t>Teknisk beskrivning av platta</t>
        </is>
      </c>
      <c r="AC416" t="inlineStr">
        <is>
          <t>Teknisk ritning platta</t>
        </is>
      </c>
      <c r="AD416" t="inlineStr">
        <is>
          <t>Nej</t>
        </is>
      </c>
      <c r="AE416" t="inlineStr">
        <is>
          <t>Nej</t>
        </is>
      </c>
      <c r="AF416" t="inlineStr">
        <is>
          <t>Ej behandlad</t>
        </is>
      </c>
      <c r="AG416" t="inlineStr">
        <is>
          <t>AUTO_GENERERAD. Verifiera citat mot kallfil.</t>
        </is>
      </c>
      <c r="AH416" t="inlineStr">
        <is>
          <t>MEDIUM</t>
        </is>
      </c>
      <c r="AI416" t="inlineStr">
        <is>
          <t>AUTO</t>
        </is>
      </c>
      <c r="AJ416" t="inlineStr">
        <is>
          <t>Nej</t>
        </is>
      </c>
      <c r="AK416" t="inlineStr"/>
      <c r="AL416" t="inlineStr"/>
      <c r="AM416" t="inlineStr"/>
      <c r="AN416" t="inlineStr"/>
      <c r="AO416" t="inlineStr">
        <is>
          <t>cmm4yurd804fhcuqw6hiurhyu</t>
        </is>
      </c>
      <c r="AP416" t="inlineStr">
        <is>
          <t>http://localhost:8787/api/admin/requirements/documents/cmm4yurd804fhcuqw6hiurhyu/view</t>
        </is>
      </c>
      <c r="AQ416">
        <f>HYPERLÄNK("http://localhost:8787/api/admin/requirements/documents/cmm4yurd804fhcuqw6hiurhyu/view";"Öppna PDF")</f>
        <v/>
      </c>
      <c r="AR416">
        <f>HYPERLINK("http://localhost:8787/api/admin/requirements/documents/cmm4yurd804fhcuqw6hiurhyu/view","Open PDF")</f>
        <v/>
      </c>
      <c r="AS416" t="inlineStr">
        <is>
          <t>cmm55w57p0004cuisfrtpqly8</t>
        </is>
      </c>
      <c r="AT416" t="inlineStr">
        <is>
          <t>cmm4xvu980000cuh4vj0usz09</t>
        </is>
      </c>
      <c r="AU416" t="inlineStr"/>
      <c r="AV416" t="inlineStr">
        <is>
          <t>Kommun</t>
        </is>
      </c>
      <c r="AW416" t="inlineStr"/>
      <c r="AX416" t="inlineStr">
        <is>
          <t>2024-11</t>
        </is>
      </c>
      <c r="AY416" t="inlineStr">
        <is>
          <t>Anmalan</t>
        </is>
      </c>
      <c r="AZ416" t="inlineStr">
        <is>
          <t>2026-02-12</t>
        </is>
      </c>
      <c r="BA416" t="inlineStr">
        <is>
          <t>2024-923Miljöfarlig verksamhet, anmälan _ ändring - 10928.pdf</t>
        </is>
      </c>
      <c r="BB416" t="inlineStr">
        <is>
          <t>Sv: till registrator</t>
        </is>
      </c>
      <c r="BC416" t="inlineStr">
        <is>
          <t>AUTO</t>
        </is>
      </c>
      <c r="BD416" t="inlineStr"/>
      <c r="BE416" t="inlineStr"/>
      <c r="BF416" t="inlineStr">
        <is>
          <t>AUTO_GENERERAD. Bekrafta metadata mot kallfil.</t>
        </is>
      </c>
      <c r="BG416">
        <f>HYPERLINK("C:\Users\jimmy\Desktop\Examens arbete\Kod\Ny mapp\remix_-copy-of-miljöbeslut.se-portal\2024-923Miljöfarlig verksamhet, anmälan _ ändring - 10928.pdf", "Öppna PDF")</f>
        <v/>
      </c>
    </row>
    <row r="417">
      <c r="A417" t="inlineStr">
        <is>
          <t>KRAV-AUTO-000416</t>
        </is>
      </c>
      <c r="B417" t="inlineStr">
        <is>
          <t>ADMIN-INDEX-2026-02-27-00000000125C043F57453246863FE664CAFE6A3F0700950291EA24F0614FB6ACEDB12BF0E31D00000000010C0000950291EA24F0614FB6ACEDB12BF0E31D00002087A57F0000</t>
        </is>
      </c>
      <c r="C417" t="inlineStr">
        <is>
          <t>cmm4yurcl04etcuqwxvc69l8l</t>
        </is>
      </c>
      <c r="D417" t="inlineStr">
        <is>
          <t>http://localhost:8787/api/admin/requirements/documents/cmm4yurcl04etcuqwxvc69l8l/view</t>
        </is>
      </c>
      <c r="E417">
        <f>HYPERLÄNK("http://localhost:8787/api/admin/requirements/documents/cmm4yurcl04etcuqwxvc69l8l/view";"Öppna PDF")</f>
        <v/>
      </c>
      <c r="F417">
        <f>HYPERLINK("http://localhost:8787/api/admin/requirements/documents/cmm4yurcl04etcuqwxvc69l8l/view","Open PDF")</f>
        <v/>
      </c>
      <c r="G417" t="inlineStr">
        <is>
          <t>cmm55w57p0004cuisfrtpqly8</t>
        </is>
      </c>
      <c r="H417" t="inlineStr">
        <is>
          <t>Kompletteringskrav</t>
        </is>
      </c>
      <c r="I417" t="inlineStr">
        <is>
          <t>DriftEgenkontroll</t>
        </is>
      </c>
      <c r="J417" t="inlineStr">
        <is>
          <t>Journalforing</t>
        </is>
      </c>
      <c r="K417" t="inlineStr">
        <is>
          <t>Tillstånds- eller anmälningspliktiga verksamheter med villkor eller förelägganden om utsläppsgränser, ska även följa Naturvårdsverkets föreskrifter om genomförande av mätningar och provtagningar i vissa verksamheter NFS 2000:15.</t>
        </is>
      </c>
      <c r="L417" t="inlineStr">
        <is>
          <t>Tillstånds- eller anmälningspliktiga verksamheter med villkor eller förelägganden om utsläppsgränser, ska även följa Naturvårdsverkets föreskrifter om genomförande av mätningar och provtagningar i vissa verksamheter NFS 2000:15.</t>
        </is>
      </c>
      <c r="M417" t="inlineStr">
        <is>
          <t>SKA</t>
        </is>
      </c>
      <c r="N417" t="inlineStr">
        <is>
          <t>Naturvardsverket</t>
        </is>
      </c>
      <c r="O417" t="inlineStr"/>
      <c r="P417" t="inlineStr"/>
      <c r="Q417" t="inlineStr">
        <is>
          <t>Forelaggande vid brist</t>
        </is>
      </c>
      <c r="R417" t="inlineStr">
        <is>
          <t>Lopande drift</t>
        </is>
      </c>
      <c r="S417" t="inlineStr"/>
      <c r="T417" t="inlineStr">
        <is>
          <t>212000</t>
        </is>
      </c>
      <c r="U417" t="inlineStr"/>
      <c r="V417" t="inlineStr"/>
      <c r="W417" t="inlineStr">
        <is>
          <t>Nej</t>
        </is>
      </c>
      <c r="X417" t="inlineStr">
        <is>
          <t>Nej</t>
        </is>
      </c>
      <c r="Y417" t="inlineStr">
        <is>
          <t>Ja</t>
        </is>
      </c>
      <c r="Z417" t="inlineStr">
        <is>
          <t>Nej</t>
        </is>
      </c>
      <c r="AA417" t="n">
        <v>7</v>
      </c>
      <c r="AB417" t="inlineStr">
        <is>
          <t>Egenkontrollrutiner</t>
        </is>
      </c>
      <c r="AC417" t="inlineStr">
        <is>
          <t>Egenkontrollprogram</t>
        </is>
      </c>
      <c r="AD417" t="inlineStr">
        <is>
          <t>Nej</t>
        </is>
      </c>
      <c r="AE417" t="inlineStr">
        <is>
          <t>Nej</t>
        </is>
      </c>
      <c r="AF417" t="inlineStr">
        <is>
          <t>Ej behandlad</t>
        </is>
      </c>
      <c r="AG417" t="inlineStr">
        <is>
          <t>AUTO_GENERERAD. Verifiera citat mot kallfil.</t>
        </is>
      </c>
      <c r="AH417" t="inlineStr">
        <is>
          <t>HIGH</t>
        </is>
      </c>
      <c r="AI417" t="inlineStr">
        <is>
          <t>AUTO</t>
        </is>
      </c>
      <c r="AJ417" t="inlineStr">
        <is>
          <t>Nej</t>
        </is>
      </c>
      <c r="AK417" t="inlineStr"/>
      <c r="AL417" t="inlineStr"/>
      <c r="AM417" t="inlineStr"/>
      <c r="AN417" t="inlineStr"/>
      <c r="AO417" t="inlineStr">
        <is>
          <t>cmm4yurd804fhcuqw6hiurhyu</t>
        </is>
      </c>
      <c r="AP417" t="inlineStr">
        <is>
          <t>http://localhost:8787/api/admin/requirements/documents/cmm4yurd804fhcuqw6hiurhyu/view</t>
        </is>
      </c>
      <c r="AQ417">
        <f>HYPERLÄNK("http://localhost:8787/api/admin/requirements/documents/cmm4yurd804fhcuqw6hiurhyu/view";"Öppna PDF")</f>
        <v/>
      </c>
      <c r="AR417">
        <f>HYPERLINK("http://localhost:8787/api/admin/requirements/documents/cmm4yurd804fhcuqw6hiurhyu/view","Open PDF")</f>
        <v/>
      </c>
      <c r="AS417" t="inlineStr">
        <is>
          <t>cmm55w57p0004cuisfrtpqly8</t>
        </is>
      </c>
      <c r="AT417" t="inlineStr">
        <is>
          <t>cmm4xvu980000cuh4vj0usz09</t>
        </is>
      </c>
      <c r="AU417" t="inlineStr"/>
      <c r="AV417" t="inlineStr">
        <is>
          <t>Kommun</t>
        </is>
      </c>
      <c r="AW417" t="inlineStr"/>
      <c r="AX417" t="inlineStr">
        <is>
          <t>2024-11</t>
        </is>
      </c>
      <c r="AY417" t="inlineStr">
        <is>
          <t>Anmalan</t>
        </is>
      </c>
      <c r="AZ417" t="inlineStr">
        <is>
          <t>2026-02-12</t>
        </is>
      </c>
      <c r="BA417" t="inlineStr">
        <is>
          <t>2024-923Miljöfarlig verksamhet, anmälan _ ändring - 10928.pdf</t>
        </is>
      </c>
      <c r="BB417" t="inlineStr">
        <is>
          <t>Sv: till registrator</t>
        </is>
      </c>
      <c r="BC417" t="inlineStr">
        <is>
          <t>AUTO</t>
        </is>
      </c>
      <c r="BD417" t="inlineStr"/>
      <c r="BE417" t="inlineStr"/>
      <c r="BF417" t="inlineStr">
        <is>
          <t>AUTO_GENERERAD. Bekrafta metadata mot kallfil.</t>
        </is>
      </c>
      <c r="BG417">
        <f>HYPERLINK("C:\Users\jimmy\Desktop\Examens arbete\Kod\Ny mapp\remix_-copy-of-miljöbeslut.se-portal\2024-923Miljöfarlig verksamhet, anmälan _ ändring - 10928.pdf", "Öppna PDF")</f>
        <v/>
      </c>
    </row>
    <row r="418">
      <c r="A418" t="inlineStr">
        <is>
          <t>KRAV-AUTO-000417</t>
        </is>
      </c>
      <c r="B418" t="inlineStr">
        <is>
          <t>ADMIN-INDEX-2026-02-27-00000000125C043F57453246863FE664CAFE6A3F0700950291EA24F0614FB6ACEDB12BF0E31D00000000010C0000950291EA24F0614FB6ACEDB12BF0E31D00002087A57F0000</t>
        </is>
      </c>
      <c r="C418" t="inlineStr">
        <is>
          <t>cmm4yurcl04etcuqwxvc69l8l</t>
        </is>
      </c>
      <c r="D418" t="inlineStr">
        <is>
          <t>http://localhost:8787/api/admin/requirements/documents/cmm4yurcl04etcuqwxvc69l8l/view</t>
        </is>
      </c>
      <c r="E418">
        <f>HYPERLÄNK("http://localhost:8787/api/admin/requirements/documents/cmm4yurcl04etcuqwxvc69l8l/view";"Öppna PDF")</f>
        <v/>
      </c>
      <c r="F418">
        <f>HYPERLINK("http://localhost:8787/api/admin/requirements/documents/cmm4yurcl04etcuqwxvc69l8l/view","Open PDF")</f>
        <v/>
      </c>
      <c r="G418" t="inlineStr">
        <is>
          <t>cmm55w57p0004cuisfrtpqly8</t>
        </is>
      </c>
      <c r="H418" t="inlineStr">
        <is>
          <t>Kompletteringskrav</t>
        </is>
      </c>
      <c r="I418" t="inlineStr">
        <is>
          <t>MiljopaverkanForsiktighet</t>
        </is>
      </c>
      <c r="J418" t="inlineStr">
        <is>
          <t>Skyddsatgarder</t>
        </is>
      </c>
      <c r="K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enligt följande: 1.</t>
        </is>
      </c>
      <c r="L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t>
        </is>
      </c>
      <c r="M418" t="inlineStr">
        <is>
          <t>SKA</t>
        </is>
      </c>
      <c r="N418" t="inlineStr"/>
      <c r="O418" t="inlineStr"/>
      <c r="P418" t="inlineStr"/>
      <c r="Q418" t="inlineStr">
        <is>
          <t>Forelaggande vid brist</t>
        </is>
      </c>
      <c r="R418" t="inlineStr">
        <is>
          <t>Alltid</t>
        </is>
      </c>
      <c r="S418" t="inlineStr"/>
      <c r="T418" t="inlineStr">
        <is>
          <t>212000</t>
        </is>
      </c>
      <c r="U418" t="inlineStr"/>
      <c r="V418" t="inlineStr"/>
      <c r="W418" t="inlineStr">
        <is>
          <t>Nej</t>
        </is>
      </c>
      <c r="X418" t="inlineStr">
        <is>
          <t>Nej</t>
        </is>
      </c>
      <c r="Y418" t="inlineStr">
        <is>
          <t>Nej</t>
        </is>
      </c>
      <c r="Z418" t="inlineStr">
        <is>
          <t>Nej</t>
        </is>
      </c>
      <c r="AA418" t="n">
        <v>10</v>
      </c>
      <c r="AB418" t="inlineStr">
        <is>
          <t>Miljopaverkan och forsiktighetsmatt</t>
        </is>
      </c>
      <c r="AC418" t="inlineStr">
        <is>
          <t>Miljo-PM</t>
        </is>
      </c>
      <c r="AD418" t="inlineStr">
        <is>
          <t>Nej</t>
        </is>
      </c>
      <c r="AE418" t="inlineStr">
        <is>
          <t>Nej</t>
        </is>
      </c>
      <c r="AF418" t="inlineStr">
        <is>
          <t>Ej behandlad</t>
        </is>
      </c>
      <c r="AG418" t="inlineStr">
        <is>
          <t>AUTO_GENERERAD. Verifiera citat mot kallfil.</t>
        </is>
      </c>
      <c r="AH418" t="inlineStr">
        <is>
          <t>MEDIUM</t>
        </is>
      </c>
      <c r="AI418" t="inlineStr">
        <is>
          <t>AUTO</t>
        </is>
      </c>
      <c r="AJ418" t="inlineStr">
        <is>
          <t>Nej</t>
        </is>
      </c>
      <c r="AK418" t="inlineStr"/>
      <c r="AL418" t="inlineStr"/>
      <c r="AM418" t="inlineStr"/>
      <c r="AN418" t="inlineStr"/>
      <c r="AO418" t="inlineStr">
        <is>
          <t>cmm4yurd804fhcuqw6hiurhyu</t>
        </is>
      </c>
      <c r="AP418" t="inlineStr">
        <is>
          <t>http://localhost:8787/api/admin/requirements/documents/cmm4yurd804fhcuqw6hiurhyu/view</t>
        </is>
      </c>
      <c r="AQ418">
        <f>HYPERLÄNK("http://localhost:8787/api/admin/requirements/documents/cmm4yurd804fhcuqw6hiurhyu/view";"Öppna PDF")</f>
        <v/>
      </c>
      <c r="AR418">
        <f>HYPERLINK("http://localhost:8787/api/admin/requirements/documents/cmm4yurd804fhcuqw6hiurhyu/view","Open PDF")</f>
        <v/>
      </c>
      <c r="AS418" t="inlineStr">
        <is>
          <t>cmm55w57p0004cuisfrtpqly8</t>
        </is>
      </c>
      <c r="AT418" t="inlineStr">
        <is>
          <t>cmm4xvu980000cuh4vj0usz09</t>
        </is>
      </c>
      <c r="AU418" t="inlineStr"/>
      <c r="AV418" t="inlineStr">
        <is>
          <t>Kommun</t>
        </is>
      </c>
      <c r="AW418" t="inlineStr"/>
      <c r="AX418" t="inlineStr">
        <is>
          <t>2024-11</t>
        </is>
      </c>
      <c r="AY418" t="inlineStr">
        <is>
          <t>Anmalan</t>
        </is>
      </c>
      <c r="AZ418" t="inlineStr">
        <is>
          <t>2026-02-12</t>
        </is>
      </c>
      <c r="BA418" t="inlineStr">
        <is>
          <t>2024-923Miljöfarlig verksamhet, anmälan _ ändring - 10928.pdf</t>
        </is>
      </c>
      <c r="BB418" t="inlineStr">
        <is>
          <t>Sv: till registrator</t>
        </is>
      </c>
      <c r="BC418" t="inlineStr">
        <is>
          <t>AUTO</t>
        </is>
      </c>
      <c r="BD418" t="inlineStr"/>
      <c r="BE418" t="inlineStr"/>
      <c r="BF418" t="inlineStr">
        <is>
          <t>AUTO_GENERERAD. Bekrafta metadata mot kallfil.</t>
        </is>
      </c>
      <c r="BG418">
        <f>HYPERLINK("C:\Users\jimmy\Desktop\Examens arbete\Kod\Ny mapp\remix_-copy-of-miljöbeslut.se-portal\2024-923Miljöfarlig verksamhet, anmälan _ ändring - 10928.pdf", "Öppna PDF")</f>
        <v/>
      </c>
    </row>
    <row r="419">
      <c r="A419" t="inlineStr">
        <is>
          <t>KRAV-AUTO-000418</t>
        </is>
      </c>
      <c r="B419" t="inlineStr">
        <is>
          <t>ADMIN-INDEX-2026-02-27-00000000125C043F57453246863FE664CAFE6A3F0700950291EA24F0614FB6ACEDB12BF0E31D00000000010C0000950291EA24F0614FB6ACEDB12BF0E31D00002087A57F0000</t>
        </is>
      </c>
      <c r="C419" t="inlineStr">
        <is>
          <t>cmm4yurcl04etcuqwxvc69l8l</t>
        </is>
      </c>
      <c r="D419" t="inlineStr">
        <is>
          <t>http://localhost:8787/api/admin/requirements/documents/cmm4yurcl04etcuqwxvc69l8l/view</t>
        </is>
      </c>
      <c r="E419">
        <f>HYPERLÄNK("http://localhost:8787/api/admin/requirements/documents/cmm4yurcl04etcuqwxvc69l8l/view";"Öppna PDF")</f>
        <v/>
      </c>
      <c r="F419">
        <f>HYPERLINK("http://localhost:8787/api/admin/requirements/documents/cmm4yurcl04etcuqwxvc69l8l/view","Open PDF")</f>
        <v/>
      </c>
      <c r="G419" t="inlineStr">
        <is>
          <t>cmm55w57p0004cuisfrtpqly8</t>
        </is>
      </c>
      <c r="H419" t="inlineStr">
        <is>
          <t>Kompletteringskrav</t>
        </is>
      </c>
      <c r="I419" t="inlineStr">
        <is>
          <t>MiljopaverkanForsiktighet</t>
        </is>
      </c>
      <c r="J419" t="inlineStr">
        <is>
          <t>Skyddsatgarder</t>
        </is>
      </c>
      <c r="K419" t="inlineStr">
        <is>
          <t>Kemikalier, avfall samt farligt ska vara märkta med uppgifter om innehållet 5.</t>
        </is>
      </c>
      <c r="L419" t="inlineStr">
        <is>
          <t>Kemikalier, avfall samt farligt ska vara märkta med uppgifter om innehållet 5.</t>
        </is>
      </c>
      <c r="M419" t="inlineStr">
        <is>
          <t>SKA</t>
        </is>
      </c>
      <c r="N419" t="inlineStr"/>
      <c r="O419" t="inlineStr"/>
      <c r="P419" t="inlineStr">
        <is>
          <t>Arlig</t>
        </is>
      </c>
      <c r="Q419" t="inlineStr"/>
      <c r="R419" t="inlineStr">
        <is>
          <t>Alltid</t>
        </is>
      </c>
      <c r="S419" t="inlineStr"/>
      <c r="T419" t="inlineStr">
        <is>
          <t>212000</t>
        </is>
      </c>
      <c r="U419" t="inlineStr"/>
      <c r="V419" t="inlineStr"/>
      <c r="W419" t="inlineStr">
        <is>
          <t>Nej</t>
        </is>
      </c>
      <c r="X419" t="inlineStr">
        <is>
          <t>Nej</t>
        </is>
      </c>
      <c r="Y419" t="inlineStr">
        <is>
          <t>Nej</t>
        </is>
      </c>
      <c r="Z419" t="inlineStr">
        <is>
          <t>Nej</t>
        </is>
      </c>
      <c r="AA419" t="n">
        <v>10</v>
      </c>
      <c r="AB419" t="inlineStr">
        <is>
          <t>Miljopaverkan och forsiktighetsmatt</t>
        </is>
      </c>
      <c r="AC419" t="inlineStr">
        <is>
          <t>Miljo-PM</t>
        </is>
      </c>
      <c r="AD419" t="inlineStr">
        <is>
          <t>Nej</t>
        </is>
      </c>
      <c r="AE419" t="inlineStr">
        <is>
          <t>Nej</t>
        </is>
      </c>
      <c r="AF419" t="inlineStr">
        <is>
          <t>Ej behandlad</t>
        </is>
      </c>
      <c r="AG419" t="inlineStr">
        <is>
          <t>AUTO_GENERERAD. Verifiera citat mot kallfil.</t>
        </is>
      </c>
      <c r="AH419" t="inlineStr">
        <is>
          <t>MEDIUM</t>
        </is>
      </c>
      <c r="AI419" t="inlineStr">
        <is>
          <t>AUTO</t>
        </is>
      </c>
      <c r="AJ419" t="inlineStr">
        <is>
          <t>Nej</t>
        </is>
      </c>
      <c r="AK419" t="inlineStr"/>
      <c r="AL419" t="inlineStr"/>
      <c r="AM419" t="inlineStr"/>
      <c r="AN419" t="inlineStr"/>
      <c r="AO419" t="inlineStr">
        <is>
          <t>cmm4yurd804fhcuqw6hiurhyu</t>
        </is>
      </c>
      <c r="AP419" t="inlineStr">
        <is>
          <t>http://localhost:8787/api/admin/requirements/documents/cmm4yurd804fhcuqw6hiurhyu/view</t>
        </is>
      </c>
      <c r="AQ419">
        <f>HYPERLÄNK("http://localhost:8787/api/admin/requirements/documents/cmm4yurd804fhcuqw6hiurhyu/view";"Öppna PDF")</f>
        <v/>
      </c>
      <c r="AR419">
        <f>HYPERLINK("http://localhost:8787/api/admin/requirements/documents/cmm4yurd804fhcuqw6hiurhyu/view","Open PDF")</f>
        <v/>
      </c>
      <c r="AS419" t="inlineStr">
        <is>
          <t>cmm55w57p0004cuisfrtpqly8</t>
        </is>
      </c>
      <c r="AT419" t="inlineStr">
        <is>
          <t>cmm4xvu980000cuh4vj0usz09</t>
        </is>
      </c>
      <c r="AU419" t="inlineStr"/>
      <c r="AV419" t="inlineStr">
        <is>
          <t>Kommun</t>
        </is>
      </c>
      <c r="AW419" t="inlineStr"/>
      <c r="AX419" t="inlineStr">
        <is>
          <t>2024-11</t>
        </is>
      </c>
      <c r="AY419" t="inlineStr">
        <is>
          <t>Anmalan</t>
        </is>
      </c>
      <c r="AZ419" t="inlineStr">
        <is>
          <t>2026-02-12</t>
        </is>
      </c>
      <c r="BA419" t="inlineStr">
        <is>
          <t>2024-923Miljöfarlig verksamhet, anmälan _ ändring - 10928.pdf</t>
        </is>
      </c>
      <c r="BB419" t="inlineStr">
        <is>
          <t>Sv: till registrator</t>
        </is>
      </c>
      <c r="BC419" t="inlineStr">
        <is>
          <t>AUTO</t>
        </is>
      </c>
      <c r="BD419" t="inlineStr"/>
      <c r="BE419" t="inlineStr"/>
      <c r="BF419" t="inlineStr">
        <is>
          <t>AUTO_GENERERAD. Bekrafta metadata mot kallfil.</t>
        </is>
      </c>
      <c r="BG419">
        <f>HYPERLINK("C:\Users\jimmy\Desktop\Examens arbete\Kod\Ny mapp\remix_-copy-of-miljöbeslut.se-portal\2024-923Miljöfarlig verksamhet, anmälan _ ändring - 10928.pdf", "Öppna PDF")</f>
        <v/>
      </c>
    </row>
    <row r="420">
      <c r="A420" t="inlineStr">
        <is>
          <t>KRAV-AUTO-000419</t>
        </is>
      </c>
      <c r="B420" t="inlineStr">
        <is>
          <t>ADMIN-INDEX-2026-02-27-00000000125C043F57453246863FE664CAFE6A3F0700950291EA24F0614FB6ACEDB12BF0E31D00000000010C0000950291EA24F0614FB6ACEDB12BF0E31D00002087A5800000</t>
        </is>
      </c>
      <c r="C420" t="inlineStr">
        <is>
          <t>cmm4yurc904ehcuqwgr00kwg3</t>
        </is>
      </c>
      <c r="D420" t="inlineStr">
        <is>
          <t>http://localhost:8787/api/admin/requirements/documents/cmm4yurc904ehcuqwgr00kwg3/view</t>
        </is>
      </c>
      <c r="E420">
        <f>HYPERLÄNK("http://localhost:8787/api/admin/requirements/documents/cmm4yurc904ehcuqwgr00kwg3/view";"Öppna PDF")</f>
        <v/>
      </c>
      <c r="F420">
        <f>HYPERLINK("http://localhost:8787/api/admin/requirements/documents/cmm4yurc904ehcuqwgr00kwg3/view","Open PDF")</f>
        <v/>
      </c>
      <c r="G420" t="inlineStr">
        <is>
          <t>cmm55w57p0004cuisfrtpqly8</t>
        </is>
      </c>
      <c r="H420" t="inlineStr">
        <is>
          <t>Informationskrav</t>
        </is>
      </c>
      <c r="I420" t="inlineStr">
        <is>
          <t>MiljopaverkanForsiktighet</t>
        </is>
      </c>
      <c r="J420" t="inlineStr">
        <is>
          <t>Skyddsatgarder</t>
        </is>
      </c>
      <c r="K420" t="inlineStr">
        <is>
          <t>Ändringar i verksamheten som berör hanteringen och lagringen av avfallet skall anmälas till bygg- och miljönämnden i Kävlinge kommun.</t>
        </is>
      </c>
      <c r="L420" t="inlineStr">
        <is>
          <t>Ändringar i verksamheten som berör hanteringen och lagringen av avfallet skall anmälas till bygg- och miljönämnden i Kävlinge kommun.</t>
        </is>
      </c>
      <c r="M420" t="inlineStr">
        <is>
          <t>SKA</t>
        </is>
      </c>
      <c r="N420" t="inlineStr"/>
      <c r="O420" t="inlineStr"/>
      <c r="P420" t="inlineStr"/>
      <c r="Q420" t="inlineStr"/>
      <c r="R420" t="inlineStr">
        <is>
          <t>Alltid</t>
        </is>
      </c>
      <c r="S420" t="inlineStr"/>
      <c r="T420" t="inlineStr">
        <is>
          <t>559128</t>
        </is>
      </c>
      <c r="U420" t="inlineStr"/>
      <c r="V420" t="inlineStr"/>
      <c r="W420" t="inlineStr">
        <is>
          <t>Nej</t>
        </is>
      </c>
      <c r="X420" t="inlineStr">
        <is>
          <t>Nej</t>
        </is>
      </c>
      <c r="Y420" t="inlineStr">
        <is>
          <t>Nej</t>
        </is>
      </c>
      <c r="Z420" t="inlineStr">
        <is>
          <t>Nej</t>
        </is>
      </c>
      <c r="AA420" t="n">
        <v>10</v>
      </c>
      <c r="AB420" t="inlineStr">
        <is>
          <t>Miljopaverkan och forsiktighetsmatt</t>
        </is>
      </c>
      <c r="AC420" t="inlineStr">
        <is>
          <t>Miljo-PM</t>
        </is>
      </c>
      <c r="AD420" t="inlineStr">
        <is>
          <t>Nej</t>
        </is>
      </c>
      <c r="AE420" t="inlineStr">
        <is>
          <t>Nej</t>
        </is>
      </c>
      <c r="AF420" t="inlineStr">
        <is>
          <t>Ej behandlad</t>
        </is>
      </c>
      <c r="AG420" t="inlineStr">
        <is>
          <t>AUTO_GENERERAD. Verifiera citat mot kallfil.</t>
        </is>
      </c>
      <c r="AH420" t="inlineStr">
        <is>
          <t>MEDIUM</t>
        </is>
      </c>
      <c r="AI420" t="inlineStr">
        <is>
          <t>AUTO</t>
        </is>
      </c>
      <c r="AJ420" t="inlineStr">
        <is>
          <t>Nej</t>
        </is>
      </c>
      <c r="AK420" t="inlineStr"/>
      <c r="AL420" t="inlineStr"/>
      <c r="AM420" t="inlineStr"/>
      <c r="AN420" t="inlineStr"/>
      <c r="AO420" t="inlineStr">
        <is>
          <t>cmm4yurbv04e2cuqwb1kd6w43</t>
        </is>
      </c>
      <c r="AP420" t="inlineStr">
        <is>
          <t>http://localhost:8787/api/admin/requirements/documents/cmm4yurbv04e2cuqwb1kd6w43/view</t>
        </is>
      </c>
      <c r="AQ420">
        <f>HYPERLÄNK("http://localhost:8787/api/admin/requirements/documents/cmm4yurbv04e2cuqwb1kd6w43/view";"Öppna PDF")</f>
        <v/>
      </c>
      <c r="AR420">
        <f>HYPERLINK("http://localhost:8787/api/admin/requirements/documents/cmm4yurbv04e2cuqwb1kd6w43/view","Open PDF")</f>
        <v/>
      </c>
      <c r="AS420" t="inlineStr">
        <is>
          <t>cmm55w57p0004cuisfrtpqly8</t>
        </is>
      </c>
      <c r="AT420" t="inlineStr">
        <is>
          <t>cmm4xvu980000cuh4vj0usz09</t>
        </is>
      </c>
      <c r="AU420" t="inlineStr"/>
      <c r="AV420" t="inlineStr">
        <is>
          <t>Kommun</t>
        </is>
      </c>
      <c r="AW420" t="inlineStr"/>
      <c r="AX420" t="inlineStr">
        <is>
          <t>2013:251</t>
        </is>
      </c>
      <c r="AY420" t="inlineStr">
        <is>
          <t>Anmalan</t>
        </is>
      </c>
      <c r="AZ420" t="inlineStr">
        <is>
          <t>2026-02-12</t>
        </is>
      </c>
      <c r="BA420" t="inlineStr">
        <is>
          <t>MB-2023-716-6 - Miljöfarlig verksamhet_anmälan.pdf</t>
        </is>
      </c>
      <c r="BB420" t="inlineStr">
        <is>
          <t>Sv:  Begäran om utlämnande av allmän handling – Anmälningar och beslut rörande mellanlagring av avfall samt anläggning av ytor</t>
        </is>
      </c>
      <c r="BC420" t="inlineStr">
        <is>
          <t>AUTO</t>
        </is>
      </c>
      <c r="BD420" t="inlineStr"/>
      <c r="BE420" t="inlineStr"/>
      <c r="BF420" t="inlineStr">
        <is>
          <t>AUTO_GENERERAD. Bekrafta metadata mot kallfil.</t>
        </is>
      </c>
      <c r="BG420">
        <f>HYPERLINK("C:\Users\jimmy\Desktop\Examens arbete\Kod\Ny mapp\remix_-copy-of-miljöbeslut.se-portal\MB-2023-716-6 - Miljöfarlig verksamhet_anmälan.pdf", "Öppna PDF")</f>
        <v/>
      </c>
    </row>
    <row r="421">
      <c r="A421" t="inlineStr">
        <is>
          <t>KRAV-AUTO-000420</t>
        </is>
      </c>
      <c r="B421" t="inlineStr">
        <is>
          <t>ADMIN-INDEX-2026-02-27-00000000125C043F57453246863FE664CAFE6A3F0700950291EA24F0614FB6ACEDB12BF0E31D00000000010C0000950291EA24F0614FB6ACEDB12BF0E31D00002087A5800000</t>
        </is>
      </c>
      <c r="C421" t="inlineStr">
        <is>
          <t>cmm4yurc904ehcuqwgr00kwg3</t>
        </is>
      </c>
      <c r="D421" t="inlineStr">
        <is>
          <t>http://localhost:8787/api/admin/requirements/documents/cmm4yurc904ehcuqwgr00kwg3/view</t>
        </is>
      </c>
      <c r="E421">
        <f>HYPERLÄNK("http://localhost:8787/api/admin/requirements/documents/cmm4yurc904ehcuqwgr00kwg3/view";"Öppna PDF")</f>
        <v/>
      </c>
      <c r="F421">
        <f>HYPERLINK("http://localhost:8787/api/admin/requirements/documents/cmm4yurc904ehcuqwgr00kwg3/view","Open PDF")</f>
        <v/>
      </c>
      <c r="G421" t="inlineStr">
        <is>
          <t>cmm55w57p0004cuisfrtpqly8</t>
        </is>
      </c>
      <c r="H421" t="inlineStr">
        <is>
          <t>Informationskrav</t>
        </is>
      </c>
      <c r="I421" t="inlineStr">
        <is>
          <t>Riskhantering</t>
        </is>
      </c>
      <c r="J421" t="inlineStr">
        <is>
          <t>Riskkontroll</t>
        </is>
      </c>
      <c r="K421" t="inlineStr">
        <is>
          <t>6§ Verksamhetsutövaren skall fortlöpande och systematiskt undersöka och bedöma riskerna med verksamheten från hälso- och miljösynpunkt.</t>
        </is>
      </c>
      <c r="L421" t="inlineStr">
        <is>
          <t>6§ Verksamhetsutövaren skall fortlöpande och systematiskt undersöka och bedöma riskerna med verksamheten från hälso- och miljösynpunkt.</t>
        </is>
      </c>
      <c r="M421" t="inlineStr">
        <is>
          <t>SKA</t>
        </is>
      </c>
      <c r="N421" t="inlineStr"/>
      <c r="O421" t="inlineStr"/>
      <c r="P421" t="inlineStr">
        <is>
          <t>Lopande</t>
        </is>
      </c>
      <c r="Q421" t="inlineStr"/>
      <c r="R421" t="inlineStr">
        <is>
          <t>Vid risk for incident</t>
        </is>
      </c>
      <c r="S421" t="inlineStr"/>
      <c r="T421" t="inlineStr">
        <is>
          <t>559128</t>
        </is>
      </c>
      <c r="U421" t="inlineStr"/>
      <c r="V421" t="inlineStr"/>
      <c r="W421" t="inlineStr">
        <is>
          <t>Nej</t>
        </is>
      </c>
      <c r="X421" t="inlineStr">
        <is>
          <t>Nej</t>
        </is>
      </c>
      <c r="Y421" t="inlineStr">
        <is>
          <t>Ja</t>
        </is>
      </c>
      <c r="Z421" t="inlineStr">
        <is>
          <t>Ja</t>
        </is>
      </c>
      <c r="AA421" t="n">
        <v>8</v>
      </c>
      <c r="AB421" t="inlineStr">
        <is>
          <t>Riskhantering</t>
        </is>
      </c>
      <c r="AC421" t="inlineStr">
        <is>
          <t>Risk-PM</t>
        </is>
      </c>
      <c r="AD421" t="inlineStr">
        <is>
          <t>Nej</t>
        </is>
      </c>
      <c r="AE421" t="inlineStr">
        <is>
          <t>Nej</t>
        </is>
      </c>
      <c r="AF421" t="inlineStr">
        <is>
          <t>Ej behandlad</t>
        </is>
      </c>
      <c r="AG421" t="inlineStr">
        <is>
          <t>AUTO_GENERERAD. Verifiera citat mot kallfil.</t>
        </is>
      </c>
      <c r="AH421" t="inlineStr">
        <is>
          <t>MEDIUM</t>
        </is>
      </c>
      <c r="AI421" t="inlineStr">
        <is>
          <t>AUTO</t>
        </is>
      </c>
      <c r="AJ421" t="inlineStr">
        <is>
          <t>Nej</t>
        </is>
      </c>
      <c r="AK421" t="inlineStr"/>
      <c r="AL421" t="inlineStr"/>
      <c r="AM421" t="inlineStr"/>
      <c r="AN421" t="inlineStr"/>
      <c r="AO421" t="inlineStr">
        <is>
          <t>cmm4yurbv04e2cuqwb1kd6w43</t>
        </is>
      </c>
      <c r="AP421" t="inlineStr">
        <is>
          <t>http://localhost:8787/api/admin/requirements/documents/cmm4yurbv04e2cuqwb1kd6w43/view</t>
        </is>
      </c>
      <c r="AQ421">
        <f>HYPERLÄNK("http://localhost:8787/api/admin/requirements/documents/cmm4yurbv04e2cuqwb1kd6w43/view";"Öppna PDF")</f>
        <v/>
      </c>
      <c r="AR421">
        <f>HYPERLINK("http://localhost:8787/api/admin/requirements/documents/cmm4yurbv04e2cuqwb1kd6w43/view","Open PDF")</f>
        <v/>
      </c>
      <c r="AS421" t="inlineStr">
        <is>
          <t>cmm55w57p0004cuisfrtpqly8</t>
        </is>
      </c>
      <c r="AT421" t="inlineStr">
        <is>
          <t>cmm4xvu980000cuh4vj0usz09</t>
        </is>
      </c>
      <c r="AU421" t="inlineStr"/>
      <c r="AV421" t="inlineStr">
        <is>
          <t>Kommun</t>
        </is>
      </c>
      <c r="AW421" t="inlineStr"/>
      <c r="AX421" t="inlineStr">
        <is>
          <t>2013:251</t>
        </is>
      </c>
      <c r="AY421" t="inlineStr">
        <is>
          <t>Anmalan</t>
        </is>
      </c>
      <c r="AZ421" t="inlineStr">
        <is>
          <t>2026-02-12</t>
        </is>
      </c>
      <c r="BA421" t="inlineStr">
        <is>
          <t>MB-2023-716-6 - Miljöfarlig verksamhet_anmälan.pdf</t>
        </is>
      </c>
      <c r="BB421" t="inlineStr">
        <is>
          <t>Sv:  Begäran om utlämnande av allmän handling – Anmälningar och beslut rörande mellanlagring av avfall samt anläggning av ytor</t>
        </is>
      </c>
      <c r="BC421" t="inlineStr">
        <is>
          <t>AUTO</t>
        </is>
      </c>
      <c r="BD421" t="inlineStr"/>
      <c r="BE421" t="inlineStr"/>
      <c r="BF421" t="inlineStr">
        <is>
          <t>AUTO_GENERERAD. Bekrafta metadata mot kallfil.</t>
        </is>
      </c>
      <c r="BG421">
        <f>HYPERLINK("C:\Users\jimmy\Desktop\Examens arbete\Kod\Ny mapp\remix_-copy-of-miljöbeslut.se-portal\MB-2023-716-6 - Miljöfarlig verksamhet_anmälan.pdf", "Öppna PDF")</f>
        <v/>
      </c>
    </row>
    <row r="422">
      <c r="A422" t="inlineStr">
        <is>
          <t>KRAV-AUTO-000421</t>
        </is>
      </c>
      <c r="B422" t="inlineStr">
        <is>
          <t>ADMIN-INDEX-2026-02-27-00000000125C043F57453246863FE664CAFE6A3F0700950291EA24F0614FB6ACEDB12BF0E31D00000000010C0000950291EA24F0614FB6ACEDB12BF0E31D00002087A5800000</t>
        </is>
      </c>
      <c r="C422" t="inlineStr">
        <is>
          <t>cmm4yurc904ehcuqwgr00kwg3</t>
        </is>
      </c>
      <c r="D422" t="inlineStr">
        <is>
          <t>http://localhost:8787/api/admin/requirements/documents/cmm4yurc904ehcuqwgr00kwg3/view</t>
        </is>
      </c>
      <c r="E422">
        <f>HYPERLÄNK("http://localhost:8787/api/admin/requirements/documents/cmm4yurc904ehcuqwgr00kwg3/view";"Öppna PDF")</f>
        <v/>
      </c>
      <c r="F422">
        <f>HYPERLINK("http://localhost:8787/api/admin/requirements/documents/cmm4yurc904ehcuqwgr00kwg3/view","Open PDF")</f>
        <v/>
      </c>
      <c r="G422" t="inlineStr">
        <is>
          <t>cmm55w57p0004cuisfrtpqly8</t>
        </is>
      </c>
      <c r="H422" t="inlineStr">
        <is>
          <t>Informationskrav</t>
        </is>
      </c>
      <c r="I422" t="inlineStr">
        <is>
          <t>DriftEgenkontroll</t>
        </is>
      </c>
      <c r="J422" t="inlineStr">
        <is>
          <t>Journalforing</t>
        </is>
      </c>
      <c r="K422" t="inlineStr">
        <is>
          <t>Samtliga massor ska provtagas av sakkunnig och analyseras på ackrediterat laboratorium med avseende på PAH, alifater, aromater, BTEX och metaller.</t>
        </is>
      </c>
      <c r="L422" t="inlineStr">
        <is>
          <t>Samtliga massor ska provtagas av sakkunnig och analyseras på ackrediterat laboratorium med avseende på PAH, alifater, aromater, BTEX och metaller.</t>
        </is>
      </c>
      <c r="M422" t="inlineStr">
        <is>
          <t>SKA</t>
        </is>
      </c>
      <c r="N422" t="inlineStr"/>
      <c r="O422" t="inlineStr"/>
      <c r="P422" t="inlineStr"/>
      <c r="Q422" t="inlineStr"/>
      <c r="R422" t="inlineStr">
        <is>
          <t>Lopande drift</t>
        </is>
      </c>
      <c r="S422" t="inlineStr"/>
      <c r="T422" t="inlineStr">
        <is>
          <t>559128</t>
        </is>
      </c>
      <c r="U422" t="inlineStr"/>
      <c r="V422" t="inlineStr"/>
      <c r="W422" t="inlineStr">
        <is>
          <t>Nej</t>
        </is>
      </c>
      <c r="X422" t="inlineStr">
        <is>
          <t>Nej</t>
        </is>
      </c>
      <c r="Y422" t="inlineStr">
        <is>
          <t>Ja</t>
        </is>
      </c>
      <c r="Z422" t="inlineStr">
        <is>
          <t>Nej</t>
        </is>
      </c>
      <c r="AA422" t="n">
        <v>7</v>
      </c>
      <c r="AB422" t="inlineStr">
        <is>
          <t>Egenkontrollrutiner</t>
        </is>
      </c>
      <c r="AC422" t="inlineStr">
        <is>
          <t>Egenkontrollprogram</t>
        </is>
      </c>
      <c r="AD422" t="inlineStr">
        <is>
          <t>Nej</t>
        </is>
      </c>
      <c r="AE422" t="inlineStr">
        <is>
          <t>Nej</t>
        </is>
      </c>
      <c r="AF422" t="inlineStr">
        <is>
          <t>Ej behandlad</t>
        </is>
      </c>
      <c r="AG422" t="inlineStr">
        <is>
          <t>AUTO_GENERERAD. Verifiera citat mot kallfil.</t>
        </is>
      </c>
      <c r="AH422" t="inlineStr">
        <is>
          <t>MEDIUM</t>
        </is>
      </c>
      <c r="AI422" t="inlineStr">
        <is>
          <t>AUTO</t>
        </is>
      </c>
      <c r="AJ422" t="inlineStr">
        <is>
          <t>Nej</t>
        </is>
      </c>
      <c r="AK422" t="inlineStr"/>
      <c r="AL422" t="inlineStr"/>
      <c r="AM422" t="inlineStr"/>
      <c r="AN422" t="inlineStr"/>
      <c r="AO422" t="inlineStr">
        <is>
          <t>cmm4yurbv04e2cuqwb1kd6w43</t>
        </is>
      </c>
      <c r="AP422" t="inlineStr">
        <is>
          <t>http://localhost:8787/api/admin/requirements/documents/cmm4yurbv04e2cuqwb1kd6w43/view</t>
        </is>
      </c>
      <c r="AQ422">
        <f>HYPERLÄNK("http://localhost:8787/api/admin/requirements/documents/cmm4yurbv04e2cuqwb1kd6w43/view";"Öppna PDF")</f>
        <v/>
      </c>
      <c r="AR422">
        <f>HYPERLINK("http://localhost:8787/api/admin/requirements/documents/cmm4yurbv04e2cuqwb1kd6w43/view","Open PDF")</f>
        <v/>
      </c>
      <c r="AS422" t="inlineStr">
        <is>
          <t>cmm55w57p0004cuisfrtpqly8</t>
        </is>
      </c>
      <c r="AT422" t="inlineStr">
        <is>
          <t>cmm4xvu980000cuh4vj0usz09</t>
        </is>
      </c>
      <c r="AU422" t="inlineStr"/>
      <c r="AV422" t="inlineStr">
        <is>
          <t>Kommun</t>
        </is>
      </c>
      <c r="AW422" t="inlineStr"/>
      <c r="AX422" t="inlineStr">
        <is>
          <t>2013:251</t>
        </is>
      </c>
      <c r="AY422" t="inlineStr">
        <is>
          <t>Anmalan</t>
        </is>
      </c>
      <c r="AZ422" t="inlineStr">
        <is>
          <t>2026-02-12</t>
        </is>
      </c>
      <c r="BA422" t="inlineStr">
        <is>
          <t>MB-2023-716-6 - Miljöfarlig verksamhet_anmälan.pdf</t>
        </is>
      </c>
      <c r="BB422" t="inlineStr">
        <is>
          <t>Sv:  Begäran om utlämnande av allmän handling – Anmälningar och beslut rörande mellanlagring av avfall samt anläggning av ytor</t>
        </is>
      </c>
      <c r="BC422" t="inlineStr">
        <is>
          <t>AUTO</t>
        </is>
      </c>
      <c r="BD422" t="inlineStr"/>
      <c r="BE422" t="inlineStr"/>
      <c r="BF422" t="inlineStr">
        <is>
          <t>AUTO_GENERERAD. Bekrafta metadata mot kallfil.</t>
        </is>
      </c>
      <c r="BG422">
        <f>HYPERLINK("C:\Users\jimmy\Desktop\Examens arbete\Kod\Ny mapp\remix_-copy-of-miljöbeslut.se-portal\MB-2023-716-6 - Miljöfarlig verksamhet_anmälan.pdf", "Öppna PDF")</f>
        <v/>
      </c>
    </row>
    <row r="423">
      <c r="A423" t="inlineStr">
        <is>
          <t>KRAV-AUTO-000422</t>
        </is>
      </c>
      <c r="B423" t="inlineStr">
        <is>
          <t>ADMIN-INDEX-2026-02-27-00000000125C043F57453246863FE664CAFE6A3F0700950291EA24F0614FB6ACEDB12BF0E31D00000000010C0000950291EA24F0614FB6ACEDB12BF0E31D00002087A5800000</t>
        </is>
      </c>
      <c r="C423" t="inlineStr">
        <is>
          <t>cmm4yurc104e8cuqw1sywk36x</t>
        </is>
      </c>
      <c r="D423" t="inlineStr">
        <is>
          <t>http://localhost:8787/api/admin/requirements/documents/cmm4yurc104e8cuqw1sywk36x/view</t>
        </is>
      </c>
      <c r="E423">
        <f>HYPERLÄNK("http://localhost:8787/api/admin/requirements/documents/cmm4yurc104e8cuqw1sywk36x/view";"Öppna PDF")</f>
        <v/>
      </c>
      <c r="F423">
        <f>HYPERLINK("http://localhost:8787/api/admin/requirements/documents/cmm4yurc104e8cuqw1sywk36x/view","Open PDF")</f>
        <v/>
      </c>
      <c r="G423" t="inlineStr">
        <is>
          <t>cmm55w57p0004cuisfrtpqly8</t>
        </is>
      </c>
      <c r="H423" t="inlineStr">
        <is>
          <t>Informationskrav</t>
        </is>
      </c>
      <c r="I423" t="inlineStr">
        <is>
          <t>LagringsvolymTid</t>
        </is>
      </c>
      <c r="J423" t="inlineStr">
        <is>
          <t>Maxmangd</t>
        </is>
      </c>
      <c r="K423" t="inlineStr">
        <is>
          <t>Beskriv verksamheten, ev kort historik, produktions- och behandlingsmetoder, produktionskapacitet, producerad mängd m m.</t>
        </is>
      </c>
      <c r="L423" t="inlineStr">
        <is>
          <t>Beskriv verksamheten, ev kort historik, produktions- och behandlingsmetoder, produktionskapacitet, producerad mängd m m.</t>
        </is>
      </c>
      <c r="M423" t="inlineStr">
        <is>
          <t>SKA</t>
        </is>
      </c>
      <c r="N423" t="inlineStr"/>
      <c r="O423" t="inlineStr"/>
      <c r="P423" t="inlineStr"/>
      <c r="Q423" t="inlineStr"/>
      <c r="R423" t="inlineStr">
        <is>
          <t>Alltid</t>
        </is>
      </c>
      <c r="S423" t="inlineStr"/>
      <c r="T423" t="inlineStr"/>
      <c r="U423" t="inlineStr"/>
      <c r="V423" t="inlineStr"/>
      <c r="W423" t="inlineStr">
        <is>
          <t>Nej</t>
        </is>
      </c>
      <c r="X423" t="inlineStr">
        <is>
          <t>Nej</t>
        </is>
      </c>
      <c r="Y423" t="inlineStr">
        <is>
          <t>Nej</t>
        </is>
      </c>
      <c r="Z423" t="inlineStr">
        <is>
          <t>Nej</t>
        </is>
      </c>
      <c r="AA423" t="n">
        <v>4</v>
      </c>
      <c r="AB423" t="inlineStr">
        <is>
          <t>Avfallsmangder och lagringstid</t>
        </is>
      </c>
      <c r="AC423" t="inlineStr">
        <is>
          <t>Avfallsforteckning</t>
        </is>
      </c>
      <c r="AD423" t="inlineStr">
        <is>
          <t>Nej</t>
        </is>
      </c>
      <c r="AE423" t="inlineStr">
        <is>
          <t>Nej</t>
        </is>
      </c>
      <c r="AF423" t="inlineStr">
        <is>
          <t>Ej behandlad</t>
        </is>
      </c>
      <c r="AG423" t="inlineStr">
        <is>
          <t>AUTO_GENERERAD. Verifiera citat mot kallfil.</t>
        </is>
      </c>
      <c r="AH423" t="inlineStr">
        <is>
          <t>MEDIUM</t>
        </is>
      </c>
      <c r="AI423" t="inlineStr">
        <is>
          <t>AUTO</t>
        </is>
      </c>
      <c r="AJ423" t="inlineStr">
        <is>
          <t>Nej</t>
        </is>
      </c>
      <c r="AK423" t="inlineStr"/>
      <c r="AL423" t="inlineStr"/>
      <c r="AM423" t="inlineStr"/>
      <c r="AN423" t="inlineStr"/>
      <c r="AO423" t="inlineStr">
        <is>
          <t>cmm4yurbv04e2cuqwb1kd6w43</t>
        </is>
      </c>
      <c r="AP423" t="inlineStr">
        <is>
          <t>http://localhost:8787/api/admin/requirements/documents/cmm4yurbv04e2cuqwb1kd6w43/view</t>
        </is>
      </c>
      <c r="AQ423">
        <f>HYPERLÄNK("http://localhost:8787/api/admin/requirements/documents/cmm4yurbv04e2cuqwb1kd6w43/view";"Öppna PDF")</f>
        <v/>
      </c>
      <c r="AR423">
        <f>HYPERLINK("http://localhost:8787/api/admin/requirements/documents/cmm4yurbv04e2cuqwb1kd6w43/view","Open PDF")</f>
        <v/>
      </c>
      <c r="AS423" t="inlineStr">
        <is>
          <t>cmm55w57p0004cuisfrtpqly8</t>
        </is>
      </c>
      <c r="AT423" t="inlineStr">
        <is>
          <t>cmm4xvu980000cuh4vj0usz09</t>
        </is>
      </c>
      <c r="AU423" t="inlineStr"/>
      <c r="AV423" t="inlineStr">
        <is>
          <t>Kommun</t>
        </is>
      </c>
      <c r="AW423" t="inlineStr"/>
      <c r="AX423" t="inlineStr">
        <is>
          <t>2013:251</t>
        </is>
      </c>
      <c r="AY423" t="inlineStr">
        <is>
          <t>Anmalan</t>
        </is>
      </c>
      <c r="AZ423" t="inlineStr">
        <is>
          <t>2026-02-12</t>
        </is>
      </c>
      <c r="BA423" t="inlineStr">
        <is>
          <t>MB-2023-716-6 - Miljöfarlig verksamhet_anmälan.pdf</t>
        </is>
      </c>
      <c r="BB423" t="inlineStr">
        <is>
          <t>Sv:  Begäran om utlämnande av allmän handling – Anmälningar och beslut rörande mellanlagring av avfall samt anläggning av ytor</t>
        </is>
      </c>
      <c r="BC423" t="inlineStr">
        <is>
          <t>AUTO</t>
        </is>
      </c>
      <c r="BD423" t="inlineStr"/>
      <c r="BE423" t="inlineStr"/>
      <c r="BF423" t="inlineStr">
        <is>
          <t>AUTO_GENERERAD. Bekrafta metadata mot kallfil.</t>
        </is>
      </c>
      <c r="BG423">
        <f>HYPERLINK("C:\Users\jimmy\Desktop\Examens arbete\Kod\Ny mapp\remix_-copy-of-miljöbeslut.se-portal\MB-2023-716-6 - Miljöfarlig verksamhet_anmälan.pdf", "Öppna PDF")</f>
        <v/>
      </c>
    </row>
    <row r="424">
      <c r="A424" t="inlineStr">
        <is>
          <t>KRAV-AUTO-000423</t>
        </is>
      </c>
      <c r="B424" t="inlineStr">
        <is>
          <t>ADMIN-INDEX-2026-02-27-00000000125C043F57453246863FE664CAFE6A3F0700950291EA24F0614FB6ACEDB12BF0E31D00000000010C0000950291EA24F0614FB6ACEDB12BF0E31D00002087A5800000</t>
        </is>
      </c>
      <c r="C424" t="inlineStr">
        <is>
          <t>cmm4yurc104e8cuqw1sywk36x</t>
        </is>
      </c>
      <c r="D424" t="inlineStr">
        <is>
          <t>http://localhost:8787/api/admin/requirements/documents/cmm4yurc104e8cuqw1sywk36x/view</t>
        </is>
      </c>
      <c r="E424">
        <f>HYPERLÄNK("http://localhost:8787/api/admin/requirements/documents/cmm4yurc104e8cuqw1sywk36x/view";"Öppna PDF")</f>
        <v/>
      </c>
      <c r="F424">
        <f>HYPERLINK("http://localhost:8787/api/admin/requirements/documents/cmm4yurc104e8cuqw1sywk36x/view","Open PDF")</f>
        <v/>
      </c>
      <c r="G424" t="inlineStr">
        <is>
          <t>cmm55w57p0004cuisfrtpqly8</t>
        </is>
      </c>
      <c r="H424" t="inlineStr">
        <is>
          <t>Informationskrav</t>
        </is>
      </c>
      <c r="I424" t="inlineStr">
        <is>
          <t>LagringsvolymTid</t>
        </is>
      </c>
      <c r="J424" t="inlineStr">
        <is>
          <t>Maxmangd</t>
        </is>
      </c>
      <c r="K424" t="inlineStr">
        <is>
          <t>Råvaran/produktens namn Mängd/år Andvändningsområde Köldmedia 20 liter Verksamheternas kyl-frysskåp som ej längre behövs eller är kasserade Ange hur kemiska produkter kommer att lagras och hanteras.</t>
        </is>
      </c>
      <c r="L424" t="inlineStr">
        <is>
          <t>Råvaran/produktens namn Mängd/år Andvändningsområde Köldmedia 20 liter Verksamheternas kyl-frysskåp som ej längre behövs eller är kasserade Ange hur kemiska produkter kommer att lagras och hanteras.</t>
        </is>
      </c>
      <c r="M424" t="inlineStr">
        <is>
          <t>SKA</t>
        </is>
      </c>
      <c r="N424" t="inlineStr"/>
      <c r="O424" t="inlineStr"/>
      <c r="P424" t="inlineStr"/>
      <c r="Q424" t="inlineStr"/>
      <c r="R424" t="inlineStr">
        <is>
          <t>Alltid</t>
        </is>
      </c>
      <c r="S424" t="inlineStr"/>
      <c r="T424" t="inlineStr"/>
      <c r="U424" t="inlineStr"/>
      <c r="V424" t="inlineStr"/>
      <c r="W424" t="inlineStr">
        <is>
          <t>Nej</t>
        </is>
      </c>
      <c r="X424" t="inlineStr">
        <is>
          <t>Nej</t>
        </is>
      </c>
      <c r="Y424" t="inlineStr">
        <is>
          <t>Nej</t>
        </is>
      </c>
      <c r="Z424" t="inlineStr">
        <is>
          <t>Nej</t>
        </is>
      </c>
      <c r="AA424" t="n">
        <v>4</v>
      </c>
      <c r="AB424" t="inlineStr">
        <is>
          <t>Avfallsmangder och lagringstid</t>
        </is>
      </c>
      <c r="AC424" t="inlineStr">
        <is>
          <t>Avfallsforteckning</t>
        </is>
      </c>
      <c r="AD424" t="inlineStr">
        <is>
          <t>Nej</t>
        </is>
      </c>
      <c r="AE424" t="inlineStr">
        <is>
          <t>Nej</t>
        </is>
      </c>
      <c r="AF424" t="inlineStr">
        <is>
          <t>Ej behandlad</t>
        </is>
      </c>
      <c r="AG424" t="inlineStr">
        <is>
          <t>AUTO_GENERERAD. Verifiera citat mot kallfil.</t>
        </is>
      </c>
      <c r="AH424" t="inlineStr">
        <is>
          <t>MEDIUM</t>
        </is>
      </c>
      <c r="AI424" t="inlineStr">
        <is>
          <t>AUTO</t>
        </is>
      </c>
      <c r="AJ424" t="inlineStr">
        <is>
          <t>Nej</t>
        </is>
      </c>
      <c r="AK424" t="inlineStr"/>
      <c r="AL424" t="inlineStr"/>
      <c r="AM424" t="inlineStr"/>
      <c r="AN424" t="inlineStr"/>
      <c r="AO424" t="inlineStr">
        <is>
          <t>cmm4yurbv04e2cuqwb1kd6w43</t>
        </is>
      </c>
      <c r="AP424" t="inlineStr">
        <is>
          <t>http://localhost:8787/api/admin/requirements/documents/cmm4yurbv04e2cuqwb1kd6w43/view</t>
        </is>
      </c>
      <c r="AQ424">
        <f>HYPERLÄNK("http://localhost:8787/api/admin/requirements/documents/cmm4yurbv04e2cuqwb1kd6w43/view";"Öppna PDF")</f>
        <v/>
      </c>
      <c r="AR424">
        <f>HYPERLINK("http://localhost:8787/api/admin/requirements/documents/cmm4yurbv04e2cuqwb1kd6w43/view","Open PDF")</f>
        <v/>
      </c>
      <c r="AS424" t="inlineStr">
        <is>
          <t>cmm55w57p0004cuisfrtpqly8</t>
        </is>
      </c>
      <c r="AT424" t="inlineStr">
        <is>
          <t>cmm4xvu980000cuh4vj0usz09</t>
        </is>
      </c>
      <c r="AU424" t="inlineStr"/>
      <c r="AV424" t="inlineStr">
        <is>
          <t>Kommun</t>
        </is>
      </c>
      <c r="AW424" t="inlineStr"/>
      <c r="AX424" t="inlineStr">
        <is>
          <t>2013:251</t>
        </is>
      </c>
      <c r="AY424" t="inlineStr">
        <is>
          <t>Anmalan</t>
        </is>
      </c>
      <c r="AZ424" t="inlineStr">
        <is>
          <t>2026-02-12</t>
        </is>
      </c>
      <c r="BA424" t="inlineStr">
        <is>
          <t>MB-2023-716-6 - Miljöfarlig verksamhet_anmälan.pdf</t>
        </is>
      </c>
      <c r="BB424" t="inlineStr">
        <is>
          <t>Sv:  Begäran om utlämnande av allmän handling – Anmälningar och beslut rörande mellanlagring av avfall samt anläggning av ytor</t>
        </is>
      </c>
      <c r="BC424" t="inlineStr">
        <is>
          <t>AUTO</t>
        </is>
      </c>
      <c r="BD424" t="inlineStr"/>
      <c r="BE424" t="inlineStr"/>
      <c r="BF424" t="inlineStr">
        <is>
          <t>AUTO_GENERERAD. Bekrafta metadata mot kallfil.</t>
        </is>
      </c>
      <c r="BG424">
        <f>HYPERLINK("C:\Users\jimmy\Desktop\Examens arbete\Kod\Ny mapp\remix_-copy-of-miljöbeslut.se-portal\MB-2023-716-6 - Miljöfarlig verksamhet_anmälan.pdf", "Öppna PDF")</f>
        <v/>
      </c>
    </row>
    <row r="425">
      <c r="A425" t="inlineStr">
        <is>
          <t>KRAV-AUTO-000424</t>
        </is>
      </c>
      <c r="B425" t="inlineStr">
        <is>
          <t>ADMIN-INDEX-2026-02-27-00000000125C043F57453246863FE664CAFE6A3F0700950291EA24F0614FB6ACEDB12BF0E31D00000000010C0000950291EA24F0614FB6ACEDB12BF0E31D00002087A5800000</t>
        </is>
      </c>
      <c r="C425" t="inlineStr">
        <is>
          <t>cmm4yurby04e5cuqweqjufp84</t>
        </is>
      </c>
      <c r="D425" t="inlineStr">
        <is>
          <t>http://localhost:8787/api/admin/requirements/documents/cmm4yurby04e5cuqweqjufp84/view</t>
        </is>
      </c>
      <c r="E425">
        <f>HYPERLÄNK("http://localhost:8787/api/admin/requirements/documents/cmm4yurby04e5cuqweqjufp84/view";"Öppna PDF")</f>
        <v/>
      </c>
      <c r="F425">
        <f>HYPERLINK("http://localhost:8787/api/admin/requirements/documents/cmm4yurby04e5cuqweqjufp84/view","Open PDF")</f>
        <v/>
      </c>
      <c r="G425" t="inlineStr">
        <is>
          <t>cmm55w57p0004cuisfrtpqly8</t>
        </is>
      </c>
      <c r="H425" t="inlineStr">
        <is>
          <t>Informationskrav</t>
        </is>
      </c>
      <c r="I425" t="inlineStr">
        <is>
          <t>MiljopaverkanForsiktighet</t>
        </is>
      </c>
      <c r="J425" t="inlineStr">
        <is>
          <t>Skyddsatgarder</t>
        </is>
      </c>
      <c r="K425" t="inlineStr">
        <is>
          <t>Ändringar i verksamheten som berör hanteringen och lagringen av avfall skall anmälas till bygg- och miljönämnden i Kävlinge kommun.</t>
        </is>
      </c>
      <c r="L425" t="inlineStr">
        <is>
          <t>Ändringar i verksamheten som berör hanteringen och lagringen av avfall skall anmälas till bygg- och miljönämnden i Kävlinge kommun.</t>
        </is>
      </c>
      <c r="M425" t="inlineStr">
        <is>
          <t>SKA</t>
        </is>
      </c>
      <c r="N425" t="inlineStr"/>
      <c r="O425" t="inlineStr"/>
      <c r="P425" t="inlineStr"/>
      <c r="Q425" t="inlineStr"/>
      <c r="R425" t="inlineStr">
        <is>
          <t>Alltid</t>
        </is>
      </c>
      <c r="S425" t="inlineStr"/>
      <c r="T425" t="inlineStr">
        <is>
          <t>556532</t>
        </is>
      </c>
      <c r="U425" t="inlineStr"/>
      <c r="V425" t="inlineStr"/>
      <c r="W425" t="inlineStr">
        <is>
          <t>Nej</t>
        </is>
      </c>
      <c r="X425" t="inlineStr">
        <is>
          <t>Nej</t>
        </is>
      </c>
      <c r="Y425" t="inlineStr">
        <is>
          <t>Nej</t>
        </is>
      </c>
      <c r="Z425" t="inlineStr">
        <is>
          <t>Nej</t>
        </is>
      </c>
      <c r="AA425" t="n">
        <v>10</v>
      </c>
      <c r="AB425" t="inlineStr">
        <is>
          <t>Miljopaverkan och forsiktighetsmatt</t>
        </is>
      </c>
      <c r="AC425" t="inlineStr">
        <is>
          <t>Miljo-PM</t>
        </is>
      </c>
      <c r="AD425" t="inlineStr">
        <is>
          <t>Nej</t>
        </is>
      </c>
      <c r="AE425" t="inlineStr">
        <is>
          <t>Nej</t>
        </is>
      </c>
      <c r="AF425" t="inlineStr">
        <is>
          <t>Ej behandlad</t>
        </is>
      </c>
      <c r="AG425" t="inlineStr">
        <is>
          <t>AUTO_GENERERAD. Verifiera citat mot kallfil.</t>
        </is>
      </c>
      <c r="AH425" t="inlineStr">
        <is>
          <t>MEDIUM</t>
        </is>
      </c>
      <c r="AI425" t="inlineStr">
        <is>
          <t>AUTO</t>
        </is>
      </c>
      <c r="AJ425" t="inlineStr">
        <is>
          <t>Nej</t>
        </is>
      </c>
      <c r="AK425" t="inlineStr"/>
      <c r="AL425" t="inlineStr"/>
      <c r="AM425" t="inlineStr"/>
      <c r="AN425" t="inlineStr"/>
      <c r="AO425" t="inlineStr">
        <is>
          <t>cmm4yurbv04e2cuqwb1kd6w43</t>
        </is>
      </c>
      <c r="AP425" t="inlineStr">
        <is>
          <t>http://localhost:8787/api/admin/requirements/documents/cmm4yurbv04e2cuqwb1kd6w43/view</t>
        </is>
      </c>
      <c r="AQ425">
        <f>HYPERLÄNK("http://localhost:8787/api/admin/requirements/documents/cmm4yurbv04e2cuqwb1kd6w43/view";"Öppna PDF")</f>
        <v/>
      </c>
      <c r="AR425">
        <f>HYPERLINK("http://localhost:8787/api/admin/requirements/documents/cmm4yurbv04e2cuqwb1kd6w43/view","Open PDF")</f>
        <v/>
      </c>
      <c r="AS425" t="inlineStr">
        <is>
          <t>cmm55w57p0004cuisfrtpqly8</t>
        </is>
      </c>
      <c r="AT425" t="inlineStr">
        <is>
          <t>cmm4xvu980000cuh4vj0usz09</t>
        </is>
      </c>
      <c r="AU425" t="inlineStr"/>
      <c r="AV425" t="inlineStr">
        <is>
          <t>Kommun</t>
        </is>
      </c>
      <c r="AW425" t="inlineStr"/>
      <c r="AX425" t="inlineStr">
        <is>
          <t>2013:251</t>
        </is>
      </c>
      <c r="AY425" t="inlineStr">
        <is>
          <t>Anmalan</t>
        </is>
      </c>
      <c r="AZ425" t="inlineStr">
        <is>
          <t>2026-02-12</t>
        </is>
      </c>
      <c r="BA425" t="inlineStr">
        <is>
          <t>MB-2023-716-6 - Miljöfarlig verksamhet_anmälan.pdf</t>
        </is>
      </c>
      <c r="BB425" t="inlineStr">
        <is>
          <t>Sv:  Begäran om utlämnande av allmän handling – Anmälningar och beslut rörande mellanlagring av avfall samt anläggning av ytor</t>
        </is>
      </c>
      <c r="BC425" t="inlineStr">
        <is>
          <t>AUTO</t>
        </is>
      </c>
      <c r="BD425" t="inlineStr"/>
      <c r="BE425" t="inlineStr"/>
      <c r="BF425" t="inlineStr">
        <is>
          <t>AUTO_GENERERAD. Bekrafta metadata mot kallfil.</t>
        </is>
      </c>
      <c r="BG425">
        <f>HYPERLINK("C:\Users\jimmy\Desktop\Examens arbete\Kod\Ny mapp\remix_-copy-of-miljöbeslut.se-portal\MB-2023-716-6 - Miljöfarlig verksamhet_anmälan.pdf", "Öppna PDF")</f>
        <v/>
      </c>
    </row>
    <row r="426">
      <c r="A426" t="inlineStr">
        <is>
          <t>KRAV-AUTO-000425</t>
        </is>
      </c>
      <c r="B426" t="inlineStr">
        <is>
          <t>ADMIN-INDEX-2026-02-27-00000000125C043F57453246863FE664CAFE6A3F0700950291EA24F0614FB6ACEDB12BF0E31D00000000010C0000950291EA24F0614FB6ACEDB12BF0E31D00002087A5800000</t>
        </is>
      </c>
      <c r="C426" t="inlineStr">
        <is>
          <t>cmm4yurby04e5cuqweqjufp84</t>
        </is>
      </c>
      <c r="D426" t="inlineStr">
        <is>
          <t>http://localhost:8787/api/admin/requirements/documents/cmm4yurby04e5cuqweqjufp84/view</t>
        </is>
      </c>
      <c r="E426">
        <f>HYPERLÄNK("http://localhost:8787/api/admin/requirements/documents/cmm4yurby04e5cuqweqjufp84/view";"Öppna PDF")</f>
        <v/>
      </c>
      <c r="F426">
        <f>HYPERLINK("http://localhost:8787/api/admin/requirements/documents/cmm4yurby04e5cuqweqjufp84/view","Open PDF")</f>
        <v/>
      </c>
      <c r="G426" t="inlineStr">
        <is>
          <t>cmm55w57p0004cuisfrtpqly8</t>
        </is>
      </c>
      <c r="H426" t="inlineStr">
        <is>
          <t>Informationskrav</t>
        </is>
      </c>
      <c r="I426" t="inlineStr">
        <is>
          <t>Riskhantering</t>
        </is>
      </c>
      <c r="J426" t="inlineStr">
        <is>
          <t>Riskkontroll</t>
        </is>
      </c>
      <c r="K426" t="inlineStr">
        <is>
          <t>6§ Verksamhetsutövaren skall fortlöpande och systematiskt undersöka och bedöma riskerna med verksamheten från hälso- och miljösynpunkt.</t>
        </is>
      </c>
      <c r="L426" t="inlineStr">
        <is>
          <t>6§ Verksamhetsutövaren skall fortlöpande och systematiskt undersöka och bedöma riskerna med verksamheten från hälso- och miljösynpunkt.</t>
        </is>
      </c>
      <c r="M426" t="inlineStr">
        <is>
          <t>SKA</t>
        </is>
      </c>
      <c r="N426" t="inlineStr"/>
      <c r="O426" t="inlineStr"/>
      <c r="P426" t="inlineStr">
        <is>
          <t>Lopande</t>
        </is>
      </c>
      <c r="Q426" t="inlineStr"/>
      <c r="R426" t="inlineStr">
        <is>
          <t>Vid risk for incident</t>
        </is>
      </c>
      <c r="S426" t="inlineStr"/>
      <c r="T426" t="inlineStr">
        <is>
          <t>556532</t>
        </is>
      </c>
      <c r="U426" t="inlineStr"/>
      <c r="V426" t="inlineStr"/>
      <c r="W426" t="inlineStr">
        <is>
          <t>Nej</t>
        </is>
      </c>
      <c r="X426" t="inlineStr">
        <is>
          <t>Nej</t>
        </is>
      </c>
      <c r="Y426" t="inlineStr">
        <is>
          <t>Ja</t>
        </is>
      </c>
      <c r="Z426" t="inlineStr">
        <is>
          <t>Ja</t>
        </is>
      </c>
      <c r="AA426" t="n">
        <v>8</v>
      </c>
      <c r="AB426" t="inlineStr">
        <is>
          <t>Riskhantering</t>
        </is>
      </c>
      <c r="AC426" t="inlineStr">
        <is>
          <t>Risk-PM</t>
        </is>
      </c>
      <c r="AD426" t="inlineStr">
        <is>
          <t>Nej</t>
        </is>
      </c>
      <c r="AE426" t="inlineStr">
        <is>
          <t>Nej</t>
        </is>
      </c>
      <c r="AF426" t="inlineStr">
        <is>
          <t>Ej behandlad</t>
        </is>
      </c>
      <c r="AG426" t="inlineStr">
        <is>
          <t>AUTO_GENERERAD. Verifiera citat mot kallfil.</t>
        </is>
      </c>
      <c r="AH426" t="inlineStr">
        <is>
          <t>MEDIUM</t>
        </is>
      </c>
      <c r="AI426" t="inlineStr">
        <is>
          <t>AUTO</t>
        </is>
      </c>
      <c r="AJ426" t="inlineStr">
        <is>
          <t>Nej</t>
        </is>
      </c>
      <c r="AK426" t="inlineStr"/>
      <c r="AL426" t="inlineStr"/>
      <c r="AM426" t="inlineStr"/>
      <c r="AN426" t="inlineStr"/>
      <c r="AO426" t="inlineStr">
        <is>
          <t>cmm4yurbv04e2cuqwb1kd6w43</t>
        </is>
      </c>
      <c r="AP426" t="inlineStr">
        <is>
          <t>http://localhost:8787/api/admin/requirements/documents/cmm4yurbv04e2cuqwb1kd6w43/view</t>
        </is>
      </c>
      <c r="AQ426">
        <f>HYPERLÄNK("http://localhost:8787/api/admin/requirements/documents/cmm4yurbv04e2cuqwb1kd6w43/view";"Öppna PDF")</f>
        <v/>
      </c>
      <c r="AR426">
        <f>HYPERLINK("http://localhost:8787/api/admin/requirements/documents/cmm4yurbv04e2cuqwb1kd6w43/view","Open PDF")</f>
        <v/>
      </c>
      <c r="AS426" t="inlineStr">
        <is>
          <t>cmm55w57p0004cuisfrtpqly8</t>
        </is>
      </c>
      <c r="AT426" t="inlineStr">
        <is>
          <t>cmm4xvu980000cuh4vj0usz09</t>
        </is>
      </c>
      <c r="AU426" t="inlineStr"/>
      <c r="AV426" t="inlineStr">
        <is>
          <t>Kommun</t>
        </is>
      </c>
      <c r="AW426" t="inlineStr"/>
      <c r="AX426" t="inlineStr">
        <is>
          <t>2013:251</t>
        </is>
      </c>
      <c r="AY426" t="inlineStr">
        <is>
          <t>Anmalan</t>
        </is>
      </c>
      <c r="AZ426" t="inlineStr">
        <is>
          <t>2026-02-12</t>
        </is>
      </c>
      <c r="BA426" t="inlineStr">
        <is>
          <t>MB-2023-716-6 - Miljöfarlig verksamhet_anmälan.pdf</t>
        </is>
      </c>
      <c r="BB426" t="inlineStr">
        <is>
          <t>Sv:  Begäran om utlämnande av allmän handling – Anmälningar och beslut rörande mellanlagring av avfall samt anläggning av ytor</t>
        </is>
      </c>
      <c r="BC426" t="inlineStr">
        <is>
          <t>AUTO</t>
        </is>
      </c>
      <c r="BD426" t="inlineStr"/>
      <c r="BE426" t="inlineStr"/>
      <c r="BF426" t="inlineStr">
        <is>
          <t>AUTO_GENERERAD. Bekrafta metadata mot kallfil.</t>
        </is>
      </c>
      <c r="BG426">
        <f>HYPERLINK("C:\Users\jimmy\Desktop\Examens arbete\Kod\Ny mapp\remix_-copy-of-miljöbeslut.se-portal\MB-2023-716-6 - Miljöfarlig verksamhet_anmälan.pdf", "Öppna PDF")</f>
        <v/>
      </c>
    </row>
    <row r="427">
      <c r="A427" t="inlineStr">
        <is>
          <t>KRAV-AUTO-000426</t>
        </is>
      </c>
      <c r="B427" t="inlineStr">
        <is>
          <t>ADMIN-INDEX-2026-02-27-00000000125C043F57453246863FE664CAFE6A3F0700950291EA24F0614FB6ACEDB12BF0E31D00000000010C0000950291EA24F0614FB6ACEDB12BF0E31D00002087A5800000</t>
        </is>
      </c>
      <c r="C427" t="inlineStr">
        <is>
          <t>cmm4yurby04e5cuqweqjufp84</t>
        </is>
      </c>
      <c r="D427" t="inlineStr">
        <is>
          <t>http://localhost:8787/api/admin/requirements/documents/cmm4yurby04e5cuqweqjufp84/view</t>
        </is>
      </c>
      <c r="E427">
        <f>HYPERLÄNK("http://localhost:8787/api/admin/requirements/documents/cmm4yurby04e5cuqweqjufp84/view";"Öppna PDF")</f>
        <v/>
      </c>
      <c r="F427">
        <f>HYPERLINK("http://localhost:8787/api/admin/requirements/documents/cmm4yurby04e5cuqweqjufp84/view","Open PDF")</f>
        <v/>
      </c>
      <c r="G427" t="inlineStr">
        <is>
          <t>cmm55w57p0004cuisfrtpqly8</t>
        </is>
      </c>
      <c r="H427" t="inlineStr">
        <is>
          <t>Informationskrav</t>
        </is>
      </c>
      <c r="I427" t="inlineStr">
        <is>
          <t>Riskhantering</t>
        </is>
      </c>
      <c r="J427" t="inlineStr">
        <is>
          <t>Riskkontroll</t>
        </is>
      </c>
      <c r="K427" t="inlineStr">
        <is>
          <t>4§ För varje verksamhet skall finnas en fastställd och dokumenterad fördelning av det organisatoriska ansvaret för de frågor som gäller för verksamheten enligt 1.</t>
        </is>
      </c>
      <c r="L427" t="inlineStr">
        <is>
          <t>4§ För varje verksamhet skall finnas en fastställd och dokumenterad fördelning av det organisatoriska ansvaret för de frågor som gäller för verksamheten enligt 1.</t>
        </is>
      </c>
      <c r="M427" t="inlineStr">
        <is>
          <t>SKA</t>
        </is>
      </c>
      <c r="N427" t="inlineStr"/>
      <c r="O427" t="inlineStr"/>
      <c r="P427" t="inlineStr"/>
      <c r="Q427" t="inlineStr"/>
      <c r="R427" t="inlineStr">
        <is>
          <t>Vid risk for incident</t>
        </is>
      </c>
      <c r="S427" t="inlineStr"/>
      <c r="T427" t="inlineStr">
        <is>
          <t>556532</t>
        </is>
      </c>
      <c r="U427" t="inlineStr"/>
      <c r="V427" t="inlineStr"/>
      <c r="W427" t="inlineStr">
        <is>
          <t>Nej</t>
        </is>
      </c>
      <c r="X427" t="inlineStr">
        <is>
          <t>Nej</t>
        </is>
      </c>
      <c r="Y427" t="inlineStr">
        <is>
          <t>Ja</t>
        </is>
      </c>
      <c r="Z427" t="inlineStr">
        <is>
          <t>Ja</t>
        </is>
      </c>
      <c r="AA427" t="n">
        <v>8</v>
      </c>
      <c r="AB427" t="inlineStr">
        <is>
          <t>Riskhantering</t>
        </is>
      </c>
      <c r="AC427" t="inlineStr">
        <is>
          <t>Risk-PM</t>
        </is>
      </c>
      <c r="AD427" t="inlineStr">
        <is>
          <t>Nej</t>
        </is>
      </c>
      <c r="AE427" t="inlineStr">
        <is>
          <t>Nej</t>
        </is>
      </c>
      <c r="AF427" t="inlineStr">
        <is>
          <t>Ej behandlad</t>
        </is>
      </c>
      <c r="AG427" t="inlineStr">
        <is>
          <t>AUTO_GENERERAD. Verifiera citat mot kallfil.</t>
        </is>
      </c>
      <c r="AH427" t="inlineStr">
        <is>
          <t>MEDIUM</t>
        </is>
      </c>
      <c r="AI427" t="inlineStr">
        <is>
          <t>AUTO</t>
        </is>
      </c>
      <c r="AJ427" t="inlineStr">
        <is>
          <t>Nej</t>
        </is>
      </c>
      <c r="AK427" t="inlineStr"/>
      <c r="AL427" t="inlineStr"/>
      <c r="AM427" t="inlineStr"/>
      <c r="AN427" t="inlineStr"/>
      <c r="AO427" t="inlineStr">
        <is>
          <t>cmm4yurbv04e2cuqwb1kd6w43</t>
        </is>
      </c>
      <c r="AP427" t="inlineStr">
        <is>
          <t>http://localhost:8787/api/admin/requirements/documents/cmm4yurbv04e2cuqwb1kd6w43/view</t>
        </is>
      </c>
      <c r="AQ427">
        <f>HYPERLÄNK("http://localhost:8787/api/admin/requirements/documents/cmm4yurbv04e2cuqwb1kd6w43/view";"Öppna PDF")</f>
        <v/>
      </c>
      <c r="AR427">
        <f>HYPERLINK("http://localhost:8787/api/admin/requirements/documents/cmm4yurbv04e2cuqwb1kd6w43/view","Open PDF")</f>
        <v/>
      </c>
      <c r="AS427" t="inlineStr">
        <is>
          <t>cmm55w57p0004cuisfrtpqly8</t>
        </is>
      </c>
      <c r="AT427" t="inlineStr">
        <is>
          <t>cmm4xvu980000cuh4vj0usz09</t>
        </is>
      </c>
      <c r="AU427" t="inlineStr"/>
      <c r="AV427" t="inlineStr">
        <is>
          <t>Kommun</t>
        </is>
      </c>
      <c r="AW427" t="inlineStr"/>
      <c r="AX427" t="inlineStr">
        <is>
          <t>2013:251</t>
        </is>
      </c>
      <c r="AY427" t="inlineStr">
        <is>
          <t>Anmalan</t>
        </is>
      </c>
      <c r="AZ427" t="inlineStr">
        <is>
          <t>2026-02-12</t>
        </is>
      </c>
      <c r="BA427" t="inlineStr">
        <is>
          <t>MB-2023-716-6 - Miljöfarlig verksamhet_anmälan.pdf</t>
        </is>
      </c>
      <c r="BB427" t="inlineStr">
        <is>
          <t>Sv:  Begäran om utlämnande av allmän handling – Anmälningar och beslut rörande mellanlagring av avfall samt anläggning av ytor</t>
        </is>
      </c>
      <c r="BC427" t="inlineStr">
        <is>
          <t>AUTO</t>
        </is>
      </c>
      <c r="BD427" t="inlineStr"/>
      <c r="BE427" t="inlineStr"/>
      <c r="BF427" t="inlineStr">
        <is>
          <t>AUTO_GENERERAD. Bekrafta metadata mot kallfil.</t>
        </is>
      </c>
      <c r="BG427">
        <f>HYPERLINK("C:\Users\jimmy\Desktop\Examens arbete\Kod\Ny mapp\remix_-copy-of-miljöbeslut.se-portal\MB-2023-716-6 - Miljöfarlig verksamhet_anmälan.pdf", "Öppna PDF")</f>
        <v/>
      </c>
    </row>
    <row r="428">
      <c r="A428" t="inlineStr">
        <is>
          <t>KRAV-AUTO-000427</t>
        </is>
      </c>
      <c r="B428" t="inlineStr">
        <is>
          <t>ADMIN-INDEX-2026-02-27-00000000125C043F57453246863FE664CAFE6A3F0700950291EA24F0614FB6ACEDB12BF0E31D00000000010C0000950291EA24F0614FB6ACEDB12BF0E31D00002087A5860000</t>
        </is>
      </c>
      <c r="C428" t="inlineStr">
        <is>
          <t>cmm4yurbn04dtcuqw3ufu813o</t>
        </is>
      </c>
      <c r="D428" t="inlineStr">
        <is>
          <t>http://localhost:8787/api/admin/requirements/documents/cmm4yurbn04dtcuqw3ufu813o/view</t>
        </is>
      </c>
      <c r="E428">
        <f>HYPERLÄNK("http://localhost:8787/api/admin/requirements/documents/cmm4yurbn04dtcuqw3ufu813o/view";"Öppna PDF")</f>
        <v/>
      </c>
      <c r="F428">
        <f>HYPERLINK("http://localhost:8787/api/admin/requirements/documents/cmm4yurbn04dtcuqw3ufu813o/view","Open PDF")</f>
        <v/>
      </c>
      <c r="G428" t="inlineStr">
        <is>
          <t>cmm55w57p0004cuisfrtpqly8</t>
        </is>
      </c>
      <c r="H428" t="inlineStr">
        <is>
          <t>Beslutsvillkor</t>
        </is>
      </c>
      <c r="I428" t="inlineStr">
        <is>
          <t>DagvattenLakvatten</t>
        </is>
      </c>
      <c r="J428" t="inlineStr">
        <is>
          <t>Uppsamling</t>
        </is>
      </c>
      <c r="K428" t="inlineStr">
        <is>
          <t>Absorptionsmedel och tätningslock till dagvattenbrunnar ska finnas där hantering av farligt avfall och kemiska produkter sker.</t>
        </is>
      </c>
      <c r="L428" t="inlineStr">
        <is>
          <t>Absorptionsmedel och tätningslock till dagvattenbrunnar ska finnas där hantering av farligt avfall och kemiska produkter sker.</t>
        </is>
      </c>
      <c r="M428" t="inlineStr">
        <is>
          <t>SKA</t>
        </is>
      </c>
      <c r="N428" t="inlineStr"/>
      <c r="O428" t="inlineStr"/>
      <c r="P428" t="inlineStr">
        <is>
          <t>Arlig</t>
        </is>
      </c>
      <c r="Q428" t="inlineStr"/>
      <c r="R428" t="inlineStr">
        <is>
          <t>Vid nederbord och avrinning</t>
        </is>
      </c>
      <c r="S428" t="inlineStr"/>
      <c r="T428" t="inlineStr">
        <is>
          <t>212000</t>
        </is>
      </c>
      <c r="U428" t="inlineStr"/>
      <c r="V428" t="inlineStr"/>
      <c r="W428" t="inlineStr">
        <is>
          <t>Nej</t>
        </is>
      </c>
      <c r="X428" t="inlineStr">
        <is>
          <t>Ja</t>
        </is>
      </c>
      <c r="Y428" t="inlineStr">
        <is>
          <t>Ja</t>
        </is>
      </c>
      <c r="Z428" t="inlineStr">
        <is>
          <t>Nej</t>
        </is>
      </c>
      <c r="AA428" t="n">
        <v>6</v>
      </c>
      <c r="AB428" t="inlineStr">
        <is>
          <t>Lakvattenhantering</t>
        </is>
      </c>
      <c r="AC428" t="inlineStr">
        <is>
          <t>Flodesschema dagvatten-lakvatten</t>
        </is>
      </c>
      <c r="AD428" t="inlineStr">
        <is>
          <t>Nej</t>
        </is>
      </c>
      <c r="AE428" t="inlineStr">
        <is>
          <t>Nej</t>
        </is>
      </c>
      <c r="AF428" t="inlineStr">
        <is>
          <t>Ej behandlad</t>
        </is>
      </c>
      <c r="AG428" t="inlineStr">
        <is>
          <t>AUTO_GENERERAD. Verifiera citat mot kallfil.</t>
        </is>
      </c>
      <c r="AH428" t="inlineStr">
        <is>
          <t>MEDIUM</t>
        </is>
      </c>
      <c r="AI428" t="inlineStr">
        <is>
          <t>AUTO</t>
        </is>
      </c>
      <c r="AJ428" t="inlineStr">
        <is>
          <t>Nej</t>
        </is>
      </c>
      <c r="AK428" t="inlineStr"/>
      <c r="AL428" t="inlineStr"/>
      <c r="AM428" t="inlineStr"/>
      <c r="AN428" t="inlineStr"/>
      <c r="AO428" t="inlineStr">
        <is>
          <t>cmm4yurb604dbcuqwpk6azwk6</t>
        </is>
      </c>
      <c r="AP428" t="inlineStr">
        <is>
          <t>http://localhost:8787/api/admin/requirements/documents/cmm4yurb604dbcuqwpk6azwk6/view</t>
        </is>
      </c>
      <c r="AQ428">
        <f>HYPERLÄNK("http://localhost:8787/api/admin/requirements/documents/cmm4yurb604dbcuqwpk6azwk6/view";"Öppna PDF")</f>
        <v/>
      </c>
      <c r="AR428">
        <f>HYPERLINK("http://localhost:8787/api/admin/requirements/documents/cmm4yurb604dbcuqwpk6azwk6/view","Open PDF")</f>
        <v/>
      </c>
      <c r="AS428" t="inlineStr">
        <is>
          <t>cmm55w57p0004cuisfrtpqly8</t>
        </is>
      </c>
      <c r="AT428" t="inlineStr">
        <is>
          <t>cmm4xvu980000cuh4vj0usz09</t>
        </is>
      </c>
      <c r="AU428" t="inlineStr"/>
      <c r="AV428" t="inlineStr">
        <is>
          <t>Kommun</t>
        </is>
      </c>
      <c r="AW428" t="inlineStr"/>
      <c r="AX428" t="inlineStr">
        <is>
          <t>0472-150</t>
        </is>
      </c>
      <c r="AY428" t="inlineStr">
        <is>
          <t>Beslut</t>
        </is>
      </c>
      <c r="AZ428" t="inlineStr">
        <is>
          <t>2026-02-11</t>
        </is>
      </c>
      <c r="BA428" t="inlineStr">
        <is>
          <t>2024.1848..pdf</t>
        </is>
      </c>
      <c r="BB428" t="inlineStr">
        <is>
          <t>Handlingar</t>
        </is>
      </c>
      <c r="BC428" t="inlineStr">
        <is>
          <t>AUTO</t>
        </is>
      </c>
      <c r="BD428" t="inlineStr"/>
      <c r="BE428" t="inlineStr"/>
      <c r="BF428" t="inlineStr">
        <is>
          <t>AUTO_GENERERAD. Bekrafta metadata mot kallfil.</t>
        </is>
      </c>
      <c r="BG428">
        <f>HYPERLINK("C:\Users\jimmy\Desktop\Examens arbete\Kod\Ny mapp\remix_-copy-of-miljöbeslut.se-portal\2024.1848..pdf", "Öppna PDF")</f>
        <v/>
      </c>
    </row>
    <row r="429">
      <c r="A429" t="inlineStr">
        <is>
          <t>KRAV-AUTO-000428</t>
        </is>
      </c>
      <c r="B429" t="inlineStr">
        <is>
          <t>ADMIN-INDEX-2026-02-27-00000000125C043F57453246863FE664CAFE6A3F0700950291EA24F0614FB6ACEDB12BF0E31D00000000010C0000950291EA24F0614FB6ACEDB12BF0E31D00002087A5860000</t>
        </is>
      </c>
      <c r="C429" t="inlineStr">
        <is>
          <t>cmm4yurbn04dtcuqw3ufu813o</t>
        </is>
      </c>
      <c r="D429" t="inlineStr">
        <is>
          <t>http://localhost:8787/api/admin/requirements/documents/cmm4yurbn04dtcuqw3ufu813o/view</t>
        </is>
      </c>
      <c r="E429">
        <f>HYPERLÄNK("http://localhost:8787/api/admin/requirements/documents/cmm4yurbn04dtcuqw3ufu813o/view";"Öppna PDF")</f>
        <v/>
      </c>
      <c r="F429">
        <f>HYPERLINK("http://localhost:8787/api/admin/requirements/documents/cmm4yurbn04dtcuqw3ufu813o/view","Open PDF")</f>
        <v/>
      </c>
      <c r="G429" t="inlineStr">
        <is>
          <t>cmm55w57p0004cuisfrtpqly8</t>
        </is>
      </c>
      <c r="H429" t="inlineStr">
        <is>
          <t>Beslutsvillkor</t>
        </is>
      </c>
      <c r="I429" t="inlineStr">
        <is>
          <t>MiljopaverkanForsiktighet</t>
        </is>
      </c>
      <c r="J429" t="inlineStr">
        <is>
          <t>Skyddsatgarder</t>
        </is>
      </c>
      <c r="K429" t="inlineStr">
        <is>
          <t>Avfall ska källsorteras.</t>
        </is>
      </c>
      <c r="L429" t="inlineStr">
        <is>
          <t>Avfall ska källsorteras.</t>
        </is>
      </c>
      <c r="M429" t="inlineStr">
        <is>
          <t>SKA</t>
        </is>
      </c>
      <c r="N429" t="inlineStr"/>
      <c r="O429" t="inlineStr"/>
      <c r="P429" t="inlineStr"/>
      <c r="Q429" t="inlineStr"/>
      <c r="R429" t="inlineStr">
        <is>
          <t>Alltid</t>
        </is>
      </c>
      <c r="S429" t="inlineStr"/>
      <c r="T429" t="inlineStr">
        <is>
          <t>212000</t>
        </is>
      </c>
      <c r="U429" t="inlineStr"/>
      <c r="V429" t="inlineStr"/>
      <c r="W429" t="inlineStr">
        <is>
          <t>Nej</t>
        </is>
      </c>
      <c r="X429" t="inlineStr">
        <is>
          <t>Nej</t>
        </is>
      </c>
      <c r="Y429" t="inlineStr">
        <is>
          <t>Nej</t>
        </is>
      </c>
      <c r="Z429" t="inlineStr">
        <is>
          <t>Nej</t>
        </is>
      </c>
      <c r="AA429" t="n">
        <v>10</v>
      </c>
      <c r="AB429" t="inlineStr">
        <is>
          <t>Miljopaverkan och forsiktighetsmatt</t>
        </is>
      </c>
      <c r="AC429" t="inlineStr">
        <is>
          <t>Miljo-PM</t>
        </is>
      </c>
      <c r="AD429" t="inlineStr">
        <is>
          <t>Nej</t>
        </is>
      </c>
      <c r="AE429" t="inlineStr">
        <is>
          <t>Nej</t>
        </is>
      </c>
      <c r="AF429" t="inlineStr">
        <is>
          <t>Ej behandlad</t>
        </is>
      </c>
      <c r="AG429" t="inlineStr">
        <is>
          <t>AUTO_GENERERAD. Verifiera citat mot kallfil.</t>
        </is>
      </c>
      <c r="AH429" t="inlineStr">
        <is>
          <t>LOW</t>
        </is>
      </c>
      <c r="AI429" t="inlineStr">
        <is>
          <t>AUTO</t>
        </is>
      </c>
      <c r="AJ429" t="inlineStr">
        <is>
          <t>Nej</t>
        </is>
      </c>
      <c r="AK429" t="inlineStr"/>
      <c r="AL429" t="inlineStr"/>
      <c r="AM429" t="inlineStr"/>
      <c r="AN429" t="inlineStr"/>
      <c r="AO429" t="inlineStr">
        <is>
          <t>cmm4yurb604dbcuqwpk6azwk6</t>
        </is>
      </c>
      <c r="AP429" t="inlineStr">
        <is>
          <t>http://localhost:8787/api/admin/requirements/documents/cmm4yurb604dbcuqwpk6azwk6/view</t>
        </is>
      </c>
      <c r="AQ429">
        <f>HYPERLÄNK("http://localhost:8787/api/admin/requirements/documents/cmm4yurb604dbcuqwpk6azwk6/view";"Öppna PDF")</f>
        <v/>
      </c>
      <c r="AR429">
        <f>HYPERLINK("http://localhost:8787/api/admin/requirements/documents/cmm4yurb604dbcuqwpk6azwk6/view","Open PDF")</f>
        <v/>
      </c>
      <c r="AS429" t="inlineStr">
        <is>
          <t>cmm55w57p0004cuisfrtpqly8</t>
        </is>
      </c>
      <c r="AT429" t="inlineStr">
        <is>
          <t>cmm4xvu980000cuh4vj0usz09</t>
        </is>
      </c>
      <c r="AU429" t="inlineStr"/>
      <c r="AV429" t="inlineStr">
        <is>
          <t>Kommun</t>
        </is>
      </c>
      <c r="AW429" t="inlineStr"/>
      <c r="AX429" t="inlineStr">
        <is>
          <t>0472-150</t>
        </is>
      </c>
      <c r="AY429" t="inlineStr">
        <is>
          <t>Beslut</t>
        </is>
      </c>
      <c r="AZ429" t="inlineStr">
        <is>
          <t>2026-02-11</t>
        </is>
      </c>
      <c r="BA429" t="inlineStr">
        <is>
          <t>2024.1848..pdf</t>
        </is>
      </c>
      <c r="BB429" t="inlineStr">
        <is>
          <t>Handlingar</t>
        </is>
      </c>
      <c r="BC429" t="inlineStr">
        <is>
          <t>AUTO</t>
        </is>
      </c>
      <c r="BD429" t="inlineStr"/>
      <c r="BE429" t="inlineStr"/>
      <c r="BF429" t="inlineStr">
        <is>
          <t>AUTO_GENERERAD. Bekrafta metadata mot kallfil.</t>
        </is>
      </c>
      <c r="BG429">
        <f>HYPERLINK("C:\Users\jimmy\Desktop\Examens arbete\Kod\Ny mapp\remix_-copy-of-miljöbeslut.se-portal\2024.1848..pdf", "Öppna PDF")</f>
        <v/>
      </c>
    </row>
    <row r="430">
      <c r="A430" t="inlineStr">
        <is>
          <t>KRAV-AUTO-000429</t>
        </is>
      </c>
      <c r="B430" t="inlineStr">
        <is>
          <t>ADMIN-INDEX-2026-02-27-00000000125C043F57453246863FE664CAFE6A3F0700950291EA24F0614FB6ACEDB12BF0E31D00000000010C0000950291EA24F0614FB6ACEDB12BF0E31D00002087A5860000</t>
        </is>
      </c>
      <c r="C430" t="inlineStr">
        <is>
          <t>cmm4yurbn04dtcuqw3ufu813o</t>
        </is>
      </c>
      <c r="D430" t="inlineStr">
        <is>
          <t>http://localhost:8787/api/admin/requirements/documents/cmm4yurbn04dtcuqw3ufu813o/view</t>
        </is>
      </c>
      <c r="E430">
        <f>HYPERLÄNK("http://localhost:8787/api/admin/requirements/documents/cmm4yurbn04dtcuqw3ufu813o/view";"Öppna PDF")</f>
        <v/>
      </c>
      <c r="F430">
        <f>HYPERLINK("http://localhost:8787/api/admin/requirements/documents/cmm4yurbn04dtcuqw3ufu813o/view","Open PDF")</f>
        <v/>
      </c>
      <c r="G430" t="inlineStr">
        <is>
          <t>cmm55w57p0004cuisfrtpqly8</t>
        </is>
      </c>
      <c r="H430" t="inlineStr">
        <is>
          <t>Beslutsvillkor</t>
        </is>
      </c>
      <c r="I430" t="inlineStr">
        <is>
          <t>MiljopaverkanForsiktighet</t>
        </is>
      </c>
      <c r="J430" t="inlineStr">
        <is>
          <t>Skyddsatgarder</t>
        </is>
      </c>
      <c r="K430" t="inlineStr">
        <is>
          <t>Övriga upplysningar Avfall från verksamheter ska källsorteras så långt möjligt.</t>
        </is>
      </c>
      <c r="L430" t="inlineStr">
        <is>
          <t>Övriga upplysningar Avfall från verksamheter ska källsorteras så långt möjligt.</t>
        </is>
      </c>
      <c r="M430" t="inlineStr">
        <is>
          <t>SKA</t>
        </is>
      </c>
      <c r="N430" t="inlineStr"/>
      <c r="O430" t="inlineStr"/>
      <c r="P430" t="inlineStr"/>
      <c r="Q430" t="inlineStr"/>
      <c r="R430" t="inlineStr">
        <is>
          <t>Alltid</t>
        </is>
      </c>
      <c r="S430" t="inlineStr"/>
      <c r="T430" t="inlineStr">
        <is>
          <t>212000</t>
        </is>
      </c>
      <c r="U430" t="inlineStr"/>
      <c r="V430" t="inlineStr"/>
      <c r="W430" t="inlineStr">
        <is>
          <t>Nej</t>
        </is>
      </c>
      <c r="X430" t="inlineStr">
        <is>
          <t>Nej</t>
        </is>
      </c>
      <c r="Y430" t="inlineStr">
        <is>
          <t>Nej</t>
        </is>
      </c>
      <c r="Z430" t="inlineStr">
        <is>
          <t>Nej</t>
        </is>
      </c>
      <c r="AA430" t="n">
        <v>10</v>
      </c>
      <c r="AB430" t="inlineStr">
        <is>
          <t>Miljopaverkan och forsiktighetsmatt</t>
        </is>
      </c>
      <c r="AC430" t="inlineStr">
        <is>
          <t>Miljo-PM</t>
        </is>
      </c>
      <c r="AD430" t="inlineStr">
        <is>
          <t>Nej</t>
        </is>
      </c>
      <c r="AE430" t="inlineStr">
        <is>
          <t>Nej</t>
        </is>
      </c>
      <c r="AF430" t="inlineStr">
        <is>
          <t>Ej behandlad</t>
        </is>
      </c>
      <c r="AG430" t="inlineStr">
        <is>
          <t>AUTO_GENERERAD. Verifiera citat mot kallfil.</t>
        </is>
      </c>
      <c r="AH430" t="inlineStr">
        <is>
          <t>MEDIUM</t>
        </is>
      </c>
      <c r="AI430" t="inlineStr">
        <is>
          <t>AUTO</t>
        </is>
      </c>
      <c r="AJ430" t="inlineStr">
        <is>
          <t>Nej</t>
        </is>
      </c>
      <c r="AK430" t="inlineStr"/>
      <c r="AL430" t="inlineStr"/>
      <c r="AM430" t="inlineStr"/>
      <c r="AN430" t="inlineStr"/>
      <c r="AO430" t="inlineStr">
        <is>
          <t>cmm4yurb604dbcuqwpk6azwk6</t>
        </is>
      </c>
      <c r="AP430" t="inlineStr">
        <is>
          <t>http://localhost:8787/api/admin/requirements/documents/cmm4yurb604dbcuqwpk6azwk6/view</t>
        </is>
      </c>
      <c r="AQ430">
        <f>HYPERLÄNK("http://localhost:8787/api/admin/requirements/documents/cmm4yurb604dbcuqwpk6azwk6/view";"Öppna PDF")</f>
        <v/>
      </c>
      <c r="AR430">
        <f>HYPERLINK("http://localhost:8787/api/admin/requirements/documents/cmm4yurb604dbcuqwpk6azwk6/view","Open PDF")</f>
        <v/>
      </c>
      <c r="AS430" t="inlineStr">
        <is>
          <t>cmm55w57p0004cuisfrtpqly8</t>
        </is>
      </c>
      <c r="AT430" t="inlineStr">
        <is>
          <t>cmm4xvu980000cuh4vj0usz09</t>
        </is>
      </c>
      <c r="AU430" t="inlineStr"/>
      <c r="AV430" t="inlineStr">
        <is>
          <t>Kommun</t>
        </is>
      </c>
      <c r="AW430" t="inlineStr"/>
      <c r="AX430" t="inlineStr">
        <is>
          <t>0472-150</t>
        </is>
      </c>
      <c r="AY430" t="inlineStr">
        <is>
          <t>Beslut</t>
        </is>
      </c>
      <c r="AZ430" t="inlineStr">
        <is>
          <t>2026-02-11</t>
        </is>
      </c>
      <c r="BA430" t="inlineStr">
        <is>
          <t>2024.1848..pdf</t>
        </is>
      </c>
      <c r="BB430" t="inlineStr">
        <is>
          <t>Handlingar</t>
        </is>
      </c>
      <c r="BC430" t="inlineStr">
        <is>
          <t>AUTO</t>
        </is>
      </c>
      <c r="BD430" t="inlineStr"/>
      <c r="BE430" t="inlineStr"/>
      <c r="BF430" t="inlineStr">
        <is>
          <t>AUTO_GENERERAD. Bekrafta metadata mot kallfil.</t>
        </is>
      </c>
      <c r="BG430">
        <f>HYPERLINK("C:\Users\jimmy\Desktop\Examens arbete\Kod\Ny mapp\remix_-copy-of-miljöbeslut.se-portal\2024.1848..pdf", "Öppna PDF")</f>
        <v/>
      </c>
    </row>
    <row r="431">
      <c r="A431" t="inlineStr">
        <is>
          <t>KRAV-AUTO-000430</t>
        </is>
      </c>
      <c r="B431" t="inlineStr">
        <is>
          <t>ADMIN-INDEX-2026-02-27-00000000125C043F57453246863FE664CAFE6A3F0700950291EA24F0614FB6ACEDB12BF0E31D00000000010C0000950291EA24F0614FB6ACEDB12BF0E31D00002087A5860000</t>
        </is>
      </c>
      <c r="C431" t="inlineStr">
        <is>
          <t>cmm4yurbl04dqcuqwye3c2z1g</t>
        </is>
      </c>
      <c r="D431" t="inlineStr">
        <is>
          <t>http://localhost:8787/api/admin/requirements/documents/cmm4yurbl04dqcuqwye3c2z1g/view</t>
        </is>
      </c>
      <c r="E431">
        <f>HYPERLÄNK("http://localhost:8787/api/admin/requirements/documents/cmm4yurbl04dqcuqwye3c2z1g/view";"Öppna PDF")</f>
        <v/>
      </c>
      <c r="F431">
        <f>HYPERLINK("http://localhost:8787/api/admin/requirements/documents/cmm4yurbl04dqcuqwye3c2z1g/view","Open PDF")</f>
        <v/>
      </c>
      <c r="G431" t="inlineStr">
        <is>
          <t>cmm55w57p0004cuisfrtpqly8</t>
        </is>
      </c>
      <c r="H431" t="inlineStr">
        <is>
          <t>Beslutsvillkor</t>
        </is>
      </c>
      <c r="I431" t="inlineStr">
        <is>
          <t>DriftEgenkontroll</t>
        </is>
      </c>
      <c r="J431" t="inlineStr">
        <is>
          <t>Journalforing</t>
        </is>
      </c>
      <c r="K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massornas egenskaper.</t>
        </is>
      </c>
      <c r="L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t>
        </is>
      </c>
      <c r="M431" t="inlineStr">
        <is>
          <t>SKA</t>
        </is>
      </c>
      <c r="N431" t="inlineStr"/>
      <c r="O431" t="inlineStr">
        <is>
          <t>2025-03-19</t>
        </is>
      </c>
      <c r="P431" t="inlineStr"/>
      <c r="Q431" t="inlineStr"/>
      <c r="R431" t="inlineStr">
        <is>
          <t>Lopande drift</t>
        </is>
      </c>
      <c r="S431" t="inlineStr"/>
      <c r="T431" t="inlineStr">
        <is>
          <t>559346</t>
        </is>
      </c>
      <c r="U431" t="inlineStr"/>
      <c r="V431" t="inlineStr"/>
      <c r="W431" t="inlineStr">
        <is>
          <t>Nej</t>
        </is>
      </c>
      <c r="X431" t="inlineStr">
        <is>
          <t>Nej</t>
        </is>
      </c>
      <c r="Y431" t="inlineStr">
        <is>
          <t>Ja</t>
        </is>
      </c>
      <c r="Z431" t="inlineStr">
        <is>
          <t>Nej</t>
        </is>
      </c>
      <c r="AA431" t="n">
        <v>7</v>
      </c>
      <c r="AB431" t="inlineStr">
        <is>
          <t>Egenkontrollrutiner</t>
        </is>
      </c>
      <c r="AC431" t="inlineStr">
        <is>
          <t>Egenkontrollprogram</t>
        </is>
      </c>
      <c r="AD431" t="inlineStr">
        <is>
          <t>Nej</t>
        </is>
      </c>
      <c r="AE431" t="inlineStr">
        <is>
          <t>Nej</t>
        </is>
      </c>
      <c r="AF431" t="inlineStr">
        <is>
          <t>Ej behandlad</t>
        </is>
      </c>
      <c r="AG431" t="inlineStr">
        <is>
          <t>AUTO_GENERERAD. Verifiera citat mot kallfil.</t>
        </is>
      </c>
      <c r="AH431" t="inlineStr">
        <is>
          <t>MEDIUM</t>
        </is>
      </c>
      <c r="AI431" t="inlineStr">
        <is>
          <t>AUTO</t>
        </is>
      </c>
      <c r="AJ431" t="inlineStr">
        <is>
          <t>Nej</t>
        </is>
      </c>
      <c r="AK431" t="inlineStr"/>
      <c r="AL431" t="inlineStr"/>
      <c r="AM431" t="inlineStr"/>
      <c r="AN431" t="inlineStr"/>
      <c r="AO431" t="inlineStr">
        <is>
          <t>cmm4yurb604dbcuqwpk6azwk6</t>
        </is>
      </c>
      <c r="AP431" t="inlineStr">
        <is>
          <t>http://localhost:8787/api/admin/requirements/documents/cmm4yurb604dbcuqwpk6azwk6/view</t>
        </is>
      </c>
      <c r="AQ431">
        <f>HYPERLÄNK("http://localhost:8787/api/admin/requirements/documents/cmm4yurb604dbcuqwpk6azwk6/view";"Öppna PDF")</f>
        <v/>
      </c>
      <c r="AR431">
        <f>HYPERLINK("http://localhost:8787/api/admin/requirements/documents/cmm4yurb604dbcuqwpk6azwk6/view","Open PDF")</f>
        <v/>
      </c>
      <c r="AS431" t="inlineStr">
        <is>
          <t>cmm55w57p0004cuisfrtpqly8</t>
        </is>
      </c>
      <c r="AT431" t="inlineStr">
        <is>
          <t>cmm4xvu980000cuh4vj0usz09</t>
        </is>
      </c>
      <c r="AU431" t="inlineStr"/>
      <c r="AV431" t="inlineStr">
        <is>
          <t>Kommun</t>
        </is>
      </c>
      <c r="AW431" t="inlineStr"/>
      <c r="AX431" t="inlineStr">
        <is>
          <t>0472-150</t>
        </is>
      </c>
      <c r="AY431" t="inlineStr">
        <is>
          <t>Beslut</t>
        </is>
      </c>
      <c r="AZ431" t="inlineStr">
        <is>
          <t>2026-02-11</t>
        </is>
      </c>
      <c r="BA431" t="inlineStr">
        <is>
          <t>2024.1848..pdf</t>
        </is>
      </c>
      <c r="BB431" t="inlineStr">
        <is>
          <t>Handlingar</t>
        </is>
      </c>
      <c r="BC431" t="inlineStr">
        <is>
          <t>AUTO</t>
        </is>
      </c>
      <c r="BD431" t="inlineStr"/>
      <c r="BE431" t="inlineStr"/>
      <c r="BF431" t="inlineStr">
        <is>
          <t>AUTO_GENERERAD. Bekrafta metadata mot kallfil.</t>
        </is>
      </c>
      <c r="BG431">
        <f>HYPERLINK("C:\Users\jimmy\Desktop\Examens arbete\Kod\Ny mapp\remix_-copy-of-miljöbeslut.se-portal\2024.1848..pdf", "Öppna PDF")</f>
        <v/>
      </c>
    </row>
    <row r="432">
      <c r="A432" t="inlineStr">
        <is>
          <t>KRAV-AUTO-000431</t>
        </is>
      </c>
      <c r="B432" t="inlineStr">
        <is>
          <t>ADMIN-INDEX-2026-02-27-00000000125C043F57453246863FE664CAFE6A3F0700950291EA24F0614FB6ACEDB12BF0E31D00000000010C0000950291EA24F0614FB6ACEDB12BF0E31D00002087A5860000</t>
        </is>
      </c>
      <c r="C432" t="inlineStr">
        <is>
          <t>cmm4yurbl04dqcuqwye3c2z1g</t>
        </is>
      </c>
      <c r="D432" t="inlineStr">
        <is>
          <t>http://localhost:8787/api/admin/requirements/documents/cmm4yurbl04dqcuqwye3c2z1g/view</t>
        </is>
      </c>
      <c r="E432">
        <f>HYPERLÄNK("http://localhost:8787/api/admin/requirements/documents/cmm4yurbl04dqcuqwye3c2z1g/view";"Öppna PDF")</f>
        <v/>
      </c>
      <c r="F432">
        <f>HYPERLINK("http://localhost:8787/api/admin/requirements/documents/cmm4yurbl04dqcuqwye3c2z1g/view","Open PDF")</f>
        <v/>
      </c>
      <c r="G432" t="inlineStr">
        <is>
          <t>cmm55w57p0004cuisfrtpqly8</t>
        </is>
      </c>
      <c r="H432" t="inlineStr">
        <is>
          <t>Beslutsvillkor</t>
        </is>
      </c>
      <c r="I432" t="inlineStr">
        <is>
          <t>DriftEgenkontroll</t>
        </is>
      </c>
      <c r="J432" t="inlineStr">
        <is>
          <t>Journalforing</t>
        </is>
      </c>
      <c r="K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 där följande framgår: 1.</t>
        </is>
      </c>
      <c r="L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t>
        </is>
      </c>
      <c r="M432" t="inlineStr">
        <is>
          <t>SKA</t>
        </is>
      </c>
      <c r="N432" t="inlineStr"/>
      <c r="O432" t="inlineStr">
        <is>
          <t>2025-03-20</t>
        </is>
      </c>
      <c r="P432" t="inlineStr"/>
      <c r="Q432" t="inlineStr"/>
      <c r="R432" t="inlineStr">
        <is>
          <t>Lopande drift</t>
        </is>
      </c>
      <c r="S432" t="inlineStr"/>
      <c r="T432" t="inlineStr">
        <is>
          <t>559346</t>
        </is>
      </c>
      <c r="U432" t="inlineStr"/>
      <c r="V432" t="inlineStr"/>
      <c r="W432" t="inlineStr">
        <is>
          <t>Nej</t>
        </is>
      </c>
      <c r="X432" t="inlineStr">
        <is>
          <t>Nej</t>
        </is>
      </c>
      <c r="Y432" t="inlineStr">
        <is>
          <t>Ja</t>
        </is>
      </c>
      <c r="Z432" t="inlineStr">
        <is>
          <t>Nej</t>
        </is>
      </c>
      <c r="AA432" t="n">
        <v>7</v>
      </c>
      <c r="AB432" t="inlineStr">
        <is>
          <t>Egenkontrollrutiner</t>
        </is>
      </c>
      <c r="AC432" t="inlineStr">
        <is>
          <t>Egenkontrollprogram</t>
        </is>
      </c>
      <c r="AD432" t="inlineStr">
        <is>
          <t>Nej</t>
        </is>
      </c>
      <c r="AE432" t="inlineStr">
        <is>
          <t>Nej</t>
        </is>
      </c>
      <c r="AF432" t="inlineStr">
        <is>
          <t>Ej behandlad</t>
        </is>
      </c>
      <c r="AG432" t="inlineStr">
        <is>
          <t>AUTO_GENERERAD. Verifiera citat mot kallfil.</t>
        </is>
      </c>
      <c r="AH432" t="inlineStr">
        <is>
          <t>MEDIUM</t>
        </is>
      </c>
      <c r="AI432" t="inlineStr">
        <is>
          <t>AUTO</t>
        </is>
      </c>
      <c r="AJ432" t="inlineStr">
        <is>
          <t>Nej</t>
        </is>
      </c>
      <c r="AK432" t="inlineStr"/>
      <c r="AL432" t="inlineStr"/>
      <c r="AM432" t="inlineStr"/>
      <c r="AN432" t="inlineStr"/>
      <c r="AO432" t="inlineStr">
        <is>
          <t>cmm4yurb604dbcuqwpk6azwk6</t>
        </is>
      </c>
      <c r="AP432" t="inlineStr">
        <is>
          <t>http://localhost:8787/api/admin/requirements/documents/cmm4yurb604dbcuqwpk6azwk6/view</t>
        </is>
      </c>
      <c r="AQ432">
        <f>HYPERLÄNK("http://localhost:8787/api/admin/requirements/documents/cmm4yurb604dbcuqwpk6azwk6/view";"Öppna PDF")</f>
        <v/>
      </c>
      <c r="AR432">
        <f>HYPERLINK("http://localhost:8787/api/admin/requirements/documents/cmm4yurb604dbcuqwpk6azwk6/view","Open PDF")</f>
        <v/>
      </c>
      <c r="AS432" t="inlineStr">
        <is>
          <t>cmm55w57p0004cuisfrtpqly8</t>
        </is>
      </c>
      <c r="AT432" t="inlineStr">
        <is>
          <t>cmm4xvu980000cuh4vj0usz09</t>
        </is>
      </c>
      <c r="AU432" t="inlineStr"/>
      <c r="AV432" t="inlineStr">
        <is>
          <t>Kommun</t>
        </is>
      </c>
      <c r="AW432" t="inlineStr"/>
      <c r="AX432" t="inlineStr">
        <is>
          <t>0472-150</t>
        </is>
      </c>
      <c r="AY432" t="inlineStr">
        <is>
          <t>Beslut</t>
        </is>
      </c>
      <c r="AZ432" t="inlineStr">
        <is>
          <t>2026-02-11</t>
        </is>
      </c>
      <c r="BA432" t="inlineStr">
        <is>
          <t>2024.1848..pdf</t>
        </is>
      </c>
      <c r="BB432" t="inlineStr">
        <is>
          <t>Handlingar</t>
        </is>
      </c>
      <c r="BC432" t="inlineStr">
        <is>
          <t>AUTO</t>
        </is>
      </c>
      <c r="BD432" t="inlineStr"/>
      <c r="BE432" t="inlineStr"/>
      <c r="BF432" t="inlineStr">
        <is>
          <t>AUTO_GENERERAD. Bekrafta metadata mot kallfil.</t>
        </is>
      </c>
      <c r="BG432">
        <f>HYPERLINK("C:\Users\jimmy\Desktop\Examens arbete\Kod\Ny mapp\remix_-copy-of-miljöbeslut.se-portal\2024.1848..pdf", "Öppna PDF")</f>
        <v/>
      </c>
    </row>
    <row r="433">
      <c r="A433" t="inlineStr">
        <is>
          <t>KRAV-AUTO-000432</t>
        </is>
      </c>
      <c r="B433" t="inlineStr">
        <is>
          <t>ADMIN-INDEX-2026-02-27-00000000125C043F57453246863FE664CAFE6A3F0700950291EA24F0614FB6ACEDB12BF0E31D00000000010C0000950291EA24F0614FB6ACEDB12BF0E31D00002087A5860000</t>
        </is>
      </c>
      <c r="C433" t="inlineStr">
        <is>
          <t>cmm4yurbl04dqcuqwye3c2z1g</t>
        </is>
      </c>
      <c r="D433" t="inlineStr">
        <is>
          <t>http://localhost:8787/api/admin/requirements/documents/cmm4yurbl04dqcuqwye3c2z1g/view</t>
        </is>
      </c>
      <c r="E433">
        <f>HYPERLÄNK("http://localhost:8787/api/admin/requirements/documents/cmm4yurbl04dqcuqwye3c2z1g/view";"Öppna PDF")</f>
        <v/>
      </c>
      <c r="F433">
        <f>HYPERLINK("http://localhost:8787/api/admin/requirements/documents/cmm4yurbl04dqcuqwye3c2z1g/view","Open PDF")</f>
        <v/>
      </c>
      <c r="G433" t="inlineStr">
        <is>
          <t>cmm55w57p0004cuisfrtpqly8</t>
        </is>
      </c>
      <c r="H433" t="inlineStr">
        <is>
          <t>Beslutsvillkor</t>
        </is>
      </c>
      <c r="I433" t="inlineStr">
        <is>
          <t>Riskhantering</t>
        </is>
      </c>
      <c r="J433" t="inlineStr">
        <is>
          <t>Riskkontroll</t>
        </is>
      </c>
      <c r="K433" t="inlineStr">
        <is>
          <t>Anmälan kan göras frivilligt för att det ska finnas dokumenterat i bygg och miljöenhetens arkiv vad det är för sorts avfall och vilka bedömningar om risken som gjordes innan uppläggningen.</t>
        </is>
      </c>
      <c r="L433" t="inlineStr">
        <is>
          <t>Anmälan kan göras frivilligt för att det ska finnas dokumenterat i bygg och miljöenhetens arkiv vad det är för sorts avfall och vilka bedömningar om risken som gjordes innan uppläggningen.</t>
        </is>
      </c>
      <c r="M433" t="inlineStr">
        <is>
          <t>SKA</t>
        </is>
      </c>
      <c r="N433" t="inlineStr"/>
      <c r="O433" t="inlineStr"/>
      <c r="P433" t="inlineStr"/>
      <c r="Q433" t="inlineStr"/>
      <c r="R433" t="inlineStr">
        <is>
          <t>Vid risk for incident</t>
        </is>
      </c>
      <c r="S433" t="inlineStr"/>
      <c r="T433" t="inlineStr">
        <is>
          <t>559346</t>
        </is>
      </c>
      <c r="U433" t="inlineStr"/>
      <c r="V433" t="inlineStr"/>
      <c r="W433" t="inlineStr">
        <is>
          <t>Nej</t>
        </is>
      </c>
      <c r="X433" t="inlineStr">
        <is>
          <t>Nej</t>
        </is>
      </c>
      <c r="Y433" t="inlineStr">
        <is>
          <t>Ja</t>
        </is>
      </c>
      <c r="Z433" t="inlineStr">
        <is>
          <t>Ja</t>
        </is>
      </c>
      <c r="AA433" t="n">
        <v>8</v>
      </c>
      <c r="AB433" t="inlineStr">
        <is>
          <t>Riskhantering</t>
        </is>
      </c>
      <c r="AC433" t="inlineStr">
        <is>
          <t>Risk-PM</t>
        </is>
      </c>
      <c r="AD433" t="inlineStr">
        <is>
          <t>Nej</t>
        </is>
      </c>
      <c r="AE433" t="inlineStr">
        <is>
          <t>Nej</t>
        </is>
      </c>
      <c r="AF433" t="inlineStr">
        <is>
          <t>Ej behandlad</t>
        </is>
      </c>
      <c r="AG433" t="inlineStr">
        <is>
          <t>AUTO_GENERERAD. Verifiera citat mot kallfil.</t>
        </is>
      </c>
      <c r="AH433" t="inlineStr">
        <is>
          <t>MEDIUM</t>
        </is>
      </c>
      <c r="AI433" t="inlineStr">
        <is>
          <t>AUTO</t>
        </is>
      </c>
      <c r="AJ433" t="inlineStr">
        <is>
          <t>Nej</t>
        </is>
      </c>
      <c r="AK433" t="inlineStr"/>
      <c r="AL433" t="inlineStr"/>
      <c r="AM433" t="inlineStr"/>
      <c r="AN433" t="inlineStr"/>
      <c r="AO433" t="inlineStr">
        <is>
          <t>cmm4yurb604dbcuqwpk6azwk6</t>
        </is>
      </c>
      <c r="AP433" t="inlineStr">
        <is>
          <t>http://localhost:8787/api/admin/requirements/documents/cmm4yurb604dbcuqwpk6azwk6/view</t>
        </is>
      </c>
      <c r="AQ433">
        <f>HYPERLÄNK("http://localhost:8787/api/admin/requirements/documents/cmm4yurb604dbcuqwpk6azwk6/view";"Öppna PDF")</f>
        <v/>
      </c>
      <c r="AR433">
        <f>HYPERLINK("http://localhost:8787/api/admin/requirements/documents/cmm4yurb604dbcuqwpk6azwk6/view","Open PDF")</f>
        <v/>
      </c>
      <c r="AS433" t="inlineStr">
        <is>
          <t>cmm55w57p0004cuisfrtpqly8</t>
        </is>
      </c>
      <c r="AT433" t="inlineStr">
        <is>
          <t>cmm4xvu980000cuh4vj0usz09</t>
        </is>
      </c>
      <c r="AU433" t="inlineStr"/>
      <c r="AV433" t="inlineStr">
        <is>
          <t>Kommun</t>
        </is>
      </c>
      <c r="AW433" t="inlineStr"/>
      <c r="AX433" t="inlineStr">
        <is>
          <t>0472-150</t>
        </is>
      </c>
      <c r="AY433" t="inlineStr">
        <is>
          <t>Beslut</t>
        </is>
      </c>
      <c r="AZ433" t="inlineStr">
        <is>
          <t>2026-02-11</t>
        </is>
      </c>
      <c r="BA433" t="inlineStr">
        <is>
          <t>2024.1848..pdf</t>
        </is>
      </c>
      <c r="BB433" t="inlineStr">
        <is>
          <t>Handlingar</t>
        </is>
      </c>
      <c r="BC433" t="inlineStr">
        <is>
          <t>AUTO</t>
        </is>
      </c>
      <c r="BD433" t="inlineStr"/>
      <c r="BE433" t="inlineStr"/>
      <c r="BF433" t="inlineStr">
        <is>
          <t>AUTO_GENERERAD. Bekrafta metadata mot kallfil.</t>
        </is>
      </c>
      <c r="BG433">
        <f>HYPERLINK("C:\Users\jimmy\Desktop\Examens arbete\Kod\Ny mapp\remix_-copy-of-miljöbeslut.se-portal\2024.1848..pdf", "Öppna PDF")</f>
        <v/>
      </c>
    </row>
    <row r="434">
      <c r="A434" t="inlineStr">
        <is>
          <t>KRAV-AUTO-000433</t>
        </is>
      </c>
      <c r="B434" t="inlineStr">
        <is>
          <t>ADMIN-INDEX-2026-02-27-00000000125C043F57453246863FE664CAFE6A3F0700950291EA24F0614FB6ACEDB12BF0E31D00000000010C0000950291EA24F0614FB6ACEDB12BF0E31D00002087A5860000</t>
        </is>
      </c>
      <c r="C434" t="inlineStr">
        <is>
          <t>cmm4yurbi04dncuqw8f0v2ghg</t>
        </is>
      </c>
      <c r="D434" t="inlineStr">
        <is>
          <t>http://localhost:8787/api/admin/requirements/documents/cmm4yurbi04dncuqw8f0v2ghg/view</t>
        </is>
      </c>
      <c r="E434">
        <f>HYPERLÄNK("http://localhost:8787/api/admin/requirements/documents/cmm4yurbi04dncuqw8f0v2ghg/view";"Öppna PDF")</f>
        <v/>
      </c>
      <c r="F434">
        <f>HYPERLINK("http://localhost:8787/api/admin/requirements/documents/cmm4yurbi04dncuqw8f0v2ghg/view","Open PDF")</f>
        <v/>
      </c>
      <c r="G434" t="inlineStr">
        <is>
          <t>cmm55w57p0004cuisfrtpqly8</t>
        </is>
      </c>
      <c r="H434" t="inlineStr">
        <is>
          <t>Beslutsvillkor</t>
        </is>
      </c>
      <c r="I434" t="inlineStr">
        <is>
          <t>LagringsvolymTid</t>
        </is>
      </c>
      <c r="J434" t="inlineStr">
        <is>
          <t>Maxmangd</t>
        </is>
      </c>
      <c r="K434" t="inlineStr">
        <is>
          <t>· Massorna av betong får inte innehålla annat avfall såsom isolering, järn, kabel eller plast.</t>
        </is>
      </c>
      <c r="L434" t="inlineStr">
        <is>
          <t>· Massorna av betong får inte innehålla annat avfall såsom isolering, järn, kabel eller plast.</t>
        </is>
      </c>
      <c r="M434" t="inlineStr">
        <is>
          <t>SKA</t>
        </is>
      </c>
      <c r="N434" t="inlineStr"/>
      <c r="O434" t="inlineStr"/>
      <c r="P434" t="inlineStr"/>
      <c r="Q434" t="inlineStr">
        <is>
          <t>Driftbegransning vid avvikelse</t>
        </is>
      </c>
      <c r="R434" t="inlineStr">
        <is>
          <t>Alltid</t>
        </is>
      </c>
      <c r="S434" t="inlineStr"/>
      <c r="T434" t="inlineStr">
        <is>
          <t>212000</t>
        </is>
      </c>
      <c r="U434" t="inlineStr"/>
      <c r="V434" t="inlineStr"/>
      <c r="W434" t="inlineStr">
        <is>
          <t>Nej</t>
        </is>
      </c>
      <c r="X434" t="inlineStr">
        <is>
          <t>Nej</t>
        </is>
      </c>
      <c r="Y434" t="inlineStr">
        <is>
          <t>Nej</t>
        </is>
      </c>
      <c r="Z434" t="inlineStr">
        <is>
          <t>Nej</t>
        </is>
      </c>
      <c r="AA434" t="n">
        <v>4</v>
      </c>
      <c r="AB434" t="inlineStr">
        <is>
          <t>Avfallsmangder och lagringstid</t>
        </is>
      </c>
      <c r="AC434" t="inlineStr">
        <is>
          <t>Avfallsforteckning</t>
        </is>
      </c>
      <c r="AD434" t="inlineStr">
        <is>
          <t>Nej</t>
        </is>
      </c>
      <c r="AE434" t="inlineStr">
        <is>
          <t>Nej</t>
        </is>
      </c>
      <c r="AF434" t="inlineStr">
        <is>
          <t>Ej behandlad</t>
        </is>
      </c>
      <c r="AG434" t="inlineStr">
        <is>
          <t>AUTO_GENERERAD. Verifiera citat mot kallfil.</t>
        </is>
      </c>
      <c r="AH434" t="inlineStr">
        <is>
          <t>MEDIUM</t>
        </is>
      </c>
      <c r="AI434" t="inlineStr">
        <is>
          <t>AUTO</t>
        </is>
      </c>
      <c r="AJ434" t="inlineStr">
        <is>
          <t>Nej</t>
        </is>
      </c>
      <c r="AK434" t="inlineStr"/>
      <c r="AL434" t="inlineStr"/>
      <c r="AM434" t="inlineStr"/>
      <c r="AN434" t="inlineStr"/>
      <c r="AO434" t="inlineStr">
        <is>
          <t>cmm4yurb604dbcuqwpk6azwk6</t>
        </is>
      </c>
      <c r="AP434" t="inlineStr">
        <is>
          <t>http://localhost:8787/api/admin/requirements/documents/cmm4yurb604dbcuqwpk6azwk6/view</t>
        </is>
      </c>
      <c r="AQ434">
        <f>HYPERLÄNK("http://localhost:8787/api/admin/requirements/documents/cmm4yurb604dbcuqwpk6azwk6/view";"Öppna PDF")</f>
        <v/>
      </c>
      <c r="AR434">
        <f>HYPERLINK("http://localhost:8787/api/admin/requirements/documents/cmm4yurb604dbcuqwpk6azwk6/view","Open PDF")</f>
        <v/>
      </c>
      <c r="AS434" t="inlineStr">
        <is>
          <t>cmm55w57p0004cuisfrtpqly8</t>
        </is>
      </c>
      <c r="AT434" t="inlineStr">
        <is>
          <t>cmm4xvu980000cuh4vj0usz09</t>
        </is>
      </c>
      <c r="AU434" t="inlineStr"/>
      <c r="AV434" t="inlineStr">
        <is>
          <t>Kommun</t>
        </is>
      </c>
      <c r="AW434" t="inlineStr"/>
      <c r="AX434" t="inlineStr">
        <is>
          <t>0472-150</t>
        </is>
      </c>
      <c r="AY434" t="inlineStr">
        <is>
          <t>Beslut</t>
        </is>
      </c>
      <c r="AZ434" t="inlineStr">
        <is>
          <t>2026-02-11</t>
        </is>
      </c>
      <c r="BA434" t="inlineStr">
        <is>
          <t>2024.1848..pdf</t>
        </is>
      </c>
      <c r="BB434" t="inlineStr">
        <is>
          <t>Handlingar</t>
        </is>
      </c>
      <c r="BC434" t="inlineStr">
        <is>
          <t>AUTO</t>
        </is>
      </c>
      <c r="BD434" t="inlineStr"/>
      <c r="BE434" t="inlineStr"/>
      <c r="BF434" t="inlineStr">
        <is>
          <t>AUTO_GENERERAD. Bekrafta metadata mot kallfil.</t>
        </is>
      </c>
      <c r="BG434">
        <f>HYPERLINK("C:\Users\jimmy\Desktop\Examens arbete\Kod\Ny mapp\remix_-copy-of-miljöbeslut.se-portal\2024.1848..pdf", "Öppna PDF")</f>
        <v/>
      </c>
    </row>
    <row r="435">
      <c r="A435" t="inlineStr">
        <is>
          <t>KRAV-AUTO-000434</t>
        </is>
      </c>
      <c r="B435" t="inlineStr">
        <is>
          <t>ADMIN-INDEX-2026-02-27-00000000125C043F57453246863FE664CAFE6A3F0700950291EA24F0614FB6ACEDB12BF0E31D00000000010C0000950291EA24F0614FB6ACEDB12BF0E31D00002087A5860000</t>
        </is>
      </c>
      <c r="C435" t="inlineStr">
        <is>
          <t>cmm4yurbi04dncuqw8f0v2ghg</t>
        </is>
      </c>
      <c r="D435" t="inlineStr">
        <is>
          <t>http://localhost:8787/api/admin/requirements/documents/cmm4yurbi04dncuqw8f0v2ghg/view</t>
        </is>
      </c>
      <c r="E435">
        <f>HYPERLÄNK("http://localhost:8787/api/admin/requirements/documents/cmm4yurbi04dncuqw8f0v2ghg/view";"Öppna PDF")</f>
        <v/>
      </c>
      <c r="F435">
        <f>HYPERLINK("http://localhost:8787/api/admin/requirements/documents/cmm4yurbi04dncuqw8f0v2ghg/view","Open PDF")</f>
        <v/>
      </c>
      <c r="G435" t="inlineStr">
        <is>
          <t>cmm55w57p0004cuisfrtpqly8</t>
        </is>
      </c>
      <c r="H435" t="inlineStr">
        <is>
          <t>Beslutsvillkor</t>
        </is>
      </c>
      <c r="I435" t="inlineStr">
        <is>
          <t>Ytkonstruktion</t>
        </is>
      </c>
      <c r="J435" t="inlineStr">
        <is>
          <t>Tat yta</t>
        </is>
      </c>
      <c r="K435" t="inlineStr">
        <is>
          <t>Betongen kommer inte läggas i fuktig mark eller i grundvatten samt ytan kommer att hårdgöras för parkeringsanläggningen vilket gör att risken för urlakning minskar.</t>
        </is>
      </c>
      <c r="L435" t="inlineStr">
        <is>
          <t>Betongen kommer inte läggas i fuktig mark eller i grundvatten samt ytan kommer att hårdgöras för parkeringsanläggningen vilket gör att risken för urlakning minskar.</t>
        </is>
      </c>
      <c r="M435" t="inlineStr">
        <is>
          <t>SKA</t>
        </is>
      </c>
      <c r="N435" t="inlineStr"/>
      <c r="O435" t="inlineStr"/>
      <c r="P435" t="inlineStr"/>
      <c r="Q435" t="inlineStr"/>
      <c r="R435" t="inlineStr">
        <is>
          <t>Vid mellanlagring av avfall</t>
        </is>
      </c>
      <c r="S435" t="inlineStr"/>
      <c r="T435" t="inlineStr">
        <is>
          <t>212000</t>
        </is>
      </c>
      <c r="U435" t="inlineStr"/>
      <c r="V435" t="inlineStr"/>
      <c r="W435" t="inlineStr">
        <is>
          <t>Ja</t>
        </is>
      </c>
      <c r="X435" t="inlineStr">
        <is>
          <t>Nej</t>
        </is>
      </c>
      <c r="Y435" t="inlineStr">
        <is>
          <t>Nej</t>
        </is>
      </c>
      <c r="Z435" t="inlineStr">
        <is>
          <t>Nej</t>
        </is>
      </c>
      <c r="AA435" t="n">
        <v>5</v>
      </c>
      <c r="AB435" t="inlineStr">
        <is>
          <t>Teknisk beskrivning av platta</t>
        </is>
      </c>
      <c r="AC435" t="inlineStr">
        <is>
          <t>Teknisk ritning platta</t>
        </is>
      </c>
      <c r="AD435" t="inlineStr">
        <is>
          <t>Nej</t>
        </is>
      </c>
      <c r="AE435" t="inlineStr">
        <is>
          <t>Nej</t>
        </is>
      </c>
      <c r="AF435" t="inlineStr">
        <is>
          <t>Ej behandlad</t>
        </is>
      </c>
      <c r="AG435" t="inlineStr">
        <is>
          <t>AUTO_GENERERAD. Verifiera citat mot kallfil.</t>
        </is>
      </c>
      <c r="AH435" t="inlineStr">
        <is>
          <t>MEDIUM</t>
        </is>
      </c>
      <c r="AI435" t="inlineStr">
        <is>
          <t>AUTO</t>
        </is>
      </c>
      <c r="AJ435" t="inlineStr">
        <is>
          <t>Nej</t>
        </is>
      </c>
      <c r="AK435" t="inlineStr"/>
      <c r="AL435" t="inlineStr"/>
      <c r="AM435" t="inlineStr"/>
      <c r="AN435" t="inlineStr"/>
      <c r="AO435" t="inlineStr">
        <is>
          <t>cmm4yurb604dbcuqwpk6azwk6</t>
        </is>
      </c>
      <c r="AP435" t="inlineStr">
        <is>
          <t>http://localhost:8787/api/admin/requirements/documents/cmm4yurb604dbcuqwpk6azwk6/view</t>
        </is>
      </c>
      <c r="AQ435">
        <f>HYPERLÄNK("http://localhost:8787/api/admin/requirements/documents/cmm4yurb604dbcuqwpk6azwk6/view";"Öppna PDF")</f>
        <v/>
      </c>
      <c r="AR435">
        <f>HYPERLINK("http://localhost:8787/api/admin/requirements/documents/cmm4yurb604dbcuqwpk6azwk6/view","Open PDF")</f>
        <v/>
      </c>
      <c r="AS435" t="inlineStr">
        <is>
          <t>cmm55w57p0004cuisfrtpqly8</t>
        </is>
      </c>
      <c r="AT435" t="inlineStr">
        <is>
          <t>cmm4xvu980000cuh4vj0usz09</t>
        </is>
      </c>
      <c r="AU435" t="inlineStr"/>
      <c r="AV435" t="inlineStr">
        <is>
          <t>Kommun</t>
        </is>
      </c>
      <c r="AW435" t="inlineStr"/>
      <c r="AX435" t="inlineStr">
        <is>
          <t>0472-150</t>
        </is>
      </c>
      <c r="AY435" t="inlineStr">
        <is>
          <t>Beslut</t>
        </is>
      </c>
      <c r="AZ435" t="inlineStr">
        <is>
          <t>2026-02-11</t>
        </is>
      </c>
      <c r="BA435" t="inlineStr">
        <is>
          <t>2024.1848..pdf</t>
        </is>
      </c>
      <c r="BB435" t="inlineStr">
        <is>
          <t>Handlingar</t>
        </is>
      </c>
      <c r="BC435" t="inlineStr">
        <is>
          <t>AUTO</t>
        </is>
      </c>
      <c r="BD435" t="inlineStr"/>
      <c r="BE435" t="inlineStr"/>
      <c r="BF435" t="inlineStr">
        <is>
          <t>AUTO_GENERERAD. Bekrafta metadata mot kallfil.</t>
        </is>
      </c>
      <c r="BG435">
        <f>HYPERLINK("C:\Users\jimmy\Desktop\Examens arbete\Kod\Ny mapp\remix_-copy-of-miljöbeslut.se-portal\2024.1848..pdf", "Öppna PDF")</f>
        <v/>
      </c>
    </row>
    <row r="436">
      <c r="A436" t="inlineStr">
        <is>
          <t>KRAV-AUTO-000435</t>
        </is>
      </c>
      <c r="B436" t="inlineStr">
        <is>
          <t>ADMIN-INDEX-2026-02-27-00000000125C043F57453246863FE664CAFE6A3F0700950291EA24F0614FB6ACEDB12BF0E31D00000000010C0000950291EA24F0614FB6ACEDB12BF0E31D00002087A5860000</t>
        </is>
      </c>
      <c r="C436" t="inlineStr">
        <is>
          <t>cmm4yurbi04dncuqw8f0v2ghg</t>
        </is>
      </c>
      <c r="D436" t="inlineStr">
        <is>
          <t>http://localhost:8787/api/admin/requirements/documents/cmm4yurbi04dncuqw8f0v2ghg/view</t>
        </is>
      </c>
      <c r="E436">
        <f>HYPERLÄNK("http://localhost:8787/api/admin/requirements/documents/cmm4yurbi04dncuqw8f0v2ghg/view";"Öppna PDF")</f>
        <v/>
      </c>
      <c r="F436">
        <f>HYPERLINK("http://localhost:8787/api/admin/requirements/documents/cmm4yurbi04dncuqw8f0v2ghg/view","Open PDF")</f>
        <v/>
      </c>
      <c r="G436" t="inlineStr">
        <is>
          <t>cmm55w57p0004cuisfrtpqly8</t>
        </is>
      </c>
      <c r="H436" t="inlineStr">
        <is>
          <t>Beslutsvillkor</t>
        </is>
      </c>
      <c r="I436" t="inlineStr">
        <is>
          <t>MiljopaverkanForsiktighet</t>
        </is>
      </c>
      <c r="J436" t="inlineStr">
        <is>
          <t>Skyddsatgarder</t>
        </is>
      </c>
      <c r="K436" t="inlineStr">
        <is>
          <t>· Avfallet ska läggas över grundvattennivån.</t>
        </is>
      </c>
      <c r="L436" t="inlineStr">
        <is>
          <t>· Avfallet ska läggas över grundvattennivån.</t>
        </is>
      </c>
      <c r="M436" t="inlineStr">
        <is>
          <t>SKA</t>
        </is>
      </c>
      <c r="N436" t="inlineStr"/>
      <c r="O436" t="inlineStr"/>
      <c r="P436" t="inlineStr"/>
      <c r="Q436" t="inlineStr"/>
      <c r="R436" t="inlineStr">
        <is>
          <t>Alltid</t>
        </is>
      </c>
      <c r="S436" t="inlineStr"/>
      <c r="T436" t="inlineStr">
        <is>
          <t>212000</t>
        </is>
      </c>
      <c r="U436" t="inlineStr"/>
      <c r="V436" t="inlineStr"/>
      <c r="W436" t="inlineStr">
        <is>
          <t>Nej</t>
        </is>
      </c>
      <c r="X436" t="inlineStr">
        <is>
          <t>Nej</t>
        </is>
      </c>
      <c r="Y436" t="inlineStr">
        <is>
          <t>Nej</t>
        </is>
      </c>
      <c r="Z436" t="inlineStr">
        <is>
          <t>Nej</t>
        </is>
      </c>
      <c r="AA436" t="n">
        <v>10</v>
      </c>
      <c r="AB436" t="inlineStr">
        <is>
          <t>Miljopaverkan och forsiktighetsmatt</t>
        </is>
      </c>
      <c r="AC436" t="inlineStr">
        <is>
          <t>Miljo-PM</t>
        </is>
      </c>
      <c r="AD436" t="inlineStr">
        <is>
          <t>Nej</t>
        </is>
      </c>
      <c r="AE436" t="inlineStr">
        <is>
          <t>Nej</t>
        </is>
      </c>
      <c r="AF436" t="inlineStr">
        <is>
          <t>Ej behandlad</t>
        </is>
      </c>
      <c r="AG436" t="inlineStr">
        <is>
          <t>AUTO_GENERERAD. Verifiera citat mot kallfil.</t>
        </is>
      </c>
      <c r="AH436" t="inlineStr">
        <is>
          <t>MEDIUM</t>
        </is>
      </c>
      <c r="AI436" t="inlineStr">
        <is>
          <t>AUTO</t>
        </is>
      </c>
      <c r="AJ436" t="inlineStr">
        <is>
          <t>Nej</t>
        </is>
      </c>
      <c r="AK436" t="inlineStr"/>
      <c r="AL436" t="inlineStr"/>
      <c r="AM436" t="inlineStr"/>
      <c r="AN436" t="inlineStr"/>
      <c r="AO436" t="inlineStr">
        <is>
          <t>cmm4yurb604dbcuqwpk6azwk6</t>
        </is>
      </c>
      <c r="AP436" t="inlineStr">
        <is>
          <t>http://localhost:8787/api/admin/requirements/documents/cmm4yurb604dbcuqwpk6azwk6/view</t>
        </is>
      </c>
      <c r="AQ436">
        <f>HYPERLÄNK("http://localhost:8787/api/admin/requirements/documents/cmm4yurb604dbcuqwpk6azwk6/view";"Öppna PDF")</f>
        <v/>
      </c>
      <c r="AR436">
        <f>HYPERLINK("http://localhost:8787/api/admin/requirements/documents/cmm4yurb604dbcuqwpk6azwk6/view","Open PDF")</f>
        <v/>
      </c>
      <c r="AS436" t="inlineStr">
        <is>
          <t>cmm55w57p0004cuisfrtpqly8</t>
        </is>
      </c>
      <c r="AT436" t="inlineStr">
        <is>
          <t>cmm4xvu980000cuh4vj0usz09</t>
        </is>
      </c>
      <c r="AU436" t="inlineStr"/>
      <c r="AV436" t="inlineStr">
        <is>
          <t>Kommun</t>
        </is>
      </c>
      <c r="AW436" t="inlineStr"/>
      <c r="AX436" t="inlineStr">
        <is>
          <t>0472-150</t>
        </is>
      </c>
      <c r="AY436" t="inlineStr">
        <is>
          <t>Beslut</t>
        </is>
      </c>
      <c r="AZ436" t="inlineStr">
        <is>
          <t>2026-02-11</t>
        </is>
      </c>
      <c r="BA436" t="inlineStr">
        <is>
          <t>2024.1848..pdf</t>
        </is>
      </c>
      <c r="BB436" t="inlineStr">
        <is>
          <t>Handlingar</t>
        </is>
      </c>
      <c r="BC436" t="inlineStr">
        <is>
          <t>AUTO</t>
        </is>
      </c>
      <c r="BD436" t="inlineStr"/>
      <c r="BE436" t="inlineStr"/>
      <c r="BF436" t="inlineStr">
        <is>
          <t>AUTO_GENERERAD. Bekrafta metadata mot kallfil.</t>
        </is>
      </c>
      <c r="BG436">
        <f>HYPERLINK("C:\Users\jimmy\Desktop\Examens arbete\Kod\Ny mapp\remix_-copy-of-miljöbeslut.se-portal\2024.1848..pdf", "Öppna PDF")</f>
        <v/>
      </c>
    </row>
    <row r="437">
      <c r="A437" t="inlineStr">
        <is>
          <t>KRAV-AUTO-000436</t>
        </is>
      </c>
      <c r="B437" t="inlineStr">
        <is>
          <t>ADMIN-INDEX-2026-02-27-00000000125C043F57453246863FE664CAFE6A3F0700950291EA24F0614FB6ACEDB12BF0E31D00000000010C0000950291EA24F0614FB6ACEDB12BF0E31D00002087A5860000</t>
        </is>
      </c>
      <c r="C437" t="inlineStr">
        <is>
          <t>cmm4yurbf04dkcuqw8qm2tlcb</t>
        </is>
      </c>
      <c r="D437" t="inlineStr">
        <is>
          <t>http://localhost:8787/api/admin/requirements/documents/cmm4yurbf04dkcuqw8qm2tlcb/view</t>
        </is>
      </c>
      <c r="E437">
        <f>HYPERLÄNK("http://localhost:8787/api/admin/requirements/documents/cmm4yurbf04dkcuqw8qm2tlcb/view";"Öppna PDF")</f>
        <v/>
      </c>
      <c r="F437">
        <f>HYPERLINK("http://localhost:8787/api/admin/requirements/documents/cmm4yurbf04dkcuqw8qm2tlcb/view","Open PDF")</f>
        <v/>
      </c>
      <c r="G437" t="inlineStr">
        <is>
          <t>cmm55w57p0004cuisfrtpqly8</t>
        </is>
      </c>
      <c r="H437" t="inlineStr">
        <is>
          <t>Beslutsvillkor</t>
        </is>
      </c>
      <c r="I437" t="inlineStr">
        <is>
          <t>DagvattenLakvatten</t>
        </is>
      </c>
      <c r="J437" t="inlineStr">
        <is>
          <t>Uppsamling</t>
        </is>
      </c>
      <c r="K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is>
      </c>
      <c r="L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t>
        </is>
      </c>
      <c r="M437" t="inlineStr">
        <is>
          <t>SKA</t>
        </is>
      </c>
      <c r="N437" t="inlineStr"/>
      <c r="O437" t="inlineStr"/>
      <c r="P437" t="inlineStr"/>
      <c r="Q437" t="inlineStr"/>
      <c r="R437" t="inlineStr">
        <is>
          <t>Vid nederbord och avrinning</t>
        </is>
      </c>
      <c r="S437" t="inlineStr"/>
      <c r="T437" t="inlineStr"/>
      <c r="U437" t="inlineStr"/>
      <c r="V437" t="inlineStr"/>
      <c r="W437" t="inlineStr">
        <is>
          <t>Nej</t>
        </is>
      </c>
      <c r="X437" t="inlineStr">
        <is>
          <t>Ja</t>
        </is>
      </c>
      <c r="Y437" t="inlineStr">
        <is>
          <t>Ja</t>
        </is>
      </c>
      <c r="Z437" t="inlineStr">
        <is>
          <t>Nej</t>
        </is>
      </c>
      <c r="AA437" t="n">
        <v>6</v>
      </c>
      <c r="AB437" t="inlineStr">
        <is>
          <t>Lakvattenhantering</t>
        </is>
      </c>
      <c r="AC437" t="inlineStr">
        <is>
          <t>Flodesschema dagvatten-lakvatten</t>
        </is>
      </c>
      <c r="AD437" t="inlineStr">
        <is>
          <t>Nej</t>
        </is>
      </c>
      <c r="AE437" t="inlineStr">
        <is>
          <t>Nej</t>
        </is>
      </c>
      <c r="AF437" t="inlineStr">
        <is>
          <t>Ej behandlad</t>
        </is>
      </c>
      <c r="AG437" t="inlineStr">
        <is>
          <t>AUTO_GENERERAD. Verifiera citat mot kallfil.</t>
        </is>
      </c>
      <c r="AH437" t="inlineStr">
        <is>
          <t>MEDIUM</t>
        </is>
      </c>
      <c r="AI437" t="inlineStr">
        <is>
          <t>AUTO</t>
        </is>
      </c>
      <c r="AJ437" t="inlineStr">
        <is>
          <t>Nej</t>
        </is>
      </c>
      <c r="AK437" t="inlineStr"/>
      <c r="AL437" t="inlineStr"/>
      <c r="AM437" t="inlineStr"/>
      <c r="AN437" t="inlineStr"/>
      <c r="AO437" t="inlineStr">
        <is>
          <t>cmm4yurb604dbcuqwpk6azwk6</t>
        </is>
      </c>
      <c r="AP437" t="inlineStr">
        <is>
          <t>http://localhost:8787/api/admin/requirements/documents/cmm4yurb604dbcuqwpk6azwk6/view</t>
        </is>
      </c>
      <c r="AQ437">
        <f>HYPERLÄNK("http://localhost:8787/api/admin/requirements/documents/cmm4yurb604dbcuqwpk6azwk6/view";"Öppna PDF")</f>
        <v/>
      </c>
      <c r="AR437">
        <f>HYPERLINK("http://localhost:8787/api/admin/requirements/documents/cmm4yurb604dbcuqwpk6azwk6/view","Open PDF")</f>
        <v/>
      </c>
      <c r="AS437" t="inlineStr">
        <is>
          <t>cmm55w57p0004cuisfrtpqly8</t>
        </is>
      </c>
      <c r="AT437" t="inlineStr">
        <is>
          <t>cmm4xvu980000cuh4vj0usz09</t>
        </is>
      </c>
      <c r="AU437" t="inlineStr"/>
      <c r="AV437" t="inlineStr">
        <is>
          <t>Kommun</t>
        </is>
      </c>
      <c r="AW437" t="inlineStr"/>
      <c r="AX437" t="inlineStr">
        <is>
          <t>0472-150</t>
        </is>
      </c>
      <c r="AY437" t="inlineStr">
        <is>
          <t>Beslut</t>
        </is>
      </c>
      <c r="AZ437" t="inlineStr">
        <is>
          <t>2026-02-11</t>
        </is>
      </c>
      <c r="BA437" t="inlineStr">
        <is>
          <t>2024.1848..pdf</t>
        </is>
      </c>
      <c r="BB437" t="inlineStr">
        <is>
          <t>Handlingar</t>
        </is>
      </c>
      <c r="BC437" t="inlineStr">
        <is>
          <t>AUTO</t>
        </is>
      </c>
      <c r="BD437" t="inlineStr"/>
      <c r="BE437" t="inlineStr"/>
      <c r="BF437" t="inlineStr">
        <is>
          <t>AUTO_GENERERAD. Bekrafta metadata mot kallfil.</t>
        </is>
      </c>
      <c r="BG437">
        <f>HYPERLINK("C:\Users\jimmy\Desktop\Examens arbete\Kod\Ny mapp\remix_-copy-of-miljöbeslut.se-portal\2024.1848..pdf", "Öppna PDF")</f>
        <v/>
      </c>
    </row>
    <row r="438">
      <c r="A438" t="inlineStr">
        <is>
          <t>KRAV-AUTO-000437</t>
        </is>
      </c>
      <c r="B438" t="inlineStr">
        <is>
          <t>ADMIN-INDEX-2026-02-27-00000000125C043F57453246863FE664CAFE6A3F0700950291EA24F0614FB6ACEDB12BF0E31D00000000010C0000950291EA24F0614FB6ACEDB12BF0E31D00002087A5860000</t>
        </is>
      </c>
      <c r="C438" t="inlineStr">
        <is>
          <t>cmm4yurbb04dhcuqw5ukgmklk</t>
        </is>
      </c>
      <c r="D438" t="inlineStr">
        <is>
          <t>http://localhost:8787/api/admin/requirements/documents/cmm4yurbb04dhcuqw5ukgmklk/view</t>
        </is>
      </c>
      <c r="E438">
        <f>HYPERLÄNK("http://localhost:8787/api/admin/requirements/documents/cmm4yurbb04dhcuqw5ukgmklk/view";"Öppna PDF")</f>
        <v/>
      </c>
      <c r="F438">
        <f>HYPERLINK("http://localhost:8787/api/admin/requirements/documents/cmm4yurbb04dhcuqw5ukgmklk/view","Open PDF")</f>
        <v/>
      </c>
      <c r="G438" t="inlineStr">
        <is>
          <t>cmm55w57p0004cuisfrtpqly8</t>
        </is>
      </c>
      <c r="H438" t="inlineStr">
        <is>
          <t>Beslutsvillkor</t>
        </is>
      </c>
      <c r="I438" t="inlineStr">
        <is>
          <t>LagringsvolymTid</t>
        </is>
      </c>
      <c r="J438" t="inlineStr">
        <is>
          <t>Maxmangd</t>
        </is>
      </c>
      <c r="K438" t="inlineStr">
        <is>
          <t>Anmälningsplikt C och verksamhetskod 90.80 gäller för att sortera icke farligt avfall om mängden avfall är mer än 1000 ton per kalenderår och avfallet ska användas för byggnads- eller anläggningsändamål.</t>
        </is>
      </c>
      <c r="L438" t="inlineStr">
        <is>
          <t>Anmälningsplikt C och verksamhetskod 90.80 gäller för att sortera icke farligt avfall om mängden avfall är mer än 1000 ton per kalenderår och avfallet ska användas för byggnads- eller anläggningsändamål.</t>
        </is>
      </c>
      <c r="M438" t="inlineStr">
        <is>
          <t>SKA</t>
        </is>
      </c>
      <c r="N438" t="inlineStr"/>
      <c r="O438" t="inlineStr"/>
      <c r="P438" t="inlineStr">
        <is>
          <t>Arlig</t>
        </is>
      </c>
      <c r="Q438" t="inlineStr"/>
      <c r="R438" t="inlineStr">
        <is>
          <t>Alltid</t>
        </is>
      </c>
      <c r="S438" t="inlineStr"/>
      <c r="T438" t="inlineStr">
        <is>
          <t>212000</t>
        </is>
      </c>
      <c r="U438" t="n">
        <v>1000</v>
      </c>
      <c r="V438" t="inlineStr"/>
      <c r="W438" t="inlineStr">
        <is>
          <t>Nej</t>
        </is>
      </c>
      <c r="X438" t="inlineStr">
        <is>
          <t>Nej</t>
        </is>
      </c>
      <c r="Y438" t="inlineStr">
        <is>
          <t>Nej</t>
        </is>
      </c>
      <c r="Z438" t="inlineStr">
        <is>
          <t>Nej</t>
        </is>
      </c>
      <c r="AA438" t="n">
        <v>4</v>
      </c>
      <c r="AB438" t="inlineStr">
        <is>
          <t>Avfallsmangder och lagringstid</t>
        </is>
      </c>
      <c r="AC438" t="inlineStr">
        <is>
          <t>Avfallsforteckning</t>
        </is>
      </c>
      <c r="AD438" t="inlineStr">
        <is>
          <t>Nej</t>
        </is>
      </c>
      <c r="AE438" t="inlineStr">
        <is>
          <t>Nej</t>
        </is>
      </c>
      <c r="AF438" t="inlineStr">
        <is>
          <t>Ej behandlad</t>
        </is>
      </c>
      <c r="AG438" t="inlineStr">
        <is>
          <t>AUTO_GENERERAD. Verifiera citat mot kallfil.</t>
        </is>
      </c>
      <c r="AH438" t="inlineStr">
        <is>
          <t>MEDIUM</t>
        </is>
      </c>
      <c r="AI438" t="inlineStr">
        <is>
          <t>AUTO</t>
        </is>
      </c>
      <c r="AJ438" t="inlineStr">
        <is>
          <t>Nej</t>
        </is>
      </c>
      <c r="AK438" t="inlineStr"/>
      <c r="AL438" t="inlineStr"/>
      <c r="AM438" t="inlineStr"/>
      <c r="AN438" t="inlineStr"/>
      <c r="AO438" t="inlineStr">
        <is>
          <t>cmm4yurb604dbcuqwpk6azwk6</t>
        </is>
      </c>
      <c r="AP438" t="inlineStr">
        <is>
          <t>http://localhost:8787/api/admin/requirements/documents/cmm4yurb604dbcuqwpk6azwk6/view</t>
        </is>
      </c>
      <c r="AQ438">
        <f>HYPERLÄNK("http://localhost:8787/api/admin/requirements/documents/cmm4yurb604dbcuqwpk6azwk6/view";"Öppna PDF")</f>
        <v/>
      </c>
      <c r="AR438">
        <f>HYPERLINK("http://localhost:8787/api/admin/requirements/documents/cmm4yurb604dbcuqwpk6azwk6/view","Open PDF")</f>
        <v/>
      </c>
      <c r="AS438" t="inlineStr">
        <is>
          <t>cmm55w57p0004cuisfrtpqly8</t>
        </is>
      </c>
      <c r="AT438" t="inlineStr">
        <is>
          <t>cmm4xvu980000cuh4vj0usz09</t>
        </is>
      </c>
      <c r="AU438" t="inlineStr"/>
      <c r="AV438" t="inlineStr">
        <is>
          <t>Kommun</t>
        </is>
      </c>
      <c r="AW438" t="inlineStr"/>
      <c r="AX438" t="inlineStr">
        <is>
          <t>0472-150</t>
        </is>
      </c>
      <c r="AY438" t="inlineStr">
        <is>
          <t>Beslut</t>
        </is>
      </c>
      <c r="AZ438" t="inlineStr">
        <is>
          <t>2026-02-11</t>
        </is>
      </c>
      <c r="BA438" t="inlineStr">
        <is>
          <t>2024.1848..pdf</t>
        </is>
      </c>
      <c r="BB438" t="inlineStr">
        <is>
          <t>Handlingar</t>
        </is>
      </c>
      <c r="BC438" t="inlineStr">
        <is>
          <t>AUTO</t>
        </is>
      </c>
      <c r="BD438" t="inlineStr"/>
      <c r="BE438" t="inlineStr"/>
      <c r="BF438" t="inlineStr">
        <is>
          <t>AUTO_GENERERAD. Bekrafta metadata mot kallfil.</t>
        </is>
      </c>
      <c r="BG438">
        <f>HYPERLINK("C:\Users\jimmy\Desktop\Examens arbete\Kod\Ny mapp\remix_-copy-of-miljöbeslut.se-portal\2024.1848..pdf", "Öppna PDF")</f>
        <v/>
      </c>
    </row>
    <row r="439">
      <c r="A439" t="inlineStr">
        <is>
          <t>KRAV-AUTO-000438</t>
        </is>
      </c>
      <c r="B439" t="inlineStr">
        <is>
          <t>ADMIN-INDEX-2026-02-27-00000000125C043F57453246863FE664CAFE6A3F0700950291EA24F0614FB6ACEDB12BF0E31D00000000010C0000950291EA24F0614FB6ACEDB12BF0E31D00002087A5860000</t>
        </is>
      </c>
      <c r="C439" t="inlineStr">
        <is>
          <t>cmm4yurbb04dhcuqw5ukgmklk</t>
        </is>
      </c>
      <c r="D439" t="inlineStr">
        <is>
          <t>http://localhost:8787/api/admin/requirements/documents/cmm4yurbb04dhcuqw5ukgmklk/view</t>
        </is>
      </c>
      <c r="E439">
        <f>HYPERLÄNK("http://localhost:8787/api/admin/requirements/documents/cmm4yurbb04dhcuqw5ukgmklk/view";"Öppna PDF")</f>
        <v/>
      </c>
      <c r="F439">
        <f>HYPERLINK("http://localhost:8787/api/admin/requirements/documents/cmm4yurbb04dhcuqw5ukgmklk/view","Open PDF")</f>
        <v/>
      </c>
      <c r="G439" t="inlineStr">
        <is>
          <t>cmm55w57p0004cuisfrtpqly8</t>
        </is>
      </c>
      <c r="H439" t="inlineStr">
        <is>
          <t>Beslutsvillkor</t>
        </is>
      </c>
      <c r="I439" t="inlineStr">
        <is>
          <t>MiljopaverkanForsiktighet</t>
        </is>
      </c>
      <c r="J439" t="inlineStr">
        <is>
          <t>Skyddsatgarder</t>
        </is>
      </c>
      <c r="K439" t="inlineStr">
        <is>
          <t>MIL.2024.21 11 Sida 4 (6) · Om det tydligt anges att det som önskas är hela och rena kläder och andra textilier som kan användas igen bör man inte betrakta textilen som avfall eller insamlingen som avfallsinsamling.</t>
        </is>
      </c>
      <c r="L439" t="inlineStr">
        <is>
          <t>MIL.2024.21 11 Sida 4 (6) · Om det tydligt anges att det som önskas är hela och rena kläder och andra textilier som kan användas igen bör man inte betrakta textilen som avfall eller insamlingen som avfallsinsamling.</t>
        </is>
      </c>
      <c r="M439" t="inlineStr">
        <is>
          <t>SKA</t>
        </is>
      </c>
      <c r="N439" t="inlineStr"/>
      <c r="O439" t="inlineStr"/>
      <c r="P439" t="inlineStr"/>
      <c r="Q439" t="inlineStr"/>
      <c r="R439" t="inlineStr">
        <is>
          <t>Alltid</t>
        </is>
      </c>
      <c r="S439" t="inlineStr"/>
      <c r="T439" t="inlineStr">
        <is>
          <t>212000</t>
        </is>
      </c>
      <c r="U439" t="inlineStr"/>
      <c r="V439" t="inlineStr"/>
      <c r="W439" t="inlineStr">
        <is>
          <t>Nej</t>
        </is>
      </c>
      <c r="X439" t="inlineStr">
        <is>
          <t>Nej</t>
        </is>
      </c>
      <c r="Y439" t="inlineStr">
        <is>
          <t>Nej</t>
        </is>
      </c>
      <c r="Z439" t="inlineStr">
        <is>
          <t>Nej</t>
        </is>
      </c>
      <c r="AA439" t="n">
        <v>10</v>
      </c>
      <c r="AB439" t="inlineStr">
        <is>
          <t>Miljopaverkan och forsiktighetsmatt</t>
        </is>
      </c>
      <c r="AC439" t="inlineStr">
        <is>
          <t>Miljo-PM</t>
        </is>
      </c>
      <c r="AD439" t="inlineStr">
        <is>
          <t>Nej</t>
        </is>
      </c>
      <c r="AE439" t="inlineStr">
        <is>
          <t>Nej</t>
        </is>
      </c>
      <c r="AF439" t="inlineStr">
        <is>
          <t>Ej behandlad</t>
        </is>
      </c>
      <c r="AG439" t="inlineStr">
        <is>
          <t>AUTO_GENERERAD. Verifiera citat mot kallfil.</t>
        </is>
      </c>
      <c r="AH439" t="inlineStr">
        <is>
          <t>MEDIUM</t>
        </is>
      </c>
      <c r="AI439" t="inlineStr">
        <is>
          <t>AUTO</t>
        </is>
      </c>
      <c r="AJ439" t="inlineStr">
        <is>
          <t>Nej</t>
        </is>
      </c>
      <c r="AK439" t="inlineStr"/>
      <c r="AL439" t="inlineStr"/>
      <c r="AM439" t="inlineStr"/>
      <c r="AN439" t="inlineStr"/>
      <c r="AO439" t="inlineStr">
        <is>
          <t>cmm4yurb604dbcuqwpk6azwk6</t>
        </is>
      </c>
      <c r="AP439" t="inlineStr">
        <is>
          <t>http://localhost:8787/api/admin/requirements/documents/cmm4yurb604dbcuqwpk6azwk6/view</t>
        </is>
      </c>
      <c r="AQ439">
        <f>HYPERLÄNK("http://localhost:8787/api/admin/requirements/documents/cmm4yurb604dbcuqwpk6azwk6/view";"Öppna PDF")</f>
        <v/>
      </c>
      <c r="AR439">
        <f>HYPERLINK("http://localhost:8787/api/admin/requirements/documents/cmm4yurb604dbcuqwpk6azwk6/view","Open PDF")</f>
        <v/>
      </c>
      <c r="AS439" t="inlineStr">
        <is>
          <t>cmm55w57p0004cuisfrtpqly8</t>
        </is>
      </c>
      <c r="AT439" t="inlineStr">
        <is>
          <t>cmm4xvu980000cuh4vj0usz09</t>
        </is>
      </c>
      <c r="AU439" t="inlineStr"/>
      <c r="AV439" t="inlineStr">
        <is>
          <t>Kommun</t>
        </is>
      </c>
      <c r="AW439" t="inlineStr"/>
      <c r="AX439" t="inlineStr">
        <is>
          <t>0472-150</t>
        </is>
      </c>
      <c r="AY439" t="inlineStr">
        <is>
          <t>Beslut</t>
        </is>
      </c>
      <c r="AZ439" t="inlineStr">
        <is>
          <t>2026-02-11</t>
        </is>
      </c>
      <c r="BA439" t="inlineStr">
        <is>
          <t>2024.1848..pdf</t>
        </is>
      </c>
      <c r="BB439" t="inlineStr">
        <is>
          <t>Handlingar</t>
        </is>
      </c>
      <c r="BC439" t="inlineStr">
        <is>
          <t>AUTO</t>
        </is>
      </c>
      <c r="BD439" t="inlineStr"/>
      <c r="BE439" t="inlineStr"/>
      <c r="BF439" t="inlineStr">
        <is>
          <t>AUTO_GENERERAD. Bekrafta metadata mot kallfil.</t>
        </is>
      </c>
      <c r="BG439">
        <f>HYPERLINK("C:\Users\jimmy\Desktop\Examens arbete\Kod\Ny mapp\remix_-copy-of-miljöbeslut.se-portal\2024.1848..pdf", "Öppna PDF")</f>
        <v/>
      </c>
    </row>
    <row r="440">
      <c r="A440" t="inlineStr">
        <is>
          <t>KRAV-AUTO-000439</t>
        </is>
      </c>
      <c r="B440" t="inlineStr">
        <is>
          <t>ADMIN-INDEX-2026-02-27-00000000125C043F57453246863FE664CAFE6A3F0700950291EA24F0614FB6ACEDB12BF0E31D00000000010C0000950291EA24F0614FB6ACEDB12BF0E31D00002087A5860000</t>
        </is>
      </c>
      <c r="C440" t="inlineStr">
        <is>
          <t>cmm4yurbb04dhcuqw5ukgmklk</t>
        </is>
      </c>
      <c r="D440" t="inlineStr">
        <is>
          <t>http://localhost:8787/api/admin/requirements/documents/cmm4yurbb04dhcuqw5ukgmklk/view</t>
        </is>
      </c>
      <c r="E440">
        <f>HYPERLÄNK("http://localhost:8787/api/admin/requirements/documents/cmm4yurbb04dhcuqw5ukgmklk/view";"Öppna PDF")</f>
        <v/>
      </c>
      <c r="F440">
        <f>HYPERLINK("http://localhost:8787/api/admin/requirements/documents/cmm4yurbb04dhcuqw5ukgmklk/view","Open PDF")</f>
        <v/>
      </c>
      <c r="G440" t="inlineStr">
        <is>
          <t>cmm55w57p0004cuisfrtpqly8</t>
        </is>
      </c>
      <c r="H440" t="inlineStr">
        <is>
          <t>Beslutsvillkor</t>
        </is>
      </c>
      <c r="I440" t="inlineStr">
        <is>
          <t>LagringsvolymTid</t>
        </is>
      </c>
      <c r="J440" t="inlineStr">
        <is>
          <t>Maxmangd</t>
        </is>
      </c>
      <c r="K440" t="inlineStr">
        <is>
          <t>Mer än 10 ton men högst 30 000 ton och avfallet ska användas för byggnads eller anläggningsändamål 2.</t>
        </is>
      </c>
      <c r="L440" t="inlineStr">
        <is>
          <t>Mer än 10 ton men högst 30 000 ton och avfallet ska användas för byggnads eller anläggningsändamål 2.</t>
        </is>
      </c>
      <c r="M440" t="inlineStr">
        <is>
          <t>SKA</t>
        </is>
      </c>
      <c r="N440" t="inlineStr"/>
      <c r="O440" t="inlineStr"/>
      <c r="P440" t="inlineStr"/>
      <c r="Q440" t="inlineStr"/>
      <c r="R440" t="inlineStr">
        <is>
          <t>Alltid</t>
        </is>
      </c>
      <c r="S440" t="inlineStr"/>
      <c r="T440" t="inlineStr">
        <is>
          <t>212000</t>
        </is>
      </c>
      <c r="U440" t="n">
        <v>10</v>
      </c>
      <c r="V440" t="inlineStr"/>
      <c r="W440" t="inlineStr">
        <is>
          <t>Nej</t>
        </is>
      </c>
      <c r="X440" t="inlineStr">
        <is>
          <t>Nej</t>
        </is>
      </c>
      <c r="Y440" t="inlineStr">
        <is>
          <t>Nej</t>
        </is>
      </c>
      <c r="Z440" t="inlineStr">
        <is>
          <t>Nej</t>
        </is>
      </c>
      <c r="AA440" t="n">
        <v>4</v>
      </c>
      <c r="AB440" t="inlineStr">
        <is>
          <t>Avfallsmangder och lagringstid</t>
        </is>
      </c>
      <c r="AC440" t="inlineStr">
        <is>
          <t>Avfallsforteckning</t>
        </is>
      </c>
      <c r="AD440" t="inlineStr">
        <is>
          <t>Nej</t>
        </is>
      </c>
      <c r="AE440" t="inlineStr">
        <is>
          <t>Nej</t>
        </is>
      </c>
      <c r="AF440" t="inlineStr">
        <is>
          <t>Ej behandlad</t>
        </is>
      </c>
      <c r="AG440" t="inlineStr">
        <is>
          <t>AUTO_GENERERAD. Verifiera citat mot kallfil.</t>
        </is>
      </c>
      <c r="AH440" t="inlineStr">
        <is>
          <t>MEDIUM</t>
        </is>
      </c>
      <c r="AI440" t="inlineStr">
        <is>
          <t>AUTO</t>
        </is>
      </c>
      <c r="AJ440" t="inlineStr">
        <is>
          <t>Nej</t>
        </is>
      </c>
      <c r="AK440" t="inlineStr"/>
      <c r="AL440" t="inlineStr"/>
      <c r="AM440" t="inlineStr"/>
      <c r="AN440" t="inlineStr"/>
      <c r="AO440" t="inlineStr">
        <is>
          <t>cmm4yurb604dbcuqwpk6azwk6</t>
        </is>
      </c>
      <c r="AP440" t="inlineStr">
        <is>
          <t>http://localhost:8787/api/admin/requirements/documents/cmm4yurb604dbcuqwpk6azwk6/view</t>
        </is>
      </c>
      <c r="AQ440">
        <f>HYPERLÄNK("http://localhost:8787/api/admin/requirements/documents/cmm4yurb604dbcuqwpk6azwk6/view";"Öppna PDF")</f>
        <v/>
      </c>
      <c r="AR440">
        <f>HYPERLINK("http://localhost:8787/api/admin/requirements/documents/cmm4yurb604dbcuqwpk6azwk6/view","Open PDF")</f>
        <v/>
      </c>
      <c r="AS440" t="inlineStr">
        <is>
          <t>cmm55w57p0004cuisfrtpqly8</t>
        </is>
      </c>
      <c r="AT440" t="inlineStr">
        <is>
          <t>cmm4xvu980000cuh4vj0usz09</t>
        </is>
      </c>
      <c r="AU440" t="inlineStr"/>
      <c r="AV440" t="inlineStr">
        <is>
          <t>Kommun</t>
        </is>
      </c>
      <c r="AW440" t="inlineStr"/>
      <c r="AX440" t="inlineStr">
        <is>
          <t>0472-150</t>
        </is>
      </c>
      <c r="AY440" t="inlineStr">
        <is>
          <t>Beslut</t>
        </is>
      </c>
      <c r="AZ440" t="inlineStr">
        <is>
          <t>2026-02-11</t>
        </is>
      </c>
      <c r="BA440" t="inlineStr">
        <is>
          <t>2024.1848..pdf</t>
        </is>
      </c>
      <c r="BB440" t="inlineStr">
        <is>
          <t>Handlingar</t>
        </is>
      </c>
      <c r="BC440" t="inlineStr">
        <is>
          <t>AUTO</t>
        </is>
      </c>
      <c r="BD440" t="inlineStr"/>
      <c r="BE440" t="inlineStr"/>
      <c r="BF440" t="inlineStr">
        <is>
          <t>AUTO_GENERERAD. Bekrafta metadata mot kallfil.</t>
        </is>
      </c>
      <c r="BG440">
        <f>HYPERLINK("C:\Users\jimmy\Desktop\Examens arbete\Kod\Ny mapp\remix_-copy-of-miljöbeslut.se-portal\2024.1848..pdf", "Öppna PDF")</f>
        <v/>
      </c>
    </row>
    <row r="441">
      <c r="A441" t="inlineStr">
        <is>
          <t>KRAV-AUTO-000440</t>
        </is>
      </c>
      <c r="B441" t="inlineStr">
        <is>
          <t>ADMIN-INDEX-2026-02-27-00000000125C043F57453246863FE664CAFE6A3F0700950291EA24F0614FB6ACEDB12BF0E31D00000000010C0000950291EA24F0614FB6ACEDB12BF0E31D00002087A5860000</t>
        </is>
      </c>
      <c r="C441" t="inlineStr">
        <is>
          <t>cmm4yuraj04cncuqwndhbxyt2</t>
        </is>
      </c>
      <c r="D441" t="inlineStr">
        <is>
          <t>http://localhost:8787/api/admin/requirements/documents/cmm4yuraj04cncuqwndhbxyt2/view</t>
        </is>
      </c>
      <c r="E441">
        <f>HYPERLÄNK("http://localhost:8787/api/admin/requirements/documents/cmm4yuraj04cncuqwndhbxyt2/view";"Öppna PDF")</f>
        <v/>
      </c>
      <c r="F441">
        <f>HYPERLINK("http://localhost:8787/api/admin/requirements/documents/cmm4yuraj04cncuqwndhbxyt2/view","Open PDF")</f>
        <v/>
      </c>
      <c r="G441" t="inlineStr">
        <is>
          <t>cmm55w57p0004cuisfrtpqly8</t>
        </is>
      </c>
      <c r="H441" t="inlineStr">
        <is>
          <t>Beslutsvillkor</t>
        </is>
      </c>
      <c r="I441" t="inlineStr">
        <is>
          <t>MiljopaverkanForsiktighet</t>
        </is>
      </c>
      <c r="J441" t="inlineStr">
        <is>
          <t>Skyddsatgarder</t>
        </is>
      </c>
      <c r="K441" t="inlineStr">
        <is>
          <t>Ifråga om farligt avfall bör avfallslämnaren även kontrollera att mottagaren har det tillstånd som krävs för att hantera avfallet.</t>
        </is>
      </c>
      <c r="L441" t="inlineStr">
        <is>
          <t>Ifråga om farligt avfall bör avfallslämnaren även kontrollera att mottagaren har det tillstånd som krävs för att hantera avfallet.</t>
        </is>
      </c>
      <c r="M441" t="inlineStr">
        <is>
          <t>SKA</t>
        </is>
      </c>
      <c r="N441" t="inlineStr"/>
      <c r="O441" t="inlineStr"/>
      <c r="P441" t="inlineStr">
        <is>
          <t>Arlig</t>
        </is>
      </c>
      <c r="Q441" t="inlineStr"/>
      <c r="R441" t="inlineStr">
        <is>
          <t>Alltid</t>
        </is>
      </c>
      <c r="S441" t="inlineStr"/>
      <c r="T441" t="inlineStr">
        <is>
          <t>212000</t>
        </is>
      </c>
      <c r="U441" t="inlineStr"/>
      <c r="V441" t="inlineStr"/>
      <c r="W441" t="inlineStr">
        <is>
          <t>Nej</t>
        </is>
      </c>
      <c r="X441" t="inlineStr">
        <is>
          <t>Nej</t>
        </is>
      </c>
      <c r="Y441" t="inlineStr">
        <is>
          <t>Nej</t>
        </is>
      </c>
      <c r="Z441" t="inlineStr">
        <is>
          <t>Nej</t>
        </is>
      </c>
      <c r="AA441" t="n">
        <v>10</v>
      </c>
      <c r="AB441" t="inlineStr">
        <is>
          <t>Miljopaverkan och forsiktighetsmatt</t>
        </is>
      </c>
      <c r="AC441" t="inlineStr">
        <is>
          <t>Miljo-PM</t>
        </is>
      </c>
      <c r="AD441" t="inlineStr">
        <is>
          <t>Nej</t>
        </is>
      </c>
      <c r="AE441" t="inlineStr">
        <is>
          <t>Nej</t>
        </is>
      </c>
      <c r="AF441" t="inlineStr">
        <is>
          <t>Ej behandlad</t>
        </is>
      </c>
      <c r="AG441" t="inlineStr">
        <is>
          <t>AUTO_GENERERAD. Verifiera citat mot kallfil.</t>
        </is>
      </c>
      <c r="AH441" t="inlineStr">
        <is>
          <t>MEDIUM</t>
        </is>
      </c>
      <c r="AI441" t="inlineStr">
        <is>
          <t>AUTO</t>
        </is>
      </c>
      <c r="AJ441" t="inlineStr">
        <is>
          <t>Nej</t>
        </is>
      </c>
      <c r="AK441" t="inlineStr"/>
      <c r="AL441" t="inlineStr"/>
      <c r="AM441" t="inlineStr"/>
      <c r="AN441" t="inlineStr"/>
      <c r="AO441" t="inlineStr">
        <is>
          <t>cmm4yurb604dbcuqwpk6azwk6</t>
        </is>
      </c>
      <c r="AP441" t="inlineStr">
        <is>
          <t>http://localhost:8787/api/admin/requirements/documents/cmm4yurb604dbcuqwpk6azwk6/view</t>
        </is>
      </c>
      <c r="AQ441">
        <f>HYPERLÄNK("http://localhost:8787/api/admin/requirements/documents/cmm4yurb604dbcuqwpk6azwk6/view";"Öppna PDF")</f>
        <v/>
      </c>
      <c r="AR441">
        <f>HYPERLINK("http://localhost:8787/api/admin/requirements/documents/cmm4yurb604dbcuqwpk6azwk6/view","Open PDF")</f>
        <v/>
      </c>
      <c r="AS441" t="inlineStr">
        <is>
          <t>cmm55w57p0004cuisfrtpqly8</t>
        </is>
      </c>
      <c r="AT441" t="inlineStr">
        <is>
          <t>cmm4xvu980000cuh4vj0usz09</t>
        </is>
      </c>
      <c r="AU441" t="inlineStr"/>
      <c r="AV441" t="inlineStr">
        <is>
          <t>Kommun</t>
        </is>
      </c>
      <c r="AW441" t="inlineStr"/>
      <c r="AX441" t="inlineStr">
        <is>
          <t>0472-150</t>
        </is>
      </c>
      <c r="AY441" t="inlineStr">
        <is>
          <t>Beslut</t>
        </is>
      </c>
      <c r="AZ441" t="inlineStr">
        <is>
          <t>2026-02-11</t>
        </is>
      </c>
      <c r="BA441" t="inlineStr">
        <is>
          <t>2024.1848..pdf</t>
        </is>
      </c>
      <c r="BB441" t="inlineStr">
        <is>
          <t>Handlingar</t>
        </is>
      </c>
      <c r="BC441" t="inlineStr">
        <is>
          <t>AUTO</t>
        </is>
      </c>
      <c r="BD441" t="inlineStr"/>
      <c r="BE441" t="inlineStr"/>
      <c r="BF441" t="inlineStr">
        <is>
          <t>AUTO_GENERERAD. Bekrafta metadata mot kallfil.</t>
        </is>
      </c>
      <c r="BG441">
        <f>HYPERLINK("C:\Users\jimmy\Desktop\Examens arbete\Kod\Ny mapp\remix_-copy-of-miljöbeslut.se-portal\2024.1848..pdf", "Öppna PDF")</f>
        <v/>
      </c>
    </row>
    <row r="442">
      <c r="A442" t="inlineStr">
        <is>
          <t>KRAV-AUTO-000441</t>
        </is>
      </c>
      <c r="B442" t="inlineStr">
        <is>
          <t>ADMIN-INDEX-2026-02-27-00000000125C043F57453246863FE664CAFE6A3F0700950291EA24F0614FB6ACEDB12BF0E31D00000000010C0000950291EA24F0614FB6ACEDB12BF0E31D00002087A5860000</t>
        </is>
      </c>
      <c r="C442" t="inlineStr">
        <is>
          <t>cmm4yuraj04cncuqwndhbxyt2</t>
        </is>
      </c>
      <c r="D442" t="inlineStr">
        <is>
          <t>http://localhost:8787/api/admin/requirements/documents/cmm4yuraj04cncuqwndhbxyt2/view</t>
        </is>
      </c>
      <c r="E442">
        <f>HYPERLÄNK("http://localhost:8787/api/admin/requirements/documents/cmm4yuraj04cncuqwndhbxyt2/view";"Öppna PDF")</f>
        <v/>
      </c>
      <c r="F442">
        <f>HYPERLINK("http://localhost:8787/api/admin/requirements/documents/cmm4yuraj04cncuqwndhbxyt2/view","Open PDF")</f>
        <v/>
      </c>
      <c r="G442" t="inlineStr">
        <is>
          <t>cmm55w57p0004cuisfrtpqly8</t>
        </is>
      </c>
      <c r="H442" t="inlineStr">
        <is>
          <t>Beslutsvillkor</t>
        </is>
      </c>
      <c r="I442" t="inlineStr">
        <is>
          <t>LagringsvolymTid</t>
        </is>
      </c>
      <c r="J442" t="inlineStr">
        <is>
          <t>Maxmangd</t>
        </is>
      </c>
      <c r="K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L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M442" t="inlineStr">
        <is>
          <t>SKA</t>
        </is>
      </c>
      <c r="N442" t="inlineStr"/>
      <c r="O442" t="inlineStr"/>
      <c r="P442" t="inlineStr"/>
      <c r="Q442" t="inlineStr"/>
      <c r="R442" t="inlineStr">
        <is>
          <t>Alltid</t>
        </is>
      </c>
      <c r="S442" t="inlineStr"/>
      <c r="T442" t="inlineStr">
        <is>
          <t>212000</t>
        </is>
      </c>
      <c r="U442" t="inlineStr"/>
      <c r="V442" t="inlineStr"/>
      <c r="W442" t="inlineStr">
        <is>
          <t>Nej</t>
        </is>
      </c>
      <c r="X442" t="inlineStr">
        <is>
          <t>Nej</t>
        </is>
      </c>
      <c r="Y442" t="inlineStr">
        <is>
          <t>Nej</t>
        </is>
      </c>
      <c r="Z442" t="inlineStr">
        <is>
          <t>Nej</t>
        </is>
      </c>
      <c r="AA442" t="n">
        <v>4</v>
      </c>
      <c r="AB442" t="inlineStr">
        <is>
          <t>Avfallsmangder och lagringstid</t>
        </is>
      </c>
      <c r="AC442" t="inlineStr">
        <is>
          <t>Avfallsforteckning</t>
        </is>
      </c>
      <c r="AD442" t="inlineStr">
        <is>
          <t>Nej</t>
        </is>
      </c>
      <c r="AE442" t="inlineStr">
        <is>
          <t>Nej</t>
        </is>
      </c>
      <c r="AF442" t="inlineStr">
        <is>
          <t>Ej behandlad</t>
        </is>
      </c>
      <c r="AG442" t="inlineStr">
        <is>
          <t>AUTO_GENERERAD. Verifiera citat mot kallfil.</t>
        </is>
      </c>
      <c r="AH442" t="inlineStr">
        <is>
          <t>MEDIUM</t>
        </is>
      </c>
      <c r="AI442" t="inlineStr">
        <is>
          <t>AUTO</t>
        </is>
      </c>
      <c r="AJ442" t="inlineStr">
        <is>
          <t>Nej</t>
        </is>
      </c>
      <c r="AK442" t="inlineStr"/>
      <c r="AL442" t="inlineStr"/>
      <c r="AM442" t="inlineStr"/>
      <c r="AN442" t="inlineStr"/>
      <c r="AO442" t="inlineStr">
        <is>
          <t>cmm4yurb604dbcuqwpk6azwk6</t>
        </is>
      </c>
      <c r="AP442" t="inlineStr">
        <is>
          <t>http://localhost:8787/api/admin/requirements/documents/cmm4yurb604dbcuqwpk6azwk6/view</t>
        </is>
      </c>
      <c r="AQ442">
        <f>HYPERLÄNK("http://localhost:8787/api/admin/requirements/documents/cmm4yurb604dbcuqwpk6azwk6/view";"Öppna PDF")</f>
        <v/>
      </c>
      <c r="AR442">
        <f>HYPERLINK("http://localhost:8787/api/admin/requirements/documents/cmm4yurb604dbcuqwpk6azwk6/view","Open PDF")</f>
        <v/>
      </c>
      <c r="AS442" t="inlineStr">
        <is>
          <t>cmm55w57p0004cuisfrtpqly8</t>
        </is>
      </c>
      <c r="AT442" t="inlineStr">
        <is>
          <t>cmm4xvu980000cuh4vj0usz09</t>
        </is>
      </c>
      <c r="AU442" t="inlineStr"/>
      <c r="AV442" t="inlineStr">
        <is>
          <t>Kommun</t>
        </is>
      </c>
      <c r="AW442" t="inlineStr"/>
      <c r="AX442" t="inlineStr">
        <is>
          <t>0472-150</t>
        </is>
      </c>
      <c r="AY442" t="inlineStr">
        <is>
          <t>Beslut</t>
        </is>
      </c>
      <c r="AZ442" t="inlineStr">
        <is>
          <t>2026-02-11</t>
        </is>
      </c>
      <c r="BA442" t="inlineStr">
        <is>
          <t>2024.1848..pdf</t>
        </is>
      </c>
      <c r="BB442" t="inlineStr">
        <is>
          <t>Handlingar</t>
        </is>
      </c>
      <c r="BC442" t="inlineStr">
        <is>
          <t>AUTO</t>
        </is>
      </c>
      <c r="BD442" t="inlineStr"/>
      <c r="BE442" t="inlineStr"/>
      <c r="BF442" t="inlineStr">
        <is>
          <t>AUTO_GENERERAD. Bekrafta metadata mot kallfil.</t>
        </is>
      </c>
      <c r="BG442">
        <f>HYPERLINK("C:\Users\jimmy\Desktop\Examens arbete\Kod\Ny mapp\remix_-copy-of-miljöbeslut.se-portal\2024.1848..pdf", "Öppna PDF")</f>
        <v/>
      </c>
    </row>
    <row r="443">
      <c r="A443" t="inlineStr">
        <is>
          <t>KRAV-AUTO-000442</t>
        </is>
      </c>
      <c r="B443" t="inlineStr">
        <is>
          <t>ADMIN-INDEX-2026-02-27-00000000125C043F57453246863FE664CAFE6A3F0700950291EA24F0614FB6ACEDB12BF0E31D00000000010C0000950291EA24F0614FB6ACEDB12BF0E31D00002087A5860000</t>
        </is>
      </c>
      <c r="C443" t="inlineStr">
        <is>
          <t>cmm4yuraj04cncuqwndhbxyt2</t>
        </is>
      </c>
      <c r="D443" t="inlineStr">
        <is>
          <t>http://localhost:8787/api/admin/requirements/documents/cmm4yuraj04cncuqwndhbxyt2/view</t>
        </is>
      </c>
      <c r="E443">
        <f>HYPERLÄNK("http://localhost:8787/api/admin/requirements/documents/cmm4yuraj04cncuqwndhbxyt2/view";"Öppna PDF")</f>
        <v/>
      </c>
      <c r="F443">
        <f>HYPERLINK("http://localhost:8787/api/admin/requirements/documents/cmm4yuraj04cncuqwndhbxyt2/view","Open PDF")</f>
        <v/>
      </c>
      <c r="G443" t="inlineStr">
        <is>
          <t>cmm55w57p0004cuisfrtpqly8</t>
        </is>
      </c>
      <c r="H443" t="inlineStr">
        <is>
          <t>Beslutsvillkor</t>
        </is>
      </c>
      <c r="I443" t="inlineStr">
        <is>
          <t>MiljopaverkanForsiktighet</t>
        </is>
      </c>
      <c r="J443" t="inlineStr">
        <is>
          <t>Skyddsatgarder</t>
        </is>
      </c>
      <c r="K443" t="inlineStr">
        <is>
          <t> Farligt avfall och lagring kemiska produkter ska hanteras så att spridning ut i omgivningen inte sker.</t>
        </is>
      </c>
      <c r="L443" t="inlineStr">
        <is>
          <t> Farligt avfall och lagring kemiska produkter ska hanteras så att spridning ut i omgivningen inte sker.</t>
        </is>
      </c>
      <c r="M443" t="inlineStr">
        <is>
          <t>SKA</t>
        </is>
      </c>
      <c r="N443" t="inlineStr"/>
      <c r="O443" t="inlineStr"/>
      <c r="P443" t="inlineStr">
        <is>
          <t>Arlig</t>
        </is>
      </c>
      <c r="Q443" t="inlineStr"/>
      <c r="R443" t="inlineStr">
        <is>
          <t>Alltid</t>
        </is>
      </c>
      <c r="S443" t="inlineStr"/>
      <c r="T443" t="inlineStr">
        <is>
          <t>212000</t>
        </is>
      </c>
      <c r="U443" t="inlineStr"/>
      <c r="V443" t="inlineStr"/>
      <c r="W443" t="inlineStr">
        <is>
          <t>Nej</t>
        </is>
      </c>
      <c r="X443" t="inlineStr">
        <is>
          <t>Nej</t>
        </is>
      </c>
      <c r="Y443" t="inlineStr">
        <is>
          <t>Nej</t>
        </is>
      </c>
      <c r="Z443" t="inlineStr">
        <is>
          <t>Nej</t>
        </is>
      </c>
      <c r="AA443" t="n">
        <v>10</v>
      </c>
      <c r="AB443" t="inlineStr">
        <is>
          <t>Miljopaverkan och forsiktighetsmatt</t>
        </is>
      </c>
      <c r="AC443" t="inlineStr">
        <is>
          <t>Miljo-PM</t>
        </is>
      </c>
      <c r="AD443" t="inlineStr">
        <is>
          <t>Nej</t>
        </is>
      </c>
      <c r="AE443" t="inlineStr">
        <is>
          <t>Nej</t>
        </is>
      </c>
      <c r="AF443" t="inlineStr">
        <is>
          <t>Ej behandlad</t>
        </is>
      </c>
      <c r="AG443" t="inlineStr">
        <is>
          <t>AUTO_GENERERAD. Verifiera citat mot kallfil.</t>
        </is>
      </c>
      <c r="AH443" t="inlineStr">
        <is>
          <t>MEDIUM</t>
        </is>
      </c>
      <c r="AI443" t="inlineStr">
        <is>
          <t>AUTO</t>
        </is>
      </c>
      <c r="AJ443" t="inlineStr">
        <is>
          <t>Nej</t>
        </is>
      </c>
      <c r="AK443" t="inlineStr"/>
      <c r="AL443" t="inlineStr"/>
      <c r="AM443" t="inlineStr"/>
      <c r="AN443" t="inlineStr"/>
      <c r="AO443" t="inlineStr">
        <is>
          <t>cmm4yurb604dbcuqwpk6azwk6</t>
        </is>
      </c>
      <c r="AP443" t="inlineStr">
        <is>
          <t>http://localhost:8787/api/admin/requirements/documents/cmm4yurb604dbcuqwpk6azwk6/view</t>
        </is>
      </c>
      <c r="AQ443">
        <f>HYPERLÄNK("http://localhost:8787/api/admin/requirements/documents/cmm4yurb604dbcuqwpk6azwk6/view";"Öppna PDF")</f>
        <v/>
      </c>
      <c r="AR443">
        <f>HYPERLINK("http://localhost:8787/api/admin/requirements/documents/cmm4yurb604dbcuqwpk6azwk6/view","Open PDF")</f>
        <v/>
      </c>
      <c r="AS443" t="inlineStr">
        <is>
          <t>cmm55w57p0004cuisfrtpqly8</t>
        </is>
      </c>
      <c r="AT443" t="inlineStr">
        <is>
          <t>cmm4xvu980000cuh4vj0usz09</t>
        </is>
      </c>
      <c r="AU443" t="inlineStr"/>
      <c r="AV443" t="inlineStr">
        <is>
          <t>Kommun</t>
        </is>
      </c>
      <c r="AW443" t="inlineStr"/>
      <c r="AX443" t="inlineStr">
        <is>
          <t>0472-150</t>
        </is>
      </c>
      <c r="AY443" t="inlineStr">
        <is>
          <t>Beslut</t>
        </is>
      </c>
      <c r="AZ443" t="inlineStr">
        <is>
          <t>2026-02-11</t>
        </is>
      </c>
      <c r="BA443" t="inlineStr">
        <is>
          <t>2024.1848..pdf</t>
        </is>
      </c>
      <c r="BB443" t="inlineStr">
        <is>
          <t>Handlingar</t>
        </is>
      </c>
      <c r="BC443" t="inlineStr">
        <is>
          <t>AUTO</t>
        </is>
      </c>
      <c r="BD443" t="inlineStr"/>
      <c r="BE443" t="inlineStr"/>
      <c r="BF443" t="inlineStr">
        <is>
          <t>AUTO_GENERERAD. Bekrafta metadata mot kallfil.</t>
        </is>
      </c>
      <c r="BG443">
        <f>HYPERLINK("C:\Users\jimmy\Desktop\Examens arbete\Kod\Ny mapp\remix_-copy-of-miljöbeslut.se-portal\2024.1848..pdf", "Öppna PDF")</f>
        <v/>
      </c>
    </row>
    <row r="444">
      <c r="A444" t="inlineStr">
        <is>
          <t>KRAV-AUTO-000443</t>
        </is>
      </c>
      <c r="B444" t="inlineStr">
        <is>
          <t>ADMIN-INDEX-2026-02-27-00000000125C043F57453246863FE664CAFE6A3F0700950291EA24F0614FB6ACEDB12BF0E31D00000000010C0000950291EA24F0614FB6ACEDB12BF0E31D00002087A5860000</t>
        </is>
      </c>
      <c r="C444" t="inlineStr">
        <is>
          <t>cmm4yurag04ckcuqwoxpju3a2</t>
        </is>
      </c>
      <c r="D444" t="inlineStr">
        <is>
          <t>http://localhost:8787/api/admin/requirements/documents/cmm4yurag04ckcuqwoxpju3a2/view</t>
        </is>
      </c>
      <c r="E444">
        <f>HYPERLÄNK("http://localhost:8787/api/admin/requirements/documents/cmm4yurag04ckcuqwoxpju3a2/view";"Öppna PDF")</f>
        <v/>
      </c>
      <c r="F444">
        <f>HYPERLINK("http://localhost:8787/api/admin/requirements/documents/cmm4yurag04ckcuqwoxpju3a2/view","Open PDF")</f>
        <v/>
      </c>
      <c r="G444" t="inlineStr">
        <is>
          <t>cmm55w57p0004cuisfrtpqly8</t>
        </is>
      </c>
      <c r="H444" t="inlineStr">
        <is>
          <t>Beslutsvillkor</t>
        </is>
      </c>
      <c r="I444" t="inlineStr">
        <is>
          <t>LagringsvolymTid</t>
        </is>
      </c>
      <c r="J444" t="inlineStr">
        <is>
          <t>Maxmangd</t>
        </is>
      </c>
      <c r="K444" t="inlineStr">
        <is>
          <t>Mängder borttransporterade massor Från området har körts bort 1 049,1 ton jordmaterial och 167,46 ton asfalt, se faktureringsunderlag enligt bilaga 3.</t>
        </is>
      </c>
      <c r="L444" t="inlineStr">
        <is>
          <t>Mängder borttransporterade massor Från området har körts bort 1 049,1 ton jordmaterial och 167,46 ton asfalt, se faktureringsunderlag enligt bilaga 3.</t>
        </is>
      </c>
      <c r="M444" t="inlineStr">
        <is>
          <t>BOR</t>
        </is>
      </c>
      <c r="N444" t="inlineStr"/>
      <c r="O444" t="inlineStr"/>
      <c r="P444" t="inlineStr"/>
      <c r="Q444" t="inlineStr"/>
      <c r="R444" t="inlineStr">
        <is>
          <t>Alltid</t>
        </is>
      </c>
      <c r="S444" t="inlineStr"/>
      <c r="T444" t="inlineStr"/>
      <c r="U444" t="n">
        <v>49.1</v>
      </c>
      <c r="V444" t="inlineStr"/>
      <c r="W444" t="inlineStr">
        <is>
          <t>Nej</t>
        </is>
      </c>
      <c r="X444" t="inlineStr">
        <is>
          <t>Nej</t>
        </is>
      </c>
      <c r="Y444" t="inlineStr">
        <is>
          <t>Nej</t>
        </is>
      </c>
      <c r="Z444" t="inlineStr">
        <is>
          <t>Nej</t>
        </is>
      </c>
      <c r="AA444" t="n">
        <v>4</v>
      </c>
      <c r="AB444" t="inlineStr">
        <is>
          <t>Avfallsmangder och lagringstid</t>
        </is>
      </c>
      <c r="AC444" t="inlineStr">
        <is>
          <t>Avfallsforteckning</t>
        </is>
      </c>
      <c r="AD444" t="inlineStr">
        <is>
          <t>Nej</t>
        </is>
      </c>
      <c r="AE444" t="inlineStr">
        <is>
          <t>Nej</t>
        </is>
      </c>
      <c r="AF444" t="inlineStr">
        <is>
          <t>Ej behandlad</t>
        </is>
      </c>
      <c r="AG444" t="inlineStr">
        <is>
          <t>AUTO_GENERERAD. Verifiera citat mot kallfil.</t>
        </is>
      </c>
      <c r="AH444" t="inlineStr">
        <is>
          <t>LOW</t>
        </is>
      </c>
      <c r="AI444" t="inlineStr">
        <is>
          <t>AUTO</t>
        </is>
      </c>
      <c r="AJ444" t="inlineStr">
        <is>
          <t>Nej</t>
        </is>
      </c>
      <c r="AK444" t="inlineStr"/>
      <c r="AL444" t="inlineStr"/>
      <c r="AM444" t="inlineStr"/>
      <c r="AN444" t="inlineStr"/>
      <c r="AO444" t="inlineStr">
        <is>
          <t>cmm4yurb604dbcuqwpk6azwk6</t>
        </is>
      </c>
      <c r="AP444" t="inlineStr">
        <is>
          <t>http://localhost:8787/api/admin/requirements/documents/cmm4yurb604dbcuqwpk6azwk6/view</t>
        </is>
      </c>
      <c r="AQ444">
        <f>HYPERLÄNK("http://localhost:8787/api/admin/requirements/documents/cmm4yurb604dbcuqwpk6azwk6/view";"Öppna PDF")</f>
        <v/>
      </c>
      <c r="AR444">
        <f>HYPERLINK("http://localhost:8787/api/admin/requirements/documents/cmm4yurb604dbcuqwpk6azwk6/view","Open PDF")</f>
        <v/>
      </c>
      <c r="AS444" t="inlineStr">
        <is>
          <t>cmm55w57p0004cuisfrtpqly8</t>
        </is>
      </c>
      <c r="AT444" t="inlineStr">
        <is>
          <t>cmm4xvu980000cuh4vj0usz09</t>
        </is>
      </c>
      <c r="AU444" t="inlineStr"/>
      <c r="AV444" t="inlineStr">
        <is>
          <t>Kommun</t>
        </is>
      </c>
      <c r="AW444" t="inlineStr"/>
      <c r="AX444" t="inlineStr">
        <is>
          <t>0472-150</t>
        </is>
      </c>
      <c r="AY444" t="inlineStr">
        <is>
          <t>Beslut</t>
        </is>
      </c>
      <c r="AZ444" t="inlineStr">
        <is>
          <t>2026-02-11</t>
        </is>
      </c>
      <c r="BA444" t="inlineStr">
        <is>
          <t>2024.1848..pdf</t>
        </is>
      </c>
      <c r="BB444" t="inlineStr">
        <is>
          <t>Handlingar</t>
        </is>
      </c>
      <c r="BC444" t="inlineStr">
        <is>
          <t>AUTO</t>
        </is>
      </c>
      <c r="BD444" t="inlineStr"/>
      <c r="BE444" t="inlineStr"/>
      <c r="BF444" t="inlineStr">
        <is>
          <t>AUTO_GENERERAD. Bekrafta metadata mot kallfil.</t>
        </is>
      </c>
      <c r="BG444">
        <f>HYPERLINK("C:\Users\jimmy\Desktop\Examens arbete\Kod\Ny mapp\remix_-copy-of-miljöbeslut.se-portal\2024.1848..pdf", "Öppna PDF")</f>
        <v/>
      </c>
    </row>
    <row r="445">
      <c r="A445" t="inlineStr">
        <is>
          <t>KRAV-AUTO-000444</t>
        </is>
      </c>
      <c r="B445" t="inlineStr">
        <is>
          <t>ADMIN-INDEX-2026-02-27-00000000125C043F57453246863FE664CAFE6A3F0700950291EA24F0614FB6ACEDB12BF0E31D00000000010C0000950291EA24F0614FB6ACEDB12BF0E31D00002087A5860000</t>
        </is>
      </c>
      <c r="C445" t="inlineStr">
        <is>
          <t>cmm4yurag04ckcuqwoxpju3a2</t>
        </is>
      </c>
      <c r="D445" t="inlineStr">
        <is>
          <t>http://localhost:8787/api/admin/requirements/documents/cmm4yurag04ckcuqwoxpju3a2/view</t>
        </is>
      </c>
      <c r="E445">
        <f>HYPERLÄNK("http://localhost:8787/api/admin/requirements/documents/cmm4yurag04ckcuqwoxpju3a2/view";"Öppna PDF")</f>
        <v/>
      </c>
      <c r="F445">
        <f>HYPERLINK("http://localhost:8787/api/admin/requirements/documents/cmm4yurag04ckcuqwoxpju3a2/view","Open PDF")</f>
        <v/>
      </c>
      <c r="G445" t="inlineStr">
        <is>
          <t>cmm55w57p0004cuisfrtpqly8</t>
        </is>
      </c>
      <c r="H445" t="inlineStr">
        <is>
          <t>Beslutsvillkor</t>
        </is>
      </c>
      <c r="I445" t="inlineStr">
        <is>
          <t>DriftEgenkontroll</t>
        </is>
      </c>
      <c r="J445" t="inlineStr">
        <is>
          <t>Journalforing</t>
        </is>
      </c>
      <c r="K445" t="inlineStr">
        <is>
          <t>Diarienummer: MIL.2024.1156 Beskrivning av genomfört arbete Arbetena med schakt, provtagning och borttransport av material har utförts under februari- mars 2025.</t>
        </is>
      </c>
      <c r="L445" t="inlineStr">
        <is>
          <t>Diarienummer: MIL.2024.1156 Beskrivning av genomfört arbete Arbetena med schakt, provtagning och borttransport av material har utförts under februari- mars 2025.</t>
        </is>
      </c>
      <c r="M445" t="inlineStr">
        <is>
          <t>BOR</t>
        </is>
      </c>
      <c r="N445" t="inlineStr"/>
      <c r="O445" t="inlineStr"/>
      <c r="P445" t="inlineStr"/>
      <c r="Q445" t="inlineStr"/>
      <c r="R445" t="inlineStr">
        <is>
          <t>Lopande drift</t>
        </is>
      </c>
      <c r="S445" t="inlineStr"/>
      <c r="T445" t="inlineStr"/>
      <c r="U445" t="inlineStr"/>
      <c r="V445" t="inlineStr"/>
      <c r="W445" t="inlineStr">
        <is>
          <t>Nej</t>
        </is>
      </c>
      <c r="X445" t="inlineStr">
        <is>
          <t>Nej</t>
        </is>
      </c>
      <c r="Y445" t="inlineStr">
        <is>
          <t>Ja</t>
        </is>
      </c>
      <c r="Z445" t="inlineStr">
        <is>
          <t>Nej</t>
        </is>
      </c>
      <c r="AA445" t="n">
        <v>7</v>
      </c>
      <c r="AB445" t="inlineStr">
        <is>
          <t>Egenkontrollrutiner</t>
        </is>
      </c>
      <c r="AC445" t="inlineStr">
        <is>
          <t>Egenkontrollprogram</t>
        </is>
      </c>
      <c r="AD445" t="inlineStr">
        <is>
          <t>Nej</t>
        </is>
      </c>
      <c r="AE445" t="inlineStr">
        <is>
          <t>Nej</t>
        </is>
      </c>
      <c r="AF445" t="inlineStr">
        <is>
          <t>Ej behandlad</t>
        </is>
      </c>
      <c r="AG445" t="inlineStr">
        <is>
          <t>AUTO_GENERERAD. Verifiera citat mot kallfil.</t>
        </is>
      </c>
      <c r="AH445" t="inlineStr">
        <is>
          <t>LOW</t>
        </is>
      </c>
      <c r="AI445" t="inlineStr">
        <is>
          <t>AUTO</t>
        </is>
      </c>
      <c r="AJ445" t="inlineStr">
        <is>
          <t>Nej</t>
        </is>
      </c>
      <c r="AK445" t="inlineStr"/>
      <c r="AL445" t="inlineStr"/>
      <c r="AM445" t="inlineStr"/>
      <c r="AN445" t="inlineStr"/>
      <c r="AO445" t="inlineStr">
        <is>
          <t>cmm4yurb604dbcuqwpk6azwk6</t>
        </is>
      </c>
      <c r="AP445" t="inlineStr">
        <is>
          <t>http://localhost:8787/api/admin/requirements/documents/cmm4yurb604dbcuqwpk6azwk6/view</t>
        </is>
      </c>
      <c r="AQ445">
        <f>HYPERLÄNK("http://localhost:8787/api/admin/requirements/documents/cmm4yurb604dbcuqwpk6azwk6/view";"Öppna PDF")</f>
        <v/>
      </c>
      <c r="AR445">
        <f>HYPERLINK("http://localhost:8787/api/admin/requirements/documents/cmm4yurb604dbcuqwpk6azwk6/view","Open PDF")</f>
        <v/>
      </c>
      <c r="AS445" t="inlineStr">
        <is>
          <t>cmm55w57p0004cuisfrtpqly8</t>
        </is>
      </c>
      <c r="AT445" t="inlineStr">
        <is>
          <t>cmm4xvu980000cuh4vj0usz09</t>
        </is>
      </c>
      <c r="AU445" t="inlineStr"/>
      <c r="AV445" t="inlineStr">
        <is>
          <t>Kommun</t>
        </is>
      </c>
      <c r="AW445" t="inlineStr"/>
      <c r="AX445" t="inlineStr">
        <is>
          <t>0472-150</t>
        </is>
      </c>
      <c r="AY445" t="inlineStr">
        <is>
          <t>Beslut</t>
        </is>
      </c>
      <c r="AZ445" t="inlineStr">
        <is>
          <t>2026-02-11</t>
        </is>
      </c>
      <c r="BA445" t="inlineStr">
        <is>
          <t>2024.1848..pdf</t>
        </is>
      </c>
      <c r="BB445" t="inlineStr">
        <is>
          <t>Handlingar</t>
        </is>
      </c>
      <c r="BC445" t="inlineStr">
        <is>
          <t>AUTO</t>
        </is>
      </c>
      <c r="BD445" t="inlineStr"/>
      <c r="BE445" t="inlineStr"/>
      <c r="BF445" t="inlineStr">
        <is>
          <t>AUTO_GENERERAD. Bekrafta metadata mot kallfil.</t>
        </is>
      </c>
      <c r="BG445">
        <f>HYPERLINK("C:\Users\jimmy\Desktop\Examens arbete\Kod\Ny mapp\remix_-copy-of-miljöbeslut.se-portal\2024.1848..pdf", "Öppna PDF")</f>
        <v/>
      </c>
    </row>
    <row r="446">
      <c r="A446" t="inlineStr">
        <is>
          <t>KRAV-AUTO-000445</t>
        </is>
      </c>
      <c r="B446" t="inlineStr">
        <is>
          <t>ADMIN-INDEX-2026-02-27-00000000125C043F57453246863FE664CAFE6A3F0700950291EA24F0614FB6ACEDB12BF0E31D00000000010C0000950291EA24F0614FB6ACEDB12BF0E31D00002087A5860000</t>
        </is>
      </c>
      <c r="C446" t="inlineStr">
        <is>
          <t>cmm4yurag04ckcuqwoxpju3a2</t>
        </is>
      </c>
      <c r="D446" t="inlineStr">
        <is>
          <t>http://localhost:8787/api/admin/requirements/documents/cmm4yurag04ckcuqwoxpju3a2/view</t>
        </is>
      </c>
      <c r="E446">
        <f>HYPERLÄNK("http://localhost:8787/api/admin/requirements/documents/cmm4yurag04ckcuqwoxpju3a2/view";"Öppna PDF")</f>
        <v/>
      </c>
      <c r="F446">
        <f>HYPERLINK("http://localhost:8787/api/admin/requirements/documents/cmm4yurag04ckcuqwoxpju3a2/view","Open PDF")</f>
        <v/>
      </c>
      <c r="G446" t="inlineStr">
        <is>
          <t>cmm55w57p0004cuisfrtpqly8</t>
        </is>
      </c>
      <c r="H446" t="inlineStr">
        <is>
          <t>Beslutsvillkor</t>
        </is>
      </c>
      <c r="I446" t="inlineStr">
        <is>
          <t>DagvattenLakvatten</t>
        </is>
      </c>
      <c r="J446" t="inlineStr">
        <is>
          <t>Uppsamling</t>
        </is>
      </c>
      <c r="K446" t="inlineStr">
        <is>
          <t>-- 1 of 2 -- Bilagor: Bilaga 1: Kartbilder över området Bilaga 2: Föroreningstabell över genomförd provtagning Bilaga 3: Fakturaunderlag gällande bortkörda massor -- 2 of 2 --</t>
        </is>
      </c>
      <c r="L446" t="inlineStr">
        <is>
          <t>-- 1 of 2 -- Bilagor: Bilaga 1: Kartbilder över området Bilaga 2: Föroreningstabell över genomförd provtagning Bilaga 3: Fakturaunderlag gällande bortkörda massor -- 2 of 2 --</t>
        </is>
      </c>
      <c r="M446" t="inlineStr">
        <is>
          <t>BOR</t>
        </is>
      </c>
      <c r="N446" t="inlineStr"/>
      <c r="O446" t="inlineStr"/>
      <c r="P446" t="inlineStr"/>
      <c r="Q446" t="inlineStr"/>
      <c r="R446" t="inlineStr">
        <is>
          <t>Vid nederbord och avrinning</t>
        </is>
      </c>
      <c r="S446" t="inlineStr"/>
      <c r="T446" t="inlineStr"/>
      <c r="U446" t="inlineStr"/>
      <c r="V446" t="inlineStr"/>
      <c r="W446" t="inlineStr">
        <is>
          <t>Nej</t>
        </is>
      </c>
      <c r="X446" t="inlineStr">
        <is>
          <t>Ja</t>
        </is>
      </c>
      <c r="Y446" t="inlineStr">
        <is>
          <t>Ja</t>
        </is>
      </c>
      <c r="Z446" t="inlineStr">
        <is>
          <t>Nej</t>
        </is>
      </c>
      <c r="AA446" t="n">
        <v>6</v>
      </c>
      <c r="AB446" t="inlineStr">
        <is>
          <t>Lakvattenhantering</t>
        </is>
      </c>
      <c r="AC446" t="inlineStr">
        <is>
          <t>Flodesschema dagvatten-lakvatten</t>
        </is>
      </c>
      <c r="AD446" t="inlineStr">
        <is>
          <t>Nej</t>
        </is>
      </c>
      <c r="AE446" t="inlineStr">
        <is>
          <t>Nej</t>
        </is>
      </c>
      <c r="AF446" t="inlineStr">
        <is>
          <t>Ej behandlad</t>
        </is>
      </c>
      <c r="AG446" t="inlineStr">
        <is>
          <t>AUTO_GENERERAD. Verifiera citat mot kallfil.</t>
        </is>
      </c>
      <c r="AH446" t="inlineStr">
        <is>
          <t>LOW</t>
        </is>
      </c>
      <c r="AI446" t="inlineStr">
        <is>
          <t>AUTO</t>
        </is>
      </c>
      <c r="AJ446" t="inlineStr">
        <is>
          <t>Nej</t>
        </is>
      </c>
      <c r="AK446" t="inlineStr"/>
      <c r="AL446" t="inlineStr"/>
      <c r="AM446" t="inlineStr"/>
      <c r="AN446" t="inlineStr"/>
      <c r="AO446" t="inlineStr">
        <is>
          <t>cmm4yurb604dbcuqwpk6azwk6</t>
        </is>
      </c>
      <c r="AP446" t="inlineStr">
        <is>
          <t>http://localhost:8787/api/admin/requirements/documents/cmm4yurb604dbcuqwpk6azwk6/view</t>
        </is>
      </c>
      <c r="AQ446">
        <f>HYPERLÄNK("http://localhost:8787/api/admin/requirements/documents/cmm4yurb604dbcuqwpk6azwk6/view";"Öppna PDF")</f>
        <v/>
      </c>
      <c r="AR446">
        <f>HYPERLINK("http://localhost:8787/api/admin/requirements/documents/cmm4yurb604dbcuqwpk6azwk6/view","Open PDF")</f>
        <v/>
      </c>
      <c r="AS446" t="inlineStr">
        <is>
          <t>cmm55w57p0004cuisfrtpqly8</t>
        </is>
      </c>
      <c r="AT446" t="inlineStr">
        <is>
          <t>cmm4xvu980000cuh4vj0usz09</t>
        </is>
      </c>
      <c r="AU446" t="inlineStr"/>
      <c r="AV446" t="inlineStr">
        <is>
          <t>Kommun</t>
        </is>
      </c>
      <c r="AW446" t="inlineStr"/>
      <c r="AX446" t="inlineStr">
        <is>
          <t>0472-150</t>
        </is>
      </c>
      <c r="AY446" t="inlineStr">
        <is>
          <t>Beslut</t>
        </is>
      </c>
      <c r="AZ446" t="inlineStr">
        <is>
          <t>2026-02-11</t>
        </is>
      </c>
      <c r="BA446" t="inlineStr">
        <is>
          <t>2024.1848..pdf</t>
        </is>
      </c>
      <c r="BB446" t="inlineStr">
        <is>
          <t>Handlingar</t>
        </is>
      </c>
      <c r="BC446" t="inlineStr">
        <is>
          <t>AUTO</t>
        </is>
      </c>
      <c r="BD446" t="inlineStr"/>
      <c r="BE446" t="inlineStr"/>
      <c r="BF446" t="inlineStr">
        <is>
          <t>AUTO_GENERERAD. Bekrafta metadata mot kallfil.</t>
        </is>
      </c>
      <c r="BG446">
        <f>HYPERLINK("C:\Users\jimmy\Desktop\Examens arbete\Kod\Ny mapp\remix_-copy-of-miljöbeslut.se-portal\2024.1848..pdf", "Öppna PDF")</f>
        <v/>
      </c>
    </row>
    <row r="447">
      <c r="A447" t="inlineStr">
        <is>
          <t>KRAV-AUTO-000446</t>
        </is>
      </c>
      <c r="B447" t="inlineStr">
        <is>
          <t>ADMIN-INDEX-2026-02-27-00000000125C043F57453246863FE664CAFE6A3F0700950291EA24F0614FB6ACEDB12BF0E31D00000000010C0000950291EA24F0614FB6ACEDB12BF0E31D00002087A5860000</t>
        </is>
      </c>
      <c r="C447" t="inlineStr">
        <is>
          <t>cmm4yurac04chcuqwh3tl0khu</t>
        </is>
      </c>
      <c r="D447" t="inlineStr">
        <is>
          <t>http://localhost:8787/api/admin/requirements/documents/cmm4yurac04chcuqwh3tl0khu/view</t>
        </is>
      </c>
      <c r="E447">
        <f>HYPERLÄNK("http://localhost:8787/api/admin/requirements/documents/cmm4yurac04chcuqwh3tl0khu/view";"Öppna PDF")</f>
        <v/>
      </c>
      <c r="F447">
        <f>HYPERLINK("http://localhost:8787/api/admin/requirements/documents/cmm4yurac04chcuqwh3tl0khu/view","Open PDF")</f>
        <v/>
      </c>
      <c r="G447" t="inlineStr">
        <is>
          <t>cmm55w57p0004cuisfrtpqly8</t>
        </is>
      </c>
      <c r="H447" t="inlineStr">
        <is>
          <t>Beslutsvillkor</t>
        </is>
      </c>
      <c r="I447" t="inlineStr">
        <is>
          <t>DagvattenLakvatten</t>
        </is>
      </c>
      <c r="J447" t="inlineStr">
        <is>
          <t>Uppsamling</t>
        </is>
      </c>
      <c r="K447" t="inlineStr">
        <is>
          <t>I höjd med Aringsås 19:25's södra tomtgräns ska en schakt för dagvattenledning ske.</t>
        </is>
      </c>
      <c r="L447" t="inlineStr">
        <is>
          <t>I höjd med Aringsås 19:25's södra tomtgräns ska en schakt för dagvattenledning ske.</t>
        </is>
      </c>
      <c r="M447" t="inlineStr">
        <is>
          <t>SKA</t>
        </is>
      </c>
      <c r="N447" t="inlineStr"/>
      <c r="O447" t="inlineStr"/>
      <c r="P447" t="inlineStr"/>
      <c r="Q447" t="inlineStr"/>
      <c r="R447" t="inlineStr">
        <is>
          <t>Vid nederbord och avrinning</t>
        </is>
      </c>
      <c r="S447" t="inlineStr"/>
      <c r="T447" t="inlineStr">
        <is>
          <t>212000</t>
        </is>
      </c>
      <c r="U447" t="inlineStr"/>
      <c r="V447" t="inlineStr"/>
      <c r="W447" t="inlineStr">
        <is>
          <t>Nej</t>
        </is>
      </c>
      <c r="X447" t="inlineStr">
        <is>
          <t>Ja</t>
        </is>
      </c>
      <c r="Y447" t="inlineStr">
        <is>
          <t>Ja</t>
        </is>
      </c>
      <c r="Z447" t="inlineStr">
        <is>
          <t>Nej</t>
        </is>
      </c>
      <c r="AA447" t="n">
        <v>6</v>
      </c>
      <c r="AB447" t="inlineStr">
        <is>
          <t>Lakvattenhantering</t>
        </is>
      </c>
      <c r="AC447" t="inlineStr">
        <is>
          <t>Flodesschema dagvatten-lakvatten</t>
        </is>
      </c>
      <c r="AD447" t="inlineStr">
        <is>
          <t>Nej</t>
        </is>
      </c>
      <c r="AE447" t="inlineStr">
        <is>
          <t>Nej</t>
        </is>
      </c>
      <c r="AF447" t="inlineStr">
        <is>
          <t>Ej behandlad</t>
        </is>
      </c>
      <c r="AG447" t="inlineStr">
        <is>
          <t>AUTO_GENERERAD. Verifiera citat mot kallfil.</t>
        </is>
      </c>
      <c r="AH447" t="inlineStr">
        <is>
          <t>MEDIUM</t>
        </is>
      </c>
      <c r="AI447" t="inlineStr">
        <is>
          <t>AUTO</t>
        </is>
      </c>
      <c r="AJ447" t="inlineStr">
        <is>
          <t>Nej</t>
        </is>
      </c>
      <c r="AK447" t="inlineStr"/>
      <c r="AL447" t="inlineStr"/>
      <c r="AM447" t="inlineStr"/>
      <c r="AN447" t="inlineStr"/>
      <c r="AO447" t="inlineStr">
        <is>
          <t>cmm4yurb604dbcuqwpk6azwk6</t>
        </is>
      </c>
      <c r="AP447" t="inlineStr">
        <is>
          <t>http://localhost:8787/api/admin/requirements/documents/cmm4yurb604dbcuqwpk6azwk6/view</t>
        </is>
      </c>
      <c r="AQ447">
        <f>HYPERLÄNK("http://localhost:8787/api/admin/requirements/documents/cmm4yurb604dbcuqwpk6azwk6/view";"Öppna PDF")</f>
        <v/>
      </c>
      <c r="AR447">
        <f>HYPERLINK("http://localhost:8787/api/admin/requirements/documents/cmm4yurb604dbcuqwpk6azwk6/view","Open PDF")</f>
        <v/>
      </c>
      <c r="AS447" t="inlineStr">
        <is>
          <t>cmm55w57p0004cuisfrtpqly8</t>
        </is>
      </c>
      <c r="AT447" t="inlineStr">
        <is>
          <t>cmm4xvu980000cuh4vj0usz09</t>
        </is>
      </c>
      <c r="AU447" t="inlineStr"/>
      <c r="AV447" t="inlineStr">
        <is>
          <t>Kommun</t>
        </is>
      </c>
      <c r="AW447" t="inlineStr"/>
      <c r="AX447" t="inlineStr">
        <is>
          <t>0472-150</t>
        </is>
      </c>
      <c r="AY447" t="inlineStr">
        <is>
          <t>Beslut</t>
        </is>
      </c>
      <c r="AZ447" t="inlineStr">
        <is>
          <t>2026-02-11</t>
        </is>
      </c>
      <c r="BA447" t="inlineStr">
        <is>
          <t>2024.1848..pdf</t>
        </is>
      </c>
      <c r="BB447" t="inlineStr">
        <is>
          <t>Handlingar</t>
        </is>
      </c>
      <c r="BC447" t="inlineStr">
        <is>
          <t>AUTO</t>
        </is>
      </c>
      <c r="BD447" t="inlineStr"/>
      <c r="BE447" t="inlineStr"/>
      <c r="BF447" t="inlineStr">
        <is>
          <t>AUTO_GENERERAD. Bekrafta metadata mot kallfil.</t>
        </is>
      </c>
      <c r="BG447">
        <f>HYPERLINK("C:\Users\jimmy\Desktop\Examens arbete\Kod\Ny mapp\remix_-copy-of-miljöbeslut.se-portal\2024.1848..pdf", "Öppna PDF")</f>
        <v/>
      </c>
    </row>
    <row r="448">
      <c r="A448" t="inlineStr">
        <is>
          <t>KRAV-AUTO-000447</t>
        </is>
      </c>
      <c r="B448" t="inlineStr">
        <is>
          <t>ADMIN-INDEX-2026-02-27-00000000125C043F57453246863FE664CAFE6A3F0700950291EA24F0614FB6ACEDB12BF0E31D00000000010C0000950291EA24F0614FB6ACEDB12BF0E31D00002087A5860000</t>
        </is>
      </c>
      <c r="C448" t="inlineStr">
        <is>
          <t>cmm4yurac04chcuqwh3tl0khu</t>
        </is>
      </c>
      <c r="D448" t="inlineStr">
        <is>
          <t>http://localhost:8787/api/admin/requirements/documents/cmm4yurac04chcuqwh3tl0khu/view</t>
        </is>
      </c>
      <c r="E448">
        <f>HYPERLÄNK("http://localhost:8787/api/admin/requirements/documents/cmm4yurac04chcuqwh3tl0khu/view";"Öppna PDF")</f>
        <v/>
      </c>
      <c r="F448">
        <f>HYPERLINK("http://localhost:8787/api/admin/requirements/documents/cmm4yurac04chcuqwh3tl0khu/view","Open PDF")</f>
        <v/>
      </c>
      <c r="G448" t="inlineStr">
        <is>
          <t>cmm55w57p0004cuisfrtpqly8</t>
        </is>
      </c>
      <c r="H448" t="inlineStr">
        <is>
          <t>Beslutsvillkor</t>
        </is>
      </c>
      <c r="I448" t="inlineStr">
        <is>
          <t>DriftEgenkontroll</t>
        </is>
      </c>
      <c r="J448" t="inlineStr">
        <is>
          <t>Journalforing</t>
        </is>
      </c>
      <c r="K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L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M448" t="inlineStr">
        <is>
          <t>SKA</t>
        </is>
      </c>
      <c r="N448" t="inlineStr"/>
      <c r="O448" t="inlineStr"/>
      <c r="P448" t="inlineStr"/>
      <c r="Q448" t="inlineStr"/>
      <c r="R448" t="inlineStr">
        <is>
          <t>Lopande drift</t>
        </is>
      </c>
      <c r="S448" t="inlineStr"/>
      <c r="T448" t="inlineStr">
        <is>
          <t>2035 01</t>
        </is>
      </c>
      <c r="U448" t="inlineStr"/>
      <c r="V448" t="inlineStr"/>
      <c r="W448" t="inlineStr">
        <is>
          <t>Nej</t>
        </is>
      </c>
      <c r="X448" t="inlineStr">
        <is>
          <t>Nej</t>
        </is>
      </c>
      <c r="Y448" t="inlineStr">
        <is>
          <t>Ja</t>
        </is>
      </c>
      <c r="Z448" t="inlineStr">
        <is>
          <t>Nej</t>
        </is>
      </c>
      <c r="AA448" t="n">
        <v>7</v>
      </c>
      <c r="AB448" t="inlineStr">
        <is>
          <t>Egenkontrollrutiner</t>
        </is>
      </c>
      <c r="AC448" t="inlineStr">
        <is>
          <t>Egenkontrollprogram</t>
        </is>
      </c>
      <c r="AD448" t="inlineStr">
        <is>
          <t>Nej</t>
        </is>
      </c>
      <c r="AE448" t="inlineStr">
        <is>
          <t>Nej</t>
        </is>
      </c>
      <c r="AF448" t="inlineStr">
        <is>
          <t>Ej behandlad</t>
        </is>
      </c>
      <c r="AG448" t="inlineStr">
        <is>
          <t>AUTO_GENERERAD. Verifiera citat mot kallfil.</t>
        </is>
      </c>
      <c r="AH448" t="inlineStr">
        <is>
          <t>MEDIUM</t>
        </is>
      </c>
      <c r="AI448" t="inlineStr">
        <is>
          <t>AUTO</t>
        </is>
      </c>
      <c r="AJ448" t="inlineStr">
        <is>
          <t>Nej</t>
        </is>
      </c>
      <c r="AK448" t="inlineStr"/>
      <c r="AL448" t="inlineStr"/>
      <c r="AM448" t="inlineStr"/>
      <c r="AN448" t="inlineStr"/>
      <c r="AO448" t="inlineStr">
        <is>
          <t>cmm4yurb604dbcuqwpk6azwk6</t>
        </is>
      </c>
      <c r="AP448" t="inlineStr">
        <is>
          <t>http://localhost:8787/api/admin/requirements/documents/cmm4yurb604dbcuqwpk6azwk6/view</t>
        </is>
      </c>
      <c r="AQ448">
        <f>HYPERLÄNK("http://localhost:8787/api/admin/requirements/documents/cmm4yurb604dbcuqwpk6azwk6/view";"Öppna PDF")</f>
        <v/>
      </c>
      <c r="AR448">
        <f>HYPERLINK("http://localhost:8787/api/admin/requirements/documents/cmm4yurb604dbcuqwpk6azwk6/view","Open PDF")</f>
        <v/>
      </c>
      <c r="AS448" t="inlineStr">
        <is>
          <t>cmm55w57p0004cuisfrtpqly8</t>
        </is>
      </c>
      <c r="AT448" t="inlineStr">
        <is>
          <t>cmm4xvu980000cuh4vj0usz09</t>
        </is>
      </c>
      <c r="AU448" t="inlineStr"/>
      <c r="AV448" t="inlineStr">
        <is>
          <t>Kommun</t>
        </is>
      </c>
      <c r="AW448" t="inlineStr"/>
      <c r="AX448" t="inlineStr">
        <is>
          <t>0472-150</t>
        </is>
      </c>
      <c r="AY448" t="inlineStr">
        <is>
          <t>Beslut</t>
        </is>
      </c>
      <c r="AZ448" t="inlineStr">
        <is>
          <t>2026-02-11</t>
        </is>
      </c>
      <c r="BA448" t="inlineStr">
        <is>
          <t>2024.1848..pdf</t>
        </is>
      </c>
      <c r="BB448" t="inlineStr">
        <is>
          <t>Handlingar</t>
        </is>
      </c>
      <c r="BC448" t="inlineStr">
        <is>
          <t>AUTO</t>
        </is>
      </c>
      <c r="BD448" t="inlineStr"/>
      <c r="BE448" t="inlineStr"/>
      <c r="BF448" t="inlineStr">
        <is>
          <t>AUTO_GENERERAD. Bekrafta metadata mot kallfil.</t>
        </is>
      </c>
      <c r="BG448">
        <f>HYPERLINK("C:\Users\jimmy\Desktop\Examens arbete\Kod\Ny mapp\remix_-copy-of-miljöbeslut.se-portal\2024.1848..pdf", "Öppna PDF")</f>
        <v/>
      </c>
    </row>
    <row r="449">
      <c r="A449" t="inlineStr">
        <is>
          <t>KRAV-AUTO-000448</t>
        </is>
      </c>
      <c r="B449" t="inlineStr">
        <is>
          <t>ADMIN-INDEX-2026-02-27-00000000125C043F57453246863FE664CAFE6A3F0700950291EA24F0614FB6ACEDB12BF0E31D00000000010C0000950291EA24F0614FB6ACEDB12BF0E31D00002087A5860000</t>
        </is>
      </c>
      <c r="C449" t="inlineStr">
        <is>
          <t>cmm4yurac04chcuqwh3tl0khu</t>
        </is>
      </c>
      <c r="D449" t="inlineStr">
        <is>
          <t>http://localhost:8787/api/admin/requirements/documents/cmm4yurac04chcuqwh3tl0khu/view</t>
        </is>
      </c>
      <c r="E449">
        <f>HYPERLÄNK("http://localhost:8787/api/admin/requirements/documents/cmm4yurac04chcuqwh3tl0khu/view";"Öppna PDF")</f>
        <v/>
      </c>
      <c r="F449">
        <f>HYPERLINK("http://localhost:8787/api/admin/requirements/documents/cmm4yurac04chcuqwh3tl0khu/view","Open PDF")</f>
        <v/>
      </c>
      <c r="G449" t="inlineStr">
        <is>
          <t>cmm55w57p0004cuisfrtpqly8</t>
        </is>
      </c>
      <c r="H449" t="inlineStr">
        <is>
          <t>Beslutsvillkor</t>
        </is>
      </c>
      <c r="I449" t="inlineStr">
        <is>
          <t>DriftEgenkontroll</t>
        </is>
      </c>
      <c r="J449" t="inlineStr">
        <is>
          <t>Journalforing</t>
        </is>
      </c>
      <c r="K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M449" t="inlineStr">
        <is>
          <t>SKA</t>
        </is>
      </c>
      <c r="N449" t="inlineStr"/>
      <c r="O449" t="inlineStr"/>
      <c r="P449" t="inlineStr"/>
      <c r="Q449" t="inlineStr"/>
      <c r="R449" t="inlineStr">
        <is>
          <t>Lopande drift</t>
        </is>
      </c>
      <c r="S449" t="inlineStr"/>
      <c r="T449" t="inlineStr">
        <is>
          <t>212000</t>
        </is>
      </c>
      <c r="U449" t="inlineStr"/>
      <c r="V449" t="inlineStr"/>
      <c r="W449" t="inlineStr">
        <is>
          <t>Nej</t>
        </is>
      </c>
      <c r="X449" t="inlineStr">
        <is>
          <t>Nej</t>
        </is>
      </c>
      <c r="Y449" t="inlineStr">
        <is>
          <t>Ja</t>
        </is>
      </c>
      <c r="Z449" t="inlineStr">
        <is>
          <t>Nej</t>
        </is>
      </c>
      <c r="AA449" t="n">
        <v>7</v>
      </c>
      <c r="AB449" t="inlineStr">
        <is>
          <t>Egenkontrollrutiner</t>
        </is>
      </c>
      <c r="AC449" t="inlineStr">
        <is>
          <t>Egenkontrollprogram</t>
        </is>
      </c>
      <c r="AD449" t="inlineStr">
        <is>
          <t>Nej</t>
        </is>
      </c>
      <c r="AE449" t="inlineStr">
        <is>
          <t>Nej</t>
        </is>
      </c>
      <c r="AF449" t="inlineStr">
        <is>
          <t>Ej behandlad</t>
        </is>
      </c>
      <c r="AG449" t="inlineStr">
        <is>
          <t>AUTO_GENERERAD. Verifiera citat mot kallfil.</t>
        </is>
      </c>
      <c r="AH449" t="inlineStr">
        <is>
          <t>MEDIUM</t>
        </is>
      </c>
      <c r="AI449" t="inlineStr">
        <is>
          <t>AUTO</t>
        </is>
      </c>
      <c r="AJ449" t="inlineStr">
        <is>
          <t>Nej</t>
        </is>
      </c>
      <c r="AK449" t="inlineStr"/>
      <c r="AL449" t="inlineStr"/>
      <c r="AM449" t="inlineStr"/>
      <c r="AN449" t="inlineStr"/>
      <c r="AO449" t="inlineStr">
        <is>
          <t>cmm4yurb604dbcuqwpk6azwk6</t>
        </is>
      </c>
      <c r="AP449" t="inlineStr">
        <is>
          <t>http://localhost:8787/api/admin/requirements/documents/cmm4yurb604dbcuqwpk6azwk6/view</t>
        </is>
      </c>
      <c r="AQ449">
        <f>HYPERLÄNK("http://localhost:8787/api/admin/requirements/documents/cmm4yurb604dbcuqwpk6azwk6/view";"Öppna PDF")</f>
        <v/>
      </c>
      <c r="AR449">
        <f>HYPERLINK("http://localhost:8787/api/admin/requirements/documents/cmm4yurb604dbcuqwpk6azwk6/view","Open PDF")</f>
        <v/>
      </c>
      <c r="AS449" t="inlineStr">
        <is>
          <t>cmm55w57p0004cuisfrtpqly8</t>
        </is>
      </c>
      <c r="AT449" t="inlineStr">
        <is>
          <t>cmm4xvu980000cuh4vj0usz09</t>
        </is>
      </c>
      <c r="AU449" t="inlineStr"/>
      <c r="AV449" t="inlineStr">
        <is>
          <t>Kommun</t>
        </is>
      </c>
      <c r="AW449" t="inlineStr"/>
      <c r="AX449" t="inlineStr">
        <is>
          <t>0472-150</t>
        </is>
      </c>
      <c r="AY449" t="inlineStr">
        <is>
          <t>Beslut</t>
        </is>
      </c>
      <c r="AZ449" t="inlineStr">
        <is>
          <t>2026-02-11</t>
        </is>
      </c>
      <c r="BA449" t="inlineStr">
        <is>
          <t>2024.1848..pdf</t>
        </is>
      </c>
      <c r="BB449" t="inlineStr">
        <is>
          <t>Handlingar</t>
        </is>
      </c>
      <c r="BC449" t="inlineStr">
        <is>
          <t>AUTO</t>
        </is>
      </c>
      <c r="BD449" t="inlineStr"/>
      <c r="BE449" t="inlineStr"/>
      <c r="BF449" t="inlineStr">
        <is>
          <t>AUTO_GENERERAD. Bekrafta metadata mot kallfil.</t>
        </is>
      </c>
      <c r="BG449">
        <f>HYPERLINK("C:\Users\jimmy\Desktop\Examens arbete\Kod\Ny mapp\remix_-copy-of-miljöbeslut.se-portal\2024.1848..pdf", "Öppna PDF")</f>
        <v/>
      </c>
    </row>
    <row r="450">
      <c r="A450" t="inlineStr">
        <is>
          <t>KRAV-AUTO-000449</t>
        </is>
      </c>
      <c r="B450" t="inlineStr">
        <is>
          <t>ADMIN-INDEX-2026-02-27-00000000125C043F57453246863FE664CAFE6A3F0700950291EA24F0614FB6ACEDB12BF0E31D00000000010C0000950291EA24F0614FB6ACEDB12BF0E31D00002087A58C0000</t>
        </is>
      </c>
      <c r="C450" t="inlineStr">
        <is>
          <t>cmm4yur9304b5cuqwauhbo864</t>
        </is>
      </c>
      <c r="D450" t="inlineStr">
        <is>
          <t>http://localhost:8787/api/admin/requirements/documents/cmm4yur9304b5cuqwauhbo864/view</t>
        </is>
      </c>
      <c r="E450">
        <f>HYPERLÄNK("http://localhost:8787/api/admin/requirements/documents/cmm4yur9304b5cuqwauhbo864/view";"Öppna PDF")</f>
        <v/>
      </c>
      <c r="F450">
        <f>HYPERLINK("http://localhost:8787/api/admin/requirements/documents/cmm4yur9304b5cuqwauhbo864/view","Open PDF")</f>
        <v/>
      </c>
      <c r="G450" t="inlineStr">
        <is>
          <t>cmm55w57p0004cuisfrtpqly8</t>
        </is>
      </c>
      <c r="H450" t="inlineStr">
        <is>
          <t>Kompletteringskrav</t>
        </is>
      </c>
      <c r="I450" t="inlineStr">
        <is>
          <t>DriftEgenkontroll</t>
        </is>
      </c>
      <c r="J450" t="inlineStr">
        <is>
          <t>Journalforing</t>
        </is>
      </c>
      <c r="K450" t="inlineStr">
        <is>
          <t>Tillstånds- eller anmälningspliktiga verksamheter med villkor eller förelägganden om utsläppsgränser, ska även följa Naturvårdsverkets föreskrifter om genomförande av mätningar och provtagningar i vissa verksamheter NFS 2000:15.</t>
        </is>
      </c>
      <c r="L450" t="inlineStr">
        <is>
          <t>Tillstånds- eller anmälningspliktiga verksamheter med villkor eller förelägganden om utsläppsgränser, ska även följa Naturvårdsverkets föreskrifter om genomförande av mätningar och provtagningar i vissa verksamheter NFS 2000:15.</t>
        </is>
      </c>
      <c r="M450" t="inlineStr">
        <is>
          <t>SKA</t>
        </is>
      </c>
      <c r="N450" t="inlineStr">
        <is>
          <t>Naturvardsverket</t>
        </is>
      </c>
      <c r="O450" t="inlineStr"/>
      <c r="P450" t="inlineStr"/>
      <c r="Q450" t="inlineStr">
        <is>
          <t>Forelaggande vid brist</t>
        </is>
      </c>
      <c r="R450" t="inlineStr">
        <is>
          <t>Lopande drift</t>
        </is>
      </c>
      <c r="S450" t="inlineStr"/>
      <c r="T450" t="inlineStr">
        <is>
          <t>212000</t>
        </is>
      </c>
      <c r="U450" t="inlineStr"/>
      <c r="V450" t="inlineStr"/>
      <c r="W450" t="inlineStr">
        <is>
          <t>Nej</t>
        </is>
      </c>
      <c r="X450" t="inlineStr">
        <is>
          <t>Nej</t>
        </is>
      </c>
      <c r="Y450" t="inlineStr">
        <is>
          <t>Ja</t>
        </is>
      </c>
      <c r="Z450" t="inlineStr">
        <is>
          <t>Nej</t>
        </is>
      </c>
      <c r="AA450" t="n">
        <v>7</v>
      </c>
      <c r="AB450" t="inlineStr">
        <is>
          <t>Egenkontrollrutiner</t>
        </is>
      </c>
      <c r="AC450" t="inlineStr">
        <is>
          <t>Egenkontrollprogram</t>
        </is>
      </c>
      <c r="AD450" t="inlineStr">
        <is>
          <t>Nej</t>
        </is>
      </c>
      <c r="AE450" t="inlineStr">
        <is>
          <t>Nej</t>
        </is>
      </c>
      <c r="AF450" t="inlineStr">
        <is>
          <t>Ej behandlad</t>
        </is>
      </c>
      <c r="AG450" t="inlineStr">
        <is>
          <t>AUTO_GENERERAD. Verifiera citat mot kallfil.</t>
        </is>
      </c>
      <c r="AH450" t="inlineStr">
        <is>
          <t>MEDIUM</t>
        </is>
      </c>
      <c r="AI450" t="inlineStr">
        <is>
          <t>AUTO</t>
        </is>
      </c>
      <c r="AJ450" t="inlineStr">
        <is>
          <t>Nej</t>
        </is>
      </c>
      <c r="AK450" t="inlineStr"/>
      <c r="AL450" t="inlineStr"/>
      <c r="AM450" t="inlineStr"/>
      <c r="AN450" t="inlineStr"/>
      <c r="AO450" t="inlineStr">
        <is>
          <t>cmm4yur9304b5cuqwauhbo864</t>
        </is>
      </c>
      <c r="AP450" t="inlineStr">
        <is>
          <t>http://localhost:8787/api/admin/requirements/documents/cmm4yur9304b5cuqwauhbo864/view</t>
        </is>
      </c>
      <c r="AQ450">
        <f>HYPERLÄNK("http://localhost:8787/api/admin/requirements/documents/cmm4yur9304b5cuqwauhbo864/view";"Öppna PDF")</f>
        <v/>
      </c>
      <c r="AR450">
        <f>HYPERLINK("http://localhost:8787/api/admin/requirements/documents/cmm4yur9304b5cuqwauhbo864/view","Open PDF")</f>
        <v/>
      </c>
      <c r="AS450" t="inlineStr">
        <is>
          <t>cmm55w57p0004cuisfrtpqly8</t>
        </is>
      </c>
      <c r="AT450" t="inlineStr">
        <is>
          <t>cmm4xvu980000cuh4vj0usz09</t>
        </is>
      </c>
      <c r="AU450" t="inlineStr"/>
      <c r="AV450" t="inlineStr">
        <is>
          <t>Kommun</t>
        </is>
      </c>
      <c r="AW450" t="inlineStr"/>
      <c r="AX450" t="inlineStr">
        <is>
          <t>2025-447</t>
        </is>
      </c>
      <c r="AY450" t="inlineStr">
        <is>
          <t>Forelaggande</t>
        </is>
      </c>
      <c r="AZ450" t="inlineStr">
        <is>
          <t>2026-02-10</t>
        </is>
      </c>
      <c r="BA450" t="inlineStr">
        <is>
          <t>m-2025-851_Föreläggande om försiktighetsmått.pdf</t>
        </is>
      </c>
      <c r="BB450" t="inlineStr">
        <is>
          <t>Sv: till registrator</t>
        </is>
      </c>
      <c r="BC450" t="inlineStr">
        <is>
          <t>AUTO</t>
        </is>
      </c>
      <c r="BD450" t="inlineStr"/>
      <c r="BE450" t="inlineStr"/>
      <c r="BF450" t="inlineStr">
        <is>
          <t>AUTO_GENERERAD. Bekrafta metadata mot kallfil.</t>
        </is>
      </c>
      <c r="BG450">
        <f>HYPERLINK("C:\Users\jimmy\Desktop\Examens arbete\Kod\Ny mapp\remix_-copy-of-miljöbeslut.se-portal\m-2025-851_Föreläggande om försiktighetsmått.pdf", "Öppna PDF")</f>
        <v/>
      </c>
    </row>
    <row r="451">
      <c r="A451" t="inlineStr">
        <is>
          <t>KRAV-AUTO-000450</t>
        </is>
      </c>
      <c r="B451" t="inlineStr">
        <is>
          <t>ADMIN-INDEX-2026-02-27-00000000125C043F57453246863FE664CAFE6A3F0700950291EA24F0614FB6ACEDB12BF0E31D00000000010C0000950291EA24F0614FB6ACEDB12BF0E31D00002087A58C0000</t>
        </is>
      </c>
      <c r="C451" t="inlineStr">
        <is>
          <t>cmm4yur9304b5cuqwauhbo864</t>
        </is>
      </c>
      <c r="D451" t="inlineStr">
        <is>
          <t>http://localhost:8787/api/admin/requirements/documents/cmm4yur9304b5cuqwauhbo864/view</t>
        </is>
      </c>
      <c r="E451">
        <f>HYPERLÄNK("http://localhost:8787/api/admin/requirements/documents/cmm4yur9304b5cuqwauhbo864/view";"Öppna PDF")</f>
        <v/>
      </c>
      <c r="F451">
        <f>HYPERLINK("http://localhost:8787/api/admin/requirements/documents/cmm4yur9304b5cuqwauhbo864/view","Open PDF")</f>
        <v/>
      </c>
      <c r="G451" t="inlineStr">
        <is>
          <t>cmm55w57p0004cuisfrtpqly8</t>
        </is>
      </c>
      <c r="H451" t="inlineStr">
        <is>
          <t>Kompletteringskrav</t>
        </is>
      </c>
      <c r="I451" t="inlineStr">
        <is>
          <t>Ytkonstruktion</t>
        </is>
      </c>
      <c r="J451" t="inlineStr">
        <is>
          <t>Tat yta</t>
        </is>
      </c>
      <c r="K451" t="inlineStr">
        <is>
          <t>Invallningen för flytande icke-farligt avfall ska rymma minst den största behållarens volym plus 10 %.</t>
        </is>
      </c>
      <c r="L451" t="inlineStr">
        <is>
          <t>Invallningen för flytande icke-farligt avfall ska rymma minst den största behållarens volym plus 10 %.</t>
        </is>
      </c>
      <c r="M451" t="inlineStr">
        <is>
          <t>SKA</t>
        </is>
      </c>
      <c r="N451" t="inlineStr"/>
      <c r="O451" t="inlineStr"/>
      <c r="P451" t="inlineStr">
        <is>
          <t>Arlig</t>
        </is>
      </c>
      <c r="Q451" t="inlineStr"/>
      <c r="R451" t="inlineStr">
        <is>
          <t>Vid mellanlagring av avfall</t>
        </is>
      </c>
      <c r="S451" t="inlineStr"/>
      <c r="T451" t="inlineStr">
        <is>
          <t>212000</t>
        </is>
      </c>
      <c r="U451" t="inlineStr"/>
      <c r="V451" t="inlineStr"/>
      <c r="W451" t="inlineStr">
        <is>
          <t>Ja</t>
        </is>
      </c>
      <c r="X451" t="inlineStr">
        <is>
          <t>Nej</t>
        </is>
      </c>
      <c r="Y451" t="inlineStr">
        <is>
          <t>Nej</t>
        </is>
      </c>
      <c r="Z451" t="inlineStr">
        <is>
          <t>Nej</t>
        </is>
      </c>
      <c r="AA451" t="n">
        <v>5</v>
      </c>
      <c r="AB451" t="inlineStr">
        <is>
          <t>Teknisk beskrivning av platta</t>
        </is>
      </c>
      <c r="AC451" t="inlineStr">
        <is>
          <t>Teknisk ritning platta</t>
        </is>
      </c>
      <c r="AD451" t="inlineStr">
        <is>
          <t>Nej</t>
        </is>
      </c>
      <c r="AE451" t="inlineStr">
        <is>
          <t>Nej</t>
        </is>
      </c>
      <c r="AF451" t="inlineStr">
        <is>
          <t>Ej behandlad</t>
        </is>
      </c>
      <c r="AG451" t="inlineStr">
        <is>
          <t>AUTO_GENERERAD. Verifiera citat mot kallfil.</t>
        </is>
      </c>
      <c r="AH451" t="inlineStr">
        <is>
          <t>MEDIUM</t>
        </is>
      </c>
      <c r="AI451" t="inlineStr">
        <is>
          <t>AUTO</t>
        </is>
      </c>
      <c r="AJ451" t="inlineStr">
        <is>
          <t>Nej</t>
        </is>
      </c>
      <c r="AK451" t="inlineStr"/>
      <c r="AL451" t="inlineStr"/>
      <c r="AM451" t="inlineStr"/>
      <c r="AN451" t="inlineStr"/>
      <c r="AO451" t="inlineStr">
        <is>
          <t>cmm4yur9304b5cuqwauhbo864</t>
        </is>
      </c>
      <c r="AP451" t="inlineStr">
        <is>
          <t>http://localhost:8787/api/admin/requirements/documents/cmm4yur9304b5cuqwauhbo864/view</t>
        </is>
      </c>
      <c r="AQ451">
        <f>HYPERLÄNK("http://localhost:8787/api/admin/requirements/documents/cmm4yur9304b5cuqwauhbo864/view";"Öppna PDF")</f>
        <v/>
      </c>
      <c r="AR451">
        <f>HYPERLINK("http://localhost:8787/api/admin/requirements/documents/cmm4yur9304b5cuqwauhbo864/view","Open PDF")</f>
        <v/>
      </c>
      <c r="AS451" t="inlineStr">
        <is>
          <t>cmm55w57p0004cuisfrtpqly8</t>
        </is>
      </c>
      <c r="AT451" t="inlineStr">
        <is>
          <t>cmm4xvu980000cuh4vj0usz09</t>
        </is>
      </c>
      <c r="AU451" t="inlineStr"/>
      <c r="AV451" t="inlineStr">
        <is>
          <t>Kommun</t>
        </is>
      </c>
      <c r="AW451" t="inlineStr"/>
      <c r="AX451" t="inlineStr">
        <is>
          <t>2025-447</t>
        </is>
      </c>
      <c r="AY451" t="inlineStr">
        <is>
          <t>Forelaggande</t>
        </is>
      </c>
      <c r="AZ451" t="inlineStr">
        <is>
          <t>2026-02-10</t>
        </is>
      </c>
      <c r="BA451" t="inlineStr">
        <is>
          <t>m-2025-851_Föreläggande om försiktighetsmått.pdf</t>
        </is>
      </c>
      <c r="BB451" t="inlineStr">
        <is>
          <t>Sv: till registrator</t>
        </is>
      </c>
      <c r="BC451" t="inlineStr">
        <is>
          <t>AUTO</t>
        </is>
      </c>
      <c r="BD451" t="inlineStr"/>
      <c r="BE451" t="inlineStr"/>
      <c r="BF451" t="inlineStr">
        <is>
          <t>AUTO_GENERERAD. Bekrafta metadata mot kallfil.</t>
        </is>
      </c>
      <c r="BG451">
        <f>HYPERLINK("C:\Users\jimmy\Desktop\Examens arbete\Kod\Ny mapp\remix_-copy-of-miljöbeslut.se-portal\m-2025-851_Föreläggande om försiktighetsmått.pdf", "Öppna PDF")</f>
        <v/>
      </c>
    </row>
    <row r="452">
      <c r="A452" t="inlineStr">
        <is>
          <t>KRAV-AUTO-000451</t>
        </is>
      </c>
      <c r="B452" t="inlineStr">
        <is>
          <t>ADMIN-INDEX-2026-02-27-00000000125C043F57453246863FE664CAFE6A3F0700950291EA24F0614FB6ACEDB12BF0E31D00000000010C0000950291EA24F0614FB6ACEDB12BF0E31D00002087A58C0000</t>
        </is>
      </c>
      <c r="C452" t="inlineStr">
        <is>
          <t>cmm4yur9304b5cuqwauhbo864</t>
        </is>
      </c>
      <c r="D452" t="inlineStr">
        <is>
          <t>http://localhost:8787/api/admin/requirements/documents/cmm4yur9304b5cuqwauhbo864/view</t>
        </is>
      </c>
      <c r="E452">
        <f>HYPERLÄNK("http://localhost:8787/api/admin/requirements/documents/cmm4yur9304b5cuqwauhbo864/view";"Öppna PDF")</f>
        <v/>
      </c>
      <c r="F452">
        <f>HYPERLINK("http://localhost:8787/api/admin/requirements/documents/cmm4yur9304b5cuqwauhbo864/view","Open PDF")</f>
        <v/>
      </c>
      <c r="G452" t="inlineStr">
        <is>
          <t>cmm55w57p0004cuisfrtpqly8</t>
        </is>
      </c>
      <c r="H452" t="inlineStr">
        <is>
          <t>Kompletteringskrav</t>
        </is>
      </c>
      <c r="I452" t="inlineStr">
        <is>
          <t>DagvattenLakvatten</t>
        </is>
      </c>
      <c r="J452" t="inlineStr">
        <is>
          <t>Uppsamling</t>
        </is>
      </c>
      <c r="K452" t="inlineStr">
        <is>
          <t>Vid anläggningen ska tättingar eller annan likvärdig utrustning finnas för att hindra att spill eller läckage av flytande avfall hamnar i dagvattennätet.</t>
        </is>
      </c>
      <c r="L452" t="inlineStr">
        <is>
          <t>Vid anläggningen ska tättingar eller annan likvärdig utrustning finnas för att hindra att spill eller läckage av flytande avfall hamnar i dagvattennätet.</t>
        </is>
      </c>
      <c r="M452" t="inlineStr">
        <is>
          <t>SKA</t>
        </is>
      </c>
      <c r="N452" t="inlineStr"/>
      <c r="O452" t="inlineStr"/>
      <c r="P452" t="inlineStr"/>
      <c r="Q452" t="inlineStr"/>
      <c r="R452" t="inlineStr">
        <is>
          <t>Vid nederbord och avrinning</t>
        </is>
      </c>
      <c r="S452" t="inlineStr"/>
      <c r="T452" t="inlineStr">
        <is>
          <t>212000</t>
        </is>
      </c>
      <c r="U452" t="inlineStr"/>
      <c r="V452" t="inlineStr"/>
      <c r="W452" t="inlineStr">
        <is>
          <t>Nej</t>
        </is>
      </c>
      <c r="X452" t="inlineStr">
        <is>
          <t>Ja</t>
        </is>
      </c>
      <c r="Y452" t="inlineStr">
        <is>
          <t>Ja</t>
        </is>
      </c>
      <c r="Z452" t="inlineStr">
        <is>
          <t>Nej</t>
        </is>
      </c>
      <c r="AA452" t="n">
        <v>6</v>
      </c>
      <c r="AB452" t="inlineStr">
        <is>
          <t>Lakvattenhantering</t>
        </is>
      </c>
      <c r="AC452" t="inlineStr">
        <is>
          <t>Flodesschema dagvatten-lakvatten</t>
        </is>
      </c>
      <c r="AD452" t="inlineStr">
        <is>
          <t>Nej</t>
        </is>
      </c>
      <c r="AE452" t="inlineStr">
        <is>
          <t>Nej</t>
        </is>
      </c>
      <c r="AF452" t="inlineStr">
        <is>
          <t>Ej behandlad</t>
        </is>
      </c>
      <c r="AG452" t="inlineStr">
        <is>
          <t>AUTO_GENERERAD. Verifiera citat mot kallfil.</t>
        </is>
      </c>
      <c r="AH452" t="inlineStr">
        <is>
          <t>MEDIUM</t>
        </is>
      </c>
      <c r="AI452" t="inlineStr">
        <is>
          <t>AUTO</t>
        </is>
      </c>
      <c r="AJ452" t="inlineStr">
        <is>
          <t>Nej</t>
        </is>
      </c>
      <c r="AK452" t="inlineStr"/>
      <c r="AL452" t="inlineStr"/>
      <c r="AM452" t="inlineStr"/>
      <c r="AN452" t="inlineStr"/>
      <c r="AO452" t="inlineStr">
        <is>
          <t>cmm4yur9304b5cuqwauhbo864</t>
        </is>
      </c>
      <c r="AP452" t="inlineStr">
        <is>
          <t>http://localhost:8787/api/admin/requirements/documents/cmm4yur9304b5cuqwauhbo864/view</t>
        </is>
      </c>
      <c r="AQ452">
        <f>HYPERLÄNK("http://localhost:8787/api/admin/requirements/documents/cmm4yur9304b5cuqwauhbo864/view";"Öppna PDF")</f>
        <v/>
      </c>
      <c r="AR452">
        <f>HYPERLINK("http://localhost:8787/api/admin/requirements/documents/cmm4yur9304b5cuqwauhbo864/view","Open PDF")</f>
        <v/>
      </c>
      <c r="AS452" t="inlineStr">
        <is>
          <t>cmm55w57p0004cuisfrtpqly8</t>
        </is>
      </c>
      <c r="AT452" t="inlineStr">
        <is>
          <t>cmm4xvu980000cuh4vj0usz09</t>
        </is>
      </c>
      <c r="AU452" t="inlineStr"/>
      <c r="AV452" t="inlineStr">
        <is>
          <t>Kommun</t>
        </is>
      </c>
      <c r="AW452" t="inlineStr"/>
      <c r="AX452" t="inlineStr">
        <is>
          <t>2025-447</t>
        </is>
      </c>
      <c r="AY452" t="inlineStr">
        <is>
          <t>Forelaggande</t>
        </is>
      </c>
      <c r="AZ452" t="inlineStr">
        <is>
          <t>2026-02-10</t>
        </is>
      </c>
      <c r="BA452" t="inlineStr">
        <is>
          <t>m-2025-851_Föreläggande om försiktighetsmått.pdf</t>
        </is>
      </c>
      <c r="BB452" t="inlineStr">
        <is>
          <t>Sv: till registrator</t>
        </is>
      </c>
      <c r="BC452" t="inlineStr">
        <is>
          <t>AUTO</t>
        </is>
      </c>
      <c r="BD452" t="inlineStr"/>
      <c r="BE452" t="inlineStr"/>
      <c r="BF452" t="inlineStr">
        <is>
          <t>AUTO_GENERERAD. Bekrafta metadata mot kallfil.</t>
        </is>
      </c>
      <c r="BG452">
        <f>HYPERLINK("C:\Users\jimmy\Desktop\Examens arbete\Kod\Ny mapp\remix_-copy-of-miljöbeslut.se-portal\m-2025-851_Föreläggande om försiktighetsmått.pdf", "Öppna PDF")</f>
        <v/>
      </c>
    </row>
    <row r="453">
      <c r="A453" t="inlineStr">
        <is>
          <t>KRAV-AUTO-000452</t>
        </is>
      </c>
      <c r="B453" t="inlineStr">
        <is>
          <t>ADMIN-INDEX-2026-02-27-00000000125C043F57453246863FE664CAFE6A3F0700950291EA24F0614FB6ACEDB12BF0E31D00000000010C0000950291EA24F0614FB6ACEDB12BF0E31D00002087A58C0000</t>
        </is>
      </c>
      <c r="C453" t="inlineStr">
        <is>
          <t>cmm4yur8u04awcuqwamg5io3f</t>
        </is>
      </c>
      <c r="D453" t="inlineStr">
        <is>
          <t>http://localhost:8787/api/admin/requirements/documents/cmm4yur8u04awcuqwamg5io3f/view</t>
        </is>
      </c>
      <c r="E453">
        <f>HYPERLÄNK("http://localhost:8787/api/admin/requirements/documents/cmm4yur8u04awcuqwamg5io3f/view";"Öppna PDF")</f>
        <v/>
      </c>
      <c r="F453">
        <f>HYPERLINK("http://localhost:8787/api/admin/requirements/documents/cmm4yur8u04awcuqwamg5io3f/view","Open PDF")</f>
        <v/>
      </c>
      <c r="G453" t="inlineStr">
        <is>
          <t>cmm55w57p0004cuisfrtpqly8</t>
        </is>
      </c>
      <c r="H453" t="inlineStr">
        <is>
          <t>Kompletteringskrav</t>
        </is>
      </c>
      <c r="I453" t="inlineStr">
        <is>
          <t>DriftEgenkontroll</t>
        </is>
      </c>
      <c r="J453" t="inlineStr">
        <is>
          <t>Journalforing</t>
        </is>
      </c>
      <c r="K453" t="inlineStr">
        <is>
          <t>Provtagningen visar att avfallsmassorna som ska återanvändas är av kvalitén att klara mindre känslig markanvändning.</t>
        </is>
      </c>
      <c r="L453" t="inlineStr">
        <is>
          <t>Provtagningen visar att avfallsmassorna som ska återanvändas är av kvalitén att klara mindre känslig markanvändning.</t>
        </is>
      </c>
      <c r="M453" t="inlineStr">
        <is>
          <t>SKA</t>
        </is>
      </c>
      <c r="N453" t="inlineStr"/>
      <c r="O453" t="inlineStr"/>
      <c r="P453" t="inlineStr"/>
      <c r="Q453" t="inlineStr"/>
      <c r="R453" t="inlineStr">
        <is>
          <t>Lopande drift</t>
        </is>
      </c>
      <c r="S453" t="inlineStr"/>
      <c r="T453" t="inlineStr">
        <is>
          <t>212000</t>
        </is>
      </c>
      <c r="U453" t="inlineStr"/>
      <c r="V453" t="inlineStr"/>
      <c r="W453" t="inlineStr">
        <is>
          <t>Nej</t>
        </is>
      </c>
      <c r="X453" t="inlineStr">
        <is>
          <t>Nej</t>
        </is>
      </c>
      <c r="Y453" t="inlineStr">
        <is>
          <t>Ja</t>
        </is>
      </c>
      <c r="Z453" t="inlineStr">
        <is>
          <t>Nej</t>
        </is>
      </c>
      <c r="AA453" t="n">
        <v>7</v>
      </c>
      <c r="AB453" t="inlineStr">
        <is>
          <t>Egenkontrollrutiner</t>
        </is>
      </c>
      <c r="AC453" t="inlineStr">
        <is>
          <t>Egenkontrollprogram</t>
        </is>
      </c>
      <c r="AD453" t="inlineStr">
        <is>
          <t>Nej</t>
        </is>
      </c>
      <c r="AE453" t="inlineStr">
        <is>
          <t>Nej</t>
        </is>
      </c>
      <c r="AF453" t="inlineStr">
        <is>
          <t>Ej behandlad</t>
        </is>
      </c>
      <c r="AG453" t="inlineStr">
        <is>
          <t>AUTO_GENERERAD. Verifiera citat mot kallfil.</t>
        </is>
      </c>
      <c r="AH453" t="inlineStr">
        <is>
          <t>MEDIUM</t>
        </is>
      </c>
      <c r="AI453" t="inlineStr">
        <is>
          <t>AUTO</t>
        </is>
      </c>
      <c r="AJ453" t="inlineStr">
        <is>
          <t>Nej</t>
        </is>
      </c>
      <c r="AK453" t="inlineStr"/>
      <c r="AL453" t="inlineStr"/>
      <c r="AM453" t="inlineStr"/>
      <c r="AN453" t="inlineStr"/>
      <c r="AO453" t="inlineStr">
        <is>
          <t>cmm4yur9304b5cuqwauhbo864</t>
        </is>
      </c>
      <c r="AP453" t="inlineStr">
        <is>
          <t>http://localhost:8787/api/admin/requirements/documents/cmm4yur9304b5cuqwauhbo864/view</t>
        </is>
      </c>
      <c r="AQ453">
        <f>HYPERLÄNK("http://localhost:8787/api/admin/requirements/documents/cmm4yur9304b5cuqwauhbo864/view";"Öppna PDF")</f>
        <v/>
      </c>
      <c r="AR453">
        <f>HYPERLINK("http://localhost:8787/api/admin/requirements/documents/cmm4yur9304b5cuqwauhbo864/view","Open PDF")</f>
        <v/>
      </c>
      <c r="AS453" t="inlineStr">
        <is>
          <t>cmm55w57p0004cuisfrtpqly8</t>
        </is>
      </c>
      <c r="AT453" t="inlineStr">
        <is>
          <t>cmm4xvu980000cuh4vj0usz09</t>
        </is>
      </c>
      <c r="AU453" t="inlineStr"/>
      <c r="AV453" t="inlineStr">
        <is>
          <t>Kommun</t>
        </is>
      </c>
      <c r="AW453" t="inlineStr"/>
      <c r="AX453" t="inlineStr">
        <is>
          <t>2025-447</t>
        </is>
      </c>
      <c r="AY453" t="inlineStr">
        <is>
          <t>Forelaggande</t>
        </is>
      </c>
      <c r="AZ453" t="inlineStr">
        <is>
          <t>2026-02-10</t>
        </is>
      </c>
      <c r="BA453" t="inlineStr">
        <is>
          <t>m-2025-851_Föreläggande om försiktighetsmått.pdf</t>
        </is>
      </c>
      <c r="BB453" t="inlineStr">
        <is>
          <t>Sv: till registrator</t>
        </is>
      </c>
      <c r="BC453" t="inlineStr">
        <is>
          <t>AUTO</t>
        </is>
      </c>
      <c r="BD453" t="inlineStr"/>
      <c r="BE453" t="inlineStr"/>
      <c r="BF453" t="inlineStr">
        <is>
          <t>AUTO_GENERERAD. Bekrafta metadata mot kallfil.</t>
        </is>
      </c>
      <c r="BG453">
        <f>HYPERLINK("C:\Users\jimmy\Desktop\Examens arbete\Kod\Ny mapp\remix_-copy-of-miljöbeslut.se-portal\m-2025-851_Föreläggande om försiktighetsmått.pdf", "Öppna PDF")</f>
        <v/>
      </c>
    </row>
    <row r="454">
      <c r="A454" t="inlineStr">
        <is>
          <t>KRAV-AUTO-000453</t>
        </is>
      </c>
      <c r="B454" t="inlineStr">
        <is>
          <t>ADMIN-INDEX-2026-02-27-00000000125C043F57453246863FE664CAFE6A3F0700950291EA24F0614FB6ACEDB12BF0E31D00000000010C0000950291EA24F0614FB6ACEDB12BF0E31D00002087A58C0000</t>
        </is>
      </c>
      <c r="C454" t="inlineStr">
        <is>
          <t>cmm4yur8u04awcuqwamg5io3f</t>
        </is>
      </c>
      <c r="D454" t="inlineStr">
        <is>
          <t>http://localhost:8787/api/admin/requirements/documents/cmm4yur8u04awcuqwamg5io3f/view</t>
        </is>
      </c>
      <c r="E454">
        <f>HYPERLÄNK("http://localhost:8787/api/admin/requirements/documents/cmm4yur8u04awcuqwamg5io3f/view";"Öppna PDF")</f>
        <v/>
      </c>
      <c r="F454">
        <f>HYPERLINK("http://localhost:8787/api/admin/requirements/documents/cmm4yur8u04awcuqwamg5io3f/view","Open PDF")</f>
        <v/>
      </c>
      <c r="G454" t="inlineStr">
        <is>
          <t>cmm55w57p0004cuisfrtpqly8</t>
        </is>
      </c>
      <c r="H454" t="inlineStr">
        <is>
          <t>Kompletteringskrav</t>
        </is>
      </c>
      <c r="I454" t="inlineStr">
        <is>
          <t>DriftEgenkontroll</t>
        </is>
      </c>
      <c r="J454" t="inlineStr">
        <is>
          <t>Journalforing</t>
        </is>
      </c>
      <c r="K454" t="inlineStr">
        <is>
          <t>Massorna uppskattas till 2000 ton och en markprovtagning av massorna inom schaktningsområdet har genomförts av SWECO.</t>
        </is>
      </c>
      <c r="L454" t="inlineStr">
        <is>
          <t>Massorna uppskattas till 2000 ton och en markprovtagning av massorna inom schaktningsområdet har genomförts av SWECO.</t>
        </is>
      </c>
      <c r="M454" t="inlineStr">
        <is>
          <t>SKA</t>
        </is>
      </c>
      <c r="N454" t="inlineStr"/>
      <c r="O454" t="inlineStr"/>
      <c r="P454" t="inlineStr"/>
      <c r="Q454" t="inlineStr"/>
      <c r="R454" t="inlineStr">
        <is>
          <t>Lopande drift</t>
        </is>
      </c>
      <c r="S454" t="inlineStr"/>
      <c r="T454" t="inlineStr">
        <is>
          <t>212000</t>
        </is>
      </c>
      <c r="U454" t="n">
        <v>2000</v>
      </c>
      <c r="V454" t="inlineStr"/>
      <c r="W454" t="inlineStr">
        <is>
          <t>Nej</t>
        </is>
      </c>
      <c r="X454" t="inlineStr">
        <is>
          <t>Nej</t>
        </is>
      </c>
      <c r="Y454" t="inlineStr">
        <is>
          <t>Ja</t>
        </is>
      </c>
      <c r="Z454" t="inlineStr">
        <is>
          <t>Nej</t>
        </is>
      </c>
      <c r="AA454" t="n">
        <v>7</v>
      </c>
      <c r="AB454" t="inlineStr">
        <is>
          <t>Egenkontrollrutiner</t>
        </is>
      </c>
      <c r="AC454" t="inlineStr">
        <is>
          <t>Egenkontrollprogram</t>
        </is>
      </c>
      <c r="AD454" t="inlineStr">
        <is>
          <t>Nej</t>
        </is>
      </c>
      <c r="AE454" t="inlineStr">
        <is>
          <t>Nej</t>
        </is>
      </c>
      <c r="AF454" t="inlineStr">
        <is>
          <t>Ej behandlad</t>
        </is>
      </c>
      <c r="AG454" t="inlineStr">
        <is>
          <t>AUTO_GENERERAD. Verifiera citat mot kallfil.</t>
        </is>
      </c>
      <c r="AH454" t="inlineStr">
        <is>
          <t>MEDIUM</t>
        </is>
      </c>
      <c r="AI454" t="inlineStr">
        <is>
          <t>AUTO</t>
        </is>
      </c>
      <c r="AJ454" t="inlineStr">
        <is>
          <t>Nej</t>
        </is>
      </c>
      <c r="AK454" t="inlineStr"/>
      <c r="AL454" t="inlineStr"/>
      <c r="AM454" t="inlineStr"/>
      <c r="AN454" t="inlineStr"/>
      <c r="AO454" t="inlineStr">
        <is>
          <t>cmm4yur9304b5cuqwauhbo864</t>
        </is>
      </c>
      <c r="AP454" t="inlineStr">
        <is>
          <t>http://localhost:8787/api/admin/requirements/documents/cmm4yur9304b5cuqwauhbo864/view</t>
        </is>
      </c>
      <c r="AQ454">
        <f>HYPERLÄNK("http://localhost:8787/api/admin/requirements/documents/cmm4yur9304b5cuqwauhbo864/view";"Öppna PDF")</f>
        <v/>
      </c>
      <c r="AR454">
        <f>HYPERLINK("http://localhost:8787/api/admin/requirements/documents/cmm4yur9304b5cuqwauhbo864/view","Open PDF")</f>
        <v/>
      </c>
      <c r="AS454" t="inlineStr">
        <is>
          <t>cmm55w57p0004cuisfrtpqly8</t>
        </is>
      </c>
      <c r="AT454" t="inlineStr">
        <is>
          <t>cmm4xvu980000cuh4vj0usz09</t>
        </is>
      </c>
      <c r="AU454" t="inlineStr"/>
      <c r="AV454" t="inlineStr">
        <is>
          <t>Kommun</t>
        </is>
      </c>
      <c r="AW454" t="inlineStr"/>
      <c r="AX454" t="inlineStr">
        <is>
          <t>2025-447</t>
        </is>
      </c>
      <c r="AY454" t="inlineStr">
        <is>
          <t>Forelaggande</t>
        </is>
      </c>
      <c r="AZ454" t="inlineStr">
        <is>
          <t>2026-02-10</t>
        </is>
      </c>
      <c r="BA454" t="inlineStr">
        <is>
          <t>m-2025-851_Föreläggande om försiktighetsmått.pdf</t>
        </is>
      </c>
      <c r="BB454" t="inlineStr">
        <is>
          <t>Sv: till registrator</t>
        </is>
      </c>
      <c r="BC454" t="inlineStr">
        <is>
          <t>AUTO</t>
        </is>
      </c>
      <c r="BD454" t="inlineStr"/>
      <c r="BE454" t="inlineStr"/>
      <c r="BF454" t="inlineStr">
        <is>
          <t>AUTO_GENERERAD. Bekrafta metadata mot kallfil.</t>
        </is>
      </c>
      <c r="BG454">
        <f>HYPERLINK("C:\Users\jimmy\Desktop\Examens arbete\Kod\Ny mapp\remix_-copy-of-miljöbeslut.se-portal\m-2025-851_Föreläggande om försiktighetsmått.pdf", "Öppna PDF")</f>
        <v/>
      </c>
    </row>
    <row r="455">
      <c r="A455" t="inlineStr">
        <is>
          <t>KRAV-AUTO-000454</t>
        </is>
      </c>
      <c r="B455" t="inlineStr">
        <is>
          <t>ADMIN-INDEX-2026-02-27-00000000125C043F57453246863FE664CAFE6A3F0700950291EA24F0614FB6ACEDB12BF0E31D00000000010C0000950291EA24F0614FB6ACEDB12BF0E31D00002087A58C0000</t>
        </is>
      </c>
      <c r="C455" t="inlineStr">
        <is>
          <t>cmm4yur8u04awcuqwamg5io3f</t>
        </is>
      </c>
      <c r="D455" t="inlineStr">
        <is>
          <t>http://localhost:8787/api/admin/requirements/documents/cmm4yur8u04awcuqwamg5io3f/view</t>
        </is>
      </c>
      <c r="E455">
        <f>HYPERLÄNK("http://localhost:8787/api/admin/requirements/documents/cmm4yur8u04awcuqwamg5io3f/view";"Öppna PDF")</f>
        <v/>
      </c>
      <c r="F455">
        <f>HYPERLINK("http://localhost:8787/api/admin/requirements/documents/cmm4yur8u04awcuqwamg5io3f/view","Open PDF")</f>
        <v/>
      </c>
      <c r="G455" t="inlineStr">
        <is>
          <t>cmm55w57p0004cuisfrtpqly8</t>
        </is>
      </c>
      <c r="H455" t="inlineStr">
        <is>
          <t>Kompletteringskrav</t>
        </is>
      </c>
      <c r="I455" t="inlineStr">
        <is>
          <t>Riskhantering</t>
        </is>
      </c>
      <c r="J455" t="inlineStr">
        <is>
          <t>Riskkontroll</t>
        </is>
      </c>
      <c r="K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5" t="inlineStr">
        <is>
          <t>SKA</t>
        </is>
      </c>
      <c r="N455" t="inlineStr">
        <is>
          <t>Naturvardsverket</t>
        </is>
      </c>
      <c r="O455" t="inlineStr"/>
      <c r="P455" t="inlineStr"/>
      <c r="Q455" t="inlineStr"/>
      <c r="R455" t="inlineStr">
        <is>
          <t>Vid risk for incident</t>
        </is>
      </c>
      <c r="S455" t="inlineStr"/>
      <c r="T455" t="inlineStr">
        <is>
          <t>212000</t>
        </is>
      </c>
      <c r="U455" t="inlineStr"/>
      <c r="V455" t="inlineStr"/>
      <c r="W455" t="inlineStr">
        <is>
          <t>Nej</t>
        </is>
      </c>
      <c r="X455" t="inlineStr">
        <is>
          <t>Nej</t>
        </is>
      </c>
      <c r="Y455" t="inlineStr">
        <is>
          <t>Ja</t>
        </is>
      </c>
      <c r="Z455" t="inlineStr">
        <is>
          <t>Ja</t>
        </is>
      </c>
      <c r="AA455" t="n">
        <v>8</v>
      </c>
      <c r="AB455" t="inlineStr">
        <is>
          <t>Riskhantering</t>
        </is>
      </c>
      <c r="AC455" t="inlineStr">
        <is>
          <t>Risk-PM</t>
        </is>
      </c>
      <c r="AD455" t="inlineStr">
        <is>
          <t>Nej</t>
        </is>
      </c>
      <c r="AE455" t="inlineStr">
        <is>
          <t>Nej</t>
        </is>
      </c>
      <c r="AF455" t="inlineStr">
        <is>
          <t>Ej behandlad</t>
        </is>
      </c>
      <c r="AG455" t="inlineStr">
        <is>
          <t>AUTO_GENERERAD. Verifiera citat mot kallfil.</t>
        </is>
      </c>
      <c r="AH455" t="inlineStr">
        <is>
          <t>MEDIUM</t>
        </is>
      </c>
      <c r="AI455" t="inlineStr">
        <is>
          <t>AUTO</t>
        </is>
      </c>
      <c r="AJ455" t="inlineStr">
        <is>
          <t>Nej</t>
        </is>
      </c>
      <c r="AK455" t="inlineStr"/>
      <c r="AL455" t="inlineStr"/>
      <c r="AM455" t="inlineStr"/>
      <c r="AN455" t="inlineStr"/>
      <c r="AO455" t="inlineStr">
        <is>
          <t>cmm4yur9304b5cuqwauhbo864</t>
        </is>
      </c>
      <c r="AP455" t="inlineStr">
        <is>
          <t>http://localhost:8787/api/admin/requirements/documents/cmm4yur9304b5cuqwauhbo864/view</t>
        </is>
      </c>
      <c r="AQ455">
        <f>HYPERLÄNK("http://localhost:8787/api/admin/requirements/documents/cmm4yur9304b5cuqwauhbo864/view";"Öppna PDF")</f>
        <v/>
      </c>
      <c r="AR455">
        <f>HYPERLINK("http://localhost:8787/api/admin/requirements/documents/cmm4yur9304b5cuqwauhbo864/view","Open PDF")</f>
        <v/>
      </c>
      <c r="AS455" t="inlineStr">
        <is>
          <t>cmm55w57p0004cuisfrtpqly8</t>
        </is>
      </c>
      <c r="AT455" t="inlineStr">
        <is>
          <t>cmm4xvu980000cuh4vj0usz09</t>
        </is>
      </c>
      <c r="AU455" t="inlineStr"/>
      <c r="AV455" t="inlineStr">
        <is>
          <t>Kommun</t>
        </is>
      </c>
      <c r="AW455" t="inlineStr"/>
      <c r="AX455" t="inlineStr">
        <is>
          <t>2025-447</t>
        </is>
      </c>
      <c r="AY455" t="inlineStr">
        <is>
          <t>Forelaggande</t>
        </is>
      </c>
      <c r="AZ455" t="inlineStr">
        <is>
          <t>2026-02-10</t>
        </is>
      </c>
      <c r="BA455" t="inlineStr">
        <is>
          <t>m-2025-851_Föreläggande om försiktighetsmått.pdf</t>
        </is>
      </c>
      <c r="BB455" t="inlineStr">
        <is>
          <t>Sv: till registrator</t>
        </is>
      </c>
      <c r="BC455" t="inlineStr">
        <is>
          <t>AUTO</t>
        </is>
      </c>
      <c r="BD455" t="inlineStr"/>
      <c r="BE455" t="inlineStr"/>
      <c r="BF455" t="inlineStr">
        <is>
          <t>AUTO_GENERERAD. Bekrafta metadata mot kallfil.</t>
        </is>
      </c>
      <c r="BG455">
        <f>HYPERLINK("C:\Users\jimmy\Desktop\Examens arbete\Kod\Ny mapp\remix_-copy-of-miljöbeslut.se-portal\m-2025-851_Föreläggande om försiktighetsmått.pdf", "Öppna PDF")</f>
        <v/>
      </c>
    </row>
    <row r="456">
      <c r="A456" t="inlineStr">
        <is>
          <t>KRAV-AUTO-000455</t>
        </is>
      </c>
      <c r="B456" t="inlineStr">
        <is>
          <t>ADMIN-INDEX-2026-02-27-00000000125C043F57453246863FE664CAFE6A3F0700950291EA24F0614FB6ACEDB12BF0E31D00000000010C0000950291EA24F0614FB6ACEDB12BF0E31D00002087A58C0000</t>
        </is>
      </c>
      <c r="C456" t="inlineStr">
        <is>
          <t>cmm4yur8q04atcuqw4s199oap</t>
        </is>
      </c>
      <c r="D456" t="inlineStr">
        <is>
          <t>http://localhost:8787/api/admin/requirements/documents/cmm4yur8q04atcuqw4s199oap/view</t>
        </is>
      </c>
      <c r="E456">
        <f>HYPERLÄNK("http://localhost:8787/api/admin/requirements/documents/cmm4yur8q04atcuqw4s199oap/view";"Öppna PDF")</f>
        <v/>
      </c>
      <c r="F456">
        <f>HYPERLINK("http://localhost:8787/api/admin/requirements/documents/cmm4yur8q04atcuqw4s199oap/view","Open PDF")</f>
        <v/>
      </c>
      <c r="G456" t="inlineStr">
        <is>
          <t>cmm55w57p0004cuisfrtpqly8</t>
        </is>
      </c>
      <c r="H456" t="inlineStr">
        <is>
          <t>Kompletteringskrav</t>
        </is>
      </c>
      <c r="I456" t="inlineStr">
        <is>
          <t>DriftEgenkontroll</t>
        </is>
      </c>
      <c r="J456" t="inlineStr">
        <is>
          <t>Journalforing</t>
        </is>
      </c>
      <c r="K456" t="inlineStr">
        <is>
          <t>Massorna har sorterats och provtagits och uppskattas till mängden 25 ton.</t>
        </is>
      </c>
      <c r="L456" t="inlineStr">
        <is>
          <t>Massorna har sorterats och provtagits och uppskattas till mängden 25 ton.</t>
        </is>
      </c>
      <c r="M456" t="inlineStr">
        <is>
          <t>SKA</t>
        </is>
      </c>
      <c r="N456" t="inlineStr"/>
      <c r="O456" t="inlineStr"/>
      <c r="P456" t="inlineStr"/>
      <c r="Q456" t="inlineStr"/>
      <c r="R456" t="inlineStr">
        <is>
          <t>Lopande drift</t>
        </is>
      </c>
      <c r="S456" t="inlineStr"/>
      <c r="T456" t="inlineStr">
        <is>
          <t>212000</t>
        </is>
      </c>
      <c r="U456" t="n">
        <v>25</v>
      </c>
      <c r="V456" t="inlineStr"/>
      <c r="W456" t="inlineStr">
        <is>
          <t>Nej</t>
        </is>
      </c>
      <c r="X456" t="inlineStr">
        <is>
          <t>Nej</t>
        </is>
      </c>
      <c r="Y456" t="inlineStr">
        <is>
          <t>Ja</t>
        </is>
      </c>
      <c r="Z456" t="inlineStr">
        <is>
          <t>Nej</t>
        </is>
      </c>
      <c r="AA456" t="n">
        <v>7</v>
      </c>
      <c r="AB456" t="inlineStr">
        <is>
          <t>Egenkontrollrutiner</t>
        </is>
      </c>
      <c r="AC456" t="inlineStr">
        <is>
          <t>Egenkontrollprogram</t>
        </is>
      </c>
      <c r="AD456" t="inlineStr">
        <is>
          <t>Nej</t>
        </is>
      </c>
      <c r="AE456" t="inlineStr">
        <is>
          <t>Nej</t>
        </is>
      </c>
      <c r="AF456" t="inlineStr">
        <is>
          <t>Ej behandlad</t>
        </is>
      </c>
      <c r="AG456" t="inlineStr">
        <is>
          <t>AUTO_GENERERAD. Verifiera citat mot kallfil.</t>
        </is>
      </c>
      <c r="AH456" t="inlineStr">
        <is>
          <t>MEDIUM</t>
        </is>
      </c>
      <c r="AI456" t="inlineStr">
        <is>
          <t>AUTO</t>
        </is>
      </c>
      <c r="AJ456" t="inlineStr">
        <is>
          <t>Nej</t>
        </is>
      </c>
      <c r="AK456" t="inlineStr"/>
      <c r="AL456" t="inlineStr"/>
      <c r="AM456" t="inlineStr"/>
      <c r="AN456" t="inlineStr"/>
      <c r="AO456" t="inlineStr">
        <is>
          <t>cmm4yur9304b5cuqwauhbo864</t>
        </is>
      </c>
      <c r="AP456" t="inlineStr">
        <is>
          <t>http://localhost:8787/api/admin/requirements/documents/cmm4yur9304b5cuqwauhbo864/view</t>
        </is>
      </c>
      <c r="AQ456">
        <f>HYPERLÄNK("http://localhost:8787/api/admin/requirements/documents/cmm4yur9304b5cuqwauhbo864/view";"Öppna PDF")</f>
        <v/>
      </c>
      <c r="AR456">
        <f>HYPERLINK("http://localhost:8787/api/admin/requirements/documents/cmm4yur9304b5cuqwauhbo864/view","Open PDF")</f>
        <v/>
      </c>
      <c r="AS456" t="inlineStr">
        <is>
          <t>cmm55w57p0004cuisfrtpqly8</t>
        </is>
      </c>
      <c r="AT456" t="inlineStr">
        <is>
          <t>cmm4xvu980000cuh4vj0usz09</t>
        </is>
      </c>
      <c r="AU456" t="inlineStr"/>
      <c r="AV456" t="inlineStr">
        <is>
          <t>Kommun</t>
        </is>
      </c>
      <c r="AW456" t="inlineStr"/>
      <c r="AX456" t="inlineStr">
        <is>
          <t>2025-447</t>
        </is>
      </c>
      <c r="AY456" t="inlineStr">
        <is>
          <t>Forelaggande</t>
        </is>
      </c>
      <c r="AZ456" t="inlineStr">
        <is>
          <t>2026-02-10</t>
        </is>
      </c>
      <c r="BA456" t="inlineStr">
        <is>
          <t>m-2025-851_Föreläggande om försiktighetsmått.pdf</t>
        </is>
      </c>
      <c r="BB456" t="inlineStr">
        <is>
          <t>Sv: till registrator</t>
        </is>
      </c>
      <c r="BC456" t="inlineStr">
        <is>
          <t>AUTO</t>
        </is>
      </c>
      <c r="BD456" t="inlineStr"/>
      <c r="BE456" t="inlineStr"/>
      <c r="BF456" t="inlineStr">
        <is>
          <t>AUTO_GENERERAD. Bekrafta metadata mot kallfil.</t>
        </is>
      </c>
      <c r="BG456">
        <f>HYPERLINK("C:\Users\jimmy\Desktop\Examens arbete\Kod\Ny mapp\remix_-copy-of-miljöbeslut.se-portal\m-2025-851_Föreläggande om försiktighetsmått.pdf", "Öppna PDF")</f>
        <v/>
      </c>
    </row>
    <row r="457">
      <c r="A457" t="inlineStr">
        <is>
          <t>KRAV-AUTO-000456</t>
        </is>
      </c>
      <c r="B457" t="inlineStr">
        <is>
          <t>ADMIN-INDEX-2026-02-27-00000000125C043F57453246863FE664CAFE6A3F0700950291EA24F0614FB6ACEDB12BF0E31D00000000010C0000950291EA24F0614FB6ACEDB12BF0E31D00002087A58C0000</t>
        </is>
      </c>
      <c r="C457" t="inlineStr">
        <is>
          <t>cmm4yur8q04atcuqw4s199oap</t>
        </is>
      </c>
      <c r="D457" t="inlineStr">
        <is>
          <t>http://localhost:8787/api/admin/requirements/documents/cmm4yur8q04atcuqw4s199oap/view</t>
        </is>
      </c>
      <c r="E457">
        <f>HYPERLÄNK("http://localhost:8787/api/admin/requirements/documents/cmm4yur8q04atcuqw4s199oap/view";"Öppna PDF")</f>
        <v/>
      </c>
      <c r="F457">
        <f>HYPERLINK("http://localhost:8787/api/admin/requirements/documents/cmm4yur8q04atcuqw4s199oap/view","Open PDF")</f>
        <v/>
      </c>
      <c r="G457" t="inlineStr">
        <is>
          <t>cmm55w57p0004cuisfrtpqly8</t>
        </is>
      </c>
      <c r="H457" t="inlineStr">
        <is>
          <t>Kompletteringskrav</t>
        </is>
      </c>
      <c r="I457" t="inlineStr">
        <is>
          <t>DriftEgenkontroll</t>
        </is>
      </c>
      <c r="J457" t="inlineStr">
        <is>
          <t>Journalforing</t>
        </is>
      </c>
      <c r="K457" t="inlineStr">
        <is>
          <t>Provtagningen visar att avfallsmassorna som ska återanvändas är av kvalitén att klara mindre känslig markanvändning.</t>
        </is>
      </c>
      <c r="L457" t="inlineStr">
        <is>
          <t>Provtagningen visar att avfallsmassorna som ska återanvändas är av kvalitén att klara mindre känslig markanvändning.</t>
        </is>
      </c>
      <c r="M457" t="inlineStr">
        <is>
          <t>SKA</t>
        </is>
      </c>
      <c r="N457" t="inlineStr"/>
      <c r="O457" t="inlineStr"/>
      <c r="P457" t="inlineStr"/>
      <c r="Q457" t="inlineStr"/>
      <c r="R457" t="inlineStr">
        <is>
          <t>Lopande drift</t>
        </is>
      </c>
      <c r="S457" t="inlineStr"/>
      <c r="T457" t="inlineStr">
        <is>
          <t>212000</t>
        </is>
      </c>
      <c r="U457" t="inlineStr"/>
      <c r="V457" t="inlineStr"/>
      <c r="W457" t="inlineStr">
        <is>
          <t>Nej</t>
        </is>
      </c>
      <c r="X457" t="inlineStr">
        <is>
          <t>Nej</t>
        </is>
      </c>
      <c r="Y457" t="inlineStr">
        <is>
          <t>Ja</t>
        </is>
      </c>
      <c r="Z457" t="inlineStr">
        <is>
          <t>Nej</t>
        </is>
      </c>
      <c r="AA457" t="n">
        <v>7</v>
      </c>
      <c r="AB457" t="inlineStr">
        <is>
          <t>Egenkontrollrutiner</t>
        </is>
      </c>
      <c r="AC457" t="inlineStr">
        <is>
          <t>Egenkontrollprogram</t>
        </is>
      </c>
      <c r="AD457" t="inlineStr">
        <is>
          <t>Nej</t>
        </is>
      </c>
      <c r="AE457" t="inlineStr">
        <is>
          <t>Nej</t>
        </is>
      </c>
      <c r="AF457" t="inlineStr">
        <is>
          <t>Ej behandlad</t>
        </is>
      </c>
      <c r="AG457" t="inlineStr">
        <is>
          <t>AUTO_GENERERAD. Verifiera citat mot kallfil.</t>
        </is>
      </c>
      <c r="AH457" t="inlineStr">
        <is>
          <t>MEDIUM</t>
        </is>
      </c>
      <c r="AI457" t="inlineStr">
        <is>
          <t>AUTO</t>
        </is>
      </c>
      <c r="AJ457" t="inlineStr">
        <is>
          <t>Nej</t>
        </is>
      </c>
      <c r="AK457" t="inlineStr"/>
      <c r="AL457" t="inlineStr"/>
      <c r="AM457" t="inlineStr"/>
      <c r="AN457" t="inlineStr"/>
      <c r="AO457" t="inlineStr">
        <is>
          <t>cmm4yur9304b5cuqwauhbo864</t>
        </is>
      </c>
      <c r="AP457" t="inlineStr">
        <is>
          <t>http://localhost:8787/api/admin/requirements/documents/cmm4yur9304b5cuqwauhbo864/view</t>
        </is>
      </c>
      <c r="AQ457">
        <f>HYPERLÄNK("http://localhost:8787/api/admin/requirements/documents/cmm4yur9304b5cuqwauhbo864/view";"Öppna PDF")</f>
        <v/>
      </c>
      <c r="AR457">
        <f>HYPERLINK("http://localhost:8787/api/admin/requirements/documents/cmm4yur9304b5cuqwauhbo864/view","Open PDF")</f>
        <v/>
      </c>
      <c r="AS457" t="inlineStr">
        <is>
          <t>cmm55w57p0004cuisfrtpqly8</t>
        </is>
      </c>
      <c r="AT457" t="inlineStr">
        <is>
          <t>cmm4xvu980000cuh4vj0usz09</t>
        </is>
      </c>
      <c r="AU457" t="inlineStr"/>
      <c r="AV457" t="inlineStr">
        <is>
          <t>Kommun</t>
        </is>
      </c>
      <c r="AW457" t="inlineStr"/>
      <c r="AX457" t="inlineStr">
        <is>
          <t>2025-447</t>
        </is>
      </c>
      <c r="AY457" t="inlineStr">
        <is>
          <t>Forelaggande</t>
        </is>
      </c>
      <c r="AZ457" t="inlineStr">
        <is>
          <t>2026-02-10</t>
        </is>
      </c>
      <c r="BA457" t="inlineStr">
        <is>
          <t>m-2025-851_Föreläggande om försiktighetsmått.pdf</t>
        </is>
      </c>
      <c r="BB457" t="inlineStr">
        <is>
          <t>Sv: till registrator</t>
        </is>
      </c>
      <c r="BC457" t="inlineStr">
        <is>
          <t>AUTO</t>
        </is>
      </c>
      <c r="BD457" t="inlineStr"/>
      <c r="BE457" t="inlineStr"/>
      <c r="BF457" t="inlineStr">
        <is>
          <t>AUTO_GENERERAD. Bekrafta metadata mot kallfil.</t>
        </is>
      </c>
      <c r="BG457">
        <f>HYPERLINK("C:\Users\jimmy\Desktop\Examens arbete\Kod\Ny mapp\remix_-copy-of-miljöbeslut.se-portal\m-2025-851_Föreläggande om försiktighetsmått.pdf", "Öppna PDF")</f>
        <v/>
      </c>
    </row>
    <row r="458">
      <c r="A458" t="inlineStr">
        <is>
          <t>KRAV-AUTO-000457</t>
        </is>
      </c>
      <c r="B458" t="inlineStr">
        <is>
          <t>ADMIN-INDEX-2026-02-27-00000000125C043F57453246863FE664CAFE6A3F0700950291EA24F0614FB6ACEDB12BF0E31D00000000010C0000950291EA24F0614FB6ACEDB12BF0E31D00002087A58C0000</t>
        </is>
      </c>
      <c r="C458" t="inlineStr">
        <is>
          <t>cmm4yur8q04atcuqw4s199oap</t>
        </is>
      </c>
      <c r="D458" t="inlineStr">
        <is>
          <t>http://localhost:8787/api/admin/requirements/documents/cmm4yur8q04atcuqw4s199oap/view</t>
        </is>
      </c>
      <c r="E458">
        <f>HYPERLÄNK("http://localhost:8787/api/admin/requirements/documents/cmm4yur8q04atcuqw4s199oap/view";"Öppna PDF")</f>
        <v/>
      </c>
      <c r="F458">
        <f>HYPERLINK("http://localhost:8787/api/admin/requirements/documents/cmm4yur8q04atcuqw4s199oap/view","Open PDF")</f>
        <v/>
      </c>
      <c r="G458" t="inlineStr">
        <is>
          <t>cmm55w57p0004cuisfrtpqly8</t>
        </is>
      </c>
      <c r="H458" t="inlineStr">
        <is>
          <t>Kompletteringskrav</t>
        </is>
      </c>
      <c r="I458" t="inlineStr">
        <is>
          <t>Riskhantering</t>
        </is>
      </c>
      <c r="J458" t="inlineStr">
        <is>
          <t>Riskkontroll</t>
        </is>
      </c>
      <c r="K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8" t="inlineStr">
        <is>
          <t>SKA</t>
        </is>
      </c>
      <c r="N458" t="inlineStr">
        <is>
          <t>Naturvardsverket</t>
        </is>
      </c>
      <c r="O458" t="inlineStr"/>
      <c r="P458" t="inlineStr"/>
      <c r="Q458" t="inlineStr"/>
      <c r="R458" t="inlineStr">
        <is>
          <t>Vid risk for incident</t>
        </is>
      </c>
      <c r="S458" t="inlineStr"/>
      <c r="T458" t="inlineStr">
        <is>
          <t>212000</t>
        </is>
      </c>
      <c r="U458" t="inlineStr"/>
      <c r="V458" t="inlineStr"/>
      <c r="W458" t="inlineStr">
        <is>
          <t>Nej</t>
        </is>
      </c>
      <c r="X458" t="inlineStr">
        <is>
          <t>Nej</t>
        </is>
      </c>
      <c r="Y458" t="inlineStr">
        <is>
          <t>Ja</t>
        </is>
      </c>
      <c r="Z458" t="inlineStr">
        <is>
          <t>Ja</t>
        </is>
      </c>
      <c r="AA458" t="n">
        <v>8</v>
      </c>
      <c r="AB458" t="inlineStr">
        <is>
          <t>Riskhantering</t>
        </is>
      </c>
      <c r="AC458" t="inlineStr">
        <is>
          <t>Risk-PM</t>
        </is>
      </c>
      <c r="AD458" t="inlineStr">
        <is>
          <t>Nej</t>
        </is>
      </c>
      <c r="AE458" t="inlineStr">
        <is>
          <t>Nej</t>
        </is>
      </c>
      <c r="AF458" t="inlineStr">
        <is>
          <t>Ej behandlad</t>
        </is>
      </c>
      <c r="AG458" t="inlineStr">
        <is>
          <t>AUTO_GENERERAD. Verifiera citat mot kallfil.</t>
        </is>
      </c>
      <c r="AH458" t="inlineStr">
        <is>
          <t>MEDIUM</t>
        </is>
      </c>
      <c r="AI458" t="inlineStr">
        <is>
          <t>AUTO</t>
        </is>
      </c>
      <c r="AJ458" t="inlineStr">
        <is>
          <t>Nej</t>
        </is>
      </c>
      <c r="AK458" t="inlineStr"/>
      <c r="AL458" t="inlineStr"/>
      <c r="AM458" t="inlineStr"/>
      <c r="AN458" t="inlineStr"/>
      <c r="AO458" t="inlineStr">
        <is>
          <t>cmm4yur9304b5cuqwauhbo864</t>
        </is>
      </c>
      <c r="AP458" t="inlineStr">
        <is>
          <t>http://localhost:8787/api/admin/requirements/documents/cmm4yur9304b5cuqwauhbo864/view</t>
        </is>
      </c>
      <c r="AQ458">
        <f>HYPERLÄNK("http://localhost:8787/api/admin/requirements/documents/cmm4yur9304b5cuqwauhbo864/view";"Öppna PDF")</f>
        <v/>
      </c>
      <c r="AR458">
        <f>HYPERLINK("http://localhost:8787/api/admin/requirements/documents/cmm4yur9304b5cuqwauhbo864/view","Open PDF")</f>
        <v/>
      </c>
      <c r="AS458" t="inlineStr">
        <is>
          <t>cmm55w57p0004cuisfrtpqly8</t>
        </is>
      </c>
      <c r="AT458" t="inlineStr">
        <is>
          <t>cmm4xvu980000cuh4vj0usz09</t>
        </is>
      </c>
      <c r="AU458" t="inlineStr"/>
      <c r="AV458" t="inlineStr">
        <is>
          <t>Kommun</t>
        </is>
      </c>
      <c r="AW458" t="inlineStr"/>
      <c r="AX458" t="inlineStr">
        <is>
          <t>2025-447</t>
        </is>
      </c>
      <c r="AY458" t="inlineStr">
        <is>
          <t>Forelaggande</t>
        </is>
      </c>
      <c r="AZ458" t="inlineStr">
        <is>
          <t>2026-02-10</t>
        </is>
      </c>
      <c r="BA458" t="inlineStr">
        <is>
          <t>m-2025-851_Föreläggande om försiktighetsmått.pdf</t>
        </is>
      </c>
      <c r="BB458" t="inlineStr">
        <is>
          <t>Sv: till registrator</t>
        </is>
      </c>
      <c r="BC458" t="inlineStr">
        <is>
          <t>AUTO</t>
        </is>
      </c>
      <c r="BD458" t="inlineStr"/>
      <c r="BE458" t="inlineStr"/>
      <c r="BF458" t="inlineStr">
        <is>
          <t>AUTO_GENERERAD. Bekrafta metadata mot kallfil.</t>
        </is>
      </c>
      <c r="BG458">
        <f>HYPERLINK("C:\Users\jimmy\Desktop\Examens arbete\Kod\Ny mapp\remix_-copy-of-miljöbeslut.se-portal\m-2025-851_Föreläggande om försiktighetsmått.pdf", "Öppna PDF")</f>
        <v/>
      </c>
    </row>
    <row r="459">
      <c r="A459" t="inlineStr">
        <is>
          <t>KRAV-AUTO-000458</t>
        </is>
      </c>
      <c r="B459" t="inlineStr">
        <is>
          <t>ADMIN-INDEX-2026-02-27-00000000125C043F57453246863FE664CAFE6A3F0700950291EA24F0614FB6ACEDB12BF0E31D00000000010C0000950291EA24F0614FB6ACEDB12BF0E31D00002087A58F0000</t>
        </is>
      </c>
      <c r="C459" t="inlineStr">
        <is>
          <t>cmm4yur8f04ahcuqwwwzodl6h</t>
        </is>
      </c>
      <c r="D459" t="inlineStr">
        <is>
          <t>http://localhost:8787/api/admin/requirements/documents/cmm4yur8f04ahcuqwwwzodl6h/view</t>
        </is>
      </c>
      <c r="E459">
        <f>HYPERLÄNK("http://localhost:8787/api/admin/requirements/documents/cmm4yur8f04ahcuqwwwzodl6h/view";"Öppna PDF")</f>
        <v/>
      </c>
      <c r="F459">
        <f>HYPERLINK("http://localhost:8787/api/admin/requirements/documents/cmm4yur8f04ahcuqwwwzodl6h/view","Open PDF")</f>
        <v/>
      </c>
      <c r="G459" t="inlineStr">
        <is>
          <t>cmm55w57p0004cuisfrtpqly8</t>
        </is>
      </c>
      <c r="H459" t="inlineStr">
        <is>
          <t>Beslutsvillkor</t>
        </is>
      </c>
      <c r="I459" t="inlineStr">
        <is>
          <t>DriftEgenkontroll</t>
        </is>
      </c>
      <c r="J459" t="inlineStr">
        <is>
          <t>Journalforing</t>
        </is>
      </c>
      <c r="K459" t="inlineStr">
        <is>
          <t>En rutin för hantering av damm finns i kontrollprogrammet för att minska risken att närboende störs.</t>
        </is>
      </c>
      <c r="L459" t="inlineStr">
        <is>
          <t>En rutin för hantering av damm finns i kontrollprogrammet för att minska risken att närboende störs.</t>
        </is>
      </c>
      <c r="M459" t="inlineStr">
        <is>
          <t>SKA</t>
        </is>
      </c>
      <c r="N459" t="inlineStr"/>
      <c r="O459" t="inlineStr"/>
      <c r="P459" t="inlineStr"/>
      <c r="Q459" t="inlineStr"/>
      <c r="R459" t="inlineStr">
        <is>
          <t>Lopande drift</t>
        </is>
      </c>
      <c r="S459" t="inlineStr"/>
      <c r="T459" t="inlineStr">
        <is>
          <t>556974</t>
        </is>
      </c>
      <c r="U459" t="inlineStr"/>
      <c r="V459" t="inlineStr"/>
      <c r="W459" t="inlineStr">
        <is>
          <t>Nej</t>
        </is>
      </c>
      <c r="X459" t="inlineStr">
        <is>
          <t>Nej</t>
        </is>
      </c>
      <c r="Y459" t="inlineStr">
        <is>
          <t>Ja</t>
        </is>
      </c>
      <c r="Z459" t="inlineStr">
        <is>
          <t>Nej</t>
        </is>
      </c>
      <c r="AA459" t="n">
        <v>7</v>
      </c>
      <c r="AB459" t="inlineStr">
        <is>
          <t>Egenkontrollrutiner</t>
        </is>
      </c>
      <c r="AC459" t="inlineStr">
        <is>
          <t>Egenkontrollprogram</t>
        </is>
      </c>
      <c r="AD459" t="inlineStr">
        <is>
          <t>Nej</t>
        </is>
      </c>
      <c r="AE459" t="inlineStr">
        <is>
          <t>Nej</t>
        </is>
      </c>
      <c r="AF459" t="inlineStr">
        <is>
          <t>Ej behandlad</t>
        </is>
      </c>
      <c r="AG459" t="inlineStr">
        <is>
          <t>AUTO_GENERERAD. Verifiera citat mot kallfil.</t>
        </is>
      </c>
      <c r="AH459" t="inlineStr">
        <is>
          <t>MEDIUM</t>
        </is>
      </c>
      <c r="AI459" t="inlineStr">
        <is>
          <t>AUTO</t>
        </is>
      </c>
      <c r="AJ459" t="inlineStr">
        <is>
          <t>Nej</t>
        </is>
      </c>
      <c r="AK459" t="inlineStr"/>
      <c r="AL459" t="inlineStr"/>
      <c r="AM459" t="inlineStr"/>
      <c r="AN459" t="inlineStr"/>
      <c r="AO459" t="inlineStr">
        <is>
          <t>cmm4yur8f04ahcuqwwwzodl6h</t>
        </is>
      </c>
      <c r="AP459" t="inlineStr">
        <is>
          <t>http://localhost:8787/api/admin/requirements/documents/cmm4yur8f04ahcuqwwwzodl6h/view</t>
        </is>
      </c>
      <c r="AQ459">
        <f>HYPERLÄNK("http://localhost:8787/api/admin/requirements/documents/cmm4yur8f04ahcuqwwwzodl6h/view";"Öppna PDF")</f>
        <v/>
      </c>
      <c r="AR459">
        <f>HYPERLINK("http://localhost:8787/api/admin/requirements/documents/cmm4yur8f04ahcuqwwwzodl6h/view","Open PDF")</f>
        <v/>
      </c>
      <c r="AS459" t="inlineStr">
        <is>
          <t>cmm55w57p0004cuisfrtpqly8</t>
        </is>
      </c>
      <c r="AT459" t="inlineStr">
        <is>
          <t>cmm4xvu980000cuh4vj0usz09</t>
        </is>
      </c>
      <c r="AU459" t="inlineStr">
        <is>
          <t>Marks</t>
        </is>
      </c>
      <c r="AV459" t="inlineStr">
        <is>
          <t>Kommun</t>
        </is>
      </c>
      <c r="AW459" t="inlineStr">
        <is>
          <t>Marks kommun</t>
        </is>
      </c>
      <c r="AX459" t="inlineStr">
        <is>
          <t>2025-09</t>
        </is>
      </c>
      <c r="AY459" t="inlineStr">
        <is>
          <t>Beslut</t>
        </is>
      </c>
      <c r="AZ459" t="inlineStr">
        <is>
          <t>2026-02-10</t>
        </is>
      </c>
      <c r="BA459" t="inlineStr">
        <is>
          <t>MIL.2025.1276.pdf</t>
        </is>
      </c>
      <c r="BB459" t="inlineStr">
        <is>
          <t>Sv: till registrator</t>
        </is>
      </c>
      <c r="BC459" t="inlineStr">
        <is>
          <t>AUTO</t>
        </is>
      </c>
      <c r="BD459" t="inlineStr"/>
      <c r="BE459" t="inlineStr"/>
      <c r="BF459" t="inlineStr">
        <is>
          <t>AUTO_GENERERAD. Bekrafta metadata mot kallfil.</t>
        </is>
      </c>
      <c r="BG459">
        <f>HYPERLINK("C:\Users\jimmy\Desktop\Examens arbete\Kod\Ny mapp\remix_-copy-of-miljöbeslut.se-portal\MIL.2025.1276.pdf", "Öppna PDF")</f>
        <v/>
      </c>
    </row>
    <row r="460">
      <c r="A460" t="inlineStr">
        <is>
          <t>KRAV-AUTO-000459</t>
        </is>
      </c>
      <c r="B460" t="inlineStr">
        <is>
          <t>ADMIN-INDEX-2026-02-27-00000000125C043F57453246863FE664CAFE6A3F0700950291EA24F0614FB6ACEDB12BF0E31D00000000010C0000950291EA24F0614FB6ACEDB12BF0E31D00002087A58F0000</t>
        </is>
      </c>
      <c r="C460" t="inlineStr">
        <is>
          <t>cmm4yur8f04ahcuqwwwzodl6h</t>
        </is>
      </c>
      <c r="D460" t="inlineStr">
        <is>
          <t>http://localhost:8787/api/admin/requirements/documents/cmm4yur8f04ahcuqwwwzodl6h/view</t>
        </is>
      </c>
      <c r="E460">
        <f>HYPERLÄNK("http://localhost:8787/api/admin/requirements/documents/cmm4yur8f04ahcuqwwwzodl6h/view";"Öppna PDF")</f>
        <v/>
      </c>
      <c r="F460">
        <f>HYPERLINK("http://localhost:8787/api/admin/requirements/documents/cmm4yur8f04ahcuqwwwzodl6h/view","Open PDF")</f>
        <v/>
      </c>
      <c r="G460" t="inlineStr">
        <is>
          <t>cmm55w57p0004cuisfrtpqly8</t>
        </is>
      </c>
      <c r="H460" t="inlineStr">
        <is>
          <t>Beslutsvillkor</t>
        </is>
      </c>
      <c r="I460" t="inlineStr">
        <is>
          <t>LagringsvolymTid</t>
        </is>
      </c>
      <c r="J460" t="inlineStr">
        <is>
          <t>Maxmangd</t>
        </is>
      </c>
      <c r="K460" t="inlineStr">
        <is>
          <t>• Allt avfall som tas emot ska åtföljas av dokumentation som anger mottagningsdatum, mängd och avfallstyp.</t>
        </is>
      </c>
      <c r="L460" t="inlineStr">
        <is>
          <t>• Allt avfall som tas emot ska åtföljas av dokumentation som anger mottagningsdatum, mängd och avfallstyp.</t>
        </is>
      </c>
      <c r="M460" t="inlineStr">
        <is>
          <t>SKA</t>
        </is>
      </c>
      <c r="N460" t="inlineStr"/>
      <c r="O460" t="inlineStr"/>
      <c r="P460" t="inlineStr"/>
      <c r="Q460" t="inlineStr"/>
      <c r="R460" t="inlineStr">
        <is>
          <t>Alltid</t>
        </is>
      </c>
      <c r="S460" t="inlineStr"/>
      <c r="T460" t="inlineStr">
        <is>
          <t>556974</t>
        </is>
      </c>
      <c r="U460" t="inlineStr"/>
      <c r="V460" t="inlineStr"/>
      <c r="W460" t="inlineStr">
        <is>
          <t>Nej</t>
        </is>
      </c>
      <c r="X460" t="inlineStr">
        <is>
          <t>Nej</t>
        </is>
      </c>
      <c r="Y460" t="inlineStr">
        <is>
          <t>Nej</t>
        </is>
      </c>
      <c r="Z460" t="inlineStr">
        <is>
          <t>Nej</t>
        </is>
      </c>
      <c r="AA460" t="n">
        <v>4</v>
      </c>
      <c r="AB460" t="inlineStr">
        <is>
          <t>Avfallsmangder och lagringstid</t>
        </is>
      </c>
      <c r="AC460" t="inlineStr">
        <is>
          <t>Avfallsforteckning</t>
        </is>
      </c>
      <c r="AD460" t="inlineStr">
        <is>
          <t>Nej</t>
        </is>
      </c>
      <c r="AE460" t="inlineStr">
        <is>
          <t>Nej</t>
        </is>
      </c>
      <c r="AF460" t="inlineStr">
        <is>
          <t>Ej behandlad</t>
        </is>
      </c>
      <c r="AG460" t="inlineStr">
        <is>
          <t>AUTO_GENERERAD. Verifiera citat mot kallfil.</t>
        </is>
      </c>
      <c r="AH460" t="inlineStr">
        <is>
          <t>MEDIUM</t>
        </is>
      </c>
      <c r="AI460" t="inlineStr">
        <is>
          <t>AUTO</t>
        </is>
      </c>
      <c r="AJ460" t="inlineStr">
        <is>
          <t>Nej</t>
        </is>
      </c>
      <c r="AK460" t="inlineStr"/>
      <c r="AL460" t="inlineStr"/>
      <c r="AM460" t="inlineStr"/>
      <c r="AN460" t="inlineStr"/>
      <c r="AO460" t="inlineStr">
        <is>
          <t>cmm4yur8f04ahcuqwwwzodl6h</t>
        </is>
      </c>
      <c r="AP460" t="inlineStr">
        <is>
          <t>http://localhost:8787/api/admin/requirements/documents/cmm4yur8f04ahcuqwwwzodl6h/view</t>
        </is>
      </c>
      <c r="AQ460">
        <f>HYPERLÄNK("http://localhost:8787/api/admin/requirements/documents/cmm4yur8f04ahcuqwwwzodl6h/view";"Öppna PDF")</f>
        <v/>
      </c>
      <c r="AR460">
        <f>HYPERLINK("http://localhost:8787/api/admin/requirements/documents/cmm4yur8f04ahcuqwwwzodl6h/view","Open PDF")</f>
        <v/>
      </c>
      <c r="AS460" t="inlineStr">
        <is>
          <t>cmm55w57p0004cuisfrtpqly8</t>
        </is>
      </c>
      <c r="AT460" t="inlineStr">
        <is>
          <t>cmm4xvu980000cuh4vj0usz09</t>
        </is>
      </c>
      <c r="AU460" t="inlineStr">
        <is>
          <t>Marks</t>
        </is>
      </c>
      <c r="AV460" t="inlineStr">
        <is>
          <t>Kommun</t>
        </is>
      </c>
      <c r="AW460" t="inlineStr">
        <is>
          <t>Marks kommun</t>
        </is>
      </c>
      <c r="AX460" t="inlineStr">
        <is>
          <t>2025-09</t>
        </is>
      </c>
      <c r="AY460" t="inlineStr">
        <is>
          <t>Beslut</t>
        </is>
      </c>
      <c r="AZ460" t="inlineStr">
        <is>
          <t>2026-02-10</t>
        </is>
      </c>
      <c r="BA460" t="inlineStr">
        <is>
          <t>MIL.2025.1276.pdf</t>
        </is>
      </c>
      <c r="BB460" t="inlineStr">
        <is>
          <t>Sv: till registrator</t>
        </is>
      </c>
      <c r="BC460" t="inlineStr">
        <is>
          <t>AUTO</t>
        </is>
      </c>
      <c r="BD460" t="inlineStr"/>
      <c r="BE460" t="inlineStr"/>
      <c r="BF460" t="inlineStr">
        <is>
          <t>AUTO_GENERERAD. Bekrafta metadata mot kallfil.</t>
        </is>
      </c>
      <c r="BG460">
        <f>HYPERLINK("C:\Users\jimmy\Desktop\Examens arbete\Kod\Ny mapp\remix_-copy-of-miljöbeslut.se-portal\MIL.2025.1276.pdf", "Öppna PDF")</f>
        <v/>
      </c>
    </row>
    <row r="461">
      <c r="A461" t="inlineStr">
        <is>
          <t>KRAV-AUTO-000460</t>
        </is>
      </c>
      <c r="B461" t="inlineStr">
        <is>
          <t>ADMIN-INDEX-2026-02-27-00000000125C043F57453246863FE664CAFE6A3F0700950291EA24F0614FB6ACEDB12BF0E31D00000000010C0000950291EA24F0614FB6ACEDB12BF0E31D00002087A58F0000</t>
        </is>
      </c>
      <c r="C461" t="inlineStr">
        <is>
          <t>cmm4yur8f04ahcuqwwwzodl6h</t>
        </is>
      </c>
      <c r="D461" t="inlineStr">
        <is>
          <t>http://localhost:8787/api/admin/requirements/documents/cmm4yur8f04ahcuqwwwzodl6h/view</t>
        </is>
      </c>
      <c r="E461">
        <f>HYPERLÄNK("http://localhost:8787/api/admin/requirements/documents/cmm4yur8f04ahcuqwwwzodl6h/view";"Öppna PDF")</f>
        <v/>
      </c>
      <c r="F461">
        <f>HYPERLINK("http://localhost:8787/api/admin/requirements/documents/cmm4yur8f04ahcuqwwwzodl6h/view","Open PDF")</f>
        <v/>
      </c>
      <c r="G461" t="inlineStr">
        <is>
          <t>cmm55w57p0004cuisfrtpqly8</t>
        </is>
      </c>
      <c r="H461" t="inlineStr">
        <is>
          <t>Beslutsvillkor</t>
        </is>
      </c>
      <c r="I461" t="inlineStr">
        <is>
          <t>Ytkonstruktion</t>
        </is>
      </c>
      <c r="J461" t="inlineStr">
        <is>
          <t>Tat yta</t>
        </is>
      </c>
      <c r="K461" t="inlineStr">
        <is>
          <t>Avfallsproducenten måste även fylla i en digital mottagningsblankett som bland annat visar var och vilket typområde massorna kommer från så att Massoptimering får indikation på om det kan behövas ytterligare provtagning.</t>
        </is>
      </c>
      <c r="L461" t="inlineStr">
        <is>
          <t>Avfallsproducenten måste även fylla i en digital mottagningsblankett som bland annat visar var och vilket typområde massorna kommer från så att Massoptimering får indikation på om det kan behövas ytterligare provtagning.</t>
        </is>
      </c>
      <c r="M461" t="inlineStr">
        <is>
          <t>SKA</t>
        </is>
      </c>
      <c r="N461" t="inlineStr"/>
      <c r="O461" t="inlineStr"/>
      <c r="P461" t="inlineStr"/>
      <c r="Q461" t="inlineStr"/>
      <c r="R461" t="inlineStr">
        <is>
          <t>Vid mellanlagring av avfall</t>
        </is>
      </c>
      <c r="S461" t="inlineStr"/>
      <c r="T461" t="inlineStr">
        <is>
          <t>556974</t>
        </is>
      </c>
      <c r="U461" t="inlineStr"/>
      <c r="V461" t="inlineStr"/>
      <c r="W461" t="inlineStr">
        <is>
          <t>Ja</t>
        </is>
      </c>
      <c r="X461" t="inlineStr">
        <is>
          <t>Nej</t>
        </is>
      </c>
      <c r="Y461" t="inlineStr">
        <is>
          <t>Nej</t>
        </is>
      </c>
      <c r="Z461" t="inlineStr">
        <is>
          <t>Nej</t>
        </is>
      </c>
      <c r="AA461" t="n">
        <v>5</v>
      </c>
      <c r="AB461" t="inlineStr">
        <is>
          <t>Teknisk beskrivning av platta</t>
        </is>
      </c>
      <c r="AC461" t="inlineStr">
        <is>
          <t>Teknisk ritning platta</t>
        </is>
      </c>
      <c r="AD461" t="inlineStr">
        <is>
          <t>Nej</t>
        </is>
      </c>
      <c r="AE461" t="inlineStr">
        <is>
          <t>Nej</t>
        </is>
      </c>
      <c r="AF461" t="inlineStr">
        <is>
          <t>Ej behandlad</t>
        </is>
      </c>
      <c r="AG461" t="inlineStr">
        <is>
          <t>AUTO_GENERERAD. Verifiera citat mot kallfil.</t>
        </is>
      </c>
      <c r="AH461" t="inlineStr">
        <is>
          <t>MEDIUM</t>
        </is>
      </c>
      <c r="AI461" t="inlineStr">
        <is>
          <t>AUTO</t>
        </is>
      </c>
      <c r="AJ461" t="inlineStr">
        <is>
          <t>Nej</t>
        </is>
      </c>
      <c r="AK461" t="inlineStr"/>
      <c r="AL461" t="inlineStr"/>
      <c r="AM461" t="inlineStr"/>
      <c r="AN461" t="inlineStr"/>
      <c r="AO461" t="inlineStr">
        <is>
          <t>cmm4yur8f04ahcuqwwwzodl6h</t>
        </is>
      </c>
      <c r="AP461" t="inlineStr">
        <is>
          <t>http://localhost:8787/api/admin/requirements/documents/cmm4yur8f04ahcuqwwwzodl6h/view</t>
        </is>
      </c>
      <c r="AQ461">
        <f>HYPERLÄNK("http://localhost:8787/api/admin/requirements/documents/cmm4yur8f04ahcuqwwwzodl6h/view";"Öppna PDF")</f>
        <v/>
      </c>
      <c r="AR461">
        <f>HYPERLINK("http://localhost:8787/api/admin/requirements/documents/cmm4yur8f04ahcuqwwwzodl6h/view","Open PDF")</f>
        <v/>
      </c>
      <c r="AS461" t="inlineStr">
        <is>
          <t>cmm55w57p0004cuisfrtpqly8</t>
        </is>
      </c>
      <c r="AT461" t="inlineStr">
        <is>
          <t>cmm4xvu980000cuh4vj0usz09</t>
        </is>
      </c>
      <c r="AU461" t="inlineStr">
        <is>
          <t>Marks</t>
        </is>
      </c>
      <c r="AV461" t="inlineStr">
        <is>
          <t>Kommun</t>
        </is>
      </c>
      <c r="AW461" t="inlineStr">
        <is>
          <t>Marks kommun</t>
        </is>
      </c>
      <c r="AX461" t="inlineStr">
        <is>
          <t>2025-09</t>
        </is>
      </c>
      <c r="AY461" t="inlineStr">
        <is>
          <t>Beslut</t>
        </is>
      </c>
      <c r="AZ461" t="inlineStr">
        <is>
          <t>2026-02-10</t>
        </is>
      </c>
      <c r="BA461" t="inlineStr">
        <is>
          <t>MIL.2025.1276.pdf</t>
        </is>
      </c>
      <c r="BB461" t="inlineStr">
        <is>
          <t>Sv: till registrator</t>
        </is>
      </c>
      <c r="BC461" t="inlineStr">
        <is>
          <t>AUTO</t>
        </is>
      </c>
      <c r="BD461" t="inlineStr"/>
      <c r="BE461" t="inlineStr"/>
      <c r="BF461" t="inlineStr">
        <is>
          <t>AUTO_GENERERAD. Bekrafta metadata mot kallfil.</t>
        </is>
      </c>
      <c r="BG461">
        <f>HYPERLINK("C:\Users\jimmy\Desktop\Examens arbete\Kod\Ny mapp\remix_-copy-of-miljöbeslut.se-portal\MIL.2025.1276.pdf", "Öppna PDF")</f>
        <v/>
      </c>
    </row>
    <row r="462">
      <c r="A462" t="inlineStr">
        <is>
          <t>KRAV-AUTO-000461</t>
        </is>
      </c>
      <c r="B462" t="inlineStr">
        <is>
          <t>ADMIN-INDEX-2026-02-27-00000000125C043F57453246863FE664CAFE6A3F0700950291EA24F0614FB6ACEDB12BF0E31D00000000010C0000950291EA24F0614FB6ACEDB12BF0E31D00002087A58F0000</t>
        </is>
      </c>
      <c r="C462" t="inlineStr">
        <is>
          <t>cmm4yur8b04abcuqwioo7w9vg</t>
        </is>
      </c>
      <c r="D462" t="inlineStr">
        <is>
          <t>http://localhost:8787/api/admin/requirements/documents/cmm4yur8b04abcuqwioo7w9vg/view</t>
        </is>
      </c>
      <c r="E462">
        <f>HYPERLÄNK("http://localhost:8787/api/admin/requirements/documents/cmm4yur8b04abcuqwioo7w9vg/view";"Öppna PDF")</f>
        <v/>
      </c>
      <c r="F462">
        <f>HYPERLINK("http://localhost:8787/api/admin/requirements/documents/cmm4yur8b04abcuqwioo7w9vg/view","Open PDF")</f>
        <v/>
      </c>
      <c r="G462" t="inlineStr">
        <is>
          <t>cmm55w57p0004cuisfrtpqly8</t>
        </is>
      </c>
      <c r="H462" t="inlineStr">
        <is>
          <t>Beslutsvillkor</t>
        </is>
      </c>
      <c r="I462" t="inlineStr">
        <is>
          <t>DagvattenLakvatten</t>
        </is>
      </c>
      <c r="J462" t="inlineStr">
        <is>
          <t>Uppsamling</t>
        </is>
      </c>
      <c r="K462" t="inlineStr">
        <is>
          <t>I provtagningen av dagvatten vill man fortsätta att fokusera på de parametrar som är problematiska d.v.s metaller.</t>
        </is>
      </c>
      <c r="L462" t="inlineStr">
        <is>
          <t>I provtagningen av dagvatten vill man fortsätta att fokusera på de parametrar som är problematiska d.v.s metaller.</t>
        </is>
      </c>
      <c r="M462" t="inlineStr">
        <is>
          <t>SKA</t>
        </is>
      </c>
      <c r="N462" t="inlineStr"/>
      <c r="O462" t="inlineStr"/>
      <c r="P462" t="inlineStr"/>
      <c r="Q462" t="inlineStr"/>
      <c r="R462" t="inlineStr">
        <is>
          <t>Vid nederbord och avrinning</t>
        </is>
      </c>
      <c r="S462" t="inlineStr"/>
      <c r="T462" t="inlineStr"/>
      <c r="U462" t="inlineStr"/>
      <c r="V462" t="inlineStr"/>
      <c r="W462" t="inlineStr">
        <is>
          <t>Nej</t>
        </is>
      </c>
      <c r="X462" t="inlineStr">
        <is>
          <t>Ja</t>
        </is>
      </c>
      <c r="Y462" t="inlineStr">
        <is>
          <t>Ja</t>
        </is>
      </c>
      <c r="Z462" t="inlineStr">
        <is>
          <t>Nej</t>
        </is>
      </c>
      <c r="AA462" t="n">
        <v>6</v>
      </c>
      <c r="AB462" t="inlineStr">
        <is>
          <t>Lakvattenhantering</t>
        </is>
      </c>
      <c r="AC462" t="inlineStr">
        <is>
          <t>Flodesschema dagvatten-lakvatten</t>
        </is>
      </c>
      <c r="AD462" t="inlineStr">
        <is>
          <t>Nej</t>
        </is>
      </c>
      <c r="AE462" t="inlineStr">
        <is>
          <t>Nej</t>
        </is>
      </c>
      <c r="AF462" t="inlineStr">
        <is>
          <t>Ej behandlad</t>
        </is>
      </c>
      <c r="AG462" t="inlineStr">
        <is>
          <t>AUTO_GENERERAD. Verifiera citat mot kallfil.</t>
        </is>
      </c>
      <c r="AH462" t="inlineStr">
        <is>
          <t>MEDIUM</t>
        </is>
      </c>
      <c r="AI462" t="inlineStr">
        <is>
          <t>AUTO</t>
        </is>
      </c>
      <c r="AJ462" t="inlineStr">
        <is>
          <t>Nej</t>
        </is>
      </c>
      <c r="AK462" t="inlineStr"/>
      <c r="AL462" t="inlineStr"/>
      <c r="AM462" t="inlineStr"/>
      <c r="AN462" t="inlineStr"/>
      <c r="AO462" t="inlineStr">
        <is>
          <t>cmm4yur8f04ahcuqwwwzodl6h</t>
        </is>
      </c>
      <c r="AP462" t="inlineStr">
        <is>
          <t>http://localhost:8787/api/admin/requirements/documents/cmm4yur8f04ahcuqwwwzodl6h/view</t>
        </is>
      </c>
      <c r="AQ462">
        <f>HYPERLÄNK("http://localhost:8787/api/admin/requirements/documents/cmm4yur8f04ahcuqwwwzodl6h/view";"Öppna PDF")</f>
        <v/>
      </c>
      <c r="AR462">
        <f>HYPERLINK("http://localhost:8787/api/admin/requirements/documents/cmm4yur8f04ahcuqwwwzodl6h/view","Open PDF")</f>
        <v/>
      </c>
      <c r="AS462" t="inlineStr">
        <is>
          <t>cmm55w57p0004cuisfrtpqly8</t>
        </is>
      </c>
      <c r="AT462" t="inlineStr">
        <is>
          <t>cmm4xvu980000cuh4vj0usz09</t>
        </is>
      </c>
      <c r="AU462" t="inlineStr">
        <is>
          <t>Marks</t>
        </is>
      </c>
      <c r="AV462" t="inlineStr">
        <is>
          <t>Kommun</t>
        </is>
      </c>
      <c r="AW462" t="inlineStr">
        <is>
          <t>Marks kommun</t>
        </is>
      </c>
      <c r="AX462" t="inlineStr">
        <is>
          <t>2025-09</t>
        </is>
      </c>
      <c r="AY462" t="inlineStr">
        <is>
          <t>Beslut</t>
        </is>
      </c>
      <c r="AZ462" t="inlineStr">
        <is>
          <t>2026-02-10</t>
        </is>
      </c>
      <c r="BA462" t="inlineStr">
        <is>
          <t>MIL.2025.1276.pdf</t>
        </is>
      </c>
      <c r="BB462" t="inlineStr">
        <is>
          <t>Sv: till registrator</t>
        </is>
      </c>
      <c r="BC462" t="inlineStr">
        <is>
          <t>AUTO</t>
        </is>
      </c>
      <c r="BD462" t="inlineStr"/>
      <c r="BE462" t="inlineStr"/>
      <c r="BF462" t="inlineStr">
        <is>
          <t>AUTO_GENERERAD. Bekrafta metadata mot kallfil.</t>
        </is>
      </c>
      <c r="BG462">
        <f>HYPERLINK("C:\Users\jimmy\Desktop\Examens arbete\Kod\Ny mapp\remix_-copy-of-miljöbeslut.se-portal\MIL.2025.1276.pdf", "Öppna PDF")</f>
        <v/>
      </c>
    </row>
    <row r="463">
      <c r="A463" t="inlineStr">
        <is>
          <t>KRAV-AUTO-000462</t>
        </is>
      </c>
      <c r="B463" t="inlineStr">
        <is>
          <t>ADMIN-INDEX-2026-02-27-00000000125C043F57453246863FE664CAFE6A3F0700950291EA24F0614FB6ACEDB12BF0E31D00000000010C0000950291EA24F0614FB6ACEDB12BF0E31D00002087A58F0000</t>
        </is>
      </c>
      <c r="C463" t="inlineStr">
        <is>
          <t>cmm4yur8b04abcuqwioo7w9vg</t>
        </is>
      </c>
      <c r="D463" t="inlineStr">
        <is>
          <t>http://localhost:8787/api/admin/requirements/documents/cmm4yur8b04abcuqwioo7w9vg/view</t>
        </is>
      </c>
      <c r="E463">
        <f>HYPERLÄNK("http://localhost:8787/api/admin/requirements/documents/cmm4yur8b04abcuqwioo7w9vg/view";"Öppna PDF")</f>
        <v/>
      </c>
      <c r="F463">
        <f>HYPERLINK("http://localhost:8787/api/admin/requirements/documents/cmm4yur8b04abcuqwioo7w9vg/view","Open PDF")</f>
        <v/>
      </c>
      <c r="G463" t="inlineStr">
        <is>
          <t>cmm55w57p0004cuisfrtpqly8</t>
        </is>
      </c>
      <c r="H463" t="inlineStr">
        <is>
          <t>Beslutsvillkor</t>
        </is>
      </c>
      <c r="I463" t="inlineStr">
        <is>
          <t>DagvattenLakvatten</t>
        </is>
      </c>
      <c r="J463" t="inlineStr">
        <is>
          <t>Uppsamling</t>
        </is>
      </c>
      <c r="K463" t="inlineStr">
        <is>
          <t>Risker och miljökonsekvenser Syftet med installationen är att innehålla riktvärden för utgående dagvatten och avser därför att minska risker för att förorenat dagvatten når Reningsverket.</t>
        </is>
      </c>
      <c r="L463" t="inlineStr">
        <is>
          <t>Risker och miljökonsekvenser Syftet med installationen är att innehålla riktvärden för utgående dagvatten och avser därför att minska risker för att förorenat dagvatten når Reningsverket.</t>
        </is>
      </c>
      <c r="M463" t="inlineStr">
        <is>
          <t>SKA</t>
        </is>
      </c>
      <c r="N463" t="inlineStr"/>
      <c r="O463" t="inlineStr"/>
      <c r="P463" t="inlineStr"/>
      <c r="Q463" t="inlineStr"/>
      <c r="R463" t="inlineStr">
        <is>
          <t>Vid nederbord och avrinning</t>
        </is>
      </c>
      <c r="S463" t="inlineStr"/>
      <c r="T463" t="inlineStr"/>
      <c r="U463" t="inlineStr"/>
      <c r="V463" t="inlineStr"/>
      <c r="W463" t="inlineStr">
        <is>
          <t>Nej</t>
        </is>
      </c>
      <c r="X463" t="inlineStr">
        <is>
          <t>Ja</t>
        </is>
      </c>
      <c r="Y463" t="inlineStr">
        <is>
          <t>Ja</t>
        </is>
      </c>
      <c r="Z463" t="inlineStr">
        <is>
          <t>Nej</t>
        </is>
      </c>
      <c r="AA463" t="n">
        <v>6</v>
      </c>
      <c r="AB463" t="inlineStr">
        <is>
          <t>Lakvattenhantering</t>
        </is>
      </c>
      <c r="AC463" t="inlineStr">
        <is>
          <t>Flodesschema dagvatten-lakvatten</t>
        </is>
      </c>
      <c r="AD463" t="inlineStr">
        <is>
          <t>Nej</t>
        </is>
      </c>
      <c r="AE463" t="inlineStr">
        <is>
          <t>Nej</t>
        </is>
      </c>
      <c r="AF463" t="inlineStr">
        <is>
          <t>Ej behandlad</t>
        </is>
      </c>
      <c r="AG463" t="inlineStr">
        <is>
          <t>AUTO_GENERERAD. Verifiera citat mot kallfil.</t>
        </is>
      </c>
      <c r="AH463" t="inlineStr">
        <is>
          <t>MEDIUM</t>
        </is>
      </c>
      <c r="AI463" t="inlineStr">
        <is>
          <t>AUTO</t>
        </is>
      </c>
      <c r="AJ463" t="inlineStr">
        <is>
          <t>Nej</t>
        </is>
      </c>
      <c r="AK463" t="inlineStr"/>
      <c r="AL463" t="inlineStr"/>
      <c r="AM463" t="inlineStr"/>
      <c r="AN463" t="inlineStr"/>
      <c r="AO463" t="inlineStr">
        <is>
          <t>cmm4yur8f04ahcuqwwwzodl6h</t>
        </is>
      </c>
      <c r="AP463" t="inlineStr">
        <is>
          <t>http://localhost:8787/api/admin/requirements/documents/cmm4yur8f04ahcuqwwwzodl6h/view</t>
        </is>
      </c>
      <c r="AQ463">
        <f>HYPERLÄNK("http://localhost:8787/api/admin/requirements/documents/cmm4yur8f04ahcuqwwwzodl6h/view";"Öppna PDF")</f>
        <v/>
      </c>
      <c r="AR463">
        <f>HYPERLINK("http://localhost:8787/api/admin/requirements/documents/cmm4yur8f04ahcuqwwwzodl6h/view","Open PDF")</f>
        <v/>
      </c>
      <c r="AS463" t="inlineStr">
        <is>
          <t>cmm55w57p0004cuisfrtpqly8</t>
        </is>
      </c>
      <c r="AT463" t="inlineStr">
        <is>
          <t>cmm4xvu980000cuh4vj0usz09</t>
        </is>
      </c>
      <c r="AU463" t="inlineStr">
        <is>
          <t>Marks</t>
        </is>
      </c>
      <c r="AV463" t="inlineStr">
        <is>
          <t>Kommun</t>
        </is>
      </c>
      <c r="AW463" t="inlineStr">
        <is>
          <t>Marks kommun</t>
        </is>
      </c>
      <c r="AX463" t="inlineStr">
        <is>
          <t>2025-09</t>
        </is>
      </c>
      <c r="AY463" t="inlineStr">
        <is>
          <t>Beslut</t>
        </is>
      </c>
      <c r="AZ463" t="inlineStr">
        <is>
          <t>2026-02-10</t>
        </is>
      </c>
      <c r="BA463" t="inlineStr">
        <is>
          <t>MIL.2025.1276.pdf</t>
        </is>
      </c>
      <c r="BB463" t="inlineStr">
        <is>
          <t>Sv: till registrator</t>
        </is>
      </c>
      <c r="BC463" t="inlineStr">
        <is>
          <t>AUTO</t>
        </is>
      </c>
      <c r="BD463" t="inlineStr"/>
      <c r="BE463" t="inlineStr"/>
      <c r="BF463" t="inlineStr">
        <is>
          <t>AUTO_GENERERAD. Bekrafta metadata mot kallfil.</t>
        </is>
      </c>
      <c r="BG463">
        <f>HYPERLINK("C:\Users\jimmy\Desktop\Examens arbete\Kod\Ny mapp\remix_-copy-of-miljöbeslut.se-portal\MIL.2025.1276.pdf", "Öppna PDF")</f>
        <v/>
      </c>
    </row>
    <row r="464">
      <c r="A464" t="inlineStr">
        <is>
          <t>KRAV-AUTO-000463</t>
        </is>
      </c>
      <c r="B464" t="inlineStr">
        <is>
          <t>ADMIN-INDEX-2026-02-27-00000000125C043F57453246863FE664CAFE6A3F0700950291EA24F0614FB6ACEDB12BF0E31D00000000010C0000950291EA24F0614FB6ACEDB12BF0E31D00002087A58F0000</t>
        </is>
      </c>
      <c r="C464" t="inlineStr">
        <is>
          <t>cmm4yur8b04abcuqwioo7w9vg</t>
        </is>
      </c>
      <c r="D464" t="inlineStr">
        <is>
          <t>http://localhost:8787/api/admin/requirements/documents/cmm4yur8b04abcuqwioo7w9vg/view</t>
        </is>
      </c>
      <c r="E464">
        <f>HYPERLÄNK("http://localhost:8787/api/admin/requirements/documents/cmm4yur8b04abcuqwioo7w9vg/view";"Öppna PDF")</f>
        <v/>
      </c>
      <c r="F464">
        <f>HYPERLINK("http://localhost:8787/api/admin/requirements/documents/cmm4yur8b04abcuqwioo7w9vg/view","Open PDF")</f>
        <v/>
      </c>
      <c r="G464" t="inlineStr">
        <is>
          <t>cmm55w57p0004cuisfrtpqly8</t>
        </is>
      </c>
      <c r="H464" t="inlineStr">
        <is>
          <t>Beslutsvillkor</t>
        </is>
      </c>
      <c r="I464" t="inlineStr">
        <is>
          <t>DagvattenLakvatten</t>
        </is>
      </c>
      <c r="J464" t="inlineStr">
        <is>
          <t>Uppsamling</t>
        </is>
      </c>
      <c r="K464" t="inlineStr">
        <is>
          <t>I samråd med miljöenheten kom vi fram till att föreläggandet om gräns- och riktvärden för dagvatten, i ärende MIL.2019.121, kan upphävas.</t>
        </is>
      </c>
      <c r="L464" t="inlineStr">
        <is>
          <t>I samråd med miljöenheten kom vi fram till att föreläggandet om gräns- och riktvärden för dagvatten, i ärende MIL.2019.121, kan upphävas.</t>
        </is>
      </c>
      <c r="M464" t="inlineStr">
        <is>
          <t>KAN</t>
        </is>
      </c>
      <c r="N464" t="inlineStr"/>
      <c r="O464" t="inlineStr"/>
      <c r="P464" t="inlineStr"/>
      <c r="Q464" t="inlineStr">
        <is>
          <t>Forelaggande vid brist</t>
        </is>
      </c>
      <c r="R464" t="inlineStr">
        <is>
          <t>Vid nederbord och avrinning</t>
        </is>
      </c>
      <c r="S464" t="inlineStr"/>
      <c r="T464" t="inlineStr"/>
      <c r="U464" t="inlineStr"/>
      <c r="V464" t="inlineStr"/>
      <c r="W464" t="inlineStr">
        <is>
          <t>Nej</t>
        </is>
      </c>
      <c r="X464" t="inlineStr">
        <is>
          <t>Ja</t>
        </is>
      </c>
      <c r="Y464" t="inlineStr">
        <is>
          <t>Ja</t>
        </is>
      </c>
      <c r="Z464" t="inlineStr">
        <is>
          <t>Nej</t>
        </is>
      </c>
      <c r="AA464" t="n">
        <v>6</v>
      </c>
      <c r="AB464" t="inlineStr">
        <is>
          <t>Lakvattenhantering</t>
        </is>
      </c>
      <c r="AC464" t="inlineStr">
        <is>
          <t>Flodesschema dagvatten-lakvatten</t>
        </is>
      </c>
      <c r="AD464" t="inlineStr">
        <is>
          <t>Nej</t>
        </is>
      </c>
      <c r="AE464" t="inlineStr">
        <is>
          <t>Nej</t>
        </is>
      </c>
      <c r="AF464" t="inlineStr">
        <is>
          <t>Ej behandlad</t>
        </is>
      </c>
      <c r="AG464" t="inlineStr">
        <is>
          <t>AUTO_GENERERAD. Verifiera citat mot kallfil.</t>
        </is>
      </c>
      <c r="AH464" t="inlineStr">
        <is>
          <t>MEDIUM</t>
        </is>
      </c>
      <c r="AI464" t="inlineStr">
        <is>
          <t>AUTO</t>
        </is>
      </c>
      <c r="AJ464" t="inlineStr">
        <is>
          <t>Nej</t>
        </is>
      </c>
      <c r="AK464" t="inlineStr"/>
      <c r="AL464" t="inlineStr"/>
      <c r="AM464" t="inlineStr"/>
      <c r="AN464" t="inlineStr"/>
      <c r="AO464" t="inlineStr">
        <is>
          <t>cmm4yur8f04ahcuqwwwzodl6h</t>
        </is>
      </c>
      <c r="AP464" t="inlineStr">
        <is>
          <t>http://localhost:8787/api/admin/requirements/documents/cmm4yur8f04ahcuqwwwzodl6h/view</t>
        </is>
      </c>
      <c r="AQ464">
        <f>HYPERLÄNK("http://localhost:8787/api/admin/requirements/documents/cmm4yur8f04ahcuqwwwzodl6h/view";"Öppna PDF")</f>
        <v/>
      </c>
      <c r="AR464">
        <f>HYPERLINK("http://localhost:8787/api/admin/requirements/documents/cmm4yur8f04ahcuqwwwzodl6h/view","Open PDF")</f>
        <v/>
      </c>
      <c r="AS464" t="inlineStr">
        <is>
          <t>cmm55w57p0004cuisfrtpqly8</t>
        </is>
      </c>
      <c r="AT464" t="inlineStr">
        <is>
          <t>cmm4xvu980000cuh4vj0usz09</t>
        </is>
      </c>
      <c r="AU464" t="inlineStr">
        <is>
          <t>Marks</t>
        </is>
      </c>
      <c r="AV464" t="inlineStr">
        <is>
          <t>Kommun</t>
        </is>
      </c>
      <c r="AW464" t="inlineStr">
        <is>
          <t>Marks kommun</t>
        </is>
      </c>
      <c r="AX464" t="inlineStr">
        <is>
          <t>2025-09</t>
        </is>
      </c>
      <c r="AY464" t="inlineStr">
        <is>
          <t>Beslut</t>
        </is>
      </c>
      <c r="AZ464" t="inlineStr">
        <is>
          <t>2026-02-10</t>
        </is>
      </c>
      <c r="BA464" t="inlineStr">
        <is>
          <t>MIL.2025.1276.pdf</t>
        </is>
      </c>
      <c r="BB464" t="inlineStr">
        <is>
          <t>Sv: till registrator</t>
        </is>
      </c>
      <c r="BC464" t="inlineStr">
        <is>
          <t>AUTO</t>
        </is>
      </c>
      <c r="BD464" t="inlineStr"/>
      <c r="BE464" t="inlineStr"/>
      <c r="BF464" t="inlineStr">
        <is>
          <t>AUTO_GENERERAD. Bekrafta metadata mot kallfil.</t>
        </is>
      </c>
      <c r="BG464">
        <f>HYPERLINK("C:\Users\jimmy\Desktop\Examens arbete\Kod\Ny mapp\remix_-copy-of-miljöbeslut.se-portal\MIL.2025.1276.pdf", "Öppna PDF")</f>
        <v/>
      </c>
    </row>
    <row r="465">
      <c r="A465" t="inlineStr">
        <is>
          <t>KRAV-AUTO-000464</t>
        </is>
      </c>
      <c r="B465" t="inlineStr">
        <is>
          <t>ADMIN-INDEX-2026-02-27-00000000125C043F57453246863FE664CAFE6A3F0700950291EA24F0614FB6ACEDB12BF0E31D00000000010C0000950291EA24F0614FB6ACEDB12BF0E31D00002087ADF10000</t>
        </is>
      </c>
      <c r="C465" t="inlineStr">
        <is>
          <t>cmm4yuqjs03nncuqw2tfjq4a3</t>
        </is>
      </c>
      <c r="D465" t="inlineStr">
        <is>
          <t>http://localhost:8787/api/admin/requirements/documents/cmm4yuqjs03nncuqw2tfjq4a3/view</t>
        </is>
      </c>
      <c r="E465">
        <f>HYPERLÄNK("http://localhost:8787/api/admin/requirements/documents/cmm4yuqjs03nncuqw2tfjq4a3/view";"Öppna PDF")</f>
        <v/>
      </c>
      <c r="F465">
        <f>HYPERLINK("http://localhost:8787/api/admin/requirements/documents/cmm4yuqjs03nncuqw2tfjq4a3/view","Open PDF")</f>
        <v/>
      </c>
      <c r="G465" t="inlineStr">
        <is>
          <t>cmm55w57p0004cuisfrtpqly8</t>
        </is>
      </c>
      <c r="H465" t="inlineStr">
        <is>
          <t>Informationskrav</t>
        </is>
      </c>
      <c r="I465" t="inlineStr">
        <is>
          <t>LagringsvolymTid</t>
        </is>
      </c>
      <c r="J465" t="inlineStr">
        <is>
          <t>Maxmangd</t>
        </is>
      </c>
      <c r="K465" t="inlineStr">
        <is>
          <t>För att minska nedskräpning från förpackningarna så hanteras dem i ett betongfack och upplastning kommer ske så snabbt som möjligt efter materialet kommit in.</t>
        </is>
      </c>
      <c r="L465" t="inlineStr">
        <is>
          <t>För att minska nedskräpning från förpackningarna så hanteras dem i ett betongfack och upplastning kommer ske så snabbt som möjligt efter materialet kommit in.</t>
        </is>
      </c>
      <c r="M465" t="inlineStr">
        <is>
          <t>SKA</t>
        </is>
      </c>
      <c r="N465" t="inlineStr"/>
      <c r="O465" t="inlineStr"/>
      <c r="P465" t="inlineStr"/>
      <c r="Q465" t="inlineStr"/>
      <c r="R465" t="inlineStr">
        <is>
          <t>Alltid</t>
        </is>
      </c>
      <c r="S465" t="inlineStr"/>
      <c r="T465" t="inlineStr">
        <is>
          <t>556057</t>
        </is>
      </c>
      <c r="U465" t="inlineStr"/>
      <c r="V465" t="inlineStr"/>
      <c r="W465" t="inlineStr">
        <is>
          <t>Nej</t>
        </is>
      </c>
      <c r="X465" t="inlineStr">
        <is>
          <t>Nej</t>
        </is>
      </c>
      <c r="Y465" t="inlineStr">
        <is>
          <t>Nej</t>
        </is>
      </c>
      <c r="Z465" t="inlineStr">
        <is>
          <t>Nej</t>
        </is>
      </c>
      <c r="AA465" t="n">
        <v>4</v>
      </c>
      <c r="AB465" t="inlineStr">
        <is>
          <t>Avfallsmangder och lagringstid</t>
        </is>
      </c>
      <c r="AC465" t="inlineStr">
        <is>
          <t>Avfallsforteckning</t>
        </is>
      </c>
      <c r="AD465" t="inlineStr">
        <is>
          <t>Nej</t>
        </is>
      </c>
      <c r="AE465" t="inlineStr">
        <is>
          <t>Nej</t>
        </is>
      </c>
      <c r="AF465" t="inlineStr">
        <is>
          <t>Ej behandlad</t>
        </is>
      </c>
      <c r="AG465" t="inlineStr">
        <is>
          <t>AUTO_GENERERAD. Verifiera citat mot kallfil.</t>
        </is>
      </c>
      <c r="AH465" t="inlineStr">
        <is>
          <t>MEDIUM</t>
        </is>
      </c>
      <c r="AI465" t="inlineStr">
        <is>
          <t>AUTO</t>
        </is>
      </c>
      <c r="AJ465" t="inlineStr">
        <is>
          <t>Nej</t>
        </is>
      </c>
      <c r="AK465" t="inlineStr"/>
      <c r="AL465" t="inlineStr"/>
      <c r="AM465" t="inlineStr"/>
      <c r="AN465" t="inlineStr"/>
      <c r="AO465" t="inlineStr">
        <is>
          <t>cmm4yuqjs03nncuqw2tfjq4a3</t>
        </is>
      </c>
      <c r="AP465" t="inlineStr">
        <is>
          <t>http://localhost:8787/api/admin/requirements/documents/cmm4yuqjs03nncuqw2tfjq4a3/view</t>
        </is>
      </c>
      <c r="AQ465">
        <f>HYPERLÄNK("http://localhost:8787/api/admin/requirements/documents/cmm4yuqjs03nncuqw2tfjq4a3/view";"Öppna PDF")</f>
        <v/>
      </c>
      <c r="AR465">
        <f>HYPERLINK("http://localhost:8787/api/admin/requirements/documents/cmm4yuqjs03nncuqw2tfjq4a3/view","Open PDF")</f>
        <v/>
      </c>
      <c r="AS465" t="inlineStr">
        <is>
          <t>cmm55w57p0004cuisfrtpqly8</t>
        </is>
      </c>
      <c r="AT465" t="inlineStr">
        <is>
          <t>cmm4xvu980000cuh4vj0usz09</t>
        </is>
      </c>
      <c r="AU465" t="inlineStr"/>
      <c r="AV465" t="inlineStr">
        <is>
          <t>Kommun</t>
        </is>
      </c>
      <c r="AW465" t="inlineStr"/>
      <c r="AX465" t="inlineStr">
        <is>
          <t>2016-04</t>
        </is>
      </c>
      <c r="AY465" t="inlineStr">
        <is>
          <t>Anmalan</t>
        </is>
      </c>
      <c r="AZ465" t="inlineStr">
        <is>
          <t>2026-02-05</t>
        </is>
      </c>
      <c r="BA465" t="inlineStr">
        <is>
          <t>anmälan 2024-1627.pdf</t>
        </is>
      </c>
      <c r="BB465" t="inlineStr">
        <is>
          <t>Sv: till registrator</t>
        </is>
      </c>
      <c r="BC465" t="inlineStr">
        <is>
          <t>AUTO</t>
        </is>
      </c>
      <c r="BD465" t="inlineStr"/>
      <c r="BE465" t="inlineStr"/>
      <c r="BF465" t="inlineStr">
        <is>
          <t>AUTO_GENERERAD. Bekrafta metadata mot kallfil.</t>
        </is>
      </c>
      <c r="BG465">
        <f>HYPERLINK("C:\Users\jimmy\Desktop\Examens arbete\Kod\Ny mapp\remix_-copy-of-miljöbeslut.se-portal\anmälan 2024-1627.pdf", "Öppna PDF")</f>
        <v/>
      </c>
    </row>
    <row r="466">
      <c r="A466" t="inlineStr">
        <is>
          <t>KRAV-AUTO-000465</t>
        </is>
      </c>
      <c r="B466" t="inlineStr">
        <is>
          <t>ADMIN-INDEX-2026-02-27-00000000125C043F57453246863FE664CAFE6A3F0700950291EA24F0614FB6ACEDB12BF0E31D00000000010C0000950291EA24F0614FB6ACEDB12BF0E31D00002087ADF10000</t>
        </is>
      </c>
      <c r="C466" t="inlineStr">
        <is>
          <t>cmm4yuqjs03nncuqw2tfjq4a3</t>
        </is>
      </c>
      <c r="D466" t="inlineStr">
        <is>
          <t>http://localhost:8787/api/admin/requirements/documents/cmm4yuqjs03nncuqw2tfjq4a3/view</t>
        </is>
      </c>
      <c r="E466">
        <f>HYPERLÄNK("http://localhost:8787/api/admin/requirements/documents/cmm4yuqjs03nncuqw2tfjq4a3/view";"Öppna PDF")</f>
        <v/>
      </c>
      <c r="F466">
        <f>HYPERLINK("http://localhost:8787/api/admin/requirements/documents/cmm4yuqjs03nncuqw2tfjq4a3/view","Open PDF")</f>
        <v/>
      </c>
      <c r="G466" t="inlineStr">
        <is>
          <t>cmm55w57p0004cuisfrtpqly8</t>
        </is>
      </c>
      <c r="H466" t="inlineStr">
        <is>
          <t>Informationskrav</t>
        </is>
      </c>
      <c r="I466" t="inlineStr">
        <is>
          <t>DriftEgenkontroll</t>
        </is>
      </c>
      <c r="J466" t="inlineStr">
        <is>
          <t>Journalforing</t>
        </is>
      </c>
      <c r="K466" t="inlineStr">
        <is>
          <t>Mottagningskontroll, avvikelsehantering, riskbedömning, beredskapsplan osv sker enligt Bolagets centrala rutiner och anläggningens egenkontroll, som är certifierat enligt ISO 9001 och 14001.</t>
        </is>
      </c>
      <c r="L466" t="inlineStr">
        <is>
          <t>Mottagningskontroll, avvikelsehantering, riskbedömning, beredskapsplan osv sker enligt Bolagets centrala rutiner och anläggningens egenkontroll, som är certifierat enligt ISO 9001 och 14001.</t>
        </is>
      </c>
      <c r="M466" t="inlineStr">
        <is>
          <t>SKA</t>
        </is>
      </c>
      <c r="N466" t="inlineStr"/>
      <c r="O466" t="inlineStr"/>
      <c r="P466" t="inlineStr"/>
      <c r="Q466" t="inlineStr"/>
      <c r="R466" t="inlineStr">
        <is>
          <t>Lopande drift</t>
        </is>
      </c>
      <c r="S466" t="inlineStr"/>
      <c r="T466" t="inlineStr">
        <is>
          <t>556057</t>
        </is>
      </c>
      <c r="U466" t="inlineStr"/>
      <c r="V466" t="inlineStr"/>
      <c r="W466" t="inlineStr">
        <is>
          <t>Nej</t>
        </is>
      </c>
      <c r="X466" t="inlineStr">
        <is>
          <t>Nej</t>
        </is>
      </c>
      <c r="Y466" t="inlineStr">
        <is>
          <t>Ja</t>
        </is>
      </c>
      <c r="Z466" t="inlineStr">
        <is>
          <t>Nej</t>
        </is>
      </c>
      <c r="AA466" t="n">
        <v>7</v>
      </c>
      <c r="AB466" t="inlineStr">
        <is>
          <t>Egenkontrollrutiner</t>
        </is>
      </c>
      <c r="AC466" t="inlineStr">
        <is>
          <t>Egenkontrollprogram</t>
        </is>
      </c>
      <c r="AD466" t="inlineStr">
        <is>
          <t>Nej</t>
        </is>
      </c>
      <c r="AE466" t="inlineStr">
        <is>
          <t>Nej</t>
        </is>
      </c>
      <c r="AF466" t="inlineStr">
        <is>
          <t>Ej behandlad</t>
        </is>
      </c>
      <c r="AG466" t="inlineStr">
        <is>
          <t>AUTO_GENERERAD. Verifiera citat mot kallfil.</t>
        </is>
      </c>
      <c r="AH466" t="inlineStr">
        <is>
          <t>MEDIUM</t>
        </is>
      </c>
      <c r="AI466" t="inlineStr">
        <is>
          <t>AUTO</t>
        </is>
      </c>
      <c r="AJ466" t="inlineStr">
        <is>
          <t>Nej</t>
        </is>
      </c>
      <c r="AK466" t="inlineStr"/>
      <c r="AL466" t="inlineStr"/>
      <c r="AM466" t="inlineStr"/>
      <c r="AN466" t="inlineStr"/>
      <c r="AO466" t="inlineStr">
        <is>
          <t>cmm4yuqjs03nncuqw2tfjq4a3</t>
        </is>
      </c>
      <c r="AP466" t="inlineStr">
        <is>
          <t>http://localhost:8787/api/admin/requirements/documents/cmm4yuqjs03nncuqw2tfjq4a3/view</t>
        </is>
      </c>
      <c r="AQ466">
        <f>HYPERLÄNK("http://localhost:8787/api/admin/requirements/documents/cmm4yuqjs03nncuqw2tfjq4a3/view";"Öppna PDF")</f>
        <v/>
      </c>
      <c r="AR466">
        <f>HYPERLINK("http://localhost:8787/api/admin/requirements/documents/cmm4yuqjs03nncuqw2tfjq4a3/view","Open PDF")</f>
        <v/>
      </c>
      <c r="AS466" t="inlineStr">
        <is>
          <t>cmm55w57p0004cuisfrtpqly8</t>
        </is>
      </c>
      <c r="AT466" t="inlineStr">
        <is>
          <t>cmm4xvu980000cuh4vj0usz09</t>
        </is>
      </c>
      <c r="AU466" t="inlineStr"/>
      <c r="AV466" t="inlineStr">
        <is>
          <t>Kommun</t>
        </is>
      </c>
      <c r="AW466" t="inlineStr"/>
      <c r="AX466" t="inlineStr">
        <is>
          <t>2016-04</t>
        </is>
      </c>
      <c r="AY466" t="inlineStr">
        <is>
          <t>Anmalan</t>
        </is>
      </c>
      <c r="AZ466" t="inlineStr">
        <is>
          <t>2026-02-05</t>
        </is>
      </c>
      <c r="BA466" t="inlineStr">
        <is>
          <t>anmälan 2024-1627.pdf</t>
        </is>
      </c>
      <c r="BB466" t="inlineStr">
        <is>
          <t>Sv: till registrator</t>
        </is>
      </c>
      <c r="BC466" t="inlineStr">
        <is>
          <t>AUTO</t>
        </is>
      </c>
      <c r="BD466" t="inlineStr"/>
      <c r="BE466" t="inlineStr"/>
      <c r="BF466" t="inlineStr">
        <is>
          <t>AUTO_GENERERAD. Bekrafta metadata mot kallfil.</t>
        </is>
      </c>
      <c r="BG466">
        <f>HYPERLINK("C:\Users\jimmy\Desktop\Examens arbete\Kod\Ny mapp\remix_-copy-of-miljöbeslut.se-portal\anmälan 2024-1627.pdf", "Öppna PDF")</f>
        <v/>
      </c>
    </row>
    <row r="467">
      <c r="A467" t="inlineStr">
        <is>
          <t>KRAV-AUTO-000466</t>
        </is>
      </c>
      <c r="B467" t="inlineStr">
        <is>
          <t>ADMIN-INDEX-2026-02-27-00000000125C043F57453246863FE664CAFE6A3F0700950291EA24F0614FB6ACEDB12BF0E31D00000000010C0000950291EA24F0614FB6ACEDB12BF0E31D00002087A5950000</t>
        </is>
      </c>
      <c r="C467" t="inlineStr">
        <is>
          <t>cmm4yur7d049bcuqwpx6ueoru</t>
        </is>
      </c>
      <c r="D467" t="inlineStr">
        <is>
          <t>http://localhost:8787/api/admin/requirements/documents/cmm4yur7d049bcuqwpx6ueoru/view</t>
        </is>
      </c>
      <c r="E467">
        <f>HYPERLÄNK("http://localhost:8787/api/admin/requirements/documents/cmm4yur7d049bcuqwpx6ueoru/view";"Öppna PDF")</f>
        <v/>
      </c>
      <c r="F467">
        <f>HYPERLINK("http://localhost:8787/api/admin/requirements/documents/cmm4yur7d049bcuqwpx6ueoru/view","Open PDF")</f>
        <v/>
      </c>
      <c r="G467" t="inlineStr">
        <is>
          <t>cmm55w57p0004cuisfrtpqly8</t>
        </is>
      </c>
      <c r="H467" t="inlineStr">
        <is>
          <t>Informationskrav</t>
        </is>
      </c>
      <c r="I467" t="inlineStr">
        <is>
          <t>Ytkonstruktion</t>
        </is>
      </c>
      <c r="J467" t="inlineStr">
        <is>
          <t>Tat yta</t>
        </is>
      </c>
      <c r="K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bostäder, närliggande anläggningar och andra områden av intresse (naturreservat, lekplatser, vattenskyddsområde) Verksamheten kommer vara placerad vid Emanuelsson Åkeris etablering i Ekshärad inom inhägnat område.</t>
        </is>
      </c>
      <c r="L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t>
        </is>
      </c>
      <c r="M467" t="inlineStr">
        <is>
          <t>SKA</t>
        </is>
      </c>
      <c r="N467" t="inlineStr"/>
      <c r="O467" t="inlineStr"/>
      <c r="P467" t="inlineStr">
        <is>
          <t>Arlig</t>
        </is>
      </c>
      <c r="Q467" t="inlineStr"/>
      <c r="R467" t="inlineStr">
        <is>
          <t>Vid mellanlagring av avfall</t>
        </is>
      </c>
      <c r="S467" t="inlineStr"/>
      <c r="T467" t="inlineStr">
        <is>
          <t>241210</t>
        </is>
      </c>
      <c r="U467" t="inlineStr"/>
      <c r="V467" t="inlineStr"/>
      <c r="W467" t="inlineStr">
        <is>
          <t>Ja</t>
        </is>
      </c>
      <c r="X467" t="inlineStr">
        <is>
          <t>Nej</t>
        </is>
      </c>
      <c r="Y467" t="inlineStr">
        <is>
          <t>Nej</t>
        </is>
      </c>
      <c r="Z467" t="inlineStr">
        <is>
          <t>Nej</t>
        </is>
      </c>
      <c r="AA467" t="n">
        <v>5</v>
      </c>
      <c r="AB467" t="inlineStr">
        <is>
          <t>Teknisk beskrivning av platta</t>
        </is>
      </c>
      <c r="AC467" t="inlineStr">
        <is>
          <t>Teknisk ritning platta</t>
        </is>
      </c>
      <c r="AD467" t="inlineStr">
        <is>
          <t>Nej</t>
        </is>
      </c>
      <c r="AE467" t="inlineStr">
        <is>
          <t>Nej</t>
        </is>
      </c>
      <c r="AF467" t="inlineStr">
        <is>
          <t>Ej behandlad</t>
        </is>
      </c>
      <c r="AG467" t="inlineStr">
        <is>
          <t>AUTO_GENERERAD. Verifiera citat mot kallfil.</t>
        </is>
      </c>
      <c r="AH467" t="inlineStr">
        <is>
          <t>MEDIUM</t>
        </is>
      </c>
      <c r="AI467" t="inlineStr">
        <is>
          <t>AUTO</t>
        </is>
      </c>
      <c r="AJ467" t="inlineStr">
        <is>
          <t>Nej</t>
        </is>
      </c>
      <c r="AK467" t="inlineStr"/>
      <c r="AL467" t="inlineStr"/>
      <c r="AM467" t="inlineStr"/>
      <c r="AN467" t="inlineStr"/>
      <c r="AO467" t="inlineStr">
        <is>
          <t>cmm4yur7g049ecuqw03gdal1n</t>
        </is>
      </c>
      <c r="AP467" t="inlineStr">
        <is>
          <t>http://localhost:8787/api/admin/requirements/documents/cmm4yur7g049ecuqw03gdal1n/view</t>
        </is>
      </c>
      <c r="AQ467">
        <f>HYPERLÄNK("http://localhost:8787/api/admin/requirements/documents/cmm4yur7g049ecuqw03gdal1n/view";"Öppna PDF")</f>
        <v/>
      </c>
      <c r="AR467">
        <f>HYPERLINK("http://localhost:8787/api/admin/requirements/documents/cmm4yur7g049ecuqw03gdal1n/view","Open PDF")</f>
        <v/>
      </c>
      <c r="AS467" t="inlineStr">
        <is>
          <t>cmm55w57p0004cuisfrtpqly8</t>
        </is>
      </c>
      <c r="AT467" t="inlineStr">
        <is>
          <t>cmm4xvu980000cuh4vj0usz09</t>
        </is>
      </c>
      <c r="AU467" t="inlineStr">
        <is>
          <t>mottagning av verksamhetsavfall Hagfors</t>
        </is>
      </c>
      <c r="AV467" t="inlineStr">
        <is>
          <t>Kommun</t>
        </is>
      </c>
      <c r="AW467" t="inlineStr">
        <is>
          <t>mottagning av verksamhetsavfall Hagfors kommun</t>
        </is>
      </c>
      <c r="AX467" t="inlineStr">
        <is>
          <t>2024-12</t>
        </is>
      </c>
      <c r="AY467" t="inlineStr">
        <is>
          <t>Anmalan</t>
        </is>
      </c>
      <c r="AZ467" t="inlineStr">
        <is>
          <t>2026-02-09</t>
        </is>
      </c>
      <c r="BA467" t="inlineStr">
        <is>
          <t>GetContent (25).pdf</t>
        </is>
      </c>
      <c r="BB467" t="inlineStr">
        <is>
          <t>Anmälningspliktiga C-verksamheter</t>
        </is>
      </c>
      <c r="BC467" t="inlineStr">
        <is>
          <t>AUTO</t>
        </is>
      </c>
      <c r="BD467" t="inlineStr"/>
      <c r="BE467" t="inlineStr"/>
      <c r="BF467" t="inlineStr">
        <is>
          <t>AUTO_GENERERAD. Bekrafta metadata mot kallfil.</t>
        </is>
      </c>
      <c r="BG467">
        <f>HYPERLINK("C:\Users\jimmy\Desktop\Examens arbete\Kod\Ny mapp\remix_-copy-of-miljöbeslut.se-portal\GetContent (25).pdf", "Öppna PDF")</f>
        <v/>
      </c>
    </row>
    <row r="468">
      <c r="A468" t="inlineStr">
        <is>
          <t>KRAV-AUTO-000467</t>
        </is>
      </c>
      <c r="B468" t="inlineStr">
        <is>
          <t>ADMIN-INDEX-2026-02-27-00000000125C043F57453246863FE664CAFE6A3F0700950291EA24F0614FB6ACEDB12BF0E31D00000000010C0000950291EA24F0614FB6ACEDB12BF0E31D00002087ADF10000</t>
        </is>
      </c>
      <c r="C468" t="inlineStr">
        <is>
          <t>cmm4yuqjl03nhcuqw2brl9og9</t>
        </is>
      </c>
      <c r="D468" t="inlineStr">
        <is>
          <t>http://localhost:8787/api/admin/requirements/documents/cmm4yuqjl03nhcuqw2brl9og9/view</t>
        </is>
      </c>
      <c r="E468">
        <f>HYPERLÄNK("http://localhost:8787/api/admin/requirements/documents/cmm4yuqjl03nhcuqw2brl9og9/view";"Öppna PDF")</f>
        <v/>
      </c>
      <c r="F468">
        <f>HYPERLINK("http://localhost:8787/api/admin/requirements/documents/cmm4yuqjl03nhcuqw2brl9og9/view","Open PDF")</f>
        <v/>
      </c>
      <c r="G468" t="inlineStr">
        <is>
          <t>cmm55w57p0004cuisfrtpqly8</t>
        </is>
      </c>
      <c r="H468" t="inlineStr">
        <is>
          <t>Beslutsvillkor</t>
        </is>
      </c>
      <c r="I468" t="inlineStr">
        <is>
          <t>Ytkonstruktion</t>
        </is>
      </c>
      <c r="J468" t="inlineStr">
        <is>
          <t>Tat yta</t>
        </is>
      </c>
      <c r="K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468" t="inlineStr">
        <is>
          <t>SKA</t>
        </is>
      </c>
      <c r="N468" t="inlineStr"/>
      <c r="O468" t="inlineStr"/>
      <c r="P468" t="inlineStr"/>
      <c r="Q468" t="inlineStr"/>
      <c r="R468" t="inlineStr">
        <is>
          <t>Vid mellanlagring av avfall</t>
        </is>
      </c>
      <c r="S468" t="inlineStr"/>
      <c r="T468" t="inlineStr">
        <is>
          <t>251202</t>
        </is>
      </c>
      <c r="U468" t="inlineStr"/>
      <c r="V468" t="inlineStr"/>
      <c r="W468" t="inlineStr">
        <is>
          <t>Ja</t>
        </is>
      </c>
      <c r="X468" t="inlineStr">
        <is>
          <t>Nej</t>
        </is>
      </c>
      <c r="Y468" t="inlineStr">
        <is>
          <t>Nej</t>
        </is>
      </c>
      <c r="Z468" t="inlineStr">
        <is>
          <t>Nej</t>
        </is>
      </c>
      <c r="AA468" t="n">
        <v>5</v>
      </c>
      <c r="AB468" t="inlineStr">
        <is>
          <t>Teknisk beskrivning av platta</t>
        </is>
      </c>
      <c r="AC468" t="inlineStr">
        <is>
          <t>Teknisk ritning platta</t>
        </is>
      </c>
      <c r="AD468" t="inlineStr">
        <is>
          <t>Nej</t>
        </is>
      </c>
      <c r="AE468" t="inlineStr">
        <is>
          <t>Nej</t>
        </is>
      </c>
      <c r="AF468" t="inlineStr">
        <is>
          <t>Ej behandlad</t>
        </is>
      </c>
      <c r="AG468" t="inlineStr">
        <is>
          <t>AUTO_GENERERAD. Verifiera citat mot kallfil.</t>
        </is>
      </c>
      <c r="AH468" t="inlineStr">
        <is>
          <t>MEDIUM</t>
        </is>
      </c>
      <c r="AI468" t="inlineStr">
        <is>
          <t>AUTO</t>
        </is>
      </c>
      <c r="AJ468" t="inlineStr">
        <is>
          <t>Nej</t>
        </is>
      </c>
      <c r="AK468" t="inlineStr"/>
      <c r="AL468" t="inlineStr"/>
      <c r="AM468" t="inlineStr"/>
      <c r="AN468" t="inlineStr"/>
      <c r="AO468" t="inlineStr">
        <is>
          <t>cmm4yuqjs03nncuqw2tfjq4a3</t>
        </is>
      </c>
      <c r="AP468" t="inlineStr">
        <is>
          <t>http://localhost:8787/api/admin/requirements/documents/cmm4yuqjs03nncuqw2tfjq4a3/view</t>
        </is>
      </c>
      <c r="AQ468">
        <f>HYPERLÄNK("http://localhost:8787/api/admin/requirements/documents/cmm4yuqjs03nncuqw2tfjq4a3/view";"Öppna PDF")</f>
        <v/>
      </c>
      <c r="AR468">
        <f>HYPERLINK("http://localhost:8787/api/admin/requirements/documents/cmm4yuqjs03nncuqw2tfjq4a3/view","Open PDF")</f>
        <v/>
      </c>
      <c r="AS468" t="inlineStr">
        <is>
          <t>cmm55w57p0004cuisfrtpqly8</t>
        </is>
      </c>
      <c r="AT468" t="inlineStr">
        <is>
          <t>cmm4xvu980000cuh4vj0usz09</t>
        </is>
      </c>
      <c r="AU468" t="inlineStr"/>
      <c r="AV468" t="inlineStr">
        <is>
          <t>Kommun</t>
        </is>
      </c>
      <c r="AW468" t="inlineStr"/>
      <c r="AX468" t="inlineStr">
        <is>
          <t>2016-04</t>
        </is>
      </c>
      <c r="AY468" t="inlineStr">
        <is>
          <t>Anmalan</t>
        </is>
      </c>
      <c r="AZ468" t="inlineStr">
        <is>
          <t>2026-02-05</t>
        </is>
      </c>
      <c r="BA468" t="inlineStr">
        <is>
          <t>anmälan 2024-1627.pdf</t>
        </is>
      </c>
      <c r="BB468" t="inlineStr">
        <is>
          <t>Sv: till registrator</t>
        </is>
      </c>
      <c r="BC468" t="inlineStr">
        <is>
          <t>AUTO</t>
        </is>
      </c>
      <c r="BD468" t="inlineStr"/>
      <c r="BE468" t="inlineStr"/>
      <c r="BF468" t="inlineStr">
        <is>
          <t>AUTO_GENERERAD. Bekrafta metadata mot kallfil.</t>
        </is>
      </c>
      <c r="BG468">
        <f>HYPERLINK("C:\Users\jimmy\Desktop\Examens arbete\Kod\Ny mapp\remix_-copy-of-miljöbeslut.se-portal\anmälan 2024-1627.pdf", "Öppna PDF")</f>
        <v/>
      </c>
    </row>
    <row r="469">
      <c r="A469" t="inlineStr">
        <is>
          <t>KRAV-AUTO-000468</t>
        </is>
      </c>
      <c r="B469" t="inlineStr">
        <is>
          <t>ADMIN-INDEX-2026-02-27-00000000125C043F57453246863FE664CAFE6A3F0700950291EA24F0614FB6ACEDB12BF0E31D00000000010C0000950291EA24F0614FB6ACEDB12BF0E31D00002087ADF10000</t>
        </is>
      </c>
      <c r="C469" t="inlineStr">
        <is>
          <t>cmm4yuqjl03nhcuqw2brl9og9</t>
        </is>
      </c>
      <c r="D469" t="inlineStr">
        <is>
          <t>http://localhost:8787/api/admin/requirements/documents/cmm4yuqjl03nhcuqw2brl9og9/view</t>
        </is>
      </c>
      <c r="E469">
        <f>HYPERLÄNK("http://localhost:8787/api/admin/requirements/documents/cmm4yuqjl03nhcuqw2brl9og9/view";"Öppna PDF")</f>
        <v/>
      </c>
      <c r="F469">
        <f>HYPERLINK("http://localhost:8787/api/admin/requirements/documents/cmm4yuqjl03nhcuqw2brl9og9/view","Open PDF")</f>
        <v/>
      </c>
      <c r="G469" t="inlineStr">
        <is>
          <t>cmm55w57p0004cuisfrtpqly8</t>
        </is>
      </c>
      <c r="H469" t="inlineStr">
        <is>
          <t>Beslutsvillkor</t>
        </is>
      </c>
      <c r="I469" t="inlineStr">
        <is>
          <t>Riskhantering</t>
        </is>
      </c>
      <c r="J469" t="inlineStr">
        <is>
          <t>Riskkontroll</t>
        </is>
      </c>
      <c r="K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469" t="inlineStr">
        <is>
          <t>SKA</t>
        </is>
      </c>
      <c r="N469" t="inlineStr"/>
      <c r="O469" t="inlineStr"/>
      <c r="P469" t="inlineStr"/>
      <c r="Q469" t="inlineStr"/>
      <c r="R469" t="inlineStr">
        <is>
          <t>Vid risk for incident</t>
        </is>
      </c>
      <c r="S469" t="inlineStr"/>
      <c r="T469" t="inlineStr">
        <is>
          <t>170504</t>
        </is>
      </c>
      <c r="U469" t="inlineStr"/>
      <c r="V469" t="inlineStr"/>
      <c r="W469" t="inlineStr">
        <is>
          <t>Nej</t>
        </is>
      </c>
      <c r="X469" t="inlineStr">
        <is>
          <t>Nej</t>
        </is>
      </c>
      <c r="Y469" t="inlineStr">
        <is>
          <t>Ja</t>
        </is>
      </c>
      <c r="Z469" t="inlineStr">
        <is>
          <t>Ja</t>
        </is>
      </c>
      <c r="AA469" t="n">
        <v>8</v>
      </c>
      <c r="AB469" t="inlineStr">
        <is>
          <t>Riskhantering</t>
        </is>
      </c>
      <c r="AC469" t="inlineStr">
        <is>
          <t>Risk-PM</t>
        </is>
      </c>
      <c r="AD469" t="inlineStr">
        <is>
          <t>Nej</t>
        </is>
      </c>
      <c r="AE469" t="inlineStr">
        <is>
          <t>Nej</t>
        </is>
      </c>
      <c r="AF469" t="inlineStr">
        <is>
          <t>Ej behandlad</t>
        </is>
      </c>
      <c r="AG469" t="inlineStr">
        <is>
          <t>AUTO_GENERERAD. Verifiera citat mot kallfil.</t>
        </is>
      </c>
      <c r="AH469" t="inlineStr">
        <is>
          <t>MEDIUM</t>
        </is>
      </c>
      <c r="AI469" t="inlineStr">
        <is>
          <t>AUTO</t>
        </is>
      </c>
      <c r="AJ469" t="inlineStr">
        <is>
          <t>Nej</t>
        </is>
      </c>
      <c r="AK469" t="inlineStr"/>
      <c r="AL469" t="inlineStr"/>
      <c r="AM469" t="inlineStr"/>
      <c r="AN469" t="inlineStr"/>
      <c r="AO469" t="inlineStr">
        <is>
          <t>cmm4yuqjs03nncuqw2tfjq4a3</t>
        </is>
      </c>
      <c r="AP469" t="inlineStr">
        <is>
          <t>http://localhost:8787/api/admin/requirements/documents/cmm4yuqjs03nncuqw2tfjq4a3/view</t>
        </is>
      </c>
      <c r="AQ469">
        <f>HYPERLÄNK("http://localhost:8787/api/admin/requirements/documents/cmm4yuqjs03nncuqw2tfjq4a3/view";"Öppna PDF")</f>
        <v/>
      </c>
      <c r="AR469">
        <f>HYPERLINK("http://localhost:8787/api/admin/requirements/documents/cmm4yuqjs03nncuqw2tfjq4a3/view","Open PDF")</f>
        <v/>
      </c>
      <c r="AS469" t="inlineStr">
        <is>
          <t>cmm55w57p0004cuisfrtpqly8</t>
        </is>
      </c>
      <c r="AT469" t="inlineStr">
        <is>
          <t>cmm4xvu980000cuh4vj0usz09</t>
        </is>
      </c>
      <c r="AU469" t="inlineStr"/>
      <c r="AV469" t="inlineStr">
        <is>
          <t>Kommun</t>
        </is>
      </c>
      <c r="AW469" t="inlineStr"/>
      <c r="AX469" t="inlineStr">
        <is>
          <t>2016-04</t>
        </is>
      </c>
      <c r="AY469" t="inlineStr">
        <is>
          <t>Anmalan</t>
        </is>
      </c>
      <c r="AZ469" t="inlineStr">
        <is>
          <t>2026-02-05</t>
        </is>
      </c>
      <c r="BA469" t="inlineStr">
        <is>
          <t>anmälan 2024-1627.pdf</t>
        </is>
      </c>
      <c r="BB469" t="inlineStr">
        <is>
          <t>Sv: till registrator</t>
        </is>
      </c>
      <c r="BC469" t="inlineStr">
        <is>
          <t>AUTO</t>
        </is>
      </c>
      <c r="BD469" t="inlineStr"/>
      <c r="BE469" t="inlineStr"/>
      <c r="BF469" t="inlineStr">
        <is>
          <t>AUTO_GENERERAD. Bekrafta metadata mot kallfil.</t>
        </is>
      </c>
      <c r="BG469">
        <f>HYPERLINK("C:\Users\jimmy\Desktop\Examens arbete\Kod\Ny mapp\remix_-copy-of-miljöbeslut.se-portal\anmälan 2024-1627.pdf", "Öppna PDF")</f>
        <v/>
      </c>
    </row>
    <row r="470">
      <c r="A470" t="inlineStr">
        <is>
          <t>KRAV-AUTO-000469</t>
        </is>
      </c>
      <c r="B470" t="inlineStr">
        <is>
          <t>ADMIN-INDEX-2026-02-27-00000000125C043F57453246863FE664CAFE6A3F0700950291EA24F0614FB6ACEDB12BF0E31D00000000010C0000950291EA24F0614FB6ACEDB12BF0E31D00002087ADF10000</t>
        </is>
      </c>
      <c r="C470" t="inlineStr">
        <is>
          <t>cmm4yuqjl03nhcuqw2brl9og9</t>
        </is>
      </c>
      <c r="D470" t="inlineStr">
        <is>
          <t>http://localhost:8787/api/admin/requirements/documents/cmm4yuqjl03nhcuqw2brl9og9/view</t>
        </is>
      </c>
      <c r="E470">
        <f>HYPERLÄNK("http://localhost:8787/api/admin/requirements/documents/cmm4yuqjl03nhcuqw2brl9og9/view";"Öppna PDF")</f>
        <v/>
      </c>
      <c r="F470">
        <f>HYPERLINK("http://localhost:8787/api/admin/requirements/documents/cmm4yuqjl03nhcuqw2brl9og9/view","Open PDF")</f>
        <v/>
      </c>
      <c r="G470" t="inlineStr">
        <is>
          <t>cmm55w57p0004cuisfrtpqly8</t>
        </is>
      </c>
      <c r="H470" t="inlineStr">
        <is>
          <t>Beslutsvillkor</t>
        </is>
      </c>
      <c r="I470" t="inlineStr">
        <is>
          <t>LagringsvolymTid</t>
        </is>
      </c>
      <c r="J470" t="inlineStr">
        <is>
          <t>Maxmangd</t>
        </is>
      </c>
      <c r="K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470" t="inlineStr">
        <is>
          <t>SKA</t>
        </is>
      </c>
      <c r="N470" t="inlineStr"/>
      <c r="O470" t="inlineStr">
        <is>
          <t>2025-12-02</t>
        </is>
      </c>
      <c r="P470" t="inlineStr">
        <is>
          <t>Arlig</t>
        </is>
      </c>
      <c r="Q470" t="inlineStr"/>
      <c r="R470" t="inlineStr">
        <is>
          <t>Alltid</t>
        </is>
      </c>
      <c r="S470" t="inlineStr"/>
      <c r="T470" t="inlineStr">
        <is>
          <t>17 05 04</t>
        </is>
      </c>
      <c r="U470" t="inlineStr"/>
      <c r="V470" t="inlineStr"/>
      <c r="W470" t="inlineStr">
        <is>
          <t>Nej</t>
        </is>
      </c>
      <c r="X470" t="inlineStr">
        <is>
          <t>Nej</t>
        </is>
      </c>
      <c r="Y470" t="inlineStr">
        <is>
          <t>Nej</t>
        </is>
      </c>
      <c r="Z470" t="inlineStr">
        <is>
          <t>Nej</t>
        </is>
      </c>
      <c r="AA470" t="n">
        <v>4</v>
      </c>
      <c r="AB470" t="inlineStr">
        <is>
          <t>Avfallsmangder och lagringstid</t>
        </is>
      </c>
      <c r="AC470" t="inlineStr">
        <is>
          <t>Avfallsforteckning</t>
        </is>
      </c>
      <c r="AD470" t="inlineStr">
        <is>
          <t>Nej</t>
        </is>
      </c>
      <c r="AE470" t="inlineStr">
        <is>
          <t>Nej</t>
        </is>
      </c>
      <c r="AF470" t="inlineStr">
        <is>
          <t>Ej behandlad</t>
        </is>
      </c>
      <c r="AG470" t="inlineStr">
        <is>
          <t>AUTO_GENERERAD. Verifiera citat mot kallfil.</t>
        </is>
      </c>
      <c r="AH470" t="inlineStr">
        <is>
          <t>MEDIUM</t>
        </is>
      </c>
      <c r="AI470" t="inlineStr">
        <is>
          <t>AUTO</t>
        </is>
      </c>
      <c r="AJ470" t="inlineStr">
        <is>
          <t>Nej</t>
        </is>
      </c>
      <c r="AK470" t="inlineStr"/>
      <c r="AL470" t="inlineStr"/>
      <c r="AM470" t="inlineStr"/>
      <c r="AN470" t="inlineStr"/>
      <c r="AO470" t="inlineStr">
        <is>
          <t>cmm4yuqjs03nncuqw2tfjq4a3</t>
        </is>
      </c>
      <c r="AP470" t="inlineStr">
        <is>
          <t>http://localhost:8787/api/admin/requirements/documents/cmm4yuqjs03nncuqw2tfjq4a3/view</t>
        </is>
      </c>
      <c r="AQ470">
        <f>HYPERLÄNK("http://localhost:8787/api/admin/requirements/documents/cmm4yuqjs03nncuqw2tfjq4a3/view";"Öppna PDF")</f>
        <v/>
      </c>
      <c r="AR470">
        <f>HYPERLINK("http://localhost:8787/api/admin/requirements/documents/cmm4yuqjs03nncuqw2tfjq4a3/view","Open PDF")</f>
        <v/>
      </c>
      <c r="AS470" t="inlineStr">
        <is>
          <t>cmm55w57p0004cuisfrtpqly8</t>
        </is>
      </c>
      <c r="AT470" t="inlineStr">
        <is>
          <t>cmm4xvu980000cuh4vj0usz09</t>
        </is>
      </c>
      <c r="AU470" t="inlineStr"/>
      <c r="AV470" t="inlineStr">
        <is>
          <t>Kommun</t>
        </is>
      </c>
      <c r="AW470" t="inlineStr"/>
      <c r="AX470" t="inlineStr">
        <is>
          <t>2016-04</t>
        </is>
      </c>
      <c r="AY470" t="inlineStr">
        <is>
          <t>Anmalan</t>
        </is>
      </c>
      <c r="AZ470" t="inlineStr">
        <is>
          <t>2026-02-05</t>
        </is>
      </c>
      <c r="BA470" t="inlineStr">
        <is>
          <t>anmälan 2024-1627.pdf</t>
        </is>
      </c>
      <c r="BB470" t="inlineStr">
        <is>
          <t>Sv: till registrator</t>
        </is>
      </c>
      <c r="BC470" t="inlineStr">
        <is>
          <t>AUTO</t>
        </is>
      </c>
      <c r="BD470" t="inlineStr"/>
      <c r="BE470" t="inlineStr"/>
      <c r="BF470" t="inlineStr">
        <is>
          <t>AUTO_GENERERAD. Bekrafta metadata mot kallfil.</t>
        </is>
      </c>
      <c r="BG470">
        <f>HYPERLINK("C:\Users\jimmy\Desktop\Examens arbete\Kod\Ny mapp\remix_-copy-of-miljöbeslut.se-portal\anmälan 2024-1627.pdf", "Öppna PDF")</f>
        <v/>
      </c>
    </row>
    <row r="471">
      <c r="A471" t="inlineStr">
        <is>
          <t>KRAV-AUTO-000470</t>
        </is>
      </c>
      <c r="B471" t="inlineStr">
        <is>
          <t>ADMIN-INDEX-2026-02-27-00000000125C043F57453246863FE664CAFE6A3F0700950291EA24F0614FB6ACEDB12BF0E31D00000000010C0000950291EA24F0614FB6ACEDB12BF0E31D00002087A59A0000</t>
        </is>
      </c>
      <c r="C471" t="inlineStr">
        <is>
          <t>cmm4yur6n048kcuqwga0fe72r</t>
        </is>
      </c>
      <c r="D471" t="inlineStr">
        <is>
          <t>http://localhost:8787/api/admin/requirements/documents/cmm4yur6n048kcuqwga0fe72r/view</t>
        </is>
      </c>
      <c r="E471">
        <f>HYPERLÄNK("http://localhost:8787/api/admin/requirements/documents/cmm4yur6n048kcuqwga0fe72r/view";"Öppna PDF")</f>
        <v/>
      </c>
      <c r="F471">
        <f>HYPERLINK("http://localhost:8787/api/admin/requirements/documents/cmm4yur6n048kcuqwga0fe72r/view","Open PDF")</f>
        <v/>
      </c>
      <c r="G471" t="inlineStr">
        <is>
          <t>cmm55w57p0004cuisfrtpqly8</t>
        </is>
      </c>
      <c r="H471" t="inlineStr">
        <is>
          <t>Informationskrav</t>
        </is>
      </c>
      <c r="I471" t="inlineStr">
        <is>
          <t>Ytkonstruktion</t>
        </is>
      </c>
      <c r="J471" t="inlineStr">
        <is>
          <t>Tat yta</t>
        </is>
      </c>
      <c r="K471" t="inlineStr">
        <is>
          <t>Lagring av flytande kemiska produkter och flytande farligt avfall ska ske i tät invallning.</t>
        </is>
      </c>
      <c r="L471" t="inlineStr">
        <is>
          <t>Lagring av flytande kemiska produkter och flytande farligt avfall ska ske i tät invallning.</t>
        </is>
      </c>
      <c r="M471" t="inlineStr">
        <is>
          <t>SKA</t>
        </is>
      </c>
      <c r="N471" t="inlineStr"/>
      <c r="O471" t="inlineStr"/>
      <c r="P471" t="inlineStr">
        <is>
          <t>Arlig</t>
        </is>
      </c>
      <c r="Q471" t="inlineStr"/>
      <c r="R471" t="inlineStr">
        <is>
          <t>Vid mellanlagring av avfall</t>
        </is>
      </c>
      <c r="S471" t="inlineStr"/>
      <c r="T471" t="inlineStr">
        <is>
          <t>556801</t>
        </is>
      </c>
      <c r="U471" t="inlineStr"/>
      <c r="V471" t="inlineStr"/>
      <c r="W471" t="inlineStr">
        <is>
          <t>Ja</t>
        </is>
      </c>
      <c r="X471" t="inlineStr">
        <is>
          <t>Nej</t>
        </is>
      </c>
      <c r="Y471" t="inlineStr">
        <is>
          <t>Nej</t>
        </is>
      </c>
      <c r="Z471" t="inlineStr">
        <is>
          <t>Nej</t>
        </is>
      </c>
      <c r="AA471" t="n">
        <v>5</v>
      </c>
      <c r="AB471" t="inlineStr">
        <is>
          <t>Teknisk beskrivning av platta</t>
        </is>
      </c>
      <c r="AC471" t="inlineStr">
        <is>
          <t>Teknisk ritning platta</t>
        </is>
      </c>
      <c r="AD471" t="inlineStr">
        <is>
          <t>Nej</t>
        </is>
      </c>
      <c r="AE471" t="inlineStr">
        <is>
          <t>Nej</t>
        </is>
      </c>
      <c r="AF471" t="inlineStr">
        <is>
          <t>Ej behandlad</t>
        </is>
      </c>
      <c r="AG471" t="inlineStr">
        <is>
          <t>AUTO_GENERERAD. Verifiera citat mot kallfil.</t>
        </is>
      </c>
      <c r="AH471" t="inlineStr">
        <is>
          <t>MEDIUM</t>
        </is>
      </c>
      <c r="AI471" t="inlineStr">
        <is>
          <t>AUTO</t>
        </is>
      </c>
      <c r="AJ471" t="inlineStr">
        <is>
          <t>Nej</t>
        </is>
      </c>
      <c r="AK471" t="inlineStr"/>
      <c r="AL471" t="inlineStr"/>
      <c r="AM471" t="inlineStr"/>
      <c r="AN471" t="inlineStr"/>
      <c r="AO471" t="inlineStr">
        <is>
          <t>cmm4yur6y048tcuqwl5ag5aul</t>
        </is>
      </c>
      <c r="AP471" t="inlineStr">
        <is>
          <t>http://localhost:8787/api/admin/requirements/documents/cmm4yur6y048tcuqwl5ag5aul/view</t>
        </is>
      </c>
      <c r="AQ471">
        <f>HYPERLÄNK("http://localhost:8787/api/admin/requirements/documents/cmm4yur6y048tcuqwl5ag5aul/view";"Öppna PDF")</f>
        <v/>
      </c>
      <c r="AR471">
        <f>HYPERLINK("http://localhost:8787/api/admin/requirements/documents/cmm4yur6y048tcuqwl5ag5aul/view","Open PDF")</f>
        <v/>
      </c>
      <c r="AS471" t="inlineStr">
        <is>
          <t>cmm55w57p0004cuisfrtpqly8</t>
        </is>
      </c>
      <c r="AT471" t="inlineStr">
        <is>
          <t>cmm4xvu980000cuh4vj0usz09</t>
        </is>
      </c>
      <c r="AU471" t="inlineStr"/>
      <c r="AV471" t="inlineStr">
        <is>
          <t>Kommun</t>
        </is>
      </c>
      <c r="AW471" t="inlineStr"/>
      <c r="AX471" t="inlineStr"/>
      <c r="AY471" t="inlineStr">
        <is>
          <t>Anmalan</t>
        </is>
      </c>
      <c r="AZ471" t="inlineStr">
        <is>
          <t>2026-02-09</t>
        </is>
      </c>
      <c r="BA471" t="inlineStr">
        <is>
          <t>MN-2025-455-4 Krossning.pdf</t>
        </is>
      </c>
      <c r="BB471" t="inlineStr">
        <is>
          <t>Anmälningspliktiga verksamheter rörande avfall</t>
        </is>
      </c>
      <c r="BC471" t="inlineStr">
        <is>
          <t>AUTO</t>
        </is>
      </c>
      <c r="BD471" t="inlineStr"/>
      <c r="BE471" t="inlineStr"/>
      <c r="BF471" t="inlineStr">
        <is>
          <t>AUTO_GENERERAD. Bekrafta metadata mot kallfil.</t>
        </is>
      </c>
      <c r="BG471">
        <f>HYPERLINK("C:\Users\jimmy\Desktop\Examens arbete\Kod\Ny mapp\remix_-copy-of-miljöbeslut.se-portal\MN-2025-455-4 Krossning.pdf", "Öppna PDF")</f>
        <v/>
      </c>
    </row>
    <row r="472">
      <c r="A472" t="inlineStr">
        <is>
          <t>KRAV-AUTO-000471</t>
        </is>
      </c>
      <c r="B472" t="inlineStr">
        <is>
          <t>ADMIN-INDEX-2026-02-27-00000000125C043F57453246863FE664CAFE6A3F0700950291EA24F0614FB6ACEDB12BF0E31D00000000010C0000950291EA24F0614FB6ACEDB12BF0E31D00002087A59A0000</t>
        </is>
      </c>
      <c r="C472" t="inlineStr">
        <is>
          <t>cmm4yur6n048kcuqwga0fe72r</t>
        </is>
      </c>
      <c r="D472" t="inlineStr">
        <is>
          <t>http://localhost:8787/api/admin/requirements/documents/cmm4yur6n048kcuqwga0fe72r/view</t>
        </is>
      </c>
      <c r="E472">
        <f>HYPERLÄNK("http://localhost:8787/api/admin/requirements/documents/cmm4yur6n048kcuqwga0fe72r/view";"Öppna PDF")</f>
        <v/>
      </c>
      <c r="F472">
        <f>HYPERLINK("http://localhost:8787/api/admin/requirements/documents/cmm4yur6n048kcuqwga0fe72r/view","Open PDF")</f>
        <v/>
      </c>
      <c r="G472" t="inlineStr">
        <is>
          <t>cmm55w57p0004cuisfrtpqly8</t>
        </is>
      </c>
      <c r="H472" t="inlineStr">
        <is>
          <t>Informationskrav</t>
        </is>
      </c>
      <c r="I472" t="inlineStr">
        <is>
          <t>Ytkonstruktion</t>
        </is>
      </c>
      <c r="J472" t="inlineStr">
        <is>
          <t>Tat yta</t>
        </is>
      </c>
      <c r="K472" t="inlineStr">
        <is>
          <t>För att säkerställa korrekt och säker hantering bör behållare som innehåller kemikalier och flytande farligt avfall förvaras i täta invallningar och vara tydligt märkta.</t>
        </is>
      </c>
      <c r="L472" t="inlineStr">
        <is>
          <t>För att säkerställa korrekt och säker hantering bör behållare som innehåller kemikalier och flytande farligt avfall förvaras i täta invallningar och vara tydligt märkta.</t>
        </is>
      </c>
      <c r="M472" t="inlineStr">
        <is>
          <t>BOR</t>
        </is>
      </c>
      <c r="N472" t="inlineStr"/>
      <c r="O472" t="inlineStr"/>
      <c r="P472" t="inlineStr">
        <is>
          <t>Arlig</t>
        </is>
      </c>
      <c r="Q472" t="inlineStr"/>
      <c r="R472" t="inlineStr">
        <is>
          <t>Vid mellanlagring av avfall</t>
        </is>
      </c>
      <c r="S472" t="inlineStr"/>
      <c r="T472" t="inlineStr">
        <is>
          <t>556801</t>
        </is>
      </c>
      <c r="U472" t="inlineStr"/>
      <c r="V472" t="inlineStr"/>
      <c r="W472" t="inlineStr">
        <is>
          <t>Ja</t>
        </is>
      </c>
      <c r="X472" t="inlineStr">
        <is>
          <t>Nej</t>
        </is>
      </c>
      <c r="Y472" t="inlineStr">
        <is>
          <t>Nej</t>
        </is>
      </c>
      <c r="Z472" t="inlineStr">
        <is>
          <t>Nej</t>
        </is>
      </c>
      <c r="AA472" t="n">
        <v>5</v>
      </c>
      <c r="AB472" t="inlineStr">
        <is>
          <t>Teknisk beskrivning av platta</t>
        </is>
      </c>
      <c r="AC472" t="inlineStr">
        <is>
          <t>Teknisk ritning platta</t>
        </is>
      </c>
      <c r="AD472" t="inlineStr">
        <is>
          <t>Nej</t>
        </is>
      </c>
      <c r="AE472" t="inlineStr">
        <is>
          <t>Nej</t>
        </is>
      </c>
      <c r="AF472" t="inlineStr">
        <is>
          <t>Ej behandlad</t>
        </is>
      </c>
      <c r="AG472" t="inlineStr">
        <is>
          <t>AUTO_GENERERAD. Verifiera citat mot kallfil.</t>
        </is>
      </c>
      <c r="AH472" t="inlineStr">
        <is>
          <t>MEDIUM</t>
        </is>
      </c>
      <c r="AI472" t="inlineStr">
        <is>
          <t>AUTO</t>
        </is>
      </c>
      <c r="AJ472" t="inlineStr">
        <is>
          <t>Nej</t>
        </is>
      </c>
      <c r="AK472" t="inlineStr"/>
      <c r="AL472" t="inlineStr"/>
      <c r="AM472" t="inlineStr"/>
      <c r="AN472" t="inlineStr"/>
      <c r="AO472" t="inlineStr">
        <is>
          <t>cmm4yur6y048tcuqwl5ag5aul</t>
        </is>
      </c>
      <c r="AP472" t="inlineStr">
        <is>
          <t>http://localhost:8787/api/admin/requirements/documents/cmm4yur6y048tcuqwl5ag5aul/view</t>
        </is>
      </c>
      <c r="AQ472">
        <f>HYPERLÄNK("http://localhost:8787/api/admin/requirements/documents/cmm4yur6y048tcuqwl5ag5aul/view";"Öppna PDF")</f>
        <v/>
      </c>
      <c r="AR472">
        <f>HYPERLINK("http://localhost:8787/api/admin/requirements/documents/cmm4yur6y048tcuqwl5ag5aul/view","Open PDF")</f>
        <v/>
      </c>
      <c r="AS472" t="inlineStr">
        <is>
          <t>cmm55w57p0004cuisfrtpqly8</t>
        </is>
      </c>
      <c r="AT472" t="inlineStr">
        <is>
          <t>cmm4xvu980000cuh4vj0usz09</t>
        </is>
      </c>
      <c r="AU472" t="inlineStr"/>
      <c r="AV472" t="inlineStr">
        <is>
          <t>Kommun</t>
        </is>
      </c>
      <c r="AW472" t="inlineStr"/>
      <c r="AX472" t="inlineStr"/>
      <c r="AY472" t="inlineStr">
        <is>
          <t>Anmalan</t>
        </is>
      </c>
      <c r="AZ472" t="inlineStr">
        <is>
          <t>2026-02-09</t>
        </is>
      </c>
      <c r="BA472" t="inlineStr">
        <is>
          <t>MN-2025-455-4 Krossning.pdf</t>
        </is>
      </c>
      <c r="BB472" t="inlineStr">
        <is>
          <t>Anmälningspliktiga verksamheter rörande avfall</t>
        </is>
      </c>
      <c r="BC472" t="inlineStr">
        <is>
          <t>AUTO</t>
        </is>
      </c>
      <c r="BD472" t="inlineStr"/>
      <c r="BE472" t="inlineStr"/>
      <c r="BF472" t="inlineStr">
        <is>
          <t>AUTO_GENERERAD. Bekrafta metadata mot kallfil.</t>
        </is>
      </c>
      <c r="BG472">
        <f>HYPERLINK("C:\Users\jimmy\Desktop\Examens arbete\Kod\Ny mapp\remix_-copy-of-miljöbeslut.se-portal\MN-2025-455-4 Krossning.pdf", "Öppna PDF")</f>
        <v/>
      </c>
    </row>
    <row r="473">
      <c r="A473" t="inlineStr">
        <is>
          <t>KRAV-AUTO-000472</t>
        </is>
      </c>
      <c r="B473" t="inlineStr">
        <is>
          <t>ADMIN-INDEX-2026-02-27-00000000125C043F57453246863FE664CAFE6A3F0700950291EA24F0614FB6ACEDB12BF0E31D00000000010C0000950291EA24F0614FB6ACEDB12BF0E31D00002087A59A0000</t>
        </is>
      </c>
      <c r="C473" t="inlineStr">
        <is>
          <t>cmm4yur6n048kcuqwga0fe72r</t>
        </is>
      </c>
      <c r="D473" t="inlineStr">
        <is>
          <t>http://localhost:8787/api/admin/requirements/documents/cmm4yur6n048kcuqwga0fe72r/view</t>
        </is>
      </c>
      <c r="E473">
        <f>HYPERLÄNK("http://localhost:8787/api/admin/requirements/documents/cmm4yur6n048kcuqwga0fe72r/view";"Öppna PDF")</f>
        <v/>
      </c>
      <c r="F473">
        <f>HYPERLINK("http://localhost:8787/api/admin/requirements/documents/cmm4yur6n048kcuqwga0fe72r/view","Open PDF")</f>
        <v/>
      </c>
      <c r="G473" t="inlineStr">
        <is>
          <t>cmm55w57p0004cuisfrtpqly8</t>
        </is>
      </c>
      <c r="H473" t="inlineStr">
        <is>
          <t>Informationskrav</t>
        </is>
      </c>
      <c r="I473" t="inlineStr">
        <is>
          <t>DagvattenLakvatten</t>
        </is>
      </c>
      <c r="J473" t="inlineStr">
        <is>
          <t>Uppsamling</t>
        </is>
      </c>
      <c r="K473" t="inlineStr">
        <is>
          <t>Dag- och lakvatten från lagringsplatsen ska ledas till en tät brunn på 2500 m³.</t>
        </is>
      </c>
      <c r="L473" t="inlineStr">
        <is>
          <t>Dag- och lakvatten från lagringsplatsen ska ledas till en tät brunn på 2500 m³.</t>
        </is>
      </c>
      <c r="M473" t="inlineStr">
        <is>
          <t>SKA</t>
        </is>
      </c>
      <c r="N473" t="inlineStr"/>
      <c r="O473" t="inlineStr"/>
      <c r="P473" t="inlineStr"/>
      <c r="Q473" t="inlineStr"/>
      <c r="R473" t="inlineStr">
        <is>
          <t>Vid nederbord och avrinning</t>
        </is>
      </c>
      <c r="S473" t="inlineStr"/>
      <c r="T473" t="inlineStr">
        <is>
          <t>556801</t>
        </is>
      </c>
      <c r="U473" t="inlineStr"/>
      <c r="V473" t="inlineStr"/>
      <c r="W473" t="inlineStr">
        <is>
          <t>Nej</t>
        </is>
      </c>
      <c r="X473" t="inlineStr">
        <is>
          <t>Ja</t>
        </is>
      </c>
      <c r="Y473" t="inlineStr">
        <is>
          <t>Ja</t>
        </is>
      </c>
      <c r="Z473" t="inlineStr">
        <is>
          <t>Nej</t>
        </is>
      </c>
      <c r="AA473" t="n">
        <v>6</v>
      </c>
      <c r="AB473" t="inlineStr">
        <is>
          <t>Lakvattenhantering</t>
        </is>
      </c>
      <c r="AC473" t="inlineStr">
        <is>
          <t>Flodesschema dagvatten-lakvatten</t>
        </is>
      </c>
      <c r="AD473" t="inlineStr">
        <is>
          <t>Nej</t>
        </is>
      </c>
      <c r="AE473" t="inlineStr">
        <is>
          <t>Nej</t>
        </is>
      </c>
      <c r="AF473" t="inlineStr">
        <is>
          <t>Ej behandlad</t>
        </is>
      </c>
      <c r="AG473" t="inlineStr">
        <is>
          <t>AUTO_GENERERAD. Verifiera citat mot kallfil.</t>
        </is>
      </c>
      <c r="AH473" t="inlineStr">
        <is>
          <t>MEDIUM</t>
        </is>
      </c>
      <c r="AI473" t="inlineStr">
        <is>
          <t>AUTO</t>
        </is>
      </c>
      <c r="AJ473" t="inlineStr">
        <is>
          <t>Nej</t>
        </is>
      </c>
      <c r="AK473" t="inlineStr"/>
      <c r="AL473" t="inlineStr"/>
      <c r="AM473" t="inlineStr"/>
      <c r="AN473" t="inlineStr"/>
      <c r="AO473" t="inlineStr">
        <is>
          <t>cmm4yur6y048tcuqwl5ag5aul</t>
        </is>
      </c>
      <c r="AP473" t="inlineStr">
        <is>
          <t>http://localhost:8787/api/admin/requirements/documents/cmm4yur6y048tcuqwl5ag5aul/view</t>
        </is>
      </c>
      <c r="AQ473">
        <f>HYPERLÄNK("http://localhost:8787/api/admin/requirements/documents/cmm4yur6y048tcuqwl5ag5aul/view";"Öppna PDF")</f>
        <v/>
      </c>
      <c r="AR473">
        <f>HYPERLINK("http://localhost:8787/api/admin/requirements/documents/cmm4yur6y048tcuqwl5ag5aul/view","Open PDF")</f>
        <v/>
      </c>
      <c r="AS473" t="inlineStr">
        <is>
          <t>cmm55w57p0004cuisfrtpqly8</t>
        </is>
      </c>
      <c r="AT473" t="inlineStr">
        <is>
          <t>cmm4xvu980000cuh4vj0usz09</t>
        </is>
      </c>
      <c r="AU473" t="inlineStr"/>
      <c r="AV473" t="inlineStr">
        <is>
          <t>Kommun</t>
        </is>
      </c>
      <c r="AW473" t="inlineStr"/>
      <c r="AX473" t="inlineStr"/>
      <c r="AY473" t="inlineStr">
        <is>
          <t>Anmalan</t>
        </is>
      </c>
      <c r="AZ473" t="inlineStr">
        <is>
          <t>2026-02-09</t>
        </is>
      </c>
      <c r="BA473" t="inlineStr">
        <is>
          <t>MN-2025-455-4 Krossning.pdf</t>
        </is>
      </c>
      <c r="BB473" t="inlineStr">
        <is>
          <t>Anmälningspliktiga verksamheter rörande avfall</t>
        </is>
      </c>
      <c r="BC473" t="inlineStr">
        <is>
          <t>AUTO</t>
        </is>
      </c>
      <c r="BD473" t="inlineStr"/>
      <c r="BE473" t="inlineStr"/>
      <c r="BF473" t="inlineStr">
        <is>
          <t>AUTO_GENERERAD. Bekrafta metadata mot kallfil.</t>
        </is>
      </c>
      <c r="BG473">
        <f>HYPERLINK("C:\Users\jimmy\Desktop\Examens arbete\Kod\Ny mapp\remix_-copy-of-miljöbeslut.se-portal\MN-2025-455-4 Krossning.pdf", "Öppna PDF")</f>
        <v/>
      </c>
    </row>
    <row r="474">
      <c r="A474" t="inlineStr">
        <is>
          <t>KRAV-AUTO-000473</t>
        </is>
      </c>
      <c r="B474" t="inlineStr">
        <is>
          <t>ADMIN-INDEX-2026-02-27-00000000125C043F57453246863FE664CAFE6A3F0700950291EA24F0614FB6ACEDB12BF0E31D00000000010C0000950291EA24F0614FB6ACEDB12BF0E31D00002087A5860000</t>
        </is>
      </c>
      <c r="C474" t="inlineStr">
        <is>
          <t>cmm4yurb304d8cuqwoeku548e</t>
        </is>
      </c>
      <c r="D474" t="inlineStr">
        <is>
          <t>http://localhost:8787/api/admin/requirements/documents/cmm4yurb304d8cuqwoeku548e/view</t>
        </is>
      </c>
      <c r="E474">
        <f>HYPERLÄNK("http://localhost:8787/api/admin/requirements/documents/cmm4yurb304d8cuqwoeku548e/view";"Öppna PDF")</f>
        <v/>
      </c>
      <c r="F474">
        <f>HYPERLINK("http://localhost:8787/api/admin/requirements/documents/cmm4yurb304d8cuqwoeku548e/view","Open PDF")</f>
        <v/>
      </c>
      <c r="G474" t="inlineStr">
        <is>
          <t>cmm55w57p0004cuisfrtpqly8</t>
        </is>
      </c>
      <c r="H474" t="inlineStr">
        <is>
          <t>Beslutsvillkor</t>
        </is>
      </c>
      <c r="I474" t="inlineStr">
        <is>
          <t>Ytkonstruktion</t>
        </is>
      </c>
      <c r="J474" t="inlineStr">
        <is>
          <t>Tat yta</t>
        </is>
      </c>
      <c r="K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användas på platsen Lastbil, traktorer Åtgärder för att återställning av platsen Platsen återställs efter behov Eventuell kompletterande information för att beskriva verksamheten och dess mijöeffekter En kortare period av insamling och mellanlagring av begagnad lantbruksplast som sedan ska återvinnas i Korsberga eller Stigamo.</t>
        </is>
      </c>
      <c r="L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t>
        </is>
      </c>
      <c r="M474" t="inlineStr">
        <is>
          <t>SKA</t>
        </is>
      </c>
      <c r="N474" t="inlineStr"/>
      <c r="O474" t="inlineStr"/>
      <c r="P474" t="inlineStr"/>
      <c r="Q474" t="inlineStr"/>
      <c r="R474" t="inlineStr">
        <is>
          <t>Vid mellanlagring av avfall</t>
        </is>
      </c>
      <c r="S474" t="inlineStr"/>
      <c r="T474" t="inlineStr">
        <is>
          <t>556639</t>
        </is>
      </c>
      <c r="U474" t="n">
        <v>0</v>
      </c>
      <c r="V474" t="inlineStr"/>
      <c r="W474" t="inlineStr">
        <is>
          <t>Ja</t>
        </is>
      </c>
      <c r="X474" t="inlineStr">
        <is>
          <t>Nej</t>
        </is>
      </c>
      <c r="Y474" t="inlineStr">
        <is>
          <t>Nej</t>
        </is>
      </c>
      <c r="Z474" t="inlineStr">
        <is>
          <t>Nej</t>
        </is>
      </c>
      <c r="AA474" t="n">
        <v>5</v>
      </c>
      <c r="AB474" t="inlineStr">
        <is>
          <t>Teknisk beskrivning av platta</t>
        </is>
      </c>
      <c r="AC474" t="inlineStr">
        <is>
          <t>Teknisk ritning platta</t>
        </is>
      </c>
      <c r="AD474" t="inlineStr">
        <is>
          <t>Nej</t>
        </is>
      </c>
      <c r="AE474" t="inlineStr">
        <is>
          <t>Nej</t>
        </is>
      </c>
      <c r="AF474" t="inlineStr">
        <is>
          <t>Ej behandlad</t>
        </is>
      </c>
      <c r="AG474" t="inlineStr">
        <is>
          <t>AUTO_GENERERAD. Verifiera citat mot kallfil.</t>
        </is>
      </c>
      <c r="AH474" t="inlineStr">
        <is>
          <t>MEDIUM</t>
        </is>
      </c>
      <c r="AI474" t="inlineStr">
        <is>
          <t>AUTO</t>
        </is>
      </c>
      <c r="AJ474" t="inlineStr">
        <is>
          <t>Nej</t>
        </is>
      </c>
      <c r="AK474" t="inlineStr"/>
      <c r="AL474" t="inlineStr"/>
      <c r="AM474" t="inlineStr"/>
      <c r="AN474" t="inlineStr"/>
      <c r="AO474" t="inlineStr">
        <is>
          <t>cmm4yurb604dbcuqwpk6azwk6</t>
        </is>
      </c>
      <c r="AP474" t="inlineStr">
        <is>
          <t>http://localhost:8787/api/admin/requirements/documents/cmm4yurb604dbcuqwpk6azwk6/view</t>
        </is>
      </c>
      <c r="AQ474">
        <f>HYPERLÄNK("http://localhost:8787/api/admin/requirements/documents/cmm4yurb604dbcuqwpk6azwk6/view";"Öppna PDF")</f>
        <v/>
      </c>
      <c r="AR474">
        <f>HYPERLINK("http://localhost:8787/api/admin/requirements/documents/cmm4yurb604dbcuqwpk6azwk6/view","Open PDF")</f>
        <v/>
      </c>
      <c r="AS474" t="inlineStr">
        <is>
          <t>cmm55w57p0004cuisfrtpqly8</t>
        </is>
      </c>
      <c r="AT474" t="inlineStr">
        <is>
          <t>cmm4xvu980000cuh4vj0usz09</t>
        </is>
      </c>
      <c r="AU474" t="inlineStr"/>
      <c r="AV474" t="inlineStr">
        <is>
          <t>Kommun</t>
        </is>
      </c>
      <c r="AW474" t="inlineStr"/>
      <c r="AX474" t="inlineStr">
        <is>
          <t>0472-150</t>
        </is>
      </c>
      <c r="AY474" t="inlineStr">
        <is>
          <t>Beslut</t>
        </is>
      </c>
      <c r="AZ474" t="inlineStr">
        <is>
          <t>2026-02-11</t>
        </is>
      </c>
      <c r="BA474" t="inlineStr">
        <is>
          <t>2024.1848..pdf</t>
        </is>
      </c>
      <c r="BB474" t="inlineStr">
        <is>
          <t>Handlingar</t>
        </is>
      </c>
      <c r="BC474" t="inlineStr">
        <is>
          <t>AUTO</t>
        </is>
      </c>
      <c r="BD474" t="inlineStr"/>
      <c r="BE474" t="inlineStr"/>
      <c r="BF474" t="inlineStr">
        <is>
          <t>AUTO_GENERERAD. Bekrafta metadata mot kallfil.</t>
        </is>
      </c>
      <c r="BG474">
        <f>HYPERLINK("C:\Users\jimmy\Desktop\Examens arbete\Kod\Ny mapp\remix_-copy-of-miljöbeslut.se-portal\2024.1848..pdf", "Öppna PDF")</f>
        <v/>
      </c>
    </row>
    <row r="475">
      <c r="A475" t="inlineStr">
        <is>
          <t>KRAV-AUTO-000474</t>
        </is>
      </c>
      <c r="B475" t="inlineStr">
        <is>
          <t>ADMIN-INDEX-2026-02-27-00000000125C043F57453246863FE664CAFE6A3F0700950291EA24F0614FB6ACEDB12BF0E31D00000000010C0000950291EA24F0614FB6ACEDB12BF0E31D00002087A5AF0000</t>
        </is>
      </c>
      <c r="C475" t="inlineStr">
        <is>
          <t>cmm4yur4a046bcuqwmcjygg3z</t>
        </is>
      </c>
      <c r="D475" t="inlineStr">
        <is>
          <t>http://localhost:8787/api/admin/requirements/documents/cmm4yur4a046bcuqwmcjygg3z/view</t>
        </is>
      </c>
      <c r="E475">
        <f>HYPERLÄNK("http://localhost:8787/api/admin/requirements/documents/cmm4yur4a046bcuqwmcjygg3z/view";"Öppna PDF")</f>
        <v/>
      </c>
      <c r="F475">
        <f>HYPERLINK("http://localhost:8787/api/admin/requirements/documents/cmm4yur4a046bcuqwmcjygg3z/view","Open PDF")</f>
        <v/>
      </c>
      <c r="G475" t="inlineStr">
        <is>
          <t>cmm55w57p0004cuisfrtpqly8</t>
        </is>
      </c>
      <c r="H475" t="inlineStr">
        <is>
          <t>Beslutsvillkor</t>
        </is>
      </c>
      <c r="I475" t="inlineStr">
        <is>
          <t>Riskhantering</t>
        </is>
      </c>
      <c r="J475" t="inlineStr">
        <is>
          <t>Riskkontroll</t>
        </is>
      </c>
      <c r="K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uppdateras.</t>
        </is>
      </c>
      <c r="L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t>
        </is>
      </c>
      <c r="M475" t="inlineStr">
        <is>
          <t>SKA</t>
        </is>
      </c>
      <c r="N475" t="inlineStr"/>
      <c r="O475" t="inlineStr"/>
      <c r="P475" t="inlineStr">
        <is>
          <t>Manadskontroll</t>
        </is>
      </c>
      <c r="Q475" t="inlineStr"/>
      <c r="R475" t="inlineStr">
        <is>
          <t>Vid risk for incident</t>
        </is>
      </c>
      <c r="S475" t="inlineStr"/>
      <c r="T475" t="inlineStr">
        <is>
          <t>863500</t>
        </is>
      </c>
      <c r="U475" t="inlineStr"/>
      <c r="V475" t="inlineStr"/>
      <c r="W475" t="inlineStr">
        <is>
          <t>Nej</t>
        </is>
      </c>
      <c r="X475" t="inlineStr">
        <is>
          <t>Nej</t>
        </is>
      </c>
      <c r="Y475" t="inlineStr">
        <is>
          <t>Ja</t>
        </is>
      </c>
      <c r="Z475" t="inlineStr">
        <is>
          <t>Ja</t>
        </is>
      </c>
      <c r="AA475" t="n">
        <v>8</v>
      </c>
      <c r="AB475" t="inlineStr">
        <is>
          <t>Riskhantering</t>
        </is>
      </c>
      <c r="AC475" t="inlineStr">
        <is>
          <t>Risk-PM</t>
        </is>
      </c>
      <c r="AD475" t="inlineStr">
        <is>
          <t>Nej</t>
        </is>
      </c>
      <c r="AE475" t="inlineStr">
        <is>
          <t>Nej</t>
        </is>
      </c>
      <c r="AF475" t="inlineStr">
        <is>
          <t>Ej behandlad</t>
        </is>
      </c>
      <c r="AG475" t="inlineStr">
        <is>
          <t>AUTO_GENERERAD. Verifiera citat mot kallfil.</t>
        </is>
      </c>
      <c r="AH475" t="inlineStr">
        <is>
          <t>MEDIUM</t>
        </is>
      </c>
      <c r="AI475" t="inlineStr">
        <is>
          <t>AUTO</t>
        </is>
      </c>
      <c r="AJ475" t="inlineStr">
        <is>
          <t>Nej</t>
        </is>
      </c>
      <c r="AK475" t="inlineStr"/>
      <c r="AL475" t="inlineStr"/>
      <c r="AM475" t="inlineStr"/>
      <c r="AN475" t="inlineStr"/>
      <c r="AO475" t="inlineStr">
        <is>
          <t>cmm4yur4a046bcuqwmcjygg3z</t>
        </is>
      </c>
      <c r="AP475" t="inlineStr">
        <is>
          <t>http://localhost:8787/api/admin/requirements/documents/cmm4yur4a046bcuqwmcjygg3z/view</t>
        </is>
      </c>
      <c r="AQ475">
        <f>HYPERLÄNK("http://localhost:8787/api/admin/requirements/documents/cmm4yur4a046bcuqwmcjygg3z/view";"Öppna PDF")</f>
        <v/>
      </c>
      <c r="AR475">
        <f>HYPERLINK("http://localhost:8787/api/admin/requirements/documents/cmm4yur4a046bcuqwmcjygg3z/view","Open PDF")</f>
        <v/>
      </c>
      <c r="AS475" t="inlineStr">
        <is>
          <t>cmm55w57p0004cuisfrtpqly8</t>
        </is>
      </c>
      <c r="AT475" t="inlineStr">
        <is>
          <t>cmm4xvu980000cuh4vj0usz09</t>
        </is>
      </c>
      <c r="AU475" t="inlineStr"/>
      <c r="AV475" t="inlineStr">
        <is>
          <t>Kommun</t>
        </is>
      </c>
      <c r="AW475" t="inlineStr"/>
      <c r="AX475" t="inlineStr">
        <is>
          <t>2024-09</t>
        </is>
      </c>
      <c r="AY475" t="inlineStr">
        <is>
          <t>Beslut</t>
        </is>
      </c>
      <c r="AZ475" t="inlineStr">
        <is>
          <t>2026-02-06</t>
        </is>
      </c>
      <c r="BA475" t="inlineStr">
        <is>
          <t>Beskrivning av avnmälan.pdf</t>
        </is>
      </c>
      <c r="BB475" t="inlineStr">
        <is>
          <t>Begäran om allmänna handlingar</t>
        </is>
      </c>
      <c r="BC475" t="inlineStr">
        <is>
          <t>AUTO</t>
        </is>
      </c>
      <c r="BD475" t="inlineStr"/>
      <c r="BE475" t="inlineStr"/>
      <c r="BF475" t="inlineStr">
        <is>
          <t>AUTO_GENERERAD. Bekrafta metadata mot kallfil.</t>
        </is>
      </c>
      <c r="BG475">
        <f>HYPERLINK("C:\Users\jimmy\Desktop\Examens arbete\Kod\Ny mapp\remix_-copy-of-miljöbeslut.se-portal\Beskrivning av avnmälan.pdf", "Öppna PDF")</f>
        <v/>
      </c>
    </row>
    <row r="476">
      <c r="A476" t="inlineStr">
        <is>
          <t>KRAV-AUTO-000475</t>
        </is>
      </c>
      <c r="B476" t="inlineStr">
        <is>
          <t>ADMIN-INDEX-2026-02-27-00000000125C043F57453246863FE664CAFE6A3F0700950291EA24F0614FB6ACEDB12BF0E31D00000000010C0000950291EA24F0614FB6ACEDB12BF0E31D00002087A5AF0000</t>
        </is>
      </c>
      <c r="C476" t="inlineStr">
        <is>
          <t>cmm4yur4a046bcuqwmcjygg3z</t>
        </is>
      </c>
      <c r="D476" t="inlineStr">
        <is>
          <t>http://localhost:8787/api/admin/requirements/documents/cmm4yur4a046bcuqwmcjygg3z/view</t>
        </is>
      </c>
      <c r="E476">
        <f>HYPERLÄNK("http://localhost:8787/api/admin/requirements/documents/cmm4yur4a046bcuqwmcjygg3z/view";"Öppna PDF")</f>
        <v/>
      </c>
      <c r="F476">
        <f>HYPERLINK("http://localhost:8787/api/admin/requirements/documents/cmm4yur4a046bcuqwmcjygg3z/view","Open PDF")</f>
        <v/>
      </c>
      <c r="G476" t="inlineStr">
        <is>
          <t>cmm55w57p0004cuisfrtpqly8</t>
        </is>
      </c>
      <c r="H476" t="inlineStr">
        <is>
          <t>Beslutsvillkor</t>
        </is>
      </c>
      <c r="I476" t="inlineStr">
        <is>
          <t>DriftEgenkontroll</t>
        </is>
      </c>
      <c r="J476" t="inlineStr">
        <is>
          <t>Journalforing</t>
        </is>
      </c>
      <c r="K476" t="inlineStr">
        <is>
          <t>Efter återställningen av djupet 2023 gjordes kompletterande provtagning och laboratorie- analys av bottenmaterialet, de långa alifaterna bedömdes då vara humusämnen.</t>
        </is>
      </c>
      <c r="L476" t="inlineStr">
        <is>
          <t>Efter återställningen av djupet 2023 gjordes kompletterande provtagning och laboratorie- analys av bottenmaterialet, de långa alifaterna bedömdes då vara humusämnen.</t>
        </is>
      </c>
      <c r="M476" t="inlineStr">
        <is>
          <t>BOR</t>
        </is>
      </c>
      <c r="N476" t="inlineStr"/>
      <c r="O476" t="inlineStr"/>
      <c r="P476" t="inlineStr"/>
      <c r="Q476" t="inlineStr"/>
      <c r="R476" t="inlineStr">
        <is>
          <t>Lopande drift</t>
        </is>
      </c>
      <c r="S476" t="inlineStr"/>
      <c r="T476" t="inlineStr">
        <is>
          <t>863500</t>
        </is>
      </c>
      <c r="U476" t="inlineStr"/>
      <c r="V476" t="inlineStr"/>
      <c r="W476" t="inlineStr">
        <is>
          <t>Nej</t>
        </is>
      </c>
      <c r="X476" t="inlineStr">
        <is>
          <t>Nej</t>
        </is>
      </c>
      <c r="Y476" t="inlineStr">
        <is>
          <t>Ja</t>
        </is>
      </c>
      <c r="Z476" t="inlineStr">
        <is>
          <t>Nej</t>
        </is>
      </c>
      <c r="AA476" t="n">
        <v>7</v>
      </c>
      <c r="AB476" t="inlineStr">
        <is>
          <t>Egenkontrollrutiner</t>
        </is>
      </c>
      <c r="AC476" t="inlineStr">
        <is>
          <t>Egenkontrollprogram</t>
        </is>
      </c>
      <c r="AD476" t="inlineStr">
        <is>
          <t>Nej</t>
        </is>
      </c>
      <c r="AE476" t="inlineStr">
        <is>
          <t>Nej</t>
        </is>
      </c>
      <c r="AF476" t="inlineStr">
        <is>
          <t>Ej behandlad</t>
        </is>
      </c>
      <c r="AG476" t="inlineStr">
        <is>
          <t>AUTO_GENERERAD. Verifiera citat mot kallfil.</t>
        </is>
      </c>
      <c r="AH476" t="inlineStr">
        <is>
          <t>MEDIUM</t>
        </is>
      </c>
      <c r="AI476" t="inlineStr">
        <is>
          <t>AUTO</t>
        </is>
      </c>
      <c r="AJ476" t="inlineStr">
        <is>
          <t>Nej</t>
        </is>
      </c>
      <c r="AK476" t="inlineStr"/>
      <c r="AL476" t="inlineStr"/>
      <c r="AM476" t="inlineStr"/>
      <c r="AN476" t="inlineStr"/>
      <c r="AO476" t="inlineStr">
        <is>
          <t>cmm4yur4a046bcuqwmcjygg3z</t>
        </is>
      </c>
      <c r="AP476" t="inlineStr">
        <is>
          <t>http://localhost:8787/api/admin/requirements/documents/cmm4yur4a046bcuqwmcjygg3z/view</t>
        </is>
      </c>
      <c r="AQ476">
        <f>HYPERLÄNK("http://localhost:8787/api/admin/requirements/documents/cmm4yur4a046bcuqwmcjygg3z/view";"Öppna PDF")</f>
        <v/>
      </c>
      <c r="AR476">
        <f>HYPERLINK("http://localhost:8787/api/admin/requirements/documents/cmm4yur4a046bcuqwmcjygg3z/view","Open PDF")</f>
        <v/>
      </c>
      <c r="AS476" t="inlineStr">
        <is>
          <t>cmm55w57p0004cuisfrtpqly8</t>
        </is>
      </c>
      <c r="AT476" t="inlineStr">
        <is>
          <t>cmm4xvu980000cuh4vj0usz09</t>
        </is>
      </c>
      <c r="AU476" t="inlineStr"/>
      <c r="AV476" t="inlineStr">
        <is>
          <t>Kommun</t>
        </is>
      </c>
      <c r="AW476" t="inlineStr"/>
      <c r="AX476" t="inlineStr">
        <is>
          <t>2024-09</t>
        </is>
      </c>
      <c r="AY476" t="inlineStr">
        <is>
          <t>Beslut</t>
        </is>
      </c>
      <c r="AZ476" t="inlineStr">
        <is>
          <t>2026-02-06</t>
        </is>
      </c>
      <c r="BA476" t="inlineStr">
        <is>
          <t>Beskrivning av avnmälan.pdf</t>
        </is>
      </c>
      <c r="BB476" t="inlineStr">
        <is>
          <t>Begäran om allmänna handlingar</t>
        </is>
      </c>
      <c r="BC476" t="inlineStr">
        <is>
          <t>AUTO</t>
        </is>
      </c>
      <c r="BD476" t="inlineStr"/>
      <c r="BE476" t="inlineStr"/>
      <c r="BF476" t="inlineStr">
        <is>
          <t>AUTO_GENERERAD. Bekrafta metadata mot kallfil.</t>
        </is>
      </c>
      <c r="BG476">
        <f>HYPERLINK("C:\Users\jimmy\Desktop\Examens arbete\Kod\Ny mapp\remix_-copy-of-miljöbeslut.se-portal\Beskrivning av avnmälan.pdf", "Öppna PDF")</f>
        <v/>
      </c>
    </row>
    <row r="477">
      <c r="A477" t="inlineStr">
        <is>
          <t>KRAV-AUTO-000476</t>
        </is>
      </c>
      <c r="B477" t="inlineStr">
        <is>
          <t>ADMIN-INDEX-2026-02-27-00000000125C043F57453246863FE664CAFE6A3F0700950291EA24F0614FB6ACEDB12BF0E31D00000000010C0000950291EA24F0614FB6ACEDB12BF0E31D00002087A5AF0000</t>
        </is>
      </c>
      <c r="C477" t="inlineStr">
        <is>
          <t>cmm4yur470468cuqwrbtsyqls</t>
        </is>
      </c>
      <c r="D477" t="inlineStr">
        <is>
          <t>http://localhost:8787/api/admin/requirements/documents/cmm4yur470468cuqwrbtsyqls/view</t>
        </is>
      </c>
      <c r="E477">
        <f>HYPERLÄNK("http://localhost:8787/api/admin/requirements/documents/cmm4yur470468cuqwrbtsyqls/view";"Öppna PDF")</f>
        <v/>
      </c>
      <c r="F477">
        <f>HYPERLINK("http://localhost:8787/api/admin/requirements/documents/cmm4yur470468cuqwrbtsyqls/view","Open PDF")</f>
        <v/>
      </c>
      <c r="G477" t="inlineStr">
        <is>
          <t>cmm55w57p0004cuisfrtpqly8</t>
        </is>
      </c>
      <c r="H477" t="inlineStr">
        <is>
          <t>Informationskrav</t>
        </is>
      </c>
      <c r="I477" t="inlineStr">
        <is>
          <t>Riskhantering</t>
        </is>
      </c>
      <c r="J477" t="inlineStr">
        <is>
          <t>Riskkontroll</t>
        </is>
      </c>
      <c r="K477" t="inlineStr">
        <is>
          <t>Bilagor Situationsplan Planritning Vid behov till exempel VA-ritning, teknisk beskrivning, riskbedömning, kemikalieförteckning Signatur Göteborg 250711 Morton Hellgesson sid 2/2 Ale kommun SE-449 80 Alafors 212000-1439 0303-70 30 00 kommun@ale.se www.ale.se</t>
        </is>
      </c>
      <c r="L477" t="inlineStr">
        <is>
          <t>Bilagor Situationsplan Planritning Vid behov till exempel VA-ritning, teknisk beskrivning, riskbedömning, kemikalieförteckning Signatur Göteborg 250711 Morton Hellgesson sid 2/2 Ale kommun SE-449 80 Alafors 212000-1439 0303-70 30 00 kommun@ale.se www.ale.se</t>
        </is>
      </c>
      <c r="M477" t="inlineStr">
        <is>
          <t>BOR</t>
        </is>
      </c>
      <c r="N477" t="inlineStr">
        <is>
          <t>FMH</t>
        </is>
      </c>
      <c r="O477" t="inlineStr"/>
      <c r="P477" t="inlineStr"/>
      <c r="Q477" t="inlineStr"/>
      <c r="R477" t="inlineStr">
        <is>
          <t>Vid risk for incident</t>
        </is>
      </c>
      <c r="S477" t="inlineStr"/>
      <c r="T477" t="inlineStr">
        <is>
          <t>250711</t>
        </is>
      </c>
      <c r="U477" t="inlineStr"/>
      <c r="V477" t="inlineStr"/>
      <c r="W477" t="inlineStr">
        <is>
          <t>Nej</t>
        </is>
      </c>
      <c r="X477" t="inlineStr">
        <is>
          <t>Nej</t>
        </is>
      </c>
      <c r="Y477" t="inlineStr">
        <is>
          <t>Ja</t>
        </is>
      </c>
      <c r="Z477" t="inlineStr">
        <is>
          <t>Ja</t>
        </is>
      </c>
      <c r="AA477" t="n">
        <v>8</v>
      </c>
      <c r="AB477" t="inlineStr">
        <is>
          <t>Riskhantering</t>
        </is>
      </c>
      <c r="AC477" t="inlineStr">
        <is>
          <t>Risk-PM</t>
        </is>
      </c>
      <c r="AD477" t="inlineStr">
        <is>
          <t>Nej</t>
        </is>
      </c>
      <c r="AE477" t="inlineStr">
        <is>
          <t>Nej</t>
        </is>
      </c>
      <c r="AF477" t="inlineStr">
        <is>
          <t>Ej behandlad</t>
        </is>
      </c>
      <c r="AG477" t="inlineStr">
        <is>
          <t>AUTO_GENERERAD. Verifiera citat mot kallfil.</t>
        </is>
      </c>
      <c r="AH477" t="inlineStr">
        <is>
          <t>HIGH</t>
        </is>
      </c>
      <c r="AI477" t="inlineStr">
        <is>
          <t>AUTO</t>
        </is>
      </c>
      <c r="AJ477" t="inlineStr">
        <is>
          <t>Nej</t>
        </is>
      </c>
      <c r="AK477" t="inlineStr"/>
      <c r="AL477" t="inlineStr"/>
      <c r="AM477" t="inlineStr"/>
      <c r="AN477" t="inlineStr"/>
      <c r="AO477" t="inlineStr">
        <is>
          <t>cmm4yur4a046bcuqwmcjygg3z</t>
        </is>
      </c>
      <c r="AP477" t="inlineStr">
        <is>
          <t>http://localhost:8787/api/admin/requirements/documents/cmm4yur4a046bcuqwmcjygg3z/view</t>
        </is>
      </c>
      <c r="AQ477">
        <f>HYPERLÄNK("http://localhost:8787/api/admin/requirements/documents/cmm4yur4a046bcuqwmcjygg3z/view";"Öppna PDF")</f>
        <v/>
      </c>
      <c r="AR477">
        <f>HYPERLINK("http://localhost:8787/api/admin/requirements/documents/cmm4yur4a046bcuqwmcjygg3z/view","Open PDF")</f>
        <v/>
      </c>
      <c r="AS477" t="inlineStr">
        <is>
          <t>cmm55w57p0004cuisfrtpqly8</t>
        </is>
      </c>
      <c r="AT477" t="inlineStr">
        <is>
          <t>cmm4xvu980000cuh4vj0usz09</t>
        </is>
      </c>
      <c r="AU477" t="inlineStr"/>
      <c r="AV477" t="inlineStr">
        <is>
          <t>Kommun</t>
        </is>
      </c>
      <c r="AW477" t="inlineStr"/>
      <c r="AX477" t="inlineStr">
        <is>
          <t>2024-09</t>
        </is>
      </c>
      <c r="AY477" t="inlineStr">
        <is>
          <t>Beslut</t>
        </is>
      </c>
      <c r="AZ477" t="inlineStr">
        <is>
          <t>2026-02-06</t>
        </is>
      </c>
      <c r="BA477" t="inlineStr">
        <is>
          <t>Beskrivning av avnmälan.pdf</t>
        </is>
      </c>
      <c r="BB477" t="inlineStr">
        <is>
          <t>Begäran om allmänna handlingar</t>
        </is>
      </c>
      <c r="BC477" t="inlineStr">
        <is>
          <t>AUTO</t>
        </is>
      </c>
      <c r="BD477" t="inlineStr"/>
      <c r="BE477" t="inlineStr"/>
      <c r="BF477" t="inlineStr">
        <is>
          <t>AUTO_GENERERAD. Bekrafta metadata mot kallfil.</t>
        </is>
      </c>
      <c r="BG477">
        <f>HYPERLINK("C:\Users\jimmy\Desktop\Examens arbete\Kod\Ny mapp\remix_-copy-of-miljöbeslut.se-portal\Beskrivning av avnmälan.pdf", "Öppna PDF")</f>
        <v/>
      </c>
    </row>
    <row r="478">
      <c r="A478" t="inlineStr">
        <is>
          <t>KRAV-AUTO-000477</t>
        </is>
      </c>
      <c r="B478" t="inlineStr">
        <is>
          <t>ADMIN-INDEX-2026-02-27-00000000125C043F57453246863FE664CAFE6A3F0700950291EA24F0614FB6ACEDB12BF0E31D00000000010C0000950291EA24F0614FB6ACEDB12BF0E31D00002087A5AF0000</t>
        </is>
      </c>
      <c r="C478" t="inlineStr">
        <is>
          <t>cmm4yur470468cuqwrbtsyqls</t>
        </is>
      </c>
      <c r="D478" t="inlineStr">
        <is>
          <t>http://localhost:8787/api/admin/requirements/documents/cmm4yur470468cuqwrbtsyqls/view</t>
        </is>
      </c>
      <c r="E478">
        <f>HYPERLÄNK("http://localhost:8787/api/admin/requirements/documents/cmm4yur470468cuqwrbtsyqls/view";"Öppna PDF")</f>
        <v/>
      </c>
      <c r="F478">
        <f>HYPERLINK("http://localhost:8787/api/admin/requirements/documents/cmm4yur470468cuqwrbtsyqls/view","Open PDF")</f>
        <v/>
      </c>
      <c r="G478" t="inlineStr">
        <is>
          <t>cmm55w57p0004cuisfrtpqly8</t>
        </is>
      </c>
      <c r="H478" t="inlineStr">
        <is>
          <t>Informationskrav</t>
        </is>
      </c>
      <c r="I478" t="inlineStr">
        <is>
          <t>Riskhantering</t>
        </is>
      </c>
      <c r="J478" t="inlineStr">
        <is>
          <t>Riskkontroll</t>
        </is>
      </c>
      <c r="K478" t="inlineStr">
        <is>
          <t>sid 1/2 Ale kommun SE-449 80 Alafors 212000-1439 0303-70 30 00 kommun@ale.se www.ale.se Cistern för förvaring av brandfarlig vätska eller spillolja kommer finnas.</t>
        </is>
      </c>
      <c r="L478" t="inlineStr">
        <is>
          <t>sid 1/2 Ale kommun SE-449 80 Alafors 212000-1439 0303-70 30 00 kommun@ale.se www.ale.se Cistern för förvaring av brandfarlig vätska eller spillolja kommer finnas.</t>
        </is>
      </c>
      <c r="M478" t="inlineStr">
        <is>
          <t>SKA</t>
        </is>
      </c>
      <c r="N478" t="inlineStr">
        <is>
          <t>FMH</t>
        </is>
      </c>
      <c r="O478" t="inlineStr"/>
      <c r="P478" t="inlineStr">
        <is>
          <t>Arlig</t>
        </is>
      </c>
      <c r="Q478" t="inlineStr"/>
      <c r="R478" t="inlineStr">
        <is>
          <t>Vid risk for incident</t>
        </is>
      </c>
      <c r="S478" t="inlineStr"/>
      <c r="T478" t="inlineStr">
        <is>
          <t>212000</t>
        </is>
      </c>
      <c r="U478" t="inlineStr"/>
      <c r="V478" t="inlineStr"/>
      <c r="W478" t="inlineStr">
        <is>
          <t>Nej</t>
        </is>
      </c>
      <c r="X478" t="inlineStr">
        <is>
          <t>Nej</t>
        </is>
      </c>
      <c r="Y478" t="inlineStr">
        <is>
          <t>Ja</t>
        </is>
      </c>
      <c r="Z478" t="inlineStr">
        <is>
          <t>Ja</t>
        </is>
      </c>
      <c r="AA478" t="n">
        <v>8</v>
      </c>
      <c r="AB478" t="inlineStr">
        <is>
          <t>Riskhantering</t>
        </is>
      </c>
      <c r="AC478" t="inlineStr">
        <is>
          <t>Risk-PM</t>
        </is>
      </c>
      <c r="AD478" t="inlineStr">
        <is>
          <t>Nej</t>
        </is>
      </c>
      <c r="AE478" t="inlineStr">
        <is>
          <t>Nej</t>
        </is>
      </c>
      <c r="AF478" t="inlineStr">
        <is>
          <t>Ej behandlad</t>
        </is>
      </c>
      <c r="AG478" t="inlineStr">
        <is>
          <t>AUTO_GENERERAD. Verifiera citat mot kallfil.</t>
        </is>
      </c>
      <c r="AH478" t="inlineStr">
        <is>
          <t>HIGH</t>
        </is>
      </c>
      <c r="AI478" t="inlineStr">
        <is>
          <t>AUTO</t>
        </is>
      </c>
      <c r="AJ478" t="inlineStr">
        <is>
          <t>Nej</t>
        </is>
      </c>
      <c r="AK478" t="inlineStr"/>
      <c r="AL478" t="inlineStr"/>
      <c r="AM478" t="inlineStr"/>
      <c r="AN478" t="inlineStr"/>
      <c r="AO478" t="inlineStr">
        <is>
          <t>cmm4yur4a046bcuqwmcjygg3z</t>
        </is>
      </c>
      <c r="AP478" t="inlineStr">
        <is>
          <t>http://localhost:8787/api/admin/requirements/documents/cmm4yur4a046bcuqwmcjygg3z/view</t>
        </is>
      </c>
      <c r="AQ478">
        <f>HYPERLÄNK("http://localhost:8787/api/admin/requirements/documents/cmm4yur4a046bcuqwmcjygg3z/view";"Öppna PDF")</f>
        <v/>
      </c>
      <c r="AR478">
        <f>HYPERLINK("http://localhost:8787/api/admin/requirements/documents/cmm4yur4a046bcuqwmcjygg3z/view","Open PDF")</f>
        <v/>
      </c>
      <c r="AS478" t="inlineStr">
        <is>
          <t>cmm55w57p0004cuisfrtpqly8</t>
        </is>
      </c>
      <c r="AT478" t="inlineStr">
        <is>
          <t>cmm4xvu980000cuh4vj0usz09</t>
        </is>
      </c>
      <c r="AU478" t="inlineStr"/>
      <c r="AV478" t="inlineStr">
        <is>
          <t>Kommun</t>
        </is>
      </c>
      <c r="AW478" t="inlineStr"/>
      <c r="AX478" t="inlineStr">
        <is>
          <t>2024-09</t>
        </is>
      </c>
      <c r="AY478" t="inlineStr">
        <is>
          <t>Beslut</t>
        </is>
      </c>
      <c r="AZ478" t="inlineStr">
        <is>
          <t>2026-02-06</t>
        </is>
      </c>
      <c r="BA478" t="inlineStr">
        <is>
          <t>Beskrivning av avnmälan.pdf</t>
        </is>
      </c>
      <c r="BB478" t="inlineStr">
        <is>
          <t>Begäran om allmänna handlingar</t>
        </is>
      </c>
      <c r="BC478" t="inlineStr">
        <is>
          <t>AUTO</t>
        </is>
      </c>
      <c r="BD478" t="inlineStr"/>
      <c r="BE478" t="inlineStr"/>
      <c r="BF478" t="inlineStr">
        <is>
          <t>AUTO_GENERERAD. Bekrafta metadata mot kallfil.</t>
        </is>
      </c>
      <c r="BG478">
        <f>HYPERLINK("C:\Users\jimmy\Desktop\Examens arbete\Kod\Ny mapp\remix_-copy-of-miljöbeslut.se-portal\Beskrivning av avnmälan.pdf", "Öppna PDF")</f>
        <v/>
      </c>
    </row>
    <row r="479">
      <c r="A479" t="inlineStr">
        <is>
          <t>KRAV-AUTO-000478</t>
        </is>
      </c>
      <c r="B479" t="inlineStr">
        <is>
          <t>ADMIN-INDEX-2026-02-27-00000000125C043F57453246863FE664CAFE6A3F0700950291EA24F0614FB6ACEDB12BF0E31D00000000010C0000950291EA24F0614FB6ACEDB12BF0E31D00002087A5B00000</t>
        </is>
      </c>
      <c r="C479" t="inlineStr">
        <is>
          <t>cmm4yur3u045wcuqwtxlgiv42</t>
        </is>
      </c>
      <c r="D479" t="inlineStr">
        <is>
          <t>http://localhost:8787/api/admin/requirements/documents/cmm4yur3u045wcuqwtxlgiv42/view</t>
        </is>
      </c>
      <c r="E479">
        <f>HYPERLÄNK("http://localhost:8787/api/admin/requirements/documents/cmm4yur3u045wcuqwtxlgiv42/view";"Öppna PDF")</f>
        <v/>
      </c>
      <c r="F479">
        <f>HYPERLINK("http://localhost:8787/api/admin/requirements/documents/cmm4yur3u045wcuqwtxlgiv42/view","Open PDF")</f>
        <v/>
      </c>
      <c r="G479" t="inlineStr">
        <is>
          <t>cmm55w57p0004cuisfrtpqly8</t>
        </is>
      </c>
      <c r="H479" t="inlineStr">
        <is>
          <t>Beslutsvillkor</t>
        </is>
      </c>
      <c r="I479" t="inlineStr">
        <is>
          <t>Riskhantering</t>
        </is>
      </c>
      <c r="J479" t="inlineStr">
        <is>
          <t>Riskkontroll</t>
        </is>
      </c>
      <c r="K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Rättigheter Bäck, Mitt Höjdkurva, 1m ekvidis Ägoslagsgräns / kantli Lövskog Barrskog Kärr Berg symbol / Inmätt h Ägoslagsgräns / kantli Slänt, Släntkrön Släntbeteckning Slänt, Släntfot Stengärdesgård, mittli Dike, Mitt Dikeskantlinjer och dik Staket Häck, Mitt Körbana, asfalterad vä Elledning/ Luftledning</t>
        </is>
      </c>
      <c r="L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
        </is>
      </c>
      <c r="M479" t="inlineStr">
        <is>
          <t>SKA</t>
        </is>
      </c>
      <c r="N479" t="inlineStr"/>
      <c r="O479" t="inlineStr"/>
      <c r="P479" t="inlineStr"/>
      <c r="Q479" t="inlineStr"/>
      <c r="R479" t="inlineStr">
        <is>
          <t>Vid risk for incident</t>
        </is>
      </c>
      <c r="S479" t="inlineStr"/>
      <c r="T479" t="inlineStr">
        <is>
          <t>99 12 00</t>
        </is>
      </c>
      <c r="U479" t="inlineStr"/>
      <c r="V479" t="inlineStr"/>
      <c r="W479" t="inlineStr">
        <is>
          <t>Nej</t>
        </is>
      </c>
      <c r="X479" t="inlineStr">
        <is>
          <t>Nej</t>
        </is>
      </c>
      <c r="Y479" t="inlineStr">
        <is>
          <t>Ja</t>
        </is>
      </c>
      <c r="Z479" t="inlineStr">
        <is>
          <t>Ja</t>
        </is>
      </c>
      <c r="AA479" t="n">
        <v>8</v>
      </c>
      <c r="AB479" t="inlineStr">
        <is>
          <t>Riskhantering</t>
        </is>
      </c>
      <c r="AC479" t="inlineStr">
        <is>
          <t>Risk-PM</t>
        </is>
      </c>
      <c r="AD479" t="inlineStr">
        <is>
          <t>Nej</t>
        </is>
      </c>
      <c r="AE479" t="inlineStr">
        <is>
          <t>Nej</t>
        </is>
      </c>
      <c r="AF479" t="inlineStr">
        <is>
          <t>Ej behandlad</t>
        </is>
      </c>
      <c r="AG479" t="inlineStr">
        <is>
          <t>AUTO_GENERERAD. Verifiera citat mot kallfil.</t>
        </is>
      </c>
      <c r="AH479" t="inlineStr">
        <is>
          <t>LOW</t>
        </is>
      </c>
      <c r="AI479" t="inlineStr">
        <is>
          <t>AUTO</t>
        </is>
      </c>
      <c r="AJ479" t="inlineStr">
        <is>
          <t>Nej</t>
        </is>
      </c>
      <c r="AK479" t="inlineStr"/>
      <c r="AL479" t="inlineStr"/>
      <c r="AM479" t="inlineStr"/>
      <c r="AN479" t="inlineStr"/>
      <c r="AO479" t="inlineStr">
        <is>
          <t>cmm4yur3u045wcuqwtxlgiv42</t>
        </is>
      </c>
      <c r="AP479" t="inlineStr">
        <is>
          <t>http://localhost:8787/api/admin/requirements/documents/cmm4yur3u045wcuqwtxlgiv42/view</t>
        </is>
      </c>
      <c r="AQ479">
        <f>HYPERLÄNK("http://localhost:8787/api/admin/requirements/documents/cmm4yur3u045wcuqwtxlgiv42/view";"Öppna PDF")</f>
        <v/>
      </c>
      <c r="AR479">
        <f>HYPERLINK("http://localhost:8787/api/admin/requirements/documents/cmm4yur3u045wcuqwtxlgiv42/view","Open PDF")</f>
        <v/>
      </c>
      <c r="AS479" t="inlineStr">
        <is>
          <t>cmm55w57p0004cuisfrtpqly8</t>
        </is>
      </c>
      <c r="AT479" t="inlineStr">
        <is>
          <t>cmm4xvu980000cuh4vj0usz09</t>
        </is>
      </c>
      <c r="AU479" t="inlineStr"/>
      <c r="AV479" t="inlineStr">
        <is>
          <t>Kommun</t>
        </is>
      </c>
      <c r="AW479" t="inlineStr"/>
      <c r="AX479" t="inlineStr"/>
      <c r="AY479" t="inlineStr">
        <is>
          <t>Beslut</t>
        </is>
      </c>
      <c r="AZ479" t="inlineStr">
        <is>
          <t>2026-02-06</t>
        </is>
      </c>
      <c r="BA479" t="inlineStr">
        <is>
          <t>Situationsplan.pdf</t>
        </is>
      </c>
      <c r="BB479" t="inlineStr">
        <is>
          <t>Begäran om handlingar</t>
        </is>
      </c>
      <c r="BC479" t="inlineStr">
        <is>
          <t>AUTO</t>
        </is>
      </c>
      <c r="BD479" t="inlineStr"/>
      <c r="BE479" t="inlineStr"/>
      <c r="BF479" t="inlineStr">
        <is>
          <t>AUTO_GENERERAD. Bekrafta metadata mot kallfil.</t>
        </is>
      </c>
      <c r="BG479">
        <f>HYPERLINK("C:\Users\jimmy\Desktop\Examens arbete\Kod\Ny mapp\remix_-copy-of-miljöbeslut.se-portal\Situationsplan.pdf", "Öppna PDF")</f>
        <v/>
      </c>
    </row>
    <row r="480">
      <c r="A480" t="inlineStr">
        <is>
          <t>KRAV-AUTO-000479</t>
        </is>
      </c>
      <c r="B480" t="inlineStr">
        <is>
          <t>ADMIN-INDEX-2026-02-27-00000000125C043F57453246863FE664CAFE6A3F0700950291EA24F0614FB6ACEDB12BF0E31D00000000010C0000950291EA24F0614FB6ACEDB12BF0E31D00002087A5B00000</t>
        </is>
      </c>
      <c r="C480" t="inlineStr">
        <is>
          <t>cmm4yur3q045tcuqwfup8y4uh</t>
        </is>
      </c>
      <c r="D480" t="inlineStr">
        <is>
          <t>http://localhost:8787/api/admin/requirements/documents/cmm4yur3q045tcuqwfup8y4uh/view</t>
        </is>
      </c>
      <c r="E480">
        <f>HYPERLÄNK("http://localhost:8787/api/admin/requirements/documents/cmm4yur3q045tcuqwfup8y4uh/view";"Öppna PDF")</f>
        <v/>
      </c>
      <c r="F480">
        <f>HYPERLINK("http://localhost:8787/api/admin/requirements/documents/cmm4yur3q045tcuqwfup8y4uh/view","Open PDF")</f>
        <v/>
      </c>
      <c r="G480" t="inlineStr">
        <is>
          <t>cmm55w57p0004cuisfrtpqly8</t>
        </is>
      </c>
      <c r="H480" t="inlineStr">
        <is>
          <t>Informationskrav</t>
        </is>
      </c>
      <c r="I480" t="inlineStr">
        <is>
          <t>TransportLogistik</t>
        </is>
      </c>
      <c r="J480" t="inlineStr">
        <is>
          <t>Transportvagar</t>
        </is>
      </c>
      <c r="K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 • • Vattendrag • Vattentäkters placering (egen och grannars) • Transportvägar • Grannfastigheter • Översiktskarta Kommer förekomma transport in till fastighet från Starrkärrsvägen Älvängen 2025-07-01 Sebastian Faltin -- 2 of 2 --</t>
        </is>
      </c>
      <c r="L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t>
        </is>
      </c>
      <c r="M480" t="inlineStr">
        <is>
          <t>SKA</t>
        </is>
      </c>
      <c r="N480" t="inlineStr">
        <is>
          <t>FMH</t>
        </is>
      </c>
      <c r="O480" t="inlineStr">
        <is>
          <t>2025-07-01</t>
        </is>
      </c>
      <c r="P480" t="inlineStr"/>
      <c r="Q480" t="inlineStr"/>
      <c r="R480" t="inlineStr">
        <is>
          <t>Vid transporter</t>
        </is>
      </c>
      <c r="S480" t="inlineStr"/>
      <c r="T480" t="inlineStr">
        <is>
          <t>212000</t>
        </is>
      </c>
      <c r="U480" t="inlineStr"/>
      <c r="V480" t="inlineStr"/>
      <c r="W480" t="inlineStr">
        <is>
          <t>Nej</t>
        </is>
      </c>
      <c r="X480" t="inlineStr">
        <is>
          <t>Nej</t>
        </is>
      </c>
      <c r="Y480" t="inlineStr">
        <is>
          <t>Nej</t>
        </is>
      </c>
      <c r="Z480" t="inlineStr">
        <is>
          <t>Ja</t>
        </is>
      </c>
      <c r="AA480" t="n">
        <v>9</v>
      </c>
      <c r="AB480" t="inlineStr">
        <is>
          <t>Transporter och logistik</t>
        </is>
      </c>
      <c r="AC480" t="inlineStr">
        <is>
          <t>Trafikplan</t>
        </is>
      </c>
      <c r="AD480" t="inlineStr">
        <is>
          <t>Nej</t>
        </is>
      </c>
      <c r="AE480" t="inlineStr">
        <is>
          <t>Nej</t>
        </is>
      </c>
      <c r="AF480" t="inlineStr">
        <is>
          <t>Ej behandlad</t>
        </is>
      </c>
      <c r="AG480" t="inlineStr">
        <is>
          <t>AUTO_GENERERAD. Verifiera citat mot kallfil.</t>
        </is>
      </c>
      <c r="AH480" t="inlineStr">
        <is>
          <t>HIGH</t>
        </is>
      </c>
      <c r="AI480" t="inlineStr">
        <is>
          <t>AUTO</t>
        </is>
      </c>
      <c r="AJ480" t="inlineStr">
        <is>
          <t>Nej</t>
        </is>
      </c>
      <c r="AK480" t="inlineStr"/>
      <c r="AL480" t="inlineStr"/>
      <c r="AM480" t="inlineStr"/>
      <c r="AN480" t="inlineStr"/>
      <c r="AO480" t="inlineStr">
        <is>
          <t>cmm4yur3u045wcuqwtxlgiv42</t>
        </is>
      </c>
      <c r="AP480" t="inlineStr">
        <is>
          <t>http://localhost:8787/api/admin/requirements/documents/cmm4yur3u045wcuqwtxlgiv42/view</t>
        </is>
      </c>
      <c r="AQ480">
        <f>HYPERLÄNK("http://localhost:8787/api/admin/requirements/documents/cmm4yur3u045wcuqwtxlgiv42/view";"Öppna PDF")</f>
        <v/>
      </c>
      <c r="AR480">
        <f>HYPERLINK("http://localhost:8787/api/admin/requirements/documents/cmm4yur3u045wcuqwtxlgiv42/view","Open PDF")</f>
        <v/>
      </c>
      <c r="AS480" t="inlineStr">
        <is>
          <t>cmm55w57p0004cuisfrtpqly8</t>
        </is>
      </c>
      <c r="AT480" t="inlineStr">
        <is>
          <t>cmm4xvu980000cuh4vj0usz09</t>
        </is>
      </c>
      <c r="AU480" t="inlineStr"/>
      <c r="AV480" t="inlineStr">
        <is>
          <t>Kommun</t>
        </is>
      </c>
      <c r="AW480" t="inlineStr"/>
      <c r="AX480" t="inlineStr"/>
      <c r="AY480" t="inlineStr">
        <is>
          <t>Beslut</t>
        </is>
      </c>
      <c r="AZ480" t="inlineStr">
        <is>
          <t>2026-02-06</t>
        </is>
      </c>
      <c r="BA480" t="inlineStr">
        <is>
          <t>Situationsplan.pdf</t>
        </is>
      </c>
      <c r="BB480" t="inlineStr">
        <is>
          <t>Begäran om handlingar</t>
        </is>
      </c>
      <c r="BC480" t="inlineStr">
        <is>
          <t>AUTO</t>
        </is>
      </c>
      <c r="BD480" t="inlineStr"/>
      <c r="BE480" t="inlineStr"/>
      <c r="BF480" t="inlineStr">
        <is>
          <t>AUTO_GENERERAD. Bekrafta metadata mot kallfil.</t>
        </is>
      </c>
      <c r="BG480">
        <f>HYPERLINK("C:\Users\jimmy\Desktop\Examens arbete\Kod\Ny mapp\remix_-copy-of-miljöbeslut.se-portal\Situationsplan.pdf", "Öppna PDF")</f>
        <v/>
      </c>
    </row>
    <row r="481">
      <c r="A481" t="inlineStr">
        <is>
          <t>KRAV-AUTO-000480</t>
        </is>
      </c>
      <c r="B481" t="inlineStr">
        <is>
          <t>ADMIN-INDEX-2026-02-27-00000000125C043F57453246863FE664CAFE6A3F0700950291EA24F0614FB6ACEDB12BF0E31D00000000010C0000950291EA24F0614FB6ACEDB12BF0E31D00002087A5B20000</t>
        </is>
      </c>
      <c r="C481" t="inlineStr">
        <is>
          <t>cmm4yur3b045hcuqwrrudf9ye</t>
        </is>
      </c>
      <c r="D481" t="inlineStr">
        <is>
          <t>http://localhost:8787/api/admin/requirements/documents/cmm4yur3b045hcuqwrrudf9ye/view</t>
        </is>
      </c>
      <c r="E481">
        <f>HYPERLÄNK("http://localhost:8787/api/admin/requirements/documents/cmm4yur3b045hcuqwrrudf9ye/view";"Öppna PDF")</f>
        <v/>
      </c>
      <c r="F481">
        <f>HYPERLINK("http://localhost:8787/api/admin/requirements/documents/cmm4yur3b045hcuqwrrudf9ye/view","Open PDF")</f>
        <v/>
      </c>
      <c r="G481" t="inlineStr">
        <is>
          <t>cmm55w57p0004cuisfrtpqly8</t>
        </is>
      </c>
      <c r="H481" t="inlineStr">
        <is>
          <t>Kompletteringskrav</t>
        </is>
      </c>
      <c r="I481" t="inlineStr">
        <is>
          <t>LagringsvolymTid</t>
        </is>
      </c>
      <c r="J481" t="inlineStr">
        <is>
          <t>Maxmangd</t>
        </is>
      </c>
      <c r="K481" t="inlineStr">
        <is>
          <t>Vi uppskattar den lagrade mängd som finns till bearbetning till 10 000 ton.och grovsorteras (= med en st.</t>
        </is>
      </c>
      <c r="L481" t="inlineStr">
        <is>
          <t>Vi uppskattar den lagrade mängd som finns till bearbetning till 10 000 ton.och grovsorteras (= med en st.</t>
        </is>
      </c>
      <c r="M481" t="inlineStr">
        <is>
          <t>SKA</t>
        </is>
      </c>
      <c r="N481" t="inlineStr"/>
      <c r="O481" t="inlineStr"/>
      <c r="P481" t="inlineStr"/>
      <c r="Q481" t="inlineStr"/>
      <c r="R481" t="inlineStr">
        <is>
          <t>Alltid</t>
        </is>
      </c>
      <c r="S481" t="inlineStr"/>
      <c r="T481" t="inlineStr">
        <is>
          <t>2025 12</t>
        </is>
      </c>
      <c r="U481" t="n">
        <v>0</v>
      </c>
      <c r="V481" t="inlineStr"/>
      <c r="W481" t="inlineStr">
        <is>
          <t>Nej</t>
        </is>
      </c>
      <c r="X481" t="inlineStr">
        <is>
          <t>Nej</t>
        </is>
      </c>
      <c r="Y481" t="inlineStr">
        <is>
          <t>Nej</t>
        </is>
      </c>
      <c r="Z481" t="inlineStr">
        <is>
          <t>Nej</t>
        </is>
      </c>
      <c r="AA481" t="n">
        <v>4</v>
      </c>
      <c r="AB481" t="inlineStr">
        <is>
          <t>Avfallsmangder och lagringstid</t>
        </is>
      </c>
      <c r="AC481" t="inlineStr">
        <is>
          <t>Avfallsforteckning</t>
        </is>
      </c>
      <c r="AD481" t="inlineStr">
        <is>
          <t>Nej</t>
        </is>
      </c>
      <c r="AE481" t="inlineStr">
        <is>
          <t>Nej</t>
        </is>
      </c>
      <c r="AF481" t="inlineStr">
        <is>
          <t>Ej behandlad</t>
        </is>
      </c>
      <c r="AG481" t="inlineStr">
        <is>
          <t>AUTO_GENERERAD. Verifiera citat mot kallfil.</t>
        </is>
      </c>
      <c r="AH481" t="inlineStr">
        <is>
          <t>MEDIUM</t>
        </is>
      </c>
      <c r="AI481" t="inlineStr">
        <is>
          <t>AUTO</t>
        </is>
      </c>
      <c r="AJ481" t="inlineStr">
        <is>
          <t>Nej</t>
        </is>
      </c>
      <c r="AK481" t="inlineStr"/>
      <c r="AL481" t="inlineStr"/>
      <c r="AM481" t="inlineStr"/>
      <c r="AN481" t="inlineStr"/>
      <c r="AO481" t="inlineStr">
        <is>
          <t>cmm4yur3i045ncuqwdc30ai1k</t>
        </is>
      </c>
      <c r="AP481" t="inlineStr">
        <is>
          <t>http://localhost:8787/api/admin/requirements/documents/cmm4yur3i045ncuqwdc30ai1k/view</t>
        </is>
      </c>
      <c r="AQ481">
        <f>HYPERLÄNK("http://localhost:8787/api/admin/requirements/documents/cmm4yur3i045ncuqwdc30ai1k/view";"Öppna PDF")</f>
        <v/>
      </c>
      <c r="AR481">
        <f>HYPERLINK("http://localhost:8787/api/admin/requirements/documents/cmm4yur3i045ncuqwdc30ai1k/view","Open PDF")</f>
        <v/>
      </c>
      <c r="AS481" t="inlineStr">
        <is>
          <t>cmm55w57p0004cuisfrtpqly8</t>
        </is>
      </c>
      <c r="AT481" t="inlineStr">
        <is>
          <t>cmm4xvu980000cuh4vj0usz09</t>
        </is>
      </c>
      <c r="AU481" t="inlineStr"/>
      <c r="AV481" t="inlineStr">
        <is>
          <t>Kommun</t>
        </is>
      </c>
      <c r="AW481" t="inlineStr"/>
      <c r="AX481" t="inlineStr">
        <is>
          <t>2025-04</t>
        </is>
      </c>
      <c r="AY481" t="inlineStr">
        <is>
          <t>Anmalan</t>
        </is>
      </c>
      <c r="AZ481" t="inlineStr">
        <is>
          <t>2026-02-06</t>
        </is>
      </c>
      <c r="BA481" t="inlineStr">
        <is>
          <t>Beslut - svar på anmälan.pdf</t>
        </is>
      </c>
      <c r="BB481" t="inlineStr">
        <is>
          <t>Sv: till registrator</t>
        </is>
      </c>
      <c r="BC481" t="inlineStr">
        <is>
          <t>AUTO</t>
        </is>
      </c>
      <c r="BD481" t="inlineStr"/>
      <c r="BE481" t="inlineStr"/>
      <c r="BF481" t="inlineStr">
        <is>
          <t>AUTO_GENERERAD. Bekrafta metadata mot kallfil.</t>
        </is>
      </c>
      <c r="BG481">
        <f>HYPERLINK("C:\Users\jimmy\Desktop\Examens arbete\Kod\Ny mapp\remix_-copy-of-miljöbeslut.se-portal\Beslut - svar på anmälan.pdf", "Öppna PDF")</f>
        <v/>
      </c>
    </row>
    <row r="482">
      <c r="A482" t="inlineStr">
        <is>
          <t>KRAV-AUTO-000481</t>
        </is>
      </c>
      <c r="B482" t="inlineStr">
        <is>
          <t>ADMIN-INDEX-2026-02-27-00000000125C043F57453246863FE664CAFE6A3F0700950291EA24F0614FB6ACEDB12BF0E31D00000000010C0000950291EA24F0614FB6ACEDB12BF0E31D00002087A5B20000</t>
        </is>
      </c>
      <c r="C482" t="inlineStr">
        <is>
          <t>cmm4yur300458cuqwtm7fg31i</t>
        </is>
      </c>
      <c r="D482" t="inlineStr">
        <is>
          <t>http://localhost:8787/api/admin/requirements/documents/cmm4yur300458cuqwtm7fg31i/view</t>
        </is>
      </c>
      <c r="E482">
        <f>HYPERLÄNK("http://localhost:8787/api/admin/requirements/documents/cmm4yur300458cuqwtm7fg31i/view";"Öppna PDF")</f>
        <v/>
      </c>
      <c r="F482">
        <f>HYPERLINK("http://localhost:8787/api/admin/requirements/documents/cmm4yur300458cuqwtm7fg31i/view","Open PDF")</f>
        <v/>
      </c>
      <c r="G482" t="inlineStr">
        <is>
          <t>cmm55w57p0004cuisfrtpqly8</t>
        </is>
      </c>
      <c r="H482" t="inlineStr">
        <is>
          <t>Beslutsvillkor</t>
        </is>
      </c>
      <c r="I482" t="inlineStr">
        <is>
          <t>DagvattenLakvatten</t>
        </is>
      </c>
      <c r="J482" t="inlineStr">
        <is>
          <t>Uppsamling</t>
        </is>
      </c>
      <c r="K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 Vägtrumma -6420600 79 78 84 81 41:7 82 84 84 74 -6420500 -6420400</t>
        </is>
      </c>
      <c r="L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t>
        </is>
      </c>
      <c r="M482" t="inlineStr">
        <is>
          <t>SKA</t>
        </is>
      </c>
      <c r="N482" t="inlineStr"/>
      <c r="O482" t="inlineStr"/>
      <c r="P482" t="inlineStr"/>
      <c r="Q482" t="inlineStr"/>
      <c r="R482" t="inlineStr">
        <is>
          <t>Vid nederbord och avrinning</t>
        </is>
      </c>
      <c r="S482" t="inlineStr"/>
      <c r="T482" t="inlineStr">
        <is>
          <t>79 78 84</t>
        </is>
      </c>
      <c r="U482" t="inlineStr"/>
      <c r="V482" t="inlineStr"/>
      <c r="W482" t="inlineStr">
        <is>
          <t>Nej</t>
        </is>
      </c>
      <c r="X482" t="inlineStr">
        <is>
          <t>Ja</t>
        </is>
      </c>
      <c r="Y482" t="inlineStr">
        <is>
          <t>Ja</t>
        </is>
      </c>
      <c r="Z482" t="inlineStr">
        <is>
          <t>Nej</t>
        </is>
      </c>
      <c r="AA482" t="n">
        <v>6</v>
      </c>
      <c r="AB482" t="inlineStr">
        <is>
          <t>Lakvattenhantering</t>
        </is>
      </c>
      <c r="AC482" t="inlineStr">
        <is>
          <t>Flodesschema dagvatten-lakvatten</t>
        </is>
      </c>
      <c r="AD482" t="inlineStr">
        <is>
          <t>Nej</t>
        </is>
      </c>
      <c r="AE482" t="inlineStr">
        <is>
          <t>Nej</t>
        </is>
      </c>
      <c r="AF482" t="inlineStr">
        <is>
          <t>Ej behandlad</t>
        </is>
      </c>
      <c r="AG482" t="inlineStr">
        <is>
          <t>AUTO_GENERERAD. Verifiera citat mot kallfil.</t>
        </is>
      </c>
      <c r="AH482" t="inlineStr">
        <is>
          <t>MEDIUM</t>
        </is>
      </c>
      <c r="AI482" t="inlineStr">
        <is>
          <t>AUTO</t>
        </is>
      </c>
      <c r="AJ482" t="inlineStr">
        <is>
          <t>Nej</t>
        </is>
      </c>
      <c r="AK482" t="inlineStr"/>
      <c r="AL482" t="inlineStr"/>
      <c r="AM482" t="inlineStr"/>
      <c r="AN482" t="inlineStr"/>
      <c r="AO482" t="inlineStr">
        <is>
          <t>cmm4yur3i045ncuqwdc30ai1k</t>
        </is>
      </c>
      <c r="AP482" t="inlineStr">
        <is>
          <t>http://localhost:8787/api/admin/requirements/documents/cmm4yur3i045ncuqwdc30ai1k/view</t>
        </is>
      </c>
      <c r="AQ482">
        <f>HYPERLÄNK("http://localhost:8787/api/admin/requirements/documents/cmm4yur3i045ncuqwdc30ai1k/view";"Öppna PDF")</f>
        <v/>
      </c>
      <c r="AR482">
        <f>HYPERLINK("http://localhost:8787/api/admin/requirements/documents/cmm4yur3i045ncuqwdc30ai1k/view","Open PDF")</f>
        <v/>
      </c>
      <c r="AS482" t="inlineStr">
        <is>
          <t>cmm55w57p0004cuisfrtpqly8</t>
        </is>
      </c>
      <c r="AT482" t="inlineStr">
        <is>
          <t>cmm4xvu980000cuh4vj0usz09</t>
        </is>
      </c>
      <c r="AU482" t="inlineStr"/>
      <c r="AV482" t="inlineStr">
        <is>
          <t>Kommun</t>
        </is>
      </c>
      <c r="AW482" t="inlineStr"/>
      <c r="AX482" t="inlineStr">
        <is>
          <t>2025-04</t>
        </is>
      </c>
      <c r="AY482" t="inlineStr">
        <is>
          <t>Anmalan</t>
        </is>
      </c>
      <c r="AZ482" t="inlineStr">
        <is>
          <t>2026-02-06</t>
        </is>
      </c>
      <c r="BA482" t="inlineStr">
        <is>
          <t>Beslut - svar på anmälan.pdf</t>
        </is>
      </c>
      <c r="BB482" t="inlineStr">
        <is>
          <t>Sv: till registrator</t>
        </is>
      </c>
      <c r="BC482" t="inlineStr">
        <is>
          <t>AUTO</t>
        </is>
      </c>
      <c r="BD482" t="inlineStr"/>
      <c r="BE482" t="inlineStr"/>
      <c r="BF482" t="inlineStr">
        <is>
          <t>AUTO_GENERERAD. Bekrafta metadata mot kallfil.</t>
        </is>
      </c>
      <c r="BG482">
        <f>HYPERLINK("C:\Users\jimmy\Desktop\Examens arbete\Kod\Ny mapp\remix_-copy-of-miljöbeslut.se-portal\Beslut - svar på anmälan.pdf", "Öppna PDF")</f>
        <v/>
      </c>
    </row>
    <row r="483">
      <c r="A483" t="inlineStr">
        <is>
          <t>KRAV-AUTO-000482</t>
        </is>
      </c>
      <c r="B483" t="inlineStr">
        <is>
          <t>ADMIN-INDEX-2026-02-27-00000000125C043F57453246863FE664CAFE6A3F0700950291EA24F0614FB6ACEDB12BF0E31D00000000010C0000950291EA24F0614FB6ACEDB12BF0E31D00002087A5B40000</t>
        </is>
      </c>
      <c r="C483" t="inlineStr">
        <is>
          <t>cmm4yur2p044zcuqwd50bmrv8</t>
        </is>
      </c>
      <c r="D483" t="inlineStr">
        <is>
          <t>http://localhost:8787/api/admin/requirements/documents/cmm4yur2p044zcuqwd50bmrv8/view</t>
        </is>
      </c>
      <c r="E483">
        <f>HYPERLÄNK("http://localhost:8787/api/admin/requirements/documents/cmm4yur2p044zcuqwd50bmrv8/view";"Öppna PDF")</f>
        <v/>
      </c>
      <c r="F483">
        <f>HYPERLINK("http://localhost:8787/api/admin/requirements/documents/cmm4yur2p044zcuqwd50bmrv8/view","Open PDF")</f>
        <v/>
      </c>
      <c r="G483" t="inlineStr">
        <is>
          <t>cmm55w57p0004cuisfrtpqly8</t>
        </is>
      </c>
      <c r="H483" t="inlineStr">
        <is>
          <t>Beslutsvillkor</t>
        </is>
      </c>
      <c r="I483" t="inlineStr">
        <is>
          <t>MiljopaverkanForsiktighet</t>
        </is>
      </c>
      <c r="J483" t="inlineStr">
        <is>
          <t>Skyddsatgarder</t>
        </is>
      </c>
      <c r="K483" t="inlineStr">
        <is>
          <t>Verksamheten skall mellanlagra samt även krossa riven asfalt på fastigheten Tärendö 2:3.</t>
        </is>
      </c>
      <c r="L483" t="inlineStr">
        <is>
          <t>Verksamheten skall mellanlagra samt även krossa riven asfalt på fastigheten Tärendö 2:3.</t>
        </is>
      </c>
      <c r="M483" t="inlineStr">
        <is>
          <t>SKA</t>
        </is>
      </c>
      <c r="N483" t="inlineStr"/>
      <c r="O483" t="inlineStr"/>
      <c r="P483" t="inlineStr"/>
      <c r="Q483" t="inlineStr"/>
      <c r="R483" t="inlineStr">
        <is>
          <t>Alltid</t>
        </is>
      </c>
      <c r="S483" t="inlineStr"/>
      <c r="T483" t="inlineStr"/>
      <c r="U483" t="inlineStr"/>
      <c r="V483" t="inlineStr"/>
      <c r="W483" t="inlineStr">
        <is>
          <t>Nej</t>
        </is>
      </c>
      <c r="X483" t="inlineStr">
        <is>
          <t>Nej</t>
        </is>
      </c>
      <c r="Y483" t="inlineStr">
        <is>
          <t>Nej</t>
        </is>
      </c>
      <c r="Z483" t="inlineStr">
        <is>
          <t>Nej</t>
        </is>
      </c>
      <c r="AA483" t="n">
        <v>10</v>
      </c>
      <c r="AB483" t="inlineStr">
        <is>
          <t>Miljopaverkan och forsiktighetsmatt</t>
        </is>
      </c>
      <c r="AC483" t="inlineStr">
        <is>
          <t>Miljo-PM</t>
        </is>
      </c>
      <c r="AD483" t="inlineStr">
        <is>
          <t>Nej</t>
        </is>
      </c>
      <c r="AE483" t="inlineStr">
        <is>
          <t>Nej</t>
        </is>
      </c>
      <c r="AF483" t="inlineStr">
        <is>
          <t>Ej behandlad</t>
        </is>
      </c>
      <c r="AG483" t="inlineStr">
        <is>
          <t>AUTO_GENERERAD. Verifiera citat mot kallfil.</t>
        </is>
      </c>
      <c r="AH483" t="inlineStr">
        <is>
          <t>MEDIUM</t>
        </is>
      </c>
      <c r="AI483" t="inlineStr">
        <is>
          <t>AUTO</t>
        </is>
      </c>
      <c r="AJ483" t="inlineStr">
        <is>
          <t>Nej</t>
        </is>
      </c>
      <c r="AK483" t="inlineStr"/>
      <c r="AL483" t="inlineStr"/>
      <c r="AM483" t="inlineStr"/>
      <c r="AN483" t="inlineStr"/>
      <c r="AO483" t="inlineStr">
        <is>
          <t>cmm4yur1z044ecuqwtn36cfk3</t>
        </is>
      </c>
      <c r="AP483" t="inlineStr">
        <is>
          <t>http://localhost:8787/api/admin/requirements/documents/cmm4yur1z044ecuqwtn36cfk3/view</t>
        </is>
      </c>
      <c r="AQ483">
        <f>HYPERLÄNK("http://localhost:8787/api/admin/requirements/documents/cmm4yur1z044ecuqwtn36cfk3/view";"Öppna PDF")</f>
        <v/>
      </c>
      <c r="AR483">
        <f>HYPERLINK("http://localhost:8787/api/admin/requirements/documents/cmm4yur1z044ecuqwtn36cfk3/view","Open PDF")</f>
        <v/>
      </c>
      <c r="AS483" t="inlineStr">
        <is>
          <t>cmm55w57p0004cuisfrtpqly8</t>
        </is>
      </c>
      <c r="AT483" t="inlineStr">
        <is>
          <t>cmm4xvu980000cuh4vj0usz09</t>
        </is>
      </c>
      <c r="AU483" t="inlineStr">
        <is>
          <t>i Pajala</t>
        </is>
      </c>
      <c r="AV483" t="inlineStr">
        <is>
          <t>Kommun</t>
        </is>
      </c>
      <c r="AW483" t="inlineStr">
        <is>
          <t>i Pajala kommun</t>
        </is>
      </c>
      <c r="AX483" t="inlineStr">
        <is>
          <t>2013:251</t>
        </is>
      </c>
      <c r="AY483" t="inlineStr">
        <is>
          <t>Beslut</t>
        </is>
      </c>
      <c r="AZ483" t="inlineStr">
        <is>
          <t>2026-02-06</t>
        </is>
      </c>
      <c r="BA483" t="inlineStr">
        <is>
          <t>M-2024-109Beslut om bifall med villkor(29439417).pdf</t>
        </is>
      </c>
      <c r="BB483" t="inlineStr">
        <is>
          <t>Sv: till registrator</t>
        </is>
      </c>
      <c r="BC483" t="inlineStr">
        <is>
          <t>AUTO</t>
        </is>
      </c>
      <c r="BD483" t="inlineStr"/>
      <c r="BE483" t="inlineStr"/>
      <c r="BF483" t="inlineStr">
        <is>
          <t>AUTO_GENERERAD. Bekrafta metadata mot kallfil.</t>
        </is>
      </c>
      <c r="BG483">
        <f>HYPERLINK("C:\Users\jimmy\Desktop\Examens arbete\Kod\Ny mapp\remix_-copy-of-miljöbeslut.se-portal\M-2024-109Beslut om bifall med villkor(29439417).pdf", "Öppna PDF")</f>
        <v/>
      </c>
    </row>
    <row r="484">
      <c r="A484" t="inlineStr">
        <is>
          <t>KRAV-AUTO-000483</t>
        </is>
      </c>
      <c r="B484" t="inlineStr">
        <is>
          <t>ADMIN-INDEX-2026-02-27-00000000125C043F57453246863FE664CAFE6A3F0700950291EA24F0614FB6ACEDB12BF0E31D00000000010C0000950291EA24F0614FB6ACEDB12BF0E31D00002087A5B40000</t>
        </is>
      </c>
      <c r="C484" t="inlineStr">
        <is>
          <t>cmm4yur2p044zcuqwd50bmrv8</t>
        </is>
      </c>
      <c r="D484" t="inlineStr">
        <is>
          <t>http://localhost:8787/api/admin/requirements/documents/cmm4yur2p044zcuqwd50bmrv8/view</t>
        </is>
      </c>
      <c r="E484">
        <f>HYPERLÄNK("http://localhost:8787/api/admin/requirements/documents/cmm4yur2p044zcuqwd50bmrv8/view";"Öppna PDF")</f>
        <v/>
      </c>
      <c r="F484">
        <f>HYPERLINK("http://localhost:8787/api/admin/requirements/documents/cmm4yur2p044zcuqwd50bmrv8/view","Open PDF")</f>
        <v/>
      </c>
      <c r="G484" t="inlineStr">
        <is>
          <t>cmm55w57p0004cuisfrtpqly8</t>
        </is>
      </c>
      <c r="H484" t="inlineStr">
        <is>
          <t>Beslutsvillkor</t>
        </is>
      </c>
      <c r="I484" t="inlineStr">
        <is>
          <t>LagringsvolymTid</t>
        </is>
      </c>
      <c r="J484" t="inlineStr">
        <is>
          <t>Maxmangd</t>
        </is>
      </c>
      <c r="K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L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M484" t="inlineStr">
        <is>
          <t>SKA</t>
        </is>
      </c>
      <c r="N484" t="inlineStr">
        <is>
          <t>MPF</t>
        </is>
      </c>
      <c r="O484" t="inlineStr"/>
      <c r="P484" t="inlineStr">
        <is>
          <t>Arlig</t>
        </is>
      </c>
      <c r="Q484" t="inlineStr"/>
      <c r="R484" t="inlineStr">
        <is>
          <t>Alltid</t>
        </is>
      </c>
      <c r="S484" t="inlineStr"/>
      <c r="T484" t="inlineStr"/>
      <c r="U484" t="n">
        <v>10</v>
      </c>
      <c r="V484" t="inlineStr"/>
      <c r="W484" t="inlineStr">
        <is>
          <t>Nej</t>
        </is>
      </c>
      <c r="X484" t="inlineStr">
        <is>
          <t>Nej</t>
        </is>
      </c>
      <c r="Y484" t="inlineStr">
        <is>
          <t>Nej</t>
        </is>
      </c>
      <c r="Z484" t="inlineStr">
        <is>
          <t>Nej</t>
        </is>
      </c>
      <c r="AA484" t="n">
        <v>4</v>
      </c>
      <c r="AB484" t="inlineStr">
        <is>
          <t>Avfallsmangder och lagringstid</t>
        </is>
      </c>
      <c r="AC484" t="inlineStr">
        <is>
          <t>Avfallsforteckning</t>
        </is>
      </c>
      <c r="AD484" t="inlineStr">
        <is>
          <t>Nej</t>
        </is>
      </c>
      <c r="AE484" t="inlineStr">
        <is>
          <t>Nej</t>
        </is>
      </c>
      <c r="AF484" t="inlineStr">
        <is>
          <t>Ej behandlad</t>
        </is>
      </c>
      <c r="AG484" t="inlineStr">
        <is>
          <t>AUTO_GENERERAD. Verifiera citat mot kallfil.</t>
        </is>
      </c>
      <c r="AH484" t="inlineStr">
        <is>
          <t>MEDIUM</t>
        </is>
      </c>
      <c r="AI484" t="inlineStr">
        <is>
          <t>AUTO</t>
        </is>
      </c>
      <c r="AJ484" t="inlineStr">
        <is>
          <t>Nej</t>
        </is>
      </c>
      <c r="AK484" t="inlineStr"/>
      <c r="AL484" t="inlineStr"/>
      <c r="AM484" t="inlineStr"/>
      <c r="AN484" t="inlineStr"/>
      <c r="AO484" t="inlineStr">
        <is>
          <t>cmm4yur1z044ecuqwtn36cfk3</t>
        </is>
      </c>
      <c r="AP484" t="inlineStr">
        <is>
          <t>http://localhost:8787/api/admin/requirements/documents/cmm4yur1z044ecuqwtn36cfk3/view</t>
        </is>
      </c>
      <c r="AQ484">
        <f>HYPERLÄNK("http://localhost:8787/api/admin/requirements/documents/cmm4yur1z044ecuqwtn36cfk3/view";"Öppna PDF")</f>
        <v/>
      </c>
      <c r="AR484">
        <f>HYPERLINK("http://localhost:8787/api/admin/requirements/documents/cmm4yur1z044ecuqwtn36cfk3/view","Open PDF")</f>
        <v/>
      </c>
      <c r="AS484" t="inlineStr">
        <is>
          <t>cmm55w57p0004cuisfrtpqly8</t>
        </is>
      </c>
      <c r="AT484" t="inlineStr">
        <is>
          <t>cmm4xvu980000cuh4vj0usz09</t>
        </is>
      </c>
      <c r="AU484" t="inlineStr">
        <is>
          <t>i Pajala</t>
        </is>
      </c>
      <c r="AV484" t="inlineStr">
        <is>
          <t>Kommun</t>
        </is>
      </c>
      <c r="AW484" t="inlineStr">
        <is>
          <t>i Pajala kommun</t>
        </is>
      </c>
      <c r="AX484" t="inlineStr">
        <is>
          <t>2013:251</t>
        </is>
      </c>
      <c r="AY484" t="inlineStr">
        <is>
          <t>Beslut</t>
        </is>
      </c>
      <c r="AZ484" t="inlineStr">
        <is>
          <t>2026-02-06</t>
        </is>
      </c>
      <c r="BA484" t="inlineStr">
        <is>
          <t>M-2024-109Beslut om bifall med villkor(29439417).pdf</t>
        </is>
      </c>
      <c r="BB484" t="inlineStr">
        <is>
          <t>Sv: till registrator</t>
        </is>
      </c>
      <c r="BC484" t="inlineStr">
        <is>
          <t>AUTO</t>
        </is>
      </c>
      <c r="BD484" t="inlineStr"/>
      <c r="BE484" t="inlineStr"/>
      <c r="BF484" t="inlineStr">
        <is>
          <t>AUTO_GENERERAD. Bekrafta metadata mot kallfil.</t>
        </is>
      </c>
      <c r="BG484">
        <f>HYPERLINK("C:\Users\jimmy\Desktop\Examens arbete\Kod\Ny mapp\remix_-copy-of-miljöbeslut.se-portal\M-2024-109Beslut om bifall med villkor(29439417).pdf", "Öppna PDF")</f>
        <v/>
      </c>
    </row>
    <row r="485">
      <c r="A485" t="inlineStr">
        <is>
          <t>KRAV-AUTO-000484</t>
        </is>
      </c>
      <c r="B485" t="inlineStr">
        <is>
          <t>ADMIN-INDEX-2026-02-27-00000000125C043F57453246863FE664CAFE6A3F0700950291EA24F0614FB6ACEDB12BF0E31D00000000010C0000950291EA24F0614FB6ACEDB12BF0E31D00002087A5B40000</t>
        </is>
      </c>
      <c r="C485" t="inlineStr">
        <is>
          <t>cmm4yur2p044zcuqwd50bmrv8</t>
        </is>
      </c>
      <c r="D485" t="inlineStr">
        <is>
          <t>http://localhost:8787/api/admin/requirements/documents/cmm4yur2p044zcuqwd50bmrv8/view</t>
        </is>
      </c>
      <c r="E485">
        <f>HYPERLÄNK("http://localhost:8787/api/admin/requirements/documents/cmm4yur2p044zcuqwd50bmrv8/view";"Öppna PDF")</f>
        <v/>
      </c>
      <c r="F485">
        <f>HYPERLINK("http://localhost:8787/api/admin/requirements/documents/cmm4yur2p044zcuqwd50bmrv8/view","Open PDF")</f>
        <v/>
      </c>
      <c r="G485" t="inlineStr">
        <is>
          <t>cmm55w57p0004cuisfrtpqly8</t>
        </is>
      </c>
      <c r="H485" t="inlineStr">
        <is>
          <t>Beslutsvillkor</t>
        </is>
      </c>
      <c r="I485" t="inlineStr">
        <is>
          <t>LagringsvolymTid</t>
        </is>
      </c>
      <c r="J485" t="inlineStr">
        <is>
          <t>Maxmangd</t>
        </is>
      </c>
      <c r="K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anläggningsändamål.</t>
        </is>
      </c>
      <c r="L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t>
        </is>
      </c>
      <c r="M485" t="inlineStr">
        <is>
          <t>SKA</t>
        </is>
      </c>
      <c r="N485" t="inlineStr">
        <is>
          <t>FMH</t>
        </is>
      </c>
      <c r="O485" t="inlineStr"/>
      <c r="P485" t="inlineStr">
        <is>
          <t>Arlig</t>
        </is>
      </c>
      <c r="Q485" t="inlineStr"/>
      <c r="R485" t="inlineStr">
        <is>
          <t>Alltid</t>
        </is>
      </c>
      <c r="S485" t="inlineStr"/>
      <c r="T485" t="inlineStr"/>
      <c r="U485" t="n">
        <v>10</v>
      </c>
      <c r="V485" t="inlineStr"/>
      <c r="W485" t="inlineStr">
        <is>
          <t>Nej</t>
        </is>
      </c>
      <c r="X485" t="inlineStr">
        <is>
          <t>Nej</t>
        </is>
      </c>
      <c r="Y485" t="inlineStr">
        <is>
          <t>Nej</t>
        </is>
      </c>
      <c r="Z485" t="inlineStr">
        <is>
          <t>Nej</t>
        </is>
      </c>
      <c r="AA485" t="n">
        <v>4</v>
      </c>
      <c r="AB485" t="inlineStr">
        <is>
          <t>Avfallsmangder och lagringstid</t>
        </is>
      </c>
      <c r="AC485" t="inlineStr">
        <is>
          <t>Avfallsforteckning</t>
        </is>
      </c>
      <c r="AD485" t="inlineStr">
        <is>
          <t>Nej</t>
        </is>
      </c>
      <c r="AE485" t="inlineStr">
        <is>
          <t>Nej</t>
        </is>
      </c>
      <c r="AF485" t="inlineStr">
        <is>
          <t>Ej behandlad</t>
        </is>
      </c>
      <c r="AG485" t="inlineStr">
        <is>
          <t>AUTO_GENERERAD. Verifiera citat mot kallfil.</t>
        </is>
      </c>
      <c r="AH485" t="inlineStr">
        <is>
          <t>MEDIUM</t>
        </is>
      </c>
      <c r="AI485" t="inlineStr">
        <is>
          <t>AUTO</t>
        </is>
      </c>
      <c r="AJ485" t="inlineStr">
        <is>
          <t>Nej</t>
        </is>
      </c>
      <c r="AK485" t="inlineStr"/>
      <c r="AL485" t="inlineStr"/>
      <c r="AM485" t="inlineStr"/>
      <c r="AN485" t="inlineStr"/>
      <c r="AO485" t="inlineStr">
        <is>
          <t>cmm4yur1z044ecuqwtn36cfk3</t>
        </is>
      </c>
      <c r="AP485" t="inlineStr">
        <is>
          <t>http://localhost:8787/api/admin/requirements/documents/cmm4yur1z044ecuqwtn36cfk3/view</t>
        </is>
      </c>
      <c r="AQ485">
        <f>HYPERLÄNK("http://localhost:8787/api/admin/requirements/documents/cmm4yur1z044ecuqwtn36cfk3/view";"Öppna PDF")</f>
        <v/>
      </c>
      <c r="AR485">
        <f>HYPERLINK("http://localhost:8787/api/admin/requirements/documents/cmm4yur1z044ecuqwtn36cfk3/view","Open PDF")</f>
        <v/>
      </c>
      <c r="AS485" t="inlineStr">
        <is>
          <t>cmm55w57p0004cuisfrtpqly8</t>
        </is>
      </c>
      <c r="AT485" t="inlineStr">
        <is>
          <t>cmm4xvu980000cuh4vj0usz09</t>
        </is>
      </c>
      <c r="AU485" t="inlineStr">
        <is>
          <t>i Pajala</t>
        </is>
      </c>
      <c r="AV485" t="inlineStr">
        <is>
          <t>Kommun</t>
        </is>
      </c>
      <c r="AW485" t="inlineStr">
        <is>
          <t>i Pajala kommun</t>
        </is>
      </c>
      <c r="AX485" t="inlineStr">
        <is>
          <t>2013:251</t>
        </is>
      </c>
      <c r="AY485" t="inlineStr">
        <is>
          <t>Beslut</t>
        </is>
      </c>
      <c r="AZ485" t="inlineStr">
        <is>
          <t>2026-02-06</t>
        </is>
      </c>
      <c r="BA485" t="inlineStr">
        <is>
          <t>M-2024-109Beslut om bifall med villkor(29439417).pdf</t>
        </is>
      </c>
      <c r="BB485" t="inlineStr">
        <is>
          <t>Sv: till registrator</t>
        </is>
      </c>
      <c r="BC485" t="inlineStr">
        <is>
          <t>AUTO</t>
        </is>
      </c>
      <c r="BD485" t="inlineStr"/>
      <c r="BE485" t="inlineStr"/>
      <c r="BF485" t="inlineStr">
        <is>
          <t>AUTO_GENERERAD. Bekrafta metadata mot kallfil.</t>
        </is>
      </c>
      <c r="BG485">
        <f>HYPERLINK("C:\Users\jimmy\Desktop\Examens arbete\Kod\Ny mapp\remix_-copy-of-miljöbeslut.se-portal\M-2024-109Beslut om bifall med villkor(29439417).pdf", "Öppna PDF")</f>
        <v/>
      </c>
    </row>
    <row r="486">
      <c r="A486" t="inlineStr">
        <is>
          <t>KRAV-AUTO-000485</t>
        </is>
      </c>
      <c r="B486" t="inlineStr">
        <is>
          <t>ADMIN-INDEX-2026-02-27-00000000125C043F57453246863FE664CAFE6A3F0700950291EA24F0614FB6ACEDB12BF0E31D00000000010C0000950291EA24F0614FB6ACEDB12BF0E31D00002087A5B40000</t>
        </is>
      </c>
      <c r="C486" t="inlineStr">
        <is>
          <t>cmm4yur2h044tcuqw0jisb5tb</t>
        </is>
      </c>
      <c r="D486" t="inlineStr">
        <is>
          <t>http://localhost:8787/api/admin/requirements/documents/cmm4yur2h044tcuqw0jisb5tb/view</t>
        </is>
      </c>
      <c r="E486">
        <f>HYPERLÄNK("http://localhost:8787/api/admin/requirements/documents/cmm4yur2h044tcuqw0jisb5tb/view";"Öppna PDF")</f>
        <v/>
      </c>
      <c r="F486">
        <f>HYPERLINK("http://localhost:8787/api/admin/requirements/documents/cmm4yur2h044tcuqw0jisb5tb/view","Open PDF")</f>
        <v/>
      </c>
      <c r="G486" t="inlineStr">
        <is>
          <t>cmm55w57p0004cuisfrtpqly8</t>
        </is>
      </c>
      <c r="H486" t="inlineStr">
        <is>
          <t>Kompletteringskrav</t>
        </is>
      </c>
      <c r="I486" t="inlineStr">
        <is>
          <t>Ytkonstruktion</t>
        </is>
      </c>
      <c r="J486" t="inlineStr">
        <is>
          <t>Tat yta</t>
        </is>
      </c>
      <c r="K486" t="inlineStr">
        <is>
          <t>• Bolaget behöver förtydliga hur stor del av den totala angivna mängden morän, dvs 50 000 ton, som ska nyttjas till efterbehandling samt om det kommer påverka antalet transporter från täktområdet.</t>
        </is>
      </c>
      <c r="L486" t="inlineStr">
        <is>
          <t>• Bolaget behöver förtydliga hur stor del av den totala angivna mängden morän, dvs 50 000 ton, som ska nyttjas till efterbehandling samt om det kommer påverka antalet transporter från täktområdet.</t>
        </is>
      </c>
      <c r="M486" t="inlineStr">
        <is>
          <t>SKA</t>
        </is>
      </c>
      <c r="N486" t="inlineStr"/>
      <c r="O486" t="inlineStr"/>
      <c r="P486" t="inlineStr"/>
      <c r="Q486" t="inlineStr"/>
      <c r="R486" t="inlineStr">
        <is>
          <t>Vid mellanlagring av avfall</t>
        </is>
      </c>
      <c r="S486" t="inlineStr"/>
      <c r="T486" t="inlineStr"/>
      <c r="U486" t="n">
        <v>0</v>
      </c>
      <c r="V486" t="inlineStr"/>
      <c r="W486" t="inlineStr">
        <is>
          <t>Ja</t>
        </is>
      </c>
      <c r="X486" t="inlineStr">
        <is>
          <t>Nej</t>
        </is>
      </c>
      <c r="Y486" t="inlineStr">
        <is>
          <t>Nej</t>
        </is>
      </c>
      <c r="Z486" t="inlineStr">
        <is>
          <t>Nej</t>
        </is>
      </c>
      <c r="AA486" t="n">
        <v>5</v>
      </c>
      <c r="AB486" t="inlineStr">
        <is>
          <t>Teknisk beskrivning av platta</t>
        </is>
      </c>
      <c r="AC486" t="inlineStr">
        <is>
          <t>Teknisk ritning platta</t>
        </is>
      </c>
      <c r="AD486" t="inlineStr">
        <is>
          <t>Nej</t>
        </is>
      </c>
      <c r="AE486" t="inlineStr">
        <is>
          <t>Nej</t>
        </is>
      </c>
      <c r="AF486" t="inlineStr">
        <is>
          <t>Ej behandlad</t>
        </is>
      </c>
      <c r="AG486" t="inlineStr">
        <is>
          <t>AUTO_GENERERAD. Verifiera citat mot kallfil.</t>
        </is>
      </c>
      <c r="AH486" t="inlineStr">
        <is>
          <t>MEDIUM</t>
        </is>
      </c>
      <c r="AI486" t="inlineStr">
        <is>
          <t>AUTO</t>
        </is>
      </c>
      <c r="AJ486" t="inlineStr">
        <is>
          <t>Nej</t>
        </is>
      </c>
      <c r="AK486" t="inlineStr"/>
      <c r="AL486" t="inlineStr"/>
      <c r="AM486" t="inlineStr"/>
      <c r="AN486" t="inlineStr"/>
      <c r="AO486" t="inlineStr">
        <is>
          <t>cmm4yur1z044ecuqwtn36cfk3</t>
        </is>
      </c>
      <c r="AP486" t="inlineStr">
        <is>
          <t>http://localhost:8787/api/admin/requirements/documents/cmm4yur1z044ecuqwtn36cfk3/view</t>
        </is>
      </c>
      <c r="AQ486">
        <f>HYPERLÄNK("http://localhost:8787/api/admin/requirements/documents/cmm4yur1z044ecuqwtn36cfk3/view";"Öppna PDF")</f>
        <v/>
      </c>
      <c r="AR486">
        <f>HYPERLINK("http://localhost:8787/api/admin/requirements/documents/cmm4yur1z044ecuqwtn36cfk3/view","Open PDF")</f>
        <v/>
      </c>
      <c r="AS486" t="inlineStr">
        <is>
          <t>cmm55w57p0004cuisfrtpqly8</t>
        </is>
      </c>
      <c r="AT486" t="inlineStr">
        <is>
          <t>cmm4xvu980000cuh4vj0usz09</t>
        </is>
      </c>
      <c r="AU486" t="inlineStr">
        <is>
          <t>i Pajala</t>
        </is>
      </c>
      <c r="AV486" t="inlineStr">
        <is>
          <t>Kommun</t>
        </is>
      </c>
      <c r="AW486" t="inlineStr">
        <is>
          <t>i Pajala kommun</t>
        </is>
      </c>
      <c r="AX486" t="inlineStr">
        <is>
          <t>2013:251</t>
        </is>
      </c>
      <c r="AY486" t="inlineStr">
        <is>
          <t>Beslut</t>
        </is>
      </c>
      <c r="AZ486" t="inlineStr">
        <is>
          <t>2026-02-06</t>
        </is>
      </c>
      <c r="BA486" t="inlineStr">
        <is>
          <t>M-2024-109Beslut om bifall med villkor(29439417).pdf</t>
        </is>
      </c>
      <c r="BB486" t="inlineStr">
        <is>
          <t>Sv: till registrator</t>
        </is>
      </c>
      <c r="BC486" t="inlineStr">
        <is>
          <t>AUTO</t>
        </is>
      </c>
      <c r="BD486" t="inlineStr"/>
      <c r="BE486" t="inlineStr"/>
      <c r="BF486" t="inlineStr">
        <is>
          <t>AUTO_GENERERAD. Bekrafta metadata mot kallfil.</t>
        </is>
      </c>
      <c r="BG486">
        <f>HYPERLINK("C:\Users\jimmy\Desktop\Examens arbete\Kod\Ny mapp\remix_-copy-of-miljöbeslut.se-portal\M-2024-109Beslut om bifall med villkor(29439417).pdf", "Öppna PDF")</f>
        <v/>
      </c>
    </row>
    <row r="487">
      <c r="A487" t="inlineStr">
        <is>
          <t>KRAV-AUTO-000486</t>
        </is>
      </c>
      <c r="B487" t="inlineStr">
        <is>
          <t>ADMIN-INDEX-2026-02-27-00000000125C043F57453246863FE664CAFE6A3F0700950291EA24F0614FB6ACEDB12BF0E31D00000000010C0000950291EA24F0614FB6ACEDB12BF0E31D00002087A5B40000</t>
        </is>
      </c>
      <c r="C487" t="inlineStr">
        <is>
          <t>cmm4yur2h044tcuqw0jisb5tb</t>
        </is>
      </c>
      <c r="D487" t="inlineStr">
        <is>
          <t>http://localhost:8787/api/admin/requirements/documents/cmm4yur2h044tcuqw0jisb5tb/view</t>
        </is>
      </c>
      <c r="E487">
        <f>HYPERLÄNK("http://localhost:8787/api/admin/requirements/documents/cmm4yur2h044tcuqw0jisb5tb/view";"Öppna PDF")</f>
        <v/>
      </c>
      <c r="F487">
        <f>HYPERLINK("http://localhost:8787/api/admin/requirements/documents/cmm4yur2h044tcuqw0jisb5tb/view","Open PDF")</f>
        <v/>
      </c>
      <c r="G487" t="inlineStr">
        <is>
          <t>cmm55w57p0004cuisfrtpqly8</t>
        </is>
      </c>
      <c r="H487" t="inlineStr">
        <is>
          <t>Kompletteringskrav</t>
        </is>
      </c>
      <c r="I487" t="inlineStr">
        <is>
          <t>Ytkonstruktion</t>
        </is>
      </c>
      <c r="J487" t="inlineStr">
        <is>
          <t>Tat yta</t>
        </is>
      </c>
      <c r="K487" t="inlineStr">
        <is>
          <t>Miljöprövningsdelegationen anser att bolaget behöver förtydliga hur stor del av den totala angivna mängden morän, dvs 50 000 ton, som ska nyttjas till efterbehandling samt om det kommer påverka antalet transporter från täktområdet.</t>
        </is>
      </c>
      <c r="L487" t="inlineStr">
        <is>
          <t>Miljöprövningsdelegationen anser att bolaget behöver förtydliga hur stor del av den totala angivna mängden morän, dvs 50 000 ton, som ska nyttjas till efterbehandling samt om det kommer påverka antalet transporter från täktområdet.</t>
        </is>
      </c>
      <c r="M487" t="inlineStr">
        <is>
          <t>SKA</t>
        </is>
      </c>
      <c r="N487" t="inlineStr"/>
      <c r="O487" t="inlineStr"/>
      <c r="P487" t="inlineStr"/>
      <c r="Q487" t="inlineStr"/>
      <c r="R487" t="inlineStr">
        <is>
          <t>Vid mellanlagring av avfall</t>
        </is>
      </c>
      <c r="S487" t="inlineStr"/>
      <c r="T487" t="inlineStr"/>
      <c r="U487" t="n">
        <v>0</v>
      </c>
      <c r="V487" t="inlineStr"/>
      <c r="W487" t="inlineStr">
        <is>
          <t>Ja</t>
        </is>
      </c>
      <c r="X487" t="inlineStr">
        <is>
          <t>Nej</t>
        </is>
      </c>
      <c r="Y487" t="inlineStr">
        <is>
          <t>Nej</t>
        </is>
      </c>
      <c r="Z487" t="inlineStr">
        <is>
          <t>Nej</t>
        </is>
      </c>
      <c r="AA487" t="n">
        <v>5</v>
      </c>
      <c r="AB487" t="inlineStr">
        <is>
          <t>Teknisk beskrivning av platta</t>
        </is>
      </c>
      <c r="AC487" t="inlineStr">
        <is>
          <t>Teknisk ritning platta</t>
        </is>
      </c>
      <c r="AD487" t="inlineStr">
        <is>
          <t>Nej</t>
        </is>
      </c>
      <c r="AE487" t="inlineStr">
        <is>
          <t>Nej</t>
        </is>
      </c>
      <c r="AF487" t="inlineStr">
        <is>
          <t>Ej behandlad</t>
        </is>
      </c>
      <c r="AG487" t="inlineStr">
        <is>
          <t>AUTO_GENERERAD. Verifiera citat mot kallfil.</t>
        </is>
      </c>
      <c r="AH487" t="inlineStr">
        <is>
          <t>MEDIUM</t>
        </is>
      </c>
      <c r="AI487" t="inlineStr">
        <is>
          <t>AUTO</t>
        </is>
      </c>
      <c r="AJ487" t="inlineStr">
        <is>
          <t>Nej</t>
        </is>
      </c>
      <c r="AK487" t="inlineStr"/>
      <c r="AL487" t="inlineStr"/>
      <c r="AM487" t="inlineStr"/>
      <c r="AN487" t="inlineStr"/>
      <c r="AO487" t="inlineStr">
        <is>
          <t>cmm4yur1z044ecuqwtn36cfk3</t>
        </is>
      </c>
      <c r="AP487" t="inlineStr">
        <is>
          <t>http://localhost:8787/api/admin/requirements/documents/cmm4yur1z044ecuqwtn36cfk3/view</t>
        </is>
      </c>
      <c r="AQ487">
        <f>HYPERLÄNK("http://localhost:8787/api/admin/requirements/documents/cmm4yur1z044ecuqwtn36cfk3/view";"Öppna PDF")</f>
        <v/>
      </c>
      <c r="AR487">
        <f>HYPERLINK("http://localhost:8787/api/admin/requirements/documents/cmm4yur1z044ecuqwtn36cfk3/view","Open PDF")</f>
        <v/>
      </c>
      <c r="AS487" t="inlineStr">
        <is>
          <t>cmm55w57p0004cuisfrtpqly8</t>
        </is>
      </c>
      <c r="AT487" t="inlineStr">
        <is>
          <t>cmm4xvu980000cuh4vj0usz09</t>
        </is>
      </c>
      <c r="AU487" t="inlineStr">
        <is>
          <t>i Pajala</t>
        </is>
      </c>
      <c r="AV487" t="inlineStr">
        <is>
          <t>Kommun</t>
        </is>
      </c>
      <c r="AW487" t="inlineStr">
        <is>
          <t>i Pajala kommun</t>
        </is>
      </c>
      <c r="AX487" t="inlineStr">
        <is>
          <t>2013:251</t>
        </is>
      </c>
      <c r="AY487" t="inlineStr">
        <is>
          <t>Beslut</t>
        </is>
      </c>
      <c r="AZ487" t="inlineStr">
        <is>
          <t>2026-02-06</t>
        </is>
      </c>
      <c r="BA487" t="inlineStr">
        <is>
          <t>M-2024-109Beslut om bifall med villkor(29439417).pdf</t>
        </is>
      </c>
      <c r="BB487" t="inlineStr">
        <is>
          <t>Sv: till registrator</t>
        </is>
      </c>
      <c r="BC487" t="inlineStr">
        <is>
          <t>AUTO</t>
        </is>
      </c>
      <c r="BD487" t="inlineStr"/>
      <c r="BE487" t="inlineStr"/>
      <c r="BF487" t="inlineStr">
        <is>
          <t>AUTO_GENERERAD. Bekrafta metadata mot kallfil.</t>
        </is>
      </c>
      <c r="BG487">
        <f>HYPERLINK("C:\Users\jimmy\Desktop\Examens arbete\Kod\Ny mapp\remix_-copy-of-miljöbeslut.se-portal\M-2024-109Beslut om bifall med villkor(29439417).pdf", "Öppna PDF")</f>
        <v/>
      </c>
    </row>
    <row r="488">
      <c r="A488" t="inlineStr">
        <is>
          <t>KRAV-AUTO-000487</t>
        </is>
      </c>
      <c r="B488" t="inlineStr">
        <is>
          <t>ADMIN-INDEX-2026-02-27-00000000125C043F57453246863FE664CAFE6A3F0700950291EA24F0614FB6ACEDB12BF0E31D00000000010C0000950291EA24F0614FB6ACEDB12BF0E31D00002087A5B40000</t>
        </is>
      </c>
      <c r="C488" t="inlineStr">
        <is>
          <t>cmm4yur2d044qcuqwicesib1o</t>
        </is>
      </c>
      <c r="D488" t="inlineStr">
        <is>
          <t>http://localhost:8787/api/admin/requirements/documents/cmm4yur2d044qcuqwicesib1o/view</t>
        </is>
      </c>
      <c r="E488">
        <f>HYPERLÄNK("http://localhost:8787/api/admin/requirements/documents/cmm4yur2d044qcuqwicesib1o/view";"Öppna PDF")</f>
        <v/>
      </c>
      <c r="F488">
        <f>HYPERLINK("http://localhost:8787/api/admin/requirements/documents/cmm4yur2d044qcuqwicesib1o/view","Open PDF")</f>
        <v/>
      </c>
      <c r="G488" t="inlineStr">
        <is>
          <t>cmm55w57p0004cuisfrtpqly8</t>
        </is>
      </c>
      <c r="H488" t="inlineStr">
        <is>
          <t>Beslutsvillkor</t>
        </is>
      </c>
      <c r="I488" t="inlineStr">
        <is>
          <t>Riskhantering</t>
        </is>
      </c>
      <c r="J488" t="inlineStr">
        <is>
          <t>Riskkontroll</t>
        </is>
      </c>
      <c r="K488" t="inlineStr">
        <is>
          <t>Redovisa i så fall vilka utredningar du ska göra och vilka provisoriska villkor som ska gälla under prövotiden.</t>
        </is>
      </c>
      <c r="L488" t="inlineStr">
        <is>
          <t>Redovisa i så fall vilka utredningar du ska göra och vilka provisoriska villkor som ska gälla under prövotiden.</t>
        </is>
      </c>
      <c r="M488" t="inlineStr">
        <is>
          <t>SKA</t>
        </is>
      </c>
      <c r="N488" t="inlineStr"/>
      <c r="O488" t="inlineStr"/>
      <c r="P488" t="inlineStr"/>
      <c r="Q488" t="inlineStr"/>
      <c r="R488" t="inlineStr">
        <is>
          <t>Vid risk for incident</t>
        </is>
      </c>
      <c r="S488" t="inlineStr"/>
      <c r="T488" t="inlineStr">
        <is>
          <t>556143</t>
        </is>
      </c>
      <c r="U488" t="inlineStr"/>
      <c r="V488" t="inlineStr"/>
      <c r="W488" t="inlineStr">
        <is>
          <t>Nej</t>
        </is>
      </c>
      <c r="X488" t="inlineStr">
        <is>
          <t>Nej</t>
        </is>
      </c>
      <c r="Y488" t="inlineStr">
        <is>
          <t>Ja</t>
        </is>
      </c>
      <c r="Z488" t="inlineStr">
        <is>
          <t>Ja</t>
        </is>
      </c>
      <c r="AA488" t="n">
        <v>8</v>
      </c>
      <c r="AB488" t="inlineStr">
        <is>
          <t>Riskhantering</t>
        </is>
      </c>
      <c r="AC488" t="inlineStr">
        <is>
          <t>Risk-PM</t>
        </is>
      </c>
      <c r="AD488" t="inlineStr">
        <is>
          <t>Nej</t>
        </is>
      </c>
      <c r="AE488" t="inlineStr">
        <is>
          <t>Nej</t>
        </is>
      </c>
      <c r="AF488" t="inlineStr">
        <is>
          <t>Ej behandlad</t>
        </is>
      </c>
      <c r="AG488" t="inlineStr">
        <is>
          <t>AUTO_GENERERAD. Verifiera citat mot kallfil.</t>
        </is>
      </c>
      <c r="AH488" t="inlineStr">
        <is>
          <t>MEDIUM</t>
        </is>
      </c>
      <c r="AI488" t="inlineStr">
        <is>
          <t>AUTO</t>
        </is>
      </c>
      <c r="AJ488" t="inlineStr">
        <is>
          <t>Nej</t>
        </is>
      </c>
      <c r="AK488" t="inlineStr"/>
      <c r="AL488" t="inlineStr"/>
      <c r="AM488" t="inlineStr"/>
      <c r="AN488" t="inlineStr"/>
      <c r="AO488" t="inlineStr">
        <is>
          <t>cmm4yur1z044ecuqwtn36cfk3</t>
        </is>
      </c>
      <c r="AP488" t="inlineStr">
        <is>
          <t>http://localhost:8787/api/admin/requirements/documents/cmm4yur1z044ecuqwtn36cfk3/view</t>
        </is>
      </c>
      <c r="AQ488">
        <f>HYPERLÄNK("http://localhost:8787/api/admin/requirements/documents/cmm4yur1z044ecuqwtn36cfk3/view";"Öppna PDF")</f>
        <v/>
      </c>
      <c r="AR488">
        <f>HYPERLINK("http://localhost:8787/api/admin/requirements/documents/cmm4yur1z044ecuqwtn36cfk3/view","Open PDF")</f>
        <v/>
      </c>
      <c r="AS488" t="inlineStr">
        <is>
          <t>cmm55w57p0004cuisfrtpqly8</t>
        </is>
      </c>
      <c r="AT488" t="inlineStr">
        <is>
          <t>cmm4xvu980000cuh4vj0usz09</t>
        </is>
      </c>
      <c r="AU488" t="inlineStr">
        <is>
          <t>i Pajala</t>
        </is>
      </c>
      <c r="AV488" t="inlineStr">
        <is>
          <t>Kommun</t>
        </is>
      </c>
      <c r="AW488" t="inlineStr">
        <is>
          <t>i Pajala kommun</t>
        </is>
      </c>
      <c r="AX488" t="inlineStr">
        <is>
          <t>2013:251</t>
        </is>
      </c>
      <c r="AY488" t="inlineStr">
        <is>
          <t>Beslut</t>
        </is>
      </c>
      <c r="AZ488" t="inlineStr">
        <is>
          <t>2026-02-06</t>
        </is>
      </c>
      <c r="BA488" t="inlineStr">
        <is>
          <t>M-2024-109Beslut om bifall med villkor(29439417).pdf</t>
        </is>
      </c>
      <c r="BB488" t="inlineStr">
        <is>
          <t>Sv: till registrator</t>
        </is>
      </c>
      <c r="BC488" t="inlineStr">
        <is>
          <t>AUTO</t>
        </is>
      </c>
      <c r="BD488" t="inlineStr"/>
      <c r="BE488" t="inlineStr"/>
      <c r="BF488" t="inlineStr">
        <is>
          <t>AUTO_GENERERAD. Bekrafta metadata mot kallfil.</t>
        </is>
      </c>
      <c r="BG488">
        <f>HYPERLINK("C:\Users\jimmy\Desktop\Examens arbete\Kod\Ny mapp\remix_-copy-of-miljöbeslut.se-portal\M-2024-109Beslut om bifall med villkor(29439417).pdf", "Öppna PDF")</f>
        <v/>
      </c>
    </row>
    <row r="489">
      <c r="A489" t="inlineStr">
        <is>
          <t>KRAV-AUTO-000488</t>
        </is>
      </c>
      <c r="B489" t="inlineStr">
        <is>
          <t>ADMIN-INDEX-2026-02-27-00000000125C043F57453246863FE664CAFE6A3F0700950291EA24F0614FB6ACEDB12BF0E31D00000000010C0000950291EA24F0614FB6ACEDB12BF0E31D00002087A5B40000</t>
        </is>
      </c>
      <c r="C489" t="inlineStr">
        <is>
          <t>cmm4yur2d044qcuqwicesib1o</t>
        </is>
      </c>
      <c r="D489" t="inlineStr">
        <is>
          <t>http://localhost:8787/api/admin/requirements/documents/cmm4yur2d044qcuqwicesib1o/view</t>
        </is>
      </c>
      <c r="E489">
        <f>HYPERLÄNK("http://localhost:8787/api/admin/requirements/documents/cmm4yur2d044qcuqwicesib1o/view";"Öppna PDF")</f>
        <v/>
      </c>
      <c r="F489">
        <f>HYPERLINK("http://localhost:8787/api/admin/requirements/documents/cmm4yur2d044qcuqwicesib1o/view","Open PDF")</f>
        <v/>
      </c>
      <c r="G489" t="inlineStr">
        <is>
          <t>cmm55w57p0004cuisfrtpqly8</t>
        </is>
      </c>
      <c r="H489" t="inlineStr">
        <is>
          <t>Beslutsvillkor</t>
        </is>
      </c>
      <c r="I489" t="inlineStr">
        <is>
          <t>Riskhantering</t>
        </is>
      </c>
      <c r="J489" t="inlineStr">
        <is>
          <t>Riskkontroll</t>
        </is>
      </c>
      <c r="K489" t="inlineStr">
        <is>
          <t>Spillskydd och absorptionsmedel skall användas vid arbetsmoment som kan innebära risk för spill av oljeprodukter.</t>
        </is>
      </c>
      <c r="L489" t="inlineStr">
        <is>
          <t>Spillskydd och absorptionsmedel skall användas vid arbetsmoment som kan innebära risk för spill av oljeprodukter.</t>
        </is>
      </c>
      <c r="M489" t="inlineStr">
        <is>
          <t>SKA</t>
        </is>
      </c>
      <c r="N489" t="inlineStr"/>
      <c r="O489" t="inlineStr"/>
      <c r="P489" t="inlineStr"/>
      <c r="Q489" t="inlineStr"/>
      <c r="R489" t="inlineStr">
        <is>
          <t>Vid risk for incident</t>
        </is>
      </c>
      <c r="S489" t="inlineStr"/>
      <c r="T489" t="inlineStr">
        <is>
          <t>556143</t>
        </is>
      </c>
      <c r="U489" t="inlineStr"/>
      <c r="V489" t="inlineStr"/>
      <c r="W489" t="inlineStr">
        <is>
          <t>Nej</t>
        </is>
      </c>
      <c r="X489" t="inlineStr">
        <is>
          <t>Nej</t>
        </is>
      </c>
      <c r="Y489" t="inlineStr">
        <is>
          <t>Ja</t>
        </is>
      </c>
      <c r="Z489" t="inlineStr">
        <is>
          <t>Ja</t>
        </is>
      </c>
      <c r="AA489" t="n">
        <v>8</v>
      </c>
      <c r="AB489" t="inlineStr">
        <is>
          <t>Riskhantering</t>
        </is>
      </c>
      <c r="AC489" t="inlineStr">
        <is>
          <t>Risk-PM</t>
        </is>
      </c>
      <c r="AD489" t="inlineStr">
        <is>
          <t>Nej</t>
        </is>
      </c>
      <c r="AE489" t="inlineStr">
        <is>
          <t>Nej</t>
        </is>
      </c>
      <c r="AF489" t="inlineStr">
        <is>
          <t>Ej behandlad</t>
        </is>
      </c>
      <c r="AG489" t="inlineStr">
        <is>
          <t>AUTO_GENERERAD. Verifiera citat mot kallfil.</t>
        </is>
      </c>
      <c r="AH489" t="inlineStr">
        <is>
          <t>MEDIUM</t>
        </is>
      </c>
      <c r="AI489" t="inlineStr">
        <is>
          <t>AUTO</t>
        </is>
      </c>
      <c r="AJ489" t="inlineStr">
        <is>
          <t>Nej</t>
        </is>
      </c>
      <c r="AK489" t="inlineStr"/>
      <c r="AL489" t="inlineStr"/>
      <c r="AM489" t="inlineStr"/>
      <c r="AN489" t="inlineStr"/>
      <c r="AO489" t="inlineStr">
        <is>
          <t>cmm4yur1z044ecuqwtn36cfk3</t>
        </is>
      </c>
      <c r="AP489" t="inlineStr">
        <is>
          <t>http://localhost:8787/api/admin/requirements/documents/cmm4yur1z044ecuqwtn36cfk3/view</t>
        </is>
      </c>
      <c r="AQ489">
        <f>HYPERLÄNK("http://localhost:8787/api/admin/requirements/documents/cmm4yur1z044ecuqwtn36cfk3/view";"Öppna PDF")</f>
        <v/>
      </c>
      <c r="AR489">
        <f>HYPERLINK("http://localhost:8787/api/admin/requirements/documents/cmm4yur1z044ecuqwtn36cfk3/view","Open PDF")</f>
        <v/>
      </c>
      <c r="AS489" t="inlineStr">
        <is>
          <t>cmm55w57p0004cuisfrtpqly8</t>
        </is>
      </c>
      <c r="AT489" t="inlineStr">
        <is>
          <t>cmm4xvu980000cuh4vj0usz09</t>
        </is>
      </c>
      <c r="AU489" t="inlineStr">
        <is>
          <t>i Pajala</t>
        </is>
      </c>
      <c r="AV489" t="inlineStr">
        <is>
          <t>Kommun</t>
        </is>
      </c>
      <c r="AW489" t="inlineStr">
        <is>
          <t>i Pajala kommun</t>
        </is>
      </c>
      <c r="AX489" t="inlineStr">
        <is>
          <t>2013:251</t>
        </is>
      </c>
      <c r="AY489" t="inlineStr">
        <is>
          <t>Beslut</t>
        </is>
      </c>
      <c r="AZ489" t="inlineStr">
        <is>
          <t>2026-02-06</t>
        </is>
      </c>
      <c r="BA489" t="inlineStr">
        <is>
          <t>M-2024-109Beslut om bifall med villkor(29439417).pdf</t>
        </is>
      </c>
      <c r="BB489" t="inlineStr">
        <is>
          <t>Sv: till registrator</t>
        </is>
      </c>
      <c r="BC489" t="inlineStr">
        <is>
          <t>AUTO</t>
        </is>
      </c>
      <c r="BD489" t="inlineStr"/>
      <c r="BE489" t="inlineStr"/>
      <c r="BF489" t="inlineStr">
        <is>
          <t>AUTO_GENERERAD. Bekrafta metadata mot kallfil.</t>
        </is>
      </c>
      <c r="BG489">
        <f>HYPERLINK("C:\Users\jimmy\Desktop\Examens arbete\Kod\Ny mapp\remix_-copy-of-miljöbeslut.se-portal\M-2024-109Beslut om bifall med villkor(29439417).pdf", "Öppna PDF")</f>
        <v/>
      </c>
    </row>
    <row r="490">
      <c r="A490" t="inlineStr">
        <is>
          <t>KRAV-AUTO-000489</t>
        </is>
      </c>
      <c r="B490" t="inlineStr">
        <is>
          <t>ADMIN-INDEX-2026-02-27-00000000125C043F57453246863FE664CAFE6A3F0700950291EA24F0614FB6ACEDB12BF0E31D00000000010C0000950291EA24F0614FB6ACEDB12BF0E31D00002087A5B40000</t>
        </is>
      </c>
      <c r="C490" t="inlineStr">
        <is>
          <t>cmm4yur2d044qcuqwicesib1o</t>
        </is>
      </c>
      <c r="D490" t="inlineStr">
        <is>
          <t>http://localhost:8787/api/admin/requirements/documents/cmm4yur2d044qcuqwicesib1o/view</t>
        </is>
      </c>
      <c r="E490">
        <f>HYPERLÄNK("http://localhost:8787/api/admin/requirements/documents/cmm4yur2d044qcuqwicesib1o/view";"Öppna PDF")</f>
        <v/>
      </c>
      <c r="F490">
        <f>HYPERLINK("http://localhost:8787/api/admin/requirements/documents/cmm4yur2d044qcuqwicesib1o/view","Open PDF")</f>
        <v/>
      </c>
      <c r="G490" t="inlineStr">
        <is>
          <t>cmm55w57p0004cuisfrtpqly8</t>
        </is>
      </c>
      <c r="H490" t="inlineStr">
        <is>
          <t>Beslutsvillkor</t>
        </is>
      </c>
      <c r="I490" t="inlineStr">
        <is>
          <t>DriftEgenkontroll</t>
        </is>
      </c>
      <c r="J490" t="inlineStr">
        <is>
          <t>Journalforing</t>
        </is>
      </c>
      <c r="K490" t="inlineStr">
        <is>
          <t>Ett förslag till kontrollprogram skall lämnas till tillsynsmyndigheten senast tre månader efter att detta beslut tagits i anspråk.</t>
        </is>
      </c>
      <c r="L490" t="inlineStr">
        <is>
          <t>Ett förslag till kontrollprogram skall lämnas till tillsynsmyndigheten senast tre månader efter att detta beslut tagits i anspråk.</t>
        </is>
      </c>
      <c r="M490" t="inlineStr">
        <is>
          <t>SKA</t>
        </is>
      </c>
      <c r="N490" t="inlineStr"/>
      <c r="O490" t="inlineStr">
        <is>
          <t>senast tre manader efter att detta be</t>
        </is>
      </c>
      <c r="P490" t="inlineStr">
        <is>
          <t>Manadskontroll</t>
        </is>
      </c>
      <c r="Q490" t="inlineStr"/>
      <c r="R490" t="inlineStr">
        <is>
          <t>Lopande drift</t>
        </is>
      </c>
      <c r="S490" t="inlineStr"/>
      <c r="T490" t="inlineStr">
        <is>
          <t>556143</t>
        </is>
      </c>
      <c r="U490" t="inlineStr"/>
      <c r="V490" t="inlineStr"/>
      <c r="W490" t="inlineStr">
        <is>
          <t>Nej</t>
        </is>
      </c>
      <c r="X490" t="inlineStr">
        <is>
          <t>Nej</t>
        </is>
      </c>
      <c r="Y490" t="inlineStr">
        <is>
          <t>Ja</t>
        </is>
      </c>
      <c r="Z490" t="inlineStr">
        <is>
          <t>Nej</t>
        </is>
      </c>
      <c r="AA490" t="n">
        <v>7</v>
      </c>
      <c r="AB490" t="inlineStr">
        <is>
          <t>Egenkontrollrutiner</t>
        </is>
      </c>
      <c r="AC490" t="inlineStr">
        <is>
          <t>Egenkontrollprogram</t>
        </is>
      </c>
      <c r="AD490" t="inlineStr">
        <is>
          <t>Nej</t>
        </is>
      </c>
      <c r="AE490" t="inlineStr">
        <is>
          <t>Nej</t>
        </is>
      </c>
      <c r="AF490" t="inlineStr">
        <is>
          <t>Ej behandlad</t>
        </is>
      </c>
      <c r="AG490" t="inlineStr">
        <is>
          <t>AUTO_GENERERAD. Verifiera citat mot kallfil.</t>
        </is>
      </c>
      <c r="AH490" t="inlineStr">
        <is>
          <t>MEDIUM</t>
        </is>
      </c>
      <c r="AI490" t="inlineStr">
        <is>
          <t>AUTO</t>
        </is>
      </c>
      <c r="AJ490" t="inlineStr">
        <is>
          <t>Nej</t>
        </is>
      </c>
      <c r="AK490" t="inlineStr"/>
      <c r="AL490" t="inlineStr"/>
      <c r="AM490" t="inlineStr"/>
      <c r="AN490" t="inlineStr"/>
      <c r="AO490" t="inlineStr">
        <is>
          <t>cmm4yur1z044ecuqwtn36cfk3</t>
        </is>
      </c>
      <c r="AP490" t="inlineStr">
        <is>
          <t>http://localhost:8787/api/admin/requirements/documents/cmm4yur1z044ecuqwtn36cfk3/view</t>
        </is>
      </c>
      <c r="AQ490">
        <f>HYPERLÄNK("http://localhost:8787/api/admin/requirements/documents/cmm4yur1z044ecuqwtn36cfk3/view";"Öppna PDF")</f>
        <v/>
      </c>
      <c r="AR490">
        <f>HYPERLINK("http://localhost:8787/api/admin/requirements/documents/cmm4yur1z044ecuqwtn36cfk3/view","Open PDF")</f>
        <v/>
      </c>
      <c r="AS490" t="inlineStr">
        <is>
          <t>cmm55w57p0004cuisfrtpqly8</t>
        </is>
      </c>
      <c r="AT490" t="inlineStr">
        <is>
          <t>cmm4xvu980000cuh4vj0usz09</t>
        </is>
      </c>
      <c r="AU490" t="inlineStr">
        <is>
          <t>i Pajala</t>
        </is>
      </c>
      <c r="AV490" t="inlineStr">
        <is>
          <t>Kommun</t>
        </is>
      </c>
      <c r="AW490" t="inlineStr">
        <is>
          <t>i Pajala kommun</t>
        </is>
      </c>
      <c r="AX490" t="inlineStr">
        <is>
          <t>2013:251</t>
        </is>
      </c>
      <c r="AY490" t="inlineStr">
        <is>
          <t>Beslut</t>
        </is>
      </c>
      <c r="AZ490" t="inlineStr">
        <is>
          <t>2026-02-06</t>
        </is>
      </c>
      <c r="BA490" t="inlineStr">
        <is>
          <t>M-2024-109Beslut om bifall med villkor(29439417).pdf</t>
        </is>
      </c>
      <c r="BB490" t="inlineStr">
        <is>
          <t>Sv: till registrator</t>
        </is>
      </c>
      <c r="BC490" t="inlineStr">
        <is>
          <t>AUTO</t>
        </is>
      </c>
      <c r="BD490" t="inlineStr"/>
      <c r="BE490" t="inlineStr"/>
      <c r="BF490" t="inlineStr">
        <is>
          <t>AUTO_GENERERAD. Bekrafta metadata mot kallfil.</t>
        </is>
      </c>
      <c r="BG490">
        <f>HYPERLINK("C:\Users\jimmy\Desktop\Examens arbete\Kod\Ny mapp\remix_-copy-of-miljöbeslut.se-portal\M-2024-109Beslut om bifall med villkor(29439417).pdf", "Öppna PDF")</f>
        <v/>
      </c>
    </row>
    <row r="491">
      <c r="A491" t="inlineStr">
        <is>
          <t>KRAV-AUTO-000490</t>
        </is>
      </c>
      <c r="B491" t="inlineStr">
        <is>
          <t>ADMIN-INDEX-2026-02-27-00000000125C043F57453246863FE664CAFE6A3F0700950291EA24F0614FB6ACEDB12BF0E31D00000000010C0000950291EA24F0614FB6ACEDB12BF0E31D00002087A5B40000</t>
        </is>
      </c>
      <c r="C491" t="inlineStr">
        <is>
          <t>cmm4yur1w044bcuqwyzt0dug7</t>
        </is>
      </c>
      <c r="D491" t="inlineStr">
        <is>
          <t>http://localhost:8787/api/admin/requirements/documents/cmm4yur1w044bcuqwyzt0dug7/view</t>
        </is>
      </c>
      <c r="E491">
        <f>HYPERLÄNK("http://localhost:8787/api/admin/requirements/documents/cmm4yur1w044bcuqwyzt0dug7/view";"Öppna PDF")</f>
        <v/>
      </c>
      <c r="F491">
        <f>HYPERLINK("http://localhost:8787/api/admin/requirements/documents/cmm4yur1w044bcuqwyzt0dug7/view","Open PDF")</f>
        <v/>
      </c>
      <c r="G491" t="inlineStr">
        <is>
          <t>cmm55w57p0004cuisfrtpqly8</t>
        </is>
      </c>
      <c r="H491" t="inlineStr">
        <is>
          <t>Beslutsvillkor</t>
        </is>
      </c>
      <c r="I491" t="inlineStr">
        <is>
          <t>Ytkonstruktion</t>
        </is>
      </c>
      <c r="J491" t="inlineStr">
        <is>
          <t>Tat yta</t>
        </is>
      </c>
      <c r="K491" t="inlineStr">
        <is>
          <t>Petroleumprodukter och andra för grund- och ytvattnet skadliga ämnen ska hanteras och förvaras på hårdgjord invallad yta som ska skyddas mot nederbörd.</t>
        </is>
      </c>
      <c r="L491" t="inlineStr">
        <is>
          <t>Petroleumprodukter och andra för grund- och ytvattnet skadliga ämnen ska hanteras och förvaras på hårdgjord invallad yta som ska skyddas mot nederbörd.</t>
        </is>
      </c>
      <c r="M491" t="inlineStr">
        <is>
          <t>SKA</t>
        </is>
      </c>
      <c r="N491" t="inlineStr"/>
      <c r="O491" t="inlineStr"/>
      <c r="P491" t="inlineStr"/>
      <c r="Q491" t="inlineStr"/>
      <c r="R491" t="inlineStr">
        <is>
          <t>Vid mellanlagring av avfall</t>
        </is>
      </c>
      <c r="S491" t="inlineStr"/>
      <c r="T491" t="inlineStr">
        <is>
          <t>864128</t>
        </is>
      </c>
      <c r="U491" t="inlineStr"/>
      <c r="V491" t="inlineStr"/>
      <c r="W491" t="inlineStr">
        <is>
          <t>Ja</t>
        </is>
      </c>
      <c r="X491" t="inlineStr">
        <is>
          <t>Nej</t>
        </is>
      </c>
      <c r="Y491" t="inlineStr">
        <is>
          <t>Nej</t>
        </is>
      </c>
      <c r="Z491" t="inlineStr">
        <is>
          <t>Nej</t>
        </is>
      </c>
      <c r="AA491" t="n">
        <v>5</v>
      </c>
      <c r="AB491" t="inlineStr">
        <is>
          <t>Teknisk beskrivning av platta</t>
        </is>
      </c>
      <c r="AC491" t="inlineStr">
        <is>
          <t>Teknisk ritning platta</t>
        </is>
      </c>
      <c r="AD491" t="inlineStr">
        <is>
          <t>Nej</t>
        </is>
      </c>
      <c r="AE491" t="inlineStr">
        <is>
          <t>Nej</t>
        </is>
      </c>
      <c r="AF491" t="inlineStr">
        <is>
          <t>Ej behandlad</t>
        </is>
      </c>
      <c r="AG491" t="inlineStr">
        <is>
          <t>AUTO_GENERERAD. Verifiera citat mot kallfil.</t>
        </is>
      </c>
      <c r="AH491" t="inlineStr">
        <is>
          <t>MEDIUM</t>
        </is>
      </c>
      <c r="AI491" t="inlineStr">
        <is>
          <t>AUTO</t>
        </is>
      </c>
      <c r="AJ491" t="inlineStr">
        <is>
          <t>Nej</t>
        </is>
      </c>
      <c r="AK491" t="inlineStr"/>
      <c r="AL491" t="inlineStr"/>
      <c r="AM491" t="inlineStr"/>
      <c r="AN491" t="inlineStr"/>
      <c r="AO491" t="inlineStr">
        <is>
          <t>cmm4yur1z044ecuqwtn36cfk3</t>
        </is>
      </c>
      <c r="AP491" t="inlineStr">
        <is>
          <t>http://localhost:8787/api/admin/requirements/documents/cmm4yur1z044ecuqwtn36cfk3/view</t>
        </is>
      </c>
      <c r="AQ491">
        <f>HYPERLÄNK("http://localhost:8787/api/admin/requirements/documents/cmm4yur1z044ecuqwtn36cfk3/view";"Öppna PDF")</f>
        <v/>
      </c>
      <c r="AR491">
        <f>HYPERLINK("http://localhost:8787/api/admin/requirements/documents/cmm4yur1z044ecuqwtn36cfk3/view","Open PDF")</f>
        <v/>
      </c>
      <c r="AS491" t="inlineStr">
        <is>
          <t>cmm55w57p0004cuisfrtpqly8</t>
        </is>
      </c>
      <c r="AT491" t="inlineStr">
        <is>
          <t>cmm4xvu980000cuh4vj0usz09</t>
        </is>
      </c>
      <c r="AU491" t="inlineStr">
        <is>
          <t>i Pajala</t>
        </is>
      </c>
      <c r="AV491" t="inlineStr">
        <is>
          <t>Kommun</t>
        </is>
      </c>
      <c r="AW491" t="inlineStr">
        <is>
          <t>i Pajala kommun</t>
        </is>
      </c>
      <c r="AX491" t="inlineStr">
        <is>
          <t>2013:251</t>
        </is>
      </c>
      <c r="AY491" t="inlineStr">
        <is>
          <t>Beslut</t>
        </is>
      </c>
      <c r="AZ491" t="inlineStr">
        <is>
          <t>2026-02-06</t>
        </is>
      </c>
      <c r="BA491" t="inlineStr">
        <is>
          <t>M-2024-109Beslut om bifall med villkor(29439417).pdf</t>
        </is>
      </c>
      <c r="BB491" t="inlineStr">
        <is>
          <t>Sv: till registrator</t>
        </is>
      </c>
      <c r="BC491" t="inlineStr">
        <is>
          <t>AUTO</t>
        </is>
      </c>
      <c r="BD491" t="inlineStr"/>
      <c r="BE491" t="inlineStr"/>
      <c r="BF491" t="inlineStr">
        <is>
          <t>AUTO_GENERERAD. Bekrafta metadata mot kallfil.</t>
        </is>
      </c>
      <c r="BG491">
        <f>HYPERLINK("C:\Users\jimmy\Desktop\Examens arbete\Kod\Ny mapp\remix_-copy-of-miljöbeslut.se-portal\M-2024-109Beslut om bifall med villkor(29439417).pdf", "Öppna PDF")</f>
        <v/>
      </c>
    </row>
    <row r="492">
      <c r="A492" t="inlineStr">
        <is>
          <t>KRAV-AUTO-000491</t>
        </is>
      </c>
      <c r="B492" t="inlineStr">
        <is>
          <t>ADMIN-INDEX-2026-02-27-00000000125C043F57453246863FE664CAFE6A3F0700950291EA24F0614FB6ACEDB12BF0E31D00000000010C0000950291EA24F0614FB6ACEDB12BF0E31D00002087A5B40000</t>
        </is>
      </c>
      <c r="C492" t="inlineStr">
        <is>
          <t>cmm4yur1w044bcuqwyzt0dug7</t>
        </is>
      </c>
      <c r="D492" t="inlineStr">
        <is>
          <t>http://localhost:8787/api/admin/requirements/documents/cmm4yur1w044bcuqwyzt0dug7/view</t>
        </is>
      </c>
      <c r="E492">
        <f>HYPERLÄNK("http://localhost:8787/api/admin/requirements/documents/cmm4yur1w044bcuqwyzt0dug7/view";"Öppna PDF")</f>
        <v/>
      </c>
      <c r="F492">
        <f>HYPERLINK("http://localhost:8787/api/admin/requirements/documents/cmm4yur1w044bcuqwyzt0dug7/view","Open PDF")</f>
        <v/>
      </c>
      <c r="G492" t="inlineStr">
        <is>
          <t>cmm55w57p0004cuisfrtpqly8</t>
        </is>
      </c>
      <c r="H492" t="inlineStr">
        <is>
          <t>Beslutsvillkor</t>
        </is>
      </c>
      <c r="I492" t="inlineStr">
        <is>
          <t>LagringsvolymTid</t>
        </is>
      </c>
      <c r="J492" t="inlineStr">
        <is>
          <t>Maxmangd</t>
        </is>
      </c>
      <c r="K492" t="inlineStr">
        <is>
          <t>- Mellanlagring av högst 1 500 ton mesakalk och 1 500 ton riven asfalt vid något enskilt tillfälle, högst ett år om det ska bortskaffas eller högst tre år om avfallet ska återvinnas eller behandlas inom anläggningen.</t>
        </is>
      </c>
      <c r="L492" t="inlineStr">
        <is>
          <t>- Mellanlagring av högst 1 500 ton mesakalk och 1 500 ton riven asfalt vid något enskilt tillfälle, högst ett år om det ska bortskaffas eller högst tre år om avfallet ska återvinnas eller behandlas inom anläggningen.</t>
        </is>
      </c>
      <c r="M492" t="inlineStr">
        <is>
          <t>SKA</t>
        </is>
      </c>
      <c r="N492" t="inlineStr"/>
      <c r="O492" t="inlineStr"/>
      <c r="P492" t="inlineStr"/>
      <c r="Q492" t="inlineStr"/>
      <c r="R492" t="inlineStr">
        <is>
          <t>Alltid</t>
        </is>
      </c>
      <c r="S492" t="inlineStr"/>
      <c r="T492" t="inlineStr">
        <is>
          <t>864128</t>
        </is>
      </c>
      <c r="U492" t="n">
        <v>500</v>
      </c>
      <c r="V492" t="inlineStr"/>
      <c r="W492" t="inlineStr">
        <is>
          <t>Nej</t>
        </is>
      </c>
      <c r="X492" t="inlineStr">
        <is>
          <t>Nej</t>
        </is>
      </c>
      <c r="Y492" t="inlineStr">
        <is>
          <t>Nej</t>
        </is>
      </c>
      <c r="Z492" t="inlineStr">
        <is>
          <t>Nej</t>
        </is>
      </c>
      <c r="AA492" t="n">
        <v>4</v>
      </c>
      <c r="AB492" t="inlineStr">
        <is>
          <t>Avfallsmangder och lagringstid</t>
        </is>
      </c>
      <c r="AC492" t="inlineStr">
        <is>
          <t>Avfallsforteckning</t>
        </is>
      </c>
      <c r="AD492" t="inlineStr">
        <is>
          <t>Nej</t>
        </is>
      </c>
      <c r="AE492" t="inlineStr">
        <is>
          <t>Nej</t>
        </is>
      </c>
      <c r="AF492" t="inlineStr">
        <is>
          <t>Ej behandlad</t>
        </is>
      </c>
      <c r="AG492" t="inlineStr">
        <is>
          <t>AUTO_GENERERAD. Verifiera citat mot kallfil.</t>
        </is>
      </c>
      <c r="AH492" t="inlineStr">
        <is>
          <t>MEDIUM</t>
        </is>
      </c>
      <c r="AI492" t="inlineStr">
        <is>
          <t>AUTO</t>
        </is>
      </c>
      <c r="AJ492" t="inlineStr">
        <is>
          <t>Nej</t>
        </is>
      </c>
      <c r="AK492" t="inlineStr"/>
      <c r="AL492" t="inlineStr"/>
      <c r="AM492" t="inlineStr"/>
      <c r="AN492" t="inlineStr"/>
      <c r="AO492" t="inlineStr">
        <is>
          <t>cmm4yur1z044ecuqwtn36cfk3</t>
        </is>
      </c>
      <c r="AP492" t="inlineStr">
        <is>
          <t>http://localhost:8787/api/admin/requirements/documents/cmm4yur1z044ecuqwtn36cfk3/view</t>
        </is>
      </c>
      <c r="AQ492">
        <f>HYPERLÄNK("http://localhost:8787/api/admin/requirements/documents/cmm4yur1z044ecuqwtn36cfk3/view";"Öppna PDF")</f>
        <v/>
      </c>
      <c r="AR492">
        <f>HYPERLINK("http://localhost:8787/api/admin/requirements/documents/cmm4yur1z044ecuqwtn36cfk3/view","Open PDF")</f>
        <v/>
      </c>
      <c r="AS492" t="inlineStr">
        <is>
          <t>cmm55w57p0004cuisfrtpqly8</t>
        </is>
      </c>
      <c r="AT492" t="inlineStr">
        <is>
          <t>cmm4xvu980000cuh4vj0usz09</t>
        </is>
      </c>
      <c r="AU492" t="inlineStr">
        <is>
          <t>i Pajala</t>
        </is>
      </c>
      <c r="AV492" t="inlineStr">
        <is>
          <t>Kommun</t>
        </is>
      </c>
      <c r="AW492" t="inlineStr">
        <is>
          <t>i Pajala kommun</t>
        </is>
      </c>
      <c r="AX492" t="inlineStr">
        <is>
          <t>2013:251</t>
        </is>
      </c>
      <c r="AY492" t="inlineStr">
        <is>
          <t>Beslut</t>
        </is>
      </c>
      <c r="AZ492" t="inlineStr">
        <is>
          <t>2026-02-06</t>
        </is>
      </c>
      <c r="BA492" t="inlineStr">
        <is>
          <t>M-2024-109Beslut om bifall med villkor(29439417).pdf</t>
        </is>
      </c>
      <c r="BB492" t="inlineStr">
        <is>
          <t>Sv: till registrator</t>
        </is>
      </c>
      <c r="BC492" t="inlineStr">
        <is>
          <t>AUTO</t>
        </is>
      </c>
      <c r="BD492" t="inlineStr"/>
      <c r="BE492" t="inlineStr"/>
      <c r="BF492" t="inlineStr">
        <is>
          <t>AUTO_GENERERAD. Bekrafta metadata mot kallfil.</t>
        </is>
      </c>
      <c r="BG492">
        <f>HYPERLINK("C:\Users\jimmy\Desktop\Examens arbete\Kod\Ny mapp\remix_-copy-of-miljöbeslut.se-portal\M-2024-109Beslut om bifall med villkor(29439417).pdf", "Öppna PDF")</f>
        <v/>
      </c>
    </row>
    <row r="493">
      <c r="A493" t="inlineStr">
        <is>
          <t>KRAV-AUTO-000492</t>
        </is>
      </c>
      <c r="B493" t="inlineStr">
        <is>
          <t>ADMIN-INDEX-2026-02-27-00000000125C043F57453246863FE664CAFE6A3F0700950291EA24F0614FB6ACEDB12BF0E31D00000000010C0000950291EA24F0614FB6ACEDB12BF0E31D00002087A5B40000</t>
        </is>
      </c>
      <c r="C493" t="inlineStr">
        <is>
          <t>cmm4yur1w044bcuqwyzt0dug7</t>
        </is>
      </c>
      <c r="D493" t="inlineStr">
        <is>
          <t>http://localhost:8787/api/admin/requirements/documents/cmm4yur1w044bcuqwyzt0dug7/view</t>
        </is>
      </c>
      <c r="E493">
        <f>HYPERLÄNK("http://localhost:8787/api/admin/requirements/documents/cmm4yur1w044bcuqwyzt0dug7/view";"Öppna PDF")</f>
        <v/>
      </c>
      <c r="F493">
        <f>HYPERLINK("http://localhost:8787/api/admin/requirements/documents/cmm4yur1w044bcuqwyzt0dug7/view","Open PDF")</f>
        <v/>
      </c>
      <c r="G493" t="inlineStr">
        <is>
          <t>cmm55w57p0004cuisfrtpqly8</t>
        </is>
      </c>
      <c r="H493" t="inlineStr">
        <is>
          <t>Beslutsvillkor</t>
        </is>
      </c>
      <c r="I493" t="inlineStr">
        <is>
          <t>Ytkonstruktion</t>
        </is>
      </c>
      <c r="J493" t="inlineStr">
        <is>
          <t>Tat yta</t>
        </is>
      </c>
      <c r="K493" t="inlineStr">
        <is>
          <t>Invallningen ska utföras så att den volym som behållarna innehåller kan samlas upp vid läckage.</t>
        </is>
      </c>
      <c r="L493" t="inlineStr">
        <is>
          <t>Invallningen ska utföras så att den volym som behållarna innehåller kan samlas upp vid läckage.</t>
        </is>
      </c>
      <c r="M493" t="inlineStr">
        <is>
          <t>SKA</t>
        </is>
      </c>
      <c r="N493" t="inlineStr"/>
      <c r="O493" t="inlineStr"/>
      <c r="P493" t="inlineStr"/>
      <c r="Q493" t="inlineStr"/>
      <c r="R493" t="inlineStr">
        <is>
          <t>Vid mellanlagring av avfall</t>
        </is>
      </c>
      <c r="S493" t="inlineStr"/>
      <c r="T493" t="inlineStr">
        <is>
          <t>864128</t>
        </is>
      </c>
      <c r="U493" t="inlineStr"/>
      <c r="V493" t="inlineStr"/>
      <c r="W493" t="inlineStr">
        <is>
          <t>Ja</t>
        </is>
      </c>
      <c r="X493" t="inlineStr">
        <is>
          <t>Nej</t>
        </is>
      </c>
      <c r="Y493" t="inlineStr">
        <is>
          <t>Nej</t>
        </is>
      </c>
      <c r="Z493" t="inlineStr">
        <is>
          <t>Nej</t>
        </is>
      </c>
      <c r="AA493" t="n">
        <v>5</v>
      </c>
      <c r="AB493" t="inlineStr">
        <is>
          <t>Teknisk beskrivning av platta</t>
        </is>
      </c>
      <c r="AC493" t="inlineStr">
        <is>
          <t>Teknisk ritning platta</t>
        </is>
      </c>
      <c r="AD493" t="inlineStr">
        <is>
          <t>Nej</t>
        </is>
      </c>
      <c r="AE493" t="inlineStr">
        <is>
          <t>Nej</t>
        </is>
      </c>
      <c r="AF493" t="inlineStr">
        <is>
          <t>Ej behandlad</t>
        </is>
      </c>
      <c r="AG493" t="inlineStr">
        <is>
          <t>AUTO_GENERERAD. Verifiera citat mot kallfil.</t>
        </is>
      </c>
      <c r="AH493" t="inlineStr">
        <is>
          <t>MEDIUM</t>
        </is>
      </c>
      <c r="AI493" t="inlineStr">
        <is>
          <t>AUTO</t>
        </is>
      </c>
      <c r="AJ493" t="inlineStr">
        <is>
          <t>Nej</t>
        </is>
      </c>
      <c r="AK493" t="inlineStr"/>
      <c r="AL493" t="inlineStr"/>
      <c r="AM493" t="inlineStr"/>
      <c r="AN493" t="inlineStr"/>
      <c r="AO493" t="inlineStr">
        <is>
          <t>cmm4yur1z044ecuqwtn36cfk3</t>
        </is>
      </c>
      <c r="AP493" t="inlineStr">
        <is>
          <t>http://localhost:8787/api/admin/requirements/documents/cmm4yur1z044ecuqwtn36cfk3/view</t>
        </is>
      </c>
      <c r="AQ493">
        <f>HYPERLÄNK("http://localhost:8787/api/admin/requirements/documents/cmm4yur1z044ecuqwtn36cfk3/view";"Öppna PDF")</f>
        <v/>
      </c>
      <c r="AR493">
        <f>HYPERLINK("http://localhost:8787/api/admin/requirements/documents/cmm4yur1z044ecuqwtn36cfk3/view","Open PDF")</f>
        <v/>
      </c>
      <c r="AS493" t="inlineStr">
        <is>
          <t>cmm55w57p0004cuisfrtpqly8</t>
        </is>
      </c>
      <c r="AT493" t="inlineStr">
        <is>
          <t>cmm4xvu980000cuh4vj0usz09</t>
        </is>
      </c>
      <c r="AU493" t="inlineStr">
        <is>
          <t>i Pajala</t>
        </is>
      </c>
      <c r="AV493" t="inlineStr">
        <is>
          <t>Kommun</t>
        </is>
      </c>
      <c r="AW493" t="inlineStr">
        <is>
          <t>i Pajala kommun</t>
        </is>
      </c>
      <c r="AX493" t="inlineStr">
        <is>
          <t>2013:251</t>
        </is>
      </c>
      <c r="AY493" t="inlineStr">
        <is>
          <t>Beslut</t>
        </is>
      </c>
      <c r="AZ493" t="inlineStr">
        <is>
          <t>2026-02-06</t>
        </is>
      </c>
      <c r="BA493" t="inlineStr">
        <is>
          <t>M-2024-109Beslut om bifall med villkor(29439417).pdf</t>
        </is>
      </c>
      <c r="BB493" t="inlineStr">
        <is>
          <t>Sv: till registrator</t>
        </is>
      </c>
      <c r="BC493" t="inlineStr">
        <is>
          <t>AUTO</t>
        </is>
      </c>
      <c r="BD493" t="inlineStr"/>
      <c r="BE493" t="inlineStr"/>
      <c r="BF493" t="inlineStr">
        <is>
          <t>AUTO_GENERERAD. Bekrafta metadata mot kallfil.</t>
        </is>
      </c>
      <c r="BG493">
        <f>HYPERLINK("C:\Users\jimmy\Desktop\Examens arbete\Kod\Ny mapp\remix_-copy-of-miljöbeslut.se-portal\M-2024-109Beslut om bifall med villkor(29439417).pdf", "Öppna PDF")</f>
        <v/>
      </c>
    </row>
    <row r="494">
      <c r="A494" t="inlineStr">
        <is>
          <t>KRAV-AUTO-000493</t>
        </is>
      </c>
      <c r="B494" t="inlineStr">
        <is>
          <t>ADMIN-INDEX-2026-02-27-00000000125C043F57453246863FE664CAFE6A3F0700950291EA24F0614FB6ACEDB12BF0E31D00000000010C0000950291EA24F0614FB6ACEDB12BF0E31D00002087A5B60000</t>
        </is>
      </c>
      <c r="C494" t="inlineStr">
        <is>
          <t>cmm4yur1o0445cuqwxuhvyn1e</t>
        </is>
      </c>
      <c r="D494" t="inlineStr">
        <is>
          <t>http://localhost:8787/api/admin/requirements/documents/cmm4yur1o0445cuqwxuhvyn1e/view</t>
        </is>
      </c>
      <c r="E494">
        <f>HYPERLÄNK("http://localhost:8787/api/admin/requirements/documents/cmm4yur1o0445cuqwxuhvyn1e/view";"Öppna PDF")</f>
        <v/>
      </c>
      <c r="F494">
        <f>HYPERLINK("http://localhost:8787/api/admin/requirements/documents/cmm4yur1o0445cuqwxuhvyn1e/view","Open PDF")</f>
        <v/>
      </c>
      <c r="G494" t="inlineStr">
        <is>
          <t>cmm55w57p0004cuisfrtpqly8</t>
        </is>
      </c>
      <c r="H494" t="inlineStr">
        <is>
          <t>Beslutsvillkor</t>
        </is>
      </c>
      <c r="I494" t="inlineStr">
        <is>
          <t>DriftEgenkontroll</t>
        </is>
      </c>
      <c r="J494" t="inlineStr">
        <is>
          <t>Journalforing</t>
        </is>
      </c>
      <c r="K494" t="inlineStr">
        <is>
          <t>Provtagning ska utföras av certifierad provtagare och ska analyseras på ackrediterat laboratorium.</t>
        </is>
      </c>
      <c r="L494" t="inlineStr">
        <is>
          <t>Provtagning ska utföras av certifierad provtagare och ska analyseras på ackrediterat laboratorium.</t>
        </is>
      </c>
      <c r="M494" t="inlineStr">
        <is>
          <t>SKA</t>
        </is>
      </c>
      <c r="N494" t="inlineStr"/>
      <c r="O494" t="inlineStr"/>
      <c r="P494" t="inlineStr"/>
      <c r="Q494" t="inlineStr"/>
      <c r="R494" t="inlineStr">
        <is>
          <t>Lopande drift</t>
        </is>
      </c>
      <c r="S494" t="inlineStr"/>
      <c r="T494" t="inlineStr">
        <is>
          <t>14 0340</t>
        </is>
      </c>
      <c r="U494" t="inlineStr"/>
      <c r="V494" t="inlineStr"/>
      <c r="W494" t="inlineStr">
        <is>
          <t>Nej</t>
        </is>
      </c>
      <c r="X494" t="inlineStr">
        <is>
          <t>Nej</t>
        </is>
      </c>
      <c r="Y494" t="inlineStr">
        <is>
          <t>Ja</t>
        </is>
      </c>
      <c r="Z494" t="inlineStr">
        <is>
          <t>Nej</t>
        </is>
      </c>
      <c r="AA494" t="n">
        <v>7</v>
      </c>
      <c r="AB494" t="inlineStr">
        <is>
          <t>Egenkontrollrutiner</t>
        </is>
      </c>
      <c r="AC494" t="inlineStr">
        <is>
          <t>Egenkontrollprogram</t>
        </is>
      </c>
      <c r="AD494" t="inlineStr">
        <is>
          <t>Nej</t>
        </is>
      </c>
      <c r="AE494" t="inlineStr">
        <is>
          <t>Nej</t>
        </is>
      </c>
      <c r="AF494" t="inlineStr">
        <is>
          <t>Ej behandlad</t>
        </is>
      </c>
      <c r="AG494" t="inlineStr">
        <is>
          <t>AUTO_GENERERAD. Verifiera citat mot kallfil.</t>
        </is>
      </c>
      <c r="AH494" t="inlineStr">
        <is>
          <t>MEDIUM</t>
        </is>
      </c>
      <c r="AI494" t="inlineStr">
        <is>
          <t>AUTO</t>
        </is>
      </c>
      <c r="AJ494" t="inlineStr">
        <is>
          <t>Nej</t>
        </is>
      </c>
      <c r="AK494" t="inlineStr"/>
      <c r="AL494" t="inlineStr"/>
      <c r="AM494" t="inlineStr"/>
      <c r="AN494" t="inlineStr"/>
      <c r="AO494" t="inlineStr">
        <is>
          <t>cmm4yur1o0445cuqwxuhvyn1e</t>
        </is>
      </c>
      <c r="AP494" t="inlineStr">
        <is>
          <t>http://localhost:8787/api/admin/requirements/documents/cmm4yur1o0445cuqwxuhvyn1e/view</t>
        </is>
      </c>
      <c r="AQ494">
        <f>HYPERLÄNK("http://localhost:8787/api/admin/requirements/documents/cmm4yur1o0445cuqwxuhvyn1e/view";"Öppna PDF")</f>
        <v/>
      </c>
      <c r="AR494">
        <f>HYPERLINK("http://localhost:8787/api/admin/requirements/documents/cmm4yur1o0445cuqwxuhvyn1e/view","Open PDF")</f>
        <v/>
      </c>
      <c r="AS494" t="inlineStr">
        <is>
          <t>cmm55w57p0004cuisfrtpqly8</t>
        </is>
      </c>
      <c r="AT494" t="inlineStr">
        <is>
          <t>cmm4xvu980000cuh4vj0usz09</t>
        </is>
      </c>
      <c r="AU494" t="inlineStr">
        <is>
          <t>E-POSTADRESS Varbergs</t>
        </is>
      </c>
      <c r="AV494" t="inlineStr">
        <is>
          <t>Kommun</t>
        </is>
      </c>
      <c r="AW494" t="inlineStr">
        <is>
          <t>E-POSTADRESS Varbergs kommun</t>
        </is>
      </c>
      <c r="AX494" t="inlineStr">
        <is>
          <t>2025-1187</t>
        </is>
      </c>
      <c r="AY494" t="inlineStr">
        <is>
          <t>Beslut</t>
        </is>
      </c>
      <c r="AZ494" t="inlineStr">
        <is>
          <t>2026-02-06</t>
        </is>
      </c>
      <c r="BA494" t="inlineStr">
        <is>
          <t>Beslut Grävtjänst.pdf</t>
        </is>
      </c>
      <c r="BB494" t="inlineStr">
        <is>
          <t>Sv: till registrator</t>
        </is>
      </c>
      <c r="BC494" t="inlineStr">
        <is>
          <t>AUTO</t>
        </is>
      </c>
      <c r="BD494" t="inlineStr"/>
      <c r="BE494" t="inlineStr"/>
      <c r="BF494" t="inlineStr">
        <is>
          <t>AUTO_GENERERAD. Bekrafta metadata mot kallfil.</t>
        </is>
      </c>
      <c r="BG494">
        <f>HYPERLINK("C:\Users\jimmy\Desktop\Examens arbete\Kod\Ny mapp\remix_-copy-of-miljöbeslut.se-portal\Beslut Grävtjänst.pdf", "Öppna PDF")</f>
        <v/>
      </c>
    </row>
    <row r="495">
      <c r="A495" t="inlineStr">
        <is>
          <t>KRAV-AUTO-000494</t>
        </is>
      </c>
      <c r="B495" t="inlineStr">
        <is>
          <t>ADMIN-INDEX-2026-02-27-00000000125C043F57453246863FE664CAFE6A3F0700950291EA24F0614FB6ACEDB12BF0E31D00000000010C0000950291EA24F0614FB6ACEDB12BF0E31D00002087A5B60000</t>
        </is>
      </c>
      <c r="C495" t="inlineStr">
        <is>
          <t>cmm4yur1o0445cuqwxuhvyn1e</t>
        </is>
      </c>
      <c r="D495" t="inlineStr">
        <is>
          <t>http://localhost:8787/api/admin/requirements/documents/cmm4yur1o0445cuqwxuhvyn1e/view</t>
        </is>
      </c>
      <c r="E495">
        <f>HYPERLÄNK("http://localhost:8787/api/admin/requirements/documents/cmm4yur1o0445cuqwxuhvyn1e/view";"Öppna PDF")</f>
        <v/>
      </c>
      <c r="F495">
        <f>HYPERLINK("http://localhost:8787/api/admin/requirements/documents/cmm4yur1o0445cuqwxuhvyn1e/view","Open PDF")</f>
        <v/>
      </c>
      <c r="G495" t="inlineStr">
        <is>
          <t>cmm55w57p0004cuisfrtpqly8</t>
        </is>
      </c>
      <c r="H495" t="inlineStr">
        <is>
          <t>Beslutsvillkor</t>
        </is>
      </c>
      <c r="I495" t="inlineStr">
        <is>
          <t>DagvattenLakvatten</t>
        </is>
      </c>
      <c r="J495" t="inlineStr">
        <is>
          <t>Uppsamling</t>
        </is>
      </c>
      <c r="K495" t="inlineStr">
        <is>
          <t>Utgående vatten från reningsanläggningen ska klara de målsättningssättningsvärden som anges i bilaga B i Dagvattenanvisningar för Falkenbergs och Varbergs kommuner (2017 03-31) och reningsanläggningen ska konstrueras för detta ändamål.</t>
        </is>
      </c>
      <c r="L495" t="inlineStr">
        <is>
          <t>Utgående vatten från reningsanläggningen ska klara de målsättningssättningsvärden som anges i bilaga B i Dagvattenanvisningar för Falkenbergs och Varbergs kommuner (2017 03-31) och reningsanläggningen ska konstrueras för detta ändamål.</t>
        </is>
      </c>
      <c r="M495" t="inlineStr">
        <is>
          <t>SKA</t>
        </is>
      </c>
      <c r="N495" t="inlineStr"/>
      <c r="O495" t="inlineStr"/>
      <c r="P495" t="inlineStr"/>
      <c r="Q495" t="inlineStr"/>
      <c r="R495" t="inlineStr">
        <is>
          <t>Vid nederbord och avrinning</t>
        </is>
      </c>
      <c r="S495" t="inlineStr"/>
      <c r="T495" t="inlineStr">
        <is>
          <t>2017 03</t>
        </is>
      </c>
      <c r="U495" t="inlineStr"/>
      <c r="V495" t="inlineStr"/>
      <c r="W495" t="inlineStr">
        <is>
          <t>Nej</t>
        </is>
      </c>
      <c r="X495" t="inlineStr">
        <is>
          <t>Ja</t>
        </is>
      </c>
      <c r="Y495" t="inlineStr">
        <is>
          <t>Ja</t>
        </is>
      </c>
      <c r="Z495" t="inlineStr">
        <is>
          <t>Nej</t>
        </is>
      </c>
      <c r="AA495" t="n">
        <v>6</v>
      </c>
      <c r="AB495" t="inlineStr">
        <is>
          <t>Lakvattenhantering</t>
        </is>
      </c>
      <c r="AC495" t="inlineStr">
        <is>
          <t>Flodesschema dagvatten-lakvatten</t>
        </is>
      </c>
      <c r="AD495" t="inlineStr">
        <is>
          <t>Nej</t>
        </is>
      </c>
      <c r="AE495" t="inlineStr">
        <is>
          <t>Nej</t>
        </is>
      </c>
      <c r="AF495" t="inlineStr">
        <is>
          <t>Ej behandlad</t>
        </is>
      </c>
      <c r="AG495" t="inlineStr">
        <is>
          <t>AUTO_GENERERAD. Verifiera citat mot kallfil.</t>
        </is>
      </c>
      <c r="AH495" t="inlineStr">
        <is>
          <t>MEDIUM</t>
        </is>
      </c>
      <c r="AI495" t="inlineStr">
        <is>
          <t>AUTO</t>
        </is>
      </c>
      <c r="AJ495" t="inlineStr">
        <is>
          <t>Nej</t>
        </is>
      </c>
      <c r="AK495" t="inlineStr"/>
      <c r="AL495" t="inlineStr"/>
      <c r="AM495" t="inlineStr"/>
      <c r="AN495" t="inlineStr"/>
      <c r="AO495" t="inlineStr">
        <is>
          <t>cmm4yur1o0445cuqwxuhvyn1e</t>
        </is>
      </c>
      <c r="AP495" t="inlineStr">
        <is>
          <t>http://localhost:8787/api/admin/requirements/documents/cmm4yur1o0445cuqwxuhvyn1e/view</t>
        </is>
      </c>
      <c r="AQ495">
        <f>HYPERLÄNK("http://localhost:8787/api/admin/requirements/documents/cmm4yur1o0445cuqwxuhvyn1e/view";"Öppna PDF")</f>
        <v/>
      </c>
      <c r="AR495">
        <f>HYPERLINK("http://localhost:8787/api/admin/requirements/documents/cmm4yur1o0445cuqwxuhvyn1e/view","Open PDF")</f>
        <v/>
      </c>
      <c r="AS495" t="inlineStr">
        <is>
          <t>cmm55w57p0004cuisfrtpqly8</t>
        </is>
      </c>
      <c r="AT495" t="inlineStr">
        <is>
          <t>cmm4xvu980000cuh4vj0usz09</t>
        </is>
      </c>
      <c r="AU495" t="inlineStr">
        <is>
          <t>E-POSTADRESS Varbergs</t>
        </is>
      </c>
      <c r="AV495" t="inlineStr">
        <is>
          <t>Kommun</t>
        </is>
      </c>
      <c r="AW495" t="inlineStr">
        <is>
          <t>E-POSTADRESS Varbergs kommun</t>
        </is>
      </c>
      <c r="AX495" t="inlineStr">
        <is>
          <t>2025-1187</t>
        </is>
      </c>
      <c r="AY495" t="inlineStr">
        <is>
          <t>Beslut</t>
        </is>
      </c>
      <c r="AZ495" t="inlineStr">
        <is>
          <t>2026-02-06</t>
        </is>
      </c>
      <c r="BA495" t="inlineStr">
        <is>
          <t>Beslut Grävtjänst.pdf</t>
        </is>
      </c>
      <c r="BB495" t="inlineStr">
        <is>
          <t>Sv: till registrator</t>
        </is>
      </c>
      <c r="BC495" t="inlineStr">
        <is>
          <t>AUTO</t>
        </is>
      </c>
      <c r="BD495" t="inlineStr"/>
      <c r="BE495" t="inlineStr"/>
      <c r="BF495" t="inlineStr">
        <is>
          <t>AUTO_GENERERAD. Bekrafta metadata mot kallfil.</t>
        </is>
      </c>
      <c r="BG495">
        <f>HYPERLINK("C:\Users\jimmy\Desktop\Examens arbete\Kod\Ny mapp\remix_-copy-of-miljöbeslut.se-portal\Beslut Grävtjänst.pdf", "Öppna PDF")</f>
        <v/>
      </c>
    </row>
    <row r="496">
      <c r="A496" t="inlineStr">
        <is>
          <t>KRAV-AUTO-000495</t>
        </is>
      </c>
      <c r="B496" t="inlineStr">
        <is>
          <t>ADMIN-INDEX-2026-02-27-00000000125C043F57453246863FE664CAFE6A3F0700950291EA24F0614FB6ACEDB12BF0E31D00000000010C0000950291EA24F0614FB6ACEDB12BF0E31D00002087A5B60000</t>
        </is>
      </c>
      <c r="C496" t="inlineStr">
        <is>
          <t>cmm4yur1o0445cuqwxuhvyn1e</t>
        </is>
      </c>
      <c r="D496" t="inlineStr">
        <is>
          <t>http://localhost:8787/api/admin/requirements/documents/cmm4yur1o0445cuqwxuhvyn1e/view</t>
        </is>
      </c>
      <c r="E496">
        <f>HYPERLÄNK("http://localhost:8787/api/admin/requirements/documents/cmm4yur1o0445cuqwxuhvyn1e/view";"Öppna PDF")</f>
        <v/>
      </c>
      <c r="F496">
        <f>HYPERLINK("http://localhost:8787/api/admin/requirements/documents/cmm4yur1o0445cuqwxuhvyn1e/view","Open PDF")</f>
        <v/>
      </c>
      <c r="G496" t="inlineStr">
        <is>
          <t>cmm55w57p0004cuisfrtpqly8</t>
        </is>
      </c>
      <c r="H496" t="inlineStr">
        <is>
          <t>Beslutsvillkor</t>
        </is>
      </c>
      <c r="I496" t="inlineStr">
        <is>
          <t>LagringsvolymTid</t>
        </is>
      </c>
      <c r="J496" t="inlineStr">
        <is>
          <t>Maxmangd</t>
        </is>
      </c>
      <c r="K496" t="inlineStr">
        <is>
          <t>Om hörbara toner förekommer ska de angivna värdena sänkas med 5 dB (A)-enheter.</t>
        </is>
      </c>
      <c r="L496" t="inlineStr">
        <is>
          <t>Om hörbara toner förekommer ska de angivna värdena sänkas med 5 dB (A)-enheter.</t>
        </is>
      </c>
      <c r="M496" t="inlineStr">
        <is>
          <t>SKA</t>
        </is>
      </c>
      <c r="N496" t="inlineStr"/>
      <c r="O496" t="inlineStr"/>
      <c r="P496" t="inlineStr"/>
      <c r="Q496" t="inlineStr"/>
      <c r="R496" t="inlineStr">
        <is>
          <t>Alltid</t>
        </is>
      </c>
      <c r="S496" t="inlineStr"/>
      <c r="T496" t="inlineStr">
        <is>
          <t>14 0340</t>
        </is>
      </c>
      <c r="U496" t="inlineStr"/>
      <c r="V496" t="inlineStr"/>
      <c r="W496" t="inlineStr">
        <is>
          <t>Nej</t>
        </is>
      </c>
      <c r="X496" t="inlineStr">
        <is>
          <t>Nej</t>
        </is>
      </c>
      <c r="Y496" t="inlineStr">
        <is>
          <t>Nej</t>
        </is>
      </c>
      <c r="Z496" t="inlineStr">
        <is>
          <t>Nej</t>
        </is>
      </c>
      <c r="AA496" t="n">
        <v>4</v>
      </c>
      <c r="AB496" t="inlineStr">
        <is>
          <t>Avfallsmangder och lagringstid</t>
        </is>
      </c>
      <c r="AC496" t="inlineStr">
        <is>
          <t>Avfallsforteckning</t>
        </is>
      </c>
      <c r="AD496" t="inlineStr">
        <is>
          <t>Nej</t>
        </is>
      </c>
      <c r="AE496" t="inlineStr">
        <is>
          <t>Nej</t>
        </is>
      </c>
      <c r="AF496" t="inlineStr">
        <is>
          <t>Ej behandlad</t>
        </is>
      </c>
      <c r="AG496" t="inlineStr">
        <is>
          <t>AUTO_GENERERAD. Verifiera citat mot kallfil.</t>
        </is>
      </c>
      <c r="AH496" t="inlineStr">
        <is>
          <t>MEDIUM</t>
        </is>
      </c>
      <c r="AI496" t="inlineStr">
        <is>
          <t>AUTO</t>
        </is>
      </c>
      <c r="AJ496" t="inlineStr">
        <is>
          <t>Nej</t>
        </is>
      </c>
      <c r="AK496" t="inlineStr"/>
      <c r="AL496" t="inlineStr"/>
      <c r="AM496" t="inlineStr"/>
      <c r="AN496" t="inlineStr"/>
      <c r="AO496" t="inlineStr">
        <is>
          <t>cmm4yur1o0445cuqwxuhvyn1e</t>
        </is>
      </c>
      <c r="AP496" t="inlineStr">
        <is>
          <t>http://localhost:8787/api/admin/requirements/documents/cmm4yur1o0445cuqwxuhvyn1e/view</t>
        </is>
      </c>
      <c r="AQ496">
        <f>HYPERLÄNK("http://localhost:8787/api/admin/requirements/documents/cmm4yur1o0445cuqwxuhvyn1e/view";"Öppna PDF")</f>
        <v/>
      </c>
      <c r="AR496">
        <f>HYPERLINK("http://localhost:8787/api/admin/requirements/documents/cmm4yur1o0445cuqwxuhvyn1e/view","Open PDF")</f>
        <v/>
      </c>
      <c r="AS496" t="inlineStr">
        <is>
          <t>cmm55w57p0004cuisfrtpqly8</t>
        </is>
      </c>
      <c r="AT496" t="inlineStr">
        <is>
          <t>cmm4xvu980000cuh4vj0usz09</t>
        </is>
      </c>
      <c r="AU496" t="inlineStr">
        <is>
          <t>E-POSTADRESS Varbergs</t>
        </is>
      </c>
      <c r="AV496" t="inlineStr">
        <is>
          <t>Kommun</t>
        </is>
      </c>
      <c r="AW496" t="inlineStr">
        <is>
          <t>E-POSTADRESS Varbergs kommun</t>
        </is>
      </c>
      <c r="AX496" t="inlineStr">
        <is>
          <t>2025-1187</t>
        </is>
      </c>
      <c r="AY496" t="inlineStr">
        <is>
          <t>Beslut</t>
        </is>
      </c>
      <c r="AZ496" t="inlineStr">
        <is>
          <t>2026-02-06</t>
        </is>
      </c>
      <c r="BA496" t="inlineStr">
        <is>
          <t>Beslut Grävtjänst.pdf</t>
        </is>
      </c>
      <c r="BB496" t="inlineStr">
        <is>
          <t>Sv: till registrator</t>
        </is>
      </c>
      <c r="BC496" t="inlineStr">
        <is>
          <t>AUTO</t>
        </is>
      </c>
      <c r="BD496" t="inlineStr"/>
      <c r="BE496" t="inlineStr"/>
      <c r="BF496" t="inlineStr">
        <is>
          <t>AUTO_GENERERAD. Bekrafta metadata mot kallfil.</t>
        </is>
      </c>
      <c r="BG496">
        <f>HYPERLINK("C:\Users\jimmy\Desktop\Examens arbete\Kod\Ny mapp\remix_-copy-of-miljöbeslut.se-portal\Beslut Grävtjänst.pdf", "Öppna PDF")</f>
        <v/>
      </c>
    </row>
    <row r="497">
      <c r="A497" t="inlineStr">
        <is>
          <t>KRAV-AUTO-000496</t>
        </is>
      </c>
      <c r="B497" t="inlineStr">
        <is>
          <t>ADMIN-INDEX-2026-02-27-00000000125C043F57453246863FE664CAFE6A3F0700950291EA24F0614FB6ACEDB12BF0E31D00000000010C0000950291EA24F0614FB6ACEDB12BF0E31D00002087A5B70000</t>
        </is>
      </c>
      <c r="C497" t="inlineStr">
        <is>
          <t>cmm4yur1l0442cuqwiobhkja5</t>
        </is>
      </c>
      <c r="D497" t="inlineStr">
        <is>
          <t>http://localhost:8787/api/admin/requirements/documents/cmm4yur1l0442cuqwiobhkja5/view</t>
        </is>
      </c>
      <c r="E497">
        <f>HYPERLÄNK("http://localhost:8787/api/admin/requirements/documents/cmm4yur1l0442cuqwiobhkja5/view";"Öppna PDF")</f>
        <v/>
      </c>
      <c r="F497">
        <f>HYPERLINK("http://localhost:8787/api/admin/requirements/documents/cmm4yur1l0442cuqwiobhkja5/view","Open PDF")</f>
        <v/>
      </c>
      <c r="G497" t="inlineStr">
        <is>
          <t>cmm55w57p0004cuisfrtpqly8</t>
        </is>
      </c>
      <c r="H497" t="inlineStr">
        <is>
          <t>Beslutsvillkor</t>
        </is>
      </c>
      <c r="I497" t="inlineStr">
        <is>
          <t>DagvattenLakvatten</t>
        </is>
      </c>
      <c r="J497" t="inlineStr">
        <is>
          <t>Uppsamling</t>
        </is>
      </c>
      <c r="K497" t="inlineStr">
        <is>
          <t>-- 1 of 1 -- 2:4 SKÄLBY 2:2 Dagvattenbrunn H=0,4 L=0,3 Dagvattenbrunn H=0,4 L=0,3 TRUCKVÄGEN 2.</t>
        </is>
      </c>
      <c r="L497" t="inlineStr">
        <is>
          <t>-- 1 of 1 -- 2:4 SKÄLBY 2:2 Dagvattenbrunn H=0,4 L=0,3 Dagvattenbrunn H=0,4 L=0,3 TRUCKVÄGEN 2.</t>
        </is>
      </c>
      <c r="M497" t="inlineStr">
        <is>
          <t>SKA</t>
        </is>
      </c>
      <c r="N497" t="inlineStr"/>
      <c r="O497" t="inlineStr"/>
      <c r="P497" t="inlineStr"/>
      <c r="Q497" t="inlineStr"/>
      <c r="R497" t="inlineStr">
        <is>
          <t>Vid nederbord och avrinning</t>
        </is>
      </c>
      <c r="S497" t="inlineStr"/>
      <c r="T497" t="inlineStr">
        <is>
          <t>217415</t>
        </is>
      </c>
      <c r="U497" t="inlineStr"/>
      <c r="V497" t="inlineStr"/>
      <c r="W497" t="inlineStr">
        <is>
          <t>Nej</t>
        </is>
      </c>
      <c r="X497" t="inlineStr">
        <is>
          <t>Ja</t>
        </is>
      </c>
      <c r="Y497" t="inlineStr">
        <is>
          <t>Ja</t>
        </is>
      </c>
      <c r="Z497" t="inlineStr">
        <is>
          <t>Nej</t>
        </is>
      </c>
      <c r="AA497" t="n">
        <v>6</v>
      </c>
      <c r="AB497" t="inlineStr">
        <is>
          <t>Lakvattenhantering</t>
        </is>
      </c>
      <c r="AC497" t="inlineStr">
        <is>
          <t>Flodesschema dagvatten-lakvatten</t>
        </is>
      </c>
      <c r="AD497" t="inlineStr">
        <is>
          <t>Nej</t>
        </is>
      </c>
      <c r="AE497" t="inlineStr">
        <is>
          <t>Nej</t>
        </is>
      </c>
      <c r="AF497" t="inlineStr">
        <is>
          <t>Ej behandlad</t>
        </is>
      </c>
      <c r="AG497" t="inlineStr">
        <is>
          <t>AUTO_GENERERAD. Verifiera citat mot kallfil.</t>
        </is>
      </c>
      <c r="AH497" t="inlineStr">
        <is>
          <t>MEDIUM</t>
        </is>
      </c>
      <c r="AI497" t="inlineStr">
        <is>
          <t>AUTO</t>
        </is>
      </c>
      <c r="AJ497" t="inlineStr">
        <is>
          <t>Nej</t>
        </is>
      </c>
      <c r="AK497" t="inlineStr"/>
      <c r="AL497" t="inlineStr"/>
      <c r="AM497" t="inlineStr"/>
      <c r="AN497" t="inlineStr"/>
      <c r="AO497" t="inlineStr">
        <is>
          <t>cmm4yur1h043zcuqw32zc4vim</t>
        </is>
      </c>
      <c r="AP497" t="inlineStr">
        <is>
          <t>http://localhost:8787/api/admin/requirements/documents/cmm4yur1h043zcuqw32zc4vim/view</t>
        </is>
      </c>
      <c r="AQ497">
        <f>HYPERLÄNK("http://localhost:8787/api/admin/requirements/documents/cmm4yur1h043zcuqw32zc4vim/view";"Öppna PDF")</f>
        <v/>
      </c>
      <c r="AR497">
        <f>HYPERLINK("http://localhost:8787/api/admin/requirements/documents/cmm4yur1h043zcuqw32zc4vim/view","Open PDF")</f>
        <v/>
      </c>
      <c r="AS497" t="inlineStr">
        <is>
          <t>cmm55w57p0004cuisfrtpqly8</t>
        </is>
      </c>
      <c r="AT497" t="inlineStr">
        <is>
          <t>cmm4xvu980000cuh4vj0usz09</t>
        </is>
      </c>
      <c r="AU497" t="inlineStr">
        <is>
          <t>i Upplands Väsby</t>
        </is>
      </c>
      <c r="AV497" t="inlineStr">
        <is>
          <t>Kommun</t>
        </is>
      </c>
      <c r="AW497" t="inlineStr">
        <is>
          <t>i Upplands Väsby kommun</t>
        </is>
      </c>
      <c r="AX497" t="inlineStr">
        <is>
          <t>2025-12</t>
        </is>
      </c>
      <c r="AY497" t="inlineStr">
        <is>
          <t>Beslut</t>
        </is>
      </c>
      <c r="AZ497" t="inlineStr">
        <is>
          <t>2026-02-06</t>
        </is>
      </c>
      <c r="BA497" t="inlineStr">
        <is>
          <t>Miljöteknisk markundersökning, Skälby 2.3.pdf</t>
        </is>
      </c>
      <c r="BB497" t="inlineStr">
        <is>
          <t>till registrator [2026KC17362]</t>
        </is>
      </c>
      <c r="BC497" t="inlineStr">
        <is>
          <t>AUTO</t>
        </is>
      </c>
      <c r="BD497" t="inlineStr"/>
      <c r="BE497" t="inlineStr"/>
      <c r="BF497" t="inlineStr">
        <is>
          <t>AUTO_GENERERAD. Bekrafta metadata mot kallfil.</t>
        </is>
      </c>
      <c r="BG497">
        <f>HYPERLINK("C:\Users\jimmy\Desktop\Examens arbete\Kod\Ny mapp\remix_-copy-of-miljöbeslut.se-portal\Miljöteknisk markundersökning, Skälby 2.3.pdf", "Öppna PDF")</f>
        <v/>
      </c>
    </row>
    <row r="498">
      <c r="A498" t="inlineStr">
        <is>
          <t>KRAV-AUTO-000497</t>
        </is>
      </c>
      <c r="B498" t="inlineStr">
        <is>
          <t>ADMIN-INDEX-2026-02-27-00000000125C043F57453246863FE664CAFE6A3F0700950291EA24F0614FB6ACEDB12BF0E31D00000000010C0000950291EA24F0614FB6ACEDB12BF0E31D00002087A5C50000</t>
        </is>
      </c>
      <c r="C498" t="inlineStr">
        <is>
          <t>cmm4yur0g042wcuqw7dqgvnqv</t>
        </is>
      </c>
      <c r="D498" t="inlineStr">
        <is>
          <t>http://localhost:8787/api/admin/requirements/documents/cmm4yur0g042wcuqw7dqgvnqv/view</t>
        </is>
      </c>
      <c r="E498">
        <f>HYPERLÄNK("http://localhost:8787/api/admin/requirements/documents/cmm4yur0g042wcuqw7dqgvnqv/view";"Öppna PDF")</f>
        <v/>
      </c>
      <c r="F498">
        <f>HYPERLINK("http://localhost:8787/api/admin/requirements/documents/cmm4yur0g042wcuqw7dqgvnqv/view","Open PDF")</f>
        <v/>
      </c>
      <c r="G498" t="inlineStr">
        <is>
          <t>cmm55w57p0004cuisfrtpqly8</t>
        </is>
      </c>
      <c r="H498" t="inlineStr">
        <is>
          <t>Beslutsvillkor</t>
        </is>
      </c>
      <c r="I498" t="inlineStr">
        <is>
          <t>LagringsvolymTid</t>
        </is>
      </c>
      <c r="J498" t="inlineStr">
        <is>
          <t>Maxmangd</t>
        </is>
      </c>
      <c r="K498" t="inlineStr">
        <is>
          <t>· 90.80 - Att sortera icke-farligt avfall, om mängden avfall är mer än 1000 ton per kalenderår och avfallet ska användas för byggnads- eller anläggningsändamål, eller mer än 1 000 ton men högst 10 000 ton per kalenderår i andra fall.</t>
        </is>
      </c>
      <c r="L498" t="inlineStr">
        <is>
          <t>· 90.80 - Att sortera icke-farligt avfall, om mängden avfall är mer än 1000 ton per kalenderår och avfallet ska användas för byggnads- eller anläggningsändamål, eller mer än 1 000 ton men högst 10 000 ton per kalenderår i andra fall.</t>
        </is>
      </c>
      <c r="M498" t="inlineStr">
        <is>
          <t>SKA</t>
        </is>
      </c>
      <c r="N498" t="inlineStr"/>
      <c r="O498" t="inlineStr"/>
      <c r="P498" t="inlineStr">
        <is>
          <t>Arlig</t>
        </is>
      </c>
      <c r="Q498" t="inlineStr"/>
      <c r="R498" t="inlineStr">
        <is>
          <t>Alltid</t>
        </is>
      </c>
      <c r="S498" t="inlineStr"/>
      <c r="T498" t="inlineStr"/>
      <c r="U498" t="n">
        <v>1000</v>
      </c>
      <c r="V498" t="inlineStr"/>
      <c r="W498" t="inlineStr">
        <is>
          <t>Nej</t>
        </is>
      </c>
      <c r="X498" t="inlineStr">
        <is>
          <t>Nej</t>
        </is>
      </c>
      <c r="Y498" t="inlineStr">
        <is>
          <t>Nej</t>
        </is>
      </c>
      <c r="Z498" t="inlineStr">
        <is>
          <t>Nej</t>
        </is>
      </c>
      <c r="AA498" t="n">
        <v>4</v>
      </c>
      <c r="AB498" t="inlineStr">
        <is>
          <t>Avfallsmangder och lagringstid</t>
        </is>
      </c>
      <c r="AC498" t="inlineStr">
        <is>
          <t>Avfallsforteckning</t>
        </is>
      </c>
      <c r="AD498" t="inlineStr">
        <is>
          <t>Nej</t>
        </is>
      </c>
      <c r="AE498" t="inlineStr">
        <is>
          <t>Nej</t>
        </is>
      </c>
      <c r="AF498" t="inlineStr">
        <is>
          <t>Ej behandlad</t>
        </is>
      </c>
      <c r="AG498" t="inlineStr">
        <is>
          <t>AUTO_GENERERAD. Verifiera citat mot kallfil.</t>
        </is>
      </c>
      <c r="AH498" t="inlineStr">
        <is>
          <t>MEDIUM</t>
        </is>
      </c>
      <c r="AI498" t="inlineStr">
        <is>
          <t>AUTO</t>
        </is>
      </c>
      <c r="AJ498" t="inlineStr">
        <is>
          <t>Nej</t>
        </is>
      </c>
      <c r="AK498" t="inlineStr"/>
      <c r="AL498" t="inlineStr"/>
      <c r="AM498" t="inlineStr"/>
      <c r="AN498" t="inlineStr"/>
      <c r="AO498" t="inlineStr">
        <is>
          <t>cmm4yur0g042wcuqw7dqgvnqv</t>
        </is>
      </c>
      <c r="AP498" t="inlineStr">
        <is>
          <t>http://localhost:8787/api/admin/requirements/documents/cmm4yur0g042wcuqw7dqgvnqv/view</t>
        </is>
      </c>
      <c r="AQ498">
        <f>HYPERLÄNK("http://localhost:8787/api/admin/requirements/documents/cmm4yur0g042wcuqw7dqgvnqv/view";"Öppna PDF")</f>
        <v/>
      </c>
      <c r="AR498">
        <f>HYPERLINK("http://localhost:8787/api/admin/requirements/documents/cmm4yur0g042wcuqw7dqgvnqv/view","Open PDF")</f>
        <v/>
      </c>
      <c r="AS498" t="inlineStr">
        <is>
          <t>cmm55w57p0004cuisfrtpqly8</t>
        </is>
      </c>
      <c r="AT498" t="inlineStr">
        <is>
          <t>cmm4xvu980000cuh4vj0usz09</t>
        </is>
      </c>
      <c r="AU498" t="inlineStr"/>
      <c r="AV498" t="inlineStr">
        <is>
          <t>Kommun</t>
        </is>
      </c>
      <c r="AW498" t="inlineStr"/>
      <c r="AX498" t="inlineStr">
        <is>
          <t>2024-03</t>
        </is>
      </c>
      <c r="AY498" t="inlineStr">
        <is>
          <t>Beslut</t>
        </is>
      </c>
      <c r="AZ498" t="inlineStr">
        <is>
          <t>2026-02-05</t>
        </is>
      </c>
      <c r="BA498" t="inlineStr">
        <is>
          <t>MILJ2024450.pdf</t>
        </is>
      </c>
      <c r="BB498" t="inlineStr">
        <is>
          <t>Handlingar</t>
        </is>
      </c>
      <c r="BC498" t="inlineStr">
        <is>
          <t>AUTO</t>
        </is>
      </c>
      <c r="BD498" t="inlineStr"/>
      <c r="BE498" t="inlineStr"/>
      <c r="BF498" t="inlineStr">
        <is>
          <t>AUTO_GENERERAD. Bekrafta metadata mot kallfil.</t>
        </is>
      </c>
      <c r="BG498">
        <f>HYPERLINK("C:\Users\jimmy\Desktop\Examens arbete\Kod\Ny mapp\remix_-copy-of-miljöbeslut.se-portal\MILJ2024450.pdf", "Öppna PDF")</f>
        <v/>
      </c>
    </row>
    <row r="499">
      <c r="A499" t="inlineStr">
        <is>
          <t>KRAV-AUTO-000498</t>
        </is>
      </c>
      <c r="B499" t="inlineStr">
        <is>
          <t>ADMIN-INDEX-2026-02-27-00000000125C043F57453246863FE664CAFE6A3F0700950291EA24F0614FB6ACEDB12BF0E31D00000000010C0000950291EA24F0614FB6ACEDB12BF0E31D00002087A5C50000</t>
        </is>
      </c>
      <c r="C499" t="inlineStr">
        <is>
          <t>cmm4yur0g042wcuqw7dqgvnqv</t>
        </is>
      </c>
      <c r="D499" t="inlineStr">
        <is>
          <t>http://localhost:8787/api/admin/requirements/documents/cmm4yur0g042wcuqw7dqgvnqv/view</t>
        </is>
      </c>
      <c r="E499">
        <f>HYPERLÄNK("http://localhost:8787/api/admin/requirements/documents/cmm4yur0g042wcuqw7dqgvnqv/view";"Öppna PDF")</f>
        <v/>
      </c>
      <c r="F499">
        <f>HYPERLINK("http://localhost:8787/api/admin/requirements/documents/cmm4yur0g042wcuqw7dqgvnqv/view","Open PDF")</f>
        <v/>
      </c>
      <c r="G499" t="inlineStr">
        <is>
          <t>cmm55w57p0004cuisfrtpqly8</t>
        </is>
      </c>
      <c r="H499" t="inlineStr">
        <is>
          <t>Beslutsvillkor</t>
        </is>
      </c>
      <c r="I499" t="inlineStr">
        <is>
          <t>LagringsvolymTid</t>
        </is>
      </c>
      <c r="J499" t="inlineStr">
        <is>
          <t>Maxmangd</t>
        </is>
      </c>
      <c r="K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499" t="inlineStr">
        <is>
          <t>SKA</t>
        </is>
      </c>
      <c r="N499" t="inlineStr">
        <is>
          <t>MPF</t>
        </is>
      </c>
      <c r="O499" t="inlineStr"/>
      <c r="P499" t="inlineStr">
        <is>
          <t>Arlig</t>
        </is>
      </c>
      <c r="Q499" t="inlineStr"/>
      <c r="R499" t="inlineStr">
        <is>
          <t>Alltid</t>
        </is>
      </c>
      <c r="S499" t="inlineStr"/>
      <c r="T499" t="inlineStr"/>
      <c r="U499" t="n">
        <v>10</v>
      </c>
      <c r="V499" t="inlineStr"/>
      <c r="W499" t="inlineStr">
        <is>
          <t>Nej</t>
        </is>
      </c>
      <c r="X499" t="inlineStr">
        <is>
          <t>Nej</t>
        </is>
      </c>
      <c r="Y499" t="inlineStr">
        <is>
          <t>Nej</t>
        </is>
      </c>
      <c r="Z499" t="inlineStr">
        <is>
          <t>Nej</t>
        </is>
      </c>
      <c r="AA499" t="n">
        <v>4</v>
      </c>
      <c r="AB499" t="inlineStr">
        <is>
          <t>Avfallsmangder och lagringstid</t>
        </is>
      </c>
      <c r="AC499" t="inlineStr">
        <is>
          <t>Avfallsforteckning</t>
        </is>
      </c>
      <c r="AD499" t="inlineStr">
        <is>
          <t>Nej</t>
        </is>
      </c>
      <c r="AE499" t="inlineStr">
        <is>
          <t>Nej</t>
        </is>
      </c>
      <c r="AF499" t="inlineStr">
        <is>
          <t>Ej behandlad</t>
        </is>
      </c>
      <c r="AG499" t="inlineStr">
        <is>
          <t>AUTO_GENERERAD. Verifiera citat mot kallfil.</t>
        </is>
      </c>
      <c r="AH499" t="inlineStr">
        <is>
          <t>MEDIUM</t>
        </is>
      </c>
      <c r="AI499" t="inlineStr">
        <is>
          <t>AUTO</t>
        </is>
      </c>
      <c r="AJ499" t="inlineStr">
        <is>
          <t>Nej</t>
        </is>
      </c>
      <c r="AK499" t="inlineStr"/>
      <c r="AL499" t="inlineStr"/>
      <c r="AM499" t="inlineStr"/>
      <c r="AN499" t="inlineStr"/>
      <c r="AO499" t="inlineStr">
        <is>
          <t>cmm4yur0g042wcuqw7dqgvnqv</t>
        </is>
      </c>
      <c r="AP499" t="inlineStr">
        <is>
          <t>http://localhost:8787/api/admin/requirements/documents/cmm4yur0g042wcuqw7dqgvnqv/view</t>
        </is>
      </c>
      <c r="AQ499">
        <f>HYPERLÄNK("http://localhost:8787/api/admin/requirements/documents/cmm4yur0g042wcuqw7dqgvnqv/view";"Öppna PDF")</f>
        <v/>
      </c>
      <c r="AR499">
        <f>HYPERLINK("http://localhost:8787/api/admin/requirements/documents/cmm4yur0g042wcuqw7dqgvnqv/view","Open PDF")</f>
        <v/>
      </c>
      <c r="AS499" t="inlineStr">
        <is>
          <t>cmm55w57p0004cuisfrtpqly8</t>
        </is>
      </c>
      <c r="AT499" t="inlineStr">
        <is>
          <t>cmm4xvu980000cuh4vj0usz09</t>
        </is>
      </c>
      <c r="AU499" t="inlineStr"/>
      <c r="AV499" t="inlineStr">
        <is>
          <t>Kommun</t>
        </is>
      </c>
      <c r="AW499" t="inlineStr"/>
      <c r="AX499" t="inlineStr">
        <is>
          <t>2024-03</t>
        </is>
      </c>
      <c r="AY499" t="inlineStr">
        <is>
          <t>Beslut</t>
        </is>
      </c>
      <c r="AZ499" t="inlineStr">
        <is>
          <t>2026-02-05</t>
        </is>
      </c>
      <c r="BA499" t="inlineStr">
        <is>
          <t>MILJ2024450.pdf</t>
        </is>
      </c>
      <c r="BB499" t="inlineStr">
        <is>
          <t>Handlingar</t>
        </is>
      </c>
      <c r="BC499" t="inlineStr">
        <is>
          <t>AUTO</t>
        </is>
      </c>
      <c r="BD499" t="inlineStr"/>
      <c r="BE499" t="inlineStr"/>
      <c r="BF499" t="inlineStr">
        <is>
          <t>AUTO_GENERERAD. Bekrafta metadata mot kallfil.</t>
        </is>
      </c>
      <c r="BG499">
        <f>HYPERLINK("C:\Users\jimmy\Desktop\Examens arbete\Kod\Ny mapp\remix_-copy-of-miljöbeslut.se-portal\MILJ2024450.pdf", "Öppna PDF")</f>
        <v/>
      </c>
    </row>
    <row r="500">
      <c r="A500" t="inlineStr">
        <is>
          <t>KRAV-AUTO-000499</t>
        </is>
      </c>
      <c r="B500" t="inlineStr">
        <is>
          <t>ADMIN-INDEX-2026-02-27-00000000125C043F57453246863FE664CAFE6A3F0700950291EA24F0614FB6ACEDB12BF0E31D00000000010C0000950291EA24F0614FB6ACEDB12BF0E31D00002087A5C50000</t>
        </is>
      </c>
      <c r="C500" t="inlineStr">
        <is>
          <t>cmm4yur0g042wcuqw7dqgvnqv</t>
        </is>
      </c>
      <c r="D500" t="inlineStr">
        <is>
          <t>http://localhost:8787/api/admin/requirements/documents/cmm4yur0g042wcuqw7dqgvnqv/view</t>
        </is>
      </c>
      <c r="E500">
        <f>HYPERLÄNK("http://localhost:8787/api/admin/requirements/documents/cmm4yur0g042wcuqw7dqgvnqv/view";"Öppna PDF")</f>
        <v/>
      </c>
      <c r="F500">
        <f>HYPERLINK("http://localhost:8787/api/admin/requirements/documents/cmm4yur0g042wcuqw7dqgvnqv/view","Open PDF")</f>
        <v/>
      </c>
      <c r="G500" t="inlineStr">
        <is>
          <t>cmm55w57p0004cuisfrtpqly8</t>
        </is>
      </c>
      <c r="H500" t="inlineStr">
        <is>
          <t>Beslutsvillkor</t>
        </is>
      </c>
      <c r="I500" t="inlineStr">
        <is>
          <t>LagringsvolymTid</t>
        </is>
      </c>
      <c r="J500" t="inlineStr">
        <is>
          <t>Maxmangd</t>
        </is>
      </c>
      <c r="K500" t="inlineStr">
        <is>
          <t>mer än 10 ton men högst 30 000 ton och avfallet ska användas för byggnads- eller anläggningsändamål, eller 2.</t>
        </is>
      </c>
      <c r="L500" t="inlineStr">
        <is>
          <t>mer än 10 ton men högst 30 000 ton och avfallet ska användas för byggnads- eller anläggningsändamål, eller 2.</t>
        </is>
      </c>
      <c r="M500" t="inlineStr">
        <is>
          <t>SKA</t>
        </is>
      </c>
      <c r="N500" t="inlineStr"/>
      <c r="O500" t="inlineStr"/>
      <c r="P500" t="inlineStr"/>
      <c r="Q500" t="inlineStr"/>
      <c r="R500" t="inlineStr">
        <is>
          <t>Alltid</t>
        </is>
      </c>
      <c r="S500" t="inlineStr"/>
      <c r="T500" t="inlineStr"/>
      <c r="U500" t="n">
        <v>10</v>
      </c>
      <c r="V500" t="inlineStr"/>
      <c r="W500" t="inlineStr">
        <is>
          <t>Nej</t>
        </is>
      </c>
      <c r="X500" t="inlineStr">
        <is>
          <t>Nej</t>
        </is>
      </c>
      <c r="Y500" t="inlineStr">
        <is>
          <t>Nej</t>
        </is>
      </c>
      <c r="Z500" t="inlineStr">
        <is>
          <t>Nej</t>
        </is>
      </c>
      <c r="AA500" t="n">
        <v>4</v>
      </c>
      <c r="AB500" t="inlineStr">
        <is>
          <t>Avfallsmangder och lagringstid</t>
        </is>
      </c>
      <c r="AC500" t="inlineStr">
        <is>
          <t>Avfallsforteckning</t>
        </is>
      </c>
      <c r="AD500" t="inlineStr">
        <is>
          <t>Nej</t>
        </is>
      </c>
      <c r="AE500" t="inlineStr">
        <is>
          <t>Nej</t>
        </is>
      </c>
      <c r="AF500" t="inlineStr">
        <is>
          <t>Ej behandlad</t>
        </is>
      </c>
      <c r="AG500" t="inlineStr">
        <is>
          <t>AUTO_GENERERAD. Verifiera citat mot kallfil.</t>
        </is>
      </c>
      <c r="AH500" t="inlineStr">
        <is>
          <t>MEDIUM</t>
        </is>
      </c>
      <c r="AI500" t="inlineStr">
        <is>
          <t>AUTO</t>
        </is>
      </c>
      <c r="AJ500" t="inlineStr">
        <is>
          <t>Nej</t>
        </is>
      </c>
      <c r="AK500" t="inlineStr"/>
      <c r="AL500" t="inlineStr"/>
      <c r="AM500" t="inlineStr"/>
      <c r="AN500" t="inlineStr"/>
      <c r="AO500" t="inlineStr">
        <is>
          <t>cmm4yur0g042wcuqw7dqgvnqv</t>
        </is>
      </c>
      <c r="AP500" t="inlineStr">
        <is>
          <t>http://localhost:8787/api/admin/requirements/documents/cmm4yur0g042wcuqw7dqgvnqv/view</t>
        </is>
      </c>
      <c r="AQ500">
        <f>HYPERLÄNK("http://localhost:8787/api/admin/requirements/documents/cmm4yur0g042wcuqw7dqgvnqv/view";"Öppna PDF")</f>
        <v/>
      </c>
      <c r="AR500">
        <f>HYPERLINK("http://localhost:8787/api/admin/requirements/documents/cmm4yur0g042wcuqw7dqgvnqv/view","Open PDF")</f>
        <v/>
      </c>
      <c r="AS500" t="inlineStr">
        <is>
          <t>cmm55w57p0004cuisfrtpqly8</t>
        </is>
      </c>
      <c r="AT500" t="inlineStr">
        <is>
          <t>cmm4xvu980000cuh4vj0usz09</t>
        </is>
      </c>
      <c r="AU500" t="inlineStr"/>
      <c r="AV500" t="inlineStr">
        <is>
          <t>Kommun</t>
        </is>
      </c>
      <c r="AW500" t="inlineStr"/>
      <c r="AX500" t="inlineStr">
        <is>
          <t>2024-03</t>
        </is>
      </c>
      <c r="AY500" t="inlineStr">
        <is>
          <t>Beslut</t>
        </is>
      </c>
      <c r="AZ500" t="inlineStr">
        <is>
          <t>2026-02-05</t>
        </is>
      </c>
      <c r="BA500" t="inlineStr">
        <is>
          <t>MILJ2024450.pdf</t>
        </is>
      </c>
      <c r="BB500" t="inlineStr">
        <is>
          <t>Handlingar</t>
        </is>
      </c>
      <c r="BC500" t="inlineStr">
        <is>
          <t>AUTO</t>
        </is>
      </c>
      <c r="BD500" t="inlineStr"/>
      <c r="BE500" t="inlineStr"/>
      <c r="BF500" t="inlineStr">
        <is>
          <t>AUTO_GENERERAD. Bekrafta metadata mot kallfil.</t>
        </is>
      </c>
      <c r="BG500">
        <f>HYPERLINK("C:\Users\jimmy\Desktop\Examens arbete\Kod\Ny mapp\remix_-copy-of-miljöbeslut.se-portal\MILJ2024450.pdf", "Öppna PDF")</f>
        <v/>
      </c>
    </row>
    <row r="501">
      <c r="A501" t="inlineStr">
        <is>
          <t>KRAV-AUTO-000500</t>
        </is>
      </c>
      <c r="B501" t="inlineStr">
        <is>
          <t>ADMIN-INDEX-2026-02-27-00000000125C043F57453246863FE664CAFE6A3F0700950291EA24F0614FB6ACEDB12BF0E31D00000000010C0000950291EA24F0614FB6ACEDB12BF0E31D00002087A5C50000</t>
        </is>
      </c>
      <c r="C501" t="inlineStr">
        <is>
          <t>cmm4yur0d042tcuqwjrz1yvx7</t>
        </is>
      </c>
      <c r="D501" t="inlineStr">
        <is>
          <t>http://localhost:8787/api/admin/requirements/documents/cmm4yur0d042tcuqwjrz1yvx7/view</t>
        </is>
      </c>
      <c r="E501">
        <f>HYPERLÄNK("http://localhost:8787/api/admin/requirements/documents/cmm4yur0d042tcuqwjrz1yvx7/view";"Öppna PDF")</f>
        <v/>
      </c>
      <c r="F501">
        <f>HYPERLINK("http://localhost:8787/api/admin/requirements/documents/cmm4yur0d042tcuqwjrz1yvx7/view","Open PDF")</f>
        <v/>
      </c>
      <c r="G501" t="inlineStr">
        <is>
          <t>cmm55w57p0004cuisfrtpqly8</t>
        </is>
      </c>
      <c r="H501" t="inlineStr">
        <is>
          <t>Beslutsvillkor</t>
        </is>
      </c>
      <c r="I501" t="inlineStr">
        <is>
          <t>MiljopaverkanForsiktighet</t>
        </is>
      </c>
      <c r="J501" t="inlineStr">
        <is>
          <t>Skyddsatgarder</t>
        </is>
      </c>
      <c r="K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501" t="inlineStr">
        <is>
          <t>SKA</t>
        </is>
      </c>
      <c r="N501" t="inlineStr"/>
      <c r="O501" t="inlineStr"/>
      <c r="P501" t="inlineStr">
        <is>
          <t>Arlig</t>
        </is>
      </c>
      <c r="Q501" t="inlineStr"/>
      <c r="R501" t="inlineStr">
        <is>
          <t>Alltid</t>
        </is>
      </c>
      <c r="S501" t="inlineStr"/>
      <c r="T501" t="inlineStr"/>
      <c r="U501" t="inlineStr"/>
      <c r="V501" t="inlineStr"/>
      <c r="W501" t="inlineStr">
        <is>
          <t>Nej</t>
        </is>
      </c>
      <c r="X501" t="inlineStr">
        <is>
          <t>Nej</t>
        </is>
      </c>
      <c r="Y501" t="inlineStr">
        <is>
          <t>Nej</t>
        </is>
      </c>
      <c r="Z501" t="inlineStr">
        <is>
          <t>Nej</t>
        </is>
      </c>
      <c r="AA501" t="n">
        <v>10</v>
      </c>
      <c r="AB501" t="inlineStr">
        <is>
          <t>Miljopaverkan och forsiktighetsmatt</t>
        </is>
      </c>
      <c r="AC501" t="inlineStr">
        <is>
          <t>Miljo-PM</t>
        </is>
      </c>
      <c r="AD501" t="inlineStr">
        <is>
          <t>Nej</t>
        </is>
      </c>
      <c r="AE501" t="inlineStr">
        <is>
          <t>Nej</t>
        </is>
      </c>
      <c r="AF501" t="inlineStr">
        <is>
          <t>Ej behandlad</t>
        </is>
      </c>
      <c r="AG501" t="inlineStr">
        <is>
          <t>AUTO_GENERERAD. Verifiera citat mot kallfil.</t>
        </is>
      </c>
      <c r="AH501" t="inlineStr">
        <is>
          <t>MEDIUM</t>
        </is>
      </c>
      <c r="AI501" t="inlineStr">
        <is>
          <t>AUTO</t>
        </is>
      </c>
      <c r="AJ501" t="inlineStr">
        <is>
          <t>Nej</t>
        </is>
      </c>
      <c r="AK501" t="inlineStr"/>
      <c r="AL501" t="inlineStr"/>
      <c r="AM501" t="inlineStr"/>
      <c r="AN501" t="inlineStr"/>
      <c r="AO501" t="inlineStr">
        <is>
          <t>cmm4yur0g042wcuqw7dqgvnqv</t>
        </is>
      </c>
      <c r="AP501" t="inlineStr">
        <is>
          <t>http://localhost:8787/api/admin/requirements/documents/cmm4yur0g042wcuqw7dqgvnqv/view</t>
        </is>
      </c>
      <c r="AQ501">
        <f>HYPERLÄNK("http://localhost:8787/api/admin/requirements/documents/cmm4yur0g042wcuqw7dqgvnqv/view";"Öppna PDF")</f>
        <v/>
      </c>
      <c r="AR501">
        <f>HYPERLINK("http://localhost:8787/api/admin/requirements/documents/cmm4yur0g042wcuqw7dqgvnqv/view","Open PDF")</f>
        <v/>
      </c>
      <c r="AS501" t="inlineStr">
        <is>
          <t>cmm55w57p0004cuisfrtpqly8</t>
        </is>
      </c>
      <c r="AT501" t="inlineStr">
        <is>
          <t>cmm4xvu980000cuh4vj0usz09</t>
        </is>
      </c>
      <c r="AU501" t="inlineStr"/>
      <c r="AV501" t="inlineStr">
        <is>
          <t>Kommun</t>
        </is>
      </c>
      <c r="AW501" t="inlineStr"/>
      <c r="AX501" t="inlineStr">
        <is>
          <t>2024-03</t>
        </is>
      </c>
      <c r="AY501" t="inlineStr">
        <is>
          <t>Beslut</t>
        </is>
      </c>
      <c r="AZ501" t="inlineStr">
        <is>
          <t>2026-02-05</t>
        </is>
      </c>
      <c r="BA501" t="inlineStr">
        <is>
          <t>MILJ2024450.pdf</t>
        </is>
      </c>
      <c r="BB501" t="inlineStr">
        <is>
          <t>Handlingar</t>
        </is>
      </c>
      <c r="BC501" t="inlineStr">
        <is>
          <t>AUTO</t>
        </is>
      </c>
      <c r="BD501" t="inlineStr"/>
      <c r="BE501" t="inlineStr"/>
      <c r="BF501" t="inlineStr">
        <is>
          <t>AUTO_GENERERAD. Bekrafta metadata mot kallfil.</t>
        </is>
      </c>
      <c r="BG501">
        <f>HYPERLINK("C:\Users\jimmy\Desktop\Examens arbete\Kod\Ny mapp\remix_-copy-of-miljöbeslut.se-portal\MILJ2024450.pdf", "Öppna PDF")</f>
        <v/>
      </c>
    </row>
    <row r="502">
      <c r="A502" t="inlineStr">
        <is>
          <t>KRAV-AUTO-000501</t>
        </is>
      </c>
      <c r="B502" t="inlineStr">
        <is>
          <t>ADMIN-INDEX-2026-02-27-00000000125C043F57453246863FE664CAFE6A3F0700950291EA24F0614FB6ACEDB12BF0E31D00000000010C0000950291EA24F0614FB6ACEDB12BF0E31D00002087A5C50000</t>
        </is>
      </c>
      <c r="C502" t="inlineStr">
        <is>
          <t>cmm4yur0d042tcuqwjrz1yvx7</t>
        </is>
      </c>
      <c r="D502" t="inlineStr">
        <is>
          <t>http://localhost:8787/api/admin/requirements/documents/cmm4yur0d042tcuqwjrz1yvx7/view</t>
        </is>
      </c>
      <c r="E502">
        <f>HYPERLÄNK("http://localhost:8787/api/admin/requirements/documents/cmm4yur0d042tcuqwjrz1yvx7/view";"Öppna PDF")</f>
        <v/>
      </c>
      <c r="F502">
        <f>HYPERLINK("http://localhost:8787/api/admin/requirements/documents/cmm4yur0d042tcuqwjrz1yvx7/view","Open PDF")</f>
        <v/>
      </c>
      <c r="G502" t="inlineStr">
        <is>
          <t>cmm55w57p0004cuisfrtpqly8</t>
        </is>
      </c>
      <c r="H502" t="inlineStr">
        <is>
          <t>Beslutsvillkor</t>
        </is>
      </c>
      <c r="I502" t="inlineStr">
        <is>
          <t>DriftEgenkontroll</t>
        </is>
      </c>
      <c r="J502" t="inlineStr">
        <is>
          <t>Journalforing</t>
        </is>
      </c>
      <c r="K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502" t="inlineStr">
        <is>
          <t>SKA</t>
        </is>
      </c>
      <c r="N502" t="inlineStr"/>
      <c r="O502" t="inlineStr">
        <is>
          <t>2022-04-12</t>
        </is>
      </c>
      <c r="P502" t="inlineStr"/>
      <c r="Q502" t="inlineStr">
        <is>
          <t>Vite</t>
        </is>
      </c>
      <c r="R502" t="inlineStr">
        <is>
          <t>Lopande drift</t>
        </is>
      </c>
      <c r="S502" t="inlineStr"/>
      <c r="T502" t="inlineStr"/>
      <c r="U502" t="inlineStr"/>
      <c r="V502" t="inlineStr"/>
      <c r="W502" t="inlineStr">
        <is>
          <t>Nej</t>
        </is>
      </c>
      <c r="X502" t="inlineStr">
        <is>
          <t>Nej</t>
        </is>
      </c>
      <c r="Y502" t="inlineStr">
        <is>
          <t>Ja</t>
        </is>
      </c>
      <c r="Z502" t="inlineStr">
        <is>
          <t>Nej</t>
        </is>
      </c>
      <c r="AA502" t="n">
        <v>7</v>
      </c>
      <c r="AB502" t="inlineStr">
        <is>
          <t>Egenkontrollrutiner</t>
        </is>
      </c>
      <c r="AC502" t="inlineStr">
        <is>
          <t>Egenkontrollprogram</t>
        </is>
      </c>
      <c r="AD502" t="inlineStr">
        <is>
          <t>Nej</t>
        </is>
      </c>
      <c r="AE502" t="inlineStr">
        <is>
          <t>Nej</t>
        </is>
      </c>
      <c r="AF502" t="inlineStr">
        <is>
          <t>Ej behandlad</t>
        </is>
      </c>
      <c r="AG502" t="inlineStr">
        <is>
          <t>AUTO_GENERERAD. Verifiera citat mot kallfil.</t>
        </is>
      </c>
      <c r="AH502" t="inlineStr">
        <is>
          <t>MEDIUM</t>
        </is>
      </c>
      <c r="AI502" t="inlineStr">
        <is>
          <t>AUTO</t>
        </is>
      </c>
      <c r="AJ502" t="inlineStr">
        <is>
          <t>Nej</t>
        </is>
      </c>
      <c r="AK502" t="inlineStr"/>
      <c r="AL502" t="inlineStr"/>
      <c r="AM502" t="inlineStr"/>
      <c r="AN502" t="inlineStr"/>
      <c r="AO502" t="inlineStr">
        <is>
          <t>cmm4yur0g042wcuqw7dqgvnqv</t>
        </is>
      </c>
      <c r="AP502" t="inlineStr">
        <is>
          <t>http://localhost:8787/api/admin/requirements/documents/cmm4yur0g042wcuqw7dqgvnqv/view</t>
        </is>
      </c>
      <c r="AQ502">
        <f>HYPERLÄNK("http://localhost:8787/api/admin/requirements/documents/cmm4yur0g042wcuqw7dqgvnqv/view";"Öppna PDF")</f>
        <v/>
      </c>
      <c r="AR502">
        <f>HYPERLINK("http://localhost:8787/api/admin/requirements/documents/cmm4yur0g042wcuqw7dqgvnqv/view","Open PDF")</f>
        <v/>
      </c>
      <c r="AS502" t="inlineStr">
        <is>
          <t>cmm55w57p0004cuisfrtpqly8</t>
        </is>
      </c>
      <c r="AT502" t="inlineStr">
        <is>
          <t>cmm4xvu980000cuh4vj0usz09</t>
        </is>
      </c>
      <c r="AU502" t="inlineStr"/>
      <c r="AV502" t="inlineStr">
        <is>
          <t>Kommun</t>
        </is>
      </c>
      <c r="AW502" t="inlineStr"/>
      <c r="AX502" t="inlineStr">
        <is>
          <t>2024-03</t>
        </is>
      </c>
      <c r="AY502" t="inlineStr">
        <is>
          <t>Beslut</t>
        </is>
      </c>
      <c r="AZ502" t="inlineStr">
        <is>
          <t>2026-02-05</t>
        </is>
      </c>
      <c r="BA502" t="inlineStr">
        <is>
          <t>MILJ2024450.pdf</t>
        </is>
      </c>
      <c r="BB502" t="inlineStr">
        <is>
          <t>Handlingar</t>
        </is>
      </c>
      <c r="BC502" t="inlineStr">
        <is>
          <t>AUTO</t>
        </is>
      </c>
      <c r="BD502" t="inlineStr"/>
      <c r="BE502" t="inlineStr"/>
      <c r="BF502" t="inlineStr">
        <is>
          <t>AUTO_GENERERAD. Bekrafta metadata mot kallfil.</t>
        </is>
      </c>
      <c r="BG502">
        <f>HYPERLINK("C:\Users\jimmy\Desktop\Examens arbete\Kod\Ny mapp\remix_-copy-of-miljöbeslut.se-portal\MILJ2024450.pdf", "Öppna PDF")</f>
        <v/>
      </c>
    </row>
    <row r="503">
      <c r="A503" t="inlineStr">
        <is>
          <t>KRAV-AUTO-000502</t>
        </is>
      </c>
      <c r="B503" t="inlineStr">
        <is>
          <t>ADMIN-INDEX-2026-02-27-00000000125C043F57453246863FE664CAFE6A3F0700950291EA24F0614FB6ACEDB12BF0E31D00000000010C0000950291EA24F0614FB6ACEDB12BF0E31D00002087A5C50000</t>
        </is>
      </c>
      <c r="C503" t="inlineStr">
        <is>
          <t>cmm4yur0d042tcuqwjrz1yvx7</t>
        </is>
      </c>
      <c r="D503" t="inlineStr">
        <is>
          <t>http://localhost:8787/api/admin/requirements/documents/cmm4yur0d042tcuqwjrz1yvx7/view</t>
        </is>
      </c>
      <c r="E503">
        <f>HYPERLÄNK("http://localhost:8787/api/admin/requirements/documents/cmm4yur0d042tcuqwjrz1yvx7/view";"Öppna PDF")</f>
        <v/>
      </c>
      <c r="F503">
        <f>HYPERLINK("http://localhost:8787/api/admin/requirements/documents/cmm4yur0d042tcuqwjrz1yvx7/view","Open PDF")</f>
        <v/>
      </c>
      <c r="G503" t="inlineStr">
        <is>
          <t>cmm55w57p0004cuisfrtpqly8</t>
        </is>
      </c>
      <c r="H503" t="inlineStr">
        <is>
          <t>Beslutsvillkor</t>
        </is>
      </c>
      <c r="I503" t="inlineStr">
        <is>
          <t>Ytkonstruktion</t>
        </is>
      </c>
      <c r="J503" t="inlineStr">
        <is>
          <t>Tat yta</t>
        </is>
      </c>
      <c r="K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503" t="inlineStr">
        <is>
          <t>SKA</t>
        </is>
      </c>
      <c r="N503" t="inlineStr"/>
      <c r="O503" t="inlineStr"/>
      <c r="P503" t="inlineStr"/>
      <c r="Q503" t="inlineStr"/>
      <c r="R503" t="inlineStr">
        <is>
          <t>Vid mellanlagring av avfall</t>
        </is>
      </c>
      <c r="S503" t="inlineStr"/>
      <c r="T503" t="inlineStr">
        <is>
          <t>12 17 28</t>
        </is>
      </c>
      <c r="U503" t="inlineStr"/>
      <c r="V503" t="inlineStr"/>
      <c r="W503" t="inlineStr">
        <is>
          <t>Ja</t>
        </is>
      </c>
      <c r="X503" t="inlineStr">
        <is>
          <t>Nej</t>
        </is>
      </c>
      <c r="Y503" t="inlineStr">
        <is>
          <t>Nej</t>
        </is>
      </c>
      <c r="Z503" t="inlineStr">
        <is>
          <t>Nej</t>
        </is>
      </c>
      <c r="AA503" t="n">
        <v>5</v>
      </c>
      <c r="AB503" t="inlineStr">
        <is>
          <t>Teknisk beskrivning av platta</t>
        </is>
      </c>
      <c r="AC503" t="inlineStr">
        <is>
          <t>Teknisk ritning platta</t>
        </is>
      </c>
      <c r="AD503" t="inlineStr">
        <is>
          <t>Nej</t>
        </is>
      </c>
      <c r="AE503" t="inlineStr">
        <is>
          <t>Nej</t>
        </is>
      </c>
      <c r="AF503" t="inlineStr">
        <is>
          <t>Ej behandlad</t>
        </is>
      </c>
      <c r="AG503" t="inlineStr">
        <is>
          <t>AUTO_GENERERAD. Verifiera citat mot kallfil.</t>
        </is>
      </c>
      <c r="AH503" t="inlineStr">
        <is>
          <t>MEDIUM</t>
        </is>
      </c>
      <c r="AI503" t="inlineStr">
        <is>
          <t>AUTO</t>
        </is>
      </c>
      <c r="AJ503" t="inlineStr">
        <is>
          <t>Nej</t>
        </is>
      </c>
      <c r="AK503" t="inlineStr"/>
      <c r="AL503" t="inlineStr"/>
      <c r="AM503" t="inlineStr"/>
      <c r="AN503" t="inlineStr"/>
      <c r="AO503" t="inlineStr">
        <is>
          <t>cmm4yur0g042wcuqw7dqgvnqv</t>
        </is>
      </c>
      <c r="AP503" t="inlineStr">
        <is>
          <t>http://localhost:8787/api/admin/requirements/documents/cmm4yur0g042wcuqw7dqgvnqv/view</t>
        </is>
      </c>
      <c r="AQ503">
        <f>HYPERLÄNK("http://localhost:8787/api/admin/requirements/documents/cmm4yur0g042wcuqw7dqgvnqv/view";"Öppna PDF")</f>
        <v/>
      </c>
      <c r="AR503">
        <f>HYPERLINK("http://localhost:8787/api/admin/requirements/documents/cmm4yur0g042wcuqw7dqgvnqv/view","Open PDF")</f>
        <v/>
      </c>
      <c r="AS503" t="inlineStr">
        <is>
          <t>cmm55w57p0004cuisfrtpqly8</t>
        </is>
      </c>
      <c r="AT503" t="inlineStr">
        <is>
          <t>cmm4xvu980000cuh4vj0usz09</t>
        </is>
      </c>
      <c r="AU503" t="inlineStr"/>
      <c r="AV503" t="inlineStr">
        <is>
          <t>Kommun</t>
        </is>
      </c>
      <c r="AW503" t="inlineStr"/>
      <c r="AX503" t="inlineStr">
        <is>
          <t>2024-03</t>
        </is>
      </c>
      <c r="AY503" t="inlineStr">
        <is>
          <t>Beslut</t>
        </is>
      </c>
      <c r="AZ503" t="inlineStr">
        <is>
          <t>2026-02-05</t>
        </is>
      </c>
      <c r="BA503" t="inlineStr">
        <is>
          <t>MILJ2024450.pdf</t>
        </is>
      </c>
      <c r="BB503" t="inlineStr">
        <is>
          <t>Handlingar</t>
        </is>
      </c>
      <c r="BC503" t="inlineStr">
        <is>
          <t>AUTO</t>
        </is>
      </c>
      <c r="BD503" t="inlineStr"/>
      <c r="BE503" t="inlineStr"/>
      <c r="BF503" t="inlineStr">
        <is>
          <t>AUTO_GENERERAD. Bekrafta metadata mot kallfil.</t>
        </is>
      </c>
      <c r="BG503">
        <f>HYPERLINK("C:\Users\jimmy\Desktop\Examens arbete\Kod\Ny mapp\remix_-copy-of-miljöbeslut.se-portal\MILJ2024450.pdf", "Öppna PDF")</f>
        <v/>
      </c>
    </row>
    <row r="504">
      <c r="A504" t="inlineStr">
        <is>
          <t>KRAV-AUTO-000503</t>
        </is>
      </c>
      <c r="B504" t="inlineStr">
        <is>
          <t>ADMIN-INDEX-2026-02-27-00000000125C043F57453246863FE664CAFE6A3F0700950291EA24F0614FB6ACEDB12BF0E31D00000000010C0000950291EA24F0614FB6ACEDB12BF0E31D00002087A5C60000</t>
        </is>
      </c>
      <c r="C504" t="inlineStr">
        <is>
          <t>cmm4yur08042ncuqwokoyde4i</t>
        </is>
      </c>
      <c r="D504" t="inlineStr">
        <is>
          <t>http://localhost:8787/api/admin/requirements/documents/cmm4yur08042ncuqwokoyde4i/view</t>
        </is>
      </c>
      <c r="E504">
        <f>HYPERLÄNK("http://localhost:8787/api/admin/requirements/documents/cmm4yur08042ncuqwokoyde4i/view";"Öppna PDF")</f>
        <v/>
      </c>
      <c r="F504">
        <f>HYPERLINK("http://localhost:8787/api/admin/requirements/documents/cmm4yur08042ncuqwokoyde4i/view","Open PDF")</f>
        <v/>
      </c>
      <c r="G504" t="inlineStr">
        <is>
          <t>cmm55w57p0004cuisfrtpqly8</t>
        </is>
      </c>
      <c r="H504" t="inlineStr">
        <is>
          <t>Beslutsvillkor</t>
        </is>
      </c>
      <c r="I504" t="inlineStr">
        <is>
          <t>LagringsvolymTid</t>
        </is>
      </c>
      <c r="J504" t="inlineStr">
        <is>
          <t>Maxmangd</t>
        </is>
      </c>
      <c r="K504" t="inlineStr">
        <is>
          <t>· 90.80 - Att sortera icke-farligt avfall, om mängden avfall är mer än 1000 ton per kalenderår och avfallet ska användas för byggnads- eller anläggningsändamål, eller mer än 1 000 ton men högst 10 000 ton per kalenderår i andra fall.</t>
        </is>
      </c>
      <c r="L504" t="inlineStr">
        <is>
          <t>· 90.80 - Att sortera icke-farligt avfall, om mängden avfall är mer än 1000 ton per kalenderår och avfallet ska användas för byggnads- eller anläggningsändamål, eller mer än 1 000 ton men högst 10 000 ton per kalenderår i andra fall.</t>
        </is>
      </c>
      <c r="M504" t="inlineStr">
        <is>
          <t>SKA</t>
        </is>
      </c>
      <c r="N504" t="inlineStr"/>
      <c r="O504" t="inlineStr"/>
      <c r="P504" t="inlineStr">
        <is>
          <t>Arlig</t>
        </is>
      </c>
      <c r="Q504" t="inlineStr"/>
      <c r="R504" t="inlineStr">
        <is>
          <t>Alltid</t>
        </is>
      </c>
      <c r="S504" t="inlineStr"/>
      <c r="T504" t="inlineStr"/>
      <c r="U504" t="n">
        <v>1000</v>
      </c>
      <c r="V504" t="inlineStr"/>
      <c r="W504" t="inlineStr">
        <is>
          <t>Nej</t>
        </is>
      </c>
      <c r="X504" t="inlineStr">
        <is>
          <t>Nej</t>
        </is>
      </c>
      <c r="Y504" t="inlineStr">
        <is>
          <t>Nej</t>
        </is>
      </c>
      <c r="Z504" t="inlineStr">
        <is>
          <t>Nej</t>
        </is>
      </c>
      <c r="AA504" t="n">
        <v>4</v>
      </c>
      <c r="AB504" t="inlineStr">
        <is>
          <t>Avfallsmangder och lagringstid</t>
        </is>
      </c>
      <c r="AC504" t="inlineStr">
        <is>
          <t>Avfallsforteckning</t>
        </is>
      </c>
      <c r="AD504" t="inlineStr">
        <is>
          <t>Nej</t>
        </is>
      </c>
      <c r="AE504" t="inlineStr">
        <is>
          <t>Nej</t>
        </is>
      </c>
      <c r="AF504" t="inlineStr">
        <is>
          <t>Ej behandlad</t>
        </is>
      </c>
      <c r="AG504" t="inlineStr">
        <is>
          <t>AUTO_GENERERAD. Verifiera citat mot kallfil.</t>
        </is>
      </c>
      <c r="AH504" t="inlineStr">
        <is>
          <t>MEDIUM</t>
        </is>
      </c>
      <c r="AI504" t="inlineStr">
        <is>
          <t>AUTO</t>
        </is>
      </c>
      <c r="AJ504" t="inlineStr">
        <is>
          <t>Nej</t>
        </is>
      </c>
      <c r="AK504" t="inlineStr"/>
      <c r="AL504" t="inlineStr"/>
      <c r="AM504" t="inlineStr"/>
      <c r="AN504" t="inlineStr"/>
      <c r="AO504" t="inlineStr">
        <is>
          <t>cmm4yur0a042qcuqwf2d6fl9v</t>
        </is>
      </c>
      <c r="AP504" t="inlineStr">
        <is>
          <t>http://localhost:8787/api/admin/requirements/documents/cmm4yur0a042qcuqwf2d6fl9v/view</t>
        </is>
      </c>
      <c r="AQ504">
        <f>HYPERLÄNK("http://localhost:8787/api/admin/requirements/documents/cmm4yur0a042qcuqwf2d6fl9v/view";"Öppna PDF")</f>
        <v/>
      </c>
      <c r="AR504">
        <f>HYPERLINK("http://localhost:8787/api/admin/requirements/documents/cmm4yur0a042qcuqwf2d6fl9v/view","Open PDF")</f>
        <v/>
      </c>
      <c r="AS504" t="inlineStr">
        <is>
          <t>cmm55w57p0004cuisfrtpqly8</t>
        </is>
      </c>
      <c r="AT504" t="inlineStr">
        <is>
          <t>cmm4xvu980000cuh4vj0usz09</t>
        </is>
      </c>
      <c r="AU504" t="inlineStr"/>
      <c r="AV504" t="inlineStr">
        <is>
          <t>Kommun</t>
        </is>
      </c>
      <c r="AW504" t="inlineStr"/>
      <c r="AX504" t="inlineStr">
        <is>
          <t>2024-09</t>
        </is>
      </c>
      <c r="AY504" t="inlineStr">
        <is>
          <t>Beslut</t>
        </is>
      </c>
      <c r="AZ504" t="inlineStr">
        <is>
          <t>2026-02-05</t>
        </is>
      </c>
      <c r="BA504" t="inlineStr">
        <is>
          <t>MILJ20241464.pdf</t>
        </is>
      </c>
      <c r="BB504" t="inlineStr">
        <is>
          <t>Handlingar</t>
        </is>
      </c>
      <c r="BC504" t="inlineStr">
        <is>
          <t>AUTO</t>
        </is>
      </c>
      <c r="BD504" t="inlineStr"/>
      <c r="BE504" t="inlineStr"/>
      <c r="BF504" t="inlineStr">
        <is>
          <t>AUTO_GENERERAD. Bekrafta metadata mot kallfil.</t>
        </is>
      </c>
      <c r="BG504">
        <f>HYPERLINK("C:\Users\jimmy\Desktop\Examens arbete\Kod\Ny mapp\remix_-copy-of-miljöbeslut.se-portal\MILJ20241464.pdf", "Öppna PDF")</f>
        <v/>
      </c>
    </row>
    <row r="505">
      <c r="A505" t="inlineStr">
        <is>
          <t>KRAV-AUTO-000504</t>
        </is>
      </c>
      <c r="B505" t="inlineStr">
        <is>
          <t>ADMIN-INDEX-2026-02-27-00000000125C043F57453246863FE664CAFE6A3F0700950291EA24F0614FB6ACEDB12BF0E31D00000000010C0000950291EA24F0614FB6ACEDB12BF0E31D00002087A5C60000</t>
        </is>
      </c>
      <c r="C505" t="inlineStr">
        <is>
          <t>cmm4yur08042ncuqwokoyde4i</t>
        </is>
      </c>
      <c r="D505" t="inlineStr">
        <is>
          <t>http://localhost:8787/api/admin/requirements/documents/cmm4yur08042ncuqwokoyde4i/view</t>
        </is>
      </c>
      <c r="E505">
        <f>HYPERLÄNK("http://localhost:8787/api/admin/requirements/documents/cmm4yur08042ncuqwokoyde4i/view";"Öppna PDF")</f>
        <v/>
      </c>
      <c r="F505">
        <f>HYPERLINK("http://localhost:8787/api/admin/requirements/documents/cmm4yur08042ncuqwokoyde4i/view","Open PDF")</f>
        <v/>
      </c>
      <c r="G505" t="inlineStr">
        <is>
          <t>cmm55w57p0004cuisfrtpqly8</t>
        </is>
      </c>
      <c r="H505" t="inlineStr">
        <is>
          <t>Beslutsvillkor</t>
        </is>
      </c>
      <c r="I505" t="inlineStr">
        <is>
          <t>LagringsvolymTid</t>
        </is>
      </c>
      <c r="J505" t="inlineStr">
        <is>
          <t>Maxmangd</t>
        </is>
      </c>
      <c r="K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505" t="inlineStr">
        <is>
          <t>SKA</t>
        </is>
      </c>
      <c r="N505" t="inlineStr">
        <is>
          <t>MPF</t>
        </is>
      </c>
      <c r="O505" t="inlineStr"/>
      <c r="P505" t="inlineStr">
        <is>
          <t>Arlig</t>
        </is>
      </c>
      <c r="Q505" t="inlineStr"/>
      <c r="R505" t="inlineStr">
        <is>
          <t>Alltid</t>
        </is>
      </c>
      <c r="S505" t="inlineStr"/>
      <c r="T505" t="inlineStr"/>
      <c r="U505" t="n">
        <v>10</v>
      </c>
      <c r="V505" t="inlineStr"/>
      <c r="W505" t="inlineStr">
        <is>
          <t>Nej</t>
        </is>
      </c>
      <c r="X505" t="inlineStr">
        <is>
          <t>Nej</t>
        </is>
      </c>
      <c r="Y505" t="inlineStr">
        <is>
          <t>Nej</t>
        </is>
      </c>
      <c r="Z505" t="inlineStr">
        <is>
          <t>Nej</t>
        </is>
      </c>
      <c r="AA505" t="n">
        <v>4</v>
      </c>
      <c r="AB505" t="inlineStr">
        <is>
          <t>Avfallsmangder och lagringstid</t>
        </is>
      </c>
      <c r="AC505" t="inlineStr">
        <is>
          <t>Avfallsforteckning</t>
        </is>
      </c>
      <c r="AD505" t="inlineStr">
        <is>
          <t>Nej</t>
        </is>
      </c>
      <c r="AE505" t="inlineStr">
        <is>
          <t>Nej</t>
        </is>
      </c>
      <c r="AF505" t="inlineStr">
        <is>
          <t>Ej behandlad</t>
        </is>
      </c>
      <c r="AG505" t="inlineStr">
        <is>
          <t>AUTO_GENERERAD. Verifiera citat mot kallfil.</t>
        </is>
      </c>
      <c r="AH505" t="inlineStr">
        <is>
          <t>MEDIUM</t>
        </is>
      </c>
      <c r="AI505" t="inlineStr">
        <is>
          <t>AUTO</t>
        </is>
      </c>
      <c r="AJ505" t="inlineStr">
        <is>
          <t>Nej</t>
        </is>
      </c>
      <c r="AK505" t="inlineStr"/>
      <c r="AL505" t="inlineStr"/>
      <c r="AM505" t="inlineStr"/>
      <c r="AN505" t="inlineStr"/>
      <c r="AO505" t="inlineStr">
        <is>
          <t>cmm4yur0a042qcuqwf2d6fl9v</t>
        </is>
      </c>
      <c r="AP505" t="inlineStr">
        <is>
          <t>http://localhost:8787/api/admin/requirements/documents/cmm4yur0a042qcuqwf2d6fl9v/view</t>
        </is>
      </c>
      <c r="AQ505">
        <f>HYPERLÄNK("http://localhost:8787/api/admin/requirements/documents/cmm4yur0a042qcuqwf2d6fl9v/view";"Öppna PDF")</f>
        <v/>
      </c>
      <c r="AR505">
        <f>HYPERLINK("http://localhost:8787/api/admin/requirements/documents/cmm4yur0a042qcuqwf2d6fl9v/view","Open PDF")</f>
        <v/>
      </c>
      <c r="AS505" t="inlineStr">
        <is>
          <t>cmm55w57p0004cuisfrtpqly8</t>
        </is>
      </c>
      <c r="AT505" t="inlineStr">
        <is>
          <t>cmm4xvu980000cuh4vj0usz09</t>
        </is>
      </c>
      <c r="AU505" t="inlineStr"/>
      <c r="AV505" t="inlineStr">
        <is>
          <t>Kommun</t>
        </is>
      </c>
      <c r="AW505" t="inlineStr"/>
      <c r="AX505" t="inlineStr">
        <is>
          <t>2024-09</t>
        </is>
      </c>
      <c r="AY505" t="inlineStr">
        <is>
          <t>Beslut</t>
        </is>
      </c>
      <c r="AZ505" t="inlineStr">
        <is>
          <t>2026-02-05</t>
        </is>
      </c>
      <c r="BA505" t="inlineStr">
        <is>
          <t>MILJ20241464.pdf</t>
        </is>
      </c>
      <c r="BB505" t="inlineStr">
        <is>
          <t>Handlingar</t>
        </is>
      </c>
      <c r="BC505" t="inlineStr">
        <is>
          <t>AUTO</t>
        </is>
      </c>
      <c r="BD505" t="inlineStr"/>
      <c r="BE505" t="inlineStr"/>
      <c r="BF505" t="inlineStr">
        <is>
          <t>AUTO_GENERERAD. Bekrafta metadata mot kallfil.</t>
        </is>
      </c>
      <c r="BG505">
        <f>HYPERLINK("C:\Users\jimmy\Desktop\Examens arbete\Kod\Ny mapp\remix_-copy-of-miljöbeslut.se-portal\MILJ20241464.pdf", "Öppna PDF")</f>
        <v/>
      </c>
    </row>
    <row r="506">
      <c r="A506" t="inlineStr">
        <is>
          <t>KRAV-AUTO-000505</t>
        </is>
      </c>
      <c r="B506" t="inlineStr">
        <is>
          <t>ADMIN-INDEX-2026-02-27-00000000125C043F57453246863FE664CAFE6A3F0700950291EA24F0614FB6ACEDB12BF0E31D00000000010C0000950291EA24F0614FB6ACEDB12BF0E31D00002087A5C60000</t>
        </is>
      </c>
      <c r="C506" t="inlineStr">
        <is>
          <t>cmm4yur08042ncuqwokoyde4i</t>
        </is>
      </c>
      <c r="D506" t="inlineStr">
        <is>
          <t>http://localhost:8787/api/admin/requirements/documents/cmm4yur08042ncuqwokoyde4i/view</t>
        </is>
      </c>
      <c r="E506">
        <f>HYPERLÄNK("http://localhost:8787/api/admin/requirements/documents/cmm4yur08042ncuqwokoyde4i/view";"Öppna PDF")</f>
        <v/>
      </c>
      <c r="F506">
        <f>HYPERLINK("http://localhost:8787/api/admin/requirements/documents/cmm4yur08042ncuqwokoyde4i/view","Open PDF")</f>
        <v/>
      </c>
      <c r="G506" t="inlineStr">
        <is>
          <t>cmm55w57p0004cuisfrtpqly8</t>
        </is>
      </c>
      <c r="H506" t="inlineStr">
        <is>
          <t>Beslutsvillkor</t>
        </is>
      </c>
      <c r="I506" t="inlineStr">
        <is>
          <t>LagringsvolymTid</t>
        </is>
      </c>
      <c r="J506" t="inlineStr">
        <is>
          <t>Maxmangd</t>
        </is>
      </c>
      <c r="K506" t="inlineStr">
        <is>
          <t>mer än 10 ton men högst 30 000 ton och avfallet ska användas för byggnads- eller anläggningsändamål, eller 2.</t>
        </is>
      </c>
      <c r="L506" t="inlineStr">
        <is>
          <t>mer än 10 ton men högst 30 000 ton och avfallet ska användas för byggnads- eller anläggningsändamål, eller 2.</t>
        </is>
      </c>
      <c r="M506" t="inlineStr">
        <is>
          <t>SKA</t>
        </is>
      </c>
      <c r="N506" t="inlineStr"/>
      <c r="O506" t="inlineStr"/>
      <c r="P506" t="inlineStr"/>
      <c r="Q506" t="inlineStr"/>
      <c r="R506" t="inlineStr">
        <is>
          <t>Alltid</t>
        </is>
      </c>
      <c r="S506" t="inlineStr"/>
      <c r="T506" t="inlineStr"/>
      <c r="U506" t="n">
        <v>10</v>
      </c>
      <c r="V506" t="inlineStr"/>
      <c r="W506" t="inlineStr">
        <is>
          <t>Nej</t>
        </is>
      </c>
      <c r="X506" t="inlineStr">
        <is>
          <t>Nej</t>
        </is>
      </c>
      <c r="Y506" t="inlineStr">
        <is>
          <t>Nej</t>
        </is>
      </c>
      <c r="Z506" t="inlineStr">
        <is>
          <t>Nej</t>
        </is>
      </c>
      <c r="AA506" t="n">
        <v>4</v>
      </c>
      <c r="AB506" t="inlineStr">
        <is>
          <t>Avfallsmangder och lagringstid</t>
        </is>
      </c>
      <c r="AC506" t="inlineStr">
        <is>
          <t>Avfallsforteckning</t>
        </is>
      </c>
      <c r="AD506" t="inlineStr">
        <is>
          <t>Nej</t>
        </is>
      </c>
      <c r="AE506" t="inlineStr">
        <is>
          <t>Nej</t>
        </is>
      </c>
      <c r="AF506" t="inlineStr">
        <is>
          <t>Ej behandlad</t>
        </is>
      </c>
      <c r="AG506" t="inlineStr">
        <is>
          <t>AUTO_GENERERAD. Verifiera citat mot kallfil.</t>
        </is>
      </c>
      <c r="AH506" t="inlineStr">
        <is>
          <t>MEDIUM</t>
        </is>
      </c>
      <c r="AI506" t="inlineStr">
        <is>
          <t>AUTO</t>
        </is>
      </c>
      <c r="AJ506" t="inlineStr">
        <is>
          <t>Nej</t>
        </is>
      </c>
      <c r="AK506" t="inlineStr"/>
      <c r="AL506" t="inlineStr"/>
      <c r="AM506" t="inlineStr"/>
      <c r="AN506" t="inlineStr"/>
      <c r="AO506" t="inlineStr">
        <is>
          <t>cmm4yur0a042qcuqwf2d6fl9v</t>
        </is>
      </c>
      <c r="AP506" t="inlineStr">
        <is>
          <t>http://localhost:8787/api/admin/requirements/documents/cmm4yur0a042qcuqwf2d6fl9v/view</t>
        </is>
      </c>
      <c r="AQ506">
        <f>HYPERLÄNK("http://localhost:8787/api/admin/requirements/documents/cmm4yur0a042qcuqwf2d6fl9v/view";"Öppna PDF")</f>
        <v/>
      </c>
      <c r="AR506">
        <f>HYPERLINK("http://localhost:8787/api/admin/requirements/documents/cmm4yur0a042qcuqwf2d6fl9v/view","Open PDF")</f>
        <v/>
      </c>
      <c r="AS506" t="inlineStr">
        <is>
          <t>cmm55w57p0004cuisfrtpqly8</t>
        </is>
      </c>
      <c r="AT506" t="inlineStr">
        <is>
          <t>cmm4xvu980000cuh4vj0usz09</t>
        </is>
      </c>
      <c r="AU506" t="inlineStr"/>
      <c r="AV506" t="inlineStr">
        <is>
          <t>Kommun</t>
        </is>
      </c>
      <c r="AW506" t="inlineStr"/>
      <c r="AX506" t="inlineStr">
        <is>
          <t>2024-09</t>
        </is>
      </c>
      <c r="AY506" t="inlineStr">
        <is>
          <t>Beslut</t>
        </is>
      </c>
      <c r="AZ506" t="inlineStr">
        <is>
          <t>2026-02-05</t>
        </is>
      </c>
      <c r="BA506" t="inlineStr">
        <is>
          <t>MILJ20241464.pdf</t>
        </is>
      </c>
      <c r="BB506" t="inlineStr">
        <is>
          <t>Handlingar</t>
        </is>
      </c>
      <c r="BC506" t="inlineStr">
        <is>
          <t>AUTO</t>
        </is>
      </c>
      <c r="BD506" t="inlineStr"/>
      <c r="BE506" t="inlineStr"/>
      <c r="BF506" t="inlineStr">
        <is>
          <t>AUTO_GENERERAD. Bekrafta metadata mot kallfil.</t>
        </is>
      </c>
      <c r="BG506">
        <f>HYPERLINK("C:\Users\jimmy\Desktop\Examens arbete\Kod\Ny mapp\remix_-copy-of-miljöbeslut.se-portal\MILJ20241464.pdf", "Öppna PDF")</f>
        <v/>
      </c>
    </row>
    <row r="507">
      <c r="A507" t="inlineStr">
        <is>
          <t>KRAV-AUTO-000506</t>
        </is>
      </c>
      <c r="B507" t="inlineStr">
        <is>
          <t>ADMIN-INDEX-2026-02-27-00000000125C043F57453246863FE664CAFE6A3F0700950291EA24F0614FB6ACEDB12BF0E31D00000000010C0000950291EA24F0614FB6ACEDB12BF0E31D00002087A5CC0000</t>
        </is>
      </c>
      <c r="C507" t="inlineStr">
        <is>
          <t>cmm4yuqzv0428cuqw5ms9lenv</t>
        </is>
      </c>
      <c r="D507" t="inlineStr">
        <is>
          <t>http://localhost:8787/api/admin/requirements/documents/cmm4yuqzv0428cuqw5ms9lenv/view</t>
        </is>
      </c>
      <c r="E507">
        <f>HYPERLÄNK("http://localhost:8787/api/admin/requirements/documents/cmm4yuqzv0428cuqw5ms9lenv/view";"Öppna PDF")</f>
        <v/>
      </c>
      <c r="F507">
        <f>HYPERLINK("http://localhost:8787/api/admin/requirements/documents/cmm4yuqzv0428cuqw5ms9lenv/view","Open PDF")</f>
        <v/>
      </c>
      <c r="G507" t="inlineStr">
        <is>
          <t>cmm55w57p0004cuisfrtpqly8</t>
        </is>
      </c>
      <c r="H507" t="inlineStr">
        <is>
          <t>Informationskrav</t>
        </is>
      </c>
      <c r="I507" t="inlineStr">
        <is>
          <t>DagvattenLakvatten</t>
        </is>
      </c>
      <c r="J507" t="inlineStr">
        <is>
          <t>Uppsamling</t>
        </is>
      </c>
      <c r="K507" t="inlineStr">
        <is>
          <t>En uppdelning bör göras på process- kyl-, sanitärt- och dagvatten.</t>
        </is>
      </c>
      <c r="L507" t="inlineStr">
        <is>
          <t>En uppdelning bör göras på process- kyl-, sanitärt- och dagvatten.</t>
        </is>
      </c>
      <c r="M507" t="inlineStr">
        <is>
          <t>BOR</t>
        </is>
      </c>
      <c r="N507" t="inlineStr">
        <is>
          <t>FMH</t>
        </is>
      </c>
      <c r="O507" t="inlineStr"/>
      <c r="P507" t="inlineStr"/>
      <c r="Q507" t="inlineStr"/>
      <c r="R507" t="inlineStr">
        <is>
          <t>Vid nederbord och avrinning</t>
        </is>
      </c>
      <c r="S507" t="inlineStr"/>
      <c r="T507" t="inlineStr"/>
      <c r="U507" t="inlineStr"/>
      <c r="V507" t="inlineStr"/>
      <c r="W507" t="inlineStr">
        <is>
          <t>Nej</t>
        </is>
      </c>
      <c r="X507" t="inlineStr">
        <is>
          <t>Ja</t>
        </is>
      </c>
      <c r="Y507" t="inlineStr">
        <is>
          <t>Ja</t>
        </is>
      </c>
      <c r="Z507" t="inlineStr">
        <is>
          <t>Nej</t>
        </is>
      </c>
      <c r="AA507" t="n">
        <v>6</v>
      </c>
      <c r="AB507" t="inlineStr">
        <is>
          <t>Lakvattenhantering</t>
        </is>
      </c>
      <c r="AC507" t="inlineStr">
        <is>
          <t>Flodesschema dagvatten-lakvatten</t>
        </is>
      </c>
      <c r="AD507" t="inlineStr">
        <is>
          <t>Nej</t>
        </is>
      </c>
      <c r="AE507" t="inlineStr">
        <is>
          <t>Nej</t>
        </is>
      </c>
      <c r="AF507" t="inlineStr">
        <is>
          <t>Ej behandlad</t>
        </is>
      </c>
      <c r="AG507" t="inlineStr">
        <is>
          <t>AUTO_GENERERAD. Verifiera citat mot kallfil.</t>
        </is>
      </c>
      <c r="AH507" t="inlineStr">
        <is>
          <t>MEDIUM</t>
        </is>
      </c>
      <c r="AI507" t="inlineStr">
        <is>
          <t>AUTO</t>
        </is>
      </c>
      <c r="AJ507" t="inlineStr">
        <is>
          <t>Nej</t>
        </is>
      </c>
      <c r="AK507" t="inlineStr"/>
      <c r="AL507" t="inlineStr"/>
      <c r="AM507" t="inlineStr"/>
      <c r="AN507" t="inlineStr"/>
      <c r="AO507" t="inlineStr">
        <is>
          <t>cmm4yuqzv0428cuqw5ms9lenv</t>
        </is>
      </c>
      <c r="AP507" t="inlineStr">
        <is>
          <t>http://localhost:8787/api/admin/requirements/documents/cmm4yuqzv0428cuqw5ms9lenv/view</t>
        </is>
      </c>
      <c r="AQ507">
        <f>HYPERLÄNK("http://localhost:8787/api/admin/requirements/documents/cmm4yuqzv0428cuqw5ms9lenv/view";"Öppna PDF")</f>
        <v/>
      </c>
      <c r="AR507">
        <f>HYPERLINK("http://localhost:8787/api/admin/requirements/documents/cmm4yuqzv0428cuqw5ms9lenv/view","Open PDF")</f>
        <v/>
      </c>
      <c r="AS507" t="inlineStr">
        <is>
          <t>cmm55w57p0004cuisfrtpqly8</t>
        </is>
      </c>
      <c r="AT507" t="inlineStr">
        <is>
          <t>cmm4xvu980000cuh4vj0usz09</t>
        </is>
      </c>
      <c r="AU507" t="inlineStr"/>
      <c r="AV507" t="inlineStr">
        <is>
          <t>Kommun</t>
        </is>
      </c>
      <c r="AW507" t="inlineStr"/>
      <c r="AX507" t="inlineStr">
        <is>
          <t>2023-12</t>
        </is>
      </c>
      <c r="AY507" t="inlineStr">
        <is>
          <t>Anmalan</t>
        </is>
      </c>
      <c r="AZ507" t="inlineStr">
        <is>
          <t>2026-02-05</t>
        </is>
      </c>
      <c r="BA507" t="inlineStr">
        <is>
          <t>Anmälan om miljöfarlig verksamhet - signed.pdf</t>
        </is>
      </c>
      <c r="BB507" t="inlineStr">
        <is>
          <t>Sv: till registrator</t>
        </is>
      </c>
      <c r="BC507" t="inlineStr">
        <is>
          <t>AUTO</t>
        </is>
      </c>
      <c r="BD507" t="inlineStr"/>
      <c r="BE507" t="inlineStr"/>
      <c r="BF507" t="inlineStr">
        <is>
          <t>AUTO_GENERERAD. Bekrafta metadata mot kallfil.</t>
        </is>
      </c>
      <c r="BG507">
        <f>HYPERLINK("C:\Users\jimmy\Desktop\Examens arbete\Kod\Ny mapp\remix_-copy-of-miljöbeslut.se-portal\Anmälan om miljöfarlig verksamhet - signed.pdf", "Öppna PDF")</f>
        <v/>
      </c>
    </row>
    <row r="508">
      <c r="A508" t="inlineStr">
        <is>
          <t>KRAV-AUTO-000507</t>
        </is>
      </c>
      <c r="B508" t="inlineStr">
        <is>
          <t>ADMIN-INDEX-2026-02-27-00000000125C043F57453246863FE664CAFE6A3F0700950291EA24F0614FB6ACEDB12BF0E31D00000000010C0000950291EA24F0614FB6ACEDB12BF0E31D00002087A5CC0000</t>
        </is>
      </c>
      <c r="C508" t="inlineStr">
        <is>
          <t>cmm4yuqzv0428cuqw5ms9lenv</t>
        </is>
      </c>
      <c r="D508" t="inlineStr">
        <is>
          <t>http://localhost:8787/api/admin/requirements/documents/cmm4yuqzv0428cuqw5ms9lenv/view</t>
        </is>
      </c>
      <c r="E508">
        <f>HYPERLÄNK("http://localhost:8787/api/admin/requirements/documents/cmm4yuqzv0428cuqw5ms9lenv/view";"Öppna PDF")</f>
        <v/>
      </c>
      <c r="F508">
        <f>HYPERLINK("http://localhost:8787/api/admin/requirements/documents/cmm4yuqzv0428cuqw5ms9lenv/view","Open PDF")</f>
        <v/>
      </c>
      <c r="G508" t="inlineStr">
        <is>
          <t>cmm55w57p0004cuisfrtpqly8</t>
        </is>
      </c>
      <c r="H508" t="inlineStr">
        <is>
          <t>Informationskrav</t>
        </is>
      </c>
      <c r="I508" t="inlineStr">
        <is>
          <t>LagringsvolymTid</t>
        </is>
      </c>
      <c r="J508" t="inlineStr">
        <is>
          <t>Maxmangd</t>
        </is>
      </c>
      <c r="K508" t="inlineStr">
        <is>
          <t>Övrigt avfall Ange vilket övrigt avfall som uppkommer i verksamheten, eller sådant material som går till åt i i Material/avfall Mängd/år (ange om större mängder) Mellanlagras på angiven och isolerad plats, transporteras bort varteftersom.</t>
        </is>
      </c>
      <c r="L508" t="inlineStr">
        <is>
          <t>Övrigt avfall Ange vilket övrigt avfall som uppkommer i verksamheten, eller sådant material som går till åt i i Material/avfall Mängd/år (ange om större mängder) Mellanlagras på angiven och isolerad plats, transporteras bort varteftersom.</t>
        </is>
      </c>
      <c r="M508" t="inlineStr">
        <is>
          <t>BOR</t>
        </is>
      </c>
      <c r="N508" t="inlineStr">
        <is>
          <t>FMH</t>
        </is>
      </c>
      <c r="O508" t="inlineStr"/>
      <c r="P508" t="inlineStr"/>
      <c r="Q508" t="inlineStr"/>
      <c r="R508" t="inlineStr">
        <is>
          <t>Alltid</t>
        </is>
      </c>
      <c r="S508" t="inlineStr"/>
      <c r="T508" t="inlineStr"/>
      <c r="U508" t="inlineStr"/>
      <c r="V508" t="inlineStr"/>
      <c r="W508" t="inlineStr">
        <is>
          <t>Nej</t>
        </is>
      </c>
      <c r="X508" t="inlineStr">
        <is>
          <t>Nej</t>
        </is>
      </c>
      <c r="Y508" t="inlineStr">
        <is>
          <t>Nej</t>
        </is>
      </c>
      <c r="Z508" t="inlineStr">
        <is>
          <t>Nej</t>
        </is>
      </c>
      <c r="AA508" t="n">
        <v>4</v>
      </c>
      <c r="AB508" t="inlineStr">
        <is>
          <t>Avfallsmangder och lagringstid</t>
        </is>
      </c>
      <c r="AC508" t="inlineStr">
        <is>
          <t>Avfallsforteckning</t>
        </is>
      </c>
      <c r="AD508" t="inlineStr">
        <is>
          <t>Nej</t>
        </is>
      </c>
      <c r="AE508" t="inlineStr">
        <is>
          <t>Nej</t>
        </is>
      </c>
      <c r="AF508" t="inlineStr">
        <is>
          <t>Ej behandlad</t>
        </is>
      </c>
      <c r="AG508" t="inlineStr">
        <is>
          <t>AUTO_GENERERAD. Verifiera citat mot kallfil.</t>
        </is>
      </c>
      <c r="AH508" t="inlineStr">
        <is>
          <t>MEDIUM</t>
        </is>
      </c>
      <c r="AI508" t="inlineStr">
        <is>
          <t>AUTO</t>
        </is>
      </c>
      <c r="AJ508" t="inlineStr">
        <is>
          <t>Nej</t>
        </is>
      </c>
      <c r="AK508" t="inlineStr"/>
      <c r="AL508" t="inlineStr"/>
      <c r="AM508" t="inlineStr"/>
      <c r="AN508" t="inlineStr"/>
      <c r="AO508" t="inlineStr">
        <is>
          <t>cmm4yuqzv0428cuqw5ms9lenv</t>
        </is>
      </c>
      <c r="AP508" t="inlineStr">
        <is>
          <t>http://localhost:8787/api/admin/requirements/documents/cmm4yuqzv0428cuqw5ms9lenv/view</t>
        </is>
      </c>
      <c r="AQ508">
        <f>HYPERLÄNK("http://localhost:8787/api/admin/requirements/documents/cmm4yuqzv0428cuqw5ms9lenv/view";"Öppna PDF")</f>
        <v/>
      </c>
      <c r="AR508">
        <f>HYPERLINK("http://localhost:8787/api/admin/requirements/documents/cmm4yuqzv0428cuqw5ms9lenv/view","Open PDF")</f>
        <v/>
      </c>
      <c r="AS508" t="inlineStr">
        <is>
          <t>cmm55w57p0004cuisfrtpqly8</t>
        </is>
      </c>
      <c r="AT508" t="inlineStr">
        <is>
          <t>cmm4xvu980000cuh4vj0usz09</t>
        </is>
      </c>
      <c r="AU508" t="inlineStr"/>
      <c r="AV508" t="inlineStr">
        <is>
          <t>Kommun</t>
        </is>
      </c>
      <c r="AW508" t="inlineStr"/>
      <c r="AX508" t="inlineStr">
        <is>
          <t>2023-12</t>
        </is>
      </c>
      <c r="AY508" t="inlineStr">
        <is>
          <t>Anmalan</t>
        </is>
      </c>
      <c r="AZ508" t="inlineStr">
        <is>
          <t>2026-02-05</t>
        </is>
      </c>
      <c r="BA508" t="inlineStr">
        <is>
          <t>Anmälan om miljöfarlig verksamhet - signed.pdf</t>
        </is>
      </c>
      <c r="BB508" t="inlineStr">
        <is>
          <t>Sv: till registrator</t>
        </is>
      </c>
      <c r="BC508" t="inlineStr">
        <is>
          <t>AUTO</t>
        </is>
      </c>
      <c r="BD508" t="inlineStr"/>
      <c r="BE508" t="inlineStr"/>
      <c r="BF508" t="inlineStr">
        <is>
          <t>AUTO_GENERERAD. Bekrafta metadata mot kallfil.</t>
        </is>
      </c>
      <c r="BG508">
        <f>HYPERLINK("C:\Users\jimmy\Desktop\Examens arbete\Kod\Ny mapp\remix_-copy-of-miljöbeslut.se-portal\Anmälan om miljöfarlig verksamhet - signed.pdf", "Öppna PDF")</f>
        <v/>
      </c>
    </row>
    <row r="509">
      <c r="A509" t="inlineStr">
        <is>
          <t>KRAV-AUTO-000508</t>
        </is>
      </c>
      <c r="B509" t="inlineStr">
        <is>
          <t>ADMIN-INDEX-2026-02-27-00000000125C043F57453246863FE664CAFE6A3F0700950291EA24F0614FB6ACEDB12BF0E31D00000000010C0000950291EA24F0614FB6ACEDB12BF0E31D00002087A5CC0000</t>
        </is>
      </c>
      <c r="C509" t="inlineStr">
        <is>
          <t>cmm4yuqzv0428cuqw5ms9lenv</t>
        </is>
      </c>
      <c r="D509" t="inlineStr">
        <is>
          <t>http://localhost:8787/api/admin/requirements/documents/cmm4yuqzv0428cuqw5ms9lenv/view</t>
        </is>
      </c>
      <c r="E509">
        <f>HYPERLÄNK("http://localhost:8787/api/admin/requirements/documents/cmm4yuqzv0428cuqw5ms9lenv/view";"Öppna PDF")</f>
        <v/>
      </c>
      <c r="F509">
        <f>HYPERLINK("http://localhost:8787/api/admin/requirements/documents/cmm4yuqzv0428cuqw5ms9lenv/view","Open PDF")</f>
        <v/>
      </c>
      <c r="G509" t="inlineStr">
        <is>
          <t>cmm55w57p0004cuisfrtpqly8</t>
        </is>
      </c>
      <c r="H509" t="inlineStr">
        <is>
          <t>Informationskrav</t>
        </is>
      </c>
      <c r="I509" t="inlineStr">
        <is>
          <t>TransportLogistik</t>
        </is>
      </c>
      <c r="J509" t="inlineStr">
        <is>
          <t>Transportvagar</t>
        </is>
      </c>
      <c r="K509" t="inlineStr">
        <is>
          <t>Sortera transporterar bort avfallet.</t>
        </is>
      </c>
      <c r="L509" t="inlineStr">
        <is>
          <t>Sortera transporterar bort avfallet.</t>
        </is>
      </c>
      <c r="M509" t="inlineStr">
        <is>
          <t>BOR</t>
        </is>
      </c>
      <c r="N509" t="inlineStr">
        <is>
          <t>FMH</t>
        </is>
      </c>
      <c r="O509" t="inlineStr"/>
      <c r="P509" t="inlineStr"/>
      <c r="Q509" t="inlineStr"/>
      <c r="R509" t="inlineStr">
        <is>
          <t>Vid transporter</t>
        </is>
      </c>
      <c r="S509" t="inlineStr"/>
      <c r="T509" t="inlineStr"/>
      <c r="U509" t="inlineStr"/>
      <c r="V509" t="inlineStr"/>
      <c r="W509" t="inlineStr">
        <is>
          <t>Nej</t>
        </is>
      </c>
      <c r="X509" t="inlineStr">
        <is>
          <t>Nej</t>
        </is>
      </c>
      <c r="Y509" t="inlineStr">
        <is>
          <t>Nej</t>
        </is>
      </c>
      <c r="Z509" t="inlineStr">
        <is>
          <t>Ja</t>
        </is>
      </c>
      <c r="AA509" t="n">
        <v>9</v>
      </c>
      <c r="AB509" t="inlineStr">
        <is>
          <t>Transporter och logistik</t>
        </is>
      </c>
      <c r="AC509" t="inlineStr">
        <is>
          <t>Trafikplan</t>
        </is>
      </c>
      <c r="AD509" t="inlineStr">
        <is>
          <t>Nej</t>
        </is>
      </c>
      <c r="AE509" t="inlineStr">
        <is>
          <t>Nej</t>
        </is>
      </c>
      <c r="AF509" t="inlineStr">
        <is>
          <t>Ej behandlad</t>
        </is>
      </c>
      <c r="AG509" t="inlineStr">
        <is>
          <t>AUTO_GENERERAD. Verifiera citat mot kallfil.</t>
        </is>
      </c>
      <c r="AH509" t="inlineStr">
        <is>
          <t>LOW</t>
        </is>
      </c>
      <c r="AI509" t="inlineStr">
        <is>
          <t>AUTO</t>
        </is>
      </c>
      <c r="AJ509" t="inlineStr">
        <is>
          <t>Nej</t>
        </is>
      </c>
      <c r="AK509" t="inlineStr"/>
      <c r="AL509" t="inlineStr"/>
      <c r="AM509" t="inlineStr"/>
      <c r="AN509" t="inlineStr"/>
      <c r="AO509" t="inlineStr">
        <is>
          <t>cmm4yuqzv0428cuqw5ms9lenv</t>
        </is>
      </c>
      <c r="AP509" t="inlineStr">
        <is>
          <t>http://localhost:8787/api/admin/requirements/documents/cmm4yuqzv0428cuqw5ms9lenv/view</t>
        </is>
      </c>
      <c r="AQ509">
        <f>HYPERLÄNK("http://localhost:8787/api/admin/requirements/documents/cmm4yuqzv0428cuqw5ms9lenv/view";"Öppna PDF")</f>
        <v/>
      </c>
      <c r="AR509">
        <f>HYPERLINK("http://localhost:8787/api/admin/requirements/documents/cmm4yuqzv0428cuqw5ms9lenv/view","Open PDF")</f>
        <v/>
      </c>
      <c r="AS509" t="inlineStr">
        <is>
          <t>cmm55w57p0004cuisfrtpqly8</t>
        </is>
      </c>
      <c r="AT509" t="inlineStr">
        <is>
          <t>cmm4xvu980000cuh4vj0usz09</t>
        </is>
      </c>
      <c r="AU509" t="inlineStr"/>
      <c r="AV509" t="inlineStr">
        <is>
          <t>Kommun</t>
        </is>
      </c>
      <c r="AW509" t="inlineStr"/>
      <c r="AX509" t="inlineStr">
        <is>
          <t>2023-12</t>
        </is>
      </c>
      <c r="AY509" t="inlineStr">
        <is>
          <t>Anmalan</t>
        </is>
      </c>
      <c r="AZ509" t="inlineStr">
        <is>
          <t>2026-02-05</t>
        </is>
      </c>
      <c r="BA509" t="inlineStr">
        <is>
          <t>Anmälan om miljöfarlig verksamhet - signed.pdf</t>
        </is>
      </c>
      <c r="BB509" t="inlineStr">
        <is>
          <t>Sv: till registrator</t>
        </is>
      </c>
      <c r="BC509" t="inlineStr">
        <is>
          <t>AUTO</t>
        </is>
      </c>
      <c r="BD509" t="inlineStr"/>
      <c r="BE509" t="inlineStr"/>
      <c r="BF509" t="inlineStr">
        <is>
          <t>AUTO_GENERERAD. Bekrafta metadata mot kallfil.</t>
        </is>
      </c>
      <c r="BG509">
        <f>HYPERLINK("C:\Users\jimmy\Desktop\Examens arbete\Kod\Ny mapp\remix_-copy-of-miljöbeslut.se-portal\Anmälan om miljöfarlig verksamhet - signed.pdf", "Öppna PDF")</f>
        <v/>
      </c>
    </row>
    <row r="510">
      <c r="A510" t="inlineStr">
        <is>
          <t>KRAV-AUTO-000509</t>
        </is>
      </c>
      <c r="B510" t="inlineStr">
        <is>
          <t>ADMIN-INDEX-2026-02-27-00000000125C043F57453246863FE664CAFE6A3F0700950291EA24F0614FB6ACEDB12BF0E31D00000000010C0000950291EA24F0614FB6ACEDB12BF0E31D00002087A5CF0000</t>
        </is>
      </c>
      <c r="C510" t="inlineStr">
        <is>
          <t>cmm4yuqzs0425cuqw7vi6pzyx</t>
        </is>
      </c>
      <c r="D510" t="inlineStr">
        <is>
          <t>http://localhost:8787/api/admin/requirements/documents/cmm4yuqzs0425cuqw7vi6pzyx/view</t>
        </is>
      </c>
      <c r="E510">
        <f>HYPERLÄNK("http://localhost:8787/api/admin/requirements/documents/cmm4yuqzs0425cuqw7vi6pzyx/view";"Öppna PDF")</f>
        <v/>
      </c>
      <c r="F510">
        <f>HYPERLINK("http://localhost:8787/api/admin/requirements/documents/cmm4yuqzs0425cuqw7vi6pzyx/view","Open PDF")</f>
        <v/>
      </c>
      <c r="G510" t="inlineStr">
        <is>
          <t>cmm55w57p0004cuisfrtpqly8</t>
        </is>
      </c>
      <c r="H510" t="inlineStr">
        <is>
          <t>Informationskrav</t>
        </is>
      </c>
      <c r="I510" t="inlineStr">
        <is>
          <t>Ytkonstruktion</t>
        </is>
      </c>
      <c r="J510" t="inlineStr">
        <is>
          <t>Tat yta</t>
        </is>
      </c>
      <c r="K510" t="inlineStr">
        <is>
          <t>Då verksamheten redan har kunskap, yta och avtal med mottagande verksamheter ställdes frågan huruvida avfallsmängd från stubbar faller inom redan godkända avfallskoder.</t>
        </is>
      </c>
      <c r="L510" t="inlineStr">
        <is>
          <t>Då verksamheten redan har kunskap, yta och avtal med mottagande verksamheter ställdes frågan huruvida avfallsmängd från stubbar faller inom redan godkända avfallskoder.</t>
        </is>
      </c>
      <c r="M510" t="inlineStr">
        <is>
          <t>SKA</t>
        </is>
      </c>
      <c r="N510" t="inlineStr"/>
      <c r="O510" t="inlineStr"/>
      <c r="P510" t="inlineStr"/>
      <c r="Q510" t="inlineStr"/>
      <c r="R510" t="inlineStr">
        <is>
          <t>Vid mellanlagring av avfall</t>
        </is>
      </c>
      <c r="S510" t="inlineStr"/>
      <c r="T510" t="inlineStr">
        <is>
          <t>23 2025</t>
        </is>
      </c>
      <c r="U510" t="inlineStr"/>
      <c r="V510" t="inlineStr"/>
      <c r="W510" t="inlineStr">
        <is>
          <t>Ja</t>
        </is>
      </c>
      <c r="X510" t="inlineStr">
        <is>
          <t>Nej</t>
        </is>
      </c>
      <c r="Y510" t="inlineStr">
        <is>
          <t>Nej</t>
        </is>
      </c>
      <c r="Z510" t="inlineStr">
        <is>
          <t>Nej</t>
        </is>
      </c>
      <c r="AA510" t="n">
        <v>5</v>
      </c>
      <c r="AB510" t="inlineStr">
        <is>
          <t>Teknisk beskrivning av platta</t>
        </is>
      </c>
      <c r="AC510" t="inlineStr">
        <is>
          <t>Teknisk ritning platta</t>
        </is>
      </c>
      <c r="AD510" t="inlineStr">
        <is>
          <t>Nej</t>
        </is>
      </c>
      <c r="AE510" t="inlineStr">
        <is>
          <t>Nej</t>
        </is>
      </c>
      <c r="AF510" t="inlineStr">
        <is>
          <t>Ej behandlad</t>
        </is>
      </c>
      <c r="AG510" t="inlineStr">
        <is>
          <t>AUTO_GENERERAD. Verifiera citat mot kallfil.</t>
        </is>
      </c>
      <c r="AH510" t="inlineStr">
        <is>
          <t>MEDIUM</t>
        </is>
      </c>
      <c r="AI510" t="inlineStr">
        <is>
          <t>AUTO</t>
        </is>
      </c>
      <c r="AJ510" t="inlineStr">
        <is>
          <t>Nej</t>
        </is>
      </c>
      <c r="AK510" t="inlineStr"/>
      <c r="AL510" t="inlineStr"/>
      <c r="AM510" t="inlineStr"/>
      <c r="AN510" t="inlineStr"/>
      <c r="AO510" t="inlineStr">
        <is>
          <t>cmm4yuqzn041zcuqwy7h3npzx</t>
        </is>
      </c>
      <c r="AP510" t="inlineStr">
        <is>
          <t>http://localhost:8787/api/admin/requirements/documents/cmm4yuqzn041zcuqwy7h3npzx/view</t>
        </is>
      </c>
      <c r="AQ510">
        <f>HYPERLÄNK("http://localhost:8787/api/admin/requirements/documents/cmm4yuqzn041zcuqwy7h3npzx/view";"Öppna PDF")</f>
        <v/>
      </c>
      <c r="AR510">
        <f>HYPERLINK("http://localhost:8787/api/admin/requirements/documents/cmm4yuqzn041zcuqwy7h3npzx/view","Open PDF")</f>
        <v/>
      </c>
      <c r="AS510" t="inlineStr">
        <is>
          <t>cmm55w57p0004cuisfrtpqly8</t>
        </is>
      </c>
      <c r="AT510" t="inlineStr">
        <is>
          <t>cmm4xvu980000cuh4vj0usz09</t>
        </is>
      </c>
      <c r="AU510" t="inlineStr"/>
      <c r="AV510" t="inlineStr">
        <is>
          <t>Kommun</t>
        </is>
      </c>
      <c r="AW510" t="inlineStr"/>
      <c r="AX510" t="inlineStr">
        <is>
          <t>2025-03</t>
        </is>
      </c>
      <c r="AY510" t="inlineStr">
        <is>
          <t>Anmalan</t>
        </is>
      </c>
      <c r="AZ510" t="inlineStr">
        <is>
          <t>2026-02-05</t>
        </is>
      </c>
      <c r="BA510" t="inlineStr">
        <is>
          <t>Ärendenr 2025-88. MaserFrakt AB. Anmälan och Beslut (2).pdf</t>
        </is>
      </c>
      <c r="BB510" t="inlineStr">
        <is>
          <t>SV: till registrator</t>
        </is>
      </c>
      <c r="BC510" t="inlineStr">
        <is>
          <t>AUTO</t>
        </is>
      </c>
      <c r="BD510" t="inlineStr"/>
      <c r="BE510" t="inlineStr"/>
      <c r="BF510" t="inlineStr">
        <is>
          <t>AUTO_GENERERAD. Bekrafta metadata mot kallfil.</t>
        </is>
      </c>
      <c r="BG510">
        <f>HYPERLINK("C:\Users\jimmy\Desktop\Examens arbete\Kod\Ny mapp\remix_-copy-of-miljöbeslut.se-portal\Ärendenr 2025-88. MaserFrakt AB. Anmälan och Beslut (2).pdf", "Öppna PDF")</f>
        <v/>
      </c>
    </row>
    <row r="511">
      <c r="A511" t="inlineStr">
        <is>
          <t>KRAV-AUTO-000510</t>
        </is>
      </c>
      <c r="B511" t="inlineStr">
        <is>
          <t>ADMIN-INDEX-2026-02-27-00000000125C043F57453246863FE664CAFE6A3F0700950291EA24F0614FB6ACEDB12BF0E31D00000000010C0000950291EA24F0614FB6ACEDB12BF0E31D00002087A5CF0000</t>
        </is>
      </c>
      <c r="C511" t="inlineStr">
        <is>
          <t>cmm4yuqzs0425cuqw7vi6pzyx</t>
        </is>
      </c>
      <c r="D511" t="inlineStr">
        <is>
          <t>http://localhost:8787/api/admin/requirements/documents/cmm4yuqzs0425cuqw7vi6pzyx/view</t>
        </is>
      </c>
      <c r="E511">
        <f>HYPERLÄNK("http://localhost:8787/api/admin/requirements/documents/cmm4yuqzs0425cuqw7vi6pzyx/view";"Öppna PDF")</f>
        <v/>
      </c>
      <c r="F511">
        <f>HYPERLINK("http://localhost:8787/api/admin/requirements/documents/cmm4yuqzs0425cuqw7vi6pzyx/view","Open PDF")</f>
        <v/>
      </c>
      <c r="G511" t="inlineStr">
        <is>
          <t>cmm55w57p0004cuisfrtpqly8</t>
        </is>
      </c>
      <c r="H511" t="inlineStr">
        <is>
          <t>Informationskrav</t>
        </is>
      </c>
      <c r="I511" t="inlineStr">
        <is>
          <t>Riskhantering</t>
        </is>
      </c>
      <c r="J511" t="inlineStr">
        <is>
          <t>Riskkontroll</t>
        </is>
      </c>
      <c r="K511" t="inlineStr">
        <is>
          <t>Den nya hanteringen medges med stöd av följande paragrafer i Miljöbalken 15 kap: 11 § Den som hanterar avfall ska se till att hanteringen inte skadar eller orsakar risk för skada på människors hälsa eller miljön.</t>
        </is>
      </c>
      <c r="L511" t="inlineStr">
        <is>
          <t>Den nya hanteringen medges med stöd av följande paragrafer i Miljöbalken 15 kap: 11 § Den som hanterar avfall ska se till att hanteringen inte skadar eller orsakar risk för skada på människors hälsa eller miljön.</t>
        </is>
      </c>
      <c r="M511" t="inlineStr">
        <is>
          <t>SKA</t>
        </is>
      </c>
      <c r="N511" t="inlineStr">
        <is>
          <t>Miljobalken</t>
        </is>
      </c>
      <c r="O511" t="inlineStr"/>
      <c r="P511" t="inlineStr"/>
      <c r="Q511" t="inlineStr"/>
      <c r="R511" t="inlineStr">
        <is>
          <t>Vid risk for incident</t>
        </is>
      </c>
      <c r="S511" t="inlineStr"/>
      <c r="T511" t="inlineStr">
        <is>
          <t>23 2025</t>
        </is>
      </c>
      <c r="U511" t="inlineStr"/>
      <c r="V511" t="inlineStr"/>
      <c r="W511" t="inlineStr">
        <is>
          <t>Nej</t>
        </is>
      </c>
      <c r="X511" t="inlineStr">
        <is>
          <t>Nej</t>
        </is>
      </c>
      <c r="Y511" t="inlineStr">
        <is>
          <t>Ja</t>
        </is>
      </c>
      <c r="Z511" t="inlineStr">
        <is>
          <t>Ja</t>
        </is>
      </c>
      <c r="AA511" t="n">
        <v>8</v>
      </c>
      <c r="AB511" t="inlineStr">
        <is>
          <t>Riskhantering</t>
        </is>
      </c>
      <c r="AC511" t="inlineStr">
        <is>
          <t>Risk-PM</t>
        </is>
      </c>
      <c r="AD511" t="inlineStr">
        <is>
          <t>Nej</t>
        </is>
      </c>
      <c r="AE511" t="inlineStr">
        <is>
          <t>Nej</t>
        </is>
      </c>
      <c r="AF511" t="inlineStr">
        <is>
          <t>Ej behandlad</t>
        </is>
      </c>
      <c r="AG511" t="inlineStr">
        <is>
          <t>AUTO_GENERERAD. Verifiera citat mot kallfil.</t>
        </is>
      </c>
      <c r="AH511" t="inlineStr">
        <is>
          <t>MEDIUM</t>
        </is>
      </c>
      <c r="AI511" t="inlineStr">
        <is>
          <t>AUTO</t>
        </is>
      </c>
      <c r="AJ511" t="inlineStr">
        <is>
          <t>Nej</t>
        </is>
      </c>
      <c r="AK511" t="inlineStr"/>
      <c r="AL511" t="inlineStr"/>
      <c r="AM511" t="inlineStr"/>
      <c r="AN511" t="inlineStr"/>
      <c r="AO511" t="inlineStr">
        <is>
          <t>cmm4yuqzn041zcuqwy7h3npzx</t>
        </is>
      </c>
      <c r="AP511" t="inlineStr">
        <is>
          <t>http://localhost:8787/api/admin/requirements/documents/cmm4yuqzn041zcuqwy7h3npzx/view</t>
        </is>
      </c>
      <c r="AQ511">
        <f>HYPERLÄNK("http://localhost:8787/api/admin/requirements/documents/cmm4yuqzn041zcuqwy7h3npzx/view";"Öppna PDF")</f>
        <v/>
      </c>
      <c r="AR511">
        <f>HYPERLINK("http://localhost:8787/api/admin/requirements/documents/cmm4yuqzn041zcuqwy7h3npzx/view","Open PDF")</f>
        <v/>
      </c>
      <c r="AS511" t="inlineStr">
        <is>
          <t>cmm55w57p0004cuisfrtpqly8</t>
        </is>
      </c>
      <c r="AT511" t="inlineStr">
        <is>
          <t>cmm4xvu980000cuh4vj0usz09</t>
        </is>
      </c>
      <c r="AU511" t="inlineStr"/>
      <c r="AV511" t="inlineStr">
        <is>
          <t>Kommun</t>
        </is>
      </c>
      <c r="AW511" t="inlineStr"/>
      <c r="AX511" t="inlineStr">
        <is>
          <t>2025-03</t>
        </is>
      </c>
      <c r="AY511" t="inlineStr">
        <is>
          <t>Anmalan</t>
        </is>
      </c>
      <c r="AZ511" t="inlineStr">
        <is>
          <t>2026-02-05</t>
        </is>
      </c>
      <c r="BA511" t="inlineStr">
        <is>
          <t>Ärendenr 2025-88. MaserFrakt AB. Anmälan och Beslut (2).pdf</t>
        </is>
      </c>
      <c r="BB511" t="inlineStr">
        <is>
          <t>SV: till registrator</t>
        </is>
      </c>
      <c r="BC511" t="inlineStr">
        <is>
          <t>AUTO</t>
        </is>
      </c>
      <c r="BD511" t="inlineStr"/>
      <c r="BE511" t="inlineStr"/>
      <c r="BF511" t="inlineStr">
        <is>
          <t>AUTO_GENERERAD. Bekrafta metadata mot kallfil.</t>
        </is>
      </c>
      <c r="BG511">
        <f>HYPERLINK("C:\Users\jimmy\Desktop\Examens arbete\Kod\Ny mapp\remix_-copy-of-miljöbeslut.se-portal\Ärendenr 2025-88. MaserFrakt AB. Anmälan och Beslut (2).pdf", "Öppna PDF")</f>
        <v/>
      </c>
    </row>
    <row r="512">
      <c r="A512" t="inlineStr">
        <is>
          <t>KRAV-AUTO-000511</t>
        </is>
      </c>
      <c r="B512" t="inlineStr">
        <is>
          <t>ADMIN-INDEX-2026-02-27-00000000125C043F57453246863FE664CAFE6A3F0700950291EA24F0614FB6ACEDB12BF0E31D00000000010C0000950291EA24F0614FB6ACEDB12BF0E31D00002087A5CF0000</t>
        </is>
      </c>
      <c r="C512" t="inlineStr">
        <is>
          <t>cmm4yuqzs0425cuqw7vi6pzyx</t>
        </is>
      </c>
      <c r="D512" t="inlineStr">
        <is>
          <t>http://localhost:8787/api/admin/requirements/documents/cmm4yuqzs0425cuqw7vi6pzyx/view</t>
        </is>
      </c>
      <c r="E512">
        <f>HYPERLÄNK("http://localhost:8787/api/admin/requirements/documents/cmm4yuqzs0425cuqw7vi6pzyx/view";"Öppna PDF")</f>
        <v/>
      </c>
      <c r="F512">
        <f>HYPERLINK("http://localhost:8787/api/admin/requirements/documents/cmm4yuqzs0425cuqw7vi6pzyx/view","Open PDF")</f>
        <v/>
      </c>
      <c r="G512" t="inlineStr">
        <is>
          <t>cmm55w57p0004cuisfrtpqly8</t>
        </is>
      </c>
      <c r="H512" t="inlineStr">
        <is>
          <t>Informationskrav</t>
        </is>
      </c>
      <c r="I512" t="inlineStr">
        <is>
          <t>TransportLogistik</t>
        </is>
      </c>
      <c r="J512" t="inlineStr">
        <is>
          <t>Transportvagar</t>
        </is>
      </c>
      <c r="K512" t="inlineStr">
        <is>
          <t>var avfallet ska lämnas efter insamlingen eller transporten, och 4.</t>
        </is>
      </c>
      <c r="L512" t="inlineStr">
        <is>
          <t>var avfallet ska lämnas efter insamlingen eller transporten, och 4.</t>
        </is>
      </c>
      <c r="M512" t="inlineStr">
        <is>
          <t>SKA</t>
        </is>
      </c>
      <c r="N512" t="inlineStr"/>
      <c r="O512" t="inlineStr"/>
      <c r="P512" t="inlineStr"/>
      <c r="Q512" t="inlineStr"/>
      <c r="R512" t="inlineStr">
        <is>
          <t>Vid transporter</t>
        </is>
      </c>
      <c r="S512" t="inlineStr"/>
      <c r="T512" t="inlineStr">
        <is>
          <t>23 2025</t>
        </is>
      </c>
      <c r="U512" t="inlineStr"/>
      <c r="V512" t="inlineStr"/>
      <c r="W512" t="inlineStr">
        <is>
          <t>Nej</t>
        </is>
      </c>
      <c r="X512" t="inlineStr">
        <is>
          <t>Nej</t>
        </is>
      </c>
      <c r="Y512" t="inlineStr">
        <is>
          <t>Nej</t>
        </is>
      </c>
      <c r="Z512" t="inlineStr">
        <is>
          <t>Ja</t>
        </is>
      </c>
      <c r="AA512" t="n">
        <v>9</v>
      </c>
      <c r="AB512" t="inlineStr">
        <is>
          <t>Transporter och logistik</t>
        </is>
      </c>
      <c r="AC512" t="inlineStr">
        <is>
          <t>Trafikplan</t>
        </is>
      </c>
      <c r="AD512" t="inlineStr">
        <is>
          <t>Nej</t>
        </is>
      </c>
      <c r="AE512" t="inlineStr">
        <is>
          <t>Nej</t>
        </is>
      </c>
      <c r="AF512" t="inlineStr">
        <is>
          <t>Ej behandlad</t>
        </is>
      </c>
      <c r="AG512" t="inlineStr">
        <is>
          <t>AUTO_GENERERAD. Verifiera citat mot kallfil.</t>
        </is>
      </c>
      <c r="AH512" t="inlineStr">
        <is>
          <t>MEDIUM</t>
        </is>
      </c>
      <c r="AI512" t="inlineStr">
        <is>
          <t>AUTO</t>
        </is>
      </c>
      <c r="AJ512" t="inlineStr">
        <is>
          <t>Nej</t>
        </is>
      </c>
      <c r="AK512" t="inlineStr"/>
      <c r="AL512" t="inlineStr"/>
      <c r="AM512" t="inlineStr"/>
      <c r="AN512" t="inlineStr"/>
      <c r="AO512" t="inlineStr">
        <is>
          <t>cmm4yuqzn041zcuqwy7h3npzx</t>
        </is>
      </c>
      <c r="AP512" t="inlineStr">
        <is>
          <t>http://localhost:8787/api/admin/requirements/documents/cmm4yuqzn041zcuqwy7h3npzx/view</t>
        </is>
      </c>
      <c r="AQ512">
        <f>HYPERLÄNK("http://localhost:8787/api/admin/requirements/documents/cmm4yuqzn041zcuqwy7h3npzx/view";"Öppna PDF")</f>
        <v/>
      </c>
      <c r="AR512">
        <f>HYPERLINK("http://localhost:8787/api/admin/requirements/documents/cmm4yuqzn041zcuqwy7h3npzx/view","Open PDF")</f>
        <v/>
      </c>
      <c r="AS512" t="inlineStr">
        <is>
          <t>cmm55w57p0004cuisfrtpqly8</t>
        </is>
      </c>
      <c r="AT512" t="inlineStr">
        <is>
          <t>cmm4xvu980000cuh4vj0usz09</t>
        </is>
      </c>
      <c r="AU512" t="inlineStr"/>
      <c r="AV512" t="inlineStr">
        <is>
          <t>Kommun</t>
        </is>
      </c>
      <c r="AW512" t="inlineStr"/>
      <c r="AX512" t="inlineStr">
        <is>
          <t>2025-03</t>
        </is>
      </c>
      <c r="AY512" t="inlineStr">
        <is>
          <t>Anmalan</t>
        </is>
      </c>
      <c r="AZ512" t="inlineStr">
        <is>
          <t>2026-02-05</t>
        </is>
      </c>
      <c r="BA512" t="inlineStr">
        <is>
          <t>Ärendenr 2025-88. MaserFrakt AB. Anmälan och Beslut (2).pdf</t>
        </is>
      </c>
      <c r="BB512" t="inlineStr">
        <is>
          <t>SV: till registrator</t>
        </is>
      </c>
      <c r="BC512" t="inlineStr">
        <is>
          <t>AUTO</t>
        </is>
      </c>
      <c r="BD512" t="inlineStr"/>
      <c r="BE512" t="inlineStr"/>
      <c r="BF512" t="inlineStr">
        <is>
          <t>AUTO_GENERERAD. Bekrafta metadata mot kallfil.</t>
        </is>
      </c>
      <c r="BG512">
        <f>HYPERLINK("C:\Users\jimmy\Desktop\Examens arbete\Kod\Ny mapp\remix_-copy-of-miljöbeslut.se-portal\Ärendenr 2025-88. MaserFrakt AB. Anmälan och Beslut (2).pdf", "Öppna PDF")</f>
        <v/>
      </c>
    </row>
    <row r="513">
      <c r="A513" t="inlineStr">
        <is>
          <t>KRAV-AUTO-000512</t>
        </is>
      </c>
      <c r="B513" t="inlineStr">
        <is>
          <t>ADMIN-INDEX-2026-02-27-00000000125C043F57453246863FE664CAFE6A3F0700950291EA24F0614FB6ACEDB12BF0E31D00000000010C0000950291EA24F0614FB6ACEDB12BF0E31D00002087A5CF0000</t>
        </is>
      </c>
      <c r="C513" t="inlineStr">
        <is>
          <t>cmm4yuqzp0422cuqwqz2sso82</t>
        </is>
      </c>
      <c r="D513" t="inlineStr">
        <is>
          <t>http://localhost:8787/api/admin/requirements/documents/cmm4yuqzp0422cuqwqz2sso82/view</t>
        </is>
      </c>
      <c r="E513">
        <f>HYPERLÄNK("http://localhost:8787/api/admin/requirements/documents/cmm4yuqzp0422cuqwqz2sso82/view";"Öppna PDF")</f>
        <v/>
      </c>
      <c r="F513">
        <f>HYPERLINK("http://localhost:8787/api/admin/requirements/documents/cmm4yuqzp0422cuqwqz2sso82/view","Open PDF")</f>
        <v/>
      </c>
      <c r="G513" t="inlineStr">
        <is>
          <t>cmm55w57p0004cuisfrtpqly8</t>
        </is>
      </c>
      <c r="H513" t="inlineStr">
        <is>
          <t>Informationskrav</t>
        </is>
      </c>
      <c r="I513" t="inlineStr">
        <is>
          <t>Riskhantering</t>
        </is>
      </c>
      <c r="J513" t="inlineStr">
        <is>
          <t>Riskkontroll</t>
        </is>
      </c>
      <c r="K513" t="inlineStr">
        <is>
          <t>Lagring ska ske åtskilt för brandrisken.</t>
        </is>
      </c>
      <c r="L513" t="inlineStr">
        <is>
          <t>Lagring ska ske åtskilt för brandrisken.</t>
        </is>
      </c>
      <c r="M513" t="inlineStr">
        <is>
          <t>SKA</t>
        </is>
      </c>
      <c r="N513" t="inlineStr"/>
      <c r="O513" t="inlineStr"/>
      <c r="P513" t="inlineStr"/>
      <c r="Q513" t="inlineStr"/>
      <c r="R513" t="inlineStr">
        <is>
          <t>Vid risk for incident</t>
        </is>
      </c>
      <c r="S513" t="inlineStr"/>
      <c r="T513" t="inlineStr">
        <is>
          <t>556481</t>
        </is>
      </c>
      <c r="U513" t="inlineStr"/>
      <c r="V513" t="inlineStr"/>
      <c r="W513" t="inlineStr">
        <is>
          <t>Nej</t>
        </is>
      </c>
      <c r="X513" t="inlineStr">
        <is>
          <t>Nej</t>
        </is>
      </c>
      <c r="Y513" t="inlineStr">
        <is>
          <t>Ja</t>
        </is>
      </c>
      <c r="Z513" t="inlineStr">
        <is>
          <t>Ja</t>
        </is>
      </c>
      <c r="AA513" t="n">
        <v>8</v>
      </c>
      <c r="AB513" t="inlineStr">
        <is>
          <t>Riskhantering</t>
        </is>
      </c>
      <c r="AC513" t="inlineStr">
        <is>
          <t>Risk-PM</t>
        </is>
      </c>
      <c r="AD513" t="inlineStr">
        <is>
          <t>Nej</t>
        </is>
      </c>
      <c r="AE513" t="inlineStr">
        <is>
          <t>Nej</t>
        </is>
      </c>
      <c r="AF513" t="inlineStr">
        <is>
          <t>Ej behandlad</t>
        </is>
      </c>
      <c r="AG513" t="inlineStr">
        <is>
          <t>AUTO_GENERERAD. Verifiera citat mot kallfil.</t>
        </is>
      </c>
      <c r="AH513" t="inlineStr">
        <is>
          <t>MEDIUM</t>
        </is>
      </c>
      <c r="AI513" t="inlineStr">
        <is>
          <t>AUTO</t>
        </is>
      </c>
      <c r="AJ513" t="inlineStr">
        <is>
          <t>Nej</t>
        </is>
      </c>
      <c r="AK513" t="inlineStr"/>
      <c r="AL513" t="inlineStr"/>
      <c r="AM513" t="inlineStr"/>
      <c r="AN513" t="inlineStr"/>
      <c r="AO513" t="inlineStr">
        <is>
          <t>cmm4yuqzn041zcuqwy7h3npzx</t>
        </is>
      </c>
      <c r="AP513" t="inlineStr">
        <is>
          <t>http://localhost:8787/api/admin/requirements/documents/cmm4yuqzn041zcuqwy7h3npzx/view</t>
        </is>
      </c>
      <c r="AQ513">
        <f>HYPERLÄNK("http://localhost:8787/api/admin/requirements/documents/cmm4yuqzn041zcuqwy7h3npzx/view";"Öppna PDF")</f>
        <v/>
      </c>
      <c r="AR513">
        <f>HYPERLINK("http://localhost:8787/api/admin/requirements/documents/cmm4yuqzn041zcuqwy7h3npzx/view","Open PDF")</f>
        <v/>
      </c>
      <c r="AS513" t="inlineStr">
        <is>
          <t>cmm55w57p0004cuisfrtpqly8</t>
        </is>
      </c>
      <c r="AT513" t="inlineStr">
        <is>
          <t>cmm4xvu980000cuh4vj0usz09</t>
        </is>
      </c>
      <c r="AU513" t="inlineStr"/>
      <c r="AV513" t="inlineStr">
        <is>
          <t>Kommun</t>
        </is>
      </c>
      <c r="AW513" t="inlineStr"/>
      <c r="AX513" t="inlineStr">
        <is>
          <t>2025-03</t>
        </is>
      </c>
      <c r="AY513" t="inlineStr">
        <is>
          <t>Anmalan</t>
        </is>
      </c>
      <c r="AZ513" t="inlineStr">
        <is>
          <t>2026-02-05</t>
        </is>
      </c>
      <c r="BA513" t="inlineStr">
        <is>
          <t>Ärendenr 2025-88. MaserFrakt AB. Anmälan och Beslut (2).pdf</t>
        </is>
      </c>
      <c r="BB513" t="inlineStr">
        <is>
          <t>SV: till registrator</t>
        </is>
      </c>
      <c r="BC513" t="inlineStr">
        <is>
          <t>AUTO</t>
        </is>
      </c>
      <c r="BD513" t="inlineStr"/>
      <c r="BE513" t="inlineStr"/>
      <c r="BF513" t="inlineStr">
        <is>
          <t>AUTO_GENERERAD. Bekrafta metadata mot kallfil.</t>
        </is>
      </c>
      <c r="BG513">
        <f>HYPERLINK("C:\Users\jimmy\Desktop\Examens arbete\Kod\Ny mapp\remix_-copy-of-miljöbeslut.se-portal\Ärendenr 2025-88. MaserFrakt AB. Anmälan och Beslut (2).pdf", "Öppna PDF")</f>
        <v/>
      </c>
    </row>
    <row r="514">
      <c r="A514" t="inlineStr">
        <is>
          <t>KRAV-AUTO-000513</t>
        </is>
      </c>
      <c r="B514" t="inlineStr">
        <is>
          <t>ADMIN-INDEX-2026-02-27-00000000125C043F57453246863FE664CAFE6A3F0700950291EA24F0614FB6ACEDB12BF0E31D00000000010C0000950291EA24F0614FB6ACEDB12BF0E31D00002087A5CF0000</t>
        </is>
      </c>
      <c r="C514" t="inlineStr">
        <is>
          <t>cmm4yuqzp0422cuqwqz2sso82</t>
        </is>
      </c>
      <c r="D514" t="inlineStr">
        <is>
          <t>http://localhost:8787/api/admin/requirements/documents/cmm4yuqzp0422cuqwqz2sso82/view</t>
        </is>
      </c>
      <c r="E514">
        <f>HYPERLÄNK("http://localhost:8787/api/admin/requirements/documents/cmm4yuqzp0422cuqwqz2sso82/view";"Öppna PDF")</f>
        <v/>
      </c>
      <c r="F514">
        <f>HYPERLINK("http://localhost:8787/api/admin/requirements/documents/cmm4yuqzp0422cuqwqz2sso82/view","Open PDF")</f>
        <v/>
      </c>
      <c r="G514" t="inlineStr">
        <is>
          <t>cmm55w57p0004cuisfrtpqly8</t>
        </is>
      </c>
      <c r="H514" t="inlineStr">
        <is>
          <t>Informationskrav</t>
        </is>
      </c>
      <c r="I514" t="inlineStr">
        <is>
          <t>LagringsvolymTid</t>
        </is>
      </c>
      <c r="J514" t="inlineStr">
        <is>
          <t>Maxmangd</t>
        </is>
      </c>
      <c r="K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L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M514" t="inlineStr">
        <is>
          <t>SKA</t>
        </is>
      </c>
      <c r="N514" t="inlineStr"/>
      <c r="O514" t="inlineStr"/>
      <c r="P514" t="inlineStr"/>
      <c r="Q514" t="inlineStr"/>
      <c r="R514" t="inlineStr">
        <is>
          <t>Alltid</t>
        </is>
      </c>
      <c r="S514" t="inlineStr"/>
      <c r="T514" t="inlineStr">
        <is>
          <t>556481</t>
        </is>
      </c>
      <c r="U514" t="inlineStr"/>
      <c r="V514" t="inlineStr"/>
      <c r="W514" t="inlineStr">
        <is>
          <t>Nej</t>
        </is>
      </c>
      <c r="X514" t="inlineStr">
        <is>
          <t>Nej</t>
        </is>
      </c>
      <c r="Y514" t="inlineStr">
        <is>
          <t>Nej</t>
        </is>
      </c>
      <c r="Z514" t="inlineStr">
        <is>
          <t>Nej</t>
        </is>
      </c>
      <c r="AA514" t="n">
        <v>4</v>
      </c>
      <c r="AB514" t="inlineStr">
        <is>
          <t>Avfallsmangder och lagringstid</t>
        </is>
      </c>
      <c r="AC514" t="inlineStr">
        <is>
          <t>Avfallsforteckning</t>
        </is>
      </c>
      <c r="AD514" t="inlineStr">
        <is>
          <t>Nej</t>
        </is>
      </c>
      <c r="AE514" t="inlineStr">
        <is>
          <t>Nej</t>
        </is>
      </c>
      <c r="AF514" t="inlineStr">
        <is>
          <t>Ej behandlad</t>
        </is>
      </c>
      <c r="AG514" t="inlineStr">
        <is>
          <t>AUTO_GENERERAD. Verifiera citat mot kallfil.</t>
        </is>
      </c>
      <c r="AH514" t="inlineStr">
        <is>
          <t>MEDIUM</t>
        </is>
      </c>
      <c r="AI514" t="inlineStr">
        <is>
          <t>AUTO</t>
        </is>
      </c>
      <c r="AJ514" t="inlineStr">
        <is>
          <t>Nej</t>
        </is>
      </c>
      <c r="AK514" t="inlineStr"/>
      <c r="AL514" t="inlineStr"/>
      <c r="AM514" t="inlineStr"/>
      <c r="AN514" t="inlineStr"/>
      <c r="AO514" t="inlineStr">
        <is>
          <t>cmm4yuqzn041zcuqwy7h3npzx</t>
        </is>
      </c>
      <c r="AP514" t="inlineStr">
        <is>
          <t>http://localhost:8787/api/admin/requirements/documents/cmm4yuqzn041zcuqwy7h3npzx/view</t>
        </is>
      </c>
      <c r="AQ514">
        <f>HYPERLÄNK("http://localhost:8787/api/admin/requirements/documents/cmm4yuqzn041zcuqwy7h3npzx/view";"Öppna PDF")</f>
        <v/>
      </c>
      <c r="AR514">
        <f>HYPERLINK("http://localhost:8787/api/admin/requirements/documents/cmm4yuqzn041zcuqwy7h3npzx/view","Open PDF")</f>
        <v/>
      </c>
      <c r="AS514" t="inlineStr">
        <is>
          <t>cmm55w57p0004cuisfrtpqly8</t>
        </is>
      </c>
      <c r="AT514" t="inlineStr">
        <is>
          <t>cmm4xvu980000cuh4vj0usz09</t>
        </is>
      </c>
      <c r="AU514" t="inlineStr"/>
      <c r="AV514" t="inlineStr">
        <is>
          <t>Kommun</t>
        </is>
      </c>
      <c r="AW514" t="inlineStr"/>
      <c r="AX514" t="inlineStr">
        <is>
          <t>2025-03</t>
        </is>
      </c>
      <c r="AY514" t="inlineStr">
        <is>
          <t>Anmalan</t>
        </is>
      </c>
      <c r="AZ514" t="inlineStr">
        <is>
          <t>2026-02-05</t>
        </is>
      </c>
      <c r="BA514" t="inlineStr">
        <is>
          <t>Ärendenr 2025-88. MaserFrakt AB. Anmälan och Beslut (2).pdf</t>
        </is>
      </c>
      <c r="BB514" t="inlineStr">
        <is>
          <t>SV: till registrator</t>
        </is>
      </c>
      <c r="BC514" t="inlineStr">
        <is>
          <t>AUTO</t>
        </is>
      </c>
      <c r="BD514" t="inlineStr"/>
      <c r="BE514" t="inlineStr"/>
      <c r="BF514" t="inlineStr">
        <is>
          <t>AUTO_GENERERAD. Bekrafta metadata mot kallfil.</t>
        </is>
      </c>
      <c r="BG514">
        <f>HYPERLINK("C:\Users\jimmy\Desktop\Examens arbete\Kod\Ny mapp\remix_-copy-of-miljöbeslut.se-portal\Ärendenr 2025-88. MaserFrakt AB. Anmälan och Beslut (2).pdf", "Öppna PDF")</f>
        <v/>
      </c>
    </row>
    <row r="515">
      <c r="A515" t="inlineStr">
        <is>
          <t>KRAV-AUTO-000514</t>
        </is>
      </c>
      <c r="B515" t="inlineStr">
        <is>
          <t>ADMIN-INDEX-2026-02-27-00000000125C043F57453246863FE664CAFE6A3F0700950291EA24F0614FB6ACEDB12BF0E31D00000000010C0000950291EA24F0614FB6ACEDB12BF0E31D00002087A5CF0000</t>
        </is>
      </c>
      <c r="C515" t="inlineStr">
        <is>
          <t>cmm4yuqzp0422cuqwqz2sso82</t>
        </is>
      </c>
      <c r="D515" t="inlineStr">
        <is>
          <t>http://localhost:8787/api/admin/requirements/documents/cmm4yuqzp0422cuqwqz2sso82/view</t>
        </is>
      </c>
      <c r="E515">
        <f>HYPERLÄNK("http://localhost:8787/api/admin/requirements/documents/cmm4yuqzp0422cuqwqz2sso82/view";"Öppna PDF")</f>
        <v/>
      </c>
      <c r="F515">
        <f>HYPERLINK("http://localhost:8787/api/admin/requirements/documents/cmm4yuqzp0422cuqwqz2sso82/view","Open PDF")</f>
        <v/>
      </c>
      <c r="G515" t="inlineStr">
        <is>
          <t>cmm55w57p0004cuisfrtpqly8</t>
        </is>
      </c>
      <c r="H515" t="inlineStr">
        <is>
          <t>Informationskrav</t>
        </is>
      </c>
      <c r="I515" t="inlineStr">
        <is>
          <t>DriftEgenkontroll</t>
        </is>
      </c>
      <c r="J515" t="inlineStr">
        <is>
          <t>Journalforing</t>
        </is>
      </c>
      <c r="K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515" t="inlineStr">
        <is>
          <t>SKA</t>
        </is>
      </c>
      <c r="N515" t="inlineStr"/>
      <c r="O515" t="inlineStr"/>
      <c r="P515" t="inlineStr"/>
      <c r="Q515" t="inlineStr"/>
      <c r="R515" t="inlineStr">
        <is>
          <t>Lopande drift</t>
        </is>
      </c>
      <c r="S515" t="inlineStr"/>
      <c r="T515" t="inlineStr">
        <is>
          <t>556481</t>
        </is>
      </c>
      <c r="U515" t="inlineStr"/>
      <c r="V515" t="inlineStr"/>
      <c r="W515" t="inlineStr">
        <is>
          <t>Nej</t>
        </is>
      </c>
      <c r="X515" t="inlineStr">
        <is>
          <t>Nej</t>
        </is>
      </c>
      <c r="Y515" t="inlineStr">
        <is>
          <t>Ja</t>
        </is>
      </c>
      <c r="Z515" t="inlineStr">
        <is>
          <t>Nej</t>
        </is>
      </c>
      <c r="AA515" t="n">
        <v>7</v>
      </c>
      <c r="AB515" t="inlineStr">
        <is>
          <t>Egenkontrollrutiner</t>
        </is>
      </c>
      <c r="AC515" t="inlineStr">
        <is>
          <t>Egenkontrollprogram</t>
        </is>
      </c>
      <c r="AD515" t="inlineStr">
        <is>
          <t>Nej</t>
        </is>
      </c>
      <c r="AE515" t="inlineStr">
        <is>
          <t>Nej</t>
        </is>
      </c>
      <c r="AF515" t="inlineStr">
        <is>
          <t>Ej behandlad</t>
        </is>
      </c>
      <c r="AG515" t="inlineStr">
        <is>
          <t>AUTO_GENERERAD. Verifiera citat mot kallfil.</t>
        </is>
      </c>
      <c r="AH515" t="inlineStr">
        <is>
          <t>MEDIUM</t>
        </is>
      </c>
      <c r="AI515" t="inlineStr">
        <is>
          <t>AUTO</t>
        </is>
      </c>
      <c r="AJ515" t="inlineStr">
        <is>
          <t>Nej</t>
        </is>
      </c>
      <c r="AK515" t="inlineStr"/>
      <c r="AL515" t="inlineStr"/>
      <c r="AM515" t="inlineStr"/>
      <c r="AN515" t="inlineStr"/>
      <c r="AO515" t="inlineStr">
        <is>
          <t>cmm4yuqzn041zcuqwy7h3npzx</t>
        </is>
      </c>
      <c r="AP515" t="inlineStr">
        <is>
          <t>http://localhost:8787/api/admin/requirements/documents/cmm4yuqzn041zcuqwy7h3npzx/view</t>
        </is>
      </c>
      <c r="AQ515">
        <f>HYPERLÄNK("http://localhost:8787/api/admin/requirements/documents/cmm4yuqzn041zcuqwy7h3npzx/view";"Öppna PDF")</f>
        <v/>
      </c>
      <c r="AR515">
        <f>HYPERLINK("http://localhost:8787/api/admin/requirements/documents/cmm4yuqzn041zcuqwy7h3npzx/view","Open PDF")</f>
        <v/>
      </c>
      <c r="AS515" t="inlineStr">
        <is>
          <t>cmm55w57p0004cuisfrtpqly8</t>
        </is>
      </c>
      <c r="AT515" t="inlineStr">
        <is>
          <t>cmm4xvu980000cuh4vj0usz09</t>
        </is>
      </c>
      <c r="AU515" t="inlineStr"/>
      <c r="AV515" t="inlineStr">
        <is>
          <t>Kommun</t>
        </is>
      </c>
      <c r="AW515" t="inlineStr"/>
      <c r="AX515" t="inlineStr">
        <is>
          <t>2025-03</t>
        </is>
      </c>
      <c r="AY515" t="inlineStr">
        <is>
          <t>Anmalan</t>
        </is>
      </c>
      <c r="AZ515" t="inlineStr">
        <is>
          <t>2026-02-05</t>
        </is>
      </c>
      <c r="BA515" t="inlineStr">
        <is>
          <t>Ärendenr 2025-88. MaserFrakt AB. Anmälan och Beslut (2).pdf</t>
        </is>
      </c>
      <c r="BB515" t="inlineStr">
        <is>
          <t>SV: till registrator</t>
        </is>
      </c>
      <c r="BC515" t="inlineStr">
        <is>
          <t>AUTO</t>
        </is>
      </c>
      <c r="BD515" t="inlineStr"/>
      <c r="BE515" t="inlineStr"/>
      <c r="BF515" t="inlineStr">
        <is>
          <t>AUTO_GENERERAD. Bekrafta metadata mot kallfil.</t>
        </is>
      </c>
      <c r="BG515">
        <f>HYPERLINK("C:\Users\jimmy\Desktop\Examens arbete\Kod\Ny mapp\remix_-copy-of-miljöbeslut.se-portal\Ärendenr 2025-88. MaserFrakt AB. Anmälan och Beslut (2).pdf", "Öppna PDF")</f>
        <v/>
      </c>
    </row>
    <row r="516">
      <c r="A516" t="inlineStr">
        <is>
          <t>KRAV-AUTO-000515</t>
        </is>
      </c>
      <c r="B516" t="inlineStr">
        <is>
          <t>ADMIN-INDEX-2026-02-27-00000000125C043F57453246863FE664CAFE6A3F0700950291EA24F0614FB6ACEDB12BF0E31D00000000010C0000950291EA24F0614FB6ACEDB12BF0E31D00002087A5C30000</t>
        </is>
      </c>
      <c r="C516" t="inlineStr">
        <is>
          <t>cmm4yur0n0435cuqwm93q1pqq</t>
        </is>
      </c>
      <c r="D516" t="inlineStr">
        <is>
          <t>http://localhost:8787/api/admin/requirements/documents/cmm4yur0n0435cuqwm93q1pqq/view</t>
        </is>
      </c>
      <c r="E516">
        <f>HYPERLÄNK("http://localhost:8787/api/admin/requirements/documents/cmm4yur0n0435cuqwm93q1pqq/view";"Öppna PDF")</f>
        <v/>
      </c>
      <c r="F516">
        <f>HYPERLINK("http://localhost:8787/api/admin/requirements/documents/cmm4yur0n0435cuqwm93q1pqq/view","Open PDF")</f>
        <v/>
      </c>
      <c r="G516" t="inlineStr">
        <is>
          <t>cmm55w57p0004cuisfrtpqly8</t>
        </is>
      </c>
      <c r="H516" t="inlineStr">
        <is>
          <t>Beslutsvillkor</t>
        </is>
      </c>
      <c r="I516" t="inlineStr">
        <is>
          <t>LagringsvolymTid</t>
        </is>
      </c>
      <c r="J516" t="inlineStr">
        <is>
          <t>Maxmangd</t>
        </is>
      </c>
      <c r="K516" t="inlineStr">
        <is>
          <t>Vid användning av avfall för anläggningsändamål ska endast den mängd massor som behövs för att uppnå syftet användas.</t>
        </is>
      </c>
      <c r="L516" t="inlineStr">
        <is>
          <t>Vid användning av avfall för anläggningsändamål ska endast den mängd massor som behövs för att uppnå syftet användas.</t>
        </is>
      </c>
      <c r="M516" t="inlineStr">
        <is>
          <t>SKA</t>
        </is>
      </c>
      <c r="N516" t="inlineStr"/>
      <c r="O516" t="inlineStr"/>
      <c r="P516" t="inlineStr"/>
      <c r="Q516" t="inlineStr"/>
      <c r="R516" t="inlineStr">
        <is>
          <t>Alltid</t>
        </is>
      </c>
      <c r="S516" t="inlineStr"/>
      <c r="T516" t="inlineStr"/>
      <c r="U516" t="inlineStr"/>
      <c r="V516" t="inlineStr"/>
      <c r="W516" t="inlineStr">
        <is>
          <t>Nej</t>
        </is>
      </c>
      <c r="X516" t="inlineStr">
        <is>
          <t>Nej</t>
        </is>
      </c>
      <c r="Y516" t="inlineStr">
        <is>
          <t>Nej</t>
        </is>
      </c>
      <c r="Z516" t="inlineStr">
        <is>
          <t>Nej</t>
        </is>
      </c>
      <c r="AA516" t="n">
        <v>4</v>
      </c>
      <c r="AB516" t="inlineStr">
        <is>
          <t>Avfallsmangder och lagringstid</t>
        </is>
      </c>
      <c r="AC516" t="inlineStr">
        <is>
          <t>Avfallsforteckning</t>
        </is>
      </c>
      <c r="AD516" t="inlineStr">
        <is>
          <t>Nej</t>
        </is>
      </c>
      <c r="AE516" t="inlineStr">
        <is>
          <t>Nej</t>
        </is>
      </c>
      <c r="AF516" t="inlineStr">
        <is>
          <t>Ej behandlad</t>
        </is>
      </c>
      <c r="AG516" t="inlineStr">
        <is>
          <t>AUTO_GENERERAD. Verifiera citat mot kallfil.</t>
        </is>
      </c>
      <c r="AH516" t="inlineStr">
        <is>
          <t>MEDIUM</t>
        </is>
      </c>
      <c r="AI516" t="inlineStr">
        <is>
          <t>AUTO</t>
        </is>
      </c>
      <c r="AJ516" t="inlineStr">
        <is>
          <t>Nej</t>
        </is>
      </c>
      <c r="AK516" t="inlineStr"/>
      <c r="AL516" t="inlineStr"/>
      <c r="AM516" t="inlineStr"/>
      <c r="AN516" t="inlineStr"/>
      <c r="AO516" t="inlineStr">
        <is>
          <t>cmm4yur0n0435cuqwm93q1pqq</t>
        </is>
      </c>
      <c r="AP516" t="inlineStr">
        <is>
          <t>http://localhost:8787/api/admin/requirements/documents/cmm4yur0n0435cuqwm93q1pqq/view</t>
        </is>
      </c>
      <c r="AQ516">
        <f>HYPERLÄNK("http://localhost:8787/api/admin/requirements/documents/cmm4yur0n0435cuqwm93q1pqq/view";"Öppna PDF")</f>
        <v/>
      </c>
      <c r="AR516">
        <f>HYPERLINK("http://localhost:8787/api/admin/requirements/documents/cmm4yur0n0435cuqwm93q1pqq/view","Open PDF")</f>
        <v/>
      </c>
      <c r="AS516" t="inlineStr">
        <is>
          <t>cmm55w57p0004cuisfrtpqly8</t>
        </is>
      </c>
      <c r="AT516" t="inlineStr">
        <is>
          <t>cmm4xvu980000cuh4vj0usz09</t>
        </is>
      </c>
      <c r="AU516" t="inlineStr"/>
      <c r="AV516" t="inlineStr">
        <is>
          <t>Kommun</t>
        </is>
      </c>
      <c r="AW516" t="inlineStr"/>
      <c r="AX516" t="inlineStr">
        <is>
          <t>2024-10</t>
        </is>
      </c>
      <c r="AY516" t="inlineStr">
        <is>
          <t>Beslut</t>
        </is>
      </c>
      <c r="AZ516" t="inlineStr">
        <is>
          <t>2026-02-05</t>
        </is>
      </c>
      <c r="BA516" t="inlineStr">
        <is>
          <t>MILJ20241666.pdf</t>
        </is>
      </c>
      <c r="BB516" t="inlineStr">
        <is>
          <t>Handlingar</t>
        </is>
      </c>
      <c r="BC516" t="inlineStr">
        <is>
          <t>AUTO</t>
        </is>
      </c>
      <c r="BD516" t="inlineStr"/>
      <c r="BE516" t="inlineStr"/>
      <c r="BF516" t="inlineStr">
        <is>
          <t>AUTO_GENERERAD. Bekrafta metadata mot kallfil.</t>
        </is>
      </c>
      <c r="BG516">
        <f>HYPERLINK("C:\Users\jimmy\Desktop\Examens arbete\Kod\Ny mapp\remix_-copy-of-miljöbeslut.se-portal\MILJ20241666.pdf", "Öppna PDF")</f>
        <v/>
      </c>
    </row>
    <row r="517">
      <c r="A517" t="inlineStr">
        <is>
          <t>KRAV-AUTO-000516</t>
        </is>
      </c>
      <c r="B517" t="inlineStr">
        <is>
          <t>ADMIN-INDEX-2026-02-27-00000000125C043F57453246863FE664CAFE6A3F0700950291EA24F0614FB6ACEDB12BF0E31D00000000010C0000950291EA24F0614FB6ACEDB12BF0E31D00002087A5C30000</t>
        </is>
      </c>
      <c r="C517" t="inlineStr">
        <is>
          <t>cmm4yur0n0435cuqwm93q1pqq</t>
        </is>
      </c>
      <c r="D517" t="inlineStr">
        <is>
          <t>http://localhost:8787/api/admin/requirements/documents/cmm4yur0n0435cuqwm93q1pqq/view</t>
        </is>
      </c>
      <c r="E517">
        <f>HYPERLÄNK("http://localhost:8787/api/admin/requirements/documents/cmm4yur0n0435cuqwm93q1pqq/view";"Öppna PDF")</f>
        <v/>
      </c>
      <c r="F517">
        <f>HYPERLINK("http://localhost:8787/api/admin/requirements/documents/cmm4yur0n0435cuqwm93q1pqq/view","Open PDF")</f>
        <v/>
      </c>
      <c r="G517" t="inlineStr">
        <is>
          <t>cmm55w57p0004cuisfrtpqly8</t>
        </is>
      </c>
      <c r="H517" t="inlineStr">
        <is>
          <t>Beslutsvillkor</t>
        </is>
      </c>
      <c r="I517" t="inlineStr">
        <is>
          <t>LagringsvolymTid</t>
        </is>
      </c>
      <c r="J517" t="inlineStr">
        <is>
          <t>Maxmangd</t>
        </is>
      </c>
      <c r="K517" t="inlineStr">
        <is>
          <t>Det ska inte längre användas några betongmassor från Skanska för utfyllnad.</t>
        </is>
      </c>
      <c r="L517" t="inlineStr">
        <is>
          <t>Det ska inte längre användas några betongmassor från Skanska för utfyllnad.</t>
        </is>
      </c>
      <c r="M517" t="inlineStr">
        <is>
          <t>SKA</t>
        </is>
      </c>
      <c r="N517" t="inlineStr"/>
      <c r="O517" t="inlineStr"/>
      <c r="P517" t="inlineStr"/>
      <c r="Q517" t="inlineStr"/>
      <c r="R517" t="inlineStr">
        <is>
          <t>Alltid</t>
        </is>
      </c>
      <c r="S517" t="inlineStr"/>
      <c r="T517" t="inlineStr"/>
      <c r="U517" t="inlineStr"/>
      <c r="V517" t="inlineStr"/>
      <c r="W517" t="inlineStr">
        <is>
          <t>Nej</t>
        </is>
      </c>
      <c r="X517" t="inlineStr">
        <is>
          <t>Nej</t>
        </is>
      </c>
      <c r="Y517" t="inlineStr">
        <is>
          <t>Nej</t>
        </is>
      </c>
      <c r="Z517" t="inlineStr">
        <is>
          <t>Nej</t>
        </is>
      </c>
      <c r="AA517" t="n">
        <v>4</v>
      </c>
      <c r="AB517" t="inlineStr">
        <is>
          <t>Avfallsmangder och lagringstid</t>
        </is>
      </c>
      <c r="AC517" t="inlineStr">
        <is>
          <t>Avfallsforteckning</t>
        </is>
      </c>
      <c r="AD517" t="inlineStr">
        <is>
          <t>Nej</t>
        </is>
      </c>
      <c r="AE517" t="inlineStr">
        <is>
          <t>Nej</t>
        </is>
      </c>
      <c r="AF517" t="inlineStr">
        <is>
          <t>Ej behandlad</t>
        </is>
      </c>
      <c r="AG517" t="inlineStr">
        <is>
          <t>AUTO_GENERERAD. Verifiera citat mot kallfil.</t>
        </is>
      </c>
      <c r="AH517" t="inlineStr">
        <is>
          <t>MEDIUM</t>
        </is>
      </c>
      <c r="AI517" t="inlineStr">
        <is>
          <t>AUTO</t>
        </is>
      </c>
      <c r="AJ517" t="inlineStr">
        <is>
          <t>Nej</t>
        </is>
      </c>
      <c r="AK517" t="inlineStr"/>
      <c r="AL517" t="inlineStr"/>
      <c r="AM517" t="inlineStr"/>
      <c r="AN517" t="inlineStr"/>
      <c r="AO517" t="inlineStr">
        <is>
          <t>cmm4yur0n0435cuqwm93q1pqq</t>
        </is>
      </c>
      <c r="AP517" t="inlineStr">
        <is>
          <t>http://localhost:8787/api/admin/requirements/documents/cmm4yur0n0435cuqwm93q1pqq/view</t>
        </is>
      </c>
      <c r="AQ517">
        <f>HYPERLÄNK("http://localhost:8787/api/admin/requirements/documents/cmm4yur0n0435cuqwm93q1pqq/view";"Öppna PDF")</f>
        <v/>
      </c>
      <c r="AR517">
        <f>HYPERLINK("http://localhost:8787/api/admin/requirements/documents/cmm4yur0n0435cuqwm93q1pqq/view","Open PDF")</f>
        <v/>
      </c>
      <c r="AS517" t="inlineStr">
        <is>
          <t>cmm55w57p0004cuisfrtpqly8</t>
        </is>
      </c>
      <c r="AT517" t="inlineStr">
        <is>
          <t>cmm4xvu980000cuh4vj0usz09</t>
        </is>
      </c>
      <c r="AU517" t="inlineStr"/>
      <c r="AV517" t="inlineStr">
        <is>
          <t>Kommun</t>
        </is>
      </c>
      <c r="AW517" t="inlineStr"/>
      <c r="AX517" t="inlineStr">
        <is>
          <t>2024-10</t>
        </is>
      </c>
      <c r="AY517" t="inlineStr">
        <is>
          <t>Beslut</t>
        </is>
      </c>
      <c r="AZ517" t="inlineStr">
        <is>
          <t>2026-02-05</t>
        </is>
      </c>
      <c r="BA517" t="inlineStr">
        <is>
          <t>MILJ20241666.pdf</t>
        </is>
      </c>
      <c r="BB517" t="inlineStr">
        <is>
          <t>Handlingar</t>
        </is>
      </c>
      <c r="BC517" t="inlineStr">
        <is>
          <t>AUTO</t>
        </is>
      </c>
      <c r="BD517" t="inlineStr"/>
      <c r="BE517" t="inlineStr"/>
      <c r="BF517" t="inlineStr">
        <is>
          <t>AUTO_GENERERAD. Bekrafta metadata mot kallfil.</t>
        </is>
      </c>
      <c r="BG517">
        <f>HYPERLINK("C:\Users\jimmy\Desktop\Examens arbete\Kod\Ny mapp\remix_-copy-of-miljöbeslut.se-portal\MILJ20241666.pdf", "Öppna PDF")</f>
        <v/>
      </c>
    </row>
    <row r="518">
      <c r="A518" t="inlineStr">
        <is>
          <t>KRAV-AUTO-000517</t>
        </is>
      </c>
      <c r="B518" t="inlineStr">
        <is>
          <t>ADMIN-INDEX-2026-02-27-00000000125C043F57453246863FE664CAFE6A3F0700950291EA24F0614FB6ACEDB12BF0E31D00000000010C0000950291EA24F0614FB6ACEDB12BF0E31D00002087A5C30000</t>
        </is>
      </c>
      <c r="C518" t="inlineStr">
        <is>
          <t>cmm4yur0n0435cuqwm93q1pqq</t>
        </is>
      </c>
      <c r="D518" t="inlineStr">
        <is>
          <t>http://localhost:8787/api/admin/requirements/documents/cmm4yur0n0435cuqwm93q1pqq/view</t>
        </is>
      </c>
      <c r="E518">
        <f>HYPERLÄNK("http://localhost:8787/api/admin/requirements/documents/cmm4yur0n0435cuqwm93q1pqq/view";"Öppna PDF")</f>
        <v/>
      </c>
      <c r="F518">
        <f>HYPERLINK("http://localhost:8787/api/admin/requirements/documents/cmm4yur0n0435cuqwm93q1pqq/view","Open PDF")</f>
        <v/>
      </c>
      <c r="G518" t="inlineStr">
        <is>
          <t>cmm55w57p0004cuisfrtpqly8</t>
        </is>
      </c>
      <c r="H518" t="inlineStr">
        <is>
          <t>Beslutsvillkor</t>
        </is>
      </c>
      <c r="I518" t="inlineStr">
        <is>
          <t>MiljopaverkanForsiktighet</t>
        </is>
      </c>
      <c r="J518" t="inlineStr">
        <is>
          <t>Skyddsatgarder</t>
        </is>
      </c>
      <c r="K518" t="inlineStr">
        <is>
          <t>Information För att anmälan om användning av avfall för anläggningsändamål ska kunna handläggas behöver den kompletteras med sidan två i blanketten.</t>
        </is>
      </c>
      <c r="L518" t="inlineStr">
        <is>
          <t>Information För att anmälan om användning av avfall för anläggningsändamål ska kunna handläggas behöver den kompletteras med sidan två i blanketten.</t>
        </is>
      </c>
      <c r="M518" t="inlineStr">
        <is>
          <t>SKA</t>
        </is>
      </c>
      <c r="N518" t="inlineStr"/>
      <c r="O518" t="inlineStr"/>
      <c r="P518" t="inlineStr"/>
      <c r="Q518" t="inlineStr"/>
      <c r="R518" t="inlineStr">
        <is>
          <t>Alltid</t>
        </is>
      </c>
      <c r="S518" t="inlineStr"/>
      <c r="T518" t="inlineStr"/>
      <c r="U518" t="inlineStr"/>
      <c r="V518" t="inlineStr"/>
      <c r="W518" t="inlineStr">
        <is>
          <t>Nej</t>
        </is>
      </c>
      <c r="X518" t="inlineStr">
        <is>
          <t>Nej</t>
        </is>
      </c>
      <c r="Y518" t="inlineStr">
        <is>
          <t>Nej</t>
        </is>
      </c>
      <c r="Z518" t="inlineStr">
        <is>
          <t>Nej</t>
        </is>
      </c>
      <c r="AA518" t="n">
        <v>10</v>
      </c>
      <c r="AB518" t="inlineStr">
        <is>
          <t>Miljopaverkan och forsiktighetsmatt</t>
        </is>
      </c>
      <c r="AC518" t="inlineStr">
        <is>
          <t>Miljo-PM</t>
        </is>
      </c>
      <c r="AD518" t="inlineStr">
        <is>
          <t>Nej</t>
        </is>
      </c>
      <c r="AE518" t="inlineStr">
        <is>
          <t>Nej</t>
        </is>
      </c>
      <c r="AF518" t="inlineStr">
        <is>
          <t>Ej behandlad</t>
        </is>
      </c>
      <c r="AG518" t="inlineStr">
        <is>
          <t>AUTO_GENERERAD. Verifiera citat mot kallfil.</t>
        </is>
      </c>
      <c r="AH518" t="inlineStr">
        <is>
          <t>MEDIUM</t>
        </is>
      </c>
      <c r="AI518" t="inlineStr">
        <is>
          <t>AUTO</t>
        </is>
      </c>
      <c r="AJ518" t="inlineStr">
        <is>
          <t>Nej</t>
        </is>
      </c>
      <c r="AK518" t="inlineStr"/>
      <c r="AL518" t="inlineStr"/>
      <c r="AM518" t="inlineStr"/>
      <c r="AN518" t="inlineStr"/>
      <c r="AO518" t="inlineStr">
        <is>
          <t>cmm4yur0n0435cuqwm93q1pqq</t>
        </is>
      </c>
      <c r="AP518" t="inlineStr">
        <is>
          <t>http://localhost:8787/api/admin/requirements/documents/cmm4yur0n0435cuqwm93q1pqq/view</t>
        </is>
      </c>
      <c r="AQ518">
        <f>HYPERLÄNK("http://localhost:8787/api/admin/requirements/documents/cmm4yur0n0435cuqwm93q1pqq/view";"Öppna PDF")</f>
        <v/>
      </c>
      <c r="AR518">
        <f>HYPERLINK("http://localhost:8787/api/admin/requirements/documents/cmm4yur0n0435cuqwm93q1pqq/view","Open PDF")</f>
        <v/>
      </c>
      <c r="AS518" t="inlineStr">
        <is>
          <t>cmm55w57p0004cuisfrtpqly8</t>
        </is>
      </c>
      <c r="AT518" t="inlineStr">
        <is>
          <t>cmm4xvu980000cuh4vj0usz09</t>
        </is>
      </c>
      <c r="AU518" t="inlineStr"/>
      <c r="AV518" t="inlineStr">
        <is>
          <t>Kommun</t>
        </is>
      </c>
      <c r="AW518" t="inlineStr"/>
      <c r="AX518" t="inlineStr">
        <is>
          <t>2024-10</t>
        </is>
      </c>
      <c r="AY518" t="inlineStr">
        <is>
          <t>Beslut</t>
        </is>
      </c>
      <c r="AZ518" t="inlineStr">
        <is>
          <t>2026-02-05</t>
        </is>
      </c>
      <c r="BA518" t="inlineStr">
        <is>
          <t>MILJ20241666.pdf</t>
        </is>
      </c>
      <c r="BB518" t="inlineStr">
        <is>
          <t>Handlingar</t>
        </is>
      </c>
      <c r="BC518" t="inlineStr">
        <is>
          <t>AUTO</t>
        </is>
      </c>
      <c r="BD518" t="inlineStr"/>
      <c r="BE518" t="inlineStr"/>
      <c r="BF518" t="inlineStr">
        <is>
          <t>AUTO_GENERERAD. Bekrafta metadata mot kallfil.</t>
        </is>
      </c>
      <c r="BG518">
        <f>HYPERLINK("C:\Users\jimmy\Desktop\Examens arbete\Kod\Ny mapp\remix_-copy-of-miljöbeslut.se-portal\MILJ20241666.pdf", "Öppna PDF")</f>
        <v/>
      </c>
    </row>
    <row r="519">
      <c r="A519" t="inlineStr">
        <is>
          <t>KRAV-AUTO-000518</t>
        </is>
      </c>
      <c r="B519" t="inlineStr">
        <is>
          <t>ADMIN-INDEX-2026-02-27-00000000125C043F57453246863FE664CAFE6A3F0700950291EA24F0614FB6ACEDB12BF0E31D00000000010C0000950291EA24F0614FB6ACEDB12BF0E31D00002087A5CF0000</t>
        </is>
      </c>
      <c r="C519" t="inlineStr">
        <is>
          <t>cmm4yuqzg041tcuqwqn2oidhf</t>
        </is>
      </c>
      <c r="D519" t="inlineStr">
        <is>
          <t>http://localhost:8787/api/admin/requirements/documents/cmm4yuqzg041tcuqwqn2oidhf/view</t>
        </is>
      </c>
      <c r="E519">
        <f>HYPERLÄNK("http://localhost:8787/api/admin/requirements/documents/cmm4yuqzg041tcuqwqn2oidhf/view";"Öppna PDF")</f>
        <v/>
      </c>
      <c r="F519">
        <f>HYPERLINK("http://localhost:8787/api/admin/requirements/documents/cmm4yuqzg041tcuqwqn2oidhf/view","Open PDF")</f>
        <v/>
      </c>
      <c r="G519" t="inlineStr">
        <is>
          <t>cmm55w57p0004cuisfrtpqly8</t>
        </is>
      </c>
      <c r="H519" t="inlineStr">
        <is>
          <t>Informationskrav</t>
        </is>
      </c>
      <c r="I519" t="inlineStr">
        <is>
          <t>Riskhantering</t>
        </is>
      </c>
      <c r="J519" t="inlineStr">
        <is>
          <t>Riskkontroll</t>
        </is>
      </c>
      <c r="K519" t="inlineStr">
        <is>
          <t>b.) Verksamhetskod 90.90 avser endast kabel och inga andra elektriska och elektroniska produkter, kabel får inte skalas.</t>
        </is>
      </c>
      <c r="L519" t="inlineStr">
        <is>
          <t>b.) Verksamhetskod 90.90 avser endast kabel och inga andra elektriska och elektroniska produkter, kabel får inte skalas.</t>
        </is>
      </c>
      <c r="M519" t="inlineStr">
        <is>
          <t>SKA</t>
        </is>
      </c>
      <c r="N519" t="inlineStr"/>
      <c r="O519" t="inlineStr"/>
      <c r="P519" t="inlineStr"/>
      <c r="Q519" t="inlineStr">
        <is>
          <t>Driftbegransning vid avvikelse</t>
        </is>
      </c>
      <c r="R519" t="inlineStr">
        <is>
          <t>Vid risk for incident</t>
        </is>
      </c>
      <c r="S519" t="inlineStr"/>
      <c r="T519" t="inlineStr">
        <is>
          <t>556060</t>
        </is>
      </c>
      <c r="U519" t="inlineStr"/>
      <c r="V519" t="inlineStr"/>
      <c r="W519" t="inlineStr">
        <is>
          <t>Nej</t>
        </is>
      </c>
      <c r="X519" t="inlineStr">
        <is>
          <t>Nej</t>
        </is>
      </c>
      <c r="Y519" t="inlineStr">
        <is>
          <t>Ja</t>
        </is>
      </c>
      <c r="Z519" t="inlineStr">
        <is>
          <t>Ja</t>
        </is>
      </c>
      <c r="AA519" t="n">
        <v>8</v>
      </c>
      <c r="AB519" t="inlineStr">
        <is>
          <t>Riskhantering</t>
        </is>
      </c>
      <c r="AC519" t="inlineStr">
        <is>
          <t>Risk-PM</t>
        </is>
      </c>
      <c r="AD519" t="inlineStr">
        <is>
          <t>Nej</t>
        </is>
      </c>
      <c r="AE519" t="inlineStr">
        <is>
          <t>Nej</t>
        </is>
      </c>
      <c r="AF519" t="inlineStr">
        <is>
          <t>Ej behandlad</t>
        </is>
      </c>
      <c r="AG519" t="inlineStr">
        <is>
          <t>AUTO_GENERERAD. Verifiera citat mot kallfil.</t>
        </is>
      </c>
      <c r="AH519" t="inlineStr">
        <is>
          <t>MEDIUM</t>
        </is>
      </c>
      <c r="AI519" t="inlineStr">
        <is>
          <t>AUTO</t>
        </is>
      </c>
      <c r="AJ519" t="inlineStr">
        <is>
          <t>Nej</t>
        </is>
      </c>
      <c r="AK519" t="inlineStr"/>
      <c r="AL519" t="inlineStr"/>
      <c r="AM519" t="inlineStr"/>
      <c r="AN519" t="inlineStr"/>
      <c r="AO519" t="inlineStr">
        <is>
          <t>cmm4yuqzn041zcuqwy7h3npzx</t>
        </is>
      </c>
      <c r="AP519" t="inlineStr">
        <is>
          <t>http://localhost:8787/api/admin/requirements/documents/cmm4yuqzn041zcuqwy7h3npzx/view</t>
        </is>
      </c>
      <c r="AQ519">
        <f>HYPERLÄNK("http://localhost:8787/api/admin/requirements/documents/cmm4yuqzn041zcuqwy7h3npzx/view";"Öppna PDF")</f>
        <v/>
      </c>
      <c r="AR519">
        <f>HYPERLINK("http://localhost:8787/api/admin/requirements/documents/cmm4yuqzn041zcuqwy7h3npzx/view","Open PDF")</f>
        <v/>
      </c>
      <c r="AS519" t="inlineStr">
        <is>
          <t>cmm55w57p0004cuisfrtpqly8</t>
        </is>
      </c>
      <c r="AT519" t="inlineStr">
        <is>
          <t>cmm4xvu980000cuh4vj0usz09</t>
        </is>
      </c>
      <c r="AU519" t="inlineStr"/>
      <c r="AV519" t="inlineStr">
        <is>
          <t>Kommun</t>
        </is>
      </c>
      <c r="AW519" t="inlineStr"/>
      <c r="AX519" t="inlineStr">
        <is>
          <t>2025-03</t>
        </is>
      </c>
      <c r="AY519" t="inlineStr">
        <is>
          <t>Anmalan</t>
        </is>
      </c>
      <c r="AZ519" t="inlineStr">
        <is>
          <t>2026-02-05</t>
        </is>
      </c>
      <c r="BA519" t="inlineStr">
        <is>
          <t>Ärendenr 2025-88. MaserFrakt AB. Anmälan och Beslut (2).pdf</t>
        </is>
      </c>
      <c r="BB519" t="inlineStr">
        <is>
          <t>SV: till registrator</t>
        </is>
      </c>
      <c r="BC519" t="inlineStr">
        <is>
          <t>AUTO</t>
        </is>
      </c>
      <c r="BD519" t="inlineStr"/>
      <c r="BE519" t="inlineStr"/>
      <c r="BF519" t="inlineStr">
        <is>
          <t>AUTO_GENERERAD. Bekrafta metadata mot kallfil.</t>
        </is>
      </c>
      <c r="BG519">
        <f>HYPERLINK("C:\Users\jimmy\Desktop\Examens arbete\Kod\Ny mapp\remix_-copy-of-miljöbeslut.se-portal\Ärendenr 2025-88. MaserFrakt AB. Anmälan och Beslut (2).pdf", "Öppna PDF")</f>
        <v/>
      </c>
    </row>
    <row r="520">
      <c r="A520" t="inlineStr">
        <is>
          <t>KRAV-AUTO-000519</t>
        </is>
      </c>
      <c r="B520" t="inlineStr">
        <is>
          <t>ADMIN-INDEX-2026-02-27-00000000125C043F57453246863FE664CAFE6A3F0700950291EA24F0614FB6ACEDB12BF0E31D00000000010C0000950291EA24F0614FB6ACEDB12BF0E31D00002087A5CF0000</t>
        </is>
      </c>
      <c r="C520" t="inlineStr">
        <is>
          <t>cmm4yuqzg041tcuqwqn2oidhf</t>
        </is>
      </c>
      <c r="D520" t="inlineStr">
        <is>
          <t>http://localhost:8787/api/admin/requirements/documents/cmm4yuqzg041tcuqwqn2oidhf/view</t>
        </is>
      </c>
      <c r="E520">
        <f>HYPERLÄNK("http://localhost:8787/api/admin/requirements/documents/cmm4yuqzg041tcuqwqn2oidhf/view";"Öppna PDF")</f>
        <v/>
      </c>
      <c r="F520">
        <f>HYPERLINK("http://localhost:8787/api/admin/requirements/documents/cmm4yuqzg041tcuqwqn2oidhf/view","Open PDF")</f>
        <v/>
      </c>
      <c r="G520" t="inlineStr">
        <is>
          <t>cmm55w57p0004cuisfrtpqly8</t>
        </is>
      </c>
      <c r="H520" t="inlineStr">
        <is>
          <t>Informationskrav</t>
        </is>
      </c>
      <c r="I520" t="inlineStr">
        <is>
          <t>Riskhantering</t>
        </is>
      </c>
      <c r="J520" t="inlineStr">
        <is>
          <t>Riskkontroll</t>
        </is>
      </c>
      <c r="K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 Kabel | 17 04 11 Däck | 16 01 06 f.) Osorterat bygg- och rivningsavfall får endast transporteras och tas emot vid anläggningen om mottagaren av avfallet har kontrollerat att den som producerat avfallet har ansökt om undantag från krav på utsortering.</t>
        </is>
      </c>
      <c r="L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t>
        </is>
      </c>
      <c r="M520" t="inlineStr">
        <is>
          <t>SKA</t>
        </is>
      </c>
      <c r="N520" t="inlineStr"/>
      <c r="O520" t="inlineStr"/>
      <c r="P520" t="inlineStr"/>
      <c r="Q520" t="inlineStr"/>
      <c r="R520" t="inlineStr">
        <is>
          <t>Vid risk for incident</t>
        </is>
      </c>
      <c r="S520" t="inlineStr"/>
      <c r="T520" t="inlineStr">
        <is>
          <t>16 01 17</t>
        </is>
      </c>
      <c r="U520" t="inlineStr"/>
      <c r="V520" t="inlineStr"/>
      <c r="W520" t="inlineStr">
        <is>
          <t>Nej</t>
        </is>
      </c>
      <c r="X520" t="inlineStr">
        <is>
          <t>Nej</t>
        </is>
      </c>
      <c r="Y520" t="inlineStr">
        <is>
          <t>Ja</t>
        </is>
      </c>
      <c r="Z520" t="inlineStr">
        <is>
          <t>Ja</t>
        </is>
      </c>
      <c r="AA520" t="n">
        <v>8</v>
      </c>
      <c r="AB520" t="inlineStr">
        <is>
          <t>Riskhantering</t>
        </is>
      </c>
      <c r="AC520" t="inlineStr">
        <is>
          <t>Risk-PM</t>
        </is>
      </c>
      <c r="AD520" t="inlineStr">
        <is>
          <t>Nej</t>
        </is>
      </c>
      <c r="AE520" t="inlineStr">
        <is>
          <t>Nej</t>
        </is>
      </c>
      <c r="AF520" t="inlineStr">
        <is>
          <t>Ej behandlad</t>
        </is>
      </c>
      <c r="AG520" t="inlineStr">
        <is>
          <t>AUTO_GENERERAD. Verifiera citat mot kallfil.</t>
        </is>
      </c>
      <c r="AH520" t="inlineStr">
        <is>
          <t>MEDIUM</t>
        </is>
      </c>
      <c r="AI520" t="inlineStr">
        <is>
          <t>AUTO</t>
        </is>
      </c>
      <c r="AJ520" t="inlineStr">
        <is>
          <t>Nej</t>
        </is>
      </c>
      <c r="AK520" t="inlineStr"/>
      <c r="AL520" t="inlineStr"/>
      <c r="AM520" t="inlineStr"/>
      <c r="AN520" t="inlineStr"/>
      <c r="AO520" t="inlineStr">
        <is>
          <t>cmm4yuqzn041zcuqwy7h3npzx</t>
        </is>
      </c>
      <c r="AP520" t="inlineStr">
        <is>
          <t>http://localhost:8787/api/admin/requirements/documents/cmm4yuqzn041zcuqwy7h3npzx/view</t>
        </is>
      </c>
      <c r="AQ520">
        <f>HYPERLÄNK("http://localhost:8787/api/admin/requirements/documents/cmm4yuqzn041zcuqwy7h3npzx/view";"Öppna PDF")</f>
        <v/>
      </c>
      <c r="AR520">
        <f>HYPERLINK("http://localhost:8787/api/admin/requirements/documents/cmm4yuqzn041zcuqwy7h3npzx/view","Open PDF")</f>
        <v/>
      </c>
      <c r="AS520" t="inlineStr">
        <is>
          <t>cmm55w57p0004cuisfrtpqly8</t>
        </is>
      </c>
      <c r="AT520" t="inlineStr">
        <is>
          <t>cmm4xvu980000cuh4vj0usz09</t>
        </is>
      </c>
      <c r="AU520" t="inlineStr"/>
      <c r="AV520" t="inlineStr">
        <is>
          <t>Kommun</t>
        </is>
      </c>
      <c r="AW520" t="inlineStr"/>
      <c r="AX520" t="inlineStr">
        <is>
          <t>2025-03</t>
        </is>
      </c>
      <c r="AY520" t="inlineStr">
        <is>
          <t>Anmalan</t>
        </is>
      </c>
      <c r="AZ520" t="inlineStr">
        <is>
          <t>2026-02-05</t>
        </is>
      </c>
      <c r="BA520" t="inlineStr">
        <is>
          <t>Ärendenr 2025-88. MaserFrakt AB. Anmälan och Beslut (2).pdf</t>
        </is>
      </c>
      <c r="BB520" t="inlineStr">
        <is>
          <t>SV: till registrator</t>
        </is>
      </c>
      <c r="BC520" t="inlineStr">
        <is>
          <t>AUTO</t>
        </is>
      </c>
      <c r="BD520" t="inlineStr"/>
      <c r="BE520" t="inlineStr"/>
      <c r="BF520" t="inlineStr">
        <is>
          <t>AUTO_GENERERAD. Bekrafta metadata mot kallfil.</t>
        </is>
      </c>
      <c r="BG520">
        <f>HYPERLINK("C:\Users\jimmy\Desktop\Examens arbete\Kod\Ny mapp\remix_-copy-of-miljöbeslut.se-portal\Ärendenr 2025-88. MaserFrakt AB. Anmälan och Beslut (2).pdf", "Öppna PDF")</f>
        <v/>
      </c>
    </row>
    <row r="521">
      <c r="A521" t="inlineStr">
        <is>
          <t>KRAV-AUTO-000520</t>
        </is>
      </c>
      <c r="B521" t="inlineStr">
        <is>
          <t>ADMIN-INDEX-2026-02-27-00000000125C043F57453246863FE664CAFE6A3F0700950291EA24F0614FB6ACEDB12BF0E31D00000000010C0000950291EA24F0614FB6ACEDB12BF0E31D00002087A5C40000</t>
        </is>
      </c>
      <c r="C521" t="inlineStr">
        <is>
          <t>cmm4yur0k0432cuqweo5zpqdy</t>
        </is>
      </c>
      <c r="D521" t="inlineStr">
        <is>
          <t>http://localhost:8787/api/admin/requirements/documents/cmm4yur0k0432cuqweo5zpqdy/view</t>
        </is>
      </c>
      <c r="E521">
        <f>HYPERLÄNK("http://localhost:8787/api/admin/requirements/documents/cmm4yur0k0432cuqweo5zpqdy/view";"Öppna PDF")</f>
        <v/>
      </c>
      <c r="F521">
        <f>HYPERLINK("http://localhost:8787/api/admin/requirements/documents/cmm4yur0k0432cuqweo5zpqdy/view","Open PDF")</f>
        <v/>
      </c>
      <c r="G521" t="inlineStr">
        <is>
          <t>cmm55w57p0004cuisfrtpqly8</t>
        </is>
      </c>
      <c r="H521" t="inlineStr">
        <is>
          <t>Beslutsvillkor</t>
        </is>
      </c>
      <c r="I521" t="inlineStr">
        <is>
          <t>LagringsvolymTid</t>
        </is>
      </c>
      <c r="J521" t="inlineStr">
        <is>
          <t>Maxmangd</t>
        </is>
      </c>
      <c r="K521" t="inlineStr">
        <is>
          <t>Vid användning av avfall för anläggningsändamål ska endast den mängd massor som behövs för att uppnå syftet användas.</t>
        </is>
      </c>
      <c r="L521" t="inlineStr">
        <is>
          <t>Vid användning av avfall för anläggningsändamål ska endast den mängd massor som behövs för att uppnå syftet användas.</t>
        </is>
      </c>
      <c r="M521" t="inlineStr">
        <is>
          <t>SKA</t>
        </is>
      </c>
      <c r="N521" t="inlineStr"/>
      <c r="O521" t="inlineStr"/>
      <c r="P521" t="inlineStr"/>
      <c r="Q521" t="inlineStr"/>
      <c r="R521" t="inlineStr">
        <is>
          <t>Alltid</t>
        </is>
      </c>
      <c r="S521" t="inlineStr"/>
      <c r="T521" t="inlineStr"/>
      <c r="U521" t="inlineStr"/>
      <c r="V521" t="inlineStr"/>
      <c r="W521" t="inlineStr">
        <is>
          <t>Nej</t>
        </is>
      </c>
      <c r="X521" t="inlineStr">
        <is>
          <t>Nej</t>
        </is>
      </c>
      <c r="Y521" t="inlineStr">
        <is>
          <t>Nej</t>
        </is>
      </c>
      <c r="Z521" t="inlineStr">
        <is>
          <t>Nej</t>
        </is>
      </c>
      <c r="AA521" t="n">
        <v>4</v>
      </c>
      <c r="AB521" t="inlineStr">
        <is>
          <t>Avfallsmangder och lagringstid</t>
        </is>
      </c>
      <c r="AC521" t="inlineStr">
        <is>
          <t>Avfallsforteckning</t>
        </is>
      </c>
      <c r="AD521" t="inlineStr">
        <is>
          <t>Nej</t>
        </is>
      </c>
      <c r="AE521" t="inlineStr">
        <is>
          <t>Nej</t>
        </is>
      </c>
      <c r="AF521" t="inlineStr">
        <is>
          <t>Ej behandlad</t>
        </is>
      </c>
      <c r="AG521" t="inlineStr">
        <is>
          <t>AUTO_GENERERAD. Verifiera citat mot kallfil.</t>
        </is>
      </c>
      <c r="AH521" t="inlineStr">
        <is>
          <t>MEDIUM</t>
        </is>
      </c>
      <c r="AI521" t="inlineStr">
        <is>
          <t>AUTO</t>
        </is>
      </c>
      <c r="AJ521" t="inlineStr">
        <is>
          <t>Nej</t>
        </is>
      </c>
      <c r="AK521" t="inlineStr"/>
      <c r="AL521" t="inlineStr"/>
      <c r="AM521" t="inlineStr"/>
      <c r="AN521" t="inlineStr"/>
      <c r="AO521" t="inlineStr">
        <is>
          <t>cmm4yur0k0432cuqweo5zpqdy</t>
        </is>
      </c>
      <c r="AP521" t="inlineStr">
        <is>
          <t>http://localhost:8787/api/admin/requirements/documents/cmm4yur0k0432cuqweo5zpqdy/view</t>
        </is>
      </c>
      <c r="AQ521">
        <f>HYPERLÄNK("http://localhost:8787/api/admin/requirements/documents/cmm4yur0k0432cuqweo5zpqdy/view";"Öppna PDF")</f>
        <v/>
      </c>
      <c r="AR521">
        <f>HYPERLINK("http://localhost:8787/api/admin/requirements/documents/cmm4yur0k0432cuqweo5zpqdy/view","Open PDF")</f>
        <v/>
      </c>
      <c r="AS521" t="inlineStr">
        <is>
          <t>cmm55w57p0004cuisfrtpqly8</t>
        </is>
      </c>
      <c r="AT521" t="inlineStr">
        <is>
          <t>cmm4xvu980000cuh4vj0usz09</t>
        </is>
      </c>
      <c r="AU521" t="inlineStr"/>
      <c r="AV521" t="inlineStr">
        <is>
          <t>Kommun</t>
        </is>
      </c>
      <c r="AW521" t="inlineStr"/>
      <c r="AX521" t="inlineStr">
        <is>
          <t>2024-10</t>
        </is>
      </c>
      <c r="AY521" t="inlineStr">
        <is>
          <t>Beslut</t>
        </is>
      </c>
      <c r="AZ521" t="inlineStr">
        <is>
          <t>2026-02-05</t>
        </is>
      </c>
      <c r="BA521" t="inlineStr">
        <is>
          <t>MILJ20241666.pdf</t>
        </is>
      </c>
      <c r="BB521" t="inlineStr">
        <is>
          <t>Handlingar</t>
        </is>
      </c>
      <c r="BC521" t="inlineStr">
        <is>
          <t>AUTO</t>
        </is>
      </c>
      <c r="BD521" t="inlineStr"/>
      <c r="BE521" t="inlineStr"/>
      <c r="BF521" t="inlineStr">
        <is>
          <t>AUTO_GENERERAD. Bekrafta metadata mot kallfil.</t>
        </is>
      </c>
      <c r="BG521">
        <f>HYPERLINK("C:\Users\jimmy\Desktop\Examens arbete\Kod\Ny mapp\remix_-copy-of-miljöbeslut.se-portal\MILJ20241666.pdf", "Öppna PDF")</f>
        <v/>
      </c>
    </row>
    <row r="522">
      <c r="A522" t="inlineStr">
        <is>
          <t>KRAV-AUTO-000521</t>
        </is>
      </c>
      <c r="B522" t="inlineStr">
        <is>
          <t>ADMIN-INDEX-2026-02-27-00000000125C043F57453246863FE664CAFE6A3F0700950291EA24F0614FB6ACEDB12BF0E31D00000000010C0000950291EA24F0614FB6ACEDB12BF0E31D00002087A5C40000</t>
        </is>
      </c>
      <c r="C522" t="inlineStr">
        <is>
          <t>cmm4yur0k0432cuqweo5zpqdy</t>
        </is>
      </c>
      <c r="D522" t="inlineStr">
        <is>
          <t>http://localhost:8787/api/admin/requirements/documents/cmm4yur0k0432cuqweo5zpqdy/view</t>
        </is>
      </c>
      <c r="E522">
        <f>HYPERLÄNK("http://localhost:8787/api/admin/requirements/documents/cmm4yur0k0432cuqweo5zpqdy/view";"Öppna PDF")</f>
        <v/>
      </c>
      <c r="F522">
        <f>HYPERLINK("http://localhost:8787/api/admin/requirements/documents/cmm4yur0k0432cuqweo5zpqdy/view","Open PDF")</f>
        <v/>
      </c>
      <c r="G522" t="inlineStr">
        <is>
          <t>cmm55w57p0004cuisfrtpqly8</t>
        </is>
      </c>
      <c r="H522" t="inlineStr">
        <is>
          <t>Beslutsvillkor</t>
        </is>
      </c>
      <c r="I522" t="inlineStr">
        <is>
          <t>LagringsvolymTid</t>
        </is>
      </c>
      <c r="J522" t="inlineStr">
        <is>
          <t>Maxmangd</t>
        </is>
      </c>
      <c r="K522" t="inlineStr">
        <is>
          <t>Det ska inte längre användas några betongmassor från Skanska för utfyllnad.</t>
        </is>
      </c>
      <c r="L522" t="inlineStr">
        <is>
          <t>Det ska inte längre användas några betongmassor från Skanska för utfyllnad.</t>
        </is>
      </c>
      <c r="M522" t="inlineStr">
        <is>
          <t>SKA</t>
        </is>
      </c>
      <c r="N522" t="inlineStr"/>
      <c r="O522" t="inlineStr"/>
      <c r="P522" t="inlineStr"/>
      <c r="Q522" t="inlineStr"/>
      <c r="R522" t="inlineStr">
        <is>
          <t>Alltid</t>
        </is>
      </c>
      <c r="S522" t="inlineStr"/>
      <c r="T522" t="inlineStr"/>
      <c r="U522" t="inlineStr"/>
      <c r="V522" t="inlineStr"/>
      <c r="W522" t="inlineStr">
        <is>
          <t>Nej</t>
        </is>
      </c>
      <c r="X522" t="inlineStr">
        <is>
          <t>Nej</t>
        </is>
      </c>
      <c r="Y522" t="inlineStr">
        <is>
          <t>Nej</t>
        </is>
      </c>
      <c r="Z522" t="inlineStr">
        <is>
          <t>Nej</t>
        </is>
      </c>
      <c r="AA522" t="n">
        <v>4</v>
      </c>
      <c r="AB522" t="inlineStr">
        <is>
          <t>Avfallsmangder och lagringstid</t>
        </is>
      </c>
      <c r="AC522" t="inlineStr">
        <is>
          <t>Avfallsforteckning</t>
        </is>
      </c>
      <c r="AD522" t="inlineStr">
        <is>
          <t>Nej</t>
        </is>
      </c>
      <c r="AE522" t="inlineStr">
        <is>
          <t>Nej</t>
        </is>
      </c>
      <c r="AF522" t="inlineStr">
        <is>
          <t>Ej behandlad</t>
        </is>
      </c>
      <c r="AG522" t="inlineStr">
        <is>
          <t>AUTO_GENERERAD. Verifiera citat mot kallfil.</t>
        </is>
      </c>
      <c r="AH522" t="inlineStr">
        <is>
          <t>MEDIUM</t>
        </is>
      </c>
      <c r="AI522" t="inlineStr">
        <is>
          <t>AUTO</t>
        </is>
      </c>
      <c r="AJ522" t="inlineStr">
        <is>
          <t>Nej</t>
        </is>
      </c>
      <c r="AK522" t="inlineStr"/>
      <c r="AL522" t="inlineStr"/>
      <c r="AM522" t="inlineStr"/>
      <c r="AN522" t="inlineStr"/>
      <c r="AO522" t="inlineStr">
        <is>
          <t>cmm4yur0k0432cuqweo5zpqdy</t>
        </is>
      </c>
      <c r="AP522" t="inlineStr">
        <is>
          <t>http://localhost:8787/api/admin/requirements/documents/cmm4yur0k0432cuqweo5zpqdy/view</t>
        </is>
      </c>
      <c r="AQ522">
        <f>HYPERLÄNK("http://localhost:8787/api/admin/requirements/documents/cmm4yur0k0432cuqweo5zpqdy/view";"Öppna PDF")</f>
        <v/>
      </c>
      <c r="AR522">
        <f>HYPERLINK("http://localhost:8787/api/admin/requirements/documents/cmm4yur0k0432cuqweo5zpqdy/view","Open PDF")</f>
        <v/>
      </c>
      <c r="AS522" t="inlineStr">
        <is>
          <t>cmm55w57p0004cuisfrtpqly8</t>
        </is>
      </c>
      <c r="AT522" t="inlineStr">
        <is>
          <t>cmm4xvu980000cuh4vj0usz09</t>
        </is>
      </c>
      <c r="AU522" t="inlineStr"/>
      <c r="AV522" t="inlineStr">
        <is>
          <t>Kommun</t>
        </is>
      </c>
      <c r="AW522" t="inlineStr"/>
      <c r="AX522" t="inlineStr">
        <is>
          <t>2024-10</t>
        </is>
      </c>
      <c r="AY522" t="inlineStr">
        <is>
          <t>Beslut</t>
        </is>
      </c>
      <c r="AZ522" t="inlineStr">
        <is>
          <t>2026-02-05</t>
        </is>
      </c>
      <c r="BA522" t="inlineStr">
        <is>
          <t>MILJ20241666.pdf</t>
        </is>
      </c>
      <c r="BB522" t="inlineStr">
        <is>
          <t>Handlingar</t>
        </is>
      </c>
      <c r="BC522" t="inlineStr">
        <is>
          <t>AUTO</t>
        </is>
      </c>
      <c r="BD522" t="inlineStr"/>
      <c r="BE522" t="inlineStr"/>
      <c r="BF522" t="inlineStr">
        <is>
          <t>AUTO_GENERERAD. Bekrafta metadata mot kallfil.</t>
        </is>
      </c>
      <c r="BG522">
        <f>HYPERLINK("C:\Users\jimmy\Desktop\Examens arbete\Kod\Ny mapp\remix_-copy-of-miljöbeslut.se-portal\MILJ20241666.pdf", "Öppna PDF")</f>
        <v/>
      </c>
    </row>
    <row r="523">
      <c r="A523" t="inlineStr">
        <is>
          <t>KRAV-AUTO-000522</t>
        </is>
      </c>
      <c r="B523" t="inlineStr">
        <is>
          <t>ADMIN-INDEX-2026-02-27-00000000125C043F57453246863FE664CAFE6A3F0700950291EA24F0614FB6ACEDB12BF0E31D00000000010C0000950291EA24F0614FB6ACEDB12BF0E31D00002087A5C40000</t>
        </is>
      </c>
      <c r="C523" t="inlineStr">
        <is>
          <t>cmm4yur0k0432cuqweo5zpqdy</t>
        </is>
      </c>
      <c r="D523" t="inlineStr">
        <is>
          <t>http://localhost:8787/api/admin/requirements/documents/cmm4yur0k0432cuqweo5zpqdy/view</t>
        </is>
      </c>
      <c r="E523">
        <f>HYPERLÄNK("http://localhost:8787/api/admin/requirements/documents/cmm4yur0k0432cuqweo5zpqdy/view";"Öppna PDF")</f>
        <v/>
      </c>
      <c r="F523">
        <f>HYPERLINK("http://localhost:8787/api/admin/requirements/documents/cmm4yur0k0432cuqweo5zpqdy/view","Open PDF")</f>
        <v/>
      </c>
      <c r="G523" t="inlineStr">
        <is>
          <t>cmm55w57p0004cuisfrtpqly8</t>
        </is>
      </c>
      <c r="H523" t="inlineStr">
        <is>
          <t>Beslutsvillkor</t>
        </is>
      </c>
      <c r="I523" t="inlineStr">
        <is>
          <t>MiljopaverkanForsiktighet</t>
        </is>
      </c>
      <c r="J523" t="inlineStr">
        <is>
          <t>Skyddsatgarder</t>
        </is>
      </c>
      <c r="K523" t="inlineStr">
        <is>
          <t>Information För att anmälan om användning av avfall för anläggningsändamål ska kunna handläggas behöver den kompletteras med sidan två i blanketten.</t>
        </is>
      </c>
      <c r="L523" t="inlineStr">
        <is>
          <t>Information För att anmälan om användning av avfall för anläggningsändamål ska kunna handläggas behöver den kompletteras med sidan två i blanketten.</t>
        </is>
      </c>
      <c r="M523" t="inlineStr">
        <is>
          <t>SKA</t>
        </is>
      </c>
      <c r="N523" t="inlineStr"/>
      <c r="O523" t="inlineStr"/>
      <c r="P523" t="inlineStr"/>
      <c r="Q523" t="inlineStr"/>
      <c r="R523" t="inlineStr">
        <is>
          <t>Alltid</t>
        </is>
      </c>
      <c r="S523" t="inlineStr"/>
      <c r="T523" t="inlineStr"/>
      <c r="U523" t="inlineStr"/>
      <c r="V523" t="inlineStr"/>
      <c r="W523" t="inlineStr">
        <is>
          <t>Nej</t>
        </is>
      </c>
      <c r="X523" t="inlineStr">
        <is>
          <t>Nej</t>
        </is>
      </c>
      <c r="Y523" t="inlineStr">
        <is>
          <t>Nej</t>
        </is>
      </c>
      <c r="Z523" t="inlineStr">
        <is>
          <t>Nej</t>
        </is>
      </c>
      <c r="AA523" t="n">
        <v>10</v>
      </c>
      <c r="AB523" t="inlineStr">
        <is>
          <t>Miljopaverkan och forsiktighetsmatt</t>
        </is>
      </c>
      <c r="AC523" t="inlineStr">
        <is>
          <t>Miljo-PM</t>
        </is>
      </c>
      <c r="AD523" t="inlineStr">
        <is>
          <t>Nej</t>
        </is>
      </c>
      <c r="AE523" t="inlineStr">
        <is>
          <t>Nej</t>
        </is>
      </c>
      <c r="AF523" t="inlineStr">
        <is>
          <t>Ej behandlad</t>
        </is>
      </c>
      <c r="AG523" t="inlineStr">
        <is>
          <t>AUTO_GENERERAD. Verifiera citat mot kallfil.</t>
        </is>
      </c>
      <c r="AH523" t="inlineStr">
        <is>
          <t>MEDIUM</t>
        </is>
      </c>
      <c r="AI523" t="inlineStr">
        <is>
          <t>AUTO</t>
        </is>
      </c>
      <c r="AJ523" t="inlineStr">
        <is>
          <t>Nej</t>
        </is>
      </c>
      <c r="AK523" t="inlineStr"/>
      <c r="AL523" t="inlineStr"/>
      <c r="AM523" t="inlineStr"/>
      <c r="AN523" t="inlineStr"/>
      <c r="AO523" t="inlineStr">
        <is>
          <t>cmm4yur0k0432cuqweo5zpqdy</t>
        </is>
      </c>
      <c r="AP523" t="inlineStr">
        <is>
          <t>http://localhost:8787/api/admin/requirements/documents/cmm4yur0k0432cuqweo5zpqdy/view</t>
        </is>
      </c>
      <c r="AQ523">
        <f>HYPERLÄNK("http://localhost:8787/api/admin/requirements/documents/cmm4yur0k0432cuqweo5zpqdy/view";"Öppna PDF")</f>
        <v/>
      </c>
      <c r="AR523">
        <f>HYPERLINK("http://localhost:8787/api/admin/requirements/documents/cmm4yur0k0432cuqweo5zpqdy/view","Open PDF")</f>
        <v/>
      </c>
      <c r="AS523" t="inlineStr">
        <is>
          <t>cmm55w57p0004cuisfrtpqly8</t>
        </is>
      </c>
      <c r="AT523" t="inlineStr">
        <is>
          <t>cmm4xvu980000cuh4vj0usz09</t>
        </is>
      </c>
      <c r="AU523" t="inlineStr"/>
      <c r="AV523" t="inlineStr">
        <is>
          <t>Kommun</t>
        </is>
      </c>
      <c r="AW523" t="inlineStr"/>
      <c r="AX523" t="inlineStr">
        <is>
          <t>2024-10</t>
        </is>
      </c>
      <c r="AY523" t="inlineStr">
        <is>
          <t>Beslut</t>
        </is>
      </c>
      <c r="AZ523" t="inlineStr">
        <is>
          <t>2026-02-05</t>
        </is>
      </c>
      <c r="BA523" t="inlineStr">
        <is>
          <t>MILJ20241666.pdf</t>
        </is>
      </c>
      <c r="BB523" t="inlineStr">
        <is>
          <t>Handlingar</t>
        </is>
      </c>
      <c r="BC523" t="inlineStr">
        <is>
          <t>AUTO</t>
        </is>
      </c>
      <c r="BD523" t="inlineStr"/>
      <c r="BE523" t="inlineStr"/>
      <c r="BF523" t="inlineStr">
        <is>
          <t>AUTO_GENERERAD. Bekrafta metadata mot kallfil.</t>
        </is>
      </c>
      <c r="BG523">
        <f>HYPERLINK("C:\Users\jimmy\Desktop\Examens arbete\Kod\Ny mapp\remix_-copy-of-miljöbeslut.se-portal\MILJ20241666.pdf", "Öppna PDF")</f>
        <v/>
      </c>
    </row>
    <row r="524">
      <c r="A524" t="inlineStr">
        <is>
          <t>KRAV-AUTO-000523</t>
        </is>
      </c>
      <c r="B524" t="inlineStr">
        <is>
          <t>ADMIN-INDEX-2026-02-27-00000000125C043F57453246863FE664CAFE6A3F0700950291EA24F0614FB6ACEDB12BF0E31D00000000010C0000950291EA24F0614FB6ACEDB12BF0E31D00002087A5D00000</t>
        </is>
      </c>
      <c r="C524" t="inlineStr">
        <is>
          <t>cmm4yuqx4041ecuqwevyodwuu</t>
        </is>
      </c>
      <c r="D524" t="inlineStr">
        <is>
          <t>http://localhost:8787/api/admin/requirements/documents/cmm4yuqx4041ecuqwevyodwuu/view</t>
        </is>
      </c>
      <c r="E524">
        <f>HYPERLÄNK("http://localhost:8787/api/admin/requirements/documents/cmm4yuqx4041ecuqwevyodwuu/view";"Öppna PDF")</f>
        <v/>
      </c>
      <c r="F524">
        <f>HYPERLINK("http://localhost:8787/api/admin/requirements/documents/cmm4yuqx4041ecuqwevyodwuu/view","Open PDF")</f>
        <v/>
      </c>
      <c r="G524" t="inlineStr">
        <is>
          <t>cmm55w57p0004cuisfrtpqly8</t>
        </is>
      </c>
      <c r="H524" t="inlineStr">
        <is>
          <t>Informationskrav</t>
        </is>
      </c>
      <c r="I524" t="inlineStr">
        <is>
          <t>DriftEgenkontroll</t>
        </is>
      </c>
      <c r="J524" t="inlineStr">
        <is>
          <t>Journalforing</t>
        </is>
      </c>
      <c r="K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524" t="inlineStr">
        <is>
          <t>SKA</t>
        </is>
      </c>
      <c r="N524" t="inlineStr"/>
      <c r="O524" t="inlineStr"/>
      <c r="P524" t="inlineStr"/>
      <c r="Q524" t="inlineStr"/>
      <c r="R524" t="inlineStr">
        <is>
          <t>Lopande drift</t>
        </is>
      </c>
      <c r="S524" t="inlineStr"/>
      <c r="T524" t="inlineStr">
        <is>
          <t>556481</t>
        </is>
      </c>
      <c r="U524" t="inlineStr"/>
      <c r="V524" t="inlineStr"/>
      <c r="W524" t="inlineStr">
        <is>
          <t>Nej</t>
        </is>
      </c>
      <c r="X524" t="inlineStr">
        <is>
          <t>Nej</t>
        </is>
      </c>
      <c r="Y524" t="inlineStr">
        <is>
          <t>Ja</t>
        </is>
      </c>
      <c r="Z524" t="inlineStr">
        <is>
          <t>Nej</t>
        </is>
      </c>
      <c r="AA524" t="n">
        <v>7</v>
      </c>
      <c r="AB524" t="inlineStr">
        <is>
          <t>Egenkontrollrutiner</t>
        </is>
      </c>
      <c r="AC524" t="inlineStr">
        <is>
          <t>Egenkontrollprogram</t>
        </is>
      </c>
      <c r="AD524" t="inlineStr">
        <is>
          <t>Nej</t>
        </is>
      </c>
      <c r="AE524" t="inlineStr">
        <is>
          <t>Nej</t>
        </is>
      </c>
      <c r="AF524" t="inlineStr">
        <is>
          <t>Ej behandlad</t>
        </is>
      </c>
      <c r="AG524" t="inlineStr">
        <is>
          <t>AUTO_GENERERAD. Verifiera citat mot kallfil.</t>
        </is>
      </c>
      <c r="AH524" t="inlineStr">
        <is>
          <t>MEDIUM</t>
        </is>
      </c>
      <c r="AI524" t="inlineStr">
        <is>
          <t>AUTO</t>
        </is>
      </c>
      <c r="AJ524" t="inlineStr">
        <is>
          <t>Nej</t>
        </is>
      </c>
      <c r="AK524" t="inlineStr"/>
      <c r="AL524" t="inlineStr"/>
      <c r="AM524" t="inlineStr"/>
      <c r="AN524" t="inlineStr"/>
      <c r="AO524" t="inlineStr">
        <is>
          <t>cmm4yuqx2041bcuqw058z69j7</t>
        </is>
      </c>
      <c r="AP524" t="inlineStr">
        <is>
          <t>http://localhost:8787/api/admin/requirements/documents/cmm4yuqx2041bcuqw058z69j7/view</t>
        </is>
      </c>
      <c r="AQ524">
        <f>HYPERLÄNK("http://localhost:8787/api/admin/requirements/documents/cmm4yuqx2041bcuqw058z69j7/view";"Öppna PDF")</f>
        <v/>
      </c>
      <c r="AR524">
        <f>HYPERLINK("http://localhost:8787/api/admin/requirements/documents/cmm4yuqx2041bcuqw058z69j7/view","Open PDF")</f>
        <v/>
      </c>
      <c r="AS524" t="inlineStr">
        <is>
          <t>cmm55w57p0004cuisfrtpqly8</t>
        </is>
      </c>
      <c r="AT524" t="inlineStr">
        <is>
          <t>cmm4xvu980000cuh4vj0usz09</t>
        </is>
      </c>
      <c r="AU524" t="inlineStr"/>
      <c r="AV524" t="inlineStr">
        <is>
          <t>Kommun</t>
        </is>
      </c>
      <c r="AW524" t="inlineStr"/>
      <c r="AX524" t="inlineStr">
        <is>
          <t>2024-10</t>
        </is>
      </c>
      <c r="AY524" t="inlineStr">
        <is>
          <t>Anmalan</t>
        </is>
      </c>
      <c r="AZ524" t="inlineStr">
        <is>
          <t>2026-02-05</t>
        </is>
      </c>
      <c r="BA524" t="inlineStr">
        <is>
          <t>Ärendenr 2023-1413. Motor-Ola AB. Anmälan och Beslut (2).pdf</t>
        </is>
      </c>
      <c r="BB524" t="inlineStr">
        <is>
          <t>SV: till registrator</t>
        </is>
      </c>
      <c r="BC524" t="inlineStr">
        <is>
          <t>AUTO</t>
        </is>
      </c>
      <c r="BD524" t="inlineStr"/>
      <c r="BE524" t="inlineStr"/>
      <c r="BF524" t="inlineStr">
        <is>
          <t>AUTO_GENERERAD. Bekrafta metadata mot kallfil.</t>
        </is>
      </c>
      <c r="BG524">
        <f>HYPERLINK("C:\Users\jimmy\Desktop\Examens arbete\Kod\Ny mapp\remix_-copy-of-miljöbeslut.se-portal\Ärendenr 2023-1413. Motor-Ola AB. Anmälan och Beslut (2).pdf", "Öppna PDF")</f>
        <v/>
      </c>
    </row>
    <row r="525">
      <c r="A525" t="inlineStr">
        <is>
          <t>KRAV-AUTO-000524</t>
        </is>
      </c>
      <c r="B525" t="inlineStr">
        <is>
          <t>ADMIN-INDEX-2026-02-27-00000000125C043F57453246863FE664CAFE6A3F0700950291EA24F0614FB6ACEDB12BF0E31D00000000010C0000950291EA24F0614FB6ACEDB12BF0E31D00002087A5D00000</t>
        </is>
      </c>
      <c r="C525" t="inlineStr">
        <is>
          <t>cmm4yuqwy0418cuqwlzj4qa28</t>
        </is>
      </c>
      <c r="D525" t="inlineStr">
        <is>
          <t>http://localhost:8787/api/admin/requirements/documents/cmm4yuqwy0418cuqwlzj4qa28/view</t>
        </is>
      </c>
      <c r="E525">
        <f>HYPERLÄNK("http://localhost:8787/api/admin/requirements/documents/cmm4yuqwy0418cuqwlzj4qa28/view";"Öppna PDF")</f>
        <v/>
      </c>
      <c r="F525">
        <f>HYPERLINK("http://localhost:8787/api/admin/requirements/documents/cmm4yuqwy0418cuqwlzj4qa28/view","Open PDF")</f>
        <v/>
      </c>
      <c r="G525" t="inlineStr">
        <is>
          <t>cmm55w57p0004cuisfrtpqly8</t>
        </is>
      </c>
      <c r="H525" t="inlineStr">
        <is>
          <t>Informationskrav</t>
        </is>
      </c>
      <c r="I525" t="inlineStr">
        <is>
          <t>DriftEgenkontroll</t>
        </is>
      </c>
      <c r="J525" t="inlineStr">
        <is>
          <t>Journalforing</t>
        </is>
      </c>
      <c r="K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525" t="inlineStr">
        <is>
          <t>SKA</t>
        </is>
      </c>
      <c r="N525" t="inlineStr"/>
      <c r="O525" t="inlineStr"/>
      <c r="P525" t="inlineStr"/>
      <c r="Q525" t="inlineStr"/>
      <c r="R525" t="inlineStr">
        <is>
          <t>Lopande drift</t>
        </is>
      </c>
      <c r="S525" t="inlineStr"/>
      <c r="T525" t="inlineStr">
        <is>
          <t>556060</t>
        </is>
      </c>
      <c r="U525" t="inlineStr"/>
      <c r="V525" t="inlineStr"/>
      <c r="W525" t="inlineStr">
        <is>
          <t>Nej</t>
        </is>
      </c>
      <c r="X525" t="inlineStr">
        <is>
          <t>Nej</t>
        </is>
      </c>
      <c r="Y525" t="inlineStr">
        <is>
          <t>Ja</t>
        </is>
      </c>
      <c r="Z525" t="inlineStr">
        <is>
          <t>Nej</t>
        </is>
      </c>
      <c r="AA525" t="n">
        <v>7</v>
      </c>
      <c r="AB525" t="inlineStr">
        <is>
          <t>Egenkontrollrutiner</t>
        </is>
      </c>
      <c r="AC525" t="inlineStr">
        <is>
          <t>Egenkontrollprogram</t>
        </is>
      </c>
      <c r="AD525" t="inlineStr">
        <is>
          <t>Nej</t>
        </is>
      </c>
      <c r="AE525" t="inlineStr">
        <is>
          <t>Nej</t>
        </is>
      </c>
      <c r="AF525" t="inlineStr">
        <is>
          <t>Ej behandlad</t>
        </is>
      </c>
      <c r="AG525" t="inlineStr">
        <is>
          <t>AUTO_GENERERAD. Verifiera citat mot kallfil.</t>
        </is>
      </c>
      <c r="AH525" t="inlineStr">
        <is>
          <t>MEDIUM</t>
        </is>
      </c>
      <c r="AI525" t="inlineStr">
        <is>
          <t>AUTO</t>
        </is>
      </c>
      <c r="AJ525" t="inlineStr">
        <is>
          <t>Nej</t>
        </is>
      </c>
      <c r="AK525" t="inlineStr"/>
      <c r="AL525" t="inlineStr"/>
      <c r="AM525" t="inlineStr"/>
      <c r="AN525" t="inlineStr"/>
      <c r="AO525" t="inlineStr">
        <is>
          <t>cmm4yuqx2041bcuqw058z69j7</t>
        </is>
      </c>
      <c r="AP525" t="inlineStr">
        <is>
          <t>http://localhost:8787/api/admin/requirements/documents/cmm4yuqx2041bcuqw058z69j7/view</t>
        </is>
      </c>
      <c r="AQ525">
        <f>HYPERLÄNK("http://localhost:8787/api/admin/requirements/documents/cmm4yuqx2041bcuqw058z69j7/view";"Öppna PDF")</f>
        <v/>
      </c>
      <c r="AR525">
        <f>HYPERLINK("http://localhost:8787/api/admin/requirements/documents/cmm4yuqx2041bcuqw058z69j7/view","Open PDF")</f>
        <v/>
      </c>
      <c r="AS525" t="inlineStr">
        <is>
          <t>cmm55w57p0004cuisfrtpqly8</t>
        </is>
      </c>
      <c r="AT525" t="inlineStr">
        <is>
          <t>cmm4xvu980000cuh4vj0usz09</t>
        </is>
      </c>
      <c r="AU525" t="inlineStr"/>
      <c r="AV525" t="inlineStr">
        <is>
          <t>Kommun</t>
        </is>
      </c>
      <c r="AW525" t="inlineStr"/>
      <c r="AX525" t="inlineStr">
        <is>
          <t>2024-10</t>
        </is>
      </c>
      <c r="AY525" t="inlineStr">
        <is>
          <t>Anmalan</t>
        </is>
      </c>
      <c r="AZ525" t="inlineStr">
        <is>
          <t>2026-02-05</t>
        </is>
      </c>
      <c r="BA525" t="inlineStr">
        <is>
          <t>Ärendenr 2023-1413. Motor-Ola AB. Anmälan och Beslut (2).pdf</t>
        </is>
      </c>
      <c r="BB525" t="inlineStr">
        <is>
          <t>SV: till registrator</t>
        </is>
      </c>
      <c r="BC525" t="inlineStr">
        <is>
          <t>AUTO</t>
        </is>
      </c>
      <c r="BD525" t="inlineStr"/>
      <c r="BE525" t="inlineStr"/>
      <c r="BF525" t="inlineStr">
        <is>
          <t>AUTO_GENERERAD. Bekrafta metadata mot kallfil.</t>
        </is>
      </c>
      <c r="BG525">
        <f>HYPERLINK("C:\Users\jimmy\Desktop\Examens arbete\Kod\Ny mapp\remix_-copy-of-miljöbeslut.se-portal\Ärendenr 2023-1413. Motor-Ola AB. Anmälan och Beslut (2).pdf", "Öppna PDF")</f>
        <v/>
      </c>
    </row>
    <row r="526">
      <c r="A526" t="inlineStr">
        <is>
          <t>KRAV-AUTO-000525</t>
        </is>
      </c>
      <c r="B526" t="inlineStr">
        <is>
          <t>ADMIN-INDEX-2026-02-27-00000000125C043F57453246863FE664CAFE6A3F0700950291EA24F0614FB6ACEDB12BF0E31D00000000010C0000950291EA24F0614FB6ACEDB12BF0E31D00002087A5D50000</t>
        </is>
      </c>
      <c r="C526" t="inlineStr">
        <is>
          <t>cmm4yuqwp040zcuqw83rklvza</t>
        </is>
      </c>
      <c r="D526" t="inlineStr">
        <is>
          <t>http://localhost:8787/api/admin/requirements/documents/cmm4yuqwp040zcuqw83rklvza/view</t>
        </is>
      </c>
      <c r="E526">
        <f>HYPERLÄNK("http://localhost:8787/api/admin/requirements/documents/cmm4yuqwp040zcuqw83rklvza/view";"Öppna PDF")</f>
        <v/>
      </c>
      <c r="F526">
        <f>HYPERLINK("http://localhost:8787/api/admin/requirements/documents/cmm4yuqwp040zcuqw83rklvza/view","Open PDF")</f>
        <v/>
      </c>
      <c r="G526" t="inlineStr">
        <is>
          <t>cmm55w57p0004cuisfrtpqly8</t>
        </is>
      </c>
      <c r="H526" t="inlineStr">
        <is>
          <t>Beslutsvillkor</t>
        </is>
      </c>
      <c r="I526" t="inlineStr">
        <is>
          <t>Riskhantering</t>
        </is>
      </c>
      <c r="J526" t="inlineStr">
        <is>
          <t>Riskkontroll</t>
        </is>
      </c>
      <c r="K526" t="inlineStr">
        <is>
          <t>Av historiska flygfoton över området så verkar det som det skett någon form av aktivitet mellan 2006 och 2009.</t>
        </is>
      </c>
      <c r="L526" t="inlineStr">
        <is>
          <t>Av historiska flygfoton över området så verkar det som det skett någon form av aktivitet mellan 2006 och 2009.</t>
        </is>
      </c>
      <c r="M526" t="inlineStr">
        <is>
          <t>SKA</t>
        </is>
      </c>
      <c r="N526" t="inlineStr"/>
      <c r="O526" t="inlineStr"/>
      <c r="P526" t="inlineStr"/>
      <c r="Q526" t="inlineStr">
        <is>
          <t>Vite</t>
        </is>
      </c>
      <c r="R526" t="inlineStr">
        <is>
          <t>Vid risk for incident</t>
        </is>
      </c>
      <c r="S526" t="inlineStr"/>
      <c r="T526" t="inlineStr">
        <is>
          <t>2024 15</t>
        </is>
      </c>
      <c r="U526" t="inlineStr"/>
      <c r="V526" t="inlineStr"/>
      <c r="W526" t="inlineStr">
        <is>
          <t>Nej</t>
        </is>
      </c>
      <c r="X526" t="inlineStr">
        <is>
          <t>Nej</t>
        </is>
      </c>
      <c r="Y526" t="inlineStr">
        <is>
          <t>Ja</t>
        </is>
      </c>
      <c r="Z526" t="inlineStr">
        <is>
          <t>Ja</t>
        </is>
      </c>
      <c r="AA526" t="n">
        <v>8</v>
      </c>
      <c r="AB526" t="inlineStr">
        <is>
          <t>Riskhantering</t>
        </is>
      </c>
      <c r="AC526" t="inlineStr">
        <is>
          <t>Risk-PM</t>
        </is>
      </c>
      <c r="AD526" t="inlineStr">
        <is>
          <t>Nej</t>
        </is>
      </c>
      <c r="AE526" t="inlineStr">
        <is>
          <t>Nej</t>
        </is>
      </c>
      <c r="AF526" t="inlineStr">
        <is>
          <t>Ej behandlad</t>
        </is>
      </c>
      <c r="AG526" t="inlineStr">
        <is>
          <t>AUTO_GENERERAD. Verifiera citat mot kallfil.</t>
        </is>
      </c>
      <c r="AH526" t="inlineStr">
        <is>
          <t>MEDIUM</t>
        </is>
      </c>
      <c r="AI526" t="inlineStr">
        <is>
          <t>AUTO</t>
        </is>
      </c>
      <c r="AJ526" t="inlineStr">
        <is>
          <t>Nej</t>
        </is>
      </c>
      <c r="AK526" t="inlineStr"/>
      <c r="AL526" t="inlineStr"/>
      <c r="AM526" t="inlineStr"/>
      <c r="AN526" t="inlineStr"/>
      <c r="AO526" t="inlineStr">
        <is>
          <t>cmm4yuqwp040zcuqw83rklvza</t>
        </is>
      </c>
      <c r="AP526" t="inlineStr">
        <is>
          <t>http://localhost:8787/api/admin/requirements/documents/cmm4yuqwp040zcuqw83rklvza/view</t>
        </is>
      </c>
      <c r="AQ526">
        <f>HYPERLÄNK("http://localhost:8787/api/admin/requirements/documents/cmm4yuqwp040zcuqw83rklvza/view";"Öppna PDF")</f>
        <v/>
      </c>
      <c r="AR526">
        <f>HYPERLINK("http://localhost:8787/api/admin/requirements/documents/cmm4yuqwp040zcuqw83rklvza/view","Open PDF")</f>
        <v/>
      </c>
      <c r="AS526" t="inlineStr">
        <is>
          <t>cmm55w57p0004cuisfrtpqly8</t>
        </is>
      </c>
      <c r="AT526" t="inlineStr">
        <is>
          <t>cmm4xvu980000cuh4vj0usz09</t>
        </is>
      </c>
      <c r="AU526" t="inlineStr">
        <is>
          <t>i Stenungsunds</t>
        </is>
      </c>
      <c r="AV526" t="inlineStr">
        <is>
          <t>Kommun</t>
        </is>
      </c>
      <c r="AW526" t="inlineStr">
        <is>
          <t>i Stenungsunds kommun</t>
        </is>
      </c>
      <c r="AX526" t="inlineStr">
        <is>
          <t>2024-04</t>
        </is>
      </c>
      <c r="AY526" t="inlineStr">
        <is>
          <t>Beslut</t>
        </is>
      </c>
      <c r="AZ526" t="inlineStr">
        <is>
          <t>2026-02-05</t>
        </is>
      </c>
      <c r="BA526" t="inlineStr">
        <is>
          <t>M-2024-554.pdf</t>
        </is>
      </c>
      <c r="BB526" t="inlineStr">
        <is>
          <t>Sv: till registrator</t>
        </is>
      </c>
      <c r="BC526" t="inlineStr">
        <is>
          <t>AUTO</t>
        </is>
      </c>
      <c r="BD526" t="inlineStr"/>
      <c r="BE526" t="inlineStr"/>
      <c r="BF526" t="inlineStr">
        <is>
          <t>AUTO_GENERERAD. Bekrafta metadata mot kallfil.</t>
        </is>
      </c>
      <c r="BG526">
        <f>HYPERLINK("C:\Users\jimmy\Desktop\Examens arbete\Kod\Ny mapp\remix_-copy-of-miljöbeslut.se-portal\M-2024-554.pdf", "Öppna PDF")</f>
        <v/>
      </c>
    </row>
    <row r="527">
      <c r="A527" t="inlineStr">
        <is>
          <t>KRAV-AUTO-000526</t>
        </is>
      </c>
      <c r="B527" t="inlineStr">
        <is>
          <t>ADMIN-INDEX-2026-02-27-00000000125C043F57453246863FE664CAFE6A3F0700950291EA24F0614FB6ACEDB12BF0E31D00000000010C0000950291EA24F0614FB6ACEDB12BF0E31D00002087A5D50000</t>
        </is>
      </c>
      <c r="C527" t="inlineStr">
        <is>
          <t>cmm4yuqwp040zcuqw83rklvza</t>
        </is>
      </c>
      <c r="D527" t="inlineStr">
        <is>
          <t>http://localhost:8787/api/admin/requirements/documents/cmm4yuqwp040zcuqw83rklvza/view</t>
        </is>
      </c>
      <c r="E527">
        <f>HYPERLÄNK("http://localhost:8787/api/admin/requirements/documents/cmm4yuqwp040zcuqw83rklvza/view";"Öppna PDF")</f>
        <v/>
      </c>
      <c r="F527">
        <f>HYPERLINK("http://localhost:8787/api/admin/requirements/documents/cmm4yuqwp040zcuqw83rklvza/view","Open PDF")</f>
        <v/>
      </c>
      <c r="G527" t="inlineStr">
        <is>
          <t>cmm55w57p0004cuisfrtpqly8</t>
        </is>
      </c>
      <c r="H527" t="inlineStr">
        <is>
          <t>Beslutsvillkor</t>
        </is>
      </c>
      <c r="I527" t="inlineStr">
        <is>
          <t>Riskhantering</t>
        </is>
      </c>
      <c r="J527" t="inlineStr">
        <is>
          <t>Riskkontroll</t>
        </is>
      </c>
      <c r="K527" t="inlineStr">
        <is>
          <t>Detta för att minska risken för stöld/sabotage.</t>
        </is>
      </c>
      <c r="L527" t="inlineStr">
        <is>
          <t>Detta för att minska risken för stöld/sabotage.</t>
        </is>
      </c>
      <c r="M527" t="inlineStr">
        <is>
          <t>SKA</t>
        </is>
      </c>
      <c r="N527" t="inlineStr"/>
      <c r="O527" t="inlineStr"/>
      <c r="P527" t="inlineStr"/>
      <c r="Q527" t="inlineStr"/>
      <c r="R527" t="inlineStr">
        <is>
          <t>Vid risk for incident</t>
        </is>
      </c>
      <c r="S527" t="inlineStr"/>
      <c r="T527" t="inlineStr">
        <is>
          <t>2024 15</t>
        </is>
      </c>
      <c r="U527" t="inlineStr"/>
      <c r="V527" t="inlineStr"/>
      <c r="W527" t="inlineStr">
        <is>
          <t>Nej</t>
        </is>
      </c>
      <c r="X527" t="inlineStr">
        <is>
          <t>Nej</t>
        </is>
      </c>
      <c r="Y527" t="inlineStr">
        <is>
          <t>Ja</t>
        </is>
      </c>
      <c r="Z527" t="inlineStr">
        <is>
          <t>Ja</t>
        </is>
      </c>
      <c r="AA527" t="n">
        <v>8</v>
      </c>
      <c r="AB527" t="inlineStr">
        <is>
          <t>Riskhantering</t>
        </is>
      </c>
      <c r="AC527" t="inlineStr">
        <is>
          <t>Risk-PM</t>
        </is>
      </c>
      <c r="AD527" t="inlineStr">
        <is>
          <t>Nej</t>
        </is>
      </c>
      <c r="AE527" t="inlineStr">
        <is>
          <t>Nej</t>
        </is>
      </c>
      <c r="AF527" t="inlineStr">
        <is>
          <t>Ej behandlad</t>
        </is>
      </c>
      <c r="AG527" t="inlineStr">
        <is>
          <t>AUTO_GENERERAD. Verifiera citat mot kallfil.</t>
        </is>
      </c>
      <c r="AH527" t="inlineStr">
        <is>
          <t>MEDIUM</t>
        </is>
      </c>
      <c r="AI527" t="inlineStr">
        <is>
          <t>AUTO</t>
        </is>
      </c>
      <c r="AJ527" t="inlineStr">
        <is>
          <t>Nej</t>
        </is>
      </c>
      <c r="AK527" t="inlineStr"/>
      <c r="AL527" t="inlineStr"/>
      <c r="AM527" t="inlineStr"/>
      <c r="AN527" t="inlineStr"/>
      <c r="AO527" t="inlineStr">
        <is>
          <t>cmm4yuqwp040zcuqw83rklvza</t>
        </is>
      </c>
      <c r="AP527" t="inlineStr">
        <is>
          <t>http://localhost:8787/api/admin/requirements/documents/cmm4yuqwp040zcuqw83rklvza/view</t>
        </is>
      </c>
      <c r="AQ527">
        <f>HYPERLÄNK("http://localhost:8787/api/admin/requirements/documents/cmm4yuqwp040zcuqw83rklvza/view";"Öppna PDF")</f>
        <v/>
      </c>
      <c r="AR527">
        <f>HYPERLINK("http://localhost:8787/api/admin/requirements/documents/cmm4yuqwp040zcuqw83rklvza/view","Open PDF")</f>
        <v/>
      </c>
      <c r="AS527" t="inlineStr">
        <is>
          <t>cmm55w57p0004cuisfrtpqly8</t>
        </is>
      </c>
      <c r="AT527" t="inlineStr">
        <is>
          <t>cmm4xvu980000cuh4vj0usz09</t>
        </is>
      </c>
      <c r="AU527" t="inlineStr">
        <is>
          <t>i Stenungsunds</t>
        </is>
      </c>
      <c r="AV527" t="inlineStr">
        <is>
          <t>Kommun</t>
        </is>
      </c>
      <c r="AW527" t="inlineStr">
        <is>
          <t>i Stenungsunds kommun</t>
        </is>
      </c>
      <c r="AX527" t="inlineStr">
        <is>
          <t>2024-04</t>
        </is>
      </c>
      <c r="AY527" t="inlineStr">
        <is>
          <t>Beslut</t>
        </is>
      </c>
      <c r="AZ527" t="inlineStr">
        <is>
          <t>2026-02-05</t>
        </is>
      </c>
      <c r="BA527" t="inlineStr">
        <is>
          <t>M-2024-554.pdf</t>
        </is>
      </c>
      <c r="BB527" t="inlineStr">
        <is>
          <t>Sv: till registrator</t>
        </is>
      </c>
      <c r="BC527" t="inlineStr">
        <is>
          <t>AUTO</t>
        </is>
      </c>
      <c r="BD527" t="inlineStr"/>
      <c r="BE527" t="inlineStr"/>
      <c r="BF527" t="inlineStr">
        <is>
          <t>AUTO_GENERERAD. Bekrafta metadata mot kallfil.</t>
        </is>
      </c>
      <c r="BG527">
        <f>HYPERLINK("C:\Users\jimmy\Desktop\Examens arbete\Kod\Ny mapp\remix_-copy-of-miljöbeslut.se-portal\M-2024-554.pdf", "Öppna PDF")</f>
        <v/>
      </c>
    </row>
    <row r="528">
      <c r="A528" t="inlineStr">
        <is>
          <t>KRAV-AUTO-000527</t>
        </is>
      </c>
      <c r="B528" t="inlineStr">
        <is>
          <t>ADMIN-INDEX-2026-02-27-00000000125C043F57453246863FE664CAFE6A3F0700950291EA24F0614FB6ACEDB12BF0E31D00000000010C0000950291EA24F0614FB6ACEDB12BF0E31D00002087A5D50000</t>
        </is>
      </c>
      <c r="C528" t="inlineStr">
        <is>
          <t>cmm4yuqwp040zcuqw83rklvza</t>
        </is>
      </c>
      <c r="D528" t="inlineStr">
        <is>
          <t>http://localhost:8787/api/admin/requirements/documents/cmm4yuqwp040zcuqw83rklvza/view</t>
        </is>
      </c>
      <c r="E528">
        <f>HYPERLÄNK("http://localhost:8787/api/admin/requirements/documents/cmm4yuqwp040zcuqw83rklvza/view";"Öppna PDF")</f>
        <v/>
      </c>
      <c r="F528">
        <f>HYPERLINK("http://localhost:8787/api/admin/requirements/documents/cmm4yuqwp040zcuqw83rklvza/view","Open PDF")</f>
        <v/>
      </c>
      <c r="G528" t="inlineStr">
        <is>
          <t>cmm55w57p0004cuisfrtpqly8</t>
        </is>
      </c>
      <c r="H528" t="inlineStr">
        <is>
          <t>Beslutsvillkor</t>
        </is>
      </c>
      <c r="I528" t="inlineStr">
        <is>
          <t>MiljopaverkanForsiktighet</t>
        </is>
      </c>
      <c r="J528" t="inlineStr">
        <is>
          <t>Skyddsatgarder</t>
        </is>
      </c>
      <c r="K528" t="inlineStr">
        <is>
          <t>Gränsvärdena som avfallsmassorna ska innehålla är inte bedömda utifrån bakgrundshalter i området.</t>
        </is>
      </c>
      <c r="L528" t="inlineStr">
        <is>
          <t>Gränsvärdena som avfallsmassorna ska innehålla är inte bedömda utifrån bakgrundshalter i området.</t>
        </is>
      </c>
      <c r="M528" t="inlineStr">
        <is>
          <t>SKA</t>
        </is>
      </c>
      <c r="N528" t="inlineStr"/>
      <c r="O528" t="inlineStr"/>
      <c r="P528" t="inlineStr"/>
      <c r="Q528" t="inlineStr"/>
      <c r="R528" t="inlineStr">
        <is>
          <t>Alltid</t>
        </is>
      </c>
      <c r="S528" t="inlineStr"/>
      <c r="T528" t="inlineStr">
        <is>
          <t>2024 15</t>
        </is>
      </c>
      <c r="U528" t="inlineStr"/>
      <c r="V528" t="inlineStr"/>
      <c r="W528" t="inlineStr">
        <is>
          <t>Nej</t>
        </is>
      </c>
      <c r="X528" t="inlineStr">
        <is>
          <t>Nej</t>
        </is>
      </c>
      <c r="Y528" t="inlineStr">
        <is>
          <t>Nej</t>
        </is>
      </c>
      <c r="Z528" t="inlineStr">
        <is>
          <t>Nej</t>
        </is>
      </c>
      <c r="AA528" t="n">
        <v>10</v>
      </c>
      <c r="AB528" t="inlineStr">
        <is>
          <t>Miljopaverkan och forsiktighetsmatt</t>
        </is>
      </c>
      <c r="AC528" t="inlineStr">
        <is>
          <t>Miljo-PM</t>
        </is>
      </c>
      <c r="AD528" t="inlineStr">
        <is>
          <t>Nej</t>
        </is>
      </c>
      <c r="AE528" t="inlineStr">
        <is>
          <t>Nej</t>
        </is>
      </c>
      <c r="AF528" t="inlineStr">
        <is>
          <t>Ej behandlad</t>
        </is>
      </c>
      <c r="AG528" t="inlineStr">
        <is>
          <t>AUTO_GENERERAD. Verifiera citat mot kallfil.</t>
        </is>
      </c>
      <c r="AH528" t="inlineStr">
        <is>
          <t>MEDIUM</t>
        </is>
      </c>
      <c r="AI528" t="inlineStr">
        <is>
          <t>AUTO</t>
        </is>
      </c>
      <c r="AJ528" t="inlineStr">
        <is>
          <t>Nej</t>
        </is>
      </c>
      <c r="AK528" t="inlineStr"/>
      <c r="AL528" t="inlineStr"/>
      <c r="AM528" t="inlineStr"/>
      <c r="AN528" t="inlineStr"/>
      <c r="AO528" t="inlineStr">
        <is>
          <t>cmm4yuqwp040zcuqw83rklvza</t>
        </is>
      </c>
      <c r="AP528" t="inlineStr">
        <is>
          <t>http://localhost:8787/api/admin/requirements/documents/cmm4yuqwp040zcuqw83rklvza/view</t>
        </is>
      </c>
      <c r="AQ528">
        <f>HYPERLÄNK("http://localhost:8787/api/admin/requirements/documents/cmm4yuqwp040zcuqw83rklvza/view";"Öppna PDF")</f>
        <v/>
      </c>
      <c r="AR528">
        <f>HYPERLINK("http://localhost:8787/api/admin/requirements/documents/cmm4yuqwp040zcuqw83rklvza/view","Open PDF")</f>
        <v/>
      </c>
      <c r="AS528" t="inlineStr">
        <is>
          <t>cmm55w57p0004cuisfrtpqly8</t>
        </is>
      </c>
      <c r="AT528" t="inlineStr">
        <is>
          <t>cmm4xvu980000cuh4vj0usz09</t>
        </is>
      </c>
      <c r="AU528" t="inlineStr">
        <is>
          <t>i Stenungsunds</t>
        </is>
      </c>
      <c r="AV528" t="inlineStr">
        <is>
          <t>Kommun</t>
        </is>
      </c>
      <c r="AW528" t="inlineStr">
        <is>
          <t>i Stenungsunds kommun</t>
        </is>
      </c>
      <c r="AX528" t="inlineStr">
        <is>
          <t>2024-04</t>
        </is>
      </c>
      <c r="AY528" t="inlineStr">
        <is>
          <t>Beslut</t>
        </is>
      </c>
      <c r="AZ528" t="inlineStr">
        <is>
          <t>2026-02-05</t>
        </is>
      </c>
      <c r="BA528" t="inlineStr">
        <is>
          <t>M-2024-554.pdf</t>
        </is>
      </c>
      <c r="BB528" t="inlineStr">
        <is>
          <t>Sv: till registrator</t>
        </is>
      </c>
      <c r="BC528" t="inlineStr">
        <is>
          <t>AUTO</t>
        </is>
      </c>
      <c r="BD528" t="inlineStr"/>
      <c r="BE528" t="inlineStr"/>
      <c r="BF528" t="inlineStr">
        <is>
          <t>AUTO_GENERERAD. Bekrafta metadata mot kallfil.</t>
        </is>
      </c>
      <c r="BG528">
        <f>HYPERLINK("C:\Users\jimmy\Desktop\Examens arbete\Kod\Ny mapp\remix_-copy-of-miljöbeslut.se-portal\M-2024-554.pdf", "Öppna PDF")</f>
        <v/>
      </c>
    </row>
    <row r="529">
      <c r="A529" t="inlineStr">
        <is>
          <t>KRAV-AUTO-000528</t>
        </is>
      </c>
      <c r="B529" t="inlineStr">
        <is>
          <t>ADMIN-INDEX-2026-02-27-00000000125C043F57453246863FE664CAFE6A3F0700950291EA24F0614FB6ACEDB12BF0E31D00000000010C0000950291EA24F0614FB6ACEDB12BF0E31D00002087A5D50000</t>
        </is>
      </c>
      <c r="C529" t="inlineStr">
        <is>
          <t>cmm4yuqwm040wcuqwc4vc7ri4</t>
        </is>
      </c>
      <c r="D529" t="inlineStr">
        <is>
          <t>http://localhost:8787/api/admin/requirements/documents/cmm4yuqwm040wcuqwc4vc7ri4/view</t>
        </is>
      </c>
      <c r="E529">
        <f>HYPERLÄNK("http://localhost:8787/api/admin/requirements/documents/cmm4yuqwm040wcuqwc4vc7ri4/view";"Öppna PDF")</f>
        <v/>
      </c>
      <c r="F529">
        <f>HYPERLINK("http://localhost:8787/api/admin/requirements/documents/cmm4yuqwm040wcuqwc4vc7ri4/view","Open PDF")</f>
        <v/>
      </c>
      <c r="G529" t="inlineStr">
        <is>
          <t>cmm55w57p0004cuisfrtpqly8</t>
        </is>
      </c>
      <c r="H529" t="inlineStr">
        <is>
          <t>Beslutsvillkor</t>
        </is>
      </c>
      <c r="I529" t="inlineStr">
        <is>
          <t>LagringsvolymTid</t>
        </is>
      </c>
      <c r="J529" t="inlineStr">
        <is>
          <t>Maxmangd</t>
        </is>
      </c>
      <c r="K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29" t="inlineStr">
        <is>
          <t>SKA</t>
        </is>
      </c>
      <c r="N529" t="inlineStr"/>
      <c r="O529" t="inlineStr"/>
      <c r="P529" t="inlineStr"/>
      <c r="Q529" t="inlineStr"/>
      <c r="R529" t="inlineStr">
        <is>
          <t>Alltid</t>
        </is>
      </c>
      <c r="S529" t="inlineStr"/>
      <c r="T529" t="inlineStr">
        <is>
          <t>251002</t>
        </is>
      </c>
      <c r="U529" t="inlineStr"/>
      <c r="V529" t="inlineStr"/>
      <c r="W529" t="inlineStr">
        <is>
          <t>Nej</t>
        </is>
      </c>
      <c r="X529" t="inlineStr">
        <is>
          <t>Nej</t>
        </is>
      </c>
      <c r="Y529" t="inlineStr">
        <is>
          <t>Nej</t>
        </is>
      </c>
      <c r="Z529" t="inlineStr">
        <is>
          <t>Nej</t>
        </is>
      </c>
      <c r="AA529" t="n">
        <v>4</v>
      </c>
      <c r="AB529" t="inlineStr">
        <is>
          <t>Avfallsmangder och lagringstid</t>
        </is>
      </c>
      <c r="AC529" t="inlineStr">
        <is>
          <t>Avfallsforteckning</t>
        </is>
      </c>
      <c r="AD529" t="inlineStr">
        <is>
          <t>Nej</t>
        </is>
      </c>
      <c r="AE529" t="inlineStr">
        <is>
          <t>Nej</t>
        </is>
      </c>
      <c r="AF529" t="inlineStr">
        <is>
          <t>Ej behandlad</t>
        </is>
      </c>
      <c r="AG529" t="inlineStr">
        <is>
          <t>AUTO_GENERERAD. Verifiera citat mot kallfil.</t>
        </is>
      </c>
      <c r="AH529" t="inlineStr">
        <is>
          <t>MEDIUM</t>
        </is>
      </c>
      <c r="AI529" t="inlineStr">
        <is>
          <t>AUTO</t>
        </is>
      </c>
      <c r="AJ529" t="inlineStr">
        <is>
          <t>Nej</t>
        </is>
      </c>
      <c r="AK529" t="inlineStr"/>
      <c r="AL529" t="inlineStr"/>
      <c r="AM529" t="inlineStr"/>
      <c r="AN529" t="inlineStr"/>
      <c r="AO529" t="inlineStr">
        <is>
          <t>cmm4yuqwp040zcuqw83rklvza</t>
        </is>
      </c>
      <c r="AP529" t="inlineStr">
        <is>
          <t>http://localhost:8787/api/admin/requirements/documents/cmm4yuqwp040zcuqw83rklvza/view</t>
        </is>
      </c>
      <c r="AQ529">
        <f>HYPERLÄNK("http://localhost:8787/api/admin/requirements/documents/cmm4yuqwp040zcuqw83rklvza/view";"Öppna PDF")</f>
        <v/>
      </c>
      <c r="AR529">
        <f>HYPERLINK("http://localhost:8787/api/admin/requirements/documents/cmm4yuqwp040zcuqw83rklvza/view","Open PDF")</f>
        <v/>
      </c>
      <c r="AS529" t="inlineStr">
        <is>
          <t>cmm55w57p0004cuisfrtpqly8</t>
        </is>
      </c>
      <c r="AT529" t="inlineStr">
        <is>
          <t>cmm4xvu980000cuh4vj0usz09</t>
        </is>
      </c>
      <c r="AU529" t="inlineStr">
        <is>
          <t>i Stenungsunds</t>
        </is>
      </c>
      <c r="AV529" t="inlineStr">
        <is>
          <t>Kommun</t>
        </is>
      </c>
      <c r="AW529" t="inlineStr">
        <is>
          <t>i Stenungsunds kommun</t>
        </is>
      </c>
      <c r="AX529" t="inlineStr">
        <is>
          <t>2024-04</t>
        </is>
      </c>
      <c r="AY529" t="inlineStr">
        <is>
          <t>Beslut</t>
        </is>
      </c>
      <c r="AZ529" t="inlineStr">
        <is>
          <t>2026-02-05</t>
        </is>
      </c>
      <c r="BA529" t="inlineStr">
        <is>
          <t>M-2024-554.pdf</t>
        </is>
      </c>
      <c r="BB529" t="inlineStr">
        <is>
          <t>Sv: till registrator</t>
        </is>
      </c>
      <c r="BC529" t="inlineStr">
        <is>
          <t>AUTO</t>
        </is>
      </c>
      <c r="BD529" t="inlineStr"/>
      <c r="BE529" t="inlineStr"/>
      <c r="BF529" t="inlineStr">
        <is>
          <t>AUTO_GENERERAD. Bekrafta metadata mot kallfil.</t>
        </is>
      </c>
      <c r="BG529">
        <f>HYPERLINK("C:\Users\jimmy\Desktop\Examens arbete\Kod\Ny mapp\remix_-copy-of-miljöbeslut.se-portal\M-2024-554.pdf", "Öppna PDF")</f>
        <v/>
      </c>
    </row>
    <row r="530">
      <c r="A530" t="inlineStr">
        <is>
          <t>KRAV-AUTO-000529</t>
        </is>
      </c>
      <c r="B530" t="inlineStr">
        <is>
          <t>ADMIN-INDEX-2026-02-27-00000000125C043F57453246863FE664CAFE6A3F0700950291EA24F0614FB6ACEDB12BF0E31D00000000010C0000950291EA24F0614FB6ACEDB12BF0E31D00002087A5D50000</t>
        </is>
      </c>
      <c r="C530" t="inlineStr">
        <is>
          <t>cmm4yuqwm040wcuqwc4vc7ri4</t>
        </is>
      </c>
      <c r="D530" t="inlineStr">
        <is>
          <t>http://localhost:8787/api/admin/requirements/documents/cmm4yuqwm040wcuqwc4vc7ri4/view</t>
        </is>
      </c>
      <c r="E530">
        <f>HYPERLÄNK("http://localhost:8787/api/admin/requirements/documents/cmm4yuqwm040wcuqwc4vc7ri4/view";"Öppna PDF")</f>
        <v/>
      </c>
      <c r="F530">
        <f>HYPERLINK("http://localhost:8787/api/admin/requirements/documents/cmm4yuqwm040wcuqwc4vc7ri4/view","Open PDF")</f>
        <v/>
      </c>
      <c r="G530" t="inlineStr">
        <is>
          <t>cmm55w57p0004cuisfrtpqly8</t>
        </is>
      </c>
      <c r="H530" t="inlineStr">
        <is>
          <t>Beslutsvillkor</t>
        </is>
      </c>
      <c r="I530" t="inlineStr">
        <is>
          <t>MiljopaverkanForsiktighet</t>
        </is>
      </c>
      <c r="J530" t="inlineStr">
        <is>
          <t>Skyddsatgarder</t>
        </is>
      </c>
      <c r="K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0" t="inlineStr">
        <is>
          <t>SKA</t>
        </is>
      </c>
      <c r="N530" t="inlineStr">
        <is>
          <t>FMH</t>
        </is>
      </c>
      <c r="O530" t="inlineStr"/>
      <c r="P530" t="inlineStr">
        <is>
          <t>Arlig</t>
        </is>
      </c>
      <c r="Q530" t="inlineStr">
        <is>
          <t>Forelaggande vid brist</t>
        </is>
      </c>
      <c r="R530" t="inlineStr">
        <is>
          <t>Alltid</t>
        </is>
      </c>
      <c r="S530" t="inlineStr"/>
      <c r="T530" t="inlineStr">
        <is>
          <t>15 0303</t>
        </is>
      </c>
      <c r="U530" t="inlineStr"/>
      <c r="V530" t="inlineStr"/>
      <c r="W530" t="inlineStr">
        <is>
          <t>Nej</t>
        </is>
      </c>
      <c r="X530" t="inlineStr">
        <is>
          <t>Nej</t>
        </is>
      </c>
      <c r="Y530" t="inlineStr">
        <is>
          <t>Nej</t>
        </is>
      </c>
      <c r="Z530" t="inlineStr">
        <is>
          <t>Nej</t>
        </is>
      </c>
      <c r="AA530" t="n">
        <v>10</v>
      </c>
      <c r="AB530" t="inlineStr">
        <is>
          <t>Miljopaverkan och forsiktighetsmatt</t>
        </is>
      </c>
      <c r="AC530" t="inlineStr">
        <is>
          <t>Miljo-PM</t>
        </is>
      </c>
      <c r="AD530" t="inlineStr">
        <is>
          <t>Nej</t>
        </is>
      </c>
      <c r="AE530" t="inlineStr">
        <is>
          <t>Nej</t>
        </is>
      </c>
      <c r="AF530" t="inlineStr">
        <is>
          <t>Ej behandlad</t>
        </is>
      </c>
      <c r="AG530" t="inlineStr">
        <is>
          <t>AUTO_GENERERAD. Verifiera citat mot kallfil.</t>
        </is>
      </c>
      <c r="AH530" t="inlineStr">
        <is>
          <t>MEDIUM</t>
        </is>
      </c>
      <c r="AI530" t="inlineStr">
        <is>
          <t>AUTO</t>
        </is>
      </c>
      <c r="AJ530" t="inlineStr">
        <is>
          <t>Nej</t>
        </is>
      </c>
      <c r="AK530" t="inlineStr"/>
      <c r="AL530" t="inlineStr"/>
      <c r="AM530" t="inlineStr"/>
      <c r="AN530" t="inlineStr"/>
      <c r="AO530" t="inlineStr">
        <is>
          <t>cmm4yuqwp040zcuqw83rklvza</t>
        </is>
      </c>
      <c r="AP530" t="inlineStr">
        <is>
          <t>http://localhost:8787/api/admin/requirements/documents/cmm4yuqwp040zcuqw83rklvza/view</t>
        </is>
      </c>
      <c r="AQ530">
        <f>HYPERLÄNK("http://localhost:8787/api/admin/requirements/documents/cmm4yuqwp040zcuqw83rklvza/view";"Öppna PDF")</f>
        <v/>
      </c>
      <c r="AR530">
        <f>HYPERLINK("http://localhost:8787/api/admin/requirements/documents/cmm4yuqwp040zcuqw83rklvza/view","Open PDF")</f>
        <v/>
      </c>
      <c r="AS530" t="inlineStr">
        <is>
          <t>cmm55w57p0004cuisfrtpqly8</t>
        </is>
      </c>
      <c r="AT530" t="inlineStr">
        <is>
          <t>cmm4xvu980000cuh4vj0usz09</t>
        </is>
      </c>
      <c r="AU530" t="inlineStr">
        <is>
          <t>i Stenungsunds</t>
        </is>
      </c>
      <c r="AV530" t="inlineStr">
        <is>
          <t>Kommun</t>
        </is>
      </c>
      <c r="AW530" t="inlineStr">
        <is>
          <t>i Stenungsunds kommun</t>
        </is>
      </c>
      <c r="AX530" t="inlineStr">
        <is>
          <t>2024-04</t>
        </is>
      </c>
      <c r="AY530" t="inlineStr">
        <is>
          <t>Beslut</t>
        </is>
      </c>
      <c r="AZ530" t="inlineStr">
        <is>
          <t>2026-02-05</t>
        </is>
      </c>
      <c r="BA530" t="inlineStr">
        <is>
          <t>M-2024-554.pdf</t>
        </is>
      </c>
      <c r="BB530" t="inlineStr">
        <is>
          <t>Sv: till registrator</t>
        </is>
      </c>
      <c r="BC530" t="inlineStr">
        <is>
          <t>AUTO</t>
        </is>
      </c>
      <c r="BD530" t="inlineStr"/>
      <c r="BE530" t="inlineStr"/>
      <c r="BF530" t="inlineStr">
        <is>
          <t>AUTO_GENERERAD. Bekrafta metadata mot kallfil.</t>
        </is>
      </c>
      <c r="BG530">
        <f>HYPERLINK("C:\Users\jimmy\Desktop\Examens arbete\Kod\Ny mapp\remix_-copy-of-miljöbeslut.se-portal\M-2024-554.pdf", "Öppna PDF")</f>
        <v/>
      </c>
    </row>
    <row r="531">
      <c r="A531" t="inlineStr">
        <is>
          <t>KRAV-AUTO-000530</t>
        </is>
      </c>
      <c r="B531" t="inlineStr">
        <is>
          <t>ADMIN-INDEX-2026-02-27-00000000125C043F57453246863FE664CAFE6A3F0700950291EA24F0614FB6ACEDB12BF0E31D00000000010C0000950291EA24F0614FB6ACEDB12BF0E31D00002087A5D50000</t>
        </is>
      </c>
      <c r="C531" t="inlineStr">
        <is>
          <t>cmm4yuqwm040wcuqwc4vc7ri4</t>
        </is>
      </c>
      <c r="D531" t="inlineStr">
        <is>
          <t>http://localhost:8787/api/admin/requirements/documents/cmm4yuqwm040wcuqwc4vc7ri4/view</t>
        </is>
      </c>
      <c r="E531">
        <f>HYPERLÄNK("http://localhost:8787/api/admin/requirements/documents/cmm4yuqwm040wcuqwc4vc7ri4/view";"Öppna PDF")</f>
        <v/>
      </c>
      <c r="F531">
        <f>HYPERLINK("http://localhost:8787/api/admin/requirements/documents/cmm4yuqwm040wcuqwc4vc7ri4/view","Open PDF")</f>
        <v/>
      </c>
      <c r="G531" t="inlineStr">
        <is>
          <t>cmm55w57p0004cuisfrtpqly8</t>
        </is>
      </c>
      <c r="H531" t="inlineStr">
        <is>
          <t>Beslutsvillkor</t>
        </is>
      </c>
      <c r="I531" t="inlineStr">
        <is>
          <t>LagringsvolymTid</t>
        </is>
      </c>
      <c r="J531" t="inlineStr">
        <is>
          <t>Maxmangd</t>
        </is>
      </c>
      <c r="K531" t="inlineStr">
        <is>
          <t>Anmälan avser ”mellanlagring av jord, grus och betong med mera”, med en uppskattad mängd av cirka 3000 ton per år.</t>
        </is>
      </c>
      <c r="L531" t="inlineStr">
        <is>
          <t>Anmälan avser ”mellanlagring av jord, grus och betong med mera”, med en uppskattad mängd av cirka 3000 ton per år.</t>
        </is>
      </c>
      <c r="M531" t="inlineStr">
        <is>
          <t>SKA</t>
        </is>
      </c>
      <c r="N531" t="inlineStr"/>
      <c r="O531" t="inlineStr"/>
      <c r="P531" t="inlineStr"/>
      <c r="Q531" t="inlineStr"/>
      <c r="R531" t="inlineStr">
        <is>
          <t>Alltid</t>
        </is>
      </c>
      <c r="S531" t="inlineStr"/>
      <c r="T531" t="inlineStr">
        <is>
          <t>251002</t>
        </is>
      </c>
      <c r="U531" t="n">
        <v>3000</v>
      </c>
      <c r="V531" t="inlineStr"/>
      <c r="W531" t="inlineStr">
        <is>
          <t>Nej</t>
        </is>
      </c>
      <c r="X531" t="inlineStr">
        <is>
          <t>Nej</t>
        </is>
      </c>
      <c r="Y531" t="inlineStr">
        <is>
          <t>Nej</t>
        </is>
      </c>
      <c r="Z531" t="inlineStr">
        <is>
          <t>Nej</t>
        </is>
      </c>
      <c r="AA531" t="n">
        <v>4</v>
      </c>
      <c r="AB531" t="inlineStr">
        <is>
          <t>Avfallsmangder och lagringstid</t>
        </is>
      </c>
      <c r="AC531" t="inlineStr">
        <is>
          <t>Avfallsforteckning</t>
        </is>
      </c>
      <c r="AD531" t="inlineStr">
        <is>
          <t>Nej</t>
        </is>
      </c>
      <c r="AE531" t="inlineStr">
        <is>
          <t>Nej</t>
        </is>
      </c>
      <c r="AF531" t="inlineStr">
        <is>
          <t>Ej behandlad</t>
        </is>
      </c>
      <c r="AG531" t="inlineStr">
        <is>
          <t>AUTO_GENERERAD. Verifiera citat mot kallfil.</t>
        </is>
      </c>
      <c r="AH531" t="inlineStr">
        <is>
          <t>MEDIUM</t>
        </is>
      </c>
      <c r="AI531" t="inlineStr">
        <is>
          <t>AUTO</t>
        </is>
      </c>
      <c r="AJ531" t="inlineStr">
        <is>
          <t>Nej</t>
        </is>
      </c>
      <c r="AK531" t="inlineStr"/>
      <c r="AL531" t="inlineStr"/>
      <c r="AM531" t="inlineStr"/>
      <c r="AN531" t="inlineStr"/>
      <c r="AO531" t="inlineStr">
        <is>
          <t>cmm4yuqwp040zcuqw83rklvza</t>
        </is>
      </c>
      <c r="AP531" t="inlineStr">
        <is>
          <t>http://localhost:8787/api/admin/requirements/documents/cmm4yuqwp040zcuqw83rklvza/view</t>
        </is>
      </c>
      <c r="AQ531">
        <f>HYPERLÄNK("http://localhost:8787/api/admin/requirements/documents/cmm4yuqwp040zcuqw83rklvza/view";"Öppna PDF")</f>
        <v/>
      </c>
      <c r="AR531">
        <f>HYPERLINK("http://localhost:8787/api/admin/requirements/documents/cmm4yuqwp040zcuqw83rklvza/view","Open PDF")</f>
        <v/>
      </c>
      <c r="AS531" t="inlineStr">
        <is>
          <t>cmm55w57p0004cuisfrtpqly8</t>
        </is>
      </c>
      <c r="AT531" t="inlineStr">
        <is>
          <t>cmm4xvu980000cuh4vj0usz09</t>
        </is>
      </c>
      <c r="AU531" t="inlineStr">
        <is>
          <t>i Stenungsunds</t>
        </is>
      </c>
      <c r="AV531" t="inlineStr">
        <is>
          <t>Kommun</t>
        </is>
      </c>
      <c r="AW531" t="inlineStr">
        <is>
          <t>i Stenungsunds kommun</t>
        </is>
      </c>
      <c r="AX531" t="inlineStr">
        <is>
          <t>2024-04</t>
        </is>
      </c>
      <c r="AY531" t="inlineStr">
        <is>
          <t>Beslut</t>
        </is>
      </c>
      <c r="AZ531" t="inlineStr">
        <is>
          <t>2026-02-05</t>
        </is>
      </c>
      <c r="BA531" t="inlineStr">
        <is>
          <t>M-2024-554.pdf</t>
        </is>
      </c>
      <c r="BB531" t="inlineStr">
        <is>
          <t>Sv: till registrator</t>
        </is>
      </c>
      <c r="BC531" t="inlineStr">
        <is>
          <t>AUTO</t>
        </is>
      </c>
      <c r="BD531" t="inlineStr"/>
      <c r="BE531" t="inlineStr"/>
      <c r="BF531" t="inlineStr">
        <is>
          <t>AUTO_GENERERAD. Bekrafta metadata mot kallfil.</t>
        </is>
      </c>
      <c r="BG531">
        <f>HYPERLINK("C:\Users\jimmy\Desktop\Examens arbete\Kod\Ny mapp\remix_-copy-of-miljöbeslut.se-portal\M-2024-554.pdf", "Öppna PDF")</f>
        <v/>
      </c>
    </row>
    <row r="532">
      <c r="A532" t="inlineStr">
        <is>
          <t>KRAV-AUTO-000531</t>
        </is>
      </c>
      <c r="B532" t="inlineStr">
        <is>
          <t>ADMIN-INDEX-2026-02-27-00000000125C043F57453246863FE664CAFE6A3F0700950291EA24F0614FB6ACEDB12BF0E31D00000000010C0000950291EA24F0614FB6ACEDB12BF0E31D00002087A5D60000</t>
        </is>
      </c>
      <c r="C532" t="inlineStr">
        <is>
          <t>cmm4yuqwg040qcuqw4w3wh8u8</t>
        </is>
      </c>
      <c r="D532" t="inlineStr">
        <is>
          <t>http://localhost:8787/api/admin/requirements/documents/cmm4yuqwg040qcuqw4w3wh8u8/view</t>
        </is>
      </c>
      <c r="E532">
        <f>HYPERLÄNK("http://localhost:8787/api/admin/requirements/documents/cmm4yuqwg040qcuqw4w3wh8u8/view";"Öppna PDF")</f>
        <v/>
      </c>
      <c r="F532">
        <f>HYPERLINK("http://localhost:8787/api/admin/requirements/documents/cmm4yuqwg040qcuqw4w3wh8u8/view","Open PDF")</f>
        <v/>
      </c>
      <c r="G532" t="inlineStr">
        <is>
          <t>cmm55w57p0004cuisfrtpqly8</t>
        </is>
      </c>
      <c r="H532" t="inlineStr">
        <is>
          <t>Beslutsvillkor</t>
        </is>
      </c>
      <c r="I532" t="inlineStr">
        <is>
          <t>LagringsvolymTid</t>
        </is>
      </c>
      <c r="J532" t="inlineStr">
        <is>
          <t>Maxmangd</t>
        </is>
      </c>
      <c r="K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32" t="inlineStr">
        <is>
          <t>SKA</t>
        </is>
      </c>
      <c r="N532" t="inlineStr"/>
      <c r="O532" t="inlineStr"/>
      <c r="P532" t="inlineStr"/>
      <c r="Q532" t="inlineStr"/>
      <c r="R532" t="inlineStr">
        <is>
          <t>Alltid</t>
        </is>
      </c>
      <c r="S532" t="inlineStr"/>
      <c r="T532" t="inlineStr">
        <is>
          <t>251002</t>
        </is>
      </c>
      <c r="U532" t="inlineStr"/>
      <c r="V532" t="inlineStr"/>
      <c r="W532" t="inlineStr">
        <is>
          <t>Nej</t>
        </is>
      </c>
      <c r="X532" t="inlineStr">
        <is>
          <t>Nej</t>
        </is>
      </c>
      <c r="Y532" t="inlineStr">
        <is>
          <t>Nej</t>
        </is>
      </c>
      <c r="Z532" t="inlineStr">
        <is>
          <t>Nej</t>
        </is>
      </c>
      <c r="AA532" t="n">
        <v>4</v>
      </c>
      <c r="AB532" t="inlineStr">
        <is>
          <t>Avfallsmangder och lagringstid</t>
        </is>
      </c>
      <c r="AC532" t="inlineStr">
        <is>
          <t>Avfallsforteckning</t>
        </is>
      </c>
      <c r="AD532" t="inlineStr">
        <is>
          <t>Nej</t>
        </is>
      </c>
      <c r="AE532" t="inlineStr">
        <is>
          <t>Nej</t>
        </is>
      </c>
      <c r="AF532" t="inlineStr">
        <is>
          <t>Ej behandlad</t>
        </is>
      </c>
      <c r="AG532" t="inlineStr">
        <is>
          <t>AUTO_GENERERAD. Verifiera citat mot kallfil.</t>
        </is>
      </c>
      <c r="AH532" t="inlineStr">
        <is>
          <t>MEDIUM</t>
        </is>
      </c>
      <c r="AI532" t="inlineStr">
        <is>
          <t>AUTO</t>
        </is>
      </c>
      <c r="AJ532" t="inlineStr">
        <is>
          <t>Nej</t>
        </is>
      </c>
      <c r="AK532" t="inlineStr"/>
      <c r="AL532" t="inlineStr"/>
      <c r="AM532" t="inlineStr"/>
      <c r="AN532" t="inlineStr"/>
      <c r="AO532" t="inlineStr">
        <is>
          <t>cmm4yuqwg040qcuqw4w3wh8u8</t>
        </is>
      </c>
      <c r="AP532" t="inlineStr">
        <is>
          <t>http://localhost:8787/api/admin/requirements/documents/cmm4yuqwg040qcuqw4w3wh8u8/view</t>
        </is>
      </c>
      <c r="AQ532">
        <f>HYPERLÄNK("http://localhost:8787/api/admin/requirements/documents/cmm4yuqwg040qcuqw4w3wh8u8/view";"Öppna PDF")</f>
        <v/>
      </c>
      <c r="AR532">
        <f>HYPERLINK("http://localhost:8787/api/admin/requirements/documents/cmm4yuqwg040qcuqw4w3wh8u8/view","Open PDF")</f>
        <v/>
      </c>
      <c r="AS532" t="inlineStr">
        <is>
          <t>cmm55w57p0004cuisfrtpqly8</t>
        </is>
      </c>
      <c r="AT532" t="inlineStr">
        <is>
          <t>cmm4xvu980000cuh4vj0usz09</t>
        </is>
      </c>
      <c r="AU532" t="inlineStr"/>
      <c r="AV532" t="inlineStr">
        <is>
          <t>Kommun</t>
        </is>
      </c>
      <c r="AW532" t="inlineStr"/>
      <c r="AX532" t="inlineStr">
        <is>
          <t>2025-10</t>
        </is>
      </c>
      <c r="AY532" t="inlineStr">
        <is>
          <t>Beslut</t>
        </is>
      </c>
      <c r="AZ532" t="inlineStr">
        <is>
          <t>2026-02-05</t>
        </is>
      </c>
      <c r="BA532" t="inlineStr">
        <is>
          <t>M-2025-1072.pdf</t>
        </is>
      </c>
      <c r="BB532" t="inlineStr">
        <is>
          <t>Sv: till registrator</t>
        </is>
      </c>
      <c r="BC532" t="inlineStr">
        <is>
          <t>AUTO</t>
        </is>
      </c>
      <c r="BD532" t="inlineStr"/>
      <c r="BE532" t="inlineStr"/>
      <c r="BF532" t="inlineStr">
        <is>
          <t>AUTO_GENERERAD. Bekrafta metadata mot kallfil.</t>
        </is>
      </c>
      <c r="BG532">
        <f>HYPERLINK("C:\Users\jimmy\Desktop\Examens arbete\Kod\Ny mapp\remix_-copy-of-miljöbeslut.se-portal\M-2025-1072.pdf", "Öppna PDF")</f>
        <v/>
      </c>
    </row>
    <row r="533">
      <c r="A533" t="inlineStr">
        <is>
          <t>KRAV-AUTO-000532</t>
        </is>
      </c>
      <c r="B533" t="inlineStr">
        <is>
          <t>ADMIN-INDEX-2026-02-27-00000000125C043F57453246863FE664CAFE6A3F0700950291EA24F0614FB6ACEDB12BF0E31D00000000010C0000950291EA24F0614FB6ACEDB12BF0E31D00002087A5D60000</t>
        </is>
      </c>
      <c r="C533" t="inlineStr">
        <is>
          <t>cmm4yuqwg040qcuqw4w3wh8u8</t>
        </is>
      </c>
      <c r="D533" t="inlineStr">
        <is>
          <t>http://localhost:8787/api/admin/requirements/documents/cmm4yuqwg040qcuqw4w3wh8u8/view</t>
        </is>
      </c>
      <c r="E533">
        <f>HYPERLÄNK("http://localhost:8787/api/admin/requirements/documents/cmm4yuqwg040qcuqw4w3wh8u8/view";"Öppna PDF")</f>
        <v/>
      </c>
      <c r="F533">
        <f>HYPERLINK("http://localhost:8787/api/admin/requirements/documents/cmm4yuqwg040qcuqw4w3wh8u8/view","Open PDF")</f>
        <v/>
      </c>
      <c r="G533" t="inlineStr">
        <is>
          <t>cmm55w57p0004cuisfrtpqly8</t>
        </is>
      </c>
      <c r="H533" t="inlineStr">
        <is>
          <t>Beslutsvillkor</t>
        </is>
      </c>
      <c r="I533" t="inlineStr">
        <is>
          <t>MiljopaverkanForsiktighet</t>
        </is>
      </c>
      <c r="J533" t="inlineStr">
        <is>
          <t>Skyddsatgarder</t>
        </is>
      </c>
      <c r="K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3" t="inlineStr">
        <is>
          <t>SKA</t>
        </is>
      </c>
      <c r="N533" t="inlineStr">
        <is>
          <t>FMH</t>
        </is>
      </c>
      <c r="O533" t="inlineStr"/>
      <c r="P533" t="inlineStr">
        <is>
          <t>Arlig</t>
        </is>
      </c>
      <c r="Q533" t="inlineStr">
        <is>
          <t>Forelaggande vid brist</t>
        </is>
      </c>
      <c r="R533" t="inlineStr">
        <is>
          <t>Alltid</t>
        </is>
      </c>
      <c r="S533" t="inlineStr"/>
      <c r="T533" t="inlineStr">
        <is>
          <t>15 0303</t>
        </is>
      </c>
      <c r="U533" t="inlineStr"/>
      <c r="V533" t="inlineStr"/>
      <c r="W533" t="inlineStr">
        <is>
          <t>Nej</t>
        </is>
      </c>
      <c r="X533" t="inlineStr">
        <is>
          <t>Nej</t>
        </is>
      </c>
      <c r="Y533" t="inlineStr">
        <is>
          <t>Nej</t>
        </is>
      </c>
      <c r="Z533" t="inlineStr">
        <is>
          <t>Nej</t>
        </is>
      </c>
      <c r="AA533" t="n">
        <v>10</v>
      </c>
      <c r="AB533" t="inlineStr">
        <is>
          <t>Miljopaverkan och forsiktighetsmatt</t>
        </is>
      </c>
      <c r="AC533" t="inlineStr">
        <is>
          <t>Miljo-PM</t>
        </is>
      </c>
      <c r="AD533" t="inlineStr">
        <is>
          <t>Nej</t>
        </is>
      </c>
      <c r="AE533" t="inlineStr">
        <is>
          <t>Nej</t>
        </is>
      </c>
      <c r="AF533" t="inlineStr">
        <is>
          <t>Ej behandlad</t>
        </is>
      </c>
      <c r="AG533" t="inlineStr">
        <is>
          <t>AUTO_GENERERAD. Verifiera citat mot kallfil.</t>
        </is>
      </c>
      <c r="AH533" t="inlineStr">
        <is>
          <t>MEDIUM</t>
        </is>
      </c>
      <c r="AI533" t="inlineStr">
        <is>
          <t>AUTO</t>
        </is>
      </c>
      <c r="AJ533" t="inlineStr">
        <is>
          <t>Nej</t>
        </is>
      </c>
      <c r="AK533" t="inlineStr"/>
      <c r="AL533" t="inlineStr"/>
      <c r="AM533" t="inlineStr"/>
      <c r="AN533" t="inlineStr"/>
      <c r="AO533" t="inlineStr">
        <is>
          <t>cmm4yuqwg040qcuqw4w3wh8u8</t>
        </is>
      </c>
      <c r="AP533" t="inlineStr">
        <is>
          <t>http://localhost:8787/api/admin/requirements/documents/cmm4yuqwg040qcuqw4w3wh8u8/view</t>
        </is>
      </c>
      <c r="AQ533">
        <f>HYPERLÄNK("http://localhost:8787/api/admin/requirements/documents/cmm4yuqwg040qcuqw4w3wh8u8/view";"Öppna PDF")</f>
        <v/>
      </c>
      <c r="AR533">
        <f>HYPERLINK("http://localhost:8787/api/admin/requirements/documents/cmm4yuqwg040qcuqw4w3wh8u8/view","Open PDF")</f>
        <v/>
      </c>
      <c r="AS533" t="inlineStr">
        <is>
          <t>cmm55w57p0004cuisfrtpqly8</t>
        </is>
      </c>
      <c r="AT533" t="inlineStr">
        <is>
          <t>cmm4xvu980000cuh4vj0usz09</t>
        </is>
      </c>
      <c r="AU533" t="inlineStr"/>
      <c r="AV533" t="inlineStr">
        <is>
          <t>Kommun</t>
        </is>
      </c>
      <c r="AW533" t="inlineStr"/>
      <c r="AX533" t="inlineStr">
        <is>
          <t>2025-10</t>
        </is>
      </c>
      <c r="AY533" t="inlineStr">
        <is>
          <t>Beslut</t>
        </is>
      </c>
      <c r="AZ533" t="inlineStr">
        <is>
          <t>2026-02-05</t>
        </is>
      </c>
      <c r="BA533" t="inlineStr">
        <is>
          <t>M-2025-1072.pdf</t>
        </is>
      </c>
      <c r="BB533" t="inlineStr">
        <is>
          <t>Sv: till registrator</t>
        </is>
      </c>
      <c r="BC533" t="inlineStr">
        <is>
          <t>AUTO</t>
        </is>
      </c>
      <c r="BD533" t="inlineStr"/>
      <c r="BE533" t="inlineStr"/>
      <c r="BF533" t="inlineStr">
        <is>
          <t>AUTO_GENERERAD. Bekrafta metadata mot kallfil.</t>
        </is>
      </c>
      <c r="BG533">
        <f>HYPERLINK("C:\Users\jimmy\Desktop\Examens arbete\Kod\Ny mapp\remix_-copy-of-miljöbeslut.se-portal\M-2025-1072.pdf", "Öppna PDF")</f>
        <v/>
      </c>
    </row>
    <row r="534">
      <c r="A534" t="inlineStr">
        <is>
          <t>KRAV-AUTO-000533</t>
        </is>
      </c>
      <c r="B534" t="inlineStr">
        <is>
          <t>ADMIN-INDEX-2026-02-27-00000000125C043F57453246863FE664CAFE6A3F0700950291EA24F0614FB6ACEDB12BF0E31D00000000010C0000950291EA24F0614FB6ACEDB12BF0E31D00002087A5D60000</t>
        </is>
      </c>
      <c r="C534" t="inlineStr">
        <is>
          <t>cmm4yuqwg040qcuqw4w3wh8u8</t>
        </is>
      </c>
      <c r="D534" t="inlineStr">
        <is>
          <t>http://localhost:8787/api/admin/requirements/documents/cmm4yuqwg040qcuqw4w3wh8u8/view</t>
        </is>
      </c>
      <c r="E534">
        <f>HYPERLÄNK("http://localhost:8787/api/admin/requirements/documents/cmm4yuqwg040qcuqw4w3wh8u8/view";"Öppna PDF")</f>
        <v/>
      </c>
      <c r="F534">
        <f>HYPERLINK("http://localhost:8787/api/admin/requirements/documents/cmm4yuqwg040qcuqw4w3wh8u8/view","Open PDF")</f>
        <v/>
      </c>
      <c r="G534" t="inlineStr">
        <is>
          <t>cmm55w57p0004cuisfrtpqly8</t>
        </is>
      </c>
      <c r="H534" t="inlineStr">
        <is>
          <t>Beslutsvillkor</t>
        </is>
      </c>
      <c r="I534" t="inlineStr">
        <is>
          <t>LagringsvolymTid</t>
        </is>
      </c>
      <c r="J534" t="inlineStr">
        <is>
          <t>Maxmangd</t>
        </is>
      </c>
      <c r="K534" t="inlineStr">
        <is>
          <t>Anmälan avser ”mellanlagring av jord, grus och betong med mera”, med en uppskattad mängd av cirka 3000 ton per år.</t>
        </is>
      </c>
      <c r="L534" t="inlineStr">
        <is>
          <t>Anmälan avser ”mellanlagring av jord, grus och betong med mera”, med en uppskattad mängd av cirka 3000 ton per år.</t>
        </is>
      </c>
      <c r="M534" t="inlineStr">
        <is>
          <t>SKA</t>
        </is>
      </c>
      <c r="N534" t="inlineStr"/>
      <c r="O534" t="inlineStr"/>
      <c r="P534" t="inlineStr"/>
      <c r="Q534" t="inlineStr"/>
      <c r="R534" t="inlineStr">
        <is>
          <t>Alltid</t>
        </is>
      </c>
      <c r="S534" t="inlineStr"/>
      <c r="T534" t="inlineStr">
        <is>
          <t>251002</t>
        </is>
      </c>
      <c r="U534" t="n">
        <v>3000</v>
      </c>
      <c r="V534" t="inlineStr"/>
      <c r="W534" t="inlineStr">
        <is>
          <t>Nej</t>
        </is>
      </c>
      <c r="X534" t="inlineStr">
        <is>
          <t>Nej</t>
        </is>
      </c>
      <c r="Y534" t="inlineStr">
        <is>
          <t>Nej</t>
        </is>
      </c>
      <c r="Z534" t="inlineStr">
        <is>
          <t>Nej</t>
        </is>
      </c>
      <c r="AA534" t="n">
        <v>4</v>
      </c>
      <c r="AB534" t="inlineStr">
        <is>
          <t>Avfallsmangder och lagringstid</t>
        </is>
      </c>
      <c r="AC534" t="inlineStr">
        <is>
          <t>Avfallsforteckning</t>
        </is>
      </c>
      <c r="AD534" t="inlineStr">
        <is>
          <t>Nej</t>
        </is>
      </c>
      <c r="AE534" t="inlineStr">
        <is>
          <t>Nej</t>
        </is>
      </c>
      <c r="AF534" t="inlineStr">
        <is>
          <t>Ej behandlad</t>
        </is>
      </c>
      <c r="AG534" t="inlineStr">
        <is>
          <t>AUTO_GENERERAD. Verifiera citat mot kallfil.</t>
        </is>
      </c>
      <c r="AH534" t="inlineStr">
        <is>
          <t>MEDIUM</t>
        </is>
      </c>
      <c r="AI534" t="inlineStr">
        <is>
          <t>AUTO</t>
        </is>
      </c>
      <c r="AJ534" t="inlineStr">
        <is>
          <t>Nej</t>
        </is>
      </c>
      <c r="AK534" t="inlineStr"/>
      <c r="AL534" t="inlineStr"/>
      <c r="AM534" t="inlineStr"/>
      <c r="AN534" t="inlineStr"/>
      <c r="AO534" t="inlineStr">
        <is>
          <t>cmm4yuqwg040qcuqw4w3wh8u8</t>
        </is>
      </c>
      <c r="AP534" t="inlineStr">
        <is>
          <t>http://localhost:8787/api/admin/requirements/documents/cmm4yuqwg040qcuqw4w3wh8u8/view</t>
        </is>
      </c>
      <c r="AQ534">
        <f>HYPERLÄNK("http://localhost:8787/api/admin/requirements/documents/cmm4yuqwg040qcuqw4w3wh8u8/view";"Öppna PDF")</f>
        <v/>
      </c>
      <c r="AR534">
        <f>HYPERLINK("http://localhost:8787/api/admin/requirements/documents/cmm4yuqwg040qcuqw4w3wh8u8/view","Open PDF")</f>
        <v/>
      </c>
      <c r="AS534" t="inlineStr">
        <is>
          <t>cmm55w57p0004cuisfrtpqly8</t>
        </is>
      </c>
      <c r="AT534" t="inlineStr">
        <is>
          <t>cmm4xvu980000cuh4vj0usz09</t>
        </is>
      </c>
      <c r="AU534" t="inlineStr"/>
      <c r="AV534" t="inlineStr">
        <is>
          <t>Kommun</t>
        </is>
      </c>
      <c r="AW534" t="inlineStr"/>
      <c r="AX534" t="inlineStr">
        <is>
          <t>2025-10</t>
        </is>
      </c>
      <c r="AY534" t="inlineStr">
        <is>
          <t>Beslut</t>
        </is>
      </c>
      <c r="AZ534" t="inlineStr">
        <is>
          <t>2026-02-05</t>
        </is>
      </c>
      <c r="BA534" t="inlineStr">
        <is>
          <t>M-2025-1072.pdf</t>
        </is>
      </c>
      <c r="BB534" t="inlineStr">
        <is>
          <t>Sv: till registrator</t>
        </is>
      </c>
      <c r="BC534" t="inlineStr">
        <is>
          <t>AUTO</t>
        </is>
      </c>
      <c r="BD534" t="inlineStr"/>
      <c r="BE534" t="inlineStr"/>
      <c r="BF534" t="inlineStr">
        <is>
          <t>AUTO_GENERERAD. Bekrafta metadata mot kallfil.</t>
        </is>
      </c>
      <c r="BG534">
        <f>HYPERLINK("C:\Users\jimmy\Desktop\Examens arbete\Kod\Ny mapp\remix_-copy-of-miljöbeslut.se-portal\M-2025-1072.pdf", "Öppna PDF")</f>
        <v/>
      </c>
    </row>
    <row r="535">
      <c r="A535" t="inlineStr">
        <is>
          <t>KRAV-AUTO-000534</t>
        </is>
      </c>
      <c r="B535" t="inlineStr">
        <is>
          <t>ADMIN-INDEX-2026-02-27-00000000125C043F57453246863FE664CAFE6A3F0700950291EA24F0614FB6ACEDB12BF0E31D00000000010C0000950291EA24F0614FB6ACEDB12BF0E31D00002087A5D70000</t>
        </is>
      </c>
      <c r="C535" t="inlineStr">
        <is>
          <t>cmm4yuqw2040bcuqwtfa0vnge</t>
        </is>
      </c>
      <c r="D535" t="inlineStr">
        <is>
          <t>http://localhost:8787/api/admin/requirements/documents/cmm4yuqw2040bcuqwtfa0vnge/view</t>
        </is>
      </c>
      <c r="E535">
        <f>HYPERLÄNK("http://localhost:8787/api/admin/requirements/documents/cmm4yuqw2040bcuqwtfa0vnge/view";"Öppna PDF")</f>
        <v/>
      </c>
      <c r="F535">
        <f>HYPERLINK("http://localhost:8787/api/admin/requirements/documents/cmm4yuqw2040bcuqwtfa0vnge/view","Open PDF")</f>
        <v/>
      </c>
      <c r="G535" t="inlineStr">
        <is>
          <t>cmm55w57p0004cuisfrtpqly8</t>
        </is>
      </c>
      <c r="H535" t="inlineStr">
        <is>
          <t>Informationskrav</t>
        </is>
      </c>
      <c r="I535" t="inlineStr">
        <is>
          <t>DagvattenLakvatten</t>
        </is>
      </c>
      <c r="J535" t="inlineStr">
        <is>
          <t>Uppsamling</t>
        </is>
      </c>
      <c r="K535" t="inlineStr">
        <is>
          <t>Det uppsamlade materialet kommer sedan grävas upp och placeras i ett väl uppmärkt uppsamlingskärl för att sedan borttransporteras av behörig transportör till för ändamålet godkänd anläggning.</t>
        </is>
      </c>
      <c r="L535" t="inlineStr">
        <is>
          <t>Det uppsamlade materialet kommer sedan grävas upp och placeras i ett väl uppmärkt uppsamlingskärl för att sedan borttransporteras av behörig transportör till för ändamålet godkänd anläggning.</t>
        </is>
      </c>
      <c r="M535" t="inlineStr">
        <is>
          <t>SKA</t>
        </is>
      </c>
      <c r="N535" t="inlineStr"/>
      <c r="O535" t="inlineStr"/>
      <c r="P535" t="inlineStr"/>
      <c r="Q535" t="inlineStr"/>
      <c r="R535" t="inlineStr">
        <is>
          <t>Vid nederbord och avrinning</t>
        </is>
      </c>
      <c r="S535" t="inlineStr"/>
      <c r="T535" t="inlineStr">
        <is>
          <t>10 19 09</t>
        </is>
      </c>
      <c r="U535" t="inlineStr"/>
      <c r="V535" t="inlineStr"/>
      <c r="W535" t="inlineStr">
        <is>
          <t>Nej</t>
        </is>
      </c>
      <c r="X535" t="inlineStr">
        <is>
          <t>Ja</t>
        </is>
      </c>
      <c r="Y535" t="inlineStr">
        <is>
          <t>Ja</t>
        </is>
      </c>
      <c r="Z535" t="inlineStr">
        <is>
          <t>Nej</t>
        </is>
      </c>
      <c r="AA535" t="n">
        <v>6</v>
      </c>
      <c r="AB535" t="inlineStr">
        <is>
          <t>Lakvattenhantering</t>
        </is>
      </c>
      <c r="AC535" t="inlineStr">
        <is>
          <t>Flodesschema dagvatten-lakvatten</t>
        </is>
      </c>
      <c r="AD535" t="inlineStr">
        <is>
          <t>Nej</t>
        </is>
      </c>
      <c r="AE535" t="inlineStr">
        <is>
          <t>Nej</t>
        </is>
      </c>
      <c r="AF535" t="inlineStr">
        <is>
          <t>Ej behandlad</t>
        </is>
      </c>
      <c r="AG535" t="inlineStr">
        <is>
          <t>AUTO_GENERERAD. Verifiera citat mot kallfil.</t>
        </is>
      </c>
      <c r="AH535" t="inlineStr">
        <is>
          <t>MEDIUM</t>
        </is>
      </c>
      <c r="AI535" t="inlineStr">
        <is>
          <t>AUTO</t>
        </is>
      </c>
      <c r="AJ535" t="inlineStr">
        <is>
          <t>Nej</t>
        </is>
      </c>
      <c r="AK535" t="inlineStr"/>
      <c r="AL535" t="inlineStr"/>
      <c r="AM535" t="inlineStr"/>
      <c r="AN535" t="inlineStr"/>
      <c r="AO535" t="inlineStr">
        <is>
          <t>cmm4yuqwe040ncuqwqo98vhru</t>
        </is>
      </c>
      <c r="AP535" t="inlineStr">
        <is>
          <t>http://localhost:8787/api/admin/requirements/documents/cmm4yuqwe040ncuqwqo98vhru/view</t>
        </is>
      </c>
      <c r="AQ535">
        <f>HYPERLÄNK("http://localhost:8787/api/admin/requirements/documents/cmm4yuqwe040ncuqwqo98vhru/view";"Öppna PDF")</f>
        <v/>
      </c>
      <c r="AR535">
        <f>HYPERLINK("http://localhost:8787/api/admin/requirements/documents/cmm4yuqwe040ncuqwqo98vhru/view","Open PDF")</f>
        <v/>
      </c>
      <c r="AS535" t="inlineStr">
        <is>
          <t>cmm55w57p0004cuisfrtpqly8</t>
        </is>
      </c>
      <c r="AT535" t="inlineStr">
        <is>
          <t>cmm4xvu980000cuh4vj0usz09</t>
        </is>
      </c>
      <c r="AU535" t="inlineStr">
        <is>
          <t>Hässleholms</t>
        </is>
      </c>
      <c r="AV535" t="inlineStr">
        <is>
          <t>Kommun</t>
        </is>
      </c>
      <c r="AW535" t="inlineStr">
        <is>
          <t>Hässleholms kommun</t>
        </is>
      </c>
      <c r="AX535" t="inlineStr">
        <is>
          <t>2024-877</t>
        </is>
      </c>
      <c r="AY535" t="inlineStr">
        <is>
          <t>Anmalan</t>
        </is>
      </c>
      <c r="AZ535" t="inlineStr">
        <is>
          <t>2026-02-05</t>
        </is>
      </c>
      <c r="BA535" t="inlineStr">
        <is>
          <t>M-2024-877 - Anmälan.pdf</t>
        </is>
      </c>
      <c r="BB535" t="inlineStr">
        <is>
          <t>Sv:  Begäran om utlämnande av allmän handling – Anmälningar och beslut rörande mellanlagring av avfall samt anläggning av ytor</t>
        </is>
      </c>
      <c r="BC535" t="inlineStr">
        <is>
          <t>AUTO</t>
        </is>
      </c>
      <c r="BD535" t="inlineStr"/>
      <c r="BE535" t="inlineStr"/>
      <c r="BF535" t="inlineStr">
        <is>
          <t>AUTO_GENERERAD. Bekrafta metadata mot kallfil.</t>
        </is>
      </c>
      <c r="BG535">
        <f>HYPERLINK("C:\Users\jimmy\Desktop\Examens arbete\Kod\Ny mapp\remix_-copy-of-miljöbeslut.se-portal\M-2024-877 - Anmälan.pdf", "Öppna PDF")</f>
        <v/>
      </c>
    </row>
    <row r="536">
      <c r="A536" t="inlineStr">
        <is>
          <t>KRAV-AUTO-000535</t>
        </is>
      </c>
      <c r="B536" t="inlineStr">
        <is>
          <t>ADMIN-INDEX-2026-02-27-00000000125C043F57453246863FE664CAFE6A3F0700950291EA24F0614FB6ACEDB12BF0E31D00000000010C0000950291EA24F0614FB6ACEDB12BF0E31D00002087A5D70000</t>
        </is>
      </c>
      <c r="C536" t="inlineStr">
        <is>
          <t>cmm4yuqw2040bcuqwtfa0vnge</t>
        </is>
      </c>
      <c r="D536" t="inlineStr">
        <is>
          <t>http://localhost:8787/api/admin/requirements/documents/cmm4yuqw2040bcuqwtfa0vnge/view</t>
        </is>
      </c>
      <c r="E536">
        <f>HYPERLÄNK("http://localhost:8787/api/admin/requirements/documents/cmm4yuqw2040bcuqwtfa0vnge/view";"Öppna PDF")</f>
        <v/>
      </c>
      <c r="F536">
        <f>HYPERLINK("http://localhost:8787/api/admin/requirements/documents/cmm4yuqw2040bcuqwtfa0vnge/view","Open PDF")</f>
        <v/>
      </c>
      <c r="G536" t="inlineStr">
        <is>
          <t>cmm55w57p0004cuisfrtpqly8</t>
        </is>
      </c>
      <c r="H536" t="inlineStr">
        <is>
          <t>Informationskrav</t>
        </is>
      </c>
      <c r="I536" t="inlineStr">
        <is>
          <t>LagringsvolymTid</t>
        </is>
      </c>
      <c r="J536" t="inlineStr">
        <is>
          <t>Maxmangd</t>
        </is>
      </c>
      <c r="K536" t="inlineStr">
        <is>
          <t>mer än 1 000 ton per kalenderår och avfallet ska användas för byggnads- eller anläggningsändamål, eller 2.</t>
        </is>
      </c>
      <c r="L536" t="inlineStr">
        <is>
          <t>mer än 1 000 ton per kalenderår och avfallet ska användas för byggnads- eller anläggningsändamål, eller 2.</t>
        </is>
      </c>
      <c r="M536" t="inlineStr">
        <is>
          <t>SKA</t>
        </is>
      </c>
      <c r="N536" t="inlineStr"/>
      <c r="O536" t="inlineStr"/>
      <c r="P536" t="inlineStr"/>
      <c r="Q536" t="inlineStr"/>
      <c r="R536" t="inlineStr">
        <is>
          <t>Alltid</t>
        </is>
      </c>
      <c r="S536" t="inlineStr"/>
      <c r="T536" t="inlineStr">
        <is>
          <t>10 19 09</t>
        </is>
      </c>
      <c r="U536" t="n">
        <v>0</v>
      </c>
      <c r="V536" t="inlineStr"/>
      <c r="W536" t="inlineStr">
        <is>
          <t>Nej</t>
        </is>
      </c>
      <c r="X536" t="inlineStr">
        <is>
          <t>Nej</t>
        </is>
      </c>
      <c r="Y536" t="inlineStr">
        <is>
          <t>Nej</t>
        </is>
      </c>
      <c r="Z536" t="inlineStr">
        <is>
          <t>Nej</t>
        </is>
      </c>
      <c r="AA536" t="n">
        <v>4</v>
      </c>
      <c r="AB536" t="inlineStr">
        <is>
          <t>Avfallsmangder och lagringstid</t>
        </is>
      </c>
      <c r="AC536" t="inlineStr">
        <is>
          <t>Avfallsforteckning</t>
        </is>
      </c>
      <c r="AD536" t="inlineStr">
        <is>
          <t>Nej</t>
        </is>
      </c>
      <c r="AE536" t="inlineStr">
        <is>
          <t>Nej</t>
        </is>
      </c>
      <c r="AF536" t="inlineStr">
        <is>
          <t>Ej behandlad</t>
        </is>
      </c>
      <c r="AG536" t="inlineStr">
        <is>
          <t>AUTO_GENERERAD. Verifiera citat mot kallfil.</t>
        </is>
      </c>
      <c r="AH536" t="inlineStr">
        <is>
          <t>MEDIUM</t>
        </is>
      </c>
      <c r="AI536" t="inlineStr">
        <is>
          <t>AUTO</t>
        </is>
      </c>
      <c r="AJ536" t="inlineStr">
        <is>
          <t>Nej</t>
        </is>
      </c>
      <c r="AK536" t="inlineStr"/>
      <c r="AL536" t="inlineStr"/>
      <c r="AM536" t="inlineStr"/>
      <c r="AN536" t="inlineStr"/>
      <c r="AO536" t="inlineStr">
        <is>
          <t>cmm4yuqwe040ncuqwqo98vhru</t>
        </is>
      </c>
      <c r="AP536" t="inlineStr">
        <is>
          <t>http://localhost:8787/api/admin/requirements/documents/cmm4yuqwe040ncuqwqo98vhru/view</t>
        </is>
      </c>
      <c r="AQ536">
        <f>HYPERLÄNK("http://localhost:8787/api/admin/requirements/documents/cmm4yuqwe040ncuqwqo98vhru/view";"Öppna PDF")</f>
        <v/>
      </c>
      <c r="AR536">
        <f>HYPERLINK("http://localhost:8787/api/admin/requirements/documents/cmm4yuqwe040ncuqwqo98vhru/view","Open PDF")</f>
        <v/>
      </c>
      <c r="AS536" t="inlineStr">
        <is>
          <t>cmm55w57p0004cuisfrtpqly8</t>
        </is>
      </c>
      <c r="AT536" t="inlineStr">
        <is>
          <t>cmm4xvu980000cuh4vj0usz09</t>
        </is>
      </c>
      <c r="AU536" t="inlineStr">
        <is>
          <t>Hässleholms</t>
        </is>
      </c>
      <c r="AV536" t="inlineStr">
        <is>
          <t>Kommun</t>
        </is>
      </c>
      <c r="AW536" t="inlineStr">
        <is>
          <t>Hässleholms kommun</t>
        </is>
      </c>
      <c r="AX536" t="inlineStr">
        <is>
          <t>2024-877</t>
        </is>
      </c>
      <c r="AY536" t="inlineStr">
        <is>
          <t>Anmalan</t>
        </is>
      </c>
      <c r="AZ536" t="inlineStr">
        <is>
          <t>2026-02-05</t>
        </is>
      </c>
      <c r="BA536" t="inlineStr">
        <is>
          <t>M-2024-877 - Anmälan.pdf</t>
        </is>
      </c>
      <c r="BB536" t="inlineStr">
        <is>
          <t>Sv:  Begäran om utlämnande av allmän handling – Anmälningar och beslut rörande mellanlagring av avfall samt anläggning av ytor</t>
        </is>
      </c>
      <c r="BC536" t="inlineStr">
        <is>
          <t>AUTO</t>
        </is>
      </c>
      <c r="BD536" t="inlineStr"/>
      <c r="BE536" t="inlineStr"/>
      <c r="BF536" t="inlineStr">
        <is>
          <t>AUTO_GENERERAD. Bekrafta metadata mot kallfil.</t>
        </is>
      </c>
      <c r="BG536">
        <f>HYPERLINK("C:\Users\jimmy\Desktop\Examens arbete\Kod\Ny mapp\remix_-copy-of-miljöbeslut.se-portal\M-2024-877 - Anmälan.pdf", "Öppna PDF")</f>
        <v/>
      </c>
    </row>
    <row r="537">
      <c r="A537" t="inlineStr">
        <is>
          <t>KRAV-AUTO-000536</t>
        </is>
      </c>
      <c r="B537" t="inlineStr">
        <is>
          <t>ADMIN-INDEX-2026-02-27-00000000125C043F57453246863FE664CAFE6A3F0700950291EA24F0614FB6ACEDB12BF0E31D00000000010C0000950291EA24F0614FB6ACEDB12BF0E31D00002087A5D70000</t>
        </is>
      </c>
      <c r="C537" t="inlineStr">
        <is>
          <t>cmm4yuqw2040bcuqwtfa0vnge</t>
        </is>
      </c>
      <c r="D537" t="inlineStr">
        <is>
          <t>http://localhost:8787/api/admin/requirements/documents/cmm4yuqw2040bcuqwtfa0vnge/view</t>
        </is>
      </c>
      <c r="E537">
        <f>HYPERLÄNK("http://localhost:8787/api/admin/requirements/documents/cmm4yuqw2040bcuqwtfa0vnge/view";"Öppna PDF")</f>
        <v/>
      </c>
      <c r="F537">
        <f>HYPERLINK("http://localhost:8787/api/admin/requirements/documents/cmm4yuqw2040bcuqwtfa0vnge/view","Open PDF")</f>
        <v/>
      </c>
      <c r="G537" t="inlineStr">
        <is>
          <t>cmm55w57p0004cuisfrtpqly8</t>
        </is>
      </c>
      <c r="H537" t="inlineStr">
        <is>
          <t>Informationskrav</t>
        </is>
      </c>
      <c r="I537" t="inlineStr">
        <is>
          <t>DagvattenLakvatten</t>
        </is>
      </c>
      <c r="J537" t="inlineStr">
        <is>
          <t>Uppsamling</t>
        </is>
      </c>
      <c r="K537" t="inlineStr">
        <is>
          <t>Inga behov av skyddsåtgärder för att minska föroreningsrisken på platsen föreligger.</t>
        </is>
      </c>
      <c r="L537" t="inlineStr">
        <is>
          <t>Inga behov av skyddsåtgärder för att minska föroreningsrisken på platsen föreligger.</t>
        </is>
      </c>
      <c r="M537" t="inlineStr">
        <is>
          <t>SKA</t>
        </is>
      </c>
      <c r="N537" t="inlineStr"/>
      <c r="O537" t="inlineStr"/>
      <c r="P537" t="inlineStr"/>
      <c r="Q537" t="inlineStr"/>
      <c r="R537" t="inlineStr">
        <is>
          <t>Vid nederbord och avrinning</t>
        </is>
      </c>
      <c r="S537" t="inlineStr"/>
      <c r="T537" t="inlineStr">
        <is>
          <t>10 19 09</t>
        </is>
      </c>
      <c r="U537" t="inlineStr"/>
      <c r="V537" t="inlineStr"/>
      <c r="W537" t="inlineStr">
        <is>
          <t>Nej</t>
        </is>
      </c>
      <c r="X537" t="inlineStr">
        <is>
          <t>Ja</t>
        </is>
      </c>
      <c r="Y537" t="inlineStr">
        <is>
          <t>Ja</t>
        </is>
      </c>
      <c r="Z537" t="inlineStr">
        <is>
          <t>Nej</t>
        </is>
      </c>
      <c r="AA537" t="n">
        <v>6</v>
      </c>
      <c r="AB537" t="inlineStr">
        <is>
          <t>Lakvattenhantering</t>
        </is>
      </c>
      <c r="AC537" t="inlineStr">
        <is>
          <t>Flodesschema dagvatten-lakvatten</t>
        </is>
      </c>
      <c r="AD537" t="inlineStr">
        <is>
          <t>Nej</t>
        </is>
      </c>
      <c r="AE537" t="inlineStr">
        <is>
          <t>Nej</t>
        </is>
      </c>
      <c r="AF537" t="inlineStr">
        <is>
          <t>Ej behandlad</t>
        </is>
      </c>
      <c r="AG537" t="inlineStr">
        <is>
          <t>AUTO_GENERERAD. Verifiera citat mot kallfil.</t>
        </is>
      </c>
      <c r="AH537" t="inlineStr">
        <is>
          <t>MEDIUM</t>
        </is>
      </c>
      <c r="AI537" t="inlineStr">
        <is>
          <t>AUTO</t>
        </is>
      </c>
      <c r="AJ537" t="inlineStr">
        <is>
          <t>Nej</t>
        </is>
      </c>
      <c r="AK537" t="inlineStr"/>
      <c r="AL537" t="inlineStr"/>
      <c r="AM537" t="inlineStr"/>
      <c r="AN537" t="inlineStr"/>
      <c r="AO537" t="inlineStr">
        <is>
          <t>cmm4yuqwe040ncuqwqo98vhru</t>
        </is>
      </c>
      <c r="AP537" t="inlineStr">
        <is>
          <t>http://localhost:8787/api/admin/requirements/documents/cmm4yuqwe040ncuqwqo98vhru/view</t>
        </is>
      </c>
      <c r="AQ537">
        <f>HYPERLÄNK("http://localhost:8787/api/admin/requirements/documents/cmm4yuqwe040ncuqwqo98vhru/view";"Öppna PDF")</f>
        <v/>
      </c>
      <c r="AR537">
        <f>HYPERLINK("http://localhost:8787/api/admin/requirements/documents/cmm4yuqwe040ncuqwqo98vhru/view","Open PDF")</f>
        <v/>
      </c>
      <c r="AS537" t="inlineStr">
        <is>
          <t>cmm55w57p0004cuisfrtpqly8</t>
        </is>
      </c>
      <c r="AT537" t="inlineStr">
        <is>
          <t>cmm4xvu980000cuh4vj0usz09</t>
        </is>
      </c>
      <c r="AU537" t="inlineStr">
        <is>
          <t>Hässleholms</t>
        </is>
      </c>
      <c r="AV537" t="inlineStr">
        <is>
          <t>Kommun</t>
        </is>
      </c>
      <c r="AW537" t="inlineStr">
        <is>
          <t>Hässleholms kommun</t>
        </is>
      </c>
      <c r="AX537" t="inlineStr">
        <is>
          <t>2024-877</t>
        </is>
      </c>
      <c r="AY537" t="inlineStr">
        <is>
          <t>Anmalan</t>
        </is>
      </c>
      <c r="AZ537" t="inlineStr">
        <is>
          <t>2026-02-05</t>
        </is>
      </c>
      <c r="BA537" t="inlineStr">
        <is>
          <t>M-2024-877 - Anmälan.pdf</t>
        </is>
      </c>
      <c r="BB537" t="inlineStr">
        <is>
          <t>Sv:  Begäran om utlämnande av allmän handling – Anmälningar och beslut rörande mellanlagring av avfall samt anläggning av ytor</t>
        </is>
      </c>
      <c r="BC537" t="inlineStr">
        <is>
          <t>AUTO</t>
        </is>
      </c>
      <c r="BD537" t="inlineStr"/>
      <c r="BE537" t="inlineStr"/>
      <c r="BF537" t="inlineStr">
        <is>
          <t>AUTO_GENERERAD. Bekrafta metadata mot kallfil.</t>
        </is>
      </c>
      <c r="BG537">
        <f>HYPERLINK("C:\Users\jimmy\Desktop\Examens arbete\Kod\Ny mapp\remix_-copy-of-miljöbeslut.se-portal\M-2024-877 - Anmälan.pdf", "Öppna PDF")</f>
        <v/>
      </c>
    </row>
    <row r="538">
      <c r="A538" t="inlineStr">
        <is>
          <t>KRAV-AUTO-000537</t>
        </is>
      </c>
      <c r="B538" t="inlineStr">
        <is>
          <t>ADMIN-INDEX-2026-02-27-00000000125C043F57453246863FE664CAFE6A3F0700950291EA24F0614FB6ACEDB12BF0E31D00000000010C0000950291EA24F0614FB6ACEDB12BF0E31D00002087A5D70000</t>
        </is>
      </c>
      <c r="C538" t="inlineStr">
        <is>
          <t>cmm4yuqvs0402cuqwvxiuabf4</t>
        </is>
      </c>
      <c r="D538" t="inlineStr">
        <is>
          <t>http://localhost:8787/api/admin/requirements/documents/cmm4yuqvs0402cuqwvxiuabf4/view</t>
        </is>
      </c>
      <c r="E538">
        <f>HYPERLÄNK("http://localhost:8787/api/admin/requirements/documents/cmm4yuqvs0402cuqwvxiuabf4/view";"Öppna PDF")</f>
        <v/>
      </c>
      <c r="F538">
        <f>HYPERLINK("http://localhost:8787/api/admin/requirements/documents/cmm4yuqvs0402cuqwvxiuabf4/view","Open PDF")</f>
        <v/>
      </c>
      <c r="G538" t="inlineStr">
        <is>
          <t>cmm55w57p0004cuisfrtpqly8</t>
        </is>
      </c>
      <c r="H538" t="inlineStr">
        <is>
          <t>Informationskrav</t>
        </is>
      </c>
      <c r="I538" t="inlineStr">
        <is>
          <t>LagringsvolymTid</t>
        </is>
      </c>
      <c r="J538" t="inlineStr">
        <is>
          <t>Maxmangd</t>
        </is>
      </c>
      <c r="K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38" t="inlineStr">
        <is>
          <t>SKA</t>
        </is>
      </c>
      <c r="N538" t="inlineStr"/>
      <c r="O538" t="inlineStr"/>
      <c r="P538" t="inlineStr"/>
      <c r="Q538" t="inlineStr"/>
      <c r="R538" t="inlineStr">
        <is>
          <t>Alltid</t>
        </is>
      </c>
      <c r="S538" t="inlineStr"/>
      <c r="T538" t="inlineStr">
        <is>
          <t>556876</t>
        </is>
      </c>
      <c r="U538" t="n">
        <v>0</v>
      </c>
      <c r="V538" t="inlineStr"/>
      <c r="W538" t="inlineStr">
        <is>
          <t>Nej</t>
        </is>
      </c>
      <c r="X538" t="inlineStr">
        <is>
          <t>Nej</t>
        </is>
      </c>
      <c r="Y538" t="inlineStr">
        <is>
          <t>Nej</t>
        </is>
      </c>
      <c r="Z538" t="inlineStr">
        <is>
          <t>Nej</t>
        </is>
      </c>
      <c r="AA538" t="n">
        <v>4</v>
      </c>
      <c r="AB538" t="inlineStr">
        <is>
          <t>Avfallsmangder och lagringstid</t>
        </is>
      </c>
      <c r="AC538" t="inlineStr">
        <is>
          <t>Avfallsforteckning</t>
        </is>
      </c>
      <c r="AD538" t="inlineStr">
        <is>
          <t>Nej</t>
        </is>
      </c>
      <c r="AE538" t="inlineStr">
        <is>
          <t>Nej</t>
        </is>
      </c>
      <c r="AF538" t="inlineStr">
        <is>
          <t>Ej behandlad</t>
        </is>
      </c>
      <c r="AG538" t="inlineStr">
        <is>
          <t>AUTO_GENERERAD. Verifiera citat mot kallfil.</t>
        </is>
      </c>
      <c r="AH538" t="inlineStr">
        <is>
          <t>MEDIUM</t>
        </is>
      </c>
      <c r="AI538" t="inlineStr">
        <is>
          <t>AUTO</t>
        </is>
      </c>
      <c r="AJ538" t="inlineStr">
        <is>
          <t>Nej</t>
        </is>
      </c>
      <c r="AK538" t="inlineStr"/>
      <c r="AL538" t="inlineStr"/>
      <c r="AM538" t="inlineStr"/>
      <c r="AN538" t="inlineStr"/>
      <c r="AO538" t="inlineStr">
        <is>
          <t>cmm4yuqwe040ncuqwqo98vhru</t>
        </is>
      </c>
      <c r="AP538" t="inlineStr">
        <is>
          <t>http://localhost:8787/api/admin/requirements/documents/cmm4yuqwe040ncuqwqo98vhru/view</t>
        </is>
      </c>
      <c r="AQ538">
        <f>HYPERLÄNK("http://localhost:8787/api/admin/requirements/documents/cmm4yuqwe040ncuqwqo98vhru/view";"Öppna PDF")</f>
        <v/>
      </c>
      <c r="AR538">
        <f>HYPERLINK("http://localhost:8787/api/admin/requirements/documents/cmm4yuqwe040ncuqwqo98vhru/view","Open PDF")</f>
        <v/>
      </c>
      <c r="AS538" t="inlineStr">
        <is>
          <t>cmm55w57p0004cuisfrtpqly8</t>
        </is>
      </c>
      <c r="AT538" t="inlineStr">
        <is>
          <t>cmm4xvu980000cuh4vj0usz09</t>
        </is>
      </c>
      <c r="AU538" t="inlineStr">
        <is>
          <t>Hässleholms</t>
        </is>
      </c>
      <c r="AV538" t="inlineStr">
        <is>
          <t>Kommun</t>
        </is>
      </c>
      <c r="AW538" t="inlineStr">
        <is>
          <t>Hässleholms kommun</t>
        </is>
      </c>
      <c r="AX538" t="inlineStr">
        <is>
          <t>2024-877</t>
        </is>
      </c>
      <c r="AY538" t="inlineStr">
        <is>
          <t>Anmalan</t>
        </is>
      </c>
      <c r="AZ538" t="inlineStr">
        <is>
          <t>2026-02-05</t>
        </is>
      </c>
      <c r="BA538" t="inlineStr">
        <is>
          <t>M-2024-877 - Anmälan.pdf</t>
        </is>
      </c>
      <c r="BB538" t="inlineStr">
        <is>
          <t>Sv:  Begäran om utlämnande av allmän handling – Anmälningar och beslut rörande mellanlagring av avfall samt anläggning av ytor</t>
        </is>
      </c>
      <c r="BC538" t="inlineStr">
        <is>
          <t>AUTO</t>
        </is>
      </c>
      <c r="BD538" t="inlineStr"/>
      <c r="BE538" t="inlineStr"/>
      <c r="BF538" t="inlineStr">
        <is>
          <t>AUTO_GENERERAD. Bekrafta metadata mot kallfil.</t>
        </is>
      </c>
      <c r="BG538">
        <f>HYPERLINK("C:\Users\jimmy\Desktop\Examens arbete\Kod\Ny mapp\remix_-copy-of-miljöbeslut.se-portal\M-2024-877 - Anmälan.pdf", "Öppna PDF")</f>
        <v/>
      </c>
    </row>
    <row r="539">
      <c r="A539" t="inlineStr">
        <is>
          <t>KRAV-AUTO-000538</t>
        </is>
      </c>
      <c r="B539" t="inlineStr">
        <is>
          <t>ADMIN-INDEX-2026-02-27-00000000125C043F57453246863FE664CAFE6A3F0700950291EA24F0614FB6ACEDB12BF0E31D00000000010C0000950291EA24F0614FB6ACEDB12BF0E31D00002087A5D70000</t>
        </is>
      </c>
      <c r="C539" t="inlineStr">
        <is>
          <t>cmm4yuqvs0402cuqwvxiuabf4</t>
        </is>
      </c>
      <c r="D539" t="inlineStr">
        <is>
          <t>http://localhost:8787/api/admin/requirements/documents/cmm4yuqvs0402cuqwvxiuabf4/view</t>
        </is>
      </c>
      <c r="E539">
        <f>HYPERLÄNK("http://localhost:8787/api/admin/requirements/documents/cmm4yuqvs0402cuqwvxiuabf4/view";"Öppna PDF")</f>
        <v/>
      </c>
      <c r="F539">
        <f>HYPERLINK("http://localhost:8787/api/admin/requirements/documents/cmm4yuqvs0402cuqwvxiuabf4/view","Open PDF")</f>
        <v/>
      </c>
      <c r="G539" t="inlineStr">
        <is>
          <t>cmm55w57p0004cuisfrtpqly8</t>
        </is>
      </c>
      <c r="H539" t="inlineStr">
        <is>
          <t>Informationskrav</t>
        </is>
      </c>
      <c r="I539" t="inlineStr">
        <is>
          <t>DagvattenLakvatten</t>
        </is>
      </c>
      <c r="J539" t="inlineStr">
        <is>
          <t>Uppsamling</t>
        </is>
      </c>
      <c r="K539" t="inlineStr">
        <is>
          <t>6 § miljöbalken (SFS 1998:808) krävs en anmälan vid användning av avfall för anläggningsändamål på ett sätt som kan förorena mark, vattenområde eller grundvatten och där föroreningsrisken bedöms som ringa.</t>
        </is>
      </c>
      <c r="L539" t="inlineStr">
        <is>
          <t>6 § miljöbalken (SFS 1998:808) krävs en anmälan vid användning av avfall för anläggningsändamål på ett sätt som kan förorena mark, vattenområde eller grundvatten och där föroreningsrisken bedöms som ringa.</t>
        </is>
      </c>
      <c r="M539" t="inlineStr">
        <is>
          <t>SKA</t>
        </is>
      </c>
      <c r="N539" t="inlineStr">
        <is>
          <t>Miljobalken</t>
        </is>
      </c>
      <c r="O539" t="inlineStr"/>
      <c r="P539" t="inlineStr"/>
      <c r="Q539" t="inlineStr"/>
      <c r="R539" t="inlineStr">
        <is>
          <t>Vid nederbord och avrinning</t>
        </is>
      </c>
      <c r="S539" t="inlineStr"/>
      <c r="T539" t="inlineStr">
        <is>
          <t>556876</t>
        </is>
      </c>
      <c r="U539" t="inlineStr"/>
      <c r="V539" t="inlineStr"/>
      <c r="W539" t="inlineStr">
        <is>
          <t>Nej</t>
        </is>
      </c>
      <c r="X539" t="inlineStr">
        <is>
          <t>Ja</t>
        </is>
      </c>
      <c r="Y539" t="inlineStr">
        <is>
          <t>Ja</t>
        </is>
      </c>
      <c r="Z539" t="inlineStr">
        <is>
          <t>Nej</t>
        </is>
      </c>
      <c r="AA539" t="n">
        <v>6</v>
      </c>
      <c r="AB539" t="inlineStr">
        <is>
          <t>Lakvattenhantering</t>
        </is>
      </c>
      <c r="AC539" t="inlineStr">
        <is>
          <t>Flodesschema dagvatten-lakvatten</t>
        </is>
      </c>
      <c r="AD539" t="inlineStr">
        <is>
          <t>Nej</t>
        </is>
      </c>
      <c r="AE539" t="inlineStr">
        <is>
          <t>Nej</t>
        </is>
      </c>
      <c r="AF539" t="inlineStr">
        <is>
          <t>Ej behandlad</t>
        </is>
      </c>
      <c r="AG539" t="inlineStr">
        <is>
          <t>AUTO_GENERERAD. Verifiera citat mot kallfil.</t>
        </is>
      </c>
      <c r="AH539" t="inlineStr">
        <is>
          <t>HIGH</t>
        </is>
      </c>
      <c r="AI539" t="inlineStr">
        <is>
          <t>AUTO</t>
        </is>
      </c>
      <c r="AJ539" t="inlineStr">
        <is>
          <t>Nej</t>
        </is>
      </c>
      <c r="AK539" t="inlineStr"/>
      <c r="AL539" t="inlineStr"/>
      <c r="AM539" t="inlineStr"/>
      <c r="AN539" t="inlineStr"/>
      <c r="AO539" t="inlineStr">
        <is>
          <t>cmm4yuqwe040ncuqwqo98vhru</t>
        </is>
      </c>
      <c r="AP539" t="inlineStr">
        <is>
          <t>http://localhost:8787/api/admin/requirements/documents/cmm4yuqwe040ncuqwqo98vhru/view</t>
        </is>
      </c>
      <c r="AQ539">
        <f>HYPERLÄNK("http://localhost:8787/api/admin/requirements/documents/cmm4yuqwe040ncuqwqo98vhru/view";"Öppna PDF")</f>
        <v/>
      </c>
      <c r="AR539">
        <f>HYPERLINK("http://localhost:8787/api/admin/requirements/documents/cmm4yuqwe040ncuqwqo98vhru/view","Open PDF")</f>
        <v/>
      </c>
      <c r="AS539" t="inlineStr">
        <is>
          <t>cmm55w57p0004cuisfrtpqly8</t>
        </is>
      </c>
      <c r="AT539" t="inlineStr">
        <is>
          <t>cmm4xvu980000cuh4vj0usz09</t>
        </is>
      </c>
      <c r="AU539" t="inlineStr">
        <is>
          <t>Hässleholms</t>
        </is>
      </c>
      <c r="AV539" t="inlineStr">
        <is>
          <t>Kommun</t>
        </is>
      </c>
      <c r="AW539" t="inlineStr">
        <is>
          <t>Hässleholms kommun</t>
        </is>
      </c>
      <c r="AX539" t="inlineStr">
        <is>
          <t>2024-877</t>
        </is>
      </c>
      <c r="AY539" t="inlineStr">
        <is>
          <t>Anmalan</t>
        </is>
      </c>
      <c r="AZ539" t="inlineStr">
        <is>
          <t>2026-02-05</t>
        </is>
      </c>
      <c r="BA539" t="inlineStr">
        <is>
          <t>M-2024-877 - Anmälan.pdf</t>
        </is>
      </c>
      <c r="BB539" t="inlineStr">
        <is>
          <t>Sv:  Begäran om utlämnande av allmän handling – Anmälningar och beslut rörande mellanlagring av avfall samt anläggning av ytor</t>
        </is>
      </c>
      <c r="BC539" t="inlineStr">
        <is>
          <t>AUTO</t>
        </is>
      </c>
      <c r="BD539" t="inlineStr"/>
      <c r="BE539" t="inlineStr"/>
      <c r="BF539" t="inlineStr">
        <is>
          <t>AUTO_GENERERAD. Bekrafta metadata mot kallfil.</t>
        </is>
      </c>
      <c r="BG539">
        <f>HYPERLINK("C:\Users\jimmy\Desktop\Examens arbete\Kod\Ny mapp\remix_-copy-of-miljöbeslut.se-portal\M-2024-877 - Anmälan.pdf", "Öppna PDF")</f>
        <v/>
      </c>
    </row>
    <row r="540">
      <c r="A540" t="inlineStr">
        <is>
          <t>KRAV-AUTO-000539</t>
        </is>
      </c>
      <c r="B540" t="inlineStr">
        <is>
          <t>ADMIN-INDEX-2026-02-27-00000000125C043F57453246863FE664CAFE6A3F0700950291EA24F0614FB6ACEDB12BF0E31D00000000010C0000950291EA24F0614FB6ACEDB12BF0E31D00002087A5D70000</t>
        </is>
      </c>
      <c r="C540" t="inlineStr">
        <is>
          <t>cmm4yuqvs0402cuqwvxiuabf4</t>
        </is>
      </c>
      <c r="D540" t="inlineStr">
        <is>
          <t>http://localhost:8787/api/admin/requirements/documents/cmm4yuqvs0402cuqwvxiuabf4/view</t>
        </is>
      </c>
      <c r="E540">
        <f>HYPERLÄNK("http://localhost:8787/api/admin/requirements/documents/cmm4yuqvs0402cuqwvxiuabf4/view";"Öppna PDF")</f>
        <v/>
      </c>
      <c r="F540">
        <f>HYPERLINK("http://localhost:8787/api/admin/requirements/documents/cmm4yuqvs0402cuqwvxiuabf4/view","Open PDF")</f>
        <v/>
      </c>
      <c r="G540" t="inlineStr">
        <is>
          <t>cmm55w57p0004cuisfrtpqly8</t>
        </is>
      </c>
      <c r="H540" t="inlineStr">
        <is>
          <t>Informationskrav</t>
        </is>
      </c>
      <c r="I540" t="inlineStr">
        <is>
          <t>MiljopaverkanForsiktighet</t>
        </is>
      </c>
      <c r="J540" t="inlineStr">
        <is>
          <t>Skyddsatgarder</t>
        </is>
      </c>
      <c r="K540" t="inlineStr">
        <is>
          <t>Skalenliga profilskisser av platsen där avfallet ska användas.</t>
        </is>
      </c>
      <c r="L540" t="inlineStr">
        <is>
          <t>Skalenliga profilskisser av platsen där avfallet ska användas.</t>
        </is>
      </c>
      <c r="M540" t="inlineStr">
        <is>
          <t>SKA</t>
        </is>
      </c>
      <c r="N540" t="inlineStr"/>
      <c r="O540" t="inlineStr"/>
      <c r="P540" t="inlineStr"/>
      <c r="Q540" t="inlineStr"/>
      <c r="R540" t="inlineStr">
        <is>
          <t>Alltid</t>
        </is>
      </c>
      <c r="S540" t="inlineStr"/>
      <c r="T540" t="inlineStr">
        <is>
          <t>556876</t>
        </is>
      </c>
      <c r="U540" t="inlineStr"/>
      <c r="V540" t="inlineStr"/>
      <c r="W540" t="inlineStr">
        <is>
          <t>Nej</t>
        </is>
      </c>
      <c r="X540" t="inlineStr">
        <is>
          <t>Nej</t>
        </is>
      </c>
      <c r="Y540" t="inlineStr">
        <is>
          <t>Nej</t>
        </is>
      </c>
      <c r="Z540" t="inlineStr">
        <is>
          <t>Nej</t>
        </is>
      </c>
      <c r="AA540" t="n">
        <v>10</v>
      </c>
      <c r="AB540" t="inlineStr">
        <is>
          <t>Miljopaverkan och forsiktighetsmatt</t>
        </is>
      </c>
      <c r="AC540" t="inlineStr">
        <is>
          <t>Miljo-PM</t>
        </is>
      </c>
      <c r="AD540" t="inlineStr">
        <is>
          <t>Nej</t>
        </is>
      </c>
      <c r="AE540" t="inlineStr">
        <is>
          <t>Nej</t>
        </is>
      </c>
      <c r="AF540" t="inlineStr">
        <is>
          <t>Ej behandlad</t>
        </is>
      </c>
      <c r="AG540" t="inlineStr">
        <is>
          <t>AUTO_GENERERAD. Verifiera citat mot kallfil.</t>
        </is>
      </c>
      <c r="AH540" t="inlineStr">
        <is>
          <t>MEDIUM</t>
        </is>
      </c>
      <c r="AI540" t="inlineStr">
        <is>
          <t>AUTO</t>
        </is>
      </c>
      <c r="AJ540" t="inlineStr">
        <is>
          <t>Nej</t>
        </is>
      </c>
      <c r="AK540" t="inlineStr"/>
      <c r="AL540" t="inlineStr"/>
      <c r="AM540" t="inlineStr"/>
      <c r="AN540" t="inlineStr"/>
      <c r="AO540" t="inlineStr">
        <is>
          <t>cmm4yuqwe040ncuqwqo98vhru</t>
        </is>
      </c>
      <c r="AP540" t="inlineStr">
        <is>
          <t>http://localhost:8787/api/admin/requirements/documents/cmm4yuqwe040ncuqwqo98vhru/view</t>
        </is>
      </c>
      <c r="AQ540">
        <f>HYPERLÄNK("http://localhost:8787/api/admin/requirements/documents/cmm4yuqwe040ncuqwqo98vhru/view";"Öppna PDF")</f>
        <v/>
      </c>
      <c r="AR540">
        <f>HYPERLINK("http://localhost:8787/api/admin/requirements/documents/cmm4yuqwe040ncuqwqo98vhru/view","Open PDF")</f>
        <v/>
      </c>
      <c r="AS540" t="inlineStr">
        <is>
          <t>cmm55w57p0004cuisfrtpqly8</t>
        </is>
      </c>
      <c r="AT540" t="inlineStr">
        <is>
          <t>cmm4xvu980000cuh4vj0usz09</t>
        </is>
      </c>
      <c r="AU540" t="inlineStr">
        <is>
          <t>Hässleholms</t>
        </is>
      </c>
      <c r="AV540" t="inlineStr">
        <is>
          <t>Kommun</t>
        </is>
      </c>
      <c r="AW540" t="inlineStr">
        <is>
          <t>Hässleholms kommun</t>
        </is>
      </c>
      <c r="AX540" t="inlineStr">
        <is>
          <t>2024-877</t>
        </is>
      </c>
      <c r="AY540" t="inlineStr">
        <is>
          <t>Anmalan</t>
        </is>
      </c>
      <c r="AZ540" t="inlineStr">
        <is>
          <t>2026-02-05</t>
        </is>
      </c>
      <c r="BA540" t="inlineStr">
        <is>
          <t>M-2024-877 - Anmälan.pdf</t>
        </is>
      </c>
      <c r="BB540" t="inlineStr">
        <is>
          <t>Sv:  Begäran om utlämnande av allmän handling – Anmälningar och beslut rörande mellanlagring av avfall samt anläggning av ytor</t>
        </is>
      </c>
      <c r="BC540" t="inlineStr">
        <is>
          <t>AUTO</t>
        </is>
      </c>
      <c r="BD540" t="inlineStr"/>
      <c r="BE540" t="inlineStr"/>
      <c r="BF540" t="inlineStr">
        <is>
          <t>AUTO_GENERERAD. Bekrafta metadata mot kallfil.</t>
        </is>
      </c>
      <c r="BG540">
        <f>HYPERLINK("C:\Users\jimmy\Desktop\Examens arbete\Kod\Ny mapp\remix_-copy-of-miljöbeslut.se-portal\M-2024-877 - Anmälan.pdf", "Öppna PDF")</f>
        <v/>
      </c>
    </row>
    <row r="541">
      <c r="A541" t="inlineStr">
        <is>
          <t>KRAV-AUTO-000540</t>
        </is>
      </c>
      <c r="B541" t="inlineStr">
        <is>
          <t>ADMIN-INDEX-2026-02-27-00000000125C043F57453246863FE664CAFE6A3F0700950291EA24F0614FB6ACEDB12BF0E31D00000000010C0000950291EA24F0614FB6ACEDB12BF0E31D00002087A5D80000</t>
        </is>
      </c>
      <c r="C541" t="inlineStr">
        <is>
          <t>cmm4yuqv903zhcuqwlf3gkri8</t>
        </is>
      </c>
      <c r="D541" t="inlineStr">
        <is>
          <t>http://localhost:8787/api/admin/requirements/documents/cmm4yuqv903zhcuqwlf3gkri8/view</t>
        </is>
      </c>
      <c r="E541">
        <f>HYPERLÄNK("http://localhost:8787/api/admin/requirements/documents/cmm4yuqv903zhcuqwlf3gkri8/view";"Öppna PDF")</f>
        <v/>
      </c>
      <c r="F541">
        <f>HYPERLINK("http://localhost:8787/api/admin/requirements/documents/cmm4yuqv903zhcuqwlf3gkri8/view","Open PDF")</f>
        <v/>
      </c>
      <c r="G541" t="inlineStr">
        <is>
          <t>cmm55w57p0004cuisfrtpqly8</t>
        </is>
      </c>
      <c r="H541" t="inlineStr">
        <is>
          <t>Informationskrav</t>
        </is>
      </c>
      <c r="I541" t="inlineStr">
        <is>
          <t>DagvattenLakvatten</t>
        </is>
      </c>
      <c r="J541" t="inlineStr">
        <is>
          <t>Uppsamling</t>
        </is>
      </c>
      <c r="K541" t="inlineStr">
        <is>
          <t>Det uppsamlade materialet kommer sedan grävas upp och placeras i ett väl uppmärkt uppsamlingskärl för att sedan borttransporteras av behörig transportör till för ändamålet godkänd anläggning.</t>
        </is>
      </c>
      <c r="L541" t="inlineStr">
        <is>
          <t>Det uppsamlade materialet kommer sedan grävas upp och placeras i ett väl uppmärkt uppsamlingskärl för att sedan borttransporteras av behörig transportör till för ändamålet godkänd anläggning.</t>
        </is>
      </c>
      <c r="M541" t="inlineStr">
        <is>
          <t>SKA</t>
        </is>
      </c>
      <c r="N541" t="inlineStr"/>
      <c r="O541" t="inlineStr"/>
      <c r="P541" t="inlineStr"/>
      <c r="Q541" t="inlineStr"/>
      <c r="R541" t="inlineStr">
        <is>
          <t>Vid nederbord och avrinning</t>
        </is>
      </c>
      <c r="S541" t="inlineStr"/>
      <c r="T541" t="inlineStr">
        <is>
          <t>10 19 09</t>
        </is>
      </c>
      <c r="U541" t="inlineStr"/>
      <c r="V541" t="inlineStr"/>
      <c r="W541" t="inlineStr">
        <is>
          <t>Nej</t>
        </is>
      </c>
      <c r="X541" t="inlineStr">
        <is>
          <t>Ja</t>
        </is>
      </c>
      <c r="Y541" t="inlineStr">
        <is>
          <t>Ja</t>
        </is>
      </c>
      <c r="Z541" t="inlineStr">
        <is>
          <t>Nej</t>
        </is>
      </c>
      <c r="AA541" t="n">
        <v>6</v>
      </c>
      <c r="AB541" t="inlineStr">
        <is>
          <t>Lakvattenhantering</t>
        </is>
      </c>
      <c r="AC541" t="inlineStr">
        <is>
          <t>Flodesschema dagvatten-lakvatten</t>
        </is>
      </c>
      <c r="AD541" t="inlineStr">
        <is>
          <t>Nej</t>
        </is>
      </c>
      <c r="AE541" t="inlineStr">
        <is>
          <t>Nej</t>
        </is>
      </c>
      <c r="AF541" t="inlineStr">
        <is>
          <t>Ej behandlad</t>
        </is>
      </c>
      <c r="AG541" t="inlineStr">
        <is>
          <t>AUTO_GENERERAD. Verifiera citat mot kallfil.</t>
        </is>
      </c>
      <c r="AH541" t="inlineStr">
        <is>
          <t>MEDIUM</t>
        </is>
      </c>
      <c r="AI541" t="inlineStr">
        <is>
          <t>AUTO</t>
        </is>
      </c>
      <c r="AJ541" t="inlineStr">
        <is>
          <t>Nej</t>
        </is>
      </c>
      <c r="AK541" t="inlineStr"/>
      <c r="AL541" t="inlineStr"/>
      <c r="AM541" t="inlineStr"/>
      <c r="AN541" t="inlineStr"/>
      <c r="AO541" t="inlineStr">
        <is>
          <t>cmm4yuqvk03ztcuqwn64kirb8</t>
        </is>
      </c>
      <c r="AP541" t="inlineStr">
        <is>
          <t>http://localhost:8787/api/admin/requirements/documents/cmm4yuqvk03ztcuqwn64kirb8/view</t>
        </is>
      </c>
      <c r="AQ541">
        <f>HYPERLÄNK("http://localhost:8787/api/admin/requirements/documents/cmm4yuqvk03ztcuqwn64kirb8/view";"Öppna PDF")</f>
        <v/>
      </c>
      <c r="AR541">
        <f>HYPERLINK("http://localhost:8787/api/admin/requirements/documents/cmm4yuqvk03ztcuqwn64kirb8/view","Open PDF")</f>
        <v/>
      </c>
      <c r="AS541" t="inlineStr">
        <is>
          <t>cmm55w57p0004cuisfrtpqly8</t>
        </is>
      </c>
      <c r="AT541" t="inlineStr">
        <is>
          <t>cmm4xvu980000cuh4vj0usz09</t>
        </is>
      </c>
      <c r="AU541" t="inlineStr">
        <is>
          <t>Hässleholms</t>
        </is>
      </c>
      <c r="AV541" t="inlineStr">
        <is>
          <t>Kommun</t>
        </is>
      </c>
      <c r="AW541" t="inlineStr">
        <is>
          <t>Hässleholms kommun</t>
        </is>
      </c>
      <c r="AX541" t="inlineStr">
        <is>
          <t>2024-877</t>
        </is>
      </c>
      <c r="AY541" t="inlineStr">
        <is>
          <t>Anmalan</t>
        </is>
      </c>
      <c r="AZ541" t="inlineStr">
        <is>
          <t>2026-02-05</t>
        </is>
      </c>
      <c r="BA541" t="inlineStr">
        <is>
          <t>M-2024-877 - Anmälan.pdf</t>
        </is>
      </c>
      <c r="BB541" t="inlineStr">
        <is>
          <t>Sv:  Begäran om utlämnande av allmän handling – Anmälningar och beslut rörande mellanlagring av avfall samt anläggning av ytor</t>
        </is>
      </c>
      <c r="BC541" t="inlineStr">
        <is>
          <t>AUTO</t>
        </is>
      </c>
      <c r="BD541" t="inlineStr"/>
      <c r="BE541" t="inlineStr"/>
      <c r="BF541" t="inlineStr">
        <is>
          <t>AUTO_GENERERAD. Bekrafta metadata mot kallfil.</t>
        </is>
      </c>
      <c r="BG541">
        <f>HYPERLINK("C:\Users\jimmy\Desktop\Examens arbete\Kod\Ny mapp\remix_-copy-of-miljöbeslut.se-portal\M-2024-877 - Anmälan.pdf", "Öppna PDF")</f>
        <v/>
      </c>
    </row>
    <row r="542">
      <c r="A542" t="inlineStr">
        <is>
          <t>KRAV-AUTO-000541</t>
        </is>
      </c>
      <c r="B542" t="inlineStr">
        <is>
          <t>ADMIN-INDEX-2026-02-27-00000000125C043F57453246863FE664CAFE6A3F0700950291EA24F0614FB6ACEDB12BF0E31D00000000010C0000950291EA24F0614FB6ACEDB12BF0E31D00002087A5D80000</t>
        </is>
      </c>
      <c r="C542" t="inlineStr">
        <is>
          <t>cmm4yuqv903zhcuqwlf3gkri8</t>
        </is>
      </c>
      <c r="D542" t="inlineStr">
        <is>
          <t>http://localhost:8787/api/admin/requirements/documents/cmm4yuqv903zhcuqwlf3gkri8/view</t>
        </is>
      </c>
      <c r="E542">
        <f>HYPERLÄNK("http://localhost:8787/api/admin/requirements/documents/cmm4yuqv903zhcuqwlf3gkri8/view";"Öppna PDF")</f>
        <v/>
      </c>
      <c r="F542">
        <f>HYPERLINK("http://localhost:8787/api/admin/requirements/documents/cmm4yuqv903zhcuqwlf3gkri8/view","Open PDF")</f>
        <v/>
      </c>
      <c r="G542" t="inlineStr">
        <is>
          <t>cmm55w57p0004cuisfrtpqly8</t>
        </is>
      </c>
      <c r="H542" t="inlineStr">
        <is>
          <t>Informationskrav</t>
        </is>
      </c>
      <c r="I542" t="inlineStr">
        <is>
          <t>LagringsvolymTid</t>
        </is>
      </c>
      <c r="J542" t="inlineStr">
        <is>
          <t>Maxmangd</t>
        </is>
      </c>
      <c r="K542" t="inlineStr">
        <is>
          <t>mer än 1 000 ton per kalenderår och avfallet ska användas för byggnads- eller anläggningsändamål, eller 2.</t>
        </is>
      </c>
      <c r="L542" t="inlineStr">
        <is>
          <t>mer än 1 000 ton per kalenderår och avfallet ska användas för byggnads- eller anläggningsändamål, eller 2.</t>
        </is>
      </c>
      <c r="M542" t="inlineStr">
        <is>
          <t>SKA</t>
        </is>
      </c>
      <c r="N542" t="inlineStr"/>
      <c r="O542" t="inlineStr"/>
      <c r="P542" t="inlineStr"/>
      <c r="Q542" t="inlineStr"/>
      <c r="R542" t="inlineStr">
        <is>
          <t>Alltid</t>
        </is>
      </c>
      <c r="S542" t="inlineStr"/>
      <c r="T542" t="inlineStr">
        <is>
          <t>10 19 09</t>
        </is>
      </c>
      <c r="U542" t="n">
        <v>0</v>
      </c>
      <c r="V542" t="inlineStr"/>
      <c r="W542" t="inlineStr">
        <is>
          <t>Nej</t>
        </is>
      </c>
      <c r="X542" t="inlineStr">
        <is>
          <t>Nej</t>
        </is>
      </c>
      <c r="Y542" t="inlineStr">
        <is>
          <t>Nej</t>
        </is>
      </c>
      <c r="Z542" t="inlineStr">
        <is>
          <t>Nej</t>
        </is>
      </c>
      <c r="AA542" t="n">
        <v>4</v>
      </c>
      <c r="AB542" t="inlineStr">
        <is>
          <t>Avfallsmangder och lagringstid</t>
        </is>
      </c>
      <c r="AC542" t="inlineStr">
        <is>
          <t>Avfallsforteckning</t>
        </is>
      </c>
      <c r="AD542" t="inlineStr">
        <is>
          <t>Nej</t>
        </is>
      </c>
      <c r="AE542" t="inlineStr">
        <is>
          <t>Nej</t>
        </is>
      </c>
      <c r="AF542" t="inlineStr">
        <is>
          <t>Ej behandlad</t>
        </is>
      </c>
      <c r="AG542" t="inlineStr">
        <is>
          <t>AUTO_GENERERAD. Verifiera citat mot kallfil.</t>
        </is>
      </c>
      <c r="AH542" t="inlineStr">
        <is>
          <t>MEDIUM</t>
        </is>
      </c>
      <c r="AI542" t="inlineStr">
        <is>
          <t>AUTO</t>
        </is>
      </c>
      <c r="AJ542" t="inlineStr">
        <is>
          <t>Nej</t>
        </is>
      </c>
      <c r="AK542" t="inlineStr"/>
      <c r="AL542" t="inlineStr"/>
      <c r="AM542" t="inlineStr"/>
      <c r="AN542" t="inlineStr"/>
      <c r="AO542" t="inlineStr">
        <is>
          <t>cmm4yuqvk03ztcuqwn64kirb8</t>
        </is>
      </c>
      <c r="AP542" t="inlineStr">
        <is>
          <t>http://localhost:8787/api/admin/requirements/documents/cmm4yuqvk03ztcuqwn64kirb8/view</t>
        </is>
      </c>
      <c r="AQ542">
        <f>HYPERLÄNK("http://localhost:8787/api/admin/requirements/documents/cmm4yuqvk03ztcuqwn64kirb8/view";"Öppna PDF")</f>
        <v/>
      </c>
      <c r="AR542">
        <f>HYPERLINK("http://localhost:8787/api/admin/requirements/documents/cmm4yuqvk03ztcuqwn64kirb8/view","Open PDF")</f>
        <v/>
      </c>
      <c r="AS542" t="inlineStr">
        <is>
          <t>cmm55w57p0004cuisfrtpqly8</t>
        </is>
      </c>
      <c r="AT542" t="inlineStr">
        <is>
          <t>cmm4xvu980000cuh4vj0usz09</t>
        </is>
      </c>
      <c r="AU542" t="inlineStr">
        <is>
          <t>Hässleholms</t>
        </is>
      </c>
      <c r="AV542" t="inlineStr">
        <is>
          <t>Kommun</t>
        </is>
      </c>
      <c r="AW542" t="inlineStr">
        <is>
          <t>Hässleholms kommun</t>
        </is>
      </c>
      <c r="AX542" t="inlineStr">
        <is>
          <t>2024-877</t>
        </is>
      </c>
      <c r="AY542" t="inlineStr">
        <is>
          <t>Anmalan</t>
        </is>
      </c>
      <c r="AZ542" t="inlineStr">
        <is>
          <t>2026-02-05</t>
        </is>
      </c>
      <c r="BA542" t="inlineStr">
        <is>
          <t>M-2024-877 - Anmälan.pdf</t>
        </is>
      </c>
      <c r="BB542" t="inlineStr">
        <is>
          <t>Sv:  Begäran om utlämnande av allmän handling – Anmälningar och beslut rörande mellanlagring av avfall samt anläggning av ytor</t>
        </is>
      </c>
      <c r="BC542" t="inlineStr">
        <is>
          <t>AUTO</t>
        </is>
      </c>
      <c r="BD542" t="inlineStr"/>
      <c r="BE542" t="inlineStr"/>
      <c r="BF542" t="inlineStr">
        <is>
          <t>AUTO_GENERERAD. Bekrafta metadata mot kallfil.</t>
        </is>
      </c>
      <c r="BG542">
        <f>HYPERLINK("C:\Users\jimmy\Desktop\Examens arbete\Kod\Ny mapp\remix_-copy-of-miljöbeslut.se-portal\M-2024-877 - Anmälan.pdf", "Öppna PDF")</f>
        <v/>
      </c>
    </row>
    <row r="543">
      <c r="A543" t="inlineStr">
        <is>
          <t>KRAV-AUTO-000542</t>
        </is>
      </c>
      <c r="B543" t="inlineStr">
        <is>
          <t>ADMIN-INDEX-2026-02-27-00000000125C043F57453246863FE664CAFE6A3F0700950291EA24F0614FB6ACEDB12BF0E31D00000000010C0000950291EA24F0614FB6ACEDB12BF0E31D00002087A5D80000</t>
        </is>
      </c>
      <c r="C543" t="inlineStr">
        <is>
          <t>cmm4yuqv903zhcuqwlf3gkri8</t>
        </is>
      </c>
      <c r="D543" t="inlineStr">
        <is>
          <t>http://localhost:8787/api/admin/requirements/documents/cmm4yuqv903zhcuqwlf3gkri8/view</t>
        </is>
      </c>
      <c r="E543">
        <f>HYPERLÄNK("http://localhost:8787/api/admin/requirements/documents/cmm4yuqv903zhcuqwlf3gkri8/view";"Öppna PDF")</f>
        <v/>
      </c>
      <c r="F543">
        <f>HYPERLINK("http://localhost:8787/api/admin/requirements/documents/cmm4yuqv903zhcuqwlf3gkri8/view","Open PDF")</f>
        <v/>
      </c>
      <c r="G543" t="inlineStr">
        <is>
          <t>cmm55w57p0004cuisfrtpqly8</t>
        </is>
      </c>
      <c r="H543" t="inlineStr">
        <is>
          <t>Informationskrav</t>
        </is>
      </c>
      <c r="I543" t="inlineStr">
        <is>
          <t>DagvattenLakvatten</t>
        </is>
      </c>
      <c r="J543" t="inlineStr">
        <is>
          <t>Uppsamling</t>
        </is>
      </c>
      <c r="K543" t="inlineStr">
        <is>
          <t>Inga behov av skyddsåtgärder för att minska föroreningsrisken på platsen föreligger.</t>
        </is>
      </c>
      <c r="L543" t="inlineStr">
        <is>
          <t>Inga behov av skyddsåtgärder för att minska föroreningsrisken på platsen föreligger.</t>
        </is>
      </c>
      <c r="M543" t="inlineStr">
        <is>
          <t>SKA</t>
        </is>
      </c>
      <c r="N543" t="inlineStr"/>
      <c r="O543" t="inlineStr"/>
      <c r="P543" t="inlineStr"/>
      <c r="Q543" t="inlineStr"/>
      <c r="R543" t="inlineStr">
        <is>
          <t>Vid nederbord och avrinning</t>
        </is>
      </c>
      <c r="S543" t="inlineStr"/>
      <c r="T543" t="inlineStr">
        <is>
          <t>10 19 09</t>
        </is>
      </c>
      <c r="U543" t="inlineStr"/>
      <c r="V543" t="inlineStr"/>
      <c r="W543" t="inlineStr">
        <is>
          <t>Nej</t>
        </is>
      </c>
      <c r="X543" t="inlineStr">
        <is>
          <t>Ja</t>
        </is>
      </c>
      <c r="Y543" t="inlineStr">
        <is>
          <t>Ja</t>
        </is>
      </c>
      <c r="Z543" t="inlineStr">
        <is>
          <t>Nej</t>
        </is>
      </c>
      <c r="AA543" t="n">
        <v>6</v>
      </c>
      <c r="AB543" t="inlineStr">
        <is>
          <t>Lakvattenhantering</t>
        </is>
      </c>
      <c r="AC543" t="inlineStr">
        <is>
          <t>Flodesschema dagvatten-lakvatten</t>
        </is>
      </c>
      <c r="AD543" t="inlineStr">
        <is>
          <t>Nej</t>
        </is>
      </c>
      <c r="AE543" t="inlineStr">
        <is>
          <t>Nej</t>
        </is>
      </c>
      <c r="AF543" t="inlineStr">
        <is>
          <t>Ej behandlad</t>
        </is>
      </c>
      <c r="AG543" t="inlineStr">
        <is>
          <t>AUTO_GENERERAD. Verifiera citat mot kallfil.</t>
        </is>
      </c>
      <c r="AH543" t="inlineStr">
        <is>
          <t>MEDIUM</t>
        </is>
      </c>
      <c r="AI543" t="inlineStr">
        <is>
          <t>AUTO</t>
        </is>
      </c>
      <c r="AJ543" t="inlineStr">
        <is>
          <t>Nej</t>
        </is>
      </c>
      <c r="AK543" t="inlineStr"/>
      <c r="AL543" t="inlineStr"/>
      <c r="AM543" t="inlineStr"/>
      <c r="AN543" t="inlineStr"/>
      <c r="AO543" t="inlineStr">
        <is>
          <t>cmm4yuqvk03ztcuqwn64kirb8</t>
        </is>
      </c>
      <c r="AP543" t="inlineStr">
        <is>
          <t>http://localhost:8787/api/admin/requirements/documents/cmm4yuqvk03ztcuqwn64kirb8/view</t>
        </is>
      </c>
      <c r="AQ543">
        <f>HYPERLÄNK("http://localhost:8787/api/admin/requirements/documents/cmm4yuqvk03ztcuqwn64kirb8/view";"Öppna PDF")</f>
        <v/>
      </c>
      <c r="AR543">
        <f>HYPERLINK("http://localhost:8787/api/admin/requirements/documents/cmm4yuqvk03ztcuqwn64kirb8/view","Open PDF")</f>
        <v/>
      </c>
      <c r="AS543" t="inlineStr">
        <is>
          <t>cmm55w57p0004cuisfrtpqly8</t>
        </is>
      </c>
      <c r="AT543" t="inlineStr">
        <is>
          <t>cmm4xvu980000cuh4vj0usz09</t>
        </is>
      </c>
      <c r="AU543" t="inlineStr">
        <is>
          <t>Hässleholms</t>
        </is>
      </c>
      <c r="AV543" t="inlineStr">
        <is>
          <t>Kommun</t>
        </is>
      </c>
      <c r="AW543" t="inlineStr">
        <is>
          <t>Hässleholms kommun</t>
        </is>
      </c>
      <c r="AX543" t="inlineStr">
        <is>
          <t>2024-877</t>
        </is>
      </c>
      <c r="AY543" t="inlineStr">
        <is>
          <t>Anmalan</t>
        </is>
      </c>
      <c r="AZ543" t="inlineStr">
        <is>
          <t>2026-02-05</t>
        </is>
      </c>
      <c r="BA543" t="inlineStr">
        <is>
          <t>M-2024-877 - Anmälan.pdf</t>
        </is>
      </c>
      <c r="BB543" t="inlineStr">
        <is>
          <t>Sv:  Begäran om utlämnande av allmän handling – Anmälningar och beslut rörande mellanlagring av avfall samt anläggning av ytor</t>
        </is>
      </c>
      <c r="BC543" t="inlineStr">
        <is>
          <t>AUTO</t>
        </is>
      </c>
      <c r="BD543" t="inlineStr"/>
      <c r="BE543" t="inlineStr"/>
      <c r="BF543" t="inlineStr">
        <is>
          <t>AUTO_GENERERAD. Bekrafta metadata mot kallfil.</t>
        </is>
      </c>
      <c r="BG543">
        <f>HYPERLINK("C:\Users\jimmy\Desktop\Examens arbete\Kod\Ny mapp\remix_-copy-of-miljöbeslut.se-portal\M-2024-877 - Anmälan.pdf", "Öppna PDF")</f>
        <v/>
      </c>
    </row>
    <row r="544">
      <c r="A544" t="inlineStr">
        <is>
          <t>KRAV-AUTO-000543</t>
        </is>
      </c>
      <c r="B544" t="inlineStr">
        <is>
          <t>ADMIN-INDEX-2026-02-27-00000000125C043F57453246863FE664CAFE6A3F0700950291EA24F0614FB6ACEDB12BF0E31D00000000010C0000950291EA24F0614FB6ACEDB12BF0E31D00002087A5D80000</t>
        </is>
      </c>
      <c r="C544" t="inlineStr">
        <is>
          <t>cmm4yuquz03z8cuqwmz6iukej</t>
        </is>
      </c>
      <c r="D544" t="inlineStr">
        <is>
          <t>http://localhost:8787/api/admin/requirements/documents/cmm4yuquz03z8cuqwmz6iukej/view</t>
        </is>
      </c>
      <c r="E544">
        <f>HYPERLÄNK("http://localhost:8787/api/admin/requirements/documents/cmm4yuquz03z8cuqwmz6iukej/view";"Öppna PDF")</f>
        <v/>
      </c>
      <c r="F544">
        <f>HYPERLINK("http://localhost:8787/api/admin/requirements/documents/cmm4yuquz03z8cuqwmz6iukej/view","Open PDF")</f>
        <v/>
      </c>
      <c r="G544" t="inlineStr">
        <is>
          <t>cmm55w57p0004cuisfrtpqly8</t>
        </is>
      </c>
      <c r="H544" t="inlineStr">
        <is>
          <t>Informationskrav</t>
        </is>
      </c>
      <c r="I544" t="inlineStr">
        <is>
          <t>LagringsvolymTid</t>
        </is>
      </c>
      <c r="J544" t="inlineStr">
        <is>
          <t>Maxmangd</t>
        </is>
      </c>
      <c r="K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44" t="inlineStr">
        <is>
          <t>SKA</t>
        </is>
      </c>
      <c r="N544" t="inlineStr"/>
      <c r="O544" t="inlineStr"/>
      <c r="P544" t="inlineStr"/>
      <c r="Q544" t="inlineStr"/>
      <c r="R544" t="inlineStr">
        <is>
          <t>Alltid</t>
        </is>
      </c>
      <c r="S544" t="inlineStr"/>
      <c r="T544" t="inlineStr">
        <is>
          <t>556876</t>
        </is>
      </c>
      <c r="U544" t="n">
        <v>0</v>
      </c>
      <c r="V544" t="inlineStr"/>
      <c r="W544" t="inlineStr">
        <is>
          <t>Nej</t>
        </is>
      </c>
      <c r="X544" t="inlineStr">
        <is>
          <t>Nej</t>
        </is>
      </c>
      <c r="Y544" t="inlineStr">
        <is>
          <t>Nej</t>
        </is>
      </c>
      <c r="Z544" t="inlineStr">
        <is>
          <t>Nej</t>
        </is>
      </c>
      <c r="AA544" t="n">
        <v>4</v>
      </c>
      <c r="AB544" t="inlineStr">
        <is>
          <t>Avfallsmangder och lagringstid</t>
        </is>
      </c>
      <c r="AC544" t="inlineStr">
        <is>
          <t>Avfallsforteckning</t>
        </is>
      </c>
      <c r="AD544" t="inlineStr">
        <is>
          <t>Nej</t>
        </is>
      </c>
      <c r="AE544" t="inlineStr">
        <is>
          <t>Nej</t>
        </is>
      </c>
      <c r="AF544" t="inlineStr">
        <is>
          <t>Ej behandlad</t>
        </is>
      </c>
      <c r="AG544" t="inlineStr">
        <is>
          <t>AUTO_GENERERAD. Verifiera citat mot kallfil.</t>
        </is>
      </c>
      <c r="AH544" t="inlineStr">
        <is>
          <t>MEDIUM</t>
        </is>
      </c>
      <c r="AI544" t="inlineStr">
        <is>
          <t>AUTO</t>
        </is>
      </c>
      <c r="AJ544" t="inlineStr">
        <is>
          <t>Nej</t>
        </is>
      </c>
      <c r="AK544" t="inlineStr"/>
      <c r="AL544" t="inlineStr"/>
      <c r="AM544" t="inlineStr"/>
      <c r="AN544" t="inlineStr"/>
      <c r="AO544" t="inlineStr">
        <is>
          <t>cmm4yuqvk03ztcuqwn64kirb8</t>
        </is>
      </c>
      <c r="AP544" t="inlineStr">
        <is>
          <t>http://localhost:8787/api/admin/requirements/documents/cmm4yuqvk03ztcuqwn64kirb8/view</t>
        </is>
      </c>
      <c r="AQ544">
        <f>HYPERLÄNK("http://localhost:8787/api/admin/requirements/documents/cmm4yuqvk03ztcuqwn64kirb8/view";"Öppna PDF")</f>
        <v/>
      </c>
      <c r="AR544">
        <f>HYPERLINK("http://localhost:8787/api/admin/requirements/documents/cmm4yuqvk03ztcuqwn64kirb8/view","Open PDF")</f>
        <v/>
      </c>
      <c r="AS544" t="inlineStr">
        <is>
          <t>cmm55w57p0004cuisfrtpqly8</t>
        </is>
      </c>
      <c r="AT544" t="inlineStr">
        <is>
          <t>cmm4xvu980000cuh4vj0usz09</t>
        </is>
      </c>
      <c r="AU544" t="inlineStr">
        <is>
          <t>Hässleholms</t>
        </is>
      </c>
      <c r="AV544" t="inlineStr">
        <is>
          <t>Kommun</t>
        </is>
      </c>
      <c r="AW544" t="inlineStr">
        <is>
          <t>Hässleholms kommun</t>
        </is>
      </c>
      <c r="AX544" t="inlineStr">
        <is>
          <t>2024-877</t>
        </is>
      </c>
      <c r="AY544" t="inlineStr">
        <is>
          <t>Anmalan</t>
        </is>
      </c>
      <c r="AZ544" t="inlineStr">
        <is>
          <t>2026-02-05</t>
        </is>
      </c>
      <c r="BA544" t="inlineStr">
        <is>
          <t>M-2024-877 - Anmälan.pdf</t>
        </is>
      </c>
      <c r="BB544" t="inlineStr">
        <is>
          <t>Sv:  Begäran om utlämnande av allmän handling – Anmälningar och beslut rörande mellanlagring av avfall samt anläggning av ytor</t>
        </is>
      </c>
      <c r="BC544" t="inlineStr">
        <is>
          <t>AUTO</t>
        </is>
      </c>
      <c r="BD544" t="inlineStr"/>
      <c r="BE544" t="inlineStr"/>
      <c r="BF544" t="inlineStr">
        <is>
          <t>AUTO_GENERERAD. Bekrafta metadata mot kallfil.</t>
        </is>
      </c>
      <c r="BG544">
        <f>HYPERLINK("C:\Users\jimmy\Desktop\Examens arbete\Kod\Ny mapp\remix_-copy-of-miljöbeslut.se-portal\M-2024-877 - Anmälan.pdf", "Öppna PDF")</f>
        <v/>
      </c>
    </row>
    <row r="545">
      <c r="A545" t="inlineStr">
        <is>
          <t>KRAV-AUTO-000544</t>
        </is>
      </c>
      <c r="B545" t="inlineStr">
        <is>
          <t>ADMIN-INDEX-2026-02-27-00000000125C043F57453246863FE664CAFE6A3F0700950291EA24F0614FB6ACEDB12BF0E31D00000000010C0000950291EA24F0614FB6ACEDB12BF0E31D00002087A5D80000</t>
        </is>
      </c>
      <c r="C545" t="inlineStr">
        <is>
          <t>cmm4yuquz03z8cuqwmz6iukej</t>
        </is>
      </c>
      <c r="D545" t="inlineStr">
        <is>
          <t>http://localhost:8787/api/admin/requirements/documents/cmm4yuquz03z8cuqwmz6iukej/view</t>
        </is>
      </c>
      <c r="E545">
        <f>HYPERLÄNK("http://localhost:8787/api/admin/requirements/documents/cmm4yuquz03z8cuqwmz6iukej/view";"Öppna PDF")</f>
        <v/>
      </c>
      <c r="F545">
        <f>HYPERLINK("http://localhost:8787/api/admin/requirements/documents/cmm4yuquz03z8cuqwmz6iukej/view","Open PDF")</f>
        <v/>
      </c>
      <c r="G545" t="inlineStr">
        <is>
          <t>cmm55w57p0004cuisfrtpqly8</t>
        </is>
      </c>
      <c r="H545" t="inlineStr">
        <is>
          <t>Informationskrav</t>
        </is>
      </c>
      <c r="I545" t="inlineStr">
        <is>
          <t>DagvattenLakvatten</t>
        </is>
      </c>
      <c r="J545" t="inlineStr">
        <is>
          <t>Uppsamling</t>
        </is>
      </c>
      <c r="K545" t="inlineStr">
        <is>
          <t>6 § miljöbalken (SFS 1998:808) krävs en anmälan vid användning av avfall för anläggningsändamål på ett sätt som kan förorena mark, vattenområde eller grundvatten och där föroreningsrisken bedöms som ringa.</t>
        </is>
      </c>
      <c r="L545" t="inlineStr">
        <is>
          <t>6 § miljöbalken (SFS 1998:808) krävs en anmälan vid användning av avfall för anläggningsändamål på ett sätt som kan förorena mark, vattenområde eller grundvatten och där föroreningsrisken bedöms som ringa.</t>
        </is>
      </c>
      <c r="M545" t="inlineStr">
        <is>
          <t>SKA</t>
        </is>
      </c>
      <c r="N545" t="inlineStr">
        <is>
          <t>Miljobalken</t>
        </is>
      </c>
      <c r="O545" t="inlineStr"/>
      <c r="P545" t="inlineStr"/>
      <c r="Q545" t="inlineStr"/>
      <c r="R545" t="inlineStr">
        <is>
          <t>Vid nederbord och avrinning</t>
        </is>
      </c>
      <c r="S545" t="inlineStr"/>
      <c r="T545" t="inlineStr">
        <is>
          <t>556876</t>
        </is>
      </c>
      <c r="U545" t="inlineStr"/>
      <c r="V545" t="inlineStr"/>
      <c r="W545" t="inlineStr">
        <is>
          <t>Nej</t>
        </is>
      </c>
      <c r="X545" t="inlineStr">
        <is>
          <t>Ja</t>
        </is>
      </c>
      <c r="Y545" t="inlineStr">
        <is>
          <t>Ja</t>
        </is>
      </c>
      <c r="Z545" t="inlineStr">
        <is>
          <t>Nej</t>
        </is>
      </c>
      <c r="AA545" t="n">
        <v>6</v>
      </c>
      <c r="AB545" t="inlineStr">
        <is>
          <t>Lakvattenhantering</t>
        </is>
      </c>
      <c r="AC545" t="inlineStr">
        <is>
          <t>Flodesschema dagvatten-lakvatten</t>
        </is>
      </c>
      <c r="AD545" t="inlineStr">
        <is>
          <t>Nej</t>
        </is>
      </c>
      <c r="AE545" t="inlineStr">
        <is>
          <t>Nej</t>
        </is>
      </c>
      <c r="AF545" t="inlineStr">
        <is>
          <t>Ej behandlad</t>
        </is>
      </c>
      <c r="AG545" t="inlineStr">
        <is>
          <t>AUTO_GENERERAD. Verifiera citat mot kallfil.</t>
        </is>
      </c>
      <c r="AH545" t="inlineStr">
        <is>
          <t>HIGH</t>
        </is>
      </c>
      <c r="AI545" t="inlineStr">
        <is>
          <t>AUTO</t>
        </is>
      </c>
      <c r="AJ545" t="inlineStr">
        <is>
          <t>Nej</t>
        </is>
      </c>
      <c r="AK545" t="inlineStr"/>
      <c r="AL545" t="inlineStr"/>
      <c r="AM545" t="inlineStr"/>
      <c r="AN545" t="inlineStr"/>
      <c r="AO545" t="inlineStr">
        <is>
          <t>cmm4yuqvk03ztcuqwn64kirb8</t>
        </is>
      </c>
      <c r="AP545" t="inlineStr">
        <is>
          <t>http://localhost:8787/api/admin/requirements/documents/cmm4yuqvk03ztcuqwn64kirb8/view</t>
        </is>
      </c>
      <c r="AQ545">
        <f>HYPERLÄNK("http://localhost:8787/api/admin/requirements/documents/cmm4yuqvk03ztcuqwn64kirb8/view";"Öppna PDF")</f>
        <v/>
      </c>
      <c r="AR545">
        <f>HYPERLINK("http://localhost:8787/api/admin/requirements/documents/cmm4yuqvk03ztcuqwn64kirb8/view","Open PDF")</f>
        <v/>
      </c>
      <c r="AS545" t="inlineStr">
        <is>
          <t>cmm55w57p0004cuisfrtpqly8</t>
        </is>
      </c>
      <c r="AT545" t="inlineStr">
        <is>
          <t>cmm4xvu980000cuh4vj0usz09</t>
        </is>
      </c>
      <c r="AU545" t="inlineStr">
        <is>
          <t>Hässleholms</t>
        </is>
      </c>
      <c r="AV545" t="inlineStr">
        <is>
          <t>Kommun</t>
        </is>
      </c>
      <c r="AW545" t="inlineStr">
        <is>
          <t>Hässleholms kommun</t>
        </is>
      </c>
      <c r="AX545" t="inlineStr">
        <is>
          <t>2024-877</t>
        </is>
      </c>
      <c r="AY545" t="inlineStr">
        <is>
          <t>Anmalan</t>
        </is>
      </c>
      <c r="AZ545" t="inlineStr">
        <is>
          <t>2026-02-05</t>
        </is>
      </c>
      <c r="BA545" t="inlineStr">
        <is>
          <t>M-2024-877 - Anmälan.pdf</t>
        </is>
      </c>
      <c r="BB545" t="inlineStr">
        <is>
          <t>Sv:  Begäran om utlämnande av allmän handling – Anmälningar och beslut rörande mellanlagring av avfall samt anläggning av ytor</t>
        </is>
      </c>
      <c r="BC545" t="inlineStr">
        <is>
          <t>AUTO</t>
        </is>
      </c>
      <c r="BD545" t="inlineStr"/>
      <c r="BE545" t="inlineStr"/>
      <c r="BF545" t="inlineStr">
        <is>
          <t>AUTO_GENERERAD. Bekrafta metadata mot kallfil.</t>
        </is>
      </c>
      <c r="BG545">
        <f>HYPERLINK("C:\Users\jimmy\Desktop\Examens arbete\Kod\Ny mapp\remix_-copy-of-miljöbeslut.se-portal\M-2024-877 - Anmälan.pdf", "Öppna PDF")</f>
        <v/>
      </c>
    </row>
    <row r="546">
      <c r="A546" t="inlineStr">
        <is>
          <t>KRAV-AUTO-000545</t>
        </is>
      </c>
      <c r="B546" t="inlineStr">
        <is>
          <t>ADMIN-INDEX-2026-02-27-00000000125C043F57453246863FE664CAFE6A3F0700950291EA24F0614FB6ACEDB12BF0E31D00000000010C0000950291EA24F0614FB6ACEDB12BF0E31D00002087A5D80000</t>
        </is>
      </c>
      <c r="C546" t="inlineStr">
        <is>
          <t>cmm4yuquz03z8cuqwmz6iukej</t>
        </is>
      </c>
      <c r="D546" t="inlineStr">
        <is>
          <t>http://localhost:8787/api/admin/requirements/documents/cmm4yuquz03z8cuqwmz6iukej/view</t>
        </is>
      </c>
      <c r="E546">
        <f>HYPERLÄNK("http://localhost:8787/api/admin/requirements/documents/cmm4yuquz03z8cuqwmz6iukej/view";"Öppna PDF")</f>
        <v/>
      </c>
      <c r="F546">
        <f>HYPERLINK("http://localhost:8787/api/admin/requirements/documents/cmm4yuquz03z8cuqwmz6iukej/view","Open PDF")</f>
        <v/>
      </c>
      <c r="G546" t="inlineStr">
        <is>
          <t>cmm55w57p0004cuisfrtpqly8</t>
        </is>
      </c>
      <c r="H546" t="inlineStr">
        <is>
          <t>Informationskrav</t>
        </is>
      </c>
      <c r="I546" t="inlineStr">
        <is>
          <t>MiljopaverkanForsiktighet</t>
        </is>
      </c>
      <c r="J546" t="inlineStr">
        <is>
          <t>Skyddsatgarder</t>
        </is>
      </c>
      <c r="K546" t="inlineStr">
        <is>
          <t>Skalenliga profilskisser av platsen där avfallet ska användas.</t>
        </is>
      </c>
      <c r="L546" t="inlineStr">
        <is>
          <t>Skalenliga profilskisser av platsen där avfallet ska användas.</t>
        </is>
      </c>
      <c r="M546" t="inlineStr">
        <is>
          <t>SKA</t>
        </is>
      </c>
      <c r="N546" t="inlineStr"/>
      <c r="O546" t="inlineStr"/>
      <c r="P546" t="inlineStr"/>
      <c r="Q546" t="inlineStr"/>
      <c r="R546" t="inlineStr">
        <is>
          <t>Alltid</t>
        </is>
      </c>
      <c r="S546" t="inlineStr"/>
      <c r="T546" t="inlineStr">
        <is>
          <t>556876</t>
        </is>
      </c>
      <c r="U546" t="inlineStr"/>
      <c r="V546" t="inlineStr"/>
      <c r="W546" t="inlineStr">
        <is>
          <t>Nej</t>
        </is>
      </c>
      <c r="X546" t="inlineStr">
        <is>
          <t>Nej</t>
        </is>
      </c>
      <c r="Y546" t="inlineStr">
        <is>
          <t>Nej</t>
        </is>
      </c>
      <c r="Z546" t="inlineStr">
        <is>
          <t>Nej</t>
        </is>
      </c>
      <c r="AA546" t="n">
        <v>10</v>
      </c>
      <c r="AB546" t="inlineStr">
        <is>
          <t>Miljopaverkan och forsiktighetsmatt</t>
        </is>
      </c>
      <c r="AC546" t="inlineStr">
        <is>
          <t>Miljo-PM</t>
        </is>
      </c>
      <c r="AD546" t="inlineStr">
        <is>
          <t>Nej</t>
        </is>
      </c>
      <c r="AE546" t="inlineStr">
        <is>
          <t>Nej</t>
        </is>
      </c>
      <c r="AF546" t="inlineStr">
        <is>
          <t>Ej behandlad</t>
        </is>
      </c>
      <c r="AG546" t="inlineStr">
        <is>
          <t>AUTO_GENERERAD. Verifiera citat mot kallfil.</t>
        </is>
      </c>
      <c r="AH546" t="inlineStr">
        <is>
          <t>MEDIUM</t>
        </is>
      </c>
      <c r="AI546" t="inlineStr">
        <is>
          <t>AUTO</t>
        </is>
      </c>
      <c r="AJ546" t="inlineStr">
        <is>
          <t>Nej</t>
        </is>
      </c>
      <c r="AK546" t="inlineStr"/>
      <c r="AL546" t="inlineStr"/>
      <c r="AM546" t="inlineStr"/>
      <c r="AN546" t="inlineStr"/>
      <c r="AO546" t="inlineStr">
        <is>
          <t>cmm4yuqvk03ztcuqwn64kirb8</t>
        </is>
      </c>
      <c r="AP546" t="inlineStr">
        <is>
          <t>http://localhost:8787/api/admin/requirements/documents/cmm4yuqvk03ztcuqwn64kirb8/view</t>
        </is>
      </c>
      <c r="AQ546">
        <f>HYPERLÄNK("http://localhost:8787/api/admin/requirements/documents/cmm4yuqvk03ztcuqwn64kirb8/view";"Öppna PDF")</f>
        <v/>
      </c>
      <c r="AR546">
        <f>HYPERLINK("http://localhost:8787/api/admin/requirements/documents/cmm4yuqvk03ztcuqwn64kirb8/view","Open PDF")</f>
        <v/>
      </c>
      <c r="AS546" t="inlineStr">
        <is>
          <t>cmm55w57p0004cuisfrtpqly8</t>
        </is>
      </c>
      <c r="AT546" t="inlineStr">
        <is>
          <t>cmm4xvu980000cuh4vj0usz09</t>
        </is>
      </c>
      <c r="AU546" t="inlineStr">
        <is>
          <t>Hässleholms</t>
        </is>
      </c>
      <c r="AV546" t="inlineStr">
        <is>
          <t>Kommun</t>
        </is>
      </c>
      <c r="AW546" t="inlineStr">
        <is>
          <t>Hässleholms kommun</t>
        </is>
      </c>
      <c r="AX546" t="inlineStr">
        <is>
          <t>2024-877</t>
        </is>
      </c>
      <c r="AY546" t="inlineStr">
        <is>
          <t>Anmalan</t>
        </is>
      </c>
      <c r="AZ546" t="inlineStr">
        <is>
          <t>2026-02-05</t>
        </is>
      </c>
      <c r="BA546" t="inlineStr">
        <is>
          <t>M-2024-877 - Anmälan.pdf</t>
        </is>
      </c>
      <c r="BB546" t="inlineStr">
        <is>
          <t>Sv:  Begäran om utlämnande av allmän handling – Anmälningar och beslut rörande mellanlagring av avfall samt anläggning av ytor</t>
        </is>
      </c>
      <c r="BC546" t="inlineStr">
        <is>
          <t>AUTO</t>
        </is>
      </c>
      <c r="BD546" t="inlineStr"/>
      <c r="BE546" t="inlineStr"/>
      <c r="BF546" t="inlineStr">
        <is>
          <t>AUTO_GENERERAD. Bekrafta metadata mot kallfil.</t>
        </is>
      </c>
      <c r="BG546">
        <f>HYPERLINK("C:\Users\jimmy\Desktop\Examens arbete\Kod\Ny mapp\remix_-copy-of-miljöbeslut.se-portal\M-2024-877 - Anmälan.pdf", "Öppna PDF")</f>
        <v/>
      </c>
    </row>
    <row r="547">
      <c r="A547" t="inlineStr">
        <is>
          <t>KRAV-AUTO-000546</t>
        </is>
      </c>
      <c r="B547" t="inlineStr">
        <is>
          <t>ADMIN-INDEX-2026-02-27-00000000125C043F57453246863FE664CAFE6A3F0700950291EA24F0614FB6ACEDB12BF0E31D00000000010C0000950291EA24F0614FB6ACEDB12BF0E31D00002087A5D90000</t>
        </is>
      </c>
      <c r="C547" t="inlineStr">
        <is>
          <t>cmm4yuquk03ytcuqwhpnly6jr</t>
        </is>
      </c>
      <c r="D547" t="inlineStr">
        <is>
          <t>http://localhost:8787/api/admin/requirements/documents/cmm4yuquk03ytcuqwhpnly6jr/view</t>
        </is>
      </c>
      <c r="E547">
        <f>HYPERLÄNK("http://localhost:8787/api/admin/requirements/documents/cmm4yuquk03ytcuqwhpnly6jr/view";"Öppna PDF")</f>
        <v/>
      </c>
      <c r="F547">
        <f>HYPERLINK("http://localhost:8787/api/admin/requirements/documents/cmm4yuquk03ytcuqwhpnly6jr/view","Open PDF")</f>
        <v/>
      </c>
      <c r="G547" t="inlineStr">
        <is>
          <t>cmm55w57p0004cuisfrtpqly8</t>
        </is>
      </c>
      <c r="H547" t="inlineStr">
        <is>
          <t>Informationskrav</t>
        </is>
      </c>
      <c r="I547" t="inlineStr">
        <is>
          <t>LagringsvolymTid</t>
        </is>
      </c>
      <c r="J547" t="inlineStr">
        <is>
          <t>Maxmangd</t>
        </is>
      </c>
      <c r="K547" t="inlineStr">
        <is>
          <t>Beskrivning av avfallet Beskriv vilken typ av avfall som ska användas (ange även mängd i ton eller m³) Asfalt som krossas.</t>
        </is>
      </c>
      <c r="L547" t="inlineStr">
        <is>
          <t>Beskrivning av avfallet Beskriv vilken typ av avfall som ska användas (ange även mängd i ton eller m³) Asfalt som krossas.</t>
        </is>
      </c>
      <c r="M547" t="inlineStr">
        <is>
          <t>SKA</t>
        </is>
      </c>
      <c r="N547" t="inlineStr"/>
      <c r="O547" t="inlineStr"/>
      <c r="P547" t="inlineStr"/>
      <c r="Q547" t="inlineStr"/>
      <c r="R547" t="inlineStr">
        <is>
          <t>Alltid</t>
        </is>
      </c>
      <c r="S547" t="inlineStr"/>
      <c r="T547" t="inlineStr">
        <is>
          <t>556574</t>
        </is>
      </c>
      <c r="U547" t="inlineStr"/>
      <c r="V547" t="inlineStr"/>
      <c r="W547" t="inlineStr">
        <is>
          <t>Nej</t>
        </is>
      </c>
      <c r="X547" t="inlineStr">
        <is>
          <t>Nej</t>
        </is>
      </c>
      <c r="Y547" t="inlineStr">
        <is>
          <t>Nej</t>
        </is>
      </c>
      <c r="Z547" t="inlineStr">
        <is>
          <t>Nej</t>
        </is>
      </c>
      <c r="AA547" t="n">
        <v>4</v>
      </c>
      <c r="AB547" t="inlineStr">
        <is>
          <t>Avfallsmangder och lagringstid</t>
        </is>
      </c>
      <c r="AC547" t="inlineStr">
        <is>
          <t>Avfallsforteckning</t>
        </is>
      </c>
      <c r="AD547" t="inlineStr">
        <is>
          <t>Nej</t>
        </is>
      </c>
      <c r="AE547" t="inlineStr">
        <is>
          <t>Nej</t>
        </is>
      </c>
      <c r="AF547" t="inlineStr">
        <is>
          <t>Ej behandlad</t>
        </is>
      </c>
      <c r="AG547" t="inlineStr">
        <is>
          <t>AUTO_GENERERAD. Verifiera citat mot kallfil.</t>
        </is>
      </c>
      <c r="AH547" t="inlineStr">
        <is>
          <t>MEDIUM</t>
        </is>
      </c>
      <c r="AI547" t="inlineStr">
        <is>
          <t>AUTO</t>
        </is>
      </c>
      <c r="AJ547" t="inlineStr">
        <is>
          <t>Nej</t>
        </is>
      </c>
      <c r="AK547" t="inlineStr"/>
      <c r="AL547" t="inlineStr"/>
      <c r="AM547" t="inlineStr"/>
      <c r="AN547" t="inlineStr"/>
      <c r="AO547" t="inlineStr">
        <is>
          <t>cmm4yuquq03yzcuqwmekbklcz</t>
        </is>
      </c>
      <c r="AP547" t="inlineStr">
        <is>
          <t>http://localhost:8787/api/admin/requirements/documents/cmm4yuquq03yzcuqwmekbklcz/view</t>
        </is>
      </c>
      <c r="AQ547">
        <f>HYPERLÄNK("http://localhost:8787/api/admin/requirements/documents/cmm4yuquq03yzcuqwmekbklcz/view";"Öppna PDF")</f>
        <v/>
      </c>
      <c r="AR547">
        <f>HYPERLINK("http://localhost:8787/api/admin/requirements/documents/cmm4yuquq03yzcuqwmekbklcz/view","Open PDF")</f>
        <v/>
      </c>
      <c r="AS547" t="inlineStr">
        <is>
          <t>cmm55w57p0004cuisfrtpqly8</t>
        </is>
      </c>
      <c r="AT547" t="inlineStr">
        <is>
          <t>cmm4xvu980000cuh4vj0usz09</t>
        </is>
      </c>
      <c r="AU547" t="inlineStr">
        <is>
          <t>Hässleholms</t>
        </is>
      </c>
      <c r="AV547" t="inlineStr">
        <is>
          <t>Kommun</t>
        </is>
      </c>
      <c r="AW547" t="inlineStr">
        <is>
          <t>Hässleholms kommun</t>
        </is>
      </c>
      <c r="AX547" t="inlineStr">
        <is>
          <t>2024-2225</t>
        </is>
      </c>
      <c r="AY547" t="inlineStr">
        <is>
          <t>Anmalan</t>
        </is>
      </c>
      <c r="AZ547" t="inlineStr">
        <is>
          <t>2026-02-05</t>
        </is>
      </c>
      <c r="BA547" t="inlineStr">
        <is>
          <t>M-2024-2225 - Anmälan (2).pdf</t>
        </is>
      </c>
      <c r="BB547" t="inlineStr">
        <is>
          <t>Sv:  Begäran om utlämnande av allmän handling – Anmälningar och beslut rörande mellanlagring av avfall samt anläggning av ytor</t>
        </is>
      </c>
      <c r="BC547" t="inlineStr">
        <is>
          <t>AUTO</t>
        </is>
      </c>
      <c r="BD547" t="inlineStr"/>
      <c r="BE547" t="inlineStr"/>
      <c r="BF547" t="inlineStr">
        <is>
          <t>AUTO_GENERERAD. Bekrafta metadata mot kallfil.</t>
        </is>
      </c>
      <c r="BG547">
        <f>HYPERLINK("C:\Users\jimmy\Desktop\Examens arbete\Kod\Ny mapp\remix_-copy-of-miljöbeslut.se-portal\M-2024-2225 - Anmälan (2).pdf", "Öppna PDF")</f>
        <v/>
      </c>
    </row>
    <row r="548">
      <c r="A548" t="inlineStr">
        <is>
          <t>KRAV-AUTO-000547</t>
        </is>
      </c>
      <c r="B548" t="inlineStr">
        <is>
          <t>ADMIN-INDEX-2026-02-27-00000000125C043F57453246863FE664CAFE6A3F0700950291EA24F0614FB6ACEDB12BF0E31D00000000010C0000950291EA24F0614FB6ACEDB12BF0E31D00002087A5D90000</t>
        </is>
      </c>
      <c r="C548" t="inlineStr">
        <is>
          <t>cmm4yuquk03ytcuqwhpnly6jr</t>
        </is>
      </c>
      <c r="D548" t="inlineStr">
        <is>
          <t>http://localhost:8787/api/admin/requirements/documents/cmm4yuquk03ytcuqwhpnly6jr/view</t>
        </is>
      </c>
      <c r="E548">
        <f>HYPERLÄNK("http://localhost:8787/api/admin/requirements/documents/cmm4yuquk03ytcuqwhpnly6jr/view";"Öppna PDF")</f>
        <v/>
      </c>
      <c r="F548">
        <f>HYPERLINK("http://localhost:8787/api/admin/requirements/documents/cmm4yuquk03ytcuqwhpnly6jr/view","Open PDF")</f>
        <v/>
      </c>
      <c r="G548" t="inlineStr">
        <is>
          <t>cmm55w57p0004cuisfrtpqly8</t>
        </is>
      </c>
      <c r="H548" t="inlineStr">
        <is>
          <t>Informationskrav</t>
        </is>
      </c>
      <c r="I548" t="inlineStr">
        <is>
          <t>DagvattenLakvatten</t>
        </is>
      </c>
      <c r="J548" t="inlineStr">
        <is>
          <t>Uppsamling</t>
        </is>
      </c>
      <c r="K548" t="inlineStr">
        <is>
          <t>Beskriv de skyddsåtgärder som kommer att vidtas för att minska risken att föroreningar sprids Genom egenkontroller, provtagningar av asfalten som skickas på analys.</t>
        </is>
      </c>
      <c r="L548" t="inlineStr">
        <is>
          <t>Beskriv de skyddsåtgärder som kommer att vidtas för att minska risken att föroreningar sprids Genom egenkontroller, provtagningar av asfalten som skickas på analys.</t>
        </is>
      </c>
      <c r="M548" t="inlineStr">
        <is>
          <t>SKA</t>
        </is>
      </c>
      <c r="N548" t="inlineStr"/>
      <c r="O548" t="inlineStr"/>
      <c r="P548" t="inlineStr"/>
      <c r="Q548" t="inlineStr"/>
      <c r="R548" t="inlineStr">
        <is>
          <t>Vid nederbord och avrinning</t>
        </is>
      </c>
      <c r="S548" t="inlineStr"/>
      <c r="T548" t="inlineStr">
        <is>
          <t>556574</t>
        </is>
      </c>
      <c r="U548" t="inlineStr"/>
      <c r="V548" t="inlineStr"/>
      <c r="W548" t="inlineStr">
        <is>
          <t>Nej</t>
        </is>
      </c>
      <c r="X548" t="inlineStr">
        <is>
          <t>Ja</t>
        </is>
      </c>
      <c r="Y548" t="inlineStr">
        <is>
          <t>Ja</t>
        </is>
      </c>
      <c r="Z548" t="inlineStr">
        <is>
          <t>Nej</t>
        </is>
      </c>
      <c r="AA548" t="n">
        <v>6</v>
      </c>
      <c r="AB548" t="inlineStr">
        <is>
          <t>Lakvattenhantering</t>
        </is>
      </c>
      <c r="AC548" t="inlineStr">
        <is>
          <t>Flodesschema dagvatten-lakvatten</t>
        </is>
      </c>
      <c r="AD548" t="inlineStr">
        <is>
          <t>Nej</t>
        </is>
      </c>
      <c r="AE548" t="inlineStr">
        <is>
          <t>Nej</t>
        </is>
      </c>
      <c r="AF548" t="inlineStr">
        <is>
          <t>Ej behandlad</t>
        </is>
      </c>
      <c r="AG548" t="inlineStr">
        <is>
          <t>AUTO_GENERERAD. Verifiera citat mot kallfil.</t>
        </is>
      </c>
      <c r="AH548" t="inlineStr">
        <is>
          <t>MEDIUM</t>
        </is>
      </c>
      <c r="AI548" t="inlineStr">
        <is>
          <t>AUTO</t>
        </is>
      </c>
      <c r="AJ548" t="inlineStr">
        <is>
          <t>Nej</t>
        </is>
      </c>
      <c r="AK548" t="inlineStr"/>
      <c r="AL548" t="inlineStr"/>
      <c r="AM548" t="inlineStr"/>
      <c r="AN548" t="inlineStr"/>
      <c r="AO548" t="inlineStr">
        <is>
          <t>cmm4yuquq03yzcuqwmekbklcz</t>
        </is>
      </c>
      <c r="AP548" t="inlineStr">
        <is>
          <t>http://localhost:8787/api/admin/requirements/documents/cmm4yuquq03yzcuqwmekbklcz/view</t>
        </is>
      </c>
      <c r="AQ548">
        <f>HYPERLÄNK("http://localhost:8787/api/admin/requirements/documents/cmm4yuquq03yzcuqwmekbklcz/view";"Öppna PDF")</f>
        <v/>
      </c>
      <c r="AR548">
        <f>HYPERLINK("http://localhost:8787/api/admin/requirements/documents/cmm4yuquq03yzcuqwmekbklcz/view","Open PDF")</f>
        <v/>
      </c>
      <c r="AS548" t="inlineStr">
        <is>
          <t>cmm55w57p0004cuisfrtpqly8</t>
        </is>
      </c>
      <c r="AT548" t="inlineStr">
        <is>
          <t>cmm4xvu980000cuh4vj0usz09</t>
        </is>
      </c>
      <c r="AU548" t="inlineStr">
        <is>
          <t>Hässleholms</t>
        </is>
      </c>
      <c r="AV548" t="inlineStr">
        <is>
          <t>Kommun</t>
        </is>
      </c>
      <c r="AW548" t="inlineStr">
        <is>
          <t>Hässleholms kommun</t>
        </is>
      </c>
      <c r="AX548" t="inlineStr">
        <is>
          <t>2024-2225</t>
        </is>
      </c>
      <c r="AY548" t="inlineStr">
        <is>
          <t>Anmalan</t>
        </is>
      </c>
      <c r="AZ548" t="inlineStr">
        <is>
          <t>2026-02-05</t>
        </is>
      </c>
      <c r="BA548" t="inlineStr">
        <is>
          <t>M-2024-2225 - Anmälan (2).pdf</t>
        </is>
      </c>
      <c r="BB548" t="inlineStr">
        <is>
          <t>Sv:  Begäran om utlämnande av allmän handling – Anmälningar och beslut rörande mellanlagring av avfall samt anläggning av ytor</t>
        </is>
      </c>
      <c r="BC548" t="inlineStr">
        <is>
          <t>AUTO</t>
        </is>
      </c>
      <c r="BD548" t="inlineStr"/>
      <c r="BE548" t="inlineStr"/>
      <c r="BF548" t="inlineStr">
        <is>
          <t>AUTO_GENERERAD. Bekrafta metadata mot kallfil.</t>
        </is>
      </c>
      <c r="BG548">
        <f>HYPERLINK("C:\Users\jimmy\Desktop\Examens arbete\Kod\Ny mapp\remix_-copy-of-miljöbeslut.se-portal\M-2024-2225 - Anmälan (2).pdf", "Öppna PDF")</f>
        <v/>
      </c>
    </row>
    <row r="549">
      <c r="A549" t="inlineStr">
        <is>
          <t>KRAV-AUTO-000548</t>
        </is>
      </c>
      <c r="B549" t="inlineStr">
        <is>
          <t>ADMIN-INDEX-2026-02-27-00000000125C043F57453246863FE664CAFE6A3F0700950291EA24F0614FB6ACEDB12BF0E31D00000000010C0000950291EA24F0614FB6ACEDB12BF0E31D00002087A5D90000</t>
        </is>
      </c>
      <c r="C549" t="inlineStr">
        <is>
          <t>cmm4yuquk03ytcuqwhpnly6jr</t>
        </is>
      </c>
      <c r="D549" t="inlineStr">
        <is>
          <t>http://localhost:8787/api/admin/requirements/documents/cmm4yuquk03ytcuqwhpnly6jr/view</t>
        </is>
      </c>
      <c r="E549">
        <f>HYPERLÄNK("http://localhost:8787/api/admin/requirements/documents/cmm4yuquk03ytcuqwhpnly6jr/view";"Öppna PDF")</f>
        <v/>
      </c>
      <c r="F549">
        <f>HYPERLINK("http://localhost:8787/api/admin/requirements/documents/cmm4yuquk03ytcuqwhpnly6jr/view","Open PDF")</f>
        <v/>
      </c>
      <c r="G549" t="inlineStr">
        <is>
          <t>cmm55w57p0004cuisfrtpqly8</t>
        </is>
      </c>
      <c r="H549" t="inlineStr">
        <is>
          <t>Informationskrav</t>
        </is>
      </c>
      <c r="I549" t="inlineStr">
        <is>
          <t>DagvattenLakvatten</t>
        </is>
      </c>
      <c r="J549" t="inlineStr">
        <is>
          <t>Uppsamling</t>
        </is>
      </c>
      <c r="K549" t="inlineStr">
        <is>
          <t>6 § miljöbalken (SFS 1998:808) krävs en anmälan vid användning av avfall för anläggningsändamål på ett sätt som kan förorena mark, vattenområde eller grundvatten och där föroreningsrisken bedöms som ringa.</t>
        </is>
      </c>
      <c r="L549" t="inlineStr">
        <is>
          <t>6 § miljöbalken (SFS 1998:808) krävs en anmälan vid användning av avfall för anläggningsändamål på ett sätt som kan förorena mark, vattenområde eller grundvatten och där föroreningsrisken bedöms som ringa.</t>
        </is>
      </c>
      <c r="M549" t="inlineStr">
        <is>
          <t>SKA</t>
        </is>
      </c>
      <c r="N549" t="inlineStr">
        <is>
          <t>Miljobalken</t>
        </is>
      </c>
      <c r="O549" t="inlineStr"/>
      <c r="P549" t="inlineStr"/>
      <c r="Q549" t="inlineStr"/>
      <c r="R549" t="inlineStr">
        <is>
          <t>Vid nederbord och avrinning</t>
        </is>
      </c>
      <c r="S549" t="inlineStr"/>
      <c r="T549" t="inlineStr">
        <is>
          <t>556574</t>
        </is>
      </c>
      <c r="U549" t="inlineStr"/>
      <c r="V549" t="inlineStr"/>
      <c r="W549" t="inlineStr">
        <is>
          <t>Nej</t>
        </is>
      </c>
      <c r="X549" t="inlineStr">
        <is>
          <t>Ja</t>
        </is>
      </c>
      <c r="Y549" t="inlineStr">
        <is>
          <t>Ja</t>
        </is>
      </c>
      <c r="Z549" t="inlineStr">
        <is>
          <t>Nej</t>
        </is>
      </c>
      <c r="AA549" t="n">
        <v>6</v>
      </c>
      <c r="AB549" t="inlineStr">
        <is>
          <t>Lakvattenhantering</t>
        </is>
      </c>
      <c r="AC549" t="inlineStr">
        <is>
          <t>Flodesschema dagvatten-lakvatten</t>
        </is>
      </c>
      <c r="AD549" t="inlineStr">
        <is>
          <t>Nej</t>
        </is>
      </c>
      <c r="AE549" t="inlineStr">
        <is>
          <t>Nej</t>
        </is>
      </c>
      <c r="AF549" t="inlineStr">
        <is>
          <t>Ej behandlad</t>
        </is>
      </c>
      <c r="AG549" t="inlineStr">
        <is>
          <t>AUTO_GENERERAD. Verifiera citat mot kallfil.</t>
        </is>
      </c>
      <c r="AH549" t="inlineStr">
        <is>
          <t>MEDIUM</t>
        </is>
      </c>
      <c r="AI549" t="inlineStr">
        <is>
          <t>AUTO</t>
        </is>
      </c>
      <c r="AJ549" t="inlineStr">
        <is>
          <t>Nej</t>
        </is>
      </c>
      <c r="AK549" t="inlineStr"/>
      <c r="AL549" t="inlineStr"/>
      <c r="AM549" t="inlineStr"/>
      <c r="AN549" t="inlineStr"/>
      <c r="AO549" t="inlineStr">
        <is>
          <t>cmm4yuquq03yzcuqwmekbklcz</t>
        </is>
      </c>
      <c r="AP549" t="inlineStr">
        <is>
          <t>http://localhost:8787/api/admin/requirements/documents/cmm4yuquq03yzcuqwmekbklcz/view</t>
        </is>
      </c>
      <c r="AQ549">
        <f>HYPERLÄNK("http://localhost:8787/api/admin/requirements/documents/cmm4yuquq03yzcuqwmekbklcz/view";"Öppna PDF")</f>
        <v/>
      </c>
      <c r="AR549">
        <f>HYPERLINK("http://localhost:8787/api/admin/requirements/documents/cmm4yuquq03yzcuqwmekbklcz/view","Open PDF")</f>
        <v/>
      </c>
      <c r="AS549" t="inlineStr">
        <is>
          <t>cmm55w57p0004cuisfrtpqly8</t>
        </is>
      </c>
      <c r="AT549" t="inlineStr">
        <is>
          <t>cmm4xvu980000cuh4vj0usz09</t>
        </is>
      </c>
      <c r="AU549" t="inlineStr">
        <is>
          <t>Hässleholms</t>
        </is>
      </c>
      <c r="AV549" t="inlineStr">
        <is>
          <t>Kommun</t>
        </is>
      </c>
      <c r="AW549" t="inlineStr">
        <is>
          <t>Hässleholms kommun</t>
        </is>
      </c>
      <c r="AX549" t="inlineStr">
        <is>
          <t>2024-2225</t>
        </is>
      </c>
      <c r="AY549" t="inlineStr">
        <is>
          <t>Anmalan</t>
        </is>
      </c>
      <c r="AZ549" t="inlineStr">
        <is>
          <t>2026-02-05</t>
        </is>
      </c>
      <c r="BA549" t="inlineStr">
        <is>
          <t>M-2024-2225 - Anmälan (2).pdf</t>
        </is>
      </c>
      <c r="BB549" t="inlineStr">
        <is>
          <t>Sv:  Begäran om utlämnande av allmän handling – Anmälningar och beslut rörande mellanlagring av avfall samt anläggning av ytor</t>
        </is>
      </c>
      <c r="BC549" t="inlineStr">
        <is>
          <t>AUTO</t>
        </is>
      </c>
      <c r="BD549" t="inlineStr"/>
      <c r="BE549" t="inlineStr"/>
      <c r="BF549" t="inlineStr">
        <is>
          <t>AUTO_GENERERAD. Bekrafta metadata mot kallfil.</t>
        </is>
      </c>
      <c r="BG549">
        <f>HYPERLINK("C:\Users\jimmy\Desktop\Examens arbete\Kod\Ny mapp\remix_-copy-of-miljöbeslut.se-portal\M-2024-2225 - Anmälan (2).pdf", "Öppna PDF")</f>
        <v/>
      </c>
    </row>
    <row r="550">
      <c r="A550" t="inlineStr">
        <is>
          <t>KRAV-AUTO-000549</t>
        </is>
      </c>
      <c r="B550" t="inlineStr">
        <is>
          <t>ADMIN-INDEX-2026-02-27-00000000125C043F57453246863FE664CAFE6A3F0700950291EA24F0614FB6ACEDB12BF0E31D00000000010C0000950291EA24F0614FB6ACEDB12BF0E31D00002087A5D90000</t>
        </is>
      </c>
      <c r="C550" t="inlineStr">
        <is>
          <t>cmm4yuquh03yqcuqw7gxhc2hz</t>
        </is>
      </c>
      <c r="D550" t="inlineStr">
        <is>
          <t>http://localhost:8787/api/admin/requirements/documents/cmm4yuquh03yqcuqw7gxhc2hz/view</t>
        </is>
      </c>
      <c r="E550">
        <f>HYPERLÄNK("http://localhost:8787/api/admin/requirements/documents/cmm4yuquh03yqcuqw7gxhc2hz/view";"Öppna PDF")</f>
        <v/>
      </c>
      <c r="F550">
        <f>HYPERLINK("http://localhost:8787/api/admin/requirements/documents/cmm4yuquh03yqcuqw7gxhc2hz/view","Open PDF")</f>
        <v/>
      </c>
      <c r="G550" t="inlineStr">
        <is>
          <t>cmm55w57p0004cuisfrtpqly8</t>
        </is>
      </c>
      <c r="H550" t="inlineStr">
        <is>
          <t>Informationskrav</t>
        </is>
      </c>
      <c r="I550" t="inlineStr">
        <is>
          <t>DriftEgenkontroll</t>
        </is>
      </c>
      <c r="J550" t="inlineStr">
        <is>
          <t>Journalforing</t>
        </is>
      </c>
      <c r="K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0" t="inlineStr">
        <is>
          <t>SKA</t>
        </is>
      </c>
      <c r="N550" t="inlineStr"/>
      <c r="O550" t="inlineStr"/>
      <c r="P550" t="inlineStr">
        <is>
          <t>Arlig</t>
        </is>
      </c>
      <c r="Q550" t="inlineStr"/>
      <c r="R550" t="inlineStr">
        <is>
          <t>Lopande drift</t>
        </is>
      </c>
      <c r="S550" t="inlineStr"/>
      <c r="T550" t="inlineStr"/>
      <c r="U550" t="inlineStr"/>
      <c r="V550" t="inlineStr"/>
      <c r="W550" t="inlineStr">
        <is>
          <t>Nej</t>
        </is>
      </c>
      <c r="X550" t="inlineStr">
        <is>
          <t>Nej</t>
        </is>
      </c>
      <c r="Y550" t="inlineStr">
        <is>
          <t>Ja</t>
        </is>
      </c>
      <c r="Z550" t="inlineStr">
        <is>
          <t>Nej</t>
        </is>
      </c>
      <c r="AA550" t="n">
        <v>7</v>
      </c>
      <c r="AB550" t="inlineStr">
        <is>
          <t>Egenkontrollrutiner</t>
        </is>
      </c>
      <c r="AC550" t="inlineStr">
        <is>
          <t>Egenkontrollprogram</t>
        </is>
      </c>
      <c r="AD550" t="inlineStr">
        <is>
          <t>Nej</t>
        </is>
      </c>
      <c r="AE550" t="inlineStr">
        <is>
          <t>Nej</t>
        </is>
      </c>
      <c r="AF550" t="inlineStr">
        <is>
          <t>Ej behandlad</t>
        </is>
      </c>
      <c r="AG550" t="inlineStr">
        <is>
          <t>AUTO_GENERERAD. Verifiera citat mot kallfil.</t>
        </is>
      </c>
      <c r="AH550" t="inlineStr">
        <is>
          <t>MEDIUM</t>
        </is>
      </c>
      <c r="AI550" t="inlineStr">
        <is>
          <t>AUTO</t>
        </is>
      </c>
      <c r="AJ550" t="inlineStr">
        <is>
          <t>Nej</t>
        </is>
      </c>
      <c r="AK550" t="inlineStr"/>
      <c r="AL550" t="inlineStr"/>
      <c r="AM550" t="inlineStr"/>
      <c r="AN550" t="inlineStr"/>
      <c r="AO550" t="inlineStr">
        <is>
          <t>cmm4yuquq03yzcuqwmekbklcz</t>
        </is>
      </c>
      <c r="AP550" t="inlineStr">
        <is>
          <t>http://localhost:8787/api/admin/requirements/documents/cmm4yuquq03yzcuqwmekbklcz/view</t>
        </is>
      </c>
      <c r="AQ550">
        <f>HYPERLÄNK("http://localhost:8787/api/admin/requirements/documents/cmm4yuquq03yzcuqwmekbklcz/view";"Öppna PDF")</f>
        <v/>
      </c>
      <c r="AR550">
        <f>HYPERLINK("http://localhost:8787/api/admin/requirements/documents/cmm4yuquq03yzcuqwmekbklcz/view","Open PDF")</f>
        <v/>
      </c>
      <c r="AS550" t="inlineStr">
        <is>
          <t>cmm55w57p0004cuisfrtpqly8</t>
        </is>
      </c>
      <c r="AT550" t="inlineStr">
        <is>
          <t>cmm4xvu980000cuh4vj0usz09</t>
        </is>
      </c>
      <c r="AU550" t="inlineStr">
        <is>
          <t>Hässleholms</t>
        </is>
      </c>
      <c r="AV550" t="inlineStr">
        <is>
          <t>Kommun</t>
        </is>
      </c>
      <c r="AW550" t="inlineStr">
        <is>
          <t>Hässleholms kommun</t>
        </is>
      </c>
      <c r="AX550" t="inlineStr">
        <is>
          <t>2024-2225</t>
        </is>
      </c>
      <c r="AY550" t="inlineStr">
        <is>
          <t>Anmalan</t>
        </is>
      </c>
      <c r="AZ550" t="inlineStr">
        <is>
          <t>2026-02-05</t>
        </is>
      </c>
      <c r="BA550" t="inlineStr">
        <is>
          <t>M-2024-2225 - Anmälan (2).pdf</t>
        </is>
      </c>
      <c r="BB550" t="inlineStr">
        <is>
          <t>Sv:  Begäran om utlämnande av allmän handling – Anmälningar och beslut rörande mellanlagring av avfall samt anläggning av ytor</t>
        </is>
      </c>
      <c r="BC550" t="inlineStr">
        <is>
          <t>AUTO</t>
        </is>
      </c>
      <c r="BD550" t="inlineStr"/>
      <c r="BE550" t="inlineStr"/>
      <c r="BF550" t="inlineStr">
        <is>
          <t>AUTO_GENERERAD. Bekrafta metadata mot kallfil.</t>
        </is>
      </c>
      <c r="BG550">
        <f>HYPERLINK("C:\Users\jimmy\Desktop\Examens arbete\Kod\Ny mapp\remix_-copy-of-miljöbeslut.se-portal\M-2024-2225 - Anmälan (2).pdf", "Öppna PDF")</f>
        <v/>
      </c>
    </row>
    <row r="551">
      <c r="A551" t="inlineStr">
        <is>
          <t>KRAV-AUTO-000550</t>
        </is>
      </c>
      <c r="B551" t="inlineStr">
        <is>
          <t>ADMIN-INDEX-2026-02-27-00000000125C043F57453246863FE664CAFE6A3F0700950291EA24F0614FB6ACEDB12BF0E31D00000000010C0000950291EA24F0614FB6ACEDB12BF0E31D00002087A5D90000</t>
        </is>
      </c>
      <c r="C551" t="inlineStr">
        <is>
          <t>cmm4yuquh03yqcuqw7gxhc2hz</t>
        </is>
      </c>
      <c r="D551" t="inlineStr">
        <is>
          <t>http://localhost:8787/api/admin/requirements/documents/cmm4yuquh03yqcuqw7gxhc2hz/view</t>
        </is>
      </c>
      <c r="E551">
        <f>HYPERLÄNK("http://localhost:8787/api/admin/requirements/documents/cmm4yuquh03yqcuqw7gxhc2hz/view";"Öppna PDF")</f>
        <v/>
      </c>
      <c r="F551">
        <f>HYPERLINK("http://localhost:8787/api/admin/requirements/documents/cmm4yuquh03yqcuqw7gxhc2hz/view","Open PDF")</f>
        <v/>
      </c>
      <c r="G551" t="inlineStr">
        <is>
          <t>cmm55w57p0004cuisfrtpqly8</t>
        </is>
      </c>
      <c r="H551" t="inlineStr">
        <is>
          <t>Informationskrav</t>
        </is>
      </c>
      <c r="I551" t="inlineStr">
        <is>
          <t>DagvattenLakvatten</t>
        </is>
      </c>
      <c r="J551" t="inlineStr">
        <is>
          <t>Uppsamling</t>
        </is>
      </c>
      <c r="K551" t="inlineStr">
        <is>
          <t>6 § miljöbalken (SFS 1998:808) krävs en anmälan vid användning av avfall för anläggningsändamål på ett sätt som kan förorena mark, vattenområde eller grundvatten och där föroreningsrisken bedöms som ringa.</t>
        </is>
      </c>
      <c r="L551" t="inlineStr">
        <is>
          <t>6 § miljöbalken (SFS 1998:808) krävs en anmälan vid användning av avfall för anläggningsändamål på ett sätt som kan förorena mark, vattenområde eller grundvatten och där föroreningsrisken bedöms som ringa.</t>
        </is>
      </c>
      <c r="M551" t="inlineStr">
        <is>
          <t>SKA</t>
        </is>
      </c>
      <c r="N551" t="inlineStr">
        <is>
          <t>Miljobalken</t>
        </is>
      </c>
      <c r="O551" t="inlineStr"/>
      <c r="P551" t="inlineStr"/>
      <c r="Q551" t="inlineStr"/>
      <c r="R551" t="inlineStr">
        <is>
          <t>Vid nederbord och avrinning</t>
        </is>
      </c>
      <c r="S551" t="inlineStr"/>
      <c r="T551" t="inlineStr"/>
      <c r="U551" t="inlineStr"/>
      <c r="V551" t="inlineStr"/>
      <c r="W551" t="inlineStr">
        <is>
          <t>Nej</t>
        </is>
      </c>
      <c r="X551" t="inlineStr">
        <is>
          <t>Ja</t>
        </is>
      </c>
      <c r="Y551" t="inlineStr">
        <is>
          <t>Ja</t>
        </is>
      </c>
      <c r="Z551" t="inlineStr">
        <is>
          <t>Nej</t>
        </is>
      </c>
      <c r="AA551" t="n">
        <v>6</v>
      </c>
      <c r="AB551" t="inlineStr">
        <is>
          <t>Lakvattenhantering</t>
        </is>
      </c>
      <c r="AC551" t="inlineStr">
        <is>
          <t>Flodesschema dagvatten-lakvatten</t>
        </is>
      </c>
      <c r="AD551" t="inlineStr">
        <is>
          <t>Nej</t>
        </is>
      </c>
      <c r="AE551" t="inlineStr">
        <is>
          <t>Nej</t>
        </is>
      </c>
      <c r="AF551" t="inlineStr">
        <is>
          <t>Ej behandlad</t>
        </is>
      </c>
      <c r="AG551" t="inlineStr">
        <is>
          <t>AUTO_GENERERAD. Verifiera citat mot kallfil.</t>
        </is>
      </c>
      <c r="AH551" t="inlineStr">
        <is>
          <t>MEDIUM</t>
        </is>
      </c>
      <c r="AI551" t="inlineStr">
        <is>
          <t>AUTO</t>
        </is>
      </c>
      <c r="AJ551" t="inlineStr">
        <is>
          <t>Nej</t>
        </is>
      </c>
      <c r="AK551" t="inlineStr"/>
      <c r="AL551" t="inlineStr"/>
      <c r="AM551" t="inlineStr"/>
      <c r="AN551" t="inlineStr"/>
      <c r="AO551" t="inlineStr">
        <is>
          <t>cmm4yuquq03yzcuqwmekbklcz</t>
        </is>
      </c>
      <c r="AP551" t="inlineStr">
        <is>
          <t>http://localhost:8787/api/admin/requirements/documents/cmm4yuquq03yzcuqwmekbklcz/view</t>
        </is>
      </c>
      <c r="AQ551">
        <f>HYPERLÄNK("http://localhost:8787/api/admin/requirements/documents/cmm4yuquq03yzcuqwmekbklcz/view";"Öppna PDF")</f>
        <v/>
      </c>
      <c r="AR551">
        <f>HYPERLINK("http://localhost:8787/api/admin/requirements/documents/cmm4yuquq03yzcuqwmekbklcz/view","Open PDF")</f>
        <v/>
      </c>
      <c r="AS551" t="inlineStr">
        <is>
          <t>cmm55w57p0004cuisfrtpqly8</t>
        </is>
      </c>
      <c r="AT551" t="inlineStr">
        <is>
          <t>cmm4xvu980000cuh4vj0usz09</t>
        </is>
      </c>
      <c r="AU551" t="inlineStr">
        <is>
          <t>Hässleholms</t>
        </is>
      </c>
      <c r="AV551" t="inlineStr">
        <is>
          <t>Kommun</t>
        </is>
      </c>
      <c r="AW551" t="inlineStr">
        <is>
          <t>Hässleholms kommun</t>
        </is>
      </c>
      <c r="AX551" t="inlineStr">
        <is>
          <t>2024-2225</t>
        </is>
      </c>
      <c r="AY551" t="inlineStr">
        <is>
          <t>Anmalan</t>
        </is>
      </c>
      <c r="AZ551" t="inlineStr">
        <is>
          <t>2026-02-05</t>
        </is>
      </c>
      <c r="BA551" t="inlineStr">
        <is>
          <t>M-2024-2225 - Anmälan (2).pdf</t>
        </is>
      </c>
      <c r="BB551" t="inlineStr">
        <is>
          <t>Sv:  Begäran om utlämnande av allmän handling – Anmälningar och beslut rörande mellanlagring av avfall samt anläggning av ytor</t>
        </is>
      </c>
      <c r="BC551" t="inlineStr">
        <is>
          <t>AUTO</t>
        </is>
      </c>
      <c r="BD551" t="inlineStr"/>
      <c r="BE551" t="inlineStr"/>
      <c r="BF551" t="inlineStr">
        <is>
          <t>AUTO_GENERERAD. Bekrafta metadata mot kallfil.</t>
        </is>
      </c>
      <c r="BG551">
        <f>HYPERLINK("C:\Users\jimmy\Desktop\Examens arbete\Kod\Ny mapp\remix_-copy-of-miljöbeslut.se-portal\M-2024-2225 - Anmälan (2).pdf", "Öppna PDF")</f>
        <v/>
      </c>
    </row>
    <row r="552">
      <c r="A552" t="inlineStr">
        <is>
          <t>KRAV-AUTO-000551</t>
        </is>
      </c>
      <c r="B552" t="inlineStr">
        <is>
          <t>ADMIN-INDEX-2026-02-27-00000000125C043F57453246863FE664CAFE6A3F0700950291EA24F0614FB6ACEDB12BF0E31D00000000010C0000950291EA24F0614FB6ACEDB12BF0E31D00002087A5D90000</t>
        </is>
      </c>
      <c r="C552" t="inlineStr">
        <is>
          <t>cmm4yuquh03yqcuqw7gxhc2hz</t>
        </is>
      </c>
      <c r="D552" t="inlineStr">
        <is>
          <t>http://localhost:8787/api/admin/requirements/documents/cmm4yuquh03yqcuqw7gxhc2hz/view</t>
        </is>
      </c>
      <c r="E552">
        <f>HYPERLÄNK("http://localhost:8787/api/admin/requirements/documents/cmm4yuquh03yqcuqw7gxhc2hz/view";"Öppna PDF")</f>
        <v/>
      </c>
      <c r="F552">
        <f>HYPERLINK("http://localhost:8787/api/admin/requirements/documents/cmm4yuquh03yqcuqw7gxhc2hz/view","Open PDF")</f>
        <v/>
      </c>
      <c r="G552" t="inlineStr">
        <is>
          <t>cmm55w57p0004cuisfrtpqly8</t>
        </is>
      </c>
      <c r="H552" t="inlineStr">
        <is>
          <t>Informationskrav</t>
        </is>
      </c>
      <c r="I552" t="inlineStr">
        <is>
          <t>MiljopaverkanForsiktighet</t>
        </is>
      </c>
      <c r="J552" t="inlineStr">
        <is>
          <t>Skyddsatgarder</t>
        </is>
      </c>
      <c r="K552" t="inlineStr">
        <is>
          <t>- Skalenliga profilskisser av platsen där avfallet ska användas.</t>
        </is>
      </c>
      <c r="L552" t="inlineStr">
        <is>
          <t>- Skalenliga profilskisser av platsen där avfallet ska användas.</t>
        </is>
      </c>
      <c r="M552" t="inlineStr">
        <is>
          <t>SKA</t>
        </is>
      </c>
      <c r="N552" t="inlineStr"/>
      <c r="O552" t="inlineStr"/>
      <c r="P552" t="inlineStr"/>
      <c r="Q552" t="inlineStr"/>
      <c r="R552" t="inlineStr">
        <is>
          <t>Alltid</t>
        </is>
      </c>
      <c r="S552" t="inlineStr"/>
      <c r="T552" t="inlineStr"/>
      <c r="U552" t="inlineStr"/>
      <c r="V552" t="inlineStr"/>
      <c r="W552" t="inlineStr">
        <is>
          <t>Nej</t>
        </is>
      </c>
      <c r="X552" t="inlineStr">
        <is>
          <t>Nej</t>
        </is>
      </c>
      <c r="Y552" t="inlineStr">
        <is>
          <t>Nej</t>
        </is>
      </c>
      <c r="Z552" t="inlineStr">
        <is>
          <t>Nej</t>
        </is>
      </c>
      <c r="AA552" t="n">
        <v>10</v>
      </c>
      <c r="AB552" t="inlineStr">
        <is>
          <t>Miljopaverkan och forsiktighetsmatt</t>
        </is>
      </c>
      <c r="AC552" t="inlineStr">
        <is>
          <t>Miljo-PM</t>
        </is>
      </c>
      <c r="AD552" t="inlineStr">
        <is>
          <t>Nej</t>
        </is>
      </c>
      <c r="AE552" t="inlineStr">
        <is>
          <t>Nej</t>
        </is>
      </c>
      <c r="AF552" t="inlineStr">
        <is>
          <t>Ej behandlad</t>
        </is>
      </c>
      <c r="AG552" t="inlineStr">
        <is>
          <t>AUTO_GENERERAD. Verifiera citat mot kallfil.</t>
        </is>
      </c>
      <c r="AH552" t="inlineStr">
        <is>
          <t>MEDIUM</t>
        </is>
      </c>
      <c r="AI552" t="inlineStr">
        <is>
          <t>AUTO</t>
        </is>
      </c>
      <c r="AJ552" t="inlineStr">
        <is>
          <t>Nej</t>
        </is>
      </c>
      <c r="AK552" t="inlineStr"/>
      <c r="AL552" t="inlineStr"/>
      <c r="AM552" t="inlineStr"/>
      <c r="AN552" t="inlineStr"/>
      <c r="AO552" t="inlineStr">
        <is>
          <t>cmm4yuquq03yzcuqwmekbklcz</t>
        </is>
      </c>
      <c r="AP552" t="inlineStr">
        <is>
          <t>http://localhost:8787/api/admin/requirements/documents/cmm4yuquq03yzcuqwmekbklcz/view</t>
        </is>
      </c>
      <c r="AQ552">
        <f>HYPERLÄNK("http://localhost:8787/api/admin/requirements/documents/cmm4yuquq03yzcuqwmekbklcz/view";"Öppna PDF")</f>
        <v/>
      </c>
      <c r="AR552">
        <f>HYPERLINK("http://localhost:8787/api/admin/requirements/documents/cmm4yuquq03yzcuqwmekbklcz/view","Open PDF")</f>
        <v/>
      </c>
      <c r="AS552" t="inlineStr">
        <is>
          <t>cmm55w57p0004cuisfrtpqly8</t>
        </is>
      </c>
      <c r="AT552" t="inlineStr">
        <is>
          <t>cmm4xvu980000cuh4vj0usz09</t>
        </is>
      </c>
      <c r="AU552" t="inlineStr">
        <is>
          <t>Hässleholms</t>
        </is>
      </c>
      <c r="AV552" t="inlineStr">
        <is>
          <t>Kommun</t>
        </is>
      </c>
      <c r="AW552" t="inlineStr">
        <is>
          <t>Hässleholms kommun</t>
        </is>
      </c>
      <c r="AX552" t="inlineStr">
        <is>
          <t>2024-2225</t>
        </is>
      </c>
      <c r="AY552" t="inlineStr">
        <is>
          <t>Anmalan</t>
        </is>
      </c>
      <c r="AZ552" t="inlineStr">
        <is>
          <t>2026-02-05</t>
        </is>
      </c>
      <c r="BA552" t="inlineStr">
        <is>
          <t>M-2024-2225 - Anmälan (2).pdf</t>
        </is>
      </c>
      <c r="BB552" t="inlineStr">
        <is>
          <t>Sv:  Begäran om utlämnande av allmän handling – Anmälningar och beslut rörande mellanlagring av avfall samt anläggning av ytor</t>
        </is>
      </c>
      <c r="BC552" t="inlineStr">
        <is>
          <t>AUTO</t>
        </is>
      </c>
      <c r="BD552" t="inlineStr"/>
      <c r="BE552" t="inlineStr"/>
      <c r="BF552" t="inlineStr">
        <is>
          <t>AUTO_GENERERAD. Bekrafta metadata mot kallfil.</t>
        </is>
      </c>
      <c r="BG552">
        <f>HYPERLINK("C:\Users\jimmy\Desktop\Examens arbete\Kod\Ny mapp\remix_-copy-of-miljöbeslut.se-portal\M-2024-2225 - Anmälan (2).pdf", "Öppna PDF")</f>
        <v/>
      </c>
    </row>
    <row r="553">
      <c r="A553" t="inlineStr">
        <is>
          <t>KRAV-AUTO-000552</t>
        </is>
      </c>
      <c r="B553" t="inlineStr">
        <is>
          <t>ADMIN-INDEX-2026-02-27-00000000125C043F57453246863FE664CAFE6A3F0700950291EA24F0614FB6ACEDB12BF0E31D00000000010C0000950291EA24F0614FB6ACEDB12BF0E31D00002087A5D90000</t>
        </is>
      </c>
      <c r="C553" t="inlineStr">
        <is>
          <t>cmm4yuqu603yecuqws049eih9</t>
        </is>
      </c>
      <c r="D553" t="inlineStr">
        <is>
          <t>http://localhost:8787/api/admin/requirements/documents/cmm4yuqu603yecuqws049eih9/view</t>
        </is>
      </c>
      <c r="E553">
        <f>HYPERLÄNK("http://localhost:8787/api/admin/requirements/documents/cmm4yuqu603yecuqws049eih9/view";"Öppna PDF")</f>
        <v/>
      </c>
      <c r="F553">
        <f>HYPERLINK("http://localhost:8787/api/admin/requirements/documents/cmm4yuqu603yecuqws049eih9/view","Open PDF")</f>
        <v/>
      </c>
      <c r="G553" t="inlineStr">
        <is>
          <t>cmm55w57p0004cuisfrtpqly8</t>
        </is>
      </c>
      <c r="H553" t="inlineStr">
        <is>
          <t>Informationskrav</t>
        </is>
      </c>
      <c r="I553" t="inlineStr">
        <is>
          <t>DriftEgenkontroll</t>
        </is>
      </c>
      <c r="J553" t="inlineStr">
        <is>
          <t>Journalforing</t>
        </is>
      </c>
      <c r="K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3" t="inlineStr">
        <is>
          <t>SKA</t>
        </is>
      </c>
      <c r="N553" t="inlineStr"/>
      <c r="O553" t="inlineStr"/>
      <c r="P553" t="inlineStr">
        <is>
          <t>Arlig</t>
        </is>
      </c>
      <c r="Q553" t="inlineStr"/>
      <c r="R553" t="inlineStr">
        <is>
          <t>Lopande drift</t>
        </is>
      </c>
      <c r="S553" t="inlineStr"/>
      <c r="T553" t="inlineStr"/>
      <c r="U553" t="inlineStr"/>
      <c r="V553" t="inlineStr"/>
      <c r="W553" t="inlineStr">
        <is>
          <t>Nej</t>
        </is>
      </c>
      <c r="X553" t="inlineStr">
        <is>
          <t>Nej</t>
        </is>
      </c>
      <c r="Y553" t="inlineStr">
        <is>
          <t>Ja</t>
        </is>
      </c>
      <c r="Z553" t="inlineStr">
        <is>
          <t>Nej</t>
        </is>
      </c>
      <c r="AA553" t="n">
        <v>7</v>
      </c>
      <c r="AB553" t="inlineStr">
        <is>
          <t>Egenkontrollrutiner</t>
        </is>
      </c>
      <c r="AC553" t="inlineStr">
        <is>
          <t>Egenkontrollprogram</t>
        </is>
      </c>
      <c r="AD553" t="inlineStr">
        <is>
          <t>Nej</t>
        </is>
      </c>
      <c r="AE553" t="inlineStr">
        <is>
          <t>Nej</t>
        </is>
      </c>
      <c r="AF553" t="inlineStr">
        <is>
          <t>Ej behandlad</t>
        </is>
      </c>
      <c r="AG553" t="inlineStr">
        <is>
          <t>AUTO_GENERERAD. Verifiera citat mot kallfil.</t>
        </is>
      </c>
      <c r="AH553" t="inlineStr">
        <is>
          <t>MEDIUM</t>
        </is>
      </c>
      <c r="AI553" t="inlineStr">
        <is>
          <t>AUTO</t>
        </is>
      </c>
      <c r="AJ553" t="inlineStr">
        <is>
          <t>Nej</t>
        </is>
      </c>
      <c r="AK553" t="inlineStr"/>
      <c r="AL553" t="inlineStr"/>
      <c r="AM553" t="inlineStr"/>
      <c r="AN553" t="inlineStr"/>
      <c r="AO553" t="inlineStr">
        <is>
          <t>cmm4yuquq03yzcuqwmekbklcz</t>
        </is>
      </c>
      <c r="AP553" t="inlineStr">
        <is>
          <t>http://localhost:8787/api/admin/requirements/documents/cmm4yuquq03yzcuqwmekbklcz/view</t>
        </is>
      </c>
      <c r="AQ553">
        <f>HYPERLÄNK("http://localhost:8787/api/admin/requirements/documents/cmm4yuquq03yzcuqwmekbklcz/view";"Öppna PDF")</f>
        <v/>
      </c>
      <c r="AR553">
        <f>HYPERLINK("http://localhost:8787/api/admin/requirements/documents/cmm4yuquq03yzcuqwmekbklcz/view","Open PDF")</f>
        <v/>
      </c>
      <c r="AS553" t="inlineStr">
        <is>
          <t>cmm55w57p0004cuisfrtpqly8</t>
        </is>
      </c>
      <c r="AT553" t="inlineStr">
        <is>
          <t>cmm4xvu980000cuh4vj0usz09</t>
        </is>
      </c>
      <c r="AU553" t="inlineStr">
        <is>
          <t>Hässleholms</t>
        </is>
      </c>
      <c r="AV553" t="inlineStr">
        <is>
          <t>Kommun</t>
        </is>
      </c>
      <c r="AW553" t="inlineStr">
        <is>
          <t>Hässleholms kommun</t>
        </is>
      </c>
      <c r="AX553" t="inlineStr">
        <is>
          <t>2024-2225</t>
        </is>
      </c>
      <c r="AY553" t="inlineStr">
        <is>
          <t>Anmalan</t>
        </is>
      </c>
      <c r="AZ553" t="inlineStr">
        <is>
          <t>2026-02-05</t>
        </is>
      </c>
      <c r="BA553" t="inlineStr">
        <is>
          <t>M-2024-2225 - Anmälan (2).pdf</t>
        </is>
      </c>
      <c r="BB553" t="inlineStr">
        <is>
          <t>Sv:  Begäran om utlämnande av allmän handling – Anmälningar och beslut rörande mellanlagring av avfall samt anläggning av ytor</t>
        </is>
      </c>
      <c r="BC553" t="inlineStr">
        <is>
          <t>AUTO</t>
        </is>
      </c>
      <c r="BD553" t="inlineStr"/>
      <c r="BE553" t="inlineStr"/>
      <c r="BF553" t="inlineStr">
        <is>
          <t>AUTO_GENERERAD. Bekrafta metadata mot kallfil.</t>
        </is>
      </c>
      <c r="BG553">
        <f>HYPERLINK("C:\Users\jimmy\Desktop\Examens arbete\Kod\Ny mapp\remix_-copy-of-miljöbeslut.se-portal\M-2024-2225 - Anmälan (2).pdf", "Öppna PDF")</f>
        <v/>
      </c>
    </row>
    <row r="554">
      <c r="A554" t="inlineStr">
        <is>
          <t>KRAV-AUTO-000553</t>
        </is>
      </c>
      <c r="B554" t="inlineStr">
        <is>
          <t>ADMIN-INDEX-2026-02-27-00000000125C043F57453246863FE664CAFE6A3F0700950291EA24F0614FB6ACEDB12BF0E31D00000000010C0000950291EA24F0614FB6ACEDB12BF0E31D00002087A5D90000</t>
        </is>
      </c>
      <c r="C554" t="inlineStr">
        <is>
          <t>cmm4yuqu603yecuqws049eih9</t>
        </is>
      </c>
      <c r="D554" t="inlineStr">
        <is>
          <t>http://localhost:8787/api/admin/requirements/documents/cmm4yuqu603yecuqws049eih9/view</t>
        </is>
      </c>
      <c r="E554">
        <f>HYPERLÄNK("http://localhost:8787/api/admin/requirements/documents/cmm4yuqu603yecuqws049eih9/view";"Öppna PDF")</f>
        <v/>
      </c>
      <c r="F554">
        <f>HYPERLINK("http://localhost:8787/api/admin/requirements/documents/cmm4yuqu603yecuqws049eih9/view","Open PDF")</f>
        <v/>
      </c>
      <c r="G554" t="inlineStr">
        <is>
          <t>cmm55w57p0004cuisfrtpqly8</t>
        </is>
      </c>
      <c r="H554" t="inlineStr">
        <is>
          <t>Informationskrav</t>
        </is>
      </c>
      <c r="I554" t="inlineStr">
        <is>
          <t>DagvattenLakvatten</t>
        </is>
      </c>
      <c r="J554" t="inlineStr">
        <is>
          <t>Uppsamling</t>
        </is>
      </c>
      <c r="K554" t="inlineStr">
        <is>
          <t>6 § miljöbalken (SFS 1998:808) krävs en anmälan vid användning av avfall för anläggningsändamål på ett sätt som kan förorena mark, vattenområde eller grundvatten och där föroreningsrisken bedöms som ringa.</t>
        </is>
      </c>
      <c r="L554" t="inlineStr">
        <is>
          <t>6 § miljöbalken (SFS 1998:808) krävs en anmälan vid användning av avfall för anläggningsändamål på ett sätt som kan förorena mark, vattenområde eller grundvatten och där föroreningsrisken bedöms som ringa.</t>
        </is>
      </c>
      <c r="M554" t="inlineStr">
        <is>
          <t>SKA</t>
        </is>
      </c>
      <c r="N554" t="inlineStr">
        <is>
          <t>Miljobalken</t>
        </is>
      </c>
      <c r="O554" t="inlineStr"/>
      <c r="P554" t="inlineStr"/>
      <c r="Q554" t="inlineStr"/>
      <c r="R554" t="inlineStr">
        <is>
          <t>Vid nederbord och avrinning</t>
        </is>
      </c>
      <c r="S554" t="inlineStr"/>
      <c r="T554" t="inlineStr"/>
      <c r="U554" t="inlineStr"/>
      <c r="V554" t="inlineStr"/>
      <c r="W554" t="inlineStr">
        <is>
          <t>Nej</t>
        </is>
      </c>
      <c r="X554" t="inlineStr">
        <is>
          <t>Ja</t>
        </is>
      </c>
      <c r="Y554" t="inlineStr">
        <is>
          <t>Ja</t>
        </is>
      </c>
      <c r="Z554" t="inlineStr">
        <is>
          <t>Nej</t>
        </is>
      </c>
      <c r="AA554" t="n">
        <v>6</v>
      </c>
      <c r="AB554" t="inlineStr">
        <is>
          <t>Lakvattenhantering</t>
        </is>
      </c>
      <c r="AC554" t="inlineStr">
        <is>
          <t>Flodesschema dagvatten-lakvatten</t>
        </is>
      </c>
      <c r="AD554" t="inlineStr">
        <is>
          <t>Nej</t>
        </is>
      </c>
      <c r="AE554" t="inlineStr">
        <is>
          <t>Nej</t>
        </is>
      </c>
      <c r="AF554" t="inlineStr">
        <is>
          <t>Ej behandlad</t>
        </is>
      </c>
      <c r="AG554" t="inlineStr">
        <is>
          <t>AUTO_GENERERAD. Verifiera citat mot kallfil.</t>
        </is>
      </c>
      <c r="AH554" t="inlineStr">
        <is>
          <t>MEDIUM</t>
        </is>
      </c>
      <c r="AI554" t="inlineStr">
        <is>
          <t>AUTO</t>
        </is>
      </c>
      <c r="AJ554" t="inlineStr">
        <is>
          <t>Nej</t>
        </is>
      </c>
      <c r="AK554" t="inlineStr"/>
      <c r="AL554" t="inlineStr"/>
      <c r="AM554" t="inlineStr"/>
      <c r="AN554" t="inlineStr"/>
      <c r="AO554" t="inlineStr">
        <is>
          <t>cmm4yuquq03yzcuqwmekbklcz</t>
        </is>
      </c>
      <c r="AP554" t="inlineStr">
        <is>
          <t>http://localhost:8787/api/admin/requirements/documents/cmm4yuquq03yzcuqwmekbklcz/view</t>
        </is>
      </c>
      <c r="AQ554">
        <f>HYPERLÄNK("http://localhost:8787/api/admin/requirements/documents/cmm4yuquq03yzcuqwmekbklcz/view";"Öppna PDF")</f>
        <v/>
      </c>
      <c r="AR554">
        <f>HYPERLINK("http://localhost:8787/api/admin/requirements/documents/cmm4yuquq03yzcuqwmekbklcz/view","Open PDF")</f>
        <v/>
      </c>
      <c r="AS554" t="inlineStr">
        <is>
          <t>cmm55w57p0004cuisfrtpqly8</t>
        </is>
      </c>
      <c r="AT554" t="inlineStr">
        <is>
          <t>cmm4xvu980000cuh4vj0usz09</t>
        </is>
      </c>
      <c r="AU554" t="inlineStr">
        <is>
          <t>Hässleholms</t>
        </is>
      </c>
      <c r="AV554" t="inlineStr">
        <is>
          <t>Kommun</t>
        </is>
      </c>
      <c r="AW554" t="inlineStr">
        <is>
          <t>Hässleholms kommun</t>
        </is>
      </c>
      <c r="AX554" t="inlineStr">
        <is>
          <t>2024-2225</t>
        </is>
      </c>
      <c r="AY554" t="inlineStr">
        <is>
          <t>Anmalan</t>
        </is>
      </c>
      <c r="AZ554" t="inlineStr">
        <is>
          <t>2026-02-05</t>
        </is>
      </c>
      <c r="BA554" t="inlineStr">
        <is>
          <t>M-2024-2225 - Anmälan (2).pdf</t>
        </is>
      </c>
      <c r="BB554" t="inlineStr">
        <is>
          <t>Sv:  Begäran om utlämnande av allmän handling – Anmälningar och beslut rörande mellanlagring av avfall samt anläggning av ytor</t>
        </is>
      </c>
      <c r="BC554" t="inlineStr">
        <is>
          <t>AUTO</t>
        </is>
      </c>
      <c r="BD554" t="inlineStr"/>
      <c r="BE554" t="inlineStr"/>
      <c r="BF554" t="inlineStr">
        <is>
          <t>AUTO_GENERERAD. Bekrafta metadata mot kallfil.</t>
        </is>
      </c>
      <c r="BG554">
        <f>HYPERLINK("C:\Users\jimmy\Desktop\Examens arbete\Kod\Ny mapp\remix_-copy-of-miljöbeslut.se-portal\M-2024-2225 - Anmälan (2).pdf", "Öppna PDF")</f>
        <v/>
      </c>
    </row>
    <row r="555">
      <c r="A555" t="inlineStr">
        <is>
          <t>KRAV-AUTO-000554</t>
        </is>
      </c>
      <c r="B555" t="inlineStr">
        <is>
          <t>ADMIN-INDEX-2026-02-27-00000000125C043F57453246863FE664CAFE6A3F0700950291EA24F0614FB6ACEDB12BF0E31D00000000010C0000950291EA24F0614FB6ACEDB12BF0E31D00002087A5D90000</t>
        </is>
      </c>
      <c r="C555" t="inlineStr">
        <is>
          <t>cmm4yuqu603yecuqws049eih9</t>
        </is>
      </c>
      <c r="D555" t="inlineStr">
        <is>
          <t>http://localhost:8787/api/admin/requirements/documents/cmm4yuqu603yecuqws049eih9/view</t>
        </is>
      </c>
      <c r="E555">
        <f>HYPERLÄNK("http://localhost:8787/api/admin/requirements/documents/cmm4yuqu603yecuqws049eih9/view";"Öppna PDF")</f>
        <v/>
      </c>
      <c r="F555">
        <f>HYPERLINK("http://localhost:8787/api/admin/requirements/documents/cmm4yuqu603yecuqws049eih9/view","Open PDF")</f>
        <v/>
      </c>
      <c r="G555" t="inlineStr">
        <is>
          <t>cmm55w57p0004cuisfrtpqly8</t>
        </is>
      </c>
      <c r="H555" t="inlineStr">
        <is>
          <t>Informationskrav</t>
        </is>
      </c>
      <c r="I555" t="inlineStr">
        <is>
          <t>MiljopaverkanForsiktighet</t>
        </is>
      </c>
      <c r="J555" t="inlineStr">
        <is>
          <t>Skyddsatgarder</t>
        </is>
      </c>
      <c r="K555" t="inlineStr">
        <is>
          <t>- Skalenliga profilskisser av platsen där avfallet ska användas.</t>
        </is>
      </c>
      <c r="L555" t="inlineStr">
        <is>
          <t>- Skalenliga profilskisser av platsen där avfallet ska användas.</t>
        </is>
      </c>
      <c r="M555" t="inlineStr">
        <is>
          <t>SKA</t>
        </is>
      </c>
      <c r="N555" t="inlineStr"/>
      <c r="O555" t="inlineStr"/>
      <c r="P555" t="inlineStr"/>
      <c r="Q555" t="inlineStr"/>
      <c r="R555" t="inlineStr">
        <is>
          <t>Alltid</t>
        </is>
      </c>
      <c r="S555" t="inlineStr"/>
      <c r="T555" t="inlineStr"/>
      <c r="U555" t="inlineStr"/>
      <c r="V555" t="inlineStr"/>
      <c r="W555" t="inlineStr">
        <is>
          <t>Nej</t>
        </is>
      </c>
      <c r="X555" t="inlineStr">
        <is>
          <t>Nej</t>
        </is>
      </c>
      <c r="Y555" t="inlineStr">
        <is>
          <t>Nej</t>
        </is>
      </c>
      <c r="Z555" t="inlineStr">
        <is>
          <t>Nej</t>
        </is>
      </c>
      <c r="AA555" t="n">
        <v>10</v>
      </c>
      <c r="AB555" t="inlineStr">
        <is>
          <t>Miljopaverkan och forsiktighetsmatt</t>
        </is>
      </c>
      <c r="AC555" t="inlineStr">
        <is>
          <t>Miljo-PM</t>
        </is>
      </c>
      <c r="AD555" t="inlineStr">
        <is>
          <t>Nej</t>
        </is>
      </c>
      <c r="AE555" t="inlineStr">
        <is>
          <t>Nej</t>
        </is>
      </c>
      <c r="AF555" t="inlineStr">
        <is>
          <t>Ej behandlad</t>
        </is>
      </c>
      <c r="AG555" t="inlineStr">
        <is>
          <t>AUTO_GENERERAD. Verifiera citat mot kallfil.</t>
        </is>
      </c>
      <c r="AH555" t="inlineStr">
        <is>
          <t>MEDIUM</t>
        </is>
      </c>
      <c r="AI555" t="inlineStr">
        <is>
          <t>AUTO</t>
        </is>
      </c>
      <c r="AJ555" t="inlineStr">
        <is>
          <t>Nej</t>
        </is>
      </c>
      <c r="AK555" t="inlineStr"/>
      <c r="AL555" t="inlineStr"/>
      <c r="AM555" t="inlineStr"/>
      <c r="AN555" t="inlineStr"/>
      <c r="AO555" t="inlineStr">
        <is>
          <t>cmm4yuquq03yzcuqwmekbklcz</t>
        </is>
      </c>
      <c r="AP555" t="inlineStr">
        <is>
          <t>http://localhost:8787/api/admin/requirements/documents/cmm4yuquq03yzcuqwmekbklcz/view</t>
        </is>
      </c>
      <c r="AQ555">
        <f>HYPERLÄNK("http://localhost:8787/api/admin/requirements/documents/cmm4yuquq03yzcuqwmekbklcz/view";"Öppna PDF")</f>
        <v/>
      </c>
      <c r="AR555">
        <f>HYPERLINK("http://localhost:8787/api/admin/requirements/documents/cmm4yuquq03yzcuqwmekbklcz/view","Open PDF")</f>
        <v/>
      </c>
      <c r="AS555" t="inlineStr">
        <is>
          <t>cmm55w57p0004cuisfrtpqly8</t>
        </is>
      </c>
      <c r="AT555" t="inlineStr">
        <is>
          <t>cmm4xvu980000cuh4vj0usz09</t>
        </is>
      </c>
      <c r="AU555" t="inlineStr">
        <is>
          <t>Hässleholms</t>
        </is>
      </c>
      <c r="AV555" t="inlineStr">
        <is>
          <t>Kommun</t>
        </is>
      </c>
      <c r="AW555" t="inlineStr">
        <is>
          <t>Hässleholms kommun</t>
        </is>
      </c>
      <c r="AX555" t="inlineStr">
        <is>
          <t>2024-2225</t>
        </is>
      </c>
      <c r="AY555" t="inlineStr">
        <is>
          <t>Anmalan</t>
        </is>
      </c>
      <c r="AZ555" t="inlineStr">
        <is>
          <t>2026-02-05</t>
        </is>
      </c>
      <c r="BA555" t="inlineStr">
        <is>
          <t>M-2024-2225 - Anmälan (2).pdf</t>
        </is>
      </c>
      <c r="BB555" t="inlineStr">
        <is>
          <t>Sv:  Begäran om utlämnande av allmän handling – Anmälningar och beslut rörande mellanlagring av avfall samt anläggning av ytor</t>
        </is>
      </c>
      <c r="BC555" t="inlineStr">
        <is>
          <t>AUTO</t>
        </is>
      </c>
      <c r="BD555" t="inlineStr"/>
      <c r="BE555" t="inlineStr"/>
      <c r="BF555" t="inlineStr">
        <is>
          <t>AUTO_GENERERAD. Bekrafta metadata mot kallfil.</t>
        </is>
      </c>
      <c r="BG555">
        <f>HYPERLINK("C:\Users\jimmy\Desktop\Examens arbete\Kod\Ny mapp\remix_-copy-of-miljöbeslut.se-portal\M-2024-2225 - Anmälan (2).pdf", "Öppna PDF")</f>
        <v/>
      </c>
    </row>
    <row r="556">
      <c r="A556" t="inlineStr">
        <is>
          <t>KRAV-AUTO-000555</t>
        </is>
      </c>
      <c r="B556" t="inlineStr">
        <is>
          <t>ADMIN-INDEX-2026-02-27-00000000125C043F57453246863FE664CAFE6A3F0700950291EA24F0614FB6ACEDB12BF0E31D00000000010C0000950291EA24F0614FB6ACEDB12BF0E31D00002087A5D90000</t>
        </is>
      </c>
      <c r="C556" t="inlineStr">
        <is>
          <t>cmm4yuqu303ybcuqwtmwwfwey</t>
        </is>
      </c>
      <c r="D556" t="inlineStr">
        <is>
          <t>http://localhost:8787/api/admin/requirements/documents/cmm4yuqu303ybcuqwtmwwfwey/view</t>
        </is>
      </c>
      <c r="E556">
        <f>HYPERLÄNK("http://localhost:8787/api/admin/requirements/documents/cmm4yuqu303ybcuqwtmwwfwey/view";"Öppna PDF")</f>
        <v/>
      </c>
      <c r="F556">
        <f>HYPERLINK("http://localhost:8787/api/admin/requirements/documents/cmm4yuqu303ybcuqwtmwwfwey/view","Open PDF")</f>
        <v/>
      </c>
      <c r="G556" t="inlineStr">
        <is>
          <t>cmm55w57p0004cuisfrtpqly8</t>
        </is>
      </c>
      <c r="H556" t="inlineStr">
        <is>
          <t>Informationskrav</t>
        </is>
      </c>
      <c r="I556" t="inlineStr">
        <is>
          <t>DriftEgenkontroll</t>
        </is>
      </c>
      <c r="J556" t="inlineStr">
        <is>
          <t>Journalforing</t>
        </is>
      </c>
      <c r="K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6" t="inlineStr">
        <is>
          <t>SKA</t>
        </is>
      </c>
      <c r="N556" t="inlineStr"/>
      <c r="O556" t="inlineStr"/>
      <c r="P556" t="inlineStr">
        <is>
          <t>Arlig</t>
        </is>
      </c>
      <c r="Q556" t="inlineStr"/>
      <c r="R556" t="inlineStr">
        <is>
          <t>Lopande drift</t>
        </is>
      </c>
      <c r="S556" t="inlineStr"/>
      <c r="T556" t="inlineStr"/>
      <c r="U556" t="inlineStr"/>
      <c r="V556" t="inlineStr"/>
      <c r="W556" t="inlineStr">
        <is>
          <t>Nej</t>
        </is>
      </c>
      <c r="X556" t="inlineStr">
        <is>
          <t>Nej</t>
        </is>
      </c>
      <c r="Y556" t="inlineStr">
        <is>
          <t>Ja</t>
        </is>
      </c>
      <c r="Z556" t="inlineStr">
        <is>
          <t>Nej</t>
        </is>
      </c>
      <c r="AA556" t="n">
        <v>7</v>
      </c>
      <c r="AB556" t="inlineStr">
        <is>
          <t>Egenkontrollrutiner</t>
        </is>
      </c>
      <c r="AC556" t="inlineStr">
        <is>
          <t>Egenkontrollprogram</t>
        </is>
      </c>
      <c r="AD556" t="inlineStr">
        <is>
          <t>Nej</t>
        </is>
      </c>
      <c r="AE556" t="inlineStr">
        <is>
          <t>Nej</t>
        </is>
      </c>
      <c r="AF556" t="inlineStr">
        <is>
          <t>Ej behandlad</t>
        </is>
      </c>
      <c r="AG556" t="inlineStr">
        <is>
          <t>AUTO_GENERERAD. Verifiera citat mot kallfil.</t>
        </is>
      </c>
      <c r="AH556" t="inlineStr">
        <is>
          <t>MEDIUM</t>
        </is>
      </c>
      <c r="AI556" t="inlineStr">
        <is>
          <t>AUTO</t>
        </is>
      </c>
      <c r="AJ556" t="inlineStr">
        <is>
          <t>Nej</t>
        </is>
      </c>
      <c r="AK556" t="inlineStr"/>
      <c r="AL556" t="inlineStr"/>
      <c r="AM556" t="inlineStr"/>
      <c r="AN556" t="inlineStr"/>
      <c r="AO556" t="inlineStr">
        <is>
          <t>cmm4yuquq03yzcuqwmekbklcz</t>
        </is>
      </c>
      <c r="AP556" t="inlineStr">
        <is>
          <t>http://localhost:8787/api/admin/requirements/documents/cmm4yuquq03yzcuqwmekbklcz/view</t>
        </is>
      </c>
      <c r="AQ556">
        <f>HYPERLÄNK("http://localhost:8787/api/admin/requirements/documents/cmm4yuquq03yzcuqwmekbklcz/view";"Öppna PDF")</f>
        <v/>
      </c>
      <c r="AR556">
        <f>HYPERLINK("http://localhost:8787/api/admin/requirements/documents/cmm4yuquq03yzcuqwmekbklcz/view","Open PDF")</f>
        <v/>
      </c>
      <c r="AS556" t="inlineStr">
        <is>
          <t>cmm55w57p0004cuisfrtpqly8</t>
        </is>
      </c>
      <c r="AT556" t="inlineStr">
        <is>
          <t>cmm4xvu980000cuh4vj0usz09</t>
        </is>
      </c>
      <c r="AU556" t="inlineStr">
        <is>
          <t>Hässleholms</t>
        </is>
      </c>
      <c r="AV556" t="inlineStr">
        <is>
          <t>Kommun</t>
        </is>
      </c>
      <c r="AW556" t="inlineStr">
        <is>
          <t>Hässleholms kommun</t>
        </is>
      </c>
      <c r="AX556" t="inlineStr">
        <is>
          <t>2024-2225</t>
        </is>
      </c>
      <c r="AY556" t="inlineStr">
        <is>
          <t>Anmalan</t>
        </is>
      </c>
      <c r="AZ556" t="inlineStr">
        <is>
          <t>2026-02-05</t>
        </is>
      </c>
      <c r="BA556" t="inlineStr">
        <is>
          <t>M-2024-2225 - Anmälan (2).pdf</t>
        </is>
      </c>
      <c r="BB556" t="inlineStr">
        <is>
          <t>Sv:  Begäran om utlämnande av allmän handling – Anmälningar och beslut rörande mellanlagring av avfall samt anläggning av ytor</t>
        </is>
      </c>
      <c r="BC556" t="inlineStr">
        <is>
          <t>AUTO</t>
        </is>
      </c>
      <c r="BD556" t="inlineStr"/>
      <c r="BE556" t="inlineStr"/>
      <c r="BF556" t="inlineStr">
        <is>
          <t>AUTO_GENERERAD. Bekrafta metadata mot kallfil.</t>
        </is>
      </c>
      <c r="BG556">
        <f>HYPERLINK("C:\Users\jimmy\Desktop\Examens arbete\Kod\Ny mapp\remix_-copy-of-miljöbeslut.se-portal\M-2024-2225 - Anmälan (2).pdf", "Öppna PDF")</f>
        <v/>
      </c>
    </row>
    <row r="557">
      <c r="A557" t="inlineStr">
        <is>
          <t>KRAV-AUTO-000556</t>
        </is>
      </c>
      <c r="B557" t="inlineStr">
        <is>
          <t>ADMIN-INDEX-2026-02-27-00000000125C043F57453246863FE664CAFE6A3F0700950291EA24F0614FB6ACEDB12BF0E31D00000000010C0000950291EA24F0614FB6ACEDB12BF0E31D00002087A5D90000</t>
        </is>
      </c>
      <c r="C557" t="inlineStr">
        <is>
          <t>cmm4yuqu303ybcuqwtmwwfwey</t>
        </is>
      </c>
      <c r="D557" t="inlineStr">
        <is>
          <t>http://localhost:8787/api/admin/requirements/documents/cmm4yuqu303ybcuqwtmwwfwey/view</t>
        </is>
      </c>
      <c r="E557">
        <f>HYPERLÄNK("http://localhost:8787/api/admin/requirements/documents/cmm4yuqu303ybcuqwtmwwfwey/view";"Öppna PDF")</f>
        <v/>
      </c>
      <c r="F557">
        <f>HYPERLINK("http://localhost:8787/api/admin/requirements/documents/cmm4yuqu303ybcuqwtmwwfwey/view","Open PDF")</f>
        <v/>
      </c>
      <c r="G557" t="inlineStr">
        <is>
          <t>cmm55w57p0004cuisfrtpqly8</t>
        </is>
      </c>
      <c r="H557" t="inlineStr">
        <is>
          <t>Informationskrav</t>
        </is>
      </c>
      <c r="I557" t="inlineStr">
        <is>
          <t>DagvattenLakvatten</t>
        </is>
      </c>
      <c r="J557" t="inlineStr">
        <is>
          <t>Uppsamling</t>
        </is>
      </c>
      <c r="K557" t="inlineStr">
        <is>
          <t>6 § miljöbalken (SFS 1998:808) krävs en anmälan vid användning av avfall för anläggningsändamål på ett sätt som kan förorena mark, vattenområde eller grundvatten och där föroreningsrisken bedöms som ringa.</t>
        </is>
      </c>
      <c r="L557" t="inlineStr">
        <is>
          <t>6 § miljöbalken (SFS 1998:808) krävs en anmälan vid användning av avfall för anläggningsändamål på ett sätt som kan förorena mark, vattenområde eller grundvatten och där föroreningsrisken bedöms som ringa.</t>
        </is>
      </c>
      <c r="M557" t="inlineStr">
        <is>
          <t>SKA</t>
        </is>
      </c>
      <c r="N557" t="inlineStr">
        <is>
          <t>Miljobalken</t>
        </is>
      </c>
      <c r="O557" t="inlineStr"/>
      <c r="P557" t="inlineStr"/>
      <c r="Q557" t="inlineStr"/>
      <c r="R557" t="inlineStr">
        <is>
          <t>Vid nederbord och avrinning</t>
        </is>
      </c>
      <c r="S557" t="inlineStr"/>
      <c r="T557" t="inlineStr"/>
      <c r="U557" t="inlineStr"/>
      <c r="V557" t="inlineStr"/>
      <c r="W557" t="inlineStr">
        <is>
          <t>Nej</t>
        </is>
      </c>
      <c r="X557" t="inlineStr">
        <is>
          <t>Ja</t>
        </is>
      </c>
      <c r="Y557" t="inlineStr">
        <is>
          <t>Ja</t>
        </is>
      </c>
      <c r="Z557" t="inlineStr">
        <is>
          <t>Nej</t>
        </is>
      </c>
      <c r="AA557" t="n">
        <v>6</v>
      </c>
      <c r="AB557" t="inlineStr">
        <is>
          <t>Lakvattenhantering</t>
        </is>
      </c>
      <c r="AC557" t="inlineStr">
        <is>
          <t>Flodesschema dagvatten-lakvatten</t>
        </is>
      </c>
      <c r="AD557" t="inlineStr">
        <is>
          <t>Nej</t>
        </is>
      </c>
      <c r="AE557" t="inlineStr">
        <is>
          <t>Nej</t>
        </is>
      </c>
      <c r="AF557" t="inlineStr">
        <is>
          <t>Ej behandlad</t>
        </is>
      </c>
      <c r="AG557" t="inlineStr">
        <is>
          <t>AUTO_GENERERAD. Verifiera citat mot kallfil.</t>
        </is>
      </c>
      <c r="AH557" t="inlineStr">
        <is>
          <t>MEDIUM</t>
        </is>
      </c>
      <c r="AI557" t="inlineStr">
        <is>
          <t>AUTO</t>
        </is>
      </c>
      <c r="AJ557" t="inlineStr">
        <is>
          <t>Nej</t>
        </is>
      </c>
      <c r="AK557" t="inlineStr"/>
      <c r="AL557" t="inlineStr"/>
      <c r="AM557" t="inlineStr"/>
      <c r="AN557" t="inlineStr"/>
      <c r="AO557" t="inlineStr">
        <is>
          <t>cmm4yuquq03yzcuqwmekbklcz</t>
        </is>
      </c>
      <c r="AP557" t="inlineStr">
        <is>
          <t>http://localhost:8787/api/admin/requirements/documents/cmm4yuquq03yzcuqwmekbklcz/view</t>
        </is>
      </c>
      <c r="AQ557">
        <f>HYPERLÄNK("http://localhost:8787/api/admin/requirements/documents/cmm4yuquq03yzcuqwmekbklcz/view";"Öppna PDF")</f>
        <v/>
      </c>
      <c r="AR557">
        <f>HYPERLINK("http://localhost:8787/api/admin/requirements/documents/cmm4yuquq03yzcuqwmekbklcz/view","Open PDF")</f>
        <v/>
      </c>
      <c r="AS557" t="inlineStr">
        <is>
          <t>cmm55w57p0004cuisfrtpqly8</t>
        </is>
      </c>
      <c r="AT557" t="inlineStr">
        <is>
          <t>cmm4xvu980000cuh4vj0usz09</t>
        </is>
      </c>
      <c r="AU557" t="inlineStr">
        <is>
          <t>Hässleholms</t>
        </is>
      </c>
      <c r="AV557" t="inlineStr">
        <is>
          <t>Kommun</t>
        </is>
      </c>
      <c r="AW557" t="inlineStr">
        <is>
          <t>Hässleholms kommun</t>
        </is>
      </c>
      <c r="AX557" t="inlineStr">
        <is>
          <t>2024-2225</t>
        </is>
      </c>
      <c r="AY557" t="inlineStr">
        <is>
          <t>Anmalan</t>
        </is>
      </c>
      <c r="AZ557" t="inlineStr">
        <is>
          <t>2026-02-05</t>
        </is>
      </c>
      <c r="BA557" t="inlineStr">
        <is>
          <t>M-2024-2225 - Anmälan (2).pdf</t>
        </is>
      </c>
      <c r="BB557" t="inlineStr">
        <is>
          <t>Sv:  Begäran om utlämnande av allmän handling – Anmälningar och beslut rörande mellanlagring av avfall samt anläggning av ytor</t>
        </is>
      </c>
      <c r="BC557" t="inlineStr">
        <is>
          <t>AUTO</t>
        </is>
      </c>
      <c r="BD557" t="inlineStr"/>
      <c r="BE557" t="inlineStr"/>
      <c r="BF557" t="inlineStr">
        <is>
          <t>AUTO_GENERERAD. Bekrafta metadata mot kallfil.</t>
        </is>
      </c>
      <c r="BG557">
        <f>HYPERLINK("C:\Users\jimmy\Desktop\Examens arbete\Kod\Ny mapp\remix_-copy-of-miljöbeslut.se-portal\M-2024-2225 - Anmälan (2).pdf", "Öppna PDF")</f>
        <v/>
      </c>
    </row>
    <row r="558">
      <c r="A558" t="inlineStr">
        <is>
          <t>KRAV-AUTO-000557</t>
        </is>
      </c>
      <c r="B558" t="inlineStr">
        <is>
          <t>ADMIN-INDEX-2026-02-27-00000000125C043F57453246863FE664CAFE6A3F0700950291EA24F0614FB6ACEDB12BF0E31D00000000010C0000950291EA24F0614FB6ACEDB12BF0E31D00002087A5D90000</t>
        </is>
      </c>
      <c r="C558" t="inlineStr">
        <is>
          <t>cmm4yuqu303ybcuqwtmwwfwey</t>
        </is>
      </c>
      <c r="D558" t="inlineStr">
        <is>
          <t>http://localhost:8787/api/admin/requirements/documents/cmm4yuqu303ybcuqwtmwwfwey/view</t>
        </is>
      </c>
      <c r="E558">
        <f>HYPERLÄNK("http://localhost:8787/api/admin/requirements/documents/cmm4yuqu303ybcuqwtmwwfwey/view";"Öppna PDF")</f>
        <v/>
      </c>
      <c r="F558">
        <f>HYPERLINK("http://localhost:8787/api/admin/requirements/documents/cmm4yuqu303ybcuqwtmwwfwey/view","Open PDF")</f>
        <v/>
      </c>
      <c r="G558" t="inlineStr">
        <is>
          <t>cmm55w57p0004cuisfrtpqly8</t>
        </is>
      </c>
      <c r="H558" t="inlineStr">
        <is>
          <t>Informationskrav</t>
        </is>
      </c>
      <c r="I558" t="inlineStr">
        <is>
          <t>MiljopaverkanForsiktighet</t>
        </is>
      </c>
      <c r="J558" t="inlineStr">
        <is>
          <t>Skyddsatgarder</t>
        </is>
      </c>
      <c r="K558" t="inlineStr">
        <is>
          <t>- Skalenliga profilskisser av platsen där avfallet ska användas.</t>
        </is>
      </c>
      <c r="L558" t="inlineStr">
        <is>
          <t>- Skalenliga profilskisser av platsen där avfallet ska användas.</t>
        </is>
      </c>
      <c r="M558" t="inlineStr">
        <is>
          <t>SKA</t>
        </is>
      </c>
      <c r="N558" t="inlineStr"/>
      <c r="O558" t="inlineStr"/>
      <c r="P558" t="inlineStr"/>
      <c r="Q558" t="inlineStr"/>
      <c r="R558" t="inlineStr">
        <is>
          <t>Alltid</t>
        </is>
      </c>
      <c r="S558" t="inlineStr"/>
      <c r="T558" t="inlineStr"/>
      <c r="U558" t="inlineStr"/>
      <c r="V558" t="inlineStr"/>
      <c r="W558" t="inlineStr">
        <is>
          <t>Nej</t>
        </is>
      </c>
      <c r="X558" t="inlineStr">
        <is>
          <t>Nej</t>
        </is>
      </c>
      <c r="Y558" t="inlineStr">
        <is>
          <t>Nej</t>
        </is>
      </c>
      <c r="Z558" t="inlineStr">
        <is>
          <t>Nej</t>
        </is>
      </c>
      <c r="AA558" t="n">
        <v>10</v>
      </c>
      <c r="AB558" t="inlineStr">
        <is>
          <t>Miljopaverkan och forsiktighetsmatt</t>
        </is>
      </c>
      <c r="AC558" t="inlineStr">
        <is>
          <t>Miljo-PM</t>
        </is>
      </c>
      <c r="AD558" t="inlineStr">
        <is>
          <t>Nej</t>
        </is>
      </c>
      <c r="AE558" t="inlineStr">
        <is>
          <t>Nej</t>
        </is>
      </c>
      <c r="AF558" t="inlineStr">
        <is>
          <t>Ej behandlad</t>
        </is>
      </c>
      <c r="AG558" t="inlineStr">
        <is>
          <t>AUTO_GENERERAD. Verifiera citat mot kallfil.</t>
        </is>
      </c>
      <c r="AH558" t="inlineStr">
        <is>
          <t>MEDIUM</t>
        </is>
      </c>
      <c r="AI558" t="inlineStr">
        <is>
          <t>AUTO</t>
        </is>
      </c>
      <c r="AJ558" t="inlineStr">
        <is>
          <t>Nej</t>
        </is>
      </c>
      <c r="AK558" t="inlineStr"/>
      <c r="AL558" t="inlineStr"/>
      <c r="AM558" t="inlineStr"/>
      <c r="AN558" t="inlineStr"/>
      <c r="AO558" t="inlineStr">
        <is>
          <t>cmm4yuquq03yzcuqwmekbklcz</t>
        </is>
      </c>
      <c r="AP558" t="inlineStr">
        <is>
          <t>http://localhost:8787/api/admin/requirements/documents/cmm4yuquq03yzcuqwmekbklcz/view</t>
        </is>
      </c>
      <c r="AQ558">
        <f>HYPERLÄNK("http://localhost:8787/api/admin/requirements/documents/cmm4yuquq03yzcuqwmekbklcz/view";"Öppna PDF")</f>
        <v/>
      </c>
      <c r="AR558">
        <f>HYPERLINK("http://localhost:8787/api/admin/requirements/documents/cmm4yuquq03yzcuqwmekbklcz/view","Open PDF")</f>
        <v/>
      </c>
      <c r="AS558" t="inlineStr">
        <is>
          <t>cmm55w57p0004cuisfrtpqly8</t>
        </is>
      </c>
      <c r="AT558" t="inlineStr">
        <is>
          <t>cmm4xvu980000cuh4vj0usz09</t>
        </is>
      </c>
      <c r="AU558" t="inlineStr">
        <is>
          <t>Hässleholms</t>
        </is>
      </c>
      <c r="AV558" t="inlineStr">
        <is>
          <t>Kommun</t>
        </is>
      </c>
      <c r="AW558" t="inlineStr">
        <is>
          <t>Hässleholms kommun</t>
        </is>
      </c>
      <c r="AX558" t="inlineStr">
        <is>
          <t>2024-2225</t>
        </is>
      </c>
      <c r="AY558" t="inlineStr">
        <is>
          <t>Anmalan</t>
        </is>
      </c>
      <c r="AZ558" t="inlineStr">
        <is>
          <t>2026-02-05</t>
        </is>
      </c>
      <c r="BA558" t="inlineStr">
        <is>
          <t>M-2024-2225 - Anmälan (2).pdf</t>
        </is>
      </c>
      <c r="BB558" t="inlineStr">
        <is>
          <t>Sv:  Begäran om utlämnande av allmän handling – Anmälningar och beslut rörande mellanlagring av avfall samt anläggning av ytor</t>
        </is>
      </c>
      <c r="BC558" t="inlineStr">
        <is>
          <t>AUTO</t>
        </is>
      </c>
      <c r="BD558" t="inlineStr"/>
      <c r="BE558" t="inlineStr"/>
      <c r="BF558" t="inlineStr">
        <is>
          <t>AUTO_GENERERAD. Bekrafta metadata mot kallfil.</t>
        </is>
      </c>
      <c r="BG558">
        <f>HYPERLINK("C:\Users\jimmy\Desktop\Examens arbete\Kod\Ny mapp\remix_-copy-of-miljöbeslut.se-portal\M-2024-2225 - Anmälan (2).pdf", "Öppna PDF")</f>
        <v/>
      </c>
    </row>
    <row r="559">
      <c r="A559" t="inlineStr">
        <is>
          <t>KRAV-AUTO-000558</t>
        </is>
      </c>
      <c r="B559" t="inlineStr">
        <is>
          <t>ADMIN-INDEX-2026-02-27-00000000125C043F57453246863FE664CAFE6A3F0700950291EA24F0614FB6ACEDB12BF0E31D00000000010C0000950291EA24F0614FB6ACEDB12BF0E31D00002087A5D90000</t>
        </is>
      </c>
      <c r="C559" t="inlineStr">
        <is>
          <t>cmm4yuqtr03xzcuqwox96v0gt</t>
        </is>
      </c>
      <c r="D559" t="inlineStr">
        <is>
          <t>http://localhost:8787/api/admin/requirements/documents/cmm4yuqtr03xzcuqwox96v0gt/view</t>
        </is>
      </c>
      <c r="E559">
        <f>HYPERLÄNK("http://localhost:8787/api/admin/requirements/documents/cmm4yuqtr03xzcuqwox96v0gt/view";"Öppna PDF")</f>
        <v/>
      </c>
      <c r="F559">
        <f>HYPERLINK("http://localhost:8787/api/admin/requirements/documents/cmm4yuqtr03xzcuqwox96v0gt/view","Open PDF")</f>
        <v/>
      </c>
      <c r="G559" t="inlineStr">
        <is>
          <t>cmm55w57p0004cuisfrtpqly8</t>
        </is>
      </c>
      <c r="H559" t="inlineStr">
        <is>
          <t>Informationskrav</t>
        </is>
      </c>
      <c r="I559" t="inlineStr">
        <is>
          <t>LagringsvolymTid</t>
        </is>
      </c>
      <c r="J559" t="inlineStr">
        <is>
          <t>Maxmangd</t>
        </is>
      </c>
      <c r="K559" t="inlineStr">
        <is>
          <t>Beskrivning av avfallet Beskriv vilken typ av avfall som ska användas (ange även mängd i ton eller m³) Barlager 0,14,032 siltig sand.</t>
        </is>
      </c>
      <c r="L559" t="inlineStr">
        <is>
          <t>Beskrivning av avfallet Beskriv vilken typ av avfall som ska användas (ange även mängd i ton eller m³) Barlager 0,14,032 siltig sand.</t>
        </is>
      </c>
      <c r="M559" t="inlineStr">
        <is>
          <t>SKA</t>
        </is>
      </c>
      <c r="N559" t="inlineStr"/>
      <c r="O559" t="inlineStr"/>
      <c r="P559" t="inlineStr"/>
      <c r="Q559" t="inlineStr"/>
      <c r="R559" t="inlineStr">
        <is>
          <t>Alltid</t>
        </is>
      </c>
      <c r="S559" t="inlineStr"/>
      <c r="T559" t="inlineStr">
        <is>
          <t>556634</t>
        </is>
      </c>
      <c r="U559" t="inlineStr"/>
      <c r="V559" t="inlineStr"/>
      <c r="W559" t="inlineStr">
        <is>
          <t>Nej</t>
        </is>
      </c>
      <c r="X559" t="inlineStr">
        <is>
          <t>Nej</t>
        </is>
      </c>
      <c r="Y559" t="inlineStr">
        <is>
          <t>Nej</t>
        </is>
      </c>
      <c r="Z559" t="inlineStr">
        <is>
          <t>Nej</t>
        </is>
      </c>
      <c r="AA559" t="n">
        <v>4</v>
      </c>
      <c r="AB559" t="inlineStr">
        <is>
          <t>Avfallsmangder och lagringstid</t>
        </is>
      </c>
      <c r="AC559" t="inlineStr">
        <is>
          <t>Avfallsforteckning</t>
        </is>
      </c>
      <c r="AD559" t="inlineStr">
        <is>
          <t>Nej</t>
        </is>
      </c>
      <c r="AE559" t="inlineStr">
        <is>
          <t>Nej</t>
        </is>
      </c>
      <c r="AF559" t="inlineStr">
        <is>
          <t>Ej behandlad</t>
        </is>
      </c>
      <c r="AG559" t="inlineStr">
        <is>
          <t>AUTO_GENERERAD. Verifiera citat mot kallfil.</t>
        </is>
      </c>
      <c r="AH559" t="inlineStr">
        <is>
          <t>MEDIUM</t>
        </is>
      </c>
      <c r="AI559" t="inlineStr">
        <is>
          <t>AUTO</t>
        </is>
      </c>
      <c r="AJ559" t="inlineStr">
        <is>
          <t>Nej</t>
        </is>
      </c>
      <c r="AK559" t="inlineStr"/>
      <c r="AL559" t="inlineStr"/>
      <c r="AM559" t="inlineStr"/>
      <c r="AN559" t="inlineStr"/>
      <c r="AO559" t="inlineStr">
        <is>
          <t>cmm4yuquq03yzcuqwmekbklcz</t>
        </is>
      </c>
      <c r="AP559" t="inlineStr">
        <is>
          <t>http://localhost:8787/api/admin/requirements/documents/cmm4yuquq03yzcuqwmekbklcz/view</t>
        </is>
      </c>
      <c r="AQ559">
        <f>HYPERLÄNK("http://localhost:8787/api/admin/requirements/documents/cmm4yuquq03yzcuqwmekbklcz/view";"Öppna PDF")</f>
        <v/>
      </c>
      <c r="AR559">
        <f>HYPERLINK("http://localhost:8787/api/admin/requirements/documents/cmm4yuquq03yzcuqwmekbklcz/view","Open PDF")</f>
        <v/>
      </c>
      <c r="AS559" t="inlineStr">
        <is>
          <t>cmm55w57p0004cuisfrtpqly8</t>
        </is>
      </c>
      <c r="AT559" t="inlineStr">
        <is>
          <t>cmm4xvu980000cuh4vj0usz09</t>
        </is>
      </c>
      <c r="AU559" t="inlineStr">
        <is>
          <t>Hässleholms</t>
        </is>
      </c>
      <c r="AV559" t="inlineStr">
        <is>
          <t>Kommun</t>
        </is>
      </c>
      <c r="AW559" t="inlineStr">
        <is>
          <t>Hässleholms kommun</t>
        </is>
      </c>
      <c r="AX559" t="inlineStr">
        <is>
          <t>2024-2225</t>
        </is>
      </c>
      <c r="AY559" t="inlineStr">
        <is>
          <t>Anmalan</t>
        </is>
      </c>
      <c r="AZ559" t="inlineStr">
        <is>
          <t>2026-02-05</t>
        </is>
      </c>
      <c r="BA559" t="inlineStr">
        <is>
          <t>M-2024-2225 - Anmälan (2).pdf</t>
        </is>
      </c>
      <c r="BB559" t="inlineStr">
        <is>
          <t>Sv:  Begäran om utlämnande av allmän handling – Anmälningar och beslut rörande mellanlagring av avfall samt anläggning av ytor</t>
        </is>
      </c>
      <c r="BC559" t="inlineStr">
        <is>
          <t>AUTO</t>
        </is>
      </c>
      <c r="BD559" t="inlineStr"/>
      <c r="BE559" t="inlineStr"/>
      <c r="BF559" t="inlineStr">
        <is>
          <t>AUTO_GENERERAD. Bekrafta metadata mot kallfil.</t>
        </is>
      </c>
      <c r="BG559">
        <f>HYPERLINK("C:\Users\jimmy\Desktop\Examens arbete\Kod\Ny mapp\remix_-copy-of-miljöbeslut.se-portal\M-2024-2225 - Anmälan (2).pdf", "Öppna PDF")</f>
        <v/>
      </c>
    </row>
    <row r="560">
      <c r="A560" t="inlineStr">
        <is>
          <t>KRAV-AUTO-000559</t>
        </is>
      </c>
      <c r="B560" t="inlineStr">
        <is>
          <t>ADMIN-INDEX-2026-02-27-00000000125C043F57453246863FE664CAFE6A3F0700950291EA24F0614FB6ACEDB12BF0E31D00000000010C0000950291EA24F0614FB6ACEDB12BF0E31D00002087A5D90000</t>
        </is>
      </c>
      <c r="C560" t="inlineStr">
        <is>
          <t>cmm4yuqtr03xzcuqwox96v0gt</t>
        </is>
      </c>
      <c r="D560" t="inlineStr">
        <is>
          <t>http://localhost:8787/api/admin/requirements/documents/cmm4yuqtr03xzcuqwox96v0gt/view</t>
        </is>
      </c>
      <c r="E560">
        <f>HYPERLÄNK("http://localhost:8787/api/admin/requirements/documents/cmm4yuqtr03xzcuqwox96v0gt/view";"Öppna PDF")</f>
        <v/>
      </c>
      <c r="F560">
        <f>HYPERLINK("http://localhost:8787/api/admin/requirements/documents/cmm4yuqtr03xzcuqwox96v0gt/view","Open PDF")</f>
        <v/>
      </c>
      <c r="G560" t="inlineStr">
        <is>
          <t>cmm55w57p0004cuisfrtpqly8</t>
        </is>
      </c>
      <c r="H560" t="inlineStr">
        <is>
          <t>Informationskrav</t>
        </is>
      </c>
      <c r="I560" t="inlineStr">
        <is>
          <t>MiljopaverkanForsiktighet</t>
        </is>
      </c>
      <c r="J560" t="inlineStr">
        <is>
          <t>Skyddsatgarder</t>
        </is>
      </c>
      <c r="K560" t="inlineStr">
        <is>
          <t>Beskrivning av anläggningen Beskriv vad för slags anläggning som avfallet ska användas till och vilken funktion anläggningen fyller Upp fyllnad, av tount Som skall be bysgas med Industri fastighet.</t>
        </is>
      </c>
      <c r="L560" t="inlineStr">
        <is>
          <t>Beskrivning av anläggningen Beskriv vad för slags anläggning som avfallet ska användas till och vilken funktion anläggningen fyller Upp fyllnad, av tount Som skall be bysgas med Industri fastighet.</t>
        </is>
      </c>
      <c r="M560" t="inlineStr">
        <is>
          <t>SKA</t>
        </is>
      </c>
      <c r="N560" t="inlineStr"/>
      <c r="O560" t="inlineStr"/>
      <c r="P560" t="inlineStr"/>
      <c r="Q560" t="inlineStr"/>
      <c r="R560" t="inlineStr">
        <is>
          <t>Alltid</t>
        </is>
      </c>
      <c r="S560" t="inlineStr"/>
      <c r="T560" t="inlineStr">
        <is>
          <t>556634</t>
        </is>
      </c>
      <c r="U560" t="inlineStr"/>
      <c r="V560" t="inlineStr"/>
      <c r="W560" t="inlineStr">
        <is>
          <t>Nej</t>
        </is>
      </c>
      <c r="X560" t="inlineStr">
        <is>
          <t>Nej</t>
        </is>
      </c>
      <c r="Y560" t="inlineStr">
        <is>
          <t>Nej</t>
        </is>
      </c>
      <c r="Z560" t="inlineStr">
        <is>
          <t>Nej</t>
        </is>
      </c>
      <c r="AA560" t="n">
        <v>10</v>
      </c>
      <c r="AB560" t="inlineStr">
        <is>
          <t>Miljopaverkan och forsiktighetsmatt</t>
        </is>
      </c>
      <c r="AC560" t="inlineStr">
        <is>
          <t>Miljo-PM</t>
        </is>
      </c>
      <c r="AD560" t="inlineStr">
        <is>
          <t>Nej</t>
        </is>
      </c>
      <c r="AE560" t="inlineStr">
        <is>
          <t>Nej</t>
        </is>
      </c>
      <c r="AF560" t="inlineStr">
        <is>
          <t>Ej behandlad</t>
        </is>
      </c>
      <c r="AG560" t="inlineStr">
        <is>
          <t>AUTO_GENERERAD. Verifiera citat mot kallfil.</t>
        </is>
      </c>
      <c r="AH560" t="inlineStr">
        <is>
          <t>MEDIUM</t>
        </is>
      </c>
      <c r="AI560" t="inlineStr">
        <is>
          <t>AUTO</t>
        </is>
      </c>
      <c r="AJ560" t="inlineStr">
        <is>
          <t>Nej</t>
        </is>
      </c>
      <c r="AK560" t="inlineStr"/>
      <c r="AL560" t="inlineStr"/>
      <c r="AM560" t="inlineStr"/>
      <c r="AN560" t="inlineStr"/>
      <c r="AO560" t="inlineStr">
        <is>
          <t>cmm4yuquq03yzcuqwmekbklcz</t>
        </is>
      </c>
      <c r="AP560" t="inlineStr">
        <is>
          <t>http://localhost:8787/api/admin/requirements/documents/cmm4yuquq03yzcuqwmekbklcz/view</t>
        </is>
      </c>
      <c r="AQ560">
        <f>HYPERLÄNK("http://localhost:8787/api/admin/requirements/documents/cmm4yuquq03yzcuqwmekbklcz/view";"Öppna PDF")</f>
        <v/>
      </c>
      <c r="AR560">
        <f>HYPERLINK("http://localhost:8787/api/admin/requirements/documents/cmm4yuquq03yzcuqwmekbklcz/view","Open PDF")</f>
        <v/>
      </c>
      <c r="AS560" t="inlineStr">
        <is>
          <t>cmm55w57p0004cuisfrtpqly8</t>
        </is>
      </c>
      <c r="AT560" t="inlineStr">
        <is>
          <t>cmm4xvu980000cuh4vj0usz09</t>
        </is>
      </c>
      <c r="AU560" t="inlineStr">
        <is>
          <t>Hässleholms</t>
        </is>
      </c>
      <c r="AV560" t="inlineStr">
        <is>
          <t>Kommun</t>
        </is>
      </c>
      <c r="AW560" t="inlineStr">
        <is>
          <t>Hässleholms kommun</t>
        </is>
      </c>
      <c r="AX560" t="inlineStr">
        <is>
          <t>2024-2225</t>
        </is>
      </c>
      <c r="AY560" t="inlineStr">
        <is>
          <t>Anmalan</t>
        </is>
      </c>
      <c r="AZ560" t="inlineStr">
        <is>
          <t>2026-02-05</t>
        </is>
      </c>
      <c r="BA560" t="inlineStr">
        <is>
          <t>M-2024-2225 - Anmälan (2).pdf</t>
        </is>
      </c>
      <c r="BB560" t="inlineStr">
        <is>
          <t>Sv:  Begäran om utlämnande av allmän handling – Anmälningar och beslut rörande mellanlagring av avfall samt anläggning av ytor</t>
        </is>
      </c>
      <c r="BC560" t="inlineStr">
        <is>
          <t>AUTO</t>
        </is>
      </c>
      <c r="BD560" t="inlineStr"/>
      <c r="BE560" t="inlineStr"/>
      <c r="BF560" t="inlineStr">
        <is>
          <t>AUTO_GENERERAD. Bekrafta metadata mot kallfil.</t>
        </is>
      </c>
      <c r="BG560">
        <f>HYPERLINK("C:\Users\jimmy\Desktop\Examens arbete\Kod\Ny mapp\remix_-copy-of-miljöbeslut.se-portal\M-2024-2225 - Anmälan (2).pdf", "Öppna PDF")</f>
        <v/>
      </c>
    </row>
    <row r="561">
      <c r="A561" t="inlineStr">
        <is>
          <t>KRAV-AUTO-000560</t>
        </is>
      </c>
      <c r="B561" t="inlineStr">
        <is>
          <t>ADMIN-INDEX-2026-02-27-00000000125C043F57453246863FE664CAFE6A3F0700950291EA24F0614FB6ACEDB12BF0E31D00000000010C0000950291EA24F0614FB6ACEDB12BF0E31D00002087A5D90000</t>
        </is>
      </c>
      <c r="C561" t="inlineStr">
        <is>
          <t>cmm4yuqtr03xzcuqwox96v0gt</t>
        </is>
      </c>
      <c r="D561" t="inlineStr">
        <is>
          <t>http://localhost:8787/api/admin/requirements/documents/cmm4yuqtr03xzcuqwox96v0gt/view</t>
        </is>
      </c>
      <c r="E561">
        <f>HYPERLÄNK("http://localhost:8787/api/admin/requirements/documents/cmm4yuqtr03xzcuqwox96v0gt/view";"Öppna PDF")</f>
        <v/>
      </c>
      <c r="F561">
        <f>HYPERLINK("http://localhost:8787/api/admin/requirements/documents/cmm4yuqtr03xzcuqwox96v0gt/view","Open PDF")</f>
        <v/>
      </c>
      <c r="G561" t="inlineStr">
        <is>
          <t>cmm55w57p0004cuisfrtpqly8</t>
        </is>
      </c>
      <c r="H561" t="inlineStr">
        <is>
          <t>Informationskrav</t>
        </is>
      </c>
      <c r="I561" t="inlineStr">
        <is>
          <t>DriftEgenkontroll</t>
        </is>
      </c>
      <c r="J561" t="inlineStr">
        <is>
          <t>Journalforing</t>
        </is>
      </c>
      <c r="K561" t="inlineStr">
        <is>
          <t>Beskriv hur provtagningen av avfallet har genomförts Genom borrning matriser i läge se bilaga (6 4.</t>
        </is>
      </c>
      <c r="L561" t="inlineStr">
        <is>
          <t>Beskriv hur provtagningen av avfallet har genomförts Genom borrning matriser i läge se bilaga (6 4.</t>
        </is>
      </c>
      <c r="M561" t="inlineStr">
        <is>
          <t>BOR</t>
        </is>
      </c>
      <c r="N561" t="inlineStr"/>
      <c r="O561" t="inlineStr"/>
      <c r="P561" t="inlineStr"/>
      <c r="Q561" t="inlineStr"/>
      <c r="R561" t="inlineStr">
        <is>
          <t>Lopande drift</t>
        </is>
      </c>
      <c r="S561" t="inlineStr"/>
      <c r="T561" t="inlineStr">
        <is>
          <t>556634</t>
        </is>
      </c>
      <c r="U561" t="inlineStr"/>
      <c r="V561" t="inlineStr"/>
      <c r="W561" t="inlineStr">
        <is>
          <t>Nej</t>
        </is>
      </c>
      <c r="X561" t="inlineStr">
        <is>
          <t>Nej</t>
        </is>
      </c>
      <c r="Y561" t="inlineStr">
        <is>
          <t>Ja</t>
        </is>
      </c>
      <c r="Z561" t="inlineStr">
        <is>
          <t>Nej</t>
        </is>
      </c>
      <c r="AA561" t="n">
        <v>7</v>
      </c>
      <c r="AB561" t="inlineStr">
        <is>
          <t>Egenkontrollrutiner</t>
        </is>
      </c>
      <c r="AC561" t="inlineStr">
        <is>
          <t>Egenkontrollprogram</t>
        </is>
      </c>
      <c r="AD561" t="inlineStr">
        <is>
          <t>Nej</t>
        </is>
      </c>
      <c r="AE561" t="inlineStr">
        <is>
          <t>Nej</t>
        </is>
      </c>
      <c r="AF561" t="inlineStr">
        <is>
          <t>Ej behandlad</t>
        </is>
      </c>
      <c r="AG561" t="inlineStr">
        <is>
          <t>AUTO_GENERERAD. Verifiera citat mot kallfil.</t>
        </is>
      </c>
      <c r="AH561" t="inlineStr">
        <is>
          <t>MEDIUM</t>
        </is>
      </c>
      <c r="AI561" t="inlineStr">
        <is>
          <t>AUTO</t>
        </is>
      </c>
      <c r="AJ561" t="inlineStr">
        <is>
          <t>Nej</t>
        </is>
      </c>
      <c r="AK561" t="inlineStr"/>
      <c r="AL561" t="inlineStr"/>
      <c r="AM561" t="inlineStr"/>
      <c r="AN561" t="inlineStr"/>
      <c r="AO561" t="inlineStr">
        <is>
          <t>cmm4yuquq03yzcuqwmekbklcz</t>
        </is>
      </c>
      <c r="AP561" t="inlineStr">
        <is>
          <t>http://localhost:8787/api/admin/requirements/documents/cmm4yuquq03yzcuqwmekbklcz/view</t>
        </is>
      </c>
      <c r="AQ561">
        <f>HYPERLÄNK("http://localhost:8787/api/admin/requirements/documents/cmm4yuquq03yzcuqwmekbklcz/view";"Öppna PDF")</f>
        <v/>
      </c>
      <c r="AR561">
        <f>HYPERLINK("http://localhost:8787/api/admin/requirements/documents/cmm4yuquq03yzcuqwmekbklcz/view","Open PDF")</f>
        <v/>
      </c>
      <c r="AS561" t="inlineStr">
        <is>
          <t>cmm55w57p0004cuisfrtpqly8</t>
        </is>
      </c>
      <c r="AT561" t="inlineStr">
        <is>
          <t>cmm4xvu980000cuh4vj0usz09</t>
        </is>
      </c>
      <c r="AU561" t="inlineStr">
        <is>
          <t>Hässleholms</t>
        </is>
      </c>
      <c r="AV561" t="inlineStr">
        <is>
          <t>Kommun</t>
        </is>
      </c>
      <c r="AW561" t="inlineStr">
        <is>
          <t>Hässleholms kommun</t>
        </is>
      </c>
      <c r="AX561" t="inlineStr">
        <is>
          <t>2024-2225</t>
        </is>
      </c>
      <c r="AY561" t="inlineStr">
        <is>
          <t>Anmalan</t>
        </is>
      </c>
      <c r="AZ561" t="inlineStr">
        <is>
          <t>2026-02-05</t>
        </is>
      </c>
      <c r="BA561" t="inlineStr">
        <is>
          <t>M-2024-2225 - Anmälan (2).pdf</t>
        </is>
      </c>
      <c r="BB561" t="inlineStr">
        <is>
          <t>Sv:  Begäran om utlämnande av allmän handling – Anmälningar och beslut rörande mellanlagring av avfall samt anläggning av ytor</t>
        </is>
      </c>
      <c r="BC561" t="inlineStr">
        <is>
          <t>AUTO</t>
        </is>
      </c>
      <c r="BD561" t="inlineStr"/>
      <c r="BE561" t="inlineStr"/>
      <c r="BF561" t="inlineStr">
        <is>
          <t>AUTO_GENERERAD. Bekrafta metadata mot kallfil.</t>
        </is>
      </c>
      <c r="BG561">
        <f>HYPERLINK("C:\Users\jimmy\Desktop\Examens arbete\Kod\Ny mapp\remix_-copy-of-miljöbeslut.se-portal\M-2024-2225 - Anmälan (2).pdf", "Öppna PDF")</f>
        <v/>
      </c>
    </row>
    <row r="562">
      <c r="A562" t="inlineStr">
        <is>
          <t>KRAV-AUTO-000561</t>
        </is>
      </c>
      <c r="B562" t="inlineStr">
        <is>
          <t>ADMIN-INDEX-2026-02-27-00000000125C043F57453246863FE664CAFE6A3F0700950291EA24F0614FB6ACEDB12BF0E31D00000000010C0000950291EA24F0614FB6ACEDB12BF0E31D00002087A5D90000</t>
        </is>
      </c>
      <c r="C562" t="inlineStr">
        <is>
          <t>cmm4yuqto03xwcuqw14v3uafr</t>
        </is>
      </c>
      <c r="D562" t="inlineStr">
        <is>
          <t>http://localhost:8787/api/admin/requirements/documents/cmm4yuqto03xwcuqw14v3uafr/view</t>
        </is>
      </c>
      <c r="E562">
        <f>HYPERLÄNK("http://localhost:8787/api/admin/requirements/documents/cmm4yuqto03xwcuqw14v3uafr/view";"Öppna PDF")</f>
        <v/>
      </c>
      <c r="F562">
        <f>HYPERLINK("http://localhost:8787/api/admin/requirements/documents/cmm4yuqto03xwcuqw14v3uafr/view","Open PDF")</f>
        <v/>
      </c>
      <c r="G562" t="inlineStr">
        <is>
          <t>cmm55w57p0004cuisfrtpqly8</t>
        </is>
      </c>
      <c r="H562" t="inlineStr">
        <is>
          <t>Informationskrav</t>
        </is>
      </c>
      <c r="I562" t="inlineStr">
        <is>
          <t>DriftEgenkontroll</t>
        </is>
      </c>
      <c r="J562" t="inlineStr">
        <is>
          <t>Journalforing</t>
        </is>
      </c>
      <c r="K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62" t="inlineStr">
        <is>
          <t>SKA</t>
        </is>
      </c>
      <c r="N562" t="inlineStr"/>
      <c r="O562" t="inlineStr"/>
      <c r="P562" t="inlineStr">
        <is>
          <t>Arlig</t>
        </is>
      </c>
      <c r="Q562" t="inlineStr"/>
      <c r="R562" t="inlineStr">
        <is>
          <t>Lopande drift</t>
        </is>
      </c>
      <c r="S562" t="inlineStr"/>
      <c r="T562" t="inlineStr"/>
      <c r="U562" t="inlineStr"/>
      <c r="V562" t="inlineStr"/>
      <c r="W562" t="inlineStr">
        <is>
          <t>Nej</t>
        </is>
      </c>
      <c r="X562" t="inlineStr">
        <is>
          <t>Nej</t>
        </is>
      </c>
      <c r="Y562" t="inlineStr">
        <is>
          <t>Ja</t>
        </is>
      </c>
      <c r="Z562" t="inlineStr">
        <is>
          <t>Nej</t>
        </is>
      </c>
      <c r="AA562" t="n">
        <v>7</v>
      </c>
      <c r="AB562" t="inlineStr">
        <is>
          <t>Egenkontrollrutiner</t>
        </is>
      </c>
      <c r="AC562" t="inlineStr">
        <is>
          <t>Egenkontrollprogram</t>
        </is>
      </c>
      <c r="AD562" t="inlineStr">
        <is>
          <t>Nej</t>
        </is>
      </c>
      <c r="AE562" t="inlineStr">
        <is>
          <t>Nej</t>
        </is>
      </c>
      <c r="AF562" t="inlineStr">
        <is>
          <t>Ej behandlad</t>
        </is>
      </c>
      <c r="AG562" t="inlineStr">
        <is>
          <t>AUTO_GENERERAD. Verifiera citat mot kallfil.</t>
        </is>
      </c>
      <c r="AH562" t="inlineStr">
        <is>
          <t>MEDIUM</t>
        </is>
      </c>
      <c r="AI562" t="inlineStr">
        <is>
          <t>AUTO</t>
        </is>
      </c>
      <c r="AJ562" t="inlineStr">
        <is>
          <t>Nej</t>
        </is>
      </c>
      <c r="AK562" t="inlineStr"/>
      <c r="AL562" t="inlineStr"/>
      <c r="AM562" t="inlineStr"/>
      <c r="AN562" t="inlineStr"/>
      <c r="AO562" t="inlineStr">
        <is>
          <t>cmm4yuquq03yzcuqwmekbklcz</t>
        </is>
      </c>
      <c r="AP562" t="inlineStr">
        <is>
          <t>http://localhost:8787/api/admin/requirements/documents/cmm4yuquq03yzcuqwmekbklcz/view</t>
        </is>
      </c>
      <c r="AQ562">
        <f>HYPERLÄNK("http://localhost:8787/api/admin/requirements/documents/cmm4yuquq03yzcuqwmekbklcz/view";"Öppna PDF")</f>
        <v/>
      </c>
      <c r="AR562">
        <f>HYPERLINK("http://localhost:8787/api/admin/requirements/documents/cmm4yuquq03yzcuqwmekbklcz/view","Open PDF")</f>
        <v/>
      </c>
      <c r="AS562" t="inlineStr">
        <is>
          <t>cmm55w57p0004cuisfrtpqly8</t>
        </is>
      </c>
      <c r="AT562" t="inlineStr">
        <is>
          <t>cmm4xvu980000cuh4vj0usz09</t>
        </is>
      </c>
      <c r="AU562" t="inlineStr">
        <is>
          <t>Hässleholms</t>
        </is>
      </c>
      <c r="AV562" t="inlineStr">
        <is>
          <t>Kommun</t>
        </is>
      </c>
      <c r="AW562" t="inlineStr">
        <is>
          <t>Hässleholms kommun</t>
        </is>
      </c>
      <c r="AX562" t="inlineStr">
        <is>
          <t>2024-2225</t>
        </is>
      </c>
      <c r="AY562" t="inlineStr">
        <is>
          <t>Anmalan</t>
        </is>
      </c>
      <c r="AZ562" t="inlineStr">
        <is>
          <t>2026-02-05</t>
        </is>
      </c>
      <c r="BA562" t="inlineStr">
        <is>
          <t>M-2024-2225 - Anmälan (2).pdf</t>
        </is>
      </c>
      <c r="BB562" t="inlineStr">
        <is>
          <t>Sv:  Begäran om utlämnande av allmän handling – Anmälningar och beslut rörande mellanlagring av avfall samt anläggning av ytor</t>
        </is>
      </c>
      <c r="BC562" t="inlineStr">
        <is>
          <t>AUTO</t>
        </is>
      </c>
      <c r="BD562" t="inlineStr"/>
      <c r="BE562" t="inlineStr"/>
      <c r="BF562" t="inlineStr">
        <is>
          <t>AUTO_GENERERAD. Bekrafta metadata mot kallfil.</t>
        </is>
      </c>
      <c r="BG562">
        <f>HYPERLINK("C:\Users\jimmy\Desktop\Examens arbete\Kod\Ny mapp\remix_-copy-of-miljöbeslut.se-portal\M-2024-2225 - Anmälan (2).pdf", "Öppna PDF")</f>
        <v/>
      </c>
    </row>
    <row r="563">
      <c r="A563" t="inlineStr">
        <is>
          <t>KRAV-AUTO-000562</t>
        </is>
      </c>
      <c r="B563" t="inlineStr">
        <is>
          <t>ADMIN-INDEX-2026-02-27-00000000125C043F57453246863FE664CAFE6A3F0700950291EA24F0614FB6ACEDB12BF0E31D00000000010C0000950291EA24F0614FB6ACEDB12BF0E31D00002087A5D90000</t>
        </is>
      </c>
      <c r="C563" t="inlineStr">
        <is>
          <t>cmm4yuqto03xwcuqw14v3uafr</t>
        </is>
      </c>
      <c r="D563" t="inlineStr">
        <is>
          <t>http://localhost:8787/api/admin/requirements/documents/cmm4yuqto03xwcuqw14v3uafr/view</t>
        </is>
      </c>
      <c r="E563">
        <f>HYPERLÄNK("http://localhost:8787/api/admin/requirements/documents/cmm4yuqto03xwcuqw14v3uafr/view";"Öppna PDF")</f>
        <v/>
      </c>
      <c r="F563">
        <f>HYPERLINK("http://localhost:8787/api/admin/requirements/documents/cmm4yuqto03xwcuqw14v3uafr/view","Open PDF")</f>
        <v/>
      </c>
      <c r="G563" t="inlineStr">
        <is>
          <t>cmm55w57p0004cuisfrtpqly8</t>
        </is>
      </c>
      <c r="H563" t="inlineStr">
        <is>
          <t>Informationskrav</t>
        </is>
      </c>
      <c r="I563" t="inlineStr">
        <is>
          <t>DagvattenLakvatten</t>
        </is>
      </c>
      <c r="J563" t="inlineStr">
        <is>
          <t>Uppsamling</t>
        </is>
      </c>
      <c r="K563" t="inlineStr">
        <is>
          <t>6 § miljöbalken (SFS 1998:808) krävs en anmälan vid användning av avfall för anläggningsändamål på ett sätt som kan förorena mark, vattenområde eller grundvatten och där föroreningsrisken bedöms som ringa.</t>
        </is>
      </c>
      <c r="L563" t="inlineStr">
        <is>
          <t>6 § miljöbalken (SFS 1998:808) krävs en anmälan vid användning av avfall för anläggningsändamål på ett sätt som kan förorena mark, vattenområde eller grundvatten och där föroreningsrisken bedöms som ringa.</t>
        </is>
      </c>
      <c r="M563" t="inlineStr">
        <is>
          <t>SKA</t>
        </is>
      </c>
      <c r="N563" t="inlineStr">
        <is>
          <t>Miljobalken</t>
        </is>
      </c>
      <c r="O563" t="inlineStr"/>
      <c r="P563" t="inlineStr"/>
      <c r="Q563" t="inlineStr"/>
      <c r="R563" t="inlineStr">
        <is>
          <t>Vid nederbord och avrinning</t>
        </is>
      </c>
      <c r="S563" t="inlineStr"/>
      <c r="T563" t="inlineStr"/>
      <c r="U563" t="inlineStr"/>
      <c r="V563" t="inlineStr"/>
      <c r="W563" t="inlineStr">
        <is>
          <t>Nej</t>
        </is>
      </c>
      <c r="X563" t="inlineStr">
        <is>
          <t>Ja</t>
        </is>
      </c>
      <c r="Y563" t="inlineStr">
        <is>
          <t>Ja</t>
        </is>
      </c>
      <c r="Z563" t="inlineStr">
        <is>
          <t>Nej</t>
        </is>
      </c>
      <c r="AA563" t="n">
        <v>6</v>
      </c>
      <c r="AB563" t="inlineStr">
        <is>
          <t>Lakvattenhantering</t>
        </is>
      </c>
      <c r="AC563" t="inlineStr">
        <is>
          <t>Flodesschema dagvatten-lakvatten</t>
        </is>
      </c>
      <c r="AD563" t="inlineStr">
        <is>
          <t>Nej</t>
        </is>
      </c>
      <c r="AE563" t="inlineStr">
        <is>
          <t>Nej</t>
        </is>
      </c>
      <c r="AF563" t="inlineStr">
        <is>
          <t>Ej behandlad</t>
        </is>
      </c>
      <c r="AG563" t="inlineStr">
        <is>
          <t>AUTO_GENERERAD. Verifiera citat mot kallfil.</t>
        </is>
      </c>
      <c r="AH563" t="inlineStr">
        <is>
          <t>MEDIUM</t>
        </is>
      </c>
      <c r="AI563" t="inlineStr">
        <is>
          <t>AUTO</t>
        </is>
      </c>
      <c r="AJ563" t="inlineStr">
        <is>
          <t>Nej</t>
        </is>
      </c>
      <c r="AK563" t="inlineStr"/>
      <c r="AL563" t="inlineStr"/>
      <c r="AM563" t="inlineStr"/>
      <c r="AN563" t="inlineStr"/>
      <c r="AO563" t="inlineStr">
        <is>
          <t>cmm4yuquq03yzcuqwmekbklcz</t>
        </is>
      </c>
      <c r="AP563" t="inlineStr">
        <is>
          <t>http://localhost:8787/api/admin/requirements/documents/cmm4yuquq03yzcuqwmekbklcz/view</t>
        </is>
      </c>
      <c r="AQ563">
        <f>HYPERLÄNK("http://localhost:8787/api/admin/requirements/documents/cmm4yuquq03yzcuqwmekbklcz/view";"Öppna PDF")</f>
        <v/>
      </c>
      <c r="AR563">
        <f>HYPERLINK("http://localhost:8787/api/admin/requirements/documents/cmm4yuquq03yzcuqwmekbklcz/view","Open PDF")</f>
        <v/>
      </c>
      <c r="AS563" t="inlineStr">
        <is>
          <t>cmm55w57p0004cuisfrtpqly8</t>
        </is>
      </c>
      <c r="AT563" t="inlineStr">
        <is>
          <t>cmm4xvu980000cuh4vj0usz09</t>
        </is>
      </c>
      <c r="AU563" t="inlineStr">
        <is>
          <t>Hässleholms</t>
        </is>
      </c>
      <c r="AV563" t="inlineStr">
        <is>
          <t>Kommun</t>
        </is>
      </c>
      <c r="AW563" t="inlineStr">
        <is>
          <t>Hässleholms kommun</t>
        </is>
      </c>
      <c r="AX563" t="inlineStr">
        <is>
          <t>2024-2225</t>
        </is>
      </c>
      <c r="AY563" t="inlineStr">
        <is>
          <t>Anmalan</t>
        </is>
      </c>
      <c r="AZ563" t="inlineStr">
        <is>
          <t>2026-02-05</t>
        </is>
      </c>
      <c r="BA563" t="inlineStr">
        <is>
          <t>M-2024-2225 - Anmälan (2).pdf</t>
        </is>
      </c>
      <c r="BB563" t="inlineStr">
        <is>
          <t>Sv:  Begäran om utlämnande av allmän handling – Anmälningar och beslut rörande mellanlagring av avfall samt anläggning av ytor</t>
        </is>
      </c>
      <c r="BC563" t="inlineStr">
        <is>
          <t>AUTO</t>
        </is>
      </c>
      <c r="BD563" t="inlineStr"/>
      <c r="BE563" t="inlineStr"/>
      <c r="BF563" t="inlineStr">
        <is>
          <t>AUTO_GENERERAD. Bekrafta metadata mot kallfil.</t>
        </is>
      </c>
      <c r="BG563">
        <f>HYPERLINK("C:\Users\jimmy\Desktop\Examens arbete\Kod\Ny mapp\remix_-copy-of-miljöbeslut.se-portal\M-2024-2225 - Anmälan (2).pdf", "Öppna PDF")</f>
        <v/>
      </c>
    </row>
    <row r="564">
      <c r="A564" t="inlineStr">
        <is>
          <t>KRAV-AUTO-000563</t>
        </is>
      </c>
      <c r="B564" t="inlineStr">
        <is>
          <t>ADMIN-INDEX-2026-02-27-00000000125C043F57453246863FE664CAFE6A3F0700950291EA24F0614FB6ACEDB12BF0E31D00000000010C0000950291EA24F0614FB6ACEDB12BF0E31D00002087A5D90000</t>
        </is>
      </c>
      <c r="C564" t="inlineStr">
        <is>
          <t>cmm4yuqto03xwcuqw14v3uafr</t>
        </is>
      </c>
      <c r="D564" t="inlineStr">
        <is>
          <t>http://localhost:8787/api/admin/requirements/documents/cmm4yuqto03xwcuqw14v3uafr/view</t>
        </is>
      </c>
      <c r="E564">
        <f>HYPERLÄNK("http://localhost:8787/api/admin/requirements/documents/cmm4yuqto03xwcuqw14v3uafr/view";"Öppna PDF")</f>
        <v/>
      </c>
      <c r="F564">
        <f>HYPERLINK("http://localhost:8787/api/admin/requirements/documents/cmm4yuqto03xwcuqw14v3uafr/view","Open PDF")</f>
        <v/>
      </c>
      <c r="G564" t="inlineStr">
        <is>
          <t>cmm55w57p0004cuisfrtpqly8</t>
        </is>
      </c>
      <c r="H564" t="inlineStr">
        <is>
          <t>Informationskrav</t>
        </is>
      </c>
      <c r="I564" t="inlineStr">
        <is>
          <t>MiljopaverkanForsiktighet</t>
        </is>
      </c>
      <c r="J564" t="inlineStr">
        <is>
          <t>Skyddsatgarder</t>
        </is>
      </c>
      <c r="K564" t="inlineStr">
        <is>
          <t>- Skalenliga profilskisser av platsen där avfallet ska användas.</t>
        </is>
      </c>
      <c r="L564" t="inlineStr">
        <is>
          <t>- Skalenliga profilskisser av platsen där avfallet ska användas.</t>
        </is>
      </c>
      <c r="M564" t="inlineStr">
        <is>
          <t>SKA</t>
        </is>
      </c>
      <c r="N564" t="inlineStr"/>
      <c r="O564" t="inlineStr"/>
      <c r="P564" t="inlineStr"/>
      <c r="Q564" t="inlineStr"/>
      <c r="R564" t="inlineStr">
        <is>
          <t>Alltid</t>
        </is>
      </c>
      <c r="S564" t="inlineStr"/>
      <c r="T564" t="inlineStr"/>
      <c r="U564" t="inlineStr"/>
      <c r="V564" t="inlineStr"/>
      <c r="W564" t="inlineStr">
        <is>
          <t>Nej</t>
        </is>
      </c>
      <c r="X564" t="inlineStr">
        <is>
          <t>Nej</t>
        </is>
      </c>
      <c r="Y564" t="inlineStr">
        <is>
          <t>Nej</t>
        </is>
      </c>
      <c r="Z564" t="inlineStr">
        <is>
          <t>Nej</t>
        </is>
      </c>
      <c r="AA564" t="n">
        <v>10</v>
      </c>
      <c r="AB564" t="inlineStr">
        <is>
          <t>Miljopaverkan och forsiktighetsmatt</t>
        </is>
      </c>
      <c r="AC564" t="inlineStr">
        <is>
          <t>Miljo-PM</t>
        </is>
      </c>
      <c r="AD564" t="inlineStr">
        <is>
          <t>Nej</t>
        </is>
      </c>
      <c r="AE564" t="inlineStr">
        <is>
          <t>Nej</t>
        </is>
      </c>
      <c r="AF564" t="inlineStr">
        <is>
          <t>Ej behandlad</t>
        </is>
      </c>
      <c r="AG564" t="inlineStr">
        <is>
          <t>AUTO_GENERERAD. Verifiera citat mot kallfil.</t>
        </is>
      </c>
      <c r="AH564" t="inlineStr">
        <is>
          <t>MEDIUM</t>
        </is>
      </c>
      <c r="AI564" t="inlineStr">
        <is>
          <t>AUTO</t>
        </is>
      </c>
      <c r="AJ564" t="inlineStr">
        <is>
          <t>Nej</t>
        </is>
      </c>
      <c r="AK564" t="inlineStr"/>
      <c r="AL564" t="inlineStr"/>
      <c r="AM564" t="inlineStr"/>
      <c r="AN564" t="inlineStr"/>
      <c r="AO564" t="inlineStr">
        <is>
          <t>cmm4yuquq03yzcuqwmekbklcz</t>
        </is>
      </c>
      <c r="AP564" t="inlineStr">
        <is>
          <t>http://localhost:8787/api/admin/requirements/documents/cmm4yuquq03yzcuqwmekbklcz/view</t>
        </is>
      </c>
      <c r="AQ564">
        <f>HYPERLÄNK("http://localhost:8787/api/admin/requirements/documents/cmm4yuquq03yzcuqwmekbklcz/view";"Öppna PDF")</f>
        <v/>
      </c>
      <c r="AR564">
        <f>HYPERLINK("http://localhost:8787/api/admin/requirements/documents/cmm4yuquq03yzcuqwmekbklcz/view","Open PDF")</f>
        <v/>
      </c>
      <c r="AS564" t="inlineStr">
        <is>
          <t>cmm55w57p0004cuisfrtpqly8</t>
        </is>
      </c>
      <c r="AT564" t="inlineStr">
        <is>
          <t>cmm4xvu980000cuh4vj0usz09</t>
        </is>
      </c>
      <c r="AU564" t="inlineStr">
        <is>
          <t>Hässleholms</t>
        </is>
      </c>
      <c r="AV564" t="inlineStr">
        <is>
          <t>Kommun</t>
        </is>
      </c>
      <c r="AW564" t="inlineStr">
        <is>
          <t>Hässleholms kommun</t>
        </is>
      </c>
      <c r="AX564" t="inlineStr">
        <is>
          <t>2024-2225</t>
        </is>
      </c>
      <c r="AY564" t="inlineStr">
        <is>
          <t>Anmalan</t>
        </is>
      </c>
      <c r="AZ564" t="inlineStr">
        <is>
          <t>2026-02-05</t>
        </is>
      </c>
      <c r="BA564" t="inlineStr">
        <is>
          <t>M-2024-2225 - Anmälan (2).pdf</t>
        </is>
      </c>
      <c r="BB564" t="inlineStr">
        <is>
          <t>Sv:  Begäran om utlämnande av allmän handling – Anmälningar och beslut rörande mellanlagring av avfall samt anläggning av ytor</t>
        </is>
      </c>
      <c r="BC564" t="inlineStr">
        <is>
          <t>AUTO</t>
        </is>
      </c>
      <c r="BD564" t="inlineStr"/>
      <c r="BE564" t="inlineStr"/>
      <c r="BF564" t="inlineStr">
        <is>
          <t>AUTO_GENERERAD. Bekrafta metadata mot kallfil.</t>
        </is>
      </c>
      <c r="BG564">
        <f>HYPERLINK("C:\Users\jimmy\Desktop\Examens arbete\Kod\Ny mapp\remix_-copy-of-miljöbeslut.se-portal\M-2024-2225 - Anmälan (2).pdf", "Öppna PDF")</f>
        <v/>
      </c>
    </row>
    <row r="565">
      <c r="A565" t="inlineStr">
        <is>
          <t>KRAV-AUTO-000564</t>
        </is>
      </c>
      <c r="B565" t="inlineStr">
        <is>
          <t>ADMIN-INDEX-2026-02-27-00000000125C043F57453246863FE664CAFE6A3F0700950291EA24F0614FB6ACEDB12BF0E31D00000000010C0000950291EA24F0614FB6ACEDB12BF0E31D00002087A5DA0000</t>
        </is>
      </c>
      <c r="C565" t="inlineStr">
        <is>
          <t>cmm4yuqt903xhcuqwobok24wr</t>
        </is>
      </c>
      <c r="D565" t="inlineStr">
        <is>
          <t>http://localhost:8787/api/admin/requirements/documents/cmm4yuqt903xhcuqwobok24wr/view</t>
        </is>
      </c>
      <c r="E565">
        <f>HYPERLÄNK("http://localhost:8787/api/admin/requirements/documents/cmm4yuqt903xhcuqwobok24wr/view";"Öppna PDF")</f>
        <v/>
      </c>
      <c r="F565">
        <f>HYPERLINK("http://localhost:8787/api/admin/requirements/documents/cmm4yuqt903xhcuqwobok24wr/view","Open PDF")</f>
        <v/>
      </c>
      <c r="G565" t="inlineStr">
        <is>
          <t>cmm55w57p0004cuisfrtpqly8</t>
        </is>
      </c>
      <c r="H565" t="inlineStr">
        <is>
          <t>Informationskrav</t>
        </is>
      </c>
      <c r="I565" t="inlineStr">
        <is>
          <t>Riskhantering</t>
        </is>
      </c>
      <c r="J565" t="inlineStr">
        <is>
          <t>Riskkontroll</t>
        </is>
      </c>
      <c r="K565" t="inlineStr">
        <is>
          <t>Historisk har området delvis varit öppen mark varför vi anser att det inte krävs en anmälan för att skapa ny odlingsmark, se bilaga.</t>
        </is>
      </c>
      <c r="L565" t="inlineStr">
        <is>
          <t>Historisk har området delvis varit öppen mark varför vi anser att det inte krävs en anmälan för att skapa ny odlingsmark, se bilaga.</t>
        </is>
      </c>
      <c r="M565" t="inlineStr">
        <is>
          <t>SKA</t>
        </is>
      </c>
      <c r="N565" t="inlineStr"/>
      <c r="O565" t="inlineStr"/>
      <c r="P565" t="inlineStr"/>
      <c r="Q565" t="inlineStr"/>
      <c r="R565" t="inlineStr">
        <is>
          <t>Vid risk for incident</t>
        </is>
      </c>
      <c r="S565" t="inlineStr"/>
      <c r="T565" t="inlineStr">
        <is>
          <t>556876</t>
        </is>
      </c>
      <c r="U565" t="inlineStr"/>
      <c r="V565" t="inlineStr"/>
      <c r="W565" t="inlineStr">
        <is>
          <t>Nej</t>
        </is>
      </c>
      <c r="X565" t="inlineStr">
        <is>
          <t>Nej</t>
        </is>
      </c>
      <c r="Y565" t="inlineStr">
        <is>
          <t>Ja</t>
        </is>
      </c>
      <c r="Z565" t="inlineStr">
        <is>
          <t>Ja</t>
        </is>
      </c>
      <c r="AA565" t="n">
        <v>8</v>
      </c>
      <c r="AB565" t="inlineStr">
        <is>
          <t>Riskhantering</t>
        </is>
      </c>
      <c r="AC565" t="inlineStr">
        <is>
          <t>Risk-PM</t>
        </is>
      </c>
      <c r="AD565" t="inlineStr">
        <is>
          <t>Nej</t>
        </is>
      </c>
      <c r="AE565" t="inlineStr">
        <is>
          <t>Nej</t>
        </is>
      </c>
      <c r="AF565" t="inlineStr">
        <is>
          <t>Ej behandlad</t>
        </is>
      </c>
      <c r="AG565" t="inlineStr">
        <is>
          <t>AUTO_GENERERAD. Verifiera citat mot kallfil.</t>
        </is>
      </c>
      <c r="AH565" t="inlineStr">
        <is>
          <t>MEDIUM</t>
        </is>
      </c>
      <c r="AI565" t="inlineStr">
        <is>
          <t>AUTO</t>
        </is>
      </c>
      <c r="AJ565" t="inlineStr">
        <is>
          <t>Nej</t>
        </is>
      </c>
      <c r="AK565" t="inlineStr"/>
      <c r="AL565" t="inlineStr"/>
      <c r="AM565" t="inlineStr"/>
      <c r="AN565" t="inlineStr"/>
      <c r="AO565" t="inlineStr">
        <is>
          <t>cmm4yuqt403xbcuqwn5w6kvre</t>
        </is>
      </c>
      <c r="AP565" t="inlineStr">
        <is>
          <t>http://localhost:8787/api/admin/requirements/documents/cmm4yuqt403xbcuqwn5w6kvre/view</t>
        </is>
      </c>
      <c r="AQ565">
        <f>HYPERLÄNK("http://localhost:8787/api/admin/requirements/documents/cmm4yuqt403xbcuqwn5w6kvre/view";"Öppna PDF")</f>
        <v/>
      </c>
      <c r="AR565">
        <f>HYPERLINK("http://localhost:8787/api/admin/requirements/documents/cmm4yuqt403xbcuqwn5w6kvre/view","Open PDF")</f>
        <v/>
      </c>
      <c r="AS565" t="inlineStr">
        <is>
          <t>cmm55w57p0004cuisfrtpqly8</t>
        </is>
      </c>
      <c r="AT565" t="inlineStr">
        <is>
          <t>cmm4xvu980000cuh4vj0usz09</t>
        </is>
      </c>
      <c r="AU565" t="inlineStr"/>
      <c r="AV565" t="inlineStr">
        <is>
          <t>Kommun</t>
        </is>
      </c>
      <c r="AW565" t="inlineStr"/>
      <c r="AX565" t="inlineStr">
        <is>
          <t>2024-2166</t>
        </is>
      </c>
      <c r="AY565" t="inlineStr">
        <is>
          <t>Anmalan</t>
        </is>
      </c>
      <c r="AZ565" t="inlineStr">
        <is>
          <t>2026-02-05</t>
        </is>
      </c>
      <c r="BA565" t="inlineStr">
        <is>
          <t>M-2024-2166 - Anmälan.pdf</t>
        </is>
      </c>
      <c r="BB565" t="inlineStr">
        <is>
          <t>Sv:  Begäran om utlämnande av allmän handling – Anmälningar och beslut rörande mellanlagring av avfall samt anläggning av ytor</t>
        </is>
      </c>
      <c r="BC565" t="inlineStr">
        <is>
          <t>AUTO</t>
        </is>
      </c>
      <c r="BD565" t="inlineStr"/>
      <c r="BE565" t="inlineStr"/>
      <c r="BF565" t="inlineStr">
        <is>
          <t>AUTO_GENERERAD. Bekrafta metadata mot kallfil.</t>
        </is>
      </c>
      <c r="BG565">
        <f>HYPERLINK("C:\Users\jimmy\Desktop\Examens arbete\Kod\Ny mapp\remix_-copy-of-miljöbeslut.se-portal\M-2024-2166 - Anmälan.pdf", "Öppna PDF")</f>
        <v/>
      </c>
    </row>
    <row r="566">
      <c r="A566" t="inlineStr">
        <is>
          <t>KRAV-AUTO-000565</t>
        </is>
      </c>
      <c r="B566" t="inlineStr">
        <is>
          <t>ADMIN-INDEX-2026-02-27-00000000125C043F57453246863FE664CAFE6A3F0700950291EA24F0614FB6ACEDB12BF0E31D00000000010C0000950291EA24F0614FB6ACEDB12BF0E31D00002087A5DA0000</t>
        </is>
      </c>
      <c r="C566" t="inlineStr">
        <is>
          <t>cmm4yuqt903xhcuqwobok24wr</t>
        </is>
      </c>
      <c r="D566" t="inlineStr">
        <is>
          <t>http://localhost:8787/api/admin/requirements/documents/cmm4yuqt903xhcuqwobok24wr/view</t>
        </is>
      </c>
      <c r="E566">
        <f>HYPERLÄNK("http://localhost:8787/api/admin/requirements/documents/cmm4yuqt903xhcuqwobok24wr/view";"Öppna PDF")</f>
        <v/>
      </c>
      <c r="F566">
        <f>HYPERLINK("http://localhost:8787/api/admin/requirements/documents/cmm4yuqt903xhcuqwobok24wr/view","Open PDF")</f>
        <v/>
      </c>
      <c r="G566" t="inlineStr">
        <is>
          <t>cmm55w57p0004cuisfrtpqly8</t>
        </is>
      </c>
      <c r="H566" t="inlineStr">
        <is>
          <t>Informationskrav</t>
        </is>
      </c>
      <c r="I566" t="inlineStr">
        <is>
          <t>LagringsvolymTid</t>
        </is>
      </c>
      <c r="J566" t="inlineStr">
        <is>
          <t>Maxmangd</t>
        </is>
      </c>
      <c r="K566" t="inlineStr">
        <is>
          <t>Beskrivning av avfallet Beskriv vilken typ av avfall som ska användas (ange även mängd i ton eller m³) Mineraljord, 72 000 m3 och matjord 8 000 m3.</t>
        </is>
      </c>
      <c r="L566" t="inlineStr">
        <is>
          <t>Beskrivning av avfallet Beskriv vilken typ av avfall som ska användas (ange även mängd i ton eller m³) Mineraljord, 72 000 m3 och matjord 8 000 m3.</t>
        </is>
      </c>
      <c r="M566" t="inlineStr">
        <is>
          <t>SKA</t>
        </is>
      </c>
      <c r="N566" t="inlineStr"/>
      <c r="O566" t="inlineStr"/>
      <c r="P566" t="inlineStr"/>
      <c r="Q566" t="inlineStr"/>
      <c r="R566" t="inlineStr">
        <is>
          <t>Alltid</t>
        </is>
      </c>
      <c r="S566" t="inlineStr"/>
      <c r="T566" t="inlineStr">
        <is>
          <t>556876</t>
        </is>
      </c>
      <c r="U566" t="inlineStr"/>
      <c r="V566" t="inlineStr"/>
      <c r="W566" t="inlineStr">
        <is>
          <t>Nej</t>
        </is>
      </c>
      <c r="X566" t="inlineStr">
        <is>
          <t>Nej</t>
        </is>
      </c>
      <c r="Y566" t="inlineStr">
        <is>
          <t>Nej</t>
        </is>
      </c>
      <c r="Z566" t="inlineStr">
        <is>
          <t>Nej</t>
        </is>
      </c>
      <c r="AA566" t="n">
        <v>4</v>
      </c>
      <c r="AB566" t="inlineStr">
        <is>
          <t>Avfallsmangder och lagringstid</t>
        </is>
      </c>
      <c r="AC566" t="inlineStr">
        <is>
          <t>Avfallsforteckning</t>
        </is>
      </c>
      <c r="AD566" t="inlineStr">
        <is>
          <t>Nej</t>
        </is>
      </c>
      <c r="AE566" t="inlineStr">
        <is>
          <t>Nej</t>
        </is>
      </c>
      <c r="AF566" t="inlineStr">
        <is>
          <t>Ej behandlad</t>
        </is>
      </c>
      <c r="AG566" t="inlineStr">
        <is>
          <t>AUTO_GENERERAD. Verifiera citat mot kallfil.</t>
        </is>
      </c>
      <c r="AH566" t="inlineStr">
        <is>
          <t>MEDIUM</t>
        </is>
      </c>
      <c r="AI566" t="inlineStr">
        <is>
          <t>AUTO</t>
        </is>
      </c>
      <c r="AJ566" t="inlineStr">
        <is>
          <t>Nej</t>
        </is>
      </c>
      <c r="AK566" t="inlineStr"/>
      <c r="AL566" t="inlineStr"/>
      <c r="AM566" t="inlineStr"/>
      <c r="AN566" t="inlineStr"/>
      <c r="AO566" t="inlineStr">
        <is>
          <t>cmm4yuqt403xbcuqwn5w6kvre</t>
        </is>
      </c>
      <c r="AP566" t="inlineStr">
        <is>
          <t>http://localhost:8787/api/admin/requirements/documents/cmm4yuqt403xbcuqwn5w6kvre/view</t>
        </is>
      </c>
      <c r="AQ566">
        <f>HYPERLÄNK("http://localhost:8787/api/admin/requirements/documents/cmm4yuqt403xbcuqwn5w6kvre/view";"Öppna PDF")</f>
        <v/>
      </c>
      <c r="AR566">
        <f>HYPERLINK("http://localhost:8787/api/admin/requirements/documents/cmm4yuqt403xbcuqwn5w6kvre/view","Open PDF")</f>
        <v/>
      </c>
      <c r="AS566" t="inlineStr">
        <is>
          <t>cmm55w57p0004cuisfrtpqly8</t>
        </is>
      </c>
      <c r="AT566" t="inlineStr">
        <is>
          <t>cmm4xvu980000cuh4vj0usz09</t>
        </is>
      </c>
      <c r="AU566" t="inlineStr"/>
      <c r="AV566" t="inlineStr">
        <is>
          <t>Kommun</t>
        </is>
      </c>
      <c r="AW566" t="inlineStr"/>
      <c r="AX566" t="inlineStr">
        <is>
          <t>2024-2166</t>
        </is>
      </c>
      <c r="AY566" t="inlineStr">
        <is>
          <t>Anmalan</t>
        </is>
      </c>
      <c r="AZ566" t="inlineStr">
        <is>
          <t>2026-02-05</t>
        </is>
      </c>
      <c r="BA566" t="inlineStr">
        <is>
          <t>M-2024-2166 - Anmälan.pdf</t>
        </is>
      </c>
      <c r="BB566" t="inlineStr">
        <is>
          <t>Sv:  Begäran om utlämnande av allmän handling – Anmälningar och beslut rörande mellanlagring av avfall samt anläggning av ytor</t>
        </is>
      </c>
      <c r="BC566" t="inlineStr">
        <is>
          <t>AUTO</t>
        </is>
      </c>
      <c r="BD566" t="inlineStr"/>
      <c r="BE566" t="inlineStr"/>
      <c r="BF566" t="inlineStr">
        <is>
          <t>AUTO_GENERERAD. Bekrafta metadata mot kallfil.</t>
        </is>
      </c>
      <c r="BG566">
        <f>HYPERLINK("C:\Users\jimmy\Desktop\Examens arbete\Kod\Ny mapp\remix_-copy-of-miljöbeslut.se-portal\M-2024-2166 - Anmälan.pdf", "Öppna PDF")</f>
        <v/>
      </c>
    </row>
    <row r="567">
      <c r="A567" t="inlineStr">
        <is>
          <t>KRAV-AUTO-000566</t>
        </is>
      </c>
      <c r="B567" t="inlineStr">
        <is>
          <t>ADMIN-INDEX-2026-02-27-00000000125C043F57453246863FE664CAFE6A3F0700950291EA24F0614FB6ACEDB12BF0E31D00000000010C0000950291EA24F0614FB6ACEDB12BF0E31D00002087A5DA0000</t>
        </is>
      </c>
      <c r="C567" t="inlineStr">
        <is>
          <t>cmm4yuqt903xhcuqwobok24wr</t>
        </is>
      </c>
      <c r="D567" t="inlineStr">
        <is>
          <t>http://localhost:8787/api/admin/requirements/documents/cmm4yuqt903xhcuqwobok24wr/view</t>
        </is>
      </c>
      <c r="E567">
        <f>HYPERLÄNK("http://localhost:8787/api/admin/requirements/documents/cmm4yuqt903xhcuqwobok24wr/view";"Öppna PDF")</f>
        <v/>
      </c>
      <c r="F567">
        <f>HYPERLINK("http://localhost:8787/api/admin/requirements/documents/cmm4yuqt903xhcuqwobok24wr/view","Open PDF")</f>
        <v/>
      </c>
      <c r="G567" t="inlineStr">
        <is>
          <t>cmm55w57p0004cuisfrtpqly8</t>
        </is>
      </c>
      <c r="H567" t="inlineStr">
        <is>
          <t>Informationskrav</t>
        </is>
      </c>
      <c r="I567" t="inlineStr">
        <is>
          <t>DriftEgenkontroll</t>
        </is>
      </c>
      <c r="J567" t="inlineStr">
        <is>
          <t>Journalforing</t>
        </is>
      </c>
      <c r="K567" t="inlineStr">
        <is>
          <t>Beskriv hur provtagningen av avfallet har genomförts Maskintjänst i Åbuen AB planerar att ta emot och återvinna schaktmassor vid entreprenadarbeten tex åt Skanska, Trafikverket mfl.</t>
        </is>
      </c>
      <c r="L567" t="inlineStr">
        <is>
          <t>Beskriv hur provtagningen av avfallet har genomförts Maskintjänst i Åbuen AB planerar att ta emot och återvinna schaktmassor vid entreprenadarbeten tex åt Skanska, Trafikverket mfl.</t>
        </is>
      </c>
      <c r="M567" t="inlineStr">
        <is>
          <t>SKA</t>
        </is>
      </c>
      <c r="N567" t="inlineStr"/>
      <c r="O567" t="inlineStr"/>
      <c r="P567" t="inlineStr"/>
      <c r="Q567" t="inlineStr"/>
      <c r="R567" t="inlineStr">
        <is>
          <t>Lopande drift</t>
        </is>
      </c>
      <c r="S567" t="inlineStr"/>
      <c r="T567" t="inlineStr">
        <is>
          <t>556876</t>
        </is>
      </c>
      <c r="U567" t="inlineStr"/>
      <c r="V567" t="inlineStr"/>
      <c r="W567" t="inlineStr">
        <is>
          <t>Nej</t>
        </is>
      </c>
      <c r="X567" t="inlineStr">
        <is>
          <t>Nej</t>
        </is>
      </c>
      <c r="Y567" t="inlineStr">
        <is>
          <t>Ja</t>
        </is>
      </c>
      <c r="Z567" t="inlineStr">
        <is>
          <t>Nej</t>
        </is>
      </c>
      <c r="AA567" t="n">
        <v>7</v>
      </c>
      <c r="AB567" t="inlineStr">
        <is>
          <t>Egenkontrollrutiner</t>
        </is>
      </c>
      <c r="AC567" t="inlineStr">
        <is>
          <t>Egenkontrollprogram</t>
        </is>
      </c>
      <c r="AD567" t="inlineStr">
        <is>
          <t>Nej</t>
        </is>
      </c>
      <c r="AE567" t="inlineStr">
        <is>
          <t>Nej</t>
        </is>
      </c>
      <c r="AF567" t="inlineStr">
        <is>
          <t>Ej behandlad</t>
        </is>
      </c>
      <c r="AG567" t="inlineStr">
        <is>
          <t>AUTO_GENERERAD. Verifiera citat mot kallfil.</t>
        </is>
      </c>
      <c r="AH567" t="inlineStr">
        <is>
          <t>MEDIUM</t>
        </is>
      </c>
      <c r="AI567" t="inlineStr">
        <is>
          <t>AUTO</t>
        </is>
      </c>
      <c r="AJ567" t="inlineStr">
        <is>
          <t>Nej</t>
        </is>
      </c>
      <c r="AK567" t="inlineStr"/>
      <c r="AL567" t="inlineStr"/>
      <c r="AM567" t="inlineStr"/>
      <c r="AN567" t="inlineStr"/>
      <c r="AO567" t="inlineStr">
        <is>
          <t>cmm4yuqt403xbcuqwn5w6kvre</t>
        </is>
      </c>
      <c r="AP567" t="inlineStr">
        <is>
          <t>http://localhost:8787/api/admin/requirements/documents/cmm4yuqt403xbcuqwn5w6kvre/view</t>
        </is>
      </c>
      <c r="AQ567">
        <f>HYPERLÄNK("http://localhost:8787/api/admin/requirements/documents/cmm4yuqt403xbcuqwn5w6kvre/view";"Öppna PDF")</f>
        <v/>
      </c>
      <c r="AR567">
        <f>HYPERLINK("http://localhost:8787/api/admin/requirements/documents/cmm4yuqt403xbcuqwn5w6kvre/view","Open PDF")</f>
        <v/>
      </c>
      <c r="AS567" t="inlineStr">
        <is>
          <t>cmm55w57p0004cuisfrtpqly8</t>
        </is>
      </c>
      <c r="AT567" t="inlineStr">
        <is>
          <t>cmm4xvu980000cuh4vj0usz09</t>
        </is>
      </c>
      <c r="AU567" t="inlineStr"/>
      <c r="AV567" t="inlineStr">
        <is>
          <t>Kommun</t>
        </is>
      </c>
      <c r="AW567" t="inlineStr"/>
      <c r="AX567" t="inlineStr">
        <is>
          <t>2024-2166</t>
        </is>
      </c>
      <c r="AY567" t="inlineStr">
        <is>
          <t>Anmalan</t>
        </is>
      </c>
      <c r="AZ567" t="inlineStr">
        <is>
          <t>2026-02-05</t>
        </is>
      </c>
      <c r="BA567" t="inlineStr">
        <is>
          <t>M-2024-2166 - Anmälan.pdf</t>
        </is>
      </c>
      <c r="BB567" t="inlineStr">
        <is>
          <t>Sv:  Begäran om utlämnande av allmän handling – Anmälningar och beslut rörande mellanlagring av avfall samt anläggning av ytor</t>
        </is>
      </c>
      <c r="BC567" t="inlineStr">
        <is>
          <t>AUTO</t>
        </is>
      </c>
      <c r="BD567" t="inlineStr"/>
      <c r="BE567" t="inlineStr"/>
      <c r="BF567" t="inlineStr">
        <is>
          <t>AUTO_GENERERAD. Bekrafta metadata mot kallfil.</t>
        </is>
      </c>
      <c r="BG567">
        <f>HYPERLINK("C:\Users\jimmy\Desktop\Examens arbete\Kod\Ny mapp\remix_-copy-of-miljöbeslut.se-portal\M-2024-2166 - Anmälan.pdf", "Öppna PDF")</f>
        <v/>
      </c>
    </row>
    <row r="568">
      <c r="A568" t="inlineStr">
        <is>
          <t>KRAV-AUTO-000567</t>
        </is>
      </c>
      <c r="B568" t="inlineStr">
        <is>
          <t>ADMIN-INDEX-2026-02-27-00000000125C043F57453246863FE664CAFE6A3F0700950291EA24F0614FB6ACEDB12BF0E31D00000000010C0000950291EA24F0614FB6ACEDB12BF0E31D00002087A5DA0000</t>
        </is>
      </c>
      <c r="C568" t="inlineStr">
        <is>
          <t>cmm4yuqst03wzcuqwq0t736l6</t>
        </is>
      </c>
      <c r="D568" t="inlineStr">
        <is>
          <t>http://localhost:8787/api/admin/requirements/documents/cmm4yuqst03wzcuqwq0t736l6/view</t>
        </is>
      </c>
      <c r="E568">
        <f>HYPERLÄNK("http://localhost:8787/api/admin/requirements/documents/cmm4yuqst03wzcuqwq0t736l6/view";"Öppna PDF")</f>
        <v/>
      </c>
      <c r="F568">
        <f>HYPERLINK("http://localhost:8787/api/admin/requirements/documents/cmm4yuqst03wzcuqwq0t736l6/view","Open PDF")</f>
        <v/>
      </c>
      <c r="G568" t="inlineStr">
        <is>
          <t>cmm55w57p0004cuisfrtpqly8</t>
        </is>
      </c>
      <c r="H568" t="inlineStr">
        <is>
          <t>Informationskrav</t>
        </is>
      </c>
      <c r="I568" t="inlineStr">
        <is>
          <t>MiljopaverkanForsiktighet</t>
        </is>
      </c>
      <c r="J568" t="inlineStr">
        <is>
          <t>Skyddsatgarder</t>
        </is>
      </c>
      <c r="K568" t="inlineStr">
        <is>
          <t>För att massorna inte ska klassas som avfall krävs det att det finns en säkerställd avsättning för dem inom rimlig tidsrymd och att de är lämpliga för miljö och hälsa att använda på avsedd plats.</t>
        </is>
      </c>
      <c r="L568" t="inlineStr">
        <is>
          <t>För att massorna inte ska klassas som avfall krävs det att det finns en säkerställd avsättning för dem inom rimlig tidsrymd och att de är lämpliga för miljö och hälsa att använda på avsedd plats.</t>
        </is>
      </c>
      <c r="M568" t="inlineStr">
        <is>
          <t>SKA</t>
        </is>
      </c>
      <c r="N568" t="inlineStr"/>
      <c r="O568" t="inlineStr"/>
      <c r="P568" t="inlineStr"/>
      <c r="Q568" t="inlineStr"/>
      <c r="R568" t="inlineStr">
        <is>
          <t>Alltid</t>
        </is>
      </c>
      <c r="S568" t="inlineStr"/>
      <c r="T568" t="inlineStr">
        <is>
          <t>26 70 00</t>
        </is>
      </c>
      <c r="U568" t="inlineStr"/>
      <c r="V568" t="inlineStr"/>
      <c r="W568" t="inlineStr">
        <is>
          <t>Nej</t>
        </is>
      </c>
      <c r="X568" t="inlineStr">
        <is>
          <t>Nej</t>
        </is>
      </c>
      <c r="Y568" t="inlineStr">
        <is>
          <t>Nej</t>
        </is>
      </c>
      <c r="Z568" t="inlineStr">
        <is>
          <t>Nej</t>
        </is>
      </c>
      <c r="AA568" t="n">
        <v>10</v>
      </c>
      <c r="AB568" t="inlineStr">
        <is>
          <t>Miljopaverkan och forsiktighetsmatt</t>
        </is>
      </c>
      <c r="AC568" t="inlineStr">
        <is>
          <t>Miljo-PM</t>
        </is>
      </c>
      <c r="AD568" t="inlineStr">
        <is>
          <t>Nej</t>
        </is>
      </c>
      <c r="AE568" t="inlineStr">
        <is>
          <t>Nej</t>
        </is>
      </c>
      <c r="AF568" t="inlineStr">
        <is>
          <t>Ej behandlad</t>
        </is>
      </c>
      <c r="AG568" t="inlineStr">
        <is>
          <t>AUTO_GENERERAD. Verifiera citat mot kallfil.</t>
        </is>
      </c>
      <c r="AH568" t="inlineStr">
        <is>
          <t>MEDIUM</t>
        </is>
      </c>
      <c r="AI568" t="inlineStr">
        <is>
          <t>AUTO</t>
        </is>
      </c>
      <c r="AJ568" t="inlineStr">
        <is>
          <t>Nej</t>
        </is>
      </c>
      <c r="AK568" t="inlineStr"/>
      <c r="AL568" t="inlineStr"/>
      <c r="AM568" t="inlineStr"/>
      <c r="AN568" t="inlineStr"/>
      <c r="AO568" t="inlineStr">
        <is>
          <t>cmm4yuqt403xbcuqwn5w6kvre</t>
        </is>
      </c>
      <c r="AP568" t="inlineStr">
        <is>
          <t>http://localhost:8787/api/admin/requirements/documents/cmm4yuqt403xbcuqwn5w6kvre/view</t>
        </is>
      </c>
      <c r="AQ568">
        <f>HYPERLÄNK("http://localhost:8787/api/admin/requirements/documents/cmm4yuqt403xbcuqwn5w6kvre/view";"Öppna PDF")</f>
        <v/>
      </c>
      <c r="AR568">
        <f>HYPERLINK("http://localhost:8787/api/admin/requirements/documents/cmm4yuqt403xbcuqwn5w6kvre/view","Open PDF")</f>
        <v/>
      </c>
      <c r="AS568" t="inlineStr">
        <is>
          <t>cmm55w57p0004cuisfrtpqly8</t>
        </is>
      </c>
      <c r="AT568" t="inlineStr">
        <is>
          <t>cmm4xvu980000cuh4vj0usz09</t>
        </is>
      </c>
      <c r="AU568" t="inlineStr"/>
      <c r="AV568" t="inlineStr">
        <is>
          <t>Kommun</t>
        </is>
      </c>
      <c r="AW568" t="inlineStr"/>
      <c r="AX568" t="inlineStr">
        <is>
          <t>2024-2166</t>
        </is>
      </c>
      <c r="AY568" t="inlineStr">
        <is>
          <t>Anmalan</t>
        </is>
      </c>
      <c r="AZ568" t="inlineStr">
        <is>
          <t>2026-02-05</t>
        </is>
      </c>
      <c r="BA568" t="inlineStr">
        <is>
          <t>M-2024-2166 - Anmälan.pdf</t>
        </is>
      </c>
      <c r="BB568" t="inlineStr">
        <is>
          <t>Sv:  Begäran om utlämnande av allmän handling – Anmälningar och beslut rörande mellanlagring av avfall samt anläggning av ytor</t>
        </is>
      </c>
      <c r="BC568" t="inlineStr">
        <is>
          <t>AUTO</t>
        </is>
      </c>
      <c r="BD568" t="inlineStr"/>
      <c r="BE568" t="inlineStr"/>
      <c r="BF568" t="inlineStr">
        <is>
          <t>AUTO_GENERERAD. Bekrafta metadata mot kallfil.</t>
        </is>
      </c>
      <c r="BG568">
        <f>HYPERLINK("C:\Users\jimmy\Desktop\Examens arbete\Kod\Ny mapp\remix_-copy-of-miljöbeslut.se-portal\M-2024-2166 - Anmälan.pdf", "Öppna PDF")</f>
        <v/>
      </c>
    </row>
    <row r="569">
      <c r="A569" t="inlineStr">
        <is>
          <t>KRAV-AUTO-000568</t>
        </is>
      </c>
      <c r="B569" t="inlineStr">
        <is>
          <t>ADMIN-INDEX-2026-02-27-00000000125C043F57453246863FE664CAFE6A3F0700950291EA24F0614FB6ACEDB12BF0E31D00000000010C0000950291EA24F0614FB6ACEDB12BF0E31D00002087A5DA0000</t>
        </is>
      </c>
      <c r="C569" t="inlineStr">
        <is>
          <t>cmm4yuqst03wzcuqwq0t736l6</t>
        </is>
      </c>
      <c r="D569" t="inlineStr">
        <is>
          <t>http://localhost:8787/api/admin/requirements/documents/cmm4yuqst03wzcuqwq0t736l6/view</t>
        </is>
      </c>
      <c r="E569">
        <f>HYPERLÄNK("http://localhost:8787/api/admin/requirements/documents/cmm4yuqst03wzcuqwq0t736l6/view";"Öppna PDF")</f>
        <v/>
      </c>
      <c r="F569">
        <f>HYPERLINK("http://localhost:8787/api/admin/requirements/documents/cmm4yuqst03wzcuqwq0t736l6/view","Open PDF")</f>
        <v/>
      </c>
      <c r="G569" t="inlineStr">
        <is>
          <t>cmm55w57p0004cuisfrtpqly8</t>
        </is>
      </c>
      <c r="H569" t="inlineStr">
        <is>
          <t>Informationskrav</t>
        </is>
      </c>
      <c r="I569" t="inlineStr">
        <is>
          <t>MiljopaverkanForsiktighet</t>
        </is>
      </c>
      <c r="J569" t="inlineStr">
        <is>
          <t>Skyddsatgarder</t>
        </is>
      </c>
      <c r="K569" t="inlineStr">
        <is>
          <t>Enligt inkommen anmälan ska massorna inte utgöra ett avfall.</t>
        </is>
      </c>
      <c r="L569" t="inlineStr">
        <is>
          <t>Enligt inkommen anmälan ska massorna inte utgöra ett avfall.</t>
        </is>
      </c>
      <c r="M569" t="inlineStr">
        <is>
          <t>SKA</t>
        </is>
      </c>
      <c r="N569" t="inlineStr"/>
      <c r="O569" t="inlineStr"/>
      <c r="P569" t="inlineStr"/>
      <c r="Q569" t="inlineStr"/>
      <c r="R569" t="inlineStr">
        <is>
          <t>Alltid</t>
        </is>
      </c>
      <c r="S569" t="inlineStr"/>
      <c r="T569" t="inlineStr">
        <is>
          <t>26 70 00</t>
        </is>
      </c>
      <c r="U569" t="inlineStr"/>
      <c r="V569" t="inlineStr"/>
      <c r="W569" t="inlineStr">
        <is>
          <t>Nej</t>
        </is>
      </c>
      <c r="X569" t="inlineStr">
        <is>
          <t>Nej</t>
        </is>
      </c>
      <c r="Y569" t="inlineStr">
        <is>
          <t>Nej</t>
        </is>
      </c>
      <c r="Z569" t="inlineStr">
        <is>
          <t>Nej</t>
        </is>
      </c>
      <c r="AA569" t="n">
        <v>10</v>
      </c>
      <c r="AB569" t="inlineStr">
        <is>
          <t>Miljopaverkan och forsiktighetsmatt</t>
        </is>
      </c>
      <c r="AC569" t="inlineStr">
        <is>
          <t>Miljo-PM</t>
        </is>
      </c>
      <c r="AD569" t="inlineStr">
        <is>
          <t>Nej</t>
        </is>
      </c>
      <c r="AE569" t="inlineStr">
        <is>
          <t>Nej</t>
        </is>
      </c>
      <c r="AF569" t="inlineStr">
        <is>
          <t>Ej behandlad</t>
        </is>
      </c>
      <c r="AG569" t="inlineStr">
        <is>
          <t>AUTO_GENERERAD. Verifiera citat mot kallfil.</t>
        </is>
      </c>
      <c r="AH569" t="inlineStr">
        <is>
          <t>MEDIUM</t>
        </is>
      </c>
      <c r="AI569" t="inlineStr">
        <is>
          <t>AUTO</t>
        </is>
      </c>
      <c r="AJ569" t="inlineStr">
        <is>
          <t>Nej</t>
        </is>
      </c>
      <c r="AK569" t="inlineStr"/>
      <c r="AL569" t="inlineStr"/>
      <c r="AM569" t="inlineStr"/>
      <c r="AN569" t="inlineStr"/>
      <c r="AO569" t="inlineStr">
        <is>
          <t>cmm4yuqt403xbcuqwn5w6kvre</t>
        </is>
      </c>
      <c r="AP569" t="inlineStr">
        <is>
          <t>http://localhost:8787/api/admin/requirements/documents/cmm4yuqt403xbcuqwn5w6kvre/view</t>
        </is>
      </c>
      <c r="AQ569">
        <f>HYPERLÄNK("http://localhost:8787/api/admin/requirements/documents/cmm4yuqt403xbcuqwn5w6kvre/view";"Öppna PDF")</f>
        <v/>
      </c>
      <c r="AR569">
        <f>HYPERLINK("http://localhost:8787/api/admin/requirements/documents/cmm4yuqt403xbcuqwn5w6kvre/view","Open PDF")</f>
        <v/>
      </c>
      <c r="AS569" t="inlineStr">
        <is>
          <t>cmm55w57p0004cuisfrtpqly8</t>
        </is>
      </c>
      <c r="AT569" t="inlineStr">
        <is>
          <t>cmm4xvu980000cuh4vj0usz09</t>
        </is>
      </c>
      <c r="AU569" t="inlineStr"/>
      <c r="AV569" t="inlineStr">
        <is>
          <t>Kommun</t>
        </is>
      </c>
      <c r="AW569" t="inlineStr"/>
      <c r="AX569" t="inlineStr">
        <is>
          <t>2024-2166</t>
        </is>
      </c>
      <c r="AY569" t="inlineStr">
        <is>
          <t>Anmalan</t>
        </is>
      </c>
      <c r="AZ569" t="inlineStr">
        <is>
          <t>2026-02-05</t>
        </is>
      </c>
      <c r="BA569" t="inlineStr">
        <is>
          <t>M-2024-2166 - Anmälan.pdf</t>
        </is>
      </c>
      <c r="BB569" t="inlineStr">
        <is>
          <t>Sv:  Begäran om utlämnande av allmän handling – Anmälningar och beslut rörande mellanlagring av avfall samt anläggning av ytor</t>
        </is>
      </c>
      <c r="BC569" t="inlineStr">
        <is>
          <t>AUTO</t>
        </is>
      </c>
      <c r="BD569" t="inlineStr"/>
      <c r="BE569" t="inlineStr"/>
      <c r="BF569" t="inlineStr">
        <is>
          <t>AUTO_GENERERAD. Bekrafta metadata mot kallfil.</t>
        </is>
      </c>
      <c r="BG569">
        <f>HYPERLINK("C:\Users\jimmy\Desktop\Examens arbete\Kod\Ny mapp\remix_-copy-of-miljöbeslut.se-portal\M-2024-2166 - Anmälan.pdf", "Öppna PDF")</f>
        <v/>
      </c>
    </row>
    <row r="570">
      <c r="A570" t="inlineStr">
        <is>
          <t>KRAV-AUTO-000569</t>
        </is>
      </c>
      <c r="B570" t="inlineStr">
        <is>
          <t>ADMIN-INDEX-2026-02-27-00000000125C043F57453246863FE664CAFE6A3F0700950291EA24F0614FB6ACEDB12BF0E31D00000000010C0000950291EA24F0614FB6ACEDB12BF0E31D00002087A5DA0000</t>
        </is>
      </c>
      <c r="C570" t="inlineStr">
        <is>
          <t>cmm4yuqsg03wncuqw80tmxoyt</t>
        </is>
      </c>
      <c r="D570" t="inlineStr">
        <is>
          <t>http://localhost:8787/api/admin/requirements/documents/cmm4yuqsg03wncuqw80tmxoyt/view</t>
        </is>
      </c>
      <c r="E570">
        <f>HYPERLÄNK("http://localhost:8787/api/admin/requirements/documents/cmm4yuqsg03wncuqw80tmxoyt/view";"Öppna PDF")</f>
        <v/>
      </c>
      <c r="F570">
        <f>HYPERLINK("http://localhost:8787/api/admin/requirements/documents/cmm4yuqsg03wncuqw80tmxoyt/view","Open PDF")</f>
        <v/>
      </c>
      <c r="G570" t="inlineStr">
        <is>
          <t>cmm55w57p0004cuisfrtpqly8</t>
        </is>
      </c>
      <c r="H570" t="inlineStr">
        <is>
          <t>Informationskrav</t>
        </is>
      </c>
      <c r="I570" t="inlineStr">
        <is>
          <t>DagvattenLakvatten</t>
        </is>
      </c>
      <c r="J570" t="inlineStr">
        <is>
          <t>Uppsamling</t>
        </is>
      </c>
      <c r="K570" t="inlineStr">
        <is>
          <t>Med utgångspunkt från: • det redovisade avfallets egenskaper • platsens lämplighet • mängden avfall bedömer vi att föroreningsrisken är ringa.</t>
        </is>
      </c>
      <c r="L570" t="inlineStr">
        <is>
          <t>Med utgångspunkt från: • det redovisade avfallets egenskaper • platsens lämplighet • mängden avfall bedömer vi att föroreningsrisken är ringa.</t>
        </is>
      </c>
      <c r="M570" t="inlineStr">
        <is>
          <t>SKA</t>
        </is>
      </c>
      <c r="N570" t="inlineStr"/>
      <c r="O570" t="inlineStr"/>
      <c r="P570" t="inlineStr"/>
      <c r="Q570" t="inlineStr"/>
      <c r="R570" t="inlineStr">
        <is>
          <t>Vid nederbord och avrinning</t>
        </is>
      </c>
      <c r="S570" t="inlineStr"/>
      <c r="T570" t="inlineStr">
        <is>
          <t>26 67 50</t>
        </is>
      </c>
      <c r="U570" t="inlineStr"/>
      <c r="V570" t="inlineStr"/>
      <c r="W570" t="inlineStr">
        <is>
          <t>Nej</t>
        </is>
      </c>
      <c r="X570" t="inlineStr">
        <is>
          <t>Ja</t>
        </is>
      </c>
      <c r="Y570" t="inlineStr">
        <is>
          <t>Ja</t>
        </is>
      </c>
      <c r="Z570" t="inlineStr">
        <is>
          <t>Nej</t>
        </is>
      </c>
      <c r="AA570" t="n">
        <v>6</v>
      </c>
      <c r="AB570" t="inlineStr">
        <is>
          <t>Lakvattenhantering</t>
        </is>
      </c>
      <c r="AC570" t="inlineStr">
        <is>
          <t>Flodesschema dagvatten-lakvatten</t>
        </is>
      </c>
      <c r="AD570" t="inlineStr">
        <is>
          <t>Nej</t>
        </is>
      </c>
      <c r="AE570" t="inlineStr">
        <is>
          <t>Nej</t>
        </is>
      </c>
      <c r="AF570" t="inlineStr">
        <is>
          <t>Ej behandlad</t>
        </is>
      </c>
      <c r="AG570" t="inlineStr">
        <is>
          <t>AUTO_GENERERAD. Verifiera citat mot kallfil.</t>
        </is>
      </c>
      <c r="AH570" t="inlineStr">
        <is>
          <t>MEDIUM</t>
        </is>
      </c>
      <c r="AI570" t="inlineStr">
        <is>
          <t>AUTO</t>
        </is>
      </c>
      <c r="AJ570" t="inlineStr">
        <is>
          <t>Nej</t>
        </is>
      </c>
      <c r="AK570" t="inlineStr"/>
      <c r="AL570" t="inlineStr"/>
      <c r="AM570" t="inlineStr"/>
      <c r="AN570" t="inlineStr"/>
      <c r="AO570" t="inlineStr">
        <is>
          <t>cmm4yuqt403xbcuqwn5w6kvre</t>
        </is>
      </c>
      <c r="AP570" t="inlineStr">
        <is>
          <t>http://localhost:8787/api/admin/requirements/documents/cmm4yuqt403xbcuqwn5w6kvre/view</t>
        </is>
      </c>
      <c r="AQ570">
        <f>HYPERLÄNK("http://localhost:8787/api/admin/requirements/documents/cmm4yuqt403xbcuqwn5w6kvre/view";"Öppna PDF")</f>
        <v/>
      </c>
      <c r="AR570">
        <f>HYPERLINK("http://localhost:8787/api/admin/requirements/documents/cmm4yuqt403xbcuqwn5w6kvre/view","Open PDF")</f>
        <v/>
      </c>
      <c r="AS570" t="inlineStr">
        <is>
          <t>cmm55w57p0004cuisfrtpqly8</t>
        </is>
      </c>
      <c r="AT570" t="inlineStr">
        <is>
          <t>cmm4xvu980000cuh4vj0usz09</t>
        </is>
      </c>
      <c r="AU570" t="inlineStr"/>
      <c r="AV570" t="inlineStr">
        <is>
          <t>Kommun</t>
        </is>
      </c>
      <c r="AW570" t="inlineStr"/>
      <c r="AX570" t="inlineStr">
        <is>
          <t>2024-2166</t>
        </is>
      </c>
      <c r="AY570" t="inlineStr">
        <is>
          <t>Anmalan</t>
        </is>
      </c>
      <c r="AZ570" t="inlineStr">
        <is>
          <t>2026-02-05</t>
        </is>
      </c>
      <c r="BA570" t="inlineStr">
        <is>
          <t>M-2024-2166 - Anmälan.pdf</t>
        </is>
      </c>
      <c r="BB570" t="inlineStr">
        <is>
          <t>Sv:  Begäran om utlämnande av allmän handling – Anmälningar och beslut rörande mellanlagring av avfall samt anläggning av ytor</t>
        </is>
      </c>
      <c r="BC570" t="inlineStr">
        <is>
          <t>AUTO</t>
        </is>
      </c>
      <c r="BD570" t="inlineStr"/>
      <c r="BE570" t="inlineStr"/>
      <c r="BF570" t="inlineStr">
        <is>
          <t>AUTO_GENERERAD. Bekrafta metadata mot kallfil.</t>
        </is>
      </c>
      <c r="BG570">
        <f>HYPERLINK("C:\Users\jimmy\Desktop\Examens arbete\Kod\Ny mapp\remix_-copy-of-miljöbeslut.se-portal\M-2024-2166 - Anmälan.pdf", "Öppna PDF")</f>
        <v/>
      </c>
    </row>
    <row r="571">
      <c r="A571" t="inlineStr">
        <is>
          <t>KRAV-AUTO-000570</t>
        </is>
      </c>
      <c r="B571" t="inlineStr">
        <is>
          <t>ADMIN-INDEX-2026-02-27-00000000125C043F57453246863FE664CAFE6A3F0700950291EA24F0614FB6ACEDB12BF0E31D00000000010C0000950291EA24F0614FB6ACEDB12BF0E31D00002087A5DA0000</t>
        </is>
      </c>
      <c r="C571" t="inlineStr">
        <is>
          <t>cmm4yuqsg03wncuqw80tmxoyt</t>
        </is>
      </c>
      <c r="D571" t="inlineStr">
        <is>
          <t>http://localhost:8787/api/admin/requirements/documents/cmm4yuqsg03wncuqw80tmxoyt/view</t>
        </is>
      </c>
      <c r="E571">
        <f>HYPERLÄNK("http://localhost:8787/api/admin/requirements/documents/cmm4yuqsg03wncuqw80tmxoyt/view";"Öppna PDF")</f>
        <v/>
      </c>
      <c r="F571">
        <f>HYPERLINK("http://localhost:8787/api/admin/requirements/documents/cmm4yuqsg03wncuqw80tmxoyt/view","Open PDF")</f>
        <v/>
      </c>
      <c r="G571" t="inlineStr">
        <is>
          <t>cmm55w57p0004cuisfrtpqly8</t>
        </is>
      </c>
      <c r="H571" t="inlineStr">
        <is>
          <t>Informationskrav</t>
        </is>
      </c>
      <c r="I571" t="inlineStr">
        <is>
          <t>LagringsvolymTid</t>
        </is>
      </c>
      <c r="J571" t="inlineStr">
        <is>
          <t>Maxmangd</t>
        </is>
      </c>
      <c r="K571" t="inlineStr">
        <is>
          <t>Massor innehållande fraktioner av bygg-, rivningsavfall, metall, plast, gummi, pulveriserat material av betong, puts och cement eller annat liknande avfall får inte återanvändas.</t>
        </is>
      </c>
      <c r="L571" t="inlineStr">
        <is>
          <t>Massor innehållande fraktioner av bygg-, rivningsavfall, metall, plast, gummi, pulveriserat material av betong, puts och cement eller annat liknande avfall får inte återanvändas.</t>
        </is>
      </c>
      <c r="M571" t="inlineStr">
        <is>
          <t>SKA</t>
        </is>
      </c>
      <c r="N571" t="inlineStr"/>
      <c r="O571" t="inlineStr"/>
      <c r="P571" t="inlineStr"/>
      <c r="Q571" t="inlineStr">
        <is>
          <t>Driftbegransning vid avvikelse</t>
        </is>
      </c>
      <c r="R571" t="inlineStr">
        <is>
          <t>Alltid</t>
        </is>
      </c>
      <c r="S571" t="inlineStr"/>
      <c r="T571" t="inlineStr">
        <is>
          <t>26 67 50</t>
        </is>
      </c>
      <c r="U571" t="inlineStr"/>
      <c r="V571" t="inlineStr"/>
      <c r="W571" t="inlineStr">
        <is>
          <t>Nej</t>
        </is>
      </c>
      <c r="X571" t="inlineStr">
        <is>
          <t>Nej</t>
        </is>
      </c>
      <c r="Y571" t="inlineStr">
        <is>
          <t>Nej</t>
        </is>
      </c>
      <c r="Z571" t="inlineStr">
        <is>
          <t>Nej</t>
        </is>
      </c>
      <c r="AA571" t="n">
        <v>4</v>
      </c>
      <c r="AB571" t="inlineStr">
        <is>
          <t>Avfallsmangder och lagringstid</t>
        </is>
      </c>
      <c r="AC571" t="inlineStr">
        <is>
          <t>Avfallsforteckning</t>
        </is>
      </c>
      <c r="AD571" t="inlineStr">
        <is>
          <t>Nej</t>
        </is>
      </c>
      <c r="AE571" t="inlineStr">
        <is>
          <t>Nej</t>
        </is>
      </c>
      <c r="AF571" t="inlineStr">
        <is>
          <t>Ej behandlad</t>
        </is>
      </c>
      <c r="AG571" t="inlineStr">
        <is>
          <t>AUTO_GENERERAD. Verifiera citat mot kallfil.</t>
        </is>
      </c>
      <c r="AH571" t="inlineStr">
        <is>
          <t>MEDIUM</t>
        </is>
      </c>
      <c r="AI571" t="inlineStr">
        <is>
          <t>AUTO</t>
        </is>
      </c>
      <c r="AJ571" t="inlineStr">
        <is>
          <t>Nej</t>
        </is>
      </c>
      <c r="AK571" t="inlineStr"/>
      <c r="AL571" t="inlineStr"/>
      <c r="AM571" t="inlineStr"/>
      <c r="AN571" t="inlineStr"/>
      <c r="AO571" t="inlineStr">
        <is>
          <t>cmm4yuqt403xbcuqwn5w6kvre</t>
        </is>
      </c>
      <c r="AP571" t="inlineStr">
        <is>
          <t>http://localhost:8787/api/admin/requirements/documents/cmm4yuqt403xbcuqwn5w6kvre/view</t>
        </is>
      </c>
      <c r="AQ571">
        <f>HYPERLÄNK("http://localhost:8787/api/admin/requirements/documents/cmm4yuqt403xbcuqwn5w6kvre/view";"Öppna PDF")</f>
        <v/>
      </c>
      <c r="AR571">
        <f>HYPERLINK("http://localhost:8787/api/admin/requirements/documents/cmm4yuqt403xbcuqwn5w6kvre/view","Open PDF")</f>
        <v/>
      </c>
      <c r="AS571" t="inlineStr">
        <is>
          <t>cmm55w57p0004cuisfrtpqly8</t>
        </is>
      </c>
      <c r="AT571" t="inlineStr">
        <is>
          <t>cmm4xvu980000cuh4vj0usz09</t>
        </is>
      </c>
      <c r="AU571" t="inlineStr"/>
      <c r="AV571" t="inlineStr">
        <is>
          <t>Kommun</t>
        </is>
      </c>
      <c r="AW571" t="inlineStr"/>
      <c r="AX571" t="inlineStr">
        <is>
          <t>2024-2166</t>
        </is>
      </c>
      <c r="AY571" t="inlineStr">
        <is>
          <t>Anmalan</t>
        </is>
      </c>
      <c r="AZ571" t="inlineStr">
        <is>
          <t>2026-02-05</t>
        </is>
      </c>
      <c r="BA571" t="inlineStr">
        <is>
          <t>M-2024-2166 - Anmälan.pdf</t>
        </is>
      </c>
      <c r="BB571" t="inlineStr">
        <is>
          <t>Sv:  Begäran om utlämnande av allmän handling – Anmälningar och beslut rörande mellanlagring av avfall samt anläggning av ytor</t>
        </is>
      </c>
      <c r="BC571" t="inlineStr">
        <is>
          <t>AUTO</t>
        </is>
      </c>
      <c r="BD571" t="inlineStr"/>
      <c r="BE571" t="inlineStr"/>
      <c r="BF571" t="inlineStr">
        <is>
          <t>AUTO_GENERERAD. Bekrafta metadata mot kallfil.</t>
        </is>
      </c>
      <c r="BG571">
        <f>HYPERLINK("C:\Users\jimmy\Desktop\Examens arbete\Kod\Ny mapp\remix_-copy-of-miljöbeslut.se-portal\M-2024-2166 - Anmälan.pdf", "Öppna PDF")</f>
        <v/>
      </c>
    </row>
    <row r="572">
      <c r="A572" t="inlineStr">
        <is>
          <t>KRAV-AUTO-000571</t>
        </is>
      </c>
      <c r="B572" t="inlineStr">
        <is>
          <t>ADMIN-INDEX-2026-02-27-00000000125C043F57453246863FE664CAFE6A3F0700950291EA24F0614FB6ACEDB12BF0E31D00000000010C0000950291EA24F0614FB6ACEDB12BF0E31D00002087A5DA0000</t>
        </is>
      </c>
      <c r="C572" t="inlineStr">
        <is>
          <t>cmm4yuqsg03wncuqw80tmxoyt</t>
        </is>
      </c>
      <c r="D572" t="inlineStr">
        <is>
          <t>http://localhost:8787/api/admin/requirements/documents/cmm4yuqsg03wncuqw80tmxoyt/view</t>
        </is>
      </c>
      <c r="E572">
        <f>HYPERLÄNK("http://localhost:8787/api/admin/requirements/documents/cmm4yuqsg03wncuqw80tmxoyt/view";"Öppna PDF")</f>
        <v/>
      </c>
      <c r="F572">
        <f>HYPERLINK("http://localhost:8787/api/admin/requirements/documents/cmm4yuqsg03wncuqw80tmxoyt/view","Open PDF")</f>
        <v/>
      </c>
      <c r="G572" t="inlineStr">
        <is>
          <t>cmm55w57p0004cuisfrtpqly8</t>
        </is>
      </c>
      <c r="H572" t="inlineStr">
        <is>
          <t>Informationskrav</t>
        </is>
      </c>
      <c r="I572" t="inlineStr">
        <is>
          <t>Ytkonstruktion</t>
        </is>
      </c>
      <c r="J572" t="inlineStr">
        <is>
          <t>Tat yta</t>
        </is>
      </c>
      <c r="K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572" t="inlineStr">
        <is>
          <t>SKA</t>
        </is>
      </c>
      <c r="N572" t="inlineStr"/>
      <c r="O572" t="inlineStr"/>
      <c r="P572" t="inlineStr"/>
      <c r="Q572" t="inlineStr"/>
      <c r="R572" t="inlineStr">
        <is>
          <t>Vid mellanlagring av avfall</t>
        </is>
      </c>
      <c r="S572" t="inlineStr"/>
      <c r="T572" t="inlineStr">
        <is>
          <t>26 67 50</t>
        </is>
      </c>
      <c r="U572" t="inlineStr"/>
      <c r="V572" t="inlineStr"/>
      <c r="W572" t="inlineStr">
        <is>
          <t>Ja</t>
        </is>
      </c>
      <c r="X572" t="inlineStr">
        <is>
          <t>Nej</t>
        </is>
      </c>
      <c r="Y572" t="inlineStr">
        <is>
          <t>Nej</t>
        </is>
      </c>
      <c r="Z572" t="inlineStr">
        <is>
          <t>Nej</t>
        </is>
      </c>
      <c r="AA572" t="n">
        <v>5</v>
      </c>
      <c r="AB572" t="inlineStr">
        <is>
          <t>Teknisk beskrivning av platta</t>
        </is>
      </c>
      <c r="AC572" t="inlineStr">
        <is>
          <t>Teknisk ritning platta</t>
        </is>
      </c>
      <c r="AD572" t="inlineStr">
        <is>
          <t>Nej</t>
        </is>
      </c>
      <c r="AE572" t="inlineStr">
        <is>
          <t>Nej</t>
        </is>
      </c>
      <c r="AF572" t="inlineStr">
        <is>
          <t>Ej behandlad</t>
        </is>
      </c>
      <c r="AG572" t="inlineStr">
        <is>
          <t>AUTO_GENERERAD. Verifiera citat mot kallfil.</t>
        </is>
      </c>
      <c r="AH572" t="inlineStr">
        <is>
          <t>MEDIUM</t>
        </is>
      </c>
      <c r="AI572" t="inlineStr">
        <is>
          <t>AUTO</t>
        </is>
      </c>
      <c r="AJ572" t="inlineStr">
        <is>
          <t>Nej</t>
        </is>
      </c>
      <c r="AK572" t="inlineStr"/>
      <c r="AL572" t="inlineStr"/>
      <c r="AM572" t="inlineStr"/>
      <c r="AN572" t="inlineStr"/>
      <c r="AO572" t="inlineStr">
        <is>
          <t>cmm4yuqt403xbcuqwn5w6kvre</t>
        </is>
      </c>
      <c r="AP572" t="inlineStr">
        <is>
          <t>http://localhost:8787/api/admin/requirements/documents/cmm4yuqt403xbcuqwn5w6kvre/view</t>
        </is>
      </c>
      <c r="AQ572">
        <f>HYPERLÄNK("http://localhost:8787/api/admin/requirements/documents/cmm4yuqt403xbcuqwn5w6kvre/view";"Öppna PDF")</f>
        <v/>
      </c>
      <c r="AR572">
        <f>HYPERLINK("http://localhost:8787/api/admin/requirements/documents/cmm4yuqt403xbcuqwn5w6kvre/view","Open PDF")</f>
        <v/>
      </c>
      <c r="AS572" t="inlineStr">
        <is>
          <t>cmm55w57p0004cuisfrtpqly8</t>
        </is>
      </c>
      <c r="AT572" t="inlineStr">
        <is>
          <t>cmm4xvu980000cuh4vj0usz09</t>
        </is>
      </c>
      <c r="AU572" t="inlineStr"/>
      <c r="AV572" t="inlineStr">
        <is>
          <t>Kommun</t>
        </is>
      </c>
      <c r="AW572" t="inlineStr"/>
      <c r="AX572" t="inlineStr">
        <is>
          <t>2024-2166</t>
        </is>
      </c>
      <c r="AY572" t="inlineStr">
        <is>
          <t>Anmalan</t>
        </is>
      </c>
      <c r="AZ572" t="inlineStr">
        <is>
          <t>2026-02-05</t>
        </is>
      </c>
      <c r="BA572" t="inlineStr">
        <is>
          <t>M-2024-2166 - Anmälan.pdf</t>
        </is>
      </c>
      <c r="BB572" t="inlineStr">
        <is>
          <t>Sv:  Begäran om utlämnande av allmän handling – Anmälningar och beslut rörande mellanlagring av avfall samt anläggning av ytor</t>
        </is>
      </c>
      <c r="BC572" t="inlineStr">
        <is>
          <t>AUTO</t>
        </is>
      </c>
      <c r="BD572" t="inlineStr"/>
      <c r="BE572" t="inlineStr"/>
      <c r="BF572" t="inlineStr">
        <is>
          <t>AUTO_GENERERAD. Bekrafta metadata mot kallfil.</t>
        </is>
      </c>
      <c r="BG572">
        <f>HYPERLINK("C:\Users\jimmy\Desktop\Examens arbete\Kod\Ny mapp\remix_-copy-of-miljöbeslut.se-portal\M-2024-2166 - Anmälan.pdf", "Öppna PDF")</f>
        <v/>
      </c>
    </row>
    <row r="573">
      <c r="A573" t="inlineStr">
        <is>
          <t>KRAV-AUTO-000572</t>
        </is>
      </c>
      <c r="B573" t="inlineStr">
        <is>
          <t>ADMIN-INDEX-2026-02-27-00000000125C043F57453246863FE664CAFE6A3F0700950291EA24F0614FB6ACEDB12BF0E31D00000000010C0000950291EA24F0614FB6ACEDB12BF0E31D00002087A5DA0000</t>
        </is>
      </c>
      <c r="C573" t="inlineStr">
        <is>
          <t>cmm4yuqs203w8cuqwsfvcc0ls</t>
        </is>
      </c>
      <c r="D573" t="inlineStr">
        <is>
          <t>http://localhost:8787/api/admin/requirements/documents/cmm4yuqs203w8cuqwsfvcc0ls/view</t>
        </is>
      </c>
      <c r="E573">
        <f>HYPERLÄNK("http://localhost:8787/api/admin/requirements/documents/cmm4yuqs203w8cuqwsfvcc0ls/view";"Öppna PDF")</f>
        <v/>
      </c>
      <c r="F573">
        <f>HYPERLINK("http://localhost:8787/api/admin/requirements/documents/cmm4yuqs203w8cuqwsfvcc0ls/view","Open PDF")</f>
        <v/>
      </c>
      <c r="G573" t="inlineStr">
        <is>
          <t>cmm55w57p0004cuisfrtpqly8</t>
        </is>
      </c>
      <c r="H573" t="inlineStr">
        <is>
          <t>Informationskrav</t>
        </is>
      </c>
      <c r="I573" t="inlineStr">
        <is>
          <t>Riskhantering</t>
        </is>
      </c>
      <c r="J573" t="inlineStr">
        <is>
          <t>Riskkontroll</t>
        </is>
      </c>
      <c r="K573" t="inlineStr">
        <is>
          <t>I detta läge, detaljplaneskedet, bedöms att även marken inom etapp 5 skall hänföras till normalriskmark.</t>
        </is>
      </c>
      <c r="L573" t="inlineStr">
        <is>
          <t>I detta läge, detaljplaneskedet, bedöms att även marken inom etapp 5 skall hänföras till normalriskmark.</t>
        </is>
      </c>
      <c r="M573" t="inlineStr">
        <is>
          <t>SKA</t>
        </is>
      </c>
      <c r="N573" t="inlineStr"/>
      <c r="O573" t="inlineStr"/>
      <c r="P573" t="inlineStr"/>
      <c r="Q573" t="inlineStr"/>
      <c r="R573" t="inlineStr">
        <is>
          <t>Vid risk for incident</t>
        </is>
      </c>
      <c r="S573" t="inlineStr"/>
      <c r="T573" t="inlineStr">
        <is>
          <t>41 64 90</t>
        </is>
      </c>
      <c r="U573" t="inlineStr"/>
      <c r="V573" t="inlineStr"/>
      <c r="W573" t="inlineStr">
        <is>
          <t>Nej</t>
        </is>
      </c>
      <c r="X573" t="inlineStr">
        <is>
          <t>Nej</t>
        </is>
      </c>
      <c r="Y573" t="inlineStr">
        <is>
          <t>Ja</t>
        </is>
      </c>
      <c r="Z573" t="inlineStr">
        <is>
          <t>Ja</t>
        </is>
      </c>
      <c r="AA573" t="n">
        <v>8</v>
      </c>
      <c r="AB573" t="inlineStr">
        <is>
          <t>Riskhantering</t>
        </is>
      </c>
      <c r="AC573" t="inlineStr">
        <is>
          <t>Risk-PM</t>
        </is>
      </c>
      <c r="AD573" t="inlineStr">
        <is>
          <t>Nej</t>
        </is>
      </c>
      <c r="AE573" t="inlineStr">
        <is>
          <t>Nej</t>
        </is>
      </c>
      <c r="AF573" t="inlineStr">
        <is>
          <t>Ej behandlad</t>
        </is>
      </c>
      <c r="AG573" t="inlineStr">
        <is>
          <t>AUTO_GENERERAD. Verifiera citat mot kallfil.</t>
        </is>
      </c>
      <c r="AH573" t="inlineStr">
        <is>
          <t>MEDIUM</t>
        </is>
      </c>
      <c r="AI573" t="inlineStr">
        <is>
          <t>AUTO</t>
        </is>
      </c>
      <c r="AJ573" t="inlineStr">
        <is>
          <t>Nej</t>
        </is>
      </c>
      <c r="AK573" t="inlineStr"/>
      <c r="AL573" t="inlineStr"/>
      <c r="AM573" t="inlineStr"/>
      <c r="AN573" t="inlineStr"/>
      <c r="AO573" t="inlineStr">
        <is>
          <t>cmm4yuqt403xbcuqwn5w6kvre</t>
        </is>
      </c>
      <c r="AP573" t="inlineStr">
        <is>
          <t>http://localhost:8787/api/admin/requirements/documents/cmm4yuqt403xbcuqwn5w6kvre/view</t>
        </is>
      </c>
      <c r="AQ573">
        <f>HYPERLÄNK("http://localhost:8787/api/admin/requirements/documents/cmm4yuqt403xbcuqwn5w6kvre/view";"Öppna PDF")</f>
        <v/>
      </c>
      <c r="AR573">
        <f>HYPERLINK("http://localhost:8787/api/admin/requirements/documents/cmm4yuqt403xbcuqwn5w6kvre/view","Open PDF")</f>
        <v/>
      </c>
      <c r="AS573" t="inlineStr">
        <is>
          <t>cmm55w57p0004cuisfrtpqly8</t>
        </is>
      </c>
      <c r="AT573" t="inlineStr">
        <is>
          <t>cmm4xvu980000cuh4vj0usz09</t>
        </is>
      </c>
      <c r="AU573" t="inlineStr"/>
      <c r="AV573" t="inlineStr">
        <is>
          <t>Kommun</t>
        </is>
      </c>
      <c r="AW573" t="inlineStr"/>
      <c r="AX573" t="inlineStr">
        <is>
          <t>2024-2166</t>
        </is>
      </c>
      <c r="AY573" t="inlineStr">
        <is>
          <t>Anmalan</t>
        </is>
      </c>
      <c r="AZ573" t="inlineStr">
        <is>
          <t>2026-02-05</t>
        </is>
      </c>
      <c r="BA573" t="inlineStr">
        <is>
          <t>M-2024-2166 - Anmälan.pdf</t>
        </is>
      </c>
      <c r="BB573" t="inlineStr">
        <is>
          <t>Sv:  Begäran om utlämnande av allmän handling – Anmälningar och beslut rörande mellanlagring av avfall samt anläggning av ytor</t>
        </is>
      </c>
      <c r="BC573" t="inlineStr">
        <is>
          <t>AUTO</t>
        </is>
      </c>
      <c r="BD573" t="inlineStr"/>
      <c r="BE573" t="inlineStr"/>
      <c r="BF573" t="inlineStr">
        <is>
          <t>AUTO_GENERERAD. Bekrafta metadata mot kallfil.</t>
        </is>
      </c>
      <c r="BG573">
        <f>HYPERLINK("C:\Users\jimmy\Desktop\Examens arbete\Kod\Ny mapp\remix_-copy-of-miljöbeslut.se-portal\M-2024-2166 - Anmälan.pdf", "Öppna PDF")</f>
        <v/>
      </c>
    </row>
    <row r="574">
      <c r="A574" t="inlineStr">
        <is>
          <t>KRAV-AUTO-000573</t>
        </is>
      </c>
      <c r="B574" t="inlineStr">
        <is>
          <t>ADMIN-INDEX-2026-02-27-00000000125C043F57453246863FE664CAFE6A3F0700950291EA24F0614FB6ACEDB12BF0E31D00000000010C0000950291EA24F0614FB6ACEDB12BF0E31D00002087A5DA0000</t>
        </is>
      </c>
      <c r="C574" t="inlineStr">
        <is>
          <t>cmm4yuqs203w8cuqwsfvcc0ls</t>
        </is>
      </c>
      <c r="D574" t="inlineStr">
        <is>
          <t>http://localhost:8787/api/admin/requirements/documents/cmm4yuqs203w8cuqwsfvcc0ls/view</t>
        </is>
      </c>
      <c r="E574">
        <f>HYPERLÄNK("http://localhost:8787/api/admin/requirements/documents/cmm4yuqs203w8cuqwsfvcc0ls/view";"Öppna PDF")</f>
        <v/>
      </c>
      <c r="F574">
        <f>HYPERLINK("http://localhost:8787/api/admin/requirements/documents/cmm4yuqs203w8cuqwsfvcc0ls/view","Open PDF")</f>
        <v/>
      </c>
      <c r="G574" t="inlineStr">
        <is>
          <t>cmm55w57p0004cuisfrtpqly8</t>
        </is>
      </c>
      <c r="H574" t="inlineStr">
        <is>
          <t>Informationskrav</t>
        </is>
      </c>
      <c r="I574" t="inlineStr">
        <is>
          <t>Riskhantering</t>
        </is>
      </c>
      <c r="J574" t="inlineStr">
        <is>
          <t>Riskkontroll</t>
        </is>
      </c>
      <c r="K574" t="inlineStr">
        <is>
          <t>Utöver ovanstående bedöms risken för omgivningspåverkan som liten men skall tas med i bedömningen, t.ex.</t>
        </is>
      </c>
      <c r="L574" t="inlineStr">
        <is>
          <t>Utöver ovanstående bedöms risken för omgivningspåverkan som liten men skall tas med i bedömningen, t.ex.</t>
        </is>
      </c>
      <c r="M574" t="inlineStr">
        <is>
          <t>SKA</t>
        </is>
      </c>
      <c r="N574" t="inlineStr"/>
      <c r="O574" t="inlineStr"/>
      <c r="P574" t="inlineStr"/>
      <c r="Q574" t="inlineStr"/>
      <c r="R574" t="inlineStr">
        <is>
          <t>Vid risk for incident</t>
        </is>
      </c>
      <c r="S574" t="inlineStr"/>
      <c r="T574" t="inlineStr">
        <is>
          <t>41 64 90</t>
        </is>
      </c>
      <c r="U574" t="inlineStr"/>
      <c r="V574" t="inlineStr"/>
      <c r="W574" t="inlineStr">
        <is>
          <t>Nej</t>
        </is>
      </c>
      <c r="X574" t="inlineStr">
        <is>
          <t>Nej</t>
        </is>
      </c>
      <c r="Y574" t="inlineStr">
        <is>
          <t>Ja</t>
        </is>
      </c>
      <c r="Z574" t="inlineStr">
        <is>
          <t>Ja</t>
        </is>
      </c>
      <c r="AA574" t="n">
        <v>8</v>
      </c>
      <c r="AB574" t="inlineStr">
        <is>
          <t>Riskhantering</t>
        </is>
      </c>
      <c r="AC574" t="inlineStr">
        <is>
          <t>Risk-PM</t>
        </is>
      </c>
      <c r="AD574" t="inlineStr">
        <is>
          <t>Nej</t>
        </is>
      </c>
      <c r="AE574" t="inlineStr">
        <is>
          <t>Nej</t>
        </is>
      </c>
      <c r="AF574" t="inlineStr">
        <is>
          <t>Ej behandlad</t>
        </is>
      </c>
      <c r="AG574" t="inlineStr">
        <is>
          <t>AUTO_GENERERAD. Verifiera citat mot kallfil.</t>
        </is>
      </c>
      <c r="AH574" t="inlineStr">
        <is>
          <t>MEDIUM</t>
        </is>
      </c>
      <c r="AI574" t="inlineStr">
        <is>
          <t>AUTO</t>
        </is>
      </c>
      <c r="AJ574" t="inlineStr">
        <is>
          <t>Nej</t>
        </is>
      </c>
      <c r="AK574" t="inlineStr"/>
      <c r="AL574" t="inlineStr"/>
      <c r="AM574" t="inlineStr"/>
      <c r="AN574" t="inlineStr"/>
      <c r="AO574" t="inlineStr">
        <is>
          <t>cmm4yuqt403xbcuqwn5w6kvre</t>
        </is>
      </c>
      <c r="AP574" t="inlineStr">
        <is>
          <t>http://localhost:8787/api/admin/requirements/documents/cmm4yuqt403xbcuqwn5w6kvre/view</t>
        </is>
      </c>
      <c r="AQ574">
        <f>HYPERLÄNK("http://localhost:8787/api/admin/requirements/documents/cmm4yuqt403xbcuqwn5w6kvre/view";"Öppna PDF")</f>
        <v/>
      </c>
      <c r="AR574">
        <f>HYPERLINK("http://localhost:8787/api/admin/requirements/documents/cmm4yuqt403xbcuqwn5w6kvre/view","Open PDF")</f>
        <v/>
      </c>
      <c r="AS574" t="inlineStr">
        <is>
          <t>cmm55w57p0004cuisfrtpqly8</t>
        </is>
      </c>
      <c r="AT574" t="inlineStr">
        <is>
          <t>cmm4xvu980000cuh4vj0usz09</t>
        </is>
      </c>
      <c r="AU574" t="inlineStr"/>
      <c r="AV574" t="inlineStr">
        <is>
          <t>Kommun</t>
        </is>
      </c>
      <c r="AW574" t="inlineStr"/>
      <c r="AX574" t="inlineStr">
        <is>
          <t>2024-2166</t>
        </is>
      </c>
      <c r="AY574" t="inlineStr">
        <is>
          <t>Anmalan</t>
        </is>
      </c>
      <c r="AZ574" t="inlineStr">
        <is>
          <t>2026-02-05</t>
        </is>
      </c>
      <c r="BA574" t="inlineStr">
        <is>
          <t>M-2024-2166 - Anmälan.pdf</t>
        </is>
      </c>
      <c r="BB574" t="inlineStr">
        <is>
          <t>Sv:  Begäran om utlämnande av allmän handling – Anmälningar och beslut rörande mellanlagring av avfall samt anläggning av ytor</t>
        </is>
      </c>
      <c r="BC574" t="inlineStr">
        <is>
          <t>AUTO</t>
        </is>
      </c>
      <c r="BD574" t="inlineStr"/>
      <c r="BE574" t="inlineStr"/>
      <c r="BF574" t="inlineStr">
        <is>
          <t>AUTO_GENERERAD. Bekrafta metadata mot kallfil.</t>
        </is>
      </c>
      <c r="BG574">
        <f>HYPERLINK("C:\Users\jimmy\Desktop\Examens arbete\Kod\Ny mapp\remix_-copy-of-miljöbeslut.se-portal\M-2024-2166 - Anmälan.pdf", "Öppna PDF")</f>
        <v/>
      </c>
    </row>
    <row r="575">
      <c r="A575" t="inlineStr">
        <is>
          <t>KRAV-AUTO-000574</t>
        </is>
      </c>
      <c r="B575" t="inlineStr">
        <is>
          <t>ADMIN-INDEX-2026-02-27-00000000125C043F57453246863FE664CAFE6A3F0700950291EA24F0614FB6ACEDB12BF0E31D00000000010C0000950291EA24F0614FB6ACEDB12BF0E31D00002087A5DA0000</t>
        </is>
      </c>
      <c r="C575" t="inlineStr">
        <is>
          <t>cmm4yuqs203w8cuqwsfvcc0ls</t>
        </is>
      </c>
      <c r="D575" t="inlineStr">
        <is>
          <t>http://localhost:8787/api/admin/requirements/documents/cmm4yuqs203w8cuqwsfvcc0ls/view</t>
        </is>
      </c>
      <c r="E575">
        <f>HYPERLÄNK("http://localhost:8787/api/admin/requirements/documents/cmm4yuqs203w8cuqwsfvcc0ls/view";"Öppna PDF")</f>
        <v/>
      </c>
      <c r="F575">
        <f>HYPERLINK("http://localhost:8787/api/admin/requirements/documents/cmm4yuqs203w8cuqwsfvcc0ls/view","Open PDF")</f>
        <v/>
      </c>
      <c r="G575" t="inlineStr">
        <is>
          <t>cmm55w57p0004cuisfrtpqly8</t>
        </is>
      </c>
      <c r="H575" t="inlineStr">
        <is>
          <t>Informationskrav</t>
        </is>
      </c>
      <c r="I575" t="inlineStr">
        <is>
          <t>Riskhantering</t>
        </is>
      </c>
      <c r="J575" t="inlineStr">
        <is>
          <t>Riskkontroll</t>
        </is>
      </c>
      <c r="K575" t="inlineStr">
        <is>
          <t>Värdering och riskanalys Värdering Geoteknik.</t>
        </is>
      </c>
      <c r="L575" t="inlineStr">
        <is>
          <t>Värdering och riskanalys Värdering Geoteknik.</t>
        </is>
      </c>
      <c r="M575" t="inlineStr">
        <is>
          <t>SKA</t>
        </is>
      </c>
      <c r="N575" t="inlineStr"/>
      <c r="O575" t="inlineStr"/>
      <c r="P575" t="inlineStr"/>
      <c r="Q575" t="inlineStr"/>
      <c r="R575" t="inlineStr">
        <is>
          <t>Vid risk for incident</t>
        </is>
      </c>
      <c r="S575" t="inlineStr"/>
      <c r="T575" t="inlineStr">
        <is>
          <t>41 64 90</t>
        </is>
      </c>
      <c r="U575" t="inlineStr"/>
      <c r="V575" t="inlineStr"/>
      <c r="W575" t="inlineStr">
        <is>
          <t>Nej</t>
        </is>
      </c>
      <c r="X575" t="inlineStr">
        <is>
          <t>Nej</t>
        </is>
      </c>
      <c r="Y575" t="inlineStr">
        <is>
          <t>Ja</t>
        </is>
      </c>
      <c r="Z575" t="inlineStr">
        <is>
          <t>Ja</t>
        </is>
      </c>
      <c r="AA575" t="n">
        <v>8</v>
      </c>
      <c r="AB575" t="inlineStr">
        <is>
          <t>Riskhantering</t>
        </is>
      </c>
      <c r="AC575" t="inlineStr">
        <is>
          <t>Risk-PM</t>
        </is>
      </c>
      <c r="AD575" t="inlineStr">
        <is>
          <t>Nej</t>
        </is>
      </c>
      <c r="AE575" t="inlineStr">
        <is>
          <t>Nej</t>
        </is>
      </c>
      <c r="AF575" t="inlineStr">
        <is>
          <t>Ej behandlad</t>
        </is>
      </c>
      <c r="AG575" t="inlineStr">
        <is>
          <t>AUTO_GENERERAD. Verifiera citat mot kallfil.</t>
        </is>
      </c>
      <c r="AH575" t="inlineStr">
        <is>
          <t>MEDIUM</t>
        </is>
      </c>
      <c r="AI575" t="inlineStr">
        <is>
          <t>AUTO</t>
        </is>
      </c>
      <c r="AJ575" t="inlineStr">
        <is>
          <t>Nej</t>
        </is>
      </c>
      <c r="AK575" t="inlineStr"/>
      <c r="AL575" t="inlineStr"/>
      <c r="AM575" t="inlineStr"/>
      <c r="AN575" t="inlineStr"/>
      <c r="AO575" t="inlineStr">
        <is>
          <t>cmm4yuqt403xbcuqwn5w6kvre</t>
        </is>
      </c>
      <c r="AP575" t="inlineStr">
        <is>
          <t>http://localhost:8787/api/admin/requirements/documents/cmm4yuqt403xbcuqwn5w6kvre/view</t>
        </is>
      </c>
      <c r="AQ575">
        <f>HYPERLÄNK("http://localhost:8787/api/admin/requirements/documents/cmm4yuqt403xbcuqwn5w6kvre/view";"Öppna PDF")</f>
        <v/>
      </c>
      <c r="AR575">
        <f>HYPERLINK("http://localhost:8787/api/admin/requirements/documents/cmm4yuqt403xbcuqwn5w6kvre/view","Open PDF")</f>
        <v/>
      </c>
      <c r="AS575" t="inlineStr">
        <is>
          <t>cmm55w57p0004cuisfrtpqly8</t>
        </is>
      </c>
      <c r="AT575" t="inlineStr">
        <is>
          <t>cmm4xvu980000cuh4vj0usz09</t>
        </is>
      </c>
      <c r="AU575" t="inlineStr"/>
      <c r="AV575" t="inlineStr">
        <is>
          <t>Kommun</t>
        </is>
      </c>
      <c r="AW575" t="inlineStr"/>
      <c r="AX575" t="inlineStr">
        <is>
          <t>2024-2166</t>
        </is>
      </c>
      <c r="AY575" t="inlineStr">
        <is>
          <t>Anmalan</t>
        </is>
      </c>
      <c r="AZ575" t="inlineStr">
        <is>
          <t>2026-02-05</t>
        </is>
      </c>
      <c r="BA575" t="inlineStr">
        <is>
          <t>M-2024-2166 - Anmälan.pdf</t>
        </is>
      </c>
      <c r="BB575" t="inlineStr">
        <is>
          <t>Sv:  Begäran om utlämnande av allmän handling – Anmälningar och beslut rörande mellanlagring av avfall samt anläggning av ytor</t>
        </is>
      </c>
      <c r="BC575" t="inlineStr">
        <is>
          <t>AUTO</t>
        </is>
      </c>
      <c r="BD575" t="inlineStr"/>
      <c r="BE575" t="inlineStr"/>
      <c r="BF575" t="inlineStr">
        <is>
          <t>AUTO_GENERERAD. Bekrafta metadata mot kallfil.</t>
        </is>
      </c>
      <c r="BG575">
        <f>HYPERLINK("C:\Users\jimmy\Desktop\Examens arbete\Kod\Ny mapp\remix_-copy-of-miljöbeslut.se-portal\M-2024-2166 - Anmälan.pdf", "Öppna PDF")</f>
        <v/>
      </c>
    </row>
    <row r="576">
      <c r="A576" t="inlineStr">
        <is>
          <t>KRAV-AUTO-000575</t>
        </is>
      </c>
      <c r="B576" t="inlineStr">
        <is>
          <t>ADMIN-INDEX-2026-02-27-00000000125C043F57453246863FE664CAFE6A3F0700950291EA24F0614FB6ACEDB12BF0E31D00000000010C0000950291EA24F0614FB6ACEDB12BF0E31D00002087A5DA0000</t>
        </is>
      </c>
      <c r="C576" t="inlineStr">
        <is>
          <t>cmm4yuqs003w5cuqwu7f1arzr</t>
        </is>
      </c>
      <c r="D576" t="inlineStr">
        <is>
          <t>http://localhost:8787/api/admin/requirements/documents/cmm4yuqs003w5cuqwu7f1arzr/view</t>
        </is>
      </c>
      <c r="E576">
        <f>HYPERLÄNK("http://localhost:8787/api/admin/requirements/documents/cmm4yuqs003w5cuqwu7f1arzr/view";"Öppna PDF")</f>
        <v/>
      </c>
      <c r="F576">
        <f>HYPERLINK("http://localhost:8787/api/admin/requirements/documents/cmm4yuqs003w5cuqwu7f1arzr/view","Open PDF")</f>
        <v/>
      </c>
      <c r="G576" t="inlineStr">
        <is>
          <t>cmm55w57p0004cuisfrtpqly8</t>
        </is>
      </c>
      <c r="H576" t="inlineStr">
        <is>
          <t>Informationskrav</t>
        </is>
      </c>
      <c r="I576" t="inlineStr">
        <is>
          <t>MiljopaverkanForsiktighet</t>
        </is>
      </c>
      <c r="J576" t="inlineStr">
        <is>
          <t>Skyddsatgarder</t>
        </is>
      </c>
      <c r="K576" t="inlineStr">
        <is>
          <t>I detta beslut anges bland annat att hantering och användningsplats för aktuellt anläggningsavfall i huvudsak ska ske i överensstämmelse med vad som angetts i ärendet.</t>
        </is>
      </c>
      <c r="L576" t="inlineStr">
        <is>
          <t>I detta beslut anges bland annat att hantering och användningsplats för aktuellt anläggningsavfall i huvudsak ska ske i överensstämmelse med vad som angetts i ärendet.</t>
        </is>
      </c>
      <c r="M576" t="inlineStr">
        <is>
          <t>SKA</t>
        </is>
      </c>
      <c r="N576" t="inlineStr"/>
      <c r="O576" t="inlineStr"/>
      <c r="P576" t="inlineStr"/>
      <c r="Q576" t="inlineStr"/>
      <c r="R576" t="inlineStr">
        <is>
          <t>Alltid</t>
        </is>
      </c>
      <c r="S576" t="inlineStr"/>
      <c r="T576" t="inlineStr">
        <is>
          <t>26 70 00</t>
        </is>
      </c>
      <c r="U576" t="inlineStr"/>
      <c r="V576" t="inlineStr"/>
      <c r="W576" t="inlineStr">
        <is>
          <t>Nej</t>
        </is>
      </c>
      <c r="X576" t="inlineStr">
        <is>
          <t>Nej</t>
        </is>
      </c>
      <c r="Y576" t="inlineStr">
        <is>
          <t>Nej</t>
        </is>
      </c>
      <c r="Z576" t="inlineStr">
        <is>
          <t>Nej</t>
        </is>
      </c>
      <c r="AA576" t="n">
        <v>10</v>
      </c>
      <c r="AB576" t="inlineStr">
        <is>
          <t>Miljopaverkan och forsiktighetsmatt</t>
        </is>
      </c>
      <c r="AC576" t="inlineStr">
        <is>
          <t>Miljo-PM</t>
        </is>
      </c>
      <c r="AD576" t="inlineStr">
        <is>
          <t>Nej</t>
        </is>
      </c>
      <c r="AE576" t="inlineStr">
        <is>
          <t>Nej</t>
        </is>
      </c>
      <c r="AF576" t="inlineStr">
        <is>
          <t>Ej behandlad</t>
        </is>
      </c>
      <c r="AG576" t="inlineStr">
        <is>
          <t>AUTO_GENERERAD. Verifiera citat mot kallfil.</t>
        </is>
      </c>
      <c r="AH576" t="inlineStr">
        <is>
          <t>MEDIUM</t>
        </is>
      </c>
      <c r="AI576" t="inlineStr">
        <is>
          <t>AUTO</t>
        </is>
      </c>
      <c r="AJ576" t="inlineStr">
        <is>
          <t>Nej</t>
        </is>
      </c>
      <c r="AK576" t="inlineStr"/>
      <c r="AL576" t="inlineStr"/>
      <c r="AM576" t="inlineStr"/>
      <c r="AN576" t="inlineStr"/>
      <c r="AO576" t="inlineStr">
        <is>
          <t>cmm4yuqt403xbcuqwn5w6kvre</t>
        </is>
      </c>
      <c r="AP576" t="inlineStr">
        <is>
          <t>http://localhost:8787/api/admin/requirements/documents/cmm4yuqt403xbcuqwn5w6kvre/view</t>
        </is>
      </c>
      <c r="AQ576">
        <f>HYPERLÄNK("http://localhost:8787/api/admin/requirements/documents/cmm4yuqt403xbcuqwn5w6kvre/view";"Öppna PDF")</f>
        <v/>
      </c>
      <c r="AR576">
        <f>HYPERLINK("http://localhost:8787/api/admin/requirements/documents/cmm4yuqt403xbcuqwn5w6kvre/view","Open PDF")</f>
        <v/>
      </c>
      <c r="AS576" t="inlineStr">
        <is>
          <t>cmm55w57p0004cuisfrtpqly8</t>
        </is>
      </c>
      <c r="AT576" t="inlineStr">
        <is>
          <t>cmm4xvu980000cuh4vj0usz09</t>
        </is>
      </c>
      <c r="AU576" t="inlineStr"/>
      <c r="AV576" t="inlineStr">
        <is>
          <t>Kommun</t>
        </is>
      </c>
      <c r="AW576" t="inlineStr"/>
      <c r="AX576" t="inlineStr">
        <is>
          <t>2024-2166</t>
        </is>
      </c>
      <c r="AY576" t="inlineStr">
        <is>
          <t>Anmalan</t>
        </is>
      </c>
      <c r="AZ576" t="inlineStr">
        <is>
          <t>2026-02-05</t>
        </is>
      </c>
      <c r="BA576" t="inlineStr">
        <is>
          <t>M-2024-2166 - Anmälan.pdf</t>
        </is>
      </c>
      <c r="BB576" t="inlineStr">
        <is>
          <t>Sv:  Begäran om utlämnande av allmän handling – Anmälningar och beslut rörande mellanlagring av avfall samt anläggning av ytor</t>
        </is>
      </c>
      <c r="BC576" t="inlineStr">
        <is>
          <t>AUTO</t>
        </is>
      </c>
      <c r="BD576" t="inlineStr"/>
      <c r="BE576" t="inlineStr"/>
      <c r="BF576" t="inlineStr">
        <is>
          <t>AUTO_GENERERAD. Bekrafta metadata mot kallfil.</t>
        </is>
      </c>
      <c r="BG576">
        <f>HYPERLINK("C:\Users\jimmy\Desktop\Examens arbete\Kod\Ny mapp\remix_-copy-of-miljöbeslut.se-portal\M-2024-2166 - Anmälan.pdf", "Öppna PDF")</f>
        <v/>
      </c>
    </row>
    <row r="577">
      <c r="A577" t="inlineStr">
        <is>
          <t>KRAV-AUTO-000576</t>
        </is>
      </c>
      <c r="B577" t="inlineStr">
        <is>
          <t>ADMIN-INDEX-2026-02-27-00000000125C043F57453246863FE664CAFE6A3F0700950291EA24F0614FB6ACEDB12BF0E31D00000000010C0000950291EA24F0614FB6ACEDB12BF0E31D00002087A5DA0000</t>
        </is>
      </c>
      <c r="C577" t="inlineStr">
        <is>
          <t>cmm4yuqs003w5cuqwu7f1arzr</t>
        </is>
      </c>
      <c r="D577" t="inlineStr">
        <is>
          <t>http://localhost:8787/api/admin/requirements/documents/cmm4yuqs003w5cuqwu7f1arzr/view</t>
        </is>
      </c>
      <c r="E577">
        <f>HYPERLÄNK("http://localhost:8787/api/admin/requirements/documents/cmm4yuqs003w5cuqwu7f1arzr/view";"Öppna PDF")</f>
        <v/>
      </c>
      <c r="F577">
        <f>HYPERLINK("http://localhost:8787/api/admin/requirements/documents/cmm4yuqs003w5cuqwu7f1arzr/view","Open PDF")</f>
        <v/>
      </c>
      <c r="G577" t="inlineStr">
        <is>
          <t>cmm55w57p0004cuisfrtpqly8</t>
        </is>
      </c>
      <c r="H577" t="inlineStr">
        <is>
          <t>Informationskrav</t>
        </is>
      </c>
      <c r="I577" t="inlineStr">
        <is>
          <t>MiljopaverkanForsiktighet</t>
        </is>
      </c>
      <c r="J577" t="inlineStr">
        <is>
          <t>Skyddsatgarder</t>
        </is>
      </c>
      <c r="K577" t="inlineStr">
        <is>
          <t>Den 7 november 2025 återkopplade vi till Tekniska förvaltningen med följdfrågor om det är samma typ av åtgärder och avfallsmassor som angetts tidigare i ärendet även om projektet hanteras och färdigställs längre fram.</t>
        </is>
      </c>
      <c r="L577" t="inlineStr">
        <is>
          <t>Den 7 november 2025 återkopplade vi till Tekniska förvaltningen med följdfrågor om det är samma typ av åtgärder och avfallsmassor som angetts tidigare i ärendet även om projektet hanteras och färdigställs längre fram.</t>
        </is>
      </c>
      <c r="M577" t="inlineStr">
        <is>
          <t>SKA</t>
        </is>
      </c>
      <c r="N577" t="inlineStr"/>
      <c r="O577" t="inlineStr"/>
      <c r="P577" t="inlineStr"/>
      <c r="Q577" t="inlineStr"/>
      <c r="R577" t="inlineStr">
        <is>
          <t>Alltid</t>
        </is>
      </c>
      <c r="S577" t="inlineStr"/>
      <c r="T577" t="inlineStr">
        <is>
          <t>26 70 00</t>
        </is>
      </c>
      <c r="U577" t="inlineStr"/>
      <c r="V577" t="inlineStr"/>
      <c r="W577" t="inlineStr">
        <is>
          <t>Nej</t>
        </is>
      </c>
      <c r="X577" t="inlineStr">
        <is>
          <t>Nej</t>
        </is>
      </c>
      <c r="Y577" t="inlineStr">
        <is>
          <t>Nej</t>
        </is>
      </c>
      <c r="Z577" t="inlineStr">
        <is>
          <t>Nej</t>
        </is>
      </c>
      <c r="AA577" t="n">
        <v>10</v>
      </c>
      <c r="AB577" t="inlineStr">
        <is>
          <t>Miljopaverkan och forsiktighetsmatt</t>
        </is>
      </c>
      <c r="AC577" t="inlineStr">
        <is>
          <t>Miljo-PM</t>
        </is>
      </c>
      <c r="AD577" t="inlineStr">
        <is>
          <t>Nej</t>
        </is>
      </c>
      <c r="AE577" t="inlineStr">
        <is>
          <t>Nej</t>
        </is>
      </c>
      <c r="AF577" t="inlineStr">
        <is>
          <t>Ej behandlad</t>
        </is>
      </c>
      <c r="AG577" t="inlineStr">
        <is>
          <t>AUTO_GENERERAD. Verifiera citat mot kallfil.</t>
        </is>
      </c>
      <c r="AH577" t="inlineStr">
        <is>
          <t>MEDIUM</t>
        </is>
      </c>
      <c r="AI577" t="inlineStr">
        <is>
          <t>AUTO</t>
        </is>
      </c>
      <c r="AJ577" t="inlineStr">
        <is>
          <t>Nej</t>
        </is>
      </c>
      <c r="AK577" t="inlineStr"/>
      <c r="AL577" t="inlineStr"/>
      <c r="AM577" t="inlineStr"/>
      <c r="AN577" t="inlineStr"/>
      <c r="AO577" t="inlineStr">
        <is>
          <t>cmm4yuqt403xbcuqwn5w6kvre</t>
        </is>
      </c>
      <c r="AP577" t="inlineStr">
        <is>
          <t>http://localhost:8787/api/admin/requirements/documents/cmm4yuqt403xbcuqwn5w6kvre/view</t>
        </is>
      </c>
      <c r="AQ577">
        <f>HYPERLÄNK("http://localhost:8787/api/admin/requirements/documents/cmm4yuqt403xbcuqwn5w6kvre/view";"Öppna PDF")</f>
        <v/>
      </c>
      <c r="AR577">
        <f>HYPERLINK("http://localhost:8787/api/admin/requirements/documents/cmm4yuqt403xbcuqwn5w6kvre/view","Open PDF")</f>
        <v/>
      </c>
      <c r="AS577" t="inlineStr">
        <is>
          <t>cmm55w57p0004cuisfrtpqly8</t>
        </is>
      </c>
      <c r="AT577" t="inlineStr">
        <is>
          <t>cmm4xvu980000cuh4vj0usz09</t>
        </is>
      </c>
      <c r="AU577" t="inlineStr"/>
      <c r="AV577" t="inlineStr">
        <is>
          <t>Kommun</t>
        </is>
      </c>
      <c r="AW577" t="inlineStr"/>
      <c r="AX577" t="inlineStr">
        <is>
          <t>2024-2166</t>
        </is>
      </c>
      <c r="AY577" t="inlineStr">
        <is>
          <t>Anmalan</t>
        </is>
      </c>
      <c r="AZ577" t="inlineStr">
        <is>
          <t>2026-02-05</t>
        </is>
      </c>
      <c r="BA577" t="inlineStr">
        <is>
          <t>M-2024-2166 - Anmälan.pdf</t>
        </is>
      </c>
      <c r="BB577" t="inlineStr">
        <is>
          <t>Sv:  Begäran om utlämnande av allmän handling – Anmälningar och beslut rörande mellanlagring av avfall samt anläggning av ytor</t>
        </is>
      </c>
      <c r="BC577" t="inlineStr">
        <is>
          <t>AUTO</t>
        </is>
      </c>
      <c r="BD577" t="inlineStr"/>
      <c r="BE577" t="inlineStr"/>
      <c r="BF577" t="inlineStr">
        <is>
          <t>AUTO_GENERERAD. Bekrafta metadata mot kallfil.</t>
        </is>
      </c>
      <c r="BG577">
        <f>HYPERLINK("C:\Users\jimmy\Desktop\Examens arbete\Kod\Ny mapp\remix_-copy-of-miljöbeslut.se-portal\M-2024-2166 - Anmälan.pdf", "Öppna PDF")</f>
        <v/>
      </c>
    </row>
    <row r="578">
      <c r="A578" t="inlineStr">
        <is>
          <t>KRAV-AUTO-000577</t>
        </is>
      </c>
      <c r="B578" t="inlineStr">
        <is>
          <t>ADMIN-INDEX-2026-02-27-00000000125C043F57453246863FE664CAFE6A3F0700950291EA24F0614FB6ACEDB12BF0E31D00000000010C0000950291EA24F0614FB6ACEDB12BF0E31D00002087A5DB0000</t>
        </is>
      </c>
      <c r="C578" t="inlineStr">
        <is>
          <t>cmm4yuqrs03vwcuqww7o69h0p</t>
        </is>
      </c>
      <c r="D578" t="inlineStr">
        <is>
          <t>http://localhost:8787/api/admin/requirements/documents/cmm4yuqrs03vwcuqww7o69h0p/view</t>
        </is>
      </c>
      <c r="E578">
        <f>HYPERLÄNK("http://localhost:8787/api/admin/requirements/documents/cmm4yuqrs03vwcuqww7o69h0p/view";"Öppna PDF")</f>
        <v/>
      </c>
      <c r="F578">
        <f>HYPERLINK("http://localhost:8787/api/admin/requirements/documents/cmm4yuqrs03vwcuqww7o69h0p/view","Open PDF")</f>
        <v/>
      </c>
      <c r="G578" t="inlineStr">
        <is>
          <t>cmm55w57p0004cuisfrtpqly8</t>
        </is>
      </c>
      <c r="H578" t="inlineStr">
        <is>
          <t>Informationskrav</t>
        </is>
      </c>
      <c r="I578" t="inlineStr">
        <is>
          <t>MiljopaverkanForsiktighet</t>
        </is>
      </c>
      <c r="J578" t="inlineStr">
        <is>
          <t>Skyddsatgarder</t>
        </is>
      </c>
      <c r="K578" t="inlineStr">
        <is>
          <t>Den myndighet som handlägger ett anmälningsärende som avses i 25 d § FMH ska, när ärendet är tillräckligt utrett, förelägga om försiktighetsmått eller förbud om ärendet avser en sådan verksamhet som behandlar avfall.</t>
        </is>
      </c>
      <c r="L578" t="inlineStr">
        <is>
          <t>Den myndighet som handlägger ett anmälningsärende som avses i 25 d § FMH ska, när ärendet är tillräckligt utrett, förelägga om försiktighetsmått eller förbud om ärendet avser en sådan verksamhet som behandlar avfall.</t>
        </is>
      </c>
      <c r="M578" t="inlineStr">
        <is>
          <t>SKA</t>
        </is>
      </c>
      <c r="N578" t="inlineStr">
        <is>
          <t>FMH</t>
        </is>
      </c>
      <c r="O578" t="inlineStr"/>
      <c r="P578" t="inlineStr"/>
      <c r="Q578" t="inlineStr">
        <is>
          <t>Forbud</t>
        </is>
      </c>
      <c r="R578" t="inlineStr">
        <is>
          <t>Alltid</t>
        </is>
      </c>
      <c r="S578" t="inlineStr"/>
      <c r="T578" t="inlineStr">
        <is>
          <t>26 70 00</t>
        </is>
      </c>
      <c r="U578" t="inlineStr"/>
      <c r="V578" t="inlineStr"/>
      <c r="W578" t="inlineStr">
        <is>
          <t>Nej</t>
        </is>
      </c>
      <c r="X578" t="inlineStr">
        <is>
          <t>Nej</t>
        </is>
      </c>
      <c r="Y578" t="inlineStr">
        <is>
          <t>Nej</t>
        </is>
      </c>
      <c r="Z578" t="inlineStr">
        <is>
          <t>Nej</t>
        </is>
      </c>
      <c r="AA578" t="n">
        <v>10</v>
      </c>
      <c r="AB578" t="inlineStr">
        <is>
          <t>Miljopaverkan och forsiktighetsmatt</t>
        </is>
      </c>
      <c r="AC578" t="inlineStr">
        <is>
          <t>Miljo-PM</t>
        </is>
      </c>
      <c r="AD578" t="inlineStr">
        <is>
          <t>Nej</t>
        </is>
      </c>
      <c r="AE578" t="inlineStr">
        <is>
          <t>Nej</t>
        </is>
      </c>
      <c r="AF578" t="inlineStr">
        <is>
          <t>Ej behandlad</t>
        </is>
      </c>
      <c r="AG578" t="inlineStr">
        <is>
          <t>AUTO_GENERERAD. Verifiera citat mot kallfil.</t>
        </is>
      </c>
      <c r="AH578" t="inlineStr">
        <is>
          <t>HIGH</t>
        </is>
      </c>
      <c r="AI578" t="inlineStr">
        <is>
          <t>AUTO</t>
        </is>
      </c>
      <c r="AJ578" t="inlineStr">
        <is>
          <t>Nej</t>
        </is>
      </c>
      <c r="AK578" t="inlineStr"/>
      <c r="AL578" t="inlineStr"/>
      <c r="AM578" t="inlineStr"/>
      <c r="AN578" t="inlineStr"/>
      <c r="AO578" t="inlineStr">
        <is>
          <t>cmm4yuqq103u2cuqwxq5c1oxv</t>
        </is>
      </c>
      <c r="AP578" t="inlineStr">
        <is>
          <t>http://localhost:8787/api/admin/requirements/documents/cmm4yuqq103u2cuqwxq5c1oxv/view</t>
        </is>
      </c>
      <c r="AQ578">
        <f>HYPERLÄNK("http://localhost:8787/api/admin/requirements/documents/cmm4yuqq103u2cuqwxq5c1oxv/view";"Öppna PDF")</f>
        <v/>
      </c>
      <c r="AR578">
        <f>HYPERLINK("http://localhost:8787/api/admin/requirements/documents/cmm4yuqq103u2cuqwxq5c1oxv/view","Open PDF")</f>
        <v/>
      </c>
      <c r="AS578" t="inlineStr">
        <is>
          <t>cmm55w57p0004cuisfrtpqly8</t>
        </is>
      </c>
      <c r="AT578" t="inlineStr">
        <is>
          <t>cmm4xvu980000cuh4vj0usz09</t>
        </is>
      </c>
      <c r="AU578" t="inlineStr">
        <is>
          <t>Hässleholms</t>
        </is>
      </c>
      <c r="AV578" t="inlineStr">
        <is>
          <t>Kommun</t>
        </is>
      </c>
      <c r="AW578" t="inlineStr">
        <is>
          <t>Hässleholms kommun</t>
        </is>
      </c>
      <c r="AX578" t="inlineStr">
        <is>
          <t>0451-26</t>
        </is>
      </c>
      <c r="AY578" t="inlineStr">
        <is>
          <t>Anmalan</t>
        </is>
      </c>
      <c r="AZ578" t="inlineStr">
        <is>
          <t>2026-02-05</t>
        </is>
      </c>
      <c r="BA578" t="inlineStr">
        <is>
          <t>M-2025-1599 - MFV C-verksamhet.pdf</t>
        </is>
      </c>
      <c r="BB578" t="inlineStr">
        <is>
          <t>Sv:  Begäran om utlämnande av allmän handling – Anmälningar och beslut rörande mellanlagring av avfall samt anläggning av ytor</t>
        </is>
      </c>
      <c r="BC578" t="inlineStr">
        <is>
          <t>AUTO</t>
        </is>
      </c>
      <c r="BD578" t="inlineStr"/>
      <c r="BE578" t="inlineStr"/>
      <c r="BF578" t="inlineStr">
        <is>
          <t>AUTO_GENERERAD. Bekrafta metadata mot kallfil.</t>
        </is>
      </c>
      <c r="BG578">
        <f>HYPERLINK("C:\Users\jimmy\Desktop\Examens arbete\Kod\Ny mapp\remix_-copy-of-miljöbeslut.se-portal\M-2025-1599 - MFV C-verksamhet.pdf", "Öppna PDF")</f>
        <v/>
      </c>
    </row>
    <row r="579">
      <c r="A579" t="inlineStr">
        <is>
          <t>KRAV-AUTO-000578</t>
        </is>
      </c>
      <c r="B579" t="inlineStr">
        <is>
          <t>ADMIN-INDEX-2026-02-27-00000000125C043F57453246863FE664CAFE6A3F0700950291EA24F0614FB6ACEDB12BF0E31D00000000010C0000950291EA24F0614FB6ACEDB12BF0E31D00002087A5DB0000</t>
        </is>
      </c>
      <c r="C579" t="inlineStr">
        <is>
          <t>cmm4yuqrs03vwcuqww7o69h0p</t>
        </is>
      </c>
      <c r="D579" t="inlineStr">
        <is>
          <t>http://localhost:8787/api/admin/requirements/documents/cmm4yuqrs03vwcuqww7o69h0p/view</t>
        </is>
      </c>
      <c r="E579">
        <f>HYPERLÄNK("http://localhost:8787/api/admin/requirements/documents/cmm4yuqrs03vwcuqww7o69h0p/view";"Öppna PDF")</f>
        <v/>
      </c>
      <c r="F579">
        <f>HYPERLINK("http://localhost:8787/api/admin/requirements/documents/cmm4yuqrs03vwcuqww7o69h0p/view","Open PDF")</f>
        <v/>
      </c>
      <c r="G579" t="inlineStr">
        <is>
          <t>cmm55w57p0004cuisfrtpqly8</t>
        </is>
      </c>
      <c r="H579" t="inlineStr">
        <is>
          <t>Informationskrav</t>
        </is>
      </c>
      <c r="I579" t="inlineStr">
        <is>
          <t>Ytkonstruktion</t>
        </is>
      </c>
      <c r="J579" t="inlineStr">
        <is>
          <t>Tat yta</t>
        </is>
      </c>
      <c r="K579" t="inlineStr">
        <is>
          <t>Omkring 5 000 ton betongkross ska användas för att anlägga en verksamhetsyta för lagring av flis till gårdens flispanna.</t>
        </is>
      </c>
      <c r="L579" t="inlineStr">
        <is>
          <t>Omkring 5 000 ton betongkross ska användas för att anlägga en verksamhetsyta för lagring av flis till gårdens flispanna.</t>
        </is>
      </c>
      <c r="M579" t="inlineStr">
        <is>
          <t>SKA</t>
        </is>
      </c>
      <c r="N579" t="inlineStr"/>
      <c r="O579" t="inlineStr"/>
      <c r="P579" t="inlineStr"/>
      <c r="Q579" t="inlineStr"/>
      <c r="R579" t="inlineStr">
        <is>
          <t>Vid mellanlagring av avfall</t>
        </is>
      </c>
      <c r="S579" t="inlineStr"/>
      <c r="T579" t="inlineStr">
        <is>
          <t>26 70 00</t>
        </is>
      </c>
      <c r="U579" t="n">
        <v>0</v>
      </c>
      <c r="V579" t="inlineStr"/>
      <c r="W579" t="inlineStr">
        <is>
          <t>Ja</t>
        </is>
      </c>
      <c r="X579" t="inlineStr">
        <is>
          <t>Nej</t>
        </is>
      </c>
      <c r="Y579" t="inlineStr">
        <is>
          <t>Nej</t>
        </is>
      </c>
      <c r="Z579" t="inlineStr">
        <is>
          <t>Nej</t>
        </is>
      </c>
      <c r="AA579" t="n">
        <v>5</v>
      </c>
      <c r="AB579" t="inlineStr">
        <is>
          <t>Teknisk beskrivning av platta</t>
        </is>
      </c>
      <c r="AC579" t="inlineStr">
        <is>
          <t>Teknisk ritning platta</t>
        </is>
      </c>
      <c r="AD579" t="inlineStr">
        <is>
          <t>Nej</t>
        </is>
      </c>
      <c r="AE579" t="inlineStr">
        <is>
          <t>Nej</t>
        </is>
      </c>
      <c r="AF579" t="inlineStr">
        <is>
          <t>Ej behandlad</t>
        </is>
      </c>
      <c r="AG579" t="inlineStr">
        <is>
          <t>AUTO_GENERERAD. Verifiera citat mot kallfil.</t>
        </is>
      </c>
      <c r="AH579" t="inlineStr">
        <is>
          <t>MEDIUM</t>
        </is>
      </c>
      <c r="AI579" t="inlineStr">
        <is>
          <t>AUTO</t>
        </is>
      </c>
      <c r="AJ579" t="inlineStr">
        <is>
          <t>Nej</t>
        </is>
      </c>
      <c r="AK579" t="inlineStr"/>
      <c r="AL579" t="inlineStr"/>
      <c r="AM579" t="inlineStr"/>
      <c r="AN579" t="inlineStr"/>
      <c r="AO579" t="inlineStr">
        <is>
          <t>cmm4yuqq103u2cuqwxq5c1oxv</t>
        </is>
      </c>
      <c r="AP579" t="inlineStr">
        <is>
          <t>http://localhost:8787/api/admin/requirements/documents/cmm4yuqq103u2cuqwxq5c1oxv/view</t>
        </is>
      </c>
      <c r="AQ579">
        <f>HYPERLÄNK("http://localhost:8787/api/admin/requirements/documents/cmm4yuqq103u2cuqwxq5c1oxv/view";"Öppna PDF")</f>
        <v/>
      </c>
      <c r="AR579">
        <f>HYPERLINK("http://localhost:8787/api/admin/requirements/documents/cmm4yuqq103u2cuqwxq5c1oxv/view","Open PDF")</f>
        <v/>
      </c>
      <c r="AS579" t="inlineStr">
        <is>
          <t>cmm55w57p0004cuisfrtpqly8</t>
        </is>
      </c>
      <c r="AT579" t="inlineStr">
        <is>
          <t>cmm4xvu980000cuh4vj0usz09</t>
        </is>
      </c>
      <c r="AU579" t="inlineStr">
        <is>
          <t>Hässleholms</t>
        </is>
      </c>
      <c r="AV579" t="inlineStr">
        <is>
          <t>Kommun</t>
        </is>
      </c>
      <c r="AW579" t="inlineStr">
        <is>
          <t>Hässleholms kommun</t>
        </is>
      </c>
      <c r="AX579" t="inlineStr">
        <is>
          <t>0451-26</t>
        </is>
      </c>
      <c r="AY579" t="inlineStr">
        <is>
          <t>Anmalan</t>
        </is>
      </c>
      <c r="AZ579" t="inlineStr">
        <is>
          <t>2026-02-05</t>
        </is>
      </c>
      <c r="BA579" t="inlineStr">
        <is>
          <t>M-2025-1599 - MFV C-verksamhet.pdf</t>
        </is>
      </c>
      <c r="BB579" t="inlineStr">
        <is>
          <t>Sv:  Begäran om utlämnande av allmän handling – Anmälningar och beslut rörande mellanlagring av avfall samt anläggning av ytor</t>
        </is>
      </c>
      <c r="BC579" t="inlineStr">
        <is>
          <t>AUTO</t>
        </is>
      </c>
      <c r="BD579" t="inlineStr"/>
      <c r="BE579" t="inlineStr"/>
      <c r="BF579" t="inlineStr">
        <is>
          <t>AUTO_GENERERAD. Bekrafta metadata mot kallfil.</t>
        </is>
      </c>
      <c r="BG579">
        <f>HYPERLINK("C:\Users\jimmy\Desktop\Examens arbete\Kod\Ny mapp\remix_-copy-of-miljöbeslut.se-portal\M-2025-1599 - MFV C-verksamhet.pdf", "Öppna PDF")</f>
        <v/>
      </c>
    </row>
    <row r="580">
      <c r="A580" t="inlineStr">
        <is>
          <t>KRAV-AUTO-000579</t>
        </is>
      </c>
      <c r="B580" t="inlineStr">
        <is>
          <t>ADMIN-INDEX-2026-02-27-00000000125C043F57453246863FE664CAFE6A3F0700950291EA24F0614FB6ACEDB12BF0E31D00000000010C0000950291EA24F0614FB6ACEDB12BF0E31D00002087A5C50000</t>
        </is>
      </c>
      <c r="C580" t="inlineStr">
        <is>
          <t>cmm4yur0i042zcuqwhcf1xqa7</t>
        </is>
      </c>
      <c r="D580" t="inlineStr">
        <is>
          <t>http://localhost:8787/api/admin/requirements/documents/cmm4yur0i042zcuqwhcf1xqa7/view</t>
        </is>
      </c>
      <c r="E580">
        <f>HYPERLÄNK("http://localhost:8787/api/admin/requirements/documents/cmm4yur0i042zcuqwhcf1xqa7/view";"Öppna PDF")</f>
        <v/>
      </c>
      <c r="F580">
        <f>HYPERLINK("http://localhost:8787/api/admin/requirements/documents/cmm4yur0i042zcuqwhcf1xqa7/view","Open PDF")</f>
        <v/>
      </c>
      <c r="G580" t="inlineStr">
        <is>
          <t>cmm55w57p0004cuisfrtpqly8</t>
        </is>
      </c>
      <c r="H580" t="inlineStr">
        <is>
          <t>Beslutsvillkor</t>
        </is>
      </c>
      <c r="I580" t="inlineStr">
        <is>
          <t>Ytkonstruktion</t>
        </is>
      </c>
      <c r="J580" t="inlineStr">
        <is>
          <t>Tat yta</t>
        </is>
      </c>
      <c r="K580" t="inlineStr">
        <is>
          <t>Eventuell förvaring utomhus ska ske på ogenomsläpplig och invallad yta under tak eller annat regnskydd.</t>
        </is>
      </c>
      <c r="L580" t="inlineStr">
        <is>
          <t>Eventuell förvaring utomhus ska ske på ogenomsläpplig och invallad yta under tak eller annat regnskydd.</t>
        </is>
      </c>
      <c r="M580" t="inlineStr">
        <is>
          <t>SKA</t>
        </is>
      </c>
      <c r="N580" t="inlineStr"/>
      <c r="O580" t="inlineStr"/>
      <c r="P580" t="inlineStr"/>
      <c r="Q580" t="inlineStr"/>
      <c r="R580" t="inlineStr">
        <is>
          <t>Vid mellanlagring av avfall</t>
        </is>
      </c>
      <c r="S580" t="inlineStr"/>
      <c r="T580" t="inlineStr">
        <is>
          <t>2024 07</t>
        </is>
      </c>
      <c r="U580" t="inlineStr"/>
      <c r="V580" t="inlineStr"/>
      <c r="W580" t="inlineStr">
        <is>
          <t>Ja</t>
        </is>
      </c>
      <c r="X580" t="inlineStr">
        <is>
          <t>Nej</t>
        </is>
      </c>
      <c r="Y580" t="inlineStr">
        <is>
          <t>Nej</t>
        </is>
      </c>
      <c r="Z580" t="inlineStr">
        <is>
          <t>Nej</t>
        </is>
      </c>
      <c r="AA580" t="n">
        <v>5</v>
      </c>
      <c r="AB580" t="inlineStr">
        <is>
          <t>Teknisk beskrivning av platta</t>
        </is>
      </c>
      <c r="AC580" t="inlineStr">
        <is>
          <t>Teknisk ritning platta</t>
        </is>
      </c>
      <c r="AD580" t="inlineStr">
        <is>
          <t>Nej</t>
        </is>
      </c>
      <c r="AE580" t="inlineStr">
        <is>
          <t>Nej</t>
        </is>
      </c>
      <c r="AF580" t="inlineStr">
        <is>
          <t>Ej behandlad</t>
        </is>
      </c>
      <c r="AG580" t="inlineStr">
        <is>
          <t>AUTO_GENERERAD. Verifiera citat mot kallfil.</t>
        </is>
      </c>
      <c r="AH580" t="inlineStr">
        <is>
          <t>MEDIUM</t>
        </is>
      </c>
      <c r="AI580" t="inlineStr">
        <is>
          <t>AUTO</t>
        </is>
      </c>
      <c r="AJ580" t="inlineStr">
        <is>
          <t>Nej</t>
        </is>
      </c>
      <c r="AK580" t="inlineStr"/>
      <c r="AL580" t="inlineStr"/>
      <c r="AM580" t="inlineStr"/>
      <c r="AN580" t="inlineStr"/>
      <c r="AO580" t="inlineStr">
        <is>
          <t>cmm4yur0g042wcuqw7dqgvnqv</t>
        </is>
      </c>
      <c r="AP580" t="inlineStr">
        <is>
          <t>http://localhost:8787/api/admin/requirements/documents/cmm4yur0g042wcuqw7dqgvnqv/view</t>
        </is>
      </c>
      <c r="AQ580">
        <f>HYPERLÄNK("http://localhost:8787/api/admin/requirements/documents/cmm4yur0g042wcuqw7dqgvnqv/view";"Öppna PDF")</f>
        <v/>
      </c>
      <c r="AR580">
        <f>HYPERLINK("http://localhost:8787/api/admin/requirements/documents/cmm4yur0g042wcuqw7dqgvnqv/view","Open PDF")</f>
        <v/>
      </c>
      <c r="AS580" t="inlineStr">
        <is>
          <t>cmm55w57p0004cuisfrtpqly8</t>
        </is>
      </c>
      <c r="AT580" t="inlineStr">
        <is>
          <t>cmm4xvu980000cuh4vj0usz09</t>
        </is>
      </c>
      <c r="AU580" t="inlineStr"/>
      <c r="AV580" t="inlineStr">
        <is>
          <t>Kommun</t>
        </is>
      </c>
      <c r="AW580" t="inlineStr"/>
      <c r="AX580" t="inlineStr">
        <is>
          <t>2024-03</t>
        </is>
      </c>
      <c r="AY580" t="inlineStr">
        <is>
          <t>Beslut</t>
        </is>
      </c>
      <c r="AZ580" t="inlineStr">
        <is>
          <t>2026-02-05</t>
        </is>
      </c>
      <c r="BA580" t="inlineStr">
        <is>
          <t>MILJ2024450.pdf</t>
        </is>
      </c>
      <c r="BB580" t="inlineStr">
        <is>
          <t>Handlingar</t>
        </is>
      </c>
      <c r="BC580" t="inlineStr">
        <is>
          <t>AUTO</t>
        </is>
      </c>
      <c r="BD580" t="inlineStr"/>
      <c r="BE580" t="inlineStr"/>
      <c r="BF580" t="inlineStr">
        <is>
          <t>AUTO_GENERERAD. Bekrafta metadata mot kallfil.</t>
        </is>
      </c>
      <c r="BG580">
        <f>HYPERLINK("C:\Users\jimmy\Desktop\Examens arbete\Kod\Ny mapp\remix_-copy-of-miljöbeslut.se-portal\MILJ2024450.pdf", "Öppna PDF")</f>
        <v/>
      </c>
    </row>
    <row r="581">
      <c r="A581" t="inlineStr">
        <is>
          <t>KRAV-AUTO-000580</t>
        </is>
      </c>
      <c r="B581" t="inlineStr">
        <is>
          <t>ADMIN-INDEX-2026-02-27-00000000125C043F57453246863FE664CAFE6A3F0700950291EA24F0614FB6ACEDB12BF0E31D00000000010C0000950291EA24F0614FB6ACEDB12BF0E31D00002087A5C50000</t>
        </is>
      </c>
      <c r="C581" t="inlineStr">
        <is>
          <t>cmm4yur0i042zcuqwhcf1xqa7</t>
        </is>
      </c>
      <c r="D581" t="inlineStr">
        <is>
          <t>http://localhost:8787/api/admin/requirements/documents/cmm4yur0i042zcuqwhcf1xqa7/view</t>
        </is>
      </c>
      <c r="E581">
        <f>HYPERLÄNK("http://localhost:8787/api/admin/requirements/documents/cmm4yur0i042zcuqwhcf1xqa7/view";"Öppna PDF")</f>
        <v/>
      </c>
      <c r="F581">
        <f>HYPERLINK("http://localhost:8787/api/admin/requirements/documents/cmm4yur0i042zcuqwhcf1xqa7/view","Open PDF")</f>
        <v/>
      </c>
      <c r="G581" t="inlineStr">
        <is>
          <t>cmm55w57p0004cuisfrtpqly8</t>
        </is>
      </c>
      <c r="H581" t="inlineStr">
        <is>
          <t>Beslutsvillkor</t>
        </is>
      </c>
      <c r="I581" t="inlineStr">
        <is>
          <t>LagringsvolymTid</t>
        </is>
      </c>
      <c r="J581" t="inlineStr">
        <is>
          <t>Maxmangd</t>
        </is>
      </c>
      <c r="K581" t="inlineStr">
        <is>
          <t>Verksamheten ska dokumentera mängd metallavfall som förs in och lagras inom fastigheten.</t>
        </is>
      </c>
      <c r="L581" t="inlineStr">
        <is>
          <t>Verksamheten ska dokumentera mängd metallavfall som förs in och lagras inom fastigheten.</t>
        </is>
      </c>
      <c r="M581" t="inlineStr">
        <is>
          <t>SKA</t>
        </is>
      </c>
      <c r="N581" t="inlineStr"/>
      <c r="O581" t="inlineStr"/>
      <c r="P581" t="inlineStr"/>
      <c r="Q581" t="inlineStr"/>
      <c r="R581" t="inlineStr">
        <is>
          <t>Alltid</t>
        </is>
      </c>
      <c r="S581" t="inlineStr"/>
      <c r="T581" t="inlineStr">
        <is>
          <t>2024 07</t>
        </is>
      </c>
      <c r="U581" t="inlineStr"/>
      <c r="V581" t="inlineStr"/>
      <c r="W581" t="inlineStr">
        <is>
          <t>Nej</t>
        </is>
      </c>
      <c r="X581" t="inlineStr">
        <is>
          <t>Nej</t>
        </is>
      </c>
      <c r="Y581" t="inlineStr">
        <is>
          <t>Nej</t>
        </is>
      </c>
      <c r="Z581" t="inlineStr">
        <is>
          <t>Nej</t>
        </is>
      </c>
      <c r="AA581" t="n">
        <v>4</v>
      </c>
      <c r="AB581" t="inlineStr">
        <is>
          <t>Avfallsmangder och lagringstid</t>
        </is>
      </c>
      <c r="AC581" t="inlineStr">
        <is>
          <t>Avfallsforteckning</t>
        </is>
      </c>
      <c r="AD581" t="inlineStr">
        <is>
          <t>Nej</t>
        </is>
      </c>
      <c r="AE581" t="inlineStr">
        <is>
          <t>Nej</t>
        </is>
      </c>
      <c r="AF581" t="inlineStr">
        <is>
          <t>Ej behandlad</t>
        </is>
      </c>
      <c r="AG581" t="inlineStr">
        <is>
          <t>AUTO_GENERERAD. Verifiera citat mot kallfil.</t>
        </is>
      </c>
      <c r="AH581" t="inlineStr">
        <is>
          <t>MEDIUM</t>
        </is>
      </c>
      <c r="AI581" t="inlineStr">
        <is>
          <t>AUTO</t>
        </is>
      </c>
      <c r="AJ581" t="inlineStr">
        <is>
          <t>Nej</t>
        </is>
      </c>
      <c r="AK581" t="inlineStr"/>
      <c r="AL581" t="inlineStr"/>
      <c r="AM581" t="inlineStr"/>
      <c r="AN581" t="inlineStr"/>
      <c r="AO581" t="inlineStr">
        <is>
          <t>cmm4yur0g042wcuqw7dqgvnqv</t>
        </is>
      </c>
      <c r="AP581" t="inlineStr">
        <is>
          <t>http://localhost:8787/api/admin/requirements/documents/cmm4yur0g042wcuqw7dqgvnqv/view</t>
        </is>
      </c>
      <c r="AQ581">
        <f>HYPERLÄNK("http://localhost:8787/api/admin/requirements/documents/cmm4yur0g042wcuqw7dqgvnqv/view";"Öppna PDF")</f>
        <v/>
      </c>
      <c r="AR581">
        <f>HYPERLINK("http://localhost:8787/api/admin/requirements/documents/cmm4yur0g042wcuqw7dqgvnqv/view","Open PDF")</f>
        <v/>
      </c>
      <c r="AS581" t="inlineStr">
        <is>
          <t>cmm55w57p0004cuisfrtpqly8</t>
        </is>
      </c>
      <c r="AT581" t="inlineStr">
        <is>
          <t>cmm4xvu980000cuh4vj0usz09</t>
        </is>
      </c>
      <c r="AU581" t="inlineStr"/>
      <c r="AV581" t="inlineStr">
        <is>
          <t>Kommun</t>
        </is>
      </c>
      <c r="AW581" t="inlineStr"/>
      <c r="AX581" t="inlineStr">
        <is>
          <t>2024-03</t>
        </is>
      </c>
      <c r="AY581" t="inlineStr">
        <is>
          <t>Beslut</t>
        </is>
      </c>
      <c r="AZ581" t="inlineStr">
        <is>
          <t>2026-02-05</t>
        </is>
      </c>
      <c r="BA581" t="inlineStr">
        <is>
          <t>MILJ2024450.pdf</t>
        </is>
      </c>
      <c r="BB581" t="inlineStr">
        <is>
          <t>Handlingar</t>
        </is>
      </c>
      <c r="BC581" t="inlineStr">
        <is>
          <t>AUTO</t>
        </is>
      </c>
      <c r="BD581" t="inlineStr"/>
      <c r="BE581" t="inlineStr"/>
      <c r="BF581" t="inlineStr">
        <is>
          <t>AUTO_GENERERAD. Bekrafta metadata mot kallfil.</t>
        </is>
      </c>
      <c r="BG581">
        <f>HYPERLINK("C:\Users\jimmy\Desktop\Examens arbete\Kod\Ny mapp\remix_-copy-of-miljöbeslut.se-portal\MILJ2024450.pdf", "Öppna PDF")</f>
        <v/>
      </c>
    </row>
    <row r="582">
      <c r="A582" t="inlineStr">
        <is>
          <t>KRAV-AUTO-000581</t>
        </is>
      </c>
      <c r="B582" t="inlineStr">
        <is>
          <t>ADMIN-INDEX-2026-02-27-00000000125C043F57453246863FE664CAFE6A3F0700950291EA24F0614FB6ACEDB12BF0E31D00000000010C0000950291EA24F0614FB6ACEDB12BF0E31D00002087A5C50000</t>
        </is>
      </c>
      <c r="C582" t="inlineStr">
        <is>
          <t>cmm4yur0i042zcuqwhcf1xqa7</t>
        </is>
      </c>
      <c r="D582" t="inlineStr">
        <is>
          <t>http://localhost:8787/api/admin/requirements/documents/cmm4yur0i042zcuqwhcf1xqa7/view</t>
        </is>
      </c>
      <c r="E582">
        <f>HYPERLÄNK("http://localhost:8787/api/admin/requirements/documents/cmm4yur0i042zcuqwhcf1xqa7/view";"Öppna PDF")</f>
        <v/>
      </c>
      <c r="F582">
        <f>HYPERLINK("http://localhost:8787/api/admin/requirements/documents/cmm4yur0i042zcuqwhcf1xqa7/view","Open PDF")</f>
        <v/>
      </c>
      <c r="G582" t="inlineStr">
        <is>
          <t>cmm55w57p0004cuisfrtpqly8</t>
        </is>
      </c>
      <c r="H582" t="inlineStr">
        <is>
          <t>Beslutsvillkor</t>
        </is>
      </c>
      <c r="I582" t="inlineStr">
        <is>
          <t>LagringsvolymTid</t>
        </is>
      </c>
      <c r="J582" t="inlineStr">
        <is>
          <t>Maxmangd</t>
        </is>
      </c>
      <c r="K582" t="inlineStr">
        <is>
          <t>mer än 1 000 ton per kalenderår och avfallet ska användas för byggnads- eller anläggningsändamål, eller 2.</t>
        </is>
      </c>
      <c r="L582" t="inlineStr">
        <is>
          <t>mer än 1 000 ton per kalenderår och avfallet ska användas för byggnads- eller anläggningsändamål, eller 2.</t>
        </is>
      </c>
      <c r="M582" t="inlineStr">
        <is>
          <t>SKA</t>
        </is>
      </c>
      <c r="N582" t="inlineStr"/>
      <c r="O582" t="inlineStr"/>
      <c r="P582" t="inlineStr"/>
      <c r="Q582" t="inlineStr"/>
      <c r="R582" t="inlineStr">
        <is>
          <t>Alltid</t>
        </is>
      </c>
      <c r="S582" t="inlineStr"/>
      <c r="T582" t="inlineStr">
        <is>
          <t>2024 07</t>
        </is>
      </c>
      <c r="U582" t="n">
        <v>0</v>
      </c>
      <c r="V582" t="inlineStr"/>
      <c r="W582" t="inlineStr">
        <is>
          <t>Nej</t>
        </is>
      </c>
      <c r="X582" t="inlineStr">
        <is>
          <t>Nej</t>
        </is>
      </c>
      <c r="Y582" t="inlineStr">
        <is>
          <t>Nej</t>
        </is>
      </c>
      <c r="Z582" t="inlineStr">
        <is>
          <t>Nej</t>
        </is>
      </c>
      <c r="AA582" t="n">
        <v>4</v>
      </c>
      <c r="AB582" t="inlineStr">
        <is>
          <t>Avfallsmangder och lagringstid</t>
        </is>
      </c>
      <c r="AC582" t="inlineStr">
        <is>
          <t>Avfallsforteckning</t>
        </is>
      </c>
      <c r="AD582" t="inlineStr">
        <is>
          <t>Nej</t>
        </is>
      </c>
      <c r="AE582" t="inlineStr">
        <is>
          <t>Nej</t>
        </is>
      </c>
      <c r="AF582" t="inlineStr">
        <is>
          <t>Ej behandlad</t>
        </is>
      </c>
      <c r="AG582" t="inlineStr">
        <is>
          <t>AUTO_GENERERAD. Verifiera citat mot kallfil.</t>
        </is>
      </c>
      <c r="AH582" t="inlineStr">
        <is>
          <t>MEDIUM</t>
        </is>
      </c>
      <c r="AI582" t="inlineStr">
        <is>
          <t>AUTO</t>
        </is>
      </c>
      <c r="AJ582" t="inlineStr">
        <is>
          <t>Nej</t>
        </is>
      </c>
      <c r="AK582" t="inlineStr"/>
      <c r="AL582" t="inlineStr"/>
      <c r="AM582" t="inlineStr"/>
      <c r="AN582" t="inlineStr"/>
      <c r="AO582" t="inlineStr">
        <is>
          <t>cmm4yur0g042wcuqw7dqgvnqv</t>
        </is>
      </c>
      <c r="AP582" t="inlineStr">
        <is>
          <t>http://localhost:8787/api/admin/requirements/documents/cmm4yur0g042wcuqw7dqgvnqv/view</t>
        </is>
      </c>
      <c r="AQ582">
        <f>HYPERLÄNK("http://localhost:8787/api/admin/requirements/documents/cmm4yur0g042wcuqw7dqgvnqv/view";"Öppna PDF")</f>
        <v/>
      </c>
      <c r="AR582">
        <f>HYPERLINK("http://localhost:8787/api/admin/requirements/documents/cmm4yur0g042wcuqw7dqgvnqv/view","Open PDF")</f>
        <v/>
      </c>
      <c r="AS582" t="inlineStr">
        <is>
          <t>cmm55w57p0004cuisfrtpqly8</t>
        </is>
      </c>
      <c r="AT582" t="inlineStr">
        <is>
          <t>cmm4xvu980000cuh4vj0usz09</t>
        </is>
      </c>
      <c r="AU582" t="inlineStr"/>
      <c r="AV582" t="inlineStr">
        <is>
          <t>Kommun</t>
        </is>
      </c>
      <c r="AW582" t="inlineStr"/>
      <c r="AX582" t="inlineStr">
        <is>
          <t>2024-03</t>
        </is>
      </c>
      <c r="AY582" t="inlineStr">
        <is>
          <t>Beslut</t>
        </is>
      </c>
      <c r="AZ582" t="inlineStr">
        <is>
          <t>2026-02-05</t>
        </is>
      </c>
      <c r="BA582" t="inlineStr">
        <is>
          <t>MILJ2024450.pdf</t>
        </is>
      </c>
      <c r="BB582" t="inlineStr">
        <is>
          <t>Handlingar</t>
        </is>
      </c>
      <c r="BC582" t="inlineStr">
        <is>
          <t>AUTO</t>
        </is>
      </c>
      <c r="BD582" t="inlineStr"/>
      <c r="BE582" t="inlineStr"/>
      <c r="BF582" t="inlineStr">
        <is>
          <t>AUTO_GENERERAD. Bekrafta metadata mot kallfil.</t>
        </is>
      </c>
      <c r="BG582">
        <f>HYPERLINK("C:\Users\jimmy\Desktop\Examens arbete\Kod\Ny mapp\remix_-copy-of-miljöbeslut.se-portal\MILJ2024450.pdf", "Öppna PDF")</f>
        <v/>
      </c>
    </row>
    <row r="583">
      <c r="A583" t="inlineStr">
        <is>
          <t>KRAV-AUTO-000582</t>
        </is>
      </c>
      <c r="B583" t="inlineStr">
        <is>
          <t>ADMIN-INDEX-2026-02-27-00000000125C043F57453246863FE664CAFE6A3F0700950291EA24F0614FB6ACEDB12BF0E31D00000000010C0000950291EA24F0614FB6ACEDB12BF0E31D00002087A5DB0000</t>
        </is>
      </c>
      <c r="C583" t="inlineStr">
        <is>
          <t>cmm4yuqrd03vhcuqwdq075qm9</t>
        </is>
      </c>
      <c r="D583" t="inlineStr">
        <is>
          <t>http://localhost:8787/api/admin/requirements/documents/cmm4yuqrd03vhcuqwdq075qm9/view</t>
        </is>
      </c>
      <c r="E583">
        <f>HYPERLÄNK("http://localhost:8787/api/admin/requirements/documents/cmm4yuqrd03vhcuqwdq075qm9/view";"Öppna PDF")</f>
        <v/>
      </c>
      <c r="F583">
        <f>HYPERLINK("http://localhost:8787/api/admin/requirements/documents/cmm4yuqrd03vhcuqwdq075qm9/view","Open PDF")</f>
        <v/>
      </c>
      <c r="G583" t="inlineStr">
        <is>
          <t>cmm55w57p0004cuisfrtpqly8</t>
        </is>
      </c>
      <c r="H583" t="inlineStr">
        <is>
          <t>Informationskrav</t>
        </is>
      </c>
      <c r="I583" t="inlineStr">
        <is>
          <t>LagringsvolymTid</t>
        </is>
      </c>
      <c r="J583" t="inlineStr">
        <is>
          <t>Maxmangd</t>
        </is>
      </c>
      <c r="K583" t="inlineStr">
        <is>
          <t>Avser anmälan en verksamhet med behandling av avfall ange typ och mängd som ska behandlas samt behandlingsmetoder.</t>
        </is>
      </c>
      <c r="L583" t="inlineStr">
        <is>
          <t>Avser anmälan en verksamhet med behandling av avfall ange typ och mängd som ska behandlas samt behandlingsmetoder.</t>
        </is>
      </c>
      <c r="M583" t="inlineStr">
        <is>
          <t>SKA</t>
        </is>
      </c>
      <c r="N583" t="inlineStr">
        <is>
          <t>FMH</t>
        </is>
      </c>
      <c r="O583" t="inlineStr"/>
      <c r="P583" t="inlineStr"/>
      <c r="Q583" t="inlineStr"/>
      <c r="R583" t="inlineStr">
        <is>
          <t>Alltid</t>
        </is>
      </c>
      <c r="S583" t="inlineStr"/>
      <c r="T583" t="inlineStr">
        <is>
          <t>742000</t>
        </is>
      </c>
      <c r="U583" t="inlineStr"/>
      <c r="V583" t="inlineStr"/>
      <c r="W583" t="inlineStr">
        <is>
          <t>Nej</t>
        </is>
      </c>
      <c r="X583" t="inlineStr">
        <is>
          <t>Nej</t>
        </is>
      </c>
      <c r="Y583" t="inlineStr">
        <is>
          <t>Nej</t>
        </is>
      </c>
      <c r="Z583" t="inlineStr">
        <is>
          <t>Nej</t>
        </is>
      </c>
      <c r="AA583" t="n">
        <v>4</v>
      </c>
      <c r="AB583" t="inlineStr">
        <is>
          <t>Avfallsmangder och lagringstid</t>
        </is>
      </c>
      <c r="AC583" t="inlineStr">
        <is>
          <t>Avfallsforteckning</t>
        </is>
      </c>
      <c r="AD583" t="inlineStr">
        <is>
          <t>Nej</t>
        </is>
      </c>
      <c r="AE583" t="inlineStr">
        <is>
          <t>Nej</t>
        </is>
      </c>
      <c r="AF583" t="inlineStr">
        <is>
          <t>Ej behandlad</t>
        </is>
      </c>
      <c r="AG583" t="inlineStr">
        <is>
          <t>AUTO_GENERERAD. Verifiera citat mot kallfil.</t>
        </is>
      </c>
      <c r="AH583" t="inlineStr">
        <is>
          <t>MEDIUM</t>
        </is>
      </c>
      <c r="AI583" t="inlineStr">
        <is>
          <t>AUTO</t>
        </is>
      </c>
      <c r="AJ583" t="inlineStr">
        <is>
          <t>Nej</t>
        </is>
      </c>
      <c r="AK583" t="inlineStr"/>
      <c r="AL583" t="inlineStr"/>
      <c r="AM583" t="inlineStr"/>
      <c r="AN583" t="inlineStr"/>
      <c r="AO583" t="inlineStr">
        <is>
          <t>cmm4yuqq103u2cuqwxq5c1oxv</t>
        </is>
      </c>
      <c r="AP583" t="inlineStr">
        <is>
          <t>http://localhost:8787/api/admin/requirements/documents/cmm4yuqq103u2cuqwxq5c1oxv/view</t>
        </is>
      </c>
      <c r="AQ583">
        <f>HYPERLÄNK("http://localhost:8787/api/admin/requirements/documents/cmm4yuqq103u2cuqwxq5c1oxv/view";"Öppna PDF")</f>
        <v/>
      </c>
      <c r="AR583">
        <f>HYPERLINK("http://localhost:8787/api/admin/requirements/documents/cmm4yuqq103u2cuqwxq5c1oxv/view","Open PDF")</f>
        <v/>
      </c>
      <c r="AS583" t="inlineStr">
        <is>
          <t>cmm55w57p0004cuisfrtpqly8</t>
        </is>
      </c>
      <c r="AT583" t="inlineStr">
        <is>
          <t>cmm4xvu980000cuh4vj0usz09</t>
        </is>
      </c>
      <c r="AU583" t="inlineStr">
        <is>
          <t>Hässleholms</t>
        </is>
      </c>
      <c r="AV583" t="inlineStr">
        <is>
          <t>Kommun</t>
        </is>
      </c>
      <c r="AW583" t="inlineStr">
        <is>
          <t>Hässleholms kommun</t>
        </is>
      </c>
      <c r="AX583" t="inlineStr">
        <is>
          <t>0451-26</t>
        </is>
      </c>
      <c r="AY583" t="inlineStr">
        <is>
          <t>Anmalan</t>
        </is>
      </c>
      <c r="AZ583" t="inlineStr">
        <is>
          <t>2026-02-05</t>
        </is>
      </c>
      <c r="BA583" t="inlineStr">
        <is>
          <t>M-2025-1599 - MFV C-verksamhet.pdf</t>
        </is>
      </c>
      <c r="BB583" t="inlineStr">
        <is>
          <t>Sv:  Begäran om utlämnande av allmän handling – Anmälningar och beslut rörande mellanlagring av avfall samt anläggning av ytor</t>
        </is>
      </c>
      <c r="BC583" t="inlineStr">
        <is>
          <t>AUTO</t>
        </is>
      </c>
      <c r="BD583" t="inlineStr"/>
      <c r="BE583" t="inlineStr"/>
      <c r="BF583" t="inlineStr">
        <is>
          <t>AUTO_GENERERAD. Bekrafta metadata mot kallfil.</t>
        </is>
      </c>
      <c r="BG583">
        <f>HYPERLINK("C:\Users\jimmy\Desktop\Examens arbete\Kod\Ny mapp\remix_-copy-of-miljöbeslut.se-portal\M-2025-1599 - MFV C-verksamhet.pdf", "Öppna PDF")</f>
        <v/>
      </c>
    </row>
    <row r="584">
      <c r="A584" t="inlineStr">
        <is>
          <t>KRAV-AUTO-000583</t>
        </is>
      </c>
      <c r="B584" t="inlineStr">
        <is>
          <t>ADMIN-INDEX-2026-02-27-00000000125C043F57453246863FE664CAFE6A3F0700950291EA24F0614FB6ACEDB12BF0E31D00000000010C0000950291EA24F0614FB6ACEDB12BF0E31D00002087A5DB0000</t>
        </is>
      </c>
      <c r="C584" t="inlineStr">
        <is>
          <t>cmm4yuqr103v5cuqwc4nx984p</t>
        </is>
      </c>
      <c r="D584" t="inlineStr">
        <is>
          <t>http://localhost:8787/api/admin/requirements/documents/cmm4yuqr103v5cuqwc4nx984p/view</t>
        </is>
      </c>
      <c r="E584">
        <f>HYPERLÄNK("http://localhost:8787/api/admin/requirements/documents/cmm4yuqr103v5cuqwc4nx984p/view";"Öppna PDF")</f>
        <v/>
      </c>
      <c r="F584">
        <f>HYPERLINK("http://localhost:8787/api/admin/requirements/documents/cmm4yuqr103v5cuqwc4nx984p/view","Open PDF")</f>
        <v/>
      </c>
      <c r="G584" t="inlineStr">
        <is>
          <t>cmm55w57p0004cuisfrtpqly8</t>
        </is>
      </c>
      <c r="H584" t="inlineStr">
        <is>
          <t>Informationskrav</t>
        </is>
      </c>
      <c r="I584" t="inlineStr">
        <is>
          <t>DagvattenLakvatten</t>
        </is>
      </c>
      <c r="J584" t="inlineStr">
        <is>
          <t>Uppsamling</t>
        </is>
      </c>
      <c r="K584" t="inlineStr">
        <is>
          <t>Byggavdelningen har den 14 augusti 2024 yttrat sig om att marklov inte behövs men att det måste säkerställas att dagvattenhanteringen hanteras inom fastigheten och inte belastar grannfastigheterna och vägar.</t>
        </is>
      </c>
      <c r="L584" t="inlineStr">
        <is>
          <t>Byggavdelningen har den 14 augusti 2024 yttrat sig om att marklov inte behövs men att det måste säkerställas att dagvattenhanteringen hanteras inom fastigheten och inte belastar grannfastigheterna och vägar.</t>
        </is>
      </c>
      <c r="M584" t="inlineStr">
        <is>
          <t>SKA</t>
        </is>
      </c>
      <c r="N584" t="inlineStr"/>
      <c r="O584" t="inlineStr"/>
      <c r="P584" t="inlineStr"/>
      <c r="Q584" t="inlineStr"/>
      <c r="R584" t="inlineStr">
        <is>
          <t>Vid nederbord och avrinning</t>
        </is>
      </c>
      <c r="S584" t="inlineStr"/>
      <c r="T584" t="inlineStr">
        <is>
          <t>26 70 00</t>
        </is>
      </c>
      <c r="U584" t="inlineStr"/>
      <c r="V584" t="inlineStr"/>
      <c r="W584" t="inlineStr">
        <is>
          <t>Nej</t>
        </is>
      </c>
      <c r="X584" t="inlineStr">
        <is>
          <t>Ja</t>
        </is>
      </c>
      <c r="Y584" t="inlineStr">
        <is>
          <t>Ja</t>
        </is>
      </c>
      <c r="Z584" t="inlineStr">
        <is>
          <t>Nej</t>
        </is>
      </c>
      <c r="AA584" t="n">
        <v>6</v>
      </c>
      <c r="AB584" t="inlineStr">
        <is>
          <t>Lakvattenhantering</t>
        </is>
      </c>
      <c r="AC584" t="inlineStr">
        <is>
          <t>Flodesschema dagvatten-lakvatten</t>
        </is>
      </c>
      <c r="AD584" t="inlineStr">
        <is>
          <t>Nej</t>
        </is>
      </c>
      <c r="AE584" t="inlineStr">
        <is>
          <t>Nej</t>
        </is>
      </c>
      <c r="AF584" t="inlineStr">
        <is>
          <t>Ej behandlad</t>
        </is>
      </c>
      <c r="AG584" t="inlineStr">
        <is>
          <t>AUTO_GENERERAD. Verifiera citat mot kallfil.</t>
        </is>
      </c>
      <c r="AH584" t="inlineStr">
        <is>
          <t>MEDIUM</t>
        </is>
      </c>
      <c r="AI584" t="inlineStr">
        <is>
          <t>AUTO</t>
        </is>
      </c>
      <c r="AJ584" t="inlineStr">
        <is>
          <t>Nej</t>
        </is>
      </c>
      <c r="AK584" t="inlineStr"/>
      <c r="AL584" t="inlineStr"/>
      <c r="AM584" t="inlineStr"/>
      <c r="AN584" t="inlineStr"/>
      <c r="AO584" t="inlineStr">
        <is>
          <t>cmm4yuqq103u2cuqwxq5c1oxv</t>
        </is>
      </c>
      <c r="AP584" t="inlineStr">
        <is>
          <t>http://localhost:8787/api/admin/requirements/documents/cmm4yuqq103u2cuqwxq5c1oxv/view</t>
        </is>
      </c>
      <c r="AQ584">
        <f>HYPERLÄNK("http://localhost:8787/api/admin/requirements/documents/cmm4yuqq103u2cuqwxq5c1oxv/view";"Öppna PDF")</f>
        <v/>
      </c>
      <c r="AR584">
        <f>HYPERLINK("http://localhost:8787/api/admin/requirements/documents/cmm4yuqq103u2cuqwxq5c1oxv/view","Open PDF")</f>
        <v/>
      </c>
      <c r="AS584" t="inlineStr">
        <is>
          <t>cmm55w57p0004cuisfrtpqly8</t>
        </is>
      </c>
      <c r="AT584" t="inlineStr">
        <is>
          <t>cmm4xvu980000cuh4vj0usz09</t>
        </is>
      </c>
      <c r="AU584" t="inlineStr">
        <is>
          <t>Hässleholms</t>
        </is>
      </c>
      <c r="AV584" t="inlineStr">
        <is>
          <t>Kommun</t>
        </is>
      </c>
      <c r="AW584" t="inlineStr">
        <is>
          <t>Hässleholms kommun</t>
        </is>
      </c>
      <c r="AX584" t="inlineStr">
        <is>
          <t>0451-26</t>
        </is>
      </c>
      <c r="AY584" t="inlineStr">
        <is>
          <t>Anmalan</t>
        </is>
      </c>
      <c r="AZ584" t="inlineStr">
        <is>
          <t>2026-02-05</t>
        </is>
      </c>
      <c r="BA584" t="inlineStr">
        <is>
          <t>M-2025-1599 - MFV C-verksamhet.pdf</t>
        </is>
      </c>
      <c r="BB584" t="inlineStr">
        <is>
          <t>Sv:  Begäran om utlämnande av allmän handling – Anmälningar och beslut rörande mellanlagring av avfall samt anläggning av ytor</t>
        </is>
      </c>
      <c r="BC584" t="inlineStr">
        <is>
          <t>AUTO</t>
        </is>
      </c>
      <c r="BD584" t="inlineStr"/>
      <c r="BE584" t="inlineStr"/>
      <c r="BF584" t="inlineStr">
        <is>
          <t>AUTO_GENERERAD. Bekrafta metadata mot kallfil.</t>
        </is>
      </c>
      <c r="BG584">
        <f>HYPERLINK("C:\Users\jimmy\Desktop\Examens arbete\Kod\Ny mapp\remix_-copy-of-miljöbeslut.se-portal\M-2025-1599 - MFV C-verksamhet.pdf", "Öppna PDF")</f>
        <v/>
      </c>
    </row>
    <row r="585">
      <c r="A585" t="inlineStr">
        <is>
          <t>KRAV-AUTO-000584</t>
        </is>
      </c>
      <c r="B585" t="inlineStr">
        <is>
          <t>ADMIN-INDEX-2026-02-27-00000000125C043F57453246863FE664CAFE6A3F0700950291EA24F0614FB6ACEDB12BF0E31D00000000010C0000950291EA24F0614FB6ACEDB12BF0E31D00002087A5CB0000</t>
        </is>
      </c>
      <c r="C585" t="inlineStr">
        <is>
          <t>cmm4yur01042ecuqwjjvrz035</t>
        </is>
      </c>
      <c r="D585" t="inlineStr">
        <is>
          <t>http://localhost:8787/api/admin/requirements/documents/cmm4yur01042ecuqwjjvrz035/view</t>
        </is>
      </c>
      <c r="E585">
        <f>HYPERLÄNK("http://localhost:8787/api/admin/requirements/documents/cmm4yur01042ecuqwjjvrz035/view";"Öppna PDF")</f>
        <v/>
      </c>
      <c r="F585">
        <f>HYPERLINK("http://localhost:8787/api/admin/requirements/documents/cmm4yur01042ecuqwjjvrz035/view","Open PDF")</f>
        <v/>
      </c>
      <c r="G585" t="inlineStr">
        <is>
          <t>cmm55w57p0004cuisfrtpqly8</t>
        </is>
      </c>
      <c r="H585" t="inlineStr">
        <is>
          <t>Informationskrav</t>
        </is>
      </c>
      <c r="I585" t="inlineStr">
        <is>
          <t>DagvattenLakvatten</t>
        </is>
      </c>
      <c r="J585" t="inlineStr">
        <is>
          <t>Uppsamling</t>
        </is>
      </c>
      <c r="K585" t="inlineStr">
        <is>
          <t>En uppdelning bör göras på process- kyl-, sanitärt- och dagvatten.</t>
        </is>
      </c>
      <c r="L585" t="inlineStr">
        <is>
          <t>En uppdelning bör göras på process- kyl-, sanitärt- och dagvatten.</t>
        </is>
      </c>
      <c r="M585" t="inlineStr">
        <is>
          <t>BOR</t>
        </is>
      </c>
      <c r="N585" t="inlineStr">
        <is>
          <t>FMH</t>
        </is>
      </c>
      <c r="O585" t="inlineStr"/>
      <c r="P585" t="inlineStr"/>
      <c r="Q585" t="inlineStr"/>
      <c r="R585" t="inlineStr">
        <is>
          <t>Vid nederbord och avrinning</t>
        </is>
      </c>
      <c r="S585" t="inlineStr"/>
      <c r="T585" t="inlineStr"/>
      <c r="U585" t="inlineStr"/>
      <c r="V585" t="inlineStr"/>
      <c r="W585" t="inlineStr">
        <is>
          <t>Nej</t>
        </is>
      </c>
      <c r="X585" t="inlineStr">
        <is>
          <t>Ja</t>
        </is>
      </c>
      <c r="Y585" t="inlineStr">
        <is>
          <t>Ja</t>
        </is>
      </c>
      <c r="Z585" t="inlineStr">
        <is>
          <t>Nej</t>
        </is>
      </c>
      <c r="AA585" t="n">
        <v>6</v>
      </c>
      <c r="AB585" t="inlineStr">
        <is>
          <t>Lakvattenhantering</t>
        </is>
      </c>
      <c r="AC585" t="inlineStr">
        <is>
          <t>Flodesschema dagvatten-lakvatten</t>
        </is>
      </c>
      <c r="AD585" t="inlineStr">
        <is>
          <t>Nej</t>
        </is>
      </c>
      <c r="AE585" t="inlineStr">
        <is>
          <t>Nej</t>
        </is>
      </c>
      <c r="AF585" t="inlineStr">
        <is>
          <t>Ej behandlad</t>
        </is>
      </c>
      <c r="AG585" t="inlineStr">
        <is>
          <t>AUTO_GENERERAD. Verifiera citat mot kallfil.</t>
        </is>
      </c>
      <c r="AH585" t="inlineStr">
        <is>
          <t>MEDIUM</t>
        </is>
      </c>
      <c r="AI585" t="inlineStr">
        <is>
          <t>AUTO</t>
        </is>
      </c>
      <c r="AJ585" t="inlineStr">
        <is>
          <t>Nej</t>
        </is>
      </c>
      <c r="AK585" t="inlineStr"/>
      <c r="AL585" t="inlineStr"/>
      <c r="AM585" t="inlineStr"/>
      <c r="AN585" t="inlineStr"/>
      <c r="AO585" t="inlineStr">
        <is>
          <t>cmm4yur01042ecuqwjjvrz035</t>
        </is>
      </c>
      <c r="AP585" t="inlineStr">
        <is>
          <t>http://localhost:8787/api/admin/requirements/documents/cmm4yur01042ecuqwjjvrz035/view</t>
        </is>
      </c>
      <c r="AQ585">
        <f>HYPERLÄNK("http://localhost:8787/api/admin/requirements/documents/cmm4yur01042ecuqwjjvrz035/view";"Öppna PDF")</f>
        <v/>
      </c>
      <c r="AR585">
        <f>HYPERLINK("http://localhost:8787/api/admin/requirements/documents/cmm4yur01042ecuqwjjvrz035/view","Open PDF")</f>
        <v/>
      </c>
      <c r="AS585" t="inlineStr">
        <is>
          <t>cmm55w57p0004cuisfrtpqly8</t>
        </is>
      </c>
      <c r="AT585" t="inlineStr">
        <is>
          <t>cmm4xvu980000cuh4vj0usz09</t>
        </is>
      </c>
      <c r="AU585" t="inlineStr"/>
      <c r="AV585" t="inlineStr">
        <is>
          <t>Kommun</t>
        </is>
      </c>
      <c r="AW585" t="inlineStr"/>
      <c r="AX585" t="inlineStr">
        <is>
          <t>2023-12</t>
        </is>
      </c>
      <c r="AY585" t="inlineStr">
        <is>
          <t>Anmalan</t>
        </is>
      </c>
      <c r="AZ585" t="inlineStr">
        <is>
          <t>2026-02-05</t>
        </is>
      </c>
      <c r="BA585" t="inlineStr">
        <is>
          <t>Anmälan om miljöfarlig verksamhet - signed.pdf</t>
        </is>
      </c>
      <c r="BB585" t="inlineStr">
        <is>
          <t>Sv: till registrator</t>
        </is>
      </c>
      <c r="BC585" t="inlineStr">
        <is>
          <t>AUTO</t>
        </is>
      </c>
      <c r="BD585" t="inlineStr"/>
      <c r="BE585" t="inlineStr"/>
      <c r="BF585" t="inlineStr">
        <is>
          <t>AUTO_GENERERAD. Bekrafta metadata mot kallfil.</t>
        </is>
      </c>
      <c r="BG585">
        <f>HYPERLINK("C:\Users\jimmy\Desktop\Examens arbete\Kod\Ny mapp\remix_-copy-of-miljöbeslut.se-portal\Anmälan om miljöfarlig verksamhet - signed.pdf", "Öppna PDF")</f>
        <v/>
      </c>
    </row>
    <row r="586">
      <c r="A586" t="inlineStr">
        <is>
          <t>KRAV-AUTO-000585</t>
        </is>
      </c>
      <c r="B586" t="inlineStr">
        <is>
          <t>ADMIN-INDEX-2026-02-27-00000000125C043F57453246863FE664CAFE6A3F0700950291EA24F0614FB6ACEDB12BF0E31D00000000010C0000950291EA24F0614FB6ACEDB12BF0E31D00002087A5CB0000</t>
        </is>
      </c>
      <c r="C586" t="inlineStr">
        <is>
          <t>cmm4yur01042ecuqwjjvrz035</t>
        </is>
      </c>
      <c r="D586" t="inlineStr">
        <is>
          <t>http://localhost:8787/api/admin/requirements/documents/cmm4yur01042ecuqwjjvrz035/view</t>
        </is>
      </c>
      <c r="E586">
        <f>HYPERLÄNK("http://localhost:8787/api/admin/requirements/documents/cmm4yur01042ecuqwjjvrz035/view";"Öppna PDF")</f>
        <v/>
      </c>
      <c r="F586">
        <f>HYPERLINK("http://localhost:8787/api/admin/requirements/documents/cmm4yur01042ecuqwjjvrz035/view","Open PDF")</f>
        <v/>
      </c>
      <c r="G586" t="inlineStr">
        <is>
          <t>cmm55w57p0004cuisfrtpqly8</t>
        </is>
      </c>
      <c r="H586" t="inlineStr">
        <is>
          <t>Informationskrav</t>
        </is>
      </c>
      <c r="I586" t="inlineStr">
        <is>
          <t>LagringsvolymTid</t>
        </is>
      </c>
      <c r="J586" t="inlineStr">
        <is>
          <t>Maxmangd</t>
        </is>
      </c>
      <c r="K586" t="inlineStr">
        <is>
          <t>Övrigt avfall Ange vilket övrigt avfall som uppkommer i verksamheten, eller sådant material som går till åt i i Material/avfall Mängd/år (ange om större mängder) Mellanlagras på angiven och isolerad plats, transporteras bort varteftersom.</t>
        </is>
      </c>
      <c r="L586" t="inlineStr">
        <is>
          <t>Övrigt avfall Ange vilket övrigt avfall som uppkommer i verksamheten, eller sådant material som går till åt i i Material/avfall Mängd/år (ange om större mängder) Mellanlagras på angiven och isolerad plats, transporteras bort varteftersom.</t>
        </is>
      </c>
      <c r="M586" t="inlineStr">
        <is>
          <t>BOR</t>
        </is>
      </c>
      <c r="N586" t="inlineStr">
        <is>
          <t>FMH</t>
        </is>
      </c>
      <c r="O586" t="inlineStr"/>
      <c r="P586" t="inlineStr"/>
      <c r="Q586" t="inlineStr"/>
      <c r="R586" t="inlineStr">
        <is>
          <t>Alltid</t>
        </is>
      </c>
      <c r="S586" t="inlineStr"/>
      <c r="T586" t="inlineStr"/>
      <c r="U586" t="inlineStr"/>
      <c r="V586" t="inlineStr"/>
      <c r="W586" t="inlineStr">
        <is>
          <t>Nej</t>
        </is>
      </c>
      <c r="X586" t="inlineStr">
        <is>
          <t>Nej</t>
        </is>
      </c>
      <c r="Y586" t="inlineStr">
        <is>
          <t>Nej</t>
        </is>
      </c>
      <c r="Z586" t="inlineStr">
        <is>
          <t>Nej</t>
        </is>
      </c>
      <c r="AA586" t="n">
        <v>4</v>
      </c>
      <c r="AB586" t="inlineStr">
        <is>
          <t>Avfallsmangder och lagringstid</t>
        </is>
      </c>
      <c r="AC586" t="inlineStr">
        <is>
          <t>Avfallsforteckning</t>
        </is>
      </c>
      <c r="AD586" t="inlineStr">
        <is>
          <t>Nej</t>
        </is>
      </c>
      <c r="AE586" t="inlineStr">
        <is>
          <t>Nej</t>
        </is>
      </c>
      <c r="AF586" t="inlineStr">
        <is>
          <t>Ej behandlad</t>
        </is>
      </c>
      <c r="AG586" t="inlineStr">
        <is>
          <t>AUTO_GENERERAD. Verifiera citat mot kallfil.</t>
        </is>
      </c>
      <c r="AH586" t="inlineStr">
        <is>
          <t>MEDIUM</t>
        </is>
      </c>
      <c r="AI586" t="inlineStr">
        <is>
          <t>AUTO</t>
        </is>
      </c>
      <c r="AJ586" t="inlineStr">
        <is>
          <t>Nej</t>
        </is>
      </c>
      <c r="AK586" t="inlineStr"/>
      <c r="AL586" t="inlineStr"/>
      <c r="AM586" t="inlineStr"/>
      <c r="AN586" t="inlineStr"/>
      <c r="AO586" t="inlineStr">
        <is>
          <t>cmm4yur01042ecuqwjjvrz035</t>
        </is>
      </c>
      <c r="AP586" t="inlineStr">
        <is>
          <t>http://localhost:8787/api/admin/requirements/documents/cmm4yur01042ecuqwjjvrz035/view</t>
        </is>
      </c>
      <c r="AQ586">
        <f>HYPERLÄNK("http://localhost:8787/api/admin/requirements/documents/cmm4yur01042ecuqwjjvrz035/view";"Öppna PDF")</f>
        <v/>
      </c>
      <c r="AR586">
        <f>HYPERLINK("http://localhost:8787/api/admin/requirements/documents/cmm4yur01042ecuqwjjvrz035/view","Open PDF")</f>
        <v/>
      </c>
      <c r="AS586" t="inlineStr">
        <is>
          <t>cmm55w57p0004cuisfrtpqly8</t>
        </is>
      </c>
      <c r="AT586" t="inlineStr">
        <is>
          <t>cmm4xvu980000cuh4vj0usz09</t>
        </is>
      </c>
      <c r="AU586" t="inlineStr"/>
      <c r="AV586" t="inlineStr">
        <is>
          <t>Kommun</t>
        </is>
      </c>
      <c r="AW586" t="inlineStr"/>
      <c r="AX586" t="inlineStr">
        <is>
          <t>2023-12</t>
        </is>
      </c>
      <c r="AY586" t="inlineStr">
        <is>
          <t>Anmalan</t>
        </is>
      </c>
      <c r="AZ586" t="inlineStr">
        <is>
          <t>2026-02-05</t>
        </is>
      </c>
      <c r="BA586" t="inlineStr">
        <is>
          <t>Anmälan om miljöfarlig verksamhet - signed.pdf</t>
        </is>
      </c>
      <c r="BB586" t="inlineStr">
        <is>
          <t>Sv: till registrator</t>
        </is>
      </c>
      <c r="BC586" t="inlineStr">
        <is>
          <t>AUTO</t>
        </is>
      </c>
      <c r="BD586" t="inlineStr"/>
      <c r="BE586" t="inlineStr"/>
      <c r="BF586" t="inlineStr">
        <is>
          <t>AUTO_GENERERAD. Bekrafta metadata mot kallfil.</t>
        </is>
      </c>
      <c r="BG586">
        <f>HYPERLINK("C:\Users\jimmy\Desktop\Examens arbete\Kod\Ny mapp\remix_-copy-of-miljöbeslut.se-portal\Anmälan om miljöfarlig verksamhet - signed.pdf", "Öppna PDF")</f>
        <v/>
      </c>
    </row>
    <row r="587">
      <c r="A587" t="inlineStr">
        <is>
          <t>KRAV-AUTO-000586</t>
        </is>
      </c>
      <c r="B587" t="inlineStr">
        <is>
          <t>ADMIN-INDEX-2026-02-27-00000000125C043F57453246863FE664CAFE6A3F0700950291EA24F0614FB6ACEDB12BF0E31D00000000010C0000950291EA24F0614FB6ACEDB12BF0E31D00002087A5CB0000</t>
        </is>
      </c>
      <c r="C587" t="inlineStr">
        <is>
          <t>cmm4yur01042ecuqwjjvrz035</t>
        </is>
      </c>
      <c r="D587" t="inlineStr">
        <is>
          <t>http://localhost:8787/api/admin/requirements/documents/cmm4yur01042ecuqwjjvrz035/view</t>
        </is>
      </c>
      <c r="E587">
        <f>HYPERLÄNK("http://localhost:8787/api/admin/requirements/documents/cmm4yur01042ecuqwjjvrz035/view";"Öppna PDF")</f>
        <v/>
      </c>
      <c r="F587">
        <f>HYPERLINK("http://localhost:8787/api/admin/requirements/documents/cmm4yur01042ecuqwjjvrz035/view","Open PDF")</f>
        <v/>
      </c>
      <c r="G587" t="inlineStr">
        <is>
          <t>cmm55w57p0004cuisfrtpqly8</t>
        </is>
      </c>
      <c r="H587" t="inlineStr">
        <is>
          <t>Informationskrav</t>
        </is>
      </c>
      <c r="I587" t="inlineStr">
        <is>
          <t>TransportLogistik</t>
        </is>
      </c>
      <c r="J587" t="inlineStr">
        <is>
          <t>Transportvagar</t>
        </is>
      </c>
      <c r="K587" t="inlineStr">
        <is>
          <t>Sortera transporterar bort avfallet.</t>
        </is>
      </c>
      <c r="L587" t="inlineStr">
        <is>
          <t>Sortera transporterar bort avfallet.</t>
        </is>
      </c>
      <c r="M587" t="inlineStr">
        <is>
          <t>BOR</t>
        </is>
      </c>
      <c r="N587" t="inlineStr">
        <is>
          <t>FMH</t>
        </is>
      </c>
      <c r="O587" t="inlineStr"/>
      <c r="P587" t="inlineStr"/>
      <c r="Q587" t="inlineStr"/>
      <c r="R587" t="inlineStr">
        <is>
          <t>Vid transporter</t>
        </is>
      </c>
      <c r="S587" t="inlineStr"/>
      <c r="T587" t="inlineStr"/>
      <c r="U587" t="inlineStr"/>
      <c r="V587" t="inlineStr"/>
      <c r="W587" t="inlineStr">
        <is>
          <t>Nej</t>
        </is>
      </c>
      <c r="X587" t="inlineStr">
        <is>
          <t>Nej</t>
        </is>
      </c>
      <c r="Y587" t="inlineStr">
        <is>
          <t>Nej</t>
        </is>
      </c>
      <c r="Z587" t="inlineStr">
        <is>
          <t>Ja</t>
        </is>
      </c>
      <c r="AA587" t="n">
        <v>9</v>
      </c>
      <c r="AB587" t="inlineStr">
        <is>
          <t>Transporter och logistik</t>
        </is>
      </c>
      <c r="AC587" t="inlineStr">
        <is>
          <t>Trafikplan</t>
        </is>
      </c>
      <c r="AD587" t="inlineStr">
        <is>
          <t>Nej</t>
        </is>
      </c>
      <c r="AE587" t="inlineStr">
        <is>
          <t>Nej</t>
        </is>
      </c>
      <c r="AF587" t="inlineStr">
        <is>
          <t>Ej behandlad</t>
        </is>
      </c>
      <c r="AG587" t="inlineStr">
        <is>
          <t>AUTO_GENERERAD. Verifiera citat mot kallfil.</t>
        </is>
      </c>
      <c r="AH587" t="inlineStr">
        <is>
          <t>LOW</t>
        </is>
      </c>
      <c r="AI587" t="inlineStr">
        <is>
          <t>AUTO</t>
        </is>
      </c>
      <c r="AJ587" t="inlineStr">
        <is>
          <t>Nej</t>
        </is>
      </c>
      <c r="AK587" t="inlineStr"/>
      <c r="AL587" t="inlineStr"/>
      <c r="AM587" t="inlineStr"/>
      <c r="AN587" t="inlineStr"/>
      <c r="AO587" t="inlineStr">
        <is>
          <t>cmm4yur01042ecuqwjjvrz035</t>
        </is>
      </c>
      <c r="AP587" t="inlineStr">
        <is>
          <t>http://localhost:8787/api/admin/requirements/documents/cmm4yur01042ecuqwjjvrz035/view</t>
        </is>
      </c>
      <c r="AQ587">
        <f>HYPERLÄNK("http://localhost:8787/api/admin/requirements/documents/cmm4yur01042ecuqwjjvrz035/view";"Öppna PDF")</f>
        <v/>
      </c>
      <c r="AR587">
        <f>HYPERLINK("http://localhost:8787/api/admin/requirements/documents/cmm4yur01042ecuqwjjvrz035/view","Open PDF")</f>
        <v/>
      </c>
      <c r="AS587" t="inlineStr">
        <is>
          <t>cmm55w57p0004cuisfrtpqly8</t>
        </is>
      </c>
      <c r="AT587" t="inlineStr">
        <is>
          <t>cmm4xvu980000cuh4vj0usz09</t>
        </is>
      </c>
      <c r="AU587" t="inlineStr"/>
      <c r="AV587" t="inlineStr">
        <is>
          <t>Kommun</t>
        </is>
      </c>
      <c r="AW587" t="inlineStr"/>
      <c r="AX587" t="inlineStr">
        <is>
          <t>2023-12</t>
        </is>
      </c>
      <c r="AY587" t="inlineStr">
        <is>
          <t>Anmalan</t>
        </is>
      </c>
      <c r="AZ587" t="inlineStr">
        <is>
          <t>2026-02-05</t>
        </is>
      </c>
      <c r="BA587" t="inlineStr">
        <is>
          <t>Anmälan om miljöfarlig verksamhet - signed.pdf</t>
        </is>
      </c>
      <c r="BB587" t="inlineStr">
        <is>
          <t>Sv: till registrator</t>
        </is>
      </c>
      <c r="BC587" t="inlineStr">
        <is>
          <t>AUTO</t>
        </is>
      </c>
      <c r="BD587" t="inlineStr"/>
      <c r="BE587" t="inlineStr"/>
      <c r="BF587" t="inlineStr">
        <is>
          <t>AUTO_GENERERAD. Bekrafta metadata mot kallfil.</t>
        </is>
      </c>
      <c r="BG587">
        <f>HYPERLINK("C:\Users\jimmy\Desktop\Examens arbete\Kod\Ny mapp\remix_-copy-of-miljöbeslut.se-portal\Anmälan om miljöfarlig verksamhet - signed.pdf", "Öppna PDF")</f>
        <v/>
      </c>
    </row>
    <row r="588">
      <c r="A588" t="inlineStr">
        <is>
          <t>KRAV-AUTO-000587</t>
        </is>
      </c>
      <c r="B588" t="inlineStr">
        <is>
          <t>ADMIN-INDEX-2026-02-27-00000000125C043F57453246863FE664CAFE6A3F0700950291EA24F0614FB6ACEDB12BF0E31D00000000010C0000950291EA24F0614FB6ACEDB12BF0E31D00002087A5DB0000</t>
        </is>
      </c>
      <c r="C588" t="inlineStr">
        <is>
          <t>cmm4yuqpt03ttcuqwulx76rll</t>
        </is>
      </c>
      <c r="D588" t="inlineStr">
        <is>
          <t>http://localhost:8787/api/admin/requirements/documents/cmm4yuqpt03ttcuqwulx76rll/view</t>
        </is>
      </c>
      <c r="E588">
        <f>HYPERLÄNK("http://localhost:8787/api/admin/requirements/documents/cmm4yuqpt03ttcuqwulx76rll/view";"Öppna PDF")</f>
        <v/>
      </c>
      <c r="F588">
        <f>HYPERLINK("http://localhost:8787/api/admin/requirements/documents/cmm4yuqpt03ttcuqwulx76rll/view","Open PDF")</f>
        <v/>
      </c>
      <c r="G588" t="inlineStr">
        <is>
          <t>cmm55w57p0004cuisfrtpqly8</t>
        </is>
      </c>
      <c r="H588" t="inlineStr">
        <is>
          <t>Informationskrav</t>
        </is>
      </c>
      <c r="I588" t="inlineStr">
        <is>
          <t>LagringsvolymTid</t>
        </is>
      </c>
      <c r="J588" t="inlineStr">
        <is>
          <t>Maxmangd</t>
        </is>
      </c>
      <c r="K588" t="inlineStr">
        <is>
          <t>Inga planer Hur planerar ni att arbeta för att minska mängden avfall?</t>
        </is>
      </c>
      <c r="L588" t="inlineStr">
        <is>
          <t>Inga planer Hur planerar ni att arbeta för att minska mängden avfall?</t>
        </is>
      </c>
      <c r="M588" t="inlineStr">
        <is>
          <t>SKA</t>
        </is>
      </c>
      <c r="N588" t="inlineStr"/>
      <c r="O588" t="inlineStr"/>
      <c r="P588" t="inlineStr"/>
      <c r="Q588" t="inlineStr"/>
      <c r="R588" t="inlineStr">
        <is>
          <t>Alltid</t>
        </is>
      </c>
      <c r="S588" t="inlineStr"/>
      <c r="T588" t="inlineStr">
        <is>
          <t>250424</t>
        </is>
      </c>
      <c r="U588" t="inlineStr"/>
      <c r="V588" t="inlineStr"/>
      <c r="W588" t="inlineStr">
        <is>
          <t>Nej</t>
        </is>
      </c>
      <c r="X588" t="inlineStr">
        <is>
          <t>Nej</t>
        </is>
      </c>
      <c r="Y588" t="inlineStr">
        <is>
          <t>Nej</t>
        </is>
      </c>
      <c r="Z588" t="inlineStr">
        <is>
          <t>Nej</t>
        </is>
      </c>
      <c r="AA588" t="n">
        <v>4</v>
      </c>
      <c r="AB588" t="inlineStr">
        <is>
          <t>Avfallsmangder och lagringstid</t>
        </is>
      </c>
      <c r="AC588" t="inlineStr">
        <is>
          <t>Avfallsforteckning</t>
        </is>
      </c>
      <c r="AD588" t="inlineStr">
        <is>
          <t>Nej</t>
        </is>
      </c>
      <c r="AE588" t="inlineStr">
        <is>
          <t>Nej</t>
        </is>
      </c>
      <c r="AF588" t="inlineStr">
        <is>
          <t>Ej behandlad</t>
        </is>
      </c>
      <c r="AG588" t="inlineStr">
        <is>
          <t>AUTO_GENERERAD. Verifiera citat mot kallfil.</t>
        </is>
      </c>
      <c r="AH588" t="inlineStr">
        <is>
          <t>MEDIUM</t>
        </is>
      </c>
      <c r="AI588" t="inlineStr">
        <is>
          <t>AUTO</t>
        </is>
      </c>
      <c r="AJ588" t="inlineStr">
        <is>
          <t>Nej</t>
        </is>
      </c>
      <c r="AK588" t="inlineStr"/>
      <c r="AL588" t="inlineStr"/>
      <c r="AM588" t="inlineStr"/>
      <c r="AN588" t="inlineStr"/>
      <c r="AO588" t="inlineStr">
        <is>
          <t>cmm4yuqq103u2cuqwxq5c1oxv</t>
        </is>
      </c>
      <c r="AP588" t="inlineStr">
        <is>
          <t>http://localhost:8787/api/admin/requirements/documents/cmm4yuqq103u2cuqwxq5c1oxv/view</t>
        </is>
      </c>
      <c r="AQ588">
        <f>HYPERLÄNK("http://localhost:8787/api/admin/requirements/documents/cmm4yuqq103u2cuqwxq5c1oxv/view";"Öppna PDF")</f>
        <v/>
      </c>
      <c r="AR588">
        <f>HYPERLINK("http://localhost:8787/api/admin/requirements/documents/cmm4yuqq103u2cuqwxq5c1oxv/view","Open PDF")</f>
        <v/>
      </c>
      <c r="AS588" t="inlineStr">
        <is>
          <t>cmm55w57p0004cuisfrtpqly8</t>
        </is>
      </c>
      <c r="AT588" t="inlineStr">
        <is>
          <t>cmm4xvu980000cuh4vj0usz09</t>
        </is>
      </c>
      <c r="AU588" t="inlineStr">
        <is>
          <t>Hässleholms</t>
        </is>
      </c>
      <c r="AV588" t="inlineStr">
        <is>
          <t>Kommun</t>
        </is>
      </c>
      <c r="AW588" t="inlineStr">
        <is>
          <t>Hässleholms kommun</t>
        </is>
      </c>
      <c r="AX588" t="inlineStr">
        <is>
          <t>0451-26</t>
        </is>
      </c>
      <c r="AY588" t="inlineStr">
        <is>
          <t>Anmalan</t>
        </is>
      </c>
      <c r="AZ588" t="inlineStr">
        <is>
          <t>2026-02-05</t>
        </is>
      </c>
      <c r="BA588" t="inlineStr">
        <is>
          <t>M-2025-1599 - MFV C-verksamhet.pdf</t>
        </is>
      </c>
      <c r="BB588" t="inlineStr">
        <is>
          <t>Sv:  Begäran om utlämnande av allmän handling – Anmälningar och beslut rörande mellanlagring av avfall samt anläggning av ytor</t>
        </is>
      </c>
      <c r="BC588" t="inlineStr">
        <is>
          <t>AUTO</t>
        </is>
      </c>
      <c r="BD588" t="inlineStr"/>
      <c r="BE588" t="inlineStr"/>
      <c r="BF588" t="inlineStr">
        <is>
          <t>AUTO_GENERERAD. Bekrafta metadata mot kallfil.</t>
        </is>
      </c>
      <c r="BG588">
        <f>HYPERLINK("C:\Users\jimmy\Desktop\Examens arbete\Kod\Ny mapp\remix_-copy-of-miljöbeslut.se-portal\M-2025-1599 - MFV C-verksamhet.pdf", "Öppna PDF")</f>
        <v/>
      </c>
    </row>
    <row r="589">
      <c r="A589" t="inlineStr">
        <is>
          <t>KRAV-AUTO-000588</t>
        </is>
      </c>
      <c r="B589" t="inlineStr">
        <is>
          <t>ADMIN-INDEX-2026-02-27-00000000125C043F57453246863FE664CAFE6A3F0700950291EA24F0614FB6ACEDB12BF0E31D00000000010C0000950291EA24F0614FB6ACEDB12BF0E31D00002087A5DB0000</t>
        </is>
      </c>
      <c r="C589" t="inlineStr">
        <is>
          <t>cmm4yuqpt03ttcuqwulx76rll</t>
        </is>
      </c>
      <c r="D589" t="inlineStr">
        <is>
          <t>http://localhost:8787/api/admin/requirements/documents/cmm4yuqpt03ttcuqwulx76rll/view</t>
        </is>
      </c>
      <c r="E589">
        <f>HYPERLÄNK("http://localhost:8787/api/admin/requirements/documents/cmm4yuqpt03ttcuqwulx76rll/view";"Öppna PDF")</f>
        <v/>
      </c>
      <c r="F589">
        <f>HYPERLINK("http://localhost:8787/api/admin/requirements/documents/cmm4yuqpt03ttcuqwulx76rll/view","Open PDF")</f>
        <v/>
      </c>
      <c r="G589" t="inlineStr">
        <is>
          <t>cmm55w57p0004cuisfrtpqly8</t>
        </is>
      </c>
      <c r="H589" t="inlineStr">
        <is>
          <t>Informationskrav</t>
        </is>
      </c>
      <c r="I589" t="inlineStr">
        <is>
          <t>LagringsvolymTid</t>
        </is>
      </c>
      <c r="J589" t="inlineStr">
        <is>
          <t>Maxmangd</t>
        </is>
      </c>
      <c r="K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589" t="inlineStr">
        <is>
          <t>SKA</t>
        </is>
      </c>
      <c r="N589" t="inlineStr"/>
      <c r="O589" t="inlineStr"/>
      <c r="P589" t="inlineStr">
        <is>
          <t>Manadskontroll</t>
        </is>
      </c>
      <c r="Q589" t="inlineStr"/>
      <c r="R589" t="inlineStr">
        <is>
          <t>Alltid</t>
        </is>
      </c>
      <c r="S589" t="inlineStr"/>
      <c r="T589" t="inlineStr">
        <is>
          <t>250424</t>
        </is>
      </c>
      <c r="U589" t="inlineStr"/>
      <c r="V589" t="inlineStr"/>
      <c r="W589" t="inlineStr">
        <is>
          <t>Nej</t>
        </is>
      </c>
      <c r="X589" t="inlineStr">
        <is>
          <t>Nej</t>
        </is>
      </c>
      <c r="Y589" t="inlineStr">
        <is>
          <t>Nej</t>
        </is>
      </c>
      <c r="Z589" t="inlineStr">
        <is>
          <t>Nej</t>
        </is>
      </c>
      <c r="AA589" t="n">
        <v>4</v>
      </c>
      <c r="AB589" t="inlineStr">
        <is>
          <t>Avfallsmangder och lagringstid</t>
        </is>
      </c>
      <c r="AC589" t="inlineStr">
        <is>
          <t>Avfallsforteckning</t>
        </is>
      </c>
      <c r="AD589" t="inlineStr">
        <is>
          <t>Nej</t>
        </is>
      </c>
      <c r="AE589" t="inlineStr">
        <is>
          <t>Nej</t>
        </is>
      </c>
      <c r="AF589" t="inlineStr">
        <is>
          <t>Ej behandlad</t>
        </is>
      </c>
      <c r="AG589" t="inlineStr">
        <is>
          <t>AUTO_GENERERAD. Verifiera citat mot kallfil.</t>
        </is>
      </c>
      <c r="AH589" t="inlineStr">
        <is>
          <t>MEDIUM</t>
        </is>
      </c>
      <c r="AI589" t="inlineStr">
        <is>
          <t>AUTO</t>
        </is>
      </c>
      <c r="AJ589" t="inlineStr">
        <is>
          <t>Nej</t>
        </is>
      </c>
      <c r="AK589" t="inlineStr"/>
      <c r="AL589" t="inlineStr"/>
      <c r="AM589" t="inlineStr"/>
      <c r="AN589" t="inlineStr"/>
      <c r="AO589" t="inlineStr">
        <is>
          <t>cmm4yuqq103u2cuqwxq5c1oxv</t>
        </is>
      </c>
      <c r="AP589" t="inlineStr">
        <is>
          <t>http://localhost:8787/api/admin/requirements/documents/cmm4yuqq103u2cuqwxq5c1oxv/view</t>
        </is>
      </c>
      <c r="AQ589">
        <f>HYPERLÄNK("http://localhost:8787/api/admin/requirements/documents/cmm4yuqq103u2cuqwxq5c1oxv/view";"Öppna PDF")</f>
        <v/>
      </c>
      <c r="AR589">
        <f>HYPERLINK("http://localhost:8787/api/admin/requirements/documents/cmm4yuqq103u2cuqwxq5c1oxv/view","Open PDF")</f>
        <v/>
      </c>
      <c r="AS589" t="inlineStr">
        <is>
          <t>cmm55w57p0004cuisfrtpqly8</t>
        </is>
      </c>
      <c r="AT589" t="inlineStr">
        <is>
          <t>cmm4xvu980000cuh4vj0usz09</t>
        </is>
      </c>
      <c r="AU589" t="inlineStr">
        <is>
          <t>Hässleholms</t>
        </is>
      </c>
      <c r="AV589" t="inlineStr">
        <is>
          <t>Kommun</t>
        </is>
      </c>
      <c r="AW589" t="inlineStr">
        <is>
          <t>Hässleholms kommun</t>
        </is>
      </c>
      <c r="AX589" t="inlineStr">
        <is>
          <t>0451-26</t>
        </is>
      </c>
      <c r="AY589" t="inlineStr">
        <is>
          <t>Anmalan</t>
        </is>
      </c>
      <c r="AZ589" t="inlineStr">
        <is>
          <t>2026-02-05</t>
        </is>
      </c>
      <c r="BA589" t="inlineStr">
        <is>
          <t>M-2025-1599 - MFV C-verksamhet.pdf</t>
        </is>
      </c>
      <c r="BB589" t="inlineStr">
        <is>
          <t>Sv:  Begäran om utlämnande av allmän handling – Anmälningar och beslut rörande mellanlagring av avfall samt anläggning av ytor</t>
        </is>
      </c>
      <c r="BC589" t="inlineStr">
        <is>
          <t>AUTO</t>
        </is>
      </c>
      <c r="BD589" t="inlineStr"/>
      <c r="BE589" t="inlineStr"/>
      <c r="BF589" t="inlineStr">
        <is>
          <t>AUTO_GENERERAD. Bekrafta metadata mot kallfil.</t>
        </is>
      </c>
      <c r="BG589">
        <f>HYPERLINK("C:\Users\jimmy\Desktop\Examens arbete\Kod\Ny mapp\remix_-copy-of-miljöbeslut.se-portal\M-2025-1599 - MFV C-verksamhet.pdf", "Öppna PDF")</f>
        <v/>
      </c>
    </row>
    <row r="590">
      <c r="A590" t="inlineStr">
        <is>
          <t>KRAV-AUTO-000589</t>
        </is>
      </c>
      <c r="B590" t="inlineStr">
        <is>
          <t>ADMIN-INDEX-2026-02-27-00000000125C043F57453246863FE664CAFE6A3F0700950291EA24F0614FB6ACEDB12BF0E31D00000000010C0000950291EA24F0614FB6ACEDB12BF0E31D00002087A5DB0000</t>
        </is>
      </c>
      <c r="C590" t="inlineStr">
        <is>
          <t>cmm4yuqpi03thcuqwmm9krvj4</t>
        </is>
      </c>
      <c r="D590" t="inlineStr">
        <is>
          <t>http://localhost:8787/api/admin/requirements/documents/cmm4yuqpi03thcuqwmm9krvj4/view</t>
        </is>
      </c>
      <c r="E590">
        <f>HYPERLÄNK("http://localhost:8787/api/admin/requirements/documents/cmm4yuqpi03thcuqwmm9krvj4/view";"Öppna PDF")</f>
        <v/>
      </c>
      <c r="F590">
        <f>HYPERLINK("http://localhost:8787/api/admin/requirements/documents/cmm4yuqpi03thcuqwmm9krvj4/view","Open PDF")</f>
        <v/>
      </c>
      <c r="G590" t="inlineStr">
        <is>
          <t>cmm55w57p0004cuisfrtpqly8</t>
        </is>
      </c>
      <c r="H590" t="inlineStr">
        <is>
          <t>Informationskrav</t>
        </is>
      </c>
      <c r="I590" t="inlineStr">
        <is>
          <t>Ytkonstruktion</t>
        </is>
      </c>
      <c r="J590" t="inlineStr">
        <is>
          <t>Tat yta</t>
        </is>
      </c>
      <c r="K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590" t="inlineStr">
        <is>
          <t>SKA</t>
        </is>
      </c>
      <c r="N590" t="inlineStr"/>
      <c r="O590" t="inlineStr">
        <is>
          <t>2024-12-16</t>
        </is>
      </c>
      <c r="P590" t="inlineStr"/>
      <c r="Q590" t="inlineStr">
        <is>
          <t>Forelaggande vid brist</t>
        </is>
      </c>
      <c r="R590" t="inlineStr">
        <is>
          <t>Vid mellanlagring av avfall</t>
        </is>
      </c>
      <c r="S590" t="inlineStr"/>
      <c r="T590" t="inlineStr">
        <is>
          <t>26 67 50</t>
        </is>
      </c>
      <c r="U590" t="inlineStr"/>
      <c r="V590" t="inlineStr"/>
      <c r="W590" t="inlineStr">
        <is>
          <t>Ja</t>
        </is>
      </c>
      <c r="X590" t="inlineStr">
        <is>
          <t>Nej</t>
        </is>
      </c>
      <c r="Y590" t="inlineStr">
        <is>
          <t>Nej</t>
        </is>
      </c>
      <c r="Z590" t="inlineStr">
        <is>
          <t>Nej</t>
        </is>
      </c>
      <c r="AA590" t="n">
        <v>5</v>
      </c>
      <c r="AB590" t="inlineStr">
        <is>
          <t>Teknisk beskrivning av platta</t>
        </is>
      </c>
      <c r="AC590" t="inlineStr">
        <is>
          <t>Teknisk ritning platta</t>
        </is>
      </c>
      <c r="AD590" t="inlineStr">
        <is>
          <t>Nej</t>
        </is>
      </c>
      <c r="AE590" t="inlineStr">
        <is>
          <t>Nej</t>
        </is>
      </c>
      <c r="AF590" t="inlineStr">
        <is>
          <t>Ej behandlad</t>
        </is>
      </c>
      <c r="AG590" t="inlineStr">
        <is>
          <t>AUTO_GENERERAD. Verifiera citat mot kallfil.</t>
        </is>
      </c>
      <c r="AH590" t="inlineStr">
        <is>
          <t>MEDIUM</t>
        </is>
      </c>
      <c r="AI590" t="inlineStr">
        <is>
          <t>AUTO</t>
        </is>
      </c>
      <c r="AJ590" t="inlineStr">
        <is>
          <t>Nej</t>
        </is>
      </c>
      <c r="AK590" t="inlineStr"/>
      <c r="AL590" t="inlineStr"/>
      <c r="AM590" t="inlineStr"/>
      <c r="AN590" t="inlineStr"/>
      <c r="AO590" t="inlineStr">
        <is>
          <t>cmm4yuqq103u2cuqwxq5c1oxv</t>
        </is>
      </c>
      <c r="AP590" t="inlineStr">
        <is>
          <t>http://localhost:8787/api/admin/requirements/documents/cmm4yuqq103u2cuqwxq5c1oxv/view</t>
        </is>
      </c>
      <c r="AQ590">
        <f>HYPERLÄNK("http://localhost:8787/api/admin/requirements/documents/cmm4yuqq103u2cuqwxq5c1oxv/view";"Öppna PDF")</f>
        <v/>
      </c>
      <c r="AR590">
        <f>HYPERLINK("http://localhost:8787/api/admin/requirements/documents/cmm4yuqq103u2cuqwxq5c1oxv/view","Open PDF")</f>
        <v/>
      </c>
      <c r="AS590" t="inlineStr">
        <is>
          <t>cmm55w57p0004cuisfrtpqly8</t>
        </is>
      </c>
      <c r="AT590" t="inlineStr">
        <is>
          <t>cmm4xvu980000cuh4vj0usz09</t>
        </is>
      </c>
      <c r="AU590" t="inlineStr">
        <is>
          <t>Hässleholms</t>
        </is>
      </c>
      <c r="AV590" t="inlineStr">
        <is>
          <t>Kommun</t>
        </is>
      </c>
      <c r="AW590" t="inlineStr">
        <is>
          <t>Hässleholms kommun</t>
        </is>
      </c>
      <c r="AX590" t="inlineStr">
        <is>
          <t>0451-26</t>
        </is>
      </c>
      <c r="AY590" t="inlineStr">
        <is>
          <t>Anmalan</t>
        </is>
      </c>
      <c r="AZ590" t="inlineStr">
        <is>
          <t>2026-02-05</t>
        </is>
      </c>
      <c r="BA590" t="inlineStr">
        <is>
          <t>M-2025-1599 - MFV C-verksamhet.pdf</t>
        </is>
      </c>
      <c r="BB590" t="inlineStr">
        <is>
          <t>Sv:  Begäran om utlämnande av allmän handling – Anmälningar och beslut rörande mellanlagring av avfall samt anläggning av ytor</t>
        </is>
      </c>
      <c r="BC590" t="inlineStr">
        <is>
          <t>AUTO</t>
        </is>
      </c>
      <c r="BD590" t="inlineStr"/>
      <c r="BE590" t="inlineStr"/>
      <c r="BF590" t="inlineStr">
        <is>
          <t>AUTO_GENERERAD. Bekrafta metadata mot kallfil.</t>
        </is>
      </c>
      <c r="BG590">
        <f>HYPERLINK("C:\Users\jimmy\Desktop\Examens arbete\Kod\Ny mapp\remix_-copy-of-miljöbeslut.se-portal\M-2025-1599 - MFV C-verksamhet.pdf", "Öppna PDF")</f>
        <v/>
      </c>
    </row>
    <row r="591">
      <c r="A591" t="inlineStr">
        <is>
          <t>KRAV-AUTO-000590</t>
        </is>
      </c>
      <c r="B591" t="inlineStr">
        <is>
          <t>ADMIN-INDEX-2026-02-27-00000000125C043F57453246863FE664CAFE6A3F0700950291EA24F0614FB6ACEDB12BF0E31D00000000010C0000950291EA24F0614FB6ACEDB12BF0E31D00002087A5DB0000</t>
        </is>
      </c>
      <c r="C591" t="inlineStr">
        <is>
          <t>cmm4yuqpi03thcuqwmm9krvj4</t>
        </is>
      </c>
      <c r="D591" t="inlineStr">
        <is>
          <t>http://localhost:8787/api/admin/requirements/documents/cmm4yuqpi03thcuqwmm9krvj4/view</t>
        </is>
      </c>
      <c r="E591">
        <f>HYPERLÄNK("http://localhost:8787/api/admin/requirements/documents/cmm4yuqpi03thcuqwmm9krvj4/view";"Öppna PDF")</f>
        <v/>
      </c>
      <c r="F591">
        <f>HYPERLINK("http://localhost:8787/api/admin/requirements/documents/cmm4yuqpi03thcuqwmm9krvj4/view","Open PDF")</f>
        <v/>
      </c>
      <c r="G591" t="inlineStr">
        <is>
          <t>cmm55w57p0004cuisfrtpqly8</t>
        </is>
      </c>
      <c r="H591" t="inlineStr">
        <is>
          <t>Informationskrav</t>
        </is>
      </c>
      <c r="I591" t="inlineStr">
        <is>
          <t>MiljopaverkanForsiktighet</t>
        </is>
      </c>
      <c r="J591" t="inlineStr">
        <is>
          <t>Skyddsatgarder</t>
        </is>
      </c>
      <c r="K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591" t="inlineStr">
        <is>
          <t>SKA</t>
        </is>
      </c>
      <c r="N591" t="inlineStr">
        <is>
          <t>MPF</t>
        </is>
      </c>
      <c r="O591" t="inlineStr"/>
      <c r="P591" t="inlineStr"/>
      <c r="Q591" t="inlineStr">
        <is>
          <t>Forbud</t>
        </is>
      </c>
      <c r="R591" t="inlineStr">
        <is>
          <t>Alltid</t>
        </is>
      </c>
      <c r="S591" t="inlineStr"/>
      <c r="T591" t="inlineStr">
        <is>
          <t>26 67 50</t>
        </is>
      </c>
      <c r="U591" t="inlineStr"/>
      <c r="V591" t="inlineStr"/>
      <c r="W591" t="inlineStr">
        <is>
          <t>Nej</t>
        </is>
      </c>
      <c r="X591" t="inlineStr">
        <is>
          <t>Nej</t>
        </is>
      </c>
      <c r="Y591" t="inlineStr">
        <is>
          <t>Nej</t>
        </is>
      </c>
      <c r="Z591" t="inlineStr">
        <is>
          <t>Nej</t>
        </is>
      </c>
      <c r="AA591" t="n">
        <v>10</v>
      </c>
      <c r="AB591" t="inlineStr">
        <is>
          <t>Miljopaverkan och forsiktighetsmatt</t>
        </is>
      </c>
      <c r="AC591" t="inlineStr">
        <is>
          <t>Miljo-PM</t>
        </is>
      </c>
      <c r="AD591" t="inlineStr">
        <is>
          <t>Nej</t>
        </is>
      </c>
      <c r="AE591" t="inlineStr">
        <is>
          <t>Nej</t>
        </is>
      </c>
      <c r="AF591" t="inlineStr">
        <is>
          <t>Ej behandlad</t>
        </is>
      </c>
      <c r="AG591" t="inlineStr">
        <is>
          <t>AUTO_GENERERAD. Verifiera citat mot kallfil.</t>
        </is>
      </c>
      <c r="AH591" t="inlineStr">
        <is>
          <t>MEDIUM</t>
        </is>
      </c>
      <c r="AI591" t="inlineStr">
        <is>
          <t>AUTO</t>
        </is>
      </c>
      <c r="AJ591" t="inlineStr">
        <is>
          <t>Nej</t>
        </is>
      </c>
      <c r="AK591" t="inlineStr"/>
      <c r="AL591" t="inlineStr"/>
      <c r="AM591" t="inlineStr"/>
      <c r="AN591" t="inlineStr"/>
      <c r="AO591" t="inlineStr">
        <is>
          <t>cmm4yuqq103u2cuqwxq5c1oxv</t>
        </is>
      </c>
      <c r="AP591" t="inlineStr">
        <is>
          <t>http://localhost:8787/api/admin/requirements/documents/cmm4yuqq103u2cuqwxq5c1oxv/view</t>
        </is>
      </c>
      <c r="AQ591">
        <f>HYPERLÄNK("http://localhost:8787/api/admin/requirements/documents/cmm4yuqq103u2cuqwxq5c1oxv/view";"Öppna PDF")</f>
        <v/>
      </c>
      <c r="AR591">
        <f>HYPERLINK("http://localhost:8787/api/admin/requirements/documents/cmm4yuqq103u2cuqwxq5c1oxv/view","Open PDF")</f>
        <v/>
      </c>
      <c r="AS591" t="inlineStr">
        <is>
          <t>cmm55w57p0004cuisfrtpqly8</t>
        </is>
      </c>
      <c r="AT591" t="inlineStr">
        <is>
          <t>cmm4xvu980000cuh4vj0usz09</t>
        </is>
      </c>
      <c r="AU591" t="inlineStr">
        <is>
          <t>Hässleholms</t>
        </is>
      </c>
      <c r="AV591" t="inlineStr">
        <is>
          <t>Kommun</t>
        </is>
      </c>
      <c r="AW591" t="inlineStr">
        <is>
          <t>Hässleholms kommun</t>
        </is>
      </c>
      <c r="AX591" t="inlineStr">
        <is>
          <t>0451-26</t>
        </is>
      </c>
      <c r="AY591" t="inlineStr">
        <is>
          <t>Anmalan</t>
        </is>
      </c>
      <c r="AZ591" t="inlineStr">
        <is>
          <t>2026-02-05</t>
        </is>
      </c>
      <c r="BA591" t="inlineStr">
        <is>
          <t>M-2025-1599 - MFV C-verksamhet.pdf</t>
        </is>
      </c>
      <c r="BB591" t="inlineStr">
        <is>
          <t>Sv:  Begäran om utlämnande av allmän handling – Anmälningar och beslut rörande mellanlagring av avfall samt anläggning av ytor</t>
        </is>
      </c>
      <c r="BC591" t="inlineStr">
        <is>
          <t>AUTO</t>
        </is>
      </c>
      <c r="BD591" t="inlineStr"/>
      <c r="BE591" t="inlineStr"/>
      <c r="BF591" t="inlineStr">
        <is>
          <t>AUTO_GENERERAD. Bekrafta metadata mot kallfil.</t>
        </is>
      </c>
      <c r="BG591">
        <f>HYPERLINK("C:\Users\jimmy\Desktop\Examens arbete\Kod\Ny mapp\remix_-copy-of-miljöbeslut.se-portal\M-2025-1599 - MFV C-verksamhet.pdf", "Öppna PDF")</f>
        <v/>
      </c>
    </row>
    <row r="592">
      <c r="A592" t="inlineStr">
        <is>
          <t>KRAV-AUTO-000591</t>
        </is>
      </c>
      <c r="B592" t="inlineStr">
        <is>
          <t>ADMIN-INDEX-2026-02-27-00000000125C043F57453246863FE664CAFE6A3F0700950291EA24F0614FB6ACEDB12BF0E31D00000000010C0000950291EA24F0614FB6ACEDB12BF0E31D00002087A5DB0000</t>
        </is>
      </c>
      <c r="C592" t="inlineStr">
        <is>
          <t>cmm4yuqpi03thcuqwmm9krvj4</t>
        </is>
      </c>
      <c r="D592" t="inlineStr">
        <is>
          <t>http://localhost:8787/api/admin/requirements/documents/cmm4yuqpi03thcuqwmm9krvj4/view</t>
        </is>
      </c>
      <c r="E592">
        <f>HYPERLÄNK("http://localhost:8787/api/admin/requirements/documents/cmm4yuqpi03thcuqwmm9krvj4/view";"Öppna PDF")</f>
        <v/>
      </c>
      <c r="F592">
        <f>HYPERLINK("http://localhost:8787/api/admin/requirements/documents/cmm4yuqpi03thcuqwmm9krvj4/view","Open PDF")</f>
        <v/>
      </c>
      <c r="G592" t="inlineStr">
        <is>
          <t>cmm55w57p0004cuisfrtpqly8</t>
        </is>
      </c>
      <c r="H592" t="inlineStr">
        <is>
          <t>Informationskrav</t>
        </is>
      </c>
      <c r="I592" t="inlineStr">
        <is>
          <t>Ytkonstruktion</t>
        </is>
      </c>
      <c r="J592" t="inlineStr">
        <is>
          <t>Tat yta</t>
        </is>
      </c>
      <c r="K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592" t="inlineStr">
        <is>
          <t>SKA</t>
        </is>
      </c>
      <c r="N592" t="inlineStr"/>
      <c r="O592" t="inlineStr">
        <is>
          <t>2024-12-16</t>
        </is>
      </c>
      <c r="P592" t="inlineStr"/>
      <c r="Q592" t="inlineStr">
        <is>
          <t>Forelaggande vid brist</t>
        </is>
      </c>
      <c r="R592" t="inlineStr">
        <is>
          <t>Vid mellanlagring av avfall</t>
        </is>
      </c>
      <c r="S592" t="inlineStr"/>
      <c r="T592" t="inlineStr">
        <is>
          <t>26 67 50</t>
        </is>
      </c>
      <c r="U592" t="inlineStr"/>
      <c r="V592" t="inlineStr"/>
      <c r="W592" t="inlineStr">
        <is>
          <t>Ja</t>
        </is>
      </c>
      <c r="X592" t="inlineStr">
        <is>
          <t>Nej</t>
        </is>
      </c>
      <c r="Y592" t="inlineStr">
        <is>
          <t>Nej</t>
        </is>
      </c>
      <c r="Z592" t="inlineStr">
        <is>
          <t>Nej</t>
        </is>
      </c>
      <c r="AA592" t="n">
        <v>5</v>
      </c>
      <c r="AB592" t="inlineStr">
        <is>
          <t>Teknisk beskrivning av platta</t>
        </is>
      </c>
      <c r="AC592" t="inlineStr">
        <is>
          <t>Teknisk ritning platta</t>
        </is>
      </c>
      <c r="AD592" t="inlineStr">
        <is>
          <t>Nej</t>
        </is>
      </c>
      <c r="AE592" t="inlineStr">
        <is>
          <t>Nej</t>
        </is>
      </c>
      <c r="AF592" t="inlineStr">
        <is>
          <t>Ej behandlad</t>
        </is>
      </c>
      <c r="AG592" t="inlineStr">
        <is>
          <t>AUTO_GENERERAD. Verifiera citat mot kallfil.</t>
        </is>
      </c>
      <c r="AH592" t="inlineStr">
        <is>
          <t>MEDIUM</t>
        </is>
      </c>
      <c r="AI592" t="inlineStr">
        <is>
          <t>AUTO</t>
        </is>
      </c>
      <c r="AJ592" t="inlineStr">
        <is>
          <t>Nej</t>
        </is>
      </c>
      <c r="AK592" t="inlineStr"/>
      <c r="AL592" t="inlineStr"/>
      <c r="AM592" t="inlineStr"/>
      <c r="AN592" t="inlineStr"/>
      <c r="AO592" t="inlineStr">
        <is>
          <t>cmm4yuqq103u2cuqwxq5c1oxv</t>
        </is>
      </c>
      <c r="AP592" t="inlineStr">
        <is>
          <t>http://localhost:8787/api/admin/requirements/documents/cmm4yuqq103u2cuqwxq5c1oxv/view</t>
        </is>
      </c>
      <c r="AQ592">
        <f>HYPERLÄNK("http://localhost:8787/api/admin/requirements/documents/cmm4yuqq103u2cuqwxq5c1oxv/view";"Öppna PDF")</f>
        <v/>
      </c>
      <c r="AR592">
        <f>HYPERLINK("http://localhost:8787/api/admin/requirements/documents/cmm4yuqq103u2cuqwxq5c1oxv/view","Open PDF")</f>
        <v/>
      </c>
      <c r="AS592" t="inlineStr">
        <is>
          <t>cmm55w57p0004cuisfrtpqly8</t>
        </is>
      </c>
      <c r="AT592" t="inlineStr">
        <is>
          <t>cmm4xvu980000cuh4vj0usz09</t>
        </is>
      </c>
      <c r="AU592" t="inlineStr">
        <is>
          <t>Hässleholms</t>
        </is>
      </c>
      <c r="AV592" t="inlineStr">
        <is>
          <t>Kommun</t>
        </is>
      </c>
      <c r="AW592" t="inlineStr">
        <is>
          <t>Hässleholms kommun</t>
        </is>
      </c>
      <c r="AX592" t="inlineStr">
        <is>
          <t>0451-26</t>
        </is>
      </c>
      <c r="AY592" t="inlineStr">
        <is>
          <t>Anmalan</t>
        </is>
      </c>
      <c r="AZ592" t="inlineStr">
        <is>
          <t>2026-02-05</t>
        </is>
      </c>
      <c r="BA592" t="inlineStr">
        <is>
          <t>M-2025-1599 - MFV C-verksamhet.pdf</t>
        </is>
      </c>
      <c r="BB592" t="inlineStr">
        <is>
          <t>Sv:  Begäran om utlämnande av allmän handling – Anmälningar och beslut rörande mellanlagring av avfall samt anläggning av ytor</t>
        </is>
      </c>
      <c r="BC592" t="inlineStr">
        <is>
          <t>AUTO</t>
        </is>
      </c>
      <c r="BD592" t="inlineStr"/>
      <c r="BE592" t="inlineStr"/>
      <c r="BF592" t="inlineStr">
        <is>
          <t>AUTO_GENERERAD. Bekrafta metadata mot kallfil.</t>
        </is>
      </c>
      <c r="BG592">
        <f>HYPERLINK("C:\Users\jimmy\Desktop\Examens arbete\Kod\Ny mapp\remix_-copy-of-miljöbeslut.se-portal\M-2025-1599 - MFV C-verksamhet.pdf", "Öppna PDF")</f>
        <v/>
      </c>
    </row>
    <row r="593">
      <c r="A593" t="inlineStr">
        <is>
          <t>KRAV-AUTO-000592</t>
        </is>
      </c>
      <c r="B593" t="inlineStr">
        <is>
          <t>ADMIN-INDEX-2026-02-27-00000000125C043F57453246863FE664CAFE6A3F0700950291EA24F0614FB6ACEDB12BF0E31D00000000010C0000950291EA24F0614FB6ACEDB12BF0E31D00002087A5DB0000</t>
        </is>
      </c>
      <c r="C593" t="inlineStr">
        <is>
          <t>cmm4yuqpg03tecuqwir21xni9</t>
        </is>
      </c>
      <c r="D593" t="inlineStr">
        <is>
          <t>http://localhost:8787/api/admin/requirements/documents/cmm4yuqpg03tecuqwir21xni9/view</t>
        </is>
      </c>
      <c r="E593">
        <f>HYPERLÄNK("http://localhost:8787/api/admin/requirements/documents/cmm4yuqpg03tecuqwir21xni9/view";"Öppna PDF")</f>
        <v/>
      </c>
      <c r="F593">
        <f>HYPERLINK("http://localhost:8787/api/admin/requirements/documents/cmm4yuqpg03tecuqwir21xni9/view","Open PDF")</f>
        <v/>
      </c>
      <c r="G593" t="inlineStr">
        <is>
          <t>cmm55w57p0004cuisfrtpqly8</t>
        </is>
      </c>
      <c r="H593" t="inlineStr">
        <is>
          <t>Informationskrav</t>
        </is>
      </c>
      <c r="I593" t="inlineStr">
        <is>
          <t>LagringsvolymTid</t>
        </is>
      </c>
      <c r="J593" t="inlineStr">
        <is>
          <t>Maxmangd</t>
        </is>
      </c>
      <c r="K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593" t="inlineStr">
        <is>
          <t>SKA</t>
        </is>
      </c>
      <c r="N593" t="inlineStr"/>
      <c r="O593" t="inlineStr"/>
      <c r="P593" t="inlineStr"/>
      <c r="Q593" t="inlineStr"/>
      <c r="R593" t="inlineStr">
        <is>
          <t>Alltid</t>
        </is>
      </c>
      <c r="S593" t="inlineStr"/>
      <c r="T593" t="inlineStr">
        <is>
          <t>556035</t>
        </is>
      </c>
      <c r="U593" t="inlineStr"/>
      <c r="V593" t="inlineStr"/>
      <c r="W593" t="inlineStr">
        <is>
          <t>Nej</t>
        </is>
      </c>
      <c r="X593" t="inlineStr">
        <is>
          <t>Nej</t>
        </is>
      </c>
      <c r="Y593" t="inlineStr">
        <is>
          <t>Nej</t>
        </is>
      </c>
      <c r="Z593" t="inlineStr">
        <is>
          <t>Nej</t>
        </is>
      </c>
      <c r="AA593" t="n">
        <v>4</v>
      </c>
      <c r="AB593" t="inlineStr">
        <is>
          <t>Avfallsmangder och lagringstid</t>
        </is>
      </c>
      <c r="AC593" t="inlineStr">
        <is>
          <t>Avfallsforteckning</t>
        </is>
      </c>
      <c r="AD593" t="inlineStr">
        <is>
          <t>Nej</t>
        </is>
      </c>
      <c r="AE593" t="inlineStr">
        <is>
          <t>Nej</t>
        </is>
      </c>
      <c r="AF593" t="inlineStr">
        <is>
          <t>Ej behandlad</t>
        </is>
      </c>
      <c r="AG593" t="inlineStr">
        <is>
          <t>AUTO_GENERERAD. Verifiera citat mot kallfil.</t>
        </is>
      </c>
      <c r="AH593" t="inlineStr">
        <is>
          <t>MEDIUM</t>
        </is>
      </c>
      <c r="AI593" t="inlineStr">
        <is>
          <t>AUTO</t>
        </is>
      </c>
      <c r="AJ593" t="inlineStr">
        <is>
          <t>Nej</t>
        </is>
      </c>
      <c r="AK593" t="inlineStr"/>
      <c r="AL593" t="inlineStr"/>
      <c r="AM593" t="inlineStr"/>
      <c r="AN593" t="inlineStr"/>
      <c r="AO593" t="inlineStr">
        <is>
          <t>cmm4yuqq103u2cuqwxq5c1oxv</t>
        </is>
      </c>
      <c r="AP593" t="inlineStr">
        <is>
          <t>http://localhost:8787/api/admin/requirements/documents/cmm4yuqq103u2cuqwxq5c1oxv/view</t>
        </is>
      </c>
      <c r="AQ593">
        <f>HYPERLÄNK("http://localhost:8787/api/admin/requirements/documents/cmm4yuqq103u2cuqwxq5c1oxv/view";"Öppna PDF")</f>
        <v/>
      </c>
      <c r="AR593">
        <f>HYPERLINK("http://localhost:8787/api/admin/requirements/documents/cmm4yuqq103u2cuqwxq5c1oxv/view","Open PDF")</f>
        <v/>
      </c>
      <c r="AS593" t="inlineStr">
        <is>
          <t>cmm55w57p0004cuisfrtpqly8</t>
        </is>
      </c>
      <c r="AT593" t="inlineStr">
        <is>
          <t>cmm4xvu980000cuh4vj0usz09</t>
        </is>
      </c>
      <c r="AU593" t="inlineStr">
        <is>
          <t>Hässleholms</t>
        </is>
      </c>
      <c r="AV593" t="inlineStr">
        <is>
          <t>Kommun</t>
        </is>
      </c>
      <c r="AW593" t="inlineStr">
        <is>
          <t>Hässleholms kommun</t>
        </is>
      </c>
      <c r="AX593" t="inlineStr">
        <is>
          <t>0451-26</t>
        </is>
      </c>
      <c r="AY593" t="inlineStr">
        <is>
          <t>Anmalan</t>
        </is>
      </c>
      <c r="AZ593" t="inlineStr">
        <is>
          <t>2026-02-05</t>
        </is>
      </c>
      <c r="BA593" t="inlineStr">
        <is>
          <t>M-2025-1599 - MFV C-verksamhet.pdf</t>
        </is>
      </c>
      <c r="BB593" t="inlineStr">
        <is>
          <t>Sv:  Begäran om utlämnande av allmän handling – Anmälningar och beslut rörande mellanlagring av avfall samt anläggning av ytor</t>
        </is>
      </c>
      <c r="BC593" t="inlineStr">
        <is>
          <t>AUTO</t>
        </is>
      </c>
      <c r="BD593" t="inlineStr"/>
      <c r="BE593" t="inlineStr"/>
      <c r="BF593" t="inlineStr">
        <is>
          <t>AUTO_GENERERAD. Bekrafta metadata mot kallfil.</t>
        </is>
      </c>
      <c r="BG593">
        <f>HYPERLINK("C:\Users\jimmy\Desktop\Examens arbete\Kod\Ny mapp\remix_-copy-of-miljöbeslut.se-portal\M-2025-1599 - MFV C-verksamhet.pdf", "Öppna PDF")</f>
        <v/>
      </c>
    </row>
    <row r="594">
      <c r="A594" t="inlineStr">
        <is>
          <t>KRAV-AUTO-000593</t>
        </is>
      </c>
      <c r="B594" t="inlineStr">
        <is>
          <t>ADMIN-INDEX-2026-02-27-00000000125C043F57453246863FE664CAFE6A3F0700950291EA24F0614FB6ACEDB12BF0E31D00000000010C0000950291EA24F0614FB6ACEDB12BF0E31D00002087A5DB0000</t>
        </is>
      </c>
      <c r="C594" t="inlineStr">
        <is>
          <t>cmm4yuqpg03tecuqwir21xni9</t>
        </is>
      </c>
      <c r="D594" t="inlineStr">
        <is>
          <t>http://localhost:8787/api/admin/requirements/documents/cmm4yuqpg03tecuqwir21xni9/view</t>
        </is>
      </c>
      <c r="E594">
        <f>HYPERLÄNK("http://localhost:8787/api/admin/requirements/documents/cmm4yuqpg03tecuqwir21xni9/view";"Öppna PDF")</f>
        <v/>
      </c>
      <c r="F594">
        <f>HYPERLINK("http://localhost:8787/api/admin/requirements/documents/cmm4yuqpg03tecuqwir21xni9/view","Open PDF")</f>
        <v/>
      </c>
      <c r="G594" t="inlineStr">
        <is>
          <t>cmm55w57p0004cuisfrtpqly8</t>
        </is>
      </c>
      <c r="H594" t="inlineStr">
        <is>
          <t>Informationskrav</t>
        </is>
      </c>
      <c r="I594" t="inlineStr">
        <is>
          <t>DagvattenLakvatten</t>
        </is>
      </c>
      <c r="J594" t="inlineStr">
        <is>
          <t>Uppsamling</t>
        </is>
      </c>
      <c r="K594" t="inlineStr">
        <is>
          <t>6 § miljöbalken (SFS 1998:808) krävs en anmälan vid användning av avfall för anläggningsändamål på ett sätt som kan förorena mark, vattenområde eller grundvatten och där föroreningsrisken bedöms som ringa.</t>
        </is>
      </c>
      <c r="L594" t="inlineStr">
        <is>
          <t>6 § miljöbalken (SFS 1998:808) krävs en anmälan vid användning av avfall för anläggningsändamål på ett sätt som kan förorena mark, vattenområde eller grundvatten och där föroreningsrisken bedöms som ringa.</t>
        </is>
      </c>
      <c r="M594" t="inlineStr">
        <is>
          <t>SKA</t>
        </is>
      </c>
      <c r="N594" t="inlineStr">
        <is>
          <t>Miljobalken</t>
        </is>
      </c>
      <c r="O594" t="inlineStr"/>
      <c r="P594" t="inlineStr"/>
      <c r="Q594" t="inlineStr"/>
      <c r="R594" t="inlineStr">
        <is>
          <t>Vid nederbord och avrinning</t>
        </is>
      </c>
      <c r="S594" t="inlineStr"/>
      <c r="T594" t="inlineStr">
        <is>
          <t>556035</t>
        </is>
      </c>
      <c r="U594" t="inlineStr"/>
      <c r="V594" t="inlineStr"/>
      <c r="W594" t="inlineStr">
        <is>
          <t>Nej</t>
        </is>
      </c>
      <c r="X594" t="inlineStr">
        <is>
          <t>Ja</t>
        </is>
      </c>
      <c r="Y594" t="inlineStr">
        <is>
          <t>Ja</t>
        </is>
      </c>
      <c r="Z594" t="inlineStr">
        <is>
          <t>Nej</t>
        </is>
      </c>
      <c r="AA594" t="n">
        <v>6</v>
      </c>
      <c r="AB594" t="inlineStr">
        <is>
          <t>Lakvattenhantering</t>
        </is>
      </c>
      <c r="AC594" t="inlineStr">
        <is>
          <t>Flodesschema dagvatten-lakvatten</t>
        </is>
      </c>
      <c r="AD594" t="inlineStr">
        <is>
          <t>Nej</t>
        </is>
      </c>
      <c r="AE594" t="inlineStr">
        <is>
          <t>Nej</t>
        </is>
      </c>
      <c r="AF594" t="inlineStr">
        <is>
          <t>Ej behandlad</t>
        </is>
      </c>
      <c r="AG594" t="inlineStr">
        <is>
          <t>AUTO_GENERERAD. Verifiera citat mot kallfil.</t>
        </is>
      </c>
      <c r="AH594" t="inlineStr">
        <is>
          <t>HIGH</t>
        </is>
      </c>
      <c r="AI594" t="inlineStr">
        <is>
          <t>AUTO</t>
        </is>
      </c>
      <c r="AJ594" t="inlineStr">
        <is>
          <t>Nej</t>
        </is>
      </c>
      <c r="AK594" t="inlineStr"/>
      <c r="AL594" t="inlineStr"/>
      <c r="AM594" t="inlineStr"/>
      <c r="AN594" t="inlineStr"/>
      <c r="AO594" t="inlineStr">
        <is>
          <t>cmm4yuqq103u2cuqwxq5c1oxv</t>
        </is>
      </c>
      <c r="AP594" t="inlineStr">
        <is>
          <t>http://localhost:8787/api/admin/requirements/documents/cmm4yuqq103u2cuqwxq5c1oxv/view</t>
        </is>
      </c>
      <c r="AQ594">
        <f>HYPERLÄNK("http://localhost:8787/api/admin/requirements/documents/cmm4yuqq103u2cuqwxq5c1oxv/view";"Öppna PDF")</f>
        <v/>
      </c>
      <c r="AR594">
        <f>HYPERLINK("http://localhost:8787/api/admin/requirements/documents/cmm4yuqq103u2cuqwxq5c1oxv/view","Open PDF")</f>
        <v/>
      </c>
      <c r="AS594" t="inlineStr">
        <is>
          <t>cmm55w57p0004cuisfrtpqly8</t>
        </is>
      </c>
      <c r="AT594" t="inlineStr">
        <is>
          <t>cmm4xvu980000cuh4vj0usz09</t>
        </is>
      </c>
      <c r="AU594" t="inlineStr">
        <is>
          <t>Hässleholms</t>
        </is>
      </c>
      <c r="AV594" t="inlineStr">
        <is>
          <t>Kommun</t>
        </is>
      </c>
      <c r="AW594" t="inlineStr">
        <is>
          <t>Hässleholms kommun</t>
        </is>
      </c>
      <c r="AX594" t="inlineStr">
        <is>
          <t>0451-26</t>
        </is>
      </c>
      <c r="AY594" t="inlineStr">
        <is>
          <t>Anmalan</t>
        </is>
      </c>
      <c r="AZ594" t="inlineStr">
        <is>
          <t>2026-02-05</t>
        </is>
      </c>
      <c r="BA594" t="inlineStr">
        <is>
          <t>M-2025-1599 - MFV C-verksamhet.pdf</t>
        </is>
      </c>
      <c r="BB594" t="inlineStr">
        <is>
          <t>Sv:  Begäran om utlämnande av allmän handling – Anmälningar och beslut rörande mellanlagring av avfall samt anläggning av ytor</t>
        </is>
      </c>
      <c r="BC594" t="inlineStr">
        <is>
          <t>AUTO</t>
        </is>
      </c>
      <c r="BD594" t="inlineStr"/>
      <c r="BE594" t="inlineStr"/>
      <c r="BF594" t="inlineStr">
        <is>
          <t>AUTO_GENERERAD. Bekrafta metadata mot kallfil.</t>
        </is>
      </c>
      <c r="BG594">
        <f>HYPERLINK("C:\Users\jimmy\Desktop\Examens arbete\Kod\Ny mapp\remix_-copy-of-miljöbeslut.se-portal\M-2025-1599 - MFV C-verksamhet.pdf", "Öppna PDF")</f>
        <v/>
      </c>
    </row>
    <row r="595">
      <c r="A595" t="inlineStr">
        <is>
          <t>KRAV-AUTO-000594</t>
        </is>
      </c>
      <c r="B595" t="inlineStr">
        <is>
          <t>ADMIN-INDEX-2026-02-27-00000000125C043F57453246863FE664CAFE6A3F0700950291EA24F0614FB6ACEDB12BF0E31D00000000010C0000950291EA24F0614FB6ACEDB12BF0E31D00002087A5DB0000</t>
        </is>
      </c>
      <c r="C595" t="inlineStr">
        <is>
          <t>cmm4yuqpg03tecuqwir21xni9</t>
        </is>
      </c>
      <c r="D595" t="inlineStr">
        <is>
          <t>http://localhost:8787/api/admin/requirements/documents/cmm4yuqpg03tecuqwir21xni9/view</t>
        </is>
      </c>
      <c r="E595">
        <f>HYPERLÄNK("http://localhost:8787/api/admin/requirements/documents/cmm4yuqpg03tecuqwir21xni9/view";"Öppna PDF")</f>
        <v/>
      </c>
      <c r="F595">
        <f>HYPERLINK("http://localhost:8787/api/admin/requirements/documents/cmm4yuqpg03tecuqwir21xni9/view","Open PDF")</f>
        <v/>
      </c>
      <c r="G595" t="inlineStr">
        <is>
          <t>cmm55w57p0004cuisfrtpqly8</t>
        </is>
      </c>
      <c r="H595" t="inlineStr">
        <is>
          <t>Informationskrav</t>
        </is>
      </c>
      <c r="I595" t="inlineStr">
        <is>
          <t>MiljopaverkanForsiktighet</t>
        </is>
      </c>
      <c r="J595" t="inlineStr">
        <is>
          <t>Skyddsatgarder</t>
        </is>
      </c>
      <c r="K595" t="inlineStr">
        <is>
          <t>Skalenliga profilskisser av platsen där avfallet ska användas.</t>
        </is>
      </c>
      <c r="L595" t="inlineStr">
        <is>
          <t>Skalenliga profilskisser av platsen där avfallet ska användas.</t>
        </is>
      </c>
      <c r="M595" t="inlineStr">
        <is>
          <t>SKA</t>
        </is>
      </c>
      <c r="N595" t="inlineStr"/>
      <c r="O595" t="inlineStr"/>
      <c r="P595" t="inlineStr"/>
      <c r="Q595" t="inlineStr"/>
      <c r="R595" t="inlineStr">
        <is>
          <t>Alltid</t>
        </is>
      </c>
      <c r="S595" t="inlineStr"/>
      <c r="T595" t="inlineStr">
        <is>
          <t>556035</t>
        </is>
      </c>
      <c r="U595" t="inlineStr"/>
      <c r="V595" t="inlineStr"/>
      <c r="W595" t="inlineStr">
        <is>
          <t>Nej</t>
        </is>
      </c>
      <c r="X595" t="inlineStr">
        <is>
          <t>Nej</t>
        </is>
      </c>
      <c r="Y595" t="inlineStr">
        <is>
          <t>Nej</t>
        </is>
      </c>
      <c r="Z595" t="inlineStr">
        <is>
          <t>Nej</t>
        </is>
      </c>
      <c r="AA595" t="n">
        <v>10</v>
      </c>
      <c r="AB595" t="inlineStr">
        <is>
          <t>Miljopaverkan och forsiktighetsmatt</t>
        </is>
      </c>
      <c r="AC595" t="inlineStr">
        <is>
          <t>Miljo-PM</t>
        </is>
      </c>
      <c r="AD595" t="inlineStr">
        <is>
          <t>Nej</t>
        </is>
      </c>
      <c r="AE595" t="inlineStr">
        <is>
          <t>Nej</t>
        </is>
      </c>
      <c r="AF595" t="inlineStr">
        <is>
          <t>Ej behandlad</t>
        </is>
      </c>
      <c r="AG595" t="inlineStr">
        <is>
          <t>AUTO_GENERERAD. Verifiera citat mot kallfil.</t>
        </is>
      </c>
      <c r="AH595" t="inlineStr">
        <is>
          <t>MEDIUM</t>
        </is>
      </c>
      <c r="AI595" t="inlineStr">
        <is>
          <t>AUTO</t>
        </is>
      </c>
      <c r="AJ595" t="inlineStr">
        <is>
          <t>Nej</t>
        </is>
      </c>
      <c r="AK595" t="inlineStr"/>
      <c r="AL595" t="inlineStr"/>
      <c r="AM595" t="inlineStr"/>
      <c r="AN595" t="inlineStr"/>
      <c r="AO595" t="inlineStr">
        <is>
          <t>cmm4yuqq103u2cuqwxq5c1oxv</t>
        </is>
      </c>
      <c r="AP595" t="inlineStr">
        <is>
          <t>http://localhost:8787/api/admin/requirements/documents/cmm4yuqq103u2cuqwxq5c1oxv/view</t>
        </is>
      </c>
      <c r="AQ595">
        <f>HYPERLÄNK("http://localhost:8787/api/admin/requirements/documents/cmm4yuqq103u2cuqwxq5c1oxv/view";"Öppna PDF")</f>
        <v/>
      </c>
      <c r="AR595">
        <f>HYPERLINK("http://localhost:8787/api/admin/requirements/documents/cmm4yuqq103u2cuqwxq5c1oxv/view","Open PDF")</f>
        <v/>
      </c>
      <c r="AS595" t="inlineStr">
        <is>
          <t>cmm55w57p0004cuisfrtpqly8</t>
        </is>
      </c>
      <c r="AT595" t="inlineStr">
        <is>
          <t>cmm4xvu980000cuh4vj0usz09</t>
        </is>
      </c>
      <c r="AU595" t="inlineStr">
        <is>
          <t>Hässleholms</t>
        </is>
      </c>
      <c r="AV595" t="inlineStr">
        <is>
          <t>Kommun</t>
        </is>
      </c>
      <c r="AW595" t="inlineStr">
        <is>
          <t>Hässleholms kommun</t>
        </is>
      </c>
      <c r="AX595" t="inlineStr">
        <is>
          <t>0451-26</t>
        </is>
      </c>
      <c r="AY595" t="inlineStr">
        <is>
          <t>Anmalan</t>
        </is>
      </c>
      <c r="AZ595" t="inlineStr">
        <is>
          <t>2026-02-05</t>
        </is>
      </c>
      <c r="BA595" t="inlineStr">
        <is>
          <t>M-2025-1599 - MFV C-verksamhet.pdf</t>
        </is>
      </c>
      <c r="BB595" t="inlineStr">
        <is>
          <t>Sv:  Begäran om utlämnande av allmän handling – Anmälningar och beslut rörande mellanlagring av avfall samt anläggning av ytor</t>
        </is>
      </c>
      <c r="BC595" t="inlineStr">
        <is>
          <t>AUTO</t>
        </is>
      </c>
      <c r="BD595" t="inlineStr"/>
      <c r="BE595" t="inlineStr"/>
      <c r="BF595" t="inlineStr">
        <is>
          <t>AUTO_GENERERAD. Bekrafta metadata mot kallfil.</t>
        </is>
      </c>
      <c r="BG595">
        <f>HYPERLINK("C:\Users\jimmy\Desktop\Examens arbete\Kod\Ny mapp\remix_-copy-of-miljöbeslut.se-portal\M-2025-1599 - MFV C-verksamhet.pdf", "Öppna PDF")</f>
        <v/>
      </c>
    </row>
    <row r="596">
      <c r="A596" t="inlineStr">
        <is>
          <t>KRAV-AUTO-000595</t>
        </is>
      </c>
      <c r="B596" t="inlineStr">
        <is>
          <t>ADMIN-INDEX-2026-02-27-00000000125C043F57453246863FE664CAFE6A3F0700950291EA24F0614FB6ACEDB12BF0E31D00000000010C0000950291EA24F0614FB6ACEDB12BF0E31D00002087A5DC0000</t>
        </is>
      </c>
      <c r="C596" t="inlineStr">
        <is>
          <t>cmm4yuqp703t5cuqwt93a9un1</t>
        </is>
      </c>
      <c r="D596" t="inlineStr">
        <is>
          <t>http://localhost:8787/api/admin/requirements/documents/cmm4yuqp703t5cuqwt93a9un1/view</t>
        </is>
      </c>
      <c r="E596">
        <f>HYPERLÄNK("http://localhost:8787/api/admin/requirements/documents/cmm4yuqp703t5cuqwt93a9un1/view";"Öppna PDF")</f>
        <v/>
      </c>
      <c r="F596">
        <f>HYPERLINK("http://localhost:8787/api/admin/requirements/documents/cmm4yuqp703t5cuqwt93a9un1/view","Open PDF")</f>
        <v/>
      </c>
      <c r="G596" t="inlineStr">
        <is>
          <t>cmm55w57p0004cuisfrtpqly8</t>
        </is>
      </c>
      <c r="H596" t="inlineStr">
        <is>
          <t>Informationskrav</t>
        </is>
      </c>
      <c r="I596" t="inlineStr">
        <is>
          <t>MiljopaverkanForsiktighet</t>
        </is>
      </c>
      <c r="J596" t="inlineStr">
        <is>
          <t>Skyddsatgarder</t>
        </is>
      </c>
      <c r="K596" t="inlineStr">
        <is>
          <t>Den myndighet som handlägger ett anmälningsärende som avses i 25 d § FMH ska, när ärendet är tillräckligt utrett, förelägga om försiktighetsmått eller förbud om ärendet avser en sådan verksamhet som behandlar avfall.</t>
        </is>
      </c>
      <c r="L596" t="inlineStr">
        <is>
          <t>Den myndighet som handlägger ett anmälningsärende som avses i 25 d § FMH ska, när ärendet är tillräckligt utrett, förelägga om försiktighetsmått eller förbud om ärendet avser en sådan verksamhet som behandlar avfall.</t>
        </is>
      </c>
      <c r="M596" t="inlineStr">
        <is>
          <t>SKA</t>
        </is>
      </c>
      <c r="N596" t="inlineStr">
        <is>
          <t>FMH</t>
        </is>
      </c>
      <c r="O596" t="inlineStr"/>
      <c r="P596" t="inlineStr"/>
      <c r="Q596" t="inlineStr">
        <is>
          <t>Forbud</t>
        </is>
      </c>
      <c r="R596" t="inlineStr">
        <is>
          <t>Alltid</t>
        </is>
      </c>
      <c r="S596" t="inlineStr"/>
      <c r="T596" t="inlineStr">
        <is>
          <t>26 70 00</t>
        </is>
      </c>
      <c r="U596" t="inlineStr"/>
      <c r="V596" t="inlineStr"/>
      <c r="W596" t="inlineStr">
        <is>
          <t>Nej</t>
        </is>
      </c>
      <c r="X596" t="inlineStr">
        <is>
          <t>Nej</t>
        </is>
      </c>
      <c r="Y596" t="inlineStr">
        <is>
          <t>Nej</t>
        </is>
      </c>
      <c r="Z596" t="inlineStr">
        <is>
          <t>Nej</t>
        </is>
      </c>
      <c r="AA596" t="n">
        <v>10</v>
      </c>
      <c r="AB596" t="inlineStr">
        <is>
          <t>Miljopaverkan och forsiktighetsmatt</t>
        </is>
      </c>
      <c r="AC596" t="inlineStr">
        <is>
          <t>Miljo-PM</t>
        </is>
      </c>
      <c r="AD596" t="inlineStr">
        <is>
          <t>Nej</t>
        </is>
      </c>
      <c r="AE596" t="inlineStr">
        <is>
          <t>Nej</t>
        </is>
      </c>
      <c r="AF596" t="inlineStr">
        <is>
          <t>Ej behandlad</t>
        </is>
      </c>
      <c r="AG596" t="inlineStr">
        <is>
          <t>AUTO_GENERERAD. Verifiera citat mot kallfil.</t>
        </is>
      </c>
      <c r="AH596" t="inlineStr">
        <is>
          <t>HIGH</t>
        </is>
      </c>
      <c r="AI596" t="inlineStr">
        <is>
          <t>AUTO</t>
        </is>
      </c>
      <c r="AJ596" t="inlineStr">
        <is>
          <t>Nej</t>
        </is>
      </c>
      <c r="AK596" t="inlineStr"/>
      <c r="AL596" t="inlineStr"/>
      <c r="AM596" t="inlineStr"/>
      <c r="AN596" t="inlineStr"/>
      <c r="AO596" t="inlineStr">
        <is>
          <t>cmm4yuqnj03rhcuqw5kt2masi</t>
        </is>
      </c>
      <c r="AP596" t="inlineStr">
        <is>
          <t>http://localhost:8787/api/admin/requirements/documents/cmm4yuqnj03rhcuqw5kt2masi/view</t>
        </is>
      </c>
      <c r="AQ596">
        <f>HYPERLÄNK("http://localhost:8787/api/admin/requirements/documents/cmm4yuqnj03rhcuqw5kt2masi/view";"Öppna PDF")</f>
        <v/>
      </c>
      <c r="AR596">
        <f>HYPERLINK("http://localhost:8787/api/admin/requirements/documents/cmm4yuqnj03rhcuqw5kt2masi/view","Open PDF")</f>
        <v/>
      </c>
      <c r="AS596" t="inlineStr">
        <is>
          <t>cmm55w57p0004cuisfrtpqly8</t>
        </is>
      </c>
      <c r="AT596" t="inlineStr">
        <is>
          <t>cmm4xvu980000cuh4vj0usz09</t>
        </is>
      </c>
      <c r="AU596" t="inlineStr">
        <is>
          <t>Hässleholms</t>
        </is>
      </c>
      <c r="AV596" t="inlineStr">
        <is>
          <t>Kommun</t>
        </is>
      </c>
      <c r="AW596" t="inlineStr">
        <is>
          <t>Hässleholms kommun</t>
        </is>
      </c>
      <c r="AX596" t="inlineStr">
        <is>
          <t>0451-26</t>
        </is>
      </c>
      <c r="AY596" t="inlineStr">
        <is>
          <t>Anmalan</t>
        </is>
      </c>
      <c r="AZ596" t="inlineStr">
        <is>
          <t>2026-02-05</t>
        </is>
      </c>
      <c r="BA596" t="inlineStr">
        <is>
          <t>M-2025-2674 - Avskrivning.pdf</t>
        </is>
      </c>
      <c r="BB596" t="inlineStr">
        <is>
          <t>Sv:  Begäran om utlämnande av allmän handling – Anmälningar och beslut rörande mellanlagring av avfall samt anläggning av ytor</t>
        </is>
      </c>
      <c r="BC596" t="inlineStr">
        <is>
          <t>AUTO</t>
        </is>
      </c>
      <c r="BD596" t="inlineStr"/>
      <c r="BE596" t="inlineStr"/>
      <c r="BF596" t="inlineStr">
        <is>
          <t>AUTO_GENERERAD. Bekrafta metadata mot kallfil.</t>
        </is>
      </c>
      <c r="BG596">
        <f>HYPERLINK("C:\Users\jimmy\Desktop\Examens arbete\Kod\Ny mapp\remix_-copy-of-miljöbeslut.se-portal\M-2025-2674 - Avskrivning.pdf", "Öppna PDF")</f>
        <v/>
      </c>
    </row>
    <row r="597">
      <c r="A597" t="inlineStr">
        <is>
          <t>KRAV-AUTO-000596</t>
        </is>
      </c>
      <c r="B597" t="inlineStr">
        <is>
          <t>ADMIN-INDEX-2026-02-27-00000000125C043F57453246863FE664CAFE6A3F0700950291EA24F0614FB6ACEDB12BF0E31D00000000010C0000950291EA24F0614FB6ACEDB12BF0E31D00002087A5DC0000</t>
        </is>
      </c>
      <c r="C597" t="inlineStr">
        <is>
          <t>cmm4yuqp703t5cuqwt93a9un1</t>
        </is>
      </c>
      <c r="D597" t="inlineStr">
        <is>
          <t>http://localhost:8787/api/admin/requirements/documents/cmm4yuqp703t5cuqwt93a9un1/view</t>
        </is>
      </c>
      <c r="E597">
        <f>HYPERLÄNK("http://localhost:8787/api/admin/requirements/documents/cmm4yuqp703t5cuqwt93a9un1/view";"Öppna PDF")</f>
        <v/>
      </c>
      <c r="F597">
        <f>HYPERLINK("http://localhost:8787/api/admin/requirements/documents/cmm4yuqp703t5cuqwt93a9un1/view","Open PDF")</f>
        <v/>
      </c>
      <c r="G597" t="inlineStr">
        <is>
          <t>cmm55w57p0004cuisfrtpqly8</t>
        </is>
      </c>
      <c r="H597" t="inlineStr">
        <is>
          <t>Informationskrav</t>
        </is>
      </c>
      <c r="I597" t="inlineStr">
        <is>
          <t>Ytkonstruktion</t>
        </is>
      </c>
      <c r="J597" t="inlineStr">
        <is>
          <t>Tat yta</t>
        </is>
      </c>
      <c r="K597" t="inlineStr">
        <is>
          <t>Omkring 5 000 ton betongkross ska användas för att anlägga en verksamhetsyta för lagring av flis till gårdens flispanna.</t>
        </is>
      </c>
      <c r="L597" t="inlineStr">
        <is>
          <t>Omkring 5 000 ton betongkross ska användas för att anlägga en verksamhetsyta för lagring av flis till gårdens flispanna.</t>
        </is>
      </c>
      <c r="M597" t="inlineStr">
        <is>
          <t>SKA</t>
        </is>
      </c>
      <c r="N597" t="inlineStr"/>
      <c r="O597" t="inlineStr"/>
      <c r="P597" t="inlineStr"/>
      <c r="Q597" t="inlineStr"/>
      <c r="R597" t="inlineStr">
        <is>
          <t>Vid mellanlagring av avfall</t>
        </is>
      </c>
      <c r="S597" t="inlineStr"/>
      <c r="T597" t="inlineStr">
        <is>
          <t>26 70 00</t>
        </is>
      </c>
      <c r="U597" t="n">
        <v>0</v>
      </c>
      <c r="V597" t="inlineStr"/>
      <c r="W597" t="inlineStr">
        <is>
          <t>Ja</t>
        </is>
      </c>
      <c r="X597" t="inlineStr">
        <is>
          <t>Nej</t>
        </is>
      </c>
      <c r="Y597" t="inlineStr">
        <is>
          <t>Nej</t>
        </is>
      </c>
      <c r="Z597" t="inlineStr">
        <is>
          <t>Nej</t>
        </is>
      </c>
      <c r="AA597" t="n">
        <v>5</v>
      </c>
      <c r="AB597" t="inlineStr">
        <is>
          <t>Teknisk beskrivning av platta</t>
        </is>
      </c>
      <c r="AC597" t="inlineStr">
        <is>
          <t>Teknisk ritning platta</t>
        </is>
      </c>
      <c r="AD597" t="inlineStr">
        <is>
          <t>Nej</t>
        </is>
      </c>
      <c r="AE597" t="inlineStr">
        <is>
          <t>Nej</t>
        </is>
      </c>
      <c r="AF597" t="inlineStr">
        <is>
          <t>Ej behandlad</t>
        </is>
      </c>
      <c r="AG597" t="inlineStr">
        <is>
          <t>AUTO_GENERERAD. Verifiera citat mot kallfil.</t>
        </is>
      </c>
      <c r="AH597" t="inlineStr">
        <is>
          <t>MEDIUM</t>
        </is>
      </c>
      <c r="AI597" t="inlineStr">
        <is>
          <t>AUTO</t>
        </is>
      </c>
      <c r="AJ597" t="inlineStr">
        <is>
          <t>Nej</t>
        </is>
      </c>
      <c r="AK597" t="inlineStr"/>
      <c r="AL597" t="inlineStr"/>
      <c r="AM597" t="inlineStr"/>
      <c r="AN597" t="inlineStr"/>
      <c r="AO597" t="inlineStr">
        <is>
          <t>cmm4yuqnj03rhcuqw5kt2masi</t>
        </is>
      </c>
      <c r="AP597" t="inlineStr">
        <is>
          <t>http://localhost:8787/api/admin/requirements/documents/cmm4yuqnj03rhcuqw5kt2masi/view</t>
        </is>
      </c>
      <c r="AQ597">
        <f>HYPERLÄNK("http://localhost:8787/api/admin/requirements/documents/cmm4yuqnj03rhcuqw5kt2masi/view";"Öppna PDF")</f>
        <v/>
      </c>
      <c r="AR597">
        <f>HYPERLINK("http://localhost:8787/api/admin/requirements/documents/cmm4yuqnj03rhcuqw5kt2masi/view","Open PDF")</f>
        <v/>
      </c>
      <c r="AS597" t="inlineStr">
        <is>
          <t>cmm55w57p0004cuisfrtpqly8</t>
        </is>
      </c>
      <c r="AT597" t="inlineStr">
        <is>
          <t>cmm4xvu980000cuh4vj0usz09</t>
        </is>
      </c>
      <c r="AU597" t="inlineStr">
        <is>
          <t>Hässleholms</t>
        </is>
      </c>
      <c r="AV597" t="inlineStr">
        <is>
          <t>Kommun</t>
        </is>
      </c>
      <c r="AW597" t="inlineStr">
        <is>
          <t>Hässleholms kommun</t>
        </is>
      </c>
      <c r="AX597" t="inlineStr">
        <is>
          <t>0451-26</t>
        </is>
      </c>
      <c r="AY597" t="inlineStr">
        <is>
          <t>Anmalan</t>
        </is>
      </c>
      <c r="AZ597" t="inlineStr">
        <is>
          <t>2026-02-05</t>
        </is>
      </c>
      <c r="BA597" t="inlineStr">
        <is>
          <t>M-2025-2674 - Avskrivning.pdf</t>
        </is>
      </c>
      <c r="BB597" t="inlineStr">
        <is>
          <t>Sv:  Begäran om utlämnande av allmän handling – Anmälningar och beslut rörande mellanlagring av avfall samt anläggning av ytor</t>
        </is>
      </c>
      <c r="BC597" t="inlineStr">
        <is>
          <t>AUTO</t>
        </is>
      </c>
      <c r="BD597" t="inlineStr"/>
      <c r="BE597" t="inlineStr"/>
      <c r="BF597" t="inlineStr">
        <is>
          <t>AUTO_GENERERAD. Bekrafta metadata mot kallfil.</t>
        </is>
      </c>
      <c r="BG597">
        <f>HYPERLINK("C:\Users\jimmy\Desktop\Examens arbete\Kod\Ny mapp\remix_-copy-of-miljöbeslut.se-portal\M-2025-2674 - Avskrivning.pdf", "Öppna PDF")</f>
        <v/>
      </c>
    </row>
    <row r="598">
      <c r="A598" t="inlineStr">
        <is>
          <t>KRAV-AUTO-000597</t>
        </is>
      </c>
      <c r="B598" t="inlineStr">
        <is>
          <t>ADMIN-INDEX-2026-02-27-00000000125C043F57453246863FE664CAFE6A3F0700950291EA24F0614FB6ACEDB12BF0E31D00000000010C0000950291EA24F0614FB6ACEDB12BF0E31D00002087A5DC0000</t>
        </is>
      </c>
      <c r="C598" t="inlineStr">
        <is>
          <t>cmm4yuqos03sqcuqwgo95z89m</t>
        </is>
      </c>
      <c r="D598" t="inlineStr">
        <is>
          <t>http://localhost:8787/api/admin/requirements/documents/cmm4yuqos03sqcuqwgo95z89m/view</t>
        </is>
      </c>
      <c r="E598">
        <f>HYPERLÄNK("http://localhost:8787/api/admin/requirements/documents/cmm4yuqos03sqcuqwgo95z89m/view";"Öppna PDF")</f>
        <v/>
      </c>
      <c r="F598">
        <f>HYPERLINK("http://localhost:8787/api/admin/requirements/documents/cmm4yuqos03sqcuqwgo95z89m/view","Open PDF")</f>
        <v/>
      </c>
      <c r="G598" t="inlineStr">
        <is>
          <t>cmm55w57p0004cuisfrtpqly8</t>
        </is>
      </c>
      <c r="H598" t="inlineStr">
        <is>
          <t>Informationskrav</t>
        </is>
      </c>
      <c r="I598" t="inlineStr">
        <is>
          <t>LagringsvolymTid</t>
        </is>
      </c>
      <c r="J598" t="inlineStr">
        <is>
          <t>Maxmangd</t>
        </is>
      </c>
      <c r="K598" t="inlineStr">
        <is>
          <t>Avser anmälan en verksamhet med behandling av avfall ange typ och mängd som ska behandlas samt behandlingsmetoder.</t>
        </is>
      </c>
      <c r="L598" t="inlineStr">
        <is>
          <t>Avser anmälan en verksamhet med behandling av avfall ange typ och mängd som ska behandlas samt behandlingsmetoder.</t>
        </is>
      </c>
      <c r="M598" t="inlineStr">
        <is>
          <t>SKA</t>
        </is>
      </c>
      <c r="N598" t="inlineStr">
        <is>
          <t>FMH</t>
        </is>
      </c>
      <c r="O598" t="inlineStr"/>
      <c r="P598" t="inlineStr"/>
      <c r="Q598" t="inlineStr"/>
      <c r="R598" t="inlineStr">
        <is>
          <t>Alltid</t>
        </is>
      </c>
      <c r="S598" t="inlineStr"/>
      <c r="T598" t="inlineStr">
        <is>
          <t>742000</t>
        </is>
      </c>
      <c r="U598" t="inlineStr"/>
      <c r="V598" t="inlineStr"/>
      <c r="W598" t="inlineStr">
        <is>
          <t>Nej</t>
        </is>
      </c>
      <c r="X598" t="inlineStr">
        <is>
          <t>Nej</t>
        </is>
      </c>
      <c r="Y598" t="inlineStr">
        <is>
          <t>Nej</t>
        </is>
      </c>
      <c r="Z598" t="inlineStr">
        <is>
          <t>Nej</t>
        </is>
      </c>
      <c r="AA598" t="n">
        <v>4</v>
      </c>
      <c r="AB598" t="inlineStr">
        <is>
          <t>Avfallsmangder och lagringstid</t>
        </is>
      </c>
      <c r="AC598" t="inlineStr">
        <is>
          <t>Avfallsforteckning</t>
        </is>
      </c>
      <c r="AD598" t="inlineStr">
        <is>
          <t>Nej</t>
        </is>
      </c>
      <c r="AE598" t="inlineStr">
        <is>
          <t>Nej</t>
        </is>
      </c>
      <c r="AF598" t="inlineStr">
        <is>
          <t>Ej behandlad</t>
        </is>
      </c>
      <c r="AG598" t="inlineStr">
        <is>
          <t>AUTO_GENERERAD. Verifiera citat mot kallfil.</t>
        </is>
      </c>
      <c r="AH598" t="inlineStr">
        <is>
          <t>HIGH</t>
        </is>
      </c>
      <c r="AI598" t="inlineStr">
        <is>
          <t>AUTO</t>
        </is>
      </c>
      <c r="AJ598" t="inlineStr">
        <is>
          <t>Nej</t>
        </is>
      </c>
      <c r="AK598" t="inlineStr"/>
      <c r="AL598" t="inlineStr"/>
      <c r="AM598" t="inlineStr"/>
      <c r="AN598" t="inlineStr"/>
      <c r="AO598" t="inlineStr">
        <is>
          <t>cmm4yuqnj03rhcuqw5kt2masi</t>
        </is>
      </c>
      <c r="AP598" t="inlineStr">
        <is>
          <t>http://localhost:8787/api/admin/requirements/documents/cmm4yuqnj03rhcuqw5kt2masi/view</t>
        </is>
      </c>
      <c r="AQ598">
        <f>HYPERLÄNK("http://localhost:8787/api/admin/requirements/documents/cmm4yuqnj03rhcuqw5kt2masi/view";"Öppna PDF")</f>
        <v/>
      </c>
      <c r="AR598">
        <f>HYPERLINK("http://localhost:8787/api/admin/requirements/documents/cmm4yuqnj03rhcuqw5kt2masi/view","Open PDF")</f>
        <v/>
      </c>
      <c r="AS598" t="inlineStr">
        <is>
          <t>cmm55w57p0004cuisfrtpqly8</t>
        </is>
      </c>
      <c r="AT598" t="inlineStr">
        <is>
          <t>cmm4xvu980000cuh4vj0usz09</t>
        </is>
      </c>
      <c r="AU598" t="inlineStr">
        <is>
          <t>Hässleholms</t>
        </is>
      </c>
      <c r="AV598" t="inlineStr">
        <is>
          <t>Kommun</t>
        </is>
      </c>
      <c r="AW598" t="inlineStr">
        <is>
          <t>Hässleholms kommun</t>
        </is>
      </c>
      <c r="AX598" t="inlineStr">
        <is>
          <t>0451-26</t>
        </is>
      </c>
      <c r="AY598" t="inlineStr">
        <is>
          <t>Anmalan</t>
        </is>
      </c>
      <c r="AZ598" t="inlineStr">
        <is>
          <t>2026-02-05</t>
        </is>
      </c>
      <c r="BA598" t="inlineStr">
        <is>
          <t>M-2025-2674 - Avskrivning.pdf</t>
        </is>
      </c>
      <c r="BB598" t="inlineStr">
        <is>
          <t>Sv:  Begäran om utlämnande av allmän handling – Anmälningar och beslut rörande mellanlagring av avfall samt anläggning av ytor</t>
        </is>
      </c>
      <c r="BC598" t="inlineStr">
        <is>
          <t>AUTO</t>
        </is>
      </c>
      <c r="BD598" t="inlineStr"/>
      <c r="BE598" t="inlineStr"/>
      <c r="BF598" t="inlineStr">
        <is>
          <t>AUTO_GENERERAD. Bekrafta metadata mot kallfil.</t>
        </is>
      </c>
      <c r="BG598">
        <f>HYPERLINK("C:\Users\jimmy\Desktop\Examens arbete\Kod\Ny mapp\remix_-copy-of-miljöbeslut.se-portal\M-2025-2674 - Avskrivning.pdf", "Öppna PDF")</f>
        <v/>
      </c>
    </row>
    <row r="599">
      <c r="A599" t="inlineStr">
        <is>
          <t>KRAV-AUTO-000598</t>
        </is>
      </c>
      <c r="B599" t="inlineStr">
        <is>
          <t>ADMIN-INDEX-2026-02-27-00000000125C043F57453246863FE664CAFE6A3F0700950291EA24F0614FB6ACEDB12BF0E31D00000000010C0000950291EA24F0614FB6ACEDB12BF0E31D00002087A58C0000</t>
        </is>
      </c>
      <c r="C599" t="inlineStr">
        <is>
          <t>cmm4yura204c8cuqwdn0qjqn7</t>
        </is>
      </c>
      <c r="D599" t="inlineStr">
        <is>
          <t>http://localhost:8787/api/admin/requirements/documents/cmm4yura204c8cuqwdn0qjqn7/view</t>
        </is>
      </c>
      <c r="E599">
        <f>HYPERLÄNK("http://localhost:8787/api/admin/requirements/documents/cmm4yura204c8cuqwdn0qjqn7/view";"Öppna PDF")</f>
        <v/>
      </c>
      <c r="F599">
        <f>HYPERLINK("http://localhost:8787/api/admin/requirements/documents/cmm4yura204c8cuqwdn0qjqn7/view","Open PDF")</f>
        <v/>
      </c>
      <c r="G599" t="inlineStr">
        <is>
          <t>cmm55w57p0004cuisfrtpqly8</t>
        </is>
      </c>
      <c r="H599" t="inlineStr">
        <is>
          <t>Kompletteringskrav</t>
        </is>
      </c>
      <c r="I599" t="inlineStr">
        <is>
          <t>Riskhantering</t>
        </is>
      </c>
      <c r="J599" t="inlineStr">
        <is>
          <t>Riskkontroll</t>
        </is>
      </c>
      <c r="K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599" t="inlineStr">
        <is>
          <t>SKA</t>
        </is>
      </c>
      <c r="N599" t="inlineStr">
        <is>
          <t>Naturvardsverket</t>
        </is>
      </c>
      <c r="O599" t="inlineStr"/>
      <c r="P599" t="inlineStr"/>
      <c r="Q599" t="inlineStr"/>
      <c r="R599" t="inlineStr">
        <is>
          <t>Vid risk for incident</t>
        </is>
      </c>
      <c r="S599" t="inlineStr"/>
      <c r="T599" t="inlineStr">
        <is>
          <t>212000</t>
        </is>
      </c>
      <c r="U599" t="inlineStr"/>
      <c r="V599" t="inlineStr"/>
      <c r="W599" t="inlineStr">
        <is>
          <t>Nej</t>
        </is>
      </c>
      <c r="X599" t="inlineStr">
        <is>
          <t>Nej</t>
        </is>
      </c>
      <c r="Y599" t="inlineStr">
        <is>
          <t>Ja</t>
        </is>
      </c>
      <c r="Z599" t="inlineStr">
        <is>
          <t>Ja</t>
        </is>
      </c>
      <c r="AA599" t="n">
        <v>8</v>
      </c>
      <c r="AB599" t="inlineStr">
        <is>
          <t>Riskhantering</t>
        </is>
      </c>
      <c r="AC599" t="inlineStr">
        <is>
          <t>Risk-PM</t>
        </is>
      </c>
      <c r="AD599" t="inlineStr">
        <is>
          <t>Nej</t>
        </is>
      </c>
      <c r="AE599" t="inlineStr">
        <is>
          <t>Nej</t>
        </is>
      </c>
      <c r="AF599" t="inlineStr">
        <is>
          <t>Ej behandlad</t>
        </is>
      </c>
      <c r="AG599" t="inlineStr">
        <is>
          <t>AUTO_GENERERAD. Verifiera citat mot kallfil.</t>
        </is>
      </c>
      <c r="AH599" t="inlineStr">
        <is>
          <t>MEDIUM</t>
        </is>
      </c>
      <c r="AI599" t="inlineStr">
        <is>
          <t>AUTO</t>
        </is>
      </c>
      <c r="AJ599" t="inlineStr">
        <is>
          <t>Nej</t>
        </is>
      </c>
      <c r="AK599" t="inlineStr"/>
      <c r="AL599" t="inlineStr"/>
      <c r="AM599" t="inlineStr"/>
      <c r="AN599" t="inlineStr"/>
      <c r="AO599" t="inlineStr">
        <is>
          <t>cmm4yur9304b5cuqwauhbo864</t>
        </is>
      </c>
      <c r="AP599" t="inlineStr">
        <is>
          <t>http://localhost:8787/api/admin/requirements/documents/cmm4yur9304b5cuqwauhbo864/view</t>
        </is>
      </c>
      <c r="AQ599">
        <f>HYPERLÄNK("http://localhost:8787/api/admin/requirements/documents/cmm4yur9304b5cuqwauhbo864/view";"Öppna PDF")</f>
        <v/>
      </c>
      <c r="AR599">
        <f>HYPERLINK("http://localhost:8787/api/admin/requirements/documents/cmm4yur9304b5cuqwauhbo864/view","Open PDF")</f>
        <v/>
      </c>
      <c r="AS599" t="inlineStr">
        <is>
          <t>cmm55w57p0004cuisfrtpqly8</t>
        </is>
      </c>
      <c r="AT599" t="inlineStr">
        <is>
          <t>cmm4xvu980000cuh4vj0usz09</t>
        </is>
      </c>
      <c r="AU599" t="inlineStr"/>
      <c r="AV599" t="inlineStr">
        <is>
          <t>Kommun</t>
        </is>
      </c>
      <c r="AW599" t="inlineStr"/>
      <c r="AX599" t="inlineStr">
        <is>
          <t>2025-447</t>
        </is>
      </c>
      <c r="AY599" t="inlineStr">
        <is>
          <t>Forelaggande</t>
        </is>
      </c>
      <c r="AZ599" t="inlineStr">
        <is>
          <t>2026-02-10</t>
        </is>
      </c>
      <c r="BA599" t="inlineStr">
        <is>
          <t>m-2025-851_Föreläggande om försiktighetsmått.pdf</t>
        </is>
      </c>
      <c r="BB599" t="inlineStr">
        <is>
          <t>Sv: till registrator</t>
        </is>
      </c>
      <c r="BC599" t="inlineStr">
        <is>
          <t>AUTO</t>
        </is>
      </c>
      <c r="BD599" t="inlineStr"/>
      <c r="BE599" t="inlineStr"/>
      <c r="BF599" t="inlineStr">
        <is>
          <t>AUTO_GENERERAD. Bekrafta metadata mot kallfil.</t>
        </is>
      </c>
      <c r="BG599">
        <f>HYPERLINK("C:\Users\jimmy\Desktop\Examens arbete\Kod\Ny mapp\remix_-copy-of-miljöbeslut.se-portal\m-2025-851_Föreläggande om försiktighetsmått.pdf", "Öppna PDF")</f>
        <v/>
      </c>
    </row>
    <row r="600">
      <c r="A600" t="inlineStr">
        <is>
          <t>KRAV-AUTO-000599</t>
        </is>
      </c>
      <c r="B600" t="inlineStr">
        <is>
          <t>ADMIN-INDEX-2026-02-27-00000000125C043F57453246863FE664CAFE6A3F0700950291EA24F0614FB6ACEDB12BF0E31D00000000010C0000950291EA24F0614FB6ACEDB12BF0E31D00002087A58C0000</t>
        </is>
      </c>
      <c r="C600" t="inlineStr">
        <is>
          <t>cmm4yura204c8cuqwdn0qjqn7</t>
        </is>
      </c>
      <c r="D600" t="inlineStr">
        <is>
          <t>http://localhost:8787/api/admin/requirements/documents/cmm4yura204c8cuqwdn0qjqn7/view</t>
        </is>
      </c>
      <c r="E600">
        <f>HYPERLÄNK("http://localhost:8787/api/admin/requirements/documents/cmm4yura204c8cuqwdn0qjqn7/view";"Öppna PDF")</f>
        <v/>
      </c>
      <c r="F600">
        <f>HYPERLINK("http://localhost:8787/api/admin/requirements/documents/cmm4yura204c8cuqwdn0qjqn7/view","Open PDF")</f>
        <v/>
      </c>
      <c r="G600" t="inlineStr">
        <is>
          <t>cmm55w57p0004cuisfrtpqly8</t>
        </is>
      </c>
      <c r="H600" t="inlineStr">
        <is>
          <t>Kompletteringskrav</t>
        </is>
      </c>
      <c r="I600" t="inlineStr">
        <is>
          <t>MiljopaverkanForsiktighet</t>
        </is>
      </c>
      <c r="J600" t="inlineStr">
        <is>
          <t>Skyddsatgarder</t>
        </is>
      </c>
      <c r="K600" t="inlineStr">
        <is>
          <t>Avfallsmassorna som ska återanvändas bedöms vara av kvalitén att klara mindre känslig markanvändning och kan därför användas enligt anmälan.</t>
        </is>
      </c>
      <c r="L600" t="inlineStr">
        <is>
          <t>Avfallsmassorna som ska återanvändas bedöms vara av kvalitén att klara mindre känslig markanvändning och kan därför användas enligt anmälan.</t>
        </is>
      </c>
      <c r="M600" t="inlineStr">
        <is>
          <t>SKA</t>
        </is>
      </c>
      <c r="N600" t="inlineStr"/>
      <c r="O600" t="inlineStr"/>
      <c r="P600" t="inlineStr"/>
      <c r="Q600" t="inlineStr"/>
      <c r="R600" t="inlineStr">
        <is>
          <t>Alltid</t>
        </is>
      </c>
      <c r="S600" t="inlineStr"/>
      <c r="T600" t="inlineStr">
        <is>
          <t>212000</t>
        </is>
      </c>
      <c r="U600" t="inlineStr"/>
      <c r="V600" t="inlineStr"/>
      <c r="W600" t="inlineStr">
        <is>
          <t>Nej</t>
        </is>
      </c>
      <c r="X600" t="inlineStr">
        <is>
          <t>Nej</t>
        </is>
      </c>
      <c r="Y600" t="inlineStr">
        <is>
          <t>Nej</t>
        </is>
      </c>
      <c r="Z600" t="inlineStr">
        <is>
          <t>Nej</t>
        </is>
      </c>
      <c r="AA600" t="n">
        <v>10</v>
      </c>
      <c r="AB600" t="inlineStr">
        <is>
          <t>Miljopaverkan och forsiktighetsmatt</t>
        </is>
      </c>
      <c r="AC600" t="inlineStr">
        <is>
          <t>Miljo-PM</t>
        </is>
      </c>
      <c r="AD600" t="inlineStr">
        <is>
          <t>Nej</t>
        </is>
      </c>
      <c r="AE600" t="inlineStr">
        <is>
          <t>Nej</t>
        </is>
      </c>
      <c r="AF600" t="inlineStr">
        <is>
          <t>Ej behandlad</t>
        </is>
      </c>
      <c r="AG600" t="inlineStr">
        <is>
          <t>AUTO_GENERERAD. Verifiera citat mot kallfil.</t>
        </is>
      </c>
      <c r="AH600" t="inlineStr">
        <is>
          <t>MEDIUM</t>
        </is>
      </c>
      <c r="AI600" t="inlineStr">
        <is>
          <t>AUTO</t>
        </is>
      </c>
      <c r="AJ600" t="inlineStr">
        <is>
          <t>Nej</t>
        </is>
      </c>
      <c r="AK600" t="inlineStr"/>
      <c r="AL600" t="inlineStr"/>
      <c r="AM600" t="inlineStr"/>
      <c r="AN600" t="inlineStr"/>
      <c r="AO600" t="inlineStr">
        <is>
          <t>cmm4yur9304b5cuqwauhbo864</t>
        </is>
      </c>
      <c r="AP600" t="inlineStr">
        <is>
          <t>http://localhost:8787/api/admin/requirements/documents/cmm4yur9304b5cuqwauhbo864/view</t>
        </is>
      </c>
      <c r="AQ600">
        <f>HYPERLÄNK("http://localhost:8787/api/admin/requirements/documents/cmm4yur9304b5cuqwauhbo864/view";"Öppna PDF")</f>
        <v/>
      </c>
      <c r="AR600">
        <f>HYPERLINK("http://localhost:8787/api/admin/requirements/documents/cmm4yur9304b5cuqwauhbo864/view","Open PDF")</f>
        <v/>
      </c>
      <c r="AS600" t="inlineStr">
        <is>
          <t>cmm55w57p0004cuisfrtpqly8</t>
        </is>
      </c>
      <c r="AT600" t="inlineStr">
        <is>
          <t>cmm4xvu980000cuh4vj0usz09</t>
        </is>
      </c>
      <c r="AU600" t="inlineStr"/>
      <c r="AV600" t="inlineStr">
        <is>
          <t>Kommun</t>
        </is>
      </c>
      <c r="AW600" t="inlineStr"/>
      <c r="AX600" t="inlineStr">
        <is>
          <t>2025-447</t>
        </is>
      </c>
      <c r="AY600" t="inlineStr">
        <is>
          <t>Forelaggande</t>
        </is>
      </c>
      <c r="AZ600" t="inlineStr">
        <is>
          <t>2026-02-10</t>
        </is>
      </c>
      <c r="BA600" t="inlineStr">
        <is>
          <t>m-2025-851_Föreläggande om försiktighetsmått.pdf</t>
        </is>
      </c>
      <c r="BB600" t="inlineStr">
        <is>
          <t>Sv: till registrator</t>
        </is>
      </c>
      <c r="BC600" t="inlineStr">
        <is>
          <t>AUTO</t>
        </is>
      </c>
      <c r="BD600" t="inlineStr"/>
      <c r="BE600" t="inlineStr"/>
      <c r="BF600" t="inlineStr">
        <is>
          <t>AUTO_GENERERAD. Bekrafta metadata mot kallfil.</t>
        </is>
      </c>
      <c r="BG600">
        <f>HYPERLINK("C:\Users\jimmy\Desktop\Examens arbete\Kod\Ny mapp\remix_-copy-of-miljöbeslut.se-portal\m-2025-851_Föreläggande om försiktighetsmått.pdf", "Öppna PDF")</f>
        <v/>
      </c>
    </row>
    <row r="601">
      <c r="A601" t="inlineStr">
        <is>
          <t>KRAV-AUTO-000600</t>
        </is>
      </c>
      <c r="B601" t="inlineStr">
        <is>
          <t>ADMIN-INDEX-2026-02-27-00000000125C043F57453246863FE664CAFE6A3F0700950291EA24F0614FB6ACEDB12BF0E31D00000000010C0000950291EA24F0614FB6ACEDB12BF0E31D00002087A58C0000</t>
        </is>
      </c>
      <c r="C601" t="inlineStr">
        <is>
          <t>cmm4yura204c8cuqwdn0qjqn7</t>
        </is>
      </c>
      <c r="D601" t="inlineStr">
        <is>
          <t>http://localhost:8787/api/admin/requirements/documents/cmm4yura204c8cuqwdn0qjqn7/view</t>
        </is>
      </c>
      <c r="E601">
        <f>HYPERLÄNK("http://localhost:8787/api/admin/requirements/documents/cmm4yura204c8cuqwdn0qjqn7/view";"Öppna PDF")</f>
        <v/>
      </c>
      <c r="F601">
        <f>HYPERLINK("http://localhost:8787/api/admin/requirements/documents/cmm4yura204c8cuqwdn0qjqn7/view","Open PDF")</f>
        <v/>
      </c>
      <c r="G601" t="inlineStr">
        <is>
          <t>cmm55w57p0004cuisfrtpqly8</t>
        </is>
      </c>
      <c r="H601" t="inlineStr">
        <is>
          <t>Kompletteringskrav</t>
        </is>
      </c>
      <c r="I601" t="inlineStr">
        <is>
          <t>DriftEgenkontroll</t>
        </is>
      </c>
      <c r="J601" t="inlineStr">
        <is>
          <t>Journalforing</t>
        </is>
      </c>
      <c r="K601" t="inlineStr">
        <is>
          <t>Eftersom massorna var jungfruliga från början och endast legat under tät asfalt en relativt kort tidsperiod bedömer miljö- och byggförvaltningen att ingen provtagning är nödvändig.</t>
        </is>
      </c>
      <c r="L601" t="inlineStr">
        <is>
          <t>Eftersom massorna var jungfruliga från början och endast legat under tät asfalt en relativt kort tidsperiod bedömer miljö- och byggförvaltningen att ingen provtagning är nödvändig.</t>
        </is>
      </c>
      <c r="M601" t="inlineStr">
        <is>
          <t>BOR</t>
        </is>
      </c>
      <c r="N601" t="inlineStr"/>
      <c r="O601" t="inlineStr"/>
      <c r="P601" t="inlineStr"/>
      <c r="Q601" t="inlineStr"/>
      <c r="R601" t="inlineStr">
        <is>
          <t>Lopande drift</t>
        </is>
      </c>
      <c r="S601" t="inlineStr"/>
      <c r="T601" t="inlineStr">
        <is>
          <t>212000</t>
        </is>
      </c>
      <c r="U601" t="inlineStr"/>
      <c r="V601" t="inlineStr"/>
      <c r="W601" t="inlineStr">
        <is>
          <t>Nej</t>
        </is>
      </c>
      <c r="X601" t="inlineStr">
        <is>
          <t>Nej</t>
        </is>
      </c>
      <c r="Y601" t="inlineStr">
        <is>
          <t>Ja</t>
        </is>
      </c>
      <c r="Z601" t="inlineStr">
        <is>
          <t>Nej</t>
        </is>
      </c>
      <c r="AA601" t="n">
        <v>7</v>
      </c>
      <c r="AB601" t="inlineStr">
        <is>
          <t>Egenkontrollrutiner</t>
        </is>
      </c>
      <c r="AC601" t="inlineStr">
        <is>
          <t>Egenkontrollprogram</t>
        </is>
      </c>
      <c r="AD601" t="inlineStr">
        <is>
          <t>Nej</t>
        </is>
      </c>
      <c r="AE601" t="inlineStr">
        <is>
          <t>Nej</t>
        </is>
      </c>
      <c r="AF601" t="inlineStr">
        <is>
          <t>Ej behandlad</t>
        </is>
      </c>
      <c r="AG601" t="inlineStr">
        <is>
          <t>AUTO_GENERERAD. Verifiera citat mot kallfil.</t>
        </is>
      </c>
      <c r="AH601" t="inlineStr">
        <is>
          <t>MEDIUM</t>
        </is>
      </c>
      <c r="AI601" t="inlineStr">
        <is>
          <t>AUTO</t>
        </is>
      </c>
      <c r="AJ601" t="inlineStr">
        <is>
          <t>Nej</t>
        </is>
      </c>
      <c r="AK601" t="inlineStr"/>
      <c r="AL601" t="inlineStr"/>
      <c r="AM601" t="inlineStr"/>
      <c r="AN601" t="inlineStr"/>
      <c r="AO601" t="inlineStr">
        <is>
          <t>cmm4yur9304b5cuqwauhbo864</t>
        </is>
      </c>
      <c r="AP601" t="inlineStr">
        <is>
          <t>http://localhost:8787/api/admin/requirements/documents/cmm4yur9304b5cuqwauhbo864/view</t>
        </is>
      </c>
      <c r="AQ601">
        <f>HYPERLÄNK("http://localhost:8787/api/admin/requirements/documents/cmm4yur9304b5cuqwauhbo864/view";"Öppna PDF")</f>
        <v/>
      </c>
      <c r="AR601">
        <f>HYPERLINK("http://localhost:8787/api/admin/requirements/documents/cmm4yur9304b5cuqwauhbo864/view","Open PDF")</f>
        <v/>
      </c>
      <c r="AS601" t="inlineStr">
        <is>
          <t>cmm55w57p0004cuisfrtpqly8</t>
        </is>
      </c>
      <c r="AT601" t="inlineStr">
        <is>
          <t>cmm4xvu980000cuh4vj0usz09</t>
        </is>
      </c>
      <c r="AU601" t="inlineStr"/>
      <c r="AV601" t="inlineStr">
        <is>
          <t>Kommun</t>
        </is>
      </c>
      <c r="AW601" t="inlineStr"/>
      <c r="AX601" t="inlineStr">
        <is>
          <t>2025-447</t>
        </is>
      </c>
      <c r="AY601" t="inlineStr">
        <is>
          <t>Forelaggande</t>
        </is>
      </c>
      <c r="AZ601" t="inlineStr">
        <is>
          <t>2026-02-10</t>
        </is>
      </c>
      <c r="BA601" t="inlineStr">
        <is>
          <t>m-2025-851_Föreläggande om försiktighetsmått.pdf</t>
        </is>
      </c>
      <c r="BB601" t="inlineStr">
        <is>
          <t>Sv: till registrator</t>
        </is>
      </c>
      <c r="BC601" t="inlineStr">
        <is>
          <t>AUTO</t>
        </is>
      </c>
      <c r="BD601" t="inlineStr"/>
      <c r="BE601" t="inlineStr"/>
      <c r="BF601" t="inlineStr">
        <is>
          <t>AUTO_GENERERAD. Bekrafta metadata mot kallfil.</t>
        </is>
      </c>
      <c r="BG601">
        <f>HYPERLINK("C:\Users\jimmy\Desktop\Examens arbete\Kod\Ny mapp\remix_-copy-of-miljöbeslut.se-portal\m-2025-851_Föreläggande om försiktighetsmått.pdf", "Öppna PDF")</f>
        <v/>
      </c>
    </row>
    <row r="602">
      <c r="A602" t="inlineStr">
        <is>
          <t>KRAV-AUTO-000601</t>
        </is>
      </c>
      <c r="B602" t="inlineStr">
        <is>
          <t>ADMIN-INDEX-2026-02-27-00000000125C043F57453246863FE664CAFE6A3F0700950291EA24F0614FB6ACEDB12BF0E31D00000000010C0000950291EA24F0614FB6ACEDB12BF0E31D00002087A5DC0000</t>
        </is>
      </c>
      <c r="C602" t="inlineStr">
        <is>
          <t>cmm4yuqoh03secuqw8qyu3kcn</t>
        </is>
      </c>
      <c r="D602" t="inlineStr">
        <is>
          <t>http://localhost:8787/api/admin/requirements/documents/cmm4yuqoh03secuqw8qyu3kcn/view</t>
        </is>
      </c>
      <c r="E602">
        <f>HYPERLÄNK("http://localhost:8787/api/admin/requirements/documents/cmm4yuqoh03secuqw8qyu3kcn/view";"Öppna PDF")</f>
        <v/>
      </c>
      <c r="F602">
        <f>HYPERLINK("http://localhost:8787/api/admin/requirements/documents/cmm4yuqoh03secuqw8qyu3kcn/view","Open PDF")</f>
        <v/>
      </c>
      <c r="G602" t="inlineStr">
        <is>
          <t>cmm55w57p0004cuisfrtpqly8</t>
        </is>
      </c>
      <c r="H602" t="inlineStr">
        <is>
          <t>Informationskrav</t>
        </is>
      </c>
      <c r="I602" t="inlineStr">
        <is>
          <t>DagvattenLakvatten</t>
        </is>
      </c>
      <c r="J602" t="inlineStr">
        <is>
          <t>Uppsamling</t>
        </is>
      </c>
      <c r="K602" t="inlineStr">
        <is>
          <t>Byggavdelningen har den 14 augusti 2024 yttrat sig om att marklov inte behövs men att det måste säkerställas att dagvattenhanteringen hanteras inom fastigheten och inte belastar grannfastigheterna och vägar.</t>
        </is>
      </c>
      <c r="L602" t="inlineStr">
        <is>
          <t>Byggavdelningen har den 14 augusti 2024 yttrat sig om att marklov inte behövs men att det måste säkerställas att dagvattenhanteringen hanteras inom fastigheten och inte belastar grannfastigheterna och vägar.</t>
        </is>
      </c>
      <c r="M602" t="inlineStr">
        <is>
          <t>SKA</t>
        </is>
      </c>
      <c r="N602" t="inlineStr"/>
      <c r="O602" t="inlineStr"/>
      <c r="P602" t="inlineStr"/>
      <c r="Q602" t="inlineStr"/>
      <c r="R602" t="inlineStr">
        <is>
          <t>Vid nederbord och avrinning</t>
        </is>
      </c>
      <c r="S602" t="inlineStr"/>
      <c r="T602" t="inlineStr">
        <is>
          <t>26 70 00</t>
        </is>
      </c>
      <c r="U602" t="inlineStr"/>
      <c r="V602" t="inlineStr"/>
      <c r="W602" t="inlineStr">
        <is>
          <t>Nej</t>
        </is>
      </c>
      <c r="X602" t="inlineStr">
        <is>
          <t>Ja</t>
        </is>
      </c>
      <c r="Y602" t="inlineStr">
        <is>
          <t>Ja</t>
        </is>
      </c>
      <c r="Z602" t="inlineStr">
        <is>
          <t>Nej</t>
        </is>
      </c>
      <c r="AA602" t="n">
        <v>6</v>
      </c>
      <c r="AB602" t="inlineStr">
        <is>
          <t>Lakvattenhantering</t>
        </is>
      </c>
      <c r="AC602" t="inlineStr">
        <is>
          <t>Flodesschema dagvatten-lakvatten</t>
        </is>
      </c>
      <c r="AD602" t="inlineStr">
        <is>
          <t>Nej</t>
        </is>
      </c>
      <c r="AE602" t="inlineStr">
        <is>
          <t>Nej</t>
        </is>
      </c>
      <c r="AF602" t="inlineStr">
        <is>
          <t>Ej behandlad</t>
        </is>
      </c>
      <c r="AG602" t="inlineStr">
        <is>
          <t>AUTO_GENERERAD. Verifiera citat mot kallfil.</t>
        </is>
      </c>
      <c r="AH602" t="inlineStr">
        <is>
          <t>MEDIUM</t>
        </is>
      </c>
      <c r="AI602" t="inlineStr">
        <is>
          <t>AUTO</t>
        </is>
      </c>
      <c r="AJ602" t="inlineStr">
        <is>
          <t>Nej</t>
        </is>
      </c>
      <c r="AK602" t="inlineStr"/>
      <c r="AL602" t="inlineStr"/>
      <c r="AM602" t="inlineStr"/>
      <c r="AN602" t="inlineStr"/>
      <c r="AO602" t="inlineStr">
        <is>
          <t>cmm4yuqnj03rhcuqw5kt2masi</t>
        </is>
      </c>
      <c r="AP602" t="inlineStr">
        <is>
          <t>http://localhost:8787/api/admin/requirements/documents/cmm4yuqnj03rhcuqw5kt2masi/view</t>
        </is>
      </c>
      <c r="AQ602">
        <f>HYPERLÄNK("http://localhost:8787/api/admin/requirements/documents/cmm4yuqnj03rhcuqw5kt2masi/view";"Öppna PDF")</f>
        <v/>
      </c>
      <c r="AR602">
        <f>HYPERLINK("http://localhost:8787/api/admin/requirements/documents/cmm4yuqnj03rhcuqw5kt2masi/view","Open PDF")</f>
        <v/>
      </c>
      <c r="AS602" t="inlineStr">
        <is>
          <t>cmm55w57p0004cuisfrtpqly8</t>
        </is>
      </c>
      <c r="AT602" t="inlineStr">
        <is>
          <t>cmm4xvu980000cuh4vj0usz09</t>
        </is>
      </c>
      <c r="AU602" t="inlineStr">
        <is>
          <t>Hässleholms</t>
        </is>
      </c>
      <c r="AV602" t="inlineStr">
        <is>
          <t>Kommun</t>
        </is>
      </c>
      <c r="AW602" t="inlineStr">
        <is>
          <t>Hässleholms kommun</t>
        </is>
      </c>
      <c r="AX602" t="inlineStr">
        <is>
          <t>0451-26</t>
        </is>
      </c>
      <c r="AY602" t="inlineStr">
        <is>
          <t>Anmalan</t>
        </is>
      </c>
      <c r="AZ602" t="inlineStr">
        <is>
          <t>2026-02-05</t>
        </is>
      </c>
      <c r="BA602" t="inlineStr">
        <is>
          <t>M-2025-2674 - Avskrivning.pdf</t>
        </is>
      </c>
      <c r="BB602" t="inlineStr">
        <is>
          <t>Sv:  Begäran om utlämnande av allmän handling – Anmälningar och beslut rörande mellanlagring av avfall samt anläggning av ytor</t>
        </is>
      </c>
      <c r="BC602" t="inlineStr">
        <is>
          <t>AUTO</t>
        </is>
      </c>
      <c r="BD602" t="inlineStr"/>
      <c r="BE602" t="inlineStr"/>
      <c r="BF602" t="inlineStr">
        <is>
          <t>AUTO_GENERERAD. Bekrafta metadata mot kallfil.</t>
        </is>
      </c>
      <c r="BG602">
        <f>HYPERLINK("C:\Users\jimmy\Desktop\Examens arbete\Kod\Ny mapp\remix_-copy-of-miljöbeslut.se-portal\M-2025-2674 - Avskrivning.pdf", "Öppna PDF")</f>
        <v/>
      </c>
    </row>
    <row r="603">
      <c r="A603" t="inlineStr">
        <is>
          <t>KRAV-AUTO-000602</t>
        </is>
      </c>
      <c r="B603" t="inlineStr">
        <is>
          <t>ADMIN-INDEX-2026-02-27-00000000125C043F57453246863FE664CAFE6A3F0700950291EA24F0614FB6ACEDB12BF0E31D00000000010C0000950291EA24F0614FB6ACEDB12BF0E31D00002087A58C0000</t>
        </is>
      </c>
      <c r="C603" t="inlineStr">
        <is>
          <t>cmm4yur9u04bzcuqwsp95msw6</t>
        </is>
      </c>
      <c r="D603" t="inlineStr">
        <is>
          <t>http://localhost:8787/api/admin/requirements/documents/cmm4yur9u04bzcuqwsp95msw6/view</t>
        </is>
      </c>
      <c r="E603">
        <f>HYPERLÄNK("http://localhost:8787/api/admin/requirements/documents/cmm4yur9u04bzcuqwsp95msw6/view";"Öppna PDF")</f>
        <v/>
      </c>
      <c r="F603">
        <f>HYPERLINK("http://localhost:8787/api/admin/requirements/documents/cmm4yur9u04bzcuqwsp95msw6/view","Open PDF")</f>
        <v/>
      </c>
      <c r="G603" t="inlineStr">
        <is>
          <t>cmm55w57p0004cuisfrtpqly8</t>
        </is>
      </c>
      <c r="H603" t="inlineStr">
        <is>
          <t>Kompletteringskrav</t>
        </is>
      </c>
      <c r="I603" t="inlineStr">
        <is>
          <t>LagringsvolymTid</t>
        </is>
      </c>
      <c r="J603" t="inlineStr">
        <is>
          <t>Maxmangd</t>
        </is>
      </c>
      <c r="K603" t="inlineStr">
        <is>
          <t>Massorna ska sorteras på avsändaradressen i Hässleholms kommun och uppskattas till mängden 1000 ton.</t>
        </is>
      </c>
      <c r="L603" t="inlineStr">
        <is>
          <t>Massorna ska sorteras på avsändaradressen i Hässleholms kommun och uppskattas till mängden 1000 ton.</t>
        </is>
      </c>
      <c r="M603" t="inlineStr">
        <is>
          <t>SKA</t>
        </is>
      </c>
      <c r="N603" t="inlineStr"/>
      <c r="O603" t="inlineStr"/>
      <c r="P603" t="inlineStr"/>
      <c r="Q603" t="inlineStr"/>
      <c r="R603" t="inlineStr">
        <is>
          <t>Alltid</t>
        </is>
      </c>
      <c r="S603" t="inlineStr"/>
      <c r="T603" t="inlineStr">
        <is>
          <t>81 2025</t>
        </is>
      </c>
      <c r="U603" t="n">
        <v>1000</v>
      </c>
      <c r="V603" t="inlineStr"/>
      <c r="W603" t="inlineStr">
        <is>
          <t>Nej</t>
        </is>
      </c>
      <c r="X603" t="inlineStr">
        <is>
          <t>Nej</t>
        </is>
      </c>
      <c r="Y603" t="inlineStr">
        <is>
          <t>Nej</t>
        </is>
      </c>
      <c r="Z603" t="inlineStr">
        <is>
          <t>Nej</t>
        </is>
      </c>
      <c r="AA603" t="n">
        <v>4</v>
      </c>
      <c r="AB603" t="inlineStr">
        <is>
          <t>Avfallsmangder och lagringstid</t>
        </is>
      </c>
      <c r="AC603" t="inlineStr">
        <is>
          <t>Avfallsforteckning</t>
        </is>
      </c>
      <c r="AD603" t="inlineStr">
        <is>
          <t>Nej</t>
        </is>
      </c>
      <c r="AE603" t="inlineStr">
        <is>
          <t>Nej</t>
        </is>
      </c>
      <c r="AF603" t="inlineStr">
        <is>
          <t>Ej behandlad</t>
        </is>
      </c>
      <c r="AG603" t="inlineStr">
        <is>
          <t>AUTO_GENERERAD. Verifiera citat mot kallfil.</t>
        </is>
      </c>
      <c r="AH603" t="inlineStr">
        <is>
          <t>MEDIUM</t>
        </is>
      </c>
      <c r="AI603" t="inlineStr">
        <is>
          <t>AUTO</t>
        </is>
      </c>
      <c r="AJ603" t="inlineStr">
        <is>
          <t>Nej</t>
        </is>
      </c>
      <c r="AK603" t="inlineStr"/>
      <c r="AL603" t="inlineStr"/>
      <c r="AM603" t="inlineStr"/>
      <c r="AN603" t="inlineStr"/>
      <c r="AO603" t="inlineStr">
        <is>
          <t>cmm4yur9304b5cuqwauhbo864</t>
        </is>
      </c>
      <c r="AP603" t="inlineStr">
        <is>
          <t>http://localhost:8787/api/admin/requirements/documents/cmm4yur9304b5cuqwauhbo864/view</t>
        </is>
      </c>
      <c r="AQ603">
        <f>HYPERLÄNK("http://localhost:8787/api/admin/requirements/documents/cmm4yur9304b5cuqwauhbo864/view";"Öppna PDF")</f>
        <v/>
      </c>
      <c r="AR603">
        <f>HYPERLINK("http://localhost:8787/api/admin/requirements/documents/cmm4yur9304b5cuqwauhbo864/view","Open PDF")</f>
        <v/>
      </c>
      <c r="AS603" t="inlineStr">
        <is>
          <t>cmm55w57p0004cuisfrtpqly8</t>
        </is>
      </c>
      <c r="AT603" t="inlineStr">
        <is>
          <t>cmm4xvu980000cuh4vj0usz09</t>
        </is>
      </c>
      <c r="AU603" t="inlineStr"/>
      <c r="AV603" t="inlineStr">
        <is>
          <t>Kommun</t>
        </is>
      </c>
      <c r="AW603" t="inlineStr"/>
      <c r="AX603" t="inlineStr">
        <is>
          <t>2025-447</t>
        </is>
      </c>
      <c r="AY603" t="inlineStr">
        <is>
          <t>Forelaggande</t>
        </is>
      </c>
      <c r="AZ603" t="inlineStr">
        <is>
          <t>2026-02-10</t>
        </is>
      </c>
      <c r="BA603" t="inlineStr">
        <is>
          <t>m-2025-851_Föreläggande om försiktighetsmått.pdf</t>
        </is>
      </c>
      <c r="BB603" t="inlineStr">
        <is>
          <t>Sv: till registrator</t>
        </is>
      </c>
      <c r="BC603" t="inlineStr">
        <is>
          <t>AUTO</t>
        </is>
      </c>
      <c r="BD603" t="inlineStr"/>
      <c r="BE603" t="inlineStr"/>
      <c r="BF603" t="inlineStr">
        <is>
          <t>AUTO_GENERERAD. Bekrafta metadata mot kallfil.</t>
        </is>
      </c>
      <c r="BG603">
        <f>HYPERLINK("C:\Users\jimmy\Desktop\Examens arbete\Kod\Ny mapp\remix_-copy-of-miljöbeslut.se-portal\m-2025-851_Föreläggande om försiktighetsmått.pdf", "Öppna PDF")</f>
        <v/>
      </c>
    </row>
    <row r="604">
      <c r="A604" t="inlineStr">
        <is>
          <t>KRAV-AUTO-000603</t>
        </is>
      </c>
      <c r="B604" t="inlineStr">
        <is>
          <t>ADMIN-INDEX-2026-02-27-00000000125C043F57453246863FE664CAFE6A3F0700950291EA24F0614FB6ACEDB12BF0E31D00000000010C0000950291EA24F0614FB6ACEDB12BF0E31D00002087A58C0000</t>
        </is>
      </c>
      <c r="C604" t="inlineStr">
        <is>
          <t>cmm4yur9u04bzcuqwsp95msw6</t>
        </is>
      </c>
      <c r="D604" t="inlineStr">
        <is>
          <t>http://localhost:8787/api/admin/requirements/documents/cmm4yur9u04bzcuqwsp95msw6/view</t>
        </is>
      </c>
      <c r="E604">
        <f>HYPERLÄNK("http://localhost:8787/api/admin/requirements/documents/cmm4yur9u04bzcuqwsp95msw6/view";"Öppna PDF")</f>
        <v/>
      </c>
      <c r="F604">
        <f>HYPERLINK("http://localhost:8787/api/admin/requirements/documents/cmm4yur9u04bzcuqwsp95msw6/view","Open PDF")</f>
        <v/>
      </c>
      <c r="G604" t="inlineStr">
        <is>
          <t>cmm55w57p0004cuisfrtpqly8</t>
        </is>
      </c>
      <c r="H604" t="inlineStr">
        <is>
          <t>Kompletteringskrav</t>
        </is>
      </c>
      <c r="I604" t="inlineStr">
        <is>
          <t>DriftEgenkontroll</t>
        </is>
      </c>
      <c r="J604" t="inlineStr">
        <is>
          <t>Journalforing</t>
        </is>
      </c>
      <c r="K604" t="inlineStr">
        <is>
          <t>Provtagning av massorna visar att avfallsmassorna som ska återanvändas är av kvalitén att klara mindre känslig markanvändning.</t>
        </is>
      </c>
      <c r="L604" t="inlineStr">
        <is>
          <t>Provtagning av massorna visar att avfallsmassorna som ska återanvändas är av kvalitén att klara mindre känslig markanvändning.</t>
        </is>
      </c>
      <c r="M604" t="inlineStr">
        <is>
          <t>SKA</t>
        </is>
      </c>
      <c r="N604" t="inlineStr"/>
      <c r="O604" t="inlineStr"/>
      <c r="P604" t="inlineStr"/>
      <c r="Q604" t="inlineStr"/>
      <c r="R604" t="inlineStr">
        <is>
          <t>Lopande drift</t>
        </is>
      </c>
      <c r="S604" t="inlineStr"/>
      <c r="T604" t="inlineStr">
        <is>
          <t>81 2025</t>
        </is>
      </c>
      <c r="U604" t="inlineStr"/>
      <c r="V604" t="inlineStr"/>
      <c r="W604" t="inlineStr">
        <is>
          <t>Nej</t>
        </is>
      </c>
      <c r="X604" t="inlineStr">
        <is>
          <t>Nej</t>
        </is>
      </c>
      <c r="Y604" t="inlineStr">
        <is>
          <t>Ja</t>
        </is>
      </c>
      <c r="Z604" t="inlineStr">
        <is>
          <t>Nej</t>
        </is>
      </c>
      <c r="AA604" t="n">
        <v>7</v>
      </c>
      <c r="AB604" t="inlineStr">
        <is>
          <t>Egenkontrollrutiner</t>
        </is>
      </c>
      <c r="AC604" t="inlineStr">
        <is>
          <t>Egenkontrollprogram</t>
        </is>
      </c>
      <c r="AD604" t="inlineStr">
        <is>
          <t>Nej</t>
        </is>
      </c>
      <c r="AE604" t="inlineStr">
        <is>
          <t>Nej</t>
        </is>
      </c>
      <c r="AF604" t="inlineStr">
        <is>
          <t>Ej behandlad</t>
        </is>
      </c>
      <c r="AG604" t="inlineStr">
        <is>
          <t>AUTO_GENERERAD. Verifiera citat mot kallfil.</t>
        </is>
      </c>
      <c r="AH604" t="inlineStr">
        <is>
          <t>MEDIUM</t>
        </is>
      </c>
      <c r="AI604" t="inlineStr">
        <is>
          <t>AUTO</t>
        </is>
      </c>
      <c r="AJ604" t="inlineStr">
        <is>
          <t>Nej</t>
        </is>
      </c>
      <c r="AK604" t="inlineStr"/>
      <c r="AL604" t="inlineStr"/>
      <c r="AM604" t="inlineStr"/>
      <c r="AN604" t="inlineStr"/>
      <c r="AO604" t="inlineStr">
        <is>
          <t>cmm4yur9304b5cuqwauhbo864</t>
        </is>
      </c>
      <c r="AP604" t="inlineStr">
        <is>
          <t>http://localhost:8787/api/admin/requirements/documents/cmm4yur9304b5cuqwauhbo864/view</t>
        </is>
      </c>
      <c r="AQ604">
        <f>HYPERLÄNK("http://localhost:8787/api/admin/requirements/documents/cmm4yur9304b5cuqwauhbo864/view";"Öppna PDF")</f>
        <v/>
      </c>
      <c r="AR604">
        <f>HYPERLINK("http://localhost:8787/api/admin/requirements/documents/cmm4yur9304b5cuqwauhbo864/view","Open PDF")</f>
        <v/>
      </c>
      <c r="AS604" t="inlineStr">
        <is>
          <t>cmm55w57p0004cuisfrtpqly8</t>
        </is>
      </c>
      <c r="AT604" t="inlineStr">
        <is>
          <t>cmm4xvu980000cuh4vj0usz09</t>
        </is>
      </c>
      <c r="AU604" t="inlineStr"/>
      <c r="AV604" t="inlineStr">
        <is>
          <t>Kommun</t>
        </is>
      </c>
      <c r="AW604" t="inlineStr"/>
      <c r="AX604" t="inlineStr">
        <is>
          <t>2025-447</t>
        </is>
      </c>
      <c r="AY604" t="inlineStr">
        <is>
          <t>Forelaggande</t>
        </is>
      </c>
      <c r="AZ604" t="inlineStr">
        <is>
          <t>2026-02-10</t>
        </is>
      </c>
      <c r="BA604" t="inlineStr">
        <is>
          <t>m-2025-851_Föreläggande om försiktighetsmått.pdf</t>
        </is>
      </c>
      <c r="BB604" t="inlineStr">
        <is>
          <t>Sv: till registrator</t>
        </is>
      </c>
      <c r="BC604" t="inlineStr">
        <is>
          <t>AUTO</t>
        </is>
      </c>
      <c r="BD604" t="inlineStr"/>
      <c r="BE604" t="inlineStr"/>
      <c r="BF604" t="inlineStr">
        <is>
          <t>AUTO_GENERERAD. Bekrafta metadata mot kallfil.</t>
        </is>
      </c>
      <c r="BG604">
        <f>HYPERLINK("C:\Users\jimmy\Desktop\Examens arbete\Kod\Ny mapp\remix_-copy-of-miljöbeslut.se-portal\m-2025-851_Föreläggande om försiktighetsmått.pdf", "Öppna PDF")</f>
        <v/>
      </c>
    </row>
    <row r="605">
      <c r="A605" t="inlineStr">
        <is>
          <t>KRAV-AUTO-000604</t>
        </is>
      </c>
      <c r="B605" t="inlineStr">
        <is>
          <t>ADMIN-INDEX-2026-02-27-00000000125C043F57453246863FE664CAFE6A3F0700950291EA24F0614FB6ACEDB12BF0E31D00000000010C0000950291EA24F0614FB6ACEDB12BF0E31D00002087A58C0000</t>
        </is>
      </c>
      <c r="C605" t="inlineStr">
        <is>
          <t>cmm4yur9u04bzcuqwsp95msw6</t>
        </is>
      </c>
      <c r="D605" t="inlineStr">
        <is>
          <t>http://localhost:8787/api/admin/requirements/documents/cmm4yur9u04bzcuqwsp95msw6/view</t>
        </is>
      </c>
      <c r="E605">
        <f>HYPERLÄNK("http://localhost:8787/api/admin/requirements/documents/cmm4yur9u04bzcuqwsp95msw6/view";"Öppna PDF")</f>
        <v/>
      </c>
      <c r="F605">
        <f>HYPERLINK("http://localhost:8787/api/admin/requirements/documents/cmm4yur9u04bzcuqwsp95msw6/view","Open PDF")</f>
        <v/>
      </c>
      <c r="G605" t="inlineStr">
        <is>
          <t>cmm55w57p0004cuisfrtpqly8</t>
        </is>
      </c>
      <c r="H605" t="inlineStr">
        <is>
          <t>Kompletteringskrav</t>
        </is>
      </c>
      <c r="I605" t="inlineStr">
        <is>
          <t>Riskhantering</t>
        </is>
      </c>
      <c r="J605" t="inlineStr">
        <is>
          <t>Riskkontroll</t>
        </is>
      </c>
      <c r="K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5" t="inlineStr">
        <is>
          <t>SKA</t>
        </is>
      </c>
      <c r="N605" t="inlineStr">
        <is>
          <t>Naturvardsverket</t>
        </is>
      </c>
      <c r="O605" t="inlineStr"/>
      <c r="P605" t="inlineStr"/>
      <c r="Q605" t="inlineStr"/>
      <c r="R605" t="inlineStr">
        <is>
          <t>Vid risk for incident</t>
        </is>
      </c>
      <c r="S605" t="inlineStr"/>
      <c r="T605" t="inlineStr">
        <is>
          <t>81 2025</t>
        </is>
      </c>
      <c r="U605" t="inlineStr"/>
      <c r="V605" t="inlineStr"/>
      <c r="W605" t="inlineStr">
        <is>
          <t>Nej</t>
        </is>
      </c>
      <c r="X605" t="inlineStr">
        <is>
          <t>Nej</t>
        </is>
      </c>
      <c r="Y605" t="inlineStr">
        <is>
          <t>Ja</t>
        </is>
      </c>
      <c r="Z605" t="inlineStr">
        <is>
          <t>Ja</t>
        </is>
      </c>
      <c r="AA605" t="n">
        <v>8</v>
      </c>
      <c r="AB605" t="inlineStr">
        <is>
          <t>Riskhantering</t>
        </is>
      </c>
      <c r="AC605" t="inlineStr">
        <is>
          <t>Risk-PM</t>
        </is>
      </c>
      <c r="AD605" t="inlineStr">
        <is>
          <t>Nej</t>
        </is>
      </c>
      <c r="AE605" t="inlineStr">
        <is>
          <t>Nej</t>
        </is>
      </c>
      <c r="AF605" t="inlineStr">
        <is>
          <t>Ej behandlad</t>
        </is>
      </c>
      <c r="AG605" t="inlineStr">
        <is>
          <t>AUTO_GENERERAD. Verifiera citat mot kallfil.</t>
        </is>
      </c>
      <c r="AH605" t="inlineStr">
        <is>
          <t>MEDIUM</t>
        </is>
      </c>
      <c r="AI605" t="inlineStr">
        <is>
          <t>AUTO</t>
        </is>
      </c>
      <c r="AJ605" t="inlineStr">
        <is>
          <t>Nej</t>
        </is>
      </c>
      <c r="AK605" t="inlineStr"/>
      <c r="AL605" t="inlineStr"/>
      <c r="AM605" t="inlineStr"/>
      <c r="AN605" t="inlineStr"/>
      <c r="AO605" t="inlineStr">
        <is>
          <t>cmm4yur9304b5cuqwauhbo864</t>
        </is>
      </c>
      <c r="AP605" t="inlineStr">
        <is>
          <t>http://localhost:8787/api/admin/requirements/documents/cmm4yur9304b5cuqwauhbo864/view</t>
        </is>
      </c>
      <c r="AQ605">
        <f>HYPERLÄNK("http://localhost:8787/api/admin/requirements/documents/cmm4yur9304b5cuqwauhbo864/view";"Öppna PDF")</f>
        <v/>
      </c>
      <c r="AR605">
        <f>HYPERLINK("http://localhost:8787/api/admin/requirements/documents/cmm4yur9304b5cuqwauhbo864/view","Open PDF")</f>
        <v/>
      </c>
      <c r="AS605" t="inlineStr">
        <is>
          <t>cmm55w57p0004cuisfrtpqly8</t>
        </is>
      </c>
      <c r="AT605" t="inlineStr">
        <is>
          <t>cmm4xvu980000cuh4vj0usz09</t>
        </is>
      </c>
      <c r="AU605" t="inlineStr"/>
      <c r="AV605" t="inlineStr">
        <is>
          <t>Kommun</t>
        </is>
      </c>
      <c r="AW605" t="inlineStr"/>
      <c r="AX605" t="inlineStr">
        <is>
          <t>2025-447</t>
        </is>
      </c>
      <c r="AY605" t="inlineStr">
        <is>
          <t>Forelaggande</t>
        </is>
      </c>
      <c r="AZ605" t="inlineStr">
        <is>
          <t>2026-02-10</t>
        </is>
      </c>
      <c r="BA605" t="inlineStr">
        <is>
          <t>m-2025-851_Föreläggande om försiktighetsmått.pdf</t>
        </is>
      </c>
      <c r="BB605" t="inlineStr">
        <is>
          <t>Sv: till registrator</t>
        </is>
      </c>
      <c r="BC605" t="inlineStr">
        <is>
          <t>AUTO</t>
        </is>
      </c>
      <c r="BD605" t="inlineStr"/>
      <c r="BE605" t="inlineStr"/>
      <c r="BF605" t="inlineStr">
        <is>
          <t>AUTO_GENERERAD. Bekrafta metadata mot kallfil.</t>
        </is>
      </c>
      <c r="BG605">
        <f>HYPERLINK("C:\Users\jimmy\Desktop\Examens arbete\Kod\Ny mapp\remix_-copy-of-miljöbeslut.se-portal\m-2025-851_Föreläggande om försiktighetsmått.pdf", "Öppna PDF")</f>
        <v/>
      </c>
    </row>
    <row r="606">
      <c r="A606" t="inlineStr">
        <is>
          <t>KRAV-AUTO-000605</t>
        </is>
      </c>
      <c r="B606" t="inlineStr">
        <is>
          <t>ADMIN-INDEX-2026-02-27-00000000125C043F57453246863FE664CAFE6A3F0700950291EA24F0614FB6ACEDB12BF0E31D00000000010C0000950291EA24F0614FB6ACEDB12BF0E31D00002087A5CC0000</t>
        </is>
      </c>
      <c r="C606" t="inlineStr">
        <is>
          <t>cmm4yuqzy042bcuqwsp9kt30r</t>
        </is>
      </c>
      <c r="D606" t="inlineStr">
        <is>
          <t>http://localhost:8787/api/admin/requirements/documents/cmm4yuqzy042bcuqwsp9kt30r/view</t>
        </is>
      </c>
      <c r="E606">
        <f>HYPERLÄNK("http://localhost:8787/api/admin/requirements/documents/cmm4yuqzy042bcuqwsp9kt30r/view";"Öppna PDF")</f>
        <v/>
      </c>
      <c r="F606">
        <f>HYPERLINK("http://localhost:8787/api/admin/requirements/documents/cmm4yuqzy042bcuqwsp9kt30r/view","Open PDF")</f>
        <v/>
      </c>
      <c r="G606" t="inlineStr">
        <is>
          <t>cmm55w57p0004cuisfrtpqly8</t>
        </is>
      </c>
      <c r="H606" t="inlineStr">
        <is>
          <t>Beslutsvillkor</t>
        </is>
      </c>
      <c r="I606" t="inlineStr">
        <is>
          <t>DagvattenLakvatten</t>
        </is>
      </c>
      <c r="J606" t="inlineStr">
        <is>
          <t>Uppsamling</t>
        </is>
      </c>
      <c r="K606" t="inlineStr">
        <is>
          <t>Motivering: Farligt avfall ska förvaras så att spill eller läckage inte kan nå avlopp, dagvattennätet, omgivande mark eller vatten.</t>
        </is>
      </c>
      <c r="L606" t="inlineStr">
        <is>
          <t>Motivering: Farligt avfall ska förvaras så att spill eller läckage inte kan nå avlopp, dagvattennätet, omgivande mark eller vatten.</t>
        </is>
      </c>
      <c r="M606" t="inlineStr">
        <is>
          <t>SKA</t>
        </is>
      </c>
      <c r="N606" t="inlineStr"/>
      <c r="O606" t="inlineStr"/>
      <c r="P606" t="inlineStr">
        <is>
          <t>Arlig</t>
        </is>
      </c>
      <c r="Q606" t="inlineStr"/>
      <c r="R606" t="inlineStr">
        <is>
          <t>Vid nederbord och avrinning</t>
        </is>
      </c>
      <c r="S606" t="inlineStr"/>
      <c r="T606" t="inlineStr">
        <is>
          <t>212000</t>
        </is>
      </c>
      <c r="U606" t="inlineStr"/>
      <c r="V606" t="inlineStr"/>
      <c r="W606" t="inlineStr">
        <is>
          <t>Nej</t>
        </is>
      </c>
      <c r="X606" t="inlineStr">
        <is>
          <t>Ja</t>
        </is>
      </c>
      <c r="Y606" t="inlineStr">
        <is>
          <t>Ja</t>
        </is>
      </c>
      <c r="Z606" t="inlineStr">
        <is>
          <t>Nej</t>
        </is>
      </c>
      <c r="AA606" t="n">
        <v>6</v>
      </c>
      <c r="AB606" t="inlineStr">
        <is>
          <t>Lakvattenhantering</t>
        </is>
      </c>
      <c r="AC606" t="inlineStr">
        <is>
          <t>Flodesschema dagvatten-lakvatten</t>
        </is>
      </c>
      <c r="AD606" t="inlineStr">
        <is>
          <t>Nej</t>
        </is>
      </c>
      <c r="AE606" t="inlineStr">
        <is>
          <t>Nej</t>
        </is>
      </c>
      <c r="AF606" t="inlineStr">
        <is>
          <t>Ej behandlad</t>
        </is>
      </c>
      <c r="AG606" t="inlineStr">
        <is>
          <t>AUTO_GENERERAD. Verifiera citat mot kallfil.</t>
        </is>
      </c>
      <c r="AH606" t="inlineStr">
        <is>
          <t>MEDIUM</t>
        </is>
      </c>
      <c r="AI606" t="inlineStr">
        <is>
          <t>AUTO</t>
        </is>
      </c>
      <c r="AJ606" t="inlineStr">
        <is>
          <t>Nej</t>
        </is>
      </c>
      <c r="AK606" t="inlineStr"/>
      <c r="AL606" t="inlineStr"/>
      <c r="AM606" t="inlineStr"/>
      <c r="AN606" t="inlineStr"/>
      <c r="AO606" t="inlineStr">
        <is>
          <t>cmm4yuqzv0428cuqw5ms9lenv</t>
        </is>
      </c>
      <c r="AP606" t="inlineStr">
        <is>
          <t>http://localhost:8787/api/admin/requirements/documents/cmm4yuqzv0428cuqw5ms9lenv/view</t>
        </is>
      </c>
      <c r="AQ606">
        <f>HYPERLÄNK("http://localhost:8787/api/admin/requirements/documents/cmm4yuqzv0428cuqw5ms9lenv/view";"Öppna PDF")</f>
        <v/>
      </c>
      <c r="AR606">
        <f>HYPERLINK("http://localhost:8787/api/admin/requirements/documents/cmm4yuqzv0428cuqw5ms9lenv/view","Open PDF")</f>
        <v/>
      </c>
      <c r="AS606" t="inlineStr">
        <is>
          <t>cmm55w57p0004cuisfrtpqly8</t>
        </is>
      </c>
      <c r="AT606" t="inlineStr">
        <is>
          <t>cmm4xvu980000cuh4vj0usz09</t>
        </is>
      </c>
      <c r="AU606" t="inlineStr"/>
      <c r="AV606" t="inlineStr">
        <is>
          <t>Kommun</t>
        </is>
      </c>
      <c r="AW606" t="inlineStr"/>
      <c r="AX606" t="inlineStr">
        <is>
          <t>2023-12</t>
        </is>
      </c>
      <c r="AY606" t="inlineStr">
        <is>
          <t>Anmalan</t>
        </is>
      </c>
      <c r="AZ606" t="inlineStr">
        <is>
          <t>2026-02-05</t>
        </is>
      </c>
      <c r="BA606" t="inlineStr">
        <is>
          <t>Anmälan om miljöfarlig verksamhet - signed.pdf</t>
        </is>
      </c>
      <c r="BB606" t="inlineStr">
        <is>
          <t>Sv: till registrator</t>
        </is>
      </c>
      <c r="BC606" t="inlineStr">
        <is>
          <t>AUTO</t>
        </is>
      </c>
      <c r="BD606" t="inlineStr"/>
      <c r="BE606" t="inlineStr"/>
      <c r="BF606" t="inlineStr">
        <is>
          <t>AUTO_GENERERAD. Bekrafta metadata mot kallfil.</t>
        </is>
      </c>
      <c r="BG606">
        <f>HYPERLINK("C:\Users\jimmy\Desktop\Examens arbete\Kod\Ny mapp\remix_-copy-of-miljöbeslut.se-portal\Anmälan om miljöfarlig verksamhet - signed.pdf", "Öppna PDF")</f>
        <v/>
      </c>
    </row>
    <row r="607">
      <c r="A607" t="inlineStr">
        <is>
          <t>KRAV-AUTO-000606</t>
        </is>
      </c>
      <c r="B607" t="inlineStr">
        <is>
          <t>ADMIN-INDEX-2026-02-27-00000000125C043F57453246863FE664CAFE6A3F0700950291EA24F0614FB6ACEDB12BF0E31D00000000010C0000950291EA24F0614FB6ACEDB12BF0E31D00002087A5CC0000</t>
        </is>
      </c>
      <c r="C607" t="inlineStr">
        <is>
          <t>cmm4yuqzy042bcuqwsp9kt30r</t>
        </is>
      </c>
      <c r="D607" t="inlineStr">
        <is>
          <t>http://localhost:8787/api/admin/requirements/documents/cmm4yuqzy042bcuqwsp9kt30r/view</t>
        </is>
      </c>
      <c r="E607">
        <f>HYPERLÄNK("http://localhost:8787/api/admin/requirements/documents/cmm4yuqzy042bcuqwsp9kt30r/view";"Öppna PDF")</f>
        <v/>
      </c>
      <c r="F607">
        <f>HYPERLINK("http://localhost:8787/api/admin/requirements/documents/cmm4yuqzy042bcuqwsp9kt30r/view","Open PDF")</f>
        <v/>
      </c>
      <c r="G607" t="inlineStr">
        <is>
          <t>cmm55w57p0004cuisfrtpqly8</t>
        </is>
      </c>
      <c r="H607" t="inlineStr">
        <is>
          <t>Beslutsvillkor</t>
        </is>
      </c>
      <c r="I607" t="inlineStr">
        <is>
          <t>Ytkonstruktion</t>
        </is>
      </c>
      <c r="J607" t="inlineStr">
        <is>
          <t>Tat yta</t>
        </is>
      </c>
      <c r="K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607" t="inlineStr">
        <is>
          <t>SKA</t>
        </is>
      </c>
      <c r="N607" t="inlineStr"/>
      <c r="O607" t="inlineStr"/>
      <c r="P607" t="inlineStr"/>
      <c r="Q607" t="inlineStr"/>
      <c r="R607" t="inlineStr">
        <is>
          <t>Vid mellanlagring av avfall</t>
        </is>
      </c>
      <c r="S607" t="inlineStr"/>
      <c r="T607" t="inlineStr">
        <is>
          <t>212000</t>
        </is>
      </c>
      <c r="U607" t="inlineStr"/>
      <c r="V607" t="inlineStr"/>
      <c r="W607" t="inlineStr">
        <is>
          <t>Ja</t>
        </is>
      </c>
      <c r="X607" t="inlineStr">
        <is>
          <t>Nej</t>
        </is>
      </c>
      <c r="Y607" t="inlineStr">
        <is>
          <t>Nej</t>
        </is>
      </c>
      <c r="Z607" t="inlineStr">
        <is>
          <t>Nej</t>
        </is>
      </c>
      <c r="AA607" t="n">
        <v>5</v>
      </c>
      <c r="AB607" t="inlineStr">
        <is>
          <t>Teknisk beskrivning av platta</t>
        </is>
      </c>
      <c r="AC607" t="inlineStr">
        <is>
          <t>Teknisk ritning platta</t>
        </is>
      </c>
      <c r="AD607" t="inlineStr">
        <is>
          <t>Nej</t>
        </is>
      </c>
      <c r="AE607" t="inlineStr">
        <is>
          <t>Nej</t>
        </is>
      </c>
      <c r="AF607" t="inlineStr">
        <is>
          <t>Ej behandlad</t>
        </is>
      </c>
      <c r="AG607" t="inlineStr">
        <is>
          <t>AUTO_GENERERAD. Verifiera citat mot kallfil.</t>
        </is>
      </c>
      <c r="AH607" t="inlineStr">
        <is>
          <t>MEDIUM</t>
        </is>
      </c>
      <c r="AI607" t="inlineStr">
        <is>
          <t>AUTO</t>
        </is>
      </c>
      <c r="AJ607" t="inlineStr">
        <is>
          <t>Nej</t>
        </is>
      </c>
      <c r="AK607" t="inlineStr"/>
      <c r="AL607" t="inlineStr"/>
      <c r="AM607" t="inlineStr"/>
      <c r="AN607" t="inlineStr"/>
      <c r="AO607" t="inlineStr">
        <is>
          <t>cmm4yuqzv0428cuqw5ms9lenv</t>
        </is>
      </c>
      <c r="AP607" t="inlineStr">
        <is>
          <t>http://localhost:8787/api/admin/requirements/documents/cmm4yuqzv0428cuqw5ms9lenv/view</t>
        </is>
      </c>
      <c r="AQ607">
        <f>HYPERLÄNK("http://localhost:8787/api/admin/requirements/documents/cmm4yuqzv0428cuqw5ms9lenv/view";"Öppna PDF")</f>
        <v/>
      </c>
      <c r="AR607">
        <f>HYPERLINK("http://localhost:8787/api/admin/requirements/documents/cmm4yuqzv0428cuqw5ms9lenv/view","Open PDF")</f>
        <v/>
      </c>
      <c r="AS607" t="inlineStr">
        <is>
          <t>cmm55w57p0004cuisfrtpqly8</t>
        </is>
      </c>
      <c r="AT607" t="inlineStr">
        <is>
          <t>cmm4xvu980000cuh4vj0usz09</t>
        </is>
      </c>
      <c r="AU607" t="inlineStr"/>
      <c r="AV607" t="inlineStr">
        <is>
          <t>Kommun</t>
        </is>
      </c>
      <c r="AW607" t="inlineStr"/>
      <c r="AX607" t="inlineStr">
        <is>
          <t>2023-12</t>
        </is>
      </c>
      <c r="AY607" t="inlineStr">
        <is>
          <t>Anmalan</t>
        </is>
      </c>
      <c r="AZ607" t="inlineStr">
        <is>
          <t>2026-02-05</t>
        </is>
      </c>
      <c r="BA607" t="inlineStr">
        <is>
          <t>Anmälan om miljöfarlig verksamhet - signed.pdf</t>
        </is>
      </c>
      <c r="BB607" t="inlineStr">
        <is>
          <t>Sv: till registrator</t>
        </is>
      </c>
      <c r="BC607" t="inlineStr">
        <is>
          <t>AUTO</t>
        </is>
      </c>
      <c r="BD607" t="inlineStr"/>
      <c r="BE607" t="inlineStr"/>
      <c r="BF607" t="inlineStr">
        <is>
          <t>AUTO_GENERERAD. Bekrafta metadata mot kallfil.</t>
        </is>
      </c>
      <c r="BG607">
        <f>HYPERLINK("C:\Users\jimmy\Desktop\Examens arbete\Kod\Ny mapp\remix_-copy-of-miljöbeslut.se-portal\Anmälan om miljöfarlig verksamhet - signed.pdf", "Öppna PDF")</f>
        <v/>
      </c>
    </row>
    <row r="608">
      <c r="A608" t="inlineStr">
        <is>
          <t>KRAV-AUTO-000607</t>
        </is>
      </c>
      <c r="B608" t="inlineStr">
        <is>
          <t>ADMIN-INDEX-2026-02-27-00000000125C043F57453246863FE664CAFE6A3F0700950291EA24F0614FB6ACEDB12BF0E31D00000000010C0000950291EA24F0614FB6ACEDB12BF0E31D00002087A5CC0000</t>
        </is>
      </c>
      <c r="C608" t="inlineStr">
        <is>
          <t>cmm4yuqzy042bcuqwsp9kt30r</t>
        </is>
      </c>
      <c r="D608" t="inlineStr">
        <is>
          <t>http://localhost:8787/api/admin/requirements/documents/cmm4yuqzy042bcuqwsp9kt30r/view</t>
        </is>
      </c>
      <c r="E608">
        <f>HYPERLÄNK("http://localhost:8787/api/admin/requirements/documents/cmm4yuqzy042bcuqwsp9kt30r/view";"Öppna PDF")</f>
        <v/>
      </c>
      <c r="F608">
        <f>HYPERLINK("http://localhost:8787/api/admin/requirements/documents/cmm4yuqzy042bcuqwsp9kt30r/view","Open PDF")</f>
        <v/>
      </c>
      <c r="G608" t="inlineStr">
        <is>
          <t>cmm55w57p0004cuisfrtpqly8</t>
        </is>
      </c>
      <c r="H608" t="inlineStr">
        <is>
          <t>Beslutsvillkor</t>
        </is>
      </c>
      <c r="I608" t="inlineStr">
        <is>
          <t>Riskhantering</t>
        </is>
      </c>
      <c r="J608" t="inlineStr">
        <is>
          <t>Riskkontroll</t>
        </is>
      </c>
      <c r="K608" t="inlineStr">
        <is>
          <t>Dessa var varken placerade utan risk för spridning, nederbördsskyddat eller i uppmärkta behållare med information om att de innehöll farligt avfall.</t>
        </is>
      </c>
      <c r="L608" t="inlineStr">
        <is>
          <t>Dessa var varken placerade utan risk för spridning, nederbördsskyddat eller i uppmärkta behållare med information om att de innehöll farligt avfall.</t>
        </is>
      </c>
      <c r="M608" t="inlineStr">
        <is>
          <t>BOR</t>
        </is>
      </c>
      <c r="N608" t="inlineStr"/>
      <c r="O608" t="inlineStr"/>
      <c r="P608" t="inlineStr">
        <is>
          <t>Arlig</t>
        </is>
      </c>
      <c r="Q608" t="inlineStr"/>
      <c r="R608" t="inlineStr">
        <is>
          <t>Vid risk for incident</t>
        </is>
      </c>
      <c r="S608" t="inlineStr"/>
      <c r="T608" t="inlineStr">
        <is>
          <t>212000</t>
        </is>
      </c>
      <c r="U608" t="inlineStr"/>
      <c r="V608" t="inlineStr"/>
      <c r="W608" t="inlineStr">
        <is>
          <t>Nej</t>
        </is>
      </c>
      <c r="X608" t="inlineStr">
        <is>
          <t>Nej</t>
        </is>
      </c>
      <c r="Y608" t="inlineStr">
        <is>
          <t>Ja</t>
        </is>
      </c>
      <c r="Z608" t="inlineStr">
        <is>
          <t>Ja</t>
        </is>
      </c>
      <c r="AA608" t="n">
        <v>8</v>
      </c>
      <c r="AB608" t="inlineStr">
        <is>
          <t>Riskhantering</t>
        </is>
      </c>
      <c r="AC608" t="inlineStr">
        <is>
          <t>Risk-PM</t>
        </is>
      </c>
      <c r="AD608" t="inlineStr">
        <is>
          <t>Nej</t>
        </is>
      </c>
      <c r="AE608" t="inlineStr">
        <is>
          <t>Nej</t>
        </is>
      </c>
      <c r="AF608" t="inlineStr">
        <is>
          <t>Ej behandlad</t>
        </is>
      </c>
      <c r="AG608" t="inlineStr">
        <is>
          <t>AUTO_GENERERAD. Verifiera citat mot kallfil.</t>
        </is>
      </c>
      <c r="AH608" t="inlineStr">
        <is>
          <t>MEDIUM</t>
        </is>
      </c>
      <c r="AI608" t="inlineStr">
        <is>
          <t>AUTO</t>
        </is>
      </c>
      <c r="AJ608" t="inlineStr">
        <is>
          <t>Nej</t>
        </is>
      </c>
      <c r="AK608" t="inlineStr"/>
      <c r="AL608" t="inlineStr"/>
      <c r="AM608" t="inlineStr"/>
      <c r="AN608" t="inlineStr"/>
      <c r="AO608" t="inlineStr">
        <is>
          <t>cmm4yuqzv0428cuqw5ms9lenv</t>
        </is>
      </c>
      <c r="AP608" t="inlineStr">
        <is>
          <t>http://localhost:8787/api/admin/requirements/documents/cmm4yuqzv0428cuqw5ms9lenv/view</t>
        </is>
      </c>
      <c r="AQ608">
        <f>HYPERLÄNK("http://localhost:8787/api/admin/requirements/documents/cmm4yuqzv0428cuqw5ms9lenv/view";"Öppna PDF")</f>
        <v/>
      </c>
      <c r="AR608">
        <f>HYPERLINK("http://localhost:8787/api/admin/requirements/documents/cmm4yuqzv0428cuqw5ms9lenv/view","Open PDF")</f>
        <v/>
      </c>
      <c r="AS608" t="inlineStr">
        <is>
          <t>cmm55w57p0004cuisfrtpqly8</t>
        </is>
      </c>
      <c r="AT608" t="inlineStr">
        <is>
          <t>cmm4xvu980000cuh4vj0usz09</t>
        </is>
      </c>
      <c r="AU608" t="inlineStr"/>
      <c r="AV608" t="inlineStr">
        <is>
          <t>Kommun</t>
        </is>
      </c>
      <c r="AW608" t="inlineStr"/>
      <c r="AX608" t="inlineStr">
        <is>
          <t>2023-12</t>
        </is>
      </c>
      <c r="AY608" t="inlineStr">
        <is>
          <t>Anmalan</t>
        </is>
      </c>
      <c r="AZ608" t="inlineStr">
        <is>
          <t>2026-02-05</t>
        </is>
      </c>
      <c r="BA608" t="inlineStr">
        <is>
          <t>Anmälan om miljöfarlig verksamhet - signed.pdf</t>
        </is>
      </c>
      <c r="BB608" t="inlineStr">
        <is>
          <t>Sv: till registrator</t>
        </is>
      </c>
      <c r="BC608" t="inlineStr">
        <is>
          <t>AUTO</t>
        </is>
      </c>
      <c r="BD608" t="inlineStr"/>
      <c r="BE608" t="inlineStr"/>
      <c r="BF608" t="inlineStr">
        <is>
          <t>AUTO_GENERERAD. Bekrafta metadata mot kallfil.</t>
        </is>
      </c>
      <c r="BG608">
        <f>HYPERLINK("C:\Users\jimmy\Desktop\Examens arbete\Kod\Ny mapp\remix_-copy-of-miljöbeslut.se-portal\Anmälan om miljöfarlig verksamhet - signed.pdf", "Öppna PDF")</f>
        <v/>
      </c>
    </row>
    <row r="609">
      <c r="A609" t="inlineStr">
        <is>
          <t>KRAV-AUTO-000608</t>
        </is>
      </c>
      <c r="B609" t="inlineStr">
        <is>
          <t>ADMIN-INDEX-2026-02-27-00000000125C043F57453246863FE664CAFE6A3F0700950291EA24F0614FB6ACEDB12BF0E31D00000000010C0000950291EA24F0614FB6ACEDB12BF0E31D00002087A58C0000</t>
        </is>
      </c>
      <c r="C609" t="inlineStr">
        <is>
          <t>cmm4yur9h04bkcuqwju4xj4fg</t>
        </is>
      </c>
      <c r="D609" t="inlineStr">
        <is>
          <t>http://localhost:8787/api/admin/requirements/documents/cmm4yur9h04bkcuqwju4xj4fg/view</t>
        </is>
      </c>
      <c r="E609">
        <f>HYPERLÄNK("http://localhost:8787/api/admin/requirements/documents/cmm4yur9h04bkcuqwju4xj4fg/view";"Öppna PDF")</f>
        <v/>
      </c>
      <c r="F609">
        <f>HYPERLINK("http://localhost:8787/api/admin/requirements/documents/cmm4yur9h04bkcuqwju4xj4fg/view","Open PDF")</f>
        <v/>
      </c>
      <c r="G609" t="inlineStr">
        <is>
          <t>cmm55w57p0004cuisfrtpqly8</t>
        </is>
      </c>
      <c r="H609" t="inlineStr">
        <is>
          <t>Kompletteringskrav</t>
        </is>
      </c>
      <c r="I609" t="inlineStr">
        <is>
          <t>Riskhantering</t>
        </is>
      </c>
      <c r="J609" t="inlineStr">
        <is>
          <t>Riskkontroll</t>
        </is>
      </c>
      <c r="K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9" t="inlineStr">
        <is>
          <t>SKA</t>
        </is>
      </c>
      <c r="N609" t="inlineStr">
        <is>
          <t>Naturvardsverket</t>
        </is>
      </c>
      <c r="O609" t="inlineStr"/>
      <c r="P609" t="inlineStr"/>
      <c r="Q609" t="inlineStr"/>
      <c r="R609" t="inlineStr">
        <is>
          <t>Vid risk for incident</t>
        </is>
      </c>
      <c r="S609" t="inlineStr"/>
      <c r="T609" t="inlineStr">
        <is>
          <t>212000</t>
        </is>
      </c>
      <c r="U609" t="inlineStr"/>
      <c r="V609" t="inlineStr"/>
      <c r="W609" t="inlineStr">
        <is>
          <t>Nej</t>
        </is>
      </c>
      <c r="X609" t="inlineStr">
        <is>
          <t>Nej</t>
        </is>
      </c>
      <c r="Y609" t="inlineStr">
        <is>
          <t>Ja</t>
        </is>
      </c>
      <c r="Z609" t="inlineStr">
        <is>
          <t>Ja</t>
        </is>
      </c>
      <c r="AA609" t="n">
        <v>8</v>
      </c>
      <c r="AB609" t="inlineStr">
        <is>
          <t>Riskhantering</t>
        </is>
      </c>
      <c r="AC609" t="inlineStr">
        <is>
          <t>Risk-PM</t>
        </is>
      </c>
      <c r="AD609" t="inlineStr">
        <is>
          <t>Nej</t>
        </is>
      </c>
      <c r="AE609" t="inlineStr">
        <is>
          <t>Nej</t>
        </is>
      </c>
      <c r="AF609" t="inlineStr">
        <is>
          <t>Ej behandlad</t>
        </is>
      </c>
      <c r="AG609" t="inlineStr">
        <is>
          <t>AUTO_GENERERAD. Verifiera citat mot kallfil.</t>
        </is>
      </c>
      <c r="AH609" t="inlineStr">
        <is>
          <t>MEDIUM</t>
        </is>
      </c>
      <c r="AI609" t="inlineStr">
        <is>
          <t>AUTO</t>
        </is>
      </c>
      <c r="AJ609" t="inlineStr">
        <is>
          <t>Nej</t>
        </is>
      </c>
      <c r="AK609" t="inlineStr"/>
      <c r="AL609" t="inlineStr"/>
      <c r="AM609" t="inlineStr"/>
      <c r="AN609" t="inlineStr"/>
      <c r="AO609" t="inlineStr">
        <is>
          <t>cmm4yur9304b5cuqwauhbo864</t>
        </is>
      </c>
      <c r="AP609" t="inlineStr">
        <is>
          <t>http://localhost:8787/api/admin/requirements/documents/cmm4yur9304b5cuqwauhbo864/view</t>
        </is>
      </c>
      <c r="AQ609">
        <f>HYPERLÄNK("http://localhost:8787/api/admin/requirements/documents/cmm4yur9304b5cuqwauhbo864/view";"Öppna PDF")</f>
        <v/>
      </c>
      <c r="AR609">
        <f>HYPERLINK("http://localhost:8787/api/admin/requirements/documents/cmm4yur9304b5cuqwauhbo864/view","Open PDF")</f>
        <v/>
      </c>
      <c r="AS609" t="inlineStr">
        <is>
          <t>cmm55w57p0004cuisfrtpqly8</t>
        </is>
      </c>
      <c r="AT609" t="inlineStr">
        <is>
          <t>cmm4xvu980000cuh4vj0usz09</t>
        </is>
      </c>
      <c r="AU609" t="inlineStr"/>
      <c r="AV609" t="inlineStr">
        <is>
          <t>Kommun</t>
        </is>
      </c>
      <c r="AW609" t="inlineStr"/>
      <c r="AX609" t="inlineStr">
        <is>
          <t>2025-447</t>
        </is>
      </c>
      <c r="AY609" t="inlineStr">
        <is>
          <t>Forelaggande</t>
        </is>
      </c>
      <c r="AZ609" t="inlineStr">
        <is>
          <t>2026-02-10</t>
        </is>
      </c>
      <c r="BA609" t="inlineStr">
        <is>
          <t>m-2025-851_Föreläggande om försiktighetsmått.pdf</t>
        </is>
      </c>
      <c r="BB609" t="inlineStr">
        <is>
          <t>Sv: till registrator</t>
        </is>
      </c>
      <c r="BC609" t="inlineStr">
        <is>
          <t>AUTO</t>
        </is>
      </c>
      <c r="BD609" t="inlineStr"/>
      <c r="BE609" t="inlineStr"/>
      <c r="BF609" t="inlineStr">
        <is>
          <t>AUTO_GENERERAD. Bekrafta metadata mot kallfil.</t>
        </is>
      </c>
      <c r="BG609">
        <f>HYPERLINK("C:\Users\jimmy\Desktop\Examens arbete\Kod\Ny mapp\remix_-copy-of-miljöbeslut.se-portal\m-2025-851_Föreläggande om försiktighetsmått.pdf", "Öppna PDF")</f>
        <v/>
      </c>
    </row>
    <row r="610">
      <c r="A610" t="inlineStr">
        <is>
          <t>KRAV-AUTO-000609</t>
        </is>
      </c>
      <c r="B610" t="inlineStr">
        <is>
          <t>ADMIN-INDEX-2026-02-27-00000000125C043F57453246863FE664CAFE6A3F0700950291EA24F0614FB6ACEDB12BF0E31D00000000010C0000950291EA24F0614FB6ACEDB12BF0E31D00002087A58C0000</t>
        </is>
      </c>
      <c r="C610" t="inlineStr">
        <is>
          <t>cmm4yur9h04bkcuqwju4xj4fg</t>
        </is>
      </c>
      <c r="D610" t="inlineStr">
        <is>
          <t>http://localhost:8787/api/admin/requirements/documents/cmm4yur9h04bkcuqwju4xj4fg/view</t>
        </is>
      </c>
      <c r="E610">
        <f>HYPERLÄNK("http://localhost:8787/api/admin/requirements/documents/cmm4yur9h04bkcuqwju4xj4fg/view";"Öppna PDF")</f>
        <v/>
      </c>
      <c r="F610">
        <f>HYPERLINK("http://localhost:8787/api/admin/requirements/documents/cmm4yur9h04bkcuqwju4xj4fg/view","Open PDF")</f>
        <v/>
      </c>
      <c r="G610" t="inlineStr">
        <is>
          <t>cmm55w57p0004cuisfrtpqly8</t>
        </is>
      </c>
      <c r="H610" t="inlineStr">
        <is>
          <t>Kompletteringskrav</t>
        </is>
      </c>
      <c r="I610" t="inlineStr">
        <is>
          <t>MiljopaverkanForsiktighet</t>
        </is>
      </c>
      <c r="J610" t="inlineStr">
        <is>
          <t>Skyddsatgarder</t>
        </is>
      </c>
      <c r="K610" t="inlineStr">
        <is>
          <t>Avfallsmassorna som ska återanvändas bedöms vara av kvalitén att klara mindre känslig markanvändning och kan därför användas enligt ansökan.</t>
        </is>
      </c>
      <c r="L610" t="inlineStr">
        <is>
          <t>Avfallsmassorna som ska återanvändas bedöms vara av kvalitén att klara mindre känslig markanvändning och kan därför användas enligt ansökan.</t>
        </is>
      </c>
      <c r="M610" t="inlineStr">
        <is>
          <t>SKA</t>
        </is>
      </c>
      <c r="N610" t="inlineStr"/>
      <c r="O610" t="inlineStr"/>
      <c r="P610" t="inlineStr"/>
      <c r="Q610" t="inlineStr"/>
      <c r="R610" t="inlineStr">
        <is>
          <t>Alltid</t>
        </is>
      </c>
      <c r="S610" t="inlineStr"/>
      <c r="T610" t="inlineStr">
        <is>
          <t>212000</t>
        </is>
      </c>
      <c r="U610" t="inlineStr"/>
      <c r="V610" t="inlineStr"/>
      <c r="W610" t="inlineStr">
        <is>
          <t>Nej</t>
        </is>
      </c>
      <c r="X610" t="inlineStr">
        <is>
          <t>Nej</t>
        </is>
      </c>
      <c r="Y610" t="inlineStr">
        <is>
          <t>Nej</t>
        </is>
      </c>
      <c r="Z610" t="inlineStr">
        <is>
          <t>Nej</t>
        </is>
      </c>
      <c r="AA610" t="n">
        <v>10</v>
      </c>
      <c r="AB610" t="inlineStr">
        <is>
          <t>Miljopaverkan och forsiktighetsmatt</t>
        </is>
      </c>
      <c r="AC610" t="inlineStr">
        <is>
          <t>Miljo-PM</t>
        </is>
      </c>
      <c r="AD610" t="inlineStr">
        <is>
          <t>Nej</t>
        </is>
      </c>
      <c r="AE610" t="inlineStr">
        <is>
          <t>Nej</t>
        </is>
      </c>
      <c r="AF610" t="inlineStr">
        <is>
          <t>Ej behandlad</t>
        </is>
      </c>
      <c r="AG610" t="inlineStr">
        <is>
          <t>AUTO_GENERERAD. Verifiera citat mot kallfil.</t>
        </is>
      </c>
      <c r="AH610" t="inlineStr">
        <is>
          <t>MEDIUM</t>
        </is>
      </c>
      <c r="AI610" t="inlineStr">
        <is>
          <t>AUTO</t>
        </is>
      </c>
      <c r="AJ610" t="inlineStr">
        <is>
          <t>Nej</t>
        </is>
      </c>
      <c r="AK610" t="inlineStr"/>
      <c r="AL610" t="inlineStr"/>
      <c r="AM610" t="inlineStr"/>
      <c r="AN610" t="inlineStr"/>
      <c r="AO610" t="inlineStr">
        <is>
          <t>cmm4yur9304b5cuqwauhbo864</t>
        </is>
      </c>
      <c r="AP610" t="inlineStr">
        <is>
          <t>http://localhost:8787/api/admin/requirements/documents/cmm4yur9304b5cuqwauhbo864/view</t>
        </is>
      </c>
      <c r="AQ610">
        <f>HYPERLÄNK("http://localhost:8787/api/admin/requirements/documents/cmm4yur9304b5cuqwauhbo864/view";"Öppna PDF")</f>
        <v/>
      </c>
      <c r="AR610">
        <f>HYPERLINK("http://localhost:8787/api/admin/requirements/documents/cmm4yur9304b5cuqwauhbo864/view","Open PDF")</f>
        <v/>
      </c>
      <c r="AS610" t="inlineStr">
        <is>
          <t>cmm55w57p0004cuisfrtpqly8</t>
        </is>
      </c>
      <c r="AT610" t="inlineStr">
        <is>
          <t>cmm4xvu980000cuh4vj0usz09</t>
        </is>
      </c>
      <c r="AU610" t="inlineStr"/>
      <c r="AV610" t="inlineStr">
        <is>
          <t>Kommun</t>
        </is>
      </c>
      <c r="AW610" t="inlineStr"/>
      <c r="AX610" t="inlineStr">
        <is>
          <t>2025-447</t>
        </is>
      </c>
      <c r="AY610" t="inlineStr">
        <is>
          <t>Forelaggande</t>
        </is>
      </c>
      <c r="AZ610" t="inlineStr">
        <is>
          <t>2026-02-10</t>
        </is>
      </c>
      <c r="BA610" t="inlineStr">
        <is>
          <t>m-2025-851_Föreläggande om försiktighetsmått.pdf</t>
        </is>
      </c>
      <c r="BB610" t="inlineStr">
        <is>
          <t>Sv: till registrator</t>
        </is>
      </c>
      <c r="BC610" t="inlineStr">
        <is>
          <t>AUTO</t>
        </is>
      </c>
      <c r="BD610" t="inlineStr"/>
      <c r="BE610" t="inlineStr"/>
      <c r="BF610" t="inlineStr">
        <is>
          <t>AUTO_GENERERAD. Bekrafta metadata mot kallfil.</t>
        </is>
      </c>
      <c r="BG610">
        <f>HYPERLINK("C:\Users\jimmy\Desktop\Examens arbete\Kod\Ny mapp\remix_-copy-of-miljöbeslut.se-portal\m-2025-851_Föreläggande om försiktighetsmått.pdf", "Öppna PDF")</f>
        <v/>
      </c>
    </row>
    <row r="611">
      <c r="A611" t="inlineStr">
        <is>
          <t>KRAV-AUTO-000610</t>
        </is>
      </c>
      <c r="B611" t="inlineStr">
        <is>
          <t>ADMIN-INDEX-2026-02-27-00000000125C043F57453246863FE664CAFE6A3F0700950291EA24F0614FB6ACEDB12BF0E31D00000000010C0000950291EA24F0614FB6ACEDB12BF0E31D00002087A5DC0000</t>
        </is>
      </c>
      <c r="C611" t="inlineStr">
        <is>
          <t>cmm4yuqn503r2cuqwfz69vyc6</t>
        </is>
      </c>
      <c r="D611" t="inlineStr">
        <is>
          <t>http://localhost:8787/api/admin/requirements/documents/cmm4yuqn503r2cuqwfz69vyc6/view</t>
        </is>
      </c>
      <c r="E611">
        <f>HYPERLÄNK("http://localhost:8787/api/admin/requirements/documents/cmm4yuqn503r2cuqwfz69vyc6/view";"Öppna PDF")</f>
        <v/>
      </c>
      <c r="F611">
        <f>HYPERLINK("http://localhost:8787/api/admin/requirements/documents/cmm4yuqn503r2cuqwfz69vyc6/view","Open PDF")</f>
        <v/>
      </c>
      <c r="G611" t="inlineStr">
        <is>
          <t>cmm55w57p0004cuisfrtpqly8</t>
        </is>
      </c>
      <c r="H611" t="inlineStr">
        <is>
          <t>Informationskrav</t>
        </is>
      </c>
      <c r="I611" t="inlineStr">
        <is>
          <t>LagringsvolymTid</t>
        </is>
      </c>
      <c r="J611" t="inlineStr">
        <is>
          <t>Maxmangd</t>
        </is>
      </c>
      <c r="K611" t="inlineStr">
        <is>
          <t>Inga planer Hur planerar ni att arbeta för att minska mängden avfall?</t>
        </is>
      </c>
      <c r="L611" t="inlineStr">
        <is>
          <t>Inga planer Hur planerar ni att arbeta för att minska mängden avfall?</t>
        </is>
      </c>
      <c r="M611" t="inlineStr">
        <is>
          <t>SKA</t>
        </is>
      </c>
      <c r="N611" t="inlineStr"/>
      <c r="O611" t="inlineStr"/>
      <c r="P611" t="inlineStr"/>
      <c r="Q611" t="inlineStr"/>
      <c r="R611" t="inlineStr">
        <is>
          <t>Alltid</t>
        </is>
      </c>
      <c r="S611" t="inlineStr"/>
      <c r="T611" t="inlineStr">
        <is>
          <t>250424</t>
        </is>
      </c>
      <c r="U611" t="inlineStr"/>
      <c r="V611" t="inlineStr"/>
      <c r="W611" t="inlineStr">
        <is>
          <t>Nej</t>
        </is>
      </c>
      <c r="X611" t="inlineStr">
        <is>
          <t>Nej</t>
        </is>
      </c>
      <c r="Y611" t="inlineStr">
        <is>
          <t>Nej</t>
        </is>
      </c>
      <c r="Z611" t="inlineStr">
        <is>
          <t>Nej</t>
        </is>
      </c>
      <c r="AA611" t="n">
        <v>4</v>
      </c>
      <c r="AB611" t="inlineStr">
        <is>
          <t>Avfallsmangder och lagringstid</t>
        </is>
      </c>
      <c r="AC611" t="inlineStr">
        <is>
          <t>Avfallsforteckning</t>
        </is>
      </c>
      <c r="AD611" t="inlineStr">
        <is>
          <t>Nej</t>
        </is>
      </c>
      <c r="AE611" t="inlineStr">
        <is>
          <t>Nej</t>
        </is>
      </c>
      <c r="AF611" t="inlineStr">
        <is>
          <t>Ej behandlad</t>
        </is>
      </c>
      <c r="AG611" t="inlineStr">
        <is>
          <t>AUTO_GENERERAD. Verifiera citat mot kallfil.</t>
        </is>
      </c>
      <c r="AH611" t="inlineStr">
        <is>
          <t>MEDIUM</t>
        </is>
      </c>
      <c r="AI611" t="inlineStr">
        <is>
          <t>AUTO</t>
        </is>
      </c>
      <c r="AJ611" t="inlineStr">
        <is>
          <t>Nej</t>
        </is>
      </c>
      <c r="AK611" t="inlineStr"/>
      <c r="AL611" t="inlineStr"/>
      <c r="AM611" t="inlineStr"/>
      <c r="AN611" t="inlineStr"/>
      <c r="AO611" t="inlineStr">
        <is>
          <t>cmm4yuqnj03rhcuqw5kt2masi</t>
        </is>
      </c>
      <c r="AP611" t="inlineStr">
        <is>
          <t>http://localhost:8787/api/admin/requirements/documents/cmm4yuqnj03rhcuqw5kt2masi/view</t>
        </is>
      </c>
      <c r="AQ611">
        <f>HYPERLÄNK("http://localhost:8787/api/admin/requirements/documents/cmm4yuqnj03rhcuqw5kt2masi/view";"Öppna PDF")</f>
        <v/>
      </c>
      <c r="AR611">
        <f>HYPERLINK("http://localhost:8787/api/admin/requirements/documents/cmm4yuqnj03rhcuqw5kt2masi/view","Open PDF")</f>
        <v/>
      </c>
      <c r="AS611" t="inlineStr">
        <is>
          <t>cmm55w57p0004cuisfrtpqly8</t>
        </is>
      </c>
      <c r="AT611" t="inlineStr">
        <is>
          <t>cmm4xvu980000cuh4vj0usz09</t>
        </is>
      </c>
      <c r="AU611" t="inlineStr">
        <is>
          <t>Hässleholms</t>
        </is>
      </c>
      <c r="AV611" t="inlineStr">
        <is>
          <t>Kommun</t>
        </is>
      </c>
      <c r="AW611" t="inlineStr">
        <is>
          <t>Hässleholms kommun</t>
        </is>
      </c>
      <c r="AX611" t="inlineStr">
        <is>
          <t>0451-26</t>
        </is>
      </c>
      <c r="AY611" t="inlineStr">
        <is>
          <t>Anmalan</t>
        </is>
      </c>
      <c r="AZ611" t="inlineStr">
        <is>
          <t>2026-02-05</t>
        </is>
      </c>
      <c r="BA611" t="inlineStr">
        <is>
          <t>M-2025-2674 - Avskrivning.pdf</t>
        </is>
      </c>
      <c r="BB611" t="inlineStr">
        <is>
          <t>Sv:  Begäran om utlämnande av allmän handling – Anmälningar och beslut rörande mellanlagring av avfall samt anläggning av ytor</t>
        </is>
      </c>
      <c r="BC611" t="inlineStr">
        <is>
          <t>AUTO</t>
        </is>
      </c>
      <c r="BD611" t="inlineStr"/>
      <c r="BE611" t="inlineStr"/>
      <c r="BF611" t="inlineStr">
        <is>
          <t>AUTO_GENERERAD. Bekrafta metadata mot kallfil.</t>
        </is>
      </c>
      <c r="BG611">
        <f>HYPERLINK("C:\Users\jimmy\Desktop\Examens arbete\Kod\Ny mapp\remix_-copy-of-miljöbeslut.se-portal\M-2025-2674 - Avskrivning.pdf", "Öppna PDF")</f>
        <v/>
      </c>
    </row>
    <row r="612">
      <c r="A612" t="inlineStr">
        <is>
          <t>KRAV-AUTO-000611</t>
        </is>
      </c>
      <c r="B612" t="inlineStr">
        <is>
          <t>ADMIN-INDEX-2026-02-27-00000000125C043F57453246863FE664CAFE6A3F0700950291EA24F0614FB6ACEDB12BF0E31D00000000010C0000950291EA24F0614FB6ACEDB12BF0E31D00002087A5DC0000</t>
        </is>
      </c>
      <c r="C612" t="inlineStr">
        <is>
          <t>cmm4yuqn503r2cuqwfz69vyc6</t>
        </is>
      </c>
      <c r="D612" t="inlineStr">
        <is>
          <t>http://localhost:8787/api/admin/requirements/documents/cmm4yuqn503r2cuqwfz69vyc6/view</t>
        </is>
      </c>
      <c r="E612">
        <f>HYPERLÄNK("http://localhost:8787/api/admin/requirements/documents/cmm4yuqn503r2cuqwfz69vyc6/view";"Öppna PDF")</f>
        <v/>
      </c>
      <c r="F612">
        <f>HYPERLINK("http://localhost:8787/api/admin/requirements/documents/cmm4yuqn503r2cuqwfz69vyc6/view","Open PDF")</f>
        <v/>
      </c>
      <c r="G612" t="inlineStr">
        <is>
          <t>cmm55w57p0004cuisfrtpqly8</t>
        </is>
      </c>
      <c r="H612" t="inlineStr">
        <is>
          <t>Informationskrav</t>
        </is>
      </c>
      <c r="I612" t="inlineStr">
        <is>
          <t>LagringsvolymTid</t>
        </is>
      </c>
      <c r="J612" t="inlineStr">
        <is>
          <t>Maxmangd</t>
        </is>
      </c>
      <c r="K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612" t="inlineStr">
        <is>
          <t>SKA</t>
        </is>
      </c>
      <c r="N612" t="inlineStr"/>
      <c r="O612" t="inlineStr"/>
      <c r="P612" t="inlineStr">
        <is>
          <t>Manadskontroll</t>
        </is>
      </c>
      <c r="Q612" t="inlineStr"/>
      <c r="R612" t="inlineStr">
        <is>
          <t>Alltid</t>
        </is>
      </c>
      <c r="S612" t="inlineStr"/>
      <c r="T612" t="inlineStr">
        <is>
          <t>250424</t>
        </is>
      </c>
      <c r="U612" t="inlineStr"/>
      <c r="V612" t="inlineStr"/>
      <c r="W612" t="inlineStr">
        <is>
          <t>Nej</t>
        </is>
      </c>
      <c r="X612" t="inlineStr">
        <is>
          <t>Nej</t>
        </is>
      </c>
      <c r="Y612" t="inlineStr">
        <is>
          <t>Nej</t>
        </is>
      </c>
      <c r="Z612" t="inlineStr">
        <is>
          <t>Nej</t>
        </is>
      </c>
      <c r="AA612" t="n">
        <v>4</v>
      </c>
      <c r="AB612" t="inlineStr">
        <is>
          <t>Avfallsmangder och lagringstid</t>
        </is>
      </c>
      <c r="AC612" t="inlineStr">
        <is>
          <t>Avfallsforteckning</t>
        </is>
      </c>
      <c r="AD612" t="inlineStr">
        <is>
          <t>Nej</t>
        </is>
      </c>
      <c r="AE612" t="inlineStr">
        <is>
          <t>Nej</t>
        </is>
      </c>
      <c r="AF612" t="inlineStr">
        <is>
          <t>Ej behandlad</t>
        </is>
      </c>
      <c r="AG612" t="inlineStr">
        <is>
          <t>AUTO_GENERERAD. Verifiera citat mot kallfil.</t>
        </is>
      </c>
      <c r="AH612" t="inlineStr">
        <is>
          <t>MEDIUM</t>
        </is>
      </c>
      <c r="AI612" t="inlineStr">
        <is>
          <t>AUTO</t>
        </is>
      </c>
      <c r="AJ612" t="inlineStr">
        <is>
          <t>Nej</t>
        </is>
      </c>
      <c r="AK612" t="inlineStr"/>
      <c r="AL612" t="inlineStr"/>
      <c r="AM612" t="inlineStr"/>
      <c r="AN612" t="inlineStr"/>
      <c r="AO612" t="inlineStr">
        <is>
          <t>cmm4yuqnj03rhcuqw5kt2masi</t>
        </is>
      </c>
      <c r="AP612" t="inlineStr">
        <is>
          <t>http://localhost:8787/api/admin/requirements/documents/cmm4yuqnj03rhcuqw5kt2masi/view</t>
        </is>
      </c>
      <c r="AQ612">
        <f>HYPERLÄNK("http://localhost:8787/api/admin/requirements/documents/cmm4yuqnj03rhcuqw5kt2masi/view";"Öppna PDF")</f>
        <v/>
      </c>
      <c r="AR612">
        <f>HYPERLINK("http://localhost:8787/api/admin/requirements/documents/cmm4yuqnj03rhcuqw5kt2masi/view","Open PDF")</f>
        <v/>
      </c>
      <c r="AS612" t="inlineStr">
        <is>
          <t>cmm55w57p0004cuisfrtpqly8</t>
        </is>
      </c>
      <c r="AT612" t="inlineStr">
        <is>
          <t>cmm4xvu980000cuh4vj0usz09</t>
        </is>
      </c>
      <c r="AU612" t="inlineStr">
        <is>
          <t>Hässleholms</t>
        </is>
      </c>
      <c r="AV612" t="inlineStr">
        <is>
          <t>Kommun</t>
        </is>
      </c>
      <c r="AW612" t="inlineStr">
        <is>
          <t>Hässleholms kommun</t>
        </is>
      </c>
      <c r="AX612" t="inlineStr">
        <is>
          <t>0451-26</t>
        </is>
      </c>
      <c r="AY612" t="inlineStr">
        <is>
          <t>Anmalan</t>
        </is>
      </c>
      <c r="AZ612" t="inlineStr">
        <is>
          <t>2026-02-05</t>
        </is>
      </c>
      <c r="BA612" t="inlineStr">
        <is>
          <t>M-2025-2674 - Avskrivning.pdf</t>
        </is>
      </c>
      <c r="BB612" t="inlineStr">
        <is>
          <t>Sv:  Begäran om utlämnande av allmän handling – Anmälningar och beslut rörande mellanlagring av avfall samt anläggning av ytor</t>
        </is>
      </c>
      <c r="BC612" t="inlineStr">
        <is>
          <t>AUTO</t>
        </is>
      </c>
      <c r="BD612" t="inlineStr"/>
      <c r="BE612" t="inlineStr"/>
      <c r="BF612" t="inlineStr">
        <is>
          <t>AUTO_GENERERAD. Bekrafta metadata mot kallfil.</t>
        </is>
      </c>
      <c r="BG612">
        <f>HYPERLINK("C:\Users\jimmy\Desktop\Examens arbete\Kod\Ny mapp\remix_-copy-of-miljöbeslut.se-portal\M-2025-2674 - Avskrivning.pdf", "Öppna PDF")</f>
        <v/>
      </c>
    </row>
    <row r="613">
      <c r="A613" t="inlineStr">
        <is>
          <t>KRAV-AUTO-000612</t>
        </is>
      </c>
      <c r="B613" t="inlineStr">
        <is>
          <t>ADMIN-INDEX-2026-02-27-00000000125C043F57453246863FE664CAFE6A3F0700950291EA24F0614FB6ACEDB12BF0E31D00000000010C0000950291EA24F0614FB6ACEDB12BF0E31D00002087A5DC0000</t>
        </is>
      </c>
      <c r="C613" t="inlineStr">
        <is>
          <t>cmm4yuqmt03qqcuqwns8ldngk</t>
        </is>
      </c>
      <c r="D613" t="inlineStr">
        <is>
          <t>http://localhost:8787/api/admin/requirements/documents/cmm4yuqmt03qqcuqwns8ldngk/view</t>
        </is>
      </c>
      <c r="E613">
        <f>HYPERLÄNK("http://localhost:8787/api/admin/requirements/documents/cmm4yuqmt03qqcuqwns8ldngk/view";"Öppna PDF")</f>
        <v/>
      </c>
      <c r="F613">
        <f>HYPERLINK("http://localhost:8787/api/admin/requirements/documents/cmm4yuqmt03qqcuqwns8ldngk/view","Open PDF")</f>
        <v/>
      </c>
      <c r="G613" t="inlineStr">
        <is>
          <t>cmm55w57p0004cuisfrtpqly8</t>
        </is>
      </c>
      <c r="H613" t="inlineStr">
        <is>
          <t>Informationskrav</t>
        </is>
      </c>
      <c r="I613" t="inlineStr">
        <is>
          <t>Ytkonstruktion</t>
        </is>
      </c>
      <c r="J613" t="inlineStr">
        <is>
          <t>Tat yta</t>
        </is>
      </c>
      <c r="K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613" t="inlineStr">
        <is>
          <t>SKA</t>
        </is>
      </c>
      <c r="N613" t="inlineStr"/>
      <c r="O613" t="inlineStr">
        <is>
          <t>2024-12-16</t>
        </is>
      </c>
      <c r="P613" t="inlineStr"/>
      <c r="Q613" t="inlineStr">
        <is>
          <t>Forelaggande vid brist</t>
        </is>
      </c>
      <c r="R613" t="inlineStr">
        <is>
          <t>Vid mellanlagring av avfall</t>
        </is>
      </c>
      <c r="S613" t="inlineStr"/>
      <c r="T613" t="inlineStr">
        <is>
          <t>26 67 50</t>
        </is>
      </c>
      <c r="U613" t="inlineStr"/>
      <c r="V613" t="inlineStr"/>
      <c r="W613" t="inlineStr">
        <is>
          <t>Ja</t>
        </is>
      </c>
      <c r="X613" t="inlineStr">
        <is>
          <t>Nej</t>
        </is>
      </c>
      <c r="Y613" t="inlineStr">
        <is>
          <t>Nej</t>
        </is>
      </c>
      <c r="Z613" t="inlineStr">
        <is>
          <t>Nej</t>
        </is>
      </c>
      <c r="AA613" t="n">
        <v>5</v>
      </c>
      <c r="AB613" t="inlineStr">
        <is>
          <t>Teknisk beskrivning av platta</t>
        </is>
      </c>
      <c r="AC613" t="inlineStr">
        <is>
          <t>Teknisk ritning platta</t>
        </is>
      </c>
      <c r="AD613" t="inlineStr">
        <is>
          <t>Nej</t>
        </is>
      </c>
      <c r="AE613" t="inlineStr">
        <is>
          <t>Nej</t>
        </is>
      </c>
      <c r="AF613" t="inlineStr">
        <is>
          <t>Ej behandlad</t>
        </is>
      </c>
      <c r="AG613" t="inlineStr">
        <is>
          <t>AUTO_GENERERAD. Verifiera citat mot kallfil.</t>
        </is>
      </c>
      <c r="AH613" t="inlineStr">
        <is>
          <t>MEDIUM</t>
        </is>
      </c>
      <c r="AI613" t="inlineStr">
        <is>
          <t>AUTO</t>
        </is>
      </c>
      <c r="AJ613" t="inlineStr">
        <is>
          <t>Nej</t>
        </is>
      </c>
      <c r="AK613" t="inlineStr"/>
      <c r="AL613" t="inlineStr"/>
      <c r="AM613" t="inlineStr"/>
      <c r="AN613" t="inlineStr"/>
      <c r="AO613" t="inlineStr">
        <is>
          <t>cmm4yuqnj03rhcuqw5kt2masi</t>
        </is>
      </c>
      <c r="AP613" t="inlineStr">
        <is>
          <t>http://localhost:8787/api/admin/requirements/documents/cmm4yuqnj03rhcuqw5kt2masi/view</t>
        </is>
      </c>
      <c r="AQ613">
        <f>HYPERLÄNK("http://localhost:8787/api/admin/requirements/documents/cmm4yuqnj03rhcuqw5kt2masi/view";"Öppna PDF")</f>
        <v/>
      </c>
      <c r="AR613">
        <f>HYPERLINK("http://localhost:8787/api/admin/requirements/documents/cmm4yuqnj03rhcuqw5kt2masi/view","Open PDF")</f>
        <v/>
      </c>
      <c r="AS613" t="inlineStr">
        <is>
          <t>cmm55w57p0004cuisfrtpqly8</t>
        </is>
      </c>
      <c r="AT613" t="inlineStr">
        <is>
          <t>cmm4xvu980000cuh4vj0usz09</t>
        </is>
      </c>
      <c r="AU613" t="inlineStr">
        <is>
          <t>Hässleholms</t>
        </is>
      </c>
      <c r="AV613" t="inlineStr">
        <is>
          <t>Kommun</t>
        </is>
      </c>
      <c r="AW613" t="inlineStr">
        <is>
          <t>Hässleholms kommun</t>
        </is>
      </c>
      <c r="AX613" t="inlineStr">
        <is>
          <t>0451-26</t>
        </is>
      </c>
      <c r="AY613" t="inlineStr">
        <is>
          <t>Anmalan</t>
        </is>
      </c>
      <c r="AZ613" t="inlineStr">
        <is>
          <t>2026-02-05</t>
        </is>
      </c>
      <c r="BA613" t="inlineStr">
        <is>
          <t>M-2025-2674 - Avskrivning.pdf</t>
        </is>
      </c>
      <c r="BB613" t="inlineStr">
        <is>
          <t>Sv:  Begäran om utlämnande av allmän handling – Anmälningar och beslut rörande mellanlagring av avfall samt anläggning av ytor</t>
        </is>
      </c>
      <c r="BC613" t="inlineStr">
        <is>
          <t>AUTO</t>
        </is>
      </c>
      <c r="BD613" t="inlineStr"/>
      <c r="BE613" t="inlineStr"/>
      <c r="BF613" t="inlineStr">
        <is>
          <t>AUTO_GENERERAD. Bekrafta metadata mot kallfil.</t>
        </is>
      </c>
      <c r="BG613">
        <f>HYPERLINK("C:\Users\jimmy\Desktop\Examens arbete\Kod\Ny mapp\remix_-copy-of-miljöbeslut.se-portal\M-2025-2674 - Avskrivning.pdf", "Öppna PDF")</f>
        <v/>
      </c>
    </row>
    <row r="614">
      <c r="A614" t="inlineStr">
        <is>
          <t>KRAV-AUTO-000613</t>
        </is>
      </c>
      <c r="B614" t="inlineStr">
        <is>
          <t>ADMIN-INDEX-2026-02-27-00000000125C043F57453246863FE664CAFE6A3F0700950291EA24F0614FB6ACEDB12BF0E31D00000000010C0000950291EA24F0614FB6ACEDB12BF0E31D00002087A5DC0000</t>
        </is>
      </c>
      <c r="C614" t="inlineStr">
        <is>
          <t>cmm4yuqmt03qqcuqwns8ldngk</t>
        </is>
      </c>
      <c r="D614" t="inlineStr">
        <is>
          <t>http://localhost:8787/api/admin/requirements/documents/cmm4yuqmt03qqcuqwns8ldngk/view</t>
        </is>
      </c>
      <c r="E614">
        <f>HYPERLÄNK("http://localhost:8787/api/admin/requirements/documents/cmm4yuqmt03qqcuqwns8ldngk/view";"Öppna PDF")</f>
        <v/>
      </c>
      <c r="F614">
        <f>HYPERLINK("http://localhost:8787/api/admin/requirements/documents/cmm4yuqmt03qqcuqwns8ldngk/view","Open PDF")</f>
        <v/>
      </c>
      <c r="G614" t="inlineStr">
        <is>
          <t>cmm55w57p0004cuisfrtpqly8</t>
        </is>
      </c>
      <c r="H614" t="inlineStr">
        <is>
          <t>Informationskrav</t>
        </is>
      </c>
      <c r="I614" t="inlineStr">
        <is>
          <t>MiljopaverkanForsiktighet</t>
        </is>
      </c>
      <c r="J614" t="inlineStr">
        <is>
          <t>Skyddsatgarder</t>
        </is>
      </c>
      <c r="K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614" t="inlineStr">
        <is>
          <t>SKA</t>
        </is>
      </c>
      <c r="N614" t="inlineStr">
        <is>
          <t>MPF</t>
        </is>
      </c>
      <c r="O614" t="inlineStr"/>
      <c r="P614" t="inlineStr"/>
      <c r="Q614" t="inlineStr">
        <is>
          <t>Forbud</t>
        </is>
      </c>
      <c r="R614" t="inlineStr">
        <is>
          <t>Alltid</t>
        </is>
      </c>
      <c r="S614" t="inlineStr"/>
      <c r="T614" t="inlineStr">
        <is>
          <t>26 67 50</t>
        </is>
      </c>
      <c r="U614" t="inlineStr"/>
      <c r="V614" t="inlineStr"/>
      <c r="W614" t="inlineStr">
        <is>
          <t>Nej</t>
        </is>
      </c>
      <c r="X614" t="inlineStr">
        <is>
          <t>Nej</t>
        </is>
      </c>
      <c r="Y614" t="inlineStr">
        <is>
          <t>Nej</t>
        </is>
      </c>
      <c r="Z614" t="inlineStr">
        <is>
          <t>Nej</t>
        </is>
      </c>
      <c r="AA614" t="n">
        <v>10</v>
      </c>
      <c r="AB614" t="inlineStr">
        <is>
          <t>Miljopaverkan och forsiktighetsmatt</t>
        </is>
      </c>
      <c r="AC614" t="inlineStr">
        <is>
          <t>Miljo-PM</t>
        </is>
      </c>
      <c r="AD614" t="inlineStr">
        <is>
          <t>Nej</t>
        </is>
      </c>
      <c r="AE614" t="inlineStr">
        <is>
          <t>Nej</t>
        </is>
      </c>
      <c r="AF614" t="inlineStr">
        <is>
          <t>Ej behandlad</t>
        </is>
      </c>
      <c r="AG614" t="inlineStr">
        <is>
          <t>AUTO_GENERERAD. Verifiera citat mot kallfil.</t>
        </is>
      </c>
      <c r="AH614" t="inlineStr">
        <is>
          <t>MEDIUM</t>
        </is>
      </c>
      <c r="AI614" t="inlineStr">
        <is>
          <t>AUTO</t>
        </is>
      </c>
      <c r="AJ614" t="inlineStr">
        <is>
          <t>Nej</t>
        </is>
      </c>
      <c r="AK614" t="inlineStr"/>
      <c r="AL614" t="inlineStr"/>
      <c r="AM614" t="inlineStr"/>
      <c r="AN614" t="inlineStr"/>
      <c r="AO614" t="inlineStr">
        <is>
          <t>cmm4yuqnj03rhcuqw5kt2masi</t>
        </is>
      </c>
      <c r="AP614" t="inlineStr">
        <is>
          <t>http://localhost:8787/api/admin/requirements/documents/cmm4yuqnj03rhcuqw5kt2masi/view</t>
        </is>
      </c>
      <c r="AQ614">
        <f>HYPERLÄNK("http://localhost:8787/api/admin/requirements/documents/cmm4yuqnj03rhcuqw5kt2masi/view";"Öppna PDF")</f>
        <v/>
      </c>
      <c r="AR614">
        <f>HYPERLINK("http://localhost:8787/api/admin/requirements/documents/cmm4yuqnj03rhcuqw5kt2masi/view","Open PDF")</f>
        <v/>
      </c>
      <c r="AS614" t="inlineStr">
        <is>
          <t>cmm55w57p0004cuisfrtpqly8</t>
        </is>
      </c>
      <c r="AT614" t="inlineStr">
        <is>
          <t>cmm4xvu980000cuh4vj0usz09</t>
        </is>
      </c>
      <c r="AU614" t="inlineStr">
        <is>
          <t>Hässleholms</t>
        </is>
      </c>
      <c r="AV614" t="inlineStr">
        <is>
          <t>Kommun</t>
        </is>
      </c>
      <c r="AW614" t="inlineStr">
        <is>
          <t>Hässleholms kommun</t>
        </is>
      </c>
      <c r="AX614" t="inlineStr">
        <is>
          <t>0451-26</t>
        </is>
      </c>
      <c r="AY614" t="inlineStr">
        <is>
          <t>Anmalan</t>
        </is>
      </c>
      <c r="AZ614" t="inlineStr">
        <is>
          <t>2026-02-05</t>
        </is>
      </c>
      <c r="BA614" t="inlineStr">
        <is>
          <t>M-2025-2674 - Avskrivning.pdf</t>
        </is>
      </c>
      <c r="BB614" t="inlineStr">
        <is>
          <t>Sv:  Begäran om utlämnande av allmän handling – Anmälningar och beslut rörande mellanlagring av avfall samt anläggning av ytor</t>
        </is>
      </c>
      <c r="BC614" t="inlineStr">
        <is>
          <t>AUTO</t>
        </is>
      </c>
      <c r="BD614" t="inlineStr"/>
      <c r="BE614" t="inlineStr"/>
      <c r="BF614" t="inlineStr">
        <is>
          <t>AUTO_GENERERAD. Bekrafta metadata mot kallfil.</t>
        </is>
      </c>
      <c r="BG614">
        <f>HYPERLINK("C:\Users\jimmy\Desktop\Examens arbete\Kod\Ny mapp\remix_-copy-of-miljöbeslut.se-portal\M-2025-2674 - Avskrivning.pdf", "Öppna PDF")</f>
        <v/>
      </c>
    </row>
    <row r="615">
      <c r="A615" t="inlineStr">
        <is>
          <t>KRAV-AUTO-000614</t>
        </is>
      </c>
      <c r="B615" t="inlineStr">
        <is>
          <t>ADMIN-INDEX-2026-02-27-00000000125C043F57453246863FE664CAFE6A3F0700950291EA24F0614FB6ACEDB12BF0E31D00000000010C0000950291EA24F0614FB6ACEDB12BF0E31D00002087A5DC0000</t>
        </is>
      </c>
      <c r="C615" t="inlineStr">
        <is>
          <t>cmm4yuqmt03qqcuqwns8ldngk</t>
        </is>
      </c>
      <c r="D615" t="inlineStr">
        <is>
          <t>http://localhost:8787/api/admin/requirements/documents/cmm4yuqmt03qqcuqwns8ldngk/view</t>
        </is>
      </c>
      <c r="E615">
        <f>HYPERLÄNK("http://localhost:8787/api/admin/requirements/documents/cmm4yuqmt03qqcuqwns8ldngk/view";"Öppna PDF")</f>
        <v/>
      </c>
      <c r="F615">
        <f>HYPERLINK("http://localhost:8787/api/admin/requirements/documents/cmm4yuqmt03qqcuqwns8ldngk/view","Open PDF")</f>
        <v/>
      </c>
      <c r="G615" t="inlineStr">
        <is>
          <t>cmm55w57p0004cuisfrtpqly8</t>
        </is>
      </c>
      <c r="H615" t="inlineStr">
        <is>
          <t>Informationskrav</t>
        </is>
      </c>
      <c r="I615" t="inlineStr">
        <is>
          <t>Ytkonstruktion</t>
        </is>
      </c>
      <c r="J615" t="inlineStr">
        <is>
          <t>Tat yta</t>
        </is>
      </c>
      <c r="K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615" t="inlineStr">
        <is>
          <t>SKA</t>
        </is>
      </c>
      <c r="N615" t="inlineStr"/>
      <c r="O615" t="inlineStr">
        <is>
          <t>2024-12-16</t>
        </is>
      </c>
      <c r="P615" t="inlineStr"/>
      <c r="Q615" t="inlineStr">
        <is>
          <t>Forelaggande vid brist</t>
        </is>
      </c>
      <c r="R615" t="inlineStr">
        <is>
          <t>Vid mellanlagring av avfall</t>
        </is>
      </c>
      <c r="S615" t="inlineStr"/>
      <c r="T615" t="inlineStr">
        <is>
          <t>26 67 50</t>
        </is>
      </c>
      <c r="U615" t="inlineStr"/>
      <c r="V615" t="inlineStr"/>
      <c r="W615" t="inlineStr">
        <is>
          <t>Ja</t>
        </is>
      </c>
      <c r="X615" t="inlineStr">
        <is>
          <t>Nej</t>
        </is>
      </c>
      <c r="Y615" t="inlineStr">
        <is>
          <t>Nej</t>
        </is>
      </c>
      <c r="Z615" t="inlineStr">
        <is>
          <t>Nej</t>
        </is>
      </c>
      <c r="AA615" t="n">
        <v>5</v>
      </c>
      <c r="AB615" t="inlineStr">
        <is>
          <t>Teknisk beskrivning av platta</t>
        </is>
      </c>
      <c r="AC615" t="inlineStr">
        <is>
          <t>Teknisk ritning platta</t>
        </is>
      </c>
      <c r="AD615" t="inlineStr">
        <is>
          <t>Nej</t>
        </is>
      </c>
      <c r="AE615" t="inlineStr">
        <is>
          <t>Nej</t>
        </is>
      </c>
      <c r="AF615" t="inlineStr">
        <is>
          <t>Ej behandlad</t>
        </is>
      </c>
      <c r="AG615" t="inlineStr">
        <is>
          <t>AUTO_GENERERAD. Verifiera citat mot kallfil.</t>
        </is>
      </c>
      <c r="AH615" t="inlineStr">
        <is>
          <t>MEDIUM</t>
        </is>
      </c>
      <c r="AI615" t="inlineStr">
        <is>
          <t>AUTO</t>
        </is>
      </c>
      <c r="AJ615" t="inlineStr">
        <is>
          <t>Nej</t>
        </is>
      </c>
      <c r="AK615" t="inlineStr"/>
      <c r="AL615" t="inlineStr"/>
      <c r="AM615" t="inlineStr"/>
      <c r="AN615" t="inlineStr"/>
      <c r="AO615" t="inlineStr">
        <is>
          <t>cmm4yuqnj03rhcuqw5kt2masi</t>
        </is>
      </c>
      <c r="AP615" t="inlineStr">
        <is>
          <t>http://localhost:8787/api/admin/requirements/documents/cmm4yuqnj03rhcuqw5kt2masi/view</t>
        </is>
      </c>
      <c r="AQ615">
        <f>HYPERLÄNK("http://localhost:8787/api/admin/requirements/documents/cmm4yuqnj03rhcuqw5kt2masi/view";"Öppna PDF")</f>
        <v/>
      </c>
      <c r="AR615">
        <f>HYPERLINK("http://localhost:8787/api/admin/requirements/documents/cmm4yuqnj03rhcuqw5kt2masi/view","Open PDF")</f>
        <v/>
      </c>
      <c r="AS615" t="inlineStr">
        <is>
          <t>cmm55w57p0004cuisfrtpqly8</t>
        </is>
      </c>
      <c r="AT615" t="inlineStr">
        <is>
          <t>cmm4xvu980000cuh4vj0usz09</t>
        </is>
      </c>
      <c r="AU615" t="inlineStr">
        <is>
          <t>Hässleholms</t>
        </is>
      </c>
      <c r="AV615" t="inlineStr">
        <is>
          <t>Kommun</t>
        </is>
      </c>
      <c r="AW615" t="inlineStr">
        <is>
          <t>Hässleholms kommun</t>
        </is>
      </c>
      <c r="AX615" t="inlineStr">
        <is>
          <t>0451-26</t>
        </is>
      </c>
      <c r="AY615" t="inlineStr">
        <is>
          <t>Anmalan</t>
        </is>
      </c>
      <c r="AZ615" t="inlineStr">
        <is>
          <t>2026-02-05</t>
        </is>
      </c>
      <c r="BA615" t="inlineStr">
        <is>
          <t>M-2025-2674 - Avskrivning.pdf</t>
        </is>
      </c>
      <c r="BB615" t="inlineStr">
        <is>
          <t>Sv:  Begäran om utlämnande av allmän handling – Anmälningar och beslut rörande mellanlagring av avfall samt anläggning av ytor</t>
        </is>
      </c>
      <c r="BC615" t="inlineStr">
        <is>
          <t>AUTO</t>
        </is>
      </c>
      <c r="BD615" t="inlineStr"/>
      <c r="BE615" t="inlineStr"/>
      <c r="BF615" t="inlineStr">
        <is>
          <t>AUTO_GENERERAD. Bekrafta metadata mot kallfil.</t>
        </is>
      </c>
      <c r="BG615">
        <f>HYPERLINK("C:\Users\jimmy\Desktop\Examens arbete\Kod\Ny mapp\remix_-copy-of-miljöbeslut.se-portal\M-2025-2674 - Avskrivning.pdf", "Öppna PDF")</f>
        <v/>
      </c>
    </row>
    <row r="616">
      <c r="A616" t="inlineStr">
        <is>
          <t>KRAV-AUTO-000615</t>
        </is>
      </c>
      <c r="B616" t="inlineStr">
        <is>
          <t>ADMIN-INDEX-2026-02-27-00000000125C043F57453246863FE664CAFE6A3F0700950291EA24F0614FB6ACEDB12BF0E31D00000000010C0000950291EA24F0614FB6ACEDB12BF0E31D00002087A5DC0000</t>
        </is>
      </c>
      <c r="C616" t="inlineStr">
        <is>
          <t>cmm4yuqmq03qncuqwh1abz1d9</t>
        </is>
      </c>
      <c r="D616" t="inlineStr">
        <is>
          <t>http://localhost:8787/api/admin/requirements/documents/cmm4yuqmq03qncuqwh1abz1d9/view</t>
        </is>
      </c>
      <c r="E616">
        <f>HYPERLÄNK("http://localhost:8787/api/admin/requirements/documents/cmm4yuqmq03qncuqwh1abz1d9/view";"Öppna PDF")</f>
        <v/>
      </c>
      <c r="F616">
        <f>HYPERLINK("http://localhost:8787/api/admin/requirements/documents/cmm4yuqmq03qncuqwh1abz1d9/view","Open PDF")</f>
        <v/>
      </c>
      <c r="G616" t="inlineStr">
        <is>
          <t>cmm55w57p0004cuisfrtpqly8</t>
        </is>
      </c>
      <c r="H616" t="inlineStr">
        <is>
          <t>Informationskrav</t>
        </is>
      </c>
      <c r="I616" t="inlineStr">
        <is>
          <t>LagringsvolymTid</t>
        </is>
      </c>
      <c r="J616" t="inlineStr">
        <is>
          <t>Maxmangd</t>
        </is>
      </c>
      <c r="K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616" t="inlineStr">
        <is>
          <t>SKA</t>
        </is>
      </c>
      <c r="N616" t="inlineStr"/>
      <c r="O616" t="inlineStr"/>
      <c r="P616" t="inlineStr"/>
      <c r="Q616" t="inlineStr"/>
      <c r="R616" t="inlineStr">
        <is>
          <t>Alltid</t>
        </is>
      </c>
      <c r="S616" t="inlineStr"/>
      <c r="T616" t="inlineStr">
        <is>
          <t>556035</t>
        </is>
      </c>
      <c r="U616" t="inlineStr"/>
      <c r="V616" t="inlineStr"/>
      <c r="W616" t="inlineStr">
        <is>
          <t>Nej</t>
        </is>
      </c>
      <c r="X616" t="inlineStr">
        <is>
          <t>Nej</t>
        </is>
      </c>
      <c r="Y616" t="inlineStr">
        <is>
          <t>Nej</t>
        </is>
      </c>
      <c r="Z616" t="inlineStr">
        <is>
          <t>Nej</t>
        </is>
      </c>
      <c r="AA616" t="n">
        <v>4</v>
      </c>
      <c r="AB616" t="inlineStr">
        <is>
          <t>Avfallsmangder och lagringstid</t>
        </is>
      </c>
      <c r="AC616" t="inlineStr">
        <is>
          <t>Avfallsforteckning</t>
        </is>
      </c>
      <c r="AD616" t="inlineStr">
        <is>
          <t>Nej</t>
        </is>
      </c>
      <c r="AE616" t="inlineStr">
        <is>
          <t>Nej</t>
        </is>
      </c>
      <c r="AF616" t="inlineStr">
        <is>
          <t>Ej behandlad</t>
        </is>
      </c>
      <c r="AG616" t="inlineStr">
        <is>
          <t>AUTO_GENERERAD. Verifiera citat mot kallfil.</t>
        </is>
      </c>
      <c r="AH616" t="inlineStr">
        <is>
          <t>MEDIUM</t>
        </is>
      </c>
      <c r="AI616" t="inlineStr">
        <is>
          <t>AUTO</t>
        </is>
      </c>
      <c r="AJ616" t="inlineStr">
        <is>
          <t>Nej</t>
        </is>
      </c>
      <c r="AK616" t="inlineStr"/>
      <c r="AL616" t="inlineStr"/>
      <c r="AM616" t="inlineStr"/>
      <c r="AN616" t="inlineStr"/>
      <c r="AO616" t="inlineStr">
        <is>
          <t>cmm4yuqnj03rhcuqw5kt2masi</t>
        </is>
      </c>
      <c r="AP616" t="inlineStr">
        <is>
          <t>http://localhost:8787/api/admin/requirements/documents/cmm4yuqnj03rhcuqw5kt2masi/view</t>
        </is>
      </c>
      <c r="AQ616">
        <f>HYPERLÄNK("http://localhost:8787/api/admin/requirements/documents/cmm4yuqnj03rhcuqw5kt2masi/view";"Öppna PDF")</f>
        <v/>
      </c>
      <c r="AR616">
        <f>HYPERLINK("http://localhost:8787/api/admin/requirements/documents/cmm4yuqnj03rhcuqw5kt2masi/view","Open PDF")</f>
        <v/>
      </c>
      <c r="AS616" t="inlineStr">
        <is>
          <t>cmm55w57p0004cuisfrtpqly8</t>
        </is>
      </c>
      <c r="AT616" t="inlineStr">
        <is>
          <t>cmm4xvu980000cuh4vj0usz09</t>
        </is>
      </c>
      <c r="AU616" t="inlineStr">
        <is>
          <t>Hässleholms</t>
        </is>
      </c>
      <c r="AV616" t="inlineStr">
        <is>
          <t>Kommun</t>
        </is>
      </c>
      <c r="AW616" t="inlineStr">
        <is>
          <t>Hässleholms kommun</t>
        </is>
      </c>
      <c r="AX616" t="inlineStr">
        <is>
          <t>0451-26</t>
        </is>
      </c>
      <c r="AY616" t="inlineStr">
        <is>
          <t>Anmalan</t>
        </is>
      </c>
      <c r="AZ616" t="inlineStr">
        <is>
          <t>2026-02-05</t>
        </is>
      </c>
      <c r="BA616" t="inlineStr">
        <is>
          <t>M-2025-2674 - Avskrivning.pdf</t>
        </is>
      </c>
      <c r="BB616" t="inlineStr">
        <is>
          <t>Sv:  Begäran om utlämnande av allmän handling – Anmälningar och beslut rörande mellanlagring av avfall samt anläggning av ytor</t>
        </is>
      </c>
      <c r="BC616" t="inlineStr">
        <is>
          <t>AUTO</t>
        </is>
      </c>
      <c r="BD616" t="inlineStr"/>
      <c r="BE616" t="inlineStr"/>
      <c r="BF616" t="inlineStr">
        <is>
          <t>AUTO_GENERERAD. Bekrafta metadata mot kallfil.</t>
        </is>
      </c>
      <c r="BG616">
        <f>HYPERLINK("C:\Users\jimmy\Desktop\Examens arbete\Kod\Ny mapp\remix_-copy-of-miljöbeslut.se-portal\M-2025-2674 - Avskrivning.pdf", "Öppna PDF")</f>
        <v/>
      </c>
    </row>
    <row r="617">
      <c r="A617" t="inlineStr">
        <is>
          <t>KRAV-AUTO-000616</t>
        </is>
      </c>
      <c r="B617" t="inlineStr">
        <is>
          <t>ADMIN-INDEX-2026-02-27-00000000125C043F57453246863FE664CAFE6A3F0700950291EA24F0614FB6ACEDB12BF0E31D00000000010C0000950291EA24F0614FB6ACEDB12BF0E31D00002087A5DC0000</t>
        </is>
      </c>
      <c r="C617" t="inlineStr">
        <is>
          <t>cmm4yuqmq03qncuqwh1abz1d9</t>
        </is>
      </c>
      <c r="D617" t="inlineStr">
        <is>
          <t>http://localhost:8787/api/admin/requirements/documents/cmm4yuqmq03qncuqwh1abz1d9/view</t>
        </is>
      </c>
      <c r="E617">
        <f>HYPERLÄNK("http://localhost:8787/api/admin/requirements/documents/cmm4yuqmq03qncuqwh1abz1d9/view";"Öppna PDF")</f>
        <v/>
      </c>
      <c r="F617">
        <f>HYPERLINK("http://localhost:8787/api/admin/requirements/documents/cmm4yuqmq03qncuqwh1abz1d9/view","Open PDF")</f>
        <v/>
      </c>
      <c r="G617" t="inlineStr">
        <is>
          <t>cmm55w57p0004cuisfrtpqly8</t>
        </is>
      </c>
      <c r="H617" t="inlineStr">
        <is>
          <t>Informationskrav</t>
        </is>
      </c>
      <c r="I617" t="inlineStr">
        <is>
          <t>DagvattenLakvatten</t>
        </is>
      </c>
      <c r="J617" t="inlineStr">
        <is>
          <t>Uppsamling</t>
        </is>
      </c>
      <c r="K617" t="inlineStr">
        <is>
          <t>6 § miljöbalken (SFS 1998:808) krävs en anmälan vid användning av avfall för anläggningsändamål på ett sätt som kan förorena mark, vattenområde eller grundvatten och där föroreningsrisken bedöms som ringa.</t>
        </is>
      </c>
      <c r="L617" t="inlineStr">
        <is>
          <t>6 § miljöbalken (SFS 1998:808) krävs en anmälan vid användning av avfall för anläggningsändamål på ett sätt som kan förorena mark, vattenområde eller grundvatten och där föroreningsrisken bedöms som ringa.</t>
        </is>
      </c>
      <c r="M617" t="inlineStr">
        <is>
          <t>SKA</t>
        </is>
      </c>
      <c r="N617" t="inlineStr">
        <is>
          <t>Miljobalken</t>
        </is>
      </c>
      <c r="O617" t="inlineStr"/>
      <c r="P617" t="inlineStr"/>
      <c r="Q617" t="inlineStr"/>
      <c r="R617" t="inlineStr">
        <is>
          <t>Vid nederbord och avrinning</t>
        </is>
      </c>
      <c r="S617" t="inlineStr"/>
      <c r="T617" t="inlineStr">
        <is>
          <t>556035</t>
        </is>
      </c>
      <c r="U617" t="inlineStr"/>
      <c r="V617" t="inlineStr"/>
      <c r="W617" t="inlineStr">
        <is>
          <t>Nej</t>
        </is>
      </c>
      <c r="X617" t="inlineStr">
        <is>
          <t>Ja</t>
        </is>
      </c>
      <c r="Y617" t="inlineStr">
        <is>
          <t>Ja</t>
        </is>
      </c>
      <c r="Z617" t="inlineStr">
        <is>
          <t>Nej</t>
        </is>
      </c>
      <c r="AA617" t="n">
        <v>6</v>
      </c>
      <c r="AB617" t="inlineStr">
        <is>
          <t>Lakvattenhantering</t>
        </is>
      </c>
      <c r="AC617" t="inlineStr">
        <is>
          <t>Flodesschema dagvatten-lakvatten</t>
        </is>
      </c>
      <c r="AD617" t="inlineStr">
        <is>
          <t>Nej</t>
        </is>
      </c>
      <c r="AE617" t="inlineStr">
        <is>
          <t>Nej</t>
        </is>
      </c>
      <c r="AF617" t="inlineStr">
        <is>
          <t>Ej behandlad</t>
        </is>
      </c>
      <c r="AG617" t="inlineStr">
        <is>
          <t>AUTO_GENERERAD. Verifiera citat mot kallfil.</t>
        </is>
      </c>
      <c r="AH617" t="inlineStr">
        <is>
          <t>HIGH</t>
        </is>
      </c>
      <c r="AI617" t="inlineStr">
        <is>
          <t>AUTO</t>
        </is>
      </c>
      <c r="AJ617" t="inlineStr">
        <is>
          <t>Nej</t>
        </is>
      </c>
      <c r="AK617" t="inlineStr"/>
      <c r="AL617" t="inlineStr"/>
      <c r="AM617" t="inlineStr"/>
      <c r="AN617" t="inlineStr"/>
      <c r="AO617" t="inlineStr">
        <is>
          <t>cmm4yuqnj03rhcuqw5kt2masi</t>
        </is>
      </c>
      <c r="AP617" t="inlineStr">
        <is>
          <t>http://localhost:8787/api/admin/requirements/documents/cmm4yuqnj03rhcuqw5kt2masi/view</t>
        </is>
      </c>
      <c r="AQ617">
        <f>HYPERLÄNK("http://localhost:8787/api/admin/requirements/documents/cmm4yuqnj03rhcuqw5kt2masi/view";"Öppna PDF")</f>
        <v/>
      </c>
      <c r="AR617">
        <f>HYPERLINK("http://localhost:8787/api/admin/requirements/documents/cmm4yuqnj03rhcuqw5kt2masi/view","Open PDF")</f>
        <v/>
      </c>
      <c r="AS617" t="inlineStr">
        <is>
          <t>cmm55w57p0004cuisfrtpqly8</t>
        </is>
      </c>
      <c r="AT617" t="inlineStr">
        <is>
          <t>cmm4xvu980000cuh4vj0usz09</t>
        </is>
      </c>
      <c r="AU617" t="inlineStr">
        <is>
          <t>Hässleholms</t>
        </is>
      </c>
      <c r="AV617" t="inlineStr">
        <is>
          <t>Kommun</t>
        </is>
      </c>
      <c r="AW617" t="inlineStr">
        <is>
          <t>Hässleholms kommun</t>
        </is>
      </c>
      <c r="AX617" t="inlineStr">
        <is>
          <t>0451-26</t>
        </is>
      </c>
      <c r="AY617" t="inlineStr">
        <is>
          <t>Anmalan</t>
        </is>
      </c>
      <c r="AZ617" t="inlineStr">
        <is>
          <t>2026-02-05</t>
        </is>
      </c>
      <c r="BA617" t="inlineStr">
        <is>
          <t>M-2025-2674 - Avskrivning.pdf</t>
        </is>
      </c>
      <c r="BB617" t="inlineStr">
        <is>
          <t>Sv:  Begäran om utlämnande av allmän handling – Anmälningar och beslut rörande mellanlagring av avfall samt anläggning av ytor</t>
        </is>
      </c>
      <c r="BC617" t="inlineStr">
        <is>
          <t>AUTO</t>
        </is>
      </c>
      <c r="BD617" t="inlineStr"/>
      <c r="BE617" t="inlineStr"/>
      <c r="BF617" t="inlineStr">
        <is>
          <t>AUTO_GENERERAD. Bekrafta metadata mot kallfil.</t>
        </is>
      </c>
      <c r="BG617">
        <f>HYPERLINK("C:\Users\jimmy\Desktop\Examens arbete\Kod\Ny mapp\remix_-copy-of-miljöbeslut.se-portal\M-2025-2674 - Avskrivning.pdf", "Öppna PDF")</f>
        <v/>
      </c>
    </row>
    <row r="618">
      <c r="A618" t="inlineStr">
        <is>
          <t>KRAV-AUTO-000617</t>
        </is>
      </c>
      <c r="B618" t="inlineStr">
        <is>
          <t>ADMIN-INDEX-2026-02-27-00000000125C043F57453246863FE664CAFE6A3F0700950291EA24F0614FB6ACEDB12BF0E31D00000000010C0000950291EA24F0614FB6ACEDB12BF0E31D00002087A5DC0000</t>
        </is>
      </c>
      <c r="C618" t="inlineStr">
        <is>
          <t>cmm4yuqmq03qncuqwh1abz1d9</t>
        </is>
      </c>
      <c r="D618" t="inlineStr">
        <is>
          <t>http://localhost:8787/api/admin/requirements/documents/cmm4yuqmq03qncuqwh1abz1d9/view</t>
        </is>
      </c>
      <c r="E618">
        <f>HYPERLÄNK("http://localhost:8787/api/admin/requirements/documents/cmm4yuqmq03qncuqwh1abz1d9/view";"Öppna PDF")</f>
        <v/>
      </c>
      <c r="F618">
        <f>HYPERLINK("http://localhost:8787/api/admin/requirements/documents/cmm4yuqmq03qncuqwh1abz1d9/view","Open PDF")</f>
        <v/>
      </c>
      <c r="G618" t="inlineStr">
        <is>
          <t>cmm55w57p0004cuisfrtpqly8</t>
        </is>
      </c>
      <c r="H618" t="inlineStr">
        <is>
          <t>Informationskrav</t>
        </is>
      </c>
      <c r="I618" t="inlineStr">
        <is>
          <t>MiljopaverkanForsiktighet</t>
        </is>
      </c>
      <c r="J618" t="inlineStr">
        <is>
          <t>Skyddsatgarder</t>
        </is>
      </c>
      <c r="K618" t="inlineStr">
        <is>
          <t>Skalenliga profilskisser av platsen där avfallet ska användas.</t>
        </is>
      </c>
      <c r="L618" t="inlineStr">
        <is>
          <t>Skalenliga profilskisser av platsen där avfallet ska användas.</t>
        </is>
      </c>
      <c r="M618" t="inlineStr">
        <is>
          <t>SKA</t>
        </is>
      </c>
      <c r="N618" t="inlineStr"/>
      <c r="O618" t="inlineStr"/>
      <c r="P618" t="inlineStr"/>
      <c r="Q618" t="inlineStr"/>
      <c r="R618" t="inlineStr">
        <is>
          <t>Alltid</t>
        </is>
      </c>
      <c r="S618" t="inlineStr"/>
      <c r="T618" t="inlineStr">
        <is>
          <t>556035</t>
        </is>
      </c>
      <c r="U618" t="inlineStr"/>
      <c r="V618" t="inlineStr"/>
      <c r="W618" t="inlineStr">
        <is>
          <t>Nej</t>
        </is>
      </c>
      <c r="X618" t="inlineStr">
        <is>
          <t>Nej</t>
        </is>
      </c>
      <c r="Y618" t="inlineStr">
        <is>
          <t>Nej</t>
        </is>
      </c>
      <c r="Z618" t="inlineStr">
        <is>
          <t>Nej</t>
        </is>
      </c>
      <c r="AA618" t="n">
        <v>10</v>
      </c>
      <c r="AB618" t="inlineStr">
        <is>
          <t>Miljopaverkan och forsiktighetsmatt</t>
        </is>
      </c>
      <c r="AC618" t="inlineStr">
        <is>
          <t>Miljo-PM</t>
        </is>
      </c>
      <c r="AD618" t="inlineStr">
        <is>
          <t>Nej</t>
        </is>
      </c>
      <c r="AE618" t="inlineStr">
        <is>
          <t>Nej</t>
        </is>
      </c>
      <c r="AF618" t="inlineStr">
        <is>
          <t>Ej behandlad</t>
        </is>
      </c>
      <c r="AG618" t="inlineStr">
        <is>
          <t>AUTO_GENERERAD. Verifiera citat mot kallfil.</t>
        </is>
      </c>
      <c r="AH618" t="inlineStr">
        <is>
          <t>MEDIUM</t>
        </is>
      </c>
      <c r="AI618" t="inlineStr">
        <is>
          <t>AUTO</t>
        </is>
      </c>
      <c r="AJ618" t="inlineStr">
        <is>
          <t>Nej</t>
        </is>
      </c>
      <c r="AK618" t="inlineStr"/>
      <c r="AL618" t="inlineStr"/>
      <c r="AM618" t="inlineStr"/>
      <c r="AN618" t="inlineStr"/>
      <c r="AO618" t="inlineStr">
        <is>
          <t>cmm4yuqnj03rhcuqw5kt2masi</t>
        </is>
      </c>
      <c r="AP618" t="inlineStr">
        <is>
          <t>http://localhost:8787/api/admin/requirements/documents/cmm4yuqnj03rhcuqw5kt2masi/view</t>
        </is>
      </c>
      <c r="AQ618">
        <f>HYPERLÄNK("http://localhost:8787/api/admin/requirements/documents/cmm4yuqnj03rhcuqw5kt2masi/view";"Öppna PDF")</f>
        <v/>
      </c>
      <c r="AR618">
        <f>HYPERLINK("http://localhost:8787/api/admin/requirements/documents/cmm4yuqnj03rhcuqw5kt2masi/view","Open PDF")</f>
        <v/>
      </c>
      <c r="AS618" t="inlineStr">
        <is>
          <t>cmm55w57p0004cuisfrtpqly8</t>
        </is>
      </c>
      <c r="AT618" t="inlineStr">
        <is>
          <t>cmm4xvu980000cuh4vj0usz09</t>
        </is>
      </c>
      <c r="AU618" t="inlineStr">
        <is>
          <t>Hässleholms</t>
        </is>
      </c>
      <c r="AV618" t="inlineStr">
        <is>
          <t>Kommun</t>
        </is>
      </c>
      <c r="AW618" t="inlineStr">
        <is>
          <t>Hässleholms kommun</t>
        </is>
      </c>
      <c r="AX618" t="inlineStr">
        <is>
          <t>0451-26</t>
        </is>
      </c>
      <c r="AY618" t="inlineStr">
        <is>
          <t>Anmalan</t>
        </is>
      </c>
      <c r="AZ618" t="inlineStr">
        <is>
          <t>2026-02-05</t>
        </is>
      </c>
      <c r="BA618" t="inlineStr">
        <is>
          <t>M-2025-2674 - Avskrivning.pdf</t>
        </is>
      </c>
      <c r="BB618" t="inlineStr">
        <is>
          <t>Sv:  Begäran om utlämnande av allmän handling – Anmälningar och beslut rörande mellanlagring av avfall samt anläggning av ytor</t>
        </is>
      </c>
      <c r="BC618" t="inlineStr">
        <is>
          <t>AUTO</t>
        </is>
      </c>
      <c r="BD618" t="inlineStr"/>
      <c r="BE618" t="inlineStr"/>
      <c r="BF618" t="inlineStr">
        <is>
          <t>AUTO_GENERERAD. Bekrafta metadata mot kallfil.</t>
        </is>
      </c>
      <c r="BG618">
        <f>HYPERLINK("C:\Users\jimmy\Desktop\Examens arbete\Kod\Ny mapp\remix_-copy-of-miljöbeslut.se-portal\M-2025-2674 - Avskrivning.pdf", "Öppna PDF")</f>
        <v/>
      </c>
    </row>
    <row r="619">
      <c r="A619" t="inlineStr">
        <is>
          <t>KRAV-AUTO-000618</t>
        </is>
      </c>
      <c r="B619" t="inlineStr">
        <is>
          <t>ADMIN-INDEX-2026-02-27-00000000125C043F57453246863FE664CAFE6A3F0700950291EA24F0614FB6ACEDB12BF0E31D00000000010C0000950291EA24F0614FB6ACEDB12BF0E31D00002087A57E0000</t>
        </is>
      </c>
      <c r="C619" t="inlineStr">
        <is>
          <t>cmm4yurdw04g5cuqwg55ootk0</t>
        </is>
      </c>
      <c r="D619" t="inlineStr">
        <is>
          <t>http://localhost:8787/api/admin/requirements/documents/cmm4yurdw04g5cuqwg55ootk0/view</t>
        </is>
      </c>
      <c r="E619">
        <f>HYPERLÄNK("http://localhost:8787/api/admin/requirements/documents/cmm4yurdw04g5cuqwg55ootk0/view";"Öppna PDF")</f>
        <v/>
      </c>
      <c r="F619">
        <f>HYPERLINK("http://localhost:8787/api/admin/requirements/documents/cmm4yurdw04g5cuqwg55ootk0/view","Open PDF")</f>
        <v/>
      </c>
      <c r="G619" t="inlineStr">
        <is>
          <t>cmm55w57p0004cuisfrtpqly8</t>
        </is>
      </c>
      <c r="H619" t="inlineStr">
        <is>
          <t>Beslutsvillkor</t>
        </is>
      </c>
      <c r="I619" t="inlineStr">
        <is>
          <t>LagringsvolymTid</t>
        </is>
      </c>
      <c r="J619" t="inlineStr">
        <is>
          <t>Maxmangd</t>
        </is>
      </c>
      <c r="K619" t="inlineStr">
        <is>
          <t>Skäl för beslutet Samhällsbyggnadsnämndens motivering Samhällsbyggnadsnämnden anser att krossning av restbetong kan ske enligt den anmälan som lämnats in.</t>
        </is>
      </c>
      <c r="L619" t="inlineStr">
        <is>
          <t>Skäl för beslutet Samhällsbyggnadsnämndens motivering Samhällsbyggnadsnämnden anser att krossning av restbetong kan ske enligt den anmälan som lämnats in.</t>
        </is>
      </c>
      <c r="M619" t="inlineStr">
        <is>
          <t>SKA</t>
        </is>
      </c>
      <c r="N619" t="inlineStr"/>
      <c r="O619" t="inlineStr"/>
      <c r="P619" t="inlineStr"/>
      <c r="Q619" t="inlineStr"/>
      <c r="R619" t="inlineStr">
        <is>
          <t>Alltid</t>
        </is>
      </c>
      <c r="S619" t="inlineStr"/>
      <c r="T619" t="inlineStr">
        <is>
          <t>212000</t>
        </is>
      </c>
      <c r="U619" t="inlineStr"/>
      <c r="V619" t="inlineStr"/>
      <c r="W619" t="inlineStr">
        <is>
          <t>Nej</t>
        </is>
      </c>
      <c r="X619" t="inlineStr">
        <is>
          <t>Nej</t>
        </is>
      </c>
      <c r="Y619" t="inlineStr">
        <is>
          <t>Nej</t>
        </is>
      </c>
      <c r="Z619" t="inlineStr">
        <is>
          <t>Nej</t>
        </is>
      </c>
      <c r="AA619" t="n">
        <v>4</v>
      </c>
      <c r="AB619" t="inlineStr">
        <is>
          <t>Avfallsmangder och lagringstid</t>
        </is>
      </c>
      <c r="AC619" t="inlineStr">
        <is>
          <t>Avfallsforteckning</t>
        </is>
      </c>
      <c r="AD619" t="inlineStr">
        <is>
          <t>Nej</t>
        </is>
      </c>
      <c r="AE619" t="inlineStr">
        <is>
          <t>Nej</t>
        </is>
      </c>
      <c r="AF619" t="inlineStr">
        <is>
          <t>Ej behandlad</t>
        </is>
      </c>
      <c r="AG619" t="inlineStr">
        <is>
          <t>AUTO_GENERERAD. Verifiera citat mot kallfil.</t>
        </is>
      </c>
      <c r="AH619" t="inlineStr">
        <is>
          <t>MEDIUM</t>
        </is>
      </c>
      <c r="AI619" t="inlineStr">
        <is>
          <t>AUTO</t>
        </is>
      </c>
      <c r="AJ619" t="inlineStr">
        <is>
          <t>Nej</t>
        </is>
      </c>
      <c r="AK619" t="inlineStr"/>
      <c r="AL619" t="inlineStr"/>
      <c r="AM619" t="inlineStr"/>
      <c r="AN619" t="inlineStr"/>
      <c r="AO619" t="inlineStr">
        <is>
          <t>cmm4yure104gbcuqw0iyq01tw</t>
        </is>
      </c>
      <c r="AP619" t="inlineStr">
        <is>
          <t>http://localhost:8787/api/admin/requirements/documents/cmm4yure104gbcuqw0iyq01tw/view</t>
        </is>
      </c>
      <c r="AQ619">
        <f>HYPERLÄNK("http://localhost:8787/api/admin/requirements/documents/cmm4yure104gbcuqw0iyq01tw/view";"Öppna PDF")</f>
        <v/>
      </c>
      <c r="AR619">
        <f>HYPERLINK("http://localhost:8787/api/admin/requirements/documents/cmm4yure104gbcuqw0iyq01tw/view","Open PDF")</f>
        <v/>
      </c>
      <c r="AS619" t="inlineStr">
        <is>
          <t>cmm55w57p0004cuisfrtpqly8</t>
        </is>
      </c>
      <c r="AT619" t="inlineStr">
        <is>
          <t>cmm4xvu980000cuh4vj0usz09</t>
        </is>
      </c>
      <c r="AU619" t="inlineStr">
        <is>
          <t>i Örnsköldsviks</t>
        </is>
      </c>
      <c r="AV619" t="inlineStr">
        <is>
          <t>Kommun</t>
        </is>
      </c>
      <c r="AW619" t="inlineStr">
        <is>
          <t>i Örnsköldsviks kommun</t>
        </is>
      </c>
      <c r="AX619" t="inlineStr">
        <is>
          <t>0660-880</t>
        </is>
      </c>
      <c r="AY619" t="inlineStr">
        <is>
          <t>Beslut</t>
        </is>
      </c>
      <c r="AZ619" t="inlineStr">
        <is>
          <t>2026-02-12</t>
        </is>
      </c>
      <c r="BA619" t="inlineStr">
        <is>
          <t>E-2025-840, beslut.pdf</t>
        </is>
      </c>
      <c r="BB619" t="inlineStr">
        <is>
          <t>Sv: till registrator</t>
        </is>
      </c>
      <c r="BC619" t="inlineStr">
        <is>
          <t>AUTO</t>
        </is>
      </c>
      <c r="BD619" t="inlineStr"/>
      <c r="BE619" t="inlineStr"/>
      <c r="BF619" t="inlineStr">
        <is>
          <t>AUTO_GENERERAD. Bekrafta metadata mot kallfil.</t>
        </is>
      </c>
      <c r="BG619">
        <f>HYPERLINK("C:\Users\jimmy\Desktop\Examens arbete\Kod\Ny mapp\remix_-copy-of-miljöbeslut.se-portal\E-2025-840, beslut.pdf", "Öppna PDF")</f>
        <v/>
      </c>
    </row>
    <row r="620">
      <c r="A620" t="inlineStr">
        <is>
          <t>KRAV-AUTO-000619</t>
        </is>
      </c>
      <c r="B620" t="inlineStr">
        <is>
          <t>ADMIN-INDEX-2026-02-27-00000000125C043F57453246863FE664CAFE6A3F0700950291EA24F0614FB6ACEDB12BF0E31D00000000010C0000950291EA24F0614FB6ACEDB12BF0E31D00002087A5DE0000</t>
        </is>
      </c>
      <c r="C620" t="inlineStr">
        <is>
          <t>cmm4yuqmh03qecuqwuamnbmp4</t>
        </is>
      </c>
      <c r="D620" t="inlineStr">
        <is>
          <t>http://localhost:8787/api/admin/requirements/documents/cmm4yuqmh03qecuqwuamnbmp4/view</t>
        </is>
      </c>
      <c r="E620">
        <f>HYPERLÄNK("http://localhost:8787/api/admin/requirements/documents/cmm4yuqmh03qecuqwuamnbmp4/view";"Öppna PDF")</f>
        <v/>
      </c>
      <c r="F620">
        <f>HYPERLINK("http://localhost:8787/api/admin/requirements/documents/cmm4yuqmh03qecuqwuamnbmp4/view","Open PDF")</f>
        <v/>
      </c>
      <c r="G620" t="inlineStr">
        <is>
          <t>cmm55w57p0004cuisfrtpqly8</t>
        </is>
      </c>
      <c r="H620" t="inlineStr">
        <is>
          <t>Informationskrav</t>
        </is>
      </c>
      <c r="I620" t="inlineStr">
        <is>
          <t>DagvattenLakvatten</t>
        </is>
      </c>
      <c r="J620" t="inlineStr">
        <is>
          <t>Uppsamling</t>
        </is>
      </c>
      <c r="K620" t="inlineStr">
        <is>
          <t>Den uppsugande förmågan hos bark och flis förhindrar avrinning av vatten från ytan vid tillfällen med större mängder nederbörd.</t>
        </is>
      </c>
      <c r="L620" t="inlineStr">
        <is>
          <t>Den uppsugande förmågan hos bark och flis förhindrar avrinning av vatten från ytan vid tillfällen med större mängder nederbörd.</t>
        </is>
      </c>
      <c r="M620" t="inlineStr">
        <is>
          <t>BOR</t>
        </is>
      </c>
      <c r="N620" t="inlineStr"/>
      <c r="O620" t="inlineStr"/>
      <c r="P620" t="inlineStr"/>
      <c r="Q620" t="inlineStr"/>
      <c r="R620" t="inlineStr">
        <is>
          <t>Vid nederbord och avrinning</t>
        </is>
      </c>
      <c r="S620" t="inlineStr"/>
      <c r="T620" t="inlineStr">
        <is>
          <t>556879</t>
        </is>
      </c>
      <c r="U620" t="inlineStr"/>
      <c r="V620" t="inlineStr"/>
      <c r="W620" t="inlineStr">
        <is>
          <t>Nej</t>
        </is>
      </c>
      <c r="X620" t="inlineStr">
        <is>
          <t>Ja</t>
        </is>
      </c>
      <c r="Y620" t="inlineStr">
        <is>
          <t>Ja</t>
        </is>
      </c>
      <c r="Z620" t="inlineStr">
        <is>
          <t>Nej</t>
        </is>
      </c>
      <c r="AA620" t="n">
        <v>6</v>
      </c>
      <c r="AB620" t="inlineStr">
        <is>
          <t>Lakvattenhantering</t>
        </is>
      </c>
      <c r="AC620" t="inlineStr">
        <is>
          <t>Flodesschema dagvatten-lakvatten</t>
        </is>
      </c>
      <c r="AD620" t="inlineStr">
        <is>
          <t>Nej</t>
        </is>
      </c>
      <c r="AE620" t="inlineStr">
        <is>
          <t>Nej</t>
        </is>
      </c>
      <c r="AF620" t="inlineStr">
        <is>
          <t>Ej behandlad</t>
        </is>
      </c>
      <c r="AG620" t="inlineStr">
        <is>
          <t>AUTO_GENERERAD. Verifiera citat mot kallfil.</t>
        </is>
      </c>
      <c r="AH620" t="inlineStr">
        <is>
          <t>MEDIUM</t>
        </is>
      </c>
      <c r="AI620" t="inlineStr">
        <is>
          <t>AUTO</t>
        </is>
      </c>
      <c r="AJ620" t="inlineStr">
        <is>
          <t>Nej</t>
        </is>
      </c>
      <c r="AK620" t="inlineStr"/>
      <c r="AL620" t="inlineStr"/>
      <c r="AM620" t="inlineStr"/>
      <c r="AN620" t="inlineStr"/>
      <c r="AO620" t="inlineStr">
        <is>
          <t>cmm4yuqmh03qecuqwuamnbmp4</t>
        </is>
      </c>
      <c r="AP620" t="inlineStr">
        <is>
          <t>http://localhost:8787/api/admin/requirements/documents/cmm4yuqmh03qecuqwuamnbmp4/view</t>
        </is>
      </c>
      <c r="AQ620">
        <f>HYPERLÄNK("http://localhost:8787/api/admin/requirements/documents/cmm4yuqmh03qecuqwuamnbmp4/view";"Öppna PDF")</f>
        <v/>
      </c>
      <c r="AR620">
        <f>HYPERLINK("http://localhost:8787/api/admin/requirements/documents/cmm4yuqmh03qecuqwuamnbmp4/view","Open PDF")</f>
        <v/>
      </c>
      <c r="AS620" t="inlineStr">
        <is>
          <t>cmm55w57p0004cuisfrtpqly8</t>
        </is>
      </c>
      <c r="AT620" t="inlineStr">
        <is>
          <t>cmm4xvu980000cuh4vj0usz09</t>
        </is>
      </c>
      <c r="AU620" t="inlineStr">
        <is>
          <t>-- Skinnskattebergs</t>
        </is>
      </c>
      <c r="AV620" t="inlineStr">
        <is>
          <t>Kommun</t>
        </is>
      </c>
      <c r="AW620" t="inlineStr">
        <is>
          <t>-- Skinnskattebergs kommun</t>
        </is>
      </c>
      <c r="AX620" t="inlineStr">
        <is>
          <t>2013:251</t>
        </is>
      </c>
      <c r="AY620" t="inlineStr">
        <is>
          <t>Anmalan</t>
        </is>
      </c>
      <c r="AZ620" t="inlineStr">
        <is>
          <t>2026-02-05</t>
        </is>
      </c>
      <c r="BA620" t="inlineStr">
        <is>
          <t>Anmälan slamkompostering.pdf</t>
        </is>
      </c>
      <c r="BB620" t="inlineStr">
        <is>
          <t>Sv: till registrator</t>
        </is>
      </c>
      <c r="BC620" t="inlineStr">
        <is>
          <t>AUTO</t>
        </is>
      </c>
      <c r="BD620" t="inlineStr"/>
      <c r="BE620" t="inlineStr"/>
      <c r="BF620" t="inlineStr">
        <is>
          <t>AUTO_GENERERAD. Bekrafta metadata mot kallfil.</t>
        </is>
      </c>
      <c r="BG620">
        <f>HYPERLINK("C:\Users\jimmy\Desktop\Examens arbete\Kod\Ny mapp\remix_-copy-of-miljöbeslut.se-portal\Anmälan slamkompostering.pdf", "Öppna PDF")</f>
        <v/>
      </c>
    </row>
    <row r="621">
      <c r="A621" t="inlineStr">
        <is>
          <t>KRAV-AUTO-000620</t>
        </is>
      </c>
      <c r="B621" t="inlineStr">
        <is>
          <t>ADMIN-INDEX-2026-02-27-00000000125C043F57453246863FE664CAFE6A3F0700950291EA24F0614FB6ACEDB12BF0E31D00000000010C0000950291EA24F0614FB6ACEDB12BF0E31D00002087A5DE0000</t>
        </is>
      </c>
      <c r="C621" t="inlineStr">
        <is>
          <t>cmm4yuqmh03qecuqwuamnbmp4</t>
        </is>
      </c>
      <c r="D621" t="inlineStr">
        <is>
          <t>http://localhost:8787/api/admin/requirements/documents/cmm4yuqmh03qecuqwuamnbmp4/view</t>
        </is>
      </c>
      <c r="E621">
        <f>HYPERLÄNK("http://localhost:8787/api/admin/requirements/documents/cmm4yuqmh03qecuqwuamnbmp4/view";"Öppna PDF")</f>
        <v/>
      </c>
      <c r="F621">
        <f>HYPERLINK("http://localhost:8787/api/admin/requirements/documents/cmm4yuqmh03qecuqwuamnbmp4/view","Open PDF")</f>
        <v/>
      </c>
      <c r="G621" t="inlineStr">
        <is>
          <t>cmm55w57p0004cuisfrtpqly8</t>
        </is>
      </c>
      <c r="H621" t="inlineStr">
        <is>
          <t>Informationskrav</t>
        </is>
      </c>
      <c r="I621" t="inlineStr">
        <is>
          <t>LagringsvolymTid</t>
        </is>
      </c>
      <c r="J621" t="inlineStr">
        <is>
          <t>Maxmangd</t>
        </is>
      </c>
      <c r="K621" t="inlineStr">
        <is>
          <t>MBN2019:44-427) bedrivs mellanlagring av bark ca 2000 ton, returträ ca 1000 ton, aska ca 300 ton, krossning och sortering på den aktuella fastigheten.</t>
        </is>
      </c>
      <c r="L621" t="inlineStr">
        <is>
          <t>MBN2019:44-427) bedrivs mellanlagring av bark ca 2000 ton, returträ ca 1000 ton, aska ca 300 ton, krossning och sortering på den aktuella fastigheten.</t>
        </is>
      </c>
      <c r="M621" t="inlineStr">
        <is>
          <t>SKA</t>
        </is>
      </c>
      <c r="N621" t="inlineStr"/>
      <c r="O621" t="inlineStr"/>
      <c r="P621" t="inlineStr"/>
      <c r="Q621" t="inlineStr"/>
      <c r="R621" t="inlineStr">
        <is>
          <t>Alltid</t>
        </is>
      </c>
      <c r="S621" t="inlineStr"/>
      <c r="T621" t="inlineStr">
        <is>
          <t>556879</t>
        </is>
      </c>
      <c r="U621" t="n">
        <v>2000</v>
      </c>
      <c r="V621" t="inlineStr"/>
      <c r="W621" t="inlineStr">
        <is>
          <t>Nej</t>
        </is>
      </c>
      <c r="X621" t="inlineStr">
        <is>
          <t>Nej</t>
        </is>
      </c>
      <c r="Y621" t="inlineStr">
        <is>
          <t>Nej</t>
        </is>
      </c>
      <c r="Z621" t="inlineStr">
        <is>
          <t>Nej</t>
        </is>
      </c>
      <c r="AA621" t="n">
        <v>4</v>
      </c>
      <c r="AB621" t="inlineStr">
        <is>
          <t>Avfallsmangder och lagringstid</t>
        </is>
      </c>
      <c r="AC621" t="inlineStr">
        <is>
          <t>Avfallsforteckning</t>
        </is>
      </c>
      <c r="AD621" t="inlineStr">
        <is>
          <t>Nej</t>
        </is>
      </c>
      <c r="AE621" t="inlineStr">
        <is>
          <t>Nej</t>
        </is>
      </c>
      <c r="AF621" t="inlineStr">
        <is>
          <t>Ej behandlad</t>
        </is>
      </c>
      <c r="AG621" t="inlineStr">
        <is>
          <t>AUTO_GENERERAD. Verifiera citat mot kallfil.</t>
        </is>
      </c>
      <c r="AH621" t="inlineStr">
        <is>
          <t>MEDIUM</t>
        </is>
      </c>
      <c r="AI621" t="inlineStr">
        <is>
          <t>AUTO</t>
        </is>
      </c>
      <c r="AJ621" t="inlineStr">
        <is>
          <t>Nej</t>
        </is>
      </c>
      <c r="AK621" t="inlineStr"/>
      <c r="AL621" t="inlineStr"/>
      <c r="AM621" t="inlineStr"/>
      <c r="AN621" t="inlineStr"/>
      <c r="AO621" t="inlineStr">
        <is>
          <t>cmm4yuqmh03qecuqwuamnbmp4</t>
        </is>
      </c>
      <c r="AP621" t="inlineStr">
        <is>
          <t>http://localhost:8787/api/admin/requirements/documents/cmm4yuqmh03qecuqwuamnbmp4/view</t>
        </is>
      </c>
      <c r="AQ621">
        <f>HYPERLÄNK("http://localhost:8787/api/admin/requirements/documents/cmm4yuqmh03qecuqwuamnbmp4/view";"Öppna PDF")</f>
        <v/>
      </c>
      <c r="AR621">
        <f>HYPERLINK("http://localhost:8787/api/admin/requirements/documents/cmm4yuqmh03qecuqwuamnbmp4/view","Open PDF")</f>
        <v/>
      </c>
      <c r="AS621" t="inlineStr">
        <is>
          <t>cmm55w57p0004cuisfrtpqly8</t>
        </is>
      </c>
      <c r="AT621" t="inlineStr">
        <is>
          <t>cmm4xvu980000cuh4vj0usz09</t>
        </is>
      </c>
      <c r="AU621" t="inlineStr">
        <is>
          <t>-- Skinnskattebergs</t>
        </is>
      </c>
      <c r="AV621" t="inlineStr">
        <is>
          <t>Kommun</t>
        </is>
      </c>
      <c r="AW621" t="inlineStr">
        <is>
          <t>-- Skinnskattebergs kommun</t>
        </is>
      </c>
      <c r="AX621" t="inlineStr">
        <is>
          <t>2013:251</t>
        </is>
      </c>
      <c r="AY621" t="inlineStr">
        <is>
          <t>Anmalan</t>
        </is>
      </c>
      <c r="AZ621" t="inlineStr">
        <is>
          <t>2026-02-05</t>
        </is>
      </c>
      <c r="BA621" t="inlineStr">
        <is>
          <t>Anmälan slamkompostering.pdf</t>
        </is>
      </c>
      <c r="BB621" t="inlineStr">
        <is>
          <t>Sv: till registrator</t>
        </is>
      </c>
      <c r="BC621" t="inlineStr">
        <is>
          <t>AUTO</t>
        </is>
      </c>
      <c r="BD621" t="inlineStr"/>
      <c r="BE621" t="inlineStr"/>
      <c r="BF621" t="inlineStr">
        <is>
          <t>AUTO_GENERERAD. Bekrafta metadata mot kallfil.</t>
        </is>
      </c>
      <c r="BG621">
        <f>HYPERLINK("C:\Users\jimmy\Desktop\Examens arbete\Kod\Ny mapp\remix_-copy-of-miljöbeslut.se-portal\Anmälan slamkompostering.pdf", "Öppna PDF")</f>
        <v/>
      </c>
    </row>
    <row r="622">
      <c r="A622" t="inlineStr">
        <is>
          <t>KRAV-AUTO-000621</t>
        </is>
      </c>
      <c r="B622" t="inlineStr">
        <is>
          <t>ADMIN-INDEX-2026-02-27-00000000125C043F57453246863FE664CAFE6A3F0700950291EA24F0614FB6ACEDB12BF0E31D00000000010C0000950291EA24F0614FB6ACEDB12BF0E31D00002087A5DE0000</t>
        </is>
      </c>
      <c r="C622" t="inlineStr">
        <is>
          <t>cmm4yuqmh03qecuqwuamnbmp4</t>
        </is>
      </c>
      <c r="D622" t="inlineStr">
        <is>
          <t>http://localhost:8787/api/admin/requirements/documents/cmm4yuqmh03qecuqwuamnbmp4/view</t>
        </is>
      </c>
      <c r="E622">
        <f>HYPERLÄNK("http://localhost:8787/api/admin/requirements/documents/cmm4yuqmh03qecuqwuamnbmp4/view";"Öppna PDF")</f>
        <v/>
      </c>
      <c r="F622">
        <f>HYPERLINK("http://localhost:8787/api/admin/requirements/documents/cmm4yuqmh03qecuqwuamnbmp4/view","Open PDF")</f>
        <v/>
      </c>
      <c r="G622" t="inlineStr">
        <is>
          <t>cmm55w57p0004cuisfrtpqly8</t>
        </is>
      </c>
      <c r="H622" t="inlineStr">
        <is>
          <t>Informationskrav</t>
        </is>
      </c>
      <c r="I622" t="inlineStr">
        <is>
          <t>DagvattenLakvatten</t>
        </is>
      </c>
      <c r="J622" t="inlineStr">
        <is>
          <t>Uppsamling</t>
        </is>
      </c>
      <c r="K622" t="inlineStr">
        <is>
          <t>JA X NEJ Farligt Avfall Om farligt avfall uppstår ange typ och lagring Bilaga bifogas JA X NEJ Föroreningsskador Har föroreningsskada upptäckts i mark eller byggnad?</t>
        </is>
      </c>
      <c r="L622" t="inlineStr">
        <is>
          <t>JA X NEJ Farligt Avfall Om farligt avfall uppstår ange typ och lagring Bilaga bifogas JA X NEJ Föroreningsskador Har föroreningsskada upptäckts i mark eller byggnad?</t>
        </is>
      </c>
      <c r="M622" t="inlineStr">
        <is>
          <t>SKA</t>
        </is>
      </c>
      <c r="N622" t="inlineStr"/>
      <c r="O622" t="inlineStr"/>
      <c r="P622" t="inlineStr">
        <is>
          <t>Arlig</t>
        </is>
      </c>
      <c r="Q622" t="inlineStr"/>
      <c r="R622" t="inlineStr">
        <is>
          <t>Vid nederbord och avrinning</t>
        </is>
      </c>
      <c r="S622" t="inlineStr"/>
      <c r="T622" t="inlineStr">
        <is>
          <t>556879</t>
        </is>
      </c>
      <c r="U622" t="inlineStr"/>
      <c r="V622" t="inlineStr"/>
      <c r="W622" t="inlineStr">
        <is>
          <t>Nej</t>
        </is>
      </c>
      <c r="X622" t="inlineStr">
        <is>
          <t>Ja</t>
        </is>
      </c>
      <c r="Y622" t="inlineStr">
        <is>
          <t>Ja</t>
        </is>
      </c>
      <c r="Z622" t="inlineStr">
        <is>
          <t>Nej</t>
        </is>
      </c>
      <c r="AA622" t="n">
        <v>6</v>
      </c>
      <c r="AB622" t="inlineStr">
        <is>
          <t>Lakvattenhantering</t>
        </is>
      </c>
      <c r="AC622" t="inlineStr">
        <is>
          <t>Flodesschema dagvatten-lakvatten</t>
        </is>
      </c>
      <c r="AD622" t="inlineStr">
        <is>
          <t>Nej</t>
        </is>
      </c>
      <c r="AE622" t="inlineStr">
        <is>
          <t>Nej</t>
        </is>
      </c>
      <c r="AF622" t="inlineStr">
        <is>
          <t>Ej behandlad</t>
        </is>
      </c>
      <c r="AG622" t="inlineStr">
        <is>
          <t>AUTO_GENERERAD. Verifiera citat mot kallfil.</t>
        </is>
      </c>
      <c r="AH622" t="inlineStr">
        <is>
          <t>MEDIUM</t>
        </is>
      </c>
      <c r="AI622" t="inlineStr">
        <is>
          <t>AUTO</t>
        </is>
      </c>
      <c r="AJ622" t="inlineStr">
        <is>
          <t>Nej</t>
        </is>
      </c>
      <c r="AK622" t="inlineStr"/>
      <c r="AL622" t="inlineStr"/>
      <c r="AM622" t="inlineStr"/>
      <c r="AN622" t="inlineStr"/>
      <c r="AO622" t="inlineStr">
        <is>
          <t>cmm4yuqmh03qecuqwuamnbmp4</t>
        </is>
      </c>
      <c r="AP622" t="inlineStr">
        <is>
          <t>http://localhost:8787/api/admin/requirements/documents/cmm4yuqmh03qecuqwuamnbmp4/view</t>
        </is>
      </c>
      <c r="AQ622">
        <f>HYPERLÄNK("http://localhost:8787/api/admin/requirements/documents/cmm4yuqmh03qecuqwuamnbmp4/view";"Öppna PDF")</f>
        <v/>
      </c>
      <c r="AR622">
        <f>HYPERLINK("http://localhost:8787/api/admin/requirements/documents/cmm4yuqmh03qecuqwuamnbmp4/view","Open PDF")</f>
        <v/>
      </c>
      <c r="AS622" t="inlineStr">
        <is>
          <t>cmm55w57p0004cuisfrtpqly8</t>
        </is>
      </c>
      <c r="AT622" t="inlineStr">
        <is>
          <t>cmm4xvu980000cuh4vj0usz09</t>
        </is>
      </c>
      <c r="AU622" t="inlineStr">
        <is>
          <t>-- Skinnskattebergs</t>
        </is>
      </c>
      <c r="AV622" t="inlineStr">
        <is>
          <t>Kommun</t>
        </is>
      </c>
      <c r="AW622" t="inlineStr">
        <is>
          <t>-- Skinnskattebergs kommun</t>
        </is>
      </c>
      <c r="AX622" t="inlineStr">
        <is>
          <t>2013:251</t>
        </is>
      </c>
      <c r="AY622" t="inlineStr">
        <is>
          <t>Anmalan</t>
        </is>
      </c>
      <c r="AZ622" t="inlineStr">
        <is>
          <t>2026-02-05</t>
        </is>
      </c>
      <c r="BA622" t="inlineStr">
        <is>
          <t>Anmälan slamkompostering.pdf</t>
        </is>
      </c>
      <c r="BB622" t="inlineStr">
        <is>
          <t>Sv: till registrator</t>
        </is>
      </c>
      <c r="BC622" t="inlineStr">
        <is>
          <t>AUTO</t>
        </is>
      </c>
      <c r="BD622" t="inlineStr"/>
      <c r="BE622" t="inlineStr"/>
      <c r="BF622" t="inlineStr">
        <is>
          <t>AUTO_GENERERAD. Bekrafta metadata mot kallfil.</t>
        </is>
      </c>
      <c r="BG622">
        <f>HYPERLINK("C:\Users\jimmy\Desktop\Examens arbete\Kod\Ny mapp\remix_-copy-of-miljöbeslut.se-portal\Anmälan slamkompostering.pdf", "Öppna PDF")</f>
        <v/>
      </c>
    </row>
    <row r="623">
      <c r="A623" t="inlineStr">
        <is>
          <t>KRAV-AUTO-000622</t>
        </is>
      </c>
      <c r="B623" t="inlineStr">
        <is>
          <t>ADMIN-INDEX-2026-02-27-00000000125C043F57453246863FE664CAFE6A3F0700950291EA24F0614FB6ACEDB12BF0E31D00000000010C0000950291EA24F0614FB6ACEDB12BF0E31D00002087ADE30000</t>
        </is>
      </c>
      <c r="C623" t="inlineStr">
        <is>
          <t>cmm4yuqme03qbcuqwtpkeijd2</t>
        </is>
      </c>
      <c r="D623" t="inlineStr">
        <is>
          <t>http://localhost:8787/api/admin/requirements/documents/cmm4yuqme03qbcuqwtpkeijd2/view</t>
        </is>
      </c>
      <c r="E623">
        <f>HYPERLÄNK("http://localhost:8787/api/admin/requirements/documents/cmm4yuqme03qbcuqwtpkeijd2/view";"Öppna PDF")</f>
        <v/>
      </c>
      <c r="F623">
        <f>HYPERLINK("http://localhost:8787/api/admin/requirements/documents/cmm4yuqme03qbcuqwtpkeijd2/view","Open PDF")</f>
        <v/>
      </c>
      <c r="G623" t="inlineStr">
        <is>
          <t>cmm55w57p0004cuisfrtpqly8</t>
        </is>
      </c>
      <c r="H623" t="inlineStr">
        <is>
          <t>Beslutsvillkor</t>
        </is>
      </c>
      <c r="I623" t="inlineStr">
        <is>
          <t>MiljopaverkanForsiktighet</t>
        </is>
      </c>
      <c r="J623" t="inlineStr">
        <is>
          <t>Skyddsatgarder</t>
        </is>
      </c>
      <c r="K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623" t="inlineStr">
        <is>
          <t>INFO</t>
        </is>
      </c>
      <c r="N623" t="inlineStr">
        <is>
          <t>MPF</t>
        </is>
      </c>
      <c r="O623" t="inlineStr"/>
      <c r="P623" t="inlineStr"/>
      <c r="Q623" t="inlineStr">
        <is>
          <t>Forelaggande vid brist</t>
        </is>
      </c>
      <c r="R623" t="inlineStr">
        <is>
          <t>Alltid</t>
        </is>
      </c>
      <c r="S623" t="inlineStr"/>
      <c r="T623" t="inlineStr">
        <is>
          <t>212000</t>
        </is>
      </c>
      <c r="U623" t="inlineStr"/>
      <c r="V623" t="inlineStr"/>
      <c r="W623" t="inlineStr">
        <is>
          <t>Nej</t>
        </is>
      </c>
      <c r="X623" t="inlineStr">
        <is>
          <t>Nej</t>
        </is>
      </c>
      <c r="Y623" t="inlineStr">
        <is>
          <t>Nej</t>
        </is>
      </c>
      <c r="Z623" t="inlineStr">
        <is>
          <t>Nej</t>
        </is>
      </c>
      <c r="AA623" t="n">
        <v>10</v>
      </c>
      <c r="AB623" t="inlineStr">
        <is>
          <t>Miljopaverkan och forsiktighetsmatt</t>
        </is>
      </c>
      <c r="AC623" t="inlineStr">
        <is>
          <t>Miljo-PM</t>
        </is>
      </c>
      <c r="AD623" t="inlineStr">
        <is>
          <t>Nej</t>
        </is>
      </c>
      <c r="AE623" t="inlineStr">
        <is>
          <t>Nej</t>
        </is>
      </c>
      <c r="AF623" t="inlineStr">
        <is>
          <t>Ej behandlad</t>
        </is>
      </c>
      <c r="AG623" t="inlineStr">
        <is>
          <t>AUTO_GENERERAD. Verifiera citat mot kallfil.</t>
        </is>
      </c>
      <c r="AH623" t="inlineStr">
        <is>
          <t>HIGH</t>
        </is>
      </c>
      <c r="AI623" t="inlineStr">
        <is>
          <t>AUTO</t>
        </is>
      </c>
      <c r="AJ623" t="inlineStr">
        <is>
          <t>Nej</t>
        </is>
      </c>
      <c r="AK623" t="inlineStr"/>
      <c r="AL623" t="inlineStr"/>
      <c r="AM623" t="inlineStr"/>
      <c r="AN623" t="inlineStr"/>
      <c r="AO623" t="inlineStr">
        <is>
          <t>cmm4yuqm903q5cuqw4e2lm0yq</t>
        </is>
      </c>
      <c r="AP623" t="inlineStr">
        <is>
          <t>http://localhost:8787/api/admin/requirements/documents/cmm4yuqm903q5cuqw4e2lm0yq/view</t>
        </is>
      </c>
      <c r="AQ623">
        <f>HYPERLÄNK("http://localhost:8787/api/admin/requirements/documents/cmm4yuqm903q5cuqw4e2lm0yq/view";"Öppna PDF")</f>
        <v/>
      </c>
      <c r="AR623">
        <f>HYPERLINK("http://localhost:8787/api/admin/requirements/documents/cmm4yuqm903q5cuqw4e2lm0yq/view","Open PDF")</f>
        <v/>
      </c>
      <c r="AS623" t="inlineStr">
        <is>
          <t>cmm55w57p0004cuisfrtpqly8</t>
        </is>
      </c>
      <c r="AT623" t="inlineStr">
        <is>
          <t>cmm4xvu980000cuh4vj0usz09</t>
        </is>
      </c>
      <c r="AU623" t="inlineStr">
        <is>
          <t>Miljöinspektör Bygg och Miljö Ljusdals</t>
        </is>
      </c>
      <c r="AV623" t="inlineStr">
        <is>
          <t>Kommun</t>
        </is>
      </c>
      <c r="AW623" t="inlineStr">
        <is>
          <t>Miljöinspektör Bygg och Miljö Ljusdals kommun</t>
        </is>
      </c>
      <c r="AX623" t="inlineStr">
        <is>
          <t>0651-18</t>
        </is>
      </c>
      <c r="AY623" t="inlineStr">
        <is>
          <t>Beslut</t>
        </is>
      </c>
      <c r="AZ623" t="inlineStr">
        <is>
          <t>2026-02-05</t>
        </is>
      </c>
      <c r="BA623" t="inlineStr">
        <is>
          <t>MFV.2025.230.pdf</t>
        </is>
      </c>
      <c r="BB623" t="inlineStr">
        <is>
          <t>Sv: Skickat till MILJÖ             Extern: till registrator</t>
        </is>
      </c>
      <c r="BC623" t="inlineStr">
        <is>
          <t>AUTO</t>
        </is>
      </c>
      <c r="BD623" t="inlineStr"/>
      <c r="BE623" t="inlineStr"/>
      <c r="BF623" t="inlineStr">
        <is>
          <t>AUTO_GENERERAD. Bekrafta metadata mot kallfil.</t>
        </is>
      </c>
      <c r="BG623">
        <f>HYPERLINK("C:\Users\jimmy\Desktop\Examens arbete\Kod\Ny mapp\remix_-copy-of-miljöbeslut.se-portal\MFV.2025.230.pdf", "Öppna PDF")</f>
        <v/>
      </c>
    </row>
    <row r="624">
      <c r="A624" t="inlineStr">
        <is>
          <t>KRAV-AUTO-000623</t>
        </is>
      </c>
      <c r="B624" t="inlineStr">
        <is>
          <t>ADMIN-INDEX-2026-02-27-00000000125C043F57453246863FE664CAFE6A3F0700950291EA24F0614FB6ACEDB12BF0E31D00000000010C0000950291EA24F0614FB6ACEDB12BF0E31D00002087ADE30000</t>
        </is>
      </c>
      <c r="C624" t="inlineStr">
        <is>
          <t>cmm4yuqmc03q8cuqwf6wc1urn</t>
        </is>
      </c>
      <c r="D624" t="inlineStr">
        <is>
          <t>http://localhost:8787/api/admin/requirements/documents/cmm4yuqmc03q8cuqwf6wc1urn/view</t>
        </is>
      </c>
      <c r="E624">
        <f>HYPERLÄNK("http://localhost:8787/api/admin/requirements/documents/cmm4yuqmc03q8cuqwf6wc1urn/view";"Öppna PDF")</f>
        <v/>
      </c>
      <c r="F624">
        <f>HYPERLINK("http://localhost:8787/api/admin/requirements/documents/cmm4yuqmc03q8cuqwf6wc1urn/view","Open PDF")</f>
        <v/>
      </c>
      <c r="G624" t="inlineStr">
        <is>
          <t>cmm55w57p0004cuisfrtpqly8</t>
        </is>
      </c>
      <c r="H624" t="inlineStr">
        <is>
          <t>Beslutsvillkor</t>
        </is>
      </c>
      <c r="I624" t="inlineStr">
        <is>
          <t>Ytkonstruktion</t>
        </is>
      </c>
      <c r="J624" t="inlineStr">
        <is>
          <t>Tat yta</t>
        </is>
      </c>
      <c r="K624" t="inlineStr">
        <is>
          <t>Ändamålet ska vara anläggningsändamål, dvs syftet får inte vara att endast bli av med avfallet utan det måste vara någon ”nytta” med uppläggningen.</t>
        </is>
      </c>
      <c r="L624" t="inlineStr">
        <is>
          <t>Ändamålet ska vara anläggningsändamål, dvs syftet får inte vara att endast bli av med avfallet utan det måste vara någon ”nytta” med uppläggningen.</t>
        </is>
      </c>
      <c r="M624" t="inlineStr">
        <is>
          <t>SKA</t>
        </is>
      </c>
      <c r="N624" t="inlineStr"/>
      <c r="O624" t="inlineStr"/>
      <c r="P624" t="inlineStr"/>
      <c r="Q624" t="inlineStr">
        <is>
          <t>Driftbegransning vid avvikelse</t>
        </is>
      </c>
      <c r="R624" t="inlineStr">
        <is>
          <t>Vid mellanlagring av avfall</t>
        </is>
      </c>
      <c r="S624" t="inlineStr"/>
      <c r="T624" t="inlineStr">
        <is>
          <t>323790</t>
        </is>
      </c>
      <c r="U624" t="inlineStr"/>
      <c r="V624" t="inlineStr"/>
      <c r="W624" t="inlineStr">
        <is>
          <t>Ja</t>
        </is>
      </c>
      <c r="X624" t="inlineStr">
        <is>
          <t>Nej</t>
        </is>
      </c>
      <c r="Y624" t="inlineStr">
        <is>
          <t>Nej</t>
        </is>
      </c>
      <c r="Z624" t="inlineStr">
        <is>
          <t>Nej</t>
        </is>
      </c>
      <c r="AA624" t="n">
        <v>5</v>
      </c>
      <c r="AB624" t="inlineStr">
        <is>
          <t>Teknisk beskrivning av platta</t>
        </is>
      </c>
      <c r="AC624" t="inlineStr">
        <is>
          <t>Teknisk ritning platta</t>
        </is>
      </c>
      <c r="AD624" t="inlineStr">
        <is>
          <t>Nej</t>
        </is>
      </c>
      <c r="AE624" t="inlineStr">
        <is>
          <t>Nej</t>
        </is>
      </c>
      <c r="AF624" t="inlineStr">
        <is>
          <t>Ej behandlad</t>
        </is>
      </c>
      <c r="AG624" t="inlineStr">
        <is>
          <t>AUTO_GENERERAD. Verifiera citat mot kallfil.</t>
        </is>
      </c>
      <c r="AH624" t="inlineStr">
        <is>
          <t>MEDIUM</t>
        </is>
      </c>
      <c r="AI624" t="inlineStr">
        <is>
          <t>AUTO</t>
        </is>
      </c>
      <c r="AJ624" t="inlineStr">
        <is>
          <t>Nej</t>
        </is>
      </c>
      <c r="AK624" t="inlineStr"/>
      <c r="AL624" t="inlineStr"/>
      <c r="AM624" t="inlineStr"/>
      <c r="AN624" t="inlineStr"/>
      <c r="AO624" t="inlineStr">
        <is>
          <t>cmm4yuqm903q5cuqw4e2lm0yq</t>
        </is>
      </c>
      <c r="AP624" t="inlineStr">
        <is>
          <t>http://localhost:8787/api/admin/requirements/documents/cmm4yuqm903q5cuqw4e2lm0yq/view</t>
        </is>
      </c>
      <c r="AQ624">
        <f>HYPERLÄNK("http://localhost:8787/api/admin/requirements/documents/cmm4yuqm903q5cuqw4e2lm0yq/view";"Öppna PDF")</f>
        <v/>
      </c>
      <c r="AR624">
        <f>HYPERLINK("http://localhost:8787/api/admin/requirements/documents/cmm4yuqm903q5cuqw4e2lm0yq/view","Open PDF")</f>
        <v/>
      </c>
      <c r="AS624" t="inlineStr">
        <is>
          <t>cmm55w57p0004cuisfrtpqly8</t>
        </is>
      </c>
      <c r="AT624" t="inlineStr">
        <is>
          <t>cmm4xvu980000cuh4vj0usz09</t>
        </is>
      </c>
      <c r="AU624" t="inlineStr">
        <is>
          <t>Miljöinspektör Bygg och Miljö Ljusdals</t>
        </is>
      </c>
      <c r="AV624" t="inlineStr">
        <is>
          <t>Kommun</t>
        </is>
      </c>
      <c r="AW624" t="inlineStr">
        <is>
          <t>Miljöinspektör Bygg och Miljö Ljusdals kommun</t>
        </is>
      </c>
      <c r="AX624" t="inlineStr">
        <is>
          <t>0651-18</t>
        </is>
      </c>
      <c r="AY624" t="inlineStr">
        <is>
          <t>Beslut</t>
        </is>
      </c>
      <c r="AZ624" t="inlineStr">
        <is>
          <t>2026-02-05</t>
        </is>
      </c>
      <c r="BA624" t="inlineStr">
        <is>
          <t>MFV.2025.230.pdf</t>
        </is>
      </c>
      <c r="BB624" t="inlineStr">
        <is>
          <t>Sv: Skickat till MILJÖ             Extern: till registrator</t>
        </is>
      </c>
      <c r="BC624" t="inlineStr">
        <is>
          <t>AUTO</t>
        </is>
      </c>
      <c r="BD624" t="inlineStr"/>
      <c r="BE624" t="inlineStr"/>
      <c r="BF624" t="inlineStr">
        <is>
          <t>AUTO_GENERERAD. Bekrafta metadata mot kallfil.</t>
        </is>
      </c>
      <c r="BG624">
        <f>HYPERLINK("C:\Users\jimmy\Desktop\Examens arbete\Kod\Ny mapp\remix_-copy-of-miljöbeslut.se-portal\MFV.2025.230.pdf", "Öppna PDF")</f>
        <v/>
      </c>
    </row>
    <row r="625">
      <c r="A625" t="inlineStr">
        <is>
          <t>KRAV-AUTO-000624</t>
        </is>
      </c>
      <c r="B625" t="inlineStr">
        <is>
          <t>ADMIN-INDEX-2026-02-27-00000000125C043F57453246863FE664CAFE6A3F0700950291EA24F0614FB6ACEDB12BF0E31D00000000010C0000950291EA24F0614FB6ACEDB12BF0E31D00002087ADE30000</t>
        </is>
      </c>
      <c r="C625" t="inlineStr">
        <is>
          <t>cmm4yuqmc03q8cuqwf6wc1urn</t>
        </is>
      </c>
      <c r="D625" t="inlineStr">
        <is>
          <t>http://localhost:8787/api/admin/requirements/documents/cmm4yuqmc03q8cuqwf6wc1urn/view</t>
        </is>
      </c>
      <c r="E625">
        <f>HYPERLÄNK("http://localhost:8787/api/admin/requirements/documents/cmm4yuqmc03q8cuqwf6wc1urn/view";"Öppna PDF")</f>
        <v/>
      </c>
      <c r="F625">
        <f>HYPERLINK("http://localhost:8787/api/admin/requirements/documents/cmm4yuqmc03q8cuqwf6wc1urn/view","Open PDF")</f>
        <v/>
      </c>
      <c r="G625" t="inlineStr">
        <is>
          <t>cmm55w57p0004cuisfrtpqly8</t>
        </is>
      </c>
      <c r="H625" t="inlineStr">
        <is>
          <t>Beslutsvillkor</t>
        </is>
      </c>
      <c r="I625" t="inlineStr">
        <is>
          <t>DagvattenLakvatten</t>
        </is>
      </c>
      <c r="J625" t="inlineStr">
        <is>
          <t>Uppsamling</t>
        </is>
      </c>
      <c r="K625" t="inlineStr">
        <is>
          <t>Föroreningsrisken avgör om du måste göra en anmälan Det som avgör om en anmälan krävs eller inte är risken för förorening av mark, vattenområde eller grundvatten.</t>
        </is>
      </c>
      <c r="L625" t="inlineStr">
        <is>
          <t>Föroreningsrisken avgör om du måste göra en anmälan Det som avgör om en anmälan krävs eller inte är risken för förorening av mark, vattenområde eller grundvatten.</t>
        </is>
      </c>
      <c r="M625" t="inlineStr">
        <is>
          <t>SKA</t>
        </is>
      </c>
      <c r="N625" t="inlineStr"/>
      <c r="O625" t="inlineStr"/>
      <c r="P625" t="inlineStr"/>
      <c r="Q625" t="inlineStr"/>
      <c r="R625" t="inlineStr">
        <is>
          <t>Vid nederbord och avrinning</t>
        </is>
      </c>
      <c r="S625" t="inlineStr"/>
      <c r="T625" t="inlineStr">
        <is>
          <t>323790</t>
        </is>
      </c>
      <c r="U625" t="inlineStr"/>
      <c r="V625" t="inlineStr"/>
      <c r="W625" t="inlineStr">
        <is>
          <t>Nej</t>
        </is>
      </c>
      <c r="X625" t="inlineStr">
        <is>
          <t>Ja</t>
        </is>
      </c>
      <c r="Y625" t="inlineStr">
        <is>
          <t>Ja</t>
        </is>
      </c>
      <c r="Z625" t="inlineStr">
        <is>
          <t>Nej</t>
        </is>
      </c>
      <c r="AA625" t="n">
        <v>6</v>
      </c>
      <c r="AB625" t="inlineStr">
        <is>
          <t>Lakvattenhantering</t>
        </is>
      </c>
      <c r="AC625" t="inlineStr">
        <is>
          <t>Flodesschema dagvatten-lakvatten</t>
        </is>
      </c>
      <c r="AD625" t="inlineStr">
        <is>
          <t>Nej</t>
        </is>
      </c>
      <c r="AE625" t="inlineStr">
        <is>
          <t>Nej</t>
        </is>
      </c>
      <c r="AF625" t="inlineStr">
        <is>
          <t>Ej behandlad</t>
        </is>
      </c>
      <c r="AG625" t="inlineStr">
        <is>
          <t>AUTO_GENERERAD. Verifiera citat mot kallfil.</t>
        </is>
      </c>
      <c r="AH625" t="inlineStr">
        <is>
          <t>MEDIUM</t>
        </is>
      </c>
      <c r="AI625" t="inlineStr">
        <is>
          <t>AUTO</t>
        </is>
      </c>
      <c r="AJ625" t="inlineStr">
        <is>
          <t>Nej</t>
        </is>
      </c>
      <c r="AK625" t="inlineStr"/>
      <c r="AL625" t="inlineStr"/>
      <c r="AM625" t="inlineStr"/>
      <c r="AN625" t="inlineStr"/>
      <c r="AO625" t="inlineStr">
        <is>
          <t>cmm4yuqm903q5cuqw4e2lm0yq</t>
        </is>
      </c>
      <c r="AP625" t="inlineStr">
        <is>
          <t>http://localhost:8787/api/admin/requirements/documents/cmm4yuqm903q5cuqw4e2lm0yq/view</t>
        </is>
      </c>
      <c r="AQ625">
        <f>HYPERLÄNK("http://localhost:8787/api/admin/requirements/documents/cmm4yuqm903q5cuqw4e2lm0yq/view";"Öppna PDF")</f>
        <v/>
      </c>
      <c r="AR625">
        <f>HYPERLINK("http://localhost:8787/api/admin/requirements/documents/cmm4yuqm903q5cuqw4e2lm0yq/view","Open PDF")</f>
        <v/>
      </c>
      <c r="AS625" t="inlineStr">
        <is>
          <t>cmm55w57p0004cuisfrtpqly8</t>
        </is>
      </c>
      <c r="AT625" t="inlineStr">
        <is>
          <t>cmm4xvu980000cuh4vj0usz09</t>
        </is>
      </c>
      <c r="AU625" t="inlineStr">
        <is>
          <t>Miljöinspektör Bygg och Miljö Ljusdals</t>
        </is>
      </c>
      <c r="AV625" t="inlineStr">
        <is>
          <t>Kommun</t>
        </is>
      </c>
      <c r="AW625" t="inlineStr">
        <is>
          <t>Miljöinspektör Bygg och Miljö Ljusdals kommun</t>
        </is>
      </c>
      <c r="AX625" t="inlineStr">
        <is>
          <t>0651-18</t>
        </is>
      </c>
      <c r="AY625" t="inlineStr">
        <is>
          <t>Beslut</t>
        </is>
      </c>
      <c r="AZ625" t="inlineStr">
        <is>
          <t>2026-02-05</t>
        </is>
      </c>
      <c r="BA625" t="inlineStr">
        <is>
          <t>MFV.2025.230.pdf</t>
        </is>
      </c>
      <c r="BB625" t="inlineStr">
        <is>
          <t>Sv: Skickat till MILJÖ             Extern: till registrator</t>
        </is>
      </c>
      <c r="BC625" t="inlineStr">
        <is>
          <t>AUTO</t>
        </is>
      </c>
      <c r="BD625" t="inlineStr"/>
      <c r="BE625" t="inlineStr"/>
      <c r="BF625" t="inlineStr">
        <is>
          <t>AUTO_GENERERAD. Bekrafta metadata mot kallfil.</t>
        </is>
      </c>
      <c r="BG625">
        <f>HYPERLINK("C:\Users\jimmy\Desktop\Examens arbete\Kod\Ny mapp\remix_-copy-of-miljöbeslut.se-portal\MFV.2025.230.pdf", "Öppna PDF")</f>
        <v/>
      </c>
    </row>
    <row r="626">
      <c r="A626" t="inlineStr">
        <is>
          <t>KRAV-AUTO-000625</t>
        </is>
      </c>
      <c r="B626" t="inlineStr">
        <is>
          <t>ADMIN-INDEX-2026-02-27-00000000125C043F57453246863FE664CAFE6A3F0700950291EA24F0614FB6ACEDB12BF0E31D00000000010C0000950291EA24F0614FB6ACEDB12BF0E31D00002087ADE30000</t>
        </is>
      </c>
      <c r="C626" t="inlineStr">
        <is>
          <t>cmm4yuqmc03q8cuqwf6wc1urn</t>
        </is>
      </c>
      <c r="D626" t="inlineStr">
        <is>
          <t>http://localhost:8787/api/admin/requirements/documents/cmm4yuqmc03q8cuqwf6wc1urn/view</t>
        </is>
      </c>
      <c r="E626">
        <f>HYPERLÄNK("http://localhost:8787/api/admin/requirements/documents/cmm4yuqmc03q8cuqwf6wc1urn/view";"Öppna PDF")</f>
        <v/>
      </c>
      <c r="F626">
        <f>HYPERLINK("http://localhost:8787/api/admin/requirements/documents/cmm4yuqmc03q8cuqwf6wc1urn/view","Open PDF")</f>
        <v/>
      </c>
      <c r="G626" t="inlineStr">
        <is>
          <t>cmm55w57p0004cuisfrtpqly8</t>
        </is>
      </c>
      <c r="H626" t="inlineStr">
        <is>
          <t>Beslutsvillkor</t>
        </is>
      </c>
      <c r="I626" t="inlineStr">
        <is>
          <t>DagvattenLakvatten</t>
        </is>
      </c>
      <c r="J626" t="inlineStr">
        <is>
          <t>Uppsamling</t>
        </is>
      </c>
      <c r="K626" t="inlineStr">
        <is>
          <t>Närmaste vattendrag är Kyrksjön med dess huvudavrinningsområde Ljusnan, avrinningsområdet börjar cirka 550 meter ifrån centralstationens perrong i Kyrksjöns sydöstra kant.</t>
        </is>
      </c>
      <c r="L626" t="inlineStr">
        <is>
          <t>Närmaste vattendrag är Kyrksjön med dess huvudavrinningsområde Ljusnan, avrinningsområdet börjar cirka 550 meter ifrån centralstationens perrong i Kyrksjöns sydöstra kant.</t>
        </is>
      </c>
      <c r="M626" t="inlineStr">
        <is>
          <t>SKA</t>
        </is>
      </c>
      <c r="N626" t="inlineStr"/>
      <c r="O626" t="inlineStr"/>
      <c r="P626" t="inlineStr"/>
      <c r="Q626" t="inlineStr"/>
      <c r="R626" t="inlineStr">
        <is>
          <t>Vid nederbord och avrinning</t>
        </is>
      </c>
      <c r="S626" t="inlineStr"/>
      <c r="T626" t="inlineStr">
        <is>
          <t>323790</t>
        </is>
      </c>
      <c r="U626" t="inlineStr"/>
      <c r="V626" t="inlineStr"/>
      <c r="W626" t="inlineStr">
        <is>
          <t>Nej</t>
        </is>
      </c>
      <c r="X626" t="inlineStr">
        <is>
          <t>Ja</t>
        </is>
      </c>
      <c r="Y626" t="inlineStr">
        <is>
          <t>Ja</t>
        </is>
      </c>
      <c r="Z626" t="inlineStr">
        <is>
          <t>Nej</t>
        </is>
      </c>
      <c r="AA626" t="n">
        <v>6</v>
      </c>
      <c r="AB626" t="inlineStr">
        <is>
          <t>Lakvattenhantering</t>
        </is>
      </c>
      <c r="AC626" t="inlineStr">
        <is>
          <t>Flodesschema dagvatten-lakvatten</t>
        </is>
      </c>
      <c r="AD626" t="inlineStr">
        <is>
          <t>Nej</t>
        </is>
      </c>
      <c r="AE626" t="inlineStr">
        <is>
          <t>Nej</t>
        </is>
      </c>
      <c r="AF626" t="inlineStr">
        <is>
          <t>Ej behandlad</t>
        </is>
      </c>
      <c r="AG626" t="inlineStr">
        <is>
          <t>AUTO_GENERERAD. Verifiera citat mot kallfil.</t>
        </is>
      </c>
      <c r="AH626" t="inlineStr">
        <is>
          <t>MEDIUM</t>
        </is>
      </c>
      <c r="AI626" t="inlineStr">
        <is>
          <t>AUTO</t>
        </is>
      </c>
      <c r="AJ626" t="inlineStr">
        <is>
          <t>Nej</t>
        </is>
      </c>
      <c r="AK626" t="inlineStr"/>
      <c r="AL626" t="inlineStr"/>
      <c r="AM626" t="inlineStr"/>
      <c r="AN626" t="inlineStr"/>
      <c r="AO626" t="inlineStr">
        <is>
          <t>cmm4yuqm903q5cuqw4e2lm0yq</t>
        </is>
      </c>
      <c r="AP626" t="inlineStr">
        <is>
          <t>http://localhost:8787/api/admin/requirements/documents/cmm4yuqm903q5cuqw4e2lm0yq/view</t>
        </is>
      </c>
      <c r="AQ626">
        <f>HYPERLÄNK("http://localhost:8787/api/admin/requirements/documents/cmm4yuqm903q5cuqw4e2lm0yq/view";"Öppna PDF")</f>
        <v/>
      </c>
      <c r="AR626">
        <f>HYPERLINK("http://localhost:8787/api/admin/requirements/documents/cmm4yuqm903q5cuqw4e2lm0yq/view","Open PDF")</f>
        <v/>
      </c>
      <c r="AS626" t="inlineStr">
        <is>
          <t>cmm55w57p0004cuisfrtpqly8</t>
        </is>
      </c>
      <c r="AT626" t="inlineStr">
        <is>
          <t>cmm4xvu980000cuh4vj0usz09</t>
        </is>
      </c>
      <c r="AU626" t="inlineStr">
        <is>
          <t>Miljöinspektör Bygg och Miljö Ljusdals</t>
        </is>
      </c>
      <c r="AV626" t="inlineStr">
        <is>
          <t>Kommun</t>
        </is>
      </c>
      <c r="AW626" t="inlineStr">
        <is>
          <t>Miljöinspektör Bygg och Miljö Ljusdals kommun</t>
        </is>
      </c>
      <c r="AX626" t="inlineStr">
        <is>
          <t>0651-18</t>
        </is>
      </c>
      <c r="AY626" t="inlineStr">
        <is>
          <t>Beslut</t>
        </is>
      </c>
      <c r="AZ626" t="inlineStr">
        <is>
          <t>2026-02-05</t>
        </is>
      </c>
      <c r="BA626" t="inlineStr">
        <is>
          <t>MFV.2025.230.pdf</t>
        </is>
      </c>
      <c r="BB626" t="inlineStr">
        <is>
          <t>Sv: Skickat till MILJÖ             Extern: till registrator</t>
        </is>
      </c>
      <c r="BC626" t="inlineStr">
        <is>
          <t>AUTO</t>
        </is>
      </c>
      <c r="BD626" t="inlineStr"/>
      <c r="BE626" t="inlineStr"/>
      <c r="BF626" t="inlineStr">
        <is>
          <t>AUTO_GENERERAD. Bekrafta metadata mot kallfil.</t>
        </is>
      </c>
      <c r="BG626">
        <f>HYPERLINK("C:\Users\jimmy\Desktop\Examens arbete\Kod\Ny mapp\remix_-copy-of-miljöbeslut.se-portal\MFV.2025.230.pdf", "Öppna PDF")</f>
        <v/>
      </c>
    </row>
    <row r="627">
      <c r="A627" t="inlineStr">
        <is>
          <t>KRAV-AUTO-000626</t>
        </is>
      </c>
      <c r="B627" t="inlineStr">
        <is>
          <t>ADMIN-INDEX-2026-02-27-00000000125C043F57453246863FE664CAFE6A3F0700950291EA24F0614FB6ACEDB12BF0E31D00000000010C0000950291EA24F0614FB6ACEDB12BF0E31D00002087ADE40000</t>
        </is>
      </c>
      <c r="C627" t="inlineStr">
        <is>
          <t>cmm4yuqm003pwcuqwkxaq80ir</t>
        </is>
      </c>
      <c r="D627" t="inlineStr">
        <is>
          <t>http://localhost:8787/api/admin/requirements/documents/cmm4yuqm003pwcuqwkxaq80ir/view</t>
        </is>
      </c>
      <c r="E627">
        <f>HYPERLÄNK("http://localhost:8787/api/admin/requirements/documents/cmm4yuqm003pwcuqwkxaq80ir/view";"Öppna PDF")</f>
        <v/>
      </c>
      <c r="F627">
        <f>HYPERLINK("http://localhost:8787/api/admin/requirements/documents/cmm4yuqm003pwcuqwkxaq80ir/view","Open PDF")</f>
        <v/>
      </c>
      <c r="G627" t="inlineStr">
        <is>
          <t>cmm55w57p0004cuisfrtpqly8</t>
        </is>
      </c>
      <c r="H627" t="inlineStr">
        <is>
          <t>Beslutsvillkor</t>
        </is>
      </c>
      <c r="I627" t="inlineStr">
        <is>
          <t>DagvattenLakvatten</t>
        </is>
      </c>
      <c r="J627" t="inlineStr">
        <is>
          <t>Uppsamling</t>
        </is>
      </c>
      <c r="K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627" t="inlineStr">
        <is>
          <t>SKA</t>
        </is>
      </c>
      <c r="N627" t="inlineStr"/>
      <c r="O627" t="inlineStr"/>
      <c r="P627" t="inlineStr"/>
      <c r="Q627" t="inlineStr"/>
      <c r="R627" t="inlineStr">
        <is>
          <t>Vid nederbord och avrinning</t>
        </is>
      </c>
      <c r="S627" t="inlineStr"/>
      <c r="T627" t="inlineStr"/>
      <c r="U627" t="inlineStr"/>
      <c r="V627" t="inlineStr"/>
      <c r="W627" t="inlineStr">
        <is>
          <t>Nej</t>
        </is>
      </c>
      <c r="X627" t="inlineStr">
        <is>
          <t>Ja</t>
        </is>
      </c>
      <c r="Y627" t="inlineStr">
        <is>
          <t>Ja</t>
        </is>
      </c>
      <c r="Z627" t="inlineStr">
        <is>
          <t>Nej</t>
        </is>
      </c>
      <c r="AA627" t="n">
        <v>6</v>
      </c>
      <c r="AB627" t="inlineStr">
        <is>
          <t>Lakvattenhantering</t>
        </is>
      </c>
      <c r="AC627" t="inlineStr">
        <is>
          <t>Flodesschema dagvatten-lakvatten</t>
        </is>
      </c>
      <c r="AD627" t="inlineStr">
        <is>
          <t>Nej</t>
        </is>
      </c>
      <c r="AE627" t="inlineStr">
        <is>
          <t>Nej</t>
        </is>
      </c>
      <c r="AF627" t="inlineStr">
        <is>
          <t>Ej behandlad</t>
        </is>
      </c>
      <c r="AG627" t="inlineStr">
        <is>
          <t>AUTO_GENERERAD. Verifiera citat mot kallfil.</t>
        </is>
      </c>
      <c r="AH627" t="inlineStr">
        <is>
          <t>MEDIUM</t>
        </is>
      </c>
      <c r="AI627" t="inlineStr">
        <is>
          <t>AUTO</t>
        </is>
      </c>
      <c r="AJ627" t="inlineStr">
        <is>
          <t>Nej</t>
        </is>
      </c>
      <c r="AK627" t="inlineStr"/>
      <c r="AL627" t="inlineStr"/>
      <c r="AM627" t="inlineStr"/>
      <c r="AN627" t="inlineStr"/>
      <c r="AO627" t="inlineStr">
        <is>
          <t>cmm4yuqm603q2cuqw6h2pp8a0</t>
        </is>
      </c>
      <c r="AP627" t="inlineStr">
        <is>
          <t>http://localhost:8787/api/admin/requirements/documents/cmm4yuqm603q2cuqw6h2pp8a0/view</t>
        </is>
      </c>
      <c r="AQ627">
        <f>HYPERLÄNK("http://localhost:8787/api/admin/requirements/documents/cmm4yuqm603q2cuqw6h2pp8a0/view";"Öppna PDF")</f>
        <v/>
      </c>
      <c r="AR627">
        <f>HYPERLINK("http://localhost:8787/api/admin/requirements/documents/cmm4yuqm603q2cuqw6h2pp8a0/view","Open PDF")</f>
        <v/>
      </c>
      <c r="AS627" t="inlineStr">
        <is>
          <t>cmm55w57p0004cuisfrtpqly8</t>
        </is>
      </c>
      <c r="AT627" t="inlineStr">
        <is>
          <t>cmm4xvu980000cuh4vj0usz09</t>
        </is>
      </c>
      <c r="AU627" t="inlineStr">
        <is>
          <t>ämnden beslutar att förelägga Ljusdals</t>
        </is>
      </c>
      <c r="AV627" t="inlineStr">
        <is>
          <t>Kommun</t>
        </is>
      </c>
      <c r="AW627" t="inlineStr">
        <is>
          <t>ämnden beslutar att förelägga Ljusdals kommun</t>
        </is>
      </c>
      <c r="AX627" t="inlineStr">
        <is>
          <t>0651-180</t>
        </is>
      </c>
      <c r="AY627" t="inlineStr">
        <is>
          <t>Beslut</t>
        </is>
      </c>
      <c r="AZ627" t="inlineStr">
        <is>
          <t>2026-02-05</t>
        </is>
      </c>
      <c r="BA627" t="inlineStr">
        <is>
          <t>MFV.2024.202.pdf</t>
        </is>
      </c>
      <c r="BB627" t="inlineStr">
        <is>
          <t>Sv: Skickat till MILJÖ             Extern: till registrator</t>
        </is>
      </c>
      <c r="BC627" t="inlineStr">
        <is>
          <t>AUTO</t>
        </is>
      </c>
      <c r="BD627" t="inlineStr"/>
      <c r="BE627" t="inlineStr"/>
      <c r="BF627" t="inlineStr">
        <is>
          <t>AUTO_GENERERAD. Bekrafta metadata mot kallfil.</t>
        </is>
      </c>
      <c r="BG627">
        <f>HYPERLINK("C:\Users\jimmy\Desktop\Examens arbete\Kod\Ny mapp\remix_-copy-of-miljöbeslut.se-portal\MFV.2024.202.pdf", "Öppna PDF")</f>
        <v/>
      </c>
    </row>
    <row r="628">
      <c r="A628" t="inlineStr">
        <is>
          <t>KRAV-AUTO-000627</t>
        </is>
      </c>
      <c r="B628" t="inlineStr">
        <is>
          <t>ADMIN-INDEX-2026-02-27-00000000125C043F57453246863FE664CAFE6A3F0700950291EA24F0614FB6ACEDB12BF0E31D00000000010C0000950291EA24F0614FB6ACEDB12BF0E31D00002087ADE40000</t>
        </is>
      </c>
      <c r="C628" t="inlineStr">
        <is>
          <t>cmm4yuqm003pwcuqwkxaq80ir</t>
        </is>
      </c>
      <c r="D628" t="inlineStr">
        <is>
          <t>http://localhost:8787/api/admin/requirements/documents/cmm4yuqm003pwcuqwkxaq80ir/view</t>
        </is>
      </c>
      <c r="E628">
        <f>HYPERLÄNK("http://localhost:8787/api/admin/requirements/documents/cmm4yuqm003pwcuqwkxaq80ir/view";"Öppna PDF")</f>
        <v/>
      </c>
      <c r="F628">
        <f>HYPERLINK("http://localhost:8787/api/admin/requirements/documents/cmm4yuqm003pwcuqwkxaq80ir/view","Open PDF")</f>
        <v/>
      </c>
      <c r="G628" t="inlineStr">
        <is>
          <t>cmm55w57p0004cuisfrtpqly8</t>
        </is>
      </c>
      <c r="H628" t="inlineStr">
        <is>
          <t>Beslutsvillkor</t>
        </is>
      </c>
      <c r="I628" t="inlineStr">
        <is>
          <t>DagvattenLakvatten</t>
        </is>
      </c>
      <c r="J628" t="inlineStr">
        <is>
          <t>Uppsamling</t>
        </is>
      </c>
      <c r="K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628" t="inlineStr">
        <is>
          <t>SKA</t>
        </is>
      </c>
      <c r="N628" t="inlineStr"/>
      <c r="O628" t="inlineStr"/>
      <c r="P628" t="inlineStr"/>
      <c r="Q628" t="inlineStr"/>
      <c r="R628" t="inlineStr">
        <is>
          <t>Vid nederbord och avrinning</t>
        </is>
      </c>
      <c r="S628" t="inlineStr"/>
      <c r="T628" t="inlineStr"/>
      <c r="U628" t="inlineStr"/>
      <c r="V628" t="inlineStr"/>
      <c r="W628" t="inlineStr">
        <is>
          <t>Nej</t>
        </is>
      </c>
      <c r="X628" t="inlineStr">
        <is>
          <t>Ja</t>
        </is>
      </c>
      <c r="Y628" t="inlineStr">
        <is>
          <t>Ja</t>
        </is>
      </c>
      <c r="Z628" t="inlineStr">
        <is>
          <t>Nej</t>
        </is>
      </c>
      <c r="AA628" t="n">
        <v>6</v>
      </c>
      <c r="AB628" t="inlineStr">
        <is>
          <t>Lakvattenhantering</t>
        </is>
      </c>
      <c r="AC628" t="inlineStr">
        <is>
          <t>Flodesschema dagvatten-lakvatten</t>
        </is>
      </c>
      <c r="AD628" t="inlineStr">
        <is>
          <t>Nej</t>
        </is>
      </c>
      <c r="AE628" t="inlineStr">
        <is>
          <t>Nej</t>
        </is>
      </c>
      <c r="AF628" t="inlineStr">
        <is>
          <t>Ej behandlad</t>
        </is>
      </c>
      <c r="AG628" t="inlineStr">
        <is>
          <t>AUTO_GENERERAD. Verifiera citat mot kallfil.</t>
        </is>
      </c>
      <c r="AH628" t="inlineStr">
        <is>
          <t>MEDIUM</t>
        </is>
      </c>
      <c r="AI628" t="inlineStr">
        <is>
          <t>AUTO</t>
        </is>
      </c>
      <c r="AJ628" t="inlineStr">
        <is>
          <t>Nej</t>
        </is>
      </c>
      <c r="AK628" t="inlineStr"/>
      <c r="AL628" t="inlineStr"/>
      <c r="AM628" t="inlineStr"/>
      <c r="AN628" t="inlineStr"/>
      <c r="AO628" t="inlineStr">
        <is>
          <t>cmm4yuqm603q2cuqw6h2pp8a0</t>
        </is>
      </c>
      <c r="AP628" t="inlineStr">
        <is>
          <t>http://localhost:8787/api/admin/requirements/documents/cmm4yuqm603q2cuqw6h2pp8a0/view</t>
        </is>
      </c>
      <c r="AQ628">
        <f>HYPERLÄNK("http://localhost:8787/api/admin/requirements/documents/cmm4yuqm603q2cuqw6h2pp8a0/view";"Öppna PDF")</f>
        <v/>
      </c>
      <c r="AR628">
        <f>HYPERLINK("http://localhost:8787/api/admin/requirements/documents/cmm4yuqm603q2cuqw6h2pp8a0/view","Open PDF")</f>
        <v/>
      </c>
      <c r="AS628" t="inlineStr">
        <is>
          <t>cmm55w57p0004cuisfrtpqly8</t>
        </is>
      </c>
      <c r="AT628" t="inlineStr">
        <is>
          <t>cmm4xvu980000cuh4vj0usz09</t>
        </is>
      </c>
      <c r="AU628" t="inlineStr">
        <is>
          <t>ämnden beslutar att förelägga Ljusdals</t>
        </is>
      </c>
      <c r="AV628" t="inlineStr">
        <is>
          <t>Kommun</t>
        </is>
      </c>
      <c r="AW628" t="inlineStr">
        <is>
          <t>ämnden beslutar att förelägga Ljusdals kommun</t>
        </is>
      </c>
      <c r="AX628" t="inlineStr">
        <is>
          <t>0651-180</t>
        </is>
      </c>
      <c r="AY628" t="inlineStr">
        <is>
          <t>Beslut</t>
        </is>
      </c>
      <c r="AZ628" t="inlineStr">
        <is>
          <t>2026-02-05</t>
        </is>
      </c>
      <c r="BA628" t="inlineStr">
        <is>
          <t>MFV.2024.202.pdf</t>
        </is>
      </c>
      <c r="BB628" t="inlineStr">
        <is>
          <t>Sv: Skickat till MILJÖ             Extern: till registrator</t>
        </is>
      </c>
      <c r="BC628" t="inlineStr">
        <is>
          <t>AUTO</t>
        </is>
      </c>
      <c r="BD628" t="inlineStr"/>
      <c r="BE628" t="inlineStr"/>
      <c r="BF628" t="inlineStr">
        <is>
          <t>AUTO_GENERERAD. Bekrafta metadata mot kallfil.</t>
        </is>
      </c>
      <c r="BG628">
        <f>HYPERLINK("C:\Users\jimmy\Desktop\Examens arbete\Kod\Ny mapp\remix_-copy-of-miljöbeslut.se-portal\MFV.2024.202.pdf", "Öppna PDF")</f>
        <v/>
      </c>
    </row>
    <row r="629">
      <c r="A629" t="inlineStr">
        <is>
          <t>KRAV-AUTO-000628</t>
        </is>
      </c>
      <c r="B629" t="inlineStr">
        <is>
          <t>ADMIN-INDEX-2026-02-27-00000000125C043F57453246863FE664CAFE6A3F0700950291EA24F0614FB6ACEDB12BF0E31D00000000010C0000950291EA24F0614FB6ACEDB12BF0E31D00002087ADE40000</t>
        </is>
      </c>
      <c r="C629" t="inlineStr">
        <is>
          <t>cmm4yuqm003pwcuqwkxaq80ir</t>
        </is>
      </c>
      <c r="D629" t="inlineStr">
        <is>
          <t>http://localhost:8787/api/admin/requirements/documents/cmm4yuqm003pwcuqwkxaq80ir/view</t>
        </is>
      </c>
      <c r="E629">
        <f>HYPERLÄNK("http://localhost:8787/api/admin/requirements/documents/cmm4yuqm003pwcuqwkxaq80ir/view";"Öppna PDF")</f>
        <v/>
      </c>
      <c r="F629">
        <f>HYPERLINK("http://localhost:8787/api/admin/requirements/documents/cmm4yuqm003pwcuqwkxaq80ir/view","Open PDF")</f>
        <v/>
      </c>
      <c r="G629" t="inlineStr">
        <is>
          <t>cmm55w57p0004cuisfrtpqly8</t>
        </is>
      </c>
      <c r="H629" t="inlineStr">
        <is>
          <t>Beslutsvillkor</t>
        </is>
      </c>
      <c r="I629" t="inlineStr">
        <is>
          <t>DagvattenLakvatten</t>
        </is>
      </c>
      <c r="J629" t="inlineStr">
        <is>
          <t>Uppsamling</t>
        </is>
      </c>
      <c r="K629" t="inlineStr">
        <is>
          <t>Åtgärden ska utföras så att lakvatten inte avleds mot bäcken.</t>
        </is>
      </c>
      <c r="L629" t="inlineStr">
        <is>
          <t>Åtgärden ska utföras så att lakvatten inte avleds mot bäcken.</t>
        </is>
      </c>
      <c r="M629" t="inlineStr">
        <is>
          <t>SKA</t>
        </is>
      </c>
      <c r="N629" t="inlineStr"/>
      <c r="O629" t="inlineStr"/>
      <c r="P629" t="inlineStr"/>
      <c r="Q629" t="inlineStr"/>
      <c r="R629" t="inlineStr">
        <is>
          <t>Vid nederbord och avrinning</t>
        </is>
      </c>
      <c r="S629" t="inlineStr"/>
      <c r="T629" t="inlineStr"/>
      <c r="U629" t="inlineStr"/>
      <c r="V629" t="inlineStr"/>
      <c r="W629" t="inlineStr">
        <is>
          <t>Nej</t>
        </is>
      </c>
      <c r="X629" t="inlineStr">
        <is>
          <t>Ja</t>
        </is>
      </c>
      <c r="Y629" t="inlineStr">
        <is>
          <t>Ja</t>
        </is>
      </c>
      <c r="Z629" t="inlineStr">
        <is>
          <t>Nej</t>
        </is>
      </c>
      <c r="AA629" t="n">
        <v>6</v>
      </c>
      <c r="AB629" t="inlineStr">
        <is>
          <t>Lakvattenhantering</t>
        </is>
      </c>
      <c r="AC629" t="inlineStr">
        <is>
          <t>Flodesschema dagvatten-lakvatten</t>
        </is>
      </c>
      <c r="AD629" t="inlineStr">
        <is>
          <t>Nej</t>
        </is>
      </c>
      <c r="AE629" t="inlineStr">
        <is>
          <t>Nej</t>
        </is>
      </c>
      <c r="AF629" t="inlineStr">
        <is>
          <t>Ej behandlad</t>
        </is>
      </c>
      <c r="AG629" t="inlineStr">
        <is>
          <t>AUTO_GENERERAD. Verifiera citat mot kallfil.</t>
        </is>
      </c>
      <c r="AH629" t="inlineStr">
        <is>
          <t>MEDIUM</t>
        </is>
      </c>
      <c r="AI629" t="inlineStr">
        <is>
          <t>AUTO</t>
        </is>
      </c>
      <c r="AJ629" t="inlineStr">
        <is>
          <t>Nej</t>
        </is>
      </c>
      <c r="AK629" t="inlineStr"/>
      <c r="AL629" t="inlineStr"/>
      <c r="AM629" t="inlineStr"/>
      <c r="AN629" t="inlineStr"/>
      <c r="AO629" t="inlineStr">
        <is>
          <t>cmm4yuqm603q2cuqw6h2pp8a0</t>
        </is>
      </c>
      <c r="AP629" t="inlineStr">
        <is>
          <t>http://localhost:8787/api/admin/requirements/documents/cmm4yuqm603q2cuqw6h2pp8a0/view</t>
        </is>
      </c>
      <c r="AQ629">
        <f>HYPERLÄNK("http://localhost:8787/api/admin/requirements/documents/cmm4yuqm603q2cuqw6h2pp8a0/view";"Öppna PDF")</f>
        <v/>
      </c>
      <c r="AR629">
        <f>HYPERLINK("http://localhost:8787/api/admin/requirements/documents/cmm4yuqm603q2cuqw6h2pp8a0/view","Open PDF")</f>
        <v/>
      </c>
      <c r="AS629" t="inlineStr">
        <is>
          <t>cmm55w57p0004cuisfrtpqly8</t>
        </is>
      </c>
      <c r="AT629" t="inlineStr">
        <is>
          <t>cmm4xvu980000cuh4vj0usz09</t>
        </is>
      </c>
      <c r="AU629" t="inlineStr">
        <is>
          <t>ämnden beslutar att förelägga Ljusdals</t>
        </is>
      </c>
      <c r="AV629" t="inlineStr">
        <is>
          <t>Kommun</t>
        </is>
      </c>
      <c r="AW629" t="inlineStr">
        <is>
          <t>ämnden beslutar att förelägga Ljusdals kommun</t>
        </is>
      </c>
      <c r="AX629" t="inlineStr">
        <is>
          <t>0651-180</t>
        </is>
      </c>
      <c r="AY629" t="inlineStr">
        <is>
          <t>Beslut</t>
        </is>
      </c>
      <c r="AZ629" t="inlineStr">
        <is>
          <t>2026-02-05</t>
        </is>
      </c>
      <c r="BA629" t="inlineStr">
        <is>
          <t>MFV.2024.202.pdf</t>
        </is>
      </c>
      <c r="BB629" t="inlineStr">
        <is>
          <t>Sv: Skickat till MILJÖ             Extern: till registrator</t>
        </is>
      </c>
      <c r="BC629" t="inlineStr">
        <is>
          <t>AUTO</t>
        </is>
      </c>
      <c r="BD629" t="inlineStr"/>
      <c r="BE629" t="inlineStr"/>
      <c r="BF629" t="inlineStr">
        <is>
          <t>AUTO_GENERERAD. Bekrafta metadata mot kallfil.</t>
        </is>
      </c>
      <c r="BG629">
        <f>HYPERLINK("C:\Users\jimmy\Desktop\Examens arbete\Kod\Ny mapp\remix_-copy-of-miljöbeslut.se-portal\MFV.2024.202.pdf", "Öppna PDF")</f>
        <v/>
      </c>
    </row>
    <row r="630">
      <c r="A630" t="inlineStr">
        <is>
          <t>KRAV-AUTO-000629</t>
        </is>
      </c>
      <c r="B630" t="inlineStr">
        <is>
          <t>ADMIN-INDEX-2026-02-27-00000000125C043F57453246863FE664CAFE6A3F0700950291EA24F0614FB6ACEDB12BF0E31D00000000010C0000950291EA24F0614FB6ACEDB12BF0E31D00002087ADEB0000</t>
        </is>
      </c>
      <c r="C630" t="inlineStr">
        <is>
          <t>cmm4yuqlw03ptcuqwthrsimks</t>
        </is>
      </c>
      <c r="D630" t="inlineStr">
        <is>
          <t>http://localhost:8787/api/admin/requirements/documents/cmm4yuqlw03ptcuqwthrsimks/view</t>
        </is>
      </c>
      <c r="E630">
        <f>HYPERLÄNK("http://localhost:8787/api/admin/requirements/documents/cmm4yuqlw03ptcuqwthrsimks/view";"Öppna PDF")</f>
        <v/>
      </c>
      <c r="F630">
        <f>HYPERLINK("http://localhost:8787/api/admin/requirements/documents/cmm4yuqlw03ptcuqwthrsimks/view","Open PDF")</f>
        <v/>
      </c>
      <c r="G630" t="inlineStr">
        <is>
          <t>cmm55w57p0004cuisfrtpqly8</t>
        </is>
      </c>
      <c r="H630" t="inlineStr">
        <is>
          <t>Beslutsvillkor</t>
        </is>
      </c>
      <c r="I630" t="inlineStr">
        <is>
          <t>LagringsvolymTid</t>
        </is>
      </c>
      <c r="J630" t="inlineStr">
        <is>
          <t>Maxmangd</t>
        </is>
      </c>
      <c r="K630" t="inlineStr">
        <is>
          <t>Avfall som skall återvinnas uppgår till ca 5000 ton.</t>
        </is>
      </c>
      <c r="L630" t="inlineStr">
        <is>
          <t>Avfall som skall återvinnas uppgår till ca 5000 ton.</t>
        </is>
      </c>
      <c r="M630" t="inlineStr">
        <is>
          <t>SKA</t>
        </is>
      </c>
      <c r="N630" t="inlineStr"/>
      <c r="O630" t="inlineStr"/>
      <c r="P630" t="inlineStr"/>
      <c r="Q630" t="inlineStr"/>
      <c r="R630" t="inlineStr">
        <is>
          <t>Alltid</t>
        </is>
      </c>
      <c r="S630" t="inlineStr"/>
      <c r="T630" t="inlineStr">
        <is>
          <t>556768</t>
        </is>
      </c>
      <c r="U630" t="n">
        <v>5000</v>
      </c>
      <c r="V630" t="inlineStr"/>
      <c r="W630" t="inlineStr">
        <is>
          <t>Nej</t>
        </is>
      </c>
      <c r="X630" t="inlineStr">
        <is>
          <t>Nej</t>
        </is>
      </c>
      <c r="Y630" t="inlineStr">
        <is>
          <t>Nej</t>
        </is>
      </c>
      <c r="Z630" t="inlineStr">
        <is>
          <t>Nej</t>
        </is>
      </c>
      <c r="AA630" t="n">
        <v>4</v>
      </c>
      <c r="AB630" t="inlineStr">
        <is>
          <t>Avfallsmangder och lagringstid</t>
        </is>
      </c>
      <c r="AC630" t="inlineStr">
        <is>
          <t>Avfallsforteckning</t>
        </is>
      </c>
      <c r="AD630" t="inlineStr">
        <is>
          <t>Nej</t>
        </is>
      </c>
      <c r="AE630" t="inlineStr">
        <is>
          <t>Nej</t>
        </is>
      </c>
      <c r="AF630" t="inlineStr">
        <is>
          <t>Ej behandlad</t>
        </is>
      </c>
      <c r="AG630" t="inlineStr">
        <is>
          <t>AUTO_GENERERAD. Verifiera citat mot kallfil.</t>
        </is>
      </c>
      <c r="AH630" t="inlineStr">
        <is>
          <t>MEDIUM</t>
        </is>
      </c>
      <c r="AI630" t="inlineStr">
        <is>
          <t>AUTO</t>
        </is>
      </c>
      <c r="AJ630" t="inlineStr">
        <is>
          <t>Nej</t>
        </is>
      </c>
      <c r="AK630" t="inlineStr"/>
      <c r="AL630" t="inlineStr"/>
      <c r="AM630" t="inlineStr"/>
      <c r="AN630" t="inlineStr"/>
      <c r="AO630" t="inlineStr">
        <is>
          <t>cmm4yuqlm03pkcuqwjxh8oxe1</t>
        </is>
      </c>
      <c r="AP630" t="inlineStr">
        <is>
          <t>http://localhost:8787/api/admin/requirements/documents/cmm4yuqlm03pkcuqwjxh8oxe1/view</t>
        </is>
      </c>
      <c r="AQ630">
        <f>HYPERLÄNK("http://localhost:8787/api/admin/requirements/documents/cmm4yuqlm03pkcuqwjxh8oxe1/view";"Öppna PDF")</f>
        <v/>
      </c>
      <c r="AR630">
        <f>HYPERLINK("http://localhost:8787/api/admin/requirements/documents/cmm4yuqlm03pkcuqwjxh8oxe1/view","Open PDF")</f>
        <v/>
      </c>
      <c r="AS630" t="inlineStr">
        <is>
          <t>cmm55w57p0004cuisfrtpqly8</t>
        </is>
      </c>
      <c r="AT630" t="inlineStr">
        <is>
          <t>cmm4xvu980000cuh4vj0usz09</t>
        </is>
      </c>
      <c r="AU630" t="inlineStr">
        <is>
          <t>Norsjö</t>
        </is>
      </c>
      <c r="AV630" t="inlineStr">
        <is>
          <t>Kommun</t>
        </is>
      </c>
      <c r="AW630" t="inlineStr">
        <is>
          <t>Norsjö kommun</t>
        </is>
      </c>
      <c r="AX630" t="inlineStr">
        <is>
          <t>2024-05</t>
        </is>
      </c>
      <c r="AY630" t="inlineStr">
        <is>
          <t>Beslut</t>
        </is>
      </c>
      <c r="AZ630" t="inlineStr">
        <is>
          <t>2026-02-05</t>
        </is>
      </c>
      <c r="BA630" t="inlineStr">
        <is>
          <t>MBN-2024-178_1377_001_2024-04-12.pdf</t>
        </is>
      </c>
      <c r="BB630" t="inlineStr">
        <is>
          <t>Begäran om allmänna handlingar</t>
        </is>
      </c>
      <c r="BC630" t="inlineStr">
        <is>
          <t>AUTO</t>
        </is>
      </c>
      <c r="BD630" t="inlineStr"/>
      <c r="BE630" t="inlineStr"/>
      <c r="BF630" t="inlineStr">
        <is>
          <t>AUTO_GENERERAD. Bekrafta metadata mot kallfil.</t>
        </is>
      </c>
      <c r="BG630">
        <f>HYPERLINK("C:\Users\jimmy\Desktop\Examens arbete\Kod\Ny mapp\remix_-copy-of-miljöbeslut.se-portal\MBN-2024-178_1377_001_2024-04-12.pdf", "Öppna PDF")</f>
        <v/>
      </c>
    </row>
    <row r="631">
      <c r="A631" t="inlineStr">
        <is>
          <t>KRAV-AUTO-000630</t>
        </is>
      </c>
      <c r="B631" t="inlineStr">
        <is>
          <t>ADMIN-INDEX-2026-02-27-00000000125C043F57453246863FE664CAFE6A3F0700950291EA24F0614FB6ACEDB12BF0E31D00000000010C0000950291EA24F0614FB6ACEDB12BF0E31D00002087ADEB0000</t>
        </is>
      </c>
      <c r="C631" t="inlineStr">
        <is>
          <t>cmm4yuqlw03ptcuqwthrsimks</t>
        </is>
      </c>
      <c r="D631" t="inlineStr">
        <is>
          <t>http://localhost:8787/api/admin/requirements/documents/cmm4yuqlw03ptcuqwthrsimks/view</t>
        </is>
      </c>
      <c r="E631">
        <f>HYPERLÄNK("http://localhost:8787/api/admin/requirements/documents/cmm4yuqlw03ptcuqwthrsimks/view";"Öppna PDF")</f>
        <v/>
      </c>
      <c r="F631">
        <f>HYPERLINK("http://localhost:8787/api/admin/requirements/documents/cmm4yuqlw03ptcuqwthrsimks/view","Open PDF")</f>
        <v/>
      </c>
      <c r="G631" t="inlineStr">
        <is>
          <t>cmm55w57p0004cuisfrtpqly8</t>
        </is>
      </c>
      <c r="H631" t="inlineStr">
        <is>
          <t>Beslutsvillkor</t>
        </is>
      </c>
      <c r="I631" t="inlineStr">
        <is>
          <t>LagringsvolymTid</t>
        </is>
      </c>
      <c r="J631" t="inlineStr">
        <is>
          <t>Maxmangd</t>
        </is>
      </c>
      <c r="K631" t="inlineStr">
        <is>
          <t>- Överstiger återvunnet avfall 10 000 ton skall tillstånd sökas hos Länsstyrelsen.</t>
        </is>
      </c>
      <c r="L631" t="inlineStr">
        <is>
          <t>- Överstiger återvunnet avfall 10 000 ton skall tillstånd sökas hos Länsstyrelsen.</t>
        </is>
      </c>
      <c r="M631" t="inlineStr">
        <is>
          <t>SKA</t>
        </is>
      </c>
      <c r="N631" t="inlineStr"/>
      <c r="O631" t="inlineStr"/>
      <c r="P631" t="inlineStr"/>
      <c r="Q631" t="inlineStr"/>
      <c r="R631" t="inlineStr">
        <is>
          <t>Alltid</t>
        </is>
      </c>
      <c r="S631" t="inlineStr"/>
      <c r="T631" t="inlineStr">
        <is>
          <t>556768</t>
        </is>
      </c>
      <c r="U631" t="n">
        <v>0</v>
      </c>
      <c r="V631" t="inlineStr"/>
      <c r="W631" t="inlineStr">
        <is>
          <t>Nej</t>
        </is>
      </c>
      <c r="X631" t="inlineStr">
        <is>
          <t>Nej</t>
        </is>
      </c>
      <c r="Y631" t="inlineStr">
        <is>
          <t>Nej</t>
        </is>
      </c>
      <c r="Z631" t="inlineStr">
        <is>
          <t>Nej</t>
        </is>
      </c>
      <c r="AA631" t="n">
        <v>4</v>
      </c>
      <c r="AB631" t="inlineStr">
        <is>
          <t>Avfallsmangder och lagringstid</t>
        </is>
      </c>
      <c r="AC631" t="inlineStr">
        <is>
          <t>Avfallsforteckning</t>
        </is>
      </c>
      <c r="AD631" t="inlineStr">
        <is>
          <t>Nej</t>
        </is>
      </c>
      <c r="AE631" t="inlineStr">
        <is>
          <t>Nej</t>
        </is>
      </c>
      <c r="AF631" t="inlineStr">
        <is>
          <t>Ej behandlad</t>
        </is>
      </c>
      <c r="AG631" t="inlineStr">
        <is>
          <t>AUTO_GENERERAD. Verifiera citat mot kallfil.</t>
        </is>
      </c>
      <c r="AH631" t="inlineStr">
        <is>
          <t>MEDIUM</t>
        </is>
      </c>
      <c r="AI631" t="inlineStr">
        <is>
          <t>AUTO</t>
        </is>
      </c>
      <c r="AJ631" t="inlineStr">
        <is>
          <t>Nej</t>
        </is>
      </c>
      <c r="AK631" t="inlineStr"/>
      <c r="AL631" t="inlineStr"/>
      <c r="AM631" t="inlineStr"/>
      <c r="AN631" t="inlineStr"/>
      <c r="AO631" t="inlineStr">
        <is>
          <t>cmm4yuqlm03pkcuqwjxh8oxe1</t>
        </is>
      </c>
      <c r="AP631" t="inlineStr">
        <is>
          <t>http://localhost:8787/api/admin/requirements/documents/cmm4yuqlm03pkcuqwjxh8oxe1/view</t>
        </is>
      </c>
      <c r="AQ631">
        <f>HYPERLÄNK("http://localhost:8787/api/admin/requirements/documents/cmm4yuqlm03pkcuqwjxh8oxe1/view";"Öppna PDF")</f>
        <v/>
      </c>
      <c r="AR631">
        <f>HYPERLINK("http://localhost:8787/api/admin/requirements/documents/cmm4yuqlm03pkcuqwjxh8oxe1/view","Open PDF")</f>
        <v/>
      </c>
      <c r="AS631" t="inlineStr">
        <is>
          <t>cmm55w57p0004cuisfrtpqly8</t>
        </is>
      </c>
      <c r="AT631" t="inlineStr">
        <is>
          <t>cmm4xvu980000cuh4vj0usz09</t>
        </is>
      </c>
      <c r="AU631" t="inlineStr">
        <is>
          <t>Norsjö</t>
        </is>
      </c>
      <c r="AV631" t="inlineStr">
        <is>
          <t>Kommun</t>
        </is>
      </c>
      <c r="AW631" t="inlineStr">
        <is>
          <t>Norsjö kommun</t>
        </is>
      </c>
      <c r="AX631" t="inlineStr">
        <is>
          <t>2024-05</t>
        </is>
      </c>
      <c r="AY631" t="inlineStr">
        <is>
          <t>Beslut</t>
        </is>
      </c>
      <c r="AZ631" t="inlineStr">
        <is>
          <t>2026-02-05</t>
        </is>
      </c>
      <c r="BA631" t="inlineStr">
        <is>
          <t>MBN-2024-178_1377_001_2024-04-12.pdf</t>
        </is>
      </c>
      <c r="BB631" t="inlineStr">
        <is>
          <t>Begäran om allmänna handlingar</t>
        </is>
      </c>
      <c r="BC631" t="inlineStr">
        <is>
          <t>AUTO</t>
        </is>
      </c>
      <c r="BD631" t="inlineStr"/>
      <c r="BE631" t="inlineStr"/>
      <c r="BF631" t="inlineStr">
        <is>
          <t>AUTO_GENERERAD. Bekrafta metadata mot kallfil.</t>
        </is>
      </c>
      <c r="BG631">
        <f>HYPERLINK("C:\Users\jimmy\Desktop\Examens arbete\Kod\Ny mapp\remix_-copy-of-miljöbeslut.se-portal\MBN-2024-178_1377_001_2024-04-12.pdf", "Öppna PDF")</f>
        <v/>
      </c>
    </row>
    <row r="632">
      <c r="A632" t="inlineStr">
        <is>
          <t>KRAV-AUTO-000631</t>
        </is>
      </c>
      <c r="B632" t="inlineStr">
        <is>
          <t>ADMIN-INDEX-2026-02-27-00000000125C043F57453246863FE664CAFE6A3F0700950291EA24F0614FB6ACEDB12BF0E31D00000000010C0000950291EA24F0614FB6ACEDB12BF0E31D00002087ADEB0000</t>
        </is>
      </c>
      <c r="C632" t="inlineStr">
        <is>
          <t>cmm4yuqlw03ptcuqwthrsimks</t>
        </is>
      </c>
      <c r="D632" t="inlineStr">
        <is>
          <t>http://localhost:8787/api/admin/requirements/documents/cmm4yuqlw03ptcuqwthrsimks/view</t>
        </is>
      </c>
      <c r="E632">
        <f>HYPERLÄNK("http://localhost:8787/api/admin/requirements/documents/cmm4yuqlw03ptcuqwthrsimks/view";"Öppna PDF")</f>
        <v/>
      </c>
      <c r="F632">
        <f>HYPERLINK("http://localhost:8787/api/admin/requirements/documents/cmm4yuqlw03ptcuqwthrsimks/view","Open PDF")</f>
        <v/>
      </c>
      <c r="G632" t="inlineStr">
        <is>
          <t>cmm55w57p0004cuisfrtpqly8</t>
        </is>
      </c>
      <c r="H632" t="inlineStr">
        <is>
          <t>Beslutsvillkor</t>
        </is>
      </c>
      <c r="I632" t="inlineStr">
        <is>
          <t>LagringsvolymTid</t>
        </is>
      </c>
      <c r="J632" t="inlineStr">
        <is>
          <t>Maxmangd</t>
        </is>
      </c>
      <c r="K632" t="inlineStr">
        <is>
          <t>Volymen av nyproducerat material skall uppgå till 32 000 ton.</t>
        </is>
      </c>
      <c r="L632" t="inlineStr">
        <is>
          <t>Volymen av nyproducerat material skall uppgå till 32 000 ton.</t>
        </is>
      </c>
      <c r="M632" t="inlineStr">
        <is>
          <t>SKA</t>
        </is>
      </c>
      <c r="N632" t="inlineStr"/>
      <c r="O632" t="inlineStr"/>
      <c r="P632" t="inlineStr"/>
      <c r="Q632" t="inlineStr"/>
      <c r="R632" t="inlineStr">
        <is>
          <t>Alltid</t>
        </is>
      </c>
      <c r="S632" t="inlineStr"/>
      <c r="T632" t="inlineStr">
        <is>
          <t>556768</t>
        </is>
      </c>
      <c r="U632" t="n">
        <v>0</v>
      </c>
      <c r="V632" t="inlineStr"/>
      <c r="W632" t="inlineStr">
        <is>
          <t>Nej</t>
        </is>
      </c>
      <c r="X632" t="inlineStr">
        <is>
          <t>Nej</t>
        </is>
      </c>
      <c r="Y632" t="inlineStr">
        <is>
          <t>Nej</t>
        </is>
      </c>
      <c r="Z632" t="inlineStr">
        <is>
          <t>Nej</t>
        </is>
      </c>
      <c r="AA632" t="n">
        <v>4</v>
      </c>
      <c r="AB632" t="inlineStr">
        <is>
          <t>Avfallsmangder och lagringstid</t>
        </is>
      </c>
      <c r="AC632" t="inlineStr">
        <is>
          <t>Avfallsforteckning</t>
        </is>
      </c>
      <c r="AD632" t="inlineStr">
        <is>
          <t>Nej</t>
        </is>
      </c>
      <c r="AE632" t="inlineStr">
        <is>
          <t>Nej</t>
        </is>
      </c>
      <c r="AF632" t="inlineStr">
        <is>
          <t>Ej behandlad</t>
        </is>
      </c>
      <c r="AG632" t="inlineStr">
        <is>
          <t>AUTO_GENERERAD. Verifiera citat mot kallfil.</t>
        </is>
      </c>
      <c r="AH632" t="inlineStr">
        <is>
          <t>MEDIUM</t>
        </is>
      </c>
      <c r="AI632" t="inlineStr">
        <is>
          <t>AUTO</t>
        </is>
      </c>
      <c r="AJ632" t="inlineStr">
        <is>
          <t>Nej</t>
        </is>
      </c>
      <c r="AK632" t="inlineStr"/>
      <c r="AL632" t="inlineStr"/>
      <c r="AM632" t="inlineStr"/>
      <c r="AN632" t="inlineStr"/>
      <c r="AO632" t="inlineStr">
        <is>
          <t>cmm4yuqlm03pkcuqwjxh8oxe1</t>
        </is>
      </c>
      <c r="AP632" t="inlineStr">
        <is>
          <t>http://localhost:8787/api/admin/requirements/documents/cmm4yuqlm03pkcuqwjxh8oxe1/view</t>
        </is>
      </c>
      <c r="AQ632">
        <f>HYPERLÄNK("http://localhost:8787/api/admin/requirements/documents/cmm4yuqlm03pkcuqwjxh8oxe1/view";"Öppna PDF")</f>
        <v/>
      </c>
      <c r="AR632">
        <f>HYPERLINK("http://localhost:8787/api/admin/requirements/documents/cmm4yuqlm03pkcuqwjxh8oxe1/view","Open PDF")</f>
        <v/>
      </c>
      <c r="AS632" t="inlineStr">
        <is>
          <t>cmm55w57p0004cuisfrtpqly8</t>
        </is>
      </c>
      <c r="AT632" t="inlineStr">
        <is>
          <t>cmm4xvu980000cuh4vj0usz09</t>
        </is>
      </c>
      <c r="AU632" t="inlineStr">
        <is>
          <t>Norsjö</t>
        </is>
      </c>
      <c r="AV632" t="inlineStr">
        <is>
          <t>Kommun</t>
        </is>
      </c>
      <c r="AW632" t="inlineStr">
        <is>
          <t>Norsjö kommun</t>
        </is>
      </c>
      <c r="AX632" t="inlineStr">
        <is>
          <t>2024-05</t>
        </is>
      </c>
      <c r="AY632" t="inlineStr">
        <is>
          <t>Beslut</t>
        </is>
      </c>
      <c r="AZ632" t="inlineStr">
        <is>
          <t>2026-02-05</t>
        </is>
      </c>
      <c r="BA632" t="inlineStr">
        <is>
          <t>MBN-2024-178_1377_001_2024-04-12.pdf</t>
        </is>
      </c>
      <c r="BB632" t="inlineStr">
        <is>
          <t>Begäran om allmänna handlingar</t>
        </is>
      </c>
      <c r="BC632" t="inlineStr">
        <is>
          <t>AUTO</t>
        </is>
      </c>
      <c r="BD632" t="inlineStr"/>
      <c r="BE632" t="inlineStr"/>
      <c r="BF632" t="inlineStr">
        <is>
          <t>AUTO_GENERERAD. Bekrafta metadata mot kallfil.</t>
        </is>
      </c>
      <c r="BG632">
        <f>HYPERLINK("C:\Users\jimmy\Desktop\Examens arbete\Kod\Ny mapp\remix_-copy-of-miljöbeslut.se-portal\MBN-2024-178_1377_001_2024-04-12.pdf", "Öppna PDF")</f>
        <v/>
      </c>
    </row>
    <row r="633">
      <c r="A633" t="inlineStr">
        <is>
          <t>KRAV-AUTO-000632</t>
        </is>
      </c>
      <c r="B633" t="inlineStr">
        <is>
          <t>ADMIN-INDEX-2026-02-27-00000000125C043F57453246863FE664CAFE6A3F0700950291EA24F0614FB6ACEDB12BF0E31D00000000010C0000950291EA24F0614FB6ACEDB12BF0E31D00002087ADEB0000</t>
        </is>
      </c>
      <c r="C633" t="inlineStr">
        <is>
          <t>cmm4yuqlt03pqcuqwzjrflke7</t>
        </is>
      </c>
      <c r="D633" t="inlineStr">
        <is>
          <t>http://localhost:8787/api/admin/requirements/documents/cmm4yuqlt03pqcuqwzjrflke7/view</t>
        </is>
      </c>
      <c r="E633">
        <f>HYPERLÄNK("http://localhost:8787/api/admin/requirements/documents/cmm4yuqlt03pqcuqwzjrflke7/view";"Öppna PDF")</f>
        <v/>
      </c>
      <c r="F633">
        <f>HYPERLINK("http://localhost:8787/api/admin/requirements/documents/cmm4yuqlt03pqcuqwzjrflke7/view","Open PDF")</f>
        <v/>
      </c>
      <c r="G633" t="inlineStr">
        <is>
          <t>cmm55w57p0004cuisfrtpqly8</t>
        </is>
      </c>
      <c r="H633" t="inlineStr">
        <is>
          <t>Beslutsvillkor</t>
        </is>
      </c>
      <c r="I633" t="inlineStr">
        <is>
          <t>TransportLogistik</t>
        </is>
      </c>
      <c r="J633" t="inlineStr">
        <is>
          <t>Transportvagar</t>
        </is>
      </c>
      <c r="K633" t="inlineStr">
        <is>
          <t>Ja x Nej: Farligt avfall som mot förmodan uppkommer förvaras i täta behållare i avvaktan på borttransport.</t>
        </is>
      </c>
      <c r="L633" t="inlineStr">
        <is>
          <t>Ja x Nej: Farligt avfall som mot förmodan uppkommer förvaras i täta behållare i avvaktan på borttransport.</t>
        </is>
      </c>
      <c r="M633" t="inlineStr">
        <is>
          <t>BOR</t>
        </is>
      </c>
      <c r="N633" t="inlineStr"/>
      <c r="O633" t="inlineStr"/>
      <c r="P633" t="inlineStr">
        <is>
          <t>Arlig</t>
        </is>
      </c>
      <c r="Q633" t="inlineStr"/>
      <c r="R633" t="inlineStr">
        <is>
          <t>Vid transporter</t>
        </is>
      </c>
      <c r="S633" t="inlineStr"/>
      <c r="T633" t="inlineStr">
        <is>
          <t>556768</t>
        </is>
      </c>
      <c r="U633" t="inlineStr"/>
      <c r="V633" t="inlineStr"/>
      <c r="W633" t="inlineStr">
        <is>
          <t>Nej</t>
        </is>
      </c>
      <c r="X633" t="inlineStr">
        <is>
          <t>Nej</t>
        </is>
      </c>
      <c r="Y633" t="inlineStr">
        <is>
          <t>Nej</t>
        </is>
      </c>
      <c r="Z633" t="inlineStr">
        <is>
          <t>Ja</t>
        </is>
      </c>
      <c r="AA633" t="n">
        <v>9</v>
      </c>
      <c r="AB633" t="inlineStr">
        <is>
          <t>Transporter och logistik</t>
        </is>
      </c>
      <c r="AC633" t="inlineStr">
        <is>
          <t>Trafikplan</t>
        </is>
      </c>
      <c r="AD633" t="inlineStr">
        <is>
          <t>Nej</t>
        </is>
      </c>
      <c r="AE633" t="inlineStr">
        <is>
          <t>Nej</t>
        </is>
      </c>
      <c r="AF633" t="inlineStr">
        <is>
          <t>Ej behandlad</t>
        </is>
      </c>
      <c r="AG633" t="inlineStr">
        <is>
          <t>AUTO_GENERERAD. Verifiera citat mot kallfil.</t>
        </is>
      </c>
      <c r="AH633" t="inlineStr">
        <is>
          <t>MEDIUM</t>
        </is>
      </c>
      <c r="AI633" t="inlineStr">
        <is>
          <t>AUTO</t>
        </is>
      </c>
      <c r="AJ633" t="inlineStr">
        <is>
          <t>Nej</t>
        </is>
      </c>
      <c r="AK633" t="inlineStr"/>
      <c r="AL633" t="inlineStr"/>
      <c r="AM633" t="inlineStr"/>
      <c r="AN633" t="inlineStr"/>
      <c r="AO633" t="inlineStr">
        <is>
          <t>cmm4yuqlm03pkcuqwjxh8oxe1</t>
        </is>
      </c>
      <c r="AP633" t="inlineStr">
        <is>
          <t>http://localhost:8787/api/admin/requirements/documents/cmm4yuqlm03pkcuqwjxh8oxe1/view</t>
        </is>
      </c>
      <c r="AQ633">
        <f>HYPERLÄNK("http://localhost:8787/api/admin/requirements/documents/cmm4yuqlm03pkcuqwjxh8oxe1/view";"Öppna PDF")</f>
        <v/>
      </c>
      <c r="AR633">
        <f>HYPERLINK("http://localhost:8787/api/admin/requirements/documents/cmm4yuqlm03pkcuqwjxh8oxe1/view","Open PDF")</f>
        <v/>
      </c>
      <c r="AS633" t="inlineStr">
        <is>
          <t>cmm55w57p0004cuisfrtpqly8</t>
        </is>
      </c>
      <c r="AT633" t="inlineStr">
        <is>
          <t>cmm4xvu980000cuh4vj0usz09</t>
        </is>
      </c>
      <c r="AU633" t="inlineStr">
        <is>
          <t>Norsjö</t>
        </is>
      </c>
      <c r="AV633" t="inlineStr">
        <is>
          <t>Kommun</t>
        </is>
      </c>
      <c r="AW633" t="inlineStr">
        <is>
          <t>Norsjö kommun</t>
        </is>
      </c>
      <c r="AX633" t="inlineStr">
        <is>
          <t>2024-05</t>
        </is>
      </c>
      <c r="AY633" t="inlineStr">
        <is>
          <t>Beslut</t>
        </is>
      </c>
      <c r="AZ633" t="inlineStr">
        <is>
          <t>2026-02-05</t>
        </is>
      </c>
      <c r="BA633" t="inlineStr">
        <is>
          <t>MBN-2024-178_1377_001_2024-04-12.pdf</t>
        </is>
      </c>
      <c r="BB633" t="inlineStr">
        <is>
          <t>Begäran om allmänna handlingar</t>
        </is>
      </c>
      <c r="BC633" t="inlineStr">
        <is>
          <t>AUTO</t>
        </is>
      </c>
      <c r="BD633" t="inlineStr"/>
      <c r="BE633" t="inlineStr"/>
      <c r="BF633" t="inlineStr">
        <is>
          <t>AUTO_GENERERAD. Bekrafta metadata mot kallfil.</t>
        </is>
      </c>
      <c r="BG633">
        <f>HYPERLINK("C:\Users\jimmy\Desktop\Examens arbete\Kod\Ny mapp\remix_-copy-of-miljöbeslut.se-portal\MBN-2024-178_1377_001_2024-04-12.pdf", "Öppna PDF")</f>
        <v/>
      </c>
    </row>
    <row r="634">
      <c r="A634" t="inlineStr">
        <is>
          <t>KRAV-AUTO-000633</t>
        </is>
      </c>
      <c r="B634" t="inlineStr">
        <is>
          <t>ADMIN-INDEX-2026-02-27-00000000125C043F57453246863FE664CAFE6A3F0700950291EA24F0614FB6ACEDB12BF0E31D00000000010C0000950291EA24F0614FB6ACEDB12BF0E31D00002087ADEC0000</t>
        </is>
      </c>
      <c r="C634" t="inlineStr">
        <is>
          <t>cmm4yuqld03pbcuqwk1q8ruah</t>
        </is>
      </c>
      <c r="D634" t="inlineStr">
        <is>
          <t>http://localhost:8787/api/admin/requirements/documents/cmm4yuqld03pbcuqwk1q8ruah/view</t>
        </is>
      </c>
      <c r="E634">
        <f>HYPERLÄNK("http://localhost:8787/api/admin/requirements/documents/cmm4yuqld03pbcuqwk1q8ruah/view";"Öppna PDF")</f>
        <v/>
      </c>
      <c r="F634">
        <f>HYPERLINK("http://localhost:8787/api/admin/requirements/documents/cmm4yuqld03pbcuqwk1q8ruah/view","Open PDF")</f>
        <v/>
      </c>
      <c r="G634" t="inlineStr">
        <is>
          <t>cmm55w57p0004cuisfrtpqly8</t>
        </is>
      </c>
      <c r="H634" t="inlineStr">
        <is>
          <t>Beslutsvillkor</t>
        </is>
      </c>
      <c r="I634" t="inlineStr">
        <is>
          <t>LagringsvolymTid</t>
        </is>
      </c>
      <c r="J634" t="inlineStr">
        <is>
          <t>Maxmangd</t>
        </is>
      </c>
      <c r="K634" t="inlineStr">
        <is>
          <t>Avfall som skall återvinnas uppgår till ca 5000 ton.</t>
        </is>
      </c>
      <c r="L634" t="inlineStr">
        <is>
          <t>Avfall som skall återvinnas uppgår till ca 5000 ton.</t>
        </is>
      </c>
      <c r="M634" t="inlineStr">
        <is>
          <t>SKA</t>
        </is>
      </c>
      <c r="N634" t="inlineStr"/>
      <c r="O634" t="inlineStr"/>
      <c r="P634" t="inlineStr"/>
      <c r="Q634" t="inlineStr"/>
      <c r="R634" t="inlineStr">
        <is>
          <t>Alltid</t>
        </is>
      </c>
      <c r="S634" t="inlineStr"/>
      <c r="T634" t="inlineStr">
        <is>
          <t>556768</t>
        </is>
      </c>
      <c r="U634" t="n">
        <v>5000</v>
      </c>
      <c r="V634" t="inlineStr"/>
      <c r="W634" t="inlineStr">
        <is>
          <t>Nej</t>
        </is>
      </c>
      <c r="X634" t="inlineStr">
        <is>
          <t>Nej</t>
        </is>
      </c>
      <c r="Y634" t="inlineStr">
        <is>
          <t>Nej</t>
        </is>
      </c>
      <c r="Z634" t="inlineStr">
        <is>
          <t>Nej</t>
        </is>
      </c>
      <c r="AA634" t="n">
        <v>4</v>
      </c>
      <c r="AB634" t="inlineStr">
        <is>
          <t>Avfallsmangder och lagringstid</t>
        </is>
      </c>
      <c r="AC634" t="inlineStr">
        <is>
          <t>Avfallsforteckning</t>
        </is>
      </c>
      <c r="AD634" t="inlineStr">
        <is>
          <t>Nej</t>
        </is>
      </c>
      <c r="AE634" t="inlineStr">
        <is>
          <t>Nej</t>
        </is>
      </c>
      <c r="AF634" t="inlineStr">
        <is>
          <t>Ej behandlad</t>
        </is>
      </c>
      <c r="AG634" t="inlineStr">
        <is>
          <t>AUTO_GENERERAD. Verifiera citat mot kallfil.</t>
        </is>
      </c>
      <c r="AH634" t="inlineStr">
        <is>
          <t>MEDIUM</t>
        </is>
      </c>
      <c r="AI634" t="inlineStr">
        <is>
          <t>AUTO</t>
        </is>
      </c>
      <c r="AJ634" t="inlineStr">
        <is>
          <t>Nej</t>
        </is>
      </c>
      <c r="AK634" t="inlineStr"/>
      <c r="AL634" t="inlineStr"/>
      <c r="AM634" t="inlineStr"/>
      <c r="AN634" t="inlineStr"/>
      <c r="AO634" t="inlineStr">
        <is>
          <t>cmm4yuql503p2cuqwh5xr4lq2</t>
        </is>
      </c>
      <c r="AP634" t="inlineStr">
        <is>
          <t>http://localhost:8787/api/admin/requirements/documents/cmm4yuql503p2cuqwh5xr4lq2/view</t>
        </is>
      </c>
      <c r="AQ634">
        <f>HYPERLÄNK("http://localhost:8787/api/admin/requirements/documents/cmm4yuql503p2cuqwh5xr4lq2/view";"Öppna PDF")</f>
        <v/>
      </c>
      <c r="AR634">
        <f>HYPERLINK("http://localhost:8787/api/admin/requirements/documents/cmm4yuql503p2cuqwh5xr4lq2/view","Open PDF")</f>
        <v/>
      </c>
      <c r="AS634" t="inlineStr">
        <is>
          <t>cmm55w57p0004cuisfrtpqly8</t>
        </is>
      </c>
      <c r="AT634" t="inlineStr">
        <is>
          <t>cmm4xvu980000cuh4vj0usz09</t>
        </is>
      </c>
      <c r="AU634" t="inlineStr">
        <is>
          <t>Norsjö</t>
        </is>
      </c>
      <c r="AV634" t="inlineStr">
        <is>
          <t>Kommun</t>
        </is>
      </c>
      <c r="AW634" t="inlineStr">
        <is>
          <t>Norsjö kommun</t>
        </is>
      </c>
      <c r="AX634" t="inlineStr">
        <is>
          <t>2024-05</t>
        </is>
      </c>
      <c r="AY634" t="inlineStr">
        <is>
          <t>Beslut</t>
        </is>
      </c>
      <c r="AZ634" t="inlineStr">
        <is>
          <t>2026-02-05</t>
        </is>
      </c>
      <c r="BA634" t="inlineStr">
        <is>
          <t>MBN-2024-178_1377_001_2024-04-12.pdf</t>
        </is>
      </c>
      <c r="BB634" t="inlineStr">
        <is>
          <t>Begäran om allmänna handlingar</t>
        </is>
      </c>
      <c r="BC634" t="inlineStr">
        <is>
          <t>AUTO</t>
        </is>
      </c>
      <c r="BD634" t="inlineStr"/>
      <c r="BE634" t="inlineStr"/>
      <c r="BF634" t="inlineStr">
        <is>
          <t>AUTO_GENERERAD. Bekrafta metadata mot kallfil.</t>
        </is>
      </c>
      <c r="BG634">
        <f>HYPERLINK("C:\Users\jimmy\Desktop\Examens arbete\Kod\Ny mapp\remix_-copy-of-miljöbeslut.se-portal\MBN-2024-178_1377_001_2024-04-12.pdf", "Öppna PDF")</f>
        <v/>
      </c>
    </row>
    <row r="635">
      <c r="A635" t="inlineStr">
        <is>
          <t>KRAV-AUTO-000634</t>
        </is>
      </c>
      <c r="B635" t="inlineStr">
        <is>
          <t>ADMIN-INDEX-2026-02-27-00000000125C043F57453246863FE664CAFE6A3F0700950291EA24F0614FB6ACEDB12BF0E31D00000000010C0000950291EA24F0614FB6ACEDB12BF0E31D00002087ADEC0000</t>
        </is>
      </c>
      <c r="C635" t="inlineStr">
        <is>
          <t>cmm4yuqld03pbcuqwk1q8ruah</t>
        </is>
      </c>
      <c r="D635" t="inlineStr">
        <is>
          <t>http://localhost:8787/api/admin/requirements/documents/cmm4yuqld03pbcuqwk1q8ruah/view</t>
        </is>
      </c>
      <c r="E635">
        <f>HYPERLÄNK("http://localhost:8787/api/admin/requirements/documents/cmm4yuqld03pbcuqwk1q8ruah/view";"Öppna PDF")</f>
        <v/>
      </c>
      <c r="F635">
        <f>HYPERLINK("http://localhost:8787/api/admin/requirements/documents/cmm4yuqld03pbcuqwk1q8ruah/view","Open PDF")</f>
        <v/>
      </c>
      <c r="G635" t="inlineStr">
        <is>
          <t>cmm55w57p0004cuisfrtpqly8</t>
        </is>
      </c>
      <c r="H635" t="inlineStr">
        <is>
          <t>Beslutsvillkor</t>
        </is>
      </c>
      <c r="I635" t="inlineStr">
        <is>
          <t>LagringsvolymTid</t>
        </is>
      </c>
      <c r="J635" t="inlineStr">
        <is>
          <t>Maxmangd</t>
        </is>
      </c>
      <c r="K635" t="inlineStr">
        <is>
          <t>- Överstiger återvunnet avfall 10 000 ton skall tillstånd sökas hos Länsstyrelsen.</t>
        </is>
      </c>
      <c r="L635" t="inlineStr">
        <is>
          <t>- Överstiger återvunnet avfall 10 000 ton skall tillstånd sökas hos Länsstyrelsen.</t>
        </is>
      </c>
      <c r="M635" t="inlineStr">
        <is>
          <t>SKA</t>
        </is>
      </c>
      <c r="N635" t="inlineStr"/>
      <c r="O635" t="inlineStr"/>
      <c r="P635" t="inlineStr"/>
      <c r="Q635" t="inlineStr"/>
      <c r="R635" t="inlineStr">
        <is>
          <t>Alltid</t>
        </is>
      </c>
      <c r="S635" t="inlineStr"/>
      <c r="T635" t="inlineStr">
        <is>
          <t>556768</t>
        </is>
      </c>
      <c r="U635" t="n">
        <v>0</v>
      </c>
      <c r="V635" t="inlineStr"/>
      <c r="W635" t="inlineStr">
        <is>
          <t>Nej</t>
        </is>
      </c>
      <c r="X635" t="inlineStr">
        <is>
          <t>Nej</t>
        </is>
      </c>
      <c r="Y635" t="inlineStr">
        <is>
          <t>Nej</t>
        </is>
      </c>
      <c r="Z635" t="inlineStr">
        <is>
          <t>Nej</t>
        </is>
      </c>
      <c r="AA635" t="n">
        <v>4</v>
      </c>
      <c r="AB635" t="inlineStr">
        <is>
          <t>Avfallsmangder och lagringstid</t>
        </is>
      </c>
      <c r="AC635" t="inlineStr">
        <is>
          <t>Avfallsforteckning</t>
        </is>
      </c>
      <c r="AD635" t="inlineStr">
        <is>
          <t>Nej</t>
        </is>
      </c>
      <c r="AE635" t="inlineStr">
        <is>
          <t>Nej</t>
        </is>
      </c>
      <c r="AF635" t="inlineStr">
        <is>
          <t>Ej behandlad</t>
        </is>
      </c>
      <c r="AG635" t="inlineStr">
        <is>
          <t>AUTO_GENERERAD. Verifiera citat mot kallfil.</t>
        </is>
      </c>
      <c r="AH635" t="inlineStr">
        <is>
          <t>MEDIUM</t>
        </is>
      </c>
      <c r="AI635" t="inlineStr">
        <is>
          <t>AUTO</t>
        </is>
      </c>
      <c r="AJ635" t="inlineStr">
        <is>
          <t>Nej</t>
        </is>
      </c>
      <c r="AK635" t="inlineStr"/>
      <c r="AL635" t="inlineStr"/>
      <c r="AM635" t="inlineStr"/>
      <c r="AN635" t="inlineStr"/>
      <c r="AO635" t="inlineStr">
        <is>
          <t>cmm4yuql503p2cuqwh5xr4lq2</t>
        </is>
      </c>
      <c r="AP635" t="inlineStr">
        <is>
          <t>http://localhost:8787/api/admin/requirements/documents/cmm4yuql503p2cuqwh5xr4lq2/view</t>
        </is>
      </c>
      <c r="AQ635">
        <f>HYPERLÄNK("http://localhost:8787/api/admin/requirements/documents/cmm4yuql503p2cuqwh5xr4lq2/view";"Öppna PDF")</f>
        <v/>
      </c>
      <c r="AR635">
        <f>HYPERLINK("http://localhost:8787/api/admin/requirements/documents/cmm4yuql503p2cuqwh5xr4lq2/view","Open PDF")</f>
        <v/>
      </c>
      <c r="AS635" t="inlineStr">
        <is>
          <t>cmm55w57p0004cuisfrtpqly8</t>
        </is>
      </c>
      <c r="AT635" t="inlineStr">
        <is>
          <t>cmm4xvu980000cuh4vj0usz09</t>
        </is>
      </c>
      <c r="AU635" t="inlineStr">
        <is>
          <t>Norsjö</t>
        </is>
      </c>
      <c r="AV635" t="inlineStr">
        <is>
          <t>Kommun</t>
        </is>
      </c>
      <c r="AW635" t="inlineStr">
        <is>
          <t>Norsjö kommun</t>
        </is>
      </c>
      <c r="AX635" t="inlineStr">
        <is>
          <t>2024-05</t>
        </is>
      </c>
      <c r="AY635" t="inlineStr">
        <is>
          <t>Beslut</t>
        </is>
      </c>
      <c r="AZ635" t="inlineStr">
        <is>
          <t>2026-02-05</t>
        </is>
      </c>
      <c r="BA635" t="inlineStr">
        <is>
          <t>MBN-2024-178_1377_001_2024-04-12.pdf</t>
        </is>
      </c>
      <c r="BB635" t="inlineStr">
        <is>
          <t>Begäran om allmänna handlingar</t>
        </is>
      </c>
      <c r="BC635" t="inlineStr">
        <is>
          <t>AUTO</t>
        </is>
      </c>
      <c r="BD635" t="inlineStr"/>
      <c r="BE635" t="inlineStr"/>
      <c r="BF635" t="inlineStr">
        <is>
          <t>AUTO_GENERERAD. Bekrafta metadata mot kallfil.</t>
        </is>
      </c>
      <c r="BG635">
        <f>HYPERLINK("C:\Users\jimmy\Desktop\Examens arbete\Kod\Ny mapp\remix_-copy-of-miljöbeslut.se-portal\MBN-2024-178_1377_001_2024-04-12.pdf", "Öppna PDF")</f>
        <v/>
      </c>
    </row>
    <row r="636">
      <c r="A636" t="inlineStr">
        <is>
          <t>KRAV-AUTO-000635</t>
        </is>
      </c>
      <c r="B636" t="inlineStr">
        <is>
          <t>ADMIN-INDEX-2026-02-27-00000000125C043F57453246863FE664CAFE6A3F0700950291EA24F0614FB6ACEDB12BF0E31D00000000010C0000950291EA24F0614FB6ACEDB12BF0E31D00002087ADEC0000</t>
        </is>
      </c>
      <c r="C636" t="inlineStr">
        <is>
          <t>cmm4yuqld03pbcuqwk1q8ruah</t>
        </is>
      </c>
      <c r="D636" t="inlineStr">
        <is>
          <t>http://localhost:8787/api/admin/requirements/documents/cmm4yuqld03pbcuqwk1q8ruah/view</t>
        </is>
      </c>
      <c r="E636">
        <f>HYPERLÄNK("http://localhost:8787/api/admin/requirements/documents/cmm4yuqld03pbcuqwk1q8ruah/view";"Öppna PDF")</f>
        <v/>
      </c>
      <c r="F636">
        <f>HYPERLINK("http://localhost:8787/api/admin/requirements/documents/cmm4yuqld03pbcuqwk1q8ruah/view","Open PDF")</f>
        <v/>
      </c>
      <c r="G636" t="inlineStr">
        <is>
          <t>cmm55w57p0004cuisfrtpqly8</t>
        </is>
      </c>
      <c r="H636" t="inlineStr">
        <is>
          <t>Beslutsvillkor</t>
        </is>
      </c>
      <c r="I636" t="inlineStr">
        <is>
          <t>LagringsvolymTid</t>
        </is>
      </c>
      <c r="J636" t="inlineStr">
        <is>
          <t>Maxmangd</t>
        </is>
      </c>
      <c r="K636" t="inlineStr">
        <is>
          <t>Volymen av nyproducerat material skall uppgå till 32 000 ton.</t>
        </is>
      </c>
      <c r="L636" t="inlineStr">
        <is>
          <t>Volymen av nyproducerat material skall uppgå till 32 000 ton.</t>
        </is>
      </c>
      <c r="M636" t="inlineStr">
        <is>
          <t>SKA</t>
        </is>
      </c>
      <c r="N636" t="inlineStr"/>
      <c r="O636" t="inlineStr"/>
      <c r="P636" t="inlineStr"/>
      <c r="Q636" t="inlineStr"/>
      <c r="R636" t="inlineStr">
        <is>
          <t>Alltid</t>
        </is>
      </c>
      <c r="S636" t="inlineStr"/>
      <c r="T636" t="inlineStr">
        <is>
          <t>556768</t>
        </is>
      </c>
      <c r="U636" t="n">
        <v>0</v>
      </c>
      <c r="V636" t="inlineStr"/>
      <c r="W636" t="inlineStr">
        <is>
          <t>Nej</t>
        </is>
      </c>
      <c r="X636" t="inlineStr">
        <is>
          <t>Nej</t>
        </is>
      </c>
      <c r="Y636" t="inlineStr">
        <is>
          <t>Nej</t>
        </is>
      </c>
      <c r="Z636" t="inlineStr">
        <is>
          <t>Nej</t>
        </is>
      </c>
      <c r="AA636" t="n">
        <v>4</v>
      </c>
      <c r="AB636" t="inlineStr">
        <is>
          <t>Avfallsmangder och lagringstid</t>
        </is>
      </c>
      <c r="AC636" t="inlineStr">
        <is>
          <t>Avfallsforteckning</t>
        </is>
      </c>
      <c r="AD636" t="inlineStr">
        <is>
          <t>Nej</t>
        </is>
      </c>
      <c r="AE636" t="inlineStr">
        <is>
          <t>Nej</t>
        </is>
      </c>
      <c r="AF636" t="inlineStr">
        <is>
          <t>Ej behandlad</t>
        </is>
      </c>
      <c r="AG636" t="inlineStr">
        <is>
          <t>AUTO_GENERERAD. Verifiera citat mot kallfil.</t>
        </is>
      </c>
      <c r="AH636" t="inlineStr">
        <is>
          <t>MEDIUM</t>
        </is>
      </c>
      <c r="AI636" t="inlineStr">
        <is>
          <t>AUTO</t>
        </is>
      </c>
      <c r="AJ636" t="inlineStr">
        <is>
          <t>Nej</t>
        </is>
      </c>
      <c r="AK636" t="inlineStr"/>
      <c r="AL636" t="inlineStr"/>
      <c r="AM636" t="inlineStr"/>
      <c r="AN636" t="inlineStr"/>
      <c r="AO636" t="inlineStr">
        <is>
          <t>cmm4yuql503p2cuqwh5xr4lq2</t>
        </is>
      </c>
      <c r="AP636" t="inlineStr">
        <is>
          <t>http://localhost:8787/api/admin/requirements/documents/cmm4yuql503p2cuqwh5xr4lq2/view</t>
        </is>
      </c>
      <c r="AQ636">
        <f>HYPERLÄNK("http://localhost:8787/api/admin/requirements/documents/cmm4yuql503p2cuqwh5xr4lq2/view";"Öppna PDF")</f>
        <v/>
      </c>
      <c r="AR636">
        <f>HYPERLINK("http://localhost:8787/api/admin/requirements/documents/cmm4yuql503p2cuqwh5xr4lq2/view","Open PDF")</f>
        <v/>
      </c>
      <c r="AS636" t="inlineStr">
        <is>
          <t>cmm55w57p0004cuisfrtpqly8</t>
        </is>
      </c>
      <c r="AT636" t="inlineStr">
        <is>
          <t>cmm4xvu980000cuh4vj0usz09</t>
        </is>
      </c>
      <c r="AU636" t="inlineStr">
        <is>
          <t>Norsjö</t>
        </is>
      </c>
      <c r="AV636" t="inlineStr">
        <is>
          <t>Kommun</t>
        </is>
      </c>
      <c r="AW636" t="inlineStr">
        <is>
          <t>Norsjö kommun</t>
        </is>
      </c>
      <c r="AX636" t="inlineStr">
        <is>
          <t>2024-05</t>
        </is>
      </c>
      <c r="AY636" t="inlineStr">
        <is>
          <t>Beslut</t>
        </is>
      </c>
      <c r="AZ636" t="inlineStr">
        <is>
          <t>2026-02-05</t>
        </is>
      </c>
      <c r="BA636" t="inlineStr">
        <is>
          <t>MBN-2024-178_1377_001_2024-04-12.pdf</t>
        </is>
      </c>
      <c r="BB636" t="inlineStr">
        <is>
          <t>Begäran om allmänna handlingar</t>
        </is>
      </c>
      <c r="BC636" t="inlineStr">
        <is>
          <t>AUTO</t>
        </is>
      </c>
      <c r="BD636" t="inlineStr"/>
      <c r="BE636" t="inlineStr"/>
      <c r="BF636" t="inlineStr">
        <is>
          <t>AUTO_GENERERAD. Bekrafta metadata mot kallfil.</t>
        </is>
      </c>
      <c r="BG636">
        <f>HYPERLINK("C:\Users\jimmy\Desktop\Examens arbete\Kod\Ny mapp\remix_-copy-of-miljöbeslut.se-portal\MBN-2024-178_1377_001_2024-04-12.pdf", "Öppna PDF")</f>
        <v/>
      </c>
    </row>
    <row r="637">
      <c r="A637" t="inlineStr">
        <is>
          <t>KRAV-AUTO-000636</t>
        </is>
      </c>
      <c r="B637" t="inlineStr">
        <is>
          <t>ADMIN-INDEX-2026-02-27-00000000125C043F57453246863FE664CAFE6A3F0700950291EA24F0614FB6ACEDB12BF0E31D00000000010C0000950291EA24F0614FB6ACEDB12BF0E31D00002087ADEC0000</t>
        </is>
      </c>
      <c r="C637" t="inlineStr">
        <is>
          <t>cmm4yuqla03p8cuqw3icbms51</t>
        </is>
      </c>
      <c r="D637" t="inlineStr">
        <is>
          <t>http://localhost:8787/api/admin/requirements/documents/cmm4yuqla03p8cuqw3icbms51/view</t>
        </is>
      </c>
      <c r="E637">
        <f>HYPERLÄNK("http://localhost:8787/api/admin/requirements/documents/cmm4yuqla03p8cuqw3icbms51/view";"Öppna PDF")</f>
        <v/>
      </c>
      <c r="F637">
        <f>HYPERLINK("http://localhost:8787/api/admin/requirements/documents/cmm4yuqla03p8cuqw3icbms51/view","Open PDF")</f>
        <v/>
      </c>
      <c r="G637" t="inlineStr">
        <is>
          <t>cmm55w57p0004cuisfrtpqly8</t>
        </is>
      </c>
      <c r="H637" t="inlineStr">
        <is>
          <t>Beslutsvillkor</t>
        </is>
      </c>
      <c r="I637" t="inlineStr">
        <is>
          <t>TransportLogistik</t>
        </is>
      </c>
      <c r="J637" t="inlineStr">
        <is>
          <t>Transportvagar</t>
        </is>
      </c>
      <c r="K637" t="inlineStr">
        <is>
          <t>Ja x Nej: Farligt avfall som mot förmodan uppkommer förvaras i täta behållare i avvaktan på borttransport.</t>
        </is>
      </c>
      <c r="L637" t="inlineStr">
        <is>
          <t>Ja x Nej: Farligt avfall som mot förmodan uppkommer förvaras i täta behållare i avvaktan på borttransport.</t>
        </is>
      </c>
      <c r="M637" t="inlineStr">
        <is>
          <t>BOR</t>
        </is>
      </c>
      <c r="N637" t="inlineStr"/>
      <c r="O637" t="inlineStr"/>
      <c r="P637" t="inlineStr">
        <is>
          <t>Arlig</t>
        </is>
      </c>
      <c r="Q637" t="inlineStr"/>
      <c r="R637" t="inlineStr">
        <is>
          <t>Vid transporter</t>
        </is>
      </c>
      <c r="S637" t="inlineStr"/>
      <c r="T637" t="inlineStr">
        <is>
          <t>556768</t>
        </is>
      </c>
      <c r="U637" t="inlineStr"/>
      <c r="V637" t="inlineStr"/>
      <c r="W637" t="inlineStr">
        <is>
          <t>Nej</t>
        </is>
      </c>
      <c r="X637" t="inlineStr">
        <is>
          <t>Nej</t>
        </is>
      </c>
      <c r="Y637" t="inlineStr">
        <is>
          <t>Nej</t>
        </is>
      </c>
      <c r="Z637" t="inlineStr">
        <is>
          <t>Ja</t>
        </is>
      </c>
      <c r="AA637" t="n">
        <v>9</v>
      </c>
      <c r="AB637" t="inlineStr">
        <is>
          <t>Transporter och logistik</t>
        </is>
      </c>
      <c r="AC637" t="inlineStr">
        <is>
          <t>Trafikplan</t>
        </is>
      </c>
      <c r="AD637" t="inlineStr">
        <is>
          <t>Nej</t>
        </is>
      </c>
      <c r="AE637" t="inlineStr">
        <is>
          <t>Nej</t>
        </is>
      </c>
      <c r="AF637" t="inlineStr">
        <is>
          <t>Ej behandlad</t>
        </is>
      </c>
      <c r="AG637" t="inlineStr">
        <is>
          <t>AUTO_GENERERAD. Verifiera citat mot kallfil.</t>
        </is>
      </c>
      <c r="AH637" t="inlineStr">
        <is>
          <t>MEDIUM</t>
        </is>
      </c>
      <c r="AI637" t="inlineStr">
        <is>
          <t>AUTO</t>
        </is>
      </c>
      <c r="AJ637" t="inlineStr">
        <is>
          <t>Nej</t>
        </is>
      </c>
      <c r="AK637" t="inlineStr"/>
      <c r="AL637" t="inlineStr"/>
      <c r="AM637" t="inlineStr"/>
      <c r="AN637" t="inlineStr"/>
      <c r="AO637" t="inlineStr">
        <is>
          <t>cmm4yuql503p2cuqwh5xr4lq2</t>
        </is>
      </c>
      <c r="AP637" t="inlineStr">
        <is>
          <t>http://localhost:8787/api/admin/requirements/documents/cmm4yuql503p2cuqwh5xr4lq2/view</t>
        </is>
      </c>
      <c r="AQ637">
        <f>HYPERLÄNK("http://localhost:8787/api/admin/requirements/documents/cmm4yuql503p2cuqwh5xr4lq2/view";"Öppna PDF")</f>
        <v/>
      </c>
      <c r="AR637">
        <f>HYPERLINK("http://localhost:8787/api/admin/requirements/documents/cmm4yuql503p2cuqwh5xr4lq2/view","Open PDF")</f>
        <v/>
      </c>
      <c r="AS637" t="inlineStr">
        <is>
          <t>cmm55w57p0004cuisfrtpqly8</t>
        </is>
      </c>
      <c r="AT637" t="inlineStr">
        <is>
          <t>cmm4xvu980000cuh4vj0usz09</t>
        </is>
      </c>
      <c r="AU637" t="inlineStr">
        <is>
          <t>Norsjö</t>
        </is>
      </c>
      <c r="AV637" t="inlineStr">
        <is>
          <t>Kommun</t>
        </is>
      </c>
      <c r="AW637" t="inlineStr">
        <is>
          <t>Norsjö kommun</t>
        </is>
      </c>
      <c r="AX637" t="inlineStr">
        <is>
          <t>2024-05</t>
        </is>
      </c>
      <c r="AY637" t="inlineStr">
        <is>
          <t>Beslut</t>
        </is>
      </c>
      <c r="AZ637" t="inlineStr">
        <is>
          <t>2026-02-05</t>
        </is>
      </c>
      <c r="BA637" t="inlineStr">
        <is>
          <t>MBN-2024-178_1377_001_2024-04-12.pdf</t>
        </is>
      </c>
      <c r="BB637" t="inlineStr">
        <is>
          <t>Begäran om allmänna handlingar</t>
        </is>
      </c>
      <c r="BC637" t="inlineStr">
        <is>
          <t>AUTO</t>
        </is>
      </c>
      <c r="BD637" t="inlineStr"/>
      <c r="BE637" t="inlineStr"/>
      <c r="BF637" t="inlineStr">
        <is>
          <t>AUTO_GENERERAD. Bekrafta metadata mot kallfil.</t>
        </is>
      </c>
      <c r="BG637">
        <f>HYPERLINK("C:\Users\jimmy\Desktop\Examens arbete\Kod\Ny mapp\remix_-copy-of-miljöbeslut.se-portal\MBN-2024-178_1377_001_2024-04-12.pdf", "Öppna PDF")</f>
        <v/>
      </c>
    </row>
    <row r="638">
      <c r="A638" t="inlineStr">
        <is>
          <t>KRAV-AUTO-000637</t>
        </is>
      </c>
      <c r="B638" t="inlineStr">
        <is>
          <t>ADMIN-INDEX-2026-02-27-00000000125C043F57453246863FE664CAFE6A3F0700950291EA24F0614FB6ACEDB12BF0E31D00000000010C0000950291EA24F0614FB6ACEDB12BF0E31D00002087A5BE0000</t>
        </is>
      </c>
      <c r="C638" t="inlineStr">
        <is>
          <t>cmm4yur0v043ecuqw8uyv5zks</t>
        </is>
      </c>
      <c r="D638" t="inlineStr">
        <is>
          <t>http://localhost:8787/api/admin/requirements/documents/cmm4yur0v043ecuqw8uyv5zks/view</t>
        </is>
      </c>
      <c r="E638">
        <f>HYPERLÄNK("http://localhost:8787/api/admin/requirements/documents/cmm4yur0v043ecuqw8uyv5zks/view";"Öppna PDF")</f>
        <v/>
      </c>
      <c r="F638">
        <f>HYPERLINK("http://localhost:8787/api/admin/requirements/documents/cmm4yur0v043ecuqw8uyv5zks/view","Open PDF")</f>
        <v/>
      </c>
      <c r="G638" t="inlineStr">
        <is>
          <t>cmm55w57p0004cuisfrtpqly8</t>
        </is>
      </c>
      <c r="H638" t="inlineStr">
        <is>
          <t>Beslutsvillkor</t>
        </is>
      </c>
      <c r="I638" t="inlineStr">
        <is>
          <t>Ytkonstruktion</t>
        </is>
      </c>
      <c r="J638" t="inlineStr">
        <is>
          <t>Tat yta</t>
        </is>
      </c>
      <c r="K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638" t="inlineStr">
        <is>
          <t>SKA</t>
        </is>
      </c>
      <c r="N638" t="inlineStr"/>
      <c r="O638" t="inlineStr"/>
      <c r="P638" t="inlineStr">
        <is>
          <t>Arlig</t>
        </is>
      </c>
      <c r="Q638" t="inlineStr"/>
      <c r="R638" t="inlineStr">
        <is>
          <t>Vid mellanlagring av avfall</t>
        </is>
      </c>
      <c r="S638" t="inlineStr"/>
      <c r="T638" t="inlineStr">
        <is>
          <t>556057</t>
        </is>
      </c>
      <c r="U638" t="inlineStr"/>
      <c r="V638" t="inlineStr"/>
      <c r="W638" t="inlineStr">
        <is>
          <t>Ja</t>
        </is>
      </c>
      <c r="X638" t="inlineStr">
        <is>
          <t>Nej</t>
        </is>
      </c>
      <c r="Y638" t="inlineStr">
        <is>
          <t>Nej</t>
        </is>
      </c>
      <c r="Z638" t="inlineStr">
        <is>
          <t>Nej</t>
        </is>
      </c>
      <c r="AA638" t="n">
        <v>5</v>
      </c>
      <c r="AB638" t="inlineStr">
        <is>
          <t>Teknisk beskrivning av platta</t>
        </is>
      </c>
      <c r="AC638" t="inlineStr">
        <is>
          <t>Teknisk ritning platta</t>
        </is>
      </c>
      <c r="AD638" t="inlineStr">
        <is>
          <t>Nej</t>
        </is>
      </c>
      <c r="AE638" t="inlineStr">
        <is>
          <t>Nej</t>
        </is>
      </c>
      <c r="AF638" t="inlineStr">
        <is>
          <t>Ej behandlad</t>
        </is>
      </c>
      <c r="AG638" t="inlineStr">
        <is>
          <t>AUTO_GENERERAD. Verifiera citat mot kallfil.</t>
        </is>
      </c>
      <c r="AH638" t="inlineStr">
        <is>
          <t>MEDIUM</t>
        </is>
      </c>
      <c r="AI638" t="inlineStr">
        <is>
          <t>AUTO</t>
        </is>
      </c>
      <c r="AJ638" t="inlineStr">
        <is>
          <t>Nej</t>
        </is>
      </c>
      <c r="AK638" t="inlineStr"/>
      <c r="AL638" t="inlineStr"/>
      <c r="AM638" t="inlineStr"/>
      <c r="AN638" t="inlineStr"/>
      <c r="AO638" t="inlineStr">
        <is>
          <t>cmm4yur0v043ecuqw8uyv5zks</t>
        </is>
      </c>
      <c r="AP638" t="inlineStr">
        <is>
          <t>http://localhost:8787/api/admin/requirements/documents/cmm4yur0v043ecuqw8uyv5zks/view</t>
        </is>
      </c>
      <c r="AQ638">
        <f>HYPERLÄNK("http://localhost:8787/api/admin/requirements/documents/cmm4yur0v043ecuqw8uyv5zks/view";"Öppna PDF")</f>
        <v/>
      </c>
      <c r="AR638">
        <f>HYPERLINK("http://localhost:8787/api/admin/requirements/documents/cmm4yur0v043ecuqw8uyv5zks/view","Open PDF")</f>
        <v/>
      </c>
      <c r="AS638" t="inlineStr">
        <is>
          <t>cmm55w57p0004cuisfrtpqly8</t>
        </is>
      </c>
      <c r="AT638" t="inlineStr">
        <is>
          <t>cmm4xvu980000cuh4vj0usz09</t>
        </is>
      </c>
      <c r="AU638" t="inlineStr"/>
      <c r="AV638" t="inlineStr">
        <is>
          <t>Kommun</t>
        </is>
      </c>
      <c r="AW638" t="inlineStr"/>
      <c r="AX638" t="inlineStr">
        <is>
          <t>2022-09</t>
        </is>
      </c>
      <c r="AY638" t="inlineStr">
        <is>
          <t>Beslut</t>
        </is>
      </c>
      <c r="AZ638" t="inlineStr">
        <is>
          <t>2026-02-05</t>
        </is>
      </c>
      <c r="BA638" t="inlineStr">
        <is>
          <t>Teknisk beskrivning.pdf</t>
        </is>
      </c>
      <c r="BB638" t="inlineStr">
        <is>
          <t>Sv: till registrator</t>
        </is>
      </c>
      <c r="BC638" t="inlineStr">
        <is>
          <t>AUTO</t>
        </is>
      </c>
      <c r="BD638" t="inlineStr"/>
      <c r="BE638" t="inlineStr"/>
      <c r="BF638" t="inlineStr">
        <is>
          <t>AUTO_GENERERAD. Bekrafta metadata mot kallfil.</t>
        </is>
      </c>
      <c r="BG638">
        <f>HYPERLINK("C:\Users\jimmy\Desktop\Examens arbete\Kod\Ny mapp\remix_-copy-of-miljöbeslut.se-portal\Teknisk beskrivning.pdf", "Öppna PDF")</f>
        <v/>
      </c>
    </row>
    <row r="639">
      <c r="A639" t="inlineStr">
        <is>
          <t>KRAV-AUTO-000638</t>
        </is>
      </c>
      <c r="B639" t="inlineStr">
        <is>
          <t>ADMIN-INDEX-2026-02-27-00000000125C043F57453246863FE664CAFE6A3F0700950291EA24F0614FB6ACEDB12BF0E31D00000000010C0000950291EA24F0614FB6ACEDB12BF0E31D00002087A5BE0000</t>
        </is>
      </c>
      <c r="C639" t="inlineStr">
        <is>
          <t>cmm4yur0v043ecuqw8uyv5zks</t>
        </is>
      </c>
      <c r="D639" t="inlineStr">
        <is>
          <t>http://localhost:8787/api/admin/requirements/documents/cmm4yur0v043ecuqw8uyv5zks/view</t>
        </is>
      </c>
      <c r="E639">
        <f>HYPERLÄNK("http://localhost:8787/api/admin/requirements/documents/cmm4yur0v043ecuqw8uyv5zks/view";"Öppna PDF")</f>
        <v/>
      </c>
      <c r="F639">
        <f>HYPERLINK("http://localhost:8787/api/admin/requirements/documents/cmm4yur0v043ecuqw8uyv5zks/view","Open PDF")</f>
        <v/>
      </c>
      <c r="G639" t="inlineStr">
        <is>
          <t>cmm55w57p0004cuisfrtpqly8</t>
        </is>
      </c>
      <c r="H639" t="inlineStr">
        <is>
          <t>Beslutsvillkor</t>
        </is>
      </c>
      <c r="I639" t="inlineStr">
        <is>
          <t>LagringsvolymTid</t>
        </is>
      </c>
      <c r="J639" t="inlineStr">
        <is>
          <t>Maxmangd</t>
        </is>
      </c>
      <c r="K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639" t="inlineStr">
        <is>
          <t>SKA</t>
        </is>
      </c>
      <c r="N639" t="inlineStr"/>
      <c r="O639" t="inlineStr"/>
      <c r="P639" t="inlineStr">
        <is>
          <t>Arlig</t>
        </is>
      </c>
      <c r="Q639" t="inlineStr"/>
      <c r="R639" t="inlineStr">
        <is>
          <t>Alltid</t>
        </is>
      </c>
      <c r="S639" t="inlineStr"/>
      <c r="T639" t="inlineStr">
        <is>
          <t>556057</t>
        </is>
      </c>
      <c r="U639" t="inlineStr"/>
      <c r="V639" t="inlineStr"/>
      <c r="W639" t="inlineStr">
        <is>
          <t>Nej</t>
        </is>
      </c>
      <c r="X639" t="inlineStr">
        <is>
          <t>Nej</t>
        </is>
      </c>
      <c r="Y639" t="inlineStr">
        <is>
          <t>Nej</t>
        </is>
      </c>
      <c r="Z639" t="inlineStr">
        <is>
          <t>Nej</t>
        </is>
      </c>
      <c r="AA639" t="n">
        <v>4</v>
      </c>
      <c r="AB639" t="inlineStr">
        <is>
          <t>Avfallsmangder och lagringstid</t>
        </is>
      </c>
      <c r="AC639" t="inlineStr">
        <is>
          <t>Avfallsforteckning</t>
        </is>
      </c>
      <c r="AD639" t="inlineStr">
        <is>
          <t>Nej</t>
        </is>
      </c>
      <c r="AE639" t="inlineStr">
        <is>
          <t>Nej</t>
        </is>
      </c>
      <c r="AF639" t="inlineStr">
        <is>
          <t>Ej behandlad</t>
        </is>
      </c>
      <c r="AG639" t="inlineStr">
        <is>
          <t>AUTO_GENERERAD. Verifiera citat mot kallfil.</t>
        </is>
      </c>
      <c r="AH639" t="inlineStr">
        <is>
          <t>MEDIUM</t>
        </is>
      </c>
      <c r="AI639" t="inlineStr">
        <is>
          <t>AUTO</t>
        </is>
      </c>
      <c r="AJ639" t="inlineStr">
        <is>
          <t>Nej</t>
        </is>
      </c>
      <c r="AK639" t="inlineStr"/>
      <c r="AL639" t="inlineStr"/>
      <c r="AM639" t="inlineStr"/>
      <c r="AN639" t="inlineStr"/>
      <c r="AO639" t="inlineStr">
        <is>
          <t>cmm4yur0v043ecuqw8uyv5zks</t>
        </is>
      </c>
      <c r="AP639" t="inlineStr">
        <is>
          <t>http://localhost:8787/api/admin/requirements/documents/cmm4yur0v043ecuqw8uyv5zks/view</t>
        </is>
      </c>
      <c r="AQ639">
        <f>HYPERLÄNK("http://localhost:8787/api/admin/requirements/documents/cmm4yur0v043ecuqw8uyv5zks/view";"Öppna PDF")</f>
        <v/>
      </c>
      <c r="AR639">
        <f>HYPERLINK("http://localhost:8787/api/admin/requirements/documents/cmm4yur0v043ecuqw8uyv5zks/view","Open PDF")</f>
        <v/>
      </c>
      <c r="AS639" t="inlineStr">
        <is>
          <t>cmm55w57p0004cuisfrtpqly8</t>
        </is>
      </c>
      <c r="AT639" t="inlineStr">
        <is>
          <t>cmm4xvu980000cuh4vj0usz09</t>
        </is>
      </c>
      <c r="AU639" t="inlineStr"/>
      <c r="AV639" t="inlineStr">
        <is>
          <t>Kommun</t>
        </is>
      </c>
      <c r="AW639" t="inlineStr"/>
      <c r="AX639" t="inlineStr">
        <is>
          <t>2022-09</t>
        </is>
      </c>
      <c r="AY639" t="inlineStr">
        <is>
          <t>Beslut</t>
        </is>
      </c>
      <c r="AZ639" t="inlineStr">
        <is>
          <t>2026-02-05</t>
        </is>
      </c>
      <c r="BA639" t="inlineStr">
        <is>
          <t>Teknisk beskrivning.pdf</t>
        </is>
      </c>
      <c r="BB639" t="inlineStr">
        <is>
          <t>Sv: till registrator</t>
        </is>
      </c>
      <c r="BC639" t="inlineStr">
        <is>
          <t>AUTO</t>
        </is>
      </c>
      <c r="BD639" t="inlineStr"/>
      <c r="BE639" t="inlineStr"/>
      <c r="BF639" t="inlineStr">
        <is>
          <t>AUTO_GENERERAD. Bekrafta metadata mot kallfil.</t>
        </is>
      </c>
      <c r="BG639">
        <f>HYPERLINK("C:\Users\jimmy\Desktop\Examens arbete\Kod\Ny mapp\remix_-copy-of-miljöbeslut.se-portal\Teknisk beskrivning.pdf", "Öppna PDF")</f>
        <v/>
      </c>
    </row>
    <row r="640">
      <c r="A640" t="inlineStr">
        <is>
          <t>KRAV-AUTO-000639</t>
        </is>
      </c>
      <c r="B640" t="inlineStr">
        <is>
          <t>ADMIN-INDEX-2026-02-27-00000000125C043F57453246863FE664CAFE6A3F0700950291EA24F0614FB6ACEDB12BF0E31D00000000010C0000950291EA24F0614FB6ACEDB12BF0E31D00002087A5BE0000</t>
        </is>
      </c>
      <c r="C640" t="inlineStr">
        <is>
          <t>cmm4yur0v043ecuqw8uyv5zks</t>
        </is>
      </c>
      <c r="D640" t="inlineStr">
        <is>
          <t>http://localhost:8787/api/admin/requirements/documents/cmm4yur0v043ecuqw8uyv5zks/view</t>
        </is>
      </c>
      <c r="E640">
        <f>HYPERLÄNK("http://localhost:8787/api/admin/requirements/documents/cmm4yur0v043ecuqw8uyv5zks/view";"Öppna PDF")</f>
        <v/>
      </c>
      <c r="F640">
        <f>HYPERLINK("http://localhost:8787/api/admin/requirements/documents/cmm4yur0v043ecuqw8uyv5zks/view","Open PDF")</f>
        <v/>
      </c>
      <c r="G640" t="inlineStr">
        <is>
          <t>cmm55w57p0004cuisfrtpqly8</t>
        </is>
      </c>
      <c r="H640" t="inlineStr">
        <is>
          <t>Beslutsvillkor</t>
        </is>
      </c>
      <c r="I640" t="inlineStr">
        <is>
          <t>LagringsvolymTid</t>
        </is>
      </c>
      <c r="J640" t="inlineStr">
        <is>
          <t>Maxmangd</t>
        </is>
      </c>
      <c r="K640" t="inlineStr">
        <is>
          <t>Möbler Mellanlagras i betongfack och lastas i samband med borttransport till container.</t>
        </is>
      </c>
      <c r="L640" t="inlineStr">
        <is>
          <t>Möbler Mellanlagras i betongfack och lastas i samband med borttransport till container.</t>
        </is>
      </c>
      <c r="M640" t="inlineStr">
        <is>
          <t>BOR</t>
        </is>
      </c>
      <c r="N640" t="inlineStr"/>
      <c r="O640" t="inlineStr"/>
      <c r="P640" t="inlineStr"/>
      <c r="Q640" t="inlineStr"/>
      <c r="R640" t="inlineStr">
        <is>
          <t>Alltid</t>
        </is>
      </c>
      <c r="S640" t="inlineStr"/>
      <c r="T640" t="inlineStr">
        <is>
          <t>556057</t>
        </is>
      </c>
      <c r="U640" t="inlineStr"/>
      <c r="V640" t="inlineStr"/>
      <c r="W640" t="inlineStr">
        <is>
          <t>Nej</t>
        </is>
      </c>
      <c r="X640" t="inlineStr">
        <is>
          <t>Nej</t>
        </is>
      </c>
      <c r="Y640" t="inlineStr">
        <is>
          <t>Nej</t>
        </is>
      </c>
      <c r="Z640" t="inlineStr">
        <is>
          <t>Nej</t>
        </is>
      </c>
      <c r="AA640" t="n">
        <v>4</v>
      </c>
      <c r="AB640" t="inlineStr">
        <is>
          <t>Avfallsmangder och lagringstid</t>
        </is>
      </c>
      <c r="AC640" t="inlineStr">
        <is>
          <t>Avfallsforteckning</t>
        </is>
      </c>
      <c r="AD640" t="inlineStr">
        <is>
          <t>Nej</t>
        </is>
      </c>
      <c r="AE640" t="inlineStr">
        <is>
          <t>Nej</t>
        </is>
      </c>
      <c r="AF640" t="inlineStr">
        <is>
          <t>Ej behandlad</t>
        </is>
      </c>
      <c r="AG640" t="inlineStr">
        <is>
          <t>AUTO_GENERERAD. Verifiera citat mot kallfil.</t>
        </is>
      </c>
      <c r="AH640" t="inlineStr">
        <is>
          <t>MEDIUM</t>
        </is>
      </c>
      <c r="AI640" t="inlineStr">
        <is>
          <t>AUTO</t>
        </is>
      </c>
      <c r="AJ640" t="inlineStr">
        <is>
          <t>Nej</t>
        </is>
      </c>
      <c r="AK640" t="inlineStr"/>
      <c r="AL640" t="inlineStr"/>
      <c r="AM640" t="inlineStr"/>
      <c r="AN640" t="inlineStr"/>
      <c r="AO640" t="inlineStr">
        <is>
          <t>cmm4yur0v043ecuqw8uyv5zks</t>
        </is>
      </c>
      <c r="AP640" t="inlineStr">
        <is>
          <t>http://localhost:8787/api/admin/requirements/documents/cmm4yur0v043ecuqw8uyv5zks/view</t>
        </is>
      </c>
      <c r="AQ640">
        <f>HYPERLÄNK("http://localhost:8787/api/admin/requirements/documents/cmm4yur0v043ecuqw8uyv5zks/view";"Öppna PDF")</f>
        <v/>
      </c>
      <c r="AR640">
        <f>HYPERLINK("http://localhost:8787/api/admin/requirements/documents/cmm4yur0v043ecuqw8uyv5zks/view","Open PDF")</f>
        <v/>
      </c>
      <c r="AS640" t="inlineStr">
        <is>
          <t>cmm55w57p0004cuisfrtpqly8</t>
        </is>
      </c>
      <c r="AT640" t="inlineStr">
        <is>
          <t>cmm4xvu980000cuh4vj0usz09</t>
        </is>
      </c>
      <c r="AU640" t="inlineStr"/>
      <c r="AV640" t="inlineStr">
        <is>
          <t>Kommun</t>
        </is>
      </c>
      <c r="AW640" t="inlineStr"/>
      <c r="AX640" t="inlineStr">
        <is>
          <t>2022-09</t>
        </is>
      </c>
      <c r="AY640" t="inlineStr">
        <is>
          <t>Beslut</t>
        </is>
      </c>
      <c r="AZ640" t="inlineStr">
        <is>
          <t>2026-02-05</t>
        </is>
      </c>
      <c r="BA640" t="inlineStr">
        <is>
          <t>Teknisk beskrivning.pdf</t>
        </is>
      </c>
      <c r="BB640" t="inlineStr">
        <is>
          <t>Sv: till registrator</t>
        </is>
      </c>
      <c r="BC640" t="inlineStr">
        <is>
          <t>AUTO</t>
        </is>
      </c>
      <c r="BD640" t="inlineStr"/>
      <c r="BE640" t="inlineStr"/>
      <c r="BF640" t="inlineStr">
        <is>
          <t>AUTO_GENERERAD. Bekrafta metadata mot kallfil.</t>
        </is>
      </c>
      <c r="BG640">
        <f>HYPERLINK("C:\Users\jimmy\Desktop\Examens arbete\Kod\Ny mapp\remix_-copy-of-miljöbeslut.se-portal\Teknisk beskrivning.pdf", "Öppna PDF")</f>
        <v/>
      </c>
    </row>
    <row r="641">
      <c r="A641" t="inlineStr">
        <is>
          <t>KRAV-AUTO-000640</t>
        </is>
      </c>
      <c r="B641" t="inlineStr">
        <is>
          <t>ADMIN-INDEX-2026-02-27-00000000125C043F57453246863FE664CAFE6A3F0700950291EA24F0614FB6ACEDB12BF0E31D00000000010C0000950291EA24F0614FB6ACEDB12BF0E31D00002087A58F0000</t>
        </is>
      </c>
      <c r="C641" t="inlineStr">
        <is>
          <t>cmm4yur8d04aecuqw0edz0il1</t>
        </is>
      </c>
      <c r="D641" t="inlineStr">
        <is>
          <t>http://localhost:8787/api/admin/requirements/documents/cmm4yur8d04aecuqw0edz0il1/view</t>
        </is>
      </c>
      <c r="E641">
        <f>HYPERLÄNK("http://localhost:8787/api/admin/requirements/documents/cmm4yur8d04aecuqw0edz0il1/view";"Öppna PDF")</f>
        <v/>
      </c>
      <c r="F641">
        <f>HYPERLINK("http://localhost:8787/api/admin/requirements/documents/cmm4yur8d04aecuqw0edz0il1/view","Open PDF")</f>
        <v/>
      </c>
      <c r="G641" t="inlineStr">
        <is>
          <t>cmm55w57p0004cuisfrtpqly8</t>
        </is>
      </c>
      <c r="H641" t="inlineStr">
        <is>
          <t>Beslutsvillkor</t>
        </is>
      </c>
      <c r="I641" t="inlineStr">
        <is>
          <t>DagvattenLakvatten</t>
        </is>
      </c>
      <c r="J641" t="inlineStr">
        <is>
          <t>Uppsamling</t>
        </is>
      </c>
      <c r="K641" t="inlineStr">
        <is>
          <t>Lågpunkter, svackdiken, invallning för sedimentation/rening av sådant finmaterial skall anordnas i erforderlig omfattning.</t>
        </is>
      </c>
      <c r="L641" t="inlineStr">
        <is>
          <t>Lågpunkter, svackdiken, invallning för sedimentation/rening av sådant finmaterial skall anordnas i erforderlig omfattning.</t>
        </is>
      </c>
      <c r="M641" t="inlineStr">
        <is>
          <t>SKA</t>
        </is>
      </c>
      <c r="N641" t="inlineStr"/>
      <c r="O641" t="inlineStr"/>
      <c r="P641" t="inlineStr"/>
      <c r="Q641" t="inlineStr"/>
      <c r="R641" t="inlineStr">
        <is>
          <t>Vid nederbord och avrinning</t>
        </is>
      </c>
      <c r="S641" t="inlineStr"/>
      <c r="T641" t="inlineStr">
        <is>
          <t>25 2030</t>
        </is>
      </c>
      <c r="U641" t="inlineStr"/>
      <c r="V641" t="inlineStr"/>
      <c r="W641" t="inlineStr">
        <is>
          <t>Nej</t>
        </is>
      </c>
      <c r="X641" t="inlineStr">
        <is>
          <t>Ja</t>
        </is>
      </c>
      <c r="Y641" t="inlineStr">
        <is>
          <t>Ja</t>
        </is>
      </c>
      <c r="Z641" t="inlineStr">
        <is>
          <t>Nej</t>
        </is>
      </c>
      <c r="AA641" t="n">
        <v>6</v>
      </c>
      <c r="AB641" t="inlineStr">
        <is>
          <t>Lakvattenhantering</t>
        </is>
      </c>
      <c r="AC641" t="inlineStr">
        <is>
          <t>Flodesschema dagvatten-lakvatten</t>
        </is>
      </c>
      <c r="AD641" t="inlineStr">
        <is>
          <t>Nej</t>
        </is>
      </c>
      <c r="AE641" t="inlineStr">
        <is>
          <t>Nej</t>
        </is>
      </c>
      <c r="AF641" t="inlineStr">
        <is>
          <t>Ej behandlad</t>
        </is>
      </c>
      <c r="AG641" t="inlineStr">
        <is>
          <t>AUTO_GENERERAD. Verifiera citat mot kallfil.</t>
        </is>
      </c>
      <c r="AH641" t="inlineStr">
        <is>
          <t>MEDIUM</t>
        </is>
      </c>
      <c r="AI641" t="inlineStr">
        <is>
          <t>AUTO</t>
        </is>
      </c>
      <c r="AJ641" t="inlineStr">
        <is>
          <t>Nej</t>
        </is>
      </c>
      <c r="AK641" t="inlineStr"/>
      <c r="AL641" t="inlineStr"/>
      <c r="AM641" t="inlineStr"/>
      <c r="AN641" t="inlineStr"/>
      <c r="AO641" t="inlineStr">
        <is>
          <t>cmm4yur8f04ahcuqwwwzodl6h</t>
        </is>
      </c>
      <c r="AP641" t="inlineStr">
        <is>
          <t>http://localhost:8787/api/admin/requirements/documents/cmm4yur8f04ahcuqwwwzodl6h/view</t>
        </is>
      </c>
      <c r="AQ641">
        <f>HYPERLÄNK("http://localhost:8787/api/admin/requirements/documents/cmm4yur8f04ahcuqwwwzodl6h/view";"Öppna PDF")</f>
        <v/>
      </c>
      <c r="AR641">
        <f>HYPERLINK("http://localhost:8787/api/admin/requirements/documents/cmm4yur8f04ahcuqwwwzodl6h/view","Open PDF")</f>
        <v/>
      </c>
      <c r="AS641" t="inlineStr">
        <is>
          <t>cmm55w57p0004cuisfrtpqly8</t>
        </is>
      </c>
      <c r="AT641" t="inlineStr">
        <is>
          <t>cmm4xvu980000cuh4vj0usz09</t>
        </is>
      </c>
      <c r="AU641" t="inlineStr">
        <is>
          <t>Marks</t>
        </is>
      </c>
      <c r="AV641" t="inlineStr">
        <is>
          <t>Kommun</t>
        </is>
      </c>
      <c r="AW641" t="inlineStr">
        <is>
          <t>Marks kommun</t>
        </is>
      </c>
      <c r="AX641" t="inlineStr">
        <is>
          <t>2025-09</t>
        </is>
      </c>
      <c r="AY641" t="inlineStr">
        <is>
          <t>Beslut</t>
        </is>
      </c>
      <c r="AZ641" t="inlineStr">
        <is>
          <t>2026-02-10</t>
        </is>
      </c>
      <c r="BA641" t="inlineStr">
        <is>
          <t>MIL.2025.1276.pdf</t>
        </is>
      </c>
      <c r="BB641" t="inlineStr">
        <is>
          <t>Sv: till registrator</t>
        </is>
      </c>
      <c r="BC641" t="inlineStr">
        <is>
          <t>AUTO</t>
        </is>
      </c>
      <c r="BD641" t="inlineStr"/>
      <c r="BE641" t="inlineStr"/>
      <c r="BF641" t="inlineStr">
        <is>
          <t>AUTO_GENERERAD. Bekrafta metadata mot kallfil.</t>
        </is>
      </c>
      <c r="BG641">
        <f>HYPERLINK("C:\Users\jimmy\Desktop\Examens arbete\Kod\Ny mapp\remix_-copy-of-miljöbeslut.se-portal\MIL.2025.1276.pdf", "Öppna PDF")</f>
        <v/>
      </c>
    </row>
    <row r="642">
      <c r="A642" t="inlineStr">
        <is>
          <t>KRAV-AUTO-000641</t>
        </is>
      </c>
      <c r="B642" t="inlineStr">
        <is>
          <t>ADMIN-INDEX-2026-02-27-00000000125C043F57453246863FE664CAFE6A3F0700950291EA24F0614FB6ACEDB12BF0E31D00000000010C0000950291EA24F0614FB6ACEDB12BF0E31D00002087A58F0000</t>
        </is>
      </c>
      <c r="C642" t="inlineStr">
        <is>
          <t>cmm4yur8d04aecuqw0edz0il1</t>
        </is>
      </c>
      <c r="D642" t="inlineStr">
        <is>
          <t>http://localhost:8787/api/admin/requirements/documents/cmm4yur8d04aecuqw0edz0il1/view</t>
        </is>
      </c>
      <c r="E642">
        <f>HYPERLÄNK("http://localhost:8787/api/admin/requirements/documents/cmm4yur8d04aecuqw0edz0il1/view";"Öppna PDF")</f>
        <v/>
      </c>
      <c r="F642">
        <f>HYPERLINK("http://localhost:8787/api/admin/requirements/documents/cmm4yur8d04aecuqw0edz0il1/view","Open PDF")</f>
        <v/>
      </c>
      <c r="G642" t="inlineStr">
        <is>
          <t>cmm55w57p0004cuisfrtpqly8</t>
        </is>
      </c>
      <c r="H642" t="inlineStr">
        <is>
          <t>Beslutsvillkor</t>
        </is>
      </c>
      <c r="I642" t="inlineStr">
        <is>
          <t>Riskhantering</t>
        </is>
      </c>
      <c r="J642" t="inlineStr">
        <is>
          <t>Riskkontroll</t>
        </is>
      </c>
      <c r="K642" t="inlineStr">
        <is>
          <t>Vid allvarlig skada eller risk för sådan skada skall tillförsel av material stoppas.</t>
        </is>
      </c>
      <c r="L642" t="inlineStr">
        <is>
          <t>Vid allvarlig skada eller risk för sådan skada skall tillförsel av material stoppas.</t>
        </is>
      </c>
      <c r="M642" t="inlineStr">
        <is>
          <t>SKA</t>
        </is>
      </c>
      <c r="N642" t="inlineStr"/>
      <c r="O642" t="inlineStr"/>
      <c r="P642" t="inlineStr">
        <is>
          <t>Arlig</t>
        </is>
      </c>
      <c r="Q642" t="inlineStr"/>
      <c r="R642" t="inlineStr">
        <is>
          <t>Vid risk for incident</t>
        </is>
      </c>
      <c r="S642" t="inlineStr"/>
      <c r="T642" t="inlineStr">
        <is>
          <t>25 2030</t>
        </is>
      </c>
      <c r="U642" t="inlineStr"/>
      <c r="V642" t="inlineStr"/>
      <c r="W642" t="inlineStr">
        <is>
          <t>Nej</t>
        </is>
      </c>
      <c r="X642" t="inlineStr">
        <is>
          <t>Nej</t>
        </is>
      </c>
      <c r="Y642" t="inlineStr">
        <is>
          <t>Ja</t>
        </is>
      </c>
      <c r="Z642" t="inlineStr">
        <is>
          <t>Ja</t>
        </is>
      </c>
      <c r="AA642" t="n">
        <v>8</v>
      </c>
      <c r="AB642" t="inlineStr">
        <is>
          <t>Riskhantering</t>
        </is>
      </c>
      <c r="AC642" t="inlineStr">
        <is>
          <t>Risk-PM</t>
        </is>
      </c>
      <c r="AD642" t="inlineStr">
        <is>
          <t>Nej</t>
        </is>
      </c>
      <c r="AE642" t="inlineStr">
        <is>
          <t>Nej</t>
        </is>
      </c>
      <c r="AF642" t="inlineStr">
        <is>
          <t>Ej behandlad</t>
        </is>
      </c>
      <c r="AG642" t="inlineStr">
        <is>
          <t>AUTO_GENERERAD. Verifiera citat mot kallfil.</t>
        </is>
      </c>
      <c r="AH642" t="inlineStr">
        <is>
          <t>MEDIUM</t>
        </is>
      </c>
      <c r="AI642" t="inlineStr">
        <is>
          <t>AUTO</t>
        </is>
      </c>
      <c r="AJ642" t="inlineStr">
        <is>
          <t>Nej</t>
        </is>
      </c>
      <c r="AK642" t="inlineStr"/>
      <c r="AL642" t="inlineStr"/>
      <c r="AM642" t="inlineStr"/>
      <c r="AN642" t="inlineStr"/>
      <c r="AO642" t="inlineStr">
        <is>
          <t>cmm4yur8f04ahcuqwwwzodl6h</t>
        </is>
      </c>
      <c r="AP642" t="inlineStr">
        <is>
          <t>http://localhost:8787/api/admin/requirements/documents/cmm4yur8f04ahcuqwwwzodl6h/view</t>
        </is>
      </c>
      <c r="AQ642">
        <f>HYPERLÄNK("http://localhost:8787/api/admin/requirements/documents/cmm4yur8f04ahcuqwwwzodl6h/view";"Öppna PDF")</f>
        <v/>
      </c>
      <c r="AR642">
        <f>HYPERLINK("http://localhost:8787/api/admin/requirements/documents/cmm4yur8f04ahcuqwwwzodl6h/view","Open PDF")</f>
        <v/>
      </c>
      <c r="AS642" t="inlineStr">
        <is>
          <t>cmm55w57p0004cuisfrtpqly8</t>
        </is>
      </c>
      <c r="AT642" t="inlineStr">
        <is>
          <t>cmm4xvu980000cuh4vj0usz09</t>
        </is>
      </c>
      <c r="AU642" t="inlineStr">
        <is>
          <t>Marks</t>
        </is>
      </c>
      <c r="AV642" t="inlineStr">
        <is>
          <t>Kommun</t>
        </is>
      </c>
      <c r="AW642" t="inlineStr">
        <is>
          <t>Marks kommun</t>
        </is>
      </c>
      <c r="AX642" t="inlineStr">
        <is>
          <t>2025-09</t>
        </is>
      </c>
      <c r="AY642" t="inlineStr">
        <is>
          <t>Beslut</t>
        </is>
      </c>
      <c r="AZ642" t="inlineStr">
        <is>
          <t>2026-02-10</t>
        </is>
      </c>
      <c r="BA642" t="inlineStr">
        <is>
          <t>MIL.2025.1276.pdf</t>
        </is>
      </c>
      <c r="BB642" t="inlineStr">
        <is>
          <t>Sv: till registrator</t>
        </is>
      </c>
      <c r="BC642" t="inlineStr">
        <is>
          <t>AUTO</t>
        </is>
      </c>
      <c r="BD642" t="inlineStr"/>
      <c r="BE642" t="inlineStr"/>
      <c r="BF642" t="inlineStr">
        <is>
          <t>AUTO_GENERERAD. Bekrafta metadata mot kallfil.</t>
        </is>
      </c>
      <c r="BG642">
        <f>HYPERLINK("C:\Users\jimmy\Desktop\Examens arbete\Kod\Ny mapp\remix_-copy-of-miljöbeslut.se-portal\MIL.2025.1276.pdf", "Öppna PDF")</f>
        <v/>
      </c>
    </row>
    <row r="643">
      <c r="A643" t="inlineStr">
        <is>
          <t>KRAV-AUTO-000642</t>
        </is>
      </c>
      <c r="B643" t="inlineStr">
        <is>
          <t>ADMIN-INDEX-2026-02-27-00000000125C043F57453246863FE664CAFE6A3F0700950291EA24F0614FB6ACEDB12BF0E31D00000000010C0000950291EA24F0614FB6ACEDB12BF0E31D00002087A58F0000</t>
        </is>
      </c>
      <c r="C643" t="inlineStr">
        <is>
          <t>cmm4yur8d04aecuqw0edz0il1</t>
        </is>
      </c>
      <c r="D643" t="inlineStr">
        <is>
          <t>http://localhost:8787/api/admin/requirements/documents/cmm4yur8d04aecuqw0edz0il1/view</t>
        </is>
      </c>
      <c r="E643">
        <f>HYPERLÄNK("http://localhost:8787/api/admin/requirements/documents/cmm4yur8d04aecuqw0edz0il1/view";"Öppna PDF")</f>
        <v/>
      </c>
      <c r="F643">
        <f>HYPERLINK("http://localhost:8787/api/admin/requirements/documents/cmm4yur8d04aecuqw0edz0il1/view","Open PDF")</f>
        <v/>
      </c>
      <c r="G643" t="inlineStr">
        <is>
          <t>cmm55w57p0004cuisfrtpqly8</t>
        </is>
      </c>
      <c r="H643" t="inlineStr">
        <is>
          <t>Beslutsvillkor</t>
        </is>
      </c>
      <c r="I643" t="inlineStr">
        <is>
          <t>Riskhantering</t>
        </is>
      </c>
      <c r="J643" t="inlineStr">
        <is>
          <t>Riskkontroll</t>
        </is>
      </c>
      <c r="K643" t="inlineStr">
        <is>
          <t>Verksamheten skall i övrigt bedrivas så att risken för störning till omgivningen minimeras enligt miljöbalken 2 kap och 26:19.</t>
        </is>
      </c>
      <c r="L643" t="inlineStr">
        <is>
          <t>Verksamheten skall i övrigt bedrivas så att risken för störning till omgivningen minimeras enligt miljöbalken 2 kap och 26:19.</t>
        </is>
      </c>
      <c r="M643" t="inlineStr">
        <is>
          <t>SKA</t>
        </is>
      </c>
      <c r="N643" t="inlineStr">
        <is>
          <t>Miljobalken</t>
        </is>
      </c>
      <c r="O643" t="inlineStr"/>
      <c r="P643" t="inlineStr"/>
      <c r="Q643" t="inlineStr"/>
      <c r="R643" t="inlineStr">
        <is>
          <t>Vid risk for incident</t>
        </is>
      </c>
      <c r="S643" t="inlineStr"/>
      <c r="T643" t="inlineStr">
        <is>
          <t>25 2030</t>
        </is>
      </c>
      <c r="U643" t="inlineStr"/>
      <c r="V643" t="inlineStr"/>
      <c r="W643" t="inlineStr">
        <is>
          <t>Nej</t>
        </is>
      </c>
      <c r="X643" t="inlineStr">
        <is>
          <t>Nej</t>
        </is>
      </c>
      <c r="Y643" t="inlineStr">
        <is>
          <t>Ja</t>
        </is>
      </c>
      <c r="Z643" t="inlineStr">
        <is>
          <t>Ja</t>
        </is>
      </c>
      <c r="AA643" t="n">
        <v>8</v>
      </c>
      <c r="AB643" t="inlineStr">
        <is>
          <t>Riskhantering</t>
        </is>
      </c>
      <c r="AC643" t="inlineStr">
        <is>
          <t>Risk-PM</t>
        </is>
      </c>
      <c r="AD643" t="inlineStr">
        <is>
          <t>Nej</t>
        </is>
      </c>
      <c r="AE643" t="inlineStr">
        <is>
          <t>Nej</t>
        </is>
      </c>
      <c r="AF643" t="inlineStr">
        <is>
          <t>Ej behandlad</t>
        </is>
      </c>
      <c r="AG643" t="inlineStr">
        <is>
          <t>AUTO_GENERERAD. Verifiera citat mot kallfil.</t>
        </is>
      </c>
      <c r="AH643" t="inlineStr">
        <is>
          <t>MEDIUM</t>
        </is>
      </c>
      <c r="AI643" t="inlineStr">
        <is>
          <t>AUTO</t>
        </is>
      </c>
      <c r="AJ643" t="inlineStr">
        <is>
          <t>Nej</t>
        </is>
      </c>
      <c r="AK643" t="inlineStr"/>
      <c r="AL643" t="inlineStr"/>
      <c r="AM643" t="inlineStr"/>
      <c r="AN643" t="inlineStr"/>
      <c r="AO643" t="inlineStr">
        <is>
          <t>cmm4yur8f04ahcuqwwwzodl6h</t>
        </is>
      </c>
      <c r="AP643" t="inlineStr">
        <is>
          <t>http://localhost:8787/api/admin/requirements/documents/cmm4yur8f04ahcuqwwwzodl6h/view</t>
        </is>
      </c>
      <c r="AQ643">
        <f>HYPERLÄNK("http://localhost:8787/api/admin/requirements/documents/cmm4yur8f04ahcuqwwwzodl6h/view";"Öppna PDF")</f>
        <v/>
      </c>
      <c r="AR643">
        <f>HYPERLINK("http://localhost:8787/api/admin/requirements/documents/cmm4yur8f04ahcuqwwwzodl6h/view","Open PDF")</f>
        <v/>
      </c>
      <c r="AS643" t="inlineStr">
        <is>
          <t>cmm55w57p0004cuisfrtpqly8</t>
        </is>
      </c>
      <c r="AT643" t="inlineStr">
        <is>
          <t>cmm4xvu980000cuh4vj0usz09</t>
        </is>
      </c>
      <c r="AU643" t="inlineStr">
        <is>
          <t>Marks</t>
        </is>
      </c>
      <c r="AV643" t="inlineStr">
        <is>
          <t>Kommun</t>
        </is>
      </c>
      <c r="AW643" t="inlineStr">
        <is>
          <t>Marks kommun</t>
        </is>
      </c>
      <c r="AX643" t="inlineStr">
        <is>
          <t>2025-09</t>
        </is>
      </c>
      <c r="AY643" t="inlineStr">
        <is>
          <t>Beslut</t>
        </is>
      </c>
      <c r="AZ643" t="inlineStr">
        <is>
          <t>2026-02-10</t>
        </is>
      </c>
      <c r="BA643" t="inlineStr">
        <is>
          <t>MIL.2025.1276.pdf</t>
        </is>
      </c>
      <c r="BB643" t="inlineStr">
        <is>
          <t>Sv: till registrator</t>
        </is>
      </c>
      <c r="BC643" t="inlineStr">
        <is>
          <t>AUTO</t>
        </is>
      </c>
      <c r="BD643" t="inlineStr"/>
      <c r="BE643" t="inlineStr"/>
      <c r="BF643" t="inlineStr">
        <is>
          <t>AUTO_GENERERAD. Bekrafta metadata mot kallfil.</t>
        </is>
      </c>
      <c r="BG643">
        <f>HYPERLINK("C:\Users\jimmy\Desktop\Examens arbete\Kod\Ny mapp\remix_-copy-of-miljöbeslut.se-portal\MIL.2025.1276.pdf", "Öppna PDF")</f>
        <v/>
      </c>
    </row>
    <row r="644">
      <c r="A644" t="inlineStr">
        <is>
          <t>KRAV-AUTO-000643</t>
        </is>
      </c>
      <c r="B644" t="inlineStr">
        <is>
          <t>ADMIN-INDEX-2026-02-27-00000000125C043F57453246863FE664CAFE6A3F0700950291EA24F0614FB6ACEDB12BF0E31D00000000010C0000950291EA24F0614FB6ACEDB12BF0E31D00002087ADF10000</t>
        </is>
      </c>
      <c r="C644" t="inlineStr">
        <is>
          <t>cmm4yuqk003nwcuqweyeygk78</t>
        </is>
      </c>
      <c r="D644" t="inlineStr">
        <is>
          <t>http://localhost:8787/api/admin/requirements/documents/cmm4yuqk003nwcuqweyeygk78/view</t>
        </is>
      </c>
      <c r="E644">
        <f>HYPERLÄNK("http://localhost:8787/api/admin/requirements/documents/cmm4yuqk003nwcuqweyeygk78/view";"Öppna PDF")</f>
        <v/>
      </c>
      <c r="F644">
        <f>HYPERLINK("http://localhost:8787/api/admin/requirements/documents/cmm4yuqk003nwcuqweyeygk78/view","Open PDF")</f>
        <v/>
      </c>
      <c r="G644" t="inlineStr">
        <is>
          <t>cmm55w57p0004cuisfrtpqly8</t>
        </is>
      </c>
      <c r="H644" t="inlineStr">
        <is>
          <t>Beslutsvillkor</t>
        </is>
      </c>
      <c r="I644" t="inlineStr">
        <is>
          <t>LagringsvolymTid</t>
        </is>
      </c>
      <c r="J644" t="inlineStr">
        <is>
          <t>Maxmangd</t>
        </is>
      </c>
      <c r="K644" t="inlineStr">
        <is>
          <t>Mottagningskvitton för bortlämnat avfall ska bifogas till sammanställningen.</t>
        </is>
      </c>
      <c r="L644" t="inlineStr">
        <is>
          <t>Mottagningskvitton för bortlämnat avfall ska bifogas till sammanställningen.</t>
        </is>
      </c>
      <c r="M644" t="inlineStr">
        <is>
          <t>SKA</t>
        </is>
      </c>
      <c r="N644" t="inlineStr"/>
      <c r="O644" t="inlineStr"/>
      <c r="P644" t="inlineStr"/>
      <c r="Q644" t="inlineStr"/>
      <c r="R644" t="inlineStr">
        <is>
          <t>Alltid</t>
        </is>
      </c>
      <c r="S644" t="inlineStr"/>
      <c r="T644" t="inlineStr">
        <is>
          <t>17 0340</t>
        </is>
      </c>
      <c r="U644" t="inlineStr"/>
      <c r="V644" t="inlineStr"/>
      <c r="W644" t="inlineStr">
        <is>
          <t>Nej</t>
        </is>
      </c>
      <c r="X644" t="inlineStr">
        <is>
          <t>Nej</t>
        </is>
      </c>
      <c r="Y644" t="inlineStr">
        <is>
          <t>Nej</t>
        </is>
      </c>
      <c r="Z644" t="inlineStr">
        <is>
          <t>Nej</t>
        </is>
      </c>
      <c r="AA644" t="n">
        <v>4</v>
      </c>
      <c r="AB644" t="inlineStr">
        <is>
          <t>Avfallsmangder och lagringstid</t>
        </is>
      </c>
      <c r="AC644" t="inlineStr">
        <is>
          <t>Avfallsforteckning</t>
        </is>
      </c>
      <c r="AD644" t="inlineStr">
        <is>
          <t>Nej</t>
        </is>
      </c>
      <c r="AE644" t="inlineStr">
        <is>
          <t>Nej</t>
        </is>
      </c>
      <c r="AF644" t="inlineStr">
        <is>
          <t>Ej behandlad</t>
        </is>
      </c>
      <c r="AG644" t="inlineStr">
        <is>
          <t>AUTO_GENERERAD. Verifiera citat mot kallfil.</t>
        </is>
      </c>
      <c r="AH644" t="inlineStr">
        <is>
          <t>MEDIUM</t>
        </is>
      </c>
      <c r="AI644" t="inlineStr">
        <is>
          <t>AUTO</t>
        </is>
      </c>
      <c r="AJ644" t="inlineStr">
        <is>
          <t>Nej</t>
        </is>
      </c>
      <c r="AK644" t="inlineStr"/>
      <c r="AL644" t="inlineStr"/>
      <c r="AM644" t="inlineStr"/>
      <c r="AN644" t="inlineStr"/>
      <c r="AO644" t="inlineStr">
        <is>
          <t>cmm4yuqjs03nncuqw2tfjq4a3</t>
        </is>
      </c>
      <c r="AP644" t="inlineStr">
        <is>
          <t>http://localhost:8787/api/admin/requirements/documents/cmm4yuqjs03nncuqw2tfjq4a3/view</t>
        </is>
      </c>
      <c r="AQ644">
        <f>HYPERLÄNK("http://localhost:8787/api/admin/requirements/documents/cmm4yuqjs03nncuqw2tfjq4a3/view";"Öppna PDF")</f>
        <v/>
      </c>
      <c r="AR644">
        <f>HYPERLINK("http://localhost:8787/api/admin/requirements/documents/cmm4yuqjs03nncuqw2tfjq4a3/view","Open PDF")</f>
        <v/>
      </c>
      <c r="AS644" t="inlineStr">
        <is>
          <t>cmm55w57p0004cuisfrtpqly8</t>
        </is>
      </c>
      <c r="AT644" t="inlineStr">
        <is>
          <t>cmm4xvu980000cuh4vj0usz09</t>
        </is>
      </c>
      <c r="AU644" t="inlineStr"/>
      <c r="AV644" t="inlineStr">
        <is>
          <t>Kommun</t>
        </is>
      </c>
      <c r="AW644" t="inlineStr"/>
      <c r="AX644" t="inlineStr">
        <is>
          <t>2016-04</t>
        </is>
      </c>
      <c r="AY644" t="inlineStr">
        <is>
          <t>Anmalan</t>
        </is>
      </c>
      <c r="AZ644" t="inlineStr">
        <is>
          <t>2026-02-05</t>
        </is>
      </c>
      <c r="BA644" t="inlineStr">
        <is>
          <t>anmälan 2024-1627.pdf</t>
        </is>
      </c>
      <c r="BB644" t="inlineStr">
        <is>
          <t>Sv: till registrator</t>
        </is>
      </c>
      <c r="BC644" t="inlineStr">
        <is>
          <t>AUTO</t>
        </is>
      </c>
      <c r="BD644" t="inlineStr"/>
      <c r="BE644" t="inlineStr"/>
      <c r="BF644" t="inlineStr">
        <is>
          <t>AUTO_GENERERAD. Bekrafta metadata mot kallfil.</t>
        </is>
      </c>
      <c r="BG644">
        <f>HYPERLINK("C:\Users\jimmy\Desktop\Examens arbete\Kod\Ny mapp\remix_-copy-of-miljöbeslut.se-portal\anmälan 2024-1627.pdf", "Öppna PDF")</f>
        <v/>
      </c>
    </row>
    <row r="645">
      <c r="A645" t="inlineStr">
        <is>
          <t>KRAV-AUTO-000644</t>
        </is>
      </c>
      <c r="B645" t="inlineStr">
        <is>
          <t>ADMIN-INDEX-2026-02-27-00000000125C043F57453246863FE664CAFE6A3F0700950291EA24F0614FB6ACEDB12BF0E31D00000000010C0000950291EA24F0614FB6ACEDB12BF0E31D00002087ADF10000</t>
        </is>
      </c>
      <c r="C645" t="inlineStr">
        <is>
          <t>cmm4yuqk003nwcuqweyeygk78</t>
        </is>
      </c>
      <c r="D645" t="inlineStr">
        <is>
          <t>http://localhost:8787/api/admin/requirements/documents/cmm4yuqk003nwcuqweyeygk78/view</t>
        </is>
      </c>
      <c r="E645">
        <f>HYPERLÄNK("http://localhost:8787/api/admin/requirements/documents/cmm4yuqk003nwcuqweyeygk78/view";"Öppna PDF")</f>
        <v/>
      </c>
      <c r="F645">
        <f>HYPERLINK("http://localhost:8787/api/admin/requirements/documents/cmm4yuqk003nwcuqweyeygk78/view","Open PDF")</f>
        <v/>
      </c>
      <c r="G645" t="inlineStr">
        <is>
          <t>cmm55w57p0004cuisfrtpqly8</t>
        </is>
      </c>
      <c r="H645" t="inlineStr">
        <is>
          <t>Beslutsvillkor</t>
        </is>
      </c>
      <c r="I645" t="inlineStr">
        <is>
          <t>Riskhantering</t>
        </is>
      </c>
      <c r="J645" t="inlineStr">
        <is>
          <t>Riskkontroll</t>
        </is>
      </c>
      <c r="K645" t="inlineStr">
        <is>
          <t>Övervägande MHF bedömer att ett föreläggande om försiktighetsmått är motiverat för den anmälda verksamheten för att minska risken för störning för omgivningen.</t>
        </is>
      </c>
      <c r="L645" t="inlineStr">
        <is>
          <t>Övervägande MHF bedömer att ett föreläggande om försiktighetsmått är motiverat för den anmälda verksamheten för att minska risken för störning för omgivningen.</t>
        </is>
      </c>
      <c r="M645" t="inlineStr">
        <is>
          <t>SKA</t>
        </is>
      </c>
      <c r="N645" t="inlineStr"/>
      <c r="O645" t="inlineStr"/>
      <c r="P645" t="inlineStr"/>
      <c r="Q645" t="inlineStr">
        <is>
          <t>Forelaggande vid brist</t>
        </is>
      </c>
      <c r="R645" t="inlineStr">
        <is>
          <t>Vid risk for incident</t>
        </is>
      </c>
      <c r="S645" t="inlineStr"/>
      <c r="T645" t="inlineStr">
        <is>
          <t>17 0340</t>
        </is>
      </c>
      <c r="U645" t="inlineStr"/>
      <c r="V645" t="inlineStr"/>
      <c r="W645" t="inlineStr">
        <is>
          <t>Nej</t>
        </is>
      </c>
      <c r="X645" t="inlineStr">
        <is>
          <t>Nej</t>
        </is>
      </c>
      <c r="Y645" t="inlineStr">
        <is>
          <t>Ja</t>
        </is>
      </c>
      <c r="Z645" t="inlineStr">
        <is>
          <t>Ja</t>
        </is>
      </c>
      <c r="AA645" t="n">
        <v>8</v>
      </c>
      <c r="AB645" t="inlineStr">
        <is>
          <t>Riskhantering</t>
        </is>
      </c>
      <c r="AC645" t="inlineStr">
        <is>
          <t>Risk-PM</t>
        </is>
      </c>
      <c r="AD645" t="inlineStr">
        <is>
          <t>Nej</t>
        </is>
      </c>
      <c r="AE645" t="inlineStr">
        <is>
          <t>Nej</t>
        </is>
      </c>
      <c r="AF645" t="inlineStr">
        <is>
          <t>Ej behandlad</t>
        </is>
      </c>
      <c r="AG645" t="inlineStr">
        <is>
          <t>AUTO_GENERERAD. Verifiera citat mot kallfil.</t>
        </is>
      </c>
      <c r="AH645" t="inlineStr">
        <is>
          <t>MEDIUM</t>
        </is>
      </c>
      <c r="AI645" t="inlineStr">
        <is>
          <t>AUTO</t>
        </is>
      </c>
      <c r="AJ645" t="inlineStr">
        <is>
          <t>Nej</t>
        </is>
      </c>
      <c r="AK645" t="inlineStr"/>
      <c r="AL645" t="inlineStr"/>
      <c r="AM645" t="inlineStr"/>
      <c r="AN645" t="inlineStr"/>
      <c r="AO645" t="inlineStr">
        <is>
          <t>cmm4yuqjs03nncuqw2tfjq4a3</t>
        </is>
      </c>
      <c r="AP645" t="inlineStr">
        <is>
          <t>http://localhost:8787/api/admin/requirements/documents/cmm4yuqjs03nncuqw2tfjq4a3/view</t>
        </is>
      </c>
      <c r="AQ645">
        <f>HYPERLÄNK("http://localhost:8787/api/admin/requirements/documents/cmm4yuqjs03nncuqw2tfjq4a3/view";"Öppna PDF")</f>
        <v/>
      </c>
      <c r="AR645">
        <f>HYPERLINK("http://localhost:8787/api/admin/requirements/documents/cmm4yuqjs03nncuqw2tfjq4a3/view","Open PDF")</f>
        <v/>
      </c>
      <c r="AS645" t="inlineStr">
        <is>
          <t>cmm55w57p0004cuisfrtpqly8</t>
        </is>
      </c>
      <c r="AT645" t="inlineStr">
        <is>
          <t>cmm4xvu980000cuh4vj0usz09</t>
        </is>
      </c>
      <c r="AU645" t="inlineStr"/>
      <c r="AV645" t="inlineStr">
        <is>
          <t>Kommun</t>
        </is>
      </c>
      <c r="AW645" t="inlineStr"/>
      <c r="AX645" t="inlineStr">
        <is>
          <t>2016-04</t>
        </is>
      </c>
      <c r="AY645" t="inlineStr">
        <is>
          <t>Anmalan</t>
        </is>
      </c>
      <c r="AZ645" t="inlineStr">
        <is>
          <t>2026-02-05</t>
        </is>
      </c>
      <c r="BA645" t="inlineStr">
        <is>
          <t>anmälan 2024-1627.pdf</t>
        </is>
      </c>
      <c r="BB645" t="inlineStr">
        <is>
          <t>Sv: till registrator</t>
        </is>
      </c>
      <c r="BC645" t="inlineStr">
        <is>
          <t>AUTO</t>
        </is>
      </c>
      <c r="BD645" t="inlineStr"/>
      <c r="BE645" t="inlineStr"/>
      <c r="BF645" t="inlineStr">
        <is>
          <t>AUTO_GENERERAD. Bekrafta metadata mot kallfil.</t>
        </is>
      </c>
      <c r="BG645">
        <f>HYPERLINK("C:\Users\jimmy\Desktop\Examens arbete\Kod\Ny mapp\remix_-copy-of-miljöbeslut.se-portal\anmälan 2024-1627.pdf", "Öppna PDF")</f>
        <v/>
      </c>
    </row>
    <row r="646">
      <c r="A646" t="inlineStr">
        <is>
          <t>KRAV-AUTO-000645</t>
        </is>
      </c>
      <c r="B646" t="inlineStr">
        <is>
          <t>ADMIN-INDEX-2026-02-27-00000000125C043F57453246863FE664CAFE6A3F0700950291EA24F0614FB6ACEDB12BF0E31D00000000010C0000950291EA24F0614FB6ACEDB12BF0E31D00002087ADF10000</t>
        </is>
      </c>
      <c r="C646" t="inlineStr">
        <is>
          <t>cmm4yuqk003nwcuqweyeygk78</t>
        </is>
      </c>
      <c r="D646" t="inlineStr">
        <is>
          <t>http://localhost:8787/api/admin/requirements/documents/cmm4yuqk003nwcuqweyeygk78/view</t>
        </is>
      </c>
      <c r="E646">
        <f>HYPERLÄNK("http://localhost:8787/api/admin/requirements/documents/cmm4yuqk003nwcuqweyeygk78/view";"Öppna PDF")</f>
        <v/>
      </c>
      <c r="F646">
        <f>HYPERLINK("http://localhost:8787/api/admin/requirements/documents/cmm4yuqk003nwcuqweyeygk78/view","Open PDF")</f>
        <v/>
      </c>
      <c r="G646" t="inlineStr">
        <is>
          <t>cmm55w57p0004cuisfrtpqly8</t>
        </is>
      </c>
      <c r="H646" t="inlineStr">
        <is>
          <t>Beslutsvillkor</t>
        </is>
      </c>
      <c r="I646" t="inlineStr">
        <is>
          <t>DagvattenLakvatten</t>
        </is>
      </c>
      <c r="J646" t="inlineStr">
        <is>
          <t>Uppsamling</t>
        </is>
      </c>
      <c r="K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646" t="inlineStr">
        <is>
          <t>SKA</t>
        </is>
      </c>
      <c r="N646" t="inlineStr"/>
      <c r="O646" t="inlineStr"/>
      <c r="P646" t="inlineStr"/>
      <c r="Q646" t="inlineStr">
        <is>
          <t>Driftbegransning vid avvikelse</t>
        </is>
      </c>
      <c r="R646" t="inlineStr">
        <is>
          <t>Vid nederbord och avrinning</t>
        </is>
      </c>
      <c r="S646" t="inlineStr"/>
      <c r="T646" t="inlineStr">
        <is>
          <t>17 0340</t>
        </is>
      </c>
      <c r="U646" t="inlineStr"/>
      <c r="V646" t="inlineStr"/>
      <c r="W646" t="inlineStr">
        <is>
          <t>Nej</t>
        </is>
      </c>
      <c r="X646" t="inlineStr">
        <is>
          <t>Ja</t>
        </is>
      </c>
      <c r="Y646" t="inlineStr">
        <is>
          <t>Ja</t>
        </is>
      </c>
      <c r="Z646" t="inlineStr">
        <is>
          <t>Nej</t>
        </is>
      </c>
      <c r="AA646" t="n">
        <v>6</v>
      </c>
      <c r="AB646" t="inlineStr">
        <is>
          <t>Lakvattenhantering</t>
        </is>
      </c>
      <c r="AC646" t="inlineStr">
        <is>
          <t>Flodesschema dagvatten-lakvatten</t>
        </is>
      </c>
      <c r="AD646" t="inlineStr">
        <is>
          <t>Nej</t>
        </is>
      </c>
      <c r="AE646" t="inlineStr">
        <is>
          <t>Nej</t>
        </is>
      </c>
      <c r="AF646" t="inlineStr">
        <is>
          <t>Ej behandlad</t>
        </is>
      </c>
      <c r="AG646" t="inlineStr">
        <is>
          <t>AUTO_GENERERAD. Verifiera citat mot kallfil.</t>
        </is>
      </c>
      <c r="AH646" t="inlineStr">
        <is>
          <t>MEDIUM</t>
        </is>
      </c>
      <c r="AI646" t="inlineStr">
        <is>
          <t>AUTO</t>
        </is>
      </c>
      <c r="AJ646" t="inlineStr">
        <is>
          <t>Nej</t>
        </is>
      </c>
      <c r="AK646" t="inlineStr"/>
      <c r="AL646" t="inlineStr"/>
      <c r="AM646" t="inlineStr"/>
      <c r="AN646" t="inlineStr"/>
      <c r="AO646" t="inlineStr">
        <is>
          <t>cmm4yuqjs03nncuqw2tfjq4a3</t>
        </is>
      </c>
      <c r="AP646" t="inlineStr">
        <is>
          <t>http://localhost:8787/api/admin/requirements/documents/cmm4yuqjs03nncuqw2tfjq4a3/view</t>
        </is>
      </c>
      <c r="AQ646">
        <f>HYPERLÄNK("http://localhost:8787/api/admin/requirements/documents/cmm4yuqjs03nncuqw2tfjq4a3/view";"Öppna PDF")</f>
        <v/>
      </c>
      <c r="AR646">
        <f>HYPERLINK("http://localhost:8787/api/admin/requirements/documents/cmm4yuqjs03nncuqw2tfjq4a3/view","Open PDF")</f>
        <v/>
      </c>
      <c r="AS646" t="inlineStr">
        <is>
          <t>cmm55w57p0004cuisfrtpqly8</t>
        </is>
      </c>
      <c r="AT646" t="inlineStr">
        <is>
          <t>cmm4xvu980000cuh4vj0usz09</t>
        </is>
      </c>
      <c r="AU646" t="inlineStr"/>
      <c r="AV646" t="inlineStr">
        <is>
          <t>Kommun</t>
        </is>
      </c>
      <c r="AW646" t="inlineStr"/>
      <c r="AX646" t="inlineStr">
        <is>
          <t>2016-04</t>
        </is>
      </c>
      <c r="AY646" t="inlineStr">
        <is>
          <t>Anmalan</t>
        </is>
      </c>
      <c r="AZ646" t="inlineStr">
        <is>
          <t>2026-02-05</t>
        </is>
      </c>
      <c r="BA646" t="inlineStr">
        <is>
          <t>anmälan 2024-1627.pdf</t>
        </is>
      </c>
      <c r="BB646" t="inlineStr">
        <is>
          <t>Sv: till registrator</t>
        </is>
      </c>
      <c r="BC646" t="inlineStr">
        <is>
          <t>AUTO</t>
        </is>
      </c>
      <c r="BD646" t="inlineStr"/>
      <c r="BE646" t="inlineStr"/>
      <c r="BF646" t="inlineStr">
        <is>
          <t>AUTO_GENERERAD. Bekrafta metadata mot kallfil.</t>
        </is>
      </c>
      <c r="BG646">
        <f>HYPERLINK("C:\Users\jimmy\Desktop\Examens arbete\Kod\Ny mapp\remix_-copy-of-miljöbeslut.se-portal\anmälan 2024-1627.pdf", "Öppna PDF")</f>
        <v/>
      </c>
    </row>
    <row r="647">
      <c r="A647" t="inlineStr">
        <is>
          <t>KRAV-AUTO-000646</t>
        </is>
      </c>
      <c r="B647" t="inlineStr">
        <is>
          <t>ADMIN-INDEX-2026-02-27-00000000125C043F57453246863FE664CAFE6A3F0700950291EA24F0614FB6ACEDB12BF0E31D00000000010C0000950291EA24F0614FB6ACEDB12BF0E31D00002087A5900000</t>
        </is>
      </c>
      <c r="C647" t="inlineStr">
        <is>
          <t>cmm4yur8204a2cuqw8bjwvcaq</t>
        </is>
      </c>
      <c r="D647" t="inlineStr">
        <is>
          <t>http://localhost:8787/api/admin/requirements/documents/cmm4yur8204a2cuqw8bjwvcaq/view</t>
        </is>
      </c>
      <c r="E647">
        <f>HYPERLÄNK("http://localhost:8787/api/admin/requirements/documents/cmm4yur8204a2cuqw8bjwvcaq/view";"Öppna PDF")</f>
        <v/>
      </c>
      <c r="F647">
        <f>HYPERLINK("http://localhost:8787/api/admin/requirements/documents/cmm4yur8204a2cuqw8bjwvcaq/view","Open PDF")</f>
        <v/>
      </c>
      <c r="G647" t="inlineStr">
        <is>
          <t>cmm55w57p0004cuisfrtpqly8</t>
        </is>
      </c>
      <c r="H647" t="inlineStr">
        <is>
          <t>Beslutsvillkor</t>
        </is>
      </c>
      <c r="I647" t="inlineStr">
        <is>
          <t>DagvattenLakvatten</t>
        </is>
      </c>
      <c r="J647" t="inlineStr">
        <is>
          <t>Uppsamling</t>
        </is>
      </c>
      <c r="K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anmälningspliktig har den en sifferkod som anger hur verksamheten ska klassas (SNI-kod).</t>
        </is>
      </c>
      <c r="L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t>
        </is>
      </c>
      <c r="M647" t="inlineStr">
        <is>
          <t>SKA</t>
        </is>
      </c>
      <c r="N647" t="inlineStr"/>
      <c r="O647" t="inlineStr"/>
      <c r="P647" t="inlineStr">
        <is>
          <t>Arlig</t>
        </is>
      </c>
      <c r="Q647" t="inlineStr"/>
      <c r="R647" t="inlineStr">
        <is>
          <t>Vid nederbord och avrinning</t>
        </is>
      </c>
      <c r="S647" t="inlineStr"/>
      <c r="T647" t="inlineStr">
        <is>
          <t>556758</t>
        </is>
      </c>
      <c r="U647" t="inlineStr"/>
      <c r="V647" t="inlineStr"/>
      <c r="W647" t="inlineStr">
        <is>
          <t>Nej</t>
        </is>
      </c>
      <c r="X647" t="inlineStr">
        <is>
          <t>Ja</t>
        </is>
      </c>
      <c r="Y647" t="inlineStr">
        <is>
          <t>Ja</t>
        </is>
      </c>
      <c r="Z647" t="inlineStr">
        <is>
          <t>Nej</t>
        </is>
      </c>
      <c r="AA647" t="n">
        <v>6</v>
      </c>
      <c r="AB647" t="inlineStr">
        <is>
          <t>Lakvattenhantering</t>
        </is>
      </c>
      <c r="AC647" t="inlineStr">
        <is>
          <t>Flodesschema dagvatten-lakvatten</t>
        </is>
      </c>
      <c r="AD647" t="inlineStr">
        <is>
          <t>Nej</t>
        </is>
      </c>
      <c r="AE647" t="inlineStr">
        <is>
          <t>Nej</t>
        </is>
      </c>
      <c r="AF647" t="inlineStr">
        <is>
          <t>Ej behandlad</t>
        </is>
      </c>
      <c r="AG647" t="inlineStr">
        <is>
          <t>AUTO_GENERERAD. Verifiera citat mot kallfil.</t>
        </is>
      </c>
      <c r="AH647" t="inlineStr">
        <is>
          <t>MEDIUM</t>
        </is>
      </c>
      <c r="AI647" t="inlineStr">
        <is>
          <t>AUTO</t>
        </is>
      </c>
      <c r="AJ647" t="inlineStr">
        <is>
          <t>Nej</t>
        </is>
      </c>
      <c r="AK647" t="inlineStr"/>
      <c r="AL647" t="inlineStr"/>
      <c r="AM647" t="inlineStr"/>
      <c r="AN647" t="inlineStr"/>
      <c r="AO647" t="inlineStr">
        <is>
          <t>cmm4yur8204a2cuqw8bjwvcaq</t>
        </is>
      </c>
      <c r="AP647" t="inlineStr">
        <is>
          <t>http://localhost:8787/api/admin/requirements/documents/cmm4yur8204a2cuqw8bjwvcaq/view</t>
        </is>
      </c>
      <c r="AQ647">
        <f>HYPERLÄNK("http://localhost:8787/api/admin/requirements/documents/cmm4yur8204a2cuqw8bjwvcaq/view";"Öppna PDF")</f>
        <v/>
      </c>
      <c r="AR647">
        <f>HYPERLINK("http://localhost:8787/api/admin/requirements/documents/cmm4yur8204a2cuqw8bjwvcaq/view","Open PDF")</f>
        <v/>
      </c>
      <c r="AS647" t="inlineStr">
        <is>
          <t>cmm55w57p0004cuisfrtpqly8</t>
        </is>
      </c>
      <c r="AT647" t="inlineStr">
        <is>
          <t>cmm4xvu980000cuh4vj0usz09</t>
        </is>
      </c>
      <c r="AU647" t="inlineStr">
        <is>
          <t>-- Emmaboda</t>
        </is>
      </c>
      <c r="AV647" t="inlineStr">
        <is>
          <t>Kommun</t>
        </is>
      </c>
      <c r="AW647" t="inlineStr">
        <is>
          <t>-- Emmaboda kommun</t>
        </is>
      </c>
      <c r="AX647" t="inlineStr">
        <is>
          <t>1998:899</t>
        </is>
      </c>
      <c r="AY647" t="inlineStr">
        <is>
          <t>Beslut</t>
        </is>
      </c>
      <c r="AZ647" t="inlineStr">
        <is>
          <t>2026-02-10</t>
        </is>
      </c>
      <c r="BA647" t="inlineStr">
        <is>
          <t>1043_001_BMN-2024-497_2024-06-17.pdf</t>
        </is>
      </c>
      <c r="BB647" t="inlineStr">
        <is>
          <t>Sv: till registrator</t>
        </is>
      </c>
      <c r="BC647" t="inlineStr">
        <is>
          <t>AUTO</t>
        </is>
      </c>
      <c r="BD647" t="inlineStr"/>
      <c r="BE647" t="inlineStr"/>
      <c r="BF647" t="inlineStr">
        <is>
          <t>AUTO_GENERERAD. Bekrafta metadata mot kallfil.</t>
        </is>
      </c>
      <c r="BG647">
        <f>HYPERLINK("C:\Users\jimmy\Desktop\Examens arbete\Kod\Ny mapp\remix_-copy-of-miljöbeslut.se-portal\1043_001_BMN-2024-497_2024-06-17.pdf", "Öppna PDF")</f>
        <v/>
      </c>
    </row>
    <row r="648">
      <c r="A648" t="inlineStr">
        <is>
          <t>KRAV-AUTO-000647</t>
        </is>
      </c>
      <c r="B648" t="inlineStr">
        <is>
          <t>ADMIN-INDEX-2026-02-27-00000000125C043F57453246863FE664CAFE6A3F0700950291EA24F0614FB6ACEDB12BF0E31D00000000010C0000950291EA24F0614FB6ACEDB12BF0E31D00002087ADF10000</t>
        </is>
      </c>
      <c r="C648" t="inlineStr">
        <is>
          <t>cmm4yuqji03necuqw1jdacamo</t>
        </is>
      </c>
      <c r="D648" t="inlineStr">
        <is>
          <t>http://localhost:8787/api/admin/requirements/documents/cmm4yuqji03necuqw1jdacamo/view</t>
        </is>
      </c>
      <c r="E648">
        <f>HYPERLÄNK("http://localhost:8787/api/admin/requirements/documents/cmm4yuqji03necuqw1jdacamo/view";"Öppna PDF")</f>
        <v/>
      </c>
      <c r="F648">
        <f>HYPERLINK("http://localhost:8787/api/admin/requirements/documents/cmm4yuqji03necuqw1jdacamo/view","Open PDF")</f>
        <v/>
      </c>
      <c r="G648" t="inlineStr">
        <is>
          <t>cmm55w57p0004cuisfrtpqly8</t>
        </is>
      </c>
      <c r="H648" t="inlineStr">
        <is>
          <t>Beslutsvillkor</t>
        </is>
      </c>
      <c r="I648" t="inlineStr">
        <is>
          <t>LagringsvolymTid</t>
        </is>
      </c>
      <c r="J648" t="inlineStr">
        <is>
          <t>Maxmangd</t>
        </is>
      </c>
      <c r="K648" t="inlineStr">
        <is>
          <t>Beskrivning av verksamheten Typ av massor som skall användas Mängd i ton Volym i m³ Krossad asfalt Krossad betong Rena schaktmassor sten, lera, matjord, grus eller morän?</t>
        </is>
      </c>
      <c r="L648" t="inlineStr">
        <is>
          <t>Beskrivning av verksamheten Typ av massor som skall användas Mängd i ton Volym i m³ Krossad asfalt Krossad betong Rena schaktmassor sten, lera, matjord, grus eller morän?</t>
        </is>
      </c>
      <c r="M648" t="inlineStr">
        <is>
          <t>SKA</t>
        </is>
      </c>
      <c r="N648" t="inlineStr"/>
      <c r="O648" t="inlineStr"/>
      <c r="P648" t="inlineStr"/>
      <c r="Q648" t="inlineStr"/>
      <c r="R648" t="inlineStr">
        <is>
          <t>Alltid</t>
        </is>
      </c>
      <c r="S648" t="inlineStr"/>
      <c r="T648" t="inlineStr">
        <is>
          <t>0723 78</t>
        </is>
      </c>
      <c r="U648" t="inlineStr"/>
      <c r="V648" t="inlineStr"/>
      <c r="W648" t="inlineStr">
        <is>
          <t>Nej</t>
        </is>
      </c>
      <c r="X648" t="inlineStr">
        <is>
          <t>Nej</t>
        </is>
      </c>
      <c r="Y648" t="inlineStr">
        <is>
          <t>Nej</t>
        </is>
      </c>
      <c r="Z648" t="inlineStr">
        <is>
          <t>Nej</t>
        </is>
      </c>
      <c r="AA648" t="n">
        <v>4</v>
      </c>
      <c r="AB648" t="inlineStr">
        <is>
          <t>Avfallsmangder och lagringstid</t>
        </is>
      </c>
      <c r="AC648" t="inlineStr">
        <is>
          <t>Avfallsforteckning</t>
        </is>
      </c>
      <c r="AD648" t="inlineStr">
        <is>
          <t>Nej</t>
        </is>
      </c>
      <c r="AE648" t="inlineStr">
        <is>
          <t>Nej</t>
        </is>
      </c>
      <c r="AF648" t="inlineStr">
        <is>
          <t>Ej behandlad</t>
        </is>
      </c>
      <c r="AG648" t="inlineStr">
        <is>
          <t>AUTO_GENERERAD. Verifiera citat mot kallfil.</t>
        </is>
      </c>
      <c r="AH648" t="inlineStr">
        <is>
          <t>MEDIUM</t>
        </is>
      </c>
      <c r="AI648" t="inlineStr">
        <is>
          <t>AUTO</t>
        </is>
      </c>
      <c r="AJ648" t="inlineStr">
        <is>
          <t>Nej</t>
        </is>
      </c>
      <c r="AK648" t="inlineStr"/>
      <c r="AL648" t="inlineStr"/>
      <c r="AM648" t="inlineStr"/>
      <c r="AN648" t="inlineStr"/>
      <c r="AO648" t="inlineStr">
        <is>
          <t>cmm4yuqjs03nncuqw2tfjq4a3</t>
        </is>
      </c>
      <c r="AP648" t="inlineStr">
        <is>
          <t>http://localhost:8787/api/admin/requirements/documents/cmm4yuqjs03nncuqw2tfjq4a3/view</t>
        </is>
      </c>
      <c r="AQ648">
        <f>HYPERLÄNK("http://localhost:8787/api/admin/requirements/documents/cmm4yuqjs03nncuqw2tfjq4a3/view";"Öppna PDF")</f>
        <v/>
      </c>
      <c r="AR648">
        <f>HYPERLINK("http://localhost:8787/api/admin/requirements/documents/cmm4yuqjs03nncuqw2tfjq4a3/view","Open PDF")</f>
        <v/>
      </c>
      <c r="AS648" t="inlineStr">
        <is>
          <t>cmm55w57p0004cuisfrtpqly8</t>
        </is>
      </c>
      <c r="AT648" t="inlineStr">
        <is>
          <t>cmm4xvu980000cuh4vj0usz09</t>
        </is>
      </c>
      <c r="AU648" t="inlineStr"/>
      <c r="AV648" t="inlineStr">
        <is>
          <t>Kommun</t>
        </is>
      </c>
      <c r="AW648" t="inlineStr"/>
      <c r="AX648" t="inlineStr">
        <is>
          <t>2016-04</t>
        </is>
      </c>
      <c r="AY648" t="inlineStr">
        <is>
          <t>Anmalan</t>
        </is>
      </c>
      <c r="AZ648" t="inlineStr">
        <is>
          <t>2026-02-05</t>
        </is>
      </c>
      <c r="BA648" t="inlineStr">
        <is>
          <t>anmälan 2024-1627.pdf</t>
        </is>
      </c>
      <c r="BB648" t="inlineStr">
        <is>
          <t>Sv: till registrator</t>
        </is>
      </c>
      <c r="BC648" t="inlineStr">
        <is>
          <t>AUTO</t>
        </is>
      </c>
      <c r="BD648" t="inlineStr"/>
      <c r="BE648" t="inlineStr"/>
      <c r="BF648" t="inlineStr">
        <is>
          <t>AUTO_GENERERAD. Bekrafta metadata mot kallfil.</t>
        </is>
      </c>
      <c r="BG648">
        <f>HYPERLINK("C:\Users\jimmy\Desktop\Examens arbete\Kod\Ny mapp\remix_-copy-of-miljöbeslut.se-portal\anmälan 2024-1627.pdf", "Öppna PDF")</f>
        <v/>
      </c>
    </row>
    <row r="649">
      <c r="A649" t="inlineStr">
        <is>
          <t>KRAV-AUTO-000648</t>
        </is>
      </c>
      <c r="B649" t="inlineStr">
        <is>
          <t>ADMIN-INDEX-2026-02-27-00000000125C043F57453246863FE664CAFE6A3F0700950291EA24F0614FB6ACEDB12BF0E31D00000000010C0000950291EA24F0614FB6ACEDB12BF0E31D00002087ADF10000</t>
        </is>
      </c>
      <c r="C649" t="inlineStr">
        <is>
          <t>cmm4yuqji03necuqw1jdacamo</t>
        </is>
      </c>
      <c r="D649" t="inlineStr">
        <is>
          <t>http://localhost:8787/api/admin/requirements/documents/cmm4yuqji03necuqw1jdacamo/view</t>
        </is>
      </c>
      <c r="E649">
        <f>HYPERLÄNK("http://localhost:8787/api/admin/requirements/documents/cmm4yuqji03necuqw1jdacamo/view";"Öppna PDF")</f>
        <v/>
      </c>
      <c r="F649">
        <f>HYPERLINK("http://localhost:8787/api/admin/requirements/documents/cmm4yuqji03necuqw1jdacamo/view","Open PDF")</f>
        <v/>
      </c>
      <c r="G649" t="inlineStr">
        <is>
          <t>cmm55w57p0004cuisfrtpqly8</t>
        </is>
      </c>
      <c r="H649" t="inlineStr">
        <is>
          <t>Beslutsvillkor</t>
        </is>
      </c>
      <c r="I649" t="inlineStr">
        <is>
          <t>Riskhantering</t>
        </is>
      </c>
      <c r="J649" t="inlineStr">
        <is>
          <t>Riskkontroll</t>
        </is>
      </c>
      <c r="K649" t="inlineStr">
        <is>
          <t>vattenbrunnar, vattendrag mm obligatorisk Analysresultat Information Verksamheten får påbörjas tidigast sex veckor efter det att anmälan gjorts, om inte miljö- och hälsoskyddsförvaltningen bestämt något annat.</t>
        </is>
      </c>
      <c r="L649" t="inlineStr">
        <is>
          <t>vattenbrunnar, vattendrag mm obligatorisk Analysresultat Information Verksamheten får påbörjas tidigast sex veckor efter det att anmälan gjorts, om inte miljö- och hälsoskyddsförvaltningen bestämt något annat.</t>
        </is>
      </c>
      <c r="M649" t="inlineStr">
        <is>
          <t>BOR</t>
        </is>
      </c>
      <c r="N649" t="inlineStr"/>
      <c r="O649" t="inlineStr"/>
      <c r="P649" t="inlineStr"/>
      <c r="Q649" t="inlineStr"/>
      <c r="R649" t="inlineStr">
        <is>
          <t>Vid risk for incident</t>
        </is>
      </c>
      <c r="S649" t="inlineStr"/>
      <c r="T649" t="inlineStr">
        <is>
          <t>0723 78</t>
        </is>
      </c>
      <c r="U649" t="inlineStr"/>
      <c r="V649" t="inlineStr"/>
      <c r="W649" t="inlineStr">
        <is>
          <t>Nej</t>
        </is>
      </c>
      <c r="X649" t="inlineStr">
        <is>
          <t>Nej</t>
        </is>
      </c>
      <c r="Y649" t="inlineStr">
        <is>
          <t>Ja</t>
        </is>
      </c>
      <c r="Z649" t="inlineStr">
        <is>
          <t>Ja</t>
        </is>
      </c>
      <c r="AA649" t="n">
        <v>8</v>
      </c>
      <c r="AB649" t="inlineStr">
        <is>
          <t>Riskhantering</t>
        </is>
      </c>
      <c r="AC649" t="inlineStr">
        <is>
          <t>Risk-PM</t>
        </is>
      </c>
      <c r="AD649" t="inlineStr">
        <is>
          <t>Nej</t>
        </is>
      </c>
      <c r="AE649" t="inlineStr">
        <is>
          <t>Nej</t>
        </is>
      </c>
      <c r="AF649" t="inlineStr">
        <is>
          <t>Ej behandlad</t>
        </is>
      </c>
      <c r="AG649" t="inlineStr">
        <is>
          <t>AUTO_GENERERAD. Verifiera citat mot kallfil.</t>
        </is>
      </c>
      <c r="AH649" t="inlineStr">
        <is>
          <t>MEDIUM</t>
        </is>
      </c>
      <c r="AI649" t="inlineStr">
        <is>
          <t>AUTO</t>
        </is>
      </c>
      <c r="AJ649" t="inlineStr">
        <is>
          <t>Nej</t>
        </is>
      </c>
      <c r="AK649" t="inlineStr"/>
      <c r="AL649" t="inlineStr"/>
      <c r="AM649" t="inlineStr"/>
      <c r="AN649" t="inlineStr"/>
      <c r="AO649" t="inlineStr">
        <is>
          <t>cmm4yuqjs03nncuqw2tfjq4a3</t>
        </is>
      </c>
      <c r="AP649" t="inlineStr">
        <is>
          <t>http://localhost:8787/api/admin/requirements/documents/cmm4yuqjs03nncuqw2tfjq4a3/view</t>
        </is>
      </c>
      <c r="AQ649">
        <f>HYPERLÄNK("http://localhost:8787/api/admin/requirements/documents/cmm4yuqjs03nncuqw2tfjq4a3/view";"Öppna PDF")</f>
        <v/>
      </c>
      <c r="AR649">
        <f>HYPERLINK("http://localhost:8787/api/admin/requirements/documents/cmm4yuqjs03nncuqw2tfjq4a3/view","Open PDF")</f>
        <v/>
      </c>
      <c r="AS649" t="inlineStr">
        <is>
          <t>cmm55w57p0004cuisfrtpqly8</t>
        </is>
      </c>
      <c r="AT649" t="inlineStr">
        <is>
          <t>cmm4xvu980000cuh4vj0usz09</t>
        </is>
      </c>
      <c r="AU649" t="inlineStr"/>
      <c r="AV649" t="inlineStr">
        <is>
          <t>Kommun</t>
        </is>
      </c>
      <c r="AW649" t="inlineStr"/>
      <c r="AX649" t="inlineStr">
        <is>
          <t>2016-04</t>
        </is>
      </c>
      <c r="AY649" t="inlineStr">
        <is>
          <t>Anmalan</t>
        </is>
      </c>
      <c r="AZ649" t="inlineStr">
        <is>
          <t>2026-02-05</t>
        </is>
      </c>
      <c r="BA649" t="inlineStr">
        <is>
          <t>anmälan 2024-1627.pdf</t>
        </is>
      </c>
      <c r="BB649" t="inlineStr">
        <is>
          <t>Sv: till registrator</t>
        </is>
      </c>
      <c r="BC649" t="inlineStr">
        <is>
          <t>AUTO</t>
        </is>
      </c>
      <c r="BD649" t="inlineStr"/>
      <c r="BE649" t="inlineStr"/>
      <c r="BF649" t="inlineStr">
        <is>
          <t>AUTO_GENERERAD. Bekrafta metadata mot kallfil.</t>
        </is>
      </c>
      <c r="BG649">
        <f>HYPERLINK("C:\Users\jimmy\Desktop\Examens arbete\Kod\Ny mapp\remix_-copy-of-miljöbeslut.se-portal\anmälan 2024-1627.pdf", "Öppna PDF")</f>
        <v/>
      </c>
    </row>
    <row r="650">
      <c r="A650" t="inlineStr">
        <is>
          <t>KRAV-AUTO-000649</t>
        </is>
      </c>
      <c r="B650" t="inlineStr">
        <is>
          <t>ADMIN-INDEX-2026-02-27-00000000125C043F57453246863FE664CAFE6A3F0700950291EA24F0614FB6ACEDB12BF0E31D00000000010C0000950291EA24F0614FB6ACEDB12BF0E31D00002087A57F0000</t>
        </is>
      </c>
      <c r="C650" t="inlineStr">
        <is>
          <t>cmm4yurde04fncuqwov97uzl5</t>
        </is>
      </c>
      <c r="D650" t="inlineStr">
        <is>
          <t>http://localhost:8787/api/admin/requirements/documents/cmm4yurde04fncuqwov97uzl5/view</t>
        </is>
      </c>
      <c r="E650">
        <f>HYPERLÄNK("http://localhost:8787/api/admin/requirements/documents/cmm4yurde04fncuqwov97uzl5/view";"Öppna PDF")</f>
        <v/>
      </c>
      <c r="F650">
        <f>HYPERLINK("http://localhost:8787/api/admin/requirements/documents/cmm4yurde04fncuqwov97uzl5/view","Open PDF")</f>
        <v/>
      </c>
      <c r="G650" t="inlineStr">
        <is>
          <t>cmm55w57p0004cuisfrtpqly8</t>
        </is>
      </c>
      <c r="H650" t="inlineStr">
        <is>
          <t>Kompletteringskrav</t>
        </is>
      </c>
      <c r="I650" t="inlineStr">
        <is>
          <t>DriftEgenkontroll</t>
        </is>
      </c>
      <c r="J650" t="inlineStr">
        <is>
          <t>Journalforing</t>
        </is>
      </c>
      <c r="K650" t="inlineStr">
        <is>
          <t>Tillstånds- eller anmälningspliktiga verksamheter med villkor eller förelägganden om utsläppsgränser, ska även följa Naturvårdsverkets föreskrifter om genomförande av mätningar och provtagningar i vissa verksamheter NFS 2000:15.</t>
        </is>
      </c>
      <c r="L650" t="inlineStr">
        <is>
          <t>Tillstånds- eller anmälningspliktiga verksamheter med villkor eller förelägganden om utsläppsgränser, ska även följa Naturvårdsverkets föreskrifter om genomförande av mätningar och provtagningar i vissa verksamheter NFS 2000:15.</t>
        </is>
      </c>
      <c r="M650" t="inlineStr">
        <is>
          <t>SKA</t>
        </is>
      </c>
      <c r="N650" t="inlineStr">
        <is>
          <t>Naturvardsverket</t>
        </is>
      </c>
      <c r="O650" t="inlineStr"/>
      <c r="P650" t="inlineStr"/>
      <c r="Q650" t="inlineStr">
        <is>
          <t>Forelaggande vid brist</t>
        </is>
      </c>
      <c r="R650" t="inlineStr">
        <is>
          <t>Lopande drift</t>
        </is>
      </c>
      <c r="S650" t="inlineStr"/>
      <c r="T650" t="inlineStr">
        <is>
          <t>212000</t>
        </is>
      </c>
      <c r="U650" t="inlineStr"/>
      <c r="V650" t="inlineStr"/>
      <c r="W650" t="inlineStr">
        <is>
          <t>Nej</t>
        </is>
      </c>
      <c r="X650" t="inlineStr">
        <is>
          <t>Nej</t>
        </is>
      </c>
      <c r="Y650" t="inlineStr">
        <is>
          <t>Ja</t>
        </is>
      </c>
      <c r="Z650" t="inlineStr">
        <is>
          <t>Nej</t>
        </is>
      </c>
      <c r="AA650" t="n">
        <v>7</v>
      </c>
      <c r="AB650" t="inlineStr">
        <is>
          <t>Egenkontrollrutiner</t>
        </is>
      </c>
      <c r="AC650" t="inlineStr">
        <is>
          <t>Egenkontrollprogram</t>
        </is>
      </c>
      <c r="AD650" t="inlineStr">
        <is>
          <t>Nej</t>
        </is>
      </c>
      <c r="AE650" t="inlineStr">
        <is>
          <t>Nej</t>
        </is>
      </c>
      <c r="AF650" t="inlineStr">
        <is>
          <t>Ej behandlad</t>
        </is>
      </c>
      <c r="AG650" t="inlineStr">
        <is>
          <t>AUTO_GENERERAD. Verifiera citat mot kallfil.</t>
        </is>
      </c>
      <c r="AH650" t="inlineStr">
        <is>
          <t>HIGH</t>
        </is>
      </c>
      <c r="AI650" t="inlineStr">
        <is>
          <t>AUTO</t>
        </is>
      </c>
      <c r="AJ650" t="inlineStr">
        <is>
          <t>Nej</t>
        </is>
      </c>
      <c r="AK650" t="inlineStr"/>
      <c r="AL650" t="inlineStr"/>
      <c r="AM650" t="inlineStr"/>
      <c r="AN650" t="inlineStr"/>
      <c r="AO650" t="inlineStr">
        <is>
          <t>cmm4yurd804fhcuqw6hiurhyu</t>
        </is>
      </c>
      <c r="AP650" t="inlineStr">
        <is>
          <t>http://localhost:8787/api/admin/requirements/documents/cmm4yurd804fhcuqw6hiurhyu/view</t>
        </is>
      </c>
      <c r="AQ650">
        <f>HYPERLÄNK("http://localhost:8787/api/admin/requirements/documents/cmm4yurd804fhcuqw6hiurhyu/view";"Öppna PDF")</f>
        <v/>
      </c>
      <c r="AR650">
        <f>HYPERLINK("http://localhost:8787/api/admin/requirements/documents/cmm4yurd804fhcuqw6hiurhyu/view","Open PDF")</f>
        <v/>
      </c>
      <c r="AS650" t="inlineStr">
        <is>
          <t>cmm55w57p0004cuisfrtpqly8</t>
        </is>
      </c>
      <c r="AT650" t="inlineStr">
        <is>
          <t>cmm4xvu980000cuh4vj0usz09</t>
        </is>
      </c>
      <c r="AU650" t="inlineStr"/>
      <c r="AV650" t="inlineStr">
        <is>
          <t>Kommun</t>
        </is>
      </c>
      <c r="AW650" t="inlineStr"/>
      <c r="AX650" t="inlineStr">
        <is>
          <t>2024-11</t>
        </is>
      </c>
      <c r="AY650" t="inlineStr">
        <is>
          <t>Anmalan</t>
        </is>
      </c>
      <c r="AZ650" t="inlineStr">
        <is>
          <t>2026-02-12</t>
        </is>
      </c>
      <c r="BA650" t="inlineStr">
        <is>
          <t>2024-923Miljöfarlig verksamhet, anmälan _ ändring - 10928.pdf</t>
        </is>
      </c>
      <c r="BB650" t="inlineStr">
        <is>
          <t>Sv: till registrator</t>
        </is>
      </c>
      <c r="BC650" t="inlineStr">
        <is>
          <t>AUTO</t>
        </is>
      </c>
      <c r="BD650" t="inlineStr"/>
      <c r="BE650" t="inlineStr"/>
      <c r="BF650" t="inlineStr">
        <is>
          <t>AUTO_GENERERAD. Bekrafta metadata mot kallfil.</t>
        </is>
      </c>
      <c r="BG650">
        <f>HYPERLINK("C:\Users\jimmy\Desktop\Examens arbete\Kod\Ny mapp\remix_-copy-of-miljöbeslut.se-portal\2024-923Miljöfarlig verksamhet, anmälan _ ändring - 10928.pdf", "Öppna PDF")</f>
        <v/>
      </c>
    </row>
    <row r="651">
      <c r="A651" t="inlineStr">
        <is>
          <t>KRAV-AUTO-000650</t>
        </is>
      </c>
      <c r="B651" t="inlineStr">
        <is>
          <t>ADMIN-INDEX-2026-02-27-00000000125C043F57453246863FE664CAFE6A3F0700950291EA24F0614FB6ACEDB12BF0E31D00000000010C0000950291EA24F0614FB6ACEDB12BF0E31D00002087A57F0000</t>
        </is>
      </c>
      <c r="C651" t="inlineStr">
        <is>
          <t>cmm4yurde04fncuqwov97uzl5</t>
        </is>
      </c>
      <c r="D651" t="inlineStr">
        <is>
          <t>http://localhost:8787/api/admin/requirements/documents/cmm4yurde04fncuqwov97uzl5/view</t>
        </is>
      </c>
      <c r="E651">
        <f>HYPERLÄNK("http://localhost:8787/api/admin/requirements/documents/cmm4yurde04fncuqwov97uzl5/view";"Öppna PDF")</f>
        <v/>
      </c>
      <c r="F651">
        <f>HYPERLINK("http://localhost:8787/api/admin/requirements/documents/cmm4yurde04fncuqwov97uzl5/view","Open PDF")</f>
        <v/>
      </c>
      <c r="G651" t="inlineStr">
        <is>
          <t>cmm55w57p0004cuisfrtpqly8</t>
        </is>
      </c>
      <c r="H651" t="inlineStr">
        <is>
          <t>Kompletteringskrav</t>
        </is>
      </c>
      <c r="I651" t="inlineStr">
        <is>
          <t>Riskhantering</t>
        </is>
      </c>
      <c r="J651" t="inlineStr">
        <is>
          <t>Riskkontroll</t>
        </is>
      </c>
      <c r="K651" t="inlineStr">
        <is>
          <t>Den som hanterar avfall ska se till att hanteringen inte skadar eller orsakar risk för skada på människors hälsa eller miljön.</t>
        </is>
      </c>
      <c r="L651" t="inlineStr">
        <is>
          <t>Den som hanterar avfall ska se till att hanteringen inte skadar eller orsakar risk för skada på människors hälsa eller miljön.</t>
        </is>
      </c>
      <c r="M651" t="inlineStr">
        <is>
          <t>SKA</t>
        </is>
      </c>
      <c r="N651" t="inlineStr"/>
      <c r="O651" t="inlineStr"/>
      <c r="P651" t="inlineStr"/>
      <c r="Q651" t="inlineStr"/>
      <c r="R651" t="inlineStr">
        <is>
          <t>Vid risk for incident</t>
        </is>
      </c>
      <c r="S651" t="inlineStr"/>
      <c r="T651" t="inlineStr">
        <is>
          <t>212000</t>
        </is>
      </c>
      <c r="U651" t="inlineStr"/>
      <c r="V651" t="inlineStr"/>
      <c r="W651" t="inlineStr">
        <is>
          <t>Nej</t>
        </is>
      </c>
      <c r="X651" t="inlineStr">
        <is>
          <t>Nej</t>
        </is>
      </c>
      <c r="Y651" t="inlineStr">
        <is>
          <t>Ja</t>
        </is>
      </c>
      <c r="Z651" t="inlineStr">
        <is>
          <t>Ja</t>
        </is>
      </c>
      <c r="AA651" t="n">
        <v>8</v>
      </c>
      <c r="AB651" t="inlineStr">
        <is>
          <t>Riskhantering</t>
        </is>
      </c>
      <c r="AC651" t="inlineStr">
        <is>
          <t>Risk-PM</t>
        </is>
      </c>
      <c r="AD651" t="inlineStr">
        <is>
          <t>Nej</t>
        </is>
      </c>
      <c r="AE651" t="inlineStr">
        <is>
          <t>Nej</t>
        </is>
      </c>
      <c r="AF651" t="inlineStr">
        <is>
          <t>Ej behandlad</t>
        </is>
      </c>
      <c r="AG651" t="inlineStr">
        <is>
          <t>AUTO_GENERERAD. Verifiera citat mot kallfil.</t>
        </is>
      </c>
      <c r="AH651" t="inlineStr">
        <is>
          <t>MEDIUM</t>
        </is>
      </c>
      <c r="AI651" t="inlineStr">
        <is>
          <t>AUTO</t>
        </is>
      </c>
      <c r="AJ651" t="inlineStr">
        <is>
          <t>Nej</t>
        </is>
      </c>
      <c r="AK651" t="inlineStr"/>
      <c r="AL651" t="inlineStr"/>
      <c r="AM651" t="inlineStr"/>
      <c r="AN651" t="inlineStr"/>
      <c r="AO651" t="inlineStr">
        <is>
          <t>cmm4yurd804fhcuqw6hiurhyu</t>
        </is>
      </c>
      <c r="AP651" t="inlineStr">
        <is>
          <t>http://localhost:8787/api/admin/requirements/documents/cmm4yurd804fhcuqw6hiurhyu/view</t>
        </is>
      </c>
      <c r="AQ651">
        <f>HYPERLÄNK("http://localhost:8787/api/admin/requirements/documents/cmm4yurd804fhcuqw6hiurhyu/view";"Öppna PDF")</f>
        <v/>
      </c>
      <c r="AR651">
        <f>HYPERLINK("http://localhost:8787/api/admin/requirements/documents/cmm4yurd804fhcuqw6hiurhyu/view","Open PDF")</f>
        <v/>
      </c>
      <c r="AS651" t="inlineStr">
        <is>
          <t>cmm55w57p0004cuisfrtpqly8</t>
        </is>
      </c>
      <c r="AT651" t="inlineStr">
        <is>
          <t>cmm4xvu980000cuh4vj0usz09</t>
        </is>
      </c>
      <c r="AU651" t="inlineStr"/>
      <c r="AV651" t="inlineStr">
        <is>
          <t>Kommun</t>
        </is>
      </c>
      <c r="AW651" t="inlineStr"/>
      <c r="AX651" t="inlineStr">
        <is>
          <t>2024-11</t>
        </is>
      </c>
      <c r="AY651" t="inlineStr">
        <is>
          <t>Anmalan</t>
        </is>
      </c>
      <c r="AZ651" t="inlineStr">
        <is>
          <t>2026-02-12</t>
        </is>
      </c>
      <c r="BA651" t="inlineStr">
        <is>
          <t>2024-923Miljöfarlig verksamhet, anmälan _ ändring - 10928.pdf</t>
        </is>
      </c>
      <c r="BB651" t="inlineStr">
        <is>
          <t>Sv: till registrator</t>
        </is>
      </c>
      <c r="BC651" t="inlineStr">
        <is>
          <t>AUTO</t>
        </is>
      </c>
      <c r="BD651" t="inlineStr"/>
      <c r="BE651" t="inlineStr"/>
      <c r="BF651" t="inlineStr">
        <is>
          <t>AUTO_GENERERAD. Bekrafta metadata mot kallfil.</t>
        </is>
      </c>
      <c r="BG651">
        <f>HYPERLINK("C:\Users\jimmy\Desktop\Examens arbete\Kod\Ny mapp\remix_-copy-of-miljöbeslut.se-portal\2024-923Miljöfarlig verksamhet, anmälan _ ändring - 10928.pdf", "Öppna PDF")</f>
        <v/>
      </c>
    </row>
    <row r="652">
      <c r="A652" t="inlineStr">
        <is>
          <t>KRAV-AUTO-000651</t>
        </is>
      </c>
      <c r="B652" t="inlineStr">
        <is>
          <t>ADMIN-INDEX-2026-02-27-00000000125C043F57453246863FE664CAFE6A3F0700950291EA24F0614FB6ACEDB12BF0E31D00000000010C0000950291EA24F0614FB6ACEDB12BF0E31D00002087ADF20000</t>
        </is>
      </c>
      <c r="C652" t="inlineStr">
        <is>
          <t>cmm4yuqiy03mtcuqwzwa03bvg</t>
        </is>
      </c>
      <c r="D652" t="inlineStr">
        <is>
          <t>http://localhost:8787/api/admin/requirements/documents/cmm4yuqiy03mtcuqwzwa03bvg/view</t>
        </is>
      </c>
      <c r="E652">
        <f>HYPERLÄNK("http://localhost:8787/api/admin/requirements/documents/cmm4yuqiy03mtcuqwzwa03bvg/view";"Öppna PDF")</f>
        <v/>
      </c>
      <c r="F652">
        <f>HYPERLINK("http://localhost:8787/api/admin/requirements/documents/cmm4yuqiy03mtcuqwzwa03bvg/view","Open PDF")</f>
        <v/>
      </c>
      <c r="G652" t="inlineStr">
        <is>
          <t>cmm55w57p0004cuisfrtpqly8</t>
        </is>
      </c>
      <c r="H652" t="inlineStr">
        <is>
          <t>Beslutsvillkor</t>
        </is>
      </c>
      <c r="I652" t="inlineStr">
        <is>
          <t>DagvattenLakvatten</t>
        </is>
      </c>
      <c r="J652" t="inlineStr">
        <is>
          <t>Uppsamling</t>
        </is>
      </c>
      <c r="K652" t="inlineStr">
        <is>
          <t>Avfall kan även via dagvatten, skadedjur och stölder spridas från platsen.</t>
        </is>
      </c>
      <c r="L652" t="inlineStr">
        <is>
          <t>Avfall kan även via dagvatten, skadedjur och stölder spridas från platsen.</t>
        </is>
      </c>
      <c r="M652" t="inlineStr">
        <is>
          <t>SKA</t>
        </is>
      </c>
      <c r="N652" t="inlineStr"/>
      <c r="O652" t="inlineStr"/>
      <c r="P652" t="inlineStr"/>
      <c r="Q652" t="inlineStr"/>
      <c r="R652" t="inlineStr">
        <is>
          <t>Vid nederbord och avrinning</t>
        </is>
      </c>
      <c r="S652" t="inlineStr"/>
      <c r="T652" t="inlineStr">
        <is>
          <t>17 0340</t>
        </is>
      </c>
      <c r="U652" t="inlineStr"/>
      <c r="V652" t="inlineStr"/>
      <c r="W652" t="inlineStr">
        <is>
          <t>Nej</t>
        </is>
      </c>
      <c r="X652" t="inlineStr">
        <is>
          <t>Ja</t>
        </is>
      </c>
      <c r="Y652" t="inlineStr">
        <is>
          <t>Ja</t>
        </is>
      </c>
      <c r="Z652" t="inlineStr">
        <is>
          <t>Nej</t>
        </is>
      </c>
      <c r="AA652" t="n">
        <v>6</v>
      </c>
      <c r="AB652" t="inlineStr">
        <is>
          <t>Lakvattenhantering</t>
        </is>
      </c>
      <c r="AC652" t="inlineStr">
        <is>
          <t>Flodesschema dagvatten-lakvatten</t>
        </is>
      </c>
      <c r="AD652" t="inlineStr">
        <is>
          <t>Nej</t>
        </is>
      </c>
      <c r="AE652" t="inlineStr">
        <is>
          <t>Nej</t>
        </is>
      </c>
      <c r="AF652" t="inlineStr">
        <is>
          <t>Ej behandlad</t>
        </is>
      </c>
      <c r="AG652" t="inlineStr">
        <is>
          <t>AUTO_GENERERAD. Verifiera citat mot kallfil.</t>
        </is>
      </c>
      <c r="AH652" t="inlineStr">
        <is>
          <t>MEDIUM</t>
        </is>
      </c>
      <c r="AI652" t="inlineStr">
        <is>
          <t>AUTO</t>
        </is>
      </c>
      <c r="AJ652" t="inlineStr">
        <is>
          <t>Nej</t>
        </is>
      </c>
      <c r="AK652" t="inlineStr"/>
      <c r="AL652" t="inlineStr"/>
      <c r="AM652" t="inlineStr"/>
      <c r="AN652" t="inlineStr"/>
      <c r="AO652" t="inlineStr">
        <is>
          <t>cmm4yuqiy03mtcuqwzwa03bvg</t>
        </is>
      </c>
      <c r="AP652" t="inlineStr">
        <is>
          <t>http://localhost:8787/api/admin/requirements/documents/cmm4yuqiy03mtcuqwzwa03bvg/view</t>
        </is>
      </c>
      <c r="AQ652">
        <f>HYPERLÄNK("http://localhost:8787/api/admin/requirements/documents/cmm4yuqiy03mtcuqwzwa03bvg/view";"Öppna PDF")</f>
        <v/>
      </c>
      <c r="AR652">
        <f>HYPERLINK("http://localhost:8787/api/admin/requirements/documents/cmm4yuqiy03mtcuqwzwa03bvg/view","Open PDF")</f>
        <v/>
      </c>
      <c r="AS652" t="inlineStr">
        <is>
          <t>cmm55w57p0004cuisfrtpqly8</t>
        </is>
      </c>
      <c r="AT652" t="inlineStr">
        <is>
          <t>cmm4xvu980000cuh4vj0usz09</t>
        </is>
      </c>
      <c r="AU652" t="inlineStr">
        <is>
          <t>E-POSTADRESS Varbergs</t>
        </is>
      </c>
      <c r="AV652" t="inlineStr">
        <is>
          <t>Kommun</t>
        </is>
      </c>
      <c r="AW652" t="inlineStr">
        <is>
          <t>E-POSTADRESS Varbergs kommun</t>
        </is>
      </c>
      <c r="AX652" t="inlineStr">
        <is>
          <t>2024-1352</t>
        </is>
      </c>
      <c r="AY652" t="inlineStr">
        <is>
          <t>Beslut</t>
        </is>
      </c>
      <c r="AZ652" t="inlineStr">
        <is>
          <t>2026-02-05</t>
        </is>
      </c>
      <c r="BA652" t="inlineStr">
        <is>
          <t>Beslut 2024-1627.pdf</t>
        </is>
      </c>
      <c r="BB652" t="inlineStr">
        <is>
          <t>Sv: till registrator</t>
        </is>
      </c>
      <c r="BC652" t="inlineStr">
        <is>
          <t>AUTO</t>
        </is>
      </c>
      <c r="BD652" t="inlineStr"/>
      <c r="BE652" t="inlineStr"/>
      <c r="BF652" t="inlineStr">
        <is>
          <t>AUTO_GENERERAD. Bekrafta metadata mot kallfil.</t>
        </is>
      </c>
      <c r="BG652">
        <f>HYPERLINK("C:\Users\jimmy\Desktop\Examens arbete\Kod\Ny mapp\remix_-copy-of-miljöbeslut.se-portal\Beslut 2024-1627.pdf", "Öppna PDF")</f>
        <v/>
      </c>
    </row>
    <row r="653">
      <c r="A653" t="inlineStr">
        <is>
          <t>KRAV-AUTO-000652</t>
        </is>
      </c>
      <c r="B653" t="inlineStr">
        <is>
          <t>ADMIN-INDEX-2026-02-27-00000000125C043F57453246863FE664CAFE6A3F0700950291EA24F0614FB6ACEDB12BF0E31D00000000010C0000950291EA24F0614FB6ACEDB12BF0E31D00002087ADF20000</t>
        </is>
      </c>
      <c r="C653" t="inlineStr">
        <is>
          <t>cmm4yuqiy03mtcuqwzwa03bvg</t>
        </is>
      </c>
      <c r="D653" t="inlineStr">
        <is>
          <t>http://localhost:8787/api/admin/requirements/documents/cmm4yuqiy03mtcuqwzwa03bvg/view</t>
        </is>
      </c>
      <c r="E653">
        <f>HYPERLÄNK("http://localhost:8787/api/admin/requirements/documents/cmm4yuqiy03mtcuqwzwa03bvg/view";"Öppna PDF")</f>
        <v/>
      </c>
      <c r="F653">
        <f>HYPERLINK("http://localhost:8787/api/admin/requirements/documents/cmm4yuqiy03mtcuqwzwa03bvg/view","Open PDF")</f>
        <v/>
      </c>
      <c r="G653" t="inlineStr">
        <is>
          <t>cmm55w57p0004cuisfrtpqly8</t>
        </is>
      </c>
      <c r="H653" t="inlineStr">
        <is>
          <t>Beslutsvillkor</t>
        </is>
      </c>
      <c r="I653" t="inlineStr">
        <is>
          <t>DagvattenLakvatten</t>
        </is>
      </c>
      <c r="J653" t="inlineStr">
        <is>
          <t>Uppsamling</t>
        </is>
      </c>
      <c r="K653" t="inlineStr">
        <is>
          <t>Lagring av avfall eller parkering av fordon över dagvattenbrunnar får inte ske.</t>
        </is>
      </c>
      <c r="L653" t="inlineStr">
        <is>
          <t>Lagring av avfall eller parkering av fordon över dagvattenbrunnar får inte ske.</t>
        </is>
      </c>
      <c r="M653" t="inlineStr">
        <is>
          <t>SKA</t>
        </is>
      </c>
      <c r="N653" t="inlineStr"/>
      <c r="O653" t="inlineStr"/>
      <c r="P653" t="inlineStr"/>
      <c r="Q653" t="inlineStr">
        <is>
          <t>Driftbegransning vid avvikelse</t>
        </is>
      </c>
      <c r="R653" t="inlineStr">
        <is>
          <t>Vid nederbord och avrinning</t>
        </is>
      </c>
      <c r="S653" t="inlineStr"/>
      <c r="T653" t="inlineStr">
        <is>
          <t>17 0340</t>
        </is>
      </c>
      <c r="U653" t="inlineStr"/>
      <c r="V653" t="inlineStr"/>
      <c r="W653" t="inlineStr">
        <is>
          <t>Nej</t>
        </is>
      </c>
      <c r="X653" t="inlineStr">
        <is>
          <t>Ja</t>
        </is>
      </c>
      <c r="Y653" t="inlineStr">
        <is>
          <t>Ja</t>
        </is>
      </c>
      <c r="Z653" t="inlineStr">
        <is>
          <t>Nej</t>
        </is>
      </c>
      <c r="AA653" t="n">
        <v>6</v>
      </c>
      <c r="AB653" t="inlineStr">
        <is>
          <t>Lakvattenhantering</t>
        </is>
      </c>
      <c r="AC653" t="inlineStr">
        <is>
          <t>Flodesschema dagvatten-lakvatten</t>
        </is>
      </c>
      <c r="AD653" t="inlineStr">
        <is>
          <t>Nej</t>
        </is>
      </c>
      <c r="AE653" t="inlineStr">
        <is>
          <t>Nej</t>
        </is>
      </c>
      <c r="AF653" t="inlineStr">
        <is>
          <t>Ej behandlad</t>
        </is>
      </c>
      <c r="AG653" t="inlineStr">
        <is>
          <t>AUTO_GENERERAD. Verifiera citat mot kallfil.</t>
        </is>
      </c>
      <c r="AH653" t="inlineStr">
        <is>
          <t>MEDIUM</t>
        </is>
      </c>
      <c r="AI653" t="inlineStr">
        <is>
          <t>AUTO</t>
        </is>
      </c>
      <c r="AJ653" t="inlineStr">
        <is>
          <t>Nej</t>
        </is>
      </c>
      <c r="AK653" t="inlineStr"/>
      <c r="AL653" t="inlineStr"/>
      <c r="AM653" t="inlineStr"/>
      <c r="AN653" t="inlineStr"/>
      <c r="AO653" t="inlineStr">
        <is>
          <t>cmm4yuqiy03mtcuqwzwa03bvg</t>
        </is>
      </c>
      <c r="AP653" t="inlineStr">
        <is>
          <t>http://localhost:8787/api/admin/requirements/documents/cmm4yuqiy03mtcuqwzwa03bvg/view</t>
        </is>
      </c>
      <c r="AQ653">
        <f>HYPERLÄNK("http://localhost:8787/api/admin/requirements/documents/cmm4yuqiy03mtcuqwzwa03bvg/view";"Öppna PDF")</f>
        <v/>
      </c>
      <c r="AR653">
        <f>HYPERLINK("http://localhost:8787/api/admin/requirements/documents/cmm4yuqiy03mtcuqwzwa03bvg/view","Open PDF")</f>
        <v/>
      </c>
      <c r="AS653" t="inlineStr">
        <is>
          <t>cmm55w57p0004cuisfrtpqly8</t>
        </is>
      </c>
      <c r="AT653" t="inlineStr">
        <is>
          <t>cmm4xvu980000cuh4vj0usz09</t>
        </is>
      </c>
      <c r="AU653" t="inlineStr">
        <is>
          <t>E-POSTADRESS Varbergs</t>
        </is>
      </c>
      <c r="AV653" t="inlineStr">
        <is>
          <t>Kommun</t>
        </is>
      </c>
      <c r="AW653" t="inlineStr">
        <is>
          <t>E-POSTADRESS Varbergs kommun</t>
        </is>
      </c>
      <c r="AX653" t="inlineStr">
        <is>
          <t>2024-1352</t>
        </is>
      </c>
      <c r="AY653" t="inlineStr">
        <is>
          <t>Beslut</t>
        </is>
      </c>
      <c r="AZ653" t="inlineStr">
        <is>
          <t>2026-02-05</t>
        </is>
      </c>
      <c r="BA653" t="inlineStr">
        <is>
          <t>Beslut 2024-1627.pdf</t>
        </is>
      </c>
      <c r="BB653" t="inlineStr">
        <is>
          <t>Sv: till registrator</t>
        </is>
      </c>
      <c r="BC653" t="inlineStr">
        <is>
          <t>AUTO</t>
        </is>
      </c>
      <c r="BD653" t="inlineStr"/>
      <c r="BE653" t="inlineStr"/>
      <c r="BF653" t="inlineStr">
        <is>
          <t>AUTO_GENERERAD. Bekrafta metadata mot kallfil.</t>
        </is>
      </c>
      <c r="BG653">
        <f>HYPERLINK("C:\Users\jimmy\Desktop\Examens arbete\Kod\Ny mapp\remix_-copy-of-miljöbeslut.se-portal\Beslut 2024-1627.pdf", "Öppna PDF")</f>
        <v/>
      </c>
    </row>
    <row r="654">
      <c r="A654" t="inlineStr">
        <is>
          <t>KRAV-AUTO-000653</t>
        </is>
      </c>
      <c r="B654" t="inlineStr">
        <is>
          <t>ADMIN-INDEX-2026-02-27-00000000125C043F57453246863FE664CAFE6A3F0700950291EA24F0614FB6ACEDB12BF0E31D00000000010C0000950291EA24F0614FB6ACEDB12BF0E31D00002087ADF20000</t>
        </is>
      </c>
      <c r="C654" t="inlineStr">
        <is>
          <t>cmm4yuqiy03mtcuqwzwa03bvg</t>
        </is>
      </c>
      <c r="D654" t="inlineStr">
        <is>
          <t>http://localhost:8787/api/admin/requirements/documents/cmm4yuqiy03mtcuqwzwa03bvg/view</t>
        </is>
      </c>
      <c r="E654">
        <f>HYPERLÄNK("http://localhost:8787/api/admin/requirements/documents/cmm4yuqiy03mtcuqwzwa03bvg/view";"Öppna PDF")</f>
        <v/>
      </c>
      <c r="F654">
        <f>HYPERLINK("http://localhost:8787/api/admin/requirements/documents/cmm4yuqiy03mtcuqwzwa03bvg/view","Open PDF")</f>
        <v/>
      </c>
      <c r="G654" t="inlineStr">
        <is>
          <t>cmm55w57p0004cuisfrtpqly8</t>
        </is>
      </c>
      <c r="H654" t="inlineStr">
        <is>
          <t>Beslutsvillkor</t>
        </is>
      </c>
      <c r="I654" t="inlineStr">
        <is>
          <t>Ytkonstruktion</t>
        </is>
      </c>
      <c r="J654" t="inlineStr">
        <is>
          <t>Tat yta</t>
        </is>
      </c>
      <c r="K654" t="inlineStr">
        <is>
          <t>Behållare med flytande farligt avfall ska förvaras invallat i en invallning som rymmer hela behållarens volym.</t>
        </is>
      </c>
      <c r="L654" t="inlineStr">
        <is>
          <t>Behållare med flytande farligt avfall ska förvaras invallat i en invallning som rymmer hela behållarens volym.</t>
        </is>
      </c>
      <c r="M654" t="inlineStr">
        <is>
          <t>SKA</t>
        </is>
      </c>
      <c r="N654" t="inlineStr"/>
      <c r="O654" t="inlineStr"/>
      <c r="P654" t="inlineStr">
        <is>
          <t>Arlig</t>
        </is>
      </c>
      <c r="Q654" t="inlineStr"/>
      <c r="R654" t="inlineStr">
        <is>
          <t>Vid mellanlagring av avfall</t>
        </is>
      </c>
      <c r="S654" t="inlineStr"/>
      <c r="T654" t="inlineStr">
        <is>
          <t>17 0340</t>
        </is>
      </c>
      <c r="U654" t="inlineStr"/>
      <c r="V654" t="inlineStr"/>
      <c r="W654" t="inlineStr">
        <is>
          <t>Ja</t>
        </is>
      </c>
      <c r="X654" t="inlineStr">
        <is>
          <t>Nej</t>
        </is>
      </c>
      <c r="Y654" t="inlineStr">
        <is>
          <t>Nej</t>
        </is>
      </c>
      <c r="Z654" t="inlineStr">
        <is>
          <t>Nej</t>
        </is>
      </c>
      <c r="AA654" t="n">
        <v>5</v>
      </c>
      <c r="AB654" t="inlineStr">
        <is>
          <t>Teknisk beskrivning av platta</t>
        </is>
      </c>
      <c r="AC654" t="inlineStr">
        <is>
          <t>Teknisk ritning platta</t>
        </is>
      </c>
      <c r="AD654" t="inlineStr">
        <is>
          <t>Nej</t>
        </is>
      </c>
      <c r="AE654" t="inlineStr">
        <is>
          <t>Nej</t>
        </is>
      </c>
      <c r="AF654" t="inlineStr">
        <is>
          <t>Ej behandlad</t>
        </is>
      </c>
      <c r="AG654" t="inlineStr">
        <is>
          <t>AUTO_GENERERAD. Verifiera citat mot kallfil.</t>
        </is>
      </c>
      <c r="AH654" t="inlineStr">
        <is>
          <t>MEDIUM</t>
        </is>
      </c>
      <c r="AI654" t="inlineStr">
        <is>
          <t>AUTO</t>
        </is>
      </c>
      <c r="AJ654" t="inlineStr">
        <is>
          <t>Nej</t>
        </is>
      </c>
      <c r="AK654" t="inlineStr"/>
      <c r="AL654" t="inlineStr"/>
      <c r="AM654" t="inlineStr"/>
      <c r="AN654" t="inlineStr"/>
      <c r="AO654" t="inlineStr">
        <is>
          <t>cmm4yuqiy03mtcuqwzwa03bvg</t>
        </is>
      </c>
      <c r="AP654" t="inlineStr">
        <is>
          <t>http://localhost:8787/api/admin/requirements/documents/cmm4yuqiy03mtcuqwzwa03bvg/view</t>
        </is>
      </c>
      <c r="AQ654">
        <f>HYPERLÄNK("http://localhost:8787/api/admin/requirements/documents/cmm4yuqiy03mtcuqwzwa03bvg/view";"Öppna PDF")</f>
        <v/>
      </c>
      <c r="AR654">
        <f>HYPERLINK("http://localhost:8787/api/admin/requirements/documents/cmm4yuqiy03mtcuqwzwa03bvg/view","Open PDF")</f>
        <v/>
      </c>
      <c r="AS654" t="inlineStr">
        <is>
          <t>cmm55w57p0004cuisfrtpqly8</t>
        </is>
      </c>
      <c r="AT654" t="inlineStr">
        <is>
          <t>cmm4xvu980000cuh4vj0usz09</t>
        </is>
      </c>
      <c r="AU654" t="inlineStr">
        <is>
          <t>E-POSTADRESS Varbergs</t>
        </is>
      </c>
      <c r="AV654" t="inlineStr">
        <is>
          <t>Kommun</t>
        </is>
      </c>
      <c r="AW654" t="inlineStr">
        <is>
          <t>E-POSTADRESS Varbergs kommun</t>
        </is>
      </c>
      <c r="AX654" t="inlineStr">
        <is>
          <t>2024-1352</t>
        </is>
      </c>
      <c r="AY654" t="inlineStr">
        <is>
          <t>Beslut</t>
        </is>
      </c>
      <c r="AZ654" t="inlineStr">
        <is>
          <t>2026-02-05</t>
        </is>
      </c>
      <c r="BA654" t="inlineStr">
        <is>
          <t>Beslut 2024-1627.pdf</t>
        </is>
      </c>
      <c r="BB654" t="inlineStr">
        <is>
          <t>Sv: till registrator</t>
        </is>
      </c>
      <c r="BC654" t="inlineStr">
        <is>
          <t>AUTO</t>
        </is>
      </c>
      <c r="BD654" t="inlineStr"/>
      <c r="BE654" t="inlineStr"/>
      <c r="BF654" t="inlineStr">
        <is>
          <t>AUTO_GENERERAD. Bekrafta metadata mot kallfil.</t>
        </is>
      </c>
      <c r="BG654">
        <f>HYPERLINK("C:\Users\jimmy\Desktop\Examens arbete\Kod\Ny mapp\remix_-copy-of-miljöbeslut.se-portal\Beslut 2024-1627.pdf", "Öppna PDF")</f>
        <v/>
      </c>
    </row>
    <row r="655">
      <c r="A655" t="inlineStr">
        <is>
          <t>KRAV-AUTO-000654</t>
        </is>
      </c>
      <c r="B655" t="inlineStr">
        <is>
          <t>ADMIN-INDEX-2026-02-27-00000000125C043F57453246863FE664CAFE6A3F0700950291EA24F0614FB6ACEDB12BF0E31D00000000010C0000950291EA24F0614FB6ACEDB12BF0E31D00002087ADF20000</t>
        </is>
      </c>
      <c r="C655" t="inlineStr">
        <is>
          <t>cmm4yuqih03mbcuqwub85cz1x</t>
        </is>
      </c>
      <c r="D655" t="inlineStr">
        <is>
          <t>http://localhost:8787/api/admin/requirements/documents/cmm4yuqih03mbcuqwub85cz1x/view</t>
        </is>
      </c>
      <c r="E655">
        <f>HYPERLÄNK("http://localhost:8787/api/admin/requirements/documents/cmm4yuqih03mbcuqwub85cz1x/view";"Öppna PDF")</f>
        <v/>
      </c>
      <c r="F655">
        <f>HYPERLINK("http://localhost:8787/api/admin/requirements/documents/cmm4yuqih03mbcuqwub85cz1x/view","Open PDF")</f>
        <v/>
      </c>
      <c r="G655" t="inlineStr">
        <is>
          <t>cmm55w57p0004cuisfrtpqly8</t>
        </is>
      </c>
      <c r="H655" t="inlineStr">
        <is>
          <t>Beslutsvillkor</t>
        </is>
      </c>
      <c r="I655" t="inlineStr">
        <is>
          <t>Ytkonstruktion</t>
        </is>
      </c>
      <c r="J655" t="inlineStr">
        <is>
          <t>Tat yta</t>
        </is>
      </c>
      <c r="K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655" t="inlineStr">
        <is>
          <t>SKA</t>
        </is>
      </c>
      <c r="N655" t="inlineStr"/>
      <c r="O655" t="inlineStr"/>
      <c r="P655" t="inlineStr"/>
      <c r="Q655" t="inlineStr"/>
      <c r="R655" t="inlineStr">
        <is>
          <t>Vid mellanlagring av avfall</t>
        </is>
      </c>
      <c r="S655" t="inlineStr"/>
      <c r="T655" t="inlineStr">
        <is>
          <t>251202</t>
        </is>
      </c>
      <c r="U655" t="inlineStr"/>
      <c r="V655" t="inlineStr"/>
      <c r="W655" t="inlineStr">
        <is>
          <t>Ja</t>
        </is>
      </c>
      <c r="X655" t="inlineStr">
        <is>
          <t>Nej</t>
        </is>
      </c>
      <c r="Y655" t="inlineStr">
        <is>
          <t>Nej</t>
        </is>
      </c>
      <c r="Z655" t="inlineStr">
        <is>
          <t>Nej</t>
        </is>
      </c>
      <c r="AA655" t="n">
        <v>5</v>
      </c>
      <c r="AB655" t="inlineStr">
        <is>
          <t>Teknisk beskrivning av platta</t>
        </is>
      </c>
      <c r="AC655" t="inlineStr">
        <is>
          <t>Teknisk ritning platta</t>
        </is>
      </c>
      <c r="AD655" t="inlineStr">
        <is>
          <t>Nej</t>
        </is>
      </c>
      <c r="AE655" t="inlineStr">
        <is>
          <t>Nej</t>
        </is>
      </c>
      <c r="AF655" t="inlineStr">
        <is>
          <t>Ej behandlad</t>
        </is>
      </c>
      <c r="AG655" t="inlineStr">
        <is>
          <t>AUTO_GENERERAD. Verifiera citat mot kallfil.</t>
        </is>
      </c>
      <c r="AH655" t="inlineStr">
        <is>
          <t>MEDIUM</t>
        </is>
      </c>
      <c r="AI655" t="inlineStr">
        <is>
          <t>AUTO</t>
        </is>
      </c>
      <c r="AJ655" t="inlineStr">
        <is>
          <t>Nej</t>
        </is>
      </c>
      <c r="AK655" t="inlineStr"/>
      <c r="AL655" t="inlineStr"/>
      <c r="AM655" t="inlineStr"/>
      <c r="AN655" t="inlineStr"/>
      <c r="AO655" t="inlineStr">
        <is>
          <t>cmm4yuqiy03mtcuqwzwa03bvg</t>
        </is>
      </c>
      <c r="AP655" t="inlineStr">
        <is>
          <t>http://localhost:8787/api/admin/requirements/documents/cmm4yuqiy03mtcuqwzwa03bvg/view</t>
        </is>
      </c>
      <c r="AQ655">
        <f>HYPERLÄNK("http://localhost:8787/api/admin/requirements/documents/cmm4yuqiy03mtcuqwzwa03bvg/view";"Öppna PDF")</f>
        <v/>
      </c>
      <c r="AR655">
        <f>HYPERLINK("http://localhost:8787/api/admin/requirements/documents/cmm4yuqiy03mtcuqwzwa03bvg/view","Open PDF")</f>
        <v/>
      </c>
      <c r="AS655" t="inlineStr">
        <is>
          <t>cmm55w57p0004cuisfrtpqly8</t>
        </is>
      </c>
      <c r="AT655" t="inlineStr">
        <is>
          <t>cmm4xvu980000cuh4vj0usz09</t>
        </is>
      </c>
      <c r="AU655" t="inlineStr">
        <is>
          <t>E-POSTADRESS Varbergs</t>
        </is>
      </c>
      <c r="AV655" t="inlineStr">
        <is>
          <t>Kommun</t>
        </is>
      </c>
      <c r="AW655" t="inlineStr">
        <is>
          <t>E-POSTADRESS Varbergs kommun</t>
        </is>
      </c>
      <c r="AX655" t="inlineStr">
        <is>
          <t>2024-1352</t>
        </is>
      </c>
      <c r="AY655" t="inlineStr">
        <is>
          <t>Beslut</t>
        </is>
      </c>
      <c r="AZ655" t="inlineStr">
        <is>
          <t>2026-02-05</t>
        </is>
      </c>
      <c r="BA655" t="inlineStr">
        <is>
          <t>Beslut 2024-1627.pdf</t>
        </is>
      </c>
      <c r="BB655" t="inlineStr">
        <is>
          <t>Sv: till registrator</t>
        </is>
      </c>
      <c r="BC655" t="inlineStr">
        <is>
          <t>AUTO</t>
        </is>
      </c>
      <c r="BD655" t="inlineStr"/>
      <c r="BE655" t="inlineStr"/>
      <c r="BF655" t="inlineStr">
        <is>
          <t>AUTO_GENERERAD. Bekrafta metadata mot kallfil.</t>
        </is>
      </c>
      <c r="BG655">
        <f>HYPERLINK("C:\Users\jimmy\Desktop\Examens arbete\Kod\Ny mapp\remix_-copy-of-miljöbeslut.se-portal\Beslut 2024-1627.pdf", "Öppna PDF")</f>
        <v/>
      </c>
    </row>
    <row r="656">
      <c r="A656" t="inlineStr">
        <is>
          <t>KRAV-AUTO-000655</t>
        </is>
      </c>
      <c r="B656" t="inlineStr">
        <is>
          <t>ADMIN-INDEX-2026-02-27-00000000125C043F57453246863FE664CAFE6A3F0700950291EA24F0614FB6ACEDB12BF0E31D00000000010C0000950291EA24F0614FB6ACEDB12BF0E31D00002087ADF20000</t>
        </is>
      </c>
      <c r="C656" t="inlineStr">
        <is>
          <t>cmm4yuqih03mbcuqwub85cz1x</t>
        </is>
      </c>
      <c r="D656" t="inlineStr">
        <is>
          <t>http://localhost:8787/api/admin/requirements/documents/cmm4yuqih03mbcuqwub85cz1x/view</t>
        </is>
      </c>
      <c r="E656">
        <f>HYPERLÄNK("http://localhost:8787/api/admin/requirements/documents/cmm4yuqih03mbcuqwub85cz1x/view";"Öppna PDF")</f>
        <v/>
      </c>
      <c r="F656">
        <f>HYPERLINK("http://localhost:8787/api/admin/requirements/documents/cmm4yuqih03mbcuqwub85cz1x/view","Open PDF")</f>
        <v/>
      </c>
      <c r="G656" t="inlineStr">
        <is>
          <t>cmm55w57p0004cuisfrtpqly8</t>
        </is>
      </c>
      <c r="H656" t="inlineStr">
        <is>
          <t>Beslutsvillkor</t>
        </is>
      </c>
      <c r="I656" t="inlineStr">
        <is>
          <t>Riskhantering</t>
        </is>
      </c>
      <c r="J656" t="inlineStr">
        <is>
          <t>Riskkontroll</t>
        </is>
      </c>
      <c r="K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656" t="inlineStr">
        <is>
          <t>SKA</t>
        </is>
      </c>
      <c r="N656" t="inlineStr"/>
      <c r="O656" t="inlineStr"/>
      <c r="P656" t="inlineStr"/>
      <c r="Q656" t="inlineStr"/>
      <c r="R656" t="inlineStr">
        <is>
          <t>Vid risk for incident</t>
        </is>
      </c>
      <c r="S656" t="inlineStr"/>
      <c r="T656" t="inlineStr">
        <is>
          <t>170504</t>
        </is>
      </c>
      <c r="U656" t="inlineStr"/>
      <c r="V656" t="inlineStr"/>
      <c r="W656" t="inlineStr">
        <is>
          <t>Nej</t>
        </is>
      </c>
      <c r="X656" t="inlineStr">
        <is>
          <t>Nej</t>
        </is>
      </c>
      <c r="Y656" t="inlineStr">
        <is>
          <t>Ja</t>
        </is>
      </c>
      <c r="Z656" t="inlineStr">
        <is>
          <t>Ja</t>
        </is>
      </c>
      <c r="AA656" t="n">
        <v>8</v>
      </c>
      <c r="AB656" t="inlineStr">
        <is>
          <t>Riskhantering</t>
        </is>
      </c>
      <c r="AC656" t="inlineStr">
        <is>
          <t>Risk-PM</t>
        </is>
      </c>
      <c r="AD656" t="inlineStr">
        <is>
          <t>Nej</t>
        </is>
      </c>
      <c r="AE656" t="inlineStr">
        <is>
          <t>Nej</t>
        </is>
      </c>
      <c r="AF656" t="inlineStr">
        <is>
          <t>Ej behandlad</t>
        </is>
      </c>
      <c r="AG656" t="inlineStr">
        <is>
          <t>AUTO_GENERERAD. Verifiera citat mot kallfil.</t>
        </is>
      </c>
      <c r="AH656" t="inlineStr">
        <is>
          <t>MEDIUM</t>
        </is>
      </c>
      <c r="AI656" t="inlineStr">
        <is>
          <t>AUTO</t>
        </is>
      </c>
      <c r="AJ656" t="inlineStr">
        <is>
          <t>Nej</t>
        </is>
      </c>
      <c r="AK656" t="inlineStr"/>
      <c r="AL656" t="inlineStr"/>
      <c r="AM656" t="inlineStr"/>
      <c r="AN656" t="inlineStr"/>
      <c r="AO656" t="inlineStr">
        <is>
          <t>cmm4yuqiy03mtcuqwzwa03bvg</t>
        </is>
      </c>
      <c r="AP656" t="inlineStr">
        <is>
          <t>http://localhost:8787/api/admin/requirements/documents/cmm4yuqiy03mtcuqwzwa03bvg/view</t>
        </is>
      </c>
      <c r="AQ656">
        <f>HYPERLÄNK("http://localhost:8787/api/admin/requirements/documents/cmm4yuqiy03mtcuqwzwa03bvg/view";"Öppna PDF")</f>
        <v/>
      </c>
      <c r="AR656">
        <f>HYPERLINK("http://localhost:8787/api/admin/requirements/documents/cmm4yuqiy03mtcuqwzwa03bvg/view","Open PDF")</f>
        <v/>
      </c>
      <c r="AS656" t="inlineStr">
        <is>
          <t>cmm55w57p0004cuisfrtpqly8</t>
        </is>
      </c>
      <c r="AT656" t="inlineStr">
        <is>
          <t>cmm4xvu980000cuh4vj0usz09</t>
        </is>
      </c>
      <c r="AU656" t="inlineStr">
        <is>
          <t>E-POSTADRESS Varbergs</t>
        </is>
      </c>
      <c r="AV656" t="inlineStr">
        <is>
          <t>Kommun</t>
        </is>
      </c>
      <c r="AW656" t="inlineStr">
        <is>
          <t>E-POSTADRESS Varbergs kommun</t>
        </is>
      </c>
      <c r="AX656" t="inlineStr">
        <is>
          <t>2024-1352</t>
        </is>
      </c>
      <c r="AY656" t="inlineStr">
        <is>
          <t>Beslut</t>
        </is>
      </c>
      <c r="AZ656" t="inlineStr">
        <is>
          <t>2026-02-05</t>
        </is>
      </c>
      <c r="BA656" t="inlineStr">
        <is>
          <t>Beslut 2024-1627.pdf</t>
        </is>
      </c>
      <c r="BB656" t="inlineStr">
        <is>
          <t>Sv: till registrator</t>
        </is>
      </c>
      <c r="BC656" t="inlineStr">
        <is>
          <t>AUTO</t>
        </is>
      </c>
      <c r="BD656" t="inlineStr"/>
      <c r="BE656" t="inlineStr"/>
      <c r="BF656" t="inlineStr">
        <is>
          <t>AUTO_GENERERAD. Bekrafta metadata mot kallfil.</t>
        </is>
      </c>
      <c r="BG656">
        <f>HYPERLINK("C:\Users\jimmy\Desktop\Examens arbete\Kod\Ny mapp\remix_-copy-of-miljöbeslut.se-portal\Beslut 2024-1627.pdf", "Öppna PDF")</f>
        <v/>
      </c>
    </row>
    <row r="657">
      <c r="A657" t="inlineStr">
        <is>
          <t>KRAV-AUTO-000656</t>
        </is>
      </c>
      <c r="B657" t="inlineStr">
        <is>
          <t>ADMIN-INDEX-2026-02-27-00000000125C043F57453246863FE664CAFE6A3F0700950291EA24F0614FB6ACEDB12BF0E31D00000000010C0000950291EA24F0614FB6ACEDB12BF0E31D00002087ADF20000</t>
        </is>
      </c>
      <c r="C657" t="inlineStr">
        <is>
          <t>cmm4yuqih03mbcuqwub85cz1x</t>
        </is>
      </c>
      <c r="D657" t="inlineStr">
        <is>
          <t>http://localhost:8787/api/admin/requirements/documents/cmm4yuqih03mbcuqwub85cz1x/view</t>
        </is>
      </c>
      <c r="E657">
        <f>HYPERLÄNK("http://localhost:8787/api/admin/requirements/documents/cmm4yuqih03mbcuqwub85cz1x/view";"Öppna PDF")</f>
        <v/>
      </c>
      <c r="F657">
        <f>HYPERLINK("http://localhost:8787/api/admin/requirements/documents/cmm4yuqih03mbcuqwub85cz1x/view","Open PDF")</f>
        <v/>
      </c>
      <c r="G657" t="inlineStr">
        <is>
          <t>cmm55w57p0004cuisfrtpqly8</t>
        </is>
      </c>
      <c r="H657" t="inlineStr">
        <is>
          <t>Beslutsvillkor</t>
        </is>
      </c>
      <c r="I657" t="inlineStr">
        <is>
          <t>LagringsvolymTid</t>
        </is>
      </c>
      <c r="J657" t="inlineStr">
        <is>
          <t>Maxmangd</t>
        </is>
      </c>
      <c r="K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657" t="inlineStr">
        <is>
          <t>SKA</t>
        </is>
      </c>
      <c r="N657" t="inlineStr"/>
      <c r="O657" t="inlineStr">
        <is>
          <t>2025-12-02</t>
        </is>
      </c>
      <c r="P657" t="inlineStr">
        <is>
          <t>Arlig</t>
        </is>
      </c>
      <c r="Q657" t="inlineStr"/>
      <c r="R657" t="inlineStr">
        <is>
          <t>Alltid</t>
        </is>
      </c>
      <c r="S657" t="inlineStr"/>
      <c r="T657" t="inlineStr">
        <is>
          <t>17 05 04</t>
        </is>
      </c>
      <c r="U657" t="inlineStr"/>
      <c r="V657" t="inlineStr"/>
      <c r="W657" t="inlineStr">
        <is>
          <t>Nej</t>
        </is>
      </c>
      <c r="X657" t="inlineStr">
        <is>
          <t>Nej</t>
        </is>
      </c>
      <c r="Y657" t="inlineStr">
        <is>
          <t>Nej</t>
        </is>
      </c>
      <c r="Z657" t="inlineStr">
        <is>
          <t>Nej</t>
        </is>
      </c>
      <c r="AA657" t="n">
        <v>4</v>
      </c>
      <c r="AB657" t="inlineStr">
        <is>
          <t>Avfallsmangder och lagringstid</t>
        </is>
      </c>
      <c r="AC657" t="inlineStr">
        <is>
          <t>Avfallsforteckning</t>
        </is>
      </c>
      <c r="AD657" t="inlineStr">
        <is>
          <t>Nej</t>
        </is>
      </c>
      <c r="AE657" t="inlineStr">
        <is>
          <t>Nej</t>
        </is>
      </c>
      <c r="AF657" t="inlineStr">
        <is>
          <t>Ej behandlad</t>
        </is>
      </c>
      <c r="AG657" t="inlineStr">
        <is>
          <t>AUTO_GENERERAD. Verifiera citat mot kallfil.</t>
        </is>
      </c>
      <c r="AH657" t="inlineStr">
        <is>
          <t>MEDIUM</t>
        </is>
      </c>
      <c r="AI657" t="inlineStr">
        <is>
          <t>AUTO</t>
        </is>
      </c>
      <c r="AJ657" t="inlineStr">
        <is>
          <t>Nej</t>
        </is>
      </c>
      <c r="AK657" t="inlineStr"/>
      <c r="AL657" t="inlineStr"/>
      <c r="AM657" t="inlineStr"/>
      <c r="AN657" t="inlineStr"/>
      <c r="AO657" t="inlineStr">
        <is>
          <t>cmm4yuqiy03mtcuqwzwa03bvg</t>
        </is>
      </c>
      <c r="AP657" t="inlineStr">
        <is>
          <t>http://localhost:8787/api/admin/requirements/documents/cmm4yuqiy03mtcuqwzwa03bvg/view</t>
        </is>
      </c>
      <c r="AQ657">
        <f>HYPERLÄNK("http://localhost:8787/api/admin/requirements/documents/cmm4yuqiy03mtcuqwzwa03bvg/view";"Öppna PDF")</f>
        <v/>
      </c>
      <c r="AR657">
        <f>HYPERLINK("http://localhost:8787/api/admin/requirements/documents/cmm4yuqiy03mtcuqwzwa03bvg/view","Open PDF")</f>
        <v/>
      </c>
      <c r="AS657" t="inlineStr">
        <is>
          <t>cmm55w57p0004cuisfrtpqly8</t>
        </is>
      </c>
      <c r="AT657" t="inlineStr">
        <is>
          <t>cmm4xvu980000cuh4vj0usz09</t>
        </is>
      </c>
      <c r="AU657" t="inlineStr">
        <is>
          <t>E-POSTADRESS Varbergs</t>
        </is>
      </c>
      <c r="AV657" t="inlineStr">
        <is>
          <t>Kommun</t>
        </is>
      </c>
      <c r="AW657" t="inlineStr">
        <is>
          <t>E-POSTADRESS Varbergs kommun</t>
        </is>
      </c>
      <c r="AX657" t="inlineStr">
        <is>
          <t>2024-1352</t>
        </is>
      </c>
      <c r="AY657" t="inlineStr">
        <is>
          <t>Beslut</t>
        </is>
      </c>
      <c r="AZ657" t="inlineStr">
        <is>
          <t>2026-02-05</t>
        </is>
      </c>
      <c r="BA657" t="inlineStr">
        <is>
          <t>Beslut 2024-1627.pdf</t>
        </is>
      </c>
      <c r="BB657" t="inlineStr">
        <is>
          <t>Sv: till registrator</t>
        </is>
      </c>
      <c r="BC657" t="inlineStr">
        <is>
          <t>AUTO</t>
        </is>
      </c>
      <c r="BD657" t="inlineStr"/>
      <c r="BE657" t="inlineStr"/>
      <c r="BF657" t="inlineStr">
        <is>
          <t>AUTO_GENERERAD. Bekrafta metadata mot kallfil.</t>
        </is>
      </c>
      <c r="BG657">
        <f>HYPERLINK("C:\Users\jimmy\Desktop\Examens arbete\Kod\Ny mapp\remix_-copy-of-miljöbeslut.se-portal\Beslut 2024-1627.pdf", "Öppna PDF")</f>
        <v/>
      </c>
    </row>
    <row r="658">
      <c r="A658" t="inlineStr">
        <is>
          <t>KRAV-AUTO-000657</t>
        </is>
      </c>
      <c r="B658" t="inlineStr">
        <is>
          <t>ADMIN-INDEX-2026-02-27-00000000125C043F57453246863FE664CAFE6A3F0700950291EA24F0614FB6ACEDB12BF0E31D00000000010C0000950291EA24F0614FB6ACEDB12BF0E31D00002087ADF30000</t>
        </is>
      </c>
      <c r="C658" t="inlineStr">
        <is>
          <t>cmm4yuqhx03ltcuqw7sv8tw6o</t>
        </is>
      </c>
      <c r="D658" t="inlineStr">
        <is>
          <t>http://localhost:8787/api/admin/requirements/documents/cmm4yuqhx03ltcuqw7sv8tw6o/view</t>
        </is>
      </c>
      <c r="E658">
        <f>HYPERLÄNK("http://localhost:8787/api/admin/requirements/documents/cmm4yuqhx03ltcuqw7sv8tw6o/view";"Öppna PDF")</f>
        <v/>
      </c>
      <c r="F658">
        <f>HYPERLINK("http://localhost:8787/api/admin/requirements/documents/cmm4yuqhx03ltcuqw7sv8tw6o/view","Open PDF")</f>
        <v/>
      </c>
      <c r="G658" t="inlineStr">
        <is>
          <t>cmm55w57p0004cuisfrtpqly8</t>
        </is>
      </c>
      <c r="H658" t="inlineStr">
        <is>
          <t>Beslutsvillkor</t>
        </is>
      </c>
      <c r="I658" t="inlineStr">
        <is>
          <t>DagvattenLakvatten</t>
        </is>
      </c>
      <c r="J658" t="inlineStr">
        <is>
          <t>Uppsamling</t>
        </is>
      </c>
      <c r="K658" t="inlineStr">
        <is>
          <t>Anläggningen ska möjliggöra provtagning av lakvatten efter avvattningen av avfall.</t>
        </is>
      </c>
      <c r="L658" t="inlineStr">
        <is>
          <t>Anläggningen ska möjliggöra provtagning av lakvatten efter avvattningen av avfall.</t>
        </is>
      </c>
      <c r="M658" t="inlineStr">
        <is>
          <t>SKA</t>
        </is>
      </c>
      <c r="N658" t="inlineStr"/>
      <c r="O658" t="inlineStr"/>
      <c r="P658" t="inlineStr"/>
      <c r="Q658" t="inlineStr"/>
      <c r="R658" t="inlineStr">
        <is>
          <t>Vid nederbord och avrinning</t>
        </is>
      </c>
      <c r="S658" t="inlineStr"/>
      <c r="T658" t="inlineStr">
        <is>
          <t>17 0340</t>
        </is>
      </c>
      <c r="U658" t="inlineStr"/>
      <c r="V658" t="inlineStr"/>
      <c r="W658" t="inlineStr">
        <is>
          <t>Nej</t>
        </is>
      </c>
      <c r="X658" t="inlineStr">
        <is>
          <t>Ja</t>
        </is>
      </c>
      <c r="Y658" t="inlineStr">
        <is>
          <t>Ja</t>
        </is>
      </c>
      <c r="Z658" t="inlineStr">
        <is>
          <t>Nej</t>
        </is>
      </c>
      <c r="AA658" t="n">
        <v>6</v>
      </c>
      <c r="AB658" t="inlineStr">
        <is>
          <t>Lakvattenhantering</t>
        </is>
      </c>
      <c r="AC658" t="inlineStr">
        <is>
          <t>Flodesschema dagvatten-lakvatten</t>
        </is>
      </c>
      <c r="AD658" t="inlineStr">
        <is>
          <t>Nej</t>
        </is>
      </c>
      <c r="AE658" t="inlineStr">
        <is>
          <t>Nej</t>
        </is>
      </c>
      <c r="AF658" t="inlineStr">
        <is>
          <t>Ej behandlad</t>
        </is>
      </c>
      <c r="AG658" t="inlineStr">
        <is>
          <t>AUTO_GENERERAD. Verifiera citat mot kallfil.</t>
        </is>
      </c>
      <c r="AH658" t="inlineStr">
        <is>
          <t>MEDIUM</t>
        </is>
      </c>
      <c r="AI658" t="inlineStr">
        <is>
          <t>AUTO</t>
        </is>
      </c>
      <c r="AJ658" t="inlineStr">
        <is>
          <t>Nej</t>
        </is>
      </c>
      <c r="AK658" t="inlineStr"/>
      <c r="AL658" t="inlineStr"/>
      <c r="AM658" t="inlineStr"/>
      <c r="AN658" t="inlineStr"/>
      <c r="AO658" t="inlineStr">
        <is>
          <t>cmm4yuqhc03l8cuqwfjrfoy1e</t>
        </is>
      </c>
      <c r="AP658" t="inlineStr">
        <is>
          <t>http://localhost:8787/api/admin/requirements/documents/cmm4yuqhc03l8cuqwfjrfoy1e/view</t>
        </is>
      </c>
      <c r="AQ658">
        <f>HYPERLÄNK("http://localhost:8787/api/admin/requirements/documents/cmm4yuqhc03l8cuqwfjrfoy1e/view";"Öppna PDF")</f>
        <v/>
      </c>
      <c r="AR658">
        <f>HYPERLINK("http://localhost:8787/api/admin/requirements/documents/cmm4yuqhc03l8cuqwfjrfoy1e/view","Open PDF")</f>
        <v/>
      </c>
      <c r="AS658" t="inlineStr">
        <is>
          <t>cmm55w57p0004cuisfrtpqly8</t>
        </is>
      </c>
      <c r="AT658" t="inlineStr">
        <is>
          <t>cmm4xvu980000cuh4vj0usz09</t>
        </is>
      </c>
      <c r="AU658" t="inlineStr"/>
      <c r="AV658" t="inlineStr">
        <is>
          <t>Kommun</t>
        </is>
      </c>
      <c r="AW658" t="inlineStr"/>
      <c r="AX658" t="inlineStr">
        <is>
          <t>2025-10</t>
        </is>
      </c>
      <c r="AY658" t="inlineStr">
        <is>
          <t>Beslut</t>
        </is>
      </c>
      <c r="AZ658" t="inlineStr">
        <is>
          <t>2026-02-05</t>
        </is>
      </c>
      <c r="BA658" t="inlineStr">
        <is>
          <t>251021-MMAVANLAN-CD02 2025-3268.pdf</t>
        </is>
      </c>
      <c r="BB658" t="inlineStr">
        <is>
          <t>Sv: till registrator</t>
        </is>
      </c>
      <c r="BC658" t="inlineStr">
        <is>
          <t>AUTO</t>
        </is>
      </c>
      <c r="BD658" t="inlineStr"/>
      <c r="BE658" t="inlineStr"/>
      <c r="BF658" t="inlineStr">
        <is>
          <t>AUTO_GENERERAD. Bekrafta metadata mot kallfil.</t>
        </is>
      </c>
      <c r="BG658">
        <f>HYPERLINK("C:\Users\jimmy\Desktop\Examens arbete\Kod\Ny mapp\remix_-copy-of-miljöbeslut.se-portal\251021-MMAVANLAN-CD02 2025-3268.pdf", "Öppna PDF")</f>
        <v/>
      </c>
    </row>
    <row r="659">
      <c r="A659" t="inlineStr">
        <is>
          <t>KRAV-AUTO-000658</t>
        </is>
      </c>
      <c r="B659" t="inlineStr">
        <is>
          <t>ADMIN-INDEX-2026-02-27-00000000125C043F57453246863FE664CAFE6A3F0700950291EA24F0614FB6ACEDB12BF0E31D00000000010C0000950291EA24F0614FB6ACEDB12BF0E31D00002087ADF30000</t>
        </is>
      </c>
      <c r="C659" t="inlineStr">
        <is>
          <t>cmm4yuqhx03ltcuqw7sv8tw6o</t>
        </is>
      </c>
      <c r="D659" t="inlineStr">
        <is>
          <t>http://localhost:8787/api/admin/requirements/documents/cmm4yuqhx03ltcuqw7sv8tw6o/view</t>
        </is>
      </c>
      <c r="E659">
        <f>HYPERLÄNK("http://localhost:8787/api/admin/requirements/documents/cmm4yuqhx03ltcuqw7sv8tw6o/view";"Öppna PDF")</f>
        <v/>
      </c>
      <c r="F659">
        <f>HYPERLINK("http://localhost:8787/api/admin/requirements/documents/cmm4yuqhx03ltcuqw7sv8tw6o/view","Open PDF")</f>
        <v/>
      </c>
      <c r="G659" t="inlineStr">
        <is>
          <t>cmm55w57p0004cuisfrtpqly8</t>
        </is>
      </c>
      <c r="H659" t="inlineStr">
        <is>
          <t>Beslutsvillkor</t>
        </is>
      </c>
      <c r="I659" t="inlineStr">
        <is>
          <t>DagvattenLakvatten</t>
        </is>
      </c>
      <c r="J659" t="inlineStr">
        <is>
          <t>Uppsamling</t>
        </is>
      </c>
      <c r="K659" t="inlineStr">
        <is>
          <t>Anläggningen ska möjliggöra stängning av avledning av lakvatten till sedimentationsdammar.</t>
        </is>
      </c>
      <c r="L659" t="inlineStr">
        <is>
          <t>Anläggningen ska möjliggöra stängning av avledning av lakvatten till sedimentationsdammar.</t>
        </is>
      </c>
      <c r="M659" t="inlineStr">
        <is>
          <t>SKA</t>
        </is>
      </c>
      <c r="N659" t="inlineStr"/>
      <c r="O659" t="inlineStr"/>
      <c r="P659" t="inlineStr"/>
      <c r="Q659" t="inlineStr"/>
      <c r="R659" t="inlineStr">
        <is>
          <t>Vid nederbord och avrinning</t>
        </is>
      </c>
      <c r="S659" t="inlineStr"/>
      <c r="T659" t="inlineStr">
        <is>
          <t>17 0340</t>
        </is>
      </c>
      <c r="U659" t="inlineStr"/>
      <c r="V659" t="inlineStr"/>
      <c r="W659" t="inlineStr">
        <is>
          <t>Nej</t>
        </is>
      </c>
      <c r="X659" t="inlineStr">
        <is>
          <t>Ja</t>
        </is>
      </c>
      <c r="Y659" t="inlineStr">
        <is>
          <t>Ja</t>
        </is>
      </c>
      <c r="Z659" t="inlineStr">
        <is>
          <t>Nej</t>
        </is>
      </c>
      <c r="AA659" t="n">
        <v>6</v>
      </c>
      <c r="AB659" t="inlineStr">
        <is>
          <t>Lakvattenhantering</t>
        </is>
      </c>
      <c r="AC659" t="inlineStr">
        <is>
          <t>Flodesschema dagvatten-lakvatten</t>
        </is>
      </c>
      <c r="AD659" t="inlineStr">
        <is>
          <t>Nej</t>
        </is>
      </c>
      <c r="AE659" t="inlineStr">
        <is>
          <t>Nej</t>
        </is>
      </c>
      <c r="AF659" t="inlineStr">
        <is>
          <t>Ej behandlad</t>
        </is>
      </c>
      <c r="AG659" t="inlineStr">
        <is>
          <t>AUTO_GENERERAD. Verifiera citat mot kallfil.</t>
        </is>
      </c>
      <c r="AH659" t="inlineStr">
        <is>
          <t>MEDIUM</t>
        </is>
      </c>
      <c r="AI659" t="inlineStr">
        <is>
          <t>AUTO</t>
        </is>
      </c>
      <c r="AJ659" t="inlineStr">
        <is>
          <t>Nej</t>
        </is>
      </c>
      <c r="AK659" t="inlineStr"/>
      <c r="AL659" t="inlineStr"/>
      <c r="AM659" t="inlineStr"/>
      <c r="AN659" t="inlineStr"/>
      <c r="AO659" t="inlineStr">
        <is>
          <t>cmm4yuqhc03l8cuqwfjrfoy1e</t>
        </is>
      </c>
      <c r="AP659" t="inlineStr">
        <is>
          <t>http://localhost:8787/api/admin/requirements/documents/cmm4yuqhc03l8cuqwfjrfoy1e/view</t>
        </is>
      </c>
      <c r="AQ659">
        <f>HYPERLÄNK("http://localhost:8787/api/admin/requirements/documents/cmm4yuqhc03l8cuqwfjrfoy1e/view";"Öppna PDF")</f>
        <v/>
      </c>
      <c r="AR659">
        <f>HYPERLINK("http://localhost:8787/api/admin/requirements/documents/cmm4yuqhc03l8cuqwfjrfoy1e/view","Open PDF")</f>
        <v/>
      </c>
      <c r="AS659" t="inlineStr">
        <is>
          <t>cmm55w57p0004cuisfrtpqly8</t>
        </is>
      </c>
      <c r="AT659" t="inlineStr">
        <is>
          <t>cmm4xvu980000cuh4vj0usz09</t>
        </is>
      </c>
      <c r="AU659" t="inlineStr"/>
      <c r="AV659" t="inlineStr">
        <is>
          <t>Kommun</t>
        </is>
      </c>
      <c r="AW659" t="inlineStr"/>
      <c r="AX659" t="inlineStr">
        <is>
          <t>2025-10</t>
        </is>
      </c>
      <c r="AY659" t="inlineStr">
        <is>
          <t>Beslut</t>
        </is>
      </c>
      <c r="AZ659" t="inlineStr">
        <is>
          <t>2026-02-05</t>
        </is>
      </c>
      <c r="BA659" t="inlineStr">
        <is>
          <t>251021-MMAVANLAN-CD02 2025-3268.pdf</t>
        </is>
      </c>
      <c r="BB659" t="inlineStr">
        <is>
          <t>Sv: till registrator</t>
        </is>
      </c>
      <c r="BC659" t="inlineStr">
        <is>
          <t>AUTO</t>
        </is>
      </c>
      <c r="BD659" t="inlineStr"/>
      <c r="BE659" t="inlineStr"/>
      <c r="BF659" t="inlineStr">
        <is>
          <t>AUTO_GENERERAD. Bekrafta metadata mot kallfil.</t>
        </is>
      </c>
      <c r="BG659">
        <f>HYPERLINK("C:\Users\jimmy\Desktop\Examens arbete\Kod\Ny mapp\remix_-copy-of-miljöbeslut.se-portal\251021-MMAVANLAN-CD02 2025-3268.pdf", "Öppna PDF")</f>
        <v/>
      </c>
    </row>
    <row r="660">
      <c r="A660" t="inlineStr">
        <is>
          <t>KRAV-AUTO-000659</t>
        </is>
      </c>
      <c r="B660" t="inlineStr">
        <is>
          <t>ADMIN-INDEX-2026-02-27-00000000125C043F57453246863FE664CAFE6A3F0700950291EA24F0614FB6ACEDB12BF0E31D00000000010C0000950291EA24F0614FB6ACEDB12BF0E31D00002087ADF30000</t>
        </is>
      </c>
      <c r="C660" t="inlineStr">
        <is>
          <t>cmm4yuqhx03ltcuqw7sv8tw6o</t>
        </is>
      </c>
      <c r="D660" t="inlineStr">
        <is>
          <t>http://localhost:8787/api/admin/requirements/documents/cmm4yuqhx03ltcuqw7sv8tw6o/view</t>
        </is>
      </c>
      <c r="E660">
        <f>HYPERLÄNK("http://localhost:8787/api/admin/requirements/documents/cmm4yuqhx03ltcuqw7sv8tw6o/view";"Öppna PDF")</f>
        <v/>
      </c>
      <c r="F660">
        <f>HYPERLINK("http://localhost:8787/api/admin/requirements/documents/cmm4yuqhx03ltcuqw7sv8tw6o/view","Open PDF")</f>
        <v/>
      </c>
      <c r="G660" t="inlineStr">
        <is>
          <t>cmm55w57p0004cuisfrtpqly8</t>
        </is>
      </c>
      <c r="H660" t="inlineStr">
        <is>
          <t>Beslutsvillkor</t>
        </is>
      </c>
      <c r="I660" t="inlineStr">
        <is>
          <t>DagvattenLakvatten</t>
        </is>
      </c>
      <c r="J660" t="inlineStr">
        <is>
          <t>Uppsamling</t>
        </is>
      </c>
      <c r="K660" t="inlineStr">
        <is>
          <t>Vid misstanke om förorening i inlevererat material ska tömning omedelbart avbrytas och avledning av lakvatten upphöra.</t>
        </is>
      </c>
      <c r="L660" t="inlineStr">
        <is>
          <t>Vid misstanke om förorening i inlevererat material ska tömning omedelbart avbrytas och avledning av lakvatten upphöra.</t>
        </is>
      </c>
      <c r="M660" t="inlineStr">
        <is>
          <t>SKA</t>
        </is>
      </c>
      <c r="N660" t="inlineStr"/>
      <c r="O660" t="inlineStr"/>
      <c r="P660" t="inlineStr"/>
      <c r="Q660" t="inlineStr"/>
      <c r="R660" t="inlineStr">
        <is>
          <t>Vid nederbord och avrinning</t>
        </is>
      </c>
      <c r="S660" t="inlineStr"/>
      <c r="T660" t="inlineStr">
        <is>
          <t>17 0340</t>
        </is>
      </c>
      <c r="U660" t="inlineStr"/>
      <c r="V660" t="inlineStr"/>
      <c r="W660" t="inlineStr">
        <is>
          <t>Nej</t>
        </is>
      </c>
      <c r="X660" t="inlineStr">
        <is>
          <t>Ja</t>
        </is>
      </c>
      <c r="Y660" t="inlineStr">
        <is>
          <t>Ja</t>
        </is>
      </c>
      <c r="Z660" t="inlineStr">
        <is>
          <t>Nej</t>
        </is>
      </c>
      <c r="AA660" t="n">
        <v>6</v>
      </c>
      <c r="AB660" t="inlineStr">
        <is>
          <t>Lakvattenhantering</t>
        </is>
      </c>
      <c r="AC660" t="inlineStr">
        <is>
          <t>Flodesschema dagvatten-lakvatten</t>
        </is>
      </c>
      <c r="AD660" t="inlineStr">
        <is>
          <t>Nej</t>
        </is>
      </c>
      <c r="AE660" t="inlineStr">
        <is>
          <t>Nej</t>
        </is>
      </c>
      <c r="AF660" t="inlineStr">
        <is>
          <t>Ej behandlad</t>
        </is>
      </c>
      <c r="AG660" t="inlineStr">
        <is>
          <t>AUTO_GENERERAD. Verifiera citat mot kallfil.</t>
        </is>
      </c>
      <c r="AH660" t="inlineStr">
        <is>
          <t>MEDIUM</t>
        </is>
      </c>
      <c r="AI660" t="inlineStr">
        <is>
          <t>AUTO</t>
        </is>
      </c>
      <c r="AJ660" t="inlineStr">
        <is>
          <t>Nej</t>
        </is>
      </c>
      <c r="AK660" t="inlineStr"/>
      <c r="AL660" t="inlineStr"/>
      <c r="AM660" t="inlineStr"/>
      <c r="AN660" t="inlineStr"/>
      <c r="AO660" t="inlineStr">
        <is>
          <t>cmm4yuqhc03l8cuqwfjrfoy1e</t>
        </is>
      </c>
      <c r="AP660" t="inlineStr">
        <is>
          <t>http://localhost:8787/api/admin/requirements/documents/cmm4yuqhc03l8cuqwfjrfoy1e/view</t>
        </is>
      </c>
      <c r="AQ660">
        <f>HYPERLÄNK("http://localhost:8787/api/admin/requirements/documents/cmm4yuqhc03l8cuqwfjrfoy1e/view";"Öppna PDF")</f>
        <v/>
      </c>
      <c r="AR660">
        <f>HYPERLINK("http://localhost:8787/api/admin/requirements/documents/cmm4yuqhc03l8cuqwfjrfoy1e/view","Open PDF")</f>
        <v/>
      </c>
      <c r="AS660" t="inlineStr">
        <is>
          <t>cmm55w57p0004cuisfrtpqly8</t>
        </is>
      </c>
      <c r="AT660" t="inlineStr">
        <is>
          <t>cmm4xvu980000cuh4vj0usz09</t>
        </is>
      </c>
      <c r="AU660" t="inlineStr"/>
      <c r="AV660" t="inlineStr">
        <is>
          <t>Kommun</t>
        </is>
      </c>
      <c r="AW660" t="inlineStr"/>
      <c r="AX660" t="inlineStr">
        <is>
          <t>2025-10</t>
        </is>
      </c>
      <c r="AY660" t="inlineStr">
        <is>
          <t>Beslut</t>
        </is>
      </c>
      <c r="AZ660" t="inlineStr">
        <is>
          <t>2026-02-05</t>
        </is>
      </c>
      <c r="BA660" t="inlineStr">
        <is>
          <t>251021-MMAVANLAN-CD02 2025-3268.pdf</t>
        </is>
      </c>
      <c r="BB660" t="inlineStr">
        <is>
          <t>Sv: till registrator</t>
        </is>
      </c>
      <c r="BC660" t="inlineStr">
        <is>
          <t>AUTO</t>
        </is>
      </c>
      <c r="BD660" t="inlineStr"/>
      <c r="BE660" t="inlineStr"/>
      <c r="BF660" t="inlineStr">
        <is>
          <t>AUTO_GENERERAD. Bekrafta metadata mot kallfil.</t>
        </is>
      </c>
      <c r="BG660">
        <f>HYPERLINK("C:\Users\jimmy\Desktop\Examens arbete\Kod\Ny mapp\remix_-copy-of-miljöbeslut.se-portal\251021-MMAVANLAN-CD02 2025-3268.pdf", "Öppna PDF")</f>
        <v/>
      </c>
    </row>
    <row r="661">
      <c r="A661" t="inlineStr">
        <is>
          <t>KRAV-AUTO-000660</t>
        </is>
      </c>
      <c r="B661" t="inlineStr">
        <is>
          <t>ADMIN-INDEX-2026-02-27-00000000125C043F57453246863FE664CAFE6A3F0700950291EA24F0614FB6ACEDB12BF0E31D00000000010C0000950291EA24F0614FB6ACEDB12BF0E31D00002087ADF30000</t>
        </is>
      </c>
      <c r="C661" t="inlineStr">
        <is>
          <t>cmm4yuqhu03lqcuqwouj8yl4z</t>
        </is>
      </c>
      <c r="D661" t="inlineStr">
        <is>
          <t>http://localhost:8787/api/admin/requirements/documents/cmm4yuqhu03lqcuqwouj8yl4z/view</t>
        </is>
      </c>
      <c r="E661">
        <f>HYPERLÄNK("http://localhost:8787/api/admin/requirements/documents/cmm4yuqhu03lqcuqwouj8yl4z/view";"Öppna PDF")</f>
        <v/>
      </c>
      <c r="F661">
        <f>HYPERLINK("http://localhost:8787/api/admin/requirements/documents/cmm4yuqhu03lqcuqwouj8yl4z/view","Open PDF")</f>
        <v/>
      </c>
      <c r="G661" t="inlineStr">
        <is>
          <t>cmm55w57p0004cuisfrtpqly8</t>
        </is>
      </c>
      <c r="H661" t="inlineStr">
        <is>
          <t>Beslutsvillkor</t>
        </is>
      </c>
      <c r="I661" t="inlineStr">
        <is>
          <t>LagringsvolymTid</t>
        </is>
      </c>
      <c r="J661" t="inlineStr">
        <is>
          <t>Maxmangd</t>
        </is>
      </c>
      <c r="K661" t="inlineStr">
        <is>
          <t>Resurshushållning Uppskattad energianvändning inom verksamheten Energislag Solenergi, fosila bränslen Uppskattad energimängd (kWh/år) 7000 Har ni valt ”gröna” avtal för till exempel el och/eller fjärrgas?</t>
        </is>
      </c>
      <c r="L661" t="inlineStr">
        <is>
          <t>Resurshushållning Uppskattad energianvändning inom verksamheten Energislag Solenergi, fosila bränslen Uppskattad energimängd (kWh/år) 7000 Har ni valt ”gröna” avtal för till exempel el och/eller fjärrgas?</t>
        </is>
      </c>
      <c r="M661" t="inlineStr">
        <is>
          <t>SKA</t>
        </is>
      </c>
      <c r="N661" t="inlineStr"/>
      <c r="O661" t="inlineStr"/>
      <c r="P661" t="inlineStr"/>
      <c r="Q661" t="inlineStr"/>
      <c r="R661" t="inlineStr">
        <is>
          <t>Alltid</t>
        </is>
      </c>
      <c r="S661" t="inlineStr"/>
      <c r="T661" t="inlineStr">
        <is>
          <t>250707</t>
        </is>
      </c>
      <c r="U661" t="inlineStr"/>
      <c r="V661" t="inlineStr"/>
      <c r="W661" t="inlineStr">
        <is>
          <t>Nej</t>
        </is>
      </c>
      <c r="X661" t="inlineStr">
        <is>
          <t>Nej</t>
        </is>
      </c>
      <c r="Y661" t="inlineStr">
        <is>
          <t>Nej</t>
        </is>
      </c>
      <c r="Z661" t="inlineStr">
        <is>
          <t>Nej</t>
        </is>
      </c>
      <c r="AA661" t="n">
        <v>4</v>
      </c>
      <c r="AB661" t="inlineStr">
        <is>
          <t>Avfallsmangder och lagringstid</t>
        </is>
      </c>
      <c r="AC661" t="inlineStr">
        <is>
          <t>Avfallsforteckning</t>
        </is>
      </c>
      <c r="AD661" t="inlineStr">
        <is>
          <t>Nej</t>
        </is>
      </c>
      <c r="AE661" t="inlineStr">
        <is>
          <t>Nej</t>
        </is>
      </c>
      <c r="AF661" t="inlineStr">
        <is>
          <t>Ej behandlad</t>
        </is>
      </c>
      <c r="AG661" t="inlineStr">
        <is>
          <t>AUTO_GENERERAD. Verifiera citat mot kallfil.</t>
        </is>
      </c>
      <c r="AH661" t="inlineStr">
        <is>
          <t>MEDIUM</t>
        </is>
      </c>
      <c r="AI661" t="inlineStr">
        <is>
          <t>AUTO</t>
        </is>
      </c>
      <c r="AJ661" t="inlineStr">
        <is>
          <t>Nej</t>
        </is>
      </c>
      <c r="AK661" t="inlineStr"/>
      <c r="AL661" t="inlineStr"/>
      <c r="AM661" t="inlineStr"/>
      <c r="AN661" t="inlineStr"/>
      <c r="AO661" t="inlineStr">
        <is>
          <t>cmm4yuqhc03l8cuqwfjrfoy1e</t>
        </is>
      </c>
      <c r="AP661" t="inlineStr">
        <is>
          <t>http://localhost:8787/api/admin/requirements/documents/cmm4yuqhc03l8cuqwfjrfoy1e/view</t>
        </is>
      </c>
      <c r="AQ661">
        <f>HYPERLÄNK("http://localhost:8787/api/admin/requirements/documents/cmm4yuqhc03l8cuqwfjrfoy1e/view";"Öppna PDF")</f>
        <v/>
      </c>
      <c r="AR661">
        <f>HYPERLINK("http://localhost:8787/api/admin/requirements/documents/cmm4yuqhc03l8cuqwfjrfoy1e/view","Open PDF")</f>
        <v/>
      </c>
      <c r="AS661" t="inlineStr">
        <is>
          <t>cmm55w57p0004cuisfrtpqly8</t>
        </is>
      </c>
      <c r="AT661" t="inlineStr">
        <is>
          <t>cmm4xvu980000cuh4vj0usz09</t>
        </is>
      </c>
      <c r="AU661" t="inlineStr"/>
      <c r="AV661" t="inlineStr">
        <is>
          <t>Kommun</t>
        </is>
      </c>
      <c r="AW661" t="inlineStr"/>
      <c r="AX661" t="inlineStr">
        <is>
          <t>2025-10</t>
        </is>
      </c>
      <c r="AY661" t="inlineStr">
        <is>
          <t>Beslut</t>
        </is>
      </c>
      <c r="AZ661" t="inlineStr">
        <is>
          <t>2026-02-05</t>
        </is>
      </c>
      <c r="BA661" t="inlineStr">
        <is>
          <t>251021-MMAVANLAN-CD02 2025-3268.pdf</t>
        </is>
      </c>
      <c r="BB661" t="inlineStr">
        <is>
          <t>Sv: till registrator</t>
        </is>
      </c>
      <c r="BC661" t="inlineStr">
        <is>
          <t>AUTO</t>
        </is>
      </c>
      <c r="BD661" t="inlineStr"/>
      <c r="BE661" t="inlineStr"/>
      <c r="BF661" t="inlineStr">
        <is>
          <t>AUTO_GENERERAD. Bekrafta metadata mot kallfil.</t>
        </is>
      </c>
      <c r="BG661">
        <f>HYPERLINK("C:\Users\jimmy\Desktop\Examens arbete\Kod\Ny mapp\remix_-copy-of-miljöbeslut.se-portal\251021-MMAVANLAN-CD02 2025-3268.pdf", "Öppna PDF")</f>
        <v/>
      </c>
    </row>
    <row r="662">
      <c r="A662" t="inlineStr">
        <is>
          <t>KRAV-AUTO-000661</t>
        </is>
      </c>
      <c r="B662" t="inlineStr">
        <is>
          <t>ADMIN-INDEX-2026-02-27-00000000125C043F57453246863FE664CAFE6A3F0700950291EA24F0614FB6ACEDB12BF0E31D00000000010C0000950291EA24F0614FB6ACEDB12BF0E31D00002087ADF30000</t>
        </is>
      </c>
      <c r="C662" t="inlineStr">
        <is>
          <t>cmm4yuqhl03lhcuqw7dml2qns</t>
        </is>
      </c>
      <c r="D662" t="inlineStr">
        <is>
          <t>http://localhost:8787/api/admin/requirements/documents/cmm4yuqhl03lhcuqw7dml2qns/view</t>
        </is>
      </c>
      <c r="E662">
        <f>HYPERLÄNK("http://localhost:8787/api/admin/requirements/documents/cmm4yuqhl03lhcuqw7dml2qns/view";"Öppna PDF")</f>
        <v/>
      </c>
      <c r="F662">
        <f>HYPERLINK("http://localhost:8787/api/admin/requirements/documents/cmm4yuqhl03lhcuqw7dml2qns/view","Open PDF")</f>
        <v/>
      </c>
      <c r="G662" t="inlineStr">
        <is>
          <t>cmm55w57p0004cuisfrtpqly8</t>
        </is>
      </c>
      <c r="H662" t="inlineStr">
        <is>
          <t>Beslutsvillkor</t>
        </is>
      </c>
      <c r="I662" t="inlineStr">
        <is>
          <t>LagringsvolymTid</t>
        </is>
      </c>
      <c r="J662" t="inlineStr">
        <is>
          <t>Maxmangd</t>
        </is>
      </c>
      <c r="K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662" t="inlineStr">
        <is>
          <t>SKA</t>
        </is>
      </c>
      <c r="N662" t="inlineStr"/>
      <c r="O662" t="inlineStr"/>
      <c r="P662" t="inlineStr"/>
      <c r="Q662" t="inlineStr"/>
      <c r="R662" t="inlineStr">
        <is>
          <t>Alltid</t>
        </is>
      </c>
      <c r="S662" t="inlineStr"/>
      <c r="T662" t="inlineStr">
        <is>
          <t>241023</t>
        </is>
      </c>
      <c r="U662" t="inlineStr"/>
      <c r="V662" t="inlineStr"/>
      <c r="W662" t="inlineStr">
        <is>
          <t>Nej</t>
        </is>
      </c>
      <c r="X662" t="inlineStr">
        <is>
          <t>Nej</t>
        </is>
      </c>
      <c r="Y662" t="inlineStr">
        <is>
          <t>Nej</t>
        </is>
      </c>
      <c r="Z662" t="inlineStr">
        <is>
          <t>Nej</t>
        </is>
      </c>
      <c r="AA662" t="n">
        <v>4</v>
      </c>
      <c r="AB662" t="inlineStr">
        <is>
          <t>Avfallsmangder och lagringstid</t>
        </is>
      </c>
      <c r="AC662" t="inlineStr">
        <is>
          <t>Avfallsforteckning</t>
        </is>
      </c>
      <c r="AD662" t="inlineStr">
        <is>
          <t>Nej</t>
        </is>
      </c>
      <c r="AE662" t="inlineStr">
        <is>
          <t>Nej</t>
        </is>
      </c>
      <c r="AF662" t="inlineStr">
        <is>
          <t>Ej behandlad</t>
        </is>
      </c>
      <c r="AG662" t="inlineStr">
        <is>
          <t>AUTO_GENERERAD. Verifiera citat mot kallfil.</t>
        </is>
      </c>
      <c r="AH662" t="inlineStr">
        <is>
          <t>MEDIUM</t>
        </is>
      </c>
      <c r="AI662" t="inlineStr">
        <is>
          <t>AUTO</t>
        </is>
      </c>
      <c r="AJ662" t="inlineStr">
        <is>
          <t>Nej</t>
        </is>
      </c>
      <c r="AK662" t="inlineStr"/>
      <c r="AL662" t="inlineStr"/>
      <c r="AM662" t="inlineStr"/>
      <c r="AN662" t="inlineStr"/>
      <c r="AO662" t="inlineStr">
        <is>
          <t>cmm4yuqhc03l8cuqwfjrfoy1e</t>
        </is>
      </c>
      <c r="AP662" t="inlineStr">
        <is>
          <t>http://localhost:8787/api/admin/requirements/documents/cmm4yuqhc03l8cuqwfjrfoy1e/view</t>
        </is>
      </c>
      <c r="AQ662">
        <f>HYPERLÄNK("http://localhost:8787/api/admin/requirements/documents/cmm4yuqhc03l8cuqwfjrfoy1e/view";"Öppna PDF")</f>
        <v/>
      </c>
      <c r="AR662">
        <f>HYPERLINK("http://localhost:8787/api/admin/requirements/documents/cmm4yuqhc03l8cuqwfjrfoy1e/view","Open PDF")</f>
        <v/>
      </c>
      <c r="AS662" t="inlineStr">
        <is>
          <t>cmm55w57p0004cuisfrtpqly8</t>
        </is>
      </c>
      <c r="AT662" t="inlineStr">
        <is>
          <t>cmm4xvu980000cuh4vj0usz09</t>
        </is>
      </c>
      <c r="AU662" t="inlineStr"/>
      <c r="AV662" t="inlineStr">
        <is>
          <t>Kommun</t>
        </is>
      </c>
      <c r="AW662" t="inlineStr"/>
      <c r="AX662" t="inlineStr">
        <is>
          <t>2025-10</t>
        </is>
      </c>
      <c r="AY662" t="inlineStr">
        <is>
          <t>Beslut</t>
        </is>
      </c>
      <c r="AZ662" t="inlineStr">
        <is>
          <t>2026-02-05</t>
        </is>
      </c>
      <c r="BA662" t="inlineStr">
        <is>
          <t>251021-MMAVANLAN-CD02 2025-3268.pdf</t>
        </is>
      </c>
      <c r="BB662" t="inlineStr">
        <is>
          <t>Sv: till registrator</t>
        </is>
      </c>
      <c r="BC662" t="inlineStr">
        <is>
          <t>AUTO</t>
        </is>
      </c>
      <c r="BD662" t="inlineStr"/>
      <c r="BE662" t="inlineStr"/>
      <c r="BF662" t="inlineStr">
        <is>
          <t>AUTO_GENERERAD. Bekrafta metadata mot kallfil.</t>
        </is>
      </c>
      <c r="BG662">
        <f>HYPERLINK("C:\Users\jimmy\Desktop\Examens arbete\Kod\Ny mapp\remix_-copy-of-miljöbeslut.se-portal\251021-MMAVANLAN-CD02 2025-3268.pdf", "Öppna PDF")</f>
        <v/>
      </c>
    </row>
    <row r="663">
      <c r="A663" t="inlineStr">
        <is>
          <t>KRAV-AUTO-000662</t>
        </is>
      </c>
      <c r="B663" t="inlineStr">
        <is>
          <t>ADMIN-INDEX-2026-02-27-00000000125C043F57453246863FE664CAFE6A3F0700950291EA24F0614FB6ACEDB12BF0E31D00000000010C0000950291EA24F0614FB6ACEDB12BF0E31D00002087ADF30000</t>
        </is>
      </c>
      <c r="C663" t="inlineStr">
        <is>
          <t>cmm4yuqhf03lbcuqwkf5fi8p1</t>
        </is>
      </c>
      <c r="D663" t="inlineStr">
        <is>
          <t>http://localhost:8787/api/admin/requirements/documents/cmm4yuqhf03lbcuqwkf5fi8p1/view</t>
        </is>
      </c>
      <c r="E663">
        <f>HYPERLÄNK("http://localhost:8787/api/admin/requirements/documents/cmm4yuqhf03lbcuqwkf5fi8p1/view";"Öppna PDF")</f>
        <v/>
      </c>
      <c r="F663">
        <f>HYPERLINK("http://localhost:8787/api/admin/requirements/documents/cmm4yuqhf03lbcuqwkf5fi8p1/view","Open PDF")</f>
        <v/>
      </c>
      <c r="G663" t="inlineStr">
        <is>
          <t>cmm55w57p0004cuisfrtpqly8</t>
        </is>
      </c>
      <c r="H663" t="inlineStr">
        <is>
          <t>Informationskrav</t>
        </is>
      </c>
      <c r="I663" t="inlineStr">
        <is>
          <t>LagringsvolymTid</t>
        </is>
      </c>
      <c r="J663" t="inlineStr">
        <is>
          <t>Maxmangd</t>
        </is>
      </c>
      <c r="K663" t="inlineStr">
        <is>
          <t>Det avfall som tas emot vid verksamheten ska åtföljas av dokumentation som anger mottagningsdatum, mängd, avfallstyp med avfallskod samt vart avfallet kommer ifrån.</t>
        </is>
      </c>
      <c r="L663" t="inlineStr">
        <is>
          <t>Det avfall som tas emot vid verksamheten ska åtföljas av dokumentation som anger mottagningsdatum, mängd, avfallstyp med avfallskod samt vart avfallet kommer ifrån.</t>
        </is>
      </c>
      <c r="M663" t="inlineStr">
        <is>
          <t>SKA</t>
        </is>
      </c>
      <c r="N663" t="inlineStr"/>
      <c r="O663" t="inlineStr"/>
      <c r="P663" t="inlineStr"/>
      <c r="Q663" t="inlineStr"/>
      <c r="R663" t="inlineStr">
        <is>
          <t>Alltid</t>
        </is>
      </c>
      <c r="S663" t="inlineStr"/>
      <c r="T663" t="inlineStr">
        <is>
          <t>14 0340</t>
        </is>
      </c>
      <c r="U663" t="inlineStr"/>
      <c r="V663" t="inlineStr"/>
      <c r="W663" t="inlineStr">
        <is>
          <t>Nej</t>
        </is>
      </c>
      <c r="X663" t="inlineStr">
        <is>
          <t>Nej</t>
        </is>
      </c>
      <c r="Y663" t="inlineStr">
        <is>
          <t>Nej</t>
        </is>
      </c>
      <c r="Z663" t="inlineStr">
        <is>
          <t>Nej</t>
        </is>
      </c>
      <c r="AA663" t="n">
        <v>4</v>
      </c>
      <c r="AB663" t="inlineStr">
        <is>
          <t>Avfallsmangder och lagringstid</t>
        </is>
      </c>
      <c r="AC663" t="inlineStr">
        <is>
          <t>Avfallsforteckning</t>
        </is>
      </c>
      <c r="AD663" t="inlineStr">
        <is>
          <t>Nej</t>
        </is>
      </c>
      <c r="AE663" t="inlineStr">
        <is>
          <t>Nej</t>
        </is>
      </c>
      <c r="AF663" t="inlineStr">
        <is>
          <t>Ej behandlad</t>
        </is>
      </c>
      <c r="AG663" t="inlineStr">
        <is>
          <t>AUTO_GENERERAD. Verifiera citat mot kallfil.</t>
        </is>
      </c>
      <c r="AH663" t="inlineStr">
        <is>
          <t>MEDIUM</t>
        </is>
      </c>
      <c r="AI663" t="inlineStr">
        <is>
          <t>AUTO</t>
        </is>
      </c>
      <c r="AJ663" t="inlineStr">
        <is>
          <t>Nej</t>
        </is>
      </c>
      <c r="AK663" t="inlineStr"/>
      <c r="AL663" t="inlineStr"/>
      <c r="AM663" t="inlineStr"/>
      <c r="AN663" t="inlineStr"/>
      <c r="AO663" t="inlineStr">
        <is>
          <t>cmm4yuqhc03l8cuqwfjrfoy1e</t>
        </is>
      </c>
      <c r="AP663" t="inlineStr">
        <is>
          <t>http://localhost:8787/api/admin/requirements/documents/cmm4yuqhc03l8cuqwfjrfoy1e/view</t>
        </is>
      </c>
      <c r="AQ663">
        <f>HYPERLÄNK("http://localhost:8787/api/admin/requirements/documents/cmm4yuqhc03l8cuqwfjrfoy1e/view";"Öppna PDF")</f>
        <v/>
      </c>
      <c r="AR663">
        <f>HYPERLINK("http://localhost:8787/api/admin/requirements/documents/cmm4yuqhc03l8cuqwfjrfoy1e/view","Open PDF")</f>
        <v/>
      </c>
      <c r="AS663" t="inlineStr">
        <is>
          <t>cmm55w57p0004cuisfrtpqly8</t>
        </is>
      </c>
      <c r="AT663" t="inlineStr">
        <is>
          <t>cmm4xvu980000cuh4vj0usz09</t>
        </is>
      </c>
      <c r="AU663" t="inlineStr"/>
      <c r="AV663" t="inlineStr">
        <is>
          <t>Kommun</t>
        </is>
      </c>
      <c r="AW663" t="inlineStr"/>
      <c r="AX663" t="inlineStr">
        <is>
          <t>2025-10</t>
        </is>
      </c>
      <c r="AY663" t="inlineStr">
        <is>
          <t>Beslut</t>
        </is>
      </c>
      <c r="AZ663" t="inlineStr">
        <is>
          <t>2026-02-05</t>
        </is>
      </c>
      <c r="BA663" t="inlineStr">
        <is>
          <t>251021-MMAVANLAN-CD02 2025-3268.pdf</t>
        </is>
      </c>
      <c r="BB663" t="inlineStr">
        <is>
          <t>Sv: till registrator</t>
        </is>
      </c>
      <c r="BC663" t="inlineStr">
        <is>
          <t>AUTO</t>
        </is>
      </c>
      <c r="BD663" t="inlineStr"/>
      <c r="BE663" t="inlineStr"/>
      <c r="BF663" t="inlineStr">
        <is>
          <t>AUTO_GENERERAD. Bekrafta metadata mot kallfil.</t>
        </is>
      </c>
      <c r="BG663">
        <f>HYPERLINK("C:\Users\jimmy\Desktop\Examens arbete\Kod\Ny mapp\remix_-copy-of-miljöbeslut.se-portal\251021-MMAVANLAN-CD02 2025-3268.pdf", "Öppna PDF")</f>
        <v/>
      </c>
    </row>
    <row r="664">
      <c r="A664" t="inlineStr">
        <is>
          <t>KRAV-AUTO-000663</t>
        </is>
      </c>
      <c r="B664" t="inlineStr">
        <is>
          <t>ADMIN-INDEX-2026-02-27-00000000125C043F57453246863FE664CAFE6A3F0700950291EA24F0614FB6ACEDB12BF0E31D00000000010C0000950291EA24F0614FB6ACEDB12BF0E31D00002087ADF30000</t>
        </is>
      </c>
      <c r="C664" t="inlineStr">
        <is>
          <t>cmm4yuqhf03lbcuqwkf5fi8p1</t>
        </is>
      </c>
      <c r="D664" t="inlineStr">
        <is>
          <t>http://localhost:8787/api/admin/requirements/documents/cmm4yuqhf03lbcuqwkf5fi8p1/view</t>
        </is>
      </c>
      <c r="E664">
        <f>HYPERLÄNK("http://localhost:8787/api/admin/requirements/documents/cmm4yuqhf03lbcuqwkf5fi8p1/view";"Öppna PDF")</f>
        <v/>
      </c>
      <c r="F664">
        <f>HYPERLINK("http://localhost:8787/api/admin/requirements/documents/cmm4yuqhf03lbcuqwkf5fi8p1/view","Open PDF")</f>
        <v/>
      </c>
      <c r="G664" t="inlineStr">
        <is>
          <t>cmm55w57p0004cuisfrtpqly8</t>
        </is>
      </c>
      <c r="H664" t="inlineStr">
        <is>
          <t>Informationskrav</t>
        </is>
      </c>
      <c r="I664" t="inlineStr">
        <is>
          <t>LagringsvolymTid</t>
        </is>
      </c>
      <c r="J664" t="inlineStr">
        <is>
          <t>Maxmangd</t>
        </is>
      </c>
      <c r="K664" t="inlineStr">
        <is>
          <t>Om hörbara toner förekommer ska de angivna värdena sänkas med 5 dB (A)-enheter.</t>
        </is>
      </c>
      <c r="L664" t="inlineStr">
        <is>
          <t>Om hörbara toner förekommer ska de angivna värdena sänkas med 5 dB (A)-enheter.</t>
        </is>
      </c>
      <c r="M664" t="inlineStr">
        <is>
          <t>SKA</t>
        </is>
      </c>
      <c r="N664" t="inlineStr"/>
      <c r="O664" t="inlineStr"/>
      <c r="P664" t="inlineStr"/>
      <c r="Q664" t="inlineStr"/>
      <c r="R664" t="inlineStr">
        <is>
          <t>Alltid</t>
        </is>
      </c>
      <c r="S664" t="inlineStr"/>
      <c r="T664" t="inlineStr">
        <is>
          <t>14 0340</t>
        </is>
      </c>
      <c r="U664" t="inlineStr"/>
      <c r="V664" t="inlineStr"/>
      <c r="W664" t="inlineStr">
        <is>
          <t>Nej</t>
        </is>
      </c>
      <c r="X664" t="inlineStr">
        <is>
          <t>Nej</t>
        </is>
      </c>
      <c r="Y664" t="inlineStr">
        <is>
          <t>Nej</t>
        </is>
      </c>
      <c r="Z664" t="inlineStr">
        <is>
          <t>Nej</t>
        </is>
      </c>
      <c r="AA664" t="n">
        <v>4</v>
      </c>
      <c r="AB664" t="inlineStr">
        <is>
          <t>Avfallsmangder och lagringstid</t>
        </is>
      </c>
      <c r="AC664" t="inlineStr">
        <is>
          <t>Avfallsforteckning</t>
        </is>
      </c>
      <c r="AD664" t="inlineStr">
        <is>
          <t>Nej</t>
        </is>
      </c>
      <c r="AE664" t="inlineStr">
        <is>
          <t>Nej</t>
        </is>
      </c>
      <c r="AF664" t="inlineStr">
        <is>
          <t>Ej behandlad</t>
        </is>
      </c>
      <c r="AG664" t="inlineStr">
        <is>
          <t>AUTO_GENERERAD. Verifiera citat mot kallfil.</t>
        </is>
      </c>
      <c r="AH664" t="inlineStr">
        <is>
          <t>MEDIUM</t>
        </is>
      </c>
      <c r="AI664" t="inlineStr">
        <is>
          <t>AUTO</t>
        </is>
      </c>
      <c r="AJ664" t="inlineStr">
        <is>
          <t>Nej</t>
        </is>
      </c>
      <c r="AK664" t="inlineStr"/>
      <c r="AL664" t="inlineStr"/>
      <c r="AM664" t="inlineStr"/>
      <c r="AN664" t="inlineStr"/>
      <c r="AO664" t="inlineStr">
        <is>
          <t>cmm4yuqhc03l8cuqwfjrfoy1e</t>
        </is>
      </c>
      <c r="AP664" t="inlineStr">
        <is>
          <t>http://localhost:8787/api/admin/requirements/documents/cmm4yuqhc03l8cuqwfjrfoy1e/view</t>
        </is>
      </c>
      <c r="AQ664">
        <f>HYPERLÄNK("http://localhost:8787/api/admin/requirements/documents/cmm4yuqhc03l8cuqwfjrfoy1e/view";"Öppna PDF")</f>
        <v/>
      </c>
      <c r="AR664">
        <f>HYPERLINK("http://localhost:8787/api/admin/requirements/documents/cmm4yuqhc03l8cuqwfjrfoy1e/view","Open PDF")</f>
        <v/>
      </c>
      <c r="AS664" t="inlineStr">
        <is>
          <t>cmm55w57p0004cuisfrtpqly8</t>
        </is>
      </c>
      <c r="AT664" t="inlineStr">
        <is>
          <t>cmm4xvu980000cuh4vj0usz09</t>
        </is>
      </c>
      <c r="AU664" t="inlineStr"/>
      <c r="AV664" t="inlineStr">
        <is>
          <t>Kommun</t>
        </is>
      </c>
      <c r="AW664" t="inlineStr"/>
      <c r="AX664" t="inlineStr">
        <is>
          <t>2025-10</t>
        </is>
      </c>
      <c r="AY664" t="inlineStr">
        <is>
          <t>Beslut</t>
        </is>
      </c>
      <c r="AZ664" t="inlineStr">
        <is>
          <t>2026-02-05</t>
        </is>
      </c>
      <c r="BA664" t="inlineStr">
        <is>
          <t>251021-MMAVANLAN-CD02 2025-3268.pdf</t>
        </is>
      </c>
      <c r="BB664" t="inlineStr">
        <is>
          <t>Sv: till registrator</t>
        </is>
      </c>
      <c r="BC664" t="inlineStr">
        <is>
          <t>AUTO</t>
        </is>
      </c>
      <c r="BD664" t="inlineStr"/>
      <c r="BE664" t="inlineStr"/>
      <c r="BF664" t="inlineStr">
        <is>
          <t>AUTO_GENERERAD. Bekrafta metadata mot kallfil.</t>
        </is>
      </c>
      <c r="BG664">
        <f>HYPERLINK("C:\Users\jimmy\Desktop\Examens arbete\Kod\Ny mapp\remix_-copy-of-miljöbeslut.se-portal\251021-MMAVANLAN-CD02 2025-3268.pdf", "Öppna PDF")</f>
        <v/>
      </c>
    </row>
    <row r="665">
      <c r="A665" t="inlineStr">
        <is>
          <t>KRAV-AUTO-000664</t>
        </is>
      </c>
      <c r="B665" t="inlineStr">
        <is>
          <t>ADMIN-INDEX-2026-02-27-00000000125C043F57453246863FE664CAFE6A3F0700950291EA24F0614FB6ACEDB12BF0E31D00000000010C0000950291EA24F0614FB6ACEDB12BF0E31D00002087ADF30000</t>
        </is>
      </c>
      <c r="C665" t="inlineStr">
        <is>
          <t>cmm4yuqhf03lbcuqwkf5fi8p1</t>
        </is>
      </c>
      <c r="D665" t="inlineStr">
        <is>
          <t>http://localhost:8787/api/admin/requirements/documents/cmm4yuqhf03lbcuqwkf5fi8p1/view</t>
        </is>
      </c>
      <c r="E665">
        <f>HYPERLÄNK("http://localhost:8787/api/admin/requirements/documents/cmm4yuqhf03lbcuqwkf5fi8p1/view";"Öppna PDF")</f>
        <v/>
      </c>
      <c r="F665">
        <f>HYPERLINK("http://localhost:8787/api/admin/requirements/documents/cmm4yuqhf03lbcuqwkf5fi8p1/view","Open PDF")</f>
        <v/>
      </c>
      <c r="G665" t="inlineStr">
        <is>
          <t>cmm55w57p0004cuisfrtpqly8</t>
        </is>
      </c>
      <c r="H665" t="inlineStr">
        <is>
          <t>Informationskrav</t>
        </is>
      </c>
      <c r="I665" t="inlineStr">
        <is>
          <t>LagringsvolymTid</t>
        </is>
      </c>
      <c r="J665" t="inlineStr">
        <is>
          <t>Maxmangd</t>
        </is>
      </c>
      <c r="K665" t="inlineStr">
        <is>
          <t>I verksamheten används gas och uppskattad energimängd uppgår till 30 000 kWh/år.</t>
        </is>
      </c>
      <c r="L665" t="inlineStr">
        <is>
          <t>I verksamheten används gas och uppskattad energimängd uppgår till 30 000 kWh/år.</t>
        </is>
      </c>
      <c r="M665" t="inlineStr">
        <is>
          <t>SKA</t>
        </is>
      </c>
      <c r="N665" t="inlineStr"/>
      <c r="O665" t="inlineStr"/>
      <c r="P665" t="inlineStr"/>
      <c r="Q665" t="inlineStr"/>
      <c r="R665" t="inlineStr">
        <is>
          <t>Alltid</t>
        </is>
      </c>
      <c r="S665" t="inlineStr"/>
      <c r="T665" t="inlineStr">
        <is>
          <t>14 0340</t>
        </is>
      </c>
      <c r="U665" t="inlineStr"/>
      <c r="V665" t="inlineStr"/>
      <c r="W665" t="inlineStr">
        <is>
          <t>Nej</t>
        </is>
      </c>
      <c r="X665" t="inlineStr">
        <is>
          <t>Nej</t>
        </is>
      </c>
      <c r="Y665" t="inlineStr">
        <is>
          <t>Nej</t>
        </is>
      </c>
      <c r="Z665" t="inlineStr">
        <is>
          <t>Nej</t>
        </is>
      </c>
      <c r="AA665" t="n">
        <v>4</v>
      </c>
      <c r="AB665" t="inlineStr">
        <is>
          <t>Avfallsmangder och lagringstid</t>
        </is>
      </c>
      <c r="AC665" t="inlineStr">
        <is>
          <t>Avfallsforteckning</t>
        </is>
      </c>
      <c r="AD665" t="inlineStr">
        <is>
          <t>Nej</t>
        </is>
      </c>
      <c r="AE665" t="inlineStr">
        <is>
          <t>Nej</t>
        </is>
      </c>
      <c r="AF665" t="inlineStr">
        <is>
          <t>Ej behandlad</t>
        </is>
      </c>
      <c r="AG665" t="inlineStr">
        <is>
          <t>AUTO_GENERERAD. Verifiera citat mot kallfil.</t>
        </is>
      </c>
      <c r="AH665" t="inlineStr">
        <is>
          <t>MEDIUM</t>
        </is>
      </c>
      <c r="AI665" t="inlineStr">
        <is>
          <t>AUTO</t>
        </is>
      </c>
      <c r="AJ665" t="inlineStr">
        <is>
          <t>Nej</t>
        </is>
      </c>
      <c r="AK665" t="inlineStr"/>
      <c r="AL665" t="inlineStr"/>
      <c r="AM665" t="inlineStr"/>
      <c r="AN665" t="inlineStr"/>
      <c r="AO665" t="inlineStr">
        <is>
          <t>cmm4yuqhc03l8cuqwfjrfoy1e</t>
        </is>
      </c>
      <c r="AP665" t="inlineStr">
        <is>
          <t>http://localhost:8787/api/admin/requirements/documents/cmm4yuqhc03l8cuqwfjrfoy1e/view</t>
        </is>
      </c>
      <c r="AQ665">
        <f>HYPERLÄNK("http://localhost:8787/api/admin/requirements/documents/cmm4yuqhc03l8cuqwfjrfoy1e/view";"Öppna PDF")</f>
        <v/>
      </c>
      <c r="AR665">
        <f>HYPERLINK("http://localhost:8787/api/admin/requirements/documents/cmm4yuqhc03l8cuqwfjrfoy1e/view","Open PDF")</f>
        <v/>
      </c>
      <c r="AS665" t="inlineStr">
        <is>
          <t>cmm55w57p0004cuisfrtpqly8</t>
        </is>
      </c>
      <c r="AT665" t="inlineStr">
        <is>
          <t>cmm4xvu980000cuh4vj0usz09</t>
        </is>
      </c>
      <c r="AU665" t="inlineStr"/>
      <c r="AV665" t="inlineStr">
        <is>
          <t>Kommun</t>
        </is>
      </c>
      <c r="AW665" t="inlineStr"/>
      <c r="AX665" t="inlineStr">
        <is>
          <t>2025-10</t>
        </is>
      </c>
      <c r="AY665" t="inlineStr">
        <is>
          <t>Beslut</t>
        </is>
      </c>
      <c r="AZ665" t="inlineStr">
        <is>
          <t>2026-02-05</t>
        </is>
      </c>
      <c r="BA665" t="inlineStr">
        <is>
          <t>251021-MMAVANLAN-CD02 2025-3268.pdf</t>
        </is>
      </c>
      <c r="BB665" t="inlineStr">
        <is>
          <t>Sv: till registrator</t>
        </is>
      </c>
      <c r="BC665" t="inlineStr">
        <is>
          <t>AUTO</t>
        </is>
      </c>
      <c r="BD665" t="inlineStr"/>
      <c r="BE665" t="inlineStr"/>
      <c r="BF665" t="inlineStr">
        <is>
          <t>AUTO_GENERERAD. Bekrafta metadata mot kallfil.</t>
        </is>
      </c>
      <c r="BG665">
        <f>HYPERLINK("C:\Users\jimmy\Desktop\Examens arbete\Kod\Ny mapp\remix_-copy-of-miljöbeslut.se-portal\251021-MMAVANLAN-CD02 2025-3268.pdf", "Öppna PDF")</f>
        <v/>
      </c>
    </row>
    <row r="666">
      <c r="A666" t="inlineStr">
        <is>
          <t>KRAV-AUTO-000665</t>
        </is>
      </c>
      <c r="B666" t="inlineStr">
        <is>
          <t>ADMIN-INDEX-2026-02-27-00000000125C043F57453246863FE664CAFE6A3F0700950291EA24F0614FB6ACEDB12BF0E31D00000000010C0000950291EA24F0614FB6ACEDB12BF0E31D00002087ADF30000</t>
        </is>
      </c>
      <c r="C666" t="inlineStr">
        <is>
          <t>cmm4yuqgz03kwcuqwd6url55e</t>
        </is>
      </c>
      <c r="D666" t="inlineStr">
        <is>
          <t>http://localhost:8787/api/admin/requirements/documents/cmm4yuqgz03kwcuqwd6url55e/view</t>
        </is>
      </c>
      <c r="E666">
        <f>HYPERLÄNK("http://localhost:8787/api/admin/requirements/documents/cmm4yuqgz03kwcuqwd6url55e/view";"Öppna PDF")</f>
        <v/>
      </c>
      <c r="F666">
        <f>HYPERLINK("http://localhost:8787/api/admin/requirements/documents/cmm4yuqgz03kwcuqwd6url55e/view","Open PDF")</f>
        <v/>
      </c>
      <c r="G666" t="inlineStr">
        <is>
          <t>cmm55w57p0004cuisfrtpqly8</t>
        </is>
      </c>
      <c r="H666" t="inlineStr">
        <is>
          <t>Informationskrav</t>
        </is>
      </c>
      <c r="I666" t="inlineStr">
        <is>
          <t>LagringsvolymTid</t>
        </is>
      </c>
      <c r="J666" t="inlineStr">
        <is>
          <t>Maxmangd</t>
        </is>
      </c>
      <c r="K666" t="inlineStr">
        <is>
          <t>Antal lastbilstransporter beräknas till ca 20 per dag och totalmängden massor uppskattas till 10 000 ton.</t>
        </is>
      </c>
      <c r="L666" t="inlineStr">
        <is>
          <t>Antal lastbilstransporter beräknas till ca 20 per dag och totalmängden massor uppskattas till 10 000 ton.</t>
        </is>
      </c>
      <c r="M666" t="inlineStr">
        <is>
          <t>SKA</t>
        </is>
      </c>
      <c r="N666" t="inlineStr"/>
      <c r="O666" t="inlineStr"/>
      <c r="P666" t="inlineStr"/>
      <c r="Q666" t="inlineStr"/>
      <c r="R666" t="inlineStr">
        <is>
          <t>Alltid</t>
        </is>
      </c>
      <c r="S666" t="inlineStr"/>
      <c r="T666" t="inlineStr">
        <is>
          <t>14 0340</t>
        </is>
      </c>
      <c r="U666" t="n">
        <v>0</v>
      </c>
      <c r="V666" t="inlineStr"/>
      <c r="W666" t="inlineStr">
        <is>
          <t>Nej</t>
        </is>
      </c>
      <c r="X666" t="inlineStr">
        <is>
          <t>Nej</t>
        </is>
      </c>
      <c r="Y666" t="inlineStr">
        <is>
          <t>Nej</t>
        </is>
      </c>
      <c r="Z666" t="inlineStr">
        <is>
          <t>Nej</t>
        </is>
      </c>
      <c r="AA666" t="n">
        <v>4</v>
      </c>
      <c r="AB666" t="inlineStr">
        <is>
          <t>Avfallsmangder och lagringstid</t>
        </is>
      </c>
      <c r="AC666" t="inlineStr">
        <is>
          <t>Avfallsforteckning</t>
        </is>
      </c>
      <c r="AD666" t="inlineStr">
        <is>
          <t>Nej</t>
        </is>
      </c>
      <c r="AE666" t="inlineStr">
        <is>
          <t>Nej</t>
        </is>
      </c>
      <c r="AF666" t="inlineStr">
        <is>
          <t>Ej behandlad</t>
        </is>
      </c>
      <c r="AG666" t="inlineStr">
        <is>
          <t>AUTO_GENERERAD. Verifiera citat mot kallfil.</t>
        </is>
      </c>
      <c r="AH666" t="inlineStr">
        <is>
          <t>MEDIUM</t>
        </is>
      </c>
      <c r="AI666" t="inlineStr">
        <is>
          <t>AUTO</t>
        </is>
      </c>
      <c r="AJ666" t="inlineStr">
        <is>
          <t>Nej</t>
        </is>
      </c>
      <c r="AK666" t="inlineStr"/>
      <c r="AL666" t="inlineStr"/>
      <c r="AM666" t="inlineStr"/>
      <c r="AN666" t="inlineStr"/>
      <c r="AO666" t="inlineStr">
        <is>
          <t>cmm4yuqhc03l8cuqwfjrfoy1e</t>
        </is>
      </c>
      <c r="AP666" t="inlineStr">
        <is>
          <t>http://localhost:8787/api/admin/requirements/documents/cmm4yuqhc03l8cuqwfjrfoy1e/view</t>
        </is>
      </c>
      <c r="AQ666">
        <f>HYPERLÄNK("http://localhost:8787/api/admin/requirements/documents/cmm4yuqhc03l8cuqwfjrfoy1e/view";"Öppna PDF")</f>
        <v/>
      </c>
      <c r="AR666">
        <f>HYPERLINK("http://localhost:8787/api/admin/requirements/documents/cmm4yuqhc03l8cuqwfjrfoy1e/view","Open PDF")</f>
        <v/>
      </c>
      <c r="AS666" t="inlineStr">
        <is>
          <t>cmm55w57p0004cuisfrtpqly8</t>
        </is>
      </c>
      <c r="AT666" t="inlineStr">
        <is>
          <t>cmm4xvu980000cuh4vj0usz09</t>
        </is>
      </c>
      <c r="AU666" t="inlineStr"/>
      <c r="AV666" t="inlineStr">
        <is>
          <t>Kommun</t>
        </is>
      </c>
      <c r="AW666" t="inlineStr"/>
      <c r="AX666" t="inlineStr">
        <is>
          <t>2025-10</t>
        </is>
      </c>
      <c r="AY666" t="inlineStr">
        <is>
          <t>Beslut</t>
        </is>
      </c>
      <c r="AZ666" t="inlineStr">
        <is>
          <t>2026-02-05</t>
        </is>
      </c>
      <c r="BA666" t="inlineStr">
        <is>
          <t>251021-MMAVANLAN-CD02 2025-3268.pdf</t>
        </is>
      </c>
      <c r="BB666" t="inlineStr">
        <is>
          <t>Sv: till registrator</t>
        </is>
      </c>
      <c r="BC666" t="inlineStr">
        <is>
          <t>AUTO</t>
        </is>
      </c>
      <c r="BD666" t="inlineStr"/>
      <c r="BE666" t="inlineStr"/>
      <c r="BF666" t="inlineStr">
        <is>
          <t>AUTO_GENERERAD. Bekrafta metadata mot kallfil.</t>
        </is>
      </c>
      <c r="BG666">
        <f>HYPERLINK("C:\Users\jimmy\Desktop\Examens arbete\Kod\Ny mapp\remix_-copy-of-miljöbeslut.se-portal\251021-MMAVANLAN-CD02 2025-3268.pdf", "Öppna PDF")</f>
        <v/>
      </c>
    </row>
    <row r="667">
      <c r="A667" t="inlineStr">
        <is>
          <t>KRAV-AUTO-000666</t>
        </is>
      </c>
      <c r="B667" t="inlineStr">
        <is>
          <t>ADMIN-INDEX-2026-02-27-00000000125C043F57453246863FE664CAFE6A3F0700950291EA24F0614FB6ACEDB12BF0E31D00000000010C0000950291EA24F0614FB6ACEDB12BF0E31D00002087ADF30000</t>
        </is>
      </c>
      <c r="C667" t="inlineStr">
        <is>
          <t>cmm4yuqgz03kwcuqwd6url55e</t>
        </is>
      </c>
      <c r="D667" t="inlineStr">
        <is>
          <t>http://localhost:8787/api/admin/requirements/documents/cmm4yuqgz03kwcuqwd6url55e/view</t>
        </is>
      </c>
      <c r="E667">
        <f>HYPERLÄNK("http://localhost:8787/api/admin/requirements/documents/cmm4yuqgz03kwcuqwd6url55e/view";"Öppna PDF")</f>
        <v/>
      </c>
      <c r="F667">
        <f>HYPERLINK("http://localhost:8787/api/admin/requirements/documents/cmm4yuqgz03kwcuqwd6url55e/view","Open PDF")</f>
        <v/>
      </c>
      <c r="G667" t="inlineStr">
        <is>
          <t>cmm55w57p0004cuisfrtpqly8</t>
        </is>
      </c>
      <c r="H667" t="inlineStr">
        <is>
          <t>Informationskrav</t>
        </is>
      </c>
      <c r="I667" t="inlineStr">
        <is>
          <t>DriftEgenkontroll</t>
        </is>
      </c>
      <c r="J667" t="inlineStr">
        <is>
          <t>Journalforing</t>
        </is>
      </c>
      <c r="K667" t="inlineStr">
        <is>
          <t>Kontrollprogrammet ska finnas lättillgängligt på arbetsplatsen och personerna som genomför anläggningsarbetena ska ha kännedom om de rutiner som finns för kontroll av avfallsmassorna.</t>
        </is>
      </c>
      <c r="L667" t="inlineStr">
        <is>
          <t>Kontrollprogrammet ska finnas lättillgängligt på arbetsplatsen och personerna som genomför anläggningsarbetena ska ha kännedom om de rutiner som finns för kontroll av avfallsmassorna.</t>
        </is>
      </c>
      <c r="M667" t="inlineStr">
        <is>
          <t>SKA</t>
        </is>
      </c>
      <c r="N667" t="inlineStr"/>
      <c r="O667" t="inlineStr"/>
      <c r="P667" t="inlineStr"/>
      <c r="Q667" t="inlineStr"/>
      <c r="R667" t="inlineStr">
        <is>
          <t>Lopande drift</t>
        </is>
      </c>
      <c r="S667" t="inlineStr"/>
      <c r="T667" t="inlineStr">
        <is>
          <t>14 0340</t>
        </is>
      </c>
      <c r="U667" t="inlineStr"/>
      <c r="V667" t="inlineStr"/>
      <c r="W667" t="inlineStr">
        <is>
          <t>Nej</t>
        </is>
      </c>
      <c r="X667" t="inlineStr">
        <is>
          <t>Nej</t>
        </is>
      </c>
      <c r="Y667" t="inlineStr">
        <is>
          <t>Ja</t>
        </is>
      </c>
      <c r="Z667" t="inlineStr">
        <is>
          <t>Nej</t>
        </is>
      </c>
      <c r="AA667" t="n">
        <v>7</v>
      </c>
      <c r="AB667" t="inlineStr">
        <is>
          <t>Egenkontrollrutiner</t>
        </is>
      </c>
      <c r="AC667" t="inlineStr">
        <is>
          <t>Egenkontrollprogram</t>
        </is>
      </c>
      <c r="AD667" t="inlineStr">
        <is>
          <t>Nej</t>
        </is>
      </c>
      <c r="AE667" t="inlineStr">
        <is>
          <t>Nej</t>
        </is>
      </c>
      <c r="AF667" t="inlineStr">
        <is>
          <t>Ej behandlad</t>
        </is>
      </c>
      <c r="AG667" t="inlineStr">
        <is>
          <t>AUTO_GENERERAD. Verifiera citat mot kallfil.</t>
        </is>
      </c>
      <c r="AH667" t="inlineStr">
        <is>
          <t>MEDIUM</t>
        </is>
      </c>
      <c r="AI667" t="inlineStr">
        <is>
          <t>AUTO</t>
        </is>
      </c>
      <c r="AJ667" t="inlineStr">
        <is>
          <t>Nej</t>
        </is>
      </c>
      <c r="AK667" t="inlineStr"/>
      <c r="AL667" t="inlineStr"/>
      <c r="AM667" t="inlineStr"/>
      <c r="AN667" t="inlineStr"/>
      <c r="AO667" t="inlineStr">
        <is>
          <t>cmm4yuqhc03l8cuqwfjrfoy1e</t>
        </is>
      </c>
      <c r="AP667" t="inlineStr">
        <is>
          <t>http://localhost:8787/api/admin/requirements/documents/cmm4yuqhc03l8cuqwfjrfoy1e/view</t>
        </is>
      </c>
      <c r="AQ667">
        <f>HYPERLÄNK("http://localhost:8787/api/admin/requirements/documents/cmm4yuqhc03l8cuqwfjrfoy1e/view";"Öppna PDF")</f>
        <v/>
      </c>
      <c r="AR667">
        <f>HYPERLINK("http://localhost:8787/api/admin/requirements/documents/cmm4yuqhc03l8cuqwfjrfoy1e/view","Open PDF")</f>
        <v/>
      </c>
      <c r="AS667" t="inlineStr">
        <is>
          <t>cmm55w57p0004cuisfrtpqly8</t>
        </is>
      </c>
      <c r="AT667" t="inlineStr">
        <is>
          <t>cmm4xvu980000cuh4vj0usz09</t>
        </is>
      </c>
      <c r="AU667" t="inlineStr"/>
      <c r="AV667" t="inlineStr">
        <is>
          <t>Kommun</t>
        </is>
      </c>
      <c r="AW667" t="inlineStr"/>
      <c r="AX667" t="inlineStr">
        <is>
          <t>2025-10</t>
        </is>
      </c>
      <c r="AY667" t="inlineStr">
        <is>
          <t>Beslut</t>
        </is>
      </c>
      <c r="AZ667" t="inlineStr">
        <is>
          <t>2026-02-05</t>
        </is>
      </c>
      <c r="BA667" t="inlineStr">
        <is>
          <t>251021-MMAVANLAN-CD02 2025-3268.pdf</t>
        </is>
      </c>
      <c r="BB667" t="inlineStr">
        <is>
          <t>Sv: till registrator</t>
        </is>
      </c>
      <c r="BC667" t="inlineStr">
        <is>
          <t>AUTO</t>
        </is>
      </c>
      <c r="BD667" t="inlineStr"/>
      <c r="BE667" t="inlineStr"/>
      <c r="BF667" t="inlineStr">
        <is>
          <t>AUTO_GENERERAD. Bekrafta metadata mot kallfil.</t>
        </is>
      </c>
      <c r="BG667">
        <f>HYPERLINK("C:\Users\jimmy\Desktop\Examens arbete\Kod\Ny mapp\remix_-copy-of-miljöbeslut.se-portal\251021-MMAVANLAN-CD02 2025-3268.pdf", "Öppna PDF")</f>
        <v/>
      </c>
    </row>
    <row r="668">
      <c r="A668" t="inlineStr">
        <is>
          <t>KRAV-AUTO-000667</t>
        </is>
      </c>
      <c r="B668" t="inlineStr">
        <is>
          <t>ADMIN-INDEX-2026-02-27-00000000125C043F57453246863FE664CAFE6A3F0700950291EA24F0614FB6ACEDB12BF0E31D00000000010C0000950291EA24F0614FB6ACEDB12BF0E31D00002087ADF30000</t>
        </is>
      </c>
      <c r="C668" t="inlineStr">
        <is>
          <t>cmm4yuqgz03kwcuqwd6url55e</t>
        </is>
      </c>
      <c r="D668" t="inlineStr">
        <is>
          <t>http://localhost:8787/api/admin/requirements/documents/cmm4yuqgz03kwcuqwd6url55e/view</t>
        </is>
      </c>
      <c r="E668">
        <f>HYPERLÄNK("http://localhost:8787/api/admin/requirements/documents/cmm4yuqgz03kwcuqwd6url55e/view";"Öppna PDF")</f>
        <v/>
      </c>
      <c r="F668">
        <f>HYPERLINK("http://localhost:8787/api/admin/requirements/documents/cmm4yuqgz03kwcuqwd6url55e/view","Open PDF")</f>
        <v/>
      </c>
      <c r="G668" t="inlineStr">
        <is>
          <t>cmm55w57p0004cuisfrtpqly8</t>
        </is>
      </c>
      <c r="H668" t="inlineStr">
        <is>
          <t>Informationskrav</t>
        </is>
      </c>
      <c r="I668" t="inlineStr">
        <is>
          <t>DagvattenLakvatten</t>
        </is>
      </c>
      <c r="J668" t="inlineStr">
        <is>
          <t>Uppsamling</t>
        </is>
      </c>
      <c r="K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668" t="inlineStr">
        <is>
          <t>SKA</t>
        </is>
      </c>
      <c r="N668" t="inlineStr"/>
      <c r="O668" t="inlineStr"/>
      <c r="P668" t="inlineStr"/>
      <c r="Q668" t="inlineStr"/>
      <c r="R668" t="inlineStr">
        <is>
          <t>Vid nederbord och avrinning</t>
        </is>
      </c>
      <c r="S668" t="inlineStr"/>
      <c r="T668" t="inlineStr">
        <is>
          <t>14 0340</t>
        </is>
      </c>
      <c r="U668" t="inlineStr"/>
      <c r="V668" t="inlineStr"/>
      <c r="W668" t="inlineStr">
        <is>
          <t>Nej</t>
        </is>
      </c>
      <c r="X668" t="inlineStr">
        <is>
          <t>Ja</t>
        </is>
      </c>
      <c r="Y668" t="inlineStr">
        <is>
          <t>Ja</t>
        </is>
      </c>
      <c r="Z668" t="inlineStr">
        <is>
          <t>Nej</t>
        </is>
      </c>
      <c r="AA668" t="n">
        <v>6</v>
      </c>
      <c r="AB668" t="inlineStr">
        <is>
          <t>Lakvattenhantering</t>
        </is>
      </c>
      <c r="AC668" t="inlineStr">
        <is>
          <t>Flodesschema dagvatten-lakvatten</t>
        </is>
      </c>
      <c r="AD668" t="inlineStr">
        <is>
          <t>Nej</t>
        </is>
      </c>
      <c r="AE668" t="inlineStr">
        <is>
          <t>Nej</t>
        </is>
      </c>
      <c r="AF668" t="inlineStr">
        <is>
          <t>Ej behandlad</t>
        </is>
      </c>
      <c r="AG668" t="inlineStr">
        <is>
          <t>AUTO_GENERERAD. Verifiera citat mot kallfil.</t>
        </is>
      </c>
      <c r="AH668" t="inlineStr">
        <is>
          <t>MEDIUM</t>
        </is>
      </c>
      <c r="AI668" t="inlineStr">
        <is>
          <t>AUTO</t>
        </is>
      </c>
      <c r="AJ668" t="inlineStr">
        <is>
          <t>Nej</t>
        </is>
      </c>
      <c r="AK668" t="inlineStr"/>
      <c r="AL668" t="inlineStr"/>
      <c r="AM668" t="inlineStr"/>
      <c r="AN668" t="inlineStr"/>
      <c r="AO668" t="inlineStr">
        <is>
          <t>cmm4yuqhc03l8cuqwfjrfoy1e</t>
        </is>
      </c>
      <c r="AP668" t="inlineStr">
        <is>
          <t>http://localhost:8787/api/admin/requirements/documents/cmm4yuqhc03l8cuqwfjrfoy1e/view</t>
        </is>
      </c>
      <c r="AQ668">
        <f>HYPERLÄNK("http://localhost:8787/api/admin/requirements/documents/cmm4yuqhc03l8cuqwfjrfoy1e/view";"Öppna PDF")</f>
        <v/>
      </c>
      <c r="AR668">
        <f>HYPERLINK("http://localhost:8787/api/admin/requirements/documents/cmm4yuqhc03l8cuqwfjrfoy1e/view","Open PDF")</f>
        <v/>
      </c>
      <c r="AS668" t="inlineStr">
        <is>
          <t>cmm55w57p0004cuisfrtpqly8</t>
        </is>
      </c>
      <c r="AT668" t="inlineStr">
        <is>
          <t>cmm4xvu980000cuh4vj0usz09</t>
        </is>
      </c>
      <c r="AU668" t="inlineStr"/>
      <c r="AV668" t="inlineStr">
        <is>
          <t>Kommun</t>
        </is>
      </c>
      <c r="AW668" t="inlineStr"/>
      <c r="AX668" t="inlineStr">
        <is>
          <t>2025-10</t>
        </is>
      </c>
      <c r="AY668" t="inlineStr">
        <is>
          <t>Beslut</t>
        </is>
      </c>
      <c r="AZ668" t="inlineStr">
        <is>
          <t>2026-02-05</t>
        </is>
      </c>
      <c r="BA668" t="inlineStr">
        <is>
          <t>251021-MMAVANLAN-CD02 2025-3268.pdf</t>
        </is>
      </c>
      <c r="BB668" t="inlineStr">
        <is>
          <t>Sv: till registrator</t>
        </is>
      </c>
      <c r="BC668" t="inlineStr">
        <is>
          <t>AUTO</t>
        </is>
      </c>
      <c r="BD668" t="inlineStr"/>
      <c r="BE668" t="inlineStr"/>
      <c r="BF668" t="inlineStr">
        <is>
          <t>AUTO_GENERERAD. Bekrafta metadata mot kallfil.</t>
        </is>
      </c>
      <c r="BG668">
        <f>HYPERLINK("C:\Users\jimmy\Desktop\Examens arbete\Kod\Ny mapp\remix_-copy-of-miljöbeslut.se-portal\251021-MMAVANLAN-CD02 2025-3268.pdf", "Öppna PDF")</f>
        <v/>
      </c>
    </row>
    <row r="669">
      <c r="A669" t="inlineStr">
        <is>
          <t>KRAV-AUTO-000668</t>
        </is>
      </c>
      <c r="B669" t="inlineStr">
        <is>
          <t>ADMIN-INDEX-2026-02-27-00000000125C043F57453246863FE664CAFE6A3F0700950291EA24F0614FB6ACEDB12BF0E31D00000000010C0000950291EA24F0614FB6ACEDB12BF0E31D00002087ADF40000</t>
        </is>
      </c>
      <c r="C669" t="inlineStr">
        <is>
          <t>cmm4yuqgw03ktcuqwsj8z1sdd</t>
        </is>
      </c>
      <c r="D669" t="inlineStr">
        <is>
          <t>http://localhost:8787/api/admin/requirements/documents/cmm4yuqgw03ktcuqwsj8z1sdd/view</t>
        </is>
      </c>
      <c r="E669">
        <f>HYPERLÄNK("http://localhost:8787/api/admin/requirements/documents/cmm4yuqgw03ktcuqwsj8z1sdd/view";"Öppna PDF")</f>
        <v/>
      </c>
      <c r="F669">
        <f>HYPERLINK("http://localhost:8787/api/admin/requirements/documents/cmm4yuqgw03ktcuqwsj8z1sdd/view","Open PDF")</f>
        <v/>
      </c>
      <c r="G669" t="inlineStr">
        <is>
          <t>cmm55w57p0004cuisfrtpqly8</t>
        </is>
      </c>
      <c r="H669" t="inlineStr">
        <is>
          <t>Beslutsvillkor</t>
        </is>
      </c>
      <c r="I669" t="inlineStr">
        <is>
          <t>Ytkonstruktion</t>
        </is>
      </c>
      <c r="J669" t="inlineStr">
        <is>
          <t>Tat yta</t>
        </is>
      </c>
      <c r="K669" t="inlineStr">
        <is>
          <t>Själva arbetsytan anläggs av schaktmassor med tillskott av material med lämpliga geotekniska egenskaper, t ex betong och tegel.</t>
        </is>
      </c>
      <c r="L669" t="inlineStr">
        <is>
          <t>Själva arbetsytan anläggs av schaktmassor med tillskott av material med lämpliga geotekniska egenskaper, t ex betong och tegel.</t>
        </is>
      </c>
      <c r="M669" t="inlineStr">
        <is>
          <t>SKA</t>
        </is>
      </c>
      <c r="N669" t="inlineStr"/>
      <c r="O669" t="inlineStr"/>
      <c r="P669" t="inlineStr"/>
      <c r="Q669" t="inlineStr"/>
      <c r="R669" t="inlineStr">
        <is>
          <t>Vid mellanlagring av avfall</t>
        </is>
      </c>
      <c r="S669" t="inlineStr"/>
      <c r="T669" t="inlineStr">
        <is>
          <t>556057</t>
        </is>
      </c>
      <c r="U669" t="inlineStr"/>
      <c r="V669" t="inlineStr"/>
      <c r="W669" t="inlineStr">
        <is>
          <t>Ja</t>
        </is>
      </c>
      <c r="X669" t="inlineStr">
        <is>
          <t>Nej</t>
        </is>
      </c>
      <c r="Y669" t="inlineStr">
        <is>
          <t>Nej</t>
        </is>
      </c>
      <c r="Z669" t="inlineStr">
        <is>
          <t>Nej</t>
        </is>
      </c>
      <c r="AA669" t="n">
        <v>5</v>
      </c>
      <c r="AB669" t="inlineStr">
        <is>
          <t>Teknisk beskrivning av platta</t>
        </is>
      </c>
      <c r="AC669" t="inlineStr">
        <is>
          <t>Teknisk ritning platta</t>
        </is>
      </c>
      <c r="AD669" t="inlineStr">
        <is>
          <t>Nej</t>
        </is>
      </c>
      <c r="AE669" t="inlineStr">
        <is>
          <t>Nej</t>
        </is>
      </c>
      <c r="AF669" t="inlineStr">
        <is>
          <t>Ej behandlad</t>
        </is>
      </c>
      <c r="AG669" t="inlineStr">
        <is>
          <t>AUTO_GENERERAD. Verifiera citat mot kallfil.</t>
        </is>
      </c>
      <c r="AH669" t="inlineStr">
        <is>
          <t>MEDIUM</t>
        </is>
      </c>
      <c r="AI669" t="inlineStr">
        <is>
          <t>AUTO</t>
        </is>
      </c>
      <c r="AJ669" t="inlineStr">
        <is>
          <t>Nej</t>
        </is>
      </c>
      <c r="AK669" t="inlineStr"/>
      <c r="AL669" t="inlineStr"/>
      <c r="AM669" t="inlineStr"/>
      <c r="AN669" t="inlineStr"/>
      <c r="AO669" t="inlineStr">
        <is>
          <t>cmm4yuqgw03ktcuqwsj8z1sdd</t>
        </is>
      </c>
      <c r="AP669" t="inlineStr">
        <is>
          <t>http://localhost:8787/api/admin/requirements/documents/cmm4yuqgw03ktcuqwsj8z1sdd/view</t>
        </is>
      </c>
      <c r="AQ669">
        <f>HYPERLÄNK("http://localhost:8787/api/admin/requirements/documents/cmm4yuqgw03ktcuqwsj8z1sdd/view";"Öppna PDF")</f>
        <v/>
      </c>
      <c r="AR669">
        <f>HYPERLINK("http://localhost:8787/api/admin/requirements/documents/cmm4yuqgw03ktcuqwsj8z1sdd/view","Open PDF")</f>
        <v/>
      </c>
      <c r="AS669" t="inlineStr">
        <is>
          <t>cmm55w57p0004cuisfrtpqly8</t>
        </is>
      </c>
      <c r="AT669" t="inlineStr">
        <is>
          <t>cmm4xvu980000cuh4vj0usz09</t>
        </is>
      </c>
      <c r="AU669" t="inlineStr">
        <is>
          <t>fattat av Miljöskyddsenheten i Varbergs</t>
        </is>
      </c>
      <c r="AV669" t="inlineStr">
        <is>
          <t>Kommun</t>
        </is>
      </c>
      <c r="AW669" t="inlineStr">
        <is>
          <t>fattat av Miljöskyddsenheten i Varbergs kommun</t>
        </is>
      </c>
      <c r="AX669" t="inlineStr">
        <is>
          <t>2024-05</t>
        </is>
      </c>
      <c r="AY669" t="inlineStr">
        <is>
          <t>Beslut</t>
        </is>
      </c>
      <c r="AZ669" t="inlineStr">
        <is>
          <t>2026-02-05</t>
        </is>
      </c>
      <c r="BA669" t="inlineStr">
        <is>
          <t>PM Sedimentationsdammar 2024-1596.pdf</t>
        </is>
      </c>
      <c r="BB669" t="inlineStr">
        <is>
          <t>Sv: till registrator</t>
        </is>
      </c>
      <c r="BC669" t="inlineStr">
        <is>
          <t>AUTO</t>
        </is>
      </c>
      <c r="BD669" t="inlineStr"/>
      <c r="BE669" t="inlineStr"/>
      <c r="BF669" t="inlineStr">
        <is>
          <t>AUTO_GENERERAD. Bekrafta metadata mot kallfil.</t>
        </is>
      </c>
      <c r="BG669">
        <f>HYPERLINK("C:\Users\jimmy\Desktop\Examens arbete\Kod\Ny mapp\remix_-copy-of-miljöbeslut.se-portal\PM Sedimentationsdammar 2024-1596.pdf", "Öppna PDF")</f>
        <v/>
      </c>
    </row>
    <row r="670">
      <c r="A670" t="inlineStr">
        <is>
          <t>KRAV-AUTO-000669</t>
        </is>
      </c>
      <c r="B670" t="inlineStr">
        <is>
          <t>ADMIN-INDEX-2026-02-27-00000000125C043F57453246863FE664CAFE6A3F0700950291EA24F0614FB6ACEDB12BF0E31D00000000010C0000950291EA24F0614FB6ACEDB12BF0E31D00002087ADF40000</t>
        </is>
      </c>
      <c r="C670" t="inlineStr">
        <is>
          <t>cmm4yuqgw03ktcuqwsj8z1sdd</t>
        </is>
      </c>
      <c r="D670" t="inlineStr">
        <is>
          <t>http://localhost:8787/api/admin/requirements/documents/cmm4yuqgw03ktcuqwsj8z1sdd/view</t>
        </is>
      </c>
      <c r="E670">
        <f>HYPERLÄNK("http://localhost:8787/api/admin/requirements/documents/cmm4yuqgw03ktcuqwsj8z1sdd/view";"Öppna PDF")</f>
        <v/>
      </c>
      <c r="F670">
        <f>HYPERLINK("http://localhost:8787/api/admin/requirements/documents/cmm4yuqgw03ktcuqwsj8z1sdd/view","Open PDF")</f>
        <v/>
      </c>
      <c r="G670" t="inlineStr">
        <is>
          <t>cmm55w57p0004cuisfrtpqly8</t>
        </is>
      </c>
      <c r="H670" t="inlineStr">
        <is>
          <t>Beslutsvillkor</t>
        </is>
      </c>
      <c r="I670" t="inlineStr">
        <is>
          <t>LagringsvolymTid</t>
        </is>
      </c>
      <c r="J670" t="inlineStr">
        <is>
          <t>Maxmangd</t>
        </is>
      </c>
      <c r="K670" t="inlineStr">
        <is>
          <t>De blöta massorna kommer att utgöras av schaktmassor eftersom betong och tegel av naturliga skäl inte kommer att föras in blöta.</t>
        </is>
      </c>
      <c r="L670" t="inlineStr">
        <is>
          <t>De blöta massorna kommer att utgöras av schaktmassor eftersom betong och tegel av naturliga skäl inte kommer att föras in blöta.</t>
        </is>
      </c>
      <c r="M670" t="inlineStr">
        <is>
          <t>SKA</t>
        </is>
      </c>
      <c r="N670" t="inlineStr"/>
      <c r="O670" t="inlineStr"/>
      <c r="P670" t="inlineStr"/>
      <c r="Q670" t="inlineStr"/>
      <c r="R670" t="inlineStr">
        <is>
          <t>Alltid</t>
        </is>
      </c>
      <c r="S670" t="inlineStr"/>
      <c r="T670" t="inlineStr">
        <is>
          <t>556057</t>
        </is>
      </c>
      <c r="U670" t="inlineStr"/>
      <c r="V670" t="inlineStr"/>
      <c r="W670" t="inlineStr">
        <is>
          <t>Nej</t>
        </is>
      </c>
      <c r="X670" t="inlineStr">
        <is>
          <t>Nej</t>
        </is>
      </c>
      <c r="Y670" t="inlineStr">
        <is>
          <t>Nej</t>
        </is>
      </c>
      <c r="Z670" t="inlineStr">
        <is>
          <t>Nej</t>
        </is>
      </c>
      <c r="AA670" t="n">
        <v>4</v>
      </c>
      <c r="AB670" t="inlineStr">
        <is>
          <t>Avfallsmangder och lagringstid</t>
        </is>
      </c>
      <c r="AC670" t="inlineStr">
        <is>
          <t>Avfallsforteckning</t>
        </is>
      </c>
      <c r="AD670" t="inlineStr">
        <is>
          <t>Nej</t>
        </is>
      </c>
      <c r="AE670" t="inlineStr">
        <is>
          <t>Nej</t>
        </is>
      </c>
      <c r="AF670" t="inlineStr">
        <is>
          <t>Ej behandlad</t>
        </is>
      </c>
      <c r="AG670" t="inlineStr">
        <is>
          <t>AUTO_GENERERAD. Verifiera citat mot kallfil.</t>
        </is>
      </c>
      <c r="AH670" t="inlineStr">
        <is>
          <t>MEDIUM</t>
        </is>
      </c>
      <c r="AI670" t="inlineStr">
        <is>
          <t>AUTO</t>
        </is>
      </c>
      <c r="AJ670" t="inlineStr">
        <is>
          <t>Nej</t>
        </is>
      </c>
      <c r="AK670" t="inlineStr"/>
      <c r="AL670" t="inlineStr"/>
      <c r="AM670" t="inlineStr"/>
      <c r="AN670" t="inlineStr"/>
      <c r="AO670" t="inlineStr">
        <is>
          <t>cmm4yuqgw03ktcuqwsj8z1sdd</t>
        </is>
      </c>
      <c r="AP670" t="inlineStr">
        <is>
          <t>http://localhost:8787/api/admin/requirements/documents/cmm4yuqgw03ktcuqwsj8z1sdd/view</t>
        </is>
      </c>
      <c r="AQ670">
        <f>HYPERLÄNK("http://localhost:8787/api/admin/requirements/documents/cmm4yuqgw03ktcuqwsj8z1sdd/view";"Öppna PDF")</f>
        <v/>
      </c>
      <c r="AR670">
        <f>HYPERLINK("http://localhost:8787/api/admin/requirements/documents/cmm4yuqgw03ktcuqwsj8z1sdd/view","Open PDF")</f>
        <v/>
      </c>
      <c r="AS670" t="inlineStr">
        <is>
          <t>cmm55w57p0004cuisfrtpqly8</t>
        </is>
      </c>
      <c r="AT670" t="inlineStr">
        <is>
          <t>cmm4xvu980000cuh4vj0usz09</t>
        </is>
      </c>
      <c r="AU670" t="inlineStr">
        <is>
          <t>fattat av Miljöskyddsenheten i Varbergs</t>
        </is>
      </c>
      <c r="AV670" t="inlineStr">
        <is>
          <t>Kommun</t>
        </is>
      </c>
      <c r="AW670" t="inlineStr">
        <is>
          <t>fattat av Miljöskyddsenheten i Varbergs kommun</t>
        </is>
      </c>
      <c r="AX670" t="inlineStr">
        <is>
          <t>2024-05</t>
        </is>
      </c>
      <c r="AY670" t="inlineStr">
        <is>
          <t>Beslut</t>
        </is>
      </c>
      <c r="AZ670" t="inlineStr">
        <is>
          <t>2026-02-05</t>
        </is>
      </c>
      <c r="BA670" t="inlineStr">
        <is>
          <t>PM Sedimentationsdammar 2024-1596.pdf</t>
        </is>
      </c>
      <c r="BB670" t="inlineStr">
        <is>
          <t>Sv: till registrator</t>
        </is>
      </c>
      <c r="BC670" t="inlineStr">
        <is>
          <t>AUTO</t>
        </is>
      </c>
      <c r="BD670" t="inlineStr"/>
      <c r="BE670" t="inlineStr"/>
      <c r="BF670" t="inlineStr">
        <is>
          <t>AUTO_GENERERAD. Bekrafta metadata mot kallfil.</t>
        </is>
      </c>
      <c r="BG670">
        <f>HYPERLINK("C:\Users\jimmy\Desktop\Examens arbete\Kod\Ny mapp\remix_-copy-of-miljöbeslut.se-portal\PM Sedimentationsdammar 2024-1596.pdf", "Öppna PDF")</f>
        <v/>
      </c>
    </row>
    <row r="671">
      <c r="A671" t="inlineStr">
        <is>
          <t>KRAV-AUTO-000670</t>
        </is>
      </c>
      <c r="B671" t="inlineStr">
        <is>
          <t>ADMIN-INDEX-2026-02-27-00000000125C043F57453246863FE664CAFE6A3F0700950291EA24F0614FB6ACEDB12BF0E31D00000000010C0000950291EA24F0614FB6ACEDB12BF0E31D00002087ADF40000</t>
        </is>
      </c>
      <c r="C671" t="inlineStr">
        <is>
          <t>cmm4yuqgw03ktcuqwsj8z1sdd</t>
        </is>
      </c>
      <c r="D671" t="inlineStr">
        <is>
          <t>http://localhost:8787/api/admin/requirements/documents/cmm4yuqgw03ktcuqwsj8z1sdd/view</t>
        </is>
      </c>
      <c r="E671">
        <f>HYPERLÄNK("http://localhost:8787/api/admin/requirements/documents/cmm4yuqgw03ktcuqwsj8z1sdd/view";"Öppna PDF")</f>
        <v/>
      </c>
      <c r="F671">
        <f>HYPERLINK("http://localhost:8787/api/admin/requirements/documents/cmm4yuqgw03ktcuqwsj8z1sdd/view","Open PDF")</f>
        <v/>
      </c>
      <c r="G671" t="inlineStr">
        <is>
          <t>cmm55w57p0004cuisfrtpqly8</t>
        </is>
      </c>
      <c r="H671" t="inlineStr">
        <is>
          <t>Beslutsvillkor</t>
        </is>
      </c>
      <c r="I671" t="inlineStr">
        <is>
          <t>Ytkonstruktion</t>
        </is>
      </c>
      <c r="J671" t="inlineStr">
        <is>
          <t>Tat yta</t>
        </is>
      </c>
      <c r="K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671" t="inlineStr">
        <is>
          <t>BOR</t>
        </is>
      </c>
      <c r="N671" t="inlineStr"/>
      <c r="O671" t="inlineStr"/>
      <c r="P671" t="inlineStr"/>
      <c r="Q671" t="inlineStr"/>
      <c r="R671" t="inlineStr">
        <is>
          <t>Vid mellanlagring av avfall</t>
        </is>
      </c>
      <c r="S671" t="inlineStr"/>
      <c r="T671" t="inlineStr">
        <is>
          <t>556057</t>
        </is>
      </c>
      <c r="U671" t="inlineStr"/>
      <c r="V671" t="inlineStr"/>
      <c r="W671" t="inlineStr">
        <is>
          <t>Ja</t>
        </is>
      </c>
      <c r="X671" t="inlineStr">
        <is>
          <t>Nej</t>
        </is>
      </c>
      <c r="Y671" t="inlineStr">
        <is>
          <t>Nej</t>
        </is>
      </c>
      <c r="Z671" t="inlineStr">
        <is>
          <t>Nej</t>
        </is>
      </c>
      <c r="AA671" t="n">
        <v>5</v>
      </c>
      <c r="AB671" t="inlineStr">
        <is>
          <t>Teknisk beskrivning av platta</t>
        </is>
      </c>
      <c r="AC671" t="inlineStr">
        <is>
          <t>Teknisk ritning platta</t>
        </is>
      </c>
      <c r="AD671" t="inlineStr">
        <is>
          <t>Nej</t>
        </is>
      </c>
      <c r="AE671" t="inlineStr">
        <is>
          <t>Nej</t>
        </is>
      </c>
      <c r="AF671" t="inlineStr">
        <is>
          <t>Ej behandlad</t>
        </is>
      </c>
      <c r="AG671" t="inlineStr">
        <is>
          <t>AUTO_GENERERAD. Verifiera citat mot kallfil.</t>
        </is>
      </c>
      <c r="AH671" t="inlineStr">
        <is>
          <t>MEDIUM</t>
        </is>
      </c>
      <c r="AI671" t="inlineStr">
        <is>
          <t>AUTO</t>
        </is>
      </c>
      <c r="AJ671" t="inlineStr">
        <is>
          <t>Nej</t>
        </is>
      </c>
      <c r="AK671" t="inlineStr"/>
      <c r="AL671" t="inlineStr"/>
      <c r="AM671" t="inlineStr"/>
      <c r="AN671" t="inlineStr"/>
      <c r="AO671" t="inlineStr">
        <is>
          <t>cmm4yuqgw03ktcuqwsj8z1sdd</t>
        </is>
      </c>
      <c r="AP671" t="inlineStr">
        <is>
          <t>http://localhost:8787/api/admin/requirements/documents/cmm4yuqgw03ktcuqwsj8z1sdd/view</t>
        </is>
      </c>
      <c r="AQ671">
        <f>HYPERLÄNK("http://localhost:8787/api/admin/requirements/documents/cmm4yuqgw03ktcuqwsj8z1sdd/view";"Öppna PDF")</f>
        <v/>
      </c>
      <c r="AR671">
        <f>HYPERLINK("http://localhost:8787/api/admin/requirements/documents/cmm4yuqgw03ktcuqwsj8z1sdd/view","Open PDF")</f>
        <v/>
      </c>
      <c r="AS671" t="inlineStr">
        <is>
          <t>cmm55w57p0004cuisfrtpqly8</t>
        </is>
      </c>
      <c r="AT671" t="inlineStr">
        <is>
          <t>cmm4xvu980000cuh4vj0usz09</t>
        </is>
      </c>
      <c r="AU671" t="inlineStr">
        <is>
          <t>fattat av Miljöskyddsenheten i Varbergs</t>
        </is>
      </c>
      <c r="AV671" t="inlineStr">
        <is>
          <t>Kommun</t>
        </is>
      </c>
      <c r="AW671" t="inlineStr">
        <is>
          <t>fattat av Miljöskyddsenheten i Varbergs kommun</t>
        </is>
      </c>
      <c r="AX671" t="inlineStr">
        <is>
          <t>2024-05</t>
        </is>
      </c>
      <c r="AY671" t="inlineStr">
        <is>
          <t>Beslut</t>
        </is>
      </c>
      <c r="AZ671" t="inlineStr">
        <is>
          <t>2026-02-05</t>
        </is>
      </c>
      <c r="BA671" t="inlineStr">
        <is>
          <t>PM Sedimentationsdammar 2024-1596.pdf</t>
        </is>
      </c>
      <c r="BB671" t="inlineStr">
        <is>
          <t>Sv: till registrator</t>
        </is>
      </c>
      <c r="BC671" t="inlineStr">
        <is>
          <t>AUTO</t>
        </is>
      </c>
      <c r="BD671" t="inlineStr"/>
      <c r="BE671" t="inlineStr"/>
      <c r="BF671" t="inlineStr">
        <is>
          <t>AUTO_GENERERAD. Bekrafta metadata mot kallfil.</t>
        </is>
      </c>
      <c r="BG671">
        <f>HYPERLINK("C:\Users\jimmy\Desktop\Examens arbete\Kod\Ny mapp\remix_-copy-of-miljöbeslut.se-portal\PM Sedimentationsdammar 2024-1596.pdf", "Öppna PDF")</f>
        <v/>
      </c>
    </row>
    <row r="672">
      <c r="A672" t="inlineStr">
        <is>
          <t>KRAV-AUTO-000671</t>
        </is>
      </c>
      <c r="B672" t="inlineStr">
        <is>
          <t>ADMIN-INDEX-2026-02-27-00000000125C043F57453246863FE664CAFE6A3F0700950291EA24F0614FB6ACEDB12BF0E31D00000000010C0000950291EA24F0614FB6ACEDB12BF0E31D00002087ADF40000</t>
        </is>
      </c>
      <c r="C672" t="inlineStr">
        <is>
          <t>cmm4yuqgt03kqcuqwhhs9m3bf</t>
        </is>
      </c>
      <c r="D672" t="inlineStr">
        <is>
          <t>http://localhost:8787/api/admin/requirements/documents/cmm4yuqgt03kqcuqwhhs9m3bf/view</t>
        </is>
      </c>
      <c r="E672">
        <f>HYPERLÄNK("http://localhost:8787/api/admin/requirements/documents/cmm4yuqgt03kqcuqwhhs9m3bf/view";"Öppna PDF")</f>
        <v/>
      </c>
      <c r="F672">
        <f>HYPERLINK("http://localhost:8787/api/admin/requirements/documents/cmm4yuqgt03kqcuqwhhs9m3bf/view","Open PDF")</f>
        <v/>
      </c>
      <c r="G672" t="inlineStr">
        <is>
          <t>cmm55w57p0004cuisfrtpqly8</t>
        </is>
      </c>
      <c r="H672" t="inlineStr">
        <is>
          <t>Beslutsvillkor</t>
        </is>
      </c>
      <c r="I672" t="inlineStr">
        <is>
          <t>LagringsvolymTid</t>
        </is>
      </c>
      <c r="J672" t="inlineStr">
        <is>
          <t>Maxmangd</t>
        </is>
      </c>
      <c r="K672" t="inlineStr">
        <is>
          <t>Om mängden avfall som ska avvattnas övergår 2000 ton så gäller tillståndsplikt B och verksamhetskod 90.420.</t>
        </is>
      </c>
      <c r="L672" t="inlineStr">
        <is>
          <t>Om mängden avfall som ska avvattnas övergår 2000 ton så gäller tillståndsplikt B och verksamhetskod 90.420.</t>
        </is>
      </c>
      <c r="M672" t="inlineStr">
        <is>
          <t>SKA</t>
        </is>
      </c>
      <c r="N672" t="inlineStr"/>
      <c r="O672" t="inlineStr"/>
      <c r="P672" t="inlineStr"/>
      <c r="Q672" t="inlineStr"/>
      <c r="R672" t="inlineStr">
        <is>
          <t>Alltid</t>
        </is>
      </c>
      <c r="S672" t="inlineStr"/>
      <c r="T672" t="inlineStr">
        <is>
          <t>2024 10</t>
        </is>
      </c>
      <c r="U672" t="n">
        <v>2000</v>
      </c>
      <c r="V672" t="inlineStr"/>
      <c r="W672" t="inlineStr">
        <is>
          <t>Nej</t>
        </is>
      </c>
      <c r="X672" t="inlineStr">
        <is>
          <t>Nej</t>
        </is>
      </c>
      <c r="Y672" t="inlineStr">
        <is>
          <t>Nej</t>
        </is>
      </c>
      <c r="Z672" t="inlineStr">
        <is>
          <t>Nej</t>
        </is>
      </c>
      <c r="AA672" t="n">
        <v>4</v>
      </c>
      <c r="AB672" t="inlineStr">
        <is>
          <t>Avfallsmangder och lagringstid</t>
        </is>
      </c>
      <c r="AC672" t="inlineStr">
        <is>
          <t>Avfallsforteckning</t>
        </is>
      </c>
      <c r="AD672" t="inlineStr">
        <is>
          <t>Nej</t>
        </is>
      </c>
      <c r="AE672" t="inlineStr">
        <is>
          <t>Nej</t>
        </is>
      </c>
      <c r="AF672" t="inlineStr">
        <is>
          <t>Ej behandlad</t>
        </is>
      </c>
      <c r="AG672" t="inlineStr">
        <is>
          <t>AUTO_GENERERAD. Verifiera citat mot kallfil.</t>
        </is>
      </c>
      <c r="AH672" t="inlineStr">
        <is>
          <t>MEDIUM</t>
        </is>
      </c>
      <c r="AI672" t="inlineStr">
        <is>
          <t>AUTO</t>
        </is>
      </c>
      <c r="AJ672" t="inlineStr">
        <is>
          <t>Nej</t>
        </is>
      </c>
      <c r="AK672" t="inlineStr"/>
      <c r="AL672" t="inlineStr"/>
      <c r="AM672" t="inlineStr"/>
      <c r="AN672" t="inlineStr"/>
      <c r="AO672" t="inlineStr">
        <is>
          <t>cmm4yuqgw03ktcuqwsj8z1sdd</t>
        </is>
      </c>
      <c r="AP672" t="inlineStr">
        <is>
          <t>http://localhost:8787/api/admin/requirements/documents/cmm4yuqgw03ktcuqwsj8z1sdd/view</t>
        </is>
      </c>
      <c r="AQ672">
        <f>HYPERLÄNK("http://localhost:8787/api/admin/requirements/documents/cmm4yuqgw03ktcuqwsj8z1sdd/view";"Öppna PDF")</f>
        <v/>
      </c>
      <c r="AR672">
        <f>HYPERLINK("http://localhost:8787/api/admin/requirements/documents/cmm4yuqgw03ktcuqwsj8z1sdd/view","Open PDF")</f>
        <v/>
      </c>
      <c r="AS672" t="inlineStr">
        <is>
          <t>cmm55w57p0004cuisfrtpqly8</t>
        </is>
      </c>
      <c r="AT672" t="inlineStr">
        <is>
          <t>cmm4xvu980000cuh4vj0usz09</t>
        </is>
      </c>
      <c r="AU672" t="inlineStr">
        <is>
          <t>fattat av Miljöskyddsenheten i Varbergs</t>
        </is>
      </c>
      <c r="AV672" t="inlineStr">
        <is>
          <t>Kommun</t>
        </is>
      </c>
      <c r="AW672" t="inlineStr">
        <is>
          <t>fattat av Miljöskyddsenheten i Varbergs kommun</t>
        </is>
      </c>
      <c r="AX672" t="inlineStr">
        <is>
          <t>2024-05</t>
        </is>
      </c>
      <c r="AY672" t="inlineStr">
        <is>
          <t>Beslut</t>
        </is>
      </c>
      <c r="AZ672" t="inlineStr">
        <is>
          <t>2026-02-05</t>
        </is>
      </c>
      <c r="BA672" t="inlineStr">
        <is>
          <t>PM Sedimentationsdammar 2024-1596.pdf</t>
        </is>
      </c>
      <c r="BB672" t="inlineStr">
        <is>
          <t>Sv: till registrator</t>
        </is>
      </c>
      <c r="BC672" t="inlineStr">
        <is>
          <t>AUTO</t>
        </is>
      </c>
      <c r="BD672" t="inlineStr"/>
      <c r="BE672" t="inlineStr"/>
      <c r="BF672" t="inlineStr">
        <is>
          <t>AUTO_GENERERAD. Bekrafta metadata mot kallfil.</t>
        </is>
      </c>
      <c r="BG672">
        <f>HYPERLINK("C:\Users\jimmy\Desktop\Examens arbete\Kod\Ny mapp\remix_-copy-of-miljöbeslut.se-portal\PM Sedimentationsdammar 2024-1596.pdf", "Öppna PDF")</f>
        <v/>
      </c>
    </row>
    <row r="673">
      <c r="A673" t="inlineStr">
        <is>
          <t>KRAV-AUTO-000672</t>
        </is>
      </c>
      <c r="B673" t="inlineStr">
        <is>
          <t>ADMIN-INDEX-2026-02-27-00000000125C043F57453246863FE664CAFE6A3F0700950291EA24F0614FB6ACEDB12BF0E31D00000000010C0000950291EA24F0614FB6ACEDB12BF0E31D00002087A59A0000</t>
        </is>
      </c>
      <c r="C673" t="inlineStr">
        <is>
          <t>cmm4yur6v048qcuqwwb50oot6</t>
        </is>
      </c>
      <c r="D673" t="inlineStr">
        <is>
          <t>http://localhost:8787/api/admin/requirements/documents/cmm4yur6v048qcuqwwb50oot6/view</t>
        </is>
      </c>
      <c r="E673">
        <f>HYPERLÄNK("http://localhost:8787/api/admin/requirements/documents/cmm4yur6v048qcuqwwb50oot6/view";"Öppna PDF")</f>
        <v/>
      </c>
      <c r="F673">
        <f>HYPERLINK("http://localhost:8787/api/admin/requirements/documents/cmm4yur6v048qcuqwwb50oot6/view","Open PDF")</f>
        <v/>
      </c>
      <c r="G673" t="inlineStr">
        <is>
          <t>cmm55w57p0004cuisfrtpqly8</t>
        </is>
      </c>
      <c r="H673" t="inlineStr">
        <is>
          <t>Informationskrav</t>
        </is>
      </c>
      <c r="I673" t="inlineStr">
        <is>
          <t>Ytkonstruktion</t>
        </is>
      </c>
      <c r="J673" t="inlineStr">
        <is>
          <t>Tat yta</t>
        </is>
      </c>
      <c r="K673" t="inlineStr">
        <is>
          <t>Lagring av flytande kemiska produkter och flytande farligt avfall ska ske i tät invallning.</t>
        </is>
      </c>
      <c r="L673" t="inlineStr">
        <is>
          <t>Lagring av flytande kemiska produkter och flytande farligt avfall ska ske i tät invallning.</t>
        </is>
      </c>
      <c r="M673" t="inlineStr">
        <is>
          <t>SKA</t>
        </is>
      </c>
      <c r="N673" t="inlineStr"/>
      <c r="O673" t="inlineStr"/>
      <c r="P673" t="inlineStr">
        <is>
          <t>Arlig</t>
        </is>
      </c>
      <c r="Q673" t="inlineStr"/>
      <c r="R673" t="inlineStr">
        <is>
          <t>Vid mellanlagring av avfall</t>
        </is>
      </c>
      <c r="S673" t="inlineStr"/>
      <c r="T673" t="inlineStr"/>
      <c r="U673" t="inlineStr"/>
      <c r="V673" t="inlineStr"/>
      <c r="W673" t="inlineStr">
        <is>
          <t>Ja</t>
        </is>
      </c>
      <c r="X673" t="inlineStr">
        <is>
          <t>Nej</t>
        </is>
      </c>
      <c r="Y673" t="inlineStr">
        <is>
          <t>Nej</t>
        </is>
      </c>
      <c r="Z673" t="inlineStr">
        <is>
          <t>Nej</t>
        </is>
      </c>
      <c r="AA673" t="n">
        <v>5</v>
      </c>
      <c r="AB673" t="inlineStr">
        <is>
          <t>Teknisk beskrivning av platta</t>
        </is>
      </c>
      <c r="AC673" t="inlineStr">
        <is>
          <t>Teknisk ritning platta</t>
        </is>
      </c>
      <c r="AD673" t="inlineStr">
        <is>
          <t>Nej</t>
        </is>
      </c>
      <c r="AE673" t="inlineStr">
        <is>
          <t>Nej</t>
        </is>
      </c>
      <c r="AF673" t="inlineStr">
        <is>
          <t>Ej behandlad</t>
        </is>
      </c>
      <c r="AG673" t="inlineStr">
        <is>
          <t>AUTO_GENERERAD. Verifiera citat mot kallfil.</t>
        </is>
      </c>
      <c r="AH673" t="inlineStr">
        <is>
          <t>MEDIUM</t>
        </is>
      </c>
      <c r="AI673" t="inlineStr">
        <is>
          <t>AUTO</t>
        </is>
      </c>
      <c r="AJ673" t="inlineStr">
        <is>
          <t>Nej</t>
        </is>
      </c>
      <c r="AK673" t="inlineStr"/>
      <c r="AL673" t="inlineStr"/>
      <c r="AM673" t="inlineStr"/>
      <c r="AN673" t="inlineStr"/>
      <c r="AO673" t="inlineStr">
        <is>
          <t>cmm4yur6y048tcuqwl5ag5aul</t>
        </is>
      </c>
      <c r="AP673" t="inlineStr">
        <is>
          <t>http://localhost:8787/api/admin/requirements/documents/cmm4yur6y048tcuqwl5ag5aul/view</t>
        </is>
      </c>
      <c r="AQ673">
        <f>HYPERLÄNK("http://localhost:8787/api/admin/requirements/documents/cmm4yur6y048tcuqwl5ag5aul/view";"Öppna PDF")</f>
        <v/>
      </c>
      <c r="AR673">
        <f>HYPERLINK("http://localhost:8787/api/admin/requirements/documents/cmm4yur6y048tcuqwl5ag5aul/view","Open PDF")</f>
        <v/>
      </c>
      <c r="AS673" t="inlineStr">
        <is>
          <t>cmm55w57p0004cuisfrtpqly8</t>
        </is>
      </c>
      <c r="AT673" t="inlineStr">
        <is>
          <t>cmm4xvu980000cuh4vj0usz09</t>
        </is>
      </c>
      <c r="AU673" t="inlineStr"/>
      <c r="AV673" t="inlineStr">
        <is>
          <t>Kommun</t>
        </is>
      </c>
      <c r="AW673" t="inlineStr"/>
      <c r="AX673" t="inlineStr"/>
      <c r="AY673" t="inlineStr">
        <is>
          <t>Anmalan</t>
        </is>
      </c>
      <c r="AZ673" t="inlineStr">
        <is>
          <t>2026-02-09</t>
        </is>
      </c>
      <c r="BA673" t="inlineStr">
        <is>
          <t>MN-2025-455-4 Krossning.pdf</t>
        </is>
      </c>
      <c r="BB673" t="inlineStr">
        <is>
          <t>Anmälningspliktiga verksamheter rörande avfall</t>
        </is>
      </c>
      <c r="BC673" t="inlineStr">
        <is>
          <t>AUTO</t>
        </is>
      </c>
      <c r="BD673" t="inlineStr"/>
      <c r="BE673" t="inlineStr"/>
      <c r="BF673" t="inlineStr">
        <is>
          <t>AUTO_GENERERAD. Bekrafta metadata mot kallfil.</t>
        </is>
      </c>
      <c r="BG673">
        <f>HYPERLINK("C:\Users\jimmy\Desktop\Examens arbete\Kod\Ny mapp\remix_-copy-of-miljöbeslut.se-portal\MN-2025-455-4 Krossning.pdf", "Öppna PDF")</f>
        <v/>
      </c>
    </row>
    <row r="674">
      <c r="A674" t="inlineStr">
        <is>
          <t>KRAV-AUTO-000673</t>
        </is>
      </c>
      <c r="B674" t="inlineStr">
        <is>
          <t>ADMIN-INDEX-2026-02-27-00000000125C043F57453246863FE664CAFE6A3F0700950291EA24F0614FB6ACEDB12BF0E31D00000000010C0000950291EA24F0614FB6ACEDB12BF0E31D00002087A59A0000</t>
        </is>
      </c>
      <c r="C674" t="inlineStr">
        <is>
          <t>cmm4yur6v048qcuqwwb50oot6</t>
        </is>
      </c>
      <c r="D674" t="inlineStr">
        <is>
          <t>http://localhost:8787/api/admin/requirements/documents/cmm4yur6v048qcuqwwb50oot6/view</t>
        </is>
      </c>
      <c r="E674">
        <f>HYPERLÄNK("http://localhost:8787/api/admin/requirements/documents/cmm4yur6v048qcuqwwb50oot6/view";"Öppna PDF")</f>
        <v/>
      </c>
      <c r="F674">
        <f>HYPERLINK("http://localhost:8787/api/admin/requirements/documents/cmm4yur6v048qcuqwwb50oot6/view","Open PDF")</f>
        <v/>
      </c>
      <c r="G674" t="inlineStr">
        <is>
          <t>cmm55w57p0004cuisfrtpqly8</t>
        </is>
      </c>
      <c r="H674" t="inlineStr">
        <is>
          <t>Informationskrav</t>
        </is>
      </c>
      <c r="I674" t="inlineStr">
        <is>
          <t>Ytkonstruktion</t>
        </is>
      </c>
      <c r="J674" t="inlineStr">
        <is>
          <t>Tat yta</t>
        </is>
      </c>
      <c r="K674" t="inlineStr">
        <is>
          <t>För att säkerställa korrekt och säker hantering bör behållare som innehåller kemikalier och flytande farligt avfall förvaras i täta invallningar och vara tydligt märkta.</t>
        </is>
      </c>
      <c r="L674" t="inlineStr">
        <is>
          <t>För att säkerställa korrekt och säker hantering bör behållare som innehåller kemikalier och flytande farligt avfall förvaras i täta invallningar och vara tydligt märkta.</t>
        </is>
      </c>
      <c r="M674" t="inlineStr">
        <is>
          <t>BOR</t>
        </is>
      </c>
      <c r="N674" t="inlineStr"/>
      <c r="O674" t="inlineStr"/>
      <c r="P674" t="inlineStr">
        <is>
          <t>Arlig</t>
        </is>
      </c>
      <c r="Q674" t="inlineStr"/>
      <c r="R674" t="inlineStr">
        <is>
          <t>Vid mellanlagring av avfall</t>
        </is>
      </c>
      <c r="S674" t="inlineStr"/>
      <c r="T674" t="inlineStr"/>
      <c r="U674" t="inlineStr"/>
      <c r="V674" t="inlineStr"/>
      <c r="W674" t="inlineStr">
        <is>
          <t>Ja</t>
        </is>
      </c>
      <c r="X674" t="inlineStr">
        <is>
          <t>Nej</t>
        </is>
      </c>
      <c r="Y674" t="inlineStr">
        <is>
          <t>Nej</t>
        </is>
      </c>
      <c r="Z674" t="inlineStr">
        <is>
          <t>Nej</t>
        </is>
      </c>
      <c r="AA674" t="n">
        <v>5</v>
      </c>
      <c r="AB674" t="inlineStr">
        <is>
          <t>Teknisk beskrivning av platta</t>
        </is>
      </c>
      <c r="AC674" t="inlineStr">
        <is>
          <t>Teknisk ritning platta</t>
        </is>
      </c>
      <c r="AD674" t="inlineStr">
        <is>
          <t>Nej</t>
        </is>
      </c>
      <c r="AE674" t="inlineStr">
        <is>
          <t>Nej</t>
        </is>
      </c>
      <c r="AF674" t="inlineStr">
        <is>
          <t>Ej behandlad</t>
        </is>
      </c>
      <c r="AG674" t="inlineStr">
        <is>
          <t>AUTO_GENERERAD. Verifiera citat mot kallfil.</t>
        </is>
      </c>
      <c r="AH674" t="inlineStr">
        <is>
          <t>MEDIUM</t>
        </is>
      </c>
      <c r="AI674" t="inlineStr">
        <is>
          <t>AUTO</t>
        </is>
      </c>
      <c r="AJ674" t="inlineStr">
        <is>
          <t>Nej</t>
        </is>
      </c>
      <c r="AK674" t="inlineStr"/>
      <c r="AL674" t="inlineStr"/>
      <c r="AM674" t="inlineStr"/>
      <c r="AN674" t="inlineStr"/>
      <c r="AO674" t="inlineStr">
        <is>
          <t>cmm4yur6y048tcuqwl5ag5aul</t>
        </is>
      </c>
      <c r="AP674" t="inlineStr">
        <is>
          <t>http://localhost:8787/api/admin/requirements/documents/cmm4yur6y048tcuqwl5ag5aul/view</t>
        </is>
      </c>
      <c r="AQ674">
        <f>HYPERLÄNK("http://localhost:8787/api/admin/requirements/documents/cmm4yur6y048tcuqwl5ag5aul/view";"Öppna PDF")</f>
        <v/>
      </c>
      <c r="AR674">
        <f>HYPERLINK("http://localhost:8787/api/admin/requirements/documents/cmm4yur6y048tcuqwl5ag5aul/view","Open PDF")</f>
        <v/>
      </c>
      <c r="AS674" t="inlineStr">
        <is>
          <t>cmm55w57p0004cuisfrtpqly8</t>
        </is>
      </c>
      <c r="AT674" t="inlineStr">
        <is>
          <t>cmm4xvu980000cuh4vj0usz09</t>
        </is>
      </c>
      <c r="AU674" t="inlineStr"/>
      <c r="AV674" t="inlineStr">
        <is>
          <t>Kommun</t>
        </is>
      </c>
      <c r="AW674" t="inlineStr"/>
      <c r="AX674" t="inlineStr"/>
      <c r="AY674" t="inlineStr">
        <is>
          <t>Anmalan</t>
        </is>
      </c>
      <c r="AZ674" t="inlineStr">
        <is>
          <t>2026-02-09</t>
        </is>
      </c>
      <c r="BA674" t="inlineStr">
        <is>
          <t>MN-2025-455-4 Krossning.pdf</t>
        </is>
      </c>
      <c r="BB674" t="inlineStr">
        <is>
          <t>Anmälningspliktiga verksamheter rörande avfall</t>
        </is>
      </c>
      <c r="BC674" t="inlineStr">
        <is>
          <t>AUTO</t>
        </is>
      </c>
      <c r="BD674" t="inlineStr"/>
      <c r="BE674" t="inlineStr"/>
      <c r="BF674" t="inlineStr">
        <is>
          <t>AUTO_GENERERAD. Bekrafta metadata mot kallfil.</t>
        </is>
      </c>
      <c r="BG674">
        <f>HYPERLINK("C:\Users\jimmy\Desktop\Examens arbete\Kod\Ny mapp\remix_-copy-of-miljöbeslut.se-portal\MN-2025-455-4 Krossning.pdf", "Öppna PDF")</f>
        <v/>
      </c>
    </row>
    <row r="675">
      <c r="A675" t="inlineStr">
        <is>
          <t>KRAV-AUTO-000674</t>
        </is>
      </c>
      <c r="B675" t="inlineStr">
        <is>
          <t>ADMIN-INDEX-2026-02-27-00000000125C043F57453246863FE664CAFE6A3F0700950291EA24F0614FB6ACEDB12BF0E31D00000000010C0000950291EA24F0614FB6ACEDB12BF0E31D00002087A59A0000</t>
        </is>
      </c>
      <c r="C675" t="inlineStr">
        <is>
          <t>cmm4yur6v048qcuqwwb50oot6</t>
        </is>
      </c>
      <c r="D675" t="inlineStr">
        <is>
          <t>http://localhost:8787/api/admin/requirements/documents/cmm4yur6v048qcuqwwb50oot6/view</t>
        </is>
      </c>
      <c r="E675">
        <f>HYPERLÄNK("http://localhost:8787/api/admin/requirements/documents/cmm4yur6v048qcuqwwb50oot6/view";"Öppna PDF")</f>
        <v/>
      </c>
      <c r="F675">
        <f>HYPERLINK("http://localhost:8787/api/admin/requirements/documents/cmm4yur6v048qcuqwwb50oot6/view","Open PDF")</f>
        <v/>
      </c>
      <c r="G675" t="inlineStr">
        <is>
          <t>cmm55w57p0004cuisfrtpqly8</t>
        </is>
      </c>
      <c r="H675" t="inlineStr">
        <is>
          <t>Informationskrav</t>
        </is>
      </c>
      <c r="I675" t="inlineStr">
        <is>
          <t>DagvattenLakvatten</t>
        </is>
      </c>
      <c r="J675" t="inlineStr">
        <is>
          <t>Uppsamling</t>
        </is>
      </c>
      <c r="K675" t="inlineStr">
        <is>
          <t>Kemiska produkter och farligt avfall ska förvaras väl uppmärkta och på sådant sätt att förorening av mark, vatten och luft inte riskeras.</t>
        </is>
      </c>
      <c r="L675" t="inlineStr">
        <is>
          <t>Kemiska produkter och farligt avfall ska förvaras väl uppmärkta och på sådant sätt att förorening av mark, vatten och luft inte riskeras.</t>
        </is>
      </c>
      <c r="M675" t="inlineStr">
        <is>
          <t>SKA</t>
        </is>
      </c>
      <c r="N675" t="inlineStr"/>
      <c r="O675" t="inlineStr"/>
      <c r="P675" t="inlineStr">
        <is>
          <t>Arlig</t>
        </is>
      </c>
      <c r="Q675" t="inlineStr"/>
      <c r="R675" t="inlineStr">
        <is>
          <t>Vid nederbord och avrinning</t>
        </is>
      </c>
      <c r="S675" t="inlineStr"/>
      <c r="T675" t="inlineStr"/>
      <c r="U675" t="inlineStr"/>
      <c r="V675" t="inlineStr"/>
      <c r="W675" t="inlineStr">
        <is>
          <t>Nej</t>
        </is>
      </c>
      <c r="X675" t="inlineStr">
        <is>
          <t>Ja</t>
        </is>
      </c>
      <c r="Y675" t="inlineStr">
        <is>
          <t>Ja</t>
        </is>
      </c>
      <c r="Z675" t="inlineStr">
        <is>
          <t>Nej</t>
        </is>
      </c>
      <c r="AA675" t="n">
        <v>6</v>
      </c>
      <c r="AB675" t="inlineStr">
        <is>
          <t>Lakvattenhantering</t>
        </is>
      </c>
      <c r="AC675" t="inlineStr">
        <is>
          <t>Flodesschema dagvatten-lakvatten</t>
        </is>
      </c>
      <c r="AD675" t="inlineStr">
        <is>
          <t>Nej</t>
        </is>
      </c>
      <c r="AE675" t="inlineStr">
        <is>
          <t>Nej</t>
        </is>
      </c>
      <c r="AF675" t="inlineStr">
        <is>
          <t>Ej behandlad</t>
        </is>
      </c>
      <c r="AG675" t="inlineStr">
        <is>
          <t>AUTO_GENERERAD. Verifiera citat mot kallfil.</t>
        </is>
      </c>
      <c r="AH675" t="inlineStr">
        <is>
          <t>MEDIUM</t>
        </is>
      </c>
      <c r="AI675" t="inlineStr">
        <is>
          <t>AUTO</t>
        </is>
      </c>
      <c r="AJ675" t="inlineStr">
        <is>
          <t>Nej</t>
        </is>
      </c>
      <c r="AK675" t="inlineStr"/>
      <c r="AL675" t="inlineStr"/>
      <c r="AM675" t="inlineStr"/>
      <c r="AN675" t="inlineStr"/>
      <c r="AO675" t="inlineStr">
        <is>
          <t>cmm4yur6y048tcuqwl5ag5aul</t>
        </is>
      </c>
      <c r="AP675" t="inlineStr">
        <is>
          <t>http://localhost:8787/api/admin/requirements/documents/cmm4yur6y048tcuqwl5ag5aul/view</t>
        </is>
      </c>
      <c r="AQ675">
        <f>HYPERLÄNK("http://localhost:8787/api/admin/requirements/documents/cmm4yur6y048tcuqwl5ag5aul/view";"Öppna PDF")</f>
        <v/>
      </c>
      <c r="AR675">
        <f>HYPERLINK("http://localhost:8787/api/admin/requirements/documents/cmm4yur6y048tcuqwl5ag5aul/view","Open PDF")</f>
        <v/>
      </c>
      <c r="AS675" t="inlineStr">
        <is>
          <t>cmm55w57p0004cuisfrtpqly8</t>
        </is>
      </c>
      <c r="AT675" t="inlineStr">
        <is>
          <t>cmm4xvu980000cuh4vj0usz09</t>
        </is>
      </c>
      <c r="AU675" t="inlineStr"/>
      <c r="AV675" t="inlineStr">
        <is>
          <t>Kommun</t>
        </is>
      </c>
      <c r="AW675" t="inlineStr"/>
      <c r="AX675" t="inlineStr"/>
      <c r="AY675" t="inlineStr">
        <is>
          <t>Anmalan</t>
        </is>
      </c>
      <c r="AZ675" t="inlineStr">
        <is>
          <t>2026-02-09</t>
        </is>
      </c>
      <c r="BA675" t="inlineStr">
        <is>
          <t>MN-2025-455-4 Krossning.pdf</t>
        </is>
      </c>
      <c r="BB675" t="inlineStr">
        <is>
          <t>Anmälningspliktiga verksamheter rörande avfall</t>
        </is>
      </c>
      <c r="BC675" t="inlineStr">
        <is>
          <t>AUTO</t>
        </is>
      </c>
      <c r="BD675" t="inlineStr"/>
      <c r="BE675" t="inlineStr"/>
      <c r="BF675" t="inlineStr">
        <is>
          <t>AUTO_GENERERAD. Bekrafta metadata mot kallfil.</t>
        </is>
      </c>
      <c r="BG675">
        <f>HYPERLINK("C:\Users\jimmy\Desktop\Examens arbete\Kod\Ny mapp\remix_-copy-of-miljöbeslut.se-portal\MN-2025-455-4 Krossning.pdf", "Öppna PDF")</f>
        <v/>
      </c>
    </row>
    <row r="676">
      <c r="A676" t="inlineStr">
        <is>
          <t>KRAV-AUTO-000675</t>
        </is>
      </c>
      <c r="B676" t="inlineStr">
        <is>
          <t>ADMIN-INDEX-2026-02-27-00000000125C043F57453246863FE664CAFE6A3F0700950291EA24F0614FB6ACEDB12BF0E31D00000000010C0000950291EA24F0614FB6ACEDB12BF0E31D00002087ADF40000</t>
        </is>
      </c>
      <c r="C676" t="inlineStr">
        <is>
          <t>cmm4yuqgm03khcuqwa7nrttmq</t>
        </is>
      </c>
      <c r="D676" t="inlineStr">
        <is>
          <t>http://localhost:8787/api/admin/requirements/documents/cmm4yuqgm03khcuqwa7nrttmq/view</t>
        </is>
      </c>
      <c r="E676">
        <f>HYPERLÄNK("http://localhost:8787/api/admin/requirements/documents/cmm4yuqgm03khcuqwa7nrttmq/view";"Öppna PDF")</f>
        <v/>
      </c>
      <c r="F676">
        <f>HYPERLINK("http://localhost:8787/api/admin/requirements/documents/cmm4yuqgm03khcuqwa7nrttmq/view","Open PDF")</f>
        <v/>
      </c>
      <c r="G676" t="inlineStr">
        <is>
          <t>cmm55w57p0004cuisfrtpqly8</t>
        </is>
      </c>
      <c r="H676" t="inlineStr">
        <is>
          <t>Beslutsvillkor</t>
        </is>
      </c>
      <c r="I676" t="inlineStr">
        <is>
          <t>DagvattenLakvatten</t>
        </is>
      </c>
      <c r="J676" t="inlineStr">
        <is>
          <t>Uppsamling</t>
        </is>
      </c>
      <c r="K676" t="inlineStr">
        <is>
          <t>Anläggningen ska möjliggöra provtagning av lakvatten efter avvattningen av avfall.</t>
        </is>
      </c>
      <c r="L676" t="inlineStr">
        <is>
          <t>Anläggningen ska möjliggöra provtagning av lakvatten efter avvattningen av avfall.</t>
        </is>
      </c>
      <c r="M676" t="inlineStr">
        <is>
          <t>SKA</t>
        </is>
      </c>
      <c r="N676" t="inlineStr"/>
      <c r="O676" t="inlineStr"/>
      <c r="P676" t="inlineStr"/>
      <c r="Q676" t="inlineStr"/>
      <c r="R676" t="inlineStr">
        <is>
          <t>Vid nederbord och avrinning</t>
        </is>
      </c>
      <c r="S676" t="inlineStr"/>
      <c r="T676" t="inlineStr">
        <is>
          <t>17 0340</t>
        </is>
      </c>
      <c r="U676" t="inlineStr"/>
      <c r="V676" t="inlineStr"/>
      <c r="W676" t="inlineStr">
        <is>
          <t>Nej</t>
        </is>
      </c>
      <c r="X676" t="inlineStr">
        <is>
          <t>Ja</t>
        </is>
      </c>
      <c r="Y676" t="inlineStr">
        <is>
          <t>Ja</t>
        </is>
      </c>
      <c r="Z676" t="inlineStr">
        <is>
          <t>Nej</t>
        </is>
      </c>
      <c r="AA676" t="n">
        <v>6</v>
      </c>
      <c r="AB676" t="inlineStr">
        <is>
          <t>Lakvattenhantering</t>
        </is>
      </c>
      <c r="AC676" t="inlineStr">
        <is>
          <t>Flodesschema dagvatten-lakvatten</t>
        </is>
      </c>
      <c r="AD676" t="inlineStr">
        <is>
          <t>Nej</t>
        </is>
      </c>
      <c r="AE676" t="inlineStr">
        <is>
          <t>Nej</t>
        </is>
      </c>
      <c r="AF676" t="inlineStr">
        <is>
          <t>Ej behandlad</t>
        </is>
      </c>
      <c r="AG676" t="inlineStr">
        <is>
          <t>AUTO_GENERERAD. Verifiera citat mot kallfil.</t>
        </is>
      </c>
      <c r="AH676" t="inlineStr">
        <is>
          <t>MEDIUM</t>
        </is>
      </c>
      <c r="AI676" t="inlineStr">
        <is>
          <t>AUTO</t>
        </is>
      </c>
      <c r="AJ676" t="inlineStr">
        <is>
          <t>Nej</t>
        </is>
      </c>
      <c r="AK676" t="inlineStr"/>
      <c r="AL676" t="inlineStr"/>
      <c r="AM676" t="inlineStr"/>
      <c r="AN676" t="inlineStr"/>
      <c r="AO676" t="inlineStr">
        <is>
          <t>cmm4yuqgw03ktcuqwsj8z1sdd</t>
        </is>
      </c>
      <c r="AP676" t="inlineStr">
        <is>
          <t>http://localhost:8787/api/admin/requirements/documents/cmm4yuqgw03ktcuqwsj8z1sdd/view</t>
        </is>
      </c>
      <c r="AQ676">
        <f>HYPERLÄNK("http://localhost:8787/api/admin/requirements/documents/cmm4yuqgw03ktcuqwsj8z1sdd/view";"Öppna PDF")</f>
        <v/>
      </c>
      <c r="AR676">
        <f>HYPERLINK("http://localhost:8787/api/admin/requirements/documents/cmm4yuqgw03ktcuqwsj8z1sdd/view","Open PDF")</f>
        <v/>
      </c>
      <c r="AS676" t="inlineStr">
        <is>
          <t>cmm55w57p0004cuisfrtpqly8</t>
        </is>
      </c>
      <c r="AT676" t="inlineStr">
        <is>
          <t>cmm4xvu980000cuh4vj0usz09</t>
        </is>
      </c>
      <c r="AU676" t="inlineStr">
        <is>
          <t>fattat av Miljöskyddsenheten i Varbergs</t>
        </is>
      </c>
      <c r="AV676" t="inlineStr">
        <is>
          <t>Kommun</t>
        </is>
      </c>
      <c r="AW676" t="inlineStr">
        <is>
          <t>fattat av Miljöskyddsenheten i Varbergs kommun</t>
        </is>
      </c>
      <c r="AX676" t="inlineStr">
        <is>
          <t>2024-05</t>
        </is>
      </c>
      <c r="AY676" t="inlineStr">
        <is>
          <t>Beslut</t>
        </is>
      </c>
      <c r="AZ676" t="inlineStr">
        <is>
          <t>2026-02-05</t>
        </is>
      </c>
      <c r="BA676" t="inlineStr">
        <is>
          <t>PM Sedimentationsdammar 2024-1596.pdf</t>
        </is>
      </c>
      <c r="BB676" t="inlineStr">
        <is>
          <t>Sv: till registrator</t>
        </is>
      </c>
      <c r="BC676" t="inlineStr">
        <is>
          <t>AUTO</t>
        </is>
      </c>
      <c r="BD676" t="inlineStr"/>
      <c r="BE676" t="inlineStr"/>
      <c r="BF676" t="inlineStr">
        <is>
          <t>AUTO_GENERERAD. Bekrafta metadata mot kallfil.</t>
        </is>
      </c>
      <c r="BG676">
        <f>HYPERLINK("C:\Users\jimmy\Desktop\Examens arbete\Kod\Ny mapp\remix_-copy-of-miljöbeslut.se-portal\PM Sedimentationsdammar 2024-1596.pdf", "Öppna PDF")</f>
        <v/>
      </c>
    </row>
    <row r="677">
      <c r="A677" t="inlineStr">
        <is>
          <t>KRAV-AUTO-000676</t>
        </is>
      </c>
      <c r="B677" t="inlineStr">
        <is>
          <t>ADMIN-INDEX-2026-02-27-00000000125C043F57453246863FE664CAFE6A3F0700950291EA24F0614FB6ACEDB12BF0E31D00000000010C0000950291EA24F0614FB6ACEDB12BF0E31D00002087ADF40000</t>
        </is>
      </c>
      <c r="C677" t="inlineStr">
        <is>
          <t>cmm4yuqgm03khcuqwa7nrttmq</t>
        </is>
      </c>
      <c r="D677" t="inlineStr">
        <is>
          <t>http://localhost:8787/api/admin/requirements/documents/cmm4yuqgm03khcuqwa7nrttmq/view</t>
        </is>
      </c>
      <c r="E677">
        <f>HYPERLÄNK("http://localhost:8787/api/admin/requirements/documents/cmm4yuqgm03khcuqwa7nrttmq/view";"Öppna PDF")</f>
        <v/>
      </c>
      <c r="F677">
        <f>HYPERLINK("http://localhost:8787/api/admin/requirements/documents/cmm4yuqgm03khcuqwa7nrttmq/view","Open PDF")</f>
        <v/>
      </c>
      <c r="G677" t="inlineStr">
        <is>
          <t>cmm55w57p0004cuisfrtpqly8</t>
        </is>
      </c>
      <c r="H677" t="inlineStr">
        <is>
          <t>Beslutsvillkor</t>
        </is>
      </c>
      <c r="I677" t="inlineStr">
        <is>
          <t>DagvattenLakvatten</t>
        </is>
      </c>
      <c r="J677" t="inlineStr">
        <is>
          <t>Uppsamling</t>
        </is>
      </c>
      <c r="K677" t="inlineStr">
        <is>
          <t>Anläggningen ska möjliggöra stängning av avledning av lakvatten till sedimentationsdammar.</t>
        </is>
      </c>
      <c r="L677" t="inlineStr">
        <is>
          <t>Anläggningen ska möjliggöra stängning av avledning av lakvatten till sedimentationsdammar.</t>
        </is>
      </c>
      <c r="M677" t="inlineStr">
        <is>
          <t>SKA</t>
        </is>
      </c>
      <c r="N677" t="inlineStr"/>
      <c r="O677" t="inlineStr"/>
      <c r="P677" t="inlineStr"/>
      <c r="Q677" t="inlineStr"/>
      <c r="R677" t="inlineStr">
        <is>
          <t>Vid nederbord och avrinning</t>
        </is>
      </c>
      <c r="S677" t="inlineStr"/>
      <c r="T677" t="inlineStr">
        <is>
          <t>17 0340</t>
        </is>
      </c>
      <c r="U677" t="inlineStr"/>
      <c r="V677" t="inlineStr"/>
      <c r="W677" t="inlineStr">
        <is>
          <t>Nej</t>
        </is>
      </c>
      <c r="X677" t="inlineStr">
        <is>
          <t>Ja</t>
        </is>
      </c>
      <c r="Y677" t="inlineStr">
        <is>
          <t>Ja</t>
        </is>
      </c>
      <c r="Z677" t="inlineStr">
        <is>
          <t>Nej</t>
        </is>
      </c>
      <c r="AA677" t="n">
        <v>6</v>
      </c>
      <c r="AB677" t="inlineStr">
        <is>
          <t>Lakvattenhantering</t>
        </is>
      </c>
      <c r="AC677" t="inlineStr">
        <is>
          <t>Flodesschema dagvatten-lakvatten</t>
        </is>
      </c>
      <c r="AD677" t="inlineStr">
        <is>
          <t>Nej</t>
        </is>
      </c>
      <c r="AE677" t="inlineStr">
        <is>
          <t>Nej</t>
        </is>
      </c>
      <c r="AF677" t="inlineStr">
        <is>
          <t>Ej behandlad</t>
        </is>
      </c>
      <c r="AG677" t="inlineStr">
        <is>
          <t>AUTO_GENERERAD. Verifiera citat mot kallfil.</t>
        </is>
      </c>
      <c r="AH677" t="inlineStr">
        <is>
          <t>MEDIUM</t>
        </is>
      </c>
      <c r="AI677" t="inlineStr">
        <is>
          <t>AUTO</t>
        </is>
      </c>
      <c r="AJ677" t="inlineStr">
        <is>
          <t>Nej</t>
        </is>
      </c>
      <c r="AK677" t="inlineStr"/>
      <c r="AL677" t="inlineStr"/>
      <c r="AM677" t="inlineStr"/>
      <c r="AN677" t="inlineStr"/>
      <c r="AO677" t="inlineStr">
        <is>
          <t>cmm4yuqgw03ktcuqwsj8z1sdd</t>
        </is>
      </c>
      <c r="AP677" t="inlineStr">
        <is>
          <t>http://localhost:8787/api/admin/requirements/documents/cmm4yuqgw03ktcuqwsj8z1sdd/view</t>
        </is>
      </c>
      <c r="AQ677">
        <f>HYPERLÄNK("http://localhost:8787/api/admin/requirements/documents/cmm4yuqgw03ktcuqwsj8z1sdd/view";"Öppna PDF")</f>
        <v/>
      </c>
      <c r="AR677">
        <f>HYPERLINK("http://localhost:8787/api/admin/requirements/documents/cmm4yuqgw03ktcuqwsj8z1sdd/view","Open PDF")</f>
        <v/>
      </c>
      <c r="AS677" t="inlineStr">
        <is>
          <t>cmm55w57p0004cuisfrtpqly8</t>
        </is>
      </c>
      <c r="AT677" t="inlineStr">
        <is>
          <t>cmm4xvu980000cuh4vj0usz09</t>
        </is>
      </c>
      <c r="AU677" t="inlineStr">
        <is>
          <t>fattat av Miljöskyddsenheten i Varbergs</t>
        </is>
      </c>
      <c r="AV677" t="inlineStr">
        <is>
          <t>Kommun</t>
        </is>
      </c>
      <c r="AW677" t="inlineStr">
        <is>
          <t>fattat av Miljöskyddsenheten i Varbergs kommun</t>
        </is>
      </c>
      <c r="AX677" t="inlineStr">
        <is>
          <t>2024-05</t>
        </is>
      </c>
      <c r="AY677" t="inlineStr">
        <is>
          <t>Beslut</t>
        </is>
      </c>
      <c r="AZ677" t="inlineStr">
        <is>
          <t>2026-02-05</t>
        </is>
      </c>
      <c r="BA677" t="inlineStr">
        <is>
          <t>PM Sedimentationsdammar 2024-1596.pdf</t>
        </is>
      </c>
      <c r="BB677" t="inlineStr">
        <is>
          <t>Sv: till registrator</t>
        </is>
      </c>
      <c r="BC677" t="inlineStr">
        <is>
          <t>AUTO</t>
        </is>
      </c>
      <c r="BD677" t="inlineStr"/>
      <c r="BE677" t="inlineStr"/>
      <c r="BF677" t="inlineStr">
        <is>
          <t>AUTO_GENERERAD. Bekrafta metadata mot kallfil.</t>
        </is>
      </c>
      <c r="BG677">
        <f>HYPERLINK("C:\Users\jimmy\Desktop\Examens arbete\Kod\Ny mapp\remix_-copy-of-miljöbeslut.se-portal\PM Sedimentationsdammar 2024-1596.pdf", "Öppna PDF")</f>
        <v/>
      </c>
    </row>
    <row r="678">
      <c r="A678" t="inlineStr">
        <is>
          <t>KRAV-AUTO-000677</t>
        </is>
      </c>
      <c r="B678" t="inlineStr">
        <is>
          <t>ADMIN-INDEX-2026-02-27-00000000125C043F57453246863FE664CAFE6A3F0700950291EA24F0614FB6ACEDB12BF0E31D00000000010C0000950291EA24F0614FB6ACEDB12BF0E31D00002087ADF40000</t>
        </is>
      </c>
      <c r="C678" t="inlineStr">
        <is>
          <t>cmm4yuqgm03khcuqwa7nrttmq</t>
        </is>
      </c>
      <c r="D678" t="inlineStr">
        <is>
          <t>http://localhost:8787/api/admin/requirements/documents/cmm4yuqgm03khcuqwa7nrttmq/view</t>
        </is>
      </c>
      <c r="E678">
        <f>HYPERLÄNK("http://localhost:8787/api/admin/requirements/documents/cmm4yuqgm03khcuqwa7nrttmq/view";"Öppna PDF")</f>
        <v/>
      </c>
      <c r="F678">
        <f>HYPERLINK("http://localhost:8787/api/admin/requirements/documents/cmm4yuqgm03khcuqwa7nrttmq/view","Open PDF")</f>
        <v/>
      </c>
      <c r="G678" t="inlineStr">
        <is>
          <t>cmm55w57p0004cuisfrtpqly8</t>
        </is>
      </c>
      <c r="H678" t="inlineStr">
        <is>
          <t>Beslutsvillkor</t>
        </is>
      </c>
      <c r="I678" t="inlineStr">
        <is>
          <t>DagvattenLakvatten</t>
        </is>
      </c>
      <c r="J678" t="inlineStr">
        <is>
          <t>Uppsamling</t>
        </is>
      </c>
      <c r="K678" t="inlineStr">
        <is>
          <t>Vid misstanke om förorening i inlevererat material ska tömning omedelbart avbrytas och avledning av lakvatten upphöra.</t>
        </is>
      </c>
      <c r="L678" t="inlineStr">
        <is>
          <t>Vid misstanke om förorening i inlevererat material ska tömning omedelbart avbrytas och avledning av lakvatten upphöra.</t>
        </is>
      </c>
      <c r="M678" t="inlineStr">
        <is>
          <t>SKA</t>
        </is>
      </c>
      <c r="N678" t="inlineStr"/>
      <c r="O678" t="inlineStr"/>
      <c r="P678" t="inlineStr"/>
      <c r="Q678" t="inlineStr"/>
      <c r="R678" t="inlineStr">
        <is>
          <t>Vid nederbord och avrinning</t>
        </is>
      </c>
      <c r="S678" t="inlineStr"/>
      <c r="T678" t="inlineStr">
        <is>
          <t>17 0340</t>
        </is>
      </c>
      <c r="U678" t="inlineStr"/>
      <c r="V678" t="inlineStr"/>
      <c r="W678" t="inlineStr">
        <is>
          <t>Nej</t>
        </is>
      </c>
      <c r="X678" t="inlineStr">
        <is>
          <t>Ja</t>
        </is>
      </c>
      <c r="Y678" t="inlineStr">
        <is>
          <t>Ja</t>
        </is>
      </c>
      <c r="Z678" t="inlineStr">
        <is>
          <t>Nej</t>
        </is>
      </c>
      <c r="AA678" t="n">
        <v>6</v>
      </c>
      <c r="AB678" t="inlineStr">
        <is>
          <t>Lakvattenhantering</t>
        </is>
      </c>
      <c r="AC678" t="inlineStr">
        <is>
          <t>Flodesschema dagvatten-lakvatten</t>
        </is>
      </c>
      <c r="AD678" t="inlineStr">
        <is>
          <t>Nej</t>
        </is>
      </c>
      <c r="AE678" t="inlineStr">
        <is>
          <t>Nej</t>
        </is>
      </c>
      <c r="AF678" t="inlineStr">
        <is>
          <t>Ej behandlad</t>
        </is>
      </c>
      <c r="AG678" t="inlineStr">
        <is>
          <t>AUTO_GENERERAD. Verifiera citat mot kallfil.</t>
        </is>
      </c>
      <c r="AH678" t="inlineStr">
        <is>
          <t>MEDIUM</t>
        </is>
      </c>
      <c r="AI678" t="inlineStr">
        <is>
          <t>AUTO</t>
        </is>
      </c>
      <c r="AJ678" t="inlineStr">
        <is>
          <t>Nej</t>
        </is>
      </c>
      <c r="AK678" t="inlineStr"/>
      <c r="AL678" t="inlineStr"/>
      <c r="AM678" t="inlineStr"/>
      <c r="AN678" t="inlineStr"/>
      <c r="AO678" t="inlineStr">
        <is>
          <t>cmm4yuqgw03ktcuqwsj8z1sdd</t>
        </is>
      </c>
      <c r="AP678" t="inlineStr">
        <is>
          <t>http://localhost:8787/api/admin/requirements/documents/cmm4yuqgw03ktcuqwsj8z1sdd/view</t>
        </is>
      </c>
      <c r="AQ678">
        <f>HYPERLÄNK("http://localhost:8787/api/admin/requirements/documents/cmm4yuqgw03ktcuqwsj8z1sdd/view";"Öppna PDF")</f>
        <v/>
      </c>
      <c r="AR678">
        <f>HYPERLINK("http://localhost:8787/api/admin/requirements/documents/cmm4yuqgw03ktcuqwsj8z1sdd/view","Open PDF")</f>
        <v/>
      </c>
      <c r="AS678" t="inlineStr">
        <is>
          <t>cmm55w57p0004cuisfrtpqly8</t>
        </is>
      </c>
      <c r="AT678" t="inlineStr">
        <is>
          <t>cmm4xvu980000cuh4vj0usz09</t>
        </is>
      </c>
      <c r="AU678" t="inlineStr">
        <is>
          <t>fattat av Miljöskyddsenheten i Varbergs</t>
        </is>
      </c>
      <c r="AV678" t="inlineStr">
        <is>
          <t>Kommun</t>
        </is>
      </c>
      <c r="AW678" t="inlineStr">
        <is>
          <t>fattat av Miljöskyddsenheten i Varbergs kommun</t>
        </is>
      </c>
      <c r="AX678" t="inlineStr">
        <is>
          <t>2024-05</t>
        </is>
      </c>
      <c r="AY678" t="inlineStr">
        <is>
          <t>Beslut</t>
        </is>
      </c>
      <c r="AZ678" t="inlineStr">
        <is>
          <t>2026-02-05</t>
        </is>
      </c>
      <c r="BA678" t="inlineStr">
        <is>
          <t>PM Sedimentationsdammar 2024-1596.pdf</t>
        </is>
      </c>
      <c r="BB678" t="inlineStr">
        <is>
          <t>Sv: till registrator</t>
        </is>
      </c>
      <c r="BC678" t="inlineStr">
        <is>
          <t>AUTO</t>
        </is>
      </c>
      <c r="BD678" t="inlineStr"/>
      <c r="BE678" t="inlineStr"/>
      <c r="BF678" t="inlineStr">
        <is>
          <t>AUTO_GENERERAD. Bekrafta metadata mot kallfil.</t>
        </is>
      </c>
      <c r="BG678">
        <f>HYPERLINK("C:\Users\jimmy\Desktop\Examens arbete\Kod\Ny mapp\remix_-copy-of-miljöbeslut.se-portal\PM Sedimentationsdammar 2024-1596.pdf", "Öppna PDF")</f>
        <v/>
      </c>
    </row>
    <row r="679">
      <c r="A679" t="inlineStr">
        <is>
          <t>KRAV-AUTO-000678</t>
        </is>
      </c>
      <c r="B679" t="inlineStr">
        <is>
          <t>ADMIN-INDEX-2026-02-27-00000000125C043F57453246863FE664CAFE6A3F0700950291EA24F0614FB6ACEDB12BF0E31D00000000010C0000950291EA24F0614FB6ACEDB12BF0E31D00002087ADF40000</t>
        </is>
      </c>
      <c r="C679" t="inlineStr">
        <is>
          <t>cmm4yuqgj03kecuqwf156vcw1</t>
        </is>
      </c>
      <c r="D679" t="inlineStr">
        <is>
          <t>http://localhost:8787/api/admin/requirements/documents/cmm4yuqgj03kecuqwf156vcw1/view</t>
        </is>
      </c>
      <c r="E679">
        <f>HYPERLÄNK("http://localhost:8787/api/admin/requirements/documents/cmm4yuqgj03kecuqwf156vcw1/view";"Öppna PDF")</f>
        <v/>
      </c>
      <c r="F679">
        <f>HYPERLINK("http://localhost:8787/api/admin/requirements/documents/cmm4yuqgj03kecuqwf156vcw1/view","Open PDF")</f>
        <v/>
      </c>
      <c r="G679" t="inlineStr">
        <is>
          <t>cmm55w57p0004cuisfrtpqly8</t>
        </is>
      </c>
      <c r="H679" t="inlineStr">
        <is>
          <t>Beslutsvillkor</t>
        </is>
      </c>
      <c r="I679" t="inlineStr">
        <is>
          <t>LagringsvolymTid</t>
        </is>
      </c>
      <c r="J679" t="inlineStr">
        <is>
          <t>Maxmangd</t>
        </is>
      </c>
      <c r="K679" t="inlineStr">
        <is>
          <t>Resurshushållning Uppskattad energianvändning inom verksamheten Energislag Solenergi, fosila bränslen Uppskattad energimängd (kWh/år) 7000 Har ni valt ”gröna” avtal för till exempel el och/eller fjärrgas?</t>
        </is>
      </c>
      <c r="L679" t="inlineStr">
        <is>
          <t>Resurshushållning Uppskattad energianvändning inom verksamheten Energislag Solenergi, fosila bränslen Uppskattad energimängd (kWh/år) 7000 Har ni valt ”gröna” avtal för till exempel el och/eller fjärrgas?</t>
        </is>
      </c>
      <c r="M679" t="inlineStr">
        <is>
          <t>SKA</t>
        </is>
      </c>
      <c r="N679" t="inlineStr"/>
      <c r="O679" t="inlineStr"/>
      <c r="P679" t="inlineStr"/>
      <c r="Q679" t="inlineStr"/>
      <c r="R679" t="inlineStr">
        <is>
          <t>Alltid</t>
        </is>
      </c>
      <c r="S679" t="inlineStr"/>
      <c r="T679" t="inlineStr">
        <is>
          <t>250707</t>
        </is>
      </c>
      <c r="U679" t="inlineStr"/>
      <c r="V679" t="inlineStr"/>
      <c r="W679" t="inlineStr">
        <is>
          <t>Nej</t>
        </is>
      </c>
      <c r="X679" t="inlineStr">
        <is>
          <t>Nej</t>
        </is>
      </c>
      <c r="Y679" t="inlineStr">
        <is>
          <t>Nej</t>
        </is>
      </c>
      <c r="Z679" t="inlineStr">
        <is>
          <t>Nej</t>
        </is>
      </c>
      <c r="AA679" t="n">
        <v>4</v>
      </c>
      <c r="AB679" t="inlineStr">
        <is>
          <t>Avfallsmangder och lagringstid</t>
        </is>
      </c>
      <c r="AC679" t="inlineStr">
        <is>
          <t>Avfallsforteckning</t>
        </is>
      </c>
      <c r="AD679" t="inlineStr">
        <is>
          <t>Nej</t>
        </is>
      </c>
      <c r="AE679" t="inlineStr">
        <is>
          <t>Nej</t>
        </is>
      </c>
      <c r="AF679" t="inlineStr">
        <is>
          <t>Ej behandlad</t>
        </is>
      </c>
      <c r="AG679" t="inlineStr">
        <is>
          <t>AUTO_GENERERAD. Verifiera citat mot kallfil.</t>
        </is>
      </c>
      <c r="AH679" t="inlineStr">
        <is>
          <t>MEDIUM</t>
        </is>
      </c>
      <c r="AI679" t="inlineStr">
        <is>
          <t>AUTO</t>
        </is>
      </c>
      <c r="AJ679" t="inlineStr">
        <is>
          <t>Nej</t>
        </is>
      </c>
      <c r="AK679" t="inlineStr"/>
      <c r="AL679" t="inlineStr"/>
      <c r="AM679" t="inlineStr"/>
      <c r="AN679" t="inlineStr"/>
      <c r="AO679" t="inlineStr">
        <is>
          <t>cmm4yuqgw03ktcuqwsj8z1sdd</t>
        </is>
      </c>
      <c r="AP679" t="inlineStr">
        <is>
          <t>http://localhost:8787/api/admin/requirements/documents/cmm4yuqgw03ktcuqwsj8z1sdd/view</t>
        </is>
      </c>
      <c r="AQ679">
        <f>HYPERLÄNK("http://localhost:8787/api/admin/requirements/documents/cmm4yuqgw03ktcuqwsj8z1sdd/view";"Öppna PDF")</f>
        <v/>
      </c>
      <c r="AR679">
        <f>HYPERLINK("http://localhost:8787/api/admin/requirements/documents/cmm4yuqgw03ktcuqwsj8z1sdd/view","Open PDF")</f>
        <v/>
      </c>
      <c r="AS679" t="inlineStr">
        <is>
          <t>cmm55w57p0004cuisfrtpqly8</t>
        </is>
      </c>
      <c r="AT679" t="inlineStr">
        <is>
          <t>cmm4xvu980000cuh4vj0usz09</t>
        </is>
      </c>
      <c r="AU679" t="inlineStr">
        <is>
          <t>fattat av Miljöskyddsenheten i Varbergs</t>
        </is>
      </c>
      <c r="AV679" t="inlineStr">
        <is>
          <t>Kommun</t>
        </is>
      </c>
      <c r="AW679" t="inlineStr">
        <is>
          <t>fattat av Miljöskyddsenheten i Varbergs kommun</t>
        </is>
      </c>
      <c r="AX679" t="inlineStr">
        <is>
          <t>2024-05</t>
        </is>
      </c>
      <c r="AY679" t="inlineStr">
        <is>
          <t>Beslut</t>
        </is>
      </c>
      <c r="AZ679" t="inlineStr">
        <is>
          <t>2026-02-05</t>
        </is>
      </c>
      <c r="BA679" t="inlineStr">
        <is>
          <t>PM Sedimentationsdammar 2024-1596.pdf</t>
        </is>
      </c>
      <c r="BB679" t="inlineStr">
        <is>
          <t>Sv: till registrator</t>
        </is>
      </c>
      <c r="BC679" t="inlineStr">
        <is>
          <t>AUTO</t>
        </is>
      </c>
      <c r="BD679" t="inlineStr"/>
      <c r="BE679" t="inlineStr"/>
      <c r="BF679" t="inlineStr">
        <is>
          <t>AUTO_GENERERAD. Bekrafta metadata mot kallfil.</t>
        </is>
      </c>
      <c r="BG679">
        <f>HYPERLINK("C:\Users\jimmy\Desktop\Examens arbete\Kod\Ny mapp\remix_-copy-of-miljöbeslut.se-portal\PM Sedimentationsdammar 2024-1596.pdf", "Öppna PDF")</f>
        <v/>
      </c>
    </row>
    <row r="680">
      <c r="A680" t="inlineStr">
        <is>
          <t>KRAV-AUTO-000679</t>
        </is>
      </c>
      <c r="B680" t="inlineStr">
        <is>
          <t>ADMIN-INDEX-2026-02-27-00000000125C043F57453246863FE664CAFE6A3F0700950291EA24F0614FB6ACEDB12BF0E31D00000000010C0000950291EA24F0614FB6ACEDB12BF0E31D00002087ADF40000</t>
        </is>
      </c>
      <c r="C680" t="inlineStr">
        <is>
          <t>cmm4yuqg503jzcuqwqo6390c7</t>
        </is>
      </c>
      <c r="D680" t="inlineStr">
        <is>
          <t>http://localhost:8787/api/admin/requirements/documents/cmm4yuqg503jzcuqwqo6390c7/view</t>
        </is>
      </c>
      <c r="E680">
        <f>HYPERLÄNK("http://localhost:8787/api/admin/requirements/documents/cmm4yuqg503jzcuqwqo6390c7/view";"Öppna PDF")</f>
        <v/>
      </c>
      <c r="F680">
        <f>HYPERLINK("http://localhost:8787/api/admin/requirements/documents/cmm4yuqg503jzcuqwqo6390c7/view","Open PDF")</f>
        <v/>
      </c>
      <c r="G680" t="inlineStr">
        <is>
          <t>cmm55w57p0004cuisfrtpqly8</t>
        </is>
      </c>
      <c r="H680" t="inlineStr">
        <is>
          <t>Informationskrav</t>
        </is>
      </c>
      <c r="I680" t="inlineStr">
        <is>
          <t>LagringsvolymTid</t>
        </is>
      </c>
      <c r="J680" t="inlineStr">
        <is>
          <t>Maxmangd</t>
        </is>
      </c>
      <c r="K680" t="inlineStr">
        <is>
          <t>Det avfall som tas emot vid verksamheten ska åtföljas av dokumentation som anger mottagningsdatum, mängd, avfallstyp med avfallskod samt vart avfallet kommer ifrån.</t>
        </is>
      </c>
      <c r="L680" t="inlineStr">
        <is>
          <t>Det avfall som tas emot vid verksamheten ska åtföljas av dokumentation som anger mottagningsdatum, mängd, avfallstyp med avfallskod samt vart avfallet kommer ifrån.</t>
        </is>
      </c>
      <c r="M680" t="inlineStr">
        <is>
          <t>SKA</t>
        </is>
      </c>
      <c r="N680" t="inlineStr"/>
      <c r="O680" t="inlineStr"/>
      <c r="P680" t="inlineStr"/>
      <c r="Q680" t="inlineStr"/>
      <c r="R680" t="inlineStr">
        <is>
          <t>Alltid</t>
        </is>
      </c>
      <c r="S680" t="inlineStr"/>
      <c r="T680" t="inlineStr">
        <is>
          <t>14 0340</t>
        </is>
      </c>
      <c r="U680" t="inlineStr"/>
      <c r="V680" t="inlineStr"/>
      <c r="W680" t="inlineStr">
        <is>
          <t>Nej</t>
        </is>
      </c>
      <c r="X680" t="inlineStr">
        <is>
          <t>Nej</t>
        </is>
      </c>
      <c r="Y680" t="inlineStr">
        <is>
          <t>Nej</t>
        </is>
      </c>
      <c r="Z680" t="inlineStr">
        <is>
          <t>Nej</t>
        </is>
      </c>
      <c r="AA680" t="n">
        <v>4</v>
      </c>
      <c r="AB680" t="inlineStr">
        <is>
          <t>Avfallsmangder och lagringstid</t>
        </is>
      </c>
      <c r="AC680" t="inlineStr">
        <is>
          <t>Avfallsforteckning</t>
        </is>
      </c>
      <c r="AD680" t="inlineStr">
        <is>
          <t>Nej</t>
        </is>
      </c>
      <c r="AE680" t="inlineStr">
        <is>
          <t>Nej</t>
        </is>
      </c>
      <c r="AF680" t="inlineStr">
        <is>
          <t>Ej behandlad</t>
        </is>
      </c>
      <c r="AG680" t="inlineStr">
        <is>
          <t>AUTO_GENERERAD. Verifiera citat mot kallfil.</t>
        </is>
      </c>
      <c r="AH680" t="inlineStr">
        <is>
          <t>MEDIUM</t>
        </is>
      </c>
      <c r="AI680" t="inlineStr">
        <is>
          <t>AUTO</t>
        </is>
      </c>
      <c r="AJ680" t="inlineStr">
        <is>
          <t>Nej</t>
        </is>
      </c>
      <c r="AK680" t="inlineStr"/>
      <c r="AL680" t="inlineStr"/>
      <c r="AM680" t="inlineStr"/>
      <c r="AN680" t="inlineStr"/>
      <c r="AO680" t="inlineStr">
        <is>
          <t>cmm4yuqgw03ktcuqwsj8z1sdd</t>
        </is>
      </c>
      <c r="AP680" t="inlineStr">
        <is>
          <t>http://localhost:8787/api/admin/requirements/documents/cmm4yuqgw03ktcuqwsj8z1sdd/view</t>
        </is>
      </c>
      <c r="AQ680">
        <f>HYPERLÄNK("http://localhost:8787/api/admin/requirements/documents/cmm4yuqgw03ktcuqwsj8z1sdd/view";"Öppna PDF")</f>
        <v/>
      </c>
      <c r="AR680">
        <f>HYPERLINK("http://localhost:8787/api/admin/requirements/documents/cmm4yuqgw03ktcuqwsj8z1sdd/view","Open PDF")</f>
        <v/>
      </c>
      <c r="AS680" t="inlineStr">
        <is>
          <t>cmm55w57p0004cuisfrtpqly8</t>
        </is>
      </c>
      <c r="AT680" t="inlineStr">
        <is>
          <t>cmm4xvu980000cuh4vj0usz09</t>
        </is>
      </c>
      <c r="AU680" t="inlineStr">
        <is>
          <t>fattat av Miljöskyddsenheten i Varbergs</t>
        </is>
      </c>
      <c r="AV680" t="inlineStr">
        <is>
          <t>Kommun</t>
        </is>
      </c>
      <c r="AW680" t="inlineStr">
        <is>
          <t>fattat av Miljöskyddsenheten i Varbergs kommun</t>
        </is>
      </c>
      <c r="AX680" t="inlineStr">
        <is>
          <t>2024-05</t>
        </is>
      </c>
      <c r="AY680" t="inlineStr">
        <is>
          <t>Beslut</t>
        </is>
      </c>
      <c r="AZ680" t="inlineStr">
        <is>
          <t>2026-02-05</t>
        </is>
      </c>
      <c r="BA680" t="inlineStr">
        <is>
          <t>PM Sedimentationsdammar 2024-1596.pdf</t>
        </is>
      </c>
      <c r="BB680" t="inlineStr">
        <is>
          <t>Sv: till registrator</t>
        </is>
      </c>
      <c r="BC680" t="inlineStr">
        <is>
          <t>AUTO</t>
        </is>
      </c>
      <c r="BD680" t="inlineStr"/>
      <c r="BE680" t="inlineStr"/>
      <c r="BF680" t="inlineStr">
        <is>
          <t>AUTO_GENERERAD. Bekrafta metadata mot kallfil.</t>
        </is>
      </c>
      <c r="BG680">
        <f>HYPERLINK("C:\Users\jimmy\Desktop\Examens arbete\Kod\Ny mapp\remix_-copy-of-miljöbeslut.se-portal\PM Sedimentationsdammar 2024-1596.pdf", "Öppna PDF")</f>
        <v/>
      </c>
    </row>
    <row r="681">
      <c r="A681" t="inlineStr">
        <is>
          <t>KRAV-AUTO-000680</t>
        </is>
      </c>
      <c r="B681" t="inlineStr">
        <is>
          <t>ADMIN-INDEX-2026-02-27-00000000125C043F57453246863FE664CAFE6A3F0700950291EA24F0614FB6ACEDB12BF0E31D00000000010C0000950291EA24F0614FB6ACEDB12BF0E31D00002087ADF40000</t>
        </is>
      </c>
      <c r="C681" t="inlineStr">
        <is>
          <t>cmm4yuqg503jzcuqwqo6390c7</t>
        </is>
      </c>
      <c r="D681" t="inlineStr">
        <is>
          <t>http://localhost:8787/api/admin/requirements/documents/cmm4yuqg503jzcuqwqo6390c7/view</t>
        </is>
      </c>
      <c r="E681">
        <f>HYPERLÄNK("http://localhost:8787/api/admin/requirements/documents/cmm4yuqg503jzcuqwqo6390c7/view";"Öppna PDF")</f>
        <v/>
      </c>
      <c r="F681">
        <f>HYPERLINK("http://localhost:8787/api/admin/requirements/documents/cmm4yuqg503jzcuqwqo6390c7/view","Open PDF")</f>
        <v/>
      </c>
      <c r="G681" t="inlineStr">
        <is>
          <t>cmm55w57p0004cuisfrtpqly8</t>
        </is>
      </c>
      <c r="H681" t="inlineStr">
        <is>
          <t>Informationskrav</t>
        </is>
      </c>
      <c r="I681" t="inlineStr">
        <is>
          <t>LagringsvolymTid</t>
        </is>
      </c>
      <c r="J681" t="inlineStr">
        <is>
          <t>Maxmangd</t>
        </is>
      </c>
      <c r="K681" t="inlineStr">
        <is>
          <t>Om hörbara toner förekommer ska de angivna värdena sänkas med 5 dB (A)-enheter.</t>
        </is>
      </c>
      <c r="L681" t="inlineStr">
        <is>
          <t>Om hörbara toner förekommer ska de angivna värdena sänkas med 5 dB (A)-enheter.</t>
        </is>
      </c>
      <c r="M681" t="inlineStr">
        <is>
          <t>SKA</t>
        </is>
      </c>
      <c r="N681" t="inlineStr"/>
      <c r="O681" t="inlineStr"/>
      <c r="P681" t="inlineStr"/>
      <c r="Q681" t="inlineStr"/>
      <c r="R681" t="inlineStr">
        <is>
          <t>Alltid</t>
        </is>
      </c>
      <c r="S681" t="inlineStr"/>
      <c r="T681" t="inlineStr">
        <is>
          <t>14 0340</t>
        </is>
      </c>
      <c r="U681" t="inlineStr"/>
      <c r="V681" t="inlineStr"/>
      <c r="W681" t="inlineStr">
        <is>
          <t>Nej</t>
        </is>
      </c>
      <c r="X681" t="inlineStr">
        <is>
          <t>Nej</t>
        </is>
      </c>
      <c r="Y681" t="inlineStr">
        <is>
          <t>Nej</t>
        </is>
      </c>
      <c r="Z681" t="inlineStr">
        <is>
          <t>Nej</t>
        </is>
      </c>
      <c r="AA681" t="n">
        <v>4</v>
      </c>
      <c r="AB681" t="inlineStr">
        <is>
          <t>Avfallsmangder och lagringstid</t>
        </is>
      </c>
      <c r="AC681" t="inlineStr">
        <is>
          <t>Avfallsforteckning</t>
        </is>
      </c>
      <c r="AD681" t="inlineStr">
        <is>
          <t>Nej</t>
        </is>
      </c>
      <c r="AE681" t="inlineStr">
        <is>
          <t>Nej</t>
        </is>
      </c>
      <c r="AF681" t="inlineStr">
        <is>
          <t>Ej behandlad</t>
        </is>
      </c>
      <c r="AG681" t="inlineStr">
        <is>
          <t>AUTO_GENERERAD. Verifiera citat mot kallfil.</t>
        </is>
      </c>
      <c r="AH681" t="inlineStr">
        <is>
          <t>MEDIUM</t>
        </is>
      </c>
      <c r="AI681" t="inlineStr">
        <is>
          <t>AUTO</t>
        </is>
      </c>
      <c r="AJ681" t="inlineStr">
        <is>
          <t>Nej</t>
        </is>
      </c>
      <c r="AK681" t="inlineStr"/>
      <c r="AL681" t="inlineStr"/>
      <c r="AM681" t="inlineStr"/>
      <c r="AN681" t="inlineStr"/>
      <c r="AO681" t="inlineStr">
        <is>
          <t>cmm4yuqgw03ktcuqwsj8z1sdd</t>
        </is>
      </c>
      <c r="AP681" t="inlineStr">
        <is>
          <t>http://localhost:8787/api/admin/requirements/documents/cmm4yuqgw03ktcuqwsj8z1sdd/view</t>
        </is>
      </c>
      <c r="AQ681">
        <f>HYPERLÄNK("http://localhost:8787/api/admin/requirements/documents/cmm4yuqgw03ktcuqwsj8z1sdd/view";"Öppna PDF")</f>
        <v/>
      </c>
      <c r="AR681">
        <f>HYPERLINK("http://localhost:8787/api/admin/requirements/documents/cmm4yuqgw03ktcuqwsj8z1sdd/view","Open PDF")</f>
        <v/>
      </c>
      <c r="AS681" t="inlineStr">
        <is>
          <t>cmm55w57p0004cuisfrtpqly8</t>
        </is>
      </c>
      <c r="AT681" t="inlineStr">
        <is>
          <t>cmm4xvu980000cuh4vj0usz09</t>
        </is>
      </c>
      <c r="AU681" t="inlineStr">
        <is>
          <t>fattat av Miljöskyddsenheten i Varbergs</t>
        </is>
      </c>
      <c r="AV681" t="inlineStr">
        <is>
          <t>Kommun</t>
        </is>
      </c>
      <c r="AW681" t="inlineStr">
        <is>
          <t>fattat av Miljöskyddsenheten i Varbergs kommun</t>
        </is>
      </c>
      <c r="AX681" t="inlineStr">
        <is>
          <t>2024-05</t>
        </is>
      </c>
      <c r="AY681" t="inlineStr">
        <is>
          <t>Beslut</t>
        </is>
      </c>
      <c r="AZ681" t="inlineStr">
        <is>
          <t>2026-02-05</t>
        </is>
      </c>
      <c r="BA681" t="inlineStr">
        <is>
          <t>PM Sedimentationsdammar 2024-1596.pdf</t>
        </is>
      </c>
      <c r="BB681" t="inlineStr">
        <is>
          <t>Sv: till registrator</t>
        </is>
      </c>
      <c r="BC681" t="inlineStr">
        <is>
          <t>AUTO</t>
        </is>
      </c>
      <c r="BD681" t="inlineStr"/>
      <c r="BE681" t="inlineStr"/>
      <c r="BF681" t="inlineStr">
        <is>
          <t>AUTO_GENERERAD. Bekrafta metadata mot kallfil.</t>
        </is>
      </c>
      <c r="BG681">
        <f>HYPERLINK("C:\Users\jimmy\Desktop\Examens arbete\Kod\Ny mapp\remix_-copy-of-miljöbeslut.se-portal\PM Sedimentationsdammar 2024-1596.pdf", "Öppna PDF")</f>
        <v/>
      </c>
    </row>
    <row r="682">
      <c r="A682" t="inlineStr">
        <is>
          <t>KRAV-AUTO-000681</t>
        </is>
      </c>
      <c r="B682" t="inlineStr">
        <is>
          <t>ADMIN-INDEX-2026-02-27-00000000125C043F57453246863FE664CAFE6A3F0700950291EA24F0614FB6ACEDB12BF0E31D00000000010C0000950291EA24F0614FB6ACEDB12BF0E31D00002087ADF40000</t>
        </is>
      </c>
      <c r="C682" t="inlineStr">
        <is>
          <t>cmm4yuqg503jzcuqwqo6390c7</t>
        </is>
      </c>
      <c r="D682" t="inlineStr">
        <is>
          <t>http://localhost:8787/api/admin/requirements/documents/cmm4yuqg503jzcuqwqo6390c7/view</t>
        </is>
      </c>
      <c r="E682">
        <f>HYPERLÄNK("http://localhost:8787/api/admin/requirements/documents/cmm4yuqg503jzcuqwqo6390c7/view";"Öppna PDF")</f>
        <v/>
      </c>
      <c r="F682">
        <f>HYPERLINK("http://localhost:8787/api/admin/requirements/documents/cmm4yuqg503jzcuqwqo6390c7/view","Open PDF")</f>
        <v/>
      </c>
      <c r="G682" t="inlineStr">
        <is>
          <t>cmm55w57p0004cuisfrtpqly8</t>
        </is>
      </c>
      <c r="H682" t="inlineStr">
        <is>
          <t>Informationskrav</t>
        </is>
      </c>
      <c r="I682" t="inlineStr">
        <is>
          <t>LagringsvolymTid</t>
        </is>
      </c>
      <c r="J682" t="inlineStr">
        <is>
          <t>Maxmangd</t>
        </is>
      </c>
      <c r="K682" t="inlineStr">
        <is>
          <t>I verksamheten används gas och uppskattad energimängd uppgår till 30 000 kWh/år.</t>
        </is>
      </c>
      <c r="L682" t="inlineStr">
        <is>
          <t>I verksamheten används gas och uppskattad energimängd uppgår till 30 000 kWh/år.</t>
        </is>
      </c>
      <c r="M682" t="inlineStr">
        <is>
          <t>SKA</t>
        </is>
      </c>
      <c r="N682" t="inlineStr"/>
      <c r="O682" t="inlineStr"/>
      <c r="P682" t="inlineStr"/>
      <c r="Q682" t="inlineStr"/>
      <c r="R682" t="inlineStr">
        <is>
          <t>Alltid</t>
        </is>
      </c>
      <c r="S682" t="inlineStr"/>
      <c r="T682" t="inlineStr">
        <is>
          <t>14 0340</t>
        </is>
      </c>
      <c r="U682" t="inlineStr"/>
      <c r="V682" t="inlineStr"/>
      <c r="W682" t="inlineStr">
        <is>
          <t>Nej</t>
        </is>
      </c>
      <c r="X682" t="inlineStr">
        <is>
          <t>Nej</t>
        </is>
      </c>
      <c r="Y682" t="inlineStr">
        <is>
          <t>Nej</t>
        </is>
      </c>
      <c r="Z682" t="inlineStr">
        <is>
          <t>Nej</t>
        </is>
      </c>
      <c r="AA682" t="n">
        <v>4</v>
      </c>
      <c r="AB682" t="inlineStr">
        <is>
          <t>Avfallsmangder och lagringstid</t>
        </is>
      </c>
      <c r="AC682" t="inlineStr">
        <is>
          <t>Avfallsforteckning</t>
        </is>
      </c>
      <c r="AD682" t="inlineStr">
        <is>
          <t>Nej</t>
        </is>
      </c>
      <c r="AE682" t="inlineStr">
        <is>
          <t>Nej</t>
        </is>
      </c>
      <c r="AF682" t="inlineStr">
        <is>
          <t>Ej behandlad</t>
        </is>
      </c>
      <c r="AG682" t="inlineStr">
        <is>
          <t>AUTO_GENERERAD. Verifiera citat mot kallfil.</t>
        </is>
      </c>
      <c r="AH682" t="inlineStr">
        <is>
          <t>MEDIUM</t>
        </is>
      </c>
      <c r="AI682" t="inlineStr">
        <is>
          <t>AUTO</t>
        </is>
      </c>
      <c r="AJ682" t="inlineStr">
        <is>
          <t>Nej</t>
        </is>
      </c>
      <c r="AK682" t="inlineStr"/>
      <c r="AL682" t="inlineStr"/>
      <c r="AM682" t="inlineStr"/>
      <c r="AN682" t="inlineStr"/>
      <c r="AO682" t="inlineStr">
        <is>
          <t>cmm4yuqgw03ktcuqwsj8z1sdd</t>
        </is>
      </c>
      <c r="AP682" t="inlineStr">
        <is>
          <t>http://localhost:8787/api/admin/requirements/documents/cmm4yuqgw03ktcuqwsj8z1sdd/view</t>
        </is>
      </c>
      <c r="AQ682">
        <f>HYPERLÄNK("http://localhost:8787/api/admin/requirements/documents/cmm4yuqgw03ktcuqwsj8z1sdd/view";"Öppna PDF")</f>
        <v/>
      </c>
      <c r="AR682">
        <f>HYPERLINK("http://localhost:8787/api/admin/requirements/documents/cmm4yuqgw03ktcuqwsj8z1sdd/view","Open PDF")</f>
        <v/>
      </c>
      <c r="AS682" t="inlineStr">
        <is>
          <t>cmm55w57p0004cuisfrtpqly8</t>
        </is>
      </c>
      <c r="AT682" t="inlineStr">
        <is>
          <t>cmm4xvu980000cuh4vj0usz09</t>
        </is>
      </c>
      <c r="AU682" t="inlineStr">
        <is>
          <t>fattat av Miljöskyddsenheten i Varbergs</t>
        </is>
      </c>
      <c r="AV682" t="inlineStr">
        <is>
          <t>Kommun</t>
        </is>
      </c>
      <c r="AW682" t="inlineStr">
        <is>
          <t>fattat av Miljöskyddsenheten i Varbergs kommun</t>
        </is>
      </c>
      <c r="AX682" t="inlineStr">
        <is>
          <t>2024-05</t>
        </is>
      </c>
      <c r="AY682" t="inlineStr">
        <is>
          <t>Beslut</t>
        </is>
      </c>
      <c r="AZ682" t="inlineStr">
        <is>
          <t>2026-02-05</t>
        </is>
      </c>
      <c r="BA682" t="inlineStr">
        <is>
          <t>PM Sedimentationsdammar 2024-1596.pdf</t>
        </is>
      </c>
      <c r="BB682" t="inlineStr">
        <is>
          <t>Sv: till registrator</t>
        </is>
      </c>
      <c r="BC682" t="inlineStr">
        <is>
          <t>AUTO</t>
        </is>
      </c>
      <c r="BD682" t="inlineStr"/>
      <c r="BE682" t="inlineStr"/>
      <c r="BF682" t="inlineStr">
        <is>
          <t>AUTO_GENERERAD. Bekrafta metadata mot kallfil.</t>
        </is>
      </c>
      <c r="BG682">
        <f>HYPERLINK("C:\Users\jimmy\Desktop\Examens arbete\Kod\Ny mapp\remix_-copy-of-miljöbeslut.se-portal\PM Sedimentationsdammar 2024-1596.pdf", "Öppna PDF")</f>
        <v/>
      </c>
    </row>
    <row r="683">
      <c r="A683" t="inlineStr">
        <is>
          <t>KRAV-AUTO-000682</t>
        </is>
      </c>
      <c r="B683" t="inlineStr">
        <is>
          <t>ADMIN-INDEX-2026-02-27-00000000125C043F57453246863FE664CAFE6A3F0700950291EA24F0614FB6ACEDB12BF0E31D00000000010C0000950291EA24F0614FB6ACEDB12BF0E31D00002087ADF40000</t>
        </is>
      </c>
      <c r="C683" t="inlineStr">
        <is>
          <t>cmm4yuqg303jwcuqwsgkyufx5</t>
        </is>
      </c>
      <c r="D683" t="inlineStr">
        <is>
          <t>http://localhost:8787/api/admin/requirements/documents/cmm4yuqg303jwcuqwsgkyufx5/view</t>
        </is>
      </c>
      <c r="E683">
        <f>HYPERLÄNK("http://localhost:8787/api/admin/requirements/documents/cmm4yuqg303jwcuqwsgkyufx5/view";"Öppna PDF")</f>
        <v/>
      </c>
      <c r="F683">
        <f>HYPERLINK("http://localhost:8787/api/admin/requirements/documents/cmm4yuqg303jwcuqwsgkyufx5/view","Open PDF")</f>
        <v/>
      </c>
      <c r="G683" t="inlineStr">
        <is>
          <t>cmm55w57p0004cuisfrtpqly8</t>
        </is>
      </c>
      <c r="H683" t="inlineStr">
        <is>
          <t>Beslutsvillkor</t>
        </is>
      </c>
      <c r="I683" t="inlineStr">
        <is>
          <t>Ytkonstruktion</t>
        </is>
      </c>
      <c r="J683" t="inlineStr">
        <is>
          <t>Tat yta</t>
        </is>
      </c>
      <c r="K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683" t="inlineStr">
        <is>
          <t>SKA</t>
        </is>
      </c>
      <c r="N683" t="inlineStr"/>
      <c r="O683" t="inlineStr"/>
      <c r="P683" t="inlineStr"/>
      <c r="Q683" t="inlineStr"/>
      <c r="R683" t="inlineStr">
        <is>
          <t>Vid mellanlagring av avfall</t>
        </is>
      </c>
      <c r="S683" t="inlineStr"/>
      <c r="T683" t="inlineStr">
        <is>
          <t>251021</t>
        </is>
      </c>
      <c r="U683" t="inlineStr"/>
      <c r="V683" t="inlineStr"/>
      <c r="W683" t="inlineStr">
        <is>
          <t>Ja</t>
        </is>
      </c>
      <c r="X683" t="inlineStr">
        <is>
          <t>Nej</t>
        </is>
      </c>
      <c r="Y683" t="inlineStr">
        <is>
          <t>Nej</t>
        </is>
      </c>
      <c r="Z683" t="inlineStr">
        <is>
          <t>Nej</t>
        </is>
      </c>
      <c r="AA683" t="n">
        <v>5</v>
      </c>
      <c r="AB683" t="inlineStr">
        <is>
          <t>Teknisk beskrivning av platta</t>
        </is>
      </c>
      <c r="AC683" t="inlineStr">
        <is>
          <t>Teknisk ritning platta</t>
        </is>
      </c>
      <c r="AD683" t="inlineStr">
        <is>
          <t>Nej</t>
        </is>
      </c>
      <c r="AE683" t="inlineStr">
        <is>
          <t>Nej</t>
        </is>
      </c>
      <c r="AF683" t="inlineStr">
        <is>
          <t>Ej behandlad</t>
        </is>
      </c>
      <c r="AG683" t="inlineStr">
        <is>
          <t>AUTO_GENERERAD. Verifiera citat mot kallfil.</t>
        </is>
      </c>
      <c r="AH683" t="inlineStr">
        <is>
          <t>MEDIUM</t>
        </is>
      </c>
      <c r="AI683" t="inlineStr">
        <is>
          <t>AUTO</t>
        </is>
      </c>
      <c r="AJ683" t="inlineStr">
        <is>
          <t>Nej</t>
        </is>
      </c>
      <c r="AK683" t="inlineStr"/>
      <c r="AL683" t="inlineStr"/>
      <c r="AM683" t="inlineStr"/>
      <c r="AN683" t="inlineStr"/>
      <c r="AO683" t="inlineStr">
        <is>
          <t>cmm4yuqgw03ktcuqwsj8z1sdd</t>
        </is>
      </c>
      <c r="AP683" t="inlineStr">
        <is>
          <t>http://localhost:8787/api/admin/requirements/documents/cmm4yuqgw03ktcuqwsj8z1sdd/view</t>
        </is>
      </c>
      <c r="AQ683">
        <f>HYPERLÄNK("http://localhost:8787/api/admin/requirements/documents/cmm4yuqgw03ktcuqwsj8z1sdd/view";"Öppna PDF")</f>
        <v/>
      </c>
      <c r="AR683">
        <f>HYPERLINK("http://localhost:8787/api/admin/requirements/documents/cmm4yuqgw03ktcuqwsj8z1sdd/view","Open PDF")</f>
        <v/>
      </c>
      <c r="AS683" t="inlineStr">
        <is>
          <t>cmm55w57p0004cuisfrtpqly8</t>
        </is>
      </c>
      <c r="AT683" t="inlineStr">
        <is>
          <t>cmm4xvu980000cuh4vj0usz09</t>
        </is>
      </c>
      <c r="AU683" t="inlineStr">
        <is>
          <t>fattat av Miljöskyddsenheten i Varbergs</t>
        </is>
      </c>
      <c r="AV683" t="inlineStr">
        <is>
          <t>Kommun</t>
        </is>
      </c>
      <c r="AW683" t="inlineStr">
        <is>
          <t>fattat av Miljöskyddsenheten i Varbergs kommun</t>
        </is>
      </c>
      <c r="AX683" t="inlineStr">
        <is>
          <t>2024-05</t>
        </is>
      </c>
      <c r="AY683" t="inlineStr">
        <is>
          <t>Beslut</t>
        </is>
      </c>
      <c r="AZ683" t="inlineStr">
        <is>
          <t>2026-02-05</t>
        </is>
      </c>
      <c r="BA683" t="inlineStr">
        <is>
          <t>PM Sedimentationsdammar 2024-1596.pdf</t>
        </is>
      </c>
      <c r="BB683" t="inlineStr">
        <is>
          <t>Sv: till registrator</t>
        </is>
      </c>
      <c r="BC683" t="inlineStr">
        <is>
          <t>AUTO</t>
        </is>
      </c>
      <c r="BD683" t="inlineStr"/>
      <c r="BE683" t="inlineStr"/>
      <c r="BF683" t="inlineStr">
        <is>
          <t>AUTO_GENERERAD. Bekrafta metadata mot kallfil.</t>
        </is>
      </c>
      <c r="BG683">
        <f>HYPERLINK("C:\Users\jimmy\Desktop\Examens arbete\Kod\Ny mapp\remix_-copy-of-miljöbeslut.se-portal\PM Sedimentationsdammar 2024-1596.pdf", "Öppna PDF")</f>
        <v/>
      </c>
    </row>
    <row r="684">
      <c r="A684" t="inlineStr">
        <is>
          <t>KRAV-AUTO-000683</t>
        </is>
      </c>
      <c r="B684" t="inlineStr">
        <is>
          <t>ADMIN-INDEX-2026-02-27-00000000125C043F57453246863FE664CAFE6A3F0700950291EA24F0614FB6ACEDB12BF0E31D00000000010C0000950291EA24F0614FB6ACEDB12BF0E31D00002087ADF40000</t>
        </is>
      </c>
      <c r="C684" t="inlineStr">
        <is>
          <t>cmm4yuqg303jwcuqwsgkyufx5</t>
        </is>
      </c>
      <c r="D684" t="inlineStr">
        <is>
          <t>http://localhost:8787/api/admin/requirements/documents/cmm4yuqg303jwcuqwsgkyufx5/view</t>
        </is>
      </c>
      <c r="E684">
        <f>HYPERLÄNK("http://localhost:8787/api/admin/requirements/documents/cmm4yuqg303jwcuqwsgkyufx5/view";"Öppna PDF")</f>
        <v/>
      </c>
      <c r="F684">
        <f>HYPERLINK("http://localhost:8787/api/admin/requirements/documents/cmm4yuqg303jwcuqwsgkyufx5/view","Open PDF")</f>
        <v/>
      </c>
      <c r="G684" t="inlineStr">
        <is>
          <t>cmm55w57p0004cuisfrtpqly8</t>
        </is>
      </c>
      <c r="H684" t="inlineStr">
        <is>
          <t>Beslutsvillkor</t>
        </is>
      </c>
      <c r="I684" t="inlineStr">
        <is>
          <t>LagringsvolymTid</t>
        </is>
      </c>
      <c r="J684" t="inlineStr">
        <is>
          <t>Maxmangd</t>
        </is>
      </c>
      <c r="K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684" t="inlineStr">
        <is>
          <t>SKA</t>
        </is>
      </c>
      <c r="N684" t="inlineStr"/>
      <c r="O684" t="inlineStr"/>
      <c r="P684" t="inlineStr"/>
      <c r="Q684" t="inlineStr"/>
      <c r="R684" t="inlineStr">
        <is>
          <t>Alltid</t>
        </is>
      </c>
      <c r="S684" t="inlineStr"/>
      <c r="T684" t="inlineStr">
        <is>
          <t>170504</t>
        </is>
      </c>
      <c r="U684" t="inlineStr"/>
      <c r="V684" t="inlineStr"/>
      <c r="W684" t="inlineStr">
        <is>
          <t>Nej</t>
        </is>
      </c>
      <c r="X684" t="inlineStr">
        <is>
          <t>Nej</t>
        </is>
      </c>
      <c r="Y684" t="inlineStr">
        <is>
          <t>Nej</t>
        </is>
      </c>
      <c r="Z684" t="inlineStr">
        <is>
          <t>Nej</t>
        </is>
      </c>
      <c r="AA684" t="n">
        <v>4</v>
      </c>
      <c r="AB684" t="inlineStr">
        <is>
          <t>Avfallsmangder och lagringstid</t>
        </is>
      </c>
      <c r="AC684" t="inlineStr">
        <is>
          <t>Avfallsforteckning</t>
        </is>
      </c>
      <c r="AD684" t="inlineStr">
        <is>
          <t>Nej</t>
        </is>
      </c>
      <c r="AE684" t="inlineStr">
        <is>
          <t>Nej</t>
        </is>
      </c>
      <c r="AF684" t="inlineStr">
        <is>
          <t>Ej behandlad</t>
        </is>
      </c>
      <c r="AG684" t="inlineStr">
        <is>
          <t>AUTO_GENERERAD. Verifiera citat mot kallfil.</t>
        </is>
      </c>
      <c r="AH684" t="inlineStr">
        <is>
          <t>MEDIUM</t>
        </is>
      </c>
      <c r="AI684" t="inlineStr">
        <is>
          <t>AUTO</t>
        </is>
      </c>
      <c r="AJ684" t="inlineStr">
        <is>
          <t>Nej</t>
        </is>
      </c>
      <c r="AK684" t="inlineStr"/>
      <c r="AL684" t="inlineStr"/>
      <c r="AM684" t="inlineStr"/>
      <c r="AN684" t="inlineStr"/>
      <c r="AO684" t="inlineStr">
        <is>
          <t>cmm4yuqgw03ktcuqwsj8z1sdd</t>
        </is>
      </c>
      <c r="AP684" t="inlineStr">
        <is>
          <t>http://localhost:8787/api/admin/requirements/documents/cmm4yuqgw03ktcuqwsj8z1sdd/view</t>
        </is>
      </c>
      <c r="AQ684">
        <f>HYPERLÄNK("http://localhost:8787/api/admin/requirements/documents/cmm4yuqgw03ktcuqwsj8z1sdd/view";"Öppna PDF")</f>
        <v/>
      </c>
      <c r="AR684">
        <f>HYPERLINK("http://localhost:8787/api/admin/requirements/documents/cmm4yuqgw03ktcuqwsj8z1sdd/view","Open PDF")</f>
        <v/>
      </c>
      <c r="AS684" t="inlineStr">
        <is>
          <t>cmm55w57p0004cuisfrtpqly8</t>
        </is>
      </c>
      <c r="AT684" t="inlineStr">
        <is>
          <t>cmm4xvu980000cuh4vj0usz09</t>
        </is>
      </c>
      <c r="AU684" t="inlineStr">
        <is>
          <t>fattat av Miljöskyddsenheten i Varbergs</t>
        </is>
      </c>
      <c r="AV684" t="inlineStr">
        <is>
          <t>Kommun</t>
        </is>
      </c>
      <c r="AW684" t="inlineStr">
        <is>
          <t>fattat av Miljöskyddsenheten i Varbergs kommun</t>
        </is>
      </c>
      <c r="AX684" t="inlineStr">
        <is>
          <t>2024-05</t>
        </is>
      </c>
      <c r="AY684" t="inlineStr">
        <is>
          <t>Beslut</t>
        </is>
      </c>
      <c r="AZ684" t="inlineStr">
        <is>
          <t>2026-02-05</t>
        </is>
      </c>
      <c r="BA684" t="inlineStr">
        <is>
          <t>PM Sedimentationsdammar 2024-1596.pdf</t>
        </is>
      </c>
      <c r="BB684" t="inlineStr">
        <is>
          <t>Sv: till registrator</t>
        </is>
      </c>
      <c r="BC684" t="inlineStr">
        <is>
          <t>AUTO</t>
        </is>
      </c>
      <c r="BD684" t="inlineStr"/>
      <c r="BE684" t="inlineStr"/>
      <c r="BF684" t="inlineStr">
        <is>
          <t>AUTO_GENERERAD. Bekrafta metadata mot kallfil.</t>
        </is>
      </c>
      <c r="BG684">
        <f>HYPERLINK("C:\Users\jimmy\Desktop\Examens arbete\Kod\Ny mapp\remix_-copy-of-miljöbeslut.se-portal\PM Sedimentationsdammar 2024-1596.pdf", "Öppna PDF")</f>
        <v/>
      </c>
    </row>
    <row r="685">
      <c r="A685" t="inlineStr">
        <is>
          <t>KRAV-AUTO-000684</t>
        </is>
      </c>
      <c r="B685" t="inlineStr">
        <is>
          <t>ADMIN-INDEX-2026-02-27-00000000125C043F57453246863FE664CAFE6A3F0700950291EA24F0614FB6ACEDB12BF0E31D00000000010C0000950291EA24F0614FB6ACEDB12BF0E31D00002087ADF40000</t>
        </is>
      </c>
      <c r="C685" t="inlineStr">
        <is>
          <t>cmm4yuqg303jwcuqwsgkyufx5</t>
        </is>
      </c>
      <c r="D685" t="inlineStr">
        <is>
          <t>http://localhost:8787/api/admin/requirements/documents/cmm4yuqg303jwcuqwsgkyufx5/view</t>
        </is>
      </c>
      <c r="E685">
        <f>HYPERLÄNK("http://localhost:8787/api/admin/requirements/documents/cmm4yuqg303jwcuqwsgkyufx5/view";"Öppna PDF")</f>
        <v/>
      </c>
      <c r="F685">
        <f>HYPERLINK("http://localhost:8787/api/admin/requirements/documents/cmm4yuqg303jwcuqwsgkyufx5/view","Open PDF")</f>
        <v/>
      </c>
      <c r="G685" t="inlineStr">
        <is>
          <t>cmm55w57p0004cuisfrtpqly8</t>
        </is>
      </c>
      <c r="H685" t="inlineStr">
        <is>
          <t>Beslutsvillkor</t>
        </is>
      </c>
      <c r="I685" t="inlineStr">
        <is>
          <t>DagvattenLakvatten</t>
        </is>
      </c>
      <c r="J685" t="inlineStr">
        <is>
          <t>Uppsamling</t>
        </is>
      </c>
      <c r="K685" t="inlineStr">
        <is>
          <t>Beskrivning av massorna eller avfallet Beskriv ursprung och föroreningsinnehåll Alla massor måste ligga under Naturvårdsverkets värde för känslig mark (KM).</t>
        </is>
      </c>
      <c r="L685" t="inlineStr">
        <is>
          <t>Beskrivning av massorna eller avfallet Beskriv ursprung och föroreningsinnehåll Alla massor måste ligga under Naturvårdsverkets värde för känslig mark (KM).</t>
        </is>
      </c>
      <c r="M685" t="inlineStr">
        <is>
          <t>SKA</t>
        </is>
      </c>
      <c r="N685" t="inlineStr">
        <is>
          <t>Naturvardsverket</t>
        </is>
      </c>
      <c r="O685" t="inlineStr"/>
      <c r="P685" t="inlineStr"/>
      <c r="Q685" t="inlineStr"/>
      <c r="R685" t="inlineStr">
        <is>
          <t>Vid nederbord och avrinning</t>
        </is>
      </c>
      <c r="S685" t="inlineStr"/>
      <c r="T685" t="inlineStr">
        <is>
          <t>251021</t>
        </is>
      </c>
      <c r="U685" t="inlineStr"/>
      <c r="V685" t="inlineStr"/>
      <c r="W685" t="inlineStr">
        <is>
          <t>Nej</t>
        </is>
      </c>
      <c r="X685" t="inlineStr">
        <is>
          <t>Ja</t>
        </is>
      </c>
      <c r="Y685" t="inlineStr">
        <is>
          <t>Ja</t>
        </is>
      </c>
      <c r="Z685" t="inlineStr">
        <is>
          <t>Nej</t>
        </is>
      </c>
      <c r="AA685" t="n">
        <v>6</v>
      </c>
      <c r="AB685" t="inlineStr">
        <is>
          <t>Lakvattenhantering</t>
        </is>
      </c>
      <c r="AC685" t="inlineStr">
        <is>
          <t>Flodesschema dagvatten-lakvatten</t>
        </is>
      </c>
      <c r="AD685" t="inlineStr">
        <is>
          <t>Nej</t>
        </is>
      </c>
      <c r="AE685" t="inlineStr">
        <is>
          <t>Nej</t>
        </is>
      </c>
      <c r="AF685" t="inlineStr">
        <is>
          <t>Ej behandlad</t>
        </is>
      </c>
      <c r="AG685" t="inlineStr">
        <is>
          <t>AUTO_GENERERAD. Verifiera citat mot kallfil.</t>
        </is>
      </c>
      <c r="AH685" t="inlineStr">
        <is>
          <t>MEDIUM</t>
        </is>
      </c>
      <c r="AI685" t="inlineStr">
        <is>
          <t>AUTO</t>
        </is>
      </c>
      <c r="AJ685" t="inlineStr">
        <is>
          <t>Nej</t>
        </is>
      </c>
      <c r="AK685" t="inlineStr"/>
      <c r="AL685" t="inlineStr"/>
      <c r="AM685" t="inlineStr"/>
      <c r="AN685" t="inlineStr"/>
      <c r="AO685" t="inlineStr">
        <is>
          <t>cmm4yuqgw03ktcuqwsj8z1sdd</t>
        </is>
      </c>
      <c r="AP685" t="inlineStr">
        <is>
          <t>http://localhost:8787/api/admin/requirements/documents/cmm4yuqgw03ktcuqwsj8z1sdd/view</t>
        </is>
      </c>
      <c r="AQ685">
        <f>HYPERLÄNK("http://localhost:8787/api/admin/requirements/documents/cmm4yuqgw03ktcuqwsj8z1sdd/view";"Öppna PDF")</f>
        <v/>
      </c>
      <c r="AR685">
        <f>HYPERLINK("http://localhost:8787/api/admin/requirements/documents/cmm4yuqgw03ktcuqwsj8z1sdd/view","Open PDF")</f>
        <v/>
      </c>
      <c r="AS685" t="inlineStr">
        <is>
          <t>cmm55w57p0004cuisfrtpqly8</t>
        </is>
      </c>
      <c r="AT685" t="inlineStr">
        <is>
          <t>cmm4xvu980000cuh4vj0usz09</t>
        </is>
      </c>
      <c r="AU685" t="inlineStr">
        <is>
          <t>fattat av Miljöskyddsenheten i Varbergs</t>
        </is>
      </c>
      <c r="AV685" t="inlineStr">
        <is>
          <t>Kommun</t>
        </is>
      </c>
      <c r="AW685" t="inlineStr">
        <is>
          <t>fattat av Miljöskyddsenheten i Varbergs kommun</t>
        </is>
      </c>
      <c r="AX685" t="inlineStr">
        <is>
          <t>2024-05</t>
        </is>
      </c>
      <c r="AY685" t="inlineStr">
        <is>
          <t>Beslut</t>
        </is>
      </c>
      <c r="AZ685" t="inlineStr">
        <is>
          <t>2026-02-05</t>
        </is>
      </c>
      <c r="BA685" t="inlineStr">
        <is>
          <t>PM Sedimentationsdammar 2024-1596.pdf</t>
        </is>
      </c>
      <c r="BB685" t="inlineStr">
        <is>
          <t>Sv: till registrator</t>
        </is>
      </c>
      <c r="BC685" t="inlineStr">
        <is>
          <t>AUTO</t>
        </is>
      </c>
      <c r="BD685" t="inlineStr"/>
      <c r="BE685" t="inlineStr"/>
      <c r="BF685" t="inlineStr">
        <is>
          <t>AUTO_GENERERAD. Bekrafta metadata mot kallfil.</t>
        </is>
      </c>
      <c r="BG685">
        <f>HYPERLINK("C:\Users\jimmy\Desktop\Examens arbete\Kod\Ny mapp\remix_-copy-of-miljöbeslut.se-portal\PM Sedimentationsdammar 2024-1596.pdf", "Öppna PDF")</f>
        <v/>
      </c>
    </row>
    <row r="686">
      <c r="A686" t="inlineStr">
        <is>
          <t>KRAV-AUTO-000685</t>
        </is>
      </c>
      <c r="B686" t="inlineStr">
        <is>
          <t>ADMIN-INDEX-2026-02-27-00000000125C043F57453246863FE664CAFE6A3F0700950291EA24F0614FB6ACEDB12BF0E31D00000000010C0000950291EA24F0614FB6ACEDB12BF0E31D00002087ADF50000</t>
        </is>
      </c>
      <c r="C686" t="inlineStr">
        <is>
          <t>cmm4yuqfo03jhcuqwgv6re8pd</t>
        </is>
      </c>
      <c r="D686" t="inlineStr">
        <is>
          <t>http://localhost:8787/api/admin/requirements/documents/cmm4yuqfo03jhcuqwgv6re8pd/view</t>
        </is>
      </c>
      <c r="E686">
        <f>HYPERLÄNK("http://localhost:8787/api/admin/requirements/documents/cmm4yuqfo03jhcuqwgv6re8pd/view";"Öppna PDF")</f>
        <v/>
      </c>
      <c r="F686">
        <f>HYPERLINK("http://localhost:8787/api/admin/requirements/documents/cmm4yuqfo03jhcuqwgv6re8pd/view","Open PDF")</f>
        <v/>
      </c>
      <c r="G686" t="inlineStr">
        <is>
          <t>cmm55w57p0004cuisfrtpqly8</t>
        </is>
      </c>
      <c r="H686" t="inlineStr">
        <is>
          <t>Informationskrav</t>
        </is>
      </c>
      <c r="I686" t="inlineStr">
        <is>
          <t>LokaliseringPlats</t>
        </is>
      </c>
      <c r="J686" t="inlineStr">
        <is>
          <t>Skyddsobjekt</t>
        </is>
      </c>
      <c r="K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6" t="inlineStr">
        <is>
          <t>SKA</t>
        </is>
      </c>
      <c r="N686" t="inlineStr"/>
      <c r="O686" t="inlineStr"/>
      <c r="P686" t="inlineStr"/>
      <c r="Q686" t="inlineStr"/>
      <c r="R686" t="inlineStr">
        <is>
          <t>Fore beslut</t>
        </is>
      </c>
      <c r="S686" t="inlineStr"/>
      <c r="T686" t="inlineStr">
        <is>
          <t>250225</t>
        </is>
      </c>
      <c r="U686" t="inlineStr"/>
      <c r="V686" t="inlineStr"/>
      <c r="W686" t="inlineStr">
        <is>
          <t>Nej</t>
        </is>
      </c>
      <c r="X686" t="inlineStr">
        <is>
          <t>Nej</t>
        </is>
      </c>
      <c r="Y686" t="inlineStr">
        <is>
          <t>Nej</t>
        </is>
      </c>
      <c r="Z686" t="inlineStr">
        <is>
          <t>Nej</t>
        </is>
      </c>
      <c r="AA686" t="n">
        <v>3</v>
      </c>
      <c r="AB686" t="inlineStr">
        <is>
          <t>Platsforutsattningar</t>
        </is>
      </c>
      <c r="AC686" t="inlineStr">
        <is>
          <t>Situationsplan</t>
        </is>
      </c>
      <c r="AD686" t="inlineStr">
        <is>
          <t>Nej</t>
        </is>
      </c>
      <c r="AE686" t="inlineStr">
        <is>
          <t>Nej</t>
        </is>
      </c>
      <c r="AF686" t="inlineStr">
        <is>
          <t>Ej behandlad</t>
        </is>
      </c>
      <c r="AG686" t="inlineStr">
        <is>
          <t>AUTO_GENERERAD. Verifiera citat mot kallfil.</t>
        </is>
      </c>
      <c r="AH686" t="inlineStr">
        <is>
          <t>MEDIUM</t>
        </is>
      </c>
      <c r="AI686" t="inlineStr">
        <is>
          <t>AUTO</t>
        </is>
      </c>
      <c r="AJ686" t="inlineStr">
        <is>
          <t>Nej</t>
        </is>
      </c>
      <c r="AK686" t="inlineStr"/>
      <c r="AL686" t="inlineStr"/>
      <c r="AM686" t="inlineStr"/>
      <c r="AN686" t="inlineStr"/>
      <c r="AO686" t="inlineStr">
        <is>
          <t>cmm4yuqfo03jhcuqwgv6re8pd</t>
        </is>
      </c>
      <c r="AP686" t="inlineStr">
        <is>
          <t>http://localhost:8787/api/admin/requirements/documents/cmm4yuqfo03jhcuqwgv6re8pd/view</t>
        </is>
      </c>
      <c r="AQ686">
        <f>HYPERLÄNK("http://localhost:8787/api/admin/requirements/documents/cmm4yuqfo03jhcuqwgv6re8pd/view";"Öppna PDF")</f>
        <v/>
      </c>
      <c r="AR686">
        <f>HYPERLINK("http://localhost:8787/api/admin/requirements/documents/cmm4yuqfo03jhcuqwgv6re8pd/view","Open PDF")</f>
        <v/>
      </c>
      <c r="AS686" t="inlineStr">
        <is>
          <t>cmm55w57p0004cuisfrtpqly8</t>
        </is>
      </c>
      <c r="AT686" t="inlineStr">
        <is>
          <t>cmm4xvu980000cuh4vj0usz09</t>
        </is>
      </c>
      <c r="AU686" t="inlineStr"/>
      <c r="AV686" t="inlineStr">
        <is>
          <t>Kommun</t>
        </is>
      </c>
      <c r="AW686" t="inlineStr"/>
      <c r="AX686" t="inlineStr">
        <is>
          <t>2013:251</t>
        </is>
      </c>
      <c r="AY686" t="inlineStr">
        <is>
          <t>Anmalan</t>
        </is>
      </c>
      <c r="AZ686" t="inlineStr">
        <is>
          <t>2026-02-05</t>
        </is>
      </c>
      <c r="BA686" t="inlineStr">
        <is>
          <t>Omnires Holding AB Anmälan om behandling av avfall 20250225.pdf</t>
        </is>
      </c>
      <c r="BB686" t="inlineStr">
        <is>
          <t>Begäran om utlämnande av allmän handling – Anmälningar och beslut rörande mellanlagring av avfall samt anläggning av ytor</t>
        </is>
      </c>
      <c r="BC686" t="inlineStr">
        <is>
          <t>AUTO</t>
        </is>
      </c>
      <c r="BD686" t="inlineStr"/>
      <c r="BE686" t="inlineStr"/>
      <c r="BF686" t="inlineStr">
        <is>
          <t>AUTO_GENERERAD. Bekrafta metadata mot kallfil.</t>
        </is>
      </c>
      <c r="BG686">
        <f>HYPERLINK("C:\Users\jimmy\Desktop\Examens arbete\Kod\Ny mapp\remix_-copy-of-miljöbeslut.se-portal\Omnires Holding AB Anmälan om behandling av avfall 20250225.pdf", "Öppna PDF")</f>
        <v/>
      </c>
    </row>
    <row r="687">
      <c r="A687" t="inlineStr">
        <is>
          <t>KRAV-AUTO-000686</t>
        </is>
      </c>
      <c r="B687" t="inlineStr">
        <is>
          <t>ADMIN-INDEX-2026-02-27-00000000125C043F57453246863FE664CAFE6A3F0700950291EA24F0614FB6ACEDB12BF0E31D00000000010C0000950291EA24F0614FB6ACEDB12BF0E31D00002087ADF60000</t>
        </is>
      </c>
      <c r="C687" t="inlineStr">
        <is>
          <t>cmm4yuqfk03jecuqwviqg72hj</t>
        </is>
      </c>
      <c r="D687" t="inlineStr">
        <is>
          <t>http://localhost:8787/api/admin/requirements/documents/cmm4yuqfk03jecuqwviqg72hj/view</t>
        </is>
      </c>
      <c r="E687">
        <f>HYPERLÄNK("http://localhost:8787/api/admin/requirements/documents/cmm4yuqfk03jecuqwviqg72hj/view";"Öppna PDF")</f>
        <v/>
      </c>
      <c r="F687">
        <f>HYPERLINK("http://localhost:8787/api/admin/requirements/documents/cmm4yuqfk03jecuqwviqg72hj/view","Open PDF")</f>
        <v/>
      </c>
      <c r="G687" t="inlineStr">
        <is>
          <t>cmm55w57p0004cuisfrtpqly8</t>
        </is>
      </c>
      <c r="H687" t="inlineStr">
        <is>
          <t>Informationskrav</t>
        </is>
      </c>
      <c r="I687" t="inlineStr">
        <is>
          <t>LokaliseringPlats</t>
        </is>
      </c>
      <c r="J687" t="inlineStr">
        <is>
          <t>Skyddsobjekt</t>
        </is>
      </c>
      <c r="K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7" t="inlineStr">
        <is>
          <t>SKA</t>
        </is>
      </c>
      <c r="N687" t="inlineStr"/>
      <c r="O687" t="inlineStr"/>
      <c r="P687" t="inlineStr"/>
      <c r="Q687" t="inlineStr"/>
      <c r="R687" t="inlineStr">
        <is>
          <t>Fore beslut</t>
        </is>
      </c>
      <c r="S687" t="inlineStr"/>
      <c r="T687" t="inlineStr">
        <is>
          <t>250225</t>
        </is>
      </c>
      <c r="U687" t="inlineStr"/>
      <c r="V687" t="inlineStr"/>
      <c r="W687" t="inlineStr">
        <is>
          <t>Nej</t>
        </is>
      </c>
      <c r="X687" t="inlineStr">
        <is>
          <t>Nej</t>
        </is>
      </c>
      <c r="Y687" t="inlineStr">
        <is>
          <t>Nej</t>
        </is>
      </c>
      <c r="Z687" t="inlineStr">
        <is>
          <t>Nej</t>
        </is>
      </c>
      <c r="AA687" t="n">
        <v>3</v>
      </c>
      <c r="AB687" t="inlineStr">
        <is>
          <t>Platsforutsattningar</t>
        </is>
      </c>
      <c r="AC687" t="inlineStr">
        <is>
          <t>Situationsplan</t>
        </is>
      </c>
      <c r="AD687" t="inlineStr">
        <is>
          <t>Nej</t>
        </is>
      </c>
      <c r="AE687" t="inlineStr">
        <is>
          <t>Nej</t>
        </is>
      </c>
      <c r="AF687" t="inlineStr">
        <is>
          <t>Ej behandlad</t>
        </is>
      </c>
      <c r="AG687" t="inlineStr">
        <is>
          <t>AUTO_GENERERAD. Verifiera citat mot kallfil.</t>
        </is>
      </c>
      <c r="AH687" t="inlineStr">
        <is>
          <t>MEDIUM</t>
        </is>
      </c>
      <c r="AI687" t="inlineStr">
        <is>
          <t>AUTO</t>
        </is>
      </c>
      <c r="AJ687" t="inlineStr">
        <is>
          <t>Nej</t>
        </is>
      </c>
      <c r="AK687" t="inlineStr"/>
      <c r="AL687" t="inlineStr"/>
      <c r="AM687" t="inlineStr"/>
      <c r="AN687" t="inlineStr"/>
      <c r="AO687" t="inlineStr">
        <is>
          <t>cmm4yuqfk03jecuqwviqg72hj</t>
        </is>
      </c>
      <c r="AP687" t="inlineStr">
        <is>
          <t>http://localhost:8787/api/admin/requirements/documents/cmm4yuqfk03jecuqwviqg72hj/view</t>
        </is>
      </c>
      <c r="AQ687">
        <f>HYPERLÄNK("http://localhost:8787/api/admin/requirements/documents/cmm4yuqfk03jecuqwviqg72hj/view";"Öppna PDF")</f>
        <v/>
      </c>
      <c r="AR687">
        <f>HYPERLINK("http://localhost:8787/api/admin/requirements/documents/cmm4yuqfk03jecuqwviqg72hj/view","Open PDF")</f>
        <v/>
      </c>
      <c r="AS687" t="inlineStr">
        <is>
          <t>cmm55w57p0004cuisfrtpqly8</t>
        </is>
      </c>
      <c r="AT687" t="inlineStr">
        <is>
          <t>cmm4xvu980000cuh4vj0usz09</t>
        </is>
      </c>
      <c r="AU687" t="inlineStr"/>
      <c r="AV687" t="inlineStr">
        <is>
          <t>Kommun</t>
        </is>
      </c>
      <c r="AW687" t="inlineStr"/>
      <c r="AX687" t="inlineStr">
        <is>
          <t>2013:251</t>
        </is>
      </c>
      <c r="AY687" t="inlineStr">
        <is>
          <t>Anmalan</t>
        </is>
      </c>
      <c r="AZ687" t="inlineStr">
        <is>
          <t>2026-02-05</t>
        </is>
      </c>
      <c r="BA687" t="inlineStr">
        <is>
          <t>Omnires Holding AB Anmälan om behandling av avfall 20250225.pdf</t>
        </is>
      </c>
      <c r="BB687" t="inlineStr">
        <is>
          <t>Begäran om utlämnande av allmän handling – Anmälningar och beslut rörande mellanlagring av avfall samt anläggning av ytor</t>
        </is>
      </c>
      <c r="BC687" t="inlineStr">
        <is>
          <t>AUTO</t>
        </is>
      </c>
      <c r="BD687" t="inlineStr"/>
      <c r="BE687" t="inlineStr"/>
      <c r="BF687" t="inlineStr">
        <is>
          <t>AUTO_GENERERAD. Bekrafta metadata mot kallfil.</t>
        </is>
      </c>
      <c r="BG687">
        <f>HYPERLINK("C:\Users\jimmy\Desktop\Examens arbete\Kod\Ny mapp\remix_-copy-of-miljöbeslut.se-portal\Omnires Holding AB Anmälan om behandling av avfall 20250225.pdf", "Öppna PDF")</f>
        <v/>
      </c>
    </row>
    <row r="688">
      <c r="A688" t="inlineStr">
        <is>
          <t>KRAV-AUTO-000687</t>
        </is>
      </c>
      <c r="B688" t="inlineStr">
        <is>
          <t>ADMIN-INDEX-2026-02-27-00000000125C043F57453246863FE664CAFE6A3F0700950291EA24F0614FB6ACEDB12BF0E31D00000000010C0000950291EA24F0614FB6ACEDB12BF0E31D00002087ADF70000</t>
        </is>
      </c>
      <c r="C688" t="inlineStr">
        <is>
          <t>cmm4yuqfi03jbcuqw695vrv4c</t>
        </is>
      </c>
      <c r="D688" t="inlineStr">
        <is>
          <t>http://localhost:8787/api/admin/requirements/documents/cmm4yuqfi03jbcuqw695vrv4c/view</t>
        </is>
      </c>
      <c r="E688">
        <f>HYPERLÄNK("http://localhost:8787/api/admin/requirements/documents/cmm4yuqfi03jbcuqw695vrv4c/view";"Öppna PDF")</f>
        <v/>
      </c>
      <c r="F688">
        <f>HYPERLINK("http://localhost:8787/api/admin/requirements/documents/cmm4yuqfi03jbcuqw695vrv4c/view","Open PDF")</f>
        <v/>
      </c>
      <c r="G688" t="inlineStr">
        <is>
          <t>cmm55w57p0004cuisfrtpqly8</t>
        </is>
      </c>
      <c r="H688" t="inlineStr">
        <is>
          <t>Kompletteringskrav</t>
        </is>
      </c>
      <c r="I688" t="inlineStr">
        <is>
          <t>Ytkonstruktion</t>
        </is>
      </c>
      <c r="J688" t="inlineStr">
        <is>
          <t>Tat yta</t>
        </is>
      </c>
      <c r="K688" t="inlineStr">
        <is>
          <t>Materialet kommer att mellanlagras på den aktuella ytan där gårdsplanen ska anläggas.</t>
        </is>
      </c>
      <c r="L688" t="inlineStr">
        <is>
          <t>Materialet kommer att mellanlagras på den aktuella ytan där gårdsplanen ska anläggas.</t>
        </is>
      </c>
      <c r="M688" t="inlineStr">
        <is>
          <t>SKA</t>
        </is>
      </c>
      <c r="N688" t="inlineStr"/>
      <c r="O688" t="inlineStr"/>
      <c r="P688" t="inlineStr"/>
      <c r="Q688" t="inlineStr"/>
      <c r="R688" t="inlineStr">
        <is>
          <t>Vid mellanlagring av avfall</t>
        </is>
      </c>
      <c r="S688" t="inlineStr"/>
      <c r="T688" t="inlineStr">
        <is>
          <t>17 01 01</t>
        </is>
      </c>
      <c r="U688" t="inlineStr"/>
      <c r="V688" t="inlineStr"/>
      <c r="W688" t="inlineStr">
        <is>
          <t>Ja</t>
        </is>
      </c>
      <c r="X688" t="inlineStr">
        <is>
          <t>Nej</t>
        </is>
      </c>
      <c r="Y688" t="inlineStr">
        <is>
          <t>Nej</t>
        </is>
      </c>
      <c r="Z688" t="inlineStr">
        <is>
          <t>Nej</t>
        </is>
      </c>
      <c r="AA688" t="n">
        <v>5</v>
      </c>
      <c r="AB688" t="inlineStr">
        <is>
          <t>Teknisk beskrivning av platta</t>
        </is>
      </c>
      <c r="AC688" t="inlineStr">
        <is>
          <t>Teknisk ritning platta</t>
        </is>
      </c>
      <c r="AD688" t="inlineStr">
        <is>
          <t>Nej</t>
        </is>
      </c>
      <c r="AE688" t="inlineStr">
        <is>
          <t>Nej</t>
        </is>
      </c>
      <c r="AF688" t="inlineStr">
        <is>
          <t>Ej behandlad</t>
        </is>
      </c>
      <c r="AG688" t="inlineStr">
        <is>
          <t>AUTO_GENERERAD. Verifiera citat mot kallfil.</t>
        </is>
      </c>
      <c r="AH688" t="inlineStr">
        <is>
          <t>MEDIUM</t>
        </is>
      </c>
      <c r="AI688" t="inlineStr">
        <is>
          <t>AUTO</t>
        </is>
      </c>
      <c r="AJ688" t="inlineStr">
        <is>
          <t>Nej</t>
        </is>
      </c>
      <c r="AK688" t="inlineStr"/>
      <c r="AL688" t="inlineStr"/>
      <c r="AM688" t="inlineStr"/>
      <c r="AN688" t="inlineStr"/>
      <c r="AO688" t="inlineStr">
        <is>
          <t>cmm4yuqfi03jbcuqw695vrv4c</t>
        </is>
      </c>
      <c r="AP688" t="inlineStr">
        <is>
          <t>http://localhost:8787/api/admin/requirements/documents/cmm4yuqfi03jbcuqw695vrv4c/view</t>
        </is>
      </c>
      <c r="AQ688">
        <f>HYPERLÄNK("http://localhost:8787/api/admin/requirements/documents/cmm4yuqfi03jbcuqw695vrv4c/view";"Öppna PDF")</f>
        <v/>
      </c>
      <c r="AR688">
        <f>HYPERLINK("http://localhost:8787/api/admin/requirements/documents/cmm4yuqfi03jbcuqw695vrv4c/view","Open PDF")</f>
        <v/>
      </c>
      <c r="AS688" t="inlineStr">
        <is>
          <t>cmm55w57p0004cuisfrtpqly8</t>
        </is>
      </c>
      <c r="AT688" t="inlineStr">
        <is>
          <t>cmm4xvu980000cuh4vj0usz09</t>
        </is>
      </c>
      <c r="AU688" t="inlineStr">
        <is>
          <t>-- arlstads</t>
        </is>
      </c>
      <c r="AV688" t="inlineStr">
        <is>
          <t>Kommun</t>
        </is>
      </c>
      <c r="AW688" t="inlineStr">
        <is>
          <t>-- arlstads kommun</t>
        </is>
      </c>
      <c r="AX688" t="inlineStr">
        <is>
          <t>2026-01</t>
        </is>
      </c>
      <c r="AY688" t="inlineStr">
        <is>
          <t>Komplettering</t>
        </is>
      </c>
      <c r="AZ688" t="inlineStr">
        <is>
          <t>2026-02-05</t>
        </is>
      </c>
      <c r="BA688" t="inlineStr">
        <is>
          <t>Per Eriksson Åsen 1 17 Komplettering av anmälan.pdf</t>
        </is>
      </c>
      <c r="BB688" t="inlineStr">
        <is>
          <t>Begäran om utlämnande av allmän handling – Anmälningar och beslut rörande mellanlagring av avfall samt anläggning av ytor</t>
        </is>
      </c>
      <c r="BC688" t="inlineStr">
        <is>
          <t>AUTO</t>
        </is>
      </c>
      <c r="BD688" t="inlineStr"/>
      <c r="BE688" t="inlineStr"/>
      <c r="BF688" t="inlineStr">
        <is>
          <t>AUTO_GENERERAD. Bekrafta metadata mot kallfil.</t>
        </is>
      </c>
      <c r="BG688">
        <f>HYPERLINK("C:\Users\jimmy\Desktop\Examens arbete\Kod\Ny mapp\remix_-copy-of-miljöbeslut.se-portal\Per Eriksson Åsen 1 17 Komplettering av anmälan.pdf", "Öppna PDF")</f>
        <v/>
      </c>
    </row>
    <row r="689">
      <c r="A689" t="inlineStr">
        <is>
          <t>KRAV-AUTO-000688</t>
        </is>
      </c>
      <c r="B689" t="inlineStr">
        <is>
          <t>ADMIN-INDEX-2026-02-27-00000000125C043F57453246863FE664CAFE6A3F0700950291EA24F0614FB6ACEDB12BF0E31D00000000010C0000950291EA24F0614FB6ACEDB12BF0E31D00002087ADF70000</t>
        </is>
      </c>
      <c r="C689" t="inlineStr">
        <is>
          <t>cmm4yuqfi03jbcuqw695vrv4c</t>
        </is>
      </c>
      <c r="D689" t="inlineStr">
        <is>
          <t>http://localhost:8787/api/admin/requirements/documents/cmm4yuqfi03jbcuqw695vrv4c/view</t>
        </is>
      </c>
      <c r="E689">
        <f>HYPERLÄNK("http://localhost:8787/api/admin/requirements/documents/cmm4yuqfi03jbcuqw695vrv4c/view";"Öppna PDF")</f>
        <v/>
      </c>
      <c r="F689">
        <f>HYPERLINK("http://localhost:8787/api/admin/requirements/documents/cmm4yuqfi03jbcuqw695vrv4c/view","Open PDF")</f>
        <v/>
      </c>
      <c r="G689" t="inlineStr">
        <is>
          <t>cmm55w57p0004cuisfrtpqly8</t>
        </is>
      </c>
      <c r="H689" t="inlineStr">
        <is>
          <t>Kompletteringskrav</t>
        </is>
      </c>
      <c r="I689" t="inlineStr">
        <is>
          <t>LagringsvolymTid</t>
        </is>
      </c>
      <c r="J689" t="inlineStr">
        <is>
          <t>Maxmangd</t>
        </is>
      </c>
      <c r="K689" t="inlineStr">
        <is>
          <t>Betongen utgörs av jungfruliga råvaror det vill säga ingen flygaska eller slagg ska ha använts vid framställningen enligt entreprenören (Everettsson Schakt och Transport AB).</t>
        </is>
      </c>
      <c r="L689" t="inlineStr">
        <is>
          <t>Betongen utgörs av jungfruliga råvaror det vill säga ingen flygaska eller slagg ska ha använts vid framställningen enligt entreprenören (Everettsson Schakt och Transport AB).</t>
        </is>
      </c>
      <c r="M689" t="inlineStr">
        <is>
          <t>SKA</t>
        </is>
      </c>
      <c r="N689" t="inlineStr"/>
      <c r="O689" t="inlineStr"/>
      <c r="P689" t="inlineStr"/>
      <c r="Q689" t="inlineStr"/>
      <c r="R689" t="inlineStr">
        <is>
          <t>Alltid</t>
        </is>
      </c>
      <c r="S689" t="inlineStr"/>
      <c r="T689" t="inlineStr">
        <is>
          <t>17 01 01</t>
        </is>
      </c>
      <c r="U689" t="inlineStr"/>
      <c r="V689" t="inlineStr"/>
      <c r="W689" t="inlineStr">
        <is>
          <t>Nej</t>
        </is>
      </c>
      <c r="X689" t="inlineStr">
        <is>
          <t>Nej</t>
        </is>
      </c>
      <c r="Y689" t="inlineStr">
        <is>
          <t>Nej</t>
        </is>
      </c>
      <c r="Z689" t="inlineStr">
        <is>
          <t>Nej</t>
        </is>
      </c>
      <c r="AA689" t="n">
        <v>4</v>
      </c>
      <c r="AB689" t="inlineStr">
        <is>
          <t>Avfallsmangder och lagringstid</t>
        </is>
      </c>
      <c r="AC689" t="inlineStr">
        <is>
          <t>Avfallsforteckning</t>
        </is>
      </c>
      <c r="AD689" t="inlineStr">
        <is>
          <t>Nej</t>
        </is>
      </c>
      <c r="AE689" t="inlineStr">
        <is>
          <t>Nej</t>
        </is>
      </c>
      <c r="AF689" t="inlineStr">
        <is>
          <t>Ej behandlad</t>
        </is>
      </c>
      <c r="AG689" t="inlineStr">
        <is>
          <t>AUTO_GENERERAD. Verifiera citat mot kallfil.</t>
        </is>
      </c>
      <c r="AH689" t="inlineStr">
        <is>
          <t>MEDIUM</t>
        </is>
      </c>
      <c r="AI689" t="inlineStr">
        <is>
          <t>AUTO</t>
        </is>
      </c>
      <c r="AJ689" t="inlineStr">
        <is>
          <t>Nej</t>
        </is>
      </c>
      <c r="AK689" t="inlineStr"/>
      <c r="AL689" t="inlineStr"/>
      <c r="AM689" t="inlineStr"/>
      <c r="AN689" t="inlineStr"/>
      <c r="AO689" t="inlineStr">
        <is>
          <t>cmm4yuqfi03jbcuqw695vrv4c</t>
        </is>
      </c>
      <c r="AP689" t="inlineStr">
        <is>
          <t>http://localhost:8787/api/admin/requirements/documents/cmm4yuqfi03jbcuqw695vrv4c/view</t>
        </is>
      </c>
      <c r="AQ689">
        <f>HYPERLÄNK("http://localhost:8787/api/admin/requirements/documents/cmm4yuqfi03jbcuqw695vrv4c/view";"Öppna PDF")</f>
        <v/>
      </c>
      <c r="AR689">
        <f>HYPERLINK("http://localhost:8787/api/admin/requirements/documents/cmm4yuqfi03jbcuqw695vrv4c/view","Open PDF")</f>
        <v/>
      </c>
      <c r="AS689" t="inlineStr">
        <is>
          <t>cmm55w57p0004cuisfrtpqly8</t>
        </is>
      </c>
      <c r="AT689" t="inlineStr">
        <is>
          <t>cmm4xvu980000cuh4vj0usz09</t>
        </is>
      </c>
      <c r="AU689" t="inlineStr">
        <is>
          <t>-- arlstads</t>
        </is>
      </c>
      <c r="AV689" t="inlineStr">
        <is>
          <t>Kommun</t>
        </is>
      </c>
      <c r="AW689" t="inlineStr">
        <is>
          <t>-- arlstads kommun</t>
        </is>
      </c>
      <c r="AX689" t="inlineStr">
        <is>
          <t>2026-01</t>
        </is>
      </c>
      <c r="AY689" t="inlineStr">
        <is>
          <t>Komplettering</t>
        </is>
      </c>
      <c r="AZ689" t="inlineStr">
        <is>
          <t>2026-02-05</t>
        </is>
      </c>
      <c r="BA689" t="inlineStr">
        <is>
          <t>Per Eriksson Åsen 1 17 Komplettering av anmälan.pdf</t>
        </is>
      </c>
      <c r="BB689" t="inlineStr">
        <is>
          <t>Begäran om utlämnande av allmän handling – Anmälningar och beslut rörande mellanlagring av avfall samt anläggning av ytor</t>
        </is>
      </c>
      <c r="BC689" t="inlineStr">
        <is>
          <t>AUTO</t>
        </is>
      </c>
      <c r="BD689" t="inlineStr"/>
      <c r="BE689" t="inlineStr"/>
      <c r="BF689" t="inlineStr">
        <is>
          <t>AUTO_GENERERAD. Bekrafta metadata mot kallfil.</t>
        </is>
      </c>
      <c r="BG689">
        <f>HYPERLINK("C:\Users\jimmy\Desktop\Examens arbete\Kod\Ny mapp\remix_-copy-of-miljöbeslut.se-portal\Per Eriksson Åsen 1 17 Komplettering av anmälan.pdf", "Öppna PDF")</f>
        <v/>
      </c>
    </row>
    <row r="690">
      <c r="A690" t="inlineStr">
        <is>
          <t>KRAV-AUTO-000689</t>
        </is>
      </c>
      <c r="B690" t="inlineStr">
        <is>
          <t>ADMIN-INDEX-2026-02-27-00000000125C043F57453246863FE664CAFE6A3F0700950291EA24F0614FB6ACEDB12BF0E31D00000000010C0000950291EA24F0614FB6ACEDB12BF0E31D00002087ADF70000</t>
        </is>
      </c>
      <c r="C690" t="inlineStr">
        <is>
          <t>cmm4yuqfi03jbcuqw695vrv4c</t>
        </is>
      </c>
      <c r="D690" t="inlineStr">
        <is>
          <t>http://localhost:8787/api/admin/requirements/documents/cmm4yuqfi03jbcuqw695vrv4c/view</t>
        </is>
      </c>
      <c r="E690">
        <f>HYPERLÄNK("http://localhost:8787/api/admin/requirements/documents/cmm4yuqfi03jbcuqw695vrv4c/view";"Öppna PDF")</f>
        <v/>
      </c>
      <c r="F690">
        <f>HYPERLINK("http://localhost:8787/api/admin/requirements/documents/cmm4yuqfi03jbcuqw695vrv4c/view","Open PDF")</f>
        <v/>
      </c>
      <c r="G690" t="inlineStr">
        <is>
          <t>cmm55w57p0004cuisfrtpqly8</t>
        </is>
      </c>
      <c r="H690" t="inlineStr">
        <is>
          <t>Kompletteringskrav</t>
        </is>
      </c>
      <c r="I690" t="inlineStr">
        <is>
          <t>LagringsvolymTid</t>
        </is>
      </c>
      <c r="J690" t="inlineStr">
        <is>
          <t>Maxmangd</t>
        </is>
      </c>
      <c r="K690" t="inlineStr">
        <is>
          <t>Syfte och beskrivning av verksamheten Per Eriksson önskar använda återvunnet anläggningsmaterial (krossad betong) som del i uppbyggnad i en ny gårdsplan på fastigheten Karlstad Åsen 1:17.</t>
        </is>
      </c>
      <c r="L690" t="inlineStr">
        <is>
          <t>Syfte och beskrivning av verksamheten Per Eriksson önskar använda återvunnet anläggningsmaterial (krossad betong) som del i uppbyggnad i en ny gårdsplan på fastigheten Karlstad Åsen 1:17.</t>
        </is>
      </c>
      <c r="M690" t="inlineStr">
        <is>
          <t>SKA</t>
        </is>
      </c>
      <c r="N690" t="inlineStr"/>
      <c r="O690" t="inlineStr"/>
      <c r="P690" t="inlineStr"/>
      <c r="Q690" t="inlineStr"/>
      <c r="R690" t="inlineStr">
        <is>
          <t>Alltid</t>
        </is>
      </c>
      <c r="S690" t="inlineStr"/>
      <c r="T690" t="inlineStr">
        <is>
          <t>17 01 01</t>
        </is>
      </c>
      <c r="U690" t="inlineStr"/>
      <c r="V690" t="inlineStr"/>
      <c r="W690" t="inlineStr">
        <is>
          <t>Nej</t>
        </is>
      </c>
      <c r="X690" t="inlineStr">
        <is>
          <t>Nej</t>
        </is>
      </c>
      <c r="Y690" t="inlineStr">
        <is>
          <t>Nej</t>
        </is>
      </c>
      <c r="Z690" t="inlineStr">
        <is>
          <t>Nej</t>
        </is>
      </c>
      <c r="AA690" t="n">
        <v>4</v>
      </c>
      <c r="AB690" t="inlineStr">
        <is>
          <t>Avfallsmangder och lagringstid</t>
        </is>
      </c>
      <c r="AC690" t="inlineStr">
        <is>
          <t>Avfallsforteckning</t>
        </is>
      </c>
      <c r="AD690" t="inlineStr">
        <is>
          <t>Nej</t>
        </is>
      </c>
      <c r="AE690" t="inlineStr">
        <is>
          <t>Nej</t>
        </is>
      </c>
      <c r="AF690" t="inlineStr">
        <is>
          <t>Ej behandlad</t>
        </is>
      </c>
      <c r="AG690" t="inlineStr">
        <is>
          <t>AUTO_GENERERAD. Verifiera citat mot kallfil.</t>
        </is>
      </c>
      <c r="AH690" t="inlineStr">
        <is>
          <t>MEDIUM</t>
        </is>
      </c>
      <c r="AI690" t="inlineStr">
        <is>
          <t>AUTO</t>
        </is>
      </c>
      <c r="AJ690" t="inlineStr">
        <is>
          <t>Nej</t>
        </is>
      </c>
      <c r="AK690" t="inlineStr"/>
      <c r="AL690" t="inlineStr"/>
      <c r="AM690" t="inlineStr"/>
      <c r="AN690" t="inlineStr"/>
      <c r="AO690" t="inlineStr">
        <is>
          <t>cmm4yuqfi03jbcuqw695vrv4c</t>
        </is>
      </c>
      <c r="AP690" t="inlineStr">
        <is>
          <t>http://localhost:8787/api/admin/requirements/documents/cmm4yuqfi03jbcuqw695vrv4c/view</t>
        </is>
      </c>
      <c r="AQ690">
        <f>HYPERLÄNK("http://localhost:8787/api/admin/requirements/documents/cmm4yuqfi03jbcuqw695vrv4c/view";"Öppna PDF")</f>
        <v/>
      </c>
      <c r="AR690">
        <f>HYPERLINK("http://localhost:8787/api/admin/requirements/documents/cmm4yuqfi03jbcuqw695vrv4c/view","Open PDF")</f>
        <v/>
      </c>
      <c r="AS690" t="inlineStr">
        <is>
          <t>cmm55w57p0004cuisfrtpqly8</t>
        </is>
      </c>
      <c r="AT690" t="inlineStr">
        <is>
          <t>cmm4xvu980000cuh4vj0usz09</t>
        </is>
      </c>
      <c r="AU690" t="inlineStr">
        <is>
          <t>-- arlstads</t>
        </is>
      </c>
      <c r="AV690" t="inlineStr">
        <is>
          <t>Kommun</t>
        </is>
      </c>
      <c r="AW690" t="inlineStr">
        <is>
          <t>-- arlstads kommun</t>
        </is>
      </c>
      <c r="AX690" t="inlineStr">
        <is>
          <t>2026-01</t>
        </is>
      </c>
      <c r="AY690" t="inlineStr">
        <is>
          <t>Komplettering</t>
        </is>
      </c>
      <c r="AZ690" t="inlineStr">
        <is>
          <t>2026-02-05</t>
        </is>
      </c>
      <c r="BA690" t="inlineStr">
        <is>
          <t>Per Eriksson Åsen 1 17 Komplettering av anmälan.pdf</t>
        </is>
      </c>
      <c r="BB690" t="inlineStr">
        <is>
          <t>Begäran om utlämnande av allmän handling – Anmälningar och beslut rörande mellanlagring av avfall samt anläggning av ytor</t>
        </is>
      </c>
      <c r="BC690" t="inlineStr">
        <is>
          <t>AUTO</t>
        </is>
      </c>
      <c r="BD690" t="inlineStr"/>
      <c r="BE690" t="inlineStr"/>
      <c r="BF690" t="inlineStr">
        <is>
          <t>AUTO_GENERERAD. Bekrafta metadata mot kallfil.</t>
        </is>
      </c>
      <c r="BG690">
        <f>HYPERLINK("C:\Users\jimmy\Desktop\Examens arbete\Kod\Ny mapp\remix_-copy-of-miljöbeslut.se-portal\Per Eriksson Åsen 1 17 Komplettering av anmälan.pdf", "Öppna PDF")</f>
        <v/>
      </c>
    </row>
    <row r="691">
      <c r="A691" t="inlineStr">
        <is>
          <t>KRAV-AUTO-000690</t>
        </is>
      </c>
      <c r="B691" t="inlineStr">
        <is>
          <t>ADMIN-INDEX-2026-02-27-00000000125C043F57453246863FE664CAFE6A3F0700950291EA24F0614FB6ACEDB12BF0E31D00000000010C0000950291EA24F0614FB6ACEDB12BF0E31D00002087A59A0000</t>
        </is>
      </c>
      <c r="C691" t="inlineStr">
        <is>
          <t>cmm4yur650482cuqwpb5gpjgt</t>
        </is>
      </c>
      <c r="D691" t="inlineStr">
        <is>
          <t>http://localhost:8787/api/admin/requirements/documents/cmm4yur650482cuqwpb5gpjgt/view</t>
        </is>
      </c>
      <c r="E691">
        <f>HYPERLÄNK("http://localhost:8787/api/admin/requirements/documents/cmm4yur650482cuqwpb5gpjgt/view";"Öppna PDF")</f>
        <v/>
      </c>
      <c r="F691">
        <f>HYPERLINK("http://localhost:8787/api/admin/requirements/documents/cmm4yur650482cuqwpb5gpjgt/view","Open PDF")</f>
        <v/>
      </c>
      <c r="G691" t="inlineStr">
        <is>
          <t>cmm55w57p0004cuisfrtpqly8</t>
        </is>
      </c>
      <c r="H691" t="inlineStr">
        <is>
          <t>Informationskrav</t>
        </is>
      </c>
      <c r="I691" t="inlineStr">
        <is>
          <t>LagringsvolymTid</t>
        </is>
      </c>
      <c r="J691" t="inlineStr">
        <is>
          <t>Maxmangd</t>
        </is>
      </c>
      <c r="K691" t="inlineStr">
        <is>
          <t>Den hanterade asfaltsmängden förväntas vara ungefär 1500 ton per år, med en uppskattad maximal årlig mängd om 3000 ton.</t>
        </is>
      </c>
      <c r="L691" t="inlineStr">
        <is>
          <t>Den hanterade asfaltsmängden förväntas vara ungefär 1500 ton per år, med en uppskattad maximal årlig mängd om 3000 ton.</t>
        </is>
      </c>
      <c r="M691" t="inlineStr">
        <is>
          <t>SKA</t>
        </is>
      </c>
      <c r="N691" t="inlineStr"/>
      <c r="O691" t="inlineStr"/>
      <c r="P691" t="inlineStr">
        <is>
          <t>Arlig</t>
        </is>
      </c>
      <c r="Q691" t="inlineStr"/>
      <c r="R691" t="inlineStr">
        <is>
          <t>Alltid</t>
        </is>
      </c>
      <c r="S691" t="inlineStr"/>
      <c r="T691" t="inlineStr"/>
      <c r="U691" t="n">
        <v>1500</v>
      </c>
      <c r="V691" t="inlineStr"/>
      <c r="W691" t="inlineStr">
        <is>
          <t>Nej</t>
        </is>
      </c>
      <c r="X691" t="inlineStr">
        <is>
          <t>Nej</t>
        </is>
      </c>
      <c r="Y691" t="inlineStr">
        <is>
          <t>Nej</t>
        </is>
      </c>
      <c r="Z691" t="inlineStr">
        <is>
          <t>Nej</t>
        </is>
      </c>
      <c r="AA691" t="n">
        <v>4</v>
      </c>
      <c r="AB691" t="inlineStr">
        <is>
          <t>Avfallsmangder och lagringstid</t>
        </is>
      </c>
      <c r="AC691" t="inlineStr">
        <is>
          <t>Avfallsforteckning</t>
        </is>
      </c>
      <c r="AD691" t="inlineStr">
        <is>
          <t>Nej</t>
        </is>
      </c>
      <c r="AE691" t="inlineStr">
        <is>
          <t>Nej</t>
        </is>
      </c>
      <c r="AF691" t="inlineStr">
        <is>
          <t>Ej behandlad</t>
        </is>
      </c>
      <c r="AG691" t="inlineStr">
        <is>
          <t>AUTO_GENERERAD. Verifiera citat mot kallfil.</t>
        </is>
      </c>
      <c r="AH691" t="inlineStr">
        <is>
          <t>MEDIUM</t>
        </is>
      </c>
      <c r="AI691" t="inlineStr">
        <is>
          <t>AUTO</t>
        </is>
      </c>
      <c r="AJ691" t="inlineStr">
        <is>
          <t>Nej</t>
        </is>
      </c>
      <c r="AK691" t="inlineStr"/>
      <c r="AL691" t="inlineStr"/>
      <c r="AM691" t="inlineStr"/>
      <c r="AN691" t="inlineStr"/>
      <c r="AO691" t="inlineStr">
        <is>
          <t>cmm4yur6y048tcuqwl5ag5aul</t>
        </is>
      </c>
      <c r="AP691" t="inlineStr">
        <is>
          <t>http://localhost:8787/api/admin/requirements/documents/cmm4yur6y048tcuqwl5ag5aul/view</t>
        </is>
      </c>
      <c r="AQ691">
        <f>HYPERLÄNK("http://localhost:8787/api/admin/requirements/documents/cmm4yur6y048tcuqwl5ag5aul/view";"Öppna PDF")</f>
        <v/>
      </c>
      <c r="AR691">
        <f>HYPERLINK("http://localhost:8787/api/admin/requirements/documents/cmm4yur6y048tcuqwl5ag5aul/view","Open PDF")</f>
        <v/>
      </c>
      <c r="AS691" t="inlineStr">
        <is>
          <t>cmm55w57p0004cuisfrtpqly8</t>
        </is>
      </c>
      <c r="AT691" t="inlineStr">
        <is>
          <t>cmm4xvu980000cuh4vj0usz09</t>
        </is>
      </c>
      <c r="AU691" t="inlineStr"/>
      <c r="AV691" t="inlineStr">
        <is>
          <t>Kommun</t>
        </is>
      </c>
      <c r="AW691" t="inlineStr"/>
      <c r="AX691" t="inlineStr"/>
      <c r="AY691" t="inlineStr">
        <is>
          <t>Anmalan</t>
        </is>
      </c>
      <c r="AZ691" t="inlineStr">
        <is>
          <t>2026-02-09</t>
        </is>
      </c>
      <c r="BA691" t="inlineStr">
        <is>
          <t>MN-2025-455-4 Krossning.pdf</t>
        </is>
      </c>
      <c r="BB691" t="inlineStr">
        <is>
          <t>Anmälningspliktiga verksamheter rörande avfall</t>
        </is>
      </c>
      <c r="BC691" t="inlineStr">
        <is>
          <t>AUTO</t>
        </is>
      </c>
      <c r="BD691" t="inlineStr"/>
      <c r="BE691" t="inlineStr"/>
      <c r="BF691" t="inlineStr">
        <is>
          <t>AUTO_GENERERAD. Bekrafta metadata mot kallfil.</t>
        </is>
      </c>
      <c r="BG691">
        <f>HYPERLINK("C:\Users\jimmy\Desktop\Examens arbete\Kod\Ny mapp\remix_-copy-of-miljöbeslut.se-portal\MN-2025-455-4 Krossning.pdf", "Öppna PDF")</f>
        <v/>
      </c>
    </row>
    <row r="692">
      <c r="A692" t="inlineStr">
        <is>
          <t>KRAV-AUTO-000691</t>
        </is>
      </c>
      <c r="B692" t="inlineStr">
        <is>
          <t>ADMIN-INDEX-2026-02-27-00000000125C043F57453246863FE664CAFE6A3F0700950291EA24F0614FB6ACEDB12BF0E31D00000000010C0000950291EA24F0614FB6ACEDB12BF0E31D00002087A59F0000</t>
        </is>
      </c>
      <c r="C692" t="inlineStr">
        <is>
          <t>cmm4yur5o047kcuqwxavpza0s</t>
        </is>
      </c>
      <c r="D692" t="inlineStr">
        <is>
          <t>http://localhost:8787/api/admin/requirements/documents/cmm4yur5o047kcuqwxavpza0s/view</t>
        </is>
      </c>
      <c r="E692">
        <f>HYPERLÄNK("http://localhost:8787/api/admin/requirements/documents/cmm4yur5o047kcuqwxavpza0s/view";"Öppna PDF")</f>
        <v/>
      </c>
      <c r="F692">
        <f>HYPERLINK("http://localhost:8787/api/admin/requirements/documents/cmm4yur5o047kcuqwxavpza0s/view","Open PDF")</f>
        <v/>
      </c>
      <c r="G692" t="inlineStr">
        <is>
          <t>cmm55w57p0004cuisfrtpqly8</t>
        </is>
      </c>
      <c r="H692" t="inlineStr">
        <is>
          <t>Beslutsvillkor</t>
        </is>
      </c>
      <c r="I692" t="inlineStr">
        <is>
          <t>Ytkonstruktion</t>
        </is>
      </c>
      <c r="J692" t="inlineStr">
        <is>
          <t>Tat yta</t>
        </is>
      </c>
      <c r="K692" t="inlineStr">
        <is>
          <t>Flytande farligt avfall och kemiska produkter ska förvaras inom invallning som rymmer största behållarens volym plus 10 % av övriga behållares totala volym, på hårdgjord yta samt nederbördsskyddat.</t>
        </is>
      </c>
      <c r="L692" t="inlineStr">
        <is>
          <t>Flytande farligt avfall och kemiska produkter ska förvaras inom invallning som rymmer största behållarens volym plus 10 % av övriga behållares totala volym, på hårdgjord yta samt nederbördsskyddat.</t>
        </is>
      </c>
      <c r="M692" t="inlineStr">
        <is>
          <t>SKA</t>
        </is>
      </c>
      <c r="N692" t="inlineStr"/>
      <c r="O692" t="inlineStr"/>
      <c r="P692" t="inlineStr">
        <is>
          <t>Arlig</t>
        </is>
      </c>
      <c r="Q692" t="inlineStr"/>
      <c r="R692" t="inlineStr">
        <is>
          <t>Vid mellanlagring av avfall</t>
        </is>
      </c>
      <c r="S692" t="inlineStr"/>
      <c r="T692" t="inlineStr"/>
      <c r="U692" t="inlineStr"/>
      <c r="V692" t="inlineStr"/>
      <c r="W692" t="inlineStr">
        <is>
          <t>Ja</t>
        </is>
      </c>
      <c r="X692" t="inlineStr">
        <is>
          <t>Nej</t>
        </is>
      </c>
      <c r="Y692" t="inlineStr">
        <is>
          <t>Nej</t>
        </is>
      </c>
      <c r="Z692" t="inlineStr">
        <is>
          <t>Nej</t>
        </is>
      </c>
      <c r="AA692" t="n">
        <v>5</v>
      </c>
      <c r="AB692" t="inlineStr">
        <is>
          <t>Teknisk beskrivning av platta</t>
        </is>
      </c>
      <c r="AC692" t="inlineStr">
        <is>
          <t>Teknisk ritning platta</t>
        </is>
      </c>
      <c r="AD692" t="inlineStr">
        <is>
          <t>Nej</t>
        </is>
      </c>
      <c r="AE692" t="inlineStr">
        <is>
          <t>Nej</t>
        </is>
      </c>
      <c r="AF692" t="inlineStr">
        <is>
          <t>Ej behandlad</t>
        </is>
      </c>
      <c r="AG692" t="inlineStr">
        <is>
          <t>AUTO_GENERERAD. Verifiera citat mot kallfil.</t>
        </is>
      </c>
      <c r="AH692" t="inlineStr">
        <is>
          <t>MEDIUM</t>
        </is>
      </c>
      <c r="AI692" t="inlineStr">
        <is>
          <t>AUTO</t>
        </is>
      </c>
      <c r="AJ692" t="inlineStr">
        <is>
          <t>Nej</t>
        </is>
      </c>
      <c r="AK692" t="inlineStr"/>
      <c r="AL692" t="inlineStr"/>
      <c r="AM692" t="inlineStr"/>
      <c r="AN692" t="inlineStr"/>
      <c r="AO692" t="inlineStr">
        <is>
          <t>cmm4yur5z047wcuqwz6szyfhk</t>
        </is>
      </c>
      <c r="AP692" t="inlineStr">
        <is>
          <t>http://localhost:8787/api/admin/requirements/documents/cmm4yur5z047wcuqwz6szyfhk/view</t>
        </is>
      </c>
      <c r="AQ692">
        <f>HYPERLÄNK("http://localhost:8787/api/admin/requirements/documents/cmm4yur5z047wcuqwz6szyfhk/view";"Öppna PDF")</f>
        <v/>
      </c>
      <c r="AR692">
        <f>HYPERLINK("http://localhost:8787/api/admin/requirements/documents/cmm4yur5z047wcuqwz6szyfhk/view","Open PDF")</f>
        <v/>
      </c>
      <c r="AS692" t="inlineStr">
        <is>
          <t>cmm55w57p0004cuisfrtpqly8</t>
        </is>
      </c>
      <c r="AT692" t="inlineStr">
        <is>
          <t>cmm4xvu980000cuh4vj0usz09</t>
        </is>
      </c>
      <c r="AU692" t="inlineStr">
        <is>
          <t>Åtvidabergs</t>
        </is>
      </c>
      <c r="AV692" t="inlineStr">
        <is>
          <t>Kommun</t>
        </is>
      </c>
      <c r="AW692" t="inlineStr">
        <is>
          <t>Åtvidabergs kommun</t>
        </is>
      </c>
      <c r="AX692" t="inlineStr">
        <is>
          <t>2025-11</t>
        </is>
      </c>
      <c r="AY692" t="inlineStr">
        <is>
          <t>Beslut</t>
        </is>
      </c>
      <c r="AZ692" t="inlineStr">
        <is>
          <t>2026-02-09</t>
        </is>
      </c>
      <c r="BA692" t="inlineStr">
        <is>
          <t>MK-2025-452-6_Beslut_2025-11-14.pdf</t>
        </is>
      </c>
      <c r="BB692" t="inlineStr">
        <is>
          <t>Begärda handlingar</t>
        </is>
      </c>
      <c r="BC692" t="inlineStr">
        <is>
          <t>AUTO</t>
        </is>
      </c>
      <c r="BD692" t="inlineStr"/>
      <c r="BE692" t="inlineStr"/>
      <c r="BF692" t="inlineStr">
        <is>
          <t>AUTO_GENERERAD. Bekrafta metadata mot kallfil.</t>
        </is>
      </c>
      <c r="BG692">
        <f>HYPERLINK("C:\Users\jimmy\Desktop\Examens arbete\Kod\Ny mapp\remix_-copy-of-miljöbeslut.se-portal\MK-2025-452-6_Beslut_2025-11-14.pdf", "Öppna PDF")</f>
        <v/>
      </c>
    </row>
    <row r="693">
      <c r="A693" t="inlineStr">
        <is>
          <t>KRAV-AUTO-000692</t>
        </is>
      </c>
      <c r="B693" t="inlineStr">
        <is>
          <t>ADMIN-INDEX-2026-02-27-00000000125C043F57453246863FE664CAFE6A3F0700950291EA24F0614FB6ACEDB12BF0E31D00000000010C0000950291EA24F0614FB6ACEDB12BF0E31D00002087A59F0000</t>
        </is>
      </c>
      <c r="C693" t="inlineStr">
        <is>
          <t>cmm4yur5o047kcuqwxavpza0s</t>
        </is>
      </c>
      <c r="D693" t="inlineStr">
        <is>
          <t>http://localhost:8787/api/admin/requirements/documents/cmm4yur5o047kcuqwxavpza0s/view</t>
        </is>
      </c>
      <c r="E693">
        <f>HYPERLÄNK("http://localhost:8787/api/admin/requirements/documents/cmm4yur5o047kcuqwxavpza0s/view";"Öppna PDF")</f>
        <v/>
      </c>
      <c r="F693">
        <f>HYPERLINK("http://localhost:8787/api/admin/requirements/documents/cmm4yur5o047kcuqwxavpza0s/view","Open PDF")</f>
        <v/>
      </c>
      <c r="G693" t="inlineStr">
        <is>
          <t>cmm55w57p0004cuisfrtpqly8</t>
        </is>
      </c>
      <c r="H693" t="inlineStr">
        <is>
          <t>Beslutsvillkor</t>
        </is>
      </c>
      <c r="I693" t="inlineStr">
        <is>
          <t>DagvattenLakvatten</t>
        </is>
      </c>
      <c r="J693" t="inlineStr">
        <is>
          <t>Uppsamling</t>
        </is>
      </c>
      <c r="K693" t="inlineStr">
        <is>
          <t>Av samma anledning ska inte lakvatten uppstå.</t>
        </is>
      </c>
      <c r="L693" t="inlineStr">
        <is>
          <t>Av samma anledning ska inte lakvatten uppstå.</t>
        </is>
      </c>
      <c r="M693" t="inlineStr">
        <is>
          <t>SKA</t>
        </is>
      </c>
      <c r="N693" t="inlineStr"/>
      <c r="O693" t="inlineStr"/>
      <c r="P693" t="inlineStr"/>
      <c r="Q693" t="inlineStr"/>
      <c r="R693" t="inlineStr">
        <is>
          <t>Vid nederbord och avrinning</t>
        </is>
      </c>
      <c r="S693" t="inlineStr"/>
      <c r="T693" t="inlineStr"/>
      <c r="U693" t="inlineStr"/>
      <c r="V693" t="inlineStr"/>
      <c r="W693" t="inlineStr">
        <is>
          <t>Nej</t>
        </is>
      </c>
      <c r="X693" t="inlineStr">
        <is>
          <t>Ja</t>
        </is>
      </c>
      <c r="Y693" t="inlineStr">
        <is>
          <t>Ja</t>
        </is>
      </c>
      <c r="Z693" t="inlineStr">
        <is>
          <t>Nej</t>
        </is>
      </c>
      <c r="AA693" t="n">
        <v>6</v>
      </c>
      <c r="AB693" t="inlineStr">
        <is>
          <t>Lakvattenhantering</t>
        </is>
      </c>
      <c r="AC693" t="inlineStr">
        <is>
          <t>Flodesschema dagvatten-lakvatten</t>
        </is>
      </c>
      <c r="AD693" t="inlineStr">
        <is>
          <t>Nej</t>
        </is>
      </c>
      <c r="AE693" t="inlineStr">
        <is>
          <t>Nej</t>
        </is>
      </c>
      <c r="AF693" t="inlineStr">
        <is>
          <t>Ej behandlad</t>
        </is>
      </c>
      <c r="AG693" t="inlineStr">
        <is>
          <t>AUTO_GENERERAD. Verifiera citat mot kallfil.</t>
        </is>
      </c>
      <c r="AH693" t="inlineStr">
        <is>
          <t>MEDIUM</t>
        </is>
      </c>
      <c r="AI693" t="inlineStr">
        <is>
          <t>AUTO</t>
        </is>
      </c>
      <c r="AJ693" t="inlineStr">
        <is>
          <t>Nej</t>
        </is>
      </c>
      <c r="AK693" t="inlineStr"/>
      <c r="AL693" t="inlineStr"/>
      <c r="AM693" t="inlineStr"/>
      <c r="AN693" t="inlineStr"/>
      <c r="AO693" t="inlineStr">
        <is>
          <t>cmm4yur5z047wcuqwz6szyfhk</t>
        </is>
      </c>
      <c r="AP693" t="inlineStr">
        <is>
          <t>http://localhost:8787/api/admin/requirements/documents/cmm4yur5z047wcuqwz6szyfhk/view</t>
        </is>
      </c>
      <c r="AQ693">
        <f>HYPERLÄNK("http://localhost:8787/api/admin/requirements/documents/cmm4yur5z047wcuqwz6szyfhk/view";"Öppna PDF")</f>
        <v/>
      </c>
      <c r="AR693">
        <f>HYPERLINK("http://localhost:8787/api/admin/requirements/documents/cmm4yur5z047wcuqwz6szyfhk/view","Open PDF")</f>
        <v/>
      </c>
      <c r="AS693" t="inlineStr">
        <is>
          <t>cmm55w57p0004cuisfrtpqly8</t>
        </is>
      </c>
      <c r="AT693" t="inlineStr">
        <is>
          <t>cmm4xvu980000cuh4vj0usz09</t>
        </is>
      </c>
      <c r="AU693" t="inlineStr">
        <is>
          <t>Åtvidabergs</t>
        </is>
      </c>
      <c r="AV693" t="inlineStr">
        <is>
          <t>Kommun</t>
        </is>
      </c>
      <c r="AW693" t="inlineStr">
        <is>
          <t>Åtvidabergs kommun</t>
        </is>
      </c>
      <c r="AX693" t="inlineStr">
        <is>
          <t>2025-11</t>
        </is>
      </c>
      <c r="AY693" t="inlineStr">
        <is>
          <t>Beslut</t>
        </is>
      </c>
      <c r="AZ693" t="inlineStr">
        <is>
          <t>2026-02-09</t>
        </is>
      </c>
      <c r="BA693" t="inlineStr">
        <is>
          <t>MK-2025-452-6_Beslut_2025-11-14.pdf</t>
        </is>
      </c>
      <c r="BB693" t="inlineStr">
        <is>
          <t>Begärda handlingar</t>
        </is>
      </c>
      <c r="BC693" t="inlineStr">
        <is>
          <t>AUTO</t>
        </is>
      </c>
      <c r="BD693" t="inlineStr"/>
      <c r="BE693" t="inlineStr"/>
      <c r="BF693" t="inlineStr">
        <is>
          <t>AUTO_GENERERAD. Bekrafta metadata mot kallfil.</t>
        </is>
      </c>
      <c r="BG693">
        <f>HYPERLINK("C:\Users\jimmy\Desktop\Examens arbete\Kod\Ny mapp\remix_-copy-of-miljöbeslut.se-portal\MK-2025-452-6_Beslut_2025-11-14.pdf", "Öppna PDF")</f>
        <v/>
      </c>
    </row>
    <row r="694">
      <c r="A694" t="inlineStr">
        <is>
          <t>KRAV-AUTO-000693</t>
        </is>
      </c>
      <c r="B694" t="inlineStr">
        <is>
          <t>ADMIN-INDEX-2026-02-27-00000000125C043F57453246863FE664CAFE6A3F0700950291EA24F0614FB6ACEDB12BF0E31D00000000010C0000950291EA24F0614FB6ACEDB12BF0E31D00002087A59F0000</t>
        </is>
      </c>
      <c r="C694" t="inlineStr">
        <is>
          <t>cmm4yur5o047kcuqwxavpza0s</t>
        </is>
      </c>
      <c r="D694" t="inlineStr">
        <is>
          <t>http://localhost:8787/api/admin/requirements/documents/cmm4yur5o047kcuqwxavpza0s/view</t>
        </is>
      </c>
      <c r="E694">
        <f>HYPERLÄNK("http://localhost:8787/api/admin/requirements/documents/cmm4yur5o047kcuqwxavpza0s/view";"Öppna PDF")</f>
        <v/>
      </c>
      <c r="F694">
        <f>HYPERLINK("http://localhost:8787/api/admin/requirements/documents/cmm4yur5o047kcuqwxavpza0s/view","Open PDF")</f>
        <v/>
      </c>
      <c r="G694" t="inlineStr">
        <is>
          <t>cmm55w57p0004cuisfrtpqly8</t>
        </is>
      </c>
      <c r="H694" t="inlineStr">
        <is>
          <t>Beslutsvillkor</t>
        </is>
      </c>
      <c r="I694" t="inlineStr">
        <is>
          <t>DagvattenLakvatten</t>
        </is>
      </c>
      <c r="J694" t="inlineStr">
        <is>
          <t>Uppsamling</t>
        </is>
      </c>
      <c r="K694" t="inlineStr">
        <is>
          <t>I händelse av att lakvatten uppstår bör detta hindras från att spridas.</t>
        </is>
      </c>
      <c r="L694" t="inlineStr">
        <is>
          <t>I händelse av att lakvatten uppstår bör detta hindras från att spridas.</t>
        </is>
      </c>
      <c r="M694" t="inlineStr">
        <is>
          <t>BOR</t>
        </is>
      </c>
      <c r="N694" t="inlineStr"/>
      <c r="O694" t="inlineStr"/>
      <c r="P694" t="inlineStr"/>
      <c r="Q694" t="inlineStr"/>
      <c r="R694" t="inlineStr">
        <is>
          <t>Vid nederbord och avrinning</t>
        </is>
      </c>
      <c r="S694" t="inlineStr"/>
      <c r="T694" t="inlineStr"/>
      <c r="U694" t="inlineStr"/>
      <c r="V694" t="inlineStr"/>
      <c r="W694" t="inlineStr">
        <is>
          <t>Nej</t>
        </is>
      </c>
      <c r="X694" t="inlineStr">
        <is>
          <t>Ja</t>
        </is>
      </c>
      <c r="Y694" t="inlineStr">
        <is>
          <t>Ja</t>
        </is>
      </c>
      <c r="Z694" t="inlineStr">
        <is>
          <t>Nej</t>
        </is>
      </c>
      <c r="AA694" t="n">
        <v>6</v>
      </c>
      <c r="AB694" t="inlineStr">
        <is>
          <t>Lakvattenhantering</t>
        </is>
      </c>
      <c r="AC694" t="inlineStr">
        <is>
          <t>Flodesschema dagvatten-lakvatten</t>
        </is>
      </c>
      <c r="AD694" t="inlineStr">
        <is>
          <t>Nej</t>
        </is>
      </c>
      <c r="AE694" t="inlineStr">
        <is>
          <t>Nej</t>
        </is>
      </c>
      <c r="AF694" t="inlineStr">
        <is>
          <t>Ej behandlad</t>
        </is>
      </c>
      <c r="AG694" t="inlineStr">
        <is>
          <t>AUTO_GENERERAD. Verifiera citat mot kallfil.</t>
        </is>
      </c>
      <c r="AH694" t="inlineStr">
        <is>
          <t>MEDIUM</t>
        </is>
      </c>
      <c r="AI694" t="inlineStr">
        <is>
          <t>AUTO</t>
        </is>
      </c>
      <c r="AJ694" t="inlineStr">
        <is>
          <t>Nej</t>
        </is>
      </c>
      <c r="AK694" t="inlineStr"/>
      <c r="AL694" t="inlineStr"/>
      <c r="AM694" t="inlineStr"/>
      <c r="AN694" t="inlineStr"/>
      <c r="AO694" t="inlineStr">
        <is>
          <t>cmm4yur5z047wcuqwz6szyfhk</t>
        </is>
      </c>
      <c r="AP694" t="inlineStr">
        <is>
          <t>http://localhost:8787/api/admin/requirements/documents/cmm4yur5z047wcuqwz6szyfhk/view</t>
        </is>
      </c>
      <c r="AQ694">
        <f>HYPERLÄNK("http://localhost:8787/api/admin/requirements/documents/cmm4yur5z047wcuqwz6szyfhk/view";"Öppna PDF")</f>
        <v/>
      </c>
      <c r="AR694">
        <f>HYPERLINK("http://localhost:8787/api/admin/requirements/documents/cmm4yur5z047wcuqwz6szyfhk/view","Open PDF")</f>
        <v/>
      </c>
      <c r="AS694" t="inlineStr">
        <is>
          <t>cmm55w57p0004cuisfrtpqly8</t>
        </is>
      </c>
      <c r="AT694" t="inlineStr">
        <is>
          <t>cmm4xvu980000cuh4vj0usz09</t>
        </is>
      </c>
      <c r="AU694" t="inlineStr">
        <is>
          <t>Åtvidabergs</t>
        </is>
      </c>
      <c r="AV694" t="inlineStr">
        <is>
          <t>Kommun</t>
        </is>
      </c>
      <c r="AW694" t="inlineStr">
        <is>
          <t>Åtvidabergs kommun</t>
        </is>
      </c>
      <c r="AX694" t="inlineStr">
        <is>
          <t>2025-11</t>
        </is>
      </c>
      <c r="AY694" t="inlineStr">
        <is>
          <t>Beslut</t>
        </is>
      </c>
      <c r="AZ694" t="inlineStr">
        <is>
          <t>2026-02-09</t>
        </is>
      </c>
      <c r="BA694" t="inlineStr">
        <is>
          <t>MK-2025-452-6_Beslut_2025-11-14.pdf</t>
        </is>
      </c>
      <c r="BB694" t="inlineStr">
        <is>
          <t>Begärda handlingar</t>
        </is>
      </c>
      <c r="BC694" t="inlineStr">
        <is>
          <t>AUTO</t>
        </is>
      </c>
      <c r="BD694" t="inlineStr"/>
      <c r="BE694" t="inlineStr"/>
      <c r="BF694" t="inlineStr">
        <is>
          <t>AUTO_GENERERAD. Bekrafta metadata mot kallfil.</t>
        </is>
      </c>
      <c r="BG694">
        <f>HYPERLINK("C:\Users\jimmy\Desktop\Examens arbete\Kod\Ny mapp\remix_-copy-of-miljöbeslut.se-portal\MK-2025-452-6_Beslut_2025-11-14.pdf", "Öppna PDF")</f>
        <v/>
      </c>
    </row>
    <row r="695">
      <c r="A695" t="inlineStr">
        <is>
          <t>KRAV-AUTO-000694</t>
        </is>
      </c>
      <c r="B695" t="inlineStr">
        <is>
          <t>ADMIN-INDEX-2026-02-27-00000000125C043F57453246863FE664CAFE6A3F0700950291EA24F0614FB6ACEDB12BF0E31D00000000010C0000950291EA24F0614FB6ACEDB12BF0E31D00002087A59F0000</t>
        </is>
      </c>
      <c r="C695" t="inlineStr">
        <is>
          <t>cmm4yur5i047ecuqw6v9fmtpn</t>
        </is>
      </c>
      <c r="D695" t="inlineStr">
        <is>
          <t>http://localhost:8787/api/admin/requirements/documents/cmm4yur5i047ecuqw6v9fmtpn/view</t>
        </is>
      </c>
      <c r="E695">
        <f>HYPERLÄNK("http://localhost:8787/api/admin/requirements/documents/cmm4yur5i047ecuqw6v9fmtpn/view";"Öppna PDF")</f>
        <v/>
      </c>
      <c r="F695">
        <f>HYPERLINK("http://localhost:8787/api/admin/requirements/documents/cmm4yur5i047ecuqw6v9fmtpn/view","Open PDF")</f>
        <v/>
      </c>
      <c r="G695" t="inlineStr">
        <is>
          <t>cmm55w57p0004cuisfrtpqly8</t>
        </is>
      </c>
      <c r="H695" t="inlineStr">
        <is>
          <t>Beslutsvillkor</t>
        </is>
      </c>
      <c r="I695" t="inlineStr">
        <is>
          <t>Riskhantering</t>
        </is>
      </c>
      <c r="J695" t="inlineStr">
        <is>
          <t>Riskkontroll</t>
        </is>
      </c>
      <c r="K695" t="inlineStr">
        <is>
          <t>Dokument: MK-2025-254-6_Miljörisker vid lagring av aska vid spridningsområde _2025-06-17.pdf.</t>
        </is>
      </c>
      <c r="L695" t="inlineStr">
        <is>
          <t>Dokument: MK-2025-254-6_Miljörisker vid lagring av aska vid spridningsområde _2025-06-17.pdf.</t>
        </is>
      </c>
      <c r="M695" t="inlineStr">
        <is>
          <t>SKA</t>
        </is>
      </c>
      <c r="N695" t="inlineStr"/>
      <c r="O695" t="inlineStr"/>
      <c r="P695" t="inlineStr"/>
      <c r="Q695" t="inlineStr"/>
      <c r="R695" t="inlineStr">
        <is>
          <t>Vid risk for incident</t>
        </is>
      </c>
      <c r="S695" t="inlineStr"/>
      <c r="T695" t="inlineStr"/>
      <c r="U695" t="inlineStr"/>
      <c r="V695" t="inlineStr"/>
      <c r="W695" t="inlineStr">
        <is>
          <t>Nej</t>
        </is>
      </c>
      <c r="X695" t="inlineStr">
        <is>
          <t>Nej</t>
        </is>
      </c>
      <c r="Y695" t="inlineStr">
        <is>
          <t>Ja</t>
        </is>
      </c>
      <c r="Z695" t="inlineStr">
        <is>
          <t>Ja</t>
        </is>
      </c>
      <c r="AA695" t="n">
        <v>8</v>
      </c>
      <c r="AB695" t="inlineStr">
        <is>
          <t>Riskhantering</t>
        </is>
      </c>
      <c r="AC695" t="inlineStr">
        <is>
          <t>Risk-PM</t>
        </is>
      </c>
      <c r="AD695" t="inlineStr">
        <is>
          <t>Nej</t>
        </is>
      </c>
      <c r="AE695" t="inlineStr">
        <is>
          <t>Nej</t>
        </is>
      </c>
      <c r="AF695" t="inlineStr">
        <is>
          <t>Ej behandlad</t>
        </is>
      </c>
      <c r="AG695" t="inlineStr">
        <is>
          <t>AUTO_GENERERAD. Verifiera citat mot kallfil.</t>
        </is>
      </c>
      <c r="AH695" t="inlineStr">
        <is>
          <t>MEDIUM</t>
        </is>
      </c>
      <c r="AI695" t="inlineStr">
        <is>
          <t>AUTO</t>
        </is>
      </c>
      <c r="AJ695" t="inlineStr">
        <is>
          <t>Nej</t>
        </is>
      </c>
      <c r="AK695" t="inlineStr"/>
      <c r="AL695" t="inlineStr"/>
      <c r="AM695" t="inlineStr"/>
      <c r="AN695" t="inlineStr"/>
      <c r="AO695" t="inlineStr">
        <is>
          <t>cmm4yur5z047wcuqwz6szyfhk</t>
        </is>
      </c>
      <c r="AP695" t="inlineStr">
        <is>
          <t>http://localhost:8787/api/admin/requirements/documents/cmm4yur5z047wcuqwz6szyfhk/view</t>
        </is>
      </c>
      <c r="AQ695">
        <f>HYPERLÄNK("http://localhost:8787/api/admin/requirements/documents/cmm4yur5z047wcuqwz6szyfhk/view";"Öppna PDF")</f>
        <v/>
      </c>
      <c r="AR695">
        <f>HYPERLINK("http://localhost:8787/api/admin/requirements/documents/cmm4yur5z047wcuqwz6szyfhk/view","Open PDF")</f>
        <v/>
      </c>
      <c r="AS695" t="inlineStr">
        <is>
          <t>cmm55w57p0004cuisfrtpqly8</t>
        </is>
      </c>
      <c r="AT695" t="inlineStr">
        <is>
          <t>cmm4xvu980000cuh4vj0usz09</t>
        </is>
      </c>
      <c r="AU695" t="inlineStr">
        <is>
          <t>Åtvidabergs</t>
        </is>
      </c>
      <c r="AV695" t="inlineStr">
        <is>
          <t>Kommun</t>
        </is>
      </c>
      <c r="AW695" t="inlineStr">
        <is>
          <t>Åtvidabergs kommun</t>
        </is>
      </c>
      <c r="AX695" t="inlineStr">
        <is>
          <t>2025-11</t>
        </is>
      </c>
      <c r="AY695" t="inlineStr">
        <is>
          <t>Beslut</t>
        </is>
      </c>
      <c r="AZ695" t="inlineStr">
        <is>
          <t>2026-02-09</t>
        </is>
      </c>
      <c r="BA695" t="inlineStr">
        <is>
          <t>MK-2025-452-6_Beslut_2025-11-14.pdf</t>
        </is>
      </c>
      <c r="BB695" t="inlineStr">
        <is>
          <t>Begärda handlingar</t>
        </is>
      </c>
      <c r="BC695" t="inlineStr">
        <is>
          <t>AUTO</t>
        </is>
      </c>
      <c r="BD695" t="inlineStr"/>
      <c r="BE695" t="inlineStr"/>
      <c r="BF695" t="inlineStr">
        <is>
          <t>AUTO_GENERERAD. Bekrafta metadata mot kallfil.</t>
        </is>
      </c>
      <c r="BG695">
        <f>HYPERLINK("C:\Users\jimmy\Desktop\Examens arbete\Kod\Ny mapp\remix_-copy-of-miljöbeslut.se-portal\MK-2025-452-6_Beslut_2025-11-14.pdf", "Öppna PDF")</f>
        <v/>
      </c>
    </row>
    <row r="696">
      <c r="A696" t="inlineStr">
        <is>
          <t>KRAV-AUTO-000695</t>
        </is>
      </c>
      <c r="B696" t="inlineStr">
        <is>
          <t>ADMIN-INDEX-2026-02-27-00000000125C043F57453246863FE664CAFE6A3F0700950291EA24F0614FB6ACEDB12BF0E31D00000000010C0000950291EA24F0614FB6ACEDB12BF0E31D00002087ADFD0000</t>
        </is>
      </c>
      <c r="C696" t="inlineStr">
        <is>
          <t>cmm4yuqdl03hbcuqwsz1ygnv1</t>
        </is>
      </c>
      <c r="D696" t="inlineStr">
        <is>
          <t>http://localhost:8787/api/admin/requirements/documents/cmm4yuqdl03hbcuqwsz1ygnv1/view</t>
        </is>
      </c>
      <c r="E696">
        <f>HYPERLÄNK("http://localhost:8787/api/admin/requirements/documents/cmm4yuqdl03hbcuqwsz1ygnv1/view";"Öppna PDF")</f>
        <v/>
      </c>
      <c r="F696">
        <f>HYPERLINK("http://localhost:8787/api/admin/requirements/documents/cmm4yuqdl03hbcuqwsz1ygnv1/view","Open PDF")</f>
        <v/>
      </c>
      <c r="G696" t="inlineStr">
        <is>
          <t>cmm55w57p0004cuisfrtpqly8</t>
        </is>
      </c>
      <c r="H696" t="inlineStr">
        <is>
          <t>Informationskrav</t>
        </is>
      </c>
      <c r="I696" t="inlineStr">
        <is>
          <t>Riskhantering</t>
        </is>
      </c>
      <c r="J696" t="inlineStr">
        <is>
          <t>Riskkontroll</t>
        </is>
      </c>
      <c r="K696" t="inlineStr">
        <is>
          <t>Förutom information om var materialet ska placeras bör det klart framgå hur det ska deponeras och vilka risker som är förknippade med detta.</t>
        </is>
      </c>
      <c r="L696" t="inlineStr">
        <is>
          <t>Förutom information om var materialet ska placeras bör det klart framgå hur det ska deponeras och vilka risker som är förknippade med detta.</t>
        </is>
      </c>
      <c r="M696" t="inlineStr">
        <is>
          <t>SKA</t>
        </is>
      </c>
      <c r="N696" t="inlineStr"/>
      <c r="O696" t="inlineStr"/>
      <c r="P696" t="inlineStr"/>
      <c r="Q696" t="inlineStr"/>
      <c r="R696" t="inlineStr">
        <is>
          <t>Vid risk for incident</t>
        </is>
      </c>
      <c r="S696" t="inlineStr"/>
      <c r="T696" t="inlineStr"/>
      <c r="U696" t="inlineStr"/>
      <c r="V696" t="inlineStr"/>
      <c r="W696" t="inlineStr">
        <is>
          <t>Nej</t>
        </is>
      </c>
      <c r="X696" t="inlineStr">
        <is>
          <t>Nej</t>
        </is>
      </c>
      <c r="Y696" t="inlineStr">
        <is>
          <t>Ja</t>
        </is>
      </c>
      <c r="Z696" t="inlineStr">
        <is>
          <t>Ja</t>
        </is>
      </c>
      <c r="AA696" t="n">
        <v>8</v>
      </c>
      <c r="AB696" t="inlineStr">
        <is>
          <t>Riskhantering</t>
        </is>
      </c>
      <c r="AC696" t="inlineStr">
        <is>
          <t>Risk-PM</t>
        </is>
      </c>
      <c r="AD696" t="inlineStr">
        <is>
          <t>Nej</t>
        </is>
      </c>
      <c r="AE696" t="inlineStr">
        <is>
          <t>Nej</t>
        </is>
      </c>
      <c r="AF696" t="inlineStr">
        <is>
          <t>Ej behandlad</t>
        </is>
      </c>
      <c r="AG696" t="inlineStr">
        <is>
          <t>AUTO_GENERERAD. Verifiera citat mot kallfil.</t>
        </is>
      </c>
      <c r="AH696" t="inlineStr">
        <is>
          <t>LOW</t>
        </is>
      </c>
      <c r="AI696" t="inlineStr">
        <is>
          <t>AUTO</t>
        </is>
      </c>
      <c r="AJ696" t="inlineStr">
        <is>
          <t>Nej</t>
        </is>
      </c>
      <c r="AK696" t="inlineStr"/>
      <c r="AL696" t="inlineStr"/>
      <c r="AM696" t="inlineStr"/>
      <c r="AN696" t="inlineStr"/>
      <c r="AO696" t="inlineStr">
        <is>
          <t>cmm4yuqdi03h8cuqwtpenx3af</t>
        </is>
      </c>
      <c r="AP696" t="inlineStr">
        <is>
          <t>http://localhost:8787/api/admin/requirements/documents/cmm4yuqdi03h8cuqwtpenx3af/view</t>
        </is>
      </c>
      <c r="AQ696">
        <f>HYPERLÄNK("http://localhost:8787/api/admin/requirements/documents/cmm4yuqdi03h8cuqwtpenx3af/view";"Öppna PDF")</f>
        <v/>
      </c>
      <c r="AR696">
        <f>HYPERLINK("http://localhost:8787/api/admin/requirements/documents/cmm4yuqdi03h8cuqwtpenx3af/view","Open PDF")</f>
        <v/>
      </c>
      <c r="AS696" t="inlineStr">
        <is>
          <t>cmm55w57p0004cuisfrtpqly8</t>
        </is>
      </c>
      <c r="AT696" t="inlineStr">
        <is>
          <t>cmm4xvu980000cuh4vj0usz09</t>
        </is>
      </c>
      <c r="AU696" t="inlineStr">
        <is>
          <t>Karlstads</t>
        </is>
      </c>
      <c r="AV696" t="inlineStr">
        <is>
          <t>Kommun</t>
        </is>
      </c>
      <c r="AW696" t="inlineStr">
        <is>
          <t>Karlstads kommun</t>
        </is>
      </c>
      <c r="AX696" t="inlineStr">
        <is>
          <t>2025-06</t>
        </is>
      </c>
      <c r="AY696" t="inlineStr">
        <is>
          <t>Anmalan</t>
        </is>
      </c>
      <c r="AZ696" t="inlineStr">
        <is>
          <t>2026-02-05</t>
        </is>
      </c>
      <c r="BA696" t="inlineStr">
        <is>
          <t>SERAB Vålberg 1 431 Beslut 250609.pdf</t>
        </is>
      </c>
      <c r="BB696" t="inlineStr">
        <is>
          <t>Begäran om utlämnande av allmän handling – Anmälningar och beslut rörande mellanlagring av avfall samt anläggning av ytor</t>
        </is>
      </c>
      <c r="BC696" t="inlineStr">
        <is>
          <t>AUTO</t>
        </is>
      </c>
      <c r="BD696" t="inlineStr"/>
      <c r="BE696" t="inlineStr"/>
      <c r="BF696" t="inlineStr">
        <is>
          <t>AUTO_GENERERAD. Bekrafta metadata mot kallfil.</t>
        </is>
      </c>
      <c r="BG696">
        <f>HYPERLINK("C:\Users\jimmy\Desktop\Examens arbete\Kod\Ny mapp\remix_-copy-of-miljöbeslut.se-portal\SERAB Vålberg 1 431 Beslut 250609.pdf", "Öppna PDF")</f>
        <v/>
      </c>
    </row>
    <row r="697">
      <c r="A697" t="inlineStr">
        <is>
          <t>KRAV-AUTO-000696</t>
        </is>
      </c>
      <c r="B697" t="inlineStr">
        <is>
          <t>ADMIN-INDEX-2026-02-27-00000000125C043F57453246863FE664CAFE6A3F0700950291EA24F0614FB6ACEDB12BF0E31D00000000010C0000950291EA24F0614FB6ACEDB12BF0E31D00002087ADFD0000</t>
        </is>
      </c>
      <c r="C697" t="inlineStr">
        <is>
          <t>cmm4yuqdl03hbcuqwsz1ygnv1</t>
        </is>
      </c>
      <c r="D697" t="inlineStr">
        <is>
          <t>http://localhost:8787/api/admin/requirements/documents/cmm4yuqdl03hbcuqwsz1ygnv1/view</t>
        </is>
      </c>
      <c r="E697">
        <f>HYPERLÄNK("http://localhost:8787/api/admin/requirements/documents/cmm4yuqdl03hbcuqwsz1ygnv1/view";"Öppna PDF")</f>
        <v/>
      </c>
      <c r="F697">
        <f>HYPERLINK("http://localhost:8787/api/admin/requirements/documents/cmm4yuqdl03hbcuqwsz1ygnv1/view","Open PDF")</f>
        <v/>
      </c>
      <c r="G697" t="inlineStr">
        <is>
          <t>cmm55w57p0004cuisfrtpqly8</t>
        </is>
      </c>
      <c r="H697" t="inlineStr">
        <is>
          <t>Informationskrav</t>
        </is>
      </c>
      <c r="I697" t="inlineStr">
        <is>
          <t>Ytkonstruktion</t>
        </is>
      </c>
      <c r="J697" t="inlineStr">
        <is>
          <t>Tat yta</t>
        </is>
      </c>
      <c r="K697" t="inlineStr">
        <is>
          <t>En ytterligare fördel med att täcka GIFA med andra schaktmassor är att det förhindrar att växterna börjar gro snabbt efter att de har lossats, vilket bidrar till att minska risken för spridning.</t>
        </is>
      </c>
      <c r="L697" t="inlineStr">
        <is>
          <t>En ytterligare fördel med att täcka GIFA med andra schaktmassor är att det förhindrar att växterna börjar gro snabbt efter att de har lossats, vilket bidrar till att minska risken för spridning.</t>
        </is>
      </c>
      <c r="M697" t="inlineStr">
        <is>
          <t>SKA</t>
        </is>
      </c>
      <c r="N697" t="inlineStr"/>
      <c r="O697" t="inlineStr"/>
      <c r="P697" t="inlineStr"/>
      <c r="Q697" t="inlineStr"/>
      <c r="R697" t="inlineStr">
        <is>
          <t>Vid mellanlagring av avfall</t>
        </is>
      </c>
      <c r="S697" t="inlineStr"/>
      <c r="T697" t="inlineStr"/>
      <c r="U697" t="inlineStr"/>
      <c r="V697" t="inlineStr"/>
      <c r="W697" t="inlineStr">
        <is>
          <t>Ja</t>
        </is>
      </c>
      <c r="X697" t="inlineStr">
        <is>
          <t>Nej</t>
        </is>
      </c>
      <c r="Y697" t="inlineStr">
        <is>
          <t>Nej</t>
        </is>
      </c>
      <c r="Z697" t="inlineStr">
        <is>
          <t>Nej</t>
        </is>
      </c>
      <c r="AA697" t="n">
        <v>5</v>
      </c>
      <c r="AB697" t="inlineStr">
        <is>
          <t>Teknisk beskrivning av platta</t>
        </is>
      </c>
      <c r="AC697" t="inlineStr">
        <is>
          <t>Teknisk ritning platta</t>
        </is>
      </c>
      <c r="AD697" t="inlineStr">
        <is>
          <t>Nej</t>
        </is>
      </c>
      <c r="AE697" t="inlineStr">
        <is>
          <t>Nej</t>
        </is>
      </c>
      <c r="AF697" t="inlineStr">
        <is>
          <t>Ej behandlad</t>
        </is>
      </c>
      <c r="AG697" t="inlineStr">
        <is>
          <t>AUTO_GENERERAD. Verifiera citat mot kallfil.</t>
        </is>
      </c>
      <c r="AH697" t="inlineStr">
        <is>
          <t>LOW</t>
        </is>
      </c>
      <c r="AI697" t="inlineStr">
        <is>
          <t>AUTO</t>
        </is>
      </c>
      <c r="AJ697" t="inlineStr">
        <is>
          <t>Nej</t>
        </is>
      </c>
      <c r="AK697" t="inlineStr"/>
      <c r="AL697" t="inlineStr"/>
      <c r="AM697" t="inlineStr"/>
      <c r="AN697" t="inlineStr"/>
      <c r="AO697" t="inlineStr">
        <is>
          <t>cmm4yuqdi03h8cuqwtpenx3af</t>
        </is>
      </c>
      <c r="AP697" t="inlineStr">
        <is>
          <t>http://localhost:8787/api/admin/requirements/documents/cmm4yuqdi03h8cuqwtpenx3af/view</t>
        </is>
      </c>
      <c r="AQ697">
        <f>HYPERLÄNK("http://localhost:8787/api/admin/requirements/documents/cmm4yuqdi03h8cuqwtpenx3af/view";"Öppna PDF")</f>
        <v/>
      </c>
      <c r="AR697">
        <f>HYPERLINK("http://localhost:8787/api/admin/requirements/documents/cmm4yuqdi03h8cuqwtpenx3af/view","Open PDF")</f>
        <v/>
      </c>
      <c r="AS697" t="inlineStr">
        <is>
          <t>cmm55w57p0004cuisfrtpqly8</t>
        </is>
      </c>
      <c r="AT697" t="inlineStr">
        <is>
          <t>cmm4xvu980000cuh4vj0usz09</t>
        </is>
      </c>
      <c r="AU697" t="inlineStr">
        <is>
          <t>Karlstads</t>
        </is>
      </c>
      <c r="AV697" t="inlineStr">
        <is>
          <t>Kommun</t>
        </is>
      </c>
      <c r="AW697" t="inlineStr">
        <is>
          <t>Karlstads kommun</t>
        </is>
      </c>
      <c r="AX697" t="inlineStr">
        <is>
          <t>2025-06</t>
        </is>
      </c>
      <c r="AY697" t="inlineStr">
        <is>
          <t>Anmalan</t>
        </is>
      </c>
      <c r="AZ697" t="inlineStr">
        <is>
          <t>2026-02-05</t>
        </is>
      </c>
      <c r="BA697" t="inlineStr">
        <is>
          <t>SERAB Vålberg 1 431 Beslut 250609.pdf</t>
        </is>
      </c>
      <c r="BB697" t="inlineStr">
        <is>
          <t>Begäran om utlämnande av allmän handling – Anmälningar och beslut rörande mellanlagring av avfall samt anläggning av ytor</t>
        </is>
      </c>
      <c r="BC697" t="inlineStr">
        <is>
          <t>AUTO</t>
        </is>
      </c>
      <c r="BD697" t="inlineStr"/>
      <c r="BE697" t="inlineStr"/>
      <c r="BF697" t="inlineStr">
        <is>
          <t>AUTO_GENERERAD. Bekrafta metadata mot kallfil.</t>
        </is>
      </c>
      <c r="BG697">
        <f>HYPERLINK("C:\Users\jimmy\Desktop\Examens arbete\Kod\Ny mapp\remix_-copy-of-miljöbeslut.se-portal\SERAB Vålberg 1 431 Beslut 250609.pdf", "Öppna PDF")</f>
        <v/>
      </c>
    </row>
    <row r="698">
      <c r="A698" t="inlineStr">
        <is>
          <t>KRAV-AUTO-000697</t>
        </is>
      </c>
      <c r="B698" t="inlineStr">
        <is>
          <t>ADMIN-INDEX-2026-02-27-00000000125C043F57453246863FE664CAFE6A3F0700950291EA24F0614FB6ACEDB12BF0E31D00000000010C0000950291EA24F0614FB6ACEDB12BF0E31D00002087ADFD0000</t>
        </is>
      </c>
      <c r="C698" t="inlineStr">
        <is>
          <t>cmm4yuqdl03hbcuqwsz1ygnv1</t>
        </is>
      </c>
      <c r="D698" t="inlineStr">
        <is>
          <t>http://localhost:8787/api/admin/requirements/documents/cmm4yuqdl03hbcuqwsz1ygnv1/view</t>
        </is>
      </c>
      <c r="E698">
        <f>HYPERLÄNK("http://localhost:8787/api/admin/requirements/documents/cmm4yuqdl03hbcuqwsz1ygnv1/view";"Öppna PDF")</f>
        <v/>
      </c>
      <c r="F698">
        <f>HYPERLINK("http://localhost:8787/api/admin/requirements/documents/cmm4yuqdl03hbcuqwsz1ygnv1/view","Open PDF")</f>
        <v/>
      </c>
      <c r="G698" t="inlineStr">
        <is>
          <t>cmm55w57p0004cuisfrtpqly8</t>
        </is>
      </c>
      <c r="H698" t="inlineStr">
        <is>
          <t>Informationskrav</t>
        </is>
      </c>
      <c r="I698" t="inlineStr">
        <is>
          <t>Riskhantering</t>
        </is>
      </c>
      <c r="J698" t="inlineStr">
        <is>
          <t>Riskkontroll</t>
        </is>
      </c>
      <c r="K698" t="inlineStr">
        <is>
          <t>Interntransport Vid riskbedömningen bör den interna transporten kartläggas noggrant.</t>
        </is>
      </c>
      <c r="L698" t="inlineStr">
        <is>
          <t>Interntransport Vid riskbedömningen bör den interna transporten kartläggas noggrant.</t>
        </is>
      </c>
      <c r="M698" t="inlineStr">
        <is>
          <t>BOR</t>
        </is>
      </c>
      <c r="N698" t="inlineStr"/>
      <c r="O698" t="inlineStr"/>
      <c r="P698" t="inlineStr"/>
      <c r="Q698" t="inlineStr"/>
      <c r="R698" t="inlineStr">
        <is>
          <t>Vid risk for incident</t>
        </is>
      </c>
      <c r="S698" t="inlineStr"/>
      <c r="T698" t="inlineStr"/>
      <c r="U698" t="inlineStr"/>
      <c r="V698" t="inlineStr"/>
      <c r="W698" t="inlineStr">
        <is>
          <t>Nej</t>
        </is>
      </c>
      <c r="X698" t="inlineStr">
        <is>
          <t>Nej</t>
        </is>
      </c>
      <c r="Y698" t="inlineStr">
        <is>
          <t>Ja</t>
        </is>
      </c>
      <c r="Z698" t="inlineStr">
        <is>
          <t>Ja</t>
        </is>
      </c>
      <c r="AA698" t="n">
        <v>8</v>
      </c>
      <c r="AB698" t="inlineStr">
        <is>
          <t>Riskhantering</t>
        </is>
      </c>
      <c r="AC698" t="inlineStr">
        <is>
          <t>Risk-PM</t>
        </is>
      </c>
      <c r="AD698" t="inlineStr">
        <is>
          <t>Nej</t>
        </is>
      </c>
      <c r="AE698" t="inlineStr">
        <is>
          <t>Nej</t>
        </is>
      </c>
      <c r="AF698" t="inlineStr">
        <is>
          <t>Ej behandlad</t>
        </is>
      </c>
      <c r="AG698" t="inlineStr">
        <is>
          <t>AUTO_GENERERAD. Verifiera citat mot kallfil.</t>
        </is>
      </c>
      <c r="AH698" t="inlineStr">
        <is>
          <t>LOW</t>
        </is>
      </c>
      <c r="AI698" t="inlineStr">
        <is>
          <t>AUTO</t>
        </is>
      </c>
      <c r="AJ698" t="inlineStr">
        <is>
          <t>Nej</t>
        </is>
      </c>
      <c r="AK698" t="inlineStr"/>
      <c r="AL698" t="inlineStr"/>
      <c r="AM698" t="inlineStr"/>
      <c r="AN698" t="inlineStr"/>
      <c r="AO698" t="inlineStr">
        <is>
          <t>cmm4yuqdi03h8cuqwtpenx3af</t>
        </is>
      </c>
      <c r="AP698" t="inlineStr">
        <is>
          <t>http://localhost:8787/api/admin/requirements/documents/cmm4yuqdi03h8cuqwtpenx3af/view</t>
        </is>
      </c>
      <c r="AQ698">
        <f>HYPERLÄNK("http://localhost:8787/api/admin/requirements/documents/cmm4yuqdi03h8cuqwtpenx3af/view";"Öppna PDF")</f>
        <v/>
      </c>
      <c r="AR698">
        <f>HYPERLINK("http://localhost:8787/api/admin/requirements/documents/cmm4yuqdi03h8cuqwtpenx3af/view","Open PDF")</f>
        <v/>
      </c>
      <c r="AS698" t="inlineStr">
        <is>
          <t>cmm55w57p0004cuisfrtpqly8</t>
        </is>
      </c>
      <c r="AT698" t="inlineStr">
        <is>
          <t>cmm4xvu980000cuh4vj0usz09</t>
        </is>
      </c>
      <c r="AU698" t="inlineStr">
        <is>
          <t>Karlstads</t>
        </is>
      </c>
      <c r="AV698" t="inlineStr">
        <is>
          <t>Kommun</t>
        </is>
      </c>
      <c r="AW698" t="inlineStr">
        <is>
          <t>Karlstads kommun</t>
        </is>
      </c>
      <c r="AX698" t="inlineStr">
        <is>
          <t>2025-06</t>
        </is>
      </c>
      <c r="AY698" t="inlineStr">
        <is>
          <t>Anmalan</t>
        </is>
      </c>
      <c r="AZ698" t="inlineStr">
        <is>
          <t>2026-02-05</t>
        </is>
      </c>
      <c r="BA698" t="inlineStr">
        <is>
          <t>SERAB Vålberg 1 431 Beslut 250609.pdf</t>
        </is>
      </c>
      <c r="BB698" t="inlineStr">
        <is>
          <t>Begäran om utlämnande av allmän handling – Anmälningar och beslut rörande mellanlagring av avfall samt anläggning av ytor</t>
        </is>
      </c>
      <c r="BC698" t="inlineStr">
        <is>
          <t>AUTO</t>
        </is>
      </c>
      <c r="BD698" t="inlineStr"/>
      <c r="BE698" t="inlineStr"/>
      <c r="BF698" t="inlineStr">
        <is>
          <t>AUTO_GENERERAD. Bekrafta metadata mot kallfil.</t>
        </is>
      </c>
      <c r="BG698">
        <f>HYPERLINK("C:\Users\jimmy\Desktop\Examens arbete\Kod\Ny mapp\remix_-copy-of-miljöbeslut.se-portal\SERAB Vålberg 1 431 Beslut 250609.pdf", "Öppna PDF")</f>
        <v/>
      </c>
    </row>
    <row r="699">
      <c r="A699" t="inlineStr">
        <is>
          <t>KRAV-AUTO-000698</t>
        </is>
      </c>
      <c r="B699" t="inlineStr">
        <is>
          <t>ADMIN-INDEX-2026-02-27-00000000125C043F57453246863FE664CAFE6A3F0700950291EA24F0614FB6ACEDB12BF0E31D00000000010C0000950291EA24F0614FB6ACEDB12BF0E31D00002087ADFD0000</t>
        </is>
      </c>
      <c r="C699" t="inlineStr">
        <is>
          <t>cmm4yuqd603gwcuqwb2tyymkm</t>
        </is>
      </c>
      <c r="D699" t="inlineStr">
        <is>
          <t>http://localhost:8787/api/admin/requirements/documents/cmm4yuqd603gwcuqwb2tyymkm/view</t>
        </is>
      </c>
      <c r="E699">
        <f>HYPERLÄNK("http://localhost:8787/api/admin/requirements/documents/cmm4yuqd603gwcuqwb2tyymkm/view";"Öppna PDF")</f>
        <v/>
      </c>
      <c r="F699">
        <f>HYPERLINK("http://localhost:8787/api/admin/requirements/documents/cmm4yuqd603gwcuqwb2tyymkm/view","Open PDF")</f>
        <v/>
      </c>
      <c r="G699" t="inlineStr">
        <is>
          <t>cmm55w57p0004cuisfrtpqly8</t>
        </is>
      </c>
      <c r="H699" t="inlineStr">
        <is>
          <t>Informationskrav</t>
        </is>
      </c>
      <c r="I699" t="inlineStr">
        <is>
          <t>MiljopaverkanForsiktighet</t>
        </is>
      </c>
      <c r="J699" t="inlineStr">
        <is>
          <t>Skyddsatgarder</t>
        </is>
      </c>
      <c r="K699" t="inlineStr">
        <is>
          <t>Beskriv syftet med den nya anläggningen som avfallet ska användas till Masshantering av mottagna massor för sortering och sållning.</t>
        </is>
      </c>
      <c r="L699" t="inlineStr">
        <is>
          <t>Beskriv syftet med den nya anläggningen som avfallet ska användas till Masshantering av mottagna massor för sortering och sållning.</t>
        </is>
      </c>
      <c r="M699" t="inlineStr">
        <is>
          <t>SKA</t>
        </is>
      </c>
      <c r="N699" t="inlineStr"/>
      <c r="O699" t="inlineStr"/>
      <c r="P699" t="inlineStr"/>
      <c r="Q699" t="inlineStr"/>
      <c r="R699" t="inlineStr">
        <is>
          <t>Alltid</t>
        </is>
      </c>
      <c r="S699" t="inlineStr"/>
      <c r="T699" t="inlineStr">
        <is>
          <t>240313</t>
        </is>
      </c>
      <c r="U699" t="inlineStr"/>
      <c r="V699" t="inlineStr"/>
      <c r="W699" t="inlineStr">
        <is>
          <t>Nej</t>
        </is>
      </c>
      <c r="X699" t="inlineStr">
        <is>
          <t>Nej</t>
        </is>
      </c>
      <c r="Y699" t="inlineStr">
        <is>
          <t>Nej</t>
        </is>
      </c>
      <c r="Z699" t="inlineStr">
        <is>
          <t>Nej</t>
        </is>
      </c>
      <c r="AA699" t="n">
        <v>10</v>
      </c>
      <c r="AB699" t="inlineStr">
        <is>
          <t>Miljopaverkan och forsiktighetsmatt</t>
        </is>
      </c>
      <c r="AC699" t="inlineStr">
        <is>
          <t>Miljo-PM</t>
        </is>
      </c>
      <c r="AD699" t="inlineStr">
        <is>
          <t>Nej</t>
        </is>
      </c>
      <c r="AE699" t="inlineStr">
        <is>
          <t>Nej</t>
        </is>
      </c>
      <c r="AF699" t="inlineStr">
        <is>
          <t>Ej behandlad</t>
        </is>
      </c>
      <c r="AG699" t="inlineStr">
        <is>
          <t>AUTO_GENERERAD. Verifiera citat mot kallfil.</t>
        </is>
      </c>
      <c r="AH699" t="inlineStr">
        <is>
          <t>MEDIUM</t>
        </is>
      </c>
      <c r="AI699" t="inlineStr">
        <is>
          <t>AUTO</t>
        </is>
      </c>
      <c r="AJ699" t="inlineStr">
        <is>
          <t>Nej</t>
        </is>
      </c>
      <c r="AK699" t="inlineStr"/>
      <c r="AL699" t="inlineStr"/>
      <c r="AM699" t="inlineStr"/>
      <c r="AN699" t="inlineStr"/>
      <c r="AO699" t="inlineStr">
        <is>
          <t>cmm4yuqdi03h8cuqwtpenx3af</t>
        </is>
      </c>
      <c r="AP699" t="inlineStr">
        <is>
          <t>http://localhost:8787/api/admin/requirements/documents/cmm4yuqdi03h8cuqwtpenx3af/view</t>
        </is>
      </c>
      <c r="AQ699">
        <f>HYPERLÄNK("http://localhost:8787/api/admin/requirements/documents/cmm4yuqdi03h8cuqwtpenx3af/view";"Öppna PDF")</f>
        <v/>
      </c>
      <c r="AR699">
        <f>HYPERLINK("http://localhost:8787/api/admin/requirements/documents/cmm4yuqdi03h8cuqwtpenx3af/view","Open PDF")</f>
        <v/>
      </c>
      <c r="AS699" t="inlineStr">
        <is>
          <t>cmm55w57p0004cuisfrtpqly8</t>
        </is>
      </c>
      <c r="AT699" t="inlineStr">
        <is>
          <t>cmm4xvu980000cuh4vj0usz09</t>
        </is>
      </c>
      <c r="AU699" t="inlineStr">
        <is>
          <t>Karlstads</t>
        </is>
      </c>
      <c r="AV699" t="inlineStr">
        <is>
          <t>Kommun</t>
        </is>
      </c>
      <c r="AW699" t="inlineStr">
        <is>
          <t>Karlstads kommun</t>
        </is>
      </c>
      <c r="AX699" t="inlineStr">
        <is>
          <t>2025-06</t>
        </is>
      </c>
      <c r="AY699" t="inlineStr">
        <is>
          <t>Anmalan</t>
        </is>
      </c>
      <c r="AZ699" t="inlineStr">
        <is>
          <t>2026-02-05</t>
        </is>
      </c>
      <c r="BA699" t="inlineStr">
        <is>
          <t>SERAB Vålberg 1 431 Beslut 250609.pdf</t>
        </is>
      </c>
      <c r="BB699" t="inlineStr">
        <is>
          <t>Begäran om utlämnande av allmän handling – Anmälningar och beslut rörande mellanlagring av avfall samt anläggning av ytor</t>
        </is>
      </c>
      <c r="BC699" t="inlineStr">
        <is>
          <t>AUTO</t>
        </is>
      </c>
      <c r="BD699" t="inlineStr"/>
      <c r="BE699" t="inlineStr"/>
      <c r="BF699" t="inlineStr">
        <is>
          <t>AUTO_GENERERAD. Bekrafta metadata mot kallfil.</t>
        </is>
      </c>
      <c r="BG699">
        <f>HYPERLINK("C:\Users\jimmy\Desktop\Examens arbete\Kod\Ny mapp\remix_-copy-of-miljöbeslut.se-portal\SERAB Vålberg 1 431 Beslut 250609.pdf", "Öppna PDF")</f>
        <v/>
      </c>
    </row>
    <row r="700">
      <c r="A700" t="inlineStr">
        <is>
          <t>KRAV-AUTO-000699</t>
        </is>
      </c>
      <c r="B700" t="inlineStr">
        <is>
          <t>ADMIN-INDEX-2026-02-27-00000000125C043F57453246863FE664CAFE6A3F0700950291EA24F0614FB6ACEDB12BF0E31D00000000010C0000950291EA24F0614FB6ACEDB12BF0E31D00002087ADFD0000</t>
        </is>
      </c>
      <c r="C700" t="inlineStr">
        <is>
          <t>cmm4yuqd603gwcuqwb2tyymkm</t>
        </is>
      </c>
      <c r="D700" t="inlineStr">
        <is>
          <t>http://localhost:8787/api/admin/requirements/documents/cmm4yuqd603gwcuqwb2tyymkm/view</t>
        </is>
      </c>
      <c r="E700">
        <f>HYPERLÄNK("http://localhost:8787/api/admin/requirements/documents/cmm4yuqd603gwcuqwb2tyymkm/view";"Öppna PDF")</f>
        <v/>
      </c>
      <c r="F700">
        <f>HYPERLINK("http://localhost:8787/api/admin/requirements/documents/cmm4yuqd603gwcuqwb2tyymkm/view","Open PDF")</f>
        <v/>
      </c>
      <c r="G700" t="inlineStr">
        <is>
          <t>cmm55w57p0004cuisfrtpqly8</t>
        </is>
      </c>
      <c r="H700" t="inlineStr">
        <is>
          <t>Informationskrav</t>
        </is>
      </c>
      <c r="I700" t="inlineStr">
        <is>
          <t>Riskhantering</t>
        </is>
      </c>
      <c r="J700" t="inlineStr">
        <is>
          <t>Riskkontroll</t>
        </is>
      </c>
      <c r="K700" t="inlineStr">
        <is>
          <t>Hänsyn ska tas till verksamheten, den plats som verksamheten bedrivs på och andra omständigheter som buller, damning, risk för spill- eller haveri, detaljplan, vattenskyddsområde, naturreservat och invasiva arter.</t>
        </is>
      </c>
      <c r="L700" t="inlineStr">
        <is>
          <t>Hänsyn ska tas till verksamheten, den plats som verksamheten bedrivs på och andra omständigheter som buller, damning, risk för spill- eller haveri, detaljplan, vattenskyddsområde, naturreservat och invasiva arter.</t>
        </is>
      </c>
      <c r="M700" t="inlineStr">
        <is>
          <t>SKA</t>
        </is>
      </c>
      <c r="N700" t="inlineStr"/>
      <c r="O700" t="inlineStr"/>
      <c r="P700" t="inlineStr"/>
      <c r="Q700" t="inlineStr"/>
      <c r="R700" t="inlineStr">
        <is>
          <t>Vid risk for incident</t>
        </is>
      </c>
      <c r="S700" t="inlineStr"/>
      <c r="T700" t="inlineStr">
        <is>
          <t>240313</t>
        </is>
      </c>
      <c r="U700" t="inlineStr"/>
      <c r="V700" t="inlineStr"/>
      <c r="W700" t="inlineStr">
        <is>
          <t>Nej</t>
        </is>
      </c>
      <c r="X700" t="inlineStr">
        <is>
          <t>Nej</t>
        </is>
      </c>
      <c r="Y700" t="inlineStr">
        <is>
          <t>Ja</t>
        </is>
      </c>
      <c r="Z700" t="inlineStr">
        <is>
          <t>Ja</t>
        </is>
      </c>
      <c r="AA700" t="n">
        <v>8</v>
      </c>
      <c r="AB700" t="inlineStr">
        <is>
          <t>Riskhantering</t>
        </is>
      </c>
      <c r="AC700" t="inlineStr">
        <is>
          <t>Risk-PM</t>
        </is>
      </c>
      <c r="AD700" t="inlineStr">
        <is>
          <t>Nej</t>
        </is>
      </c>
      <c r="AE700" t="inlineStr">
        <is>
          <t>Nej</t>
        </is>
      </c>
      <c r="AF700" t="inlineStr">
        <is>
          <t>Ej behandlad</t>
        </is>
      </c>
      <c r="AG700" t="inlineStr">
        <is>
          <t>AUTO_GENERERAD. Verifiera citat mot kallfil.</t>
        </is>
      </c>
      <c r="AH700" t="inlineStr">
        <is>
          <t>MEDIUM</t>
        </is>
      </c>
      <c r="AI700" t="inlineStr">
        <is>
          <t>AUTO</t>
        </is>
      </c>
      <c r="AJ700" t="inlineStr">
        <is>
          <t>Nej</t>
        </is>
      </c>
      <c r="AK700" t="inlineStr"/>
      <c r="AL700" t="inlineStr"/>
      <c r="AM700" t="inlineStr"/>
      <c r="AN700" t="inlineStr"/>
      <c r="AO700" t="inlineStr">
        <is>
          <t>cmm4yuqdi03h8cuqwtpenx3af</t>
        </is>
      </c>
      <c r="AP700" t="inlineStr">
        <is>
          <t>http://localhost:8787/api/admin/requirements/documents/cmm4yuqdi03h8cuqwtpenx3af/view</t>
        </is>
      </c>
      <c r="AQ700">
        <f>HYPERLÄNK("http://localhost:8787/api/admin/requirements/documents/cmm4yuqdi03h8cuqwtpenx3af/view";"Öppna PDF")</f>
        <v/>
      </c>
      <c r="AR700">
        <f>HYPERLINK("http://localhost:8787/api/admin/requirements/documents/cmm4yuqdi03h8cuqwtpenx3af/view","Open PDF")</f>
        <v/>
      </c>
      <c r="AS700" t="inlineStr">
        <is>
          <t>cmm55w57p0004cuisfrtpqly8</t>
        </is>
      </c>
      <c r="AT700" t="inlineStr">
        <is>
          <t>cmm4xvu980000cuh4vj0usz09</t>
        </is>
      </c>
      <c r="AU700" t="inlineStr">
        <is>
          <t>Karlstads</t>
        </is>
      </c>
      <c r="AV700" t="inlineStr">
        <is>
          <t>Kommun</t>
        </is>
      </c>
      <c r="AW700" t="inlineStr">
        <is>
          <t>Karlstads kommun</t>
        </is>
      </c>
      <c r="AX700" t="inlineStr">
        <is>
          <t>2025-06</t>
        </is>
      </c>
      <c r="AY700" t="inlineStr">
        <is>
          <t>Anmalan</t>
        </is>
      </c>
      <c r="AZ700" t="inlineStr">
        <is>
          <t>2026-02-05</t>
        </is>
      </c>
      <c r="BA700" t="inlineStr">
        <is>
          <t>SERAB Vålberg 1 431 Beslut 250609.pdf</t>
        </is>
      </c>
      <c r="BB700" t="inlineStr">
        <is>
          <t>Begäran om utlämnande av allmän handling – Anmälningar och beslut rörande mellanlagring av avfall samt anläggning av ytor</t>
        </is>
      </c>
      <c r="BC700" t="inlineStr">
        <is>
          <t>AUTO</t>
        </is>
      </c>
      <c r="BD700" t="inlineStr"/>
      <c r="BE700" t="inlineStr"/>
      <c r="BF700" t="inlineStr">
        <is>
          <t>AUTO_GENERERAD. Bekrafta metadata mot kallfil.</t>
        </is>
      </c>
      <c r="BG700">
        <f>HYPERLINK("C:\Users\jimmy\Desktop\Examens arbete\Kod\Ny mapp\remix_-copy-of-miljöbeslut.se-portal\SERAB Vålberg 1 431 Beslut 250609.pdf", "Öppna PDF")</f>
        <v/>
      </c>
    </row>
    <row r="701">
      <c r="A701" t="inlineStr">
        <is>
          <t>KRAV-AUTO-000700</t>
        </is>
      </c>
      <c r="B701" t="inlineStr">
        <is>
          <t>ADMIN-INDEX-2026-02-27-00000000125C043F57453246863FE664CAFE6A3F0700950291EA24F0614FB6ACEDB12BF0E31D00000000010C0000950291EA24F0614FB6ACEDB12BF0E31D00002087ADFE0000</t>
        </is>
      </c>
      <c r="C701" t="inlineStr">
        <is>
          <t>cmm4yuqcq03gkcuqwtvl6o7vj</t>
        </is>
      </c>
      <c r="D701" t="inlineStr">
        <is>
          <t>http://localhost:8787/api/admin/requirements/documents/cmm4yuqcq03gkcuqwtvl6o7vj/view</t>
        </is>
      </c>
      <c r="E701">
        <f>HYPERLÄNK("http://localhost:8787/api/admin/requirements/documents/cmm4yuqcq03gkcuqwtvl6o7vj/view";"Öppna PDF")</f>
        <v/>
      </c>
      <c r="F701">
        <f>HYPERLINK("http://localhost:8787/api/admin/requirements/documents/cmm4yuqcq03gkcuqwtvl6o7vj/view","Open PDF")</f>
        <v/>
      </c>
      <c r="G701" t="inlineStr">
        <is>
          <t>cmm55w57p0004cuisfrtpqly8</t>
        </is>
      </c>
      <c r="H701" t="inlineStr">
        <is>
          <t>Informationskrav</t>
        </is>
      </c>
      <c r="I701" t="inlineStr">
        <is>
          <t>MiljopaverkanForsiktighet</t>
        </is>
      </c>
      <c r="J701" t="inlineStr">
        <is>
          <t>Skyddsatgarder</t>
        </is>
      </c>
      <c r="K701" t="inlineStr">
        <is>
          <t>Beskriv syftet med den nya anläggningen som avfallet ska användas till Masshantering av mottagna massor för sortering och sållning.</t>
        </is>
      </c>
      <c r="L701" t="inlineStr">
        <is>
          <t>Beskriv syftet med den nya anläggningen som avfallet ska användas till Masshantering av mottagna massor för sortering och sållning.</t>
        </is>
      </c>
      <c r="M701" t="inlineStr">
        <is>
          <t>SKA</t>
        </is>
      </c>
      <c r="N701" t="inlineStr"/>
      <c r="O701" t="inlineStr"/>
      <c r="P701" t="inlineStr"/>
      <c r="Q701" t="inlineStr"/>
      <c r="R701" t="inlineStr">
        <is>
          <t>Alltid</t>
        </is>
      </c>
      <c r="S701" t="inlineStr"/>
      <c r="T701" t="inlineStr">
        <is>
          <t>240313</t>
        </is>
      </c>
      <c r="U701" t="inlineStr"/>
      <c r="V701" t="inlineStr"/>
      <c r="W701" t="inlineStr">
        <is>
          <t>Nej</t>
        </is>
      </c>
      <c r="X701" t="inlineStr">
        <is>
          <t>Nej</t>
        </is>
      </c>
      <c r="Y701" t="inlineStr">
        <is>
          <t>Nej</t>
        </is>
      </c>
      <c r="Z701" t="inlineStr">
        <is>
          <t>Nej</t>
        </is>
      </c>
      <c r="AA701" t="n">
        <v>10</v>
      </c>
      <c r="AB701" t="inlineStr">
        <is>
          <t>Miljopaverkan och forsiktighetsmatt</t>
        </is>
      </c>
      <c r="AC701" t="inlineStr">
        <is>
          <t>Miljo-PM</t>
        </is>
      </c>
      <c r="AD701" t="inlineStr">
        <is>
          <t>Nej</t>
        </is>
      </c>
      <c r="AE701" t="inlineStr">
        <is>
          <t>Nej</t>
        </is>
      </c>
      <c r="AF701" t="inlineStr">
        <is>
          <t>Ej behandlad</t>
        </is>
      </c>
      <c r="AG701" t="inlineStr">
        <is>
          <t>AUTO_GENERERAD. Verifiera citat mot kallfil.</t>
        </is>
      </c>
      <c r="AH701" t="inlineStr">
        <is>
          <t>MEDIUM</t>
        </is>
      </c>
      <c r="AI701" t="inlineStr">
        <is>
          <t>AUTO</t>
        </is>
      </c>
      <c r="AJ701" t="inlineStr">
        <is>
          <t>Nej</t>
        </is>
      </c>
      <c r="AK701" t="inlineStr"/>
      <c r="AL701" t="inlineStr"/>
      <c r="AM701" t="inlineStr"/>
      <c r="AN701" t="inlineStr"/>
      <c r="AO701" t="inlineStr">
        <is>
          <t>cmm4yuqd303gtcuqw3vlw8j3n</t>
        </is>
      </c>
      <c r="AP701" t="inlineStr">
        <is>
          <t>http://localhost:8787/api/admin/requirements/documents/cmm4yuqd303gtcuqw3vlw8j3n/view</t>
        </is>
      </c>
      <c r="AQ701">
        <f>HYPERLÄNK("http://localhost:8787/api/admin/requirements/documents/cmm4yuqd303gtcuqw3vlw8j3n/view";"Öppna PDF")</f>
        <v/>
      </c>
      <c r="AR701">
        <f>HYPERLINK("http://localhost:8787/api/admin/requirements/documents/cmm4yuqd303gtcuqw3vlw8j3n/view","Open PDF")</f>
        <v/>
      </c>
      <c r="AS701" t="inlineStr">
        <is>
          <t>cmm55w57p0004cuisfrtpqly8</t>
        </is>
      </c>
      <c r="AT701" t="inlineStr">
        <is>
          <t>cmm4xvu980000cuh4vj0usz09</t>
        </is>
      </c>
      <c r="AU701" t="inlineStr"/>
      <c r="AV701" t="inlineStr">
        <is>
          <t>Kommun</t>
        </is>
      </c>
      <c r="AW701" t="inlineStr"/>
      <c r="AX701" t="inlineStr"/>
      <c r="AY701" t="inlineStr">
        <is>
          <t>Anmalan</t>
        </is>
      </c>
      <c r="AZ701" t="inlineStr">
        <is>
          <t>2026-02-05</t>
        </is>
      </c>
      <c r="BA701" t="inlineStr">
        <is>
          <t>Styrning och kontroll - GIFA.pdf</t>
        </is>
      </c>
      <c r="BB701" t="inlineStr">
        <is>
          <t>Begäran om utlämnande av allmän handling – Anmälningar och beslut rörande mellanlagring av avfall samt anläggning av ytor</t>
        </is>
      </c>
      <c r="BC701" t="inlineStr">
        <is>
          <t>AUTO</t>
        </is>
      </c>
      <c r="BD701" t="inlineStr"/>
      <c r="BE701" t="inlineStr"/>
      <c r="BF701" t="inlineStr">
        <is>
          <t>AUTO_GENERERAD. Bekrafta metadata mot kallfil.</t>
        </is>
      </c>
      <c r="BG701">
        <f>HYPERLINK("C:\Users\jimmy\Desktop\Examens arbete\Kod\Ny mapp\remix_-copy-of-miljöbeslut.se-portal\Styrning och kontroll - GIFA.pdf", "Öppna PDF")</f>
        <v/>
      </c>
    </row>
    <row r="702">
      <c r="A702" t="inlineStr">
        <is>
          <t>KRAV-AUTO-000701</t>
        </is>
      </c>
      <c r="B702" t="inlineStr">
        <is>
          <t>ADMIN-INDEX-2026-02-27-00000000125C043F57453246863FE664CAFE6A3F0700950291EA24F0614FB6ACEDB12BF0E31D00000000010C0000950291EA24F0614FB6ACEDB12BF0E31D00002087ADFE0000</t>
        </is>
      </c>
      <c r="C702" t="inlineStr">
        <is>
          <t>cmm4yuqcq03gkcuqwtvl6o7vj</t>
        </is>
      </c>
      <c r="D702" t="inlineStr">
        <is>
          <t>http://localhost:8787/api/admin/requirements/documents/cmm4yuqcq03gkcuqwtvl6o7vj/view</t>
        </is>
      </c>
      <c r="E702">
        <f>HYPERLÄNK("http://localhost:8787/api/admin/requirements/documents/cmm4yuqcq03gkcuqwtvl6o7vj/view";"Öppna PDF")</f>
        <v/>
      </c>
      <c r="F702">
        <f>HYPERLINK("http://localhost:8787/api/admin/requirements/documents/cmm4yuqcq03gkcuqwtvl6o7vj/view","Open PDF")</f>
        <v/>
      </c>
      <c r="G702" t="inlineStr">
        <is>
          <t>cmm55w57p0004cuisfrtpqly8</t>
        </is>
      </c>
      <c r="H702" t="inlineStr">
        <is>
          <t>Informationskrav</t>
        </is>
      </c>
      <c r="I702" t="inlineStr">
        <is>
          <t>Riskhantering</t>
        </is>
      </c>
      <c r="J702" t="inlineStr">
        <is>
          <t>Riskkontroll</t>
        </is>
      </c>
      <c r="K702" t="inlineStr">
        <is>
          <t>Hänsyn ska tas till verksamheten, den plats som verksamheten bedrivs på och andra omständigheter som buller, damning, risk för spill- eller haveri, detaljplan, vattenskyddsområde, naturreservat och invasiva arter.</t>
        </is>
      </c>
      <c r="L702" t="inlineStr">
        <is>
          <t>Hänsyn ska tas till verksamheten, den plats som verksamheten bedrivs på och andra omständigheter som buller, damning, risk för spill- eller haveri, detaljplan, vattenskyddsområde, naturreservat och invasiva arter.</t>
        </is>
      </c>
      <c r="M702" t="inlineStr">
        <is>
          <t>SKA</t>
        </is>
      </c>
      <c r="N702" t="inlineStr"/>
      <c r="O702" t="inlineStr"/>
      <c r="P702" t="inlineStr"/>
      <c r="Q702" t="inlineStr"/>
      <c r="R702" t="inlineStr">
        <is>
          <t>Vid risk for incident</t>
        </is>
      </c>
      <c r="S702" t="inlineStr"/>
      <c r="T702" t="inlineStr">
        <is>
          <t>240313</t>
        </is>
      </c>
      <c r="U702" t="inlineStr"/>
      <c r="V702" t="inlineStr"/>
      <c r="W702" t="inlineStr">
        <is>
          <t>Nej</t>
        </is>
      </c>
      <c r="X702" t="inlineStr">
        <is>
          <t>Nej</t>
        </is>
      </c>
      <c r="Y702" t="inlineStr">
        <is>
          <t>Ja</t>
        </is>
      </c>
      <c r="Z702" t="inlineStr">
        <is>
          <t>Ja</t>
        </is>
      </c>
      <c r="AA702" t="n">
        <v>8</v>
      </c>
      <c r="AB702" t="inlineStr">
        <is>
          <t>Riskhantering</t>
        </is>
      </c>
      <c r="AC702" t="inlineStr">
        <is>
          <t>Risk-PM</t>
        </is>
      </c>
      <c r="AD702" t="inlineStr">
        <is>
          <t>Nej</t>
        </is>
      </c>
      <c r="AE702" t="inlineStr">
        <is>
          <t>Nej</t>
        </is>
      </c>
      <c r="AF702" t="inlineStr">
        <is>
          <t>Ej behandlad</t>
        </is>
      </c>
      <c r="AG702" t="inlineStr">
        <is>
          <t>AUTO_GENERERAD. Verifiera citat mot kallfil.</t>
        </is>
      </c>
      <c r="AH702" t="inlineStr">
        <is>
          <t>MEDIUM</t>
        </is>
      </c>
      <c r="AI702" t="inlineStr">
        <is>
          <t>AUTO</t>
        </is>
      </c>
      <c r="AJ702" t="inlineStr">
        <is>
          <t>Nej</t>
        </is>
      </c>
      <c r="AK702" t="inlineStr"/>
      <c r="AL702" t="inlineStr"/>
      <c r="AM702" t="inlineStr"/>
      <c r="AN702" t="inlineStr"/>
      <c r="AO702" t="inlineStr">
        <is>
          <t>cmm4yuqd303gtcuqw3vlw8j3n</t>
        </is>
      </c>
      <c r="AP702" t="inlineStr">
        <is>
          <t>http://localhost:8787/api/admin/requirements/documents/cmm4yuqd303gtcuqw3vlw8j3n/view</t>
        </is>
      </c>
      <c r="AQ702">
        <f>HYPERLÄNK("http://localhost:8787/api/admin/requirements/documents/cmm4yuqd303gtcuqw3vlw8j3n/view";"Öppna PDF")</f>
        <v/>
      </c>
      <c r="AR702">
        <f>HYPERLINK("http://localhost:8787/api/admin/requirements/documents/cmm4yuqd303gtcuqw3vlw8j3n/view","Open PDF")</f>
        <v/>
      </c>
      <c r="AS702" t="inlineStr">
        <is>
          <t>cmm55w57p0004cuisfrtpqly8</t>
        </is>
      </c>
      <c r="AT702" t="inlineStr">
        <is>
          <t>cmm4xvu980000cuh4vj0usz09</t>
        </is>
      </c>
      <c r="AU702" t="inlineStr"/>
      <c r="AV702" t="inlineStr">
        <is>
          <t>Kommun</t>
        </is>
      </c>
      <c r="AW702" t="inlineStr"/>
      <c r="AX702" t="inlineStr"/>
      <c r="AY702" t="inlineStr">
        <is>
          <t>Anmalan</t>
        </is>
      </c>
      <c r="AZ702" t="inlineStr">
        <is>
          <t>2026-02-05</t>
        </is>
      </c>
      <c r="BA702" t="inlineStr">
        <is>
          <t>Styrning och kontroll - GIFA.pdf</t>
        </is>
      </c>
      <c r="BB702" t="inlineStr">
        <is>
          <t>Begäran om utlämnande av allmän handling – Anmälningar och beslut rörande mellanlagring av avfall samt anläggning av ytor</t>
        </is>
      </c>
      <c r="BC702" t="inlineStr">
        <is>
          <t>AUTO</t>
        </is>
      </c>
      <c r="BD702" t="inlineStr"/>
      <c r="BE702" t="inlineStr"/>
      <c r="BF702" t="inlineStr">
        <is>
          <t>AUTO_GENERERAD. Bekrafta metadata mot kallfil.</t>
        </is>
      </c>
      <c r="BG702">
        <f>HYPERLINK("C:\Users\jimmy\Desktop\Examens arbete\Kod\Ny mapp\remix_-copy-of-miljöbeslut.se-portal\Styrning och kontroll - GIFA.pdf", "Öppna PDF")</f>
        <v/>
      </c>
    </row>
    <row r="703">
      <c r="A703" t="inlineStr">
        <is>
          <t>KRAV-AUTO-000702</t>
        </is>
      </c>
      <c r="B703" t="inlineStr">
        <is>
          <t>ADMIN-INDEX-2026-02-27-00000000125C043F57453246863FE664CAFE6A3F0700950291EA24F0614FB6ACEDB12BF0E31D00000000010C0000950291EA24F0614FB6ACEDB12BF0E31D00002087ADFE0000</t>
        </is>
      </c>
      <c r="C703" t="inlineStr">
        <is>
          <t>cmm4yuqck03gecuqwnykm0vbp</t>
        </is>
      </c>
      <c r="D703" t="inlineStr">
        <is>
          <t>http://localhost:8787/api/admin/requirements/documents/cmm4yuqck03gecuqwnykm0vbp/view</t>
        </is>
      </c>
      <c r="E703">
        <f>HYPERLÄNK("http://localhost:8787/api/admin/requirements/documents/cmm4yuqck03gecuqwnykm0vbp/view";"Öppna PDF")</f>
        <v/>
      </c>
      <c r="F703">
        <f>HYPERLINK("http://localhost:8787/api/admin/requirements/documents/cmm4yuqck03gecuqwnykm0vbp/view","Open PDF")</f>
        <v/>
      </c>
      <c r="G703" t="inlineStr">
        <is>
          <t>cmm55w57p0004cuisfrtpqly8</t>
        </is>
      </c>
      <c r="H703" t="inlineStr">
        <is>
          <t>Informationskrav</t>
        </is>
      </c>
      <c r="I703" t="inlineStr">
        <is>
          <t>MiljopaverkanForsiktighet</t>
        </is>
      </c>
      <c r="J703" t="inlineStr">
        <is>
          <t>Skyddsatgarder</t>
        </is>
      </c>
      <c r="K703" t="inlineStr">
        <is>
          <t>Beskriv syftet med den nya anläggningen som avfallet ska användas till Masshantering av mottagna massor för sortering och sållning.</t>
        </is>
      </c>
      <c r="L703" t="inlineStr">
        <is>
          <t>Beskriv syftet med den nya anläggningen som avfallet ska användas till Masshantering av mottagna massor för sortering och sållning.</t>
        </is>
      </c>
      <c r="M703" t="inlineStr">
        <is>
          <t>SKA</t>
        </is>
      </c>
      <c r="N703" t="inlineStr"/>
      <c r="O703" t="inlineStr"/>
      <c r="P703" t="inlineStr"/>
      <c r="Q703" t="inlineStr"/>
      <c r="R703" t="inlineStr">
        <is>
          <t>Alltid</t>
        </is>
      </c>
      <c r="S703" t="inlineStr"/>
      <c r="T703" t="inlineStr">
        <is>
          <t>240313</t>
        </is>
      </c>
      <c r="U703" t="inlineStr"/>
      <c r="V703" t="inlineStr"/>
      <c r="W703" t="inlineStr">
        <is>
          <t>Nej</t>
        </is>
      </c>
      <c r="X703" t="inlineStr">
        <is>
          <t>Nej</t>
        </is>
      </c>
      <c r="Y703" t="inlineStr">
        <is>
          <t>Nej</t>
        </is>
      </c>
      <c r="Z703" t="inlineStr">
        <is>
          <t>Nej</t>
        </is>
      </c>
      <c r="AA703" t="n">
        <v>10</v>
      </c>
      <c r="AB703" t="inlineStr">
        <is>
          <t>Miljopaverkan och forsiktighetsmatt</t>
        </is>
      </c>
      <c r="AC703" t="inlineStr">
        <is>
          <t>Miljo-PM</t>
        </is>
      </c>
      <c r="AD703" t="inlineStr">
        <is>
          <t>Nej</t>
        </is>
      </c>
      <c r="AE703" t="inlineStr">
        <is>
          <t>Nej</t>
        </is>
      </c>
      <c r="AF703" t="inlineStr">
        <is>
          <t>Ej behandlad</t>
        </is>
      </c>
      <c r="AG703" t="inlineStr">
        <is>
          <t>AUTO_GENERERAD. Verifiera citat mot kallfil.</t>
        </is>
      </c>
      <c r="AH703" t="inlineStr">
        <is>
          <t>MEDIUM</t>
        </is>
      </c>
      <c r="AI703" t="inlineStr">
        <is>
          <t>AUTO</t>
        </is>
      </c>
      <c r="AJ703" t="inlineStr">
        <is>
          <t>Nej</t>
        </is>
      </c>
      <c r="AK703" t="inlineStr"/>
      <c r="AL703" t="inlineStr"/>
      <c r="AM703" t="inlineStr"/>
      <c r="AN703" t="inlineStr"/>
      <c r="AO703" t="inlineStr">
        <is>
          <t>cmm4yuqd303gtcuqw3vlw8j3n</t>
        </is>
      </c>
      <c r="AP703" t="inlineStr">
        <is>
          <t>http://localhost:8787/api/admin/requirements/documents/cmm4yuqd303gtcuqw3vlw8j3n/view</t>
        </is>
      </c>
      <c r="AQ703">
        <f>HYPERLÄNK("http://localhost:8787/api/admin/requirements/documents/cmm4yuqd303gtcuqw3vlw8j3n/view";"Öppna PDF")</f>
        <v/>
      </c>
      <c r="AR703">
        <f>HYPERLINK("http://localhost:8787/api/admin/requirements/documents/cmm4yuqd303gtcuqw3vlw8j3n/view","Open PDF")</f>
        <v/>
      </c>
      <c r="AS703" t="inlineStr">
        <is>
          <t>cmm55w57p0004cuisfrtpqly8</t>
        </is>
      </c>
      <c r="AT703" t="inlineStr">
        <is>
          <t>cmm4xvu980000cuh4vj0usz09</t>
        </is>
      </c>
      <c r="AU703" t="inlineStr"/>
      <c r="AV703" t="inlineStr">
        <is>
          <t>Kommun</t>
        </is>
      </c>
      <c r="AW703" t="inlineStr"/>
      <c r="AX703" t="inlineStr"/>
      <c r="AY703" t="inlineStr">
        <is>
          <t>Anmalan</t>
        </is>
      </c>
      <c r="AZ703" t="inlineStr">
        <is>
          <t>2026-02-05</t>
        </is>
      </c>
      <c r="BA703" t="inlineStr">
        <is>
          <t>Styrning och kontroll - GIFA.pdf</t>
        </is>
      </c>
      <c r="BB703" t="inlineStr">
        <is>
          <t>Begäran om utlämnande av allmän handling – Anmälningar och beslut rörande mellanlagring av avfall samt anläggning av ytor</t>
        </is>
      </c>
      <c r="BC703" t="inlineStr">
        <is>
          <t>AUTO</t>
        </is>
      </c>
      <c r="BD703" t="inlineStr"/>
      <c r="BE703" t="inlineStr"/>
      <c r="BF703" t="inlineStr">
        <is>
          <t>AUTO_GENERERAD. Bekrafta metadata mot kallfil.</t>
        </is>
      </c>
      <c r="BG703">
        <f>HYPERLINK("C:\Users\jimmy\Desktop\Examens arbete\Kod\Ny mapp\remix_-copy-of-miljöbeslut.se-portal\Styrning och kontroll - GIFA.pdf", "Öppna PDF")</f>
        <v/>
      </c>
    </row>
    <row r="704">
      <c r="A704" t="inlineStr">
        <is>
          <t>KRAV-AUTO-000703</t>
        </is>
      </c>
      <c r="B704" t="inlineStr">
        <is>
          <t>ADMIN-INDEX-2026-02-27-00000000125C043F57453246863FE664CAFE6A3F0700950291EA24F0614FB6ACEDB12BF0E31D00000000010C0000950291EA24F0614FB6ACEDB12BF0E31D00002087ADFE0000</t>
        </is>
      </c>
      <c r="C704" t="inlineStr">
        <is>
          <t>cmm4yuqck03gecuqwnykm0vbp</t>
        </is>
      </c>
      <c r="D704" t="inlineStr">
        <is>
          <t>http://localhost:8787/api/admin/requirements/documents/cmm4yuqck03gecuqwnykm0vbp/view</t>
        </is>
      </c>
      <c r="E704">
        <f>HYPERLÄNK("http://localhost:8787/api/admin/requirements/documents/cmm4yuqck03gecuqwnykm0vbp/view";"Öppna PDF")</f>
        <v/>
      </c>
      <c r="F704">
        <f>HYPERLINK("http://localhost:8787/api/admin/requirements/documents/cmm4yuqck03gecuqwnykm0vbp/view","Open PDF")</f>
        <v/>
      </c>
      <c r="G704" t="inlineStr">
        <is>
          <t>cmm55w57p0004cuisfrtpqly8</t>
        </is>
      </c>
      <c r="H704" t="inlineStr">
        <is>
          <t>Informationskrav</t>
        </is>
      </c>
      <c r="I704" t="inlineStr">
        <is>
          <t>Riskhantering</t>
        </is>
      </c>
      <c r="J704" t="inlineStr">
        <is>
          <t>Riskkontroll</t>
        </is>
      </c>
      <c r="K704" t="inlineStr">
        <is>
          <t>Hänsyn ska tas till verksamheten, den plats som verksamheten bedrivs på och andra omständigheter som buller, damning, risk för spill- eller haveri, detaljplan, vattenskyddsområde, naturreservat och invasiva arter.</t>
        </is>
      </c>
      <c r="L704" t="inlineStr">
        <is>
          <t>Hänsyn ska tas till verksamheten, den plats som verksamheten bedrivs på och andra omständigheter som buller, damning, risk för spill- eller haveri, detaljplan, vattenskyddsområde, naturreservat och invasiva arter.</t>
        </is>
      </c>
      <c r="M704" t="inlineStr">
        <is>
          <t>SKA</t>
        </is>
      </c>
      <c r="N704" t="inlineStr"/>
      <c r="O704" t="inlineStr"/>
      <c r="P704" t="inlineStr"/>
      <c r="Q704" t="inlineStr"/>
      <c r="R704" t="inlineStr">
        <is>
          <t>Vid risk for incident</t>
        </is>
      </c>
      <c r="S704" t="inlineStr"/>
      <c r="T704" t="inlineStr">
        <is>
          <t>240313</t>
        </is>
      </c>
      <c r="U704" t="inlineStr"/>
      <c r="V704" t="inlineStr"/>
      <c r="W704" t="inlineStr">
        <is>
          <t>Nej</t>
        </is>
      </c>
      <c r="X704" t="inlineStr">
        <is>
          <t>Nej</t>
        </is>
      </c>
      <c r="Y704" t="inlineStr">
        <is>
          <t>Ja</t>
        </is>
      </c>
      <c r="Z704" t="inlineStr">
        <is>
          <t>Ja</t>
        </is>
      </c>
      <c r="AA704" t="n">
        <v>8</v>
      </c>
      <c r="AB704" t="inlineStr">
        <is>
          <t>Riskhantering</t>
        </is>
      </c>
      <c r="AC704" t="inlineStr">
        <is>
          <t>Risk-PM</t>
        </is>
      </c>
      <c r="AD704" t="inlineStr">
        <is>
          <t>Nej</t>
        </is>
      </c>
      <c r="AE704" t="inlineStr">
        <is>
          <t>Nej</t>
        </is>
      </c>
      <c r="AF704" t="inlineStr">
        <is>
          <t>Ej behandlad</t>
        </is>
      </c>
      <c r="AG704" t="inlineStr">
        <is>
          <t>AUTO_GENERERAD. Verifiera citat mot kallfil.</t>
        </is>
      </c>
      <c r="AH704" t="inlineStr">
        <is>
          <t>MEDIUM</t>
        </is>
      </c>
      <c r="AI704" t="inlineStr">
        <is>
          <t>AUTO</t>
        </is>
      </c>
      <c r="AJ704" t="inlineStr">
        <is>
          <t>Nej</t>
        </is>
      </c>
      <c r="AK704" t="inlineStr"/>
      <c r="AL704" t="inlineStr"/>
      <c r="AM704" t="inlineStr"/>
      <c r="AN704" t="inlineStr"/>
      <c r="AO704" t="inlineStr">
        <is>
          <t>cmm4yuqd303gtcuqw3vlw8j3n</t>
        </is>
      </c>
      <c r="AP704" t="inlineStr">
        <is>
          <t>http://localhost:8787/api/admin/requirements/documents/cmm4yuqd303gtcuqw3vlw8j3n/view</t>
        </is>
      </c>
      <c r="AQ704">
        <f>HYPERLÄNK("http://localhost:8787/api/admin/requirements/documents/cmm4yuqd303gtcuqw3vlw8j3n/view";"Öppna PDF")</f>
        <v/>
      </c>
      <c r="AR704">
        <f>HYPERLINK("http://localhost:8787/api/admin/requirements/documents/cmm4yuqd303gtcuqw3vlw8j3n/view","Open PDF")</f>
        <v/>
      </c>
      <c r="AS704" t="inlineStr">
        <is>
          <t>cmm55w57p0004cuisfrtpqly8</t>
        </is>
      </c>
      <c r="AT704" t="inlineStr">
        <is>
          <t>cmm4xvu980000cuh4vj0usz09</t>
        </is>
      </c>
      <c r="AU704" t="inlineStr"/>
      <c r="AV704" t="inlineStr">
        <is>
          <t>Kommun</t>
        </is>
      </c>
      <c r="AW704" t="inlineStr"/>
      <c r="AX704" t="inlineStr"/>
      <c r="AY704" t="inlineStr">
        <is>
          <t>Anmalan</t>
        </is>
      </c>
      <c r="AZ704" t="inlineStr">
        <is>
          <t>2026-02-05</t>
        </is>
      </c>
      <c r="BA704" t="inlineStr">
        <is>
          <t>Styrning och kontroll - GIFA.pdf</t>
        </is>
      </c>
      <c r="BB704" t="inlineStr">
        <is>
          <t>Begäran om utlämnande av allmän handling – Anmälningar och beslut rörande mellanlagring av avfall samt anläggning av ytor</t>
        </is>
      </c>
      <c r="BC704" t="inlineStr">
        <is>
          <t>AUTO</t>
        </is>
      </c>
      <c r="BD704" t="inlineStr"/>
      <c r="BE704" t="inlineStr"/>
      <c r="BF704" t="inlineStr">
        <is>
          <t>AUTO_GENERERAD. Bekrafta metadata mot kallfil.</t>
        </is>
      </c>
      <c r="BG704">
        <f>HYPERLINK("C:\Users\jimmy\Desktop\Examens arbete\Kod\Ny mapp\remix_-copy-of-miljöbeslut.se-portal\Styrning och kontroll - GIFA.pdf", "Öppna PDF")</f>
        <v/>
      </c>
    </row>
    <row r="705">
      <c r="A705" t="inlineStr">
        <is>
          <t>KRAV-AUTO-000704</t>
        </is>
      </c>
      <c r="B705" t="inlineStr">
        <is>
          <t>ADMIN-INDEX-2026-02-27-00000000125C043F57453246863FE664CAFE6A3F0700950291EA24F0614FB6ACEDB12BF0E31D00000000010C0000950291EA24F0614FB6ACEDB12BF0E31D00002087AE000000</t>
        </is>
      </c>
      <c r="C705" t="inlineStr">
        <is>
          <t>cmm4yuqc903g5cuqwme802knw</t>
        </is>
      </c>
      <c r="D705" t="inlineStr">
        <is>
          <t>http://localhost:8787/api/admin/requirements/documents/cmm4yuqc903g5cuqwme802knw/view</t>
        </is>
      </c>
      <c r="E705">
        <f>HYPERLÄNK("http://localhost:8787/api/admin/requirements/documents/cmm4yuqc903g5cuqwme802knw/view";"Öppna PDF")</f>
        <v/>
      </c>
      <c r="F705">
        <f>HYPERLINK("http://localhost:8787/api/admin/requirements/documents/cmm4yuqc903g5cuqwme802knw/view","Open PDF")</f>
        <v/>
      </c>
      <c r="G705" t="inlineStr">
        <is>
          <t>cmm55w57p0004cuisfrtpqly8</t>
        </is>
      </c>
      <c r="H705" t="inlineStr">
        <is>
          <t>Informationskrav</t>
        </is>
      </c>
      <c r="I705" t="inlineStr">
        <is>
          <t>MiljopaverkanForsiktighet</t>
        </is>
      </c>
      <c r="J705" t="inlineStr">
        <is>
          <t>Skyddsatgarder</t>
        </is>
      </c>
      <c r="K705" t="inlineStr">
        <is>
          <t>Dokument: Karlstads kommun Anmälan om lagring av avfall Skåre 1 369 Beslut 250820.pdf.</t>
        </is>
      </c>
      <c r="L705" t="inlineStr">
        <is>
          <t>Dokument: Karlstads kommun Anmälan om lagring av avfall Skåre 1 369 Beslut 250820.pdf.</t>
        </is>
      </c>
      <c r="M705" t="inlineStr">
        <is>
          <t>SKA</t>
        </is>
      </c>
      <c r="N705" t="inlineStr"/>
      <c r="O705" t="inlineStr"/>
      <c r="P705" t="inlineStr"/>
      <c r="Q705" t="inlineStr"/>
      <c r="R705" t="inlineStr">
        <is>
          <t>Alltid</t>
        </is>
      </c>
      <c r="S705" t="inlineStr"/>
      <c r="T705" t="inlineStr">
        <is>
          <t>250820</t>
        </is>
      </c>
      <c r="U705" t="inlineStr"/>
      <c r="V705" t="inlineStr"/>
      <c r="W705" t="inlineStr">
        <is>
          <t>Nej</t>
        </is>
      </c>
      <c r="X705" t="inlineStr">
        <is>
          <t>Nej</t>
        </is>
      </c>
      <c r="Y705" t="inlineStr">
        <is>
          <t>Nej</t>
        </is>
      </c>
      <c r="Z705" t="inlineStr">
        <is>
          <t>Nej</t>
        </is>
      </c>
      <c r="AA705" t="n">
        <v>10</v>
      </c>
      <c r="AB705" t="inlineStr">
        <is>
          <t>Miljopaverkan och forsiktighetsmatt</t>
        </is>
      </c>
      <c r="AC705" t="inlineStr">
        <is>
          <t>Miljo-PM</t>
        </is>
      </c>
      <c r="AD705" t="inlineStr">
        <is>
          <t>Nej</t>
        </is>
      </c>
      <c r="AE705" t="inlineStr">
        <is>
          <t>Nej</t>
        </is>
      </c>
      <c r="AF705" t="inlineStr">
        <is>
          <t>Ej behandlad</t>
        </is>
      </c>
      <c r="AG705" t="inlineStr">
        <is>
          <t>AUTO_GENERERAD. Verifiera citat mot kallfil.</t>
        </is>
      </c>
      <c r="AH705" t="inlineStr">
        <is>
          <t>LOW</t>
        </is>
      </c>
      <c r="AI705" t="inlineStr">
        <is>
          <t>AUTO</t>
        </is>
      </c>
      <c r="AJ705" t="inlineStr">
        <is>
          <t>Nej</t>
        </is>
      </c>
      <c r="AK705" t="inlineStr"/>
      <c r="AL705" t="inlineStr"/>
      <c r="AM705" t="inlineStr"/>
      <c r="AN705" t="inlineStr"/>
      <c r="AO705" t="inlineStr">
        <is>
          <t>cmm4yuqc903g5cuqwme802knw</t>
        </is>
      </c>
      <c r="AP705" t="inlineStr">
        <is>
          <t>http://localhost:8787/api/admin/requirements/documents/cmm4yuqc903g5cuqwme802knw/view</t>
        </is>
      </c>
      <c r="AQ705">
        <f>HYPERLÄNK("http://localhost:8787/api/admin/requirements/documents/cmm4yuqc903g5cuqwme802knw/view";"Öppna PDF")</f>
        <v/>
      </c>
      <c r="AR705">
        <f>HYPERLINK("http://localhost:8787/api/admin/requirements/documents/cmm4yuqc903g5cuqwme802knw/view","Open PDF")</f>
        <v/>
      </c>
      <c r="AS705" t="inlineStr">
        <is>
          <t>cmm55w57p0004cuisfrtpqly8</t>
        </is>
      </c>
      <c r="AT705" t="inlineStr">
        <is>
          <t>cmm4xvu980000cuh4vj0usz09</t>
        </is>
      </c>
      <c r="AU705" t="inlineStr">
        <is>
          <t>avfall samt anläggning av ytor Karlstads</t>
        </is>
      </c>
      <c r="AV705" t="inlineStr">
        <is>
          <t>Kommun</t>
        </is>
      </c>
      <c r="AW705" t="inlineStr">
        <is>
          <t>avfall samt anläggning av ytor Karlstads kommun</t>
        </is>
      </c>
      <c r="AX705" t="inlineStr"/>
      <c r="AY705" t="inlineStr">
        <is>
          <t>Anmalan</t>
        </is>
      </c>
      <c r="AZ705" t="inlineStr">
        <is>
          <t>2026-02-05</t>
        </is>
      </c>
      <c r="BA705" t="inlineStr">
        <is>
          <t>Karlstads kommun Anmälan om lagring av avfall Skåre 1 369 Beslut 250820.pdf</t>
        </is>
      </c>
      <c r="BB705" t="inlineStr">
        <is>
          <t>Begäran om utlämnande av allmän handling – Anmälningar och beslut rörande mellanlagring av avfall samt anläggning av ytor</t>
        </is>
      </c>
      <c r="BC705" t="inlineStr">
        <is>
          <t>AUTO</t>
        </is>
      </c>
      <c r="BD705" t="inlineStr"/>
      <c r="BE705" t="inlineStr"/>
      <c r="BF705" t="inlineStr">
        <is>
          <t>AUTO_GENERERAD. Bekrafta metadata mot kallfil.</t>
        </is>
      </c>
      <c r="BG705">
        <f>HYPERLINK("C:\Users\jimmy\Desktop\Examens arbete\Kod\Ny mapp\remix_-copy-of-miljöbeslut.se-portal\Karlstads kommun Anmälan om lagring av avfall Skåre 1 369 Beslut 250820.pdf", "Öppna PDF")</f>
        <v/>
      </c>
    </row>
    <row r="706">
      <c r="A706" t="inlineStr">
        <is>
          <t>KRAV-AUTO-000705</t>
        </is>
      </c>
      <c r="B706" t="inlineStr">
        <is>
          <t>ADMIN-INDEX-2026-02-27-00000000125C043F57453246863FE664CAFE6A3F0700950291EA24F0614FB6ACEDB12BF0E31D00000000010C0000950291EA24F0614FB6ACEDB12BF0E31D00002087AE000000</t>
        </is>
      </c>
      <c r="C706" t="inlineStr">
        <is>
          <t>cmm4yuqc603g2cuqw2w536lb6</t>
        </is>
      </c>
      <c r="D706" t="inlineStr">
        <is>
          <t>http://localhost:8787/api/admin/requirements/documents/cmm4yuqc603g2cuqw2w536lb6/view</t>
        </is>
      </c>
      <c r="E706">
        <f>HYPERLÄNK("http://localhost:8787/api/admin/requirements/documents/cmm4yuqc603g2cuqw2w536lb6/view";"Öppna PDF")</f>
        <v/>
      </c>
      <c r="F706">
        <f>HYPERLINK("http://localhost:8787/api/admin/requirements/documents/cmm4yuqc603g2cuqw2w536lb6/view","Open PDF")</f>
        <v/>
      </c>
      <c r="G706" t="inlineStr">
        <is>
          <t>cmm55w57p0004cuisfrtpqly8</t>
        </is>
      </c>
      <c r="H706" t="inlineStr">
        <is>
          <t>Informationskrav</t>
        </is>
      </c>
      <c r="I706" t="inlineStr">
        <is>
          <t>MiljopaverkanForsiktighet</t>
        </is>
      </c>
      <c r="J706" t="inlineStr">
        <is>
          <t>Skyddsatgarder</t>
        </is>
      </c>
      <c r="K706" t="inlineStr">
        <is>
          <t>Sid 3(4) Mellanlagret kommer börja användas 2025-09-01 och det avslutas 2026-03-31.</t>
        </is>
      </c>
      <c r="L706" t="inlineStr">
        <is>
          <t>Sid 3(4) Mellanlagret kommer börja användas 2025-09-01 och det avslutas 2026-03-31.</t>
        </is>
      </c>
      <c r="M706" t="inlineStr">
        <is>
          <t>BOR</t>
        </is>
      </c>
      <c r="N706" t="inlineStr"/>
      <c r="O706" t="inlineStr">
        <is>
          <t>2025-09-01</t>
        </is>
      </c>
      <c r="P706" t="inlineStr"/>
      <c r="Q706" t="inlineStr"/>
      <c r="R706" t="inlineStr">
        <is>
          <t>Alltid</t>
        </is>
      </c>
      <c r="S706" t="inlineStr"/>
      <c r="T706" t="inlineStr">
        <is>
          <t>212000</t>
        </is>
      </c>
      <c r="U706" t="inlineStr"/>
      <c r="V706" t="inlineStr"/>
      <c r="W706" t="inlineStr">
        <is>
          <t>Nej</t>
        </is>
      </c>
      <c r="X706" t="inlineStr">
        <is>
          <t>Nej</t>
        </is>
      </c>
      <c r="Y706" t="inlineStr">
        <is>
          <t>Nej</t>
        </is>
      </c>
      <c r="Z706" t="inlineStr">
        <is>
          <t>Nej</t>
        </is>
      </c>
      <c r="AA706" t="n">
        <v>10</v>
      </c>
      <c r="AB706" t="inlineStr">
        <is>
          <t>Miljopaverkan och forsiktighetsmatt</t>
        </is>
      </c>
      <c r="AC706" t="inlineStr">
        <is>
          <t>Miljo-PM</t>
        </is>
      </c>
      <c r="AD706" t="inlineStr">
        <is>
          <t>Nej</t>
        </is>
      </c>
      <c r="AE706" t="inlineStr">
        <is>
          <t>Nej</t>
        </is>
      </c>
      <c r="AF706" t="inlineStr">
        <is>
          <t>Ej behandlad</t>
        </is>
      </c>
      <c r="AG706" t="inlineStr">
        <is>
          <t>AUTO_GENERERAD. Verifiera citat mot kallfil.</t>
        </is>
      </c>
      <c r="AH706" t="inlineStr">
        <is>
          <t>MEDIUM</t>
        </is>
      </c>
      <c r="AI706" t="inlineStr">
        <is>
          <t>AUTO</t>
        </is>
      </c>
      <c r="AJ706" t="inlineStr">
        <is>
          <t>Nej</t>
        </is>
      </c>
      <c r="AK706" t="inlineStr"/>
      <c r="AL706" t="inlineStr"/>
      <c r="AM706" t="inlineStr"/>
      <c r="AN706" t="inlineStr"/>
      <c r="AO706" t="inlineStr">
        <is>
          <t>cmm4yuqc903g5cuqwme802knw</t>
        </is>
      </c>
      <c r="AP706" t="inlineStr">
        <is>
          <t>http://localhost:8787/api/admin/requirements/documents/cmm4yuqc903g5cuqwme802knw/view</t>
        </is>
      </c>
      <c r="AQ706">
        <f>HYPERLÄNK("http://localhost:8787/api/admin/requirements/documents/cmm4yuqc903g5cuqwme802knw/view";"Öppna PDF")</f>
        <v/>
      </c>
      <c r="AR706">
        <f>HYPERLINK("http://localhost:8787/api/admin/requirements/documents/cmm4yuqc903g5cuqwme802knw/view","Open PDF")</f>
        <v/>
      </c>
      <c r="AS706" t="inlineStr">
        <is>
          <t>cmm55w57p0004cuisfrtpqly8</t>
        </is>
      </c>
      <c r="AT706" t="inlineStr">
        <is>
          <t>cmm4xvu980000cuh4vj0usz09</t>
        </is>
      </c>
      <c r="AU706" t="inlineStr">
        <is>
          <t>avfall samt anläggning av ytor Karlstads</t>
        </is>
      </c>
      <c r="AV706" t="inlineStr">
        <is>
          <t>Kommun</t>
        </is>
      </c>
      <c r="AW706" t="inlineStr">
        <is>
          <t>avfall samt anläggning av ytor Karlstads kommun</t>
        </is>
      </c>
      <c r="AX706" t="inlineStr"/>
      <c r="AY706" t="inlineStr">
        <is>
          <t>Anmalan</t>
        </is>
      </c>
      <c r="AZ706" t="inlineStr">
        <is>
          <t>2026-02-05</t>
        </is>
      </c>
      <c r="BA706" t="inlineStr">
        <is>
          <t>Karlstads kommun Anmälan om lagring av avfall Skåre 1 369 Beslut 250820.pdf</t>
        </is>
      </c>
      <c r="BB706" t="inlineStr">
        <is>
          <t>Begäran om utlämnande av allmän handling – Anmälningar och beslut rörande mellanlagring av avfall samt anläggning av ytor</t>
        </is>
      </c>
      <c r="BC706" t="inlineStr">
        <is>
          <t>AUTO</t>
        </is>
      </c>
      <c r="BD706" t="inlineStr"/>
      <c r="BE706" t="inlineStr"/>
      <c r="BF706" t="inlineStr">
        <is>
          <t>AUTO_GENERERAD. Bekrafta metadata mot kallfil.</t>
        </is>
      </c>
      <c r="BG706">
        <f>HYPERLINK("C:\Users\jimmy\Desktop\Examens arbete\Kod\Ny mapp\remix_-copy-of-miljöbeslut.se-portal\Karlstads kommun Anmälan om lagring av avfall Skåre 1 369 Beslut 250820.pdf", "Öppna PDF")</f>
        <v/>
      </c>
    </row>
    <row r="707">
      <c r="A707" t="inlineStr">
        <is>
          <t>KRAV-AUTO-000706</t>
        </is>
      </c>
      <c r="B707" t="inlineStr">
        <is>
          <t>ADMIN-INDEX-2026-02-27-00000000125C043F57453246863FE664CAFE6A3F0700950291EA24F0614FB6ACEDB12BF0E31D00000000010C0000950291EA24F0614FB6ACEDB12BF0E31D00002087AE000000</t>
        </is>
      </c>
      <c r="C707" t="inlineStr">
        <is>
          <t>cmm4yuqc603g2cuqw2w536lb6</t>
        </is>
      </c>
      <c r="D707" t="inlineStr">
        <is>
          <t>http://localhost:8787/api/admin/requirements/documents/cmm4yuqc603g2cuqw2w536lb6/view</t>
        </is>
      </c>
      <c r="E707">
        <f>HYPERLÄNK("http://localhost:8787/api/admin/requirements/documents/cmm4yuqc603g2cuqw2w536lb6/view";"Öppna PDF")</f>
        <v/>
      </c>
      <c r="F707">
        <f>HYPERLINK("http://localhost:8787/api/admin/requirements/documents/cmm4yuqc603g2cuqw2w536lb6/view","Open PDF")</f>
        <v/>
      </c>
      <c r="G707" t="inlineStr">
        <is>
          <t>cmm55w57p0004cuisfrtpqly8</t>
        </is>
      </c>
      <c r="H707" t="inlineStr">
        <is>
          <t>Informationskrav</t>
        </is>
      </c>
      <c r="I707" t="inlineStr">
        <is>
          <t>DriftEgenkontroll</t>
        </is>
      </c>
      <c r="J707" t="inlineStr">
        <is>
          <t>Journalforing</t>
        </is>
      </c>
      <c r="K707" t="inlineStr">
        <is>
          <t>Vid behov ska den även kunna användas för provtagning av misstänkt förorenade massor.</t>
        </is>
      </c>
      <c r="L707" t="inlineStr">
        <is>
          <t>Vid behov ska den även kunna användas för provtagning av misstänkt förorenade massor.</t>
        </is>
      </c>
      <c r="M707" t="inlineStr">
        <is>
          <t>SKA</t>
        </is>
      </c>
      <c r="N707" t="inlineStr"/>
      <c r="O707" t="inlineStr"/>
      <c r="P707" t="inlineStr"/>
      <c r="Q707" t="inlineStr"/>
      <c r="R707" t="inlineStr">
        <is>
          <t>Lopande drift</t>
        </is>
      </c>
      <c r="S707" t="inlineStr"/>
      <c r="T707" t="inlineStr">
        <is>
          <t>212000</t>
        </is>
      </c>
      <c r="U707" t="inlineStr"/>
      <c r="V707" t="inlineStr"/>
      <c r="W707" t="inlineStr">
        <is>
          <t>Nej</t>
        </is>
      </c>
      <c r="X707" t="inlineStr">
        <is>
          <t>Nej</t>
        </is>
      </c>
      <c r="Y707" t="inlineStr">
        <is>
          <t>Ja</t>
        </is>
      </c>
      <c r="Z707" t="inlineStr">
        <is>
          <t>Nej</t>
        </is>
      </c>
      <c r="AA707" t="n">
        <v>7</v>
      </c>
      <c r="AB707" t="inlineStr">
        <is>
          <t>Egenkontrollrutiner</t>
        </is>
      </c>
      <c r="AC707" t="inlineStr">
        <is>
          <t>Egenkontrollprogram</t>
        </is>
      </c>
      <c r="AD707" t="inlineStr">
        <is>
          <t>Nej</t>
        </is>
      </c>
      <c r="AE707" t="inlineStr">
        <is>
          <t>Nej</t>
        </is>
      </c>
      <c r="AF707" t="inlineStr">
        <is>
          <t>Ej behandlad</t>
        </is>
      </c>
      <c r="AG707" t="inlineStr">
        <is>
          <t>AUTO_GENERERAD. Verifiera citat mot kallfil.</t>
        </is>
      </c>
      <c r="AH707" t="inlineStr">
        <is>
          <t>MEDIUM</t>
        </is>
      </c>
      <c r="AI707" t="inlineStr">
        <is>
          <t>AUTO</t>
        </is>
      </c>
      <c r="AJ707" t="inlineStr">
        <is>
          <t>Nej</t>
        </is>
      </c>
      <c r="AK707" t="inlineStr"/>
      <c r="AL707" t="inlineStr"/>
      <c r="AM707" t="inlineStr"/>
      <c r="AN707" t="inlineStr"/>
      <c r="AO707" t="inlineStr">
        <is>
          <t>cmm4yuqc903g5cuqwme802knw</t>
        </is>
      </c>
      <c r="AP707" t="inlineStr">
        <is>
          <t>http://localhost:8787/api/admin/requirements/documents/cmm4yuqc903g5cuqwme802knw/view</t>
        </is>
      </c>
      <c r="AQ707">
        <f>HYPERLÄNK("http://localhost:8787/api/admin/requirements/documents/cmm4yuqc903g5cuqwme802knw/view";"Öppna PDF")</f>
        <v/>
      </c>
      <c r="AR707">
        <f>HYPERLINK("http://localhost:8787/api/admin/requirements/documents/cmm4yuqc903g5cuqwme802knw/view","Open PDF")</f>
        <v/>
      </c>
      <c r="AS707" t="inlineStr">
        <is>
          <t>cmm55w57p0004cuisfrtpqly8</t>
        </is>
      </c>
      <c r="AT707" t="inlineStr">
        <is>
          <t>cmm4xvu980000cuh4vj0usz09</t>
        </is>
      </c>
      <c r="AU707" t="inlineStr">
        <is>
          <t>avfall samt anläggning av ytor Karlstads</t>
        </is>
      </c>
      <c r="AV707" t="inlineStr">
        <is>
          <t>Kommun</t>
        </is>
      </c>
      <c r="AW707" t="inlineStr">
        <is>
          <t>avfall samt anläggning av ytor Karlstads kommun</t>
        </is>
      </c>
      <c r="AX707" t="inlineStr"/>
      <c r="AY707" t="inlineStr">
        <is>
          <t>Anmalan</t>
        </is>
      </c>
      <c r="AZ707" t="inlineStr">
        <is>
          <t>2026-02-05</t>
        </is>
      </c>
      <c r="BA707" t="inlineStr">
        <is>
          <t>Karlstads kommun Anmälan om lagring av avfall Skåre 1 369 Beslut 250820.pdf</t>
        </is>
      </c>
      <c r="BB707" t="inlineStr">
        <is>
          <t>Begäran om utlämnande av allmän handling – Anmälningar och beslut rörande mellanlagring av avfall samt anläggning av ytor</t>
        </is>
      </c>
      <c r="BC707" t="inlineStr">
        <is>
          <t>AUTO</t>
        </is>
      </c>
      <c r="BD707" t="inlineStr"/>
      <c r="BE707" t="inlineStr"/>
      <c r="BF707" t="inlineStr">
        <is>
          <t>AUTO_GENERERAD. Bekrafta metadata mot kallfil.</t>
        </is>
      </c>
      <c r="BG707">
        <f>HYPERLINK("C:\Users\jimmy\Desktop\Examens arbete\Kod\Ny mapp\remix_-copy-of-miljöbeslut.se-portal\Karlstads kommun Anmälan om lagring av avfall Skåre 1 369 Beslut 250820.pdf", "Öppna PDF")</f>
        <v/>
      </c>
    </row>
    <row r="708">
      <c r="A708" t="inlineStr">
        <is>
          <t>KRAV-AUTO-000707</t>
        </is>
      </c>
      <c r="B708" t="inlineStr">
        <is>
          <t>ADMIN-INDEX-2026-02-27-00000000125C043F57453246863FE664CAFE6A3F0700950291EA24F0614FB6ACEDB12BF0E31D00000000010C0000950291EA24F0614FB6ACEDB12BF0E31D00002087AE000000</t>
        </is>
      </c>
      <c r="C708" t="inlineStr">
        <is>
          <t>cmm4yuqc603g2cuqw2w536lb6</t>
        </is>
      </c>
      <c r="D708" t="inlineStr">
        <is>
          <t>http://localhost:8787/api/admin/requirements/documents/cmm4yuqc603g2cuqw2w536lb6/view</t>
        </is>
      </c>
      <c r="E708">
        <f>HYPERLÄNK("http://localhost:8787/api/admin/requirements/documents/cmm4yuqc603g2cuqw2w536lb6/view";"Öppna PDF")</f>
        <v/>
      </c>
      <c r="F708">
        <f>HYPERLINK("http://localhost:8787/api/admin/requirements/documents/cmm4yuqc603g2cuqw2w536lb6/view","Open PDF")</f>
        <v/>
      </c>
      <c r="G708" t="inlineStr">
        <is>
          <t>cmm55w57p0004cuisfrtpqly8</t>
        </is>
      </c>
      <c r="H708" t="inlineStr">
        <is>
          <t>Informationskrav</t>
        </is>
      </c>
      <c r="I708" t="inlineStr">
        <is>
          <t>TransportLogistik</t>
        </is>
      </c>
      <c r="J708" t="inlineStr">
        <is>
          <t>Transportvagar</t>
        </is>
      </c>
      <c r="K708" t="inlineStr">
        <is>
          <t>Den största vinsten bedöms vara att transporterna kommer minska då avståndet mellan arbetsområdet och mellanlagret är relativt kort.</t>
        </is>
      </c>
      <c r="L708" t="inlineStr">
        <is>
          <t>Den största vinsten bedöms vara att transporterna kommer minska då avståndet mellan arbetsområdet och mellanlagret är relativt kort.</t>
        </is>
      </c>
      <c r="M708" t="inlineStr">
        <is>
          <t>SKA</t>
        </is>
      </c>
      <c r="N708" t="inlineStr"/>
      <c r="O708" t="inlineStr"/>
      <c r="P708" t="inlineStr"/>
      <c r="Q708" t="inlineStr"/>
      <c r="R708" t="inlineStr">
        <is>
          <t>Vid transporter</t>
        </is>
      </c>
      <c r="S708" t="inlineStr"/>
      <c r="T708" t="inlineStr">
        <is>
          <t>212000</t>
        </is>
      </c>
      <c r="U708" t="inlineStr"/>
      <c r="V708" t="inlineStr"/>
      <c r="W708" t="inlineStr">
        <is>
          <t>Nej</t>
        </is>
      </c>
      <c r="X708" t="inlineStr">
        <is>
          <t>Nej</t>
        </is>
      </c>
      <c r="Y708" t="inlineStr">
        <is>
          <t>Nej</t>
        </is>
      </c>
      <c r="Z708" t="inlineStr">
        <is>
          <t>Ja</t>
        </is>
      </c>
      <c r="AA708" t="n">
        <v>9</v>
      </c>
      <c r="AB708" t="inlineStr">
        <is>
          <t>Transporter och logistik</t>
        </is>
      </c>
      <c r="AC708" t="inlineStr">
        <is>
          <t>Trafikplan</t>
        </is>
      </c>
      <c r="AD708" t="inlineStr">
        <is>
          <t>Nej</t>
        </is>
      </c>
      <c r="AE708" t="inlineStr">
        <is>
          <t>Nej</t>
        </is>
      </c>
      <c r="AF708" t="inlineStr">
        <is>
          <t>Ej behandlad</t>
        </is>
      </c>
      <c r="AG708" t="inlineStr">
        <is>
          <t>AUTO_GENERERAD. Verifiera citat mot kallfil.</t>
        </is>
      </c>
      <c r="AH708" t="inlineStr">
        <is>
          <t>MEDIUM</t>
        </is>
      </c>
      <c r="AI708" t="inlineStr">
        <is>
          <t>AUTO</t>
        </is>
      </c>
      <c r="AJ708" t="inlineStr">
        <is>
          <t>Nej</t>
        </is>
      </c>
      <c r="AK708" t="inlineStr"/>
      <c r="AL708" t="inlineStr"/>
      <c r="AM708" t="inlineStr"/>
      <c r="AN708" t="inlineStr"/>
      <c r="AO708" t="inlineStr">
        <is>
          <t>cmm4yuqc903g5cuqwme802knw</t>
        </is>
      </c>
      <c r="AP708" t="inlineStr">
        <is>
          <t>http://localhost:8787/api/admin/requirements/documents/cmm4yuqc903g5cuqwme802knw/view</t>
        </is>
      </c>
      <c r="AQ708">
        <f>HYPERLÄNK("http://localhost:8787/api/admin/requirements/documents/cmm4yuqc903g5cuqwme802knw/view";"Öppna PDF")</f>
        <v/>
      </c>
      <c r="AR708">
        <f>HYPERLINK("http://localhost:8787/api/admin/requirements/documents/cmm4yuqc903g5cuqwme802knw/view","Open PDF")</f>
        <v/>
      </c>
      <c r="AS708" t="inlineStr">
        <is>
          <t>cmm55w57p0004cuisfrtpqly8</t>
        </is>
      </c>
      <c r="AT708" t="inlineStr">
        <is>
          <t>cmm4xvu980000cuh4vj0usz09</t>
        </is>
      </c>
      <c r="AU708" t="inlineStr">
        <is>
          <t>avfall samt anläggning av ytor Karlstads</t>
        </is>
      </c>
      <c r="AV708" t="inlineStr">
        <is>
          <t>Kommun</t>
        </is>
      </c>
      <c r="AW708" t="inlineStr">
        <is>
          <t>avfall samt anläggning av ytor Karlstads kommun</t>
        </is>
      </c>
      <c r="AX708" t="inlineStr"/>
      <c r="AY708" t="inlineStr">
        <is>
          <t>Anmalan</t>
        </is>
      </c>
      <c r="AZ708" t="inlineStr">
        <is>
          <t>2026-02-05</t>
        </is>
      </c>
      <c r="BA708" t="inlineStr">
        <is>
          <t>Karlstads kommun Anmälan om lagring av avfall Skåre 1 369 Beslut 250820.pdf</t>
        </is>
      </c>
      <c r="BB708" t="inlineStr">
        <is>
          <t>Begäran om utlämnande av allmän handling – Anmälningar och beslut rörande mellanlagring av avfall samt anläggning av ytor</t>
        </is>
      </c>
      <c r="BC708" t="inlineStr">
        <is>
          <t>AUTO</t>
        </is>
      </c>
      <c r="BD708" t="inlineStr"/>
      <c r="BE708" t="inlineStr"/>
      <c r="BF708" t="inlineStr">
        <is>
          <t>AUTO_GENERERAD. Bekrafta metadata mot kallfil.</t>
        </is>
      </c>
      <c r="BG708">
        <f>HYPERLINK("C:\Users\jimmy\Desktop\Examens arbete\Kod\Ny mapp\remix_-copy-of-miljöbeslut.se-portal\Karlstads kommun Anmälan om lagring av avfall Skåre 1 369 Beslut 250820.pdf", "Öppna PDF")</f>
        <v/>
      </c>
    </row>
    <row r="709">
      <c r="A709" t="inlineStr">
        <is>
          <t>KRAV-AUTO-000708</t>
        </is>
      </c>
      <c r="B709" t="inlineStr">
        <is>
          <t>ADMIN-INDEX-2026-02-27-00000000125C043F57453246863FE664CAFE6A3F0700950291EA24F0614FB6ACEDB12BF0E31D00000000010C0000950291EA24F0614FB6ACEDB12BF0E31D00002087AE050000</t>
        </is>
      </c>
      <c r="C709" t="inlineStr">
        <is>
          <t>cmm4yuqb703f8cuqwpfqz0kfo</t>
        </is>
      </c>
      <c r="D709" t="inlineStr">
        <is>
          <t>http://localhost:8787/api/admin/requirements/documents/cmm4yuqb703f8cuqwpfqz0kfo/view</t>
        </is>
      </c>
      <c r="E709">
        <f>HYPERLÄNK("http://localhost:8787/api/admin/requirements/documents/cmm4yuqb703f8cuqwpfqz0kfo/view";"Öppna PDF")</f>
        <v/>
      </c>
      <c r="F709">
        <f>HYPERLINK("http://localhost:8787/api/admin/requirements/documents/cmm4yuqb703f8cuqwpfqz0kfo/view","Open PDF")</f>
        <v/>
      </c>
      <c r="G709" t="inlineStr">
        <is>
          <t>cmm55w57p0004cuisfrtpqly8</t>
        </is>
      </c>
      <c r="H709" t="inlineStr">
        <is>
          <t>Beslutsvillkor</t>
        </is>
      </c>
      <c r="I709" t="inlineStr">
        <is>
          <t>Riskhantering</t>
        </is>
      </c>
      <c r="J709" t="inlineStr">
        <is>
          <t>Riskkontroll</t>
        </is>
      </c>
      <c r="K709" t="inlineStr">
        <is>
          <t>Eventuellt tillkommande massor ska uppfylla mindre än ringa risk (MRR).</t>
        </is>
      </c>
      <c r="L709" t="inlineStr">
        <is>
          <t>Eventuellt tillkommande massor ska uppfylla mindre än ringa risk (MRR).</t>
        </is>
      </c>
      <c r="M709" t="inlineStr">
        <is>
          <t>SKA</t>
        </is>
      </c>
      <c r="N709" t="inlineStr"/>
      <c r="O709" t="inlineStr"/>
      <c r="P709" t="inlineStr"/>
      <c r="Q709" t="inlineStr"/>
      <c r="R709" t="inlineStr">
        <is>
          <t>Vid risk for incident</t>
        </is>
      </c>
      <c r="S709" t="inlineStr"/>
      <c r="T709" t="inlineStr"/>
      <c r="U709" t="inlineStr"/>
      <c r="V709" t="inlineStr"/>
      <c r="W709" t="inlineStr">
        <is>
          <t>Nej</t>
        </is>
      </c>
      <c r="X709" t="inlineStr">
        <is>
          <t>Nej</t>
        </is>
      </c>
      <c r="Y709" t="inlineStr">
        <is>
          <t>Ja</t>
        </is>
      </c>
      <c r="Z709" t="inlineStr">
        <is>
          <t>Ja</t>
        </is>
      </c>
      <c r="AA709" t="n">
        <v>8</v>
      </c>
      <c r="AB709" t="inlineStr">
        <is>
          <t>Riskhantering</t>
        </is>
      </c>
      <c r="AC709" t="inlineStr">
        <is>
          <t>Risk-PM</t>
        </is>
      </c>
      <c r="AD709" t="inlineStr">
        <is>
          <t>Nej</t>
        </is>
      </c>
      <c r="AE709" t="inlineStr">
        <is>
          <t>Nej</t>
        </is>
      </c>
      <c r="AF709" t="inlineStr">
        <is>
          <t>Ej behandlad</t>
        </is>
      </c>
      <c r="AG709" t="inlineStr">
        <is>
          <t>AUTO_GENERERAD. Verifiera citat mot kallfil.</t>
        </is>
      </c>
      <c r="AH709" t="inlineStr">
        <is>
          <t>MEDIUM</t>
        </is>
      </c>
      <c r="AI709" t="inlineStr">
        <is>
          <t>AUTO</t>
        </is>
      </c>
      <c r="AJ709" t="inlineStr">
        <is>
          <t>Nej</t>
        </is>
      </c>
      <c r="AK709" t="inlineStr"/>
      <c r="AL709" t="inlineStr"/>
      <c r="AM709" t="inlineStr"/>
      <c r="AN709" t="inlineStr"/>
      <c r="AO709" t="inlineStr">
        <is>
          <t>cmm4yuqbf03fecuqw8hit9x13</t>
        </is>
      </c>
      <c r="AP709" t="inlineStr">
        <is>
          <t>http://localhost:8787/api/admin/requirements/documents/cmm4yuqbf03fecuqw8hit9x13/view</t>
        </is>
      </c>
      <c r="AQ709">
        <f>HYPERLÄNK("http://localhost:8787/api/admin/requirements/documents/cmm4yuqbf03fecuqw8hit9x13/view";"Öppna PDF")</f>
        <v/>
      </c>
      <c r="AR709">
        <f>HYPERLINK("http://localhost:8787/api/admin/requirements/documents/cmm4yuqbf03fecuqw8hit9x13/view","Open PDF")</f>
        <v/>
      </c>
      <c r="AS709" t="inlineStr">
        <is>
          <t>cmm55w57p0004cuisfrtpqly8</t>
        </is>
      </c>
      <c r="AT709" t="inlineStr">
        <is>
          <t>cmm4xvu980000cuh4vj0usz09</t>
        </is>
      </c>
      <c r="AU709" t="inlineStr">
        <is>
          <t>i Huddinge</t>
        </is>
      </c>
      <c r="AV709" t="inlineStr">
        <is>
          <t>Kommun</t>
        </is>
      </c>
      <c r="AW709" t="inlineStr">
        <is>
          <t>i Huddinge kommun</t>
        </is>
      </c>
      <c r="AX709" t="inlineStr">
        <is>
          <t>2025-2029</t>
        </is>
      </c>
      <c r="AY709" t="inlineStr">
        <is>
          <t>Forelaggande</t>
        </is>
      </c>
      <c r="AZ709" t="inlineStr">
        <is>
          <t>2026-02-04</t>
        </is>
      </c>
      <c r="BA709" t="inlineStr">
        <is>
          <t>M-2025-2937 Beslut om föreläggande försiktighetsmått.pdf</t>
        </is>
      </c>
      <c r="BB709" t="inlineStr">
        <is>
          <t>Sv: till registrator [2026SC9796]</t>
        </is>
      </c>
      <c r="BC709" t="inlineStr">
        <is>
          <t>AUTO</t>
        </is>
      </c>
      <c r="BD709" t="inlineStr"/>
      <c r="BE709" t="inlineStr"/>
      <c r="BF709" t="inlineStr">
        <is>
          <t>AUTO_GENERERAD. Bekrafta metadata mot kallfil.</t>
        </is>
      </c>
      <c r="BG709">
        <f>HYPERLINK("C:\Users\jimmy\Desktop\Examens arbete\Kod\Ny mapp\remix_-copy-of-miljöbeslut.se-portal\M-2025-2937 Beslut om föreläggande försiktighetsmått.pdf", "Öppna PDF")</f>
        <v/>
      </c>
    </row>
    <row r="710">
      <c r="A710" t="inlineStr">
        <is>
          <t>KRAV-AUTO-000709</t>
        </is>
      </c>
      <c r="B710" t="inlineStr">
        <is>
          <t>ADMIN-INDEX-2026-02-27-00000000125C043F57453246863FE664CAFE6A3F0700950291EA24F0614FB6ACEDB12BF0E31D00000000010C0000950291EA24F0614FB6ACEDB12BF0E31D00002087AE050000</t>
        </is>
      </c>
      <c r="C710" t="inlineStr">
        <is>
          <t>cmm4yuqb703f8cuqwpfqz0kfo</t>
        </is>
      </c>
      <c r="D710" t="inlineStr">
        <is>
          <t>http://localhost:8787/api/admin/requirements/documents/cmm4yuqb703f8cuqwpfqz0kfo/view</t>
        </is>
      </c>
      <c r="E710">
        <f>HYPERLÄNK("http://localhost:8787/api/admin/requirements/documents/cmm4yuqb703f8cuqwpfqz0kfo/view";"Öppna PDF")</f>
        <v/>
      </c>
      <c r="F710">
        <f>HYPERLINK("http://localhost:8787/api/admin/requirements/documents/cmm4yuqb703f8cuqwpfqz0kfo/view","Open PDF")</f>
        <v/>
      </c>
      <c r="G710" t="inlineStr">
        <is>
          <t>cmm55w57p0004cuisfrtpqly8</t>
        </is>
      </c>
      <c r="H710" t="inlineStr">
        <is>
          <t>Beslutsvillkor</t>
        </is>
      </c>
      <c r="I710" t="inlineStr">
        <is>
          <t>DagvattenLakvatten</t>
        </is>
      </c>
      <c r="J710" t="inlineStr">
        <is>
          <t>Uppsamling</t>
        </is>
      </c>
      <c r="K710" t="inlineStr">
        <is>
          <t>de massor som tas emot får genom sitt föroreningsinnehåll inte innebära någon oacceptabel risk för skadliga effekter på omgivande miljö eller hälsa.</t>
        </is>
      </c>
      <c r="L710" t="inlineStr">
        <is>
          <t>de massor som tas emot får genom sitt föroreningsinnehåll inte innebära någon oacceptabel risk för skadliga effekter på omgivande miljö eller hälsa.</t>
        </is>
      </c>
      <c r="M710" t="inlineStr">
        <is>
          <t>SKA</t>
        </is>
      </c>
      <c r="N710" t="inlineStr"/>
      <c r="O710" t="inlineStr"/>
      <c r="P710" t="inlineStr"/>
      <c r="Q710" t="inlineStr"/>
      <c r="R710" t="inlineStr">
        <is>
          <t>Vid nederbord och avrinning</t>
        </is>
      </c>
      <c r="S710" t="inlineStr"/>
      <c r="T710" t="inlineStr"/>
      <c r="U710" t="inlineStr"/>
      <c r="V710" t="inlineStr"/>
      <c r="W710" t="inlineStr">
        <is>
          <t>Nej</t>
        </is>
      </c>
      <c r="X710" t="inlineStr">
        <is>
          <t>Ja</t>
        </is>
      </c>
      <c r="Y710" t="inlineStr">
        <is>
          <t>Ja</t>
        </is>
      </c>
      <c r="Z710" t="inlineStr">
        <is>
          <t>Nej</t>
        </is>
      </c>
      <c r="AA710" t="n">
        <v>6</v>
      </c>
      <c r="AB710" t="inlineStr">
        <is>
          <t>Lakvattenhantering</t>
        </is>
      </c>
      <c r="AC710" t="inlineStr">
        <is>
          <t>Flodesschema dagvatten-lakvatten</t>
        </is>
      </c>
      <c r="AD710" t="inlineStr">
        <is>
          <t>Nej</t>
        </is>
      </c>
      <c r="AE710" t="inlineStr">
        <is>
          <t>Nej</t>
        </is>
      </c>
      <c r="AF710" t="inlineStr">
        <is>
          <t>Ej behandlad</t>
        </is>
      </c>
      <c r="AG710" t="inlineStr">
        <is>
          <t>AUTO_GENERERAD. Verifiera citat mot kallfil.</t>
        </is>
      </c>
      <c r="AH710" t="inlineStr">
        <is>
          <t>MEDIUM</t>
        </is>
      </c>
      <c r="AI710" t="inlineStr">
        <is>
          <t>AUTO</t>
        </is>
      </c>
      <c r="AJ710" t="inlineStr">
        <is>
          <t>Nej</t>
        </is>
      </c>
      <c r="AK710" t="inlineStr"/>
      <c r="AL710" t="inlineStr"/>
      <c r="AM710" t="inlineStr"/>
      <c r="AN710" t="inlineStr"/>
      <c r="AO710" t="inlineStr">
        <is>
          <t>cmm4yuqbf03fecuqw8hit9x13</t>
        </is>
      </c>
      <c r="AP710" t="inlineStr">
        <is>
          <t>http://localhost:8787/api/admin/requirements/documents/cmm4yuqbf03fecuqw8hit9x13/view</t>
        </is>
      </c>
      <c r="AQ710">
        <f>HYPERLÄNK("http://localhost:8787/api/admin/requirements/documents/cmm4yuqbf03fecuqw8hit9x13/view";"Öppna PDF")</f>
        <v/>
      </c>
      <c r="AR710">
        <f>HYPERLINK("http://localhost:8787/api/admin/requirements/documents/cmm4yuqbf03fecuqw8hit9x13/view","Open PDF")</f>
        <v/>
      </c>
      <c r="AS710" t="inlineStr">
        <is>
          <t>cmm55w57p0004cuisfrtpqly8</t>
        </is>
      </c>
      <c r="AT710" t="inlineStr">
        <is>
          <t>cmm4xvu980000cuh4vj0usz09</t>
        </is>
      </c>
      <c r="AU710" t="inlineStr">
        <is>
          <t>i Huddinge</t>
        </is>
      </c>
      <c r="AV710" t="inlineStr">
        <is>
          <t>Kommun</t>
        </is>
      </c>
      <c r="AW710" t="inlineStr">
        <is>
          <t>i Huddinge kommun</t>
        </is>
      </c>
      <c r="AX710" t="inlineStr">
        <is>
          <t>2025-2029</t>
        </is>
      </c>
      <c r="AY710" t="inlineStr">
        <is>
          <t>Forelaggande</t>
        </is>
      </c>
      <c r="AZ710" t="inlineStr">
        <is>
          <t>2026-02-04</t>
        </is>
      </c>
      <c r="BA710" t="inlineStr">
        <is>
          <t>M-2025-2937 Beslut om föreläggande försiktighetsmått.pdf</t>
        </is>
      </c>
      <c r="BB710" t="inlineStr">
        <is>
          <t>Sv: till registrator [2026SC9796]</t>
        </is>
      </c>
      <c r="BC710" t="inlineStr">
        <is>
          <t>AUTO</t>
        </is>
      </c>
      <c r="BD710" t="inlineStr"/>
      <c r="BE710" t="inlineStr"/>
      <c r="BF710" t="inlineStr">
        <is>
          <t>AUTO_GENERERAD. Bekrafta metadata mot kallfil.</t>
        </is>
      </c>
      <c r="BG710">
        <f>HYPERLINK("C:\Users\jimmy\Desktop\Examens arbete\Kod\Ny mapp\remix_-copy-of-miljöbeslut.se-portal\M-2025-2937 Beslut om föreläggande försiktighetsmått.pdf", "Öppna PDF")</f>
        <v/>
      </c>
    </row>
    <row r="711">
      <c r="A711" t="inlineStr">
        <is>
          <t>KRAV-AUTO-000710</t>
        </is>
      </c>
      <c r="B711" t="inlineStr">
        <is>
          <t>ADMIN-INDEX-2026-02-27-00000000125C043F57453246863FE664CAFE6A3F0700950291EA24F0614FB6ACEDB12BF0E31D00000000010C0000950291EA24F0614FB6ACEDB12BF0E31D00002087AE050000</t>
        </is>
      </c>
      <c r="C711" t="inlineStr">
        <is>
          <t>cmm4yuqb703f8cuqwpfqz0kfo</t>
        </is>
      </c>
      <c r="D711" t="inlineStr">
        <is>
          <t>http://localhost:8787/api/admin/requirements/documents/cmm4yuqb703f8cuqwpfqz0kfo/view</t>
        </is>
      </c>
      <c r="E711">
        <f>HYPERLÄNK("http://localhost:8787/api/admin/requirements/documents/cmm4yuqb703f8cuqwpfqz0kfo/view";"Öppna PDF")</f>
        <v/>
      </c>
      <c r="F711">
        <f>HYPERLINK("http://localhost:8787/api/admin/requirements/documents/cmm4yuqb703f8cuqwpfqz0kfo/view","Open PDF")</f>
        <v/>
      </c>
      <c r="G711" t="inlineStr">
        <is>
          <t>cmm55w57p0004cuisfrtpqly8</t>
        </is>
      </c>
      <c r="H711" t="inlineStr">
        <is>
          <t>Beslutsvillkor</t>
        </is>
      </c>
      <c r="I711" t="inlineStr">
        <is>
          <t>MiljopaverkanForsiktighet</t>
        </is>
      </c>
      <c r="J711" t="inlineStr">
        <is>
          <t>Skyddsatgarder</t>
        </is>
      </c>
      <c r="K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711" t="inlineStr">
        <is>
          <t>SKA</t>
        </is>
      </c>
      <c r="N711" t="inlineStr"/>
      <c r="O711" t="inlineStr"/>
      <c r="P711" t="inlineStr"/>
      <c r="Q711" t="inlineStr"/>
      <c r="R711" t="inlineStr">
        <is>
          <t>Alltid</t>
        </is>
      </c>
      <c r="S711" t="inlineStr"/>
      <c r="T711" t="inlineStr"/>
      <c r="U711" t="inlineStr"/>
      <c r="V711" t="inlineStr"/>
      <c r="W711" t="inlineStr">
        <is>
          <t>Nej</t>
        </is>
      </c>
      <c r="X711" t="inlineStr">
        <is>
          <t>Nej</t>
        </is>
      </c>
      <c r="Y711" t="inlineStr">
        <is>
          <t>Nej</t>
        </is>
      </c>
      <c r="Z711" t="inlineStr">
        <is>
          <t>Nej</t>
        </is>
      </c>
      <c r="AA711" t="n">
        <v>10</v>
      </c>
      <c r="AB711" t="inlineStr">
        <is>
          <t>Miljopaverkan och forsiktighetsmatt</t>
        </is>
      </c>
      <c r="AC711" t="inlineStr">
        <is>
          <t>Miljo-PM</t>
        </is>
      </c>
      <c r="AD711" t="inlineStr">
        <is>
          <t>Nej</t>
        </is>
      </c>
      <c r="AE711" t="inlineStr">
        <is>
          <t>Nej</t>
        </is>
      </c>
      <c r="AF711" t="inlineStr">
        <is>
          <t>Ej behandlad</t>
        </is>
      </c>
      <c r="AG711" t="inlineStr">
        <is>
          <t>AUTO_GENERERAD. Verifiera citat mot kallfil.</t>
        </is>
      </c>
      <c r="AH711" t="inlineStr">
        <is>
          <t>MEDIUM</t>
        </is>
      </c>
      <c r="AI711" t="inlineStr">
        <is>
          <t>AUTO</t>
        </is>
      </c>
      <c r="AJ711" t="inlineStr">
        <is>
          <t>Nej</t>
        </is>
      </c>
      <c r="AK711" t="inlineStr"/>
      <c r="AL711" t="inlineStr"/>
      <c r="AM711" t="inlineStr"/>
      <c r="AN711" t="inlineStr"/>
      <c r="AO711" t="inlineStr">
        <is>
          <t>cmm4yuqbf03fecuqw8hit9x13</t>
        </is>
      </c>
      <c r="AP711" t="inlineStr">
        <is>
          <t>http://localhost:8787/api/admin/requirements/documents/cmm4yuqbf03fecuqw8hit9x13/view</t>
        </is>
      </c>
      <c r="AQ711">
        <f>HYPERLÄNK("http://localhost:8787/api/admin/requirements/documents/cmm4yuqbf03fecuqw8hit9x13/view";"Öppna PDF")</f>
        <v/>
      </c>
      <c r="AR711">
        <f>HYPERLINK("http://localhost:8787/api/admin/requirements/documents/cmm4yuqbf03fecuqw8hit9x13/view","Open PDF")</f>
        <v/>
      </c>
      <c r="AS711" t="inlineStr">
        <is>
          <t>cmm55w57p0004cuisfrtpqly8</t>
        </is>
      </c>
      <c r="AT711" t="inlineStr">
        <is>
          <t>cmm4xvu980000cuh4vj0usz09</t>
        </is>
      </c>
      <c r="AU711" t="inlineStr">
        <is>
          <t>i Huddinge</t>
        </is>
      </c>
      <c r="AV711" t="inlineStr">
        <is>
          <t>Kommun</t>
        </is>
      </c>
      <c r="AW711" t="inlineStr">
        <is>
          <t>i Huddinge kommun</t>
        </is>
      </c>
      <c r="AX711" t="inlineStr">
        <is>
          <t>2025-2029</t>
        </is>
      </c>
      <c r="AY711" t="inlineStr">
        <is>
          <t>Forelaggande</t>
        </is>
      </c>
      <c r="AZ711" t="inlineStr">
        <is>
          <t>2026-02-04</t>
        </is>
      </c>
      <c r="BA711" t="inlineStr">
        <is>
          <t>M-2025-2937 Beslut om föreläggande försiktighetsmått.pdf</t>
        </is>
      </c>
      <c r="BB711" t="inlineStr">
        <is>
          <t>Sv: till registrator [2026SC9796]</t>
        </is>
      </c>
      <c r="BC711" t="inlineStr">
        <is>
          <t>AUTO</t>
        </is>
      </c>
      <c r="BD711" t="inlineStr"/>
      <c r="BE711" t="inlineStr"/>
      <c r="BF711" t="inlineStr">
        <is>
          <t>AUTO_GENERERAD. Bekrafta metadata mot kallfil.</t>
        </is>
      </c>
      <c r="BG711">
        <f>HYPERLINK("C:\Users\jimmy\Desktop\Examens arbete\Kod\Ny mapp\remix_-copy-of-miljöbeslut.se-portal\M-2025-2937 Beslut om föreläggande försiktighetsmått.pdf", "Öppna PDF")</f>
        <v/>
      </c>
    </row>
    <row r="712">
      <c r="A712" t="inlineStr">
        <is>
          <t>KRAV-AUTO-000711</t>
        </is>
      </c>
      <c r="B712" t="inlineStr">
        <is>
          <t>ADMIN-INDEX-2026-02-27-00000000125C043F57453246863FE664CAFE6A3F0700950291EA24F0614FB6ACEDB12BF0E31D00000000010C0000950291EA24F0614FB6ACEDB12BF0E31D00002087AE050000</t>
        </is>
      </c>
      <c r="C712" t="inlineStr">
        <is>
          <t>cmm4yuqay03f2cuqw4iu39umv</t>
        </is>
      </c>
      <c r="D712" t="inlineStr">
        <is>
          <t>http://localhost:8787/api/admin/requirements/documents/cmm4yuqay03f2cuqw4iu39umv/view</t>
        </is>
      </c>
      <c r="E712">
        <f>HYPERLÄNK("http://localhost:8787/api/admin/requirements/documents/cmm4yuqay03f2cuqw4iu39umv/view";"Öppna PDF")</f>
        <v/>
      </c>
      <c r="F712">
        <f>HYPERLINK("http://localhost:8787/api/admin/requirements/documents/cmm4yuqay03f2cuqw4iu39umv/view","Open PDF")</f>
        <v/>
      </c>
      <c r="G712" t="inlineStr">
        <is>
          <t>cmm55w57p0004cuisfrtpqly8</t>
        </is>
      </c>
      <c r="H712" t="inlineStr">
        <is>
          <t>Beslutsvillkor</t>
        </is>
      </c>
      <c r="I712" t="inlineStr">
        <is>
          <t>Ytkonstruktion</t>
        </is>
      </c>
      <c r="J712" t="inlineStr">
        <is>
          <t>Tat yta</t>
        </is>
      </c>
      <c r="K712" t="inlineStr">
        <is>
          <t>Syror och baser förvaras, liksom övrigt flytande farligt avfall, invallade och nederbördsskyddade eller med motsvarande skydd så att spill och läckage inte kan nå mark, grund- eller ytvatten.</t>
        </is>
      </c>
      <c r="L712" t="inlineStr">
        <is>
          <t>Syror och baser förvaras, liksom övrigt flytande farligt avfall, invallade och nederbördsskyddade eller med motsvarande skydd så att spill och läckage inte kan nå mark, grund- eller ytvatten.</t>
        </is>
      </c>
      <c r="M712" t="inlineStr">
        <is>
          <t>BOR</t>
        </is>
      </c>
      <c r="N712" t="inlineStr"/>
      <c r="O712" t="inlineStr"/>
      <c r="P712" t="inlineStr">
        <is>
          <t>Arlig</t>
        </is>
      </c>
      <c r="Q712" t="inlineStr"/>
      <c r="R712" t="inlineStr">
        <is>
          <t>Vid mellanlagring av avfall</t>
        </is>
      </c>
      <c r="S712" t="inlineStr"/>
      <c r="T712" t="inlineStr">
        <is>
          <t>556057</t>
        </is>
      </c>
      <c r="U712" t="inlineStr"/>
      <c r="V712" t="inlineStr"/>
      <c r="W712" t="inlineStr">
        <is>
          <t>Ja</t>
        </is>
      </c>
      <c r="X712" t="inlineStr">
        <is>
          <t>Nej</t>
        </is>
      </c>
      <c r="Y712" t="inlineStr">
        <is>
          <t>Nej</t>
        </is>
      </c>
      <c r="Z712" t="inlineStr">
        <is>
          <t>Nej</t>
        </is>
      </c>
      <c r="AA712" t="n">
        <v>5</v>
      </c>
      <c r="AB712" t="inlineStr">
        <is>
          <t>Teknisk beskrivning av platta</t>
        </is>
      </c>
      <c r="AC712" t="inlineStr">
        <is>
          <t>Teknisk ritning platta</t>
        </is>
      </c>
      <c r="AD712" t="inlineStr">
        <is>
          <t>Nej</t>
        </is>
      </c>
      <c r="AE712" t="inlineStr">
        <is>
          <t>Nej</t>
        </is>
      </c>
      <c r="AF712" t="inlineStr">
        <is>
          <t>Ej behandlad</t>
        </is>
      </c>
      <c r="AG712" t="inlineStr">
        <is>
          <t>AUTO_GENERERAD. Verifiera citat mot kallfil.</t>
        </is>
      </c>
      <c r="AH712" t="inlineStr">
        <is>
          <t>MEDIUM</t>
        </is>
      </c>
      <c r="AI712" t="inlineStr">
        <is>
          <t>AUTO</t>
        </is>
      </c>
      <c r="AJ712" t="inlineStr">
        <is>
          <t>Nej</t>
        </is>
      </c>
      <c r="AK712" t="inlineStr"/>
      <c r="AL712" t="inlineStr"/>
      <c r="AM712" t="inlineStr"/>
      <c r="AN712" t="inlineStr"/>
      <c r="AO712" t="inlineStr">
        <is>
          <t>cmm4yuqbf03fecuqw8hit9x13</t>
        </is>
      </c>
      <c r="AP712" t="inlineStr">
        <is>
          <t>http://localhost:8787/api/admin/requirements/documents/cmm4yuqbf03fecuqw8hit9x13/view</t>
        </is>
      </c>
      <c r="AQ712">
        <f>HYPERLÄNK("http://localhost:8787/api/admin/requirements/documents/cmm4yuqbf03fecuqw8hit9x13/view";"Öppna PDF")</f>
        <v/>
      </c>
      <c r="AR712">
        <f>HYPERLINK("http://localhost:8787/api/admin/requirements/documents/cmm4yuqbf03fecuqw8hit9x13/view","Open PDF")</f>
        <v/>
      </c>
      <c r="AS712" t="inlineStr">
        <is>
          <t>cmm55w57p0004cuisfrtpqly8</t>
        </is>
      </c>
      <c r="AT712" t="inlineStr">
        <is>
          <t>cmm4xvu980000cuh4vj0usz09</t>
        </is>
      </c>
      <c r="AU712" t="inlineStr">
        <is>
          <t>i Huddinge</t>
        </is>
      </c>
      <c r="AV712" t="inlineStr">
        <is>
          <t>Kommun</t>
        </is>
      </c>
      <c r="AW712" t="inlineStr">
        <is>
          <t>i Huddinge kommun</t>
        </is>
      </c>
      <c r="AX712" t="inlineStr">
        <is>
          <t>2025-2029</t>
        </is>
      </c>
      <c r="AY712" t="inlineStr">
        <is>
          <t>Forelaggande</t>
        </is>
      </c>
      <c r="AZ712" t="inlineStr">
        <is>
          <t>2026-02-04</t>
        </is>
      </c>
      <c r="BA712" t="inlineStr">
        <is>
          <t>M-2025-2937 Beslut om föreläggande försiktighetsmått.pdf</t>
        </is>
      </c>
      <c r="BB712" t="inlineStr">
        <is>
          <t>Sv: till registrator [2026SC9796]</t>
        </is>
      </c>
      <c r="BC712" t="inlineStr">
        <is>
          <t>AUTO</t>
        </is>
      </c>
      <c r="BD712" t="inlineStr"/>
      <c r="BE712" t="inlineStr"/>
      <c r="BF712" t="inlineStr">
        <is>
          <t>AUTO_GENERERAD. Bekrafta metadata mot kallfil.</t>
        </is>
      </c>
      <c r="BG712">
        <f>HYPERLINK("C:\Users\jimmy\Desktop\Examens arbete\Kod\Ny mapp\remix_-copy-of-miljöbeslut.se-portal\M-2025-2937 Beslut om föreläggande försiktighetsmått.pdf", "Öppna PDF")</f>
        <v/>
      </c>
    </row>
    <row r="713">
      <c r="A713" t="inlineStr">
        <is>
          <t>KRAV-AUTO-000712</t>
        </is>
      </c>
      <c r="B713" t="inlineStr">
        <is>
          <t>ADMIN-INDEX-2026-02-27-00000000125C043F57453246863FE664CAFE6A3F0700950291EA24F0614FB6ACEDB12BF0E31D00000000010C0000950291EA24F0614FB6ACEDB12BF0E31D00002087AE050000</t>
        </is>
      </c>
      <c r="C713" t="inlineStr">
        <is>
          <t>cmm4yuqay03f2cuqw4iu39umv</t>
        </is>
      </c>
      <c r="D713" t="inlineStr">
        <is>
          <t>http://localhost:8787/api/admin/requirements/documents/cmm4yuqay03f2cuqw4iu39umv/view</t>
        </is>
      </c>
      <c r="E713">
        <f>HYPERLÄNK("http://localhost:8787/api/admin/requirements/documents/cmm4yuqay03f2cuqw4iu39umv/view";"Öppna PDF")</f>
        <v/>
      </c>
      <c r="F713">
        <f>HYPERLINK("http://localhost:8787/api/admin/requirements/documents/cmm4yuqay03f2cuqw4iu39umv/view","Open PDF")</f>
        <v/>
      </c>
      <c r="G713" t="inlineStr">
        <is>
          <t>cmm55w57p0004cuisfrtpqly8</t>
        </is>
      </c>
      <c r="H713" t="inlineStr">
        <is>
          <t>Beslutsvillkor</t>
        </is>
      </c>
      <c r="I713" t="inlineStr">
        <is>
          <t>Ytkonstruktion</t>
        </is>
      </c>
      <c r="J713" t="inlineStr">
        <is>
          <t>Tat yta</t>
        </is>
      </c>
      <c r="K713" t="inlineStr">
        <is>
          <t>Ragn-Sells uppskattar att cirka 100-200 ton flytande farligt avfall kommer att behandlas genom neutralisering årligen.</t>
        </is>
      </c>
      <c r="L713" t="inlineStr">
        <is>
          <t>Ragn-Sells uppskattar att cirka 100-200 ton flytande farligt avfall kommer att behandlas genom neutralisering årligen.</t>
        </is>
      </c>
      <c r="M713" t="inlineStr">
        <is>
          <t>SKA</t>
        </is>
      </c>
      <c r="N713" t="inlineStr"/>
      <c r="O713" t="inlineStr"/>
      <c r="P713" t="inlineStr">
        <is>
          <t>Arlig</t>
        </is>
      </c>
      <c r="Q713" t="inlineStr"/>
      <c r="R713" t="inlineStr">
        <is>
          <t>Vid mellanlagring av avfall</t>
        </is>
      </c>
      <c r="S713" t="inlineStr"/>
      <c r="T713" t="inlineStr">
        <is>
          <t>556057</t>
        </is>
      </c>
      <c r="U713" t="n">
        <v>200</v>
      </c>
      <c r="V713" t="inlineStr"/>
      <c r="W713" t="inlineStr">
        <is>
          <t>Ja</t>
        </is>
      </c>
      <c r="X713" t="inlineStr">
        <is>
          <t>Nej</t>
        </is>
      </c>
      <c r="Y713" t="inlineStr">
        <is>
          <t>Nej</t>
        </is>
      </c>
      <c r="Z713" t="inlineStr">
        <is>
          <t>Nej</t>
        </is>
      </c>
      <c r="AA713" t="n">
        <v>5</v>
      </c>
      <c r="AB713" t="inlineStr">
        <is>
          <t>Teknisk beskrivning av platta</t>
        </is>
      </c>
      <c r="AC713" t="inlineStr">
        <is>
          <t>Teknisk ritning platta</t>
        </is>
      </c>
      <c r="AD713" t="inlineStr">
        <is>
          <t>Nej</t>
        </is>
      </c>
      <c r="AE713" t="inlineStr">
        <is>
          <t>Nej</t>
        </is>
      </c>
      <c r="AF713" t="inlineStr">
        <is>
          <t>Ej behandlad</t>
        </is>
      </c>
      <c r="AG713" t="inlineStr">
        <is>
          <t>AUTO_GENERERAD. Verifiera citat mot kallfil.</t>
        </is>
      </c>
      <c r="AH713" t="inlineStr">
        <is>
          <t>MEDIUM</t>
        </is>
      </c>
      <c r="AI713" t="inlineStr">
        <is>
          <t>AUTO</t>
        </is>
      </c>
      <c r="AJ713" t="inlineStr">
        <is>
          <t>Nej</t>
        </is>
      </c>
      <c r="AK713" t="inlineStr"/>
      <c r="AL713" t="inlineStr"/>
      <c r="AM713" t="inlineStr"/>
      <c r="AN713" t="inlineStr"/>
      <c r="AO713" t="inlineStr">
        <is>
          <t>cmm4yuqbf03fecuqw8hit9x13</t>
        </is>
      </c>
      <c r="AP713" t="inlineStr">
        <is>
          <t>http://localhost:8787/api/admin/requirements/documents/cmm4yuqbf03fecuqw8hit9x13/view</t>
        </is>
      </c>
      <c r="AQ713">
        <f>HYPERLÄNK("http://localhost:8787/api/admin/requirements/documents/cmm4yuqbf03fecuqw8hit9x13/view";"Öppna PDF")</f>
        <v/>
      </c>
      <c r="AR713">
        <f>HYPERLINK("http://localhost:8787/api/admin/requirements/documents/cmm4yuqbf03fecuqw8hit9x13/view","Open PDF")</f>
        <v/>
      </c>
      <c r="AS713" t="inlineStr">
        <is>
          <t>cmm55w57p0004cuisfrtpqly8</t>
        </is>
      </c>
      <c r="AT713" t="inlineStr">
        <is>
          <t>cmm4xvu980000cuh4vj0usz09</t>
        </is>
      </c>
      <c r="AU713" t="inlineStr">
        <is>
          <t>i Huddinge</t>
        </is>
      </c>
      <c r="AV713" t="inlineStr">
        <is>
          <t>Kommun</t>
        </is>
      </c>
      <c r="AW713" t="inlineStr">
        <is>
          <t>i Huddinge kommun</t>
        </is>
      </c>
      <c r="AX713" t="inlineStr">
        <is>
          <t>2025-2029</t>
        </is>
      </c>
      <c r="AY713" t="inlineStr">
        <is>
          <t>Forelaggande</t>
        </is>
      </c>
      <c r="AZ713" t="inlineStr">
        <is>
          <t>2026-02-04</t>
        </is>
      </c>
      <c r="BA713" t="inlineStr">
        <is>
          <t>M-2025-2937 Beslut om föreläggande försiktighetsmått.pdf</t>
        </is>
      </c>
      <c r="BB713" t="inlineStr">
        <is>
          <t>Sv: till registrator [2026SC9796]</t>
        </is>
      </c>
      <c r="BC713" t="inlineStr">
        <is>
          <t>AUTO</t>
        </is>
      </c>
      <c r="BD713" t="inlineStr"/>
      <c r="BE713" t="inlineStr"/>
      <c r="BF713" t="inlineStr">
        <is>
          <t>AUTO_GENERERAD. Bekrafta metadata mot kallfil.</t>
        </is>
      </c>
      <c r="BG713">
        <f>HYPERLINK("C:\Users\jimmy\Desktop\Examens arbete\Kod\Ny mapp\remix_-copy-of-miljöbeslut.se-portal\M-2025-2937 Beslut om föreläggande försiktighetsmått.pdf", "Öppna PDF")</f>
        <v/>
      </c>
    </row>
    <row r="714">
      <c r="A714" t="inlineStr">
        <is>
          <t>KRAV-AUTO-000713</t>
        </is>
      </c>
      <c r="B714" t="inlineStr">
        <is>
          <t>ADMIN-INDEX-2026-02-27-00000000125C043F57453246863FE664CAFE6A3F0700950291EA24F0614FB6ACEDB12BF0E31D00000000010C0000950291EA24F0614FB6ACEDB12BF0E31D00002087AE050000</t>
        </is>
      </c>
      <c r="C714" t="inlineStr">
        <is>
          <t>cmm4yuqay03f2cuqw4iu39umv</t>
        </is>
      </c>
      <c r="D714" t="inlineStr">
        <is>
          <t>http://localhost:8787/api/admin/requirements/documents/cmm4yuqay03f2cuqw4iu39umv/view</t>
        </is>
      </c>
      <c r="E714">
        <f>HYPERLÄNK("http://localhost:8787/api/admin/requirements/documents/cmm4yuqay03f2cuqw4iu39umv/view";"Öppna PDF")</f>
        <v/>
      </c>
      <c r="F714">
        <f>HYPERLINK("http://localhost:8787/api/admin/requirements/documents/cmm4yuqay03f2cuqw4iu39umv/view","Open PDF")</f>
        <v/>
      </c>
      <c r="G714" t="inlineStr">
        <is>
          <t>cmm55w57p0004cuisfrtpqly8</t>
        </is>
      </c>
      <c r="H714" t="inlineStr">
        <is>
          <t>Beslutsvillkor</t>
        </is>
      </c>
      <c r="I714" t="inlineStr">
        <is>
          <t>MiljopaverkanForsiktighet</t>
        </is>
      </c>
      <c r="J714" t="inlineStr">
        <is>
          <t>Skyddsatgarder</t>
        </is>
      </c>
      <c r="K714" t="inlineStr">
        <is>
          <t>Det neutraliserade farliga avfallet kommer sedimentera i behållarna och den neutrala vätskan pumpas över till en ny behållare.</t>
        </is>
      </c>
      <c r="L714" t="inlineStr">
        <is>
          <t>Det neutraliserade farliga avfallet kommer sedimentera i behållarna och den neutrala vätskan pumpas över till en ny behållare.</t>
        </is>
      </c>
      <c r="M714" t="inlineStr">
        <is>
          <t>SKA</t>
        </is>
      </c>
      <c r="N714" t="inlineStr"/>
      <c r="O714" t="inlineStr"/>
      <c r="P714" t="inlineStr">
        <is>
          <t>Arlig</t>
        </is>
      </c>
      <c r="Q714" t="inlineStr"/>
      <c r="R714" t="inlineStr">
        <is>
          <t>Alltid</t>
        </is>
      </c>
      <c r="S714" t="inlineStr"/>
      <c r="T714" t="inlineStr">
        <is>
          <t>556057</t>
        </is>
      </c>
      <c r="U714" t="inlineStr"/>
      <c r="V714" t="inlineStr"/>
      <c r="W714" t="inlineStr">
        <is>
          <t>Nej</t>
        </is>
      </c>
      <c r="X714" t="inlineStr">
        <is>
          <t>Nej</t>
        </is>
      </c>
      <c r="Y714" t="inlineStr">
        <is>
          <t>Nej</t>
        </is>
      </c>
      <c r="Z714" t="inlineStr">
        <is>
          <t>Nej</t>
        </is>
      </c>
      <c r="AA714" t="n">
        <v>10</v>
      </c>
      <c r="AB714" t="inlineStr">
        <is>
          <t>Miljopaverkan och forsiktighetsmatt</t>
        </is>
      </c>
      <c r="AC714" t="inlineStr">
        <is>
          <t>Miljo-PM</t>
        </is>
      </c>
      <c r="AD714" t="inlineStr">
        <is>
          <t>Nej</t>
        </is>
      </c>
      <c r="AE714" t="inlineStr">
        <is>
          <t>Nej</t>
        </is>
      </c>
      <c r="AF714" t="inlineStr">
        <is>
          <t>Ej behandlad</t>
        </is>
      </c>
      <c r="AG714" t="inlineStr">
        <is>
          <t>AUTO_GENERERAD. Verifiera citat mot kallfil.</t>
        </is>
      </c>
      <c r="AH714" t="inlineStr">
        <is>
          <t>MEDIUM</t>
        </is>
      </c>
      <c r="AI714" t="inlineStr">
        <is>
          <t>AUTO</t>
        </is>
      </c>
      <c r="AJ714" t="inlineStr">
        <is>
          <t>Nej</t>
        </is>
      </c>
      <c r="AK714" t="inlineStr"/>
      <c r="AL714" t="inlineStr"/>
      <c r="AM714" t="inlineStr"/>
      <c r="AN714" t="inlineStr"/>
      <c r="AO714" t="inlineStr">
        <is>
          <t>cmm4yuqbf03fecuqw8hit9x13</t>
        </is>
      </c>
      <c r="AP714" t="inlineStr">
        <is>
          <t>http://localhost:8787/api/admin/requirements/documents/cmm4yuqbf03fecuqw8hit9x13/view</t>
        </is>
      </c>
      <c r="AQ714">
        <f>HYPERLÄNK("http://localhost:8787/api/admin/requirements/documents/cmm4yuqbf03fecuqw8hit9x13/view";"Öppna PDF")</f>
        <v/>
      </c>
      <c r="AR714">
        <f>HYPERLINK("http://localhost:8787/api/admin/requirements/documents/cmm4yuqbf03fecuqw8hit9x13/view","Open PDF")</f>
        <v/>
      </c>
      <c r="AS714" t="inlineStr">
        <is>
          <t>cmm55w57p0004cuisfrtpqly8</t>
        </is>
      </c>
      <c r="AT714" t="inlineStr">
        <is>
          <t>cmm4xvu980000cuh4vj0usz09</t>
        </is>
      </c>
      <c r="AU714" t="inlineStr">
        <is>
          <t>i Huddinge</t>
        </is>
      </c>
      <c r="AV714" t="inlineStr">
        <is>
          <t>Kommun</t>
        </is>
      </c>
      <c r="AW714" t="inlineStr">
        <is>
          <t>i Huddinge kommun</t>
        </is>
      </c>
      <c r="AX714" t="inlineStr">
        <is>
          <t>2025-2029</t>
        </is>
      </c>
      <c r="AY714" t="inlineStr">
        <is>
          <t>Forelaggande</t>
        </is>
      </c>
      <c r="AZ714" t="inlineStr">
        <is>
          <t>2026-02-04</t>
        </is>
      </c>
      <c r="BA714" t="inlineStr">
        <is>
          <t>M-2025-2937 Beslut om föreläggande försiktighetsmått.pdf</t>
        </is>
      </c>
      <c r="BB714" t="inlineStr">
        <is>
          <t>Sv: till registrator [2026SC9796]</t>
        </is>
      </c>
      <c r="BC714" t="inlineStr">
        <is>
          <t>AUTO</t>
        </is>
      </c>
      <c r="BD714" t="inlineStr"/>
      <c r="BE714" t="inlineStr"/>
      <c r="BF714" t="inlineStr">
        <is>
          <t>AUTO_GENERERAD. Bekrafta metadata mot kallfil.</t>
        </is>
      </c>
      <c r="BG714">
        <f>HYPERLINK("C:\Users\jimmy\Desktop\Examens arbete\Kod\Ny mapp\remix_-copy-of-miljöbeslut.se-portal\M-2025-2937 Beslut om föreläggande försiktighetsmått.pdf", "Öppna PDF")</f>
        <v/>
      </c>
    </row>
    <row r="715">
      <c r="A715" t="inlineStr">
        <is>
          <t>KRAV-AUTO-000714</t>
        </is>
      </c>
      <c r="B715" t="inlineStr">
        <is>
          <t>ADMIN-INDEX-2026-02-27-00000000125C043F57453246863FE664CAFE6A3F0700950291EA24F0614FB6ACEDB12BF0E31D00000000010C0000950291EA24F0614FB6ACEDB12BF0E31D00002087A5B00000</t>
        </is>
      </c>
      <c r="C715" t="inlineStr">
        <is>
          <t>cmm4yur400462cuqwco0rcfa6</t>
        </is>
      </c>
      <c r="D715" t="inlineStr">
        <is>
          <t>http://localhost:8787/api/admin/requirements/documents/cmm4yur400462cuqwco0rcfa6/view</t>
        </is>
      </c>
      <c r="E715">
        <f>HYPERLÄNK("http://localhost:8787/api/admin/requirements/documents/cmm4yur400462cuqwco0rcfa6/view";"Öppna PDF")</f>
        <v/>
      </c>
      <c r="F715">
        <f>HYPERLINK("http://localhost:8787/api/admin/requirements/documents/cmm4yur400462cuqwco0rcfa6/view","Open PDF")</f>
        <v/>
      </c>
      <c r="G715" t="inlineStr">
        <is>
          <t>cmm55w57p0004cuisfrtpqly8</t>
        </is>
      </c>
      <c r="H715" t="inlineStr">
        <is>
          <t>Informationskrav</t>
        </is>
      </c>
      <c r="I715" t="inlineStr">
        <is>
          <t>LagringsvolymTid</t>
        </is>
      </c>
      <c r="J715" t="inlineStr">
        <is>
          <t>Maxmangd</t>
        </is>
      </c>
      <c r="K715" t="inlineStr">
        <is>
          <t>Eftersom endast hål ska fyllas ut i området där brunnen finns, så borde heller ingen större mängd massor hamna i närheten av brunnen.</t>
        </is>
      </c>
      <c r="L715" t="inlineStr">
        <is>
          <t>Eftersom endast hål ska fyllas ut i området där brunnen finns, så borde heller ingen större mängd massor hamna i närheten av brunnen.</t>
        </is>
      </c>
      <c r="M715" t="inlineStr">
        <is>
          <t>SKA</t>
        </is>
      </c>
      <c r="N715" t="inlineStr">
        <is>
          <t>FMH</t>
        </is>
      </c>
      <c r="O715" t="inlineStr"/>
      <c r="P715" t="inlineStr"/>
      <c r="Q715" t="inlineStr"/>
      <c r="R715" t="inlineStr">
        <is>
          <t>Alltid</t>
        </is>
      </c>
      <c r="S715" t="inlineStr"/>
      <c r="T715" t="inlineStr">
        <is>
          <t>212000</t>
        </is>
      </c>
      <c r="U715" t="inlineStr"/>
      <c r="V715" t="inlineStr"/>
      <c r="W715" t="inlineStr">
        <is>
          <t>Nej</t>
        </is>
      </c>
      <c r="X715" t="inlineStr">
        <is>
          <t>Nej</t>
        </is>
      </c>
      <c r="Y715" t="inlineStr">
        <is>
          <t>Nej</t>
        </is>
      </c>
      <c r="Z715" t="inlineStr">
        <is>
          <t>Nej</t>
        </is>
      </c>
      <c r="AA715" t="n">
        <v>4</v>
      </c>
      <c r="AB715" t="inlineStr">
        <is>
          <t>Avfallsmangder och lagringstid</t>
        </is>
      </c>
      <c r="AC715" t="inlineStr">
        <is>
          <t>Avfallsforteckning</t>
        </is>
      </c>
      <c r="AD715" t="inlineStr">
        <is>
          <t>Nej</t>
        </is>
      </c>
      <c r="AE715" t="inlineStr">
        <is>
          <t>Nej</t>
        </is>
      </c>
      <c r="AF715" t="inlineStr">
        <is>
          <t>Ej behandlad</t>
        </is>
      </c>
      <c r="AG715" t="inlineStr">
        <is>
          <t>AUTO_GENERERAD. Verifiera citat mot kallfil.</t>
        </is>
      </c>
      <c r="AH715" t="inlineStr">
        <is>
          <t>HIGH</t>
        </is>
      </c>
      <c r="AI715" t="inlineStr">
        <is>
          <t>AUTO</t>
        </is>
      </c>
      <c r="AJ715" t="inlineStr">
        <is>
          <t>Nej</t>
        </is>
      </c>
      <c r="AK715" t="inlineStr"/>
      <c r="AL715" t="inlineStr"/>
      <c r="AM715" t="inlineStr"/>
      <c r="AN715" t="inlineStr"/>
      <c r="AO715" t="inlineStr">
        <is>
          <t>cmm4yur3u045wcuqwtxlgiv42</t>
        </is>
      </c>
      <c r="AP715" t="inlineStr">
        <is>
          <t>http://localhost:8787/api/admin/requirements/documents/cmm4yur3u045wcuqwtxlgiv42/view</t>
        </is>
      </c>
      <c r="AQ715">
        <f>HYPERLÄNK("http://localhost:8787/api/admin/requirements/documents/cmm4yur3u045wcuqwtxlgiv42/view";"Öppna PDF")</f>
        <v/>
      </c>
      <c r="AR715">
        <f>HYPERLINK("http://localhost:8787/api/admin/requirements/documents/cmm4yur3u045wcuqwtxlgiv42/view","Open PDF")</f>
        <v/>
      </c>
      <c r="AS715" t="inlineStr">
        <is>
          <t>cmm55w57p0004cuisfrtpqly8</t>
        </is>
      </c>
      <c r="AT715" t="inlineStr">
        <is>
          <t>cmm4xvu980000cuh4vj0usz09</t>
        </is>
      </c>
      <c r="AU715" t="inlineStr"/>
      <c r="AV715" t="inlineStr">
        <is>
          <t>Kommun</t>
        </is>
      </c>
      <c r="AW715" t="inlineStr"/>
      <c r="AX715" t="inlineStr"/>
      <c r="AY715" t="inlineStr">
        <is>
          <t>Beslut</t>
        </is>
      </c>
      <c r="AZ715" t="inlineStr">
        <is>
          <t>2026-02-06</t>
        </is>
      </c>
      <c r="BA715" t="inlineStr">
        <is>
          <t>Situationsplan.pdf</t>
        </is>
      </c>
      <c r="BB715" t="inlineStr">
        <is>
          <t>Begäran om handlingar</t>
        </is>
      </c>
      <c r="BC715" t="inlineStr">
        <is>
          <t>AUTO</t>
        </is>
      </c>
      <c r="BD715" t="inlineStr"/>
      <c r="BE715" t="inlineStr"/>
      <c r="BF715" t="inlineStr">
        <is>
          <t>AUTO_GENERERAD. Bekrafta metadata mot kallfil.</t>
        </is>
      </c>
      <c r="BG715">
        <f>HYPERLINK("C:\Users\jimmy\Desktop\Examens arbete\Kod\Ny mapp\remix_-copy-of-miljöbeslut.se-portal\Situationsplan.pdf", "Öppna PDF")</f>
        <v/>
      </c>
    </row>
    <row r="716">
      <c r="A716" t="inlineStr">
        <is>
          <t>KRAV-AUTO-000715</t>
        </is>
      </c>
      <c r="B716" t="inlineStr">
        <is>
          <t>ADMIN-INDEX-2026-02-27-00000000125C043F57453246863FE664CAFE6A3F0700950291EA24F0614FB6ACEDB12BF0E31D00000000010C0000950291EA24F0614FB6ACEDB12BF0E31D00002087A5B00000</t>
        </is>
      </c>
      <c r="C716" t="inlineStr">
        <is>
          <t>cmm4yur400462cuqwco0rcfa6</t>
        </is>
      </c>
      <c r="D716" t="inlineStr">
        <is>
          <t>http://localhost:8787/api/admin/requirements/documents/cmm4yur400462cuqwco0rcfa6/view</t>
        </is>
      </c>
      <c r="E716">
        <f>HYPERLÄNK("http://localhost:8787/api/admin/requirements/documents/cmm4yur400462cuqwco0rcfa6/view";"Öppna PDF")</f>
        <v/>
      </c>
      <c r="F716">
        <f>HYPERLINK("http://localhost:8787/api/admin/requirements/documents/cmm4yur400462cuqwco0rcfa6/view","Open PDF")</f>
        <v/>
      </c>
      <c r="G716" t="inlineStr">
        <is>
          <t>cmm55w57p0004cuisfrtpqly8</t>
        </is>
      </c>
      <c r="H716" t="inlineStr">
        <is>
          <t>Informationskrav</t>
        </is>
      </c>
      <c r="I716" t="inlineStr">
        <is>
          <t>LagringsvolymTid</t>
        </is>
      </c>
      <c r="J716" t="inlineStr">
        <is>
          <t>Maxmangd</t>
        </is>
      </c>
      <c r="K716" t="inlineStr">
        <is>
          <t>Ingen uppskattning av mängd massor som behövs eller markprofil har bifogats anmälan, men Sebastian uppger att de ska ta in massor med försiktighet eftersom han inte vill behöva schakta bort massor igen.</t>
        </is>
      </c>
      <c r="L716" t="inlineStr">
        <is>
          <t>Ingen uppskattning av mängd massor som behövs eller markprofil har bifogats anmälan, men Sebastian uppger att de ska ta in massor med försiktighet eftersom han inte vill behöva schakta bort massor igen.</t>
        </is>
      </c>
      <c r="M716" t="inlineStr">
        <is>
          <t>SKA</t>
        </is>
      </c>
      <c r="N716" t="inlineStr">
        <is>
          <t>FMH</t>
        </is>
      </c>
      <c r="O716" t="inlineStr"/>
      <c r="P716" t="inlineStr"/>
      <c r="Q716" t="inlineStr"/>
      <c r="R716" t="inlineStr">
        <is>
          <t>Alltid</t>
        </is>
      </c>
      <c r="S716" t="inlineStr"/>
      <c r="T716" t="inlineStr">
        <is>
          <t>212000</t>
        </is>
      </c>
      <c r="U716" t="inlineStr"/>
      <c r="V716" t="inlineStr"/>
      <c r="W716" t="inlineStr">
        <is>
          <t>Nej</t>
        </is>
      </c>
      <c r="X716" t="inlineStr">
        <is>
          <t>Nej</t>
        </is>
      </c>
      <c r="Y716" t="inlineStr">
        <is>
          <t>Nej</t>
        </is>
      </c>
      <c r="Z716" t="inlineStr">
        <is>
          <t>Nej</t>
        </is>
      </c>
      <c r="AA716" t="n">
        <v>4</v>
      </c>
      <c r="AB716" t="inlineStr">
        <is>
          <t>Avfallsmangder och lagringstid</t>
        </is>
      </c>
      <c r="AC716" t="inlineStr">
        <is>
          <t>Avfallsforteckning</t>
        </is>
      </c>
      <c r="AD716" t="inlineStr">
        <is>
          <t>Nej</t>
        </is>
      </c>
      <c r="AE716" t="inlineStr">
        <is>
          <t>Nej</t>
        </is>
      </c>
      <c r="AF716" t="inlineStr">
        <is>
          <t>Ej behandlad</t>
        </is>
      </c>
      <c r="AG716" t="inlineStr">
        <is>
          <t>AUTO_GENERERAD. Verifiera citat mot kallfil.</t>
        </is>
      </c>
      <c r="AH716" t="inlineStr">
        <is>
          <t>HIGH</t>
        </is>
      </c>
      <c r="AI716" t="inlineStr">
        <is>
          <t>AUTO</t>
        </is>
      </c>
      <c r="AJ716" t="inlineStr">
        <is>
          <t>Nej</t>
        </is>
      </c>
      <c r="AK716" t="inlineStr"/>
      <c r="AL716" t="inlineStr"/>
      <c r="AM716" t="inlineStr"/>
      <c r="AN716" t="inlineStr"/>
      <c r="AO716" t="inlineStr">
        <is>
          <t>cmm4yur3u045wcuqwtxlgiv42</t>
        </is>
      </c>
      <c r="AP716" t="inlineStr">
        <is>
          <t>http://localhost:8787/api/admin/requirements/documents/cmm4yur3u045wcuqwtxlgiv42/view</t>
        </is>
      </c>
      <c r="AQ716">
        <f>HYPERLÄNK("http://localhost:8787/api/admin/requirements/documents/cmm4yur3u045wcuqwtxlgiv42/view";"Öppna PDF")</f>
        <v/>
      </c>
      <c r="AR716">
        <f>HYPERLINK("http://localhost:8787/api/admin/requirements/documents/cmm4yur3u045wcuqwtxlgiv42/view","Open PDF")</f>
        <v/>
      </c>
      <c r="AS716" t="inlineStr">
        <is>
          <t>cmm55w57p0004cuisfrtpqly8</t>
        </is>
      </c>
      <c r="AT716" t="inlineStr">
        <is>
          <t>cmm4xvu980000cuh4vj0usz09</t>
        </is>
      </c>
      <c r="AU716" t="inlineStr"/>
      <c r="AV716" t="inlineStr">
        <is>
          <t>Kommun</t>
        </is>
      </c>
      <c r="AW716" t="inlineStr"/>
      <c r="AX716" t="inlineStr"/>
      <c r="AY716" t="inlineStr">
        <is>
          <t>Beslut</t>
        </is>
      </c>
      <c r="AZ716" t="inlineStr">
        <is>
          <t>2026-02-06</t>
        </is>
      </c>
      <c r="BA716" t="inlineStr">
        <is>
          <t>Situationsplan.pdf</t>
        </is>
      </c>
      <c r="BB716" t="inlineStr">
        <is>
          <t>Begäran om handlingar</t>
        </is>
      </c>
      <c r="BC716" t="inlineStr">
        <is>
          <t>AUTO</t>
        </is>
      </c>
      <c r="BD716" t="inlineStr"/>
      <c r="BE716" t="inlineStr"/>
      <c r="BF716" t="inlineStr">
        <is>
          <t>AUTO_GENERERAD. Bekrafta metadata mot kallfil.</t>
        </is>
      </c>
      <c r="BG716">
        <f>HYPERLINK("C:\Users\jimmy\Desktop\Examens arbete\Kod\Ny mapp\remix_-copy-of-miljöbeslut.se-portal\Situationsplan.pdf", "Öppna PDF")</f>
        <v/>
      </c>
    </row>
    <row r="717">
      <c r="A717" t="inlineStr">
        <is>
          <t>KRAV-AUTO-000716</t>
        </is>
      </c>
      <c r="B717" t="inlineStr">
        <is>
          <t>ADMIN-INDEX-2026-02-27-00000000125C043F57453246863FE664CAFE6A3F0700950291EA24F0614FB6ACEDB12BF0E31D00000000010C0000950291EA24F0614FB6ACEDB12BF0E31D00002087A5B00000</t>
        </is>
      </c>
      <c r="C717" t="inlineStr">
        <is>
          <t>cmm4yur400462cuqwco0rcfa6</t>
        </is>
      </c>
      <c r="D717" t="inlineStr">
        <is>
          <t>http://localhost:8787/api/admin/requirements/documents/cmm4yur400462cuqwco0rcfa6/view</t>
        </is>
      </c>
      <c r="E717">
        <f>HYPERLÄNK("http://localhost:8787/api/admin/requirements/documents/cmm4yur400462cuqwco0rcfa6/view";"Öppna PDF")</f>
        <v/>
      </c>
      <c r="F717">
        <f>HYPERLINK("http://localhost:8787/api/admin/requirements/documents/cmm4yur400462cuqwco0rcfa6/view","Open PDF")</f>
        <v/>
      </c>
      <c r="G717" t="inlineStr">
        <is>
          <t>cmm55w57p0004cuisfrtpqly8</t>
        </is>
      </c>
      <c r="H717" t="inlineStr">
        <is>
          <t>Informationskrav</t>
        </is>
      </c>
      <c r="I717" t="inlineStr">
        <is>
          <t>Riskhantering</t>
        </is>
      </c>
      <c r="J717" t="inlineStr">
        <is>
          <t>Riskkontroll</t>
        </is>
      </c>
      <c r="K717" t="inlineStr">
        <is>
          <t>Det finns också ett syfte att minska risken för översvämning av tomten.</t>
        </is>
      </c>
      <c r="L717" t="inlineStr">
        <is>
          <t>Det finns också ett syfte att minska risken för översvämning av tomten.</t>
        </is>
      </c>
      <c r="M717" t="inlineStr">
        <is>
          <t>SKA</t>
        </is>
      </c>
      <c r="N717" t="inlineStr">
        <is>
          <t>FMH</t>
        </is>
      </c>
      <c r="O717" t="inlineStr"/>
      <c r="P717" t="inlineStr"/>
      <c r="Q717" t="inlineStr"/>
      <c r="R717" t="inlineStr">
        <is>
          <t>Vid risk for incident</t>
        </is>
      </c>
      <c r="S717" t="inlineStr"/>
      <c r="T717" t="inlineStr">
        <is>
          <t>212000</t>
        </is>
      </c>
      <c r="U717" t="inlineStr"/>
      <c r="V717" t="inlineStr"/>
      <c r="W717" t="inlineStr">
        <is>
          <t>Nej</t>
        </is>
      </c>
      <c r="X717" t="inlineStr">
        <is>
          <t>Nej</t>
        </is>
      </c>
      <c r="Y717" t="inlineStr">
        <is>
          <t>Ja</t>
        </is>
      </c>
      <c r="Z717" t="inlineStr">
        <is>
          <t>Ja</t>
        </is>
      </c>
      <c r="AA717" t="n">
        <v>8</v>
      </c>
      <c r="AB717" t="inlineStr">
        <is>
          <t>Riskhantering</t>
        </is>
      </c>
      <c r="AC717" t="inlineStr">
        <is>
          <t>Risk-PM</t>
        </is>
      </c>
      <c r="AD717" t="inlineStr">
        <is>
          <t>Nej</t>
        </is>
      </c>
      <c r="AE717" t="inlineStr">
        <is>
          <t>Nej</t>
        </is>
      </c>
      <c r="AF717" t="inlineStr">
        <is>
          <t>Ej behandlad</t>
        </is>
      </c>
      <c r="AG717" t="inlineStr">
        <is>
          <t>AUTO_GENERERAD. Verifiera citat mot kallfil.</t>
        </is>
      </c>
      <c r="AH717" t="inlineStr">
        <is>
          <t>HIGH</t>
        </is>
      </c>
      <c r="AI717" t="inlineStr">
        <is>
          <t>AUTO</t>
        </is>
      </c>
      <c r="AJ717" t="inlineStr">
        <is>
          <t>Nej</t>
        </is>
      </c>
      <c r="AK717" t="inlineStr"/>
      <c r="AL717" t="inlineStr"/>
      <c r="AM717" t="inlineStr"/>
      <c r="AN717" t="inlineStr"/>
      <c r="AO717" t="inlineStr">
        <is>
          <t>cmm4yur3u045wcuqwtxlgiv42</t>
        </is>
      </c>
      <c r="AP717" t="inlineStr">
        <is>
          <t>http://localhost:8787/api/admin/requirements/documents/cmm4yur3u045wcuqwtxlgiv42/view</t>
        </is>
      </c>
      <c r="AQ717">
        <f>HYPERLÄNK("http://localhost:8787/api/admin/requirements/documents/cmm4yur3u045wcuqwtxlgiv42/view";"Öppna PDF")</f>
        <v/>
      </c>
      <c r="AR717">
        <f>HYPERLINK("http://localhost:8787/api/admin/requirements/documents/cmm4yur3u045wcuqwtxlgiv42/view","Open PDF")</f>
        <v/>
      </c>
      <c r="AS717" t="inlineStr">
        <is>
          <t>cmm55w57p0004cuisfrtpqly8</t>
        </is>
      </c>
      <c r="AT717" t="inlineStr">
        <is>
          <t>cmm4xvu980000cuh4vj0usz09</t>
        </is>
      </c>
      <c r="AU717" t="inlineStr"/>
      <c r="AV717" t="inlineStr">
        <is>
          <t>Kommun</t>
        </is>
      </c>
      <c r="AW717" t="inlineStr"/>
      <c r="AX717" t="inlineStr"/>
      <c r="AY717" t="inlineStr">
        <is>
          <t>Beslut</t>
        </is>
      </c>
      <c r="AZ717" t="inlineStr">
        <is>
          <t>2026-02-06</t>
        </is>
      </c>
      <c r="BA717" t="inlineStr">
        <is>
          <t>Situationsplan.pdf</t>
        </is>
      </c>
      <c r="BB717" t="inlineStr">
        <is>
          <t>Begäran om handlingar</t>
        </is>
      </c>
      <c r="BC717" t="inlineStr">
        <is>
          <t>AUTO</t>
        </is>
      </c>
      <c r="BD717" t="inlineStr"/>
      <c r="BE717" t="inlineStr"/>
      <c r="BF717" t="inlineStr">
        <is>
          <t>AUTO_GENERERAD. Bekrafta metadata mot kallfil.</t>
        </is>
      </c>
      <c r="BG717">
        <f>HYPERLINK("C:\Users\jimmy\Desktop\Examens arbete\Kod\Ny mapp\remix_-copy-of-miljöbeslut.se-portal\Situationsplan.pdf", "Öppna PDF")</f>
        <v/>
      </c>
    </row>
    <row r="718">
      <c r="A718" t="inlineStr">
        <is>
          <t>KRAV-AUTO-000717</t>
        </is>
      </c>
      <c r="B718" t="inlineStr">
        <is>
          <t>ADMIN-INDEX-2026-02-27-00000000125C043F57453246863FE664CAFE6A3F0700950291EA24F0614FB6ACEDB12BF0E31D00000000010C0000950291EA24F0614FB6ACEDB12BF0E31D00002087AE050000</t>
        </is>
      </c>
      <c r="C718" t="inlineStr">
        <is>
          <t>cmm4yuqao03etcuqwf9eps7mu</t>
        </is>
      </c>
      <c r="D718" t="inlineStr">
        <is>
          <t>http://localhost:8787/api/admin/requirements/documents/cmm4yuqao03etcuqwf9eps7mu/view</t>
        </is>
      </c>
      <c r="E718">
        <f>HYPERLÄNK("http://localhost:8787/api/admin/requirements/documents/cmm4yuqao03etcuqwf9eps7mu/view";"Öppna PDF")</f>
        <v/>
      </c>
      <c r="F718">
        <f>HYPERLINK("http://localhost:8787/api/admin/requirements/documents/cmm4yuqao03etcuqwf9eps7mu/view","Open PDF")</f>
        <v/>
      </c>
      <c r="G718" t="inlineStr">
        <is>
          <t>cmm55w57p0004cuisfrtpqly8</t>
        </is>
      </c>
      <c r="H718" t="inlineStr">
        <is>
          <t>Beslutsvillkor</t>
        </is>
      </c>
      <c r="I718" t="inlineStr">
        <is>
          <t>LagringsvolymTid</t>
        </is>
      </c>
      <c r="J718" t="inlineStr">
        <is>
          <t>Maxmangd</t>
        </is>
      </c>
      <c r="K718" t="inlineStr">
        <is>
          <t>Små mängder avfall från den egna verksamheten får transporteras utan tillstånd, men för det krävs anmälan till länsstyrelsen.</t>
        </is>
      </c>
      <c r="L718" t="inlineStr">
        <is>
          <t>Små mängder avfall från den egna verksamheten får transporteras utan tillstånd, men för det krävs anmälan till länsstyrelsen.</t>
        </is>
      </c>
      <c r="M718" t="inlineStr">
        <is>
          <t>SKA</t>
        </is>
      </c>
      <c r="N718" t="inlineStr"/>
      <c r="O718" t="inlineStr"/>
      <c r="P718" t="inlineStr"/>
      <c r="Q718" t="inlineStr"/>
      <c r="R718" t="inlineStr">
        <is>
          <t>Alltid</t>
        </is>
      </c>
      <c r="S718" t="inlineStr"/>
      <c r="T718" t="inlineStr"/>
      <c r="U718" t="inlineStr"/>
      <c r="V718" t="inlineStr"/>
      <c r="W718" t="inlineStr">
        <is>
          <t>Nej</t>
        </is>
      </c>
      <c r="X718" t="inlineStr">
        <is>
          <t>Nej</t>
        </is>
      </c>
      <c r="Y718" t="inlineStr">
        <is>
          <t>Nej</t>
        </is>
      </c>
      <c r="Z718" t="inlineStr">
        <is>
          <t>Nej</t>
        </is>
      </c>
      <c r="AA718" t="n">
        <v>4</v>
      </c>
      <c r="AB718" t="inlineStr">
        <is>
          <t>Avfallsmangder och lagringstid</t>
        </is>
      </c>
      <c r="AC718" t="inlineStr">
        <is>
          <t>Avfallsforteckning</t>
        </is>
      </c>
      <c r="AD718" t="inlineStr">
        <is>
          <t>Nej</t>
        </is>
      </c>
      <c r="AE718" t="inlineStr">
        <is>
          <t>Nej</t>
        </is>
      </c>
      <c r="AF718" t="inlineStr">
        <is>
          <t>Ej behandlad</t>
        </is>
      </c>
      <c r="AG718" t="inlineStr">
        <is>
          <t>AUTO_GENERERAD. Verifiera citat mot kallfil.</t>
        </is>
      </c>
      <c r="AH718" t="inlineStr">
        <is>
          <t>MEDIUM</t>
        </is>
      </c>
      <c r="AI718" t="inlineStr">
        <is>
          <t>AUTO</t>
        </is>
      </c>
      <c r="AJ718" t="inlineStr">
        <is>
          <t>Nej</t>
        </is>
      </c>
      <c r="AK718" t="inlineStr"/>
      <c r="AL718" t="inlineStr"/>
      <c r="AM718" t="inlineStr"/>
      <c r="AN718" t="inlineStr"/>
      <c r="AO718" t="inlineStr">
        <is>
          <t>cmm4yuqbf03fecuqw8hit9x13</t>
        </is>
      </c>
      <c r="AP718" t="inlineStr">
        <is>
          <t>http://localhost:8787/api/admin/requirements/documents/cmm4yuqbf03fecuqw8hit9x13/view</t>
        </is>
      </c>
      <c r="AQ718">
        <f>HYPERLÄNK("http://localhost:8787/api/admin/requirements/documents/cmm4yuqbf03fecuqw8hit9x13/view";"Öppna PDF")</f>
        <v/>
      </c>
      <c r="AR718">
        <f>HYPERLINK("http://localhost:8787/api/admin/requirements/documents/cmm4yuqbf03fecuqw8hit9x13/view","Open PDF")</f>
        <v/>
      </c>
      <c r="AS718" t="inlineStr">
        <is>
          <t>cmm55w57p0004cuisfrtpqly8</t>
        </is>
      </c>
      <c r="AT718" t="inlineStr">
        <is>
          <t>cmm4xvu980000cuh4vj0usz09</t>
        </is>
      </c>
      <c r="AU718" t="inlineStr">
        <is>
          <t>i Huddinge</t>
        </is>
      </c>
      <c r="AV718" t="inlineStr">
        <is>
          <t>Kommun</t>
        </is>
      </c>
      <c r="AW718" t="inlineStr">
        <is>
          <t>i Huddinge kommun</t>
        </is>
      </c>
      <c r="AX718" t="inlineStr">
        <is>
          <t>2025-2029</t>
        </is>
      </c>
      <c r="AY718" t="inlineStr">
        <is>
          <t>Forelaggande</t>
        </is>
      </c>
      <c r="AZ718" t="inlineStr">
        <is>
          <t>2026-02-04</t>
        </is>
      </c>
      <c r="BA718" t="inlineStr">
        <is>
          <t>M-2025-2937 Beslut om föreläggande försiktighetsmått.pdf</t>
        </is>
      </c>
      <c r="BB718" t="inlineStr">
        <is>
          <t>Sv: till registrator [2026SC9796]</t>
        </is>
      </c>
      <c r="BC718" t="inlineStr">
        <is>
          <t>AUTO</t>
        </is>
      </c>
      <c r="BD718" t="inlineStr"/>
      <c r="BE718" t="inlineStr"/>
      <c r="BF718" t="inlineStr">
        <is>
          <t>AUTO_GENERERAD. Bekrafta metadata mot kallfil.</t>
        </is>
      </c>
      <c r="BG718">
        <f>HYPERLINK("C:\Users\jimmy\Desktop\Examens arbete\Kod\Ny mapp\remix_-copy-of-miljöbeslut.se-portal\M-2025-2937 Beslut om föreläggande försiktighetsmått.pdf", "Öppna PDF")</f>
        <v/>
      </c>
    </row>
    <row r="719">
      <c r="A719" t="inlineStr">
        <is>
          <t>KRAV-AUTO-000718</t>
        </is>
      </c>
      <c r="B719" t="inlineStr">
        <is>
          <t>ADMIN-INDEX-2026-02-27-00000000125C043F57453246863FE664CAFE6A3F0700950291EA24F0614FB6ACEDB12BF0E31D00000000010C0000950291EA24F0614FB6ACEDB12BF0E31D00002087AE050000</t>
        </is>
      </c>
      <c r="C719" t="inlineStr">
        <is>
          <t>cmm4yuqao03etcuqwf9eps7mu</t>
        </is>
      </c>
      <c r="D719" t="inlineStr">
        <is>
          <t>http://localhost:8787/api/admin/requirements/documents/cmm4yuqao03etcuqwf9eps7mu/view</t>
        </is>
      </c>
      <c r="E719">
        <f>HYPERLÄNK("http://localhost:8787/api/admin/requirements/documents/cmm4yuqao03etcuqwf9eps7mu/view";"Öppna PDF")</f>
        <v/>
      </c>
      <c r="F719">
        <f>HYPERLINK("http://localhost:8787/api/admin/requirements/documents/cmm4yuqao03etcuqwf9eps7mu/view","Open PDF")</f>
        <v/>
      </c>
      <c r="G719" t="inlineStr">
        <is>
          <t>cmm55w57p0004cuisfrtpqly8</t>
        </is>
      </c>
      <c r="H719" t="inlineStr">
        <is>
          <t>Beslutsvillkor</t>
        </is>
      </c>
      <c r="I719" t="inlineStr">
        <is>
          <t>TransportLogistik</t>
        </is>
      </c>
      <c r="J719" t="inlineStr">
        <is>
          <t>Transportvagar</t>
        </is>
      </c>
      <c r="K719" t="inlineStr">
        <is>
          <t>Vem transporterar bort avfallet?</t>
        </is>
      </c>
      <c r="L719" t="inlineStr">
        <is>
          <t>Vem transporterar bort avfallet?</t>
        </is>
      </c>
      <c r="M719" t="inlineStr">
        <is>
          <t>BOR</t>
        </is>
      </c>
      <c r="N719" t="inlineStr"/>
      <c r="O719" t="inlineStr"/>
      <c r="P719" t="inlineStr"/>
      <c r="Q719" t="inlineStr"/>
      <c r="R719" t="inlineStr">
        <is>
          <t>Vid transporter</t>
        </is>
      </c>
      <c r="S719" t="inlineStr"/>
      <c r="T719" t="inlineStr"/>
      <c r="U719" t="inlineStr"/>
      <c r="V719" t="inlineStr"/>
      <c r="W719" t="inlineStr">
        <is>
          <t>Nej</t>
        </is>
      </c>
      <c r="X719" t="inlineStr">
        <is>
          <t>Nej</t>
        </is>
      </c>
      <c r="Y719" t="inlineStr">
        <is>
          <t>Nej</t>
        </is>
      </c>
      <c r="Z719" t="inlineStr">
        <is>
          <t>Ja</t>
        </is>
      </c>
      <c r="AA719" t="n">
        <v>9</v>
      </c>
      <c r="AB719" t="inlineStr">
        <is>
          <t>Transporter och logistik</t>
        </is>
      </c>
      <c r="AC719" t="inlineStr">
        <is>
          <t>Trafikplan</t>
        </is>
      </c>
      <c r="AD719" t="inlineStr">
        <is>
          <t>Nej</t>
        </is>
      </c>
      <c r="AE719" t="inlineStr">
        <is>
          <t>Nej</t>
        </is>
      </c>
      <c r="AF719" t="inlineStr">
        <is>
          <t>Ej behandlad</t>
        </is>
      </c>
      <c r="AG719" t="inlineStr">
        <is>
          <t>AUTO_GENERERAD. Verifiera citat mot kallfil.</t>
        </is>
      </c>
      <c r="AH719" t="inlineStr">
        <is>
          <t>LOW</t>
        </is>
      </c>
      <c r="AI719" t="inlineStr">
        <is>
          <t>AUTO</t>
        </is>
      </c>
      <c r="AJ719" t="inlineStr">
        <is>
          <t>Nej</t>
        </is>
      </c>
      <c r="AK719" t="inlineStr"/>
      <c r="AL719" t="inlineStr"/>
      <c r="AM719" t="inlineStr"/>
      <c r="AN719" t="inlineStr"/>
      <c r="AO719" t="inlineStr">
        <is>
          <t>cmm4yuqbf03fecuqw8hit9x13</t>
        </is>
      </c>
      <c r="AP719" t="inlineStr">
        <is>
          <t>http://localhost:8787/api/admin/requirements/documents/cmm4yuqbf03fecuqw8hit9x13/view</t>
        </is>
      </c>
      <c r="AQ719">
        <f>HYPERLÄNK("http://localhost:8787/api/admin/requirements/documents/cmm4yuqbf03fecuqw8hit9x13/view";"Öppna PDF")</f>
        <v/>
      </c>
      <c r="AR719">
        <f>HYPERLINK("http://localhost:8787/api/admin/requirements/documents/cmm4yuqbf03fecuqw8hit9x13/view","Open PDF")</f>
        <v/>
      </c>
      <c r="AS719" t="inlineStr">
        <is>
          <t>cmm55w57p0004cuisfrtpqly8</t>
        </is>
      </c>
      <c r="AT719" t="inlineStr">
        <is>
          <t>cmm4xvu980000cuh4vj0usz09</t>
        </is>
      </c>
      <c r="AU719" t="inlineStr">
        <is>
          <t>i Huddinge</t>
        </is>
      </c>
      <c r="AV719" t="inlineStr">
        <is>
          <t>Kommun</t>
        </is>
      </c>
      <c r="AW719" t="inlineStr">
        <is>
          <t>i Huddinge kommun</t>
        </is>
      </c>
      <c r="AX719" t="inlineStr">
        <is>
          <t>2025-2029</t>
        </is>
      </c>
      <c r="AY719" t="inlineStr">
        <is>
          <t>Forelaggande</t>
        </is>
      </c>
      <c r="AZ719" t="inlineStr">
        <is>
          <t>2026-02-04</t>
        </is>
      </c>
      <c r="BA719" t="inlineStr">
        <is>
          <t>M-2025-2937 Beslut om föreläggande försiktighetsmått.pdf</t>
        </is>
      </c>
      <c r="BB719" t="inlineStr">
        <is>
          <t>Sv: till registrator [2026SC9796]</t>
        </is>
      </c>
      <c r="BC719" t="inlineStr">
        <is>
          <t>AUTO</t>
        </is>
      </c>
      <c r="BD719" t="inlineStr"/>
      <c r="BE719" t="inlineStr"/>
      <c r="BF719" t="inlineStr">
        <is>
          <t>AUTO_GENERERAD. Bekrafta metadata mot kallfil.</t>
        </is>
      </c>
      <c r="BG719">
        <f>HYPERLINK("C:\Users\jimmy\Desktop\Examens arbete\Kod\Ny mapp\remix_-copy-of-miljöbeslut.se-portal\M-2025-2937 Beslut om föreläggande försiktighetsmått.pdf", "Öppna PDF")</f>
        <v/>
      </c>
    </row>
    <row r="720">
      <c r="A720" t="inlineStr">
        <is>
          <t>KRAV-AUTO-000719</t>
        </is>
      </c>
      <c r="B720" t="inlineStr">
        <is>
          <t>ADMIN-INDEX-2026-02-27-00000000125C043F57453246863FE664CAFE6A3F0700950291EA24F0614FB6ACEDB12BF0E31D00000000010C0000950291EA24F0614FB6ACEDB12BF0E31D00002087AE050000</t>
        </is>
      </c>
      <c r="C720" t="inlineStr">
        <is>
          <t>cmm4yuqao03etcuqwf9eps7mu</t>
        </is>
      </c>
      <c r="D720" t="inlineStr">
        <is>
          <t>http://localhost:8787/api/admin/requirements/documents/cmm4yuqao03etcuqwf9eps7mu/view</t>
        </is>
      </c>
      <c r="E720">
        <f>HYPERLÄNK("http://localhost:8787/api/admin/requirements/documents/cmm4yuqao03etcuqwf9eps7mu/view";"Öppna PDF")</f>
        <v/>
      </c>
      <c r="F720">
        <f>HYPERLINK("http://localhost:8787/api/admin/requirements/documents/cmm4yuqao03etcuqwf9eps7mu/view","Open PDF")</f>
        <v/>
      </c>
      <c r="G720" t="inlineStr">
        <is>
          <t>cmm55w57p0004cuisfrtpqly8</t>
        </is>
      </c>
      <c r="H720" t="inlineStr">
        <is>
          <t>Beslutsvillkor</t>
        </is>
      </c>
      <c r="I720" t="inlineStr">
        <is>
          <t>MiljopaverkanForsiktighet</t>
        </is>
      </c>
      <c r="J720" t="inlineStr">
        <is>
          <t>Skyddsatgarder</t>
        </is>
      </c>
      <c r="K720" t="inlineStr">
        <is>
          <t>Anmälan ska vara inlämnad senast sex veckor innan farligt avfall får tas emot.</t>
        </is>
      </c>
      <c r="L720" t="inlineStr">
        <is>
          <t>Anmälan ska vara inlämnad senast sex veckor innan farligt avfall får tas emot.</t>
        </is>
      </c>
      <c r="M720" t="inlineStr">
        <is>
          <t>SKA</t>
        </is>
      </c>
      <c r="N720" t="inlineStr"/>
      <c r="O720" t="inlineStr">
        <is>
          <t>senast sex veckor innan farligt avfal</t>
        </is>
      </c>
      <c r="P720" t="inlineStr">
        <is>
          <t>Arlig</t>
        </is>
      </c>
      <c r="Q720" t="inlineStr"/>
      <c r="R720" t="inlineStr">
        <is>
          <t>Alltid</t>
        </is>
      </c>
      <c r="S720" t="inlineStr"/>
      <c r="T720" t="inlineStr"/>
      <c r="U720" t="inlineStr"/>
      <c r="V720" t="inlineStr"/>
      <c r="W720" t="inlineStr">
        <is>
          <t>Nej</t>
        </is>
      </c>
      <c r="X720" t="inlineStr">
        <is>
          <t>Nej</t>
        </is>
      </c>
      <c r="Y720" t="inlineStr">
        <is>
          <t>Nej</t>
        </is>
      </c>
      <c r="Z720" t="inlineStr">
        <is>
          <t>Nej</t>
        </is>
      </c>
      <c r="AA720" t="n">
        <v>10</v>
      </c>
      <c r="AB720" t="inlineStr">
        <is>
          <t>Miljopaverkan och forsiktighetsmatt</t>
        </is>
      </c>
      <c r="AC720" t="inlineStr">
        <is>
          <t>Miljo-PM</t>
        </is>
      </c>
      <c r="AD720" t="inlineStr">
        <is>
          <t>Nej</t>
        </is>
      </c>
      <c r="AE720" t="inlineStr">
        <is>
          <t>Nej</t>
        </is>
      </c>
      <c r="AF720" t="inlineStr">
        <is>
          <t>Ej behandlad</t>
        </is>
      </c>
      <c r="AG720" t="inlineStr">
        <is>
          <t>AUTO_GENERERAD. Verifiera citat mot kallfil.</t>
        </is>
      </c>
      <c r="AH720" t="inlineStr">
        <is>
          <t>MEDIUM</t>
        </is>
      </c>
      <c r="AI720" t="inlineStr">
        <is>
          <t>AUTO</t>
        </is>
      </c>
      <c r="AJ720" t="inlineStr">
        <is>
          <t>Nej</t>
        </is>
      </c>
      <c r="AK720" t="inlineStr"/>
      <c r="AL720" t="inlineStr"/>
      <c r="AM720" t="inlineStr"/>
      <c r="AN720" t="inlineStr"/>
      <c r="AO720" t="inlineStr">
        <is>
          <t>cmm4yuqbf03fecuqw8hit9x13</t>
        </is>
      </c>
      <c r="AP720" t="inlineStr">
        <is>
          <t>http://localhost:8787/api/admin/requirements/documents/cmm4yuqbf03fecuqw8hit9x13/view</t>
        </is>
      </c>
      <c r="AQ720">
        <f>HYPERLÄNK("http://localhost:8787/api/admin/requirements/documents/cmm4yuqbf03fecuqw8hit9x13/view";"Öppna PDF")</f>
        <v/>
      </c>
      <c r="AR720">
        <f>HYPERLINK("http://localhost:8787/api/admin/requirements/documents/cmm4yuqbf03fecuqw8hit9x13/view","Open PDF")</f>
        <v/>
      </c>
      <c r="AS720" t="inlineStr">
        <is>
          <t>cmm55w57p0004cuisfrtpqly8</t>
        </is>
      </c>
      <c r="AT720" t="inlineStr">
        <is>
          <t>cmm4xvu980000cuh4vj0usz09</t>
        </is>
      </c>
      <c r="AU720" t="inlineStr">
        <is>
          <t>i Huddinge</t>
        </is>
      </c>
      <c r="AV720" t="inlineStr">
        <is>
          <t>Kommun</t>
        </is>
      </c>
      <c r="AW720" t="inlineStr">
        <is>
          <t>i Huddinge kommun</t>
        </is>
      </c>
      <c r="AX720" t="inlineStr">
        <is>
          <t>2025-2029</t>
        </is>
      </c>
      <c r="AY720" t="inlineStr">
        <is>
          <t>Forelaggande</t>
        </is>
      </c>
      <c r="AZ720" t="inlineStr">
        <is>
          <t>2026-02-04</t>
        </is>
      </c>
      <c r="BA720" t="inlineStr">
        <is>
          <t>M-2025-2937 Beslut om föreläggande försiktighetsmått.pdf</t>
        </is>
      </c>
      <c r="BB720" t="inlineStr">
        <is>
          <t>Sv: till registrator [2026SC9796]</t>
        </is>
      </c>
      <c r="BC720" t="inlineStr">
        <is>
          <t>AUTO</t>
        </is>
      </c>
      <c r="BD720" t="inlineStr"/>
      <c r="BE720" t="inlineStr"/>
      <c r="BF720" t="inlineStr">
        <is>
          <t>AUTO_GENERERAD. Bekrafta metadata mot kallfil.</t>
        </is>
      </c>
      <c r="BG720">
        <f>HYPERLINK("C:\Users\jimmy\Desktop\Examens arbete\Kod\Ny mapp\remix_-copy-of-miljöbeslut.se-portal\M-2025-2937 Beslut om föreläggande försiktighetsmått.pdf", "Öppna PDF")</f>
        <v/>
      </c>
    </row>
    <row r="721">
      <c r="A721" t="inlineStr">
        <is>
          <t>KRAV-AUTO-000720</t>
        </is>
      </c>
      <c r="B721" t="inlineStr">
        <is>
          <t>ADMIN-INDEX-2026-02-27-00000000125C043F57453246863FE664CAFE6A3F0700950291EA24F0614FB6ACEDB12BF0E31D00000000010C0000950291EA24F0614FB6ACEDB12BF0E31D00002087AE050000</t>
        </is>
      </c>
      <c r="C721" t="inlineStr">
        <is>
          <t>cmm4yuqah03encuqw2ul2y4yr</t>
        </is>
      </c>
      <c r="D721" t="inlineStr">
        <is>
          <t>http://localhost:8787/api/admin/requirements/documents/cmm4yuqah03encuqw2ul2y4yr/view</t>
        </is>
      </c>
      <c r="E721">
        <f>HYPERLÄNK("http://localhost:8787/api/admin/requirements/documents/cmm4yuqah03encuqw2ul2y4yr/view";"Öppna PDF")</f>
        <v/>
      </c>
      <c r="F721">
        <f>HYPERLINK("http://localhost:8787/api/admin/requirements/documents/cmm4yuqah03encuqw2ul2y4yr/view","Open PDF")</f>
        <v/>
      </c>
      <c r="G721" t="inlineStr">
        <is>
          <t>cmm55w57p0004cuisfrtpqly8</t>
        </is>
      </c>
      <c r="H721" t="inlineStr">
        <is>
          <t>Beslutsvillkor</t>
        </is>
      </c>
      <c r="I721" t="inlineStr">
        <is>
          <t>LagringsvolymTid</t>
        </is>
      </c>
      <c r="J721" t="inlineStr">
        <is>
          <t>Maxmangd</t>
        </is>
      </c>
      <c r="K721" t="inlineStr">
        <is>
          <t>Ragn-Sells uppskattar att cirka 50 ton tomma tryckbehållare kommer hanteras årligen.</t>
        </is>
      </c>
      <c r="L721" t="inlineStr">
        <is>
          <t>Ragn-Sells uppskattar att cirka 50 ton tomma tryckbehållare kommer hanteras årligen.</t>
        </is>
      </c>
      <c r="M721" t="inlineStr">
        <is>
          <t>SKA</t>
        </is>
      </c>
      <c r="N721" t="inlineStr"/>
      <c r="O721" t="inlineStr"/>
      <c r="P721" t="inlineStr">
        <is>
          <t>Arlig</t>
        </is>
      </c>
      <c r="Q721" t="inlineStr"/>
      <c r="R721" t="inlineStr">
        <is>
          <t>Alltid</t>
        </is>
      </c>
      <c r="S721" t="inlineStr"/>
      <c r="T721" t="inlineStr">
        <is>
          <t>556057</t>
        </is>
      </c>
      <c r="U721" t="n">
        <v>50</v>
      </c>
      <c r="V721" t="inlineStr"/>
      <c r="W721" t="inlineStr">
        <is>
          <t>Nej</t>
        </is>
      </c>
      <c r="X721" t="inlineStr">
        <is>
          <t>Nej</t>
        </is>
      </c>
      <c r="Y721" t="inlineStr">
        <is>
          <t>Nej</t>
        </is>
      </c>
      <c r="Z721" t="inlineStr">
        <is>
          <t>Nej</t>
        </is>
      </c>
      <c r="AA721" t="n">
        <v>4</v>
      </c>
      <c r="AB721" t="inlineStr">
        <is>
          <t>Avfallsmangder och lagringstid</t>
        </is>
      </c>
      <c r="AC721" t="inlineStr">
        <is>
          <t>Avfallsforteckning</t>
        </is>
      </c>
      <c r="AD721" t="inlineStr">
        <is>
          <t>Nej</t>
        </is>
      </c>
      <c r="AE721" t="inlineStr">
        <is>
          <t>Nej</t>
        </is>
      </c>
      <c r="AF721" t="inlineStr">
        <is>
          <t>Ej behandlad</t>
        </is>
      </c>
      <c r="AG721" t="inlineStr">
        <is>
          <t>AUTO_GENERERAD. Verifiera citat mot kallfil.</t>
        </is>
      </c>
      <c r="AH721" t="inlineStr">
        <is>
          <t>MEDIUM</t>
        </is>
      </c>
      <c r="AI721" t="inlineStr">
        <is>
          <t>AUTO</t>
        </is>
      </c>
      <c r="AJ721" t="inlineStr">
        <is>
          <t>Nej</t>
        </is>
      </c>
      <c r="AK721" t="inlineStr"/>
      <c r="AL721" t="inlineStr"/>
      <c r="AM721" t="inlineStr"/>
      <c r="AN721" t="inlineStr"/>
      <c r="AO721" t="inlineStr">
        <is>
          <t>cmm4yuqbf03fecuqw8hit9x13</t>
        </is>
      </c>
      <c r="AP721" t="inlineStr">
        <is>
          <t>http://localhost:8787/api/admin/requirements/documents/cmm4yuqbf03fecuqw8hit9x13/view</t>
        </is>
      </c>
      <c r="AQ721">
        <f>HYPERLÄNK("http://localhost:8787/api/admin/requirements/documents/cmm4yuqbf03fecuqw8hit9x13/view";"Öppna PDF")</f>
        <v/>
      </c>
      <c r="AR721">
        <f>HYPERLINK("http://localhost:8787/api/admin/requirements/documents/cmm4yuqbf03fecuqw8hit9x13/view","Open PDF")</f>
        <v/>
      </c>
      <c r="AS721" t="inlineStr">
        <is>
          <t>cmm55w57p0004cuisfrtpqly8</t>
        </is>
      </c>
      <c r="AT721" t="inlineStr">
        <is>
          <t>cmm4xvu980000cuh4vj0usz09</t>
        </is>
      </c>
      <c r="AU721" t="inlineStr">
        <is>
          <t>i Huddinge</t>
        </is>
      </c>
      <c r="AV721" t="inlineStr">
        <is>
          <t>Kommun</t>
        </is>
      </c>
      <c r="AW721" t="inlineStr">
        <is>
          <t>i Huddinge kommun</t>
        </is>
      </c>
      <c r="AX721" t="inlineStr">
        <is>
          <t>2025-2029</t>
        </is>
      </c>
      <c r="AY721" t="inlineStr">
        <is>
          <t>Forelaggande</t>
        </is>
      </c>
      <c r="AZ721" t="inlineStr">
        <is>
          <t>2026-02-04</t>
        </is>
      </c>
      <c r="BA721" t="inlineStr">
        <is>
          <t>M-2025-2937 Beslut om föreläggande försiktighetsmått.pdf</t>
        </is>
      </c>
      <c r="BB721" t="inlineStr">
        <is>
          <t>Sv: till registrator [2026SC9796]</t>
        </is>
      </c>
      <c r="BC721" t="inlineStr">
        <is>
          <t>AUTO</t>
        </is>
      </c>
      <c r="BD721" t="inlineStr"/>
      <c r="BE721" t="inlineStr"/>
      <c r="BF721" t="inlineStr">
        <is>
          <t>AUTO_GENERERAD. Bekrafta metadata mot kallfil.</t>
        </is>
      </c>
      <c r="BG721">
        <f>HYPERLINK("C:\Users\jimmy\Desktop\Examens arbete\Kod\Ny mapp\remix_-copy-of-miljöbeslut.se-portal\M-2025-2937 Beslut om föreläggande försiktighetsmått.pdf", "Öppna PDF")</f>
        <v/>
      </c>
    </row>
    <row r="722">
      <c r="A722" t="inlineStr">
        <is>
          <t>KRAV-AUTO-000721</t>
        </is>
      </c>
      <c r="B722" t="inlineStr">
        <is>
          <t>ADMIN-INDEX-2026-02-27-00000000125C043F57453246863FE664CAFE6A3F0700950291EA24F0614FB6ACEDB12BF0E31D00000000010C0000950291EA24F0614FB6ACEDB12BF0E31D00002087AE050000</t>
        </is>
      </c>
      <c r="C722" t="inlineStr">
        <is>
          <t>cmm4yuqah03encuqw2ul2y4yr</t>
        </is>
      </c>
      <c r="D722" t="inlineStr">
        <is>
          <t>http://localhost:8787/api/admin/requirements/documents/cmm4yuqah03encuqw2ul2y4yr/view</t>
        </is>
      </c>
      <c r="E722">
        <f>HYPERLÄNK("http://localhost:8787/api/admin/requirements/documents/cmm4yuqah03encuqw2ul2y4yr/view";"Öppna PDF")</f>
        <v/>
      </c>
      <c r="F722">
        <f>HYPERLINK("http://localhost:8787/api/admin/requirements/documents/cmm4yuqah03encuqw2ul2y4yr/view","Open PDF")</f>
        <v/>
      </c>
      <c r="G722" t="inlineStr">
        <is>
          <t>cmm55w57p0004cuisfrtpqly8</t>
        </is>
      </c>
      <c r="H722" t="inlineStr">
        <is>
          <t>Beslutsvillkor</t>
        </is>
      </c>
      <c r="I722" t="inlineStr">
        <is>
          <t>MiljopaverkanForsiktighet</t>
        </is>
      </c>
      <c r="J722" t="inlineStr">
        <is>
          <t>Skyddsatgarder</t>
        </is>
      </c>
      <c r="K722" t="inlineStr">
        <is>
          <t>1 § Avfallsförordningen (AF) ska avfallsinnehavaren välja den kod som bäst beskriver avfallet.</t>
        </is>
      </c>
      <c r="L722" t="inlineStr">
        <is>
          <t>1 § Avfallsförordningen (AF) ska avfallsinnehavaren välja den kod som bäst beskriver avfallet.</t>
        </is>
      </c>
      <c r="M722" t="inlineStr">
        <is>
          <t>SKA</t>
        </is>
      </c>
      <c r="N722" t="inlineStr"/>
      <c r="O722" t="inlineStr"/>
      <c r="P722" t="inlineStr"/>
      <c r="Q722" t="inlineStr"/>
      <c r="R722" t="inlineStr">
        <is>
          <t>Alltid</t>
        </is>
      </c>
      <c r="S722" t="inlineStr"/>
      <c r="T722" t="inlineStr">
        <is>
          <t>556057</t>
        </is>
      </c>
      <c r="U722" t="inlineStr"/>
      <c r="V722" t="inlineStr"/>
      <c r="W722" t="inlineStr">
        <is>
          <t>Nej</t>
        </is>
      </c>
      <c r="X722" t="inlineStr">
        <is>
          <t>Nej</t>
        </is>
      </c>
      <c r="Y722" t="inlineStr">
        <is>
          <t>Nej</t>
        </is>
      </c>
      <c r="Z722" t="inlineStr">
        <is>
          <t>Nej</t>
        </is>
      </c>
      <c r="AA722" t="n">
        <v>10</v>
      </c>
      <c r="AB722" t="inlineStr">
        <is>
          <t>Miljopaverkan och forsiktighetsmatt</t>
        </is>
      </c>
      <c r="AC722" t="inlineStr">
        <is>
          <t>Miljo-PM</t>
        </is>
      </c>
      <c r="AD722" t="inlineStr">
        <is>
          <t>Nej</t>
        </is>
      </c>
      <c r="AE722" t="inlineStr">
        <is>
          <t>Nej</t>
        </is>
      </c>
      <c r="AF722" t="inlineStr">
        <is>
          <t>Ej behandlad</t>
        </is>
      </c>
      <c r="AG722" t="inlineStr">
        <is>
          <t>AUTO_GENERERAD. Verifiera citat mot kallfil.</t>
        </is>
      </c>
      <c r="AH722" t="inlineStr">
        <is>
          <t>MEDIUM</t>
        </is>
      </c>
      <c r="AI722" t="inlineStr">
        <is>
          <t>AUTO</t>
        </is>
      </c>
      <c r="AJ722" t="inlineStr">
        <is>
          <t>Nej</t>
        </is>
      </c>
      <c r="AK722" t="inlineStr"/>
      <c r="AL722" t="inlineStr"/>
      <c r="AM722" t="inlineStr"/>
      <c r="AN722" t="inlineStr"/>
      <c r="AO722" t="inlineStr">
        <is>
          <t>cmm4yuqbf03fecuqw8hit9x13</t>
        </is>
      </c>
      <c r="AP722" t="inlineStr">
        <is>
          <t>http://localhost:8787/api/admin/requirements/documents/cmm4yuqbf03fecuqw8hit9x13/view</t>
        </is>
      </c>
      <c r="AQ722">
        <f>HYPERLÄNK("http://localhost:8787/api/admin/requirements/documents/cmm4yuqbf03fecuqw8hit9x13/view";"Öppna PDF")</f>
        <v/>
      </c>
      <c r="AR722">
        <f>HYPERLINK("http://localhost:8787/api/admin/requirements/documents/cmm4yuqbf03fecuqw8hit9x13/view","Open PDF")</f>
        <v/>
      </c>
      <c r="AS722" t="inlineStr">
        <is>
          <t>cmm55w57p0004cuisfrtpqly8</t>
        </is>
      </c>
      <c r="AT722" t="inlineStr">
        <is>
          <t>cmm4xvu980000cuh4vj0usz09</t>
        </is>
      </c>
      <c r="AU722" t="inlineStr">
        <is>
          <t>i Huddinge</t>
        </is>
      </c>
      <c r="AV722" t="inlineStr">
        <is>
          <t>Kommun</t>
        </is>
      </c>
      <c r="AW722" t="inlineStr">
        <is>
          <t>i Huddinge kommun</t>
        </is>
      </c>
      <c r="AX722" t="inlineStr">
        <is>
          <t>2025-2029</t>
        </is>
      </c>
      <c r="AY722" t="inlineStr">
        <is>
          <t>Forelaggande</t>
        </is>
      </c>
      <c r="AZ722" t="inlineStr">
        <is>
          <t>2026-02-04</t>
        </is>
      </c>
      <c r="BA722" t="inlineStr">
        <is>
          <t>M-2025-2937 Beslut om föreläggande försiktighetsmått.pdf</t>
        </is>
      </c>
      <c r="BB722" t="inlineStr">
        <is>
          <t>Sv: till registrator [2026SC9796]</t>
        </is>
      </c>
      <c r="BC722" t="inlineStr">
        <is>
          <t>AUTO</t>
        </is>
      </c>
      <c r="BD722" t="inlineStr"/>
      <c r="BE722" t="inlineStr"/>
      <c r="BF722" t="inlineStr">
        <is>
          <t>AUTO_GENERERAD. Bekrafta metadata mot kallfil.</t>
        </is>
      </c>
      <c r="BG722">
        <f>HYPERLINK("C:\Users\jimmy\Desktop\Examens arbete\Kod\Ny mapp\remix_-copy-of-miljöbeslut.se-portal\M-2025-2937 Beslut om föreläggande försiktighetsmått.pdf", "Öppna PDF")</f>
        <v/>
      </c>
    </row>
    <row r="723">
      <c r="A723" t="inlineStr">
        <is>
          <t>KRAV-AUTO-000722</t>
        </is>
      </c>
      <c r="B723" t="inlineStr">
        <is>
          <t>ADMIN-INDEX-2026-02-27-00000000125C043F57453246863FE664CAFE6A3F0700950291EA24F0614FB6ACEDB12BF0E31D00000000010C0000950291EA24F0614FB6ACEDB12BF0E31D00002087AE050000</t>
        </is>
      </c>
      <c r="C723" t="inlineStr">
        <is>
          <t>cmm4yuqah03encuqw2ul2y4yr</t>
        </is>
      </c>
      <c r="D723" t="inlineStr">
        <is>
          <t>http://localhost:8787/api/admin/requirements/documents/cmm4yuqah03encuqw2ul2y4yr/view</t>
        </is>
      </c>
      <c r="E723">
        <f>HYPERLÄNK("http://localhost:8787/api/admin/requirements/documents/cmm4yuqah03encuqw2ul2y4yr/view";"Öppna PDF")</f>
        <v/>
      </c>
      <c r="F723">
        <f>HYPERLINK("http://localhost:8787/api/admin/requirements/documents/cmm4yuqah03encuqw2ul2y4yr/view","Open PDF")</f>
        <v/>
      </c>
      <c r="G723" t="inlineStr">
        <is>
          <t>cmm55w57p0004cuisfrtpqly8</t>
        </is>
      </c>
      <c r="H723" t="inlineStr">
        <is>
          <t>Beslutsvillkor</t>
        </is>
      </c>
      <c r="I723" t="inlineStr">
        <is>
          <t>MiljopaverkanForsiktighet</t>
        </is>
      </c>
      <c r="J723" t="inlineStr">
        <is>
          <t>Skyddsatgarder</t>
        </is>
      </c>
      <c r="K723" t="inlineStr">
        <is>
          <t>Tryckbehållare innehållandes vätska/gas klassas som farligt avfall enligt Avfallsförordningen (SFS 2011:927).</t>
        </is>
      </c>
      <c r="L723" t="inlineStr">
        <is>
          <t>Tryckbehållare innehållandes vätska/gas klassas som farligt avfall enligt Avfallsförordningen (SFS 2011:927).</t>
        </is>
      </c>
      <c r="M723" t="inlineStr">
        <is>
          <t>SKA</t>
        </is>
      </c>
      <c r="N723" t="inlineStr"/>
      <c r="O723" t="inlineStr"/>
      <c r="P723" t="inlineStr">
        <is>
          <t>Arlig</t>
        </is>
      </c>
      <c r="Q723" t="inlineStr"/>
      <c r="R723" t="inlineStr">
        <is>
          <t>Alltid</t>
        </is>
      </c>
      <c r="S723" t="inlineStr"/>
      <c r="T723" t="inlineStr">
        <is>
          <t>556057</t>
        </is>
      </c>
      <c r="U723" t="inlineStr"/>
      <c r="V723" t="inlineStr"/>
      <c r="W723" t="inlineStr">
        <is>
          <t>Nej</t>
        </is>
      </c>
      <c r="X723" t="inlineStr">
        <is>
          <t>Nej</t>
        </is>
      </c>
      <c r="Y723" t="inlineStr">
        <is>
          <t>Nej</t>
        </is>
      </c>
      <c r="Z723" t="inlineStr">
        <is>
          <t>Nej</t>
        </is>
      </c>
      <c r="AA723" t="n">
        <v>10</v>
      </c>
      <c r="AB723" t="inlineStr">
        <is>
          <t>Miljopaverkan och forsiktighetsmatt</t>
        </is>
      </c>
      <c r="AC723" t="inlineStr">
        <is>
          <t>Miljo-PM</t>
        </is>
      </c>
      <c r="AD723" t="inlineStr">
        <is>
          <t>Nej</t>
        </is>
      </c>
      <c r="AE723" t="inlineStr">
        <is>
          <t>Nej</t>
        </is>
      </c>
      <c r="AF723" t="inlineStr">
        <is>
          <t>Ej behandlad</t>
        </is>
      </c>
      <c r="AG723" t="inlineStr">
        <is>
          <t>AUTO_GENERERAD. Verifiera citat mot kallfil.</t>
        </is>
      </c>
      <c r="AH723" t="inlineStr">
        <is>
          <t>MEDIUM</t>
        </is>
      </c>
      <c r="AI723" t="inlineStr">
        <is>
          <t>AUTO</t>
        </is>
      </c>
      <c r="AJ723" t="inlineStr">
        <is>
          <t>Nej</t>
        </is>
      </c>
      <c r="AK723" t="inlineStr"/>
      <c r="AL723" t="inlineStr"/>
      <c r="AM723" t="inlineStr"/>
      <c r="AN723" t="inlineStr"/>
      <c r="AO723" t="inlineStr">
        <is>
          <t>cmm4yuqbf03fecuqw8hit9x13</t>
        </is>
      </c>
      <c r="AP723" t="inlineStr">
        <is>
          <t>http://localhost:8787/api/admin/requirements/documents/cmm4yuqbf03fecuqw8hit9x13/view</t>
        </is>
      </c>
      <c r="AQ723">
        <f>HYPERLÄNK("http://localhost:8787/api/admin/requirements/documents/cmm4yuqbf03fecuqw8hit9x13/view";"Öppna PDF")</f>
        <v/>
      </c>
      <c r="AR723">
        <f>HYPERLINK("http://localhost:8787/api/admin/requirements/documents/cmm4yuqbf03fecuqw8hit9x13/view","Open PDF")</f>
        <v/>
      </c>
      <c r="AS723" t="inlineStr">
        <is>
          <t>cmm55w57p0004cuisfrtpqly8</t>
        </is>
      </c>
      <c r="AT723" t="inlineStr">
        <is>
          <t>cmm4xvu980000cuh4vj0usz09</t>
        </is>
      </c>
      <c r="AU723" t="inlineStr">
        <is>
          <t>i Huddinge</t>
        </is>
      </c>
      <c r="AV723" t="inlineStr">
        <is>
          <t>Kommun</t>
        </is>
      </c>
      <c r="AW723" t="inlineStr">
        <is>
          <t>i Huddinge kommun</t>
        </is>
      </c>
      <c r="AX723" t="inlineStr">
        <is>
          <t>2025-2029</t>
        </is>
      </c>
      <c r="AY723" t="inlineStr">
        <is>
          <t>Forelaggande</t>
        </is>
      </c>
      <c r="AZ723" t="inlineStr">
        <is>
          <t>2026-02-04</t>
        </is>
      </c>
      <c r="BA723" t="inlineStr">
        <is>
          <t>M-2025-2937 Beslut om föreläggande försiktighetsmått.pdf</t>
        </is>
      </c>
      <c r="BB723" t="inlineStr">
        <is>
          <t>Sv: till registrator [2026SC9796]</t>
        </is>
      </c>
      <c r="BC723" t="inlineStr">
        <is>
          <t>AUTO</t>
        </is>
      </c>
      <c r="BD723" t="inlineStr"/>
      <c r="BE723" t="inlineStr"/>
      <c r="BF723" t="inlineStr">
        <is>
          <t>AUTO_GENERERAD. Bekrafta metadata mot kallfil.</t>
        </is>
      </c>
      <c r="BG723">
        <f>HYPERLINK("C:\Users\jimmy\Desktop\Examens arbete\Kod\Ny mapp\remix_-copy-of-miljöbeslut.se-portal\M-2025-2937 Beslut om föreläggande försiktighetsmått.pdf", "Öppna PDF")</f>
        <v/>
      </c>
    </row>
    <row r="724">
      <c r="A724" t="inlineStr">
        <is>
          <t>KRAV-AUTO-000723</t>
        </is>
      </c>
      <c r="B724" t="inlineStr">
        <is>
          <t>ADMIN-INDEX-2026-02-27-00000000125C043F57453246863FE664CAFE6A3F0700950291EA24F0614FB6ACEDB12BF0E31D00000000010C0000950291EA24F0614FB6ACEDB12BF0E31D00002087A5B20000</t>
        </is>
      </c>
      <c r="C724" t="inlineStr">
        <is>
          <t>cmm4yur3f045kcuqwd2xidy5u</t>
        </is>
      </c>
      <c r="D724" t="inlineStr">
        <is>
          <t>http://localhost:8787/api/admin/requirements/documents/cmm4yur3f045kcuqwd2xidy5u/view</t>
        </is>
      </c>
      <c r="E724">
        <f>HYPERLÄNK("http://localhost:8787/api/admin/requirements/documents/cmm4yur3f045kcuqwd2xidy5u/view";"Öppna PDF")</f>
        <v/>
      </c>
      <c r="F724">
        <f>HYPERLINK("http://localhost:8787/api/admin/requirements/documents/cmm4yur3f045kcuqwd2xidy5u/view","Open PDF")</f>
        <v/>
      </c>
      <c r="G724" t="inlineStr">
        <is>
          <t>cmm55w57p0004cuisfrtpqly8</t>
        </is>
      </c>
      <c r="H724" t="inlineStr">
        <is>
          <t>Beslutsvillkor</t>
        </is>
      </c>
      <c r="I724" t="inlineStr">
        <is>
          <t>DriftEgenkontroll</t>
        </is>
      </c>
      <c r="J724" t="inlineStr">
        <is>
          <t>Journalforing</t>
        </is>
      </c>
      <c r="K724" t="inlineStr">
        <is>
          <t>-- 1 of 1 -- 07:41 ons 4 sep Sök här Prov 3 Prov 2 Prov 1 Google Utforska Sparat Bidra 2024 Google Ankom: 2025-03-27 Ärende: MIL.2025.213 Handling: 1309761 Provtagning lärligen X Prov 4 x Prow 5</t>
        </is>
      </c>
      <c r="L724" t="inlineStr">
        <is>
          <t>-- 1 of 1 -- 07:41 ons 4 sep Sök här Prov 3 Prov 2 Prov 1 Google Utforska Sparat Bidra 2024 Google Ankom: 2025-03-27 Ärende: MIL.2025.213 Handling: 1309761 Provtagning lärligen X Prov 4 x Prow 5</t>
        </is>
      </c>
      <c r="M724" t="inlineStr">
        <is>
          <t>SKA</t>
        </is>
      </c>
      <c r="N724" t="inlineStr"/>
      <c r="O724" t="inlineStr">
        <is>
          <t>2025-03-27</t>
        </is>
      </c>
      <c r="P724" t="inlineStr">
        <is>
          <t>Arlig</t>
        </is>
      </c>
      <c r="Q724" t="inlineStr"/>
      <c r="R724" t="inlineStr">
        <is>
          <t>Lopande drift</t>
        </is>
      </c>
      <c r="S724" t="inlineStr"/>
      <c r="T724" t="inlineStr"/>
      <c r="U724" t="inlineStr"/>
      <c r="V724" t="inlineStr"/>
      <c r="W724" t="inlineStr">
        <is>
          <t>Nej</t>
        </is>
      </c>
      <c r="X724" t="inlineStr">
        <is>
          <t>Nej</t>
        </is>
      </c>
      <c r="Y724" t="inlineStr">
        <is>
          <t>Ja</t>
        </is>
      </c>
      <c r="Z724" t="inlineStr">
        <is>
          <t>Nej</t>
        </is>
      </c>
      <c r="AA724" t="n">
        <v>7</v>
      </c>
      <c r="AB724" t="inlineStr">
        <is>
          <t>Egenkontrollrutiner</t>
        </is>
      </c>
      <c r="AC724" t="inlineStr">
        <is>
          <t>Egenkontrollprogram</t>
        </is>
      </c>
      <c r="AD724" t="inlineStr">
        <is>
          <t>Nej</t>
        </is>
      </c>
      <c r="AE724" t="inlineStr">
        <is>
          <t>Nej</t>
        </is>
      </c>
      <c r="AF724" t="inlineStr">
        <is>
          <t>Ej behandlad</t>
        </is>
      </c>
      <c r="AG724" t="inlineStr">
        <is>
          <t>AUTO_GENERERAD. Verifiera citat mot kallfil.</t>
        </is>
      </c>
      <c r="AH724" t="inlineStr">
        <is>
          <t>MEDIUM</t>
        </is>
      </c>
      <c r="AI724" t="inlineStr">
        <is>
          <t>AUTO</t>
        </is>
      </c>
      <c r="AJ724" t="inlineStr">
        <is>
          <t>Nej</t>
        </is>
      </c>
      <c r="AK724" t="inlineStr"/>
      <c r="AL724" t="inlineStr"/>
      <c r="AM724" t="inlineStr"/>
      <c r="AN724" t="inlineStr"/>
      <c r="AO724" t="inlineStr">
        <is>
          <t>cmm4yur3i045ncuqwdc30ai1k</t>
        </is>
      </c>
      <c r="AP724" t="inlineStr">
        <is>
          <t>http://localhost:8787/api/admin/requirements/documents/cmm4yur3i045ncuqwdc30ai1k/view</t>
        </is>
      </c>
      <c r="AQ724">
        <f>HYPERLÄNK("http://localhost:8787/api/admin/requirements/documents/cmm4yur3i045ncuqwdc30ai1k/view";"Öppna PDF")</f>
        <v/>
      </c>
      <c r="AR724">
        <f>HYPERLINK("http://localhost:8787/api/admin/requirements/documents/cmm4yur3i045ncuqwdc30ai1k/view","Open PDF")</f>
        <v/>
      </c>
      <c r="AS724" t="inlineStr">
        <is>
          <t>cmm55w57p0004cuisfrtpqly8</t>
        </is>
      </c>
      <c r="AT724" t="inlineStr">
        <is>
          <t>cmm4xvu980000cuh4vj0usz09</t>
        </is>
      </c>
      <c r="AU724" t="inlineStr"/>
      <c r="AV724" t="inlineStr">
        <is>
          <t>Kommun</t>
        </is>
      </c>
      <c r="AW724" t="inlineStr"/>
      <c r="AX724" t="inlineStr">
        <is>
          <t>2025-04</t>
        </is>
      </c>
      <c r="AY724" t="inlineStr">
        <is>
          <t>Anmalan</t>
        </is>
      </c>
      <c r="AZ724" t="inlineStr">
        <is>
          <t>2026-02-06</t>
        </is>
      </c>
      <c r="BA724" t="inlineStr">
        <is>
          <t>Beslut - svar på anmälan.pdf</t>
        </is>
      </c>
      <c r="BB724" t="inlineStr">
        <is>
          <t>Sv: till registrator</t>
        </is>
      </c>
      <c r="BC724" t="inlineStr">
        <is>
          <t>AUTO</t>
        </is>
      </c>
      <c r="BD724" t="inlineStr"/>
      <c r="BE724" t="inlineStr"/>
      <c r="BF724" t="inlineStr">
        <is>
          <t>AUTO_GENERERAD. Bekrafta metadata mot kallfil.</t>
        </is>
      </c>
      <c r="BG724">
        <f>HYPERLINK("C:\Users\jimmy\Desktop\Examens arbete\Kod\Ny mapp\remix_-copy-of-miljöbeslut.se-portal\Beslut - svar på anmälan.pdf", "Öppna PDF")</f>
        <v/>
      </c>
    </row>
    <row r="725">
      <c r="A725" t="inlineStr">
        <is>
          <t>KRAV-AUTO-000724</t>
        </is>
      </c>
      <c r="B725" t="inlineStr">
        <is>
          <t>ADMIN-INDEX-2026-02-27-00000000125C043F57453246863FE664CAFE6A3F0700950291EA24F0614FB6ACEDB12BF0E31D00000000010C0000950291EA24F0614FB6ACEDB12BF0E31D00002087AE060000</t>
        </is>
      </c>
      <c r="C725" t="inlineStr">
        <is>
          <t>cmm4yuq9v03e5cuqw4pr4jnpp</t>
        </is>
      </c>
      <c r="D725" t="inlineStr">
        <is>
          <t>http://localhost:8787/api/admin/requirements/documents/cmm4yuq9v03e5cuqw4pr4jnpp/view</t>
        </is>
      </c>
      <c r="E725">
        <f>HYPERLÄNK("http://localhost:8787/api/admin/requirements/documents/cmm4yuq9v03e5cuqw4pr4jnpp/view";"Öppna PDF")</f>
        <v/>
      </c>
      <c r="F725">
        <f>HYPERLINK("http://localhost:8787/api/admin/requirements/documents/cmm4yuq9v03e5cuqw4pr4jnpp/view","Open PDF")</f>
        <v/>
      </c>
      <c r="G725" t="inlineStr">
        <is>
          <t>cmm55w57p0004cuisfrtpqly8</t>
        </is>
      </c>
      <c r="H725" t="inlineStr">
        <is>
          <t>Beslutsvillkor</t>
        </is>
      </c>
      <c r="I725" t="inlineStr">
        <is>
          <t>Ytkonstruktion</t>
        </is>
      </c>
      <c r="J725" t="inlineStr">
        <is>
          <t>Tat yta</t>
        </is>
      </c>
      <c r="K725" t="inlineStr">
        <is>
          <t>Syror och baser förvaras, liksom övrigt flytande farligt avfall, invallade och nederbördsskyddade eller med motsvarande skydd så att spill och läckage inte kan nå mark, grund- eller ytvatten.</t>
        </is>
      </c>
      <c r="L725" t="inlineStr">
        <is>
          <t>Syror och baser förvaras, liksom övrigt flytande farligt avfall, invallade och nederbördsskyddade eller med motsvarande skydd så att spill och läckage inte kan nå mark, grund- eller ytvatten.</t>
        </is>
      </c>
      <c r="M725" t="inlineStr">
        <is>
          <t>BOR</t>
        </is>
      </c>
      <c r="N725" t="inlineStr"/>
      <c r="O725" t="inlineStr"/>
      <c r="P725" t="inlineStr">
        <is>
          <t>Arlig</t>
        </is>
      </c>
      <c r="Q725" t="inlineStr"/>
      <c r="R725" t="inlineStr">
        <is>
          <t>Vid mellanlagring av avfall</t>
        </is>
      </c>
      <c r="S725" t="inlineStr"/>
      <c r="T725" t="inlineStr">
        <is>
          <t>556057</t>
        </is>
      </c>
      <c r="U725" t="inlineStr"/>
      <c r="V725" t="inlineStr"/>
      <c r="W725" t="inlineStr">
        <is>
          <t>Ja</t>
        </is>
      </c>
      <c r="X725" t="inlineStr">
        <is>
          <t>Nej</t>
        </is>
      </c>
      <c r="Y725" t="inlineStr">
        <is>
          <t>Nej</t>
        </is>
      </c>
      <c r="Z725" t="inlineStr">
        <is>
          <t>Nej</t>
        </is>
      </c>
      <c r="AA725" t="n">
        <v>5</v>
      </c>
      <c r="AB725" t="inlineStr">
        <is>
          <t>Teknisk beskrivning av platta</t>
        </is>
      </c>
      <c r="AC725" t="inlineStr">
        <is>
          <t>Teknisk ritning platta</t>
        </is>
      </c>
      <c r="AD725" t="inlineStr">
        <is>
          <t>Nej</t>
        </is>
      </c>
      <c r="AE725" t="inlineStr">
        <is>
          <t>Nej</t>
        </is>
      </c>
      <c r="AF725" t="inlineStr">
        <is>
          <t>Ej behandlad</t>
        </is>
      </c>
      <c r="AG725" t="inlineStr">
        <is>
          <t>AUTO_GENERERAD. Verifiera citat mot kallfil.</t>
        </is>
      </c>
      <c r="AH725" t="inlineStr">
        <is>
          <t>MEDIUM</t>
        </is>
      </c>
      <c r="AI725" t="inlineStr">
        <is>
          <t>AUTO</t>
        </is>
      </c>
      <c r="AJ725" t="inlineStr">
        <is>
          <t>Nej</t>
        </is>
      </c>
      <c r="AK725" t="inlineStr"/>
      <c r="AL725" t="inlineStr"/>
      <c r="AM725" t="inlineStr"/>
      <c r="AN725" t="inlineStr"/>
      <c r="AO725" t="inlineStr">
        <is>
          <t>cmm4yuqad03ekcuqwsjee53ix</t>
        </is>
      </c>
      <c r="AP725" t="inlineStr">
        <is>
          <t>http://localhost:8787/api/admin/requirements/documents/cmm4yuqad03ekcuqwsjee53ix/view</t>
        </is>
      </c>
      <c r="AQ725">
        <f>HYPERLÄNK("http://localhost:8787/api/admin/requirements/documents/cmm4yuqad03ekcuqwsjee53ix/view";"Öppna PDF")</f>
        <v/>
      </c>
      <c r="AR725">
        <f>HYPERLINK("http://localhost:8787/api/admin/requirements/documents/cmm4yuqad03ekcuqwsjee53ix/view","Open PDF")</f>
        <v/>
      </c>
      <c r="AS725" t="inlineStr">
        <is>
          <t>cmm55w57p0004cuisfrtpqly8</t>
        </is>
      </c>
      <c r="AT725" t="inlineStr">
        <is>
          <t>cmm4xvu980000cuh4vj0usz09</t>
        </is>
      </c>
      <c r="AU725" t="inlineStr">
        <is>
          <t>i Huddinge</t>
        </is>
      </c>
      <c r="AV725" t="inlineStr">
        <is>
          <t>Kommun</t>
        </is>
      </c>
      <c r="AW725" t="inlineStr">
        <is>
          <t>i Huddinge kommun</t>
        </is>
      </c>
      <c r="AX725" t="inlineStr">
        <is>
          <t>2025-03</t>
        </is>
      </c>
      <c r="AY725" t="inlineStr">
        <is>
          <t>Beslut</t>
        </is>
      </c>
      <c r="AZ725" t="inlineStr">
        <is>
          <t>2026-02-04</t>
        </is>
      </c>
      <c r="BA725" t="inlineStr">
        <is>
          <t>MILJ.2025.963.pdf</t>
        </is>
      </c>
      <c r="BB725" t="inlineStr">
        <is>
          <t>Sv: till registrator [2026SC9796]</t>
        </is>
      </c>
      <c r="BC725" t="inlineStr">
        <is>
          <t>AUTO</t>
        </is>
      </c>
      <c r="BD725" t="inlineStr"/>
      <c r="BE725" t="inlineStr"/>
      <c r="BF725" t="inlineStr">
        <is>
          <t>AUTO_GENERERAD. Bekrafta metadata mot kallfil.</t>
        </is>
      </c>
      <c r="BG725">
        <f>HYPERLINK("C:\Users\jimmy\Desktop\Examens arbete\Kod\Ny mapp\remix_-copy-of-miljöbeslut.se-portal\MILJ.2025.963.pdf", "Öppna PDF")</f>
        <v/>
      </c>
    </row>
    <row r="726">
      <c r="A726" t="inlineStr">
        <is>
          <t>KRAV-AUTO-000725</t>
        </is>
      </c>
      <c r="B726" t="inlineStr">
        <is>
          <t>ADMIN-INDEX-2026-02-27-00000000125C043F57453246863FE664CAFE6A3F0700950291EA24F0614FB6ACEDB12BF0E31D00000000010C0000950291EA24F0614FB6ACEDB12BF0E31D00002087AE060000</t>
        </is>
      </c>
      <c r="C726" t="inlineStr">
        <is>
          <t>cmm4yuq9v03e5cuqw4pr4jnpp</t>
        </is>
      </c>
      <c r="D726" t="inlineStr">
        <is>
          <t>http://localhost:8787/api/admin/requirements/documents/cmm4yuq9v03e5cuqw4pr4jnpp/view</t>
        </is>
      </c>
      <c r="E726">
        <f>HYPERLÄNK("http://localhost:8787/api/admin/requirements/documents/cmm4yuq9v03e5cuqw4pr4jnpp/view";"Öppna PDF")</f>
        <v/>
      </c>
      <c r="F726">
        <f>HYPERLINK("http://localhost:8787/api/admin/requirements/documents/cmm4yuq9v03e5cuqw4pr4jnpp/view","Open PDF")</f>
        <v/>
      </c>
      <c r="G726" t="inlineStr">
        <is>
          <t>cmm55w57p0004cuisfrtpqly8</t>
        </is>
      </c>
      <c r="H726" t="inlineStr">
        <is>
          <t>Beslutsvillkor</t>
        </is>
      </c>
      <c r="I726" t="inlineStr">
        <is>
          <t>Ytkonstruktion</t>
        </is>
      </c>
      <c r="J726" t="inlineStr">
        <is>
          <t>Tat yta</t>
        </is>
      </c>
      <c r="K726" t="inlineStr">
        <is>
          <t>Ragn-Sells uppskattar att cirka 100-200 ton flytande farligt avfall kommer att behandlas genom neutralisering årligen.</t>
        </is>
      </c>
      <c r="L726" t="inlineStr">
        <is>
          <t>Ragn-Sells uppskattar att cirka 100-200 ton flytande farligt avfall kommer att behandlas genom neutralisering årligen.</t>
        </is>
      </c>
      <c r="M726" t="inlineStr">
        <is>
          <t>SKA</t>
        </is>
      </c>
      <c r="N726" t="inlineStr"/>
      <c r="O726" t="inlineStr"/>
      <c r="P726" t="inlineStr">
        <is>
          <t>Arlig</t>
        </is>
      </c>
      <c r="Q726" t="inlineStr"/>
      <c r="R726" t="inlineStr">
        <is>
          <t>Vid mellanlagring av avfall</t>
        </is>
      </c>
      <c r="S726" t="inlineStr"/>
      <c r="T726" t="inlineStr">
        <is>
          <t>556057</t>
        </is>
      </c>
      <c r="U726" t="n">
        <v>200</v>
      </c>
      <c r="V726" t="inlineStr"/>
      <c r="W726" t="inlineStr">
        <is>
          <t>Ja</t>
        </is>
      </c>
      <c r="X726" t="inlineStr">
        <is>
          <t>Nej</t>
        </is>
      </c>
      <c r="Y726" t="inlineStr">
        <is>
          <t>Nej</t>
        </is>
      </c>
      <c r="Z726" t="inlineStr">
        <is>
          <t>Nej</t>
        </is>
      </c>
      <c r="AA726" t="n">
        <v>5</v>
      </c>
      <c r="AB726" t="inlineStr">
        <is>
          <t>Teknisk beskrivning av platta</t>
        </is>
      </c>
      <c r="AC726" t="inlineStr">
        <is>
          <t>Teknisk ritning platta</t>
        </is>
      </c>
      <c r="AD726" t="inlineStr">
        <is>
          <t>Nej</t>
        </is>
      </c>
      <c r="AE726" t="inlineStr">
        <is>
          <t>Nej</t>
        </is>
      </c>
      <c r="AF726" t="inlineStr">
        <is>
          <t>Ej behandlad</t>
        </is>
      </c>
      <c r="AG726" t="inlineStr">
        <is>
          <t>AUTO_GENERERAD. Verifiera citat mot kallfil.</t>
        </is>
      </c>
      <c r="AH726" t="inlineStr">
        <is>
          <t>MEDIUM</t>
        </is>
      </c>
      <c r="AI726" t="inlineStr">
        <is>
          <t>AUTO</t>
        </is>
      </c>
      <c r="AJ726" t="inlineStr">
        <is>
          <t>Nej</t>
        </is>
      </c>
      <c r="AK726" t="inlineStr"/>
      <c r="AL726" t="inlineStr"/>
      <c r="AM726" t="inlineStr"/>
      <c r="AN726" t="inlineStr"/>
      <c r="AO726" t="inlineStr">
        <is>
          <t>cmm4yuqad03ekcuqwsjee53ix</t>
        </is>
      </c>
      <c r="AP726" t="inlineStr">
        <is>
          <t>http://localhost:8787/api/admin/requirements/documents/cmm4yuqad03ekcuqwsjee53ix/view</t>
        </is>
      </c>
      <c r="AQ726">
        <f>HYPERLÄNK("http://localhost:8787/api/admin/requirements/documents/cmm4yuqad03ekcuqwsjee53ix/view";"Öppna PDF")</f>
        <v/>
      </c>
      <c r="AR726">
        <f>HYPERLINK("http://localhost:8787/api/admin/requirements/documents/cmm4yuqad03ekcuqwsjee53ix/view","Open PDF")</f>
        <v/>
      </c>
      <c r="AS726" t="inlineStr">
        <is>
          <t>cmm55w57p0004cuisfrtpqly8</t>
        </is>
      </c>
      <c r="AT726" t="inlineStr">
        <is>
          <t>cmm4xvu980000cuh4vj0usz09</t>
        </is>
      </c>
      <c r="AU726" t="inlineStr">
        <is>
          <t>i Huddinge</t>
        </is>
      </c>
      <c r="AV726" t="inlineStr">
        <is>
          <t>Kommun</t>
        </is>
      </c>
      <c r="AW726" t="inlineStr">
        <is>
          <t>i Huddinge kommun</t>
        </is>
      </c>
      <c r="AX726" t="inlineStr">
        <is>
          <t>2025-03</t>
        </is>
      </c>
      <c r="AY726" t="inlineStr">
        <is>
          <t>Beslut</t>
        </is>
      </c>
      <c r="AZ726" t="inlineStr">
        <is>
          <t>2026-02-04</t>
        </is>
      </c>
      <c r="BA726" t="inlineStr">
        <is>
          <t>MILJ.2025.963.pdf</t>
        </is>
      </c>
      <c r="BB726" t="inlineStr">
        <is>
          <t>Sv: till registrator [2026SC9796]</t>
        </is>
      </c>
      <c r="BC726" t="inlineStr">
        <is>
          <t>AUTO</t>
        </is>
      </c>
      <c r="BD726" t="inlineStr"/>
      <c r="BE726" t="inlineStr"/>
      <c r="BF726" t="inlineStr">
        <is>
          <t>AUTO_GENERERAD. Bekrafta metadata mot kallfil.</t>
        </is>
      </c>
      <c r="BG726">
        <f>HYPERLINK("C:\Users\jimmy\Desktop\Examens arbete\Kod\Ny mapp\remix_-copy-of-miljöbeslut.se-portal\MILJ.2025.963.pdf", "Öppna PDF")</f>
        <v/>
      </c>
    </row>
    <row r="727">
      <c r="A727" t="inlineStr">
        <is>
          <t>KRAV-AUTO-000726</t>
        </is>
      </c>
      <c r="B727" t="inlineStr">
        <is>
          <t>ADMIN-INDEX-2026-02-27-00000000125C043F57453246863FE664CAFE6A3F0700950291EA24F0614FB6ACEDB12BF0E31D00000000010C0000950291EA24F0614FB6ACEDB12BF0E31D00002087AE060000</t>
        </is>
      </c>
      <c r="C727" t="inlineStr">
        <is>
          <t>cmm4yuq9v03e5cuqw4pr4jnpp</t>
        </is>
      </c>
      <c r="D727" t="inlineStr">
        <is>
          <t>http://localhost:8787/api/admin/requirements/documents/cmm4yuq9v03e5cuqw4pr4jnpp/view</t>
        </is>
      </c>
      <c r="E727">
        <f>HYPERLÄNK("http://localhost:8787/api/admin/requirements/documents/cmm4yuq9v03e5cuqw4pr4jnpp/view";"Öppna PDF")</f>
        <v/>
      </c>
      <c r="F727">
        <f>HYPERLINK("http://localhost:8787/api/admin/requirements/documents/cmm4yuq9v03e5cuqw4pr4jnpp/view","Open PDF")</f>
        <v/>
      </c>
      <c r="G727" t="inlineStr">
        <is>
          <t>cmm55w57p0004cuisfrtpqly8</t>
        </is>
      </c>
      <c r="H727" t="inlineStr">
        <is>
          <t>Beslutsvillkor</t>
        </is>
      </c>
      <c r="I727" t="inlineStr">
        <is>
          <t>MiljopaverkanForsiktighet</t>
        </is>
      </c>
      <c r="J727" t="inlineStr">
        <is>
          <t>Skyddsatgarder</t>
        </is>
      </c>
      <c r="K727" t="inlineStr">
        <is>
          <t>Det neutraliserade farliga avfallet kommer sedimentera i behållarna och den neutrala vätskan pumpas över till en ny behållare.</t>
        </is>
      </c>
      <c r="L727" t="inlineStr">
        <is>
          <t>Det neutraliserade farliga avfallet kommer sedimentera i behållarna och den neutrala vätskan pumpas över till en ny behållare.</t>
        </is>
      </c>
      <c r="M727" t="inlineStr">
        <is>
          <t>SKA</t>
        </is>
      </c>
      <c r="N727" t="inlineStr"/>
      <c r="O727" t="inlineStr"/>
      <c r="P727" t="inlineStr">
        <is>
          <t>Arlig</t>
        </is>
      </c>
      <c r="Q727" t="inlineStr"/>
      <c r="R727" t="inlineStr">
        <is>
          <t>Alltid</t>
        </is>
      </c>
      <c r="S727" t="inlineStr"/>
      <c r="T727" t="inlineStr">
        <is>
          <t>556057</t>
        </is>
      </c>
      <c r="U727" t="inlineStr"/>
      <c r="V727" t="inlineStr"/>
      <c r="W727" t="inlineStr">
        <is>
          <t>Nej</t>
        </is>
      </c>
      <c r="X727" t="inlineStr">
        <is>
          <t>Nej</t>
        </is>
      </c>
      <c r="Y727" t="inlineStr">
        <is>
          <t>Nej</t>
        </is>
      </c>
      <c r="Z727" t="inlineStr">
        <is>
          <t>Nej</t>
        </is>
      </c>
      <c r="AA727" t="n">
        <v>10</v>
      </c>
      <c r="AB727" t="inlineStr">
        <is>
          <t>Miljopaverkan och forsiktighetsmatt</t>
        </is>
      </c>
      <c r="AC727" t="inlineStr">
        <is>
          <t>Miljo-PM</t>
        </is>
      </c>
      <c r="AD727" t="inlineStr">
        <is>
          <t>Nej</t>
        </is>
      </c>
      <c r="AE727" t="inlineStr">
        <is>
          <t>Nej</t>
        </is>
      </c>
      <c r="AF727" t="inlineStr">
        <is>
          <t>Ej behandlad</t>
        </is>
      </c>
      <c r="AG727" t="inlineStr">
        <is>
          <t>AUTO_GENERERAD. Verifiera citat mot kallfil.</t>
        </is>
      </c>
      <c r="AH727" t="inlineStr">
        <is>
          <t>MEDIUM</t>
        </is>
      </c>
      <c r="AI727" t="inlineStr">
        <is>
          <t>AUTO</t>
        </is>
      </c>
      <c r="AJ727" t="inlineStr">
        <is>
          <t>Nej</t>
        </is>
      </c>
      <c r="AK727" t="inlineStr"/>
      <c r="AL727" t="inlineStr"/>
      <c r="AM727" t="inlineStr"/>
      <c r="AN727" t="inlineStr"/>
      <c r="AO727" t="inlineStr">
        <is>
          <t>cmm4yuqad03ekcuqwsjee53ix</t>
        </is>
      </c>
      <c r="AP727" t="inlineStr">
        <is>
          <t>http://localhost:8787/api/admin/requirements/documents/cmm4yuqad03ekcuqwsjee53ix/view</t>
        </is>
      </c>
      <c r="AQ727">
        <f>HYPERLÄNK("http://localhost:8787/api/admin/requirements/documents/cmm4yuqad03ekcuqwsjee53ix/view";"Öppna PDF")</f>
        <v/>
      </c>
      <c r="AR727">
        <f>HYPERLINK("http://localhost:8787/api/admin/requirements/documents/cmm4yuqad03ekcuqwsjee53ix/view","Open PDF")</f>
        <v/>
      </c>
      <c r="AS727" t="inlineStr">
        <is>
          <t>cmm55w57p0004cuisfrtpqly8</t>
        </is>
      </c>
      <c r="AT727" t="inlineStr">
        <is>
          <t>cmm4xvu980000cuh4vj0usz09</t>
        </is>
      </c>
      <c r="AU727" t="inlineStr">
        <is>
          <t>i Huddinge</t>
        </is>
      </c>
      <c r="AV727" t="inlineStr">
        <is>
          <t>Kommun</t>
        </is>
      </c>
      <c r="AW727" t="inlineStr">
        <is>
          <t>i Huddinge kommun</t>
        </is>
      </c>
      <c r="AX727" t="inlineStr">
        <is>
          <t>2025-03</t>
        </is>
      </c>
      <c r="AY727" t="inlineStr">
        <is>
          <t>Beslut</t>
        </is>
      </c>
      <c r="AZ727" t="inlineStr">
        <is>
          <t>2026-02-04</t>
        </is>
      </c>
      <c r="BA727" t="inlineStr">
        <is>
          <t>MILJ.2025.963.pdf</t>
        </is>
      </c>
      <c r="BB727" t="inlineStr">
        <is>
          <t>Sv: till registrator [2026SC9796]</t>
        </is>
      </c>
      <c r="BC727" t="inlineStr">
        <is>
          <t>AUTO</t>
        </is>
      </c>
      <c r="BD727" t="inlineStr"/>
      <c r="BE727" t="inlineStr"/>
      <c r="BF727" t="inlineStr">
        <is>
          <t>AUTO_GENERERAD. Bekrafta metadata mot kallfil.</t>
        </is>
      </c>
      <c r="BG727">
        <f>HYPERLINK("C:\Users\jimmy\Desktop\Examens arbete\Kod\Ny mapp\remix_-copy-of-miljöbeslut.se-portal\MILJ.2025.963.pdf", "Öppna PDF")</f>
        <v/>
      </c>
    </row>
    <row r="728">
      <c r="A728" t="inlineStr">
        <is>
          <t>KRAV-AUTO-000727</t>
        </is>
      </c>
      <c r="B728" t="inlineStr">
        <is>
          <t>ADMIN-INDEX-2026-02-27-00000000125C043F57453246863FE664CAFE6A3F0700950291EA24F0614FB6ACEDB12BF0E31D00000000010C0000950291EA24F0614FB6ACEDB12BF0E31D00002087A5B40000</t>
        </is>
      </c>
      <c r="C728" t="inlineStr">
        <is>
          <t>cmm4yur2t0452cuqw92ikw9lo</t>
        </is>
      </c>
      <c r="D728" t="inlineStr">
        <is>
          <t>http://localhost:8787/api/admin/requirements/documents/cmm4yur2t0452cuqw92ikw9lo/view</t>
        </is>
      </c>
      <c r="E728">
        <f>HYPERLÄNK("http://localhost:8787/api/admin/requirements/documents/cmm4yur2t0452cuqw92ikw9lo/view";"Öppna PDF")</f>
        <v/>
      </c>
      <c r="F728">
        <f>HYPERLINK("http://localhost:8787/api/admin/requirements/documents/cmm4yur2t0452cuqw92ikw9lo/view","Open PDF")</f>
        <v/>
      </c>
      <c r="G728" t="inlineStr">
        <is>
          <t>cmm55w57p0004cuisfrtpqly8</t>
        </is>
      </c>
      <c r="H728" t="inlineStr">
        <is>
          <t>Beslutsvillkor</t>
        </is>
      </c>
      <c r="I728" t="inlineStr">
        <is>
          <t>DagvattenLakvatten</t>
        </is>
      </c>
      <c r="J728" t="inlineStr">
        <is>
          <t>Uppsamling</t>
        </is>
      </c>
      <c r="K728" t="inlineStr">
        <is>
          <t>Underskrift ee | Datum och sökandens underskrift" | \wrers LETA “il AGUS Oa | Beskrivning av luftfloden, utslappspunkter, uppskattade luftfororeningsmangder | Beskrivning av processer där spillvatten förekommer.</t>
        </is>
      </c>
      <c r="L728" t="inlineStr">
        <is>
          <t>Underskrift ee | Datum och sökandens underskrift" | \wrers LETA “il AGUS Oa | Beskrivning av luftfloden, utslappspunkter, uppskattade luftfororeningsmangder | Beskrivning av processer där spillvatten förekommer.</t>
        </is>
      </c>
      <c r="M728" t="inlineStr">
        <is>
          <t>SKA</t>
        </is>
      </c>
      <c r="N728" t="inlineStr"/>
      <c r="O728" t="inlineStr"/>
      <c r="P728" t="inlineStr"/>
      <c r="Q728" t="inlineStr"/>
      <c r="R728" t="inlineStr">
        <is>
          <t>Vid nederbord och avrinning</t>
        </is>
      </c>
      <c r="S728" t="inlineStr"/>
      <c r="T728" t="inlineStr">
        <is>
          <t>815006</t>
        </is>
      </c>
      <c r="U728" t="inlineStr"/>
      <c r="V728" t="inlineStr"/>
      <c r="W728" t="inlineStr">
        <is>
          <t>Nej</t>
        </is>
      </c>
      <c r="X728" t="inlineStr">
        <is>
          <t>Ja</t>
        </is>
      </c>
      <c r="Y728" t="inlineStr">
        <is>
          <t>Ja</t>
        </is>
      </c>
      <c r="Z728" t="inlineStr">
        <is>
          <t>Nej</t>
        </is>
      </c>
      <c r="AA728" t="n">
        <v>6</v>
      </c>
      <c r="AB728" t="inlineStr">
        <is>
          <t>Lakvattenhantering</t>
        </is>
      </c>
      <c r="AC728" t="inlineStr">
        <is>
          <t>Flodesschema dagvatten-lakvatten</t>
        </is>
      </c>
      <c r="AD728" t="inlineStr">
        <is>
          <t>Nej</t>
        </is>
      </c>
      <c r="AE728" t="inlineStr">
        <is>
          <t>Nej</t>
        </is>
      </c>
      <c r="AF728" t="inlineStr">
        <is>
          <t>Ej behandlad</t>
        </is>
      </c>
      <c r="AG728" t="inlineStr">
        <is>
          <t>AUTO_GENERERAD. Verifiera citat mot kallfil.</t>
        </is>
      </c>
      <c r="AH728" t="inlineStr">
        <is>
          <t>MEDIUM</t>
        </is>
      </c>
      <c r="AI728" t="inlineStr">
        <is>
          <t>AUTO</t>
        </is>
      </c>
      <c r="AJ728" t="inlineStr">
        <is>
          <t>Nej</t>
        </is>
      </c>
      <c r="AK728" t="inlineStr"/>
      <c r="AL728" t="inlineStr"/>
      <c r="AM728" t="inlineStr"/>
      <c r="AN728" t="inlineStr"/>
      <c r="AO728" t="inlineStr">
        <is>
          <t>cmm4yur1z044ecuqwtn36cfk3</t>
        </is>
      </c>
      <c r="AP728" t="inlineStr">
        <is>
          <t>http://localhost:8787/api/admin/requirements/documents/cmm4yur1z044ecuqwtn36cfk3/view</t>
        </is>
      </c>
      <c r="AQ728">
        <f>HYPERLÄNK("http://localhost:8787/api/admin/requirements/documents/cmm4yur1z044ecuqwtn36cfk3/view";"Öppna PDF")</f>
        <v/>
      </c>
      <c r="AR728">
        <f>HYPERLINK("http://localhost:8787/api/admin/requirements/documents/cmm4yur1z044ecuqwtn36cfk3/view","Open PDF")</f>
        <v/>
      </c>
      <c r="AS728" t="inlineStr">
        <is>
          <t>cmm55w57p0004cuisfrtpqly8</t>
        </is>
      </c>
      <c r="AT728" t="inlineStr">
        <is>
          <t>cmm4xvu980000cuh4vj0usz09</t>
        </is>
      </c>
      <c r="AU728" t="inlineStr">
        <is>
          <t>i Pajala</t>
        </is>
      </c>
      <c r="AV728" t="inlineStr">
        <is>
          <t>Kommun</t>
        </is>
      </c>
      <c r="AW728" t="inlineStr">
        <is>
          <t>i Pajala kommun</t>
        </is>
      </c>
      <c r="AX728" t="inlineStr">
        <is>
          <t>2013:251</t>
        </is>
      </c>
      <c r="AY728" t="inlineStr">
        <is>
          <t>Beslut</t>
        </is>
      </c>
      <c r="AZ728" t="inlineStr">
        <is>
          <t>2026-02-06</t>
        </is>
      </c>
      <c r="BA728" t="inlineStr">
        <is>
          <t>M-2024-109Beslut om bifall med villkor(29439417).pdf</t>
        </is>
      </c>
      <c r="BB728" t="inlineStr">
        <is>
          <t>Sv: till registrator</t>
        </is>
      </c>
      <c r="BC728" t="inlineStr">
        <is>
          <t>AUTO</t>
        </is>
      </c>
      <c r="BD728" t="inlineStr"/>
      <c r="BE728" t="inlineStr"/>
      <c r="BF728" t="inlineStr">
        <is>
          <t>AUTO_GENERERAD. Bekrafta metadata mot kallfil.</t>
        </is>
      </c>
      <c r="BG728">
        <f>HYPERLINK("C:\Users\jimmy\Desktop\Examens arbete\Kod\Ny mapp\remix_-copy-of-miljöbeslut.se-portal\M-2024-109Beslut om bifall med villkor(29439417).pdf", "Öppna PDF")</f>
        <v/>
      </c>
    </row>
    <row r="729">
      <c r="A729" t="inlineStr">
        <is>
          <t>KRAV-AUTO-000728</t>
        </is>
      </c>
      <c r="B729" t="inlineStr">
        <is>
          <t>ADMIN-INDEX-2026-02-27-00000000125C043F57453246863FE664CAFE6A3F0700950291EA24F0614FB6ACEDB12BF0E31D00000000010C0000950291EA24F0614FB6ACEDB12BF0E31D00002087A5B40000</t>
        </is>
      </c>
      <c r="C729" t="inlineStr">
        <is>
          <t>cmm4yur2t0452cuqw92ikw9lo</t>
        </is>
      </c>
      <c r="D729" t="inlineStr">
        <is>
          <t>http://localhost:8787/api/admin/requirements/documents/cmm4yur2t0452cuqw92ikw9lo/view</t>
        </is>
      </c>
      <c r="E729">
        <f>HYPERLÄNK("http://localhost:8787/api/admin/requirements/documents/cmm4yur2t0452cuqw92ikw9lo/view";"Öppna PDF")</f>
        <v/>
      </c>
      <c r="F729">
        <f>HYPERLINK("http://localhost:8787/api/admin/requirements/documents/cmm4yur2t0452cuqw92ikw9lo/view","Open PDF")</f>
        <v/>
      </c>
      <c r="G729" t="inlineStr">
        <is>
          <t>cmm55w57p0004cuisfrtpqly8</t>
        </is>
      </c>
      <c r="H729" t="inlineStr">
        <is>
          <t>Beslutsvillkor</t>
        </is>
      </c>
      <c r="I729" t="inlineStr">
        <is>
          <t>DagvattenLakvatten</t>
        </is>
      </c>
      <c r="J729" t="inlineStr">
        <is>
          <t>Uppsamling</t>
        </is>
      </c>
      <c r="K729" t="inlineStr">
        <is>
          <t>kök m.m.) Ange flöden, utsläppspunkter och uppskattade vattenföroreningsmängder (kan bifogas sombilaga) Är verksamheten ansluten till egen anläggning?” Ja X Nej Avger verksamheten luftutsläpp?" Ja Ts Nej Ange luftfléden.</t>
        </is>
      </c>
      <c r="L729" t="inlineStr">
        <is>
          <t>kök m.m.) Ange flöden, utsläppspunkter och uppskattade vattenföroreningsmängder (kan bifogas sombilaga) Är verksamheten ansluten till egen anläggning?” Ja X Nej Avger verksamheten luftutsläpp?" Ja Ts Nej Ange luftfléden.</t>
        </is>
      </c>
      <c r="M729" t="inlineStr">
        <is>
          <t>SKA</t>
        </is>
      </c>
      <c r="N729" t="inlineStr"/>
      <c r="O729" t="inlineStr"/>
      <c r="P729" t="inlineStr"/>
      <c r="Q729" t="inlineStr"/>
      <c r="R729" t="inlineStr">
        <is>
          <t>Vid nederbord och avrinning</t>
        </is>
      </c>
      <c r="S729" t="inlineStr"/>
      <c r="T729" t="inlineStr">
        <is>
          <t>815006</t>
        </is>
      </c>
      <c r="U729" t="inlineStr"/>
      <c r="V729" t="inlineStr"/>
      <c r="W729" t="inlineStr">
        <is>
          <t>Nej</t>
        </is>
      </c>
      <c r="X729" t="inlineStr">
        <is>
          <t>Ja</t>
        </is>
      </c>
      <c r="Y729" t="inlineStr">
        <is>
          <t>Ja</t>
        </is>
      </c>
      <c r="Z729" t="inlineStr">
        <is>
          <t>Nej</t>
        </is>
      </c>
      <c r="AA729" t="n">
        <v>6</v>
      </c>
      <c r="AB729" t="inlineStr">
        <is>
          <t>Lakvattenhantering</t>
        </is>
      </c>
      <c r="AC729" t="inlineStr">
        <is>
          <t>Flodesschema dagvatten-lakvatten</t>
        </is>
      </c>
      <c r="AD729" t="inlineStr">
        <is>
          <t>Nej</t>
        </is>
      </c>
      <c r="AE729" t="inlineStr">
        <is>
          <t>Nej</t>
        </is>
      </c>
      <c r="AF729" t="inlineStr">
        <is>
          <t>Ej behandlad</t>
        </is>
      </c>
      <c r="AG729" t="inlineStr">
        <is>
          <t>AUTO_GENERERAD. Verifiera citat mot kallfil.</t>
        </is>
      </c>
      <c r="AH729" t="inlineStr">
        <is>
          <t>MEDIUM</t>
        </is>
      </c>
      <c r="AI729" t="inlineStr">
        <is>
          <t>AUTO</t>
        </is>
      </c>
      <c r="AJ729" t="inlineStr">
        <is>
          <t>Nej</t>
        </is>
      </c>
      <c r="AK729" t="inlineStr"/>
      <c r="AL729" t="inlineStr"/>
      <c r="AM729" t="inlineStr"/>
      <c r="AN729" t="inlineStr"/>
      <c r="AO729" t="inlineStr">
        <is>
          <t>cmm4yur1z044ecuqwtn36cfk3</t>
        </is>
      </c>
      <c r="AP729" t="inlineStr">
        <is>
          <t>http://localhost:8787/api/admin/requirements/documents/cmm4yur1z044ecuqwtn36cfk3/view</t>
        </is>
      </c>
      <c r="AQ729">
        <f>HYPERLÄNK("http://localhost:8787/api/admin/requirements/documents/cmm4yur1z044ecuqwtn36cfk3/view";"Öppna PDF")</f>
        <v/>
      </c>
      <c r="AR729">
        <f>HYPERLINK("http://localhost:8787/api/admin/requirements/documents/cmm4yur1z044ecuqwtn36cfk3/view","Open PDF")</f>
        <v/>
      </c>
      <c r="AS729" t="inlineStr">
        <is>
          <t>cmm55w57p0004cuisfrtpqly8</t>
        </is>
      </c>
      <c r="AT729" t="inlineStr">
        <is>
          <t>cmm4xvu980000cuh4vj0usz09</t>
        </is>
      </c>
      <c r="AU729" t="inlineStr">
        <is>
          <t>i Pajala</t>
        </is>
      </c>
      <c r="AV729" t="inlineStr">
        <is>
          <t>Kommun</t>
        </is>
      </c>
      <c r="AW729" t="inlineStr">
        <is>
          <t>i Pajala kommun</t>
        </is>
      </c>
      <c r="AX729" t="inlineStr">
        <is>
          <t>2013:251</t>
        </is>
      </c>
      <c r="AY729" t="inlineStr">
        <is>
          <t>Beslut</t>
        </is>
      </c>
      <c r="AZ729" t="inlineStr">
        <is>
          <t>2026-02-06</t>
        </is>
      </c>
      <c r="BA729" t="inlineStr">
        <is>
          <t>M-2024-109Beslut om bifall med villkor(29439417).pdf</t>
        </is>
      </c>
      <c r="BB729" t="inlineStr">
        <is>
          <t>Sv: till registrator</t>
        </is>
      </c>
      <c r="BC729" t="inlineStr">
        <is>
          <t>AUTO</t>
        </is>
      </c>
      <c r="BD729" t="inlineStr"/>
      <c r="BE729" t="inlineStr"/>
      <c r="BF729" t="inlineStr">
        <is>
          <t>AUTO_GENERERAD. Bekrafta metadata mot kallfil.</t>
        </is>
      </c>
      <c r="BG729">
        <f>HYPERLINK("C:\Users\jimmy\Desktop\Examens arbete\Kod\Ny mapp\remix_-copy-of-miljöbeslut.se-portal\M-2024-109Beslut om bifall med villkor(29439417).pdf", "Öppna PDF")</f>
        <v/>
      </c>
    </row>
    <row r="730">
      <c r="A730" t="inlineStr">
        <is>
          <t>KRAV-AUTO-000729</t>
        </is>
      </c>
      <c r="B730" t="inlineStr">
        <is>
          <t>ADMIN-INDEX-2026-02-27-00000000125C043F57453246863FE664CAFE6A3F0700950291EA24F0614FB6ACEDB12BF0E31D00000000010C0000950291EA24F0614FB6ACEDB12BF0E31D00002087AE070000</t>
        </is>
      </c>
      <c r="C730" t="inlineStr">
        <is>
          <t>cmm4yuq9d03dncuqwwomqoxjw</t>
        </is>
      </c>
      <c r="D730" t="inlineStr">
        <is>
          <t>http://localhost:8787/api/admin/requirements/documents/cmm4yuq9d03dncuqwwomqoxjw/view</t>
        </is>
      </c>
      <c r="E730">
        <f>HYPERLÄNK("http://localhost:8787/api/admin/requirements/documents/cmm4yuq9d03dncuqwwomqoxjw/view";"Öppna PDF")</f>
        <v/>
      </c>
      <c r="F730">
        <f>HYPERLINK("http://localhost:8787/api/admin/requirements/documents/cmm4yuq9d03dncuqwwomqoxjw/view","Open PDF")</f>
        <v/>
      </c>
      <c r="G730" t="inlineStr">
        <is>
          <t>cmm55w57p0004cuisfrtpqly8</t>
        </is>
      </c>
      <c r="H730" t="inlineStr">
        <is>
          <t>Beslutsvillkor</t>
        </is>
      </c>
      <c r="I730" t="inlineStr">
        <is>
          <t>MiljopaverkanForsiktighet</t>
        </is>
      </c>
      <c r="J730" t="inlineStr">
        <is>
          <t>Skyddsatgarder</t>
        </is>
      </c>
      <c r="K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730" t="inlineStr">
        <is>
          <t>SKA</t>
        </is>
      </c>
      <c r="N730" t="inlineStr"/>
      <c r="O730" t="inlineStr"/>
      <c r="P730" t="inlineStr"/>
      <c r="Q730" t="inlineStr"/>
      <c r="R730" t="inlineStr">
        <is>
          <t>Alltid</t>
        </is>
      </c>
      <c r="S730" t="inlineStr"/>
      <c r="T730" t="inlineStr">
        <is>
          <t>2025 11</t>
        </is>
      </c>
      <c r="U730" t="inlineStr"/>
      <c r="V730" t="inlineStr"/>
      <c r="W730" t="inlineStr">
        <is>
          <t>Nej</t>
        </is>
      </c>
      <c r="X730" t="inlineStr">
        <is>
          <t>Nej</t>
        </is>
      </c>
      <c r="Y730" t="inlineStr">
        <is>
          <t>Nej</t>
        </is>
      </c>
      <c r="Z730" t="inlineStr">
        <is>
          <t>Nej</t>
        </is>
      </c>
      <c r="AA730" t="n">
        <v>10</v>
      </c>
      <c r="AB730" t="inlineStr">
        <is>
          <t>Miljopaverkan och forsiktighetsmatt</t>
        </is>
      </c>
      <c r="AC730" t="inlineStr">
        <is>
          <t>Miljo-PM</t>
        </is>
      </c>
      <c r="AD730" t="inlineStr">
        <is>
          <t>Nej</t>
        </is>
      </c>
      <c r="AE730" t="inlineStr">
        <is>
          <t>Nej</t>
        </is>
      </c>
      <c r="AF730" t="inlineStr">
        <is>
          <t>Ej behandlad</t>
        </is>
      </c>
      <c r="AG730" t="inlineStr">
        <is>
          <t>AUTO_GENERERAD. Verifiera citat mot kallfil.</t>
        </is>
      </c>
      <c r="AH730" t="inlineStr">
        <is>
          <t>MEDIUM</t>
        </is>
      </c>
      <c r="AI730" t="inlineStr">
        <is>
          <t>AUTO</t>
        </is>
      </c>
      <c r="AJ730" t="inlineStr">
        <is>
          <t>Nej</t>
        </is>
      </c>
      <c r="AK730" t="inlineStr"/>
      <c r="AL730" t="inlineStr"/>
      <c r="AM730" t="inlineStr"/>
      <c r="AN730" t="inlineStr"/>
      <c r="AO730" t="inlineStr">
        <is>
          <t>cmm4yuq9d03dncuqwwomqoxjw</t>
        </is>
      </c>
      <c r="AP730" t="inlineStr">
        <is>
          <t>http://localhost:8787/api/admin/requirements/documents/cmm4yuq9d03dncuqwwomqoxjw/view</t>
        </is>
      </c>
      <c r="AQ730">
        <f>HYPERLÄNK("http://localhost:8787/api/admin/requirements/documents/cmm4yuq9d03dncuqwwomqoxjw/view";"Öppna PDF")</f>
        <v/>
      </c>
      <c r="AR730">
        <f>HYPERLINK("http://localhost:8787/api/admin/requirements/documents/cmm4yuq9d03dncuqwwomqoxjw/view","Open PDF")</f>
        <v/>
      </c>
      <c r="AS730" t="inlineStr">
        <is>
          <t>cmm55w57p0004cuisfrtpqly8</t>
        </is>
      </c>
      <c r="AT730" t="inlineStr">
        <is>
          <t>cmm4xvu980000cuh4vj0usz09</t>
        </is>
      </c>
      <c r="AU730" t="inlineStr"/>
      <c r="AV730" t="inlineStr">
        <is>
          <t>Kommun</t>
        </is>
      </c>
      <c r="AW730" t="inlineStr"/>
      <c r="AX730" t="inlineStr">
        <is>
          <t>2025-07</t>
        </is>
      </c>
      <c r="AY730" t="inlineStr">
        <is>
          <t>Beslut</t>
        </is>
      </c>
      <c r="AZ730" t="inlineStr">
        <is>
          <t>2026-02-04</t>
        </is>
      </c>
      <c r="BA730" t="inlineStr">
        <is>
          <t>MN-2025-421-Sv_ Fyllnadsmassor Arvidsjaur 5_14.pdf</t>
        </is>
      </c>
      <c r="BB730" t="inlineStr">
        <is>
          <t>Sv: till registrator</t>
        </is>
      </c>
      <c r="BC730" t="inlineStr">
        <is>
          <t>AUTO</t>
        </is>
      </c>
      <c r="BD730" t="inlineStr"/>
      <c r="BE730" t="inlineStr"/>
      <c r="BF730" t="inlineStr">
        <is>
          <t>AUTO_GENERERAD. Bekrafta metadata mot kallfil.</t>
        </is>
      </c>
      <c r="BG730">
        <f>HYPERLINK("C:\Users\jimmy\Desktop\Examens arbete\Kod\Ny mapp\remix_-copy-of-miljöbeslut.se-portal\MN-2025-421-Sv_ Fyllnadsmassor Arvidsjaur 5_14.pdf", "Öppna PDF")</f>
        <v/>
      </c>
    </row>
    <row r="731">
      <c r="A731" t="inlineStr">
        <is>
          <t>KRAV-AUTO-000730</t>
        </is>
      </c>
      <c r="B731" t="inlineStr">
        <is>
          <t>ADMIN-INDEX-2026-02-27-00000000125C043F57453246863FE664CAFE6A3F0700950291EA24F0614FB6ACEDB12BF0E31D00000000010C0000950291EA24F0614FB6ACEDB12BF0E31D00002087AE070000</t>
        </is>
      </c>
      <c r="C731" t="inlineStr">
        <is>
          <t>cmm4yuq9d03dncuqwwomqoxjw</t>
        </is>
      </c>
      <c r="D731" t="inlineStr">
        <is>
          <t>http://localhost:8787/api/admin/requirements/documents/cmm4yuq9d03dncuqwwomqoxjw/view</t>
        </is>
      </c>
      <c r="E731">
        <f>HYPERLÄNK("http://localhost:8787/api/admin/requirements/documents/cmm4yuq9d03dncuqwwomqoxjw/view";"Öppna PDF")</f>
        <v/>
      </c>
      <c r="F731">
        <f>HYPERLINK("http://localhost:8787/api/admin/requirements/documents/cmm4yuq9d03dncuqwwomqoxjw/view","Open PDF")</f>
        <v/>
      </c>
      <c r="G731" t="inlineStr">
        <is>
          <t>cmm55w57p0004cuisfrtpqly8</t>
        </is>
      </c>
      <c r="H731" t="inlineStr">
        <is>
          <t>Beslutsvillkor</t>
        </is>
      </c>
      <c r="I731" t="inlineStr">
        <is>
          <t>LagringsvolymTid</t>
        </is>
      </c>
      <c r="J731" t="inlineStr">
        <is>
          <t>Maxmangd</t>
        </is>
      </c>
      <c r="K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731" t="inlineStr">
        <is>
          <t>SKA</t>
        </is>
      </c>
      <c r="N731" t="inlineStr"/>
      <c r="O731" t="inlineStr"/>
      <c r="P731" t="inlineStr"/>
      <c r="Q731" t="inlineStr"/>
      <c r="R731" t="inlineStr">
        <is>
          <t>Alltid</t>
        </is>
      </c>
      <c r="S731" t="inlineStr"/>
      <c r="T731" t="inlineStr">
        <is>
          <t>2025 16</t>
        </is>
      </c>
      <c r="U731" t="inlineStr"/>
      <c r="V731" t="inlineStr"/>
      <c r="W731" t="inlineStr">
        <is>
          <t>Nej</t>
        </is>
      </c>
      <c r="X731" t="inlineStr">
        <is>
          <t>Nej</t>
        </is>
      </c>
      <c r="Y731" t="inlineStr">
        <is>
          <t>Nej</t>
        </is>
      </c>
      <c r="Z731" t="inlineStr">
        <is>
          <t>Nej</t>
        </is>
      </c>
      <c r="AA731" t="n">
        <v>4</v>
      </c>
      <c r="AB731" t="inlineStr">
        <is>
          <t>Avfallsmangder och lagringstid</t>
        </is>
      </c>
      <c r="AC731" t="inlineStr">
        <is>
          <t>Avfallsforteckning</t>
        </is>
      </c>
      <c r="AD731" t="inlineStr">
        <is>
          <t>Nej</t>
        </is>
      </c>
      <c r="AE731" t="inlineStr">
        <is>
          <t>Nej</t>
        </is>
      </c>
      <c r="AF731" t="inlineStr">
        <is>
          <t>Ej behandlad</t>
        </is>
      </c>
      <c r="AG731" t="inlineStr">
        <is>
          <t>AUTO_GENERERAD. Verifiera citat mot kallfil.</t>
        </is>
      </c>
      <c r="AH731" t="inlineStr">
        <is>
          <t>MEDIUM</t>
        </is>
      </c>
      <c r="AI731" t="inlineStr">
        <is>
          <t>AUTO</t>
        </is>
      </c>
      <c r="AJ731" t="inlineStr">
        <is>
          <t>Nej</t>
        </is>
      </c>
      <c r="AK731" t="inlineStr"/>
      <c r="AL731" t="inlineStr"/>
      <c r="AM731" t="inlineStr"/>
      <c r="AN731" t="inlineStr"/>
      <c r="AO731" t="inlineStr">
        <is>
          <t>cmm4yuq9d03dncuqwwomqoxjw</t>
        </is>
      </c>
      <c r="AP731" t="inlineStr">
        <is>
          <t>http://localhost:8787/api/admin/requirements/documents/cmm4yuq9d03dncuqwwomqoxjw/view</t>
        </is>
      </c>
      <c r="AQ731">
        <f>HYPERLÄNK("http://localhost:8787/api/admin/requirements/documents/cmm4yuq9d03dncuqwwomqoxjw/view";"Öppna PDF")</f>
        <v/>
      </c>
      <c r="AR731">
        <f>HYPERLINK("http://localhost:8787/api/admin/requirements/documents/cmm4yuq9d03dncuqwwomqoxjw/view","Open PDF")</f>
        <v/>
      </c>
      <c r="AS731" t="inlineStr">
        <is>
          <t>cmm55w57p0004cuisfrtpqly8</t>
        </is>
      </c>
      <c r="AT731" t="inlineStr">
        <is>
          <t>cmm4xvu980000cuh4vj0usz09</t>
        </is>
      </c>
      <c r="AU731" t="inlineStr"/>
      <c r="AV731" t="inlineStr">
        <is>
          <t>Kommun</t>
        </is>
      </c>
      <c r="AW731" t="inlineStr"/>
      <c r="AX731" t="inlineStr">
        <is>
          <t>2025-07</t>
        </is>
      </c>
      <c r="AY731" t="inlineStr">
        <is>
          <t>Beslut</t>
        </is>
      </c>
      <c r="AZ731" t="inlineStr">
        <is>
          <t>2026-02-04</t>
        </is>
      </c>
      <c r="BA731" t="inlineStr">
        <is>
          <t>MN-2025-421-Sv_ Fyllnadsmassor Arvidsjaur 5_14.pdf</t>
        </is>
      </c>
      <c r="BB731" t="inlineStr">
        <is>
          <t>Sv: till registrator</t>
        </is>
      </c>
      <c r="BC731" t="inlineStr">
        <is>
          <t>AUTO</t>
        </is>
      </c>
      <c r="BD731" t="inlineStr"/>
      <c r="BE731" t="inlineStr"/>
      <c r="BF731" t="inlineStr">
        <is>
          <t>AUTO_GENERERAD. Bekrafta metadata mot kallfil.</t>
        </is>
      </c>
      <c r="BG731">
        <f>HYPERLINK("C:\Users\jimmy\Desktop\Examens arbete\Kod\Ny mapp\remix_-copy-of-miljöbeslut.se-portal\MN-2025-421-Sv_ Fyllnadsmassor Arvidsjaur 5_14.pdf", "Öppna PDF")</f>
        <v/>
      </c>
    </row>
    <row r="732">
      <c r="A732" t="inlineStr">
        <is>
          <t>KRAV-AUTO-000731</t>
        </is>
      </c>
      <c r="B732" t="inlineStr">
        <is>
          <t>ADMIN-INDEX-2026-02-27-00000000125C043F57453246863FE664CAFE6A3F0700950291EA24F0614FB6ACEDB12BF0E31D00000000010C0000950291EA24F0614FB6ACEDB12BF0E31D00002087AE070000</t>
        </is>
      </c>
      <c r="C732" t="inlineStr">
        <is>
          <t>cmm4yuq8y03d8cuqwq094njtx</t>
        </is>
      </c>
      <c r="D732" t="inlineStr">
        <is>
          <t>http://localhost:8787/api/admin/requirements/documents/cmm4yuq8y03d8cuqwq094njtx/view</t>
        </is>
      </c>
      <c r="E732">
        <f>HYPERLÄNK("http://localhost:8787/api/admin/requirements/documents/cmm4yuq8y03d8cuqwq094njtx/view";"Öppna PDF")</f>
        <v/>
      </c>
      <c r="F732">
        <f>HYPERLINK("http://localhost:8787/api/admin/requirements/documents/cmm4yuq8y03d8cuqwq094njtx/view","Open PDF")</f>
        <v/>
      </c>
      <c r="G732" t="inlineStr">
        <is>
          <t>cmm55w57p0004cuisfrtpqly8</t>
        </is>
      </c>
      <c r="H732" t="inlineStr">
        <is>
          <t>Beslutsvillkor</t>
        </is>
      </c>
      <c r="I732" t="inlineStr">
        <is>
          <t>DagvattenLakvatten</t>
        </is>
      </c>
      <c r="J732" t="inlineStr">
        <is>
          <t>Uppsamling</t>
        </is>
      </c>
      <c r="K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732" t="inlineStr">
        <is>
          <t>SKA</t>
        </is>
      </c>
      <c r="N732" t="inlineStr">
        <is>
          <t>FMH</t>
        </is>
      </c>
      <c r="O732" t="inlineStr"/>
      <c r="P732" t="inlineStr">
        <is>
          <t>Arlig</t>
        </is>
      </c>
      <c r="Q732" t="inlineStr"/>
      <c r="R732" t="inlineStr">
        <is>
          <t>Vid nederbord och avrinning</t>
        </is>
      </c>
      <c r="S732" t="inlineStr"/>
      <c r="T732" t="inlineStr">
        <is>
          <t>25 2024</t>
        </is>
      </c>
      <c r="U732" t="inlineStr"/>
      <c r="V732" t="inlineStr"/>
      <c r="W732" t="inlineStr">
        <is>
          <t>Nej</t>
        </is>
      </c>
      <c r="X732" t="inlineStr">
        <is>
          <t>Ja</t>
        </is>
      </c>
      <c r="Y732" t="inlineStr">
        <is>
          <t>Ja</t>
        </is>
      </c>
      <c r="Z732" t="inlineStr">
        <is>
          <t>Nej</t>
        </is>
      </c>
      <c r="AA732" t="n">
        <v>6</v>
      </c>
      <c r="AB732" t="inlineStr">
        <is>
          <t>Lakvattenhantering</t>
        </is>
      </c>
      <c r="AC732" t="inlineStr">
        <is>
          <t>Flodesschema dagvatten-lakvatten</t>
        </is>
      </c>
      <c r="AD732" t="inlineStr">
        <is>
          <t>Nej</t>
        </is>
      </c>
      <c r="AE732" t="inlineStr">
        <is>
          <t>Nej</t>
        </is>
      </c>
      <c r="AF732" t="inlineStr">
        <is>
          <t>Ej behandlad</t>
        </is>
      </c>
      <c r="AG732" t="inlineStr">
        <is>
          <t>AUTO_GENERERAD. Verifiera citat mot kallfil.</t>
        </is>
      </c>
      <c r="AH732" t="inlineStr">
        <is>
          <t>HIGH</t>
        </is>
      </c>
      <c r="AI732" t="inlineStr">
        <is>
          <t>AUTO</t>
        </is>
      </c>
      <c r="AJ732" t="inlineStr">
        <is>
          <t>Nej</t>
        </is>
      </c>
      <c r="AK732" t="inlineStr"/>
      <c r="AL732" t="inlineStr"/>
      <c r="AM732" t="inlineStr"/>
      <c r="AN732" t="inlineStr"/>
      <c r="AO732" t="inlineStr">
        <is>
          <t>cmm4yuq9d03dncuqwwomqoxjw</t>
        </is>
      </c>
      <c r="AP732" t="inlineStr">
        <is>
          <t>http://localhost:8787/api/admin/requirements/documents/cmm4yuq9d03dncuqwwomqoxjw/view</t>
        </is>
      </c>
      <c r="AQ732">
        <f>HYPERLÄNK("http://localhost:8787/api/admin/requirements/documents/cmm4yuq9d03dncuqwwomqoxjw/view";"Öppna PDF")</f>
        <v/>
      </c>
      <c r="AR732">
        <f>HYPERLINK("http://localhost:8787/api/admin/requirements/documents/cmm4yuq9d03dncuqwwomqoxjw/view","Open PDF")</f>
        <v/>
      </c>
      <c r="AS732" t="inlineStr">
        <is>
          <t>cmm55w57p0004cuisfrtpqly8</t>
        </is>
      </c>
      <c r="AT732" t="inlineStr">
        <is>
          <t>cmm4xvu980000cuh4vj0usz09</t>
        </is>
      </c>
      <c r="AU732" t="inlineStr"/>
      <c r="AV732" t="inlineStr">
        <is>
          <t>Kommun</t>
        </is>
      </c>
      <c r="AW732" t="inlineStr"/>
      <c r="AX732" t="inlineStr">
        <is>
          <t>2025-07</t>
        </is>
      </c>
      <c r="AY732" t="inlineStr">
        <is>
          <t>Beslut</t>
        </is>
      </c>
      <c r="AZ732" t="inlineStr">
        <is>
          <t>2026-02-04</t>
        </is>
      </c>
      <c r="BA732" t="inlineStr">
        <is>
          <t>MN-2025-421-Sv_ Fyllnadsmassor Arvidsjaur 5_14.pdf</t>
        </is>
      </c>
      <c r="BB732" t="inlineStr">
        <is>
          <t>Sv: till registrator</t>
        </is>
      </c>
      <c r="BC732" t="inlineStr">
        <is>
          <t>AUTO</t>
        </is>
      </c>
      <c r="BD732" t="inlineStr"/>
      <c r="BE732" t="inlineStr"/>
      <c r="BF732" t="inlineStr">
        <is>
          <t>AUTO_GENERERAD. Bekrafta metadata mot kallfil.</t>
        </is>
      </c>
      <c r="BG732">
        <f>HYPERLINK("C:\Users\jimmy\Desktop\Examens arbete\Kod\Ny mapp\remix_-copy-of-miljöbeslut.se-portal\MN-2025-421-Sv_ Fyllnadsmassor Arvidsjaur 5_14.pdf", "Öppna PDF")</f>
        <v/>
      </c>
    </row>
    <row r="733">
      <c r="A733" t="inlineStr">
        <is>
          <t>KRAV-AUTO-000732</t>
        </is>
      </c>
      <c r="B733" t="inlineStr">
        <is>
          <t>ADMIN-INDEX-2026-02-27-00000000125C043F57453246863FE664CAFE6A3F0700950291EA24F0614FB6ACEDB12BF0E31D00000000010C0000950291EA24F0614FB6ACEDB12BF0E31D00002087AE070000</t>
        </is>
      </c>
      <c r="C733" t="inlineStr">
        <is>
          <t>cmm4yuq8y03d8cuqwq094njtx</t>
        </is>
      </c>
      <c r="D733" t="inlineStr">
        <is>
          <t>http://localhost:8787/api/admin/requirements/documents/cmm4yuq8y03d8cuqwq094njtx/view</t>
        </is>
      </c>
      <c r="E733">
        <f>HYPERLÄNK("http://localhost:8787/api/admin/requirements/documents/cmm4yuq8y03d8cuqwq094njtx/view";"Öppna PDF")</f>
        <v/>
      </c>
      <c r="F733">
        <f>HYPERLINK("http://localhost:8787/api/admin/requirements/documents/cmm4yuq8y03d8cuqwq094njtx/view","Open PDF")</f>
        <v/>
      </c>
      <c r="G733" t="inlineStr">
        <is>
          <t>cmm55w57p0004cuisfrtpqly8</t>
        </is>
      </c>
      <c r="H733" t="inlineStr">
        <is>
          <t>Beslutsvillkor</t>
        </is>
      </c>
      <c r="I733" t="inlineStr">
        <is>
          <t>MiljopaverkanForsiktighet</t>
        </is>
      </c>
      <c r="J733" t="inlineStr">
        <is>
          <t>Skyddsatgarder</t>
        </is>
      </c>
      <c r="K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733" t="inlineStr">
        <is>
          <t>INFO</t>
        </is>
      </c>
      <c r="N733" t="inlineStr">
        <is>
          <t>Miljobalken, FMH</t>
        </is>
      </c>
      <c r="O733" t="inlineStr"/>
      <c r="P733" t="inlineStr">
        <is>
          <t>Arlig</t>
        </is>
      </c>
      <c r="Q733" t="inlineStr">
        <is>
          <t>Forelaggande vid brist</t>
        </is>
      </c>
      <c r="R733" t="inlineStr">
        <is>
          <t>Alltid</t>
        </is>
      </c>
      <c r="S733" t="inlineStr"/>
      <c r="T733" t="inlineStr">
        <is>
          <t>550501</t>
        </is>
      </c>
      <c r="U733" t="inlineStr"/>
      <c r="V733" t="inlineStr"/>
      <c r="W733" t="inlineStr">
        <is>
          <t>Nej</t>
        </is>
      </c>
      <c r="X733" t="inlineStr">
        <is>
          <t>Nej</t>
        </is>
      </c>
      <c r="Y733" t="inlineStr">
        <is>
          <t>Nej</t>
        </is>
      </c>
      <c r="Z733" t="inlineStr">
        <is>
          <t>Nej</t>
        </is>
      </c>
      <c r="AA733" t="n">
        <v>10</v>
      </c>
      <c r="AB733" t="inlineStr">
        <is>
          <t>Miljopaverkan och forsiktighetsmatt</t>
        </is>
      </c>
      <c r="AC733" t="inlineStr">
        <is>
          <t>Miljo-PM</t>
        </is>
      </c>
      <c r="AD733" t="inlineStr">
        <is>
          <t>Nej</t>
        </is>
      </c>
      <c r="AE733" t="inlineStr">
        <is>
          <t>Nej</t>
        </is>
      </c>
      <c r="AF733" t="inlineStr">
        <is>
          <t>Ej behandlad</t>
        </is>
      </c>
      <c r="AG733" t="inlineStr">
        <is>
          <t>AUTO_GENERERAD. Verifiera citat mot kallfil.</t>
        </is>
      </c>
      <c r="AH733" t="inlineStr">
        <is>
          <t>HIGH</t>
        </is>
      </c>
      <c r="AI733" t="inlineStr">
        <is>
          <t>AUTO</t>
        </is>
      </c>
      <c r="AJ733" t="inlineStr">
        <is>
          <t>Nej</t>
        </is>
      </c>
      <c r="AK733" t="inlineStr"/>
      <c r="AL733" t="inlineStr"/>
      <c r="AM733" t="inlineStr"/>
      <c r="AN733" t="inlineStr"/>
      <c r="AO733" t="inlineStr">
        <is>
          <t>cmm4yuq9d03dncuqwwomqoxjw</t>
        </is>
      </c>
      <c r="AP733" t="inlineStr">
        <is>
          <t>http://localhost:8787/api/admin/requirements/documents/cmm4yuq9d03dncuqwwomqoxjw/view</t>
        </is>
      </c>
      <c r="AQ733">
        <f>HYPERLÄNK("http://localhost:8787/api/admin/requirements/documents/cmm4yuq9d03dncuqwwomqoxjw/view";"Öppna PDF")</f>
        <v/>
      </c>
      <c r="AR733">
        <f>HYPERLINK("http://localhost:8787/api/admin/requirements/documents/cmm4yuq9d03dncuqwwomqoxjw/view","Open PDF")</f>
        <v/>
      </c>
      <c r="AS733" t="inlineStr">
        <is>
          <t>cmm55w57p0004cuisfrtpqly8</t>
        </is>
      </c>
      <c r="AT733" t="inlineStr">
        <is>
          <t>cmm4xvu980000cuh4vj0usz09</t>
        </is>
      </c>
      <c r="AU733" t="inlineStr"/>
      <c r="AV733" t="inlineStr">
        <is>
          <t>Kommun</t>
        </is>
      </c>
      <c r="AW733" t="inlineStr"/>
      <c r="AX733" t="inlineStr">
        <is>
          <t>2025-07</t>
        </is>
      </c>
      <c r="AY733" t="inlineStr">
        <is>
          <t>Beslut</t>
        </is>
      </c>
      <c r="AZ733" t="inlineStr">
        <is>
          <t>2026-02-04</t>
        </is>
      </c>
      <c r="BA733" t="inlineStr">
        <is>
          <t>MN-2025-421-Sv_ Fyllnadsmassor Arvidsjaur 5_14.pdf</t>
        </is>
      </c>
      <c r="BB733" t="inlineStr">
        <is>
          <t>Sv: till registrator</t>
        </is>
      </c>
      <c r="BC733" t="inlineStr">
        <is>
          <t>AUTO</t>
        </is>
      </c>
      <c r="BD733" t="inlineStr"/>
      <c r="BE733" t="inlineStr"/>
      <c r="BF733" t="inlineStr">
        <is>
          <t>AUTO_GENERERAD. Bekrafta metadata mot kallfil.</t>
        </is>
      </c>
      <c r="BG733">
        <f>HYPERLINK("C:\Users\jimmy\Desktop\Examens arbete\Kod\Ny mapp\remix_-copy-of-miljöbeslut.se-portal\MN-2025-421-Sv_ Fyllnadsmassor Arvidsjaur 5_14.pdf", "Öppna PDF")</f>
        <v/>
      </c>
    </row>
    <row r="734">
      <c r="A734" t="inlineStr">
        <is>
          <t>KRAV-AUTO-000733</t>
        </is>
      </c>
      <c r="B734" t="inlineStr">
        <is>
          <t>ADMIN-INDEX-2026-02-27-00000000125C043F57453246863FE664CAFE6A3F0700950291EA24F0614FB6ACEDB12BF0E31D00000000010C0000950291EA24F0614FB6ACEDB12BF0E31D00002087AE070000</t>
        </is>
      </c>
      <c r="C734" t="inlineStr">
        <is>
          <t>cmm4yuq8v03d5cuqwmv8ldybu</t>
        </is>
      </c>
      <c r="D734" t="inlineStr">
        <is>
          <t>http://localhost:8787/api/admin/requirements/documents/cmm4yuq8v03d5cuqwmv8ldybu/view</t>
        </is>
      </c>
      <c r="E734">
        <f>HYPERLÄNK("http://localhost:8787/api/admin/requirements/documents/cmm4yuq8v03d5cuqwmv8ldybu/view";"Öppna PDF")</f>
        <v/>
      </c>
      <c r="F734">
        <f>HYPERLINK("http://localhost:8787/api/admin/requirements/documents/cmm4yuq8v03d5cuqwmv8ldybu/view","Open PDF")</f>
        <v/>
      </c>
      <c r="G734" t="inlineStr">
        <is>
          <t>cmm55w57p0004cuisfrtpqly8</t>
        </is>
      </c>
      <c r="H734" t="inlineStr">
        <is>
          <t>Beslutsvillkor</t>
        </is>
      </c>
      <c r="I734" t="inlineStr">
        <is>
          <t>DagvattenLakvatten</t>
        </is>
      </c>
      <c r="J734" t="inlineStr">
        <is>
          <t>Uppsamling</t>
        </is>
      </c>
      <c r="K734" t="inlineStr">
        <is>
          <t>Bifogas ej Beskrivning av luftflöden, utsläppspunkter, uppskattade luftföroreningsmängder Du kan välja att ladda upp dokumentet här eller skicka in det per post.</t>
        </is>
      </c>
      <c r="L734" t="inlineStr">
        <is>
          <t>Bifogas ej Beskrivning av luftflöden, utsläppspunkter, uppskattade luftföroreningsmängder Du kan välja att ladda upp dokumentet här eller skicka in det per post.</t>
        </is>
      </c>
      <c r="M734" t="inlineStr">
        <is>
          <t>SKA</t>
        </is>
      </c>
      <c r="N734" t="inlineStr"/>
      <c r="O734" t="inlineStr"/>
      <c r="P734" t="inlineStr"/>
      <c r="Q734" t="inlineStr"/>
      <c r="R734" t="inlineStr">
        <is>
          <t>Vid nederbord och avrinning</t>
        </is>
      </c>
      <c r="S734" t="inlineStr"/>
      <c r="T734" t="inlineStr"/>
      <c r="U734" t="inlineStr"/>
      <c r="V734" t="inlineStr"/>
      <c r="W734" t="inlineStr">
        <is>
          <t>Nej</t>
        </is>
      </c>
      <c r="X734" t="inlineStr">
        <is>
          <t>Ja</t>
        </is>
      </c>
      <c r="Y734" t="inlineStr">
        <is>
          <t>Ja</t>
        </is>
      </c>
      <c r="Z734" t="inlineStr">
        <is>
          <t>Nej</t>
        </is>
      </c>
      <c r="AA734" t="n">
        <v>6</v>
      </c>
      <c r="AB734" t="inlineStr">
        <is>
          <t>Lakvattenhantering</t>
        </is>
      </c>
      <c r="AC734" t="inlineStr">
        <is>
          <t>Flodesschema dagvatten-lakvatten</t>
        </is>
      </c>
      <c r="AD734" t="inlineStr">
        <is>
          <t>Nej</t>
        </is>
      </c>
      <c r="AE734" t="inlineStr">
        <is>
          <t>Nej</t>
        </is>
      </c>
      <c r="AF734" t="inlineStr">
        <is>
          <t>Ej behandlad</t>
        </is>
      </c>
      <c r="AG734" t="inlineStr">
        <is>
          <t>AUTO_GENERERAD. Verifiera citat mot kallfil.</t>
        </is>
      </c>
      <c r="AH734" t="inlineStr">
        <is>
          <t>MEDIUM</t>
        </is>
      </c>
      <c r="AI734" t="inlineStr">
        <is>
          <t>AUTO</t>
        </is>
      </c>
      <c r="AJ734" t="inlineStr">
        <is>
          <t>Nej</t>
        </is>
      </c>
      <c r="AK734" t="inlineStr"/>
      <c r="AL734" t="inlineStr"/>
      <c r="AM734" t="inlineStr"/>
      <c r="AN734" t="inlineStr"/>
      <c r="AO734" t="inlineStr">
        <is>
          <t>cmm4yuq9d03dncuqwwomqoxjw</t>
        </is>
      </c>
      <c r="AP734" t="inlineStr">
        <is>
          <t>http://localhost:8787/api/admin/requirements/documents/cmm4yuq9d03dncuqwwomqoxjw/view</t>
        </is>
      </c>
      <c r="AQ734">
        <f>HYPERLÄNK("http://localhost:8787/api/admin/requirements/documents/cmm4yuq9d03dncuqwwomqoxjw/view";"Öppna PDF")</f>
        <v/>
      </c>
      <c r="AR734">
        <f>HYPERLINK("http://localhost:8787/api/admin/requirements/documents/cmm4yuq9d03dncuqwwomqoxjw/view","Open PDF")</f>
        <v/>
      </c>
      <c r="AS734" t="inlineStr">
        <is>
          <t>cmm55w57p0004cuisfrtpqly8</t>
        </is>
      </c>
      <c r="AT734" t="inlineStr">
        <is>
          <t>cmm4xvu980000cuh4vj0usz09</t>
        </is>
      </c>
      <c r="AU734" t="inlineStr"/>
      <c r="AV734" t="inlineStr">
        <is>
          <t>Kommun</t>
        </is>
      </c>
      <c r="AW734" t="inlineStr"/>
      <c r="AX734" t="inlineStr">
        <is>
          <t>2025-07</t>
        </is>
      </c>
      <c r="AY734" t="inlineStr">
        <is>
          <t>Beslut</t>
        </is>
      </c>
      <c r="AZ734" t="inlineStr">
        <is>
          <t>2026-02-04</t>
        </is>
      </c>
      <c r="BA734" t="inlineStr">
        <is>
          <t>MN-2025-421-Sv_ Fyllnadsmassor Arvidsjaur 5_14.pdf</t>
        </is>
      </c>
      <c r="BB734" t="inlineStr">
        <is>
          <t>Sv: till registrator</t>
        </is>
      </c>
      <c r="BC734" t="inlineStr">
        <is>
          <t>AUTO</t>
        </is>
      </c>
      <c r="BD734" t="inlineStr"/>
      <c r="BE734" t="inlineStr"/>
      <c r="BF734" t="inlineStr">
        <is>
          <t>AUTO_GENERERAD. Bekrafta metadata mot kallfil.</t>
        </is>
      </c>
      <c r="BG734">
        <f>HYPERLINK("C:\Users\jimmy\Desktop\Examens arbete\Kod\Ny mapp\remix_-copy-of-miljöbeslut.se-portal\MN-2025-421-Sv_ Fyllnadsmassor Arvidsjaur 5_14.pdf", "Öppna PDF")</f>
        <v/>
      </c>
    </row>
    <row r="735">
      <c r="A735" t="inlineStr">
        <is>
          <t>KRAV-AUTO-000734</t>
        </is>
      </c>
      <c r="B735" t="inlineStr">
        <is>
          <t>ADMIN-INDEX-2026-02-27-00000000125C043F57453246863FE664CAFE6A3F0700950291EA24F0614FB6ACEDB12BF0E31D00000000010C0000950291EA24F0614FB6ACEDB12BF0E31D00002087AE070000</t>
        </is>
      </c>
      <c r="C735" t="inlineStr">
        <is>
          <t>cmm4yuq8t03d2cuqwjyjrslet</t>
        </is>
      </c>
      <c r="D735" t="inlineStr">
        <is>
          <t>http://localhost:8787/api/admin/requirements/documents/cmm4yuq8t03d2cuqwjyjrslet/view</t>
        </is>
      </c>
      <c r="E735">
        <f>HYPERLÄNK("http://localhost:8787/api/admin/requirements/documents/cmm4yuq8t03d2cuqwjyjrslet/view";"Öppna PDF")</f>
        <v/>
      </c>
      <c r="F735">
        <f>HYPERLINK("http://localhost:8787/api/admin/requirements/documents/cmm4yuq8t03d2cuqwjyjrslet/view","Open PDF")</f>
        <v/>
      </c>
      <c r="G735" t="inlineStr">
        <is>
          <t>cmm55w57p0004cuisfrtpqly8</t>
        </is>
      </c>
      <c r="H735" t="inlineStr">
        <is>
          <t>Beslutsvillkor</t>
        </is>
      </c>
      <c r="I735" t="inlineStr">
        <is>
          <t>Riskhantering</t>
        </is>
      </c>
      <c r="J735" t="inlineStr">
        <is>
          <t>Riskkontroll</t>
        </is>
      </c>
      <c r="K735" t="inlineStr">
        <is>
          <t>Certifiering krävs inte heller för sorteringen innan ingrepp har gjorts beträffande de elektriska eller elektroniska delarna, eller behandling som sker efter att ämnen, komponenter m.m.</t>
        </is>
      </c>
      <c r="L735" t="inlineStr">
        <is>
          <t>Certifiering krävs inte heller för sorteringen innan ingrepp har gjorts beträffande de elektriska eller elektroniska delarna, eller behandling som sker efter att ämnen, komponenter m.m.</t>
        </is>
      </c>
      <c r="M735" t="inlineStr">
        <is>
          <t>SKA</t>
        </is>
      </c>
      <c r="N735" t="inlineStr"/>
      <c r="O735" t="inlineStr"/>
      <c r="P735" t="inlineStr"/>
      <c r="Q735" t="inlineStr"/>
      <c r="R735" t="inlineStr">
        <is>
          <t>Vid risk for incident</t>
        </is>
      </c>
      <c r="S735" t="inlineStr"/>
      <c r="T735" t="inlineStr">
        <is>
          <t>559508</t>
        </is>
      </c>
      <c r="U735" t="inlineStr"/>
      <c r="V735" t="inlineStr"/>
      <c r="W735" t="inlineStr">
        <is>
          <t>Nej</t>
        </is>
      </c>
      <c r="X735" t="inlineStr">
        <is>
          <t>Nej</t>
        </is>
      </c>
      <c r="Y735" t="inlineStr">
        <is>
          <t>Ja</t>
        </is>
      </c>
      <c r="Z735" t="inlineStr">
        <is>
          <t>Ja</t>
        </is>
      </c>
      <c r="AA735" t="n">
        <v>8</v>
      </c>
      <c r="AB735" t="inlineStr">
        <is>
          <t>Riskhantering</t>
        </is>
      </c>
      <c r="AC735" t="inlineStr">
        <is>
          <t>Risk-PM</t>
        </is>
      </c>
      <c r="AD735" t="inlineStr">
        <is>
          <t>Nej</t>
        </is>
      </c>
      <c r="AE735" t="inlineStr">
        <is>
          <t>Nej</t>
        </is>
      </c>
      <c r="AF735" t="inlineStr">
        <is>
          <t>Ej behandlad</t>
        </is>
      </c>
      <c r="AG735" t="inlineStr">
        <is>
          <t>AUTO_GENERERAD. Verifiera citat mot kallfil.</t>
        </is>
      </c>
      <c r="AH735" t="inlineStr">
        <is>
          <t>MEDIUM</t>
        </is>
      </c>
      <c r="AI735" t="inlineStr">
        <is>
          <t>AUTO</t>
        </is>
      </c>
      <c r="AJ735" t="inlineStr">
        <is>
          <t>Nej</t>
        </is>
      </c>
      <c r="AK735" t="inlineStr"/>
      <c r="AL735" t="inlineStr"/>
      <c r="AM735" t="inlineStr"/>
      <c r="AN735" t="inlineStr"/>
      <c r="AO735" t="inlineStr">
        <is>
          <t>cmm4yuq9d03dncuqwwomqoxjw</t>
        </is>
      </c>
      <c r="AP735" t="inlineStr">
        <is>
          <t>http://localhost:8787/api/admin/requirements/documents/cmm4yuq9d03dncuqwwomqoxjw/view</t>
        </is>
      </c>
      <c r="AQ735">
        <f>HYPERLÄNK("http://localhost:8787/api/admin/requirements/documents/cmm4yuq9d03dncuqwwomqoxjw/view";"Öppna PDF")</f>
        <v/>
      </c>
      <c r="AR735">
        <f>HYPERLINK("http://localhost:8787/api/admin/requirements/documents/cmm4yuq9d03dncuqwwomqoxjw/view","Open PDF")</f>
        <v/>
      </c>
      <c r="AS735" t="inlineStr">
        <is>
          <t>cmm55w57p0004cuisfrtpqly8</t>
        </is>
      </c>
      <c r="AT735" t="inlineStr">
        <is>
          <t>cmm4xvu980000cuh4vj0usz09</t>
        </is>
      </c>
      <c r="AU735" t="inlineStr"/>
      <c r="AV735" t="inlineStr">
        <is>
          <t>Kommun</t>
        </is>
      </c>
      <c r="AW735" t="inlineStr"/>
      <c r="AX735" t="inlineStr">
        <is>
          <t>2025-07</t>
        </is>
      </c>
      <c r="AY735" t="inlineStr">
        <is>
          <t>Beslut</t>
        </is>
      </c>
      <c r="AZ735" t="inlineStr">
        <is>
          <t>2026-02-04</t>
        </is>
      </c>
      <c r="BA735" t="inlineStr">
        <is>
          <t>MN-2025-421-Sv_ Fyllnadsmassor Arvidsjaur 5_14.pdf</t>
        </is>
      </c>
      <c r="BB735" t="inlineStr">
        <is>
          <t>Sv: till registrator</t>
        </is>
      </c>
      <c r="BC735" t="inlineStr">
        <is>
          <t>AUTO</t>
        </is>
      </c>
      <c r="BD735" t="inlineStr"/>
      <c r="BE735" t="inlineStr"/>
      <c r="BF735" t="inlineStr">
        <is>
          <t>AUTO_GENERERAD. Bekrafta metadata mot kallfil.</t>
        </is>
      </c>
      <c r="BG735">
        <f>HYPERLINK("C:\Users\jimmy\Desktop\Examens arbete\Kod\Ny mapp\remix_-copy-of-miljöbeslut.se-portal\MN-2025-421-Sv_ Fyllnadsmassor Arvidsjaur 5_14.pdf", "Öppna PDF")</f>
        <v/>
      </c>
    </row>
    <row r="736">
      <c r="A736" t="inlineStr">
        <is>
          <t>KRAV-AUTO-000735</t>
        </is>
      </c>
      <c r="B736" t="inlineStr">
        <is>
          <t>ADMIN-INDEX-2026-02-27-00000000125C043F57453246863FE664CAFE6A3F0700950291EA24F0614FB6ACEDB12BF0E31D00000000010C0000950291EA24F0614FB6ACEDB12BF0E31D00002087AE070000</t>
        </is>
      </c>
      <c r="C736" t="inlineStr">
        <is>
          <t>cmm4yuq8t03d2cuqwjyjrslet</t>
        </is>
      </c>
      <c r="D736" t="inlineStr">
        <is>
          <t>http://localhost:8787/api/admin/requirements/documents/cmm4yuq8t03d2cuqwjyjrslet/view</t>
        </is>
      </c>
      <c r="E736">
        <f>HYPERLÄNK("http://localhost:8787/api/admin/requirements/documents/cmm4yuq8t03d2cuqwjyjrslet/view";"Öppna PDF")</f>
        <v/>
      </c>
      <c r="F736">
        <f>HYPERLINK("http://localhost:8787/api/admin/requirements/documents/cmm4yuq8t03d2cuqwjyjrslet/view","Open PDF")</f>
        <v/>
      </c>
      <c r="G736" t="inlineStr">
        <is>
          <t>cmm55w57p0004cuisfrtpqly8</t>
        </is>
      </c>
      <c r="H736" t="inlineStr">
        <is>
          <t>Beslutsvillkor</t>
        </is>
      </c>
      <c r="I736" t="inlineStr">
        <is>
          <t>MiljopaverkanForsiktighet</t>
        </is>
      </c>
      <c r="J736" t="inlineStr">
        <is>
          <t>Skyddsatgarder</t>
        </is>
      </c>
      <c r="K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t>
        </is>
      </c>
      <c r="M736" t="inlineStr">
        <is>
          <t>SKA</t>
        </is>
      </c>
      <c r="N736" t="inlineStr">
        <is>
          <t>Miljobalken, FMH</t>
        </is>
      </c>
      <c r="O736" t="inlineStr"/>
      <c r="P736" t="inlineStr">
        <is>
          <t>Arlig</t>
        </is>
      </c>
      <c r="Q736" t="inlineStr">
        <is>
          <t>Forelaggande vid brist</t>
        </is>
      </c>
      <c r="R736" t="inlineStr">
        <is>
          <t>Alltid</t>
        </is>
      </c>
      <c r="S736" t="inlineStr"/>
      <c r="T736" t="inlineStr">
        <is>
          <t>559508</t>
        </is>
      </c>
      <c r="U736" t="inlineStr"/>
      <c r="V736" t="inlineStr"/>
      <c r="W736" t="inlineStr">
        <is>
          <t>Nej</t>
        </is>
      </c>
      <c r="X736" t="inlineStr">
        <is>
          <t>Nej</t>
        </is>
      </c>
      <c r="Y736" t="inlineStr">
        <is>
          <t>Nej</t>
        </is>
      </c>
      <c r="Z736" t="inlineStr">
        <is>
          <t>Nej</t>
        </is>
      </c>
      <c r="AA736" t="n">
        <v>10</v>
      </c>
      <c r="AB736" t="inlineStr">
        <is>
          <t>Miljopaverkan och forsiktighetsmatt</t>
        </is>
      </c>
      <c r="AC736" t="inlineStr">
        <is>
          <t>Miljo-PM</t>
        </is>
      </c>
      <c r="AD736" t="inlineStr">
        <is>
          <t>Nej</t>
        </is>
      </c>
      <c r="AE736" t="inlineStr">
        <is>
          <t>Nej</t>
        </is>
      </c>
      <c r="AF736" t="inlineStr">
        <is>
          <t>Ej behandlad</t>
        </is>
      </c>
      <c r="AG736" t="inlineStr">
        <is>
          <t>AUTO_GENERERAD. Verifiera citat mot kallfil.</t>
        </is>
      </c>
      <c r="AH736" t="inlineStr">
        <is>
          <t>HIGH</t>
        </is>
      </c>
      <c r="AI736" t="inlineStr">
        <is>
          <t>AUTO</t>
        </is>
      </c>
      <c r="AJ736" t="inlineStr">
        <is>
          <t>Nej</t>
        </is>
      </c>
      <c r="AK736" t="inlineStr"/>
      <c r="AL736" t="inlineStr"/>
      <c r="AM736" t="inlineStr"/>
      <c r="AN736" t="inlineStr"/>
      <c r="AO736" t="inlineStr">
        <is>
          <t>cmm4yuq9d03dncuqwwomqoxjw</t>
        </is>
      </c>
      <c r="AP736" t="inlineStr">
        <is>
          <t>http://localhost:8787/api/admin/requirements/documents/cmm4yuq9d03dncuqwwomqoxjw/view</t>
        </is>
      </c>
      <c r="AQ736">
        <f>HYPERLÄNK("http://localhost:8787/api/admin/requirements/documents/cmm4yuq9d03dncuqwwomqoxjw/view";"Öppna PDF")</f>
        <v/>
      </c>
      <c r="AR736">
        <f>HYPERLINK("http://localhost:8787/api/admin/requirements/documents/cmm4yuq9d03dncuqwwomqoxjw/view","Open PDF")</f>
        <v/>
      </c>
      <c r="AS736" t="inlineStr">
        <is>
          <t>cmm55w57p0004cuisfrtpqly8</t>
        </is>
      </c>
      <c r="AT736" t="inlineStr">
        <is>
          <t>cmm4xvu980000cuh4vj0usz09</t>
        </is>
      </c>
      <c r="AU736" t="inlineStr"/>
      <c r="AV736" t="inlineStr">
        <is>
          <t>Kommun</t>
        </is>
      </c>
      <c r="AW736" t="inlineStr"/>
      <c r="AX736" t="inlineStr">
        <is>
          <t>2025-07</t>
        </is>
      </c>
      <c r="AY736" t="inlineStr">
        <is>
          <t>Beslut</t>
        </is>
      </c>
      <c r="AZ736" t="inlineStr">
        <is>
          <t>2026-02-04</t>
        </is>
      </c>
      <c r="BA736" t="inlineStr">
        <is>
          <t>MN-2025-421-Sv_ Fyllnadsmassor Arvidsjaur 5_14.pdf</t>
        </is>
      </c>
      <c r="BB736" t="inlineStr">
        <is>
          <t>Sv: till registrator</t>
        </is>
      </c>
      <c r="BC736" t="inlineStr">
        <is>
          <t>AUTO</t>
        </is>
      </c>
      <c r="BD736" t="inlineStr"/>
      <c r="BE736" t="inlineStr"/>
      <c r="BF736" t="inlineStr">
        <is>
          <t>AUTO_GENERERAD. Bekrafta metadata mot kallfil.</t>
        </is>
      </c>
      <c r="BG736">
        <f>HYPERLINK("C:\Users\jimmy\Desktop\Examens arbete\Kod\Ny mapp\remix_-copy-of-miljöbeslut.se-portal\MN-2025-421-Sv_ Fyllnadsmassor Arvidsjaur 5_14.pdf", "Öppna PDF")</f>
        <v/>
      </c>
    </row>
    <row r="737">
      <c r="A737" t="inlineStr">
        <is>
          <t>KRAV-AUTO-000736</t>
        </is>
      </c>
      <c r="B737" t="inlineStr">
        <is>
          <t>ADMIN-INDEX-2026-02-27-00000000125C043F57453246863FE664CAFE6A3F0700950291EA24F0614FB6ACEDB12BF0E31D00000000010C0000950291EA24F0614FB6ACEDB12BF0E31D00002087AE070000</t>
        </is>
      </c>
      <c r="C737" t="inlineStr">
        <is>
          <t>cmm4yuq8t03d2cuqwjyjrslet</t>
        </is>
      </c>
      <c r="D737" t="inlineStr">
        <is>
          <t>http://localhost:8787/api/admin/requirements/documents/cmm4yuq8t03d2cuqwjyjrslet/view</t>
        </is>
      </c>
      <c r="E737">
        <f>HYPERLÄNK("http://localhost:8787/api/admin/requirements/documents/cmm4yuq8t03d2cuqwjyjrslet/view";"Öppna PDF")</f>
        <v/>
      </c>
      <c r="F737">
        <f>HYPERLINK("http://localhost:8787/api/admin/requirements/documents/cmm4yuq8t03d2cuqwjyjrslet/view","Open PDF")</f>
        <v/>
      </c>
      <c r="G737" t="inlineStr">
        <is>
          <t>cmm55w57p0004cuisfrtpqly8</t>
        </is>
      </c>
      <c r="H737" t="inlineStr">
        <is>
          <t>Beslutsvillkor</t>
        </is>
      </c>
      <c r="I737" t="inlineStr">
        <is>
          <t>LagringsvolymTid</t>
        </is>
      </c>
      <c r="J737" t="inlineStr">
        <is>
          <t>Maxmangd</t>
        </is>
      </c>
      <c r="K737" t="inlineStr">
        <is>
          <t>Anteckningar om mängder av avfall och hur dessa ska behandlas ska föras i enlighet med bestämmelserna i avfallslagstiftningen.</t>
        </is>
      </c>
      <c r="L737" t="inlineStr">
        <is>
          <t>Anteckningar om mängder av avfall och hur dessa ska behandlas ska föras i enlighet med bestämmelserna i avfallslagstiftningen.</t>
        </is>
      </c>
      <c r="M737" t="inlineStr">
        <is>
          <t>SKA</t>
        </is>
      </c>
      <c r="N737" t="inlineStr"/>
      <c r="O737" t="inlineStr"/>
      <c r="P737" t="inlineStr"/>
      <c r="Q737" t="inlineStr"/>
      <c r="R737" t="inlineStr">
        <is>
          <t>Alltid</t>
        </is>
      </c>
      <c r="S737" t="inlineStr"/>
      <c r="T737" t="inlineStr">
        <is>
          <t>559508</t>
        </is>
      </c>
      <c r="U737" t="inlineStr"/>
      <c r="V737" t="inlineStr"/>
      <c r="W737" t="inlineStr">
        <is>
          <t>Nej</t>
        </is>
      </c>
      <c r="X737" t="inlineStr">
        <is>
          <t>Nej</t>
        </is>
      </c>
      <c r="Y737" t="inlineStr">
        <is>
          <t>Nej</t>
        </is>
      </c>
      <c r="Z737" t="inlineStr">
        <is>
          <t>Nej</t>
        </is>
      </c>
      <c r="AA737" t="n">
        <v>4</v>
      </c>
      <c r="AB737" t="inlineStr">
        <is>
          <t>Avfallsmangder och lagringstid</t>
        </is>
      </c>
      <c r="AC737" t="inlineStr">
        <is>
          <t>Avfallsforteckning</t>
        </is>
      </c>
      <c r="AD737" t="inlineStr">
        <is>
          <t>Nej</t>
        </is>
      </c>
      <c r="AE737" t="inlineStr">
        <is>
          <t>Nej</t>
        </is>
      </c>
      <c r="AF737" t="inlineStr">
        <is>
          <t>Ej behandlad</t>
        </is>
      </c>
      <c r="AG737" t="inlineStr">
        <is>
          <t>AUTO_GENERERAD. Verifiera citat mot kallfil.</t>
        </is>
      </c>
      <c r="AH737" t="inlineStr">
        <is>
          <t>MEDIUM</t>
        </is>
      </c>
      <c r="AI737" t="inlineStr">
        <is>
          <t>AUTO</t>
        </is>
      </c>
      <c r="AJ737" t="inlineStr">
        <is>
          <t>Nej</t>
        </is>
      </c>
      <c r="AK737" t="inlineStr"/>
      <c r="AL737" t="inlineStr"/>
      <c r="AM737" t="inlineStr"/>
      <c r="AN737" t="inlineStr"/>
      <c r="AO737" t="inlineStr">
        <is>
          <t>cmm4yuq9d03dncuqwwomqoxjw</t>
        </is>
      </c>
      <c r="AP737" t="inlineStr">
        <is>
          <t>http://localhost:8787/api/admin/requirements/documents/cmm4yuq9d03dncuqwwomqoxjw/view</t>
        </is>
      </c>
      <c r="AQ737">
        <f>HYPERLÄNK("http://localhost:8787/api/admin/requirements/documents/cmm4yuq9d03dncuqwwomqoxjw/view";"Öppna PDF")</f>
        <v/>
      </c>
      <c r="AR737">
        <f>HYPERLINK("http://localhost:8787/api/admin/requirements/documents/cmm4yuq9d03dncuqwwomqoxjw/view","Open PDF")</f>
        <v/>
      </c>
      <c r="AS737" t="inlineStr">
        <is>
          <t>cmm55w57p0004cuisfrtpqly8</t>
        </is>
      </c>
      <c r="AT737" t="inlineStr">
        <is>
          <t>cmm4xvu980000cuh4vj0usz09</t>
        </is>
      </c>
      <c r="AU737" t="inlineStr"/>
      <c r="AV737" t="inlineStr">
        <is>
          <t>Kommun</t>
        </is>
      </c>
      <c r="AW737" t="inlineStr"/>
      <c r="AX737" t="inlineStr">
        <is>
          <t>2025-07</t>
        </is>
      </c>
      <c r="AY737" t="inlineStr">
        <is>
          <t>Beslut</t>
        </is>
      </c>
      <c r="AZ737" t="inlineStr">
        <is>
          <t>2026-02-04</t>
        </is>
      </c>
      <c r="BA737" t="inlineStr">
        <is>
          <t>MN-2025-421-Sv_ Fyllnadsmassor Arvidsjaur 5_14.pdf</t>
        </is>
      </c>
      <c r="BB737" t="inlineStr">
        <is>
          <t>Sv: till registrator</t>
        </is>
      </c>
      <c r="BC737" t="inlineStr">
        <is>
          <t>AUTO</t>
        </is>
      </c>
      <c r="BD737" t="inlineStr"/>
      <c r="BE737" t="inlineStr"/>
      <c r="BF737" t="inlineStr">
        <is>
          <t>AUTO_GENERERAD. Bekrafta metadata mot kallfil.</t>
        </is>
      </c>
      <c r="BG737">
        <f>HYPERLINK("C:\Users\jimmy\Desktop\Examens arbete\Kod\Ny mapp\remix_-copy-of-miljöbeslut.se-portal\MN-2025-421-Sv_ Fyllnadsmassor Arvidsjaur 5_14.pdf", "Öppna PDF")</f>
        <v/>
      </c>
    </row>
    <row r="738">
      <c r="A738" t="inlineStr">
        <is>
          <t>KRAV-AUTO-000737</t>
        </is>
      </c>
      <c r="B738" t="inlineStr">
        <is>
          <t>ADMIN-INDEX-2026-02-27-00000000125C043F57453246863FE664CAFE6A3F0700950291EA24F0614FB6ACEDB12BF0E31D00000000010C0000950291EA24F0614FB6ACEDB12BF0E31D00002087A5B40000</t>
        </is>
      </c>
      <c r="C738" t="inlineStr">
        <is>
          <t>cmm4yur26044kcuqw8lpev5n6</t>
        </is>
      </c>
      <c r="D738" t="inlineStr">
        <is>
          <t>http://localhost:8787/api/admin/requirements/documents/cmm4yur26044kcuqw8lpev5n6/view</t>
        </is>
      </c>
      <c r="E738">
        <f>HYPERLÄNK("http://localhost:8787/api/admin/requirements/documents/cmm4yur26044kcuqw8lpev5n6/view";"Öppna PDF")</f>
        <v/>
      </c>
      <c r="F738">
        <f>HYPERLINK("http://localhost:8787/api/admin/requirements/documents/cmm4yur26044kcuqw8lpev5n6/view","Open PDF")</f>
        <v/>
      </c>
      <c r="G738" t="inlineStr">
        <is>
          <t>cmm55w57p0004cuisfrtpqly8</t>
        </is>
      </c>
      <c r="H738" t="inlineStr">
        <is>
          <t>Beslutsvillkor</t>
        </is>
      </c>
      <c r="I738" t="inlineStr">
        <is>
          <t>Ytkonstruktion</t>
        </is>
      </c>
      <c r="J738" t="inlineStr">
        <is>
          <t>Tat yta</t>
        </is>
      </c>
      <c r="K738" t="inlineStr">
        <is>
          <t>Petroleumprodukter och andra för grund- och ytvattnet skadliga ämnen ska hanteras och förvaras på en hårdgjord invallad yta som ska skyddas mot nederbörd.</t>
        </is>
      </c>
      <c r="L738" t="inlineStr">
        <is>
          <t>Petroleumprodukter och andra för grund- och ytvattnet skadliga ämnen ska hanteras och förvaras på en hårdgjord invallad yta som ska skyddas mot nederbörd.</t>
        </is>
      </c>
      <c r="M738" t="inlineStr">
        <is>
          <t>SKA</t>
        </is>
      </c>
      <c r="N738" t="inlineStr"/>
      <c r="O738" t="inlineStr"/>
      <c r="P738" t="inlineStr"/>
      <c r="Q738" t="inlineStr"/>
      <c r="R738" t="inlineStr">
        <is>
          <t>Vid mellanlagring av avfall</t>
        </is>
      </c>
      <c r="S738" t="inlineStr"/>
      <c r="T738" t="inlineStr">
        <is>
          <t>26 26 00</t>
        </is>
      </c>
      <c r="U738" t="inlineStr"/>
      <c r="V738" t="inlineStr"/>
      <c r="W738" t="inlineStr">
        <is>
          <t>Ja</t>
        </is>
      </c>
      <c r="X738" t="inlineStr">
        <is>
          <t>Nej</t>
        </is>
      </c>
      <c r="Y738" t="inlineStr">
        <is>
          <t>Nej</t>
        </is>
      </c>
      <c r="Z738" t="inlineStr">
        <is>
          <t>Nej</t>
        </is>
      </c>
      <c r="AA738" t="n">
        <v>5</v>
      </c>
      <c r="AB738" t="inlineStr">
        <is>
          <t>Teknisk beskrivning av platta</t>
        </is>
      </c>
      <c r="AC738" t="inlineStr">
        <is>
          <t>Teknisk ritning platta</t>
        </is>
      </c>
      <c r="AD738" t="inlineStr">
        <is>
          <t>Nej</t>
        </is>
      </c>
      <c r="AE738" t="inlineStr">
        <is>
          <t>Nej</t>
        </is>
      </c>
      <c r="AF738" t="inlineStr">
        <is>
          <t>Ej behandlad</t>
        </is>
      </c>
      <c r="AG738" t="inlineStr">
        <is>
          <t>AUTO_GENERERAD. Verifiera citat mot kallfil.</t>
        </is>
      </c>
      <c r="AH738" t="inlineStr">
        <is>
          <t>MEDIUM</t>
        </is>
      </c>
      <c r="AI738" t="inlineStr">
        <is>
          <t>AUTO</t>
        </is>
      </c>
      <c r="AJ738" t="inlineStr">
        <is>
          <t>Nej</t>
        </is>
      </c>
      <c r="AK738" t="inlineStr"/>
      <c r="AL738" t="inlineStr"/>
      <c r="AM738" t="inlineStr"/>
      <c r="AN738" t="inlineStr"/>
      <c r="AO738" t="inlineStr">
        <is>
          <t>cmm4yur1z044ecuqwtn36cfk3</t>
        </is>
      </c>
      <c r="AP738" t="inlineStr">
        <is>
          <t>http://localhost:8787/api/admin/requirements/documents/cmm4yur1z044ecuqwtn36cfk3/view</t>
        </is>
      </c>
      <c r="AQ738">
        <f>HYPERLÄNK("http://localhost:8787/api/admin/requirements/documents/cmm4yur1z044ecuqwtn36cfk3/view";"Öppna PDF")</f>
        <v/>
      </c>
      <c r="AR738">
        <f>HYPERLINK("http://localhost:8787/api/admin/requirements/documents/cmm4yur1z044ecuqwtn36cfk3/view","Open PDF")</f>
        <v/>
      </c>
      <c r="AS738" t="inlineStr">
        <is>
          <t>cmm55w57p0004cuisfrtpqly8</t>
        </is>
      </c>
      <c r="AT738" t="inlineStr">
        <is>
          <t>cmm4xvu980000cuh4vj0usz09</t>
        </is>
      </c>
      <c r="AU738" t="inlineStr">
        <is>
          <t>i Pajala</t>
        </is>
      </c>
      <c r="AV738" t="inlineStr">
        <is>
          <t>Kommun</t>
        </is>
      </c>
      <c r="AW738" t="inlineStr">
        <is>
          <t>i Pajala kommun</t>
        </is>
      </c>
      <c r="AX738" t="inlineStr">
        <is>
          <t>2013:251</t>
        </is>
      </c>
      <c r="AY738" t="inlineStr">
        <is>
          <t>Beslut</t>
        </is>
      </c>
      <c r="AZ738" t="inlineStr">
        <is>
          <t>2026-02-06</t>
        </is>
      </c>
      <c r="BA738" t="inlineStr">
        <is>
          <t>M-2024-109Beslut om bifall med villkor(29439417).pdf</t>
        </is>
      </c>
      <c r="BB738" t="inlineStr">
        <is>
          <t>Sv: till registrator</t>
        </is>
      </c>
      <c r="BC738" t="inlineStr">
        <is>
          <t>AUTO</t>
        </is>
      </c>
      <c r="BD738" t="inlineStr"/>
      <c r="BE738" t="inlineStr"/>
      <c r="BF738" t="inlineStr">
        <is>
          <t>AUTO_GENERERAD. Bekrafta metadata mot kallfil.</t>
        </is>
      </c>
      <c r="BG738">
        <f>HYPERLINK("C:\Users\jimmy\Desktop\Examens arbete\Kod\Ny mapp\remix_-copy-of-miljöbeslut.se-portal\M-2024-109Beslut om bifall med villkor(29439417).pdf", "Öppna PDF")</f>
        <v/>
      </c>
    </row>
    <row r="739">
      <c r="A739" t="inlineStr">
        <is>
          <t>KRAV-AUTO-000738</t>
        </is>
      </c>
      <c r="B739" t="inlineStr">
        <is>
          <t>ADMIN-INDEX-2026-02-27-00000000125C043F57453246863FE664CAFE6A3F0700950291EA24F0614FB6ACEDB12BF0E31D00000000010C0000950291EA24F0614FB6ACEDB12BF0E31D00002087A5B40000</t>
        </is>
      </c>
      <c r="C739" t="inlineStr">
        <is>
          <t>cmm4yur26044kcuqw8lpev5n6</t>
        </is>
      </c>
      <c r="D739" t="inlineStr">
        <is>
          <t>http://localhost:8787/api/admin/requirements/documents/cmm4yur26044kcuqw8lpev5n6/view</t>
        </is>
      </c>
      <c r="E739">
        <f>HYPERLÄNK("http://localhost:8787/api/admin/requirements/documents/cmm4yur26044kcuqw8lpev5n6/view";"Öppna PDF")</f>
        <v/>
      </c>
      <c r="F739">
        <f>HYPERLINK("http://localhost:8787/api/admin/requirements/documents/cmm4yur26044kcuqw8lpev5n6/view","Open PDF")</f>
        <v/>
      </c>
      <c r="G739" t="inlineStr">
        <is>
          <t>cmm55w57p0004cuisfrtpqly8</t>
        </is>
      </c>
      <c r="H739" t="inlineStr">
        <is>
          <t>Beslutsvillkor</t>
        </is>
      </c>
      <c r="I739" t="inlineStr">
        <is>
          <t>LagringsvolymTid</t>
        </is>
      </c>
      <c r="J739" t="inlineStr">
        <is>
          <t>Maxmangd</t>
        </is>
      </c>
      <c r="K739" t="inlineStr">
        <is>
          <t>Mängden krossade asfaltrester som lagras skall hållas så liten som möjligt.</t>
        </is>
      </c>
      <c r="L739" t="inlineStr">
        <is>
          <t>Mängden krossade asfaltrester som lagras skall hållas så liten som möjligt.</t>
        </is>
      </c>
      <c r="M739" t="inlineStr">
        <is>
          <t>SKA</t>
        </is>
      </c>
      <c r="N739" t="inlineStr"/>
      <c r="O739" t="inlineStr"/>
      <c r="P739" t="inlineStr"/>
      <c r="Q739" t="inlineStr"/>
      <c r="R739" t="inlineStr">
        <is>
          <t>Alltid</t>
        </is>
      </c>
      <c r="S739" t="inlineStr"/>
      <c r="T739" t="inlineStr">
        <is>
          <t>26 26 00</t>
        </is>
      </c>
      <c r="U739" t="inlineStr"/>
      <c r="V739" t="inlineStr"/>
      <c r="W739" t="inlineStr">
        <is>
          <t>Nej</t>
        </is>
      </c>
      <c r="X739" t="inlineStr">
        <is>
          <t>Nej</t>
        </is>
      </c>
      <c r="Y739" t="inlineStr">
        <is>
          <t>Nej</t>
        </is>
      </c>
      <c r="Z739" t="inlineStr">
        <is>
          <t>Nej</t>
        </is>
      </c>
      <c r="AA739" t="n">
        <v>4</v>
      </c>
      <c r="AB739" t="inlineStr">
        <is>
          <t>Avfallsmangder och lagringstid</t>
        </is>
      </c>
      <c r="AC739" t="inlineStr">
        <is>
          <t>Avfallsforteckning</t>
        </is>
      </c>
      <c r="AD739" t="inlineStr">
        <is>
          <t>Nej</t>
        </is>
      </c>
      <c r="AE739" t="inlineStr">
        <is>
          <t>Nej</t>
        </is>
      </c>
      <c r="AF739" t="inlineStr">
        <is>
          <t>Ej behandlad</t>
        </is>
      </c>
      <c r="AG739" t="inlineStr">
        <is>
          <t>AUTO_GENERERAD. Verifiera citat mot kallfil.</t>
        </is>
      </c>
      <c r="AH739" t="inlineStr">
        <is>
          <t>MEDIUM</t>
        </is>
      </c>
      <c r="AI739" t="inlineStr">
        <is>
          <t>AUTO</t>
        </is>
      </c>
      <c r="AJ739" t="inlineStr">
        <is>
          <t>Nej</t>
        </is>
      </c>
      <c r="AK739" t="inlineStr"/>
      <c r="AL739" t="inlineStr"/>
      <c r="AM739" t="inlineStr"/>
      <c r="AN739" t="inlineStr"/>
      <c r="AO739" t="inlineStr">
        <is>
          <t>cmm4yur1z044ecuqwtn36cfk3</t>
        </is>
      </c>
      <c r="AP739" t="inlineStr">
        <is>
          <t>http://localhost:8787/api/admin/requirements/documents/cmm4yur1z044ecuqwtn36cfk3/view</t>
        </is>
      </c>
      <c r="AQ739">
        <f>HYPERLÄNK("http://localhost:8787/api/admin/requirements/documents/cmm4yur1z044ecuqwtn36cfk3/view";"Öppna PDF")</f>
        <v/>
      </c>
      <c r="AR739">
        <f>HYPERLINK("http://localhost:8787/api/admin/requirements/documents/cmm4yur1z044ecuqwtn36cfk3/view","Open PDF")</f>
        <v/>
      </c>
      <c r="AS739" t="inlineStr">
        <is>
          <t>cmm55w57p0004cuisfrtpqly8</t>
        </is>
      </c>
      <c r="AT739" t="inlineStr">
        <is>
          <t>cmm4xvu980000cuh4vj0usz09</t>
        </is>
      </c>
      <c r="AU739" t="inlineStr">
        <is>
          <t>i Pajala</t>
        </is>
      </c>
      <c r="AV739" t="inlineStr">
        <is>
          <t>Kommun</t>
        </is>
      </c>
      <c r="AW739" t="inlineStr">
        <is>
          <t>i Pajala kommun</t>
        </is>
      </c>
      <c r="AX739" t="inlineStr">
        <is>
          <t>2013:251</t>
        </is>
      </c>
      <c r="AY739" t="inlineStr">
        <is>
          <t>Beslut</t>
        </is>
      </c>
      <c r="AZ739" t="inlineStr">
        <is>
          <t>2026-02-06</t>
        </is>
      </c>
      <c r="BA739" t="inlineStr">
        <is>
          <t>M-2024-109Beslut om bifall med villkor(29439417).pdf</t>
        </is>
      </c>
      <c r="BB739" t="inlineStr">
        <is>
          <t>Sv: till registrator</t>
        </is>
      </c>
      <c r="BC739" t="inlineStr">
        <is>
          <t>AUTO</t>
        </is>
      </c>
      <c r="BD739" t="inlineStr"/>
      <c r="BE739" t="inlineStr"/>
      <c r="BF739" t="inlineStr">
        <is>
          <t>AUTO_GENERERAD. Bekrafta metadata mot kallfil.</t>
        </is>
      </c>
      <c r="BG739">
        <f>HYPERLINK("C:\Users\jimmy\Desktop\Examens arbete\Kod\Ny mapp\remix_-copy-of-miljöbeslut.se-portal\M-2024-109Beslut om bifall med villkor(29439417).pdf", "Öppna PDF")</f>
        <v/>
      </c>
    </row>
    <row r="740">
      <c r="A740" t="inlineStr">
        <is>
          <t>KRAV-AUTO-000739</t>
        </is>
      </c>
      <c r="B740" t="inlineStr">
        <is>
          <t>ADMIN-INDEX-2026-02-27-00000000125C043F57453246863FE664CAFE6A3F0700950291EA24F0614FB6ACEDB12BF0E31D00000000010C0000950291EA24F0614FB6ACEDB12BF0E31D00002087A5B40000</t>
        </is>
      </c>
      <c r="C740" t="inlineStr">
        <is>
          <t>cmm4yur26044kcuqw8lpev5n6</t>
        </is>
      </c>
      <c r="D740" t="inlineStr">
        <is>
          <t>http://localhost:8787/api/admin/requirements/documents/cmm4yur26044kcuqw8lpev5n6/view</t>
        </is>
      </c>
      <c r="E740">
        <f>HYPERLÄNK("http://localhost:8787/api/admin/requirements/documents/cmm4yur26044kcuqw8lpev5n6/view";"Öppna PDF")</f>
        <v/>
      </c>
      <c r="F740">
        <f>HYPERLINK("http://localhost:8787/api/admin/requirements/documents/cmm4yur26044kcuqw8lpev5n6/view","Open PDF")</f>
        <v/>
      </c>
      <c r="G740" t="inlineStr">
        <is>
          <t>cmm55w57p0004cuisfrtpqly8</t>
        </is>
      </c>
      <c r="H740" t="inlineStr">
        <is>
          <t>Beslutsvillkor</t>
        </is>
      </c>
      <c r="I740" t="inlineStr">
        <is>
          <t>Ytkonstruktion</t>
        </is>
      </c>
      <c r="J740" t="inlineStr">
        <is>
          <t>Tat yta</t>
        </is>
      </c>
      <c r="K740" t="inlineStr">
        <is>
          <t>Invallningen ska utföras så att den volym behållarna innehåller kan samlas upp vid läckage.</t>
        </is>
      </c>
      <c r="L740" t="inlineStr">
        <is>
          <t>Invallningen ska utföras så att den volym behållarna innehåller kan samlas upp vid läckage.</t>
        </is>
      </c>
      <c r="M740" t="inlineStr">
        <is>
          <t>SKA</t>
        </is>
      </c>
      <c r="N740" t="inlineStr"/>
      <c r="O740" t="inlineStr"/>
      <c r="P740" t="inlineStr"/>
      <c r="Q740" t="inlineStr"/>
      <c r="R740" t="inlineStr">
        <is>
          <t>Vid mellanlagring av avfall</t>
        </is>
      </c>
      <c r="S740" t="inlineStr"/>
      <c r="T740" t="inlineStr">
        <is>
          <t>26 26 00</t>
        </is>
      </c>
      <c r="U740" t="inlineStr"/>
      <c r="V740" t="inlineStr"/>
      <c r="W740" t="inlineStr">
        <is>
          <t>Ja</t>
        </is>
      </c>
      <c r="X740" t="inlineStr">
        <is>
          <t>Nej</t>
        </is>
      </c>
      <c r="Y740" t="inlineStr">
        <is>
          <t>Nej</t>
        </is>
      </c>
      <c r="Z740" t="inlineStr">
        <is>
          <t>Nej</t>
        </is>
      </c>
      <c r="AA740" t="n">
        <v>5</v>
      </c>
      <c r="AB740" t="inlineStr">
        <is>
          <t>Teknisk beskrivning av platta</t>
        </is>
      </c>
      <c r="AC740" t="inlineStr">
        <is>
          <t>Teknisk ritning platta</t>
        </is>
      </c>
      <c r="AD740" t="inlineStr">
        <is>
          <t>Nej</t>
        </is>
      </c>
      <c r="AE740" t="inlineStr">
        <is>
          <t>Nej</t>
        </is>
      </c>
      <c r="AF740" t="inlineStr">
        <is>
          <t>Ej behandlad</t>
        </is>
      </c>
      <c r="AG740" t="inlineStr">
        <is>
          <t>AUTO_GENERERAD. Verifiera citat mot kallfil.</t>
        </is>
      </c>
      <c r="AH740" t="inlineStr">
        <is>
          <t>MEDIUM</t>
        </is>
      </c>
      <c r="AI740" t="inlineStr">
        <is>
          <t>AUTO</t>
        </is>
      </c>
      <c r="AJ740" t="inlineStr">
        <is>
          <t>Nej</t>
        </is>
      </c>
      <c r="AK740" t="inlineStr"/>
      <c r="AL740" t="inlineStr"/>
      <c r="AM740" t="inlineStr"/>
      <c r="AN740" t="inlineStr"/>
      <c r="AO740" t="inlineStr">
        <is>
          <t>cmm4yur1z044ecuqwtn36cfk3</t>
        </is>
      </c>
      <c r="AP740" t="inlineStr">
        <is>
          <t>http://localhost:8787/api/admin/requirements/documents/cmm4yur1z044ecuqwtn36cfk3/view</t>
        </is>
      </c>
      <c r="AQ740">
        <f>HYPERLÄNK("http://localhost:8787/api/admin/requirements/documents/cmm4yur1z044ecuqwtn36cfk3/view";"Öppna PDF")</f>
        <v/>
      </c>
      <c r="AR740">
        <f>HYPERLINK("http://localhost:8787/api/admin/requirements/documents/cmm4yur1z044ecuqwtn36cfk3/view","Open PDF")</f>
        <v/>
      </c>
      <c r="AS740" t="inlineStr">
        <is>
          <t>cmm55w57p0004cuisfrtpqly8</t>
        </is>
      </c>
      <c r="AT740" t="inlineStr">
        <is>
          <t>cmm4xvu980000cuh4vj0usz09</t>
        </is>
      </c>
      <c r="AU740" t="inlineStr">
        <is>
          <t>i Pajala</t>
        </is>
      </c>
      <c r="AV740" t="inlineStr">
        <is>
          <t>Kommun</t>
        </is>
      </c>
      <c r="AW740" t="inlineStr">
        <is>
          <t>i Pajala kommun</t>
        </is>
      </c>
      <c r="AX740" t="inlineStr">
        <is>
          <t>2013:251</t>
        </is>
      </c>
      <c r="AY740" t="inlineStr">
        <is>
          <t>Beslut</t>
        </is>
      </c>
      <c r="AZ740" t="inlineStr">
        <is>
          <t>2026-02-06</t>
        </is>
      </c>
      <c r="BA740" t="inlineStr">
        <is>
          <t>M-2024-109Beslut om bifall med villkor(29439417).pdf</t>
        </is>
      </c>
      <c r="BB740" t="inlineStr">
        <is>
          <t>Sv: till registrator</t>
        </is>
      </c>
      <c r="BC740" t="inlineStr">
        <is>
          <t>AUTO</t>
        </is>
      </c>
      <c r="BD740" t="inlineStr"/>
      <c r="BE740" t="inlineStr"/>
      <c r="BF740" t="inlineStr">
        <is>
          <t>AUTO_GENERERAD. Bekrafta metadata mot kallfil.</t>
        </is>
      </c>
      <c r="BG740">
        <f>HYPERLINK("C:\Users\jimmy\Desktop\Examens arbete\Kod\Ny mapp\remix_-copy-of-miljöbeslut.se-portal\M-2024-109Beslut om bifall med villkor(29439417).pdf", "Öppna PDF")</f>
        <v/>
      </c>
    </row>
    <row r="741">
      <c r="A741" t="inlineStr">
        <is>
          <t>KRAV-AUTO-000740</t>
        </is>
      </c>
      <c r="B741" t="inlineStr">
        <is>
          <t>ADMIN-INDEX-2026-02-27-00000000125C043F57453246863FE664CAFE6A3F0700950291EA24F0614FB6ACEDB12BF0E31D00000000010C0000950291EA24F0614FB6ACEDB12BF0E31D00002087AE080000</t>
        </is>
      </c>
      <c r="C741" t="inlineStr">
        <is>
          <t>cmm4yuq8h03cqcuqw79qvo0km</t>
        </is>
      </c>
      <c r="D741" t="inlineStr">
        <is>
          <t>http://localhost:8787/api/admin/requirements/documents/cmm4yuq8h03cqcuqw79qvo0km/view</t>
        </is>
      </c>
      <c r="E741">
        <f>HYPERLÄNK("http://localhost:8787/api/admin/requirements/documents/cmm4yuq8h03cqcuqw79qvo0km/view";"Öppna PDF")</f>
        <v/>
      </c>
      <c r="F741">
        <f>HYPERLINK("http://localhost:8787/api/admin/requirements/documents/cmm4yuq8h03cqcuqw79qvo0km/view","Open PDF")</f>
        <v/>
      </c>
      <c r="G741" t="inlineStr">
        <is>
          <t>cmm55w57p0004cuisfrtpqly8</t>
        </is>
      </c>
      <c r="H741" t="inlineStr">
        <is>
          <t>Informationskrav</t>
        </is>
      </c>
      <c r="I741" t="inlineStr">
        <is>
          <t>DagvattenLakvatten</t>
        </is>
      </c>
      <c r="J741" t="inlineStr">
        <is>
          <t>Uppsamling</t>
        </is>
      </c>
      <c r="K741" t="inlineStr">
        <is>
          <t>Föroreningsrisken avgör om du måste göra en anmälan Det som avgör om en anmälan krävs eller inte är risken för förorening av mark, vattenområde eller grundvatten.</t>
        </is>
      </c>
      <c r="L741" t="inlineStr">
        <is>
          <t>Föroreningsrisken avgör om du måste göra en anmälan Det som avgör om en anmälan krävs eller inte är risken för förorening av mark, vattenområde eller grundvatten.</t>
        </is>
      </c>
      <c r="M741" t="inlineStr">
        <is>
          <t>SKA</t>
        </is>
      </c>
      <c r="N741" t="inlineStr"/>
      <c r="O741" t="inlineStr"/>
      <c r="P741" t="inlineStr"/>
      <c r="Q741" t="inlineStr"/>
      <c r="R741" t="inlineStr">
        <is>
          <t>Vid nederbord och avrinning</t>
        </is>
      </c>
      <c r="S741" t="inlineStr"/>
      <c r="T741" t="inlineStr">
        <is>
          <t>797000</t>
        </is>
      </c>
      <c r="U741" t="inlineStr"/>
      <c r="V741" t="inlineStr"/>
      <c r="W741" t="inlineStr">
        <is>
          <t>Nej</t>
        </is>
      </c>
      <c r="X741" t="inlineStr">
        <is>
          <t>Ja</t>
        </is>
      </c>
      <c r="Y741" t="inlineStr">
        <is>
          <t>Ja</t>
        </is>
      </c>
      <c r="Z741" t="inlineStr">
        <is>
          <t>Nej</t>
        </is>
      </c>
      <c r="AA741" t="n">
        <v>6</v>
      </c>
      <c r="AB741" t="inlineStr">
        <is>
          <t>Lakvattenhantering</t>
        </is>
      </c>
      <c r="AC741" t="inlineStr">
        <is>
          <t>Flodesschema dagvatten-lakvatten</t>
        </is>
      </c>
      <c r="AD741" t="inlineStr">
        <is>
          <t>Nej</t>
        </is>
      </c>
      <c r="AE741" t="inlineStr">
        <is>
          <t>Nej</t>
        </is>
      </c>
      <c r="AF741" t="inlineStr">
        <is>
          <t>Ej behandlad</t>
        </is>
      </c>
      <c r="AG741" t="inlineStr">
        <is>
          <t>AUTO_GENERERAD. Verifiera citat mot kallfil.</t>
        </is>
      </c>
      <c r="AH741" t="inlineStr">
        <is>
          <t>MEDIUM</t>
        </is>
      </c>
      <c r="AI741" t="inlineStr">
        <is>
          <t>AUTO</t>
        </is>
      </c>
      <c r="AJ741" t="inlineStr">
        <is>
          <t>Nej</t>
        </is>
      </c>
      <c r="AK741" t="inlineStr"/>
      <c r="AL741" t="inlineStr"/>
      <c r="AM741" t="inlineStr"/>
      <c r="AN741" t="inlineStr"/>
      <c r="AO741" t="inlineStr">
        <is>
          <t>cmm4yuq8h03cqcuqw79qvo0km</t>
        </is>
      </c>
      <c r="AP741" t="inlineStr">
        <is>
          <t>http://localhost:8787/api/admin/requirements/documents/cmm4yuq8h03cqcuqw79qvo0km/view</t>
        </is>
      </c>
      <c r="AQ741">
        <f>HYPERLÄNK("http://localhost:8787/api/admin/requirements/documents/cmm4yuq8h03cqcuqw79qvo0km/view";"Öppna PDF")</f>
        <v/>
      </c>
      <c r="AR741">
        <f>HYPERLINK("http://localhost:8787/api/admin/requirements/documents/cmm4yuq8h03cqcuqw79qvo0km/view","Open PDF")</f>
        <v/>
      </c>
      <c r="AS741" t="inlineStr">
        <is>
          <t>cmm55w57p0004cuisfrtpqly8</t>
        </is>
      </c>
      <c r="AT741" t="inlineStr">
        <is>
          <t>cmm4xvu980000cuh4vj0usz09</t>
        </is>
      </c>
      <c r="AU741" t="inlineStr">
        <is>
          <t>-- Arvidsjaurs</t>
        </is>
      </c>
      <c r="AV741" t="inlineStr">
        <is>
          <t>Kommun</t>
        </is>
      </c>
      <c r="AW741" t="inlineStr">
        <is>
          <t>-- Arvidsjaurs kommun</t>
        </is>
      </c>
      <c r="AX741" t="inlineStr">
        <is>
          <t>0600-1800</t>
        </is>
      </c>
      <c r="AY741" t="inlineStr">
        <is>
          <t>Anmalan</t>
        </is>
      </c>
      <c r="AZ741" t="inlineStr">
        <is>
          <t>2026-02-04</t>
        </is>
      </c>
      <c r="BA741" t="inlineStr">
        <is>
          <t>MN-2025-421-Anmälan.pdf</t>
        </is>
      </c>
      <c r="BB741" t="inlineStr">
        <is>
          <t>Sv: till registrator</t>
        </is>
      </c>
      <c r="BC741" t="inlineStr">
        <is>
          <t>AUTO</t>
        </is>
      </c>
      <c r="BD741" t="inlineStr"/>
      <c r="BE741" t="inlineStr"/>
      <c r="BF741" t="inlineStr">
        <is>
          <t>AUTO_GENERERAD. Bekrafta metadata mot kallfil.</t>
        </is>
      </c>
      <c r="BG741">
        <f>HYPERLINK("C:\Users\jimmy\Desktop\Examens arbete\Kod\Ny mapp\remix_-copy-of-miljöbeslut.se-portal\MN-2025-421-Anmälan.pdf", "Öppna PDF")</f>
        <v/>
      </c>
    </row>
    <row r="742">
      <c r="A742" t="inlineStr">
        <is>
          <t>KRAV-AUTO-000741</t>
        </is>
      </c>
      <c r="B742" t="inlineStr">
        <is>
          <t>ADMIN-INDEX-2026-02-27-00000000125C043F57453246863FE664CAFE6A3F0700950291EA24F0614FB6ACEDB12BF0E31D00000000010C0000950291EA24F0614FB6ACEDB12BF0E31D00002087AE080000</t>
        </is>
      </c>
      <c r="C742" t="inlineStr">
        <is>
          <t>cmm4yuq8h03cqcuqw79qvo0km</t>
        </is>
      </c>
      <c r="D742" t="inlineStr">
        <is>
          <t>http://localhost:8787/api/admin/requirements/documents/cmm4yuq8h03cqcuqw79qvo0km/view</t>
        </is>
      </c>
      <c r="E742">
        <f>HYPERLÄNK("http://localhost:8787/api/admin/requirements/documents/cmm4yuq8h03cqcuqw79qvo0km/view";"Öppna PDF")</f>
        <v/>
      </c>
      <c r="F742">
        <f>HYPERLINK("http://localhost:8787/api/admin/requirements/documents/cmm4yuq8h03cqcuqw79qvo0km/view","Open PDF")</f>
        <v/>
      </c>
      <c r="G742" t="inlineStr">
        <is>
          <t>cmm55w57p0004cuisfrtpqly8</t>
        </is>
      </c>
      <c r="H742" t="inlineStr">
        <is>
          <t>Informationskrav</t>
        </is>
      </c>
      <c r="I742" t="inlineStr">
        <is>
          <t>DagvattenLakvatten</t>
        </is>
      </c>
      <c r="J742" t="inlineStr">
        <is>
          <t>Uppsamling</t>
        </is>
      </c>
      <c r="K742" t="inlineStr">
        <is>
          <t>Om föroreningsrisken bedöms som ringa ska en anmälan lämnas till miljö-, bygg- och hälsoskyddsnämnden.</t>
        </is>
      </c>
      <c r="L742" t="inlineStr">
        <is>
          <t>Om föroreningsrisken bedöms som ringa ska en anmälan lämnas till miljö-, bygg- och hälsoskyddsnämnden.</t>
        </is>
      </c>
      <c r="M742" t="inlineStr">
        <is>
          <t>SKA</t>
        </is>
      </c>
      <c r="N742" t="inlineStr"/>
      <c r="O742" t="inlineStr"/>
      <c r="P742" t="inlineStr"/>
      <c r="Q742" t="inlineStr"/>
      <c r="R742" t="inlineStr">
        <is>
          <t>Vid nederbord och avrinning</t>
        </is>
      </c>
      <c r="S742" t="inlineStr"/>
      <c r="T742" t="inlineStr">
        <is>
          <t>797000</t>
        </is>
      </c>
      <c r="U742" t="inlineStr"/>
      <c r="V742" t="inlineStr"/>
      <c r="W742" t="inlineStr">
        <is>
          <t>Nej</t>
        </is>
      </c>
      <c r="X742" t="inlineStr">
        <is>
          <t>Ja</t>
        </is>
      </c>
      <c r="Y742" t="inlineStr">
        <is>
          <t>Ja</t>
        </is>
      </c>
      <c r="Z742" t="inlineStr">
        <is>
          <t>Nej</t>
        </is>
      </c>
      <c r="AA742" t="n">
        <v>6</v>
      </c>
      <c r="AB742" t="inlineStr">
        <is>
          <t>Lakvattenhantering</t>
        </is>
      </c>
      <c r="AC742" t="inlineStr">
        <is>
          <t>Flodesschema dagvatten-lakvatten</t>
        </is>
      </c>
      <c r="AD742" t="inlineStr">
        <is>
          <t>Nej</t>
        </is>
      </c>
      <c r="AE742" t="inlineStr">
        <is>
          <t>Nej</t>
        </is>
      </c>
      <c r="AF742" t="inlineStr">
        <is>
          <t>Ej behandlad</t>
        </is>
      </c>
      <c r="AG742" t="inlineStr">
        <is>
          <t>AUTO_GENERERAD. Verifiera citat mot kallfil.</t>
        </is>
      </c>
      <c r="AH742" t="inlineStr">
        <is>
          <t>MEDIUM</t>
        </is>
      </c>
      <c r="AI742" t="inlineStr">
        <is>
          <t>AUTO</t>
        </is>
      </c>
      <c r="AJ742" t="inlineStr">
        <is>
          <t>Nej</t>
        </is>
      </c>
      <c r="AK742" t="inlineStr"/>
      <c r="AL742" t="inlineStr"/>
      <c r="AM742" t="inlineStr"/>
      <c r="AN742" t="inlineStr"/>
      <c r="AO742" t="inlineStr">
        <is>
          <t>cmm4yuq8h03cqcuqw79qvo0km</t>
        </is>
      </c>
      <c r="AP742" t="inlineStr">
        <is>
          <t>http://localhost:8787/api/admin/requirements/documents/cmm4yuq8h03cqcuqw79qvo0km/view</t>
        </is>
      </c>
      <c r="AQ742">
        <f>HYPERLÄNK("http://localhost:8787/api/admin/requirements/documents/cmm4yuq8h03cqcuqw79qvo0km/view";"Öppna PDF")</f>
        <v/>
      </c>
      <c r="AR742">
        <f>HYPERLINK("http://localhost:8787/api/admin/requirements/documents/cmm4yuq8h03cqcuqw79qvo0km/view","Open PDF")</f>
        <v/>
      </c>
      <c r="AS742" t="inlineStr">
        <is>
          <t>cmm55w57p0004cuisfrtpqly8</t>
        </is>
      </c>
      <c r="AT742" t="inlineStr">
        <is>
          <t>cmm4xvu980000cuh4vj0usz09</t>
        </is>
      </c>
      <c r="AU742" t="inlineStr">
        <is>
          <t>-- Arvidsjaurs</t>
        </is>
      </c>
      <c r="AV742" t="inlineStr">
        <is>
          <t>Kommun</t>
        </is>
      </c>
      <c r="AW742" t="inlineStr">
        <is>
          <t>-- Arvidsjaurs kommun</t>
        </is>
      </c>
      <c r="AX742" t="inlineStr">
        <is>
          <t>0600-1800</t>
        </is>
      </c>
      <c r="AY742" t="inlineStr">
        <is>
          <t>Anmalan</t>
        </is>
      </c>
      <c r="AZ742" t="inlineStr">
        <is>
          <t>2026-02-04</t>
        </is>
      </c>
      <c r="BA742" t="inlineStr">
        <is>
          <t>MN-2025-421-Anmälan.pdf</t>
        </is>
      </c>
      <c r="BB742" t="inlineStr">
        <is>
          <t>Sv: till registrator</t>
        </is>
      </c>
      <c r="BC742" t="inlineStr">
        <is>
          <t>AUTO</t>
        </is>
      </c>
      <c r="BD742" t="inlineStr"/>
      <c r="BE742" t="inlineStr"/>
      <c r="BF742" t="inlineStr">
        <is>
          <t>AUTO_GENERERAD. Bekrafta metadata mot kallfil.</t>
        </is>
      </c>
      <c r="BG742">
        <f>HYPERLINK("C:\Users\jimmy\Desktop\Examens arbete\Kod\Ny mapp\remix_-copy-of-miljöbeslut.se-portal\MN-2025-421-Anmälan.pdf", "Öppna PDF")</f>
        <v/>
      </c>
    </row>
    <row r="743">
      <c r="A743" t="inlineStr">
        <is>
          <t>KRAV-AUTO-000742</t>
        </is>
      </c>
      <c r="B743" t="inlineStr">
        <is>
          <t>ADMIN-INDEX-2026-02-27-00000000125C043F57453246863FE664CAFE6A3F0700950291EA24F0614FB6ACEDB12BF0E31D00000000010C0000950291EA24F0614FB6ACEDB12BF0E31D00002087AE080000</t>
        </is>
      </c>
      <c r="C743" t="inlineStr">
        <is>
          <t>cmm4yuq8h03cqcuqw79qvo0km</t>
        </is>
      </c>
      <c r="D743" t="inlineStr">
        <is>
          <t>http://localhost:8787/api/admin/requirements/documents/cmm4yuq8h03cqcuqw79qvo0km/view</t>
        </is>
      </c>
      <c r="E743">
        <f>HYPERLÄNK("http://localhost:8787/api/admin/requirements/documents/cmm4yuq8h03cqcuqw79qvo0km/view";"Öppna PDF")</f>
        <v/>
      </c>
      <c r="F743">
        <f>HYPERLINK("http://localhost:8787/api/admin/requirements/documents/cmm4yuq8h03cqcuqw79qvo0km/view","Open PDF")</f>
        <v/>
      </c>
      <c r="G743" t="inlineStr">
        <is>
          <t>cmm55w57p0004cuisfrtpqly8</t>
        </is>
      </c>
      <c r="H743" t="inlineStr">
        <is>
          <t>Informationskrav</t>
        </is>
      </c>
      <c r="I743" t="inlineStr">
        <is>
          <t>DagvattenLakvatten</t>
        </is>
      </c>
      <c r="J743" t="inlineStr">
        <is>
          <t>Uppsamling</t>
        </is>
      </c>
      <c r="K743" t="inlineStr">
        <is>
          <t>Om föroreningsrisken bedöms som mer än ringa krävs tillstånd av länsstyrelsen Om det inte finns någon föroreningsrisk krävs ingen anmälan (samråd, strandskydds- dispens och/eller marklov kan dock ändå vara aktuellt, se nedan).</t>
        </is>
      </c>
      <c r="L743" t="inlineStr">
        <is>
          <t>Om föroreningsrisken bedöms som mer än ringa krävs tillstånd av länsstyrelsen Om det inte finns någon föroreningsrisk krävs ingen anmälan (samråd, strandskydds- dispens och/eller marklov kan dock ändå vara aktuellt, se nedan).</t>
        </is>
      </c>
      <c r="M743" t="inlineStr">
        <is>
          <t>SKA</t>
        </is>
      </c>
      <c r="N743" t="inlineStr"/>
      <c r="O743" t="inlineStr"/>
      <c r="P743" t="inlineStr"/>
      <c r="Q743" t="inlineStr"/>
      <c r="R743" t="inlineStr">
        <is>
          <t>Vid nederbord och avrinning</t>
        </is>
      </c>
      <c r="S743" t="inlineStr"/>
      <c r="T743" t="inlineStr">
        <is>
          <t>797000</t>
        </is>
      </c>
      <c r="U743" t="inlineStr"/>
      <c r="V743" t="inlineStr"/>
      <c r="W743" t="inlineStr">
        <is>
          <t>Nej</t>
        </is>
      </c>
      <c r="X743" t="inlineStr">
        <is>
          <t>Ja</t>
        </is>
      </c>
      <c r="Y743" t="inlineStr">
        <is>
          <t>Ja</t>
        </is>
      </c>
      <c r="Z743" t="inlineStr">
        <is>
          <t>Nej</t>
        </is>
      </c>
      <c r="AA743" t="n">
        <v>6</v>
      </c>
      <c r="AB743" t="inlineStr">
        <is>
          <t>Lakvattenhantering</t>
        </is>
      </c>
      <c r="AC743" t="inlineStr">
        <is>
          <t>Flodesschema dagvatten-lakvatten</t>
        </is>
      </c>
      <c r="AD743" t="inlineStr">
        <is>
          <t>Nej</t>
        </is>
      </c>
      <c r="AE743" t="inlineStr">
        <is>
          <t>Nej</t>
        </is>
      </c>
      <c r="AF743" t="inlineStr">
        <is>
          <t>Ej behandlad</t>
        </is>
      </c>
      <c r="AG743" t="inlineStr">
        <is>
          <t>AUTO_GENERERAD. Verifiera citat mot kallfil.</t>
        </is>
      </c>
      <c r="AH743" t="inlineStr">
        <is>
          <t>MEDIUM</t>
        </is>
      </c>
      <c r="AI743" t="inlineStr">
        <is>
          <t>AUTO</t>
        </is>
      </c>
      <c r="AJ743" t="inlineStr">
        <is>
          <t>Nej</t>
        </is>
      </c>
      <c r="AK743" t="inlineStr"/>
      <c r="AL743" t="inlineStr"/>
      <c r="AM743" t="inlineStr"/>
      <c r="AN743" t="inlineStr"/>
      <c r="AO743" t="inlineStr">
        <is>
          <t>cmm4yuq8h03cqcuqw79qvo0km</t>
        </is>
      </c>
      <c r="AP743" t="inlineStr">
        <is>
          <t>http://localhost:8787/api/admin/requirements/documents/cmm4yuq8h03cqcuqw79qvo0km/view</t>
        </is>
      </c>
      <c r="AQ743">
        <f>HYPERLÄNK("http://localhost:8787/api/admin/requirements/documents/cmm4yuq8h03cqcuqw79qvo0km/view";"Öppna PDF")</f>
        <v/>
      </c>
      <c r="AR743">
        <f>HYPERLINK("http://localhost:8787/api/admin/requirements/documents/cmm4yuq8h03cqcuqw79qvo0km/view","Open PDF")</f>
        <v/>
      </c>
      <c r="AS743" t="inlineStr">
        <is>
          <t>cmm55w57p0004cuisfrtpqly8</t>
        </is>
      </c>
      <c r="AT743" t="inlineStr">
        <is>
          <t>cmm4xvu980000cuh4vj0usz09</t>
        </is>
      </c>
      <c r="AU743" t="inlineStr">
        <is>
          <t>-- Arvidsjaurs</t>
        </is>
      </c>
      <c r="AV743" t="inlineStr">
        <is>
          <t>Kommun</t>
        </is>
      </c>
      <c r="AW743" t="inlineStr">
        <is>
          <t>-- Arvidsjaurs kommun</t>
        </is>
      </c>
      <c r="AX743" t="inlineStr">
        <is>
          <t>0600-1800</t>
        </is>
      </c>
      <c r="AY743" t="inlineStr">
        <is>
          <t>Anmalan</t>
        </is>
      </c>
      <c r="AZ743" t="inlineStr">
        <is>
          <t>2026-02-04</t>
        </is>
      </c>
      <c r="BA743" t="inlineStr">
        <is>
          <t>MN-2025-421-Anmälan.pdf</t>
        </is>
      </c>
      <c r="BB743" t="inlineStr">
        <is>
          <t>Sv: till registrator</t>
        </is>
      </c>
      <c r="BC743" t="inlineStr">
        <is>
          <t>AUTO</t>
        </is>
      </c>
      <c r="BD743" t="inlineStr"/>
      <c r="BE743" t="inlineStr"/>
      <c r="BF743" t="inlineStr">
        <is>
          <t>AUTO_GENERERAD. Bekrafta metadata mot kallfil.</t>
        </is>
      </c>
      <c r="BG743">
        <f>HYPERLINK("C:\Users\jimmy\Desktop\Examens arbete\Kod\Ny mapp\remix_-copy-of-miljöbeslut.se-portal\MN-2025-421-Anmälan.pdf", "Öppna PDF")</f>
        <v/>
      </c>
    </row>
    <row r="744">
      <c r="A744" t="inlineStr">
        <is>
          <t>KRAV-AUTO-000743</t>
        </is>
      </c>
      <c r="B744" t="inlineStr">
        <is>
          <t>ADMIN-INDEX-2026-02-27-00000000125C043F57453246863FE664CAFE6A3F0700950291EA24F0614FB6ACEDB12BF0E31D00000000010C0000950291EA24F0614FB6ACEDB12BF0E31D00002087AE080000</t>
        </is>
      </c>
      <c r="C744" t="inlineStr">
        <is>
          <t>cmm4yuq8903chcuqwqha72piw</t>
        </is>
      </c>
      <c r="D744" t="inlineStr">
        <is>
          <t>http://localhost:8787/api/admin/requirements/documents/cmm4yuq8903chcuqwqha72piw/view</t>
        </is>
      </c>
      <c r="E744">
        <f>HYPERLÄNK("http://localhost:8787/api/admin/requirements/documents/cmm4yuq8903chcuqwqha72piw/view";"Öppna PDF")</f>
        <v/>
      </c>
      <c r="F744">
        <f>HYPERLINK("http://localhost:8787/api/admin/requirements/documents/cmm4yuq8903chcuqwqha72piw/view","Open PDF")</f>
        <v/>
      </c>
      <c r="G744" t="inlineStr">
        <is>
          <t>cmm55w57p0004cuisfrtpqly8</t>
        </is>
      </c>
      <c r="H744" t="inlineStr">
        <is>
          <t>Beslutsvillkor</t>
        </is>
      </c>
      <c r="I744" t="inlineStr">
        <is>
          <t>DagvattenLakvatten</t>
        </is>
      </c>
      <c r="J744" t="inlineStr">
        <is>
          <t>Uppsamling</t>
        </is>
      </c>
      <c r="K744" t="inlineStr">
        <is>
          <t>Bifogas ej Beskrivning av luftflöden, utsläppspunkter, uppskattade luftföroreningsmängder Du kan välja att ladda upp dokumentet här eller skicka in det per post.</t>
        </is>
      </c>
      <c r="L744" t="inlineStr">
        <is>
          <t>Bifogas ej Beskrivning av luftflöden, utsläppspunkter, uppskattade luftföroreningsmängder Du kan välja att ladda upp dokumentet här eller skicka in det per post.</t>
        </is>
      </c>
      <c r="M744" t="inlineStr">
        <is>
          <t>SKA</t>
        </is>
      </c>
      <c r="N744" t="inlineStr"/>
      <c r="O744" t="inlineStr"/>
      <c r="P744" t="inlineStr"/>
      <c r="Q744" t="inlineStr"/>
      <c r="R744" t="inlineStr">
        <is>
          <t>Vid nederbord och avrinning</t>
        </is>
      </c>
      <c r="S744" t="inlineStr"/>
      <c r="T744" t="inlineStr"/>
      <c r="U744" t="inlineStr"/>
      <c r="V744" t="inlineStr"/>
      <c r="W744" t="inlineStr">
        <is>
          <t>Nej</t>
        </is>
      </c>
      <c r="X744" t="inlineStr">
        <is>
          <t>Ja</t>
        </is>
      </c>
      <c r="Y744" t="inlineStr">
        <is>
          <t>Ja</t>
        </is>
      </c>
      <c r="Z744" t="inlineStr">
        <is>
          <t>Nej</t>
        </is>
      </c>
      <c r="AA744" t="n">
        <v>6</v>
      </c>
      <c r="AB744" t="inlineStr">
        <is>
          <t>Lakvattenhantering</t>
        </is>
      </c>
      <c r="AC744" t="inlineStr">
        <is>
          <t>Flodesschema dagvatten-lakvatten</t>
        </is>
      </c>
      <c r="AD744" t="inlineStr">
        <is>
          <t>Nej</t>
        </is>
      </c>
      <c r="AE744" t="inlineStr">
        <is>
          <t>Nej</t>
        </is>
      </c>
      <c r="AF744" t="inlineStr">
        <is>
          <t>Ej behandlad</t>
        </is>
      </c>
      <c r="AG744" t="inlineStr">
        <is>
          <t>AUTO_GENERERAD. Verifiera citat mot kallfil.</t>
        </is>
      </c>
      <c r="AH744" t="inlineStr">
        <is>
          <t>MEDIUM</t>
        </is>
      </c>
      <c r="AI744" t="inlineStr">
        <is>
          <t>AUTO</t>
        </is>
      </c>
      <c r="AJ744" t="inlineStr">
        <is>
          <t>Nej</t>
        </is>
      </c>
      <c r="AK744" t="inlineStr"/>
      <c r="AL744" t="inlineStr"/>
      <c r="AM744" t="inlineStr"/>
      <c r="AN744" t="inlineStr"/>
      <c r="AO744" t="inlineStr">
        <is>
          <t>cmm4yuq8h03cqcuqw79qvo0km</t>
        </is>
      </c>
      <c r="AP744" t="inlineStr">
        <is>
          <t>http://localhost:8787/api/admin/requirements/documents/cmm4yuq8h03cqcuqw79qvo0km/view</t>
        </is>
      </c>
      <c r="AQ744">
        <f>HYPERLÄNK("http://localhost:8787/api/admin/requirements/documents/cmm4yuq8h03cqcuqw79qvo0km/view";"Öppna PDF")</f>
        <v/>
      </c>
      <c r="AR744">
        <f>HYPERLINK("http://localhost:8787/api/admin/requirements/documents/cmm4yuq8h03cqcuqw79qvo0km/view","Open PDF")</f>
        <v/>
      </c>
      <c r="AS744" t="inlineStr">
        <is>
          <t>cmm55w57p0004cuisfrtpqly8</t>
        </is>
      </c>
      <c r="AT744" t="inlineStr">
        <is>
          <t>cmm4xvu980000cuh4vj0usz09</t>
        </is>
      </c>
      <c r="AU744" t="inlineStr">
        <is>
          <t>-- Arvidsjaurs</t>
        </is>
      </c>
      <c r="AV744" t="inlineStr">
        <is>
          <t>Kommun</t>
        </is>
      </c>
      <c r="AW744" t="inlineStr">
        <is>
          <t>-- Arvidsjaurs kommun</t>
        </is>
      </c>
      <c r="AX744" t="inlineStr">
        <is>
          <t>0600-1800</t>
        </is>
      </c>
      <c r="AY744" t="inlineStr">
        <is>
          <t>Anmalan</t>
        </is>
      </c>
      <c r="AZ744" t="inlineStr">
        <is>
          <t>2026-02-04</t>
        </is>
      </c>
      <c r="BA744" t="inlineStr">
        <is>
          <t>MN-2025-421-Anmälan.pdf</t>
        </is>
      </c>
      <c r="BB744" t="inlineStr">
        <is>
          <t>Sv: till registrator</t>
        </is>
      </c>
      <c r="BC744" t="inlineStr">
        <is>
          <t>AUTO</t>
        </is>
      </c>
      <c r="BD744" t="inlineStr"/>
      <c r="BE744" t="inlineStr"/>
      <c r="BF744" t="inlineStr">
        <is>
          <t>AUTO_GENERERAD. Bekrafta metadata mot kallfil.</t>
        </is>
      </c>
      <c r="BG744">
        <f>HYPERLINK("C:\Users\jimmy\Desktop\Examens arbete\Kod\Ny mapp\remix_-copy-of-miljöbeslut.se-portal\MN-2025-421-Anmälan.pdf", "Öppna PDF")</f>
        <v/>
      </c>
    </row>
    <row r="745">
      <c r="A745" t="inlineStr">
        <is>
          <t>KRAV-AUTO-000744</t>
        </is>
      </c>
      <c r="B745" t="inlineStr">
        <is>
          <t>ADMIN-INDEX-2026-02-27-00000000125C043F57453246863FE664CAFE6A3F0700950291EA24F0614FB6ACEDB12BF0E31D00000000010C0000950291EA24F0614FB6ACEDB12BF0E31D00002087AE0C0000</t>
        </is>
      </c>
      <c r="C745" t="inlineStr">
        <is>
          <t>cmm4yuq7z03c8cuqwfikjuwgu</t>
        </is>
      </c>
      <c r="D745" t="inlineStr">
        <is>
          <t>http://localhost:8787/api/admin/requirements/documents/cmm4yuq7z03c8cuqwfikjuwgu/view</t>
        </is>
      </c>
      <c r="E745">
        <f>HYPERLÄNK("http://localhost:8787/api/admin/requirements/documents/cmm4yuq7z03c8cuqwfikjuwgu/view";"Öppna PDF")</f>
        <v/>
      </c>
      <c r="F745">
        <f>HYPERLINK("http://localhost:8787/api/admin/requirements/documents/cmm4yuq7z03c8cuqwfikjuwgu/view","Open PDF")</f>
        <v/>
      </c>
      <c r="G745" t="inlineStr">
        <is>
          <t>cmm55w57p0004cuisfrtpqly8</t>
        </is>
      </c>
      <c r="H745" t="inlineStr">
        <is>
          <t>Informationskrav</t>
        </is>
      </c>
      <c r="I745" t="inlineStr">
        <is>
          <t>MiljopaverkanForsiktighet</t>
        </is>
      </c>
      <c r="J745" t="inlineStr">
        <is>
          <t>Skyddsatgarder</t>
        </is>
      </c>
      <c r="K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745" t="inlineStr">
        <is>
          <t>SKA</t>
        </is>
      </c>
      <c r="N745" t="inlineStr">
        <is>
          <t>FMH</t>
        </is>
      </c>
      <c r="O745" t="inlineStr">
        <is>
          <t>2019-02-11</t>
        </is>
      </c>
      <c r="P745" t="inlineStr">
        <is>
          <t>Arlig</t>
        </is>
      </c>
      <c r="Q745" t="inlineStr"/>
      <c r="R745" t="inlineStr">
        <is>
          <t>Alltid</t>
        </is>
      </c>
      <c r="S745" t="inlineStr"/>
      <c r="T745" t="inlineStr"/>
      <c r="U745" t="inlineStr"/>
      <c r="V745" t="inlineStr"/>
      <c r="W745" t="inlineStr">
        <is>
          <t>Nej</t>
        </is>
      </c>
      <c r="X745" t="inlineStr">
        <is>
          <t>Nej</t>
        </is>
      </c>
      <c r="Y745" t="inlineStr">
        <is>
          <t>Nej</t>
        </is>
      </c>
      <c r="Z745" t="inlineStr">
        <is>
          <t>Nej</t>
        </is>
      </c>
      <c r="AA745" t="n">
        <v>10</v>
      </c>
      <c r="AB745" t="inlineStr">
        <is>
          <t>Miljopaverkan och forsiktighetsmatt</t>
        </is>
      </c>
      <c r="AC745" t="inlineStr">
        <is>
          <t>Miljo-PM</t>
        </is>
      </c>
      <c r="AD745" t="inlineStr">
        <is>
          <t>Nej</t>
        </is>
      </c>
      <c r="AE745" t="inlineStr">
        <is>
          <t>Nej</t>
        </is>
      </c>
      <c r="AF745" t="inlineStr">
        <is>
          <t>Ej behandlad</t>
        </is>
      </c>
      <c r="AG745" t="inlineStr">
        <is>
          <t>AUTO_GENERERAD. Verifiera citat mot kallfil.</t>
        </is>
      </c>
      <c r="AH745" t="inlineStr">
        <is>
          <t>MEDIUM</t>
        </is>
      </c>
      <c r="AI745" t="inlineStr">
        <is>
          <t>AUTO</t>
        </is>
      </c>
      <c r="AJ745" t="inlineStr">
        <is>
          <t>Nej</t>
        </is>
      </c>
      <c r="AK745" t="inlineStr"/>
      <c r="AL745" t="inlineStr"/>
      <c r="AM745" t="inlineStr"/>
      <c r="AN745" t="inlineStr"/>
      <c r="AO745" t="inlineStr">
        <is>
          <t>cmm4yuq7z03c8cuqwfikjuwgu</t>
        </is>
      </c>
      <c r="AP745" t="inlineStr">
        <is>
          <t>http://localhost:8787/api/admin/requirements/documents/cmm4yuq7z03c8cuqwfikjuwgu/view</t>
        </is>
      </c>
      <c r="AQ745">
        <f>HYPERLÄNK("http://localhost:8787/api/admin/requirements/documents/cmm4yuq7z03c8cuqwfikjuwgu/view";"Öppna PDF")</f>
        <v/>
      </c>
      <c r="AR745">
        <f>HYPERLINK("http://localhost:8787/api/admin/requirements/documents/cmm4yuq7z03c8cuqwfikjuwgu/view","Open PDF")</f>
        <v/>
      </c>
      <c r="AS745" t="inlineStr">
        <is>
          <t>cmm55w57p0004cuisfrtpqly8</t>
        </is>
      </c>
      <c r="AT745" t="inlineStr">
        <is>
          <t>cmm4xvu980000cuh4vj0usz09</t>
        </is>
      </c>
      <c r="AU745" t="inlineStr"/>
      <c r="AV745" t="inlineStr">
        <is>
          <t>Kommun</t>
        </is>
      </c>
      <c r="AW745" t="inlineStr"/>
      <c r="AX745" t="inlineStr">
        <is>
          <t>2019-4598</t>
        </is>
      </c>
      <c r="AY745" t="inlineStr">
        <is>
          <t>Anmalan</t>
        </is>
      </c>
      <c r="AZ745" t="inlineStr">
        <is>
          <t>2026-02-04</t>
        </is>
      </c>
      <c r="BA745" t="inlineStr">
        <is>
          <t>Diariekort anmälningspliktiga verksamheter.pdf</t>
        </is>
      </c>
      <c r="BB745" t="inlineStr">
        <is>
          <t>VB: till registrator</t>
        </is>
      </c>
      <c r="BC745" t="inlineStr">
        <is>
          <t>AUTO</t>
        </is>
      </c>
      <c r="BD745" t="inlineStr"/>
      <c r="BE745" t="inlineStr"/>
      <c r="BF745" t="inlineStr">
        <is>
          <t>AUTO_GENERERAD. Bekrafta metadata mot kallfil.</t>
        </is>
      </c>
      <c r="BG745">
        <f>HYPERLINK("C:\Users\jimmy\Desktop\Examens arbete\Kod\Ny mapp\remix_-copy-of-miljöbeslut.se-portal\Diariekort anmälningspliktiga verksamheter.pdf", "Öppna PDF")</f>
        <v/>
      </c>
    </row>
    <row r="746">
      <c r="A746" t="inlineStr">
        <is>
          <t>KRAV-AUTO-000745</t>
        </is>
      </c>
      <c r="B746" t="inlineStr">
        <is>
          <t>ADMIN-INDEX-2026-02-27-00000000125C043F57453246863FE664CAFE6A3F0700950291EA24F0614FB6ACEDB12BF0E31D00000000010C0000950291EA24F0614FB6ACEDB12BF0E31D00002087AE0C0000</t>
        </is>
      </c>
      <c r="C746" t="inlineStr">
        <is>
          <t>cmm4yuq7z03c8cuqwfikjuwgu</t>
        </is>
      </c>
      <c r="D746" t="inlineStr">
        <is>
          <t>http://localhost:8787/api/admin/requirements/documents/cmm4yuq7z03c8cuqwfikjuwgu/view</t>
        </is>
      </c>
      <c r="E746">
        <f>HYPERLÄNK("http://localhost:8787/api/admin/requirements/documents/cmm4yuq7z03c8cuqwfikjuwgu/view";"Öppna PDF")</f>
        <v/>
      </c>
      <c r="F746">
        <f>HYPERLINK("http://localhost:8787/api/admin/requirements/documents/cmm4yuq7z03c8cuqwfikjuwgu/view","Open PDF")</f>
        <v/>
      </c>
      <c r="G746" t="inlineStr">
        <is>
          <t>cmm55w57p0004cuisfrtpqly8</t>
        </is>
      </c>
      <c r="H746" t="inlineStr">
        <is>
          <t>Informationskrav</t>
        </is>
      </c>
      <c r="I746" t="inlineStr">
        <is>
          <t>MiljopaverkanForsiktighet</t>
        </is>
      </c>
      <c r="J746" t="inlineStr">
        <is>
          <t>Skyddsatgarder</t>
        </is>
      </c>
      <c r="K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746" t="inlineStr">
        <is>
          <t>BOR</t>
        </is>
      </c>
      <c r="N746" t="inlineStr"/>
      <c r="O746" t="inlineStr">
        <is>
          <t>2025-04-28</t>
        </is>
      </c>
      <c r="P746" t="inlineStr"/>
      <c r="Q746" t="inlineStr">
        <is>
          <t>Vite</t>
        </is>
      </c>
      <c r="R746" t="inlineStr">
        <is>
          <t>Alltid</t>
        </is>
      </c>
      <c r="S746" t="inlineStr"/>
      <c r="T746" t="inlineStr">
        <is>
          <t>26 2025</t>
        </is>
      </c>
      <c r="U746" t="inlineStr"/>
      <c r="V746" t="inlineStr"/>
      <c r="W746" t="inlineStr">
        <is>
          <t>Nej</t>
        </is>
      </c>
      <c r="X746" t="inlineStr">
        <is>
          <t>Nej</t>
        </is>
      </c>
      <c r="Y746" t="inlineStr">
        <is>
          <t>Nej</t>
        </is>
      </c>
      <c r="Z746" t="inlineStr">
        <is>
          <t>Nej</t>
        </is>
      </c>
      <c r="AA746" t="n">
        <v>10</v>
      </c>
      <c r="AB746" t="inlineStr">
        <is>
          <t>Miljopaverkan och forsiktighetsmatt</t>
        </is>
      </c>
      <c r="AC746" t="inlineStr">
        <is>
          <t>Miljo-PM</t>
        </is>
      </c>
      <c r="AD746" t="inlineStr">
        <is>
          <t>Nej</t>
        </is>
      </c>
      <c r="AE746" t="inlineStr">
        <is>
          <t>Nej</t>
        </is>
      </c>
      <c r="AF746" t="inlineStr">
        <is>
          <t>Ej behandlad</t>
        </is>
      </c>
      <c r="AG746" t="inlineStr">
        <is>
          <t>AUTO_GENERERAD. Verifiera citat mot kallfil.</t>
        </is>
      </c>
      <c r="AH746" t="inlineStr">
        <is>
          <t>MEDIUM</t>
        </is>
      </c>
      <c r="AI746" t="inlineStr">
        <is>
          <t>AUTO</t>
        </is>
      </c>
      <c r="AJ746" t="inlineStr">
        <is>
          <t>Nej</t>
        </is>
      </c>
      <c r="AK746" t="inlineStr"/>
      <c r="AL746" t="inlineStr"/>
      <c r="AM746" t="inlineStr"/>
      <c r="AN746" t="inlineStr"/>
      <c r="AO746" t="inlineStr">
        <is>
          <t>cmm4yuq7z03c8cuqwfikjuwgu</t>
        </is>
      </c>
      <c r="AP746" t="inlineStr">
        <is>
          <t>http://localhost:8787/api/admin/requirements/documents/cmm4yuq7z03c8cuqwfikjuwgu/view</t>
        </is>
      </c>
      <c r="AQ746">
        <f>HYPERLÄNK("http://localhost:8787/api/admin/requirements/documents/cmm4yuq7z03c8cuqwfikjuwgu/view";"Öppna PDF")</f>
        <v/>
      </c>
      <c r="AR746">
        <f>HYPERLINK("http://localhost:8787/api/admin/requirements/documents/cmm4yuq7z03c8cuqwfikjuwgu/view","Open PDF")</f>
        <v/>
      </c>
      <c r="AS746" t="inlineStr">
        <is>
          <t>cmm55w57p0004cuisfrtpqly8</t>
        </is>
      </c>
      <c r="AT746" t="inlineStr">
        <is>
          <t>cmm4xvu980000cuh4vj0usz09</t>
        </is>
      </c>
      <c r="AU746" t="inlineStr"/>
      <c r="AV746" t="inlineStr">
        <is>
          <t>Kommun</t>
        </is>
      </c>
      <c r="AW746" t="inlineStr"/>
      <c r="AX746" t="inlineStr">
        <is>
          <t>2019-4598</t>
        </is>
      </c>
      <c r="AY746" t="inlineStr">
        <is>
          <t>Anmalan</t>
        </is>
      </c>
      <c r="AZ746" t="inlineStr">
        <is>
          <t>2026-02-04</t>
        </is>
      </c>
      <c r="BA746" t="inlineStr">
        <is>
          <t>Diariekort anmälningspliktiga verksamheter.pdf</t>
        </is>
      </c>
      <c r="BB746" t="inlineStr">
        <is>
          <t>VB: till registrator</t>
        </is>
      </c>
      <c r="BC746" t="inlineStr">
        <is>
          <t>AUTO</t>
        </is>
      </c>
      <c r="BD746" t="inlineStr"/>
      <c r="BE746" t="inlineStr"/>
      <c r="BF746" t="inlineStr">
        <is>
          <t>AUTO_GENERERAD. Bekrafta metadata mot kallfil.</t>
        </is>
      </c>
      <c r="BG746">
        <f>HYPERLINK("C:\Users\jimmy\Desktop\Examens arbete\Kod\Ny mapp\remix_-copy-of-miljöbeslut.se-portal\Diariekort anmälningspliktiga verksamheter.pdf", "Öppna PDF")</f>
        <v/>
      </c>
    </row>
    <row r="747">
      <c r="A747" t="inlineStr">
        <is>
          <t>KRAV-AUTO-000746</t>
        </is>
      </c>
      <c r="B747" t="inlineStr">
        <is>
          <t>ADMIN-INDEX-2026-02-27-00000000125C043F57453246863FE664CAFE6A3F0700950291EA24F0614FB6ACEDB12BF0E31D00000000010C0000950291EA24F0614FB6ACEDB12BF0E31D00002087AE0F0000</t>
        </is>
      </c>
      <c r="C747" t="inlineStr">
        <is>
          <t>cmm4yuq7w03c5cuqwlsylb0mg</t>
        </is>
      </c>
      <c r="D747" t="inlineStr">
        <is>
          <t>http://localhost:8787/api/admin/requirements/documents/cmm4yuq7w03c5cuqwlsylb0mg/view</t>
        </is>
      </c>
      <c r="E747">
        <f>HYPERLÄNK("http://localhost:8787/api/admin/requirements/documents/cmm4yuq7w03c5cuqwlsylb0mg/view";"Öppna PDF")</f>
        <v/>
      </c>
      <c r="F747">
        <f>HYPERLINK("http://localhost:8787/api/admin/requirements/documents/cmm4yuq7w03c5cuqwlsylb0mg/view","Open PDF")</f>
        <v/>
      </c>
      <c r="G747" t="inlineStr">
        <is>
          <t>cmm55w57p0004cuisfrtpqly8</t>
        </is>
      </c>
      <c r="H747" t="inlineStr">
        <is>
          <t>Informationskrav</t>
        </is>
      </c>
      <c r="I747" t="inlineStr">
        <is>
          <t>MiljopaverkanForsiktighet</t>
        </is>
      </c>
      <c r="J747" t="inlineStr">
        <is>
          <t>Skyddsatgarder</t>
        </is>
      </c>
      <c r="K747" t="inlineStr">
        <is>
          <t>Con- tainrar och kärl kommer att placeras ut på platsen för att boende i närområ- det enkelt ska kunna lämna sitt trädgårdsavfall.</t>
        </is>
      </c>
      <c r="L747" t="inlineStr">
        <is>
          <t>Con- tainrar och kärl kommer att placeras ut på platsen för att boende i närområ- det enkelt ska kunna lämna sitt trädgårdsavfall.</t>
        </is>
      </c>
      <c r="M747" t="inlineStr">
        <is>
          <t>SKA</t>
        </is>
      </c>
      <c r="N747" t="inlineStr">
        <is>
          <t>FMH</t>
        </is>
      </c>
      <c r="O747" t="inlineStr"/>
      <c r="P747" t="inlineStr"/>
      <c r="Q747" t="inlineStr"/>
      <c r="R747" t="inlineStr">
        <is>
          <t>Alltid</t>
        </is>
      </c>
      <c r="S747" t="inlineStr"/>
      <c r="T747" t="inlineStr">
        <is>
          <t>143000</t>
        </is>
      </c>
      <c r="U747" t="inlineStr"/>
      <c r="V747" t="inlineStr"/>
      <c r="W747" t="inlineStr">
        <is>
          <t>Nej</t>
        </is>
      </c>
      <c r="X747" t="inlineStr">
        <is>
          <t>Nej</t>
        </is>
      </c>
      <c r="Y747" t="inlineStr">
        <is>
          <t>Nej</t>
        </is>
      </c>
      <c r="Z747" t="inlineStr">
        <is>
          <t>Nej</t>
        </is>
      </c>
      <c r="AA747" t="n">
        <v>10</v>
      </c>
      <c r="AB747" t="inlineStr">
        <is>
          <t>Miljopaverkan och forsiktighetsmatt</t>
        </is>
      </c>
      <c r="AC747" t="inlineStr">
        <is>
          <t>Miljo-PM</t>
        </is>
      </c>
      <c r="AD747" t="inlineStr">
        <is>
          <t>Nej</t>
        </is>
      </c>
      <c r="AE747" t="inlineStr">
        <is>
          <t>Nej</t>
        </is>
      </c>
      <c r="AF747" t="inlineStr">
        <is>
          <t>Ej behandlad</t>
        </is>
      </c>
      <c r="AG747" t="inlineStr">
        <is>
          <t>AUTO_GENERERAD. Verifiera citat mot kallfil.</t>
        </is>
      </c>
      <c r="AH747" t="inlineStr">
        <is>
          <t>HIGH</t>
        </is>
      </c>
      <c r="AI747" t="inlineStr">
        <is>
          <t>AUTO</t>
        </is>
      </c>
      <c r="AJ747" t="inlineStr">
        <is>
          <t>Nej</t>
        </is>
      </c>
      <c r="AK747" t="inlineStr"/>
      <c r="AL747" t="inlineStr"/>
      <c r="AM747" t="inlineStr"/>
      <c r="AN747" t="inlineStr"/>
      <c r="AO747" t="inlineStr">
        <is>
          <t>cmm4yuq7w03c5cuqwlsylb0mg</t>
        </is>
      </c>
      <c r="AP747" t="inlineStr">
        <is>
          <t>http://localhost:8787/api/admin/requirements/documents/cmm4yuq7w03c5cuqwlsylb0mg/view</t>
        </is>
      </c>
      <c r="AQ747">
        <f>HYPERLÄNK("http://localhost:8787/api/admin/requirements/documents/cmm4yuq7w03c5cuqwlsylb0mg/view";"Öppna PDF")</f>
        <v/>
      </c>
      <c r="AR747">
        <f>HYPERLINK("http://localhost:8787/api/admin/requirements/documents/cmm4yuq7w03c5cuqwlsylb0mg/view","Open PDF")</f>
        <v/>
      </c>
      <c r="AS747" t="inlineStr">
        <is>
          <t>cmm55w57p0004cuisfrtpqly8</t>
        </is>
      </c>
      <c r="AT747" t="inlineStr">
        <is>
          <t>cmm4xvu980000cuh4vj0usz09</t>
        </is>
      </c>
      <c r="AU747" t="inlineStr">
        <is>
          <t>Östersunds</t>
        </is>
      </c>
      <c r="AV747" t="inlineStr">
        <is>
          <t>Kommun</t>
        </is>
      </c>
      <c r="AW747" t="inlineStr">
        <is>
          <t>Östersunds kommun</t>
        </is>
      </c>
      <c r="AX747" t="inlineStr">
        <is>
          <t>2025-07</t>
        </is>
      </c>
      <c r="AY747" t="inlineStr">
        <is>
          <t>Anmalan</t>
        </is>
      </c>
      <c r="AZ747" t="inlineStr">
        <is>
          <t>2026-02-04</t>
        </is>
      </c>
      <c r="BA747" t="inlineStr">
        <is>
          <t>Handlingar för ärende TN-00592-2025.pdf</t>
        </is>
      </c>
      <c r="BB747" t="inlineStr">
        <is>
          <t>Handlingar för ärende TN-00592-2025, Anmälan av miljöfarlig verksamhet - Tillfällig insamling av trädgårdsavfall Frösön - Frösö-Berge 21:212</t>
        </is>
      </c>
      <c r="BC747" t="inlineStr">
        <is>
          <t>AUTO</t>
        </is>
      </c>
      <c r="BD747" t="inlineStr"/>
      <c r="BE747" t="inlineStr"/>
      <c r="BF747" t="inlineStr">
        <is>
          <t>AUTO_GENERERAD. Bekrafta metadata mot kallfil.</t>
        </is>
      </c>
      <c r="BG747">
        <f>HYPERLINK("C:\Users\jimmy\Desktop\Examens arbete\Kod\Ny mapp\remix_-copy-of-miljöbeslut.se-portal\Handlingar för ärende TN-00592-2025.pdf", "Öppna PDF")</f>
        <v/>
      </c>
    </row>
    <row r="748">
      <c r="A748" t="inlineStr">
        <is>
          <t>KRAV-AUTO-000747</t>
        </is>
      </c>
      <c r="B748" t="inlineStr">
        <is>
          <t>ADMIN-INDEX-2026-02-27-00000000125C043F57453246863FE664CAFE6A3F0700950291EA24F0614FB6ACEDB12BF0E31D00000000010C0000950291EA24F0614FB6ACEDB12BF0E31D00002087AE0F0000</t>
        </is>
      </c>
      <c r="C748" t="inlineStr">
        <is>
          <t>cmm4yuq7w03c5cuqwlsylb0mg</t>
        </is>
      </c>
      <c r="D748" t="inlineStr">
        <is>
          <t>http://localhost:8787/api/admin/requirements/documents/cmm4yuq7w03c5cuqwlsylb0mg/view</t>
        </is>
      </c>
      <c r="E748">
        <f>HYPERLÄNK("http://localhost:8787/api/admin/requirements/documents/cmm4yuq7w03c5cuqwlsylb0mg/view";"Öppna PDF")</f>
        <v/>
      </c>
      <c r="F748">
        <f>HYPERLINK("http://localhost:8787/api/admin/requirements/documents/cmm4yuq7w03c5cuqwlsylb0mg/view","Open PDF")</f>
        <v/>
      </c>
      <c r="G748" t="inlineStr">
        <is>
          <t>cmm55w57p0004cuisfrtpqly8</t>
        </is>
      </c>
      <c r="H748" t="inlineStr">
        <is>
          <t>Informationskrav</t>
        </is>
      </c>
      <c r="I748" t="inlineStr">
        <is>
          <t>MiljopaverkanForsiktighet</t>
        </is>
      </c>
      <c r="J748" t="inlineStr">
        <is>
          <t>Skyddsatgarder</t>
        </is>
      </c>
      <c r="K748" t="inlineStr">
        <is>
          <t>Nämnden anser att det är viktigt att det inte står kvar några containrar/kärl under övrig tid för att inte allmänheten ska få uppfattningen att det är en permanent läm- ningsplats för trädgårdsavfall.</t>
        </is>
      </c>
      <c r="L748" t="inlineStr">
        <is>
          <t>Nämnden anser att det är viktigt att det inte står kvar några containrar/kärl under övrig tid för att inte allmänheten ska få uppfattningen att det är en permanent läm- ningsplats för trädgårdsavfall.</t>
        </is>
      </c>
      <c r="M748" t="inlineStr">
        <is>
          <t>SKA</t>
        </is>
      </c>
      <c r="N748" t="inlineStr">
        <is>
          <t>FMH</t>
        </is>
      </c>
      <c r="O748" t="inlineStr"/>
      <c r="P748" t="inlineStr"/>
      <c r="Q748" t="inlineStr"/>
      <c r="R748" t="inlineStr">
        <is>
          <t>Alltid</t>
        </is>
      </c>
      <c r="S748" t="inlineStr"/>
      <c r="T748" t="inlineStr">
        <is>
          <t>143000</t>
        </is>
      </c>
      <c r="U748" t="inlineStr"/>
      <c r="V748" t="inlineStr"/>
      <c r="W748" t="inlineStr">
        <is>
          <t>Nej</t>
        </is>
      </c>
      <c r="X748" t="inlineStr">
        <is>
          <t>Nej</t>
        </is>
      </c>
      <c r="Y748" t="inlineStr">
        <is>
          <t>Nej</t>
        </is>
      </c>
      <c r="Z748" t="inlineStr">
        <is>
          <t>Nej</t>
        </is>
      </c>
      <c r="AA748" t="n">
        <v>10</v>
      </c>
      <c r="AB748" t="inlineStr">
        <is>
          <t>Miljopaverkan och forsiktighetsmatt</t>
        </is>
      </c>
      <c r="AC748" t="inlineStr">
        <is>
          <t>Miljo-PM</t>
        </is>
      </c>
      <c r="AD748" t="inlineStr">
        <is>
          <t>Nej</t>
        </is>
      </c>
      <c r="AE748" t="inlineStr">
        <is>
          <t>Nej</t>
        </is>
      </c>
      <c r="AF748" t="inlineStr">
        <is>
          <t>Ej behandlad</t>
        </is>
      </c>
      <c r="AG748" t="inlineStr">
        <is>
          <t>AUTO_GENERERAD. Verifiera citat mot kallfil.</t>
        </is>
      </c>
      <c r="AH748" t="inlineStr">
        <is>
          <t>HIGH</t>
        </is>
      </c>
      <c r="AI748" t="inlineStr">
        <is>
          <t>AUTO</t>
        </is>
      </c>
      <c r="AJ748" t="inlineStr">
        <is>
          <t>Nej</t>
        </is>
      </c>
      <c r="AK748" t="inlineStr"/>
      <c r="AL748" t="inlineStr"/>
      <c r="AM748" t="inlineStr"/>
      <c r="AN748" t="inlineStr"/>
      <c r="AO748" t="inlineStr">
        <is>
          <t>cmm4yuq7w03c5cuqwlsylb0mg</t>
        </is>
      </c>
      <c r="AP748" t="inlineStr">
        <is>
          <t>http://localhost:8787/api/admin/requirements/documents/cmm4yuq7w03c5cuqwlsylb0mg/view</t>
        </is>
      </c>
      <c r="AQ748">
        <f>HYPERLÄNK("http://localhost:8787/api/admin/requirements/documents/cmm4yuq7w03c5cuqwlsylb0mg/view";"Öppna PDF")</f>
        <v/>
      </c>
      <c r="AR748">
        <f>HYPERLINK("http://localhost:8787/api/admin/requirements/documents/cmm4yuq7w03c5cuqwlsylb0mg/view","Open PDF")</f>
        <v/>
      </c>
      <c r="AS748" t="inlineStr">
        <is>
          <t>cmm55w57p0004cuisfrtpqly8</t>
        </is>
      </c>
      <c r="AT748" t="inlineStr">
        <is>
          <t>cmm4xvu980000cuh4vj0usz09</t>
        </is>
      </c>
      <c r="AU748" t="inlineStr">
        <is>
          <t>Östersunds</t>
        </is>
      </c>
      <c r="AV748" t="inlineStr">
        <is>
          <t>Kommun</t>
        </is>
      </c>
      <c r="AW748" t="inlineStr">
        <is>
          <t>Östersunds kommun</t>
        </is>
      </c>
      <c r="AX748" t="inlineStr">
        <is>
          <t>2025-07</t>
        </is>
      </c>
      <c r="AY748" t="inlineStr">
        <is>
          <t>Anmalan</t>
        </is>
      </c>
      <c r="AZ748" t="inlineStr">
        <is>
          <t>2026-02-04</t>
        </is>
      </c>
      <c r="BA748" t="inlineStr">
        <is>
          <t>Handlingar för ärende TN-00592-2025.pdf</t>
        </is>
      </c>
      <c r="BB748" t="inlineStr">
        <is>
          <t>Handlingar för ärende TN-00592-2025, Anmälan av miljöfarlig verksamhet - Tillfällig insamling av trädgårdsavfall Frösön - Frösö-Berge 21:212</t>
        </is>
      </c>
      <c r="BC748" t="inlineStr">
        <is>
          <t>AUTO</t>
        </is>
      </c>
      <c r="BD748" t="inlineStr"/>
      <c r="BE748" t="inlineStr"/>
      <c r="BF748" t="inlineStr">
        <is>
          <t>AUTO_GENERERAD. Bekrafta metadata mot kallfil.</t>
        </is>
      </c>
      <c r="BG748">
        <f>HYPERLINK("C:\Users\jimmy\Desktop\Examens arbete\Kod\Ny mapp\remix_-copy-of-miljöbeslut.se-portal\Handlingar för ärende TN-00592-2025.pdf", "Öppna PDF")</f>
        <v/>
      </c>
    </row>
    <row r="749">
      <c r="A749" t="inlineStr">
        <is>
          <t>KRAV-AUTO-000748</t>
        </is>
      </c>
      <c r="B749" t="inlineStr">
        <is>
          <t>ADMIN-INDEX-2026-02-27-00000000125C043F57453246863FE664CAFE6A3F0700950291EA24F0614FB6ACEDB12BF0E31D00000000010C0000950291EA24F0614FB6ACEDB12BF0E31D00002087AE0F0000</t>
        </is>
      </c>
      <c r="C749" t="inlineStr">
        <is>
          <t>cmm4yuq7w03c5cuqwlsylb0mg</t>
        </is>
      </c>
      <c r="D749" t="inlineStr">
        <is>
          <t>http://localhost:8787/api/admin/requirements/documents/cmm4yuq7w03c5cuqwlsylb0mg/view</t>
        </is>
      </c>
      <c r="E749">
        <f>HYPERLÄNK("http://localhost:8787/api/admin/requirements/documents/cmm4yuq7w03c5cuqwlsylb0mg/view";"Öppna PDF")</f>
        <v/>
      </c>
      <c r="F749">
        <f>HYPERLINK("http://localhost:8787/api/admin/requirements/documents/cmm4yuq7w03c5cuqwlsylb0mg/view","Open PDF")</f>
        <v/>
      </c>
      <c r="G749" t="inlineStr">
        <is>
          <t>cmm55w57p0004cuisfrtpqly8</t>
        </is>
      </c>
      <c r="H749" t="inlineStr">
        <is>
          <t>Informationskrav</t>
        </is>
      </c>
      <c r="I749" t="inlineStr">
        <is>
          <t>Riskhantering</t>
        </is>
      </c>
      <c r="J749" t="inlineStr">
        <is>
          <t>Riskkontroll</t>
        </is>
      </c>
      <c r="K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749" t="inlineStr">
        <is>
          <t>SKA</t>
        </is>
      </c>
      <c r="N749" t="inlineStr">
        <is>
          <t>FMH</t>
        </is>
      </c>
      <c r="O749" t="inlineStr">
        <is>
          <t>2025-05-02</t>
        </is>
      </c>
      <c r="P749" t="inlineStr"/>
      <c r="Q749" t="inlineStr"/>
      <c r="R749" t="inlineStr">
        <is>
          <t>Vid risk for incident</t>
        </is>
      </c>
      <c r="S749" t="inlineStr"/>
      <c r="T749" t="inlineStr">
        <is>
          <t>143000</t>
        </is>
      </c>
      <c r="U749" t="inlineStr"/>
      <c r="V749" t="inlineStr"/>
      <c r="W749" t="inlineStr">
        <is>
          <t>Nej</t>
        </is>
      </c>
      <c r="X749" t="inlineStr">
        <is>
          <t>Nej</t>
        </is>
      </c>
      <c r="Y749" t="inlineStr">
        <is>
          <t>Ja</t>
        </is>
      </c>
      <c r="Z749" t="inlineStr">
        <is>
          <t>Ja</t>
        </is>
      </c>
      <c r="AA749" t="n">
        <v>8</v>
      </c>
      <c r="AB749" t="inlineStr">
        <is>
          <t>Riskhantering</t>
        </is>
      </c>
      <c r="AC749" t="inlineStr">
        <is>
          <t>Risk-PM</t>
        </is>
      </c>
      <c r="AD749" t="inlineStr">
        <is>
          <t>Nej</t>
        </is>
      </c>
      <c r="AE749" t="inlineStr">
        <is>
          <t>Nej</t>
        </is>
      </c>
      <c r="AF749" t="inlineStr">
        <is>
          <t>Ej behandlad</t>
        </is>
      </c>
      <c r="AG749" t="inlineStr">
        <is>
          <t>AUTO_GENERERAD. Verifiera citat mot kallfil.</t>
        </is>
      </c>
      <c r="AH749" t="inlineStr">
        <is>
          <t>HIGH</t>
        </is>
      </c>
      <c r="AI749" t="inlineStr">
        <is>
          <t>AUTO</t>
        </is>
      </c>
      <c r="AJ749" t="inlineStr">
        <is>
          <t>Nej</t>
        </is>
      </c>
      <c r="AK749" t="inlineStr"/>
      <c r="AL749" t="inlineStr"/>
      <c r="AM749" t="inlineStr"/>
      <c r="AN749" t="inlineStr"/>
      <c r="AO749" t="inlineStr">
        <is>
          <t>cmm4yuq7w03c5cuqwlsylb0mg</t>
        </is>
      </c>
      <c r="AP749" t="inlineStr">
        <is>
          <t>http://localhost:8787/api/admin/requirements/documents/cmm4yuq7w03c5cuqwlsylb0mg/view</t>
        </is>
      </c>
      <c r="AQ749">
        <f>HYPERLÄNK("http://localhost:8787/api/admin/requirements/documents/cmm4yuq7w03c5cuqwlsylb0mg/view";"Öppna PDF")</f>
        <v/>
      </c>
      <c r="AR749">
        <f>HYPERLINK("http://localhost:8787/api/admin/requirements/documents/cmm4yuq7w03c5cuqwlsylb0mg/view","Open PDF")</f>
        <v/>
      </c>
      <c r="AS749" t="inlineStr">
        <is>
          <t>cmm55w57p0004cuisfrtpqly8</t>
        </is>
      </c>
      <c r="AT749" t="inlineStr">
        <is>
          <t>cmm4xvu980000cuh4vj0usz09</t>
        </is>
      </c>
      <c r="AU749" t="inlineStr">
        <is>
          <t>Östersunds</t>
        </is>
      </c>
      <c r="AV749" t="inlineStr">
        <is>
          <t>Kommun</t>
        </is>
      </c>
      <c r="AW749" t="inlineStr">
        <is>
          <t>Östersunds kommun</t>
        </is>
      </c>
      <c r="AX749" t="inlineStr">
        <is>
          <t>2025-07</t>
        </is>
      </c>
      <c r="AY749" t="inlineStr">
        <is>
          <t>Anmalan</t>
        </is>
      </c>
      <c r="AZ749" t="inlineStr">
        <is>
          <t>2026-02-04</t>
        </is>
      </c>
      <c r="BA749" t="inlineStr">
        <is>
          <t>Handlingar för ärende TN-00592-2025.pdf</t>
        </is>
      </c>
      <c r="BB749" t="inlineStr">
        <is>
          <t>Handlingar för ärende TN-00592-2025, Anmälan av miljöfarlig verksamhet - Tillfällig insamling av trädgårdsavfall Frösön - Frösö-Berge 21:212</t>
        </is>
      </c>
      <c r="BC749" t="inlineStr">
        <is>
          <t>AUTO</t>
        </is>
      </c>
      <c r="BD749" t="inlineStr"/>
      <c r="BE749" t="inlineStr"/>
      <c r="BF749" t="inlineStr">
        <is>
          <t>AUTO_GENERERAD. Bekrafta metadata mot kallfil.</t>
        </is>
      </c>
      <c r="BG749">
        <f>HYPERLINK("C:\Users\jimmy\Desktop\Examens arbete\Kod\Ny mapp\remix_-copy-of-miljöbeslut.se-portal\Handlingar för ärende TN-00592-2025.pdf", "Öppna PDF")</f>
        <v/>
      </c>
    </row>
    <row r="750">
      <c r="A750" t="inlineStr">
        <is>
          <t>KRAV-AUTO-000749</t>
        </is>
      </c>
      <c r="B750" t="inlineStr">
        <is>
          <t>ADMIN-INDEX-2026-02-27-00000000125C043F57453246863FE664CAFE6A3F0700950291EA24F0614FB6ACEDB12BF0E31D00000000010C0000950291EA24F0614FB6ACEDB12BF0E31D00002087A5BE0000</t>
        </is>
      </c>
      <c r="C750" t="inlineStr">
        <is>
          <t>cmm4yur0y043hcuqwuogltp4v</t>
        </is>
      </c>
      <c r="D750" t="inlineStr">
        <is>
          <t>http://localhost:8787/api/admin/requirements/documents/cmm4yur0y043hcuqwuogltp4v/view</t>
        </is>
      </c>
      <c r="E750">
        <f>HYPERLÄNK("http://localhost:8787/api/admin/requirements/documents/cmm4yur0y043hcuqwuogltp4v/view";"Öppna PDF")</f>
        <v/>
      </c>
      <c r="F750">
        <f>HYPERLINK("http://localhost:8787/api/admin/requirements/documents/cmm4yur0y043hcuqwuogltp4v/view","Open PDF")</f>
        <v/>
      </c>
      <c r="G750" t="inlineStr">
        <is>
          <t>cmm55w57p0004cuisfrtpqly8</t>
        </is>
      </c>
      <c r="H750" t="inlineStr">
        <is>
          <t>Beslutsvillkor</t>
        </is>
      </c>
      <c r="I750" t="inlineStr">
        <is>
          <t>Ytkonstruktion</t>
        </is>
      </c>
      <c r="J750" t="inlineStr">
        <is>
          <t>Tat yta</t>
        </is>
      </c>
      <c r="K750" t="inlineStr">
        <is>
          <t>Kemikalier, petroleumprodukter och farligt avfall ska förvaras i täta behållare på tät, invallad yta, som är skyddad från nederbörd.</t>
        </is>
      </c>
      <c r="L750" t="inlineStr">
        <is>
          <t>Kemikalier, petroleumprodukter och farligt avfall ska förvaras i täta behållare på tät, invallad yta, som är skyddad från nederbörd.</t>
        </is>
      </c>
      <c r="M750" t="inlineStr">
        <is>
          <t>SKA</t>
        </is>
      </c>
      <c r="N750" t="inlineStr"/>
      <c r="O750" t="inlineStr"/>
      <c r="P750" t="inlineStr">
        <is>
          <t>Arlig</t>
        </is>
      </c>
      <c r="Q750" t="inlineStr"/>
      <c r="R750" t="inlineStr">
        <is>
          <t>Vid mellanlagring av avfall</t>
        </is>
      </c>
      <c r="S750" t="inlineStr"/>
      <c r="T750" t="inlineStr">
        <is>
          <t>714755</t>
        </is>
      </c>
      <c r="U750" t="inlineStr"/>
      <c r="V750" t="inlineStr"/>
      <c r="W750" t="inlineStr">
        <is>
          <t>Ja</t>
        </is>
      </c>
      <c r="X750" t="inlineStr">
        <is>
          <t>Nej</t>
        </is>
      </c>
      <c r="Y750" t="inlineStr">
        <is>
          <t>Nej</t>
        </is>
      </c>
      <c r="Z750" t="inlineStr">
        <is>
          <t>Nej</t>
        </is>
      </c>
      <c r="AA750" t="n">
        <v>5</v>
      </c>
      <c r="AB750" t="inlineStr">
        <is>
          <t>Teknisk beskrivning av platta</t>
        </is>
      </c>
      <c r="AC750" t="inlineStr">
        <is>
          <t>Teknisk ritning platta</t>
        </is>
      </c>
      <c r="AD750" t="inlineStr">
        <is>
          <t>Nej</t>
        </is>
      </c>
      <c r="AE750" t="inlineStr">
        <is>
          <t>Nej</t>
        </is>
      </c>
      <c r="AF750" t="inlineStr">
        <is>
          <t>Ej behandlad</t>
        </is>
      </c>
      <c r="AG750" t="inlineStr">
        <is>
          <t>AUTO_GENERERAD. Verifiera citat mot kallfil.</t>
        </is>
      </c>
      <c r="AH750" t="inlineStr">
        <is>
          <t>MEDIUM</t>
        </is>
      </c>
      <c r="AI750" t="inlineStr">
        <is>
          <t>AUTO</t>
        </is>
      </c>
      <c r="AJ750" t="inlineStr">
        <is>
          <t>Nej</t>
        </is>
      </c>
      <c r="AK750" t="inlineStr"/>
      <c r="AL750" t="inlineStr"/>
      <c r="AM750" t="inlineStr"/>
      <c r="AN750" t="inlineStr"/>
      <c r="AO750" t="inlineStr">
        <is>
          <t>cmm4yur0v043ecuqw8uyv5zks</t>
        </is>
      </c>
      <c r="AP750" t="inlineStr">
        <is>
          <t>http://localhost:8787/api/admin/requirements/documents/cmm4yur0v043ecuqw8uyv5zks/view</t>
        </is>
      </c>
      <c r="AQ750">
        <f>HYPERLÄNK("http://localhost:8787/api/admin/requirements/documents/cmm4yur0v043ecuqw8uyv5zks/view";"Öppna PDF")</f>
        <v/>
      </c>
      <c r="AR750">
        <f>HYPERLINK("http://localhost:8787/api/admin/requirements/documents/cmm4yur0v043ecuqw8uyv5zks/view","Open PDF")</f>
        <v/>
      </c>
      <c r="AS750" t="inlineStr">
        <is>
          <t>cmm55w57p0004cuisfrtpqly8</t>
        </is>
      </c>
      <c r="AT750" t="inlineStr">
        <is>
          <t>cmm4xvu980000cuh4vj0usz09</t>
        </is>
      </c>
      <c r="AU750" t="inlineStr"/>
      <c r="AV750" t="inlineStr">
        <is>
          <t>Kommun</t>
        </is>
      </c>
      <c r="AW750" t="inlineStr"/>
      <c r="AX750" t="inlineStr">
        <is>
          <t>2022-09</t>
        </is>
      </c>
      <c r="AY750" t="inlineStr">
        <is>
          <t>Beslut</t>
        </is>
      </c>
      <c r="AZ750" t="inlineStr">
        <is>
          <t>2026-02-05</t>
        </is>
      </c>
      <c r="BA750" t="inlineStr">
        <is>
          <t>Teknisk beskrivning.pdf</t>
        </is>
      </c>
      <c r="BB750" t="inlineStr">
        <is>
          <t>Sv: till registrator</t>
        </is>
      </c>
      <c r="BC750" t="inlineStr">
        <is>
          <t>AUTO</t>
        </is>
      </c>
      <c r="BD750" t="inlineStr"/>
      <c r="BE750" t="inlineStr"/>
      <c r="BF750" t="inlineStr">
        <is>
          <t>AUTO_GENERERAD. Bekrafta metadata mot kallfil.</t>
        </is>
      </c>
      <c r="BG750">
        <f>HYPERLINK("C:\Users\jimmy\Desktop\Examens arbete\Kod\Ny mapp\remix_-copy-of-miljöbeslut.se-portal\Teknisk beskrivning.pdf", "Öppna PDF")</f>
        <v/>
      </c>
    </row>
    <row r="751">
      <c r="A751" t="inlineStr">
        <is>
          <t>KRAV-AUTO-000750</t>
        </is>
      </c>
      <c r="B751" t="inlineStr">
        <is>
          <t>ADMIN-INDEX-2026-02-27-00000000125C043F57453246863FE664CAFE6A3F0700950291EA24F0614FB6ACEDB12BF0E31D00000000010C0000950291EA24F0614FB6ACEDB12BF0E31D00002087A5BE0000</t>
        </is>
      </c>
      <c r="C751" t="inlineStr">
        <is>
          <t>cmm4yur0y043hcuqwuogltp4v</t>
        </is>
      </c>
      <c r="D751" t="inlineStr">
        <is>
          <t>http://localhost:8787/api/admin/requirements/documents/cmm4yur0y043hcuqwuogltp4v/view</t>
        </is>
      </c>
      <c r="E751">
        <f>HYPERLÄNK("http://localhost:8787/api/admin/requirements/documents/cmm4yur0y043hcuqwuogltp4v/view";"Öppna PDF")</f>
        <v/>
      </c>
      <c r="F751">
        <f>HYPERLINK("http://localhost:8787/api/admin/requirements/documents/cmm4yur0y043hcuqwuogltp4v/view","Open PDF")</f>
        <v/>
      </c>
      <c r="G751" t="inlineStr">
        <is>
          <t>cmm55w57p0004cuisfrtpqly8</t>
        </is>
      </c>
      <c r="H751" t="inlineStr">
        <is>
          <t>Beslutsvillkor</t>
        </is>
      </c>
      <c r="I751" t="inlineStr">
        <is>
          <t>Ytkonstruktion</t>
        </is>
      </c>
      <c r="J751" t="inlineStr">
        <is>
          <t>Tat yta</t>
        </is>
      </c>
      <c r="K751" t="inlineStr">
        <is>
          <t>Behållare ska skyddas mot påkörning och vid förvaring utomhus ska invallningen vara skyddad mot nederbörd.</t>
        </is>
      </c>
      <c r="L751" t="inlineStr">
        <is>
          <t>Behållare ska skyddas mot påkörning och vid förvaring utomhus ska invallningen vara skyddad mot nederbörd.</t>
        </is>
      </c>
      <c r="M751" t="inlineStr">
        <is>
          <t>SKA</t>
        </is>
      </c>
      <c r="N751" t="inlineStr"/>
      <c r="O751" t="inlineStr"/>
      <c r="P751" t="inlineStr"/>
      <c r="Q751" t="inlineStr"/>
      <c r="R751" t="inlineStr">
        <is>
          <t>Vid mellanlagring av avfall</t>
        </is>
      </c>
      <c r="S751" t="inlineStr"/>
      <c r="T751" t="inlineStr">
        <is>
          <t>714755</t>
        </is>
      </c>
      <c r="U751" t="inlineStr"/>
      <c r="V751" t="inlineStr"/>
      <c r="W751" t="inlineStr">
        <is>
          <t>Ja</t>
        </is>
      </c>
      <c r="X751" t="inlineStr">
        <is>
          <t>Nej</t>
        </is>
      </c>
      <c r="Y751" t="inlineStr">
        <is>
          <t>Nej</t>
        </is>
      </c>
      <c r="Z751" t="inlineStr">
        <is>
          <t>Nej</t>
        </is>
      </c>
      <c r="AA751" t="n">
        <v>5</v>
      </c>
      <c r="AB751" t="inlineStr">
        <is>
          <t>Teknisk beskrivning av platta</t>
        </is>
      </c>
      <c r="AC751" t="inlineStr">
        <is>
          <t>Teknisk ritning platta</t>
        </is>
      </c>
      <c r="AD751" t="inlineStr">
        <is>
          <t>Nej</t>
        </is>
      </c>
      <c r="AE751" t="inlineStr">
        <is>
          <t>Nej</t>
        </is>
      </c>
      <c r="AF751" t="inlineStr">
        <is>
          <t>Ej behandlad</t>
        </is>
      </c>
      <c r="AG751" t="inlineStr">
        <is>
          <t>AUTO_GENERERAD. Verifiera citat mot kallfil.</t>
        </is>
      </c>
      <c r="AH751" t="inlineStr">
        <is>
          <t>MEDIUM</t>
        </is>
      </c>
      <c r="AI751" t="inlineStr">
        <is>
          <t>AUTO</t>
        </is>
      </c>
      <c r="AJ751" t="inlineStr">
        <is>
          <t>Nej</t>
        </is>
      </c>
      <c r="AK751" t="inlineStr"/>
      <c r="AL751" t="inlineStr"/>
      <c r="AM751" t="inlineStr"/>
      <c r="AN751" t="inlineStr"/>
      <c r="AO751" t="inlineStr">
        <is>
          <t>cmm4yur0v043ecuqw8uyv5zks</t>
        </is>
      </c>
      <c r="AP751" t="inlineStr">
        <is>
          <t>http://localhost:8787/api/admin/requirements/documents/cmm4yur0v043ecuqw8uyv5zks/view</t>
        </is>
      </c>
      <c r="AQ751">
        <f>HYPERLÄNK("http://localhost:8787/api/admin/requirements/documents/cmm4yur0v043ecuqw8uyv5zks/view";"Öppna PDF")</f>
        <v/>
      </c>
      <c r="AR751">
        <f>HYPERLINK("http://localhost:8787/api/admin/requirements/documents/cmm4yur0v043ecuqw8uyv5zks/view","Open PDF")</f>
        <v/>
      </c>
      <c r="AS751" t="inlineStr">
        <is>
          <t>cmm55w57p0004cuisfrtpqly8</t>
        </is>
      </c>
      <c r="AT751" t="inlineStr">
        <is>
          <t>cmm4xvu980000cuh4vj0usz09</t>
        </is>
      </c>
      <c r="AU751" t="inlineStr"/>
      <c r="AV751" t="inlineStr">
        <is>
          <t>Kommun</t>
        </is>
      </c>
      <c r="AW751" t="inlineStr"/>
      <c r="AX751" t="inlineStr">
        <is>
          <t>2022-09</t>
        </is>
      </c>
      <c r="AY751" t="inlineStr">
        <is>
          <t>Beslut</t>
        </is>
      </c>
      <c r="AZ751" t="inlineStr">
        <is>
          <t>2026-02-05</t>
        </is>
      </c>
      <c r="BA751" t="inlineStr">
        <is>
          <t>Teknisk beskrivning.pdf</t>
        </is>
      </c>
      <c r="BB751" t="inlineStr">
        <is>
          <t>Sv: till registrator</t>
        </is>
      </c>
      <c r="BC751" t="inlineStr">
        <is>
          <t>AUTO</t>
        </is>
      </c>
      <c r="BD751" t="inlineStr"/>
      <c r="BE751" t="inlineStr"/>
      <c r="BF751" t="inlineStr">
        <is>
          <t>AUTO_GENERERAD. Bekrafta metadata mot kallfil.</t>
        </is>
      </c>
      <c r="BG751">
        <f>HYPERLINK("C:\Users\jimmy\Desktop\Examens arbete\Kod\Ny mapp\remix_-copy-of-miljöbeslut.se-portal\Teknisk beskrivning.pdf", "Öppna PDF")</f>
        <v/>
      </c>
    </row>
    <row r="752">
      <c r="A752" t="inlineStr">
        <is>
          <t>KRAV-AUTO-000751</t>
        </is>
      </c>
      <c r="B752" t="inlineStr">
        <is>
          <t>ADMIN-INDEX-2026-02-27-00000000125C043F57453246863FE664CAFE6A3F0700950291EA24F0614FB6ACEDB12BF0E31D00000000010C0000950291EA24F0614FB6ACEDB12BF0E31D00002087A5BE0000</t>
        </is>
      </c>
      <c r="C752" t="inlineStr">
        <is>
          <t>cmm4yur0y043hcuqwuogltp4v</t>
        </is>
      </c>
      <c r="D752" t="inlineStr">
        <is>
          <t>http://localhost:8787/api/admin/requirements/documents/cmm4yur0y043hcuqwuogltp4v/view</t>
        </is>
      </c>
      <c r="E752">
        <f>HYPERLÄNK("http://localhost:8787/api/admin/requirements/documents/cmm4yur0y043hcuqwuogltp4v/view";"Öppna PDF")</f>
        <v/>
      </c>
      <c r="F752">
        <f>HYPERLINK("http://localhost:8787/api/admin/requirements/documents/cmm4yur0y043hcuqwuogltp4v/view","Open PDF")</f>
        <v/>
      </c>
      <c r="G752" t="inlineStr">
        <is>
          <t>cmm55w57p0004cuisfrtpqly8</t>
        </is>
      </c>
      <c r="H752" t="inlineStr">
        <is>
          <t>Beslutsvillkor</t>
        </is>
      </c>
      <c r="I752" t="inlineStr">
        <is>
          <t>DagvattenLakvatten</t>
        </is>
      </c>
      <c r="J752" t="inlineStr">
        <is>
          <t>Uppsamling</t>
        </is>
      </c>
      <c r="K752" t="inlineStr">
        <is>
          <t>Lagring av flytande miljö- och hälsofarliga kemiska produkter och flytande farligt avfall ska ske på tät invallad yta eller med motsvarande typ av säkerhetssystem för uppsamling av vätska.</t>
        </is>
      </c>
      <c r="L752" t="inlineStr">
        <is>
          <t>Lagring av flytande miljö- och hälsofarliga kemiska produkter och flytande farligt avfall ska ske på tät invallad yta eller med motsvarande typ av säkerhetssystem för uppsamling av vätska.</t>
        </is>
      </c>
      <c r="M752" t="inlineStr">
        <is>
          <t>SKA</t>
        </is>
      </c>
      <c r="N752" t="inlineStr"/>
      <c r="O752" t="inlineStr"/>
      <c r="P752" t="inlineStr">
        <is>
          <t>Arlig</t>
        </is>
      </c>
      <c r="Q752" t="inlineStr"/>
      <c r="R752" t="inlineStr">
        <is>
          <t>Vid nederbord och avrinning</t>
        </is>
      </c>
      <c r="S752" t="inlineStr"/>
      <c r="T752" t="inlineStr">
        <is>
          <t>714755</t>
        </is>
      </c>
      <c r="U752" t="inlineStr"/>
      <c r="V752" t="inlineStr"/>
      <c r="W752" t="inlineStr">
        <is>
          <t>Nej</t>
        </is>
      </c>
      <c r="X752" t="inlineStr">
        <is>
          <t>Ja</t>
        </is>
      </c>
      <c r="Y752" t="inlineStr">
        <is>
          <t>Ja</t>
        </is>
      </c>
      <c r="Z752" t="inlineStr">
        <is>
          <t>Nej</t>
        </is>
      </c>
      <c r="AA752" t="n">
        <v>6</v>
      </c>
      <c r="AB752" t="inlineStr">
        <is>
          <t>Lakvattenhantering</t>
        </is>
      </c>
      <c r="AC752" t="inlineStr">
        <is>
          <t>Flodesschema dagvatten-lakvatten</t>
        </is>
      </c>
      <c r="AD752" t="inlineStr">
        <is>
          <t>Nej</t>
        </is>
      </c>
      <c r="AE752" t="inlineStr">
        <is>
          <t>Nej</t>
        </is>
      </c>
      <c r="AF752" t="inlineStr">
        <is>
          <t>Ej behandlad</t>
        </is>
      </c>
      <c r="AG752" t="inlineStr">
        <is>
          <t>AUTO_GENERERAD. Verifiera citat mot kallfil.</t>
        </is>
      </c>
      <c r="AH752" t="inlineStr">
        <is>
          <t>MEDIUM</t>
        </is>
      </c>
      <c r="AI752" t="inlineStr">
        <is>
          <t>AUTO</t>
        </is>
      </c>
      <c r="AJ752" t="inlineStr">
        <is>
          <t>Nej</t>
        </is>
      </c>
      <c r="AK752" t="inlineStr"/>
      <c r="AL752" t="inlineStr"/>
      <c r="AM752" t="inlineStr"/>
      <c r="AN752" t="inlineStr"/>
      <c r="AO752" t="inlineStr">
        <is>
          <t>cmm4yur0v043ecuqw8uyv5zks</t>
        </is>
      </c>
      <c r="AP752" t="inlineStr">
        <is>
          <t>http://localhost:8787/api/admin/requirements/documents/cmm4yur0v043ecuqw8uyv5zks/view</t>
        </is>
      </c>
      <c r="AQ752">
        <f>HYPERLÄNK("http://localhost:8787/api/admin/requirements/documents/cmm4yur0v043ecuqw8uyv5zks/view";"Öppna PDF")</f>
        <v/>
      </c>
      <c r="AR752">
        <f>HYPERLINK("http://localhost:8787/api/admin/requirements/documents/cmm4yur0v043ecuqw8uyv5zks/view","Open PDF")</f>
        <v/>
      </c>
      <c r="AS752" t="inlineStr">
        <is>
          <t>cmm55w57p0004cuisfrtpqly8</t>
        </is>
      </c>
      <c r="AT752" t="inlineStr">
        <is>
          <t>cmm4xvu980000cuh4vj0usz09</t>
        </is>
      </c>
      <c r="AU752" t="inlineStr"/>
      <c r="AV752" t="inlineStr">
        <is>
          <t>Kommun</t>
        </is>
      </c>
      <c r="AW752" t="inlineStr"/>
      <c r="AX752" t="inlineStr">
        <is>
          <t>2022-09</t>
        </is>
      </c>
      <c r="AY752" t="inlineStr">
        <is>
          <t>Beslut</t>
        </is>
      </c>
      <c r="AZ752" t="inlineStr">
        <is>
          <t>2026-02-05</t>
        </is>
      </c>
      <c r="BA752" t="inlineStr">
        <is>
          <t>Teknisk beskrivning.pdf</t>
        </is>
      </c>
      <c r="BB752" t="inlineStr">
        <is>
          <t>Sv: till registrator</t>
        </is>
      </c>
      <c r="BC752" t="inlineStr">
        <is>
          <t>AUTO</t>
        </is>
      </c>
      <c r="BD752" t="inlineStr"/>
      <c r="BE752" t="inlineStr"/>
      <c r="BF752" t="inlineStr">
        <is>
          <t>AUTO_GENERERAD. Bekrafta metadata mot kallfil.</t>
        </is>
      </c>
      <c r="BG752">
        <f>HYPERLINK("C:\Users\jimmy\Desktop\Examens arbete\Kod\Ny mapp\remix_-copy-of-miljöbeslut.se-portal\Teknisk beskrivning.pdf", "Öppna PDF")</f>
        <v/>
      </c>
    </row>
    <row r="753">
      <c r="A753" t="inlineStr">
        <is>
          <t>KRAV-AUTO-000752</t>
        </is>
      </c>
      <c r="B753" t="inlineStr">
        <is>
          <t>ADMIN-INDEX-2026-02-27-00000000125C043F57453246863FE664CAFE6A3F0700950291EA24F0614FB6ACEDB12BF0E31D00000000010C0000950291EA24F0614FB6ACEDB12BF0E31D00002087AE230000</t>
        </is>
      </c>
      <c r="C753" t="inlineStr">
        <is>
          <t>cmm4yuq7503bbcuqway70c0xj</t>
        </is>
      </c>
      <c r="D753" t="inlineStr">
        <is>
          <t>http://localhost:8787/api/admin/requirements/documents/cmm4yuq7503bbcuqway70c0xj/view</t>
        </is>
      </c>
      <c r="E753">
        <f>HYPERLÄNK("http://localhost:8787/api/admin/requirements/documents/cmm4yuq7503bbcuqway70c0xj/view";"Öppna PDF")</f>
        <v/>
      </c>
      <c r="F753">
        <f>HYPERLINK("http://localhost:8787/api/admin/requirements/documents/cmm4yuq7503bbcuqway70c0xj/view","Open PDF")</f>
        <v/>
      </c>
      <c r="G753" t="inlineStr">
        <is>
          <t>cmm55w57p0004cuisfrtpqly8</t>
        </is>
      </c>
      <c r="H753" t="inlineStr">
        <is>
          <t>Informationskrav</t>
        </is>
      </c>
      <c r="I753" t="inlineStr">
        <is>
          <t>LagringsvolymTid</t>
        </is>
      </c>
      <c r="J753" t="inlineStr">
        <is>
          <t>Maxmangd</t>
        </is>
      </c>
      <c r="K753" t="inlineStr">
        <is>
          <t>Beskriv verksamheten och ge om möjligt en kort historik Omlastning av sopor från en stor mängd företag i Gagnefs kommun där vi har för avsikt att påbörja sortering av detta avfall.</t>
        </is>
      </c>
      <c r="L753" t="inlineStr">
        <is>
          <t>Beskriv verksamheten och ge om möjligt en kort historik Omlastning av sopor från en stor mängd företag i Gagnefs kommun där vi har för avsikt att påbörja sortering av detta avfall.</t>
        </is>
      </c>
      <c r="M753" t="inlineStr">
        <is>
          <t>BOR</t>
        </is>
      </c>
      <c r="N753" t="inlineStr"/>
      <c r="O753" t="inlineStr"/>
      <c r="P753" t="inlineStr"/>
      <c r="Q753" t="inlineStr"/>
      <c r="R753" t="inlineStr">
        <is>
          <t>Alltid</t>
        </is>
      </c>
      <c r="S753" t="inlineStr"/>
      <c r="T753" t="inlineStr">
        <is>
          <t>556106</t>
        </is>
      </c>
      <c r="U753" t="inlineStr"/>
      <c r="V753" t="inlineStr"/>
      <c r="W753" t="inlineStr">
        <is>
          <t>Nej</t>
        </is>
      </c>
      <c r="X753" t="inlineStr">
        <is>
          <t>Nej</t>
        </is>
      </c>
      <c r="Y753" t="inlineStr">
        <is>
          <t>Nej</t>
        </is>
      </c>
      <c r="Z753" t="inlineStr">
        <is>
          <t>Nej</t>
        </is>
      </c>
      <c r="AA753" t="n">
        <v>4</v>
      </c>
      <c r="AB753" t="inlineStr">
        <is>
          <t>Avfallsmangder och lagringstid</t>
        </is>
      </c>
      <c r="AC753" t="inlineStr">
        <is>
          <t>Avfallsforteckning</t>
        </is>
      </c>
      <c r="AD753" t="inlineStr">
        <is>
          <t>Nej</t>
        </is>
      </c>
      <c r="AE753" t="inlineStr">
        <is>
          <t>Nej</t>
        </is>
      </c>
      <c r="AF753" t="inlineStr">
        <is>
          <t>Ej behandlad</t>
        </is>
      </c>
      <c r="AG753" t="inlineStr">
        <is>
          <t>AUTO_GENERERAD. Verifiera citat mot kallfil.</t>
        </is>
      </c>
      <c r="AH753" t="inlineStr">
        <is>
          <t>MEDIUM</t>
        </is>
      </c>
      <c r="AI753" t="inlineStr">
        <is>
          <t>AUTO</t>
        </is>
      </c>
      <c r="AJ753" t="inlineStr">
        <is>
          <t>Nej</t>
        </is>
      </c>
      <c r="AK753" t="inlineStr"/>
      <c r="AL753" t="inlineStr"/>
      <c r="AM753" t="inlineStr"/>
      <c r="AN753" t="inlineStr"/>
      <c r="AO753" t="inlineStr">
        <is>
          <t>cmm4yuq7503bbcuqway70c0xj</t>
        </is>
      </c>
      <c r="AP753" t="inlineStr">
        <is>
          <t>http://localhost:8787/api/admin/requirements/documents/cmm4yuq7503bbcuqway70c0xj/view</t>
        </is>
      </c>
      <c r="AQ753">
        <f>HYPERLÄNK("http://localhost:8787/api/admin/requirements/documents/cmm4yuq7503bbcuqway70c0xj/view";"Öppna PDF")</f>
        <v/>
      </c>
      <c r="AR753">
        <f>HYPERLINK("http://localhost:8787/api/admin/requirements/documents/cmm4yuq7503bbcuqway70c0xj/view","Open PDF")</f>
        <v/>
      </c>
      <c r="AS753" t="inlineStr">
        <is>
          <t>cmm55w57p0004cuisfrtpqly8</t>
        </is>
      </c>
      <c r="AT753" t="inlineStr">
        <is>
          <t>cmm4xvu980000cuh4vj0usz09</t>
        </is>
      </c>
      <c r="AU753" t="inlineStr"/>
      <c r="AV753" t="inlineStr">
        <is>
          <t>Kommun</t>
        </is>
      </c>
      <c r="AW753" t="inlineStr"/>
      <c r="AX753" t="inlineStr">
        <is>
          <t>2024-11</t>
        </is>
      </c>
      <c r="AY753" t="inlineStr">
        <is>
          <t>Anmalan</t>
        </is>
      </c>
      <c r="AZ753" t="inlineStr">
        <is>
          <t>2026-02-04</t>
        </is>
      </c>
      <c r="BA753" t="inlineStr">
        <is>
          <t>anmälan.pdf</t>
        </is>
      </c>
      <c r="BB753" t="inlineStr">
        <is>
          <t>till registrator</t>
        </is>
      </c>
      <c r="BC753" t="inlineStr">
        <is>
          <t>AUTO</t>
        </is>
      </c>
      <c r="BD753" t="inlineStr"/>
      <c r="BE753" t="inlineStr"/>
      <c r="BF753" t="inlineStr">
        <is>
          <t>AUTO_GENERERAD. Bekrafta metadata mot kallfil.</t>
        </is>
      </c>
      <c r="BG753">
        <f>HYPERLINK("C:\Users\jimmy\Desktop\Examens arbete\Kod\Ny mapp\remix_-copy-of-miljöbeslut.se-portal\anmälan.pdf", "Öppna PDF")</f>
        <v/>
      </c>
    </row>
    <row r="754">
      <c r="A754" t="inlineStr">
        <is>
          <t>KRAV-AUTO-000753</t>
        </is>
      </c>
      <c r="B754" t="inlineStr">
        <is>
          <t>ADMIN-INDEX-2026-02-27-00000000125C043F57453246863FE664CAFE6A3F0700950291EA24F0614FB6ACEDB12BF0E31D00000000010C0000950291EA24F0614FB6ACEDB12BF0E31D00002087AE230000</t>
        </is>
      </c>
      <c r="C754" t="inlineStr">
        <is>
          <t>cmm4yuq7503bbcuqway70c0xj</t>
        </is>
      </c>
      <c r="D754" t="inlineStr">
        <is>
          <t>http://localhost:8787/api/admin/requirements/documents/cmm4yuq7503bbcuqway70c0xj/view</t>
        </is>
      </c>
      <c r="E754">
        <f>HYPERLÄNK("http://localhost:8787/api/admin/requirements/documents/cmm4yuq7503bbcuqway70c0xj/view";"Öppna PDF")</f>
        <v/>
      </c>
      <c r="F754">
        <f>HYPERLINK("http://localhost:8787/api/admin/requirements/documents/cmm4yuq7503bbcuqway70c0xj/view","Open PDF")</f>
        <v/>
      </c>
      <c r="G754" t="inlineStr">
        <is>
          <t>cmm55w57p0004cuisfrtpqly8</t>
        </is>
      </c>
      <c r="H754" t="inlineStr">
        <is>
          <t>Informationskrav</t>
        </is>
      </c>
      <c r="I754" t="inlineStr">
        <is>
          <t>LagringsvolymTid</t>
        </is>
      </c>
      <c r="J754" t="inlineStr">
        <is>
          <t>Maxmangd</t>
        </is>
      </c>
      <c r="K754" t="inlineStr">
        <is>
          <t>Verksamhetsbeskrivning Beskriv i korthet produktionsmetoder, produkter, kapacitet/producerad mängd, arbetstider och annat som är relevant för er verksamhet Lokalisering Beskriv den närmaste omgivningen.</t>
        </is>
      </c>
      <c r="L754" t="inlineStr">
        <is>
          <t>Verksamhetsbeskrivning Beskriv i korthet produktionsmetoder, produkter, kapacitet/producerad mängd, arbetstider och annat som är relevant för er verksamhet Lokalisering Beskriv den närmaste omgivningen.</t>
        </is>
      </c>
      <c r="M754" t="inlineStr">
        <is>
          <t>SKA</t>
        </is>
      </c>
      <c r="N754" t="inlineStr"/>
      <c r="O754" t="inlineStr"/>
      <c r="P754" t="inlineStr"/>
      <c r="Q754" t="inlineStr"/>
      <c r="R754" t="inlineStr">
        <is>
          <t>Alltid</t>
        </is>
      </c>
      <c r="S754" t="inlineStr"/>
      <c r="T754" t="inlineStr">
        <is>
          <t>556106</t>
        </is>
      </c>
      <c r="U754" t="inlineStr"/>
      <c r="V754" t="inlineStr"/>
      <c r="W754" t="inlineStr">
        <is>
          <t>Nej</t>
        </is>
      </c>
      <c r="X754" t="inlineStr">
        <is>
          <t>Nej</t>
        </is>
      </c>
      <c r="Y754" t="inlineStr">
        <is>
          <t>Nej</t>
        </is>
      </c>
      <c r="Z754" t="inlineStr">
        <is>
          <t>Nej</t>
        </is>
      </c>
      <c r="AA754" t="n">
        <v>4</v>
      </c>
      <c r="AB754" t="inlineStr">
        <is>
          <t>Avfallsmangder och lagringstid</t>
        </is>
      </c>
      <c r="AC754" t="inlineStr">
        <is>
          <t>Avfallsforteckning</t>
        </is>
      </c>
      <c r="AD754" t="inlineStr">
        <is>
          <t>Nej</t>
        </is>
      </c>
      <c r="AE754" t="inlineStr">
        <is>
          <t>Nej</t>
        </is>
      </c>
      <c r="AF754" t="inlineStr">
        <is>
          <t>Ej behandlad</t>
        </is>
      </c>
      <c r="AG754" t="inlineStr">
        <is>
          <t>AUTO_GENERERAD. Verifiera citat mot kallfil.</t>
        </is>
      </c>
      <c r="AH754" t="inlineStr">
        <is>
          <t>MEDIUM</t>
        </is>
      </c>
      <c r="AI754" t="inlineStr">
        <is>
          <t>AUTO</t>
        </is>
      </c>
      <c r="AJ754" t="inlineStr">
        <is>
          <t>Nej</t>
        </is>
      </c>
      <c r="AK754" t="inlineStr"/>
      <c r="AL754" t="inlineStr"/>
      <c r="AM754" t="inlineStr"/>
      <c r="AN754" t="inlineStr"/>
      <c r="AO754" t="inlineStr">
        <is>
          <t>cmm4yuq7503bbcuqway70c0xj</t>
        </is>
      </c>
      <c r="AP754" t="inlineStr">
        <is>
          <t>http://localhost:8787/api/admin/requirements/documents/cmm4yuq7503bbcuqway70c0xj/view</t>
        </is>
      </c>
      <c r="AQ754">
        <f>HYPERLÄNK("http://localhost:8787/api/admin/requirements/documents/cmm4yuq7503bbcuqway70c0xj/view";"Öppna PDF")</f>
        <v/>
      </c>
      <c r="AR754">
        <f>HYPERLINK("http://localhost:8787/api/admin/requirements/documents/cmm4yuq7503bbcuqway70c0xj/view","Open PDF")</f>
        <v/>
      </c>
      <c r="AS754" t="inlineStr">
        <is>
          <t>cmm55w57p0004cuisfrtpqly8</t>
        </is>
      </c>
      <c r="AT754" t="inlineStr">
        <is>
          <t>cmm4xvu980000cuh4vj0usz09</t>
        </is>
      </c>
      <c r="AU754" t="inlineStr"/>
      <c r="AV754" t="inlineStr">
        <is>
          <t>Kommun</t>
        </is>
      </c>
      <c r="AW754" t="inlineStr"/>
      <c r="AX754" t="inlineStr">
        <is>
          <t>2024-11</t>
        </is>
      </c>
      <c r="AY754" t="inlineStr">
        <is>
          <t>Anmalan</t>
        </is>
      </c>
      <c r="AZ754" t="inlineStr">
        <is>
          <t>2026-02-04</t>
        </is>
      </c>
      <c r="BA754" t="inlineStr">
        <is>
          <t>anmälan.pdf</t>
        </is>
      </c>
      <c r="BB754" t="inlineStr">
        <is>
          <t>till registrator</t>
        </is>
      </c>
      <c r="BC754" t="inlineStr">
        <is>
          <t>AUTO</t>
        </is>
      </c>
      <c r="BD754" t="inlineStr"/>
      <c r="BE754" t="inlineStr"/>
      <c r="BF754" t="inlineStr">
        <is>
          <t>AUTO_GENERERAD. Bekrafta metadata mot kallfil.</t>
        </is>
      </c>
      <c r="BG754">
        <f>HYPERLINK("C:\Users\jimmy\Desktop\Examens arbete\Kod\Ny mapp\remix_-copy-of-miljöbeslut.se-portal\anmälan.pdf", "Öppna PDF")</f>
        <v/>
      </c>
    </row>
    <row r="755">
      <c r="A755" t="inlineStr">
        <is>
          <t>KRAV-AUTO-000754</t>
        </is>
      </c>
      <c r="B755" t="inlineStr">
        <is>
          <t>ADMIN-INDEX-2026-02-27-00000000125C043F57453246863FE664CAFE6A3F0700950291EA24F0614FB6ACEDB12BF0E31D00000000010C0000950291EA24F0614FB6ACEDB12BF0E31D00002087AE230000</t>
        </is>
      </c>
      <c r="C755" t="inlineStr">
        <is>
          <t>cmm4yuq7503bbcuqway70c0xj</t>
        </is>
      </c>
      <c r="D755" t="inlineStr">
        <is>
          <t>http://localhost:8787/api/admin/requirements/documents/cmm4yuq7503bbcuqway70c0xj/view</t>
        </is>
      </c>
      <c r="E755">
        <f>HYPERLÄNK("http://localhost:8787/api/admin/requirements/documents/cmm4yuq7503bbcuqway70c0xj/view";"Öppna PDF")</f>
        <v/>
      </c>
      <c r="F755">
        <f>HYPERLINK("http://localhost:8787/api/admin/requirements/documents/cmm4yuq7503bbcuqway70c0xj/view","Open PDF")</f>
        <v/>
      </c>
      <c r="G755" t="inlineStr">
        <is>
          <t>cmm55w57p0004cuisfrtpqly8</t>
        </is>
      </c>
      <c r="H755" t="inlineStr">
        <is>
          <t>Informationskrav</t>
        </is>
      </c>
      <c r="I755" t="inlineStr">
        <is>
          <t>DriftEgenkontroll</t>
        </is>
      </c>
      <c r="J755" t="inlineStr">
        <is>
          <t>Journalforing</t>
        </is>
      </c>
      <c r="K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755" t="inlineStr">
        <is>
          <t>SKA</t>
        </is>
      </c>
      <c r="N755" t="inlineStr"/>
      <c r="O755" t="inlineStr">
        <is>
          <t>2024-11-08</t>
        </is>
      </c>
      <c r="P755" t="inlineStr"/>
      <c r="Q755" t="inlineStr"/>
      <c r="R755" t="inlineStr">
        <is>
          <t>Lopande drift</t>
        </is>
      </c>
      <c r="S755" t="inlineStr"/>
      <c r="T755" t="inlineStr">
        <is>
          <t>556106</t>
        </is>
      </c>
      <c r="U755" t="inlineStr"/>
      <c r="V755" t="inlineStr"/>
      <c r="W755" t="inlineStr">
        <is>
          <t>Nej</t>
        </is>
      </c>
      <c r="X755" t="inlineStr">
        <is>
          <t>Nej</t>
        </is>
      </c>
      <c r="Y755" t="inlineStr">
        <is>
          <t>Ja</t>
        </is>
      </c>
      <c r="Z755" t="inlineStr">
        <is>
          <t>Nej</t>
        </is>
      </c>
      <c r="AA755" t="n">
        <v>7</v>
      </c>
      <c r="AB755" t="inlineStr">
        <is>
          <t>Egenkontrollrutiner</t>
        </is>
      </c>
      <c r="AC755" t="inlineStr">
        <is>
          <t>Egenkontrollprogram</t>
        </is>
      </c>
      <c r="AD755" t="inlineStr">
        <is>
          <t>Nej</t>
        </is>
      </c>
      <c r="AE755" t="inlineStr">
        <is>
          <t>Nej</t>
        </is>
      </c>
      <c r="AF755" t="inlineStr">
        <is>
          <t>Ej behandlad</t>
        </is>
      </c>
      <c r="AG755" t="inlineStr">
        <is>
          <t>AUTO_GENERERAD. Verifiera citat mot kallfil.</t>
        </is>
      </c>
      <c r="AH755" t="inlineStr">
        <is>
          <t>MEDIUM</t>
        </is>
      </c>
      <c r="AI755" t="inlineStr">
        <is>
          <t>AUTO</t>
        </is>
      </c>
      <c r="AJ755" t="inlineStr">
        <is>
          <t>Nej</t>
        </is>
      </c>
      <c r="AK755" t="inlineStr"/>
      <c r="AL755" t="inlineStr"/>
      <c r="AM755" t="inlineStr"/>
      <c r="AN755" t="inlineStr"/>
      <c r="AO755" t="inlineStr">
        <is>
          <t>cmm4yuq7503bbcuqway70c0xj</t>
        </is>
      </c>
      <c r="AP755" t="inlineStr">
        <is>
          <t>http://localhost:8787/api/admin/requirements/documents/cmm4yuq7503bbcuqway70c0xj/view</t>
        </is>
      </c>
      <c r="AQ755">
        <f>HYPERLÄNK("http://localhost:8787/api/admin/requirements/documents/cmm4yuq7503bbcuqway70c0xj/view";"Öppna PDF")</f>
        <v/>
      </c>
      <c r="AR755">
        <f>HYPERLINK("http://localhost:8787/api/admin/requirements/documents/cmm4yuq7503bbcuqway70c0xj/view","Open PDF")</f>
        <v/>
      </c>
      <c r="AS755" t="inlineStr">
        <is>
          <t>cmm55w57p0004cuisfrtpqly8</t>
        </is>
      </c>
      <c r="AT755" t="inlineStr">
        <is>
          <t>cmm4xvu980000cuh4vj0usz09</t>
        </is>
      </c>
      <c r="AU755" t="inlineStr"/>
      <c r="AV755" t="inlineStr">
        <is>
          <t>Kommun</t>
        </is>
      </c>
      <c r="AW755" t="inlineStr"/>
      <c r="AX755" t="inlineStr">
        <is>
          <t>2024-11</t>
        </is>
      </c>
      <c r="AY755" t="inlineStr">
        <is>
          <t>Anmalan</t>
        </is>
      </c>
      <c r="AZ755" t="inlineStr">
        <is>
          <t>2026-02-04</t>
        </is>
      </c>
      <c r="BA755" t="inlineStr">
        <is>
          <t>anmälan.pdf</t>
        </is>
      </c>
      <c r="BB755" t="inlineStr">
        <is>
          <t>till registrator</t>
        </is>
      </c>
      <c r="BC755" t="inlineStr">
        <is>
          <t>AUTO</t>
        </is>
      </c>
      <c r="BD755" t="inlineStr"/>
      <c r="BE755" t="inlineStr"/>
      <c r="BF755" t="inlineStr">
        <is>
          <t>AUTO_GENERERAD. Bekrafta metadata mot kallfil.</t>
        </is>
      </c>
      <c r="BG755">
        <f>HYPERLINK("C:\Users\jimmy\Desktop\Examens arbete\Kod\Ny mapp\remix_-copy-of-miljöbeslut.se-portal\anmälan.pdf", "Öppna PDF")</f>
        <v/>
      </c>
    </row>
    <row r="756">
      <c r="A756" t="inlineStr">
        <is>
          <t>KRAV-AUTO-000755</t>
        </is>
      </c>
      <c r="B756" t="inlineStr">
        <is>
          <t>ADMIN-INDEX-2026-02-27-00000000125C043F57453246863FE664CAFE6A3F0700950291EA24F0614FB6ACEDB12BF0E31D00000000010C0000950291EA24F0614FB6ACEDB12BF0E31D00002087AE240000</t>
        </is>
      </c>
      <c r="C756" t="inlineStr">
        <is>
          <t>cmm4yuq6r03awcuqwq022xuhi</t>
        </is>
      </c>
      <c r="D756" t="inlineStr">
        <is>
          <t>http://localhost:8787/api/admin/requirements/documents/cmm4yuq6r03awcuqwq022xuhi/view</t>
        </is>
      </c>
      <c r="E756">
        <f>HYPERLÄNK("http://localhost:8787/api/admin/requirements/documents/cmm4yuq6r03awcuqwq022xuhi/view";"Öppna PDF")</f>
        <v/>
      </c>
      <c r="F756">
        <f>HYPERLINK("http://localhost:8787/api/admin/requirements/documents/cmm4yuq6r03awcuqwq022xuhi/view","Open PDF")</f>
        <v/>
      </c>
      <c r="G756" t="inlineStr">
        <is>
          <t>cmm55w57p0004cuisfrtpqly8</t>
        </is>
      </c>
      <c r="H756" t="inlineStr">
        <is>
          <t>Beslutsvillkor</t>
        </is>
      </c>
      <c r="I756" t="inlineStr">
        <is>
          <t>DagvattenLakvatten</t>
        </is>
      </c>
      <c r="J756" t="inlineStr">
        <is>
          <t>Uppsamling</t>
        </is>
      </c>
      <c r="K756" t="inlineStr">
        <is>
          <t>Spill och förorenat dagvatten från hantering av elavfall ska kunna samlas upp och kontrolleras.</t>
        </is>
      </c>
      <c r="L756" t="inlineStr">
        <is>
          <t>Spill och förorenat dagvatten från hantering av elavfall ska kunna samlas upp och kontrolleras.</t>
        </is>
      </c>
      <c r="M756" t="inlineStr">
        <is>
          <t>SKA</t>
        </is>
      </c>
      <c r="N756" t="inlineStr"/>
      <c r="O756" t="inlineStr"/>
      <c r="P756" t="inlineStr"/>
      <c r="Q756" t="inlineStr"/>
      <c r="R756" t="inlineStr">
        <is>
          <t>Vid nederbord och avrinning</t>
        </is>
      </c>
      <c r="S756" t="inlineStr"/>
      <c r="T756" t="inlineStr">
        <is>
          <t>12 40 50</t>
        </is>
      </c>
      <c r="U756" t="inlineStr"/>
      <c r="V756" t="inlineStr"/>
      <c r="W756" t="inlineStr">
        <is>
          <t>Nej</t>
        </is>
      </c>
      <c r="X756" t="inlineStr">
        <is>
          <t>Ja</t>
        </is>
      </c>
      <c r="Y756" t="inlineStr">
        <is>
          <t>Ja</t>
        </is>
      </c>
      <c r="Z756" t="inlineStr">
        <is>
          <t>Nej</t>
        </is>
      </c>
      <c r="AA756" t="n">
        <v>6</v>
      </c>
      <c r="AB756" t="inlineStr">
        <is>
          <t>Lakvattenhantering</t>
        </is>
      </c>
      <c r="AC756" t="inlineStr">
        <is>
          <t>Flodesschema dagvatten-lakvatten</t>
        </is>
      </c>
      <c r="AD756" t="inlineStr">
        <is>
          <t>Nej</t>
        </is>
      </c>
      <c r="AE756" t="inlineStr">
        <is>
          <t>Nej</t>
        </is>
      </c>
      <c r="AF756" t="inlineStr">
        <is>
          <t>Ej behandlad</t>
        </is>
      </c>
      <c r="AG756" t="inlineStr">
        <is>
          <t>AUTO_GENERERAD. Verifiera citat mot kallfil.</t>
        </is>
      </c>
      <c r="AH756" t="inlineStr">
        <is>
          <t>MEDIUM</t>
        </is>
      </c>
      <c r="AI756" t="inlineStr">
        <is>
          <t>AUTO</t>
        </is>
      </c>
      <c r="AJ756" t="inlineStr">
        <is>
          <t>Nej</t>
        </is>
      </c>
      <c r="AK756" t="inlineStr"/>
      <c r="AL756" t="inlineStr"/>
      <c r="AM756" t="inlineStr"/>
      <c r="AN756" t="inlineStr"/>
      <c r="AO756" t="inlineStr">
        <is>
          <t>cmm4yuq6r03awcuqwq022xuhi</t>
        </is>
      </c>
      <c r="AP756" t="inlineStr">
        <is>
          <t>http://localhost:8787/api/admin/requirements/documents/cmm4yuq6r03awcuqwq022xuhi/view</t>
        </is>
      </c>
      <c r="AQ756">
        <f>HYPERLÄNK("http://localhost:8787/api/admin/requirements/documents/cmm4yuq6r03awcuqwq022xuhi/view";"Öppna PDF")</f>
        <v/>
      </c>
      <c r="AR756">
        <f>HYPERLINK("http://localhost:8787/api/admin/requirements/documents/cmm4yuq6r03awcuqwq022xuhi/view","Open PDF")</f>
        <v/>
      </c>
      <c r="AS756" t="inlineStr">
        <is>
          <t>cmm55w57p0004cuisfrtpqly8</t>
        </is>
      </c>
      <c r="AT756" t="inlineStr">
        <is>
          <t>cmm4xvu980000cuh4vj0usz09</t>
        </is>
      </c>
      <c r="AU756" t="inlineStr">
        <is>
          <t>Postadress Gagnefs</t>
        </is>
      </c>
      <c r="AV756" t="inlineStr">
        <is>
          <t>Kommun</t>
        </is>
      </c>
      <c r="AW756" t="inlineStr">
        <is>
          <t>Postadress Gagnefs kommun</t>
        </is>
      </c>
      <c r="AX756" t="inlineStr">
        <is>
          <t>2024-12</t>
        </is>
      </c>
      <c r="AY756" t="inlineStr">
        <is>
          <t>Beslut</t>
        </is>
      </c>
      <c r="AZ756" t="inlineStr">
        <is>
          <t>2026-02-04</t>
        </is>
      </c>
      <c r="BA756" t="inlineStr">
        <is>
          <t>beslut.pdf</t>
        </is>
      </c>
      <c r="BB756" t="inlineStr">
        <is>
          <t>till registrator</t>
        </is>
      </c>
      <c r="BC756" t="inlineStr">
        <is>
          <t>AUTO</t>
        </is>
      </c>
      <c r="BD756" t="inlineStr"/>
      <c r="BE756" t="inlineStr"/>
      <c r="BF756" t="inlineStr">
        <is>
          <t>AUTO_GENERERAD. Bekrafta metadata mot kallfil.</t>
        </is>
      </c>
      <c r="BG756">
        <f>HYPERLINK("C:\Users\jimmy\Desktop\Examens arbete\Kod\Ny mapp\remix_-copy-of-miljöbeslut.se-portal\beslut.pdf", "Öppna PDF")</f>
        <v/>
      </c>
    </row>
    <row r="757">
      <c r="A757" t="inlineStr">
        <is>
          <t>KRAV-AUTO-000756</t>
        </is>
      </c>
      <c r="B757" t="inlineStr">
        <is>
          <t>ADMIN-INDEX-2026-02-27-00000000125C043F57453246863FE664CAFE6A3F0700950291EA24F0614FB6ACEDB12BF0E31D00000000010C0000950291EA24F0614FB6ACEDB12BF0E31D00002087AE240000</t>
        </is>
      </c>
      <c r="C757" t="inlineStr">
        <is>
          <t>cmm4yuq6r03awcuqwq022xuhi</t>
        </is>
      </c>
      <c r="D757" t="inlineStr">
        <is>
          <t>http://localhost:8787/api/admin/requirements/documents/cmm4yuq6r03awcuqwq022xuhi/view</t>
        </is>
      </c>
      <c r="E757">
        <f>HYPERLÄNK("http://localhost:8787/api/admin/requirements/documents/cmm4yuq6r03awcuqwq022xuhi/view";"Öppna PDF")</f>
        <v/>
      </c>
      <c r="F757">
        <f>HYPERLINK("http://localhost:8787/api/admin/requirements/documents/cmm4yuq6r03awcuqwq022xuhi/view","Open PDF")</f>
        <v/>
      </c>
      <c r="G757" t="inlineStr">
        <is>
          <t>cmm55w57p0004cuisfrtpqly8</t>
        </is>
      </c>
      <c r="H757" t="inlineStr">
        <is>
          <t>Beslutsvillkor</t>
        </is>
      </c>
      <c r="I757" t="inlineStr">
        <is>
          <t>Ytkonstruktion</t>
        </is>
      </c>
      <c r="J757" t="inlineStr">
        <is>
          <t>Tat yta</t>
        </is>
      </c>
      <c r="K757" t="inlineStr">
        <is>
          <t>Det ska även förvaras på tät invallad yta under tak.</t>
        </is>
      </c>
      <c r="L757" t="inlineStr">
        <is>
          <t>Det ska även förvaras på tät invallad yta under tak.</t>
        </is>
      </c>
      <c r="M757" t="inlineStr">
        <is>
          <t>SKA</t>
        </is>
      </c>
      <c r="N757" t="inlineStr"/>
      <c r="O757" t="inlineStr"/>
      <c r="P757" t="inlineStr"/>
      <c r="Q757" t="inlineStr"/>
      <c r="R757" t="inlineStr">
        <is>
          <t>Vid mellanlagring av avfall</t>
        </is>
      </c>
      <c r="S757" t="inlineStr"/>
      <c r="T757" t="inlineStr">
        <is>
          <t>12 40 50</t>
        </is>
      </c>
      <c r="U757" t="inlineStr"/>
      <c r="V757" t="inlineStr"/>
      <c r="W757" t="inlineStr">
        <is>
          <t>Ja</t>
        </is>
      </c>
      <c r="X757" t="inlineStr">
        <is>
          <t>Nej</t>
        </is>
      </c>
      <c r="Y757" t="inlineStr">
        <is>
          <t>Nej</t>
        </is>
      </c>
      <c r="Z757" t="inlineStr">
        <is>
          <t>Nej</t>
        </is>
      </c>
      <c r="AA757" t="n">
        <v>5</v>
      </c>
      <c r="AB757" t="inlineStr">
        <is>
          <t>Teknisk beskrivning av platta</t>
        </is>
      </c>
      <c r="AC757" t="inlineStr">
        <is>
          <t>Teknisk ritning platta</t>
        </is>
      </c>
      <c r="AD757" t="inlineStr">
        <is>
          <t>Nej</t>
        </is>
      </c>
      <c r="AE757" t="inlineStr">
        <is>
          <t>Nej</t>
        </is>
      </c>
      <c r="AF757" t="inlineStr">
        <is>
          <t>Ej behandlad</t>
        </is>
      </c>
      <c r="AG757" t="inlineStr">
        <is>
          <t>AUTO_GENERERAD. Verifiera citat mot kallfil.</t>
        </is>
      </c>
      <c r="AH757" t="inlineStr">
        <is>
          <t>MEDIUM</t>
        </is>
      </c>
      <c r="AI757" t="inlineStr">
        <is>
          <t>AUTO</t>
        </is>
      </c>
      <c r="AJ757" t="inlineStr">
        <is>
          <t>Nej</t>
        </is>
      </c>
      <c r="AK757" t="inlineStr"/>
      <c r="AL757" t="inlineStr"/>
      <c r="AM757" t="inlineStr"/>
      <c r="AN757" t="inlineStr"/>
      <c r="AO757" t="inlineStr">
        <is>
          <t>cmm4yuq6r03awcuqwq022xuhi</t>
        </is>
      </c>
      <c r="AP757" t="inlineStr">
        <is>
          <t>http://localhost:8787/api/admin/requirements/documents/cmm4yuq6r03awcuqwq022xuhi/view</t>
        </is>
      </c>
      <c r="AQ757">
        <f>HYPERLÄNK("http://localhost:8787/api/admin/requirements/documents/cmm4yuq6r03awcuqwq022xuhi/view";"Öppna PDF")</f>
        <v/>
      </c>
      <c r="AR757">
        <f>HYPERLINK("http://localhost:8787/api/admin/requirements/documents/cmm4yuq6r03awcuqwq022xuhi/view","Open PDF")</f>
        <v/>
      </c>
      <c r="AS757" t="inlineStr">
        <is>
          <t>cmm55w57p0004cuisfrtpqly8</t>
        </is>
      </c>
      <c r="AT757" t="inlineStr">
        <is>
          <t>cmm4xvu980000cuh4vj0usz09</t>
        </is>
      </c>
      <c r="AU757" t="inlineStr">
        <is>
          <t>Postadress Gagnefs</t>
        </is>
      </c>
      <c r="AV757" t="inlineStr">
        <is>
          <t>Kommun</t>
        </is>
      </c>
      <c r="AW757" t="inlineStr">
        <is>
          <t>Postadress Gagnefs kommun</t>
        </is>
      </c>
      <c r="AX757" t="inlineStr">
        <is>
          <t>2024-12</t>
        </is>
      </c>
      <c r="AY757" t="inlineStr">
        <is>
          <t>Beslut</t>
        </is>
      </c>
      <c r="AZ757" t="inlineStr">
        <is>
          <t>2026-02-04</t>
        </is>
      </c>
      <c r="BA757" t="inlineStr">
        <is>
          <t>beslut.pdf</t>
        </is>
      </c>
      <c r="BB757" t="inlineStr">
        <is>
          <t>till registrator</t>
        </is>
      </c>
      <c r="BC757" t="inlineStr">
        <is>
          <t>AUTO</t>
        </is>
      </c>
      <c r="BD757" t="inlineStr"/>
      <c r="BE757" t="inlineStr"/>
      <c r="BF757" t="inlineStr">
        <is>
          <t>AUTO_GENERERAD. Bekrafta metadata mot kallfil.</t>
        </is>
      </c>
      <c r="BG757">
        <f>HYPERLINK("C:\Users\jimmy\Desktop\Examens arbete\Kod\Ny mapp\remix_-copy-of-miljöbeslut.se-portal\beslut.pdf", "Öppna PDF")</f>
        <v/>
      </c>
    </row>
    <row r="758">
      <c r="A758" t="inlineStr">
        <is>
          <t>KRAV-AUTO-000757</t>
        </is>
      </c>
      <c r="B758" t="inlineStr">
        <is>
          <t>ADMIN-INDEX-2026-02-27-00000000125C043F57453246863FE664CAFE6A3F0700950291EA24F0614FB6ACEDB12BF0E31D00000000010C0000950291EA24F0614FB6ACEDB12BF0E31D00002087AE240000</t>
        </is>
      </c>
      <c r="C758" t="inlineStr">
        <is>
          <t>cmm4yuq6r03awcuqwq022xuhi</t>
        </is>
      </c>
      <c r="D758" t="inlineStr">
        <is>
          <t>http://localhost:8787/api/admin/requirements/documents/cmm4yuq6r03awcuqwq022xuhi/view</t>
        </is>
      </c>
      <c r="E758">
        <f>HYPERLÄNK("http://localhost:8787/api/admin/requirements/documents/cmm4yuq6r03awcuqwq022xuhi/view";"Öppna PDF")</f>
        <v/>
      </c>
      <c r="F758">
        <f>HYPERLINK("http://localhost:8787/api/admin/requirements/documents/cmm4yuq6r03awcuqwq022xuhi/view","Open PDF")</f>
        <v/>
      </c>
      <c r="G758" t="inlineStr">
        <is>
          <t>cmm55w57p0004cuisfrtpqly8</t>
        </is>
      </c>
      <c r="H758" t="inlineStr">
        <is>
          <t>Beslutsvillkor</t>
        </is>
      </c>
      <c r="I758" t="inlineStr">
        <is>
          <t>Ytkonstruktion</t>
        </is>
      </c>
      <c r="J758" t="inlineStr">
        <is>
          <t>Tat yta</t>
        </is>
      </c>
      <c r="K758" t="inlineStr">
        <is>
          <t>• Elavfall ska sorteras ut lagras skyddat mot nederbörd och förvaras på en plats med tät ytbeläggning.</t>
        </is>
      </c>
      <c r="L758" t="inlineStr">
        <is>
          <t>• Elavfall ska sorteras ut lagras skyddat mot nederbörd och förvaras på en plats med tät ytbeläggning.</t>
        </is>
      </c>
      <c r="M758" t="inlineStr">
        <is>
          <t>SKA</t>
        </is>
      </c>
      <c r="N758" t="inlineStr"/>
      <c r="O758" t="inlineStr"/>
      <c r="P758" t="inlineStr"/>
      <c r="Q758" t="inlineStr"/>
      <c r="R758" t="inlineStr">
        <is>
          <t>Vid mellanlagring av avfall</t>
        </is>
      </c>
      <c r="S758" t="inlineStr"/>
      <c r="T758" t="inlineStr">
        <is>
          <t>12 40 50</t>
        </is>
      </c>
      <c r="U758" t="inlineStr"/>
      <c r="V758" t="inlineStr"/>
      <c r="W758" t="inlineStr">
        <is>
          <t>Ja</t>
        </is>
      </c>
      <c r="X758" t="inlineStr">
        <is>
          <t>Nej</t>
        </is>
      </c>
      <c r="Y758" t="inlineStr">
        <is>
          <t>Nej</t>
        </is>
      </c>
      <c r="Z758" t="inlineStr">
        <is>
          <t>Nej</t>
        </is>
      </c>
      <c r="AA758" t="n">
        <v>5</v>
      </c>
      <c r="AB758" t="inlineStr">
        <is>
          <t>Teknisk beskrivning av platta</t>
        </is>
      </c>
      <c r="AC758" t="inlineStr">
        <is>
          <t>Teknisk ritning platta</t>
        </is>
      </c>
      <c r="AD758" t="inlineStr">
        <is>
          <t>Nej</t>
        </is>
      </c>
      <c r="AE758" t="inlineStr">
        <is>
          <t>Nej</t>
        </is>
      </c>
      <c r="AF758" t="inlineStr">
        <is>
          <t>Ej behandlad</t>
        </is>
      </c>
      <c r="AG758" t="inlineStr">
        <is>
          <t>AUTO_GENERERAD. Verifiera citat mot kallfil.</t>
        </is>
      </c>
      <c r="AH758" t="inlineStr">
        <is>
          <t>MEDIUM</t>
        </is>
      </c>
      <c r="AI758" t="inlineStr">
        <is>
          <t>AUTO</t>
        </is>
      </c>
      <c r="AJ758" t="inlineStr">
        <is>
          <t>Nej</t>
        </is>
      </c>
      <c r="AK758" t="inlineStr"/>
      <c r="AL758" t="inlineStr"/>
      <c r="AM758" t="inlineStr"/>
      <c r="AN758" t="inlineStr"/>
      <c r="AO758" t="inlineStr">
        <is>
          <t>cmm4yuq6r03awcuqwq022xuhi</t>
        </is>
      </c>
      <c r="AP758" t="inlineStr">
        <is>
          <t>http://localhost:8787/api/admin/requirements/documents/cmm4yuq6r03awcuqwq022xuhi/view</t>
        </is>
      </c>
      <c r="AQ758">
        <f>HYPERLÄNK("http://localhost:8787/api/admin/requirements/documents/cmm4yuq6r03awcuqwq022xuhi/view";"Öppna PDF")</f>
        <v/>
      </c>
      <c r="AR758">
        <f>HYPERLINK("http://localhost:8787/api/admin/requirements/documents/cmm4yuq6r03awcuqwq022xuhi/view","Open PDF")</f>
        <v/>
      </c>
      <c r="AS758" t="inlineStr">
        <is>
          <t>cmm55w57p0004cuisfrtpqly8</t>
        </is>
      </c>
      <c r="AT758" t="inlineStr">
        <is>
          <t>cmm4xvu980000cuh4vj0usz09</t>
        </is>
      </c>
      <c r="AU758" t="inlineStr">
        <is>
          <t>Postadress Gagnefs</t>
        </is>
      </c>
      <c r="AV758" t="inlineStr">
        <is>
          <t>Kommun</t>
        </is>
      </c>
      <c r="AW758" t="inlineStr">
        <is>
          <t>Postadress Gagnefs kommun</t>
        </is>
      </c>
      <c r="AX758" t="inlineStr">
        <is>
          <t>2024-12</t>
        </is>
      </c>
      <c r="AY758" t="inlineStr">
        <is>
          <t>Beslut</t>
        </is>
      </c>
      <c r="AZ758" t="inlineStr">
        <is>
          <t>2026-02-04</t>
        </is>
      </c>
      <c r="BA758" t="inlineStr">
        <is>
          <t>beslut.pdf</t>
        </is>
      </c>
      <c r="BB758" t="inlineStr">
        <is>
          <t>till registrator</t>
        </is>
      </c>
      <c r="BC758" t="inlineStr">
        <is>
          <t>AUTO</t>
        </is>
      </c>
      <c r="BD758" t="inlineStr"/>
      <c r="BE758" t="inlineStr"/>
      <c r="BF758" t="inlineStr">
        <is>
          <t>AUTO_GENERERAD. Bekrafta metadata mot kallfil.</t>
        </is>
      </c>
      <c r="BG758">
        <f>HYPERLINK("C:\Users\jimmy\Desktop\Examens arbete\Kod\Ny mapp\remix_-copy-of-miljöbeslut.se-portal\beslut.pdf", "Öppna PDF")</f>
        <v/>
      </c>
    </row>
    <row r="759">
      <c r="A759" t="inlineStr">
        <is>
          <t>KRAV-AUTO-000758</t>
        </is>
      </c>
      <c r="B759" t="inlineStr">
        <is>
          <t>ADMIN-INDEX-2026-02-27-00000000125C043F57453246863FE664CAFE6A3F0700950291EA24F0614FB6ACEDB12BF0E31D00000000010C0000950291EA24F0614FB6ACEDB12BF0E31D00002087AE2B0000</t>
        </is>
      </c>
      <c r="C759" t="inlineStr">
        <is>
          <t>cmm4yuq6o03atcuqwooffjadk</t>
        </is>
      </c>
      <c r="D759" t="inlineStr">
        <is>
          <t>http://localhost:8787/api/admin/requirements/documents/cmm4yuq6o03atcuqwooffjadk/view</t>
        </is>
      </c>
      <c r="E759">
        <f>HYPERLÄNK("http://localhost:8787/api/admin/requirements/documents/cmm4yuq6o03atcuqwooffjadk/view";"Öppna PDF")</f>
        <v/>
      </c>
      <c r="F759">
        <f>HYPERLINK("http://localhost:8787/api/admin/requirements/documents/cmm4yuq6o03atcuqwooffjadk/view","Open PDF")</f>
        <v/>
      </c>
      <c r="G759" t="inlineStr">
        <is>
          <t>cmm55w57p0004cuisfrtpqly8</t>
        </is>
      </c>
      <c r="H759" t="inlineStr">
        <is>
          <t>Beslutsvillkor</t>
        </is>
      </c>
      <c r="I759" t="inlineStr">
        <is>
          <t>DriftEgenkontroll</t>
        </is>
      </c>
      <c r="J759" t="inlineStr">
        <is>
          <t>Journalforing</t>
        </is>
      </c>
      <c r="K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Endast det material och de mängder som finns på platsen ska fortsatt lagras på platsen.</t>
        </is>
      </c>
      <c r="L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t>
        </is>
      </c>
      <c r="M759" t="inlineStr">
        <is>
          <t>SKA</t>
        </is>
      </c>
      <c r="N759" t="inlineStr"/>
      <c r="O759" t="inlineStr">
        <is>
          <t>2023-12-27</t>
        </is>
      </c>
      <c r="P759" t="inlineStr"/>
      <c r="Q759" t="inlineStr">
        <is>
          <t>Forelaggande vid brist</t>
        </is>
      </c>
      <c r="R759" t="inlineStr">
        <is>
          <t>Lopande drift</t>
        </is>
      </c>
      <c r="S759" t="inlineStr"/>
      <c r="T759" t="inlineStr">
        <is>
          <t>556613</t>
        </is>
      </c>
      <c r="U759" t="inlineStr"/>
      <c r="V759" t="inlineStr"/>
      <c r="W759" t="inlineStr">
        <is>
          <t>Nej</t>
        </is>
      </c>
      <c r="X759" t="inlineStr">
        <is>
          <t>Nej</t>
        </is>
      </c>
      <c r="Y759" t="inlineStr">
        <is>
          <t>Ja</t>
        </is>
      </c>
      <c r="Z759" t="inlineStr">
        <is>
          <t>Nej</t>
        </is>
      </c>
      <c r="AA759" t="n">
        <v>7</v>
      </c>
      <c r="AB759" t="inlineStr">
        <is>
          <t>Egenkontrollrutiner</t>
        </is>
      </c>
      <c r="AC759" t="inlineStr">
        <is>
          <t>Egenkontrollprogram</t>
        </is>
      </c>
      <c r="AD759" t="inlineStr">
        <is>
          <t>Nej</t>
        </is>
      </c>
      <c r="AE759" t="inlineStr">
        <is>
          <t>Nej</t>
        </is>
      </c>
      <c r="AF759" t="inlineStr">
        <is>
          <t>Ej behandlad</t>
        </is>
      </c>
      <c r="AG759" t="inlineStr">
        <is>
          <t>AUTO_GENERERAD. Verifiera citat mot kallfil.</t>
        </is>
      </c>
      <c r="AH759" t="inlineStr">
        <is>
          <t>MEDIUM</t>
        </is>
      </c>
      <c r="AI759" t="inlineStr">
        <is>
          <t>AUTO</t>
        </is>
      </c>
      <c r="AJ759" t="inlineStr">
        <is>
          <t>Nej</t>
        </is>
      </c>
      <c r="AK759" t="inlineStr"/>
      <c r="AL759" t="inlineStr"/>
      <c r="AM759" t="inlineStr"/>
      <c r="AN759" t="inlineStr"/>
      <c r="AO759" t="inlineStr">
        <is>
          <t>cmm4yuq6o03atcuqwooffjadk</t>
        </is>
      </c>
      <c r="AP759" t="inlineStr">
        <is>
          <t>http://localhost:8787/api/admin/requirements/documents/cmm4yuq6o03atcuqwooffjadk/view</t>
        </is>
      </c>
      <c r="AQ759">
        <f>HYPERLÄNK("http://localhost:8787/api/admin/requirements/documents/cmm4yuq6o03atcuqwooffjadk/view";"Öppna PDF")</f>
        <v/>
      </c>
      <c r="AR759">
        <f>HYPERLINK("http://localhost:8787/api/admin/requirements/documents/cmm4yuq6o03atcuqwooffjadk/view","Open PDF")</f>
        <v/>
      </c>
      <c r="AS759" t="inlineStr">
        <is>
          <t>cmm55w57p0004cuisfrtpqly8</t>
        </is>
      </c>
      <c r="AT759" t="inlineStr">
        <is>
          <t>cmm4xvu980000cuh4vj0usz09</t>
        </is>
      </c>
      <c r="AU759" t="inlineStr">
        <is>
          <t>-- Borgholms</t>
        </is>
      </c>
      <c r="AV759" t="inlineStr">
        <is>
          <t>Kommun</t>
        </is>
      </c>
      <c r="AW759" t="inlineStr">
        <is>
          <t>-- Borgholms kommun</t>
        </is>
      </c>
      <c r="AX759" t="inlineStr">
        <is>
          <t>2023-12</t>
        </is>
      </c>
      <c r="AY759" t="inlineStr">
        <is>
          <t>Beslut</t>
        </is>
      </c>
      <c r="AZ759" t="inlineStr">
        <is>
          <t>2026-02-04</t>
        </is>
      </c>
      <c r="BA759" t="inlineStr">
        <is>
          <t>FÖRA 8_4 MBN-2023-1561 Delegationsbeslut 2023-12-27.pdf</t>
        </is>
      </c>
      <c r="BB759" t="inlineStr">
        <is>
          <t>Sv: till registrator</t>
        </is>
      </c>
      <c r="BC759" t="inlineStr">
        <is>
          <t>AUTO</t>
        </is>
      </c>
      <c r="BD759" t="inlineStr"/>
      <c r="BE759" t="inlineStr"/>
      <c r="BF759" t="inlineStr">
        <is>
          <t>AUTO_GENERERAD. Bekrafta metadata mot kallfil.</t>
        </is>
      </c>
      <c r="BG759">
        <f>HYPERLINK("C:\Users\jimmy\Desktop\Examens arbete\Kod\Ny mapp\remix_-copy-of-miljöbeslut.se-portal\FÖRA 8_4 MBN-2023-1561 Delegationsbeslut 2023-12-27.pdf", "Öppna PDF")</f>
        <v/>
      </c>
    </row>
    <row r="760">
      <c r="A760" t="inlineStr">
        <is>
          <t>KRAV-AUTO-000759</t>
        </is>
      </c>
      <c r="B760" t="inlineStr">
        <is>
          <t>ADMIN-INDEX-2026-02-27-00000000125C043F57453246863FE664CAFE6A3F0700950291EA24F0614FB6ACEDB12BF0E31D00000000010C0000950291EA24F0614FB6ACEDB12BF0E31D00002087AE2B0000</t>
        </is>
      </c>
      <c r="C760" t="inlineStr">
        <is>
          <t>cmm4yuq6o03atcuqwooffjadk</t>
        </is>
      </c>
      <c r="D760" t="inlineStr">
        <is>
          <t>http://localhost:8787/api/admin/requirements/documents/cmm4yuq6o03atcuqwooffjadk/view</t>
        </is>
      </c>
      <c r="E760">
        <f>HYPERLÄNK("http://localhost:8787/api/admin/requirements/documents/cmm4yuq6o03atcuqwooffjadk/view";"Öppna PDF")</f>
        <v/>
      </c>
      <c r="F760">
        <f>HYPERLINK("http://localhost:8787/api/admin/requirements/documents/cmm4yuq6o03atcuqwooffjadk/view","Open PDF")</f>
        <v/>
      </c>
      <c r="G760" t="inlineStr">
        <is>
          <t>cmm55w57p0004cuisfrtpqly8</t>
        </is>
      </c>
      <c r="H760" t="inlineStr">
        <is>
          <t>Beslutsvillkor</t>
        </is>
      </c>
      <c r="I760" t="inlineStr">
        <is>
          <t>MiljopaverkanForsiktighet</t>
        </is>
      </c>
      <c r="J760" t="inlineStr">
        <is>
          <t>Skyddsatgarder</t>
        </is>
      </c>
      <c r="K760" t="inlineStr">
        <is>
          <t>Avfallet som anmälan avser har uppkommit lokalt och ska återanvändas till anläggningsändamål i närområdet.</t>
        </is>
      </c>
      <c r="L760" t="inlineStr">
        <is>
          <t>Avfallet som anmälan avser har uppkommit lokalt och ska återanvändas till anläggningsändamål i närområdet.</t>
        </is>
      </c>
      <c r="M760" t="inlineStr">
        <is>
          <t>SKA</t>
        </is>
      </c>
      <c r="N760" t="inlineStr"/>
      <c r="O760" t="inlineStr"/>
      <c r="P760" t="inlineStr"/>
      <c r="Q760" t="inlineStr"/>
      <c r="R760" t="inlineStr">
        <is>
          <t>Alltid</t>
        </is>
      </c>
      <c r="S760" t="inlineStr"/>
      <c r="T760" t="inlineStr">
        <is>
          <t>556613</t>
        </is>
      </c>
      <c r="U760" t="inlineStr"/>
      <c r="V760" t="inlineStr"/>
      <c r="W760" t="inlineStr">
        <is>
          <t>Nej</t>
        </is>
      </c>
      <c r="X760" t="inlineStr">
        <is>
          <t>Nej</t>
        </is>
      </c>
      <c r="Y760" t="inlineStr">
        <is>
          <t>Nej</t>
        </is>
      </c>
      <c r="Z760" t="inlineStr">
        <is>
          <t>Nej</t>
        </is>
      </c>
      <c r="AA760" t="n">
        <v>10</v>
      </c>
      <c r="AB760" t="inlineStr">
        <is>
          <t>Miljopaverkan och forsiktighetsmatt</t>
        </is>
      </c>
      <c r="AC760" t="inlineStr">
        <is>
          <t>Miljo-PM</t>
        </is>
      </c>
      <c r="AD760" t="inlineStr">
        <is>
          <t>Nej</t>
        </is>
      </c>
      <c r="AE760" t="inlineStr">
        <is>
          <t>Nej</t>
        </is>
      </c>
      <c r="AF760" t="inlineStr">
        <is>
          <t>Ej behandlad</t>
        </is>
      </c>
      <c r="AG760" t="inlineStr">
        <is>
          <t>AUTO_GENERERAD. Verifiera citat mot kallfil.</t>
        </is>
      </c>
      <c r="AH760" t="inlineStr">
        <is>
          <t>MEDIUM</t>
        </is>
      </c>
      <c r="AI760" t="inlineStr">
        <is>
          <t>AUTO</t>
        </is>
      </c>
      <c r="AJ760" t="inlineStr">
        <is>
          <t>Nej</t>
        </is>
      </c>
      <c r="AK760" t="inlineStr"/>
      <c r="AL760" t="inlineStr"/>
      <c r="AM760" t="inlineStr"/>
      <c r="AN760" t="inlineStr"/>
      <c r="AO760" t="inlineStr">
        <is>
          <t>cmm4yuq6o03atcuqwooffjadk</t>
        </is>
      </c>
      <c r="AP760" t="inlineStr">
        <is>
          <t>http://localhost:8787/api/admin/requirements/documents/cmm4yuq6o03atcuqwooffjadk/view</t>
        </is>
      </c>
      <c r="AQ760">
        <f>HYPERLÄNK("http://localhost:8787/api/admin/requirements/documents/cmm4yuq6o03atcuqwooffjadk/view";"Öppna PDF")</f>
        <v/>
      </c>
      <c r="AR760">
        <f>HYPERLINK("http://localhost:8787/api/admin/requirements/documents/cmm4yuq6o03atcuqwooffjadk/view","Open PDF")</f>
        <v/>
      </c>
      <c r="AS760" t="inlineStr">
        <is>
          <t>cmm55w57p0004cuisfrtpqly8</t>
        </is>
      </c>
      <c r="AT760" t="inlineStr">
        <is>
          <t>cmm4xvu980000cuh4vj0usz09</t>
        </is>
      </c>
      <c r="AU760" t="inlineStr">
        <is>
          <t>-- Borgholms</t>
        </is>
      </c>
      <c r="AV760" t="inlineStr">
        <is>
          <t>Kommun</t>
        </is>
      </c>
      <c r="AW760" t="inlineStr">
        <is>
          <t>-- Borgholms kommun</t>
        </is>
      </c>
      <c r="AX760" t="inlineStr">
        <is>
          <t>2023-12</t>
        </is>
      </c>
      <c r="AY760" t="inlineStr">
        <is>
          <t>Beslut</t>
        </is>
      </c>
      <c r="AZ760" t="inlineStr">
        <is>
          <t>2026-02-04</t>
        </is>
      </c>
      <c r="BA760" t="inlineStr">
        <is>
          <t>FÖRA 8_4 MBN-2023-1561 Delegationsbeslut 2023-12-27.pdf</t>
        </is>
      </c>
      <c r="BB760" t="inlineStr">
        <is>
          <t>Sv: till registrator</t>
        </is>
      </c>
      <c r="BC760" t="inlineStr">
        <is>
          <t>AUTO</t>
        </is>
      </c>
      <c r="BD760" t="inlineStr"/>
      <c r="BE760" t="inlineStr"/>
      <c r="BF760" t="inlineStr">
        <is>
          <t>AUTO_GENERERAD. Bekrafta metadata mot kallfil.</t>
        </is>
      </c>
      <c r="BG760">
        <f>HYPERLINK("C:\Users\jimmy\Desktop\Examens arbete\Kod\Ny mapp\remix_-copy-of-miljöbeslut.se-portal\FÖRA 8_4 MBN-2023-1561 Delegationsbeslut 2023-12-27.pdf", "Öppna PDF")</f>
        <v/>
      </c>
    </row>
    <row r="761">
      <c r="A761" t="inlineStr">
        <is>
          <t>KRAV-AUTO-000760</t>
        </is>
      </c>
      <c r="B761" t="inlineStr">
        <is>
          <t>ADMIN-INDEX-2026-02-27-00000000125C043F57453246863FE664CAFE6A3F0700950291EA24F0614FB6ACEDB12BF0E31D00000000010C0000950291EA24F0614FB6ACEDB12BF0E31D00002087AE2B0000</t>
        </is>
      </c>
      <c r="C761" t="inlineStr">
        <is>
          <t>cmm4yuq6m03aqcuqwypr8t24m</t>
        </is>
      </c>
      <c r="D761" t="inlineStr">
        <is>
          <t>http://localhost:8787/api/admin/requirements/documents/cmm4yuq6m03aqcuqwypr8t24m/view</t>
        </is>
      </c>
      <c r="E761">
        <f>HYPERLÄNK("http://localhost:8787/api/admin/requirements/documents/cmm4yuq6m03aqcuqwypr8t24m/view";"Öppna PDF")</f>
        <v/>
      </c>
      <c r="F761">
        <f>HYPERLINK("http://localhost:8787/api/admin/requirements/documents/cmm4yuq6m03aqcuqwypr8t24m/view","Open PDF")</f>
        <v/>
      </c>
      <c r="G761" t="inlineStr">
        <is>
          <t>cmm55w57p0004cuisfrtpqly8</t>
        </is>
      </c>
      <c r="H761" t="inlineStr">
        <is>
          <t>Beslutsvillkor</t>
        </is>
      </c>
      <c r="I761" t="inlineStr">
        <is>
          <t>LagringsvolymTid</t>
        </is>
      </c>
      <c r="J761" t="inlineStr">
        <is>
          <t>Maxmangd</t>
        </is>
      </c>
      <c r="K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761" t="inlineStr">
        <is>
          <t>SKA</t>
        </is>
      </c>
      <c r="N761" t="inlineStr"/>
      <c r="O761" t="inlineStr"/>
      <c r="P761" t="inlineStr"/>
      <c r="Q761" t="inlineStr">
        <is>
          <t>Forelaggande vid brist</t>
        </is>
      </c>
      <c r="R761" t="inlineStr">
        <is>
          <t>Alltid</t>
        </is>
      </c>
      <c r="S761" t="inlineStr"/>
      <c r="T761" t="inlineStr">
        <is>
          <t>556613</t>
        </is>
      </c>
      <c r="U761" t="inlineStr"/>
      <c r="V761" t="inlineStr"/>
      <c r="W761" t="inlineStr">
        <is>
          <t>Nej</t>
        </is>
      </c>
      <c r="X761" t="inlineStr">
        <is>
          <t>Nej</t>
        </is>
      </c>
      <c r="Y761" t="inlineStr">
        <is>
          <t>Nej</t>
        </is>
      </c>
      <c r="Z761" t="inlineStr">
        <is>
          <t>Nej</t>
        </is>
      </c>
      <c r="AA761" t="n">
        <v>4</v>
      </c>
      <c r="AB761" t="inlineStr">
        <is>
          <t>Avfallsmangder och lagringstid</t>
        </is>
      </c>
      <c r="AC761" t="inlineStr">
        <is>
          <t>Avfallsforteckning</t>
        </is>
      </c>
      <c r="AD761" t="inlineStr">
        <is>
          <t>Nej</t>
        </is>
      </c>
      <c r="AE761" t="inlineStr">
        <is>
          <t>Nej</t>
        </is>
      </c>
      <c r="AF761" t="inlineStr">
        <is>
          <t>Ej behandlad</t>
        </is>
      </c>
      <c r="AG761" t="inlineStr">
        <is>
          <t>AUTO_GENERERAD. Verifiera citat mot kallfil.</t>
        </is>
      </c>
      <c r="AH761" t="inlineStr">
        <is>
          <t>MEDIUM</t>
        </is>
      </c>
      <c r="AI761" t="inlineStr">
        <is>
          <t>AUTO</t>
        </is>
      </c>
      <c r="AJ761" t="inlineStr">
        <is>
          <t>Nej</t>
        </is>
      </c>
      <c r="AK761" t="inlineStr"/>
      <c r="AL761" t="inlineStr"/>
      <c r="AM761" t="inlineStr"/>
      <c r="AN761" t="inlineStr"/>
      <c r="AO761" t="inlineStr">
        <is>
          <t>cmm4yuq6o03atcuqwooffjadk</t>
        </is>
      </c>
      <c r="AP761" t="inlineStr">
        <is>
          <t>http://localhost:8787/api/admin/requirements/documents/cmm4yuq6o03atcuqwooffjadk/view</t>
        </is>
      </c>
      <c r="AQ761">
        <f>HYPERLÄNK("http://localhost:8787/api/admin/requirements/documents/cmm4yuq6o03atcuqwooffjadk/view";"Öppna PDF")</f>
        <v/>
      </c>
      <c r="AR761">
        <f>HYPERLINK("http://localhost:8787/api/admin/requirements/documents/cmm4yuq6o03atcuqwooffjadk/view","Open PDF")</f>
        <v/>
      </c>
      <c r="AS761" t="inlineStr">
        <is>
          <t>cmm55w57p0004cuisfrtpqly8</t>
        </is>
      </c>
      <c r="AT761" t="inlineStr">
        <is>
          <t>cmm4xvu980000cuh4vj0usz09</t>
        </is>
      </c>
      <c r="AU761" t="inlineStr">
        <is>
          <t>-- Borgholms</t>
        </is>
      </c>
      <c r="AV761" t="inlineStr">
        <is>
          <t>Kommun</t>
        </is>
      </c>
      <c r="AW761" t="inlineStr">
        <is>
          <t>-- Borgholms kommun</t>
        </is>
      </c>
      <c r="AX761" t="inlineStr">
        <is>
          <t>2023-12</t>
        </is>
      </c>
      <c r="AY761" t="inlineStr">
        <is>
          <t>Beslut</t>
        </is>
      </c>
      <c r="AZ761" t="inlineStr">
        <is>
          <t>2026-02-04</t>
        </is>
      </c>
      <c r="BA761" t="inlineStr">
        <is>
          <t>FÖRA 8_4 MBN-2023-1561 Delegationsbeslut 2023-12-27.pdf</t>
        </is>
      </c>
      <c r="BB761" t="inlineStr">
        <is>
          <t>Sv: till registrator</t>
        </is>
      </c>
      <c r="BC761" t="inlineStr">
        <is>
          <t>AUTO</t>
        </is>
      </c>
      <c r="BD761" t="inlineStr"/>
      <c r="BE761" t="inlineStr"/>
      <c r="BF761" t="inlineStr">
        <is>
          <t>AUTO_GENERERAD. Bekrafta metadata mot kallfil.</t>
        </is>
      </c>
      <c r="BG761">
        <f>HYPERLINK("C:\Users\jimmy\Desktop\Examens arbete\Kod\Ny mapp\remix_-copy-of-miljöbeslut.se-portal\FÖRA 8_4 MBN-2023-1561 Delegationsbeslut 2023-12-27.pdf", "Öppna PDF")</f>
        <v/>
      </c>
    </row>
    <row r="762">
      <c r="A762" t="inlineStr">
        <is>
          <t>KRAV-AUTO-000761</t>
        </is>
      </c>
      <c r="B762" t="inlineStr">
        <is>
          <t>ADMIN-INDEX-2026-02-27-00000000125C043F57453246863FE664CAFE6A3F0700950291EA24F0614FB6ACEDB12BF0E31D00000000010C0000950291EA24F0614FB6ACEDB12BF0E31D00002087AE2B0000</t>
        </is>
      </c>
      <c r="C762" t="inlineStr">
        <is>
          <t>cmm4yuq6m03aqcuqwypr8t24m</t>
        </is>
      </c>
      <c r="D762" t="inlineStr">
        <is>
          <t>http://localhost:8787/api/admin/requirements/documents/cmm4yuq6m03aqcuqwypr8t24m/view</t>
        </is>
      </c>
      <c r="E762">
        <f>HYPERLÄNK("http://localhost:8787/api/admin/requirements/documents/cmm4yuq6m03aqcuqwypr8t24m/view";"Öppna PDF")</f>
        <v/>
      </c>
      <c r="F762">
        <f>HYPERLINK("http://localhost:8787/api/admin/requirements/documents/cmm4yuq6m03aqcuqwypr8t24m/view","Open PDF")</f>
        <v/>
      </c>
      <c r="G762" t="inlineStr">
        <is>
          <t>cmm55w57p0004cuisfrtpqly8</t>
        </is>
      </c>
      <c r="H762" t="inlineStr">
        <is>
          <t>Beslutsvillkor</t>
        </is>
      </c>
      <c r="I762" t="inlineStr">
        <is>
          <t>MiljopaverkanForsiktighet</t>
        </is>
      </c>
      <c r="J762" t="inlineStr">
        <is>
          <t>Skyddsatgarder</t>
        </is>
      </c>
      <c r="K762" t="inlineStr">
        <is>
          <t>Avfallet som anmälan avser har uppkommit lokalt och ska återanvändas till anläggningsändamål i närområdet.</t>
        </is>
      </c>
      <c r="L762" t="inlineStr">
        <is>
          <t>Avfallet som anmälan avser har uppkommit lokalt och ska återanvändas till anläggningsändamål i närområdet.</t>
        </is>
      </c>
      <c r="M762" t="inlineStr">
        <is>
          <t>SKA</t>
        </is>
      </c>
      <c r="N762" t="inlineStr"/>
      <c r="O762" t="inlineStr"/>
      <c r="P762" t="inlineStr"/>
      <c r="Q762" t="inlineStr"/>
      <c r="R762" t="inlineStr">
        <is>
          <t>Alltid</t>
        </is>
      </c>
      <c r="S762" t="inlineStr"/>
      <c r="T762" t="inlineStr">
        <is>
          <t>556613</t>
        </is>
      </c>
      <c r="U762" t="inlineStr"/>
      <c r="V762" t="inlineStr"/>
      <c r="W762" t="inlineStr">
        <is>
          <t>Nej</t>
        </is>
      </c>
      <c r="X762" t="inlineStr">
        <is>
          <t>Nej</t>
        </is>
      </c>
      <c r="Y762" t="inlineStr">
        <is>
          <t>Nej</t>
        </is>
      </c>
      <c r="Z762" t="inlineStr">
        <is>
          <t>Nej</t>
        </is>
      </c>
      <c r="AA762" t="n">
        <v>10</v>
      </c>
      <c r="AB762" t="inlineStr">
        <is>
          <t>Miljopaverkan och forsiktighetsmatt</t>
        </is>
      </c>
      <c r="AC762" t="inlineStr">
        <is>
          <t>Miljo-PM</t>
        </is>
      </c>
      <c r="AD762" t="inlineStr">
        <is>
          <t>Nej</t>
        </is>
      </c>
      <c r="AE762" t="inlineStr">
        <is>
          <t>Nej</t>
        </is>
      </c>
      <c r="AF762" t="inlineStr">
        <is>
          <t>Ej behandlad</t>
        </is>
      </c>
      <c r="AG762" t="inlineStr">
        <is>
          <t>AUTO_GENERERAD. Verifiera citat mot kallfil.</t>
        </is>
      </c>
      <c r="AH762" t="inlineStr">
        <is>
          <t>MEDIUM</t>
        </is>
      </c>
      <c r="AI762" t="inlineStr">
        <is>
          <t>AUTO</t>
        </is>
      </c>
      <c r="AJ762" t="inlineStr">
        <is>
          <t>Nej</t>
        </is>
      </c>
      <c r="AK762" t="inlineStr"/>
      <c r="AL762" t="inlineStr"/>
      <c r="AM762" t="inlineStr"/>
      <c r="AN762" t="inlineStr"/>
      <c r="AO762" t="inlineStr">
        <is>
          <t>cmm4yuq6o03atcuqwooffjadk</t>
        </is>
      </c>
      <c r="AP762" t="inlineStr">
        <is>
          <t>http://localhost:8787/api/admin/requirements/documents/cmm4yuq6o03atcuqwooffjadk/view</t>
        </is>
      </c>
      <c r="AQ762">
        <f>HYPERLÄNK("http://localhost:8787/api/admin/requirements/documents/cmm4yuq6o03atcuqwooffjadk/view";"Öppna PDF")</f>
        <v/>
      </c>
      <c r="AR762">
        <f>HYPERLINK("http://localhost:8787/api/admin/requirements/documents/cmm4yuq6o03atcuqwooffjadk/view","Open PDF")</f>
        <v/>
      </c>
      <c r="AS762" t="inlineStr">
        <is>
          <t>cmm55w57p0004cuisfrtpqly8</t>
        </is>
      </c>
      <c r="AT762" t="inlineStr">
        <is>
          <t>cmm4xvu980000cuh4vj0usz09</t>
        </is>
      </c>
      <c r="AU762" t="inlineStr">
        <is>
          <t>-- Borgholms</t>
        </is>
      </c>
      <c r="AV762" t="inlineStr">
        <is>
          <t>Kommun</t>
        </is>
      </c>
      <c r="AW762" t="inlineStr">
        <is>
          <t>-- Borgholms kommun</t>
        </is>
      </c>
      <c r="AX762" t="inlineStr">
        <is>
          <t>2023-12</t>
        </is>
      </c>
      <c r="AY762" t="inlineStr">
        <is>
          <t>Beslut</t>
        </is>
      </c>
      <c r="AZ762" t="inlineStr">
        <is>
          <t>2026-02-04</t>
        </is>
      </c>
      <c r="BA762" t="inlineStr">
        <is>
          <t>FÖRA 8_4 MBN-2023-1561 Delegationsbeslut 2023-12-27.pdf</t>
        </is>
      </c>
      <c r="BB762" t="inlineStr">
        <is>
          <t>Sv: till registrator</t>
        </is>
      </c>
      <c r="BC762" t="inlineStr">
        <is>
          <t>AUTO</t>
        </is>
      </c>
      <c r="BD762" t="inlineStr"/>
      <c r="BE762" t="inlineStr"/>
      <c r="BF762" t="inlineStr">
        <is>
          <t>AUTO_GENERERAD. Bekrafta metadata mot kallfil.</t>
        </is>
      </c>
      <c r="BG762">
        <f>HYPERLINK("C:\Users\jimmy\Desktop\Examens arbete\Kod\Ny mapp\remix_-copy-of-miljöbeslut.se-portal\FÖRA 8_4 MBN-2023-1561 Delegationsbeslut 2023-12-27.pdf", "Öppna PDF")</f>
        <v/>
      </c>
    </row>
    <row r="763">
      <c r="A763" t="inlineStr">
        <is>
          <t>KRAV-AUTO-000762</t>
        </is>
      </c>
      <c r="B763" t="inlineStr">
        <is>
          <t>ADMIN-INDEX-2026-02-27-00000000125C043F57453246863FE664CAFE6A3F0700950291EA24F0614FB6ACEDB12BF0E31D00000000010C0000950291EA24F0614FB6ACEDB12BF0E31D00002087AE2B0000</t>
        </is>
      </c>
      <c r="C763" t="inlineStr">
        <is>
          <t>cmm4yuq6m03aqcuqwypr8t24m</t>
        </is>
      </c>
      <c r="D763" t="inlineStr">
        <is>
          <t>http://localhost:8787/api/admin/requirements/documents/cmm4yuq6m03aqcuqwypr8t24m/view</t>
        </is>
      </c>
      <c r="E763">
        <f>HYPERLÄNK("http://localhost:8787/api/admin/requirements/documents/cmm4yuq6m03aqcuqwypr8t24m/view";"Öppna PDF")</f>
        <v/>
      </c>
      <c r="F763">
        <f>HYPERLINK("http://localhost:8787/api/admin/requirements/documents/cmm4yuq6m03aqcuqwypr8t24m/view","Open PDF")</f>
        <v/>
      </c>
      <c r="G763" t="inlineStr">
        <is>
          <t>cmm55w57p0004cuisfrtpqly8</t>
        </is>
      </c>
      <c r="H763" t="inlineStr">
        <is>
          <t>Beslutsvillkor</t>
        </is>
      </c>
      <c r="I763" t="inlineStr">
        <is>
          <t>MiljopaverkanForsiktighet</t>
        </is>
      </c>
      <c r="J763" t="inlineStr">
        <is>
          <t>Skyddsatgarder</t>
        </is>
      </c>
      <c r="K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763" t="inlineStr">
        <is>
          <t>BOR</t>
        </is>
      </c>
      <c r="N763" t="inlineStr"/>
      <c r="O763" t="inlineStr">
        <is>
          <t>2023-12-12</t>
        </is>
      </c>
      <c r="P763" t="inlineStr"/>
      <c r="Q763" t="inlineStr"/>
      <c r="R763" t="inlineStr">
        <is>
          <t>Alltid</t>
        </is>
      </c>
      <c r="S763" t="inlineStr"/>
      <c r="T763" t="inlineStr">
        <is>
          <t>556613</t>
        </is>
      </c>
      <c r="U763" t="inlineStr"/>
      <c r="V763" t="inlineStr"/>
      <c r="W763" t="inlineStr">
        <is>
          <t>Nej</t>
        </is>
      </c>
      <c r="X763" t="inlineStr">
        <is>
          <t>Nej</t>
        </is>
      </c>
      <c r="Y763" t="inlineStr">
        <is>
          <t>Nej</t>
        </is>
      </c>
      <c r="Z763" t="inlineStr">
        <is>
          <t>Nej</t>
        </is>
      </c>
      <c r="AA763" t="n">
        <v>10</v>
      </c>
      <c r="AB763" t="inlineStr">
        <is>
          <t>Miljopaverkan och forsiktighetsmatt</t>
        </is>
      </c>
      <c r="AC763" t="inlineStr">
        <is>
          <t>Miljo-PM</t>
        </is>
      </c>
      <c r="AD763" t="inlineStr">
        <is>
          <t>Nej</t>
        </is>
      </c>
      <c r="AE763" t="inlineStr">
        <is>
          <t>Nej</t>
        </is>
      </c>
      <c r="AF763" t="inlineStr">
        <is>
          <t>Ej behandlad</t>
        </is>
      </c>
      <c r="AG763" t="inlineStr">
        <is>
          <t>AUTO_GENERERAD. Verifiera citat mot kallfil.</t>
        </is>
      </c>
      <c r="AH763" t="inlineStr">
        <is>
          <t>MEDIUM</t>
        </is>
      </c>
      <c r="AI763" t="inlineStr">
        <is>
          <t>AUTO</t>
        </is>
      </c>
      <c r="AJ763" t="inlineStr">
        <is>
          <t>Nej</t>
        </is>
      </c>
      <c r="AK763" t="inlineStr"/>
      <c r="AL763" t="inlineStr"/>
      <c r="AM763" t="inlineStr"/>
      <c r="AN763" t="inlineStr"/>
      <c r="AO763" t="inlineStr">
        <is>
          <t>cmm4yuq6o03atcuqwooffjadk</t>
        </is>
      </c>
      <c r="AP763" t="inlineStr">
        <is>
          <t>http://localhost:8787/api/admin/requirements/documents/cmm4yuq6o03atcuqwooffjadk/view</t>
        </is>
      </c>
      <c r="AQ763">
        <f>HYPERLÄNK("http://localhost:8787/api/admin/requirements/documents/cmm4yuq6o03atcuqwooffjadk/view";"Öppna PDF")</f>
        <v/>
      </c>
      <c r="AR763">
        <f>HYPERLINK("http://localhost:8787/api/admin/requirements/documents/cmm4yuq6o03atcuqwooffjadk/view","Open PDF")</f>
        <v/>
      </c>
      <c r="AS763" t="inlineStr">
        <is>
          <t>cmm55w57p0004cuisfrtpqly8</t>
        </is>
      </c>
      <c r="AT763" t="inlineStr">
        <is>
          <t>cmm4xvu980000cuh4vj0usz09</t>
        </is>
      </c>
      <c r="AU763" t="inlineStr">
        <is>
          <t>-- Borgholms</t>
        </is>
      </c>
      <c r="AV763" t="inlineStr">
        <is>
          <t>Kommun</t>
        </is>
      </c>
      <c r="AW763" t="inlineStr">
        <is>
          <t>-- Borgholms kommun</t>
        </is>
      </c>
      <c r="AX763" t="inlineStr">
        <is>
          <t>2023-12</t>
        </is>
      </c>
      <c r="AY763" t="inlineStr">
        <is>
          <t>Beslut</t>
        </is>
      </c>
      <c r="AZ763" t="inlineStr">
        <is>
          <t>2026-02-04</t>
        </is>
      </c>
      <c r="BA763" t="inlineStr">
        <is>
          <t>FÖRA 8_4 MBN-2023-1561 Delegationsbeslut 2023-12-27.pdf</t>
        </is>
      </c>
      <c r="BB763" t="inlineStr">
        <is>
          <t>Sv: till registrator</t>
        </is>
      </c>
      <c r="BC763" t="inlineStr">
        <is>
          <t>AUTO</t>
        </is>
      </c>
      <c r="BD763" t="inlineStr"/>
      <c r="BE763" t="inlineStr"/>
      <c r="BF763" t="inlineStr">
        <is>
          <t>AUTO_GENERERAD. Bekrafta metadata mot kallfil.</t>
        </is>
      </c>
      <c r="BG763">
        <f>HYPERLINK("C:\Users\jimmy\Desktop\Examens arbete\Kod\Ny mapp\remix_-copy-of-miljöbeslut.se-portal\FÖRA 8_4 MBN-2023-1561 Delegationsbeslut 2023-12-27.pdf", "Öppna PDF")</f>
        <v/>
      </c>
    </row>
    <row r="764">
      <c r="A764" t="inlineStr">
        <is>
          <t>KRAV-AUTO-000763</t>
        </is>
      </c>
      <c r="B764" t="inlineStr">
        <is>
          <t>ADMIN-INDEX-2026-02-27-00000000125C043F57453246863FE664CAFE6A3F0700950291EA24F0614FB6ACEDB12BF0E31D00000000010C0000950291EA24F0614FB6ACEDB12BF0E31D00002087A5CB0000</t>
        </is>
      </c>
      <c r="C764" t="inlineStr">
        <is>
          <t>cmm4yur03042hcuqw64f552ii</t>
        </is>
      </c>
      <c r="D764" t="inlineStr">
        <is>
          <t>http://localhost:8787/api/admin/requirements/documents/cmm4yur03042hcuqw64f552ii/view</t>
        </is>
      </c>
      <c r="E764">
        <f>HYPERLÄNK("http://localhost:8787/api/admin/requirements/documents/cmm4yur03042hcuqw64f552ii/view";"Öppna PDF")</f>
        <v/>
      </c>
      <c r="F764">
        <f>HYPERLINK("http://localhost:8787/api/admin/requirements/documents/cmm4yur03042hcuqw64f552ii/view","Open PDF")</f>
        <v/>
      </c>
      <c r="G764" t="inlineStr">
        <is>
          <t>cmm55w57p0004cuisfrtpqly8</t>
        </is>
      </c>
      <c r="H764" t="inlineStr">
        <is>
          <t>Beslutsvillkor</t>
        </is>
      </c>
      <c r="I764" t="inlineStr">
        <is>
          <t>DagvattenLakvatten</t>
        </is>
      </c>
      <c r="J764" t="inlineStr">
        <is>
          <t>Uppsamling</t>
        </is>
      </c>
      <c r="K764" t="inlineStr">
        <is>
          <t>Motivering: Farligt avfall ska förvaras så att spill eller läckage inte kan nå avlopp, dagvattennätet, omgivande mark eller vatten.</t>
        </is>
      </c>
      <c r="L764" t="inlineStr">
        <is>
          <t>Motivering: Farligt avfall ska förvaras så att spill eller läckage inte kan nå avlopp, dagvattennätet, omgivande mark eller vatten.</t>
        </is>
      </c>
      <c r="M764" t="inlineStr">
        <is>
          <t>SKA</t>
        </is>
      </c>
      <c r="N764" t="inlineStr"/>
      <c r="O764" t="inlineStr"/>
      <c r="P764" t="inlineStr">
        <is>
          <t>Arlig</t>
        </is>
      </c>
      <c r="Q764" t="inlineStr"/>
      <c r="R764" t="inlineStr">
        <is>
          <t>Vid nederbord och avrinning</t>
        </is>
      </c>
      <c r="S764" t="inlineStr"/>
      <c r="T764" t="inlineStr">
        <is>
          <t>212000</t>
        </is>
      </c>
      <c r="U764" t="inlineStr"/>
      <c r="V764" t="inlineStr"/>
      <c r="W764" t="inlineStr">
        <is>
          <t>Nej</t>
        </is>
      </c>
      <c r="X764" t="inlineStr">
        <is>
          <t>Ja</t>
        </is>
      </c>
      <c r="Y764" t="inlineStr">
        <is>
          <t>Ja</t>
        </is>
      </c>
      <c r="Z764" t="inlineStr">
        <is>
          <t>Nej</t>
        </is>
      </c>
      <c r="AA764" t="n">
        <v>6</v>
      </c>
      <c r="AB764" t="inlineStr">
        <is>
          <t>Lakvattenhantering</t>
        </is>
      </c>
      <c r="AC764" t="inlineStr">
        <is>
          <t>Flodesschema dagvatten-lakvatten</t>
        </is>
      </c>
      <c r="AD764" t="inlineStr">
        <is>
          <t>Nej</t>
        </is>
      </c>
      <c r="AE764" t="inlineStr">
        <is>
          <t>Nej</t>
        </is>
      </c>
      <c r="AF764" t="inlineStr">
        <is>
          <t>Ej behandlad</t>
        </is>
      </c>
      <c r="AG764" t="inlineStr">
        <is>
          <t>AUTO_GENERERAD. Verifiera citat mot kallfil.</t>
        </is>
      </c>
      <c r="AH764" t="inlineStr">
        <is>
          <t>MEDIUM</t>
        </is>
      </c>
      <c r="AI764" t="inlineStr">
        <is>
          <t>AUTO</t>
        </is>
      </c>
      <c r="AJ764" t="inlineStr">
        <is>
          <t>Nej</t>
        </is>
      </c>
      <c r="AK764" t="inlineStr"/>
      <c r="AL764" t="inlineStr"/>
      <c r="AM764" t="inlineStr"/>
      <c r="AN764" t="inlineStr"/>
      <c r="AO764" t="inlineStr">
        <is>
          <t>cmm4yur01042ecuqwjjvrz035</t>
        </is>
      </c>
      <c r="AP764" t="inlineStr">
        <is>
          <t>http://localhost:8787/api/admin/requirements/documents/cmm4yur01042ecuqwjjvrz035/view</t>
        </is>
      </c>
      <c r="AQ764">
        <f>HYPERLÄNK("http://localhost:8787/api/admin/requirements/documents/cmm4yur01042ecuqwjjvrz035/view";"Öppna PDF")</f>
        <v/>
      </c>
      <c r="AR764">
        <f>HYPERLINK("http://localhost:8787/api/admin/requirements/documents/cmm4yur01042ecuqwjjvrz035/view","Open PDF")</f>
        <v/>
      </c>
      <c r="AS764" t="inlineStr">
        <is>
          <t>cmm55w57p0004cuisfrtpqly8</t>
        </is>
      </c>
      <c r="AT764" t="inlineStr">
        <is>
          <t>cmm4xvu980000cuh4vj0usz09</t>
        </is>
      </c>
      <c r="AU764" t="inlineStr"/>
      <c r="AV764" t="inlineStr">
        <is>
          <t>Kommun</t>
        </is>
      </c>
      <c r="AW764" t="inlineStr"/>
      <c r="AX764" t="inlineStr">
        <is>
          <t>2023-12</t>
        </is>
      </c>
      <c r="AY764" t="inlineStr">
        <is>
          <t>Anmalan</t>
        </is>
      </c>
      <c r="AZ764" t="inlineStr">
        <is>
          <t>2026-02-05</t>
        </is>
      </c>
      <c r="BA764" t="inlineStr">
        <is>
          <t>Anmälan om miljöfarlig verksamhet - signed.pdf</t>
        </is>
      </c>
      <c r="BB764" t="inlineStr">
        <is>
          <t>Sv: till registrator</t>
        </is>
      </c>
      <c r="BC764" t="inlineStr">
        <is>
          <t>AUTO</t>
        </is>
      </c>
      <c r="BD764" t="inlineStr"/>
      <c r="BE764" t="inlineStr"/>
      <c r="BF764" t="inlineStr">
        <is>
          <t>AUTO_GENERERAD. Bekrafta metadata mot kallfil.</t>
        </is>
      </c>
      <c r="BG764">
        <f>HYPERLINK("C:\Users\jimmy\Desktop\Examens arbete\Kod\Ny mapp\remix_-copy-of-miljöbeslut.se-portal\Anmälan om miljöfarlig verksamhet - signed.pdf", "Öppna PDF")</f>
        <v/>
      </c>
    </row>
    <row r="765">
      <c r="A765" t="inlineStr">
        <is>
          <t>KRAV-AUTO-000764</t>
        </is>
      </c>
      <c r="B765" t="inlineStr">
        <is>
          <t>ADMIN-INDEX-2026-02-27-00000000125C043F57453246863FE664CAFE6A3F0700950291EA24F0614FB6ACEDB12BF0E31D00000000010C0000950291EA24F0614FB6ACEDB12BF0E31D00002087A5CB0000</t>
        </is>
      </c>
      <c r="C765" t="inlineStr">
        <is>
          <t>cmm4yur03042hcuqw64f552ii</t>
        </is>
      </c>
      <c r="D765" t="inlineStr">
        <is>
          <t>http://localhost:8787/api/admin/requirements/documents/cmm4yur03042hcuqw64f552ii/view</t>
        </is>
      </c>
      <c r="E765">
        <f>HYPERLÄNK("http://localhost:8787/api/admin/requirements/documents/cmm4yur03042hcuqw64f552ii/view";"Öppna PDF")</f>
        <v/>
      </c>
      <c r="F765">
        <f>HYPERLINK("http://localhost:8787/api/admin/requirements/documents/cmm4yur03042hcuqw64f552ii/view","Open PDF")</f>
        <v/>
      </c>
      <c r="G765" t="inlineStr">
        <is>
          <t>cmm55w57p0004cuisfrtpqly8</t>
        </is>
      </c>
      <c r="H765" t="inlineStr">
        <is>
          <t>Beslutsvillkor</t>
        </is>
      </c>
      <c r="I765" t="inlineStr">
        <is>
          <t>Ytkonstruktion</t>
        </is>
      </c>
      <c r="J765" t="inlineStr">
        <is>
          <t>Tat yta</t>
        </is>
      </c>
      <c r="K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765" t="inlineStr">
        <is>
          <t>SKA</t>
        </is>
      </c>
      <c r="N765" t="inlineStr"/>
      <c r="O765" t="inlineStr"/>
      <c r="P765" t="inlineStr"/>
      <c r="Q765" t="inlineStr"/>
      <c r="R765" t="inlineStr">
        <is>
          <t>Vid mellanlagring av avfall</t>
        </is>
      </c>
      <c r="S765" t="inlineStr"/>
      <c r="T765" t="inlineStr">
        <is>
          <t>212000</t>
        </is>
      </c>
      <c r="U765" t="inlineStr"/>
      <c r="V765" t="inlineStr"/>
      <c r="W765" t="inlineStr">
        <is>
          <t>Ja</t>
        </is>
      </c>
      <c r="X765" t="inlineStr">
        <is>
          <t>Nej</t>
        </is>
      </c>
      <c r="Y765" t="inlineStr">
        <is>
          <t>Nej</t>
        </is>
      </c>
      <c r="Z765" t="inlineStr">
        <is>
          <t>Nej</t>
        </is>
      </c>
      <c r="AA765" t="n">
        <v>5</v>
      </c>
      <c r="AB765" t="inlineStr">
        <is>
          <t>Teknisk beskrivning av platta</t>
        </is>
      </c>
      <c r="AC765" t="inlineStr">
        <is>
          <t>Teknisk ritning platta</t>
        </is>
      </c>
      <c r="AD765" t="inlineStr">
        <is>
          <t>Nej</t>
        </is>
      </c>
      <c r="AE765" t="inlineStr">
        <is>
          <t>Nej</t>
        </is>
      </c>
      <c r="AF765" t="inlineStr">
        <is>
          <t>Ej behandlad</t>
        </is>
      </c>
      <c r="AG765" t="inlineStr">
        <is>
          <t>AUTO_GENERERAD. Verifiera citat mot kallfil.</t>
        </is>
      </c>
      <c r="AH765" t="inlineStr">
        <is>
          <t>MEDIUM</t>
        </is>
      </c>
      <c r="AI765" t="inlineStr">
        <is>
          <t>AUTO</t>
        </is>
      </c>
      <c r="AJ765" t="inlineStr">
        <is>
          <t>Nej</t>
        </is>
      </c>
      <c r="AK765" t="inlineStr"/>
      <c r="AL765" t="inlineStr"/>
      <c r="AM765" t="inlineStr"/>
      <c r="AN765" t="inlineStr"/>
      <c r="AO765" t="inlineStr">
        <is>
          <t>cmm4yur01042ecuqwjjvrz035</t>
        </is>
      </c>
      <c r="AP765" t="inlineStr">
        <is>
          <t>http://localhost:8787/api/admin/requirements/documents/cmm4yur01042ecuqwjjvrz035/view</t>
        </is>
      </c>
      <c r="AQ765">
        <f>HYPERLÄNK("http://localhost:8787/api/admin/requirements/documents/cmm4yur01042ecuqwjjvrz035/view";"Öppna PDF")</f>
        <v/>
      </c>
      <c r="AR765">
        <f>HYPERLINK("http://localhost:8787/api/admin/requirements/documents/cmm4yur01042ecuqwjjvrz035/view","Open PDF")</f>
        <v/>
      </c>
      <c r="AS765" t="inlineStr">
        <is>
          <t>cmm55w57p0004cuisfrtpqly8</t>
        </is>
      </c>
      <c r="AT765" t="inlineStr">
        <is>
          <t>cmm4xvu980000cuh4vj0usz09</t>
        </is>
      </c>
      <c r="AU765" t="inlineStr"/>
      <c r="AV765" t="inlineStr">
        <is>
          <t>Kommun</t>
        </is>
      </c>
      <c r="AW765" t="inlineStr"/>
      <c r="AX765" t="inlineStr">
        <is>
          <t>2023-12</t>
        </is>
      </c>
      <c r="AY765" t="inlineStr">
        <is>
          <t>Anmalan</t>
        </is>
      </c>
      <c r="AZ765" t="inlineStr">
        <is>
          <t>2026-02-05</t>
        </is>
      </c>
      <c r="BA765" t="inlineStr">
        <is>
          <t>Anmälan om miljöfarlig verksamhet - signed.pdf</t>
        </is>
      </c>
      <c r="BB765" t="inlineStr">
        <is>
          <t>Sv: till registrator</t>
        </is>
      </c>
      <c r="BC765" t="inlineStr">
        <is>
          <t>AUTO</t>
        </is>
      </c>
      <c r="BD765" t="inlineStr"/>
      <c r="BE765" t="inlineStr"/>
      <c r="BF765" t="inlineStr">
        <is>
          <t>AUTO_GENERERAD. Bekrafta metadata mot kallfil.</t>
        </is>
      </c>
      <c r="BG765">
        <f>HYPERLINK("C:\Users\jimmy\Desktop\Examens arbete\Kod\Ny mapp\remix_-copy-of-miljöbeslut.se-portal\Anmälan om miljöfarlig verksamhet - signed.pdf", "Öppna PDF")</f>
        <v/>
      </c>
    </row>
    <row r="766">
      <c r="A766" t="inlineStr">
        <is>
          <t>KRAV-AUTO-000765</t>
        </is>
      </c>
      <c r="B766" t="inlineStr">
        <is>
          <t>ADMIN-INDEX-2026-02-27-00000000125C043F57453246863FE664CAFE6A3F0700950291EA24F0614FB6ACEDB12BF0E31D00000000010C0000950291EA24F0614FB6ACEDB12BF0E31D00002087A5CB0000</t>
        </is>
      </c>
      <c r="C766" t="inlineStr">
        <is>
          <t>cmm4yur03042hcuqw64f552ii</t>
        </is>
      </c>
      <c r="D766" t="inlineStr">
        <is>
          <t>http://localhost:8787/api/admin/requirements/documents/cmm4yur03042hcuqw64f552ii/view</t>
        </is>
      </c>
      <c r="E766">
        <f>HYPERLÄNK("http://localhost:8787/api/admin/requirements/documents/cmm4yur03042hcuqw64f552ii/view";"Öppna PDF")</f>
        <v/>
      </c>
      <c r="F766">
        <f>HYPERLINK("http://localhost:8787/api/admin/requirements/documents/cmm4yur03042hcuqw64f552ii/view","Open PDF")</f>
        <v/>
      </c>
      <c r="G766" t="inlineStr">
        <is>
          <t>cmm55w57p0004cuisfrtpqly8</t>
        </is>
      </c>
      <c r="H766" t="inlineStr">
        <is>
          <t>Beslutsvillkor</t>
        </is>
      </c>
      <c r="I766" t="inlineStr">
        <is>
          <t>Riskhantering</t>
        </is>
      </c>
      <c r="J766" t="inlineStr">
        <is>
          <t>Riskkontroll</t>
        </is>
      </c>
      <c r="K766" t="inlineStr">
        <is>
          <t>Dessa var varken placerade utan risk för spridning, nederbördsskyddat eller i uppmärkta behållare med information om att de innehöll farligt avfall.</t>
        </is>
      </c>
      <c r="L766" t="inlineStr">
        <is>
          <t>Dessa var varken placerade utan risk för spridning, nederbördsskyddat eller i uppmärkta behållare med information om att de innehöll farligt avfall.</t>
        </is>
      </c>
      <c r="M766" t="inlineStr">
        <is>
          <t>BOR</t>
        </is>
      </c>
      <c r="N766" t="inlineStr"/>
      <c r="O766" t="inlineStr"/>
      <c r="P766" t="inlineStr">
        <is>
          <t>Arlig</t>
        </is>
      </c>
      <c r="Q766" t="inlineStr"/>
      <c r="R766" t="inlineStr">
        <is>
          <t>Vid risk for incident</t>
        </is>
      </c>
      <c r="S766" t="inlineStr"/>
      <c r="T766" t="inlineStr">
        <is>
          <t>212000</t>
        </is>
      </c>
      <c r="U766" t="inlineStr"/>
      <c r="V766" t="inlineStr"/>
      <c r="W766" t="inlineStr">
        <is>
          <t>Nej</t>
        </is>
      </c>
      <c r="X766" t="inlineStr">
        <is>
          <t>Nej</t>
        </is>
      </c>
      <c r="Y766" t="inlineStr">
        <is>
          <t>Ja</t>
        </is>
      </c>
      <c r="Z766" t="inlineStr">
        <is>
          <t>Ja</t>
        </is>
      </c>
      <c r="AA766" t="n">
        <v>8</v>
      </c>
      <c r="AB766" t="inlineStr">
        <is>
          <t>Riskhantering</t>
        </is>
      </c>
      <c r="AC766" t="inlineStr">
        <is>
          <t>Risk-PM</t>
        </is>
      </c>
      <c r="AD766" t="inlineStr">
        <is>
          <t>Nej</t>
        </is>
      </c>
      <c r="AE766" t="inlineStr">
        <is>
          <t>Nej</t>
        </is>
      </c>
      <c r="AF766" t="inlineStr">
        <is>
          <t>Ej behandlad</t>
        </is>
      </c>
      <c r="AG766" t="inlineStr">
        <is>
          <t>AUTO_GENERERAD. Verifiera citat mot kallfil.</t>
        </is>
      </c>
      <c r="AH766" t="inlineStr">
        <is>
          <t>MEDIUM</t>
        </is>
      </c>
      <c r="AI766" t="inlineStr">
        <is>
          <t>AUTO</t>
        </is>
      </c>
      <c r="AJ766" t="inlineStr">
        <is>
          <t>Nej</t>
        </is>
      </c>
      <c r="AK766" t="inlineStr"/>
      <c r="AL766" t="inlineStr"/>
      <c r="AM766" t="inlineStr"/>
      <c r="AN766" t="inlineStr"/>
      <c r="AO766" t="inlineStr">
        <is>
          <t>cmm4yur01042ecuqwjjvrz035</t>
        </is>
      </c>
      <c r="AP766" t="inlineStr">
        <is>
          <t>http://localhost:8787/api/admin/requirements/documents/cmm4yur01042ecuqwjjvrz035/view</t>
        </is>
      </c>
      <c r="AQ766">
        <f>HYPERLÄNK("http://localhost:8787/api/admin/requirements/documents/cmm4yur01042ecuqwjjvrz035/view";"Öppna PDF")</f>
        <v/>
      </c>
      <c r="AR766">
        <f>HYPERLINK("http://localhost:8787/api/admin/requirements/documents/cmm4yur01042ecuqwjjvrz035/view","Open PDF")</f>
        <v/>
      </c>
      <c r="AS766" t="inlineStr">
        <is>
          <t>cmm55w57p0004cuisfrtpqly8</t>
        </is>
      </c>
      <c r="AT766" t="inlineStr">
        <is>
          <t>cmm4xvu980000cuh4vj0usz09</t>
        </is>
      </c>
      <c r="AU766" t="inlineStr"/>
      <c r="AV766" t="inlineStr">
        <is>
          <t>Kommun</t>
        </is>
      </c>
      <c r="AW766" t="inlineStr"/>
      <c r="AX766" t="inlineStr">
        <is>
          <t>2023-12</t>
        </is>
      </c>
      <c r="AY766" t="inlineStr">
        <is>
          <t>Anmalan</t>
        </is>
      </c>
      <c r="AZ766" t="inlineStr">
        <is>
          <t>2026-02-05</t>
        </is>
      </c>
      <c r="BA766" t="inlineStr">
        <is>
          <t>Anmälan om miljöfarlig verksamhet - signed.pdf</t>
        </is>
      </c>
      <c r="BB766" t="inlineStr">
        <is>
          <t>Sv: till registrator</t>
        </is>
      </c>
      <c r="BC766" t="inlineStr">
        <is>
          <t>AUTO</t>
        </is>
      </c>
      <c r="BD766" t="inlineStr"/>
      <c r="BE766" t="inlineStr"/>
      <c r="BF766" t="inlineStr">
        <is>
          <t>AUTO_GENERERAD. Bekrafta metadata mot kallfil.</t>
        </is>
      </c>
      <c r="BG766">
        <f>HYPERLINK("C:\Users\jimmy\Desktop\Examens arbete\Kod\Ny mapp\remix_-copy-of-miljöbeslut.se-portal\Anmälan om miljöfarlig verksamhet - signed.pdf", "Öppna PDF")</f>
        <v/>
      </c>
    </row>
    <row r="767">
      <c r="A767" t="inlineStr">
        <is>
          <t>KRAV-AUTO-000766</t>
        </is>
      </c>
      <c r="B767" t="inlineStr">
        <is>
          <t>ADMIN-INDEX-2026-02-27-00000000125C043F57453246863FE664CAFE6A3F0700950291EA24F0614FB6ACEDB12BF0E31D00000000010C0000950291EA24F0614FB6ACEDB12BF0E31D00002087AE2E0000</t>
        </is>
      </c>
      <c r="C767" t="inlineStr">
        <is>
          <t>cmm4yuq5w039zcuqwnutcz35o</t>
        </is>
      </c>
      <c r="D767" t="inlineStr">
        <is>
          <t>http://localhost:8787/api/admin/requirements/documents/cmm4yuq5w039zcuqwnutcz35o/view</t>
        </is>
      </c>
      <c r="E767">
        <f>HYPERLÄNK("http://localhost:8787/api/admin/requirements/documents/cmm4yuq5w039zcuqwnutcz35o/view";"Öppna PDF")</f>
        <v/>
      </c>
      <c r="F767">
        <f>HYPERLINK("http://localhost:8787/api/admin/requirements/documents/cmm4yuq5w039zcuqwnutcz35o/view","Open PDF")</f>
        <v/>
      </c>
      <c r="G767" t="inlineStr">
        <is>
          <t>cmm55w57p0004cuisfrtpqly8</t>
        </is>
      </c>
      <c r="H767" t="inlineStr">
        <is>
          <t>Kompletteringskrav</t>
        </is>
      </c>
      <c r="I767" t="inlineStr">
        <is>
          <t>LagringsvolymTid</t>
        </is>
      </c>
      <c r="J767" t="inlineStr">
        <is>
          <t>Maxmangd</t>
        </is>
      </c>
      <c r="K767" t="inlineStr">
        <is>
          <t>Skäl för beslutet Enligt uppgift har smetresten (som är aktuell i detta fall) legat hos länge, i åtminstone ett par år, kanske mer.</t>
        </is>
      </c>
      <c r="L767" t="inlineStr">
        <is>
          <t>Skäl för beslutet Enligt uppgift har smetresten (som är aktuell i detta fall) legat hos länge, i åtminstone ett par år, kanske mer.</t>
        </is>
      </c>
      <c r="M767" t="inlineStr">
        <is>
          <t>SKA</t>
        </is>
      </c>
      <c r="N767" t="inlineStr"/>
      <c r="O767" t="inlineStr"/>
      <c r="P767" t="inlineStr"/>
      <c r="Q767" t="inlineStr"/>
      <c r="R767" t="inlineStr">
        <is>
          <t>Alltid</t>
        </is>
      </c>
      <c r="S767" t="inlineStr"/>
      <c r="T767" t="inlineStr">
        <is>
          <t>212000</t>
        </is>
      </c>
      <c r="U767" t="inlineStr"/>
      <c r="V767" t="inlineStr"/>
      <c r="W767" t="inlineStr">
        <is>
          <t>Nej</t>
        </is>
      </c>
      <c r="X767" t="inlineStr">
        <is>
          <t>Nej</t>
        </is>
      </c>
      <c r="Y767" t="inlineStr">
        <is>
          <t>Nej</t>
        </is>
      </c>
      <c r="Z767" t="inlineStr">
        <is>
          <t>Nej</t>
        </is>
      </c>
      <c r="AA767" t="n">
        <v>4</v>
      </c>
      <c r="AB767" t="inlineStr">
        <is>
          <t>Avfallsmangder och lagringstid</t>
        </is>
      </c>
      <c r="AC767" t="inlineStr">
        <is>
          <t>Avfallsforteckning</t>
        </is>
      </c>
      <c r="AD767" t="inlineStr">
        <is>
          <t>Nej</t>
        </is>
      </c>
      <c r="AE767" t="inlineStr">
        <is>
          <t>Nej</t>
        </is>
      </c>
      <c r="AF767" t="inlineStr">
        <is>
          <t>Ej behandlad</t>
        </is>
      </c>
      <c r="AG767" t="inlineStr">
        <is>
          <t>AUTO_GENERERAD. Verifiera citat mot kallfil.</t>
        </is>
      </c>
      <c r="AH767" t="inlineStr">
        <is>
          <t>MEDIUM</t>
        </is>
      </c>
      <c r="AI767" t="inlineStr">
        <is>
          <t>AUTO</t>
        </is>
      </c>
      <c r="AJ767" t="inlineStr">
        <is>
          <t>Nej</t>
        </is>
      </c>
      <c r="AK767" t="inlineStr"/>
      <c r="AL767" t="inlineStr"/>
      <c r="AM767" t="inlineStr"/>
      <c r="AN767" t="inlineStr"/>
      <c r="AO767" t="inlineStr">
        <is>
          <t>cmm4yuq5w039zcuqwnutcz35o</t>
        </is>
      </c>
      <c r="AP767" t="inlineStr">
        <is>
          <t>http://localhost:8787/api/admin/requirements/documents/cmm4yuq5w039zcuqwnutcz35o/view</t>
        </is>
      </c>
      <c r="AQ767">
        <f>HYPERLÄNK("http://localhost:8787/api/admin/requirements/documents/cmm4yuq5w039zcuqwnutcz35o/view";"Öppna PDF")</f>
        <v/>
      </c>
      <c r="AR767">
        <f>HYPERLINK("http://localhost:8787/api/admin/requirements/documents/cmm4yuq5w039zcuqwnutcz35o/view","Open PDF")</f>
        <v/>
      </c>
      <c r="AS767" t="inlineStr">
        <is>
          <t>cmm55w57p0004cuisfrtpqly8</t>
        </is>
      </c>
      <c r="AT767" t="inlineStr">
        <is>
          <t>cmm4xvu980000cuh4vj0usz09</t>
        </is>
      </c>
      <c r="AU767" t="inlineStr">
        <is>
          <t>pdf Karlstads</t>
        </is>
      </c>
      <c r="AV767" t="inlineStr">
        <is>
          <t>Kommun</t>
        </is>
      </c>
      <c r="AW767" t="inlineStr">
        <is>
          <t>pdf Karlstads kommun</t>
        </is>
      </c>
      <c r="AX767" t="inlineStr">
        <is>
          <t>2025-04</t>
        </is>
      </c>
      <c r="AY767" t="inlineStr">
        <is>
          <t>Forelaggande</t>
        </is>
      </c>
      <c r="AZ767" t="inlineStr">
        <is>
          <t>2026-02-04</t>
        </is>
      </c>
      <c r="BA767" t="inlineStr">
        <is>
          <t>Föreläggande försiktighetsåtgärder_Bortredigerad.pdf</t>
        </is>
      </c>
      <c r="BB767" t="inlineStr">
        <is>
          <t>VB:  Begäran om utlämnande av allmän handling – Anmälningar och beslut rörande mellanlagring av avfall samt anläggning av ytor</t>
        </is>
      </c>
      <c r="BC767" t="inlineStr">
        <is>
          <t>AUTO</t>
        </is>
      </c>
      <c r="BD767" t="inlineStr"/>
      <c r="BE767" t="inlineStr"/>
      <c r="BF767" t="inlineStr">
        <is>
          <t>AUTO_GENERERAD. Bekrafta metadata mot kallfil.</t>
        </is>
      </c>
      <c r="BG767">
        <f>HYPERLINK("C:\Users\jimmy\Desktop\Examens arbete\Kod\Ny mapp\remix_-copy-of-miljöbeslut.se-portal\Föreläggande försiktighetsåtgärder_Bortredigerad.pdf", "Öppna PDF")</f>
        <v/>
      </c>
    </row>
    <row r="768">
      <c r="A768" t="inlineStr">
        <is>
          <t>KRAV-AUTO-000767</t>
        </is>
      </c>
      <c r="B768" t="inlineStr">
        <is>
          <t>ADMIN-INDEX-2026-02-27-00000000125C043F57453246863FE664CAFE6A3F0700950291EA24F0614FB6ACEDB12BF0E31D00000000010C0000950291EA24F0614FB6ACEDB12BF0E31D00002087AE2E0000</t>
        </is>
      </c>
      <c r="C768" t="inlineStr">
        <is>
          <t>cmm4yuq5t039wcuqw6g49k5mm</t>
        </is>
      </c>
      <c r="D768" t="inlineStr">
        <is>
          <t>http://localhost:8787/api/admin/requirements/documents/cmm4yuq5t039wcuqw6g49k5mm/view</t>
        </is>
      </c>
      <c r="E768">
        <f>HYPERLÄNK("http://localhost:8787/api/admin/requirements/documents/cmm4yuq5t039wcuqw6g49k5mm/view";"Öppna PDF")</f>
        <v/>
      </c>
      <c r="F768">
        <f>HYPERLINK("http://localhost:8787/api/admin/requirements/documents/cmm4yuq5t039wcuqw6g49k5mm/view","Open PDF")</f>
        <v/>
      </c>
      <c r="G768" t="inlineStr">
        <is>
          <t>cmm55w57p0004cuisfrtpqly8</t>
        </is>
      </c>
      <c r="H768" t="inlineStr">
        <is>
          <t>Informationskrav</t>
        </is>
      </c>
      <c r="I768" t="inlineStr">
        <is>
          <t>DriftEgenkontroll</t>
        </is>
      </c>
      <c r="J768" t="inlineStr">
        <is>
          <t>Journalforing</t>
        </is>
      </c>
      <c r="K768" t="inlineStr">
        <is>
          <t>Kontrollprogram finns upprättat för platsen där smeresten ska appliceras.</t>
        </is>
      </c>
      <c r="L768" t="inlineStr">
        <is>
          <t>Kontrollprogram finns upprättat för platsen där smeresten ska appliceras.</t>
        </is>
      </c>
      <c r="M768" t="inlineStr">
        <is>
          <t>SKA</t>
        </is>
      </c>
      <c r="N768" t="inlineStr"/>
      <c r="O768" t="inlineStr"/>
      <c r="P768" t="inlineStr"/>
      <c r="Q768" t="inlineStr"/>
      <c r="R768" t="inlineStr">
        <is>
          <t>Lopande drift</t>
        </is>
      </c>
      <c r="S768" t="inlineStr"/>
      <c r="T768" t="inlineStr">
        <is>
          <t>250320</t>
        </is>
      </c>
      <c r="U768" t="inlineStr"/>
      <c r="V768" t="inlineStr"/>
      <c r="W768" t="inlineStr">
        <is>
          <t>Nej</t>
        </is>
      </c>
      <c r="X768" t="inlineStr">
        <is>
          <t>Nej</t>
        </is>
      </c>
      <c r="Y768" t="inlineStr">
        <is>
          <t>Ja</t>
        </is>
      </c>
      <c r="Z768" t="inlineStr">
        <is>
          <t>Nej</t>
        </is>
      </c>
      <c r="AA768" t="n">
        <v>7</v>
      </c>
      <c r="AB768" t="inlineStr">
        <is>
          <t>Egenkontrollrutiner</t>
        </is>
      </c>
      <c r="AC768" t="inlineStr">
        <is>
          <t>Egenkontrollprogram</t>
        </is>
      </c>
      <c r="AD768" t="inlineStr">
        <is>
          <t>Nej</t>
        </is>
      </c>
      <c r="AE768" t="inlineStr">
        <is>
          <t>Nej</t>
        </is>
      </c>
      <c r="AF768" t="inlineStr">
        <is>
          <t>Ej behandlad</t>
        </is>
      </c>
      <c r="AG768" t="inlineStr">
        <is>
          <t>AUTO_GENERERAD. Verifiera citat mot kallfil.</t>
        </is>
      </c>
      <c r="AH768" t="inlineStr">
        <is>
          <t>MEDIUM</t>
        </is>
      </c>
      <c r="AI768" t="inlineStr">
        <is>
          <t>AUTO</t>
        </is>
      </c>
      <c r="AJ768" t="inlineStr">
        <is>
          <t>Nej</t>
        </is>
      </c>
      <c r="AK768" t="inlineStr"/>
      <c r="AL768" t="inlineStr"/>
      <c r="AM768" t="inlineStr"/>
      <c r="AN768" t="inlineStr"/>
      <c r="AO768" t="inlineStr">
        <is>
          <t>cmm4yuq5w039zcuqwnutcz35o</t>
        </is>
      </c>
      <c r="AP768" t="inlineStr">
        <is>
          <t>http://localhost:8787/api/admin/requirements/documents/cmm4yuq5w039zcuqwnutcz35o/view</t>
        </is>
      </c>
      <c r="AQ768">
        <f>HYPERLÄNK("http://localhost:8787/api/admin/requirements/documents/cmm4yuq5w039zcuqwnutcz35o/view";"Öppna PDF")</f>
        <v/>
      </c>
      <c r="AR768">
        <f>HYPERLINK("http://localhost:8787/api/admin/requirements/documents/cmm4yuq5w039zcuqwnutcz35o/view","Open PDF")</f>
        <v/>
      </c>
      <c r="AS768" t="inlineStr">
        <is>
          <t>cmm55w57p0004cuisfrtpqly8</t>
        </is>
      </c>
      <c r="AT768" t="inlineStr">
        <is>
          <t>cmm4xvu980000cuh4vj0usz09</t>
        </is>
      </c>
      <c r="AU768" t="inlineStr">
        <is>
          <t>pdf Karlstads</t>
        </is>
      </c>
      <c r="AV768" t="inlineStr">
        <is>
          <t>Kommun</t>
        </is>
      </c>
      <c r="AW768" t="inlineStr">
        <is>
          <t>pdf Karlstads kommun</t>
        </is>
      </c>
      <c r="AX768" t="inlineStr">
        <is>
          <t>2025-04</t>
        </is>
      </c>
      <c r="AY768" t="inlineStr">
        <is>
          <t>Forelaggande</t>
        </is>
      </c>
      <c r="AZ768" t="inlineStr">
        <is>
          <t>2026-02-04</t>
        </is>
      </c>
      <c r="BA768" t="inlineStr">
        <is>
          <t>Föreläggande försiktighetsåtgärder_Bortredigerad.pdf</t>
        </is>
      </c>
      <c r="BB768" t="inlineStr">
        <is>
          <t>VB:  Begäran om utlämnande av allmän handling – Anmälningar och beslut rörande mellanlagring av avfall samt anläggning av ytor</t>
        </is>
      </c>
      <c r="BC768" t="inlineStr">
        <is>
          <t>AUTO</t>
        </is>
      </c>
      <c r="BD768" t="inlineStr"/>
      <c r="BE768" t="inlineStr"/>
      <c r="BF768" t="inlineStr">
        <is>
          <t>AUTO_GENERERAD. Bekrafta metadata mot kallfil.</t>
        </is>
      </c>
      <c r="BG768">
        <f>HYPERLINK("C:\Users\jimmy\Desktop\Examens arbete\Kod\Ny mapp\remix_-copy-of-miljöbeslut.se-portal\Föreläggande försiktighetsåtgärder_Bortredigerad.pdf", "Öppna PDF")</f>
        <v/>
      </c>
    </row>
    <row r="769">
      <c r="A769" t="inlineStr">
        <is>
          <t>KRAV-AUTO-000768</t>
        </is>
      </c>
      <c r="B769" t="inlineStr">
        <is>
          <t>ADMIN-INDEX-2026-02-27-00000000125C043F57453246863FE664CAFE6A3F0700950291EA24F0614FB6ACEDB12BF0E31D00000000010C0000950291EA24F0614FB6ACEDB12BF0E31D00002087AE2E0000</t>
        </is>
      </c>
      <c r="C769" t="inlineStr">
        <is>
          <t>cmm4yuq5t039wcuqw6g49k5mm</t>
        </is>
      </c>
      <c r="D769" t="inlineStr">
        <is>
          <t>http://localhost:8787/api/admin/requirements/documents/cmm4yuq5t039wcuqw6g49k5mm/view</t>
        </is>
      </c>
      <c r="E769">
        <f>HYPERLÄNK("http://localhost:8787/api/admin/requirements/documents/cmm4yuq5t039wcuqw6g49k5mm/view";"Öppna PDF")</f>
        <v/>
      </c>
      <c r="F769">
        <f>HYPERLINK("http://localhost:8787/api/admin/requirements/documents/cmm4yuq5t039wcuqw6g49k5mm/view","Open PDF")</f>
        <v/>
      </c>
      <c r="G769" t="inlineStr">
        <is>
          <t>cmm55w57p0004cuisfrtpqly8</t>
        </is>
      </c>
      <c r="H769" t="inlineStr">
        <is>
          <t>Informationskrav</t>
        </is>
      </c>
      <c r="I769" t="inlineStr">
        <is>
          <t>Ytkonstruktion</t>
        </is>
      </c>
      <c r="J769" t="inlineStr">
        <is>
          <t>Tat yta</t>
        </is>
      </c>
      <c r="K769" t="inlineStr">
        <is>
          <t>Beskriv syftet med den nya anläggningen som avfallet ska användas till Ingen ny anläggning, utan tillägg av material till konstruktion av yta samt bullervall.</t>
        </is>
      </c>
      <c r="L769" t="inlineStr">
        <is>
          <t>Beskriv syftet med den nya anläggningen som avfallet ska användas till Ingen ny anläggning, utan tillägg av material till konstruktion av yta samt bullervall.</t>
        </is>
      </c>
      <c r="M769" t="inlineStr">
        <is>
          <t>SKA</t>
        </is>
      </c>
      <c r="N769" t="inlineStr"/>
      <c r="O769" t="inlineStr"/>
      <c r="P769" t="inlineStr"/>
      <c r="Q769" t="inlineStr"/>
      <c r="R769" t="inlineStr">
        <is>
          <t>Vid mellanlagring av avfall</t>
        </is>
      </c>
      <c r="S769" t="inlineStr"/>
      <c r="T769" t="inlineStr">
        <is>
          <t>250320</t>
        </is>
      </c>
      <c r="U769" t="inlineStr"/>
      <c r="V769" t="inlineStr"/>
      <c r="W769" t="inlineStr">
        <is>
          <t>Ja</t>
        </is>
      </c>
      <c r="X769" t="inlineStr">
        <is>
          <t>Nej</t>
        </is>
      </c>
      <c r="Y769" t="inlineStr">
        <is>
          <t>Nej</t>
        </is>
      </c>
      <c r="Z769" t="inlineStr">
        <is>
          <t>Nej</t>
        </is>
      </c>
      <c r="AA769" t="n">
        <v>5</v>
      </c>
      <c r="AB769" t="inlineStr">
        <is>
          <t>Teknisk beskrivning av platta</t>
        </is>
      </c>
      <c r="AC769" t="inlineStr">
        <is>
          <t>Teknisk ritning platta</t>
        </is>
      </c>
      <c r="AD769" t="inlineStr">
        <is>
          <t>Nej</t>
        </is>
      </c>
      <c r="AE769" t="inlineStr">
        <is>
          <t>Nej</t>
        </is>
      </c>
      <c r="AF769" t="inlineStr">
        <is>
          <t>Ej behandlad</t>
        </is>
      </c>
      <c r="AG769" t="inlineStr">
        <is>
          <t>AUTO_GENERERAD. Verifiera citat mot kallfil.</t>
        </is>
      </c>
      <c r="AH769" t="inlineStr">
        <is>
          <t>MEDIUM</t>
        </is>
      </c>
      <c r="AI769" t="inlineStr">
        <is>
          <t>AUTO</t>
        </is>
      </c>
      <c r="AJ769" t="inlineStr">
        <is>
          <t>Nej</t>
        </is>
      </c>
      <c r="AK769" t="inlineStr"/>
      <c r="AL769" t="inlineStr"/>
      <c r="AM769" t="inlineStr"/>
      <c r="AN769" t="inlineStr"/>
      <c r="AO769" t="inlineStr">
        <is>
          <t>cmm4yuq5w039zcuqwnutcz35o</t>
        </is>
      </c>
      <c r="AP769" t="inlineStr">
        <is>
          <t>http://localhost:8787/api/admin/requirements/documents/cmm4yuq5w039zcuqwnutcz35o/view</t>
        </is>
      </c>
      <c r="AQ769">
        <f>HYPERLÄNK("http://localhost:8787/api/admin/requirements/documents/cmm4yuq5w039zcuqwnutcz35o/view";"Öppna PDF")</f>
        <v/>
      </c>
      <c r="AR769">
        <f>HYPERLINK("http://localhost:8787/api/admin/requirements/documents/cmm4yuq5w039zcuqwnutcz35o/view","Open PDF")</f>
        <v/>
      </c>
      <c r="AS769" t="inlineStr">
        <is>
          <t>cmm55w57p0004cuisfrtpqly8</t>
        </is>
      </c>
      <c r="AT769" t="inlineStr">
        <is>
          <t>cmm4xvu980000cuh4vj0usz09</t>
        </is>
      </c>
      <c r="AU769" t="inlineStr">
        <is>
          <t>pdf Karlstads</t>
        </is>
      </c>
      <c r="AV769" t="inlineStr">
        <is>
          <t>Kommun</t>
        </is>
      </c>
      <c r="AW769" t="inlineStr">
        <is>
          <t>pdf Karlstads kommun</t>
        </is>
      </c>
      <c r="AX769" t="inlineStr">
        <is>
          <t>2025-04</t>
        </is>
      </c>
      <c r="AY769" t="inlineStr">
        <is>
          <t>Forelaggande</t>
        </is>
      </c>
      <c r="AZ769" t="inlineStr">
        <is>
          <t>2026-02-04</t>
        </is>
      </c>
      <c r="BA769" t="inlineStr">
        <is>
          <t>Föreläggande försiktighetsåtgärder_Bortredigerad.pdf</t>
        </is>
      </c>
      <c r="BB769" t="inlineStr">
        <is>
          <t>VB:  Begäran om utlämnande av allmän handling – Anmälningar och beslut rörande mellanlagring av avfall samt anläggning av ytor</t>
        </is>
      </c>
      <c r="BC769" t="inlineStr">
        <is>
          <t>AUTO</t>
        </is>
      </c>
      <c r="BD769" t="inlineStr"/>
      <c r="BE769" t="inlineStr"/>
      <c r="BF769" t="inlineStr">
        <is>
          <t>AUTO_GENERERAD. Bekrafta metadata mot kallfil.</t>
        </is>
      </c>
      <c r="BG769">
        <f>HYPERLINK("C:\Users\jimmy\Desktop\Examens arbete\Kod\Ny mapp\remix_-copy-of-miljöbeslut.se-portal\Föreläggande försiktighetsåtgärder_Bortredigerad.pdf", "Öppna PDF")</f>
        <v/>
      </c>
    </row>
    <row r="770">
      <c r="A770" t="inlineStr">
        <is>
          <t>KRAV-AUTO-000769</t>
        </is>
      </c>
      <c r="B770" t="inlineStr">
        <is>
          <t>ADMIN-INDEX-2026-02-27-00000000125C043F57453246863FE664CAFE6A3F0700950291EA24F0614FB6ACEDB12BF0E31D00000000010C0000950291EA24F0614FB6ACEDB12BF0E31D00002087AE2E0000</t>
        </is>
      </c>
      <c r="C770" t="inlineStr">
        <is>
          <t>cmm4yuq5t039wcuqw6g49k5mm</t>
        </is>
      </c>
      <c r="D770" t="inlineStr">
        <is>
          <t>http://localhost:8787/api/admin/requirements/documents/cmm4yuq5t039wcuqw6g49k5mm/view</t>
        </is>
      </c>
      <c r="E770">
        <f>HYPERLÄNK("http://localhost:8787/api/admin/requirements/documents/cmm4yuq5t039wcuqw6g49k5mm/view";"Öppna PDF")</f>
        <v/>
      </c>
      <c r="F770">
        <f>HYPERLINK("http://localhost:8787/api/admin/requirements/documents/cmm4yuq5t039wcuqw6g49k5mm/view","Open PDF")</f>
        <v/>
      </c>
      <c r="G770" t="inlineStr">
        <is>
          <t>cmm55w57p0004cuisfrtpqly8</t>
        </is>
      </c>
      <c r="H770" t="inlineStr">
        <is>
          <t>Informationskrav</t>
        </is>
      </c>
      <c r="I770" t="inlineStr">
        <is>
          <t>Riskhantering</t>
        </is>
      </c>
      <c r="J770" t="inlineStr">
        <is>
          <t>Riskkontroll</t>
        </is>
      </c>
      <c r="K770" t="inlineStr">
        <is>
          <t>Hänsyn ska tas till verksamheten, den plats som verksamheten bedrivs på och andra omständigheter som buller, damning, risk för spill- eller haveri, detaljplan, vattenskyddsområde, naturreservat och invasiva arter.</t>
        </is>
      </c>
      <c r="L770" t="inlineStr">
        <is>
          <t>Hänsyn ska tas till verksamheten, den plats som verksamheten bedrivs på och andra omständigheter som buller, damning, risk för spill- eller haveri, detaljplan, vattenskyddsområde, naturreservat och invasiva arter.</t>
        </is>
      </c>
      <c r="M770" t="inlineStr">
        <is>
          <t>SKA</t>
        </is>
      </c>
      <c r="N770" t="inlineStr"/>
      <c r="O770" t="inlineStr"/>
      <c r="P770" t="inlineStr"/>
      <c r="Q770" t="inlineStr"/>
      <c r="R770" t="inlineStr">
        <is>
          <t>Vid risk for incident</t>
        </is>
      </c>
      <c r="S770" t="inlineStr"/>
      <c r="T770" t="inlineStr">
        <is>
          <t>250320</t>
        </is>
      </c>
      <c r="U770" t="inlineStr"/>
      <c r="V770" t="inlineStr"/>
      <c r="W770" t="inlineStr">
        <is>
          <t>Nej</t>
        </is>
      </c>
      <c r="X770" t="inlineStr">
        <is>
          <t>Nej</t>
        </is>
      </c>
      <c r="Y770" t="inlineStr">
        <is>
          <t>Ja</t>
        </is>
      </c>
      <c r="Z770" t="inlineStr">
        <is>
          <t>Ja</t>
        </is>
      </c>
      <c r="AA770" t="n">
        <v>8</v>
      </c>
      <c r="AB770" t="inlineStr">
        <is>
          <t>Riskhantering</t>
        </is>
      </c>
      <c r="AC770" t="inlineStr">
        <is>
          <t>Risk-PM</t>
        </is>
      </c>
      <c r="AD770" t="inlineStr">
        <is>
          <t>Nej</t>
        </is>
      </c>
      <c r="AE770" t="inlineStr">
        <is>
          <t>Nej</t>
        </is>
      </c>
      <c r="AF770" t="inlineStr">
        <is>
          <t>Ej behandlad</t>
        </is>
      </c>
      <c r="AG770" t="inlineStr">
        <is>
          <t>AUTO_GENERERAD. Verifiera citat mot kallfil.</t>
        </is>
      </c>
      <c r="AH770" t="inlineStr">
        <is>
          <t>MEDIUM</t>
        </is>
      </c>
      <c r="AI770" t="inlineStr">
        <is>
          <t>AUTO</t>
        </is>
      </c>
      <c r="AJ770" t="inlineStr">
        <is>
          <t>Nej</t>
        </is>
      </c>
      <c r="AK770" t="inlineStr"/>
      <c r="AL770" t="inlineStr"/>
      <c r="AM770" t="inlineStr"/>
      <c r="AN770" t="inlineStr"/>
      <c r="AO770" t="inlineStr">
        <is>
          <t>cmm4yuq5w039zcuqwnutcz35o</t>
        </is>
      </c>
      <c r="AP770" t="inlineStr">
        <is>
          <t>http://localhost:8787/api/admin/requirements/documents/cmm4yuq5w039zcuqwnutcz35o/view</t>
        </is>
      </c>
      <c r="AQ770">
        <f>HYPERLÄNK("http://localhost:8787/api/admin/requirements/documents/cmm4yuq5w039zcuqwnutcz35o/view";"Öppna PDF")</f>
        <v/>
      </c>
      <c r="AR770">
        <f>HYPERLINK("http://localhost:8787/api/admin/requirements/documents/cmm4yuq5w039zcuqwnutcz35o/view","Open PDF")</f>
        <v/>
      </c>
      <c r="AS770" t="inlineStr">
        <is>
          <t>cmm55w57p0004cuisfrtpqly8</t>
        </is>
      </c>
      <c r="AT770" t="inlineStr">
        <is>
          <t>cmm4xvu980000cuh4vj0usz09</t>
        </is>
      </c>
      <c r="AU770" t="inlineStr">
        <is>
          <t>pdf Karlstads</t>
        </is>
      </c>
      <c r="AV770" t="inlineStr">
        <is>
          <t>Kommun</t>
        </is>
      </c>
      <c r="AW770" t="inlineStr">
        <is>
          <t>pdf Karlstads kommun</t>
        </is>
      </c>
      <c r="AX770" t="inlineStr">
        <is>
          <t>2025-04</t>
        </is>
      </c>
      <c r="AY770" t="inlineStr">
        <is>
          <t>Forelaggande</t>
        </is>
      </c>
      <c r="AZ770" t="inlineStr">
        <is>
          <t>2026-02-04</t>
        </is>
      </c>
      <c r="BA770" t="inlineStr">
        <is>
          <t>Föreläggande försiktighetsåtgärder_Bortredigerad.pdf</t>
        </is>
      </c>
      <c r="BB770" t="inlineStr">
        <is>
          <t>VB:  Begäran om utlämnande av allmän handling – Anmälningar och beslut rörande mellanlagring av avfall samt anläggning av ytor</t>
        </is>
      </c>
      <c r="BC770" t="inlineStr">
        <is>
          <t>AUTO</t>
        </is>
      </c>
      <c r="BD770" t="inlineStr"/>
      <c r="BE770" t="inlineStr"/>
      <c r="BF770" t="inlineStr">
        <is>
          <t>AUTO_GENERERAD. Bekrafta metadata mot kallfil.</t>
        </is>
      </c>
      <c r="BG770">
        <f>HYPERLINK("C:\Users\jimmy\Desktop\Examens arbete\Kod\Ny mapp\remix_-copy-of-miljöbeslut.se-portal\Föreläggande försiktighetsåtgärder_Bortredigerad.pdf", "Öppna PDF")</f>
        <v/>
      </c>
    </row>
    <row r="771">
      <c r="A771" t="inlineStr">
        <is>
          <t>KRAV-AUTO-000770</t>
        </is>
      </c>
      <c r="B771" t="inlineStr">
        <is>
          <t>ADMIN-INDEX-2026-02-27-00000000125C043F57453246863FE664CAFE6A3F0700950291EA24F0614FB6ACEDB12BF0E31D00000000010C0000950291EA24F0614FB6ACEDB12BF0E31D00002087AE330000</t>
        </is>
      </c>
      <c r="C771" t="inlineStr">
        <is>
          <t>cmm4yuq56039bcuqw31feylkb</t>
        </is>
      </c>
      <c r="D771" t="inlineStr">
        <is>
          <t>http://localhost:8787/api/admin/requirements/documents/cmm4yuq56039bcuqw31feylkb/view</t>
        </is>
      </c>
      <c r="E771">
        <f>HYPERLÄNK("http://localhost:8787/api/admin/requirements/documents/cmm4yuq56039bcuqw31feylkb/view";"Öppna PDF")</f>
        <v/>
      </c>
      <c r="F771">
        <f>HYPERLINK("http://localhost:8787/api/admin/requirements/documents/cmm4yuq56039bcuqw31feylkb/view","Open PDF")</f>
        <v/>
      </c>
      <c r="G771" t="inlineStr">
        <is>
          <t>cmm55w57p0004cuisfrtpqly8</t>
        </is>
      </c>
      <c r="H771" t="inlineStr">
        <is>
          <t>Informationskrav</t>
        </is>
      </c>
      <c r="I771" t="inlineStr">
        <is>
          <t>Riskhantering</t>
        </is>
      </c>
      <c r="J771" t="inlineStr">
        <is>
          <t>Riskkontroll</t>
        </is>
      </c>
      <c r="K771" t="inlineStr">
        <is>
          <t>Detta innebär att asfaltens innehåll av dessa skadliga ämnen måste vara tillräckligt lågt för att inte utgöra en risk för miljön eller människors hälsa.</t>
        </is>
      </c>
      <c r="L771" t="inlineStr">
        <is>
          <t>Detta innebär att asfaltens innehåll av dessa skadliga ämnen måste vara tillräckligt lågt för att inte utgöra en risk för miljön eller människors hälsa.</t>
        </is>
      </c>
      <c r="M771" t="inlineStr">
        <is>
          <t>SKA</t>
        </is>
      </c>
      <c r="N771" t="inlineStr"/>
      <c r="O771" t="inlineStr"/>
      <c r="P771" t="inlineStr"/>
      <c r="Q771" t="inlineStr"/>
      <c r="R771" t="inlineStr">
        <is>
          <t>Vid risk for incident</t>
        </is>
      </c>
      <c r="S771" t="inlineStr"/>
      <c r="T771" t="inlineStr">
        <is>
          <t>212000</t>
        </is>
      </c>
      <c r="U771" t="inlineStr"/>
      <c r="V771" t="inlineStr"/>
      <c r="W771" t="inlineStr">
        <is>
          <t>Nej</t>
        </is>
      </c>
      <c r="X771" t="inlineStr">
        <is>
          <t>Nej</t>
        </is>
      </c>
      <c r="Y771" t="inlineStr">
        <is>
          <t>Ja</t>
        </is>
      </c>
      <c r="Z771" t="inlineStr">
        <is>
          <t>Ja</t>
        </is>
      </c>
      <c r="AA771" t="n">
        <v>8</v>
      </c>
      <c r="AB771" t="inlineStr">
        <is>
          <t>Riskhantering</t>
        </is>
      </c>
      <c r="AC771" t="inlineStr">
        <is>
          <t>Risk-PM</t>
        </is>
      </c>
      <c r="AD771" t="inlineStr">
        <is>
          <t>Nej</t>
        </is>
      </c>
      <c r="AE771" t="inlineStr">
        <is>
          <t>Nej</t>
        </is>
      </c>
      <c r="AF771" t="inlineStr">
        <is>
          <t>Ej behandlad</t>
        </is>
      </c>
      <c r="AG771" t="inlineStr">
        <is>
          <t>AUTO_GENERERAD. Verifiera citat mot kallfil.</t>
        </is>
      </c>
      <c r="AH771" t="inlineStr">
        <is>
          <t>MEDIUM</t>
        </is>
      </c>
      <c r="AI771" t="inlineStr">
        <is>
          <t>AUTO</t>
        </is>
      </c>
      <c r="AJ771" t="inlineStr">
        <is>
          <t>Nej</t>
        </is>
      </c>
      <c r="AK771" t="inlineStr"/>
      <c r="AL771" t="inlineStr"/>
      <c r="AM771" t="inlineStr"/>
      <c r="AN771" t="inlineStr"/>
      <c r="AO771" t="inlineStr">
        <is>
          <t>cmm4yuq56039bcuqw31feylkb</t>
        </is>
      </c>
      <c r="AP771" t="inlineStr">
        <is>
          <t>http://localhost:8787/api/admin/requirements/documents/cmm4yuq56039bcuqw31feylkb/view</t>
        </is>
      </c>
      <c r="AQ771">
        <f>HYPERLÄNK("http://localhost:8787/api/admin/requirements/documents/cmm4yuq56039bcuqw31feylkb/view";"Öppna PDF")</f>
        <v/>
      </c>
      <c r="AR771">
        <f>HYPERLINK("http://localhost:8787/api/admin/requirements/documents/cmm4yuq56039bcuqw31feylkb/view","Open PDF")</f>
        <v/>
      </c>
      <c r="AS771" t="inlineStr">
        <is>
          <t>cmm55w57p0004cuisfrtpqly8</t>
        </is>
      </c>
      <c r="AT771" t="inlineStr">
        <is>
          <t>cmm4xvu980000cuh4vj0usz09</t>
        </is>
      </c>
      <c r="AU771" t="inlineStr">
        <is>
          <t>Säffle</t>
        </is>
      </c>
      <c r="AV771" t="inlineStr">
        <is>
          <t>Kommun</t>
        </is>
      </c>
      <c r="AW771" t="inlineStr">
        <is>
          <t>Säffle kommun</t>
        </is>
      </c>
      <c r="AX771" t="inlineStr">
        <is>
          <t>0533-68</t>
        </is>
      </c>
      <c r="AY771" t="inlineStr">
        <is>
          <t>Anmalan</t>
        </is>
      </c>
      <c r="AZ771" t="inlineStr">
        <is>
          <t>2026-02-04</t>
        </is>
      </c>
      <c r="BA771" t="inlineStr">
        <is>
          <t>Anmälningsbeslut - Avelsäter 1_46.pdf</t>
        </is>
      </c>
      <c r="BB771" t="inlineStr">
        <is>
          <t>Sv: till registrator</t>
        </is>
      </c>
      <c r="BC771" t="inlineStr">
        <is>
          <t>AUTO</t>
        </is>
      </c>
      <c r="BD771" t="inlineStr"/>
      <c r="BE771" t="inlineStr"/>
      <c r="BF771" t="inlineStr">
        <is>
          <t>AUTO_GENERERAD. Bekrafta metadata mot kallfil.</t>
        </is>
      </c>
      <c r="BG771">
        <f>HYPERLINK("C:\Users\jimmy\Desktop\Examens arbete\Kod\Ny mapp\remix_-copy-of-miljöbeslut.se-portal\Anmälningsbeslut - Avelsäter 1_46.pdf", "Öppna PDF")</f>
        <v/>
      </c>
    </row>
    <row r="772">
      <c r="A772" t="inlineStr">
        <is>
          <t>KRAV-AUTO-000771</t>
        </is>
      </c>
      <c r="B772" t="inlineStr">
        <is>
          <t>ADMIN-INDEX-2026-02-27-00000000125C043F57453246863FE664CAFE6A3F0700950291EA24F0614FB6ACEDB12BF0E31D00000000010C0000950291EA24F0614FB6ACEDB12BF0E31D00002087AE330000</t>
        </is>
      </c>
      <c r="C772" t="inlineStr">
        <is>
          <t>cmm4yuq56039bcuqw31feylkb</t>
        </is>
      </c>
      <c r="D772" t="inlineStr">
        <is>
          <t>http://localhost:8787/api/admin/requirements/documents/cmm4yuq56039bcuqw31feylkb/view</t>
        </is>
      </c>
      <c r="E772">
        <f>HYPERLÄNK("http://localhost:8787/api/admin/requirements/documents/cmm4yuq56039bcuqw31feylkb/view";"Öppna PDF")</f>
        <v/>
      </c>
      <c r="F772">
        <f>HYPERLINK("http://localhost:8787/api/admin/requirements/documents/cmm4yuq56039bcuqw31feylkb/view","Open PDF")</f>
        <v/>
      </c>
      <c r="G772" t="inlineStr">
        <is>
          <t>cmm55w57p0004cuisfrtpqly8</t>
        </is>
      </c>
      <c r="H772" t="inlineStr">
        <is>
          <t>Informationskrav</t>
        </is>
      </c>
      <c r="I772" t="inlineStr">
        <is>
          <t>MiljopaverkanForsiktighet</t>
        </is>
      </c>
      <c r="J772" t="inlineStr">
        <is>
          <t>Skyddsatgarder</t>
        </is>
      </c>
      <c r="K772" t="inlineStr">
        <is>
          <t>För att asfalt ska klassificeras som icke-farligt avfall måste halten av PAH16 (polycykliska aromatiska kolväten) underskrida värden på mindre än 70 ppm (parts per million).</t>
        </is>
      </c>
      <c r="L772" t="inlineStr">
        <is>
          <t>För att asfalt ska klassificeras som icke-farligt avfall måste halten av PAH16 (polycykliska aromatiska kolväten) underskrida värden på mindre än 70 ppm (parts per million).</t>
        </is>
      </c>
      <c r="M772" t="inlineStr">
        <is>
          <t>SKA</t>
        </is>
      </c>
      <c r="N772" t="inlineStr"/>
      <c r="O772" t="inlineStr"/>
      <c r="P772" t="inlineStr">
        <is>
          <t>Arlig</t>
        </is>
      </c>
      <c r="Q772" t="inlineStr"/>
      <c r="R772" t="inlineStr">
        <is>
          <t>Alltid</t>
        </is>
      </c>
      <c r="S772" t="inlineStr"/>
      <c r="T772" t="inlineStr">
        <is>
          <t>212000</t>
        </is>
      </c>
      <c r="U772" t="inlineStr"/>
      <c r="V772" t="inlineStr"/>
      <c r="W772" t="inlineStr">
        <is>
          <t>Nej</t>
        </is>
      </c>
      <c r="X772" t="inlineStr">
        <is>
          <t>Nej</t>
        </is>
      </c>
      <c r="Y772" t="inlineStr">
        <is>
          <t>Nej</t>
        </is>
      </c>
      <c r="Z772" t="inlineStr">
        <is>
          <t>Nej</t>
        </is>
      </c>
      <c r="AA772" t="n">
        <v>10</v>
      </c>
      <c r="AB772" t="inlineStr">
        <is>
          <t>Miljopaverkan och forsiktighetsmatt</t>
        </is>
      </c>
      <c r="AC772" t="inlineStr">
        <is>
          <t>Miljo-PM</t>
        </is>
      </c>
      <c r="AD772" t="inlineStr">
        <is>
          <t>Nej</t>
        </is>
      </c>
      <c r="AE772" t="inlineStr">
        <is>
          <t>Nej</t>
        </is>
      </c>
      <c r="AF772" t="inlineStr">
        <is>
          <t>Ej behandlad</t>
        </is>
      </c>
      <c r="AG772" t="inlineStr">
        <is>
          <t>AUTO_GENERERAD. Verifiera citat mot kallfil.</t>
        </is>
      </c>
      <c r="AH772" t="inlineStr">
        <is>
          <t>MEDIUM</t>
        </is>
      </c>
      <c r="AI772" t="inlineStr">
        <is>
          <t>AUTO</t>
        </is>
      </c>
      <c r="AJ772" t="inlineStr">
        <is>
          <t>Nej</t>
        </is>
      </c>
      <c r="AK772" t="inlineStr"/>
      <c r="AL772" t="inlineStr"/>
      <c r="AM772" t="inlineStr"/>
      <c r="AN772" t="inlineStr"/>
      <c r="AO772" t="inlineStr">
        <is>
          <t>cmm4yuq56039bcuqw31feylkb</t>
        </is>
      </c>
      <c r="AP772" t="inlineStr">
        <is>
          <t>http://localhost:8787/api/admin/requirements/documents/cmm4yuq56039bcuqw31feylkb/view</t>
        </is>
      </c>
      <c r="AQ772">
        <f>HYPERLÄNK("http://localhost:8787/api/admin/requirements/documents/cmm4yuq56039bcuqw31feylkb/view";"Öppna PDF")</f>
        <v/>
      </c>
      <c r="AR772">
        <f>HYPERLINK("http://localhost:8787/api/admin/requirements/documents/cmm4yuq56039bcuqw31feylkb/view","Open PDF")</f>
        <v/>
      </c>
      <c r="AS772" t="inlineStr">
        <is>
          <t>cmm55w57p0004cuisfrtpqly8</t>
        </is>
      </c>
      <c r="AT772" t="inlineStr">
        <is>
          <t>cmm4xvu980000cuh4vj0usz09</t>
        </is>
      </c>
      <c r="AU772" t="inlineStr">
        <is>
          <t>Säffle</t>
        </is>
      </c>
      <c r="AV772" t="inlineStr">
        <is>
          <t>Kommun</t>
        </is>
      </c>
      <c r="AW772" t="inlineStr">
        <is>
          <t>Säffle kommun</t>
        </is>
      </c>
      <c r="AX772" t="inlineStr">
        <is>
          <t>0533-68</t>
        </is>
      </c>
      <c r="AY772" t="inlineStr">
        <is>
          <t>Anmalan</t>
        </is>
      </c>
      <c r="AZ772" t="inlineStr">
        <is>
          <t>2026-02-04</t>
        </is>
      </c>
      <c r="BA772" t="inlineStr">
        <is>
          <t>Anmälningsbeslut - Avelsäter 1_46.pdf</t>
        </is>
      </c>
      <c r="BB772" t="inlineStr">
        <is>
          <t>Sv: till registrator</t>
        </is>
      </c>
      <c r="BC772" t="inlineStr">
        <is>
          <t>AUTO</t>
        </is>
      </c>
      <c r="BD772" t="inlineStr"/>
      <c r="BE772" t="inlineStr"/>
      <c r="BF772" t="inlineStr">
        <is>
          <t>AUTO_GENERERAD. Bekrafta metadata mot kallfil.</t>
        </is>
      </c>
      <c r="BG772">
        <f>HYPERLINK("C:\Users\jimmy\Desktop\Examens arbete\Kod\Ny mapp\remix_-copy-of-miljöbeslut.se-portal\Anmälningsbeslut - Avelsäter 1_46.pdf", "Öppna PDF")</f>
        <v/>
      </c>
    </row>
    <row r="773">
      <c r="A773" t="inlineStr">
        <is>
          <t>KRAV-AUTO-000772</t>
        </is>
      </c>
      <c r="B773" t="inlineStr">
        <is>
          <t>ADMIN-INDEX-2026-02-27-00000000125C043F57453246863FE664CAFE6A3F0700950291EA24F0614FB6ACEDB12BF0E31D00000000010C0000950291EA24F0614FB6ACEDB12BF0E31D00002087AE330000</t>
        </is>
      </c>
      <c r="C773" t="inlineStr">
        <is>
          <t>cmm4yuq56039bcuqw31feylkb</t>
        </is>
      </c>
      <c r="D773" t="inlineStr">
        <is>
          <t>http://localhost:8787/api/admin/requirements/documents/cmm4yuq56039bcuqw31feylkb/view</t>
        </is>
      </c>
      <c r="E773">
        <f>HYPERLÄNK("http://localhost:8787/api/admin/requirements/documents/cmm4yuq56039bcuqw31feylkb/view";"Öppna PDF")</f>
        <v/>
      </c>
      <c r="F773">
        <f>HYPERLINK("http://localhost:8787/api/admin/requirements/documents/cmm4yuq56039bcuqw31feylkb/view","Open PDF")</f>
        <v/>
      </c>
      <c r="G773" t="inlineStr">
        <is>
          <t>cmm55w57p0004cuisfrtpqly8</t>
        </is>
      </c>
      <c r="H773" t="inlineStr">
        <is>
          <t>Informationskrav</t>
        </is>
      </c>
      <c r="I773" t="inlineStr">
        <is>
          <t>LagringsvolymTid</t>
        </is>
      </c>
      <c r="J773" t="inlineStr">
        <is>
          <t>Maxmangd</t>
        </is>
      </c>
      <c r="K773" t="inlineStr">
        <is>
          <t>mer än 1 000 ton per kalenderår och avfallet ska användas för byggnads- eller anläggningsändamål, eller 2.</t>
        </is>
      </c>
      <c r="L773" t="inlineStr">
        <is>
          <t>mer än 1 000 ton per kalenderår och avfallet ska användas för byggnads- eller anläggningsändamål, eller 2.</t>
        </is>
      </c>
      <c r="M773" t="inlineStr">
        <is>
          <t>SKA</t>
        </is>
      </c>
      <c r="N773" t="inlineStr"/>
      <c r="O773" t="inlineStr"/>
      <c r="P773" t="inlineStr"/>
      <c r="Q773" t="inlineStr"/>
      <c r="R773" t="inlineStr">
        <is>
          <t>Alltid</t>
        </is>
      </c>
      <c r="S773" t="inlineStr"/>
      <c r="T773" t="inlineStr">
        <is>
          <t>212000</t>
        </is>
      </c>
      <c r="U773" t="n">
        <v>0</v>
      </c>
      <c r="V773" t="inlineStr"/>
      <c r="W773" t="inlineStr">
        <is>
          <t>Nej</t>
        </is>
      </c>
      <c r="X773" t="inlineStr">
        <is>
          <t>Nej</t>
        </is>
      </c>
      <c r="Y773" t="inlineStr">
        <is>
          <t>Nej</t>
        </is>
      </c>
      <c r="Z773" t="inlineStr">
        <is>
          <t>Nej</t>
        </is>
      </c>
      <c r="AA773" t="n">
        <v>4</v>
      </c>
      <c r="AB773" t="inlineStr">
        <is>
          <t>Avfallsmangder och lagringstid</t>
        </is>
      </c>
      <c r="AC773" t="inlineStr">
        <is>
          <t>Avfallsforteckning</t>
        </is>
      </c>
      <c r="AD773" t="inlineStr">
        <is>
          <t>Nej</t>
        </is>
      </c>
      <c r="AE773" t="inlineStr">
        <is>
          <t>Nej</t>
        </is>
      </c>
      <c r="AF773" t="inlineStr">
        <is>
          <t>Ej behandlad</t>
        </is>
      </c>
      <c r="AG773" t="inlineStr">
        <is>
          <t>AUTO_GENERERAD. Verifiera citat mot kallfil.</t>
        </is>
      </c>
      <c r="AH773" t="inlineStr">
        <is>
          <t>MEDIUM</t>
        </is>
      </c>
      <c r="AI773" t="inlineStr">
        <is>
          <t>AUTO</t>
        </is>
      </c>
      <c r="AJ773" t="inlineStr">
        <is>
          <t>Nej</t>
        </is>
      </c>
      <c r="AK773" t="inlineStr"/>
      <c r="AL773" t="inlineStr"/>
      <c r="AM773" t="inlineStr"/>
      <c r="AN773" t="inlineStr"/>
      <c r="AO773" t="inlineStr">
        <is>
          <t>cmm4yuq56039bcuqw31feylkb</t>
        </is>
      </c>
      <c r="AP773" t="inlineStr">
        <is>
          <t>http://localhost:8787/api/admin/requirements/documents/cmm4yuq56039bcuqw31feylkb/view</t>
        </is>
      </c>
      <c r="AQ773">
        <f>HYPERLÄNK("http://localhost:8787/api/admin/requirements/documents/cmm4yuq56039bcuqw31feylkb/view";"Öppna PDF")</f>
        <v/>
      </c>
      <c r="AR773">
        <f>HYPERLINK("http://localhost:8787/api/admin/requirements/documents/cmm4yuq56039bcuqw31feylkb/view","Open PDF")</f>
        <v/>
      </c>
      <c r="AS773" t="inlineStr">
        <is>
          <t>cmm55w57p0004cuisfrtpqly8</t>
        </is>
      </c>
      <c r="AT773" t="inlineStr">
        <is>
          <t>cmm4xvu980000cuh4vj0usz09</t>
        </is>
      </c>
      <c r="AU773" t="inlineStr">
        <is>
          <t>Säffle</t>
        </is>
      </c>
      <c r="AV773" t="inlineStr">
        <is>
          <t>Kommun</t>
        </is>
      </c>
      <c r="AW773" t="inlineStr">
        <is>
          <t>Säffle kommun</t>
        </is>
      </c>
      <c r="AX773" t="inlineStr">
        <is>
          <t>0533-68</t>
        </is>
      </c>
      <c r="AY773" t="inlineStr">
        <is>
          <t>Anmalan</t>
        </is>
      </c>
      <c r="AZ773" t="inlineStr">
        <is>
          <t>2026-02-04</t>
        </is>
      </c>
      <c r="BA773" t="inlineStr">
        <is>
          <t>Anmälningsbeslut - Avelsäter 1_46.pdf</t>
        </is>
      </c>
      <c r="BB773" t="inlineStr">
        <is>
          <t>Sv: till registrator</t>
        </is>
      </c>
      <c r="BC773" t="inlineStr">
        <is>
          <t>AUTO</t>
        </is>
      </c>
      <c r="BD773" t="inlineStr"/>
      <c r="BE773" t="inlineStr"/>
      <c r="BF773" t="inlineStr">
        <is>
          <t>AUTO_GENERERAD. Bekrafta metadata mot kallfil.</t>
        </is>
      </c>
      <c r="BG773">
        <f>HYPERLINK("C:\Users\jimmy\Desktop\Examens arbete\Kod\Ny mapp\remix_-copy-of-miljöbeslut.se-portal\Anmälningsbeslut - Avelsäter 1_46.pdf", "Öppna PDF")</f>
        <v/>
      </c>
    </row>
    <row r="774">
      <c r="A774" t="inlineStr">
        <is>
          <t>KRAV-AUTO-000773</t>
        </is>
      </c>
      <c r="B774" t="inlineStr">
        <is>
          <t>ADMIN-INDEX-2026-02-27-00000000125C043F57453246863FE664CAFE6A3F0700950291EA24F0614FB6ACEDB12BF0E31D00000000010C0000950291EA24F0614FB6ACEDB12BF0E31D00002087AE330000</t>
        </is>
      </c>
      <c r="C774" t="inlineStr">
        <is>
          <t>cmm4yuq4q038wcuqw47iia2s2</t>
        </is>
      </c>
      <c r="D774" t="inlineStr">
        <is>
          <t>http://localhost:8787/api/admin/requirements/documents/cmm4yuq4q038wcuqw47iia2s2/view</t>
        </is>
      </c>
      <c r="E774">
        <f>HYPERLÄNK("http://localhost:8787/api/admin/requirements/documents/cmm4yuq4q038wcuqw47iia2s2/view";"Öppna PDF")</f>
        <v/>
      </c>
      <c r="F774">
        <f>HYPERLINK("http://localhost:8787/api/admin/requirements/documents/cmm4yuq4q038wcuqw47iia2s2/view","Open PDF")</f>
        <v/>
      </c>
      <c r="G774" t="inlineStr">
        <is>
          <t>cmm55w57p0004cuisfrtpqly8</t>
        </is>
      </c>
      <c r="H774" t="inlineStr">
        <is>
          <t>Informationskrav</t>
        </is>
      </c>
      <c r="I774" t="inlineStr">
        <is>
          <t>LagringsvolymTid</t>
        </is>
      </c>
      <c r="J774" t="inlineStr">
        <is>
          <t>Maxmangd</t>
        </is>
      </c>
      <c r="K774" t="inlineStr">
        <is>
          <t>En mindre mängd på 100 m3 kommer att uppstå när åtgärder ska utföras för att förstärka vägkanter på vissa delar längs väg 175 Säffle – Knöstad.</t>
        </is>
      </c>
      <c r="L774" t="inlineStr">
        <is>
          <t>En mindre mängd på 100 m3 kommer att uppstå när åtgärder ska utföras för att förstärka vägkanter på vissa delar längs väg 175 Säffle – Knöstad.</t>
        </is>
      </c>
      <c r="M774" t="inlineStr">
        <is>
          <t>SKA</t>
        </is>
      </c>
      <c r="N774" t="inlineStr"/>
      <c r="O774" t="inlineStr"/>
      <c r="P774" t="inlineStr"/>
      <c r="Q774" t="inlineStr"/>
      <c r="R774" t="inlineStr">
        <is>
          <t>Alltid</t>
        </is>
      </c>
      <c r="S774" t="inlineStr"/>
      <c r="T774" t="inlineStr">
        <is>
          <t>212000</t>
        </is>
      </c>
      <c r="U774" t="inlineStr"/>
      <c r="V774" t="inlineStr"/>
      <c r="W774" t="inlineStr">
        <is>
          <t>Nej</t>
        </is>
      </c>
      <c r="X774" t="inlineStr">
        <is>
          <t>Nej</t>
        </is>
      </c>
      <c r="Y774" t="inlineStr">
        <is>
          <t>Nej</t>
        </is>
      </c>
      <c r="Z774" t="inlineStr">
        <is>
          <t>Nej</t>
        </is>
      </c>
      <c r="AA774" t="n">
        <v>4</v>
      </c>
      <c r="AB774" t="inlineStr">
        <is>
          <t>Avfallsmangder och lagringstid</t>
        </is>
      </c>
      <c r="AC774" t="inlineStr">
        <is>
          <t>Avfallsforteckning</t>
        </is>
      </c>
      <c r="AD774" t="inlineStr">
        <is>
          <t>Nej</t>
        </is>
      </c>
      <c r="AE774" t="inlineStr">
        <is>
          <t>Nej</t>
        </is>
      </c>
      <c r="AF774" t="inlineStr">
        <is>
          <t>Ej behandlad</t>
        </is>
      </c>
      <c r="AG774" t="inlineStr">
        <is>
          <t>AUTO_GENERERAD. Verifiera citat mot kallfil.</t>
        </is>
      </c>
      <c r="AH774" t="inlineStr">
        <is>
          <t>MEDIUM</t>
        </is>
      </c>
      <c r="AI774" t="inlineStr">
        <is>
          <t>AUTO</t>
        </is>
      </c>
      <c r="AJ774" t="inlineStr">
        <is>
          <t>Nej</t>
        </is>
      </c>
      <c r="AK774" t="inlineStr"/>
      <c r="AL774" t="inlineStr"/>
      <c r="AM774" t="inlineStr"/>
      <c r="AN774" t="inlineStr"/>
      <c r="AO774" t="inlineStr">
        <is>
          <t>cmm4yuq56039bcuqw31feylkb</t>
        </is>
      </c>
      <c r="AP774" t="inlineStr">
        <is>
          <t>http://localhost:8787/api/admin/requirements/documents/cmm4yuq56039bcuqw31feylkb/view</t>
        </is>
      </c>
      <c r="AQ774">
        <f>HYPERLÄNK("http://localhost:8787/api/admin/requirements/documents/cmm4yuq56039bcuqw31feylkb/view";"Öppna PDF")</f>
        <v/>
      </c>
      <c r="AR774">
        <f>HYPERLINK("http://localhost:8787/api/admin/requirements/documents/cmm4yuq56039bcuqw31feylkb/view","Open PDF")</f>
        <v/>
      </c>
      <c r="AS774" t="inlineStr">
        <is>
          <t>cmm55w57p0004cuisfrtpqly8</t>
        </is>
      </c>
      <c r="AT774" t="inlineStr">
        <is>
          <t>cmm4xvu980000cuh4vj0usz09</t>
        </is>
      </c>
      <c r="AU774" t="inlineStr">
        <is>
          <t>Säffle</t>
        </is>
      </c>
      <c r="AV774" t="inlineStr">
        <is>
          <t>Kommun</t>
        </is>
      </c>
      <c r="AW774" t="inlineStr">
        <is>
          <t>Säffle kommun</t>
        </is>
      </c>
      <c r="AX774" t="inlineStr">
        <is>
          <t>0533-68</t>
        </is>
      </c>
      <c r="AY774" t="inlineStr">
        <is>
          <t>Anmalan</t>
        </is>
      </c>
      <c r="AZ774" t="inlineStr">
        <is>
          <t>2026-02-04</t>
        </is>
      </c>
      <c r="BA774" t="inlineStr">
        <is>
          <t>Anmälningsbeslut - Avelsäter 1_46.pdf</t>
        </is>
      </c>
      <c r="BB774" t="inlineStr">
        <is>
          <t>Sv: till registrator</t>
        </is>
      </c>
      <c r="BC774" t="inlineStr">
        <is>
          <t>AUTO</t>
        </is>
      </c>
      <c r="BD774" t="inlineStr"/>
      <c r="BE774" t="inlineStr"/>
      <c r="BF774" t="inlineStr">
        <is>
          <t>AUTO_GENERERAD. Bekrafta metadata mot kallfil.</t>
        </is>
      </c>
      <c r="BG774">
        <f>HYPERLINK("C:\Users\jimmy\Desktop\Examens arbete\Kod\Ny mapp\remix_-copy-of-miljöbeslut.se-portal\Anmälningsbeslut - Avelsäter 1_46.pdf", "Öppna PDF")</f>
        <v/>
      </c>
    </row>
    <row r="775">
      <c r="A775" t="inlineStr">
        <is>
          <t>KRAV-AUTO-000774</t>
        </is>
      </c>
      <c r="B775" t="inlineStr">
        <is>
          <t>ADMIN-INDEX-2026-02-27-00000000125C043F57453246863FE664CAFE6A3F0700950291EA24F0614FB6ACEDB12BF0E31D00000000010C0000950291EA24F0614FB6ACEDB12BF0E31D00002087AE340000</t>
        </is>
      </c>
      <c r="C775" t="inlineStr">
        <is>
          <t>cmm4yuq30037bcuqw6m75qin5</t>
        </is>
      </c>
      <c r="D775" t="inlineStr">
        <is>
          <t>http://localhost:8787/api/admin/requirements/documents/cmm4yuq30037bcuqw6m75qin5/view</t>
        </is>
      </c>
      <c r="E775">
        <f>HYPERLÄNK("http://localhost:8787/api/admin/requirements/documents/cmm4yuq30037bcuqw6m75qin5/view";"Öppna PDF")</f>
        <v/>
      </c>
      <c r="F775">
        <f>HYPERLINK("http://localhost:8787/api/admin/requirements/documents/cmm4yuq30037bcuqw6m75qin5/view","Open PDF")</f>
        <v/>
      </c>
      <c r="G775" t="inlineStr">
        <is>
          <t>cmm55w57p0004cuisfrtpqly8</t>
        </is>
      </c>
      <c r="H775" t="inlineStr">
        <is>
          <t>Beslutsvillkor</t>
        </is>
      </c>
      <c r="I775" t="inlineStr">
        <is>
          <t>DriftEgenkontroll</t>
        </is>
      </c>
      <c r="J775" t="inlineStr">
        <is>
          <t>Journalforing</t>
        </is>
      </c>
      <c r="K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75" t="inlineStr">
        <is>
          <t>BOR</t>
        </is>
      </c>
      <c r="N775" t="inlineStr"/>
      <c r="O775" t="inlineStr">
        <is>
          <t>2021-10-28</t>
        </is>
      </c>
      <c r="P775" t="inlineStr"/>
      <c r="Q775" t="inlineStr"/>
      <c r="R775" t="inlineStr">
        <is>
          <t>Lopande drift</t>
        </is>
      </c>
      <c r="S775" t="inlineStr"/>
      <c r="T775" t="inlineStr">
        <is>
          <t>505924</t>
        </is>
      </c>
      <c r="U775" t="inlineStr"/>
      <c r="V775" t="inlineStr"/>
      <c r="W775" t="inlineStr">
        <is>
          <t>Nej</t>
        </is>
      </c>
      <c r="X775" t="inlineStr">
        <is>
          <t>Nej</t>
        </is>
      </c>
      <c r="Y775" t="inlineStr">
        <is>
          <t>Ja</t>
        </is>
      </c>
      <c r="Z775" t="inlineStr">
        <is>
          <t>Nej</t>
        </is>
      </c>
      <c r="AA775" t="n">
        <v>7</v>
      </c>
      <c r="AB775" t="inlineStr">
        <is>
          <t>Egenkontrollrutiner</t>
        </is>
      </c>
      <c r="AC775" t="inlineStr">
        <is>
          <t>Egenkontrollprogram</t>
        </is>
      </c>
      <c r="AD775" t="inlineStr">
        <is>
          <t>Nej</t>
        </is>
      </c>
      <c r="AE775" t="inlineStr">
        <is>
          <t>Nej</t>
        </is>
      </c>
      <c r="AF775" t="inlineStr">
        <is>
          <t>Ej behandlad</t>
        </is>
      </c>
      <c r="AG775" t="inlineStr">
        <is>
          <t>AUTO_GENERERAD. Verifiera citat mot kallfil.</t>
        </is>
      </c>
      <c r="AH775" t="inlineStr">
        <is>
          <t>MEDIUM</t>
        </is>
      </c>
      <c r="AI775" t="inlineStr">
        <is>
          <t>AUTO</t>
        </is>
      </c>
      <c r="AJ775" t="inlineStr">
        <is>
          <t>Nej</t>
        </is>
      </c>
      <c r="AK775" t="inlineStr"/>
      <c r="AL775" t="inlineStr"/>
      <c r="AM775" t="inlineStr"/>
      <c r="AN775" t="inlineStr"/>
      <c r="AO775" t="inlineStr">
        <is>
          <t>cmm4yuq3a037kcuqwpi0d7k4c</t>
        </is>
      </c>
      <c r="AP775" t="inlineStr">
        <is>
          <t>http://localhost:8787/api/admin/requirements/documents/cmm4yuq3a037kcuqwpi0d7k4c/view</t>
        </is>
      </c>
      <c r="AQ775">
        <f>HYPERLÄNK("http://localhost:8787/api/admin/requirements/documents/cmm4yuq3a037kcuqwpi0d7k4c/view";"Öppna PDF")</f>
        <v/>
      </c>
      <c r="AR775">
        <f>HYPERLINK("http://localhost:8787/api/admin/requirements/documents/cmm4yuq3a037kcuqwpi0d7k4c/view","Open PDF")</f>
        <v/>
      </c>
      <c r="AS775" t="inlineStr">
        <is>
          <t>cmm55w57p0004cuisfrtpqly8</t>
        </is>
      </c>
      <c r="AT775" t="inlineStr">
        <is>
          <t>cmm4xvu980000cuh4vj0usz09</t>
        </is>
      </c>
      <c r="AU775" t="inlineStr"/>
      <c r="AV775" t="inlineStr">
        <is>
          <t>Kommun</t>
        </is>
      </c>
      <c r="AW775" t="inlineStr"/>
      <c r="AX775" t="inlineStr">
        <is>
          <t>2019:01</t>
        </is>
      </c>
      <c r="AY775" t="inlineStr">
        <is>
          <t>Beslut</t>
        </is>
      </c>
      <c r="AZ775" t="inlineStr">
        <is>
          <t>2026-02-04</t>
        </is>
      </c>
      <c r="BA775" t="inlineStr">
        <is>
          <t>Analysresultat - Muraren 4.pdf</t>
        </is>
      </c>
      <c r="BB775" t="inlineStr">
        <is>
          <t>Sv: till registrator</t>
        </is>
      </c>
      <c r="BC775" t="inlineStr">
        <is>
          <t>AUTO</t>
        </is>
      </c>
      <c r="BD775" t="inlineStr"/>
      <c r="BE775" t="inlineStr"/>
      <c r="BF775" t="inlineStr">
        <is>
          <t>AUTO_GENERERAD. Bekrafta metadata mot kallfil.</t>
        </is>
      </c>
      <c r="BG775">
        <f>HYPERLINK("C:\Users\jimmy\Desktop\Examens arbete\Kod\Ny mapp\remix_-copy-of-miljöbeslut.se-portal\Analysresultat - Muraren 4.pdf", "Öppna PDF")</f>
        <v/>
      </c>
    </row>
    <row r="776">
      <c r="A776" t="inlineStr">
        <is>
          <t>KRAV-AUTO-000775</t>
        </is>
      </c>
      <c r="B776" t="inlineStr">
        <is>
          <t>ADMIN-INDEX-2026-02-27-00000000125C043F57453246863FE664CAFE6A3F0700950291EA24F0614FB6ACEDB12BF0E31D00000000010C0000950291EA24F0614FB6ACEDB12BF0E31D00002087AE340000</t>
        </is>
      </c>
      <c r="C776" t="inlineStr">
        <is>
          <t>cmm4yuq30037bcuqw6m75qin5</t>
        </is>
      </c>
      <c r="D776" t="inlineStr">
        <is>
          <t>http://localhost:8787/api/admin/requirements/documents/cmm4yuq30037bcuqw6m75qin5/view</t>
        </is>
      </c>
      <c r="E776">
        <f>HYPERLÄNK("http://localhost:8787/api/admin/requirements/documents/cmm4yuq30037bcuqw6m75qin5/view";"Öppna PDF")</f>
        <v/>
      </c>
      <c r="F776">
        <f>HYPERLINK("http://localhost:8787/api/admin/requirements/documents/cmm4yuq30037bcuqw6m75qin5/view","Open PDF")</f>
        <v/>
      </c>
      <c r="G776" t="inlineStr">
        <is>
          <t>cmm55w57p0004cuisfrtpqly8</t>
        </is>
      </c>
      <c r="H776" t="inlineStr">
        <is>
          <t>Beslutsvillkor</t>
        </is>
      </c>
      <c r="I776" t="inlineStr">
        <is>
          <t>DriftEgenkontroll</t>
        </is>
      </c>
      <c r="J776" t="inlineStr">
        <is>
          <t>Journalforing</t>
        </is>
      </c>
      <c r="K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76" t="inlineStr">
        <is>
          <t>BOR</t>
        </is>
      </c>
      <c r="N776" t="inlineStr"/>
      <c r="O776" t="inlineStr">
        <is>
          <t>2021-10-28</t>
        </is>
      </c>
      <c r="P776" t="inlineStr"/>
      <c r="Q776" t="inlineStr"/>
      <c r="R776" t="inlineStr">
        <is>
          <t>Lopande drift</t>
        </is>
      </c>
      <c r="S776" t="inlineStr"/>
      <c r="T776" t="inlineStr">
        <is>
          <t>505924</t>
        </is>
      </c>
      <c r="U776" t="inlineStr"/>
      <c r="V776" t="inlineStr"/>
      <c r="W776" t="inlineStr">
        <is>
          <t>Nej</t>
        </is>
      </c>
      <c r="X776" t="inlineStr">
        <is>
          <t>Nej</t>
        </is>
      </c>
      <c r="Y776" t="inlineStr">
        <is>
          <t>Ja</t>
        </is>
      </c>
      <c r="Z776" t="inlineStr">
        <is>
          <t>Nej</t>
        </is>
      </c>
      <c r="AA776" t="n">
        <v>7</v>
      </c>
      <c r="AB776" t="inlineStr">
        <is>
          <t>Egenkontrollrutiner</t>
        </is>
      </c>
      <c r="AC776" t="inlineStr">
        <is>
          <t>Egenkontrollprogram</t>
        </is>
      </c>
      <c r="AD776" t="inlineStr">
        <is>
          <t>Nej</t>
        </is>
      </c>
      <c r="AE776" t="inlineStr">
        <is>
          <t>Nej</t>
        </is>
      </c>
      <c r="AF776" t="inlineStr">
        <is>
          <t>Ej behandlad</t>
        </is>
      </c>
      <c r="AG776" t="inlineStr">
        <is>
          <t>AUTO_GENERERAD. Verifiera citat mot kallfil.</t>
        </is>
      </c>
      <c r="AH776" t="inlineStr">
        <is>
          <t>MEDIUM</t>
        </is>
      </c>
      <c r="AI776" t="inlineStr">
        <is>
          <t>AUTO</t>
        </is>
      </c>
      <c r="AJ776" t="inlineStr">
        <is>
          <t>Nej</t>
        </is>
      </c>
      <c r="AK776" t="inlineStr"/>
      <c r="AL776" t="inlineStr"/>
      <c r="AM776" t="inlineStr"/>
      <c r="AN776" t="inlineStr"/>
      <c r="AO776" t="inlineStr">
        <is>
          <t>cmm4yuq3a037kcuqwpi0d7k4c</t>
        </is>
      </c>
      <c r="AP776" t="inlineStr">
        <is>
          <t>http://localhost:8787/api/admin/requirements/documents/cmm4yuq3a037kcuqwpi0d7k4c/view</t>
        </is>
      </c>
      <c r="AQ776">
        <f>HYPERLÄNK("http://localhost:8787/api/admin/requirements/documents/cmm4yuq3a037kcuqwpi0d7k4c/view";"Öppna PDF")</f>
        <v/>
      </c>
      <c r="AR776">
        <f>HYPERLINK("http://localhost:8787/api/admin/requirements/documents/cmm4yuq3a037kcuqwpi0d7k4c/view","Open PDF")</f>
        <v/>
      </c>
      <c r="AS776" t="inlineStr">
        <is>
          <t>cmm55w57p0004cuisfrtpqly8</t>
        </is>
      </c>
      <c r="AT776" t="inlineStr">
        <is>
          <t>cmm4xvu980000cuh4vj0usz09</t>
        </is>
      </c>
      <c r="AU776" t="inlineStr"/>
      <c r="AV776" t="inlineStr">
        <is>
          <t>Kommun</t>
        </is>
      </c>
      <c r="AW776" t="inlineStr"/>
      <c r="AX776" t="inlineStr">
        <is>
          <t>2019:01</t>
        </is>
      </c>
      <c r="AY776" t="inlineStr">
        <is>
          <t>Beslut</t>
        </is>
      </c>
      <c r="AZ776" t="inlineStr">
        <is>
          <t>2026-02-04</t>
        </is>
      </c>
      <c r="BA776" t="inlineStr">
        <is>
          <t>Analysresultat - Muraren 4.pdf</t>
        </is>
      </c>
      <c r="BB776" t="inlineStr">
        <is>
          <t>Sv: till registrator</t>
        </is>
      </c>
      <c r="BC776" t="inlineStr">
        <is>
          <t>AUTO</t>
        </is>
      </c>
      <c r="BD776" t="inlineStr"/>
      <c r="BE776" t="inlineStr"/>
      <c r="BF776" t="inlineStr">
        <is>
          <t>AUTO_GENERERAD. Bekrafta metadata mot kallfil.</t>
        </is>
      </c>
      <c r="BG776">
        <f>HYPERLINK("C:\Users\jimmy\Desktop\Examens arbete\Kod\Ny mapp\remix_-copy-of-miljöbeslut.se-portal\Analysresultat - Muraren 4.pdf", "Öppna PDF")</f>
        <v/>
      </c>
    </row>
    <row r="777">
      <c r="A777" t="inlineStr">
        <is>
          <t>KRAV-AUTO-000776</t>
        </is>
      </c>
      <c r="B777" t="inlineStr">
        <is>
          <t>ADMIN-INDEX-2026-02-27-00000000125C043F57453246863FE664CAFE6A3F0700950291EA24F0614FB6ACEDB12BF0E31D00000000010C0000950291EA24F0614FB6ACEDB12BF0E31D00002087AE340000</t>
        </is>
      </c>
      <c r="C777" t="inlineStr">
        <is>
          <t>cmm4yuq30037bcuqw6m75qin5</t>
        </is>
      </c>
      <c r="D777" t="inlineStr">
        <is>
          <t>http://localhost:8787/api/admin/requirements/documents/cmm4yuq30037bcuqw6m75qin5/view</t>
        </is>
      </c>
      <c r="E777">
        <f>HYPERLÄNK("http://localhost:8787/api/admin/requirements/documents/cmm4yuq30037bcuqw6m75qin5/view";"Öppna PDF")</f>
        <v/>
      </c>
      <c r="F777">
        <f>HYPERLINK("http://localhost:8787/api/admin/requirements/documents/cmm4yuq30037bcuqw6m75qin5/view","Open PDF")</f>
        <v/>
      </c>
      <c r="G777" t="inlineStr">
        <is>
          <t>cmm55w57p0004cuisfrtpqly8</t>
        </is>
      </c>
      <c r="H777" t="inlineStr">
        <is>
          <t>Beslutsvillkor</t>
        </is>
      </c>
      <c r="I777" t="inlineStr">
        <is>
          <t>DriftEgenkontroll</t>
        </is>
      </c>
      <c r="J777" t="inlineStr">
        <is>
          <t>Journalforing</t>
        </is>
      </c>
      <c r="K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77" t="inlineStr">
        <is>
          <t>BOR</t>
        </is>
      </c>
      <c r="N777" t="inlineStr"/>
      <c r="O777" t="inlineStr">
        <is>
          <t>2021-10-28</t>
        </is>
      </c>
      <c r="P777" t="inlineStr"/>
      <c r="Q777" t="inlineStr"/>
      <c r="R777" t="inlineStr">
        <is>
          <t>Lopande drift</t>
        </is>
      </c>
      <c r="S777" t="inlineStr"/>
      <c r="T777" t="inlineStr">
        <is>
          <t>505924</t>
        </is>
      </c>
      <c r="U777" t="inlineStr"/>
      <c r="V777" t="inlineStr"/>
      <c r="W777" t="inlineStr">
        <is>
          <t>Nej</t>
        </is>
      </c>
      <c r="X777" t="inlineStr">
        <is>
          <t>Nej</t>
        </is>
      </c>
      <c r="Y777" t="inlineStr">
        <is>
          <t>Ja</t>
        </is>
      </c>
      <c r="Z777" t="inlineStr">
        <is>
          <t>Nej</t>
        </is>
      </c>
      <c r="AA777" t="n">
        <v>7</v>
      </c>
      <c r="AB777" t="inlineStr">
        <is>
          <t>Egenkontrollrutiner</t>
        </is>
      </c>
      <c r="AC777" t="inlineStr">
        <is>
          <t>Egenkontrollprogram</t>
        </is>
      </c>
      <c r="AD777" t="inlineStr">
        <is>
          <t>Nej</t>
        </is>
      </c>
      <c r="AE777" t="inlineStr">
        <is>
          <t>Nej</t>
        </is>
      </c>
      <c r="AF777" t="inlineStr">
        <is>
          <t>Ej behandlad</t>
        </is>
      </c>
      <c r="AG777" t="inlineStr">
        <is>
          <t>AUTO_GENERERAD. Verifiera citat mot kallfil.</t>
        </is>
      </c>
      <c r="AH777" t="inlineStr">
        <is>
          <t>MEDIUM</t>
        </is>
      </c>
      <c r="AI777" t="inlineStr">
        <is>
          <t>AUTO</t>
        </is>
      </c>
      <c r="AJ777" t="inlineStr">
        <is>
          <t>Nej</t>
        </is>
      </c>
      <c r="AK777" t="inlineStr"/>
      <c r="AL777" t="inlineStr"/>
      <c r="AM777" t="inlineStr"/>
      <c r="AN777" t="inlineStr"/>
      <c r="AO777" t="inlineStr">
        <is>
          <t>cmm4yuq3a037kcuqwpi0d7k4c</t>
        </is>
      </c>
      <c r="AP777" t="inlineStr">
        <is>
          <t>http://localhost:8787/api/admin/requirements/documents/cmm4yuq3a037kcuqwpi0d7k4c/view</t>
        </is>
      </c>
      <c r="AQ777">
        <f>HYPERLÄNK("http://localhost:8787/api/admin/requirements/documents/cmm4yuq3a037kcuqwpi0d7k4c/view";"Öppna PDF")</f>
        <v/>
      </c>
      <c r="AR777">
        <f>HYPERLINK("http://localhost:8787/api/admin/requirements/documents/cmm4yuq3a037kcuqwpi0d7k4c/view","Open PDF")</f>
        <v/>
      </c>
      <c r="AS777" t="inlineStr">
        <is>
          <t>cmm55w57p0004cuisfrtpqly8</t>
        </is>
      </c>
      <c r="AT777" t="inlineStr">
        <is>
          <t>cmm4xvu980000cuh4vj0usz09</t>
        </is>
      </c>
      <c r="AU777" t="inlineStr"/>
      <c r="AV777" t="inlineStr">
        <is>
          <t>Kommun</t>
        </is>
      </c>
      <c r="AW777" t="inlineStr"/>
      <c r="AX777" t="inlineStr">
        <is>
          <t>2019:01</t>
        </is>
      </c>
      <c r="AY777" t="inlineStr">
        <is>
          <t>Beslut</t>
        </is>
      </c>
      <c r="AZ777" t="inlineStr">
        <is>
          <t>2026-02-04</t>
        </is>
      </c>
      <c r="BA777" t="inlineStr">
        <is>
          <t>Analysresultat - Muraren 4.pdf</t>
        </is>
      </c>
      <c r="BB777" t="inlineStr">
        <is>
          <t>Sv: till registrator</t>
        </is>
      </c>
      <c r="BC777" t="inlineStr">
        <is>
          <t>AUTO</t>
        </is>
      </c>
      <c r="BD777" t="inlineStr"/>
      <c r="BE777" t="inlineStr"/>
      <c r="BF777" t="inlineStr">
        <is>
          <t>AUTO_GENERERAD. Bekrafta metadata mot kallfil.</t>
        </is>
      </c>
      <c r="BG777">
        <f>HYPERLINK("C:\Users\jimmy\Desktop\Examens arbete\Kod\Ny mapp\remix_-copy-of-miljöbeslut.se-portal\Analysresultat - Muraren 4.pdf", "Öppna PDF")</f>
        <v/>
      </c>
    </row>
    <row r="778">
      <c r="A778" t="inlineStr">
        <is>
          <t>KRAV-AUTO-000777</t>
        </is>
      </c>
      <c r="B778" t="inlineStr">
        <is>
          <t>ADMIN-INDEX-2026-02-27-00000000125C043F57453246863FE664CAFE6A3F0700950291EA24F0614FB6ACEDB12BF0E31D00000000010C0000950291EA24F0614FB6ACEDB12BF0E31D00002087AE590000</t>
        </is>
      </c>
      <c r="C778" t="inlineStr">
        <is>
          <t>cmm4yuprg02whcuqwxnhw7fpc</t>
        </is>
      </c>
      <c r="D778" t="inlineStr">
        <is>
          <t>http://localhost:8787/api/admin/requirements/documents/cmm4yuprg02whcuqwxnhw7fpc/view</t>
        </is>
      </c>
      <c r="E778">
        <f>HYPERLÄNK("http://localhost:8787/api/admin/requirements/documents/cmm4yuprg02whcuqwxnhw7fpc/view";"Öppna PDF")</f>
        <v/>
      </c>
      <c r="F778">
        <f>HYPERLINK("http://localhost:8787/api/admin/requirements/documents/cmm4yuprg02whcuqwxnhw7fpc/view","Open PDF")</f>
        <v/>
      </c>
      <c r="G778" t="inlineStr">
        <is>
          <t>cmm55w57p0004cuisfrtpqly8</t>
        </is>
      </c>
      <c r="H778" t="inlineStr">
        <is>
          <t>Informationskrav</t>
        </is>
      </c>
      <c r="I778" t="inlineStr">
        <is>
          <t>MiljopaverkanForsiktighet</t>
        </is>
      </c>
      <c r="J778" t="inlineStr">
        <is>
          <t>Skyddsatgarder</t>
        </is>
      </c>
      <c r="K778" t="inlineStr">
        <is>
          <t>Lagring av avfall får ske under högst ett år innan det bortskaffas eller under högst tre år innan det återvinns eller behandlas (kod 90.40) Företagsuppgifter Namn/anmälare BaoTAD Grev o schakt AB Fastighetsbeteckning Hemmes lov.</t>
        </is>
      </c>
      <c r="L778" t="inlineStr">
        <is>
          <t>Lagring av avfall får ske under högst ett år innan det bortskaffas eller under högst tre år innan det återvinns eller behandlas (kod 90.40) Företagsuppgifter Namn/anmälare BaoTAD Grev o schakt AB Fastighetsbeteckning Hemmes lov.</t>
        </is>
      </c>
      <c r="M778" t="inlineStr">
        <is>
          <t>SKA</t>
        </is>
      </c>
      <c r="N778" t="inlineStr">
        <is>
          <t>FMH</t>
        </is>
      </c>
      <c r="O778" t="inlineStr"/>
      <c r="P778" t="inlineStr"/>
      <c r="Q778" t="inlineStr"/>
      <c r="R778" t="inlineStr">
        <is>
          <t>Alltid</t>
        </is>
      </c>
      <c r="S778" t="inlineStr"/>
      <c r="T778" t="inlineStr">
        <is>
          <t>559027</t>
        </is>
      </c>
      <c r="U778" t="inlineStr"/>
      <c r="V778" t="inlineStr"/>
      <c r="W778" t="inlineStr">
        <is>
          <t>Nej</t>
        </is>
      </c>
      <c r="X778" t="inlineStr">
        <is>
          <t>Nej</t>
        </is>
      </c>
      <c r="Y778" t="inlineStr">
        <is>
          <t>Nej</t>
        </is>
      </c>
      <c r="Z778" t="inlineStr">
        <is>
          <t>Nej</t>
        </is>
      </c>
      <c r="AA778" t="n">
        <v>10</v>
      </c>
      <c r="AB778" t="inlineStr">
        <is>
          <t>Miljopaverkan och forsiktighetsmatt</t>
        </is>
      </c>
      <c r="AC778" t="inlineStr">
        <is>
          <t>Miljo-PM</t>
        </is>
      </c>
      <c r="AD778" t="inlineStr">
        <is>
          <t>Nej</t>
        </is>
      </c>
      <c r="AE778" t="inlineStr">
        <is>
          <t>Nej</t>
        </is>
      </c>
      <c r="AF778" t="inlineStr">
        <is>
          <t>Ej behandlad</t>
        </is>
      </c>
      <c r="AG778" t="inlineStr">
        <is>
          <t>AUTO_GENERERAD. Verifiera citat mot kallfil.</t>
        </is>
      </c>
      <c r="AH778" t="inlineStr">
        <is>
          <t>MEDIUM</t>
        </is>
      </c>
      <c r="AI778" t="inlineStr">
        <is>
          <t>AUTO</t>
        </is>
      </c>
      <c r="AJ778" t="inlineStr">
        <is>
          <t>Nej</t>
        </is>
      </c>
      <c r="AK778" t="inlineStr"/>
      <c r="AL778" t="inlineStr"/>
      <c r="AM778" t="inlineStr"/>
      <c r="AN778" t="inlineStr"/>
      <c r="AO778" t="inlineStr">
        <is>
          <t>cmm4yuprg02whcuqwxnhw7fpc</t>
        </is>
      </c>
      <c r="AP778" t="inlineStr">
        <is>
          <t>http://localhost:8787/api/admin/requirements/documents/cmm4yuprg02whcuqwxnhw7fpc/view</t>
        </is>
      </c>
      <c r="AQ778">
        <f>HYPERLÄNK("http://localhost:8787/api/admin/requirements/documents/cmm4yuprg02whcuqwxnhw7fpc/view";"Öppna PDF")</f>
        <v/>
      </c>
      <c r="AR778">
        <f>HYPERLINK("http://localhost:8787/api/admin/requirements/documents/cmm4yuprg02whcuqwxnhw7fpc/view","Open PDF")</f>
        <v/>
      </c>
      <c r="AS778" t="inlineStr">
        <is>
          <t>cmm55w57p0004cuisfrtpqly8</t>
        </is>
      </c>
      <c r="AT778" t="inlineStr">
        <is>
          <t>cmm4xvu980000cuh4vj0usz09</t>
        </is>
      </c>
      <c r="AU778" t="inlineStr"/>
      <c r="AV778" t="inlineStr">
        <is>
          <t>Kommun</t>
        </is>
      </c>
      <c r="AW778" t="inlineStr"/>
      <c r="AX778" t="inlineStr">
        <is>
          <t>2024-1293</t>
        </is>
      </c>
      <c r="AY778" t="inlineStr">
        <is>
          <t>Anmalan</t>
        </is>
      </c>
      <c r="AZ778" t="inlineStr">
        <is>
          <t>2026-02-04</t>
        </is>
      </c>
      <c r="BA778" t="inlineStr">
        <is>
          <t>Anmälan miljöfarlig verksamhet.pdf</t>
        </is>
      </c>
      <c r="BB778" t="inlineStr">
        <is>
          <t>Ärende 2024-1293 - Begäran om utdrag av allmän handling</t>
        </is>
      </c>
      <c r="BC778" t="inlineStr">
        <is>
          <t>AUTO</t>
        </is>
      </c>
      <c r="BD778" t="inlineStr"/>
      <c r="BE778" t="inlineStr"/>
      <c r="BF778" t="inlineStr">
        <is>
          <t>AUTO_GENERERAD. Bekrafta metadata mot kallfil.</t>
        </is>
      </c>
      <c r="BG778">
        <f>HYPERLINK("C:\Users\jimmy\Desktop\Examens arbete\Kod\Ny mapp\remix_-copy-of-miljöbeslut.se-portal\Anmälan miljöfarlig verksamhet.pdf", "Öppna PDF")</f>
        <v/>
      </c>
    </row>
    <row r="779">
      <c r="A779" t="inlineStr">
        <is>
          <t>KRAV-AUTO-000778</t>
        </is>
      </c>
      <c r="B779" t="inlineStr">
        <is>
          <t>ADMIN-INDEX-2026-02-27-00000000125C043F57453246863FE664CAFE6A3F0700950291EA24F0614FB6ACEDB12BF0E31D00000000010C0000950291EA24F0614FB6ACEDB12BF0E31D00002087AE590000</t>
        </is>
      </c>
      <c r="C779" t="inlineStr">
        <is>
          <t>cmm4yuprg02whcuqwxnhw7fpc</t>
        </is>
      </c>
      <c r="D779" t="inlineStr">
        <is>
          <t>http://localhost:8787/api/admin/requirements/documents/cmm4yuprg02whcuqwxnhw7fpc/view</t>
        </is>
      </c>
      <c r="E779">
        <f>HYPERLÄNK("http://localhost:8787/api/admin/requirements/documents/cmm4yuprg02whcuqwxnhw7fpc/view";"Öppna PDF")</f>
        <v/>
      </c>
      <c r="F779">
        <f>HYPERLINK("http://localhost:8787/api/admin/requirements/documents/cmm4yuprg02whcuqwxnhw7fpc/view","Open PDF")</f>
        <v/>
      </c>
      <c r="G779" t="inlineStr">
        <is>
          <t>cmm55w57p0004cuisfrtpqly8</t>
        </is>
      </c>
      <c r="H779" t="inlineStr">
        <is>
          <t>Informationskrav</t>
        </is>
      </c>
      <c r="I779" t="inlineStr">
        <is>
          <t>Riskhantering</t>
        </is>
      </c>
      <c r="J779" t="inlineStr">
        <is>
          <t>Riskkontroll</t>
        </is>
      </c>
      <c r="K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779" t="inlineStr">
        <is>
          <t>SKA</t>
        </is>
      </c>
      <c r="N779" t="inlineStr">
        <is>
          <t>FMH</t>
        </is>
      </c>
      <c r="O779" t="inlineStr"/>
      <c r="P779" t="inlineStr">
        <is>
          <t>Arlig</t>
        </is>
      </c>
      <c r="Q779" t="inlineStr"/>
      <c r="R779" t="inlineStr">
        <is>
          <t>Vid risk for incident</t>
        </is>
      </c>
      <c r="S779" t="inlineStr"/>
      <c r="T779" t="inlineStr">
        <is>
          <t>559027</t>
        </is>
      </c>
      <c r="U779" t="inlineStr"/>
      <c r="V779" t="inlineStr"/>
      <c r="W779" t="inlineStr">
        <is>
          <t>Nej</t>
        </is>
      </c>
      <c r="X779" t="inlineStr">
        <is>
          <t>Nej</t>
        </is>
      </c>
      <c r="Y779" t="inlineStr">
        <is>
          <t>Ja</t>
        </is>
      </c>
      <c r="Z779" t="inlineStr">
        <is>
          <t>Ja</t>
        </is>
      </c>
      <c r="AA779" t="n">
        <v>8</v>
      </c>
      <c r="AB779" t="inlineStr">
        <is>
          <t>Riskhantering</t>
        </is>
      </c>
      <c r="AC779" t="inlineStr">
        <is>
          <t>Risk-PM</t>
        </is>
      </c>
      <c r="AD779" t="inlineStr">
        <is>
          <t>Nej</t>
        </is>
      </c>
      <c r="AE779" t="inlineStr">
        <is>
          <t>Nej</t>
        </is>
      </c>
      <c r="AF779" t="inlineStr">
        <is>
          <t>Ej behandlad</t>
        </is>
      </c>
      <c r="AG779" t="inlineStr">
        <is>
          <t>AUTO_GENERERAD. Verifiera citat mot kallfil.</t>
        </is>
      </c>
      <c r="AH779" t="inlineStr">
        <is>
          <t>MEDIUM</t>
        </is>
      </c>
      <c r="AI779" t="inlineStr">
        <is>
          <t>AUTO</t>
        </is>
      </c>
      <c r="AJ779" t="inlineStr">
        <is>
          <t>Nej</t>
        </is>
      </c>
      <c r="AK779" t="inlineStr"/>
      <c r="AL779" t="inlineStr"/>
      <c r="AM779" t="inlineStr"/>
      <c r="AN779" t="inlineStr"/>
      <c r="AO779" t="inlineStr">
        <is>
          <t>cmm4yuprg02whcuqwxnhw7fpc</t>
        </is>
      </c>
      <c r="AP779" t="inlineStr">
        <is>
          <t>http://localhost:8787/api/admin/requirements/documents/cmm4yuprg02whcuqwxnhw7fpc/view</t>
        </is>
      </c>
      <c r="AQ779">
        <f>HYPERLÄNK("http://localhost:8787/api/admin/requirements/documents/cmm4yuprg02whcuqwxnhw7fpc/view";"Öppna PDF")</f>
        <v/>
      </c>
      <c r="AR779">
        <f>HYPERLINK("http://localhost:8787/api/admin/requirements/documents/cmm4yuprg02whcuqwxnhw7fpc/view","Open PDF")</f>
        <v/>
      </c>
      <c r="AS779" t="inlineStr">
        <is>
          <t>cmm55w57p0004cuisfrtpqly8</t>
        </is>
      </c>
      <c r="AT779" t="inlineStr">
        <is>
          <t>cmm4xvu980000cuh4vj0usz09</t>
        </is>
      </c>
      <c r="AU779" t="inlineStr"/>
      <c r="AV779" t="inlineStr">
        <is>
          <t>Kommun</t>
        </is>
      </c>
      <c r="AW779" t="inlineStr"/>
      <c r="AX779" t="inlineStr">
        <is>
          <t>2024-1293</t>
        </is>
      </c>
      <c r="AY779" t="inlineStr">
        <is>
          <t>Anmalan</t>
        </is>
      </c>
      <c r="AZ779" t="inlineStr">
        <is>
          <t>2026-02-04</t>
        </is>
      </c>
      <c r="BA779" t="inlineStr">
        <is>
          <t>Anmälan miljöfarlig verksamhet.pdf</t>
        </is>
      </c>
      <c r="BB779" t="inlineStr">
        <is>
          <t>Ärende 2024-1293 - Begäran om utdrag av allmän handling</t>
        </is>
      </c>
      <c r="BC779" t="inlineStr">
        <is>
          <t>AUTO</t>
        </is>
      </c>
      <c r="BD779" t="inlineStr"/>
      <c r="BE779" t="inlineStr"/>
      <c r="BF779" t="inlineStr">
        <is>
          <t>AUTO_GENERERAD. Bekrafta metadata mot kallfil.</t>
        </is>
      </c>
      <c r="BG779">
        <f>HYPERLINK("C:\Users\jimmy\Desktop\Examens arbete\Kod\Ny mapp\remix_-copy-of-miljöbeslut.se-portal\Anmälan miljöfarlig verksamhet.pdf", "Öppna PDF")</f>
        <v/>
      </c>
    </row>
    <row r="780">
      <c r="A780" t="inlineStr">
        <is>
          <t>KRAV-AUTO-000779</t>
        </is>
      </c>
      <c r="B780" t="inlineStr">
        <is>
          <t>ADMIN-INDEX-2026-02-27-00000000125C043F57453246863FE664CAFE6A3F0700950291EA24F0614FB6ACEDB12BF0E31D00000000010C0000950291EA24F0614FB6ACEDB12BF0E31D00002087AE590000</t>
        </is>
      </c>
      <c r="C780" t="inlineStr">
        <is>
          <t>cmm4yuprg02whcuqwxnhw7fpc</t>
        </is>
      </c>
      <c r="D780" t="inlineStr">
        <is>
          <t>http://localhost:8787/api/admin/requirements/documents/cmm4yuprg02whcuqwxnhw7fpc/view</t>
        </is>
      </c>
      <c r="E780">
        <f>HYPERLÄNK("http://localhost:8787/api/admin/requirements/documents/cmm4yuprg02whcuqwxnhw7fpc/view";"Öppna PDF")</f>
        <v/>
      </c>
      <c r="F780">
        <f>HYPERLINK("http://localhost:8787/api/admin/requirements/documents/cmm4yuprg02whcuqwxnhw7fpc/view","Open PDF")</f>
        <v/>
      </c>
      <c r="G780" t="inlineStr">
        <is>
          <t>cmm55w57p0004cuisfrtpqly8</t>
        </is>
      </c>
      <c r="H780" t="inlineStr">
        <is>
          <t>Informationskrav</t>
        </is>
      </c>
      <c r="I780" t="inlineStr">
        <is>
          <t>LagringsvolymTid</t>
        </is>
      </c>
      <c r="J780" t="inlineStr">
        <is>
          <t>Maxmangd</t>
        </is>
      </c>
      <c r="K780" t="inlineStr">
        <is>
          <t>Ska avfallet användas för bygg- eller anläggningsändamål får 30 000 ton lagras vid varje enskilt tillfälle.</t>
        </is>
      </c>
      <c r="L780" t="inlineStr">
        <is>
          <t>Ska avfallet användas för bygg- eller anläggningsändamål får 30 000 ton lagras vid varje enskilt tillfälle.</t>
        </is>
      </c>
      <c r="M780" t="inlineStr">
        <is>
          <t>SKA</t>
        </is>
      </c>
      <c r="N780" t="inlineStr">
        <is>
          <t>FMH</t>
        </is>
      </c>
      <c r="O780" t="inlineStr"/>
      <c r="P780" t="inlineStr"/>
      <c r="Q780" t="inlineStr"/>
      <c r="R780" t="inlineStr">
        <is>
          <t>Alltid</t>
        </is>
      </c>
      <c r="S780" t="inlineStr"/>
      <c r="T780" t="inlineStr">
        <is>
          <t>559027</t>
        </is>
      </c>
      <c r="U780" t="n">
        <v>0</v>
      </c>
      <c r="V780" t="inlineStr"/>
      <c r="W780" t="inlineStr">
        <is>
          <t>Nej</t>
        </is>
      </c>
      <c r="X780" t="inlineStr">
        <is>
          <t>Nej</t>
        </is>
      </c>
      <c r="Y780" t="inlineStr">
        <is>
          <t>Nej</t>
        </is>
      </c>
      <c r="Z780" t="inlineStr">
        <is>
          <t>Nej</t>
        </is>
      </c>
      <c r="AA780" t="n">
        <v>4</v>
      </c>
      <c r="AB780" t="inlineStr">
        <is>
          <t>Avfallsmangder och lagringstid</t>
        </is>
      </c>
      <c r="AC780" t="inlineStr">
        <is>
          <t>Avfallsforteckning</t>
        </is>
      </c>
      <c r="AD780" t="inlineStr">
        <is>
          <t>Nej</t>
        </is>
      </c>
      <c r="AE780" t="inlineStr">
        <is>
          <t>Nej</t>
        </is>
      </c>
      <c r="AF780" t="inlineStr">
        <is>
          <t>Ej behandlad</t>
        </is>
      </c>
      <c r="AG780" t="inlineStr">
        <is>
          <t>AUTO_GENERERAD. Verifiera citat mot kallfil.</t>
        </is>
      </c>
      <c r="AH780" t="inlineStr">
        <is>
          <t>MEDIUM</t>
        </is>
      </c>
      <c r="AI780" t="inlineStr">
        <is>
          <t>AUTO</t>
        </is>
      </c>
      <c r="AJ780" t="inlineStr">
        <is>
          <t>Nej</t>
        </is>
      </c>
      <c r="AK780" t="inlineStr"/>
      <c r="AL780" t="inlineStr"/>
      <c r="AM780" t="inlineStr"/>
      <c r="AN780" t="inlineStr"/>
      <c r="AO780" t="inlineStr">
        <is>
          <t>cmm4yuprg02whcuqwxnhw7fpc</t>
        </is>
      </c>
      <c r="AP780" t="inlineStr">
        <is>
          <t>http://localhost:8787/api/admin/requirements/documents/cmm4yuprg02whcuqwxnhw7fpc/view</t>
        </is>
      </c>
      <c r="AQ780">
        <f>HYPERLÄNK("http://localhost:8787/api/admin/requirements/documents/cmm4yuprg02whcuqwxnhw7fpc/view";"Öppna PDF")</f>
        <v/>
      </c>
      <c r="AR780">
        <f>HYPERLINK("http://localhost:8787/api/admin/requirements/documents/cmm4yuprg02whcuqwxnhw7fpc/view","Open PDF")</f>
        <v/>
      </c>
      <c r="AS780" t="inlineStr">
        <is>
          <t>cmm55w57p0004cuisfrtpqly8</t>
        </is>
      </c>
      <c r="AT780" t="inlineStr">
        <is>
          <t>cmm4xvu980000cuh4vj0usz09</t>
        </is>
      </c>
      <c r="AU780" t="inlineStr"/>
      <c r="AV780" t="inlineStr">
        <is>
          <t>Kommun</t>
        </is>
      </c>
      <c r="AW780" t="inlineStr"/>
      <c r="AX780" t="inlineStr">
        <is>
          <t>2024-1293</t>
        </is>
      </c>
      <c r="AY780" t="inlineStr">
        <is>
          <t>Anmalan</t>
        </is>
      </c>
      <c r="AZ780" t="inlineStr">
        <is>
          <t>2026-02-04</t>
        </is>
      </c>
      <c r="BA780" t="inlineStr">
        <is>
          <t>Anmälan miljöfarlig verksamhet.pdf</t>
        </is>
      </c>
      <c r="BB780" t="inlineStr">
        <is>
          <t>Ärende 2024-1293 - Begäran om utdrag av allmän handling</t>
        </is>
      </c>
      <c r="BC780" t="inlineStr">
        <is>
          <t>AUTO</t>
        </is>
      </c>
      <c r="BD780" t="inlineStr"/>
      <c r="BE780" t="inlineStr"/>
      <c r="BF780" t="inlineStr">
        <is>
          <t>AUTO_GENERERAD. Bekrafta metadata mot kallfil.</t>
        </is>
      </c>
      <c r="BG780">
        <f>HYPERLINK("C:\Users\jimmy\Desktop\Examens arbete\Kod\Ny mapp\remix_-copy-of-miljöbeslut.se-portal\Anmälan miljöfarlig verksamhet.pdf", "Öppna PDF")</f>
        <v/>
      </c>
    </row>
    <row r="781">
      <c r="A781" t="inlineStr">
        <is>
          <t>KRAV-AUTO-000780</t>
        </is>
      </c>
      <c r="B781" t="inlineStr">
        <is>
          <t>ADMIN-INDEX-2026-02-27-00000000125C043F57453246863FE664CAFE6A3F0700950291EA24F0614FB6ACEDB12BF0E31D00000000010C0000950291EA24F0614FB6ACEDB12BF0E31D00002087AE330000</t>
        </is>
      </c>
      <c r="C781" t="inlineStr">
        <is>
          <t>cmm4yuq48038hcuqw5b5nu4fw</t>
        </is>
      </c>
      <c r="D781" t="inlineStr">
        <is>
          <t>http://localhost:8787/api/admin/requirements/documents/cmm4yuq48038hcuqw5b5nu4fw/view</t>
        </is>
      </c>
      <c r="E781">
        <f>HYPERLÄNK("http://localhost:8787/api/admin/requirements/documents/cmm4yuq48038hcuqw5b5nu4fw/view";"Öppna PDF")</f>
        <v/>
      </c>
      <c r="F781">
        <f>HYPERLINK("http://localhost:8787/api/admin/requirements/documents/cmm4yuq48038hcuqw5b5nu4fw/view","Open PDF")</f>
        <v/>
      </c>
      <c r="G781" t="inlineStr">
        <is>
          <t>cmm55w57p0004cuisfrtpqly8</t>
        </is>
      </c>
      <c r="H781" t="inlineStr">
        <is>
          <t>Beslutsvillkor</t>
        </is>
      </c>
      <c r="I781" t="inlineStr">
        <is>
          <t>DriftEgenkontroll</t>
        </is>
      </c>
      <c r="J781" t="inlineStr">
        <is>
          <t>Journalforing</t>
        </is>
      </c>
      <c r="K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81" t="inlineStr">
        <is>
          <t>BOR</t>
        </is>
      </c>
      <c r="N781" t="inlineStr"/>
      <c r="O781" t="inlineStr">
        <is>
          <t>2021-10-28</t>
        </is>
      </c>
      <c r="P781" t="inlineStr"/>
      <c r="Q781" t="inlineStr"/>
      <c r="R781" t="inlineStr">
        <is>
          <t>Lopande drift</t>
        </is>
      </c>
      <c r="S781" t="inlineStr"/>
      <c r="T781" t="inlineStr">
        <is>
          <t>505924</t>
        </is>
      </c>
      <c r="U781" t="inlineStr"/>
      <c r="V781" t="inlineStr"/>
      <c r="W781" t="inlineStr">
        <is>
          <t>Nej</t>
        </is>
      </c>
      <c r="X781" t="inlineStr">
        <is>
          <t>Nej</t>
        </is>
      </c>
      <c r="Y781" t="inlineStr">
        <is>
          <t>Ja</t>
        </is>
      </c>
      <c r="Z781" t="inlineStr">
        <is>
          <t>Nej</t>
        </is>
      </c>
      <c r="AA781" t="n">
        <v>7</v>
      </c>
      <c r="AB781" t="inlineStr">
        <is>
          <t>Egenkontrollrutiner</t>
        </is>
      </c>
      <c r="AC781" t="inlineStr">
        <is>
          <t>Egenkontrollprogram</t>
        </is>
      </c>
      <c r="AD781" t="inlineStr">
        <is>
          <t>Nej</t>
        </is>
      </c>
      <c r="AE781" t="inlineStr">
        <is>
          <t>Nej</t>
        </is>
      </c>
      <c r="AF781" t="inlineStr">
        <is>
          <t>Ej behandlad</t>
        </is>
      </c>
      <c r="AG781" t="inlineStr">
        <is>
          <t>AUTO_GENERERAD. Verifiera citat mot kallfil.</t>
        </is>
      </c>
      <c r="AH781" t="inlineStr">
        <is>
          <t>MEDIUM</t>
        </is>
      </c>
      <c r="AI781" t="inlineStr">
        <is>
          <t>AUTO</t>
        </is>
      </c>
      <c r="AJ781" t="inlineStr">
        <is>
          <t>Nej</t>
        </is>
      </c>
      <c r="AK781" t="inlineStr"/>
      <c r="AL781" t="inlineStr"/>
      <c r="AM781" t="inlineStr"/>
      <c r="AN781" t="inlineStr"/>
      <c r="AO781" t="inlineStr">
        <is>
          <t>cmm4yuq56039bcuqw31feylkb</t>
        </is>
      </c>
      <c r="AP781" t="inlineStr">
        <is>
          <t>http://localhost:8787/api/admin/requirements/documents/cmm4yuq56039bcuqw31feylkb/view</t>
        </is>
      </c>
      <c r="AQ781">
        <f>HYPERLÄNK("http://localhost:8787/api/admin/requirements/documents/cmm4yuq56039bcuqw31feylkb/view";"Öppna PDF")</f>
        <v/>
      </c>
      <c r="AR781">
        <f>HYPERLINK("http://localhost:8787/api/admin/requirements/documents/cmm4yuq56039bcuqw31feylkb/view","Open PDF")</f>
        <v/>
      </c>
      <c r="AS781" t="inlineStr">
        <is>
          <t>cmm55w57p0004cuisfrtpqly8</t>
        </is>
      </c>
      <c r="AT781" t="inlineStr">
        <is>
          <t>cmm4xvu980000cuh4vj0usz09</t>
        </is>
      </c>
      <c r="AU781" t="inlineStr">
        <is>
          <t>Säffle</t>
        </is>
      </c>
      <c r="AV781" t="inlineStr">
        <is>
          <t>Kommun</t>
        </is>
      </c>
      <c r="AW781" t="inlineStr">
        <is>
          <t>Säffle kommun</t>
        </is>
      </c>
      <c r="AX781" t="inlineStr">
        <is>
          <t>0533-68</t>
        </is>
      </c>
      <c r="AY781" t="inlineStr">
        <is>
          <t>Anmalan</t>
        </is>
      </c>
      <c r="AZ781" t="inlineStr">
        <is>
          <t>2026-02-04</t>
        </is>
      </c>
      <c r="BA781" t="inlineStr">
        <is>
          <t>Anmälningsbeslut - Avelsäter 1_46.pdf</t>
        </is>
      </c>
      <c r="BB781" t="inlineStr">
        <is>
          <t>Sv: till registrator</t>
        </is>
      </c>
      <c r="BC781" t="inlineStr">
        <is>
          <t>AUTO</t>
        </is>
      </c>
      <c r="BD781" t="inlineStr"/>
      <c r="BE781" t="inlineStr"/>
      <c r="BF781" t="inlineStr">
        <is>
          <t>AUTO_GENERERAD. Bekrafta metadata mot kallfil.</t>
        </is>
      </c>
      <c r="BG781">
        <f>HYPERLINK("C:\Users\jimmy\Desktop\Examens arbete\Kod\Ny mapp\remix_-copy-of-miljöbeslut.se-portal\Anmälningsbeslut - Avelsäter 1_46.pdf", "Öppna PDF")</f>
        <v/>
      </c>
    </row>
    <row r="782">
      <c r="A782" t="inlineStr">
        <is>
          <t>KRAV-AUTO-000781</t>
        </is>
      </c>
      <c r="B782" t="inlineStr">
        <is>
          <t>ADMIN-INDEX-2026-02-27-00000000125C043F57453246863FE664CAFE6A3F0700950291EA24F0614FB6ACEDB12BF0E31D00000000010C0000950291EA24F0614FB6ACEDB12BF0E31D00002087AE330000</t>
        </is>
      </c>
      <c r="C782" t="inlineStr">
        <is>
          <t>cmm4yuq48038hcuqw5b5nu4fw</t>
        </is>
      </c>
      <c r="D782" t="inlineStr">
        <is>
          <t>http://localhost:8787/api/admin/requirements/documents/cmm4yuq48038hcuqw5b5nu4fw/view</t>
        </is>
      </c>
      <c r="E782">
        <f>HYPERLÄNK("http://localhost:8787/api/admin/requirements/documents/cmm4yuq48038hcuqw5b5nu4fw/view";"Öppna PDF")</f>
        <v/>
      </c>
      <c r="F782">
        <f>HYPERLINK("http://localhost:8787/api/admin/requirements/documents/cmm4yuq48038hcuqw5b5nu4fw/view","Open PDF")</f>
        <v/>
      </c>
      <c r="G782" t="inlineStr">
        <is>
          <t>cmm55w57p0004cuisfrtpqly8</t>
        </is>
      </c>
      <c r="H782" t="inlineStr">
        <is>
          <t>Beslutsvillkor</t>
        </is>
      </c>
      <c r="I782" t="inlineStr">
        <is>
          <t>DriftEgenkontroll</t>
        </is>
      </c>
      <c r="J782" t="inlineStr">
        <is>
          <t>Journalforing</t>
        </is>
      </c>
      <c r="K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82" t="inlineStr">
        <is>
          <t>BOR</t>
        </is>
      </c>
      <c r="N782" t="inlineStr"/>
      <c r="O782" t="inlineStr">
        <is>
          <t>2021-10-28</t>
        </is>
      </c>
      <c r="P782" t="inlineStr"/>
      <c r="Q782" t="inlineStr"/>
      <c r="R782" t="inlineStr">
        <is>
          <t>Lopande drift</t>
        </is>
      </c>
      <c r="S782" t="inlineStr"/>
      <c r="T782" t="inlineStr">
        <is>
          <t>505924</t>
        </is>
      </c>
      <c r="U782" t="inlineStr"/>
      <c r="V782" t="inlineStr"/>
      <c r="W782" t="inlineStr">
        <is>
          <t>Nej</t>
        </is>
      </c>
      <c r="X782" t="inlineStr">
        <is>
          <t>Nej</t>
        </is>
      </c>
      <c r="Y782" t="inlineStr">
        <is>
          <t>Ja</t>
        </is>
      </c>
      <c r="Z782" t="inlineStr">
        <is>
          <t>Nej</t>
        </is>
      </c>
      <c r="AA782" t="n">
        <v>7</v>
      </c>
      <c r="AB782" t="inlineStr">
        <is>
          <t>Egenkontrollrutiner</t>
        </is>
      </c>
      <c r="AC782" t="inlineStr">
        <is>
          <t>Egenkontrollprogram</t>
        </is>
      </c>
      <c r="AD782" t="inlineStr">
        <is>
          <t>Nej</t>
        </is>
      </c>
      <c r="AE782" t="inlineStr">
        <is>
          <t>Nej</t>
        </is>
      </c>
      <c r="AF782" t="inlineStr">
        <is>
          <t>Ej behandlad</t>
        </is>
      </c>
      <c r="AG782" t="inlineStr">
        <is>
          <t>AUTO_GENERERAD. Verifiera citat mot kallfil.</t>
        </is>
      </c>
      <c r="AH782" t="inlineStr">
        <is>
          <t>MEDIUM</t>
        </is>
      </c>
      <c r="AI782" t="inlineStr">
        <is>
          <t>AUTO</t>
        </is>
      </c>
      <c r="AJ782" t="inlineStr">
        <is>
          <t>Nej</t>
        </is>
      </c>
      <c r="AK782" t="inlineStr"/>
      <c r="AL782" t="inlineStr"/>
      <c r="AM782" t="inlineStr"/>
      <c r="AN782" t="inlineStr"/>
      <c r="AO782" t="inlineStr">
        <is>
          <t>cmm4yuq56039bcuqw31feylkb</t>
        </is>
      </c>
      <c r="AP782" t="inlineStr">
        <is>
          <t>http://localhost:8787/api/admin/requirements/documents/cmm4yuq56039bcuqw31feylkb/view</t>
        </is>
      </c>
      <c r="AQ782">
        <f>HYPERLÄNK("http://localhost:8787/api/admin/requirements/documents/cmm4yuq56039bcuqw31feylkb/view";"Öppna PDF")</f>
        <v/>
      </c>
      <c r="AR782">
        <f>HYPERLINK("http://localhost:8787/api/admin/requirements/documents/cmm4yuq56039bcuqw31feylkb/view","Open PDF")</f>
        <v/>
      </c>
      <c r="AS782" t="inlineStr">
        <is>
          <t>cmm55w57p0004cuisfrtpqly8</t>
        </is>
      </c>
      <c r="AT782" t="inlineStr">
        <is>
          <t>cmm4xvu980000cuh4vj0usz09</t>
        </is>
      </c>
      <c r="AU782" t="inlineStr">
        <is>
          <t>Säffle</t>
        </is>
      </c>
      <c r="AV782" t="inlineStr">
        <is>
          <t>Kommun</t>
        </is>
      </c>
      <c r="AW782" t="inlineStr">
        <is>
          <t>Säffle kommun</t>
        </is>
      </c>
      <c r="AX782" t="inlineStr">
        <is>
          <t>0533-68</t>
        </is>
      </c>
      <c r="AY782" t="inlineStr">
        <is>
          <t>Anmalan</t>
        </is>
      </c>
      <c r="AZ782" t="inlineStr">
        <is>
          <t>2026-02-04</t>
        </is>
      </c>
      <c r="BA782" t="inlineStr">
        <is>
          <t>Anmälningsbeslut - Avelsäter 1_46.pdf</t>
        </is>
      </c>
      <c r="BB782" t="inlineStr">
        <is>
          <t>Sv: till registrator</t>
        </is>
      </c>
      <c r="BC782" t="inlineStr">
        <is>
          <t>AUTO</t>
        </is>
      </c>
      <c r="BD782" t="inlineStr"/>
      <c r="BE782" t="inlineStr"/>
      <c r="BF782" t="inlineStr">
        <is>
          <t>AUTO_GENERERAD. Bekrafta metadata mot kallfil.</t>
        </is>
      </c>
      <c r="BG782">
        <f>HYPERLINK("C:\Users\jimmy\Desktop\Examens arbete\Kod\Ny mapp\remix_-copy-of-miljöbeslut.se-portal\Anmälningsbeslut - Avelsäter 1_46.pdf", "Öppna PDF")</f>
        <v/>
      </c>
    </row>
    <row r="783">
      <c r="A783" t="inlineStr">
        <is>
          <t>KRAV-AUTO-000782</t>
        </is>
      </c>
      <c r="B783" t="inlineStr">
        <is>
          <t>ADMIN-INDEX-2026-02-27-00000000125C043F57453246863FE664CAFE6A3F0700950291EA24F0614FB6ACEDB12BF0E31D00000000010C0000950291EA24F0614FB6ACEDB12BF0E31D00002087AE330000</t>
        </is>
      </c>
      <c r="C783" t="inlineStr">
        <is>
          <t>cmm4yuq48038hcuqw5b5nu4fw</t>
        </is>
      </c>
      <c r="D783" t="inlineStr">
        <is>
          <t>http://localhost:8787/api/admin/requirements/documents/cmm4yuq48038hcuqw5b5nu4fw/view</t>
        </is>
      </c>
      <c r="E783">
        <f>HYPERLÄNK("http://localhost:8787/api/admin/requirements/documents/cmm4yuq48038hcuqw5b5nu4fw/view";"Öppna PDF")</f>
        <v/>
      </c>
      <c r="F783">
        <f>HYPERLINK("http://localhost:8787/api/admin/requirements/documents/cmm4yuq48038hcuqw5b5nu4fw/view","Open PDF")</f>
        <v/>
      </c>
      <c r="G783" t="inlineStr">
        <is>
          <t>cmm55w57p0004cuisfrtpqly8</t>
        </is>
      </c>
      <c r="H783" t="inlineStr">
        <is>
          <t>Beslutsvillkor</t>
        </is>
      </c>
      <c r="I783" t="inlineStr">
        <is>
          <t>DriftEgenkontroll</t>
        </is>
      </c>
      <c r="J783" t="inlineStr">
        <is>
          <t>Journalforing</t>
        </is>
      </c>
      <c r="K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83" t="inlineStr">
        <is>
          <t>BOR</t>
        </is>
      </c>
      <c r="N783" t="inlineStr"/>
      <c r="O783" t="inlineStr">
        <is>
          <t>2021-10-28</t>
        </is>
      </c>
      <c r="P783" t="inlineStr"/>
      <c r="Q783" t="inlineStr"/>
      <c r="R783" t="inlineStr">
        <is>
          <t>Lopande drift</t>
        </is>
      </c>
      <c r="S783" t="inlineStr"/>
      <c r="T783" t="inlineStr">
        <is>
          <t>505924</t>
        </is>
      </c>
      <c r="U783" t="inlineStr"/>
      <c r="V783" t="inlineStr"/>
      <c r="W783" t="inlineStr">
        <is>
          <t>Nej</t>
        </is>
      </c>
      <c r="X783" t="inlineStr">
        <is>
          <t>Nej</t>
        </is>
      </c>
      <c r="Y783" t="inlineStr">
        <is>
          <t>Ja</t>
        </is>
      </c>
      <c r="Z783" t="inlineStr">
        <is>
          <t>Nej</t>
        </is>
      </c>
      <c r="AA783" t="n">
        <v>7</v>
      </c>
      <c r="AB783" t="inlineStr">
        <is>
          <t>Egenkontrollrutiner</t>
        </is>
      </c>
      <c r="AC783" t="inlineStr">
        <is>
          <t>Egenkontrollprogram</t>
        </is>
      </c>
      <c r="AD783" t="inlineStr">
        <is>
          <t>Nej</t>
        </is>
      </c>
      <c r="AE783" t="inlineStr">
        <is>
          <t>Nej</t>
        </is>
      </c>
      <c r="AF783" t="inlineStr">
        <is>
          <t>Ej behandlad</t>
        </is>
      </c>
      <c r="AG783" t="inlineStr">
        <is>
          <t>AUTO_GENERERAD. Verifiera citat mot kallfil.</t>
        </is>
      </c>
      <c r="AH783" t="inlineStr">
        <is>
          <t>MEDIUM</t>
        </is>
      </c>
      <c r="AI783" t="inlineStr">
        <is>
          <t>AUTO</t>
        </is>
      </c>
      <c r="AJ783" t="inlineStr">
        <is>
          <t>Nej</t>
        </is>
      </c>
      <c r="AK783" t="inlineStr"/>
      <c r="AL783" t="inlineStr"/>
      <c r="AM783" t="inlineStr"/>
      <c r="AN783" t="inlineStr"/>
      <c r="AO783" t="inlineStr">
        <is>
          <t>cmm4yuq56039bcuqw31feylkb</t>
        </is>
      </c>
      <c r="AP783" t="inlineStr">
        <is>
          <t>http://localhost:8787/api/admin/requirements/documents/cmm4yuq56039bcuqw31feylkb/view</t>
        </is>
      </c>
      <c r="AQ783">
        <f>HYPERLÄNK("http://localhost:8787/api/admin/requirements/documents/cmm4yuq56039bcuqw31feylkb/view";"Öppna PDF")</f>
        <v/>
      </c>
      <c r="AR783">
        <f>HYPERLINK("http://localhost:8787/api/admin/requirements/documents/cmm4yuq56039bcuqw31feylkb/view","Open PDF")</f>
        <v/>
      </c>
      <c r="AS783" t="inlineStr">
        <is>
          <t>cmm55w57p0004cuisfrtpqly8</t>
        </is>
      </c>
      <c r="AT783" t="inlineStr">
        <is>
          <t>cmm4xvu980000cuh4vj0usz09</t>
        </is>
      </c>
      <c r="AU783" t="inlineStr">
        <is>
          <t>Säffle</t>
        </is>
      </c>
      <c r="AV783" t="inlineStr">
        <is>
          <t>Kommun</t>
        </is>
      </c>
      <c r="AW783" t="inlineStr">
        <is>
          <t>Säffle kommun</t>
        </is>
      </c>
      <c r="AX783" t="inlineStr">
        <is>
          <t>0533-68</t>
        </is>
      </c>
      <c r="AY783" t="inlineStr">
        <is>
          <t>Anmalan</t>
        </is>
      </c>
      <c r="AZ783" t="inlineStr">
        <is>
          <t>2026-02-04</t>
        </is>
      </c>
      <c r="BA783" t="inlineStr">
        <is>
          <t>Anmälningsbeslut - Avelsäter 1_46.pdf</t>
        </is>
      </c>
      <c r="BB783" t="inlineStr">
        <is>
          <t>Sv: till registrator</t>
        </is>
      </c>
      <c r="BC783" t="inlineStr">
        <is>
          <t>AUTO</t>
        </is>
      </c>
      <c r="BD783" t="inlineStr"/>
      <c r="BE783" t="inlineStr"/>
      <c r="BF783" t="inlineStr">
        <is>
          <t>AUTO_GENERERAD. Bekrafta metadata mot kallfil.</t>
        </is>
      </c>
      <c r="BG783">
        <f>HYPERLINK("C:\Users\jimmy\Desktop\Examens arbete\Kod\Ny mapp\remix_-copy-of-miljöbeslut.se-portal\Anmälningsbeslut - Avelsäter 1_46.pdf", "Öppna PDF")</f>
        <v/>
      </c>
    </row>
    <row r="784">
      <c r="A784" t="inlineStr">
        <is>
          <t>KRAV-AUTO-000783</t>
        </is>
      </c>
      <c r="B784" t="inlineStr">
        <is>
          <t>ADMIN-INDEX-2026-02-27-00000000125C043F57453246863FE664CAFE6A3F0700950291EA24F0614FB6ACEDB12BF0E31D00000000010C0000950291EA24F0614FB6ACEDB12BF0E31D00002087A5CF0000</t>
        </is>
      </c>
      <c r="C784" t="inlineStr">
        <is>
          <t>cmm4yuqzj041wcuqwv7g9ufp9</t>
        </is>
      </c>
      <c r="D784" t="inlineStr">
        <is>
          <t>http://localhost:8787/api/admin/requirements/documents/cmm4yuqzj041wcuqwv7g9ufp9/view</t>
        </is>
      </c>
      <c r="E784">
        <f>HYPERLÄNK("http://localhost:8787/api/admin/requirements/documents/cmm4yuqzj041wcuqwv7g9ufp9/view";"Öppna PDF")</f>
        <v/>
      </c>
      <c r="F784">
        <f>HYPERLINK("http://localhost:8787/api/admin/requirements/documents/cmm4yuqzj041wcuqwv7g9ufp9/view","Open PDF")</f>
        <v/>
      </c>
      <c r="G784" t="inlineStr">
        <is>
          <t>cmm55w57p0004cuisfrtpqly8</t>
        </is>
      </c>
      <c r="H784" t="inlineStr">
        <is>
          <t>Informationskrav</t>
        </is>
      </c>
      <c r="I784" t="inlineStr">
        <is>
          <t>DriftEgenkontroll</t>
        </is>
      </c>
      <c r="J784" t="inlineStr">
        <is>
          <t>Journalforing</t>
        </is>
      </c>
      <c r="K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784" t="inlineStr">
        <is>
          <t>SKA</t>
        </is>
      </c>
      <c r="N784" t="inlineStr"/>
      <c r="O784" t="inlineStr"/>
      <c r="P784" t="inlineStr"/>
      <c r="Q784" t="inlineStr"/>
      <c r="R784" t="inlineStr">
        <is>
          <t>Lopande drift</t>
        </is>
      </c>
      <c r="S784" t="inlineStr"/>
      <c r="T784" t="inlineStr">
        <is>
          <t>556481</t>
        </is>
      </c>
      <c r="U784" t="inlineStr"/>
      <c r="V784" t="inlineStr"/>
      <c r="W784" t="inlineStr">
        <is>
          <t>Nej</t>
        </is>
      </c>
      <c r="X784" t="inlineStr">
        <is>
          <t>Nej</t>
        </is>
      </c>
      <c r="Y784" t="inlineStr">
        <is>
          <t>Ja</t>
        </is>
      </c>
      <c r="Z784" t="inlineStr">
        <is>
          <t>Nej</t>
        </is>
      </c>
      <c r="AA784" t="n">
        <v>7</v>
      </c>
      <c r="AB784" t="inlineStr">
        <is>
          <t>Egenkontrollrutiner</t>
        </is>
      </c>
      <c r="AC784" t="inlineStr">
        <is>
          <t>Egenkontrollprogram</t>
        </is>
      </c>
      <c r="AD784" t="inlineStr">
        <is>
          <t>Nej</t>
        </is>
      </c>
      <c r="AE784" t="inlineStr">
        <is>
          <t>Nej</t>
        </is>
      </c>
      <c r="AF784" t="inlineStr">
        <is>
          <t>Ej behandlad</t>
        </is>
      </c>
      <c r="AG784" t="inlineStr">
        <is>
          <t>AUTO_GENERERAD. Verifiera citat mot kallfil.</t>
        </is>
      </c>
      <c r="AH784" t="inlineStr">
        <is>
          <t>MEDIUM</t>
        </is>
      </c>
      <c r="AI784" t="inlineStr">
        <is>
          <t>AUTO</t>
        </is>
      </c>
      <c r="AJ784" t="inlineStr">
        <is>
          <t>Nej</t>
        </is>
      </c>
      <c r="AK784" t="inlineStr"/>
      <c r="AL784" t="inlineStr"/>
      <c r="AM784" t="inlineStr"/>
      <c r="AN784" t="inlineStr"/>
      <c r="AO784" t="inlineStr">
        <is>
          <t>cmm4yuqzn041zcuqwy7h3npzx</t>
        </is>
      </c>
      <c r="AP784" t="inlineStr">
        <is>
          <t>http://localhost:8787/api/admin/requirements/documents/cmm4yuqzn041zcuqwy7h3npzx/view</t>
        </is>
      </c>
      <c r="AQ784">
        <f>HYPERLÄNK("http://localhost:8787/api/admin/requirements/documents/cmm4yuqzn041zcuqwy7h3npzx/view";"Öppna PDF")</f>
        <v/>
      </c>
      <c r="AR784">
        <f>HYPERLINK("http://localhost:8787/api/admin/requirements/documents/cmm4yuqzn041zcuqwy7h3npzx/view","Open PDF")</f>
        <v/>
      </c>
      <c r="AS784" t="inlineStr">
        <is>
          <t>cmm55w57p0004cuisfrtpqly8</t>
        </is>
      </c>
      <c r="AT784" t="inlineStr">
        <is>
          <t>cmm4xvu980000cuh4vj0usz09</t>
        </is>
      </c>
      <c r="AU784" t="inlineStr"/>
      <c r="AV784" t="inlineStr">
        <is>
          <t>Kommun</t>
        </is>
      </c>
      <c r="AW784" t="inlineStr"/>
      <c r="AX784" t="inlineStr">
        <is>
          <t>2025-03</t>
        </is>
      </c>
      <c r="AY784" t="inlineStr">
        <is>
          <t>Anmalan</t>
        </is>
      </c>
      <c r="AZ784" t="inlineStr">
        <is>
          <t>2026-02-05</t>
        </is>
      </c>
      <c r="BA784" t="inlineStr">
        <is>
          <t>Ärendenr 2025-88. MaserFrakt AB. Anmälan och Beslut (2).pdf</t>
        </is>
      </c>
      <c r="BB784" t="inlineStr">
        <is>
          <t>SV: till registrator</t>
        </is>
      </c>
      <c r="BC784" t="inlineStr">
        <is>
          <t>AUTO</t>
        </is>
      </c>
      <c r="BD784" t="inlineStr"/>
      <c r="BE784" t="inlineStr"/>
      <c r="BF784" t="inlineStr">
        <is>
          <t>AUTO_GENERERAD. Bekrafta metadata mot kallfil.</t>
        </is>
      </c>
      <c r="BG784">
        <f>HYPERLINK("C:\Users\jimmy\Desktop\Examens arbete\Kod\Ny mapp\remix_-copy-of-miljöbeslut.se-portal\Ärendenr 2025-88. MaserFrakt AB. Anmälan och Beslut (2).pdf", "Öppna PDF")</f>
        <v/>
      </c>
    </row>
    <row r="785">
      <c r="A785" t="inlineStr">
        <is>
          <t>KRAV-AUTO-000784</t>
        </is>
      </c>
      <c r="B785" t="inlineStr">
        <is>
          <t>ADMIN-INDEX-2026-02-27-00000000125C043F57453246863FE664CAFE6A3F0700950291EA24F0614FB6ACEDB12BF0E31D00000000010C0000950291EA24F0614FB6ACEDB12BF0E31D00002087A5CF0000</t>
        </is>
      </c>
      <c r="C785" t="inlineStr">
        <is>
          <t>cmm4yuqzc041qcuqwmgzig5te</t>
        </is>
      </c>
      <c r="D785" t="inlineStr">
        <is>
          <t>http://localhost:8787/api/admin/requirements/documents/cmm4yuqzc041qcuqwmgzig5te/view</t>
        </is>
      </c>
      <c r="E785">
        <f>HYPERLÄNK("http://localhost:8787/api/admin/requirements/documents/cmm4yuqzc041qcuqwmgzig5te/view";"Öppna PDF")</f>
        <v/>
      </c>
      <c r="F785">
        <f>HYPERLINK("http://localhost:8787/api/admin/requirements/documents/cmm4yuqzc041qcuqwmgzig5te/view","Open PDF")</f>
        <v/>
      </c>
      <c r="G785" t="inlineStr">
        <is>
          <t>cmm55w57p0004cuisfrtpqly8</t>
        </is>
      </c>
      <c r="H785" t="inlineStr">
        <is>
          <t>Informationskrav</t>
        </is>
      </c>
      <c r="I785" t="inlineStr">
        <is>
          <t>DriftEgenkontroll</t>
        </is>
      </c>
      <c r="J785" t="inlineStr">
        <is>
          <t>Journalforing</t>
        </is>
      </c>
      <c r="K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785" t="inlineStr">
        <is>
          <t>SKA</t>
        </is>
      </c>
      <c r="N785" t="inlineStr"/>
      <c r="O785" t="inlineStr"/>
      <c r="P785" t="inlineStr"/>
      <c r="Q785" t="inlineStr"/>
      <c r="R785" t="inlineStr">
        <is>
          <t>Lopande drift</t>
        </is>
      </c>
      <c r="S785" t="inlineStr"/>
      <c r="T785" t="inlineStr">
        <is>
          <t>556060</t>
        </is>
      </c>
      <c r="U785" t="inlineStr"/>
      <c r="V785" t="inlineStr"/>
      <c r="W785" t="inlineStr">
        <is>
          <t>Nej</t>
        </is>
      </c>
      <c r="X785" t="inlineStr">
        <is>
          <t>Nej</t>
        </is>
      </c>
      <c r="Y785" t="inlineStr">
        <is>
          <t>Ja</t>
        </is>
      </c>
      <c r="Z785" t="inlineStr">
        <is>
          <t>Nej</t>
        </is>
      </c>
      <c r="AA785" t="n">
        <v>7</v>
      </c>
      <c r="AB785" t="inlineStr">
        <is>
          <t>Egenkontrollrutiner</t>
        </is>
      </c>
      <c r="AC785" t="inlineStr">
        <is>
          <t>Egenkontrollprogram</t>
        </is>
      </c>
      <c r="AD785" t="inlineStr">
        <is>
          <t>Nej</t>
        </is>
      </c>
      <c r="AE785" t="inlineStr">
        <is>
          <t>Nej</t>
        </is>
      </c>
      <c r="AF785" t="inlineStr">
        <is>
          <t>Ej behandlad</t>
        </is>
      </c>
      <c r="AG785" t="inlineStr">
        <is>
          <t>AUTO_GENERERAD. Verifiera citat mot kallfil.</t>
        </is>
      </c>
      <c r="AH785" t="inlineStr">
        <is>
          <t>MEDIUM</t>
        </is>
      </c>
      <c r="AI785" t="inlineStr">
        <is>
          <t>AUTO</t>
        </is>
      </c>
      <c r="AJ785" t="inlineStr">
        <is>
          <t>Nej</t>
        </is>
      </c>
      <c r="AK785" t="inlineStr"/>
      <c r="AL785" t="inlineStr"/>
      <c r="AM785" t="inlineStr"/>
      <c r="AN785" t="inlineStr"/>
      <c r="AO785" t="inlineStr">
        <is>
          <t>cmm4yuqzn041zcuqwy7h3npzx</t>
        </is>
      </c>
      <c r="AP785" t="inlineStr">
        <is>
          <t>http://localhost:8787/api/admin/requirements/documents/cmm4yuqzn041zcuqwy7h3npzx/view</t>
        </is>
      </c>
      <c r="AQ785">
        <f>HYPERLÄNK("http://localhost:8787/api/admin/requirements/documents/cmm4yuqzn041zcuqwy7h3npzx/view";"Öppna PDF")</f>
        <v/>
      </c>
      <c r="AR785">
        <f>HYPERLINK("http://localhost:8787/api/admin/requirements/documents/cmm4yuqzn041zcuqwy7h3npzx/view","Open PDF")</f>
        <v/>
      </c>
      <c r="AS785" t="inlineStr">
        <is>
          <t>cmm55w57p0004cuisfrtpqly8</t>
        </is>
      </c>
      <c r="AT785" t="inlineStr">
        <is>
          <t>cmm4xvu980000cuh4vj0usz09</t>
        </is>
      </c>
      <c r="AU785" t="inlineStr"/>
      <c r="AV785" t="inlineStr">
        <is>
          <t>Kommun</t>
        </is>
      </c>
      <c r="AW785" t="inlineStr"/>
      <c r="AX785" t="inlineStr">
        <is>
          <t>2025-03</t>
        </is>
      </c>
      <c r="AY785" t="inlineStr">
        <is>
          <t>Anmalan</t>
        </is>
      </c>
      <c r="AZ785" t="inlineStr">
        <is>
          <t>2026-02-05</t>
        </is>
      </c>
      <c r="BA785" t="inlineStr">
        <is>
          <t>Ärendenr 2025-88. MaserFrakt AB. Anmälan och Beslut (2).pdf</t>
        </is>
      </c>
      <c r="BB785" t="inlineStr">
        <is>
          <t>SV: till registrator</t>
        </is>
      </c>
      <c r="BC785" t="inlineStr">
        <is>
          <t>AUTO</t>
        </is>
      </c>
      <c r="BD785" t="inlineStr"/>
      <c r="BE785" t="inlineStr"/>
      <c r="BF785" t="inlineStr">
        <is>
          <t>AUTO_GENERERAD. Bekrafta metadata mot kallfil.</t>
        </is>
      </c>
      <c r="BG785">
        <f>HYPERLINK("C:\Users\jimmy\Desktop\Examens arbete\Kod\Ny mapp\remix_-copy-of-miljöbeslut.se-portal\Ärendenr 2025-88. MaserFrakt AB. Anmälan och Beslut (2).pdf", "Öppna PDF")</f>
        <v/>
      </c>
    </row>
    <row r="786">
      <c r="A786" t="inlineStr">
        <is>
          <t>KRAV-AUTO-000785</t>
        </is>
      </c>
      <c r="B786" t="inlineStr">
        <is>
          <t>ADMIN-INDEX-2026-02-27-00000000125C043F57453246863FE664CAFE6A3F0700950291EA24F0614FB6ACEDB12BF0E31D00000000010C0000950291EA24F0614FB6ACEDB12BF0E31D00002087A5D00000</t>
        </is>
      </c>
      <c r="C786" t="inlineStr">
        <is>
          <t>cmm4yuqx7041hcuqwplkukuaz</t>
        </is>
      </c>
      <c r="D786" t="inlineStr">
        <is>
          <t>http://localhost:8787/api/admin/requirements/documents/cmm4yuqx7041hcuqwplkukuaz/view</t>
        </is>
      </c>
      <c r="E786">
        <f>HYPERLÄNK("http://localhost:8787/api/admin/requirements/documents/cmm4yuqx7041hcuqwplkukuaz/view";"Öppna PDF")</f>
        <v/>
      </c>
      <c r="F786">
        <f>HYPERLINK("http://localhost:8787/api/admin/requirements/documents/cmm4yuqx7041hcuqwplkukuaz/view","Open PDF")</f>
        <v/>
      </c>
      <c r="G786" t="inlineStr">
        <is>
          <t>cmm55w57p0004cuisfrtpqly8</t>
        </is>
      </c>
      <c r="H786" t="inlineStr">
        <is>
          <t>Informationskrav</t>
        </is>
      </c>
      <c r="I786" t="inlineStr">
        <is>
          <t>TransportLogistik</t>
        </is>
      </c>
      <c r="J786" t="inlineStr">
        <is>
          <t>Transportvagar</t>
        </is>
      </c>
      <c r="K786" t="inlineStr">
        <is>
          <t>sortera, lagra eller på annat sätt ta befattning med avfall innan det transporteras vidare till den plats där behandlingen ska påbörjas, om åtgärden inte utförs av avfallsproducenten på den plats där avfallet uppkom.</t>
        </is>
      </c>
      <c r="L786" t="inlineStr">
        <is>
          <t>sortera, lagra eller på annat sätt ta befattning med avfall innan det transporteras vidare till den plats där behandlingen ska påbörjas, om åtgärden inte utförs av avfallsproducenten på den plats där avfallet uppkom.</t>
        </is>
      </c>
      <c r="M786" t="inlineStr">
        <is>
          <t>SKA</t>
        </is>
      </c>
      <c r="N786" t="inlineStr"/>
      <c r="O786" t="inlineStr"/>
      <c r="P786" t="inlineStr"/>
      <c r="Q786" t="inlineStr"/>
      <c r="R786" t="inlineStr">
        <is>
          <t>Vid transporter</t>
        </is>
      </c>
      <c r="S786" t="inlineStr"/>
      <c r="T786" t="inlineStr">
        <is>
          <t>556481</t>
        </is>
      </c>
      <c r="U786" t="inlineStr"/>
      <c r="V786" t="inlineStr"/>
      <c r="W786" t="inlineStr">
        <is>
          <t>Nej</t>
        </is>
      </c>
      <c r="X786" t="inlineStr">
        <is>
          <t>Nej</t>
        </is>
      </c>
      <c r="Y786" t="inlineStr">
        <is>
          <t>Nej</t>
        </is>
      </c>
      <c r="Z786" t="inlineStr">
        <is>
          <t>Ja</t>
        </is>
      </c>
      <c r="AA786" t="n">
        <v>9</v>
      </c>
      <c r="AB786" t="inlineStr">
        <is>
          <t>Transporter och logistik</t>
        </is>
      </c>
      <c r="AC786" t="inlineStr">
        <is>
          <t>Trafikplan</t>
        </is>
      </c>
      <c r="AD786" t="inlineStr">
        <is>
          <t>Nej</t>
        </is>
      </c>
      <c r="AE786" t="inlineStr">
        <is>
          <t>Nej</t>
        </is>
      </c>
      <c r="AF786" t="inlineStr">
        <is>
          <t>Ej behandlad</t>
        </is>
      </c>
      <c r="AG786" t="inlineStr">
        <is>
          <t>AUTO_GENERERAD. Verifiera citat mot kallfil.</t>
        </is>
      </c>
      <c r="AH786" t="inlineStr">
        <is>
          <t>MEDIUM</t>
        </is>
      </c>
      <c r="AI786" t="inlineStr">
        <is>
          <t>AUTO</t>
        </is>
      </c>
      <c r="AJ786" t="inlineStr">
        <is>
          <t>Nej</t>
        </is>
      </c>
      <c r="AK786" t="inlineStr"/>
      <c r="AL786" t="inlineStr"/>
      <c r="AM786" t="inlineStr"/>
      <c r="AN786" t="inlineStr"/>
      <c r="AO786" t="inlineStr">
        <is>
          <t>cmm4yuqx2041bcuqw058z69j7</t>
        </is>
      </c>
      <c r="AP786" t="inlineStr">
        <is>
          <t>http://localhost:8787/api/admin/requirements/documents/cmm4yuqx2041bcuqw058z69j7/view</t>
        </is>
      </c>
      <c r="AQ786">
        <f>HYPERLÄNK("http://localhost:8787/api/admin/requirements/documents/cmm4yuqx2041bcuqw058z69j7/view";"Öppna PDF")</f>
        <v/>
      </c>
      <c r="AR786">
        <f>HYPERLINK("http://localhost:8787/api/admin/requirements/documents/cmm4yuqx2041bcuqw058z69j7/view","Open PDF")</f>
        <v/>
      </c>
      <c r="AS786" t="inlineStr">
        <is>
          <t>cmm55w57p0004cuisfrtpqly8</t>
        </is>
      </c>
      <c r="AT786" t="inlineStr">
        <is>
          <t>cmm4xvu980000cuh4vj0usz09</t>
        </is>
      </c>
      <c r="AU786" t="inlineStr"/>
      <c r="AV786" t="inlineStr">
        <is>
          <t>Kommun</t>
        </is>
      </c>
      <c r="AW786" t="inlineStr"/>
      <c r="AX786" t="inlineStr">
        <is>
          <t>2024-10</t>
        </is>
      </c>
      <c r="AY786" t="inlineStr">
        <is>
          <t>Anmalan</t>
        </is>
      </c>
      <c r="AZ786" t="inlineStr">
        <is>
          <t>2026-02-05</t>
        </is>
      </c>
      <c r="BA786" t="inlineStr">
        <is>
          <t>Ärendenr 2023-1413. Motor-Ola AB. Anmälan och Beslut (2).pdf</t>
        </is>
      </c>
      <c r="BB786" t="inlineStr">
        <is>
          <t>SV: till registrator</t>
        </is>
      </c>
      <c r="BC786" t="inlineStr">
        <is>
          <t>AUTO</t>
        </is>
      </c>
      <c r="BD786" t="inlineStr"/>
      <c r="BE786" t="inlineStr"/>
      <c r="BF786" t="inlineStr">
        <is>
          <t>AUTO_GENERERAD. Bekrafta metadata mot kallfil.</t>
        </is>
      </c>
      <c r="BG786">
        <f>HYPERLINK("C:\Users\jimmy\Desktop\Examens arbete\Kod\Ny mapp\remix_-copy-of-miljöbeslut.se-portal\Ärendenr 2023-1413. Motor-Ola AB. Anmälan och Beslut (2).pdf", "Öppna PDF")</f>
        <v/>
      </c>
    </row>
    <row r="787">
      <c r="A787" t="inlineStr">
        <is>
          <t>KRAV-AUTO-000786</t>
        </is>
      </c>
      <c r="B787" t="inlineStr">
        <is>
          <t>ADMIN-INDEX-2026-02-27-00000000125C043F57453246863FE664CAFE6A3F0700950291EA24F0614FB6ACEDB12BF0E31D00000000010C0000950291EA24F0614FB6ACEDB12BF0E31D00002087A5D00000</t>
        </is>
      </c>
      <c r="C787" t="inlineStr">
        <is>
          <t>cmm4yuqx7041hcuqwplkukuaz</t>
        </is>
      </c>
      <c r="D787" t="inlineStr">
        <is>
          <t>http://localhost:8787/api/admin/requirements/documents/cmm4yuqx7041hcuqwplkukuaz/view</t>
        </is>
      </c>
      <c r="E787">
        <f>HYPERLÄNK("http://localhost:8787/api/admin/requirements/documents/cmm4yuqx7041hcuqwplkukuaz/view";"Öppna PDF")</f>
        <v/>
      </c>
      <c r="F787">
        <f>HYPERLINK("http://localhost:8787/api/admin/requirements/documents/cmm4yuqx7041hcuqwplkukuaz/view","Open PDF")</f>
        <v/>
      </c>
      <c r="G787" t="inlineStr">
        <is>
          <t>cmm55w57p0004cuisfrtpqly8</t>
        </is>
      </c>
      <c r="H787" t="inlineStr">
        <is>
          <t>Informationskrav</t>
        </is>
      </c>
      <c r="I787" t="inlineStr">
        <is>
          <t>MiljopaverkanForsiktighet</t>
        </is>
      </c>
      <c r="J787" t="inlineStr">
        <is>
          <t>Skyddsatgarder</t>
        </is>
      </c>
      <c r="K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787" t="inlineStr">
        <is>
          <t>SKA</t>
        </is>
      </c>
      <c r="N787" t="inlineStr"/>
      <c r="O787" t="inlineStr"/>
      <c r="P787" t="inlineStr"/>
      <c r="Q787" t="inlineStr"/>
      <c r="R787" t="inlineStr">
        <is>
          <t>Alltid</t>
        </is>
      </c>
      <c r="S787" t="inlineStr"/>
      <c r="T787" t="inlineStr">
        <is>
          <t>556481</t>
        </is>
      </c>
      <c r="U787" t="inlineStr"/>
      <c r="V787" t="inlineStr"/>
      <c r="W787" t="inlineStr">
        <is>
          <t>Nej</t>
        </is>
      </c>
      <c r="X787" t="inlineStr">
        <is>
          <t>Nej</t>
        </is>
      </c>
      <c r="Y787" t="inlineStr">
        <is>
          <t>Nej</t>
        </is>
      </c>
      <c r="Z787" t="inlineStr">
        <is>
          <t>Nej</t>
        </is>
      </c>
      <c r="AA787" t="n">
        <v>10</v>
      </c>
      <c r="AB787" t="inlineStr">
        <is>
          <t>Miljopaverkan och forsiktighetsmatt</t>
        </is>
      </c>
      <c r="AC787" t="inlineStr">
        <is>
          <t>Miljo-PM</t>
        </is>
      </c>
      <c r="AD787" t="inlineStr">
        <is>
          <t>Nej</t>
        </is>
      </c>
      <c r="AE787" t="inlineStr">
        <is>
          <t>Nej</t>
        </is>
      </c>
      <c r="AF787" t="inlineStr">
        <is>
          <t>Ej behandlad</t>
        </is>
      </c>
      <c r="AG787" t="inlineStr">
        <is>
          <t>AUTO_GENERERAD. Verifiera citat mot kallfil.</t>
        </is>
      </c>
      <c r="AH787" t="inlineStr">
        <is>
          <t>MEDIUM</t>
        </is>
      </c>
      <c r="AI787" t="inlineStr">
        <is>
          <t>AUTO</t>
        </is>
      </c>
      <c r="AJ787" t="inlineStr">
        <is>
          <t>Nej</t>
        </is>
      </c>
      <c r="AK787" t="inlineStr"/>
      <c r="AL787" t="inlineStr"/>
      <c r="AM787" t="inlineStr"/>
      <c r="AN787" t="inlineStr"/>
      <c r="AO787" t="inlineStr">
        <is>
          <t>cmm4yuqx2041bcuqw058z69j7</t>
        </is>
      </c>
      <c r="AP787" t="inlineStr">
        <is>
          <t>http://localhost:8787/api/admin/requirements/documents/cmm4yuqx2041bcuqw058z69j7/view</t>
        </is>
      </c>
      <c r="AQ787">
        <f>HYPERLÄNK("http://localhost:8787/api/admin/requirements/documents/cmm4yuqx2041bcuqw058z69j7/view";"Öppna PDF")</f>
        <v/>
      </c>
      <c r="AR787">
        <f>HYPERLINK("http://localhost:8787/api/admin/requirements/documents/cmm4yuqx2041bcuqw058z69j7/view","Open PDF")</f>
        <v/>
      </c>
      <c r="AS787" t="inlineStr">
        <is>
          <t>cmm55w57p0004cuisfrtpqly8</t>
        </is>
      </c>
      <c r="AT787" t="inlineStr">
        <is>
          <t>cmm4xvu980000cuh4vj0usz09</t>
        </is>
      </c>
      <c r="AU787" t="inlineStr"/>
      <c r="AV787" t="inlineStr">
        <is>
          <t>Kommun</t>
        </is>
      </c>
      <c r="AW787" t="inlineStr"/>
      <c r="AX787" t="inlineStr">
        <is>
          <t>2024-10</t>
        </is>
      </c>
      <c r="AY787" t="inlineStr">
        <is>
          <t>Anmalan</t>
        </is>
      </c>
      <c r="AZ787" t="inlineStr">
        <is>
          <t>2026-02-05</t>
        </is>
      </c>
      <c r="BA787" t="inlineStr">
        <is>
          <t>Ärendenr 2023-1413. Motor-Ola AB. Anmälan och Beslut (2).pdf</t>
        </is>
      </c>
      <c r="BB787" t="inlineStr">
        <is>
          <t>SV: till registrator</t>
        </is>
      </c>
      <c r="BC787" t="inlineStr">
        <is>
          <t>AUTO</t>
        </is>
      </c>
      <c r="BD787" t="inlineStr"/>
      <c r="BE787" t="inlineStr"/>
      <c r="BF787" t="inlineStr">
        <is>
          <t>AUTO_GENERERAD. Bekrafta metadata mot kallfil.</t>
        </is>
      </c>
      <c r="BG787">
        <f>HYPERLINK("C:\Users\jimmy\Desktop\Examens arbete\Kod\Ny mapp\remix_-copy-of-miljöbeslut.se-portal\Ärendenr 2023-1413. Motor-Ola AB. Anmälan och Beslut (2).pdf", "Öppna PDF")</f>
        <v/>
      </c>
    </row>
    <row r="788">
      <c r="A788" t="inlineStr">
        <is>
          <t>KRAV-AUTO-000787</t>
        </is>
      </c>
      <c r="B788" t="inlineStr">
        <is>
          <t>ADMIN-INDEX-2026-02-27-00000000125C043F57453246863FE664CAFE6A3F0700950291EA24F0614FB6ACEDB12BF0E31D00000000010C0000950291EA24F0614FB6ACEDB12BF0E31D00002087A5D00000</t>
        </is>
      </c>
      <c r="C788" t="inlineStr">
        <is>
          <t>cmm4yuqx7041hcuqwplkukuaz</t>
        </is>
      </c>
      <c r="D788" t="inlineStr">
        <is>
          <t>http://localhost:8787/api/admin/requirements/documents/cmm4yuqx7041hcuqwplkukuaz/view</t>
        </is>
      </c>
      <c r="E788">
        <f>HYPERLÄNK("http://localhost:8787/api/admin/requirements/documents/cmm4yuqx7041hcuqwplkukuaz/view";"Öppna PDF")</f>
        <v/>
      </c>
      <c r="F788">
        <f>HYPERLINK("http://localhost:8787/api/admin/requirements/documents/cmm4yuqx7041hcuqwplkukuaz/view","Open PDF")</f>
        <v/>
      </c>
      <c r="G788" t="inlineStr">
        <is>
          <t>cmm55w57p0004cuisfrtpqly8</t>
        </is>
      </c>
      <c r="H788" t="inlineStr">
        <is>
          <t>Informationskrav</t>
        </is>
      </c>
      <c r="I788" t="inlineStr">
        <is>
          <t>Riskhantering</t>
        </is>
      </c>
      <c r="J788" t="inlineStr">
        <is>
          <t>Riskkontroll</t>
        </is>
      </c>
      <c r="K788" t="inlineStr">
        <is>
          <t>Lag (2016:782) 11 § Den som hanterar avfall ska se till att hanteringen inte skadar eller orsakar risk för skada på människors hälsa eller miljön.</t>
        </is>
      </c>
      <c r="L788" t="inlineStr">
        <is>
          <t>Lag (2016:782) 11 § Den som hanterar avfall ska se till att hanteringen inte skadar eller orsakar risk för skada på människors hälsa eller miljön.</t>
        </is>
      </c>
      <c r="M788" t="inlineStr">
        <is>
          <t>SKA</t>
        </is>
      </c>
      <c r="N788" t="inlineStr"/>
      <c r="O788" t="inlineStr"/>
      <c r="P788" t="inlineStr"/>
      <c r="Q788" t="inlineStr"/>
      <c r="R788" t="inlineStr">
        <is>
          <t>Vid risk for incident</t>
        </is>
      </c>
      <c r="S788" t="inlineStr"/>
      <c r="T788" t="inlineStr">
        <is>
          <t>556481</t>
        </is>
      </c>
      <c r="U788" t="inlineStr"/>
      <c r="V788" t="inlineStr"/>
      <c r="W788" t="inlineStr">
        <is>
          <t>Nej</t>
        </is>
      </c>
      <c r="X788" t="inlineStr">
        <is>
          <t>Nej</t>
        </is>
      </c>
      <c r="Y788" t="inlineStr">
        <is>
          <t>Ja</t>
        </is>
      </c>
      <c r="Z788" t="inlineStr">
        <is>
          <t>Ja</t>
        </is>
      </c>
      <c r="AA788" t="n">
        <v>8</v>
      </c>
      <c r="AB788" t="inlineStr">
        <is>
          <t>Riskhantering</t>
        </is>
      </c>
      <c r="AC788" t="inlineStr">
        <is>
          <t>Risk-PM</t>
        </is>
      </c>
      <c r="AD788" t="inlineStr">
        <is>
          <t>Nej</t>
        </is>
      </c>
      <c r="AE788" t="inlineStr">
        <is>
          <t>Nej</t>
        </is>
      </c>
      <c r="AF788" t="inlineStr">
        <is>
          <t>Ej behandlad</t>
        </is>
      </c>
      <c r="AG788" t="inlineStr">
        <is>
          <t>AUTO_GENERERAD. Verifiera citat mot kallfil.</t>
        </is>
      </c>
      <c r="AH788" t="inlineStr">
        <is>
          <t>MEDIUM</t>
        </is>
      </c>
      <c r="AI788" t="inlineStr">
        <is>
          <t>AUTO</t>
        </is>
      </c>
      <c r="AJ788" t="inlineStr">
        <is>
          <t>Nej</t>
        </is>
      </c>
      <c r="AK788" t="inlineStr"/>
      <c r="AL788" t="inlineStr"/>
      <c r="AM788" t="inlineStr"/>
      <c r="AN788" t="inlineStr"/>
      <c r="AO788" t="inlineStr">
        <is>
          <t>cmm4yuqx2041bcuqw058z69j7</t>
        </is>
      </c>
      <c r="AP788" t="inlineStr">
        <is>
          <t>http://localhost:8787/api/admin/requirements/documents/cmm4yuqx2041bcuqw058z69j7/view</t>
        </is>
      </c>
      <c r="AQ788">
        <f>HYPERLÄNK("http://localhost:8787/api/admin/requirements/documents/cmm4yuqx2041bcuqw058z69j7/view";"Öppna PDF")</f>
        <v/>
      </c>
      <c r="AR788">
        <f>HYPERLINK("http://localhost:8787/api/admin/requirements/documents/cmm4yuqx2041bcuqw058z69j7/view","Open PDF")</f>
        <v/>
      </c>
      <c r="AS788" t="inlineStr">
        <is>
          <t>cmm55w57p0004cuisfrtpqly8</t>
        </is>
      </c>
      <c r="AT788" t="inlineStr">
        <is>
          <t>cmm4xvu980000cuh4vj0usz09</t>
        </is>
      </c>
      <c r="AU788" t="inlineStr"/>
      <c r="AV788" t="inlineStr">
        <is>
          <t>Kommun</t>
        </is>
      </c>
      <c r="AW788" t="inlineStr"/>
      <c r="AX788" t="inlineStr">
        <is>
          <t>2024-10</t>
        </is>
      </c>
      <c r="AY788" t="inlineStr">
        <is>
          <t>Anmalan</t>
        </is>
      </c>
      <c r="AZ788" t="inlineStr">
        <is>
          <t>2026-02-05</t>
        </is>
      </c>
      <c r="BA788" t="inlineStr">
        <is>
          <t>Ärendenr 2023-1413. Motor-Ola AB. Anmälan och Beslut (2).pdf</t>
        </is>
      </c>
      <c r="BB788" t="inlineStr">
        <is>
          <t>SV: till registrator</t>
        </is>
      </c>
      <c r="BC788" t="inlineStr">
        <is>
          <t>AUTO</t>
        </is>
      </c>
      <c r="BD788" t="inlineStr"/>
      <c r="BE788" t="inlineStr"/>
      <c r="BF788" t="inlineStr">
        <is>
          <t>AUTO_GENERERAD. Bekrafta metadata mot kallfil.</t>
        </is>
      </c>
      <c r="BG788">
        <f>HYPERLINK("C:\Users\jimmy\Desktop\Examens arbete\Kod\Ny mapp\remix_-copy-of-miljöbeslut.se-portal\Ärendenr 2023-1413. Motor-Ola AB. Anmälan och Beslut (2).pdf", "Öppna PDF")</f>
        <v/>
      </c>
    </row>
    <row r="789">
      <c r="A789" t="inlineStr">
        <is>
          <t>KRAV-AUTO-000788</t>
        </is>
      </c>
      <c r="B789" t="inlineStr">
        <is>
          <t>ADMIN-INDEX-2026-02-27-00000000125C043F57453246863FE664CAFE6A3F0700950291EA24F0614FB6ACEDB12BF0E31D00000000010C0000950291EA24F0614FB6ACEDB12BF0E31D00002087AE390000</t>
        </is>
      </c>
      <c r="C789" t="inlineStr">
        <is>
          <t>cmm4yuq2s0372cuqwnzg9nx4r</t>
        </is>
      </c>
      <c r="D789" t="inlineStr">
        <is>
          <t>http://localhost:8787/api/admin/requirements/documents/cmm4yuq2s0372cuqwnzg9nx4r/view</t>
        </is>
      </c>
      <c r="E789">
        <f>HYPERLÄNK("http://localhost:8787/api/admin/requirements/documents/cmm4yuq2s0372cuqwnzg9nx4r/view";"Öppna PDF")</f>
        <v/>
      </c>
      <c r="F789">
        <f>HYPERLINK("http://localhost:8787/api/admin/requirements/documents/cmm4yuq2s0372cuqwnzg9nx4r/view","Open PDF")</f>
        <v/>
      </c>
      <c r="G789" t="inlineStr">
        <is>
          <t>cmm55w57p0004cuisfrtpqly8</t>
        </is>
      </c>
      <c r="H789" t="inlineStr">
        <is>
          <t>Beslutsvillkor</t>
        </is>
      </c>
      <c r="I789" t="inlineStr">
        <is>
          <t>DriftEgenkontroll</t>
        </is>
      </c>
      <c r="J789" t="inlineStr">
        <is>
          <t>Journalforing</t>
        </is>
      </c>
      <c r="K789" t="inlineStr">
        <is>
          <t>Proverna uttogs i provtagningskärl tillhandahållna av laboratoriet.</t>
        </is>
      </c>
      <c r="L789" t="inlineStr">
        <is>
          <t>Proverna uttogs i provtagningskärl tillhandahållna av laboratoriet.</t>
        </is>
      </c>
      <c r="M789" t="inlineStr">
        <is>
          <t>SKA</t>
        </is>
      </c>
      <c r="N789" t="inlineStr"/>
      <c r="O789" t="inlineStr"/>
      <c r="P789" t="inlineStr"/>
      <c r="Q789" t="inlineStr"/>
      <c r="R789" t="inlineStr">
        <is>
          <t>Lopande drift</t>
        </is>
      </c>
      <c r="S789" t="inlineStr"/>
      <c r="T789" t="inlineStr"/>
      <c r="U789" t="inlineStr"/>
      <c r="V789" t="inlineStr"/>
      <c r="W789" t="inlineStr">
        <is>
          <t>Nej</t>
        </is>
      </c>
      <c r="X789" t="inlineStr">
        <is>
          <t>Nej</t>
        </is>
      </c>
      <c r="Y789" t="inlineStr">
        <is>
          <t>Ja</t>
        </is>
      </c>
      <c r="Z789" t="inlineStr">
        <is>
          <t>Nej</t>
        </is>
      </c>
      <c r="AA789" t="n">
        <v>7</v>
      </c>
      <c r="AB789" t="inlineStr">
        <is>
          <t>Egenkontrollrutiner</t>
        </is>
      </c>
      <c r="AC789" t="inlineStr">
        <is>
          <t>Egenkontrollprogram</t>
        </is>
      </c>
      <c r="AD789" t="inlineStr">
        <is>
          <t>Nej</t>
        </is>
      </c>
      <c r="AE789" t="inlineStr">
        <is>
          <t>Nej</t>
        </is>
      </c>
      <c r="AF789" t="inlineStr">
        <is>
          <t>Ej behandlad</t>
        </is>
      </c>
      <c r="AG789" t="inlineStr">
        <is>
          <t>AUTO_GENERERAD. Verifiera citat mot kallfil.</t>
        </is>
      </c>
      <c r="AH789" t="inlineStr">
        <is>
          <t>MEDIUM</t>
        </is>
      </c>
      <c r="AI789" t="inlineStr">
        <is>
          <t>AUTO</t>
        </is>
      </c>
      <c r="AJ789" t="inlineStr">
        <is>
          <t>Nej</t>
        </is>
      </c>
      <c r="AK789" t="inlineStr"/>
      <c r="AL789" t="inlineStr"/>
      <c r="AM789" t="inlineStr"/>
      <c r="AN789" t="inlineStr"/>
      <c r="AO789" t="inlineStr">
        <is>
          <t>cmm4yuq2p036zcuqwaceu4qia</t>
        </is>
      </c>
      <c r="AP789" t="inlineStr">
        <is>
          <t>http://localhost:8787/api/admin/requirements/documents/cmm4yuq2p036zcuqwaceu4qia/view</t>
        </is>
      </c>
      <c r="AQ789">
        <f>HYPERLÄNK("http://localhost:8787/api/admin/requirements/documents/cmm4yuq2p036zcuqwaceu4qia/view";"Öppna PDF")</f>
        <v/>
      </c>
      <c r="AR789">
        <f>HYPERLINK("http://localhost:8787/api/admin/requirements/documents/cmm4yuq2p036zcuqwaceu4qia/view","Open PDF")</f>
        <v/>
      </c>
      <c r="AS789" t="inlineStr">
        <is>
          <t>cmm55w57p0004cuisfrtpqly8</t>
        </is>
      </c>
      <c r="AT789" t="inlineStr">
        <is>
          <t>cmm4xvu980000cuh4vj0usz09</t>
        </is>
      </c>
      <c r="AU789" t="inlineStr">
        <is>
          <t>Lilla Edets</t>
        </is>
      </c>
      <c r="AV789" t="inlineStr">
        <is>
          <t>Kommun</t>
        </is>
      </c>
      <c r="AW789" t="inlineStr">
        <is>
          <t>Lilla Edets kommun</t>
        </is>
      </c>
      <c r="AX789" t="inlineStr">
        <is>
          <t>2024-06</t>
        </is>
      </c>
      <c r="AY789" t="inlineStr">
        <is>
          <t>Beslut</t>
        </is>
      </c>
      <c r="AZ789" t="inlineStr">
        <is>
          <t>2026-02-04</t>
        </is>
      </c>
      <c r="BA789" t="inlineStr">
        <is>
          <t>MB-2024-625-1 13.3 Miljöteknisk markundersökning.pdf</t>
        </is>
      </c>
      <c r="BB789" t="inlineStr">
        <is>
          <t>VB: till registrator</t>
        </is>
      </c>
      <c r="BC789" t="inlineStr">
        <is>
          <t>AUTO</t>
        </is>
      </c>
      <c r="BD789" t="inlineStr"/>
      <c r="BE789" t="inlineStr"/>
      <c r="BF789" t="inlineStr">
        <is>
          <t>AUTO_GENERERAD. Bekrafta metadata mot kallfil.</t>
        </is>
      </c>
      <c r="BG789">
        <f>HYPERLINK("C:\Users\jimmy\Desktop\Examens arbete\Kod\Ny mapp\remix_-copy-of-miljöbeslut.se-portal\MB-2024-625-1 13.3 Miljöteknisk markundersökning.pdf", "Öppna PDF")</f>
        <v/>
      </c>
    </row>
    <row r="790">
      <c r="A790" t="inlineStr">
        <is>
          <t>KRAV-AUTO-000789</t>
        </is>
      </c>
      <c r="B790" t="inlineStr">
        <is>
          <t>ADMIN-INDEX-2026-02-27-00000000125C043F57453246863FE664CAFE6A3F0700950291EA24F0614FB6ACEDB12BF0E31D00000000010C0000950291EA24F0614FB6ACEDB12BF0E31D00002087AE390000</t>
        </is>
      </c>
      <c r="C790" t="inlineStr">
        <is>
          <t>cmm4yuq2s0372cuqwnzg9nx4r</t>
        </is>
      </c>
      <c r="D790" t="inlineStr">
        <is>
          <t>http://localhost:8787/api/admin/requirements/documents/cmm4yuq2s0372cuqwnzg9nx4r/view</t>
        </is>
      </c>
      <c r="E790">
        <f>HYPERLÄNK("http://localhost:8787/api/admin/requirements/documents/cmm4yuq2s0372cuqwnzg9nx4r/view";"Öppna PDF")</f>
        <v/>
      </c>
      <c r="F790">
        <f>HYPERLINK("http://localhost:8787/api/admin/requirements/documents/cmm4yuq2s0372cuqwnzg9nx4r/view","Open PDF")</f>
        <v/>
      </c>
      <c r="G790" t="inlineStr">
        <is>
          <t>cmm55w57p0004cuisfrtpqly8</t>
        </is>
      </c>
      <c r="H790" t="inlineStr">
        <is>
          <t>Beslutsvillkor</t>
        </is>
      </c>
      <c r="I790" t="inlineStr">
        <is>
          <t>Riskhantering</t>
        </is>
      </c>
      <c r="J790" t="inlineStr">
        <is>
          <t>Riskkontroll</t>
        </is>
      </c>
      <c r="K790" t="inlineStr">
        <is>
          <t>2.5 Historiska kartor Historisk markanvändning inom det aktuella området har undersökts genom att studera historiska flygfoton från Lantmäteriet1 (Lantmäteriet, 2024).</t>
        </is>
      </c>
      <c r="L790" t="inlineStr">
        <is>
          <t>2.5 Historiska kartor Historisk markanvändning inom det aktuella området har undersökts genom att studera historiska flygfoton från Lantmäteriet1 (Lantmäteriet, 2024).</t>
        </is>
      </c>
      <c r="M790" t="inlineStr">
        <is>
          <t>SKA</t>
        </is>
      </c>
      <c r="N790" t="inlineStr"/>
      <c r="O790" t="inlineStr"/>
      <c r="P790" t="inlineStr"/>
      <c r="Q790" t="inlineStr"/>
      <c r="R790" t="inlineStr">
        <is>
          <t>Vid risk for incident</t>
        </is>
      </c>
      <c r="S790" t="inlineStr"/>
      <c r="T790" t="inlineStr"/>
      <c r="U790" t="inlineStr"/>
      <c r="V790" t="inlineStr"/>
      <c r="W790" t="inlineStr">
        <is>
          <t>Nej</t>
        </is>
      </c>
      <c r="X790" t="inlineStr">
        <is>
          <t>Nej</t>
        </is>
      </c>
      <c r="Y790" t="inlineStr">
        <is>
          <t>Ja</t>
        </is>
      </c>
      <c r="Z790" t="inlineStr">
        <is>
          <t>Ja</t>
        </is>
      </c>
      <c r="AA790" t="n">
        <v>8</v>
      </c>
      <c r="AB790" t="inlineStr">
        <is>
          <t>Riskhantering</t>
        </is>
      </c>
      <c r="AC790" t="inlineStr">
        <is>
          <t>Risk-PM</t>
        </is>
      </c>
      <c r="AD790" t="inlineStr">
        <is>
          <t>Nej</t>
        </is>
      </c>
      <c r="AE790" t="inlineStr">
        <is>
          <t>Nej</t>
        </is>
      </c>
      <c r="AF790" t="inlineStr">
        <is>
          <t>Ej behandlad</t>
        </is>
      </c>
      <c r="AG790" t="inlineStr">
        <is>
          <t>AUTO_GENERERAD. Verifiera citat mot kallfil.</t>
        </is>
      </c>
      <c r="AH790" t="inlineStr">
        <is>
          <t>MEDIUM</t>
        </is>
      </c>
      <c r="AI790" t="inlineStr">
        <is>
          <t>AUTO</t>
        </is>
      </c>
      <c r="AJ790" t="inlineStr">
        <is>
          <t>Nej</t>
        </is>
      </c>
      <c r="AK790" t="inlineStr"/>
      <c r="AL790" t="inlineStr"/>
      <c r="AM790" t="inlineStr"/>
      <c r="AN790" t="inlineStr"/>
      <c r="AO790" t="inlineStr">
        <is>
          <t>cmm4yuq2p036zcuqwaceu4qia</t>
        </is>
      </c>
      <c r="AP790" t="inlineStr">
        <is>
          <t>http://localhost:8787/api/admin/requirements/documents/cmm4yuq2p036zcuqwaceu4qia/view</t>
        </is>
      </c>
      <c r="AQ790">
        <f>HYPERLÄNK("http://localhost:8787/api/admin/requirements/documents/cmm4yuq2p036zcuqwaceu4qia/view";"Öppna PDF")</f>
        <v/>
      </c>
      <c r="AR790">
        <f>HYPERLINK("http://localhost:8787/api/admin/requirements/documents/cmm4yuq2p036zcuqwaceu4qia/view","Open PDF")</f>
        <v/>
      </c>
      <c r="AS790" t="inlineStr">
        <is>
          <t>cmm55w57p0004cuisfrtpqly8</t>
        </is>
      </c>
      <c r="AT790" t="inlineStr">
        <is>
          <t>cmm4xvu980000cuh4vj0usz09</t>
        </is>
      </c>
      <c r="AU790" t="inlineStr">
        <is>
          <t>Lilla Edets</t>
        </is>
      </c>
      <c r="AV790" t="inlineStr">
        <is>
          <t>Kommun</t>
        </is>
      </c>
      <c r="AW790" t="inlineStr">
        <is>
          <t>Lilla Edets kommun</t>
        </is>
      </c>
      <c r="AX790" t="inlineStr">
        <is>
          <t>2024-06</t>
        </is>
      </c>
      <c r="AY790" t="inlineStr">
        <is>
          <t>Beslut</t>
        </is>
      </c>
      <c r="AZ790" t="inlineStr">
        <is>
          <t>2026-02-04</t>
        </is>
      </c>
      <c r="BA790" t="inlineStr">
        <is>
          <t>MB-2024-625-1 13.3 Miljöteknisk markundersökning.pdf</t>
        </is>
      </c>
      <c r="BB790" t="inlineStr">
        <is>
          <t>VB: till registrator</t>
        </is>
      </c>
      <c r="BC790" t="inlineStr">
        <is>
          <t>AUTO</t>
        </is>
      </c>
      <c r="BD790" t="inlineStr"/>
      <c r="BE790" t="inlineStr"/>
      <c r="BF790" t="inlineStr">
        <is>
          <t>AUTO_GENERERAD. Bekrafta metadata mot kallfil.</t>
        </is>
      </c>
      <c r="BG790">
        <f>HYPERLINK("C:\Users\jimmy\Desktop\Examens arbete\Kod\Ny mapp\remix_-copy-of-miljöbeslut.se-portal\MB-2024-625-1 13.3 Miljöteknisk markundersökning.pdf", "Öppna PDF")</f>
        <v/>
      </c>
    </row>
    <row r="791">
      <c r="A791" t="inlineStr">
        <is>
          <t>KRAV-AUTO-000790</t>
        </is>
      </c>
      <c r="B791" t="inlineStr">
        <is>
          <t>ADMIN-INDEX-2026-02-27-00000000125C043F57453246863FE664CAFE6A3F0700950291EA24F0614FB6ACEDB12BF0E31D00000000010C0000950291EA24F0614FB6ACEDB12BF0E31D00002087AE390000</t>
        </is>
      </c>
      <c r="C791" t="inlineStr">
        <is>
          <t>cmm4yuq2s0372cuqwnzg9nx4r</t>
        </is>
      </c>
      <c r="D791" t="inlineStr">
        <is>
          <t>http://localhost:8787/api/admin/requirements/documents/cmm4yuq2s0372cuqwnzg9nx4r/view</t>
        </is>
      </c>
      <c r="E791">
        <f>HYPERLÄNK("http://localhost:8787/api/admin/requirements/documents/cmm4yuq2s0372cuqwnzg9nx4r/view";"Öppna PDF")</f>
        <v/>
      </c>
      <c r="F791">
        <f>HYPERLINK("http://localhost:8787/api/admin/requirements/documents/cmm4yuq2s0372cuqwnzg9nx4r/view","Open PDF")</f>
        <v/>
      </c>
      <c r="G791" t="inlineStr">
        <is>
          <t>cmm55w57p0004cuisfrtpqly8</t>
        </is>
      </c>
      <c r="H791" t="inlineStr">
        <is>
          <t>Beslutsvillkor</t>
        </is>
      </c>
      <c r="I791" t="inlineStr">
        <is>
          <t>Riskhantering</t>
        </is>
      </c>
      <c r="J791" t="inlineStr">
        <is>
          <t>Riskkontroll</t>
        </is>
      </c>
      <c r="K791" t="inlineStr">
        <is>
          <t>8 2.5 Historiska kartor ..................................................................................................................</t>
        </is>
      </c>
      <c r="L791" t="inlineStr">
        <is>
          <t>8 2.5 Historiska kartor ..................................................................................................................</t>
        </is>
      </c>
      <c r="M791" t="inlineStr">
        <is>
          <t>SKA</t>
        </is>
      </c>
      <c r="N791" t="inlineStr"/>
      <c r="O791" t="inlineStr"/>
      <c r="P791" t="inlineStr"/>
      <c r="Q791" t="inlineStr"/>
      <c r="R791" t="inlineStr">
        <is>
          <t>Vid risk for incident</t>
        </is>
      </c>
      <c r="S791" t="inlineStr"/>
      <c r="T791" t="inlineStr"/>
      <c r="U791" t="inlineStr"/>
      <c r="V791" t="inlineStr"/>
      <c r="W791" t="inlineStr">
        <is>
          <t>Nej</t>
        </is>
      </c>
      <c r="X791" t="inlineStr">
        <is>
          <t>Nej</t>
        </is>
      </c>
      <c r="Y791" t="inlineStr">
        <is>
          <t>Ja</t>
        </is>
      </c>
      <c r="Z791" t="inlineStr">
        <is>
          <t>Ja</t>
        </is>
      </c>
      <c r="AA791" t="n">
        <v>8</v>
      </c>
      <c r="AB791" t="inlineStr">
        <is>
          <t>Riskhantering</t>
        </is>
      </c>
      <c r="AC791" t="inlineStr">
        <is>
          <t>Risk-PM</t>
        </is>
      </c>
      <c r="AD791" t="inlineStr">
        <is>
          <t>Nej</t>
        </is>
      </c>
      <c r="AE791" t="inlineStr">
        <is>
          <t>Nej</t>
        </is>
      </c>
      <c r="AF791" t="inlineStr">
        <is>
          <t>Ej behandlad</t>
        </is>
      </c>
      <c r="AG791" t="inlineStr">
        <is>
          <t>AUTO_GENERERAD. Verifiera citat mot kallfil.</t>
        </is>
      </c>
      <c r="AH791" t="inlineStr">
        <is>
          <t>MEDIUM</t>
        </is>
      </c>
      <c r="AI791" t="inlineStr">
        <is>
          <t>AUTO</t>
        </is>
      </c>
      <c r="AJ791" t="inlineStr">
        <is>
          <t>Nej</t>
        </is>
      </c>
      <c r="AK791" t="inlineStr"/>
      <c r="AL791" t="inlineStr"/>
      <c r="AM791" t="inlineStr"/>
      <c r="AN791" t="inlineStr"/>
      <c r="AO791" t="inlineStr">
        <is>
          <t>cmm4yuq2p036zcuqwaceu4qia</t>
        </is>
      </c>
      <c r="AP791" t="inlineStr">
        <is>
          <t>http://localhost:8787/api/admin/requirements/documents/cmm4yuq2p036zcuqwaceu4qia/view</t>
        </is>
      </c>
      <c r="AQ791">
        <f>HYPERLÄNK("http://localhost:8787/api/admin/requirements/documents/cmm4yuq2p036zcuqwaceu4qia/view";"Öppna PDF")</f>
        <v/>
      </c>
      <c r="AR791">
        <f>HYPERLINK("http://localhost:8787/api/admin/requirements/documents/cmm4yuq2p036zcuqwaceu4qia/view","Open PDF")</f>
        <v/>
      </c>
      <c r="AS791" t="inlineStr">
        <is>
          <t>cmm55w57p0004cuisfrtpqly8</t>
        </is>
      </c>
      <c r="AT791" t="inlineStr">
        <is>
          <t>cmm4xvu980000cuh4vj0usz09</t>
        </is>
      </c>
      <c r="AU791" t="inlineStr">
        <is>
          <t>Lilla Edets</t>
        </is>
      </c>
      <c r="AV791" t="inlineStr">
        <is>
          <t>Kommun</t>
        </is>
      </c>
      <c r="AW791" t="inlineStr">
        <is>
          <t>Lilla Edets kommun</t>
        </is>
      </c>
      <c r="AX791" t="inlineStr">
        <is>
          <t>2024-06</t>
        </is>
      </c>
      <c r="AY791" t="inlineStr">
        <is>
          <t>Beslut</t>
        </is>
      </c>
      <c r="AZ791" t="inlineStr">
        <is>
          <t>2026-02-04</t>
        </is>
      </c>
      <c r="BA791" t="inlineStr">
        <is>
          <t>MB-2024-625-1 13.3 Miljöteknisk markundersökning.pdf</t>
        </is>
      </c>
      <c r="BB791" t="inlineStr">
        <is>
          <t>VB: till registrator</t>
        </is>
      </c>
      <c r="BC791" t="inlineStr">
        <is>
          <t>AUTO</t>
        </is>
      </c>
      <c r="BD791" t="inlineStr"/>
      <c r="BE791" t="inlineStr"/>
      <c r="BF791" t="inlineStr">
        <is>
          <t>AUTO_GENERERAD. Bekrafta metadata mot kallfil.</t>
        </is>
      </c>
      <c r="BG791">
        <f>HYPERLINK("C:\Users\jimmy\Desktop\Examens arbete\Kod\Ny mapp\remix_-copy-of-miljöbeslut.se-portal\MB-2024-625-1 13.3 Miljöteknisk markundersökning.pdf", "Öppna PDF")</f>
        <v/>
      </c>
    </row>
    <row r="792">
      <c r="A792" t="inlineStr">
        <is>
          <t>KRAV-AUTO-000791</t>
        </is>
      </c>
      <c r="B792" t="inlineStr">
        <is>
          <t>ADMIN-INDEX-2026-02-27-00000000125C043F57453246863FE664CAFE6A3F0700950291EA24F0614FB6ACEDB12BF0E31D00000000010C0000950291EA24F0614FB6ACEDB12BF0E31D00002087A5D20000</t>
        </is>
      </c>
      <c r="C792" t="inlineStr">
        <is>
          <t>cmm4yuqws0412cuqw9oh6824u</t>
        </is>
      </c>
      <c r="D792" t="inlineStr">
        <is>
          <t>http://localhost:8787/api/admin/requirements/documents/cmm4yuqws0412cuqw9oh6824u/view</t>
        </is>
      </c>
      <c r="E792">
        <f>HYPERLÄNK("http://localhost:8787/api/admin/requirements/documents/cmm4yuqws0412cuqw9oh6824u/view";"Öppna PDF")</f>
        <v/>
      </c>
      <c r="F792">
        <f>HYPERLINK("http://localhost:8787/api/admin/requirements/documents/cmm4yuqws0412cuqw9oh6824u/view","Open PDF")</f>
        <v/>
      </c>
      <c r="G792" t="inlineStr">
        <is>
          <t>cmm55w57p0004cuisfrtpqly8</t>
        </is>
      </c>
      <c r="H792" t="inlineStr">
        <is>
          <t>Beslutsvillkor</t>
        </is>
      </c>
      <c r="I792" t="inlineStr">
        <is>
          <t>Riskhantering</t>
        </is>
      </c>
      <c r="J792" t="inlineStr">
        <is>
          <t>Riskkontroll</t>
        </is>
      </c>
      <c r="K792" t="inlineStr">
        <is>
          <t>Den totala mängden farligt avfall som lagras på fastigheten får inte vid något tillfälle överstiga: 30 ton blybatterier, 50 ton elektriska eller elektroniska produkter, eller 1 ton avfall i andra fall, enligt 29 Kap.</t>
        </is>
      </c>
      <c r="L792" t="inlineStr">
        <is>
          <t>Den totala mängden farligt avfall som lagras på fastigheten får inte vid något tillfälle överstiga: 30 ton blybatterier, 50 ton elektriska eller elektroniska produkter, eller 1 ton avfall i andra fall, enligt 29 Kap.</t>
        </is>
      </c>
      <c r="M792" t="inlineStr">
        <is>
          <t>SKA</t>
        </is>
      </c>
      <c r="N792" t="inlineStr"/>
      <c r="O792" t="inlineStr"/>
      <c r="P792" t="inlineStr">
        <is>
          <t>Arlig</t>
        </is>
      </c>
      <c r="Q792" t="inlineStr">
        <is>
          <t>Driftbegransning vid avvikelse</t>
        </is>
      </c>
      <c r="R792" t="inlineStr">
        <is>
          <t>Vid risk for incident</t>
        </is>
      </c>
      <c r="S792" t="inlineStr"/>
      <c r="T792" t="inlineStr">
        <is>
          <t>66 12 92</t>
        </is>
      </c>
      <c r="U792" t="n">
        <v>30</v>
      </c>
      <c r="V792" t="inlineStr"/>
      <c r="W792" t="inlineStr">
        <is>
          <t>Nej</t>
        </is>
      </c>
      <c r="X792" t="inlineStr">
        <is>
          <t>Nej</t>
        </is>
      </c>
      <c r="Y792" t="inlineStr">
        <is>
          <t>Ja</t>
        </is>
      </c>
      <c r="Z792" t="inlineStr">
        <is>
          <t>Ja</t>
        </is>
      </c>
      <c r="AA792" t="n">
        <v>8</v>
      </c>
      <c r="AB792" t="inlineStr">
        <is>
          <t>Riskhantering</t>
        </is>
      </c>
      <c r="AC792" t="inlineStr">
        <is>
          <t>Risk-PM</t>
        </is>
      </c>
      <c r="AD792" t="inlineStr">
        <is>
          <t>Nej</t>
        </is>
      </c>
      <c r="AE792" t="inlineStr">
        <is>
          <t>Nej</t>
        </is>
      </c>
      <c r="AF792" t="inlineStr">
        <is>
          <t>Ej behandlad</t>
        </is>
      </c>
      <c r="AG792" t="inlineStr">
        <is>
          <t>AUTO_GENERERAD. Verifiera citat mot kallfil.</t>
        </is>
      </c>
      <c r="AH792" t="inlineStr">
        <is>
          <t>MEDIUM</t>
        </is>
      </c>
      <c r="AI792" t="inlineStr">
        <is>
          <t>AUTO</t>
        </is>
      </c>
      <c r="AJ792" t="inlineStr">
        <is>
          <t>Nej</t>
        </is>
      </c>
      <c r="AK792" t="inlineStr"/>
      <c r="AL792" t="inlineStr"/>
      <c r="AM792" t="inlineStr"/>
      <c r="AN792" t="inlineStr"/>
      <c r="AO792" t="inlineStr">
        <is>
          <t>cmm4yuqws0412cuqw9oh6824u</t>
        </is>
      </c>
      <c r="AP792" t="inlineStr">
        <is>
          <t>http://localhost:8787/api/admin/requirements/documents/cmm4yuqws0412cuqw9oh6824u/view</t>
        </is>
      </c>
      <c r="AQ792">
        <f>HYPERLÄNK("http://localhost:8787/api/admin/requirements/documents/cmm4yuqws0412cuqw9oh6824u/view";"Öppna PDF")</f>
        <v/>
      </c>
      <c r="AR792">
        <f>HYPERLINK("http://localhost:8787/api/admin/requirements/documents/cmm4yuqws0412cuqw9oh6824u/view","Open PDF")</f>
        <v/>
      </c>
      <c r="AS792" t="inlineStr">
        <is>
          <t>cmm55w57p0004cuisfrtpqly8</t>
        </is>
      </c>
      <c r="AT792" t="inlineStr">
        <is>
          <t>cmm4xvu980000cuh4vj0usz09</t>
        </is>
      </c>
      <c r="AU792" t="inlineStr"/>
      <c r="AV792" t="inlineStr">
        <is>
          <t>Kommun</t>
        </is>
      </c>
      <c r="AW792" t="inlineStr"/>
      <c r="AX792" t="inlineStr">
        <is>
          <t>0381-66</t>
        </is>
      </c>
      <c r="AY792" t="inlineStr">
        <is>
          <t>Beslut</t>
        </is>
      </c>
      <c r="AZ792" t="inlineStr">
        <is>
          <t>2026-02-05</t>
        </is>
      </c>
      <c r="BA792" t="inlineStr">
        <is>
          <t>YDR Miljö Registrering C-anläggning YDM 2025 131.pdf</t>
        </is>
      </c>
      <c r="BB792" t="inlineStr">
        <is>
          <t>Re: till registrator</t>
        </is>
      </c>
      <c r="BC792" t="inlineStr">
        <is>
          <t>AUTO</t>
        </is>
      </c>
      <c r="BD792" t="inlineStr"/>
      <c r="BE792" t="inlineStr"/>
      <c r="BF792" t="inlineStr">
        <is>
          <t>AUTO_GENERERAD. Bekrafta metadata mot kallfil.</t>
        </is>
      </c>
      <c r="BG792">
        <f>HYPERLINK("C:\Users\jimmy\Desktop\Examens arbete\Kod\Ny mapp\remix_-copy-of-miljöbeslut.se-portal\YDR Miljö Registrering C-anläggning YDM 2025 131.pdf", "Öppna PDF")</f>
        <v/>
      </c>
    </row>
    <row r="793">
      <c r="A793" t="inlineStr">
        <is>
          <t>KRAV-AUTO-000792</t>
        </is>
      </c>
      <c r="B793" t="inlineStr">
        <is>
          <t>ADMIN-INDEX-2026-02-27-00000000125C043F57453246863FE664CAFE6A3F0700950291EA24F0614FB6ACEDB12BF0E31D00000000010C0000950291EA24F0614FB6ACEDB12BF0E31D00002087A5D20000</t>
        </is>
      </c>
      <c r="C793" t="inlineStr">
        <is>
          <t>cmm4yuqws0412cuqw9oh6824u</t>
        </is>
      </c>
      <c r="D793" t="inlineStr">
        <is>
          <t>http://localhost:8787/api/admin/requirements/documents/cmm4yuqws0412cuqw9oh6824u/view</t>
        </is>
      </c>
      <c r="E793">
        <f>HYPERLÄNK("http://localhost:8787/api/admin/requirements/documents/cmm4yuqws0412cuqw9oh6824u/view";"Öppna PDF")</f>
        <v/>
      </c>
      <c r="F793">
        <f>HYPERLINK("http://localhost:8787/api/admin/requirements/documents/cmm4yuqws0412cuqw9oh6824u/view","Open PDF")</f>
        <v/>
      </c>
      <c r="G793" t="inlineStr">
        <is>
          <t>cmm55w57p0004cuisfrtpqly8</t>
        </is>
      </c>
      <c r="H793" t="inlineStr">
        <is>
          <t>Beslutsvillkor</t>
        </is>
      </c>
      <c r="I793" t="inlineStr">
        <is>
          <t>DagvattenLakvatten</t>
        </is>
      </c>
      <c r="J793" t="inlineStr">
        <is>
          <t>Uppsamling</t>
        </is>
      </c>
      <c r="K793" t="inlineStr">
        <is>
          <t>Uppsamlingskärl och invallningar ska rymma total mängd vätska som kan läcka ut från respektive kärl.</t>
        </is>
      </c>
      <c r="L793" t="inlineStr">
        <is>
          <t>Uppsamlingskärl och invallningar ska rymma total mängd vätska som kan läcka ut från respektive kärl.</t>
        </is>
      </c>
      <c r="M793" t="inlineStr">
        <is>
          <t>SKA</t>
        </is>
      </c>
      <c r="N793" t="inlineStr"/>
      <c r="O793" t="inlineStr"/>
      <c r="P793" t="inlineStr"/>
      <c r="Q793" t="inlineStr"/>
      <c r="R793" t="inlineStr">
        <is>
          <t>Vid nederbord och avrinning</t>
        </is>
      </c>
      <c r="S793" t="inlineStr"/>
      <c r="T793" t="inlineStr">
        <is>
          <t>66 12 92</t>
        </is>
      </c>
      <c r="U793" t="inlineStr"/>
      <c r="V793" t="inlineStr"/>
      <c r="W793" t="inlineStr">
        <is>
          <t>Nej</t>
        </is>
      </c>
      <c r="X793" t="inlineStr">
        <is>
          <t>Ja</t>
        </is>
      </c>
      <c r="Y793" t="inlineStr">
        <is>
          <t>Ja</t>
        </is>
      </c>
      <c r="Z793" t="inlineStr">
        <is>
          <t>Nej</t>
        </is>
      </c>
      <c r="AA793" t="n">
        <v>6</v>
      </c>
      <c r="AB793" t="inlineStr">
        <is>
          <t>Lakvattenhantering</t>
        </is>
      </c>
      <c r="AC793" t="inlineStr">
        <is>
          <t>Flodesschema dagvatten-lakvatten</t>
        </is>
      </c>
      <c r="AD793" t="inlineStr">
        <is>
          <t>Nej</t>
        </is>
      </c>
      <c r="AE793" t="inlineStr">
        <is>
          <t>Nej</t>
        </is>
      </c>
      <c r="AF793" t="inlineStr">
        <is>
          <t>Ej behandlad</t>
        </is>
      </c>
      <c r="AG793" t="inlineStr">
        <is>
          <t>AUTO_GENERERAD. Verifiera citat mot kallfil.</t>
        </is>
      </c>
      <c r="AH793" t="inlineStr">
        <is>
          <t>MEDIUM</t>
        </is>
      </c>
      <c r="AI793" t="inlineStr">
        <is>
          <t>AUTO</t>
        </is>
      </c>
      <c r="AJ793" t="inlineStr">
        <is>
          <t>Nej</t>
        </is>
      </c>
      <c r="AK793" t="inlineStr"/>
      <c r="AL793" t="inlineStr"/>
      <c r="AM793" t="inlineStr"/>
      <c r="AN793" t="inlineStr"/>
      <c r="AO793" t="inlineStr">
        <is>
          <t>cmm4yuqws0412cuqw9oh6824u</t>
        </is>
      </c>
      <c r="AP793" t="inlineStr">
        <is>
          <t>http://localhost:8787/api/admin/requirements/documents/cmm4yuqws0412cuqw9oh6824u/view</t>
        </is>
      </c>
      <c r="AQ793">
        <f>HYPERLÄNK("http://localhost:8787/api/admin/requirements/documents/cmm4yuqws0412cuqw9oh6824u/view";"Öppna PDF")</f>
        <v/>
      </c>
      <c r="AR793">
        <f>HYPERLINK("http://localhost:8787/api/admin/requirements/documents/cmm4yuqws0412cuqw9oh6824u/view","Open PDF")</f>
        <v/>
      </c>
      <c r="AS793" t="inlineStr">
        <is>
          <t>cmm55w57p0004cuisfrtpqly8</t>
        </is>
      </c>
      <c r="AT793" t="inlineStr">
        <is>
          <t>cmm4xvu980000cuh4vj0usz09</t>
        </is>
      </c>
      <c r="AU793" t="inlineStr"/>
      <c r="AV793" t="inlineStr">
        <is>
          <t>Kommun</t>
        </is>
      </c>
      <c r="AW793" t="inlineStr"/>
      <c r="AX793" t="inlineStr">
        <is>
          <t>0381-66</t>
        </is>
      </c>
      <c r="AY793" t="inlineStr">
        <is>
          <t>Beslut</t>
        </is>
      </c>
      <c r="AZ793" t="inlineStr">
        <is>
          <t>2026-02-05</t>
        </is>
      </c>
      <c r="BA793" t="inlineStr">
        <is>
          <t>YDR Miljö Registrering C-anläggning YDM 2025 131.pdf</t>
        </is>
      </c>
      <c r="BB793" t="inlineStr">
        <is>
          <t>Re: till registrator</t>
        </is>
      </c>
      <c r="BC793" t="inlineStr">
        <is>
          <t>AUTO</t>
        </is>
      </c>
      <c r="BD793" t="inlineStr"/>
      <c r="BE793" t="inlineStr"/>
      <c r="BF793" t="inlineStr">
        <is>
          <t>AUTO_GENERERAD. Bekrafta metadata mot kallfil.</t>
        </is>
      </c>
      <c r="BG793">
        <f>HYPERLINK("C:\Users\jimmy\Desktop\Examens arbete\Kod\Ny mapp\remix_-copy-of-miljöbeslut.se-portal\YDR Miljö Registrering C-anläggning YDM 2025 131.pdf", "Öppna PDF")</f>
        <v/>
      </c>
    </row>
    <row r="794">
      <c r="A794" t="inlineStr">
        <is>
          <t>KRAV-AUTO-000793</t>
        </is>
      </c>
      <c r="B794" t="inlineStr">
        <is>
          <t>ADMIN-INDEX-2026-02-27-00000000125C043F57453246863FE664CAFE6A3F0700950291EA24F0614FB6ACEDB12BF0E31D00000000010C0000950291EA24F0614FB6ACEDB12BF0E31D00002087A5D20000</t>
        </is>
      </c>
      <c r="C794" t="inlineStr">
        <is>
          <t>cmm4yuqws0412cuqw9oh6824u</t>
        </is>
      </c>
      <c r="D794" t="inlineStr">
        <is>
          <t>http://localhost:8787/api/admin/requirements/documents/cmm4yuqws0412cuqw9oh6824u/view</t>
        </is>
      </c>
      <c r="E794">
        <f>HYPERLÄNK("http://localhost:8787/api/admin/requirements/documents/cmm4yuqws0412cuqw9oh6824u/view";"Öppna PDF")</f>
        <v/>
      </c>
      <c r="F794">
        <f>HYPERLINK("http://localhost:8787/api/admin/requirements/documents/cmm4yuqws0412cuqw9oh6824u/view","Open PDF")</f>
        <v/>
      </c>
      <c r="G794" t="inlineStr">
        <is>
          <t>cmm55w57p0004cuisfrtpqly8</t>
        </is>
      </c>
      <c r="H794" t="inlineStr">
        <is>
          <t>Beslutsvillkor</t>
        </is>
      </c>
      <c r="I794" t="inlineStr">
        <is>
          <t>Ytkonstruktion</t>
        </is>
      </c>
      <c r="J794" t="inlineStr">
        <is>
          <t>Tat yta</t>
        </is>
      </c>
      <c r="K794" t="inlineStr">
        <is>
          <t>Behandling av farligt avfall ska ske inomhus eller invallat och väderskyddat 5.</t>
        </is>
      </c>
      <c r="L794" t="inlineStr">
        <is>
          <t>Behandling av farligt avfall ska ske inomhus eller invallat och väderskyddat 5.</t>
        </is>
      </c>
      <c r="M794" t="inlineStr">
        <is>
          <t>SKA</t>
        </is>
      </c>
      <c r="N794" t="inlineStr"/>
      <c r="O794" t="inlineStr"/>
      <c r="P794" t="inlineStr">
        <is>
          <t>Arlig</t>
        </is>
      </c>
      <c r="Q794" t="inlineStr"/>
      <c r="R794" t="inlineStr">
        <is>
          <t>Vid mellanlagring av avfall</t>
        </is>
      </c>
      <c r="S794" t="inlineStr"/>
      <c r="T794" t="inlineStr">
        <is>
          <t>66 12 92</t>
        </is>
      </c>
      <c r="U794" t="inlineStr"/>
      <c r="V794" t="inlineStr"/>
      <c r="W794" t="inlineStr">
        <is>
          <t>Ja</t>
        </is>
      </c>
      <c r="X794" t="inlineStr">
        <is>
          <t>Nej</t>
        </is>
      </c>
      <c r="Y794" t="inlineStr">
        <is>
          <t>Nej</t>
        </is>
      </c>
      <c r="Z794" t="inlineStr">
        <is>
          <t>Nej</t>
        </is>
      </c>
      <c r="AA794" t="n">
        <v>5</v>
      </c>
      <c r="AB794" t="inlineStr">
        <is>
          <t>Teknisk beskrivning av platta</t>
        </is>
      </c>
      <c r="AC794" t="inlineStr">
        <is>
          <t>Teknisk ritning platta</t>
        </is>
      </c>
      <c r="AD794" t="inlineStr">
        <is>
          <t>Nej</t>
        </is>
      </c>
      <c r="AE794" t="inlineStr">
        <is>
          <t>Nej</t>
        </is>
      </c>
      <c r="AF794" t="inlineStr">
        <is>
          <t>Ej behandlad</t>
        </is>
      </c>
      <c r="AG794" t="inlineStr">
        <is>
          <t>AUTO_GENERERAD. Verifiera citat mot kallfil.</t>
        </is>
      </c>
      <c r="AH794" t="inlineStr">
        <is>
          <t>MEDIUM</t>
        </is>
      </c>
      <c r="AI794" t="inlineStr">
        <is>
          <t>AUTO</t>
        </is>
      </c>
      <c r="AJ794" t="inlineStr">
        <is>
          <t>Nej</t>
        </is>
      </c>
      <c r="AK794" t="inlineStr"/>
      <c r="AL794" t="inlineStr"/>
      <c r="AM794" t="inlineStr"/>
      <c r="AN794" t="inlineStr"/>
      <c r="AO794" t="inlineStr">
        <is>
          <t>cmm4yuqws0412cuqw9oh6824u</t>
        </is>
      </c>
      <c r="AP794" t="inlineStr">
        <is>
          <t>http://localhost:8787/api/admin/requirements/documents/cmm4yuqws0412cuqw9oh6824u/view</t>
        </is>
      </c>
      <c r="AQ794">
        <f>HYPERLÄNK("http://localhost:8787/api/admin/requirements/documents/cmm4yuqws0412cuqw9oh6824u/view";"Öppna PDF")</f>
        <v/>
      </c>
      <c r="AR794">
        <f>HYPERLINK("http://localhost:8787/api/admin/requirements/documents/cmm4yuqws0412cuqw9oh6824u/view","Open PDF")</f>
        <v/>
      </c>
      <c r="AS794" t="inlineStr">
        <is>
          <t>cmm55w57p0004cuisfrtpqly8</t>
        </is>
      </c>
      <c r="AT794" t="inlineStr">
        <is>
          <t>cmm4xvu980000cuh4vj0usz09</t>
        </is>
      </c>
      <c r="AU794" t="inlineStr"/>
      <c r="AV794" t="inlineStr">
        <is>
          <t>Kommun</t>
        </is>
      </c>
      <c r="AW794" t="inlineStr"/>
      <c r="AX794" t="inlineStr">
        <is>
          <t>0381-66</t>
        </is>
      </c>
      <c r="AY794" t="inlineStr">
        <is>
          <t>Beslut</t>
        </is>
      </c>
      <c r="AZ794" t="inlineStr">
        <is>
          <t>2026-02-05</t>
        </is>
      </c>
      <c r="BA794" t="inlineStr">
        <is>
          <t>YDR Miljö Registrering C-anläggning YDM 2025 131.pdf</t>
        </is>
      </c>
      <c r="BB794" t="inlineStr">
        <is>
          <t>Re: till registrator</t>
        </is>
      </c>
      <c r="BC794" t="inlineStr">
        <is>
          <t>AUTO</t>
        </is>
      </c>
      <c r="BD794" t="inlineStr"/>
      <c r="BE794" t="inlineStr"/>
      <c r="BF794" t="inlineStr">
        <is>
          <t>AUTO_GENERERAD. Bekrafta metadata mot kallfil.</t>
        </is>
      </c>
      <c r="BG794">
        <f>HYPERLINK("C:\Users\jimmy\Desktop\Examens arbete\Kod\Ny mapp\remix_-copy-of-miljöbeslut.se-portal\YDR Miljö Registrering C-anläggning YDM 2025 131.pdf", "Öppna PDF")</f>
        <v/>
      </c>
    </row>
    <row r="795">
      <c r="A795" t="inlineStr">
        <is>
          <t>KRAV-AUTO-000794</t>
        </is>
      </c>
      <c r="B795" t="inlineStr">
        <is>
          <t>ADMIN-INDEX-2026-02-27-00000000125C043F57453246863FE664CAFE6A3F0700950291EA24F0614FB6ACEDB12BF0E31D00000000010C0000950291EA24F0614FB6ACEDB12BF0E31D00002087AE390000</t>
        </is>
      </c>
      <c r="C795" t="inlineStr">
        <is>
          <t>cmm4yuq24036ecuqwn0danstz</t>
        </is>
      </c>
      <c r="D795" t="inlineStr">
        <is>
          <t>http://localhost:8787/api/admin/requirements/documents/cmm4yuq24036ecuqwn0danstz/view</t>
        </is>
      </c>
      <c r="E795">
        <f>HYPERLÄNK("http://localhost:8787/api/admin/requirements/documents/cmm4yuq24036ecuqwn0danstz/view";"Öppna PDF")</f>
        <v/>
      </c>
      <c r="F795">
        <f>HYPERLINK("http://localhost:8787/api/admin/requirements/documents/cmm4yuq24036ecuqwn0danstz/view","Open PDF")</f>
        <v/>
      </c>
      <c r="G795" t="inlineStr">
        <is>
          <t>cmm55w57p0004cuisfrtpqly8</t>
        </is>
      </c>
      <c r="H795" t="inlineStr">
        <is>
          <t>Kompletteringskrav</t>
        </is>
      </c>
      <c r="I795" t="inlineStr">
        <is>
          <t>MiljopaverkanForsiktighet</t>
        </is>
      </c>
      <c r="J795" t="inlineStr">
        <is>
          <t>Skyddsatgarder</t>
        </is>
      </c>
      <c r="K795" t="inlineStr">
        <is>
          <t>Dokument: MB-2024-625-10 2024-10-14 Föreläggande om försiktighetsmått - Återanvändning av avfall för anläggningsändamål.pdf.</t>
        </is>
      </c>
      <c r="L795" t="inlineStr">
        <is>
          <t>Dokument: MB-2024-625-10 2024-10-14 Föreläggande om försiktighetsmått - Återanvändning av avfall för anläggningsändamål.pdf.</t>
        </is>
      </c>
      <c r="M795" t="inlineStr">
        <is>
          <t>INFO</t>
        </is>
      </c>
      <c r="N795" t="inlineStr"/>
      <c r="O795" t="inlineStr">
        <is>
          <t>2024-10-14</t>
        </is>
      </c>
      <c r="P795" t="inlineStr"/>
      <c r="Q795" t="inlineStr">
        <is>
          <t>Forelaggande vid brist</t>
        </is>
      </c>
      <c r="R795" t="inlineStr">
        <is>
          <t>Alltid</t>
        </is>
      </c>
      <c r="S795" t="inlineStr"/>
      <c r="T795" t="inlineStr">
        <is>
          <t>10 2024</t>
        </is>
      </c>
      <c r="U795" t="inlineStr"/>
      <c r="V795" t="inlineStr"/>
      <c r="W795" t="inlineStr">
        <is>
          <t>Nej</t>
        </is>
      </c>
      <c r="X795" t="inlineStr">
        <is>
          <t>Nej</t>
        </is>
      </c>
      <c r="Y795" t="inlineStr">
        <is>
          <t>Nej</t>
        </is>
      </c>
      <c r="Z795" t="inlineStr">
        <is>
          <t>Nej</t>
        </is>
      </c>
      <c r="AA795" t="n">
        <v>10</v>
      </c>
      <c r="AB795" t="inlineStr">
        <is>
          <t>Miljopaverkan och forsiktighetsmatt</t>
        </is>
      </c>
      <c r="AC795" t="inlineStr">
        <is>
          <t>Miljo-PM</t>
        </is>
      </c>
      <c r="AD795" t="inlineStr">
        <is>
          <t>Nej</t>
        </is>
      </c>
      <c r="AE795" t="inlineStr">
        <is>
          <t>Nej</t>
        </is>
      </c>
      <c r="AF795" t="inlineStr">
        <is>
          <t>Ej behandlad</t>
        </is>
      </c>
      <c r="AG795" t="inlineStr">
        <is>
          <t>AUTO_GENERERAD. Verifiera citat mot kallfil.</t>
        </is>
      </c>
      <c r="AH795" t="inlineStr">
        <is>
          <t>MEDIUM</t>
        </is>
      </c>
      <c r="AI795" t="inlineStr">
        <is>
          <t>AUTO</t>
        </is>
      </c>
      <c r="AJ795" t="inlineStr">
        <is>
          <t>Nej</t>
        </is>
      </c>
      <c r="AK795" t="inlineStr"/>
      <c r="AL795" t="inlineStr"/>
      <c r="AM795" t="inlineStr"/>
      <c r="AN795" t="inlineStr"/>
      <c r="AO795" t="inlineStr">
        <is>
          <t>cmm4yuq2p036zcuqwaceu4qia</t>
        </is>
      </c>
      <c r="AP795" t="inlineStr">
        <is>
          <t>http://localhost:8787/api/admin/requirements/documents/cmm4yuq2p036zcuqwaceu4qia/view</t>
        </is>
      </c>
      <c r="AQ795">
        <f>HYPERLÄNK("http://localhost:8787/api/admin/requirements/documents/cmm4yuq2p036zcuqwaceu4qia/view";"Öppna PDF")</f>
        <v/>
      </c>
      <c r="AR795">
        <f>HYPERLINK("http://localhost:8787/api/admin/requirements/documents/cmm4yuq2p036zcuqwaceu4qia/view","Open PDF")</f>
        <v/>
      </c>
      <c r="AS795" t="inlineStr">
        <is>
          <t>cmm55w57p0004cuisfrtpqly8</t>
        </is>
      </c>
      <c r="AT795" t="inlineStr">
        <is>
          <t>cmm4xvu980000cuh4vj0usz09</t>
        </is>
      </c>
      <c r="AU795" t="inlineStr">
        <is>
          <t>Lilla Edets</t>
        </is>
      </c>
      <c r="AV795" t="inlineStr">
        <is>
          <t>Kommun</t>
        </is>
      </c>
      <c r="AW795" t="inlineStr">
        <is>
          <t>Lilla Edets kommun</t>
        </is>
      </c>
      <c r="AX795" t="inlineStr">
        <is>
          <t>2024-06</t>
        </is>
      </c>
      <c r="AY795" t="inlineStr">
        <is>
          <t>Beslut</t>
        </is>
      </c>
      <c r="AZ795" t="inlineStr">
        <is>
          <t>2026-02-04</t>
        </is>
      </c>
      <c r="BA795" t="inlineStr">
        <is>
          <t>MB-2024-625-1 13.3 Miljöteknisk markundersökning.pdf</t>
        </is>
      </c>
      <c r="BB795" t="inlineStr">
        <is>
          <t>VB: till registrator</t>
        </is>
      </c>
      <c r="BC795" t="inlineStr">
        <is>
          <t>AUTO</t>
        </is>
      </c>
      <c r="BD795" t="inlineStr"/>
      <c r="BE795" t="inlineStr"/>
      <c r="BF795" t="inlineStr">
        <is>
          <t>AUTO_GENERERAD. Bekrafta metadata mot kallfil.</t>
        </is>
      </c>
      <c r="BG795">
        <f>HYPERLINK("C:\Users\jimmy\Desktop\Examens arbete\Kod\Ny mapp\remix_-copy-of-miljöbeslut.se-portal\MB-2024-625-1 13.3 Miljöteknisk markundersökning.pdf", "Öppna PDF")</f>
        <v/>
      </c>
    </row>
    <row r="796">
      <c r="A796" t="inlineStr">
        <is>
          <t>KRAV-AUTO-000795</t>
        </is>
      </c>
      <c r="B796" t="inlineStr">
        <is>
          <t>ADMIN-INDEX-2026-02-27-00000000125C043F57453246863FE664CAFE6A3F0700950291EA24F0614FB6ACEDB12BF0E31D00000000010C0000950291EA24F0614FB6ACEDB12BF0E31D00002087AE390000</t>
        </is>
      </c>
      <c r="C796" t="inlineStr">
        <is>
          <t>cmm4yuq1n035zcuqwvdutidh3</t>
        </is>
      </c>
      <c r="D796" t="inlineStr">
        <is>
          <t>http://localhost:8787/api/admin/requirements/documents/cmm4yuq1n035zcuqwvdutidh3/view</t>
        </is>
      </c>
      <c r="E796">
        <f>HYPERLÄNK("http://localhost:8787/api/admin/requirements/documents/cmm4yuq1n035zcuqwvdutidh3/view";"Öppna PDF")</f>
        <v/>
      </c>
      <c r="F796">
        <f>HYPERLINK("http://localhost:8787/api/admin/requirements/documents/cmm4yuq1n035zcuqwvdutidh3/view","Open PDF")</f>
        <v/>
      </c>
      <c r="G796" t="inlineStr">
        <is>
          <t>cmm55w57p0004cuisfrtpqly8</t>
        </is>
      </c>
      <c r="H796" t="inlineStr">
        <is>
          <t>Beslutsvillkor</t>
        </is>
      </c>
      <c r="I796" t="inlineStr">
        <is>
          <t>MiljopaverkanForsiktighet</t>
        </is>
      </c>
      <c r="J796" t="inlineStr">
        <is>
          <t>Skyddsatgarder</t>
        </is>
      </c>
      <c r="K796" t="inlineStr">
        <is>
          <t>Den 16 februari meddelade Christian Berg att han önskar att dra tillbaka anmälan om användning av avfall för anläggningsändamål.</t>
        </is>
      </c>
      <c r="L796" t="inlineStr">
        <is>
          <t>Den 16 februari meddelade Christian Berg att han önskar att dra tillbaka anmälan om användning av avfall för anläggningsändamål.</t>
        </is>
      </c>
      <c r="M796" t="inlineStr">
        <is>
          <t>SKA</t>
        </is>
      </c>
      <c r="N796" t="inlineStr"/>
      <c r="O796" t="inlineStr"/>
      <c r="P796" t="inlineStr"/>
      <c r="Q796" t="inlineStr"/>
      <c r="R796" t="inlineStr">
        <is>
          <t>Alltid</t>
        </is>
      </c>
      <c r="S796" t="inlineStr"/>
      <c r="T796" t="inlineStr">
        <is>
          <t>659902</t>
        </is>
      </c>
      <c r="U796" t="inlineStr"/>
      <c r="V796" t="inlineStr"/>
      <c r="W796" t="inlineStr">
        <is>
          <t>Nej</t>
        </is>
      </c>
      <c r="X796" t="inlineStr">
        <is>
          <t>Nej</t>
        </is>
      </c>
      <c r="Y796" t="inlineStr">
        <is>
          <t>Nej</t>
        </is>
      </c>
      <c r="Z796" t="inlineStr">
        <is>
          <t>Nej</t>
        </is>
      </c>
      <c r="AA796" t="n">
        <v>10</v>
      </c>
      <c r="AB796" t="inlineStr">
        <is>
          <t>Miljopaverkan och forsiktighetsmatt</t>
        </is>
      </c>
      <c r="AC796" t="inlineStr">
        <is>
          <t>Miljo-PM</t>
        </is>
      </c>
      <c r="AD796" t="inlineStr">
        <is>
          <t>Nej</t>
        </is>
      </c>
      <c r="AE796" t="inlineStr">
        <is>
          <t>Nej</t>
        </is>
      </c>
      <c r="AF796" t="inlineStr">
        <is>
          <t>Ej behandlad</t>
        </is>
      </c>
      <c r="AG796" t="inlineStr">
        <is>
          <t>AUTO_GENERERAD. Verifiera citat mot kallfil.</t>
        </is>
      </c>
      <c r="AH796" t="inlineStr">
        <is>
          <t>MEDIUM</t>
        </is>
      </c>
      <c r="AI796" t="inlineStr">
        <is>
          <t>AUTO</t>
        </is>
      </c>
      <c r="AJ796" t="inlineStr">
        <is>
          <t>Nej</t>
        </is>
      </c>
      <c r="AK796" t="inlineStr"/>
      <c r="AL796" t="inlineStr"/>
      <c r="AM796" t="inlineStr"/>
      <c r="AN796" t="inlineStr"/>
      <c r="AO796" t="inlineStr">
        <is>
          <t>cmm4yuq2p036zcuqwaceu4qia</t>
        </is>
      </c>
      <c r="AP796" t="inlineStr">
        <is>
          <t>http://localhost:8787/api/admin/requirements/documents/cmm4yuq2p036zcuqwaceu4qia/view</t>
        </is>
      </c>
      <c r="AQ796">
        <f>HYPERLÄNK("http://localhost:8787/api/admin/requirements/documents/cmm4yuq2p036zcuqwaceu4qia/view";"Öppna PDF")</f>
        <v/>
      </c>
      <c r="AR796">
        <f>HYPERLINK("http://localhost:8787/api/admin/requirements/documents/cmm4yuq2p036zcuqwaceu4qia/view","Open PDF")</f>
        <v/>
      </c>
      <c r="AS796" t="inlineStr">
        <is>
          <t>cmm55w57p0004cuisfrtpqly8</t>
        </is>
      </c>
      <c r="AT796" t="inlineStr">
        <is>
          <t>cmm4xvu980000cuh4vj0usz09</t>
        </is>
      </c>
      <c r="AU796" t="inlineStr">
        <is>
          <t>Lilla Edets</t>
        </is>
      </c>
      <c r="AV796" t="inlineStr">
        <is>
          <t>Kommun</t>
        </is>
      </c>
      <c r="AW796" t="inlineStr">
        <is>
          <t>Lilla Edets kommun</t>
        </is>
      </c>
      <c r="AX796" t="inlineStr">
        <is>
          <t>2024-06</t>
        </is>
      </c>
      <c r="AY796" t="inlineStr">
        <is>
          <t>Beslut</t>
        </is>
      </c>
      <c r="AZ796" t="inlineStr">
        <is>
          <t>2026-02-04</t>
        </is>
      </c>
      <c r="BA796" t="inlineStr">
        <is>
          <t>MB-2024-625-1 13.3 Miljöteknisk markundersökning.pdf</t>
        </is>
      </c>
      <c r="BB796" t="inlineStr">
        <is>
          <t>VB: till registrator</t>
        </is>
      </c>
      <c r="BC796" t="inlineStr">
        <is>
          <t>AUTO</t>
        </is>
      </c>
      <c r="BD796" t="inlineStr"/>
      <c r="BE796" t="inlineStr"/>
      <c r="BF796" t="inlineStr">
        <is>
          <t>AUTO_GENERERAD. Bekrafta metadata mot kallfil.</t>
        </is>
      </c>
      <c r="BG796">
        <f>HYPERLINK("C:\Users\jimmy\Desktop\Examens arbete\Kod\Ny mapp\remix_-copy-of-miljöbeslut.se-portal\MB-2024-625-1 13.3 Miljöteknisk markundersökning.pdf", "Öppna PDF")</f>
        <v/>
      </c>
    </row>
    <row r="797">
      <c r="A797" t="inlineStr">
        <is>
          <t>KRAV-AUTO-000796</t>
        </is>
      </c>
      <c r="B797" t="inlineStr">
        <is>
          <t>ADMIN-INDEX-2026-02-27-00000000125C043F57453246863FE664CAFE6A3F0700950291EA24F0614FB6ACEDB12BF0E31D00000000010C0000950291EA24F0614FB6ACEDB12BF0E31D00002087AE390000</t>
        </is>
      </c>
      <c r="C797" t="inlineStr">
        <is>
          <t>cmm4yuq1n035zcuqwvdutidh3</t>
        </is>
      </c>
      <c r="D797" t="inlineStr">
        <is>
          <t>http://localhost:8787/api/admin/requirements/documents/cmm4yuq1n035zcuqwvdutidh3/view</t>
        </is>
      </c>
      <c r="E797">
        <f>HYPERLÄNK("http://localhost:8787/api/admin/requirements/documents/cmm4yuq1n035zcuqwvdutidh3/view";"Öppna PDF")</f>
        <v/>
      </c>
      <c r="F797">
        <f>HYPERLINK("http://localhost:8787/api/admin/requirements/documents/cmm4yuq1n035zcuqwvdutidh3/view","Open PDF")</f>
        <v/>
      </c>
      <c r="G797" t="inlineStr">
        <is>
          <t>cmm55w57p0004cuisfrtpqly8</t>
        </is>
      </c>
      <c r="H797" t="inlineStr">
        <is>
          <t>Beslutsvillkor</t>
        </is>
      </c>
      <c r="I797" t="inlineStr">
        <is>
          <t>DriftEgenkontroll</t>
        </is>
      </c>
      <c r="J797" t="inlineStr">
        <is>
          <t>Journalforing</t>
        </is>
      </c>
      <c r="K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797" t="inlineStr">
        <is>
          <t>SKA</t>
        </is>
      </c>
      <c r="N797" t="inlineStr"/>
      <c r="O797" t="inlineStr"/>
      <c r="P797" t="inlineStr"/>
      <c r="Q797" t="inlineStr"/>
      <c r="R797" t="inlineStr">
        <is>
          <t>Lopande drift</t>
        </is>
      </c>
      <c r="S797" t="inlineStr"/>
      <c r="T797" t="inlineStr">
        <is>
          <t>659902</t>
        </is>
      </c>
      <c r="U797" t="inlineStr"/>
      <c r="V797" t="inlineStr"/>
      <c r="W797" t="inlineStr">
        <is>
          <t>Nej</t>
        </is>
      </c>
      <c r="X797" t="inlineStr">
        <is>
          <t>Nej</t>
        </is>
      </c>
      <c r="Y797" t="inlineStr">
        <is>
          <t>Ja</t>
        </is>
      </c>
      <c r="Z797" t="inlineStr">
        <is>
          <t>Nej</t>
        </is>
      </c>
      <c r="AA797" t="n">
        <v>7</v>
      </c>
      <c r="AB797" t="inlineStr">
        <is>
          <t>Egenkontrollrutiner</t>
        </is>
      </c>
      <c r="AC797" t="inlineStr">
        <is>
          <t>Egenkontrollprogram</t>
        </is>
      </c>
      <c r="AD797" t="inlineStr">
        <is>
          <t>Nej</t>
        </is>
      </c>
      <c r="AE797" t="inlineStr">
        <is>
          <t>Nej</t>
        </is>
      </c>
      <c r="AF797" t="inlineStr">
        <is>
          <t>Ej behandlad</t>
        </is>
      </c>
      <c r="AG797" t="inlineStr">
        <is>
          <t>AUTO_GENERERAD. Verifiera citat mot kallfil.</t>
        </is>
      </c>
      <c r="AH797" t="inlineStr">
        <is>
          <t>MEDIUM</t>
        </is>
      </c>
      <c r="AI797" t="inlineStr">
        <is>
          <t>AUTO</t>
        </is>
      </c>
      <c r="AJ797" t="inlineStr">
        <is>
          <t>Nej</t>
        </is>
      </c>
      <c r="AK797" t="inlineStr"/>
      <c r="AL797" t="inlineStr"/>
      <c r="AM797" t="inlineStr"/>
      <c r="AN797" t="inlineStr"/>
      <c r="AO797" t="inlineStr">
        <is>
          <t>cmm4yuq2p036zcuqwaceu4qia</t>
        </is>
      </c>
      <c r="AP797" t="inlineStr">
        <is>
          <t>http://localhost:8787/api/admin/requirements/documents/cmm4yuq2p036zcuqwaceu4qia/view</t>
        </is>
      </c>
      <c r="AQ797">
        <f>HYPERLÄNK("http://localhost:8787/api/admin/requirements/documents/cmm4yuq2p036zcuqwaceu4qia/view";"Öppna PDF")</f>
        <v/>
      </c>
      <c r="AR797">
        <f>HYPERLINK("http://localhost:8787/api/admin/requirements/documents/cmm4yuq2p036zcuqwaceu4qia/view","Open PDF")</f>
        <v/>
      </c>
      <c r="AS797" t="inlineStr">
        <is>
          <t>cmm55w57p0004cuisfrtpqly8</t>
        </is>
      </c>
      <c r="AT797" t="inlineStr">
        <is>
          <t>cmm4xvu980000cuh4vj0usz09</t>
        </is>
      </c>
      <c r="AU797" t="inlineStr">
        <is>
          <t>Lilla Edets</t>
        </is>
      </c>
      <c r="AV797" t="inlineStr">
        <is>
          <t>Kommun</t>
        </is>
      </c>
      <c r="AW797" t="inlineStr">
        <is>
          <t>Lilla Edets kommun</t>
        </is>
      </c>
      <c r="AX797" t="inlineStr">
        <is>
          <t>2024-06</t>
        </is>
      </c>
      <c r="AY797" t="inlineStr">
        <is>
          <t>Beslut</t>
        </is>
      </c>
      <c r="AZ797" t="inlineStr">
        <is>
          <t>2026-02-04</t>
        </is>
      </c>
      <c r="BA797" t="inlineStr">
        <is>
          <t>MB-2024-625-1 13.3 Miljöteknisk markundersökning.pdf</t>
        </is>
      </c>
      <c r="BB797" t="inlineStr">
        <is>
          <t>VB: till registrator</t>
        </is>
      </c>
      <c r="BC797" t="inlineStr">
        <is>
          <t>AUTO</t>
        </is>
      </c>
      <c r="BD797" t="inlineStr"/>
      <c r="BE797" t="inlineStr"/>
      <c r="BF797" t="inlineStr">
        <is>
          <t>AUTO_GENERERAD. Bekrafta metadata mot kallfil.</t>
        </is>
      </c>
      <c r="BG797">
        <f>HYPERLINK("C:\Users\jimmy\Desktop\Examens arbete\Kod\Ny mapp\remix_-copy-of-miljöbeslut.se-portal\MB-2024-625-1 13.3 Miljöteknisk markundersökning.pdf", "Öppna PDF")</f>
        <v/>
      </c>
    </row>
    <row r="798">
      <c r="A798" t="inlineStr">
        <is>
          <t>KRAV-AUTO-000797</t>
        </is>
      </c>
      <c r="B798" t="inlineStr">
        <is>
          <t>ADMIN-INDEX-2026-02-27-00000000125C043F57453246863FE664CAFE6A3F0700950291EA24F0614FB6ACEDB12BF0E31D00000000010C0000950291EA24F0614FB6ACEDB12BF0E31D000073AF24010000</t>
        </is>
      </c>
      <c r="C798" t="inlineStr">
        <is>
          <t>cmm4yurg704incuqwk4udajh4</t>
        </is>
      </c>
      <c r="D798" t="inlineStr">
        <is>
          <t>http://localhost:8787/api/admin/requirements/documents/cmm4yurg704incuqwk4udajh4/view</t>
        </is>
      </c>
      <c r="E798">
        <f>HYPERLÄNK("http://localhost:8787/api/admin/requirements/documents/cmm4yurg704incuqwk4udajh4/view";"Öppna PDF")</f>
        <v/>
      </c>
      <c r="F798">
        <f>HYPERLINK("http://localhost:8787/api/admin/requirements/documents/cmm4yurg704incuqwk4udajh4/view","Open PDF")</f>
        <v/>
      </c>
      <c r="G798" t="inlineStr">
        <is>
          <t>cmm55w57p0004cuisfrtpqly8</t>
        </is>
      </c>
      <c r="H798" t="inlineStr">
        <is>
          <t>Beslutsvillkor</t>
        </is>
      </c>
      <c r="I798" t="inlineStr">
        <is>
          <t>DagvattenLakvatten</t>
        </is>
      </c>
      <c r="J798" t="inlineStr">
        <is>
          <t>Uppsamling</t>
        </is>
      </c>
      <c r="K798" t="inlineStr">
        <is>
          <t>Vid misstanke om förorening skall provtagning av materialet ske enligt rutin.</t>
        </is>
      </c>
      <c r="L798" t="inlineStr">
        <is>
          <t>Vid misstanke om förorening skall provtagning av materialet ske enligt rutin.</t>
        </is>
      </c>
      <c r="M798" t="inlineStr">
        <is>
          <t>SKA</t>
        </is>
      </c>
      <c r="N798" t="inlineStr"/>
      <c r="O798" t="inlineStr"/>
      <c r="P798" t="inlineStr"/>
      <c r="Q798" t="inlineStr"/>
      <c r="R798" t="inlineStr">
        <is>
          <t>Vid nederbord och avrinning</t>
        </is>
      </c>
      <c r="S798" t="inlineStr"/>
      <c r="T798" t="inlineStr">
        <is>
          <t>212000</t>
        </is>
      </c>
      <c r="U798" t="inlineStr"/>
      <c r="V798" t="inlineStr"/>
      <c r="W798" t="inlineStr">
        <is>
          <t>Nej</t>
        </is>
      </c>
      <c r="X798" t="inlineStr">
        <is>
          <t>Ja</t>
        </is>
      </c>
      <c r="Y798" t="inlineStr">
        <is>
          <t>Ja</t>
        </is>
      </c>
      <c r="Z798" t="inlineStr">
        <is>
          <t>Nej</t>
        </is>
      </c>
      <c r="AA798" t="n">
        <v>6</v>
      </c>
      <c r="AB798" t="inlineStr">
        <is>
          <t>Lakvattenhantering</t>
        </is>
      </c>
      <c r="AC798" t="inlineStr">
        <is>
          <t>Flodesschema dagvatten-lakvatten</t>
        </is>
      </c>
      <c r="AD798" t="inlineStr">
        <is>
          <t>Nej</t>
        </is>
      </c>
      <c r="AE798" t="inlineStr">
        <is>
          <t>Nej</t>
        </is>
      </c>
      <c r="AF798" t="inlineStr">
        <is>
          <t>Ej behandlad</t>
        </is>
      </c>
      <c r="AG798" t="inlineStr">
        <is>
          <t>AUTO_GENERERAD. Verifiera citat mot kallfil.</t>
        </is>
      </c>
      <c r="AH798" t="inlineStr">
        <is>
          <t>MEDIUM</t>
        </is>
      </c>
      <c r="AI798" t="inlineStr">
        <is>
          <t>AUTO</t>
        </is>
      </c>
      <c r="AJ798" t="inlineStr">
        <is>
          <t>Nej</t>
        </is>
      </c>
      <c r="AK798" t="inlineStr"/>
      <c r="AL798" t="inlineStr"/>
      <c r="AM798" t="inlineStr"/>
      <c r="AN798" t="inlineStr"/>
      <c r="AO798" t="inlineStr">
        <is>
          <t>cmm4yurgk04j2cuqw5vz3m5i0</t>
        </is>
      </c>
      <c r="AP798" t="inlineStr">
        <is>
          <t>http://localhost:8787/api/admin/requirements/documents/cmm4yurgk04j2cuqw5vz3m5i0/view</t>
        </is>
      </c>
      <c r="AQ798">
        <f>HYPERLÄNK("http://localhost:8787/api/admin/requirements/documents/cmm4yurgk04j2cuqw5vz3m5i0/view";"Öppna PDF")</f>
        <v/>
      </c>
      <c r="AR798">
        <f>HYPERLINK("http://localhost:8787/api/admin/requirements/documents/cmm4yurgk04j2cuqw5vz3m5i0/view","Open PDF")</f>
        <v/>
      </c>
      <c r="AS798" t="inlineStr">
        <is>
          <t>cmm55w57p0004cuisfrtpqly8</t>
        </is>
      </c>
      <c r="AT798" t="inlineStr">
        <is>
          <t>cmm4xvu980000cuh4vj0usz09</t>
        </is>
      </c>
      <c r="AU798" t="inlineStr">
        <is>
          <t>Värnamo</t>
        </is>
      </c>
      <c r="AV798" t="inlineStr">
        <is>
          <t>Kommun</t>
        </is>
      </c>
      <c r="AW798" t="inlineStr">
        <is>
          <t>Värnamo kommun</t>
        </is>
      </c>
      <c r="AX798" t="inlineStr">
        <is>
          <t>2024-12</t>
        </is>
      </c>
      <c r="AY798" t="inlineStr">
        <is>
          <t>Beslut</t>
        </is>
      </c>
      <c r="AZ798" t="inlineStr">
        <is>
          <t>2026-02-13</t>
        </is>
      </c>
      <c r="BA798" t="inlineStr">
        <is>
          <t>TFF bre sit.pdf</t>
        </is>
      </c>
      <c r="BB798" t="inlineStr">
        <is>
          <t>SV: till registrator [2026KC7547]</t>
        </is>
      </c>
      <c r="BC798" t="inlineStr">
        <is>
          <t>AUTO</t>
        </is>
      </c>
      <c r="BD798" t="inlineStr"/>
      <c r="BE798" t="inlineStr"/>
      <c r="BF798" t="inlineStr">
        <is>
          <t>AUTO_GENERERAD. Bekrafta metadata mot kallfil.</t>
        </is>
      </c>
      <c r="BG798">
        <f>HYPERLINK("C:\Users\jimmy\Desktop\Examens arbete\Kod\Ny mapp\remix_-copy-of-miljöbeslut.se-portal\TFF bre sit.pdf", "Öppna PDF")</f>
        <v/>
      </c>
    </row>
    <row r="799">
      <c r="A799" t="inlineStr">
        <is>
          <t>KRAV-AUTO-000798</t>
        </is>
      </c>
      <c r="B799" t="inlineStr">
        <is>
          <t>ADMIN-INDEX-2026-02-27-00000000125C043F57453246863FE664CAFE6A3F0700950291EA24F0614FB6ACEDB12BF0E31D00000000010C0000950291EA24F0614FB6ACEDB12BF0E31D000073AF24010000</t>
        </is>
      </c>
      <c r="C799" t="inlineStr">
        <is>
          <t>cmm4yurg704incuqwk4udajh4</t>
        </is>
      </c>
      <c r="D799" t="inlineStr">
        <is>
          <t>http://localhost:8787/api/admin/requirements/documents/cmm4yurg704incuqwk4udajh4/view</t>
        </is>
      </c>
      <c r="E799">
        <f>HYPERLÄNK("http://localhost:8787/api/admin/requirements/documents/cmm4yurg704incuqwk4udajh4/view";"Öppna PDF")</f>
        <v/>
      </c>
      <c r="F799">
        <f>HYPERLINK("http://localhost:8787/api/admin/requirements/documents/cmm4yurg704incuqwk4udajh4/view","Open PDF")</f>
        <v/>
      </c>
      <c r="G799" t="inlineStr">
        <is>
          <t>cmm55w57p0004cuisfrtpqly8</t>
        </is>
      </c>
      <c r="H799" t="inlineStr">
        <is>
          <t>Beslutsvillkor</t>
        </is>
      </c>
      <c r="I799" t="inlineStr">
        <is>
          <t>LagringsvolymTid</t>
        </is>
      </c>
      <c r="J799" t="inlineStr">
        <is>
          <t>Maxmangd</t>
        </is>
      </c>
      <c r="K799" t="inlineStr">
        <is>
          <t>Maximal mängd som ska förvaras på fastigheten är 30 000 ton och materialet samlas i högar i olika fraktioner.</t>
        </is>
      </c>
      <c r="L799" t="inlineStr">
        <is>
          <t>Maximal mängd som ska förvaras på fastigheten är 30 000 ton och materialet samlas i högar i olika fraktioner.</t>
        </is>
      </c>
      <c r="M799" t="inlineStr">
        <is>
          <t>SKA</t>
        </is>
      </c>
      <c r="N799" t="inlineStr"/>
      <c r="O799" t="inlineStr"/>
      <c r="P799" t="inlineStr"/>
      <c r="Q799" t="inlineStr"/>
      <c r="R799" t="inlineStr">
        <is>
          <t>Alltid</t>
        </is>
      </c>
      <c r="S799" t="inlineStr"/>
      <c r="T799" t="inlineStr">
        <is>
          <t>212000</t>
        </is>
      </c>
      <c r="U799" t="n">
        <v>0</v>
      </c>
      <c r="V799" t="inlineStr"/>
      <c r="W799" t="inlineStr">
        <is>
          <t>Nej</t>
        </is>
      </c>
      <c r="X799" t="inlineStr">
        <is>
          <t>Nej</t>
        </is>
      </c>
      <c r="Y799" t="inlineStr">
        <is>
          <t>Nej</t>
        </is>
      </c>
      <c r="Z799" t="inlineStr">
        <is>
          <t>Nej</t>
        </is>
      </c>
      <c r="AA799" t="n">
        <v>4</v>
      </c>
      <c r="AB799" t="inlineStr">
        <is>
          <t>Avfallsmangder och lagringstid</t>
        </is>
      </c>
      <c r="AC799" t="inlineStr">
        <is>
          <t>Avfallsforteckning</t>
        </is>
      </c>
      <c r="AD799" t="inlineStr">
        <is>
          <t>Nej</t>
        </is>
      </c>
      <c r="AE799" t="inlineStr">
        <is>
          <t>Nej</t>
        </is>
      </c>
      <c r="AF799" t="inlineStr">
        <is>
          <t>Ej behandlad</t>
        </is>
      </c>
      <c r="AG799" t="inlineStr">
        <is>
          <t>AUTO_GENERERAD. Verifiera citat mot kallfil.</t>
        </is>
      </c>
      <c r="AH799" t="inlineStr">
        <is>
          <t>MEDIUM</t>
        </is>
      </c>
      <c r="AI799" t="inlineStr">
        <is>
          <t>AUTO</t>
        </is>
      </c>
      <c r="AJ799" t="inlineStr">
        <is>
          <t>Nej</t>
        </is>
      </c>
      <c r="AK799" t="inlineStr"/>
      <c r="AL799" t="inlineStr"/>
      <c r="AM799" t="inlineStr"/>
      <c r="AN799" t="inlineStr"/>
      <c r="AO799" t="inlineStr">
        <is>
          <t>cmm4yurgk04j2cuqw5vz3m5i0</t>
        </is>
      </c>
      <c r="AP799" t="inlineStr">
        <is>
          <t>http://localhost:8787/api/admin/requirements/documents/cmm4yurgk04j2cuqw5vz3m5i0/view</t>
        </is>
      </c>
      <c r="AQ799">
        <f>HYPERLÄNK("http://localhost:8787/api/admin/requirements/documents/cmm4yurgk04j2cuqw5vz3m5i0/view";"Öppna PDF")</f>
        <v/>
      </c>
      <c r="AR799">
        <f>HYPERLINK("http://localhost:8787/api/admin/requirements/documents/cmm4yurgk04j2cuqw5vz3m5i0/view","Open PDF")</f>
        <v/>
      </c>
      <c r="AS799" t="inlineStr">
        <is>
          <t>cmm55w57p0004cuisfrtpqly8</t>
        </is>
      </c>
      <c r="AT799" t="inlineStr">
        <is>
          <t>cmm4xvu980000cuh4vj0usz09</t>
        </is>
      </c>
      <c r="AU799" t="inlineStr">
        <is>
          <t>Värnamo</t>
        </is>
      </c>
      <c r="AV799" t="inlineStr">
        <is>
          <t>Kommun</t>
        </is>
      </c>
      <c r="AW799" t="inlineStr">
        <is>
          <t>Värnamo kommun</t>
        </is>
      </c>
      <c r="AX799" t="inlineStr">
        <is>
          <t>2024-12</t>
        </is>
      </c>
      <c r="AY799" t="inlineStr">
        <is>
          <t>Beslut</t>
        </is>
      </c>
      <c r="AZ799" t="inlineStr">
        <is>
          <t>2026-02-13</t>
        </is>
      </c>
      <c r="BA799" t="inlineStr">
        <is>
          <t>TFF bre sit.pdf</t>
        </is>
      </c>
      <c r="BB799" t="inlineStr">
        <is>
          <t>SV: till registrator [2026KC7547]</t>
        </is>
      </c>
      <c r="BC799" t="inlineStr">
        <is>
          <t>AUTO</t>
        </is>
      </c>
      <c r="BD799" t="inlineStr"/>
      <c r="BE799" t="inlineStr"/>
      <c r="BF799" t="inlineStr">
        <is>
          <t>AUTO_GENERERAD. Bekrafta metadata mot kallfil.</t>
        </is>
      </c>
      <c r="BG799">
        <f>HYPERLINK("C:\Users\jimmy\Desktop\Examens arbete\Kod\Ny mapp\remix_-copy-of-miljöbeslut.se-portal\TFF bre sit.pdf", "Öppna PDF")</f>
        <v/>
      </c>
    </row>
    <row r="800">
      <c r="A800" t="inlineStr">
        <is>
          <t>KRAV-AUTO-000799</t>
        </is>
      </c>
      <c r="B800" t="inlineStr">
        <is>
          <t>ADMIN-INDEX-2026-02-27-00000000125C043F57453246863FE664CAFE6A3F0700950291EA24F0614FB6ACEDB12BF0E31D00000000010C0000950291EA24F0614FB6ACEDB12BF0E31D000073AF24010000</t>
        </is>
      </c>
      <c r="C800" t="inlineStr">
        <is>
          <t>cmm4yurfy04iecuqw6dwn8r90</t>
        </is>
      </c>
      <c r="D800" t="inlineStr">
        <is>
          <t>http://localhost:8787/api/admin/requirements/documents/cmm4yurfy04iecuqw6dwn8r90/view</t>
        </is>
      </c>
      <c r="E800">
        <f>HYPERLÄNK("http://localhost:8787/api/admin/requirements/documents/cmm4yurfy04iecuqw6dwn8r90/view";"Öppna PDF")</f>
        <v/>
      </c>
      <c r="F800">
        <f>HYPERLINK("http://localhost:8787/api/admin/requirements/documents/cmm4yurfy04iecuqw6dwn8r90/view","Open PDF")</f>
        <v/>
      </c>
      <c r="G800" t="inlineStr">
        <is>
          <t>cmm55w57p0004cuisfrtpqly8</t>
        </is>
      </c>
      <c r="H800" t="inlineStr">
        <is>
          <t>Beslutsvillkor</t>
        </is>
      </c>
      <c r="I800" t="inlineStr">
        <is>
          <t>DagvattenLakvatten</t>
        </is>
      </c>
      <c r="J800" t="inlineStr">
        <is>
          <t>Uppsamling</t>
        </is>
      </c>
      <c r="K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mellanlagring av avfall.</t>
        </is>
      </c>
      <c r="L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t>
        </is>
      </c>
      <c r="M800" t="inlineStr">
        <is>
          <t>SKA</t>
        </is>
      </c>
      <c r="N800" t="inlineStr"/>
      <c r="O800" t="inlineStr"/>
      <c r="P800" t="inlineStr">
        <is>
          <t>Arlig</t>
        </is>
      </c>
      <c r="Q800" t="inlineStr"/>
      <c r="R800" t="inlineStr">
        <is>
          <t>Vid nederbord och avrinning</t>
        </is>
      </c>
      <c r="S800" t="inlineStr"/>
      <c r="T800" t="inlineStr">
        <is>
          <t>212000</t>
        </is>
      </c>
      <c r="U800" t="inlineStr"/>
      <c r="V800" t="inlineStr"/>
      <c r="W800" t="inlineStr">
        <is>
          <t>Nej</t>
        </is>
      </c>
      <c r="X800" t="inlineStr">
        <is>
          <t>Ja</t>
        </is>
      </c>
      <c r="Y800" t="inlineStr">
        <is>
          <t>Ja</t>
        </is>
      </c>
      <c r="Z800" t="inlineStr">
        <is>
          <t>Nej</t>
        </is>
      </c>
      <c r="AA800" t="n">
        <v>6</v>
      </c>
      <c r="AB800" t="inlineStr">
        <is>
          <t>Lakvattenhantering</t>
        </is>
      </c>
      <c r="AC800" t="inlineStr">
        <is>
          <t>Flodesschema dagvatten-lakvatten</t>
        </is>
      </c>
      <c r="AD800" t="inlineStr">
        <is>
          <t>Nej</t>
        </is>
      </c>
      <c r="AE800" t="inlineStr">
        <is>
          <t>Nej</t>
        </is>
      </c>
      <c r="AF800" t="inlineStr">
        <is>
          <t>Ej behandlad</t>
        </is>
      </c>
      <c r="AG800" t="inlineStr">
        <is>
          <t>AUTO_GENERERAD. Verifiera citat mot kallfil.</t>
        </is>
      </c>
      <c r="AH800" t="inlineStr">
        <is>
          <t>MEDIUM</t>
        </is>
      </c>
      <c r="AI800" t="inlineStr">
        <is>
          <t>AUTO</t>
        </is>
      </c>
      <c r="AJ800" t="inlineStr">
        <is>
          <t>Nej</t>
        </is>
      </c>
      <c r="AK800" t="inlineStr"/>
      <c r="AL800" t="inlineStr"/>
      <c r="AM800" t="inlineStr"/>
      <c r="AN800" t="inlineStr"/>
      <c r="AO800" t="inlineStr">
        <is>
          <t>cmm4yurgk04j2cuqw5vz3m5i0</t>
        </is>
      </c>
      <c r="AP800" t="inlineStr">
        <is>
          <t>http://localhost:8787/api/admin/requirements/documents/cmm4yurgk04j2cuqw5vz3m5i0/view</t>
        </is>
      </c>
      <c r="AQ800">
        <f>HYPERLÄNK("http://localhost:8787/api/admin/requirements/documents/cmm4yurgk04j2cuqw5vz3m5i0/view";"Öppna PDF")</f>
        <v/>
      </c>
      <c r="AR800">
        <f>HYPERLINK("http://localhost:8787/api/admin/requirements/documents/cmm4yurgk04j2cuqw5vz3m5i0/view","Open PDF")</f>
        <v/>
      </c>
      <c r="AS800" t="inlineStr">
        <is>
          <t>cmm55w57p0004cuisfrtpqly8</t>
        </is>
      </c>
      <c r="AT800" t="inlineStr">
        <is>
          <t>cmm4xvu980000cuh4vj0usz09</t>
        </is>
      </c>
      <c r="AU800" t="inlineStr">
        <is>
          <t>Värnamo</t>
        </is>
      </c>
      <c r="AV800" t="inlineStr">
        <is>
          <t>Kommun</t>
        </is>
      </c>
      <c r="AW800" t="inlineStr">
        <is>
          <t>Värnamo kommun</t>
        </is>
      </c>
      <c r="AX800" t="inlineStr">
        <is>
          <t>2024-12</t>
        </is>
      </c>
      <c r="AY800" t="inlineStr">
        <is>
          <t>Beslut</t>
        </is>
      </c>
      <c r="AZ800" t="inlineStr">
        <is>
          <t>2026-02-13</t>
        </is>
      </c>
      <c r="BA800" t="inlineStr">
        <is>
          <t>TFF bre sit.pdf</t>
        </is>
      </c>
      <c r="BB800" t="inlineStr">
        <is>
          <t>SV: till registrator [2026KC7547]</t>
        </is>
      </c>
      <c r="BC800" t="inlineStr">
        <is>
          <t>AUTO</t>
        </is>
      </c>
      <c r="BD800" t="inlineStr"/>
      <c r="BE800" t="inlineStr"/>
      <c r="BF800" t="inlineStr">
        <is>
          <t>AUTO_GENERERAD. Bekrafta metadata mot kallfil.</t>
        </is>
      </c>
      <c r="BG800">
        <f>HYPERLINK("C:\Users\jimmy\Desktop\Examens arbete\Kod\Ny mapp\remix_-copy-of-miljöbeslut.se-portal\TFF bre sit.pdf", "Öppna PDF")</f>
        <v/>
      </c>
    </row>
    <row r="801">
      <c r="A801" t="inlineStr">
        <is>
          <t>KRAV-AUTO-000800</t>
        </is>
      </c>
      <c r="B801" t="inlineStr">
        <is>
          <t>ADMIN-INDEX-2026-02-27-00000000125C043F57453246863FE664CAFE6A3F0700950291EA24F0614FB6ACEDB12BF0E31D00000000010C0000950291EA24F0614FB6ACEDB12BF0E31D000073AF24010000</t>
        </is>
      </c>
      <c r="C801" t="inlineStr">
        <is>
          <t>cmm4yurfy04iecuqw6dwn8r90</t>
        </is>
      </c>
      <c r="D801" t="inlineStr">
        <is>
          <t>http://localhost:8787/api/admin/requirements/documents/cmm4yurfy04iecuqw6dwn8r90/view</t>
        </is>
      </c>
      <c r="E801">
        <f>HYPERLÄNK("http://localhost:8787/api/admin/requirements/documents/cmm4yurfy04iecuqw6dwn8r90/view";"Öppna PDF")</f>
        <v/>
      </c>
      <c r="F801">
        <f>HYPERLINK("http://localhost:8787/api/admin/requirements/documents/cmm4yurfy04iecuqw6dwn8r90/view","Open PDF")</f>
        <v/>
      </c>
      <c r="G801" t="inlineStr">
        <is>
          <t>cmm55w57p0004cuisfrtpqly8</t>
        </is>
      </c>
      <c r="H801" t="inlineStr">
        <is>
          <t>Beslutsvillkor</t>
        </is>
      </c>
      <c r="I801" t="inlineStr">
        <is>
          <t>DagvattenLakvatten</t>
        </is>
      </c>
      <c r="J801" t="inlineStr">
        <is>
          <t>Uppsamling</t>
        </is>
      </c>
      <c r="K801" t="inlineStr">
        <is>
          <t>Vid misstanke om förorening skall provtagning av materialet ske enligt rutin innan mellanlagring och massor med misstänkt förorening högre än MKM ska inte mellanlagras på ytan.</t>
        </is>
      </c>
      <c r="L801" t="inlineStr">
        <is>
          <t>Vid misstanke om förorening skall provtagning av materialet ske enligt rutin innan mellanlagring och massor med misstänkt förorening högre än MKM ska inte mellanlagras på ytan.</t>
        </is>
      </c>
      <c r="M801" t="inlineStr">
        <is>
          <t>SKA</t>
        </is>
      </c>
      <c r="N801" t="inlineStr"/>
      <c r="O801" t="inlineStr"/>
      <c r="P801" t="inlineStr"/>
      <c r="Q801" t="inlineStr"/>
      <c r="R801" t="inlineStr">
        <is>
          <t>Vid nederbord och avrinning</t>
        </is>
      </c>
      <c r="S801" t="inlineStr"/>
      <c r="T801" t="inlineStr">
        <is>
          <t>212000</t>
        </is>
      </c>
      <c r="U801" t="inlineStr"/>
      <c r="V801" t="inlineStr"/>
      <c r="W801" t="inlineStr">
        <is>
          <t>Nej</t>
        </is>
      </c>
      <c r="X801" t="inlineStr">
        <is>
          <t>Ja</t>
        </is>
      </c>
      <c r="Y801" t="inlineStr">
        <is>
          <t>Ja</t>
        </is>
      </c>
      <c r="Z801" t="inlineStr">
        <is>
          <t>Nej</t>
        </is>
      </c>
      <c r="AA801" t="n">
        <v>6</v>
      </c>
      <c r="AB801" t="inlineStr">
        <is>
          <t>Lakvattenhantering</t>
        </is>
      </c>
      <c r="AC801" t="inlineStr">
        <is>
          <t>Flodesschema dagvatten-lakvatten</t>
        </is>
      </c>
      <c r="AD801" t="inlineStr">
        <is>
          <t>Nej</t>
        </is>
      </c>
      <c r="AE801" t="inlineStr">
        <is>
          <t>Nej</t>
        </is>
      </c>
      <c r="AF801" t="inlineStr">
        <is>
          <t>Ej behandlad</t>
        </is>
      </c>
      <c r="AG801" t="inlineStr">
        <is>
          <t>AUTO_GENERERAD. Verifiera citat mot kallfil.</t>
        </is>
      </c>
      <c r="AH801" t="inlineStr">
        <is>
          <t>MEDIUM</t>
        </is>
      </c>
      <c r="AI801" t="inlineStr">
        <is>
          <t>AUTO</t>
        </is>
      </c>
      <c r="AJ801" t="inlineStr">
        <is>
          <t>Nej</t>
        </is>
      </c>
      <c r="AK801" t="inlineStr"/>
      <c r="AL801" t="inlineStr"/>
      <c r="AM801" t="inlineStr"/>
      <c r="AN801" t="inlineStr"/>
      <c r="AO801" t="inlineStr">
        <is>
          <t>cmm4yurgk04j2cuqw5vz3m5i0</t>
        </is>
      </c>
      <c r="AP801" t="inlineStr">
        <is>
          <t>http://localhost:8787/api/admin/requirements/documents/cmm4yurgk04j2cuqw5vz3m5i0/view</t>
        </is>
      </c>
      <c r="AQ801">
        <f>HYPERLÄNK("http://localhost:8787/api/admin/requirements/documents/cmm4yurgk04j2cuqw5vz3m5i0/view";"Öppna PDF")</f>
        <v/>
      </c>
      <c r="AR801">
        <f>HYPERLINK("http://localhost:8787/api/admin/requirements/documents/cmm4yurgk04j2cuqw5vz3m5i0/view","Open PDF")</f>
        <v/>
      </c>
      <c r="AS801" t="inlineStr">
        <is>
          <t>cmm55w57p0004cuisfrtpqly8</t>
        </is>
      </c>
      <c r="AT801" t="inlineStr">
        <is>
          <t>cmm4xvu980000cuh4vj0usz09</t>
        </is>
      </c>
      <c r="AU801" t="inlineStr">
        <is>
          <t>Värnamo</t>
        </is>
      </c>
      <c r="AV801" t="inlineStr">
        <is>
          <t>Kommun</t>
        </is>
      </c>
      <c r="AW801" t="inlineStr">
        <is>
          <t>Värnamo kommun</t>
        </is>
      </c>
      <c r="AX801" t="inlineStr">
        <is>
          <t>2024-12</t>
        </is>
      </c>
      <c r="AY801" t="inlineStr">
        <is>
          <t>Beslut</t>
        </is>
      </c>
      <c r="AZ801" t="inlineStr">
        <is>
          <t>2026-02-13</t>
        </is>
      </c>
      <c r="BA801" t="inlineStr">
        <is>
          <t>TFF bre sit.pdf</t>
        </is>
      </c>
      <c r="BB801" t="inlineStr">
        <is>
          <t>SV: till registrator [2026KC7547]</t>
        </is>
      </c>
      <c r="BC801" t="inlineStr">
        <is>
          <t>AUTO</t>
        </is>
      </c>
      <c r="BD801" t="inlineStr"/>
      <c r="BE801" t="inlineStr"/>
      <c r="BF801" t="inlineStr">
        <is>
          <t>AUTO_GENERERAD. Bekrafta metadata mot kallfil.</t>
        </is>
      </c>
      <c r="BG801">
        <f>HYPERLINK("C:\Users\jimmy\Desktop\Examens arbete\Kod\Ny mapp\remix_-copy-of-miljöbeslut.se-portal\TFF bre sit.pdf", "Öppna PDF")</f>
        <v/>
      </c>
    </row>
    <row r="802">
      <c r="A802" t="inlineStr">
        <is>
          <t>KRAV-AUTO-000801</t>
        </is>
      </c>
      <c r="B802" t="inlineStr">
        <is>
          <t>ADMIN-INDEX-2026-02-27-00000000125C043F57453246863FE664CAFE6A3F0700950291EA24F0614FB6ACEDB12BF0E31D00000000010C0000950291EA24F0614FB6ACEDB12BF0E31D000073AF24010000</t>
        </is>
      </c>
      <c r="C802" t="inlineStr">
        <is>
          <t>cmm4yurfy04iecuqw6dwn8r90</t>
        </is>
      </c>
      <c r="D802" t="inlineStr">
        <is>
          <t>http://localhost:8787/api/admin/requirements/documents/cmm4yurfy04iecuqw6dwn8r90/view</t>
        </is>
      </c>
      <c r="E802">
        <f>HYPERLÄNK("http://localhost:8787/api/admin/requirements/documents/cmm4yurfy04iecuqw6dwn8r90/view";"Öppna PDF")</f>
        <v/>
      </c>
      <c r="F802">
        <f>HYPERLINK("http://localhost:8787/api/admin/requirements/documents/cmm4yurfy04iecuqw6dwn8r90/view","Open PDF")</f>
        <v/>
      </c>
      <c r="G802" t="inlineStr">
        <is>
          <t>cmm55w57p0004cuisfrtpqly8</t>
        </is>
      </c>
      <c r="H802" t="inlineStr">
        <is>
          <t>Beslutsvillkor</t>
        </is>
      </c>
      <c r="I802" t="inlineStr">
        <is>
          <t>DagvattenLakvatten</t>
        </is>
      </c>
      <c r="J802" t="inlineStr">
        <is>
          <t>Uppsamling</t>
        </is>
      </c>
      <c r="K802" t="inlineStr">
        <is>
          <t>Vid misstanke om förorening skall provtagning av materialet ske enligt rutin.</t>
        </is>
      </c>
      <c r="L802" t="inlineStr">
        <is>
          <t>Vid misstanke om förorening skall provtagning av materialet ske enligt rutin.</t>
        </is>
      </c>
      <c r="M802" t="inlineStr">
        <is>
          <t>SKA</t>
        </is>
      </c>
      <c r="N802" t="inlineStr"/>
      <c r="O802" t="inlineStr"/>
      <c r="P802" t="inlineStr"/>
      <c r="Q802" t="inlineStr"/>
      <c r="R802" t="inlineStr">
        <is>
          <t>Vid nederbord och avrinning</t>
        </is>
      </c>
      <c r="S802" t="inlineStr"/>
      <c r="T802" t="inlineStr">
        <is>
          <t>212000</t>
        </is>
      </c>
      <c r="U802" t="inlineStr"/>
      <c r="V802" t="inlineStr"/>
      <c r="W802" t="inlineStr">
        <is>
          <t>Nej</t>
        </is>
      </c>
      <c r="X802" t="inlineStr">
        <is>
          <t>Ja</t>
        </is>
      </c>
      <c r="Y802" t="inlineStr">
        <is>
          <t>Ja</t>
        </is>
      </c>
      <c r="Z802" t="inlineStr">
        <is>
          <t>Nej</t>
        </is>
      </c>
      <c r="AA802" t="n">
        <v>6</v>
      </c>
      <c r="AB802" t="inlineStr">
        <is>
          <t>Lakvattenhantering</t>
        </is>
      </c>
      <c r="AC802" t="inlineStr">
        <is>
          <t>Flodesschema dagvatten-lakvatten</t>
        </is>
      </c>
      <c r="AD802" t="inlineStr">
        <is>
          <t>Nej</t>
        </is>
      </c>
      <c r="AE802" t="inlineStr">
        <is>
          <t>Nej</t>
        </is>
      </c>
      <c r="AF802" t="inlineStr">
        <is>
          <t>Ej behandlad</t>
        </is>
      </c>
      <c r="AG802" t="inlineStr">
        <is>
          <t>AUTO_GENERERAD. Verifiera citat mot kallfil.</t>
        </is>
      </c>
      <c r="AH802" t="inlineStr">
        <is>
          <t>MEDIUM</t>
        </is>
      </c>
      <c r="AI802" t="inlineStr">
        <is>
          <t>AUTO</t>
        </is>
      </c>
      <c r="AJ802" t="inlineStr">
        <is>
          <t>Nej</t>
        </is>
      </c>
      <c r="AK802" t="inlineStr"/>
      <c r="AL802" t="inlineStr"/>
      <c r="AM802" t="inlineStr"/>
      <c r="AN802" t="inlineStr"/>
      <c r="AO802" t="inlineStr">
        <is>
          <t>cmm4yurgk04j2cuqw5vz3m5i0</t>
        </is>
      </c>
      <c r="AP802" t="inlineStr">
        <is>
          <t>http://localhost:8787/api/admin/requirements/documents/cmm4yurgk04j2cuqw5vz3m5i0/view</t>
        </is>
      </c>
      <c r="AQ802">
        <f>HYPERLÄNK("http://localhost:8787/api/admin/requirements/documents/cmm4yurgk04j2cuqw5vz3m5i0/view";"Öppna PDF")</f>
        <v/>
      </c>
      <c r="AR802">
        <f>HYPERLINK("http://localhost:8787/api/admin/requirements/documents/cmm4yurgk04j2cuqw5vz3m5i0/view","Open PDF")</f>
        <v/>
      </c>
      <c r="AS802" t="inlineStr">
        <is>
          <t>cmm55w57p0004cuisfrtpqly8</t>
        </is>
      </c>
      <c r="AT802" t="inlineStr">
        <is>
          <t>cmm4xvu980000cuh4vj0usz09</t>
        </is>
      </c>
      <c r="AU802" t="inlineStr">
        <is>
          <t>Värnamo</t>
        </is>
      </c>
      <c r="AV802" t="inlineStr">
        <is>
          <t>Kommun</t>
        </is>
      </c>
      <c r="AW802" t="inlineStr">
        <is>
          <t>Värnamo kommun</t>
        </is>
      </c>
      <c r="AX802" t="inlineStr">
        <is>
          <t>2024-12</t>
        </is>
      </c>
      <c r="AY802" t="inlineStr">
        <is>
          <t>Beslut</t>
        </is>
      </c>
      <c r="AZ802" t="inlineStr">
        <is>
          <t>2026-02-13</t>
        </is>
      </c>
      <c r="BA802" t="inlineStr">
        <is>
          <t>TFF bre sit.pdf</t>
        </is>
      </c>
      <c r="BB802" t="inlineStr">
        <is>
          <t>SV: till registrator [2026KC7547]</t>
        </is>
      </c>
      <c r="BC802" t="inlineStr">
        <is>
          <t>AUTO</t>
        </is>
      </c>
      <c r="BD802" t="inlineStr"/>
      <c r="BE802" t="inlineStr"/>
      <c r="BF802" t="inlineStr">
        <is>
          <t>AUTO_GENERERAD. Bekrafta metadata mot kallfil.</t>
        </is>
      </c>
      <c r="BG802">
        <f>HYPERLINK("C:\Users\jimmy\Desktop\Examens arbete\Kod\Ny mapp\remix_-copy-of-miljöbeslut.se-portal\TFF bre sit.pdf", "Öppna PDF")</f>
        <v/>
      </c>
    </row>
    <row r="803">
      <c r="A803" t="inlineStr">
        <is>
          <t>KRAV-AUTO-000802</t>
        </is>
      </c>
      <c r="B803" t="inlineStr">
        <is>
          <t>ADMIN-INDEX-2026-02-27-00000000125C043F57453246863FE664CAFE6A3F0700950291EA24F0614FB6ACEDB12BF0E31D00000000010C0000950291EA24F0614FB6ACEDB12BF0E31D00002087AE390000</t>
        </is>
      </c>
      <c r="C803" t="inlineStr">
        <is>
          <t>cmm4yuq19035kcuqwn06inenj</t>
        </is>
      </c>
      <c r="D803" t="inlineStr">
        <is>
          <t>http://localhost:8787/api/admin/requirements/documents/cmm4yuq19035kcuqwn06inenj/view</t>
        </is>
      </c>
      <c r="E803">
        <f>HYPERLÄNK("http://localhost:8787/api/admin/requirements/documents/cmm4yuq19035kcuqwn06inenj/view";"Öppna PDF")</f>
        <v/>
      </c>
      <c r="F803">
        <f>HYPERLINK("http://localhost:8787/api/admin/requirements/documents/cmm4yuq19035kcuqwn06inenj/view","Open PDF")</f>
        <v/>
      </c>
      <c r="G803" t="inlineStr">
        <is>
          <t>cmm55w57p0004cuisfrtpqly8</t>
        </is>
      </c>
      <c r="H803" t="inlineStr">
        <is>
          <t>Informationskrav</t>
        </is>
      </c>
      <c r="I803" t="inlineStr">
        <is>
          <t>DagvattenLakvatten</t>
        </is>
      </c>
      <c r="J803" t="inlineStr">
        <is>
          <t>Uppsamling</t>
        </is>
      </c>
      <c r="K803" t="inlineStr">
        <is>
          <t>Zonen utgör i stället en varningssignal och påminnelse om att iaktta särskild försiktighet och att omedelbart rapportera risk för vattenförorening med skadlig påverkan på vattenkvaliteten.</t>
        </is>
      </c>
      <c r="L803" t="inlineStr">
        <is>
          <t>Zonen utgör i stället en varningssignal och påminnelse om att iaktta särskild försiktighet och att omedelbart rapportera risk för vattenförorening med skadlig påverkan på vattenkvaliteten.</t>
        </is>
      </c>
      <c r="M803" t="inlineStr">
        <is>
          <t>SKA</t>
        </is>
      </c>
      <c r="N803" t="inlineStr"/>
      <c r="O803" t="inlineStr"/>
      <c r="P803" t="inlineStr"/>
      <c r="Q803" t="inlineStr"/>
      <c r="R803" t="inlineStr">
        <is>
          <t>Vid nederbord och avrinning</t>
        </is>
      </c>
      <c r="S803" t="inlineStr"/>
      <c r="T803" t="inlineStr"/>
      <c r="U803" t="inlineStr"/>
      <c r="V803" t="inlineStr"/>
      <c r="W803" t="inlineStr">
        <is>
          <t>Nej</t>
        </is>
      </c>
      <c r="X803" t="inlineStr">
        <is>
          <t>Ja</t>
        </is>
      </c>
      <c r="Y803" t="inlineStr">
        <is>
          <t>Ja</t>
        </is>
      </c>
      <c r="Z803" t="inlineStr">
        <is>
          <t>Nej</t>
        </is>
      </c>
      <c r="AA803" t="n">
        <v>6</v>
      </c>
      <c r="AB803" t="inlineStr">
        <is>
          <t>Lakvattenhantering</t>
        </is>
      </c>
      <c r="AC803" t="inlineStr">
        <is>
          <t>Flodesschema dagvatten-lakvatten</t>
        </is>
      </c>
      <c r="AD803" t="inlineStr">
        <is>
          <t>Nej</t>
        </is>
      </c>
      <c r="AE803" t="inlineStr">
        <is>
          <t>Nej</t>
        </is>
      </c>
      <c r="AF803" t="inlineStr">
        <is>
          <t>Ej behandlad</t>
        </is>
      </c>
      <c r="AG803" t="inlineStr">
        <is>
          <t>AUTO_GENERERAD. Verifiera citat mot kallfil.</t>
        </is>
      </c>
      <c r="AH803" t="inlineStr">
        <is>
          <t>MEDIUM</t>
        </is>
      </c>
      <c r="AI803" t="inlineStr">
        <is>
          <t>AUTO</t>
        </is>
      </c>
      <c r="AJ803" t="inlineStr">
        <is>
          <t>Nej</t>
        </is>
      </c>
      <c r="AK803" t="inlineStr"/>
      <c r="AL803" t="inlineStr"/>
      <c r="AM803" t="inlineStr"/>
      <c r="AN803" t="inlineStr"/>
      <c r="AO803" t="inlineStr">
        <is>
          <t>cmm4yuq2p036zcuqwaceu4qia</t>
        </is>
      </c>
      <c r="AP803" t="inlineStr">
        <is>
          <t>http://localhost:8787/api/admin/requirements/documents/cmm4yuq2p036zcuqwaceu4qia/view</t>
        </is>
      </c>
      <c r="AQ803">
        <f>HYPERLÄNK("http://localhost:8787/api/admin/requirements/documents/cmm4yuq2p036zcuqwaceu4qia/view";"Öppna PDF")</f>
        <v/>
      </c>
      <c r="AR803">
        <f>HYPERLINK("http://localhost:8787/api/admin/requirements/documents/cmm4yuq2p036zcuqwaceu4qia/view","Open PDF")</f>
        <v/>
      </c>
      <c r="AS803" t="inlineStr">
        <is>
          <t>cmm55w57p0004cuisfrtpqly8</t>
        </is>
      </c>
      <c r="AT803" t="inlineStr">
        <is>
          <t>cmm4xvu980000cuh4vj0usz09</t>
        </is>
      </c>
      <c r="AU803" t="inlineStr">
        <is>
          <t>Lilla Edets</t>
        </is>
      </c>
      <c r="AV803" t="inlineStr">
        <is>
          <t>Kommun</t>
        </is>
      </c>
      <c r="AW803" t="inlineStr">
        <is>
          <t>Lilla Edets kommun</t>
        </is>
      </c>
      <c r="AX803" t="inlineStr">
        <is>
          <t>2024-06</t>
        </is>
      </c>
      <c r="AY803" t="inlineStr">
        <is>
          <t>Beslut</t>
        </is>
      </c>
      <c r="AZ803" t="inlineStr">
        <is>
          <t>2026-02-04</t>
        </is>
      </c>
      <c r="BA803" t="inlineStr">
        <is>
          <t>MB-2024-625-1 13.3 Miljöteknisk markundersökning.pdf</t>
        </is>
      </c>
      <c r="BB803" t="inlineStr">
        <is>
          <t>VB: till registrator</t>
        </is>
      </c>
      <c r="BC803" t="inlineStr">
        <is>
          <t>AUTO</t>
        </is>
      </c>
      <c r="BD803" t="inlineStr"/>
      <c r="BE803" t="inlineStr"/>
      <c r="BF803" t="inlineStr">
        <is>
          <t>AUTO_GENERERAD. Bekrafta metadata mot kallfil.</t>
        </is>
      </c>
      <c r="BG803">
        <f>HYPERLINK("C:\Users\jimmy\Desktop\Examens arbete\Kod\Ny mapp\remix_-copy-of-miljöbeslut.se-portal\MB-2024-625-1 13.3 Miljöteknisk markundersökning.pdf", "Öppna PDF")</f>
        <v/>
      </c>
    </row>
    <row r="804">
      <c r="A804" t="inlineStr">
        <is>
          <t>KRAV-AUTO-000803</t>
        </is>
      </c>
      <c r="B804" t="inlineStr">
        <is>
          <t>ADMIN-INDEX-2026-02-27-00000000125C043F57453246863FE664CAFE6A3F0700950291EA24F0614FB6ACEDB12BF0E31D00000000010C0000950291EA24F0614FB6ACEDB12BF0E31D000073AF24010000</t>
        </is>
      </c>
      <c r="C804" t="inlineStr">
        <is>
          <t>cmm4yurft04i8cuqwfabytyif</t>
        </is>
      </c>
      <c r="D804" t="inlineStr">
        <is>
          <t>http://localhost:8787/api/admin/requirements/documents/cmm4yurft04i8cuqwfabytyif/view</t>
        </is>
      </c>
      <c r="E804">
        <f>HYPERLÄNK("http://localhost:8787/api/admin/requirements/documents/cmm4yurft04i8cuqwfabytyif/view";"Öppna PDF")</f>
        <v/>
      </c>
      <c r="F804">
        <f>HYPERLINK("http://localhost:8787/api/admin/requirements/documents/cmm4yurft04i8cuqwfabytyif/view","Open PDF")</f>
        <v/>
      </c>
      <c r="G804" t="inlineStr">
        <is>
          <t>cmm55w57p0004cuisfrtpqly8</t>
        </is>
      </c>
      <c r="H804" t="inlineStr">
        <is>
          <t>Beslutsvillkor</t>
        </is>
      </c>
      <c r="I804" t="inlineStr">
        <is>
          <t>DriftEgenkontroll</t>
        </is>
      </c>
      <c r="J804" t="inlineStr">
        <is>
          <t>Journalforing</t>
        </is>
      </c>
      <c r="K804" t="inlineStr">
        <is>
          <t>Mer än 10 ton men högst 30 000 ton och avfallet ska användas för byggnads- eller anläggningsändamål Asfalten ska vara provtagen där massorna hämtas.</t>
        </is>
      </c>
      <c r="L804" t="inlineStr">
        <is>
          <t>Mer än 10 ton men högst 30 000 ton och avfallet ska användas för byggnads- eller anläggningsändamål Asfalten ska vara provtagen där massorna hämtas.</t>
        </is>
      </c>
      <c r="M804" t="inlineStr">
        <is>
          <t>SKA</t>
        </is>
      </c>
      <c r="N804" t="inlineStr"/>
      <c r="O804" t="inlineStr"/>
      <c r="P804" t="inlineStr"/>
      <c r="Q804" t="inlineStr"/>
      <c r="R804" t="inlineStr">
        <is>
          <t>Lopande drift</t>
        </is>
      </c>
      <c r="S804" t="inlineStr"/>
      <c r="T804" t="inlineStr">
        <is>
          <t>556778</t>
        </is>
      </c>
      <c r="U804" t="n">
        <v>10</v>
      </c>
      <c r="V804" t="inlineStr"/>
      <c r="W804" t="inlineStr">
        <is>
          <t>Nej</t>
        </is>
      </c>
      <c r="X804" t="inlineStr">
        <is>
          <t>Nej</t>
        </is>
      </c>
      <c r="Y804" t="inlineStr">
        <is>
          <t>Ja</t>
        </is>
      </c>
      <c r="Z804" t="inlineStr">
        <is>
          <t>Nej</t>
        </is>
      </c>
      <c r="AA804" t="n">
        <v>7</v>
      </c>
      <c r="AB804" t="inlineStr">
        <is>
          <t>Egenkontrollrutiner</t>
        </is>
      </c>
      <c r="AC804" t="inlineStr">
        <is>
          <t>Egenkontrollprogram</t>
        </is>
      </c>
      <c r="AD804" t="inlineStr">
        <is>
          <t>Nej</t>
        </is>
      </c>
      <c r="AE804" t="inlineStr">
        <is>
          <t>Nej</t>
        </is>
      </c>
      <c r="AF804" t="inlineStr">
        <is>
          <t>Ej behandlad</t>
        </is>
      </c>
      <c r="AG804" t="inlineStr">
        <is>
          <t>AUTO_GENERERAD. Verifiera citat mot kallfil.</t>
        </is>
      </c>
      <c r="AH804" t="inlineStr">
        <is>
          <t>MEDIUM</t>
        </is>
      </c>
      <c r="AI804" t="inlineStr">
        <is>
          <t>AUTO</t>
        </is>
      </c>
      <c r="AJ804" t="inlineStr">
        <is>
          <t>Nej</t>
        </is>
      </c>
      <c r="AK804" t="inlineStr"/>
      <c r="AL804" t="inlineStr"/>
      <c r="AM804" t="inlineStr"/>
      <c r="AN804" t="inlineStr"/>
      <c r="AO804" t="inlineStr">
        <is>
          <t>cmm4yurgk04j2cuqw5vz3m5i0</t>
        </is>
      </c>
      <c r="AP804" t="inlineStr">
        <is>
          <t>http://localhost:8787/api/admin/requirements/documents/cmm4yurgk04j2cuqw5vz3m5i0/view</t>
        </is>
      </c>
      <c r="AQ804">
        <f>HYPERLÄNK("http://localhost:8787/api/admin/requirements/documents/cmm4yurgk04j2cuqw5vz3m5i0/view";"Öppna PDF")</f>
        <v/>
      </c>
      <c r="AR804">
        <f>HYPERLINK("http://localhost:8787/api/admin/requirements/documents/cmm4yurgk04j2cuqw5vz3m5i0/view","Open PDF")</f>
        <v/>
      </c>
      <c r="AS804" t="inlineStr">
        <is>
          <t>cmm55w57p0004cuisfrtpqly8</t>
        </is>
      </c>
      <c r="AT804" t="inlineStr">
        <is>
          <t>cmm4xvu980000cuh4vj0usz09</t>
        </is>
      </c>
      <c r="AU804" t="inlineStr">
        <is>
          <t>Värnamo</t>
        </is>
      </c>
      <c r="AV804" t="inlineStr">
        <is>
          <t>Kommun</t>
        </is>
      </c>
      <c r="AW804" t="inlineStr">
        <is>
          <t>Värnamo kommun</t>
        </is>
      </c>
      <c r="AX804" t="inlineStr">
        <is>
          <t>2024-12</t>
        </is>
      </c>
      <c r="AY804" t="inlineStr">
        <is>
          <t>Beslut</t>
        </is>
      </c>
      <c r="AZ804" t="inlineStr">
        <is>
          <t>2026-02-13</t>
        </is>
      </c>
      <c r="BA804" t="inlineStr">
        <is>
          <t>TFF bre sit.pdf</t>
        </is>
      </c>
      <c r="BB804" t="inlineStr">
        <is>
          <t>SV: till registrator [2026KC7547]</t>
        </is>
      </c>
      <c r="BC804" t="inlineStr">
        <is>
          <t>AUTO</t>
        </is>
      </c>
      <c r="BD804" t="inlineStr"/>
      <c r="BE804" t="inlineStr"/>
      <c r="BF804" t="inlineStr">
        <is>
          <t>AUTO_GENERERAD. Bekrafta metadata mot kallfil.</t>
        </is>
      </c>
      <c r="BG804">
        <f>HYPERLINK("C:\Users\jimmy\Desktop\Examens arbete\Kod\Ny mapp\remix_-copy-of-miljöbeslut.se-portal\TFF bre sit.pdf", "Öppna PDF")</f>
        <v/>
      </c>
    </row>
    <row r="805">
      <c r="A805" t="inlineStr">
        <is>
          <t>KRAV-AUTO-000804</t>
        </is>
      </c>
      <c r="B805" t="inlineStr">
        <is>
          <t>ADMIN-INDEX-2026-02-27-00000000125C043F57453246863FE664CAFE6A3F0700950291EA24F0614FB6ACEDB12BF0E31D00000000010C0000950291EA24F0614FB6ACEDB12BF0E31D000073AF24010000</t>
        </is>
      </c>
      <c r="C805" t="inlineStr">
        <is>
          <t>cmm4yurft04i8cuqwfabytyif</t>
        </is>
      </c>
      <c r="D805" t="inlineStr">
        <is>
          <t>http://localhost:8787/api/admin/requirements/documents/cmm4yurft04i8cuqwfabytyif/view</t>
        </is>
      </c>
      <c r="E805">
        <f>HYPERLÄNK("http://localhost:8787/api/admin/requirements/documents/cmm4yurft04i8cuqwfabytyif/view";"Öppna PDF")</f>
        <v/>
      </c>
      <c r="F805">
        <f>HYPERLINK("http://localhost:8787/api/admin/requirements/documents/cmm4yurft04i8cuqwfabytyif/view","Open PDF")</f>
        <v/>
      </c>
      <c r="G805" t="inlineStr">
        <is>
          <t>cmm55w57p0004cuisfrtpqly8</t>
        </is>
      </c>
      <c r="H805" t="inlineStr">
        <is>
          <t>Beslutsvillkor</t>
        </is>
      </c>
      <c r="I805" t="inlineStr">
        <is>
          <t>Riskhantering</t>
        </is>
      </c>
      <c r="J805" t="inlineStr">
        <is>
          <t>Riskkontroll</t>
        </is>
      </c>
      <c r="K805" t="inlineStr">
        <is>
          <t>För att minska risken att förorenade massor eller massor med okänt ursprung körs in på området bedöms det skäligt att verksamheten ska försöka förhindra att olovlig deponering av avfall sker inom området.</t>
        </is>
      </c>
      <c r="L805" t="inlineStr">
        <is>
          <t>För att minska risken att förorenade massor eller massor med okänt ursprung körs in på området bedöms det skäligt att verksamheten ska försöka förhindra att olovlig deponering av avfall sker inom området.</t>
        </is>
      </c>
      <c r="M805" t="inlineStr">
        <is>
          <t>SKA</t>
        </is>
      </c>
      <c r="N805" t="inlineStr"/>
      <c r="O805" t="inlineStr"/>
      <c r="P805" t="inlineStr"/>
      <c r="Q805" t="inlineStr"/>
      <c r="R805" t="inlineStr">
        <is>
          <t>Vid risk for incident</t>
        </is>
      </c>
      <c r="S805" t="inlineStr"/>
      <c r="T805" t="inlineStr">
        <is>
          <t>556778</t>
        </is>
      </c>
      <c r="U805" t="inlineStr"/>
      <c r="V805" t="inlineStr"/>
      <c r="W805" t="inlineStr">
        <is>
          <t>Nej</t>
        </is>
      </c>
      <c r="X805" t="inlineStr">
        <is>
          <t>Nej</t>
        </is>
      </c>
      <c r="Y805" t="inlineStr">
        <is>
          <t>Ja</t>
        </is>
      </c>
      <c r="Z805" t="inlineStr">
        <is>
          <t>Ja</t>
        </is>
      </c>
      <c r="AA805" t="n">
        <v>8</v>
      </c>
      <c r="AB805" t="inlineStr">
        <is>
          <t>Riskhantering</t>
        </is>
      </c>
      <c r="AC805" t="inlineStr">
        <is>
          <t>Risk-PM</t>
        </is>
      </c>
      <c r="AD805" t="inlineStr">
        <is>
          <t>Nej</t>
        </is>
      </c>
      <c r="AE805" t="inlineStr">
        <is>
          <t>Nej</t>
        </is>
      </c>
      <c r="AF805" t="inlineStr">
        <is>
          <t>Ej behandlad</t>
        </is>
      </c>
      <c r="AG805" t="inlineStr">
        <is>
          <t>AUTO_GENERERAD. Verifiera citat mot kallfil.</t>
        </is>
      </c>
      <c r="AH805" t="inlineStr">
        <is>
          <t>MEDIUM</t>
        </is>
      </c>
      <c r="AI805" t="inlineStr">
        <is>
          <t>AUTO</t>
        </is>
      </c>
      <c r="AJ805" t="inlineStr">
        <is>
          <t>Nej</t>
        </is>
      </c>
      <c r="AK805" t="inlineStr"/>
      <c r="AL805" t="inlineStr"/>
      <c r="AM805" t="inlineStr"/>
      <c r="AN805" t="inlineStr"/>
      <c r="AO805" t="inlineStr">
        <is>
          <t>cmm4yurgk04j2cuqw5vz3m5i0</t>
        </is>
      </c>
      <c r="AP805" t="inlineStr">
        <is>
          <t>http://localhost:8787/api/admin/requirements/documents/cmm4yurgk04j2cuqw5vz3m5i0/view</t>
        </is>
      </c>
      <c r="AQ805">
        <f>HYPERLÄNK("http://localhost:8787/api/admin/requirements/documents/cmm4yurgk04j2cuqw5vz3m5i0/view";"Öppna PDF")</f>
        <v/>
      </c>
      <c r="AR805">
        <f>HYPERLINK("http://localhost:8787/api/admin/requirements/documents/cmm4yurgk04j2cuqw5vz3m5i0/view","Open PDF")</f>
        <v/>
      </c>
      <c r="AS805" t="inlineStr">
        <is>
          <t>cmm55w57p0004cuisfrtpqly8</t>
        </is>
      </c>
      <c r="AT805" t="inlineStr">
        <is>
          <t>cmm4xvu980000cuh4vj0usz09</t>
        </is>
      </c>
      <c r="AU805" t="inlineStr">
        <is>
          <t>Värnamo</t>
        </is>
      </c>
      <c r="AV805" t="inlineStr">
        <is>
          <t>Kommun</t>
        </is>
      </c>
      <c r="AW805" t="inlineStr">
        <is>
          <t>Värnamo kommun</t>
        </is>
      </c>
      <c r="AX805" t="inlineStr">
        <is>
          <t>2024-12</t>
        </is>
      </c>
      <c r="AY805" t="inlineStr">
        <is>
          <t>Beslut</t>
        </is>
      </c>
      <c r="AZ805" t="inlineStr">
        <is>
          <t>2026-02-13</t>
        </is>
      </c>
      <c r="BA805" t="inlineStr">
        <is>
          <t>TFF bre sit.pdf</t>
        </is>
      </c>
      <c r="BB805" t="inlineStr">
        <is>
          <t>SV: till registrator [2026KC7547]</t>
        </is>
      </c>
      <c r="BC805" t="inlineStr">
        <is>
          <t>AUTO</t>
        </is>
      </c>
      <c r="BD805" t="inlineStr"/>
      <c r="BE805" t="inlineStr"/>
      <c r="BF805" t="inlineStr">
        <is>
          <t>AUTO_GENERERAD. Bekrafta metadata mot kallfil.</t>
        </is>
      </c>
      <c r="BG805">
        <f>HYPERLINK("C:\Users\jimmy\Desktop\Examens arbete\Kod\Ny mapp\remix_-copy-of-miljöbeslut.se-portal\TFF bre sit.pdf", "Öppna PDF")</f>
        <v/>
      </c>
    </row>
    <row r="806">
      <c r="A806" t="inlineStr">
        <is>
          <t>KRAV-AUTO-000805</t>
        </is>
      </c>
      <c r="B806" t="inlineStr">
        <is>
          <t>ADMIN-INDEX-2026-02-27-00000000125C043F57453246863FE664CAFE6A3F0700950291EA24F0614FB6ACEDB12BF0E31D00000000010C0000950291EA24F0614FB6ACEDB12BF0E31D000073AF24010000</t>
        </is>
      </c>
      <c r="C806" t="inlineStr">
        <is>
          <t>cmm4yurft04i8cuqwfabytyif</t>
        </is>
      </c>
      <c r="D806" t="inlineStr">
        <is>
          <t>http://localhost:8787/api/admin/requirements/documents/cmm4yurft04i8cuqwfabytyif/view</t>
        </is>
      </c>
      <c r="E806">
        <f>HYPERLÄNK("http://localhost:8787/api/admin/requirements/documents/cmm4yurft04i8cuqwfabytyif/view";"Öppna PDF")</f>
        <v/>
      </c>
      <c r="F806">
        <f>HYPERLINK("http://localhost:8787/api/admin/requirements/documents/cmm4yurft04i8cuqwfabytyif/view","Open PDF")</f>
        <v/>
      </c>
      <c r="G806" t="inlineStr">
        <is>
          <t>cmm55w57p0004cuisfrtpqly8</t>
        </is>
      </c>
      <c r="H806" t="inlineStr">
        <is>
          <t>Beslutsvillkor</t>
        </is>
      </c>
      <c r="I806" t="inlineStr">
        <is>
          <t>DriftEgenkontroll</t>
        </is>
      </c>
      <c r="J806" t="inlineStr">
        <is>
          <t>Journalforing</t>
        </is>
      </c>
      <c r="K806" t="inlineStr">
        <is>
          <t>Verksamhetsutövaren bör även utföra rutinmässiga provtagningar av materialet.</t>
        </is>
      </c>
      <c r="L806" t="inlineStr">
        <is>
          <t>Verksamhetsutövaren bör även utföra rutinmässiga provtagningar av materialet.</t>
        </is>
      </c>
      <c r="M806" t="inlineStr">
        <is>
          <t>BOR</t>
        </is>
      </c>
      <c r="N806" t="inlineStr"/>
      <c r="O806" t="inlineStr"/>
      <c r="P806" t="inlineStr"/>
      <c r="Q806" t="inlineStr"/>
      <c r="R806" t="inlineStr">
        <is>
          <t>Lopande drift</t>
        </is>
      </c>
      <c r="S806" t="inlineStr"/>
      <c r="T806" t="inlineStr">
        <is>
          <t>556778</t>
        </is>
      </c>
      <c r="U806" t="inlineStr"/>
      <c r="V806" t="inlineStr"/>
      <c r="W806" t="inlineStr">
        <is>
          <t>Nej</t>
        </is>
      </c>
      <c r="X806" t="inlineStr">
        <is>
          <t>Nej</t>
        </is>
      </c>
      <c r="Y806" t="inlineStr">
        <is>
          <t>Ja</t>
        </is>
      </c>
      <c r="Z806" t="inlineStr">
        <is>
          <t>Nej</t>
        </is>
      </c>
      <c r="AA806" t="n">
        <v>7</v>
      </c>
      <c r="AB806" t="inlineStr">
        <is>
          <t>Egenkontrollrutiner</t>
        </is>
      </c>
      <c r="AC806" t="inlineStr">
        <is>
          <t>Egenkontrollprogram</t>
        </is>
      </c>
      <c r="AD806" t="inlineStr">
        <is>
          <t>Nej</t>
        </is>
      </c>
      <c r="AE806" t="inlineStr">
        <is>
          <t>Nej</t>
        </is>
      </c>
      <c r="AF806" t="inlineStr">
        <is>
          <t>Ej behandlad</t>
        </is>
      </c>
      <c r="AG806" t="inlineStr">
        <is>
          <t>AUTO_GENERERAD. Verifiera citat mot kallfil.</t>
        </is>
      </c>
      <c r="AH806" t="inlineStr">
        <is>
          <t>MEDIUM</t>
        </is>
      </c>
      <c r="AI806" t="inlineStr">
        <is>
          <t>AUTO</t>
        </is>
      </c>
      <c r="AJ806" t="inlineStr">
        <is>
          <t>Nej</t>
        </is>
      </c>
      <c r="AK806" t="inlineStr"/>
      <c r="AL806" t="inlineStr"/>
      <c r="AM806" t="inlineStr"/>
      <c r="AN806" t="inlineStr"/>
      <c r="AO806" t="inlineStr">
        <is>
          <t>cmm4yurgk04j2cuqw5vz3m5i0</t>
        </is>
      </c>
      <c r="AP806" t="inlineStr">
        <is>
          <t>http://localhost:8787/api/admin/requirements/documents/cmm4yurgk04j2cuqw5vz3m5i0/view</t>
        </is>
      </c>
      <c r="AQ806">
        <f>HYPERLÄNK("http://localhost:8787/api/admin/requirements/documents/cmm4yurgk04j2cuqw5vz3m5i0/view";"Öppna PDF")</f>
        <v/>
      </c>
      <c r="AR806">
        <f>HYPERLINK("http://localhost:8787/api/admin/requirements/documents/cmm4yurgk04j2cuqw5vz3m5i0/view","Open PDF")</f>
        <v/>
      </c>
      <c r="AS806" t="inlineStr">
        <is>
          <t>cmm55w57p0004cuisfrtpqly8</t>
        </is>
      </c>
      <c r="AT806" t="inlineStr">
        <is>
          <t>cmm4xvu980000cuh4vj0usz09</t>
        </is>
      </c>
      <c r="AU806" t="inlineStr">
        <is>
          <t>Värnamo</t>
        </is>
      </c>
      <c r="AV806" t="inlineStr">
        <is>
          <t>Kommun</t>
        </is>
      </c>
      <c r="AW806" t="inlineStr">
        <is>
          <t>Värnamo kommun</t>
        </is>
      </c>
      <c r="AX806" t="inlineStr">
        <is>
          <t>2024-12</t>
        </is>
      </c>
      <c r="AY806" t="inlineStr">
        <is>
          <t>Beslut</t>
        </is>
      </c>
      <c r="AZ806" t="inlineStr">
        <is>
          <t>2026-02-13</t>
        </is>
      </c>
      <c r="BA806" t="inlineStr">
        <is>
          <t>TFF bre sit.pdf</t>
        </is>
      </c>
      <c r="BB806" t="inlineStr">
        <is>
          <t>SV: till registrator [2026KC7547]</t>
        </is>
      </c>
      <c r="BC806" t="inlineStr">
        <is>
          <t>AUTO</t>
        </is>
      </c>
      <c r="BD806" t="inlineStr"/>
      <c r="BE806" t="inlineStr"/>
      <c r="BF806" t="inlineStr">
        <is>
          <t>AUTO_GENERERAD. Bekrafta metadata mot kallfil.</t>
        </is>
      </c>
      <c r="BG806">
        <f>HYPERLINK("C:\Users\jimmy\Desktop\Examens arbete\Kod\Ny mapp\remix_-copy-of-miljöbeslut.se-portal\TFF bre sit.pdf", "Öppna PDF")</f>
        <v/>
      </c>
    </row>
    <row r="807">
      <c r="A807" t="inlineStr">
        <is>
          <t>KRAV-AUTO-000806</t>
        </is>
      </c>
      <c r="B807" t="inlineStr">
        <is>
          <t>ADMIN-INDEX-2026-02-27-00000000125C043F57453246863FE664CAFE6A3F0700950291EA24F0614FB6ACEDB12BF0E31D00000000010C0000950291EA24F0614FB6ACEDB12BF0E31D00002087A5D60000</t>
        </is>
      </c>
      <c r="C807" t="inlineStr">
        <is>
          <t>cmm4yuqwj040tcuqwkjxx26xs</t>
        </is>
      </c>
      <c r="D807" t="inlineStr">
        <is>
          <t>http://localhost:8787/api/admin/requirements/documents/cmm4yuqwj040tcuqwkjxx26xs/view</t>
        </is>
      </c>
      <c r="E807">
        <f>HYPERLÄNK("http://localhost:8787/api/admin/requirements/documents/cmm4yuqwj040tcuqwkjxx26xs/view";"Öppna PDF")</f>
        <v/>
      </c>
      <c r="F807">
        <f>HYPERLINK("http://localhost:8787/api/admin/requirements/documents/cmm4yuqwj040tcuqwkjxx26xs/view","Open PDF")</f>
        <v/>
      </c>
      <c r="G807" t="inlineStr">
        <is>
          <t>cmm55w57p0004cuisfrtpqly8</t>
        </is>
      </c>
      <c r="H807" t="inlineStr">
        <is>
          <t>Beslutsvillkor</t>
        </is>
      </c>
      <c r="I807" t="inlineStr">
        <is>
          <t>Riskhantering</t>
        </is>
      </c>
      <c r="J807" t="inlineStr">
        <is>
          <t>Riskkontroll</t>
        </is>
      </c>
      <c r="K807" t="inlineStr">
        <is>
          <t>Av historiska flygfoton över området så verkar det som det skett någon form av aktivitet mellan 2006 och 2009.</t>
        </is>
      </c>
      <c r="L807" t="inlineStr">
        <is>
          <t>Av historiska flygfoton över området så verkar det som det skett någon form av aktivitet mellan 2006 och 2009.</t>
        </is>
      </c>
      <c r="M807" t="inlineStr">
        <is>
          <t>SKA</t>
        </is>
      </c>
      <c r="N807" t="inlineStr"/>
      <c r="O807" t="inlineStr"/>
      <c r="P807" t="inlineStr"/>
      <c r="Q807" t="inlineStr">
        <is>
          <t>Vite</t>
        </is>
      </c>
      <c r="R807" t="inlineStr">
        <is>
          <t>Vid risk for incident</t>
        </is>
      </c>
      <c r="S807" t="inlineStr"/>
      <c r="T807" t="inlineStr">
        <is>
          <t>2024 15</t>
        </is>
      </c>
      <c r="U807" t="inlineStr"/>
      <c r="V807" t="inlineStr"/>
      <c r="W807" t="inlineStr">
        <is>
          <t>Nej</t>
        </is>
      </c>
      <c r="X807" t="inlineStr">
        <is>
          <t>Nej</t>
        </is>
      </c>
      <c r="Y807" t="inlineStr">
        <is>
          <t>Ja</t>
        </is>
      </c>
      <c r="Z807" t="inlineStr">
        <is>
          <t>Ja</t>
        </is>
      </c>
      <c r="AA807" t="n">
        <v>8</v>
      </c>
      <c r="AB807" t="inlineStr">
        <is>
          <t>Riskhantering</t>
        </is>
      </c>
      <c r="AC807" t="inlineStr">
        <is>
          <t>Risk-PM</t>
        </is>
      </c>
      <c r="AD807" t="inlineStr">
        <is>
          <t>Nej</t>
        </is>
      </c>
      <c r="AE807" t="inlineStr">
        <is>
          <t>Nej</t>
        </is>
      </c>
      <c r="AF807" t="inlineStr">
        <is>
          <t>Ej behandlad</t>
        </is>
      </c>
      <c r="AG807" t="inlineStr">
        <is>
          <t>AUTO_GENERERAD. Verifiera citat mot kallfil.</t>
        </is>
      </c>
      <c r="AH807" t="inlineStr">
        <is>
          <t>MEDIUM</t>
        </is>
      </c>
      <c r="AI807" t="inlineStr">
        <is>
          <t>AUTO</t>
        </is>
      </c>
      <c r="AJ807" t="inlineStr">
        <is>
          <t>Nej</t>
        </is>
      </c>
      <c r="AK807" t="inlineStr"/>
      <c r="AL807" t="inlineStr"/>
      <c r="AM807" t="inlineStr"/>
      <c r="AN807" t="inlineStr"/>
      <c r="AO807" t="inlineStr">
        <is>
          <t>cmm4yuqwg040qcuqw4w3wh8u8</t>
        </is>
      </c>
      <c r="AP807" t="inlineStr">
        <is>
          <t>http://localhost:8787/api/admin/requirements/documents/cmm4yuqwg040qcuqw4w3wh8u8/view</t>
        </is>
      </c>
      <c r="AQ807">
        <f>HYPERLÄNK("http://localhost:8787/api/admin/requirements/documents/cmm4yuqwg040qcuqw4w3wh8u8/view";"Öppna PDF")</f>
        <v/>
      </c>
      <c r="AR807">
        <f>HYPERLINK("http://localhost:8787/api/admin/requirements/documents/cmm4yuqwg040qcuqw4w3wh8u8/view","Open PDF")</f>
        <v/>
      </c>
      <c r="AS807" t="inlineStr">
        <is>
          <t>cmm55w57p0004cuisfrtpqly8</t>
        </is>
      </c>
      <c r="AT807" t="inlineStr">
        <is>
          <t>cmm4xvu980000cuh4vj0usz09</t>
        </is>
      </c>
      <c r="AU807" t="inlineStr"/>
      <c r="AV807" t="inlineStr">
        <is>
          <t>Kommun</t>
        </is>
      </c>
      <c r="AW807" t="inlineStr"/>
      <c r="AX807" t="inlineStr">
        <is>
          <t>2025-10</t>
        </is>
      </c>
      <c r="AY807" t="inlineStr">
        <is>
          <t>Beslut</t>
        </is>
      </c>
      <c r="AZ807" t="inlineStr">
        <is>
          <t>2026-02-05</t>
        </is>
      </c>
      <c r="BA807" t="inlineStr">
        <is>
          <t>M-2025-1072.pdf</t>
        </is>
      </c>
      <c r="BB807" t="inlineStr">
        <is>
          <t>Sv: till registrator</t>
        </is>
      </c>
      <c r="BC807" t="inlineStr">
        <is>
          <t>AUTO</t>
        </is>
      </c>
      <c r="BD807" t="inlineStr"/>
      <c r="BE807" t="inlineStr"/>
      <c r="BF807" t="inlineStr">
        <is>
          <t>AUTO_GENERERAD. Bekrafta metadata mot kallfil.</t>
        </is>
      </c>
      <c r="BG807">
        <f>HYPERLINK("C:\Users\jimmy\Desktop\Examens arbete\Kod\Ny mapp\remix_-copy-of-miljöbeslut.se-portal\M-2025-1072.pdf", "Öppna PDF")</f>
        <v/>
      </c>
    </row>
    <row r="808">
      <c r="A808" t="inlineStr">
        <is>
          <t>KRAV-AUTO-000807</t>
        </is>
      </c>
      <c r="B808" t="inlineStr">
        <is>
          <t>ADMIN-INDEX-2026-02-27-00000000125C043F57453246863FE664CAFE6A3F0700950291EA24F0614FB6ACEDB12BF0E31D00000000010C0000950291EA24F0614FB6ACEDB12BF0E31D00002087A5D60000</t>
        </is>
      </c>
      <c r="C808" t="inlineStr">
        <is>
          <t>cmm4yuqwj040tcuqwkjxx26xs</t>
        </is>
      </c>
      <c r="D808" t="inlineStr">
        <is>
          <t>http://localhost:8787/api/admin/requirements/documents/cmm4yuqwj040tcuqwkjxx26xs/view</t>
        </is>
      </c>
      <c r="E808">
        <f>HYPERLÄNK("http://localhost:8787/api/admin/requirements/documents/cmm4yuqwj040tcuqwkjxx26xs/view";"Öppna PDF")</f>
        <v/>
      </c>
      <c r="F808">
        <f>HYPERLINK("http://localhost:8787/api/admin/requirements/documents/cmm4yuqwj040tcuqwkjxx26xs/view","Open PDF")</f>
        <v/>
      </c>
      <c r="G808" t="inlineStr">
        <is>
          <t>cmm55w57p0004cuisfrtpqly8</t>
        </is>
      </c>
      <c r="H808" t="inlineStr">
        <is>
          <t>Beslutsvillkor</t>
        </is>
      </c>
      <c r="I808" t="inlineStr">
        <is>
          <t>Riskhantering</t>
        </is>
      </c>
      <c r="J808" t="inlineStr">
        <is>
          <t>Riskkontroll</t>
        </is>
      </c>
      <c r="K808" t="inlineStr">
        <is>
          <t>Detta för att minska risken för stöld/sabotage.</t>
        </is>
      </c>
      <c r="L808" t="inlineStr">
        <is>
          <t>Detta för att minska risken för stöld/sabotage.</t>
        </is>
      </c>
      <c r="M808" t="inlineStr">
        <is>
          <t>SKA</t>
        </is>
      </c>
      <c r="N808" t="inlineStr"/>
      <c r="O808" t="inlineStr"/>
      <c r="P808" t="inlineStr"/>
      <c r="Q808" t="inlineStr"/>
      <c r="R808" t="inlineStr">
        <is>
          <t>Vid risk for incident</t>
        </is>
      </c>
      <c r="S808" t="inlineStr"/>
      <c r="T808" t="inlineStr">
        <is>
          <t>2024 15</t>
        </is>
      </c>
      <c r="U808" t="inlineStr"/>
      <c r="V808" t="inlineStr"/>
      <c r="W808" t="inlineStr">
        <is>
          <t>Nej</t>
        </is>
      </c>
      <c r="X808" t="inlineStr">
        <is>
          <t>Nej</t>
        </is>
      </c>
      <c r="Y808" t="inlineStr">
        <is>
          <t>Ja</t>
        </is>
      </c>
      <c r="Z808" t="inlineStr">
        <is>
          <t>Ja</t>
        </is>
      </c>
      <c r="AA808" t="n">
        <v>8</v>
      </c>
      <c r="AB808" t="inlineStr">
        <is>
          <t>Riskhantering</t>
        </is>
      </c>
      <c r="AC808" t="inlineStr">
        <is>
          <t>Risk-PM</t>
        </is>
      </c>
      <c r="AD808" t="inlineStr">
        <is>
          <t>Nej</t>
        </is>
      </c>
      <c r="AE808" t="inlineStr">
        <is>
          <t>Nej</t>
        </is>
      </c>
      <c r="AF808" t="inlineStr">
        <is>
          <t>Ej behandlad</t>
        </is>
      </c>
      <c r="AG808" t="inlineStr">
        <is>
          <t>AUTO_GENERERAD. Verifiera citat mot kallfil.</t>
        </is>
      </c>
      <c r="AH808" t="inlineStr">
        <is>
          <t>MEDIUM</t>
        </is>
      </c>
      <c r="AI808" t="inlineStr">
        <is>
          <t>AUTO</t>
        </is>
      </c>
      <c r="AJ808" t="inlineStr">
        <is>
          <t>Nej</t>
        </is>
      </c>
      <c r="AK808" t="inlineStr"/>
      <c r="AL808" t="inlineStr"/>
      <c r="AM808" t="inlineStr"/>
      <c r="AN808" t="inlineStr"/>
      <c r="AO808" t="inlineStr">
        <is>
          <t>cmm4yuqwg040qcuqw4w3wh8u8</t>
        </is>
      </c>
      <c r="AP808" t="inlineStr">
        <is>
          <t>http://localhost:8787/api/admin/requirements/documents/cmm4yuqwg040qcuqw4w3wh8u8/view</t>
        </is>
      </c>
      <c r="AQ808">
        <f>HYPERLÄNK("http://localhost:8787/api/admin/requirements/documents/cmm4yuqwg040qcuqw4w3wh8u8/view";"Öppna PDF")</f>
        <v/>
      </c>
      <c r="AR808">
        <f>HYPERLINK("http://localhost:8787/api/admin/requirements/documents/cmm4yuqwg040qcuqw4w3wh8u8/view","Open PDF")</f>
        <v/>
      </c>
      <c r="AS808" t="inlineStr">
        <is>
          <t>cmm55w57p0004cuisfrtpqly8</t>
        </is>
      </c>
      <c r="AT808" t="inlineStr">
        <is>
          <t>cmm4xvu980000cuh4vj0usz09</t>
        </is>
      </c>
      <c r="AU808" t="inlineStr"/>
      <c r="AV808" t="inlineStr">
        <is>
          <t>Kommun</t>
        </is>
      </c>
      <c r="AW808" t="inlineStr"/>
      <c r="AX808" t="inlineStr">
        <is>
          <t>2025-10</t>
        </is>
      </c>
      <c r="AY808" t="inlineStr">
        <is>
          <t>Beslut</t>
        </is>
      </c>
      <c r="AZ808" t="inlineStr">
        <is>
          <t>2026-02-05</t>
        </is>
      </c>
      <c r="BA808" t="inlineStr">
        <is>
          <t>M-2025-1072.pdf</t>
        </is>
      </c>
      <c r="BB808" t="inlineStr">
        <is>
          <t>Sv: till registrator</t>
        </is>
      </c>
      <c r="BC808" t="inlineStr">
        <is>
          <t>AUTO</t>
        </is>
      </c>
      <c r="BD808" t="inlineStr"/>
      <c r="BE808" t="inlineStr"/>
      <c r="BF808" t="inlineStr">
        <is>
          <t>AUTO_GENERERAD. Bekrafta metadata mot kallfil.</t>
        </is>
      </c>
      <c r="BG808">
        <f>HYPERLINK("C:\Users\jimmy\Desktop\Examens arbete\Kod\Ny mapp\remix_-copy-of-miljöbeslut.se-portal\M-2025-1072.pdf", "Öppna PDF")</f>
        <v/>
      </c>
    </row>
    <row r="809">
      <c r="A809" t="inlineStr">
        <is>
          <t>KRAV-AUTO-000808</t>
        </is>
      </c>
      <c r="B809" t="inlineStr">
        <is>
          <t>ADMIN-INDEX-2026-02-27-00000000125C043F57453246863FE664CAFE6A3F0700950291EA24F0614FB6ACEDB12BF0E31D00000000010C0000950291EA24F0614FB6ACEDB12BF0E31D00002087A5D60000</t>
        </is>
      </c>
      <c r="C809" t="inlineStr">
        <is>
          <t>cmm4yuqwj040tcuqwkjxx26xs</t>
        </is>
      </c>
      <c r="D809" t="inlineStr">
        <is>
          <t>http://localhost:8787/api/admin/requirements/documents/cmm4yuqwj040tcuqwkjxx26xs/view</t>
        </is>
      </c>
      <c r="E809">
        <f>HYPERLÄNK("http://localhost:8787/api/admin/requirements/documents/cmm4yuqwj040tcuqwkjxx26xs/view";"Öppna PDF")</f>
        <v/>
      </c>
      <c r="F809">
        <f>HYPERLINK("http://localhost:8787/api/admin/requirements/documents/cmm4yuqwj040tcuqwkjxx26xs/view","Open PDF")</f>
        <v/>
      </c>
      <c r="G809" t="inlineStr">
        <is>
          <t>cmm55w57p0004cuisfrtpqly8</t>
        </is>
      </c>
      <c r="H809" t="inlineStr">
        <is>
          <t>Beslutsvillkor</t>
        </is>
      </c>
      <c r="I809" t="inlineStr">
        <is>
          <t>MiljopaverkanForsiktighet</t>
        </is>
      </c>
      <c r="J809" t="inlineStr">
        <is>
          <t>Skyddsatgarder</t>
        </is>
      </c>
      <c r="K809" t="inlineStr">
        <is>
          <t>Gränsvärdena som avfallsmassorna ska innehålla är inte bedömda utifrån bakgrundshalter i området.</t>
        </is>
      </c>
      <c r="L809" t="inlineStr">
        <is>
          <t>Gränsvärdena som avfallsmassorna ska innehålla är inte bedömda utifrån bakgrundshalter i området.</t>
        </is>
      </c>
      <c r="M809" t="inlineStr">
        <is>
          <t>SKA</t>
        </is>
      </c>
      <c r="N809" t="inlineStr"/>
      <c r="O809" t="inlineStr"/>
      <c r="P809" t="inlineStr"/>
      <c r="Q809" t="inlineStr"/>
      <c r="R809" t="inlineStr">
        <is>
          <t>Alltid</t>
        </is>
      </c>
      <c r="S809" t="inlineStr"/>
      <c r="T809" t="inlineStr">
        <is>
          <t>2024 15</t>
        </is>
      </c>
      <c r="U809" t="inlineStr"/>
      <c r="V809" t="inlineStr"/>
      <c r="W809" t="inlineStr">
        <is>
          <t>Nej</t>
        </is>
      </c>
      <c r="X809" t="inlineStr">
        <is>
          <t>Nej</t>
        </is>
      </c>
      <c r="Y809" t="inlineStr">
        <is>
          <t>Nej</t>
        </is>
      </c>
      <c r="Z809" t="inlineStr">
        <is>
          <t>Nej</t>
        </is>
      </c>
      <c r="AA809" t="n">
        <v>10</v>
      </c>
      <c r="AB809" t="inlineStr">
        <is>
          <t>Miljopaverkan och forsiktighetsmatt</t>
        </is>
      </c>
      <c r="AC809" t="inlineStr">
        <is>
          <t>Miljo-PM</t>
        </is>
      </c>
      <c r="AD809" t="inlineStr">
        <is>
          <t>Nej</t>
        </is>
      </c>
      <c r="AE809" t="inlineStr">
        <is>
          <t>Nej</t>
        </is>
      </c>
      <c r="AF809" t="inlineStr">
        <is>
          <t>Ej behandlad</t>
        </is>
      </c>
      <c r="AG809" t="inlineStr">
        <is>
          <t>AUTO_GENERERAD. Verifiera citat mot kallfil.</t>
        </is>
      </c>
      <c r="AH809" t="inlineStr">
        <is>
          <t>MEDIUM</t>
        </is>
      </c>
      <c r="AI809" t="inlineStr">
        <is>
          <t>AUTO</t>
        </is>
      </c>
      <c r="AJ809" t="inlineStr">
        <is>
          <t>Nej</t>
        </is>
      </c>
      <c r="AK809" t="inlineStr"/>
      <c r="AL809" t="inlineStr"/>
      <c r="AM809" t="inlineStr"/>
      <c r="AN809" t="inlineStr"/>
      <c r="AO809" t="inlineStr">
        <is>
          <t>cmm4yuqwg040qcuqw4w3wh8u8</t>
        </is>
      </c>
      <c r="AP809" t="inlineStr">
        <is>
          <t>http://localhost:8787/api/admin/requirements/documents/cmm4yuqwg040qcuqw4w3wh8u8/view</t>
        </is>
      </c>
      <c r="AQ809">
        <f>HYPERLÄNK("http://localhost:8787/api/admin/requirements/documents/cmm4yuqwg040qcuqw4w3wh8u8/view";"Öppna PDF")</f>
        <v/>
      </c>
      <c r="AR809">
        <f>HYPERLINK("http://localhost:8787/api/admin/requirements/documents/cmm4yuqwg040qcuqw4w3wh8u8/view","Open PDF")</f>
        <v/>
      </c>
      <c r="AS809" t="inlineStr">
        <is>
          <t>cmm55w57p0004cuisfrtpqly8</t>
        </is>
      </c>
      <c r="AT809" t="inlineStr">
        <is>
          <t>cmm4xvu980000cuh4vj0usz09</t>
        </is>
      </c>
      <c r="AU809" t="inlineStr"/>
      <c r="AV809" t="inlineStr">
        <is>
          <t>Kommun</t>
        </is>
      </c>
      <c r="AW809" t="inlineStr"/>
      <c r="AX809" t="inlineStr">
        <is>
          <t>2025-10</t>
        </is>
      </c>
      <c r="AY809" t="inlineStr">
        <is>
          <t>Beslut</t>
        </is>
      </c>
      <c r="AZ809" t="inlineStr">
        <is>
          <t>2026-02-05</t>
        </is>
      </c>
      <c r="BA809" t="inlineStr">
        <is>
          <t>M-2025-1072.pdf</t>
        </is>
      </c>
      <c r="BB809" t="inlineStr">
        <is>
          <t>Sv: till registrator</t>
        </is>
      </c>
      <c r="BC809" t="inlineStr">
        <is>
          <t>AUTO</t>
        </is>
      </c>
      <c r="BD809" t="inlineStr"/>
      <c r="BE809" t="inlineStr"/>
      <c r="BF809" t="inlineStr">
        <is>
          <t>AUTO_GENERERAD. Bekrafta metadata mot kallfil.</t>
        </is>
      </c>
      <c r="BG809">
        <f>HYPERLINK("C:\Users\jimmy\Desktop\Examens arbete\Kod\Ny mapp\remix_-copy-of-miljöbeslut.se-portal\M-2025-1072.pdf", "Öppna PDF")</f>
        <v/>
      </c>
    </row>
    <row r="810">
      <c r="A810" t="inlineStr">
        <is>
          <t>KRAV-AUTO-000809</t>
        </is>
      </c>
      <c r="B810" t="inlineStr">
        <is>
          <t>ADMIN-INDEX-2026-02-27-00000000125C043F57453246863FE664CAFE6A3F0700950291EA24F0614FB6ACEDB12BF0E31D00000000010C0000950291EA24F0614FB6ACEDB12BF0E31D00002087AE390000</t>
        </is>
      </c>
      <c r="C810" t="inlineStr">
        <is>
          <t>cmm4yuq0q0352cuqwtzx4vvfr</t>
        </is>
      </c>
      <c r="D810" t="inlineStr">
        <is>
          <t>http://localhost:8787/api/admin/requirements/documents/cmm4yuq0q0352cuqwtzx4vvfr/view</t>
        </is>
      </c>
      <c r="E810">
        <f>HYPERLÄNK("http://localhost:8787/api/admin/requirements/documents/cmm4yuq0q0352cuqwtzx4vvfr/view";"Öppna PDF")</f>
        <v/>
      </c>
      <c r="F810">
        <f>HYPERLINK("http://localhost:8787/api/admin/requirements/documents/cmm4yuq0q0352cuqwtzx4vvfr/view","Open PDF")</f>
        <v/>
      </c>
      <c r="G810" t="inlineStr">
        <is>
          <t>cmm55w57p0004cuisfrtpqly8</t>
        </is>
      </c>
      <c r="H810" t="inlineStr">
        <is>
          <t>Beslutsvillkor</t>
        </is>
      </c>
      <c r="I810" t="inlineStr">
        <is>
          <t>LagringsvolymTid</t>
        </is>
      </c>
      <c r="J810" t="inlineStr">
        <is>
          <t>Maxmangd</t>
        </is>
      </c>
      <c r="K810" t="inlineStr">
        <is>
          <t>Uppskattning av använda mängder kan göras när projektet närmas sig sitt slut.</t>
        </is>
      </c>
      <c r="L810" t="inlineStr">
        <is>
          <t>Uppskattning av använda mängder kan göras när projektet närmas sig sitt slut.</t>
        </is>
      </c>
      <c r="M810" t="inlineStr">
        <is>
          <t>SKA</t>
        </is>
      </c>
      <c r="N810" t="inlineStr"/>
      <c r="O810" t="inlineStr"/>
      <c r="P810" t="inlineStr"/>
      <c r="Q810" t="inlineStr"/>
      <c r="R810" t="inlineStr">
        <is>
          <t>Alltid</t>
        </is>
      </c>
      <c r="S810" t="inlineStr"/>
      <c r="T810" t="inlineStr">
        <is>
          <t>200617</t>
        </is>
      </c>
      <c r="U810" t="inlineStr"/>
      <c r="V810" t="inlineStr"/>
      <c r="W810" t="inlineStr">
        <is>
          <t>Nej</t>
        </is>
      </c>
      <c r="X810" t="inlineStr">
        <is>
          <t>Nej</t>
        </is>
      </c>
      <c r="Y810" t="inlineStr">
        <is>
          <t>Nej</t>
        </is>
      </c>
      <c r="Z810" t="inlineStr">
        <is>
          <t>Nej</t>
        </is>
      </c>
      <c r="AA810" t="n">
        <v>4</v>
      </c>
      <c r="AB810" t="inlineStr">
        <is>
          <t>Avfallsmangder och lagringstid</t>
        </is>
      </c>
      <c r="AC810" t="inlineStr">
        <is>
          <t>Avfallsforteckning</t>
        </is>
      </c>
      <c r="AD810" t="inlineStr">
        <is>
          <t>Nej</t>
        </is>
      </c>
      <c r="AE810" t="inlineStr">
        <is>
          <t>Nej</t>
        </is>
      </c>
      <c r="AF810" t="inlineStr">
        <is>
          <t>Ej behandlad</t>
        </is>
      </c>
      <c r="AG810" t="inlineStr">
        <is>
          <t>AUTO_GENERERAD. Verifiera citat mot kallfil.</t>
        </is>
      </c>
      <c r="AH810" t="inlineStr">
        <is>
          <t>MEDIUM</t>
        </is>
      </c>
      <c r="AI810" t="inlineStr">
        <is>
          <t>AUTO</t>
        </is>
      </c>
      <c r="AJ810" t="inlineStr">
        <is>
          <t>Nej</t>
        </is>
      </c>
      <c r="AK810" t="inlineStr"/>
      <c r="AL810" t="inlineStr"/>
      <c r="AM810" t="inlineStr"/>
      <c r="AN810" t="inlineStr"/>
      <c r="AO810" t="inlineStr">
        <is>
          <t>cmm4yuq2p036zcuqwaceu4qia</t>
        </is>
      </c>
      <c r="AP810" t="inlineStr">
        <is>
          <t>http://localhost:8787/api/admin/requirements/documents/cmm4yuq2p036zcuqwaceu4qia/view</t>
        </is>
      </c>
      <c r="AQ810">
        <f>HYPERLÄNK("http://localhost:8787/api/admin/requirements/documents/cmm4yuq2p036zcuqwaceu4qia/view";"Öppna PDF")</f>
        <v/>
      </c>
      <c r="AR810">
        <f>HYPERLINK("http://localhost:8787/api/admin/requirements/documents/cmm4yuq2p036zcuqwaceu4qia/view","Open PDF")</f>
        <v/>
      </c>
      <c r="AS810" t="inlineStr">
        <is>
          <t>cmm55w57p0004cuisfrtpqly8</t>
        </is>
      </c>
      <c r="AT810" t="inlineStr">
        <is>
          <t>cmm4xvu980000cuh4vj0usz09</t>
        </is>
      </c>
      <c r="AU810" t="inlineStr">
        <is>
          <t>Lilla Edets</t>
        </is>
      </c>
      <c r="AV810" t="inlineStr">
        <is>
          <t>Kommun</t>
        </is>
      </c>
      <c r="AW810" t="inlineStr">
        <is>
          <t>Lilla Edets kommun</t>
        </is>
      </c>
      <c r="AX810" t="inlineStr">
        <is>
          <t>2024-06</t>
        </is>
      </c>
      <c r="AY810" t="inlineStr">
        <is>
          <t>Beslut</t>
        </is>
      </c>
      <c r="AZ810" t="inlineStr">
        <is>
          <t>2026-02-04</t>
        </is>
      </c>
      <c r="BA810" t="inlineStr">
        <is>
          <t>MB-2024-625-1 13.3 Miljöteknisk markundersökning.pdf</t>
        </is>
      </c>
      <c r="BB810" t="inlineStr">
        <is>
          <t>VB: till registrator</t>
        </is>
      </c>
      <c r="BC810" t="inlineStr">
        <is>
          <t>AUTO</t>
        </is>
      </c>
      <c r="BD810" t="inlineStr"/>
      <c r="BE810" t="inlineStr"/>
      <c r="BF810" t="inlineStr">
        <is>
          <t>AUTO_GENERERAD. Bekrafta metadata mot kallfil.</t>
        </is>
      </c>
      <c r="BG810">
        <f>HYPERLINK("C:\Users\jimmy\Desktop\Examens arbete\Kod\Ny mapp\remix_-copy-of-miljöbeslut.se-portal\MB-2024-625-1 13.3 Miljöteknisk markundersökning.pdf", "Öppna PDF")</f>
        <v/>
      </c>
    </row>
    <row r="811">
      <c r="A811" t="inlineStr">
        <is>
          <t>KRAV-AUTO-000810</t>
        </is>
      </c>
      <c r="B811" t="inlineStr">
        <is>
          <t>ADMIN-INDEX-2026-02-27-00000000125C043F57453246863FE664CAFE6A3F0700950291EA24F0614FB6ACEDB12BF0E31D00000000010C0000950291EA24F0614FB6ACEDB12BF0E31D00002087AE390000</t>
        </is>
      </c>
      <c r="C811" t="inlineStr">
        <is>
          <t>cmm4yuq0q0352cuqwtzx4vvfr</t>
        </is>
      </c>
      <c r="D811" t="inlineStr">
        <is>
          <t>http://localhost:8787/api/admin/requirements/documents/cmm4yuq0q0352cuqwtzx4vvfr/view</t>
        </is>
      </c>
      <c r="E811">
        <f>HYPERLÄNK("http://localhost:8787/api/admin/requirements/documents/cmm4yuq0q0352cuqwtzx4vvfr/view";"Öppna PDF")</f>
        <v/>
      </c>
      <c r="F811">
        <f>HYPERLINK("http://localhost:8787/api/admin/requirements/documents/cmm4yuq0q0352cuqwtzx4vvfr/view","Open PDF")</f>
        <v/>
      </c>
      <c r="G811" t="inlineStr">
        <is>
          <t>cmm55w57p0004cuisfrtpqly8</t>
        </is>
      </c>
      <c r="H811" t="inlineStr">
        <is>
          <t>Beslutsvillkor</t>
        </is>
      </c>
      <c r="I811" t="inlineStr">
        <is>
          <t>MiljopaverkanForsiktighet</t>
        </is>
      </c>
      <c r="J811" t="inlineStr">
        <is>
          <t>Skyddsatgarder</t>
        </is>
      </c>
      <c r="K811" t="inlineStr">
        <is>
          <t>Avfall och farligt avfall Skulle misstänkt förorenade massor upptäckas ska detta omedelbart anmälas till VD.</t>
        </is>
      </c>
      <c r="L811" t="inlineStr">
        <is>
          <t>Avfall och farligt avfall Skulle misstänkt förorenade massor upptäckas ska detta omedelbart anmälas till VD.</t>
        </is>
      </c>
      <c r="M811" t="inlineStr">
        <is>
          <t>SKA</t>
        </is>
      </c>
      <c r="N811" t="inlineStr"/>
      <c r="O811" t="inlineStr"/>
      <c r="P811" t="inlineStr">
        <is>
          <t>Arlig</t>
        </is>
      </c>
      <c r="Q811" t="inlineStr"/>
      <c r="R811" t="inlineStr">
        <is>
          <t>Alltid</t>
        </is>
      </c>
      <c r="S811" t="inlineStr"/>
      <c r="T811" t="inlineStr">
        <is>
          <t>200617</t>
        </is>
      </c>
      <c r="U811" t="inlineStr"/>
      <c r="V811" t="inlineStr"/>
      <c r="W811" t="inlineStr">
        <is>
          <t>Nej</t>
        </is>
      </c>
      <c r="X811" t="inlineStr">
        <is>
          <t>Nej</t>
        </is>
      </c>
      <c r="Y811" t="inlineStr">
        <is>
          <t>Nej</t>
        </is>
      </c>
      <c r="Z811" t="inlineStr">
        <is>
          <t>Nej</t>
        </is>
      </c>
      <c r="AA811" t="n">
        <v>10</v>
      </c>
      <c r="AB811" t="inlineStr">
        <is>
          <t>Miljopaverkan och forsiktighetsmatt</t>
        </is>
      </c>
      <c r="AC811" t="inlineStr">
        <is>
          <t>Miljo-PM</t>
        </is>
      </c>
      <c r="AD811" t="inlineStr">
        <is>
          <t>Nej</t>
        </is>
      </c>
      <c r="AE811" t="inlineStr">
        <is>
          <t>Nej</t>
        </is>
      </c>
      <c r="AF811" t="inlineStr">
        <is>
          <t>Ej behandlad</t>
        </is>
      </c>
      <c r="AG811" t="inlineStr">
        <is>
          <t>AUTO_GENERERAD. Verifiera citat mot kallfil.</t>
        </is>
      </c>
      <c r="AH811" t="inlineStr">
        <is>
          <t>MEDIUM</t>
        </is>
      </c>
      <c r="AI811" t="inlineStr">
        <is>
          <t>AUTO</t>
        </is>
      </c>
      <c r="AJ811" t="inlineStr">
        <is>
          <t>Nej</t>
        </is>
      </c>
      <c r="AK811" t="inlineStr"/>
      <c r="AL811" t="inlineStr"/>
      <c r="AM811" t="inlineStr"/>
      <c r="AN811" t="inlineStr"/>
      <c r="AO811" t="inlineStr">
        <is>
          <t>cmm4yuq2p036zcuqwaceu4qia</t>
        </is>
      </c>
      <c r="AP811" t="inlineStr">
        <is>
          <t>http://localhost:8787/api/admin/requirements/documents/cmm4yuq2p036zcuqwaceu4qia/view</t>
        </is>
      </c>
      <c r="AQ811">
        <f>HYPERLÄNK("http://localhost:8787/api/admin/requirements/documents/cmm4yuq2p036zcuqwaceu4qia/view";"Öppna PDF")</f>
        <v/>
      </c>
      <c r="AR811">
        <f>HYPERLINK("http://localhost:8787/api/admin/requirements/documents/cmm4yuq2p036zcuqwaceu4qia/view","Open PDF")</f>
        <v/>
      </c>
      <c r="AS811" t="inlineStr">
        <is>
          <t>cmm55w57p0004cuisfrtpqly8</t>
        </is>
      </c>
      <c r="AT811" t="inlineStr">
        <is>
          <t>cmm4xvu980000cuh4vj0usz09</t>
        </is>
      </c>
      <c r="AU811" t="inlineStr">
        <is>
          <t>Lilla Edets</t>
        </is>
      </c>
      <c r="AV811" t="inlineStr">
        <is>
          <t>Kommun</t>
        </is>
      </c>
      <c r="AW811" t="inlineStr">
        <is>
          <t>Lilla Edets kommun</t>
        </is>
      </c>
      <c r="AX811" t="inlineStr">
        <is>
          <t>2024-06</t>
        </is>
      </c>
      <c r="AY811" t="inlineStr">
        <is>
          <t>Beslut</t>
        </is>
      </c>
      <c r="AZ811" t="inlineStr">
        <is>
          <t>2026-02-04</t>
        </is>
      </c>
      <c r="BA811" t="inlineStr">
        <is>
          <t>MB-2024-625-1 13.3 Miljöteknisk markundersökning.pdf</t>
        </is>
      </c>
      <c r="BB811" t="inlineStr">
        <is>
          <t>VB: till registrator</t>
        </is>
      </c>
      <c r="BC811" t="inlineStr">
        <is>
          <t>AUTO</t>
        </is>
      </c>
      <c r="BD811" t="inlineStr"/>
      <c r="BE811" t="inlineStr"/>
      <c r="BF811" t="inlineStr">
        <is>
          <t>AUTO_GENERERAD. Bekrafta metadata mot kallfil.</t>
        </is>
      </c>
      <c r="BG811">
        <f>HYPERLINK("C:\Users\jimmy\Desktop\Examens arbete\Kod\Ny mapp\remix_-copy-of-miljöbeslut.se-portal\MB-2024-625-1 13.3 Miljöteknisk markundersökning.pdf", "Öppna PDF")</f>
        <v/>
      </c>
    </row>
    <row r="812">
      <c r="A812" t="inlineStr">
        <is>
          <t>KRAV-AUTO-000811</t>
        </is>
      </c>
      <c r="B812" t="inlineStr">
        <is>
          <t>ADMIN-INDEX-2026-02-27-00000000125C043F57453246863FE664CAFE6A3F0700950291EA24F0614FB6ACEDB12BF0E31D00000000010C0000950291EA24F0614FB6ACEDB12BF0E31D00002087AE390000</t>
        </is>
      </c>
      <c r="C812" t="inlineStr">
        <is>
          <t>cmm4yuq0q0352cuqwtzx4vvfr</t>
        </is>
      </c>
      <c r="D812" t="inlineStr">
        <is>
          <t>http://localhost:8787/api/admin/requirements/documents/cmm4yuq0q0352cuqwtzx4vvfr/view</t>
        </is>
      </c>
      <c r="E812">
        <f>HYPERLÄNK("http://localhost:8787/api/admin/requirements/documents/cmm4yuq0q0352cuqwtzx4vvfr/view";"Öppna PDF")</f>
        <v/>
      </c>
      <c r="F812">
        <f>HYPERLINK("http://localhost:8787/api/admin/requirements/documents/cmm4yuq0q0352cuqwtzx4vvfr/view","Open PDF")</f>
        <v/>
      </c>
      <c r="G812" t="inlineStr">
        <is>
          <t>cmm55w57p0004cuisfrtpqly8</t>
        </is>
      </c>
      <c r="H812" t="inlineStr">
        <is>
          <t>Beslutsvillkor</t>
        </is>
      </c>
      <c r="I812" t="inlineStr">
        <is>
          <t>Riskhantering</t>
        </is>
      </c>
      <c r="J812" t="inlineStr">
        <is>
          <t>Riskkontroll</t>
        </is>
      </c>
      <c r="K812" t="inlineStr">
        <is>
          <t>Val och hantering av material och kemiska produkter Lagring av kemikalier ska ske brandsäkert samt utom räckhåll för obehöriga.</t>
        </is>
      </c>
      <c r="L812" t="inlineStr">
        <is>
          <t>Val och hantering av material och kemiska produkter Lagring av kemikalier ska ske brandsäkert samt utom räckhåll för obehöriga.</t>
        </is>
      </c>
      <c r="M812" t="inlineStr">
        <is>
          <t>SKA</t>
        </is>
      </c>
      <c r="N812" t="inlineStr"/>
      <c r="O812" t="inlineStr"/>
      <c r="P812" t="inlineStr"/>
      <c r="Q812" t="inlineStr"/>
      <c r="R812" t="inlineStr">
        <is>
          <t>Vid risk for incident</t>
        </is>
      </c>
      <c r="S812" t="inlineStr"/>
      <c r="T812" t="inlineStr">
        <is>
          <t>200617</t>
        </is>
      </c>
      <c r="U812" t="inlineStr"/>
      <c r="V812" t="inlineStr"/>
      <c r="W812" t="inlineStr">
        <is>
          <t>Nej</t>
        </is>
      </c>
      <c r="X812" t="inlineStr">
        <is>
          <t>Nej</t>
        </is>
      </c>
      <c r="Y812" t="inlineStr">
        <is>
          <t>Ja</t>
        </is>
      </c>
      <c r="Z812" t="inlineStr">
        <is>
          <t>Ja</t>
        </is>
      </c>
      <c r="AA812" t="n">
        <v>8</v>
      </c>
      <c r="AB812" t="inlineStr">
        <is>
          <t>Riskhantering</t>
        </is>
      </c>
      <c r="AC812" t="inlineStr">
        <is>
          <t>Risk-PM</t>
        </is>
      </c>
      <c r="AD812" t="inlineStr">
        <is>
          <t>Nej</t>
        </is>
      </c>
      <c r="AE812" t="inlineStr">
        <is>
          <t>Nej</t>
        </is>
      </c>
      <c r="AF812" t="inlineStr">
        <is>
          <t>Ej behandlad</t>
        </is>
      </c>
      <c r="AG812" t="inlineStr">
        <is>
          <t>AUTO_GENERERAD. Verifiera citat mot kallfil.</t>
        </is>
      </c>
      <c r="AH812" t="inlineStr">
        <is>
          <t>MEDIUM</t>
        </is>
      </c>
      <c r="AI812" t="inlineStr">
        <is>
          <t>AUTO</t>
        </is>
      </c>
      <c r="AJ812" t="inlineStr">
        <is>
          <t>Nej</t>
        </is>
      </c>
      <c r="AK812" t="inlineStr"/>
      <c r="AL812" t="inlineStr"/>
      <c r="AM812" t="inlineStr"/>
      <c r="AN812" t="inlineStr"/>
      <c r="AO812" t="inlineStr">
        <is>
          <t>cmm4yuq2p036zcuqwaceu4qia</t>
        </is>
      </c>
      <c r="AP812" t="inlineStr">
        <is>
          <t>http://localhost:8787/api/admin/requirements/documents/cmm4yuq2p036zcuqwaceu4qia/view</t>
        </is>
      </c>
      <c r="AQ812">
        <f>HYPERLÄNK("http://localhost:8787/api/admin/requirements/documents/cmm4yuq2p036zcuqwaceu4qia/view";"Öppna PDF")</f>
        <v/>
      </c>
      <c r="AR812">
        <f>HYPERLINK("http://localhost:8787/api/admin/requirements/documents/cmm4yuq2p036zcuqwaceu4qia/view","Open PDF")</f>
        <v/>
      </c>
      <c r="AS812" t="inlineStr">
        <is>
          <t>cmm55w57p0004cuisfrtpqly8</t>
        </is>
      </c>
      <c r="AT812" t="inlineStr">
        <is>
          <t>cmm4xvu980000cuh4vj0usz09</t>
        </is>
      </c>
      <c r="AU812" t="inlineStr">
        <is>
          <t>Lilla Edets</t>
        </is>
      </c>
      <c r="AV812" t="inlineStr">
        <is>
          <t>Kommun</t>
        </is>
      </c>
      <c r="AW812" t="inlineStr">
        <is>
          <t>Lilla Edets kommun</t>
        </is>
      </c>
      <c r="AX812" t="inlineStr">
        <is>
          <t>2024-06</t>
        </is>
      </c>
      <c r="AY812" t="inlineStr">
        <is>
          <t>Beslut</t>
        </is>
      </c>
      <c r="AZ812" t="inlineStr">
        <is>
          <t>2026-02-04</t>
        </is>
      </c>
      <c r="BA812" t="inlineStr">
        <is>
          <t>MB-2024-625-1 13.3 Miljöteknisk markundersökning.pdf</t>
        </is>
      </c>
      <c r="BB812" t="inlineStr">
        <is>
          <t>VB: till registrator</t>
        </is>
      </c>
      <c r="BC812" t="inlineStr">
        <is>
          <t>AUTO</t>
        </is>
      </c>
      <c r="BD812" t="inlineStr"/>
      <c r="BE812" t="inlineStr"/>
      <c r="BF812" t="inlineStr">
        <is>
          <t>AUTO_GENERERAD. Bekrafta metadata mot kallfil.</t>
        </is>
      </c>
      <c r="BG812">
        <f>HYPERLINK("C:\Users\jimmy\Desktop\Examens arbete\Kod\Ny mapp\remix_-copy-of-miljöbeslut.se-portal\MB-2024-625-1 13.3 Miljöteknisk markundersökning.pdf", "Öppna PDF")</f>
        <v/>
      </c>
    </row>
    <row r="813">
      <c r="A813" t="inlineStr">
        <is>
          <t>KRAV-AUTO-000812</t>
        </is>
      </c>
      <c r="B813" t="inlineStr">
        <is>
          <t>ADMIN-INDEX-2026-02-27-00000000125C043F57453246863FE664CAFE6A3F0700950291EA24F0614FB6ACEDB12BF0E31D00000000010C0000950291EA24F0614FB6ACEDB12BF0E31D00002087A5D70000</t>
        </is>
      </c>
      <c r="C813" t="inlineStr">
        <is>
          <t>cmm4yuqwb040kcuqwpmag8g2a</t>
        </is>
      </c>
      <c r="D813" t="inlineStr">
        <is>
          <t>http://localhost:8787/api/admin/requirements/documents/cmm4yuqwb040kcuqwpmag8g2a/view</t>
        </is>
      </c>
      <c r="E813">
        <f>HYPERLÄNK("http://localhost:8787/api/admin/requirements/documents/cmm4yuqwb040kcuqwpmag8g2a/view";"Öppna PDF")</f>
        <v/>
      </c>
      <c r="F813">
        <f>HYPERLINK("http://localhost:8787/api/admin/requirements/documents/cmm4yuqwb040kcuqwpmag8g2a/view","Open PDF")</f>
        <v/>
      </c>
      <c r="G813" t="inlineStr">
        <is>
          <t>cmm55w57p0004cuisfrtpqly8</t>
        </is>
      </c>
      <c r="H813" t="inlineStr">
        <is>
          <t>Informationskrav</t>
        </is>
      </c>
      <c r="I813" t="inlineStr">
        <is>
          <t>MiljopaverkanForsiktighet</t>
        </is>
      </c>
      <c r="J813" t="inlineStr">
        <is>
          <t>Skyddsatgarder</t>
        </is>
      </c>
      <c r="K813" t="inlineStr">
        <is>
          <t>Om annat avfall ska användas för anläggningsändamål på fastigheten, ska en ny anmälan lämnas in till miljöavdelningen.</t>
        </is>
      </c>
      <c r="L813" t="inlineStr">
        <is>
          <t>Om annat avfall ska användas för anläggningsändamål på fastigheten, ska en ny anmälan lämnas in till miljöavdelningen.</t>
        </is>
      </c>
      <c r="M813" t="inlineStr">
        <is>
          <t>SKA</t>
        </is>
      </c>
      <c r="N813" t="inlineStr"/>
      <c r="O813" t="inlineStr"/>
      <c r="P813" t="inlineStr"/>
      <c r="Q813" t="inlineStr"/>
      <c r="R813" t="inlineStr">
        <is>
          <t>Alltid</t>
        </is>
      </c>
      <c r="S813" t="inlineStr"/>
      <c r="T813" t="inlineStr">
        <is>
          <t>26 70 00</t>
        </is>
      </c>
      <c r="U813" t="inlineStr"/>
      <c r="V813" t="inlineStr"/>
      <c r="W813" t="inlineStr">
        <is>
          <t>Nej</t>
        </is>
      </c>
      <c r="X813" t="inlineStr">
        <is>
          <t>Nej</t>
        </is>
      </c>
      <c r="Y813" t="inlineStr">
        <is>
          <t>Nej</t>
        </is>
      </c>
      <c r="Z813" t="inlineStr">
        <is>
          <t>Nej</t>
        </is>
      </c>
      <c r="AA813" t="n">
        <v>10</v>
      </c>
      <c r="AB813" t="inlineStr">
        <is>
          <t>Miljopaverkan och forsiktighetsmatt</t>
        </is>
      </c>
      <c r="AC813" t="inlineStr">
        <is>
          <t>Miljo-PM</t>
        </is>
      </c>
      <c r="AD813" t="inlineStr">
        <is>
          <t>Nej</t>
        </is>
      </c>
      <c r="AE813" t="inlineStr">
        <is>
          <t>Nej</t>
        </is>
      </c>
      <c r="AF813" t="inlineStr">
        <is>
          <t>Ej behandlad</t>
        </is>
      </c>
      <c r="AG813" t="inlineStr">
        <is>
          <t>AUTO_GENERERAD. Verifiera citat mot kallfil.</t>
        </is>
      </c>
      <c r="AH813" t="inlineStr">
        <is>
          <t>MEDIUM</t>
        </is>
      </c>
      <c r="AI813" t="inlineStr">
        <is>
          <t>AUTO</t>
        </is>
      </c>
      <c r="AJ813" t="inlineStr">
        <is>
          <t>Nej</t>
        </is>
      </c>
      <c r="AK813" t="inlineStr"/>
      <c r="AL813" t="inlineStr"/>
      <c r="AM813" t="inlineStr"/>
      <c r="AN813" t="inlineStr"/>
      <c r="AO813" t="inlineStr">
        <is>
          <t>cmm4yuqwe040ncuqwqo98vhru</t>
        </is>
      </c>
      <c r="AP813" t="inlineStr">
        <is>
          <t>http://localhost:8787/api/admin/requirements/documents/cmm4yuqwe040ncuqwqo98vhru/view</t>
        </is>
      </c>
      <c r="AQ813">
        <f>HYPERLÄNK("http://localhost:8787/api/admin/requirements/documents/cmm4yuqwe040ncuqwqo98vhru/view";"Öppna PDF")</f>
        <v/>
      </c>
      <c r="AR813">
        <f>HYPERLINK("http://localhost:8787/api/admin/requirements/documents/cmm4yuqwe040ncuqwqo98vhru/view","Open PDF")</f>
        <v/>
      </c>
      <c r="AS813" t="inlineStr">
        <is>
          <t>cmm55w57p0004cuisfrtpqly8</t>
        </is>
      </c>
      <c r="AT813" t="inlineStr">
        <is>
          <t>cmm4xvu980000cuh4vj0usz09</t>
        </is>
      </c>
      <c r="AU813" t="inlineStr">
        <is>
          <t>Hässleholms</t>
        </is>
      </c>
      <c r="AV813" t="inlineStr">
        <is>
          <t>Kommun</t>
        </is>
      </c>
      <c r="AW813" t="inlineStr">
        <is>
          <t>Hässleholms kommun</t>
        </is>
      </c>
      <c r="AX813" t="inlineStr">
        <is>
          <t>2024-877</t>
        </is>
      </c>
      <c r="AY813" t="inlineStr">
        <is>
          <t>Anmalan</t>
        </is>
      </c>
      <c r="AZ813" t="inlineStr">
        <is>
          <t>2026-02-05</t>
        </is>
      </c>
      <c r="BA813" t="inlineStr">
        <is>
          <t>M-2024-877 - Anmälan.pdf</t>
        </is>
      </c>
      <c r="BB813" t="inlineStr">
        <is>
          <t>Sv:  Begäran om utlämnande av allmän handling – Anmälningar och beslut rörande mellanlagring av avfall samt anläggning av ytor</t>
        </is>
      </c>
      <c r="BC813" t="inlineStr">
        <is>
          <t>AUTO</t>
        </is>
      </c>
      <c r="BD813" t="inlineStr"/>
      <c r="BE813" t="inlineStr"/>
      <c r="BF813" t="inlineStr">
        <is>
          <t>AUTO_GENERERAD. Bekrafta metadata mot kallfil.</t>
        </is>
      </c>
      <c r="BG813">
        <f>HYPERLINK("C:\Users\jimmy\Desktop\Examens arbete\Kod\Ny mapp\remix_-copy-of-miljöbeslut.se-portal\M-2024-877 - Anmälan.pdf", "Öppna PDF")</f>
        <v/>
      </c>
    </row>
    <row r="814">
      <c r="A814" t="inlineStr">
        <is>
          <t>KRAV-AUTO-000813</t>
        </is>
      </c>
      <c r="B814" t="inlineStr">
        <is>
          <t>ADMIN-INDEX-2026-02-27-00000000125C043F57453246863FE664CAFE6A3F0700950291EA24F0614FB6ACEDB12BF0E31D00000000010C0000950291EA24F0614FB6ACEDB12BF0E31D00002087AE3A0000</t>
        </is>
      </c>
      <c r="C814" t="inlineStr">
        <is>
          <t>cmm4yuq01034ecuqwl63x1j4f</t>
        </is>
      </c>
      <c r="D814" t="inlineStr">
        <is>
          <t>http://localhost:8787/api/admin/requirements/documents/cmm4yuq01034ecuqwl63x1j4f/view</t>
        </is>
      </c>
      <c r="E814">
        <f>HYPERLÄNK("http://localhost:8787/api/admin/requirements/documents/cmm4yuq01034ecuqwl63x1j4f/view";"Öppna PDF")</f>
        <v/>
      </c>
      <c r="F814">
        <f>HYPERLINK("http://localhost:8787/api/admin/requirements/documents/cmm4yuq01034ecuqwl63x1j4f/view","Open PDF")</f>
        <v/>
      </c>
      <c r="G814" t="inlineStr">
        <is>
          <t>cmm55w57p0004cuisfrtpqly8</t>
        </is>
      </c>
      <c r="H814" t="inlineStr">
        <is>
          <t>Beslutsvillkor</t>
        </is>
      </c>
      <c r="I814" t="inlineStr">
        <is>
          <t>DriftEgenkontroll</t>
        </is>
      </c>
      <c r="J814" t="inlineStr">
        <is>
          <t>Journalforing</t>
        </is>
      </c>
      <c r="K814" t="inlineStr">
        <is>
          <t>Proverna uttogs i provtagningskärl tillhandahållna av laboratoriet.</t>
        </is>
      </c>
      <c r="L814" t="inlineStr">
        <is>
          <t>Proverna uttogs i provtagningskärl tillhandahållna av laboratoriet.</t>
        </is>
      </c>
      <c r="M814" t="inlineStr">
        <is>
          <t>SKA</t>
        </is>
      </c>
      <c r="N814" t="inlineStr"/>
      <c r="O814" t="inlineStr"/>
      <c r="P814" t="inlineStr"/>
      <c r="Q814" t="inlineStr"/>
      <c r="R814" t="inlineStr">
        <is>
          <t>Lopande drift</t>
        </is>
      </c>
      <c r="S814" t="inlineStr"/>
      <c r="T814" t="inlineStr"/>
      <c r="U814" t="inlineStr"/>
      <c r="V814" t="inlineStr"/>
      <c r="W814" t="inlineStr">
        <is>
          <t>Nej</t>
        </is>
      </c>
      <c r="X814" t="inlineStr">
        <is>
          <t>Nej</t>
        </is>
      </c>
      <c r="Y814" t="inlineStr">
        <is>
          <t>Ja</t>
        </is>
      </c>
      <c r="Z814" t="inlineStr">
        <is>
          <t>Nej</t>
        </is>
      </c>
      <c r="AA814" t="n">
        <v>7</v>
      </c>
      <c r="AB814" t="inlineStr">
        <is>
          <t>Egenkontrollrutiner</t>
        </is>
      </c>
      <c r="AC814" t="inlineStr">
        <is>
          <t>Egenkontrollprogram</t>
        </is>
      </c>
      <c r="AD814" t="inlineStr">
        <is>
          <t>Nej</t>
        </is>
      </c>
      <c r="AE814" t="inlineStr">
        <is>
          <t>Nej</t>
        </is>
      </c>
      <c r="AF814" t="inlineStr">
        <is>
          <t>Ej behandlad</t>
        </is>
      </c>
      <c r="AG814" t="inlineStr">
        <is>
          <t>AUTO_GENERERAD. Verifiera citat mot kallfil.</t>
        </is>
      </c>
      <c r="AH814" t="inlineStr">
        <is>
          <t>MEDIUM</t>
        </is>
      </c>
      <c r="AI814" t="inlineStr">
        <is>
          <t>AUTO</t>
        </is>
      </c>
      <c r="AJ814" t="inlineStr">
        <is>
          <t>Nej</t>
        </is>
      </c>
      <c r="AK814" t="inlineStr"/>
      <c r="AL814" t="inlineStr"/>
      <c r="AM814" t="inlineStr"/>
      <c r="AN814" t="inlineStr"/>
      <c r="AO814" t="inlineStr">
        <is>
          <t>cmm4yuq04034hcuqwue9hvqhc</t>
        </is>
      </c>
      <c r="AP814" t="inlineStr">
        <is>
          <t>http://localhost:8787/api/admin/requirements/documents/cmm4yuq04034hcuqwue9hvqhc/view</t>
        </is>
      </c>
      <c r="AQ814">
        <f>HYPERLÄNK("http://localhost:8787/api/admin/requirements/documents/cmm4yuq04034hcuqwue9hvqhc/view";"Öppna PDF")</f>
        <v/>
      </c>
      <c r="AR814">
        <f>HYPERLINK("http://localhost:8787/api/admin/requirements/documents/cmm4yuq04034hcuqwue9hvqhc/view","Open PDF")</f>
        <v/>
      </c>
      <c r="AS814" t="inlineStr">
        <is>
          <t>cmm55w57p0004cuisfrtpqly8</t>
        </is>
      </c>
      <c r="AT814" t="inlineStr">
        <is>
          <t>cmm4xvu980000cuh4vj0usz09</t>
        </is>
      </c>
      <c r="AU814" t="inlineStr">
        <is>
          <t>Lilla Edets</t>
        </is>
      </c>
      <c r="AV814" t="inlineStr">
        <is>
          <t>Kommun</t>
        </is>
      </c>
      <c r="AW814" t="inlineStr">
        <is>
          <t>Lilla Edets kommun</t>
        </is>
      </c>
      <c r="AX814" t="inlineStr">
        <is>
          <t>2024-06</t>
        </is>
      </c>
      <c r="AY814" t="inlineStr">
        <is>
          <t>Beslut</t>
        </is>
      </c>
      <c r="AZ814" t="inlineStr">
        <is>
          <t>2026-02-04</t>
        </is>
      </c>
      <c r="BA814" t="inlineStr">
        <is>
          <t>MB-2024-625-7 13.3 Miljöteknisk markundersökning m bilagor.pdf</t>
        </is>
      </c>
      <c r="BB814" t="inlineStr">
        <is>
          <t>VB: till registrator</t>
        </is>
      </c>
      <c r="BC814" t="inlineStr">
        <is>
          <t>AUTO</t>
        </is>
      </c>
      <c r="BD814" t="inlineStr"/>
      <c r="BE814" t="inlineStr"/>
      <c r="BF814" t="inlineStr">
        <is>
          <t>AUTO_GENERERAD. Bekrafta metadata mot kallfil.</t>
        </is>
      </c>
      <c r="BG814">
        <f>HYPERLINK("C:\Users\jimmy\Desktop\Examens arbete\Kod\Ny mapp\remix_-copy-of-miljöbeslut.se-portal\MB-2024-625-7 13.3 Miljöteknisk markundersökning m bilagor.pdf", "Öppna PDF")</f>
        <v/>
      </c>
    </row>
    <row r="815">
      <c r="A815" t="inlineStr">
        <is>
          <t>KRAV-AUTO-000814</t>
        </is>
      </c>
      <c r="B815" t="inlineStr">
        <is>
          <t>ADMIN-INDEX-2026-02-27-00000000125C043F57453246863FE664CAFE6A3F0700950291EA24F0614FB6ACEDB12BF0E31D00000000010C0000950291EA24F0614FB6ACEDB12BF0E31D00002087AE3A0000</t>
        </is>
      </c>
      <c r="C815" t="inlineStr">
        <is>
          <t>cmm4yuq01034ecuqwl63x1j4f</t>
        </is>
      </c>
      <c r="D815" t="inlineStr">
        <is>
          <t>http://localhost:8787/api/admin/requirements/documents/cmm4yuq01034ecuqwl63x1j4f/view</t>
        </is>
      </c>
      <c r="E815">
        <f>HYPERLÄNK("http://localhost:8787/api/admin/requirements/documents/cmm4yuq01034ecuqwl63x1j4f/view";"Öppna PDF")</f>
        <v/>
      </c>
      <c r="F815">
        <f>HYPERLINK("http://localhost:8787/api/admin/requirements/documents/cmm4yuq01034ecuqwl63x1j4f/view","Open PDF")</f>
        <v/>
      </c>
      <c r="G815" t="inlineStr">
        <is>
          <t>cmm55w57p0004cuisfrtpqly8</t>
        </is>
      </c>
      <c r="H815" t="inlineStr">
        <is>
          <t>Beslutsvillkor</t>
        </is>
      </c>
      <c r="I815" t="inlineStr">
        <is>
          <t>Riskhantering</t>
        </is>
      </c>
      <c r="J815" t="inlineStr">
        <is>
          <t>Riskkontroll</t>
        </is>
      </c>
      <c r="K815" t="inlineStr">
        <is>
          <t>2.5 Historiska kartor Historisk markanvändning inom det aktuella området har undersökts genom att studera historiska flygfoton från Lantmäteriet1 (Lantmäteriet, 2024).</t>
        </is>
      </c>
      <c r="L815" t="inlineStr">
        <is>
          <t>2.5 Historiska kartor Historisk markanvändning inom det aktuella området har undersökts genom att studera historiska flygfoton från Lantmäteriet1 (Lantmäteriet, 2024).</t>
        </is>
      </c>
      <c r="M815" t="inlineStr">
        <is>
          <t>SKA</t>
        </is>
      </c>
      <c r="N815" t="inlineStr"/>
      <c r="O815" t="inlineStr"/>
      <c r="P815" t="inlineStr"/>
      <c r="Q815" t="inlineStr"/>
      <c r="R815" t="inlineStr">
        <is>
          <t>Vid risk for incident</t>
        </is>
      </c>
      <c r="S815" t="inlineStr"/>
      <c r="T815" t="inlineStr"/>
      <c r="U815" t="inlineStr"/>
      <c r="V815" t="inlineStr"/>
      <c r="W815" t="inlineStr">
        <is>
          <t>Nej</t>
        </is>
      </c>
      <c r="X815" t="inlineStr">
        <is>
          <t>Nej</t>
        </is>
      </c>
      <c r="Y815" t="inlineStr">
        <is>
          <t>Ja</t>
        </is>
      </c>
      <c r="Z815" t="inlineStr">
        <is>
          <t>Ja</t>
        </is>
      </c>
      <c r="AA815" t="n">
        <v>8</v>
      </c>
      <c r="AB815" t="inlineStr">
        <is>
          <t>Riskhantering</t>
        </is>
      </c>
      <c r="AC815" t="inlineStr">
        <is>
          <t>Risk-PM</t>
        </is>
      </c>
      <c r="AD815" t="inlineStr">
        <is>
          <t>Nej</t>
        </is>
      </c>
      <c r="AE815" t="inlineStr">
        <is>
          <t>Nej</t>
        </is>
      </c>
      <c r="AF815" t="inlineStr">
        <is>
          <t>Ej behandlad</t>
        </is>
      </c>
      <c r="AG815" t="inlineStr">
        <is>
          <t>AUTO_GENERERAD. Verifiera citat mot kallfil.</t>
        </is>
      </c>
      <c r="AH815" t="inlineStr">
        <is>
          <t>MEDIUM</t>
        </is>
      </c>
      <c r="AI815" t="inlineStr">
        <is>
          <t>AUTO</t>
        </is>
      </c>
      <c r="AJ815" t="inlineStr">
        <is>
          <t>Nej</t>
        </is>
      </c>
      <c r="AK815" t="inlineStr"/>
      <c r="AL815" t="inlineStr"/>
      <c r="AM815" t="inlineStr"/>
      <c r="AN815" t="inlineStr"/>
      <c r="AO815" t="inlineStr">
        <is>
          <t>cmm4yuq04034hcuqwue9hvqhc</t>
        </is>
      </c>
      <c r="AP815" t="inlineStr">
        <is>
          <t>http://localhost:8787/api/admin/requirements/documents/cmm4yuq04034hcuqwue9hvqhc/view</t>
        </is>
      </c>
      <c r="AQ815">
        <f>HYPERLÄNK("http://localhost:8787/api/admin/requirements/documents/cmm4yuq04034hcuqwue9hvqhc/view";"Öppna PDF")</f>
        <v/>
      </c>
      <c r="AR815">
        <f>HYPERLINK("http://localhost:8787/api/admin/requirements/documents/cmm4yuq04034hcuqwue9hvqhc/view","Open PDF")</f>
        <v/>
      </c>
      <c r="AS815" t="inlineStr">
        <is>
          <t>cmm55w57p0004cuisfrtpqly8</t>
        </is>
      </c>
      <c r="AT815" t="inlineStr">
        <is>
          <t>cmm4xvu980000cuh4vj0usz09</t>
        </is>
      </c>
      <c r="AU815" t="inlineStr">
        <is>
          <t>Lilla Edets</t>
        </is>
      </c>
      <c r="AV815" t="inlineStr">
        <is>
          <t>Kommun</t>
        </is>
      </c>
      <c r="AW815" t="inlineStr">
        <is>
          <t>Lilla Edets kommun</t>
        </is>
      </c>
      <c r="AX815" t="inlineStr">
        <is>
          <t>2024-06</t>
        </is>
      </c>
      <c r="AY815" t="inlineStr">
        <is>
          <t>Beslut</t>
        </is>
      </c>
      <c r="AZ815" t="inlineStr">
        <is>
          <t>2026-02-04</t>
        </is>
      </c>
      <c r="BA815" t="inlineStr">
        <is>
          <t>MB-2024-625-7 13.3 Miljöteknisk markundersökning m bilagor.pdf</t>
        </is>
      </c>
      <c r="BB815" t="inlineStr">
        <is>
          <t>VB: till registrator</t>
        </is>
      </c>
      <c r="BC815" t="inlineStr">
        <is>
          <t>AUTO</t>
        </is>
      </c>
      <c r="BD815" t="inlineStr"/>
      <c r="BE815" t="inlineStr"/>
      <c r="BF815" t="inlineStr">
        <is>
          <t>AUTO_GENERERAD. Bekrafta metadata mot kallfil.</t>
        </is>
      </c>
      <c r="BG815">
        <f>HYPERLINK("C:\Users\jimmy\Desktop\Examens arbete\Kod\Ny mapp\remix_-copy-of-miljöbeslut.se-portal\MB-2024-625-7 13.3 Miljöteknisk markundersökning m bilagor.pdf", "Öppna PDF")</f>
        <v/>
      </c>
    </row>
    <row r="816">
      <c r="A816" t="inlineStr">
        <is>
          <t>KRAV-AUTO-000815</t>
        </is>
      </c>
      <c r="B816" t="inlineStr">
        <is>
          <t>ADMIN-INDEX-2026-02-27-00000000125C043F57453246863FE664CAFE6A3F0700950291EA24F0614FB6ACEDB12BF0E31D00000000010C0000950291EA24F0614FB6ACEDB12BF0E31D00002087AE3A0000</t>
        </is>
      </c>
      <c r="C816" t="inlineStr">
        <is>
          <t>cmm4yuq01034ecuqwl63x1j4f</t>
        </is>
      </c>
      <c r="D816" t="inlineStr">
        <is>
          <t>http://localhost:8787/api/admin/requirements/documents/cmm4yuq01034ecuqwl63x1j4f/view</t>
        </is>
      </c>
      <c r="E816">
        <f>HYPERLÄNK("http://localhost:8787/api/admin/requirements/documents/cmm4yuq01034ecuqwl63x1j4f/view";"Öppna PDF")</f>
        <v/>
      </c>
      <c r="F816">
        <f>HYPERLINK("http://localhost:8787/api/admin/requirements/documents/cmm4yuq01034ecuqwl63x1j4f/view","Open PDF")</f>
        <v/>
      </c>
      <c r="G816" t="inlineStr">
        <is>
          <t>cmm55w57p0004cuisfrtpqly8</t>
        </is>
      </c>
      <c r="H816" t="inlineStr">
        <is>
          <t>Beslutsvillkor</t>
        </is>
      </c>
      <c r="I816" t="inlineStr">
        <is>
          <t>Riskhantering</t>
        </is>
      </c>
      <c r="J816" t="inlineStr">
        <is>
          <t>Riskkontroll</t>
        </is>
      </c>
      <c r="K816" t="inlineStr">
        <is>
          <t>8 2.5 Historiska kartor ..................................................................................................................</t>
        </is>
      </c>
      <c r="L816" t="inlineStr">
        <is>
          <t>8 2.5 Historiska kartor ..................................................................................................................</t>
        </is>
      </c>
      <c r="M816" t="inlineStr">
        <is>
          <t>SKA</t>
        </is>
      </c>
      <c r="N816" t="inlineStr"/>
      <c r="O816" t="inlineStr"/>
      <c r="P816" t="inlineStr"/>
      <c r="Q816" t="inlineStr"/>
      <c r="R816" t="inlineStr">
        <is>
          <t>Vid risk for incident</t>
        </is>
      </c>
      <c r="S816" t="inlineStr"/>
      <c r="T816" t="inlineStr"/>
      <c r="U816" t="inlineStr"/>
      <c r="V816" t="inlineStr"/>
      <c r="W816" t="inlineStr">
        <is>
          <t>Nej</t>
        </is>
      </c>
      <c r="X816" t="inlineStr">
        <is>
          <t>Nej</t>
        </is>
      </c>
      <c r="Y816" t="inlineStr">
        <is>
          <t>Ja</t>
        </is>
      </c>
      <c r="Z816" t="inlineStr">
        <is>
          <t>Ja</t>
        </is>
      </c>
      <c r="AA816" t="n">
        <v>8</v>
      </c>
      <c r="AB816" t="inlineStr">
        <is>
          <t>Riskhantering</t>
        </is>
      </c>
      <c r="AC816" t="inlineStr">
        <is>
          <t>Risk-PM</t>
        </is>
      </c>
      <c r="AD816" t="inlineStr">
        <is>
          <t>Nej</t>
        </is>
      </c>
      <c r="AE816" t="inlineStr">
        <is>
          <t>Nej</t>
        </is>
      </c>
      <c r="AF816" t="inlineStr">
        <is>
          <t>Ej behandlad</t>
        </is>
      </c>
      <c r="AG816" t="inlineStr">
        <is>
          <t>AUTO_GENERERAD. Verifiera citat mot kallfil.</t>
        </is>
      </c>
      <c r="AH816" t="inlineStr">
        <is>
          <t>MEDIUM</t>
        </is>
      </c>
      <c r="AI816" t="inlineStr">
        <is>
          <t>AUTO</t>
        </is>
      </c>
      <c r="AJ816" t="inlineStr">
        <is>
          <t>Nej</t>
        </is>
      </c>
      <c r="AK816" t="inlineStr"/>
      <c r="AL816" t="inlineStr"/>
      <c r="AM816" t="inlineStr"/>
      <c r="AN816" t="inlineStr"/>
      <c r="AO816" t="inlineStr">
        <is>
          <t>cmm4yuq04034hcuqwue9hvqhc</t>
        </is>
      </c>
      <c r="AP816" t="inlineStr">
        <is>
          <t>http://localhost:8787/api/admin/requirements/documents/cmm4yuq04034hcuqwue9hvqhc/view</t>
        </is>
      </c>
      <c r="AQ816">
        <f>HYPERLÄNK("http://localhost:8787/api/admin/requirements/documents/cmm4yuq04034hcuqwue9hvqhc/view";"Öppna PDF")</f>
        <v/>
      </c>
      <c r="AR816">
        <f>HYPERLINK("http://localhost:8787/api/admin/requirements/documents/cmm4yuq04034hcuqwue9hvqhc/view","Open PDF")</f>
        <v/>
      </c>
      <c r="AS816" t="inlineStr">
        <is>
          <t>cmm55w57p0004cuisfrtpqly8</t>
        </is>
      </c>
      <c r="AT816" t="inlineStr">
        <is>
          <t>cmm4xvu980000cuh4vj0usz09</t>
        </is>
      </c>
      <c r="AU816" t="inlineStr">
        <is>
          <t>Lilla Edets</t>
        </is>
      </c>
      <c r="AV816" t="inlineStr">
        <is>
          <t>Kommun</t>
        </is>
      </c>
      <c r="AW816" t="inlineStr">
        <is>
          <t>Lilla Edets kommun</t>
        </is>
      </c>
      <c r="AX816" t="inlineStr">
        <is>
          <t>2024-06</t>
        </is>
      </c>
      <c r="AY816" t="inlineStr">
        <is>
          <t>Beslut</t>
        </is>
      </c>
      <c r="AZ816" t="inlineStr">
        <is>
          <t>2026-02-04</t>
        </is>
      </c>
      <c r="BA816" t="inlineStr">
        <is>
          <t>MB-2024-625-7 13.3 Miljöteknisk markundersökning m bilagor.pdf</t>
        </is>
      </c>
      <c r="BB816" t="inlineStr">
        <is>
          <t>VB: till registrator</t>
        </is>
      </c>
      <c r="BC816" t="inlineStr">
        <is>
          <t>AUTO</t>
        </is>
      </c>
      <c r="BD816" t="inlineStr"/>
      <c r="BE816" t="inlineStr"/>
      <c r="BF816" t="inlineStr">
        <is>
          <t>AUTO_GENERERAD. Bekrafta metadata mot kallfil.</t>
        </is>
      </c>
      <c r="BG816">
        <f>HYPERLINK("C:\Users\jimmy\Desktop\Examens arbete\Kod\Ny mapp\remix_-copy-of-miljöbeslut.se-portal\MB-2024-625-7 13.3 Miljöteknisk markundersökning m bilagor.pdf", "Öppna PDF")</f>
        <v/>
      </c>
    </row>
    <row r="817">
      <c r="A817" t="inlineStr">
        <is>
          <t>KRAV-AUTO-000816</t>
        </is>
      </c>
      <c r="B817" t="inlineStr">
        <is>
          <t>ADMIN-INDEX-2026-02-27-00000000125C043F57453246863FE664CAFE6A3F0700950291EA24F0614FB6ACEDB12BF0E31D00000000010C0000950291EA24F0614FB6ACEDB12BF0E31D000073AF24000000</t>
        </is>
      </c>
      <c r="C817" t="inlineStr">
        <is>
          <t>cmm4yurfn04i2cuqwe6ig7qy2</t>
        </is>
      </c>
      <c r="D817" t="inlineStr">
        <is>
          <t>http://localhost:8787/api/admin/requirements/documents/cmm4yurfn04i2cuqwe6ig7qy2/view</t>
        </is>
      </c>
      <c r="E817">
        <f>HYPERLÄNK("http://localhost:8787/api/admin/requirements/documents/cmm4yurfn04i2cuqwe6ig7qy2/view";"Öppna PDF")</f>
        <v/>
      </c>
      <c r="F817">
        <f>HYPERLINK("http://localhost:8787/api/admin/requirements/documents/cmm4yurfn04i2cuqwe6ig7qy2/view","Open PDF")</f>
        <v/>
      </c>
      <c r="G817" t="inlineStr">
        <is>
          <t>cmm55w57p0004cuisfrtpqly8</t>
        </is>
      </c>
      <c r="H817" t="inlineStr">
        <is>
          <t>Beslutsvillkor</t>
        </is>
      </c>
      <c r="I817" t="inlineStr">
        <is>
          <t>DagvattenLakvatten</t>
        </is>
      </c>
      <c r="J817" t="inlineStr">
        <is>
          <t>Uppsamling</t>
        </is>
      </c>
      <c r="K817" t="inlineStr">
        <is>
          <t>Krav i föreläggandet angående invallning av kemikalier och farligt avfall, uppsamling av eventuellt spill samt tillgång till absorptionsmedel beslutas med hänvisning till 2 kap.</t>
        </is>
      </c>
      <c r="L817" t="inlineStr">
        <is>
          <t>Krav i föreläggandet angående invallning av kemikalier och farligt avfall, uppsamling av eventuellt spill samt tillgång till absorptionsmedel beslutas med hänvisning till 2 kap.</t>
        </is>
      </c>
      <c r="M817" t="inlineStr">
        <is>
          <t>INFO</t>
        </is>
      </c>
      <c r="N817" t="inlineStr"/>
      <c r="O817" t="inlineStr"/>
      <c r="P817" t="inlineStr">
        <is>
          <t>Arlig</t>
        </is>
      </c>
      <c r="Q817" t="inlineStr">
        <is>
          <t>Forelaggande vid brist</t>
        </is>
      </c>
      <c r="R817" t="inlineStr">
        <is>
          <t>Vid nederbord och avrinning</t>
        </is>
      </c>
      <c r="S817" t="inlineStr"/>
      <c r="T817" t="inlineStr">
        <is>
          <t>251030</t>
        </is>
      </c>
      <c r="U817" t="inlineStr"/>
      <c r="V817" t="inlineStr"/>
      <c r="W817" t="inlineStr">
        <is>
          <t>Nej</t>
        </is>
      </c>
      <c r="X817" t="inlineStr">
        <is>
          <t>Ja</t>
        </is>
      </c>
      <c r="Y817" t="inlineStr">
        <is>
          <t>Ja</t>
        </is>
      </c>
      <c r="Z817" t="inlineStr">
        <is>
          <t>Nej</t>
        </is>
      </c>
      <c r="AA817" t="n">
        <v>6</v>
      </c>
      <c r="AB817" t="inlineStr">
        <is>
          <t>Lakvattenhantering</t>
        </is>
      </c>
      <c r="AC817" t="inlineStr">
        <is>
          <t>Flodesschema dagvatten-lakvatten</t>
        </is>
      </c>
      <c r="AD817" t="inlineStr">
        <is>
          <t>Nej</t>
        </is>
      </c>
      <c r="AE817" t="inlineStr">
        <is>
          <t>Nej</t>
        </is>
      </c>
      <c r="AF817" t="inlineStr">
        <is>
          <t>Ej behandlad</t>
        </is>
      </c>
      <c r="AG817" t="inlineStr">
        <is>
          <t>AUTO_GENERERAD. Verifiera citat mot kallfil.</t>
        </is>
      </c>
      <c r="AH817" t="inlineStr">
        <is>
          <t>MEDIUM</t>
        </is>
      </c>
      <c r="AI817" t="inlineStr">
        <is>
          <t>AUTO</t>
        </is>
      </c>
      <c r="AJ817" t="inlineStr">
        <is>
          <t>Nej</t>
        </is>
      </c>
      <c r="AK817" t="inlineStr"/>
      <c r="AL817" t="inlineStr"/>
      <c r="AM817" t="inlineStr"/>
      <c r="AN817" t="inlineStr"/>
      <c r="AO817" t="inlineStr">
        <is>
          <t>cmm4yurfq04i5cuqw1drt61jr</t>
        </is>
      </c>
      <c r="AP817" t="inlineStr">
        <is>
          <t>http://localhost:8787/api/admin/requirements/documents/cmm4yurfq04i5cuqw1drt61jr/view</t>
        </is>
      </c>
      <c r="AQ817">
        <f>HYPERLÄNK("http://localhost:8787/api/admin/requirements/documents/cmm4yurfq04i5cuqw1drt61jr/view";"Öppna PDF")</f>
        <v/>
      </c>
      <c r="AR817">
        <f>HYPERLINK("http://localhost:8787/api/admin/requirements/documents/cmm4yurfq04i5cuqw1drt61jr/view","Open PDF")</f>
        <v/>
      </c>
      <c r="AS817" t="inlineStr">
        <is>
          <t>cmm55w57p0004cuisfrtpqly8</t>
        </is>
      </c>
      <c r="AT817" t="inlineStr">
        <is>
          <t>cmm4xvu980000cuh4vj0usz09</t>
        </is>
      </c>
      <c r="AU817" t="inlineStr"/>
      <c r="AV817" t="inlineStr">
        <is>
          <t>Kommun</t>
        </is>
      </c>
      <c r="AW817" t="inlineStr"/>
      <c r="AX817" t="inlineStr">
        <is>
          <t>2025-10</t>
        </is>
      </c>
      <c r="AY817" t="inlineStr">
        <is>
          <t>Beslut</t>
        </is>
      </c>
      <c r="AZ817" t="inlineStr">
        <is>
          <t>2026-02-13</t>
        </is>
      </c>
      <c r="BA817" t="inlineStr">
        <is>
          <t>VGS-MH-2025-2444.pdf</t>
        </is>
      </c>
      <c r="BB817" t="inlineStr">
        <is>
          <t>Sv: till registrator</t>
        </is>
      </c>
      <c r="BC817" t="inlineStr">
        <is>
          <t>AUTO</t>
        </is>
      </c>
      <c r="BD817" t="inlineStr"/>
      <c r="BE817" t="inlineStr"/>
      <c r="BF817" t="inlineStr">
        <is>
          <t>AUTO_GENERERAD. Bekrafta metadata mot kallfil.</t>
        </is>
      </c>
      <c r="BG817">
        <f>HYPERLINK("C:\Users\jimmy\Desktop\Examens arbete\Kod\Ny mapp\remix_-copy-of-miljöbeslut.se-portal\VGS-MH-2025-2444.pdf", "Öppna PDF")</f>
        <v/>
      </c>
    </row>
    <row r="818">
      <c r="A818" t="inlineStr">
        <is>
          <t>KRAV-AUTO-000817</t>
        </is>
      </c>
      <c r="B818" t="inlineStr">
        <is>
          <t>ADMIN-INDEX-2026-02-27-00000000125C043F57453246863FE664CAFE6A3F0700950291EA24F0614FB6ACEDB12BF0E31D00000000010C0000950291EA24F0614FB6ACEDB12BF0E31D000073AF24000000</t>
        </is>
      </c>
      <c r="C818" t="inlineStr">
        <is>
          <t>cmm4yurfn04i2cuqwe6ig7qy2</t>
        </is>
      </c>
      <c r="D818" t="inlineStr">
        <is>
          <t>http://localhost:8787/api/admin/requirements/documents/cmm4yurfn04i2cuqwe6ig7qy2/view</t>
        </is>
      </c>
      <c r="E818">
        <f>HYPERLÄNK("http://localhost:8787/api/admin/requirements/documents/cmm4yurfn04i2cuqwe6ig7qy2/view";"Öppna PDF")</f>
        <v/>
      </c>
      <c r="F818">
        <f>HYPERLINK("http://localhost:8787/api/admin/requirements/documents/cmm4yurfn04i2cuqwe6ig7qy2/view","Open PDF")</f>
        <v/>
      </c>
      <c r="G818" t="inlineStr">
        <is>
          <t>cmm55w57p0004cuisfrtpqly8</t>
        </is>
      </c>
      <c r="H818" t="inlineStr">
        <is>
          <t>Beslutsvillkor</t>
        </is>
      </c>
      <c r="I818" t="inlineStr">
        <is>
          <t>Riskhantering</t>
        </is>
      </c>
      <c r="J818" t="inlineStr">
        <is>
          <t>Riskkontroll</t>
        </is>
      </c>
      <c r="K818" t="inlineStr">
        <is>
          <t>Verksamhetsområdet ska utformas så att risken för att utomstående kan lämna avfall på upplaget minimeras.</t>
        </is>
      </c>
      <c r="L818" t="inlineStr">
        <is>
          <t>Verksamhetsområdet ska utformas så att risken för att utomstående kan lämna avfall på upplaget minimeras.</t>
        </is>
      </c>
      <c r="M818" t="inlineStr">
        <is>
          <t>SKA</t>
        </is>
      </c>
      <c r="N818" t="inlineStr"/>
      <c r="O818" t="inlineStr"/>
      <c r="P818" t="inlineStr"/>
      <c r="Q818" t="inlineStr"/>
      <c r="R818" t="inlineStr">
        <is>
          <t>Vid risk for incident</t>
        </is>
      </c>
      <c r="S818" t="inlineStr"/>
      <c r="T818" t="inlineStr">
        <is>
          <t>251030</t>
        </is>
      </c>
      <c r="U818" t="inlineStr"/>
      <c r="V818" t="inlineStr"/>
      <c r="W818" t="inlineStr">
        <is>
          <t>Nej</t>
        </is>
      </c>
      <c r="X818" t="inlineStr">
        <is>
          <t>Nej</t>
        </is>
      </c>
      <c r="Y818" t="inlineStr">
        <is>
          <t>Ja</t>
        </is>
      </c>
      <c r="Z818" t="inlineStr">
        <is>
          <t>Ja</t>
        </is>
      </c>
      <c r="AA818" t="n">
        <v>8</v>
      </c>
      <c r="AB818" t="inlineStr">
        <is>
          <t>Riskhantering</t>
        </is>
      </c>
      <c r="AC818" t="inlineStr">
        <is>
          <t>Risk-PM</t>
        </is>
      </c>
      <c r="AD818" t="inlineStr">
        <is>
          <t>Nej</t>
        </is>
      </c>
      <c r="AE818" t="inlineStr">
        <is>
          <t>Nej</t>
        </is>
      </c>
      <c r="AF818" t="inlineStr">
        <is>
          <t>Ej behandlad</t>
        </is>
      </c>
      <c r="AG818" t="inlineStr">
        <is>
          <t>AUTO_GENERERAD. Verifiera citat mot kallfil.</t>
        </is>
      </c>
      <c r="AH818" t="inlineStr">
        <is>
          <t>MEDIUM</t>
        </is>
      </c>
      <c r="AI818" t="inlineStr">
        <is>
          <t>AUTO</t>
        </is>
      </c>
      <c r="AJ818" t="inlineStr">
        <is>
          <t>Nej</t>
        </is>
      </c>
      <c r="AK818" t="inlineStr"/>
      <c r="AL818" t="inlineStr"/>
      <c r="AM818" t="inlineStr"/>
      <c r="AN818" t="inlineStr"/>
      <c r="AO818" t="inlineStr">
        <is>
          <t>cmm4yurfq04i5cuqw1drt61jr</t>
        </is>
      </c>
      <c r="AP818" t="inlineStr">
        <is>
          <t>http://localhost:8787/api/admin/requirements/documents/cmm4yurfq04i5cuqw1drt61jr/view</t>
        </is>
      </c>
      <c r="AQ818">
        <f>HYPERLÄNK("http://localhost:8787/api/admin/requirements/documents/cmm4yurfq04i5cuqw1drt61jr/view";"Öppna PDF")</f>
        <v/>
      </c>
      <c r="AR818">
        <f>HYPERLINK("http://localhost:8787/api/admin/requirements/documents/cmm4yurfq04i5cuqw1drt61jr/view","Open PDF")</f>
        <v/>
      </c>
      <c r="AS818" t="inlineStr">
        <is>
          <t>cmm55w57p0004cuisfrtpqly8</t>
        </is>
      </c>
      <c r="AT818" t="inlineStr">
        <is>
          <t>cmm4xvu980000cuh4vj0usz09</t>
        </is>
      </c>
      <c r="AU818" t="inlineStr"/>
      <c r="AV818" t="inlineStr">
        <is>
          <t>Kommun</t>
        </is>
      </c>
      <c r="AW818" t="inlineStr"/>
      <c r="AX818" t="inlineStr">
        <is>
          <t>2025-10</t>
        </is>
      </c>
      <c r="AY818" t="inlineStr">
        <is>
          <t>Beslut</t>
        </is>
      </c>
      <c r="AZ818" t="inlineStr">
        <is>
          <t>2026-02-13</t>
        </is>
      </c>
      <c r="BA818" t="inlineStr">
        <is>
          <t>VGS-MH-2025-2444.pdf</t>
        </is>
      </c>
      <c r="BB818" t="inlineStr">
        <is>
          <t>Sv: till registrator</t>
        </is>
      </c>
      <c r="BC818" t="inlineStr">
        <is>
          <t>AUTO</t>
        </is>
      </c>
      <c r="BD818" t="inlineStr"/>
      <c r="BE818" t="inlineStr"/>
      <c r="BF818" t="inlineStr">
        <is>
          <t>AUTO_GENERERAD. Bekrafta metadata mot kallfil.</t>
        </is>
      </c>
      <c r="BG818">
        <f>HYPERLINK("C:\Users\jimmy\Desktop\Examens arbete\Kod\Ny mapp\remix_-copy-of-miljöbeslut.se-portal\VGS-MH-2025-2444.pdf", "Öppna PDF")</f>
        <v/>
      </c>
    </row>
    <row r="819">
      <c r="A819" t="inlineStr">
        <is>
          <t>KRAV-AUTO-000818</t>
        </is>
      </c>
      <c r="B819" t="inlineStr">
        <is>
          <t>ADMIN-INDEX-2026-02-27-00000000125C043F57453246863FE664CAFE6A3F0700950291EA24F0614FB6ACEDB12BF0E31D00000000010C0000950291EA24F0614FB6ACEDB12BF0E31D000073AF24000000</t>
        </is>
      </c>
      <c r="C819" t="inlineStr">
        <is>
          <t>cmm4yurfn04i2cuqwe6ig7qy2</t>
        </is>
      </c>
      <c r="D819" t="inlineStr">
        <is>
          <t>http://localhost:8787/api/admin/requirements/documents/cmm4yurfn04i2cuqwe6ig7qy2/view</t>
        </is>
      </c>
      <c r="E819">
        <f>HYPERLÄNK("http://localhost:8787/api/admin/requirements/documents/cmm4yurfn04i2cuqwe6ig7qy2/view";"Öppna PDF")</f>
        <v/>
      </c>
      <c r="F819">
        <f>HYPERLINK("http://localhost:8787/api/admin/requirements/documents/cmm4yurfn04i2cuqwe6ig7qy2/view","Open PDF")</f>
        <v/>
      </c>
      <c r="G819" t="inlineStr">
        <is>
          <t>cmm55w57p0004cuisfrtpqly8</t>
        </is>
      </c>
      <c r="H819" t="inlineStr">
        <is>
          <t>Beslutsvillkor</t>
        </is>
      </c>
      <c r="I819" t="inlineStr">
        <is>
          <t>MiljopaverkanForsiktighet</t>
        </is>
      </c>
      <c r="J819" t="inlineStr">
        <is>
          <t>Skyddsatgarder</t>
        </is>
      </c>
      <c r="K819" t="inlineStr">
        <is>
          <t>Förbrukat absorptionsmaterial ska hanteras som farligt avfall.</t>
        </is>
      </c>
      <c r="L819" t="inlineStr">
        <is>
          <t>Förbrukat absorptionsmaterial ska hanteras som farligt avfall.</t>
        </is>
      </c>
      <c r="M819" t="inlineStr">
        <is>
          <t>SKA</t>
        </is>
      </c>
      <c r="N819" t="inlineStr"/>
      <c r="O819" t="inlineStr"/>
      <c r="P819" t="inlineStr">
        <is>
          <t>Arlig</t>
        </is>
      </c>
      <c r="Q819" t="inlineStr"/>
      <c r="R819" t="inlineStr">
        <is>
          <t>Alltid</t>
        </is>
      </c>
      <c r="S819" t="inlineStr"/>
      <c r="T819" t="inlineStr">
        <is>
          <t>251030</t>
        </is>
      </c>
      <c r="U819" t="inlineStr"/>
      <c r="V819" t="inlineStr"/>
      <c r="W819" t="inlineStr">
        <is>
          <t>Nej</t>
        </is>
      </c>
      <c r="X819" t="inlineStr">
        <is>
          <t>Nej</t>
        </is>
      </c>
      <c r="Y819" t="inlineStr">
        <is>
          <t>Nej</t>
        </is>
      </c>
      <c r="Z819" t="inlineStr">
        <is>
          <t>Nej</t>
        </is>
      </c>
      <c r="AA819" t="n">
        <v>10</v>
      </c>
      <c r="AB819" t="inlineStr">
        <is>
          <t>Miljopaverkan och forsiktighetsmatt</t>
        </is>
      </c>
      <c r="AC819" t="inlineStr">
        <is>
          <t>Miljo-PM</t>
        </is>
      </c>
      <c r="AD819" t="inlineStr">
        <is>
          <t>Nej</t>
        </is>
      </c>
      <c r="AE819" t="inlineStr">
        <is>
          <t>Nej</t>
        </is>
      </c>
      <c r="AF819" t="inlineStr">
        <is>
          <t>Ej behandlad</t>
        </is>
      </c>
      <c r="AG819" t="inlineStr">
        <is>
          <t>AUTO_GENERERAD. Verifiera citat mot kallfil.</t>
        </is>
      </c>
      <c r="AH819" t="inlineStr">
        <is>
          <t>MEDIUM</t>
        </is>
      </c>
      <c r="AI819" t="inlineStr">
        <is>
          <t>AUTO</t>
        </is>
      </c>
      <c r="AJ819" t="inlineStr">
        <is>
          <t>Nej</t>
        </is>
      </c>
      <c r="AK819" t="inlineStr"/>
      <c r="AL819" t="inlineStr"/>
      <c r="AM819" t="inlineStr"/>
      <c r="AN819" t="inlineStr"/>
      <c r="AO819" t="inlineStr">
        <is>
          <t>cmm4yurfq04i5cuqw1drt61jr</t>
        </is>
      </c>
      <c r="AP819" t="inlineStr">
        <is>
          <t>http://localhost:8787/api/admin/requirements/documents/cmm4yurfq04i5cuqw1drt61jr/view</t>
        </is>
      </c>
      <c r="AQ819">
        <f>HYPERLÄNK("http://localhost:8787/api/admin/requirements/documents/cmm4yurfq04i5cuqw1drt61jr/view";"Öppna PDF")</f>
        <v/>
      </c>
      <c r="AR819">
        <f>HYPERLINK("http://localhost:8787/api/admin/requirements/documents/cmm4yurfq04i5cuqw1drt61jr/view","Open PDF")</f>
        <v/>
      </c>
      <c r="AS819" t="inlineStr">
        <is>
          <t>cmm55w57p0004cuisfrtpqly8</t>
        </is>
      </c>
      <c r="AT819" t="inlineStr">
        <is>
          <t>cmm4xvu980000cuh4vj0usz09</t>
        </is>
      </c>
      <c r="AU819" t="inlineStr"/>
      <c r="AV819" t="inlineStr">
        <is>
          <t>Kommun</t>
        </is>
      </c>
      <c r="AW819" t="inlineStr"/>
      <c r="AX819" t="inlineStr">
        <is>
          <t>2025-10</t>
        </is>
      </c>
      <c r="AY819" t="inlineStr">
        <is>
          <t>Beslut</t>
        </is>
      </c>
      <c r="AZ819" t="inlineStr">
        <is>
          <t>2026-02-13</t>
        </is>
      </c>
      <c r="BA819" t="inlineStr">
        <is>
          <t>VGS-MH-2025-2444.pdf</t>
        </is>
      </c>
      <c r="BB819" t="inlineStr">
        <is>
          <t>Sv: till registrator</t>
        </is>
      </c>
      <c r="BC819" t="inlineStr">
        <is>
          <t>AUTO</t>
        </is>
      </c>
      <c r="BD819" t="inlineStr"/>
      <c r="BE819" t="inlineStr"/>
      <c r="BF819" t="inlineStr">
        <is>
          <t>AUTO_GENERERAD. Bekrafta metadata mot kallfil.</t>
        </is>
      </c>
      <c r="BG819">
        <f>HYPERLINK("C:\Users\jimmy\Desktop\Examens arbete\Kod\Ny mapp\remix_-copy-of-miljöbeslut.se-portal\VGS-MH-2025-2444.pdf", "Öppna PDF")</f>
        <v/>
      </c>
    </row>
    <row r="820">
      <c r="A820" t="inlineStr">
        <is>
          <t>KRAV-AUTO-000819</t>
        </is>
      </c>
      <c r="B820" t="inlineStr">
        <is>
          <t>ADMIN-INDEX-2026-02-27-00000000125C043F57453246863FE664CAFE6A3F0700950291EA24F0614FB6ACEDB12BF0E31D00000000010C0000950291EA24F0614FB6ACEDB12BF0E31D00002087A5D70000</t>
        </is>
      </c>
      <c r="C820" t="inlineStr">
        <is>
          <t>cmm4yuqvv0405cuqw6prvmyre</t>
        </is>
      </c>
      <c r="D820" t="inlineStr">
        <is>
          <t>http://localhost:8787/api/admin/requirements/documents/cmm4yuqvv0405cuqw6prvmyre/view</t>
        </is>
      </c>
      <c r="E820">
        <f>HYPERLÄNK("http://localhost:8787/api/admin/requirements/documents/cmm4yuqvv0405cuqw6prvmyre/view";"Öppna PDF")</f>
        <v/>
      </c>
      <c r="F820">
        <f>HYPERLINK("http://localhost:8787/api/admin/requirements/documents/cmm4yuqvv0405cuqw6prvmyre/view","Open PDF")</f>
        <v/>
      </c>
      <c r="G820" t="inlineStr">
        <is>
          <t>cmm55w57p0004cuisfrtpqly8</t>
        </is>
      </c>
      <c r="H820" t="inlineStr">
        <is>
          <t>Informationskrav</t>
        </is>
      </c>
      <c r="I820" t="inlineStr">
        <is>
          <t>DagvattenLakvatten</t>
        </is>
      </c>
      <c r="J820" t="inlineStr">
        <is>
          <t>Uppsamling</t>
        </is>
      </c>
      <c r="K820" t="inlineStr">
        <is>
          <t>Med utgångspunkt från: • det redovisade avfallets egenskaper • platsens lämplighet • mängden avfall bedömer vi att föroreningsrisken är ringa.</t>
        </is>
      </c>
      <c r="L820" t="inlineStr">
        <is>
          <t>Med utgångspunkt från: • det redovisade avfallets egenskaper • platsens lämplighet • mängden avfall bedömer vi att föroreningsrisken är ringa.</t>
        </is>
      </c>
      <c r="M820" t="inlineStr">
        <is>
          <t>SKA</t>
        </is>
      </c>
      <c r="N820" t="inlineStr"/>
      <c r="O820" t="inlineStr"/>
      <c r="P820" t="inlineStr"/>
      <c r="Q820" t="inlineStr"/>
      <c r="R820" t="inlineStr">
        <is>
          <t>Vid nederbord och avrinning</t>
        </is>
      </c>
      <c r="S820" t="inlineStr"/>
      <c r="T820" t="inlineStr">
        <is>
          <t>26 67 50</t>
        </is>
      </c>
      <c r="U820" t="inlineStr"/>
      <c r="V820" t="inlineStr"/>
      <c r="W820" t="inlineStr">
        <is>
          <t>Nej</t>
        </is>
      </c>
      <c r="X820" t="inlineStr">
        <is>
          <t>Ja</t>
        </is>
      </c>
      <c r="Y820" t="inlineStr">
        <is>
          <t>Ja</t>
        </is>
      </c>
      <c r="Z820" t="inlineStr">
        <is>
          <t>Nej</t>
        </is>
      </c>
      <c r="AA820" t="n">
        <v>6</v>
      </c>
      <c r="AB820" t="inlineStr">
        <is>
          <t>Lakvattenhantering</t>
        </is>
      </c>
      <c r="AC820" t="inlineStr">
        <is>
          <t>Flodesschema dagvatten-lakvatten</t>
        </is>
      </c>
      <c r="AD820" t="inlineStr">
        <is>
          <t>Nej</t>
        </is>
      </c>
      <c r="AE820" t="inlineStr">
        <is>
          <t>Nej</t>
        </is>
      </c>
      <c r="AF820" t="inlineStr">
        <is>
          <t>Ej behandlad</t>
        </is>
      </c>
      <c r="AG820" t="inlineStr">
        <is>
          <t>AUTO_GENERERAD. Verifiera citat mot kallfil.</t>
        </is>
      </c>
      <c r="AH820" t="inlineStr">
        <is>
          <t>MEDIUM</t>
        </is>
      </c>
      <c r="AI820" t="inlineStr">
        <is>
          <t>AUTO</t>
        </is>
      </c>
      <c r="AJ820" t="inlineStr">
        <is>
          <t>Nej</t>
        </is>
      </c>
      <c r="AK820" t="inlineStr"/>
      <c r="AL820" t="inlineStr"/>
      <c r="AM820" t="inlineStr"/>
      <c r="AN820" t="inlineStr"/>
      <c r="AO820" t="inlineStr">
        <is>
          <t>cmm4yuqwe040ncuqwqo98vhru</t>
        </is>
      </c>
      <c r="AP820" t="inlineStr">
        <is>
          <t>http://localhost:8787/api/admin/requirements/documents/cmm4yuqwe040ncuqwqo98vhru/view</t>
        </is>
      </c>
      <c r="AQ820">
        <f>HYPERLÄNK("http://localhost:8787/api/admin/requirements/documents/cmm4yuqwe040ncuqwqo98vhru/view";"Öppna PDF")</f>
        <v/>
      </c>
      <c r="AR820">
        <f>HYPERLINK("http://localhost:8787/api/admin/requirements/documents/cmm4yuqwe040ncuqwqo98vhru/view","Open PDF")</f>
        <v/>
      </c>
      <c r="AS820" t="inlineStr">
        <is>
          <t>cmm55w57p0004cuisfrtpqly8</t>
        </is>
      </c>
      <c r="AT820" t="inlineStr">
        <is>
          <t>cmm4xvu980000cuh4vj0usz09</t>
        </is>
      </c>
      <c r="AU820" t="inlineStr">
        <is>
          <t>Hässleholms</t>
        </is>
      </c>
      <c r="AV820" t="inlineStr">
        <is>
          <t>Kommun</t>
        </is>
      </c>
      <c r="AW820" t="inlineStr">
        <is>
          <t>Hässleholms kommun</t>
        </is>
      </c>
      <c r="AX820" t="inlineStr">
        <is>
          <t>2024-877</t>
        </is>
      </c>
      <c r="AY820" t="inlineStr">
        <is>
          <t>Anmalan</t>
        </is>
      </c>
      <c r="AZ820" t="inlineStr">
        <is>
          <t>2026-02-05</t>
        </is>
      </c>
      <c r="BA820" t="inlineStr">
        <is>
          <t>M-2024-877 - Anmälan.pdf</t>
        </is>
      </c>
      <c r="BB820" t="inlineStr">
        <is>
          <t>Sv:  Begäran om utlämnande av allmän handling – Anmälningar och beslut rörande mellanlagring av avfall samt anläggning av ytor</t>
        </is>
      </c>
      <c r="BC820" t="inlineStr">
        <is>
          <t>AUTO</t>
        </is>
      </c>
      <c r="BD820" t="inlineStr"/>
      <c r="BE820" t="inlineStr"/>
      <c r="BF820" t="inlineStr">
        <is>
          <t>AUTO_GENERERAD. Bekrafta metadata mot kallfil.</t>
        </is>
      </c>
      <c r="BG820">
        <f>HYPERLINK("C:\Users\jimmy\Desktop\Examens arbete\Kod\Ny mapp\remix_-copy-of-miljöbeslut.se-portal\M-2024-877 - Anmälan.pdf", "Öppna PDF")</f>
        <v/>
      </c>
    </row>
    <row r="821">
      <c r="A821" t="inlineStr">
        <is>
          <t>KRAV-AUTO-000820</t>
        </is>
      </c>
      <c r="B821" t="inlineStr">
        <is>
          <t>ADMIN-INDEX-2026-02-27-00000000125C043F57453246863FE664CAFE6A3F0700950291EA24F0614FB6ACEDB12BF0E31D00000000010C0000950291EA24F0614FB6ACEDB12BF0E31D00002087A5D70000</t>
        </is>
      </c>
      <c r="C821" t="inlineStr">
        <is>
          <t>cmm4yuqvv0405cuqw6prvmyre</t>
        </is>
      </c>
      <c r="D821" t="inlineStr">
        <is>
          <t>http://localhost:8787/api/admin/requirements/documents/cmm4yuqvv0405cuqw6prvmyre/view</t>
        </is>
      </c>
      <c r="E821">
        <f>HYPERLÄNK("http://localhost:8787/api/admin/requirements/documents/cmm4yuqvv0405cuqw6prvmyre/view";"Öppna PDF")</f>
        <v/>
      </c>
      <c r="F821">
        <f>HYPERLINK("http://localhost:8787/api/admin/requirements/documents/cmm4yuqvv0405cuqw6prvmyre/view","Open PDF")</f>
        <v/>
      </c>
      <c r="G821" t="inlineStr">
        <is>
          <t>cmm55w57p0004cuisfrtpqly8</t>
        </is>
      </c>
      <c r="H821" t="inlineStr">
        <is>
          <t>Informationskrav</t>
        </is>
      </c>
      <c r="I821" t="inlineStr">
        <is>
          <t>LagringsvolymTid</t>
        </is>
      </c>
      <c r="J821" t="inlineStr">
        <is>
          <t>Maxmangd</t>
        </is>
      </c>
      <c r="K821" t="inlineStr">
        <is>
          <t>Massor innehållande fraktioner av bygg-, rivningsavfall, metall, plast, gummi, pulveriserat material av betong, puts och cement eller annat liknande avfall får inte återanvändas.</t>
        </is>
      </c>
      <c r="L821" t="inlineStr">
        <is>
          <t>Massor innehållande fraktioner av bygg-, rivningsavfall, metall, plast, gummi, pulveriserat material av betong, puts och cement eller annat liknande avfall får inte återanvändas.</t>
        </is>
      </c>
      <c r="M821" t="inlineStr">
        <is>
          <t>SKA</t>
        </is>
      </c>
      <c r="N821" t="inlineStr"/>
      <c r="O821" t="inlineStr"/>
      <c r="P821" t="inlineStr"/>
      <c r="Q821" t="inlineStr">
        <is>
          <t>Driftbegransning vid avvikelse</t>
        </is>
      </c>
      <c r="R821" t="inlineStr">
        <is>
          <t>Alltid</t>
        </is>
      </c>
      <c r="S821" t="inlineStr"/>
      <c r="T821" t="inlineStr">
        <is>
          <t>26 67 50</t>
        </is>
      </c>
      <c r="U821" t="inlineStr"/>
      <c r="V821" t="inlineStr"/>
      <c r="W821" t="inlineStr">
        <is>
          <t>Nej</t>
        </is>
      </c>
      <c r="X821" t="inlineStr">
        <is>
          <t>Nej</t>
        </is>
      </c>
      <c r="Y821" t="inlineStr">
        <is>
          <t>Nej</t>
        </is>
      </c>
      <c r="Z821" t="inlineStr">
        <is>
          <t>Nej</t>
        </is>
      </c>
      <c r="AA821" t="n">
        <v>4</v>
      </c>
      <c r="AB821" t="inlineStr">
        <is>
          <t>Avfallsmangder och lagringstid</t>
        </is>
      </c>
      <c r="AC821" t="inlineStr">
        <is>
          <t>Avfallsforteckning</t>
        </is>
      </c>
      <c r="AD821" t="inlineStr">
        <is>
          <t>Nej</t>
        </is>
      </c>
      <c r="AE821" t="inlineStr">
        <is>
          <t>Nej</t>
        </is>
      </c>
      <c r="AF821" t="inlineStr">
        <is>
          <t>Ej behandlad</t>
        </is>
      </c>
      <c r="AG821" t="inlineStr">
        <is>
          <t>AUTO_GENERERAD. Verifiera citat mot kallfil.</t>
        </is>
      </c>
      <c r="AH821" t="inlineStr">
        <is>
          <t>MEDIUM</t>
        </is>
      </c>
      <c r="AI821" t="inlineStr">
        <is>
          <t>AUTO</t>
        </is>
      </c>
      <c r="AJ821" t="inlineStr">
        <is>
          <t>Nej</t>
        </is>
      </c>
      <c r="AK821" t="inlineStr"/>
      <c r="AL821" t="inlineStr"/>
      <c r="AM821" t="inlineStr"/>
      <c r="AN821" t="inlineStr"/>
      <c r="AO821" t="inlineStr">
        <is>
          <t>cmm4yuqwe040ncuqwqo98vhru</t>
        </is>
      </c>
      <c r="AP821" t="inlineStr">
        <is>
          <t>http://localhost:8787/api/admin/requirements/documents/cmm4yuqwe040ncuqwqo98vhru/view</t>
        </is>
      </c>
      <c r="AQ821">
        <f>HYPERLÄNK("http://localhost:8787/api/admin/requirements/documents/cmm4yuqwe040ncuqwqo98vhru/view";"Öppna PDF")</f>
        <v/>
      </c>
      <c r="AR821">
        <f>HYPERLINK("http://localhost:8787/api/admin/requirements/documents/cmm4yuqwe040ncuqwqo98vhru/view","Open PDF")</f>
        <v/>
      </c>
      <c r="AS821" t="inlineStr">
        <is>
          <t>cmm55w57p0004cuisfrtpqly8</t>
        </is>
      </c>
      <c r="AT821" t="inlineStr">
        <is>
          <t>cmm4xvu980000cuh4vj0usz09</t>
        </is>
      </c>
      <c r="AU821" t="inlineStr">
        <is>
          <t>Hässleholms</t>
        </is>
      </c>
      <c r="AV821" t="inlineStr">
        <is>
          <t>Kommun</t>
        </is>
      </c>
      <c r="AW821" t="inlineStr">
        <is>
          <t>Hässleholms kommun</t>
        </is>
      </c>
      <c r="AX821" t="inlineStr">
        <is>
          <t>2024-877</t>
        </is>
      </c>
      <c r="AY821" t="inlineStr">
        <is>
          <t>Anmalan</t>
        </is>
      </c>
      <c r="AZ821" t="inlineStr">
        <is>
          <t>2026-02-05</t>
        </is>
      </c>
      <c r="BA821" t="inlineStr">
        <is>
          <t>M-2024-877 - Anmälan.pdf</t>
        </is>
      </c>
      <c r="BB821" t="inlineStr">
        <is>
          <t>Sv:  Begäran om utlämnande av allmän handling – Anmälningar och beslut rörande mellanlagring av avfall samt anläggning av ytor</t>
        </is>
      </c>
      <c r="BC821" t="inlineStr">
        <is>
          <t>AUTO</t>
        </is>
      </c>
      <c r="BD821" t="inlineStr"/>
      <c r="BE821" t="inlineStr"/>
      <c r="BF821" t="inlineStr">
        <is>
          <t>AUTO_GENERERAD. Bekrafta metadata mot kallfil.</t>
        </is>
      </c>
      <c r="BG821">
        <f>HYPERLINK("C:\Users\jimmy\Desktop\Examens arbete\Kod\Ny mapp\remix_-copy-of-miljöbeslut.se-portal\M-2024-877 - Anmälan.pdf", "Öppna PDF")</f>
        <v/>
      </c>
    </row>
    <row r="822">
      <c r="A822" t="inlineStr">
        <is>
          <t>KRAV-AUTO-000821</t>
        </is>
      </c>
      <c r="B822" t="inlineStr">
        <is>
          <t>ADMIN-INDEX-2026-02-27-00000000125C043F57453246863FE664CAFE6A3F0700950291EA24F0614FB6ACEDB12BF0E31D00000000010C0000950291EA24F0614FB6ACEDB12BF0E31D00002087A5D70000</t>
        </is>
      </c>
      <c r="C822" t="inlineStr">
        <is>
          <t>cmm4yuqvv0405cuqw6prvmyre</t>
        </is>
      </c>
      <c r="D822" t="inlineStr">
        <is>
          <t>http://localhost:8787/api/admin/requirements/documents/cmm4yuqvv0405cuqw6prvmyre/view</t>
        </is>
      </c>
      <c r="E822">
        <f>HYPERLÄNK("http://localhost:8787/api/admin/requirements/documents/cmm4yuqvv0405cuqw6prvmyre/view";"Öppna PDF")</f>
        <v/>
      </c>
      <c r="F822">
        <f>HYPERLINK("http://localhost:8787/api/admin/requirements/documents/cmm4yuqvv0405cuqw6prvmyre/view","Open PDF")</f>
        <v/>
      </c>
      <c r="G822" t="inlineStr">
        <is>
          <t>cmm55w57p0004cuisfrtpqly8</t>
        </is>
      </c>
      <c r="H822" t="inlineStr">
        <is>
          <t>Informationskrav</t>
        </is>
      </c>
      <c r="I822" t="inlineStr">
        <is>
          <t>Ytkonstruktion</t>
        </is>
      </c>
      <c r="J822" t="inlineStr">
        <is>
          <t>Tat yta</t>
        </is>
      </c>
      <c r="K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822" t="inlineStr">
        <is>
          <t>SKA</t>
        </is>
      </c>
      <c r="N822" t="inlineStr"/>
      <c r="O822" t="inlineStr"/>
      <c r="P822" t="inlineStr"/>
      <c r="Q822" t="inlineStr"/>
      <c r="R822" t="inlineStr">
        <is>
          <t>Vid mellanlagring av avfall</t>
        </is>
      </c>
      <c r="S822" t="inlineStr"/>
      <c r="T822" t="inlineStr">
        <is>
          <t>26 67 50</t>
        </is>
      </c>
      <c r="U822" t="inlineStr"/>
      <c r="V822" t="inlineStr"/>
      <c r="W822" t="inlineStr">
        <is>
          <t>Ja</t>
        </is>
      </c>
      <c r="X822" t="inlineStr">
        <is>
          <t>Nej</t>
        </is>
      </c>
      <c r="Y822" t="inlineStr">
        <is>
          <t>Nej</t>
        </is>
      </c>
      <c r="Z822" t="inlineStr">
        <is>
          <t>Nej</t>
        </is>
      </c>
      <c r="AA822" t="n">
        <v>5</v>
      </c>
      <c r="AB822" t="inlineStr">
        <is>
          <t>Teknisk beskrivning av platta</t>
        </is>
      </c>
      <c r="AC822" t="inlineStr">
        <is>
          <t>Teknisk ritning platta</t>
        </is>
      </c>
      <c r="AD822" t="inlineStr">
        <is>
          <t>Nej</t>
        </is>
      </c>
      <c r="AE822" t="inlineStr">
        <is>
          <t>Nej</t>
        </is>
      </c>
      <c r="AF822" t="inlineStr">
        <is>
          <t>Ej behandlad</t>
        </is>
      </c>
      <c r="AG822" t="inlineStr">
        <is>
          <t>AUTO_GENERERAD. Verifiera citat mot kallfil.</t>
        </is>
      </c>
      <c r="AH822" t="inlineStr">
        <is>
          <t>MEDIUM</t>
        </is>
      </c>
      <c r="AI822" t="inlineStr">
        <is>
          <t>AUTO</t>
        </is>
      </c>
      <c r="AJ822" t="inlineStr">
        <is>
          <t>Nej</t>
        </is>
      </c>
      <c r="AK822" t="inlineStr"/>
      <c r="AL822" t="inlineStr"/>
      <c r="AM822" t="inlineStr"/>
      <c r="AN822" t="inlineStr"/>
      <c r="AO822" t="inlineStr">
        <is>
          <t>cmm4yuqwe040ncuqwqo98vhru</t>
        </is>
      </c>
      <c r="AP822" t="inlineStr">
        <is>
          <t>http://localhost:8787/api/admin/requirements/documents/cmm4yuqwe040ncuqwqo98vhru/view</t>
        </is>
      </c>
      <c r="AQ822">
        <f>HYPERLÄNK("http://localhost:8787/api/admin/requirements/documents/cmm4yuqwe040ncuqwqo98vhru/view";"Öppna PDF")</f>
        <v/>
      </c>
      <c r="AR822">
        <f>HYPERLINK("http://localhost:8787/api/admin/requirements/documents/cmm4yuqwe040ncuqwqo98vhru/view","Open PDF")</f>
        <v/>
      </c>
      <c r="AS822" t="inlineStr">
        <is>
          <t>cmm55w57p0004cuisfrtpqly8</t>
        </is>
      </c>
      <c r="AT822" t="inlineStr">
        <is>
          <t>cmm4xvu980000cuh4vj0usz09</t>
        </is>
      </c>
      <c r="AU822" t="inlineStr">
        <is>
          <t>Hässleholms</t>
        </is>
      </c>
      <c r="AV822" t="inlineStr">
        <is>
          <t>Kommun</t>
        </is>
      </c>
      <c r="AW822" t="inlineStr">
        <is>
          <t>Hässleholms kommun</t>
        </is>
      </c>
      <c r="AX822" t="inlineStr">
        <is>
          <t>2024-877</t>
        </is>
      </c>
      <c r="AY822" t="inlineStr">
        <is>
          <t>Anmalan</t>
        </is>
      </c>
      <c r="AZ822" t="inlineStr">
        <is>
          <t>2026-02-05</t>
        </is>
      </c>
      <c r="BA822" t="inlineStr">
        <is>
          <t>M-2024-877 - Anmälan.pdf</t>
        </is>
      </c>
      <c r="BB822" t="inlineStr">
        <is>
          <t>Sv:  Begäran om utlämnande av allmän handling – Anmälningar och beslut rörande mellanlagring av avfall samt anläggning av ytor</t>
        </is>
      </c>
      <c r="BC822" t="inlineStr">
        <is>
          <t>AUTO</t>
        </is>
      </c>
      <c r="BD822" t="inlineStr"/>
      <c r="BE822" t="inlineStr"/>
      <c r="BF822" t="inlineStr">
        <is>
          <t>AUTO_GENERERAD. Bekrafta metadata mot kallfil.</t>
        </is>
      </c>
      <c r="BG822">
        <f>HYPERLINK("C:\Users\jimmy\Desktop\Examens arbete\Kod\Ny mapp\remix_-copy-of-miljöbeslut.se-portal\M-2024-877 - Anmälan.pdf", "Öppna PDF")</f>
        <v/>
      </c>
    </row>
    <row r="823">
      <c r="A823" t="inlineStr">
        <is>
          <t>KRAV-AUTO-000822</t>
        </is>
      </c>
      <c r="B823" t="inlineStr">
        <is>
          <t>ADMIN-INDEX-2026-02-27-00000000125C043F57453246863FE664CAFE6A3F0700950291EA24F0614FB6ACEDB12BF0E31D00000000010C0000950291EA24F0614FB6ACEDB12BF0E31D00002087A5D80000</t>
        </is>
      </c>
      <c r="C823" t="inlineStr">
        <is>
          <t>cmm4yuqvh03zqcuqwdyyz1ffu</t>
        </is>
      </c>
      <c r="D823" t="inlineStr">
        <is>
          <t>http://localhost:8787/api/admin/requirements/documents/cmm4yuqvh03zqcuqwdyyz1ffu/view</t>
        </is>
      </c>
      <c r="E823">
        <f>HYPERLÄNK("http://localhost:8787/api/admin/requirements/documents/cmm4yuqvh03zqcuqwdyyz1ffu/view";"Öppna PDF")</f>
        <v/>
      </c>
      <c r="F823">
        <f>HYPERLINK("http://localhost:8787/api/admin/requirements/documents/cmm4yuqvh03zqcuqwdyyz1ffu/view","Open PDF")</f>
        <v/>
      </c>
      <c r="G823" t="inlineStr">
        <is>
          <t>cmm55w57p0004cuisfrtpqly8</t>
        </is>
      </c>
      <c r="H823" t="inlineStr">
        <is>
          <t>Informationskrav</t>
        </is>
      </c>
      <c r="I823" t="inlineStr">
        <is>
          <t>MiljopaverkanForsiktighet</t>
        </is>
      </c>
      <c r="J823" t="inlineStr">
        <is>
          <t>Skyddsatgarder</t>
        </is>
      </c>
      <c r="K823" t="inlineStr">
        <is>
          <t>Om annat avfall ska användas för anläggningsändamål på fastigheten, ska en ny anmälan lämnas in till miljöavdelningen.</t>
        </is>
      </c>
      <c r="L823" t="inlineStr">
        <is>
          <t>Om annat avfall ska användas för anläggningsändamål på fastigheten, ska en ny anmälan lämnas in till miljöavdelningen.</t>
        </is>
      </c>
      <c r="M823" t="inlineStr">
        <is>
          <t>SKA</t>
        </is>
      </c>
      <c r="N823" t="inlineStr"/>
      <c r="O823" t="inlineStr"/>
      <c r="P823" t="inlineStr"/>
      <c r="Q823" t="inlineStr"/>
      <c r="R823" t="inlineStr">
        <is>
          <t>Alltid</t>
        </is>
      </c>
      <c r="S823" t="inlineStr"/>
      <c r="T823" t="inlineStr">
        <is>
          <t>26 70 00</t>
        </is>
      </c>
      <c r="U823" t="inlineStr"/>
      <c r="V823" t="inlineStr"/>
      <c r="W823" t="inlineStr">
        <is>
          <t>Nej</t>
        </is>
      </c>
      <c r="X823" t="inlineStr">
        <is>
          <t>Nej</t>
        </is>
      </c>
      <c r="Y823" t="inlineStr">
        <is>
          <t>Nej</t>
        </is>
      </c>
      <c r="Z823" t="inlineStr">
        <is>
          <t>Nej</t>
        </is>
      </c>
      <c r="AA823" t="n">
        <v>10</v>
      </c>
      <c r="AB823" t="inlineStr">
        <is>
          <t>Miljopaverkan och forsiktighetsmatt</t>
        </is>
      </c>
      <c r="AC823" t="inlineStr">
        <is>
          <t>Miljo-PM</t>
        </is>
      </c>
      <c r="AD823" t="inlineStr">
        <is>
          <t>Nej</t>
        </is>
      </c>
      <c r="AE823" t="inlineStr">
        <is>
          <t>Nej</t>
        </is>
      </c>
      <c r="AF823" t="inlineStr">
        <is>
          <t>Ej behandlad</t>
        </is>
      </c>
      <c r="AG823" t="inlineStr">
        <is>
          <t>AUTO_GENERERAD. Verifiera citat mot kallfil.</t>
        </is>
      </c>
      <c r="AH823" t="inlineStr">
        <is>
          <t>MEDIUM</t>
        </is>
      </c>
      <c r="AI823" t="inlineStr">
        <is>
          <t>AUTO</t>
        </is>
      </c>
      <c r="AJ823" t="inlineStr">
        <is>
          <t>Nej</t>
        </is>
      </c>
      <c r="AK823" t="inlineStr"/>
      <c r="AL823" t="inlineStr"/>
      <c r="AM823" t="inlineStr"/>
      <c r="AN823" t="inlineStr"/>
      <c r="AO823" t="inlineStr">
        <is>
          <t>cmm4yuqvk03ztcuqwn64kirb8</t>
        </is>
      </c>
      <c r="AP823" t="inlineStr">
        <is>
          <t>http://localhost:8787/api/admin/requirements/documents/cmm4yuqvk03ztcuqwn64kirb8/view</t>
        </is>
      </c>
      <c r="AQ823">
        <f>HYPERLÄNK("http://localhost:8787/api/admin/requirements/documents/cmm4yuqvk03ztcuqwn64kirb8/view";"Öppna PDF")</f>
        <v/>
      </c>
      <c r="AR823">
        <f>HYPERLINK("http://localhost:8787/api/admin/requirements/documents/cmm4yuqvk03ztcuqwn64kirb8/view","Open PDF")</f>
        <v/>
      </c>
      <c r="AS823" t="inlineStr">
        <is>
          <t>cmm55w57p0004cuisfrtpqly8</t>
        </is>
      </c>
      <c r="AT823" t="inlineStr">
        <is>
          <t>cmm4xvu980000cuh4vj0usz09</t>
        </is>
      </c>
      <c r="AU823" t="inlineStr">
        <is>
          <t>Hässleholms</t>
        </is>
      </c>
      <c r="AV823" t="inlineStr">
        <is>
          <t>Kommun</t>
        </is>
      </c>
      <c r="AW823" t="inlineStr">
        <is>
          <t>Hässleholms kommun</t>
        </is>
      </c>
      <c r="AX823" t="inlineStr">
        <is>
          <t>2024-877</t>
        </is>
      </c>
      <c r="AY823" t="inlineStr">
        <is>
          <t>Anmalan</t>
        </is>
      </c>
      <c r="AZ823" t="inlineStr">
        <is>
          <t>2026-02-05</t>
        </is>
      </c>
      <c r="BA823" t="inlineStr">
        <is>
          <t>M-2024-877 - Anmälan.pdf</t>
        </is>
      </c>
      <c r="BB823" t="inlineStr">
        <is>
          <t>Sv:  Begäran om utlämnande av allmän handling – Anmälningar och beslut rörande mellanlagring av avfall samt anläggning av ytor</t>
        </is>
      </c>
      <c r="BC823" t="inlineStr">
        <is>
          <t>AUTO</t>
        </is>
      </c>
      <c r="BD823" t="inlineStr"/>
      <c r="BE823" t="inlineStr"/>
      <c r="BF823" t="inlineStr">
        <is>
          <t>AUTO_GENERERAD. Bekrafta metadata mot kallfil.</t>
        </is>
      </c>
      <c r="BG823">
        <f>HYPERLINK("C:\Users\jimmy\Desktop\Examens arbete\Kod\Ny mapp\remix_-copy-of-miljöbeslut.se-portal\M-2024-877 - Anmälan.pdf", "Öppna PDF")</f>
        <v/>
      </c>
    </row>
    <row r="824">
      <c r="A824" t="inlineStr">
        <is>
          <t>KRAV-AUTO-000823</t>
        </is>
      </c>
      <c r="B824" t="inlineStr">
        <is>
          <t>ADMIN-INDEX-2026-02-27-00000000125C043F57453246863FE664CAFE6A3F0700950291EA24F0614FB6ACEDB12BF0E31D00000000010C0000950291EA24F0614FB6ACEDB12BF0E31D000073AF24000000</t>
        </is>
      </c>
      <c r="C824" t="inlineStr">
        <is>
          <t>cmm4yurfa04hncuqw9o7kzut4</t>
        </is>
      </c>
      <c r="D824" t="inlineStr">
        <is>
          <t>http://localhost:8787/api/admin/requirements/documents/cmm4yurfa04hncuqw9o7kzut4/view</t>
        </is>
      </c>
      <c r="E824">
        <f>HYPERLÄNK("http://localhost:8787/api/admin/requirements/documents/cmm4yurfa04hncuqw9o7kzut4/view";"Öppna PDF")</f>
        <v/>
      </c>
      <c r="F824">
        <f>HYPERLINK("http://localhost:8787/api/admin/requirements/documents/cmm4yurfa04hncuqw9o7kzut4/view","Open PDF")</f>
        <v/>
      </c>
      <c r="G824" t="inlineStr">
        <is>
          <t>cmm55w57p0004cuisfrtpqly8</t>
        </is>
      </c>
      <c r="H824" t="inlineStr">
        <is>
          <t>Beslutsvillkor</t>
        </is>
      </c>
      <c r="I824" t="inlineStr">
        <is>
          <t>DagvattenLakvatten</t>
        </is>
      </c>
      <c r="J824" t="inlineStr">
        <is>
          <t>Uppsamling</t>
        </is>
      </c>
      <c r="K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L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M824" t="inlineStr">
        <is>
          <t>INFO</t>
        </is>
      </c>
      <c r="N824" t="inlineStr"/>
      <c r="O824" t="inlineStr">
        <is>
          <t>2025-09-05</t>
        </is>
      </c>
      <c r="P824" t="inlineStr">
        <is>
          <t>Arlig</t>
        </is>
      </c>
      <c r="Q824" t="inlineStr">
        <is>
          <t>Forelaggande vid brist</t>
        </is>
      </c>
      <c r="R824" t="inlineStr">
        <is>
          <t>Vid nederbord och avrinning</t>
        </is>
      </c>
      <c r="S824" t="inlineStr"/>
      <c r="T824" t="inlineStr">
        <is>
          <t>24 00 00</t>
        </is>
      </c>
      <c r="U824" t="inlineStr"/>
      <c r="V824" t="inlineStr"/>
      <c r="W824" t="inlineStr">
        <is>
          <t>Nej</t>
        </is>
      </c>
      <c r="X824" t="inlineStr">
        <is>
          <t>Ja</t>
        </is>
      </c>
      <c r="Y824" t="inlineStr">
        <is>
          <t>Ja</t>
        </is>
      </c>
      <c r="Z824" t="inlineStr">
        <is>
          <t>Nej</t>
        </is>
      </c>
      <c r="AA824" t="n">
        <v>6</v>
      </c>
      <c r="AB824" t="inlineStr">
        <is>
          <t>Lakvattenhantering</t>
        </is>
      </c>
      <c r="AC824" t="inlineStr">
        <is>
          <t>Flodesschema dagvatten-lakvatten</t>
        </is>
      </c>
      <c r="AD824" t="inlineStr">
        <is>
          <t>Nej</t>
        </is>
      </c>
      <c r="AE824" t="inlineStr">
        <is>
          <t>Nej</t>
        </is>
      </c>
      <c r="AF824" t="inlineStr">
        <is>
          <t>Ej behandlad</t>
        </is>
      </c>
      <c r="AG824" t="inlineStr">
        <is>
          <t>AUTO_GENERERAD. Verifiera citat mot kallfil.</t>
        </is>
      </c>
      <c r="AH824" t="inlineStr">
        <is>
          <t>MEDIUM</t>
        </is>
      </c>
      <c r="AI824" t="inlineStr">
        <is>
          <t>AUTO</t>
        </is>
      </c>
      <c r="AJ824" t="inlineStr">
        <is>
          <t>Nej</t>
        </is>
      </c>
      <c r="AK824" t="inlineStr"/>
      <c r="AL824" t="inlineStr"/>
      <c r="AM824" t="inlineStr"/>
      <c r="AN824" t="inlineStr"/>
      <c r="AO824" t="inlineStr">
        <is>
          <t>cmm4yurfq04i5cuqw1drt61jr</t>
        </is>
      </c>
      <c r="AP824" t="inlineStr">
        <is>
          <t>http://localhost:8787/api/admin/requirements/documents/cmm4yurfq04i5cuqw1drt61jr/view</t>
        </is>
      </c>
      <c r="AQ824">
        <f>HYPERLÄNK("http://localhost:8787/api/admin/requirements/documents/cmm4yurfq04i5cuqw1drt61jr/view";"Öppna PDF")</f>
        <v/>
      </c>
      <c r="AR824">
        <f>HYPERLINK("http://localhost:8787/api/admin/requirements/documents/cmm4yurfq04i5cuqw1drt61jr/view","Open PDF")</f>
        <v/>
      </c>
      <c r="AS824" t="inlineStr">
        <is>
          <t>cmm55w57p0004cuisfrtpqly8</t>
        </is>
      </c>
      <c r="AT824" t="inlineStr">
        <is>
          <t>cmm4xvu980000cuh4vj0usz09</t>
        </is>
      </c>
      <c r="AU824" t="inlineStr"/>
      <c r="AV824" t="inlineStr">
        <is>
          <t>Kommun</t>
        </is>
      </c>
      <c r="AW824" t="inlineStr"/>
      <c r="AX824" t="inlineStr">
        <is>
          <t>2025-10</t>
        </is>
      </c>
      <c r="AY824" t="inlineStr">
        <is>
          <t>Beslut</t>
        </is>
      </c>
      <c r="AZ824" t="inlineStr">
        <is>
          <t>2026-02-13</t>
        </is>
      </c>
      <c r="BA824" t="inlineStr">
        <is>
          <t>VGS-MH-2025-2444.pdf</t>
        </is>
      </c>
      <c r="BB824" t="inlineStr">
        <is>
          <t>Sv: till registrator</t>
        </is>
      </c>
      <c r="BC824" t="inlineStr">
        <is>
          <t>AUTO</t>
        </is>
      </c>
      <c r="BD824" t="inlineStr"/>
      <c r="BE824" t="inlineStr"/>
      <c r="BF824" t="inlineStr">
        <is>
          <t>AUTO_GENERERAD. Bekrafta metadata mot kallfil.</t>
        </is>
      </c>
      <c r="BG824">
        <f>HYPERLINK("C:\Users\jimmy\Desktop\Examens arbete\Kod\Ny mapp\remix_-copy-of-miljöbeslut.se-portal\VGS-MH-2025-2444.pdf", "Öppna PDF")</f>
        <v/>
      </c>
    </row>
    <row r="825">
      <c r="A825" t="inlineStr">
        <is>
          <t>KRAV-AUTO-000824</t>
        </is>
      </c>
      <c r="B825" t="inlineStr">
        <is>
          <t>ADMIN-INDEX-2026-02-27-00000000125C043F57453246863FE664CAFE6A3F0700950291EA24F0614FB6ACEDB12BF0E31D00000000010C0000950291EA24F0614FB6ACEDB12BF0E31D000073AF24000000</t>
        </is>
      </c>
      <c r="C825" t="inlineStr">
        <is>
          <t>cmm4yurfa04hncuqw9o7kzut4</t>
        </is>
      </c>
      <c r="D825" t="inlineStr">
        <is>
          <t>http://localhost:8787/api/admin/requirements/documents/cmm4yurfa04hncuqw9o7kzut4/view</t>
        </is>
      </c>
      <c r="E825">
        <f>HYPERLÄNK("http://localhost:8787/api/admin/requirements/documents/cmm4yurfa04hncuqw9o7kzut4/view";"Öppna PDF")</f>
        <v/>
      </c>
      <c r="F825">
        <f>HYPERLINK("http://localhost:8787/api/admin/requirements/documents/cmm4yurfa04hncuqw9o7kzut4/view","Open PDF")</f>
        <v/>
      </c>
      <c r="G825" t="inlineStr">
        <is>
          <t>cmm55w57p0004cuisfrtpqly8</t>
        </is>
      </c>
      <c r="H825" t="inlineStr">
        <is>
          <t>Beslutsvillkor</t>
        </is>
      </c>
      <c r="I825" t="inlineStr">
        <is>
          <t>Riskhantering</t>
        </is>
      </c>
      <c r="J825" t="inlineStr">
        <is>
          <t>Riskkontroll</t>
        </is>
      </c>
      <c r="K825" t="inlineStr">
        <is>
          <t>Verksamhetsområdet ska utformas så att risken för att utomstående kan lämna avfall på upplaget minimeras.</t>
        </is>
      </c>
      <c r="L825" t="inlineStr">
        <is>
          <t>Verksamhetsområdet ska utformas så att risken för att utomstående kan lämna avfall på upplaget minimeras.</t>
        </is>
      </c>
      <c r="M825" t="inlineStr">
        <is>
          <t>SKA</t>
        </is>
      </c>
      <c r="N825" t="inlineStr"/>
      <c r="O825" t="inlineStr"/>
      <c r="P825" t="inlineStr"/>
      <c r="Q825" t="inlineStr"/>
      <c r="R825" t="inlineStr">
        <is>
          <t>Vid risk for incident</t>
        </is>
      </c>
      <c r="S825" t="inlineStr"/>
      <c r="T825" t="inlineStr">
        <is>
          <t>24 00 00</t>
        </is>
      </c>
      <c r="U825" t="inlineStr"/>
      <c r="V825" t="inlineStr"/>
      <c r="W825" t="inlineStr">
        <is>
          <t>Nej</t>
        </is>
      </c>
      <c r="X825" t="inlineStr">
        <is>
          <t>Nej</t>
        </is>
      </c>
      <c r="Y825" t="inlineStr">
        <is>
          <t>Ja</t>
        </is>
      </c>
      <c r="Z825" t="inlineStr">
        <is>
          <t>Ja</t>
        </is>
      </c>
      <c r="AA825" t="n">
        <v>8</v>
      </c>
      <c r="AB825" t="inlineStr">
        <is>
          <t>Riskhantering</t>
        </is>
      </c>
      <c r="AC825" t="inlineStr">
        <is>
          <t>Risk-PM</t>
        </is>
      </c>
      <c r="AD825" t="inlineStr">
        <is>
          <t>Nej</t>
        </is>
      </c>
      <c r="AE825" t="inlineStr">
        <is>
          <t>Nej</t>
        </is>
      </c>
      <c r="AF825" t="inlineStr">
        <is>
          <t>Ej behandlad</t>
        </is>
      </c>
      <c r="AG825" t="inlineStr">
        <is>
          <t>AUTO_GENERERAD. Verifiera citat mot kallfil.</t>
        </is>
      </c>
      <c r="AH825" t="inlineStr">
        <is>
          <t>MEDIUM</t>
        </is>
      </c>
      <c r="AI825" t="inlineStr">
        <is>
          <t>AUTO</t>
        </is>
      </c>
      <c r="AJ825" t="inlineStr">
        <is>
          <t>Nej</t>
        </is>
      </c>
      <c r="AK825" t="inlineStr"/>
      <c r="AL825" t="inlineStr"/>
      <c r="AM825" t="inlineStr"/>
      <c r="AN825" t="inlineStr"/>
      <c r="AO825" t="inlineStr">
        <is>
          <t>cmm4yurfq04i5cuqw1drt61jr</t>
        </is>
      </c>
      <c r="AP825" t="inlineStr">
        <is>
          <t>http://localhost:8787/api/admin/requirements/documents/cmm4yurfq04i5cuqw1drt61jr/view</t>
        </is>
      </c>
      <c r="AQ825">
        <f>HYPERLÄNK("http://localhost:8787/api/admin/requirements/documents/cmm4yurfq04i5cuqw1drt61jr/view";"Öppna PDF")</f>
        <v/>
      </c>
      <c r="AR825">
        <f>HYPERLINK("http://localhost:8787/api/admin/requirements/documents/cmm4yurfq04i5cuqw1drt61jr/view","Open PDF")</f>
        <v/>
      </c>
      <c r="AS825" t="inlineStr">
        <is>
          <t>cmm55w57p0004cuisfrtpqly8</t>
        </is>
      </c>
      <c r="AT825" t="inlineStr">
        <is>
          <t>cmm4xvu980000cuh4vj0usz09</t>
        </is>
      </c>
      <c r="AU825" t="inlineStr"/>
      <c r="AV825" t="inlineStr">
        <is>
          <t>Kommun</t>
        </is>
      </c>
      <c r="AW825" t="inlineStr"/>
      <c r="AX825" t="inlineStr">
        <is>
          <t>2025-10</t>
        </is>
      </c>
      <c r="AY825" t="inlineStr">
        <is>
          <t>Beslut</t>
        </is>
      </c>
      <c r="AZ825" t="inlineStr">
        <is>
          <t>2026-02-13</t>
        </is>
      </c>
      <c r="BA825" t="inlineStr">
        <is>
          <t>VGS-MH-2025-2444.pdf</t>
        </is>
      </c>
      <c r="BB825" t="inlineStr">
        <is>
          <t>Sv: till registrator</t>
        </is>
      </c>
      <c r="BC825" t="inlineStr">
        <is>
          <t>AUTO</t>
        </is>
      </c>
      <c r="BD825" t="inlineStr"/>
      <c r="BE825" t="inlineStr"/>
      <c r="BF825" t="inlineStr">
        <is>
          <t>AUTO_GENERERAD. Bekrafta metadata mot kallfil.</t>
        </is>
      </c>
      <c r="BG825">
        <f>HYPERLINK("C:\Users\jimmy\Desktop\Examens arbete\Kod\Ny mapp\remix_-copy-of-miljöbeslut.se-portal\VGS-MH-2025-2444.pdf", "Öppna PDF")</f>
        <v/>
      </c>
    </row>
    <row r="826">
      <c r="A826" t="inlineStr">
        <is>
          <t>KRAV-AUTO-000825</t>
        </is>
      </c>
      <c r="B826" t="inlineStr">
        <is>
          <t>ADMIN-INDEX-2026-02-27-00000000125C043F57453246863FE664CAFE6A3F0700950291EA24F0614FB6ACEDB12BF0E31D00000000010C0000950291EA24F0614FB6ACEDB12BF0E31D000073AF24000000</t>
        </is>
      </c>
      <c r="C826" t="inlineStr">
        <is>
          <t>cmm4yurfa04hncuqw9o7kzut4</t>
        </is>
      </c>
      <c r="D826" t="inlineStr">
        <is>
          <t>http://localhost:8787/api/admin/requirements/documents/cmm4yurfa04hncuqw9o7kzut4/view</t>
        </is>
      </c>
      <c r="E826">
        <f>HYPERLÄNK("http://localhost:8787/api/admin/requirements/documents/cmm4yurfa04hncuqw9o7kzut4/view";"Öppna PDF")</f>
        <v/>
      </c>
      <c r="F826">
        <f>HYPERLINK("http://localhost:8787/api/admin/requirements/documents/cmm4yurfa04hncuqw9o7kzut4/view","Open PDF")</f>
        <v/>
      </c>
      <c r="G826" t="inlineStr">
        <is>
          <t>cmm55w57p0004cuisfrtpqly8</t>
        </is>
      </c>
      <c r="H826" t="inlineStr">
        <is>
          <t>Beslutsvillkor</t>
        </is>
      </c>
      <c r="I826" t="inlineStr">
        <is>
          <t>LagringsvolymTid</t>
        </is>
      </c>
      <c r="J826" t="inlineStr">
        <is>
          <t>Maxmangd</t>
        </is>
      </c>
      <c r="K826" t="inlineStr">
        <is>
          <t>mer än 10 ton men högst 30 000 ton och avfallet ska användas för byggnads- eller anläggningsändamål, eller 2.</t>
        </is>
      </c>
      <c r="L826" t="inlineStr">
        <is>
          <t>mer än 10 ton men högst 30 000 ton och avfallet ska användas för byggnads- eller anläggningsändamål, eller 2.</t>
        </is>
      </c>
      <c r="M826" t="inlineStr">
        <is>
          <t>SKA</t>
        </is>
      </c>
      <c r="N826" t="inlineStr"/>
      <c r="O826" t="inlineStr"/>
      <c r="P826" t="inlineStr"/>
      <c r="Q826" t="inlineStr"/>
      <c r="R826" t="inlineStr">
        <is>
          <t>Alltid</t>
        </is>
      </c>
      <c r="S826" t="inlineStr"/>
      <c r="T826" t="inlineStr">
        <is>
          <t>24 00 00</t>
        </is>
      </c>
      <c r="U826" t="n">
        <v>10</v>
      </c>
      <c r="V826" t="inlineStr"/>
      <c r="W826" t="inlineStr">
        <is>
          <t>Nej</t>
        </is>
      </c>
      <c r="X826" t="inlineStr">
        <is>
          <t>Nej</t>
        </is>
      </c>
      <c r="Y826" t="inlineStr">
        <is>
          <t>Nej</t>
        </is>
      </c>
      <c r="Z826" t="inlineStr">
        <is>
          <t>Nej</t>
        </is>
      </c>
      <c r="AA826" t="n">
        <v>4</v>
      </c>
      <c r="AB826" t="inlineStr">
        <is>
          <t>Avfallsmangder och lagringstid</t>
        </is>
      </c>
      <c r="AC826" t="inlineStr">
        <is>
          <t>Avfallsforteckning</t>
        </is>
      </c>
      <c r="AD826" t="inlineStr">
        <is>
          <t>Nej</t>
        </is>
      </c>
      <c r="AE826" t="inlineStr">
        <is>
          <t>Nej</t>
        </is>
      </c>
      <c r="AF826" t="inlineStr">
        <is>
          <t>Ej behandlad</t>
        </is>
      </c>
      <c r="AG826" t="inlineStr">
        <is>
          <t>AUTO_GENERERAD. Verifiera citat mot kallfil.</t>
        </is>
      </c>
      <c r="AH826" t="inlineStr">
        <is>
          <t>MEDIUM</t>
        </is>
      </c>
      <c r="AI826" t="inlineStr">
        <is>
          <t>AUTO</t>
        </is>
      </c>
      <c r="AJ826" t="inlineStr">
        <is>
          <t>Nej</t>
        </is>
      </c>
      <c r="AK826" t="inlineStr"/>
      <c r="AL826" t="inlineStr"/>
      <c r="AM826" t="inlineStr"/>
      <c r="AN826" t="inlineStr"/>
      <c r="AO826" t="inlineStr">
        <is>
          <t>cmm4yurfq04i5cuqw1drt61jr</t>
        </is>
      </c>
      <c r="AP826" t="inlineStr">
        <is>
          <t>http://localhost:8787/api/admin/requirements/documents/cmm4yurfq04i5cuqw1drt61jr/view</t>
        </is>
      </c>
      <c r="AQ826">
        <f>HYPERLÄNK("http://localhost:8787/api/admin/requirements/documents/cmm4yurfq04i5cuqw1drt61jr/view";"Öppna PDF")</f>
        <v/>
      </c>
      <c r="AR826">
        <f>HYPERLINK("http://localhost:8787/api/admin/requirements/documents/cmm4yurfq04i5cuqw1drt61jr/view","Open PDF")</f>
        <v/>
      </c>
      <c r="AS826" t="inlineStr">
        <is>
          <t>cmm55w57p0004cuisfrtpqly8</t>
        </is>
      </c>
      <c r="AT826" t="inlineStr">
        <is>
          <t>cmm4xvu980000cuh4vj0usz09</t>
        </is>
      </c>
      <c r="AU826" t="inlineStr"/>
      <c r="AV826" t="inlineStr">
        <is>
          <t>Kommun</t>
        </is>
      </c>
      <c r="AW826" t="inlineStr"/>
      <c r="AX826" t="inlineStr">
        <is>
          <t>2025-10</t>
        </is>
      </c>
      <c r="AY826" t="inlineStr">
        <is>
          <t>Beslut</t>
        </is>
      </c>
      <c r="AZ826" t="inlineStr">
        <is>
          <t>2026-02-13</t>
        </is>
      </c>
      <c r="BA826" t="inlineStr">
        <is>
          <t>VGS-MH-2025-2444.pdf</t>
        </is>
      </c>
      <c r="BB826" t="inlineStr">
        <is>
          <t>Sv: till registrator</t>
        </is>
      </c>
      <c r="BC826" t="inlineStr">
        <is>
          <t>AUTO</t>
        </is>
      </c>
      <c r="BD826" t="inlineStr"/>
      <c r="BE826" t="inlineStr"/>
      <c r="BF826" t="inlineStr">
        <is>
          <t>AUTO_GENERERAD. Bekrafta metadata mot kallfil.</t>
        </is>
      </c>
      <c r="BG826">
        <f>HYPERLINK("C:\Users\jimmy\Desktop\Examens arbete\Kod\Ny mapp\remix_-copy-of-miljöbeslut.se-portal\VGS-MH-2025-2444.pdf", "Öppna PDF")</f>
        <v/>
      </c>
    </row>
    <row r="827">
      <c r="A827" t="inlineStr">
        <is>
          <t>KRAV-AUTO-000826</t>
        </is>
      </c>
      <c r="B827" t="inlineStr">
        <is>
          <t>ADMIN-INDEX-2026-02-27-00000000125C043F57453246863FE664CAFE6A3F0700950291EA24F0614FB6ACEDB12BF0E31D00000000010C0000950291EA24F0614FB6ACEDB12BF0E31D00002087A5DD0000</t>
        </is>
      </c>
      <c r="C827" t="inlineStr">
        <is>
          <t>cmm4yuqmk03qhcuqwkj7haeic</t>
        </is>
      </c>
      <c r="D827" t="inlineStr">
        <is>
          <t>http://localhost:8787/api/admin/requirements/documents/cmm4yuqmk03qhcuqwkj7haeic/view</t>
        </is>
      </c>
      <c r="E827">
        <f>HYPERLÄNK("http://localhost:8787/api/admin/requirements/documents/cmm4yuqmk03qhcuqwkj7haeic/view";"Öppna PDF")</f>
        <v/>
      </c>
      <c r="F827">
        <f>HYPERLINK("http://localhost:8787/api/admin/requirements/documents/cmm4yuqmk03qhcuqwkj7haeic/view","Open PDF")</f>
        <v/>
      </c>
      <c r="G827" t="inlineStr">
        <is>
          <t>cmm55w57p0004cuisfrtpqly8</t>
        </is>
      </c>
      <c r="H827" t="inlineStr">
        <is>
          <t>Informationskrav</t>
        </is>
      </c>
      <c r="I827" t="inlineStr">
        <is>
          <t>DagvattenLakvatten</t>
        </is>
      </c>
      <c r="J827" t="inlineStr">
        <is>
          <t>Uppsamling</t>
        </is>
      </c>
      <c r="K827" t="inlineStr">
        <is>
          <t>Den uppsugande förmågan hos bark och fis förhindrar avrinning av vatten från ytan vid tillfällen med större mängder nederbörd.</t>
        </is>
      </c>
      <c r="L827" t="inlineStr">
        <is>
          <t>Den uppsugande förmågan hos bark och fis förhindrar avrinning av vatten från ytan vid tillfällen med större mängder nederbörd.</t>
        </is>
      </c>
      <c r="M827" t="inlineStr">
        <is>
          <t>BOR</t>
        </is>
      </c>
      <c r="N827" t="inlineStr"/>
      <c r="O827" t="inlineStr"/>
      <c r="P827" t="inlineStr"/>
      <c r="Q827" t="inlineStr"/>
      <c r="R827" t="inlineStr">
        <is>
          <t>Vid nederbord och avrinning</t>
        </is>
      </c>
      <c r="S827" t="inlineStr"/>
      <c r="T827" t="inlineStr">
        <is>
          <t>556879</t>
        </is>
      </c>
      <c r="U827" t="inlineStr"/>
      <c r="V827" t="inlineStr"/>
      <c r="W827" t="inlineStr">
        <is>
          <t>Nej</t>
        </is>
      </c>
      <c r="X827" t="inlineStr">
        <is>
          <t>Ja</t>
        </is>
      </c>
      <c r="Y827" t="inlineStr">
        <is>
          <t>Ja</t>
        </is>
      </c>
      <c r="Z827" t="inlineStr">
        <is>
          <t>Nej</t>
        </is>
      </c>
      <c r="AA827" t="n">
        <v>6</v>
      </c>
      <c r="AB827" t="inlineStr">
        <is>
          <t>Lakvattenhantering</t>
        </is>
      </c>
      <c r="AC827" t="inlineStr">
        <is>
          <t>Flodesschema dagvatten-lakvatten</t>
        </is>
      </c>
      <c r="AD827" t="inlineStr">
        <is>
          <t>Nej</t>
        </is>
      </c>
      <c r="AE827" t="inlineStr">
        <is>
          <t>Nej</t>
        </is>
      </c>
      <c r="AF827" t="inlineStr">
        <is>
          <t>Ej behandlad</t>
        </is>
      </c>
      <c r="AG827" t="inlineStr">
        <is>
          <t>AUTO_GENERERAD. Verifiera citat mot kallfil.</t>
        </is>
      </c>
      <c r="AH827" t="inlineStr">
        <is>
          <t>MEDIUM</t>
        </is>
      </c>
      <c r="AI827" t="inlineStr">
        <is>
          <t>AUTO</t>
        </is>
      </c>
      <c r="AJ827" t="inlineStr">
        <is>
          <t>Nej</t>
        </is>
      </c>
      <c r="AK827" t="inlineStr"/>
      <c r="AL827" t="inlineStr"/>
      <c r="AM827" t="inlineStr"/>
      <c r="AN827" t="inlineStr"/>
      <c r="AO827" t="inlineStr">
        <is>
          <t>cmm4yuqmk03qhcuqwkj7haeic</t>
        </is>
      </c>
      <c r="AP827" t="inlineStr">
        <is>
          <t>http://localhost:8787/api/admin/requirements/documents/cmm4yuqmk03qhcuqwkj7haeic/view</t>
        </is>
      </c>
      <c r="AQ827">
        <f>HYPERLÄNK("http://localhost:8787/api/admin/requirements/documents/cmm4yuqmk03qhcuqwkj7haeic/view";"Öppna PDF")</f>
        <v/>
      </c>
      <c r="AR827">
        <f>HYPERLINK("http://localhost:8787/api/admin/requirements/documents/cmm4yuqmk03qhcuqwkj7haeic/view","Open PDF")</f>
        <v/>
      </c>
      <c r="AS827" t="inlineStr">
        <is>
          <t>cmm55w57p0004cuisfrtpqly8</t>
        </is>
      </c>
      <c r="AT827" t="inlineStr">
        <is>
          <t>cmm4xvu980000cuh4vj0usz09</t>
        </is>
      </c>
      <c r="AU827" t="inlineStr">
        <is>
          <t>-- Skinnskattebergs</t>
        </is>
      </c>
      <c r="AV827" t="inlineStr">
        <is>
          <t>Kommun</t>
        </is>
      </c>
      <c r="AW827" t="inlineStr">
        <is>
          <t>-- Skinnskattebergs kommun</t>
        </is>
      </c>
      <c r="AX827" t="inlineStr">
        <is>
          <t>2013:251</t>
        </is>
      </c>
      <c r="AY827" t="inlineStr">
        <is>
          <t>Anmalan</t>
        </is>
      </c>
      <c r="AZ827" t="inlineStr">
        <is>
          <t>2026-02-05</t>
        </is>
      </c>
      <c r="BA827" t="inlineStr">
        <is>
          <t>Anmälan slamkompostering.pdf</t>
        </is>
      </c>
      <c r="BB827" t="inlineStr">
        <is>
          <t>Sv: till registrator</t>
        </is>
      </c>
      <c r="BC827" t="inlineStr">
        <is>
          <t>AUTO</t>
        </is>
      </c>
      <c r="BD827" t="inlineStr"/>
      <c r="BE827" t="inlineStr"/>
      <c r="BF827" t="inlineStr">
        <is>
          <t>AUTO_GENERERAD. Bekrafta metadata mot kallfil.</t>
        </is>
      </c>
      <c r="BG827">
        <f>HYPERLINK("C:\Users\jimmy\Desktop\Examens arbete\Kod\Ny mapp\remix_-copy-of-miljöbeslut.se-portal\Anmälan slamkompostering.pdf", "Öppna PDF")</f>
        <v/>
      </c>
    </row>
    <row r="828">
      <c r="A828" t="inlineStr">
        <is>
          <t>KRAV-AUTO-000827</t>
        </is>
      </c>
      <c r="B828" t="inlineStr">
        <is>
          <t>ADMIN-INDEX-2026-02-27-00000000125C043F57453246863FE664CAFE6A3F0700950291EA24F0614FB6ACEDB12BF0E31D00000000010C0000950291EA24F0614FB6ACEDB12BF0E31D00002087A5DD0000</t>
        </is>
      </c>
      <c r="C828" t="inlineStr">
        <is>
          <t>cmm4yuqmk03qhcuqwkj7haeic</t>
        </is>
      </c>
      <c r="D828" t="inlineStr">
        <is>
          <t>http://localhost:8787/api/admin/requirements/documents/cmm4yuqmk03qhcuqwkj7haeic/view</t>
        </is>
      </c>
      <c r="E828">
        <f>HYPERLÄNK("http://localhost:8787/api/admin/requirements/documents/cmm4yuqmk03qhcuqwkj7haeic/view";"Öppna PDF")</f>
        <v/>
      </c>
      <c r="F828">
        <f>HYPERLINK("http://localhost:8787/api/admin/requirements/documents/cmm4yuqmk03qhcuqwkj7haeic/view","Open PDF")</f>
        <v/>
      </c>
      <c r="G828" t="inlineStr">
        <is>
          <t>cmm55w57p0004cuisfrtpqly8</t>
        </is>
      </c>
      <c r="H828" t="inlineStr">
        <is>
          <t>Informationskrav</t>
        </is>
      </c>
      <c r="I828" t="inlineStr">
        <is>
          <t>LagringsvolymTid</t>
        </is>
      </c>
      <c r="J828" t="inlineStr">
        <is>
          <t>Maxmangd</t>
        </is>
      </c>
      <c r="K828" t="inlineStr">
        <is>
          <t>MBN2019:44-427) bedrivs mellanlagring av bark ca 2000 ton, returtrå ca 1000 ton, aska ca 300 ton, krossning och sortering på den aktuella fastigheten.</t>
        </is>
      </c>
      <c r="L828" t="inlineStr">
        <is>
          <t>MBN2019:44-427) bedrivs mellanlagring av bark ca 2000 ton, returtrå ca 1000 ton, aska ca 300 ton, krossning och sortering på den aktuella fastigheten.</t>
        </is>
      </c>
      <c r="M828" t="inlineStr">
        <is>
          <t>SKA</t>
        </is>
      </c>
      <c r="N828" t="inlineStr"/>
      <c r="O828" t="inlineStr"/>
      <c r="P828" t="inlineStr"/>
      <c r="Q828" t="inlineStr"/>
      <c r="R828" t="inlineStr">
        <is>
          <t>Alltid</t>
        </is>
      </c>
      <c r="S828" t="inlineStr"/>
      <c r="T828" t="inlineStr">
        <is>
          <t>556879</t>
        </is>
      </c>
      <c r="U828" t="n">
        <v>2000</v>
      </c>
      <c r="V828" t="inlineStr"/>
      <c r="W828" t="inlineStr">
        <is>
          <t>Nej</t>
        </is>
      </c>
      <c r="X828" t="inlineStr">
        <is>
          <t>Nej</t>
        </is>
      </c>
      <c r="Y828" t="inlineStr">
        <is>
          <t>Nej</t>
        </is>
      </c>
      <c r="Z828" t="inlineStr">
        <is>
          <t>Nej</t>
        </is>
      </c>
      <c r="AA828" t="n">
        <v>4</v>
      </c>
      <c r="AB828" t="inlineStr">
        <is>
          <t>Avfallsmangder och lagringstid</t>
        </is>
      </c>
      <c r="AC828" t="inlineStr">
        <is>
          <t>Avfallsforteckning</t>
        </is>
      </c>
      <c r="AD828" t="inlineStr">
        <is>
          <t>Nej</t>
        </is>
      </c>
      <c r="AE828" t="inlineStr">
        <is>
          <t>Nej</t>
        </is>
      </c>
      <c r="AF828" t="inlineStr">
        <is>
          <t>Ej behandlad</t>
        </is>
      </c>
      <c r="AG828" t="inlineStr">
        <is>
          <t>AUTO_GENERERAD. Verifiera citat mot kallfil.</t>
        </is>
      </c>
      <c r="AH828" t="inlineStr">
        <is>
          <t>MEDIUM</t>
        </is>
      </c>
      <c r="AI828" t="inlineStr">
        <is>
          <t>AUTO</t>
        </is>
      </c>
      <c r="AJ828" t="inlineStr">
        <is>
          <t>Nej</t>
        </is>
      </c>
      <c r="AK828" t="inlineStr"/>
      <c r="AL828" t="inlineStr"/>
      <c r="AM828" t="inlineStr"/>
      <c r="AN828" t="inlineStr"/>
      <c r="AO828" t="inlineStr">
        <is>
          <t>cmm4yuqmk03qhcuqwkj7haeic</t>
        </is>
      </c>
      <c r="AP828" t="inlineStr">
        <is>
          <t>http://localhost:8787/api/admin/requirements/documents/cmm4yuqmk03qhcuqwkj7haeic/view</t>
        </is>
      </c>
      <c r="AQ828">
        <f>HYPERLÄNK("http://localhost:8787/api/admin/requirements/documents/cmm4yuqmk03qhcuqwkj7haeic/view";"Öppna PDF")</f>
        <v/>
      </c>
      <c r="AR828">
        <f>HYPERLINK("http://localhost:8787/api/admin/requirements/documents/cmm4yuqmk03qhcuqwkj7haeic/view","Open PDF")</f>
        <v/>
      </c>
      <c r="AS828" t="inlineStr">
        <is>
          <t>cmm55w57p0004cuisfrtpqly8</t>
        </is>
      </c>
      <c r="AT828" t="inlineStr">
        <is>
          <t>cmm4xvu980000cuh4vj0usz09</t>
        </is>
      </c>
      <c r="AU828" t="inlineStr">
        <is>
          <t>-- Skinnskattebergs</t>
        </is>
      </c>
      <c r="AV828" t="inlineStr">
        <is>
          <t>Kommun</t>
        </is>
      </c>
      <c r="AW828" t="inlineStr">
        <is>
          <t>-- Skinnskattebergs kommun</t>
        </is>
      </c>
      <c r="AX828" t="inlineStr">
        <is>
          <t>2013:251</t>
        </is>
      </c>
      <c r="AY828" t="inlineStr">
        <is>
          <t>Anmalan</t>
        </is>
      </c>
      <c r="AZ828" t="inlineStr">
        <is>
          <t>2026-02-05</t>
        </is>
      </c>
      <c r="BA828" t="inlineStr">
        <is>
          <t>Anmälan slamkompostering.pdf</t>
        </is>
      </c>
      <c r="BB828" t="inlineStr">
        <is>
          <t>Sv: till registrator</t>
        </is>
      </c>
      <c r="BC828" t="inlineStr">
        <is>
          <t>AUTO</t>
        </is>
      </c>
      <c r="BD828" t="inlineStr"/>
      <c r="BE828" t="inlineStr"/>
      <c r="BF828" t="inlineStr">
        <is>
          <t>AUTO_GENERERAD. Bekrafta metadata mot kallfil.</t>
        </is>
      </c>
      <c r="BG828">
        <f>HYPERLINK("C:\Users\jimmy\Desktop\Examens arbete\Kod\Ny mapp\remix_-copy-of-miljöbeslut.se-portal\Anmälan slamkompostering.pdf", "Öppna PDF")</f>
        <v/>
      </c>
    </row>
    <row r="829">
      <c r="A829" t="inlineStr">
        <is>
          <t>KRAV-AUTO-000828</t>
        </is>
      </c>
      <c r="B829" t="inlineStr">
        <is>
          <t>ADMIN-INDEX-2026-02-27-00000000125C043F57453246863FE664CAFE6A3F0700950291EA24F0614FB6ACEDB12BF0E31D00000000010C0000950291EA24F0614FB6ACEDB12BF0E31D00002087A5DD0000</t>
        </is>
      </c>
      <c r="C829" t="inlineStr">
        <is>
          <t>cmm4yuqmk03qhcuqwkj7haeic</t>
        </is>
      </c>
      <c r="D829" t="inlineStr">
        <is>
          <t>http://localhost:8787/api/admin/requirements/documents/cmm4yuqmk03qhcuqwkj7haeic/view</t>
        </is>
      </c>
      <c r="E829">
        <f>HYPERLÄNK("http://localhost:8787/api/admin/requirements/documents/cmm4yuqmk03qhcuqwkj7haeic/view";"Öppna PDF")</f>
        <v/>
      </c>
      <c r="F829">
        <f>HYPERLINK("http://localhost:8787/api/admin/requirements/documents/cmm4yuqmk03qhcuqwkj7haeic/view","Open PDF")</f>
        <v/>
      </c>
      <c r="G829" t="inlineStr">
        <is>
          <t>cmm55w57p0004cuisfrtpqly8</t>
        </is>
      </c>
      <c r="H829" t="inlineStr">
        <is>
          <t>Informationskrav</t>
        </is>
      </c>
      <c r="I829" t="inlineStr">
        <is>
          <t>DagvattenLakvatten</t>
        </is>
      </c>
      <c r="J829" t="inlineStr">
        <is>
          <t>Uppsamling</t>
        </is>
      </c>
      <c r="K829" t="inlineStr">
        <is>
          <t>JA X NEJ Farligt Avfall Om farligt avfall uppstår ange typ och lagring Bilaga bifogas JA X NEJ Föroreningsskador Har föroreningsskada upptäckts i mark eller byggnad?</t>
        </is>
      </c>
      <c r="L829" t="inlineStr">
        <is>
          <t>JA X NEJ Farligt Avfall Om farligt avfall uppstår ange typ och lagring Bilaga bifogas JA X NEJ Föroreningsskador Har föroreningsskada upptäckts i mark eller byggnad?</t>
        </is>
      </c>
      <c r="M829" t="inlineStr">
        <is>
          <t>SKA</t>
        </is>
      </c>
      <c r="N829" t="inlineStr"/>
      <c r="O829" t="inlineStr"/>
      <c r="P829" t="inlineStr">
        <is>
          <t>Arlig</t>
        </is>
      </c>
      <c r="Q829" t="inlineStr"/>
      <c r="R829" t="inlineStr">
        <is>
          <t>Vid nederbord och avrinning</t>
        </is>
      </c>
      <c r="S829" t="inlineStr"/>
      <c r="T829" t="inlineStr">
        <is>
          <t>556879</t>
        </is>
      </c>
      <c r="U829" t="inlineStr"/>
      <c r="V829" t="inlineStr"/>
      <c r="W829" t="inlineStr">
        <is>
          <t>Nej</t>
        </is>
      </c>
      <c r="X829" t="inlineStr">
        <is>
          <t>Ja</t>
        </is>
      </c>
      <c r="Y829" t="inlineStr">
        <is>
          <t>Ja</t>
        </is>
      </c>
      <c r="Z829" t="inlineStr">
        <is>
          <t>Nej</t>
        </is>
      </c>
      <c r="AA829" t="n">
        <v>6</v>
      </c>
      <c r="AB829" t="inlineStr">
        <is>
          <t>Lakvattenhantering</t>
        </is>
      </c>
      <c r="AC829" t="inlineStr">
        <is>
          <t>Flodesschema dagvatten-lakvatten</t>
        </is>
      </c>
      <c r="AD829" t="inlineStr">
        <is>
          <t>Nej</t>
        </is>
      </c>
      <c r="AE829" t="inlineStr">
        <is>
          <t>Nej</t>
        </is>
      </c>
      <c r="AF829" t="inlineStr">
        <is>
          <t>Ej behandlad</t>
        </is>
      </c>
      <c r="AG829" t="inlineStr">
        <is>
          <t>AUTO_GENERERAD. Verifiera citat mot kallfil.</t>
        </is>
      </c>
      <c r="AH829" t="inlineStr">
        <is>
          <t>MEDIUM</t>
        </is>
      </c>
      <c r="AI829" t="inlineStr">
        <is>
          <t>AUTO</t>
        </is>
      </c>
      <c r="AJ829" t="inlineStr">
        <is>
          <t>Nej</t>
        </is>
      </c>
      <c r="AK829" t="inlineStr"/>
      <c r="AL829" t="inlineStr"/>
      <c r="AM829" t="inlineStr"/>
      <c r="AN829" t="inlineStr"/>
      <c r="AO829" t="inlineStr">
        <is>
          <t>cmm4yuqmk03qhcuqwkj7haeic</t>
        </is>
      </c>
      <c r="AP829" t="inlineStr">
        <is>
          <t>http://localhost:8787/api/admin/requirements/documents/cmm4yuqmk03qhcuqwkj7haeic/view</t>
        </is>
      </c>
      <c r="AQ829">
        <f>HYPERLÄNK("http://localhost:8787/api/admin/requirements/documents/cmm4yuqmk03qhcuqwkj7haeic/view";"Öppna PDF")</f>
        <v/>
      </c>
      <c r="AR829">
        <f>HYPERLINK("http://localhost:8787/api/admin/requirements/documents/cmm4yuqmk03qhcuqwkj7haeic/view","Open PDF")</f>
        <v/>
      </c>
      <c r="AS829" t="inlineStr">
        <is>
          <t>cmm55w57p0004cuisfrtpqly8</t>
        </is>
      </c>
      <c r="AT829" t="inlineStr">
        <is>
          <t>cmm4xvu980000cuh4vj0usz09</t>
        </is>
      </c>
      <c r="AU829" t="inlineStr">
        <is>
          <t>-- Skinnskattebergs</t>
        </is>
      </c>
      <c r="AV829" t="inlineStr">
        <is>
          <t>Kommun</t>
        </is>
      </c>
      <c r="AW829" t="inlineStr">
        <is>
          <t>-- Skinnskattebergs kommun</t>
        </is>
      </c>
      <c r="AX829" t="inlineStr">
        <is>
          <t>2013:251</t>
        </is>
      </c>
      <c r="AY829" t="inlineStr">
        <is>
          <t>Anmalan</t>
        </is>
      </c>
      <c r="AZ829" t="inlineStr">
        <is>
          <t>2026-02-05</t>
        </is>
      </c>
      <c r="BA829" t="inlineStr">
        <is>
          <t>Anmälan slamkompostering.pdf</t>
        </is>
      </c>
      <c r="BB829" t="inlineStr">
        <is>
          <t>Sv: till registrator</t>
        </is>
      </c>
      <c r="BC829" t="inlineStr">
        <is>
          <t>AUTO</t>
        </is>
      </c>
      <c r="BD829" t="inlineStr"/>
      <c r="BE829" t="inlineStr"/>
      <c r="BF829" t="inlineStr">
        <is>
          <t>AUTO_GENERERAD. Bekrafta metadata mot kallfil.</t>
        </is>
      </c>
      <c r="BG829">
        <f>HYPERLINK("C:\Users\jimmy\Desktop\Examens arbete\Kod\Ny mapp\remix_-copy-of-miljöbeslut.se-portal\Anmälan slamkompostering.pdf", "Öppna PDF")</f>
        <v/>
      </c>
    </row>
    <row r="830">
      <c r="A830" t="inlineStr">
        <is>
          <t>KRAV-AUTO-000829</t>
        </is>
      </c>
      <c r="B830" t="inlineStr">
        <is>
          <t>ADMIN-INDEX-2026-02-27-00000000125C043F57453246863FE664CAFE6A3F0700950291EA24F0614FB6ACEDB12BF0E31D00000000010C0000950291EA24F0614FB6ACEDB12BF0E31D00002087AE3A0000</t>
        </is>
      </c>
      <c r="C830" t="inlineStr">
        <is>
          <t>cmm4yupxb0325cuqwdup8lxoj</t>
        </is>
      </c>
      <c r="D830" t="inlineStr">
        <is>
          <t>http://localhost:8787/api/admin/requirements/documents/cmm4yupxb0325cuqwdup8lxoj/view</t>
        </is>
      </c>
      <c r="E830">
        <f>HYPERLÄNK("http://localhost:8787/api/admin/requirements/documents/cmm4yupxb0325cuqwdup8lxoj/view";"Öppna PDF")</f>
        <v/>
      </c>
      <c r="F830">
        <f>HYPERLINK("http://localhost:8787/api/admin/requirements/documents/cmm4yupxb0325cuqwdup8lxoj/view","Open PDF")</f>
        <v/>
      </c>
      <c r="G830" t="inlineStr">
        <is>
          <t>cmm55w57p0004cuisfrtpqly8</t>
        </is>
      </c>
      <c r="H830" t="inlineStr">
        <is>
          <t>Beslutsvillkor</t>
        </is>
      </c>
      <c r="I830" t="inlineStr">
        <is>
          <t>Riskhantering</t>
        </is>
      </c>
      <c r="J830" t="inlineStr">
        <is>
          <t>Riskkontroll</t>
        </is>
      </c>
      <c r="K830" t="inlineStr">
        <is>
          <t>Tillfällig VA 11.1 Finns det tekniska hjälpmedel att tillgå för att undvika ergonomiska risker?</t>
        </is>
      </c>
      <c r="L830" t="inlineStr">
        <is>
          <t>Tillfällig VA 11.1 Finns det tekniska hjälpmedel att tillgå för att undvika ergonomiska risker?</t>
        </is>
      </c>
      <c r="M830" t="inlineStr">
        <is>
          <t>SKA</t>
        </is>
      </c>
      <c r="N830" t="inlineStr"/>
      <c r="O830" t="inlineStr"/>
      <c r="P830" t="inlineStr"/>
      <c r="Q830" t="inlineStr"/>
      <c r="R830" t="inlineStr">
        <is>
          <t>Vid risk for incident</t>
        </is>
      </c>
      <c r="S830" t="inlineStr"/>
      <c r="T830" t="inlineStr"/>
      <c r="U830" t="inlineStr"/>
      <c r="V830" t="inlineStr"/>
      <c r="W830" t="inlineStr">
        <is>
          <t>Nej</t>
        </is>
      </c>
      <c r="X830" t="inlineStr">
        <is>
          <t>Nej</t>
        </is>
      </c>
      <c r="Y830" t="inlineStr">
        <is>
          <t>Ja</t>
        </is>
      </c>
      <c r="Z830" t="inlineStr">
        <is>
          <t>Ja</t>
        </is>
      </c>
      <c r="AA830" t="n">
        <v>8</v>
      </c>
      <c r="AB830" t="inlineStr">
        <is>
          <t>Riskhantering</t>
        </is>
      </c>
      <c r="AC830" t="inlineStr">
        <is>
          <t>Risk-PM</t>
        </is>
      </c>
      <c r="AD830" t="inlineStr">
        <is>
          <t>Nej</t>
        </is>
      </c>
      <c r="AE830" t="inlineStr">
        <is>
          <t>Nej</t>
        </is>
      </c>
      <c r="AF830" t="inlineStr">
        <is>
          <t>Ej behandlad</t>
        </is>
      </c>
      <c r="AG830" t="inlineStr">
        <is>
          <t>AUTO_GENERERAD. Verifiera citat mot kallfil.</t>
        </is>
      </c>
      <c r="AH830" t="inlineStr">
        <is>
          <t>MEDIUM</t>
        </is>
      </c>
      <c r="AI830" t="inlineStr">
        <is>
          <t>AUTO</t>
        </is>
      </c>
      <c r="AJ830" t="inlineStr">
        <is>
          <t>Nej</t>
        </is>
      </c>
      <c r="AK830" t="inlineStr"/>
      <c r="AL830" t="inlineStr"/>
      <c r="AM830" t="inlineStr"/>
      <c r="AN830" t="inlineStr"/>
      <c r="AO830" t="inlineStr">
        <is>
          <t>cmm4yuq04034hcuqwue9hvqhc</t>
        </is>
      </c>
      <c r="AP830" t="inlineStr">
        <is>
          <t>http://localhost:8787/api/admin/requirements/documents/cmm4yuq04034hcuqwue9hvqhc/view</t>
        </is>
      </c>
      <c r="AQ830">
        <f>HYPERLÄNK("http://localhost:8787/api/admin/requirements/documents/cmm4yuq04034hcuqwue9hvqhc/view";"Öppna PDF")</f>
        <v/>
      </c>
      <c r="AR830">
        <f>HYPERLINK("http://localhost:8787/api/admin/requirements/documents/cmm4yuq04034hcuqwue9hvqhc/view","Open PDF")</f>
        <v/>
      </c>
      <c r="AS830" t="inlineStr">
        <is>
          <t>cmm55w57p0004cuisfrtpqly8</t>
        </is>
      </c>
      <c r="AT830" t="inlineStr">
        <is>
          <t>cmm4xvu980000cuh4vj0usz09</t>
        </is>
      </c>
      <c r="AU830" t="inlineStr">
        <is>
          <t>Lilla Edets</t>
        </is>
      </c>
      <c r="AV830" t="inlineStr">
        <is>
          <t>Kommun</t>
        </is>
      </c>
      <c r="AW830" t="inlineStr">
        <is>
          <t>Lilla Edets kommun</t>
        </is>
      </c>
      <c r="AX830" t="inlineStr">
        <is>
          <t>2024-06</t>
        </is>
      </c>
      <c r="AY830" t="inlineStr">
        <is>
          <t>Beslut</t>
        </is>
      </c>
      <c r="AZ830" t="inlineStr">
        <is>
          <t>2026-02-04</t>
        </is>
      </c>
      <c r="BA830" t="inlineStr">
        <is>
          <t>MB-2024-625-7 13.3 Miljöteknisk markundersökning m bilagor.pdf</t>
        </is>
      </c>
      <c r="BB830" t="inlineStr">
        <is>
          <t>VB: till registrator</t>
        </is>
      </c>
      <c r="BC830" t="inlineStr">
        <is>
          <t>AUTO</t>
        </is>
      </c>
      <c r="BD830" t="inlineStr"/>
      <c r="BE830" t="inlineStr"/>
      <c r="BF830" t="inlineStr">
        <is>
          <t>AUTO_GENERERAD. Bekrafta metadata mot kallfil.</t>
        </is>
      </c>
      <c r="BG830">
        <f>HYPERLINK("C:\Users\jimmy\Desktop\Examens arbete\Kod\Ny mapp\remix_-copy-of-miljöbeslut.se-portal\MB-2024-625-7 13.3 Miljöteknisk markundersökning m bilagor.pdf", "Öppna PDF")</f>
        <v/>
      </c>
    </row>
    <row r="831">
      <c r="A831" t="inlineStr">
        <is>
          <t>KRAV-AUTO-000830</t>
        </is>
      </c>
      <c r="B831" t="inlineStr">
        <is>
          <t>ADMIN-INDEX-2026-02-27-00000000125C043F57453246863FE664CAFE6A3F0700950291EA24F0614FB6ACEDB12BF0E31D00000000010C0000950291EA24F0614FB6ACEDB12BF0E31D000073AF24000000</t>
        </is>
      </c>
      <c r="C831" t="inlineStr">
        <is>
          <t>cmm4yurez04hbcuqwxxr9o6wy</t>
        </is>
      </c>
      <c r="D831" t="inlineStr">
        <is>
          <t>http://localhost:8787/api/admin/requirements/documents/cmm4yurez04hbcuqwxxr9o6wy/view</t>
        </is>
      </c>
      <c r="E831">
        <f>HYPERLÄNK("http://localhost:8787/api/admin/requirements/documents/cmm4yurez04hbcuqwxxr9o6wy/view";"Öppna PDF")</f>
        <v/>
      </c>
      <c r="F831">
        <f>HYPERLINK("http://localhost:8787/api/admin/requirements/documents/cmm4yurez04hbcuqwxxr9o6wy/view","Open PDF")</f>
        <v/>
      </c>
      <c r="G831" t="inlineStr">
        <is>
          <t>cmm55w57p0004cuisfrtpqly8</t>
        </is>
      </c>
      <c r="H831" t="inlineStr">
        <is>
          <t>Beslutsvillkor</t>
        </is>
      </c>
      <c r="I831" t="inlineStr">
        <is>
          <t>DagvattenLakvatten</t>
        </is>
      </c>
      <c r="J831" t="inlineStr">
        <is>
          <t>Uppsamling</t>
        </is>
      </c>
      <c r="K831" t="inlineStr">
        <is>
          <t>Krav i föreläggandet angående invallning av kemikalier och farligt avfall, uppsamling av eventuellt spill samt tillgång till absorptionsmedel beslutas med hänvisning till 2 kap.</t>
        </is>
      </c>
      <c r="L831" t="inlineStr">
        <is>
          <t>Krav i föreläggandet angående invallning av kemikalier och farligt avfall, uppsamling av eventuellt spill samt tillgång till absorptionsmedel beslutas med hänvisning till 2 kap.</t>
        </is>
      </c>
      <c r="M831" t="inlineStr">
        <is>
          <t>INFO</t>
        </is>
      </c>
      <c r="N831" t="inlineStr"/>
      <c r="O831" t="inlineStr"/>
      <c r="P831" t="inlineStr">
        <is>
          <t>Arlig</t>
        </is>
      </c>
      <c r="Q831" t="inlineStr">
        <is>
          <t>Forelaggande vid brist</t>
        </is>
      </c>
      <c r="R831" t="inlineStr">
        <is>
          <t>Vid nederbord och avrinning</t>
        </is>
      </c>
      <c r="S831" t="inlineStr"/>
      <c r="T831" t="inlineStr">
        <is>
          <t>24 39 80</t>
        </is>
      </c>
      <c r="U831" t="inlineStr"/>
      <c r="V831" t="inlineStr"/>
      <c r="W831" t="inlineStr">
        <is>
          <t>Nej</t>
        </is>
      </c>
      <c r="X831" t="inlineStr">
        <is>
          <t>Ja</t>
        </is>
      </c>
      <c r="Y831" t="inlineStr">
        <is>
          <t>Ja</t>
        </is>
      </c>
      <c r="Z831" t="inlineStr">
        <is>
          <t>Nej</t>
        </is>
      </c>
      <c r="AA831" t="n">
        <v>6</v>
      </c>
      <c r="AB831" t="inlineStr">
        <is>
          <t>Lakvattenhantering</t>
        </is>
      </c>
      <c r="AC831" t="inlineStr">
        <is>
          <t>Flodesschema dagvatten-lakvatten</t>
        </is>
      </c>
      <c r="AD831" t="inlineStr">
        <is>
          <t>Nej</t>
        </is>
      </c>
      <c r="AE831" t="inlineStr">
        <is>
          <t>Nej</t>
        </is>
      </c>
      <c r="AF831" t="inlineStr">
        <is>
          <t>Ej behandlad</t>
        </is>
      </c>
      <c r="AG831" t="inlineStr">
        <is>
          <t>AUTO_GENERERAD. Verifiera citat mot kallfil.</t>
        </is>
      </c>
      <c r="AH831" t="inlineStr">
        <is>
          <t>MEDIUM</t>
        </is>
      </c>
      <c r="AI831" t="inlineStr">
        <is>
          <t>AUTO</t>
        </is>
      </c>
      <c r="AJ831" t="inlineStr">
        <is>
          <t>Nej</t>
        </is>
      </c>
      <c r="AK831" t="inlineStr"/>
      <c r="AL831" t="inlineStr"/>
      <c r="AM831" t="inlineStr"/>
      <c r="AN831" t="inlineStr"/>
      <c r="AO831" t="inlineStr">
        <is>
          <t>cmm4yurfq04i5cuqw1drt61jr</t>
        </is>
      </c>
      <c r="AP831" t="inlineStr">
        <is>
          <t>http://localhost:8787/api/admin/requirements/documents/cmm4yurfq04i5cuqw1drt61jr/view</t>
        </is>
      </c>
      <c r="AQ831">
        <f>HYPERLÄNK("http://localhost:8787/api/admin/requirements/documents/cmm4yurfq04i5cuqw1drt61jr/view";"Öppna PDF")</f>
        <v/>
      </c>
      <c r="AR831">
        <f>HYPERLINK("http://localhost:8787/api/admin/requirements/documents/cmm4yurfq04i5cuqw1drt61jr/view","Open PDF")</f>
        <v/>
      </c>
      <c r="AS831" t="inlineStr">
        <is>
          <t>cmm55w57p0004cuisfrtpqly8</t>
        </is>
      </c>
      <c r="AT831" t="inlineStr">
        <is>
          <t>cmm4xvu980000cuh4vj0usz09</t>
        </is>
      </c>
      <c r="AU831" t="inlineStr"/>
      <c r="AV831" t="inlineStr">
        <is>
          <t>Kommun</t>
        </is>
      </c>
      <c r="AW831" t="inlineStr"/>
      <c r="AX831" t="inlineStr">
        <is>
          <t>2025-10</t>
        </is>
      </c>
      <c r="AY831" t="inlineStr">
        <is>
          <t>Beslut</t>
        </is>
      </c>
      <c r="AZ831" t="inlineStr">
        <is>
          <t>2026-02-13</t>
        </is>
      </c>
      <c r="BA831" t="inlineStr">
        <is>
          <t>VGS-MH-2025-2444.pdf</t>
        </is>
      </c>
      <c r="BB831" t="inlineStr">
        <is>
          <t>Sv: till registrator</t>
        </is>
      </c>
      <c r="BC831" t="inlineStr">
        <is>
          <t>AUTO</t>
        </is>
      </c>
      <c r="BD831" t="inlineStr"/>
      <c r="BE831" t="inlineStr"/>
      <c r="BF831" t="inlineStr">
        <is>
          <t>AUTO_GENERERAD. Bekrafta metadata mot kallfil.</t>
        </is>
      </c>
      <c r="BG831">
        <f>HYPERLINK("C:\Users\jimmy\Desktop\Examens arbete\Kod\Ny mapp\remix_-copy-of-miljöbeslut.se-portal\VGS-MH-2025-2444.pdf", "Öppna PDF")</f>
        <v/>
      </c>
    </row>
    <row r="832">
      <c r="A832" t="inlineStr">
        <is>
          <t>KRAV-AUTO-000831</t>
        </is>
      </c>
      <c r="B832" t="inlineStr">
        <is>
          <t>ADMIN-INDEX-2026-02-27-00000000125C043F57453246863FE664CAFE6A3F0700950291EA24F0614FB6ACEDB12BF0E31D00000000010C0000950291EA24F0614FB6ACEDB12BF0E31D000073AF24000000</t>
        </is>
      </c>
      <c r="C832" t="inlineStr">
        <is>
          <t>cmm4yurez04hbcuqwxxr9o6wy</t>
        </is>
      </c>
      <c r="D832" t="inlineStr">
        <is>
          <t>http://localhost:8787/api/admin/requirements/documents/cmm4yurez04hbcuqwxxr9o6wy/view</t>
        </is>
      </c>
      <c r="E832">
        <f>HYPERLÄNK("http://localhost:8787/api/admin/requirements/documents/cmm4yurez04hbcuqwxxr9o6wy/view";"Öppna PDF")</f>
        <v/>
      </c>
      <c r="F832">
        <f>HYPERLINK("http://localhost:8787/api/admin/requirements/documents/cmm4yurez04hbcuqwxxr9o6wy/view","Open PDF")</f>
        <v/>
      </c>
      <c r="G832" t="inlineStr">
        <is>
          <t>cmm55w57p0004cuisfrtpqly8</t>
        </is>
      </c>
      <c r="H832" t="inlineStr">
        <is>
          <t>Beslutsvillkor</t>
        </is>
      </c>
      <c r="I832" t="inlineStr">
        <is>
          <t>LagringsvolymTid</t>
        </is>
      </c>
      <c r="J832" t="inlineStr">
        <is>
          <t>Maxmangd</t>
        </is>
      </c>
      <c r="K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is>
      </c>
      <c r="M832" t="inlineStr">
        <is>
          <t>SKA</t>
        </is>
      </c>
      <c r="N832" t="inlineStr"/>
      <c r="O832" t="inlineStr"/>
      <c r="P832" t="inlineStr">
        <is>
          <t>Arlig</t>
        </is>
      </c>
      <c r="Q832" t="inlineStr"/>
      <c r="R832" t="inlineStr">
        <is>
          <t>Alltid</t>
        </is>
      </c>
      <c r="S832" t="inlineStr"/>
      <c r="T832" t="inlineStr">
        <is>
          <t>556011</t>
        </is>
      </c>
      <c r="U832" t="n">
        <v>10</v>
      </c>
      <c r="V832" t="inlineStr"/>
      <c r="W832" t="inlineStr">
        <is>
          <t>Nej</t>
        </is>
      </c>
      <c r="X832" t="inlineStr">
        <is>
          <t>Nej</t>
        </is>
      </c>
      <c r="Y832" t="inlineStr">
        <is>
          <t>Nej</t>
        </is>
      </c>
      <c r="Z832" t="inlineStr">
        <is>
          <t>Nej</t>
        </is>
      </c>
      <c r="AA832" t="n">
        <v>4</v>
      </c>
      <c r="AB832" t="inlineStr">
        <is>
          <t>Avfallsmangder och lagringstid</t>
        </is>
      </c>
      <c r="AC832" t="inlineStr">
        <is>
          <t>Avfallsforteckning</t>
        </is>
      </c>
      <c r="AD832" t="inlineStr">
        <is>
          <t>Nej</t>
        </is>
      </c>
      <c r="AE832" t="inlineStr">
        <is>
          <t>Nej</t>
        </is>
      </c>
      <c r="AF832" t="inlineStr">
        <is>
          <t>Ej behandlad</t>
        </is>
      </c>
      <c r="AG832" t="inlineStr">
        <is>
          <t>AUTO_GENERERAD. Verifiera citat mot kallfil.</t>
        </is>
      </c>
      <c r="AH832" t="inlineStr">
        <is>
          <t>MEDIUM</t>
        </is>
      </c>
      <c r="AI832" t="inlineStr">
        <is>
          <t>AUTO</t>
        </is>
      </c>
      <c r="AJ832" t="inlineStr">
        <is>
          <t>Nej</t>
        </is>
      </c>
      <c r="AK832" t="inlineStr"/>
      <c r="AL832" t="inlineStr"/>
      <c r="AM832" t="inlineStr"/>
      <c r="AN832" t="inlineStr"/>
      <c r="AO832" t="inlineStr">
        <is>
          <t>cmm4yurfq04i5cuqw1drt61jr</t>
        </is>
      </c>
      <c r="AP832" t="inlineStr">
        <is>
          <t>http://localhost:8787/api/admin/requirements/documents/cmm4yurfq04i5cuqw1drt61jr/view</t>
        </is>
      </c>
      <c r="AQ832">
        <f>HYPERLÄNK("http://localhost:8787/api/admin/requirements/documents/cmm4yurfq04i5cuqw1drt61jr/view";"Öppna PDF")</f>
        <v/>
      </c>
      <c r="AR832">
        <f>HYPERLINK("http://localhost:8787/api/admin/requirements/documents/cmm4yurfq04i5cuqw1drt61jr/view","Open PDF")</f>
        <v/>
      </c>
      <c r="AS832" t="inlineStr">
        <is>
          <t>cmm55w57p0004cuisfrtpqly8</t>
        </is>
      </c>
      <c r="AT832" t="inlineStr">
        <is>
          <t>cmm4xvu980000cuh4vj0usz09</t>
        </is>
      </c>
      <c r="AU832" t="inlineStr"/>
      <c r="AV832" t="inlineStr">
        <is>
          <t>Kommun</t>
        </is>
      </c>
      <c r="AW832" t="inlineStr"/>
      <c r="AX832" t="inlineStr">
        <is>
          <t>2025-10</t>
        </is>
      </c>
      <c r="AY832" t="inlineStr">
        <is>
          <t>Beslut</t>
        </is>
      </c>
      <c r="AZ832" t="inlineStr">
        <is>
          <t>2026-02-13</t>
        </is>
      </c>
      <c r="BA832" t="inlineStr">
        <is>
          <t>VGS-MH-2025-2444.pdf</t>
        </is>
      </c>
      <c r="BB832" t="inlineStr">
        <is>
          <t>Sv: till registrator</t>
        </is>
      </c>
      <c r="BC832" t="inlineStr">
        <is>
          <t>AUTO</t>
        </is>
      </c>
      <c r="BD832" t="inlineStr"/>
      <c r="BE832" t="inlineStr"/>
      <c r="BF832" t="inlineStr">
        <is>
          <t>AUTO_GENERERAD. Bekrafta metadata mot kallfil.</t>
        </is>
      </c>
      <c r="BG832">
        <f>HYPERLINK("C:\Users\jimmy\Desktop\Examens arbete\Kod\Ny mapp\remix_-copy-of-miljöbeslut.se-portal\VGS-MH-2025-2444.pdf", "Öppna PDF")</f>
        <v/>
      </c>
    </row>
    <row r="833">
      <c r="A833" t="inlineStr">
        <is>
          <t>KRAV-AUTO-000832</t>
        </is>
      </c>
      <c r="B833" t="inlineStr">
        <is>
          <t>ADMIN-INDEX-2026-02-27-00000000125C043F57453246863FE664CAFE6A3F0700950291EA24F0614FB6ACEDB12BF0E31D00000000010C0000950291EA24F0614FB6ACEDB12BF0E31D000073AF24000000</t>
        </is>
      </c>
      <c r="C833" t="inlineStr">
        <is>
          <t>cmm4yurez04hbcuqwxxr9o6wy</t>
        </is>
      </c>
      <c r="D833" t="inlineStr">
        <is>
          <t>http://localhost:8787/api/admin/requirements/documents/cmm4yurez04hbcuqwxxr9o6wy/view</t>
        </is>
      </c>
      <c r="E833">
        <f>HYPERLÄNK("http://localhost:8787/api/admin/requirements/documents/cmm4yurez04hbcuqwxxr9o6wy/view";"Öppna PDF")</f>
        <v/>
      </c>
      <c r="F833">
        <f>HYPERLINK("http://localhost:8787/api/admin/requirements/documents/cmm4yurez04hbcuqwxxr9o6wy/view","Open PDF")</f>
        <v/>
      </c>
      <c r="G833" t="inlineStr">
        <is>
          <t>cmm55w57p0004cuisfrtpqly8</t>
        </is>
      </c>
      <c r="H833" t="inlineStr">
        <is>
          <t>Beslutsvillkor</t>
        </is>
      </c>
      <c r="I833" t="inlineStr">
        <is>
          <t>Riskhantering</t>
        </is>
      </c>
      <c r="J833" t="inlineStr">
        <is>
          <t>Riskkontroll</t>
        </is>
      </c>
      <c r="K833" t="inlineStr">
        <is>
          <t>Verksamhetsområdet ska utformas så att risken för att utomstående kan lämna avfall på upplaget minimeras.</t>
        </is>
      </c>
      <c r="L833" t="inlineStr">
        <is>
          <t>Verksamhetsområdet ska utformas så att risken för att utomstående kan lämna avfall på upplaget minimeras.</t>
        </is>
      </c>
      <c r="M833" t="inlineStr">
        <is>
          <t>SKA</t>
        </is>
      </c>
      <c r="N833" t="inlineStr"/>
      <c r="O833" t="inlineStr"/>
      <c r="P833" t="inlineStr"/>
      <c r="Q833" t="inlineStr"/>
      <c r="R833" t="inlineStr">
        <is>
          <t>Vid risk for incident</t>
        </is>
      </c>
      <c r="S833" t="inlineStr"/>
      <c r="T833" t="inlineStr">
        <is>
          <t>24 39 80</t>
        </is>
      </c>
      <c r="U833" t="inlineStr"/>
      <c r="V833" t="inlineStr"/>
      <c r="W833" t="inlineStr">
        <is>
          <t>Nej</t>
        </is>
      </c>
      <c r="X833" t="inlineStr">
        <is>
          <t>Nej</t>
        </is>
      </c>
      <c r="Y833" t="inlineStr">
        <is>
          <t>Ja</t>
        </is>
      </c>
      <c r="Z833" t="inlineStr">
        <is>
          <t>Ja</t>
        </is>
      </c>
      <c r="AA833" t="n">
        <v>8</v>
      </c>
      <c r="AB833" t="inlineStr">
        <is>
          <t>Riskhantering</t>
        </is>
      </c>
      <c r="AC833" t="inlineStr">
        <is>
          <t>Risk-PM</t>
        </is>
      </c>
      <c r="AD833" t="inlineStr">
        <is>
          <t>Nej</t>
        </is>
      </c>
      <c r="AE833" t="inlineStr">
        <is>
          <t>Nej</t>
        </is>
      </c>
      <c r="AF833" t="inlineStr">
        <is>
          <t>Ej behandlad</t>
        </is>
      </c>
      <c r="AG833" t="inlineStr">
        <is>
          <t>AUTO_GENERERAD. Verifiera citat mot kallfil.</t>
        </is>
      </c>
      <c r="AH833" t="inlineStr">
        <is>
          <t>MEDIUM</t>
        </is>
      </c>
      <c r="AI833" t="inlineStr">
        <is>
          <t>AUTO</t>
        </is>
      </c>
      <c r="AJ833" t="inlineStr">
        <is>
          <t>Nej</t>
        </is>
      </c>
      <c r="AK833" t="inlineStr"/>
      <c r="AL833" t="inlineStr"/>
      <c r="AM833" t="inlineStr"/>
      <c r="AN833" t="inlineStr"/>
      <c r="AO833" t="inlineStr">
        <is>
          <t>cmm4yurfq04i5cuqw1drt61jr</t>
        </is>
      </c>
      <c r="AP833" t="inlineStr">
        <is>
          <t>http://localhost:8787/api/admin/requirements/documents/cmm4yurfq04i5cuqw1drt61jr/view</t>
        </is>
      </c>
      <c r="AQ833">
        <f>HYPERLÄNK("http://localhost:8787/api/admin/requirements/documents/cmm4yurfq04i5cuqw1drt61jr/view";"Öppna PDF")</f>
        <v/>
      </c>
      <c r="AR833">
        <f>HYPERLINK("http://localhost:8787/api/admin/requirements/documents/cmm4yurfq04i5cuqw1drt61jr/view","Open PDF")</f>
        <v/>
      </c>
      <c r="AS833" t="inlineStr">
        <is>
          <t>cmm55w57p0004cuisfrtpqly8</t>
        </is>
      </c>
      <c r="AT833" t="inlineStr">
        <is>
          <t>cmm4xvu980000cuh4vj0usz09</t>
        </is>
      </c>
      <c r="AU833" t="inlineStr"/>
      <c r="AV833" t="inlineStr">
        <is>
          <t>Kommun</t>
        </is>
      </c>
      <c r="AW833" t="inlineStr"/>
      <c r="AX833" t="inlineStr">
        <is>
          <t>2025-10</t>
        </is>
      </c>
      <c r="AY833" t="inlineStr">
        <is>
          <t>Beslut</t>
        </is>
      </c>
      <c r="AZ833" t="inlineStr">
        <is>
          <t>2026-02-13</t>
        </is>
      </c>
      <c r="BA833" t="inlineStr">
        <is>
          <t>VGS-MH-2025-2444.pdf</t>
        </is>
      </c>
      <c r="BB833" t="inlineStr">
        <is>
          <t>Sv: till registrator</t>
        </is>
      </c>
      <c r="BC833" t="inlineStr">
        <is>
          <t>AUTO</t>
        </is>
      </c>
      <c r="BD833" t="inlineStr"/>
      <c r="BE833" t="inlineStr"/>
      <c r="BF833" t="inlineStr">
        <is>
          <t>AUTO_GENERERAD. Bekrafta metadata mot kallfil.</t>
        </is>
      </c>
      <c r="BG833">
        <f>HYPERLINK("C:\Users\jimmy\Desktop\Examens arbete\Kod\Ny mapp\remix_-copy-of-miljöbeslut.se-portal\VGS-MH-2025-2444.pdf", "Öppna PDF")</f>
        <v/>
      </c>
    </row>
    <row r="834">
      <c r="A834" t="inlineStr">
        <is>
          <t>KRAV-AUTO-000833</t>
        </is>
      </c>
      <c r="B834" t="inlineStr">
        <is>
          <t>ADMIN-INDEX-2026-02-27-00000000125C043F57453246863FE664CAFE6A3F0700950291EA24F0614FB6ACEDB12BF0E31D00000000010C0000950291EA24F0614FB6ACEDB12BF0E31D00002087ADE40000</t>
        </is>
      </c>
      <c r="C834" t="inlineStr">
        <is>
          <t>cmm4yuqm303pzcuqw5gh59mmu</t>
        </is>
      </c>
      <c r="D834" t="inlineStr">
        <is>
          <t>http://localhost:8787/api/admin/requirements/documents/cmm4yuqm303pzcuqw5gh59mmu/view</t>
        </is>
      </c>
      <c r="E834">
        <f>HYPERLÄNK("http://localhost:8787/api/admin/requirements/documents/cmm4yuqm303pzcuqw5gh59mmu/view";"Öppna PDF")</f>
        <v/>
      </c>
      <c r="F834">
        <f>HYPERLINK("http://localhost:8787/api/admin/requirements/documents/cmm4yuqm303pzcuqw5gh59mmu/view","Open PDF")</f>
        <v/>
      </c>
      <c r="G834" t="inlineStr">
        <is>
          <t>cmm55w57p0004cuisfrtpqly8</t>
        </is>
      </c>
      <c r="H834" t="inlineStr">
        <is>
          <t>Beslutsvillkor</t>
        </is>
      </c>
      <c r="I834" t="inlineStr">
        <is>
          <t>Ytkonstruktion</t>
        </is>
      </c>
      <c r="J834" t="inlineStr">
        <is>
          <t>Tat yta</t>
        </is>
      </c>
      <c r="K834" t="inlineStr">
        <is>
          <t>Ändamålet ska vara anläggningsändamål, dvs syftet får inte vara att endast bli av med avfallet utan det måste vara någon ”nytta” med uppläggningen.</t>
        </is>
      </c>
      <c r="L834" t="inlineStr">
        <is>
          <t>Ändamålet ska vara anläggningsändamål, dvs syftet får inte vara att endast bli av med avfallet utan det måste vara någon ”nytta” med uppläggningen.</t>
        </is>
      </c>
      <c r="M834" t="inlineStr">
        <is>
          <t>SKA</t>
        </is>
      </c>
      <c r="N834" t="inlineStr"/>
      <c r="O834" t="inlineStr"/>
      <c r="P834" t="inlineStr"/>
      <c r="Q834" t="inlineStr">
        <is>
          <t>Driftbegransning vid avvikelse</t>
        </is>
      </c>
      <c r="R834" t="inlineStr">
        <is>
          <t>Vid mellanlagring av avfall</t>
        </is>
      </c>
      <c r="S834" t="inlineStr"/>
      <c r="T834" t="inlineStr">
        <is>
          <t>323790</t>
        </is>
      </c>
      <c r="U834" t="inlineStr"/>
      <c r="V834" t="inlineStr"/>
      <c r="W834" t="inlineStr">
        <is>
          <t>Ja</t>
        </is>
      </c>
      <c r="X834" t="inlineStr">
        <is>
          <t>Nej</t>
        </is>
      </c>
      <c r="Y834" t="inlineStr">
        <is>
          <t>Nej</t>
        </is>
      </c>
      <c r="Z834" t="inlineStr">
        <is>
          <t>Nej</t>
        </is>
      </c>
      <c r="AA834" t="n">
        <v>5</v>
      </c>
      <c r="AB834" t="inlineStr">
        <is>
          <t>Teknisk beskrivning av platta</t>
        </is>
      </c>
      <c r="AC834" t="inlineStr">
        <is>
          <t>Teknisk ritning platta</t>
        </is>
      </c>
      <c r="AD834" t="inlineStr">
        <is>
          <t>Nej</t>
        </is>
      </c>
      <c r="AE834" t="inlineStr">
        <is>
          <t>Nej</t>
        </is>
      </c>
      <c r="AF834" t="inlineStr">
        <is>
          <t>Ej behandlad</t>
        </is>
      </c>
      <c r="AG834" t="inlineStr">
        <is>
          <t>AUTO_GENERERAD. Verifiera citat mot kallfil.</t>
        </is>
      </c>
      <c r="AH834" t="inlineStr">
        <is>
          <t>MEDIUM</t>
        </is>
      </c>
      <c r="AI834" t="inlineStr">
        <is>
          <t>AUTO</t>
        </is>
      </c>
      <c r="AJ834" t="inlineStr">
        <is>
          <t>Nej</t>
        </is>
      </c>
      <c r="AK834" t="inlineStr"/>
      <c r="AL834" t="inlineStr"/>
      <c r="AM834" t="inlineStr"/>
      <c r="AN834" t="inlineStr"/>
      <c r="AO834" t="inlineStr">
        <is>
          <t>cmm4yuqm603q2cuqw6h2pp8a0</t>
        </is>
      </c>
      <c r="AP834" t="inlineStr">
        <is>
          <t>http://localhost:8787/api/admin/requirements/documents/cmm4yuqm603q2cuqw6h2pp8a0/view</t>
        </is>
      </c>
      <c r="AQ834">
        <f>HYPERLÄNK("http://localhost:8787/api/admin/requirements/documents/cmm4yuqm603q2cuqw6h2pp8a0/view";"Öppna PDF")</f>
        <v/>
      </c>
      <c r="AR834">
        <f>HYPERLINK("http://localhost:8787/api/admin/requirements/documents/cmm4yuqm603q2cuqw6h2pp8a0/view","Open PDF")</f>
        <v/>
      </c>
      <c r="AS834" t="inlineStr">
        <is>
          <t>cmm55w57p0004cuisfrtpqly8</t>
        </is>
      </c>
      <c r="AT834" t="inlineStr">
        <is>
          <t>cmm4xvu980000cuh4vj0usz09</t>
        </is>
      </c>
      <c r="AU834" t="inlineStr">
        <is>
          <t>ämnden beslutar att förelägga Ljusdals</t>
        </is>
      </c>
      <c r="AV834" t="inlineStr">
        <is>
          <t>Kommun</t>
        </is>
      </c>
      <c r="AW834" t="inlineStr">
        <is>
          <t>ämnden beslutar att förelägga Ljusdals kommun</t>
        </is>
      </c>
      <c r="AX834" t="inlineStr">
        <is>
          <t>0651-180</t>
        </is>
      </c>
      <c r="AY834" t="inlineStr">
        <is>
          <t>Beslut</t>
        </is>
      </c>
      <c r="AZ834" t="inlineStr">
        <is>
          <t>2026-02-05</t>
        </is>
      </c>
      <c r="BA834" t="inlineStr">
        <is>
          <t>MFV.2024.202.pdf</t>
        </is>
      </c>
      <c r="BB834" t="inlineStr">
        <is>
          <t>Sv: Skickat till MILJÖ             Extern: till registrator</t>
        </is>
      </c>
      <c r="BC834" t="inlineStr">
        <is>
          <t>AUTO</t>
        </is>
      </c>
      <c r="BD834" t="inlineStr"/>
      <c r="BE834" t="inlineStr"/>
      <c r="BF834" t="inlineStr">
        <is>
          <t>AUTO_GENERERAD. Bekrafta metadata mot kallfil.</t>
        </is>
      </c>
      <c r="BG834">
        <f>HYPERLINK("C:\Users\jimmy\Desktop\Examens arbete\Kod\Ny mapp\remix_-copy-of-miljöbeslut.se-portal\MFV.2024.202.pdf", "Öppna PDF")</f>
        <v/>
      </c>
    </row>
    <row r="835">
      <c r="A835" t="inlineStr">
        <is>
          <t>KRAV-AUTO-000834</t>
        </is>
      </c>
      <c r="B835" t="inlineStr">
        <is>
          <t>ADMIN-INDEX-2026-02-27-00000000125C043F57453246863FE664CAFE6A3F0700950291EA24F0614FB6ACEDB12BF0E31D00000000010C0000950291EA24F0614FB6ACEDB12BF0E31D00002087ADE40000</t>
        </is>
      </c>
      <c r="C835" t="inlineStr">
        <is>
          <t>cmm4yuqm303pzcuqw5gh59mmu</t>
        </is>
      </c>
      <c r="D835" t="inlineStr">
        <is>
          <t>http://localhost:8787/api/admin/requirements/documents/cmm4yuqm303pzcuqw5gh59mmu/view</t>
        </is>
      </c>
      <c r="E835">
        <f>HYPERLÄNK("http://localhost:8787/api/admin/requirements/documents/cmm4yuqm303pzcuqw5gh59mmu/view";"Öppna PDF")</f>
        <v/>
      </c>
      <c r="F835">
        <f>HYPERLINK("http://localhost:8787/api/admin/requirements/documents/cmm4yuqm303pzcuqw5gh59mmu/view","Open PDF")</f>
        <v/>
      </c>
      <c r="G835" t="inlineStr">
        <is>
          <t>cmm55w57p0004cuisfrtpqly8</t>
        </is>
      </c>
      <c r="H835" t="inlineStr">
        <is>
          <t>Beslutsvillkor</t>
        </is>
      </c>
      <c r="I835" t="inlineStr">
        <is>
          <t>DagvattenLakvatten</t>
        </is>
      </c>
      <c r="J835" t="inlineStr">
        <is>
          <t>Uppsamling</t>
        </is>
      </c>
      <c r="K835" t="inlineStr">
        <is>
          <t>Föroreningsrisken avgör om du måste göra en anmälan Det som avgör om en anmälan krävs eller inte är risken för förorening av mark, vattenområde eller grundvatten.</t>
        </is>
      </c>
      <c r="L835" t="inlineStr">
        <is>
          <t>Föroreningsrisken avgör om du måste göra en anmälan Det som avgör om en anmälan krävs eller inte är risken för förorening av mark, vattenområde eller grundvatten.</t>
        </is>
      </c>
      <c r="M835" t="inlineStr">
        <is>
          <t>SKA</t>
        </is>
      </c>
      <c r="N835" t="inlineStr"/>
      <c r="O835" t="inlineStr"/>
      <c r="P835" t="inlineStr"/>
      <c r="Q835" t="inlineStr"/>
      <c r="R835" t="inlineStr">
        <is>
          <t>Vid nederbord och avrinning</t>
        </is>
      </c>
      <c r="S835" t="inlineStr"/>
      <c r="T835" t="inlineStr">
        <is>
          <t>323790</t>
        </is>
      </c>
      <c r="U835" t="inlineStr"/>
      <c r="V835" t="inlineStr"/>
      <c r="W835" t="inlineStr">
        <is>
          <t>Nej</t>
        </is>
      </c>
      <c r="X835" t="inlineStr">
        <is>
          <t>Ja</t>
        </is>
      </c>
      <c r="Y835" t="inlineStr">
        <is>
          <t>Ja</t>
        </is>
      </c>
      <c r="Z835" t="inlineStr">
        <is>
          <t>Nej</t>
        </is>
      </c>
      <c r="AA835" t="n">
        <v>6</v>
      </c>
      <c r="AB835" t="inlineStr">
        <is>
          <t>Lakvattenhantering</t>
        </is>
      </c>
      <c r="AC835" t="inlineStr">
        <is>
          <t>Flodesschema dagvatten-lakvatten</t>
        </is>
      </c>
      <c r="AD835" t="inlineStr">
        <is>
          <t>Nej</t>
        </is>
      </c>
      <c r="AE835" t="inlineStr">
        <is>
          <t>Nej</t>
        </is>
      </c>
      <c r="AF835" t="inlineStr">
        <is>
          <t>Ej behandlad</t>
        </is>
      </c>
      <c r="AG835" t="inlineStr">
        <is>
          <t>AUTO_GENERERAD. Verifiera citat mot kallfil.</t>
        </is>
      </c>
      <c r="AH835" t="inlineStr">
        <is>
          <t>MEDIUM</t>
        </is>
      </c>
      <c r="AI835" t="inlineStr">
        <is>
          <t>AUTO</t>
        </is>
      </c>
      <c r="AJ835" t="inlineStr">
        <is>
          <t>Nej</t>
        </is>
      </c>
      <c r="AK835" t="inlineStr"/>
      <c r="AL835" t="inlineStr"/>
      <c r="AM835" t="inlineStr"/>
      <c r="AN835" t="inlineStr"/>
      <c r="AO835" t="inlineStr">
        <is>
          <t>cmm4yuqm603q2cuqw6h2pp8a0</t>
        </is>
      </c>
      <c r="AP835" t="inlineStr">
        <is>
          <t>http://localhost:8787/api/admin/requirements/documents/cmm4yuqm603q2cuqw6h2pp8a0/view</t>
        </is>
      </c>
      <c r="AQ835">
        <f>HYPERLÄNK("http://localhost:8787/api/admin/requirements/documents/cmm4yuqm603q2cuqw6h2pp8a0/view";"Öppna PDF")</f>
        <v/>
      </c>
      <c r="AR835">
        <f>HYPERLINK("http://localhost:8787/api/admin/requirements/documents/cmm4yuqm603q2cuqw6h2pp8a0/view","Open PDF")</f>
        <v/>
      </c>
      <c r="AS835" t="inlineStr">
        <is>
          <t>cmm55w57p0004cuisfrtpqly8</t>
        </is>
      </c>
      <c r="AT835" t="inlineStr">
        <is>
          <t>cmm4xvu980000cuh4vj0usz09</t>
        </is>
      </c>
      <c r="AU835" t="inlineStr">
        <is>
          <t>ämnden beslutar att förelägga Ljusdals</t>
        </is>
      </c>
      <c r="AV835" t="inlineStr">
        <is>
          <t>Kommun</t>
        </is>
      </c>
      <c r="AW835" t="inlineStr">
        <is>
          <t>ämnden beslutar att förelägga Ljusdals kommun</t>
        </is>
      </c>
      <c r="AX835" t="inlineStr">
        <is>
          <t>0651-180</t>
        </is>
      </c>
      <c r="AY835" t="inlineStr">
        <is>
          <t>Beslut</t>
        </is>
      </c>
      <c r="AZ835" t="inlineStr">
        <is>
          <t>2026-02-05</t>
        </is>
      </c>
      <c r="BA835" t="inlineStr">
        <is>
          <t>MFV.2024.202.pdf</t>
        </is>
      </c>
      <c r="BB835" t="inlineStr">
        <is>
          <t>Sv: Skickat till MILJÖ             Extern: till registrator</t>
        </is>
      </c>
      <c r="BC835" t="inlineStr">
        <is>
          <t>AUTO</t>
        </is>
      </c>
      <c r="BD835" t="inlineStr"/>
      <c r="BE835" t="inlineStr"/>
      <c r="BF835" t="inlineStr">
        <is>
          <t>AUTO_GENERERAD. Bekrafta metadata mot kallfil.</t>
        </is>
      </c>
      <c r="BG835">
        <f>HYPERLINK("C:\Users\jimmy\Desktop\Examens arbete\Kod\Ny mapp\remix_-copy-of-miljöbeslut.se-portal\MFV.2024.202.pdf", "Öppna PDF")</f>
        <v/>
      </c>
    </row>
    <row r="836">
      <c r="A836" t="inlineStr">
        <is>
          <t>KRAV-AUTO-000835</t>
        </is>
      </c>
      <c r="B836" t="inlineStr">
        <is>
          <t>ADMIN-INDEX-2026-02-27-00000000125C043F57453246863FE664CAFE6A3F0700950291EA24F0614FB6ACEDB12BF0E31D00000000010C0000950291EA24F0614FB6ACEDB12BF0E31D00002087ADE40000</t>
        </is>
      </c>
      <c r="C836" t="inlineStr">
        <is>
          <t>cmm4yuqm303pzcuqw5gh59mmu</t>
        </is>
      </c>
      <c r="D836" t="inlineStr">
        <is>
          <t>http://localhost:8787/api/admin/requirements/documents/cmm4yuqm303pzcuqw5gh59mmu/view</t>
        </is>
      </c>
      <c r="E836">
        <f>HYPERLÄNK("http://localhost:8787/api/admin/requirements/documents/cmm4yuqm303pzcuqw5gh59mmu/view";"Öppna PDF")</f>
        <v/>
      </c>
      <c r="F836">
        <f>HYPERLINK("http://localhost:8787/api/admin/requirements/documents/cmm4yuqm303pzcuqw5gh59mmu/view","Open PDF")</f>
        <v/>
      </c>
      <c r="G836" t="inlineStr">
        <is>
          <t>cmm55w57p0004cuisfrtpqly8</t>
        </is>
      </c>
      <c r="H836" t="inlineStr">
        <is>
          <t>Beslutsvillkor</t>
        </is>
      </c>
      <c r="I836" t="inlineStr">
        <is>
          <t>DagvattenLakvatten</t>
        </is>
      </c>
      <c r="J836" t="inlineStr">
        <is>
          <t>Uppsamling</t>
        </is>
      </c>
      <c r="K836" t="inlineStr">
        <is>
          <t>Närmaste vattendrag är Kyrksjön med dess huvudavrinningsområde Ljusnan, avrinningsområdet börjar cirka 550 meter ifrån centralstationens perrong i Kyrksjöns sydöstra kant.</t>
        </is>
      </c>
      <c r="L836" t="inlineStr">
        <is>
          <t>Närmaste vattendrag är Kyrksjön med dess huvudavrinningsområde Ljusnan, avrinningsområdet börjar cirka 550 meter ifrån centralstationens perrong i Kyrksjöns sydöstra kant.</t>
        </is>
      </c>
      <c r="M836" t="inlineStr">
        <is>
          <t>SKA</t>
        </is>
      </c>
      <c r="N836" t="inlineStr"/>
      <c r="O836" t="inlineStr"/>
      <c r="P836" t="inlineStr"/>
      <c r="Q836" t="inlineStr"/>
      <c r="R836" t="inlineStr">
        <is>
          <t>Vid nederbord och avrinning</t>
        </is>
      </c>
      <c r="S836" t="inlineStr"/>
      <c r="T836" t="inlineStr">
        <is>
          <t>323790</t>
        </is>
      </c>
      <c r="U836" t="inlineStr"/>
      <c r="V836" t="inlineStr"/>
      <c r="W836" t="inlineStr">
        <is>
          <t>Nej</t>
        </is>
      </c>
      <c r="X836" t="inlineStr">
        <is>
          <t>Ja</t>
        </is>
      </c>
      <c r="Y836" t="inlineStr">
        <is>
          <t>Ja</t>
        </is>
      </c>
      <c r="Z836" t="inlineStr">
        <is>
          <t>Nej</t>
        </is>
      </c>
      <c r="AA836" t="n">
        <v>6</v>
      </c>
      <c r="AB836" t="inlineStr">
        <is>
          <t>Lakvattenhantering</t>
        </is>
      </c>
      <c r="AC836" t="inlineStr">
        <is>
          <t>Flodesschema dagvatten-lakvatten</t>
        </is>
      </c>
      <c r="AD836" t="inlineStr">
        <is>
          <t>Nej</t>
        </is>
      </c>
      <c r="AE836" t="inlineStr">
        <is>
          <t>Nej</t>
        </is>
      </c>
      <c r="AF836" t="inlineStr">
        <is>
          <t>Ej behandlad</t>
        </is>
      </c>
      <c r="AG836" t="inlineStr">
        <is>
          <t>AUTO_GENERERAD. Verifiera citat mot kallfil.</t>
        </is>
      </c>
      <c r="AH836" t="inlineStr">
        <is>
          <t>MEDIUM</t>
        </is>
      </c>
      <c r="AI836" t="inlineStr">
        <is>
          <t>AUTO</t>
        </is>
      </c>
      <c r="AJ836" t="inlineStr">
        <is>
          <t>Nej</t>
        </is>
      </c>
      <c r="AK836" t="inlineStr"/>
      <c r="AL836" t="inlineStr"/>
      <c r="AM836" t="inlineStr"/>
      <c r="AN836" t="inlineStr"/>
      <c r="AO836" t="inlineStr">
        <is>
          <t>cmm4yuqm603q2cuqw6h2pp8a0</t>
        </is>
      </c>
      <c r="AP836" t="inlineStr">
        <is>
          <t>http://localhost:8787/api/admin/requirements/documents/cmm4yuqm603q2cuqw6h2pp8a0/view</t>
        </is>
      </c>
      <c r="AQ836">
        <f>HYPERLÄNK("http://localhost:8787/api/admin/requirements/documents/cmm4yuqm603q2cuqw6h2pp8a0/view";"Öppna PDF")</f>
        <v/>
      </c>
      <c r="AR836">
        <f>HYPERLINK("http://localhost:8787/api/admin/requirements/documents/cmm4yuqm603q2cuqw6h2pp8a0/view","Open PDF")</f>
        <v/>
      </c>
      <c r="AS836" t="inlineStr">
        <is>
          <t>cmm55w57p0004cuisfrtpqly8</t>
        </is>
      </c>
      <c r="AT836" t="inlineStr">
        <is>
          <t>cmm4xvu980000cuh4vj0usz09</t>
        </is>
      </c>
      <c r="AU836" t="inlineStr">
        <is>
          <t>ämnden beslutar att förelägga Ljusdals</t>
        </is>
      </c>
      <c r="AV836" t="inlineStr">
        <is>
          <t>Kommun</t>
        </is>
      </c>
      <c r="AW836" t="inlineStr">
        <is>
          <t>ämnden beslutar att förelägga Ljusdals kommun</t>
        </is>
      </c>
      <c r="AX836" t="inlineStr">
        <is>
          <t>0651-180</t>
        </is>
      </c>
      <c r="AY836" t="inlineStr">
        <is>
          <t>Beslut</t>
        </is>
      </c>
      <c r="AZ836" t="inlineStr">
        <is>
          <t>2026-02-05</t>
        </is>
      </c>
      <c r="BA836" t="inlineStr">
        <is>
          <t>MFV.2024.202.pdf</t>
        </is>
      </c>
      <c r="BB836" t="inlineStr">
        <is>
          <t>Sv: Skickat till MILJÖ             Extern: till registrator</t>
        </is>
      </c>
      <c r="BC836" t="inlineStr">
        <is>
          <t>AUTO</t>
        </is>
      </c>
      <c r="BD836" t="inlineStr"/>
      <c r="BE836" t="inlineStr"/>
      <c r="BF836" t="inlineStr">
        <is>
          <t>AUTO_GENERERAD. Bekrafta metadata mot kallfil.</t>
        </is>
      </c>
      <c r="BG836">
        <f>HYPERLINK("C:\Users\jimmy\Desktop\Examens arbete\Kod\Ny mapp\remix_-copy-of-miljöbeslut.se-portal\MFV.2024.202.pdf", "Öppna PDF")</f>
        <v/>
      </c>
    </row>
    <row r="837">
      <c r="A837" t="inlineStr">
        <is>
          <t>KRAV-AUTO-000836</t>
        </is>
      </c>
      <c r="B837" t="inlineStr">
        <is>
          <t>ADMIN-INDEX-2026-02-27-00000000125C043F57453246863FE664CAFE6A3F0700950291EA24F0614FB6ACEDB12BF0E31D00000000010C0000950291EA24F0614FB6ACEDB12BF0E31D00002087AE450000</t>
        </is>
      </c>
      <c r="C837" t="inlineStr">
        <is>
          <t>cmm4yupwt031qcuqwzc8saf3f</t>
        </is>
      </c>
      <c r="D837" t="inlineStr">
        <is>
          <t>http://localhost:8787/api/admin/requirements/documents/cmm4yupwt031qcuqwzc8saf3f/view</t>
        </is>
      </c>
      <c r="E837">
        <f>HYPERLÄNK("http://localhost:8787/api/admin/requirements/documents/cmm4yupwt031qcuqwzc8saf3f/view";"Öppna PDF")</f>
        <v/>
      </c>
      <c r="F837">
        <f>HYPERLINK("http://localhost:8787/api/admin/requirements/documents/cmm4yupwt031qcuqwzc8saf3f/view","Open PDF")</f>
        <v/>
      </c>
      <c r="G837" t="inlineStr">
        <is>
          <t>cmm55w57p0004cuisfrtpqly8</t>
        </is>
      </c>
      <c r="H837" t="inlineStr">
        <is>
          <t>Informationskrav</t>
        </is>
      </c>
      <c r="I837" t="inlineStr">
        <is>
          <t>DriftEgenkontroll</t>
        </is>
      </c>
      <c r="J837" t="inlineStr">
        <is>
          <t>Journalforing</t>
        </is>
      </c>
      <c r="K837" t="inlineStr">
        <is>
          <t>Provtagningsplanen ska godkännas av oss innan ni kan påbörja provtagningen.</t>
        </is>
      </c>
      <c r="L837" t="inlineStr">
        <is>
          <t>Provtagningsplanen ska godkännas av oss innan ni kan påbörja provtagningen.</t>
        </is>
      </c>
      <c r="M837" t="inlineStr">
        <is>
          <t>SKA</t>
        </is>
      </c>
      <c r="N837" t="inlineStr"/>
      <c r="O837" t="inlineStr"/>
      <c r="P837" t="inlineStr"/>
      <c r="Q837" t="inlineStr"/>
      <c r="R837" t="inlineStr">
        <is>
          <t>Lopande drift</t>
        </is>
      </c>
      <c r="S837" t="inlineStr"/>
      <c r="T837" t="inlineStr">
        <is>
          <t>60 60 00</t>
        </is>
      </c>
      <c r="U837" t="inlineStr"/>
      <c r="V837" t="inlineStr"/>
      <c r="W837" t="inlineStr">
        <is>
          <t>Nej</t>
        </is>
      </c>
      <c r="X837" t="inlineStr">
        <is>
          <t>Nej</t>
        </is>
      </c>
      <c r="Y837" t="inlineStr">
        <is>
          <t>Ja</t>
        </is>
      </c>
      <c r="Z837" t="inlineStr">
        <is>
          <t>Nej</t>
        </is>
      </c>
      <c r="AA837" t="n">
        <v>7</v>
      </c>
      <c r="AB837" t="inlineStr">
        <is>
          <t>Egenkontrollrutiner</t>
        </is>
      </c>
      <c r="AC837" t="inlineStr">
        <is>
          <t>Egenkontrollprogram</t>
        </is>
      </c>
      <c r="AD837" t="inlineStr">
        <is>
          <t>Nej</t>
        </is>
      </c>
      <c r="AE837" t="inlineStr">
        <is>
          <t>Nej</t>
        </is>
      </c>
      <c r="AF837" t="inlineStr">
        <is>
          <t>Ej behandlad</t>
        </is>
      </c>
      <c r="AG837" t="inlineStr">
        <is>
          <t>AUTO_GENERERAD. Verifiera citat mot kallfil.</t>
        </is>
      </c>
      <c r="AH837" t="inlineStr">
        <is>
          <t>MEDIUM</t>
        </is>
      </c>
      <c r="AI837" t="inlineStr">
        <is>
          <t>AUTO</t>
        </is>
      </c>
      <c r="AJ837" t="inlineStr">
        <is>
          <t>Nej</t>
        </is>
      </c>
      <c r="AK837" t="inlineStr"/>
      <c r="AL837" t="inlineStr"/>
      <c r="AM837" t="inlineStr"/>
      <c r="AN837" t="inlineStr"/>
      <c r="AO837" t="inlineStr">
        <is>
          <t>cmm4yupwf031ecuqwcuwsaack</t>
        </is>
      </c>
      <c r="AP837" t="inlineStr">
        <is>
          <t>http://localhost:8787/api/admin/requirements/documents/cmm4yupwf031ecuqwcuwsaack/view</t>
        </is>
      </c>
      <c r="AQ837">
        <f>HYPERLÄNK("http://localhost:8787/api/admin/requirements/documents/cmm4yupwf031ecuqwcuwsaack/view";"Öppna PDF")</f>
        <v/>
      </c>
      <c r="AR837">
        <f>HYPERLINK("http://localhost:8787/api/admin/requirements/documents/cmm4yupwf031ecuqwcuwsaack/view","Open PDF")</f>
        <v/>
      </c>
      <c r="AS837" t="inlineStr">
        <is>
          <t>cmm55w57p0004cuisfrtpqly8</t>
        </is>
      </c>
      <c r="AT837" t="inlineStr">
        <is>
          <t>cmm4xvu980000cuh4vj0usz09</t>
        </is>
      </c>
      <c r="AU837" t="inlineStr"/>
      <c r="AV837" t="inlineStr">
        <is>
          <t>Kommun</t>
        </is>
      </c>
      <c r="AW837" t="inlineStr"/>
      <c r="AX837" t="inlineStr">
        <is>
          <t>2013:251</t>
        </is>
      </c>
      <c r="AY837" t="inlineStr">
        <is>
          <t>Anmalan</t>
        </is>
      </c>
      <c r="AZ837" t="inlineStr">
        <is>
          <t>2026-02-04</t>
        </is>
      </c>
      <c r="BA837" t="inlineStr">
        <is>
          <t>Anmälan miljöfarlig verksamhet v1.pdf</t>
        </is>
      </c>
      <c r="BB837" t="inlineStr">
        <is>
          <t>Verksamhet i Tidaholm</t>
        </is>
      </c>
      <c r="BC837" t="inlineStr">
        <is>
          <t>AUTO</t>
        </is>
      </c>
      <c r="BD837" t="inlineStr"/>
      <c r="BE837" t="inlineStr"/>
      <c r="BF837" t="inlineStr">
        <is>
          <t>AUTO_GENERERAD. Bekrafta metadata mot kallfil.</t>
        </is>
      </c>
      <c r="BG837">
        <f>HYPERLINK("C:\Users\jimmy\Desktop\Examens arbete\Kod\Ny mapp\remix_-copy-of-miljöbeslut.se-portal\Anmälan miljöfarlig verksamhet v1.pdf", "Öppna PDF")</f>
        <v/>
      </c>
    </row>
    <row r="838">
      <c r="A838" t="inlineStr">
        <is>
          <t>KRAV-AUTO-000837</t>
        </is>
      </c>
      <c r="B838" t="inlineStr">
        <is>
          <t>ADMIN-INDEX-2026-02-27-00000000125C043F57453246863FE664CAFE6A3F0700950291EA24F0614FB6ACEDB12BF0E31D00000000010C0000950291EA24F0614FB6ACEDB12BF0E31D00002087AE450000</t>
        </is>
      </c>
      <c r="C838" t="inlineStr">
        <is>
          <t>cmm4yupwt031qcuqwzc8saf3f</t>
        </is>
      </c>
      <c r="D838" t="inlineStr">
        <is>
          <t>http://localhost:8787/api/admin/requirements/documents/cmm4yupwt031qcuqwzc8saf3f/view</t>
        </is>
      </c>
      <c r="E838">
        <f>HYPERLÄNK("http://localhost:8787/api/admin/requirements/documents/cmm4yupwt031qcuqwzc8saf3f/view";"Öppna PDF")</f>
        <v/>
      </c>
      <c r="F838">
        <f>HYPERLINK("http://localhost:8787/api/admin/requirements/documents/cmm4yupwt031qcuqwzc8saf3f/view","Open PDF")</f>
        <v/>
      </c>
      <c r="G838" t="inlineStr">
        <is>
          <t>cmm55w57p0004cuisfrtpqly8</t>
        </is>
      </c>
      <c r="H838" t="inlineStr">
        <is>
          <t>Informationskrav</t>
        </is>
      </c>
      <c r="I838" t="inlineStr">
        <is>
          <t>DagvattenLakvatten</t>
        </is>
      </c>
      <c r="J838" t="inlineStr">
        <is>
          <t>Uppsamling</t>
        </is>
      </c>
      <c r="K838" t="inlineStr">
        <is>
          <t>Information I samband med att ni väljer att avveckla verksamheten ska ni låta undersöka marken där asfalt hanterats samt dagvattendammarna och dess sediment vad gäller föroreningar.</t>
        </is>
      </c>
      <c r="L838" t="inlineStr">
        <is>
          <t>Information I samband med att ni väljer att avveckla verksamheten ska ni låta undersöka marken där asfalt hanterats samt dagvattendammarna och dess sediment vad gäller föroreningar.</t>
        </is>
      </c>
      <c r="M838" t="inlineStr">
        <is>
          <t>SKA</t>
        </is>
      </c>
      <c r="N838" t="inlineStr"/>
      <c r="O838" t="inlineStr"/>
      <c r="P838" t="inlineStr"/>
      <c r="Q838" t="inlineStr"/>
      <c r="R838" t="inlineStr">
        <is>
          <t>Vid nederbord och avrinning</t>
        </is>
      </c>
      <c r="S838" t="inlineStr"/>
      <c r="T838" t="inlineStr">
        <is>
          <t>60 60 00</t>
        </is>
      </c>
      <c r="U838" t="inlineStr"/>
      <c r="V838" t="inlineStr"/>
      <c r="W838" t="inlineStr">
        <is>
          <t>Nej</t>
        </is>
      </c>
      <c r="X838" t="inlineStr">
        <is>
          <t>Ja</t>
        </is>
      </c>
      <c r="Y838" t="inlineStr">
        <is>
          <t>Ja</t>
        </is>
      </c>
      <c r="Z838" t="inlineStr">
        <is>
          <t>Nej</t>
        </is>
      </c>
      <c r="AA838" t="n">
        <v>6</v>
      </c>
      <c r="AB838" t="inlineStr">
        <is>
          <t>Lakvattenhantering</t>
        </is>
      </c>
      <c r="AC838" t="inlineStr">
        <is>
          <t>Flodesschema dagvatten-lakvatten</t>
        </is>
      </c>
      <c r="AD838" t="inlineStr">
        <is>
          <t>Nej</t>
        </is>
      </c>
      <c r="AE838" t="inlineStr">
        <is>
          <t>Nej</t>
        </is>
      </c>
      <c r="AF838" t="inlineStr">
        <is>
          <t>Ej behandlad</t>
        </is>
      </c>
      <c r="AG838" t="inlineStr">
        <is>
          <t>AUTO_GENERERAD. Verifiera citat mot kallfil.</t>
        </is>
      </c>
      <c r="AH838" t="inlineStr">
        <is>
          <t>MEDIUM</t>
        </is>
      </c>
      <c r="AI838" t="inlineStr">
        <is>
          <t>AUTO</t>
        </is>
      </c>
      <c r="AJ838" t="inlineStr">
        <is>
          <t>Nej</t>
        </is>
      </c>
      <c r="AK838" t="inlineStr"/>
      <c r="AL838" t="inlineStr"/>
      <c r="AM838" t="inlineStr"/>
      <c r="AN838" t="inlineStr"/>
      <c r="AO838" t="inlineStr">
        <is>
          <t>cmm4yupwf031ecuqwcuwsaack</t>
        </is>
      </c>
      <c r="AP838" t="inlineStr">
        <is>
          <t>http://localhost:8787/api/admin/requirements/documents/cmm4yupwf031ecuqwcuwsaack/view</t>
        </is>
      </c>
      <c r="AQ838">
        <f>HYPERLÄNK("http://localhost:8787/api/admin/requirements/documents/cmm4yupwf031ecuqwcuwsaack/view";"Öppna PDF")</f>
        <v/>
      </c>
      <c r="AR838">
        <f>HYPERLINK("http://localhost:8787/api/admin/requirements/documents/cmm4yupwf031ecuqwcuwsaack/view","Open PDF")</f>
        <v/>
      </c>
      <c r="AS838" t="inlineStr">
        <is>
          <t>cmm55w57p0004cuisfrtpqly8</t>
        </is>
      </c>
      <c r="AT838" t="inlineStr">
        <is>
          <t>cmm4xvu980000cuh4vj0usz09</t>
        </is>
      </c>
      <c r="AU838" t="inlineStr"/>
      <c r="AV838" t="inlineStr">
        <is>
          <t>Kommun</t>
        </is>
      </c>
      <c r="AW838" t="inlineStr"/>
      <c r="AX838" t="inlineStr">
        <is>
          <t>2013:251</t>
        </is>
      </c>
      <c r="AY838" t="inlineStr">
        <is>
          <t>Anmalan</t>
        </is>
      </c>
      <c r="AZ838" t="inlineStr">
        <is>
          <t>2026-02-04</t>
        </is>
      </c>
      <c r="BA838" t="inlineStr">
        <is>
          <t>Anmälan miljöfarlig verksamhet v1.pdf</t>
        </is>
      </c>
      <c r="BB838" t="inlineStr">
        <is>
          <t>Verksamhet i Tidaholm</t>
        </is>
      </c>
      <c r="BC838" t="inlineStr">
        <is>
          <t>AUTO</t>
        </is>
      </c>
      <c r="BD838" t="inlineStr"/>
      <c r="BE838" t="inlineStr"/>
      <c r="BF838" t="inlineStr">
        <is>
          <t>AUTO_GENERERAD. Bekrafta metadata mot kallfil.</t>
        </is>
      </c>
      <c r="BG838">
        <f>HYPERLINK("C:\Users\jimmy\Desktop\Examens arbete\Kod\Ny mapp\remix_-copy-of-miljöbeslut.se-portal\Anmälan miljöfarlig verksamhet v1.pdf", "Öppna PDF")</f>
        <v/>
      </c>
    </row>
    <row r="839">
      <c r="A839" t="inlineStr">
        <is>
          <t>KRAV-AUTO-000838</t>
        </is>
      </c>
      <c r="B839" t="inlineStr">
        <is>
          <t>ADMIN-INDEX-2026-02-27-00000000125C043F57453246863FE664CAFE6A3F0700950291EA24F0614FB6ACEDB12BF0E31D00000000010C0000950291EA24F0614FB6ACEDB12BF0E31D00002087AE450000</t>
        </is>
      </c>
      <c r="C839" t="inlineStr">
        <is>
          <t>cmm4yupwt031qcuqwzc8saf3f</t>
        </is>
      </c>
      <c r="D839" t="inlineStr">
        <is>
          <t>http://localhost:8787/api/admin/requirements/documents/cmm4yupwt031qcuqwzc8saf3f/view</t>
        </is>
      </c>
      <c r="E839">
        <f>HYPERLÄNK("http://localhost:8787/api/admin/requirements/documents/cmm4yupwt031qcuqwzc8saf3f/view";"Öppna PDF")</f>
        <v/>
      </c>
      <c r="F839">
        <f>HYPERLINK("http://localhost:8787/api/admin/requirements/documents/cmm4yupwt031qcuqwzc8saf3f/view","Open PDF")</f>
        <v/>
      </c>
      <c r="G839" t="inlineStr">
        <is>
          <t>cmm55w57p0004cuisfrtpqly8</t>
        </is>
      </c>
      <c r="H839" t="inlineStr">
        <is>
          <t>Informationskrav</t>
        </is>
      </c>
      <c r="I839" t="inlineStr">
        <is>
          <t>MiljopaverkanForsiktighet</t>
        </is>
      </c>
      <c r="J839" t="inlineStr">
        <is>
          <t>Skyddsatgarder</t>
        </is>
      </c>
      <c r="K839" t="inlineStr">
        <is>
          <t>Enligt anmälan och dess kompletteringar ska ni mellanlagra avfall i form av asfalt och jordmassor.</t>
        </is>
      </c>
      <c r="L839" t="inlineStr">
        <is>
          <t>Enligt anmälan och dess kompletteringar ska ni mellanlagra avfall i form av asfalt och jordmassor.</t>
        </is>
      </c>
      <c r="M839" t="inlineStr">
        <is>
          <t>SKA</t>
        </is>
      </c>
      <c r="N839" t="inlineStr"/>
      <c r="O839" t="inlineStr"/>
      <c r="P839" t="inlineStr"/>
      <c r="Q839" t="inlineStr"/>
      <c r="R839" t="inlineStr">
        <is>
          <t>Alltid</t>
        </is>
      </c>
      <c r="S839" t="inlineStr"/>
      <c r="T839" t="inlineStr">
        <is>
          <t>60 60 00</t>
        </is>
      </c>
      <c r="U839" t="inlineStr"/>
      <c r="V839" t="inlineStr"/>
      <c r="W839" t="inlineStr">
        <is>
          <t>Nej</t>
        </is>
      </c>
      <c r="X839" t="inlineStr">
        <is>
          <t>Nej</t>
        </is>
      </c>
      <c r="Y839" t="inlineStr">
        <is>
          <t>Nej</t>
        </is>
      </c>
      <c r="Z839" t="inlineStr">
        <is>
          <t>Nej</t>
        </is>
      </c>
      <c r="AA839" t="n">
        <v>10</v>
      </c>
      <c r="AB839" t="inlineStr">
        <is>
          <t>Miljopaverkan och forsiktighetsmatt</t>
        </is>
      </c>
      <c r="AC839" t="inlineStr">
        <is>
          <t>Miljo-PM</t>
        </is>
      </c>
      <c r="AD839" t="inlineStr">
        <is>
          <t>Nej</t>
        </is>
      </c>
      <c r="AE839" t="inlineStr">
        <is>
          <t>Nej</t>
        </is>
      </c>
      <c r="AF839" t="inlineStr">
        <is>
          <t>Ej behandlad</t>
        </is>
      </c>
      <c r="AG839" t="inlineStr">
        <is>
          <t>AUTO_GENERERAD. Verifiera citat mot kallfil.</t>
        </is>
      </c>
      <c r="AH839" t="inlineStr">
        <is>
          <t>MEDIUM</t>
        </is>
      </c>
      <c r="AI839" t="inlineStr">
        <is>
          <t>AUTO</t>
        </is>
      </c>
      <c r="AJ839" t="inlineStr">
        <is>
          <t>Nej</t>
        </is>
      </c>
      <c r="AK839" t="inlineStr"/>
      <c r="AL839" t="inlineStr"/>
      <c r="AM839" t="inlineStr"/>
      <c r="AN839" t="inlineStr"/>
      <c r="AO839" t="inlineStr">
        <is>
          <t>cmm4yupwf031ecuqwcuwsaack</t>
        </is>
      </c>
      <c r="AP839" t="inlineStr">
        <is>
          <t>http://localhost:8787/api/admin/requirements/documents/cmm4yupwf031ecuqwcuwsaack/view</t>
        </is>
      </c>
      <c r="AQ839">
        <f>HYPERLÄNK("http://localhost:8787/api/admin/requirements/documents/cmm4yupwf031ecuqwcuwsaack/view";"Öppna PDF")</f>
        <v/>
      </c>
      <c r="AR839">
        <f>HYPERLINK("http://localhost:8787/api/admin/requirements/documents/cmm4yupwf031ecuqwcuwsaack/view","Open PDF")</f>
        <v/>
      </c>
      <c r="AS839" t="inlineStr">
        <is>
          <t>cmm55w57p0004cuisfrtpqly8</t>
        </is>
      </c>
      <c r="AT839" t="inlineStr">
        <is>
          <t>cmm4xvu980000cuh4vj0usz09</t>
        </is>
      </c>
      <c r="AU839" t="inlineStr"/>
      <c r="AV839" t="inlineStr">
        <is>
          <t>Kommun</t>
        </is>
      </c>
      <c r="AW839" t="inlineStr"/>
      <c r="AX839" t="inlineStr">
        <is>
          <t>2013:251</t>
        </is>
      </c>
      <c r="AY839" t="inlineStr">
        <is>
          <t>Anmalan</t>
        </is>
      </c>
      <c r="AZ839" t="inlineStr">
        <is>
          <t>2026-02-04</t>
        </is>
      </c>
      <c r="BA839" t="inlineStr">
        <is>
          <t>Anmälan miljöfarlig verksamhet v1.pdf</t>
        </is>
      </c>
      <c r="BB839" t="inlineStr">
        <is>
          <t>Verksamhet i Tidaholm</t>
        </is>
      </c>
      <c r="BC839" t="inlineStr">
        <is>
          <t>AUTO</t>
        </is>
      </c>
      <c r="BD839" t="inlineStr"/>
      <c r="BE839" t="inlineStr"/>
      <c r="BF839" t="inlineStr">
        <is>
          <t>AUTO_GENERERAD. Bekrafta metadata mot kallfil.</t>
        </is>
      </c>
      <c r="BG839">
        <f>HYPERLINK("C:\Users\jimmy\Desktop\Examens arbete\Kod\Ny mapp\remix_-copy-of-miljöbeslut.se-portal\Anmälan miljöfarlig verksamhet v1.pdf", "Öppna PDF")</f>
        <v/>
      </c>
    </row>
    <row r="840">
      <c r="A840" t="inlineStr">
        <is>
          <t>KRAV-AUTO-000839</t>
        </is>
      </c>
      <c r="B840" t="inlineStr">
        <is>
          <t>ADMIN-INDEX-2026-02-27-00000000125C043F57453246863FE664CAFE6A3F0700950291EA24F0614FB6ACEDB12BF0E31D00000000010C0000950291EA24F0614FB6ACEDB12BF0E31D00002087AE450000</t>
        </is>
      </c>
      <c r="C840" t="inlineStr">
        <is>
          <t>cmm4yupwq031ncuqwlbswueo3</t>
        </is>
      </c>
      <c r="D840" t="inlineStr">
        <is>
          <t>http://localhost:8787/api/admin/requirements/documents/cmm4yupwq031ncuqwlbswueo3/view</t>
        </is>
      </c>
      <c r="E840">
        <f>HYPERLÄNK("http://localhost:8787/api/admin/requirements/documents/cmm4yupwq031ncuqwlbswueo3/view";"Öppna PDF")</f>
        <v/>
      </c>
      <c r="F840">
        <f>HYPERLINK("http://localhost:8787/api/admin/requirements/documents/cmm4yupwq031ncuqwlbswueo3/view","Open PDF")</f>
        <v/>
      </c>
      <c r="G840" t="inlineStr">
        <is>
          <t>cmm55w57p0004cuisfrtpqly8</t>
        </is>
      </c>
      <c r="H840" t="inlineStr">
        <is>
          <t>Beslutsvillkor</t>
        </is>
      </c>
      <c r="I840" t="inlineStr">
        <is>
          <t>Ytkonstruktion</t>
        </is>
      </c>
      <c r="J840" t="inlineStr">
        <is>
          <t>Tat yta</t>
        </is>
      </c>
      <c r="K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0" t="inlineStr">
        <is>
          <t>SKA</t>
        </is>
      </c>
      <c r="N840" t="inlineStr"/>
      <c r="O840" t="inlineStr"/>
      <c r="P840" t="inlineStr"/>
      <c r="Q840" t="inlineStr"/>
      <c r="R840" t="inlineStr">
        <is>
          <t>Vid mellanlagring av avfall</t>
        </is>
      </c>
      <c r="S840" t="inlineStr"/>
      <c r="T840" t="inlineStr">
        <is>
          <t>2023 07</t>
        </is>
      </c>
      <c r="U840" t="inlineStr"/>
      <c r="V840" t="inlineStr"/>
      <c r="W840" t="inlineStr">
        <is>
          <t>Ja</t>
        </is>
      </c>
      <c r="X840" t="inlineStr">
        <is>
          <t>Nej</t>
        </is>
      </c>
      <c r="Y840" t="inlineStr">
        <is>
          <t>Nej</t>
        </is>
      </c>
      <c r="Z840" t="inlineStr">
        <is>
          <t>Nej</t>
        </is>
      </c>
      <c r="AA840" t="n">
        <v>5</v>
      </c>
      <c r="AB840" t="inlineStr">
        <is>
          <t>Teknisk beskrivning av platta</t>
        </is>
      </c>
      <c r="AC840" t="inlineStr">
        <is>
          <t>Teknisk ritning platta</t>
        </is>
      </c>
      <c r="AD840" t="inlineStr">
        <is>
          <t>Nej</t>
        </is>
      </c>
      <c r="AE840" t="inlineStr">
        <is>
          <t>Nej</t>
        </is>
      </c>
      <c r="AF840" t="inlineStr">
        <is>
          <t>Ej behandlad</t>
        </is>
      </c>
      <c r="AG840" t="inlineStr">
        <is>
          <t>AUTO_GENERERAD. Verifiera citat mot kallfil.</t>
        </is>
      </c>
      <c r="AH840" t="inlineStr">
        <is>
          <t>MEDIUM</t>
        </is>
      </c>
      <c r="AI840" t="inlineStr">
        <is>
          <t>AUTO</t>
        </is>
      </c>
      <c r="AJ840" t="inlineStr">
        <is>
          <t>Nej</t>
        </is>
      </c>
      <c r="AK840" t="inlineStr"/>
      <c r="AL840" t="inlineStr"/>
      <c r="AM840" t="inlineStr"/>
      <c r="AN840" t="inlineStr"/>
      <c r="AO840" t="inlineStr">
        <is>
          <t>cmm4yupwf031ecuqwcuwsaack</t>
        </is>
      </c>
      <c r="AP840" t="inlineStr">
        <is>
          <t>http://localhost:8787/api/admin/requirements/documents/cmm4yupwf031ecuqwcuwsaack/view</t>
        </is>
      </c>
      <c r="AQ840">
        <f>HYPERLÄNK("http://localhost:8787/api/admin/requirements/documents/cmm4yupwf031ecuqwcuwsaack/view";"Öppna PDF")</f>
        <v/>
      </c>
      <c r="AR840">
        <f>HYPERLINK("http://localhost:8787/api/admin/requirements/documents/cmm4yupwf031ecuqwcuwsaack/view","Open PDF")</f>
        <v/>
      </c>
      <c r="AS840" t="inlineStr">
        <is>
          <t>cmm55w57p0004cuisfrtpqly8</t>
        </is>
      </c>
      <c r="AT840" t="inlineStr">
        <is>
          <t>cmm4xvu980000cuh4vj0usz09</t>
        </is>
      </c>
      <c r="AU840" t="inlineStr"/>
      <c r="AV840" t="inlineStr">
        <is>
          <t>Kommun</t>
        </is>
      </c>
      <c r="AW840" t="inlineStr"/>
      <c r="AX840" t="inlineStr">
        <is>
          <t>2013:251</t>
        </is>
      </c>
      <c r="AY840" t="inlineStr">
        <is>
          <t>Anmalan</t>
        </is>
      </c>
      <c r="AZ840" t="inlineStr">
        <is>
          <t>2026-02-04</t>
        </is>
      </c>
      <c r="BA840" t="inlineStr">
        <is>
          <t>Anmälan miljöfarlig verksamhet v1.pdf</t>
        </is>
      </c>
      <c r="BB840" t="inlineStr">
        <is>
          <t>Verksamhet i Tidaholm</t>
        </is>
      </c>
      <c r="BC840" t="inlineStr">
        <is>
          <t>AUTO</t>
        </is>
      </c>
      <c r="BD840" t="inlineStr"/>
      <c r="BE840" t="inlineStr"/>
      <c r="BF840" t="inlineStr">
        <is>
          <t>AUTO_GENERERAD. Bekrafta metadata mot kallfil.</t>
        </is>
      </c>
      <c r="BG840">
        <f>HYPERLINK("C:\Users\jimmy\Desktop\Examens arbete\Kod\Ny mapp\remix_-copy-of-miljöbeslut.se-portal\Anmälan miljöfarlig verksamhet v1.pdf", "Öppna PDF")</f>
        <v/>
      </c>
    </row>
    <row r="841">
      <c r="A841" t="inlineStr">
        <is>
          <t>KRAV-AUTO-000840</t>
        </is>
      </c>
      <c r="B841" t="inlineStr">
        <is>
          <t>ADMIN-INDEX-2026-02-27-00000000125C043F57453246863FE664CAFE6A3F0700950291EA24F0614FB6ACEDB12BF0E31D00000000010C0000950291EA24F0614FB6ACEDB12BF0E31D00002087AE450000</t>
        </is>
      </c>
      <c r="C841" t="inlineStr">
        <is>
          <t>cmm4yupwm031kcuqwh2ogdctd</t>
        </is>
      </c>
      <c r="D841" t="inlineStr">
        <is>
          <t>http://localhost:8787/api/admin/requirements/documents/cmm4yupwm031kcuqwh2ogdctd/view</t>
        </is>
      </c>
      <c r="E841">
        <f>HYPERLÄNK("http://localhost:8787/api/admin/requirements/documents/cmm4yupwm031kcuqwh2ogdctd/view";"Öppna PDF")</f>
        <v/>
      </c>
      <c r="F841">
        <f>HYPERLINK("http://localhost:8787/api/admin/requirements/documents/cmm4yupwm031kcuqwh2ogdctd/view","Open PDF")</f>
        <v/>
      </c>
      <c r="G841" t="inlineStr">
        <is>
          <t>cmm55w57p0004cuisfrtpqly8</t>
        </is>
      </c>
      <c r="H841" t="inlineStr">
        <is>
          <t>Kompletteringskrav</t>
        </is>
      </c>
      <c r="I841" t="inlineStr">
        <is>
          <t>DagvattenLakvatten</t>
        </is>
      </c>
      <c r="J841" t="inlineStr">
        <is>
          <t>Uppsamling</t>
        </is>
      </c>
      <c r="K841" t="inlineStr">
        <is>
          <t>Hur kommer lakvatten och avrinning från nederbörd vid asfaltslagringen tas omhand?</t>
        </is>
      </c>
      <c r="L841" t="inlineStr">
        <is>
          <t>Hur kommer lakvatten och avrinning från nederbörd vid asfaltslagringen tas omhand?</t>
        </is>
      </c>
      <c r="M841" t="inlineStr">
        <is>
          <t>BOR</t>
        </is>
      </c>
      <c r="N841" t="inlineStr"/>
      <c r="O841" t="inlineStr"/>
      <c r="P841" t="inlineStr"/>
      <c r="Q841" t="inlineStr"/>
      <c r="R841" t="inlineStr">
        <is>
          <t>Vid nederbord och avrinning</t>
        </is>
      </c>
      <c r="S841" t="inlineStr"/>
      <c r="T841" t="inlineStr">
        <is>
          <t>60 60 23</t>
        </is>
      </c>
      <c r="U841" t="inlineStr"/>
      <c r="V841" t="inlineStr"/>
      <c r="W841" t="inlineStr">
        <is>
          <t>Nej</t>
        </is>
      </c>
      <c r="X841" t="inlineStr">
        <is>
          <t>Ja</t>
        </is>
      </c>
      <c r="Y841" t="inlineStr">
        <is>
          <t>Ja</t>
        </is>
      </c>
      <c r="Z841" t="inlineStr">
        <is>
          <t>Nej</t>
        </is>
      </c>
      <c r="AA841" t="n">
        <v>6</v>
      </c>
      <c r="AB841" t="inlineStr">
        <is>
          <t>Lakvattenhantering</t>
        </is>
      </c>
      <c r="AC841" t="inlineStr">
        <is>
          <t>Flodesschema dagvatten-lakvatten</t>
        </is>
      </c>
      <c r="AD841" t="inlineStr">
        <is>
          <t>Nej</t>
        </is>
      </c>
      <c r="AE841" t="inlineStr">
        <is>
          <t>Nej</t>
        </is>
      </c>
      <c r="AF841" t="inlineStr">
        <is>
          <t>Ej behandlad</t>
        </is>
      </c>
      <c r="AG841" t="inlineStr">
        <is>
          <t>AUTO_GENERERAD. Verifiera citat mot kallfil.</t>
        </is>
      </c>
      <c r="AH841" t="inlineStr">
        <is>
          <t>MEDIUM</t>
        </is>
      </c>
      <c r="AI841" t="inlineStr">
        <is>
          <t>AUTO</t>
        </is>
      </c>
      <c r="AJ841" t="inlineStr">
        <is>
          <t>Nej</t>
        </is>
      </c>
      <c r="AK841" t="inlineStr"/>
      <c r="AL841" t="inlineStr"/>
      <c r="AM841" t="inlineStr"/>
      <c r="AN841" t="inlineStr"/>
      <c r="AO841" t="inlineStr">
        <is>
          <t>cmm4yupwf031ecuqwcuwsaack</t>
        </is>
      </c>
      <c r="AP841" t="inlineStr">
        <is>
          <t>http://localhost:8787/api/admin/requirements/documents/cmm4yupwf031ecuqwcuwsaack/view</t>
        </is>
      </c>
      <c r="AQ841">
        <f>HYPERLÄNK("http://localhost:8787/api/admin/requirements/documents/cmm4yupwf031ecuqwcuwsaack/view";"Öppna PDF")</f>
        <v/>
      </c>
      <c r="AR841">
        <f>HYPERLINK("http://localhost:8787/api/admin/requirements/documents/cmm4yupwf031ecuqwcuwsaack/view","Open PDF")</f>
        <v/>
      </c>
      <c r="AS841" t="inlineStr">
        <is>
          <t>cmm55w57p0004cuisfrtpqly8</t>
        </is>
      </c>
      <c r="AT841" t="inlineStr">
        <is>
          <t>cmm4xvu980000cuh4vj0usz09</t>
        </is>
      </c>
      <c r="AU841" t="inlineStr"/>
      <c r="AV841" t="inlineStr">
        <is>
          <t>Kommun</t>
        </is>
      </c>
      <c r="AW841" t="inlineStr"/>
      <c r="AX841" t="inlineStr">
        <is>
          <t>2013:251</t>
        </is>
      </c>
      <c r="AY841" t="inlineStr">
        <is>
          <t>Anmalan</t>
        </is>
      </c>
      <c r="AZ841" t="inlineStr">
        <is>
          <t>2026-02-04</t>
        </is>
      </c>
      <c r="BA841" t="inlineStr">
        <is>
          <t>Anmälan miljöfarlig verksamhet v1.pdf</t>
        </is>
      </c>
      <c r="BB841" t="inlineStr">
        <is>
          <t>Verksamhet i Tidaholm</t>
        </is>
      </c>
      <c r="BC841" t="inlineStr">
        <is>
          <t>AUTO</t>
        </is>
      </c>
      <c r="BD841" t="inlineStr"/>
      <c r="BE841" t="inlineStr"/>
      <c r="BF841" t="inlineStr">
        <is>
          <t>AUTO_GENERERAD. Bekrafta metadata mot kallfil.</t>
        </is>
      </c>
      <c r="BG841">
        <f>HYPERLINK("C:\Users\jimmy\Desktop\Examens arbete\Kod\Ny mapp\remix_-copy-of-miljöbeslut.se-portal\Anmälan miljöfarlig verksamhet v1.pdf", "Öppna PDF")</f>
        <v/>
      </c>
    </row>
    <row r="842">
      <c r="A842" t="inlineStr">
        <is>
          <t>KRAV-AUTO-000841</t>
        </is>
      </c>
      <c r="B842" t="inlineStr">
        <is>
          <t>ADMIN-INDEX-2026-02-27-00000000125C043F57453246863FE664CAFE6A3F0700950291EA24F0614FB6ACEDB12BF0E31D00000000010C0000950291EA24F0614FB6ACEDB12BF0E31D000073AF24000000</t>
        </is>
      </c>
      <c r="C842" t="inlineStr">
        <is>
          <t>cmm4yurew04h8cuqwn9vy6ttu</t>
        </is>
      </c>
      <c r="D842" t="inlineStr">
        <is>
          <t>http://localhost:8787/api/admin/requirements/documents/cmm4yurew04h8cuqwn9vy6ttu/view</t>
        </is>
      </c>
      <c r="E842">
        <f>HYPERLÄNK("http://localhost:8787/api/admin/requirements/documents/cmm4yurew04h8cuqwn9vy6ttu/view";"Öppna PDF")</f>
        <v/>
      </c>
      <c r="F842">
        <f>HYPERLINK("http://localhost:8787/api/admin/requirements/documents/cmm4yurew04h8cuqwn9vy6ttu/view","Open PDF")</f>
        <v/>
      </c>
      <c r="G842" t="inlineStr">
        <is>
          <t>cmm55w57p0004cuisfrtpqly8</t>
        </is>
      </c>
      <c r="H842" t="inlineStr">
        <is>
          <t>Beslutsvillkor</t>
        </is>
      </c>
      <c r="I842" t="inlineStr">
        <is>
          <t>Ytkonstruktion</t>
        </is>
      </c>
      <c r="J842" t="inlineStr">
        <is>
          <t>Tat yta</t>
        </is>
      </c>
      <c r="K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Organisationsnummer 556768-9848 Kontaktperson Andreas Wikström Telefon 0709135653 Företag Svevia AB Anlitad entreprenör Beskriv den närmaste omgivningen inom 200 meter Planerad användningsyta, transportvägar, dricksvattentäkter och andra skyddsvärda objekt.</t>
        </is>
      </c>
      <c r="L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t>
        </is>
      </c>
      <c r="M842" t="inlineStr">
        <is>
          <t>SKA</t>
        </is>
      </c>
      <c r="N842" t="inlineStr"/>
      <c r="O842" t="inlineStr">
        <is>
          <t>2024-06-10</t>
        </is>
      </c>
      <c r="P842" t="inlineStr"/>
      <c r="Q842" t="inlineStr"/>
      <c r="R842" t="inlineStr">
        <is>
          <t>Vid mellanlagring av avfall</t>
        </is>
      </c>
      <c r="S842" t="inlineStr"/>
      <c r="T842" t="inlineStr">
        <is>
          <t>170504</t>
        </is>
      </c>
      <c r="U842" t="inlineStr"/>
      <c r="V842" t="inlineStr"/>
      <c r="W842" t="inlineStr">
        <is>
          <t>Ja</t>
        </is>
      </c>
      <c r="X842" t="inlineStr">
        <is>
          <t>Nej</t>
        </is>
      </c>
      <c r="Y842" t="inlineStr">
        <is>
          <t>Nej</t>
        </is>
      </c>
      <c r="Z842" t="inlineStr">
        <is>
          <t>Nej</t>
        </is>
      </c>
      <c r="AA842" t="n">
        <v>5</v>
      </c>
      <c r="AB842" t="inlineStr">
        <is>
          <t>Teknisk beskrivning av platta</t>
        </is>
      </c>
      <c r="AC842" t="inlineStr">
        <is>
          <t>Teknisk ritning platta</t>
        </is>
      </c>
      <c r="AD842" t="inlineStr">
        <is>
          <t>Nej</t>
        </is>
      </c>
      <c r="AE842" t="inlineStr">
        <is>
          <t>Nej</t>
        </is>
      </c>
      <c r="AF842" t="inlineStr">
        <is>
          <t>Ej behandlad</t>
        </is>
      </c>
      <c r="AG842" t="inlineStr">
        <is>
          <t>AUTO_GENERERAD. Verifiera citat mot kallfil.</t>
        </is>
      </c>
      <c r="AH842" t="inlineStr">
        <is>
          <t>MEDIUM</t>
        </is>
      </c>
      <c r="AI842" t="inlineStr">
        <is>
          <t>AUTO</t>
        </is>
      </c>
      <c r="AJ842" t="inlineStr">
        <is>
          <t>Nej</t>
        </is>
      </c>
      <c r="AK842" t="inlineStr"/>
      <c r="AL842" t="inlineStr"/>
      <c r="AM842" t="inlineStr"/>
      <c r="AN842" t="inlineStr"/>
      <c r="AO842" t="inlineStr">
        <is>
          <t>cmm4yurfq04i5cuqw1drt61jr</t>
        </is>
      </c>
      <c r="AP842" t="inlineStr">
        <is>
          <t>http://localhost:8787/api/admin/requirements/documents/cmm4yurfq04i5cuqw1drt61jr/view</t>
        </is>
      </c>
      <c r="AQ842">
        <f>HYPERLÄNK("http://localhost:8787/api/admin/requirements/documents/cmm4yurfq04i5cuqw1drt61jr/view";"Öppna PDF")</f>
        <v/>
      </c>
      <c r="AR842">
        <f>HYPERLINK("http://localhost:8787/api/admin/requirements/documents/cmm4yurfq04i5cuqw1drt61jr/view","Open PDF")</f>
        <v/>
      </c>
      <c r="AS842" t="inlineStr">
        <is>
          <t>cmm55w57p0004cuisfrtpqly8</t>
        </is>
      </c>
      <c r="AT842" t="inlineStr">
        <is>
          <t>cmm4xvu980000cuh4vj0usz09</t>
        </is>
      </c>
      <c r="AU842" t="inlineStr"/>
      <c r="AV842" t="inlineStr">
        <is>
          <t>Kommun</t>
        </is>
      </c>
      <c r="AW842" t="inlineStr"/>
      <c r="AX842" t="inlineStr">
        <is>
          <t>2025-10</t>
        </is>
      </c>
      <c r="AY842" t="inlineStr">
        <is>
          <t>Beslut</t>
        </is>
      </c>
      <c r="AZ842" t="inlineStr">
        <is>
          <t>2026-02-13</t>
        </is>
      </c>
      <c r="BA842" t="inlineStr">
        <is>
          <t>VGS-MH-2025-2444.pdf</t>
        </is>
      </c>
      <c r="BB842" t="inlineStr">
        <is>
          <t>Sv: till registrator</t>
        </is>
      </c>
      <c r="BC842" t="inlineStr">
        <is>
          <t>AUTO</t>
        </is>
      </c>
      <c r="BD842" t="inlineStr"/>
      <c r="BE842" t="inlineStr"/>
      <c r="BF842" t="inlineStr">
        <is>
          <t>AUTO_GENERERAD. Bekrafta metadata mot kallfil.</t>
        </is>
      </c>
      <c r="BG842">
        <f>HYPERLINK("C:\Users\jimmy\Desktop\Examens arbete\Kod\Ny mapp\remix_-copy-of-miljöbeslut.se-portal\VGS-MH-2025-2444.pdf", "Öppna PDF")</f>
        <v/>
      </c>
    </row>
    <row r="843">
      <c r="A843" t="inlineStr">
        <is>
          <t>KRAV-AUTO-000842</t>
        </is>
      </c>
      <c r="B843" t="inlineStr">
        <is>
          <t>ADMIN-INDEX-2026-02-27-00000000125C043F57453246863FE664CAFE6A3F0700950291EA24F0614FB6ACEDB12BF0E31D00000000010C0000950291EA24F0614FB6ACEDB12BF0E31D000073AF24000000</t>
        </is>
      </c>
      <c r="C843" t="inlineStr">
        <is>
          <t>cmm4yurew04h8cuqwn9vy6ttu</t>
        </is>
      </c>
      <c r="D843" t="inlineStr">
        <is>
          <t>http://localhost:8787/api/admin/requirements/documents/cmm4yurew04h8cuqwn9vy6ttu/view</t>
        </is>
      </c>
      <c r="E843">
        <f>HYPERLÄNK("http://localhost:8787/api/admin/requirements/documents/cmm4yurew04h8cuqwn9vy6ttu/view";"Öppna PDF")</f>
        <v/>
      </c>
      <c r="F843">
        <f>HYPERLINK("http://localhost:8787/api/admin/requirements/documents/cmm4yurew04h8cuqwn9vy6ttu/view","Open PDF")</f>
        <v/>
      </c>
      <c r="G843" t="inlineStr">
        <is>
          <t>cmm55w57p0004cuisfrtpqly8</t>
        </is>
      </c>
      <c r="H843" t="inlineStr">
        <is>
          <t>Beslutsvillkor</t>
        </is>
      </c>
      <c r="I843" t="inlineStr">
        <is>
          <t>LagringsvolymTid</t>
        </is>
      </c>
      <c r="J843" t="inlineStr">
        <is>
          <t>Maxmangd</t>
        </is>
      </c>
      <c r="K843" t="inlineStr">
        <is>
          <t>Mängden avfall som ska användas är 1000 ton.</t>
        </is>
      </c>
      <c r="L843" t="inlineStr">
        <is>
          <t>Mängden avfall som ska användas är 1000 ton.</t>
        </is>
      </c>
      <c r="M843" t="inlineStr">
        <is>
          <t>SKA</t>
        </is>
      </c>
      <c r="N843" t="inlineStr"/>
      <c r="O843" t="inlineStr"/>
      <c r="P843" t="inlineStr"/>
      <c r="Q843" t="inlineStr"/>
      <c r="R843" t="inlineStr">
        <is>
          <t>Alltid</t>
        </is>
      </c>
      <c r="S843" t="inlineStr"/>
      <c r="T843" t="inlineStr">
        <is>
          <t>212000</t>
        </is>
      </c>
      <c r="U843" t="n">
        <v>1000</v>
      </c>
      <c r="V843" t="inlineStr"/>
      <c r="W843" t="inlineStr">
        <is>
          <t>Nej</t>
        </is>
      </c>
      <c r="X843" t="inlineStr">
        <is>
          <t>Nej</t>
        </is>
      </c>
      <c r="Y843" t="inlineStr">
        <is>
          <t>Nej</t>
        </is>
      </c>
      <c r="Z843" t="inlineStr">
        <is>
          <t>Nej</t>
        </is>
      </c>
      <c r="AA843" t="n">
        <v>4</v>
      </c>
      <c r="AB843" t="inlineStr">
        <is>
          <t>Avfallsmangder och lagringstid</t>
        </is>
      </c>
      <c r="AC843" t="inlineStr">
        <is>
          <t>Avfallsforteckning</t>
        </is>
      </c>
      <c r="AD843" t="inlineStr">
        <is>
          <t>Nej</t>
        </is>
      </c>
      <c r="AE843" t="inlineStr">
        <is>
          <t>Nej</t>
        </is>
      </c>
      <c r="AF843" t="inlineStr">
        <is>
          <t>Ej behandlad</t>
        </is>
      </c>
      <c r="AG843" t="inlineStr">
        <is>
          <t>AUTO_GENERERAD. Verifiera citat mot kallfil.</t>
        </is>
      </c>
      <c r="AH843" t="inlineStr">
        <is>
          <t>MEDIUM</t>
        </is>
      </c>
      <c r="AI843" t="inlineStr">
        <is>
          <t>AUTO</t>
        </is>
      </c>
      <c r="AJ843" t="inlineStr">
        <is>
          <t>Nej</t>
        </is>
      </c>
      <c r="AK843" t="inlineStr"/>
      <c r="AL843" t="inlineStr"/>
      <c r="AM843" t="inlineStr"/>
      <c r="AN843" t="inlineStr"/>
      <c r="AO843" t="inlineStr">
        <is>
          <t>cmm4yurfq04i5cuqw1drt61jr</t>
        </is>
      </c>
      <c r="AP843" t="inlineStr">
        <is>
          <t>http://localhost:8787/api/admin/requirements/documents/cmm4yurfq04i5cuqw1drt61jr/view</t>
        </is>
      </c>
      <c r="AQ843">
        <f>HYPERLÄNK("http://localhost:8787/api/admin/requirements/documents/cmm4yurfq04i5cuqw1drt61jr/view";"Öppna PDF")</f>
        <v/>
      </c>
      <c r="AR843">
        <f>HYPERLINK("http://localhost:8787/api/admin/requirements/documents/cmm4yurfq04i5cuqw1drt61jr/view","Open PDF")</f>
        <v/>
      </c>
      <c r="AS843" t="inlineStr">
        <is>
          <t>cmm55w57p0004cuisfrtpqly8</t>
        </is>
      </c>
      <c r="AT843" t="inlineStr">
        <is>
          <t>cmm4xvu980000cuh4vj0usz09</t>
        </is>
      </c>
      <c r="AU843" t="inlineStr"/>
      <c r="AV843" t="inlineStr">
        <is>
          <t>Kommun</t>
        </is>
      </c>
      <c r="AW843" t="inlineStr"/>
      <c r="AX843" t="inlineStr">
        <is>
          <t>2025-10</t>
        </is>
      </c>
      <c r="AY843" t="inlineStr">
        <is>
          <t>Beslut</t>
        </is>
      </c>
      <c r="AZ843" t="inlineStr">
        <is>
          <t>2026-02-13</t>
        </is>
      </c>
      <c r="BA843" t="inlineStr">
        <is>
          <t>VGS-MH-2025-2444.pdf</t>
        </is>
      </c>
      <c r="BB843" t="inlineStr">
        <is>
          <t>Sv: till registrator</t>
        </is>
      </c>
      <c r="BC843" t="inlineStr">
        <is>
          <t>AUTO</t>
        </is>
      </c>
      <c r="BD843" t="inlineStr"/>
      <c r="BE843" t="inlineStr"/>
      <c r="BF843" t="inlineStr">
        <is>
          <t>AUTO_GENERERAD. Bekrafta metadata mot kallfil.</t>
        </is>
      </c>
      <c r="BG843">
        <f>HYPERLINK("C:\Users\jimmy\Desktop\Examens arbete\Kod\Ny mapp\remix_-copy-of-miljöbeslut.se-portal\VGS-MH-2025-2444.pdf", "Öppna PDF")</f>
        <v/>
      </c>
    </row>
    <row r="844">
      <c r="A844" t="inlineStr">
        <is>
          <t>KRAV-AUTO-000843</t>
        </is>
      </c>
      <c r="B844" t="inlineStr">
        <is>
          <t>ADMIN-INDEX-2026-02-27-00000000125C043F57453246863FE664CAFE6A3F0700950291EA24F0614FB6ACEDB12BF0E31D00000000010C0000950291EA24F0614FB6ACEDB12BF0E31D000073AF24000000</t>
        </is>
      </c>
      <c r="C844" t="inlineStr">
        <is>
          <t>cmm4yurew04h8cuqwn9vy6ttu</t>
        </is>
      </c>
      <c r="D844" t="inlineStr">
        <is>
          <t>http://localhost:8787/api/admin/requirements/documents/cmm4yurew04h8cuqwn9vy6ttu/view</t>
        </is>
      </c>
      <c r="E844">
        <f>HYPERLÄNK("http://localhost:8787/api/admin/requirements/documents/cmm4yurew04h8cuqwn9vy6ttu/view";"Öppna PDF")</f>
        <v/>
      </c>
      <c r="F844">
        <f>HYPERLINK("http://localhost:8787/api/admin/requirements/documents/cmm4yurew04h8cuqwn9vy6ttu/view","Open PDF")</f>
        <v/>
      </c>
      <c r="G844" t="inlineStr">
        <is>
          <t>cmm55w57p0004cuisfrtpqly8</t>
        </is>
      </c>
      <c r="H844" t="inlineStr">
        <is>
          <t>Beslutsvillkor</t>
        </is>
      </c>
      <c r="I844" t="inlineStr">
        <is>
          <t>DagvattenLakvatten</t>
        </is>
      </c>
      <c r="J844" t="inlineStr">
        <is>
          <t>Uppsamling</t>
        </is>
      </c>
      <c r="K844" t="inlineStr">
        <is>
          <t>Vid spill till avloppsnätet och/eller dagvattennätet ska Sandviken Energi vatten AB omedelbart kontaktas.</t>
        </is>
      </c>
      <c r="L844" t="inlineStr">
        <is>
          <t>Vid spill till avloppsnätet och/eller dagvattennätet ska Sandviken Energi vatten AB omedelbart kontaktas.</t>
        </is>
      </c>
      <c r="M844" t="inlineStr">
        <is>
          <t>SKA</t>
        </is>
      </c>
      <c r="N844" t="inlineStr"/>
      <c r="O844" t="inlineStr"/>
      <c r="P844" t="inlineStr"/>
      <c r="Q844" t="inlineStr"/>
      <c r="R844" t="inlineStr">
        <is>
          <t>Vid nederbord och avrinning</t>
        </is>
      </c>
      <c r="S844" t="inlineStr"/>
      <c r="T844" t="inlineStr">
        <is>
          <t>212000</t>
        </is>
      </c>
      <c r="U844" t="inlineStr"/>
      <c r="V844" t="inlineStr"/>
      <c r="W844" t="inlineStr">
        <is>
          <t>Nej</t>
        </is>
      </c>
      <c r="X844" t="inlineStr">
        <is>
          <t>Ja</t>
        </is>
      </c>
      <c r="Y844" t="inlineStr">
        <is>
          <t>Ja</t>
        </is>
      </c>
      <c r="Z844" t="inlineStr">
        <is>
          <t>Nej</t>
        </is>
      </c>
      <c r="AA844" t="n">
        <v>6</v>
      </c>
      <c r="AB844" t="inlineStr">
        <is>
          <t>Lakvattenhantering</t>
        </is>
      </c>
      <c r="AC844" t="inlineStr">
        <is>
          <t>Flodesschema dagvatten-lakvatten</t>
        </is>
      </c>
      <c r="AD844" t="inlineStr">
        <is>
          <t>Nej</t>
        </is>
      </c>
      <c r="AE844" t="inlineStr">
        <is>
          <t>Nej</t>
        </is>
      </c>
      <c r="AF844" t="inlineStr">
        <is>
          <t>Ej behandlad</t>
        </is>
      </c>
      <c r="AG844" t="inlineStr">
        <is>
          <t>AUTO_GENERERAD. Verifiera citat mot kallfil.</t>
        </is>
      </c>
      <c r="AH844" t="inlineStr">
        <is>
          <t>MEDIUM</t>
        </is>
      </c>
      <c r="AI844" t="inlineStr">
        <is>
          <t>AUTO</t>
        </is>
      </c>
      <c r="AJ844" t="inlineStr">
        <is>
          <t>Nej</t>
        </is>
      </c>
      <c r="AK844" t="inlineStr"/>
      <c r="AL844" t="inlineStr"/>
      <c r="AM844" t="inlineStr"/>
      <c r="AN844" t="inlineStr"/>
      <c r="AO844" t="inlineStr">
        <is>
          <t>cmm4yurfq04i5cuqw1drt61jr</t>
        </is>
      </c>
      <c r="AP844" t="inlineStr">
        <is>
          <t>http://localhost:8787/api/admin/requirements/documents/cmm4yurfq04i5cuqw1drt61jr/view</t>
        </is>
      </c>
      <c r="AQ844">
        <f>HYPERLÄNK("http://localhost:8787/api/admin/requirements/documents/cmm4yurfq04i5cuqw1drt61jr/view";"Öppna PDF")</f>
        <v/>
      </c>
      <c r="AR844">
        <f>HYPERLINK("http://localhost:8787/api/admin/requirements/documents/cmm4yurfq04i5cuqw1drt61jr/view","Open PDF")</f>
        <v/>
      </c>
      <c r="AS844" t="inlineStr">
        <is>
          <t>cmm55w57p0004cuisfrtpqly8</t>
        </is>
      </c>
      <c r="AT844" t="inlineStr">
        <is>
          <t>cmm4xvu980000cuh4vj0usz09</t>
        </is>
      </c>
      <c r="AU844" t="inlineStr"/>
      <c r="AV844" t="inlineStr">
        <is>
          <t>Kommun</t>
        </is>
      </c>
      <c r="AW844" t="inlineStr"/>
      <c r="AX844" t="inlineStr">
        <is>
          <t>2025-10</t>
        </is>
      </c>
      <c r="AY844" t="inlineStr">
        <is>
          <t>Beslut</t>
        </is>
      </c>
      <c r="AZ844" t="inlineStr">
        <is>
          <t>2026-02-13</t>
        </is>
      </c>
      <c r="BA844" t="inlineStr">
        <is>
          <t>VGS-MH-2025-2444.pdf</t>
        </is>
      </c>
      <c r="BB844" t="inlineStr">
        <is>
          <t>Sv: till registrator</t>
        </is>
      </c>
      <c r="BC844" t="inlineStr">
        <is>
          <t>AUTO</t>
        </is>
      </c>
      <c r="BD844" t="inlineStr"/>
      <c r="BE844" t="inlineStr"/>
      <c r="BF844" t="inlineStr">
        <is>
          <t>AUTO_GENERERAD. Bekrafta metadata mot kallfil.</t>
        </is>
      </c>
      <c r="BG844">
        <f>HYPERLINK("C:\Users\jimmy\Desktop\Examens arbete\Kod\Ny mapp\remix_-copy-of-miljöbeslut.se-portal\VGS-MH-2025-2444.pdf", "Öppna PDF")</f>
        <v/>
      </c>
    </row>
    <row r="845">
      <c r="A845" t="inlineStr">
        <is>
          <t>KRAV-AUTO-000844</t>
        </is>
      </c>
      <c r="B845" t="inlineStr">
        <is>
          <t>ADMIN-INDEX-2026-02-27-00000000125C043F57453246863FE664CAFE6A3F0700950291EA24F0614FB6ACEDB12BF0E31D00000000010C0000950291EA24F0614FB6ACEDB12BF0E31D00002087AE460000</t>
        </is>
      </c>
      <c r="C845" t="inlineStr">
        <is>
          <t>cmm4yupw50315cuqwjd2374n6</t>
        </is>
      </c>
      <c r="D845" t="inlineStr">
        <is>
          <t>http://localhost:8787/api/admin/requirements/documents/cmm4yupw50315cuqwjd2374n6/view</t>
        </is>
      </c>
      <c r="E845">
        <f>HYPERLÄNK("http://localhost:8787/api/admin/requirements/documents/cmm4yupw50315cuqwjd2374n6/view";"Öppna PDF")</f>
        <v/>
      </c>
      <c r="F845">
        <f>HYPERLINK("http://localhost:8787/api/admin/requirements/documents/cmm4yupw50315cuqwjd2374n6/view","Open PDF")</f>
        <v/>
      </c>
      <c r="G845" t="inlineStr">
        <is>
          <t>cmm55w57p0004cuisfrtpqly8</t>
        </is>
      </c>
      <c r="H845" t="inlineStr">
        <is>
          <t>Informationskrav</t>
        </is>
      </c>
      <c r="I845" t="inlineStr">
        <is>
          <t>DriftEgenkontroll</t>
        </is>
      </c>
      <c r="J845" t="inlineStr">
        <is>
          <t>Journalforing</t>
        </is>
      </c>
      <c r="K845" t="inlineStr">
        <is>
          <t>Provtagningsplanen ska godkännas av oss innan ni kan påbörja provtagningen.</t>
        </is>
      </c>
      <c r="L845" t="inlineStr">
        <is>
          <t>Provtagningsplanen ska godkännas av oss innan ni kan påbörja provtagningen.</t>
        </is>
      </c>
      <c r="M845" t="inlineStr">
        <is>
          <t>SKA</t>
        </is>
      </c>
      <c r="N845" t="inlineStr"/>
      <c r="O845" t="inlineStr"/>
      <c r="P845" t="inlineStr"/>
      <c r="Q845" t="inlineStr"/>
      <c r="R845" t="inlineStr">
        <is>
          <t>Lopande drift</t>
        </is>
      </c>
      <c r="S845" t="inlineStr"/>
      <c r="T845" t="inlineStr">
        <is>
          <t>60 60 00</t>
        </is>
      </c>
      <c r="U845" t="inlineStr"/>
      <c r="V845" t="inlineStr"/>
      <c r="W845" t="inlineStr">
        <is>
          <t>Nej</t>
        </is>
      </c>
      <c r="X845" t="inlineStr">
        <is>
          <t>Nej</t>
        </is>
      </c>
      <c r="Y845" t="inlineStr">
        <is>
          <t>Ja</t>
        </is>
      </c>
      <c r="Z845" t="inlineStr">
        <is>
          <t>Nej</t>
        </is>
      </c>
      <c r="AA845" t="n">
        <v>7</v>
      </c>
      <c r="AB845" t="inlineStr">
        <is>
          <t>Egenkontrollrutiner</t>
        </is>
      </c>
      <c r="AC845" t="inlineStr">
        <is>
          <t>Egenkontrollprogram</t>
        </is>
      </c>
      <c r="AD845" t="inlineStr">
        <is>
          <t>Nej</t>
        </is>
      </c>
      <c r="AE845" t="inlineStr">
        <is>
          <t>Nej</t>
        </is>
      </c>
      <c r="AF845" t="inlineStr">
        <is>
          <t>Ej behandlad</t>
        </is>
      </c>
      <c r="AG845" t="inlineStr">
        <is>
          <t>AUTO_GENERERAD. Verifiera citat mot kallfil.</t>
        </is>
      </c>
      <c r="AH845" t="inlineStr">
        <is>
          <t>MEDIUM</t>
        </is>
      </c>
      <c r="AI845" t="inlineStr">
        <is>
          <t>AUTO</t>
        </is>
      </c>
      <c r="AJ845" t="inlineStr">
        <is>
          <t>Nej</t>
        </is>
      </c>
      <c r="AK845" t="inlineStr"/>
      <c r="AL845" t="inlineStr"/>
      <c r="AM845" t="inlineStr"/>
      <c r="AN845" t="inlineStr"/>
      <c r="AO845" t="inlineStr">
        <is>
          <t>cmm4yupvw030wcuqwlg1cpc8c</t>
        </is>
      </c>
      <c r="AP845" t="inlineStr">
        <is>
          <t>http://localhost:8787/api/admin/requirements/documents/cmm4yupvw030wcuqwlg1cpc8c/view</t>
        </is>
      </c>
      <c r="AQ845">
        <f>HYPERLÄNK("http://localhost:8787/api/admin/requirements/documents/cmm4yupvw030wcuqwlg1cpc8c/view";"Öppna PDF")</f>
        <v/>
      </c>
      <c r="AR845">
        <f>HYPERLINK("http://localhost:8787/api/admin/requirements/documents/cmm4yupvw030wcuqwlg1cpc8c/view","Open PDF")</f>
        <v/>
      </c>
      <c r="AS845" t="inlineStr">
        <is>
          <t>cmm55w57p0004cuisfrtpqly8</t>
        </is>
      </c>
      <c r="AT845" t="inlineStr">
        <is>
          <t>cmm4xvu980000cuh4vj0usz09</t>
        </is>
      </c>
      <c r="AU845" t="inlineStr"/>
      <c r="AV845" t="inlineStr">
        <is>
          <t>Kommun</t>
        </is>
      </c>
      <c r="AW845" t="inlineStr"/>
      <c r="AX845" t="inlineStr">
        <is>
          <t>2013:251</t>
        </is>
      </c>
      <c r="AY845" t="inlineStr">
        <is>
          <t>Anmalan</t>
        </is>
      </c>
      <c r="AZ845" t="inlineStr">
        <is>
          <t>2026-02-04</t>
        </is>
      </c>
      <c r="BA845" t="inlineStr">
        <is>
          <t>Anmälan miljöfarlig verksamhet.pdf</t>
        </is>
      </c>
      <c r="BB845" t="inlineStr">
        <is>
          <t>Verksamhet i Tidaholm</t>
        </is>
      </c>
      <c r="BC845" t="inlineStr">
        <is>
          <t>AUTO</t>
        </is>
      </c>
      <c r="BD845" t="inlineStr"/>
      <c r="BE845" t="inlineStr"/>
      <c r="BF845" t="inlineStr">
        <is>
          <t>AUTO_GENERERAD. Bekrafta metadata mot kallfil.</t>
        </is>
      </c>
      <c r="BG845">
        <f>HYPERLINK("C:\Users\jimmy\Desktop\Examens arbete\Kod\Ny mapp\remix_-copy-of-miljöbeslut.se-portal\Anmälan miljöfarlig verksamhet.pdf", "Öppna PDF")</f>
        <v/>
      </c>
    </row>
    <row r="846">
      <c r="A846" t="inlineStr">
        <is>
          <t>KRAV-AUTO-000845</t>
        </is>
      </c>
      <c r="B846" t="inlineStr">
        <is>
          <t>ADMIN-INDEX-2026-02-27-00000000125C043F57453246863FE664CAFE6A3F0700950291EA24F0614FB6ACEDB12BF0E31D00000000010C0000950291EA24F0614FB6ACEDB12BF0E31D00002087AE460000</t>
        </is>
      </c>
      <c r="C846" t="inlineStr">
        <is>
          <t>cmm4yupw50315cuqwjd2374n6</t>
        </is>
      </c>
      <c r="D846" t="inlineStr">
        <is>
          <t>http://localhost:8787/api/admin/requirements/documents/cmm4yupw50315cuqwjd2374n6/view</t>
        </is>
      </c>
      <c r="E846">
        <f>HYPERLÄNK("http://localhost:8787/api/admin/requirements/documents/cmm4yupw50315cuqwjd2374n6/view";"Öppna PDF")</f>
        <v/>
      </c>
      <c r="F846">
        <f>HYPERLINK("http://localhost:8787/api/admin/requirements/documents/cmm4yupw50315cuqwjd2374n6/view","Open PDF")</f>
        <v/>
      </c>
      <c r="G846" t="inlineStr">
        <is>
          <t>cmm55w57p0004cuisfrtpqly8</t>
        </is>
      </c>
      <c r="H846" t="inlineStr">
        <is>
          <t>Informationskrav</t>
        </is>
      </c>
      <c r="I846" t="inlineStr">
        <is>
          <t>DagvattenLakvatten</t>
        </is>
      </c>
      <c r="J846" t="inlineStr">
        <is>
          <t>Uppsamling</t>
        </is>
      </c>
      <c r="K846" t="inlineStr">
        <is>
          <t>Information I samband med att ni väljer att avveckla verksamheten ska ni låta undersöka marken där asfalt hanterats samt dagvattendammarna och dess sediment vad gäller föroreningar.</t>
        </is>
      </c>
      <c r="L846" t="inlineStr">
        <is>
          <t>Information I samband med att ni väljer att avveckla verksamheten ska ni låta undersöka marken där asfalt hanterats samt dagvattendammarna och dess sediment vad gäller föroreningar.</t>
        </is>
      </c>
      <c r="M846" t="inlineStr">
        <is>
          <t>SKA</t>
        </is>
      </c>
      <c r="N846" t="inlineStr"/>
      <c r="O846" t="inlineStr"/>
      <c r="P846" t="inlineStr"/>
      <c r="Q846" t="inlineStr"/>
      <c r="R846" t="inlineStr">
        <is>
          <t>Vid nederbord och avrinning</t>
        </is>
      </c>
      <c r="S846" t="inlineStr"/>
      <c r="T846" t="inlineStr">
        <is>
          <t>60 60 00</t>
        </is>
      </c>
      <c r="U846" t="inlineStr"/>
      <c r="V846" t="inlineStr"/>
      <c r="W846" t="inlineStr">
        <is>
          <t>Nej</t>
        </is>
      </c>
      <c r="X846" t="inlineStr">
        <is>
          <t>Ja</t>
        </is>
      </c>
      <c r="Y846" t="inlineStr">
        <is>
          <t>Ja</t>
        </is>
      </c>
      <c r="Z846" t="inlineStr">
        <is>
          <t>Nej</t>
        </is>
      </c>
      <c r="AA846" t="n">
        <v>6</v>
      </c>
      <c r="AB846" t="inlineStr">
        <is>
          <t>Lakvattenhantering</t>
        </is>
      </c>
      <c r="AC846" t="inlineStr">
        <is>
          <t>Flodesschema dagvatten-lakvatten</t>
        </is>
      </c>
      <c r="AD846" t="inlineStr">
        <is>
          <t>Nej</t>
        </is>
      </c>
      <c r="AE846" t="inlineStr">
        <is>
          <t>Nej</t>
        </is>
      </c>
      <c r="AF846" t="inlineStr">
        <is>
          <t>Ej behandlad</t>
        </is>
      </c>
      <c r="AG846" t="inlineStr">
        <is>
          <t>AUTO_GENERERAD. Verifiera citat mot kallfil.</t>
        </is>
      </c>
      <c r="AH846" t="inlineStr">
        <is>
          <t>MEDIUM</t>
        </is>
      </c>
      <c r="AI846" t="inlineStr">
        <is>
          <t>AUTO</t>
        </is>
      </c>
      <c r="AJ846" t="inlineStr">
        <is>
          <t>Nej</t>
        </is>
      </c>
      <c r="AK846" t="inlineStr"/>
      <c r="AL846" t="inlineStr"/>
      <c r="AM846" t="inlineStr"/>
      <c r="AN846" t="inlineStr"/>
      <c r="AO846" t="inlineStr">
        <is>
          <t>cmm4yupvw030wcuqwlg1cpc8c</t>
        </is>
      </c>
      <c r="AP846" t="inlineStr">
        <is>
          <t>http://localhost:8787/api/admin/requirements/documents/cmm4yupvw030wcuqwlg1cpc8c/view</t>
        </is>
      </c>
      <c r="AQ846">
        <f>HYPERLÄNK("http://localhost:8787/api/admin/requirements/documents/cmm4yupvw030wcuqwlg1cpc8c/view";"Öppna PDF")</f>
        <v/>
      </c>
      <c r="AR846">
        <f>HYPERLINK("http://localhost:8787/api/admin/requirements/documents/cmm4yupvw030wcuqwlg1cpc8c/view","Open PDF")</f>
        <v/>
      </c>
      <c r="AS846" t="inlineStr">
        <is>
          <t>cmm55w57p0004cuisfrtpqly8</t>
        </is>
      </c>
      <c r="AT846" t="inlineStr">
        <is>
          <t>cmm4xvu980000cuh4vj0usz09</t>
        </is>
      </c>
      <c r="AU846" t="inlineStr"/>
      <c r="AV846" t="inlineStr">
        <is>
          <t>Kommun</t>
        </is>
      </c>
      <c r="AW846" t="inlineStr"/>
      <c r="AX846" t="inlineStr">
        <is>
          <t>2013:251</t>
        </is>
      </c>
      <c r="AY846" t="inlineStr">
        <is>
          <t>Anmalan</t>
        </is>
      </c>
      <c r="AZ846" t="inlineStr">
        <is>
          <t>2026-02-04</t>
        </is>
      </c>
      <c r="BA846" t="inlineStr">
        <is>
          <t>Anmälan miljöfarlig verksamhet.pdf</t>
        </is>
      </c>
      <c r="BB846" t="inlineStr">
        <is>
          <t>Verksamhet i Tidaholm</t>
        </is>
      </c>
      <c r="BC846" t="inlineStr">
        <is>
          <t>AUTO</t>
        </is>
      </c>
      <c r="BD846" t="inlineStr"/>
      <c r="BE846" t="inlineStr"/>
      <c r="BF846" t="inlineStr">
        <is>
          <t>AUTO_GENERERAD. Bekrafta metadata mot kallfil.</t>
        </is>
      </c>
      <c r="BG846">
        <f>HYPERLINK("C:\Users\jimmy\Desktop\Examens arbete\Kod\Ny mapp\remix_-copy-of-miljöbeslut.se-portal\Anmälan miljöfarlig verksamhet.pdf", "Öppna PDF")</f>
        <v/>
      </c>
    </row>
    <row r="847">
      <c r="A847" t="inlineStr">
        <is>
          <t>KRAV-AUTO-000846</t>
        </is>
      </c>
      <c r="B847" t="inlineStr">
        <is>
          <t>ADMIN-INDEX-2026-02-27-00000000125C043F57453246863FE664CAFE6A3F0700950291EA24F0614FB6ACEDB12BF0E31D00000000010C0000950291EA24F0614FB6ACEDB12BF0E31D00002087AE460000</t>
        </is>
      </c>
      <c r="C847" t="inlineStr">
        <is>
          <t>cmm4yupw50315cuqwjd2374n6</t>
        </is>
      </c>
      <c r="D847" t="inlineStr">
        <is>
          <t>http://localhost:8787/api/admin/requirements/documents/cmm4yupw50315cuqwjd2374n6/view</t>
        </is>
      </c>
      <c r="E847">
        <f>HYPERLÄNK("http://localhost:8787/api/admin/requirements/documents/cmm4yupw50315cuqwjd2374n6/view";"Öppna PDF")</f>
        <v/>
      </c>
      <c r="F847">
        <f>HYPERLINK("http://localhost:8787/api/admin/requirements/documents/cmm4yupw50315cuqwjd2374n6/view","Open PDF")</f>
        <v/>
      </c>
      <c r="G847" t="inlineStr">
        <is>
          <t>cmm55w57p0004cuisfrtpqly8</t>
        </is>
      </c>
      <c r="H847" t="inlineStr">
        <is>
          <t>Informationskrav</t>
        </is>
      </c>
      <c r="I847" t="inlineStr">
        <is>
          <t>MiljopaverkanForsiktighet</t>
        </is>
      </c>
      <c r="J847" t="inlineStr">
        <is>
          <t>Skyddsatgarder</t>
        </is>
      </c>
      <c r="K847" t="inlineStr">
        <is>
          <t>Enligt anmälan och dess kompletteringar ska ni mellanlagra avfall i form av asfalt och jordmassor.</t>
        </is>
      </c>
      <c r="L847" t="inlineStr">
        <is>
          <t>Enligt anmälan och dess kompletteringar ska ni mellanlagra avfall i form av asfalt och jordmassor.</t>
        </is>
      </c>
      <c r="M847" t="inlineStr">
        <is>
          <t>SKA</t>
        </is>
      </c>
      <c r="N847" t="inlineStr"/>
      <c r="O847" t="inlineStr"/>
      <c r="P847" t="inlineStr"/>
      <c r="Q847" t="inlineStr"/>
      <c r="R847" t="inlineStr">
        <is>
          <t>Alltid</t>
        </is>
      </c>
      <c r="S847" t="inlineStr"/>
      <c r="T847" t="inlineStr">
        <is>
          <t>60 60 00</t>
        </is>
      </c>
      <c r="U847" t="inlineStr"/>
      <c r="V847" t="inlineStr"/>
      <c r="W847" t="inlineStr">
        <is>
          <t>Nej</t>
        </is>
      </c>
      <c r="X847" t="inlineStr">
        <is>
          <t>Nej</t>
        </is>
      </c>
      <c r="Y847" t="inlineStr">
        <is>
          <t>Nej</t>
        </is>
      </c>
      <c r="Z847" t="inlineStr">
        <is>
          <t>Nej</t>
        </is>
      </c>
      <c r="AA847" t="n">
        <v>10</v>
      </c>
      <c r="AB847" t="inlineStr">
        <is>
          <t>Miljopaverkan och forsiktighetsmatt</t>
        </is>
      </c>
      <c r="AC847" t="inlineStr">
        <is>
          <t>Miljo-PM</t>
        </is>
      </c>
      <c r="AD847" t="inlineStr">
        <is>
          <t>Nej</t>
        </is>
      </c>
      <c r="AE847" t="inlineStr">
        <is>
          <t>Nej</t>
        </is>
      </c>
      <c r="AF847" t="inlineStr">
        <is>
          <t>Ej behandlad</t>
        </is>
      </c>
      <c r="AG847" t="inlineStr">
        <is>
          <t>AUTO_GENERERAD. Verifiera citat mot kallfil.</t>
        </is>
      </c>
      <c r="AH847" t="inlineStr">
        <is>
          <t>MEDIUM</t>
        </is>
      </c>
      <c r="AI847" t="inlineStr">
        <is>
          <t>AUTO</t>
        </is>
      </c>
      <c r="AJ847" t="inlineStr">
        <is>
          <t>Nej</t>
        </is>
      </c>
      <c r="AK847" t="inlineStr"/>
      <c r="AL847" t="inlineStr"/>
      <c r="AM847" t="inlineStr"/>
      <c r="AN847" t="inlineStr"/>
      <c r="AO847" t="inlineStr">
        <is>
          <t>cmm4yupvw030wcuqwlg1cpc8c</t>
        </is>
      </c>
      <c r="AP847" t="inlineStr">
        <is>
          <t>http://localhost:8787/api/admin/requirements/documents/cmm4yupvw030wcuqwlg1cpc8c/view</t>
        </is>
      </c>
      <c r="AQ847">
        <f>HYPERLÄNK("http://localhost:8787/api/admin/requirements/documents/cmm4yupvw030wcuqwlg1cpc8c/view";"Öppna PDF")</f>
        <v/>
      </c>
      <c r="AR847">
        <f>HYPERLINK("http://localhost:8787/api/admin/requirements/documents/cmm4yupvw030wcuqwlg1cpc8c/view","Open PDF")</f>
        <v/>
      </c>
      <c r="AS847" t="inlineStr">
        <is>
          <t>cmm55w57p0004cuisfrtpqly8</t>
        </is>
      </c>
      <c r="AT847" t="inlineStr">
        <is>
          <t>cmm4xvu980000cuh4vj0usz09</t>
        </is>
      </c>
      <c r="AU847" t="inlineStr"/>
      <c r="AV847" t="inlineStr">
        <is>
          <t>Kommun</t>
        </is>
      </c>
      <c r="AW847" t="inlineStr"/>
      <c r="AX847" t="inlineStr">
        <is>
          <t>2013:251</t>
        </is>
      </c>
      <c r="AY847" t="inlineStr">
        <is>
          <t>Anmalan</t>
        </is>
      </c>
      <c r="AZ847" t="inlineStr">
        <is>
          <t>2026-02-04</t>
        </is>
      </c>
      <c r="BA847" t="inlineStr">
        <is>
          <t>Anmälan miljöfarlig verksamhet.pdf</t>
        </is>
      </c>
      <c r="BB847" t="inlineStr">
        <is>
          <t>Verksamhet i Tidaholm</t>
        </is>
      </c>
      <c r="BC847" t="inlineStr">
        <is>
          <t>AUTO</t>
        </is>
      </c>
      <c r="BD847" t="inlineStr"/>
      <c r="BE847" t="inlineStr"/>
      <c r="BF847" t="inlineStr">
        <is>
          <t>AUTO_GENERERAD. Bekrafta metadata mot kallfil.</t>
        </is>
      </c>
      <c r="BG847">
        <f>HYPERLINK("C:\Users\jimmy\Desktop\Examens arbete\Kod\Ny mapp\remix_-copy-of-miljöbeslut.se-portal\Anmälan miljöfarlig verksamhet.pdf", "Öppna PDF")</f>
        <v/>
      </c>
    </row>
    <row r="848">
      <c r="A848" t="inlineStr">
        <is>
          <t>KRAV-AUTO-000847</t>
        </is>
      </c>
      <c r="B848" t="inlineStr">
        <is>
          <t>ADMIN-INDEX-2026-02-27-00000000125C043F57453246863FE664CAFE6A3F0700950291EA24F0614FB6ACEDB12BF0E31D00000000010C0000950291EA24F0614FB6ACEDB12BF0E31D00002087AE460000</t>
        </is>
      </c>
      <c r="C848" t="inlineStr">
        <is>
          <t>cmm4yupw20312cuqwbg4qnrgx</t>
        </is>
      </c>
      <c r="D848" t="inlineStr">
        <is>
          <t>http://localhost:8787/api/admin/requirements/documents/cmm4yupw20312cuqwbg4qnrgx/view</t>
        </is>
      </c>
      <c r="E848">
        <f>HYPERLÄNK("http://localhost:8787/api/admin/requirements/documents/cmm4yupw20312cuqwbg4qnrgx/view";"Öppna PDF")</f>
        <v/>
      </c>
      <c r="F848">
        <f>HYPERLINK("http://localhost:8787/api/admin/requirements/documents/cmm4yupw20312cuqwbg4qnrgx/view","Open PDF")</f>
        <v/>
      </c>
      <c r="G848" t="inlineStr">
        <is>
          <t>cmm55w57p0004cuisfrtpqly8</t>
        </is>
      </c>
      <c r="H848" t="inlineStr">
        <is>
          <t>Beslutsvillkor</t>
        </is>
      </c>
      <c r="I848" t="inlineStr">
        <is>
          <t>Ytkonstruktion</t>
        </is>
      </c>
      <c r="J848" t="inlineStr">
        <is>
          <t>Tat yta</t>
        </is>
      </c>
      <c r="K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8" t="inlineStr">
        <is>
          <t>SKA</t>
        </is>
      </c>
      <c r="N848" t="inlineStr"/>
      <c r="O848" t="inlineStr"/>
      <c r="P848" t="inlineStr"/>
      <c r="Q848" t="inlineStr"/>
      <c r="R848" t="inlineStr">
        <is>
          <t>Vid mellanlagring av avfall</t>
        </is>
      </c>
      <c r="S848" t="inlineStr"/>
      <c r="T848" t="inlineStr">
        <is>
          <t>2023 07</t>
        </is>
      </c>
      <c r="U848" t="inlineStr"/>
      <c r="V848" t="inlineStr"/>
      <c r="W848" t="inlineStr">
        <is>
          <t>Ja</t>
        </is>
      </c>
      <c r="X848" t="inlineStr">
        <is>
          <t>Nej</t>
        </is>
      </c>
      <c r="Y848" t="inlineStr">
        <is>
          <t>Nej</t>
        </is>
      </c>
      <c r="Z848" t="inlineStr">
        <is>
          <t>Nej</t>
        </is>
      </c>
      <c r="AA848" t="n">
        <v>5</v>
      </c>
      <c r="AB848" t="inlineStr">
        <is>
          <t>Teknisk beskrivning av platta</t>
        </is>
      </c>
      <c r="AC848" t="inlineStr">
        <is>
          <t>Teknisk ritning platta</t>
        </is>
      </c>
      <c r="AD848" t="inlineStr">
        <is>
          <t>Nej</t>
        </is>
      </c>
      <c r="AE848" t="inlineStr">
        <is>
          <t>Nej</t>
        </is>
      </c>
      <c r="AF848" t="inlineStr">
        <is>
          <t>Ej behandlad</t>
        </is>
      </c>
      <c r="AG848" t="inlineStr">
        <is>
          <t>AUTO_GENERERAD. Verifiera citat mot kallfil.</t>
        </is>
      </c>
      <c r="AH848" t="inlineStr">
        <is>
          <t>MEDIUM</t>
        </is>
      </c>
      <c r="AI848" t="inlineStr">
        <is>
          <t>AUTO</t>
        </is>
      </c>
      <c r="AJ848" t="inlineStr">
        <is>
          <t>Nej</t>
        </is>
      </c>
      <c r="AK848" t="inlineStr"/>
      <c r="AL848" t="inlineStr"/>
      <c r="AM848" t="inlineStr"/>
      <c r="AN848" t="inlineStr"/>
      <c r="AO848" t="inlineStr">
        <is>
          <t>cmm4yupvw030wcuqwlg1cpc8c</t>
        </is>
      </c>
      <c r="AP848" t="inlineStr">
        <is>
          <t>http://localhost:8787/api/admin/requirements/documents/cmm4yupvw030wcuqwlg1cpc8c/view</t>
        </is>
      </c>
      <c r="AQ848">
        <f>HYPERLÄNK("http://localhost:8787/api/admin/requirements/documents/cmm4yupvw030wcuqwlg1cpc8c/view";"Öppna PDF")</f>
        <v/>
      </c>
      <c r="AR848">
        <f>HYPERLINK("http://localhost:8787/api/admin/requirements/documents/cmm4yupvw030wcuqwlg1cpc8c/view","Open PDF")</f>
        <v/>
      </c>
      <c r="AS848" t="inlineStr">
        <is>
          <t>cmm55w57p0004cuisfrtpqly8</t>
        </is>
      </c>
      <c r="AT848" t="inlineStr">
        <is>
          <t>cmm4xvu980000cuh4vj0usz09</t>
        </is>
      </c>
      <c r="AU848" t="inlineStr"/>
      <c r="AV848" t="inlineStr">
        <is>
          <t>Kommun</t>
        </is>
      </c>
      <c r="AW848" t="inlineStr"/>
      <c r="AX848" t="inlineStr">
        <is>
          <t>2013:251</t>
        </is>
      </c>
      <c r="AY848" t="inlineStr">
        <is>
          <t>Anmalan</t>
        </is>
      </c>
      <c r="AZ848" t="inlineStr">
        <is>
          <t>2026-02-04</t>
        </is>
      </c>
      <c r="BA848" t="inlineStr">
        <is>
          <t>Anmälan miljöfarlig verksamhet.pdf</t>
        </is>
      </c>
      <c r="BB848" t="inlineStr">
        <is>
          <t>Verksamhet i Tidaholm</t>
        </is>
      </c>
      <c r="BC848" t="inlineStr">
        <is>
          <t>AUTO</t>
        </is>
      </c>
      <c r="BD848" t="inlineStr"/>
      <c r="BE848" t="inlineStr"/>
      <c r="BF848" t="inlineStr">
        <is>
          <t>AUTO_GENERERAD. Bekrafta metadata mot kallfil.</t>
        </is>
      </c>
      <c r="BG848">
        <f>HYPERLINK("C:\Users\jimmy\Desktop\Examens arbete\Kod\Ny mapp\remix_-copy-of-miljöbeslut.se-portal\Anmälan miljöfarlig verksamhet.pdf", "Öppna PDF")</f>
        <v/>
      </c>
    </row>
    <row r="849">
      <c r="A849" t="inlineStr">
        <is>
          <t>KRAV-AUTO-000848</t>
        </is>
      </c>
      <c r="B849" t="inlineStr">
        <is>
          <t>ADMIN-INDEX-2026-02-27-00000000125C043F57453246863FE664CAFE6A3F0700950291EA24F0614FB6ACEDB12BF0E31D00000000010C0000950291EA24F0614FB6ACEDB12BF0E31D00002087AE460000</t>
        </is>
      </c>
      <c r="C849" t="inlineStr">
        <is>
          <t>cmm4yupvz030zcuqwfqqjksi7</t>
        </is>
      </c>
      <c r="D849" t="inlineStr">
        <is>
          <t>http://localhost:8787/api/admin/requirements/documents/cmm4yupvz030zcuqwfqqjksi7/view</t>
        </is>
      </c>
      <c r="E849">
        <f>HYPERLÄNK("http://localhost:8787/api/admin/requirements/documents/cmm4yupvz030zcuqwfqqjksi7/view";"Öppna PDF")</f>
        <v/>
      </c>
      <c r="F849">
        <f>HYPERLINK("http://localhost:8787/api/admin/requirements/documents/cmm4yupvz030zcuqwfqqjksi7/view","Open PDF")</f>
        <v/>
      </c>
      <c r="G849" t="inlineStr">
        <is>
          <t>cmm55w57p0004cuisfrtpqly8</t>
        </is>
      </c>
      <c r="H849" t="inlineStr">
        <is>
          <t>Kompletteringskrav</t>
        </is>
      </c>
      <c r="I849" t="inlineStr">
        <is>
          <t>DagvattenLakvatten</t>
        </is>
      </c>
      <c r="J849" t="inlineStr">
        <is>
          <t>Uppsamling</t>
        </is>
      </c>
      <c r="K849" t="inlineStr">
        <is>
          <t>Hur kommer lakvatten och avrinning från nederbörd vid asfaltslagringen tas omhand?</t>
        </is>
      </c>
      <c r="L849" t="inlineStr">
        <is>
          <t>Hur kommer lakvatten och avrinning från nederbörd vid asfaltslagringen tas omhand?</t>
        </is>
      </c>
      <c r="M849" t="inlineStr">
        <is>
          <t>BOR</t>
        </is>
      </c>
      <c r="N849" t="inlineStr"/>
      <c r="O849" t="inlineStr"/>
      <c r="P849" t="inlineStr"/>
      <c r="Q849" t="inlineStr"/>
      <c r="R849" t="inlineStr">
        <is>
          <t>Vid nederbord och avrinning</t>
        </is>
      </c>
      <c r="S849" t="inlineStr"/>
      <c r="T849" t="inlineStr">
        <is>
          <t>60 60 23</t>
        </is>
      </c>
      <c r="U849" t="inlineStr"/>
      <c r="V849" t="inlineStr"/>
      <c r="W849" t="inlineStr">
        <is>
          <t>Nej</t>
        </is>
      </c>
      <c r="X849" t="inlineStr">
        <is>
          <t>Ja</t>
        </is>
      </c>
      <c r="Y849" t="inlineStr">
        <is>
          <t>Ja</t>
        </is>
      </c>
      <c r="Z849" t="inlineStr">
        <is>
          <t>Nej</t>
        </is>
      </c>
      <c r="AA849" t="n">
        <v>6</v>
      </c>
      <c r="AB849" t="inlineStr">
        <is>
          <t>Lakvattenhantering</t>
        </is>
      </c>
      <c r="AC849" t="inlineStr">
        <is>
          <t>Flodesschema dagvatten-lakvatten</t>
        </is>
      </c>
      <c r="AD849" t="inlineStr">
        <is>
          <t>Nej</t>
        </is>
      </c>
      <c r="AE849" t="inlineStr">
        <is>
          <t>Nej</t>
        </is>
      </c>
      <c r="AF849" t="inlineStr">
        <is>
          <t>Ej behandlad</t>
        </is>
      </c>
      <c r="AG849" t="inlineStr">
        <is>
          <t>AUTO_GENERERAD. Verifiera citat mot kallfil.</t>
        </is>
      </c>
      <c r="AH849" t="inlineStr">
        <is>
          <t>MEDIUM</t>
        </is>
      </c>
      <c r="AI849" t="inlineStr">
        <is>
          <t>AUTO</t>
        </is>
      </c>
      <c r="AJ849" t="inlineStr">
        <is>
          <t>Nej</t>
        </is>
      </c>
      <c r="AK849" t="inlineStr"/>
      <c r="AL849" t="inlineStr"/>
      <c r="AM849" t="inlineStr"/>
      <c r="AN849" t="inlineStr"/>
      <c r="AO849" t="inlineStr">
        <is>
          <t>cmm4yupvw030wcuqwlg1cpc8c</t>
        </is>
      </c>
      <c r="AP849" t="inlineStr">
        <is>
          <t>http://localhost:8787/api/admin/requirements/documents/cmm4yupvw030wcuqwlg1cpc8c/view</t>
        </is>
      </c>
      <c r="AQ849">
        <f>HYPERLÄNK("http://localhost:8787/api/admin/requirements/documents/cmm4yupvw030wcuqwlg1cpc8c/view";"Öppna PDF")</f>
        <v/>
      </c>
      <c r="AR849">
        <f>HYPERLINK("http://localhost:8787/api/admin/requirements/documents/cmm4yupvw030wcuqwlg1cpc8c/view","Open PDF")</f>
        <v/>
      </c>
      <c r="AS849" t="inlineStr">
        <is>
          <t>cmm55w57p0004cuisfrtpqly8</t>
        </is>
      </c>
      <c r="AT849" t="inlineStr">
        <is>
          <t>cmm4xvu980000cuh4vj0usz09</t>
        </is>
      </c>
      <c r="AU849" t="inlineStr"/>
      <c r="AV849" t="inlineStr">
        <is>
          <t>Kommun</t>
        </is>
      </c>
      <c r="AW849" t="inlineStr"/>
      <c r="AX849" t="inlineStr">
        <is>
          <t>2013:251</t>
        </is>
      </c>
      <c r="AY849" t="inlineStr">
        <is>
          <t>Anmalan</t>
        </is>
      </c>
      <c r="AZ849" t="inlineStr">
        <is>
          <t>2026-02-04</t>
        </is>
      </c>
      <c r="BA849" t="inlineStr">
        <is>
          <t>Anmälan miljöfarlig verksamhet.pdf</t>
        </is>
      </c>
      <c r="BB849" t="inlineStr">
        <is>
          <t>Verksamhet i Tidaholm</t>
        </is>
      </c>
      <c r="BC849" t="inlineStr">
        <is>
          <t>AUTO</t>
        </is>
      </c>
      <c r="BD849" t="inlineStr"/>
      <c r="BE849" t="inlineStr"/>
      <c r="BF849" t="inlineStr">
        <is>
          <t>AUTO_GENERERAD. Bekrafta metadata mot kallfil.</t>
        </is>
      </c>
      <c r="BG849">
        <f>HYPERLINK("C:\Users\jimmy\Desktop\Examens arbete\Kod\Ny mapp\remix_-copy-of-miljöbeslut.se-portal\Anmälan miljöfarlig verksamhet.pdf", "Öppna PDF")</f>
        <v/>
      </c>
    </row>
    <row r="850">
      <c r="A850" t="inlineStr">
        <is>
          <t>KRAV-AUTO-000849</t>
        </is>
      </c>
      <c r="B850" t="inlineStr">
        <is>
          <t>ADMIN-INDEX-2026-02-27-00000000125C043F57453246863FE664CAFE6A3F0700950291EA24F0614FB6ACEDB12BF0E31D00000000010C0000950291EA24F0614FB6ACEDB12BF0E31D000073AF24000000</t>
        </is>
      </c>
      <c r="C850" t="inlineStr">
        <is>
          <t>cmm4yuret04h5cuqwh1h0330u</t>
        </is>
      </c>
      <c r="D850" t="inlineStr">
        <is>
          <t>http://localhost:8787/api/admin/requirements/documents/cmm4yuret04h5cuqwh1h0330u/view</t>
        </is>
      </c>
      <c r="E850">
        <f>HYPERLÄNK("http://localhost:8787/api/admin/requirements/documents/cmm4yuret04h5cuqwh1h0330u/view";"Öppna PDF")</f>
        <v/>
      </c>
      <c r="F850">
        <f>HYPERLINK("http://localhost:8787/api/admin/requirements/documents/cmm4yuret04h5cuqwh1h0330u/view","Open PDF")</f>
        <v/>
      </c>
      <c r="G850" t="inlineStr">
        <is>
          <t>cmm55w57p0004cuisfrtpqly8</t>
        </is>
      </c>
      <c r="H850" t="inlineStr">
        <is>
          <t>Beslutsvillkor</t>
        </is>
      </c>
      <c r="I850" t="inlineStr">
        <is>
          <t>DagvattenLakvatten</t>
        </is>
      </c>
      <c r="J850" t="inlineStr">
        <is>
          <t>Uppsamling</t>
        </is>
      </c>
      <c r="K850" t="inlineStr">
        <is>
          <t>Krav i föreläggandet angående invallning av kemikalier och farligt avfall, uppsamling av eventuellt spill samt tillgång till absorptionsmedel beslutas med hänvisning till 2 kap.</t>
        </is>
      </c>
      <c r="L850" t="inlineStr">
        <is>
          <t>Krav i föreläggandet angående invallning av kemikalier och farligt avfall, uppsamling av eventuellt spill samt tillgång till absorptionsmedel beslutas med hänvisning till 2 kap.</t>
        </is>
      </c>
      <c r="M850" t="inlineStr">
        <is>
          <t>INFO</t>
        </is>
      </c>
      <c r="N850" t="inlineStr"/>
      <c r="O850" t="inlineStr"/>
      <c r="P850" t="inlineStr">
        <is>
          <t>Arlig</t>
        </is>
      </c>
      <c r="Q850" t="inlineStr">
        <is>
          <t>Forelaggande vid brist</t>
        </is>
      </c>
      <c r="R850" t="inlineStr">
        <is>
          <t>Vid nederbord och avrinning</t>
        </is>
      </c>
      <c r="S850" t="inlineStr"/>
      <c r="T850" t="inlineStr">
        <is>
          <t>24 19 28</t>
        </is>
      </c>
      <c r="U850" t="inlineStr"/>
      <c r="V850" t="inlineStr"/>
      <c r="W850" t="inlineStr">
        <is>
          <t>Nej</t>
        </is>
      </c>
      <c r="X850" t="inlineStr">
        <is>
          <t>Ja</t>
        </is>
      </c>
      <c r="Y850" t="inlineStr">
        <is>
          <t>Ja</t>
        </is>
      </c>
      <c r="Z850" t="inlineStr">
        <is>
          <t>Nej</t>
        </is>
      </c>
      <c r="AA850" t="n">
        <v>6</v>
      </c>
      <c r="AB850" t="inlineStr">
        <is>
          <t>Lakvattenhantering</t>
        </is>
      </c>
      <c r="AC850" t="inlineStr">
        <is>
          <t>Flodesschema dagvatten-lakvatten</t>
        </is>
      </c>
      <c r="AD850" t="inlineStr">
        <is>
          <t>Nej</t>
        </is>
      </c>
      <c r="AE850" t="inlineStr">
        <is>
          <t>Nej</t>
        </is>
      </c>
      <c r="AF850" t="inlineStr">
        <is>
          <t>Ej behandlad</t>
        </is>
      </c>
      <c r="AG850" t="inlineStr">
        <is>
          <t>AUTO_GENERERAD. Verifiera citat mot kallfil.</t>
        </is>
      </c>
      <c r="AH850" t="inlineStr">
        <is>
          <t>MEDIUM</t>
        </is>
      </c>
      <c r="AI850" t="inlineStr">
        <is>
          <t>AUTO</t>
        </is>
      </c>
      <c r="AJ850" t="inlineStr">
        <is>
          <t>Nej</t>
        </is>
      </c>
      <c r="AK850" t="inlineStr"/>
      <c r="AL850" t="inlineStr"/>
      <c r="AM850" t="inlineStr"/>
      <c r="AN850" t="inlineStr"/>
      <c r="AO850" t="inlineStr">
        <is>
          <t>cmm4yurfq04i5cuqw1drt61jr</t>
        </is>
      </c>
      <c r="AP850" t="inlineStr">
        <is>
          <t>http://localhost:8787/api/admin/requirements/documents/cmm4yurfq04i5cuqw1drt61jr/view</t>
        </is>
      </c>
      <c r="AQ850">
        <f>HYPERLÄNK("http://localhost:8787/api/admin/requirements/documents/cmm4yurfq04i5cuqw1drt61jr/view";"Öppna PDF")</f>
        <v/>
      </c>
      <c r="AR850">
        <f>HYPERLINK("http://localhost:8787/api/admin/requirements/documents/cmm4yurfq04i5cuqw1drt61jr/view","Open PDF")</f>
        <v/>
      </c>
      <c r="AS850" t="inlineStr">
        <is>
          <t>cmm55w57p0004cuisfrtpqly8</t>
        </is>
      </c>
      <c r="AT850" t="inlineStr">
        <is>
          <t>cmm4xvu980000cuh4vj0usz09</t>
        </is>
      </c>
      <c r="AU850" t="inlineStr"/>
      <c r="AV850" t="inlineStr">
        <is>
          <t>Kommun</t>
        </is>
      </c>
      <c r="AW850" t="inlineStr"/>
      <c r="AX850" t="inlineStr">
        <is>
          <t>2025-10</t>
        </is>
      </c>
      <c r="AY850" t="inlineStr">
        <is>
          <t>Beslut</t>
        </is>
      </c>
      <c r="AZ850" t="inlineStr">
        <is>
          <t>2026-02-13</t>
        </is>
      </c>
      <c r="BA850" t="inlineStr">
        <is>
          <t>VGS-MH-2025-2444.pdf</t>
        </is>
      </c>
      <c r="BB850" t="inlineStr">
        <is>
          <t>Sv: till registrator</t>
        </is>
      </c>
      <c r="BC850" t="inlineStr">
        <is>
          <t>AUTO</t>
        </is>
      </c>
      <c r="BD850" t="inlineStr"/>
      <c r="BE850" t="inlineStr"/>
      <c r="BF850" t="inlineStr">
        <is>
          <t>AUTO_GENERERAD. Bekrafta metadata mot kallfil.</t>
        </is>
      </c>
      <c r="BG850">
        <f>HYPERLINK("C:\Users\jimmy\Desktop\Examens arbete\Kod\Ny mapp\remix_-copy-of-miljöbeslut.se-portal\VGS-MH-2025-2444.pdf", "Öppna PDF")</f>
        <v/>
      </c>
    </row>
    <row r="851">
      <c r="A851" t="inlineStr">
        <is>
          <t>KRAV-AUTO-000850</t>
        </is>
      </c>
      <c r="B851" t="inlineStr">
        <is>
          <t>ADMIN-INDEX-2026-02-27-00000000125C043F57453246863FE664CAFE6A3F0700950291EA24F0614FB6ACEDB12BF0E31D00000000010C0000950291EA24F0614FB6ACEDB12BF0E31D000073AF24000000</t>
        </is>
      </c>
      <c r="C851" t="inlineStr">
        <is>
          <t>cmm4yuret04h5cuqwh1h0330u</t>
        </is>
      </c>
      <c r="D851" t="inlineStr">
        <is>
          <t>http://localhost:8787/api/admin/requirements/documents/cmm4yuret04h5cuqwh1h0330u/view</t>
        </is>
      </c>
      <c r="E851">
        <f>HYPERLÄNK("http://localhost:8787/api/admin/requirements/documents/cmm4yuret04h5cuqwh1h0330u/view";"Öppna PDF")</f>
        <v/>
      </c>
      <c r="F851">
        <f>HYPERLINK("http://localhost:8787/api/admin/requirements/documents/cmm4yuret04h5cuqwh1h0330u/view","Open PDF")</f>
        <v/>
      </c>
      <c r="G851" t="inlineStr">
        <is>
          <t>cmm55w57p0004cuisfrtpqly8</t>
        </is>
      </c>
      <c r="H851" t="inlineStr">
        <is>
          <t>Beslutsvillkor</t>
        </is>
      </c>
      <c r="I851" t="inlineStr">
        <is>
          <t>Riskhantering</t>
        </is>
      </c>
      <c r="J851" t="inlineStr">
        <is>
          <t>Riskkontroll</t>
        </is>
      </c>
      <c r="K851" t="inlineStr">
        <is>
          <t>Verksamhetsområdet ska utformas så att risken för att utomstående kan lämna avfall på upplaget minimeras.</t>
        </is>
      </c>
      <c r="L851" t="inlineStr">
        <is>
          <t>Verksamhetsområdet ska utformas så att risken för att utomstående kan lämna avfall på upplaget minimeras.</t>
        </is>
      </c>
      <c r="M851" t="inlineStr">
        <is>
          <t>SKA</t>
        </is>
      </c>
      <c r="N851" t="inlineStr"/>
      <c r="O851" t="inlineStr"/>
      <c r="P851" t="inlineStr"/>
      <c r="Q851" t="inlineStr"/>
      <c r="R851" t="inlineStr">
        <is>
          <t>Vid risk for incident</t>
        </is>
      </c>
      <c r="S851" t="inlineStr"/>
      <c r="T851" t="inlineStr">
        <is>
          <t>24 19 28</t>
        </is>
      </c>
      <c r="U851" t="inlineStr"/>
      <c r="V851" t="inlineStr"/>
      <c r="W851" t="inlineStr">
        <is>
          <t>Nej</t>
        </is>
      </c>
      <c r="X851" t="inlineStr">
        <is>
          <t>Nej</t>
        </is>
      </c>
      <c r="Y851" t="inlineStr">
        <is>
          <t>Ja</t>
        </is>
      </c>
      <c r="Z851" t="inlineStr">
        <is>
          <t>Ja</t>
        </is>
      </c>
      <c r="AA851" t="n">
        <v>8</v>
      </c>
      <c r="AB851" t="inlineStr">
        <is>
          <t>Riskhantering</t>
        </is>
      </c>
      <c r="AC851" t="inlineStr">
        <is>
          <t>Risk-PM</t>
        </is>
      </c>
      <c r="AD851" t="inlineStr">
        <is>
          <t>Nej</t>
        </is>
      </c>
      <c r="AE851" t="inlineStr">
        <is>
          <t>Nej</t>
        </is>
      </c>
      <c r="AF851" t="inlineStr">
        <is>
          <t>Ej behandlad</t>
        </is>
      </c>
      <c r="AG851" t="inlineStr">
        <is>
          <t>AUTO_GENERERAD. Verifiera citat mot kallfil.</t>
        </is>
      </c>
      <c r="AH851" t="inlineStr">
        <is>
          <t>MEDIUM</t>
        </is>
      </c>
      <c r="AI851" t="inlineStr">
        <is>
          <t>AUTO</t>
        </is>
      </c>
      <c r="AJ851" t="inlineStr">
        <is>
          <t>Nej</t>
        </is>
      </c>
      <c r="AK851" t="inlineStr"/>
      <c r="AL851" t="inlineStr"/>
      <c r="AM851" t="inlineStr"/>
      <c r="AN851" t="inlineStr"/>
      <c r="AO851" t="inlineStr">
        <is>
          <t>cmm4yurfq04i5cuqw1drt61jr</t>
        </is>
      </c>
      <c r="AP851" t="inlineStr">
        <is>
          <t>http://localhost:8787/api/admin/requirements/documents/cmm4yurfq04i5cuqw1drt61jr/view</t>
        </is>
      </c>
      <c r="AQ851">
        <f>HYPERLÄNK("http://localhost:8787/api/admin/requirements/documents/cmm4yurfq04i5cuqw1drt61jr/view";"Öppna PDF")</f>
        <v/>
      </c>
      <c r="AR851">
        <f>HYPERLINK("http://localhost:8787/api/admin/requirements/documents/cmm4yurfq04i5cuqw1drt61jr/view","Open PDF")</f>
        <v/>
      </c>
      <c r="AS851" t="inlineStr">
        <is>
          <t>cmm55w57p0004cuisfrtpqly8</t>
        </is>
      </c>
      <c r="AT851" t="inlineStr">
        <is>
          <t>cmm4xvu980000cuh4vj0usz09</t>
        </is>
      </c>
      <c r="AU851" t="inlineStr"/>
      <c r="AV851" t="inlineStr">
        <is>
          <t>Kommun</t>
        </is>
      </c>
      <c r="AW851" t="inlineStr"/>
      <c r="AX851" t="inlineStr">
        <is>
          <t>2025-10</t>
        </is>
      </c>
      <c r="AY851" t="inlineStr">
        <is>
          <t>Beslut</t>
        </is>
      </c>
      <c r="AZ851" t="inlineStr">
        <is>
          <t>2026-02-13</t>
        </is>
      </c>
      <c r="BA851" t="inlineStr">
        <is>
          <t>VGS-MH-2025-2444.pdf</t>
        </is>
      </c>
      <c r="BB851" t="inlineStr">
        <is>
          <t>Sv: till registrator</t>
        </is>
      </c>
      <c r="BC851" t="inlineStr">
        <is>
          <t>AUTO</t>
        </is>
      </c>
      <c r="BD851" t="inlineStr"/>
      <c r="BE851" t="inlineStr"/>
      <c r="BF851" t="inlineStr">
        <is>
          <t>AUTO_GENERERAD. Bekrafta metadata mot kallfil.</t>
        </is>
      </c>
      <c r="BG851">
        <f>HYPERLINK("C:\Users\jimmy\Desktop\Examens arbete\Kod\Ny mapp\remix_-copy-of-miljöbeslut.se-portal\VGS-MH-2025-2444.pdf", "Öppna PDF")</f>
        <v/>
      </c>
    </row>
    <row r="852">
      <c r="A852" t="inlineStr">
        <is>
          <t>KRAV-AUTO-000851</t>
        </is>
      </c>
      <c r="B852" t="inlineStr">
        <is>
          <t>ADMIN-INDEX-2026-02-27-00000000125C043F57453246863FE664CAFE6A3F0700950291EA24F0614FB6ACEDB12BF0E31D00000000010C0000950291EA24F0614FB6ACEDB12BF0E31D000073AF24000000</t>
        </is>
      </c>
      <c r="C852" t="inlineStr">
        <is>
          <t>cmm4yuret04h5cuqwh1h0330u</t>
        </is>
      </c>
      <c r="D852" t="inlineStr">
        <is>
          <t>http://localhost:8787/api/admin/requirements/documents/cmm4yuret04h5cuqwh1h0330u/view</t>
        </is>
      </c>
      <c r="E852">
        <f>HYPERLÄNK("http://localhost:8787/api/admin/requirements/documents/cmm4yuret04h5cuqwh1h0330u/view";"Öppna PDF")</f>
        <v/>
      </c>
      <c r="F852">
        <f>HYPERLINK("http://localhost:8787/api/admin/requirements/documents/cmm4yuret04h5cuqwh1h0330u/view","Open PDF")</f>
        <v/>
      </c>
      <c r="G852" t="inlineStr">
        <is>
          <t>cmm55w57p0004cuisfrtpqly8</t>
        </is>
      </c>
      <c r="H852" t="inlineStr">
        <is>
          <t>Beslutsvillkor</t>
        </is>
      </c>
      <c r="I852" t="inlineStr">
        <is>
          <t>DagvattenLakvatten</t>
        </is>
      </c>
      <c r="J852" t="inlineStr">
        <is>
          <t>Uppsamling</t>
        </is>
      </c>
      <c r="K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Risker för störningar (buller, damning eller föroreningar av mark eller vatten) Rutiner för kontroll, dokumentation och dylikt Bilagor * Skiss över hur upplaget ska göras (form, utbredning, höjd) Obligatorisk Tydlig karta där uppläggningsplatsen är markerad.</t>
        </is>
      </c>
      <c r="L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t>
        </is>
      </c>
      <c r="M852" t="inlineStr">
        <is>
          <t>SKA</t>
        </is>
      </c>
      <c r="N852" t="inlineStr"/>
      <c r="O852" t="inlineStr"/>
      <c r="P852" t="inlineStr"/>
      <c r="Q852" t="inlineStr"/>
      <c r="R852" t="inlineStr">
        <is>
          <t>Vid nederbord och avrinning</t>
        </is>
      </c>
      <c r="S852" t="inlineStr"/>
      <c r="T852" t="inlineStr">
        <is>
          <t>24 19 28</t>
        </is>
      </c>
      <c r="U852" t="inlineStr"/>
      <c r="V852" t="inlineStr"/>
      <c r="W852" t="inlineStr">
        <is>
          <t>Nej</t>
        </is>
      </c>
      <c r="X852" t="inlineStr">
        <is>
          <t>Ja</t>
        </is>
      </c>
      <c r="Y852" t="inlineStr">
        <is>
          <t>Ja</t>
        </is>
      </c>
      <c r="Z852" t="inlineStr">
        <is>
          <t>Nej</t>
        </is>
      </c>
      <c r="AA852" t="n">
        <v>6</v>
      </c>
      <c r="AB852" t="inlineStr">
        <is>
          <t>Lakvattenhantering</t>
        </is>
      </c>
      <c r="AC852" t="inlineStr">
        <is>
          <t>Flodesschema dagvatten-lakvatten</t>
        </is>
      </c>
      <c r="AD852" t="inlineStr">
        <is>
          <t>Nej</t>
        </is>
      </c>
      <c r="AE852" t="inlineStr">
        <is>
          <t>Nej</t>
        </is>
      </c>
      <c r="AF852" t="inlineStr">
        <is>
          <t>Ej behandlad</t>
        </is>
      </c>
      <c r="AG852" t="inlineStr">
        <is>
          <t>AUTO_GENERERAD. Verifiera citat mot kallfil.</t>
        </is>
      </c>
      <c r="AH852" t="inlineStr">
        <is>
          <t>MEDIUM</t>
        </is>
      </c>
      <c r="AI852" t="inlineStr">
        <is>
          <t>AUTO</t>
        </is>
      </c>
      <c r="AJ852" t="inlineStr">
        <is>
          <t>Nej</t>
        </is>
      </c>
      <c r="AK852" t="inlineStr"/>
      <c r="AL852" t="inlineStr"/>
      <c r="AM852" t="inlineStr"/>
      <c r="AN852" t="inlineStr"/>
      <c r="AO852" t="inlineStr">
        <is>
          <t>cmm4yurfq04i5cuqw1drt61jr</t>
        </is>
      </c>
      <c r="AP852" t="inlineStr">
        <is>
          <t>http://localhost:8787/api/admin/requirements/documents/cmm4yurfq04i5cuqw1drt61jr/view</t>
        </is>
      </c>
      <c r="AQ852">
        <f>HYPERLÄNK("http://localhost:8787/api/admin/requirements/documents/cmm4yurfq04i5cuqw1drt61jr/view";"Öppna PDF")</f>
        <v/>
      </c>
      <c r="AR852">
        <f>HYPERLINK("http://localhost:8787/api/admin/requirements/documents/cmm4yurfq04i5cuqw1drt61jr/view","Open PDF")</f>
        <v/>
      </c>
      <c r="AS852" t="inlineStr">
        <is>
          <t>cmm55w57p0004cuisfrtpqly8</t>
        </is>
      </c>
      <c r="AT852" t="inlineStr">
        <is>
          <t>cmm4xvu980000cuh4vj0usz09</t>
        </is>
      </c>
      <c r="AU852" t="inlineStr"/>
      <c r="AV852" t="inlineStr">
        <is>
          <t>Kommun</t>
        </is>
      </c>
      <c r="AW852" t="inlineStr"/>
      <c r="AX852" t="inlineStr">
        <is>
          <t>2025-10</t>
        </is>
      </c>
      <c r="AY852" t="inlineStr">
        <is>
          <t>Beslut</t>
        </is>
      </c>
      <c r="AZ852" t="inlineStr">
        <is>
          <t>2026-02-13</t>
        </is>
      </c>
      <c r="BA852" t="inlineStr">
        <is>
          <t>VGS-MH-2025-2444.pdf</t>
        </is>
      </c>
      <c r="BB852" t="inlineStr">
        <is>
          <t>Sv: till registrator</t>
        </is>
      </c>
      <c r="BC852" t="inlineStr">
        <is>
          <t>AUTO</t>
        </is>
      </c>
      <c r="BD852" t="inlineStr"/>
      <c r="BE852" t="inlineStr"/>
      <c r="BF852" t="inlineStr">
        <is>
          <t>AUTO_GENERERAD. Bekrafta metadata mot kallfil.</t>
        </is>
      </c>
      <c r="BG852">
        <f>HYPERLINK("C:\Users\jimmy\Desktop\Examens arbete\Kod\Ny mapp\remix_-copy-of-miljöbeslut.se-portal\VGS-MH-2025-2444.pdf", "Öppna PDF")</f>
        <v/>
      </c>
    </row>
    <row r="853">
      <c r="A853" t="inlineStr">
        <is>
          <t>KRAV-AUTO-000852</t>
        </is>
      </c>
      <c r="B853" t="inlineStr">
        <is>
          <t>ADMIN-INDEX-2026-02-27-00000000125C043F57453246863FE664CAFE6A3F0700950291EA24F0614FB6ACEDB12BF0E31D00000000010C0000950291EA24F0614FB6ACEDB12BF0E31D000073AF24000000</t>
        </is>
      </c>
      <c r="C853" t="inlineStr">
        <is>
          <t>cmm4yureq04h2cuqwpn6iios7</t>
        </is>
      </c>
      <c r="D853" t="inlineStr">
        <is>
          <t>http://localhost:8787/api/admin/requirements/documents/cmm4yureq04h2cuqwpn6iios7/view</t>
        </is>
      </c>
      <c r="E853">
        <f>HYPERLÄNK("http://localhost:8787/api/admin/requirements/documents/cmm4yureq04h2cuqwpn6iios7/view";"Öppna PDF")</f>
        <v/>
      </c>
      <c r="F853">
        <f>HYPERLINK("http://localhost:8787/api/admin/requirements/documents/cmm4yureq04h2cuqwpn6iios7/view","Open PDF")</f>
        <v/>
      </c>
      <c r="G853" t="inlineStr">
        <is>
          <t>cmm55w57p0004cuisfrtpqly8</t>
        </is>
      </c>
      <c r="H853" t="inlineStr">
        <is>
          <t>Beslutsvillkor</t>
        </is>
      </c>
      <c r="I853" t="inlineStr">
        <is>
          <t>Ytkonstruktion</t>
        </is>
      </c>
      <c r="J853" t="inlineStr">
        <is>
          <t>Tat yta</t>
        </is>
      </c>
      <c r="K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påbörjas respektive avslutas Påbörjas Beräknas avslutas Arbetstider Ange tid 20240701 20250701 7-16 Anlitad entreprenör -- 4 of 20 -- Ärendenummer #77299 Datum 2024-06-25 09:49 Sandvikens kommun Sida ( ) 2 3 Beskriv den närmaste omgivningen inom 200 meter Planerad användningsyta, transportvägar, dricksvattentäkter och andra skyddsvärda objekt.</t>
        </is>
      </c>
      <c r="L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t>
        </is>
      </c>
      <c r="M853" t="inlineStr">
        <is>
          <t>SKA</t>
        </is>
      </c>
      <c r="N853" t="inlineStr"/>
      <c r="O853" t="inlineStr">
        <is>
          <t>2024-06-25</t>
        </is>
      </c>
      <c r="P853" t="inlineStr"/>
      <c r="Q853" t="inlineStr"/>
      <c r="R853" t="inlineStr">
        <is>
          <t>Vid mellanlagring av avfall</t>
        </is>
      </c>
      <c r="S853" t="inlineStr"/>
      <c r="T853" t="inlineStr">
        <is>
          <t>170504</t>
        </is>
      </c>
      <c r="U853" t="inlineStr"/>
      <c r="V853" t="inlineStr"/>
      <c r="W853" t="inlineStr">
        <is>
          <t>Ja</t>
        </is>
      </c>
      <c r="X853" t="inlineStr">
        <is>
          <t>Nej</t>
        </is>
      </c>
      <c r="Y853" t="inlineStr">
        <is>
          <t>Nej</t>
        </is>
      </c>
      <c r="Z853" t="inlineStr">
        <is>
          <t>Nej</t>
        </is>
      </c>
      <c r="AA853" t="n">
        <v>5</v>
      </c>
      <c r="AB853" t="inlineStr">
        <is>
          <t>Teknisk beskrivning av platta</t>
        </is>
      </c>
      <c r="AC853" t="inlineStr">
        <is>
          <t>Teknisk ritning platta</t>
        </is>
      </c>
      <c r="AD853" t="inlineStr">
        <is>
          <t>Nej</t>
        </is>
      </c>
      <c r="AE853" t="inlineStr">
        <is>
          <t>Nej</t>
        </is>
      </c>
      <c r="AF853" t="inlineStr">
        <is>
          <t>Ej behandlad</t>
        </is>
      </c>
      <c r="AG853" t="inlineStr">
        <is>
          <t>AUTO_GENERERAD. Verifiera citat mot kallfil.</t>
        </is>
      </c>
      <c r="AH853" t="inlineStr">
        <is>
          <t>MEDIUM</t>
        </is>
      </c>
      <c r="AI853" t="inlineStr">
        <is>
          <t>AUTO</t>
        </is>
      </c>
      <c r="AJ853" t="inlineStr">
        <is>
          <t>Nej</t>
        </is>
      </c>
      <c r="AK853" t="inlineStr"/>
      <c r="AL853" t="inlineStr"/>
      <c r="AM853" t="inlineStr"/>
      <c r="AN853" t="inlineStr"/>
      <c r="AO853" t="inlineStr">
        <is>
          <t>cmm4yurfq04i5cuqw1drt61jr</t>
        </is>
      </c>
      <c r="AP853" t="inlineStr">
        <is>
          <t>http://localhost:8787/api/admin/requirements/documents/cmm4yurfq04i5cuqw1drt61jr/view</t>
        </is>
      </c>
      <c r="AQ853">
        <f>HYPERLÄNK("http://localhost:8787/api/admin/requirements/documents/cmm4yurfq04i5cuqw1drt61jr/view";"Öppna PDF")</f>
        <v/>
      </c>
      <c r="AR853">
        <f>HYPERLINK("http://localhost:8787/api/admin/requirements/documents/cmm4yurfq04i5cuqw1drt61jr/view","Open PDF")</f>
        <v/>
      </c>
      <c r="AS853" t="inlineStr">
        <is>
          <t>cmm55w57p0004cuisfrtpqly8</t>
        </is>
      </c>
      <c r="AT853" t="inlineStr">
        <is>
          <t>cmm4xvu980000cuh4vj0usz09</t>
        </is>
      </c>
      <c r="AU853" t="inlineStr"/>
      <c r="AV853" t="inlineStr">
        <is>
          <t>Kommun</t>
        </is>
      </c>
      <c r="AW853" t="inlineStr"/>
      <c r="AX853" t="inlineStr">
        <is>
          <t>2025-10</t>
        </is>
      </c>
      <c r="AY853" t="inlineStr">
        <is>
          <t>Beslut</t>
        </is>
      </c>
      <c r="AZ853" t="inlineStr">
        <is>
          <t>2026-02-13</t>
        </is>
      </c>
      <c r="BA853" t="inlineStr">
        <is>
          <t>VGS-MH-2025-2444.pdf</t>
        </is>
      </c>
      <c r="BB853" t="inlineStr">
        <is>
          <t>Sv: till registrator</t>
        </is>
      </c>
      <c r="BC853" t="inlineStr">
        <is>
          <t>AUTO</t>
        </is>
      </c>
      <c r="BD853" t="inlineStr"/>
      <c r="BE853" t="inlineStr"/>
      <c r="BF853" t="inlineStr">
        <is>
          <t>AUTO_GENERERAD. Bekrafta metadata mot kallfil.</t>
        </is>
      </c>
      <c r="BG853">
        <f>HYPERLINK("C:\Users\jimmy\Desktop\Examens arbete\Kod\Ny mapp\remix_-copy-of-miljöbeslut.se-portal\VGS-MH-2025-2444.pdf", "Öppna PDF")</f>
        <v/>
      </c>
    </row>
    <row r="854">
      <c r="A854" t="inlineStr">
        <is>
          <t>KRAV-AUTO-000853</t>
        </is>
      </c>
      <c r="B854" t="inlineStr">
        <is>
          <t>ADMIN-INDEX-2026-02-27-00000000125C043F57453246863FE664CAFE6A3F0700950291EA24F0614FB6ACEDB12BF0E31D00000000010C0000950291EA24F0614FB6ACEDB12BF0E31D000073AF24000000</t>
        </is>
      </c>
      <c r="C854" t="inlineStr">
        <is>
          <t>cmm4yureq04h2cuqwpn6iios7</t>
        </is>
      </c>
      <c r="D854" t="inlineStr">
        <is>
          <t>http://localhost:8787/api/admin/requirements/documents/cmm4yureq04h2cuqwpn6iios7/view</t>
        </is>
      </c>
      <c r="E854">
        <f>HYPERLÄNK("http://localhost:8787/api/admin/requirements/documents/cmm4yureq04h2cuqwpn6iios7/view";"Öppna PDF")</f>
        <v/>
      </c>
      <c r="F854">
        <f>HYPERLINK("http://localhost:8787/api/admin/requirements/documents/cmm4yureq04h2cuqwpn6iios7/view","Open PDF")</f>
        <v/>
      </c>
      <c r="G854" t="inlineStr">
        <is>
          <t>cmm55w57p0004cuisfrtpqly8</t>
        </is>
      </c>
      <c r="H854" t="inlineStr">
        <is>
          <t>Beslutsvillkor</t>
        </is>
      </c>
      <c r="I854" t="inlineStr">
        <is>
          <t>LagringsvolymTid</t>
        </is>
      </c>
      <c r="J854" t="inlineStr">
        <is>
          <t>Maxmangd</t>
        </is>
      </c>
      <c r="K854" t="inlineStr">
        <is>
          <t>Mängden avfall som ska användas är 5000 ton.</t>
        </is>
      </c>
      <c r="L854" t="inlineStr">
        <is>
          <t>Mängden avfall som ska användas är 5000 ton.</t>
        </is>
      </c>
      <c r="M854" t="inlineStr">
        <is>
          <t>SKA</t>
        </is>
      </c>
      <c r="N854" t="inlineStr"/>
      <c r="O854" t="inlineStr"/>
      <c r="P854" t="inlineStr"/>
      <c r="Q854" t="inlineStr"/>
      <c r="R854" t="inlineStr">
        <is>
          <t>Alltid</t>
        </is>
      </c>
      <c r="S854" t="inlineStr"/>
      <c r="T854" t="inlineStr">
        <is>
          <t>24 00 00</t>
        </is>
      </c>
      <c r="U854" t="n">
        <v>5000</v>
      </c>
      <c r="V854" t="inlineStr"/>
      <c r="W854" t="inlineStr">
        <is>
          <t>Nej</t>
        </is>
      </c>
      <c r="X854" t="inlineStr">
        <is>
          <t>Nej</t>
        </is>
      </c>
      <c r="Y854" t="inlineStr">
        <is>
          <t>Nej</t>
        </is>
      </c>
      <c r="Z854" t="inlineStr">
        <is>
          <t>Nej</t>
        </is>
      </c>
      <c r="AA854" t="n">
        <v>4</v>
      </c>
      <c r="AB854" t="inlineStr">
        <is>
          <t>Avfallsmangder och lagringstid</t>
        </is>
      </c>
      <c r="AC854" t="inlineStr">
        <is>
          <t>Avfallsforteckning</t>
        </is>
      </c>
      <c r="AD854" t="inlineStr">
        <is>
          <t>Nej</t>
        </is>
      </c>
      <c r="AE854" t="inlineStr">
        <is>
          <t>Nej</t>
        </is>
      </c>
      <c r="AF854" t="inlineStr">
        <is>
          <t>Ej behandlad</t>
        </is>
      </c>
      <c r="AG854" t="inlineStr">
        <is>
          <t>AUTO_GENERERAD. Verifiera citat mot kallfil.</t>
        </is>
      </c>
      <c r="AH854" t="inlineStr">
        <is>
          <t>MEDIUM</t>
        </is>
      </c>
      <c r="AI854" t="inlineStr">
        <is>
          <t>AUTO</t>
        </is>
      </c>
      <c r="AJ854" t="inlineStr">
        <is>
          <t>Nej</t>
        </is>
      </c>
      <c r="AK854" t="inlineStr"/>
      <c r="AL854" t="inlineStr"/>
      <c r="AM854" t="inlineStr"/>
      <c r="AN854" t="inlineStr"/>
      <c r="AO854" t="inlineStr">
        <is>
          <t>cmm4yurfq04i5cuqw1drt61jr</t>
        </is>
      </c>
      <c r="AP854" t="inlineStr">
        <is>
          <t>http://localhost:8787/api/admin/requirements/documents/cmm4yurfq04i5cuqw1drt61jr/view</t>
        </is>
      </c>
      <c r="AQ854">
        <f>HYPERLÄNK("http://localhost:8787/api/admin/requirements/documents/cmm4yurfq04i5cuqw1drt61jr/view";"Öppna PDF")</f>
        <v/>
      </c>
      <c r="AR854">
        <f>HYPERLINK("http://localhost:8787/api/admin/requirements/documents/cmm4yurfq04i5cuqw1drt61jr/view","Open PDF")</f>
        <v/>
      </c>
      <c r="AS854" t="inlineStr">
        <is>
          <t>cmm55w57p0004cuisfrtpqly8</t>
        </is>
      </c>
      <c r="AT854" t="inlineStr">
        <is>
          <t>cmm4xvu980000cuh4vj0usz09</t>
        </is>
      </c>
      <c r="AU854" t="inlineStr"/>
      <c r="AV854" t="inlineStr">
        <is>
          <t>Kommun</t>
        </is>
      </c>
      <c r="AW854" t="inlineStr"/>
      <c r="AX854" t="inlineStr">
        <is>
          <t>2025-10</t>
        </is>
      </c>
      <c r="AY854" t="inlineStr">
        <is>
          <t>Beslut</t>
        </is>
      </c>
      <c r="AZ854" t="inlineStr">
        <is>
          <t>2026-02-13</t>
        </is>
      </c>
      <c r="BA854" t="inlineStr">
        <is>
          <t>VGS-MH-2025-2444.pdf</t>
        </is>
      </c>
      <c r="BB854" t="inlineStr">
        <is>
          <t>Sv: till registrator</t>
        </is>
      </c>
      <c r="BC854" t="inlineStr">
        <is>
          <t>AUTO</t>
        </is>
      </c>
      <c r="BD854" t="inlineStr"/>
      <c r="BE854" t="inlineStr"/>
      <c r="BF854" t="inlineStr">
        <is>
          <t>AUTO_GENERERAD. Bekrafta metadata mot kallfil.</t>
        </is>
      </c>
      <c r="BG854">
        <f>HYPERLINK("C:\Users\jimmy\Desktop\Examens arbete\Kod\Ny mapp\remix_-copy-of-miljöbeslut.se-portal\VGS-MH-2025-2444.pdf", "Öppna PDF")</f>
        <v/>
      </c>
    </row>
    <row r="855">
      <c r="A855" t="inlineStr">
        <is>
          <t>KRAV-AUTO-000854</t>
        </is>
      </c>
      <c r="B855" t="inlineStr">
        <is>
          <t>ADMIN-INDEX-2026-02-27-00000000125C043F57453246863FE664CAFE6A3F0700950291EA24F0614FB6ACEDB12BF0E31D00000000010C0000950291EA24F0614FB6ACEDB12BF0E31D000073AF24000000</t>
        </is>
      </c>
      <c r="C855" t="inlineStr">
        <is>
          <t>cmm4yureq04h2cuqwpn6iios7</t>
        </is>
      </c>
      <c r="D855" t="inlineStr">
        <is>
          <t>http://localhost:8787/api/admin/requirements/documents/cmm4yureq04h2cuqwpn6iios7/view</t>
        </is>
      </c>
      <c r="E855">
        <f>HYPERLÄNK("http://localhost:8787/api/admin/requirements/documents/cmm4yureq04h2cuqwpn6iios7/view";"Öppna PDF")</f>
        <v/>
      </c>
      <c r="F855">
        <f>HYPERLINK("http://localhost:8787/api/admin/requirements/documents/cmm4yureq04h2cuqwpn6iios7/view","Open PDF")</f>
        <v/>
      </c>
      <c r="G855" t="inlineStr">
        <is>
          <t>cmm55w57p0004cuisfrtpqly8</t>
        </is>
      </c>
      <c r="H855" t="inlineStr">
        <is>
          <t>Beslutsvillkor</t>
        </is>
      </c>
      <c r="I855" t="inlineStr">
        <is>
          <t>DagvattenLakvatten</t>
        </is>
      </c>
      <c r="J855" t="inlineStr">
        <is>
          <t>Uppsamling</t>
        </is>
      </c>
      <c r="K855" t="inlineStr">
        <is>
          <t>Vid spill till avloppsnätet och/eller dagvattennätet ska Sandviken Energi vatten AB omedelbart kontaktas.</t>
        </is>
      </c>
      <c r="L855" t="inlineStr">
        <is>
          <t>Vid spill till avloppsnätet och/eller dagvattennätet ska Sandviken Energi vatten AB omedelbart kontaktas.</t>
        </is>
      </c>
      <c r="M855" t="inlineStr">
        <is>
          <t>SKA</t>
        </is>
      </c>
      <c r="N855" t="inlineStr"/>
      <c r="O855" t="inlineStr"/>
      <c r="P855" t="inlineStr"/>
      <c r="Q855" t="inlineStr"/>
      <c r="R855" t="inlineStr">
        <is>
          <t>Vid nederbord och avrinning</t>
        </is>
      </c>
      <c r="S855" t="inlineStr"/>
      <c r="T855" t="inlineStr">
        <is>
          <t>24 00 00</t>
        </is>
      </c>
      <c r="U855" t="inlineStr"/>
      <c r="V855" t="inlineStr"/>
      <c r="W855" t="inlineStr">
        <is>
          <t>Nej</t>
        </is>
      </c>
      <c r="X855" t="inlineStr">
        <is>
          <t>Ja</t>
        </is>
      </c>
      <c r="Y855" t="inlineStr">
        <is>
          <t>Ja</t>
        </is>
      </c>
      <c r="Z855" t="inlineStr">
        <is>
          <t>Nej</t>
        </is>
      </c>
      <c r="AA855" t="n">
        <v>6</v>
      </c>
      <c r="AB855" t="inlineStr">
        <is>
          <t>Lakvattenhantering</t>
        </is>
      </c>
      <c r="AC855" t="inlineStr">
        <is>
          <t>Flodesschema dagvatten-lakvatten</t>
        </is>
      </c>
      <c r="AD855" t="inlineStr">
        <is>
          <t>Nej</t>
        </is>
      </c>
      <c r="AE855" t="inlineStr">
        <is>
          <t>Nej</t>
        </is>
      </c>
      <c r="AF855" t="inlineStr">
        <is>
          <t>Ej behandlad</t>
        </is>
      </c>
      <c r="AG855" t="inlineStr">
        <is>
          <t>AUTO_GENERERAD. Verifiera citat mot kallfil.</t>
        </is>
      </c>
      <c r="AH855" t="inlineStr">
        <is>
          <t>MEDIUM</t>
        </is>
      </c>
      <c r="AI855" t="inlineStr">
        <is>
          <t>AUTO</t>
        </is>
      </c>
      <c r="AJ855" t="inlineStr">
        <is>
          <t>Nej</t>
        </is>
      </c>
      <c r="AK855" t="inlineStr"/>
      <c r="AL855" t="inlineStr"/>
      <c r="AM855" t="inlineStr"/>
      <c r="AN855" t="inlineStr"/>
      <c r="AO855" t="inlineStr">
        <is>
          <t>cmm4yurfq04i5cuqw1drt61jr</t>
        </is>
      </c>
      <c r="AP855" t="inlineStr">
        <is>
          <t>http://localhost:8787/api/admin/requirements/documents/cmm4yurfq04i5cuqw1drt61jr/view</t>
        </is>
      </c>
      <c r="AQ855">
        <f>HYPERLÄNK("http://localhost:8787/api/admin/requirements/documents/cmm4yurfq04i5cuqw1drt61jr/view";"Öppna PDF")</f>
        <v/>
      </c>
      <c r="AR855">
        <f>HYPERLINK("http://localhost:8787/api/admin/requirements/documents/cmm4yurfq04i5cuqw1drt61jr/view","Open PDF")</f>
        <v/>
      </c>
      <c r="AS855" t="inlineStr">
        <is>
          <t>cmm55w57p0004cuisfrtpqly8</t>
        </is>
      </c>
      <c r="AT855" t="inlineStr">
        <is>
          <t>cmm4xvu980000cuh4vj0usz09</t>
        </is>
      </c>
      <c r="AU855" t="inlineStr"/>
      <c r="AV855" t="inlineStr">
        <is>
          <t>Kommun</t>
        </is>
      </c>
      <c r="AW855" t="inlineStr"/>
      <c r="AX855" t="inlineStr">
        <is>
          <t>2025-10</t>
        </is>
      </c>
      <c r="AY855" t="inlineStr">
        <is>
          <t>Beslut</t>
        </is>
      </c>
      <c r="AZ855" t="inlineStr">
        <is>
          <t>2026-02-13</t>
        </is>
      </c>
      <c r="BA855" t="inlineStr">
        <is>
          <t>VGS-MH-2025-2444.pdf</t>
        </is>
      </c>
      <c r="BB855" t="inlineStr">
        <is>
          <t>Sv: till registrator</t>
        </is>
      </c>
      <c r="BC855" t="inlineStr">
        <is>
          <t>AUTO</t>
        </is>
      </c>
      <c r="BD855" t="inlineStr"/>
      <c r="BE855" t="inlineStr"/>
      <c r="BF855" t="inlineStr">
        <is>
          <t>AUTO_GENERERAD. Bekrafta metadata mot kallfil.</t>
        </is>
      </c>
      <c r="BG855">
        <f>HYPERLINK("C:\Users\jimmy\Desktop\Examens arbete\Kod\Ny mapp\remix_-copy-of-miljöbeslut.se-portal\VGS-MH-2025-2444.pdf", "Öppna PDF")</f>
        <v/>
      </c>
    </row>
    <row r="856">
      <c r="A856" t="inlineStr">
        <is>
          <t>KRAV-AUTO-000855</t>
        </is>
      </c>
      <c r="B856" t="inlineStr">
        <is>
          <t>ADMIN-INDEX-2026-02-27-00000000125C043F57453246863FE664CAFE6A3F0700950291EA24F0614FB6ACEDB12BF0E31D00000000010C0000950291EA24F0614FB6ACEDB12BF0E31D00002087A57E0000</t>
        </is>
      </c>
      <c r="C856" t="inlineStr">
        <is>
          <t>cmm4yurei04gtcuqwcvr1rytc</t>
        </is>
      </c>
      <c r="D856" t="inlineStr">
        <is>
          <t>http://localhost:8787/api/admin/requirements/documents/cmm4yurei04gtcuqwcvr1rytc/view</t>
        </is>
      </c>
      <c r="E856">
        <f>HYPERLÄNK("http://localhost:8787/api/admin/requirements/documents/cmm4yurei04gtcuqwcvr1rytc/view";"Öppna PDF")</f>
        <v/>
      </c>
      <c r="F856">
        <f>HYPERLINK("http://localhost:8787/api/admin/requirements/documents/cmm4yurei04gtcuqwcvr1rytc/view","Open PDF")</f>
        <v/>
      </c>
      <c r="G856" t="inlineStr">
        <is>
          <t>cmm55w57p0004cuisfrtpqly8</t>
        </is>
      </c>
      <c r="H856" t="inlineStr">
        <is>
          <t>Beslutsvillkor</t>
        </is>
      </c>
      <c r="I856" t="inlineStr">
        <is>
          <t>Ytkonstruktion</t>
        </is>
      </c>
      <c r="J856" t="inlineStr">
        <is>
          <t>Tat yta</t>
        </is>
      </c>
      <c r="K856" t="inlineStr">
        <is>
          <t>Invallningen ska vara utformad så att den inte fylls med nederbörd.</t>
        </is>
      </c>
      <c r="L856" t="inlineStr">
        <is>
          <t>Invallningen ska vara utformad så att den inte fylls med nederbörd.</t>
        </is>
      </c>
      <c r="M856" t="inlineStr">
        <is>
          <t>SKA</t>
        </is>
      </c>
      <c r="N856" t="inlineStr"/>
      <c r="O856" t="inlineStr"/>
      <c r="P856" t="inlineStr"/>
      <c r="Q856" t="inlineStr"/>
      <c r="R856" t="inlineStr">
        <is>
          <t>Vid mellanlagring av avfall</t>
        </is>
      </c>
      <c r="S856" t="inlineStr"/>
      <c r="T856" t="inlineStr">
        <is>
          <t>212000</t>
        </is>
      </c>
      <c r="U856" t="inlineStr"/>
      <c r="V856" t="inlineStr"/>
      <c r="W856" t="inlineStr">
        <is>
          <t>Ja</t>
        </is>
      </c>
      <c r="X856" t="inlineStr">
        <is>
          <t>Nej</t>
        </is>
      </c>
      <c r="Y856" t="inlineStr">
        <is>
          <t>Nej</t>
        </is>
      </c>
      <c r="Z856" t="inlineStr">
        <is>
          <t>Nej</t>
        </is>
      </c>
      <c r="AA856" t="n">
        <v>5</v>
      </c>
      <c r="AB856" t="inlineStr">
        <is>
          <t>Teknisk beskrivning av platta</t>
        </is>
      </c>
      <c r="AC856" t="inlineStr">
        <is>
          <t>Teknisk ritning platta</t>
        </is>
      </c>
      <c r="AD856" t="inlineStr">
        <is>
          <t>Nej</t>
        </is>
      </c>
      <c r="AE856" t="inlineStr">
        <is>
          <t>Nej</t>
        </is>
      </c>
      <c r="AF856" t="inlineStr">
        <is>
          <t>Ej behandlad</t>
        </is>
      </c>
      <c r="AG856" t="inlineStr">
        <is>
          <t>AUTO_GENERERAD. Verifiera citat mot kallfil.</t>
        </is>
      </c>
      <c r="AH856" t="inlineStr">
        <is>
          <t>MEDIUM</t>
        </is>
      </c>
      <c r="AI856" t="inlineStr">
        <is>
          <t>AUTO</t>
        </is>
      </c>
      <c r="AJ856" t="inlineStr">
        <is>
          <t>Nej</t>
        </is>
      </c>
      <c r="AK856" t="inlineStr"/>
      <c r="AL856" t="inlineStr"/>
      <c r="AM856" t="inlineStr"/>
      <c r="AN856" t="inlineStr"/>
      <c r="AO856" t="inlineStr">
        <is>
          <t>cmm4yure104gbcuqw0iyq01tw</t>
        </is>
      </c>
      <c r="AP856" t="inlineStr">
        <is>
          <t>http://localhost:8787/api/admin/requirements/documents/cmm4yure104gbcuqw0iyq01tw/view</t>
        </is>
      </c>
      <c r="AQ856">
        <f>HYPERLÄNK("http://localhost:8787/api/admin/requirements/documents/cmm4yure104gbcuqw0iyq01tw/view";"Öppna PDF")</f>
        <v/>
      </c>
      <c r="AR856">
        <f>HYPERLINK("http://localhost:8787/api/admin/requirements/documents/cmm4yure104gbcuqw0iyq01tw/view","Open PDF")</f>
        <v/>
      </c>
      <c r="AS856" t="inlineStr">
        <is>
          <t>cmm55w57p0004cuisfrtpqly8</t>
        </is>
      </c>
      <c r="AT856" t="inlineStr">
        <is>
          <t>cmm4xvu980000cuh4vj0usz09</t>
        </is>
      </c>
      <c r="AU856" t="inlineStr">
        <is>
          <t>i Örnsköldsviks</t>
        </is>
      </c>
      <c r="AV856" t="inlineStr">
        <is>
          <t>Kommun</t>
        </is>
      </c>
      <c r="AW856" t="inlineStr">
        <is>
          <t>i Örnsköldsviks kommun</t>
        </is>
      </c>
      <c r="AX856" t="inlineStr">
        <is>
          <t>0660-880</t>
        </is>
      </c>
      <c r="AY856" t="inlineStr">
        <is>
          <t>Beslut</t>
        </is>
      </c>
      <c r="AZ856" t="inlineStr">
        <is>
          <t>2026-02-12</t>
        </is>
      </c>
      <c r="BA856" t="inlineStr">
        <is>
          <t>E-2025-840, beslut.pdf</t>
        </is>
      </c>
      <c r="BB856" t="inlineStr">
        <is>
          <t>Sv: till registrator</t>
        </is>
      </c>
      <c r="BC856" t="inlineStr">
        <is>
          <t>AUTO</t>
        </is>
      </c>
      <c r="BD856" t="inlineStr"/>
      <c r="BE856" t="inlineStr"/>
      <c r="BF856" t="inlineStr">
        <is>
          <t>AUTO_GENERERAD. Bekrafta metadata mot kallfil.</t>
        </is>
      </c>
      <c r="BG856">
        <f>HYPERLINK("C:\Users\jimmy\Desktop\Examens arbete\Kod\Ny mapp\remix_-copy-of-miljöbeslut.se-portal\E-2025-840, beslut.pdf", "Öppna PDF")</f>
        <v/>
      </c>
    </row>
    <row r="857">
      <c r="A857" t="inlineStr">
        <is>
          <t>KRAV-AUTO-000856</t>
        </is>
      </c>
      <c r="B857" t="inlineStr">
        <is>
          <t>ADMIN-INDEX-2026-02-27-00000000125C043F57453246863FE664CAFE6A3F0700950291EA24F0614FB6ACEDB12BF0E31D00000000010C0000950291EA24F0614FB6ACEDB12BF0E31D00002087A57E0000</t>
        </is>
      </c>
      <c r="C857" t="inlineStr">
        <is>
          <t>cmm4yurei04gtcuqwcvr1rytc</t>
        </is>
      </c>
      <c r="D857" t="inlineStr">
        <is>
          <t>http://localhost:8787/api/admin/requirements/documents/cmm4yurei04gtcuqwcvr1rytc/view</t>
        </is>
      </c>
      <c r="E857">
        <f>HYPERLÄNK("http://localhost:8787/api/admin/requirements/documents/cmm4yurei04gtcuqwcvr1rytc/view";"Öppna PDF")</f>
        <v/>
      </c>
      <c r="F857">
        <f>HYPERLINK("http://localhost:8787/api/admin/requirements/documents/cmm4yurei04gtcuqwcvr1rytc/view","Open PDF")</f>
        <v/>
      </c>
      <c r="G857" t="inlineStr">
        <is>
          <t>cmm55w57p0004cuisfrtpqly8</t>
        </is>
      </c>
      <c r="H857" t="inlineStr">
        <is>
          <t>Beslutsvillkor</t>
        </is>
      </c>
      <c r="I857" t="inlineStr">
        <is>
          <t>Ytkonstruktion</t>
        </is>
      </c>
      <c r="J857" t="inlineStr">
        <is>
          <t>Tat yta</t>
        </is>
      </c>
      <c r="K857" t="inlineStr">
        <is>
          <t>Invallning eller liknande ska rymma minst den volym som kan rinna ur den största behållarens volym plus 10 % av övriga behållares volym.</t>
        </is>
      </c>
      <c r="L857" t="inlineStr">
        <is>
          <t>Invallning eller liknande ska rymma minst den volym som kan rinna ur den största behållarens volym plus 10 % av övriga behållares volym.</t>
        </is>
      </c>
      <c r="M857" t="inlineStr">
        <is>
          <t>SKA</t>
        </is>
      </c>
      <c r="N857" t="inlineStr"/>
      <c r="O857" t="inlineStr"/>
      <c r="P857" t="inlineStr"/>
      <c r="Q857" t="inlineStr"/>
      <c r="R857" t="inlineStr">
        <is>
          <t>Vid mellanlagring av avfall</t>
        </is>
      </c>
      <c r="S857" t="inlineStr"/>
      <c r="T857" t="inlineStr">
        <is>
          <t>212000</t>
        </is>
      </c>
      <c r="U857" t="inlineStr"/>
      <c r="V857" t="inlineStr"/>
      <c r="W857" t="inlineStr">
        <is>
          <t>Ja</t>
        </is>
      </c>
      <c r="X857" t="inlineStr">
        <is>
          <t>Nej</t>
        </is>
      </c>
      <c r="Y857" t="inlineStr">
        <is>
          <t>Nej</t>
        </is>
      </c>
      <c r="Z857" t="inlineStr">
        <is>
          <t>Nej</t>
        </is>
      </c>
      <c r="AA857" t="n">
        <v>5</v>
      </c>
      <c r="AB857" t="inlineStr">
        <is>
          <t>Teknisk beskrivning av platta</t>
        </is>
      </c>
      <c r="AC857" t="inlineStr">
        <is>
          <t>Teknisk ritning platta</t>
        </is>
      </c>
      <c r="AD857" t="inlineStr">
        <is>
          <t>Nej</t>
        </is>
      </c>
      <c r="AE857" t="inlineStr">
        <is>
          <t>Nej</t>
        </is>
      </c>
      <c r="AF857" t="inlineStr">
        <is>
          <t>Ej behandlad</t>
        </is>
      </c>
      <c r="AG857" t="inlineStr">
        <is>
          <t>AUTO_GENERERAD. Verifiera citat mot kallfil.</t>
        </is>
      </c>
      <c r="AH857" t="inlineStr">
        <is>
          <t>MEDIUM</t>
        </is>
      </c>
      <c r="AI857" t="inlineStr">
        <is>
          <t>AUTO</t>
        </is>
      </c>
      <c r="AJ857" t="inlineStr">
        <is>
          <t>Nej</t>
        </is>
      </c>
      <c r="AK857" t="inlineStr"/>
      <c r="AL857" t="inlineStr"/>
      <c r="AM857" t="inlineStr"/>
      <c r="AN857" t="inlineStr"/>
      <c r="AO857" t="inlineStr">
        <is>
          <t>cmm4yure104gbcuqw0iyq01tw</t>
        </is>
      </c>
      <c r="AP857" t="inlineStr">
        <is>
          <t>http://localhost:8787/api/admin/requirements/documents/cmm4yure104gbcuqw0iyq01tw/view</t>
        </is>
      </c>
      <c r="AQ857">
        <f>HYPERLÄNK("http://localhost:8787/api/admin/requirements/documents/cmm4yure104gbcuqw0iyq01tw/view";"Öppna PDF")</f>
        <v/>
      </c>
      <c r="AR857">
        <f>HYPERLINK("http://localhost:8787/api/admin/requirements/documents/cmm4yure104gbcuqw0iyq01tw/view","Open PDF")</f>
        <v/>
      </c>
      <c r="AS857" t="inlineStr">
        <is>
          <t>cmm55w57p0004cuisfrtpqly8</t>
        </is>
      </c>
      <c r="AT857" t="inlineStr">
        <is>
          <t>cmm4xvu980000cuh4vj0usz09</t>
        </is>
      </c>
      <c r="AU857" t="inlineStr">
        <is>
          <t>i Örnsköldsviks</t>
        </is>
      </c>
      <c r="AV857" t="inlineStr">
        <is>
          <t>Kommun</t>
        </is>
      </c>
      <c r="AW857" t="inlineStr">
        <is>
          <t>i Örnsköldsviks kommun</t>
        </is>
      </c>
      <c r="AX857" t="inlineStr">
        <is>
          <t>0660-880</t>
        </is>
      </c>
      <c r="AY857" t="inlineStr">
        <is>
          <t>Beslut</t>
        </is>
      </c>
      <c r="AZ857" t="inlineStr">
        <is>
          <t>2026-02-12</t>
        </is>
      </c>
      <c r="BA857" t="inlineStr">
        <is>
          <t>E-2025-840, beslut.pdf</t>
        </is>
      </c>
      <c r="BB857" t="inlineStr">
        <is>
          <t>Sv: till registrator</t>
        </is>
      </c>
      <c r="BC857" t="inlineStr">
        <is>
          <t>AUTO</t>
        </is>
      </c>
      <c r="BD857" t="inlineStr"/>
      <c r="BE857" t="inlineStr"/>
      <c r="BF857" t="inlineStr">
        <is>
          <t>AUTO_GENERERAD. Bekrafta metadata mot kallfil.</t>
        </is>
      </c>
      <c r="BG857">
        <f>HYPERLINK("C:\Users\jimmy\Desktop\Examens arbete\Kod\Ny mapp\remix_-copy-of-miljöbeslut.se-portal\E-2025-840, beslut.pdf", "Öppna PDF")</f>
        <v/>
      </c>
    </row>
    <row r="858">
      <c r="A858" t="inlineStr">
        <is>
          <t>KRAV-AUTO-000857</t>
        </is>
      </c>
      <c r="B858" t="inlineStr">
        <is>
          <t>ADMIN-INDEX-2026-02-27-00000000125C043F57453246863FE664CAFE6A3F0700950291EA24F0614FB6ACEDB12BF0E31D00000000010C0000950291EA24F0614FB6ACEDB12BF0E31D00002087A57E0000</t>
        </is>
      </c>
      <c r="C858" t="inlineStr">
        <is>
          <t>cmm4yurei04gtcuqwcvr1rytc</t>
        </is>
      </c>
      <c r="D858" t="inlineStr">
        <is>
          <t>http://localhost:8787/api/admin/requirements/documents/cmm4yurei04gtcuqwcvr1rytc/view</t>
        </is>
      </c>
      <c r="E858">
        <f>HYPERLÄNK("http://localhost:8787/api/admin/requirements/documents/cmm4yurei04gtcuqwcvr1rytc/view";"Öppna PDF")</f>
        <v/>
      </c>
      <c r="F858">
        <f>HYPERLINK("http://localhost:8787/api/admin/requirements/documents/cmm4yurei04gtcuqwcvr1rytc/view","Open PDF")</f>
        <v/>
      </c>
      <c r="G858" t="inlineStr">
        <is>
          <t>cmm55w57p0004cuisfrtpqly8</t>
        </is>
      </c>
      <c r="H858" t="inlineStr">
        <is>
          <t>Beslutsvillkor</t>
        </is>
      </c>
      <c r="I858" t="inlineStr">
        <is>
          <t>MiljopaverkanForsiktighet</t>
        </is>
      </c>
      <c r="J858" t="inlineStr">
        <is>
          <t>Skyddsatgarder</t>
        </is>
      </c>
      <c r="K858" t="inlineStr">
        <is>
          <t>Anmälan Av anmälan framgår mellanlagring avsågs ske på fastigheten Själevads Prästbord 1:83.</t>
        </is>
      </c>
      <c r="L858" t="inlineStr">
        <is>
          <t>Anmälan Av anmälan framgår mellanlagring avsågs ske på fastigheten Själevads Prästbord 1:83.</t>
        </is>
      </c>
      <c r="M858" t="inlineStr">
        <is>
          <t>BOR</t>
        </is>
      </c>
      <c r="N858" t="inlineStr"/>
      <c r="O858" t="inlineStr"/>
      <c r="P858" t="inlineStr"/>
      <c r="Q858" t="inlineStr"/>
      <c r="R858" t="inlineStr">
        <is>
          <t>Alltid</t>
        </is>
      </c>
      <c r="S858" t="inlineStr"/>
      <c r="T858" t="inlineStr">
        <is>
          <t>212000</t>
        </is>
      </c>
      <c r="U858" t="inlineStr"/>
      <c r="V858" t="inlineStr"/>
      <c r="W858" t="inlineStr">
        <is>
          <t>Nej</t>
        </is>
      </c>
      <c r="X858" t="inlineStr">
        <is>
          <t>Nej</t>
        </is>
      </c>
      <c r="Y858" t="inlineStr">
        <is>
          <t>Nej</t>
        </is>
      </c>
      <c r="Z858" t="inlineStr">
        <is>
          <t>Nej</t>
        </is>
      </c>
      <c r="AA858" t="n">
        <v>10</v>
      </c>
      <c r="AB858" t="inlineStr">
        <is>
          <t>Miljopaverkan och forsiktighetsmatt</t>
        </is>
      </c>
      <c r="AC858" t="inlineStr">
        <is>
          <t>Miljo-PM</t>
        </is>
      </c>
      <c r="AD858" t="inlineStr">
        <is>
          <t>Nej</t>
        </is>
      </c>
      <c r="AE858" t="inlineStr">
        <is>
          <t>Nej</t>
        </is>
      </c>
      <c r="AF858" t="inlineStr">
        <is>
          <t>Ej behandlad</t>
        </is>
      </c>
      <c r="AG858" t="inlineStr">
        <is>
          <t>AUTO_GENERERAD. Verifiera citat mot kallfil.</t>
        </is>
      </c>
      <c r="AH858" t="inlineStr">
        <is>
          <t>MEDIUM</t>
        </is>
      </c>
      <c r="AI858" t="inlineStr">
        <is>
          <t>AUTO</t>
        </is>
      </c>
      <c r="AJ858" t="inlineStr">
        <is>
          <t>Nej</t>
        </is>
      </c>
      <c r="AK858" t="inlineStr"/>
      <c r="AL858" t="inlineStr"/>
      <c r="AM858" t="inlineStr"/>
      <c r="AN858" t="inlineStr"/>
      <c r="AO858" t="inlineStr">
        <is>
          <t>cmm4yure104gbcuqw0iyq01tw</t>
        </is>
      </c>
      <c r="AP858" t="inlineStr">
        <is>
          <t>http://localhost:8787/api/admin/requirements/documents/cmm4yure104gbcuqw0iyq01tw/view</t>
        </is>
      </c>
      <c r="AQ858">
        <f>HYPERLÄNK("http://localhost:8787/api/admin/requirements/documents/cmm4yure104gbcuqw0iyq01tw/view";"Öppna PDF")</f>
        <v/>
      </c>
      <c r="AR858">
        <f>HYPERLINK("http://localhost:8787/api/admin/requirements/documents/cmm4yure104gbcuqw0iyq01tw/view","Open PDF")</f>
        <v/>
      </c>
      <c r="AS858" t="inlineStr">
        <is>
          <t>cmm55w57p0004cuisfrtpqly8</t>
        </is>
      </c>
      <c r="AT858" t="inlineStr">
        <is>
          <t>cmm4xvu980000cuh4vj0usz09</t>
        </is>
      </c>
      <c r="AU858" t="inlineStr">
        <is>
          <t>i Örnsköldsviks</t>
        </is>
      </c>
      <c r="AV858" t="inlineStr">
        <is>
          <t>Kommun</t>
        </is>
      </c>
      <c r="AW858" t="inlineStr">
        <is>
          <t>i Örnsköldsviks kommun</t>
        </is>
      </c>
      <c r="AX858" t="inlineStr">
        <is>
          <t>0660-880</t>
        </is>
      </c>
      <c r="AY858" t="inlineStr">
        <is>
          <t>Beslut</t>
        </is>
      </c>
      <c r="AZ858" t="inlineStr">
        <is>
          <t>2026-02-12</t>
        </is>
      </c>
      <c r="BA858" t="inlineStr">
        <is>
          <t>E-2025-840, beslut.pdf</t>
        </is>
      </c>
      <c r="BB858" t="inlineStr">
        <is>
          <t>Sv: till registrator</t>
        </is>
      </c>
      <c r="BC858" t="inlineStr">
        <is>
          <t>AUTO</t>
        </is>
      </c>
      <c r="BD858" t="inlineStr"/>
      <c r="BE858" t="inlineStr"/>
      <c r="BF858" t="inlineStr">
        <is>
          <t>AUTO_GENERERAD. Bekrafta metadata mot kallfil.</t>
        </is>
      </c>
      <c r="BG858">
        <f>HYPERLINK("C:\Users\jimmy\Desktop\Examens arbete\Kod\Ny mapp\remix_-copy-of-miljöbeslut.se-portal\E-2025-840, beslut.pdf", "Öppna PDF")</f>
        <v/>
      </c>
    </row>
    <row r="859">
      <c r="A859" t="inlineStr">
        <is>
          <t>KRAV-AUTO-000858</t>
        </is>
      </c>
      <c r="B859" t="inlineStr">
        <is>
          <t>ADMIN-INDEX-2026-02-27-00000000125C043F57453246863FE664CAFE6A3F0700950291EA24F0614FB6ACEDB12BF0E31D00000000010C0000950291EA24F0614FB6ACEDB12BF0E31D00002087A57E0000</t>
        </is>
      </c>
      <c r="C859" t="inlineStr">
        <is>
          <t>cmm4yuref04gqcuqwrzo1aich</t>
        </is>
      </c>
      <c r="D859" t="inlineStr">
        <is>
          <t>http://localhost:8787/api/admin/requirements/documents/cmm4yuref04gqcuqwrzo1aich/view</t>
        </is>
      </c>
      <c r="E859">
        <f>HYPERLÄNK("http://localhost:8787/api/admin/requirements/documents/cmm4yuref04gqcuqwrzo1aich/view";"Öppna PDF")</f>
        <v/>
      </c>
      <c r="F859">
        <f>HYPERLINK("http://localhost:8787/api/admin/requirements/documents/cmm4yuref04gqcuqwrzo1aich/view","Open PDF")</f>
        <v/>
      </c>
      <c r="G859" t="inlineStr">
        <is>
          <t>cmm55w57p0004cuisfrtpqly8</t>
        </is>
      </c>
      <c r="H859" t="inlineStr">
        <is>
          <t>Informationskrav</t>
        </is>
      </c>
      <c r="I859" t="inlineStr">
        <is>
          <t>LagringsvolymTid</t>
        </is>
      </c>
      <c r="J859" t="inlineStr">
        <is>
          <t>Maxmangd</t>
        </is>
      </c>
      <c r="K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Besöksadress Järnvägsgatan 6 Förvaltningens e-postadress samhallsbyggnad@ornskoldsvik.se Hemsida Telefon www.ornskoldsvik.se 0660-880 00 Fax 0660-849 67 ÖRNSKÖLDSVIKS KOMMUN Anmälan om mellanlagring av avfall 9 kap 6 § miljöbalken (1998:808) samt 10-11 §§ miljöprövningsförordningen (2013:251) Mer än 10 ton men max 10 000 ton vid något enskilt tillfälle.</t>
        </is>
      </c>
      <c r="L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t>
        </is>
      </c>
      <c r="M859" t="inlineStr">
        <is>
          <t>SKA</t>
        </is>
      </c>
      <c r="N859" t="inlineStr">
        <is>
          <t>Miljobalken, MPF</t>
        </is>
      </c>
      <c r="O859" t="inlineStr"/>
      <c r="P859" t="inlineStr"/>
      <c r="Q859" t="inlineStr"/>
      <c r="R859" t="inlineStr">
        <is>
          <t>Alltid</t>
        </is>
      </c>
      <c r="S859" t="inlineStr"/>
      <c r="T859" t="inlineStr">
        <is>
          <t>212000</t>
        </is>
      </c>
      <c r="U859" t="n">
        <v>10</v>
      </c>
      <c r="V859" t="inlineStr"/>
      <c r="W859" t="inlineStr">
        <is>
          <t>Nej</t>
        </is>
      </c>
      <c r="X859" t="inlineStr">
        <is>
          <t>Nej</t>
        </is>
      </c>
      <c r="Y859" t="inlineStr">
        <is>
          <t>Nej</t>
        </is>
      </c>
      <c r="Z859" t="inlineStr">
        <is>
          <t>Nej</t>
        </is>
      </c>
      <c r="AA859" t="n">
        <v>4</v>
      </c>
      <c r="AB859" t="inlineStr">
        <is>
          <t>Avfallsmangder och lagringstid</t>
        </is>
      </c>
      <c r="AC859" t="inlineStr">
        <is>
          <t>Avfallsforteckning</t>
        </is>
      </c>
      <c r="AD859" t="inlineStr">
        <is>
          <t>Nej</t>
        </is>
      </c>
      <c r="AE859" t="inlineStr">
        <is>
          <t>Nej</t>
        </is>
      </c>
      <c r="AF859" t="inlineStr">
        <is>
          <t>Ej behandlad</t>
        </is>
      </c>
      <c r="AG859" t="inlineStr">
        <is>
          <t>AUTO_GENERERAD. Verifiera citat mot kallfil.</t>
        </is>
      </c>
      <c r="AH859" t="inlineStr">
        <is>
          <t>HIGH</t>
        </is>
      </c>
      <c r="AI859" t="inlineStr">
        <is>
          <t>AUTO</t>
        </is>
      </c>
      <c r="AJ859" t="inlineStr">
        <is>
          <t>Nej</t>
        </is>
      </c>
      <c r="AK859" t="inlineStr"/>
      <c r="AL859" t="inlineStr"/>
      <c r="AM859" t="inlineStr"/>
      <c r="AN859" t="inlineStr"/>
      <c r="AO859" t="inlineStr">
        <is>
          <t>cmm4yure104gbcuqw0iyq01tw</t>
        </is>
      </c>
      <c r="AP859" t="inlineStr">
        <is>
          <t>http://localhost:8787/api/admin/requirements/documents/cmm4yure104gbcuqw0iyq01tw/view</t>
        </is>
      </c>
      <c r="AQ859">
        <f>HYPERLÄNK("http://localhost:8787/api/admin/requirements/documents/cmm4yure104gbcuqw0iyq01tw/view";"Öppna PDF")</f>
        <v/>
      </c>
      <c r="AR859">
        <f>HYPERLINK("http://localhost:8787/api/admin/requirements/documents/cmm4yure104gbcuqw0iyq01tw/view","Open PDF")</f>
        <v/>
      </c>
      <c r="AS859" t="inlineStr">
        <is>
          <t>cmm55w57p0004cuisfrtpqly8</t>
        </is>
      </c>
      <c r="AT859" t="inlineStr">
        <is>
          <t>cmm4xvu980000cuh4vj0usz09</t>
        </is>
      </c>
      <c r="AU859" t="inlineStr">
        <is>
          <t>i Örnsköldsviks</t>
        </is>
      </c>
      <c r="AV859" t="inlineStr">
        <is>
          <t>Kommun</t>
        </is>
      </c>
      <c r="AW859" t="inlineStr">
        <is>
          <t>i Örnsköldsviks kommun</t>
        </is>
      </c>
      <c r="AX859" t="inlineStr">
        <is>
          <t>0660-880</t>
        </is>
      </c>
      <c r="AY859" t="inlineStr">
        <is>
          <t>Beslut</t>
        </is>
      </c>
      <c r="AZ859" t="inlineStr">
        <is>
          <t>2026-02-12</t>
        </is>
      </c>
      <c r="BA859" t="inlineStr">
        <is>
          <t>E-2025-840, beslut.pdf</t>
        </is>
      </c>
      <c r="BB859" t="inlineStr">
        <is>
          <t>Sv: till registrator</t>
        </is>
      </c>
      <c r="BC859" t="inlineStr">
        <is>
          <t>AUTO</t>
        </is>
      </c>
      <c r="BD859" t="inlineStr"/>
      <c r="BE859" t="inlineStr"/>
      <c r="BF859" t="inlineStr">
        <is>
          <t>AUTO_GENERERAD. Bekrafta metadata mot kallfil.</t>
        </is>
      </c>
      <c r="BG859">
        <f>HYPERLINK("C:\Users\jimmy\Desktop\Examens arbete\Kod\Ny mapp\remix_-copy-of-miljöbeslut.se-portal\E-2025-840, beslut.pdf", "Öppna PDF")</f>
        <v/>
      </c>
    </row>
    <row r="860">
      <c r="A860" t="inlineStr">
        <is>
          <t>KRAV-AUTO-000859</t>
        </is>
      </c>
      <c r="B860" t="inlineStr">
        <is>
          <t>ADMIN-INDEX-2026-02-27-00000000125C043F57453246863FE664CAFE6A3F0700950291EA24F0614FB6ACEDB12BF0E31D00000000010C0000950291EA24F0614FB6ACEDB12BF0E31D00002087A57E0000</t>
        </is>
      </c>
      <c r="C860" t="inlineStr">
        <is>
          <t>cmm4yuref04gqcuqwrzo1aich</t>
        </is>
      </c>
      <c r="D860" t="inlineStr">
        <is>
          <t>http://localhost:8787/api/admin/requirements/documents/cmm4yuref04gqcuqwrzo1aich/view</t>
        </is>
      </c>
      <c r="E860">
        <f>HYPERLÄNK("http://localhost:8787/api/admin/requirements/documents/cmm4yuref04gqcuqwrzo1aich/view";"Öppna PDF")</f>
        <v/>
      </c>
      <c r="F860">
        <f>HYPERLINK("http://localhost:8787/api/admin/requirements/documents/cmm4yuref04gqcuqwrzo1aich/view","Open PDF")</f>
        <v/>
      </c>
      <c r="G860" t="inlineStr">
        <is>
          <t>cmm55w57p0004cuisfrtpqly8</t>
        </is>
      </c>
      <c r="H860" t="inlineStr">
        <is>
          <t>Informationskrav</t>
        </is>
      </c>
      <c r="I860" t="inlineStr">
        <is>
          <t>LokaliseringPlats</t>
        </is>
      </c>
      <c r="J860" t="inlineStr">
        <is>
          <t>Skyddsobjekt</t>
        </is>
      </c>
      <c r="K860" t="inlineStr">
        <is>
          <t>Ange vilka bilagor som följer med anmälan Bilaga 1 Situationsplan över fastigheten, karta eller liknande Bilaga 3 Allmänna hänsynsregler Bilaga 2 Avfall Bilaga 4 Annat: Skickas in av verksamhetsutövaren i god tid innan mellanlagringen påbörjas.</t>
        </is>
      </c>
      <c r="L860" t="inlineStr">
        <is>
          <t>Ange vilka bilagor som följer med anmälan Bilaga 1 Situationsplan över fastigheten, karta eller liknande Bilaga 3 Allmänna hänsynsregler Bilaga 2 Avfall Bilaga 4 Annat: Skickas in av verksamhetsutövaren i god tid innan mellanlagringen påbörjas.</t>
        </is>
      </c>
      <c r="M860" t="inlineStr">
        <is>
          <t>BOR</t>
        </is>
      </c>
      <c r="N860" t="inlineStr"/>
      <c r="O860" t="inlineStr"/>
      <c r="P860" t="inlineStr"/>
      <c r="Q860" t="inlineStr"/>
      <c r="R860" t="inlineStr">
        <is>
          <t>Fore beslut</t>
        </is>
      </c>
      <c r="S860" t="inlineStr"/>
      <c r="T860" t="inlineStr">
        <is>
          <t>55 68 36</t>
        </is>
      </c>
      <c r="U860" t="inlineStr"/>
      <c r="V860" t="inlineStr"/>
      <c r="W860" t="inlineStr">
        <is>
          <t>Nej</t>
        </is>
      </c>
      <c r="X860" t="inlineStr">
        <is>
          <t>Nej</t>
        </is>
      </c>
      <c r="Y860" t="inlineStr">
        <is>
          <t>Nej</t>
        </is>
      </c>
      <c r="Z860" t="inlineStr">
        <is>
          <t>Nej</t>
        </is>
      </c>
      <c r="AA860" t="n">
        <v>3</v>
      </c>
      <c r="AB860" t="inlineStr">
        <is>
          <t>Platsforutsattningar</t>
        </is>
      </c>
      <c r="AC860" t="inlineStr">
        <is>
          <t>Situationsplan</t>
        </is>
      </c>
      <c r="AD860" t="inlineStr">
        <is>
          <t>Nej</t>
        </is>
      </c>
      <c r="AE860" t="inlineStr">
        <is>
          <t>Nej</t>
        </is>
      </c>
      <c r="AF860" t="inlineStr">
        <is>
          <t>Ej behandlad</t>
        </is>
      </c>
      <c r="AG860" t="inlineStr">
        <is>
          <t>AUTO_GENERERAD. Verifiera citat mot kallfil.</t>
        </is>
      </c>
      <c r="AH860" t="inlineStr">
        <is>
          <t>MEDIUM</t>
        </is>
      </c>
      <c r="AI860" t="inlineStr">
        <is>
          <t>AUTO</t>
        </is>
      </c>
      <c r="AJ860" t="inlineStr">
        <is>
          <t>Nej</t>
        </is>
      </c>
      <c r="AK860" t="inlineStr"/>
      <c r="AL860" t="inlineStr"/>
      <c r="AM860" t="inlineStr"/>
      <c r="AN860" t="inlineStr"/>
      <c r="AO860" t="inlineStr">
        <is>
          <t>cmm4yure104gbcuqw0iyq01tw</t>
        </is>
      </c>
      <c r="AP860" t="inlineStr">
        <is>
          <t>http://localhost:8787/api/admin/requirements/documents/cmm4yure104gbcuqw0iyq01tw/view</t>
        </is>
      </c>
      <c r="AQ860">
        <f>HYPERLÄNK("http://localhost:8787/api/admin/requirements/documents/cmm4yure104gbcuqw0iyq01tw/view";"Öppna PDF")</f>
        <v/>
      </c>
      <c r="AR860">
        <f>HYPERLINK("http://localhost:8787/api/admin/requirements/documents/cmm4yure104gbcuqw0iyq01tw/view","Open PDF")</f>
        <v/>
      </c>
      <c r="AS860" t="inlineStr">
        <is>
          <t>cmm55w57p0004cuisfrtpqly8</t>
        </is>
      </c>
      <c r="AT860" t="inlineStr">
        <is>
          <t>cmm4xvu980000cuh4vj0usz09</t>
        </is>
      </c>
      <c r="AU860" t="inlineStr">
        <is>
          <t>i Örnsköldsviks</t>
        </is>
      </c>
      <c r="AV860" t="inlineStr">
        <is>
          <t>Kommun</t>
        </is>
      </c>
      <c r="AW860" t="inlineStr">
        <is>
          <t>i Örnsköldsviks kommun</t>
        </is>
      </c>
      <c r="AX860" t="inlineStr">
        <is>
          <t>0660-880</t>
        </is>
      </c>
      <c r="AY860" t="inlineStr">
        <is>
          <t>Beslut</t>
        </is>
      </c>
      <c r="AZ860" t="inlineStr">
        <is>
          <t>2026-02-12</t>
        </is>
      </c>
      <c r="BA860" t="inlineStr">
        <is>
          <t>E-2025-840, beslut.pdf</t>
        </is>
      </c>
      <c r="BB860" t="inlineStr">
        <is>
          <t>Sv: till registrator</t>
        </is>
      </c>
      <c r="BC860" t="inlineStr">
        <is>
          <t>AUTO</t>
        </is>
      </c>
      <c r="BD860" t="inlineStr"/>
      <c r="BE860" t="inlineStr"/>
      <c r="BF860" t="inlineStr">
        <is>
          <t>AUTO_GENERERAD. Bekrafta metadata mot kallfil.</t>
        </is>
      </c>
      <c r="BG860">
        <f>HYPERLINK("C:\Users\jimmy\Desktop\Examens arbete\Kod\Ny mapp\remix_-copy-of-miljöbeslut.se-portal\E-2025-840, beslut.pdf", "Öppna PDF")</f>
        <v/>
      </c>
    </row>
    <row r="861">
      <c r="A861" t="inlineStr">
        <is>
          <t>KRAV-AUTO-000860</t>
        </is>
      </c>
      <c r="B861" t="inlineStr">
        <is>
          <t>ADMIN-INDEX-2026-02-27-00000000125C043F57453246863FE664CAFE6A3F0700950291EA24F0614FB6ACEDB12BF0E31D00000000010C0000950291EA24F0614FB6ACEDB12BF0E31D00002087A57E0000</t>
        </is>
      </c>
      <c r="C861" t="inlineStr">
        <is>
          <t>cmm4yurec04gncuqwe9k67pff</t>
        </is>
      </c>
      <c r="D861" t="inlineStr">
        <is>
          <t>http://localhost:8787/api/admin/requirements/documents/cmm4yurec04gncuqwe9k67pff/view</t>
        </is>
      </c>
      <c r="E861">
        <f>HYPERLÄNK("http://localhost:8787/api/admin/requirements/documents/cmm4yurec04gncuqwe9k67pff/view";"Öppna PDF")</f>
        <v/>
      </c>
      <c r="F861">
        <f>HYPERLINK("http://localhost:8787/api/admin/requirements/documents/cmm4yurec04gncuqwe9k67pff/view","Open PDF")</f>
        <v/>
      </c>
      <c r="G861" t="inlineStr">
        <is>
          <t>cmm55w57p0004cuisfrtpqly8</t>
        </is>
      </c>
      <c r="H861" t="inlineStr">
        <is>
          <t>Beslutsvillkor</t>
        </is>
      </c>
      <c r="I861" t="inlineStr">
        <is>
          <t>DagvattenLakvatten</t>
        </is>
      </c>
      <c r="J861" t="inlineStr">
        <is>
          <t>Uppsamling</t>
        </is>
      </c>
      <c r="K861" t="inlineStr">
        <is>
          <t>Elavfallet kommer att fortsätta förvaras på täta ytor med skydd från nederbörd med syfte att förhindra/minska risken för att dagvatten förorenas.</t>
        </is>
      </c>
      <c r="L861" t="inlineStr">
        <is>
          <t>Elavfallet kommer att fortsätta förvaras på täta ytor med skydd från nederbörd med syfte att förhindra/minska risken för att dagvatten förorenas.</t>
        </is>
      </c>
      <c r="M861" t="inlineStr">
        <is>
          <t>SKA</t>
        </is>
      </c>
      <c r="N861" t="inlineStr"/>
      <c r="O861" t="inlineStr"/>
      <c r="P861" t="inlineStr"/>
      <c r="Q861" t="inlineStr"/>
      <c r="R861" t="inlineStr">
        <is>
          <t>Vid nederbord och avrinning</t>
        </is>
      </c>
      <c r="S861" t="inlineStr"/>
      <c r="T861" t="inlineStr">
        <is>
          <t>212000</t>
        </is>
      </c>
      <c r="U861" t="inlineStr"/>
      <c r="V861" t="inlineStr"/>
      <c r="W861" t="inlineStr">
        <is>
          <t>Nej</t>
        </is>
      </c>
      <c r="X861" t="inlineStr">
        <is>
          <t>Ja</t>
        </is>
      </c>
      <c r="Y861" t="inlineStr">
        <is>
          <t>Ja</t>
        </is>
      </c>
      <c r="Z861" t="inlineStr">
        <is>
          <t>Nej</t>
        </is>
      </c>
      <c r="AA861" t="n">
        <v>6</v>
      </c>
      <c r="AB861" t="inlineStr">
        <is>
          <t>Lakvattenhantering</t>
        </is>
      </c>
      <c r="AC861" t="inlineStr">
        <is>
          <t>Flodesschema dagvatten-lakvatten</t>
        </is>
      </c>
      <c r="AD861" t="inlineStr">
        <is>
          <t>Nej</t>
        </is>
      </c>
      <c r="AE861" t="inlineStr">
        <is>
          <t>Nej</t>
        </is>
      </c>
      <c r="AF861" t="inlineStr">
        <is>
          <t>Ej behandlad</t>
        </is>
      </c>
      <c r="AG861" t="inlineStr">
        <is>
          <t>AUTO_GENERERAD. Verifiera citat mot kallfil.</t>
        </is>
      </c>
      <c r="AH861" t="inlineStr">
        <is>
          <t>MEDIUM</t>
        </is>
      </c>
      <c r="AI861" t="inlineStr">
        <is>
          <t>AUTO</t>
        </is>
      </c>
      <c r="AJ861" t="inlineStr">
        <is>
          <t>Nej</t>
        </is>
      </c>
      <c r="AK861" t="inlineStr"/>
      <c r="AL861" t="inlineStr"/>
      <c r="AM861" t="inlineStr"/>
      <c r="AN861" t="inlineStr"/>
      <c r="AO861" t="inlineStr">
        <is>
          <t>cmm4yure104gbcuqw0iyq01tw</t>
        </is>
      </c>
      <c r="AP861" t="inlineStr">
        <is>
          <t>http://localhost:8787/api/admin/requirements/documents/cmm4yure104gbcuqw0iyq01tw/view</t>
        </is>
      </c>
      <c r="AQ861">
        <f>HYPERLÄNK("http://localhost:8787/api/admin/requirements/documents/cmm4yure104gbcuqw0iyq01tw/view";"Öppna PDF")</f>
        <v/>
      </c>
      <c r="AR861">
        <f>HYPERLINK("http://localhost:8787/api/admin/requirements/documents/cmm4yure104gbcuqw0iyq01tw/view","Open PDF")</f>
        <v/>
      </c>
      <c r="AS861" t="inlineStr">
        <is>
          <t>cmm55w57p0004cuisfrtpqly8</t>
        </is>
      </c>
      <c r="AT861" t="inlineStr">
        <is>
          <t>cmm4xvu980000cuh4vj0usz09</t>
        </is>
      </c>
      <c r="AU861" t="inlineStr">
        <is>
          <t>i Örnsköldsviks</t>
        </is>
      </c>
      <c r="AV861" t="inlineStr">
        <is>
          <t>Kommun</t>
        </is>
      </c>
      <c r="AW861" t="inlineStr">
        <is>
          <t>i Örnsköldsviks kommun</t>
        </is>
      </c>
      <c r="AX861" t="inlineStr">
        <is>
          <t>0660-880</t>
        </is>
      </c>
      <c r="AY861" t="inlineStr">
        <is>
          <t>Beslut</t>
        </is>
      </c>
      <c r="AZ861" t="inlineStr">
        <is>
          <t>2026-02-12</t>
        </is>
      </c>
      <c r="BA861" t="inlineStr">
        <is>
          <t>E-2025-840, beslut.pdf</t>
        </is>
      </c>
      <c r="BB861" t="inlineStr">
        <is>
          <t>Sv: till registrator</t>
        </is>
      </c>
      <c r="BC861" t="inlineStr">
        <is>
          <t>AUTO</t>
        </is>
      </c>
      <c r="BD861" t="inlineStr"/>
      <c r="BE861" t="inlineStr"/>
      <c r="BF861" t="inlineStr">
        <is>
          <t>AUTO_GENERERAD. Bekrafta metadata mot kallfil.</t>
        </is>
      </c>
      <c r="BG861">
        <f>HYPERLINK("C:\Users\jimmy\Desktop\Examens arbete\Kod\Ny mapp\remix_-copy-of-miljöbeslut.se-portal\E-2025-840, beslut.pdf", "Öppna PDF")</f>
        <v/>
      </c>
    </row>
    <row r="862">
      <c r="A862" t="inlineStr">
        <is>
          <t>KRAV-AUTO-000861</t>
        </is>
      </c>
      <c r="B862" t="inlineStr">
        <is>
          <t>ADMIN-INDEX-2026-02-27-00000000125C043F57453246863FE664CAFE6A3F0700950291EA24F0614FB6ACEDB12BF0E31D00000000010C0000950291EA24F0614FB6ACEDB12BF0E31D00002087A57E0000</t>
        </is>
      </c>
      <c r="C862" t="inlineStr">
        <is>
          <t>cmm4yurec04gncuqwe9k67pff</t>
        </is>
      </c>
      <c r="D862" t="inlineStr">
        <is>
          <t>http://localhost:8787/api/admin/requirements/documents/cmm4yurec04gncuqwe9k67pff/view</t>
        </is>
      </c>
      <c r="E862">
        <f>HYPERLÄNK("http://localhost:8787/api/admin/requirements/documents/cmm4yurec04gncuqwe9k67pff/view";"Öppna PDF")</f>
        <v/>
      </c>
      <c r="F862">
        <f>HYPERLINK("http://localhost:8787/api/admin/requirements/documents/cmm4yurec04gncuqwe9k67pff/view","Open PDF")</f>
        <v/>
      </c>
      <c r="G862" t="inlineStr">
        <is>
          <t>cmm55w57p0004cuisfrtpqly8</t>
        </is>
      </c>
      <c r="H862" t="inlineStr">
        <is>
          <t>Beslutsvillkor</t>
        </is>
      </c>
      <c r="I862" t="inlineStr">
        <is>
          <t>DagvattenLakvatten</t>
        </is>
      </c>
      <c r="J862" t="inlineStr">
        <is>
          <t>Uppsamling</t>
        </is>
      </c>
      <c r="K862" t="inlineStr">
        <is>
          <t>Genom beslutet DB 2014-781 är det reglerat att el- avfallet ska förvaras på täta ytor, nederbördsskyddat och på ett sätt som ska eliminera risken att dagvatten kontamineras vid ett eventuellt läckage.</t>
        </is>
      </c>
      <c r="L862" t="inlineStr">
        <is>
          <t>Genom beslutet DB 2014-781 är det reglerat att el- avfallet ska förvaras på täta ytor, nederbördsskyddat och på ett sätt som ska eliminera risken att dagvatten kontamineras vid ett eventuellt läckage.</t>
        </is>
      </c>
      <c r="M862" t="inlineStr">
        <is>
          <t>SKA</t>
        </is>
      </c>
      <c r="N862" t="inlineStr"/>
      <c r="O862" t="inlineStr"/>
      <c r="P862" t="inlineStr"/>
      <c r="Q862" t="inlineStr"/>
      <c r="R862" t="inlineStr">
        <is>
          <t>Vid nederbord och avrinning</t>
        </is>
      </c>
      <c r="S862" t="inlineStr"/>
      <c r="T862" t="inlineStr">
        <is>
          <t>212000</t>
        </is>
      </c>
      <c r="U862" t="inlineStr"/>
      <c r="V862" t="inlineStr">
        <is>
          <t>781 ar</t>
        </is>
      </c>
      <c r="W862" t="inlineStr">
        <is>
          <t>Nej</t>
        </is>
      </c>
      <c r="X862" t="inlineStr">
        <is>
          <t>Ja</t>
        </is>
      </c>
      <c r="Y862" t="inlineStr">
        <is>
          <t>Ja</t>
        </is>
      </c>
      <c r="Z862" t="inlineStr">
        <is>
          <t>Nej</t>
        </is>
      </c>
      <c r="AA862" t="n">
        <v>6</v>
      </c>
      <c r="AB862" t="inlineStr">
        <is>
          <t>Lakvattenhantering</t>
        </is>
      </c>
      <c r="AC862" t="inlineStr">
        <is>
          <t>Flodesschema dagvatten-lakvatten</t>
        </is>
      </c>
      <c r="AD862" t="inlineStr">
        <is>
          <t>Nej</t>
        </is>
      </c>
      <c r="AE862" t="inlineStr">
        <is>
          <t>Nej</t>
        </is>
      </c>
      <c r="AF862" t="inlineStr">
        <is>
          <t>Ej behandlad</t>
        </is>
      </c>
      <c r="AG862" t="inlineStr">
        <is>
          <t>AUTO_GENERERAD. Verifiera citat mot kallfil.</t>
        </is>
      </c>
      <c r="AH862" t="inlineStr">
        <is>
          <t>MEDIUM</t>
        </is>
      </c>
      <c r="AI862" t="inlineStr">
        <is>
          <t>AUTO</t>
        </is>
      </c>
      <c r="AJ862" t="inlineStr">
        <is>
          <t>Nej</t>
        </is>
      </c>
      <c r="AK862" t="inlineStr"/>
      <c r="AL862" t="inlineStr"/>
      <c r="AM862" t="inlineStr"/>
      <c r="AN862" t="inlineStr"/>
      <c r="AO862" t="inlineStr">
        <is>
          <t>cmm4yure104gbcuqw0iyq01tw</t>
        </is>
      </c>
      <c r="AP862" t="inlineStr">
        <is>
          <t>http://localhost:8787/api/admin/requirements/documents/cmm4yure104gbcuqw0iyq01tw/view</t>
        </is>
      </c>
      <c r="AQ862">
        <f>HYPERLÄNK("http://localhost:8787/api/admin/requirements/documents/cmm4yure104gbcuqw0iyq01tw/view";"Öppna PDF")</f>
        <v/>
      </c>
      <c r="AR862">
        <f>HYPERLINK("http://localhost:8787/api/admin/requirements/documents/cmm4yure104gbcuqw0iyq01tw/view","Open PDF")</f>
        <v/>
      </c>
      <c r="AS862" t="inlineStr">
        <is>
          <t>cmm55w57p0004cuisfrtpqly8</t>
        </is>
      </c>
      <c r="AT862" t="inlineStr">
        <is>
          <t>cmm4xvu980000cuh4vj0usz09</t>
        </is>
      </c>
      <c r="AU862" t="inlineStr">
        <is>
          <t>i Örnsköldsviks</t>
        </is>
      </c>
      <c r="AV862" t="inlineStr">
        <is>
          <t>Kommun</t>
        </is>
      </c>
      <c r="AW862" t="inlineStr">
        <is>
          <t>i Örnsköldsviks kommun</t>
        </is>
      </c>
      <c r="AX862" t="inlineStr">
        <is>
          <t>0660-880</t>
        </is>
      </c>
      <c r="AY862" t="inlineStr">
        <is>
          <t>Beslut</t>
        </is>
      </c>
      <c r="AZ862" t="inlineStr">
        <is>
          <t>2026-02-12</t>
        </is>
      </c>
      <c r="BA862" t="inlineStr">
        <is>
          <t>E-2025-840, beslut.pdf</t>
        </is>
      </c>
      <c r="BB862" t="inlineStr">
        <is>
          <t>Sv: till registrator</t>
        </is>
      </c>
      <c r="BC862" t="inlineStr">
        <is>
          <t>AUTO</t>
        </is>
      </c>
      <c r="BD862" t="inlineStr"/>
      <c r="BE862" t="inlineStr"/>
      <c r="BF862" t="inlineStr">
        <is>
          <t>AUTO_GENERERAD. Bekrafta metadata mot kallfil.</t>
        </is>
      </c>
      <c r="BG862">
        <f>HYPERLINK("C:\Users\jimmy\Desktop\Examens arbete\Kod\Ny mapp\remix_-copy-of-miljöbeslut.se-portal\E-2025-840, beslut.pdf", "Öppna PDF")</f>
        <v/>
      </c>
    </row>
    <row r="863">
      <c r="A863" t="inlineStr">
        <is>
          <t>KRAV-AUTO-000862</t>
        </is>
      </c>
      <c r="B863" t="inlineStr">
        <is>
          <t>ADMIN-INDEX-2026-02-27-00000000125C043F57453246863FE664CAFE6A3F0700950291EA24F0614FB6ACEDB12BF0E31D00000000010C0000950291EA24F0614FB6ACEDB12BF0E31D00002087A57E0000</t>
        </is>
      </c>
      <c r="C863" t="inlineStr">
        <is>
          <t>cmm4yurec04gncuqwe9k67pff</t>
        </is>
      </c>
      <c r="D863" t="inlineStr">
        <is>
          <t>http://localhost:8787/api/admin/requirements/documents/cmm4yurec04gncuqwe9k67pff/view</t>
        </is>
      </c>
      <c r="E863">
        <f>HYPERLÄNK("http://localhost:8787/api/admin/requirements/documents/cmm4yurec04gncuqwe9k67pff/view";"Öppna PDF")</f>
        <v/>
      </c>
      <c r="F863">
        <f>HYPERLINK("http://localhost:8787/api/admin/requirements/documents/cmm4yurec04gncuqwe9k67pff/view","Open PDF")</f>
        <v/>
      </c>
      <c r="G863" t="inlineStr">
        <is>
          <t>cmm55w57p0004cuisfrtpqly8</t>
        </is>
      </c>
      <c r="H863" t="inlineStr">
        <is>
          <t>Beslutsvillkor</t>
        </is>
      </c>
      <c r="I863" t="inlineStr">
        <is>
          <t>LagringsvolymTid</t>
        </is>
      </c>
      <c r="J863" t="inlineStr">
        <is>
          <t>Maxmangd</t>
        </is>
      </c>
      <c r="K863" t="inlineStr">
        <is>
          <t>Den största mängden elavfallet som vid något tillfälle ska lagras på fastigheten får inte överskrida 50 ton.</t>
        </is>
      </c>
      <c r="L863" t="inlineStr">
        <is>
          <t>Den största mängden elavfallet som vid något tillfälle ska lagras på fastigheten får inte överskrida 50 ton.</t>
        </is>
      </c>
      <c r="M863" t="inlineStr">
        <is>
          <t>SKA</t>
        </is>
      </c>
      <c r="N863" t="inlineStr"/>
      <c r="O863" t="inlineStr"/>
      <c r="P863" t="inlineStr"/>
      <c r="Q863" t="inlineStr">
        <is>
          <t>Driftbegransning vid avvikelse</t>
        </is>
      </c>
      <c r="R863" t="inlineStr">
        <is>
          <t>Alltid</t>
        </is>
      </c>
      <c r="S863" t="inlineStr"/>
      <c r="T863" t="inlineStr">
        <is>
          <t>212000</t>
        </is>
      </c>
      <c r="U863" t="n">
        <v>50</v>
      </c>
      <c r="V863" t="inlineStr"/>
      <c r="W863" t="inlineStr">
        <is>
          <t>Nej</t>
        </is>
      </c>
      <c r="X863" t="inlineStr">
        <is>
          <t>Nej</t>
        </is>
      </c>
      <c r="Y863" t="inlineStr">
        <is>
          <t>Nej</t>
        </is>
      </c>
      <c r="Z863" t="inlineStr">
        <is>
          <t>Nej</t>
        </is>
      </c>
      <c r="AA863" t="n">
        <v>4</v>
      </c>
      <c r="AB863" t="inlineStr">
        <is>
          <t>Avfallsmangder och lagringstid</t>
        </is>
      </c>
      <c r="AC863" t="inlineStr">
        <is>
          <t>Avfallsforteckning</t>
        </is>
      </c>
      <c r="AD863" t="inlineStr">
        <is>
          <t>Nej</t>
        </is>
      </c>
      <c r="AE863" t="inlineStr">
        <is>
          <t>Nej</t>
        </is>
      </c>
      <c r="AF863" t="inlineStr">
        <is>
          <t>Ej behandlad</t>
        </is>
      </c>
      <c r="AG863" t="inlineStr">
        <is>
          <t>AUTO_GENERERAD. Verifiera citat mot kallfil.</t>
        </is>
      </c>
      <c r="AH863" t="inlineStr">
        <is>
          <t>MEDIUM</t>
        </is>
      </c>
      <c r="AI863" t="inlineStr">
        <is>
          <t>AUTO</t>
        </is>
      </c>
      <c r="AJ863" t="inlineStr">
        <is>
          <t>Nej</t>
        </is>
      </c>
      <c r="AK863" t="inlineStr"/>
      <c r="AL863" t="inlineStr"/>
      <c r="AM863" t="inlineStr"/>
      <c r="AN863" t="inlineStr"/>
      <c r="AO863" t="inlineStr">
        <is>
          <t>cmm4yure104gbcuqw0iyq01tw</t>
        </is>
      </c>
      <c r="AP863" t="inlineStr">
        <is>
          <t>http://localhost:8787/api/admin/requirements/documents/cmm4yure104gbcuqw0iyq01tw/view</t>
        </is>
      </c>
      <c r="AQ863">
        <f>HYPERLÄNK("http://localhost:8787/api/admin/requirements/documents/cmm4yure104gbcuqw0iyq01tw/view";"Öppna PDF")</f>
        <v/>
      </c>
      <c r="AR863">
        <f>HYPERLINK("http://localhost:8787/api/admin/requirements/documents/cmm4yure104gbcuqw0iyq01tw/view","Open PDF")</f>
        <v/>
      </c>
      <c r="AS863" t="inlineStr">
        <is>
          <t>cmm55w57p0004cuisfrtpqly8</t>
        </is>
      </c>
      <c r="AT863" t="inlineStr">
        <is>
          <t>cmm4xvu980000cuh4vj0usz09</t>
        </is>
      </c>
      <c r="AU863" t="inlineStr">
        <is>
          <t>i Örnsköldsviks</t>
        </is>
      </c>
      <c r="AV863" t="inlineStr">
        <is>
          <t>Kommun</t>
        </is>
      </c>
      <c r="AW863" t="inlineStr">
        <is>
          <t>i Örnsköldsviks kommun</t>
        </is>
      </c>
      <c r="AX863" t="inlineStr">
        <is>
          <t>0660-880</t>
        </is>
      </c>
      <c r="AY863" t="inlineStr">
        <is>
          <t>Beslut</t>
        </is>
      </c>
      <c r="AZ863" t="inlineStr">
        <is>
          <t>2026-02-12</t>
        </is>
      </c>
      <c r="BA863" t="inlineStr">
        <is>
          <t>E-2025-840, beslut.pdf</t>
        </is>
      </c>
      <c r="BB863" t="inlineStr">
        <is>
          <t>Sv: till registrator</t>
        </is>
      </c>
      <c r="BC863" t="inlineStr">
        <is>
          <t>AUTO</t>
        </is>
      </c>
      <c r="BD863" t="inlineStr"/>
      <c r="BE863" t="inlineStr"/>
      <c r="BF863" t="inlineStr">
        <is>
          <t>AUTO_GENERERAD. Bekrafta metadata mot kallfil.</t>
        </is>
      </c>
      <c r="BG863">
        <f>HYPERLINK("C:\Users\jimmy\Desktop\Examens arbete\Kod\Ny mapp\remix_-copy-of-miljöbeslut.se-portal\E-2025-840, beslut.pdf", "Öppna PDF")</f>
        <v/>
      </c>
    </row>
    <row r="864">
      <c r="A864" t="inlineStr">
        <is>
          <t>KRAV-AUTO-000863</t>
        </is>
      </c>
      <c r="B864" t="inlineStr">
        <is>
          <t>ADMIN-INDEX-2026-02-27-00000000125C043F57453246863FE664CAFE6A3F0700950291EA24F0614FB6ACEDB12BF0E31D00000000010C0000950291EA24F0614FB6ACEDB12BF0E31D00002087AE550000</t>
        </is>
      </c>
      <c r="C864" t="inlineStr">
        <is>
          <t>cmm4yupuc02zbcuqwjls41p19</t>
        </is>
      </c>
      <c r="D864" t="inlineStr">
        <is>
          <t>http://localhost:8787/api/admin/requirements/documents/cmm4yupuc02zbcuqwjls41p19/view</t>
        </is>
      </c>
      <c r="E864">
        <f>HYPERLÄNK("http://localhost:8787/api/admin/requirements/documents/cmm4yupuc02zbcuqwjls41p19/view";"Öppna PDF")</f>
        <v/>
      </c>
      <c r="F864">
        <f>HYPERLINK("http://localhost:8787/api/admin/requirements/documents/cmm4yupuc02zbcuqwjls41p19/view","Open PDF")</f>
        <v/>
      </c>
      <c r="G864" t="inlineStr">
        <is>
          <t>cmm55w57p0004cuisfrtpqly8</t>
        </is>
      </c>
      <c r="H864" t="inlineStr">
        <is>
          <t>Beslutsvillkor</t>
        </is>
      </c>
      <c r="I864" t="inlineStr">
        <is>
          <t>MiljopaverkanForsiktighet</t>
        </is>
      </c>
      <c r="J864" t="inlineStr">
        <is>
          <t>Skyddsatgarder</t>
        </is>
      </c>
      <c r="K864" t="inlineStr">
        <is>
          <t>Avfall som uppstår vid tömning skall tas omhand som farligt avfall.</t>
        </is>
      </c>
      <c r="L864" t="inlineStr">
        <is>
          <t>Avfall som uppstår vid tömning skall tas omhand som farligt avfall.</t>
        </is>
      </c>
      <c r="M864" t="inlineStr">
        <is>
          <t>SKA</t>
        </is>
      </c>
      <c r="N864" t="inlineStr"/>
      <c r="O864" t="inlineStr"/>
      <c r="P864" t="inlineStr">
        <is>
          <t>Arlig</t>
        </is>
      </c>
      <c r="Q864" t="inlineStr"/>
      <c r="R864" t="inlineStr">
        <is>
          <t>Alltid</t>
        </is>
      </c>
      <c r="S864" t="inlineStr"/>
      <c r="T864" t="inlineStr">
        <is>
          <t>96 2024</t>
        </is>
      </c>
      <c r="U864" t="inlineStr"/>
      <c r="V864" t="inlineStr"/>
      <c r="W864" t="inlineStr">
        <is>
          <t>Nej</t>
        </is>
      </c>
      <c r="X864" t="inlineStr">
        <is>
          <t>Nej</t>
        </is>
      </c>
      <c r="Y864" t="inlineStr">
        <is>
          <t>Nej</t>
        </is>
      </c>
      <c r="Z864" t="inlineStr">
        <is>
          <t>Nej</t>
        </is>
      </c>
      <c r="AA864" t="n">
        <v>10</v>
      </c>
      <c r="AB864" t="inlineStr">
        <is>
          <t>Miljopaverkan och forsiktighetsmatt</t>
        </is>
      </c>
      <c r="AC864" t="inlineStr">
        <is>
          <t>Miljo-PM</t>
        </is>
      </c>
      <c r="AD864" t="inlineStr">
        <is>
          <t>Nej</t>
        </is>
      </c>
      <c r="AE864" t="inlineStr">
        <is>
          <t>Nej</t>
        </is>
      </c>
      <c r="AF864" t="inlineStr">
        <is>
          <t>Ej behandlad</t>
        </is>
      </c>
      <c r="AG864" t="inlineStr">
        <is>
          <t>AUTO_GENERERAD. Verifiera citat mot kallfil.</t>
        </is>
      </c>
      <c r="AH864" t="inlineStr">
        <is>
          <t>MEDIUM</t>
        </is>
      </c>
      <c r="AI864" t="inlineStr">
        <is>
          <t>AUTO</t>
        </is>
      </c>
      <c r="AJ864" t="inlineStr">
        <is>
          <t>Nej</t>
        </is>
      </c>
      <c r="AK864" t="inlineStr"/>
      <c r="AL864" t="inlineStr"/>
      <c r="AM864" t="inlineStr"/>
      <c r="AN864" t="inlineStr"/>
      <c r="AO864" t="inlineStr">
        <is>
          <t>cmm4yupu002yzcuqw92mpgtbw</t>
        </is>
      </c>
      <c r="AP864" t="inlineStr">
        <is>
          <t>http://localhost:8787/api/admin/requirements/documents/cmm4yupu002yzcuqw92mpgtbw/view</t>
        </is>
      </c>
      <c r="AQ864">
        <f>HYPERLÄNK("http://localhost:8787/api/admin/requirements/documents/cmm4yupu002yzcuqw92mpgtbw/view";"Öppna PDF")</f>
        <v/>
      </c>
      <c r="AR864">
        <f>HYPERLINK("http://localhost:8787/api/admin/requirements/documents/cmm4yupu002yzcuqw92mpgtbw/view","Open PDF")</f>
        <v/>
      </c>
      <c r="AS864" t="inlineStr">
        <is>
          <t>cmm55w57p0004cuisfrtpqly8</t>
        </is>
      </c>
      <c r="AT864" t="inlineStr">
        <is>
          <t>cmm4xvu980000cuh4vj0usz09</t>
        </is>
      </c>
      <c r="AU864" t="inlineStr"/>
      <c r="AV864" t="inlineStr">
        <is>
          <t>Kommun</t>
        </is>
      </c>
      <c r="AW864" t="inlineStr"/>
      <c r="AX864" t="inlineStr">
        <is>
          <t>2024-576</t>
        </is>
      </c>
      <c r="AY864" t="inlineStr">
        <is>
          <t>Beslut</t>
        </is>
      </c>
      <c r="AZ864" t="inlineStr">
        <is>
          <t>2026-02-04</t>
        </is>
      </c>
      <c r="BA864" t="inlineStr">
        <is>
          <t>Säkerhetsdatablad Sonax Gloss Dryer.pdf</t>
        </is>
      </c>
      <c r="BB864" t="inlineStr">
        <is>
          <t>2024-576</t>
        </is>
      </c>
      <c r="BC864" t="inlineStr">
        <is>
          <t>AUTO</t>
        </is>
      </c>
      <c r="BD864" t="inlineStr"/>
      <c r="BE864" t="inlineStr"/>
      <c r="BF864" t="inlineStr">
        <is>
          <t>AUTO_GENERERAD. Bekrafta metadata mot kallfil.</t>
        </is>
      </c>
      <c r="BG864">
        <f>HYPERLINK("C:\Users\jimmy\Desktop\Examens arbete\Kod\Ny mapp\remix_-copy-of-miljöbeslut.se-portal\Säkerhetsdatablad Sonax Gloss Dryer.pdf", "Öppna PDF")</f>
        <v/>
      </c>
    </row>
    <row r="865">
      <c r="A865" t="inlineStr">
        <is>
          <t>KRAV-AUTO-000864</t>
        </is>
      </c>
      <c r="B865" t="inlineStr">
        <is>
          <t>ADMIN-INDEX-2026-02-27-00000000125C043F57453246863FE664CAFE6A3F0700950291EA24F0614FB6ACEDB12BF0E31D00000000010C0000950291EA24F0614FB6ACEDB12BF0E31D00002087AE550000</t>
        </is>
      </c>
      <c r="C865" t="inlineStr">
        <is>
          <t>cmm4yupuc02zbcuqwjls41p19</t>
        </is>
      </c>
      <c r="D865" t="inlineStr">
        <is>
          <t>http://localhost:8787/api/admin/requirements/documents/cmm4yupuc02zbcuqwjls41p19/view</t>
        </is>
      </c>
      <c r="E865">
        <f>HYPERLÄNK("http://localhost:8787/api/admin/requirements/documents/cmm4yupuc02zbcuqwjls41p19/view";"Öppna PDF")</f>
        <v/>
      </c>
      <c r="F865">
        <f>HYPERLINK("http://localhost:8787/api/admin/requirements/documents/cmm4yupuc02zbcuqwjls41p19/view","Open PDF")</f>
        <v/>
      </c>
      <c r="G865" t="inlineStr">
        <is>
          <t>cmm55w57p0004cuisfrtpqly8</t>
        </is>
      </c>
      <c r="H865" t="inlineStr">
        <is>
          <t>Beslutsvillkor</t>
        </is>
      </c>
      <c r="I865" t="inlineStr">
        <is>
          <t>DagvattenLakvatten</t>
        </is>
      </c>
      <c r="J865" t="inlineStr">
        <is>
          <t>Uppsamling</t>
        </is>
      </c>
      <c r="K865" t="inlineStr">
        <is>
          <t>Utgående vatten från fordonstvättsanläggningen skall efter rening ledas till spillvattennätet och ska därför uppfylla riktvärden enligt tabell 1 vad gäller maximal mängd förorening per tvättat fordon.</t>
        </is>
      </c>
      <c r="L865" t="inlineStr">
        <is>
          <t>Utgående vatten från fordonstvättsanläggningen skall efter rening ledas till spillvattennätet och ska därför uppfylla riktvärden enligt tabell 1 vad gäller maximal mängd förorening per tvättat fordon.</t>
        </is>
      </c>
      <c r="M865" t="inlineStr">
        <is>
          <t>SKA</t>
        </is>
      </c>
      <c r="N865" t="inlineStr"/>
      <c r="O865" t="inlineStr"/>
      <c r="P865" t="inlineStr"/>
      <c r="Q865" t="inlineStr"/>
      <c r="R865" t="inlineStr">
        <is>
          <t>Vid nederbord och avrinning</t>
        </is>
      </c>
      <c r="S865" t="inlineStr"/>
      <c r="T865" t="inlineStr">
        <is>
          <t>96 2024</t>
        </is>
      </c>
      <c r="U865" t="inlineStr"/>
      <c r="V865" t="inlineStr"/>
      <c r="W865" t="inlineStr">
        <is>
          <t>Nej</t>
        </is>
      </c>
      <c r="X865" t="inlineStr">
        <is>
          <t>Ja</t>
        </is>
      </c>
      <c r="Y865" t="inlineStr">
        <is>
          <t>Ja</t>
        </is>
      </c>
      <c r="Z865" t="inlineStr">
        <is>
          <t>Nej</t>
        </is>
      </c>
      <c r="AA865" t="n">
        <v>6</v>
      </c>
      <c r="AB865" t="inlineStr">
        <is>
          <t>Lakvattenhantering</t>
        </is>
      </c>
      <c r="AC865" t="inlineStr">
        <is>
          <t>Flodesschema dagvatten-lakvatten</t>
        </is>
      </c>
      <c r="AD865" t="inlineStr">
        <is>
          <t>Nej</t>
        </is>
      </c>
      <c r="AE865" t="inlineStr">
        <is>
          <t>Nej</t>
        </is>
      </c>
      <c r="AF865" t="inlineStr">
        <is>
          <t>Ej behandlad</t>
        </is>
      </c>
      <c r="AG865" t="inlineStr">
        <is>
          <t>AUTO_GENERERAD. Verifiera citat mot kallfil.</t>
        </is>
      </c>
      <c r="AH865" t="inlineStr">
        <is>
          <t>MEDIUM</t>
        </is>
      </c>
      <c r="AI865" t="inlineStr">
        <is>
          <t>AUTO</t>
        </is>
      </c>
      <c r="AJ865" t="inlineStr">
        <is>
          <t>Nej</t>
        </is>
      </c>
      <c r="AK865" t="inlineStr"/>
      <c r="AL865" t="inlineStr"/>
      <c r="AM865" t="inlineStr"/>
      <c r="AN865" t="inlineStr"/>
      <c r="AO865" t="inlineStr">
        <is>
          <t>cmm4yupu002yzcuqw92mpgtbw</t>
        </is>
      </c>
      <c r="AP865" t="inlineStr">
        <is>
          <t>http://localhost:8787/api/admin/requirements/documents/cmm4yupu002yzcuqw92mpgtbw/view</t>
        </is>
      </c>
      <c r="AQ865">
        <f>HYPERLÄNK("http://localhost:8787/api/admin/requirements/documents/cmm4yupu002yzcuqw92mpgtbw/view";"Öppna PDF")</f>
        <v/>
      </c>
      <c r="AR865">
        <f>HYPERLINK("http://localhost:8787/api/admin/requirements/documents/cmm4yupu002yzcuqw92mpgtbw/view","Open PDF")</f>
        <v/>
      </c>
      <c r="AS865" t="inlineStr">
        <is>
          <t>cmm55w57p0004cuisfrtpqly8</t>
        </is>
      </c>
      <c r="AT865" t="inlineStr">
        <is>
          <t>cmm4xvu980000cuh4vj0usz09</t>
        </is>
      </c>
      <c r="AU865" t="inlineStr"/>
      <c r="AV865" t="inlineStr">
        <is>
          <t>Kommun</t>
        </is>
      </c>
      <c r="AW865" t="inlineStr"/>
      <c r="AX865" t="inlineStr">
        <is>
          <t>2024-576</t>
        </is>
      </c>
      <c r="AY865" t="inlineStr">
        <is>
          <t>Beslut</t>
        </is>
      </c>
      <c r="AZ865" t="inlineStr">
        <is>
          <t>2026-02-04</t>
        </is>
      </c>
      <c r="BA865" t="inlineStr">
        <is>
          <t>Säkerhetsdatablad Sonax Gloss Dryer.pdf</t>
        </is>
      </c>
      <c r="BB865" t="inlineStr">
        <is>
          <t>2024-576</t>
        </is>
      </c>
      <c r="BC865" t="inlineStr">
        <is>
          <t>AUTO</t>
        </is>
      </c>
      <c r="BD865" t="inlineStr"/>
      <c r="BE865" t="inlineStr"/>
      <c r="BF865" t="inlineStr">
        <is>
          <t>AUTO_GENERERAD. Bekrafta metadata mot kallfil.</t>
        </is>
      </c>
      <c r="BG865">
        <f>HYPERLINK("C:\Users\jimmy\Desktop\Examens arbete\Kod\Ny mapp\remix_-copy-of-miljöbeslut.se-portal\Säkerhetsdatablad Sonax Gloss Dryer.pdf", "Öppna PDF")</f>
        <v/>
      </c>
    </row>
    <row r="866">
      <c r="A866" t="inlineStr">
        <is>
          <t>KRAV-AUTO-000865</t>
        </is>
      </c>
      <c r="B866" t="inlineStr">
        <is>
          <t>ADMIN-INDEX-2026-02-27-00000000125C043F57453246863FE664CAFE6A3F0700950291EA24F0614FB6ACEDB12BF0E31D00000000010C0000950291EA24F0614FB6ACEDB12BF0E31D00002087AE550000</t>
        </is>
      </c>
      <c r="C866" t="inlineStr">
        <is>
          <t>cmm4yupuc02zbcuqwjls41p19</t>
        </is>
      </c>
      <c r="D866" t="inlineStr">
        <is>
          <t>http://localhost:8787/api/admin/requirements/documents/cmm4yupuc02zbcuqwjls41p19/view</t>
        </is>
      </c>
      <c r="E866">
        <f>HYPERLÄNK("http://localhost:8787/api/admin/requirements/documents/cmm4yupuc02zbcuqwjls41p19/view";"Öppna PDF")</f>
        <v/>
      </c>
      <c r="F866">
        <f>HYPERLINK("http://localhost:8787/api/admin/requirements/documents/cmm4yupuc02zbcuqwjls41p19/view","Open PDF")</f>
        <v/>
      </c>
      <c r="G866" t="inlineStr">
        <is>
          <t>cmm55w57p0004cuisfrtpqly8</t>
        </is>
      </c>
      <c r="H866" t="inlineStr">
        <is>
          <t>Beslutsvillkor</t>
        </is>
      </c>
      <c r="I866" t="inlineStr">
        <is>
          <t>Ytkonstruktion</t>
        </is>
      </c>
      <c r="J866" t="inlineStr">
        <is>
          <t>Tat yta</t>
        </is>
      </c>
      <c r="K866" t="inlineStr">
        <is>
          <t>Kemikalier ska förvaras i sekundärt skydd eller i en invallning som är tät och beständig mot det aktuella ämnet, samt rymmer hela den största behållarens volym plus 10 procent av resterande behållares totala volym.</t>
        </is>
      </c>
      <c r="L866" t="inlineStr">
        <is>
          <t>Kemikalier ska förvaras i sekundärt skydd eller i en invallning som är tät och beständig mot det aktuella ämnet, samt rymmer hela den största behållarens volym plus 10 procent av resterande behållares totala volym.</t>
        </is>
      </c>
      <c r="M866" t="inlineStr">
        <is>
          <t>SKA</t>
        </is>
      </c>
      <c r="N866" t="inlineStr"/>
      <c r="O866" t="inlineStr"/>
      <c r="P866" t="inlineStr"/>
      <c r="Q866" t="inlineStr"/>
      <c r="R866" t="inlineStr">
        <is>
          <t>Vid mellanlagring av avfall</t>
        </is>
      </c>
      <c r="S866" t="inlineStr"/>
      <c r="T866" t="inlineStr">
        <is>
          <t>96 2024</t>
        </is>
      </c>
      <c r="U866" t="inlineStr"/>
      <c r="V866" t="inlineStr"/>
      <c r="W866" t="inlineStr">
        <is>
          <t>Ja</t>
        </is>
      </c>
      <c r="X866" t="inlineStr">
        <is>
          <t>Nej</t>
        </is>
      </c>
      <c r="Y866" t="inlineStr">
        <is>
          <t>Nej</t>
        </is>
      </c>
      <c r="Z866" t="inlineStr">
        <is>
          <t>Nej</t>
        </is>
      </c>
      <c r="AA866" t="n">
        <v>5</v>
      </c>
      <c r="AB866" t="inlineStr">
        <is>
          <t>Teknisk beskrivning av platta</t>
        </is>
      </c>
      <c r="AC866" t="inlineStr">
        <is>
          <t>Teknisk ritning platta</t>
        </is>
      </c>
      <c r="AD866" t="inlineStr">
        <is>
          <t>Nej</t>
        </is>
      </c>
      <c r="AE866" t="inlineStr">
        <is>
          <t>Nej</t>
        </is>
      </c>
      <c r="AF866" t="inlineStr">
        <is>
          <t>Ej behandlad</t>
        </is>
      </c>
      <c r="AG866" t="inlineStr">
        <is>
          <t>AUTO_GENERERAD. Verifiera citat mot kallfil.</t>
        </is>
      </c>
      <c r="AH866" t="inlineStr">
        <is>
          <t>MEDIUM</t>
        </is>
      </c>
      <c r="AI866" t="inlineStr">
        <is>
          <t>AUTO</t>
        </is>
      </c>
      <c r="AJ866" t="inlineStr">
        <is>
          <t>Nej</t>
        </is>
      </c>
      <c r="AK866" t="inlineStr"/>
      <c r="AL866" t="inlineStr"/>
      <c r="AM866" t="inlineStr"/>
      <c r="AN866" t="inlineStr"/>
      <c r="AO866" t="inlineStr">
        <is>
          <t>cmm4yupu002yzcuqw92mpgtbw</t>
        </is>
      </c>
      <c r="AP866" t="inlineStr">
        <is>
          <t>http://localhost:8787/api/admin/requirements/documents/cmm4yupu002yzcuqw92mpgtbw/view</t>
        </is>
      </c>
      <c r="AQ866">
        <f>HYPERLÄNK("http://localhost:8787/api/admin/requirements/documents/cmm4yupu002yzcuqw92mpgtbw/view";"Öppna PDF")</f>
        <v/>
      </c>
      <c r="AR866">
        <f>HYPERLINK("http://localhost:8787/api/admin/requirements/documents/cmm4yupu002yzcuqw92mpgtbw/view","Open PDF")</f>
        <v/>
      </c>
      <c r="AS866" t="inlineStr">
        <is>
          <t>cmm55w57p0004cuisfrtpqly8</t>
        </is>
      </c>
      <c r="AT866" t="inlineStr">
        <is>
          <t>cmm4xvu980000cuh4vj0usz09</t>
        </is>
      </c>
      <c r="AU866" t="inlineStr"/>
      <c r="AV866" t="inlineStr">
        <is>
          <t>Kommun</t>
        </is>
      </c>
      <c r="AW866" t="inlineStr"/>
      <c r="AX866" t="inlineStr">
        <is>
          <t>2024-576</t>
        </is>
      </c>
      <c r="AY866" t="inlineStr">
        <is>
          <t>Beslut</t>
        </is>
      </c>
      <c r="AZ866" t="inlineStr">
        <is>
          <t>2026-02-04</t>
        </is>
      </c>
      <c r="BA866" t="inlineStr">
        <is>
          <t>Säkerhetsdatablad Sonax Gloss Dryer.pdf</t>
        </is>
      </c>
      <c r="BB866" t="inlineStr">
        <is>
          <t>2024-576</t>
        </is>
      </c>
      <c r="BC866" t="inlineStr">
        <is>
          <t>AUTO</t>
        </is>
      </c>
      <c r="BD866" t="inlineStr"/>
      <c r="BE866" t="inlineStr"/>
      <c r="BF866" t="inlineStr">
        <is>
          <t>AUTO_GENERERAD. Bekrafta metadata mot kallfil.</t>
        </is>
      </c>
      <c r="BG866">
        <f>HYPERLINK("C:\Users\jimmy\Desktop\Examens arbete\Kod\Ny mapp\remix_-copy-of-miljöbeslut.se-portal\Säkerhetsdatablad Sonax Gloss Dryer.pdf", "Öppna PDF")</f>
        <v/>
      </c>
    </row>
    <row r="867">
      <c r="A867" t="inlineStr">
        <is>
          <t>KRAV-AUTO-000866</t>
        </is>
      </c>
      <c r="B867" t="inlineStr">
        <is>
          <t>ADMIN-INDEX-2026-02-27-00000000125C043F57453246863FE664CAFE6A3F0700950291EA24F0614FB6ACEDB12BF0E31D00000000010C0000950291EA24F0614FB6ACEDB12BF0E31D00002087A57E0000</t>
        </is>
      </c>
      <c r="C867" t="inlineStr">
        <is>
          <t>cmm4yure904gkcuqw947iihiq</t>
        </is>
      </c>
      <c r="D867" t="inlineStr">
        <is>
          <t>http://localhost:8787/api/admin/requirements/documents/cmm4yure904gkcuqw947iihiq/view</t>
        </is>
      </c>
      <c r="E867">
        <f>HYPERLÄNK("http://localhost:8787/api/admin/requirements/documents/cmm4yure904gkcuqw947iihiq/view";"Öppna PDF")</f>
        <v/>
      </c>
      <c r="F867">
        <f>HYPERLINK("http://localhost:8787/api/admin/requirements/documents/cmm4yure904gkcuqw947iihiq/view","Open PDF")</f>
        <v/>
      </c>
      <c r="G867" t="inlineStr">
        <is>
          <t>cmm55w57p0004cuisfrtpqly8</t>
        </is>
      </c>
      <c r="H867" t="inlineStr">
        <is>
          <t>Informationskrav</t>
        </is>
      </c>
      <c r="I867" t="inlineStr">
        <is>
          <t>DagvattenLakvatten</t>
        </is>
      </c>
      <c r="J867" t="inlineStr">
        <is>
          <t>Uppsamling</t>
        </is>
      </c>
      <c r="K867" t="inlineStr">
        <is>
          <t>Dagvatten och spill Lagringen av elavfallet kommer att ske på tätt underlag och skyddat från nederbörd.</t>
        </is>
      </c>
      <c r="L867" t="inlineStr">
        <is>
          <t>Dagvatten och spill Lagringen av elavfallet kommer att ske på tätt underlag och skyddat från nederbörd.</t>
        </is>
      </c>
      <c r="M867" t="inlineStr">
        <is>
          <t>BOR</t>
        </is>
      </c>
      <c r="N867" t="inlineStr"/>
      <c r="O867" t="inlineStr"/>
      <c r="P867" t="inlineStr"/>
      <c r="Q867" t="inlineStr"/>
      <c r="R867" t="inlineStr">
        <is>
          <t>Vid nederbord och avrinning</t>
        </is>
      </c>
      <c r="S867" t="inlineStr"/>
      <c r="T867" t="inlineStr">
        <is>
          <t>55 61 32</t>
        </is>
      </c>
      <c r="U867" t="inlineStr"/>
      <c r="V867" t="inlineStr"/>
      <c r="W867" t="inlineStr">
        <is>
          <t>Nej</t>
        </is>
      </c>
      <c r="X867" t="inlineStr">
        <is>
          <t>Ja</t>
        </is>
      </c>
      <c r="Y867" t="inlineStr">
        <is>
          <t>Ja</t>
        </is>
      </c>
      <c r="Z867" t="inlineStr">
        <is>
          <t>Nej</t>
        </is>
      </c>
      <c r="AA867" t="n">
        <v>6</v>
      </c>
      <c r="AB867" t="inlineStr">
        <is>
          <t>Lakvattenhantering</t>
        </is>
      </c>
      <c r="AC867" t="inlineStr">
        <is>
          <t>Flodesschema dagvatten-lakvatten</t>
        </is>
      </c>
      <c r="AD867" t="inlineStr">
        <is>
          <t>Nej</t>
        </is>
      </c>
      <c r="AE867" t="inlineStr">
        <is>
          <t>Nej</t>
        </is>
      </c>
      <c r="AF867" t="inlineStr">
        <is>
          <t>Ej behandlad</t>
        </is>
      </c>
      <c r="AG867" t="inlineStr">
        <is>
          <t>AUTO_GENERERAD. Verifiera citat mot kallfil.</t>
        </is>
      </c>
      <c r="AH867" t="inlineStr">
        <is>
          <t>MEDIUM</t>
        </is>
      </c>
      <c r="AI867" t="inlineStr">
        <is>
          <t>AUTO</t>
        </is>
      </c>
      <c r="AJ867" t="inlineStr">
        <is>
          <t>Nej</t>
        </is>
      </c>
      <c r="AK867" t="inlineStr"/>
      <c r="AL867" t="inlineStr"/>
      <c r="AM867" t="inlineStr"/>
      <c r="AN867" t="inlineStr"/>
      <c r="AO867" t="inlineStr">
        <is>
          <t>cmm4yure104gbcuqw0iyq01tw</t>
        </is>
      </c>
      <c r="AP867" t="inlineStr">
        <is>
          <t>http://localhost:8787/api/admin/requirements/documents/cmm4yure104gbcuqw0iyq01tw/view</t>
        </is>
      </c>
      <c r="AQ867">
        <f>HYPERLÄNK("http://localhost:8787/api/admin/requirements/documents/cmm4yure104gbcuqw0iyq01tw/view";"Öppna PDF")</f>
        <v/>
      </c>
      <c r="AR867">
        <f>HYPERLINK("http://localhost:8787/api/admin/requirements/documents/cmm4yure104gbcuqw0iyq01tw/view","Open PDF")</f>
        <v/>
      </c>
      <c r="AS867" t="inlineStr">
        <is>
          <t>cmm55w57p0004cuisfrtpqly8</t>
        </is>
      </c>
      <c r="AT867" t="inlineStr">
        <is>
          <t>cmm4xvu980000cuh4vj0usz09</t>
        </is>
      </c>
      <c r="AU867" t="inlineStr">
        <is>
          <t>i Örnsköldsviks</t>
        </is>
      </c>
      <c r="AV867" t="inlineStr">
        <is>
          <t>Kommun</t>
        </is>
      </c>
      <c r="AW867" t="inlineStr">
        <is>
          <t>i Örnsköldsviks kommun</t>
        </is>
      </c>
      <c r="AX867" t="inlineStr">
        <is>
          <t>0660-880</t>
        </is>
      </c>
      <c r="AY867" t="inlineStr">
        <is>
          <t>Beslut</t>
        </is>
      </c>
      <c r="AZ867" t="inlineStr">
        <is>
          <t>2026-02-12</t>
        </is>
      </c>
      <c r="BA867" t="inlineStr">
        <is>
          <t>E-2025-840, beslut.pdf</t>
        </is>
      </c>
      <c r="BB867" t="inlineStr">
        <is>
          <t>Sv: till registrator</t>
        </is>
      </c>
      <c r="BC867" t="inlineStr">
        <is>
          <t>AUTO</t>
        </is>
      </c>
      <c r="BD867" t="inlineStr"/>
      <c r="BE867" t="inlineStr"/>
      <c r="BF867" t="inlineStr">
        <is>
          <t>AUTO_GENERERAD. Bekrafta metadata mot kallfil.</t>
        </is>
      </c>
      <c r="BG867">
        <f>HYPERLINK("C:\Users\jimmy\Desktop\Examens arbete\Kod\Ny mapp\remix_-copy-of-miljöbeslut.se-portal\E-2025-840, beslut.pdf", "Öppna PDF")</f>
        <v/>
      </c>
    </row>
    <row r="868">
      <c r="A868" t="inlineStr">
        <is>
          <t>KRAV-AUTO-000867</t>
        </is>
      </c>
      <c r="B868" t="inlineStr">
        <is>
          <t>ADMIN-INDEX-2026-02-27-00000000125C043F57453246863FE664CAFE6A3F0700950291EA24F0614FB6ACEDB12BF0E31D00000000010C0000950291EA24F0614FB6ACEDB12BF0E31D00002087A57E0000</t>
        </is>
      </c>
      <c r="C868" t="inlineStr">
        <is>
          <t>cmm4yure904gkcuqw947iihiq</t>
        </is>
      </c>
      <c r="D868" t="inlineStr">
        <is>
          <t>http://localhost:8787/api/admin/requirements/documents/cmm4yure904gkcuqw947iihiq/view</t>
        </is>
      </c>
      <c r="E868">
        <f>HYPERLÄNK("http://localhost:8787/api/admin/requirements/documents/cmm4yure904gkcuqw947iihiq/view";"Öppna PDF")</f>
        <v/>
      </c>
      <c r="F868">
        <f>HYPERLINK("http://localhost:8787/api/admin/requirements/documents/cmm4yure904gkcuqw947iihiq/view","Open PDF")</f>
        <v/>
      </c>
      <c r="G868" t="inlineStr">
        <is>
          <t>cmm55w57p0004cuisfrtpqly8</t>
        </is>
      </c>
      <c r="H868" t="inlineStr">
        <is>
          <t>Informationskrav</t>
        </is>
      </c>
      <c r="I868" t="inlineStr">
        <is>
          <t>LagringsvolymTid</t>
        </is>
      </c>
      <c r="J868" t="inlineStr">
        <is>
          <t>Maxmangd</t>
        </is>
      </c>
      <c r="K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L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M868" t="inlineStr">
        <is>
          <t>BOR</t>
        </is>
      </c>
      <c r="N868" t="inlineStr"/>
      <c r="O868" t="inlineStr">
        <is>
          <t>2020-03-06</t>
        </is>
      </c>
      <c r="P868" t="inlineStr"/>
      <c r="Q868" t="inlineStr"/>
      <c r="R868" t="inlineStr">
        <is>
          <t>Alltid</t>
        </is>
      </c>
      <c r="S868" t="inlineStr"/>
      <c r="T868" t="inlineStr">
        <is>
          <t>55 61 32</t>
        </is>
      </c>
      <c r="U868" t="n">
        <v>150</v>
      </c>
      <c r="V868" t="inlineStr"/>
      <c r="W868" t="inlineStr">
        <is>
          <t>Nej</t>
        </is>
      </c>
      <c r="X868" t="inlineStr">
        <is>
          <t>Nej</t>
        </is>
      </c>
      <c r="Y868" t="inlineStr">
        <is>
          <t>Nej</t>
        </is>
      </c>
      <c r="Z868" t="inlineStr">
        <is>
          <t>Nej</t>
        </is>
      </c>
      <c r="AA868" t="n">
        <v>4</v>
      </c>
      <c r="AB868" t="inlineStr">
        <is>
          <t>Avfallsmangder och lagringstid</t>
        </is>
      </c>
      <c r="AC868" t="inlineStr">
        <is>
          <t>Avfallsforteckning</t>
        </is>
      </c>
      <c r="AD868" t="inlineStr">
        <is>
          <t>Nej</t>
        </is>
      </c>
      <c r="AE868" t="inlineStr">
        <is>
          <t>Nej</t>
        </is>
      </c>
      <c r="AF868" t="inlineStr">
        <is>
          <t>Ej behandlad</t>
        </is>
      </c>
      <c r="AG868" t="inlineStr">
        <is>
          <t>AUTO_GENERERAD. Verifiera citat mot kallfil.</t>
        </is>
      </c>
      <c r="AH868" t="inlineStr">
        <is>
          <t>MEDIUM</t>
        </is>
      </c>
      <c r="AI868" t="inlineStr">
        <is>
          <t>AUTO</t>
        </is>
      </c>
      <c r="AJ868" t="inlineStr">
        <is>
          <t>Nej</t>
        </is>
      </c>
      <c r="AK868" t="inlineStr"/>
      <c r="AL868" t="inlineStr"/>
      <c r="AM868" t="inlineStr"/>
      <c r="AN868" t="inlineStr"/>
      <c r="AO868" t="inlineStr">
        <is>
          <t>cmm4yure104gbcuqw0iyq01tw</t>
        </is>
      </c>
      <c r="AP868" t="inlineStr">
        <is>
          <t>http://localhost:8787/api/admin/requirements/documents/cmm4yure104gbcuqw0iyq01tw/view</t>
        </is>
      </c>
      <c r="AQ868">
        <f>HYPERLÄNK("http://localhost:8787/api/admin/requirements/documents/cmm4yure104gbcuqw0iyq01tw/view";"Öppna PDF")</f>
        <v/>
      </c>
      <c r="AR868">
        <f>HYPERLINK("http://localhost:8787/api/admin/requirements/documents/cmm4yure104gbcuqw0iyq01tw/view","Open PDF")</f>
        <v/>
      </c>
      <c r="AS868" t="inlineStr">
        <is>
          <t>cmm55w57p0004cuisfrtpqly8</t>
        </is>
      </c>
      <c r="AT868" t="inlineStr">
        <is>
          <t>cmm4xvu980000cuh4vj0usz09</t>
        </is>
      </c>
      <c r="AU868" t="inlineStr">
        <is>
          <t>i Örnsköldsviks</t>
        </is>
      </c>
      <c r="AV868" t="inlineStr">
        <is>
          <t>Kommun</t>
        </is>
      </c>
      <c r="AW868" t="inlineStr">
        <is>
          <t>i Örnsköldsviks kommun</t>
        </is>
      </c>
      <c r="AX868" t="inlineStr">
        <is>
          <t>0660-880</t>
        </is>
      </c>
      <c r="AY868" t="inlineStr">
        <is>
          <t>Beslut</t>
        </is>
      </c>
      <c r="AZ868" t="inlineStr">
        <is>
          <t>2026-02-12</t>
        </is>
      </c>
      <c r="BA868" t="inlineStr">
        <is>
          <t>E-2025-840, beslut.pdf</t>
        </is>
      </c>
      <c r="BB868" t="inlineStr">
        <is>
          <t>Sv: till registrator</t>
        </is>
      </c>
      <c r="BC868" t="inlineStr">
        <is>
          <t>AUTO</t>
        </is>
      </c>
      <c r="BD868" t="inlineStr"/>
      <c r="BE868" t="inlineStr"/>
      <c r="BF868" t="inlineStr">
        <is>
          <t>AUTO_GENERERAD. Bekrafta metadata mot kallfil.</t>
        </is>
      </c>
      <c r="BG868">
        <f>HYPERLINK("C:\Users\jimmy\Desktop\Examens arbete\Kod\Ny mapp\remix_-copy-of-miljöbeslut.se-portal\E-2025-840, beslut.pdf", "Öppna PDF")</f>
        <v/>
      </c>
    </row>
    <row r="869">
      <c r="A869" t="inlineStr">
        <is>
          <t>KRAV-AUTO-000868</t>
        </is>
      </c>
      <c r="B869" t="inlineStr">
        <is>
          <t>ADMIN-INDEX-2026-02-27-00000000125C043F57453246863FE664CAFE6A3F0700950291EA24F0614FB6ACEDB12BF0E31D00000000010C0000950291EA24F0614FB6ACEDB12BF0E31D00002087A57E0000</t>
        </is>
      </c>
      <c r="C869" t="inlineStr">
        <is>
          <t>cmm4yure904gkcuqw947iihiq</t>
        </is>
      </c>
      <c r="D869" t="inlineStr">
        <is>
          <t>http://localhost:8787/api/admin/requirements/documents/cmm4yure904gkcuqw947iihiq/view</t>
        </is>
      </c>
      <c r="E869">
        <f>HYPERLÄNK("http://localhost:8787/api/admin/requirements/documents/cmm4yure904gkcuqw947iihiq/view";"Öppna PDF")</f>
        <v/>
      </c>
      <c r="F869">
        <f>HYPERLINK("http://localhost:8787/api/admin/requirements/documents/cmm4yure904gkcuqw947iihiq/view","Open PDF")</f>
        <v/>
      </c>
      <c r="G869" t="inlineStr">
        <is>
          <t>cmm55w57p0004cuisfrtpqly8</t>
        </is>
      </c>
      <c r="H869" t="inlineStr">
        <is>
          <t>Informationskrav</t>
        </is>
      </c>
      <c r="I869" t="inlineStr">
        <is>
          <t>Ytkonstruktion</t>
        </is>
      </c>
      <c r="J869" t="inlineStr">
        <is>
          <t>Tat yta</t>
        </is>
      </c>
      <c r="K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L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M869" t="inlineStr">
        <is>
          <t>SKA</t>
        </is>
      </c>
      <c r="N869" t="inlineStr">
        <is>
          <t>MPF</t>
        </is>
      </c>
      <c r="O869" t="inlineStr"/>
      <c r="P869" t="inlineStr"/>
      <c r="Q869" t="inlineStr"/>
      <c r="R869" t="inlineStr">
        <is>
          <t>Vid mellanlagring av avfall</t>
        </is>
      </c>
      <c r="S869" t="inlineStr"/>
      <c r="T869" t="inlineStr">
        <is>
          <t>55 61 32</t>
        </is>
      </c>
      <c r="U869" t="inlineStr"/>
      <c r="V869" t="inlineStr"/>
      <c r="W869" t="inlineStr">
        <is>
          <t>Ja</t>
        </is>
      </c>
      <c r="X869" t="inlineStr">
        <is>
          <t>Nej</t>
        </is>
      </c>
      <c r="Y869" t="inlineStr">
        <is>
          <t>Nej</t>
        </is>
      </c>
      <c r="Z869" t="inlineStr">
        <is>
          <t>Nej</t>
        </is>
      </c>
      <c r="AA869" t="n">
        <v>5</v>
      </c>
      <c r="AB869" t="inlineStr">
        <is>
          <t>Teknisk beskrivning av platta</t>
        </is>
      </c>
      <c r="AC869" t="inlineStr">
        <is>
          <t>Teknisk ritning platta</t>
        </is>
      </c>
      <c r="AD869" t="inlineStr">
        <is>
          <t>Nej</t>
        </is>
      </c>
      <c r="AE869" t="inlineStr">
        <is>
          <t>Nej</t>
        </is>
      </c>
      <c r="AF869" t="inlineStr">
        <is>
          <t>Ej behandlad</t>
        </is>
      </c>
      <c r="AG869" t="inlineStr">
        <is>
          <t>AUTO_GENERERAD. Verifiera citat mot kallfil.</t>
        </is>
      </c>
      <c r="AH869" t="inlineStr">
        <is>
          <t>HIGH</t>
        </is>
      </c>
      <c r="AI869" t="inlineStr">
        <is>
          <t>AUTO</t>
        </is>
      </c>
      <c r="AJ869" t="inlineStr">
        <is>
          <t>Nej</t>
        </is>
      </c>
      <c r="AK869" t="inlineStr"/>
      <c r="AL869" t="inlineStr"/>
      <c r="AM869" t="inlineStr"/>
      <c r="AN869" t="inlineStr"/>
      <c r="AO869" t="inlineStr">
        <is>
          <t>cmm4yure104gbcuqw0iyq01tw</t>
        </is>
      </c>
      <c r="AP869" t="inlineStr">
        <is>
          <t>http://localhost:8787/api/admin/requirements/documents/cmm4yure104gbcuqw0iyq01tw/view</t>
        </is>
      </c>
      <c r="AQ869">
        <f>HYPERLÄNK("http://localhost:8787/api/admin/requirements/documents/cmm4yure104gbcuqw0iyq01tw/view";"Öppna PDF")</f>
        <v/>
      </c>
      <c r="AR869">
        <f>HYPERLINK("http://localhost:8787/api/admin/requirements/documents/cmm4yure104gbcuqw0iyq01tw/view","Open PDF")</f>
        <v/>
      </c>
      <c r="AS869" t="inlineStr">
        <is>
          <t>cmm55w57p0004cuisfrtpqly8</t>
        </is>
      </c>
      <c r="AT869" t="inlineStr">
        <is>
          <t>cmm4xvu980000cuh4vj0usz09</t>
        </is>
      </c>
      <c r="AU869" t="inlineStr">
        <is>
          <t>i Örnsköldsviks</t>
        </is>
      </c>
      <c r="AV869" t="inlineStr">
        <is>
          <t>Kommun</t>
        </is>
      </c>
      <c r="AW869" t="inlineStr">
        <is>
          <t>i Örnsköldsviks kommun</t>
        </is>
      </c>
      <c r="AX869" t="inlineStr">
        <is>
          <t>0660-880</t>
        </is>
      </c>
      <c r="AY869" t="inlineStr">
        <is>
          <t>Beslut</t>
        </is>
      </c>
      <c r="AZ869" t="inlineStr">
        <is>
          <t>2026-02-12</t>
        </is>
      </c>
      <c r="BA869" t="inlineStr">
        <is>
          <t>E-2025-840, beslut.pdf</t>
        </is>
      </c>
      <c r="BB869" t="inlineStr">
        <is>
          <t>Sv: till registrator</t>
        </is>
      </c>
      <c r="BC869" t="inlineStr">
        <is>
          <t>AUTO</t>
        </is>
      </c>
      <c r="BD869" t="inlineStr"/>
      <c r="BE869" t="inlineStr"/>
      <c r="BF869" t="inlineStr">
        <is>
          <t>AUTO_GENERERAD. Bekrafta metadata mot kallfil.</t>
        </is>
      </c>
      <c r="BG869">
        <f>HYPERLINK("C:\Users\jimmy\Desktop\Examens arbete\Kod\Ny mapp\remix_-copy-of-miljöbeslut.se-portal\E-2025-840, beslut.pdf", "Öppna PDF")</f>
        <v/>
      </c>
    </row>
    <row r="870">
      <c r="A870" t="inlineStr">
        <is>
          <t>KRAV-AUTO-000869</t>
        </is>
      </c>
      <c r="B870" t="inlineStr">
        <is>
          <t>ADMIN-INDEX-2026-02-27-00000000125C043F57453246863FE664CAFE6A3F0700950291EA24F0614FB6ACEDB12BF0E31D00000000010C0000950291EA24F0614FB6ACEDB12BF0E31D00002087AE550000</t>
        </is>
      </c>
      <c r="C870" t="inlineStr">
        <is>
          <t>cmm4yuptu02ytcuqw40n6bzqd</t>
        </is>
      </c>
      <c r="D870" t="inlineStr">
        <is>
          <t>http://localhost:8787/api/admin/requirements/documents/cmm4yuptu02ytcuqw40n6bzqd/view</t>
        </is>
      </c>
      <c r="E870">
        <f>HYPERLÄNK("http://localhost:8787/api/admin/requirements/documents/cmm4yuptu02ytcuqw40n6bzqd/view";"Öppna PDF")</f>
        <v/>
      </c>
      <c r="F870">
        <f>HYPERLINK("http://localhost:8787/api/admin/requirements/documents/cmm4yuptu02ytcuqw40n6bzqd/view","Open PDF")</f>
        <v/>
      </c>
      <c r="G870" t="inlineStr">
        <is>
          <t>cmm55w57p0004cuisfrtpqly8</t>
        </is>
      </c>
      <c r="H870" t="inlineStr">
        <is>
          <t>Beslutsvillkor</t>
        </is>
      </c>
      <c r="I870" t="inlineStr">
        <is>
          <t>Riskhantering</t>
        </is>
      </c>
      <c r="J870" t="inlineStr">
        <is>
          <t>Riskkontroll</t>
        </is>
      </c>
      <c r="K870" t="inlineStr">
        <is>
          <t>Innehåller brandfarliga ämnen som kan bilda brandfarliga ång-luftblandningar vid kontakt med antändningskällor.</t>
        </is>
      </c>
      <c r="L870" t="inlineStr">
        <is>
          <t>Innehåller brandfarliga ämnen som kan bilda brandfarliga ång-luftblandningar vid kontakt med antändningskällor.</t>
        </is>
      </c>
      <c r="M870" t="inlineStr">
        <is>
          <t>SKA</t>
        </is>
      </c>
      <c r="N870" t="inlineStr"/>
      <c r="O870" t="inlineStr"/>
      <c r="P870" t="inlineStr">
        <is>
          <t>Arlig</t>
        </is>
      </c>
      <c r="Q870" t="inlineStr"/>
      <c r="R870" t="inlineStr">
        <is>
          <t>Vid risk for incident</t>
        </is>
      </c>
      <c r="S870" t="inlineStr"/>
      <c r="T870" t="inlineStr"/>
      <c r="U870" t="inlineStr"/>
      <c r="V870" t="inlineStr"/>
      <c r="W870" t="inlineStr">
        <is>
          <t>Nej</t>
        </is>
      </c>
      <c r="X870" t="inlineStr">
        <is>
          <t>Nej</t>
        </is>
      </c>
      <c r="Y870" t="inlineStr">
        <is>
          <t>Ja</t>
        </is>
      </c>
      <c r="Z870" t="inlineStr">
        <is>
          <t>Ja</t>
        </is>
      </c>
      <c r="AA870" t="n">
        <v>8</v>
      </c>
      <c r="AB870" t="inlineStr">
        <is>
          <t>Riskhantering</t>
        </is>
      </c>
      <c r="AC870" t="inlineStr">
        <is>
          <t>Risk-PM</t>
        </is>
      </c>
      <c r="AD870" t="inlineStr">
        <is>
          <t>Nej</t>
        </is>
      </c>
      <c r="AE870" t="inlineStr">
        <is>
          <t>Nej</t>
        </is>
      </c>
      <c r="AF870" t="inlineStr">
        <is>
          <t>Ej behandlad</t>
        </is>
      </c>
      <c r="AG870" t="inlineStr">
        <is>
          <t>AUTO_GENERERAD. Verifiera citat mot kallfil.</t>
        </is>
      </c>
      <c r="AH870" t="inlineStr">
        <is>
          <t>MEDIUM</t>
        </is>
      </c>
      <c r="AI870" t="inlineStr">
        <is>
          <t>AUTO</t>
        </is>
      </c>
      <c r="AJ870" t="inlineStr">
        <is>
          <t>Nej</t>
        </is>
      </c>
      <c r="AK870" t="inlineStr"/>
      <c r="AL870" t="inlineStr"/>
      <c r="AM870" t="inlineStr"/>
      <c r="AN870" t="inlineStr"/>
      <c r="AO870" t="inlineStr">
        <is>
          <t>cmm4yupu002yzcuqw92mpgtbw</t>
        </is>
      </c>
      <c r="AP870" t="inlineStr">
        <is>
          <t>http://localhost:8787/api/admin/requirements/documents/cmm4yupu002yzcuqw92mpgtbw/view</t>
        </is>
      </c>
      <c r="AQ870">
        <f>HYPERLÄNK("http://localhost:8787/api/admin/requirements/documents/cmm4yupu002yzcuqw92mpgtbw/view";"Öppna PDF")</f>
        <v/>
      </c>
      <c r="AR870">
        <f>HYPERLINK("http://localhost:8787/api/admin/requirements/documents/cmm4yupu002yzcuqw92mpgtbw/view","Open PDF")</f>
        <v/>
      </c>
      <c r="AS870" t="inlineStr">
        <is>
          <t>cmm55w57p0004cuisfrtpqly8</t>
        </is>
      </c>
      <c r="AT870" t="inlineStr">
        <is>
          <t>cmm4xvu980000cuh4vj0usz09</t>
        </is>
      </c>
      <c r="AU870" t="inlineStr"/>
      <c r="AV870" t="inlineStr">
        <is>
          <t>Kommun</t>
        </is>
      </c>
      <c r="AW870" t="inlineStr"/>
      <c r="AX870" t="inlineStr">
        <is>
          <t>2024-576</t>
        </is>
      </c>
      <c r="AY870" t="inlineStr">
        <is>
          <t>Beslut</t>
        </is>
      </c>
      <c r="AZ870" t="inlineStr">
        <is>
          <t>2026-02-04</t>
        </is>
      </c>
      <c r="BA870" t="inlineStr">
        <is>
          <t>Säkerhetsdatablad Sonax Gloss Dryer.pdf</t>
        </is>
      </c>
      <c r="BB870" t="inlineStr">
        <is>
          <t>2024-576</t>
        </is>
      </c>
      <c r="BC870" t="inlineStr">
        <is>
          <t>AUTO</t>
        </is>
      </c>
      <c r="BD870" t="inlineStr"/>
      <c r="BE870" t="inlineStr"/>
      <c r="BF870" t="inlineStr">
        <is>
          <t>AUTO_GENERERAD. Bekrafta metadata mot kallfil.</t>
        </is>
      </c>
      <c r="BG870">
        <f>HYPERLINK("C:\Users\jimmy\Desktop\Examens arbete\Kod\Ny mapp\remix_-copy-of-miljöbeslut.se-portal\Säkerhetsdatablad Sonax Gloss Dryer.pdf", "Öppna PDF")</f>
        <v/>
      </c>
    </row>
    <row r="871">
      <c r="A871" t="inlineStr">
        <is>
          <t>KRAV-AUTO-000870</t>
        </is>
      </c>
      <c r="B871" t="inlineStr">
        <is>
          <t>ADMIN-INDEX-2026-02-27-00000000125C043F57453246863FE664CAFE6A3F0700950291EA24F0614FB6ACEDB12BF0E31D00000000010C0000950291EA24F0614FB6ACEDB12BF0E31D00002087AE550000</t>
        </is>
      </c>
      <c r="C871" t="inlineStr">
        <is>
          <t>cmm4yuptu02ytcuqw40n6bzqd</t>
        </is>
      </c>
      <c r="D871" t="inlineStr">
        <is>
          <t>http://localhost:8787/api/admin/requirements/documents/cmm4yuptu02ytcuqw40n6bzqd/view</t>
        </is>
      </c>
      <c r="E871">
        <f>HYPERLÄNK("http://localhost:8787/api/admin/requirements/documents/cmm4yuptu02ytcuqw40n6bzqd/view";"Öppna PDF")</f>
        <v/>
      </c>
      <c r="F871">
        <f>HYPERLINK("http://localhost:8787/api/admin/requirements/documents/cmm4yuptu02ytcuqw40n6bzqd/view","Open PDF")</f>
        <v/>
      </c>
      <c r="G871" t="inlineStr">
        <is>
          <t>cmm55w57p0004cuisfrtpqly8</t>
        </is>
      </c>
      <c r="H871" t="inlineStr">
        <is>
          <t>Beslutsvillkor</t>
        </is>
      </c>
      <c r="I871" t="inlineStr">
        <is>
          <t>Riskhantering</t>
        </is>
      </c>
      <c r="J871" t="inlineStr">
        <is>
          <t>Riskkontroll</t>
        </is>
      </c>
      <c r="K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871" t="inlineStr">
        <is>
          <t>SKA</t>
        </is>
      </c>
      <c r="N871" t="inlineStr"/>
      <c r="O871" t="inlineStr">
        <is>
          <t>2021-07-09</t>
        </is>
      </c>
      <c r="P871" t="inlineStr"/>
      <c r="Q871" t="inlineStr"/>
      <c r="R871" t="inlineStr">
        <is>
          <t>Vid risk for incident</t>
        </is>
      </c>
      <c r="S871" t="inlineStr"/>
      <c r="T871" t="inlineStr"/>
      <c r="U871" t="inlineStr"/>
      <c r="V871" t="inlineStr"/>
      <c r="W871" t="inlineStr">
        <is>
          <t>Nej</t>
        </is>
      </c>
      <c r="X871" t="inlineStr">
        <is>
          <t>Nej</t>
        </is>
      </c>
      <c r="Y871" t="inlineStr">
        <is>
          <t>Ja</t>
        </is>
      </c>
      <c r="Z871" t="inlineStr">
        <is>
          <t>Ja</t>
        </is>
      </c>
      <c r="AA871" t="n">
        <v>8</v>
      </c>
      <c r="AB871" t="inlineStr">
        <is>
          <t>Riskhantering</t>
        </is>
      </c>
      <c r="AC871" t="inlineStr">
        <is>
          <t>Risk-PM</t>
        </is>
      </c>
      <c r="AD871" t="inlineStr">
        <is>
          <t>Nej</t>
        </is>
      </c>
      <c r="AE871" t="inlineStr">
        <is>
          <t>Nej</t>
        </is>
      </c>
      <c r="AF871" t="inlineStr">
        <is>
          <t>Ej behandlad</t>
        </is>
      </c>
      <c r="AG871" t="inlineStr">
        <is>
          <t>AUTO_GENERERAD. Verifiera citat mot kallfil.</t>
        </is>
      </c>
      <c r="AH871" t="inlineStr">
        <is>
          <t>MEDIUM</t>
        </is>
      </c>
      <c r="AI871" t="inlineStr">
        <is>
          <t>AUTO</t>
        </is>
      </c>
      <c r="AJ871" t="inlineStr">
        <is>
          <t>Nej</t>
        </is>
      </c>
      <c r="AK871" t="inlineStr"/>
      <c r="AL871" t="inlineStr"/>
      <c r="AM871" t="inlineStr"/>
      <c r="AN871" t="inlineStr"/>
      <c r="AO871" t="inlineStr">
        <is>
          <t>cmm4yupu002yzcuqw92mpgtbw</t>
        </is>
      </c>
      <c r="AP871" t="inlineStr">
        <is>
          <t>http://localhost:8787/api/admin/requirements/documents/cmm4yupu002yzcuqw92mpgtbw/view</t>
        </is>
      </c>
      <c r="AQ871">
        <f>HYPERLÄNK("http://localhost:8787/api/admin/requirements/documents/cmm4yupu002yzcuqw92mpgtbw/view";"Öppna PDF")</f>
        <v/>
      </c>
      <c r="AR871">
        <f>HYPERLINK("http://localhost:8787/api/admin/requirements/documents/cmm4yupu002yzcuqw92mpgtbw/view","Open PDF")</f>
        <v/>
      </c>
      <c r="AS871" t="inlineStr">
        <is>
          <t>cmm55w57p0004cuisfrtpqly8</t>
        </is>
      </c>
      <c r="AT871" t="inlineStr">
        <is>
          <t>cmm4xvu980000cuh4vj0usz09</t>
        </is>
      </c>
      <c r="AU871" t="inlineStr"/>
      <c r="AV871" t="inlineStr">
        <is>
          <t>Kommun</t>
        </is>
      </c>
      <c r="AW871" t="inlineStr"/>
      <c r="AX871" t="inlineStr">
        <is>
          <t>2024-576</t>
        </is>
      </c>
      <c r="AY871" t="inlineStr">
        <is>
          <t>Beslut</t>
        </is>
      </c>
      <c r="AZ871" t="inlineStr">
        <is>
          <t>2026-02-04</t>
        </is>
      </c>
      <c r="BA871" t="inlineStr">
        <is>
          <t>Säkerhetsdatablad Sonax Gloss Dryer.pdf</t>
        </is>
      </c>
      <c r="BB871" t="inlineStr">
        <is>
          <t>2024-576</t>
        </is>
      </c>
      <c r="BC871" t="inlineStr">
        <is>
          <t>AUTO</t>
        </is>
      </c>
      <c r="BD871" t="inlineStr"/>
      <c r="BE871" t="inlineStr"/>
      <c r="BF871" t="inlineStr">
        <is>
          <t>AUTO_GENERERAD. Bekrafta metadata mot kallfil.</t>
        </is>
      </c>
      <c r="BG871">
        <f>HYPERLINK("C:\Users\jimmy\Desktop\Examens arbete\Kod\Ny mapp\remix_-copy-of-miljöbeslut.se-portal\Säkerhetsdatablad Sonax Gloss Dryer.pdf", "Öppna PDF")</f>
        <v/>
      </c>
    </row>
    <row r="872">
      <c r="A872" t="inlineStr">
        <is>
          <t>KRAV-AUTO-000871</t>
        </is>
      </c>
      <c r="B872" t="inlineStr">
        <is>
          <t>ADMIN-INDEX-2026-02-27-00000000125C043F57453246863FE664CAFE6A3F0700950291EA24F0614FB6ACEDB12BF0E31D00000000010C0000950291EA24F0614FB6ACEDB12BF0E31D00002087AE550000</t>
        </is>
      </c>
      <c r="C872" t="inlineStr">
        <is>
          <t>cmm4yuptu02ytcuqw40n6bzqd</t>
        </is>
      </c>
      <c r="D872" t="inlineStr">
        <is>
          <t>http://localhost:8787/api/admin/requirements/documents/cmm4yuptu02ytcuqw40n6bzqd/view</t>
        </is>
      </c>
      <c r="E872">
        <f>HYPERLÄNK("http://localhost:8787/api/admin/requirements/documents/cmm4yuptu02ytcuqw40n6bzqd/view";"Öppna PDF")</f>
        <v/>
      </c>
      <c r="F872">
        <f>HYPERLINK("http://localhost:8787/api/admin/requirements/documents/cmm4yuptu02ytcuqw40n6bzqd/view","Open PDF")</f>
        <v/>
      </c>
      <c r="G872" t="inlineStr">
        <is>
          <t>cmm55w57p0004cuisfrtpqly8</t>
        </is>
      </c>
      <c r="H872" t="inlineStr">
        <is>
          <t>Beslutsvillkor</t>
        </is>
      </c>
      <c r="I872" t="inlineStr">
        <is>
          <t>Ytkonstruktion</t>
        </is>
      </c>
      <c r="J872" t="inlineStr">
        <is>
          <t>Tat yta</t>
        </is>
      </c>
      <c r="K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872" t="inlineStr">
        <is>
          <t>SKA</t>
        </is>
      </c>
      <c r="N872" t="inlineStr"/>
      <c r="O872" t="inlineStr"/>
      <c r="P872" t="inlineStr"/>
      <c r="Q872" t="inlineStr"/>
      <c r="R872" t="inlineStr">
        <is>
          <t>Vid mellanlagring av avfall</t>
        </is>
      </c>
      <c r="S872" t="inlineStr"/>
      <c r="T872" t="inlineStr"/>
      <c r="U872" t="inlineStr"/>
      <c r="V872" t="inlineStr"/>
      <c r="W872" t="inlineStr">
        <is>
          <t>Ja</t>
        </is>
      </c>
      <c r="X872" t="inlineStr">
        <is>
          <t>Nej</t>
        </is>
      </c>
      <c r="Y872" t="inlineStr">
        <is>
          <t>Nej</t>
        </is>
      </c>
      <c r="Z872" t="inlineStr">
        <is>
          <t>Nej</t>
        </is>
      </c>
      <c r="AA872" t="n">
        <v>5</v>
      </c>
      <c r="AB872" t="inlineStr">
        <is>
          <t>Teknisk beskrivning av platta</t>
        </is>
      </c>
      <c r="AC872" t="inlineStr">
        <is>
          <t>Teknisk ritning platta</t>
        </is>
      </c>
      <c r="AD872" t="inlineStr">
        <is>
          <t>Nej</t>
        </is>
      </c>
      <c r="AE872" t="inlineStr">
        <is>
          <t>Nej</t>
        </is>
      </c>
      <c r="AF872" t="inlineStr">
        <is>
          <t>Ej behandlad</t>
        </is>
      </c>
      <c r="AG872" t="inlineStr">
        <is>
          <t>AUTO_GENERERAD. Verifiera citat mot kallfil.</t>
        </is>
      </c>
      <c r="AH872" t="inlineStr">
        <is>
          <t>MEDIUM</t>
        </is>
      </c>
      <c r="AI872" t="inlineStr">
        <is>
          <t>AUTO</t>
        </is>
      </c>
      <c r="AJ872" t="inlineStr">
        <is>
          <t>Nej</t>
        </is>
      </c>
      <c r="AK872" t="inlineStr"/>
      <c r="AL872" t="inlineStr"/>
      <c r="AM872" t="inlineStr"/>
      <c r="AN872" t="inlineStr"/>
      <c r="AO872" t="inlineStr">
        <is>
          <t>cmm4yupu002yzcuqw92mpgtbw</t>
        </is>
      </c>
      <c r="AP872" t="inlineStr">
        <is>
          <t>http://localhost:8787/api/admin/requirements/documents/cmm4yupu002yzcuqw92mpgtbw/view</t>
        </is>
      </c>
      <c r="AQ872">
        <f>HYPERLÄNK("http://localhost:8787/api/admin/requirements/documents/cmm4yupu002yzcuqw92mpgtbw/view";"Öppna PDF")</f>
        <v/>
      </c>
      <c r="AR872">
        <f>HYPERLINK("http://localhost:8787/api/admin/requirements/documents/cmm4yupu002yzcuqw92mpgtbw/view","Open PDF")</f>
        <v/>
      </c>
      <c r="AS872" t="inlineStr">
        <is>
          <t>cmm55w57p0004cuisfrtpqly8</t>
        </is>
      </c>
      <c r="AT872" t="inlineStr">
        <is>
          <t>cmm4xvu980000cuh4vj0usz09</t>
        </is>
      </c>
      <c r="AU872" t="inlineStr"/>
      <c r="AV872" t="inlineStr">
        <is>
          <t>Kommun</t>
        </is>
      </c>
      <c r="AW872" t="inlineStr"/>
      <c r="AX872" t="inlineStr">
        <is>
          <t>2024-576</t>
        </is>
      </c>
      <c r="AY872" t="inlineStr">
        <is>
          <t>Beslut</t>
        </is>
      </c>
      <c r="AZ872" t="inlineStr">
        <is>
          <t>2026-02-04</t>
        </is>
      </c>
      <c r="BA872" t="inlineStr">
        <is>
          <t>Säkerhetsdatablad Sonax Gloss Dryer.pdf</t>
        </is>
      </c>
      <c r="BB872" t="inlineStr">
        <is>
          <t>2024-576</t>
        </is>
      </c>
      <c r="BC872" t="inlineStr">
        <is>
          <t>AUTO</t>
        </is>
      </c>
      <c r="BD872" t="inlineStr"/>
      <c r="BE872" t="inlineStr"/>
      <c r="BF872" t="inlineStr">
        <is>
          <t>AUTO_GENERERAD. Bekrafta metadata mot kallfil.</t>
        </is>
      </c>
      <c r="BG872">
        <f>HYPERLINK("C:\Users\jimmy\Desktop\Examens arbete\Kod\Ny mapp\remix_-copy-of-miljöbeslut.se-portal\Säkerhetsdatablad Sonax Gloss Dryer.pdf", "Öppna PDF")</f>
        <v/>
      </c>
    </row>
    <row r="873">
      <c r="A873" t="inlineStr">
        <is>
          <t>KRAV-AUTO-000872</t>
        </is>
      </c>
      <c r="B873" t="inlineStr">
        <is>
          <t>ADMIN-INDEX-2026-02-27-00000000125C043F57453246863FE664CAFE6A3F0700950291EA24F0614FB6ACEDB12BF0E31D00000000010C0000950291EA24F0614FB6ACEDB12BF0E31D00002087AE550000</t>
        </is>
      </c>
      <c r="C873" t="inlineStr">
        <is>
          <t>cmm4yuptr02yqcuqweencgfpv</t>
        </is>
      </c>
      <c r="D873" t="inlineStr">
        <is>
          <t>http://localhost:8787/api/admin/requirements/documents/cmm4yuptr02yqcuqweencgfpv/view</t>
        </is>
      </c>
      <c r="E873">
        <f>HYPERLÄNK("http://localhost:8787/api/admin/requirements/documents/cmm4yuptr02yqcuqweencgfpv/view";"Öppna PDF")</f>
        <v/>
      </c>
      <c r="F873">
        <f>HYPERLINK("http://localhost:8787/api/admin/requirements/documents/cmm4yuptr02yqcuqweencgfpv/view","Open PDF")</f>
        <v/>
      </c>
      <c r="G873" t="inlineStr">
        <is>
          <t>cmm55w57p0004cuisfrtpqly8</t>
        </is>
      </c>
      <c r="H873" t="inlineStr">
        <is>
          <t>Beslutsvillkor</t>
        </is>
      </c>
      <c r="I873" t="inlineStr">
        <is>
          <t>Riskhantering</t>
        </is>
      </c>
      <c r="J873" t="inlineStr">
        <is>
          <t>Riskkontroll</t>
        </is>
      </c>
      <c r="K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873" t="inlineStr">
        <is>
          <t>SKA</t>
        </is>
      </c>
      <c r="N873" t="inlineStr"/>
      <c r="O873" t="inlineStr"/>
      <c r="P873" t="inlineStr">
        <is>
          <t>Manadskontroll</t>
        </is>
      </c>
      <c r="Q873" t="inlineStr"/>
      <c r="R873" t="inlineStr">
        <is>
          <t>Vid risk for incident</t>
        </is>
      </c>
      <c r="S873" t="inlineStr"/>
      <c r="T873" t="inlineStr"/>
      <c r="U873" t="inlineStr"/>
      <c r="V873" t="inlineStr">
        <is>
          <t>12 manader</t>
        </is>
      </c>
      <c r="W873" t="inlineStr">
        <is>
          <t>Nej</t>
        </is>
      </c>
      <c r="X873" t="inlineStr">
        <is>
          <t>Nej</t>
        </is>
      </c>
      <c r="Y873" t="inlineStr">
        <is>
          <t>Ja</t>
        </is>
      </c>
      <c r="Z873" t="inlineStr">
        <is>
          <t>Ja</t>
        </is>
      </c>
      <c r="AA873" t="n">
        <v>8</v>
      </c>
      <c r="AB873" t="inlineStr">
        <is>
          <t>Riskhantering</t>
        </is>
      </c>
      <c r="AC873" t="inlineStr">
        <is>
          <t>Risk-PM</t>
        </is>
      </c>
      <c r="AD873" t="inlineStr">
        <is>
          <t>Nej</t>
        </is>
      </c>
      <c r="AE873" t="inlineStr">
        <is>
          <t>Nej</t>
        </is>
      </c>
      <c r="AF873" t="inlineStr">
        <is>
          <t>Ej behandlad</t>
        </is>
      </c>
      <c r="AG873" t="inlineStr">
        <is>
          <t>AUTO_GENERERAD. Verifiera citat mot kallfil.</t>
        </is>
      </c>
      <c r="AH873" t="inlineStr">
        <is>
          <t>MEDIUM</t>
        </is>
      </c>
      <c r="AI873" t="inlineStr">
        <is>
          <t>AUTO</t>
        </is>
      </c>
      <c r="AJ873" t="inlineStr">
        <is>
          <t>Nej</t>
        </is>
      </c>
      <c r="AK873" t="inlineStr"/>
      <c r="AL873" t="inlineStr"/>
      <c r="AM873" t="inlineStr"/>
      <c r="AN873" t="inlineStr"/>
      <c r="AO873" t="inlineStr">
        <is>
          <t>cmm4yupu002yzcuqw92mpgtbw</t>
        </is>
      </c>
      <c r="AP873" t="inlineStr">
        <is>
          <t>http://localhost:8787/api/admin/requirements/documents/cmm4yupu002yzcuqw92mpgtbw/view</t>
        </is>
      </c>
      <c r="AQ873">
        <f>HYPERLÄNK("http://localhost:8787/api/admin/requirements/documents/cmm4yupu002yzcuqw92mpgtbw/view";"Öppna PDF")</f>
        <v/>
      </c>
      <c r="AR873">
        <f>HYPERLINK("http://localhost:8787/api/admin/requirements/documents/cmm4yupu002yzcuqw92mpgtbw/view","Open PDF")</f>
        <v/>
      </c>
      <c r="AS873" t="inlineStr">
        <is>
          <t>cmm55w57p0004cuisfrtpqly8</t>
        </is>
      </c>
      <c r="AT873" t="inlineStr">
        <is>
          <t>cmm4xvu980000cuh4vj0usz09</t>
        </is>
      </c>
      <c r="AU873" t="inlineStr"/>
      <c r="AV873" t="inlineStr">
        <is>
          <t>Kommun</t>
        </is>
      </c>
      <c r="AW873" t="inlineStr"/>
      <c r="AX873" t="inlineStr">
        <is>
          <t>2024-576</t>
        </is>
      </c>
      <c r="AY873" t="inlineStr">
        <is>
          <t>Beslut</t>
        </is>
      </c>
      <c r="AZ873" t="inlineStr">
        <is>
          <t>2026-02-04</t>
        </is>
      </c>
      <c r="BA873" t="inlineStr">
        <is>
          <t>Säkerhetsdatablad Sonax Gloss Dryer.pdf</t>
        </is>
      </c>
      <c r="BB873" t="inlineStr">
        <is>
          <t>2024-576</t>
        </is>
      </c>
      <c r="BC873" t="inlineStr">
        <is>
          <t>AUTO</t>
        </is>
      </c>
      <c r="BD873" t="inlineStr"/>
      <c r="BE873" t="inlineStr"/>
      <c r="BF873" t="inlineStr">
        <is>
          <t>AUTO_GENERERAD. Bekrafta metadata mot kallfil.</t>
        </is>
      </c>
      <c r="BG873">
        <f>HYPERLINK("C:\Users\jimmy\Desktop\Examens arbete\Kod\Ny mapp\remix_-copy-of-miljöbeslut.se-portal\Säkerhetsdatablad Sonax Gloss Dryer.pdf", "Öppna PDF")</f>
        <v/>
      </c>
    </row>
    <row r="874">
      <c r="A874" t="inlineStr">
        <is>
          <t>KRAV-AUTO-000873</t>
        </is>
      </c>
      <c r="B874" t="inlineStr">
        <is>
          <t>ADMIN-INDEX-2026-02-27-00000000125C043F57453246863FE664CAFE6A3F0700950291EA24F0614FB6ACEDB12BF0E31D00000000010C0000950291EA24F0614FB6ACEDB12BF0E31D00002087AE550000</t>
        </is>
      </c>
      <c r="C874" t="inlineStr">
        <is>
          <t>cmm4yuptr02yqcuqweencgfpv</t>
        </is>
      </c>
      <c r="D874" t="inlineStr">
        <is>
          <t>http://localhost:8787/api/admin/requirements/documents/cmm4yuptr02yqcuqweencgfpv/view</t>
        </is>
      </c>
      <c r="E874">
        <f>HYPERLÄNK("http://localhost:8787/api/admin/requirements/documents/cmm4yuptr02yqcuqweencgfpv/view";"Öppna PDF")</f>
        <v/>
      </c>
      <c r="F874">
        <f>HYPERLINK("http://localhost:8787/api/admin/requirements/documents/cmm4yuptr02yqcuqweencgfpv/view","Open PDF")</f>
        <v/>
      </c>
      <c r="G874" t="inlineStr">
        <is>
          <t>cmm55w57p0004cuisfrtpqly8</t>
        </is>
      </c>
      <c r="H874" t="inlineStr">
        <is>
          <t>Beslutsvillkor</t>
        </is>
      </c>
      <c r="I874" t="inlineStr">
        <is>
          <t>Riskhantering</t>
        </is>
      </c>
      <c r="J874" t="inlineStr">
        <is>
          <t>Riskkontroll</t>
        </is>
      </c>
      <c r="K874" t="inlineStr">
        <is>
          <t>AFS 2014:43 Kemiska arbetsmiljörisker.</t>
        </is>
      </c>
      <c r="L874" t="inlineStr">
        <is>
          <t>AFS 2014:43 Kemiska arbetsmiljörisker.</t>
        </is>
      </c>
      <c r="M874" t="inlineStr">
        <is>
          <t>SKA</t>
        </is>
      </c>
      <c r="N874" t="inlineStr"/>
      <c r="O874" t="inlineStr"/>
      <c r="P874" t="inlineStr"/>
      <c r="Q874" t="inlineStr"/>
      <c r="R874" t="inlineStr">
        <is>
          <t>Vid risk for incident</t>
        </is>
      </c>
      <c r="S874" t="inlineStr"/>
      <c r="T874" t="inlineStr"/>
      <c r="U874" t="inlineStr"/>
      <c r="V874" t="inlineStr"/>
      <c r="W874" t="inlineStr">
        <is>
          <t>Nej</t>
        </is>
      </c>
      <c r="X874" t="inlineStr">
        <is>
          <t>Nej</t>
        </is>
      </c>
      <c r="Y874" t="inlineStr">
        <is>
          <t>Ja</t>
        </is>
      </c>
      <c r="Z874" t="inlineStr">
        <is>
          <t>Ja</t>
        </is>
      </c>
      <c r="AA874" t="n">
        <v>8</v>
      </c>
      <c r="AB874" t="inlineStr">
        <is>
          <t>Riskhantering</t>
        </is>
      </c>
      <c r="AC874" t="inlineStr">
        <is>
          <t>Risk-PM</t>
        </is>
      </c>
      <c r="AD874" t="inlineStr">
        <is>
          <t>Nej</t>
        </is>
      </c>
      <c r="AE874" t="inlineStr">
        <is>
          <t>Nej</t>
        </is>
      </c>
      <c r="AF874" t="inlineStr">
        <is>
          <t>Ej behandlad</t>
        </is>
      </c>
      <c r="AG874" t="inlineStr">
        <is>
          <t>AUTO_GENERERAD. Verifiera citat mot kallfil.</t>
        </is>
      </c>
      <c r="AH874" t="inlineStr">
        <is>
          <t>LOW</t>
        </is>
      </c>
      <c r="AI874" t="inlineStr">
        <is>
          <t>AUTO</t>
        </is>
      </c>
      <c r="AJ874" t="inlineStr">
        <is>
          <t>Nej</t>
        </is>
      </c>
      <c r="AK874" t="inlineStr"/>
      <c r="AL874" t="inlineStr"/>
      <c r="AM874" t="inlineStr"/>
      <c r="AN874" t="inlineStr"/>
      <c r="AO874" t="inlineStr">
        <is>
          <t>cmm4yupu002yzcuqw92mpgtbw</t>
        </is>
      </c>
      <c r="AP874" t="inlineStr">
        <is>
          <t>http://localhost:8787/api/admin/requirements/documents/cmm4yupu002yzcuqw92mpgtbw/view</t>
        </is>
      </c>
      <c r="AQ874">
        <f>HYPERLÄNK("http://localhost:8787/api/admin/requirements/documents/cmm4yupu002yzcuqw92mpgtbw/view";"Öppna PDF")</f>
        <v/>
      </c>
      <c r="AR874">
        <f>HYPERLINK("http://localhost:8787/api/admin/requirements/documents/cmm4yupu002yzcuqw92mpgtbw/view","Open PDF")</f>
        <v/>
      </c>
      <c r="AS874" t="inlineStr">
        <is>
          <t>cmm55w57p0004cuisfrtpqly8</t>
        </is>
      </c>
      <c r="AT874" t="inlineStr">
        <is>
          <t>cmm4xvu980000cuh4vj0usz09</t>
        </is>
      </c>
      <c r="AU874" t="inlineStr"/>
      <c r="AV874" t="inlineStr">
        <is>
          <t>Kommun</t>
        </is>
      </c>
      <c r="AW874" t="inlineStr"/>
      <c r="AX874" t="inlineStr">
        <is>
          <t>2024-576</t>
        </is>
      </c>
      <c r="AY874" t="inlineStr">
        <is>
          <t>Beslut</t>
        </is>
      </c>
      <c r="AZ874" t="inlineStr">
        <is>
          <t>2026-02-04</t>
        </is>
      </c>
      <c r="BA874" t="inlineStr">
        <is>
          <t>Säkerhetsdatablad Sonax Gloss Dryer.pdf</t>
        </is>
      </c>
      <c r="BB874" t="inlineStr">
        <is>
          <t>2024-576</t>
        </is>
      </c>
      <c r="BC874" t="inlineStr">
        <is>
          <t>AUTO</t>
        </is>
      </c>
      <c r="BD874" t="inlineStr"/>
      <c r="BE874" t="inlineStr"/>
      <c r="BF874" t="inlineStr">
        <is>
          <t>AUTO_GENERERAD. Bekrafta metadata mot kallfil.</t>
        </is>
      </c>
      <c r="BG874">
        <f>HYPERLINK("C:\Users\jimmy\Desktop\Examens arbete\Kod\Ny mapp\remix_-copy-of-miljöbeslut.se-portal\Säkerhetsdatablad Sonax Gloss Dryer.pdf", "Öppna PDF")</f>
        <v/>
      </c>
    </row>
    <row r="875">
      <c r="A875" t="inlineStr">
        <is>
          <t>KRAV-AUTO-000874</t>
        </is>
      </c>
      <c r="B875" t="inlineStr">
        <is>
          <t>ADMIN-INDEX-2026-02-27-00000000125C043F57453246863FE664CAFE6A3F0700950291EA24F0614FB6ACEDB12BF0E31D00000000010C0000950291EA24F0614FB6ACEDB12BF0E31D00002087AE550000</t>
        </is>
      </c>
      <c r="C875" t="inlineStr">
        <is>
          <t>cmm4yuptr02yqcuqweencgfpv</t>
        </is>
      </c>
      <c r="D875" t="inlineStr">
        <is>
          <t>http://localhost:8787/api/admin/requirements/documents/cmm4yuptr02yqcuqweencgfpv/view</t>
        </is>
      </c>
      <c r="E875">
        <f>HYPERLÄNK("http://localhost:8787/api/admin/requirements/documents/cmm4yuptr02yqcuqweencgfpv/view";"Öppna PDF")</f>
        <v/>
      </c>
      <c r="F875">
        <f>HYPERLINK("http://localhost:8787/api/admin/requirements/documents/cmm4yuptr02yqcuqweencgfpv/view","Open PDF")</f>
        <v/>
      </c>
      <c r="G875" t="inlineStr">
        <is>
          <t>cmm55w57p0004cuisfrtpqly8</t>
        </is>
      </c>
      <c r="H875" t="inlineStr">
        <is>
          <t>Beslutsvillkor</t>
        </is>
      </c>
      <c r="I875" t="inlineStr">
        <is>
          <t>Riskhantering</t>
        </is>
      </c>
      <c r="J875" t="inlineStr">
        <is>
          <t>Riskkontroll</t>
        </is>
      </c>
      <c r="K875" t="inlineStr">
        <is>
          <t>Andra lagar: AFS 2011:19 Kemiska arbetsmiljörisker.</t>
        </is>
      </c>
      <c r="L875" t="inlineStr">
        <is>
          <t>Andra lagar: AFS 2011:19 Kemiska arbetsmiljörisker.</t>
        </is>
      </c>
      <c r="M875" t="inlineStr">
        <is>
          <t>SKA</t>
        </is>
      </c>
      <c r="N875" t="inlineStr"/>
      <c r="O875" t="inlineStr"/>
      <c r="P875" t="inlineStr"/>
      <c r="Q875" t="inlineStr"/>
      <c r="R875" t="inlineStr">
        <is>
          <t>Vid risk for incident</t>
        </is>
      </c>
      <c r="S875" t="inlineStr"/>
      <c r="T875" t="inlineStr"/>
      <c r="U875" t="inlineStr"/>
      <c r="V875" t="inlineStr"/>
      <c r="W875" t="inlineStr">
        <is>
          <t>Nej</t>
        </is>
      </c>
      <c r="X875" t="inlineStr">
        <is>
          <t>Nej</t>
        </is>
      </c>
      <c r="Y875" t="inlineStr">
        <is>
          <t>Ja</t>
        </is>
      </c>
      <c r="Z875" t="inlineStr">
        <is>
          <t>Ja</t>
        </is>
      </c>
      <c r="AA875" t="n">
        <v>8</v>
      </c>
      <c r="AB875" t="inlineStr">
        <is>
          <t>Riskhantering</t>
        </is>
      </c>
      <c r="AC875" t="inlineStr">
        <is>
          <t>Risk-PM</t>
        </is>
      </c>
      <c r="AD875" t="inlineStr">
        <is>
          <t>Nej</t>
        </is>
      </c>
      <c r="AE875" t="inlineStr">
        <is>
          <t>Nej</t>
        </is>
      </c>
      <c r="AF875" t="inlineStr">
        <is>
          <t>Ej behandlad</t>
        </is>
      </c>
      <c r="AG875" t="inlineStr">
        <is>
          <t>AUTO_GENERERAD. Verifiera citat mot kallfil.</t>
        </is>
      </c>
      <c r="AH875" t="inlineStr">
        <is>
          <t>MEDIUM</t>
        </is>
      </c>
      <c r="AI875" t="inlineStr">
        <is>
          <t>AUTO</t>
        </is>
      </c>
      <c r="AJ875" t="inlineStr">
        <is>
          <t>Nej</t>
        </is>
      </c>
      <c r="AK875" t="inlineStr"/>
      <c r="AL875" t="inlineStr"/>
      <c r="AM875" t="inlineStr"/>
      <c r="AN875" t="inlineStr"/>
      <c r="AO875" t="inlineStr">
        <is>
          <t>cmm4yupu002yzcuqw92mpgtbw</t>
        </is>
      </c>
      <c r="AP875" t="inlineStr">
        <is>
          <t>http://localhost:8787/api/admin/requirements/documents/cmm4yupu002yzcuqw92mpgtbw/view</t>
        </is>
      </c>
      <c r="AQ875">
        <f>HYPERLÄNK("http://localhost:8787/api/admin/requirements/documents/cmm4yupu002yzcuqw92mpgtbw/view";"Öppna PDF")</f>
        <v/>
      </c>
      <c r="AR875">
        <f>HYPERLINK("http://localhost:8787/api/admin/requirements/documents/cmm4yupu002yzcuqw92mpgtbw/view","Open PDF")</f>
        <v/>
      </c>
      <c r="AS875" t="inlineStr">
        <is>
          <t>cmm55w57p0004cuisfrtpqly8</t>
        </is>
      </c>
      <c r="AT875" t="inlineStr">
        <is>
          <t>cmm4xvu980000cuh4vj0usz09</t>
        </is>
      </c>
      <c r="AU875" t="inlineStr"/>
      <c r="AV875" t="inlineStr">
        <is>
          <t>Kommun</t>
        </is>
      </c>
      <c r="AW875" t="inlineStr"/>
      <c r="AX875" t="inlineStr">
        <is>
          <t>2024-576</t>
        </is>
      </c>
      <c r="AY875" t="inlineStr">
        <is>
          <t>Beslut</t>
        </is>
      </c>
      <c r="AZ875" t="inlineStr">
        <is>
          <t>2026-02-04</t>
        </is>
      </c>
      <c r="BA875" t="inlineStr">
        <is>
          <t>Säkerhetsdatablad Sonax Gloss Dryer.pdf</t>
        </is>
      </c>
      <c r="BB875" t="inlineStr">
        <is>
          <t>2024-576</t>
        </is>
      </c>
      <c r="BC875" t="inlineStr">
        <is>
          <t>AUTO</t>
        </is>
      </c>
      <c r="BD875" t="inlineStr"/>
      <c r="BE875" t="inlineStr"/>
      <c r="BF875" t="inlineStr">
        <is>
          <t>AUTO_GENERERAD. Bekrafta metadata mot kallfil.</t>
        </is>
      </c>
      <c r="BG875">
        <f>HYPERLINK("C:\Users\jimmy\Desktop\Examens arbete\Kod\Ny mapp\remix_-copy-of-miljöbeslut.se-portal\Säkerhetsdatablad Sonax Gloss Dryer.pdf", "Öppna PDF")</f>
        <v/>
      </c>
    </row>
    <row r="876">
      <c r="A876" t="inlineStr">
        <is>
          <t>KRAV-AUTO-000875</t>
        </is>
      </c>
      <c r="B876" t="inlineStr">
        <is>
          <t>ADMIN-INDEX-2026-02-27-00000000125C043F57453246863FE664CAFE6A3F0700950291EA24F0614FB6ACEDB12BF0E31D00000000010C0000950291EA24F0614FB6ACEDB12BF0E31D00002087AE550000</t>
        </is>
      </c>
      <c r="C876" t="inlineStr">
        <is>
          <t>cmm4yupto02yncuqwd4ijzebz</t>
        </is>
      </c>
      <c r="D876" t="inlineStr">
        <is>
          <t>http://localhost:8787/api/admin/requirements/documents/cmm4yupto02yncuqwd4ijzebz/view</t>
        </is>
      </c>
      <c r="E876">
        <f>HYPERLÄNK("http://localhost:8787/api/admin/requirements/documents/cmm4yupto02yncuqwd4ijzebz/view";"Öppna PDF")</f>
        <v/>
      </c>
      <c r="F876">
        <f>HYPERLINK("http://localhost:8787/api/admin/requirements/documents/cmm4yupto02yncuqwd4ijzebz/view","Open PDF")</f>
        <v/>
      </c>
      <c r="G876" t="inlineStr">
        <is>
          <t>cmm55w57p0004cuisfrtpqly8</t>
        </is>
      </c>
      <c r="H876" t="inlineStr">
        <is>
          <t>Beslutsvillkor</t>
        </is>
      </c>
      <c r="I876" t="inlineStr">
        <is>
          <t>Riskhantering</t>
        </is>
      </c>
      <c r="J876" t="inlineStr">
        <is>
          <t>Riskkontroll</t>
        </is>
      </c>
      <c r="K876" t="inlineStr">
        <is>
          <t>Innehåller brandfarliga ämnen som kan bilda brandfarliga ång-luftblandningar vid kontakt med antändningskällor.</t>
        </is>
      </c>
      <c r="L876" t="inlineStr">
        <is>
          <t>Innehåller brandfarliga ämnen som kan bilda brandfarliga ång-luftblandningar vid kontakt med antändningskällor.</t>
        </is>
      </c>
      <c r="M876" t="inlineStr">
        <is>
          <t>SKA</t>
        </is>
      </c>
      <c r="N876" t="inlineStr"/>
      <c r="O876" t="inlineStr"/>
      <c r="P876" t="inlineStr">
        <is>
          <t>Arlig</t>
        </is>
      </c>
      <c r="Q876" t="inlineStr"/>
      <c r="R876" t="inlineStr">
        <is>
          <t>Vid risk for incident</t>
        </is>
      </c>
      <c r="S876" t="inlineStr"/>
      <c r="T876" t="inlineStr"/>
      <c r="U876" t="inlineStr"/>
      <c r="V876" t="inlineStr"/>
      <c r="W876" t="inlineStr">
        <is>
          <t>Nej</t>
        </is>
      </c>
      <c r="X876" t="inlineStr">
        <is>
          <t>Nej</t>
        </is>
      </c>
      <c r="Y876" t="inlineStr">
        <is>
          <t>Ja</t>
        </is>
      </c>
      <c r="Z876" t="inlineStr">
        <is>
          <t>Ja</t>
        </is>
      </c>
      <c r="AA876" t="n">
        <v>8</v>
      </c>
      <c r="AB876" t="inlineStr">
        <is>
          <t>Riskhantering</t>
        </is>
      </c>
      <c r="AC876" t="inlineStr">
        <is>
          <t>Risk-PM</t>
        </is>
      </c>
      <c r="AD876" t="inlineStr">
        <is>
          <t>Nej</t>
        </is>
      </c>
      <c r="AE876" t="inlineStr">
        <is>
          <t>Nej</t>
        </is>
      </c>
      <c r="AF876" t="inlineStr">
        <is>
          <t>Ej behandlad</t>
        </is>
      </c>
      <c r="AG876" t="inlineStr">
        <is>
          <t>AUTO_GENERERAD. Verifiera citat mot kallfil.</t>
        </is>
      </c>
      <c r="AH876" t="inlineStr">
        <is>
          <t>MEDIUM</t>
        </is>
      </c>
      <c r="AI876" t="inlineStr">
        <is>
          <t>AUTO</t>
        </is>
      </c>
      <c r="AJ876" t="inlineStr">
        <is>
          <t>Nej</t>
        </is>
      </c>
      <c r="AK876" t="inlineStr"/>
      <c r="AL876" t="inlineStr"/>
      <c r="AM876" t="inlineStr"/>
      <c r="AN876" t="inlineStr"/>
      <c r="AO876" t="inlineStr">
        <is>
          <t>cmm4yupu002yzcuqw92mpgtbw</t>
        </is>
      </c>
      <c r="AP876" t="inlineStr">
        <is>
          <t>http://localhost:8787/api/admin/requirements/documents/cmm4yupu002yzcuqw92mpgtbw/view</t>
        </is>
      </c>
      <c r="AQ876">
        <f>HYPERLÄNK("http://localhost:8787/api/admin/requirements/documents/cmm4yupu002yzcuqw92mpgtbw/view";"Öppna PDF")</f>
        <v/>
      </c>
      <c r="AR876">
        <f>HYPERLINK("http://localhost:8787/api/admin/requirements/documents/cmm4yupu002yzcuqw92mpgtbw/view","Open PDF")</f>
        <v/>
      </c>
      <c r="AS876" t="inlineStr">
        <is>
          <t>cmm55w57p0004cuisfrtpqly8</t>
        </is>
      </c>
      <c r="AT876" t="inlineStr">
        <is>
          <t>cmm4xvu980000cuh4vj0usz09</t>
        </is>
      </c>
      <c r="AU876" t="inlineStr"/>
      <c r="AV876" t="inlineStr">
        <is>
          <t>Kommun</t>
        </is>
      </c>
      <c r="AW876" t="inlineStr"/>
      <c r="AX876" t="inlineStr">
        <is>
          <t>2024-576</t>
        </is>
      </c>
      <c r="AY876" t="inlineStr">
        <is>
          <t>Beslut</t>
        </is>
      </c>
      <c r="AZ876" t="inlineStr">
        <is>
          <t>2026-02-04</t>
        </is>
      </c>
      <c r="BA876" t="inlineStr">
        <is>
          <t>Säkerhetsdatablad Sonax Gloss Dryer.pdf</t>
        </is>
      </c>
      <c r="BB876" t="inlineStr">
        <is>
          <t>2024-576</t>
        </is>
      </c>
      <c r="BC876" t="inlineStr">
        <is>
          <t>AUTO</t>
        </is>
      </c>
      <c r="BD876" t="inlineStr"/>
      <c r="BE876" t="inlineStr"/>
      <c r="BF876" t="inlineStr">
        <is>
          <t>AUTO_GENERERAD. Bekrafta metadata mot kallfil.</t>
        </is>
      </c>
      <c r="BG876">
        <f>HYPERLINK("C:\Users\jimmy\Desktop\Examens arbete\Kod\Ny mapp\remix_-copy-of-miljöbeslut.se-portal\Säkerhetsdatablad Sonax Gloss Dryer.pdf", "Öppna PDF")</f>
        <v/>
      </c>
    </row>
    <row r="877">
      <c r="A877" t="inlineStr">
        <is>
          <t>KRAV-AUTO-000876</t>
        </is>
      </c>
      <c r="B877" t="inlineStr">
        <is>
          <t>ADMIN-INDEX-2026-02-27-00000000125C043F57453246863FE664CAFE6A3F0700950291EA24F0614FB6ACEDB12BF0E31D00000000010C0000950291EA24F0614FB6ACEDB12BF0E31D00002087AE550000</t>
        </is>
      </c>
      <c r="C877" t="inlineStr">
        <is>
          <t>cmm4yupto02yncuqwd4ijzebz</t>
        </is>
      </c>
      <c r="D877" t="inlineStr">
        <is>
          <t>http://localhost:8787/api/admin/requirements/documents/cmm4yupto02yncuqwd4ijzebz/view</t>
        </is>
      </c>
      <c r="E877">
        <f>HYPERLÄNK("http://localhost:8787/api/admin/requirements/documents/cmm4yupto02yncuqwd4ijzebz/view";"Öppna PDF")</f>
        <v/>
      </c>
      <c r="F877">
        <f>HYPERLINK("http://localhost:8787/api/admin/requirements/documents/cmm4yupto02yncuqwd4ijzebz/view","Open PDF")</f>
        <v/>
      </c>
      <c r="G877" t="inlineStr">
        <is>
          <t>cmm55w57p0004cuisfrtpqly8</t>
        </is>
      </c>
      <c r="H877" t="inlineStr">
        <is>
          <t>Beslutsvillkor</t>
        </is>
      </c>
      <c r="I877" t="inlineStr">
        <is>
          <t>Riskhantering</t>
        </is>
      </c>
      <c r="J877" t="inlineStr">
        <is>
          <t>Riskkontroll</t>
        </is>
      </c>
      <c r="K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877" t="inlineStr">
        <is>
          <t>SKA</t>
        </is>
      </c>
      <c r="N877" t="inlineStr"/>
      <c r="O877" t="inlineStr"/>
      <c r="P877" t="inlineStr">
        <is>
          <t>Manadskontroll</t>
        </is>
      </c>
      <c r="Q877" t="inlineStr"/>
      <c r="R877" t="inlineStr">
        <is>
          <t>Vid risk for incident</t>
        </is>
      </c>
      <c r="S877" t="inlineStr"/>
      <c r="T877" t="inlineStr"/>
      <c r="U877" t="inlineStr"/>
      <c r="V877" t="inlineStr">
        <is>
          <t>12 manader</t>
        </is>
      </c>
      <c r="W877" t="inlineStr">
        <is>
          <t>Nej</t>
        </is>
      </c>
      <c r="X877" t="inlineStr">
        <is>
          <t>Nej</t>
        </is>
      </c>
      <c r="Y877" t="inlineStr">
        <is>
          <t>Ja</t>
        </is>
      </c>
      <c r="Z877" t="inlineStr">
        <is>
          <t>Ja</t>
        </is>
      </c>
      <c r="AA877" t="n">
        <v>8</v>
      </c>
      <c r="AB877" t="inlineStr">
        <is>
          <t>Riskhantering</t>
        </is>
      </c>
      <c r="AC877" t="inlineStr">
        <is>
          <t>Risk-PM</t>
        </is>
      </c>
      <c r="AD877" t="inlineStr">
        <is>
          <t>Nej</t>
        </is>
      </c>
      <c r="AE877" t="inlineStr">
        <is>
          <t>Nej</t>
        </is>
      </c>
      <c r="AF877" t="inlineStr">
        <is>
          <t>Ej behandlad</t>
        </is>
      </c>
      <c r="AG877" t="inlineStr">
        <is>
          <t>AUTO_GENERERAD. Verifiera citat mot kallfil.</t>
        </is>
      </c>
      <c r="AH877" t="inlineStr">
        <is>
          <t>MEDIUM</t>
        </is>
      </c>
      <c r="AI877" t="inlineStr">
        <is>
          <t>AUTO</t>
        </is>
      </c>
      <c r="AJ877" t="inlineStr">
        <is>
          <t>Nej</t>
        </is>
      </c>
      <c r="AK877" t="inlineStr"/>
      <c r="AL877" t="inlineStr"/>
      <c r="AM877" t="inlineStr"/>
      <c r="AN877" t="inlineStr"/>
      <c r="AO877" t="inlineStr">
        <is>
          <t>cmm4yupu002yzcuqw92mpgtbw</t>
        </is>
      </c>
      <c r="AP877" t="inlineStr">
        <is>
          <t>http://localhost:8787/api/admin/requirements/documents/cmm4yupu002yzcuqw92mpgtbw/view</t>
        </is>
      </c>
      <c r="AQ877">
        <f>HYPERLÄNK("http://localhost:8787/api/admin/requirements/documents/cmm4yupu002yzcuqw92mpgtbw/view";"Öppna PDF")</f>
        <v/>
      </c>
      <c r="AR877">
        <f>HYPERLINK("http://localhost:8787/api/admin/requirements/documents/cmm4yupu002yzcuqw92mpgtbw/view","Open PDF")</f>
        <v/>
      </c>
      <c r="AS877" t="inlineStr">
        <is>
          <t>cmm55w57p0004cuisfrtpqly8</t>
        </is>
      </c>
      <c r="AT877" t="inlineStr">
        <is>
          <t>cmm4xvu980000cuh4vj0usz09</t>
        </is>
      </c>
      <c r="AU877" t="inlineStr"/>
      <c r="AV877" t="inlineStr">
        <is>
          <t>Kommun</t>
        </is>
      </c>
      <c r="AW877" t="inlineStr"/>
      <c r="AX877" t="inlineStr">
        <is>
          <t>2024-576</t>
        </is>
      </c>
      <c r="AY877" t="inlineStr">
        <is>
          <t>Beslut</t>
        </is>
      </c>
      <c r="AZ877" t="inlineStr">
        <is>
          <t>2026-02-04</t>
        </is>
      </c>
      <c r="BA877" t="inlineStr">
        <is>
          <t>Säkerhetsdatablad Sonax Gloss Dryer.pdf</t>
        </is>
      </c>
      <c r="BB877" t="inlineStr">
        <is>
          <t>2024-576</t>
        </is>
      </c>
      <c r="BC877" t="inlineStr">
        <is>
          <t>AUTO</t>
        </is>
      </c>
      <c r="BD877" t="inlineStr"/>
      <c r="BE877" t="inlineStr"/>
      <c r="BF877" t="inlineStr">
        <is>
          <t>AUTO_GENERERAD. Bekrafta metadata mot kallfil.</t>
        </is>
      </c>
      <c r="BG877">
        <f>HYPERLINK("C:\Users\jimmy\Desktop\Examens arbete\Kod\Ny mapp\remix_-copy-of-miljöbeslut.se-portal\Säkerhetsdatablad Sonax Gloss Dryer.pdf", "Öppna PDF")</f>
        <v/>
      </c>
    </row>
    <row r="878">
      <c r="A878" t="inlineStr">
        <is>
          <t>KRAV-AUTO-000877</t>
        </is>
      </c>
      <c r="B878" t="inlineStr">
        <is>
          <t>ADMIN-INDEX-2026-02-27-00000000125C043F57453246863FE664CAFE6A3F0700950291EA24F0614FB6ACEDB12BF0E31D00000000010C0000950291EA24F0614FB6ACEDB12BF0E31D00002087AE550000</t>
        </is>
      </c>
      <c r="C878" t="inlineStr">
        <is>
          <t>cmm4yupto02yncuqwd4ijzebz</t>
        </is>
      </c>
      <c r="D878" t="inlineStr">
        <is>
          <t>http://localhost:8787/api/admin/requirements/documents/cmm4yupto02yncuqwd4ijzebz/view</t>
        </is>
      </c>
      <c r="E878">
        <f>HYPERLÄNK("http://localhost:8787/api/admin/requirements/documents/cmm4yupto02yncuqwd4ijzebz/view";"Öppna PDF")</f>
        <v/>
      </c>
      <c r="F878">
        <f>HYPERLINK("http://localhost:8787/api/admin/requirements/documents/cmm4yupto02yncuqwd4ijzebz/view","Open PDF")</f>
        <v/>
      </c>
      <c r="G878" t="inlineStr">
        <is>
          <t>cmm55w57p0004cuisfrtpqly8</t>
        </is>
      </c>
      <c r="H878" t="inlineStr">
        <is>
          <t>Beslutsvillkor</t>
        </is>
      </c>
      <c r="I878" t="inlineStr">
        <is>
          <t>MiljopaverkanForsiktighet</t>
        </is>
      </c>
      <c r="J878" t="inlineStr">
        <is>
          <t>Skyddsatgarder</t>
        </is>
      </c>
      <c r="K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878" t="inlineStr">
        <is>
          <t>SKA</t>
        </is>
      </c>
      <c r="N878" t="inlineStr"/>
      <c r="O878" t="inlineStr"/>
      <c r="P878" t="inlineStr">
        <is>
          <t>Arlig</t>
        </is>
      </c>
      <c r="Q878" t="inlineStr"/>
      <c r="R878" t="inlineStr">
        <is>
          <t>Alltid</t>
        </is>
      </c>
      <c r="S878" t="inlineStr"/>
      <c r="T878" t="inlineStr">
        <is>
          <t>20 01 29</t>
        </is>
      </c>
      <c r="U878" t="inlineStr"/>
      <c r="V878" t="inlineStr"/>
      <c r="W878" t="inlineStr">
        <is>
          <t>Nej</t>
        </is>
      </c>
      <c r="X878" t="inlineStr">
        <is>
          <t>Nej</t>
        </is>
      </c>
      <c r="Y878" t="inlineStr">
        <is>
          <t>Nej</t>
        </is>
      </c>
      <c r="Z878" t="inlineStr">
        <is>
          <t>Nej</t>
        </is>
      </c>
      <c r="AA878" t="n">
        <v>10</v>
      </c>
      <c r="AB878" t="inlineStr">
        <is>
          <t>Miljopaverkan och forsiktighetsmatt</t>
        </is>
      </c>
      <c r="AC878" t="inlineStr">
        <is>
          <t>Miljo-PM</t>
        </is>
      </c>
      <c r="AD878" t="inlineStr">
        <is>
          <t>Nej</t>
        </is>
      </c>
      <c r="AE878" t="inlineStr">
        <is>
          <t>Nej</t>
        </is>
      </c>
      <c r="AF878" t="inlineStr">
        <is>
          <t>Ej behandlad</t>
        </is>
      </c>
      <c r="AG878" t="inlineStr">
        <is>
          <t>AUTO_GENERERAD. Verifiera citat mot kallfil.</t>
        </is>
      </c>
      <c r="AH878" t="inlineStr">
        <is>
          <t>MEDIUM</t>
        </is>
      </c>
      <c r="AI878" t="inlineStr">
        <is>
          <t>AUTO</t>
        </is>
      </c>
      <c r="AJ878" t="inlineStr">
        <is>
          <t>Nej</t>
        </is>
      </c>
      <c r="AK878" t="inlineStr"/>
      <c r="AL878" t="inlineStr"/>
      <c r="AM878" t="inlineStr"/>
      <c r="AN878" t="inlineStr"/>
      <c r="AO878" t="inlineStr">
        <is>
          <t>cmm4yupu002yzcuqw92mpgtbw</t>
        </is>
      </c>
      <c r="AP878" t="inlineStr">
        <is>
          <t>http://localhost:8787/api/admin/requirements/documents/cmm4yupu002yzcuqw92mpgtbw/view</t>
        </is>
      </c>
      <c r="AQ878">
        <f>HYPERLÄNK("http://localhost:8787/api/admin/requirements/documents/cmm4yupu002yzcuqw92mpgtbw/view";"Öppna PDF")</f>
        <v/>
      </c>
      <c r="AR878">
        <f>HYPERLINK("http://localhost:8787/api/admin/requirements/documents/cmm4yupu002yzcuqw92mpgtbw/view","Open PDF")</f>
        <v/>
      </c>
      <c r="AS878" t="inlineStr">
        <is>
          <t>cmm55w57p0004cuisfrtpqly8</t>
        </is>
      </c>
      <c r="AT878" t="inlineStr">
        <is>
          <t>cmm4xvu980000cuh4vj0usz09</t>
        </is>
      </c>
      <c r="AU878" t="inlineStr"/>
      <c r="AV878" t="inlineStr">
        <is>
          <t>Kommun</t>
        </is>
      </c>
      <c r="AW878" t="inlineStr"/>
      <c r="AX878" t="inlineStr">
        <is>
          <t>2024-576</t>
        </is>
      </c>
      <c r="AY878" t="inlineStr">
        <is>
          <t>Beslut</t>
        </is>
      </c>
      <c r="AZ878" t="inlineStr">
        <is>
          <t>2026-02-04</t>
        </is>
      </c>
      <c r="BA878" t="inlineStr">
        <is>
          <t>Säkerhetsdatablad Sonax Gloss Dryer.pdf</t>
        </is>
      </c>
      <c r="BB878" t="inlineStr">
        <is>
          <t>2024-576</t>
        </is>
      </c>
      <c r="BC878" t="inlineStr">
        <is>
          <t>AUTO</t>
        </is>
      </c>
      <c r="BD878" t="inlineStr"/>
      <c r="BE878" t="inlineStr"/>
      <c r="BF878" t="inlineStr">
        <is>
          <t>AUTO_GENERERAD. Bekrafta metadata mot kallfil.</t>
        </is>
      </c>
      <c r="BG878">
        <f>HYPERLINK("C:\Users\jimmy\Desktop\Examens arbete\Kod\Ny mapp\remix_-copy-of-miljöbeslut.se-portal\Säkerhetsdatablad Sonax Gloss Dryer.pdf", "Öppna PDF")</f>
        <v/>
      </c>
    </row>
    <row r="879">
      <c r="A879" t="inlineStr">
        <is>
          <t>KRAV-AUTO-000878</t>
        </is>
      </c>
      <c r="B879" t="inlineStr">
        <is>
          <t>ADMIN-INDEX-2026-02-27-00000000125C043F57453246863FE664CAFE6A3F0700950291EA24F0614FB6ACEDB12BF0E31D00000000010C0000950291EA24F0614FB6ACEDB12BF0E31D00002087AE550000</t>
        </is>
      </c>
      <c r="C879" t="inlineStr">
        <is>
          <t>cmm4yuptl02ykcuqweg012bq5</t>
        </is>
      </c>
      <c r="D879" t="inlineStr">
        <is>
          <t>http://localhost:8787/api/admin/requirements/documents/cmm4yuptl02ykcuqweg012bq5/view</t>
        </is>
      </c>
      <c r="E879">
        <f>HYPERLÄNK("http://localhost:8787/api/admin/requirements/documents/cmm4yuptl02ykcuqweg012bq5/view";"Öppna PDF")</f>
        <v/>
      </c>
      <c r="F879">
        <f>HYPERLINK("http://localhost:8787/api/admin/requirements/documents/cmm4yuptl02ykcuqweg012bq5/view","Open PDF")</f>
        <v/>
      </c>
      <c r="G879" t="inlineStr">
        <is>
          <t>cmm55w57p0004cuisfrtpqly8</t>
        </is>
      </c>
      <c r="H879" t="inlineStr">
        <is>
          <t>Beslutsvillkor</t>
        </is>
      </c>
      <c r="I879" t="inlineStr">
        <is>
          <t>Riskhantering</t>
        </is>
      </c>
      <c r="J879" t="inlineStr">
        <is>
          <t>Riskkontroll</t>
        </is>
      </c>
      <c r="K879" t="inlineStr">
        <is>
          <t>5.3 Råd till brandbekämpningspersonal Speciell skyddsutrustning: Vid brandbekämpning skall vanliga åtgärder vidtas.</t>
        </is>
      </c>
      <c r="L879" t="inlineStr">
        <is>
          <t>5.3 Råd till brandbekämpningspersonal Speciell skyddsutrustning: Vid brandbekämpning skall vanliga åtgärder vidtas.</t>
        </is>
      </c>
      <c r="M879" t="inlineStr">
        <is>
          <t>SKA</t>
        </is>
      </c>
      <c r="N879" t="inlineStr"/>
      <c r="O879" t="inlineStr"/>
      <c r="P879" t="inlineStr"/>
      <c r="Q879" t="inlineStr"/>
      <c r="R879" t="inlineStr">
        <is>
          <t>Vid risk for incident</t>
        </is>
      </c>
      <c r="S879" t="inlineStr"/>
      <c r="T879" t="inlineStr">
        <is>
          <t>513330</t>
        </is>
      </c>
      <c r="U879" t="inlineStr"/>
      <c r="V879" t="inlineStr"/>
      <c r="W879" t="inlineStr">
        <is>
          <t>Nej</t>
        </is>
      </c>
      <c r="X879" t="inlineStr">
        <is>
          <t>Nej</t>
        </is>
      </c>
      <c r="Y879" t="inlineStr">
        <is>
          <t>Ja</t>
        </is>
      </c>
      <c r="Z879" t="inlineStr">
        <is>
          <t>Ja</t>
        </is>
      </c>
      <c r="AA879" t="n">
        <v>8</v>
      </c>
      <c r="AB879" t="inlineStr">
        <is>
          <t>Riskhantering</t>
        </is>
      </c>
      <c r="AC879" t="inlineStr">
        <is>
          <t>Risk-PM</t>
        </is>
      </c>
      <c r="AD879" t="inlineStr">
        <is>
          <t>Nej</t>
        </is>
      </c>
      <c r="AE879" t="inlineStr">
        <is>
          <t>Nej</t>
        </is>
      </c>
      <c r="AF879" t="inlineStr">
        <is>
          <t>Ej behandlad</t>
        </is>
      </c>
      <c r="AG879" t="inlineStr">
        <is>
          <t>AUTO_GENERERAD. Verifiera citat mot kallfil.</t>
        </is>
      </c>
      <c r="AH879" t="inlineStr">
        <is>
          <t>MEDIUM</t>
        </is>
      </c>
      <c r="AI879" t="inlineStr">
        <is>
          <t>AUTO</t>
        </is>
      </c>
      <c r="AJ879" t="inlineStr">
        <is>
          <t>Nej</t>
        </is>
      </c>
      <c r="AK879" t="inlineStr"/>
      <c r="AL879" t="inlineStr"/>
      <c r="AM879" t="inlineStr"/>
      <c r="AN879" t="inlineStr"/>
      <c r="AO879" t="inlineStr">
        <is>
          <t>cmm4yupu002yzcuqw92mpgtbw</t>
        </is>
      </c>
      <c r="AP879" t="inlineStr">
        <is>
          <t>http://localhost:8787/api/admin/requirements/documents/cmm4yupu002yzcuqw92mpgtbw/view</t>
        </is>
      </c>
      <c r="AQ879">
        <f>HYPERLÄNK("http://localhost:8787/api/admin/requirements/documents/cmm4yupu002yzcuqw92mpgtbw/view";"Öppna PDF")</f>
        <v/>
      </c>
      <c r="AR879">
        <f>HYPERLINK("http://localhost:8787/api/admin/requirements/documents/cmm4yupu002yzcuqw92mpgtbw/view","Open PDF")</f>
        <v/>
      </c>
      <c r="AS879" t="inlineStr">
        <is>
          <t>cmm55w57p0004cuisfrtpqly8</t>
        </is>
      </c>
      <c r="AT879" t="inlineStr">
        <is>
          <t>cmm4xvu980000cuh4vj0usz09</t>
        </is>
      </c>
      <c r="AU879" t="inlineStr"/>
      <c r="AV879" t="inlineStr">
        <is>
          <t>Kommun</t>
        </is>
      </c>
      <c r="AW879" t="inlineStr"/>
      <c r="AX879" t="inlineStr">
        <is>
          <t>2024-576</t>
        </is>
      </c>
      <c r="AY879" t="inlineStr">
        <is>
          <t>Beslut</t>
        </is>
      </c>
      <c r="AZ879" t="inlineStr">
        <is>
          <t>2026-02-04</t>
        </is>
      </c>
      <c r="BA879" t="inlineStr">
        <is>
          <t>Säkerhetsdatablad Sonax Gloss Dryer.pdf</t>
        </is>
      </c>
      <c r="BB879" t="inlineStr">
        <is>
          <t>2024-576</t>
        </is>
      </c>
      <c r="BC879" t="inlineStr">
        <is>
          <t>AUTO</t>
        </is>
      </c>
      <c r="BD879" t="inlineStr"/>
      <c r="BE879" t="inlineStr"/>
      <c r="BF879" t="inlineStr">
        <is>
          <t>AUTO_GENERERAD. Bekrafta metadata mot kallfil.</t>
        </is>
      </c>
      <c r="BG879">
        <f>HYPERLINK("C:\Users\jimmy\Desktop\Examens arbete\Kod\Ny mapp\remix_-copy-of-miljöbeslut.se-portal\Säkerhetsdatablad Sonax Gloss Dryer.pdf", "Öppna PDF")</f>
        <v/>
      </c>
    </row>
    <row r="880">
      <c r="A880" t="inlineStr">
        <is>
          <t>KRAV-AUTO-000879</t>
        </is>
      </c>
      <c r="B880" t="inlineStr">
        <is>
          <t>ADMIN-INDEX-2026-02-27-00000000125C043F57453246863FE664CAFE6A3F0700950291EA24F0614FB6ACEDB12BF0E31D00000000010C0000950291EA24F0614FB6ACEDB12BF0E31D00002087AE550000</t>
        </is>
      </c>
      <c r="C880" t="inlineStr">
        <is>
          <t>cmm4yuptl02ykcuqweg012bq5</t>
        </is>
      </c>
      <c r="D880" t="inlineStr">
        <is>
          <t>http://localhost:8787/api/admin/requirements/documents/cmm4yuptl02ykcuqweg012bq5/view</t>
        </is>
      </c>
      <c r="E880">
        <f>HYPERLÄNK("http://localhost:8787/api/admin/requirements/documents/cmm4yuptl02ykcuqweg012bq5/view";"Öppna PDF")</f>
        <v/>
      </c>
      <c r="F880">
        <f>HYPERLINK("http://localhost:8787/api/admin/requirements/documents/cmm4yuptl02ykcuqweg012bq5/view","Open PDF")</f>
        <v/>
      </c>
      <c r="G880" t="inlineStr">
        <is>
          <t>cmm55w57p0004cuisfrtpqly8</t>
        </is>
      </c>
      <c r="H880" t="inlineStr">
        <is>
          <t>Beslutsvillkor</t>
        </is>
      </c>
      <c r="I880" t="inlineStr">
        <is>
          <t>MiljopaverkanForsiktighet</t>
        </is>
      </c>
      <c r="J880" t="inlineStr">
        <is>
          <t>Skyddsatgarder</t>
        </is>
      </c>
      <c r="K880" t="inlineStr">
        <is>
          <t>Rekommendation: Avfall måste hanteras och avlägsnas enligt lokala föreskrifter.</t>
        </is>
      </c>
      <c r="L880" t="inlineStr">
        <is>
          <t>Rekommendation: Avfall måste hanteras och avlägsnas enligt lokala föreskrifter.</t>
        </is>
      </c>
      <c r="M880" t="inlineStr">
        <is>
          <t>SKA</t>
        </is>
      </c>
      <c r="N880" t="inlineStr"/>
      <c r="O880" t="inlineStr"/>
      <c r="P880" t="inlineStr"/>
      <c r="Q880" t="inlineStr"/>
      <c r="R880" t="inlineStr">
        <is>
          <t>Alltid</t>
        </is>
      </c>
      <c r="S880" t="inlineStr"/>
      <c r="T880" t="inlineStr">
        <is>
          <t>513330</t>
        </is>
      </c>
      <c r="U880" t="inlineStr"/>
      <c r="V880" t="inlineStr"/>
      <c r="W880" t="inlineStr">
        <is>
          <t>Nej</t>
        </is>
      </c>
      <c r="X880" t="inlineStr">
        <is>
          <t>Nej</t>
        </is>
      </c>
      <c r="Y880" t="inlineStr">
        <is>
          <t>Nej</t>
        </is>
      </c>
      <c r="Z880" t="inlineStr">
        <is>
          <t>Nej</t>
        </is>
      </c>
      <c r="AA880" t="n">
        <v>10</v>
      </c>
      <c r="AB880" t="inlineStr">
        <is>
          <t>Miljopaverkan och forsiktighetsmatt</t>
        </is>
      </c>
      <c r="AC880" t="inlineStr">
        <is>
          <t>Miljo-PM</t>
        </is>
      </c>
      <c r="AD880" t="inlineStr">
        <is>
          <t>Nej</t>
        </is>
      </c>
      <c r="AE880" t="inlineStr">
        <is>
          <t>Nej</t>
        </is>
      </c>
      <c r="AF880" t="inlineStr">
        <is>
          <t>Ej behandlad</t>
        </is>
      </c>
      <c r="AG880" t="inlineStr">
        <is>
          <t>AUTO_GENERERAD. Verifiera citat mot kallfil.</t>
        </is>
      </c>
      <c r="AH880" t="inlineStr">
        <is>
          <t>MEDIUM</t>
        </is>
      </c>
      <c r="AI880" t="inlineStr">
        <is>
          <t>AUTO</t>
        </is>
      </c>
      <c r="AJ880" t="inlineStr">
        <is>
          <t>Nej</t>
        </is>
      </c>
      <c r="AK880" t="inlineStr"/>
      <c r="AL880" t="inlineStr"/>
      <c r="AM880" t="inlineStr"/>
      <c r="AN880" t="inlineStr"/>
      <c r="AO880" t="inlineStr">
        <is>
          <t>cmm4yupu002yzcuqw92mpgtbw</t>
        </is>
      </c>
      <c r="AP880" t="inlineStr">
        <is>
          <t>http://localhost:8787/api/admin/requirements/documents/cmm4yupu002yzcuqw92mpgtbw/view</t>
        </is>
      </c>
      <c r="AQ880">
        <f>HYPERLÄNK("http://localhost:8787/api/admin/requirements/documents/cmm4yupu002yzcuqw92mpgtbw/view";"Öppna PDF")</f>
        <v/>
      </c>
      <c r="AR880">
        <f>HYPERLINK("http://localhost:8787/api/admin/requirements/documents/cmm4yupu002yzcuqw92mpgtbw/view","Open PDF")</f>
        <v/>
      </c>
      <c r="AS880" t="inlineStr">
        <is>
          <t>cmm55w57p0004cuisfrtpqly8</t>
        </is>
      </c>
      <c r="AT880" t="inlineStr">
        <is>
          <t>cmm4xvu980000cuh4vj0usz09</t>
        </is>
      </c>
      <c r="AU880" t="inlineStr"/>
      <c r="AV880" t="inlineStr">
        <is>
          <t>Kommun</t>
        </is>
      </c>
      <c r="AW880" t="inlineStr"/>
      <c r="AX880" t="inlineStr">
        <is>
          <t>2024-576</t>
        </is>
      </c>
      <c r="AY880" t="inlineStr">
        <is>
          <t>Beslut</t>
        </is>
      </c>
      <c r="AZ880" t="inlineStr">
        <is>
          <t>2026-02-04</t>
        </is>
      </c>
      <c r="BA880" t="inlineStr">
        <is>
          <t>Säkerhetsdatablad Sonax Gloss Dryer.pdf</t>
        </is>
      </c>
      <c r="BB880" t="inlineStr">
        <is>
          <t>2024-576</t>
        </is>
      </c>
      <c r="BC880" t="inlineStr">
        <is>
          <t>AUTO</t>
        </is>
      </c>
      <c r="BD880" t="inlineStr"/>
      <c r="BE880" t="inlineStr"/>
      <c r="BF880" t="inlineStr">
        <is>
          <t>AUTO_GENERERAD. Bekrafta metadata mot kallfil.</t>
        </is>
      </c>
      <c r="BG880">
        <f>HYPERLINK("C:\Users\jimmy\Desktop\Examens arbete\Kod\Ny mapp\remix_-copy-of-miljöbeslut.se-portal\Säkerhetsdatablad Sonax Gloss Dryer.pdf", "Öppna PDF")</f>
        <v/>
      </c>
    </row>
    <row r="881">
      <c r="A881" t="inlineStr">
        <is>
          <t>KRAV-AUTO-000880</t>
        </is>
      </c>
      <c r="B881" t="inlineStr">
        <is>
          <t>ADMIN-INDEX-2026-02-27-00000000125C043F57453246863FE664CAFE6A3F0700950291EA24F0614FB6ACEDB12BF0E31D00000000010C0000950291EA24F0614FB6ACEDB12BF0E31D00002087AE550000</t>
        </is>
      </c>
      <c r="C881" t="inlineStr">
        <is>
          <t>cmm4yuptl02ykcuqweg012bq5</t>
        </is>
      </c>
      <c r="D881" t="inlineStr">
        <is>
          <t>http://localhost:8787/api/admin/requirements/documents/cmm4yuptl02ykcuqweg012bq5/view</t>
        </is>
      </c>
      <c r="E881">
        <f>HYPERLÄNK("http://localhost:8787/api/admin/requirements/documents/cmm4yuptl02ykcuqweg012bq5/view";"Öppna PDF")</f>
        <v/>
      </c>
      <c r="F881">
        <f>HYPERLINK("http://localhost:8787/api/admin/requirements/documents/cmm4yuptl02ykcuqweg012bq5/view","Open PDF")</f>
        <v/>
      </c>
      <c r="G881" t="inlineStr">
        <is>
          <t>cmm55w57p0004cuisfrtpqly8</t>
        </is>
      </c>
      <c r="H881" t="inlineStr">
        <is>
          <t>Beslutsvillkor</t>
        </is>
      </c>
      <c r="I881" t="inlineStr">
        <is>
          <t>Riskhantering</t>
        </is>
      </c>
      <c r="J881" t="inlineStr">
        <is>
          <t>Riskkontroll</t>
        </is>
      </c>
      <c r="K881" t="inlineStr">
        <is>
          <t>Hänvisningar beträffande brand- och explosionsskydd: Inga speciella åtgärder krävs.</t>
        </is>
      </c>
      <c r="L881" t="inlineStr">
        <is>
          <t>Hänvisningar beträffande brand- och explosionsskydd: Inga speciella åtgärder krävs.</t>
        </is>
      </c>
      <c r="M881" t="inlineStr">
        <is>
          <t>SKA</t>
        </is>
      </c>
      <c r="N881" t="inlineStr"/>
      <c r="O881" t="inlineStr"/>
      <c r="P881" t="inlineStr"/>
      <c r="Q881" t="inlineStr"/>
      <c r="R881" t="inlineStr">
        <is>
          <t>Vid risk for incident</t>
        </is>
      </c>
      <c r="S881" t="inlineStr"/>
      <c r="T881" t="inlineStr">
        <is>
          <t>513330</t>
        </is>
      </c>
      <c r="U881" t="inlineStr"/>
      <c r="V881" t="inlineStr"/>
      <c r="W881" t="inlineStr">
        <is>
          <t>Nej</t>
        </is>
      </c>
      <c r="X881" t="inlineStr">
        <is>
          <t>Nej</t>
        </is>
      </c>
      <c r="Y881" t="inlineStr">
        <is>
          <t>Ja</t>
        </is>
      </c>
      <c r="Z881" t="inlineStr">
        <is>
          <t>Ja</t>
        </is>
      </c>
      <c r="AA881" t="n">
        <v>8</v>
      </c>
      <c r="AB881" t="inlineStr">
        <is>
          <t>Riskhantering</t>
        </is>
      </c>
      <c r="AC881" t="inlineStr">
        <is>
          <t>Risk-PM</t>
        </is>
      </c>
      <c r="AD881" t="inlineStr">
        <is>
          <t>Nej</t>
        </is>
      </c>
      <c r="AE881" t="inlineStr">
        <is>
          <t>Nej</t>
        </is>
      </c>
      <c r="AF881" t="inlineStr">
        <is>
          <t>Ej behandlad</t>
        </is>
      </c>
      <c r="AG881" t="inlineStr">
        <is>
          <t>AUTO_GENERERAD. Verifiera citat mot kallfil.</t>
        </is>
      </c>
      <c r="AH881" t="inlineStr">
        <is>
          <t>MEDIUM</t>
        </is>
      </c>
      <c r="AI881" t="inlineStr">
        <is>
          <t>AUTO</t>
        </is>
      </c>
      <c r="AJ881" t="inlineStr">
        <is>
          <t>Nej</t>
        </is>
      </c>
      <c r="AK881" t="inlineStr"/>
      <c r="AL881" t="inlineStr"/>
      <c r="AM881" t="inlineStr"/>
      <c r="AN881" t="inlineStr"/>
      <c r="AO881" t="inlineStr">
        <is>
          <t>cmm4yupu002yzcuqw92mpgtbw</t>
        </is>
      </c>
      <c r="AP881" t="inlineStr">
        <is>
          <t>http://localhost:8787/api/admin/requirements/documents/cmm4yupu002yzcuqw92mpgtbw/view</t>
        </is>
      </c>
      <c r="AQ881">
        <f>HYPERLÄNK("http://localhost:8787/api/admin/requirements/documents/cmm4yupu002yzcuqw92mpgtbw/view";"Öppna PDF")</f>
        <v/>
      </c>
      <c r="AR881">
        <f>HYPERLINK("http://localhost:8787/api/admin/requirements/documents/cmm4yupu002yzcuqw92mpgtbw/view","Open PDF")</f>
        <v/>
      </c>
      <c r="AS881" t="inlineStr">
        <is>
          <t>cmm55w57p0004cuisfrtpqly8</t>
        </is>
      </c>
      <c r="AT881" t="inlineStr">
        <is>
          <t>cmm4xvu980000cuh4vj0usz09</t>
        </is>
      </c>
      <c r="AU881" t="inlineStr"/>
      <c r="AV881" t="inlineStr">
        <is>
          <t>Kommun</t>
        </is>
      </c>
      <c r="AW881" t="inlineStr"/>
      <c r="AX881" t="inlineStr">
        <is>
          <t>2024-576</t>
        </is>
      </c>
      <c r="AY881" t="inlineStr">
        <is>
          <t>Beslut</t>
        </is>
      </c>
      <c r="AZ881" t="inlineStr">
        <is>
          <t>2026-02-04</t>
        </is>
      </c>
      <c r="BA881" t="inlineStr">
        <is>
          <t>Säkerhetsdatablad Sonax Gloss Dryer.pdf</t>
        </is>
      </c>
      <c r="BB881" t="inlineStr">
        <is>
          <t>2024-576</t>
        </is>
      </c>
      <c r="BC881" t="inlineStr">
        <is>
          <t>AUTO</t>
        </is>
      </c>
      <c r="BD881" t="inlineStr"/>
      <c r="BE881" t="inlineStr"/>
      <c r="BF881" t="inlineStr">
        <is>
          <t>AUTO_GENERERAD. Bekrafta metadata mot kallfil.</t>
        </is>
      </c>
      <c r="BG881">
        <f>HYPERLINK("C:\Users\jimmy\Desktop\Examens arbete\Kod\Ny mapp\remix_-copy-of-miljöbeslut.se-portal\Säkerhetsdatablad Sonax Gloss Dryer.pdf", "Öppna PDF")</f>
        <v/>
      </c>
    </row>
    <row r="882">
      <c r="A882" t="inlineStr">
        <is>
          <t>KRAV-AUTO-000881</t>
        </is>
      </c>
      <c r="B882" t="inlineStr">
        <is>
          <t>ADMIN-INDEX-2026-02-27-00000000125C043F57453246863FE664CAFE6A3F0700950291EA24F0614FB6ACEDB12BF0E31D00000000010C0000950291EA24F0614FB6ACEDB12BF0E31D00002087A57E0000</t>
        </is>
      </c>
      <c r="C882" t="inlineStr">
        <is>
          <t>cmm4yurdy04g8cuqwns87ejh4</t>
        </is>
      </c>
      <c r="D882" t="inlineStr">
        <is>
          <t>http://localhost:8787/api/admin/requirements/documents/cmm4yurdy04g8cuqwns87ejh4/view</t>
        </is>
      </c>
      <c r="E882">
        <f>HYPERLÄNK("http://localhost:8787/api/admin/requirements/documents/cmm4yurdy04g8cuqwns87ejh4/view";"Öppna PDF")</f>
        <v/>
      </c>
      <c r="F882">
        <f>HYPERLINK("http://localhost:8787/api/admin/requirements/documents/cmm4yurdy04g8cuqwns87ejh4/view","Open PDF")</f>
        <v/>
      </c>
      <c r="G882" t="inlineStr">
        <is>
          <t>cmm55w57p0004cuisfrtpqly8</t>
        </is>
      </c>
      <c r="H882" t="inlineStr">
        <is>
          <t>Informationskrav</t>
        </is>
      </c>
      <c r="I882" t="inlineStr">
        <is>
          <t>DriftEgenkontroll</t>
        </is>
      </c>
      <c r="J882" t="inlineStr">
        <is>
          <t>Journalforing</t>
        </is>
      </c>
      <c r="K882" t="inlineStr">
        <is>
          <t>Provtagning och undersökning av det avfall som skall återvinnas för konstruktions- och anläggningsändamål.</t>
        </is>
      </c>
      <c r="L882" t="inlineStr">
        <is>
          <t>Provtagning och undersökning av det avfall som skall återvinnas för konstruktions- och anläggningsändamål.</t>
        </is>
      </c>
      <c r="M882" t="inlineStr">
        <is>
          <t>SKA</t>
        </is>
      </c>
      <c r="N882" t="inlineStr"/>
      <c r="O882" t="inlineStr"/>
      <c r="P882" t="inlineStr"/>
      <c r="Q882" t="inlineStr"/>
      <c r="R882" t="inlineStr">
        <is>
          <t>Lopande drift</t>
        </is>
      </c>
      <c r="S882" t="inlineStr"/>
      <c r="T882" t="inlineStr">
        <is>
          <t>556076</t>
        </is>
      </c>
      <c r="U882" t="inlineStr"/>
      <c r="V882" t="inlineStr"/>
      <c r="W882" t="inlineStr">
        <is>
          <t>Nej</t>
        </is>
      </c>
      <c r="X882" t="inlineStr">
        <is>
          <t>Nej</t>
        </is>
      </c>
      <c r="Y882" t="inlineStr">
        <is>
          <t>Ja</t>
        </is>
      </c>
      <c r="Z882" t="inlineStr">
        <is>
          <t>Nej</t>
        </is>
      </c>
      <c r="AA882" t="n">
        <v>7</v>
      </c>
      <c r="AB882" t="inlineStr">
        <is>
          <t>Egenkontrollrutiner</t>
        </is>
      </c>
      <c r="AC882" t="inlineStr">
        <is>
          <t>Egenkontrollprogram</t>
        </is>
      </c>
      <c r="AD882" t="inlineStr">
        <is>
          <t>Nej</t>
        </is>
      </c>
      <c r="AE882" t="inlineStr">
        <is>
          <t>Nej</t>
        </is>
      </c>
      <c r="AF882" t="inlineStr">
        <is>
          <t>Ej behandlad</t>
        </is>
      </c>
      <c r="AG882" t="inlineStr">
        <is>
          <t>AUTO_GENERERAD. Verifiera citat mot kallfil.</t>
        </is>
      </c>
      <c r="AH882" t="inlineStr">
        <is>
          <t>MEDIUM</t>
        </is>
      </c>
      <c r="AI882" t="inlineStr">
        <is>
          <t>AUTO</t>
        </is>
      </c>
      <c r="AJ882" t="inlineStr">
        <is>
          <t>Nej</t>
        </is>
      </c>
      <c r="AK882" t="inlineStr"/>
      <c r="AL882" t="inlineStr"/>
      <c r="AM882" t="inlineStr"/>
      <c r="AN882" t="inlineStr"/>
      <c r="AO882" t="inlineStr">
        <is>
          <t>cmm4yure104gbcuqw0iyq01tw</t>
        </is>
      </c>
      <c r="AP882" t="inlineStr">
        <is>
          <t>http://localhost:8787/api/admin/requirements/documents/cmm4yure104gbcuqw0iyq01tw/view</t>
        </is>
      </c>
      <c r="AQ882">
        <f>HYPERLÄNK("http://localhost:8787/api/admin/requirements/documents/cmm4yure104gbcuqw0iyq01tw/view";"Öppna PDF")</f>
        <v/>
      </c>
      <c r="AR882">
        <f>HYPERLINK("http://localhost:8787/api/admin/requirements/documents/cmm4yure104gbcuqw0iyq01tw/view","Open PDF")</f>
        <v/>
      </c>
      <c r="AS882" t="inlineStr">
        <is>
          <t>cmm55w57p0004cuisfrtpqly8</t>
        </is>
      </c>
      <c r="AT882" t="inlineStr">
        <is>
          <t>cmm4xvu980000cuh4vj0usz09</t>
        </is>
      </c>
      <c r="AU882" t="inlineStr">
        <is>
          <t>i Örnsköldsviks</t>
        </is>
      </c>
      <c r="AV882" t="inlineStr">
        <is>
          <t>Kommun</t>
        </is>
      </c>
      <c r="AW882" t="inlineStr">
        <is>
          <t>i Örnsköldsviks kommun</t>
        </is>
      </c>
      <c r="AX882" t="inlineStr">
        <is>
          <t>0660-880</t>
        </is>
      </c>
      <c r="AY882" t="inlineStr">
        <is>
          <t>Beslut</t>
        </is>
      </c>
      <c r="AZ882" t="inlineStr">
        <is>
          <t>2026-02-12</t>
        </is>
      </c>
      <c r="BA882" t="inlineStr">
        <is>
          <t>E-2025-840, beslut.pdf</t>
        </is>
      </c>
      <c r="BB882" t="inlineStr">
        <is>
          <t>Sv: till registrator</t>
        </is>
      </c>
      <c r="BC882" t="inlineStr">
        <is>
          <t>AUTO</t>
        </is>
      </c>
      <c r="BD882" t="inlineStr"/>
      <c r="BE882" t="inlineStr"/>
      <c r="BF882" t="inlineStr">
        <is>
          <t>AUTO_GENERERAD. Bekrafta metadata mot kallfil.</t>
        </is>
      </c>
      <c r="BG882">
        <f>HYPERLINK("C:\Users\jimmy\Desktop\Examens arbete\Kod\Ny mapp\remix_-copy-of-miljöbeslut.se-portal\E-2025-840, beslut.pdf", "Öppna PDF")</f>
        <v/>
      </c>
    </row>
    <row r="883">
      <c r="A883" t="inlineStr">
        <is>
          <t>KRAV-AUTO-000882</t>
        </is>
      </c>
      <c r="B883" t="inlineStr">
        <is>
          <t>ADMIN-INDEX-2026-02-27-00000000125C043F57453246863FE664CAFE6A3F0700950291EA24F0614FB6ACEDB12BF0E31D00000000010C0000950291EA24F0614FB6ACEDB12BF0E31D00002087A57E0000</t>
        </is>
      </c>
      <c r="C883" t="inlineStr">
        <is>
          <t>cmm4yurdy04g8cuqwns87ejh4</t>
        </is>
      </c>
      <c r="D883" t="inlineStr">
        <is>
          <t>http://localhost:8787/api/admin/requirements/documents/cmm4yurdy04g8cuqwns87ejh4/view</t>
        </is>
      </c>
      <c r="E883">
        <f>HYPERLÄNK("http://localhost:8787/api/admin/requirements/documents/cmm4yurdy04g8cuqwns87ejh4/view";"Öppna PDF")</f>
        <v/>
      </c>
      <c r="F883">
        <f>HYPERLINK("http://localhost:8787/api/admin/requirements/documents/cmm4yurdy04g8cuqwns87ejh4/view","Open PDF")</f>
        <v/>
      </c>
      <c r="G883" t="inlineStr">
        <is>
          <t>cmm55w57p0004cuisfrtpqly8</t>
        </is>
      </c>
      <c r="H883" t="inlineStr">
        <is>
          <t>Informationskrav</t>
        </is>
      </c>
      <c r="I883" t="inlineStr">
        <is>
          <t>Ytkonstruktion</t>
        </is>
      </c>
      <c r="J883" t="inlineStr">
        <is>
          <t>Tat yta</t>
        </is>
      </c>
      <c r="K883" t="inlineStr">
        <is>
          <t>Behovet av avfall som kan ersätta jungfruligt material för uppbyggnad av ytan uppskattas uppgå till totalt ca 25 000 kbm men mängden är beroende på markförhållanden och kan komma att öka eller minskas.</t>
        </is>
      </c>
      <c r="L883" t="inlineStr">
        <is>
          <t>Behovet av avfall som kan ersätta jungfruligt material för uppbyggnad av ytan uppskattas uppgå till totalt ca 25 000 kbm men mängden är beroende på markförhållanden och kan komma att öka eller minskas.</t>
        </is>
      </c>
      <c r="M883" t="inlineStr">
        <is>
          <t>SKA</t>
        </is>
      </c>
      <c r="N883" t="inlineStr"/>
      <c r="O883" t="inlineStr"/>
      <c r="P883" t="inlineStr"/>
      <c r="Q883" t="inlineStr"/>
      <c r="R883" t="inlineStr">
        <is>
          <t>Vid mellanlagring av avfall</t>
        </is>
      </c>
      <c r="S883" t="inlineStr"/>
      <c r="T883" t="inlineStr">
        <is>
          <t>556076</t>
        </is>
      </c>
      <c r="U883" t="inlineStr"/>
      <c r="V883" t="inlineStr"/>
      <c r="W883" t="inlineStr">
        <is>
          <t>Ja</t>
        </is>
      </c>
      <c r="X883" t="inlineStr">
        <is>
          <t>Nej</t>
        </is>
      </c>
      <c r="Y883" t="inlineStr">
        <is>
          <t>Nej</t>
        </is>
      </c>
      <c r="Z883" t="inlineStr">
        <is>
          <t>Nej</t>
        </is>
      </c>
      <c r="AA883" t="n">
        <v>5</v>
      </c>
      <c r="AB883" t="inlineStr">
        <is>
          <t>Teknisk beskrivning av platta</t>
        </is>
      </c>
      <c r="AC883" t="inlineStr">
        <is>
          <t>Teknisk ritning platta</t>
        </is>
      </c>
      <c r="AD883" t="inlineStr">
        <is>
          <t>Nej</t>
        </is>
      </c>
      <c r="AE883" t="inlineStr">
        <is>
          <t>Nej</t>
        </is>
      </c>
      <c r="AF883" t="inlineStr">
        <is>
          <t>Ej behandlad</t>
        </is>
      </c>
      <c r="AG883" t="inlineStr">
        <is>
          <t>AUTO_GENERERAD. Verifiera citat mot kallfil.</t>
        </is>
      </c>
      <c r="AH883" t="inlineStr">
        <is>
          <t>MEDIUM</t>
        </is>
      </c>
      <c r="AI883" t="inlineStr">
        <is>
          <t>AUTO</t>
        </is>
      </c>
      <c r="AJ883" t="inlineStr">
        <is>
          <t>Nej</t>
        </is>
      </c>
      <c r="AK883" t="inlineStr"/>
      <c r="AL883" t="inlineStr"/>
      <c r="AM883" t="inlineStr"/>
      <c r="AN883" t="inlineStr"/>
      <c r="AO883" t="inlineStr">
        <is>
          <t>cmm4yure104gbcuqw0iyq01tw</t>
        </is>
      </c>
      <c r="AP883" t="inlineStr">
        <is>
          <t>http://localhost:8787/api/admin/requirements/documents/cmm4yure104gbcuqw0iyq01tw/view</t>
        </is>
      </c>
      <c r="AQ883">
        <f>HYPERLÄNK("http://localhost:8787/api/admin/requirements/documents/cmm4yure104gbcuqw0iyq01tw/view";"Öppna PDF")</f>
        <v/>
      </c>
      <c r="AR883">
        <f>HYPERLINK("http://localhost:8787/api/admin/requirements/documents/cmm4yure104gbcuqw0iyq01tw/view","Open PDF")</f>
        <v/>
      </c>
      <c r="AS883" t="inlineStr">
        <is>
          <t>cmm55w57p0004cuisfrtpqly8</t>
        </is>
      </c>
      <c r="AT883" t="inlineStr">
        <is>
          <t>cmm4xvu980000cuh4vj0usz09</t>
        </is>
      </c>
      <c r="AU883" t="inlineStr">
        <is>
          <t>i Örnsköldsviks</t>
        </is>
      </c>
      <c r="AV883" t="inlineStr">
        <is>
          <t>Kommun</t>
        </is>
      </c>
      <c r="AW883" t="inlineStr">
        <is>
          <t>i Örnsköldsviks kommun</t>
        </is>
      </c>
      <c r="AX883" t="inlineStr">
        <is>
          <t>0660-880</t>
        </is>
      </c>
      <c r="AY883" t="inlineStr">
        <is>
          <t>Beslut</t>
        </is>
      </c>
      <c r="AZ883" t="inlineStr">
        <is>
          <t>2026-02-12</t>
        </is>
      </c>
      <c r="BA883" t="inlineStr">
        <is>
          <t>E-2025-840, beslut.pdf</t>
        </is>
      </c>
      <c r="BB883" t="inlineStr">
        <is>
          <t>Sv: till registrator</t>
        </is>
      </c>
      <c r="BC883" t="inlineStr">
        <is>
          <t>AUTO</t>
        </is>
      </c>
      <c r="BD883" t="inlineStr"/>
      <c r="BE883" t="inlineStr"/>
      <c r="BF883" t="inlineStr">
        <is>
          <t>AUTO_GENERERAD. Bekrafta metadata mot kallfil.</t>
        </is>
      </c>
      <c r="BG883">
        <f>HYPERLINK("C:\Users\jimmy\Desktop\Examens arbete\Kod\Ny mapp\remix_-copy-of-miljöbeslut.se-portal\E-2025-840, beslut.pdf", "Öppna PDF")</f>
        <v/>
      </c>
    </row>
    <row r="884">
      <c r="A884" t="inlineStr">
        <is>
          <t>KRAV-AUTO-000883</t>
        </is>
      </c>
      <c r="B884" t="inlineStr">
        <is>
          <t>ADMIN-INDEX-2026-02-27-00000000125C043F57453246863FE664CAFE6A3F0700950291EA24F0614FB6ACEDB12BF0E31D00000000010C0000950291EA24F0614FB6ACEDB12BF0E31D00002087A57E0000</t>
        </is>
      </c>
      <c r="C884" t="inlineStr">
        <is>
          <t>cmm4yurdy04g8cuqwns87ejh4</t>
        </is>
      </c>
      <c r="D884" t="inlineStr">
        <is>
          <t>http://localhost:8787/api/admin/requirements/documents/cmm4yurdy04g8cuqwns87ejh4/view</t>
        </is>
      </c>
      <c r="E884">
        <f>HYPERLÄNK("http://localhost:8787/api/admin/requirements/documents/cmm4yurdy04g8cuqwns87ejh4/view";"Öppna PDF")</f>
        <v/>
      </c>
      <c r="F884">
        <f>HYPERLINK("http://localhost:8787/api/admin/requirements/documents/cmm4yurdy04g8cuqwns87ejh4/view","Open PDF")</f>
        <v/>
      </c>
      <c r="G884" t="inlineStr">
        <is>
          <t>cmm55w57p0004cuisfrtpqly8</t>
        </is>
      </c>
      <c r="H884" t="inlineStr">
        <is>
          <t>Informationskrav</t>
        </is>
      </c>
      <c r="I884" t="inlineStr">
        <is>
          <t>MiljopaverkanForsiktighet</t>
        </is>
      </c>
      <c r="J884" t="inlineStr">
        <is>
          <t>Skyddsatgarder</t>
        </is>
      </c>
      <c r="K884" t="inlineStr">
        <is>
          <t>Ragn-Sells är ett av Skandinaviens ledande avfallsbolag med verksamhet i fyra länder.</t>
        </is>
      </c>
      <c r="L884" t="inlineStr">
        <is>
          <t>Ragn-Sells är ett av Skandinaviens ledande avfallsbolag med verksamhet i fyra länder.</t>
        </is>
      </c>
      <c r="M884" t="inlineStr">
        <is>
          <t>SKA</t>
        </is>
      </c>
      <c r="N884" t="inlineStr"/>
      <c r="O884" t="inlineStr"/>
      <c r="P884" t="inlineStr"/>
      <c r="Q884" t="inlineStr"/>
      <c r="R884" t="inlineStr">
        <is>
          <t>Alltid</t>
        </is>
      </c>
      <c r="S884" t="inlineStr"/>
      <c r="T884" t="inlineStr">
        <is>
          <t>556076</t>
        </is>
      </c>
      <c r="U884" t="inlineStr"/>
      <c r="V884" t="inlineStr"/>
      <c r="W884" t="inlineStr">
        <is>
          <t>Nej</t>
        </is>
      </c>
      <c r="X884" t="inlineStr">
        <is>
          <t>Nej</t>
        </is>
      </c>
      <c r="Y884" t="inlineStr">
        <is>
          <t>Nej</t>
        </is>
      </c>
      <c r="Z884" t="inlineStr">
        <is>
          <t>Nej</t>
        </is>
      </c>
      <c r="AA884" t="n">
        <v>10</v>
      </c>
      <c r="AB884" t="inlineStr">
        <is>
          <t>Miljopaverkan och forsiktighetsmatt</t>
        </is>
      </c>
      <c r="AC884" t="inlineStr">
        <is>
          <t>Miljo-PM</t>
        </is>
      </c>
      <c r="AD884" t="inlineStr">
        <is>
          <t>Nej</t>
        </is>
      </c>
      <c r="AE884" t="inlineStr">
        <is>
          <t>Nej</t>
        </is>
      </c>
      <c r="AF884" t="inlineStr">
        <is>
          <t>Ej behandlad</t>
        </is>
      </c>
      <c r="AG884" t="inlineStr">
        <is>
          <t>AUTO_GENERERAD. Verifiera citat mot kallfil.</t>
        </is>
      </c>
      <c r="AH884" t="inlineStr">
        <is>
          <t>MEDIUM</t>
        </is>
      </c>
      <c r="AI884" t="inlineStr">
        <is>
          <t>AUTO</t>
        </is>
      </c>
      <c r="AJ884" t="inlineStr">
        <is>
          <t>Nej</t>
        </is>
      </c>
      <c r="AK884" t="inlineStr"/>
      <c r="AL884" t="inlineStr"/>
      <c r="AM884" t="inlineStr"/>
      <c r="AN884" t="inlineStr"/>
      <c r="AO884" t="inlineStr">
        <is>
          <t>cmm4yure104gbcuqw0iyq01tw</t>
        </is>
      </c>
      <c r="AP884" t="inlineStr">
        <is>
          <t>http://localhost:8787/api/admin/requirements/documents/cmm4yure104gbcuqw0iyq01tw/view</t>
        </is>
      </c>
      <c r="AQ884">
        <f>HYPERLÄNK("http://localhost:8787/api/admin/requirements/documents/cmm4yure104gbcuqw0iyq01tw/view";"Öppna PDF")</f>
        <v/>
      </c>
      <c r="AR884">
        <f>HYPERLINK("http://localhost:8787/api/admin/requirements/documents/cmm4yure104gbcuqw0iyq01tw/view","Open PDF")</f>
        <v/>
      </c>
      <c r="AS884" t="inlineStr">
        <is>
          <t>cmm55w57p0004cuisfrtpqly8</t>
        </is>
      </c>
      <c r="AT884" t="inlineStr">
        <is>
          <t>cmm4xvu980000cuh4vj0usz09</t>
        </is>
      </c>
      <c r="AU884" t="inlineStr">
        <is>
          <t>i Örnsköldsviks</t>
        </is>
      </c>
      <c r="AV884" t="inlineStr">
        <is>
          <t>Kommun</t>
        </is>
      </c>
      <c r="AW884" t="inlineStr">
        <is>
          <t>i Örnsköldsviks kommun</t>
        </is>
      </c>
      <c r="AX884" t="inlineStr">
        <is>
          <t>0660-880</t>
        </is>
      </c>
      <c r="AY884" t="inlineStr">
        <is>
          <t>Beslut</t>
        </is>
      </c>
      <c r="AZ884" t="inlineStr">
        <is>
          <t>2026-02-12</t>
        </is>
      </c>
      <c r="BA884" t="inlineStr">
        <is>
          <t>E-2025-840, beslut.pdf</t>
        </is>
      </c>
      <c r="BB884" t="inlineStr">
        <is>
          <t>Sv: till registrator</t>
        </is>
      </c>
      <c r="BC884" t="inlineStr">
        <is>
          <t>AUTO</t>
        </is>
      </c>
      <c r="BD884" t="inlineStr"/>
      <c r="BE884" t="inlineStr"/>
      <c r="BF884" t="inlineStr">
        <is>
          <t>AUTO_GENERERAD. Bekrafta metadata mot kallfil.</t>
        </is>
      </c>
      <c r="BG884">
        <f>HYPERLINK("C:\Users\jimmy\Desktop\Examens arbete\Kod\Ny mapp\remix_-copy-of-miljöbeslut.se-portal\E-2025-840, beslut.pdf", "Öppna PDF")</f>
        <v/>
      </c>
    </row>
    <row r="885">
      <c r="A885" t="inlineStr">
        <is>
          <t>KRAV-AUTO-000884</t>
        </is>
      </c>
      <c r="B885" t="inlineStr">
        <is>
          <t>ADMIN-INDEX-2026-02-27-00000000125C043F57453246863FE664CAFE6A3F0700950291EA24F0614FB6ACEDB12BF0E31D00000000010C0000950291EA24F0614FB6ACEDB12BF0E31D00002087ADF00000</t>
        </is>
      </c>
      <c r="C885" t="inlineStr">
        <is>
          <t>cmm4yuqko03okcuqwqo9xwjbf</t>
        </is>
      </c>
      <c r="D885" t="inlineStr">
        <is>
          <t>http://localhost:8787/api/admin/requirements/documents/cmm4yuqko03okcuqwqo9xwjbf/view</t>
        </is>
      </c>
      <c r="E885">
        <f>HYPERLÄNK("http://localhost:8787/api/admin/requirements/documents/cmm4yuqko03okcuqwqo9xwjbf/view";"Öppna PDF")</f>
        <v/>
      </c>
      <c r="F885">
        <f>HYPERLINK("http://localhost:8787/api/admin/requirements/documents/cmm4yuqko03okcuqwqo9xwjbf/view","Open PDF")</f>
        <v/>
      </c>
      <c r="G885" t="inlineStr">
        <is>
          <t>cmm55w57p0004cuisfrtpqly8</t>
        </is>
      </c>
      <c r="H885" t="inlineStr">
        <is>
          <t>Beslutsvillkor</t>
        </is>
      </c>
      <c r="I885" t="inlineStr">
        <is>
          <t>LagringsvolymTid</t>
        </is>
      </c>
      <c r="J885" t="inlineStr">
        <is>
          <t>Maxmangd</t>
        </is>
      </c>
      <c r="K885" t="inlineStr">
        <is>
          <t>Potentiella handlingar som kan skapas med rutinbetonade åtgärder har kommunen en skyldighet skapa och lämna ut.</t>
        </is>
      </c>
      <c r="L885" t="inlineStr">
        <is>
          <t>Potentiella handlingar som kan skapas med rutinbetonade åtgärder har kommunen en skyldighet skapa och lämna ut.</t>
        </is>
      </c>
      <c r="M885" t="inlineStr">
        <is>
          <t>SKA</t>
        </is>
      </c>
      <c r="N885" t="inlineStr"/>
      <c r="O885" t="inlineStr"/>
      <c r="P885" t="inlineStr"/>
      <c r="Q885" t="inlineStr"/>
      <c r="R885" t="inlineStr">
        <is>
          <t>Alltid</t>
        </is>
      </c>
      <c r="S885" t="inlineStr"/>
      <c r="T885" t="inlineStr"/>
      <c r="U885" t="inlineStr"/>
      <c r="V885" t="inlineStr"/>
      <c r="W885" t="inlineStr">
        <is>
          <t>Nej</t>
        </is>
      </c>
      <c r="X885" t="inlineStr">
        <is>
          <t>Nej</t>
        </is>
      </c>
      <c r="Y885" t="inlineStr">
        <is>
          <t>Nej</t>
        </is>
      </c>
      <c r="Z885" t="inlineStr">
        <is>
          <t>Nej</t>
        </is>
      </c>
      <c r="AA885" t="n">
        <v>4</v>
      </c>
      <c r="AB885" t="inlineStr">
        <is>
          <t>Avfallsmangder och lagringstid</t>
        </is>
      </c>
      <c r="AC885" t="inlineStr">
        <is>
          <t>Avfallsforteckning</t>
        </is>
      </c>
      <c r="AD885" t="inlineStr">
        <is>
          <t>Nej</t>
        </is>
      </c>
      <c r="AE885" t="inlineStr">
        <is>
          <t>Nej</t>
        </is>
      </c>
      <c r="AF885" t="inlineStr">
        <is>
          <t>Ej behandlad</t>
        </is>
      </c>
      <c r="AG885" t="inlineStr">
        <is>
          <t>AUTO_GENERERAD. Verifiera citat mot kallfil.</t>
        </is>
      </c>
      <c r="AH885" t="inlineStr">
        <is>
          <t>MEDIUM</t>
        </is>
      </c>
      <c r="AI885" t="inlineStr">
        <is>
          <t>AUTO</t>
        </is>
      </c>
      <c r="AJ885" t="inlineStr">
        <is>
          <t>Nej</t>
        </is>
      </c>
      <c r="AK885" t="inlineStr"/>
      <c r="AL885" t="inlineStr"/>
      <c r="AM885" t="inlineStr"/>
      <c r="AN885" t="inlineStr"/>
      <c r="AO885" t="inlineStr">
        <is>
          <t>cmm4yuqko03okcuqwqo9xwjbf</t>
        </is>
      </c>
      <c r="AP885" t="inlineStr">
        <is>
          <t>http://localhost:8787/api/admin/requirements/documents/cmm4yuqko03okcuqwqo9xwjbf/view</t>
        </is>
      </c>
      <c r="AQ885">
        <f>HYPERLÄNK("http://localhost:8787/api/admin/requirements/documents/cmm4yuqko03okcuqwqo9xwjbf/view";"Öppna PDF")</f>
        <v/>
      </c>
      <c r="AR885">
        <f>HYPERLINK("http://localhost:8787/api/admin/requirements/documents/cmm4yuqko03okcuqwqo9xwjbf/view","Open PDF")</f>
        <v/>
      </c>
      <c r="AS885" t="inlineStr">
        <is>
          <t>cmm55w57p0004cuisfrtpqly8</t>
        </is>
      </c>
      <c r="AT885" t="inlineStr">
        <is>
          <t>cmm4xvu980000cuh4vj0usz09</t>
        </is>
      </c>
      <c r="AU885" t="inlineStr"/>
      <c r="AV885" t="inlineStr">
        <is>
          <t>Kommun</t>
        </is>
      </c>
      <c r="AW885" t="inlineStr"/>
      <c r="AX885" t="inlineStr">
        <is>
          <t>2022/1163</t>
        </is>
      </c>
      <c r="AY885" t="inlineStr">
        <is>
          <t>Beslut</t>
        </is>
      </c>
      <c r="AZ885" t="inlineStr">
        <is>
          <t>2026-02-05</t>
        </is>
      </c>
      <c r="BA885" t="inlineStr">
        <is>
          <t>Avgiftstaxa.pdf</t>
        </is>
      </c>
      <c r="BB885" t="inlineStr">
        <is>
          <t>VB: Utlämnande av allmänna handlingar</t>
        </is>
      </c>
      <c r="BC885" t="inlineStr">
        <is>
          <t>AUTO</t>
        </is>
      </c>
      <c r="BD885" t="inlineStr"/>
      <c r="BE885" t="inlineStr"/>
      <c r="BF885" t="inlineStr">
        <is>
          <t>AUTO_GENERERAD. Bekrafta metadata mot kallfil.</t>
        </is>
      </c>
      <c r="BG885">
        <f>HYPERLINK("C:\Users\jimmy\Desktop\Examens arbete\Kod\Ny mapp\remix_-copy-of-miljöbeslut.se-portal\Avgiftstaxa.pdf", "Öppna PDF")</f>
        <v/>
      </c>
    </row>
    <row r="886">
      <c r="A886" t="inlineStr">
        <is>
          <t>KRAV-AUTO-000885</t>
        </is>
      </c>
      <c r="B886" t="inlineStr">
        <is>
          <t>ADMIN-INDEX-2026-02-27-00000000125C043F57453246863FE664CAFE6A3F0700950291EA24F0614FB6ACEDB12BF0E31D00000000010C0000950291EA24F0614FB6ACEDB12BF0E31D00002087AE560000</t>
        </is>
      </c>
      <c r="C886" t="inlineStr">
        <is>
          <t>cmm4yupsz02xwcuqw3ww1l8bj</t>
        </is>
      </c>
      <c r="D886" t="inlineStr">
        <is>
          <t>http://localhost:8787/api/admin/requirements/documents/cmm4yupsz02xwcuqw3ww1l8bj/view</t>
        </is>
      </c>
      <c r="E886">
        <f>HYPERLÄNK("http://localhost:8787/api/admin/requirements/documents/cmm4yupsz02xwcuqw3ww1l8bj/view";"Öppna PDF")</f>
        <v/>
      </c>
      <c r="F886">
        <f>HYPERLINK("http://localhost:8787/api/admin/requirements/documents/cmm4yupsz02xwcuqw3ww1l8bj/view","Open PDF")</f>
        <v/>
      </c>
      <c r="G886" t="inlineStr">
        <is>
          <t>cmm55w57p0004cuisfrtpqly8</t>
        </is>
      </c>
      <c r="H886" t="inlineStr">
        <is>
          <t>Beslutsvillkor</t>
        </is>
      </c>
      <c r="I886" t="inlineStr">
        <is>
          <t>MiljopaverkanForsiktighet</t>
        </is>
      </c>
      <c r="J886" t="inlineStr">
        <is>
          <t>Skyddsatgarder</t>
        </is>
      </c>
      <c r="K886" t="inlineStr">
        <is>
          <t>Avfall som uppstår vid tömning skall tas omhand som farligt avfall.</t>
        </is>
      </c>
      <c r="L886" t="inlineStr">
        <is>
          <t>Avfall som uppstår vid tömning skall tas omhand som farligt avfall.</t>
        </is>
      </c>
      <c r="M886" t="inlineStr">
        <is>
          <t>SKA</t>
        </is>
      </c>
      <c r="N886" t="inlineStr"/>
      <c r="O886" t="inlineStr"/>
      <c r="P886" t="inlineStr">
        <is>
          <t>Arlig</t>
        </is>
      </c>
      <c r="Q886" t="inlineStr"/>
      <c r="R886" t="inlineStr">
        <is>
          <t>Alltid</t>
        </is>
      </c>
      <c r="S886" t="inlineStr"/>
      <c r="T886" t="inlineStr">
        <is>
          <t>96 2024</t>
        </is>
      </c>
      <c r="U886" t="inlineStr"/>
      <c r="V886" t="inlineStr"/>
      <c r="W886" t="inlineStr">
        <is>
          <t>Nej</t>
        </is>
      </c>
      <c r="X886" t="inlineStr">
        <is>
          <t>Nej</t>
        </is>
      </c>
      <c r="Y886" t="inlineStr">
        <is>
          <t>Nej</t>
        </is>
      </c>
      <c r="Z886" t="inlineStr">
        <is>
          <t>Nej</t>
        </is>
      </c>
      <c r="AA886" t="n">
        <v>10</v>
      </c>
      <c r="AB886" t="inlineStr">
        <is>
          <t>Miljopaverkan och forsiktighetsmatt</t>
        </is>
      </c>
      <c r="AC886" t="inlineStr">
        <is>
          <t>Miljo-PM</t>
        </is>
      </c>
      <c r="AD886" t="inlineStr">
        <is>
          <t>Nej</t>
        </is>
      </c>
      <c r="AE886" t="inlineStr">
        <is>
          <t>Nej</t>
        </is>
      </c>
      <c r="AF886" t="inlineStr">
        <is>
          <t>Ej behandlad</t>
        </is>
      </c>
      <c r="AG886" t="inlineStr">
        <is>
          <t>AUTO_GENERERAD. Verifiera citat mot kallfil.</t>
        </is>
      </c>
      <c r="AH886" t="inlineStr">
        <is>
          <t>MEDIUM</t>
        </is>
      </c>
      <c r="AI886" t="inlineStr">
        <is>
          <t>AUTO</t>
        </is>
      </c>
      <c r="AJ886" t="inlineStr">
        <is>
          <t>Nej</t>
        </is>
      </c>
      <c r="AK886" t="inlineStr"/>
      <c r="AL886" t="inlineStr"/>
      <c r="AM886" t="inlineStr"/>
      <c r="AN886" t="inlineStr"/>
      <c r="AO886" t="inlineStr">
        <is>
          <t>cmm4yupsi02xhcuqwgbgcjc0r</t>
        </is>
      </c>
      <c r="AP886" t="inlineStr">
        <is>
          <t>http://localhost:8787/api/admin/requirements/documents/cmm4yupsi02xhcuqwgbgcjc0r/view</t>
        </is>
      </c>
      <c r="AQ886">
        <f>HYPERLÄNK("http://localhost:8787/api/admin/requirements/documents/cmm4yupsi02xhcuqwgbgcjc0r/view";"Öppna PDF")</f>
        <v/>
      </c>
      <c r="AR886">
        <f>HYPERLINK("http://localhost:8787/api/admin/requirements/documents/cmm4yupsi02xhcuqwgbgcjc0r/view","Open PDF")</f>
        <v/>
      </c>
      <c r="AS886" t="inlineStr">
        <is>
          <t>cmm55w57p0004cuisfrtpqly8</t>
        </is>
      </c>
      <c r="AT886" t="inlineStr">
        <is>
          <t>cmm4xvu980000cuh4vj0usz09</t>
        </is>
      </c>
      <c r="AU886" t="inlineStr"/>
      <c r="AV886" t="inlineStr">
        <is>
          <t>Kommun</t>
        </is>
      </c>
      <c r="AW886" t="inlineStr"/>
      <c r="AX886" t="inlineStr">
        <is>
          <t>2024-576</t>
        </is>
      </c>
      <c r="AY886" t="inlineStr">
        <is>
          <t>Beslut</t>
        </is>
      </c>
      <c r="AZ886" t="inlineStr">
        <is>
          <t>2026-02-04</t>
        </is>
      </c>
      <c r="BA886" t="inlineStr">
        <is>
          <t>Säkerhetsdatablad Nordic Shampoo.pdf</t>
        </is>
      </c>
      <c r="BB886" t="inlineStr">
        <is>
          <t>2024-576</t>
        </is>
      </c>
      <c r="BC886" t="inlineStr">
        <is>
          <t>AUTO</t>
        </is>
      </c>
      <c r="BD886" t="inlineStr"/>
      <c r="BE886" t="inlineStr"/>
      <c r="BF886" t="inlineStr">
        <is>
          <t>AUTO_GENERERAD. Bekrafta metadata mot kallfil.</t>
        </is>
      </c>
      <c r="BG886">
        <f>HYPERLINK("C:\Users\jimmy\Desktop\Examens arbete\Kod\Ny mapp\remix_-copy-of-miljöbeslut.se-portal\Säkerhetsdatablad Nordic Shampoo.pdf", "Öppna PDF")</f>
        <v/>
      </c>
    </row>
    <row r="887">
      <c r="A887" t="inlineStr">
        <is>
          <t>KRAV-AUTO-000886</t>
        </is>
      </c>
      <c r="B887" t="inlineStr">
        <is>
          <t>ADMIN-INDEX-2026-02-27-00000000125C043F57453246863FE664CAFE6A3F0700950291EA24F0614FB6ACEDB12BF0E31D00000000010C0000950291EA24F0614FB6ACEDB12BF0E31D00002087AE560000</t>
        </is>
      </c>
      <c r="C887" t="inlineStr">
        <is>
          <t>cmm4yupsz02xwcuqw3ww1l8bj</t>
        </is>
      </c>
      <c r="D887" t="inlineStr">
        <is>
          <t>http://localhost:8787/api/admin/requirements/documents/cmm4yupsz02xwcuqw3ww1l8bj/view</t>
        </is>
      </c>
      <c r="E887">
        <f>HYPERLÄNK("http://localhost:8787/api/admin/requirements/documents/cmm4yupsz02xwcuqw3ww1l8bj/view";"Öppna PDF")</f>
        <v/>
      </c>
      <c r="F887">
        <f>HYPERLINK("http://localhost:8787/api/admin/requirements/documents/cmm4yupsz02xwcuqw3ww1l8bj/view","Open PDF")</f>
        <v/>
      </c>
      <c r="G887" t="inlineStr">
        <is>
          <t>cmm55w57p0004cuisfrtpqly8</t>
        </is>
      </c>
      <c r="H887" t="inlineStr">
        <is>
          <t>Beslutsvillkor</t>
        </is>
      </c>
      <c r="I887" t="inlineStr">
        <is>
          <t>DagvattenLakvatten</t>
        </is>
      </c>
      <c r="J887" t="inlineStr">
        <is>
          <t>Uppsamling</t>
        </is>
      </c>
      <c r="K887" t="inlineStr">
        <is>
          <t>Utgående vatten från fordonstvättsanläggningen skall efter rening ledas till spillvattennätet och ska därför uppfylla riktvärden enligt tabell 1 vad gäller maximal mängd förorening per tvättat fordon.</t>
        </is>
      </c>
      <c r="L887" t="inlineStr">
        <is>
          <t>Utgående vatten från fordonstvättsanläggningen skall efter rening ledas till spillvattennätet och ska därför uppfylla riktvärden enligt tabell 1 vad gäller maximal mängd förorening per tvättat fordon.</t>
        </is>
      </c>
      <c r="M887" t="inlineStr">
        <is>
          <t>SKA</t>
        </is>
      </c>
      <c r="N887" t="inlineStr"/>
      <c r="O887" t="inlineStr"/>
      <c r="P887" t="inlineStr"/>
      <c r="Q887" t="inlineStr"/>
      <c r="R887" t="inlineStr">
        <is>
          <t>Vid nederbord och avrinning</t>
        </is>
      </c>
      <c r="S887" t="inlineStr"/>
      <c r="T887" t="inlineStr">
        <is>
          <t>96 2024</t>
        </is>
      </c>
      <c r="U887" t="inlineStr"/>
      <c r="V887" t="inlineStr"/>
      <c r="W887" t="inlineStr">
        <is>
          <t>Nej</t>
        </is>
      </c>
      <c r="X887" t="inlineStr">
        <is>
          <t>Ja</t>
        </is>
      </c>
      <c r="Y887" t="inlineStr">
        <is>
          <t>Ja</t>
        </is>
      </c>
      <c r="Z887" t="inlineStr">
        <is>
          <t>Nej</t>
        </is>
      </c>
      <c r="AA887" t="n">
        <v>6</v>
      </c>
      <c r="AB887" t="inlineStr">
        <is>
          <t>Lakvattenhantering</t>
        </is>
      </c>
      <c r="AC887" t="inlineStr">
        <is>
          <t>Flodesschema dagvatten-lakvatten</t>
        </is>
      </c>
      <c r="AD887" t="inlineStr">
        <is>
          <t>Nej</t>
        </is>
      </c>
      <c r="AE887" t="inlineStr">
        <is>
          <t>Nej</t>
        </is>
      </c>
      <c r="AF887" t="inlineStr">
        <is>
          <t>Ej behandlad</t>
        </is>
      </c>
      <c r="AG887" t="inlineStr">
        <is>
          <t>AUTO_GENERERAD. Verifiera citat mot kallfil.</t>
        </is>
      </c>
      <c r="AH887" t="inlineStr">
        <is>
          <t>MEDIUM</t>
        </is>
      </c>
      <c r="AI887" t="inlineStr">
        <is>
          <t>AUTO</t>
        </is>
      </c>
      <c r="AJ887" t="inlineStr">
        <is>
          <t>Nej</t>
        </is>
      </c>
      <c r="AK887" t="inlineStr"/>
      <c r="AL887" t="inlineStr"/>
      <c r="AM887" t="inlineStr"/>
      <c r="AN887" t="inlineStr"/>
      <c r="AO887" t="inlineStr">
        <is>
          <t>cmm4yupsi02xhcuqwgbgcjc0r</t>
        </is>
      </c>
      <c r="AP887" t="inlineStr">
        <is>
          <t>http://localhost:8787/api/admin/requirements/documents/cmm4yupsi02xhcuqwgbgcjc0r/view</t>
        </is>
      </c>
      <c r="AQ887">
        <f>HYPERLÄNK("http://localhost:8787/api/admin/requirements/documents/cmm4yupsi02xhcuqwgbgcjc0r/view";"Öppna PDF")</f>
        <v/>
      </c>
      <c r="AR887">
        <f>HYPERLINK("http://localhost:8787/api/admin/requirements/documents/cmm4yupsi02xhcuqwgbgcjc0r/view","Open PDF")</f>
        <v/>
      </c>
      <c r="AS887" t="inlineStr">
        <is>
          <t>cmm55w57p0004cuisfrtpqly8</t>
        </is>
      </c>
      <c r="AT887" t="inlineStr">
        <is>
          <t>cmm4xvu980000cuh4vj0usz09</t>
        </is>
      </c>
      <c r="AU887" t="inlineStr"/>
      <c r="AV887" t="inlineStr">
        <is>
          <t>Kommun</t>
        </is>
      </c>
      <c r="AW887" t="inlineStr"/>
      <c r="AX887" t="inlineStr">
        <is>
          <t>2024-576</t>
        </is>
      </c>
      <c r="AY887" t="inlineStr">
        <is>
          <t>Beslut</t>
        </is>
      </c>
      <c r="AZ887" t="inlineStr">
        <is>
          <t>2026-02-04</t>
        </is>
      </c>
      <c r="BA887" t="inlineStr">
        <is>
          <t>Säkerhetsdatablad Nordic Shampoo.pdf</t>
        </is>
      </c>
      <c r="BB887" t="inlineStr">
        <is>
          <t>2024-576</t>
        </is>
      </c>
      <c r="BC887" t="inlineStr">
        <is>
          <t>AUTO</t>
        </is>
      </c>
      <c r="BD887" t="inlineStr"/>
      <c r="BE887" t="inlineStr"/>
      <c r="BF887" t="inlineStr">
        <is>
          <t>AUTO_GENERERAD. Bekrafta metadata mot kallfil.</t>
        </is>
      </c>
      <c r="BG887">
        <f>HYPERLINK("C:\Users\jimmy\Desktop\Examens arbete\Kod\Ny mapp\remix_-copy-of-miljöbeslut.se-portal\Säkerhetsdatablad Nordic Shampoo.pdf", "Öppna PDF")</f>
        <v/>
      </c>
    </row>
    <row r="888">
      <c r="A888" t="inlineStr">
        <is>
          <t>KRAV-AUTO-000887</t>
        </is>
      </c>
      <c r="B888" t="inlineStr">
        <is>
          <t>ADMIN-INDEX-2026-02-27-00000000125C043F57453246863FE664CAFE6A3F0700950291EA24F0614FB6ACEDB12BF0E31D00000000010C0000950291EA24F0614FB6ACEDB12BF0E31D00002087AE560000</t>
        </is>
      </c>
      <c r="C888" t="inlineStr">
        <is>
          <t>cmm4yupsz02xwcuqw3ww1l8bj</t>
        </is>
      </c>
      <c r="D888" t="inlineStr">
        <is>
          <t>http://localhost:8787/api/admin/requirements/documents/cmm4yupsz02xwcuqw3ww1l8bj/view</t>
        </is>
      </c>
      <c r="E888">
        <f>HYPERLÄNK("http://localhost:8787/api/admin/requirements/documents/cmm4yupsz02xwcuqw3ww1l8bj/view";"Öppna PDF")</f>
        <v/>
      </c>
      <c r="F888">
        <f>HYPERLINK("http://localhost:8787/api/admin/requirements/documents/cmm4yupsz02xwcuqw3ww1l8bj/view","Open PDF")</f>
        <v/>
      </c>
      <c r="G888" t="inlineStr">
        <is>
          <t>cmm55w57p0004cuisfrtpqly8</t>
        </is>
      </c>
      <c r="H888" t="inlineStr">
        <is>
          <t>Beslutsvillkor</t>
        </is>
      </c>
      <c r="I888" t="inlineStr">
        <is>
          <t>Ytkonstruktion</t>
        </is>
      </c>
      <c r="J888" t="inlineStr">
        <is>
          <t>Tat yta</t>
        </is>
      </c>
      <c r="K888" t="inlineStr">
        <is>
          <t>Kemikalier ska förvaras i sekundärt skydd eller i en invallning som är tät och beständig mot det aktuella ämnet, samt rymmer hela den största behållarens volym plus 10 procent av resterande behållares totala volym.</t>
        </is>
      </c>
      <c r="L888" t="inlineStr">
        <is>
          <t>Kemikalier ska förvaras i sekundärt skydd eller i en invallning som är tät och beständig mot det aktuella ämnet, samt rymmer hela den största behållarens volym plus 10 procent av resterande behållares totala volym.</t>
        </is>
      </c>
      <c r="M888" t="inlineStr">
        <is>
          <t>SKA</t>
        </is>
      </c>
      <c r="N888" t="inlineStr"/>
      <c r="O888" t="inlineStr"/>
      <c r="P888" t="inlineStr"/>
      <c r="Q888" t="inlineStr"/>
      <c r="R888" t="inlineStr">
        <is>
          <t>Vid mellanlagring av avfall</t>
        </is>
      </c>
      <c r="S888" t="inlineStr"/>
      <c r="T888" t="inlineStr">
        <is>
          <t>96 2024</t>
        </is>
      </c>
      <c r="U888" t="inlineStr"/>
      <c r="V888" t="inlineStr"/>
      <c r="W888" t="inlineStr">
        <is>
          <t>Ja</t>
        </is>
      </c>
      <c r="X888" t="inlineStr">
        <is>
          <t>Nej</t>
        </is>
      </c>
      <c r="Y888" t="inlineStr">
        <is>
          <t>Nej</t>
        </is>
      </c>
      <c r="Z888" t="inlineStr">
        <is>
          <t>Nej</t>
        </is>
      </c>
      <c r="AA888" t="n">
        <v>5</v>
      </c>
      <c r="AB888" t="inlineStr">
        <is>
          <t>Teknisk beskrivning av platta</t>
        </is>
      </c>
      <c r="AC888" t="inlineStr">
        <is>
          <t>Teknisk ritning platta</t>
        </is>
      </c>
      <c r="AD888" t="inlineStr">
        <is>
          <t>Nej</t>
        </is>
      </c>
      <c r="AE888" t="inlineStr">
        <is>
          <t>Nej</t>
        </is>
      </c>
      <c r="AF888" t="inlineStr">
        <is>
          <t>Ej behandlad</t>
        </is>
      </c>
      <c r="AG888" t="inlineStr">
        <is>
          <t>AUTO_GENERERAD. Verifiera citat mot kallfil.</t>
        </is>
      </c>
      <c r="AH888" t="inlineStr">
        <is>
          <t>MEDIUM</t>
        </is>
      </c>
      <c r="AI888" t="inlineStr">
        <is>
          <t>AUTO</t>
        </is>
      </c>
      <c r="AJ888" t="inlineStr">
        <is>
          <t>Nej</t>
        </is>
      </c>
      <c r="AK888" t="inlineStr"/>
      <c r="AL888" t="inlineStr"/>
      <c r="AM888" t="inlineStr"/>
      <c r="AN888" t="inlineStr"/>
      <c r="AO888" t="inlineStr">
        <is>
          <t>cmm4yupsi02xhcuqwgbgcjc0r</t>
        </is>
      </c>
      <c r="AP888" t="inlineStr">
        <is>
          <t>http://localhost:8787/api/admin/requirements/documents/cmm4yupsi02xhcuqwgbgcjc0r/view</t>
        </is>
      </c>
      <c r="AQ888">
        <f>HYPERLÄNK("http://localhost:8787/api/admin/requirements/documents/cmm4yupsi02xhcuqwgbgcjc0r/view";"Öppna PDF")</f>
        <v/>
      </c>
      <c r="AR888">
        <f>HYPERLINK("http://localhost:8787/api/admin/requirements/documents/cmm4yupsi02xhcuqwgbgcjc0r/view","Open PDF")</f>
        <v/>
      </c>
      <c r="AS888" t="inlineStr">
        <is>
          <t>cmm55w57p0004cuisfrtpqly8</t>
        </is>
      </c>
      <c r="AT888" t="inlineStr">
        <is>
          <t>cmm4xvu980000cuh4vj0usz09</t>
        </is>
      </c>
      <c r="AU888" t="inlineStr"/>
      <c r="AV888" t="inlineStr">
        <is>
          <t>Kommun</t>
        </is>
      </c>
      <c r="AW888" t="inlineStr"/>
      <c r="AX888" t="inlineStr">
        <is>
          <t>2024-576</t>
        </is>
      </c>
      <c r="AY888" t="inlineStr">
        <is>
          <t>Beslut</t>
        </is>
      </c>
      <c r="AZ888" t="inlineStr">
        <is>
          <t>2026-02-04</t>
        </is>
      </c>
      <c r="BA888" t="inlineStr">
        <is>
          <t>Säkerhetsdatablad Nordic Shampoo.pdf</t>
        </is>
      </c>
      <c r="BB888" t="inlineStr">
        <is>
          <t>2024-576</t>
        </is>
      </c>
      <c r="BC888" t="inlineStr">
        <is>
          <t>AUTO</t>
        </is>
      </c>
      <c r="BD888" t="inlineStr"/>
      <c r="BE888" t="inlineStr"/>
      <c r="BF888" t="inlineStr">
        <is>
          <t>AUTO_GENERERAD. Bekrafta metadata mot kallfil.</t>
        </is>
      </c>
      <c r="BG888">
        <f>HYPERLINK("C:\Users\jimmy\Desktop\Examens arbete\Kod\Ny mapp\remix_-copy-of-miljöbeslut.se-portal\Säkerhetsdatablad Nordic Shampoo.pdf", "Öppna PDF")</f>
        <v/>
      </c>
    </row>
    <row r="889">
      <c r="A889" t="inlineStr">
        <is>
          <t>KRAV-AUTO-000888</t>
        </is>
      </c>
      <c r="B889" t="inlineStr">
        <is>
          <t>ADMIN-INDEX-2026-02-27-00000000125C043F57453246863FE664CAFE6A3F0700950291EA24F0614FB6ACEDB12BF0E31D00000000010C0000950291EA24F0614FB6ACEDB12BF0E31D00002087AE560000</t>
        </is>
      </c>
      <c r="C889" t="inlineStr">
        <is>
          <t>cmm4yupsw02xtcuqw4oquv5fg</t>
        </is>
      </c>
      <c r="D889" t="inlineStr">
        <is>
          <t>http://localhost:8787/api/admin/requirements/documents/cmm4yupsw02xtcuqw4oquv5fg/view</t>
        </is>
      </c>
      <c r="E889">
        <f>HYPERLÄNK("http://localhost:8787/api/admin/requirements/documents/cmm4yupsw02xtcuqw4oquv5fg/view";"Öppna PDF")</f>
        <v/>
      </c>
      <c r="F889">
        <f>HYPERLINK("http://localhost:8787/api/admin/requirements/documents/cmm4yupsw02xtcuqw4oquv5fg/view","Open PDF")</f>
        <v/>
      </c>
      <c r="G889" t="inlineStr">
        <is>
          <t>cmm55w57p0004cuisfrtpqly8</t>
        </is>
      </c>
      <c r="H889" t="inlineStr">
        <is>
          <t>Beslutsvillkor</t>
        </is>
      </c>
      <c r="I889" t="inlineStr">
        <is>
          <t>Riskhantering</t>
        </is>
      </c>
      <c r="J889" t="inlineStr">
        <is>
          <t>Riskkontroll</t>
        </is>
      </c>
      <c r="K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889" t="inlineStr">
        <is>
          <t>SKA</t>
        </is>
      </c>
      <c r="N889" t="inlineStr"/>
      <c r="O889" t="inlineStr"/>
      <c r="P889" t="inlineStr"/>
      <c r="Q889" t="inlineStr"/>
      <c r="R889" t="inlineStr">
        <is>
          <t>Vid risk for incident</t>
        </is>
      </c>
      <c r="S889" t="inlineStr"/>
      <c r="T889" t="inlineStr"/>
      <c r="U889" t="inlineStr"/>
      <c r="V889" t="inlineStr"/>
      <c r="W889" t="inlineStr">
        <is>
          <t>Nej</t>
        </is>
      </c>
      <c r="X889" t="inlineStr">
        <is>
          <t>Nej</t>
        </is>
      </c>
      <c r="Y889" t="inlineStr">
        <is>
          <t>Ja</t>
        </is>
      </c>
      <c r="Z889" t="inlineStr">
        <is>
          <t>Ja</t>
        </is>
      </c>
      <c r="AA889" t="n">
        <v>8</v>
      </c>
      <c r="AB889" t="inlineStr">
        <is>
          <t>Riskhantering</t>
        </is>
      </c>
      <c r="AC889" t="inlineStr">
        <is>
          <t>Risk-PM</t>
        </is>
      </c>
      <c r="AD889" t="inlineStr">
        <is>
          <t>Nej</t>
        </is>
      </c>
      <c r="AE889" t="inlineStr">
        <is>
          <t>Nej</t>
        </is>
      </c>
      <c r="AF889" t="inlineStr">
        <is>
          <t>Ej behandlad</t>
        </is>
      </c>
      <c r="AG889" t="inlineStr">
        <is>
          <t>AUTO_GENERERAD. Verifiera citat mot kallfil.</t>
        </is>
      </c>
      <c r="AH889" t="inlineStr">
        <is>
          <t>MEDIUM</t>
        </is>
      </c>
      <c r="AI889" t="inlineStr">
        <is>
          <t>AUTO</t>
        </is>
      </c>
      <c r="AJ889" t="inlineStr">
        <is>
          <t>Nej</t>
        </is>
      </c>
      <c r="AK889" t="inlineStr"/>
      <c r="AL889" t="inlineStr"/>
      <c r="AM889" t="inlineStr"/>
      <c r="AN889" t="inlineStr"/>
      <c r="AO889" t="inlineStr">
        <is>
          <t>cmm4yupsi02xhcuqwgbgcjc0r</t>
        </is>
      </c>
      <c r="AP889" t="inlineStr">
        <is>
          <t>http://localhost:8787/api/admin/requirements/documents/cmm4yupsi02xhcuqwgbgcjc0r/view</t>
        </is>
      </c>
      <c r="AQ889">
        <f>HYPERLÄNK("http://localhost:8787/api/admin/requirements/documents/cmm4yupsi02xhcuqwgbgcjc0r/view";"Öppna PDF")</f>
        <v/>
      </c>
      <c r="AR889">
        <f>HYPERLINK("http://localhost:8787/api/admin/requirements/documents/cmm4yupsi02xhcuqwgbgcjc0r/view","Open PDF")</f>
        <v/>
      </c>
      <c r="AS889" t="inlineStr">
        <is>
          <t>cmm55w57p0004cuisfrtpqly8</t>
        </is>
      </c>
      <c r="AT889" t="inlineStr">
        <is>
          <t>cmm4xvu980000cuh4vj0usz09</t>
        </is>
      </c>
      <c r="AU889" t="inlineStr"/>
      <c r="AV889" t="inlineStr">
        <is>
          <t>Kommun</t>
        </is>
      </c>
      <c r="AW889" t="inlineStr"/>
      <c r="AX889" t="inlineStr">
        <is>
          <t>2024-576</t>
        </is>
      </c>
      <c r="AY889" t="inlineStr">
        <is>
          <t>Beslut</t>
        </is>
      </c>
      <c r="AZ889" t="inlineStr">
        <is>
          <t>2026-02-04</t>
        </is>
      </c>
      <c r="BA889" t="inlineStr">
        <is>
          <t>Säkerhetsdatablad Nordic Shampoo.pdf</t>
        </is>
      </c>
      <c r="BB889" t="inlineStr">
        <is>
          <t>2024-576</t>
        </is>
      </c>
      <c r="BC889" t="inlineStr">
        <is>
          <t>AUTO</t>
        </is>
      </c>
      <c r="BD889" t="inlineStr"/>
      <c r="BE889" t="inlineStr"/>
      <c r="BF889" t="inlineStr">
        <is>
          <t>AUTO_GENERERAD. Bekrafta metadata mot kallfil.</t>
        </is>
      </c>
      <c r="BG889">
        <f>HYPERLINK("C:\Users\jimmy\Desktop\Examens arbete\Kod\Ny mapp\remix_-copy-of-miljöbeslut.se-portal\Säkerhetsdatablad Nordic Shampoo.pdf", "Öppna PDF")</f>
        <v/>
      </c>
    </row>
    <row r="890">
      <c r="A890" t="inlineStr">
        <is>
          <t>KRAV-AUTO-000889</t>
        </is>
      </c>
      <c r="B890" t="inlineStr">
        <is>
          <t>ADMIN-INDEX-2026-02-27-00000000125C043F57453246863FE664CAFE6A3F0700950291EA24F0614FB6ACEDB12BF0E31D00000000010C0000950291EA24F0614FB6ACEDB12BF0E31D00002087AE560000</t>
        </is>
      </c>
      <c r="C890" t="inlineStr">
        <is>
          <t>cmm4yupsw02xtcuqw4oquv5fg</t>
        </is>
      </c>
      <c r="D890" t="inlineStr">
        <is>
          <t>http://localhost:8787/api/admin/requirements/documents/cmm4yupsw02xtcuqw4oquv5fg/view</t>
        </is>
      </c>
      <c r="E890">
        <f>HYPERLÄNK("http://localhost:8787/api/admin/requirements/documents/cmm4yupsw02xtcuqw4oquv5fg/view";"Öppna PDF")</f>
        <v/>
      </c>
      <c r="F890">
        <f>HYPERLINK("http://localhost:8787/api/admin/requirements/documents/cmm4yupsw02xtcuqw4oquv5fg/view","Open PDF")</f>
        <v/>
      </c>
      <c r="G890" t="inlineStr">
        <is>
          <t>cmm55w57p0004cuisfrtpqly8</t>
        </is>
      </c>
      <c r="H890" t="inlineStr">
        <is>
          <t>Beslutsvillkor</t>
        </is>
      </c>
      <c r="I890" t="inlineStr">
        <is>
          <t>Riskhantering</t>
        </is>
      </c>
      <c r="J890" t="inlineStr">
        <is>
          <t>Riskkontroll</t>
        </is>
      </c>
      <c r="K890" t="inlineStr">
        <is>
          <t>AFS 2014:43 Kemiska arbetsmiljörisker.</t>
        </is>
      </c>
      <c r="L890" t="inlineStr">
        <is>
          <t>AFS 2014:43 Kemiska arbetsmiljörisker.</t>
        </is>
      </c>
      <c r="M890" t="inlineStr">
        <is>
          <t>SKA</t>
        </is>
      </c>
      <c r="N890" t="inlineStr"/>
      <c r="O890" t="inlineStr"/>
      <c r="P890" t="inlineStr"/>
      <c r="Q890" t="inlineStr"/>
      <c r="R890" t="inlineStr">
        <is>
          <t>Vid risk for incident</t>
        </is>
      </c>
      <c r="S890" t="inlineStr"/>
      <c r="T890" t="inlineStr"/>
      <c r="U890" t="inlineStr"/>
      <c r="V890" t="inlineStr"/>
      <c r="W890" t="inlineStr">
        <is>
          <t>Nej</t>
        </is>
      </c>
      <c r="X890" t="inlineStr">
        <is>
          <t>Nej</t>
        </is>
      </c>
      <c r="Y890" t="inlineStr">
        <is>
          <t>Ja</t>
        </is>
      </c>
      <c r="Z890" t="inlineStr">
        <is>
          <t>Ja</t>
        </is>
      </c>
      <c r="AA890" t="n">
        <v>8</v>
      </c>
      <c r="AB890" t="inlineStr">
        <is>
          <t>Riskhantering</t>
        </is>
      </c>
      <c r="AC890" t="inlineStr">
        <is>
          <t>Risk-PM</t>
        </is>
      </c>
      <c r="AD890" t="inlineStr">
        <is>
          <t>Nej</t>
        </is>
      </c>
      <c r="AE890" t="inlineStr">
        <is>
          <t>Nej</t>
        </is>
      </c>
      <c r="AF890" t="inlineStr">
        <is>
          <t>Ej behandlad</t>
        </is>
      </c>
      <c r="AG890" t="inlineStr">
        <is>
          <t>AUTO_GENERERAD. Verifiera citat mot kallfil.</t>
        </is>
      </c>
      <c r="AH890" t="inlineStr">
        <is>
          <t>LOW</t>
        </is>
      </c>
      <c r="AI890" t="inlineStr">
        <is>
          <t>AUTO</t>
        </is>
      </c>
      <c r="AJ890" t="inlineStr">
        <is>
          <t>Nej</t>
        </is>
      </c>
      <c r="AK890" t="inlineStr"/>
      <c r="AL890" t="inlineStr"/>
      <c r="AM890" t="inlineStr"/>
      <c r="AN890" t="inlineStr"/>
      <c r="AO890" t="inlineStr">
        <is>
          <t>cmm4yupsi02xhcuqwgbgcjc0r</t>
        </is>
      </c>
      <c r="AP890" t="inlineStr">
        <is>
          <t>http://localhost:8787/api/admin/requirements/documents/cmm4yupsi02xhcuqwgbgcjc0r/view</t>
        </is>
      </c>
      <c r="AQ890">
        <f>HYPERLÄNK("http://localhost:8787/api/admin/requirements/documents/cmm4yupsi02xhcuqwgbgcjc0r/view";"Öppna PDF")</f>
        <v/>
      </c>
      <c r="AR890">
        <f>HYPERLINK("http://localhost:8787/api/admin/requirements/documents/cmm4yupsi02xhcuqwgbgcjc0r/view","Open PDF")</f>
        <v/>
      </c>
      <c r="AS890" t="inlineStr">
        <is>
          <t>cmm55w57p0004cuisfrtpqly8</t>
        </is>
      </c>
      <c r="AT890" t="inlineStr">
        <is>
          <t>cmm4xvu980000cuh4vj0usz09</t>
        </is>
      </c>
      <c r="AU890" t="inlineStr"/>
      <c r="AV890" t="inlineStr">
        <is>
          <t>Kommun</t>
        </is>
      </c>
      <c r="AW890" t="inlineStr"/>
      <c r="AX890" t="inlineStr">
        <is>
          <t>2024-576</t>
        </is>
      </c>
      <c r="AY890" t="inlineStr">
        <is>
          <t>Beslut</t>
        </is>
      </c>
      <c r="AZ890" t="inlineStr">
        <is>
          <t>2026-02-04</t>
        </is>
      </c>
      <c r="BA890" t="inlineStr">
        <is>
          <t>Säkerhetsdatablad Nordic Shampoo.pdf</t>
        </is>
      </c>
      <c r="BB890" t="inlineStr">
        <is>
          <t>2024-576</t>
        </is>
      </c>
      <c r="BC890" t="inlineStr">
        <is>
          <t>AUTO</t>
        </is>
      </c>
      <c r="BD890" t="inlineStr"/>
      <c r="BE890" t="inlineStr"/>
      <c r="BF890" t="inlineStr">
        <is>
          <t>AUTO_GENERERAD. Bekrafta metadata mot kallfil.</t>
        </is>
      </c>
      <c r="BG890">
        <f>HYPERLINK("C:\Users\jimmy\Desktop\Examens arbete\Kod\Ny mapp\remix_-copy-of-miljöbeslut.se-portal\Säkerhetsdatablad Nordic Shampoo.pdf", "Öppna PDF")</f>
        <v/>
      </c>
    </row>
    <row r="891">
      <c r="A891" t="inlineStr">
        <is>
          <t>KRAV-AUTO-000890</t>
        </is>
      </c>
      <c r="B891" t="inlineStr">
        <is>
          <t>ADMIN-INDEX-2026-02-27-00000000125C043F57453246863FE664CAFE6A3F0700950291EA24F0614FB6ACEDB12BF0E31D00000000010C0000950291EA24F0614FB6ACEDB12BF0E31D00002087AE560000</t>
        </is>
      </c>
      <c r="C891" t="inlineStr">
        <is>
          <t>cmm4yupsw02xtcuqw4oquv5fg</t>
        </is>
      </c>
      <c r="D891" t="inlineStr">
        <is>
          <t>http://localhost:8787/api/admin/requirements/documents/cmm4yupsw02xtcuqw4oquv5fg/view</t>
        </is>
      </c>
      <c r="E891">
        <f>HYPERLÄNK("http://localhost:8787/api/admin/requirements/documents/cmm4yupsw02xtcuqw4oquv5fg/view";"Öppna PDF")</f>
        <v/>
      </c>
      <c r="F891">
        <f>HYPERLINK("http://localhost:8787/api/admin/requirements/documents/cmm4yupsw02xtcuqw4oquv5fg/view","Open PDF")</f>
        <v/>
      </c>
      <c r="G891" t="inlineStr">
        <is>
          <t>cmm55w57p0004cuisfrtpqly8</t>
        </is>
      </c>
      <c r="H891" t="inlineStr">
        <is>
          <t>Beslutsvillkor</t>
        </is>
      </c>
      <c r="I891" t="inlineStr">
        <is>
          <t>Riskhantering</t>
        </is>
      </c>
      <c r="J891" t="inlineStr">
        <is>
          <t>Riskkontroll</t>
        </is>
      </c>
      <c r="K891" t="inlineStr">
        <is>
          <t>B.- Tekniska rekommendationer för att förebygga bränder och explosioner.</t>
        </is>
      </c>
      <c r="L891" t="inlineStr">
        <is>
          <t>B.- Tekniska rekommendationer för att förebygga bränder och explosioner.</t>
        </is>
      </c>
      <c r="M891" t="inlineStr">
        <is>
          <t>SKA</t>
        </is>
      </c>
      <c r="N891" t="inlineStr"/>
      <c r="O891" t="inlineStr"/>
      <c r="P891" t="inlineStr"/>
      <c r="Q891" t="inlineStr"/>
      <c r="R891" t="inlineStr">
        <is>
          <t>Vid risk for incident</t>
        </is>
      </c>
      <c r="S891" t="inlineStr"/>
      <c r="T891" t="inlineStr"/>
      <c r="U891" t="inlineStr"/>
      <c r="V891" t="inlineStr"/>
      <c r="W891" t="inlineStr">
        <is>
          <t>Nej</t>
        </is>
      </c>
      <c r="X891" t="inlineStr">
        <is>
          <t>Nej</t>
        </is>
      </c>
      <c r="Y891" t="inlineStr">
        <is>
          <t>Ja</t>
        </is>
      </c>
      <c r="Z891" t="inlineStr">
        <is>
          <t>Ja</t>
        </is>
      </c>
      <c r="AA891" t="n">
        <v>8</v>
      </c>
      <c r="AB891" t="inlineStr">
        <is>
          <t>Riskhantering</t>
        </is>
      </c>
      <c r="AC891" t="inlineStr">
        <is>
          <t>Risk-PM</t>
        </is>
      </c>
      <c r="AD891" t="inlineStr">
        <is>
          <t>Nej</t>
        </is>
      </c>
      <c r="AE891" t="inlineStr">
        <is>
          <t>Nej</t>
        </is>
      </c>
      <c r="AF891" t="inlineStr">
        <is>
          <t>Ej behandlad</t>
        </is>
      </c>
      <c r="AG891" t="inlineStr">
        <is>
          <t>AUTO_GENERERAD. Verifiera citat mot kallfil.</t>
        </is>
      </c>
      <c r="AH891" t="inlineStr">
        <is>
          <t>MEDIUM</t>
        </is>
      </c>
      <c r="AI891" t="inlineStr">
        <is>
          <t>AUTO</t>
        </is>
      </c>
      <c r="AJ891" t="inlineStr">
        <is>
          <t>Nej</t>
        </is>
      </c>
      <c r="AK891" t="inlineStr"/>
      <c r="AL891" t="inlineStr"/>
      <c r="AM891" t="inlineStr"/>
      <c r="AN891" t="inlineStr"/>
      <c r="AO891" t="inlineStr">
        <is>
          <t>cmm4yupsi02xhcuqwgbgcjc0r</t>
        </is>
      </c>
      <c r="AP891" t="inlineStr">
        <is>
          <t>http://localhost:8787/api/admin/requirements/documents/cmm4yupsi02xhcuqwgbgcjc0r/view</t>
        </is>
      </c>
      <c r="AQ891">
        <f>HYPERLÄNK("http://localhost:8787/api/admin/requirements/documents/cmm4yupsi02xhcuqwgbgcjc0r/view";"Öppna PDF")</f>
        <v/>
      </c>
      <c r="AR891">
        <f>HYPERLINK("http://localhost:8787/api/admin/requirements/documents/cmm4yupsi02xhcuqwgbgcjc0r/view","Open PDF")</f>
        <v/>
      </c>
      <c r="AS891" t="inlineStr">
        <is>
          <t>cmm55w57p0004cuisfrtpqly8</t>
        </is>
      </c>
      <c r="AT891" t="inlineStr">
        <is>
          <t>cmm4xvu980000cuh4vj0usz09</t>
        </is>
      </c>
      <c r="AU891" t="inlineStr"/>
      <c r="AV891" t="inlineStr">
        <is>
          <t>Kommun</t>
        </is>
      </c>
      <c r="AW891" t="inlineStr"/>
      <c r="AX891" t="inlineStr">
        <is>
          <t>2024-576</t>
        </is>
      </c>
      <c r="AY891" t="inlineStr">
        <is>
          <t>Beslut</t>
        </is>
      </c>
      <c r="AZ891" t="inlineStr">
        <is>
          <t>2026-02-04</t>
        </is>
      </c>
      <c r="BA891" t="inlineStr">
        <is>
          <t>Säkerhetsdatablad Nordic Shampoo.pdf</t>
        </is>
      </c>
      <c r="BB891" t="inlineStr">
        <is>
          <t>2024-576</t>
        </is>
      </c>
      <c r="BC891" t="inlineStr">
        <is>
          <t>AUTO</t>
        </is>
      </c>
      <c r="BD891" t="inlineStr"/>
      <c r="BE891" t="inlineStr"/>
      <c r="BF891" t="inlineStr">
        <is>
          <t>AUTO_GENERERAD. Bekrafta metadata mot kallfil.</t>
        </is>
      </c>
      <c r="BG891">
        <f>HYPERLINK("C:\Users\jimmy\Desktop\Examens arbete\Kod\Ny mapp\remix_-copy-of-miljöbeslut.se-portal\Säkerhetsdatablad Nordic Shampoo.pdf", "Öppna PDF")</f>
        <v/>
      </c>
    </row>
    <row r="892">
      <c r="A892" t="inlineStr">
        <is>
          <t>KRAV-AUTO-000891</t>
        </is>
      </c>
      <c r="B892" t="inlineStr">
        <is>
          <t>ADMIN-INDEX-2026-02-27-00000000125C043F57453246863FE664CAFE6A3F0700950291EA24F0614FB6ACEDB12BF0E31D00000000010C0000950291EA24F0614FB6ACEDB12BF0E31D00002087A57F0000</t>
        </is>
      </c>
      <c r="C892" t="inlineStr">
        <is>
          <t>cmm4yurdh04fqcuqwuxbwp53p</t>
        </is>
      </c>
      <c r="D892" t="inlineStr">
        <is>
          <t>http://localhost:8787/api/admin/requirements/documents/cmm4yurdh04fqcuqwuxbwp53p/view</t>
        </is>
      </c>
      <c r="E892">
        <f>HYPERLÄNK("http://localhost:8787/api/admin/requirements/documents/cmm4yurdh04fqcuqwuxbwp53p/view";"Öppna PDF")</f>
        <v/>
      </c>
      <c r="F892">
        <f>HYPERLINK("http://localhost:8787/api/admin/requirements/documents/cmm4yurdh04fqcuqwuxbwp53p/view","Open PDF")</f>
        <v/>
      </c>
      <c r="G892" t="inlineStr">
        <is>
          <t>cmm55w57p0004cuisfrtpqly8</t>
        </is>
      </c>
      <c r="H892" t="inlineStr">
        <is>
          <t>Beslutsvillkor</t>
        </is>
      </c>
      <c r="I892" t="inlineStr">
        <is>
          <t>DriftEgenkontroll</t>
        </is>
      </c>
      <c r="J892" t="inlineStr">
        <is>
          <t>Journalforing</t>
        </is>
      </c>
      <c r="K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Analys Resultat Enhet Metod/ref Mäto.</t>
        </is>
      </c>
      <c r="L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t>
        </is>
      </c>
      <c r="M892" t="inlineStr">
        <is>
          <t>BOR</t>
        </is>
      </c>
      <c r="N892" t="inlineStr"/>
      <c r="O892" t="inlineStr">
        <is>
          <t>2023-09-08</t>
        </is>
      </c>
      <c r="P892" t="inlineStr"/>
      <c r="Q892" t="inlineStr"/>
      <c r="R892" t="inlineStr">
        <is>
          <t>Lopande drift</t>
        </is>
      </c>
      <c r="S892" t="inlineStr"/>
      <c r="T892" t="inlineStr">
        <is>
          <t>13 2023</t>
        </is>
      </c>
      <c r="U892" t="inlineStr"/>
      <c r="V892" t="inlineStr"/>
      <c r="W892" t="inlineStr">
        <is>
          <t>Nej</t>
        </is>
      </c>
      <c r="X892" t="inlineStr">
        <is>
          <t>Nej</t>
        </is>
      </c>
      <c r="Y892" t="inlineStr">
        <is>
          <t>Ja</t>
        </is>
      </c>
      <c r="Z892" t="inlineStr">
        <is>
          <t>Nej</t>
        </is>
      </c>
      <c r="AA892" t="n">
        <v>7</v>
      </c>
      <c r="AB892" t="inlineStr">
        <is>
          <t>Egenkontrollrutiner</t>
        </is>
      </c>
      <c r="AC892" t="inlineStr">
        <is>
          <t>Egenkontrollprogram</t>
        </is>
      </c>
      <c r="AD892" t="inlineStr">
        <is>
          <t>Nej</t>
        </is>
      </c>
      <c r="AE892" t="inlineStr">
        <is>
          <t>Nej</t>
        </is>
      </c>
      <c r="AF892" t="inlineStr">
        <is>
          <t>Ej behandlad</t>
        </is>
      </c>
      <c r="AG892" t="inlineStr">
        <is>
          <t>AUTO_GENERERAD. Verifiera citat mot kallfil.</t>
        </is>
      </c>
      <c r="AH892" t="inlineStr">
        <is>
          <t>MEDIUM</t>
        </is>
      </c>
      <c r="AI892" t="inlineStr">
        <is>
          <t>AUTO</t>
        </is>
      </c>
      <c r="AJ892" t="inlineStr">
        <is>
          <t>Nej</t>
        </is>
      </c>
      <c r="AK892" t="inlineStr"/>
      <c r="AL892" t="inlineStr"/>
      <c r="AM892" t="inlineStr"/>
      <c r="AN892" t="inlineStr"/>
      <c r="AO892" t="inlineStr">
        <is>
          <t>cmm4yurd804fhcuqw6hiurhyu</t>
        </is>
      </c>
      <c r="AP892" t="inlineStr">
        <is>
          <t>http://localhost:8787/api/admin/requirements/documents/cmm4yurd804fhcuqw6hiurhyu/view</t>
        </is>
      </c>
      <c r="AQ892">
        <f>HYPERLÄNK("http://localhost:8787/api/admin/requirements/documents/cmm4yurd804fhcuqw6hiurhyu/view";"Öppna PDF")</f>
        <v/>
      </c>
      <c r="AR892">
        <f>HYPERLINK("http://localhost:8787/api/admin/requirements/documents/cmm4yurd804fhcuqw6hiurhyu/view","Open PDF")</f>
        <v/>
      </c>
      <c r="AS892" t="inlineStr">
        <is>
          <t>cmm55w57p0004cuisfrtpqly8</t>
        </is>
      </c>
      <c r="AT892" t="inlineStr">
        <is>
          <t>cmm4xvu980000cuh4vj0usz09</t>
        </is>
      </c>
      <c r="AU892" t="inlineStr"/>
      <c r="AV892" t="inlineStr">
        <is>
          <t>Kommun</t>
        </is>
      </c>
      <c r="AW892" t="inlineStr"/>
      <c r="AX892" t="inlineStr">
        <is>
          <t>2024-11</t>
        </is>
      </c>
      <c r="AY892" t="inlineStr">
        <is>
          <t>Anmalan</t>
        </is>
      </c>
      <c r="AZ892" t="inlineStr">
        <is>
          <t>2026-02-12</t>
        </is>
      </c>
      <c r="BA892" t="inlineStr">
        <is>
          <t>2024-923Miljöfarlig verksamhet, anmälan _ ändring - 10928.pdf</t>
        </is>
      </c>
      <c r="BB892" t="inlineStr">
        <is>
          <t>Sv: till registrator</t>
        </is>
      </c>
      <c r="BC892" t="inlineStr">
        <is>
          <t>AUTO</t>
        </is>
      </c>
      <c r="BD892" t="inlineStr"/>
      <c r="BE892" t="inlineStr"/>
      <c r="BF892" t="inlineStr">
        <is>
          <t>AUTO_GENERERAD. Bekrafta metadata mot kallfil.</t>
        </is>
      </c>
      <c r="BG892">
        <f>HYPERLINK("C:\Users\jimmy\Desktop\Examens arbete\Kod\Ny mapp\remix_-copy-of-miljöbeslut.se-portal\2024-923Miljöfarlig verksamhet, anmälan _ ändring - 10928.pdf", "Öppna PDF")</f>
        <v/>
      </c>
    </row>
    <row r="893">
      <c r="A893" t="inlineStr">
        <is>
          <t>KRAV-AUTO-000892</t>
        </is>
      </c>
      <c r="B893" t="inlineStr">
        <is>
          <t>ADMIN-INDEX-2026-02-27-00000000125C043F57453246863FE664CAFE6A3F0700950291EA24F0614FB6ACEDB12BF0E31D00000000010C0000950291EA24F0614FB6ACEDB12BF0E31D00002087A57F0000</t>
        </is>
      </c>
      <c r="C893" t="inlineStr">
        <is>
          <t>cmm4yurcx04f5cuqw7fmdp6tb</t>
        </is>
      </c>
      <c r="D893" t="inlineStr">
        <is>
          <t>http://localhost:8787/api/admin/requirements/documents/cmm4yurcx04f5cuqw7fmdp6tb/view</t>
        </is>
      </c>
      <c r="E893">
        <f>HYPERLÄNK("http://localhost:8787/api/admin/requirements/documents/cmm4yurcx04f5cuqw7fmdp6tb/view";"Öppna PDF")</f>
        <v/>
      </c>
      <c r="F893">
        <f>HYPERLINK("http://localhost:8787/api/admin/requirements/documents/cmm4yurcx04f5cuqw7fmdp6tb/view","Open PDF")</f>
        <v/>
      </c>
      <c r="G893" t="inlineStr">
        <is>
          <t>cmm55w57p0004cuisfrtpqly8</t>
        </is>
      </c>
      <c r="H893" t="inlineStr">
        <is>
          <t>Kompletteringskrav</t>
        </is>
      </c>
      <c r="I893" t="inlineStr">
        <is>
          <t>DriftEgenkontroll</t>
        </is>
      </c>
      <c r="J893" t="inlineStr">
        <is>
          <t>Journalforing</t>
        </is>
      </c>
      <c r="K893" t="inlineStr">
        <is>
          <t>Tillstånds- eller anmälningspliktiga verksamheter med villkor eller förelägganden om utsläppsgränser, ska även följa Naturvårdsverkets föreskrifter om genomförande av mätningar och provtagningar i vissa verksamheter NFS 2000:15.</t>
        </is>
      </c>
      <c r="L893" t="inlineStr">
        <is>
          <t>Tillstånds- eller anmälningspliktiga verksamheter med villkor eller förelägganden om utsläppsgränser, ska även följa Naturvårdsverkets föreskrifter om genomförande av mätningar och provtagningar i vissa verksamheter NFS 2000:15.</t>
        </is>
      </c>
      <c r="M893" t="inlineStr">
        <is>
          <t>SKA</t>
        </is>
      </c>
      <c r="N893" t="inlineStr">
        <is>
          <t>Naturvardsverket</t>
        </is>
      </c>
      <c r="O893" t="inlineStr"/>
      <c r="P893" t="inlineStr"/>
      <c r="Q893" t="inlineStr">
        <is>
          <t>Forelaggande vid brist</t>
        </is>
      </c>
      <c r="R893" t="inlineStr">
        <is>
          <t>Lopande drift</t>
        </is>
      </c>
      <c r="S893" t="inlineStr"/>
      <c r="T893" t="inlineStr">
        <is>
          <t>212000</t>
        </is>
      </c>
      <c r="U893" t="inlineStr"/>
      <c r="V893" t="inlineStr"/>
      <c r="W893" t="inlineStr">
        <is>
          <t>Nej</t>
        </is>
      </c>
      <c r="X893" t="inlineStr">
        <is>
          <t>Nej</t>
        </is>
      </c>
      <c r="Y893" t="inlineStr">
        <is>
          <t>Ja</t>
        </is>
      </c>
      <c r="Z893" t="inlineStr">
        <is>
          <t>Nej</t>
        </is>
      </c>
      <c r="AA893" t="n">
        <v>7</v>
      </c>
      <c r="AB893" t="inlineStr">
        <is>
          <t>Egenkontrollrutiner</t>
        </is>
      </c>
      <c r="AC893" t="inlineStr">
        <is>
          <t>Egenkontrollprogram</t>
        </is>
      </c>
      <c r="AD893" t="inlineStr">
        <is>
          <t>Nej</t>
        </is>
      </c>
      <c r="AE893" t="inlineStr">
        <is>
          <t>Nej</t>
        </is>
      </c>
      <c r="AF893" t="inlineStr">
        <is>
          <t>Ej behandlad</t>
        </is>
      </c>
      <c r="AG893" t="inlineStr">
        <is>
          <t>AUTO_GENERERAD. Verifiera citat mot kallfil.</t>
        </is>
      </c>
      <c r="AH893" t="inlineStr">
        <is>
          <t>HIGH</t>
        </is>
      </c>
      <c r="AI893" t="inlineStr">
        <is>
          <t>AUTO</t>
        </is>
      </c>
      <c r="AJ893" t="inlineStr">
        <is>
          <t>Nej</t>
        </is>
      </c>
      <c r="AK893" t="inlineStr"/>
      <c r="AL893" t="inlineStr"/>
      <c r="AM893" t="inlineStr"/>
      <c r="AN893" t="inlineStr"/>
      <c r="AO893" t="inlineStr">
        <is>
          <t>cmm4yurd804fhcuqw6hiurhyu</t>
        </is>
      </c>
      <c r="AP893" t="inlineStr">
        <is>
          <t>http://localhost:8787/api/admin/requirements/documents/cmm4yurd804fhcuqw6hiurhyu/view</t>
        </is>
      </c>
      <c r="AQ893">
        <f>HYPERLÄNK("http://localhost:8787/api/admin/requirements/documents/cmm4yurd804fhcuqw6hiurhyu/view";"Öppna PDF")</f>
        <v/>
      </c>
      <c r="AR893">
        <f>HYPERLINK("http://localhost:8787/api/admin/requirements/documents/cmm4yurd804fhcuqw6hiurhyu/view","Open PDF")</f>
        <v/>
      </c>
      <c r="AS893" t="inlineStr">
        <is>
          <t>cmm55w57p0004cuisfrtpqly8</t>
        </is>
      </c>
      <c r="AT893" t="inlineStr">
        <is>
          <t>cmm4xvu980000cuh4vj0usz09</t>
        </is>
      </c>
      <c r="AU893" t="inlineStr"/>
      <c r="AV893" t="inlineStr">
        <is>
          <t>Kommun</t>
        </is>
      </c>
      <c r="AW893" t="inlineStr"/>
      <c r="AX893" t="inlineStr">
        <is>
          <t>2024-11</t>
        </is>
      </c>
      <c r="AY893" t="inlineStr">
        <is>
          <t>Anmalan</t>
        </is>
      </c>
      <c r="AZ893" t="inlineStr">
        <is>
          <t>2026-02-12</t>
        </is>
      </c>
      <c r="BA893" t="inlineStr">
        <is>
          <t>2024-923Miljöfarlig verksamhet, anmälan _ ändring - 10928.pdf</t>
        </is>
      </c>
      <c r="BB893" t="inlineStr">
        <is>
          <t>Sv: till registrator</t>
        </is>
      </c>
      <c r="BC893" t="inlineStr">
        <is>
          <t>AUTO</t>
        </is>
      </c>
      <c r="BD893" t="inlineStr"/>
      <c r="BE893" t="inlineStr"/>
      <c r="BF893" t="inlineStr">
        <is>
          <t>AUTO_GENERERAD. Bekrafta metadata mot kallfil.</t>
        </is>
      </c>
      <c r="BG893">
        <f>HYPERLINK("C:\Users\jimmy\Desktop\Examens arbete\Kod\Ny mapp\remix_-copy-of-miljöbeslut.se-portal\2024-923Miljöfarlig verksamhet, anmälan _ ändring - 10928.pdf", "Öppna PDF")</f>
        <v/>
      </c>
    </row>
    <row r="894">
      <c r="A894" t="inlineStr">
        <is>
          <t>KRAV-AUTO-000893</t>
        </is>
      </c>
      <c r="B894" t="inlineStr">
        <is>
          <t>ADMIN-INDEX-2026-02-27-00000000125C043F57453246863FE664CAFE6A3F0700950291EA24F0614FB6ACEDB12BF0E31D00000000010C0000950291EA24F0614FB6ACEDB12BF0E31D00002087A57F0000</t>
        </is>
      </c>
      <c r="C894" t="inlineStr">
        <is>
          <t>cmm4yurcx04f5cuqw7fmdp6tb</t>
        </is>
      </c>
      <c r="D894" t="inlineStr">
        <is>
          <t>http://localhost:8787/api/admin/requirements/documents/cmm4yurcx04f5cuqw7fmdp6tb/view</t>
        </is>
      </c>
      <c r="E894">
        <f>HYPERLÄNK("http://localhost:8787/api/admin/requirements/documents/cmm4yurcx04f5cuqw7fmdp6tb/view";"Öppna PDF")</f>
        <v/>
      </c>
      <c r="F894">
        <f>HYPERLINK("http://localhost:8787/api/admin/requirements/documents/cmm4yurcx04f5cuqw7fmdp6tb/view","Open PDF")</f>
        <v/>
      </c>
      <c r="G894" t="inlineStr">
        <is>
          <t>cmm55w57p0004cuisfrtpqly8</t>
        </is>
      </c>
      <c r="H894" t="inlineStr">
        <is>
          <t>Kompletteringskrav</t>
        </is>
      </c>
      <c r="I894" t="inlineStr">
        <is>
          <t>MiljopaverkanForsiktighet</t>
        </is>
      </c>
      <c r="J894" t="inlineStr">
        <is>
          <t>Skyddsatgarder</t>
        </is>
      </c>
      <c r="K894" t="inlineStr">
        <is>
          <t>Kemikalier, avfall samt farligt ska vara märkta med uppgifter om innehållet 7.</t>
        </is>
      </c>
      <c r="L894" t="inlineStr">
        <is>
          <t>Kemikalier, avfall samt farligt ska vara märkta med uppgifter om innehållet 7.</t>
        </is>
      </c>
      <c r="M894" t="inlineStr">
        <is>
          <t>SKA</t>
        </is>
      </c>
      <c r="N894" t="inlineStr"/>
      <c r="O894" t="inlineStr"/>
      <c r="P894" t="inlineStr">
        <is>
          <t>Arlig</t>
        </is>
      </c>
      <c r="Q894" t="inlineStr"/>
      <c r="R894" t="inlineStr">
        <is>
          <t>Alltid</t>
        </is>
      </c>
      <c r="S894" t="inlineStr"/>
      <c r="T894" t="inlineStr">
        <is>
          <t>212000</t>
        </is>
      </c>
      <c r="U894" t="inlineStr"/>
      <c r="V894" t="inlineStr"/>
      <c r="W894" t="inlineStr">
        <is>
          <t>Nej</t>
        </is>
      </c>
      <c r="X894" t="inlineStr">
        <is>
          <t>Nej</t>
        </is>
      </c>
      <c r="Y894" t="inlineStr">
        <is>
          <t>Nej</t>
        </is>
      </c>
      <c r="Z894" t="inlineStr">
        <is>
          <t>Nej</t>
        </is>
      </c>
      <c r="AA894" t="n">
        <v>10</v>
      </c>
      <c r="AB894" t="inlineStr">
        <is>
          <t>Miljopaverkan och forsiktighetsmatt</t>
        </is>
      </c>
      <c r="AC894" t="inlineStr">
        <is>
          <t>Miljo-PM</t>
        </is>
      </c>
      <c r="AD894" t="inlineStr">
        <is>
          <t>Nej</t>
        </is>
      </c>
      <c r="AE894" t="inlineStr">
        <is>
          <t>Nej</t>
        </is>
      </c>
      <c r="AF894" t="inlineStr">
        <is>
          <t>Ej behandlad</t>
        </is>
      </c>
      <c r="AG894" t="inlineStr">
        <is>
          <t>AUTO_GENERERAD. Verifiera citat mot kallfil.</t>
        </is>
      </c>
      <c r="AH894" t="inlineStr">
        <is>
          <t>MEDIUM</t>
        </is>
      </c>
      <c r="AI894" t="inlineStr">
        <is>
          <t>AUTO</t>
        </is>
      </c>
      <c r="AJ894" t="inlineStr">
        <is>
          <t>Nej</t>
        </is>
      </c>
      <c r="AK894" t="inlineStr"/>
      <c r="AL894" t="inlineStr"/>
      <c r="AM894" t="inlineStr"/>
      <c r="AN894" t="inlineStr"/>
      <c r="AO894" t="inlineStr">
        <is>
          <t>cmm4yurd804fhcuqw6hiurhyu</t>
        </is>
      </c>
      <c r="AP894" t="inlineStr">
        <is>
          <t>http://localhost:8787/api/admin/requirements/documents/cmm4yurd804fhcuqw6hiurhyu/view</t>
        </is>
      </c>
      <c r="AQ894">
        <f>HYPERLÄNK("http://localhost:8787/api/admin/requirements/documents/cmm4yurd804fhcuqw6hiurhyu/view";"Öppna PDF")</f>
        <v/>
      </c>
      <c r="AR894">
        <f>HYPERLINK("http://localhost:8787/api/admin/requirements/documents/cmm4yurd804fhcuqw6hiurhyu/view","Open PDF")</f>
        <v/>
      </c>
      <c r="AS894" t="inlineStr">
        <is>
          <t>cmm55w57p0004cuisfrtpqly8</t>
        </is>
      </c>
      <c r="AT894" t="inlineStr">
        <is>
          <t>cmm4xvu980000cuh4vj0usz09</t>
        </is>
      </c>
      <c r="AU894" t="inlineStr"/>
      <c r="AV894" t="inlineStr">
        <is>
          <t>Kommun</t>
        </is>
      </c>
      <c r="AW894" t="inlineStr"/>
      <c r="AX894" t="inlineStr">
        <is>
          <t>2024-11</t>
        </is>
      </c>
      <c r="AY894" t="inlineStr">
        <is>
          <t>Anmalan</t>
        </is>
      </c>
      <c r="AZ894" t="inlineStr">
        <is>
          <t>2026-02-12</t>
        </is>
      </c>
      <c r="BA894" t="inlineStr">
        <is>
          <t>2024-923Miljöfarlig verksamhet, anmälan _ ändring - 10928.pdf</t>
        </is>
      </c>
      <c r="BB894" t="inlineStr">
        <is>
          <t>Sv: till registrator</t>
        </is>
      </c>
      <c r="BC894" t="inlineStr">
        <is>
          <t>AUTO</t>
        </is>
      </c>
      <c r="BD894" t="inlineStr"/>
      <c r="BE894" t="inlineStr"/>
      <c r="BF894" t="inlineStr">
        <is>
          <t>AUTO_GENERERAD. Bekrafta metadata mot kallfil.</t>
        </is>
      </c>
      <c r="BG894">
        <f>HYPERLINK("C:\Users\jimmy\Desktop\Examens arbete\Kod\Ny mapp\remix_-copy-of-miljöbeslut.se-portal\2024-923Miljöfarlig verksamhet, anmälan _ ändring - 10928.pdf", "Öppna PDF")</f>
        <v/>
      </c>
    </row>
    <row r="895">
      <c r="A895" t="inlineStr">
        <is>
          <t>KRAV-AUTO-000894</t>
        </is>
      </c>
      <c r="B895" t="inlineStr">
        <is>
          <t>ADMIN-INDEX-2026-02-27-00000000125C043F57453246863FE664CAFE6A3F0700950291EA24F0614FB6ACEDB12BF0E31D00000000010C0000950291EA24F0614FB6ACEDB12BF0E31D00002087A57F0000</t>
        </is>
      </c>
      <c r="C895" t="inlineStr">
        <is>
          <t>cmm4yurcx04f5cuqw7fmdp6tb</t>
        </is>
      </c>
      <c r="D895" t="inlineStr">
        <is>
          <t>http://localhost:8787/api/admin/requirements/documents/cmm4yurcx04f5cuqw7fmdp6tb/view</t>
        </is>
      </c>
      <c r="E895">
        <f>HYPERLÄNK("http://localhost:8787/api/admin/requirements/documents/cmm4yurcx04f5cuqw7fmdp6tb/view";"Öppna PDF")</f>
        <v/>
      </c>
      <c r="F895">
        <f>HYPERLINK("http://localhost:8787/api/admin/requirements/documents/cmm4yurcx04f5cuqw7fmdp6tb/view","Open PDF")</f>
        <v/>
      </c>
      <c r="G895" t="inlineStr">
        <is>
          <t>cmm55w57p0004cuisfrtpqly8</t>
        </is>
      </c>
      <c r="H895" t="inlineStr">
        <is>
          <t>Kompletteringskrav</t>
        </is>
      </c>
      <c r="I895" t="inlineStr">
        <is>
          <t>Ytkonstruktion</t>
        </is>
      </c>
      <c r="J895" t="inlineStr">
        <is>
          <t>Tat yta</t>
        </is>
      </c>
      <c r="K895" t="inlineStr">
        <is>
          <t>Utrymmen inom verksamheten för förvaring av flytande kemikalier, avfall och farligt avfall ska utformas på så vis att läckage eller spill inte kan ske till omgivningen.</t>
        </is>
      </c>
      <c r="L895" t="inlineStr">
        <is>
          <t>Utrymmen inom verksamheten för förvaring av flytande kemikalier, avfall och farligt avfall ska utformas på så vis att läckage eller spill inte kan ske till omgivningen.</t>
        </is>
      </c>
      <c r="M895" t="inlineStr">
        <is>
          <t>SKA</t>
        </is>
      </c>
      <c r="N895" t="inlineStr"/>
      <c r="O895" t="inlineStr"/>
      <c r="P895" t="inlineStr">
        <is>
          <t>Arlig</t>
        </is>
      </c>
      <c r="Q895" t="inlineStr"/>
      <c r="R895" t="inlineStr">
        <is>
          <t>Vid mellanlagring av avfall</t>
        </is>
      </c>
      <c r="S895" t="inlineStr"/>
      <c r="T895" t="inlineStr">
        <is>
          <t>212000</t>
        </is>
      </c>
      <c r="U895" t="inlineStr"/>
      <c r="V895" t="inlineStr"/>
      <c r="W895" t="inlineStr">
        <is>
          <t>Ja</t>
        </is>
      </c>
      <c r="X895" t="inlineStr">
        <is>
          <t>Nej</t>
        </is>
      </c>
      <c r="Y895" t="inlineStr">
        <is>
          <t>Nej</t>
        </is>
      </c>
      <c r="Z895" t="inlineStr">
        <is>
          <t>Nej</t>
        </is>
      </c>
      <c r="AA895" t="n">
        <v>5</v>
      </c>
      <c r="AB895" t="inlineStr">
        <is>
          <t>Teknisk beskrivning av platta</t>
        </is>
      </c>
      <c r="AC895" t="inlineStr">
        <is>
          <t>Teknisk ritning platta</t>
        </is>
      </c>
      <c r="AD895" t="inlineStr">
        <is>
          <t>Nej</t>
        </is>
      </c>
      <c r="AE895" t="inlineStr">
        <is>
          <t>Nej</t>
        </is>
      </c>
      <c r="AF895" t="inlineStr">
        <is>
          <t>Ej behandlad</t>
        </is>
      </c>
      <c r="AG895" t="inlineStr">
        <is>
          <t>AUTO_GENERERAD. Verifiera citat mot kallfil.</t>
        </is>
      </c>
      <c r="AH895" t="inlineStr">
        <is>
          <t>MEDIUM</t>
        </is>
      </c>
      <c r="AI895" t="inlineStr">
        <is>
          <t>AUTO</t>
        </is>
      </c>
      <c r="AJ895" t="inlineStr">
        <is>
          <t>Nej</t>
        </is>
      </c>
      <c r="AK895" t="inlineStr"/>
      <c r="AL895" t="inlineStr"/>
      <c r="AM895" t="inlineStr"/>
      <c r="AN895" t="inlineStr"/>
      <c r="AO895" t="inlineStr">
        <is>
          <t>cmm4yurd804fhcuqw6hiurhyu</t>
        </is>
      </c>
      <c r="AP895" t="inlineStr">
        <is>
          <t>http://localhost:8787/api/admin/requirements/documents/cmm4yurd804fhcuqw6hiurhyu/view</t>
        </is>
      </c>
      <c r="AQ895">
        <f>HYPERLÄNK("http://localhost:8787/api/admin/requirements/documents/cmm4yurd804fhcuqw6hiurhyu/view";"Öppna PDF")</f>
        <v/>
      </c>
      <c r="AR895">
        <f>HYPERLINK("http://localhost:8787/api/admin/requirements/documents/cmm4yurd804fhcuqw6hiurhyu/view","Open PDF")</f>
        <v/>
      </c>
      <c r="AS895" t="inlineStr">
        <is>
          <t>cmm55w57p0004cuisfrtpqly8</t>
        </is>
      </c>
      <c r="AT895" t="inlineStr">
        <is>
          <t>cmm4xvu980000cuh4vj0usz09</t>
        </is>
      </c>
      <c r="AU895" t="inlineStr"/>
      <c r="AV895" t="inlineStr">
        <is>
          <t>Kommun</t>
        </is>
      </c>
      <c r="AW895" t="inlineStr"/>
      <c r="AX895" t="inlineStr">
        <is>
          <t>2024-11</t>
        </is>
      </c>
      <c r="AY895" t="inlineStr">
        <is>
          <t>Anmalan</t>
        </is>
      </c>
      <c r="AZ895" t="inlineStr">
        <is>
          <t>2026-02-12</t>
        </is>
      </c>
      <c r="BA895" t="inlineStr">
        <is>
          <t>2024-923Miljöfarlig verksamhet, anmälan _ ändring - 10928.pdf</t>
        </is>
      </c>
      <c r="BB895" t="inlineStr">
        <is>
          <t>Sv: till registrator</t>
        </is>
      </c>
      <c r="BC895" t="inlineStr">
        <is>
          <t>AUTO</t>
        </is>
      </c>
      <c r="BD895" t="inlineStr"/>
      <c r="BE895" t="inlineStr"/>
      <c r="BF895" t="inlineStr">
        <is>
          <t>AUTO_GENERERAD. Bekrafta metadata mot kallfil.</t>
        </is>
      </c>
      <c r="BG895">
        <f>HYPERLINK("C:\Users\jimmy\Desktop\Examens arbete\Kod\Ny mapp\remix_-copy-of-miljöbeslut.se-portal\2024-923Miljöfarlig verksamhet, anmälan _ ändring - 10928.pdf", "Öppna PDF")</f>
        <v/>
      </c>
    </row>
    <row r="896">
      <c r="A896" t="inlineStr">
        <is>
          <t>KRAV-AUTO-000895</t>
        </is>
      </c>
      <c r="B896" t="inlineStr">
        <is>
          <t>ADMIN-INDEX-2026-02-27-00000000125C043F57453246863FE664CAFE6A3F0700950291EA24F0614FB6ACEDB12BF0E31D00000000010C0000950291EA24F0614FB6ACEDB12BF0E31D00002087AE550000</t>
        </is>
      </c>
      <c r="C896" t="inlineStr">
        <is>
          <t>cmm4yupte02ybcuqw36ip9r91</t>
        </is>
      </c>
      <c r="D896" t="inlineStr">
        <is>
          <t>http://localhost:8787/api/admin/requirements/documents/cmm4yupte02ybcuqw36ip9r91/view</t>
        </is>
      </c>
      <c r="E896">
        <f>HYPERLÄNK("http://localhost:8787/api/admin/requirements/documents/cmm4yupte02ybcuqw36ip9r91/view";"Öppna PDF")</f>
        <v/>
      </c>
      <c r="F896">
        <f>HYPERLINK("http://localhost:8787/api/admin/requirements/documents/cmm4yupte02ybcuqw36ip9r91/view","Open PDF")</f>
        <v/>
      </c>
      <c r="G896" t="inlineStr">
        <is>
          <t>cmm55w57p0004cuisfrtpqly8</t>
        </is>
      </c>
      <c r="H896" t="inlineStr">
        <is>
          <t>Beslutsvillkor</t>
        </is>
      </c>
      <c r="I896" t="inlineStr">
        <is>
          <t>MiljopaverkanForsiktighet</t>
        </is>
      </c>
      <c r="J896" t="inlineStr">
        <is>
          <t>Skyddsatgarder</t>
        </is>
      </c>
      <c r="K896" t="inlineStr">
        <is>
          <t>Avfall som uppstår vid tömning skall tas omhand som farligt avfall.</t>
        </is>
      </c>
      <c r="L896" t="inlineStr">
        <is>
          <t>Avfall som uppstår vid tömning skall tas omhand som farligt avfall.</t>
        </is>
      </c>
      <c r="M896" t="inlineStr">
        <is>
          <t>SKA</t>
        </is>
      </c>
      <c r="N896" t="inlineStr"/>
      <c r="O896" t="inlineStr"/>
      <c r="P896" t="inlineStr">
        <is>
          <t>Arlig</t>
        </is>
      </c>
      <c r="Q896" t="inlineStr"/>
      <c r="R896" t="inlineStr">
        <is>
          <t>Alltid</t>
        </is>
      </c>
      <c r="S896" t="inlineStr"/>
      <c r="T896" t="inlineStr">
        <is>
          <t>96 2024</t>
        </is>
      </c>
      <c r="U896" t="inlineStr"/>
      <c r="V896" t="inlineStr"/>
      <c r="W896" t="inlineStr">
        <is>
          <t>Nej</t>
        </is>
      </c>
      <c r="X896" t="inlineStr">
        <is>
          <t>Nej</t>
        </is>
      </c>
      <c r="Y896" t="inlineStr">
        <is>
          <t>Nej</t>
        </is>
      </c>
      <c r="Z896" t="inlineStr">
        <is>
          <t>Nej</t>
        </is>
      </c>
      <c r="AA896" t="n">
        <v>10</v>
      </c>
      <c r="AB896" t="inlineStr">
        <is>
          <t>Miljopaverkan och forsiktighetsmatt</t>
        </is>
      </c>
      <c r="AC896" t="inlineStr">
        <is>
          <t>Miljo-PM</t>
        </is>
      </c>
      <c r="AD896" t="inlineStr">
        <is>
          <t>Nej</t>
        </is>
      </c>
      <c r="AE896" t="inlineStr">
        <is>
          <t>Nej</t>
        </is>
      </c>
      <c r="AF896" t="inlineStr">
        <is>
          <t>Ej behandlad</t>
        </is>
      </c>
      <c r="AG896" t="inlineStr">
        <is>
          <t>AUTO_GENERERAD. Verifiera citat mot kallfil.</t>
        </is>
      </c>
      <c r="AH896" t="inlineStr">
        <is>
          <t>MEDIUM</t>
        </is>
      </c>
      <c r="AI896" t="inlineStr">
        <is>
          <t>AUTO</t>
        </is>
      </c>
      <c r="AJ896" t="inlineStr">
        <is>
          <t>Nej</t>
        </is>
      </c>
      <c r="AK896" t="inlineStr"/>
      <c r="AL896" t="inlineStr"/>
      <c r="AM896" t="inlineStr"/>
      <c r="AN896" t="inlineStr"/>
      <c r="AO896" t="inlineStr">
        <is>
          <t>cmm4yupu002yzcuqw92mpgtbw</t>
        </is>
      </c>
      <c r="AP896" t="inlineStr">
        <is>
          <t>http://localhost:8787/api/admin/requirements/documents/cmm4yupu002yzcuqw92mpgtbw/view</t>
        </is>
      </c>
      <c r="AQ896">
        <f>HYPERLÄNK("http://localhost:8787/api/admin/requirements/documents/cmm4yupu002yzcuqw92mpgtbw/view";"Öppna PDF")</f>
        <v/>
      </c>
      <c r="AR896">
        <f>HYPERLINK("http://localhost:8787/api/admin/requirements/documents/cmm4yupu002yzcuqw92mpgtbw/view","Open PDF")</f>
        <v/>
      </c>
      <c r="AS896" t="inlineStr">
        <is>
          <t>cmm55w57p0004cuisfrtpqly8</t>
        </is>
      </c>
      <c r="AT896" t="inlineStr">
        <is>
          <t>cmm4xvu980000cuh4vj0usz09</t>
        </is>
      </c>
      <c r="AU896" t="inlineStr"/>
      <c r="AV896" t="inlineStr">
        <is>
          <t>Kommun</t>
        </is>
      </c>
      <c r="AW896" t="inlineStr"/>
      <c r="AX896" t="inlineStr">
        <is>
          <t>2024-576</t>
        </is>
      </c>
      <c r="AY896" t="inlineStr">
        <is>
          <t>Beslut</t>
        </is>
      </c>
      <c r="AZ896" t="inlineStr">
        <is>
          <t>2026-02-04</t>
        </is>
      </c>
      <c r="BA896" t="inlineStr">
        <is>
          <t>Säkerhetsdatablad Sonax Gloss Dryer.pdf</t>
        </is>
      </c>
      <c r="BB896" t="inlineStr">
        <is>
          <t>2024-576</t>
        </is>
      </c>
      <c r="BC896" t="inlineStr">
        <is>
          <t>AUTO</t>
        </is>
      </c>
      <c r="BD896" t="inlineStr"/>
      <c r="BE896" t="inlineStr"/>
      <c r="BF896" t="inlineStr">
        <is>
          <t>AUTO_GENERERAD. Bekrafta metadata mot kallfil.</t>
        </is>
      </c>
      <c r="BG896">
        <f>HYPERLINK("C:\Users\jimmy\Desktop\Examens arbete\Kod\Ny mapp\remix_-copy-of-miljöbeslut.se-portal\Säkerhetsdatablad Sonax Gloss Dryer.pdf", "Öppna PDF")</f>
        <v/>
      </c>
    </row>
    <row r="897">
      <c r="A897" t="inlineStr">
        <is>
          <t>KRAV-AUTO-000896</t>
        </is>
      </c>
      <c r="B897" t="inlineStr">
        <is>
          <t>ADMIN-INDEX-2026-02-27-00000000125C043F57453246863FE664CAFE6A3F0700950291EA24F0614FB6ACEDB12BF0E31D00000000010C0000950291EA24F0614FB6ACEDB12BF0E31D00002087AE550000</t>
        </is>
      </c>
      <c r="C897" t="inlineStr">
        <is>
          <t>cmm4yupte02ybcuqw36ip9r91</t>
        </is>
      </c>
      <c r="D897" t="inlineStr">
        <is>
          <t>http://localhost:8787/api/admin/requirements/documents/cmm4yupte02ybcuqw36ip9r91/view</t>
        </is>
      </c>
      <c r="E897">
        <f>HYPERLÄNK("http://localhost:8787/api/admin/requirements/documents/cmm4yupte02ybcuqw36ip9r91/view";"Öppna PDF")</f>
        <v/>
      </c>
      <c r="F897">
        <f>HYPERLINK("http://localhost:8787/api/admin/requirements/documents/cmm4yupte02ybcuqw36ip9r91/view","Open PDF")</f>
        <v/>
      </c>
      <c r="G897" t="inlineStr">
        <is>
          <t>cmm55w57p0004cuisfrtpqly8</t>
        </is>
      </c>
      <c r="H897" t="inlineStr">
        <is>
          <t>Beslutsvillkor</t>
        </is>
      </c>
      <c r="I897" t="inlineStr">
        <is>
          <t>DagvattenLakvatten</t>
        </is>
      </c>
      <c r="J897" t="inlineStr">
        <is>
          <t>Uppsamling</t>
        </is>
      </c>
      <c r="K897" t="inlineStr">
        <is>
          <t>Utgående vatten från fordonstvättsanläggningen skall efter rening ledas till spillvattennätet och ska därför uppfylla riktvärden enligt tabell 1 vad gäller maximal mängd förorening per tvättat fordon.</t>
        </is>
      </c>
      <c r="L897" t="inlineStr">
        <is>
          <t>Utgående vatten från fordonstvättsanläggningen skall efter rening ledas till spillvattennätet och ska därför uppfylla riktvärden enligt tabell 1 vad gäller maximal mängd förorening per tvättat fordon.</t>
        </is>
      </c>
      <c r="M897" t="inlineStr">
        <is>
          <t>SKA</t>
        </is>
      </c>
      <c r="N897" t="inlineStr"/>
      <c r="O897" t="inlineStr"/>
      <c r="P897" t="inlineStr"/>
      <c r="Q897" t="inlineStr"/>
      <c r="R897" t="inlineStr">
        <is>
          <t>Vid nederbord och avrinning</t>
        </is>
      </c>
      <c r="S897" t="inlineStr"/>
      <c r="T897" t="inlineStr">
        <is>
          <t>96 2024</t>
        </is>
      </c>
      <c r="U897" t="inlineStr"/>
      <c r="V897" t="inlineStr"/>
      <c r="W897" t="inlineStr">
        <is>
          <t>Nej</t>
        </is>
      </c>
      <c r="X897" t="inlineStr">
        <is>
          <t>Ja</t>
        </is>
      </c>
      <c r="Y897" t="inlineStr">
        <is>
          <t>Ja</t>
        </is>
      </c>
      <c r="Z897" t="inlineStr">
        <is>
          <t>Nej</t>
        </is>
      </c>
      <c r="AA897" t="n">
        <v>6</v>
      </c>
      <c r="AB897" t="inlineStr">
        <is>
          <t>Lakvattenhantering</t>
        </is>
      </c>
      <c r="AC897" t="inlineStr">
        <is>
          <t>Flodesschema dagvatten-lakvatten</t>
        </is>
      </c>
      <c r="AD897" t="inlineStr">
        <is>
          <t>Nej</t>
        </is>
      </c>
      <c r="AE897" t="inlineStr">
        <is>
          <t>Nej</t>
        </is>
      </c>
      <c r="AF897" t="inlineStr">
        <is>
          <t>Ej behandlad</t>
        </is>
      </c>
      <c r="AG897" t="inlineStr">
        <is>
          <t>AUTO_GENERERAD. Verifiera citat mot kallfil.</t>
        </is>
      </c>
      <c r="AH897" t="inlineStr">
        <is>
          <t>MEDIUM</t>
        </is>
      </c>
      <c r="AI897" t="inlineStr">
        <is>
          <t>AUTO</t>
        </is>
      </c>
      <c r="AJ897" t="inlineStr">
        <is>
          <t>Nej</t>
        </is>
      </c>
      <c r="AK897" t="inlineStr"/>
      <c r="AL897" t="inlineStr"/>
      <c r="AM897" t="inlineStr"/>
      <c r="AN897" t="inlineStr"/>
      <c r="AO897" t="inlineStr">
        <is>
          <t>cmm4yupu002yzcuqw92mpgtbw</t>
        </is>
      </c>
      <c r="AP897" t="inlineStr">
        <is>
          <t>http://localhost:8787/api/admin/requirements/documents/cmm4yupu002yzcuqw92mpgtbw/view</t>
        </is>
      </c>
      <c r="AQ897">
        <f>HYPERLÄNK("http://localhost:8787/api/admin/requirements/documents/cmm4yupu002yzcuqw92mpgtbw/view";"Öppna PDF")</f>
        <v/>
      </c>
      <c r="AR897">
        <f>HYPERLINK("http://localhost:8787/api/admin/requirements/documents/cmm4yupu002yzcuqw92mpgtbw/view","Open PDF")</f>
        <v/>
      </c>
      <c r="AS897" t="inlineStr">
        <is>
          <t>cmm55w57p0004cuisfrtpqly8</t>
        </is>
      </c>
      <c r="AT897" t="inlineStr">
        <is>
          <t>cmm4xvu980000cuh4vj0usz09</t>
        </is>
      </c>
      <c r="AU897" t="inlineStr"/>
      <c r="AV897" t="inlineStr">
        <is>
          <t>Kommun</t>
        </is>
      </c>
      <c r="AW897" t="inlineStr"/>
      <c r="AX897" t="inlineStr">
        <is>
          <t>2024-576</t>
        </is>
      </c>
      <c r="AY897" t="inlineStr">
        <is>
          <t>Beslut</t>
        </is>
      </c>
      <c r="AZ897" t="inlineStr">
        <is>
          <t>2026-02-04</t>
        </is>
      </c>
      <c r="BA897" t="inlineStr">
        <is>
          <t>Säkerhetsdatablad Sonax Gloss Dryer.pdf</t>
        </is>
      </c>
      <c r="BB897" t="inlineStr">
        <is>
          <t>2024-576</t>
        </is>
      </c>
      <c r="BC897" t="inlineStr">
        <is>
          <t>AUTO</t>
        </is>
      </c>
      <c r="BD897" t="inlineStr"/>
      <c r="BE897" t="inlineStr"/>
      <c r="BF897" t="inlineStr">
        <is>
          <t>AUTO_GENERERAD. Bekrafta metadata mot kallfil.</t>
        </is>
      </c>
      <c r="BG897">
        <f>HYPERLINK("C:\Users\jimmy\Desktop\Examens arbete\Kod\Ny mapp\remix_-copy-of-miljöbeslut.se-portal\Säkerhetsdatablad Sonax Gloss Dryer.pdf", "Öppna PDF")</f>
        <v/>
      </c>
    </row>
    <row r="898">
      <c r="A898" t="inlineStr">
        <is>
          <t>KRAV-AUTO-000897</t>
        </is>
      </c>
      <c r="B898" t="inlineStr">
        <is>
          <t>ADMIN-INDEX-2026-02-27-00000000125C043F57453246863FE664CAFE6A3F0700950291EA24F0614FB6ACEDB12BF0E31D00000000010C0000950291EA24F0614FB6ACEDB12BF0E31D00002087AE550000</t>
        </is>
      </c>
      <c r="C898" t="inlineStr">
        <is>
          <t>cmm4yupte02ybcuqw36ip9r91</t>
        </is>
      </c>
      <c r="D898" t="inlineStr">
        <is>
          <t>http://localhost:8787/api/admin/requirements/documents/cmm4yupte02ybcuqw36ip9r91/view</t>
        </is>
      </c>
      <c r="E898">
        <f>HYPERLÄNK("http://localhost:8787/api/admin/requirements/documents/cmm4yupte02ybcuqw36ip9r91/view";"Öppna PDF")</f>
        <v/>
      </c>
      <c r="F898">
        <f>HYPERLINK("http://localhost:8787/api/admin/requirements/documents/cmm4yupte02ybcuqw36ip9r91/view","Open PDF")</f>
        <v/>
      </c>
      <c r="G898" t="inlineStr">
        <is>
          <t>cmm55w57p0004cuisfrtpqly8</t>
        </is>
      </c>
      <c r="H898" t="inlineStr">
        <is>
          <t>Beslutsvillkor</t>
        </is>
      </c>
      <c r="I898" t="inlineStr">
        <is>
          <t>Ytkonstruktion</t>
        </is>
      </c>
      <c r="J898" t="inlineStr">
        <is>
          <t>Tat yta</t>
        </is>
      </c>
      <c r="K898" t="inlineStr">
        <is>
          <t>Kemikalier ska förvaras i sekundärt skydd eller i en invallning som är tät och beständig mot det aktuella ämnet, samt rymmer hela den största behållarens volym plus 10 procent av resterande behållares totala volym.</t>
        </is>
      </c>
      <c r="L898" t="inlineStr">
        <is>
          <t>Kemikalier ska förvaras i sekundärt skydd eller i en invallning som är tät och beständig mot det aktuella ämnet, samt rymmer hela den största behållarens volym plus 10 procent av resterande behållares totala volym.</t>
        </is>
      </c>
      <c r="M898" t="inlineStr">
        <is>
          <t>SKA</t>
        </is>
      </c>
      <c r="N898" t="inlineStr"/>
      <c r="O898" t="inlineStr"/>
      <c r="P898" t="inlineStr"/>
      <c r="Q898" t="inlineStr"/>
      <c r="R898" t="inlineStr">
        <is>
          <t>Vid mellanlagring av avfall</t>
        </is>
      </c>
      <c r="S898" t="inlineStr"/>
      <c r="T898" t="inlineStr">
        <is>
          <t>96 2024</t>
        </is>
      </c>
      <c r="U898" t="inlineStr"/>
      <c r="V898" t="inlineStr"/>
      <c r="W898" t="inlineStr">
        <is>
          <t>Ja</t>
        </is>
      </c>
      <c r="X898" t="inlineStr">
        <is>
          <t>Nej</t>
        </is>
      </c>
      <c r="Y898" t="inlineStr">
        <is>
          <t>Nej</t>
        </is>
      </c>
      <c r="Z898" t="inlineStr">
        <is>
          <t>Nej</t>
        </is>
      </c>
      <c r="AA898" t="n">
        <v>5</v>
      </c>
      <c r="AB898" t="inlineStr">
        <is>
          <t>Teknisk beskrivning av platta</t>
        </is>
      </c>
      <c r="AC898" t="inlineStr">
        <is>
          <t>Teknisk ritning platta</t>
        </is>
      </c>
      <c r="AD898" t="inlineStr">
        <is>
          <t>Nej</t>
        </is>
      </c>
      <c r="AE898" t="inlineStr">
        <is>
          <t>Nej</t>
        </is>
      </c>
      <c r="AF898" t="inlineStr">
        <is>
          <t>Ej behandlad</t>
        </is>
      </c>
      <c r="AG898" t="inlineStr">
        <is>
          <t>AUTO_GENERERAD. Verifiera citat mot kallfil.</t>
        </is>
      </c>
      <c r="AH898" t="inlineStr">
        <is>
          <t>MEDIUM</t>
        </is>
      </c>
      <c r="AI898" t="inlineStr">
        <is>
          <t>AUTO</t>
        </is>
      </c>
      <c r="AJ898" t="inlineStr">
        <is>
          <t>Nej</t>
        </is>
      </c>
      <c r="AK898" t="inlineStr"/>
      <c r="AL898" t="inlineStr"/>
      <c r="AM898" t="inlineStr"/>
      <c r="AN898" t="inlineStr"/>
      <c r="AO898" t="inlineStr">
        <is>
          <t>cmm4yupu002yzcuqw92mpgtbw</t>
        </is>
      </c>
      <c r="AP898" t="inlineStr">
        <is>
          <t>http://localhost:8787/api/admin/requirements/documents/cmm4yupu002yzcuqw92mpgtbw/view</t>
        </is>
      </c>
      <c r="AQ898">
        <f>HYPERLÄNK("http://localhost:8787/api/admin/requirements/documents/cmm4yupu002yzcuqw92mpgtbw/view";"Öppna PDF")</f>
        <v/>
      </c>
      <c r="AR898">
        <f>HYPERLINK("http://localhost:8787/api/admin/requirements/documents/cmm4yupu002yzcuqw92mpgtbw/view","Open PDF")</f>
        <v/>
      </c>
      <c r="AS898" t="inlineStr">
        <is>
          <t>cmm55w57p0004cuisfrtpqly8</t>
        </is>
      </c>
      <c r="AT898" t="inlineStr">
        <is>
          <t>cmm4xvu980000cuh4vj0usz09</t>
        </is>
      </c>
      <c r="AU898" t="inlineStr"/>
      <c r="AV898" t="inlineStr">
        <is>
          <t>Kommun</t>
        </is>
      </c>
      <c r="AW898" t="inlineStr"/>
      <c r="AX898" t="inlineStr">
        <is>
          <t>2024-576</t>
        </is>
      </c>
      <c r="AY898" t="inlineStr">
        <is>
          <t>Beslut</t>
        </is>
      </c>
      <c r="AZ898" t="inlineStr">
        <is>
          <t>2026-02-04</t>
        </is>
      </c>
      <c r="BA898" t="inlineStr">
        <is>
          <t>Säkerhetsdatablad Sonax Gloss Dryer.pdf</t>
        </is>
      </c>
      <c r="BB898" t="inlineStr">
        <is>
          <t>2024-576</t>
        </is>
      </c>
      <c r="BC898" t="inlineStr">
        <is>
          <t>AUTO</t>
        </is>
      </c>
      <c r="BD898" t="inlineStr"/>
      <c r="BE898" t="inlineStr"/>
      <c r="BF898" t="inlineStr">
        <is>
          <t>AUTO_GENERERAD. Bekrafta metadata mot kallfil.</t>
        </is>
      </c>
      <c r="BG898">
        <f>HYPERLINK("C:\Users\jimmy\Desktop\Examens arbete\Kod\Ny mapp\remix_-copy-of-miljöbeslut.se-portal\Säkerhetsdatablad Sonax Gloss Dryer.pdf", "Öppna PDF")</f>
        <v/>
      </c>
    </row>
    <row r="899">
      <c r="A899" t="inlineStr">
        <is>
          <t>KRAV-AUTO-000898</t>
        </is>
      </c>
      <c r="B899" t="inlineStr">
        <is>
          <t>ADMIN-INDEX-2026-02-27-00000000125C043F57453246863FE664CAFE6A3F0700950291EA24F0614FB6ACEDB12BF0E31D00000000010C0000950291EA24F0614FB6ACEDB12BF0E31D00002087A57F0000</t>
        </is>
      </c>
      <c r="C899" t="inlineStr">
        <is>
          <t>cmm4yurcj04eqcuqw75cgegys</t>
        </is>
      </c>
      <c r="D899" t="inlineStr">
        <is>
          <t>http://localhost:8787/api/admin/requirements/documents/cmm4yurcj04eqcuqw75cgegys/view</t>
        </is>
      </c>
      <c r="E899">
        <f>HYPERLÄNK("http://localhost:8787/api/admin/requirements/documents/cmm4yurcj04eqcuqw75cgegys/view";"Öppna PDF")</f>
        <v/>
      </c>
      <c r="F899">
        <f>HYPERLINK("http://localhost:8787/api/admin/requirements/documents/cmm4yurcj04eqcuqw75cgegys/view","Open PDF")</f>
        <v/>
      </c>
      <c r="G899" t="inlineStr">
        <is>
          <t>cmm55w57p0004cuisfrtpqly8</t>
        </is>
      </c>
      <c r="H899" t="inlineStr">
        <is>
          <t>Kompletteringskrav</t>
        </is>
      </c>
      <c r="I899" t="inlineStr">
        <is>
          <t>DriftEgenkontroll</t>
        </is>
      </c>
      <c r="J899" t="inlineStr">
        <is>
          <t>Journalforing</t>
        </is>
      </c>
      <c r="K899" t="inlineStr">
        <is>
          <t>Tillstånds- eller anmälningspliktiga verksamheter med villkor eller förelägganden om utsläppsgränser, ska även följa Naturvårdsverkets föreskrifter om genomförande av mätningar och provtagningar i vissa verksamheter NFS 2000:15.</t>
        </is>
      </c>
      <c r="L899" t="inlineStr">
        <is>
          <t>Tillstånds- eller anmälningspliktiga verksamheter med villkor eller förelägganden om utsläppsgränser, ska även följa Naturvårdsverkets föreskrifter om genomförande av mätningar och provtagningar i vissa verksamheter NFS 2000:15.</t>
        </is>
      </c>
      <c r="M899" t="inlineStr">
        <is>
          <t>SKA</t>
        </is>
      </c>
      <c r="N899" t="inlineStr">
        <is>
          <t>Naturvardsverket</t>
        </is>
      </c>
      <c r="O899" t="inlineStr"/>
      <c r="P899" t="inlineStr"/>
      <c r="Q899" t="inlineStr">
        <is>
          <t>Forelaggande vid brist</t>
        </is>
      </c>
      <c r="R899" t="inlineStr">
        <is>
          <t>Lopande drift</t>
        </is>
      </c>
      <c r="S899" t="inlineStr"/>
      <c r="T899" t="inlineStr">
        <is>
          <t>212000</t>
        </is>
      </c>
      <c r="U899" t="inlineStr"/>
      <c r="V899" t="inlineStr"/>
      <c r="W899" t="inlineStr">
        <is>
          <t>Nej</t>
        </is>
      </c>
      <c r="X899" t="inlineStr">
        <is>
          <t>Nej</t>
        </is>
      </c>
      <c r="Y899" t="inlineStr">
        <is>
          <t>Ja</t>
        </is>
      </c>
      <c r="Z899" t="inlineStr">
        <is>
          <t>Nej</t>
        </is>
      </c>
      <c r="AA899" t="n">
        <v>7</v>
      </c>
      <c r="AB899" t="inlineStr">
        <is>
          <t>Egenkontrollrutiner</t>
        </is>
      </c>
      <c r="AC899" t="inlineStr">
        <is>
          <t>Egenkontrollprogram</t>
        </is>
      </c>
      <c r="AD899" t="inlineStr">
        <is>
          <t>Nej</t>
        </is>
      </c>
      <c r="AE899" t="inlineStr">
        <is>
          <t>Nej</t>
        </is>
      </c>
      <c r="AF899" t="inlineStr">
        <is>
          <t>Ej behandlad</t>
        </is>
      </c>
      <c r="AG899" t="inlineStr">
        <is>
          <t>AUTO_GENERERAD. Verifiera citat mot kallfil.</t>
        </is>
      </c>
      <c r="AH899" t="inlineStr">
        <is>
          <t>HIGH</t>
        </is>
      </c>
      <c r="AI899" t="inlineStr">
        <is>
          <t>AUTO</t>
        </is>
      </c>
      <c r="AJ899" t="inlineStr">
        <is>
          <t>Nej</t>
        </is>
      </c>
      <c r="AK899" t="inlineStr"/>
      <c r="AL899" t="inlineStr"/>
      <c r="AM899" t="inlineStr"/>
      <c r="AN899" t="inlineStr"/>
      <c r="AO899" t="inlineStr">
        <is>
          <t>cmm4yurd804fhcuqw6hiurhyu</t>
        </is>
      </c>
      <c r="AP899" t="inlineStr">
        <is>
          <t>http://localhost:8787/api/admin/requirements/documents/cmm4yurd804fhcuqw6hiurhyu/view</t>
        </is>
      </c>
      <c r="AQ899">
        <f>HYPERLÄNK("http://localhost:8787/api/admin/requirements/documents/cmm4yurd804fhcuqw6hiurhyu/view";"Öppna PDF")</f>
        <v/>
      </c>
      <c r="AR899">
        <f>HYPERLINK("http://localhost:8787/api/admin/requirements/documents/cmm4yurd804fhcuqw6hiurhyu/view","Open PDF")</f>
        <v/>
      </c>
      <c r="AS899" t="inlineStr">
        <is>
          <t>cmm55w57p0004cuisfrtpqly8</t>
        </is>
      </c>
      <c r="AT899" t="inlineStr">
        <is>
          <t>cmm4xvu980000cuh4vj0usz09</t>
        </is>
      </c>
      <c r="AU899" t="inlineStr"/>
      <c r="AV899" t="inlineStr">
        <is>
          <t>Kommun</t>
        </is>
      </c>
      <c r="AW899" t="inlineStr"/>
      <c r="AX899" t="inlineStr">
        <is>
          <t>2024-11</t>
        </is>
      </c>
      <c r="AY899" t="inlineStr">
        <is>
          <t>Anmalan</t>
        </is>
      </c>
      <c r="AZ899" t="inlineStr">
        <is>
          <t>2026-02-12</t>
        </is>
      </c>
      <c r="BA899" t="inlineStr">
        <is>
          <t>2024-923Miljöfarlig verksamhet, anmälan _ ändring - 10928.pdf</t>
        </is>
      </c>
      <c r="BB899" t="inlineStr">
        <is>
          <t>Sv: till registrator</t>
        </is>
      </c>
      <c r="BC899" t="inlineStr">
        <is>
          <t>AUTO</t>
        </is>
      </c>
      <c r="BD899" t="inlineStr"/>
      <c r="BE899" t="inlineStr"/>
      <c r="BF899" t="inlineStr">
        <is>
          <t>AUTO_GENERERAD. Bekrafta metadata mot kallfil.</t>
        </is>
      </c>
      <c r="BG899">
        <f>HYPERLINK("C:\Users\jimmy\Desktop\Examens arbete\Kod\Ny mapp\remix_-copy-of-miljöbeslut.se-portal\2024-923Miljöfarlig verksamhet, anmälan _ ändring - 10928.pdf", "Öppna PDF")</f>
        <v/>
      </c>
    </row>
    <row r="900">
      <c r="A900" t="inlineStr">
        <is>
          <t>KRAV-AUTO-000899</t>
        </is>
      </c>
      <c r="B900" t="inlineStr">
        <is>
          <t>ADMIN-INDEX-2026-02-27-00000000125C043F57453246863FE664CAFE6A3F0700950291EA24F0614FB6ACEDB12BF0E31D00000000010C0000950291EA24F0614FB6ACEDB12BF0E31D00002087A57F0000</t>
        </is>
      </c>
      <c r="C900" t="inlineStr">
        <is>
          <t>cmm4yurcj04eqcuqw75cgegys</t>
        </is>
      </c>
      <c r="D900" t="inlineStr">
        <is>
          <t>http://localhost:8787/api/admin/requirements/documents/cmm4yurcj04eqcuqw75cgegys/view</t>
        </is>
      </c>
      <c r="E900">
        <f>HYPERLÄNK("http://localhost:8787/api/admin/requirements/documents/cmm4yurcj04eqcuqw75cgegys/view";"Öppna PDF")</f>
        <v/>
      </c>
      <c r="F900">
        <f>HYPERLINK("http://localhost:8787/api/admin/requirements/documents/cmm4yurcj04eqcuqw75cgegys/view","Open PDF")</f>
        <v/>
      </c>
      <c r="G900" t="inlineStr">
        <is>
          <t>cmm55w57p0004cuisfrtpqly8</t>
        </is>
      </c>
      <c r="H900" t="inlineStr">
        <is>
          <t>Kompletteringskrav</t>
        </is>
      </c>
      <c r="I900" t="inlineStr">
        <is>
          <t>MiljopaverkanForsiktighet</t>
        </is>
      </c>
      <c r="J900" t="inlineStr">
        <is>
          <t>Skyddsatgarder</t>
        </is>
      </c>
      <c r="K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L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M900" t="inlineStr">
        <is>
          <t>SKA</t>
        </is>
      </c>
      <c r="N900" t="inlineStr"/>
      <c r="O900" t="inlineStr"/>
      <c r="P900" t="inlineStr"/>
      <c r="Q900" t="inlineStr">
        <is>
          <t>Forelaggande vid brist</t>
        </is>
      </c>
      <c r="R900" t="inlineStr">
        <is>
          <t>Alltid</t>
        </is>
      </c>
      <c r="S900" t="inlineStr"/>
      <c r="T900" t="inlineStr">
        <is>
          <t>212000</t>
        </is>
      </c>
      <c r="U900" t="inlineStr"/>
      <c r="V900" t="inlineStr"/>
      <c r="W900" t="inlineStr">
        <is>
          <t>Nej</t>
        </is>
      </c>
      <c r="X900" t="inlineStr">
        <is>
          <t>Nej</t>
        </is>
      </c>
      <c r="Y900" t="inlineStr">
        <is>
          <t>Nej</t>
        </is>
      </c>
      <c r="Z900" t="inlineStr">
        <is>
          <t>Nej</t>
        </is>
      </c>
      <c r="AA900" t="n">
        <v>10</v>
      </c>
      <c r="AB900" t="inlineStr">
        <is>
          <t>Miljopaverkan och forsiktighetsmatt</t>
        </is>
      </c>
      <c r="AC900" t="inlineStr">
        <is>
          <t>Miljo-PM</t>
        </is>
      </c>
      <c r="AD900" t="inlineStr">
        <is>
          <t>Nej</t>
        </is>
      </c>
      <c r="AE900" t="inlineStr">
        <is>
          <t>Nej</t>
        </is>
      </c>
      <c r="AF900" t="inlineStr">
        <is>
          <t>Ej behandlad</t>
        </is>
      </c>
      <c r="AG900" t="inlineStr">
        <is>
          <t>AUTO_GENERERAD. Verifiera citat mot kallfil.</t>
        </is>
      </c>
      <c r="AH900" t="inlineStr">
        <is>
          <t>MEDIUM</t>
        </is>
      </c>
      <c r="AI900" t="inlineStr">
        <is>
          <t>AUTO</t>
        </is>
      </c>
      <c r="AJ900" t="inlineStr">
        <is>
          <t>Nej</t>
        </is>
      </c>
      <c r="AK900" t="inlineStr"/>
      <c r="AL900" t="inlineStr"/>
      <c r="AM900" t="inlineStr"/>
      <c r="AN900" t="inlineStr"/>
      <c r="AO900" t="inlineStr">
        <is>
          <t>cmm4yurd804fhcuqw6hiurhyu</t>
        </is>
      </c>
      <c r="AP900" t="inlineStr">
        <is>
          <t>http://localhost:8787/api/admin/requirements/documents/cmm4yurd804fhcuqw6hiurhyu/view</t>
        </is>
      </c>
      <c r="AQ900">
        <f>HYPERLÄNK("http://localhost:8787/api/admin/requirements/documents/cmm4yurd804fhcuqw6hiurhyu/view";"Öppna PDF")</f>
        <v/>
      </c>
      <c r="AR900">
        <f>HYPERLINK("http://localhost:8787/api/admin/requirements/documents/cmm4yurd804fhcuqw6hiurhyu/view","Open PDF")</f>
        <v/>
      </c>
      <c r="AS900" t="inlineStr">
        <is>
          <t>cmm55w57p0004cuisfrtpqly8</t>
        </is>
      </c>
      <c r="AT900" t="inlineStr">
        <is>
          <t>cmm4xvu980000cuh4vj0usz09</t>
        </is>
      </c>
      <c r="AU900" t="inlineStr"/>
      <c r="AV900" t="inlineStr">
        <is>
          <t>Kommun</t>
        </is>
      </c>
      <c r="AW900" t="inlineStr"/>
      <c r="AX900" t="inlineStr">
        <is>
          <t>2024-11</t>
        </is>
      </c>
      <c r="AY900" t="inlineStr">
        <is>
          <t>Anmalan</t>
        </is>
      </c>
      <c r="AZ900" t="inlineStr">
        <is>
          <t>2026-02-12</t>
        </is>
      </c>
      <c r="BA900" t="inlineStr">
        <is>
          <t>2024-923Miljöfarlig verksamhet, anmälan _ ändring - 10928.pdf</t>
        </is>
      </c>
      <c r="BB900" t="inlineStr">
        <is>
          <t>Sv: till registrator</t>
        </is>
      </c>
      <c r="BC900" t="inlineStr">
        <is>
          <t>AUTO</t>
        </is>
      </c>
      <c r="BD900" t="inlineStr"/>
      <c r="BE900" t="inlineStr"/>
      <c r="BF900" t="inlineStr">
        <is>
          <t>AUTO_GENERERAD. Bekrafta metadata mot kallfil.</t>
        </is>
      </c>
      <c r="BG900">
        <f>HYPERLINK("C:\Users\jimmy\Desktop\Examens arbete\Kod\Ny mapp\remix_-copy-of-miljöbeslut.se-portal\2024-923Miljöfarlig verksamhet, anmälan _ ändring - 10928.pdf", "Öppna PDF")</f>
        <v/>
      </c>
    </row>
    <row r="901">
      <c r="A901" t="inlineStr">
        <is>
          <t>KRAV-AUTO-000900</t>
        </is>
      </c>
      <c r="B901" t="inlineStr">
        <is>
          <t>ADMIN-INDEX-2026-02-27-00000000125C043F57453246863FE664CAFE6A3F0700950291EA24F0614FB6ACEDB12BF0E31D00000000010C0000950291EA24F0614FB6ACEDB12BF0E31D00002087A57F0000</t>
        </is>
      </c>
      <c r="C901" t="inlineStr">
        <is>
          <t>cmm4yurcj04eqcuqw75cgegys</t>
        </is>
      </c>
      <c r="D901" t="inlineStr">
        <is>
          <t>http://localhost:8787/api/admin/requirements/documents/cmm4yurcj04eqcuqw75cgegys/view</t>
        </is>
      </c>
      <c r="E901">
        <f>HYPERLÄNK("http://localhost:8787/api/admin/requirements/documents/cmm4yurcj04eqcuqw75cgegys/view";"Öppna PDF")</f>
        <v/>
      </c>
      <c r="F901">
        <f>HYPERLINK("http://localhost:8787/api/admin/requirements/documents/cmm4yurcj04eqcuqw75cgegys/view","Open PDF")</f>
        <v/>
      </c>
      <c r="G901" t="inlineStr">
        <is>
          <t>cmm55w57p0004cuisfrtpqly8</t>
        </is>
      </c>
      <c r="H901" t="inlineStr">
        <is>
          <t>Kompletteringskrav</t>
        </is>
      </c>
      <c r="I901" t="inlineStr">
        <is>
          <t>MiljopaverkanForsiktighet</t>
        </is>
      </c>
      <c r="J901" t="inlineStr">
        <is>
          <t>Skyddsatgarder</t>
        </is>
      </c>
      <c r="K901" t="inlineStr">
        <is>
          <t>Kemikalier, avfall samt farligt ska vara märkta med uppgifter om innehållet 3.</t>
        </is>
      </c>
      <c r="L901" t="inlineStr">
        <is>
          <t>Kemikalier, avfall samt farligt ska vara märkta med uppgifter om innehållet 3.</t>
        </is>
      </c>
      <c r="M901" t="inlineStr">
        <is>
          <t>SKA</t>
        </is>
      </c>
      <c r="N901" t="inlineStr"/>
      <c r="O901" t="inlineStr"/>
      <c r="P901" t="inlineStr">
        <is>
          <t>Arlig</t>
        </is>
      </c>
      <c r="Q901" t="inlineStr"/>
      <c r="R901" t="inlineStr">
        <is>
          <t>Alltid</t>
        </is>
      </c>
      <c r="S901" t="inlineStr"/>
      <c r="T901" t="inlineStr">
        <is>
          <t>212000</t>
        </is>
      </c>
      <c r="U901" t="inlineStr"/>
      <c r="V901" t="inlineStr"/>
      <c r="W901" t="inlineStr">
        <is>
          <t>Nej</t>
        </is>
      </c>
      <c r="X901" t="inlineStr">
        <is>
          <t>Nej</t>
        </is>
      </c>
      <c r="Y901" t="inlineStr">
        <is>
          <t>Nej</t>
        </is>
      </c>
      <c r="Z901" t="inlineStr">
        <is>
          <t>Nej</t>
        </is>
      </c>
      <c r="AA901" t="n">
        <v>10</v>
      </c>
      <c r="AB901" t="inlineStr">
        <is>
          <t>Miljopaverkan och forsiktighetsmatt</t>
        </is>
      </c>
      <c r="AC901" t="inlineStr">
        <is>
          <t>Miljo-PM</t>
        </is>
      </c>
      <c r="AD901" t="inlineStr">
        <is>
          <t>Nej</t>
        </is>
      </c>
      <c r="AE901" t="inlineStr">
        <is>
          <t>Nej</t>
        </is>
      </c>
      <c r="AF901" t="inlineStr">
        <is>
          <t>Ej behandlad</t>
        </is>
      </c>
      <c r="AG901" t="inlineStr">
        <is>
          <t>AUTO_GENERERAD. Verifiera citat mot kallfil.</t>
        </is>
      </c>
      <c r="AH901" t="inlineStr">
        <is>
          <t>MEDIUM</t>
        </is>
      </c>
      <c r="AI901" t="inlineStr">
        <is>
          <t>AUTO</t>
        </is>
      </c>
      <c r="AJ901" t="inlineStr">
        <is>
          <t>Nej</t>
        </is>
      </c>
      <c r="AK901" t="inlineStr"/>
      <c r="AL901" t="inlineStr"/>
      <c r="AM901" t="inlineStr"/>
      <c r="AN901" t="inlineStr"/>
      <c r="AO901" t="inlineStr">
        <is>
          <t>cmm4yurd804fhcuqw6hiurhyu</t>
        </is>
      </c>
      <c r="AP901" t="inlineStr">
        <is>
          <t>http://localhost:8787/api/admin/requirements/documents/cmm4yurd804fhcuqw6hiurhyu/view</t>
        </is>
      </c>
      <c r="AQ901">
        <f>HYPERLÄNK("http://localhost:8787/api/admin/requirements/documents/cmm4yurd804fhcuqw6hiurhyu/view";"Öppna PDF")</f>
        <v/>
      </c>
      <c r="AR901">
        <f>HYPERLINK("http://localhost:8787/api/admin/requirements/documents/cmm4yurd804fhcuqw6hiurhyu/view","Open PDF")</f>
        <v/>
      </c>
      <c r="AS901" t="inlineStr">
        <is>
          <t>cmm55w57p0004cuisfrtpqly8</t>
        </is>
      </c>
      <c r="AT901" t="inlineStr">
        <is>
          <t>cmm4xvu980000cuh4vj0usz09</t>
        </is>
      </c>
      <c r="AU901" t="inlineStr"/>
      <c r="AV901" t="inlineStr">
        <is>
          <t>Kommun</t>
        </is>
      </c>
      <c r="AW901" t="inlineStr"/>
      <c r="AX901" t="inlineStr">
        <is>
          <t>2024-11</t>
        </is>
      </c>
      <c r="AY901" t="inlineStr">
        <is>
          <t>Anmalan</t>
        </is>
      </c>
      <c r="AZ901" t="inlineStr">
        <is>
          <t>2026-02-12</t>
        </is>
      </c>
      <c r="BA901" t="inlineStr">
        <is>
          <t>2024-923Miljöfarlig verksamhet, anmälan _ ändring - 10928.pdf</t>
        </is>
      </c>
      <c r="BB901" t="inlineStr">
        <is>
          <t>Sv: till registrator</t>
        </is>
      </c>
      <c r="BC901" t="inlineStr">
        <is>
          <t>AUTO</t>
        </is>
      </c>
      <c r="BD901" t="inlineStr"/>
      <c r="BE901" t="inlineStr"/>
      <c r="BF901" t="inlineStr">
        <is>
          <t>AUTO_GENERERAD. Bekrafta metadata mot kallfil.</t>
        </is>
      </c>
      <c r="BG901">
        <f>HYPERLINK("C:\Users\jimmy\Desktop\Examens arbete\Kod\Ny mapp\remix_-copy-of-miljöbeslut.se-portal\2024-923Miljöfarlig verksamhet, anmälan _ ändring - 10928.pdf", "Öppna PDF")</f>
        <v/>
      </c>
    </row>
    <row r="902">
      <c r="A902" t="inlineStr">
        <is>
          <t>KRAV-AUTO-000901</t>
        </is>
      </c>
      <c r="B902" t="inlineStr">
        <is>
          <t>ADMIN-INDEX-2026-02-27-00000000125C043F57453246863FE664CAFE6A3F0700950291EA24F0614FB6ACEDB12BF0E31D00000000010C0000950291EA24F0614FB6ACEDB12BF0E31D00002087ADF10000</t>
        </is>
      </c>
      <c r="C902" t="inlineStr">
        <is>
          <t>cmm4yuqk303nzcuqw82631fsa</t>
        </is>
      </c>
      <c r="D902" t="inlineStr">
        <is>
          <t>http://localhost:8787/api/admin/requirements/documents/cmm4yuqk303nzcuqw82631fsa/view</t>
        </is>
      </c>
      <c r="E902">
        <f>HYPERLÄNK("http://localhost:8787/api/admin/requirements/documents/cmm4yuqk303nzcuqw82631fsa/view";"Öppna PDF")</f>
        <v/>
      </c>
      <c r="F902">
        <f>HYPERLINK("http://localhost:8787/api/admin/requirements/documents/cmm4yuqk303nzcuqw82631fsa/view","Open PDF")</f>
        <v/>
      </c>
      <c r="G902" t="inlineStr">
        <is>
          <t>cmm55w57p0004cuisfrtpqly8</t>
        </is>
      </c>
      <c r="H902" t="inlineStr">
        <is>
          <t>Beslutsvillkor</t>
        </is>
      </c>
      <c r="I902" t="inlineStr">
        <is>
          <t>DagvattenLakvatten</t>
        </is>
      </c>
      <c r="J902" t="inlineStr">
        <is>
          <t>Uppsamling</t>
        </is>
      </c>
      <c r="K902" t="inlineStr">
        <is>
          <t>Avfall kan även via dagvatten, skadedjur och stölder spridas från platsen.</t>
        </is>
      </c>
      <c r="L902" t="inlineStr">
        <is>
          <t>Avfall kan även via dagvatten, skadedjur och stölder spridas från platsen.</t>
        </is>
      </c>
      <c r="M902" t="inlineStr">
        <is>
          <t>SKA</t>
        </is>
      </c>
      <c r="N902" t="inlineStr"/>
      <c r="O902" t="inlineStr"/>
      <c r="P902" t="inlineStr"/>
      <c r="Q902" t="inlineStr"/>
      <c r="R902" t="inlineStr">
        <is>
          <t>Vid nederbord och avrinning</t>
        </is>
      </c>
      <c r="S902" t="inlineStr"/>
      <c r="T902" t="inlineStr">
        <is>
          <t>17 0340</t>
        </is>
      </c>
      <c r="U902" t="inlineStr"/>
      <c r="V902" t="inlineStr"/>
      <c r="W902" t="inlineStr">
        <is>
          <t>Nej</t>
        </is>
      </c>
      <c r="X902" t="inlineStr">
        <is>
          <t>Ja</t>
        </is>
      </c>
      <c r="Y902" t="inlineStr">
        <is>
          <t>Ja</t>
        </is>
      </c>
      <c r="Z902" t="inlineStr">
        <is>
          <t>Nej</t>
        </is>
      </c>
      <c r="AA902" t="n">
        <v>6</v>
      </c>
      <c r="AB902" t="inlineStr">
        <is>
          <t>Lakvattenhantering</t>
        </is>
      </c>
      <c r="AC902" t="inlineStr">
        <is>
          <t>Flodesschema dagvatten-lakvatten</t>
        </is>
      </c>
      <c r="AD902" t="inlineStr">
        <is>
          <t>Nej</t>
        </is>
      </c>
      <c r="AE902" t="inlineStr">
        <is>
          <t>Nej</t>
        </is>
      </c>
      <c r="AF902" t="inlineStr">
        <is>
          <t>Ej behandlad</t>
        </is>
      </c>
      <c r="AG902" t="inlineStr">
        <is>
          <t>AUTO_GENERERAD. Verifiera citat mot kallfil.</t>
        </is>
      </c>
      <c r="AH902" t="inlineStr">
        <is>
          <t>MEDIUM</t>
        </is>
      </c>
      <c r="AI902" t="inlineStr">
        <is>
          <t>AUTO</t>
        </is>
      </c>
      <c r="AJ902" t="inlineStr">
        <is>
          <t>Nej</t>
        </is>
      </c>
      <c r="AK902" t="inlineStr"/>
      <c r="AL902" t="inlineStr"/>
      <c r="AM902" t="inlineStr"/>
      <c r="AN902" t="inlineStr"/>
      <c r="AO902" t="inlineStr">
        <is>
          <t>cmm4yuqjs03nncuqw2tfjq4a3</t>
        </is>
      </c>
      <c r="AP902" t="inlineStr">
        <is>
          <t>http://localhost:8787/api/admin/requirements/documents/cmm4yuqjs03nncuqw2tfjq4a3/view</t>
        </is>
      </c>
      <c r="AQ902">
        <f>HYPERLÄNK("http://localhost:8787/api/admin/requirements/documents/cmm4yuqjs03nncuqw2tfjq4a3/view";"Öppna PDF")</f>
        <v/>
      </c>
      <c r="AR902">
        <f>HYPERLINK("http://localhost:8787/api/admin/requirements/documents/cmm4yuqjs03nncuqw2tfjq4a3/view","Open PDF")</f>
        <v/>
      </c>
      <c r="AS902" t="inlineStr">
        <is>
          <t>cmm55w57p0004cuisfrtpqly8</t>
        </is>
      </c>
      <c r="AT902" t="inlineStr">
        <is>
          <t>cmm4xvu980000cuh4vj0usz09</t>
        </is>
      </c>
      <c r="AU902" t="inlineStr"/>
      <c r="AV902" t="inlineStr">
        <is>
          <t>Kommun</t>
        </is>
      </c>
      <c r="AW902" t="inlineStr"/>
      <c r="AX902" t="inlineStr">
        <is>
          <t>2016-04</t>
        </is>
      </c>
      <c r="AY902" t="inlineStr">
        <is>
          <t>Anmalan</t>
        </is>
      </c>
      <c r="AZ902" t="inlineStr">
        <is>
          <t>2026-02-05</t>
        </is>
      </c>
      <c r="BA902" t="inlineStr">
        <is>
          <t>anmälan 2024-1627.pdf</t>
        </is>
      </c>
      <c r="BB902" t="inlineStr">
        <is>
          <t>Sv: till registrator</t>
        </is>
      </c>
      <c r="BC902" t="inlineStr">
        <is>
          <t>AUTO</t>
        </is>
      </c>
      <c r="BD902" t="inlineStr"/>
      <c r="BE902" t="inlineStr"/>
      <c r="BF902" t="inlineStr">
        <is>
          <t>AUTO_GENERERAD. Bekrafta metadata mot kallfil.</t>
        </is>
      </c>
      <c r="BG902">
        <f>HYPERLINK("C:\Users\jimmy\Desktop\Examens arbete\Kod\Ny mapp\remix_-copy-of-miljöbeslut.se-portal\anmälan 2024-1627.pdf", "Öppna PDF")</f>
        <v/>
      </c>
    </row>
    <row r="903">
      <c r="A903" t="inlineStr">
        <is>
          <t>KRAV-AUTO-000902</t>
        </is>
      </c>
      <c r="B903" t="inlineStr">
        <is>
          <t>ADMIN-INDEX-2026-02-27-00000000125C043F57453246863FE664CAFE6A3F0700950291EA24F0614FB6ACEDB12BF0E31D00000000010C0000950291EA24F0614FB6ACEDB12BF0E31D00002087ADF10000</t>
        </is>
      </c>
      <c r="C903" t="inlineStr">
        <is>
          <t>cmm4yuqk303nzcuqw82631fsa</t>
        </is>
      </c>
      <c r="D903" t="inlineStr">
        <is>
          <t>http://localhost:8787/api/admin/requirements/documents/cmm4yuqk303nzcuqw82631fsa/view</t>
        </is>
      </c>
      <c r="E903">
        <f>HYPERLÄNK("http://localhost:8787/api/admin/requirements/documents/cmm4yuqk303nzcuqw82631fsa/view";"Öppna PDF")</f>
        <v/>
      </c>
      <c r="F903">
        <f>HYPERLINK("http://localhost:8787/api/admin/requirements/documents/cmm4yuqk303nzcuqw82631fsa/view","Open PDF")</f>
        <v/>
      </c>
      <c r="G903" t="inlineStr">
        <is>
          <t>cmm55w57p0004cuisfrtpqly8</t>
        </is>
      </c>
      <c r="H903" t="inlineStr">
        <is>
          <t>Beslutsvillkor</t>
        </is>
      </c>
      <c r="I903" t="inlineStr">
        <is>
          <t>DagvattenLakvatten</t>
        </is>
      </c>
      <c r="J903" t="inlineStr">
        <is>
          <t>Uppsamling</t>
        </is>
      </c>
      <c r="K903" t="inlineStr">
        <is>
          <t>Lagring av avfall eller parkering av fordon över dagvattenbrunnar får inte ske.</t>
        </is>
      </c>
      <c r="L903" t="inlineStr">
        <is>
          <t>Lagring av avfall eller parkering av fordon över dagvattenbrunnar får inte ske.</t>
        </is>
      </c>
      <c r="M903" t="inlineStr">
        <is>
          <t>SKA</t>
        </is>
      </c>
      <c r="N903" t="inlineStr"/>
      <c r="O903" t="inlineStr"/>
      <c r="P903" t="inlineStr"/>
      <c r="Q903" t="inlineStr">
        <is>
          <t>Driftbegransning vid avvikelse</t>
        </is>
      </c>
      <c r="R903" t="inlineStr">
        <is>
          <t>Vid nederbord och avrinning</t>
        </is>
      </c>
      <c r="S903" t="inlineStr"/>
      <c r="T903" t="inlineStr">
        <is>
          <t>17 0340</t>
        </is>
      </c>
      <c r="U903" t="inlineStr"/>
      <c r="V903" t="inlineStr"/>
      <c r="W903" t="inlineStr">
        <is>
          <t>Nej</t>
        </is>
      </c>
      <c r="X903" t="inlineStr">
        <is>
          <t>Ja</t>
        </is>
      </c>
      <c r="Y903" t="inlineStr">
        <is>
          <t>Ja</t>
        </is>
      </c>
      <c r="Z903" t="inlineStr">
        <is>
          <t>Nej</t>
        </is>
      </c>
      <c r="AA903" t="n">
        <v>6</v>
      </c>
      <c r="AB903" t="inlineStr">
        <is>
          <t>Lakvattenhantering</t>
        </is>
      </c>
      <c r="AC903" t="inlineStr">
        <is>
          <t>Flodesschema dagvatten-lakvatten</t>
        </is>
      </c>
      <c r="AD903" t="inlineStr">
        <is>
          <t>Nej</t>
        </is>
      </c>
      <c r="AE903" t="inlineStr">
        <is>
          <t>Nej</t>
        </is>
      </c>
      <c r="AF903" t="inlineStr">
        <is>
          <t>Ej behandlad</t>
        </is>
      </c>
      <c r="AG903" t="inlineStr">
        <is>
          <t>AUTO_GENERERAD. Verifiera citat mot kallfil.</t>
        </is>
      </c>
      <c r="AH903" t="inlineStr">
        <is>
          <t>MEDIUM</t>
        </is>
      </c>
      <c r="AI903" t="inlineStr">
        <is>
          <t>AUTO</t>
        </is>
      </c>
      <c r="AJ903" t="inlineStr">
        <is>
          <t>Nej</t>
        </is>
      </c>
      <c r="AK903" t="inlineStr"/>
      <c r="AL903" t="inlineStr"/>
      <c r="AM903" t="inlineStr"/>
      <c r="AN903" t="inlineStr"/>
      <c r="AO903" t="inlineStr">
        <is>
          <t>cmm4yuqjs03nncuqw2tfjq4a3</t>
        </is>
      </c>
      <c r="AP903" t="inlineStr">
        <is>
          <t>http://localhost:8787/api/admin/requirements/documents/cmm4yuqjs03nncuqw2tfjq4a3/view</t>
        </is>
      </c>
      <c r="AQ903">
        <f>HYPERLÄNK("http://localhost:8787/api/admin/requirements/documents/cmm4yuqjs03nncuqw2tfjq4a3/view";"Öppna PDF")</f>
        <v/>
      </c>
      <c r="AR903">
        <f>HYPERLINK("http://localhost:8787/api/admin/requirements/documents/cmm4yuqjs03nncuqw2tfjq4a3/view","Open PDF")</f>
        <v/>
      </c>
      <c r="AS903" t="inlineStr">
        <is>
          <t>cmm55w57p0004cuisfrtpqly8</t>
        </is>
      </c>
      <c r="AT903" t="inlineStr">
        <is>
          <t>cmm4xvu980000cuh4vj0usz09</t>
        </is>
      </c>
      <c r="AU903" t="inlineStr"/>
      <c r="AV903" t="inlineStr">
        <is>
          <t>Kommun</t>
        </is>
      </c>
      <c r="AW903" t="inlineStr"/>
      <c r="AX903" t="inlineStr">
        <is>
          <t>2016-04</t>
        </is>
      </c>
      <c r="AY903" t="inlineStr">
        <is>
          <t>Anmalan</t>
        </is>
      </c>
      <c r="AZ903" t="inlineStr">
        <is>
          <t>2026-02-05</t>
        </is>
      </c>
      <c r="BA903" t="inlineStr">
        <is>
          <t>anmälan 2024-1627.pdf</t>
        </is>
      </c>
      <c r="BB903" t="inlineStr">
        <is>
          <t>Sv: till registrator</t>
        </is>
      </c>
      <c r="BC903" t="inlineStr">
        <is>
          <t>AUTO</t>
        </is>
      </c>
      <c r="BD903" t="inlineStr"/>
      <c r="BE903" t="inlineStr"/>
      <c r="BF903" t="inlineStr">
        <is>
          <t>AUTO_GENERERAD. Bekrafta metadata mot kallfil.</t>
        </is>
      </c>
      <c r="BG903">
        <f>HYPERLINK("C:\Users\jimmy\Desktop\Examens arbete\Kod\Ny mapp\remix_-copy-of-miljöbeslut.se-portal\anmälan 2024-1627.pdf", "Öppna PDF")</f>
        <v/>
      </c>
    </row>
    <row r="904">
      <c r="A904" t="inlineStr">
        <is>
          <t>KRAV-AUTO-000903</t>
        </is>
      </c>
      <c r="B904" t="inlineStr">
        <is>
          <t>ADMIN-INDEX-2026-02-27-00000000125C043F57453246863FE664CAFE6A3F0700950291EA24F0614FB6ACEDB12BF0E31D00000000010C0000950291EA24F0614FB6ACEDB12BF0E31D00002087ADF10000</t>
        </is>
      </c>
      <c r="C904" t="inlineStr">
        <is>
          <t>cmm4yuqk303nzcuqw82631fsa</t>
        </is>
      </c>
      <c r="D904" t="inlineStr">
        <is>
          <t>http://localhost:8787/api/admin/requirements/documents/cmm4yuqk303nzcuqw82631fsa/view</t>
        </is>
      </c>
      <c r="E904">
        <f>HYPERLÄNK("http://localhost:8787/api/admin/requirements/documents/cmm4yuqk303nzcuqw82631fsa/view";"Öppna PDF")</f>
        <v/>
      </c>
      <c r="F904">
        <f>HYPERLINK("http://localhost:8787/api/admin/requirements/documents/cmm4yuqk303nzcuqw82631fsa/view","Open PDF")</f>
        <v/>
      </c>
      <c r="G904" t="inlineStr">
        <is>
          <t>cmm55w57p0004cuisfrtpqly8</t>
        </is>
      </c>
      <c r="H904" t="inlineStr">
        <is>
          <t>Beslutsvillkor</t>
        </is>
      </c>
      <c r="I904" t="inlineStr">
        <is>
          <t>Ytkonstruktion</t>
        </is>
      </c>
      <c r="J904" t="inlineStr">
        <is>
          <t>Tat yta</t>
        </is>
      </c>
      <c r="K904" t="inlineStr">
        <is>
          <t>Behållare med flytande farligt avfall ska förvaras invallat i en invallning som rymmer hela behållarens volym.</t>
        </is>
      </c>
      <c r="L904" t="inlineStr">
        <is>
          <t>Behållare med flytande farligt avfall ska förvaras invallat i en invallning som rymmer hela behållarens volym.</t>
        </is>
      </c>
      <c r="M904" t="inlineStr">
        <is>
          <t>SKA</t>
        </is>
      </c>
      <c r="N904" t="inlineStr"/>
      <c r="O904" t="inlineStr"/>
      <c r="P904" t="inlineStr">
        <is>
          <t>Arlig</t>
        </is>
      </c>
      <c r="Q904" t="inlineStr"/>
      <c r="R904" t="inlineStr">
        <is>
          <t>Vid mellanlagring av avfall</t>
        </is>
      </c>
      <c r="S904" t="inlineStr"/>
      <c r="T904" t="inlineStr">
        <is>
          <t>17 0340</t>
        </is>
      </c>
      <c r="U904" t="inlineStr"/>
      <c r="V904" t="inlineStr"/>
      <c r="W904" t="inlineStr">
        <is>
          <t>Ja</t>
        </is>
      </c>
      <c r="X904" t="inlineStr">
        <is>
          <t>Nej</t>
        </is>
      </c>
      <c r="Y904" t="inlineStr">
        <is>
          <t>Nej</t>
        </is>
      </c>
      <c r="Z904" t="inlineStr">
        <is>
          <t>Nej</t>
        </is>
      </c>
      <c r="AA904" t="n">
        <v>5</v>
      </c>
      <c r="AB904" t="inlineStr">
        <is>
          <t>Teknisk beskrivning av platta</t>
        </is>
      </c>
      <c r="AC904" t="inlineStr">
        <is>
          <t>Teknisk ritning platta</t>
        </is>
      </c>
      <c r="AD904" t="inlineStr">
        <is>
          <t>Nej</t>
        </is>
      </c>
      <c r="AE904" t="inlineStr">
        <is>
          <t>Nej</t>
        </is>
      </c>
      <c r="AF904" t="inlineStr">
        <is>
          <t>Ej behandlad</t>
        </is>
      </c>
      <c r="AG904" t="inlineStr">
        <is>
          <t>AUTO_GENERERAD. Verifiera citat mot kallfil.</t>
        </is>
      </c>
      <c r="AH904" t="inlineStr">
        <is>
          <t>MEDIUM</t>
        </is>
      </c>
      <c r="AI904" t="inlineStr">
        <is>
          <t>AUTO</t>
        </is>
      </c>
      <c r="AJ904" t="inlineStr">
        <is>
          <t>Nej</t>
        </is>
      </c>
      <c r="AK904" t="inlineStr"/>
      <c r="AL904" t="inlineStr"/>
      <c r="AM904" t="inlineStr"/>
      <c r="AN904" t="inlineStr"/>
      <c r="AO904" t="inlineStr">
        <is>
          <t>cmm4yuqjs03nncuqw2tfjq4a3</t>
        </is>
      </c>
      <c r="AP904" t="inlineStr">
        <is>
          <t>http://localhost:8787/api/admin/requirements/documents/cmm4yuqjs03nncuqw2tfjq4a3/view</t>
        </is>
      </c>
      <c r="AQ904">
        <f>HYPERLÄNK("http://localhost:8787/api/admin/requirements/documents/cmm4yuqjs03nncuqw2tfjq4a3/view";"Öppna PDF")</f>
        <v/>
      </c>
      <c r="AR904">
        <f>HYPERLINK("http://localhost:8787/api/admin/requirements/documents/cmm4yuqjs03nncuqw2tfjq4a3/view","Open PDF")</f>
        <v/>
      </c>
      <c r="AS904" t="inlineStr">
        <is>
          <t>cmm55w57p0004cuisfrtpqly8</t>
        </is>
      </c>
      <c r="AT904" t="inlineStr">
        <is>
          <t>cmm4xvu980000cuh4vj0usz09</t>
        </is>
      </c>
      <c r="AU904" t="inlineStr"/>
      <c r="AV904" t="inlineStr">
        <is>
          <t>Kommun</t>
        </is>
      </c>
      <c r="AW904" t="inlineStr"/>
      <c r="AX904" t="inlineStr">
        <is>
          <t>2016-04</t>
        </is>
      </c>
      <c r="AY904" t="inlineStr">
        <is>
          <t>Anmalan</t>
        </is>
      </c>
      <c r="AZ904" t="inlineStr">
        <is>
          <t>2026-02-05</t>
        </is>
      </c>
      <c r="BA904" t="inlineStr">
        <is>
          <t>anmälan 2024-1627.pdf</t>
        </is>
      </c>
      <c r="BB904" t="inlineStr">
        <is>
          <t>Sv: till registrator</t>
        </is>
      </c>
      <c r="BC904" t="inlineStr">
        <is>
          <t>AUTO</t>
        </is>
      </c>
      <c r="BD904" t="inlineStr"/>
      <c r="BE904" t="inlineStr"/>
      <c r="BF904" t="inlineStr">
        <is>
          <t>AUTO_GENERERAD. Bekrafta metadata mot kallfil.</t>
        </is>
      </c>
      <c r="BG904">
        <f>HYPERLINK("C:\Users\jimmy\Desktop\Examens arbete\Kod\Ny mapp\remix_-copy-of-miljöbeslut.se-portal\anmälan 2024-1627.pdf", "Öppna PDF")</f>
        <v/>
      </c>
    </row>
    <row r="905">
      <c r="A905" t="inlineStr">
        <is>
          <t>KRAV-AUTO-000904</t>
        </is>
      </c>
      <c r="B905" t="inlineStr">
        <is>
          <t>ADMIN-INDEX-2026-02-27-00000000125C043F57453246863FE664CAFE6A3F0700950291EA24F0614FB6ACEDB12BF0E31D00000000010C0000950291EA24F0614FB6ACEDB12BF0E31D00002087ADF20000</t>
        </is>
      </c>
      <c r="C905" t="inlineStr">
        <is>
          <t>cmm4yuqiw03mqcuqwq1mm70kc</t>
        </is>
      </c>
      <c r="D905" t="inlineStr">
        <is>
          <t>http://localhost:8787/api/admin/requirements/documents/cmm4yuqiw03mqcuqwq1mm70kc/view</t>
        </is>
      </c>
      <c r="E905">
        <f>HYPERLÄNK("http://localhost:8787/api/admin/requirements/documents/cmm4yuqiw03mqcuqwq1mm70kc/view";"Öppna PDF")</f>
        <v/>
      </c>
      <c r="F905">
        <f>HYPERLINK("http://localhost:8787/api/admin/requirements/documents/cmm4yuqiw03mqcuqwq1mm70kc/view","Open PDF")</f>
        <v/>
      </c>
      <c r="G905" t="inlineStr">
        <is>
          <t>cmm55w57p0004cuisfrtpqly8</t>
        </is>
      </c>
      <c r="H905" t="inlineStr">
        <is>
          <t>Beslutsvillkor</t>
        </is>
      </c>
      <c r="I905" t="inlineStr">
        <is>
          <t>LagringsvolymTid</t>
        </is>
      </c>
      <c r="J905" t="inlineStr">
        <is>
          <t>Maxmangd</t>
        </is>
      </c>
      <c r="K905" t="inlineStr">
        <is>
          <t>Mottagningskvitton för bortlämnat avfall ska bifogas till sammanställningen.</t>
        </is>
      </c>
      <c r="L905" t="inlineStr">
        <is>
          <t>Mottagningskvitton för bortlämnat avfall ska bifogas till sammanställningen.</t>
        </is>
      </c>
      <c r="M905" t="inlineStr">
        <is>
          <t>SKA</t>
        </is>
      </c>
      <c r="N905" t="inlineStr"/>
      <c r="O905" t="inlineStr"/>
      <c r="P905" t="inlineStr"/>
      <c r="Q905" t="inlineStr"/>
      <c r="R905" t="inlineStr">
        <is>
          <t>Alltid</t>
        </is>
      </c>
      <c r="S905" t="inlineStr"/>
      <c r="T905" t="inlineStr">
        <is>
          <t>17 0340</t>
        </is>
      </c>
      <c r="U905" t="inlineStr"/>
      <c r="V905" t="inlineStr"/>
      <c r="W905" t="inlineStr">
        <is>
          <t>Nej</t>
        </is>
      </c>
      <c r="X905" t="inlineStr">
        <is>
          <t>Nej</t>
        </is>
      </c>
      <c r="Y905" t="inlineStr">
        <is>
          <t>Nej</t>
        </is>
      </c>
      <c r="Z905" t="inlineStr">
        <is>
          <t>Nej</t>
        </is>
      </c>
      <c r="AA905" t="n">
        <v>4</v>
      </c>
      <c r="AB905" t="inlineStr">
        <is>
          <t>Avfallsmangder och lagringstid</t>
        </is>
      </c>
      <c r="AC905" t="inlineStr">
        <is>
          <t>Avfallsforteckning</t>
        </is>
      </c>
      <c r="AD905" t="inlineStr">
        <is>
          <t>Nej</t>
        </is>
      </c>
      <c r="AE905" t="inlineStr">
        <is>
          <t>Nej</t>
        </is>
      </c>
      <c r="AF905" t="inlineStr">
        <is>
          <t>Ej behandlad</t>
        </is>
      </c>
      <c r="AG905" t="inlineStr">
        <is>
          <t>AUTO_GENERERAD. Verifiera citat mot kallfil.</t>
        </is>
      </c>
      <c r="AH905" t="inlineStr">
        <is>
          <t>MEDIUM</t>
        </is>
      </c>
      <c r="AI905" t="inlineStr">
        <is>
          <t>AUTO</t>
        </is>
      </c>
      <c r="AJ905" t="inlineStr">
        <is>
          <t>Nej</t>
        </is>
      </c>
      <c r="AK905" t="inlineStr"/>
      <c r="AL905" t="inlineStr"/>
      <c r="AM905" t="inlineStr"/>
      <c r="AN905" t="inlineStr"/>
      <c r="AO905" t="inlineStr">
        <is>
          <t>cmm4yuqiy03mtcuqwzwa03bvg</t>
        </is>
      </c>
      <c r="AP905" t="inlineStr">
        <is>
          <t>http://localhost:8787/api/admin/requirements/documents/cmm4yuqiy03mtcuqwzwa03bvg/view</t>
        </is>
      </c>
      <c r="AQ905">
        <f>HYPERLÄNK("http://localhost:8787/api/admin/requirements/documents/cmm4yuqiy03mtcuqwzwa03bvg/view";"Öppna PDF")</f>
        <v/>
      </c>
      <c r="AR905">
        <f>HYPERLINK("http://localhost:8787/api/admin/requirements/documents/cmm4yuqiy03mtcuqwzwa03bvg/view","Open PDF")</f>
        <v/>
      </c>
      <c r="AS905" t="inlineStr">
        <is>
          <t>cmm55w57p0004cuisfrtpqly8</t>
        </is>
      </c>
      <c r="AT905" t="inlineStr">
        <is>
          <t>cmm4xvu980000cuh4vj0usz09</t>
        </is>
      </c>
      <c r="AU905" t="inlineStr">
        <is>
          <t>E-POSTADRESS Varbergs</t>
        </is>
      </c>
      <c r="AV905" t="inlineStr">
        <is>
          <t>Kommun</t>
        </is>
      </c>
      <c r="AW905" t="inlineStr">
        <is>
          <t>E-POSTADRESS Varbergs kommun</t>
        </is>
      </c>
      <c r="AX905" t="inlineStr">
        <is>
          <t>2024-1352</t>
        </is>
      </c>
      <c r="AY905" t="inlineStr">
        <is>
          <t>Beslut</t>
        </is>
      </c>
      <c r="AZ905" t="inlineStr">
        <is>
          <t>2026-02-05</t>
        </is>
      </c>
      <c r="BA905" t="inlineStr">
        <is>
          <t>Beslut 2024-1627.pdf</t>
        </is>
      </c>
      <c r="BB905" t="inlineStr">
        <is>
          <t>Sv: till registrator</t>
        </is>
      </c>
      <c r="BC905" t="inlineStr">
        <is>
          <t>AUTO</t>
        </is>
      </c>
      <c r="BD905" t="inlineStr"/>
      <c r="BE905" t="inlineStr"/>
      <c r="BF905" t="inlineStr">
        <is>
          <t>AUTO_GENERERAD. Bekrafta metadata mot kallfil.</t>
        </is>
      </c>
      <c r="BG905">
        <f>HYPERLINK("C:\Users\jimmy\Desktop\Examens arbete\Kod\Ny mapp\remix_-copy-of-miljöbeslut.se-portal\Beslut 2024-1627.pdf", "Öppna PDF")</f>
        <v/>
      </c>
    </row>
    <row r="906">
      <c r="A906" t="inlineStr">
        <is>
          <t>KRAV-AUTO-000905</t>
        </is>
      </c>
      <c r="B906" t="inlineStr">
        <is>
          <t>ADMIN-INDEX-2026-02-27-00000000125C043F57453246863FE664CAFE6A3F0700950291EA24F0614FB6ACEDB12BF0E31D00000000010C0000950291EA24F0614FB6ACEDB12BF0E31D00002087ADF20000</t>
        </is>
      </c>
      <c r="C906" t="inlineStr">
        <is>
          <t>cmm4yuqiw03mqcuqwq1mm70kc</t>
        </is>
      </c>
      <c r="D906" t="inlineStr">
        <is>
          <t>http://localhost:8787/api/admin/requirements/documents/cmm4yuqiw03mqcuqwq1mm70kc/view</t>
        </is>
      </c>
      <c r="E906">
        <f>HYPERLÄNK("http://localhost:8787/api/admin/requirements/documents/cmm4yuqiw03mqcuqwq1mm70kc/view";"Öppna PDF")</f>
        <v/>
      </c>
      <c r="F906">
        <f>HYPERLINK("http://localhost:8787/api/admin/requirements/documents/cmm4yuqiw03mqcuqwq1mm70kc/view","Open PDF")</f>
        <v/>
      </c>
      <c r="G906" t="inlineStr">
        <is>
          <t>cmm55w57p0004cuisfrtpqly8</t>
        </is>
      </c>
      <c r="H906" t="inlineStr">
        <is>
          <t>Beslutsvillkor</t>
        </is>
      </c>
      <c r="I906" t="inlineStr">
        <is>
          <t>Riskhantering</t>
        </is>
      </c>
      <c r="J906" t="inlineStr">
        <is>
          <t>Riskkontroll</t>
        </is>
      </c>
      <c r="K906" t="inlineStr">
        <is>
          <t>Övervägande MHF bedömer att ett föreläggande om försiktighetsmått är motiverat för den anmälda verksamheten för att minska risken för störning för omgivningen.</t>
        </is>
      </c>
      <c r="L906" t="inlineStr">
        <is>
          <t>Övervägande MHF bedömer att ett föreläggande om försiktighetsmått är motiverat för den anmälda verksamheten för att minska risken för störning för omgivningen.</t>
        </is>
      </c>
      <c r="M906" t="inlineStr">
        <is>
          <t>SKA</t>
        </is>
      </c>
      <c r="N906" t="inlineStr"/>
      <c r="O906" t="inlineStr"/>
      <c r="P906" t="inlineStr"/>
      <c r="Q906" t="inlineStr">
        <is>
          <t>Forelaggande vid brist</t>
        </is>
      </c>
      <c r="R906" t="inlineStr">
        <is>
          <t>Vid risk for incident</t>
        </is>
      </c>
      <c r="S906" t="inlineStr"/>
      <c r="T906" t="inlineStr">
        <is>
          <t>17 0340</t>
        </is>
      </c>
      <c r="U906" t="inlineStr"/>
      <c r="V906" t="inlineStr"/>
      <c r="W906" t="inlineStr">
        <is>
          <t>Nej</t>
        </is>
      </c>
      <c r="X906" t="inlineStr">
        <is>
          <t>Nej</t>
        </is>
      </c>
      <c r="Y906" t="inlineStr">
        <is>
          <t>Ja</t>
        </is>
      </c>
      <c r="Z906" t="inlineStr">
        <is>
          <t>Ja</t>
        </is>
      </c>
      <c r="AA906" t="n">
        <v>8</v>
      </c>
      <c r="AB906" t="inlineStr">
        <is>
          <t>Riskhantering</t>
        </is>
      </c>
      <c r="AC906" t="inlineStr">
        <is>
          <t>Risk-PM</t>
        </is>
      </c>
      <c r="AD906" t="inlineStr">
        <is>
          <t>Nej</t>
        </is>
      </c>
      <c r="AE906" t="inlineStr">
        <is>
          <t>Nej</t>
        </is>
      </c>
      <c r="AF906" t="inlineStr">
        <is>
          <t>Ej behandlad</t>
        </is>
      </c>
      <c r="AG906" t="inlineStr">
        <is>
          <t>AUTO_GENERERAD. Verifiera citat mot kallfil.</t>
        </is>
      </c>
      <c r="AH906" t="inlineStr">
        <is>
          <t>MEDIUM</t>
        </is>
      </c>
      <c r="AI906" t="inlineStr">
        <is>
          <t>AUTO</t>
        </is>
      </c>
      <c r="AJ906" t="inlineStr">
        <is>
          <t>Nej</t>
        </is>
      </c>
      <c r="AK906" t="inlineStr"/>
      <c r="AL906" t="inlineStr"/>
      <c r="AM906" t="inlineStr"/>
      <c r="AN906" t="inlineStr"/>
      <c r="AO906" t="inlineStr">
        <is>
          <t>cmm4yuqiy03mtcuqwzwa03bvg</t>
        </is>
      </c>
      <c r="AP906" t="inlineStr">
        <is>
          <t>http://localhost:8787/api/admin/requirements/documents/cmm4yuqiy03mtcuqwzwa03bvg/view</t>
        </is>
      </c>
      <c r="AQ906">
        <f>HYPERLÄNK("http://localhost:8787/api/admin/requirements/documents/cmm4yuqiy03mtcuqwzwa03bvg/view";"Öppna PDF")</f>
        <v/>
      </c>
      <c r="AR906">
        <f>HYPERLINK("http://localhost:8787/api/admin/requirements/documents/cmm4yuqiy03mtcuqwzwa03bvg/view","Open PDF")</f>
        <v/>
      </c>
      <c r="AS906" t="inlineStr">
        <is>
          <t>cmm55w57p0004cuisfrtpqly8</t>
        </is>
      </c>
      <c r="AT906" t="inlineStr">
        <is>
          <t>cmm4xvu980000cuh4vj0usz09</t>
        </is>
      </c>
      <c r="AU906" t="inlineStr">
        <is>
          <t>E-POSTADRESS Varbergs</t>
        </is>
      </c>
      <c r="AV906" t="inlineStr">
        <is>
          <t>Kommun</t>
        </is>
      </c>
      <c r="AW906" t="inlineStr">
        <is>
          <t>E-POSTADRESS Varbergs kommun</t>
        </is>
      </c>
      <c r="AX906" t="inlineStr">
        <is>
          <t>2024-1352</t>
        </is>
      </c>
      <c r="AY906" t="inlineStr">
        <is>
          <t>Beslut</t>
        </is>
      </c>
      <c r="AZ906" t="inlineStr">
        <is>
          <t>2026-02-05</t>
        </is>
      </c>
      <c r="BA906" t="inlineStr">
        <is>
          <t>Beslut 2024-1627.pdf</t>
        </is>
      </c>
      <c r="BB906" t="inlineStr">
        <is>
          <t>Sv: till registrator</t>
        </is>
      </c>
      <c r="BC906" t="inlineStr">
        <is>
          <t>AUTO</t>
        </is>
      </c>
      <c r="BD906" t="inlineStr"/>
      <c r="BE906" t="inlineStr"/>
      <c r="BF906" t="inlineStr">
        <is>
          <t>AUTO_GENERERAD. Bekrafta metadata mot kallfil.</t>
        </is>
      </c>
      <c r="BG906">
        <f>HYPERLINK("C:\Users\jimmy\Desktop\Examens arbete\Kod\Ny mapp\remix_-copy-of-miljöbeslut.se-portal\Beslut 2024-1627.pdf", "Öppna PDF")</f>
        <v/>
      </c>
    </row>
    <row r="907">
      <c r="A907" t="inlineStr">
        <is>
          <t>KRAV-AUTO-000906</t>
        </is>
      </c>
      <c r="B907" t="inlineStr">
        <is>
          <t>ADMIN-INDEX-2026-02-27-00000000125C043F57453246863FE664CAFE6A3F0700950291EA24F0614FB6ACEDB12BF0E31D00000000010C0000950291EA24F0614FB6ACEDB12BF0E31D00002087ADF20000</t>
        </is>
      </c>
      <c r="C907" t="inlineStr">
        <is>
          <t>cmm4yuqiw03mqcuqwq1mm70kc</t>
        </is>
      </c>
      <c r="D907" t="inlineStr">
        <is>
          <t>http://localhost:8787/api/admin/requirements/documents/cmm4yuqiw03mqcuqwq1mm70kc/view</t>
        </is>
      </c>
      <c r="E907">
        <f>HYPERLÄNK("http://localhost:8787/api/admin/requirements/documents/cmm4yuqiw03mqcuqwq1mm70kc/view";"Öppna PDF")</f>
        <v/>
      </c>
      <c r="F907">
        <f>HYPERLINK("http://localhost:8787/api/admin/requirements/documents/cmm4yuqiw03mqcuqwq1mm70kc/view","Open PDF")</f>
        <v/>
      </c>
      <c r="G907" t="inlineStr">
        <is>
          <t>cmm55w57p0004cuisfrtpqly8</t>
        </is>
      </c>
      <c r="H907" t="inlineStr">
        <is>
          <t>Beslutsvillkor</t>
        </is>
      </c>
      <c r="I907" t="inlineStr">
        <is>
          <t>DagvattenLakvatten</t>
        </is>
      </c>
      <c r="J907" t="inlineStr">
        <is>
          <t>Uppsamling</t>
        </is>
      </c>
      <c r="K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907" t="inlineStr">
        <is>
          <t>SKA</t>
        </is>
      </c>
      <c r="N907" t="inlineStr"/>
      <c r="O907" t="inlineStr"/>
      <c r="P907" t="inlineStr"/>
      <c r="Q907" t="inlineStr">
        <is>
          <t>Driftbegransning vid avvikelse</t>
        </is>
      </c>
      <c r="R907" t="inlineStr">
        <is>
          <t>Vid nederbord och avrinning</t>
        </is>
      </c>
      <c r="S907" t="inlineStr"/>
      <c r="T907" t="inlineStr">
        <is>
          <t>17 0340</t>
        </is>
      </c>
      <c r="U907" t="inlineStr"/>
      <c r="V907" t="inlineStr"/>
      <c r="W907" t="inlineStr">
        <is>
          <t>Nej</t>
        </is>
      </c>
      <c r="X907" t="inlineStr">
        <is>
          <t>Ja</t>
        </is>
      </c>
      <c r="Y907" t="inlineStr">
        <is>
          <t>Ja</t>
        </is>
      </c>
      <c r="Z907" t="inlineStr">
        <is>
          <t>Nej</t>
        </is>
      </c>
      <c r="AA907" t="n">
        <v>6</v>
      </c>
      <c r="AB907" t="inlineStr">
        <is>
          <t>Lakvattenhantering</t>
        </is>
      </c>
      <c r="AC907" t="inlineStr">
        <is>
          <t>Flodesschema dagvatten-lakvatten</t>
        </is>
      </c>
      <c r="AD907" t="inlineStr">
        <is>
          <t>Nej</t>
        </is>
      </c>
      <c r="AE907" t="inlineStr">
        <is>
          <t>Nej</t>
        </is>
      </c>
      <c r="AF907" t="inlineStr">
        <is>
          <t>Ej behandlad</t>
        </is>
      </c>
      <c r="AG907" t="inlineStr">
        <is>
          <t>AUTO_GENERERAD. Verifiera citat mot kallfil.</t>
        </is>
      </c>
      <c r="AH907" t="inlineStr">
        <is>
          <t>MEDIUM</t>
        </is>
      </c>
      <c r="AI907" t="inlineStr">
        <is>
          <t>AUTO</t>
        </is>
      </c>
      <c r="AJ907" t="inlineStr">
        <is>
          <t>Nej</t>
        </is>
      </c>
      <c r="AK907" t="inlineStr"/>
      <c r="AL907" t="inlineStr"/>
      <c r="AM907" t="inlineStr"/>
      <c r="AN907" t="inlineStr"/>
      <c r="AO907" t="inlineStr">
        <is>
          <t>cmm4yuqiy03mtcuqwzwa03bvg</t>
        </is>
      </c>
      <c r="AP907" t="inlineStr">
        <is>
          <t>http://localhost:8787/api/admin/requirements/documents/cmm4yuqiy03mtcuqwzwa03bvg/view</t>
        </is>
      </c>
      <c r="AQ907">
        <f>HYPERLÄNK("http://localhost:8787/api/admin/requirements/documents/cmm4yuqiy03mtcuqwzwa03bvg/view";"Öppna PDF")</f>
        <v/>
      </c>
      <c r="AR907">
        <f>HYPERLINK("http://localhost:8787/api/admin/requirements/documents/cmm4yuqiy03mtcuqwzwa03bvg/view","Open PDF")</f>
        <v/>
      </c>
      <c r="AS907" t="inlineStr">
        <is>
          <t>cmm55w57p0004cuisfrtpqly8</t>
        </is>
      </c>
      <c r="AT907" t="inlineStr">
        <is>
          <t>cmm4xvu980000cuh4vj0usz09</t>
        </is>
      </c>
      <c r="AU907" t="inlineStr">
        <is>
          <t>E-POSTADRESS Varbergs</t>
        </is>
      </c>
      <c r="AV907" t="inlineStr">
        <is>
          <t>Kommun</t>
        </is>
      </c>
      <c r="AW907" t="inlineStr">
        <is>
          <t>E-POSTADRESS Varbergs kommun</t>
        </is>
      </c>
      <c r="AX907" t="inlineStr">
        <is>
          <t>2024-1352</t>
        </is>
      </c>
      <c r="AY907" t="inlineStr">
        <is>
          <t>Beslut</t>
        </is>
      </c>
      <c r="AZ907" t="inlineStr">
        <is>
          <t>2026-02-05</t>
        </is>
      </c>
      <c r="BA907" t="inlineStr">
        <is>
          <t>Beslut 2024-1627.pdf</t>
        </is>
      </c>
      <c r="BB907" t="inlineStr">
        <is>
          <t>Sv: till registrator</t>
        </is>
      </c>
      <c r="BC907" t="inlineStr">
        <is>
          <t>AUTO</t>
        </is>
      </c>
      <c r="BD907" t="inlineStr"/>
      <c r="BE907" t="inlineStr"/>
      <c r="BF907" t="inlineStr">
        <is>
          <t>AUTO_GENERERAD. Bekrafta metadata mot kallfil.</t>
        </is>
      </c>
      <c r="BG907">
        <f>HYPERLINK("C:\Users\jimmy\Desktop\Examens arbete\Kod\Ny mapp\remix_-copy-of-miljöbeslut.se-portal\Beslut 2024-1627.pdf", "Öppna PDF")</f>
        <v/>
      </c>
    </row>
    <row r="908">
      <c r="A908" t="inlineStr">
        <is>
          <t>KRAV-AUTO-000907</t>
        </is>
      </c>
      <c r="B908" t="inlineStr">
        <is>
          <t>ADMIN-INDEX-2026-02-27-00000000125C043F57453246863FE664CAFE6A3F0700950291EA24F0614FB6ACEDB12BF0E31D00000000010C0000950291EA24F0614FB6ACEDB12BF0E31D00002087ADF20000</t>
        </is>
      </c>
      <c r="C908" t="inlineStr">
        <is>
          <t>cmm4yuqin03mhcuqwnj0f52lx</t>
        </is>
      </c>
      <c r="D908" t="inlineStr">
        <is>
          <t>http://localhost:8787/api/admin/requirements/documents/cmm4yuqin03mhcuqwnj0f52lx/view</t>
        </is>
      </c>
      <c r="E908">
        <f>HYPERLÄNK("http://localhost:8787/api/admin/requirements/documents/cmm4yuqin03mhcuqwnj0f52lx/view";"Öppna PDF")</f>
        <v/>
      </c>
      <c r="F908">
        <f>HYPERLINK("http://localhost:8787/api/admin/requirements/documents/cmm4yuqin03mhcuqwnj0f52lx/view","Open PDF")</f>
        <v/>
      </c>
      <c r="G908" t="inlineStr">
        <is>
          <t>cmm55w57p0004cuisfrtpqly8</t>
        </is>
      </c>
      <c r="H908" t="inlineStr">
        <is>
          <t>Informationskrav</t>
        </is>
      </c>
      <c r="I908" t="inlineStr">
        <is>
          <t>LagringsvolymTid</t>
        </is>
      </c>
      <c r="J908" t="inlineStr">
        <is>
          <t>Maxmangd</t>
        </is>
      </c>
      <c r="K908" t="inlineStr">
        <is>
          <t>För att minska nedskräpning från förpackningarna så hanteras dem i ett betongfack och upplastning kommer ske så snabbt som möjligt efter materialet kommit in.</t>
        </is>
      </c>
      <c r="L908" t="inlineStr">
        <is>
          <t>För att minska nedskräpning från förpackningarna så hanteras dem i ett betongfack och upplastning kommer ske så snabbt som möjligt efter materialet kommit in.</t>
        </is>
      </c>
      <c r="M908" t="inlineStr">
        <is>
          <t>SKA</t>
        </is>
      </c>
      <c r="N908" t="inlineStr"/>
      <c r="O908" t="inlineStr"/>
      <c r="P908" t="inlineStr"/>
      <c r="Q908" t="inlineStr"/>
      <c r="R908" t="inlineStr">
        <is>
          <t>Alltid</t>
        </is>
      </c>
      <c r="S908" t="inlineStr"/>
      <c r="T908" t="inlineStr">
        <is>
          <t>556057</t>
        </is>
      </c>
      <c r="U908" t="inlineStr"/>
      <c r="V908" t="inlineStr"/>
      <c r="W908" t="inlineStr">
        <is>
          <t>Nej</t>
        </is>
      </c>
      <c r="X908" t="inlineStr">
        <is>
          <t>Nej</t>
        </is>
      </c>
      <c r="Y908" t="inlineStr">
        <is>
          <t>Nej</t>
        </is>
      </c>
      <c r="Z908" t="inlineStr">
        <is>
          <t>Nej</t>
        </is>
      </c>
      <c r="AA908" t="n">
        <v>4</v>
      </c>
      <c r="AB908" t="inlineStr">
        <is>
          <t>Avfallsmangder och lagringstid</t>
        </is>
      </c>
      <c r="AC908" t="inlineStr">
        <is>
          <t>Avfallsforteckning</t>
        </is>
      </c>
      <c r="AD908" t="inlineStr">
        <is>
          <t>Nej</t>
        </is>
      </c>
      <c r="AE908" t="inlineStr">
        <is>
          <t>Nej</t>
        </is>
      </c>
      <c r="AF908" t="inlineStr">
        <is>
          <t>Ej behandlad</t>
        </is>
      </c>
      <c r="AG908" t="inlineStr">
        <is>
          <t>AUTO_GENERERAD. Verifiera citat mot kallfil.</t>
        </is>
      </c>
      <c r="AH908" t="inlineStr">
        <is>
          <t>MEDIUM</t>
        </is>
      </c>
      <c r="AI908" t="inlineStr">
        <is>
          <t>AUTO</t>
        </is>
      </c>
      <c r="AJ908" t="inlineStr">
        <is>
          <t>Nej</t>
        </is>
      </c>
      <c r="AK908" t="inlineStr"/>
      <c r="AL908" t="inlineStr"/>
      <c r="AM908" t="inlineStr"/>
      <c r="AN908" t="inlineStr"/>
      <c r="AO908" t="inlineStr">
        <is>
          <t>cmm4yuqiy03mtcuqwzwa03bvg</t>
        </is>
      </c>
      <c r="AP908" t="inlineStr">
        <is>
          <t>http://localhost:8787/api/admin/requirements/documents/cmm4yuqiy03mtcuqwzwa03bvg/view</t>
        </is>
      </c>
      <c r="AQ908">
        <f>HYPERLÄNK("http://localhost:8787/api/admin/requirements/documents/cmm4yuqiy03mtcuqwzwa03bvg/view";"Öppna PDF")</f>
        <v/>
      </c>
      <c r="AR908">
        <f>HYPERLINK("http://localhost:8787/api/admin/requirements/documents/cmm4yuqiy03mtcuqwzwa03bvg/view","Open PDF")</f>
        <v/>
      </c>
      <c r="AS908" t="inlineStr">
        <is>
          <t>cmm55w57p0004cuisfrtpqly8</t>
        </is>
      </c>
      <c r="AT908" t="inlineStr">
        <is>
          <t>cmm4xvu980000cuh4vj0usz09</t>
        </is>
      </c>
      <c r="AU908" t="inlineStr">
        <is>
          <t>E-POSTADRESS Varbergs</t>
        </is>
      </c>
      <c r="AV908" t="inlineStr">
        <is>
          <t>Kommun</t>
        </is>
      </c>
      <c r="AW908" t="inlineStr">
        <is>
          <t>E-POSTADRESS Varbergs kommun</t>
        </is>
      </c>
      <c r="AX908" t="inlineStr">
        <is>
          <t>2024-1352</t>
        </is>
      </c>
      <c r="AY908" t="inlineStr">
        <is>
          <t>Beslut</t>
        </is>
      </c>
      <c r="AZ908" t="inlineStr">
        <is>
          <t>2026-02-05</t>
        </is>
      </c>
      <c r="BA908" t="inlineStr">
        <is>
          <t>Beslut 2024-1627.pdf</t>
        </is>
      </c>
      <c r="BB908" t="inlineStr">
        <is>
          <t>Sv: till registrator</t>
        </is>
      </c>
      <c r="BC908" t="inlineStr">
        <is>
          <t>AUTO</t>
        </is>
      </c>
      <c r="BD908" t="inlineStr"/>
      <c r="BE908" t="inlineStr"/>
      <c r="BF908" t="inlineStr">
        <is>
          <t>AUTO_GENERERAD. Bekrafta metadata mot kallfil.</t>
        </is>
      </c>
      <c r="BG908">
        <f>HYPERLINK("C:\Users\jimmy\Desktop\Examens arbete\Kod\Ny mapp\remix_-copy-of-miljöbeslut.se-portal\Beslut 2024-1627.pdf", "Öppna PDF")</f>
        <v/>
      </c>
    </row>
    <row r="909">
      <c r="A909" t="inlineStr">
        <is>
          <t>KRAV-AUTO-000908</t>
        </is>
      </c>
      <c r="B909" t="inlineStr">
        <is>
          <t>ADMIN-INDEX-2026-02-27-00000000125C043F57453246863FE664CAFE6A3F0700950291EA24F0614FB6ACEDB12BF0E31D00000000010C0000950291EA24F0614FB6ACEDB12BF0E31D00002087ADF20000</t>
        </is>
      </c>
      <c r="C909" t="inlineStr">
        <is>
          <t>cmm4yuqin03mhcuqwnj0f52lx</t>
        </is>
      </c>
      <c r="D909" t="inlineStr">
        <is>
          <t>http://localhost:8787/api/admin/requirements/documents/cmm4yuqin03mhcuqwnj0f52lx/view</t>
        </is>
      </c>
      <c r="E909">
        <f>HYPERLÄNK("http://localhost:8787/api/admin/requirements/documents/cmm4yuqin03mhcuqwnj0f52lx/view";"Öppna PDF")</f>
        <v/>
      </c>
      <c r="F909">
        <f>HYPERLINK("http://localhost:8787/api/admin/requirements/documents/cmm4yuqin03mhcuqwnj0f52lx/view","Open PDF")</f>
        <v/>
      </c>
      <c r="G909" t="inlineStr">
        <is>
          <t>cmm55w57p0004cuisfrtpqly8</t>
        </is>
      </c>
      <c r="H909" t="inlineStr">
        <is>
          <t>Informationskrav</t>
        </is>
      </c>
      <c r="I909" t="inlineStr">
        <is>
          <t>DriftEgenkontroll</t>
        </is>
      </c>
      <c r="J909" t="inlineStr">
        <is>
          <t>Journalforing</t>
        </is>
      </c>
      <c r="K909" t="inlineStr">
        <is>
          <t>Mottagningskontroll, avvikelsehantering, riskbedömning, beredskapsplan osv sker enligt Bolagets centrala rutiner och anläggningens egenkontroll, som är certifierat enligt ISO 9001 och 14001.</t>
        </is>
      </c>
      <c r="L909" t="inlineStr">
        <is>
          <t>Mottagningskontroll, avvikelsehantering, riskbedömning, beredskapsplan osv sker enligt Bolagets centrala rutiner och anläggningens egenkontroll, som är certifierat enligt ISO 9001 och 14001.</t>
        </is>
      </c>
      <c r="M909" t="inlineStr">
        <is>
          <t>SKA</t>
        </is>
      </c>
      <c r="N909" t="inlineStr"/>
      <c r="O909" t="inlineStr"/>
      <c r="P909" t="inlineStr"/>
      <c r="Q909" t="inlineStr"/>
      <c r="R909" t="inlineStr">
        <is>
          <t>Lopande drift</t>
        </is>
      </c>
      <c r="S909" t="inlineStr"/>
      <c r="T909" t="inlineStr">
        <is>
          <t>556057</t>
        </is>
      </c>
      <c r="U909" t="inlineStr"/>
      <c r="V909" t="inlineStr"/>
      <c r="W909" t="inlineStr">
        <is>
          <t>Nej</t>
        </is>
      </c>
      <c r="X909" t="inlineStr">
        <is>
          <t>Nej</t>
        </is>
      </c>
      <c r="Y909" t="inlineStr">
        <is>
          <t>Ja</t>
        </is>
      </c>
      <c r="Z909" t="inlineStr">
        <is>
          <t>Nej</t>
        </is>
      </c>
      <c r="AA909" t="n">
        <v>7</v>
      </c>
      <c r="AB909" t="inlineStr">
        <is>
          <t>Egenkontrollrutiner</t>
        </is>
      </c>
      <c r="AC909" t="inlineStr">
        <is>
          <t>Egenkontrollprogram</t>
        </is>
      </c>
      <c r="AD909" t="inlineStr">
        <is>
          <t>Nej</t>
        </is>
      </c>
      <c r="AE909" t="inlineStr">
        <is>
          <t>Nej</t>
        </is>
      </c>
      <c r="AF909" t="inlineStr">
        <is>
          <t>Ej behandlad</t>
        </is>
      </c>
      <c r="AG909" t="inlineStr">
        <is>
          <t>AUTO_GENERERAD. Verifiera citat mot kallfil.</t>
        </is>
      </c>
      <c r="AH909" t="inlineStr">
        <is>
          <t>MEDIUM</t>
        </is>
      </c>
      <c r="AI909" t="inlineStr">
        <is>
          <t>AUTO</t>
        </is>
      </c>
      <c r="AJ909" t="inlineStr">
        <is>
          <t>Nej</t>
        </is>
      </c>
      <c r="AK909" t="inlineStr"/>
      <c r="AL909" t="inlineStr"/>
      <c r="AM909" t="inlineStr"/>
      <c r="AN909" t="inlineStr"/>
      <c r="AO909" t="inlineStr">
        <is>
          <t>cmm4yuqiy03mtcuqwzwa03bvg</t>
        </is>
      </c>
      <c r="AP909" t="inlineStr">
        <is>
          <t>http://localhost:8787/api/admin/requirements/documents/cmm4yuqiy03mtcuqwzwa03bvg/view</t>
        </is>
      </c>
      <c r="AQ909">
        <f>HYPERLÄNK("http://localhost:8787/api/admin/requirements/documents/cmm4yuqiy03mtcuqwzwa03bvg/view";"Öppna PDF")</f>
        <v/>
      </c>
      <c r="AR909">
        <f>HYPERLINK("http://localhost:8787/api/admin/requirements/documents/cmm4yuqiy03mtcuqwzwa03bvg/view","Open PDF")</f>
        <v/>
      </c>
      <c r="AS909" t="inlineStr">
        <is>
          <t>cmm55w57p0004cuisfrtpqly8</t>
        </is>
      </c>
      <c r="AT909" t="inlineStr">
        <is>
          <t>cmm4xvu980000cuh4vj0usz09</t>
        </is>
      </c>
      <c r="AU909" t="inlineStr">
        <is>
          <t>E-POSTADRESS Varbergs</t>
        </is>
      </c>
      <c r="AV909" t="inlineStr">
        <is>
          <t>Kommun</t>
        </is>
      </c>
      <c r="AW909" t="inlineStr">
        <is>
          <t>E-POSTADRESS Varbergs kommun</t>
        </is>
      </c>
      <c r="AX909" t="inlineStr">
        <is>
          <t>2024-1352</t>
        </is>
      </c>
      <c r="AY909" t="inlineStr">
        <is>
          <t>Beslut</t>
        </is>
      </c>
      <c r="AZ909" t="inlineStr">
        <is>
          <t>2026-02-05</t>
        </is>
      </c>
      <c r="BA909" t="inlineStr">
        <is>
          <t>Beslut 2024-1627.pdf</t>
        </is>
      </c>
      <c r="BB909" t="inlineStr">
        <is>
          <t>Sv: till registrator</t>
        </is>
      </c>
      <c r="BC909" t="inlineStr">
        <is>
          <t>AUTO</t>
        </is>
      </c>
      <c r="BD909" t="inlineStr"/>
      <c r="BE909" t="inlineStr"/>
      <c r="BF909" t="inlineStr">
        <is>
          <t>AUTO_GENERERAD. Bekrafta metadata mot kallfil.</t>
        </is>
      </c>
      <c r="BG909">
        <f>HYPERLINK("C:\Users\jimmy\Desktop\Examens arbete\Kod\Ny mapp\remix_-copy-of-miljöbeslut.se-portal\Beslut 2024-1627.pdf", "Öppna PDF")</f>
        <v/>
      </c>
    </row>
    <row r="910">
      <c r="A910" t="inlineStr">
        <is>
          <t>KRAV-AUTO-000909</t>
        </is>
      </c>
      <c r="B910" t="inlineStr">
        <is>
          <t>ADMIN-INDEX-2026-02-27-00000000125C043F57453246863FE664CAFE6A3F0700950291EA24F0614FB6ACEDB12BF0E31D00000000010C0000950291EA24F0614FB6ACEDB12BF0E31D00002087ADF30000</t>
        </is>
      </c>
      <c r="C910" t="inlineStr">
        <is>
          <t>cmm4yuqia03m5cuqwvifm1t39</t>
        </is>
      </c>
      <c r="D910" t="inlineStr">
        <is>
          <t>http://localhost:8787/api/admin/requirements/documents/cmm4yuqia03m5cuqwvifm1t39/view</t>
        </is>
      </c>
      <c r="E910">
        <f>HYPERLÄNK("http://localhost:8787/api/admin/requirements/documents/cmm4yuqia03m5cuqwvifm1t39/view";"Öppna PDF")</f>
        <v/>
      </c>
      <c r="F910">
        <f>HYPERLINK("http://localhost:8787/api/admin/requirements/documents/cmm4yuqia03m5cuqwvifm1t39/view","Open PDF")</f>
        <v/>
      </c>
      <c r="G910" t="inlineStr">
        <is>
          <t>cmm55w57p0004cuisfrtpqly8</t>
        </is>
      </c>
      <c r="H910" t="inlineStr">
        <is>
          <t>Beslutsvillkor</t>
        </is>
      </c>
      <c r="I910" t="inlineStr">
        <is>
          <t>Ytkonstruktion</t>
        </is>
      </c>
      <c r="J910" t="inlineStr">
        <is>
          <t>Tat yta</t>
        </is>
      </c>
      <c r="K910" t="inlineStr">
        <is>
          <t>Själva arbetsytan anläggs av schaktmassor med tillskott av material med lämpliga geotekniska egenskaper, t ex betong och tegel.</t>
        </is>
      </c>
      <c r="L910" t="inlineStr">
        <is>
          <t>Själva arbetsytan anläggs av schaktmassor med tillskott av material med lämpliga geotekniska egenskaper, t ex betong och tegel.</t>
        </is>
      </c>
      <c r="M910" t="inlineStr">
        <is>
          <t>SKA</t>
        </is>
      </c>
      <c r="N910" t="inlineStr"/>
      <c r="O910" t="inlineStr"/>
      <c r="P910" t="inlineStr"/>
      <c r="Q910" t="inlineStr"/>
      <c r="R910" t="inlineStr">
        <is>
          <t>Vid mellanlagring av avfall</t>
        </is>
      </c>
      <c r="S910" t="inlineStr"/>
      <c r="T910" t="inlineStr">
        <is>
          <t>556057</t>
        </is>
      </c>
      <c r="U910" t="inlineStr"/>
      <c r="V910" t="inlineStr"/>
      <c r="W910" t="inlineStr">
        <is>
          <t>Ja</t>
        </is>
      </c>
      <c r="X910" t="inlineStr">
        <is>
          <t>Nej</t>
        </is>
      </c>
      <c r="Y910" t="inlineStr">
        <is>
          <t>Nej</t>
        </is>
      </c>
      <c r="Z910" t="inlineStr">
        <is>
          <t>Nej</t>
        </is>
      </c>
      <c r="AA910" t="n">
        <v>5</v>
      </c>
      <c r="AB910" t="inlineStr">
        <is>
          <t>Teknisk beskrivning av platta</t>
        </is>
      </c>
      <c r="AC910" t="inlineStr">
        <is>
          <t>Teknisk ritning platta</t>
        </is>
      </c>
      <c r="AD910" t="inlineStr">
        <is>
          <t>Nej</t>
        </is>
      </c>
      <c r="AE910" t="inlineStr">
        <is>
          <t>Nej</t>
        </is>
      </c>
      <c r="AF910" t="inlineStr">
        <is>
          <t>Ej behandlad</t>
        </is>
      </c>
      <c r="AG910" t="inlineStr">
        <is>
          <t>AUTO_GENERERAD. Verifiera citat mot kallfil.</t>
        </is>
      </c>
      <c r="AH910" t="inlineStr">
        <is>
          <t>MEDIUM</t>
        </is>
      </c>
      <c r="AI910" t="inlineStr">
        <is>
          <t>AUTO</t>
        </is>
      </c>
      <c r="AJ910" t="inlineStr">
        <is>
          <t>Nej</t>
        </is>
      </c>
      <c r="AK910" t="inlineStr"/>
      <c r="AL910" t="inlineStr"/>
      <c r="AM910" t="inlineStr"/>
      <c r="AN910" t="inlineStr"/>
      <c r="AO910" t="inlineStr">
        <is>
          <t>cmm4yuqhc03l8cuqwfjrfoy1e</t>
        </is>
      </c>
      <c r="AP910" t="inlineStr">
        <is>
          <t>http://localhost:8787/api/admin/requirements/documents/cmm4yuqhc03l8cuqwfjrfoy1e/view</t>
        </is>
      </c>
      <c r="AQ910">
        <f>HYPERLÄNK("http://localhost:8787/api/admin/requirements/documents/cmm4yuqhc03l8cuqwfjrfoy1e/view";"Öppna PDF")</f>
        <v/>
      </c>
      <c r="AR910">
        <f>HYPERLINK("http://localhost:8787/api/admin/requirements/documents/cmm4yuqhc03l8cuqwfjrfoy1e/view","Open PDF")</f>
        <v/>
      </c>
      <c r="AS910" t="inlineStr">
        <is>
          <t>cmm55w57p0004cuisfrtpqly8</t>
        </is>
      </c>
      <c r="AT910" t="inlineStr">
        <is>
          <t>cmm4xvu980000cuh4vj0usz09</t>
        </is>
      </c>
      <c r="AU910" t="inlineStr"/>
      <c r="AV910" t="inlineStr">
        <is>
          <t>Kommun</t>
        </is>
      </c>
      <c r="AW910" t="inlineStr"/>
      <c r="AX910" t="inlineStr">
        <is>
          <t>2025-10</t>
        </is>
      </c>
      <c r="AY910" t="inlineStr">
        <is>
          <t>Beslut</t>
        </is>
      </c>
      <c r="AZ910" t="inlineStr">
        <is>
          <t>2026-02-05</t>
        </is>
      </c>
      <c r="BA910" t="inlineStr">
        <is>
          <t>251021-MMAVANLAN-CD02 2025-3268.pdf</t>
        </is>
      </c>
      <c r="BB910" t="inlineStr">
        <is>
          <t>Sv: till registrator</t>
        </is>
      </c>
      <c r="BC910" t="inlineStr">
        <is>
          <t>AUTO</t>
        </is>
      </c>
      <c r="BD910" t="inlineStr"/>
      <c r="BE910" t="inlineStr"/>
      <c r="BF910" t="inlineStr">
        <is>
          <t>AUTO_GENERERAD. Bekrafta metadata mot kallfil.</t>
        </is>
      </c>
      <c r="BG910">
        <f>HYPERLINK("C:\Users\jimmy\Desktop\Examens arbete\Kod\Ny mapp\remix_-copy-of-miljöbeslut.se-portal\251021-MMAVANLAN-CD02 2025-3268.pdf", "Öppna PDF")</f>
        <v/>
      </c>
    </row>
    <row r="911">
      <c r="A911" t="inlineStr">
        <is>
          <t>KRAV-AUTO-000910</t>
        </is>
      </c>
      <c r="B911" t="inlineStr">
        <is>
          <t>ADMIN-INDEX-2026-02-27-00000000125C043F57453246863FE664CAFE6A3F0700950291EA24F0614FB6ACEDB12BF0E31D00000000010C0000950291EA24F0614FB6ACEDB12BF0E31D00002087ADF30000</t>
        </is>
      </c>
      <c r="C911" t="inlineStr">
        <is>
          <t>cmm4yuqia03m5cuqwvifm1t39</t>
        </is>
      </c>
      <c r="D911" t="inlineStr">
        <is>
          <t>http://localhost:8787/api/admin/requirements/documents/cmm4yuqia03m5cuqwvifm1t39/view</t>
        </is>
      </c>
      <c r="E911">
        <f>HYPERLÄNK("http://localhost:8787/api/admin/requirements/documents/cmm4yuqia03m5cuqwvifm1t39/view";"Öppna PDF")</f>
        <v/>
      </c>
      <c r="F911">
        <f>HYPERLINK("http://localhost:8787/api/admin/requirements/documents/cmm4yuqia03m5cuqwvifm1t39/view","Open PDF")</f>
        <v/>
      </c>
      <c r="G911" t="inlineStr">
        <is>
          <t>cmm55w57p0004cuisfrtpqly8</t>
        </is>
      </c>
      <c r="H911" t="inlineStr">
        <is>
          <t>Beslutsvillkor</t>
        </is>
      </c>
      <c r="I911" t="inlineStr">
        <is>
          <t>LagringsvolymTid</t>
        </is>
      </c>
      <c r="J911" t="inlineStr">
        <is>
          <t>Maxmangd</t>
        </is>
      </c>
      <c r="K911" t="inlineStr">
        <is>
          <t>De blöta massorna kommer att utgöras av schaktmassor eftersom betong och tegel av naturliga skäl inte kommer att föras in blöta.</t>
        </is>
      </c>
      <c r="L911" t="inlineStr">
        <is>
          <t>De blöta massorna kommer att utgöras av schaktmassor eftersom betong och tegel av naturliga skäl inte kommer att föras in blöta.</t>
        </is>
      </c>
      <c r="M911" t="inlineStr">
        <is>
          <t>SKA</t>
        </is>
      </c>
      <c r="N911" t="inlineStr"/>
      <c r="O911" t="inlineStr"/>
      <c r="P911" t="inlineStr"/>
      <c r="Q911" t="inlineStr"/>
      <c r="R911" t="inlineStr">
        <is>
          <t>Alltid</t>
        </is>
      </c>
      <c r="S911" t="inlineStr"/>
      <c r="T911" t="inlineStr">
        <is>
          <t>556057</t>
        </is>
      </c>
      <c r="U911" t="inlineStr"/>
      <c r="V911" t="inlineStr"/>
      <c r="W911" t="inlineStr">
        <is>
          <t>Nej</t>
        </is>
      </c>
      <c r="X911" t="inlineStr">
        <is>
          <t>Nej</t>
        </is>
      </c>
      <c r="Y911" t="inlineStr">
        <is>
          <t>Nej</t>
        </is>
      </c>
      <c r="Z911" t="inlineStr">
        <is>
          <t>Nej</t>
        </is>
      </c>
      <c r="AA911" t="n">
        <v>4</v>
      </c>
      <c r="AB911" t="inlineStr">
        <is>
          <t>Avfallsmangder och lagringstid</t>
        </is>
      </c>
      <c r="AC911" t="inlineStr">
        <is>
          <t>Avfallsforteckning</t>
        </is>
      </c>
      <c r="AD911" t="inlineStr">
        <is>
          <t>Nej</t>
        </is>
      </c>
      <c r="AE911" t="inlineStr">
        <is>
          <t>Nej</t>
        </is>
      </c>
      <c r="AF911" t="inlineStr">
        <is>
          <t>Ej behandlad</t>
        </is>
      </c>
      <c r="AG911" t="inlineStr">
        <is>
          <t>AUTO_GENERERAD. Verifiera citat mot kallfil.</t>
        </is>
      </c>
      <c r="AH911" t="inlineStr">
        <is>
          <t>MEDIUM</t>
        </is>
      </c>
      <c r="AI911" t="inlineStr">
        <is>
          <t>AUTO</t>
        </is>
      </c>
      <c r="AJ911" t="inlineStr">
        <is>
          <t>Nej</t>
        </is>
      </c>
      <c r="AK911" t="inlineStr"/>
      <c r="AL911" t="inlineStr"/>
      <c r="AM911" t="inlineStr"/>
      <c r="AN911" t="inlineStr"/>
      <c r="AO911" t="inlineStr">
        <is>
          <t>cmm4yuqhc03l8cuqwfjrfoy1e</t>
        </is>
      </c>
      <c r="AP911" t="inlineStr">
        <is>
          <t>http://localhost:8787/api/admin/requirements/documents/cmm4yuqhc03l8cuqwfjrfoy1e/view</t>
        </is>
      </c>
      <c r="AQ911">
        <f>HYPERLÄNK("http://localhost:8787/api/admin/requirements/documents/cmm4yuqhc03l8cuqwfjrfoy1e/view";"Öppna PDF")</f>
        <v/>
      </c>
      <c r="AR911">
        <f>HYPERLINK("http://localhost:8787/api/admin/requirements/documents/cmm4yuqhc03l8cuqwfjrfoy1e/view","Open PDF")</f>
        <v/>
      </c>
      <c r="AS911" t="inlineStr">
        <is>
          <t>cmm55w57p0004cuisfrtpqly8</t>
        </is>
      </c>
      <c r="AT911" t="inlineStr">
        <is>
          <t>cmm4xvu980000cuh4vj0usz09</t>
        </is>
      </c>
      <c r="AU911" t="inlineStr"/>
      <c r="AV911" t="inlineStr">
        <is>
          <t>Kommun</t>
        </is>
      </c>
      <c r="AW911" t="inlineStr"/>
      <c r="AX911" t="inlineStr">
        <is>
          <t>2025-10</t>
        </is>
      </c>
      <c r="AY911" t="inlineStr">
        <is>
          <t>Beslut</t>
        </is>
      </c>
      <c r="AZ911" t="inlineStr">
        <is>
          <t>2026-02-05</t>
        </is>
      </c>
      <c r="BA911" t="inlineStr">
        <is>
          <t>251021-MMAVANLAN-CD02 2025-3268.pdf</t>
        </is>
      </c>
      <c r="BB911" t="inlineStr">
        <is>
          <t>Sv: till registrator</t>
        </is>
      </c>
      <c r="BC911" t="inlineStr">
        <is>
          <t>AUTO</t>
        </is>
      </c>
      <c r="BD911" t="inlineStr"/>
      <c r="BE911" t="inlineStr"/>
      <c r="BF911" t="inlineStr">
        <is>
          <t>AUTO_GENERERAD. Bekrafta metadata mot kallfil.</t>
        </is>
      </c>
      <c r="BG911">
        <f>HYPERLINK("C:\Users\jimmy\Desktop\Examens arbete\Kod\Ny mapp\remix_-copy-of-miljöbeslut.se-portal\251021-MMAVANLAN-CD02 2025-3268.pdf", "Öppna PDF")</f>
        <v/>
      </c>
    </row>
    <row r="912">
      <c r="A912" t="inlineStr">
        <is>
          <t>KRAV-AUTO-000911</t>
        </is>
      </c>
      <c r="B912" t="inlineStr">
        <is>
          <t>ADMIN-INDEX-2026-02-27-00000000125C043F57453246863FE664CAFE6A3F0700950291EA24F0614FB6ACEDB12BF0E31D00000000010C0000950291EA24F0614FB6ACEDB12BF0E31D00002087ADF30000</t>
        </is>
      </c>
      <c r="C912" t="inlineStr">
        <is>
          <t>cmm4yuqia03m5cuqwvifm1t39</t>
        </is>
      </c>
      <c r="D912" t="inlineStr">
        <is>
          <t>http://localhost:8787/api/admin/requirements/documents/cmm4yuqia03m5cuqwvifm1t39/view</t>
        </is>
      </c>
      <c r="E912">
        <f>HYPERLÄNK("http://localhost:8787/api/admin/requirements/documents/cmm4yuqia03m5cuqwvifm1t39/view";"Öppna PDF")</f>
        <v/>
      </c>
      <c r="F912">
        <f>HYPERLINK("http://localhost:8787/api/admin/requirements/documents/cmm4yuqia03m5cuqwvifm1t39/view","Open PDF")</f>
        <v/>
      </c>
      <c r="G912" t="inlineStr">
        <is>
          <t>cmm55w57p0004cuisfrtpqly8</t>
        </is>
      </c>
      <c r="H912" t="inlineStr">
        <is>
          <t>Beslutsvillkor</t>
        </is>
      </c>
      <c r="I912" t="inlineStr">
        <is>
          <t>Ytkonstruktion</t>
        </is>
      </c>
      <c r="J912" t="inlineStr">
        <is>
          <t>Tat yta</t>
        </is>
      </c>
      <c r="K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912" t="inlineStr">
        <is>
          <t>BOR</t>
        </is>
      </c>
      <c r="N912" t="inlineStr"/>
      <c r="O912" t="inlineStr"/>
      <c r="P912" t="inlineStr"/>
      <c r="Q912" t="inlineStr"/>
      <c r="R912" t="inlineStr">
        <is>
          <t>Vid mellanlagring av avfall</t>
        </is>
      </c>
      <c r="S912" t="inlineStr"/>
      <c r="T912" t="inlineStr">
        <is>
          <t>556057</t>
        </is>
      </c>
      <c r="U912" t="inlineStr"/>
      <c r="V912" t="inlineStr"/>
      <c r="W912" t="inlineStr">
        <is>
          <t>Ja</t>
        </is>
      </c>
      <c r="X912" t="inlineStr">
        <is>
          <t>Nej</t>
        </is>
      </c>
      <c r="Y912" t="inlineStr">
        <is>
          <t>Nej</t>
        </is>
      </c>
      <c r="Z912" t="inlineStr">
        <is>
          <t>Nej</t>
        </is>
      </c>
      <c r="AA912" t="n">
        <v>5</v>
      </c>
      <c r="AB912" t="inlineStr">
        <is>
          <t>Teknisk beskrivning av platta</t>
        </is>
      </c>
      <c r="AC912" t="inlineStr">
        <is>
          <t>Teknisk ritning platta</t>
        </is>
      </c>
      <c r="AD912" t="inlineStr">
        <is>
          <t>Nej</t>
        </is>
      </c>
      <c r="AE912" t="inlineStr">
        <is>
          <t>Nej</t>
        </is>
      </c>
      <c r="AF912" t="inlineStr">
        <is>
          <t>Ej behandlad</t>
        </is>
      </c>
      <c r="AG912" t="inlineStr">
        <is>
          <t>AUTO_GENERERAD. Verifiera citat mot kallfil.</t>
        </is>
      </c>
      <c r="AH912" t="inlineStr">
        <is>
          <t>MEDIUM</t>
        </is>
      </c>
      <c r="AI912" t="inlineStr">
        <is>
          <t>AUTO</t>
        </is>
      </c>
      <c r="AJ912" t="inlineStr">
        <is>
          <t>Nej</t>
        </is>
      </c>
      <c r="AK912" t="inlineStr"/>
      <c r="AL912" t="inlineStr"/>
      <c r="AM912" t="inlineStr"/>
      <c r="AN912" t="inlineStr"/>
      <c r="AO912" t="inlineStr">
        <is>
          <t>cmm4yuqhc03l8cuqwfjrfoy1e</t>
        </is>
      </c>
      <c r="AP912" t="inlineStr">
        <is>
          <t>http://localhost:8787/api/admin/requirements/documents/cmm4yuqhc03l8cuqwfjrfoy1e/view</t>
        </is>
      </c>
      <c r="AQ912">
        <f>HYPERLÄNK("http://localhost:8787/api/admin/requirements/documents/cmm4yuqhc03l8cuqwfjrfoy1e/view";"Öppna PDF")</f>
        <v/>
      </c>
      <c r="AR912">
        <f>HYPERLINK("http://localhost:8787/api/admin/requirements/documents/cmm4yuqhc03l8cuqwfjrfoy1e/view","Open PDF")</f>
        <v/>
      </c>
      <c r="AS912" t="inlineStr">
        <is>
          <t>cmm55w57p0004cuisfrtpqly8</t>
        </is>
      </c>
      <c r="AT912" t="inlineStr">
        <is>
          <t>cmm4xvu980000cuh4vj0usz09</t>
        </is>
      </c>
      <c r="AU912" t="inlineStr"/>
      <c r="AV912" t="inlineStr">
        <is>
          <t>Kommun</t>
        </is>
      </c>
      <c r="AW912" t="inlineStr"/>
      <c r="AX912" t="inlineStr">
        <is>
          <t>2025-10</t>
        </is>
      </c>
      <c r="AY912" t="inlineStr">
        <is>
          <t>Beslut</t>
        </is>
      </c>
      <c r="AZ912" t="inlineStr">
        <is>
          <t>2026-02-05</t>
        </is>
      </c>
      <c r="BA912" t="inlineStr">
        <is>
          <t>251021-MMAVANLAN-CD02 2025-3268.pdf</t>
        </is>
      </c>
      <c r="BB912" t="inlineStr">
        <is>
          <t>Sv: till registrator</t>
        </is>
      </c>
      <c r="BC912" t="inlineStr">
        <is>
          <t>AUTO</t>
        </is>
      </c>
      <c r="BD912" t="inlineStr"/>
      <c r="BE912" t="inlineStr"/>
      <c r="BF912" t="inlineStr">
        <is>
          <t>AUTO_GENERERAD. Bekrafta metadata mot kallfil.</t>
        </is>
      </c>
      <c r="BG912">
        <f>HYPERLINK("C:\Users\jimmy\Desktop\Examens arbete\Kod\Ny mapp\remix_-copy-of-miljöbeslut.se-portal\251021-MMAVANLAN-CD02 2025-3268.pdf", "Öppna PDF")</f>
        <v/>
      </c>
    </row>
    <row r="913">
      <c r="A913" t="inlineStr">
        <is>
          <t>KRAV-AUTO-000912</t>
        </is>
      </c>
      <c r="B913" t="inlineStr">
        <is>
          <t>ADMIN-INDEX-2026-02-27-00000000125C043F57453246863FE664CAFE6A3F0700950291EA24F0614FB6ACEDB12BF0E31D00000000010C0000950291EA24F0614FB6ACEDB12BF0E31D00002087A5800000</t>
        </is>
      </c>
      <c r="C913" t="inlineStr">
        <is>
          <t>cmm4yurc404ebcuqwxumpr7rh</t>
        </is>
      </c>
      <c r="D913" t="inlineStr">
        <is>
          <t>http://localhost:8787/api/admin/requirements/documents/cmm4yurc404ebcuqwxumpr7rh/view</t>
        </is>
      </c>
      <c r="E913">
        <f>HYPERLÄNK("http://localhost:8787/api/admin/requirements/documents/cmm4yurc404ebcuqwxumpr7rh/view";"Öppna PDF")</f>
        <v/>
      </c>
      <c r="F913">
        <f>HYPERLINK("http://localhost:8787/api/admin/requirements/documents/cmm4yurc404ebcuqwxumpr7rh/view","Open PDF")</f>
        <v/>
      </c>
      <c r="G913" t="inlineStr">
        <is>
          <t>cmm55w57p0004cuisfrtpqly8</t>
        </is>
      </c>
      <c r="H913" t="inlineStr">
        <is>
          <t>Informationskrav</t>
        </is>
      </c>
      <c r="I913" t="inlineStr">
        <is>
          <t>LagringsvolymTid</t>
        </is>
      </c>
      <c r="J913" t="inlineStr">
        <is>
          <t>Maxmangd</t>
        </is>
      </c>
      <c r="K913" t="inlineStr">
        <is>
          <t>Råvaran/produktens namn Mängd/år Andvändningsområde N/A Ange hur kemiska produkter kommer att lagras och hanteras.</t>
        </is>
      </c>
      <c r="L913" t="inlineStr">
        <is>
          <t>Råvaran/produktens namn Mängd/år Andvändningsområde N/A Ange hur kemiska produkter kommer att lagras och hanteras.</t>
        </is>
      </c>
      <c r="M913" t="inlineStr">
        <is>
          <t>SKA</t>
        </is>
      </c>
      <c r="N913" t="inlineStr"/>
      <c r="O913" t="inlineStr"/>
      <c r="P913" t="inlineStr"/>
      <c r="Q913" t="inlineStr"/>
      <c r="R913" t="inlineStr">
        <is>
          <t>Alltid</t>
        </is>
      </c>
      <c r="S913" t="inlineStr"/>
      <c r="T913" t="inlineStr"/>
      <c r="U913" t="inlineStr"/>
      <c r="V913" t="inlineStr"/>
      <c r="W913" t="inlineStr">
        <is>
          <t>Nej</t>
        </is>
      </c>
      <c r="X913" t="inlineStr">
        <is>
          <t>Nej</t>
        </is>
      </c>
      <c r="Y913" t="inlineStr">
        <is>
          <t>Nej</t>
        </is>
      </c>
      <c r="Z913" t="inlineStr">
        <is>
          <t>Nej</t>
        </is>
      </c>
      <c r="AA913" t="n">
        <v>4</v>
      </c>
      <c r="AB913" t="inlineStr">
        <is>
          <t>Avfallsmangder och lagringstid</t>
        </is>
      </c>
      <c r="AC913" t="inlineStr">
        <is>
          <t>Avfallsforteckning</t>
        </is>
      </c>
      <c r="AD913" t="inlineStr">
        <is>
          <t>Nej</t>
        </is>
      </c>
      <c r="AE913" t="inlineStr">
        <is>
          <t>Nej</t>
        </is>
      </c>
      <c r="AF913" t="inlineStr">
        <is>
          <t>Ej behandlad</t>
        </is>
      </c>
      <c r="AG913" t="inlineStr">
        <is>
          <t>AUTO_GENERERAD. Verifiera citat mot kallfil.</t>
        </is>
      </c>
      <c r="AH913" t="inlineStr">
        <is>
          <t>MEDIUM</t>
        </is>
      </c>
      <c r="AI913" t="inlineStr">
        <is>
          <t>AUTO</t>
        </is>
      </c>
      <c r="AJ913" t="inlineStr">
        <is>
          <t>Nej</t>
        </is>
      </c>
      <c r="AK913" t="inlineStr"/>
      <c r="AL913" t="inlineStr"/>
      <c r="AM913" t="inlineStr"/>
      <c r="AN913" t="inlineStr"/>
      <c r="AO913" t="inlineStr">
        <is>
          <t>cmm4yurbv04e2cuqwb1kd6w43</t>
        </is>
      </c>
      <c r="AP913" t="inlineStr">
        <is>
          <t>http://localhost:8787/api/admin/requirements/documents/cmm4yurbv04e2cuqwb1kd6w43/view</t>
        </is>
      </c>
      <c r="AQ913">
        <f>HYPERLÄNK("http://localhost:8787/api/admin/requirements/documents/cmm4yurbv04e2cuqwb1kd6w43/view";"Öppna PDF")</f>
        <v/>
      </c>
      <c r="AR913">
        <f>HYPERLINK("http://localhost:8787/api/admin/requirements/documents/cmm4yurbv04e2cuqwb1kd6w43/view","Open PDF")</f>
        <v/>
      </c>
      <c r="AS913" t="inlineStr">
        <is>
          <t>cmm55w57p0004cuisfrtpqly8</t>
        </is>
      </c>
      <c r="AT913" t="inlineStr">
        <is>
          <t>cmm4xvu980000cuh4vj0usz09</t>
        </is>
      </c>
      <c r="AU913" t="inlineStr"/>
      <c r="AV913" t="inlineStr">
        <is>
          <t>Kommun</t>
        </is>
      </c>
      <c r="AW913" t="inlineStr"/>
      <c r="AX913" t="inlineStr">
        <is>
          <t>2013:251</t>
        </is>
      </c>
      <c r="AY913" t="inlineStr">
        <is>
          <t>Anmalan</t>
        </is>
      </c>
      <c r="AZ913" t="inlineStr">
        <is>
          <t>2026-02-12</t>
        </is>
      </c>
      <c r="BA913" t="inlineStr">
        <is>
          <t>MB-2023-716-6 - Miljöfarlig verksamhet_anmälan.pdf</t>
        </is>
      </c>
      <c r="BB913" t="inlineStr">
        <is>
          <t>Sv:  Begäran om utlämnande av allmän handling – Anmälningar och beslut rörande mellanlagring av avfall samt anläggning av ytor</t>
        </is>
      </c>
      <c r="BC913" t="inlineStr">
        <is>
          <t>AUTO</t>
        </is>
      </c>
      <c r="BD913" t="inlineStr"/>
      <c r="BE913" t="inlineStr"/>
      <c r="BF913" t="inlineStr">
        <is>
          <t>AUTO_GENERERAD. Bekrafta metadata mot kallfil.</t>
        </is>
      </c>
      <c r="BG913">
        <f>HYPERLINK("C:\Users\jimmy\Desktop\Examens arbete\Kod\Ny mapp\remix_-copy-of-miljöbeslut.se-portal\MB-2023-716-6 - Miljöfarlig verksamhet_anmälan.pdf", "Öppna PDF")</f>
        <v/>
      </c>
    </row>
    <row r="914">
      <c r="A914" t="inlineStr">
        <is>
          <t>KRAV-AUTO-000913</t>
        </is>
      </c>
      <c r="B914" t="inlineStr">
        <is>
          <t>ADMIN-INDEX-2026-02-27-00000000125C043F57453246863FE664CAFE6A3F0700950291EA24F0614FB6ACEDB12BF0E31D00000000010C0000950291EA24F0614FB6ACEDB12BF0E31D00002087A5800000</t>
        </is>
      </c>
      <c r="C914" t="inlineStr">
        <is>
          <t>cmm4yurc404ebcuqwxumpr7rh</t>
        </is>
      </c>
      <c r="D914" t="inlineStr">
        <is>
          <t>http://localhost:8787/api/admin/requirements/documents/cmm4yurc404ebcuqwxumpr7rh/view</t>
        </is>
      </c>
      <c r="E914">
        <f>HYPERLÄNK("http://localhost:8787/api/admin/requirements/documents/cmm4yurc404ebcuqwxumpr7rh/view";"Öppna PDF")</f>
        <v/>
      </c>
      <c r="F914">
        <f>HYPERLINK("http://localhost:8787/api/admin/requirements/documents/cmm4yurc404ebcuqwxumpr7rh/view","Open PDF")</f>
        <v/>
      </c>
      <c r="G914" t="inlineStr">
        <is>
          <t>cmm55w57p0004cuisfrtpqly8</t>
        </is>
      </c>
      <c r="H914" t="inlineStr">
        <is>
          <t>Informationskrav</t>
        </is>
      </c>
      <c r="I914" t="inlineStr">
        <is>
          <t>LagringsvolymTid</t>
        </is>
      </c>
      <c r="J914" t="inlineStr">
        <is>
          <t>Maxmangd</t>
        </is>
      </c>
      <c r="K914" t="inlineStr">
        <is>
          <t>Beskriv verksamheten, ev kort historik, produktions- och behandlingsmetoder, produktionskapacitet, producerad mängd m m.</t>
        </is>
      </c>
      <c r="L914" t="inlineStr">
        <is>
          <t>Beskriv verksamheten, ev kort historik, produktions- och behandlingsmetoder, produktionskapacitet, producerad mängd m m.</t>
        </is>
      </c>
      <c r="M914" t="inlineStr">
        <is>
          <t>SKA</t>
        </is>
      </c>
      <c r="N914" t="inlineStr"/>
      <c r="O914" t="inlineStr"/>
      <c r="P914" t="inlineStr"/>
      <c r="Q914" t="inlineStr"/>
      <c r="R914" t="inlineStr">
        <is>
          <t>Alltid</t>
        </is>
      </c>
      <c r="S914" t="inlineStr"/>
      <c r="T914" t="inlineStr"/>
      <c r="U914" t="inlineStr"/>
      <c r="V914" t="inlineStr"/>
      <c r="W914" t="inlineStr">
        <is>
          <t>Nej</t>
        </is>
      </c>
      <c r="X914" t="inlineStr">
        <is>
          <t>Nej</t>
        </is>
      </c>
      <c r="Y914" t="inlineStr">
        <is>
          <t>Nej</t>
        </is>
      </c>
      <c r="Z914" t="inlineStr">
        <is>
          <t>Nej</t>
        </is>
      </c>
      <c r="AA914" t="n">
        <v>4</v>
      </c>
      <c r="AB914" t="inlineStr">
        <is>
          <t>Avfallsmangder och lagringstid</t>
        </is>
      </c>
      <c r="AC914" t="inlineStr">
        <is>
          <t>Avfallsforteckning</t>
        </is>
      </c>
      <c r="AD914" t="inlineStr">
        <is>
          <t>Nej</t>
        </is>
      </c>
      <c r="AE914" t="inlineStr">
        <is>
          <t>Nej</t>
        </is>
      </c>
      <c r="AF914" t="inlineStr">
        <is>
          <t>Ej behandlad</t>
        </is>
      </c>
      <c r="AG914" t="inlineStr">
        <is>
          <t>AUTO_GENERERAD. Verifiera citat mot kallfil.</t>
        </is>
      </c>
      <c r="AH914" t="inlineStr">
        <is>
          <t>MEDIUM</t>
        </is>
      </c>
      <c r="AI914" t="inlineStr">
        <is>
          <t>AUTO</t>
        </is>
      </c>
      <c r="AJ914" t="inlineStr">
        <is>
          <t>Nej</t>
        </is>
      </c>
      <c r="AK914" t="inlineStr"/>
      <c r="AL914" t="inlineStr"/>
      <c r="AM914" t="inlineStr"/>
      <c r="AN914" t="inlineStr"/>
      <c r="AO914" t="inlineStr">
        <is>
          <t>cmm4yurbv04e2cuqwb1kd6w43</t>
        </is>
      </c>
      <c r="AP914" t="inlineStr">
        <is>
          <t>http://localhost:8787/api/admin/requirements/documents/cmm4yurbv04e2cuqwb1kd6w43/view</t>
        </is>
      </c>
      <c r="AQ914">
        <f>HYPERLÄNK("http://localhost:8787/api/admin/requirements/documents/cmm4yurbv04e2cuqwb1kd6w43/view";"Öppna PDF")</f>
        <v/>
      </c>
      <c r="AR914">
        <f>HYPERLINK("http://localhost:8787/api/admin/requirements/documents/cmm4yurbv04e2cuqwb1kd6w43/view","Open PDF")</f>
        <v/>
      </c>
      <c r="AS914" t="inlineStr">
        <is>
          <t>cmm55w57p0004cuisfrtpqly8</t>
        </is>
      </c>
      <c r="AT914" t="inlineStr">
        <is>
          <t>cmm4xvu980000cuh4vj0usz09</t>
        </is>
      </c>
      <c r="AU914" t="inlineStr"/>
      <c r="AV914" t="inlineStr">
        <is>
          <t>Kommun</t>
        </is>
      </c>
      <c r="AW914" t="inlineStr"/>
      <c r="AX914" t="inlineStr">
        <is>
          <t>2013:251</t>
        </is>
      </c>
      <c r="AY914" t="inlineStr">
        <is>
          <t>Anmalan</t>
        </is>
      </c>
      <c r="AZ914" t="inlineStr">
        <is>
          <t>2026-02-12</t>
        </is>
      </c>
      <c r="BA914" t="inlineStr">
        <is>
          <t>MB-2023-716-6 - Miljöfarlig verksamhet_anmälan.pdf</t>
        </is>
      </c>
      <c r="BB914" t="inlineStr">
        <is>
          <t>Sv:  Begäran om utlämnande av allmän handling – Anmälningar och beslut rörande mellanlagring av avfall samt anläggning av ytor</t>
        </is>
      </c>
      <c r="BC914" t="inlineStr">
        <is>
          <t>AUTO</t>
        </is>
      </c>
      <c r="BD914" t="inlineStr"/>
      <c r="BE914" t="inlineStr"/>
      <c r="BF914" t="inlineStr">
        <is>
          <t>AUTO_GENERERAD. Bekrafta metadata mot kallfil.</t>
        </is>
      </c>
      <c r="BG914">
        <f>HYPERLINK("C:\Users\jimmy\Desktop\Examens arbete\Kod\Ny mapp\remix_-copy-of-miljöbeslut.se-portal\MB-2023-716-6 - Miljöfarlig verksamhet_anmälan.pdf", "Öppna PDF")</f>
        <v/>
      </c>
    </row>
    <row r="915">
      <c r="A915" t="inlineStr">
        <is>
          <t>KRAV-AUTO-000914</t>
        </is>
      </c>
      <c r="B915" t="inlineStr">
        <is>
          <t>ADMIN-INDEX-2026-02-27-00000000125C043F57453246863FE664CAFE6A3F0700950291EA24F0614FB6ACEDB12BF0E31D00000000010C0000950291EA24F0614FB6ACEDB12BF0E31D00002087ADF40000</t>
        </is>
      </c>
      <c r="C915" t="inlineStr">
        <is>
          <t>cmm4yuqgb03k5cuqwyube1gs3</t>
        </is>
      </c>
      <c r="D915" t="inlineStr">
        <is>
          <t>http://localhost:8787/api/admin/requirements/documents/cmm4yuqgb03k5cuqwyube1gs3/view</t>
        </is>
      </c>
      <c r="E915">
        <f>HYPERLÄNK("http://localhost:8787/api/admin/requirements/documents/cmm4yuqgb03k5cuqwyube1gs3/view";"Öppna PDF")</f>
        <v/>
      </c>
      <c r="F915">
        <f>HYPERLINK("http://localhost:8787/api/admin/requirements/documents/cmm4yuqgb03k5cuqwyube1gs3/view","Open PDF")</f>
        <v/>
      </c>
      <c r="G915" t="inlineStr">
        <is>
          <t>cmm55w57p0004cuisfrtpqly8</t>
        </is>
      </c>
      <c r="H915" t="inlineStr">
        <is>
          <t>Beslutsvillkor</t>
        </is>
      </c>
      <c r="I915" t="inlineStr">
        <is>
          <t>LagringsvolymTid</t>
        </is>
      </c>
      <c r="J915" t="inlineStr">
        <is>
          <t>Maxmangd</t>
        </is>
      </c>
      <c r="K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915" t="inlineStr">
        <is>
          <t>SKA</t>
        </is>
      </c>
      <c r="N915" t="inlineStr"/>
      <c r="O915" t="inlineStr"/>
      <c r="P915" t="inlineStr"/>
      <c r="Q915" t="inlineStr"/>
      <c r="R915" t="inlineStr">
        <is>
          <t>Alltid</t>
        </is>
      </c>
      <c r="S915" t="inlineStr"/>
      <c r="T915" t="inlineStr">
        <is>
          <t>241023</t>
        </is>
      </c>
      <c r="U915" t="inlineStr"/>
      <c r="V915" t="inlineStr"/>
      <c r="W915" t="inlineStr">
        <is>
          <t>Nej</t>
        </is>
      </c>
      <c r="X915" t="inlineStr">
        <is>
          <t>Nej</t>
        </is>
      </c>
      <c r="Y915" t="inlineStr">
        <is>
          <t>Nej</t>
        </is>
      </c>
      <c r="Z915" t="inlineStr">
        <is>
          <t>Nej</t>
        </is>
      </c>
      <c r="AA915" t="n">
        <v>4</v>
      </c>
      <c r="AB915" t="inlineStr">
        <is>
          <t>Avfallsmangder och lagringstid</t>
        </is>
      </c>
      <c r="AC915" t="inlineStr">
        <is>
          <t>Avfallsforteckning</t>
        </is>
      </c>
      <c r="AD915" t="inlineStr">
        <is>
          <t>Nej</t>
        </is>
      </c>
      <c r="AE915" t="inlineStr">
        <is>
          <t>Nej</t>
        </is>
      </c>
      <c r="AF915" t="inlineStr">
        <is>
          <t>Ej behandlad</t>
        </is>
      </c>
      <c r="AG915" t="inlineStr">
        <is>
          <t>AUTO_GENERERAD. Verifiera citat mot kallfil.</t>
        </is>
      </c>
      <c r="AH915" t="inlineStr">
        <is>
          <t>MEDIUM</t>
        </is>
      </c>
      <c r="AI915" t="inlineStr">
        <is>
          <t>AUTO</t>
        </is>
      </c>
      <c r="AJ915" t="inlineStr">
        <is>
          <t>Nej</t>
        </is>
      </c>
      <c r="AK915" t="inlineStr"/>
      <c r="AL915" t="inlineStr"/>
      <c r="AM915" t="inlineStr"/>
      <c r="AN915" t="inlineStr"/>
      <c r="AO915" t="inlineStr">
        <is>
          <t>cmm4yuqgw03ktcuqwsj8z1sdd</t>
        </is>
      </c>
      <c r="AP915" t="inlineStr">
        <is>
          <t>http://localhost:8787/api/admin/requirements/documents/cmm4yuqgw03ktcuqwsj8z1sdd/view</t>
        </is>
      </c>
      <c r="AQ915">
        <f>HYPERLÄNK("http://localhost:8787/api/admin/requirements/documents/cmm4yuqgw03ktcuqwsj8z1sdd/view";"Öppna PDF")</f>
        <v/>
      </c>
      <c r="AR915">
        <f>HYPERLINK("http://localhost:8787/api/admin/requirements/documents/cmm4yuqgw03ktcuqwsj8z1sdd/view","Open PDF")</f>
        <v/>
      </c>
      <c r="AS915" t="inlineStr">
        <is>
          <t>cmm55w57p0004cuisfrtpqly8</t>
        </is>
      </c>
      <c r="AT915" t="inlineStr">
        <is>
          <t>cmm4xvu980000cuh4vj0usz09</t>
        </is>
      </c>
      <c r="AU915" t="inlineStr">
        <is>
          <t>fattat av Miljöskyddsenheten i Varbergs</t>
        </is>
      </c>
      <c r="AV915" t="inlineStr">
        <is>
          <t>Kommun</t>
        </is>
      </c>
      <c r="AW915" t="inlineStr">
        <is>
          <t>fattat av Miljöskyddsenheten i Varbergs kommun</t>
        </is>
      </c>
      <c r="AX915" t="inlineStr">
        <is>
          <t>2024-05</t>
        </is>
      </c>
      <c r="AY915" t="inlineStr">
        <is>
          <t>Beslut</t>
        </is>
      </c>
      <c r="AZ915" t="inlineStr">
        <is>
          <t>2026-02-05</t>
        </is>
      </c>
      <c r="BA915" t="inlineStr">
        <is>
          <t>PM Sedimentationsdammar 2024-1596.pdf</t>
        </is>
      </c>
      <c r="BB915" t="inlineStr">
        <is>
          <t>Sv: till registrator</t>
        </is>
      </c>
      <c r="BC915" t="inlineStr">
        <is>
          <t>AUTO</t>
        </is>
      </c>
      <c r="BD915" t="inlineStr"/>
      <c r="BE915" t="inlineStr"/>
      <c r="BF915" t="inlineStr">
        <is>
          <t>AUTO_GENERERAD. Bekrafta metadata mot kallfil.</t>
        </is>
      </c>
      <c r="BG915">
        <f>HYPERLINK("C:\Users\jimmy\Desktop\Examens arbete\Kod\Ny mapp\remix_-copy-of-miljöbeslut.se-portal\PM Sedimentationsdammar 2024-1596.pdf", "Öppna PDF")</f>
        <v/>
      </c>
    </row>
    <row r="916">
      <c r="A916" t="inlineStr">
        <is>
          <t>KRAV-AUTO-000915</t>
        </is>
      </c>
      <c r="B916" t="inlineStr">
        <is>
          <t>ADMIN-INDEX-2026-02-27-00000000125C043F57453246863FE664CAFE6A3F0700950291EA24F0614FB6ACEDB12BF0E31D00000000010C0000950291EA24F0614FB6ACEDB12BF0E31D00002087A5800000</t>
        </is>
      </c>
      <c r="C916" t="inlineStr">
        <is>
          <t>cmm4yurbt04dzcuqwddjt4z0p</t>
        </is>
      </c>
      <c r="D916" t="inlineStr">
        <is>
          <t>http://localhost:8787/api/admin/requirements/documents/cmm4yurbt04dzcuqwddjt4z0p/view</t>
        </is>
      </c>
      <c r="E916">
        <f>HYPERLÄNK("http://localhost:8787/api/admin/requirements/documents/cmm4yurbt04dzcuqwddjt4z0p/view";"Öppna PDF")</f>
        <v/>
      </c>
      <c r="F916">
        <f>HYPERLINK("http://localhost:8787/api/admin/requirements/documents/cmm4yurbt04dzcuqwddjt4z0p/view","Open PDF")</f>
        <v/>
      </c>
      <c r="G916" t="inlineStr">
        <is>
          <t>cmm55w57p0004cuisfrtpqly8</t>
        </is>
      </c>
      <c r="H916" t="inlineStr">
        <is>
          <t>Informationskrav</t>
        </is>
      </c>
      <c r="I916" t="inlineStr">
        <is>
          <t>MiljopaverkanForsiktighet</t>
        </is>
      </c>
      <c r="J916" t="inlineStr">
        <is>
          <t>Skyddsatgarder</t>
        </is>
      </c>
      <c r="K916" t="inlineStr">
        <is>
          <t>Ändringar i verksamheten som berör hanteringen och lagringen av avfall skall anmälas till bygg- och miljönämnden i Kävlinge kommun.</t>
        </is>
      </c>
      <c r="L916" t="inlineStr">
        <is>
          <t>Ändringar i verksamheten som berör hanteringen och lagringen av avfall skall anmälas till bygg- och miljönämnden i Kävlinge kommun.</t>
        </is>
      </c>
      <c r="M916" t="inlineStr">
        <is>
          <t>SKA</t>
        </is>
      </c>
      <c r="N916" t="inlineStr"/>
      <c r="O916" t="inlineStr"/>
      <c r="P916" t="inlineStr"/>
      <c r="Q916" t="inlineStr"/>
      <c r="R916" t="inlineStr">
        <is>
          <t>Alltid</t>
        </is>
      </c>
      <c r="S916" t="inlineStr"/>
      <c r="T916" t="inlineStr">
        <is>
          <t>212000</t>
        </is>
      </c>
      <c r="U916" t="inlineStr"/>
      <c r="V916" t="inlineStr"/>
      <c r="W916" t="inlineStr">
        <is>
          <t>Nej</t>
        </is>
      </c>
      <c r="X916" t="inlineStr">
        <is>
          <t>Nej</t>
        </is>
      </c>
      <c r="Y916" t="inlineStr">
        <is>
          <t>Nej</t>
        </is>
      </c>
      <c r="Z916" t="inlineStr">
        <is>
          <t>Nej</t>
        </is>
      </c>
      <c r="AA916" t="n">
        <v>10</v>
      </c>
      <c r="AB916" t="inlineStr">
        <is>
          <t>Miljopaverkan och forsiktighetsmatt</t>
        </is>
      </c>
      <c r="AC916" t="inlineStr">
        <is>
          <t>Miljo-PM</t>
        </is>
      </c>
      <c r="AD916" t="inlineStr">
        <is>
          <t>Nej</t>
        </is>
      </c>
      <c r="AE916" t="inlineStr">
        <is>
          <t>Nej</t>
        </is>
      </c>
      <c r="AF916" t="inlineStr">
        <is>
          <t>Ej behandlad</t>
        </is>
      </c>
      <c r="AG916" t="inlineStr">
        <is>
          <t>AUTO_GENERERAD. Verifiera citat mot kallfil.</t>
        </is>
      </c>
      <c r="AH916" t="inlineStr">
        <is>
          <t>MEDIUM</t>
        </is>
      </c>
      <c r="AI916" t="inlineStr">
        <is>
          <t>AUTO</t>
        </is>
      </c>
      <c r="AJ916" t="inlineStr">
        <is>
          <t>Nej</t>
        </is>
      </c>
      <c r="AK916" t="inlineStr"/>
      <c r="AL916" t="inlineStr"/>
      <c r="AM916" t="inlineStr"/>
      <c r="AN916" t="inlineStr"/>
      <c r="AO916" t="inlineStr">
        <is>
          <t>cmm4yurbv04e2cuqwb1kd6w43</t>
        </is>
      </c>
      <c r="AP916" t="inlineStr">
        <is>
          <t>http://localhost:8787/api/admin/requirements/documents/cmm4yurbv04e2cuqwb1kd6w43/view</t>
        </is>
      </c>
      <c r="AQ916">
        <f>HYPERLÄNK("http://localhost:8787/api/admin/requirements/documents/cmm4yurbv04e2cuqwb1kd6w43/view";"Öppna PDF")</f>
        <v/>
      </c>
      <c r="AR916">
        <f>HYPERLINK("http://localhost:8787/api/admin/requirements/documents/cmm4yurbv04e2cuqwb1kd6w43/view","Open PDF")</f>
        <v/>
      </c>
      <c r="AS916" t="inlineStr">
        <is>
          <t>cmm55w57p0004cuisfrtpqly8</t>
        </is>
      </c>
      <c r="AT916" t="inlineStr">
        <is>
          <t>cmm4xvu980000cuh4vj0usz09</t>
        </is>
      </c>
      <c r="AU916" t="inlineStr"/>
      <c r="AV916" t="inlineStr">
        <is>
          <t>Kommun</t>
        </is>
      </c>
      <c r="AW916" t="inlineStr"/>
      <c r="AX916" t="inlineStr">
        <is>
          <t>2013:251</t>
        </is>
      </c>
      <c r="AY916" t="inlineStr">
        <is>
          <t>Anmalan</t>
        </is>
      </c>
      <c r="AZ916" t="inlineStr">
        <is>
          <t>2026-02-12</t>
        </is>
      </c>
      <c r="BA916" t="inlineStr">
        <is>
          <t>MB-2023-716-6 - Miljöfarlig verksamhet_anmälan.pdf</t>
        </is>
      </c>
      <c r="BB916" t="inlineStr">
        <is>
          <t>Sv:  Begäran om utlämnande av allmän handling – Anmälningar och beslut rörande mellanlagring av avfall samt anläggning av ytor</t>
        </is>
      </c>
      <c r="BC916" t="inlineStr">
        <is>
          <t>AUTO</t>
        </is>
      </c>
      <c r="BD916" t="inlineStr"/>
      <c r="BE916" t="inlineStr"/>
      <c r="BF916" t="inlineStr">
        <is>
          <t>AUTO_GENERERAD. Bekrafta metadata mot kallfil.</t>
        </is>
      </c>
      <c r="BG916">
        <f>HYPERLINK("C:\Users\jimmy\Desktop\Examens arbete\Kod\Ny mapp\remix_-copy-of-miljöbeslut.se-portal\MB-2023-716-6 - Miljöfarlig verksamhet_anmälan.pdf", "Öppna PDF")</f>
        <v/>
      </c>
    </row>
    <row r="917">
      <c r="A917" t="inlineStr">
        <is>
          <t>KRAV-AUTO-000916</t>
        </is>
      </c>
      <c r="B917" t="inlineStr">
        <is>
          <t>ADMIN-INDEX-2026-02-27-00000000125C043F57453246863FE664CAFE6A3F0700950291EA24F0614FB6ACEDB12BF0E31D00000000010C0000950291EA24F0614FB6ACEDB12BF0E31D00002087A5800000</t>
        </is>
      </c>
      <c r="C917" t="inlineStr">
        <is>
          <t>cmm4yurbt04dzcuqwddjt4z0p</t>
        </is>
      </c>
      <c r="D917" t="inlineStr">
        <is>
          <t>http://localhost:8787/api/admin/requirements/documents/cmm4yurbt04dzcuqwddjt4z0p/view</t>
        </is>
      </c>
      <c r="E917">
        <f>HYPERLÄNK("http://localhost:8787/api/admin/requirements/documents/cmm4yurbt04dzcuqwddjt4z0p/view";"Öppna PDF")</f>
        <v/>
      </c>
      <c r="F917">
        <f>HYPERLINK("http://localhost:8787/api/admin/requirements/documents/cmm4yurbt04dzcuqwddjt4z0p/view","Open PDF")</f>
        <v/>
      </c>
      <c r="G917" t="inlineStr">
        <is>
          <t>cmm55w57p0004cuisfrtpqly8</t>
        </is>
      </c>
      <c r="H917" t="inlineStr">
        <is>
          <t>Informationskrav</t>
        </is>
      </c>
      <c r="I917" t="inlineStr">
        <is>
          <t>Riskhantering</t>
        </is>
      </c>
      <c r="J917" t="inlineStr">
        <is>
          <t>Riskkontroll</t>
        </is>
      </c>
      <c r="K917" t="inlineStr">
        <is>
          <t>6§ Verksamhetsutövaren skall fortlöpande och systematiskt undersöka och bedöma riskerna med verksamheten från hälso- och miljösynpunkt.</t>
        </is>
      </c>
      <c r="L917" t="inlineStr">
        <is>
          <t>6§ Verksamhetsutövaren skall fortlöpande och systematiskt undersöka och bedöma riskerna med verksamheten från hälso- och miljösynpunkt.</t>
        </is>
      </c>
      <c r="M917" t="inlineStr">
        <is>
          <t>SKA</t>
        </is>
      </c>
      <c r="N917" t="inlineStr"/>
      <c r="O917" t="inlineStr"/>
      <c r="P917" t="inlineStr">
        <is>
          <t>Lopande</t>
        </is>
      </c>
      <c r="Q917" t="inlineStr"/>
      <c r="R917" t="inlineStr">
        <is>
          <t>Vid risk for incident</t>
        </is>
      </c>
      <c r="S917" t="inlineStr"/>
      <c r="T917" t="inlineStr">
        <is>
          <t>212000</t>
        </is>
      </c>
      <c r="U917" t="inlineStr"/>
      <c r="V917" t="inlineStr"/>
      <c r="W917" t="inlineStr">
        <is>
          <t>Nej</t>
        </is>
      </c>
      <c r="X917" t="inlineStr">
        <is>
          <t>Nej</t>
        </is>
      </c>
      <c r="Y917" t="inlineStr">
        <is>
          <t>Ja</t>
        </is>
      </c>
      <c r="Z917" t="inlineStr">
        <is>
          <t>Ja</t>
        </is>
      </c>
      <c r="AA917" t="n">
        <v>8</v>
      </c>
      <c r="AB917" t="inlineStr">
        <is>
          <t>Riskhantering</t>
        </is>
      </c>
      <c r="AC917" t="inlineStr">
        <is>
          <t>Risk-PM</t>
        </is>
      </c>
      <c r="AD917" t="inlineStr">
        <is>
          <t>Nej</t>
        </is>
      </c>
      <c r="AE917" t="inlineStr">
        <is>
          <t>Nej</t>
        </is>
      </c>
      <c r="AF917" t="inlineStr">
        <is>
          <t>Ej behandlad</t>
        </is>
      </c>
      <c r="AG917" t="inlineStr">
        <is>
          <t>AUTO_GENERERAD. Verifiera citat mot kallfil.</t>
        </is>
      </c>
      <c r="AH917" t="inlineStr">
        <is>
          <t>MEDIUM</t>
        </is>
      </c>
      <c r="AI917" t="inlineStr">
        <is>
          <t>AUTO</t>
        </is>
      </c>
      <c r="AJ917" t="inlineStr">
        <is>
          <t>Nej</t>
        </is>
      </c>
      <c r="AK917" t="inlineStr"/>
      <c r="AL917" t="inlineStr"/>
      <c r="AM917" t="inlineStr"/>
      <c r="AN917" t="inlineStr"/>
      <c r="AO917" t="inlineStr">
        <is>
          <t>cmm4yurbv04e2cuqwb1kd6w43</t>
        </is>
      </c>
      <c r="AP917" t="inlineStr">
        <is>
          <t>http://localhost:8787/api/admin/requirements/documents/cmm4yurbv04e2cuqwb1kd6w43/view</t>
        </is>
      </c>
      <c r="AQ917">
        <f>HYPERLÄNK("http://localhost:8787/api/admin/requirements/documents/cmm4yurbv04e2cuqwb1kd6w43/view";"Öppna PDF")</f>
        <v/>
      </c>
      <c r="AR917">
        <f>HYPERLINK("http://localhost:8787/api/admin/requirements/documents/cmm4yurbv04e2cuqwb1kd6w43/view","Open PDF")</f>
        <v/>
      </c>
      <c r="AS917" t="inlineStr">
        <is>
          <t>cmm55w57p0004cuisfrtpqly8</t>
        </is>
      </c>
      <c r="AT917" t="inlineStr">
        <is>
          <t>cmm4xvu980000cuh4vj0usz09</t>
        </is>
      </c>
      <c r="AU917" t="inlineStr"/>
      <c r="AV917" t="inlineStr">
        <is>
          <t>Kommun</t>
        </is>
      </c>
      <c r="AW917" t="inlineStr"/>
      <c r="AX917" t="inlineStr">
        <is>
          <t>2013:251</t>
        </is>
      </c>
      <c r="AY917" t="inlineStr">
        <is>
          <t>Anmalan</t>
        </is>
      </c>
      <c r="AZ917" t="inlineStr">
        <is>
          <t>2026-02-12</t>
        </is>
      </c>
      <c r="BA917" t="inlineStr">
        <is>
          <t>MB-2023-716-6 - Miljöfarlig verksamhet_anmälan.pdf</t>
        </is>
      </c>
      <c r="BB917" t="inlineStr">
        <is>
          <t>Sv:  Begäran om utlämnande av allmän handling – Anmälningar och beslut rörande mellanlagring av avfall samt anläggning av ytor</t>
        </is>
      </c>
      <c r="BC917" t="inlineStr">
        <is>
          <t>AUTO</t>
        </is>
      </c>
      <c r="BD917" t="inlineStr"/>
      <c r="BE917" t="inlineStr"/>
      <c r="BF917" t="inlineStr">
        <is>
          <t>AUTO_GENERERAD. Bekrafta metadata mot kallfil.</t>
        </is>
      </c>
      <c r="BG917">
        <f>HYPERLINK("C:\Users\jimmy\Desktop\Examens arbete\Kod\Ny mapp\remix_-copy-of-miljöbeslut.se-portal\MB-2023-716-6 - Miljöfarlig verksamhet_anmälan.pdf", "Öppna PDF")</f>
        <v/>
      </c>
    </row>
    <row r="918">
      <c r="A918" t="inlineStr">
        <is>
          <t>KRAV-AUTO-000917</t>
        </is>
      </c>
      <c r="B918" t="inlineStr">
        <is>
          <t>ADMIN-INDEX-2026-02-27-00000000125C043F57453246863FE664CAFE6A3F0700950291EA24F0614FB6ACEDB12BF0E31D00000000010C0000950291EA24F0614FB6ACEDB12BF0E31D00002087A5800000</t>
        </is>
      </c>
      <c r="C918" t="inlineStr">
        <is>
          <t>cmm4yurbt04dzcuqwddjt4z0p</t>
        </is>
      </c>
      <c r="D918" t="inlineStr">
        <is>
          <t>http://localhost:8787/api/admin/requirements/documents/cmm4yurbt04dzcuqwddjt4z0p/view</t>
        </is>
      </c>
      <c r="E918">
        <f>HYPERLÄNK("http://localhost:8787/api/admin/requirements/documents/cmm4yurbt04dzcuqwddjt4z0p/view";"Öppna PDF")</f>
        <v/>
      </c>
      <c r="F918">
        <f>HYPERLINK("http://localhost:8787/api/admin/requirements/documents/cmm4yurbt04dzcuqwddjt4z0p/view","Open PDF")</f>
        <v/>
      </c>
      <c r="G918" t="inlineStr">
        <is>
          <t>cmm55w57p0004cuisfrtpqly8</t>
        </is>
      </c>
      <c r="H918" t="inlineStr">
        <is>
          <t>Informationskrav</t>
        </is>
      </c>
      <c r="I918" t="inlineStr">
        <is>
          <t>Riskhantering</t>
        </is>
      </c>
      <c r="J918" t="inlineStr">
        <is>
          <t>Riskkontroll</t>
        </is>
      </c>
      <c r="K918" t="inlineStr">
        <is>
          <t>4 § För varje verksamhet skall finnas en fastställd och dokumenterad fördelning av det organisatoriska ansvaret för de frågor som gäller för verksamheten enligt 1.</t>
        </is>
      </c>
      <c r="L918" t="inlineStr">
        <is>
          <t>4 § För varje verksamhet skall finnas en fastställd och dokumenterad fördelning av det organisatoriska ansvaret för de frågor som gäller för verksamheten enligt 1.</t>
        </is>
      </c>
      <c r="M918" t="inlineStr">
        <is>
          <t>SKA</t>
        </is>
      </c>
      <c r="N918" t="inlineStr"/>
      <c r="O918" t="inlineStr"/>
      <c r="P918" t="inlineStr"/>
      <c r="Q918" t="inlineStr"/>
      <c r="R918" t="inlineStr">
        <is>
          <t>Vid risk for incident</t>
        </is>
      </c>
      <c r="S918" t="inlineStr"/>
      <c r="T918" t="inlineStr">
        <is>
          <t>212000</t>
        </is>
      </c>
      <c r="U918" t="inlineStr"/>
      <c r="V918" t="inlineStr"/>
      <c r="W918" t="inlineStr">
        <is>
          <t>Nej</t>
        </is>
      </c>
      <c r="X918" t="inlineStr">
        <is>
          <t>Nej</t>
        </is>
      </c>
      <c r="Y918" t="inlineStr">
        <is>
          <t>Ja</t>
        </is>
      </c>
      <c r="Z918" t="inlineStr">
        <is>
          <t>Ja</t>
        </is>
      </c>
      <c r="AA918" t="n">
        <v>8</v>
      </c>
      <c r="AB918" t="inlineStr">
        <is>
          <t>Riskhantering</t>
        </is>
      </c>
      <c r="AC918" t="inlineStr">
        <is>
          <t>Risk-PM</t>
        </is>
      </c>
      <c r="AD918" t="inlineStr">
        <is>
          <t>Nej</t>
        </is>
      </c>
      <c r="AE918" t="inlineStr">
        <is>
          <t>Nej</t>
        </is>
      </c>
      <c r="AF918" t="inlineStr">
        <is>
          <t>Ej behandlad</t>
        </is>
      </c>
      <c r="AG918" t="inlineStr">
        <is>
          <t>AUTO_GENERERAD. Verifiera citat mot kallfil.</t>
        </is>
      </c>
      <c r="AH918" t="inlineStr">
        <is>
          <t>MEDIUM</t>
        </is>
      </c>
      <c r="AI918" t="inlineStr">
        <is>
          <t>AUTO</t>
        </is>
      </c>
      <c r="AJ918" t="inlineStr">
        <is>
          <t>Nej</t>
        </is>
      </c>
      <c r="AK918" t="inlineStr"/>
      <c r="AL918" t="inlineStr"/>
      <c r="AM918" t="inlineStr"/>
      <c r="AN918" t="inlineStr"/>
      <c r="AO918" t="inlineStr">
        <is>
          <t>cmm4yurbv04e2cuqwb1kd6w43</t>
        </is>
      </c>
      <c r="AP918" t="inlineStr">
        <is>
          <t>http://localhost:8787/api/admin/requirements/documents/cmm4yurbv04e2cuqwb1kd6w43/view</t>
        </is>
      </c>
      <c r="AQ918">
        <f>HYPERLÄNK("http://localhost:8787/api/admin/requirements/documents/cmm4yurbv04e2cuqwb1kd6w43/view";"Öppna PDF")</f>
        <v/>
      </c>
      <c r="AR918">
        <f>HYPERLINK("http://localhost:8787/api/admin/requirements/documents/cmm4yurbv04e2cuqwb1kd6w43/view","Open PDF")</f>
        <v/>
      </c>
      <c r="AS918" t="inlineStr">
        <is>
          <t>cmm55w57p0004cuisfrtpqly8</t>
        </is>
      </c>
      <c r="AT918" t="inlineStr">
        <is>
          <t>cmm4xvu980000cuh4vj0usz09</t>
        </is>
      </c>
      <c r="AU918" t="inlineStr"/>
      <c r="AV918" t="inlineStr">
        <is>
          <t>Kommun</t>
        </is>
      </c>
      <c r="AW918" t="inlineStr"/>
      <c r="AX918" t="inlineStr">
        <is>
          <t>2013:251</t>
        </is>
      </c>
      <c r="AY918" t="inlineStr">
        <is>
          <t>Anmalan</t>
        </is>
      </c>
      <c r="AZ918" t="inlineStr">
        <is>
          <t>2026-02-12</t>
        </is>
      </c>
      <c r="BA918" t="inlineStr">
        <is>
          <t>MB-2023-716-6 - Miljöfarlig verksamhet_anmälan.pdf</t>
        </is>
      </c>
      <c r="BB918" t="inlineStr">
        <is>
          <t>Sv:  Begäran om utlämnande av allmän handling – Anmälningar och beslut rörande mellanlagring av avfall samt anläggning av ytor</t>
        </is>
      </c>
      <c r="BC918" t="inlineStr">
        <is>
          <t>AUTO</t>
        </is>
      </c>
      <c r="BD918" t="inlineStr"/>
      <c r="BE918" t="inlineStr"/>
      <c r="BF918" t="inlineStr">
        <is>
          <t>AUTO_GENERERAD. Bekrafta metadata mot kallfil.</t>
        </is>
      </c>
      <c r="BG918">
        <f>HYPERLINK("C:\Users\jimmy\Desktop\Examens arbete\Kod\Ny mapp\remix_-copy-of-miljöbeslut.se-portal\MB-2023-716-6 - Miljöfarlig verksamhet_anmälan.pdf", "Öppna PDF")</f>
        <v/>
      </c>
    </row>
    <row r="919">
      <c r="A919" t="inlineStr">
        <is>
          <t>KRAV-AUTO-000918</t>
        </is>
      </c>
      <c r="B919" t="inlineStr">
        <is>
          <t>ADMIN-INDEX-2026-02-27-00000000125C043F57453246863FE664CAFE6A3F0700950291EA24F0614FB6ACEDB12BF0E31D00000000010C0000950291EA24F0614FB6ACEDB12BF0E31D00002087ADF80000</t>
        </is>
      </c>
      <c r="C919" t="inlineStr">
        <is>
          <t>cmm4yuqfc03j5cuqw55mjeltp</t>
        </is>
      </c>
      <c r="D919" t="inlineStr">
        <is>
          <t>http://localhost:8787/api/admin/requirements/documents/cmm4yuqfc03j5cuqw55mjeltp/view</t>
        </is>
      </c>
      <c r="E919">
        <f>HYPERLÄNK("http://localhost:8787/api/admin/requirements/documents/cmm4yuqfc03j5cuqw55mjeltp/view";"Öppna PDF")</f>
        <v/>
      </c>
      <c r="F919">
        <f>HYPERLINK("http://localhost:8787/api/admin/requirements/documents/cmm4yuqfc03j5cuqw55mjeltp/view","Open PDF")</f>
        <v/>
      </c>
      <c r="G919" t="inlineStr">
        <is>
          <t>cmm55w57p0004cuisfrtpqly8</t>
        </is>
      </c>
      <c r="H919" t="inlineStr">
        <is>
          <t>Kompletteringskrav</t>
        </is>
      </c>
      <c r="I919" t="inlineStr">
        <is>
          <t>Ytkonstruktion</t>
        </is>
      </c>
      <c r="J919" t="inlineStr">
        <is>
          <t>Tat yta</t>
        </is>
      </c>
      <c r="K919" t="inlineStr">
        <is>
          <t>Materialet kommer att mellanlagras på den aktuella ytan där gårdsplanen ska anläggas.</t>
        </is>
      </c>
      <c r="L919" t="inlineStr">
        <is>
          <t>Materialet kommer att mellanlagras på den aktuella ytan där gårdsplanen ska anläggas.</t>
        </is>
      </c>
      <c r="M919" t="inlineStr">
        <is>
          <t>SKA</t>
        </is>
      </c>
      <c r="N919" t="inlineStr"/>
      <c r="O919" t="inlineStr"/>
      <c r="P919" t="inlineStr"/>
      <c r="Q919" t="inlineStr"/>
      <c r="R919" t="inlineStr">
        <is>
          <t>Vid mellanlagring av avfall</t>
        </is>
      </c>
      <c r="S919" t="inlineStr"/>
      <c r="T919" t="inlineStr">
        <is>
          <t>17 01 01</t>
        </is>
      </c>
      <c r="U919" t="inlineStr"/>
      <c r="V919" t="inlineStr"/>
      <c r="W919" t="inlineStr">
        <is>
          <t>Ja</t>
        </is>
      </c>
      <c r="X919" t="inlineStr">
        <is>
          <t>Nej</t>
        </is>
      </c>
      <c r="Y919" t="inlineStr">
        <is>
          <t>Nej</t>
        </is>
      </c>
      <c r="Z919" t="inlineStr">
        <is>
          <t>Nej</t>
        </is>
      </c>
      <c r="AA919" t="n">
        <v>5</v>
      </c>
      <c r="AB919" t="inlineStr">
        <is>
          <t>Teknisk beskrivning av platta</t>
        </is>
      </c>
      <c r="AC919" t="inlineStr">
        <is>
          <t>Teknisk ritning platta</t>
        </is>
      </c>
      <c r="AD919" t="inlineStr">
        <is>
          <t>Nej</t>
        </is>
      </c>
      <c r="AE919" t="inlineStr">
        <is>
          <t>Nej</t>
        </is>
      </c>
      <c r="AF919" t="inlineStr">
        <is>
          <t>Ej behandlad</t>
        </is>
      </c>
      <c r="AG919" t="inlineStr">
        <is>
          <t>AUTO_GENERERAD. Verifiera citat mot kallfil.</t>
        </is>
      </c>
      <c r="AH919" t="inlineStr">
        <is>
          <t>MEDIUM</t>
        </is>
      </c>
      <c r="AI919" t="inlineStr">
        <is>
          <t>AUTO</t>
        </is>
      </c>
      <c r="AJ919" t="inlineStr">
        <is>
          <t>Nej</t>
        </is>
      </c>
      <c r="AK919" t="inlineStr"/>
      <c r="AL919" t="inlineStr"/>
      <c r="AM919" t="inlineStr"/>
      <c r="AN919" t="inlineStr"/>
      <c r="AO919" t="inlineStr">
        <is>
          <t>cmm4yuqfc03j5cuqw55mjeltp</t>
        </is>
      </c>
      <c r="AP919" t="inlineStr">
        <is>
          <t>http://localhost:8787/api/admin/requirements/documents/cmm4yuqfc03j5cuqw55mjeltp/view</t>
        </is>
      </c>
      <c r="AQ919">
        <f>HYPERLÄNK("http://localhost:8787/api/admin/requirements/documents/cmm4yuqfc03j5cuqw55mjeltp/view";"Öppna PDF")</f>
        <v/>
      </c>
      <c r="AR919">
        <f>HYPERLINK("http://localhost:8787/api/admin/requirements/documents/cmm4yuqfc03j5cuqw55mjeltp/view","Open PDF")</f>
        <v/>
      </c>
      <c r="AS919" t="inlineStr">
        <is>
          <t>cmm55w57p0004cuisfrtpqly8</t>
        </is>
      </c>
      <c r="AT919" t="inlineStr">
        <is>
          <t>cmm4xvu980000cuh4vj0usz09</t>
        </is>
      </c>
      <c r="AU919" t="inlineStr">
        <is>
          <t>-- arlstads</t>
        </is>
      </c>
      <c r="AV919" t="inlineStr">
        <is>
          <t>Kommun</t>
        </is>
      </c>
      <c r="AW919" t="inlineStr">
        <is>
          <t>-- arlstads kommun</t>
        </is>
      </c>
      <c r="AX919" t="inlineStr">
        <is>
          <t>2026-01</t>
        </is>
      </c>
      <c r="AY919" t="inlineStr">
        <is>
          <t>Komplettering</t>
        </is>
      </c>
      <c r="AZ919" t="inlineStr">
        <is>
          <t>2026-02-05</t>
        </is>
      </c>
      <c r="BA919" t="inlineStr">
        <is>
          <t>Per Eriksson Åsen 1 17 Komplettering av anmälan.pdf</t>
        </is>
      </c>
      <c r="BB919" t="inlineStr">
        <is>
          <t>Begäran om utlämnande av allmän handling – Anmälningar och beslut rörande mellanlagring av avfall samt anläggning av ytor</t>
        </is>
      </c>
      <c r="BC919" t="inlineStr">
        <is>
          <t>AUTO</t>
        </is>
      </c>
      <c r="BD919" t="inlineStr"/>
      <c r="BE919" t="inlineStr"/>
      <c r="BF919" t="inlineStr">
        <is>
          <t>AUTO_GENERERAD. Bekrafta metadata mot kallfil.</t>
        </is>
      </c>
      <c r="BG919">
        <f>HYPERLINK("C:\Users\jimmy\Desktop\Examens arbete\Kod\Ny mapp\remix_-copy-of-miljöbeslut.se-portal\Per Eriksson Åsen 1 17 Komplettering av anmälan.pdf", "Öppna PDF")</f>
        <v/>
      </c>
    </row>
    <row r="920">
      <c r="A920" t="inlineStr">
        <is>
          <t>KRAV-AUTO-000919</t>
        </is>
      </c>
      <c r="B920" t="inlineStr">
        <is>
          <t>ADMIN-INDEX-2026-02-27-00000000125C043F57453246863FE664CAFE6A3F0700950291EA24F0614FB6ACEDB12BF0E31D00000000010C0000950291EA24F0614FB6ACEDB12BF0E31D00002087ADF80000</t>
        </is>
      </c>
      <c r="C920" t="inlineStr">
        <is>
          <t>cmm4yuqfc03j5cuqw55mjeltp</t>
        </is>
      </c>
      <c r="D920" t="inlineStr">
        <is>
          <t>http://localhost:8787/api/admin/requirements/documents/cmm4yuqfc03j5cuqw55mjeltp/view</t>
        </is>
      </c>
      <c r="E920">
        <f>HYPERLÄNK("http://localhost:8787/api/admin/requirements/documents/cmm4yuqfc03j5cuqw55mjeltp/view";"Öppna PDF")</f>
        <v/>
      </c>
      <c r="F920">
        <f>HYPERLINK("http://localhost:8787/api/admin/requirements/documents/cmm4yuqfc03j5cuqw55mjeltp/view","Open PDF")</f>
        <v/>
      </c>
      <c r="G920" t="inlineStr">
        <is>
          <t>cmm55w57p0004cuisfrtpqly8</t>
        </is>
      </c>
      <c r="H920" t="inlineStr">
        <is>
          <t>Kompletteringskrav</t>
        </is>
      </c>
      <c r="I920" t="inlineStr">
        <is>
          <t>LagringsvolymTid</t>
        </is>
      </c>
      <c r="J920" t="inlineStr">
        <is>
          <t>Maxmangd</t>
        </is>
      </c>
      <c r="K920" t="inlineStr">
        <is>
          <t>Betongen utgörs av jungfruliga råvaror det vill säga ingen flygaska eller slagg ska ha använts vid framställningen enligt entreprenören (Everettsson Schakt och Transport AB).</t>
        </is>
      </c>
      <c r="L920" t="inlineStr">
        <is>
          <t>Betongen utgörs av jungfruliga råvaror det vill säga ingen flygaska eller slagg ska ha använts vid framställningen enligt entreprenören (Everettsson Schakt och Transport AB).</t>
        </is>
      </c>
      <c r="M920" t="inlineStr">
        <is>
          <t>SKA</t>
        </is>
      </c>
      <c r="N920" t="inlineStr"/>
      <c r="O920" t="inlineStr"/>
      <c r="P920" t="inlineStr"/>
      <c r="Q920" t="inlineStr"/>
      <c r="R920" t="inlineStr">
        <is>
          <t>Alltid</t>
        </is>
      </c>
      <c r="S920" t="inlineStr"/>
      <c r="T920" t="inlineStr">
        <is>
          <t>17 01 01</t>
        </is>
      </c>
      <c r="U920" t="inlineStr"/>
      <c r="V920" t="inlineStr"/>
      <c r="W920" t="inlineStr">
        <is>
          <t>Nej</t>
        </is>
      </c>
      <c r="X920" t="inlineStr">
        <is>
          <t>Nej</t>
        </is>
      </c>
      <c r="Y920" t="inlineStr">
        <is>
          <t>Nej</t>
        </is>
      </c>
      <c r="Z920" t="inlineStr">
        <is>
          <t>Nej</t>
        </is>
      </c>
      <c r="AA920" t="n">
        <v>4</v>
      </c>
      <c r="AB920" t="inlineStr">
        <is>
          <t>Avfallsmangder och lagringstid</t>
        </is>
      </c>
      <c r="AC920" t="inlineStr">
        <is>
          <t>Avfallsforteckning</t>
        </is>
      </c>
      <c r="AD920" t="inlineStr">
        <is>
          <t>Nej</t>
        </is>
      </c>
      <c r="AE920" t="inlineStr">
        <is>
          <t>Nej</t>
        </is>
      </c>
      <c r="AF920" t="inlineStr">
        <is>
          <t>Ej behandlad</t>
        </is>
      </c>
      <c r="AG920" t="inlineStr">
        <is>
          <t>AUTO_GENERERAD. Verifiera citat mot kallfil.</t>
        </is>
      </c>
      <c r="AH920" t="inlineStr">
        <is>
          <t>MEDIUM</t>
        </is>
      </c>
      <c r="AI920" t="inlineStr">
        <is>
          <t>AUTO</t>
        </is>
      </c>
      <c r="AJ920" t="inlineStr">
        <is>
          <t>Nej</t>
        </is>
      </c>
      <c r="AK920" t="inlineStr"/>
      <c r="AL920" t="inlineStr"/>
      <c r="AM920" t="inlineStr"/>
      <c r="AN920" t="inlineStr"/>
      <c r="AO920" t="inlineStr">
        <is>
          <t>cmm4yuqfc03j5cuqw55mjeltp</t>
        </is>
      </c>
      <c r="AP920" t="inlineStr">
        <is>
          <t>http://localhost:8787/api/admin/requirements/documents/cmm4yuqfc03j5cuqw55mjeltp/view</t>
        </is>
      </c>
      <c r="AQ920">
        <f>HYPERLÄNK("http://localhost:8787/api/admin/requirements/documents/cmm4yuqfc03j5cuqw55mjeltp/view";"Öppna PDF")</f>
        <v/>
      </c>
      <c r="AR920">
        <f>HYPERLINK("http://localhost:8787/api/admin/requirements/documents/cmm4yuqfc03j5cuqw55mjeltp/view","Open PDF")</f>
        <v/>
      </c>
      <c r="AS920" t="inlineStr">
        <is>
          <t>cmm55w57p0004cuisfrtpqly8</t>
        </is>
      </c>
      <c r="AT920" t="inlineStr">
        <is>
          <t>cmm4xvu980000cuh4vj0usz09</t>
        </is>
      </c>
      <c r="AU920" t="inlineStr">
        <is>
          <t>-- arlstads</t>
        </is>
      </c>
      <c r="AV920" t="inlineStr">
        <is>
          <t>Kommun</t>
        </is>
      </c>
      <c r="AW920" t="inlineStr">
        <is>
          <t>-- arlstads kommun</t>
        </is>
      </c>
      <c r="AX920" t="inlineStr">
        <is>
          <t>2026-01</t>
        </is>
      </c>
      <c r="AY920" t="inlineStr">
        <is>
          <t>Komplettering</t>
        </is>
      </c>
      <c r="AZ920" t="inlineStr">
        <is>
          <t>2026-02-05</t>
        </is>
      </c>
      <c r="BA920" t="inlineStr">
        <is>
          <t>Per Eriksson Åsen 1 17 Komplettering av anmälan.pdf</t>
        </is>
      </c>
      <c r="BB920" t="inlineStr">
        <is>
          <t>Begäran om utlämnande av allmän handling – Anmälningar och beslut rörande mellanlagring av avfall samt anläggning av ytor</t>
        </is>
      </c>
      <c r="BC920" t="inlineStr">
        <is>
          <t>AUTO</t>
        </is>
      </c>
      <c r="BD920" t="inlineStr"/>
      <c r="BE920" t="inlineStr"/>
      <c r="BF920" t="inlineStr">
        <is>
          <t>AUTO_GENERERAD. Bekrafta metadata mot kallfil.</t>
        </is>
      </c>
      <c r="BG920">
        <f>HYPERLINK("C:\Users\jimmy\Desktop\Examens arbete\Kod\Ny mapp\remix_-copy-of-miljöbeslut.se-portal\Per Eriksson Åsen 1 17 Komplettering av anmälan.pdf", "Öppna PDF")</f>
        <v/>
      </c>
    </row>
    <row r="921">
      <c r="A921" t="inlineStr">
        <is>
          <t>KRAV-AUTO-000920</t>
        </is>
      </c>
      <c r="B921" t="inlineStr">
        <is>
          <t>ADMIN-INDEX-2026-02-27-00000000125C043F57453246863FE664CAFE6A3F0700950291EA24F0614FB6ACEDB12BF0E31D00000000010C0000950291EA24F0614FB6ACEDB12BF0E31D00002087ADF80000</t>
        </is>
      </c>
      <c r="C921" t="inlineStr">
        <is>
          <t>cmm4yuqfc03j5cuqw55mjeltp</t>
        </is>
      </c>
      <c r="D921" t="inlineStr">
        <is>
          <t>http://localhost:8787/api/admin/requirements/documents/cmm4yuqfc03j5cuqw55mjeltp/view</t>
        </is>
      </c>
      <c r="E921">
        <f>HYPERLÄNK("http://localhost:8787/api/admin/requirements/documents/cmm4yuqfc03j5cuqw55mjeltp/view";"Öppna PDF")</f>
        <v/>
      </c>
      <c r="F921">
        <f>HYPERLINK("http://localhost:8787/api/admin/requirements/documents/cmm4yuqfc03j5cuqw55mjeltp/view","Open PDF")</f>
        <v/>
      </c>
      <c r="G921" t="inlineStr">
        <is>
          <t>cmm55w57p0004cuisfrtpqly8</t>
        </is>
      </c>
      <c r="H921" t="inlineStr">
        <is>
          <t>Kompletteringskrav</t>
        </is>
      </c>
      <c r="I921" t="inlineStr">
        <is>
          <t>LagringsvolymTid</t>
        </is>
      </c>
      <c r="J921" t="inlineStr">
        <is>
          <t>Maxmangd</t>
        </is>
      </c>
      <c r="K921" t="inlineStr">
        <is>
          <t>Syfte och beskrivning av verksamheten Per Eriksson önskar använda återvunnet anläggningsmaterial (krossad betong) som del i uppbyggnad i en ny gårdsplan på fastigheten Karlstad Åsen 1:17.</t>
        </is>
      </c>
      <c r="L921" t="inlineStr">
        <is>
          <t>Syfte och beskrivning av verksamheten Per Eriksson önskar använda återvunnet anläggningsmaterial (krossad betong) som del i uppbyggnad i en ny gårdsplan på fastigheten Karlstad Åsen 1:17.</t>
        </is>
      </c>
      <c r="M921" t="inlineStr">
        <is>
          <t>SKA</t>
        </is>
      </c>
      <c r="N921" t="inlineStr"/>
      <c r="O921" t="inlineStr"/>
      <c r="P921" t="inlineStr"/>
      <c r="Q921" t="inlineStr"/>
      <c r="R921" t="inlineStr">
        <is>
          <t>Alltid</t>
        </is>
      </c>
      <c r="S921" t="inlineStr"/>
      <c r="T921" t="inlineStr">
        <is>
          <t>17 01 01</t>
        </is>
      </c>
      <c r="U921" t="inlineStr"/>
      <c r="V921" t="inlineStr"/>
      <c r="W921" t="inlineStr">
        <is>
          <t>Nej</t>
        </is>
      </c>
      <c r="X921" t="inlineStr">
        <is>
          <t>Nej</t>
        </is>
      </c>
      <c r="Y921" t="inlineStr">
        <is>
          <t>Nej</t>
        </is>
      </c>
      <c r="Z921" t="inlineStr">
        <is>
          <t>Nej</t>
        </is>
      </c>
      <c r="AA921" t="n">
        <v>4</v>
      </c>
      <c r="AB921" t="inlineStr">
        <is>
          <t>Avfallsmangder och lagringstid</t>
        </is>
      </c>
      <c r="AC921" t="inlineStr">
        <is>
          <t>Avfallsforteckning</t>
        </is>
      </c>
      <c r="AD921" t="inlineStr">
        <is>
          <t>Nej</t>
        </is>
      </c>
      <c r="AE921" t="inlineStr">
        <is>
          <t>Nej</t>
        </is>
      </c>
      <c r="AF921" t="inlineStr">
        <is>
          <t>Ej behandlad</t>
        </is>
      </c>
      <c r="AG921" t="inlineStr">
        <is>
          <t>AUTO_GENERERAD. Verifiera citat mot kallfil.</t>
        </is>
      </c>
      <c r="AH921" t="inlineStr">
        <is>
          <t>MEDIUM</t>
        </is>
      </c>
      <c r="AI921" t="inlineStr">
        <is>
          <t>AUTO</t>
        </is>
      </c>
      <c r="AJ921" t="inlineStr">
        <is>
          <t>Nej</t>
        </is>
      </c>
      <c r="AK921" t="inlineStr"/>
      <c r="AL921" t="inlineStr"/>
      <c r="AM921" t="inlineStr"/>
      <c r="AN921" t="inlineStr"/>
      <c r="AO921" t="inlineStr">
        <is>
          <t>cmm4yuqfc03j5cuqw55mjeltp</t>
        </is>
      </c>
      <c r="AP921" t="inlineStr">
        <is>
          <t>http://localhost:8787/api/admin/requirements/documents/cmm4yuqfc03j5cuqw55mjeltp/view</t>
        </is>
      </c>
      <c r="AQ921">
        <f>HYPERLÄNK("http://localhost:8787/api/admin/requirements/documents/cmm4yuqfc03j5cuqw55mjeltp/view";"Öppna PDF")</f>
        <v/>
      </c>
      <c r="AR921">
        <f>HYPERLINK("http://localhost:8787/api/admin/requirements/documents/cmm4yuqfc03j5cuqw55mjeltp/view","Open PDF")</f>
        <v/>
      </c>
      <c r="AS921" t="inlineStr">
        <is>
          <t>cmm55w57p0004cuisfrtpqly8</t>
        </is>
      </c>
      <c r="AT921" t="inlineStr">
        <is>
          <t>cmm4xvu980000cuh4vj0usz09</t>
        </is>
      </c>
      <c r="AU921" t="inlineStr">
        <is>
          <t>-- arlstads</t>
        </is>
      </c>
      <c r="AV921" t="inlineStr">
        <is>
          <t>Kommun</t>
        </is>
      </c>
      <c r="AW921" t="inlineStr">
        <is>
          <t>-- arlstads kommun</t>
        </is>
      </c>
      <c r="AX921" t="inlineStr">
        <is>
          <t>2026-01</t>
        </is>
      </c>
      <c r="AY921" t="inlineStr">
        <is>
          <t>Komplettering</t>
        </is>
      </c>
      <c r="AZ921" t="inlineStr">
        <is>
          <t>2026-02-05</t>
        </is>
      </c>
      <c r="BA921" t="inlineStr">
        <is>
          <t>Per Eriksson Åsen 1 17 Komplettering av anmälan.pdf</t>
        </is>
      </c>
      <c r="BB921" t="inlineStr">
        <is>
          <t>Begäran om utlämnande av allmän handling – Anmälningar och beslut rörande mellanlagring av avfall samt anläggning av ytor</t>
        </is>
      </c>
      <c r="BC921" t="inlineStr">
        <is>
          <t>AUTO</t>
        </is>
      </c>
      <c r="BD921" t="inlineStr"/>
      <c r="BE921" t="inlineStr"/>
      <c r="BF921" t="inlineStr">
        <is>
          <t>AUTO_GENERERAD. Bekrafta metadata mot kallfil.</t>
        </is>
      </c>
      <c r="BG921">
        <f>HYPERLINK("C:\Users\jimmy\Desktop\Examens arbete\Kod\Ny mapp\remix_-copy-of-miljöbeslut.se-portal\Per Eriksson Åsen 1 17 Komplettering av anmälan.pdf", "Öppna PDF")</f>
        <v/>
      </c>
    </row>
    <row r="922">
      <c r="A922" t="inlineStr">
        <is>
          <t>KRAV-AUTO-000921</t>
        </is>
      </c>
      <c r="B922" t="inlineStr">
        <is>
          <t>ADMIN-INDEX-2026-02-27-00000000125C043F57453246863FE664CAFE6A3F0700950291EA24F0614FB6ACEDB12BF0E31D00000000010C0000950291EA24F0614FB6ACEDB12BF0E31D00002087ADF20000</t>
        </is>
      </c>
      <c r="C922" t="inlineStr">
        <is>
          <t>cmm4yuqie03m8cuqwivzzhrm8</t>
        </is>
      </c>
      <c r="D922" t="inlineStr">
        <is>
          <t>http://localhost:8787/api/admin/requirements/documents/cmm4yuqie03m8cuqwivzzhrm8/view</t>
        </is>
      </c>
      <c r="E922">
        <f>HYPERLÄNK("http://localhost:8787/api/admin/requirements/documents/cmm4yuqie03m8cuqwivzzhrm8/view";"Öppna PDF")</f>
        <v/>
      </c>
      <c r="F922">
        <f>HYPERLINK("http://localhost:8787/api/admin/requirements/documents/cmm4yuqie03m8cuqwivzzhrm8/view","Open PDF")</f>
        <v/>
      </c>
      <c r="G922" t="inlineStr">
        <is>
          <t>cmm55w57p0004cuisfrtpqly8</t>
        </is>
      </c>
      <c r="H922" t="inlineStr">
        <is>
          <t>Beslutsvillkor</t>
        </is>
      </c>
      <c r="I922" t="inlineStr">
        <is>
          <t>LagringsvolymTid</t>
        </is>
      </c>
      <c r="J922" t="inlineStr">
        <is>
          <t>Maxmangd</t>
        </is>
      </c>
      <c r="K922" t="inlineStr">
        <is>
          <t>Beskrivning av verksamheten Typ av massor som skall användas Mängd i ton Volym i m³ Krossad asfalt Krossad betong Rena schaktmassor sten, lera, matjord, grus eller morän?</t>
        </is>
      </c>
      <c r="L922" t="inlineStr">
        <is>
          <t>Beskrivning av verksamheten Typ av massor som skall användas Mängd i ton Volym i m³ Krossad asfalt Krossad betong Rena schaktmassor sten, lera, matjord, grus eller morän?</t>
        </is>
      </c>
      <c r="M922" t="inlineStr">
        <is>
          <t>SKA</t>
        </is>
      </c>
      <c r="N922" t="inlineStr"/>
      <c r="O922" t="inlineStr"/>
      <c r="P922" t="inlineStr"/>
      <c r="Q922" t="inlineStr"/>
      <c r="R922" t="inlineStr">
        <is>
          <t>Alltid</t>
        </is>
      </c>
      <c r="S922" t="inlineStr"/>
      <c r="T922" t="inlineStr">
        <is>
          <t>0723 78</t>
        </is>
      </c>
      <c r="U922" t="inlineStr"/>
      <c r="V922" t="inlineStr"/>
      <c r="W922" t="inlineStr">
        <is>
          <t>Nej</t>
        </is>
      </c>
      <c r="X922" t="inlineStr">
        <is>
          <t>Nej</t>
        </is>
      </c>
      <c r="Y922" t="inlineStr">
        <is>
          <t>Nej</t>
        </is>
      </c>
      <c r="Z922" t="inlineStr">
        <is>
          <t>Nej</t>
        </is>
      </c>
      <c r="AA922" t="n">
        <v>4</v>
      </c>
      <c r="AB922" t="inlineStr">
        <is>
          <t>Avfallsmangder och lagringstid</t>
        </is>
      </c>
      <c r="AC922" t="inlineStr">
        <is>
          <t>Avfallsforteckning</t>
        </is>
      </c>
      <c r="AD922" t="inlineStr">
        <is>
          <t>Nej</t>
        </is>
      </c>
      <c r="AE922" t="inlineStr">
        <is>
          <t>Nej</t>
        </is>
      </c>
      <c r="AF922" t="inlineStr">
        <is>
          <t>Ej behandlad</t>
        </is>
      </c>
      <c r="AG922" t="inlineStr">
        <is>
          <t>AUTO_GENERERAD. Verifiera citat mot kallfil.</t>
        </is>
      </c>
      <c r="AH922" t="inlineStr">
        <is>
          <t>MEDIUM</t>
        </is>
      </c>
      <c r="AI922" t="inlineStr">
        <is>
          <t>AUTO</t>
        </is>
      </c>
      <c r="AJ922" t="inlineStr">
        <is>
          <t>Nej</t>
        </is>
      </c>
      <c r="AK922" t="inlineStr"/>
      <c r="AL922" t="inlineStr"/>
      <c r="AM922" t="inlineStr"/>
      <c r="AN922" t="inlineStr"/>
      <c r="AO922" t="inlineStr">
        <is>
          <t>cmm4yuqiy03mtcuqwzwa03bvg</t>
        </is>
      </c>
      <c r="AP922" t="inlineStr">
        <is>
          <t>http://localhost:8787/api/admin/requirements/documents/cmm4yuqiy03mtcuqwzwa03bvg/view</t>
        </is>
      </c>
      <c r="AQ922">
        <f>HYPERLÄNK("http://localhost:8787/api/admin/requirements/documents/cmm4yuqiy03mtcuqwzwa03bvg/view";"Öppna PDF")</f>
        <v/>
      </c>
      <c r="AR922">
        <f>HYPERLINK("http://localhost:8787/api/admin/requirements/documents/cmm4yuqiy03mtcuqwzwa03bvg/view","Open PDF")</f>
        <v/>
      </c>
      <c r="AS922" t="inlineStr">
        <is>
          <t>cmm55w57p0004cuisfrtpqly8</t>
        </is>
      </c>
      <c r="AT922" t="inlineStr">
        <is>
          <t>cmm4xvu980000cuh4vj0usz09</t>
        </is>
      </c>
      <c r="AU922" t="inlineStr">
        <is>
          <t>E-POSTADRESS Varbergs</t>
        </is>
      </c>
      <c r="AV922" t="inlineStr">
        <is>
          <t>Kommun</t>
        </is>
      </c>
      <c r="AW922" t="inlineStr">
        <is>
          <t>E-POSTADRESS Varbergs kommun</t>
        </is>
      </c>
      <c r="AX922" t="inlineStr">
        <is>
          <t>2024-1352</t>
        </is>
      </c>
      <c r="AY922" t="inlineStr">
        <is>
          <t>Beslut</t>
        </is>
      </c>
      <c r="AZ922" t="inlineStr">
        <is>
          <t>2026-02-05</t>
        </is>
      </c>
      <c r="BA922" t="inlineStr">
        <is>
          <t>Beslut 2024-1627.pdf</t>
        </is>
      </c>
      <c r="BB922" t="inlineStr">
        <is>
          <t>Sv: till registrator</t>
        </is>
      </c>
      <c r="BC922" t="inlineStr">
        <is>
          <t>AUTO</t>
        </is>
      </c>
      <c r="BD922" t="inlineStr"/>
      <c r="BE922" t="inlineStr"/>
      <c r="BF922" t="inlineStr">
        <is>
          <t>AUTO_GENERERAD. Bekrafta metadata mot kallfil.</t>
        </is>
      </c>
      <c r="BG922">
        <f>HYPERLINK("C:\Users\jimmy\Desktop\Examens arbete\Kod\Ny mapp\remix_-copy-of-miljöbeslut.se-portal\Beslut 2024-1627.pdf", "Öppna PDF")</f>
        <v/>
      </c>
    </row>
    <row r="923">
      <c r="A923" t="inlineStr">
        <is>
          <t>KRAV-AUTO-000922</t>
        </is>
      </c>
      <c r="B923" t="inlineStr">
        <is>
          <t>ADMIN-INDEX-2026-02-27-00000000125C043F57453246863FE664CAFE6A3F0700950291EA24F0614FB6ACEDB12BF0E31D00000000010C0000950291EA24F0614FB6ACEDB12BF0E31D00002087ADF20000</t>
        </is>
      </c>
      <c r="C923" t="inlineStr">
        <is>
          <t>cmm4yuqie03m8cuqwivzzhrm8</t>
        </is>
      </c>
      <c r="D923" t="inlineStr">
        <is>
          <t>http://localhost:8787/api/admin/requirements/documents/cmm4yuqie03m8cuqwivzzhrm8/view</t>
        </is>
      </c>
      <c r="E923">
        <f>HYPERLÄNK("http://localhost:8787/api/admin/requirements/documents/cmm4yuqie03m8cuqwivzzhrm8/view";"Öppna PDF")</f>
        <v/>
      </c>
      <c r="F923">
        <f>HYPERLINK("http://localhost:8787/api/admin/requirements/documents/cmm4yuqie03m8cuqwivzzhrm8/view","Open PDF")</f>
        <v/>
      </c>
      <c r="G923" t="inlineStr">
        <is>
          <t>cmm55w57p0004cuisfrtpqly8</t>
        </is>
      </c>
      <c r="H923" t="inlineStr">
        <is>
          <t>Beslutsvillkor</t>
        </is>
      </c>
      <c r="I923" t="inlineStr">
        <is>
          <t>Riskhantering</t>
        </is>
      </c>
      <c r="J923" t="inlineStr">
        <is>
          <t>Riskkontroll</t>
        </is>
      </c>
      <c r="K923" t="inlineStr">
        <is>
          <t>vattenbrunnar, vattendrag mm obligatorisk Analysresultat Information Verksamheten får påbörjas tidigast sex veckor efter det att anmälan gjorts, om inte miljö- och hälsoskyddsförvaltningen bestämt något annat.</t>
        </is>
      </c>
      <c r="L923" t="inlineStr">
        <is>
          <t>vattenbrunnar, vattendrag mm obligatorisk Analysresultat Information Verksamheten får påbörjas tidigast sex veckor efter det att anmälan gjorts, om inte miljö- och hälsoskyddsförvaltningen bestämt något annat.</t>
        </is>
      </c>
      <c r="M923" t="inlineStr">
        <is>
          <t>BOR</t>
        </is>
      </c>
      <c r="N923" t="inlineStr"/>
      <c r="O923" t="inlineStr"/>
      <c r="P923" t="inlineStr"/>
      <c r="Q923" t="inlineStr"/>
      <c r="R923" t="inlineStr">
        <is>
          <t>Vid risk for incident</t>
        </is>
      </c>
      <c r="S923" t="inlineStr"/>
      <c r="T923" t="inlineStr">
        <is>
          <t>0723 78</t>
        </is>
      </c>
      <c r="U923" t="inlineStr"/>
      <c r="V923" t="inlineStr"/>
      <c r="W923" t="inlineStr">
        <is>
          <t>Nej</t>
        </is>
      </c>
      <c r="X923" t="inlineStr">
        <is>
          <t>Nej</t>
        </is>
      </c>
      <c r="Y923" t="inlineStr">
        <is>
          <t>Ja</t>
        </is>
      </c>
      <c r="Z923" t="inlineStr">
        <is>
          <t>Ja</t>
        </is>
      </c>
      <c r="AA923" t="n">
        <v>8</v>
      </c>
      <c r="AB923" t="inlineStr">
        <is>
          <t>Riskhantering</t>
        </is>
      </c>
      <c r="AC923" t="inlineStr">
        <is>
          <t>Risk-PM</t>
        </is>
      </c>
      <c r="AD923" t="inlineStr">
        <is>
          <t>Nej</t>
        </is>
      </c>
      <c r="AE923" t="inlineStr">
        <is>
          <t>Nej</t>
        </is>
      </c>
      <c r="AF923" t="inlineStr">
        <is>
          <t>Ej behandlad</t>
        </is>
      </c>
      <c r="AG923" t="inlineStr">
        <is>
          <t>AUTO_GENERERAD. Verifiera citat mot kallfil.</t>
        </is>
      </c>
      <c r="AH923" t="inlineStr">
        <is>
          <t>MEDIUM</t>
        </is>
      </c>
      <c r="AI923" t="inlineStr">
        <is>
          <t>AUTO</t>
        </is>
      </c>
      <c r="AJ923" t="inlineStr">
        <is>
          <t>Nej</t>
        </is>
      </c>
      <c r="AK923" t="inlineStr"/>
      <c r="AL923" t="inlineStr"/>
      <c r="AM923" t="inlineStr"/>
      <c r="AN923" t="inlineStr"/>
      <c r="AO923" t="inlineStr">
        <is>
          <t>cmm4yuqiy03mtcuqwzwa03bvg</t>
        </is>
      </c>
      <c r="AP923" t="inlineStr">
        <is>
          <t>http://localhost:8787/api/admin/requirements/documents/cmm4yuqiy03mtcuqwzwa03bvg/view</t>
        </is>
      </c>
      <c r="AQ923">
        <f>HYPERLÄNK("http://localhost:8787/api/admin/requirements/documents/cmm4yuqiy03mtcuqwzwa03bvg/view";"Öppna PDF")</f>
        <v/>
      </c>
      <c r="AR923">
        <f>HYPERLINK("http://localhost:8787/api/admin/requirements/documents/cmm4yuqiy03mtcuqwzwa03bvg/view","Open PDF")</f>
        <v/>
      </c>
      <c r="AS923" t="inlineStr">
        <is>
          <t>cmm55w57p0004cuisfrtpqly8</t>
        </is>
      </c>
      <c r="AT923" t="inlineStr">
        <is>
          <t>cmm4xvu980000cuh4vj0usz09</t>
        </is>
      </c>
      <c r="AU923" t="inlineStr">
        <is>
          <t>E-POSTADRESS Varbergs</t>
        </is>
      </c>
      <c r="AV923" t="inlineStr">
        <is>
          <t>Kommun</t>
        </is>
      </c>
      <c r="AW923" t="inlineStr">
        <is>
          <t>E-POSTADRESS Varbergs kommun</t>
        </is>
      </c>
      <c r="AX923" t="inlineStr">
        <is>
          <t>2024-1352</t>
        </is>
      </c>
      <c r="AY923" t="inlineStr">
        <is>
          <t>Beslut</t>
        </is>
      </c>
      <c r="AZ923" t="inlineStr">
        <is>
          <t>2026-02-05</t>
        </is>
      </c>
      <c r="BA923" t="inlineStr">
        <is>
          <t>Beslut 2024-1627.pdf</t>
        </is>
      </c>
      <c r="BB923" t="inlineStr">
        <is>
          <t>Sv: till registrator</t>
        </is>
      </c>
      <c r="BC923" t="inlineStr">
        <is>
          <t>AUTO</t>
        </is>
      </c>
      <c r="BD923" t="inlineStr"/>
      <c r="BE923" t="inlineStr"/>
      <c r="BF923" t="inlineStr">
        <is>
          <t>AUTO_GENERERAD. Bekrafta metadata mot kallfil.</t>
        </is>
      </c>
      <c r="BG923">
        <f>HYPERLINK("C:\Users\jimmy\Desktop\Examens arbete\Kod\Ny mapp\remix_-copy-of-miljöbeslut.se-portal\Beslut 2024-1627.pdf", "Öppna PDF")</f>
        <v/>
      </c>
    </row>
    <row r="924">
      <c r="A924" t="inlineStr">
        <is>
          <t>KRAV-AUTO-000923</t>
        </is>
      </c>
      <c r="B924" t="inlineStr">
        <is>
          <t>ADMIN-INDEX-2026-02-27-00000000125C043F57453246863FE664CAFE6A3F0700950291EA24F0614FB6ACEDB12BF0E31D00000000010C0000950291EA24F0614FB6ACEDB12BF0E31D00002087ADF30000</t>
        </is>
      </c>
      <c r="C924" t="inlineStr">
        <is>
          <t>cmm4yuqi703m2cuqwbqio66bx</t>
        </is>
      </c>
      <c r="D924" t="inlineStr">
        <is>
          <t>http://localhost:8787/api/admin/requirements/documents/cmm4yuqi703m2cuqwbqio66bx/view</t>
        </is>
      </c>
      <c r="E924">
        <f>HYPERLÄNK("http://localhost:8787/api/admin/requirements/documents/cmm4yuqi703m2cuqwbqio66bx/view";"Öppna PDF")</f>
        <v/>
      </c>
      <c r="F924">
        <f>HYPERLINK("http://localhost:8787/api/admin/requirements/documents/cmm4yuqi703m2cuqwbqio66bx/view","Open PDF")</f>
        <v/>
      </c>
      <c r="G924" t="inlineStr">
        <is>
          <t>cmm55w57p0004cuisfrtpqly8</t>
        </is>
      </c>
      <c r="H924" t="inlineStr">
        <is>
          <t>Beslutsvillkor</t>
        </is>
      </c>
      <c r="I924" t="inlineStr">
        <is>
          <t>LagringsvolymTid</t>
        </is>
      </c>
      <c r="J924" t="inlineStr">
        <is>
          <t>Maxmangd</t>
        </is>
      </c>
      <c r="K924" t="inlineStr">
        <is>
          <t>Om mängden avfall som ska avvattnas övergår 2000 ton så gäller tillståndsplikt B och verksamhetskod 90.420.</t>
        </is>
      </c>
      <c r="L924" t="inlineStr">
        <is>
          <t>Om mängden avfall som ska avvattnas övergår 2000 ton så gäller tillståndsplikt B och verksamhetskod 90.420.</t>
        </is>
      </c>
      <c r="M924" t="inlineStr">
        <is>
          <t>SKA</t>
        </is>
      </c>
      <c r="N924" t="inlineStr"/>
      <c r="O924" t="inlineStr"/>
      <c r="P924" t="inlineStr"/>
      <c r="Q924" t="inlineStr"/>
      <c r="R924" t="inlineStr">
        <is>
          <t>Alltid</t>
        </is>
      </c>
      <c r="S924" t="inlineStr"/>
      <c r="T924" t="inlineStr">
        <is>
          <t>2024 10</t>
        </is>
      </c>
      <c r="U924" t="n">
        <v>2000</v>
      </c>
      <c r="V924" t="inlineStr"/>
      <c r="W924" t="inlineStr">
        <is>
          <t>Nej</t>
        </is>
      </c>
      <c r="X924" t="inlineStr">
        <is>
          <t>Nej</t>
        </is>
      </c>
      <c r="Y924" t="inlineStr">
        <is>
          <t>Nej</t>
        </is>
      </c>
      <c r="Z924" t="inlineStr">
        <is>
          <t>Nej</t>
        </is>
      </c>
      <c r="AA924" t="n">
        <v>4</v>
      </c>
      <c r="AB924" t="inlineStr">
        <is>
          <t>Avfallsmangder och lagringstid</t>
        </is>
      </c>
      <c r="AC924" t="inlineStr">
        <is>
          <t>Avfallsforteckning</t>
        </is>
      </c>
      <c r="AD924" t="inlineStr">
        <is>
          <t>Nej</t>
        </is>
      </c>
      <c r="AE924" t="inlineStr">
        <is>
          <t>Nej</t>
        </is>
      </c>
      <c r="AF924" t="inlineStr">
        <is>
          <t>Ej behandlad</t>
        </is>
      </c>
      <c r="AG924" t="inlineStr">
        <is>
          <t>AUTO_GENERERAD. Verifiera citat mot kallfil.</t>
        </is>
      </c>
      <c r="AH924" t="inlineStr">
        <is>
          <t>MEDIUM</t>
        </is>
      </c>
      <c r="AI924" t="inlineStr">
        <is>
          <t>AUTO</t>
        </is>
      </c>
      <c r="AJ924" t="inlineStr">
        <is>
          <t>Nej</t>
        </is>
      </c>
      <c r="AK924" t="inlineStr"/>
      <c r="AL924" t="inlineStr"/>
      <c r="AM924" t="inlineStr"/>
      <c r="AN924" t="inlineStr"/>
      <c r="AO924" t="inlineStr">
        <is>
          <t>cmm4yuqhc03l8cuqwfjrfoy1e</t>
        </is>
      </c>
      <c r="AP924" t="inlineStr">
        <is>
          <t>http://localhost:8787/api/admin/requirements/documents/cmm4yuqhc03l8cuqwfjrfoy1e/view</t>
        </is>
      </c>
      <c r="AQ924">
        <f>HYPERLÄNK("http://localhost:8787/api/admin/requirements/documents/cmm4yuqhc03l8cuqwfjrfoy1e/view";"Öppna PDF")</f>
        <v/>
      </c>
      <c r="AR924">
        <f>HYPERLINK("http://localhost:8787/api/admin/requirements/documents/cmm4yuqhc03l8cuqwfjrfoy1e/view","Open PDF")</f>
        <v/>
      </c>
      <c r="AS924" t="inlineStr">
        <is>
          <t>cmm55w57p0004cuisfrtpqly8</t>
        </is>
      </c>
      <c r="AT924" t="inlineStr">
        <is>
          <t>cmm4xvu980000cuh4vj0usz09</t>
        </is>
      </c>
      <c r="AU924" t="inlineStr"/>
      <c r="AV924" t="inlineStr">
        <is>
          <t>Kommun</t>
        </is>
      </c>
      <c r="AW924" t="inlineStr"/>
      <c r="AX924" t="inlineStr">
        <is>
          <t>2025-10</t>
        </is>
      </c>
      <c r="AY924" t="inlineStr">
        <is>
          <t>Beslut</t>
        </is>
      </c>
      <c r="AZ924" t="inlineStr">
        <is>
          <t>2026-02-05</t>
        </is>
      </c>
      <c r="BA924" t="inlineStr">
        <is>
          <t>251021-MMAVANLAN-CD02 2025-3268.pdf</t>
        </is>
      </c>
      <c r="BB924" t="inlineStr">
        <is>
          <t>Sv: till registrator</t>
        </is>
      </c>
      <c r="BC924" t="inlineStr">
        <is>
          <t>AUTO</t>
        </is>
      </c>
      <c r="BD924" t="inlineStr"/>
      <c r="BE924" t="inlineStr"/>
      <c r="BF924" t="inlineStr">
        <is>
          <t>AUTO_GENERERAD. Bekrafta metadata mot kallfil.</t>
        </is>
      </c>
      <c r="BG924">
        <f>HYPERLINK("C:\Users\jimmy\Desktop\Examens arbete\Kod\Ny mapp\remix_-copy-of-miljöbeslut.se-portal\251021-MMAVANLAN-CD02 2025-3268.pdf", "Öppna PDF")</f>
        <v/>
      </c>
    </row>
    <row r="925">
      <c r="A925" t="inlineStr">
        <is>
          <t>KRAV-AUTO-000924</t>
        </is>
      </c>
      <c r="B925" t="inlineStr">
        <is>
          <t>ADMIN-INDEX-2026-02-27-00000000125C043F57453246863FE664CAFE6A3F0700950291EA24F0614FB6ACEDB12BF0E31D00000000010C0000950291EA24F0614FB6ACEDB12BF0E31D00002087AE550000</t>
        </is>
      </c>
      <c r="C925" t="inlineStr">
        <is>
          <t>cmm4yupt802y5cuqwaavsbb8v</t>
        </is>
      </c>
      <c r="D925" t="inlineStr">
        <is>
          <t>http://localhost:8787/api/admin/requirements/documents/cmm4yupt802y5cuqwaavsbb8v/view</t>
        </is>
      </c>
      <c r="E925">
        <f>HYPERLÄNK("http://localhost:8787/api/admin/requirements/documents/cmm4yupt802y5cuqwaavsbb8v/view";"Öppna PDF")</f>
        <v/>
      </c>
      <c r="F925">
        <f>HYPERLINK("http://localhost:8787/api/admin/requirements/documents/cmm4yupt802y5cuqwaavsbb8v/view","Open PDF")</f>
        <v/>
      </c>
      <c r="G925" t="inlineStr">
        <is>
          <t>cmm55w57p0004cuisfrtpqly8</t>
        </is>
      </c>
      <c r="H925" t="inlineStr">
        <is>
          <t>Informationskrav</t>
        </is>
      </c>
      <c r="I925" t="inlineStr">
        <is>
          <t>DagvattenLakvatten</t>
        </is>
      </c>
      <c r="J925" t="inlineStr">
        <is>
          <t>Uppsamling</t>
        </is>
      </c>
      <c r="K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925" t="inlineStr">
        <is>
          <t>SKA</t>
        </is>
      </c>
      <c r="N925" t="inlineStr">
        <is>
          <t>FMH</t>
        </is>
      </c>
      <c r="O925" t="inlineStr"/>
      <c r="P925" t="inlineStr">
        <is>
          <t>Arlig</t>
        </is>
      </c>
      <c r="Q925" t="inlineStr"/>
      <c r="R925" t="inlineStr">
        <is>
          <t>Vid nederbord och avrinning</t>
        </is>
      </c>
      <c r="S925" t="inlineStr"/>
      <c r="T925" t="inlineStr"/>
      <c r="U925" t="inlineStr"/>
      <c r="V925" t="inlineStr"/>
      <c r="W925" t="inlineStr">
        <is>
          <t>Nej</t>
        </is>
      </c>
      <c r="X925" t="inlineStr">
        <is>
          <t>Ja</t>
        </is>
      </c>
      <c r="Y925" t="inlineStr">
        <is>
          <t>Ja</t>
        </is>
      </c>
      <c r="Z925" t="inlineStr">
        <is>
          <t>Nej</t>
        </is>
      </c>
      <c r="AA925" t="n">
        <v>6</v>
      </c>
      <c r="AB925" t="inlineStr">
        <is>
          <t>Lakvattenhantering</t>
        </is>
      </c>
      <c r="AC925" t="inlineStr">
        <is>
          <t>Flodesschema dagvatten-lakvatten</t>
        </is>
      </c>
      <c r="AD925" t="inlineStr">
        <is>
          <t>Nej</t>
        </is>
      </c>
      <c r="AE925" t="inlineStr">
        <is>
          <t>Nej</t>
        </is>
      </c>
      <c r="AF925" t="inlineStr">
        <is>
          <t>Ej behandlad</t>
        </is>
      </c>
      <c r="AG925" t="inlineStr">
        <is>
          <t>AUTO_GENERERAD. Verifiera citat mot kallfil.</t>
        </is>
      </c>
      <c r="AH925" t="inlineStr">
        <is>
          <t>HIGH</t>
        </is>
      </c>
      <c r="AI925" t="inlineStr">
        <is>
          <t>AUTO</t>
        </is>
      </c>
      <c r="AJ925" t="inlineStr">
        <is>
          <t>Nej</t>
        </is>
      </c>
      <c r="AK925" t="inlineStr"/>
      <c r="AL925" t="inlineStr"/>
      <c r="AM925" t="inlineStr"/>
      <c r="AN925" t="inlineStr"/>
      <c r="AO925" t="inlineStr">
        <is>
          <t>cmm4yupu002yzcuqw92mpgtbw</t>
        </is>
      </c>
      <c r="AP925" t="inlineStr">
        <is>
          <t>http://localhost:8787/api/admin/requirements/documents/cmm4yupu002yzcuqw92mpgtbw/view</t>
        </is>
      </c>
      <c r="AQ925">
        <f>HYPERLÄNK("http://localhost:8787/api/admin/requirements/documents/cmm4yupu002yzcuqw92mpgtbw/view";"Öppna PDF")</f>
        <v/>
      </c>
      <c r="AR925">
        <f>HYPERLINK("http://localhost:8787/api/admin/requirements/documents/cmm4yupu002yzcuqw92mpgtbw/view","Open PDF")</f>
        <v/>
      </c>
      <c r="AS925" t="inlineStr">
        <is>
          <t>cmm55w57p0004cuisfrtpqly8</t>
        </is>
      </c>
      <c r="AT925" t="inlineStr">
        <is>
          <t>cmm4xvu980000cuh4vj0usz09</t>
        </is>
      </c>
      <c r="AU925" t="inlineStr"/>
      <c r="AV925" t="inlineStr">
        <is>
          <t>Kommun</t>
        </is>
      </c>
      <c r="AW925" t="inlineStr"/>
      <c r="AX925" t="inlineStr">
        <is>
          <t>2024-576</t>
        </is>
      </c>
      <c r="AY925" t="inlineStr">
        <is>
          <t>Beslut</t>
        </is>
      </c>
      <c r="AZ925" t="inlineStr">
        <is>
          <t>2026-02-04</t>
        </is>
      </c>
      <c r="BA925" t="inlineStr">
        <is>
          <t>Säkerhetsdatablad Sonax Gloss Dryer.pdf</t>
        </is>
      </c>
      <c r="BB925" t="inlineStr">
        <is>
          <t>2024-576</t>
        </is>
      </c>
      <c r="BC925" t="inlineStr">
        <is>
          <t>AUTO</t>
        </is>
      </c>
      <c r="BD925" t="inlineStr"/>
      <c r="BE925" t="inlineStr"/>
      <c r="BF925" t="inlineStr">
        <is>
          <t>AUTO_GENERERAD. Bekrafta metadata mot kallfil.</t>
        </is>
      </c>
      <c r="BG925">
        <f>HYPERLINK("C:\Users\jimmy\Desktop\Examens arbete\Kod\Ny mapp\remix_-copy-of-miljöbeslut.se-portal\Säkerhetsdatablad Sonax Gloss Dryer.pdf", "Öppna PDF")</f>
        <v/>
      </c>
    </row>
    <row r="926">
      <c r="A926" t="inlineStr">
        <is>
          <t>KRAV-AUTO-000925</t>
        </is>
      </c>
      <c r="B926" t="inlineStr">
        <is>
          <t>ADMIN-INDEX-2026-02-27-00000000125C043F57453246863FE664CAFE6A3F0700950291EA24F0614FB6ACEDB12BF0E31D00000000010C0000950291EA24F0614FB6ACEDB12BF0E31D00002087AE550000</t>
        </is>
      </c>
      <c r="C926" t="inlineStr">
        <is>
          <t>cmm4yupt802y5cuqwaavsbb8v</t>
        </is>
      </c>
      <c r="D926" t="inlineStr">
        <is>
          <t>http://localhost:8787/api/admin/requirements/documents/cmm4yupt802y5cuqwaavsbb8v/view</t>
        </is>
      </c>
      <c r="E926">
        <f>HYPERLÄNK("http://localhost:8787/api/admin/requirements/documents/cmm4yupt802y5cuqwaavsbb8v/view";"Öppna PDF")</f>
        <v/>
      </c>
      <c r="F926">
        <f>HYPERLINK("http://localhost:8787/api/admin/requirements/documents/cmm4yupt802y5cuqwaavsbb8v/view","Open PDF")</f>
        <v/>
      </c>
      <c r="G926" t="inlineStr">
        <is>
          <t>cmm55w57p0004cuisfrtpqly8</t>
        </is>
      </c>
      <c r="H926" t="inlineStr">
        <is>
          <t>Informationskrav</t>
        </is>
      </c>
      <c r="I926" t="inlineStr">
        <is>
          <t>DagvattenLakvatten</t>
        </is>
      </c>
      <c r="J926" t="inlineStr">
        <is>
          <t>Uppsamling</t>
        </is>
      </c>
      <c r="K926" t="inlineStr">
        <is>
          <t>☐ Ja ☐ Nej Från vilka processer förekommer spillvatten (ej WC, kök m.m.) Ange flöden, utsläppspunkter och uppskattade vattenföroreningsmängder (kan bifogas som bilaga.</t>
        </is>
      </c>
      <c r="L926" t="inlineStr">
        <is>
          <t>☐ Ja ☐ Nej Från vilka processer förekommer spillvatten (ej WC, kök m.m.) Ange flöden, utsläppspunkter och uppskattade vattenföroreningsmängder (kan bifogas som bilaga.</t>
        </is>
      </c>
      <c r="M926" t="inlineStr">
        <is>
          <t>SKA</t>
        </is>
      </c>
      <c r="N926" t="inlineStr"/>
      <c r="O926" t="inlineStr"/>
      <c r="P926" t="inlineStr"/>
      <c r="Q926" t="inlineStr"/>
      <c r="R926" t="inlineStr">
        <is>
          <t>Vid nederbord och avrinning</t>
        </is>
      </c>
      <c r="S926" t="inlineStr"/>
      <c r="T926" t="inlineStr"/>
      <c r="U926" t="inlineStr"/>
      <c r="V926" t="inlineStr"/>
      <c r="W926" t="inlineStr">
        <is>
          <t>Nej</t>
        </is>
      </c>
      <c r="X926" t="inlineStr">
        <is>
          <t>Ja</t>
        </is>
      </c>
      <c r="Y926" t="inlineStr">
        <is>
          <t>Ja</t>
        </is>
      </c>
      <c r="Z926" t="inlineStr">
        <is>
          <t>Nej</t>
        </is>
      </c>
      <c r="AA926" t="n">
        <v>6</v>
      </c>
      <c r="AB926" t="inlineStr">
        <is>
          <t>Lakvattenhantering</t>
        </is>
      </c>
      <c r="AC926" t="inlineStr">
        <is>
          <t>Flodesschema dagvatten-lakvatten</t>
        </is>
      </c>
      <c r="AD926" t="inlineStr">
        <is>
          <t>Nej</t>
        </is>
      </c>
      <c r="AE926" t="inlineStr">
        <is>
          <t>Nej</t>
        </is>
      </c>
      <c r="AF926" t="inlineStr">
        <is>
          <t>Ej behandlad</t>
        </is>
      </c>
      <c r="AG926" t="inlineStr">
        <is>
          <t>AUTO_GENERERAD. Verifiera citat mot kallfil.</t>
        </is>
      </c>
      <c r="AH926" t="inlineStr">
        <is>
          <t>MEDIUM</t>
        </is>
      </c>
      <c r="AI926" t="inlineStr">
        <is>
          <t>AUTO</t>
        </is>
      </c>
      <c r="AJ926" t="inlineStr">
        <is>
          <t>Nej</t>
        </is>
      </c>
      <c r="AK926" t="inlineStr"/>
      <c r="AL926" t="inlineStr"/>
      <c r="AM926" t="inlineStr"/>
      <c r="AN926" t="inlineStr"/>
      <c r="AO926" t="inlineStr">
        <is>
          <t>cmm4yupu002yzcuqw92mpgtbw</t>
        </is>
      </c>
      <c r="AP926" t="inlineStr">
        <is>
          <t>http://localhost:8787/api/admin/requirements/documents/cmm4yupu002yzcuqw92mpgtbw/view</t>
        </is>
      </c>
      <c r="AQ926">
        <f>HYPERLÄNK("http://localhost:8787/api/admin/requirements/documents/cmm4yupu002yzcuqw92mpgtbw/view";"Öppna PDF")</f>
        <v/>
      </c>
      <c r="AR926">
        <f>HYPERLINK("http://localhost:8787/api/admin/requirements/documents/cmm4yupu002yzcuqw92mpgtbw/view","Open PDF")</f>
        <v/>
      </c>
      <c r="AS926" t="inlineStr">
        <is>
          <t>cmm55w57p0004cuisfrtpqly8</t>
        </is>
      </c>
      <c r="AT926" t="inlineStr">
        <is>
          <t>cmm4xvu980000cuh4vj0usz09</t>
        </is>
      </c>
      <c r="AU926" t="inlineStr"/>
      <c r="AV926" t="inlineStr">
        <is>
          <t>Kommun</t>
        </is>
      </c>
      <c r="AW926" t="inlineStr"/>
      <c r="AX926" t="inlineStr">
        <is>
          <t>2024-576</t>
        </is>
      </c>
      <c r="AY926" t="inlineStr">
        <is>
          <t>Beslut</t>
        </is>
      </c>
      <c r="AZ926" t="inlineStr">
        <is>
          <t>2026-02-04</t>
        </is>
      </c>
      <c r="BA926" t="inlineStr">
        <is>
          <t>Säkerhetsdatablad Sonax Gloss Dryer.pdf</t>
        </is>
      </c>
      <c r="BB926" t="inlineStr">
        <is>
          <t>2024-576</t>
        </is>
      </c>
      <c r="BC926" t="inlineStr">
        <is>
          <t>AUTO</t>
        </is>
      </c>
      <c r="BD926" t="inlineStr"/>
      <c r="BE926" t="inlineStr"/>
      <c r="BF926" t="inlineStr">
        <is>
          <t>AUTO_GENERERAD. Bekrafta metadata mot kallfil.</t>
        </is>
      </c>
      <c r="BG926">
        <f>HYPERLINK("C:\Users\jimmy\Desktop\Examens arbete\Kod\Ny mapp\remix_-copy-of-miljöbeslut.se-portal\Säkerhetsdatablad Sonax Gloss Dryer.pdf", "Öppna PDF")</f>
        <v/>
      </c>
    </row>
    <row r="927">
      <c r="A927" t="inlineStr">
        <is>
          <t>KRAV-AUTO-000926</t>
        </is>
      </c>
      <c r="B927" t="inlineStr">
        <is>
          <t>ADMIN-INDEX-2026-02-27-00000000125C043F57453246863FE664CAFE6A3F0700950291EA24F0614FB6ACEDB12BF0E31D00000000010C0000950291EA24F0614FB6ACEDB12BF0E31D00002087AE550000</t>
        </is>
      </c>
      <c r="C927" t="inlineStr">
        <is>
          <t>cmm4yupt802y5cuqwaavsbb8v</t>
        </is>
      </c>
      <c r="D927" t="inlineStr">
        <is>
          <t>http://localhost:8787/api/admin/requirements/documents/cmm4yupt802y5cuqwaavsbb8v/view</t>
        </is>
      </c>
      <c r="E927">
        <f>HYPERLÄNK("http://localhost:8787/api/admin/requirements/documents/cmm4yupt802y5cuqwaavsbb8v/view";"Öppna PDF")</f>
        <v/>
      </c>
      <c r="F927">
        <f>HYPERLINK("http://localhost:8787/api/admin/requirements/documents/cmm4yupt802y5cuqwaavsbb8v/view","Open PDF")</f>
        <v/>
      </c>
      <c r="G927" t="inlineStr">
        <is>
          <t>cmm55w57p0004cuisfrtpqly8</t>
        </is>
      </c>
      <c r="H927" t="inlineStr">
        <is>
          <t>Informationskrav</t>
        </is>
      </c>
      <c r="I927" t="inlineStr">
        <is>
          <t>DagvattenLakvatten</t>
        </is>
      </c>
      <c r="J927" t="inlineStr">
        <is>
          <t>Uppsamling</t>
        </is>
      </c>
      <c r="K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927" t="inlineStr">
        <is>
          <t>SKA</t>
        </is>
      </c>
      <c r="N927" t="inlineStr">
        <is>
          <t>FMH</t>
        </is>
      </c>
      <c r="O927" t="inlineStr"/>
      <c r="P927" t="inlineStr">
        <is>
          <t>Arlig</t>
        </is>
      </c>
      <c r="Q927" t="inlineStr"/>
      <c r="R927" t="inlineStr">
        <is>
          <t>Vid nederbord och avrinning</t>
        </is>
      </c>
      <c r="S927" t="inlineStr"/>
      <c r="T927" t="inlineStr"/>
      <c r="U927" t="inlineStr"/>
      <c r="V927" t="inlineStr"/>
      <c r="W927" t="inlineStr">
        <is>
          <t>Nej</t>
        </is>
      </c>
      <c r="X927" t="inlineStr">
        <is>
          <t>Ja</t>
        </is>
      </c>
      <c r="Y927" t="inlineStr">
        <is>
          <t>Ja</t>
        </is>
      </c>
      <c r="Z927" t="inlineStr">
        <is>
          <t>Nej</t>
        </is>
      </c>
      <c r="AA927" t="n">
        <v>6</v>
      </c>
      <c r="AB927" t="inlineStr">
        <is>
          <t>Lakvattenhantering</t>
        </is>
      </c>
      <c r="AC927" t="inlineStr">
        <is>
          <t>Flodesschema dagvatten-lakvatten</t>
        </is>
      </c>
      <c r="AD927" t="inlineStr">
        <is>
          <t>Nej</t>
        </is>
      </c>
      <c r="AE927" t="inlineStr">
        <is>
          <t>Nej</t>
        </is>
      </c>
      <c r="AF927" t="inlineStr">
        <is>
          <t>Ej behandlad</t>
        </is>
      </c>
      <c r="AG927" t="inlineStr">
        <is>
          <t>AUTO_GENERERAD. Verifiera citat mot kallfil.</t>
        </is>
      </c>
      <c r="AH927" t="inlineStr">
        <is>
          <t>HIGH</t>
        </is>
      </c>
      <c r="AI927" t="inlineStr">
        <is>
          <t>AUTO</t>
        </is>
      </c>
      <c r="AJ927" t="inlineStr">
        <is>
          <t>Nej</t>
        </is>
      </c>
      <c r="AK927" t="inlineStr"/>
      <c r="AL927" t="inlineStr"/>
      <c r="AM927" t="inlineStr"/>
      <c r="AN927" t="inlineStr"/>
      <c r="AO927" t="inlineStr">
        <is>
          <t>cmm4yupu002yzcuqw92mpgtbw</t>
        </is>
      </c>
      <c r="AP927" t="inlineStr">
        <is>
          <t>http://localhost:8787/api/admin/requirements/documents/cmm4yupu002yzcuqw92mpgtbw/view</t>
        </is>
      </c>
      <c r="AQ927">
        <f>HYPERLÄNK("http://localhost:8787/api/admin/requirements/documents/cmm4yupu002yzcuqw92mpgtbw/view";"Öppna PDF")</f>
        <v/>
      </c>
      <c r="AR927">
        <f>HYPERLINK("http://localhost:8787/api/admin/requirements/documents/cmm4yupu002yzcuqw92mpgtbw/view","Open PDF")</f>
        <v/>
      </c>
      <c r="AS927" t="inlineStr">
        <is>
          <t>cmm55w57p0004cuisfrtpqly8</t>
        </is>
      </c>
      <c r="AT927" t="inlineStr">
        <is>
          <t>cmm4xvu980000cuh4vj0usz09</t>
        </is>
      </c>
      <c r="AU927" t="inlineStr"/>
      <c r="AV927" t="inlineStr">
        <is>
          <t>Kommun</t>
        </is>
      </c>
      <c r="AW927" t="inlineStr"/>
      <c r="AX927" t="inlineStr">
        <is>
          <t>2024-576</t>
        </is>
      </c>
      <c r="AY927" t="inlineStr">
        <is>
          <t>Beslut</t>
        </is>
      </c>
      <c r="AZ927" t="inlineStr">
        <is>
          <t>2026-02-04</t>
        </is>
      </c>
      <c r="BA927" t="inlineStr">
        <is>
          <t>Säkerhetsdatablad Sonax Gloss Dryer.pdf</t>
        </is>
      </c>
      <c r="BB927" t="inlineStr">
        <is>
          <t>2024-576</t>
        </is>
      </c>
      <c r="BC927" t="inlineStr">
        <is>
          <t>AUTO</t>
        </is>
      </c>
      <c r="BD927" t="inlineStr"/>
      <c r="BE927" t="inlineStr"/>
      <c r="BF927" t="inlineStr">
        <is>
          <t>AUTO_GENERERAD. Bekrafta metadata mot kallfil.</t>
        </is>
      </c>
      <c r="BG927">
        <f>HYPERLINK("C:\Users\jimmy\Desktop\Examens arbete\Kod\Ny mapp\remix_-copy-of-miljöbeslut.se-portal\Säkerhetsdatablad Sonax Gloss Dryer.pdf", "Öppna PDF")</f>
        <v/>
      </c>
    </row>
    <row r="928">
      <c r="A928" t="inlineStr">
        <is>
          <t>KRAV-AUTO-000927</t>
        </is>
      </c>
      <c r="B928" t="inlineStr">
        <is>
          <t>ADMIN-INDEX-2026-02-27-00000000125C043F57453246863FE664CAFE6A3F0700950291EA24F0614FB6ACEDB12BF0E31D00000000010C0000950291EA24F0614FB6ACEDB12BF0E31D00002087ADFB0000</t>
        </is>
      </c>
      <c r="C928" t="inlineStr">
        <is>
          <t>cmm4yuqel03iecuqwn04v258w</t>
        </is>
      </c>
      <c r="D928" t="inlineStr">
        <is>
          <t>http://localhost:8787/api/admin/requirements/documents/cmm4yuqel03iecuqwn04v258w/view</t>
        </is>
      </c>
      <c r="E928">
        <f>HYPERLÄNK("http://localhost:8787/api/admin/requirements/documents/cmm4yuqel03iecuqwn04v258w/view";"Öppna PDF")</f>
        <v/>
      </c>
      <c r="F928">
        <f>HYPERLINK("http://localhost:8787/api/admin/requirements/documents/cmm4yuqel03iecuqwn04v258w/view","Open PDF")</f>
        <v/>
      </c>
      <c r="G928" t="inlineStr">
        <is>
          <t>cmm55w57p0004cuisfrtpqly8</t>
        </is>
      </c>
      <c r="H928" t="inlineStr">
        <is>
          <t>Informationskrav</t>
        </is>
      </c>
      <c r="I928" t="inlineStr">
        <is>
          <t>LagringsvolymTid</t>
        </is>
      </c>
      <c r="J928" t="inlineStr">
        <is>
          <t>Maxmangd</t>
        </is>
      </c>
      <c r="K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avfall ska anmälas till miljöförvaltningen om du tänker lagra det farliga avfallet som en del av att samla in det, om mängden vid något tillfälle är 1.</t>
        </is>
      </c>
      <c r="L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t>
        </is>
      </c>
      <c r="M928" t="inlineStr">
        <is>
          <t>SKA</t>
        </is>
      </c>
      <c r="N928" t="inlineStr"/>
      <c r="O928" t="inlineStr">
        <is>
          <t>2024-02-22</t>
        </is>
      </c>
      <c r="P928" t="inlineStr">
        <is>
          <t>Arlig</t>
        </is>
      </c>
      <c r="Q928" t="inlineStr"/>
      <c r="R928" t="inlineStr">
        <is>
          <t>Alltid</t>
        </is>
      </c>
      <c r="S928" t="inlineStr"/>
      <c r="T928" t="inlineStr">
        <is>
          <t>202100</t>
        </is>
      </c>
      <c r="U928" t="inlineStr"/>
      <c r="V928" t="inlineStr"/>
      <c r="W928" t="inlineStr">
        <is>
          <t>Nej</t>
        </is>
      </c>
      <c r="X928" t="inlineStr">
        <is>
          <t>Nej</t>
        </is>
      </c>
      <c r="Y928" t="inlineStr">
        <is>
          <t>Nej</t>
        </is>
      </c>
      <c r="Z928" t="inlineStr">
        <is>
          <t>Nej</t>
        </is>
      </c>
      <c r="AA928" t="n">
        <v>4</v>
      </c>
      <c r="AB928" t="inlineStr">
        <is>
          <t>Avfallsmangder och lagringstid</t>
        </is>
      </c>
      <c r="AC928" t="inlineStr">
        <is>
          <t>Avfallsforteckning</t>
        </is>
      </c>
      <c r="AD928" t="inlineStr">
        <is>
          <t>Nej</t>
        </is>
      </c>
      <c r="AE928" t="inlineStr">
        <is>
          <t>Nej</t>
        </is>
      </c>
      <c r="AF928" t="inlineStr">
        <is>
          <t>Ej behandlad</t>
        </is>
      </c>
      <c r="AG928" t="inlineStr">
        <is>
          <t>AUTO_GENERERAD. Verifiera citat mot kallfil.</t>
        </is>
      </c>
      <c r="AH928" t="inlineStr">
        <is>
          <t>MEDIUM</t>
        </is>
      </c>
      <c r="AI928" t="inlineStr">
        <is>
          <t>AUTO</t>
        </is>
      </c>
      <c r="AJ928" t="inlineStr">
        <is>
          <t>Nej</t>
        </is>
      </c>
      <c r="AK928" t="inlineStr"/>
      <c r="AL928" t="inlineStr"/>
      <c r="AM928" t="inlineStr"/>
      <c r="AN928" t="inlineStr"/>
      <c r="AO928" t="inlineStr">
        <is>
          <t>cmm4yuqej03ibcuqw3s2t4bqi</t>
        </is>
      </c>
      <c r="AP928" t="inlineStr">
        <is>
          <t>http://localhost:8787/api/admin/requirements/documents/cmm4yuqej03ibcuqw3s2t4bqi/view</t>
        </is>
      </c>
      <c r="AQ928">
        <f>HYPERLÄNK("http://localhost:8787/api/admin/requirements/documents/cmm4yuqej03ibcuqw3s2t4bqi/view";"Öppna PDF")</f>
        <v/>
      </c>
      <c r="AR928">
        <f>HYPERLINK("http://localhost:8787/api/admin/requirements/documents/cmm4yuqej03ibcuqw3s2t4bqi/view","Open PDF")</f>
        <v/>
      </c>
      <c r="AS928" t="inlineStr">
        <is>
          <t>cmm55w57p0004cuisfrtpqly8</t>
        </is>
      </c>
      <c r="AT928" t="inlineStr">
        <is>
          <t>cmm4xvu980000cuh4vj0usz09</t>
        </is>
      </c>
      <c r="AU928" t="inlineStr"/>
      <c r="AV928" t="inlineStr">
        <is>
          <t>Kommun</t>
        </is>
      </c>
      <c r="AW928" t="inlineStr"/>
      <c r="AX928" t="inlineStr"/>
      <c r="AY928" t="inlineStr">
        <is>
          <t>Anmalan</t>
        </is>
      </c>
      <c r="AZ928" t="inlineStr">
        <is>
          <t>2026-02-05</t>
        </is>
      </c>
      <c r="BA928" t="inlineStr">
        <is>
          <t>Skyddsåtgärder vid mellanlagring.pdf</t>
        </is>
      </c>
      <c r="BB928" t="inlineStr">
        <is>
          <t>Begäran om utlämnande av allmän handling – Anmälningar och beslut rörande mellanlagring av avfall samt anläggning av ytor</t>
        </is>
      </c>
      <c r="BC928" t="inlineStr">
        <is>
          <t>AUTO</t>
        </is>
      </c>
      <c r="BD928" t="inlineStr"/>
      <c r="BE928" t="inlineStr"/>
      <c r="BF928" t="inlineStr">
        <is>
          <t>AUTO_GENERERAD. Bekrafta metadata mot kallfil.</t>
        </is>
      </c>
      <c r="BG928">
        <f>HYPERLINK("C:\Users\jimmy\Desktop\Examens arbete\Kod\Ny mapp\remix_-copy-of-miljöbeslut.se-portal\Skyddsåtgärder vid mellanlagring.pdf", "Öppna PDF")</f>
        <v/>
      </c>
    </row>
    <row r="929">
      <c r="A929" t="inlineStr">
        <is>
          <t>KRAV-AUTO-000928</t>
        </is>
      </c>
      <c r="B929" t="inlineStr">
        <is>
          <t>ADMIN-INDEX-2026-02-27-00000000125C043F57453246863FE664CAFE6A3F0700950291EA24F0614FB6ACEDB12BF0E31D00000000010C0000950291EA24F0614FB6ACEDB12BF0E31D00002087ADFB0000</t>
        </is>
      </c>
      <c r="C929" t="inlineStr">
        <is>
          <t>cmm4yuqel03iecuqwn04v258w</t>
        </is>
      </c>
      <c r="D929" t="inlineStr">
        <is>
          <t>http://localhost:8787/api/admin/requirements/documents/cmm4yuqel03iecuqwn04v258w/view</t>
        </is>
      </c>
      <c r="E929">
        <f>HYPERLÄNK("http://localhost:8787/api/admin/requirements/documents/cmm4yuqel03iecuqwn04v258w/view";"Öppna PDF")</f>
        <v/>
      </c>
      <c r="F929">
        <f>HYPERLINK("http://localhost:8787/api/admin/requirements/documents/cmm4yuqel03iecuqwn04v258w/view","Open PDF")</f>
        <v/>
      </c>
      <c r="G929" t="inlineStr">
        <is>
          <t>cmm55w57p0004cuisfrtpqly8</t>
        </is>
      </c>
      <c r="H929" t="inlineStr">
        <is>
          <t>Informationskrav</t>
        </is>
      </c>
      <c r="I929" t="inlineStr">
        <is>
          <t>MiljopaverkanForsiktighet</t>
        </is>
      </c>
      <c r="J929" t="inlineStr">
        <is>
          <t>Skyddsatgarder</t>
        </is>
      </c>
      <c r="K929" t="inlineStr">
        <is>
          <t>-- 1 of 2 -- -- 2 of 2 -- KARLSTADS KOMMUN Anmälan om mellanlagring av avfall och farligt avfall Lämna din anmälan till miljöförvaltningen senast sex veckor före mellanlagringen ska börja.</t>
        </is>
      </c>
      <c r="L929" t="inlineStr">
        <is>
          <t>-- 1 of 2 -- -- 2 of 2 -- KARLSTADS KOMMUN Anmälan om mellanlagring av avfall och farligt avfall Lämna din anmälan till miljöförvaltningen senast sex veckor före mellanlagringen ska börja.</t>
        </is>
      </c>
      <c r="M929" t="inlineStr">
        <is>
          <t>SKA</t>
        </is>
      </c>
      <c r="N929" t="inlineStr"/>
      <c r="O929" t="inlineStr">
        <is>
          <t>senast sex veckor fore mellanlagringe</t>
        </is>
      </c>
      <c r="P929" t="inlineStr">
        <is>
          <t>Arlig</t>
        </is>
      </c>
      <c r="Q929" t="inlineStr"/>
      <c r="R929" t="inlineStr">
        <is>
          <t>Alltid</t>
        </is>
      </c>
      <c r="S929" t="inlineStr"/>
      <c r="T929" t="inlineStr">
        <is>
          <t>202100</t>
        </is>
      </c>
      <c r="U929" t="inlineStr"/>
      <c r="V929" t="inlineStr"/>
      <c r="W929" t="inlineStr">
        <is>
          <t>Nej</t>
        </is>
      </c>
      <c r="X929" t="inlineStr">
        <is>
          <t>Nej</t>
        </is>
      </c>
      <c r="Y929" t="inlineStr">
        <is>
          <t>Nej</t>
        </is>
      </c>
      <c r="Z929" t="inlineStr">
        <is>
          <t>Nej</t>
        </is>
      </c>
      <c r="AA929" t="n">
        <v>10</v>
      </c>
      <c r="AB929" t="inlineStr">
        <is>
          <t>Miljopaverkan och forsiktighetsmatt</t>
        </is>
      </c>
      <c r="AC929" t="inlineStr">
        <is>
          <t>Miljo-PM</t>
        </is>
      </c>
      <c r="AD929" t="inlineStr">
        <is>
          <t>Nej</t>
        </is>
      </c>
      <c r="AE929" t="inlineStr">
        <is>
          <t>Nej</t>
        </is>
      </c>
      <c r="AF929" t="inlineStr">
        <is>
          <t>Ej behandlad</t>
        </is>
      </c>
      <c r="AG929" t="inlineStr">
        <is>
          <t>AUTO_GENERERAD. Verifiera citat mot kallfil.</t>
        </is>
      </c>
      <c r="AH929" t="inlineStr">
        <is>
          <t>MEDIUM</t>
        </is>
      </c>
      <c r="AI929" t="inlineStr">
        <is>
          <t>AUTO</t>
        </is>
      </c>
      <c r="AJ929" t="inlineStr">
        <is>
          <t>Nej</t>
        </is>
      </c>
      <c r="AK929" t="inlineStr"/>
      <c r="AL929" t="inlineStr"/>
      <c r="AM929" t="inlineStr"/>
      <c r="AN929" t="inlineStr"/>
      <c r="AO929" t="inlineStr">
        <is>
          <t>cmm4yuqej03ibcuqw3s2t4bqi</t>
        </is>
      </c>
      <c r="AP929" t="inlineStr">
        <is>
          <t>http://localhost:8787/api/admin/requirements/documents/cmm4yuqej03ibcuqw3s2t4bqi/view</t>
        </is>
      </c>
      <c r="AQ929">
        <f>HYPERLÄNK("http://localhost:8787/api/admin/requirements/documents/cmm4yuqej03ibcuqw3s2t4bqi/view";"Öppna PDF")</f>
        <v/>
      </c>
      <c r="AR929">
        <f>HYPERLINK("http://localhost:8787/api/admin/requirements/documents/cmm4yuqej03ibcuqw3s2t4bqi/view","Open PDF")</f>
        <v/>
      </c>
      <c r="AS929" t="inlineStr">
        <is>
          <t>cmm55w57p0004cuisfrtpqly8</t>
        </is>
      </c>
      <c r="AT929" t="inlineStr">
        <is>
          <t>cmm4xvu980000cuh4vj0usz09</t>
        </is>
      </c>
      <c r="AU929" t="inlineStr"/>
      <c r="AV929" t="inlineStr">
        <is>
          <t>Kommun</t>
        </is>
      </c>
      <c r="AW929" t="inlineStr"/>
      <c r="AX929" t="inlineStr"/>
      <c r="AY929" t="inlineStr">
        <is>
          <t>Anmalan</t>
        </is>
      </c>
      <c r="AZ929" t="inlineStr">
        <is>
          <t>2026-02-05</t>
        </is>
      </c>
      <c r="BA929" t="inlineStr">
        <is>
          <t>Skyddsåtgärder vid mellanlagring.pdf</t>
        </is>
      </c>
      <c r="BB929" t="inlineStr">
        <is>
          <t>Begäran om utlämnande av allmän handling – Anmälningar och beslut rörande mellanlagring av avfall samt anläggning av ytor</t>
        </is>
      </c>
      <c r="BC929" t="inlineStr">
        <is>
          <t>AUTO</t>
        </is>
      </c>
      <c r="BD929" t="inlineStr"/>
      <c r="BE929" t="inlineStr"/>
      <c r="BF929" t="inlineStr">
        <is>
          <t>AUTO_GENERERAD. Bekrafta metadata mot kallfil.</t>
        </is>
      </c>
      <c r="BG929">
        <f>HYPERLINK("C:\Users\jimmy\Desktop\Examens arbete\Kod\Ny mapp\remix_-copy-of-miljöbeslut.se-portal\Skyddsåtgärder vid mellanlagring.pdf", "Öppna PDF")</f>
        <v/>
      </c>
    </row>
    <row r="930">
      <c r="A930" t="inlineStr">
        <is>
          <t>KRAV-AUTO-000929</t>
        </is>
      </c>
      <c r="B930" t="inlineStr">
        <is>
          <t>ADMIN-INDEX-2026-02-27-00000000125C043F57453246863FE664CAFE6A3F0700950291EA24F0614FB6ACEDB12BF0E31D00000000010C0000950291EA24F0614FB6ACEDB12BF0E31D00002087ADFB0000</t>
        </is>
      </c>
      <c r="C930" t="inlineStr">
        <is>
          <t>cmm4yuqel03iecuqwn04v258w</t>
        </is>
      </c>
      <c r="D930" t="inlineStr">
        <is>
          <t>http://localhost:8787/api/admin/requirements/documents/cmm4yuqel03iecuqwn04v258w/view</t>
        </is>
      </c>
      <c r="E930">
        <f>HYPERLÄNK("http://localhost:8787/api/admin/requirements/documents/cmm4yuqel03iecuqwn04v258w/view";"Öppna PDF")</f>
        <v/>
      </c>
      <c r="F930">
        <f>HYPERLINK("http://localhost:8787/api/admin/requirements/documents/cmm4yuqel03iecuqwn04v258w/view","Open PDF")</f>
        <v/>
      </c>
      <c r="G930" t="inlineStr">
        <is>
          <t>cmm55w57p0004cuisfrtpqly8</t>
        </is>
      </c>
      <c r="H930" t="inlineStr">
        <is>
          <t>Informationskrav</t>
        </is>
      </c>
      <c r="I930" t="inlineStr">
        <is>
          <t>DagvattenLakvatten</t>
        </is>
      </c>
      <c r="J930" t="inlineStr">
        <is>
          <t>Uppsamling</t>
        </is>
      </c>
      <c r="K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 EF1985 Fastighetsbeteckning KARLSTAD SKEPPAREN 6 Fastighetsägare LIDL Sverige AB Beskrivning av lagringsplatsen innerte (narnet goivorunnar inne, dagvattenbrunnar ute, gorvyta betong/asian, tak nederbordsskyaa, inhägnad, närhet vattendrag/sjö etc) Grusad yta, ytan kommer att hängnas in med stängsel vid tillfälle massor ligger där, ca 140 m till sjö.</t>
        </is>
      </c>
      <c r="L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t>
        </is>
      </c>
      <c r="M930" t="inlineStr">
        <is>
          <t>BOR</t>
        </is>
      </c>
      <c r="N930" t="inlineStr"/>
      <c r="O930" t="inlineStr"/>
      <c r="P930" t="inlineStr"/>
      <c r="Q930" t="inlineStr"/>
      <c r="R930" t="inlineStr">
        <is>
          <t>Vid nederbord och avrinning</t>
        </is>
      </c>
      <c r="S930" t="inlineStr"/>
      <c r="T930" t="inlineStr">
        <is>
          <t>202100</t>
        </is>
      </c>
      <c r="U930" t="inlineStr"/>
      <c r="V930" t="inlineStr"/>
      <c r="W930" t="inlineStr">
        <is>
          <t>Nej</t>
        </is>
      </c>
      <c r="X930" t="inlineStr">
        <is>
          <t>Ja</t>
        </is>
      </c>
      <c r="Y930" t="inlineStr">
        <is>
          <t>Ja</t>
        </is>
      </c>
      <c r="Z930" t="inlineStr">
        <is>
          <t>Nej</t>
        </is>
      </c>
      <c r="AA930" t="n">
        <v>6</v>
      </c>
      <c r="AB930" t="inlineStr">
        <is>
          <t>Lakvattenhantering</t>
        </is>
      </c>
      <c r="AC930" t="inlineStr">
        <is>
          <t>Flodesschema dagvatten-lakvatten</t>
        </is>
      </c>
      <c r="AD930" t="inlineStr">
        <is>
          <t>Nej</t>
        </is>
      </c>
      <c r="AE930" t="inlineStr">
        <is>
          <t>Nej</t>
        </is>
      </c>
      <c r="AF930" t="inlineStr">
        <is>
          <t>Ej behandlad</t>
        </is>
      </c>
      <c r="AG930" t="inlineStr">
        <is>
          <t>AUTO_GENERERAD. Verifiera citat mot kallfil.</t>
        </is>
      </c>
      <c r="AH930" t="inlineStr">
        <is>
          <t>MEDIUM</t>
        </is>
      </c>
      <c r="AI930" t="inlineStr">
        <is>
          <t>AUTO</t>
        </is>
      </c>
      <c r="AJ930" t="inlineStr">
        <is>
          <t>Nej</t>
        </is>
      </c>
      <c r="AK930" t="inlineStr"/>
      <c r="AL930" t="inlineStr"/>
      <c r="AM930" t="inlineStr"/>
      <c r="AN930" t="inlineStr"/>
      <c r="AO930" t="inlineStr">
        <is>
          <t>cmm4yuqej03ibcuqw3s2t4bqi</t>
        </is>
      </c>
      <c r="AP930" t="inlineStr">
        <is>
          <t>http://localhost:8787/api/admin/requirements/documents/cmm4yuqej03ibcuqw3s2t4bqi/view</t>
        </is>
      </c>
      <c r="AQ930">
        <f>HYPERLÄNK("http://localhost:8787/api/admin/requirements/documents/cmm4yuqej03ibcuqw3s2t4bqi/view";"Öppna PDF")</f>
        <v/>
      </c>
      <c r="AR930">
        <f>HYPERLINK("http://localhost:8787/api/admin/requirements/documents/cmm4yuqej03ibcuqw3s2t4bqi/view","Open PDF")</f>
        <v/>
      </c>
      <c r="AS930" t="inlineStr">
        <is>
          <t>cmm55w57p0004cuisfrtpqly8</t>
        </is>
      </c>
      <c r="AT930" t="inlineStr">
        <is>
          <t>cmm4xvu980000cuh4vj0usz09</t>
        </is>
      </c>
      <c r="AU930" t="inlineStr"/>
      <c r="AV930" t="inlineStr">
        <is>
          <t>Kommun</t>
        </is>
      </c>
      <c r="AW930" t="inlineStr"/>
      <c r="AX930" t="inlineStr"/>
      <c r="AY930" t="inlineStr">
        <is>
          <t>Anmalan</t>
        </is>
      </c>
      <c r="AZ930" t="inlineStr">
        <is>
          <t>2026-02-05</t>
        </is>
      </c>
      <c r="BA930" t="inlineStr">
        <is>
          <t>Skyddsåtgärder vid mellanlagring.pdf</t>
        </is>
      </c>
      <c r="BB930" t="inlineStr">
        <is>
          <t>Begäran om utlämnande av allmän handling – Anmälningar och beslut rörande mellanlagring av avfall samt anläggning av ytor</t>
        </is>
      </c>
      <c r="BC930" t="inlineStr">
        <is>
          <t>AUTO</t>
        </is>
      </c>
      <c r="BD930" t="inlineStr"/>
      <c r="BE930" t="inlineStr"/>
      <c r="BF930" t="inlineStr">
        <is>
          <t>AUTO_GENERERAD. Bekrafta metadata mot kallfil.</t>
        </is>
      </c>
      <c r="BG930">
        <f>HYPERLINK("C:\Users\jimmy\Desktop\Examens arbete\Kod\Ny mapp\remix_-copy-of-miljöbeslut.se-portal\Skyddsåtgärder vid mellanlagring.pdf", "Öppna PDF")</f>
        <v/>
      </c>
    </row>
    <row r="931">
      <c r="A931" t="inlineStr">
        <is>
          <t>KRAV-AUTO-000930</t>
        </is>
      </c>
      <c r="B931" t="inlineStr">
        <is>
          <t>ADMIN-INDEX-2026-02-27-00000000125C043F57453246863FE664CAFE6A3F0700950291EA24F0614FB6ACEDB12BF0E31D00000000010C0000950291EA24F0614FB6ACEDB12BF0E31D00002087A5800000</t>
        </is>
      </c>
      <c r="C931" t="inlineStr">
        <is>
          <t>cmm4yurbq04dwcuqwv7rufkys</t>
        </is>
      </c>
      <c r="D931" t="inlineStr">
        <is>
          <t>http://localhost:8787/api/admin/requirements/documents/cmm4yurbq04dwcuqwv7rufkys/view</t>
        </is>
      </c>
      <c r="E931">
        <f>HYPERLÄNK("http://localhost:8787/api/admin/requirements/documents/cmm4yurbq04dwcuqwv7rufkys/view";"Öppna PDF")</f>
        <v/>
      </c>
      <c r="F931">
        <f>HYPERLINK("http://localhost:8787/api/admin/requirements/documents/cmm4yurbq04dwcuqwv7rufkys/view","Open PDF")</f>
        <v/>
      </c>
      <c r="G931" t="inlineStr">
        <is>
          <t>cmm55w57p0004cuisfrtpqly8</t>
        </is>
      </c>
      <c r="H931" t="inlineStr">
        <is>
          <t>Informationskrav</t>
        </is>
      </c>
      <c r="I931" t="inlineStr">
        <is>
          <t>LagringsvolymTid</t>
        </is>
      </c>
      <c r="J931" t="inlineStr">
        <is>
          <t>Maxmangd</t>
        </is>
      </c>
      <c r="K931" t="inlineStr">
        <is>
          <t>Råvaran/produktens namn Mängd/år Andvändningsområde Ange hur kemiska produkter kommer att lagras och hanteras.</t>
        </is>
      </c>
      <c r="L931" t="inlineStr">
        <is>
          <t>Råvaran/produktens namn Mängd/år Andvändningsområde Ange hur kemiska produkter kommer att lagras och hanteras.</t>
        </is>
      </c>
      <c r="M931" t="inlineStr">
        <is>
          <t>SKA</t>
        </is>
      </c>
      <c r="N931" t="inlineStr">
        <is>
          <t>FMH</t>
        </is>
      </c>
      <c r="O931" t="inlineStr"/>
      <c r="P931" t="inlineStr"/>
      <c r="Q931" t="inlineStr"/>
      <c r="R931" t="inlineStr">
        <is>
          <t>Alltid</t>
        </is>
      </c>
      <c r="S931" t="inlineStr"/>
      <c r="T931" t="inlineStr">
        <is>
          <t>73 90 00</t>
        </is>
      </c>
      <c r="U931" t="inlineStr"/>
      <c r="V931" t="inlineStr"/>
      <c r="W931" t="inlineStr">
        <is>
          <t>Nej</t>
        </is>
      </c>
      <c r="X931" t="inlineStr">
        <is>
          <t>Nej</t>
        </is>
      </c>
      <c r="Y931" t="inlineStr">
        <is>
          <t>Nej</t>
        </is>
      </c>
      <c r="Z931" t="inlineStr">
        <is>
          <t>Nej</t>
        </is>
      </c>
      <c r="AA931" t="n">
        <v>4</v>
      </c>
      <c r="AB931" t="inlineStr">
        <is>
          <t>Avfallsmangder och lagringstid</t>
        </is>
      </c>
      <c r="AC931" t="inlineStr">
        <is>
          <t>Avfallsforteckning</t>
        </is>
      </c>
      <c r="AD931" t="inlineStr">
        <is>
          <t>Nej</t>
        </is>
      </c>
      <c r="AE931" t="inlineStr">
        <is>
          <t>Nej</t>
        </is>
      </c>
      <c r="AF931" t="inlineStr">
        <is>
          <t>Ej behandlad</t>
        </is>
      </c>
      <c r="AG931" t="inlineStr">
        <is>
          <t>AUTO_GENERERAD. Verifiera citat mot kallfil.</t>
        </is>
      </c>
      <c r="AH931" t="inlineStr">
        <is>
          <t>MEDIUM</t>
        </is>
      </c>
      <c r="AI931" t="inlineStr">
        <is>
          <t>AUTO</t>
        </is>
      </c>
      <c r="AJ931" t="inlineStr">
        <is>
          <t>Nej</t>
        </is>
      </c>
      <c r="AK931" t="inlineStr"/>
      <c r="AL931" t="inlineStr"/>
      <c r="AM931" t="inlineStr"/>
      <c r="AN931" t="inlineStr"/>
      <c r="AO931" t="inlineStr">
        <is>
          <t>cmm4yurbv04e2cuqwb1kd6w43</t>
        </is>
      </c>
      <c r="AP931" t="inlineStr">
        <is>
          <t>http://localhost:8787/api/admin/requirements/documents/cmm4yurbv04e2cuqwb1kd6w43/view</t>
        </is>
      </c>
      <c r="AQ931">
        <f>HYPERLÄNK("http://localhost:8787/api/admin/requirements/documents/cmm4yurbv04e2cuqwb1kd6w43/view";"Öppna PDF")</f>
        <v/>
      </c>
      <c r="AR931">
        <f>HYPERLINK("http://localhost:8787/api/admin/requirements/documents/cmm4yurbv04e2cuqwb1kd6w43/view","Open PDF")</f>
        <v/>
      </c>
      <c r="AS931" t="inlineStr">
        <is>
          <t>cmm55w57p0004cuisfrtpqly8</t>
        </is>
      </c>
      <c r="AT931" t="inlineStr">
        <is>
          <t>cmm4xvu980000cuh4vj0usz09</t>
        </is>
      </c>
      <c r="AU931" t="inlineStr"/>
      <c r="AV931" t="inlineStr">
        <is>
          <t>Kommun</t>
        </is>
      </c>
      <c r="AW931" t="inlineStr"/>
      <c r="AX931" t="inlineStr">
        <is>
          <t>2013:251</t>
        </is>
      </c>
      <c r="AY931" t="inlineStr">
        <is>
          <t>Anmalan</t>
        </is>
      </c>
      <c r="AZ931" t="inlineStr">
        <is>
          <t>2026-02-12</t>
        </is>
      </c>
      <c r="BA931" t="inlineStr">
        <is>
          <t>MB-2023-716-6 - Miljöfarlig verksamhet_anmälan.pdf</t>
        </is>
      </c>
      <c r="BB931" t="inlineStr">
        <is>
          <t>Sv:  Begäran om utlämnande av allmän handling – Anmälningar och beslut rörande mellanlagring av avfall samt anläggning av ytor</t>
        </is>
      </c>
      <c r="BC931" t="inlineStr">
        <is>
          <t>AUTO</t>
        </is>
      </c>
      <c r="BD931" t="inlineStr"/>
      <c r="BE931" t="inlineStr"/>
      <c r="BF931" t="inlineStr">
        <is>
          <t>AUTO_GENERERAD. Bekrafta metadata mot kallfil.</t>
        </is>
      </c>
      <c r="BG931">
        <f>HYPERLINK("C:\Users\jimmy\Desktop\Examens arbete\Kod\Ny mapp\remix_-copy-of-miljöbeslut.se-portal\MB-2023-716-6 - Miljöfarlig verksamhet_anmälan.pdf", "Öppna PDF")</f>
        <v/>
      </c>
    </row>
    <row r="932">
      <c r="A932" t="inlineStr">
        <is>
          <t>KRAV-AUTO-000931</t>
        </is>
      </c>
      <c r="B932" t="inlineStr">
        <is>
          <t>ADMIN-INDEX-2026-02-27-00000000125C043F57453246863FE664CAFE6A3F0700950291EA24F0614FB6ACEDB12BF0E31D00000000010C0000950291EA24F0614FB6ACEDB12BF0E31D00002087A5800000</t>
        </is>
      </c>
      <c r="C932" t="inlineStr">
        <is>
          <t>cmm4yurbq04dwcuqwv7rufkys</t>
        </is>
      </c>
      <c r="D932" t="inlineStr">
        <is>
          <t>http://localhost:8787/api/admin/requirements/documents/cmm4yurbq04dwcuqwv7rufkys/view</t>
        </is>
      </c>
      <c r="E932">
        <f>HYPERLÄNK("http://localhost:8787/api/admin/requirements/documents/cmm4yurbq04dwcuqwv7rufkys/view";"Öppna PDF")</f>
        <v/>
      </c>
      <c r="F932">
        <f>HYPERLINK("http://localhost:8787/api/admin/requirements/documents/cmm4yurbq04dwcuqwv7rufkys/view","Open PDF")</f>
        <v/>
      </c>
      <c r="G932" t="inlineStr">
        <is>
          <t>cmm55w57p0004cuisfrtpqly8</t>
        </is>
      </c>
      <c r="H932" t="inlineStr">
        <is>
          <t>Informationskrav</t>
        </is>
      </c>
      <c r="I932" t="inlineStr">
        <is>
          <t>LagringsvolymTid</t>
        </is>
      </c>
      <c r="J932" t="inlineStr">
        <is>
          <t>Maxmangd</t>
        </is>
      </c>
      <c r="K932" t="inlineStr">
        <is>
          <t>Beskriv verksamheten, ev kort historik, produktions- och behandlingsmetoder, produktionskapacitet, producerad mängd m m.</t>
        </is>
      </c>
      <c r="L932" t="inlineStr">
        <is>
          <t>Beskriv verksamheten, ev kort historik, produktions- och behandlingsmetoder, produktionskapacitet, producerad mängd m m.</t>
        </is>
      </c>
      <c r="M932" t="inlineStr">
        <is>
          <t>SKA</t>
        </is>
      </c>
      <c r="N932" t="inlineStr">
        <is>
          <t>FMH</t>
        </is>
      </c>
      <c r="O932" t="inlineStr"/>
      <c r="P932" t="inlineStr"/>
      <c r="Q932" t="inlineStr"/>
      <c r="R932" t="inlineStr">
        <is>
          <t>Alltid</t>
        </is>
      </c>
      <c r="S932" t="inlineStr"/>
      <c r="T932" t="inlineStr">
        <is>
          <t>73 90 00</t>
        </is>
      </c>
      <c r="U932" t="inlineStr"/>
      <c r="V932" t="inlineStr"/>
      <c r="W932" t="inlineStr">
        <is>
          <t>Nej</t>
        </is>
      </c>
      <c r="X932" t="inlineStr">
        <is>
          <t>Nej</t>
        </is>
      </c>
      <c r="Y932" t="inlineStr">
        <is>
          <t>Nej</t>
        </is>
      </c>
      <c r="Z932" t="inlineStr">
        <is>
          <t>Nej</t>
        </is>
      </c>
      <c r="AA932" t="n">
        <v>4</v>
      </c>
      <c r="AB932" t="inlineStr">
        <is>
          <t>Avfallsmangder och lagringstid</t>
        </is>
      </c>
      <c r="AC932" t="inlineStr">
        <is>
          <t>Avfallsforteckning</t>
        </is>
      </c>
      <c r="AD932" t="inlineStr">
        <is>
          <t>Nej</t>
        </is>
      </c>
      <c r="AE932" t="inlineStr">
        <is>
          <t>Nej</t>
        </is>
      </c>
      <c r="AF932" t="inlineStr">
        <is>
          <t>Ej behandlad</t>
        </is>
      </c>
      <c r="AG932" t="inlineStr">
        <is>
          <t>AUTO_GENERERAD. Verifiera citat mot kallfil.</t>
        </is>
      </c>
      <c r="AH932" t="inlineStr">
        <is>
          <t>MEDIUM</t>
        </is>
      </c>
      <c r="AI932" t="inlineStr">
        <is>
          <t>AUTO</t>
        </is>
      </c>
      <c r="AJ932" t="inlineStr">
        <is>
          <t>Nej</t>
        </is>
      </c>
      <c r="AK932" t="inlineStr"/>
      <c r="AL932" t="inlineStr"/>
      <c r="AM932" t="inlineStr"/>
      <c r="AN932" t="inlineStr"/>
      <c r="AO932" t="inlineStr">
        <is>
          <t>cmm4yurbv04e2cuqwb1kd6w43</t>
        </is>
      </c>
      <c r="AP932" t="inlineStr">
        <is>
          <t>http://localhost:8787/api/admin/requirements/documents/cmm4yurbv04e2cuqwb1kd6w43/view</t>
        </is>
      </c>
      <c r="AQ932">
        <f>HYPERLÄNK("http://localhost:8787/api/admin/requirements/documents/cmm4yurbv04e2cuqwb1kd6w43/view";"Öppna PDF")</f>
        <v/>
      </c>
      <c r="AR932">
        <f>HYPERLINK("http://localhost:8787/api/admin/requirements/documents/cmm4yurbv04e2cuqwb1kd6w43/view","Open PDF")</f>
        <v/>
      </c>
      <c r="AS932" t="inlineStr">
        <is>
          <t>cmm55w57p0004cuisfrtpqly8</t>
        </is>
      </c>
      <c r="AT932" t="inlineStr">
        <is>
          <t>cmm4xvu980000cuh4vj0usz09</t>
        </is>
      </c>
      <c r="AU932" t="inlineStr"/>
      <c r="AV932" t="inlineStr">
        <is>
          <t>Kommun</t>
        </is>
      </c>
      <c r="AW932" t="inlineStr"/>
      <c r="AX932" t="inlineStr">
        <is>
          <t>2013:251</t>
        </is>
      </c>
      <c r="AY932" t="inlineStr">
        <is>
          <t>Anmalan</t>
        </is>
      </c>
      <c r="AZ932" t="inlineStr">
        <is>
          <t>2026-02-12</t>
        </is>
      </c>
      <c r="BA932" t="inlineStr">
        <is>
          <t>MB-2023-716-6 - Miljöfarlig verksamhet_anmälan.pdf</t>
        </is>
      </c>
      <c r="BB932" t="inlineStr">
        <is>
          <t>Sv:  Begäran om utlämnande av allmän handling – Anmälningar och beslut rörande mellanlagring av avfall samt anläggning av ytor</t>
        </is>
      </c>
      <c r="BC932" t="inlineStr">
        <is>
          <t>AUTO</t>
        </is>
      </c>
      <c r="BD932" t="inlineStr"/>
      <c r="BE932" t="inlineStr"/>
      <c r="BF932" t="inlineStr">
        <is>
          <t>AUTO_GENERERAD. Bekrafta metadata mot kallfil.</t>
        </is>
      </c>
      <c r="BG932">
        <f>HYPERLINK("C:\Users\jimmy\Desktop\Examens arbete\Kod\Ny mapp\remix_-copy-of-miljöbeslut.se-portal\MB-2023-716-6 - Miljöfarlig verksamhet_anmälan.pdf", "Öppna PDF")</f>
        <v/>
      </c>
    </row>
    <row r="933">
      <c r="A933" t="inlineStr">
        <is>
          <t>KRAV-AUTO-000932</t>
        </is>
      </c>
      <c r="B933" t="inlineStr">
        <is>
          <t>ADMIN-INDEX-2026-02-27-00000000125C043F57453246863FE664CAFE6A3F0700950291EA24F0614FB6ACEDB12BF0E31D00000000010C0000950291EA24F0614FB6ACEDB12BF0E31D00002087A5860000</t>
        </is>
      </c>
      <c r="C933" t="inlineStr">
        <is>
          <t>cmm4yurb904decuqwh6xg10ur</t>
        </is>
      </c>
      <c r="D933" t="inlineStr">
        <is>
          <t>http://localhost:8787/api/admin/requirements/documents/cmm4yurb904decuqwh6xg10ur/view</t>
        </is>
      </c>
      <c r="E933">
        <f>HYPERLÄNK("http://localhost:8787/api/admin/requirements/documents/cmm4yurb904decuqwh6xg10ur/view";"Öppna PDF")</f>
        <v/>
      </c>
      <c r="F933">
        <f>HYPERLINK("http://localhost:8787/api/admin/requirements/documents/cmm4yurb904decuqwh6xg10ur/view","Open PDF")</f>
        <v/>
      </c>
      <c r="G933" t="inlineStr">
        <is>
          <t>cmm55w57p0004cuisfrtpqly8</t>
        </is>
      </c>
      <c r="H933" t="inlineStr">
        <is>
          <t>Beslutsvillkor</t>
        </is>
      </c>
      <c r="I933" t="inlineStr">
        <is>
          <t>DagvattenLakvatten</t>
        </is>
      </c>
      <c r="J933" t="inlineStr">
        <is>
          <t>Uppsamling</t>
        </is>
      </c>
      <c r="K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produkter, saknas uppgift anges det) 1.</t>
        </is>
      </c>
      <c r="L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t>
        </is>
      </c>
      <c r="M933" t="inlineStr">
        <is>
          <t>SKA</t>
        </is>
      </c>
      <c r="N933" t="inlineStr"/>
      <c r="O933" t="inlineStr"/>
      <c r="P933" t="inlineStr"/>
      <c r="Q933" t="inlineStr"/>
      <c r="R933" t="inlineStr">
        <is>
          <t>Vid nederbord och avrinning</t>
        </is>
      </c>
      <c r="S933" t="inlineStr"/>
      <c r="T933" t="inlineStr">
        <is>
          <t>556678</t>
        </is>
      </c>
      <c r="U933" t="inlineStr"/>
      <c r="V933" t="inlineStr"/>
      <c r="W933" t="inlineStr">
        <is>
          <t>Nej</t>
        </is>
      </c>
      <c r="X933" t="inlineStr">
        <is>
          <t>Ja</t>
        </is>
      </c>
      <c r="Y933" t="inlineStr">
        <is>
          <t>Ja</t>
        </is>
      </c>
      <c r="Z933" t="inlineStr">
        <is>
          <t>Nej</t>
        </is>
      </c>
      <c r="AA933" t="n">
        <v>6</v>
      </c>
      <c r="AB933" t="inlineStr">
        <is>
          <t>Lakvattenhantering</t>
        </is>
      </c>
      <c r="AC933" t="inlineStr">
        <is>
          <t>Flodesschema dagvatten-lakvatten</t>
        </is>
      </c>
      <c r="AD933" t="inlineStr">
        <is>
          <t>Nej</t>
        </is>
      </c>
      <c r="AE933" t="inlineStr">
        <is>
          <t>Nej</t>
        </is>
      </c>
      <c r="AF933" t="inlineStr">
        <is>
          <t>Ej behandlad</t>
        </is>
      </c>
      <c r="AG933" t="inlineStr">
        <is>
          <t>AUTO_GENERERAD. Verifiera citat mot kallfil.</t>
        </is>
      </c>
      <c r="AH933" t="inlineStr">
        <is>
          <t>MEDIUM</t>
        </is>
      </c>
      <c r="AI933" t="inlineStr">
        <is>
          <t>AUTO</t>
        </is>
      </c>
      <c r="AJ933" t="inlineStr">
        <is>
          <t>Nej</t>
        </is>
      </c>
      <c r="AK933" t="inlineStr"/>
      <c r="AL933" t="inlineStr"/>
      <c r="AM933" t="inlineStr"/>
      <c r="AN933" t="inlineStr"/>
      <c r="AO933" t="inlineStr">
        <is>
          <t>cmm4yurb604dbcuqwpk6azwk6</t>
        </is>
      </c>
      <c r="AP933" t="inlineStr">
        <is>
          <t>http://localhost:8787/api/admin/requirements/documents/cmm4yurb604dbcuqwpk6azwk6/view</t>
        </is>
      </c>
      <c r="AQ933">
        <f>HYPERLÄNK("http://localhost:8787/api/admin/requirements/documents/cmm4yurb604dbcuqwpk6azwk6/view";"Öppna PDF")</f>
        <v/>
      </c>
      <c r="AR933">
        <f>HYPERLINK("http://localhost:8787/api/admin/requirements/documents/cmm4yurb604dbcuqwpk6azwk6/view","Open PDF")</f>
        <v/>
      </c>
      <c r="AS933" t="inlineStr">
        <is>
          <t>cmm55w57p0004cuisfrtpqly8</t>
        </is>
      </c>
      <c r="AT933" t="inlineStr">
        <is>
          <t>cmm4xvu980000cuh4vj0usz09</t>
        </is>
      </c>
      <c r="AU933" t="inlineStr"/>
      <c r="AV933" t="inlineStr">
        <is>
          <t>Kommun</t>
        </is>
      </c>
      <c r="AW933" t="inlineStr"/>
      <c r="AX933" t="inlineStr">
        <is>
          <t>0472-150</t>
        </is>
      </c>
      <c r="AY933" t="inlineStr">
        <is>
          <t>Beslut</t>
        </is>
      </c>
      <c r="AZ933" t="inlineStr">
        <is>
          <t>2026-02-11</t>
        </is>
      </c>
      <c r="BA933" t="inlineStr">
        <is>
          <t>2024.1848..pdf</t>
        </is>
      </c>
      <c r="BB933" t="inlineStr">
        <is>
          <t>Handlingar</t>
        </is>
      </c>
      <c r="BC933" t="inlineStr">
        <is>
          <t>AUTO</t>
        </is>
      </c>
      <c r="BD933" t="inlineStr"/>
      <c r="BE933" t="inlineStr"/>
      <c r="BF933" t="inlineStr">
        <is>
          <t>AUTO_GENERERAD. Bekrafta metadata mot kallfil.</t>
        </is>
      </c>
      <c r="BG933">
        <f>HYPERLINK("C:\Users\jimmy\Desktop\Examens arbete\Kod\Ny mapp\remix_-copy-of-miljöbeslut.se-portal\2024.1848..pdf", "Öppna PDF")</f>
        <v/>
      </c>
    </row>
    <row r="934">
      <c r="A934" t="inlineStr">
        <is>
          <t>KRAV-AUTO-000933</t>
        </is>
      </c>
      <c r="B934" t="inlineStr">
        <is>
          <t>ADMIN-INDEX-2026-02-27-00000000125C043F57453246863FE664CAFE6A3F0700950291EA24F0614FB6ACEDB12BF0E31D00000000010C0000950291EA24F0614FB6ACEDB12BF0E31D00002087A5860000</t>
        </is>
      </c>
      <c r="C934" t="inlineStr">
        <is>
          <t>cmm4yurb904decuqwh6xg10ur</t>
        </is>
      </c>
      <c r="D934" t="inlineStr">
        <is>
          <t>http://localhost:8787/api/admin/requirements/documents/cmm4yurb904decuqwh6xg10ur/view</t>
        </is>
      </c>
      <c r="E934">
        <f>HYPERLÄNK("http://localhost:8787/api/admin/requirements/documents/cmm4yurb904decuqwh6xg10ur/view";"Öppna PDF")</f>
        <v/>
      </c>
      <c r="F934">
        <f>HYPERLINK("http://localhost:8787/api/admin/requirements/documents/cmm4yurb904decuqwh6xg10ur/view","Open PDF")</f>
        <v/>
      </c>
      <c r="G934" t="inlineStr">
        <is>
          <t>cmm55w57p0004cuisfrtpqly8</t>
        </is>
      </c>
      <c r="H934" t="inlineStr">
        <is>
          <t>Beslutsvillkor</t>
        </is>
      </c>
      <c r="I934" t="inlineStr">
        <is>
          <t>LagringsvolymTid</t>
        </is>
      </c>
      <c r="J934" t="inlineStr">
        <is>
          <t>Maxmangd</t>
        </is>
      </c>
      <c r="K934" t="inlineStr">
        <is>
          <t>Egen transport av avfall, avfallslag och mängd/år Beskriv hur ni uppfyller producentansvaret (förpackningar, returpapper, elektroniska produkter, glödlampor och vissa belysningsarmaturer samt däck).</t>
        </is>
      </c>
      <c r="L934" t="inlineStr">
        <is>
          <t>Egen transport av avfall, avfallslag och mängd/år Beskriv hur ni uppfyller producentansvaret (förpackningar, returpapper, elektroniska produkter, glödlampor och vissa belysningsarmaturer samt däck).</t>
        </is>
      </c>
      <c r="M934" t="inlineStr">
        <is>
          <t>SKA</t>
        </is>
      </c>
      <c r="N934" t="inlineStr"/>
      <c r="O934" t="inlineStr"/>
      <c r="P934" t="inlineStr"/>
      <c r="Q934" t="inlineStr"/>
      <c r="R934" t="inlineStr">
        <is>
          <t>Alltid</t>
        </is>
      </c>
      <c r="S934" t="inlineStr"/>
      <c r="T934" t="inlineStr">
        <is>
          <t>556678</t>
        </is>
      </c>
      <c r="U934" t="inlineStr"/>
      <c r="V934" t="inlineStr"/>
      <c r="W934" t="inlineStr">
        <is>
          <t>Nej</t>
        </is>
      </c>
      <c r="X934" t="inlineStr">
        <is>
          <t>Nej</t>
        </is>
      </c>
      <c r="Y934" t="inlineStr">
        <is>
          <t>Nej</t>
        </is>
      </c>
      <c r="Z934" t="inlineStr">
        <is>
          <t>Nej</t>
        </is>
      </c>
      <c r="AA934" t="n">
        <v>4</v>
      </c>
      <c r="AB934" t="inlineStr">
        <is>
          <t>Avfallsmangder och lagringstid</t>
        </is>
      </c>
      <c r="AC934" t="inlineStr">
        <is>
          <t>Avfallsforteckning</t>
        </is>
      </c>
      <c r="AD934" t="inlineStr">
        <is>
          <t>Nej</t>
        </is>
      </c>
      <c r="AE934" t="inlineStr">
        <is>
          <t>Nej</t>
        </is>
      </c>
      <c r="AF934" t="inlineStr">
        <is>
          <t>Ej behandlad</t>
        </is>
      </c>
      <c r="AG934" t="inlineStr">
        <is>
          <t>AUTO_GENERERAD. Verifiera citat mot kallfil.</t>
        </is>
      </c>
      <c r="AH934" t="inlineStr">
        <is>
          <t>MEDIUM</t>
        </is>
      </c>
      <c r="AI934" t="inlineStr">
        <is>
          <t>AUTO</t>
        </is>
      </c>
      <c r="AJ934" t="inlineStr">
        <is>
          <t>Nej</t>
        </is>
      </c>
      <c r="AK934" t="inlineStr"/>
      <c r="AL934" t="inlineStr"/>
      <c r="AM934" t="inlineStr"/>
      <c r="AN934" t="inlineStr"/>
      <c r="AO934" t="inlineStr">
        <is>
          <t>cmm4yurb604dbcuqwpk6azwk6</t>
        </is>
      </c>
      <c r="AP934" t="inlineStr">
        <is>
          <t>http://localhost:8787/api/admin/requirements/documents/cmm4yurb604dbcuqwpk6azwk6/view</t>
        </is>
      </c>
      <c r="AQ934">
        <f>HYPERLÄNK("http://localhost:8787/api/admin/requirements/documents/cmm4yurb604dbcuqwpk6azwk6/view";"Öppna PDF")</f>
        <v/>
      </c>
      <c r="AR934">
        <f>HYPERLINK("http://localhost:8787/api/admin/requirements/documents/cmm4yurb604dbcuqwpk6azwk6/view","Open PDF")</f>
        <v/>
      </c>
      <c r="AS934" t="inlineStr">
        <is>
          <t>cmm55w57p0004cuisfrtpqly8</t>
        </is>
      </c>
      <c r="AT934" t="inlineStr">
        <is>
          <t>cmm4xvu980000cuh4vj0usz09</t>
        </is>
      </c>
      <c r="AU934" t="inlineStr"/>
      <c r="AV934" t="inlineStr">
        <is>
          <t>Kommun</t>
        </is>
      </c>
      <c r="AW934" t="inlineStr"/>
      <c r="AX934" t="inlineStr">
        <is>
          <t>0472-150</t>
        </is>
      </c>
      <c r="AY934" t="inlineStr">
        <is>
          <t>Beslut</t>
        </is>
      </c>
      <c r="AZ934" t="inlineStr">
        <is>
          <t>2026-02-11</t>
        </is>
      </c>
      <c r="BA934" t="inlineStr">
        <is>
          <t>2024.1848..pdf</t>
        </is>
      </c>
      <c r="BB934" t="inlineStr">
        <is>
          <t>Handlingar</t>
        </is>
      </c>
      <c r="BC934" t="inlineStr">
        <is>
          <t>AUTO</t>
        </is>
      </c>
      <c r="BD934" t="inlineStr"/>
      <c r="BE934" t="inlineStr"/>
      <c r="BF934" t="inlineStr">
        <is>
          <t>AUTO_GENERERAD. Bekrafta metadata mot kallfil.</t>
        </is>
      </c>
      <c r="BG934">
        <f>HYPERLINK("C:\Users\jimmy\Desktop\Examens arbete\Kod\Ny mapp\remix_-copy-of-miljöbeslut.se-portal\2024.1848..pdf", "Öppna PDF")</f>
        <v/>
      </c>
    </row>
    <row r="935">
      <c r="A935" t="inlineStr">
        <is>
          <t>KRAV-AUTO-000934</t>
        </is>
      </c>
      <c r="B935" t="inlineStr">
        <is>
          <t>ADMIN-INDEX-2026-02-27-00000000125C043F57453246863FE664CAFE6A3F0700950291EA24F0614FB6ACEDB12BF0E31D00000000010C0000950291EA24F0614FB6ACEDB12BF0E31D00002087A5860000</t>
        </is>
      </c>
      <c r="C935" t="inlineStr">
        <is>
          <t>cmm4yurb904decuqwh6xg10ur</t>
        </is>
      </c>
      <c r="D935" t="inlineStr">
        <is>
          <t>http://localhost:8787/api/admin/requirements/documents/cmm4yurb904decuqwh6xg10ur/view</t>
        </is>
      </c>
      <c r="E935">
        <f>HYPERLÄNK("http://localhost:8787/api/admin/requirements/documents/cmm4yurb904decuqwh6xg10ur/view";"Öppna PDF")</f>
        <v/>
      </c>
      <c r="F935">
        <f>HYPERLINK("http://localhost:8787/api/admin/requirements/documents/cmm4yurb904decuqwh6xg10ur/view","Open PDF")</f>
        <v/>
      </c>
      <c r="G935" t="inlineStr">
        <is>
          <t>cmm55w57p0004cuisfrtpqly8</t>
        </is>
      </c>
      <c r="H935" t="inlineStr">
        <is>
          <t>Beslutsvillkor</t>
        </is>
      </c>
      <c r="I935" t="inlineStr">
        <is>
          <t>LagringsvolymTid</t>
        </is>
      </c>
      <c r="J935" t="inlineStr">
        <is>
          <t>Maxmangd</t>
        </is>
      </c>
      <c r="K935" t="inlineStr">
        <is>
          <t>Betong som vi ska använda som jordförbättring.</t>
        </is>
      </c>
      <c r="L935" t="inlineStr">
        <is>
          <t>Betong som vi ska använda som jordförbättring.</t>
        </is>
      </c>
      <c r="M935" t="inlineStr">
        <is>
          <t>SKA</t>
        </is>
      </c>
      <c r="N935" t="inlineStr"/>
      <c r="O935" t="inlineStr"/>
      <c r="P935" t="inlineStr"/>
      <c r="Q935" t="inlineStr"/>
      <c r="R935" t="inlineStr">
        <is>
          <t>Alltid</t>
        </is>
      </c>
      <c r="S935" t="inlineStr"/>
      <c r="T935" t="inlineStr">
        <is>
          <t>556678</t>
        </is>
      </c>
      <c r="U935" t="inlineStr"/>
      <c r="V935" t="inlineStr"/>
      <c r="W935" t="inlineStr">
        <is>
          <t>Nej</t>
        </is>
      </c>
      <c r="X935" t="inlineStr">
        <is>
          <t>Nej</t>
        </is>
      </c>
      <c r="Y935" t="inlineStr">
        <is>
          <t>Nej</t>
        </is>
      </c>
      <c r="Z935" t="inlineStr">
        <is>
          <t>Nej</t>
        </is>
      </c>
      <c r="AA935" t="n">
        <v>4</v>
      </c>
      <c r="AB935" t="inlineStr">
        <is>
          <t>Avfallsmangder och lagringstid</t>
        </is>
      </c>
      <c r="AC935" t="inlineStr">
        <is>
          <t>Avfallsforteckning</t>
        </is>
      </c>
      <c r="AD935" t="inlineStr">
        <is>
          <t>Nej</t>
        </is>
      </c>
      <c r="AE935" t="inlineStr">
        <is>
          <t>Nej</t>
        </is>
      </c>
      <c r="AF935" t="inlineStr">
        <is>
          <t>Ej behandlad</t>
        </is>
      </c>
      <c r="AG935" t="inlineStr">
        <is>
          <t>AUTO_GENERERAD. Verifiera citat mot kallfil.</t>
        </is>
      </c>
      <c r="AH935" t="inlineStr">
        <is>
          <t>MEDIUM</t>
        </is>
      </c>
      <c r="AI935" t="inlineStr">
        <is>
          <t>AUTO</t>
        </is>
      </c>
      <c r="AJ935" t="inlineStr">
        <is>
          <t>Nej</t>
        </is>
      </c>
      <c r="AK935" t="inlineStr"/>
      <c r="AL935" t="inlineStr"/>
      <c r="AM935" t="inlineStr"/>
      <c r="AN935" t="inlineStr"/>
      <c r="AO935" t="inlineStr">
        <is>
          <t>cmm4yurb604dbcuqwpk6azwk6</t>
        </is>
      </c>
      <c r="AP935" t="inlineStr">
        <is>
          <t>http://localhost:8787/api/admin/requirements/documents/cmm4yurb604dbcuqwpk6azwk6/view</t>
        </is>
      </c>
      <c r="AQ935">
        <f>HYPERLÄNK("http://localhost:8787/api/admin/requirements/documents/cmm4yurb604dbcuqwpk6azwk6/view";"Öppna PDF")</f>
        <v/>
      </c>
      <c r="AR935">
        <f>HYPERLINK("http://localhost:8787/api/admin/requirements/documents/cmm4yurb604dbcuqwpk6azwk6/view","Open PDF")</f>
        <v/>
      </c>
      <c r="AS935" t="inlineStr">
        <is>
          <t>cmm55w57p0004cuisfrtpqly8</t>
        </is>
      </c>
      <c r="AT935" t="inlineStr">
        <is>
          <t>cmm4xvu980000cuh4vj0usz09</t>
        </is>
      </c>
      <c r="AU935" t="inlineStr"/>
      <c r="AV935" t="inlineStr">
        <is>
          <t>Kommun</t>
        </is>
      </c>
      <c r="AW935" t="inlineStr"/>
      <c r="AX935" t="inlineStr">
        <is>
          <t>0472-150</t>
        </is>
      </c>
      <c r="AY935" t="inlineStr">
        <is>
          <t>Beslut</t>
        </is>
      </c>
      <c r="AZ935" t="inlineStr">
        <is>
          <t>2026-02-11</t>
        </is>
      </c>
      <c r="BA935" t="inlineStr">
        <is>
          <t>2024.1848..pdf</t>
        </is>
      </c>
      <c r="BB935" t="inlineStr">
        <is>
          <t>Handlingar</t>
        </is>
      </c>
      <c r="BC935" t="inlineStr">
        <is>
          <t>AUTO</t>
        </is>
      </c>
      <c r="BD935" t="inlineStr"/>
      <c r="BE935" t="inlineStr"/>
      <c r="BF935" t="inlineStr">
        <is>
          <t>AUTO_GENERERAD. Bekrafta metadata mot kallfil.</t>
        </is>
      </c>
      <c r="BG935">
        <f>HYPERLINK("C:\Users\jimmy\Desktop\Examens arbete\Kod\Ny mapp\remix_-copy-of-miljöbeslut.se-portal\2024.1848..pdf", "Öppna PDF")</f>
        <v/>
      </c>
    </row>
    <row r="936">
      <c r="A936" t="inlineStr">
        <is>
          <t>KRAV-AUTO-000935</t>
        </is>
      </c>
      <c r="B936" t="inlineStr">
        <is>
          <t>ADMIN-INDEX-2026-02-27-00000000125C043F57453246863FE664CAFE6A3F0700950291EA24F0614FB6ACEDB12BF0E31D00000000010C0000950291EA24F0614FB6ACEDB12BF0E31D00002087A5860000</t>
        </is>
      </c>
      <c r="C936" t="inlineStr">
        <is>
          <t>cmm4yurb004d5cuqw4su9cv29</t>
        </is>
      </c>
      <c r="D936" t="inlineStr">
        <is>
          <t>http://localhost:8787/api/admin/requirements/documents/cmm4yurb004d5cuqw4su9cv29/view</t>
        </is>
      </c>
      <c r="E936">
        <f>HYPERLÄNK("http://localhost:8787/api/admin/requirements/documents/cmm4yurb004d5cuqw4su9cv29/view";"Öppna PDF")</f>
        <v/>
      </c>
      <c r="F936">
        <f>HYPERLINK("http://localhost:8787/api/admin/requirements/documents/cmm4yurb004d5cuqw4su9cv29/view","Open PDF")</f>
        <v/>
      </c>
      <c r="G936" t="inlineStr">
        <is>
          <t>cmm55w57p0004cuisfrtpqly8</t>
        </is>
      </c>
      <c r="H936" t="inlineStr">
        <is>
          <t>Beslutsvillkor</t>
        </is>
      </c>
      <c r="I936" t="inlineStr">
        <is>
          <t>DagvattenLakvatten</t>
        </is>
      </c>
      <c r="J936" t="inlineStr">
        <is>
          <t>Uppsamling</t>
        </is>
      </c>
      <c r="K936" t="inlineStr">
        <is>
          <t>Absorptionsmedel och tätningslock till dagvattenbrunnar ska finnas där hantering av farligt avfall och kemiska produkter sker.</t>
        </is>
      </c>
      <c r="L936" t="inlineStr">
        <is>
          <t>Absorptionsmedel och tätningslock till dagvattenbrunnar ska finnas där hantering av farligt avfall och kemiska produkter sker.</t>
        </is>
      </c>
      <c r="M936" t="inlineStr">
        <is>
          <t>SKA</t>
        </is>
      </c>
      <c r="N936" t="inlineStr"/>
      <c r="O936" t="inlineStr"/>
      <c r="P936" t="inlineStr">
        <is>
          <t>Arlig</t>
        </is>
      </c>
      <c r="Q936" t="inlineStr"/>
      <c r="R936" t="inlineStr">
        <is>
          <t>Vid nederbord och avrinning</t>
        </is>
      </c>
      <c r="S936" t="inlineStr"/>
      <c r="T936" t="inlineStr">
        <is>
          <t>212000</t>
        </is>
      </c>
      <c r="U936" t="inlineStr"/>
      <c r="V936" t="inlineStr"/>
      <c r="W936" t="inlineStr">
        <is>
          <t>Nej</t>
        </is>
      </c>
      <c r="X936" t="inlineStr">
        <is>
          <t>Ja</t>
        </is>
      </c>
      <c r="Y936" t="inlineStr">
        <is>
          <t>Ja</t>
        </is>
      </c>
      <c r="Z936" t="inlineStr">
        <is>
          <t>Nej</t>
        </is>
      </c>
      <c r="AA936" t="n">
        <v>6</v>
      </c>
      <c r="AB936" t="inlineStr">
        <is>
          <t>Lakvattenhantering</t>
        </is>
      </c>
      <c r="AC936" t="inlineStr">
        <is>
          <t>Flodesschema dagvatten-lakvatten</t>
        </is>
      </c>
      <c r="AD936" t="inlineStr">
        <is>
          <t>Nej</t>
        </is>
      </c>
      <c r="AE936" t="inlineStr">
        <is>
          <t>Nej</t>
        </is>
      </c>
      <c r="AF936" t="inlineStr">
        <is>
          <t>Ej behandlad</t>
        </is>
      </c>
      <c r="AG936" t="inlineStr">
        <is>
          <t>AUTO_GENERERAD. Verifiera citat mot kallfil.</t>
        </is>
      </c>
      <c r="AH936" t="inlineStr">
        <is>
          <t>MEDIUM</t>
        </is>
      </c>
      <c r="AI936" t="inlineStr">
        <is>
          <t>AUTO</t>
        </is>
      </c>
      <c r="AJ936" t="inlineStr">
        <is>
          <t>Nej</t>
        </is>
      </c>
      <c r="AK936" t="inlineStr"/>
      <c r="AL936" t="inlineStr"/>
      <c r="AM936" t="inlineStr"/>
      <c r="AN936" t="inlineStr"/>
      <c r="AO936" t="inlineStr">
        <is>
          <t>cmm4yurb604dbcuqwpk6azwk6</t>
        </is>
      </c>
      <c r="AP936" t="inlineStr">
        <is>
          <t>http://localhost:8787/api/admin/requirements/documents/cmm4yurb604dbcuqwpk6azwk6/view</t>
        </is>
      </c>
      <c r="AQ936">
        <f>HYPERLÄNK("http://localhost:8787/api/admin/requirements/documents/cmm4yurb604dbcuqwpk6azwk6/view";"Öppna PDF")</f>
        <v/>
      </c>
      <c r="AR936">
        <f>HYPERLINK("http://localhost:8787/api/admin/requirements/documents/cmm4yurb604dbcuqwpk6azwk6/view","Open PDF")</f>
        <v/>
      </c>
      <c r="AS936" t="inlineStr">
        <is>
          <t>cmm55w57p0004cuisfrtpqly8</t>
        </is>
      </c>
      <c r="AT936" t="inlineStr">
        <is>
          <t>cmm4xvu980000cuh4vj0usz09</t>
        </is>
      </c>
      <c r="AU936" t="inlineStr"/>
      <c r="AV936" t="inlineStr">
        <is>
          <t>Kommun</t>
        </is>
      </c>
      <c r="AW936" t="inlineStr"/>
      <c r="AX936" t="inlineStr">
        <is>
          <t>0472-150</t>
        </is>
      </c>
      <c r="AY936" t="inlineStr">
        <is>
          <t>Beslut</t>
        </is>
      </c>
      <c r="AZ936" t="inlineStr">
        <is>
          <t>2026-02-11</t>
        </is>
      </c>
      <c r="BA936" t="inlineStr">
        <is>
          <t>2024.1848..pdf</t>
        </is>
      </c>
      <c r="BB936" t="inlineStr">
        <is>
          <t>Handlingar</t>
        </is>
      </c>
      <c r="BC936" t="inlineStr">
        <is>
          <t>AUTO</t>
        </is>
      </c>
      <c r="BD936" t="inlineStr"/>
      <c r="BE936" t="inlineStr"/>
      <c r="BF936" t="inlineStr">
        <is>
          <t>AUTO_GENERERAD. Bekrafta metadata mot kallfil.</t>
        </is>
      </c>
      <c r="BG936">
        <f>HYPERLINK("C:\Users\jimmy\Desktop\Examens arbete\Kod\Ny mapp\remix_-copy-of-miljöbeslut.se-portal\2024.1848..pdf", "Öppna PDF")</f>
        <v/>
      </c>
    </row>
    <row r="937">
      <c r="A937" t="inlineStr">
        <is>
          <t>KRAV-AUTO-000936</t>
        </is>
      </c>
      <c r="B937" t="inlineStr">
        <is>
          <t>ADMIN-INDEX-2026-02-27-00000000125C043F57453246863FE664CAFE6A3F0700950291EA24F0614FB6ACEDB12BF0E31D00000000010C0000950291EA24F0614FB6ACEDB12BF0E31D00002087A5860000</t>
        </is>
      </c>
      <c r="C937" t="inlineStr">
        <is>
          <t>cmm4yurb004d5cuqw4su9cv29</t>
        </is>
      </c>
      <c r="D937" t="inlineStr">
        <is>
          <t>http://localhost:8787/api/admin/requirements/documents/cmm4yurb004d5cuqw4su9cv29/view</t>
        </is>
      </c>
      <c r="E937">
        <f>HYPERLÄNK("http://localhost:8787/api/admin/requirements/documents/cmm4yurb004d5cuqw4su9cv29/view";"Öppna PDF")</f>
        <v/>
      </c>
      <c r="F937">
        <f>HYPERLINK("http://localhost:8787/api/admin/requirements/documents/cmm4yurb004d5cuqw4su9cv29/view","Open PDF")</f>
        <v/>
      </c>
      <c r="G937" t="inlineStr">
        <is>
          <t>cmm55w57p0004cuisfrtpqly8</t>
        </is>
      </c>
      <c r="H937" t="inlineStr">
        <is>
          <t>Beslutsvillkor</t>
        </is>
      </c>
      <c r="I937" t="inlineStr">
        <is>
          <t>MiljopaverkanForsiktighet</t>
        </is>
      </c>
      <c r="J937" t="inlineStr">
        <is>
          <t>Skyddsatgarder</t>
        </is>
      </c>
      <c r="K937" t="inlineStr">
        <is>
          <t>Avfall ska källsorteras.</t>
        </is>
      </c>
      <c r="L937" t="inlineStr">
        <is>
          <t>Avfall ska källsorteras.</t>
        </is>
      </c>
      <c r="M937" t="inlineStr">
        <is>
          <t>SKA</t>
        </is>
      </c>
      <c r="N937" t="inlineStr"/>
      <c r="O937" t="inlineStr"/>
      <c r="P937" t="inlineStr"/>
      <c r="Q937" t="inlineStr"/>
      <c r="R937" t="inlineStr">
        <is>
          <t>Alltid</t>
        </is>
      </c>
      <c r="S937" t="inlineStr"/>
      <c r="T937" t="inlineStr">
        <is>
          <t>212000</t>
        </is>
      </c>
      <c r="U937" t="inlineStr"/>
      <c r="V937" t="inlineStr"/>
      <c r="W937" t="inlineStr">
        <is>
          <t>Nej</t>
        </is>
      </c>
      <c r="X937" t="inlineStr">
        <is>
          <t>Nej</t>
        </is>
      </c>
      <c r="Y937" t="inlineStr">
        <is>
          <t>Nej</t>
        </is>
      </c>
      <c r="Z937" t="inlineStr">
        <is>
          <t>Nej</t>
        </is>
      </c>
      <c r="AA937" t="n">
        <v>10</v>
      </c>
      <c r="AB937" t="inlineStr">
        <is>
          <t>Miljopaverkan och forsiktighetsmatt</t>
        </is>
      </c>
      <c r="AC937" t="inlineStr">
        <is>
          <t>Miljo-PM</t>
        </is>
      </c>
      <c r="AD937" t="inlineStr">
        <is>
          <t>Nej</t>
        </is>
      </c>
      <c r="AE937" t="inlineStr">
        <is>
          <t>Nej</t>
        </is>
      </c>
      <c r="AF937" t="inlineStr">
        <is>
          <t>Ej behandlad</t>
        </is>
      </c>
      <c r="AG937" t="inlineStr">
        <is>
          <t>AUTO_GENERERAD. Verifiera citat mot kallfil.</t>
        </is>
      </c>
      <c r="AH937" t="inlineStr">
        <is>
          <t>LOW</t>
        </is>
      </c>
      <c r="AI937" t="inlineStr">
        <is>
          <t>AUTO</t>
        </is>
      </c>
      <c r="AJ937" t="inlineStr">
        <is>
          <t>Nej</t>
        </is>
      </c>
      <c r="AK937" t="inlineStr"/>
      <c r="AL937" t="inlineStr"/>
      <c r="AM937" t="inlineStr"/>
      <c r="AN937" t="inlineStr"/>
      <c r="AO937" t="inlineStr">
        <is>
          <t>cmm4yurb604dbcuqwpk6azwk6</t>
        </is>
      </c>
      <c r="AP937" t="inlineStr">
        <is>
          <t>http://localhost:8787/api/admin/requirements/documents/cmm4yurb604dbcuqwpk6azwk6/view</t>
        </is>
      </c>
      <c r="AQ937">
        <f>HYPERLÄNK("http://localhost:8787/api/admin/requirements/documents/cmm4yurb604dbcuqwpk6azwk6/view";"Öppna PDF")</f>
        <v/>
      </c>
      <c r="AR937">
        <f>HYPERLINK("http://localhost:8787/api/admin/requirements/documents/cmm4yurb604dbcuqwpk6azwk6/view","Open PDF")</f>
        <v/>
      </c>
      <c r="AS937" t="inlineStr">
        <is>
          <t>cmm55w57p0004cuisfrtpqly8</t>
        </is>
      </c>
      <c r="AT937" t="inlineStr">
        <is>
          <t>cmm4xvu980000cuh4vj0usz09</t>
        </is>
      </c>
      <c r="AU937" t="inlineStr"/>
      <c r="AV937" t="inlineStr">
        <is>
          <t>Kommun</t>
        </is>
      </c>
      <c r="AW937" t="inlineStr"/>
      <c r="AX937" t="inlineStr">
        <is>
          <t>0472-150</t>
        </is>
      </c>
      <c r="AY937" t="inlineStr">
        <is>
          <t>Beslut</t>
        </is>
      </c>
      <c r="AZ937" t="inlineStr">
        <is>
          <t>2026-02-11</t>
        </is>
      </c>
      <c r="BA937" t="inlineStr">
        <is>
          <t>2024.1848..pdf</t>
        </is>
      </c>
      <c r="BB937" t="inlineStr">
        <is>
          <t>Handlingar</t>
        </is>
      </c>
      <c r="BC937" t="inlineStr">
        <is>
          <t>AUTO</t>
        </is>
      </c>
      <c r="BD937" t="inlineStr"/>
      <c r="BE937" t="inlineStr"/>
      <c r="BF937" t="inlineStr">
        <is>
          <t>AUTO_GENERERAD. Bekrafta metadata mot kallfil.</t>
        </is>
      </c>
      <c r="BG937">
        <f>HYPERLINK("C:\Users\jimmy\Desktop\Examens arbete\Kod\Ny mapp\remix_-copy-of-miljöbeslut.se-portal\2024.1848..pdf", "Öppna PDF")</f>
        <v/>
      </c>
    </row>
    <row r="938">
      <c r="A938" t="inlineStr">
        <is>
          <t>KRAV-AUTO-000937</t>
        </is>
      </c>
      <c r="B938" t="inlineStr">
        <is>
          <t>ADMIN-INDEX-2026-02-27-00000000125C043F57453246863FE664CAFE6A3F0700950291EA24F0614FB6ACEDB12BF0E31D00000000010C0000950291EA24F0614FB6ACEDB12BF0E31D00002087A5860000</t>
        </is>
      </c>
      <c r="C938" t="inlineStr">
        <is>
          <t>cmm4yurb004d5cuqw4su9cv29</t>
        </is>
      </c>
      <c r="D938" t="inlineStr">
        <is>
          <t>http://localhost:8787/api/admin/requirements/documents/cmm4yurb004d5cuqw4su9cv29/view</t>
        </is>
      </c>
      <c r="E938">
        <f>HYPERLÄNK("http://localhost:8787/api/admin/requirements/documents/cmm4yurb004d5cuqw4su9cv29/view";"Öppna PDF")</f>
        <v/>
      </c>
      <c r="F938">
        <f>HYPERLINK("http://localhost:8787/api/admin/requirements/documents/cmm4yurb004d5cuqw4su9cv29/view","Open PDF")</f>
        <v/>
      </c>
      <c r="G938" t="inlineStr">
        <is>
          <t>cmm55w57p0004cuisfrtpqly8</t>
        </is>
      </c>
      <c r="H938" t="inlineStr">
        <is>
          <t>Beslutsvillkor</t>
        </is>
      </c>
      <c r="I938" t="inlineStr">
        <is>
          <t>TransportLogistik</t>
        </is>
      </c>
      <c r="J938" t="inlineStr">
        <is>
          <t>Transportvagar</t>
        </is>
      </c>
      <c r="K938" t="inlineStr">
        <is>
          <t>Bolaget ska förvissa sig om att de som anlitas för transport och mottagande av avfall har tillstånd.</t>
        </is>
      </c>
      <c r="L938" t="inlineStr">
        <is>
          <t>Bolaget ska förvissa sig om att de som anlitas för transport och mottagande av avfall har tillstånd.</t>
        </is>
      </c>
      <c r="M938" t="inlineStr">
        <is>
          <t>SKA</t>
        </is>
      </c>
      <c r="N938" t="inlineStr"/>
      <c r="O938" t="inlineStr"/>
      <c r="P938" t="inlineStr"/>
      <c r="Q938" t="inlineStr"/>
      <c r="R938" t="inlineStr">
        <is>
          <t>Vid transporter</t>
        </is>
      </c>
      <c r="S938" t="inlineStr"/>
      <c r="T938" t="inlineStr">
        <is>
          <t>212000</t>
        </is>
      </c>
      <c r="U938" t="inlineStr"/>
      <c r="V938" t="inlineStr"/>
      <c r="W938" t="inlineStr">
        <is>
          <t>Nej</t>
        </is>
      </c>
      <c r="X938" t="inlineStr">
        <is>
          <t>Nej</t>
        </is>
      </c>
      <c r="Y938" t="inlineStr">
        <is>
          <t>Nej</t>
        </is>
      </c>
      <c r="Z938" t="inlineStr">
        <is>
          <t>Ja</t>
        </is>
      </c>
      <c r="AA938" t="n">
        <v>9</v>
      </c>
      <c r="AB938" t="inlineStr">
        <is>
          <t>Transporter och logistik</t>
        </is>
      </c>
      <c r="AC938" t="inlineStr">
        <is>
          <t>Trafikplan</t>
        </is>
      </c>
      <c r="AD938" t="inlineStr">
        <is>
          <t>Nej</t>
        </is>
      </c>
      <c r="AE938" t="inlineStr">
        <is>
          <t>Nej</t>
        </is>
      </c>
      <c r="AF938" t="inlineStr">
        <is>
          <t>Ej behandlad</t>
        </is>
      </c>
      <c r="AG938" t="inlineStr">
        <is>
          <t>AUTO_GENERERAD. Verifiera citat mot kallfil.</t>
        </is>
      </c>
      <c r="AH938" t="inlineStr">
        <is>
          <t>MEDIUM</t>
        </is>
      </c>
      <c r="AI938" t="inlineStr">
        <is>
          <t>AUTO</t>
        </is>
      </c>
      <c r="AJ938" t="inlineStr">
        <is>
          <t>Nej</t>
        </is>
      </c>
      <c r="AK938" t="inlineStr"/>
      <c r="AL938" t="inlineStr"/>
      <c r="AM938" t="inlineStr"/>
      <c r="AN938" t="inlineStr"/>
      <c r="AO938" t="inlineStr">
        <is>
          <t>cmm4yurb604dbcuqwpk6azwk6</t>
        </is>
      </c>
      <c r="AP938" t="inlineStr">
        <is>
          <t>http://localhost:8787/api/admin/requirements/documents/cmm4yurb604dbcuqwpk6azwk6/view</t>
        </is>
      </c>
      <c r="AQ938">
        <f>HYPERLÄNK("http://localhost:8787/api/admin/requirements/documents/cmm4yurb604dbcuqwpk6azwk6/view";"Öppna PDF")</f>
        <v/>
      </c>
      <c r="AR938">
        <f>HYPERLINK("http://localhost:8787/api/admin/requirements/documents/cmm4yurb604dbcuqwpk6azwk6/view","Open PDF")</f>
        <v/>
      </c>
      <c r="AS938" t="inlineStr">
        <is>
          <t>cmm55w57p0004cuisfrtpqly8</t>
        </is>
      </c>
      <c r="AT938" t="inlineStr">
        <is>
          <t>cmm4xvu980000cuh4vj0usz09</t>
        </is>
      </c>
      <c r="AU938" t="inlineStr"/>
      <c r="AV938" t="inlineStr">
        <is>
          <t>Kommun</t>
        </is>
      </c>
      <c r="AW938" t="inlineStr"/>
      <c r="AX938" t="inlineStr">
        <is>
          <t>0472-150</t>
        </is>
      </c>
      <c r="AY938" t="inlineStr">
        <is>
          <t>Beslut</t>
        </is>
      </c>
      <c r="AZ938" t="inlineStr">
        <is>
          <t>2026-02-11</t>
        </is>
      </c>
      <c r="BA938" t="inlineStr">
        <is>
          <t>2024.1848..pdf</t>
        </is>
      </c>
      <c r="BB938" t="inlineStr">
        <is>
          <t>Handlingar</t>
        </is>
      </c>
      <c r="BC938" t="inlineStr">
        <is>
          <t>AUTO</t>
        </is>
      </c>
      <c r="BD938" t="inlineStr"/>
      <c r="BE938" t="inlineStr"/>
      <c r="BF938" t="inlineStr">
        <is>
          <t>AUTO_GENERERAD. Bekrafta metadata mot kallfil.</t>
        </is>
      </c>
      <c r="BG938">
        <f>HYPERLINK("C:\Users\jimmy\Desktop\Examens arbete\Kod\Ny mapp\remix_-copy-of-miljöbeslut.se-portal\2024.1848..pdf", "Öppna PDF")</f>
        <v/>
      </c>
    </row>
    <row r="939">
      <c r="A939" t="inlineStr">
        <is>
          <t>KRAV-AUTO-000938</t>
        </is>
      </c>
      <c r="B939" t="inlineStr">
        <is>
          <t>ADMIN-INDEX-2026-02-27-00000000125C043F57453246863FE664CAFE6A3F0700950291EA24F0614FB6ACEDB12BF0E31D00000000010C0000950291EA24F0614FB6ACEDB12BF0E31D00002087A5860000</t>
        </is>
      </c>
      <c r="C939" t="inlineStr">
        <is>
          <t>cmm4yurau04czcuqwflga895p</t>
        </is>
      </c>
      <c r="D939" t="inlineStr">
        <is>
          <t>http://localhost:8787/api/admin/requirements/documents/cmm4yurau04czcuqwflga895p/view</t>
        </is>
      </c>
      <c r="E939">
        <f>HYPERLÄNK("http://localhost:8787/api/admin/requirements/documents/cmm4yurau04czcuqwflga895p/view";"Öppna PDF")</f>
        <v/>
      </c>
      <c r="F939">
        <f>HYPERLINK("http://localhost:8787/api/admin/requirements/documents/cmm4yurau04czcuqwflga895p/view","Open PDF")</f>
        <v/>
      </c>
      <c r="G939" t="inlineStr">
        <is>
          <t>cmm55w57p0004cuisfrtpqly8</t>
        </is>
      </c>
      <c r="H939" t="inlineStr">
        <is>
          <t>Beslutsvillkor</t>
        </is>
      </c>
      <c r="I939" t="inlineStr">
        <is>
          <t>DriftEgenkontroll</t>
        </is>
      </c>
      <c r="J939" t="inlineStr">
        <is>
          <t>Journalforing</t>
        </is>
      </c>
      <c r="K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is>
      </c>
      <c r="M939" t="inlineStr">
        <is>
          <t>SKA</t>
        </is>
      </c>
      <c r="N939" t="inlineStr"/>
      <c r="O939" t="inlineStr">
        <is>
          <t>2024-05-29</t>
        </is>
      </c>
      <c r="P939" t="inlineStr"/>
      <c r="Q939" t="inlineStr"/>
      <c r="R939" t="inlineStr">
        <is>
          <t>Lopande drift</t>
        </is>
      </c>
      <c r="S939" t="inlineStr"/>
      <c r="T939" t="inlineStr">
        <is>
          <t>212000</t>
        </is>
      </c>
      <c r="U939" t="inlineStr"/>
      <c r="V939" t="inlineStr"/>
      <c r="W939" t="inlineStr">
        <is>
          <t>Nej</t>
        </is>
      </c>
      <c r="X939" t="inlineStr">
        <is>
          <t>Nej</t>
        </is>
      </c>
      <c r="Y939" t="inlineStr">
        <is>
          <t>Ja</t>
        </is>
      </c>
      <c r="Z939" t="inlineStr">
        <is>
          <t>Nej</t>
        </is>
      </c>
      <c r="AA939" t="n">
        <v>7</v>
      </c>
      <c r="AB939" t="inlineStr">
        <is>
          <t>Egenkontrollrutiner</t>
        </is>
      </c>
      <c r="AC939" t="inlineStr">
        <is>
          <t>Egenkontrollprogram</t>
        </is>
      </c>
      <c r="AD939" t="inlineStr">
        <is>
          <t>Nej</t>
        </is>
      </c>
      <c r="AE939" t="inlineStr">
        <is>
          <t>Nej</t>
        </is>
      </c>
      <c r="AF939" t="inlineStr">
        <is>
          <t>Ej behandlad</t>
        </is>
      </c>
      <c r="AG939" t="inlineStr">
        <is>
          <t>AUTO_GENERERAD. Verifiera citat mot kallfil.</t>
        </is>
      </c>
      <c r="AH939" t="inlineStr">
        <is>
          <t>MEDIUM</t>
        </is>
      </c>
      <c r="AI939" t="inlineStr">
        <is>
          <t>AUTO</t>
        </is>
      </c>
      <c r="AJ939" t="inlineStr">
        <is>
          <t>Nej</t>
        </is>
      </c>
      <c r="AK939" t="inlineStr"/>
      <c r="AL939" t="inlineStr"/>
      <c r="AM939" t="inlineStr"/>
      <c r="AN939" t="inlineStr"/>
      <c r="AO939" t="inlineStr">
        <is>
          <t>cmm4yurb604dbcuqwpk6azwk6</t>
        </is>
      </c>
      <c r="AP939" t="inlineStr">
        <is>
          <t>http://localhost:8787/api/admin/requirements/documents/cmm4yurb604dbcuqwpk6azwk6/view</t>
        </is>
      </c>
      <c r="AQ939">
        <f>HYPERLÄNK("http://localhost:8787/api/admin/requirements/documents/cmm4yurb604dbcuqwpk6azwk6/view";"Öppna PDF")</f>
        <v/>
      </c>
      <c r="AR939">
        <f>HYPERLINK("http://localhost:8787/api/admin/requirements/documents/cmm4yurb604dbcuqwpk6azwk6/view","Open PDF")</f>
        <v/>
      </c>
      <c r="AS939" t="inlineStr">
        <is>
          <t>cmm55w57p0004cuisfrtpqly8</t>
        </is>
      </c>
      <c r="AT939" t="inlineStr">
        <is>
          <t>cmm4xvu980000cuh4vj0usz09</t>
        </is>
      </c>
      <c r="AU939" t="inlineStr"/>
      <c r="AV939" t="inlineStr">
        <is>
          <t>Kommun</t>
        </is>
      </c>
      <c r="AW939" t="inlineStr"/>
      <c r="AX939" t="inlineStr">
        <is>
          <t>0472-150</t>
        </is>
      </c>
      <c r="AY939" t="inlineStr">
        <is>
          <t>Beslut</t>
        </is>
      </c>
      <c r="AZ939" t="inlineStr">
        <is>
          <t>2026-02-11</t>
        </is>
      </c>
      <c r="BA939" t="inlineStr">
        <is>
          <t>2024.1848..pdf</t>
        </is>
      </c>
      <c r="BB939" t="inlineStr">
        <is>
          <t>Handlingar</t>
        </is>
      </c>
      <c r="BC939" t="inlineStr">
        <is>
          <t>AUTO</t>
        </is>
      </c>
      <c r="BD939" t="inlineStr"/>
      <c r="BE939" t="inlineStr"/>
      <c r="BF939" t="inlineStr">
        <is>
          <t>AUTO_GENERERAD. Bekrafta metadata mot kallfil.</t>
        </is>
      </c>
      <c r="BG939">
        <f>HYPERLINK("C:\Users\jimmy\Desktop\Examens arbete\Kod\Ny mapp\remix_-copy-of-miljöbeslut.se-portal\2024.1848..pdf", "Öppna PDF")</f>
        <v/>
      </c>
    </row>
    <row r="940">
      <c r="A940" t="inlineStr">
        <is>
          <t>KRAV-AUTO-000939</t>
        </is>
      </c>
      <c r="B940" t="inlineStr">
        <is>
          <t>ADMIN-INDEX-2026-02-27-00000000125C043F57453246863FE664CAFE6A3F0700950291EA24F0614FB6ACEDB12BF0E31D00000000010C0000950291EA24F0614FB6ACEDB12BF0E31D00002087A5860000</t>
        </is>
      </c>
      <c r="C940" t="inlineStr">
        <is>
          <t>cmm4yurau04czcuqwflga895p</t>
        </is>
      </c>
      <c r="D940" t="inlineStr">
        <is>
          <t>http://localhost:8787/api/admin/requirements/documents/cmm4yurau04czcuqwflga895p/view</t>
        </is>
      </c>
      <c r="E940">
        <f>HYPERLÄNK("http://localhost:8787/api/admin/requirements/documents/cmm4yurau04czcuqwflga895p/view";"Öppna PDF")</f>
        <v/>
      </c>
      <c r="F940">
        <f>HYPERLINK("http://localhost:8787/api/admin/requirements/documents/cmm4yurau04czcuqwflga895p/view","Open PDF")</f>
        <v/>
      </c>
      <c r="G940" t="inlineStr">
        <is>
          <t>cmm55w57p0004cuisfrtpqly8</t>
        </is>
      </c>
      <c r="H940" t="inlineStr">
        <is>
          <t>Beslutsvillkor</t>
        </is>
      </c>
      <c r="I940" t="inlineStr">
        <is>
          <t>DagvattenLakvatten</t>
        </is>
      </c>
      <c r="J940" t="inlineStr">
        <is>
          <t>Uppsamling</t>
        </is>
      </c>
      <c r="K940" t="inlineStr">
        <is>
          <t>I höjd med Aringsås 19:25's södra tomtgräns ska en schakt för dagvattenledning ske.</t>
        </is>
      </c>
      <c r="L940" t="inlineStr">
        <is>
          <t>I höjd med Aringsås 19:25's södra tomtgräns ska en schakt för dagvattenledning ske.</t>
        </is>
      </c>
      <c r="M940" t="inlineStr">
        <is>
          <t>SKA</t>
        </is>
      </c>
      <c r="N940" t="inlineStr"/>
      <c r="O940" t="inlineStr"/>
      <c r="P940" t="inlineStr"/>
      <c r="Q940" t="inlineStr"/>
      <c r="R940" t="inlineStr">
        <is>
          <t>Vid nederbord och avrinning</t>
        </is>
      </c>
      <c r="S940" t="inlineStr"/>
      <c r="T940" t="inlineStr">
        <is>
          <t>212000</t>
        </is>
      </c>
      <c r="U940" t="inlineStr"/>
      <c r="V940" t="inlineStr"/>
      <c r="W940" t="inlineStr">
        <is>
          <t>Nej</t>
        </is>
      </c>
      <c r="X940" t="inlineStr">
        <is>
          <t>Ja</t>
        </is>
      </c>
      <c r="Y940" t="inlineStr">
        <is>
          <t>Ja</t>
        </is>
      </c>
      <c r="Z940" t="inlineStr">
        <is>
          <t>Nej</t>
        </is>
      </c>
      <c r="AA940" t="n">
        <v>6</v>
      </c>
      <c r="AB940" t="inlineStr">
        <is>
          <t>Lakvattenhantering</t>
        </is>
      </c>
      <c r="AC940" t="inlineStr">
        <is>
          <t>Flodesschema dagvatten-lakvatten</t>
        </is>
      </c>
      <c r="AD940" t="inlineStr">
        <is>
          <t>Nej</t>
        </is>
      </c>
      <c r="AE940" t="inlineStr">
        <is>
          <t>Nej</t>
        </is>
      </c>
      <c r="AF940" t="inlineStr">
        <is>
          <t>Ej behandlad</t>
        </is>
      </c>
      <c r="AG940" t="inlineStr">
        <is>
          <t>AUTO_GENERERAD. Verifiera citat mot kallfil.</t>
        </is>
      </c>
      <c r="AH940" t="inlineStr">
        <is>
          <t>MEDIUM</t>
        </is>
      </c>
      <c r="AI940" t="inlineStr">
        <is>
          <t>AUTO</t>
        </is>
      </c>
      <c r="AJ940" t="inlineStr">
        <is>
          <t>Nej</t>
        </is>
      </c>
      <c r="AK940" t="inlineStr"/>
      <c r="AL940" t="inlineStr"/>
      <c r="AM940" t="inlineStr"/>
      <c r="AN940" t="inlineStr"/>
      <c r="AO940" t="inlineStr">
        <is>
          <t>cmm4yurb604dbcuqwpk6azwk6</t>
        </is>
      </c>
      <c r="AP940" t="inlineStr">
        <is>
          <t>http://localhost:8787/api/admin/requirements/documents/cmm4yurb604dbcuqwpk6azwk6/view</t>
        </is>
      </c>
      <c r="AQ940">
        <f>HYPERLÄNK("http://localhost:8787/api/admin/requirements/documents/cmm4yurb604dbcuqwpk6azwk6/view";"Öppna PDF")</f>
        <v/>
      </c>
      <c r="AR940">
        <f>HYPERLINK("http://localhost:8787/api/admin/requirements/documents/cmm4yurb604dbcuqwpk6azwk6/view","Open PDF")</f>
        <v/>
      </c>
      <c r="AS940" t="inlineStr">
        <is>
          <t>cmm55w57p0004cuisfrtpqly8</t>
        </is>
      </c>
      <c r="AT940" t="inlineStr">
        <is>
          <t>cmm4xvu980000cuh4vj0usz09</t>
        </is>
      </c>
      <c r="AU940" t="inlineStr"/>
      <c r="AV940" t="inlineStr">
        <is>
          <t>Kommun</t>
        </is>
      </c>
      <c r="AW940" t="inlineStr"/>
      <c r="AX940" t="inlineStr">
        <is>
          <t>0472-150</t>
        </is>
      </c>
      <c r="AY940" t="inlineStr">
        <is>
          <t>Beslut</t>
        </is>
      </c>
      <c r="AZ940" t="inlineStr">
        <is>
          <t>2026-02-11</t>
        </is>
      </c>
      <c r="BA940" t="inlineStr">
        <is>
          <t>2024.1848..pdf</t>
        </is>
      </c>
      <c r="BB940" t="inlineStr">
        <is>
          <t>Handlingar</t>
        </is>
      </c>
      <c r="BC940" t="inlineStr">
        <is>
          <t>AUTO</t>
        </is>
      </c>
      <c r="BD940" t="inlineStr"/>
      <c r="BE940" t="inlineStr"/>
      <c r="BF940" t="inlineStr">
        <is>
          <t>AUTO_GENERERAD. Bekrafta metadata mot kallfil.</t>
        </is>
      </c>
      <c r="BG940">
        <f>HYPERLINK("C:\Users\jimmy\Desktop\Examens arbete\Kod\Ny mapp\remix_-copy-of-miljöbeslut.se-portal\2024.1848..pdf", "Öppna PDF")</f>
        <v/>
      </c>
    </row>
    <row r="941">
      <c r="A941" t="inlineStr">
        <is>
          <t>KRAV-AUTO-000940</t>
        </is>
      </c>
      <c r="B941" t="inlineStr">
        <is>
          <t>ADMIN-INDEX-2026-02-27-00000000125C043F57453246863FE664CAFE6A3F0700950291EA24F0614FB6ACEDB12BF0E31D00000000010C0000950291EA24F0614FB6ACEDB12BF0E31D00002087ADF40000</t>
        </is>
      </c>
      <c r="C941" t="inlineStr">
        <is>
          <t>cmm4yuqfr03jkcuqweav0es2m</t>
        </is>
      </c>
      <c r="D941" t="inlineStr">
        <is>
          <t>http://localhost:8787/api/admin/requirements/documents/cmm4yuqfr03jkcuqweav0es2m/view</t>
        </is>
      </c>
      <c r="E941">
        <f>HYPERLÄNK("http://localhost:8787/api/admin/requirements/documents/cmm4yuqfr03jkcuqweav0es2m/view";"Öppna PDF")</f>
        <v/>
      </c>
      <c r="F941">
        <f>HYPERLINK("http://localhost:8787/api/admin/requirements/documents/cmm4yuqfr03jkcuqweav0es2m/view","Open PDF")</f>
        <v/>
      </c>
      <c r="G941" t="inlineStr">
        <is>
          <t>cmm55w57p0004cuisfrtpqly8</t>
        </is>
      </c>
      <c r="H941" t="inlineStr">
        <is>
          <t>Informationskrav</t>
        </is>
      </c>
      <c r="I941" t="inlineStr">
        <is>
          <t>LagringsvolymTid</t>
        </is>
      </c>
      <c r="J941" t="inlineStr">
        <is>
          <t>Maxmangd</t>
        </is>
      </c>
      <c r="K941" t="inlineStr">
        <is>
          <t>Antal lastbilstransporter beräknas till ca 20 per dag och totalmängden massor uppskattas till 10 000 ton.</t>
        </is>
      </c>
      <c r="L941" t="inlineStr">
        <is>
          <t>Antal lastbilstransporter beräknas till ca 20 per dag och totalmängden massor uppskattas till 10 000 ton.</t>
        </is>
      </c>
      <c r="M941" t="inlineStr">
        <is>
          <t>SKA</t>
        </is>
      </c>
      <c r="N941" t="inlineStr"/>
      <c r="O941" t="inlineStr"/>
      <c r="P941" t="inlineStr"/>
      <c r="Q941" t="inlineStr"/>
      <c r="R941" t="inlineStr">
        <is>
          <t>Alltid</t>
        </is>
      </c>
      <c r="S941" t="inlineStr"/>
      <c r="T941" t="inlineStr">
        <is>
          <t>14 0340</t>
        </is>
      </c>
      <c r="U941" t="n">
        <v>0</v>
      </c>
      <c r="V941" t="inlineStr"/>
      <c r="W941" t="inlineStr">
        <is>
          <t>Nej</t>
        </is>
      </c>
      <c r="X941" t="inlineStr">
        <is>
          <t>Nej</t>
        </is>
      </c>
      <c r="Y941" t="inlineStr">
        <is>
          <t>Nej</t>
        </is>
      </c>
      <c r="Z941" t="inlineStr">
        <is>
          <t>Nej</t>
        </is>
      </c>
      <c r="AA941" t="n">
        <v>4</v>
      </c>
      <c r="AB941" t="inlineStr">
        <is>
          <t>Avfallsmangder och lagringstid</t>
        </is>
      </c>
      <c r="AC941" t="inlineStr">
        <is>
          <t>Avfallsforteckning</t>
        </is>
      </c>
      <c r="AD941" t="inlineStr">
        <is>
          <t>Nej</t>
        </is>
      </c>
      <c r="AE941" t="inlineStr">
        <is>
          <t>Nej</t>
        </is>
      </c>
      <c r="AF941" t="inlineStr">
        <is>
          <t>Ej behandlad</t>
        </is>
      </c>
      <c r="AG941" t="inlineStr">
        <is>
          <t>AUTO_GENERERAD. Verifiera citat mot kallfil.</t>
        </is>
      </c>
      <c r="AH941" t="inlineStr">
        <is>
          <t>MEDIUM</t>
        </is>
      </c>
      <c r="AI941" t="inlineStr">
        <is>
          <t>AUTO</t>
        </is>
      </c>
      <c r="AJ941" t="inlineStr">
        <is>
          <t>Nej</t>
        </is>
      </c>
      <c r="AK941" t="inlineStr"/>
      <c r="AL941" t="inlineStr"/>
      <c r="AM941" t="inlineStr"/>
      <c r="AN941" t="inlineStr"/>
      <c r="AO941" t="inlineStr">
        <is>
          <t>cmm4yuqgw03ktcuqwsj8z1sdd</t>
        </is>
      </c>
      <c r="AP941" t="inlineStr">
        <is>
          <t>http://localhost:8787/api/admin/requirements/documents/cmm4yuqgw03ktcuqwsj8z1sdd/view</t>
        </is>
      </c>
      <c r="AQ941">
        <f>HYPERLÄNK("http://localhost:8787/api/admin/requirements/documents/cmm4yuqgw03ktcuqwsj8z1sdd/view";"Öppna PDF")</f>
        <v/>
      </c>
      <c r="AR941">
        <f>HYPERLINK("http://localhost:8787/api/admin/requirements/documents/cmm4yuqgw03ktcuqwsj8z1sdd/view","Open PDF")</f>
        <v/>
      </c>
      <c r="AS941" t="inlineStr">
        <is>
          <t>cmm55w57p0004cuisfrtpqly8</t>
        </is>
      </c>
      <c r="AT941" t="inlineStr">
        <is>
          <t>cmm4xvu980000cuh4vj0usz09</t>
        </is>
      </c>
      <c r="AU941" t="inlineStr">
        <is>
          <t>fattat av Miljöskyddsenheten i Varbergs</t>
        </is>
      </c>
      <c r="AV941" t="inlineStr">
        <is>
          <t>Kommun</t>
        </is>
      </c>
      <c r="AW941" t="inlineStr">
        <is>
          <t>fattat av Miljöskyddsenheten i Varbergs kommun</t>
        </is>
      </c>
      <c r="AX941" t="inlineStr">
        <is>
          <t>2024-05</t>
        </is>
      </c>
      <c r="AY941" t="inlineStr">
        <is>
          <t>Beslut</t>
        </is>
      </c>
      <c r="AZ941" t="inlineStr">
        <is>
          <t>2026-02-05</t>
        </is>
      </c>
      <c r="BA941" t="inlineStr">
        <is>
          <t>PM Sedimentationsdammar 2024-1596.pdf</t>
        </is>
      </c>
      <c r="BB941" t="inlineStr">
        <is>
          <t>Sv: till registrator</t>
        </is>
      </c>
      <c r="BC941" t="inlineStr">
        <is>
          <t>AUTO</t>
        </is>
      </c>
      <c r="BD941" t="inlineStr"/>
      <c r="BE941" t="inlineStr"/>
      <c r="BF941" t="inlineStr">
        <is>
          <t>AUTO_GENERERAD. Bekrafta metadata mot kallfil.</t>
        </is>
      </c>
      <c r="BG941">
        <f>HYPERLINK("C:\Users\jimmy\Desktop\Examens arbete\Kod\Ny mapp\remix_-copy-of-miljöbeslut.se-portal\PM Sedimentationsdammar 2024-1596.pdf", "Öppna PDF")</f>
        <v/>
      </c>
    </row>
    <row r="942">
      <c r="A942" t="inlineStr">
        <is>
          <t>KRAV-AUTO-000941</t>
        </is>
      </c>
      <c r="B942" t="inlineStr">
        <is>
          <t>ADMIN-INDEX-2026-02-27-00000000125C043F57453246863FE664CAFE6A3F0700950291EA24F0614FB6ACEDB12BF0E31D00000000010C0000950291EA24F0614FB6ACEDB12BF0E31D00002087ADF40000</t>
        </is>
      </c>
      <c r="C942" t="inlineStr">
        <is>
          <t>cmm4yuqfr03jkcuqweav0es2m</t>
        </is>
      </c>
      <c r="D942" t="inlineStr">
        <is>
          <t>http://localhost:8787/api/admin/requirements/documents/cmm4yuqfr03jkcuqweav0es2m/view</t>
        </is>
      </c>
      <c r="E942">
        <f>HYPERLÄNK("http://localhost:8787/api/admin/requirements/documents/cmm4yuqfr03jkcuqweav0es2m/view";"Öppna PDF")</f>
        <v/>
      </c>
      <c r="F942">
        <f>HYPERLINK("http://localhost:8787/api/admin/requirements/documents/cmm4yuqfr03jkcuqweav0es2m/view","Open PDF")</f>
        <v/>
      </c>
      <c r="G942" t="inlineStr">
        <is>
          <t>cmm55w57p0004cuisfrtpqly8</t>
        </is>
      </c>
      <c r="H942" t="inlineStr">
        <is>
          <t>Informationskrav</t>
        </is>
      </c>
      <c r="I942" t="inlineStr">
        <is>
          <t>DriftEgenkontroll</t>
        </is>
      </c>
      <c r="J942" t="inlineStr">
        <is>
          <t>Journalforing</t>
        </is>
      </c>
      <c r="K942" t="inlineStr">
        <is>
          <t>Kontrollprogrammet ska finnas lättillgängligt på arbetsplatsen och personerna som genomför anläggningsarbetena ska ha kännedom om de rutiner som finns för kontroll av avfallsmassorna.</t>
        </is>
      </c>
      <c r="L942" t="inlineStr">
        <is>
          <t>Kontrollprogrammet ska finnas lättillgängligt på arbetsplatsen och personerna som genomför anläggningsarbetena ska ha kännedom om de rutiner som finns för kontroll av avfallsmassorna.</t>
        </is>
      </c>
      <c r="M942" t="inlineStr">
        <is>
          <t>SKA</t>
        </is>
      </c>
      <c r="N942" t="inlineStr"/>
      <c r="O942" t="inlineStr"/>
      <c r="P942" t="inlineStr"/>
      <c r="Q942" t="inlineStr"/>
      <c r="R942" t="inlineStr">
        <is>
          <t>Lopande drift</t>
        </is>
      </c>
      <c r="S942" t="inlineStr"/>
      <c r="T942" t="inlineStr">
        <is>
          <t>14 0340</t>
        </is>
      </c>
      <c r="U942" t="inlineStr"/>
      <c r="V942" t="inlineStr"/>
      <c r="W942" t="inlineStr">
        <is>
          <t>Nej</t>
        </is>
      </c>
      <c r="X942" t="inlineStr">
        <is>
          <t>Nej</t>
        </is>
      </c>
      <c r="Y942" t="inlineStr">
        <is>
          <t>Ja</t>
        </is>
      </c>
      <c r="Z942" t="inlineStr">
        <is>
          <t>Nej</t>
        </is>
      </c>
      <c r="AA942" t="n">
        <v>7</v>
      </c>
      <c r="AB942" t="inlineStr">
        <is>
          <t>Egenkontrollrutiner</t>
        </is>
      </c>
      <c r="AC942" t="inlineStr">
        <is>
          <t>Egenkontrollprogram</t>
        </is>
      </c>
      <c r="AD942" t="inlineStr">
        <is>
          <t>Nej</t>
        </is>
      </c>
      <c r="AE942" t="inlineStr">
        <is>
          <t>Nej</t>
        </is>
      </c>
      <c r="AF942" t="inlineStr">
        <is>
          <t>Ej behandlad</t>
        </is>
      </c>
      <c r="AG942" t="inlineStr">
        <is>
          <t>AUTO_GENERERAD. Verifiera citat mot kallfil.</t>
        </is>
      </c>
      <c r="AH942" t="inlineStr">
        <is>
          <t>MEDIUM</t>
        </is>
      </c>
      <c r="AI942" t="inlineStr">
        <is>
          <t>AUTO</t>
        </is>
      </c>
      <c r="AJ942" t="inlineStr">
        <is>
          <t>Nej</t>
        </is>
      </c>
      <c r="AK942" t="inlineStr"/>
      <c r="AL942" t="inlineStr"/>
      <c r="AM942" t="inlineStr"/>
      <c r="AN942" t="inlineStr"/>
      <c r="AO942" t="inlineStr">
        <is>
          <t>cmm4yuqgw03ktcuqwsj8z1sdd</t>
        </is>
      </c>
      <c r="AP942" t="inlineStr">
        <is>
          <t>http://localhost:8787/api/admin/requirements/documents/cmm4yuqgw03ktcuqwsj8z1sdd/view</t>
        </is>
      </c>
      <c r="AQ942">
        <f>HYPERLÄNK("http://localhost:8787/api/admin/requirements/documents/cmm4yuqgw03ktcuqwsj8z1sdd/view";"Öppna PDF")</f>
        <v/>
      </c>
      <c r="AR942">
        <f>HYPERLINK("http://localhost:8787/api/admin/requirements/documents/cmm4yuqgw03ktcuqwsj8z1sdd/view","Open PDF")</f>
        <v/>
      </c>
      <c r="AS942" t="inlineStr">
        <is>
          <t>cmm55w57p0004cuisfrtpqly8</t>
        </is>
      </c>
      <c r="AT942" t="inlineStr">
        <is>
          <t>cmm4xvu980000cuh4vj0usz09</t>
        </is>
      </c>
      <c r="AU942" t="inlineStr">
        <is>
          <t>fattat av Miljöskyddsenheten i Varbergs</t>
        </is>
      </c>
      <c r="AV942" t="inlineStr">
        <is>
          <t>Kommun</t>
        </is>
      </c>
      <c r="AW942" t="inlineStr">
        <is>
          <t>fattat av Miljöskyddsenheten i Varbergs kommun</t>
        </is>
      </c>
      <c r="AX942" t="inlineStr">
        <is>
          <t>2024-05</t>
        </is>
      </c>
      <c r="AY942" t="inlineStr">
        <is>
          <t>Beslut</t>
        </is>
      </c>
      <c r="AZ942" t="inlineStr">
        <is>
          <t>2026-02-05</t>
        </is>
      </c>
      <c r="BA942" t="inlineStr">
        <is>
          <t>PM Sedimentationsdammar 2024-1596.pdf</t>
        </is>
      </c>
      <c r="BB942" t="inlineStr">
        <is>
          <t>Sv: till registrator</t>
        </is>
      </c>
      <c r="BC942" t="inlineStr">
        <is>
          <t>AUTO</t>
        </is>
      </c>
      <c r="BD942" t="inlineStr"/>
      <c r="BE942" t="inlineStr"/>
      <c r="BF942" t="inlineStr">
        <is>
          <t>AUTO_GENERERAD. Bekrafta metadata mot kallfil.</t>
        </is>
      </c>
      <c r="BG942">
        <f>HYPERLINK("C:\Users\jimmy\Desktop\Examens arbete\Kod\Ny mapp\remix_-copy-of-miljöbeslut.se-portal\PM Sedimentationsdammar 2024-1596.pdf", "Öppna PDF")</f>
        <v/>
      </c>
    </row>
    <row r="943">
      <c r="A943" t="inlineStr">
        <is>
          <t>KRAV-AUTO-000942</t>
        </is>
      </c>
      <c r="B943" t="inlineStr">
        <is>
          <t>ADMIN-INDEX-2026-02-27-00000000125C043F57453246863FE664CAFE6A3F0700950291EA24F0614FB6ACEDB12BF0E31D00000000010C0000950291EA24F0614FB6ACEDB12BF0E31D00002087ADF40000</t>
        </is>
      </c>
      <c r="C943" t="inlineStr">
        <is>
          <t>cmm4yuqfr03jkcuqweav0es2m</t>
        </is>
      </c>
      <c r="D943" t="inlineStr">
        <is>
          <t>http://localhost:8787/api/admin/requirements/documents/cmm4yuqfr03jkcuqweav0es2m/view</t>
        </is>
      </c>
      <c r="E943">
        <f>HYPERLÄNK("http://localhost:8787/api/admin/requirements/documents/cmm4yuqfr03jkcuqweav0es2m/view";"Öppna PDF")</f>
        <v/>
      </c>
      <c r="F943">
        <f>HYPERLINK("http://localhost:8787/api/admin/requirements/documents/cmm4yuqfr03jkcuqweav0es2m/view","Open PDF")</f>
        <v/>
      </c>
      <c r="G943" t="inlineStr">
        <is>
          <t>cmm55w57p0004cuisfrtpqly8</t>
        </is>
      </c>
      <c r="H943" t="inlineStr">
        <is>
          <t>Informationskrav</t>
        </is>
      </c>
      <c r="I943" t="inlineStr">
        <is>
          <t>DagvattenLakvatten</t>
        </is>
      </c>
      <c r="J943" t="inlineStr">
        <is>
          <t>Uppsamling</t>
        </is>
      </c>
      <c r="K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943" t="inlineStr">
        <is>
          <t>SKA</t>
        </is>
      </c>
      <c r="N943" t="inlineStr"/>
      <c r="O943" t="inlineStr"/>
      <c r="P943" t="inlineStr"/>
      <c r="Q943" t="inlineStr"/>
      <c r="R943" t="inlineStr">
        <is>
          <t>Vid nederbord och avrinning</t>
        </is>
      </c>
      <c r="S943" t="inlineStr"/>
      <c r="T943" t="inlineStr">
        <is>
          <t>14 0340</t>
        </is>
      </c>
      <c r="U943" t="inlineStr"/>
      <c r="V943" t="inlineStr"/>
      <c r="W943" t="inlineStr">
        <is>
          <t>Nej</t>
        </is>
      </c>
      <c r="X943" t="inlineStr">
        <is>
          <t>Ja</t>
        </is>
      </c>
      <c r="Y943" t="inlineStr">
        <is>
          <t>Ja</t>
        </is>
      </c>
      <c r="Z943" t="inlineStr">
        <is>
          <t>Nej</t>
        </is>
      </c>
      <c r="AA943" t="n">
        <v>6</v>
      </c>
      <c r="AB943" t="inlineStr">
        <is>
          <t>Lakvattenhantering</t>
        </is>
      </c>
      <c r="AC943" t="inlineStr">
        <is>
          <t>Flodesschema dagvatten-lakvatten</t>
        </is>
      </c>
      <c r="AD943" t="inlineStr">
        <is>
          <t>Nej</t>
        </is>
      </c>
      <c r="AE943" t="inlineStr">
        <is>
          <t>Nej</t>
        </is>
      </c>
      <c r="AF943" t="inlineStr">
        <is>
          <t>Ej behandlad</t>
        </is>
      </c>
      <c r="AG943" t="inlineStr">
        <is>
          <t>AUTO_GENERERAD. Verifiera citat mot kallfil.</t>
        </is>
      </c>
      <c r="AH943" t="inlineStr">
        <is>
          <t>MEDIUM</t>
        </is>
      </c>
      <c r="AI943" t="inlineStr">
        <is>
          <t>AUTO</t>
        </is>
      </c>
      <c r="AJ943" t="inlineStr">
        <is>
          <t>Nej</t>
        </is>
      </c>
      <c r="AK943" t="inlineStr"/>
      <c r="AL943" t="inlineStr"/>
      <c r="AM943" t="inlineStr"/>
      <c r="AN943" t="inlineStr"/>
      <c r="AO943" t="inlineStr">
        <is>
          <t>cmm4yuqgw03ktcuqwsj8z1sdd</t>
        </is>
      </c>
      <c r="AP943" t="inlineStr">
        <is>
          <t>http://localhost:8787/api/admin/requirements/documents/cmm4yuqgw03ktcuqwsj8z1sdd/view</t>
        </is>
      </c>
      <c r="AQ943">
        <f>HYPERLÄNK("http://localhost:8787/api/admin/requirements/documents/cmm4yuqgw03ktcuqwsj8z1sdd/view";"Öppna PDF")</f>
        <v/>
      </c>
      <c r="AR943">
        <f>HYPERLINK("http://localhost:8787/api/admin/requirements/documents/cmm4yuqgw03ktcuqwsj8z1sdd/view","Open PDF")</f>
        <v/>
      </c>
      <c r="AS943" t="inlineStr">
        <is>
          <t>cmm55w57p0004cuisfrtpqly8</t>
        </is>
      </c>
      <c r="AT943" t="inlineStr">
        <is>
          <t>cmm4xvu980000cuh4vj0usz09</t>
        </is>
      </c>
      <c r="AU943" t="inlineStr">
        <is>
          <t>fattat av Miljöskyddsenheten i Varbergs</t>
        </is>
      </c>
      <c r="AV943" t="inlineStr">
        <is>
          <t>Kommun</t>
        </is>
      </c>
      <c r="AW943" t="inlineStr">
        <is>
          <t>fattat av Miljöskyddsenheten i Varbergs kommun</t>
        </is>
      </c>
      <c r="AX943" t="inlineStr">
        <is>
          <t>2024-05</t>
        </is>
      </c>
      <c r="AY943" t="inlineStr">
        <is>
          <t>Beslut</t>
        </is>
      </c>
      <c r="AZ943" t="inlineStr">
        <is>
          <t>2026-02-05</t>
        </is>
      </c>
      <c r="BA943" t="inlineStr">
        <is>
          <t>PM Sedimentationsdammar 2024-1596.pdf</t>
        </is>
      </c>
      <c r="BB943" t="inlineStr">
        <is>
          <t>Sv: till registrator</t>
        </is>
      </c>
      <c r="BC943" t="inlineStr">
        <is>
          <t>AUTO</t>
        </is>
      </c>
      <c r="BD943" t="inlineStr"/>
      <c r="BE943" t="inlineStr"/>
      <c r="BF943" t="inlineStr">
        <is>
          <t>AUTO_GENERERAD. Bekrafta metadata mot kallfil.</t>
        </is>
      </c>
      <c r="BG943">
        <f>HYPERLINK("C:\Users\jimmy\Desktop\Examens arbete\Kod\Ny mapp\remix_-copy-of-miljöbeslut.se-portal\PM Sedimentationsdammar 2024-1596.pdf", "Öppna PDF")</f>
        <v/>
      </c>
    </row>
    <row r="944">
      <c r="A944" t="inlineStr">
        <is>
          <t>KRAV-AUTO-000943</t>
        </is>
      </c>
      <c r="B944" t="inlineStr">
        <is>
          <t>ADMIN-INDEX-2026-02-27-00000000125C043F57453246863FE664CAFE6A3F0700950291EA24F0614FB6ACEDB12BF0E31D00000000010C0000950291EA24F0614FB6ACEDB12BF0E31D00002087ADFC0000</t>
        </is>
      </c>
      <c r="C944" t="inlineStr">
        <is>
          <t>cmm4yuqe203htcuqwlv6hrhhn</t>
        </is>
      </c>
      <c r="D944" t="inlineStr">
        <is>
          <t>http://localhost:8787/api/admin/requirements/documents/cmm4yuqe203htcuqwlv6hrhhn/view</t>
        </is>
      </c>
      <c r="E944">
        <f>HYPERLÄNK("http://localhost:8787/api/admin/requirements/documents/cmm4yuqe203htcuqwlv6hrhhn/view";"Öppna PDF")</f>
        <v/>
      </c>
      <c r="F944">
        <f>HYPERLINK("http://localhost:8787/api/admin/requirements/documents/cmm4yuqe203htcuqwlv6hrhhn/view","Open PDF")</f>
        <v/>
      </c>
      <c r="G944" t="inlineStr">
        <is>
          <t>cmm55w57p0004cuisfrtpqly8</t>
        </is>
      </c>
      <c r="H944" t="inlineStr">
        <is>
          <t>Informationskrav</t>
        </is>
      </c>
      <c r="I944" t="inlineStr">
        <is>
          <t>LagringsvolymTid</t>
        </is>
      </c>
      <c r="J944" t="inlineStr">
        <is>
          <t>Maxmangd</t>
        </is>
      </c>
      <c r="K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 niklas.gunnarsson@trafikverket.se Eventuell referenskod EF1985 Fastighetsbeteckning KARLSTAD SKEPPAREN 6 Fastighetsägare LIDL Sverige AB 1(2) Anvisningar Då måste du anmäla Mellanlagring av farligt avfall ska anmälas till miljöförvaltningen om du tänker lagra det farliga avfallet som en del av att samla in det, om mängden vid något tillfälle är 1.</t>
        </is>
      </c>
      <c r="L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t>
        </is>
      </c>
      <c r="M944" t="inlineStr">
        <is>
          <t>SKA</t>
        </is>
      </c>
      <c r="N944" t="inlineStr"/>
      <c r="O944" t="inlineStr">
        <is>
          <t>2024-02-22</t>
        </is>
      </c>
      <c r="P944" t="inlineStr">
        <is>
          <t>Arlig</t>
        </is>
      </c>
      <c r="Q944" t="inlineStr"/>
      <c r="R944" t="inlineStr">
        <is>
          <t>Alltid</t>
        </is>
      </c>
      <c r="S944" t="inlineStr"/>
      <c r="T944" t="inlineStr">
        <is>
          <t>202100</t>
        </is>
      </c>
      <c r="U944" t="inlineStr"/>
      <c r="V944" t="inlineStr"/>
      <c r="W944" t="inlineStr">
        <is>
          <t>Nej</t>
        </is>
      </c>
      <c r="X944" t="inlineStr">
        <is>
          <t>Nej</t>
        </is>
      </c>
      <c r="Y944" t="inlineStr">
        <is>
          <t>Nej</t>
        </is>
      </c>
      <c r="Z944" t="inlineStr">
        <is>
          <t>Nej</t>
        </is>
      </c>
      <c r="AA944" t="n">
        <v>4</v>
      </c>
      <c r="AB944" t="inlineStr">
        <is>
          <t>Avfallsmangder och lagringstid</t>
        </is>
      </c>
      <c r="AC944" t="inlineStr">
        <is>
          <t>Avfallsforteckning</t>
        </is>
      </c>
      <c r="AD944" t="inlineStr">
        <is>
          <t>Nej</t>
        </is>
      </c>
      <c r="AE944" t="inlineStr">
        <is>
          <t>Nej</t>
        </is>
      </c>
      <c r="AF944" t="inlineStr">
        <is>
          <t>Ej behandlad</t>
        </is>
      </c>
      <c r="AG944" t="inlineStr">
        <is>
          <t>AUTO_GENERERAD. Verifiera citat mot kallfil.</t>
        </is>
      </c>
      <c r="AH944" t="inlineStr">
        <is>
          <t>MEDIUM</t>
        </is>
      </c>
      <c r="AI944" t="inlineStr">
        <is>
          <t>AUTO</t>
        </is>
      </c>
      <c r="AJ944" t="inlineStr">
        <is>
          <t>Nej</t>
        </is>
      </c>
      <c r="AK944" t="inlineStr"/>
      <c r="AL944" t="inlineStr"/>
      <c r="AM944" t="inlineStr"/>
      <c r="AN944" t="inlineStr"/>
      <c r="AO944" t="inlineStr">
        <is>
          <t>cmm4yuqe203htcuqwlv6hrhhn</t>
        </is>
      </c>
      <c r="AP944" t="inlineStr">
        <is>
          <t>http://localhost:8787/api/admin/requirements/documents/cmm4yuqe203htcuqwlv6hrhhn/view</t>
        </is>
      </c>
      <c r="AQ944">
        <f>HYPERLÄNK("http://localhost:8787/api/admin/requirements/documents/cmm4yuqe203htcuqwlv6hrhhn/view";"Öppna PDF")</f>
        <v/>
      </c>
      <c r="AR944">
        <f>HYPERLINK("http://localhost:8787/api/admin/requirements/documents/cmm4yuqe203htcuqwlv6hrhhn/view","Open PDF")</f>
        <v/>
      </c>
      <c r="AS944" t="inlineStr">
        <is>
          <t>cmm55w57p0004cuisfrtpqly8</t>
        </is>
      </c>
      <c r="AT944" t="inlineStr">
        <is>
          <t>cmm4xvu980000cuh4vj0usz09</t>
        </is>
      </c>
      <c r="AU944" t="inlineStr"/>
      <c r="AV944" t="inlineStr">
        <is>
          <t>Kommun</t>
        </is>
      </c>
      <c r="AW944" t="inlineStr"/>
      <c r="AX944" t="inlineStr">
        <is>
          <t>2011:927</t>
        </is>
      </c>
      <c r="AY944" t="inlineStr">
        <is>
          <t>Anmalan</t>
        </is>
      </c>
      <c r="AZ944" t="inlineStr">
        <is>
          <t>2026-02-05</t>
        </is>
      </c>
      <c r="BA944" t="inlineStr">
        <is>
          <t>Trafikverket anmälan lagring av avfall Skepparen 6 240222.pdf</t>
        </is>
      </c>
      <c r="BB944" t="inlineStr">
        <is>
          <t>Begäran om utlämnande av allmän handling – Anmälningar och beslut rörande mellanlagring av avfall samt anläggning av ytor</t>
        </is>
      </c>
      <c r="BC944" t="inlineStr">
        <is>
          <t>AUTO</t>
        </is>
      </c>
      <c r="BD944" t="inlineStr"/>
      <c r="BE944" t="inlineStr"/>
      <c r="BF944" t="inlineStr">
        <is>
          <t>AUTO_GENERERAD. Bekrafta metadata mot kallfil.</t>
        </is>
      </c>
      <c r="BG944">
        <f>HYPERLINK("C:\Users\jimmy\Desktop\Examens arbete\Kod\Ny mapp\remix_-copy-of-miljöbeslut.se-portal\Trafikverket anmälan lagring av avfall Skepparen 6 240222.pdf", "Öppna PDF")</f>
        <v/>
      </c>
    </row>
    <row r="945">
      <c r="A945" t="inlineStr">
        <is>
          <t>KRAV-AUTO-000944</t>
        </is>
      </c>
      <c r="B945" t="inlineStr">
        <is>
          <t>ADMIN-INDEX-2026-02-27-00000000125C043F57453246863FE664CAFE6A3F0700950291EA24F0614FB6ACEDB12BF0E31D00000000010C0000950291EA24F0614FB6ACEDB12BF0E31D00002087ADFC0000</t>
        </is>
      </c>
      <c r="C945" t="inlineStr">
        <is>
          <t>cmm4yuqe203htcuqwlv6hrhhn</t>
        </is>
      </c>
      <c r="D945" t="inlineStr">
        <is>
          <t>http://localhost:8787/api/admin/requirements/documents/cmm4yuqe203htcuqwlv6hrhhn/view</t>
        </is>
      </c>
      <c r="E945">
        <f>HYPERLÄNK("http://localhost:8787/api/admin/requirements/documents/cmm4yuqe203htcuqwlv6hrhhn/view";"Öppna PDF")</f>
        <v/>
      </c>
      <c r="F945">
        <f>HYPERLINK("http://localhost:8787/api/admin/requirements/documents/cmm4yuqe203htcuqwlv6hrhhn/view","Open PDF")</f>
        <v/>
      </c>
      <c r="G945" t="inlineStr">
        <is>
          <t>cmm55w57p0004cuisfrtpqly8</t>
        </is>
      </c>
      <c r="H945" t="inlineStr">
        <is>
          <t>Informationskrav</t>
        </is>
      </c>
      <c r="I945" t="inlineStr">
        <is>
          <t>MiljopaverkanForsiktighet</t>
        </is>
      </c>
      <c r="J945" t="inlineStr">
        <is>
          <t>Skyddsatgarder</t>
        </is>
      </c>
      <c r="K945" t="inlineStr">
        <is>
          <t>-- 1 of 2 -- -- 2 of 2 -- KARLSTADS KOMMUN Anmälan om mellanlagring av avfall och farligt avfall Lämna din anmälan till miljöförvaltningen senast sex veckor före mellanlagringen ska börja.</t>
        </is>
      </c>
      <c r="L945" t="inlineStr">
        <is>
          <t>-- 1 of 2 -- -- 2 of 2 -- KARLSTADS KOMMUN Anmälan om mellanlagring av avfall och farligt avfall Lämna din anmälan till miljöförvaltningen senast sex veckor före mellanlagringen ska börja.</t>
        </is>
      </c>
      <c r="M945" t="inlineStr">
        <is>
          <t>SKA</t>
        </is>
      </c>
      <c r="N945" t="inlineStr"/>
      <c r="O945" t="inlineStr">
        <is>
          <t>senast sex veckor fore mellanlagringe</t>
        </is>
      </c>
      <c r="P945" t="inlineStr">
        <is>
          <t>Arlig</t>
        </is>
      </c>
      <c r="Q945" t="inlineStr"/>
      <c r="R945" t="inlineStr">
        <is>
          <t>Alltid</t>
        </is>
      </c>
      <c r="S945" t="inlineStr"/>
      <c r="T945" t="inlineStr">
        <is>
          <t>17 05 04</t>
        </is>
      </c>
      <c r="U945" t="inlineStr"/>
      <c r="V945" t="inlineStr"/>
      <c r="W945" t="inlineStr">
        <is>
          <t>Nej</t>
        </is>
      </c>
      <c r="X945" t="inlineStr">
        <is>
          <t>Nej</t>
        </is>
      </c>
      <c r="Y945" t="inlineStr">
        <is>
          <t>Nej</t>
        </is>
      </c>
      <c r="Z945" t="inlineStr">
        <is>
          <t>Nej</t>
        </is>
      </c>
      <c r="AA945" t="n">
        <v>10</v>
      </c>
      <c r="AB945" t="inlineStr">
        <is>
          <t>Miljopaverkan och forsiktighetsmatt</t>
        </is>
      </c>
      <c r="AC945" t="inlineStr">
        <is>
          <t>Miljo-PM</t>
        </is>
      </c>
      <c r="AD945" t="inlineStr">
        <is>
          <t>Nej</t>
        </is>
      </c>
      <c r="AE945" t="inlineStr">
        <is>
          <t>Nej</t>
        </is>
      </c>
      <c r="AF945" t="inlineStr">
        <is>
          <t>Ej behandlad</t>
        </is>
      </c>
      <c r="AG945" t="inlineStr">
        <is>
          <t>AUTO_GENERERAD. Verifiera citat mot kallfil.</t>
        </is>
      </c>
      <c r="AH945" t="inlineStr">
        <is>
          <t>MEDIUM</t>
        </is>
      </c>
      <c r="AI945" t="inlineStr">
        <is>
          <t>AUTO</t>
        </is>
      </c>
      <c r="AJ945" t="inlineStr">
        <is>
          <t>Nej</t>
        </is>
      </c>
      <c r="AK945" t="inlineStr"/>
      <c r="AL945" t="inlineStr"/>
      <c r="AM945" t="inlineStr"/>
      <c r="AN945" t="inlineStr"/>
      <c r="AO945" t="inlineStr">
        <is>
          <t>cmm4yuqe203htcuqwlv6hrhhn</t>
        </is>
      </c>
      <c r="AP945" t="inlineStr">
        <is>
          <t>http://localhost:8787/api/admin/requirements/documents/cmm4yuqe203htcuqwlv6hrhhn/view</t>
        </is>
      </c>
      <c r="AQ945">
        <f>HYPERLÄNK("http://localhost:8787/api/admin/requirements/documents/cmm4yuqe203htcuqwlv6hrhhn/view";"Öppna PDF")</f>
        <v/>
      </c>
      <c r="AR945">
        <f>HYPERLINK("http://localhost:8787/api/admin/requirements/documents/cmm4yuqe203htcuqwlv6hrhhn/view","Open PDF")</f>
        <v/>
      </c>
      <c r="AS945" t="inlineStr">
        <is>
          <t>cmm55w57p0004cuisfrtpqly8</t>
        </is>
      </c>
      <c r="AT945" t="inlineStr">
        <is>
          <t>cmm4xvu980000cuh4vj0usz09</t>
        </is>
      </c>
      <c r="AU945" t="inlineStr"/>
      <c r="AV945" t="inlineStr">
        <is>
          <t>Kommun</t>
        </is>
      </c>
      <c r="AW945" t="inlineStr"/>
      <c r="AX945" t="inlineStr">
        <is>
          <t>2011:927</t>
        </is>
      </c>
      <c r="AY945" t="inlineStr">
        <is>
          <t>Anmalan</t>
        </is>
      </c>
      <c r="AZ945" t="inlineStr">
        <is>
          <t>2026-02-05</t>
        </is>
      </c>
      <c r="BA945" t="inlineStr">
        <is>
          <t>Trafikverket anmälan lagring av avfall Skepparen 6 240222.pdf</t>
        </is>
      </c>
      <c r="BB945" t="inlineStr">
        <is>
          <t>Begäran om utlämnande av allmän handling – Anmälningar och beslut rörande mellanlagring av avfall samt anläggning av ytor</t>
        </is>
      </c>
      <c r="BC945" t="inlineStr">
        <is>
          <t>AUTO</t>
        </is>
      </c>
      <c r="BD945" t="inlineStr"/>
      <c r="BE945" t="inlineStr"/>
      <c r="BF945" t="inlineStr">
        <is>
          <t>AUTO_GENERERAD. Bekrafta metadata mot kallfil.</t>
        </is>
      </c>
      <c r="BG945">
        <f>HYPERLINK("C:\Users\jimmy\Desktop\Examens arbete\Kod\Ny mapp\remix_-copy-of-miljöbeslut.se-portal\Trafikverket anmälan lagring av avfall Skepparen 6 240222.pdf", "Öppna PDF")</f>
        <v/>
      </c>
    </row>
    <row r="946">
      <c r="A946" t="inlineStr">
        <is>
          <t>KRAV-AUTO-000945</t>
        </is>
      </c>
      <c r="B946" t="inlineStr">
        <is>
          <t>ADMIN-INDEX-2026-02-27-00000000125C043F57453246863FE664CAFE6A3F0700950291EA24F0614FB6ACEDB12BF0E31D00000000010C0000950291EA24F0614FB6ACEDB12BF0E31D00002087ADFC0000</t>
        </is>
      </c>
      <c r="C946" t="inlineStr">
        <is>
          <t>cmm4yuqe203htcuqwlv6hrhhn</t>
        </is>
      </c>
      <c r="D946" t="inlineStr">
        <is>
          <t>http://localhost:8787/api/admin/requirements/documents/cmm4yuqe203htcuqwlv6hrhhn/view</t>
        </is>
      </c>
      <c r="E946">
        <f>HYPERLÄNK("http://localhost:8787/api/admin/requirements/documents/cmm4yuqe203htcuqwlv6hrhhn/view";"Öppna PDF")</f>
        <v/>
      </c>
      <c r="F946">
        <f>HYPERLINK("http://localhost:8787/api/admin/requirements/documents/cmm4yuqe203htcuqwlv6hrhhn/view","Open PDF")</f>
        <v/>
      </c>
      <c r="G946" t="inlineStr">
        <is>
          <t>cmm55w57p0004cuisfrtpqly8</t>
        </is>
      </c>
      <c r="H946" t="inlineStr">
        <is>
          <t>Informationskrav</t>
        </is>
      </c>
      <c r="I946" t="inlineStr">
        <is>
          <t>DagvattenLakvatten</t>
        </is>
      </c>
      <c r="J946" t="inlineStr">
        <is>
          <t>Uppsamling</t>
        </is>
      </c>
      <c r="K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nederbordsskyaa, inhägnad, närhet vattendrag/sjö etc) Grusad yta, ytan kommer att hängnas in med stängsel vid tillfälle massor ligger där, ca 140 m till sjö.</t>
        </is>
      </c>
      <c r="L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t>
        </is>
      </c>
      <c r="M946" t="inlineStr">
        <is>
          <t>BOR</t>
        </is>
      </c>
      <c r="N946" t="inlineStr"/>
      <c r="O946" t="inlineStr"/>
      <c r="P946" t="inlineStr"/>
      <c r="Q946" t="inlineStr"/>
      <c r="R946" t="inlineStr">
        <is>
          <t>Vid nederbord och avrinning</t>
        </is>
      </c>
      <c r="S946" t="inlineStr"/>
      <c r="T946" t="inlineStr">
        <is>
          <t>17 05 04</t>
        </is>
      </c>
      <c r="U946" t="inlineStr"/>
      <c r="V946" t="inlineStr"/>
      <c r="W946" t="inlineStr">
        <is>
          <t>Nej</t>
        </is>
      </c>
      <c r="X946" t="inlineStr">
        <is>
          <t>Ja</t>
        </is>
      </c>
      <c r="Y946" t="inlineStr">
        <is>
          <t>Ja</t>
        </is>
      </c>
      <c r="Z946" t="inlineStr">
        <is>
          <t>Nej</t>
        </is>
      </c>
      <c r="AA946" t="n">
        <v>6</v>
      </c>
      <c r="AB946" t="inlineStr">
        <is>
          <t>Lakvattenhantering</t>
        </is>
      </c>
      <c r="AC946" t="inlineStr">
        <is>
          <t>Flodesschema dagvatten-lakvatten</t>
        </is>
      </c>
      <c r="AD946" t="inlineStr">
        <is>
          <t>Nej</t>
        </is>
      </c>
      <c r="AE946" t="inlineStr">
        <is>
          <t>Nej</t>
        </is>
      </c>
      <c r="AF946" t="inlineStr">
        <is>
          <t>Ej behandlad</t>
        </is>
      </c>
      <c r="AG946" t="inlineStr">
        <is>
          <t>AUTO_GENERERAD. Verifiera citat mot kallfil.</t>
        </is>
      </c>
      <c r="AH946" t="inlineStr">
        <is>
          <t>MEDIUM</t>
        </is>
      </c>
      <c r="AI946" t="inlineStr">
        <is>
          <t>AUTO</t>
        </is>
      </c>
      <c r="AJ946" t="inlineStr">
        <is>
          <t>Nej</t>
        </is>
      </c>
      <c r="AK946" t="inlineStr"/>
      <c r="AL946" t="inlineStr"/>
      <c r="AM946" t="inlineStr"/>
      <c r="AN946" t="inlineStr"/>
      <c r="AO946" t="inlineStr">
        <is>
          <t>cmm4yuqe203htcuqwlv6hrhhn</t>
        </is>
      </c>
      <c r="AP946" t="inlineStr">
        <is>
          <t>http://localhost:8787/api/admin/requirements/documents/cmm4yuqe203htcuqwlv6hrhhn/view</t>
        </is>
      </c>
      <c r="AQ946">
        <f>HYPERLÄNK("http://localhost:8787/api/admin/requirements/documents/cmm4yuqe203htcuqwlv6hrhhn/view";"Öppna PDF")</f>
        <v/>
      </c>
      <c r="AR946">
        <f>HYPERLINK("http://localhost:8787/api/admin/requirements/documents/cmm4yuqe203htcuqwlv6hrhhn/view","Open PDF")</f>
        <v/>
      </c>
      <c r="AS946" t="inlineStr">
        <is>
          <t>cmm55w57p0004cuisfrtpqly8</t>
        </is>
      </c>
      <c r="AT946" t="inlineStr">
        <is>
          <t>cmm4xvu980000cuh4vj0usz09</t>
        </is>
      </c>
      <c r="AU946" t="inlineStr"/>
      <c r="AV946" t="inlineStr">
        <is>
          <t>Kommun</t>
        </is>
      </c>
      <c r="AW946" t="inlineStr"/>
      <c r="AX946" t="inlineStr">
        <is>
          <t>2011:927</t>
        </is>
      </c>
      <c r="AY946" t="inlineStr">
        <is>
          <t>Anmalan</t>
        </is>
      </c>
      <c r="AZ946" t="inlineStr">
        <is>
          <t>2026-02-05</t>
        </is>
      </c>
      <c r="BA946" t="inlineStr">
        <is>
          <t>Trafikverket anmälan lagring av avfall Skepparen 6 240222.pdf</t>
        </is>
      </c>
      <c r="BB946" t="inlineStr">
        <is>
          <t>Begäran om utlämnande av allmän handling – Anmälningar och beslut rörande mellanlagring av avfall samt anläggning av ytor</t>
        </is>
      </c>
      <c r="BC946" t="inlineStr">
        <is>
          <t>AUTO</t>
        </is>
      </c>
      <c r="BD946" t="inlineStr"/>
      <c r="BE946" t="inlineStr"/>
      <c r="BF946" t="inlineStr">
        <is>
          <t>AUTO_GENERERAD. Bekrafta metadata mot kallfil.</t>
        </is>
      </c>
      <c r="BG946">
        <f>HYPERLINK("C:\Users\jimmy\Desktop\Examens arbete\Kod\Ny mapp\remix_-copy-of-miljöbeslut.se-portal\Trafikverket anmälan lagring av avfall Skepparen 6 240222.pdf", "Öppna PDF")</f>
        <v/>
      </c>
    </row>
    <row r="947">
      <c r="A947" t="inlineStr">
        <is>
          <t>KRAV-AUTO-000946</t>
        </is>
      </c>
      <c r="B947" t="inlineStr">
        <is>
          <t>ADMIN-INDEX-2026-02-27-00000000125C043F57453246863FE664CAFE6A3F0700950291EA24F0614FB6ACEDB12BF0E31D00000000010C0000950291EA24F0614FB6ACEDB12BF0E31D00002087ADFC0000</t>
        </is>
      </c>
      <c r="C947" t="inlineStr">
        <is>
          <t>cmm4yuqe003hqcuqw14ovnpga</t>
        </is>
      </c>
      <c r="D947" t="inlineStr">
        <is>
          <t>http://localhost:8787/api/admin/requirements/documents/cmm4yuqe003hqcuqw14ovnpga/view</t>
        </is>
      </c>
      <c r="E947">
        <f>HYPERLÄNK("http://localhost:8787/api/admin/requirements/documents/cmm4yuqe003hqcuqw14ovnpga/view";"Öppna PDF")</f>
        <v/>
      </c>
      <c r="F947">
        <f>HYPERLINK("http://localhost:8787/api/admin/requirements/documents/cmm4yuqe003hqcuqw14ovnpga/view","Open PDF")</f>
        <v/>
      </c>
      <c r="G947" t="inlineStr">
        <is>
          <t>cmm55w57p0004cuisfrtpqly8</t>
        </is>
      </c>
      <c r="H947" t="inlineStr">
        <is>
          <t>Informationskrav</t>
        </is>
      </c>
      <c r="I947" t="inlineStr">
        <is>
          <t>Riskhantering</t>
        </is>
      </c>
      <c r="J947" t="inlineStr">
        <is>
          <t>Riskkontroll</t>
        </is>
      </c>
      <c r="K947" t="inlineStr">
        <is>
          <t>Skyddsåtgärder vid mellanlagring, SKEPPAREN 6 Människors hälsa och miljön För att minska risken för påverkan på människors hälsa och miljön kommer massorna att läggas på tät presenning samt övertäckas med tät presenning.</t>
        </is>
      </c>
      <c r="L947" t="inlineStr">
        <is>
          <t>Skyddsåtgärder vid mellanlagring, SKEPPAREN 6 Människors hälsa och miljön För att minska risken för påverkan på människors hälsa och miljön kommer massorna att läggas på tät presenning samt övertäckas med tät presenning.</t>
        </is>
      </c>
      <c r="M947" t="inlineStr">
        <is>
          <t>SKA</t>
        </is>
      </c>
      <c r="N947" t="inlineStr"/>
      <c r="O947" t="inlineStr"/>
      <c r="P947" t="inlineStr"/>
      <c r="Q947" t="inlineStr"/>
      <c r="R947" t="inlineStr">
        <is>
          <t>Vid risk for incident</t>
        </is>
      </c>
      <c r="S947" t="inlineStr"/>
      <c r="T947" t="inlineStr"/>
      <c r="U947" t="inlineStr"/>
      <c r="V947" t="inlineStr"/>
      <c r="W947" t="inlineStr">
        <is>
          <t>Nej</t>
        </is>
      </c>
      <c r="X947" t="inlineStr">
        <is>
          <t>Nej</t>
        </is>
      </c>
      <c r="Y947" t="inlineStr">
        <is>
          <t>Ja</t>
        </is>
      </c>
      <c r="Z947" t="inlineStr">
        <is>
          <t>Ja</t>
        </is>
      </c>
      <c r="AA947" t="n">
        <v>8</v>
      </c>
      <c r="AB947" t="inlineStr">
        <is>
          <t>Riskhantering</t>
        </is>
      </c>
      <c r="AC947" t="inlineStr">
        <is>
          <t>Risk-PM</t>
        </is>
      </c>
      <c r="AD947" t="inlineStr">
        <is>
          <t>Nej</t>
        </is>
      </c>
      <c r="AE947" t="inlineStr">
        <is>
          <t>Nej</t>
        </is>
      </c>
      <c r="AF947" t="inlineStr">
        <is>
          <t>Ej behandlad</t>
        </is>
      </c>
      <c r="AG947" t="inlineStr">
        <is>
          <t>AUTO_GENERERAD. Verifiera citat mot kallfil.</t>
        </is>
      </c>
      <c r="AH947" t="inlineStr">
        <is>
          <t>LOW</t>
        </is>
      </c>
      <c r="AI947" t="inlineStr">
        <is>
          <t>AUTO</t>
        </is>
      </c>
      <c r="AJ947" t="inlineStr">
        <is>
          <t>Nej</t>
        </is>
      </c>
      <c r="AK947" t="inlineStr"/>
      <c r="AL947" t="inlineStr"/>
      <c r="AM947" t="inlineStr"/>
      <c r="AN947" t="inlineStr"/>
      <c r="AO947" t="inlineStr">
        <is>
          <t>cmm4yuqe203htcuqwlv6hrhhn</t>
        </is>
      </c>
      <c r="AP947" t="inlineStr">
        <is>
          <t>http://localhost:8787/api/admin/requirements/documents/cmm4yuqe203htcuqwlv6hrhhn/view</t>
        </is>
      </c>
      <c r="AQ947">
        <f>HYPERLÄNK("http://localhost:8787/api/admin/requirements/documents/cmm4yuqe203htcuqwlv6hrhhn/view";"Öppna PDF")</f>
        <v/>
      </c>
      <c r="AR947">
        <f>HYPERLINK("http://localhost:8787/api/admin/requirements/documents/cmm4yuqe203htcuqwlv6hrhhn/view","Open PDF")</f>
        <v/>
      </c>
      <c r="AS947" t="inlineStr">
        <is>
          <t>cmm55w57p0004cuisfrtpqly8</t>
        </is>
      </c>
      <c r="AT947" t="inlineStr">
        <is>
          <t>cmm4xvu980000cuh4vj0usz09</t>
        </is>
      </c>
      <c r="AU947" t="inlineStr"/>
      <c r="AV947" t="inlineStr">
        <is>
          <t>Kommun</t>
        </is>
      </c>
      <c r="AW947" t="inlineStr"/>
      <c r="AX947" t="inlineStr">
        <is>
          <t>2011:927</t>
        </is>
      </c>
      <c r="AY947" t="inlineStr">
        <is>
          <t>Anmalan</t>
        </is>
      </c>
      <c r="AZ947" t="inlineStr">
        <is>
          <t>2026-02-05</t>
        </is>
      </c>
      <c r="BA947" t="inlineStr">
        <is>
          <t>Trafikverket anmälan lagring av avfall Skepparen 6 240222.pdf</t>
        </is>
      </c>
      <c r="BB947" t="inlineStr">
        <is>
          <t>Begäran om utlämnande av allmän handling – Anmälningar och beslut rörande mellanlagring av avfall samt anläggning av ytor</t>
        </is>
      </c>
      <c r="BC947" t="inlineStr">
        <is>
          <t>AUTO</t>
        </is>
      </c>
      <c r="BD947" t="inlineStr"/>
      <c r="BE947" t="inlineStr"/>
      <c r="BF947" t="inlineStr">
        <is>
          <t>AUTO_GENERERAD. Bekrafta metadata mot kallfil.</t>
        </is>
      </c>
      <c r="BG947">
        <f>HYPERLINK("C:\Users\jimmy\Desktop\Examens arbete\Kod\Ny mapp\remix_-copy-of-miljöbeslut.se-portal\Trafikverket anmälan lagring av avfall Skepparen 6 240222.pdf", "Öppna PDF")</f>
        <v/>
      </c>
    </row>
    <row r="948">
      <c r="A948" t="inlineStr">
        <is>
          <t>KRAV-AUTO-000947</t>
        </is>
      </c>
      <c r="B948" t="inlineStr">
        <is>
          <t>ADMIN-INDEX-2026-02-27-00000000125C043F57453246863FE664CAFE6A3F0700950291EA24F0614FB6ACEDB12BF0E31D00000000010C0000950291EA24F0614FB6ACEDB12BF0E31D00002087ADFD0000</t>
        </is>
      </c>
      <c r="C948" t="inlineStr">
        <is>
          <t>cmm4yuqdg03h5cuqws8bd5lf6</t>
        </is>
      </c>
      <c r="D948" t="inlineStr">
        <is>
          <t>http://localhost:8787/api/admin/requirements/documents/cmm4yuqdg03h5cuqws8bd5lf6/view</t>
        </is>
      </c>
      <c r="E948">
        <f>HYPERLÄNK("http://localhost:8787/api/admin/requirements/documents/cmm4yuqdg03h5cuqws8bd5lf6/view";"Öppna PDF")</f>
        <v/>
      </c>
      <c r="F948">
        <f>HYPERLINK("http://localhost:8787/api/admin/requirements/documents/cmm4yuqdg03h5cuqws8bd5lf6/view","Open PDF")</f>
        <v/>
      </c>
      <c r="G948" t="inlineStr">
        <is>
          <t>cmm55w57p0004cuisfrtpqly8</t>
        </is>
      </c>
      <c r="H948" t="inlineStr">
        <is>
          <t>Informationskrav</t>
        </is>
      </c>
      <c r="I948" t="inlineStr">
        <is>
          <t>MiljopaverkanForsiktighet</t>
        </is>
      </c>
      <c r="J948" t="inlineStr">
        <is>
          <t>Skyddsatgarder</t>
        </is>
      </c>
      <c r="K948" t="inlineStr">
        <is>
          <t>Föreskrifterna ställer krav på att allt avfall som tas emot ska vara karaktäriserat.</t>
        </is>
      </c>
      <c r="L948" t="inlineStr">
        <is>
          <t>Föreskrifterna ställer krav på att allt avfall som tas emot ska vara karaktäriserat.</t>
        </is>
      </c>
      <c r="M948" t="inlineStr">
        <is>
          <t>SKA</t>
        </is>
      </c>
      <c r="N948" t="inlineStr"/>
      <c r="O948" t="inlineStr"/>
      <c r="P948" t="inlineStr"/>
      <c r="Q948" t="inlineStr"/>
      <c r="R948" t="inlineStr">
        <is>
          <t>Alltid</t>
        </is>
      </c>
      <c r="S948" t="inlineStr"/>
      <c r="T948" t="inlineStr">
        <is>
          <t>170504</t>
        </is>
      </c>
      <c r="U948" t="inlineStr"/>
      <c r="V948" t="inlineStr"/>
      <c r="W948" t="inlineStr">
        <is>
          <t>Nej</t>
        </is>
      </c>
      <c r="X948" t="inlineStr">
        <is>
          <t>Nej</t>
        </is>
      </c>
      <c r="Y948" t="inlineStr">
        <is>
          <t>Nej</t>
        </is>
      </c>
      <c r="Z948" t="inlineStr">
        <is>
          <t>Nej</t>
        </is>
      </c>
      <c r="AA948" t="n">
        <v>10</v>
      </c>
      <c r="AB948" t="inlineStr">
        <is>
          <t>Miljopaverkan och forsiktighetsmatt</t>
        </is>
      </c>
      <c r="AC948" t="inlineStr">
        <is>
          <t>Miljo-PM</t>
        </is>
      </c>
      <c r="AD948" t="inlineStr">
        <is>
          <t>Nej</t>
        </is>
      </c>
      <c r="AE948" t="inlineStr">
        <is>
          <t>Nej</t>
        </is>
      </c>
      <c r="AF948" t="inlineStr">
        <is>
          <t>Ej behandlad</t>
        </is>
      </c>
      <c r="AG948" t="inlineStr">
        <is>
          <t>AUTO_GENERERAD. Verifiera citat mot kallfil.</t>
        </is>
      </c>
      <c r="AH948" t="inlineStr">
        <is>
          <t>LOW</t>
        </is>
      </c>
      <c r="AI948" t="inlineStr">
        <is>
          <t>AUTO</t>
        </is>
      </c>
      <c r="AJ948" t="inlineStr">
        <is>
          <t>Nej</t>
        </is>
      </c>
      <c r="AK948" t="inlineStr"/>
      <c r="AL948" t="inlineStr"/>
      <c r="AM948" t="inlineStr"/>
      <c r="AN948" t="inlineStr"/>
      <c r="AO948" t="inlineStr">
        <is>
          <t>cmm4yuqdi03h8cuqwtpenx3af</t>
        </is>
      </c>
      <c r="AP948" t="inlineStr">
        <is>
          <t>http://localhost:8787/api/admin/requirements/documents/cmm4yuqdi03h8cuqwtpenx3af/view</t>
        </is>
      </c>
      <c r="AQ948">
        <f>HYPERLÄNK("http://localhost:8787/api/admin/requirements/documents/cmm4yuqdi03h8cuqwtpenx3af/view";"Öppna PDF")</f>
        <v/>
      </c>
      <c r="AR948">
        <f>HYPERLINK("http://localhost:8787/api/admin/requirements/documents/cmm4yuqdi03h8cuqwtpenx3af/view","Open PDF")</f>
        <v/>
      </c>
      <c r="AS948" t="inlineStr">
        <is>
          <t>cmm55w57p0004cuisfrtpqly8</t>
        </is>
      </c>
      <c r="AT948" t="inlineStr">
        <is>
          <t>cmm4xvu980000cuh4vj0usz09</t>
        </is>
      </c>
      <c r="AU948" t="inlineStr">
        <is>
          <t>Karlstads</t>
        </is>
      </c>
      <c r="AV948" t="inlineStr">
        <is>
          <t>Kommun</t>
        </is>
      </c>
      <c r="AW948" t="inlineStr">
        <is>
          <t>Karlstads kommun</t>
        </is>
      </c>
      <c r="AX948" t="inlineStr">
        <is>
          <t>2025-06</t>
        </is>
      </c>
      <c r="AY948" t="inlineStr">
        <is>
          <t>Anmalan</t>
        </is>
      </c>
      <c r="AZ948" t="inlineStr">
        <is>
          <t>2026-02-05</t>
        </is>
      </c>
      <c r="BA948" t="inlineStr">
        <is>
          <t>SERAB Vålberg 1 431 Beslut 250609.pdf</t>
        </is>
      </c>
      <c r="BB948" t="inlineStr">
        <is>
          <t>Begäran om utlämnande av allmän handling – Anmälningar och beslut rörande mellanlagring av avfall samt anläggning av ytor</t>
        </is>
      </c>
      <c r="BC948" t="inlineStr">
        <is>
          <t>AUTO</t>
        </is>
      </c>
      <c r="BD948" t="inlineStr"/>
      <c r="BE948" t="inlineStr"/>
      <c r="BF948" t="inlineStr">
        <is>
          <t>AUTO_GENERERAD. Bekrafta metadata mot kallfil.</t>
        </is>
      </c>
      <c r="BG948">
        <f>HYPERLINK("C:\Users\jimmy\Desktop\Examens arbete\Kod\Ny mapp\remix_-copy-of-miljöbeslut.se-portal\SERAB Vålberg 1 431 Beslut 250609.pdf", "Öppna PDF")</f>
        <v/>
      </c>
    </row>
    <row r="949">
      <c r="A949" t="inlineStr">
        <is>
          <t>KRAV-AUTO-000948</t>
        </is>
      </c>
      <c r="B949" t="inlineStr">
        <is>
          <t>ADMIN-INDEX-2026-02-27-00000000125C043F57453246863FE664CAFE6A3F0700950291EA24F0614FB6ACEDB12BF0E31D00000000010C0000950291EA24F0614FB6ACEDB12BF0E31D00002087ADFD0000</t>
        </is>
      </c>
      <c r="C949" t="inlineStr">
        <is>
          <t>cmm4yuqdg03h5cuqws8bd5lf6</t>
        </is>
      </c>
      <c r="D949" t="inlineStr">
        <is>
          <t>http://localhost:8787/api/admin/requirements/documents/cmm4yuqdg03h5cuqws8bd5lf6/view</t>
        </is>
      </c>
      <c r="E949">
        <f>HYPERLÄNK("http://localhost:8787/api/admin/requirements/documents/cmm4yuqdg03h5cuqws8bd5lf6/view";"Öppna PDF")</f>
        <v/>
      </c>
      <c r="F949">
        <f>HYPERLINK("http://localhost:8787/api/admin/requirements/documents/cmm4yuqdg03h5cuqws8bd5lf6/view","Open PDF")</f>
        <v/>
      </c>
      <c r="G949" t="inlineStr">
        <is>
          <t>cmm55w57p0004cuisfrtpqly8</t>
        </is>
      </c>
      <c r="H949" t="inlineStr">
        <is>
          <t>Informationskrav</t>
        </is>
      </c>
      <c r="I949" t="inlineStr">
        <is>
          <t>MiljopaverkanForsiktighet</t>
        </is>
      </c>
      <c r="J949" t="inlineStr">
        <is>
          <t>Skyddsatgarder</t>
        </is>
      </c>
      <c r="K949" t="inlineStr">
        <is>
          <t>Om det saknas kunskap om avfallet och dess karaktär så är det avfallslämnarens ansvar att inhämta detta.</t>
        </is>
      </c>
      <c r="L949" t="inlineStr">
        <is>
          <t>Om det saknas kunskap om avfallet och dess karaktär så är det avfallslämnarens ansvar att inhämta detta.</t>
        </is>
      </c>
      <c r="M949" t="inlineStr">
        <is>
          <t>SKA</t>
        </is>
      </c>
      <c r="N949" t="inlineStr"/>
      <c r="O949" t="inlineStr"/>
      <c r="P949" t="inlineStr"/>
      <c r="Q949" t="inlineStr"/>
      <c r="R949" t="inlineStr">
        <is>
          <t>Alltid</t>
        </is>
      </c>
      <c r="S949" t="inlineStr"/>
      <c r="T949" t="inlineStr">
        <is>
          <t>170504</t>
        </is>
      </c>
      <c r="U949" t="inlineStr"/>
      <c r="V949" t="inlineStr"/>
      <c r="W949" t="inlineStr">
        <is>
          <t>Nej</t>
        </is>
      </c>
      <c r="X949" t="inlineStr">
        <is>
          <t>Nej</t>
        </is>
      </c>
      <c r="Y949" t="inlineStr">
        <is>
          <t>Nej</t>
        </is>
      </c>
      <c r="Z949" t="inlineStr">
        <is>
          <t>Nej</t>
        </is>
      </c>
      <c r="AA949" t="n">
        <v>10</v>
      </c>
      <c r="AB949" t="inlineStr">
        <is>
          <t>Miljopaverkan och forsiktighetsmatt</t>
        </is>
      </c>
      <c r="AC949" t="inlineStr">
        <is>
          <t>Miljo-PM</t>
        </is>
      </c>
      <c r="AD949" t="inlineStr">
        <is>
          <t>Nej</t>
        </is>
      </c>
      <c r="AE949" t="inlineStr">
        <is>
          <t>Nej</t>
        </is>
      </c>
      <c r="AF949" t="inlineStr">
        <is>
          <t>Ej behandlad</t>
        </is>
      </c>
      <c r="AG949" t="inlineStr">
        <is>
          <t>AUTO_GENERERAD. Verifiera citat mot kallfil.</t>
        </is>
      </c>
      <c r="AH949" t="inlineStr">
        <is>
          <t>LOW</t>
        </is>
      </c>
      <c r="AI949" t="inlineStr">
        <is>
          <t>AUTO</t>
        </is>
      </c>
      <c r="AJ949" t="inlineStr">
        <is>
          <t>Nej</t>
        </is>
      </c>
      <c r="AK949" t="inlineStr"/>
      <c r="AL949" t="inlineStr"/>
      <c r="AM949" t="inlineStr"/>
      <c r="AN949" t="inlineStr"/>
      <c r="AO949" t="inlineStr">
        <is>
          <t>cmm4yuqdi03h8cuqwtpenx3af</t>
        </is>
      </c>
      <c r="AP949" t="inlineStr">
        <is>
          <t>http://localhost:8787/api/admin/requirements/documents/cmm4yuqdi03h8cuqwtpenx3af/view</t>
        </is>
      </c>
      <c r="AQ949">
        <f>HYPERLÄNK("http://localhost:8787/api/admin/requirements/documents/cmm4yuqdi03h8cuqwtpenx3af/view";"Öppna PDF")</f>
        <v/>
      </c>
      <c r="AR949">
        <f>HYPERLINK("http://localhost:8787/api/admin/requirements/documents/cmm4yuqdi03h8cuqwtpenx3af/view","Open PDF")</f>
        <v/>
      </c>
      <c r="AS949" t="inlineStr">
        <is>
          <t>cmm55w57p0004cuisfrtpqly8</t>
        </is>
      </c>
      <c r="AT949" t="inlineStr">
        <is>
          <t>cmm4xvu980000cuh4vj0usz09</t>
        </is>
      </c>
      <c r="AU949" t="inlineStr">
        <is>
          <t>Karlstads</t>
        </is>
      </c>
      <c r="AV949" t="inlineStr">
        <is>
          <t>Kommun</t>
        </is>
      </c>
      <c r="AW949" t="inlineStr">
        <is>
          <t>Karlstads kommun</t>
        </is>
      </c>
      <c r="AX949" t="inlineStr">
        <is>
          <t>2025-06</t>
        </is>
      </c>
      <c r="AY949" t="inlineStr">
        <is>
          <t>Anmalan</t>
        </is>
      </c>
      <c r="AZ949" t="inlineStr">
        <is>
          <t>2026-02-05</t>
        </is>
      </c>
      <c r="BA949" t="inlineStr">
        <is>
          <t>SERAB Vålberg 1 431 Beslut 250609.pdf</t>
        </is>
      </c>
      <c r="BB949" t="inlineStr">
        <is>
          <t>Begäran om utlämnande av allmän handling – Anmälningar och beslut rörande mellanlagring av avfall samt anläggning av ytor</t>
        </is>
      </c>
      <c r="BC949" t="inlineStr">
        <is>
          <t>AUTO</t>
        </is>
      </c>
      <c r="BD949" t="inlineStr"/>
      <c r="BE949" t="inlineStr"/>
      <c r="BF949" t="inlineStr">
        <is>
          <t>AUTO_GENERERAD. Bekrafta metadata mot kallfil.</t>
        </is>
      </c>
      <c r="BG949">
        <f>HYPERLINK("C:\Users\jimmy\Desktop\Examens arbete\Kod\Ny mapp\remix_-copy-of-miljöbeslut.se-portal\SERAB Vålberg 1 431 Beslut 250609.pdf", "Öppna PDF")</f>
        <v/>
      </c>
    </row>
    <row r="950">
      <c r="A950" t="inlineStr">
        <is>
          <t>KRAV-AUTO-000949</t>
        </is>
      </c>
      <c r="B950" t="inlineStr">
        <is>
          <t>ADMIN-INDEX-2026-02-27-00000000125C043F57453246863FE664CAFE6A3F0700950291EA24F0614FB6ACEDB12BF0E31D00000000010C0000950291EA24F0614FB6ACEDB12BF0E31D00002087ADFD0000</t>
        </is>
      </c>
      <c r="C950" t="inlineStr">
        <is>
          <t>cmm4yuqdg03h5cuqws8bd5lf6</t>
        </is>
      </c>
      <c r="D950" t="inlineStr">
        <is>
          <t>http://localhost:8787/api/admin/requirements/documents/cmm4yuqdg03h5cuqws8bd5lf6/view</t>
        </is>
      </c>
      <c r="E950">
        <f>HYPERLÄNK("http://localhost:8787/api/admin/requirements/documents/cmm4yuqdg03h5cuqws8bd5lf6/view";"Öppna PDF")</f>
        <v/>
      </c>
      <c r="F950">
        <f>HYPERLINK("http://localhost:8787/api/admin/requirements/documents/cmm4yuqdg03h5cuqws8bd5lf6/view","Open PDF")</f>
        <v/>
      </c>
      <c r="G950" t="inlineStr">
        <is>
          <t>cmm55w57p0004cuisfrtpqly8</t>
        </is>
      </c>
      <c r="H950" t="inlineStr">
        <is>
          <t>Informationskrav</t>
        </is>
      </c>
      <c r="I950" t="inlineStr">
        <is>
          <t>MiljopaverkanForsiktighet</t>
        </is>
      </c>
      <c r="J950" t="inlineStr">
        <is>
          <t>Skyddsatgarder</t>
        </is>
      </c>
      <c r="K950" t="inlineStr">
        <is>
          <t>Också ursprunget till avfallet ska klargöras och det ska framgå vilken verksamhet som bedrivits på platsen där avfallet har uppkommit.</t>
        </is>
      </c>
      <c r="L950" t="inlineStr">
        <is>
          <t>Också ursprunget till avfallet ska klargöras och det ska framgå vilken verksamhet som bedrivits på platsen där avfallet har uppkommit.</t>
        </is>
      </c>
      <c r="M950" t="inlineStr">
        <is>
          <t>SKA</t>
        </is>
      </c>
      <c r="N950" t="inlineStr"/>
      <c r="O950" t="inlineStr"/>
      <c r="P950" t="inlineStr"/>
      <c r="Q950" t="inlineStr"/>
      <c r="R950" t="inlineStr">
        <is>
          <t>Alltid</t>
        </is>
      </c>
      <c r="S950" t="inlineStr"/>
      <c r="T950" t="inlineStr">
        <is>
          <t>170504</t>
        </is>
      </c>
      <c r="U950" t="inlineStr"/>
      <c r="V950" t="inlineStr"/>
      <c r="W950" t="inlineStr">
        <is>
          <t>Nej</t>
        </is>
      </c>
      <c r="X950" t="inlineStr">
        <is>
          <t>Nej</t>
        </is>
      </c>
      <c r="Y950" t="inlineStr">
        <is>
          <t>Nej</t>
        </is>
      </c>
      <c r="Z950" t="inlineStr">
        <is>
          <t>Nej</t>
        </is>
      </c>
      <c r="AA950" t="n">
        <v>10</v>
      </c>
      <c r="AB950" t="inlineStr">
        <is>
          <t>Miljopaverkan och forsiktighetsmatt</t>
        </is>
      </c>
      <c r="AC950" t="inlineStr">
        <is>
          <t>Miljo-PM</t>
        </is>
      </c>
      <c r="AD950" t="inlineStr">
        <is>
          <t>Nej</t>
        </is>
      </c>
      <c r="AE950" t="inlineStr">
        <is>
          <t>Nej</t>
        </is>
      </c>
      <c r="AF950" t="inlineStr">
        <is>
          <t>Ej behandlad</t>
        </is>
      </c>
      <c r="AG950" t="inlineStr">
        <is>
          <t>AUTO_GENERERAD. Verifiera citat mot kallfil.</t>
        </is>
      </c>
      <c r="AH950" t="inlineStr">
        <is>
          <t>LOW</t>
        </is>
      </c>
      <c r="AI950" t="inlineStr">
        <is>
          <t>AUTO</t>
        </is>
      </c>
      <c r="AJ950" t="inlineStr">
        <is>
          <t>Nej</t>
        </is>
      </c>
      <c r="AK950" t="inlineStr"/>
      <c r="AL950" t="inlineStr"/>
      <c r="AM950" t="inlineStr"/>
      <c r="AN950" t="inlineStr"/>
      <c r="AO950" t="inlineStr">
        <is>
          <t>cmm4yuqdi03h8cuqwtpenx3af</t>
        </is>
      </c>
      <c r="AP950" t="inlineStr">
        <is>
          <t>http://localhost:8787/api/admin/requirements/documents/cmm4yuqdi03h8cuqwtpenx3af/view</t>
        </is>
      </c>
      <c r="AQ950">
        <f>HYPERLÄNK("http://localhost:8787/api/admin/requirements/documents/cmm4yuqdi03h8cuqwtpenx3af/view";"Öppna PDF")</f>
        <v/>
      </c>
      <c r="AR950">
        <f>HYPERLINK("http://localhost:8787/api/admin/requirements/documents/cmm4yuqdi03h8cuqwtpenx3af/view","Open PDF")</f>
        <v/>
      </c>
      <c r="AS950" t="inlineStr">
        <is>
          <t>cmm55w57p0004cuisfrtpqly8</t>
        </is>
      </c>
      <c r="AT950" t="inlineStr">
        <is>
          <t>cmm4xvu980000cuh4vj0usz09</t>
        </is>
      </c>
      <c r="AU950" t="inlineStr">
        <is>
          <t>Karlstads</t>
        </is>
      </c>
      <c r="AV950" t="inlineStr">
        <is>
          <t>Kommun</t>
        </is>
      </c>
      <c r="AW950" t="inlineStr">
        <is>
          <t>Karlstads kommun</t>
        </is>
      </c>
      <c r="AX950" t="inlineStr">
        <is>
          <t>2025-06</t>
        </is>
      </c>
      <c r="AY950" t="inlineStr">
        <is>
          <t>Anmalan</t>
        </is>
      </c>
      <c r="AZ950" t="inlineStr">
        <is>
          <t>2026-02-05</t>
        </is>
      </c>
      <c r="BA950" t="inlineStr">
        <is>
          <t>SERAB Vålberg 1 431 Beslut 250609.pdf</t>
        </is>
      </c>
      <c r="BB950" t="inlineStr">
        <is>
          <t>Begäran om utlämnande av allmän handling – Anmälningar och beslut rörande mellanlagring av avfall samt anläggning av ytor</t>
        </is>
      </c>
      <c r="BC950" t="inlineStr">
        <is>
          <t>AUTO</t>
        </is>
      </c>
      <c r="BD950" t="inlineStr"/>
      <c r="BE950" t="inlineStr"/>
      <c r="BF950" t="inlineStr">
        <is>
          <t>AUTO_GENERERAD. Bekrafta metadata mot kallfil.</t>
        </is>
      </c>
      <c r="BG950">
        <f>HYPERLINK("C:\Users\jimmy\Desktop\Examens arbete\Kod\Ny mapp\remix_-copy-of-miljöbeslut.se-portal\SERAB Vålberg 1 431 Beslut 250609.pdf", "Öppna PDF")</f>
        <v/>
      </c>
    </row>
    <row r="951">
      <c r="A951" t="inlineStr">
        <is>
          <t>KRAV-AUTO-000950</t>
        </is>
      </c>
      <c r="B951" t="inlineStr">
        <is>
          <t>ADMIN-INDEX-2026-02-27-00000000125C043F57453246863FE664CAFE6A3F0700950291EA24F0614FB6ACEDB12BF0E31D00000000010C0000950291EA24F0614FB6ACEDB12BF0E31D00002087ADFD0000</t>
        </is>
      </c>
      <c r="C951" t="inlineStr">
        <is>
          <t>cmm4yuqd903gzcuqwccnmud68</t>
        </is>
      </c>
      <c r="D951" t="inlineStr">
        <is>
          <t>http://localhost:8787/api/admin/requirements/documents/cmm4yuqd903gzcuqwccnmud68/view</t>
        </is>
      </c>
      <c r="E951">
        <f>HYPERLÄNK("http://localhost:8787/api/admin/requirements/documents/cmm4yuqd903gzcuqwccnmud68/view";"Öppna PDF")</f>
        <v/>
      </c>
      <c r="F951">
        <f>HYPERLINK("http://localhost:8787/api/admin/requirements/documents/cmm4yuqd903gzcuqwccnmud68/view","Open PDF")</f>
        <v/>
      </c>
      <c r="G951" t="inlineStr">
        <is>
          <t>cmm55w57p0004cuisfrtpqly8</t>
        </is>
      </c>
      <c r="H951" t="inlineStr">
        <is>
          <t>Kompletteringskrav</t>
        </is>
      </c>
      <c r="I951" t="inlineStr">
        <is>
          <t>LagringsvolymTid</t>
        </is>
      </c>
      <c r="J951" t="inlineStr">
        <is>
          <t>Maxmangd</t>
        </is>
      </c>
      <c r="K951" t="inlineStr">
        <is>
          <t>Mängd avfall som ska användas ton 5000m3 Ange fyllnadshöjd i meter (vid fyllning över 0,5 m inom detaljplanelagt område krävs även mark lov) Från 0-2,9 meter, dal/svacka fylls igen för att nå normativ marknivå.</t>
        </is>
      </c>
      <c r="L951" t="inlineStr">
        <is>
          <t>Mängd avfall som ska användas ton 5000m3 Ange fyllnadshöjd i meter (vid fyllning över 0,5 m inom detaljplanelagt område krävs även mark lov) Från 0-2,9 meter, dal/svacka fylls igen för att nå normativ marknivå.</t>
        </is>
      </c>
      <c r="M951" t="inlineStr">
        <is>
          <t>SKA</t>
        </is>
      </c>
      <c r="N951" t="inlineStr"/>
      <c r="O951" t="inlineStr"/>
      <c r="P951" t="inlineStr"/>
      <c r="Q951" t="inlineStr"/>
      <c r="R951" t="inlineStr">
        <is>
          <t>Alltid</t>
        </is>
      </c>
      <c r="S951" t="inlineStr"/>
      <c r="T951" t="inlineStr">
        <is>
          <t>559003</t>
        </is>
      </c>
      <c r="U951" t="inlineStr"/>
      <c r="V951" t="inlineStr"/>
      <c r="W951" t="inlineStr">
        <is>
          <t>Nej</t>
        </is>
      </c>
      <c r="X951" t="inlineStr">
        <is>
          <t>Nej</t>
        </is>
      </c>
      <c r="Y951" t="inlineStr">
        <is>
          <t>Nej</t>
        </is>
      </c>
      <c r="Z951" t="inlineStr">
        <is>
          <t>Nej</t>
        </is>
      </c>
      <c r="AA951" t="n">
        <v>4</v>
      </c>
      <c r="AB951" t="inlineStr">
        <is>
          <t>Avfallsmangder och lagringstid</t>
        </is>
      </c>
      <c r="AC951" t="inlineStr">
        <is>
          <t>Avfallsforteckning</t>
        </is>
      </c>
      <c r="AD951" t="inlineStr">
        <is>
          <t>Nej</t>
        </is>
      </c>
      <c r="AE951" t="inlineStr">
        <is>
          <t>Nej</t>
        </is>
      </c>
      <c r="AF951" t="inlineStr">
        <is>
          <t>Ej behandlad</t>
        </is>
      </c>
      <c r="AG951" t="inlineStr">
        <is>
          <t>AUTO_GENERERAD. Verifiera citat mot kallfil.</t>
        </is>
      </c>
      <c r="AH951" t="inlineStr">
        <is>
          <t>MEDIUM</t>
        </is>
      </c>
      <c r="AI951" t="inlineStr">
        <is>
          <t>AUTO</t>
        </is>
      </c>
      <c r="AJ951" t="inlineStr">
        <is>
          <t>Nej</t>
        </is>
      </c>
      <c r="AK951" t="inlineStr"/>
      <c r="AL951" t="inlineStr"/>
      <c r="AM951" t="inlineStr"/>
      <c r="AN951" t="inlineStr"/>
      <c r="AO951" t="inlineStr">
        <is>
          <t>cmm4yuqdi03h8cuqwtpenx3af</t>
        </is>
      </c>
      <c r="AP951" t="inlineStr">
        <is>
          <t>http://localhost:8787/api/admin/requirements/documents/cmm4yuqdi03h8cuqwtpenx3af/view</t>
        </is>
      </c>
      <c r="AQ951">
        <f>HYPERLÄNK("http://localhost:8787/api/admin/requirements/documents/cmm4yuqdi03h8cuqwtpenx3af/view";"Öppna PDF")</f>
        <v/>
      </c>
      <c r="AR951">
        <f>HYPERLINK("http://localhost:8787/api/admin/requirements/documents/cmm4yuqdi03h8cuqwtpenx3af/view","Open PDF")</f>
        <v/>
      </c>
      <c r="AS951" t="inlineStr">
        <is>
          <t>cmm55w57p0004cuisfrtpqly8</t>
        </is>
      </c>
      <c r="AT951" t="inlineStr">
        <is>
          <t>cmm4xvu980000cuh4vj0usz09</t>
        </is>
      </c>
      <c r="AU951" t="inlineStr">
        <is>
          <t>Karlstads</t>
        </is>
      </c>
      <c r="AV951" t="inlineStr">
        <is>
          <t>Kommun</t>
        </is>
      </c>
      <c r="AW951" t="inlineStr">
        <is>
          <t>Karlstads kommun</t>
        </is>
      </c>
      <c r="AX951" t="inlineStr">
        <is>
          <t>2025-06</t>
        </is>
      </c>
      <c r="AY951" t="inlineStr">
        <is>
          <t>Anmalan</t>
        </is>
      </c>
      <c r="AZ951" t="inlineStr">
        <is>
          <t>2026-02-05</t>
        </is>
      </c>
      <c r="BA951" t="inlineStr">
        <is>
          <t>SERAB Vålberg 1 431 Beslut 250609.pdf</t>
        </is>
      </c>
      <c r="BB951" t="inlineStr">
        <is>
          <t>Begäran om utlämnande av allmän handling – Anmälningar och beslut rörande mellanlagring av avfall samt anläggning av ytor</t>
        </is>
      </c>
      <c r="BC951" t="inlineStr">
        <is>
          <t>AUTO</t>
        </is>
      </c>
      <c r="BD951" t="inlineStr"/>
      <c r="BE951" t="inlineStr"/>
      <c r="BF951" t="inlineStr">
        <is>
          <t>AUTO_GENERERAD. Bekrafta metadata mot kallfil.</t>
        </is>
      </c>
      <c r="BG951">
        <f>HYPERLINK("C:\Users\jimmy\Desktop\Examens arbete\Kod\Ny mapp\remix_-copy-of-miljöbeslut.se-portal\SERAB Vålberg 1 431 Beslut 250609.pdf", "Öppna PDF")</f>
        <v/>
      </c>
    </row>
    <row r="952">
      <c r="A952" t="inlineStr">
        <is>
          <t>KRAV-AUTO-000951</t>
        </is>
      </c>
      <c r="B952" t="inlineStr">
        <is>
          <t>ADMIN-INDEX-2026-02-27-00000000125C043F57453246863FE664CAFE6A3F0700950291EA24F0614FB6ACEDB12BF0E31D00000000010C0000950291EA24F0614FB6ACEDB12BF0E31D00002087ADFD0000</t>
        </is>
      </c>
      <c r="C952" t="inlineStr">
        <is>
          <t>cmm4yuqd903gzcuqwccnmud68</t>
        </is>
      </c>
      <c r="D952" t="inlineStr">
        <is>
          <t>http://localhost:8787/api/admin/requirements/documents/cmm4yuqd903gzcuqwccnmud68/view</t>
        </is>
      </c>
      <c r="E952">
        <f>HYPERLÄNK("http://localhost:8787/api/admin/requirements/documents/cmm4yuqd903gzcuqwccnmud68/view";"Öppna PDF")</f>
        <v/>
      </c>
      <c r="F952">
        <f>HYPERLINK("http://localhost:8787/api/admin/requirements/documents/cmm4yuqd903gzcuqwccnmud68/view","Open PDF")</f>
        <v/>
      </c>
      <c r="G952" t="inlineStr">
        <is>
          <t>cmm55w57p0004cuisfrtpqly8</t>
        </is>
      </c>
      <c r="H952" t="inlineStr">
        <is>
          <t>Kompletteringskrav</t>
        </is>
      </c>
      <c r="I952" t="inlineStr">
        <is>
          <t>TransportLogistik</t>
        </is>
      </c>
      <c r="J952" t="inlineStr">
        <is>
          <t>Transportvagar</t>
        </is>
      </c>
      <c r="K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952" t="inlineStr">
        <is>
          <t>SKA</t>
        </is>
      </c>
      <c r="N952" t="inlineStr"/>
      <c r="O952" t="inlineStr">
        <is>
          <t>2024-05-20</t>
        </is>
      </c>
      <c r="P952" t="inlineStr">
        <is>
          <t>Arlig</t>
        </is>
      </c>
      <c r="Q952" t="inlineStr"/>
      <c r="R952" t="inlineStr">
        <is>
          <t>Vid transporter</t>
        </is>
      </c>
      <c r="S952" t="inlineStr"/>
      <c r="T952" t="inlineStr">
        <is>
          <t>559003</t>
        </is>
      </c>
      <c r="U952" t="inlineStr"/>
      <c r="V952" t="inlineStr"/>
      <c r="W952" t="inlineStr">
        <is>
          <t>Nej</t>
        </is>
      </c>
      <c r="X952" t="inlineStr">
        <is>
          <t>Nej</t>
        </is>
      </c>
      <c r="Y952" t="inlineStr">
        <is>
          <t>Nej</t>
        </is>
      </c>
      <c r="Z952" t="inlineStr">
        <is>
          <t>Ja</t>
        </is>
      </c>
      <c r="AA952" t="n">
        <v>9</v>
      </c>
      <c r="AB952" t="inlineStr">
        <is>
          <t>Transporter och logistik</t>
        </is>
      </c>
      <c r="AC952" t="inlineStr">
        <is>
          <t>Trafikplan</t>
        </is>
      </c>
      <c r="AD952" t="inlineStr">
        <is>
          <t>Nej</t>
        </is>
      </c>
      <c r="AE952" t="inlineStr">
        <is>
          <t>Nej</t>
        </is>
      </c>
      <c r="AF952" t="inlineStr">
        <is>
          <t>Ej behandlad</t>
        </is>
      </c>
      <c r="AG952" t="inlineStr">
        <is>
          <t>AUTO_GENERERAD. Verifiera citat mot kallfil.</t>
        </is>
      </c>
      <c r="AH952" t="inlineStr">
        <is>
          <t>MEDIUM</t>
        </is>
      </c>
      <c r="AI952" t="inlineStr">
        <is>
          <t>AUTO</t>
        </is>
      </c>
      <c r="AJ952" t="inlineStr">
        <is>
          <t>Nej</t>
        </is>
      </c>
      <c r="AK952" t="inlineStr"/>
      <c r="AL952" t="inlineStr"/>
      <c r="AM952" t="inlineStr"/>
      <c r="AN952" t="inlineStr"/>
      <c r="AO952" t="inlineStr">
        <is>
          <t>cmm4yuqdi03h8cuqwtpenx3af</t>
        </is>
      </c>
      <c r="AP952" t="inlineStr">
        <is>
          <t>http://localhost:8787/api/admin/requirements/documents/cmm4yuqdi03h8cuqwtpenx3af/view</t>
        </is>
      </c>
      <c r="AQ952">
        <f>HYPERLÄNK("http://localhost:8787/api/admin/requirements/documents/cmm4yuqdi03h8cuqwtpenx3af/view";"Öppna PDF")</f>
        <v/>
      </c>
      <c r="AR952">
        <f>HYPERLINK("http://localhost:8787/api/admin/requirements/documents/cmm4yuqdi03h8cuqwtpenx3af/view","Open PDF")</f>
        <v/>
      </c>
      <c r="AS952" t="inlineStr">
        <is>
          <t>cmm55w57p0004cuisfrtpqly8</t>
        </is>
      </c>
      <c r="AT952" t="inlineStr">
        <is>
          <t>cmm4xvu980000cuh4vj0usz09</t>
        </is>
      </c>
      <c r="AU952" t="inlineStr">
        <is>
          <t>Karlstads</t>
        </is>
      </c>
      <c r="AV952" t="inlineStr">
        <is>
          <t>Kommun</t>
        </is>
      </c>
      <c r="AW952" t="inlineStr">
        <is>
          <t>Karlstads kommun</t>
        </is>
      </c>
      <c r="AX952" t="inlineStr">
        <is>
          <t>2025-06</t>
        </is>
      </c>
      <c r="AY952" t="inlineStr">
        <is>
          <t>Anmalan</t>
        </is>
      </c>
      <c r="AZ952" t="inlineStr">
        <is>
          <t>2026-02-05</t>
        </is>
      </c>
      <c r="BA952" t="inlineStr">
        <is>
          <t>SERAB Vålberg 1 431 Beslut 250609.pdf</t>
        </is>
      </c>
      <c r="BB952" t="inlineStr">
        <is>
          <t>Begäran om utlämnande av allmän handling – Anmälningar och beslut rörande mellanlagring av avfall samt anläggning av ytor</t>
        </is>
      </c>
      <c r="BC952" t="inlineStr">
        <is>
          <t>AUTO</t>
        </is>
      </c>
      <c r="BD952" t="inlineStr"/>
      <c r="BE952" t="inlineStr"/>
      <c r="BF952" t="inlineStr">
        <is>
          <t>AUTO_GENERERAD. Bekrafta metadata mot kallfil.</t>
        </is>
      </c>
      <c r="BG952">
        <f>HYPERLINK("C:\Users\jimmy\Desktop\Examens arbete\Kod\Ny mapp\remix_-copy-of-miljöbeslut.se-portal\SERAB Vålberg 1 431 Beslut 250609.pdf", "Öppna PDF")</f>
        <v/>
      </c>
    </row>
    <row r="953">
      <c r="A953" t="inlineStr">
        <is>
          <t>KRAV-AUTO-000952</t>
        </is>
      </c>
      <c r="B953" t="inlineStr">
        <is>
          <t>ADMIN-INDEX-2026-02-27-00000000125C043F57453246863FE664CAFE6A3F0700950291EA24F0614FB6ACEDB12BF0E31D00000000010C0000950291EA24F0614FB6ACEDB12BF0E31D00002087ADFD0000</t>
        </is>
      </c>
      <c r="C953" t="inlineStr">
        <is>
          <t>cmm4yuqd903gzcuqwccnmud68</t>
        </is>
      </c>
      <c r="D953" t="inlineStr">
        <is>
          <t>http://localhost:8787/api/admin/requirements/documents/cmm4yuqd903gzcuqwccnmud68/view</t>
        </is>
      </c>
      <c r="E953">
        <f>HYPERLÄNK("http://localhost:8787/api/admin/requirements/documents/cmm4yuqd903gzcuqwccnmud68/view";"Öppna PDF")</f>
        <v/>
      </c>
      <c r="F953">
        <f>HYPERLINK("http://localhost:8787/api/admin/requirements/documents/cmm4yuqd903gzcuqwccnmud68/view","Open PDF")</f>
        <v/>
      </c>
      <c r="G953" t="inlineStr">
        <is>
          <t>cmm55w57p0004cuisfrtpqly8</t>
        </is>
      </c>
      <c r="H953" t="inlineStr">
        <is>
          <t>Kompletteringskrav</t>
        </is>
      </c>
      <c r="I953" t="inlineStr">
        <is>
          <t>Riskhantering</t>
        </is>
      </c>
      <c r="J953" t="inlineStr">
        <is>
          <t>Riskkontroll</t>
        </is>
      </c>
      <c r="K953" t="inlineStr">
        <is>
          <t>Utrustning som hanterar massorna rengörs efter hantering enligt rutin för minskad risk för spridning.</t>
        </is>
      </c>
      <c r="L953" t="inlineStr">
        <is>
          <t>Utrustning som hanterar massorna rengörs efter hantering enligt rutin för minskad risk för spridning.</t>
        </is>
      </c>
      <c r="M953" t="inlineStr">
        <is>
          <t>SKA</t>
        </is>
      </c>
      <c r="N953" t="inlineStr"/>
      <c r="O953" t="inlineStr"/>
      <c r="P953" t="inlineStr"/>
      <c r="Q953" t="inlineStr"/>
      <c r="R953" t="inlineStr">
        <is>
          <t>Vid risk for incident</t>
        </is>
      </c>
      <c r="S953" t="inlineStr"/>
      <c r="T953" t="inlineStr">
        <is>
          <t>559003</t>
        </is>
      </c>
      <c r="U953" t="inlineStr"/>
      <c r="V953" t="inlineStr"/>
      <c r="W953" t="inlineStr">
        <is>
          <t>Nej</t>
        </is>
      </c>
      <c r="X953" t="inlineStr">
        <is>
          <t>Nej</t>
        </is>
      </c>
      <c r="Y953" t="inlineStr">
        <is>
          <t>Ja</t>
        </is>
      </c>
      <c r="Z953" t="inlineStr">
        <is>
          <t>Ja</t>
        </is>
      </c>
      <c r="AA953" t="n">
        <v>8</v>
      </c>
      <c r="AB953" t="inlineStr">
        <is>
          <t>Riskhantering</t>
        </is>
      </c>
      <c r="AC953" t="inlineStr">
        <is>
          <t>Risk-PM</t>
        </is>
      </c>
      <c r="AD953" t="inlineStr">
        <is>
          <t>Nej</t>
        </is>
      </c>
      <c r="AE953" t="inlineStr">
        <is>
          <t>Nej</t>
        </is>
      </c>
      <c r="AF953" t="inlineStr">
        <is>
          <t>Ej behandlad</t>
        </is>
      </c>
      <c r="AG953" t="inlineStr">
        <is>
          <t>AUTO_GENERERAD. Verifiera citat mot kallfil.</t>
        </is>
      </c>
      <c r="AH953" t="inlineStr">
        <is>
          <t>MEDIUM</t>
        </is>
      </c>
      <c r="AI953" t="inlineStr">
        <is>
          <t>AUTO</t>
        </is>
      </c>
      <c r="AJ953" t="inlineStr">
        <is>
          <t>Nej</t>
        </is>
      </c>
      <c r="AK953" t="inlineStr"/>
      <c r="AL953" t="inlineStr"/>
      <c r="AM953" t="inlineStr"/>
      <c r="AN953" t="inlineStr"/>
      <c r="AO953" t="inlineStr">
        <is>
          <t>cmm4yuqdi03h8cuqwtpenx3af</t>
        </is>
      </c>
      <c r="AP953" t="inlineStr">
        <is>
          <t>http://localhost:8787/api/admin/requirements/documents/cmm4yuqdi03h8cuqwtpenx3af/view</t>
        </is>
      </c>
      <c r="AQ953">
        <f>HYPERLÄNK("http://localhost:8787/api/admin/requirements/documents/cmm4yuqdi03h8cuqwtpenx3af/view";"Öppna PDF")</f>
        <v/>
      </c>
      <c r="AR953">
        <f>HYPERLINK("http://localhost:8787/api/admin/requirements/documents/cmm4yuqdi03h8cuqwtpenx3af/view","Open PDF")</f>
        <v/>
      </c>
      <c r="AS953" t="inlineStr">
        <is>
          <t>cmm55w57p0004cuisfrtpqly8</t>
        </is>
      </c>
      <c r="AT953" t="inlineStr">
        <is>
          <t>cmm4xvu980000cuh4vj0usz09</t>
        </is>
      </c>
      <c r="AU953" t="inlineStr">
        <is>
          <t>Karlstads</t>
        </is>
      </c>
      <c r="AV953" t="inlineStr">
        <is>
          <t>Kommun</t>
        </is>
      </c>
      <c r="AW953" t="inlineStr">
        <is>
          <t>Karlstads kommun</t>
        </is>
      </c>
      <c r="AX953" t="inlineStr">
        <is>
          <t>2025-06</t>
        </is>
      </c>
      <c r="AY953" t="inlineStr">
        <is>
          <t>Anmalan</t>
        </is>
      </c>
      <c r="AZ953" t="inlineStr">
        <is>
          <t>2026-02-05</t>
        </is>
      </c>
      <c r="BA953" t="inlineStr">
        <is>
          <t>SERAB Vålberg 1 431 Beslut 250609.pdf</t>
        </is>
      </c>
      <c r="BB953" t="inlineStr">
        <is>
          <t>Begäran om utlämnande av allmän handling – Anmälningar och beslut rörande mellanlagring av avfall samt anläggning av ytor</t>
        </is>
      </c>
      <c r="BC953" t="inlineStr">
        <is>
          <t>AUTO</t>
        </is>
      </c>
      <c r="BD953" t="inlineStr"/>
      <c r="BE953" t="inlineStr"/>
      <c r="BF953" t="inlineStr">
        <is>
          <t>AUTO_GENERERAD. Bekrafta metadata mot kallfil.</t>
        </is>
      </c>
      <c r="BG953">
        <f>HYPERLINK("C:\Users\jimmy\Desktop\Examens arbete\Kod\Ny mapp\remix_-copy-of-miljöbeslut.se-portal\SERAB Vålberg 1 431 Beslut 250609.pdf", "Öppna PDF")</f>
        <v/>
      </c>
    </row>
    <row r="954">
      <c r="A954" t="inlineStr">
        <is>
          <t>KRAV-AUTO-000953</t>
        </is>
      </c>
      <c r="B954" t="inlineStr">
        <is>
          <t>ADMIN-INDEX-2026-02-27-00000000125C043F57453246863FE664CAFE6A3F0700950291EA24F0614FB6ACEDB12BF0E31D00000000010C0000950291EA24F0614FB6ACEDB12BF0E31D00002087ADFE0000</t>
        </is>
      </c>
      <c r="C954" t="inlineStr">
        <is>
          <t>cmm4yuqcz03gqcuqw3totza5x</t>
        </is>
      </c>
      <c r="D954" t="inlineStr">
        <is>
          <t>http://localhost:8787/api/admin/requirements/documents/cmm4yuqcz03gqcuqw3totza5x/view</t>
        </is>
      </c>
      <c r="E954">
        <f>HYPERLÄNK("http://localhost:8787/api/admin/requirements/documents/cmm4yuqcz03gqcuqw3totza5x/view";"Öppna PDF")</f>
        <v/>
      </c>
      <c r="F954">
        <f>HYPERLINK("http://localhost:8787/api/admin/requirements/documents/cmm4yuqcz03gqcuqw3totza5x/view","Open PDF")</f>
        <v/>
      </c>
      <c r="G954" t="inlineStr">
        <is>
          <t>cmm55w57p0004cuisfrtpqly8</t>
        </is>
      </c>
      <c r="H954" t="inlineStr">
        <is>
          <t>Informationskrav</t>
        </is>
      </c>
      <c r="I954" t="inlineStr">
        <is>
          <t>LagringsvolymTid</t>
        </is>
      </c>
      <c r="J954" t="inlineStr">
        <is>
          <t>Maxmangd</t>
        </is>
      </c>
      <c r="K954" t="inlineStr">
        <is>
          <t>Årsrapporten ska innehålla följande uppgifter: • mängden avfall som tillförts området fördelat på respektive av- fallsslag inkl.</t>
        </is>
      </c>
      <c r="L954" t="inlineStr">
        <is>
          <t>Årsrapporten ska innehålla följande uppgifter: • mängden avfall som tillförts området fördelat på respektive av- fallsslag inkl.</t>
        </is>
      </c>
      <c r="M954" t="inlineStr">
        <is>
          <t>SKA</t>
        </is>
      </c>
      <c r="N954" t="inlineStr"/>
      <c r="O954" t="inlineStr"/>
      <c r="P954" t="inlineStr"/>
      <c r="Q954" t="inlineStr"/>
      <c r="R954" t="inlineStr">
        <is>
          <t>Alltid</t>
        </is>
      </c>
      <c r="S954" t="inlineStr"/>
      <c r="T954" t="inlineStr">
        <is>
          <t>559478</t>
        </is>
      </c>
      <c r="U954" t="inlineStr"/>
      <c r="V954" t="inlineStr"/>
      <c r="W954" t="inlineStr">
        <is>
          <t>Nej</t>
        </is>
      </c>
      <c r="X954" t="inlineStr">
        <is>
          <t>Nej</t>
        </is>
      </c>
      <c r="Y954" t="inlineStr">
        <is>
          <t>Nej</t>
        </is>
      </c>
      <c r="Z954" t="inlineStr">
        <is>
          <t>Nej</t>
        </is>
      </c>
      <c r="AA954" t="n">
        <v>4</v>
      </c>
      <c r="AB954" t="inlineStr">
        <is>
          <t>Avfallsmangder och lagringstid</t>
        </is>
      </c>
      <c r="AC954" t="inlineStr">
        <is>
          <t>Avfallsforteckning</t>
        </is>
      </c>
      <c r="AD954" t="inlineStr">
        <is>
          <t>Nej</t>
        </is>
      </c>
      <c r="AE954" t="inlineStr">
        <is>
          <t>Nej</t>
        </is>
      </c>
      <c r="AF954" t="inlineStr">
        <is>
          <t>Ej behandlad</t>
        </is>
      </c>
      <c r="AG954" t="inlineStr">
        <is>
          <t>AUTO_GENERERAD. Verifiera citat mot kallfil.</t>
        </is>
      </c>
      <c r="AH954" t="inlineStr">
        <is>
          <t>MEDIUM</t>
        </is>
      </c>
      <c r="AI954" t="inlineStr">
        <is>
          <t>AUTO</t>
        </is>
      </c>
      <c r="AJ954" t="inlineStr">
        <is>
          <t>Nej</t>
        </is>
      </c>
      <c r="AK954" t="inlineStr"/>
      <c r="AL954" t="inlineStr"/>
      <c r="AM954" t="inlineStr"/>
      <c r="AN954" t="inlineStr"/>
      <c r="AO954" t="inlineStr">
        <is>
          <t>cmm4yuqd303gtcuqw3vlw8j3n</t>
        </is>
      </c>
      <c r="AP954" t="inlineStr">
        <is>
          <t>http://localhost:8787/api/admin/requirements/documents/cmm4yuqd303gtcuqw3vlw8j3n/view</t>
        </is>
      </c>
      <c r="AQ954">
        <f>HYPERLÄNK("http://localhost:8787/api/admin/requirements/documents/cmm4yuqd303gtcuqw3vlw8j3n/view";"Öppna PDF")</f>
        <v/>
      </c>
      <c r="AR954">
        <f>HYPERLINK("http://localhost:8787/api/admin/requirements/documents/cmm4yuqd303gtcuqw3vlw8j3n/view","Open PDF")</f>
        <v/>
      </c>
      <c r="AS954" t="inlineStr">
        <is>
          <t>cmm55w57p0004cuisfrtpqly8</t>
        </is>
      </c>
      <c r="AT954" t="inlineStr">
        <is>
          <t>cmm4xvu980000cuh4vj0usz09</t>
        </is>
      </c>
      <c r="AU954" t="inlineStr"/>
      <c r="AV954" t="inlineStr">
        <is>
          <t>Kommun</t>
        </is>
      </c>
      <c r="AW954" t="inlineStr"/>
      <c r="AX954" t="inlineStr"/>
      <c r="AY954" t="inlineStr">
        <is>
          <t>Anmalan</t>
        </is>
      </c>
      <c r="AZ954" t="inlineStr">
        <is>
          <t>2026-02-05</t>
        </is>
      </c>
      <c r="BA954" t="inlineStr">
        <is>
          <t>Styrning och kontroll - GIFA.pdf</t>
        </is>
      </c>
      <c r="BB954" t="inlineStr">
        <is>
          <t>Begäran om utlämnande av allmän handling – Anmälningar och beslut rörande mellanlagring av avfall samt anläggning av ytor</t>
        </is>
      </c>
      <c r="BC954" t="inlineStr">
        <is>
          <t>AUTO</t>
        </is>
      </c>
      <c r="BD954" t="inlineStr"/>
      <c r="BE954" t="inlineStr"/>
      <c r="BF954" t="inlineStr">
        <is>
          <t>AUTO_GENERERAD. Bekrafta metadata mot kallfil.</t>
        </is>
      </c>
      <c r="BG954">
        <f>HYPERLINK("C:\Users\jimmy\Desktop\Examens arbete\Kod\Ny mapp\remix_-copy-of-miljöbeslut.se-portal\Styrning och kontroll - GIFA.pdf", "Öppna PDF")</f>
        <v/>
      </c>
    </row>
    <row r="955">
      <c r="A955" t="inlineStr">
        <is>
          <t>KRAV-AUTO-000954</t>
        </is>
      </c>
      <c r="B955" t="inlineStr">
        <is>
          <t>ADMIN-INDEX-2026-02-27-00000000125C043F57453246863FE664CAFE6A3F0700950291EA24F0614FB6ACEDB12BF0E31D00000000010C0000950291EA24F0614FB6ACEDB12BF0E31D00002087ADFE0000</t>
        </is>
      </c>
      <c r="C955" t="inlineStr">
        <is>
          <t>cmm4yuqcz03gqcuqw3totza5x</t>
        </is>
      </c>
      <c r="D955" t="inlineStr">
        <is>
          <t>http://localhost:8787/api/admin/requirements/documents/cmm4yuqcz03gqcuqw3totza5x/view</t>
        </is>
      </c>
      <c r="E955">
        <f>HYPERLÄNK("http://localhost:8787/api/admin/requirements/documents/cmm4yuqcz03gqcuqw3totza5x/view";"Öppna PDF")</f>
        <v/>
      </c>
      <c r="F955">
        <f>HYPERLINK("http://localhost:8787/api/admin/requirements/documents/cmm4yuqcz03gqcuqw3totza5x/view","Open PDF")</f>
        <v/>
      </c>
      <c r="G955" t="inlineStr">
        <is>
          <t>cmm55w57p0004cuisfrtpqly8</t>
        </is>
      </c>
      <c r="H955" t="inlineStr">
        <is>
          <t>Informationskrav</t>
        </is>
      </c>
      <c r="I955" t="inlineStr">
        <is>
          <t>LagringsvolymTid</t>
        </is>
      </c>
      <c r="J955" t="inlineStr">
        <is>
          <t>Maxmangd</t>
        </is>
      </c>
      <c r="K955" t="inlineStr">
        <is>
          <t>Detta betyder att mängden avfall som får tas emot i anläggningen från och med 2025 uppgår till högst [blank] varav [blank] (avrundat till närmaste helt 100-tal) får utgöras av schakt- massor med invasiva växter.</t>
        </is>
      </c>
      <c r="L955" t="inlineStr">
        <is>
          <t>Detta betyder att mängden avfall som får tas emot i anläggningen från och med 2025 uppgår till högst [blank] varav [blank] (avrundat till närmaste helt 100-tal) får utgöras av schakt- massor med invasiva växter.</t>
        </is>
      </c>
      <c r="M955" t="inlineStr">
        <is>
          <t>SKA</t>
        </is>
      </c>
      <c r="N955" t="inlineStr"/>
      <c r="O955" t="inlineStr"/>
      <c r="P955" t="inlineStr"/>
      <c r="Q955" t="inlineStr"/>
      <c r="R955" t="inlineStr">
        <is>
          <t>Alltid</t>
        </is>
      </c>
      <c r="S955" t="inlineStr"/>
      <c r="T955" t="inlineStr">
        <is>
          <t>559478</t>
        </is>
      </c>
      <c r="U955" t="inlineStr"/>
      <c r="V955" t="inlineStr"/>
      <c r="W955" t="inlineStr">
        <is>
          <t>Nej</t>
        </is>
      </c>
      <c r="X955" t="inlineStr">
        <is>
          <t>Nej</t>
        </is>
      </c>
      <c r="Y955" t="inlineStr">
        <is>
          <t>Nej</t>
        </is>
      </c>
      <c r="Z955" t="inlineStr">
        <is>
          <t>Nej</t>
        </is>
      </c>
      <c r="AA955" t="n">
        <v>4</v>
      </c>
      <c r="AB955" t="inlineStr">
        <is>
          <t>Avfallsmangder och lagringstid</t>
        </is>
      </c>
      <c r="AC955" t="inlineStr">
        <is>
          <t>Avfallsforteckning</t>
        </is>
      </c>
      <c r="AD955" t="inlineStr">
        <is>
          <t>Nej</t>
        </is>
      </c>
      <c r="AE955" t="inlineStr">
        <is>
          <t>Nej</t>
        </is>
      </c>
      <c r="AF955" t="inlineStr">
        <is>
          <t>Ej behandlad</t>
        </is>
      </c>
      <c r="AG955" t="inlineStr">
        <is>
          <t>AUTO_GENERERAD. Verifiera citat mot kallfil.</t>
        </is>
      </c>
      <c r="AH955" t="inlineStr">
        <is>
          <t>MEDIUM</t>
        </is>
      </c>
      <c r="AI955" t="inlineStr">
        <is>
          <t>AUTO</t>
        </is>
      </c>
      <c r="AJ955" t="inlineStr">
        <is>
          <t>Nej</t>
        </is>
      </c>
      <c r="AK955" t="inlineStr"/>
      <c r="AL955" t="inlineStr"/>
      <c r="AM955" t="inlineStr"/>
      <c r="AN955" t="inlineStr"/>
      <c r="AO955" t="inlineStr">
        <is>
          <t>cmm4yuqd303gtcuqw3vlw8j3n</t>
        </is>
      </c>
      <c r="AP955" t="inlineStr">
        <is>
          <t>http://localhost:8787/api/admin/requirements/documents/cmm4yuqd303gtcuqw3vlw8j3n/view</t>
        </is>
      </c>
      <c r="AQ955">
        <f>HYPERLÄNK("http://localhost:8787/api/admin/requirements/documents/cmm4yuqd303gtcuqw3vlw8j3n/view";"Öppna PDF")</f>
        <v/>
      </c>
      <c r="AR955">
        <f>HYPERLINK("http://localhost:8787/api/admin/requirements/documents/cmm4yuqd303gtcuqw3vlw8j3n/view","Open PDF")</f>
        <v/>
      </c>
      <c r="AS955" t="inlineStr">
        <is>
          <t>cmm55w57p0004cuisfrtpqly8</t>
        </is>
      </c>
      <c r="AT955" t="inlineStr">
        <is>
          <t>cmm4xvu980000cuh4vj0usz09</t>
        </is>
      </c>
      <c r="AU955" t="inlineStr"/>
      <c r="AV955" t="inlineStr">
        <is>
          <t>Kommun</t>
        </is>
      </c>
      <c r="AW955" t="inlineStr"/>
      <c r="AX955" t="inlineStr"/>
      <c r="AY955" t="inlineStr">
        <is>
          <t>Anmalan</t>
        </is>
      </c>
      <c r="AZ955" t="inlineStr">
        <is>
          <t>2026-02-05</t>
        </is>
      </c>
      <c r="BA955" t="inlineStr">
        <is>
          <t>Styrning och kontroll - GIFA.pdf</t>
        </is>
      </c>
      <c r="BB955" t="inlineStr">
        <is>
          <t>Begäran om utlämnande av allmän handling – Anmälningar och beslut rörande mellanlagring av avfall samt anläggning av ytor</t>
        </is>
      </c>
      <c r="BC955" t="inlineStr">
        <is>
          <t>AUTO</t>
        </is>
      </c>
      <c r="BD955" t="inlineStr"/>
      <c r="BE955" t="inlineStr"/>
      <c r="BF955" t="inlineStr">
        <is>
          <t>AUTO_GENERERAD. Bekrafta metadata mot kallfil.</t>
        </is>
      </c>
      <c r="BG955">
        <f>HYPERLINK("C:\Users\jimmy\Desktop\Examens arbete\Kod\Ny mapp\remix_-copy-of-miljöbeslut.se-portal\Styrning och kontroll - GIFA.pdf", "Öppna PDF")</f>
        <v/>
      </c>
    </row>
    <row r="956">
      <c r="A956" t="inlineStr">
        <is>
          <t>KRAV-AUTO-000955</t>
        </is>
      </c>
      <c r="B956" t="inlineStr">
        <is>
          <t>ADMIN-INDEX-2026-02-27-00000000125C043F57453246863FE664CAFE6A3F0700950291EA24F0614FB6ACEDB12BF0E31D00000000010C0000950291EA24F0614FB6ACEDB12BF0E31D00002087ADFE0000</t>
        </is>
      </c>
      <c r="C956" t="inlineStr">
        <is>
          <t>cmm4yuqcz03gqcuqw3totza5x</t>
        </is>
      </c>
      <c r="D956" t="inlineStr">
        <is>
          <t>http://localhost:8787/api/admin/requirements/documents/cmm4yuqcz03gqcuqw3totza5x/view</t>
        </is>
      </c>
      <c r="E956">
        <f>HYPERLÄNK("http://localhost:8787/api/admin/requirements/documents/cmm4yuqcz03gqcuqw3totza5x/view";"Öppna PDF")</f>
        <v/>
      </c>
      <c r="F956">
        <f>HYPERLINK("http://localhost:8787/api/admin/requirements/documents/cmm4yuqcz03gqcuqw3totza5x/view","Open PDF")</f>
        <v/>
      </c>
      <c r="G956" t="inlineStr">
        <is>
          <t>cmm55w57p0004cuisfrtpqly8</t>
        </is>
      </c>
      <c r="H956" t="inlineStr">
        <is>
          <t>Informationskrav</t>
        </is>
      </c>
      <c r="I956" t="inlineStr">
        <is>
          <t>Ytkonstruktion</t>
        </is>
      </c>
      <c r="J956" t="inlineStr">
        <is>
          <t>Tat yta</t>
        </is>
      </c>
      <c r="K956" t="inlineStr">
        <is>
          <t>• var avfall med invasiva arter placerats på området och på vilket djup under markytan ska anges på karta.</t>
        </is>
      </c>
      <c r="L956" t="inlineStr">
        <is>
          <t>• var avfall med invasiva arter placerats på området och på vilket djup under markytan ska anges på karta.</t>
        </is>
      </c>
      <c r="M956" t="inlineStr">
        <is>
          <t>SKA</t>
        </is>
      </c>
      <c r="N956" t="inlineStr"/>
      <c r="O956" t="inlineStr"/>
      <c r="P956" t="inlineStr"/>
      <c r="Q956" t="inlineStr"/>
      <c r="R956" t="inlineStr">
        <is>
          <t>Vid mellanlagring av avfall</t>
        </is>
      </c>
      <c r="S956" t="inlineStr"/>
      <c r="T956" t="inlineStr">
        <is>
          <t>559478</t>
        </is>
      </c>
      <c r="U956" t="inlineStr"/>
      <c r="V956" t="inlineStr"/>
      <c r="W956" t="inlineStr">
        <is>
          <t>Ja</t>
        </is>
      </c>
      <c r="X956" t="inlineStr">
        <is>
          <t>Nej</t>
        </is>
      </c>
      <c r="Y956" t="inlineStr">
        <is>
          <t>Nej</t>
        </is>
      </c>
      <c r="Z956" t="inlineStr">
        <is>
          <t>Nej</t>
        </is>
      </c>
      <c r="AA956" t="n">
        <v>5</v>
      </c>
      <c r="AB956" t="inlineStr">
        <is>
          <t>Teknisk beskrivning av platta</t>
        </is>
      </c>
      <c r="AC956" t="inlineStr">
        <is>
          <t>Teknisk ritning platta</t>
        </is>
      </c>
      <c r="AD956" t="inlineStr">
        <is>
          <t>Nej</t>
        </is>
      </c>
      <c r="AE956" t="inlineStr">
        <is>
          <t>Nej</t>
        </is>
      </c>
      <c r="AF956" t="inlineStr">
        <is>
          <t>Ej behandlad</t>
        </is>
      </c>
      <c r="AG956" t="inlineStr">
        <is>
          <t>AUTO_GENERERAD. Verifiera citat mot kallfil.</t>
        </is>
      </c>
      <c r="AH956" t="inlineStr">
        <is>
          <t>MEDIUM</t>
        </is>
      </c>
      <c r="AI956" t="inlineStr">
        <is>
          <t>AUTO</t>
        </is>
      </c>
      <c r="AJ956" t="inlineStr">
        <is>
          <t>Nej</t>
        </is>
      </c>
      <c r="AK956" t="inlineStr"/>
      <c r="AL956" t="inlineStr"/>
      <c r="AM956" t="inlineStr"/>
      <c r="AN956" t="inlineStr"/>
      <c r="AO956" t="inlineStr">
        <is>
          <t>cmm4yuqd303gtcuqw3vlw8j3n</t>
        </is>
      </c>
      <c r="AP956" t="inlineStr">
        <is>
          <t>http://localhost:8787/api/admin/requirements/documents/cmm4yuqd303gtcuqw3vlw8j3n/view</t>
        </is>
      </c>
      <c r="AQ956">
        <f>HYPERLÄNK("http://localhost:8787/api/admin/requirements/documents/cmm4yuqd303gtcuqw3vlw8j3n/view";"Öppna PDF")</f>
        <v/>
      </c>
      <c r="AR956">
        <f>HYPERLINK("http://localhost:8787/api/admin/requirements/documents/cmm4yuqd303gtcuqw3vlw8j3n/view","Open PDF")</f>
        <v/>
      </c>
      <c r="AS956" t="inlineStr">
        <is>
          <t>cmm55w57p0004cuisfrtpqly8</t>
        </is>
      </c>
      <c r="AT956" t="inlineStr">
        <is>
          <t>cmm4xvu980000cuh4vj0usz09</t>
        </is>
      </c>
      <c r="AU956" t="inlineStr"/>
      <c r="AV956" t="inlineStr">
        <is>
          <t>Kommun</t>
        </is>
      </c>
      <c r="AW956" t="inlineStr"/>
      <c r="AX956" t="inlineStr"/>
      <c r="AY956" t="inlineStr">
        <is>
          <t>Anmalan</t>
        </is>
      </c>
      <c r="AZ956" t="inlineStr">
        <is>
          <t>2026-02-05</t>
        </is>
      </c>
      <c r="BA956" t="inlineStr">
        <is>
          <t>Styrning och kontroll - GIFA.pdf</t>
        </is>
      </c>
      <c r="BB956" t="inlineStr">
        <is>
          <t>Begäran om utlämnande av allmän handling – Anmälningar och beslut rörande mellanlagring av avfall samt anläggning av ytor</t>
        </is>
      </c>
      <c r="BC956" t="inlineStr">
        <is>
          <t>AUTO</t>
        </is>
      </c>
      <c r="BD956" t="inlineStr"/>
      <c r="BE956" t="inlineStr"/>
      <c r="BF956" t="inlineStr">
        <is>
          <t>AUTO_GENERERAD. Bekrafta metadata mot kallfil.</t>
        </is>
      </c>
      <c r="BG956">
        <f>HYPERLINK("C:\Users\jimmy\Desktop\Examens arbete\Kod\Ny mapp\remix_-copy-of-miljöbeslut.se-portal\Styrning och kontroll - GIFA.pdf", "Öppna PDF")</f>
        <v/>
      </c>
    </row>
    <row r="957">
      <c r="A957" t="inlineStr">
        <is>
          <t>KRAV-AUTO-000956</t>
        </is>
      </c>
      <c r="B957" t="inlineStr">
        <is>
          <t>ADMIN-INDEX-2026-02-27-00000000125C043F57453246863FE664CAFE6A3F0700950291EA24F0614FB6ACEDB12BF0E31D00000000010C0000950291EA24F0614FB6ACEDB12BF0E31D00002087ADFF0000</t>
        </is>
      </c>
      <c r="C957" t="inlineStr">
        <is>
          <t>cmm4yuqch03gbcuqwypxxpf85</t>
        </is>
      </c>
      <c r="D957" t="inlineStr">
        <is>
          <t>http://localhost:8787/api/admin/requirements/documents/cmm4yuqch03gbcuqwypxxpf85/view</t>
        </is>
      </c>
      <c r="E957">
        <f>HYPERLÄNK("http://localhost:8787/api/admin/requirements/documents/cmm4yuqch03gbcuqwypxxpf85/view";"Öppna PDF")</f>
        <v/>
      </c>
      <c r="F957">
        <f>HYPERLINK("http://localhost:8787/api/admin/requirements/documents/cmm4yuqch03gbcuqwypxxpf85/view","Open PDF")</f>
        <v/>
      </c>
      <c r="G957" t="inlineStr">
        <is>
          <t>cmm55w57p0004cuisfrtpqly8</t>
        </is>
      </c>
      <c r="H957" t="inlineStr">
        <is>
          <t>Informationskrav</t>
        </is>
      </c>
      <c r="I957" t="inlineStr">
        <is>
          <t>MiljopaverkanForsiktighet</t>
        </is>
      </c>
      <c r="J957" t="inlineStr">
        <is>
          <t>Skyddsatgarder</t>
        </is>
      </c>
      <c r="K957" t="inlineStr">
        <is>
          <t>Dokument: Karlstads kommun Anmälan om lagring av avfall Skåre 1 369 Beslut 250820.pdf.</t>
        </is>
      </c>
      <c r="L957" t="inlineStr">
        <is>
          <t>Dokument: Karlstads kommun Anmälan om lagring av avfall Skåre 1 369 Beslut 250820.pdf.</t>
        </is>
      </c>
      <c r="M957" t="inlineStr">
        <is>
          <t>SKA</t>
        </is>
      </c>
      <c r="N957" t="inlineStr"/>
      <c r="O957" t="inlineStr"/>
      <c r="P957" t="inlineStr"/>
      <c r="Q957" t="inlineStr"/>
      <c r="R957" t="inlineStr">
        <is>
          <t>Alltid</t>
        </is>
      </c>
      <c r="S957" t="inlineStr"/>
      <c r="T957" t="inlineStr">
        <is>
          <t>250820</t>
        </is>
      </c>
      <c r="U957" t="inlineStr"/>
      <c r="V957" t="inlineStr"/>
      <c r="W957" t="inlineStr">
        <is>
          <t>Nej</t>
        </is>
      </c>
      <c r="X957" t="inlineStr">
        <is>
          <t>Nej</t>
        </is>
      </c>
      <c r="Y957" t="inlineStr">
        <is>
          <t>Nej</t>
        </is>
      </c>
      <c r="Z957" t="inlineStr">
        <is>
          <t>Nej</t>
        </is>
      </c>
      <c r="AA957" t="n">
        <v>10</v>
      </c>
      <c r="AB957" t="inlineStr">
        <is>
          <t>Miljopaverkan och forsiktighetsmatt</t>
        </is>
      </c>
      <c r="AC957" t="inlineStr">
        <is>
          <t>Miljo-PM</t>
        </is>
      </c>
      <c r="AD957" t="inlineStr">
        <is>
          <t>Nej</t>
        </is>
      </c>
      <c r="AE957" t="inlineStr">
        <is>
          <t>Nej</t>
        </is>
      </c>
      <c r="AF957" t="inlineStr">
        <is>
          <t>Ej behandlad</t>
        </is>
      </c>
      <c r="AG957" t="inlineStr">
        <is>
          <t>AUTO_GENERERAD. Verifiera citat mot kallfil.</t>
        </is>
      </c>
      <c r="AH957" t="inlineStr">
        <is>
          <t>LOW</t>
        </is>
      </c>
      <c r="AI957" t="inlineStr">
        <is>
          <t>AUTO</t>
        </is>
      </c>
      <c r="AJ957" t="inlineStr">
        <is>
          <t>Nej</t>
        </is>
      </c>
      <c r="AK957" t="inlineStr"/>
      <c r="AL957" t="inlineStr"/>
      <c r="AM957" t="inlineStr"/>
      <c r="AN957" t="inlineStr"/>
      <c r="AO957" t="inlineStr">
        <is>
          <t>cmm4yuqch03gbcuqwypxxpf85</t>
        </is>
      </c>
      <c r="AP957" t="inlineStr">
        <is>
          <t>http://localhost:8787/api/admin/requirements/documents/cmm4yuqch03gbcuqwypxxpf85/view</t>
        </is>
      </c>
      <c r="AQ957">
        <f>HYPERLÄNK("http://localhost:8787/api/admin/requirements/documents/cmm4yuqch03gbcuqwypxxpf85/view";"Öppna PDF")</f>
        <v/>
      </c>
      <c r="AR957">
        <f>HYPERLINK("http://localhost:8787/api/admin/requirements/documents/cmm4yuqch03gbcuqwypxxpf85/view","Open PDF")</f>
        <v/>
      </c>
      <c r="AS957" t="inlineStr">
        <is>
          <t>cmm55w57p0004cuisfrtpqly8</t>
        </is>
      </c>
      <c r="AT957" t="inlineStr">
        <is>
          <t>cmm4xvu980000cuh4vj0usz09</t>
        </is>
      </c>
      <c r="AU957" t="inlineStr">
        <is>
          <t>avfall samt anläggning av ytor Karlstads</t>
        </is>
      </c>
      <c r="AV957" t="inlineStr">
        <is>
          <t>Kommun</t>
        </is>
      </c>
      <c r="AW957" t="inlineStr">
        <is>
          <t>avfall samt anläggning av ytor Karlstads kommun</t>
        </is>
      </c>
      <c r="AX957" t="inlineStr"/>
      <c r="AY957" t="inlineStr">
        <is>
          <t>Anmalan</t>
        </is>
      </c>
      <c r="AZ957" t="inlineStr">
        <is>
          <t>2026-02-05</t>
        </is>
      </c>
      <c r="BA957" t="inlineStr">
        <is>
          <t>Karlstads kommun Anmälan om lagring av avfall Skåre 1 369 Beslut 250820.pdf</t>
        </is>
      </c>
      <c r="BB957" t="inlineStr">
        <is>
          <t>Begäran om utlämnande av allmän handling – Anmälningar och beslut rörande mellanlagring av avfall samt anläggning av ytor</t>
        </is>
      </c>
      <c r="BC957" t="inlineStr">
        <is>
          <t>AUTO</t>
        </is>
      </c>
      <c r="BD957" t="inlineStr"/>
      <c r="BE957" t="inlineStr"/>
      <c r="BF957" t="inlineStr">
        <is>
          <t>AUTO_GENERERAD. Bekrafta metadata mot kallfil.</t>
        </is>
      </c>
      <c r="BG957">
        <f>HYPERLINK("C:\Users\jimmy\Desktop\Examens arbete\Kod\Ny mapp\remix_-copy-of-miljöbeslut.se-portal\Karlstads kommun Anmälan om lagring av avfall Skåre 1 369 Beslut 250820.pdf", "Öppna PDF")</f>
        <v/>
      </c>
    </row>
    <row r="958">
      <c r="A958" t="inlineStr">
        <is>
          <t>KRAV-AUTO-000957</t>
        </is>
      </c>
      <c r="B958" t="inlineStr">
        <is>
          <t>ADMIN-INDEX-2026-02-27-00000000125C043F57453246863FE664CAFE6A3F0700950291EA24F0614FB6ACEDB12BF0E31D00000000010C0000950291EA24F0614FB6ACEDB12BF0E31D00002087ADFF0000</t>
        </is>
      </c>
      <c r="C958" t="inlineStr">
        <is>
          <t>cmm4yuqcd03g8cuqwcir3irx1</t>
        </is>
      </c>
      <c r="D958" t="inlineStr">
        <is>
          <t>http://localhost:8787/api/admin/requirements/documents/cmm4yuqcd03g8cuqwcir3irx1/view</t>
        </is>
      </c>
      <c r="E958">
        <f>HYPERLÄNK("http://localhost:8787/api/admin/requirements/documents/cmm4yuqcd03g8cuqwcir3irx1/view";"Öppna PDF")</f>
        <v/>
      </c>
      <c r="F958">
        <f>HYPERLINK("http://localhost:8787/api/admin/requirements/documents/cmm4yuqcd03g8cuqwcir3irx1/view","Open PDF")</f>
        <v/>
      </c>
      <c r="G958" t="inlineStr">
        <is>
          <t>cmm55w57p0004cuisfrtpqly8</t>
        </is>
      </c>
      <c r="H958" t="inlineStr">
        <is>
          <t>Informationskrav</t>
        </is>
      </c>
      <c r="I958" t="inlineStr">
        <is>
          <t>MiljopaverkanForsiktighet</t>
        </is>
      </c>
      <c r="J958" t="inlineStr">
        <is>
          <t>Skyddsatgarder</t>
        </is>
      </c>
      <c r="K958" t="inlineStr">
        <is>
          <t>Sid 3(4) Mellanlagret kommer börja användas 2025-09-01 och det avslutas 2026-03-31.</t>
        </is>
      </c>
      <c r="L958" t="inlineStr">
        <is>
          <t>Sid 3(4) Mellanlagret kommer börja användas 2025-09-01 och det avslutas 2026-03-31.</t>
        </is>
      </c>
      <c r="M958" t="inlineStr">
        <is>
          <t>BOR</t>
        </is>
      </c>
      <c r="N958" t="inlineStr"/>
      <c r="O958" t="inlineStr">
        <is>
          <t>2025-09-01</t>
        </is>
      </c>
      <c r="P958" t="inlineStr"/>
      <c r="Q958" t="inlineStr"/>
      <c r="R958" t="inlineStr">
        <is>
          <t>Alltid</t>
        </is>
      </c>
      <c r="S958" t="inlineStr"/>
      <c r="T958" t="inlineStr">
        <is>
          <t>212000</t>
        </is>
      </c>
      <c r="U958" t="inlineStr"/>
      <c r="V958" t="inlineStr"/>
      <c r="W958" t="inlineStr">
        <is>
          <t>Nej</t>
        </is>
      </c>
      <c r="X958" t="inlineStr">
        <is>
          <t>Nej</t>
        </is>
      </c>
      <c r="Y958" t="inlineStr">
        <is>
          <t>Nej</t>
        </is>
      </c>
      <c r="Z958" t="inlineStr">
        <is>
          <t>Nej</t>
        </is>
      </c>
      <c r="AA958" t="n">
        <v>10</v>
      </c>
      <c r="AB958" t="inlineStr">
        <is>
          <t>Miljopaverkan och forsiktighetsmatt</t>
        </is>
      </c>
      <c r="AC958" t="inlineStr">
        <is>
          <t>Miljo-PM</t>
        </is>
      </c>
      <c r="AD958" t="inlineStr">
        <is>
          <t>Nej</t>
        </is>
      </c>
      <c r="AE958" t="inlineStr">
        <is>
          <t>Nej</t>
        </is>
      </c>
      <c r="AF958" t="inlineStr">
        <is>
          <t>Ej behandlad</t>
        </is>
      </c>
      <c r="AG958" t="inlineStr">
        <is>
          <t>AUTO_GENERERAD. Verifiera citat mot kallfil.</t>
        </is>
      </c>
      <c r="AH958" t="inlineStr">
        <is>
          <t>MEDIUM</t>
        </is>
      </c>
      <c r="AI958" t="inlineStr">
        <is>
          <t>AUTO</t>
        </is>
      </c>
      <c r="AJ958" t="inlineStr">
        <is>
          <t>Nej</t>
        </is>
      </c>
      <c r="AK958" t="inlineStr"/>
      <c r="AL958" t="inlineStr"/>
      <c r="AM958" t="inlineStr"/>
      <c r="AN958" t="inlineStr"/>
      <c r="AO958" t="inlineStr">
        <is>
          <t>cmm4yuqch03gbcuqwypxxpf85</t>
        </is>
      </c>
      <c r="AP958" t="inlineStr">
        <is>
          <t>http://localhost:8787/api/admin/requirements/documents/cmm4yuqch03gbcuqwypxxpf85/view</t>
        </is>
      </c>
      <c r="AQ958">
        <f>HYPERLÄNK("http://localhost:8787/api/admin/requirements/documents/cmm4yuqch03gbcuqwypxxpf85/view";"Öppna PDF")</f>
        <v/>
      </c>
      <c r="AR958">
        <f>HYPERLINK("http://localhost:8787/api/admin/requirements/documents/cmm4yuqch03gbcuqwypxxpf85/view","Open PDF")</f>
        <v/>
      </c>
      <c r="AS958" t="inlineStr">
        <is>
          <t>cmm55w57p0004cuisfrtpqly8</t>
        </is>
      </c>
      <c r="AT958" t="inlineStr">
        <is>
          <t>cmm4xvu980000cuh4vj0usz09</t>
        </is>
      </c>
      <c r="AU958" t="inlineStr">
        <is>
          <t>avfall samt anläggning av ytor Karlstads</t>
        </is>
      </c>
      <c r="AV958" t="inlineStr">
        <is>
          <t>Kommun</t>
        </is>
      </c>
      <c r="AW958" t="inlineStr">
        <is>
          <t>avfall samt anläggning av ytor Karlstads kommun</t>
        </is>
      </c>
      <c r="AX958" t="inlineStr"/>
      <c r="AY958" t="inlineStr">
        <is>
          <t>Anmalan</t>
        </is>
      </c>
      <c r="AZ958" t="inlineStr">
        <is>
          <t>2026-02-05</t>
        </is>
      </c>
      <c r="BA958" t="inlineStr">
        <is>
          <t>Karlstads kommun Anmälan om lagring av avfall Skåre 1 369 Beslut 250820.pdf</t>
        </is>
      </c>
      <c r="BB958" t="inlineStr">
        <is>
          <t>Begäran om utlämnande av allmän handling – Anmälningar och beslut rörande mellanlagring av avfall samt anläggning av ytor</t>
        </is>
      </c>
      <c r="BC958" t="inlineStr">
        <is>
          <t>AUTO</t>
        </is>
      </c>
      <c r="BD958" t="inlineStr"/>
      <c r="BE958" t="inlineStr"/>
      <c r="BF958" t="inlineStr">
        <is>
          <t>AUTO_GENERERAD. Bekrafta metadata mot kallfil.</t>
        </is>
      </c>
      <c r="BG958">
        <f>HYPERLINK("C:\Users\jimmy\Desktop\Examens arbete\Kod\Ny mapp\remix_-copy-of-miljöbeslut.se-portal\Karlstads kommun Anmälan om lagring av avfall Skåre 1 369 Beslut 250820.pdf", "Öppna PDF")</f>
        <v/>
      </c>
    </row>
    <row r="959">
      <c r="A959" t="inlineStr">
        <is>
          <t>KRAV-AUTO-000958</t>
        </is>
      </c>
      <c r="B959" t="inlineStr">
        <is>
          <t>ADMIN-INDEX-2026-02-27-00000000125C043F57453246863FE664CAFE6A3F0700950291EA24F0614FB6ACEDB12BF0E31D00000000010C0000950291EA24F0614FB6ACEDB12BF0E31D00002087ADFF0000</t>
        </is>
      </c>
      <c r="C959" t="inlineStr">
        <is>
          <t>cmm4yuqcd03g8cuqwcir3irx1</t>
        </is>
      </c>
      <c r="D959" t="inlineStr">
        <is>
          <t>http://localhost:8787/api/admin/requirements/documents/cmm4yuqcd03g8cuqwcir3irx1/view</t>
        </is>
      </c>
      <c r="E959">
        <f>HYPERLÄNK("http://localhost:8787/api/admin/requirements/documents/cmm4yuqcd03g8cuqwcir3irx1/view";"Öppna PDF")</f>
        <v/>
      </c>
      <c r="F959">
        <f>HYPERLINK("http://localhost:8787/api/admin/requirements/documents/cmm4yuqcd03g8cuqwcir3irx1/view","Open PDF")</f>
        <v/>
      </c>
      <c r="G959" t="inlineStr">
        <is>
          <t>cmm55w57p0004cuisfrtpqly8</t>
        </is>
      </c>
      <c r="H959" t="inlineStr">
        <is>
          <t>Informationskrav</t>
        </is>
      </c>
      <c r="I959" t="inlineStr">
        <is>
          <t>DriftEgenkontroll</t>
        </is>
      </c>
      <c r="J959" t="inlineStr">
        <is>
          <t>Journalforing</t>
        </is>
      </c>
      <c r="K959" t="inlineStr">
        <is>
          <t>Vid behov ska den även kunna användas för provtagning av misstänkt förorenade massor.</t>
        </is>
      </c>
      <c r="L959" t="inlineStr">
        <is>
          <t>Vid behov ska den även kunna användas för provtagning av misstänkt förorenade massor.</t>
        </is>
      </c>
      <c r="M959" t="inlineStr">
        <is>
          <t>SKA</t>
        </is>
      </c>
      <c r="N959" t="inlineStr"/>
      <c r="O959" t="inlineStr"/>
      <c r="P959" t="inlineStr"/>
      <c r="Q959" t="inlineStr"/>
      <c r="R959" t="inlineStr">
        <is>
          <t>Lopande drift</t>
        </is>
      </c>
      <c r="S959" t="inlineStr"/>
      <c r="T959" t="inlineStr">
        <is>
          <t>212000</t>
        </is>
      </c>
      <c r="U959" t="inlineStr"/>
      <c r="V959" t="inlineStr"/>
      <c r="W959" t="inlineStr">
        <is>
          <t>Nej</t>
        </is>
      </c>
      <c r="X959" t="inlineStr">
        <is>
          <t>Nej</t>
        </is>
      </c>
      <c r="Y959" t="inlineStr">
        <is>
          <t>Ja</t>
        </is>
      </c>
      <c r="Z959" t="inlineStr">
        <is>
          <t>Nej</t>
        </is>
      </c>
      <c r="AA959" t="n">
        <v>7</v>
      </c>
      <c r="AB959" t="inlineStr">
        <is>
          <t>Egenkontrollrutiner</t>
        </is>
      </c>
      <c r="AC959" t="inlineStr">
        <is>
          <t>Egenkontrollprogram</t>
        </is>
      </c>
      <c r="AD959" t="inlineStr">
        <is>
          <t>Nej</t>
        </is>
      </c>
      <c r="AE959" t="inlineStr">
        <is>
          <t>Nej</t>
        </is>
      </c>
      <c r="AF959" t="inlineStr">
        <is>
          <t>Ej behandlad</t>
        </is>
      </c>
      <c r="AG959" t="inlineStr">
        <is>
          <t>AUTO_GENERERAD. Verifiera citat mot kallfil.</t>
        </is>
      </c>
      <c r="AH959" t="inlineStr">
        <is>
          <t>MEDIUM</t>
        </is>
      </c>
      <c r="AI959" t="inlineStr">
        <is>
          <t>AUTO</t>
        </is>
      </c>
      <c r="AJ959" t="inlineStr">
        <is>
          <t>Nej</t>
        </is>
      </c>
      <c r="AK959" t="inlineStr"/>
      <c r="AL959" t="inlineStr"/>
      <c r="AM959" t="inlineStr"/>
      <c r="AN959" t="inlineStr"/>
      <c r="AO959" t="inlineStr">
        <is>
          <t>cmm4yuqch03gbcuqwypxxpf85</t>
        </is>
      </c>
      <c r="AP959" t="inlineStr">
        <is>
          <t>http://localhost:8787/api/admin/requirements/documents/cmm4yuqch03gbcuqwypxxpf85/view</t>
        </is>
      </c>
      <c r="AQ959">
        <f>HYPERLÄNK("http://localhost:8787/api/admin/requirements/documents/cmm4yuqch03gbcuqwypxxpf85/view";"Öppna PDF")</f>
        <v/>
      </c>
      <c r="AR959">
        <f>HYPERLINK("http://localhost:8787/api/admin/requirements/documents/cmm4yuqch03gbcuqwypxxpf85/view","Open PDF")</f>
        <v/>
      </c>
      <c r="AS959" t="inlineStr">
        <is>
          <t>cmm55w57p0004cuisfrtpqly8</t>
        </is>
      </c>
      <c r="AT959" t="inlineStr">
        <is>
          <t>cmm4xvu980000cuh4vj0usz09</t>
        </is>
      </c>
      <c r="AU959" t="inlineStr">
        <is>
          <t>avfall samt anläggning av ytor Karlstads</t>
        </is>
      </c>
      <c r="AV959" t="inlineStr">
        <is>
          <t>Kommun</t>
        </is>
      </c>
      <c r="AW959" t="inlineStr">
        <is>
          <t>avfall samt anläggning av ytor Karlstads kommun</t>
        </is>
      </c>
      <c r="AX959" t="inlineStr"/>
      <c r="AY959" t="inlineStr">
        <is>
          <t>Anmalan</t>
        </is>
      </c>
      <c r="AZ959" t="inlineStr">
        <is>
          <t>2026-02-05</t>
        </is>
      </c>
      <c r="BA959" t="inlineStr">
        <is>
          <t>Karlstads kommun Anmälan om lagring av avfall Skåre 1 369 Beslut 250820.pdf</t>
        </is>
      </c>
      <c r="BB959" t="inlineStr">
        <is>
          <t>Begäran om utlämnande av allmän handling – Anmälningar och beslut rörande mellanlagring av avfall samt anläggning av ytor</t>
        </is>
      </c>
      <c r="BC959" t="inlineStr">
        <is>
          <t>AUTO</t>
        </is>
      </c>
      <c r="BD959" t="inlineStr"/>
      <c r="BE959" t="inlineStr"/>
      <c r="BF959" t="inlineStr">
        <is>
          <t>AUTO_GENERERAD. Bekrafta metadata mot kallfil.</t>
        </is>
      </c>
      <c r="BG959">
        <f>HYPERLINK("C:\Users\jimmy\Desktop\Examens arbete\Kod\Ny mapp\remix_-copy-of-miljöbeslut.se-portal\Karlstads kommun Anmälan om lagring av avfall Skåre 1 369 Beslut 250820.pdf", "Öppna PDF")</f>
        <v/>
      </c>
    </row>
    <row r="960">
      <c r="A960" t="inlineStr">
        <is>
          <t>KRAV-AUTO-000959</t>
        </is>
      </c>
      <c r="B960" t="inlineStr">
        <is>
          <t>ADMIN-INDEX-2026-02-27-00000000125C043F57453246863FE664CAFE6A3F0700950291EA24F0614FB6ACEDB12BF0E31D00000000010C0000950291EA24F0614FB6ACEDB12BF0E31D00002087ADFF0000</t>
        </is>
      </c>
      <c r="C960" t="inlineStr">
        <is>
          <t>cmm4yuqcd03g8cuqwcir3irx1</t>
        </is>
      </c>
      <c r="D960" t="inlineStr">
        <is>
          <t>http://localhost:8787/api/admin/requirements/documents/cmm4yuqcd03g8cuqwcir3irx1/view</t>
        </is>
      </c>
      <c r="E960">
        <f>HYPERLÄNK("http://localhost:8787/api/admin/requirements/documents/cmm4yuqcd03g8cuqwcir3irx1/view";"Öppna PDF")</f>
        <v/>
      </c>
      <c r="F960">
        <f>HYPERLINK("http://localhost:8787/api/admin/requirements/documents/cmm4yuqcd03g8cuqwcir3irx1/view","Open PDF")</f>
        <v/>
      </c>
      <c r="G960" t="inlineStr">
        <is>
          <t>cmm55w57p0004cuisfrtpqly8</t>
        </is>
      </c>
      <c r="H960" t="inlineStr">
        <is>
          <t>Informationskrav</t>
        </is>
      </c>
      <c r="I960" t="inlineStr">
        <is>
          <t>TransportLogistik</t>
        </is>
      </c>
      <c r="J960" t="inlineStr">
        <is>
          <t>Transportvagar</t>
        </is>
      </c>
      <c r="K960" t="inlineStr">
        <is>
          <t>Den största vinsten bedöms vara att transporterna kommer minska då avståndet mellan arbetsområdet och mellanlagret är relativt kort.</t>
        </is>
      </c>
      <c r="L960" t="inlineStr">
        <is>
          <t>Den största vinsten bedöms vara att transporterna kommer minska då avståndet mellan arbetsområdet och mellanlagret är relativt kort.</t>
        </is>
      </c>
      <c r="M960" t="inlineStr">
        <is>
          <t>SKA</t>
        </is>
      </c>
      <c r="N960" t="inlineStr"/>
      <c r="O960" t="inlineStr"/>
      <c r="P960" t="inlineStr"/>
      <c r="Q960" t="inlineStr"/>
      <c r="R960" t="inlineStr">
        <is>
          <t>Vid transporter</t>
        </is>
      </c>
      <c r="S960" t="inlineStr"/>
      <c r="T960" t="inlineStr">
        <is>
          <t>212000</t>
        </is>
      </c>
      <c r="U960" t="inlineStr"/>
      <c r="V960" t="inlineStr"/>
      <c r="W960" t="inlineStr">
        <is>
          <t>Nej</t>
        </is>
      </c>
      <c r="X960" t="inlineStr">
        <is>
          <t>Nej</t>
        </is>
      </c>
      <c r="Y960" t="inlineStr">
        <is>
          <t>Nej</t>
        </is>
      </c>
      <c r="Z960" t="inlineStr">
        <is>
          <t>Ja</t>
        </is>
      </c>
      <c r="AA960" t="n">
        <v>9</v>
      </c>
      <c r="AB960" t="inlineStr">
        <is>
          <t>Transporter och logistik</t>
        </is>
      </c>
      <c r="AC960" t="inlineStr">
        <is>
          <t>Trafikplan</t>
        </is>
      </c>
      <c r="AD960" t="inlineStr">
        <is>
          <t>Nej</t>
        </is>
      </c>
      <c r="AE960" t="inlineStr">
        <is>
          <t>Nej</t>
        </is>
      </c>
      <c r="AF960" t="inlineStr">
        <is>
          <t>Ej behandlad</t>
        </is>
      </c>
      <c r="AG960" t="inlineStr">
        <is>
          <t>AUTO_GENERERAD. Verifiera citat mot kallfil.</t>
        </is>
      </c>
      <c r="AH960" t="inlineStr">
        <is>
          <t>MEDIUM</t>
        </is>
      </c>
      <c r="AI960" t="inlineStr">
        <is>
          <t>AUTO</t>
        </is>
      </c>
      <c r="AJ960" t="inlineStr">
        <is>
          <t>Nej</t>
        </is>
      </c>
      <c r="AK960" t="inlineStr"/>
      <c r="AL960" t="inlineStr"/>
      <c r="AM960" t="inlineStr"/>
      <c r="AN960" t="inlineStr"/>
      <c r="AO960" t="inlineStr">
        <is>
          <t>cmm4yuqch03gbcuqwypxxpf85</t>
        </is>
      </c>
      <c r="AP960" t="inlineStr">
        <is>
          <t>http://localhost:8787/api/admin/requirements/documents/cmm4yuqch03gbcuqwypxxpf85/view</t>
        </is>
      </c>
      <c r="AQ960">
        <f>HYPERLÄNK("http://localhost:8787/api/admin/requirements/documents/cmm4yuqch03gbcuqwypxxpf85/view";"Öppna PDF")</f>
        <v/>
      </c>
      <c r="AR960">
        <f>HYPERLINK("http://localhost:8787/api/admin/requirements/documents/cmm4yuqch03gbcuqwypxxpf85/view","Open PDF")</f>
        <v/>
      </c>
      <c r="AS960" t="inlineStr">
        <is>
          <t>cmm55w57p0004cuisfrtpqly8</t>
        </is>
      </c>
      <c r="AT960" t="inlineStr">
        <is>
          <t>cmm4xvu980000cuh4vj0usz09</t>
        </is>
      </c>
      <c r="AU960" t="inlineStr">
        <is>
          <t>avfall samt anläggning av ytor Karlstads</t>
        </is>
      </c>
      <c r="AV960" t="inlineStr">
        <is>
          <t>Kommun</t>
        </is>
      </c>
      <c r="AW960" t="inlineStr">
        <is>
          <t>avfall samt anläggning av ytor Karlstads kommun</t>
        </is>
      </c>
      <c r="AX960" t="inlineStr"/>
      <c r="AY960" t="inlineStr">
        <is>
          <t>Anmalan</t>
        </is>
      </c>
      <c r="AZ960" t="inlineStr">
        <is>
          <t>2026-02-05</t>
        </is>
      </c>
      <c r="BA960" t="inlineStr">
        <is>
          <t>Karlstads kommun Anmälan om lagring av avfall Skåre 1 369 Beslut 250820.pdf</t>
        </is>
      </c>
      <c r="BB960" t="inlineStr">
        <is>
          <t>Begäran om utlämnande av allmän handling – Anmälningar och beslut rörande mellanlagring av avfall samt anläggning av ytor</t>
        </is>
      </c>
      <c r="BC960" t="inlineStr">
        <is>
          <t>AUTO</t>
        </is>
      </c>
      <c r="BD960" t="inlineStr"/>
      <c r="BE960" t="inlineStr"/>
      <c r="BF960" t="inlineStr">
        <is>
          <t>AUTO_GENERERAD. Bekrafta metadata mot kallfil.</t>
        </is>
      </c>
      <c r="BG960">
        <f>HYPERLINK("C:\Users\jimmy\Desktop\Examens arbete\Kod\Ny mapp\remix_-copy-of-miljöbeslut.se-portal\Karlstads kommun Anmälan om lagring av avfall Skåre 1 369 Beslut 250820.pdf", "Öppna PDF")</f>
        <v/>
      </c>
    </row>
    <row r="961">
      <c r="A961" t="inlineStr">
        <is>
          <t>KRAV-AUTO-000960</t>
        </is>
      </c>
      <c r="B961" t="inlineStr">
        <is>
          <t>ADMIN-INDEX-2026-02-27-00000000125C043F57453246863FE664CAFE6A3F0700950291EA24F0614FB6ACEDB12BF0E31D00000000010C0000950291EA24F0614FB6ACEDB12BF0E31D00002087A58F0000</t>
        </is>
      </c>
      <c r="C961" t="inlineStr">
        <is>
          <t>cmm4yur8804a8cuqw0sinnlrc</t>
        </is>
      </c>
      <c r="D961" t="inlineStr">
        <is>
          <t>http://localhost:8787/api/admin/requirements/documents/cmm4yur8804a8cuqw0sinnlrc/view</t>
        </is>
      </c>
      <c r="E961">
        <f>HYPERLÄNK("http://localhost:8787/api/admin/requirements/documents/cmm4yur8804a8cuqw0sinnlrc/view";"Öppna PDF")</f>
        <v/>
      </c>
      <c r="F961">
        <f>HYPERLINK("http://localhost:8787/api/admin/requirements/documents/cmm4yur8804a8cuqw0sinnlrc/view","Open PDF")</f>
        <v/>
      </c>
      <c r="G961" t="inlineStr">
        <is>
          <t>cmm55w57p0004cuisfrtpqly8</t>
        </is>
      </c>
      <c r="H961" t="inlineStr">
        <is>
          <t>Beslutsvillkor</t>
        </is>
      </c>
      <c r="I961" t="inlineStr">
        <is>
          <t>Riskhantering</t>
        </is>
      </c>
      <c r="J961" t="inlineStr">
        <is>
          <t>Riskkontroll</t>
        </is>
      </c>
      <c r="K961" t="inlineStr">
        <is>
          <t>Vid sortering, demontering eller annan behandling av avfall som utgörs av elektriska och elektroniska produkter, innan vidare behandling sker, får avfallsmängderna inte överstiga 1 000 ton per kalenderår eller 70 ton per tillfälle.</t>
        </is>
      </c>
      <c r="L961" t="inlineStr">
        <is>
          <t>Vid sortering, demontering eller annan behandling av avfall som utgörs av elektriska och elektroniska produkter, innan vidare behandling sker, får avfallsmängderna inte överstiga 1 000 ton per kalenderår eller 70 ton per tillfälle.</t>
        </is>
      </c>
      <c r="M961" t="inlineStr">
        <is>
          <t>SKA</t>
        </is>
      </c>
      <c r="N961" t="inlineStr"/>
      <c r="O961" t="inlineStr"/>
      <c r="P961" t="inlineStr"/>
      <c r="Q961" t="inlineStr"/>
      <c r="R961" t="inlineStr">
        <is>
          <t>Vid risk for incident</t>
        </is>
      </c>
      <c r="S961" t="inlineStr"/>
      <c r="T961" t="inlineStr">
        <is>
          <t>21 70 00</t>
        </is>
      </c>
      <c r="U961" t="n">
        <v>0</v>
      </c>
      <c r="V961" t="inlineStr"/>
      <c r="W961" t="inlineStr">
        <is>
          <t>Nej</t>
        </is>
      </c>
      <c r="X961" t="inlineStr">
        <is>
          <t>Nej</t>
        </is>
      </c>
      <c r="Y961" t="inlineStr">
        <is>
          <t>Ja</t>
        </is>
      </c>
      <c r="Z961" t="inlineStr">
        <is>
          <t>Ja</t>
        </is>
      </c>
      <c r="AA961" t="n">
        <v>8</v>
      </c>
      <c r="AB961" t="inlineStr">
        <is>
          <t>Riskhantering</t>
        </is>
      </c>
      <c r="AC961" t="inlineStr">
        <is>
          <t>Risk-PM</t>
        </is>
      </c>
      <c r="AD961" t="inlineStr">
        <is>
          <t>Nej</t>
        </is>
      </c>
      <c r="AE961" t="inlineStr">
        <is>
          <t>Nej</t>
        </is>
      </c>
      <c r="AF961" t="inlineStr">
        <is>
          <t>Ej behandlad</t>
        </is>
      </c>
      <c r="AG961" t="inlineStr">
        <is>
          <t>AUTO_GENERERAD. Verifiera citat mot kallfil.</t>
        </is>
      </c>
      <c r="AH961" t="inlineStr">
        <is>
          <t>MEDIUM</t>
        </is>
      </c>
      <c r="AI961" t="inlineStr">
        <is>
          <t>AUTO</t>
        </is>
      </c>
      <c r="AJ961" t="inlineStr">
        <is>
          <t>Nej</t>
        </is>
      </c>
      <c r="AK961" t="inlineStr"/>
      <c r="AL961" t="inlineStr"/>
      <c r="AM961" t="inlineStr"/>
      <c r="AN961" t="inlineStr"/>
      <c r="AO961" t="inlineStr">
        <is>
          <t>cmm4yur8f04ahcuqwwwzodl6h</t>
        </is>
      </c>
      <c r="AP961" t="inlineStr">
        <is>
          <t>http://localhost:8787/api/admin/requirements/documents/cmm4yur8f04ahcuqwwwzodl6h/view</t>
        </is>
      </c>
      <c r="AQ961">
        <f>HYPERLÄNK("http://localhost:8787/api/admin/requirements/documents/cmm4yur8f04ahcuqwwwzodl6h/view";"Öppna PDF")</f>
        <v/>
      </c>
      <c r="AR961">
        <f>HYPERLINK("http://localhost:8787/api/admin/requirements/documents/cmm4yur8f04ahcuqwwwzodl6h/view","Open PDF")</f>
        <v/>
      </c>
      <c r="AS961" t="inlineStr">
        <is>
          <t>cmm55w57p0004cuisfrtpqly8</t>
        </is>
      </c>
      <c r="AT961" t="inlineStr">
        <is>
          <t>cmm4xvu980000cuh4vj0usz09</t>
        </is>
      </c>
      <c r="AU961" t="inlineStr">
        <is>
          <t>Marks</t>
        </is>
      </c>
      <c r="AV961" t="inlineStr">
        <is>
          <t>Kommun</t>
        </is>
      </c>
      <c r="AW961" t="inlineStr">
        <is>
          <t>Marks kommun</t>
        </is>
      </c>
      <c r="AX961" t="inlineStr">
        <is>
          <t>2025-09</t>
        </is>
      </c>
      <c r="AY961" t="inlineStr">
        <is>
          <t>Beslut</t>
        </is>
      </c>
      <c r="AZ961" t="inlineStr">
        <is>
          <t>2026-02-10</t>
        </is>
      </c>
      <c r="BA961" t="inlineStr">
        <is>
          <t>MIL.2025.1276.pdf</t>
        </is>
      </c>
      <c r="BB961" t="inlineStr">
        <is>
          <t>Sv: till registrator</t>
        </is>
      </c>
      <c r="BC961" t="inlineStr">
        <is>
          <t>AUTO</t>
        </is>
      </c>
      <c r="BD961" t="inlineStr"/>
      <c r="BE961" t="inlineStr"/>
      <c r="BF961" t="inlineStr">
        <is>
          <t>AUTO_GENERERAD. Bekrafta metadata mot kallfil.</t>
        </is>
      </c>
      <c r="BG961">
        <f>HYPERLINK("C:\Users\jimmy\Desktop\Examens arbete\Kod\Ny mapp\remix_-copy-of-miljöbeslut.se-portal\MIL.2025.1276.pdf", "Öppna PDF")</f>
        <v/>
      </c>
    </row>
    <row r="962">
      <c r="A962" t="inlineStr">
        <is>
          <t>KRAV-AUTO-000961</t>
        </is>
      </c>
      <c r="B962" t="inlineStr">
        <is>
          <t>ADMIN-INDEX-2026-02-27-00000000125C043F57453246863FE664CAFE6A3F0700950291EA24F0614FB6ACEDB12BF0E31D00000000010C0000950291EA24F0614FB6ACEDB12BF0E31D00002087A58F0000</t>
        </is>
      </c>
      <c r="C962" t="inlineStr">
        <is>
          <t>cmm4yur8804a8cuqw0sinnlrc</t>
        </is>
      </c>
      <c r="D962" t="inlineStr">
        <is>
          <t>http://localhost:8787/api/admin/requirements/documents/cmm4yur8804a8cuqw0sinnlrc/view</t>
        </is>
      </c>
      <c r="E962">
        <f>HYPERLÄNK("http://localhost:8787/api/admin/requirements/documents/cmm4yur8804a8cuqw0sinnlrc/view";"Öppna PDF")</f>
        <v/>
      </c>
      <c r="F962">
        <f>HYPERLINK("http://localhost:8787/api/admin/requirements/documents/cmm4yur8804a8cuqw0sinnlrc/view","Open PDF")</f>
        <v/>
      </c>
      <c r="G962" t="inlineStr">
        <is>
          <t>cmm55w57p0004cuisfrtpqly8</t>
        </is>
      </c>
      <c r="H962" t="inlineStr">
        <is>
          <t>Beslutsvillkor</t>
        </is>
      </c>
      <c r="I962" t="inlineStr">
        <is>
          <t>LagringsvolymTid</t>
        </is>
      </c>
      <c r="J962" t="inlineStr">
        <is>
          <t>Maxmangd</t>
        </is>
      </c>
      <c r="K962" t="inlineStr">
        <is>
          <t>Volymer inkluderas i de tillståndsgivna volymerna om maximalt 1500 årston samt 90 ton i samtidig mängd (villkor F).</t>
        </is>
      </c>
      <c r="L962" t="inlineStr">
        <is>
          <t>Volymer inkluderas i de tillståndsgivna volymerna om maximalt 1500 årston samt 90 ton i samtidig mängd (villkor F).</t>
        </is>
      </c>
      <c r="M962" t="inlineStr">
        <is>
          <t>INFO</t>
        </is>
      </c>
      <c r="N962" t="inlineStr"/>
      <c r="O962" t="inlineStr"/>
      <c r="P962" t="inlineStr"/>
      <c r="Q962" t="inlineStr"/>
      <c r="R962" t="inlineStr">
        <is>
          <t>Alltid</t>
        </is>
      </c>
      <c r="S962" t="inlineStr"/>
      <c r="T962" t="inlineStr">
        <is>
          <t>21 70 00</t>
        </is>
      </c>
      <c r="U962" t="n">
        <v>90</v>
      </c>
      <c r="V962" t="inlineStr"/>
      <c r="W962" t="inlineStr">
        <is>
          <t>Nej</t>
        </is>
      </c>
      <c r="X962" t="inlineStr">
        <is>
          <t>Nej</t>
        </is>
      </c>
      <c r="Y962" t="inlineStr">
        <is>
          <t>Nej</t>
        </is>
      </c>
      <c r="Z962" t="inlineStr">
        <is>
          <t>Nej</t>
        </is>
      </c>
      <c r="AA962" t="n">
        <v>4</v>
      </c>
      <c r="AB962" t="inlineStr">
        <is>
          <t>Avfallsmangder och lagringstid</t>
        </is>
      </c>
      <c r="AC962" t="inlineStr">
        <is>
          <t>Avfallsforteckning</t>
        </is>
      </c>
      <c r="AD962" t="inlineStr">
        <is>
          <t>Nej</t>
        </is>
      </c>
      <c r="AE962" t="inlineStr">
        <is>
          <t>Nej</t>
        </is>
      </c>
      <c r="AF962" t="inlineStr">
        <is>
          <t>Ej behandlad</t>
        </is>
      </c>
      <c r="AG962" t="inlineStr">
        <is>
          <t>AUTO_GENERERAD. Verifiera citat mot kallfil.</t>
        </is>
      </c>
      <c r="AH962" t="inlineStr">
        <is>
          <t>MEDIUM</t>
        </is>
      </c>
      <c r="AI962" t="inlineStr">
        <is>
          <t>AUTO</t>
        </is>
      </c>
      <c r="AJ962" t="inlineStr">
        <is>
          <t>Nej</t>
        </is>
      </c>
      <c r="AK962" t="inlineStr"/>
      <c r="AL962" t="inlineStr"/>
      <c r="AM962" t="inlineStr"/>
      <c r="AN962" t="inlineStr"/>
      <c r="AO962" t="inlineStr">
        <is>
          <t>cmm4yur8f04ahcuqwwwzodl6h</t>
        </is>
      </c>
      <c r="AP962" t="inlineStr">
        <is>
          <t>http://localhost:8787/api/admin/requirements/documents/cmm4yur8f04ahcuqwwwzodl6h/view</t>
        </is>
      </c>
      <c r="AQ962">
        <f>HYPERLÄNK("http://localhost:8787/api/admin/requirements/documents/cmm4yur8f04ahcuqwwwzodl6h/view";"Öppna PDF")</f>
        <v/>
      </c>
      <c r="AR962">
        <f>HYPERLINK("http://localhost:8787/api/admin/requirements/documents/cmm4yur8f04ahcuqwwwzodl6h/view","Open PDF")</f>
        <v/>
      </c>
      <c r="AS962" t="inlineStr">
        <is>
          <t>cmm55w57p0004cuisfrtpqly8</t>
        </is>
      </c>
      <c r="AT962" t="inlineStr">
        <is>
          <t>cmm4xvu980000cuh4vj0usz09</t>
        </is>
      </c>
      <c r="AU962" t="inlineStr">
        <is>
          <t>Marks</t>
        </is>
      </c>
      <c r="AV962" t="inlineStr">
        <is>
          <t>Kommun</t>
        </is>
      </c>
      <c r="AW962" t="inlineStr">
        <is>
          <t>Marks kommun</t>
        </is>
      </c>
      <c r="AX962" t="inlineStr">
        <is>
          <t>2025-09</t>
        </is>
      </c>
      <c r="AY962" t="inlineStr">
        <is>
          <t>Beslut</t>
        </is>
      </c>
      <c r="AZ962" t="inlineStr">
        <is>
          <t>2026-02-10</t>
        </is>
      </c>
      <c r="BA962" t="inlineStr">
        <is>
          <t>MIL.2025.1276.pdf</t>
        </is>
      </c>
      <c r="BB962" t="inlineStr">
        <is>
          <t>Sv: till registrator</t>
        </is>
      </c>
      <c r="BC962" t="inlineStr">
        <is>
          <t>AUTO</t>
        </is>
      </c>
      <c r="BD962" t="inlineStr"/>
      <c r="BE962" t="inlineStr"/>
      <c r="BF962" t="inlineStr">
        <is>
          <t>AUTO_GENERERAD. Bekrafta metadata mot kallfil.</t>
        </is>
      </c>
      <c r="BG962">
        <f>HYPERLINK("C:\Users\jimmy\Desktop\Examens arbete\Kod\Ny mapp\remix_-copy-of-miljöbeslut.se-portal\MIL.2025.1276.pdf", "Öppna PDF")</f>
        <v/>
      </c>
    </row>
    <row r="963">
      <c r="A963" t="inlineStr">
        <is>
          <t>KRAV-AUTO-000962</t>
        </is>
      </c>
      <c r="B963" t="inlineStr">
        <is>
          <t>ADMIN-INDEX-2026-02-27-00000000125C043F57453246863FE664CAFE6A3F0700950291EA24F0614FB6ACEDB12BF0E31D00000000010C0000950291EA24F0614FB6ACEDB12BF0E31D00002087A58F0000</t>
        </is>
      </c>
      <c r="C963" t="inlineStr">
        <is>
          <t>cmm4yur8804a8cuqw0sinnlrc</t>
        </is>
      </c>
      <c r="D963" t="inlineStr">
        <is>
          <t>http://localhost:8787/api/admin/requirements/documents/cmm4yur8804a8cuqw0sinnlrc/view</t>
        </is>
      </c>
      <c r="E963">
        <f>HYPERLÄNK("http://localhost:8787/api/admin/requirements/documents/cmm4yur8804a8cuqw0sinnlrc/view";"Öppna PDF")</f>
        <v/>
      </c>
      <c r="F963">
        <f>HYPERLINK("http://localhost:8787/api/admin/requirements/documents/cmm4yur8804a8cuqw0sinnlrc/view","Open PDF")</f>
        <v/>
      </c>
      <c r="G963" t="inlineStr">
        <is>
          <t>cmm55w57p0004cuisfrtpqly8</t>
        </is>
      </c>
      <c r="H963" t="inlineStr">
        <is>
          <t>Beslutsvillkor</t>
        </is>
      </c>
      <c r="I963" t="inlineStr">
        <is>
          <t>MiljopaverkanForsiktighet</t>
        </is>
      </c>
      <c r="J963" t="inlineStr">
        <is>
          <t>Skyddsatgarder</t>
        </is>
      </c>
      <c r="K963" t="inlineStr">
        <is>
          <t>Hanterat avfall som berör den anmälda verksamheten, ska ingå i den årliga miljörapporten.</t>
        </is>
      </c>
      <c r="L963" t="inlineStr">
        <is>
          <t>Hanterat avfall som berör den anmälda verksamheten, ska ingå i den årliga miljörapporten.</t>
        </is>
      </c>
      <c r="M963" t="inlineStr">
        <is>
          <t>SKA</t>
        </is>
      </c>
      <c r="N963" t="inlineStr"/>
      <c r="O963" t="inlineStr"/>
      <c r="P963" t="inlineStr">
        <is>
          <t>Arlig</t>
        </is>
      </c>
      <c r="Q963" t="inlineStr"/>
      <c r="R963" t="inlineStr">
        <is>
          <t>Alltid</t>
        </is>
      </c>
      <c r="S963" t="inlineStr"/>
      <c r="T963" t="inlineStr">
        <is>
          <t>21 70 00</t>
        </is>
      </c>
      <c r="U963" t="inlineStr"/>
      <c r="V963" t="inlineStr"/>
      <c r="W963" t="inlineStr">
        <is>
          <t>Nej</t>
        </is>
      </c>
      <c r="X963" t="inlineStr">
        <is>
          <t>Nej</t>
        </is>
      </c>
      <c r="Y963" t="inlineStr">
        <is>
          <t>Nej</t>
        </is>
      </c>
      <c r="Z963" t="inlineStr">
        <is>
          <t>Nej</t>
        </is>
      </c>
      <c r="AA963" t="n">
        <v>10</v>
      </c>
      <c r="AB963" t="inlineStr">
        <is>
          <t>Miljopaverkan och forsiktighetsmatt</t>
        </is>
      </c>
      <c r="AC963" t="inlineStr">
        <is>
          <t>Miljo-PM</t>
        </is>
      </c>
      <c r="AD963" t="inlineStr">
        <is>
          <t>Nej</t>
        </is>
      </c>
      <c r="AE963" t="inlineStr">
        <is>
          <t>Nej</t>
        </is>
      </c>
      <c r="AF963" t="inlineStr">
        <is>
          <t>Ej behandlad</t>
        </is>
      </c>
      <c r="AG963" t="inlineStr">
        <is>
          <t>AUTO_GENERERAD. Verifiera citat mot kallfil.</t>
        </is>
      </c>
      <c r="AH963" t="inlineStr">
        <is>
          <t>MEDIUM</t>
        </is>
      </c>
      <c r="AI963" t="inlineStr">
        <is>
          <t>AUTO</t>
        </is>
      </c>
      <c r="AJ963" t="inlineStr">
        <is>
          <t>Nej</t>
        </is>
      </c>
      <c r="AK963" t="inlineStr"/>
      <c r="AL963" t="inlineStr"/>
      <c r="AM963" t="inlineStr"/>
      <c r="AN963" t="inlineStr"/>
      <c r="AO963" t="inlineStr">
        <is>
          <t>cmm4yur8f04ahcuqwwwzodl6h</t>
        </is>
      </c>
      <c r="AP963" t="inlineStr">
        <is>
          <t>http://localhost:8787/api/admin/requirements/documents/cmm4yur8f04ahcuqwwwzodl6h/view</t>
        </is>
      </c>
      <c r="AQ963">
        <f>HYPERLÄNK("http://localhost:8787/api/admin/requirements/documents/cmm4yur8f04ahcuqwwwzodl6h/view";"Öppna PDF")</f>
        <v/>
      </c>
      <c r="AR963">
        <f>HYPERLINK("http://localhost:8787/api/admin/requirements/documents/cmm4yur8f04ahcuqwwwzodl6h/view","Open PDF")</f>
        <v/>
      </c>
      <c r="AS963" t="inlineStr">
        <is>
          <t>cmm55w57p0004cuisfrtpqly8</t>
        </is>
      </c>
      <c r="AT963" t="inlineStr">
        <is>
          <t>cmm4xvu980000cuh4vj0usz09</t>
        </is>
      </c>
      <c r="AU963" t="inlineStr">
        <is>
          <t>Marks</t>
        </is>
      </c>
      <c r="AV963" t="inlineStr">
        <is>
          <t>Kommun</t>
        </is>
      </c>
      <c r="AW963" t="inlineStr">
        <is>
          <t>Marks kommun</t>
        </is>
      </c>
      <c r="AX963" t="inlineStr">
        <is>
          <t>2025-09</t>
        </is>
      </c>
      <c r="AY963" t="inlineStr">
        <is>
          <t>Beslut</t>
        </is>
      </c>
      <c r="AZ963" t="inlineStr">
        <is>
          <t>2026-02-10</t>
        </is>
      </c>
      <c r="BA963" t="inlineStr">
        <is>
          <t>MIL.2025.1276.pdf</t>
        </is>
      </c>
      <c r="BB963" t="inlineStr">
        <is>
          <t>Sv: till registrator</t>
        </is>
      </c>
      <c r="BC963" t="inlineStr">
        <is>
          <t>AUTO</t>
        </is>
      </c>
      <c r="BD963" t="inlineStr"/>
      <c r="BE963" t="inlineStr"/>
      <c r="BF963" t="inlineStr">
        <is>
          <t>AUTO_GENERERAD. Bekrafta metadata mot kallfil.</t>
        </is>
      </c>
      <c r="BG963">
        <f>HYPERLINK("C:\Users\jimmy\Desktop\Examens arbete\Kod\Ny mapp\remix_-copy-of-miljöbeslut.se-portal\MIL.2025.1276.pdf", "Öppna PDF")</f>
        <v/>
      </c>
    </row>
    <row r="964">
      <c r="A964" t="inlineStr">
        <is>
          <t>KRAV-AUTO-000963</t>
        </is>
      </c>
      <c r="B964" t="inlineStr">
        <is>
          <t>ADMIN-INDEX-2026-02-27-00000000125C043F57453246863FE664CAFE6A3F0700950291EA24F0614FB6ACEDB12BF0E31D00000000010C0000950291EA24F0614FB6ACEDB12BF0E31D00002087ADFE0000</t>
        </is>
      </c>
      <c r="C964" t="inlineStr">
        <is>
          <t>cmm4yuqcu03gncuqwno12pcu6</t>
        </is>
      </c>
      <c r="D964" t="inlineStr">
        <is>
          <t>http://localhost:8787/api/admin/requirements/documents/cmm4yuqcu03gncuqwno12pcu6/view</t>
        </is>
      </c>
      <c r="E964">
        <f>HYPERLÄNK("http://localhost:8787/api/admin/requirements/documents/cmm4yuqcu03gncuqwno12pcu6/view";"Öppna PDF")</f>
        <v/>
      </c>
      <c r="F964">
        <f>HYPERLINK("http://localhost:8787/api/admin/requirements/documents/cmm4yuqcu03gncuqwno12pcu6/view","Open PDF")</f>
        <v/>
      </c>
      <c r="G964" t="inlineStr">
        <is>
          <t>cmm55w57p0004cuisfrtpqly8</t>
        </is>
      </c>
      <c r="H964" t="inlineStr">
        <is>
          <t>Informationskrav</t>
        </is>
      </c>
      <c r="I964" t="inlineStr">
        <is>
          <t>MiljopaverkanForsiktighet</t>
        </is>
      </c>
      <c r="J964" t="inlineStr">
        <is>
          <t>Skyddsatgarder</t>
        </is>
      </c>
      <c r="K964" t="inlineStr">
        <is>
          <t>Föreskrifterna ställer krav på att allt avfall som tas emot ska vara karaktäriserat.</t>
        </is>
      </c>
      <c r="L964" t="inlineStr">
        <is>
          <t>Föreskrifterna ställer krav på att allt avfall som tas emot ska vara karaktäriserat.</t>
        </is>
      </c>
      <c r="M964" t="inlineStr">
        <is>
          <t>SKA</t>
        </is>
      </c>
      <c r="N964" t="inlineStr"/>
      <c r="O964" t="inlineStr"/>
      <c r="P964" t="inlineStr"/>
      <c r="Q964" t="inlineStr"/>
      <c r="R964" t="inlineStr">
        <is>
          <t>Alltid</t>
        </is>
      </c>
      <c r="S964" t="inlineStr"/>
      <c r="T964" t="inlineStr">
        <is>
          <t>170504</t>
        </is>
      </c>
      <c r="U964" t="inlineStr"/>
      <c r="V964" t="inlineStr"/>
      <c r="W964" t="inlineStr">
        <is>
          <t>Nej</t>
        </is>
      </c>
      <c r="X964" t="inlineStr">
        <is>
          <t>Nej</t>
        </is>
      </c>
      <c r="Y964" t="inlineStr">
        <is>
          <t>Nej</t>
        </is>
      </c>
      <c r="Z964" t="inlineStr">
        <is>
          <t>Nej</t>
        </is>
      </c>
      <c r="AA964" t="n">
        <v>10</v>
      </c>
      <c r="AB964" t="inlineStr">
        <is>
          <t>Miljopaverkan och forsiktighetsmatt</t>
        </is>
      </c>
      <c r="AC964" t="inlineStr">
        <is>
          <t>Miljo-PM</t>
        </is>
      </c>
      <c r="AD964" t="inlineStr">
        <is>
          <t>Nej</t>
        </is>
      </c>
      <c r="AE964" t="inlineStr">
        <is>
          <t>Nej</t>
        </is>
      </c>
      <c r="AF964" t="inlineStr">
        <is>
          <t>Ej behandlad</t>
        </is>
      </c>
      <c r="AG964" t="inlineStr">
        <is>
          <t>AUTO_GENERERAD. Verifiera citat mot kallfil.</t>
        </is>
      </c>
      <c r="AH964" t="inlineStr">
        <is>
          <t>LOW</t>
        </is>
      </c>
      <c r="AI964" t="inlineStr">
        <is>
          <t>AUTO</t>
        </is>
      </c>
      <c r="AJ964" t="inlineStr">
        <is>
          <t>Nej</t>
        </is>
      </c>
      <c r="AK964" t="inlineStr"/>
      <c r="AL964" t="inlineStr"/>
      <c r="AM964" t="inlineStr"/>
      <c r="AN964" t="inlineStr"/>
      <c r="AO964" t="inlineStr">
        <is>
          <t>cmm4yuqd303gtcuqw3vlw8j3n</t>
        </is>
      </c>
      <c r="AP964" t="inlineStr">
        <is>
          <t>http://localhost:8787/api/admin/requirements/documents/cmm4yuqd303gtcuqw3vlw8j3n/view</t>
        </is>
      </c>
      <c r="AQ964">
        <f>HYPERLÄNK("http://localhost:8787/api/admin/requirements/documents/cmm4yuqd303gtcuqw3vlw8j3n/view";"Öppna PDF")</f>
        <v/>
      </c>
      <c r="AR964">
        <f>HYPERLINK("http://localhost:8787/api/admin/requirements/documents/cmm4yuqd303gtcuqw3vlw8j3n/view","Open PDF")</f>
        <v/>
      </c>
      <c r="AS964" t="inlineStr">
        <is>
          <t>cmm55w57p0004cuisfrtpqly8</t>
        </is>
      </c>
      <c r="AT964" t="inlineStr">
        <is>
          <t>cmm4xvu980000cuh4vj0usz09</t>
        </is>
      </c>
      <c r="AU964" t="inlineStr"/>
      <c r="AV964" t="inlineStr">
        <is>
          <t>Kommun</t>
        </is>
      </c>
      <c r="AW964" t="inlineStr"/>
      <c r="AX964" t="inlineStr"/>
      <c r="AY964" t="inlineStr">
        <is>
          <t>Anmalan</t>
        </is>
      </c>
      <c r="AZ964" t="inlineStr">
        <is>
          <t>2026-02-05</t>
        </is>
      </c>
      <c r="BA964" t="inlineStr">
        <is>
          <t>Styrning och kontroll - GIFA.pdf</t>
        </is>
      </c>
      <c r="BB964" t="inlineStr">
        <is>
          <t>Begäran om utlämnande av allmän handling – Anmälningar och beslut rörande mellanlagring av avfall samt anläggning av ytor</t>
        </is>
      </c>
      <c r="BC964" t="inlineStr">
        <is>
          <t>AUTO</t>
        </is>
      </c>
      <c r="BD964" t="inlineStr"/>
      <c r="BE964" t="inlineStr"/>
      <c r="BF964" t="inlineStr">
        <is>
          <t>AUTO_GENERERAD. Bekrafta metadata mot kallfil.</t>
        </is>
      </c>
      <c r="BG964">
        <f>HYPERLINK("C:\Users\jimmy\Desktop\Examens arbete\Kod\Ny mapp\remix_-copy-of-miljöbeslut.se-portal\Styrning och kontroll - GIFA.pdf", "Öppna PDF")</f>
        <v/>
      </c>
    </row>
    <row r="965">
      <c r="A965" t="inlineStr">
        <is>
          <t>KRAV-AUTO-000964</t>
        </is>
      </c>
      <c r="B965" t="inlineStr">
        <is>
          <t>ADMIN-INDEX-2026-02-27-00000000125C043F57453246863FE664CAFE6A3F0700950291EA24F0614FB6ACEDB12BF0E31D00000000010C0000950291EA24F0614FB6ACEDB12BF0E31D00002087ADFE0000</t>
        </is>
      </c>
      <c r="C965" t="inlineStr">
        <is>
          <t>cmm4yuqcu03gncuqwno12pcu6</t>
        </is>
      </c>
      <c r="D965" t="inlineStr">
        <is>
          <t>http://localhost:8787/api/admin/requirements/documents/cmm4yuqcu03gncuqwno12pcu6/view</t>
        </is>
      </c>
      <c r="E965">
        <f>HYPERLÄNK("http://localhost:8787/api/admin/requirements/documents/cmm4yuqcu03gncuqwno12pcu6/view";"Öppna PDF")</f>
        <v/>
      </c>
      <c r="F965">
        <f>HYPERLINK("http://localhost:8787/api/admin/requirements/documents/cmm4yuqcu03gncuqwno12pcu6/view","Open PDF")</f>
        <v/>
      </c>
      <c r="G965" t="inlineStr">
        <is>
          <t>cmm55w57p0004cuisfrtpqly8</t>
        </is>
      </c>
      <c r="H965" t="inlineStr">
        <is>
          <t>Informationskrav</t>
        </is>
      </c>
      <c r="I965" t="inlineStr">
        <is>
          <t>MiljopaverkanForsiktighet</t>
        </is>
      </c>
      <c r="J965" t="inlineStr">
        <is>
          <t>Skyddsatgarder</t>
        </is>
      </c>
      <c r="K965" t="inlineStr">
        <is>
          <t>Om det saknas kunskap om avfallet och dess karaktär så är det avfallslämnarens ansvar att inhämta detta.</t>
        </is>
      </c>
      <c r="L965" t="inlineStr">
        <is>
          <t>Om det saknas kunskap om avfallet och dess karaktär så är det avfallslämnarens ansvar att inhämta detta.</t>
        </is>
      </c>
      <c r="M965" t="inlineStr">
        <is>
          <t>SKA</t>
        </is>
      </c>
      <c r="N965" t="inlineStr"/>
      <c r="O965" t="inlineStr"/>
      <c r="P965" t="inlineStr"/>
      <c r="Q965" t="inlineStr"/>
      <c r="R965" t="inlineStr">
        <is>
          <t>Alltid</t>
        </is>
      </c>
      <c r="S965" t="inlineStr"/>
      <c r="T965" t="inlineStr">
        <is>
          <t>170504</t>
        </is>
      </c>
      <c r="U965" t="inlineStr"/>
      <c r="V965" t="inlineStr"/>
      <c r="W965" t="inlineStr">
        <is>
          <t>Nej</t>
        </is>
      </c>
      <c r="X965" t="inlineStr">
        <is>
          <t>Nej</t>
        </is>
      </c>
      <c r="Y965" t="inlineStr">
        <is>
          <t>Nej</t>
        </is>
      </c>
      <c r="Z965" t="inlineStr">
        <is>
          <t>Nej</t>
        </is>
      </c>
      <c r="AA965" t="n">
        <v>10</v>
      </c>
      <c r="AB965" t="inlineStr">
        <is>
          <t>Miljopaverkan och forsiktighetsmatt</t>
        </is>
      </c>
      <c r="AC965" t="inlineStr">
        <is>
          <t>Miljo-PM</t>
        </is>
      </c>
      <c r="AD965" t="inlineStr">
        <is>
          <t>Nej</t>
        </is>
      </c>
      <c r="AE965" t="inlineStr">
        <is>
          <t>Nej</t>
        </is>
      </c>
      <c r="AF965" t="inlineStr">
        <is>
          <t>Ej behandlad</t>
        </is>
      </c>
      <c r="AG965" t="inlineStr">
        <is>
          <t>AUTO_GENERERAD. Verifiera citat mot kallfil.</t>
        </is>
      </c>
      <c r="AH965" t="inlineStr">
        <is>
          <t>LOW</t>
        </is>
      </c>
      <c r="AI965" t="inlineStr">
        <is>
          <t>AUTO</t>
        </is>
      </c>
      <c r="AJ965" t="inlineStr">
        <is>
          <t>Nej</t>
        </is>
      </c>
      <c r="AK965" t="inlineStr"/>
      <c r="AL965" t="inlineStr"/>
      <c r="AM965" t="inlineStr"/>
      <c r="AN965" t="inlineStr"/>
      <c r="AO965" t="inlineStr">
        <is>
          <t>cmm4yuqd303gtcuqw3vlw8j3n</t>
        </is>
      </c>
      <c r="AP965" t="inlineStr">
        <is>
          <t>http://localhost:8787/api/admin/requirements/documents/cmm4yuqd303gtcuqw3vlw8j3n/view</t>
        </is>
      </c>
      <c r="AQ965">
        <f>HYPERLÄNK("http://localhost:8787/api/admin/requirements/documents/cmm4yuqd303gtcuqw3vlw8j3n/view";"Öppna PDF")</f>
        <v/>
      </c>
      <c r="AR965">
        <f>HYPERLINK("http://localhost:8787/api/admin/requirements/documents/cmm4yuqd303gtcuqw3vlw8j3n/view","Open PDF")</f>
        <v/>
      </c>
      <c r="AS965" t="inlineStr">
        <is>
          <t>cmm55w57p0004cuisfrtpqly8</t>
        </is>
      </c>
      <c r="AT965" t="inlineStr">
        <is>
          <t>cmm4xvu980000cuh4vj0usz09</t>
        </is>
      </c>
      <c r="AU965" t="inlineStr"/>
      <c r="AV965" t="inlineStr">
        <is>
          <t>Kommun</t>
        </is>
      </c>
      <c r="AW965" t="inlineStr"/>
      <c r="AX965" t="inlineStr"/>
      <c r="AY965" t="inlineStr">
        <is>
          <t>Anmalan</t>
        </is>
      </c>
      <c r="AZ965" t="inlineStr">
        <is>
          <t>2026-02-05</t>
        </is>
      </c>
      <c r="BA965" t="inlineStr">
        <is>
          <t>Styrning och kontroll - GIFA.pdf</t>
        </is>
      </c>
      <c r="BB965" t="inlineStr">
        <is>
          <t>Begäran om utlämnande av allmän handling – Anmälningar och beslut rörande mellanlagring av avfall samt anläggning av ytor</t>
        </is>
      </c>
      <c r="BC965" t="inlineStr">
        <is>
          <t>AUTO</t>
        </is>
      </c>
      <c r="BD965" t="inlineStr"/>
      <c r="BE965" t="inlineStr"/>
      <c r="BF965" t="inlineStr">
        <is>
          <t>AUTO_GENERERAD. Bekrafta metadata mot kallfil.</t>
        </is>
      </c>
      <c r="BG965">
        <f>HYPERLINK("C:\Users\jimmy\Desktop\Examens arbete\Kod\Ny mapp\remix_-copy-of-miljöbeslut.se-portal\Styrning och kontroll - GIFA.pdf", "Öppna PDF")</f>
        <v/>
      </c>
    </row>
    <row r="966">
      <c r="A966" t="inlineStr">
        <is>
          <t>KRAV-AUTO-000965</t>
        </is>
      </c>
      <c r="B966" t="inlineStr">
        <is>
          <t>ADMIN-INDEX-2026-02-27-00000000125C043F57453246863FE664CAFE6A3F0700950291EA24F0614FB6ACEDB12BF0E31D00000000010C0000950291EA24F0614FB6ACEDB12BF0E31D00002087ADFE0000</t>
        </is>
      </c>
      <c r="C966" t="inlineStr">
        <is>
          <t>cmm4yuqcu03gncuqwno12pcu6</t>
        </is>
      </c>
      <c r="D966" t="inlineStr">
        <is>
          <t>http://localhost:8787/api/admin/requirements/documents/cmm4yuqcu03gncuqwno12pcu6/view</t>
        </is>
      </c>
      <c r="E966">
        <f>HYPERLÄNK("http://localhost:8787/api/admin/requirements/documents/cmm4yuqcu03gncuqwno12pcu6/view";"Öppna PDF")</f>
        <v/>
      </c>
      <c r="F966">
        <f>HYPERLINK("http://localhost:8787/api/admin/requirements/documents/cmm4yuqcu03gncuqwno12pcu6/view","Open PDF")</f>
        <v/>
      </c>
      <c r="G966" t="inlineStr">
        <is>
          <t>cmm55w57p0004cuisfrtpqly8</t>
        </is>
      </c>
      <c r="H966" t="inlineStr">
        <is>
          <t>Informationskrav</t>
        </is>
      </c>
      <c r="I966" t="inlineStr">
        <is>
          <t>MiljopaverkanForsiktighet</t>
        </is>
      </c>
      <c r="J966" t="inlineStr">
        <is>
          <t>Skyddsatgarder</t>
        </is>
      </c>
      <c r="K966" t="inlineStr">
        <is>
          <t>Också ursprunget till avfallet ska klargöras och det ska framgå vilken verksamhet som bedrivits på platsen där avfallet har uppkommit.</t>
        </is>
      </c>
      <c r="L966" t="inlineStr">
        <is>
          <t>Också ursprunget till avfallet ska klargöras och det ska framgå vilken verksamhet som bedrivits på platsen där avfallet har uppkommit.</t>
        </is>
      </c>
      <c r="M966" t="inlineStr">
        <is>
          <t>SKA</t>
        </is>
      </c>
      <c r="N966" t="inlineStr"/>
      <c r="O966" t="inlineStr"/>
      <c r="P966" t="inlineStr"/>
      <c r="Q966" t="inlineStr"/>
      <c r="R966" t="inlineStr">
        <is>
          <t>Alltid</t>
        </is>
      </c>
      <c r="S966" t="inlineStr"/>
      <c r="T966" t="inlineStr">
        <is>
          <t>170504</t>
        </is>
      </c>
      <c r="U966" t="inlineStr"/>
      <c r="V966" t="inlineStr"/>
      <c r="W966" t="inlineStr">
        <is>
          <t>Nej</t>
        </is>
      </c>
      <c r="X966" t="inlineStr">
        <is>
          <t>Nej</t>
        </is>
      </c>
      <c r="Y966" t="inlineStr">
        <is>
          <t>Nej</t>
        </is>
      </c>
      <c r="Z966" t="inlineStr">
        <is>
          <t>Nej</t>
        </is>
      </c>
      <c r="AA966" t="n">
        <v>10</v>
      </c>
      <c r="AB966" t="inlineStr">
        <is>
          <t>Miljopaverkan och forsiktighetsmatt</t>
        </is>
      </c>
      <c r="AC966" t="inlineStr">
        <is>
          <t>Miljo-PM</t>
        </is>
      </c>
      <c r="AD966" t="inlineStr">
        <is>
          <t>Nej</t>
        </is>
      </c>
      <c r="AE966" t="inlineStr">
        <is>
          <t>Nej</t>
        </is>
      </c>
      <c r="AF966" t="inlineStr">
        <is>
          <t>Ej behandlad</t>
        </is>
      </c>
      <c r="AG966" t="inlineStr">
        <is>
          <t>AUTO_GENERERAD. Verifiera citat mot kallfil.</t>
        </is>
      </c>
      <c r="AH966" t="inlineStr">
        <is>
          <t>LOW</t>
        </is>
      </c>
      <c r="AI966" t="inlineStr">
        <is>
          <t>AUTO</t>
        </is>
      </c>
      <c r="AJ966" t="inlineStr">
        <is>
          <t>Nej</t>
        </is>
      </c>
      <c r="AK966" t="inlineStr"/>
      <c r="AL966" t="inlineStr"/>
      <c r="AM966" t="inlineStr"/>
      <c r="AN966" t="inlineStr"/>
      <c r="AO966" t="inlineStr">
        <is>
          <t>cmm4yuqd303gtcuqw3vlw8j3n</t>
        </is>
      </c>
      <c r="AP966" t="inlineStr">
        <is>
          <t>http://localhost:8787/api/admin/requirements/documents/cmm4yuqd303gtcuqw3vlw8j3n/view</t>
        </is>
      </c>
      <c r="AQ966">
        <f>HYPERLÄNK("http://localhost:8787/api/admin/requirements/documents/cmm4yuqd303gtcuqw3vlw8j3n/view";"Öppna PDF")</f>
        <v/>
      </c>
      <c r="AR966">
        <f>HYPERLINK("http://localhost:8787/api/admin/requirements/documents/cmm4yuqd303gtcuqw3vlw8j3n/view","Open PDF")</f>
        <v/>
      </c>
      <c r="AS966" t="inlineStr">
        <is>
          <t>cmm55w57p0004cuisfrtpqly8</t>
        </is>
      </c>
      <c r="AT966" t="inlineStr">
        <is>
          <t>cmm4xvu980000cuh4vj0usz09</t>
        </is>
      </c>
      <c r="AU966" t="inlineStr"/>
      <c r="AV966" t="inlineStr">
        <is>
          <t>Kommun</t>
        </is>
      </c>
      <c r="AW966" t="inlineStr"/>
      <c r="AX966" t="inlineStr"/>
      <c r="AY966" t="inlineStr">
        <is>
          <t>Anmalan</t>
        </is>
      </c>
      <c r="AZ966" t="inlineStr">
        <is>
          <t>2026-02-05</t>
        </is>
      </c>
      <c r="BA966" t="inlineStr">
        <is>
          <t>Styrning och kontroll - GIFA.pdf</t>
        </is>
      </c>
      <c r="BB966" t="inlineStr">
        <is>
          <t>Begäran om utlämnande av allmän handling – Anmälningar och beslut rörande mellanlagring av avfall samt anläggning av ytor</t>
        </is>
      </c>
      <c r="BC966" t="inlineStr">
        <is>
          <t>AUTO</t>
        </is>
      </c>
      <c r="BD966" t="inlineStr"/>
      <c r="BE966" t="inlineStr"/>
      <c r="BF966" t="inlineStr">
        <is>
          <t>AUTO_GENERERAD. Bekrafta metadata mot kallfil.</t>
        </is>
      </c>
      <c r="BG966">
        <f>HYPERLINK("C:\Users\jimmy\Desktop\Examens arbete\Kod\Ny mapp\remix_-copy-of-miljöbeslut.se-portal\Styrning och kontroll - GIFA.pdf", "Öppna PDF")</f>
        <v/>
      </c>
    </row>
    <row r="967">
      <c r="A967" t="inlineStr">
        <is>
          <t>KRAV-AUTO-000966</t>
        </is>
      </c>
      <c r="B967" t="inlineStr">
        <is>
          <t>ADMIN-INDEX-2026-02-27-00000000125C043F57453246863FE664CAFE6A3F0700950291EA24F0614FB6ACEDB12BF0E31D00000000010C0000950291EA24F0614FB6ACEDB12BF0E31D00002087AE050000</t>
        </is>
      </c>
      <c r="C967" t="inlineStr">
        <is>
          <t>cmm4yuqbi03fhcuqwcmhtd9t2</t>
        </is>
      </c>
      <c r="D967" t="inlineStr">
        <is>
          <t>http://localhost:8787/api/admin/requirements/documents/cmm4yuqbi03fhcuqwcmhtd9t2/view</t>
        </is>
      </c>
      <c r="E967">
        <f>HYPERLÄNK("http://localhost:8787/api/admin/requirements/documents/cmm4yuqbi03fhcuqwcmhtd9t2/view";"Öppna PDF")</f>
        <v/>
      </c>
      <c r="F967">
        <f>HYPERLINK("http://localhost:8787/api/admin/requirements/documents/cmm4yuqbi03fhcuqwcmhtd9t2/view","Open PDF")</f>
        <v/>
      </c>
      <c r="G967" t="inlineStr">
        <is>
          <t>cmm55w57p0004cuisfrtpqly8</t>
        </is>
      </c>
      <c r="H967" t="inlineStr">
        <is>
          <t>Beslutsvillkor</t>
        </is>
      </c>
      <c r="I967" t="inlineStr">
        <is>
          <t>Riskhantering</t>
        </is>
      </c>
      <c r="J967" t="inlineStr">
        <is>
          <t>Riskkontroll</t>
        </is>
      </c>
      <c r="K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67" t="inlineStr">
        <is>
          <t>SKA</t>
        </is>
      </c>
      <c r="N967" t="inlineStr"/>
      <c r="O967" t="inlineStr"/>
      <c r="P967" t="inlineStr"/>
      <c r="Q967" t="inlineStr"/>
      <c r="R967" t="inlineStr">
        <is>
          <t>Vid risk for incident</t>
        </is>
      </c>
      <c r="S967" t="inlineStr"/>
      <c r="T967" t="inlineStr">
        <is>
          <t>556569</t>
        </is>
      </c>
      <c r="U967" t="inlineStr"/>
      <c r="V967" t="inlineStr"/>
      <c r="W967" t="inlineStr">
        <is>
          <t>Nej</t>
        </is>
      </c>
      <c r="X967" t="inlineStr">
        <is>
          <t>Nej</t>
        </is>
      </c>
      <c r="Y967" t="inlineStr">
        <is>
          <t>Ja</t>
        </is>
      </c>
      <c r="Z967" t="inlineStr">
        <is>
          <t>Ja</t>
        </is>
      </c>
      <c r="AA967" t="n">
        <v>8</v>
      </c>
      <c r="AB967" t="inlineStr">
        <is>
          <t>Riskhantering</t>
        </is>
      </c>
      <c r="AC967" t="inlineStr">
        <is>
          <t>Risk-PM</t>
        </is>
      </c>
      <c r="AD967" t="inlineStr">
        <is>
          <t>Nej</t>
        </is>
      </c>
      <c r="AE967" t="inlineStr">
        <is>
          <t>Nej</t>
        </is>
      </c>
      <c r="AF967" t="inlineStr">
        <is>
          <t>Ej behandlad</t>
        </is>
      </c>
      <c r="AG967" t="inlineStr">
        <is>
          <t>AUTO_GENERERAD. Verifiera citat mot kallfil.</t>
        </is>
      </c>
      <c r="AH967" t="inlineStr">
        <is>
          <t>MEDIUM</t>
        </is>
      </c>
      <c r="AI967" t="inlineStr">
        <is>
          <t>AUTO</t>
        </is>
      </c>
      <c r="AJ967" t="inlineStr">
        <is>
          <t>Nej</t>
        </is>
      </c>
      <c r="AK967" t="inlineStr"/>
      <c r="AL967" t="inlineStr"/>
      <c r="AM967" t="inlineStr"/>
      <c r="AN967" t="inlineStr"/>
      <c r="AO967" t="inlineStr">
        <is>
          <t>cmm4yuqbf03fecuqw8hit9x13</t>
        </is>
      </c>
      <c r="AP967" t="inlineStr">
        <is>
          <t>http://localhost:8787/api/admin/requirements/documents/cmm4yuqbf03fecuqw8hit9x13/view</t>
        </is>
      </c>
      <c r="AQ967">
        <f>HYPERLÄNK("http://localhost:8787/api/admin/requirements/documents/cmm4yuqbf03fecuqw8hit9x13/view";"Öppna PDF")</f>
        <v/>
      </c>
      <c r="AR967">
        <f>HYPERLINK("http://localhost:8787/api/admin/requirements/documents/cmm4yuqbf03fecuqw8hit9x13/view","Open PDF")</f>
        <v/>
      </c>
      <c r="AS967" t="inlineStr">
        <is>
          <t>cmm55w57p0004cuisfrtpqly8</t>
        </is>
      </c>
      <c r="AT967" t="inlineStr">
        <is>
          <t>cmm4xvu980000cuh4vj0usz09</t>
        </is>
      </c>
      <c r="AU967" t="inlineStr">
        <is>
          <t>i Huddinge</t>
        </is>
      </c>
      <c r="AV967" t="inlineStr">
        <is>
          <t>Kommun</t>
        </is>
      </c>
      <c r="AW967" t="inlineStr">
        <is>
          <t>i Huddinge kommun</t>
        </is>
      </c>
      <c r="AX967" t="inlineStr">
        <is>
          <t>2025-2029</t>
        </is>
      </c>
      <c r="AY967" t="inlineStr">
        <is>
          <t>Forelaggande</t>
        </is>
      </c>
      <c r="AZ967" t="inlineStr">
        <is>
          <t>2026-02-04</t>
        </is>
      </c>
      <c r="BA967" t="inlineStr">
        <is>
          <t>M-2025-2937 Beslut om föreläggande försiktighetsmått.pdf</t>
        </is>
      </c>
      <c r="BB967" t="inlineStr">
        <is>
          <t>Sv: till registrator [2026SC9796]</t>
        </is>
      </c>
      <c r="BC967" t="inlineStr">
        <is>
          <t>AUTO</t>
        </is>
      </c>
      <c r="BD967" t="inlineStr"/>
      <c r="BE967" t="inlineStr"/>
      <c r="BF967" t="inlineStr">
        <is>
          <t>AUTO_GENERERAD. Bekrafta metadata mot kallfil.</t>
        </is>
      </c>
      <c r="BG967">
        <f>HYPERLINK("C:\Users\jimmy\Desktop\Examens arbete\Kod\Ny mapp\remix_-copy-of-miljöbeslut.se-portal\M-2025-2937 Beslut om föreläggande försiktighetsmått.pdf", "Öppna PDF")</f>
        <v/>
      </c>
    </row>
    <row r="968">
      <c r="A968" t="inlineStr">
        <is>
          <t>KRAV-AUTO-000967</t>
        </is>
      </c>
      <c r="B968" t="inlineStr">
        <is>
          <t>ADMIN-INDEX-2026-02-27-00000000125C043F57453246863FE664CAFE6A3F0700950291EA24F0614FB6ACEDB12BF0E31D00000000010C0000950291EA24F0614FB6ACEDB12BF0E31D00002087AE050000</t>
        </is>
      </c>
      <c r="C968" t="inlineStr">
        <is>
          <t>cmm4yuqbi03fhcuqwcmhtd9t2</t>
        </is>
      </c>
      <c r="D968" t="inlineStr">
        <is>
          <t>http://localhost:8787/api/admin/requirements/documents/cmm4yuqbi03fhcuqwcmhtd9t2/view</t>
        </is>
      </c>
      <c r="E968">
        <f>HYPERLÄNK("http://localhost:8787/api/admin/requirements/documents/cmm4yuqbi03fhcuqwcmhtd9t2/view";"Öppna PDF")</f>
        <v/>
      </c>
      <c r="F968">
        <f>HYPERLINK("http://localhost:8787/api/admin/requirements/documents/cmm4yuqbi03fhcuqwcmhtd9t2/view","Open PDF")</f>
        <v/>
      </c>
      <c r="G968" t="inlineStr">
        <is>
          <t>cmm55w57p0004cuisfrtpqly8</t>
        </is>
      </c>
      <c r="H968" t="inlineStr">
        <is>
          <t>Beslutsvillkor</t>
        </is>
      </c>
      <c r="I968" t="inlineStr">
        <is>
          <t>Riskhantering</t>
        </is>
      </c>
      <c r="J968" t="inlineStr">
        <is>
          <t>Riskkontroll</t>
        </is>
      </c>
      <c r="K968" t="inlineStr">
        <is>
          <t>Verksamhetskoder 90.60 gällande lagring av elektriska eller elektroniska produkter (inklusive kabel) samt batterier.</t>
        </is>
      </c>
      <c r="L968" t="inlineStr">
        <is>
          <t>Verksamhetskoder 90.60 gällande lagring av elektriska eller elektroniska produkter (inklusive kabel) samt batterier.</t>
        </is>
      </c>
      <c r="M968" t="inlineStr">
        <is>
          <t>SKA</t>
        </is>
      </c>
      <c r="N968" t="inlineStr"/>
      <c r="O968" t="inlineStr"/>
      <c r="P968" t="inlineStr"/>
      <c r="Q968" t="inlineStr"/>
      <c r="R968" t="inlineStr">
        <is>
          <t>Vid risk for incident</t>
        </is>
      </c>
      <c r="S968" t="inlineStr"/>
      <c r="T968" t="inlineStr">
        <is>
          <t>556569</t>
        </is>
      </c>
      <c r="U968" t="inlineStr"/>
      <c r="V968" t="inlineStr"/>
      <c r="W968" t="inlineStr">
        <is>
          <t>Nej</t>
        </is>
      </c>
      <c r="X968" t="inlineStr">
        <is>
          <t>Nej</t>
        </is>
      </c>
      <c r="Y968" t="inlineStr">
        <is>
          <t>Ja</t>
        </is>
      </c>
      <c r="Z968" t="inlineStr">
        <is>
          <t>Ja</t>
        </is>
      </c>
      <c r="AA968" t="n">
        <v>8</v>
      </c>
      <c r="AB968" t="inlineStr">
        <is>
          <t>Riskhantering</t>
        </is>
      </c>
      <c r="AC968" t="inlineStr">
        <is>
          <t>Risk-PM</t>
        </is>
      </c>
      <c r="AD968" t="inlineStr">
        <is>
          <t>Nej</t>
        </is>
      </c>
      <c r="AE968" t="inlineStr">
        <is>
          <t>Nej</t>
        </is>
      </c>
      <c r="AF968" t="inlineStr">
        <is>
          <t>Ej behandlad</t>
        </is>
      </c>
      <c r="AG968" t="inlineStr">
        <is>
          <t>AUTO_GENERERAD. Verifiera citat mot kallfil.</t>
        </is>
      </c>
      <c r="AH968" t="inlineStr">
        <is>
          <t>MEDIUM</t>
        </is>
      </c>
      <c r="AI968" t="inlineStr">
        <is>
          <t>AUTO</t>
        </is>
      </c>
      <c r="AJ968" t="inlineStr">
        <is>
          <t>Nej</t>
        </is>
      </c>
      <c r="AK968" t="inlineStr"/>
      <c r="AL968" t="inlineStr"/>
      <c r="AM968" t="inlineStr"/>
      <c r="AN968" t="inlineStr"/>
      <c r="AO968" t="inlineStr">
        <is>
          <t>cmm4yuqbf03fecuqw8hit9x13</t>
        </is>
      </c>
      <c r="AP968" t="inlineStr">
        <is>
          <t>http://localhost:8787/api/admin/requirements/documents/cmm4yuqbf03fecuqw8hit9x13/view</t>
        </is>
      </c>
      <c r="AQ968">
        <f>HYPERLÄNK("http://localhost:8787/api/admin/requirements/documents/cmm4yuqbf03fecuqw8hit9x13/view";"Öppna PDF")</f>
        <v/>
      </c>
      <c r="AR968">
        <f>HYPERLINK("http://localhost:8787/api/admin/requirements/documents/cmm4yuqbf03fecuqw8hit9x13/view","Open PDF")</f>
        <v/>
      </c>
      <c r="AS968" t="inlineStr">
        <is>
          <t>cmm55w57p0004cuisfrtpqly8</t>
        </is>
      </c>
      <c r="AT968" t="inlineStr">
        <is>
          <t>cmm4xvu980000cuh4vj0usz09</t>
        </is>
      </c>
      <c r="AU968" t="inlineStr">
        <is>
          <t>i Huddinge</t>
        </is>
      </c>
      <c r="AV968" t="inlineStr">
        <is>
          <t>Kommun</t>
        </is>
      </c>
      <c r="AW968" t="inlineStr">
        <is>
          <t>i Huddinge kommun</t>
        </is>
      </c>
      <c r="AX968" t="inlineStr">
        <is>
          <t>2025-2029</t>
        </is>
      </c>
      <c r="AY968" t="inlineStr">
        <is>
          <t>Forelaggande</t>
        </is>
      </c>
      <c r="AZ968" t="inlineStr">
        <is>
          <t>2026-02-04</t>
        </is>
      </c>
      <c r="BA968" t="inlineStr">
        <is>
          <t>M-2025-2937 Beslut om föreläggande försiktighetsmått.pdf</t>
        </is>
      </c>
      <c r="BB968" t="inlineStr">
        <is>
          <t>Sv: till registrator [2026SC9796]</t>
        </is>
      </c>
      <c r="BC968" t="inlineStr">
        <is>
          <t>AUTO</t>
        </is>
      </c>
      <c r="BD968" t="inlineStr"/>
      <c r="BE968" t="inlineStr"/>
      <c r="BF968" t="inlineStr">
        <is>
          <t>AUTO_GENERERAD. Bekrafta metadata mot kallfil.</t>
        </is>
      </c>
      <c r="BG968">
        <f>HYPERLINK("C:\Users\jimmy\Desktop\Examens arbete\Kod\Ny mapp\remix_-copy-of-miljöbeslut.se-portal\M-2025-2937 Beslut om föreläggande försiktighetsmått.pdf", "Öppna PDF")</f>
        <v/>
      </c>
    </row>
    <row r="969">
      <c r="A969" t="inlineStr">
        <is>
          <t>KRAV-AUTO-000968</t>
        </is>
      </c>
      <c r="B969" t="inlineStr">
        <is>
          <t>ADMIN-INDEX-2026-02-27-00000000125C043F57453246863FE664CAFE6A3F0700950291EA24F0614FB6ACEDB12BF0E31D00000000010C0000950291EA24F0614FB6ACEDB12BF0E31D00002087AE050000</t>
        </is>
      </c>
      <c r="C969" t="inlineStr">
        <is>
          <t>cmm4yuqbi03fhcuqwcmhtd9t2</t>
        </is>
      </c>
      <c r="D969" t="inlineStr">
        <is>
          <t>http://localhost:8787/api/admin/requirements/documents/cmm4yuqbi03fhcuqwcmhtd9t2/view</t>
        </is>
      </c>
      <c r="E969">
        <f>HYPERLÄNK("http://localhost:8787/api/admin/requirements/documents/cmm4yuqbi03fhcuqwcmhtd9t2/view";"Öppna PDF")</f>
        <v/>
      </c>
      <c r="F969">
        <f>HYPERLINK("http://localhost:8787/api/admin/requirements/documents/cmm4yuqbi03fhcuqwcmhtd9t2/view","Open PDF")</f>
        <v/>
      </c>
      <c r="G969" t="inlineStr">
        <is>
          <t>cmm55w57p0004cuisfrtpqly8</t>
        </is>
      </c>
      <c r="H969" t="inlineStr">
        <is>
          <t>Beslutsvillkor</t>
        </is>
      </c>
      <c r="I969" t="inlineStr">
        <is>
          <t>Riskhantering</t>
        </is>
      </c>
      <c r="J969" t="inlineStr">
        <is>
          <t>Riskkontroll</t>
        </is>
      </c>
      <c r="K969" t="inlineStr">
        <is>
          <t>Nr 556569 2414) bedriver sedan 2023 återvinningsverksamhet med inriktning på återbruk (reuse) av elektriska och elektronisk utrustning på fastigheten LYFTKRANEN 2 i Huddinge kommun.</t>
        </is>
      </c>
      <c r="L969" t="inlineStr">
        <is>
          <t>Nr 556569 2414) bedriver sedan 2023 återvinningsverksamhet med inriktning på återbruk (reuse) av elektriska och elektronisk utrustning på fastigheten LYFTKRANEN 2 i Huddinge kommun.</t>
        </is>
      </c>
      <c r="M969" t="inlineStr">
        <is>
          <t>SKA</t>
        </is>
      </c>
      <c r="N969" t="inlineStr"/>
      <c r="O969" t="inlineStr"/>
      <c r="P969" t="inlineStr"/>
      <c r="Q969" t="inlineStr"/>
      <c r="R969" t="inlineStr">
        <is>
          <t>Vid risk for incident</t>
        </is>
      </c>
      <c r="S969" t="inlineStr"/>
      <c r="T969" t="inlineStr">
        <is>
          <t>556569</t>
        </is>
      </c>
      <c r="U969" t="inlineStr"/>
      <c r="V969" t="inlineStr"/>
      <c r="W969" t="inlineStr">
        <is>
          <t>Nej</t>
        </is>
      </c>
      <c r="X969" t="inlineStr">
        <is>
          <t>Nej</t>
        </is>
      </c>
      <c r="Y969" t="inlineStr">
        <is>
          <t>Ja</t>
        </is>
      </c>
      <c r="Z969" t="inlineStr">
        <is>
          <t>Ja</t>
        </is>
      </c>
      <c r="AA969" t="n">
        <v>8</v>
      </c>
      <c r="AB969" t="inlineStr">
        <is>
          <t>Riskhantering</t>
        </is>
      </c>
      <c r="AC969" t="inlineStr">
        <is>
          <t>Risk-PM</t>
        </is>
      </c>
      <c r="AD969" t="inlineStr">
        <is>
          <t>Nej</t>
        </is>
      </c>
      <c r="AE969" t="inlineStr">
        <is>
          <t>Nej</t>
        </is>
      </c>
      <c r="AF969" t="inlineStr">
        <is>
          <t>Ej behandlad</t>
        </is>
      </c>
      <c r="AG969" t="inlineStr">
        <is>
          <t>AUTO_GENERERAD. Verifiera citat mot kallfil.</t>
        </is>
      </c>
      <c r="AH969" t="inlineStr">
        <is>
          <t>MEDIUM</t>
        </is>
      </c>
      <c r="AI969" t="inlineStr">
        <is>
          <t>AUTO</t>
        </is>
      </c>
      <c r="AJ969" t="inlineStr">
        <is>
          <t>Nej</t>
        </is>
      </c>
      <c r="AK969" t="inlineStr"/>
      <c r="AL969" t="inlineStr"/>
      <c r="AM969" t="inlineStr"/>
      <c r="AN969" t="inlineStr"/>
      <c r="AO969" t="inlineStr">
        <is>
          <t>cmm4yuqbf03fecuqw8hit9x13</t>
        </is>
      </c>
      <c r="AP969" t="inlineStr">
        <is>
          <t>http://localhost:8787/api/admin/requirements/documents/cmm4yuqbf03fecuqw8hit9x13/view</t>
        </is>
      </c>
      <c r="AQ969">
        <f>HYPERLÄNK("http://localhost:8787/api/admin/requirements/documents/cmm4yuqbf03fecuqw8hit9x13/view";"Öppna PDF")</f>
        <v/>
      </c>
      <c r="AR969">
        <f>HYPERLINK("http://localhost:8787/api/admin/requirements/documents/cmm4yuqbf03fecuqw8hit9x13/view","Open PDF")</f>
        <v/>
      </c>
      <c r="AS969" t="inlineStr">
        <is>
          <t>cmm55w57p0004cuisfrtpqly8</t>
        </is>
      </c>
      <c r="AT969" t="inlineStr">
        <is>
          <t>cmm4xvu980000cuh4vj0usz09</t>
        </is>
      </c>
      <c r="AU969" t="inlineStr">
        <is>
          <t>i Huddinge</t>
        </is>
      </c>
      <c r="AV969" t="inlineStr">
        <is>
          <t>Kommun</t>
        </is>
      </c>
      <c r="AW969" t="inlineStr">
        <is>
          <t>i Huddinge kommun</t>
        </is>
      </c>
      <c r="AX969" t="inlineStr">
        <is>
          <t>2025-2029</t>
        </is>
      </c>
      <c r="AY969" t="inlineStr">
        <is>
          <t>Forelaggande</t>
        </is>
      </c>
      <c r="AZ969" t="inlineStr">
        <is>
          <t>2026-02-04</t>
        </is>
      </c>
      <c r="BA969" t="inlineStr">
        <is>
          <t>M-2025-2937 Beslut om föreläggande försiktighetsmått.pdf</t>
        </is>
      </c>
      <c r="BB969" t="inlineStr">
        <is>
          <t>Sv: till registrator [2026SC9796]</t>
        </is>
      </c>
      <c r="BC969" t="inlineStr">
        <is>
          <t>AUTO</t>
        </is>
      </c>
      <c r="BD969" t="inlineStr"/>
      <c r="BE969" t="inlineStr"/>
      <c r="BF969" t="inlineStr">
        <is>
          <t>AUTO_GENERERAD. Bekrafta metadata mot kallfil.</t>
        </is>
      </c>
      <c r="BG969">
        <f>HYPERLINK("C:\Users\jimmy\Desktop\Examens arbete\Kod\Ny mapp\remix_-copy-of-miljöbeslut.se-portal\M-2025-2937 Beslut om föreläggande försiktighetsmått.pdf", "Öppna PDF")</f>
        <v/>
      </c>
    </row>
    <row r="970">
      <c r="A970" t="inlineStr">
        <is>
          <t>KRAV-AUTO-000969</t>
        </is>
      </c>
      <c r="B970" t="inlineStr">
        <is>
          <t>ADMIN-INDEX-2026-02-27-00000000125C043F57453246863FE664CAFE6A3F0700950291EA24F0614FB6ACEDB12BF0E31D00000000010C0000950291EA24F0614FB6ACEDB12BF0E31D00002087AE050000</t>
        </is>
      </c>
      <c r="C970" t="inlineStr">
        <is>
          <t>cmm4yuqav03ezcuqw3ezynqdt</t>
        </is>
      </c>
      <c r="D970" t="inlineStr">
        <is>
          <t>http://localhost:8787/api/admin/requirements/documents/cmm4yuqav03ezcuqw3ezynqdt/view</t>
        </is>
      </c>
      <c r="E970">
        <f>HYPERLÄNK("http://localhost:8787/api/admin/requirements/documents/cmm4yuqav03ezcuqw3ezynqdt/view";"Öppna PDF")</f>
        <v/>
      </c>
      <c r="F970">
        <f>HYPERLINK("http://localhost:8787/api/admin/requirements/documents/cmm4yuqav03ezcuqw3ezynqdt/view","Open PDF")</f>
        <v/>
      </c>
      <c r="G970" t="inlineStr">
        <is>
          <t>cmm55w57p0004cuisfrtpqly8</t>
        </is>
      </c>
      <c r="H970" t="inlineStr">
        <is>
          <t>Beslutsvillkor</t>
        </is>
      </c>
      <c r="I970" t="inlineStr">
        <is>
          <t>Riskhantering</t>
        </is>
      </c>
      <c r="J970" t="inlineStr">
        <is>
          <t>Riskkontroll</t>
        </is>
      </c>
      <c r="K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0" t="inlineStr">
        <is>
          <t>SKA</t>
        </is>
      </c>
      <c r="N970" t="inlineStr"/>
      <c r="O970" t="inlineStr"/>
      <c r="P970" t="inlineStr"/>
      <c r="Q970" t="inlineStr"/>
      <c r="R970" t="inlineStr">
        <is>
          <t>Vid risk for incident</t>
        </is>
      </c>
      <c r="S970" t="inlineStr"/>
      <c r="T970" t="inlineStr">
        <is>
          <t>556569</t>
        </is>
      </c>
      <c r="U970" t="inlineStr"/>
      <c r="V970" t="inlineStr"/>
      <c r="W970" t="inlineStr">
        <is>
          <t>Nej</t>
        </is>
      </c>
      <c r="X970" t="inlineStr">
        <is>
          <t>Nej</t>
        </is>
      </c>
      <c r="Y970" t="inlineStr">
        <is>
          <t>Ja</t>
        </is>
      </c>
      <c r="Z970" t="inlineStr">
        <is>
          <t>Ja</t>
        </is>
      </c>
      <c r="AA970" t="n">
        <v>8</v>
      </c>
      <c r="AB970" t="inlineStr">
        <is>
          <t>Riskhantering</t>
        </is>
      </c>
      <c r="AC970" t="inlineStr">
        <is>
          <t>Risk-PM</t>
        </is>
      </c>
      <c r="AD970" t="inlineStr">
        <is>
          <t>Nej</t>
        </is>
      </c>
      <c r="AE970" t="inlineStr">
        <is>
          <t>Nej</t>
        </is>
      </c>
      <c r="AF970" t="inlineStr">
        <is>
          <t>Ej behandlad</t>
        </is>
      </c>
      <c r="AG970" t="inlineStr">
        <is>
          <t>AUTO_GENERERAD. Verifiera citat mot kallfil.</t>
        </is>
      </c>
      <c r="AH970" t="inlineStr">
        <is>
          <t>MEDIUM</t>
        </is>
      </c>
      <c r="AI970" t="inlineStr">
        <is>
          <t>AUTO</t>
        </is>
      </c>
      <c r="AJ970" t="inlineStr">
        <is>
          <t>Nej</t>
        </is>
      </c>
      <c r="AK970" t="inlineStr"/>
      <c r="AL970" t="inlineStr"/>
      <c r="AM970" t="inlineStr"/>
      <c r="AN970" t="inlineStr"/>
      <c r="AO970" t="inlineStr">
        <is>
          <t>cmm4yuqbf03fecuqw8hit9x13</t>
        </is>
      </c>
      <c r="AP970" t="inlineStr">
        <is>
          <t>http://localhost:8787/api/admin/requirements/documents/cmm4yuqbf03fecuqw8hit9x13/view</t>
        </is>
      </c>
      <c r="AQ970">
        <f>HYPERLÄNK("http://localhost:8787/api/admin/requirements/documents/cmm4yuqbf03fecuqw8hit9x13/view";"Öppna PDF")</f>
        <v/>
      </c>
      <c r="AR970">
        <f>HYPERLINK("http://localhost:8787/api/admin/requirements/documents/cmm4yuqbf03fecuqw8hit9x13/view","Open PDF")</f>
        <v/>
      </c>
      <c r="AS970" t="inlineStr">
        <is>
          <t>cmm55w57p0004cuisfrtpqly8</t>
        </is>
      </c>
      <c r="AT970" t="inlineStr">
        <is>
          <t>cmm4xvu980000cuh4vj0usz09</t>
        </is>
      </c>
      <c r="AU970" t="inlineStr">
        <is>
          <t>i Huddinge</t>
        </is>
      </c>
      <c r="AV970" t="inlineStr">
        <is>
          <t>Kommun</t>
        </is>
      </c>
      <c r="AW970" t="inlineStr">
        <is>
          <t>i Huddinge kommun</t>
        </is>
      </c>
      <c r="AX970" t="inlineStr">
        <is>
          <t>2025-2029</t>
        </is>
      </c>
      <c r="AY970" t="inlineStr">
        <is>
          <t>Forelaggande</t>
        </is>
      </c>
      <c r="AZ970" t="inlineStr">
        <is>
          <t>2026-02-04</t>
        </is>
      </c>
      <c r="BA970" t="inlineStr">
        <is>
          <t>M-2025-2937 Beslut om föreläggande försiktighetsmått.pdf</t>
        </is>
      </c>
      <c r="BB970" t="inlineStr">
        <is>
          <t>Sv: till registrator [2026SC9796]</t>
        </is>
      </c>
      <c r="BC970" t="inlineStr">
        <is>
          <t>AUTO</t>
        </is>
      </c>
      <c r="BD970" t="inlineStr"/>
      <c r="BE970" t="inlineStr"/>
      <c r="BF970" t="inlineStr">
        <is>
          <t>AUTO_GENERERAD. Bekrafta metadata mot kallfil.</t>
        </is>
      </c>
      <c r="BG970">
        <f>HYPERLINK("C:\Users\jimmy\Desktop\Examens arbete\Kod\Ny mapp\remix_-copy-of-miljöbeslut.se-portal\M-2025-2937 Beslut om föreläggande försiktighetsmått.pdf", "Öppna PDF")</f>
        <v/>
      </c>
    </row>
    <row r="971">
      <c r="A971" t="inlineStr">
        <is>
          <t>KRAV-AUTO-000970</t>
        </is>
      </c>
      <c r="B971" t="inlineStr">
        <is>
          <t>ADMIN-INDEX-2026-02-27-00000000125C043F57453246863FE664CAFE6A3F0700950291EA24F0614FB6ACEDB12BF0E31D00000000010C0000950291EA24F0614FB6ACEDB12BF0E31D00002087AE050000</t>
        </is>
      </c>
      <c r="C971" t="inlineStr">
        <is>
          <t>cmm4yuqav03ezcuqw3ezynqdt</t>
        </is>
      </c>
      <c r="D971" t="inlineStr">
        <is>
          <t>http://localhost:8787/api/admin/requirements/documents/cmm4yuqav03ezcuqw3ezynqdt/view</t>
        </is>
      </c>
      <c r="E971">
        <f>HYPERLÄNK("http://localhost:8787/api/admin/requirements/documents/cmm4yuqav03ezcuqw3ezynqdt/view";"Öppna PDF")</f>
        <v/>
      </c>
      <c r="F971">
        <f>HYPERLINK("http://localhost:8787/api/admin/requirements/documents/cmm4yuqav03ezcuqw3ezynqdt/view","Open PDF")</f>
        <v/>
      </c>
      <c r="G971" t="inlineStr">
        <is>
          <t>cmm55w57p0004cuisfrtpqly8</t>
        </is>
      </c>
      <c r="H971" t="inlineStr">
        <is>
          <t>Beslutsvillkor</t>
        </is>
      </c>
      <c r="I971" t="inlineStr">
        <is>
          <t>Riskhantering</t>
        </is>
      </c>
      <c r="J971" t="inlineStr">
        <is>
          <t>Riskkontroll</t>
        </is>
      </c>
      <c r="K971" t="inlineStr">
        <is>
          <t>Verksamhetskoder 90.60 gällande lagring av elektriska eller elektroniska produkter (inklusive kabel) samt batterier.</t>
        </is>
      </c>
      <c r="L971" t="inlineStr">
        <is>
          <t>Verksamhetskoder 90.60 gällande lagring av elektriska eller elektroniska produkter (inklusive kabel) samt batterier.</t>
        </is>
      </c>
      <c r="M971" t="inlineStr">
        <is>
          <t>SKA</t>
        </is>
      </c>
      <c r="N971" t="inlineStr"/>
      <c r="O971" t="inlineStr"/>
      <c r="P971" t="inlineStr"/>
      <c r="Q971" t="inlineStr"/>
      <c r="R971" t="inlineStr">
        <is>
          <t>Vid risk for incident</t>
        </is>
      </c>
      <c r="S971" t="inlineStr"/>
      <c r="T971" t="inlineStr">
        <is>
          <t>556569</t>
        </is>
      </c>
      <c r="U971" t="inlineStr"/>
      <c r="V971" t="inlineStr"/>
      <c r="W971" t="inlineStr">
        <is>
          <t>Nej</t>
        </is>
      </c>
      <c r="X971" t="inlineStr">
        <is>
          <t>Nej</t>
        </is>
      </c>
      <c r="Y971" t="inlineStr">
        <is>
          <t>Ja</t>
        </is>
      </c>
      <c r="Z971" t="inlineStr">
        <is>
          <t>Ja</t>
        </is>
      </c>
      <c r="AA971" t="n">
        <v>8</v>
      </c>
      <c r="AB971" t="inlineStr">
        <is>
          <t>Riskhantering</t>
        </is>
      </c>
      <c r="AC971" t="inlineStr">
        <is>
          <t>Risk-PM</t>
        </is>
      </c>
      <c r="AD971" t="inlineStr">
        <is>
          <t>Nej</t>
        </is>
      </c>
      <c r="AE971" t="inlineStr">
        <is>
          <t>Nej</t>
        </is>
      </c>
      <c r="AF971" t="inlineStr">
        <is>
          <t>Ej behandlad</t>
        </is>
      </c>
      <c r="AG971" t="inlineStr">
        <is>
          <t>AUTO_GENERERAD. Verifiera citat mot kallfil.</t>
        </is>
      </c>
      <c r="AH971" t="inlineStr">
        <is>
          <t>MEDIUM</t>
        </is>
      </c>
      <c r="AI971" t="inlineStr">
        <is>
          <t>AUTO</t>
        </is>
      </c>
      <c r="AJ971" t="inlineStr">
        <is>
          <t>Nej</t>
        </is>
      </c>
      <c r="AK971" t="inlineStr"/>
      <c r="AL971" t="inlineStr"/>
      <c r="AM971" t="inlineStr"/>
      <c r="AN971" t="inlineStr"/>
      <c r="AO971" t="inlineStr">
        <is>
          <t>cmm4yuqbf03fecuqw8hit9x13</t>
        </is>
      </c>
      <c r="AP971" t="inlineStr">
        <is>
          <t>http://localhost:8787/api/admin/requirements/documents/cmm4yuqbf03fecuqw8hit9x13/view</t>
        </is>
      </c>
      <c r="AQ971">
        <f>HYPERLÄNK("http://localhost:8787/api/admin/requirements/documents/cmm4yuqbf03fecuqw8hit9x13/view";"Öppna PDF")</f>
        <v/>
      </c>
      <c r="AR971">
        <f>HYPERLINK("http://localhost:8787/api/admin/requirements/documents/cmm4yuqbf03fecuqw8hit9x13/view","Open PDF")</f>
        <v/>
      </c>
      <c r="AS971" t="inlineStr">
        <is>
          <t>cmm55w57p0004cuisfrtpqly8</t>
        </is>
      </c>
      <c r="AT971" t="inlineStr">
        <is>
          <t>cmm4xvu980000cuh4vj0usz09</t>
        </is>
      </c>
      <c r="AU971" t="inlineStr">
        <is>
          <t>i Huddinge</t>
        </is>
      </c>
      <c r="AV971" t="inlineStr">
        <is>
          <t>Kommun</t>
        </is>
      </c>
      <c r="AW971" t="inlineStr">
        <is>
          <t>i Huddinge kommun</t>
        </is>
      </c>
      <c r="AX971" t="inlineStr">
        <is>
          <t>2025-2029</t>
        </is>
      </c>
      <c r="AY971" t="inlineStr">
        <is>
          <t>Forelaggande</t>
        </is>
      </c>
      <c r="AZ971" t="inlineStr">
        <is>
          <t>2026-02-04</t>
        </is>
      </c>
      <c r="BA971" t="inlineStr">
        <is>
          <t>M-2025-2937 Beslut om föreläggande försiktighetsmått.pdf</t>
        </is>
      </c>
      <c r="BB971" t="inlineStr">
        <is>
          <t>Sv: till registrator [2026SC9796]</t>
        </is>
      </c>
      <c r="BC971" t="inlineStr">
        <is>
          <t>AUTO</t>
        </is>
      </c>
      <c r="BD971" t="inlineStr"/>
      <c r="BE971" t="inlineStr"/>
      <c r="BF971" t="inlineStr">
        <is>
          <t>AUTO_GENERERAD. Bekrafta metadata mot kallfil.</t>
        </is>
      </c>
      <c r="BG971">
        <f>HYPERLINK("C:\Users\jimmy\Desktop\Examens arbete\Kod\Ny mapp\remix_-copy-of-miljöbeslut.se-portal\M-2025-2937 Beslut om föreläggande försiktighetsmått.pdf", "Öppna PDF")</f>
        <v/>
      </c>
    </row>
    <row r="972">
      <c r="A972" t="inlineStr">
        <is>
          <t>KRAV-AUTO-000971</t>
        </is>
      </c>
      <c r="B972" t="inlineStr">
        <is>
          <t>ADMIN-INDEX-2026-02-27-00000000125C043F57453246863FE664CAFE6A3F0700950291EA24F0614FB6ACEDB12BF0E31D00000000010C0000950291EA24F0614FB6ACEDB12BF0E31D00002087AE050000</t>
        </is>
      </c>
      <c r="C972" t="inlineStr">
        <is>
          <t>cmm4yuqav03ezcuqw3ezynqdt</t>
        </is>
      </c>
      <c r="D972" t="inlineStr">
        <is>
          <t>http://localhost:8787/api/admin/requirements/documents/cmm4yuqav03ezcuqw3ezynqdt/view</t>
        </is>
      </c>
      <c r="E972">
        <f>HYPERLÄNK("http://localhost:8787/api/admin/requirements/documents/cmm4yuqav03ezcuqw3ezynqdt/view";"Öppna PDF")</f>
        <v/>
      </c>
      <c r="F972">
        <f>HYPERLINK("http://localhost:8787/api/admin/requirements/documents/cmm4yuqav03ezcuqw3ezynqdt/view","Open PDF")</f>
        <v/>
      </c>
      <c r="G972" t="inlineStr">
        <is>
          <t>cmm55w57p0004cuisfrtpqly8</t>
        </is>
      </c>
      <c r="H972" t="inlineStr">
        <is>
          <t>Beslutsvillkor</t>
        </is>
      </c>
      <c r="I972" t="inlineStr">
        <is>
          <t>Riskhantering</t>
        </is>
      </c>
      <c r="J972" t="inlineStr">
        <is>
          <t>Riskkontroll</t>
        </is>
      </c>
      <c r="K972" t="inlineStr">
        <is>
          <t>Nr 556569 2414) bedriver sedan 2023 återvinningsverksamhet med inriktning på återbruk (reuse) av elektriska och elektronisk utrustning på fastigheten LYFTKRANEN 2 i Huddinge kommun.</t>
        </is>
      </c>
      <c r="L972" t="inlineStr">
        <is>
          <t>Nr 556569 2414) bedriver sedan 2023 återvinningsverksamhet med inriktning på återbruk (reuse) av elektriska och elektronisk utrustning på fastigheten LYFTKRANEN 2 i Huddinge kommun.</t>
        </is>
      </c>
      <c r="M972" t="inlineStr">
        <is>
          <t>SKA</t>
        </is>
      </c>
      <c r="N972" t="inlineStr"/>
      <c r="O972" t="inlineStr"/>
      <c r="P972" t="inlineStr"/>
      <c r="Q972" t="inlineStr"/>
      <c r="R972" t="inlineStr">
        <is>
          <t>Vid risk for incident</t>
        </is>
      </c>
      <c r="S972" t="inlineStr"/>
      <c r="T972" t="inlineStr">
        <is>
          <t>556569</t>
        </is>
      </c>
      <c r="U972" t="inlineStr"/>
      <c r="V972" t="inlineStr"/>
      <c r="W972" t="inlineStr">
        <is>
          <t>Nej</t>
        </is>
      </c>
      <c r="X972" t="inlineStr">
        <is>
          <t>Nej</t>
        </is>
      </c>
      <c r="Y972" t="inlineStr">
        <is>
          <t>Ja</t>
        </is>
      </c>
      <c r="Z972" t="inlineStr">
        <is>
          <t>Ja</t>
        </is>
      </c>
      <c r="AA972" t="n">
        <v>8</v>
      </c>
      <c r="AB972" t="inlineStr">
        <is>
          <t>Riskhantering</t>
        </is>
      </c>
      <c r="AC972" t="inlineStr">
        <is>
          <t>Risk-PM</t>
        </is>
      </c>
      <c r="AD972" t="inlineStr">
        <is>
          <t>Nej</t>
        </is>
      </c>
      <c r="AE972" t="inlineStr">
        <is>
          <t>Nej</t>
        </is>
      </c>
      <c r="AF972" t="inlineStr">
        <is>
          <t>Ej behandlad</t>
        </is>
      </c>
      <c r="AG972" t="inlineStr">
        <is>
          <t>AUTO_GENERERAD. Verifiera citat mot kallfil.</t>
        </is>
      </c>
      <c r="AH972" t="inlineStr">
        <is>
          <t>MEDIUM</t>
        </is>
      </c>
      <c r="AI972" t="inlineStr">
        <is>
          <t>AUTO</t>
        </is>
      </c>
      <c r="AJ972" t="inlineStr">
        <is>
          <t>Nej</t>
        </is>
      </c>
      <c r="AK972" t="inlineStr"/>
      <c r="AL972" t="inlineStr"/>
      <c r="AM972" t="inlineStr"/>
      <c r="AN972" t="inlineStr"/>
      <c r="AO972" t="inlineStr">
        <is>
          <t>cmm4yuqbf03fecuqw8hit9x13</t>
        </is>
      </c>
      <c r="AP972" t="inlineStr">
        <is>
          <t>http://localhost:8787/api/admin/requirements/documents/cmm4yuqbf03fecuqw8hit9x13/view</t>
        </is>
      </c>
      <c r="AQ972">
        <f>HYPERLÄNK("http://localhost:8787/api/admin/requirements/documents/cmm4yuqbf03fecuqw8hit9x13/view";"Öppna PDF")</f>
        <v/>
      </c>
      <c r="AR972">
        <f>HYPERLINK("http://localhost:8787/api/admin/requirements/documents/cmm4yuqbf03fecuqw8hit9x13/view","Open PDF")</f>
        <v/>
      </c>
      <c r="AS972" t="inlineStr">
        <is>
          <t>cmm55w57p0004cuisfrtpqly8</t>
        </is>
      </c>
      <c r="AT972" t="inlineStr">
        <is>
          <t>cmm4xvu980000cuh4vj0usz09</t>
        </is>
      </c>
      <c r="AU972" t="inlineStr">
        <is>
          <t>i Huddinge</t>
        </is>
      </c>
      <c r="AV972" t="inlineStr">
        <is>
          <t>Kommun</t>
        </is>
      </c>
      <c r="AW972" t="inlineStr">
        <is>
          <t>i Huddinge kommun</t>
        </is>
      </c>
      <c r="AX972" t="inlineStr">
        <is>
          <t>2025-2029</t>
        </is>
      </c>
      <c r="AY972" t="inlineStr">
        <is>
          <t>Forelaggande</t>
        </is>
      </c>
      <c r="AZ972" t="inlineStr">
        <is>
          <t>2026-02-04</t>
        </is>
      </c>
      <c r="BA972" t="inlineStr">
        <is>
          <t>M-2025-2937 Beslut om föreläggande försiktighetsmått.pdf</t>
        </is>
      </c>
      <c r="BB972" t="inlineStr">
        <is>
          <t>Sv: till registrator [2026SC9796]</t>
        </is>
      </c>
      <c r="BC972" t="inlineStr">
        <is>
          <t>AUTO</t>
        </is>
      </c>
      <c r="BD972" t="inlineStr"/>
      <c r="BE972" t="inlineStr"/>
      <c r="BF972" t="inlineStr">
        <is>
          <t>AUTO_GENERERAD. Bekrafta metadata mot kallfil.</t>
        </is>
      </c>
      <c r="BG972">
        <f>HYPERLINK("C:\Users\jimmy\Desktop\Examens arbete\Kod\Ny mapp\remix_-copy-of-miljöbeslut.se-portal\M-2025-2937 Beslut om föreläggande försiktighetsmått.pdf", "Öppna PDF")</f>
        <v/>
      </c>
    </row>
    <row r="973">
      <c r="A973" t="inlineStr">
        <is>
          <t>KRAV-AUTO-000972</t>
        </is>
      </c>
      <c r="B973" t="inlineStr">
        <is>
          <t>ADMIN-INDEX-2026-02-27-00000000125C043F57453246863FE664CAFE6A3F0700950291EA24F0614FB6ACEDB12BF0E31D00000000010C0000950291EA24F0614FB6ACEDB12BF0E31D00002087AE060000</t>
        </is>
      </c>
      <c r="C973" t="inlineStr">
        <is>
          <t>cmm4yuqa903ehcuqwh701o6qm</t>
        </is>
      </c>
      <c r="D973" t="inlineStr">
        <is>
          <t>http://localhost:8787/api/admin/requirements/documents/cmm4yuqa903ehcuqwh701o6qm/view</t>
        </is>
      </c>
      <c r="E973">
        <f>HYPERLÄNK("http://localhost:8787/api/admin/requirements/documents/cmm4yuqa903ehcuqwh701o6qm/view";"Öppna PDF")</f>
        <v/>
      </c>
      <c r="F973">
        <f>HYPERLINK("http://localhost:8787/api/admin/requirements/documents/cmm4yuqa903ehcuqwh701o6qm/view","Open PDF")</f>
        <v/>
      </c>
      <c r="G973" t="inlineStr">
        <is>
          <t>cmm55w57p0004cuisfrtpqly8</t>
        </is>
      </c>
      <c r="H973" t="inlineStr">
        <is>
          <t>Kompletteringskrav</t>
        </is>
      </c>
      <c r="I973" t="inlineStr">
        <is>
          <t>LagringsvolymTid</t>
        </is>
      </c>
      <c r="J973" t="inlineStr">
        <is>
          <t>Maxmangd</t>
        </is>
      </c>
      <c r="K973" t="inlineStr">
        <is>
          <t>Den mängd avfall som återvinns eller bortskaffas årligen iv.</t>
        </is>
      </c>
      <c r="L973" t="inlineStr">
        <is>
          <t>Den mängd avfall som återvinns eller bortskaffas årligen iv.</t>
        </is>
      </c>
      <c r="M973" t="inlineStr">
        <is>
          <t>SKA</t>
        </is>
      </c>
      <c r="N973" t="inlineStr"/>
      <c r="O973" t="inlineStr"/>
      <c r="P973" t="inlineStr">
        <is>
          <t>Arlig</t>
        </is>
      </c>
      <c r="Q973" t="inlineStr"/>
      <c r="R973" t="inlineStr">
        <is>
          <t>Alltid</t>
        </is>
      </c>
      <c r="S973" t="inlineStr"/>
      <c r="T973" t="inlineStr">
        <is>
          <t>556527</t>
        </is>
      </c>
      <c r="U973" t="inlineStr"/>
      <c r="V973" t="inlineStr"/>
      <c r="W973" t="inlineStr">
        <is>
          <t>Nej</t>
        </is>
      </c>
      <c r="X973" t="inlineStr">
        <is>
          <t>Nej</t>
        </is>
      </c>
      <c r="Y973" t="inlineStr">
        <is>
          <t>Nej</t>
        </is>
      </c>
      <c r="Z973" t="inlineStr">
        <is>
          <t>Nej</t>
        </is>
      </c>
      <c r="AA973" t="n">
        <v>4</v>
      </c>
      <c r="AB973" t="inlineStr">
        <is>
          <t>Avfallsmangder och lagringstid</t>
        </is>
      </c>
      <c r="AC973" t="inlineStr">
        <is>
          <t>Avfallsforteckning</t>
        </is>
      </c>
      <c r="AD973" t="inlineStr">
        <is>
          <t>Nej</t>
        </is>
      </c>
      <c r="AE973" t="inlineStr">
        <is>
          <t>Nej</t>
        </is>
      </c>
      <c r="AF973" t="inlineStr">
        <is>
          <t>Ej behandlad</t>
        </is>
      </c>
      <c r="AG973" t="inlineStr">
        <is>
          <t>AUTO_GENERERAD. Verifiera citat mot kallfil.</t>
        </is>
      </c>
      <c r="AH973" t="inlineStr">
        <is>
          <t>MEDIUM</t>
        </is>
      </c>
      <c r="AI973" t="inlineStr">
        <is>
          <t>AUTO</t>
        </is>
      </c>
      <c r="AJ973" t="inlineStr">
        <is>
          <t>Nej</t>
        </is>
      </c>
      <c r="AK973" t="inlineStr"/>
      <c r="AL973" t="inlineStr"/>
      <c r="AM973" t="inlineStr"/>
      <c r="AN973" t="inlineStr"/>
      <c r="AO973" t="inlineStr">
        <is>
          <t>cmm4yuqad03ekcuqwsjee53ix</t>
        </is>
      </c>
      <c r="AP973" t="inlineStr">
        <is>
          <t>http://localhost:8787/api/admin/requirements/documents/cmm4yuqad03ekcuqwsjee53ix/view</t>
        </is>
      </c>
      <c r="AQ973">
        <f>HYPERLÄNK("http://localhost:8787/api/admin/requirements/documents/cmm4yuqad03ekcuqwsjee53ix/view";"Öppna PDF")</f>
        <v/>
      </c>
      <c r="AR973">
        <f>HYPERLINK("http://localhost:8787/api/admin/requirements/documents/cmm4yuqad03ekcuqwsjee53ix/view","Open PDF")</f>
        <v/>
      </c>
      <c r="AS973" t="inlineStr">
        <is>
          <t>cmm55w57p0004cuisfrtpqly8</t>
        </is>
      </c>
      <c r="AT973" t="inlineStr">
        <is>
          <t>cmm4xvu980000cuh4vj0usz09</t>
        </is>
      </c>
      <c r="AU973" t="inlineStr">
        <is>
          <t>i Huddinge</t>
        </is>
      </c>
      <c r="AV973" t="inlineStr">
        <is>
          <t>Kommun</t>
        </is>
      </c>
      <c r="AW973" t="inlineStr">
        <is>
          <t>i Huddinge kommun</t>
        </is>
      </c>
      <c r="AX973" t="inlineStr">
        <is>
          <t>2025-03</t>
        </is>
      </c>
      <c r="AY973" t="inlineStr">
        <is>
          <t>Beslut</t>
        </is>
      </c>
      <c r="AZ973" t="inlineStr">
        <is>
          <t>2026-02-04</t>
        </is>
      </c>
      <c r="BA973" t="inlineStr">
        <is>
          <t>MILJ.2025.963.pdf</t>
        </is>
      </c>
      <c r="BB973" t="inlineStr">
        <is>
          <t>Sv: till registrator [2026SC9796]</t>
        </is>
      </c>
      <c r="BC973" t="inlineStr">
        <is>
          <t>AUTO</t>
        </is>
      </c>
      <c r="BD973" t="inlineStr"/>
      <c r="BE973" t="inlineStr"/>
      <c r="BF973" t="inlineStr">
        <is>
          <t>AUTO_GENERERAD. Bekrafta metadata mot kallfil.</t>
        </is>
      </c>
      <c r="BG973">
        <f>HYPERLINK("C:\Users\jimmy\Desktop\Examens arbete\Kod\Ny mapp\remix_-copy-of-miljöbeslut.se-portal\MILJ.2025.963.pdf", "Öppna PDF")</f>
        <v/>
      </c>
    </row>
    <row r="974">
      <c r="A974" t="inlineStr">
        <is>
          <t>KRAV-AUTO-000973</t>
        </is>
      </c>
      <c r="B974" t="inlineStr">
        <is>
          <t>ADMIN-INDEX-2026-02-27-00000000125C043F57453246863FE664CAFE6A3F0700950291EA24F0614FB6ACEDB12BF0E31D00000000010C0000950291EA24F0614FB6ACEDB12BF0E31D00002087AE060000</t>
        </is>
      </c>
      <c r="C974" t="inlineStr">
        <is>
          <t>cmm4yuqa903ehcuqwh701o6qm</t>
        </is>
      </c>
      <c r="D974" t="inlineStr">
        <is>
          <t>http://localhost:8787/api/admin/requirements/documents/cmm4yuqa903ehcuqwh701o6qm/view</t>
        </is>
      </c>
      <c r="E974">
        <f>HYPERLÄNK("http://localhost:8787/api/admin/requirements/documents/cmm4yuqa903ehcuqwh701o6qm/view";"Öppna PDF")</f>
        <v/>
      </c>
      <c r="F974">
        <f>HYPERLINK("http://localhost:8787/api/admin/requirements/documents/cmm4yuqa903ehcuqwh701o6qm/view","Open PDF")</f>
        <v/>
      </c>
      <c r="G974" t="inlineStr">
        <is>
          <t>cmm55w57p0004cuisfrtpqly8</t>
        </is>
      </c>
      <c r="H974" t="inlineStr">
        <is>
          <t>Kompletteringskrav</t>
        </is>
      </c>
      <c r="I974" t="inlineStr">
        <is>
          <t>DagvattenLakvatten</t>
        </is>
      </c>
      <c r="J974" t="inlineStr">
        <is>
          <t>Uppsamling</t>
        </is>
      </c>
      <c r="K974" t="inlineStr">
        <is>
          <t>Förvaring och hantering av avfall, material, gods och maskiner ska ske på ett sätt som minimerar utsläpp av föroreningar till dagvatten och avlopp.</t>
        </is>
      </c>
      <c r="L974" t="inlineStr">
        <is>
          <t>Förvaring och hantering av avfall, material, gods och maskiner ska ske på ett sätt som minimerar utsläpp av föroreningar till dagvatten och avlopp.</t>
        </is>
      </c>
      <c r="M974" t="inlineStr">
        <is>
          <t>SKA</t>
        </is>
      </c>
      <c r="N974" t="inlineStr"/>
      <c r="O974" t="inlineStr"/>
      <c r="P974" t="inlineStr"/>
      <c r="Q974" t="inlineStr"/>
      <c r="R974" t="inlineStr">
        <is>
          <t>Vid nederbord och avrinning</t>
        </is>
      </c>
      <c r="S974" t="inlineStr"/>
      <c r="T974" t="inlineStr">
        <is>
          <t>556527</t>
        </is>
      </c>
      <c r="U974" t="inlineStr"/>
      <c r="V974" t="inlineStr"/>
      <c r="W974" t="inlineStr">
        <is>
          <t>Nej</t>
        </is>
      </c>
      <c r="X974" t="inlineStr">
        <is>
          <t>Ja</t>
        </is>
      </c>
      <c r="Y974" t="inlineStr">
        <is>
          <t>Ja</t>
        </is>
      </c>
      <c r="Z974" t="inlineStr">
        <is>
          <t>Nej</t>
        </is>
      </c>
      <c r="AA974" t="n">
        <v>6</v>
      </c>
      <c r="AB974" t="inlineStr">
        <is>
          <t>Lakvattenhantering</t>
        </is>
      </c>
      <c r="AC974" t="inlineStr">
        <is>
          <t>Flodesschema dagvatten-lakvatten</t>
        </is>
      </c>
      <c r="AD974" t="inlineStr">
        <is>
          <t>Nej</t>
        </is>
      </c>
      <c r="AE974" t="inlineStr">
        <is>
          <t>Nej</t>
        </is>
      </c>
      <c r="AF974" t="inlineStr">
        <is>
          <t>Ej behandlad</t>
        </is>
      </c>
      <c r="AG974" t="inlineStr">
        <is>
          <t>AUTO_GENERERAD. Verifiera citat mot kallfil.</t>
        </is>
      </c>
      <c r="AH974" t="inlineStr">
        <is>
          <t>MEDIUM</t>
        </is>
      </c>
      <c r="AI974" t="inlineStr">
        <is>
          <t>AUTO</t>
        </is>
      </c>
      <c r="AJ974" t="inlineStr">
        <is>
          <t>Nej</t>
        </is>
      </c>
      <c r="AK974" t="inlineStr"/>
      <c r="AL974" t="inlineStr"/>
      <c r="AM974" t="inlineStr"/>
      <c r="AN974" t="inlineStr"/>
      <c r="AO974" t="inlineStr">
        <is>
          <t>cmm4yuqad03ekcuqwsjee53ix</t>
        </is>
      </c>
      <c r="AP974" t="inlineStr">
        <is>
          <t>http://localhost:8787/api/admin/requirements/documents/cmm4yuqad03ekcuqwsjee53ix/view</t>
        </is>
      </c>
      <c r="AQ974">
        <f>HYPERLÄNK("http://localhost:8787/api/admin/requirements/documents/cmm4yuqad03ekcuqwsjee53ix/view";"Öppna PDF")</f>
        <v/>
      </c>
      <c r="AR974">
        <f>HYPERLINK("http://localhost:8787/api/admin/requirements/documents/cmm4yuqad03ekcuqwsjee53ix/view","Open PDF")</f>
        <v/>
      </c>
      <c r="AS974" t="inlineStr">
        <is>
          <t>cmm55w57p0004cuisfrtpqly8</t>
        </is>
      </c>
      <c r="AT974" t="inlineStr">
        <is>
          <t>cmm4xvu980000cuh4vj0usz09</t>
        </is>
      </c>
      <c r="AU974" t="inlineStr">
        <is>
          <t>i Huddinge</t>
        </is>
      </c>
      <c r="AV974" t="inlineStr">
        <is>
          <t>Kommun</t>
        </is>
      </c>
      <c r="AW974" t="inlineStr">
        <is>
          <t>i Huddinge kommun</t>
        </is>
      </c>
      <c r="AX974" t="inlineStr">
        <is>
          <t>2025-03</t>
        </is>
      </c>
      <c r="AY974" t="inlineStr">
        <is>
          <t>Beslut</t>
        </is>
      </c>
      <c r="AZ974" t="inlineStr">
        <is>
          <t>2026-02-04</t>
        </is>
      </c>
      <c r="BA974" t="inlineStr">
        <is>
          <t>MILJ.2025.963.pdf</t>
        </is>
      </c>
      <c r="BB974" t="inlineStr">
        <is>
          <t>Sv: till registrator [2026SC9796]</t>
        </is>
      </c>
      <c r="BC974" t="inlineStr">
        <is>
          <t>AUTO</t>
        </is>
      </c>
      <c r="BD974" t="inlineStr"/>
      <c r="BE974" t="inlineStr"/>
      <c r="BF974" t="inlineStr">
        <is>
          <t>AUTO_GENERERAD. Bekrafta metadata mot kallfil.</t>
        </is>
      </c>
      <c r="BG974">
        <f>HYPERLINK("C:\Users\jimmy\Desktop\Examens arbete\Kod\Ny mapp\remix_-copy-of-miljöbeslut.se-portal\MILJ.2025.963.pdf", "Öppna PDF")</f>
        <v/>
      </c>
    </row>
    <row r="975">
      <c r="A975" t="inlineStr">
        <is>
          <t>KRAV-AUTO-000974</t>
        </is>
      </c>
      <c r="B975" t="inlineStr">
        <is>
          <t>ADMIN-INDEX-2026-02-27-00000000125C043F57453246863FE664CAFE6A3F0700950291EA24F0614FB6ACEDB12BF0E31D00000000010C0000950291EA24F0614FB6ACEDB12BF0E31D00002087AE060000</t>
        </is>
      </c>
      <c r="C975" t="inlineStr">
        <is>
          <t>cmm4yuqa903ehcuqwh701o6qm</t>
        </is>
      </c>
      <c r="D975" t="inlineStr">
        <is>
          <t>http://localhost:8787/api/admin/requirements/documents/cmm4yuqa903ehcuqwh701o6qm/view</t>
        </is>
      </c>
      <c r="E975">
        <f>HYPERLÄNK("http://localhost:8787/api/admin/requirements/documents/cmm4yuqa903ehcuqwh701o6qm/view";"Öppna PDF")</f>
        <v/>
      </c>
      <c r="F975">
        <f>HYPERLINK("http://localhost:8787/api/admin/requirements/documents/cmm4yuqa903ehcuqwh701o6qm/view","Open PDF")</f>
        <v/>
      </c>
      <c r="G975" t="inlineStr">
        <is>
          <t>cmm55w57p0004cuisfrtpqly8</t>
        </is>
      </c>
      <c r="H975" t="inlineStr">
        <is>
          <t>Kompletteringskrav</t>
        </is>
      </c>
      <c r="I975" t="inlineStr">
        <is>
          <t>Ytkonstruktion</t>
        </is>
      </c>
      <c r="J975" t="inlineStr">
        <is>
          <t>Tat yta</t>
        </is>
      </c>
      <c r="K975" t="inlineStr">
        <is>
          <t>Flytande farligt avfall ska förvaras i spillsäker invallning som rymmer hela volymen av den största behållaren plus 10 procent av resterande behållares volym.</t>
        </is>
      </c>
      <c r="L975" t="inlineStr">
        <is>
          <t>Flytande farligt avfall ska förvaras i spillsäker invallning som rymmer hela volymen av den största behållaren plus 10 procent av resterande behållares volym.</t>
        </is>
      </c>
      <c r="M975" t="inlineStr">
        <is>
          <t>SKA</t>
        </is>
      </c>
      <c r="N975" t="inlineStr"/>
      <c r="O975" t="inlineStr"/>
      <c r="P975" t="inlineStr">
        <is>
          <t>Arlig</t>
        </is>
      </c>
      <c r="Q975" t="inlineStr"/>
      <c r="R975" t="inlineStr">
        <is>
          <t>Vid mellanlagring av avfall</t>
        </is>
      </c>
      <c r="S975" t="inlineStr"/>
      <c r="T975" t="inlineStr">
        <is>
          <t>556527</t>
        </is>
      </c>
      <c r="U975" t="inlineStr"/>
      <c r="V975" t="inlineStr"/>
      <c r="W975" t="inlineStr">
        <is>
          <t>Ja</t>
        </is>
      </c>
      <c r="X975" t="inlineStr">
        <is>
          <t>Nej</t>
        </is>
      </c>
      <c r="Y975" t="inlineStr">
        <is>
          <t>Nej</t>
        </is>
      </c>
      <c r="Z975" t="inlineStr">
        <is>
          <t>Nej</t>
        </is>
      </c>
      <c r="AA975" t="n">
        <v>5</v>
      </c>
      <c r="AB975" t="inlineStr">
        <is>
          <t>Teknisk beskrivning av platta</t>
        </is>
      </c>
      <c r="AC975" t="inlineStr">
        <is>
          <t>Teknisk ritning platta</t>
        </is>
      </c>
      <c r="AD975" t="inlineStr">
        <is>
          <t>Nej</t>
        </is>
      </c>
      <c r="AE975" t="inlineStr">
        <is>
          <t>Nej</t>
        </is>
      </c>
      <c r="AF975" t="inlineStr">
        <is>
          <t>Ej behandlad</t>
        </is>
      </c>
      <c r="AG975" t="inlineStr">
        <is>
          <t>AUTO_GENERERAD. Verifiera citat mot kallfil.</t>
        </is>
      </c>
      <c r="AH975" t="inlineStr">
        <is>
          <t>MEDIUM</t>
        </is>
      </c>
      <c r="AI975" t="inlineStr">
        <is>
          <t>AUTO</t>
        </is>
      </c>
      <c r="AJ975" t="inlineStr">
        <is>
          <t>Nej</t>
        </is>
      </c>
      <c r="AK975" t="inlineStr"/>
      <c r="AL975" t="inlineStr"/>
      <c r="AM975" t="inlineStr"/>
      <c r="AN975" t="inlineStr"/>
      <c r="AO975" t="inlineStr">
        <is>
          <t>cmm4yuqad03ekcuqwsjee53ix</t>
        </is>
      </c>
      <c r="AP975" t="inlineStr">
        <is>
          <t>http://localhost:8787/api/admin/requirements/documents/cmm4yuqad03ekcuqwsjee53ix/view</t>
        </is>
      </c>
      <c r="AQ975">
        <f>HYPERLÄNK("http://localhost:8787/api/admin/requirements/documents/cmm4yuqad03ekcuqwsjee53ix/view";"Öppna PDF")</f>
        <v/>
      </c>
      <c r="AR975">
        <f>HYPERLINK("http://localhost:8787/api/admin/requirements/documents/cmm4yuqad03ekcuqwsjee53ix/view","Open PDF")</f>
        <v/>
      </c>
      <c r="AS975" t="inlineStr">
        <is>
          <t>cmm55w57p0004cuisfrtpqly8</t>
        </is>
      </c>
      <c r="AT975" t="inlineStr">
        <is>
          <t>cmm4xvu980000cuh4vj0usz09</t>
        </is>
      </c>
      <c r="AU975" t="inlineStr">
        <is>
          <t>i Huddinge</t>
        </is>
      </c>
      <c r="AV975" t="inlineStr">
        <is>
          <t>Kommun</t>
        </is>
      </c>
      <c r="AW975" t="inlineStr">
        <is>
          <t>i Huddinge kommun</t>
        </is>
      </c>
      <c r="AX975" t="inlineStr">
        <is>
          <t>2025-03</t>
        </is>
      </c>
      <c r="AY975" t="inlineStr">
        <is>
          <t>Beslut</t>
        </is>
      </c>
      <c r="AZ975" t="inlineStr">
        <is>
          <t>2026-02-04</t>
        </is>
      </c>
      <c r="BA975" t="inlineStr">
        <is>
          <t>MILJ.2025.963.pdf</t>
        </is>
      </c>
      <c r="BB975" t="inlineStr">
        <is>
          <t>Sv: till registrator [2026SC9796]</t>
        </is>
      </c>
      <c r="BC975" t="inlineStr">
        <is>
          <t>AUTO</t>
        </is>
      </c>
      <c r="BD975" t="inlineStr"/>
      <c r="BE975" t="inlineStr"/>
      <c r="BF975" t="inlineStr">
        <is>
          <t>AUTO_GENERERAD. Bekrafta metadata mot kallfil.</t>
        </is>
      </c>
      <c r="BG975">
        <f>HYPERLINK("C:\Users\jimmy\Desktop\Examens arbete\Kod\Ny mapp\remix_-copy-of-miljöbeslut.se-portal\MILJ.2025.963.pdf", "Öppna PDF")</f>
        <v/>
      </c>
    </row>
    <row r="976">
      <c r="A976" t="inlineStr">
        <is>
          <t>KRAV-AUTO-000975</t>
        </is>
      </c>
      <c r="B976" t="inlineStr">
        <is>
          <t>ADMIN-INDEX-2026-02-27-00000000125C043F57453246863FE664CAFE6A3F0700950291EA24F0614FB6ACEDB12BF0E31D00000000010C0000950291EA24F0614FB6ACEDB12BF0E31D00002087AE060000</t>
        </is>
      </c>
      <c r="C976" t="inlineStr">
        <is>
          <t>cmm4yuqa203ebcuqwlfblldrt</t>
        </is>
      </c>
      <c r="D976" t="inlineStr">
        <is>
          <t>http://localhost:8787/api/admin/requirements/documents/cmm4yuqa203ebcuqwlfblldrt/view</t>
        </is>
      </c>
      <c r="E976">
        <f>HYPERLÄNK("http://localhost:8787/api/admin/requirements/documents/cmm4yuqa203ebcuqwlfblldrt/view";"Öppna PDF")</f>
        <v/>
      </c>
      <c r="F976">
        <f>HYPERLINK("http://localhost:8787/api/admin/requirements/documents/cmm4yuqa203ebcuqwlfblldrt/view","Open PDF")</f>
        <v/>
      </c>
      <c r="G976" t="inlineStr">
        <is>
          <t>cmm55w57p0004cuisfrtpqly8</t>
        </is>
      </c>
      <c r="H976" t="inlineStr">
        <is>
          <t>Beslutsvillkor</t>
        </is>
      </c>
      <c r="I976" t="inlineStr">
        <is>
          <t>Riskhantering</t>
        </is>
      </c>
      <c r="J976" t="inlineStr">
        <is>
          <t>Riskkontroll</t>
        </is>
      </c>
      <c r="K976" t="inlineStr">
        <is>
          <t>Eventuellt tillkommande massor ska uppfylla mindre än ringa risk (MRR).</t>
        </is>
      </c>
      <c r="L976" t="inlineStr">
        <is>
          <t>Eventuellt tillkommande massor ska uppfylla mindre än ringa risk (MRR).</t>
        </is>
      </c>
      <c r="M976" t="inlineStr">
        <is>
          <t>SKA</t>
        </is>
      </c>
      <c r="N976" t="inlineStr"/>
      <c r="O976" t="inlineStr"/>
      <c r="P976" t="inlineStr"/>
      <c r="Q976" t="inlineStr"/>
      <c r="R976" t="inlineStr">
        <is>
          <t>Vid risk for incident</t>
        </is>
      </c>
      <c r="S976" t="inlineStr"/>
      <c r="T976" t="inlineStr"/>
      <c r="U976" t="inlineStr"/>
      <c r="V976" t="inlineStr"/>
      <c r="W976" t="inlineStr">
        <is>
          <t>Nej</t>
        </is>
      </c>
      <c r="X976" t="inlineStr">
        <is>
          <t>Nej</t>
        </is>
      </c>
      <c r="Y976" t="inlineStr">
        <is>
          <t>Ja</t>
        </is>
      </c>
      <c r="Z976" t="inlineStr">
        <is>
          <t>Ja</t>
        </is>
      </c>
      <c r="AA976" t="n">
        <v>8</v>
      </c>
      <c r="AB976" t="inlineStr">
        <is>
          <t>Riskhantering</t>
        </is>
      </c>
      <c r="AC976" t="inlineStr">
        <is>
          <t>Risk-PM</t>
        </is>
      </c>
      <c r="AD976" t="inlineStr">
        <is>
          <t>Nej</t>
        </is>
      </c>
      <c r="AE976" t="inlineStr">
        <is>
          <t>Nej</t>
        </is>
      </c>
      <c r="AF976" t="inlineStr">
        <is>
          <t>Ej behandlad</t>
        </is>
      </c>
      <c r="AG976" t="inlineStr">
        <is>
          <t>AUTO_GENERERAD. Verifiera citat mot kallfil.</t>
        </is>
      </c>
      <c r="AH976" t="inlineStr">
        <is>
          <t>MEDIUM</t>
        </is>
      </c>
      <c r="AI976" t="inlineStr">
        <is>
          <t>AUTO</t>
        </is>
      </c>
      <c r="AJ976" t="inlineStr">
        <is>
          <t>Nej</t>
        </is>
      </c>
      <c r="AK976" t="inlineStr"/>
      <c r="AL976" t="inlineStr"/>
      <c r="AM976" t="inlineStr"/>
      <c r="AN976" t="inlineStr"/>
      <c r="AO976" t="inlineStr">
        <is>
          <t>cmm4yuqad03ekcuqwsjee53ix</t>
        </is>
      </c>
      <c r="AP976" t="inlineStr">
        <is>
          <t>http://localhost:8787/api/admin/requirements/documents/cmm4yuqad03ekcuqwsjee53ix/view</t>
        </is>
      </c>
      <c r="AQ976">
        <f>HYPERLÄNK("http://localhost:8787/api/admin/requirements/documents/cmm4yuqad03ekcuqwsjee53ix/view";"Öppna PDF")</f>
        <v/>
      </c>
      <c r="AR976">
        <f>HYPERLINK("http://localhost:8787/api/admin/requirements/documents/cmm4yuqad03ekcuqwsjee53ix/view","Open PDF")</f>
        <v/>
      </c>
      <c r="AS976" t="inlineStr">
        <is>
          <t>cmm55w57p0004cuisfrtpqly8</t>
        </is>
      </c>
      <c r="AT976" t="inlineStr">
        <is>
          <t>cmm4xvu980000cuh4vj0usz09</t>
        </is>
      </c>
      <c r="AU976" t="inlineStr">
        <is>
          <t>i Huddinge</t>
        </is>
      </c>
      <c r="AV976" t="inlineStr">
        <is>
          <t>Kommun</t>
        </is>
      </c>
      <c r="AW976" t="inlineStr">
        <is>
          <t>i Huddinge kommun</t>
        </is>
      </c>
      <c r="AX976" t="inlineStr">
        <is>
          <t>2025-03</t>
        </is>
      </c>
      <c r="AY976" t="inlineStr">
        <is>
          <t>Beslut</t>
        </is>
      </c>
      <c r="AZ976" t="inlineStr">
        <is>
          <t>2026-02-04</t>
        </is>
      </c>
      <c r="BA976" t="inlineStr">
        <is>
          <t>MILJ.2025.963.pdf</t>
        </is>
      </c>
      <c r="BB976" t="inlineStr">
        <is>
          <t>Sv: till registrator [2026SC9796]</t>
        </is>
      </c>
      <c r="BC976" t="inlineStr">
        <is>
          <t>AUTO</t>
        </is>
      </c>
      <c r="BD976" t="inlineStr"/>
      <c r="BE976" t="inlineStr"/>
      <c r="BF976" t="inlineStr">
        <is>
          <t>AUTO_GENERERAD. Bekrafta metadata mot kallfil.</t>
        </is>
      </c>
      <c r="BG976">
        <f>HYPERLINK("C:\Users\jimmy\Desktop\Examens arbete\Kod\Ny mapp\remix_-copy-of-miljöbeslut.se-portal\MILJ.2025.963.pdf", "Öppna PDF")</f>
        <v/>
      </c>
    </row>
    <row r="977">
      <c r="A977" t="inlineStr">
        <is>
          <t>KRAV-AUTO-000976</t>
        </is>
      </c>
      <c r="B977" t="inlineStr">
        <is>
          <t>ADMIN-INDEX-2026-02-27-00000000125C043F57453246863FE664CAFE6A3F0700950291EA24F0614FB6ACEDB12BF0E31D00000000010C0000950291EA24F0614FB6ACEDB12BF0E31D00002087AE060000</t>
        </is>
      </c>
      <c r="C977" t="inlineStr">
        <is>
          <t>cmm4yuqa203ebcuqwlfblldrt</t>
        </is>
      </c>
      <c r="D977" t="inlineStr">
        <is>
          <t>http://localhost:8787/api/admin/requirements/documents/cmm4yuqa203ebcuqwlfblldrt/view</t>
        </is>
      </c>
      <c r="E977">
        <f>HYPERLÄNK("http://localhost:8787/api/admin/requirements/documents/cmm4yuqa203ebcuqwlfblldrt/view";"Öppna PDF")</f>
        <v/>
      </c>
      <c r="F977">
        <f>HYPERLINK("http://localhost:8787/api/admin/requirements/documents/cmm4yuqa203ebcuqwlfblldrt/view","Open PDF")</f>
        <v/>
      </c>
      <c r="G977" t="inlineStr">
        <is>
          <t>cmm55w57p0004cuisfrtpqly8</t>
        </is>
      </c>
      <c r="H977" t="inlineStr">
        <is>
          <t>Beslutsvillkor</t>
        </is>
      </c>
      <c r="I977" t="inlineStr">
        <is>
          <t>DagvattenLakvatten</t>
        </is>
      </c>
      <c r="J977" t="inlineStr">
        <is>
          <t>Uppsamling</t>
        </is>
      </c>
      <c r="K977" t="inlineStr">
        <is>
          <t>de massor som tas emot får genom sitt föroreningsinnehåll inte innebära någon oacceptabel risk för skadliga effekter på omgivande miljö eller hälsa.</t>
        </is>
      </c>
      <c r="L977" t="inlineStr">
        <is>
          <t>de massor som tas emot får genom sitt föroreningsinnehåll inte innebära någon oacceptabel risk för skadliga effekter på omgivande miljö eller hälsa.</t>
        </is>
      </c>
      <c r="M977" t="inlineStr">
        <is>
          <t>SKA</t>
        </is>
      </c>
      <c r="N977" t="inlineStr"/>
      <c r="O977" t="inlineStr"/>
      <c r="P977" t="inlineStr"/>
      <c r="Q977" t="inlineStr"/>
      <c r="R977" t="inlineStr">
        <is>
          <t>Vid nederbord och avrinning</t>
        </is>
      </c>
      <c r="S977" t="inlineStr"/>
      <c r="T977" t="inlineStr"/>
      <c r="U977" t="inlineStr"/>
      <c r="V977" t="inlineStr"/>
      <c r="W977" t="inlineStr">
        <is>
          <t>Nej</t>
        </is>
      </c>
      <c r="X977" t="inlineStr">
        <is>
          <t>Ja</t>
        </is>
      </c>
      <c r="Y977" t="inlineStr">
        <is>
          <t>Ja</t>
        </is>
      </c>
      <c r="Z977" t="inlineStr">
        <is>
          <t>Nej</t>
        </is>
      </c>
      <c r="AA977" t="n">
        <v>6</v>
      </c>
      <c r="AB977" t="inlineStr">
        <is>
          <t>Lakvattenhantering</t>
        </is>
      </c>
      <c r="AC977" t="inlineStr">
        <is>
          <t>Flodesschema dagvatten-lakvatten</t>
        </is>
      </c>
      <c r="AD977" t="inlineStr">
        <is>
          <t>Nej</t>
        </is>
      </c>
      <c r="AE977" t="inlineStr">
        <is>
          <t>Nej</t>
        </is>
      </c>
      <c r="AF977" t="inlineStr">
        <is>
          <t>Ej behandlad</t>
        </is>
      </c>
      <c r="AG977" t="inlineStr">
        <is>
          <t>AUTO_GENERERAD. Verifiera citat mot kallfil.</t>
        </is>
      </c>
      <c r="AH977" t="inlineStr">
        <is>
          <t>MEDIUM</t>
        </is>
      </c>
      <c r="AI977" t="inlineStr">
        <is>
          <t>AUTO</t>
        </is>
      </c>
      <c r="AJ977" t="inlineStr">
        <is>
          <t>Nej</t>
        </is>
      </c>
      <c r="AK977" t="inlineStr"/>
      <c r="AL977" t="inlineStr"/>
      <c r="AM977" t="inlineStr"/>
      <c r="AN977" t="inlineStr"/>
      <c r="AO977" t="inlineStr">
        <is>
          <t>cmm4yuqad03ekcuqwsjee53ix</t>
        </is>
      </c>
      <c r="AP977" t="inlineStr">
        <is>
          <t>http://localhost:8787/api/admin/requirements/documents/cmm4yuqad03ekcuqwsjee53ix/view</t>
        </is>
      </c>
      <c r="AQ977">
        <f>HYPERLÄNK("http://localhost:8787/api/admin/requirements/documents/cmm4yuqad03ekcuqwsjee53ix/view";"Öppna PDF")</f>
        <v/>
      </c>
      <c r="AR977">
        <f>HYPERLINK("http://localhost:8787/api/admin/requirements/documents/cmm4yuqad03ekcuqwsjee53ix/view","Open PDF")</f>
        <v/>
      </c>
      <c r="AS977" t="inlineStr">
        <is>
          <t>cmm55w57p0004cuisfrtpqly8</t>
        </is>
      </c>
      <c r="AT977" t="inlineStr">
        <is>
          <t>cmm4xvu980000cuh4vj0usz09</t>
        </is>
      </c>
      <c r="AU977" t="inlineStr">
        <is>
          <t>i Huddinge</t>
        </is>
      </c>
      <c r="AV977" t="inlineStr">
        <is>
          <t>Kommun</t>
        </is>
      </c>
      <c r="AW977" t="inlineStr">
        <is>
          <t>i Huddinge kommun</t>
        </is>
      </c>
      <c r="AX977" t="inlineStr">
        <is>
          <t>2025-03</t>
        </is>
      </c>
      <c r="AY977" t="inlineStr">
        <is>
          <t>Beslut</t>
        </is>
      </c>
      <c r="AZ977" t="inlineStr">
        <is>
          <t>2026-02-04</t>
        </is>
      </c>
      <c r="BA977" t="inlineStr">
        <is>
          <t>MILJ.2025.963.pdf</t>
        </is>
      </c>
      <c r="BB977" t="inlineStr">
        <is>
          <t>Sv: till registrator [2026SC9796]</t>
        </is>
      </c>
      <c r="BC977" t="inlineStr">
        <is>
          <t>AUTO</t>
        </is>
      </c>
      <c r="BD977" t="inlineStr"/>
      <c r="BE977" t="inlineStr"/>
      <c r="BF977" t="inlineStr">
        <is>
          <t>AUTO_GENERERAD. Bekrafta metadata mot kallfil.</t>
        </is>
      </c>
      <c r="BG977">
        <f>HYPERLINK("C:\Users\jimmy\Desktop\Examens arbete\Kod\Ny mapp\remix_-copy-of-miljöbeslut.se-portal\MILJ.2025.963.pdf", "Öppna PDF")</f>
        <v/>
      </c>
    </row>
    <row r="978">
      <c r="A978" t="inlineStr">
        <is>
          <t>KRAV-AUTO-000977</t>
        </is>
      </c>
      <c r="B978" t="inlineStr">
        <is>
          <t>ADMIN-INDEX-2026-02-27-00000000125C043F57453246863FE664CAFE6A3F0700950291EA24F0614FB6ACEDB12BF0E31D00000000010C0000950291EA24F0614FB6ACEDB12BF0E31D00002087AE060000</t>
        </is>
      </c>
      <c r="C978" t="inlineStr">
        <is>
          <t>cmm4yuqa203ebcuqwlfblldrt</t>
        </is>
      </c>
      <c r="D978" t="inlineStr">
        <is>
          <t>http://localhost:8787/api/admin/requirements/documents/cmm4yuqa203ebcuqwlfblldrt/view</t>
        </is>
      </c>
      <c r="E978">
        <f>HYPERLÄNK("http://localhost:8787/api/admin/requirements/documents/cmm4yuqa203ebcuqwlfblldrt/view";"Öppna PDF")</f>
        <v/>
      </c>
      <c r="F978">
        <f>HYPERLINK("http://localhost:8787/api/admin/requirements/documents/cmm4yuqa203ebcuqwlfblldrt/view","Open PDF")</f>
        <v/>
      </c>
      <c r="G978" t="inlineStr">
        <is>
          <t>cmm55w57p0004cuisfrtpqly8</t>
        </is>
      </c>
      <c r="H978" t="inlineStr">
        <is>
          <t>Beslutsvillkor</t>
        </is>
      </c>
      <c r="I978" t="inlineStr">
        <is>
          <t>MiljopaverkanForsiktighet</t>
        </is>
      </c>
      <c r="J978" t="inlineStr">
        <is>
          <t>Skyddsatgarder</t>
        </is>
      </c>
      <c r="K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978" t="inlineStr">
        <is>
          <t>SKA</t>
        </is>
      </c>
      <c r="N978" t="inlineStr"/>
      <c r="O978" t="inlineStr"/>
      <c r="P978" t="inlineStr"/>
      <c r="Q978" t="inlineStr"/>
      <c r="R978" t="inlineStr">
        <is>
          <t>Alltid</t>
        </is>
      </c>
      <c r="S978" t="inlineStr"/>
      <c r="T978" t="inlineStr"/>
      <c r="U978" t="inlineStr"/>
      <c r="V978" t="inlineStr"/>
      <c r="W978" t="inlineStr">
        <is>
          <t>Nej</t>
        </is>
      </c>
      <c r="X978" t="inlineStr">
        <is>
          <t>Nej</t>
        </is>
      </c>
      <c r="Y978" t="inlineStr">
        <is>
          <t>Nej</t>
        </is>
      </c>
      <c r="Z978" t="inlineStr">
        <is>
          <t>Nej</t>
        </is>
      </c>
      <c r="AA978" t="n">
        <v>10</v>
      </c>
      <c r="AB978" t="inlineStr">
        <is>
          <t>Miljopaverkan och forsiktighetsmatt</t>
        </is>
      </c>
      <c r="AC978" t="inlineStr">
        <is>
          <t>Miljo-PM</t>
        </is>
      </c>
      <c r="AD978" t="inlineStr">
        <is>
          <t>Nej</t>
        </is>
      </c>
      <c r="AE978" t="inlineStr">
        <is>
          <t>Nej</t>
        </is>
      </c>
      <c r="AF978" t="inlineStr">
        <is>
          <t>Ej behandlad</t>
        </is>
      </c>
      <c r="AG978" t="inlineStr">
        <is>
          <t>AUTO_GENERERAD. Verifiera citat mot kallfil.</t>
        </is>
      </c>
      <c r="AH978" t="inlineStr">
        <is>
          <t>MEDIUM</t>
        </is>
      </c>
      <c r="AI978" t="inlineStr">
        <is>
          <t>AUTO</t>
        </is>
      </c>
      <c r="AJ978" t="inlineStr">
        <is>
          <t>Nej</t>
        </is>
      </c>
      <c r="AK978" t="inlineStr"/>
      <c r="AL978" t="inlineStr"/>
      <c r="AM978" t="inlineStr"/>
      <c r="AN978" t="inlineStr"/>
      <c r="AO978" t="inlineStr">
        <is>
          <t>cmm4yuqad03ekcuqwsjee53ix</t>
        </is>
      </c>
      <c r="AP978" t="inlineStr">
        <is>
          <t>http://localhost:8787/api/admin/requirements/documents/cmm4yuqad03ekcuqwsjee53ix/view</t>
        </is>
      </c>
      <c r="AQ978">
        <f>HYPERLÄNK("http://localhost:8787/api/admin/requirements/documents/cmm4yuqad03ekcuqwsjee53ix/view";"Öppna PDF")</f>
        <v/>
      </c>
      <c r="AR978">
        <f>HYPERLINK("http://localhost:8787/api/admin/requirements/documents/cmm4yuqad03ekcuqwsjee53ix/view","Open PDF")</f>
        <v/>
      </c>
      <c r="AS978" t="inlineStr">
        <is>
          <t>cmm55w57p0004cuisfrtpqly8</t>
        </is>
      </c>
      <c r="AT978" t="inlineStr">
        <is>
          <t>cmm4xvu980000cuh4vj0usz09</t>
        </is>
      </c>
      <c r="AU978" t="inlineStr">
        <is>
          <t>i Huddinge</t>
        </is>
      </c>
      <c r="AV978" t="inlineStr">
        <is>
          <t>Kommun</t>
        </is>
      </c>
      <c r="AW978" t="inlineStr">
        <is>
          <t>i Huddinge kommun</t>
        </is>
      </c>
      <c r="AX978" t="inlineStr">
        <is>
          <t>2025-03</t>
        </is>
      </c>
      <c r="AY978" t="inlineStr">
        <is>
          <t>Beslut</t>
        </is>
      </c>
      <c r="AZ978" t="inlineStr">
        <is>
          <t>2026-02-04</t>
        </is>
      </c>
      <c r="BA978" t="inlineStr">
        <is>
          <t>MILJ.2025.963.pdf</t>
        </is>
      </c>
      <c r="BB978" t="inlineStr">
        <is>
          <t>Sv: till registrator [2026SC9796]</t>
        </is>
      </c>
      <c r="BC978" t="inlineStr">
        <is>
          <t>AUTO</t>
        </is>
      </c>
      <c r="BD978" t="inlineStr"/>
      <c r="BE978" t="inlineStr"/>
      <c r="BF978" t="inlineStr">
        <is>
          <t>AUTO_GENERERAD. Bekrafta metadata mot kallfil.</t>
        </is>
      </c>
      <c r="BG978">
        <f>HYPERLINK("C:\Users\jimmy\Desktop\Examens arbete\Kod\Ny mapp\remix_-copy-of-miljöbeslut.se-portal\MILJ.2025.963.pdf", "Öppna PDF")</f>
        <v/>
      </c>
    </row>
    <row r="979">
      <c r="A979" t="inlineStr">
        <is>
          <t>KRAV-AUTO-000978</t>
        </is>
      </c>
      <c r="B979" t="inlineStr">
        <is>
          <t>ADMIN-INDEX-2026-02-27-00000000125C043F57453246863FE664CAFE6A3F0700950291EA24F0614FB6ACEDB12BF0E31D00000000010C0000950291EA24F0614FB6ACEDB12BF0E31D00002087AE060000</t>
        </is>
      </c>
      <c r="C979" t="inlineStr">
        <is>
          <t>cmm4yuq9s03e2cuqws0cupjwv</t>
        </is>
      </c>
      <c r="D979" t="inlineStr">
        <is>
          <t>http://localhost:8787/api/admin/requirements/documents/cmm4yuq9s03e2cuqws0cupjwv/view</t>
        </is>
      </c>
      <c r="E979">
        <f>HYPERLÄNK("http://localhost:8787/api/admin/requirements/documents/cmm4yuq9s03e2cuqws0cupjwv/view";"Öppna PDF")</f>
        <v/>
      </c>
      <c r="F979">
        <f>HYPERLINK("http://localhost:8787/api/admin/requirements/documents/cmm4yuq9s03e2cuqws0cupjwv/view","Open PDF")</f>
        <v/>
      </c>
      <c r="G979" t="inlineStr">
        <is>
          <t>cmm55w57p0004cuisfrtpqly8</t>
        </is>
      </c>
      <c r="H979" t="inlineStr">
        <is>
          <t>Beslutsvillkor</t>
        </is>
      </c>
      <c r="I979" t="inlineStr">
        <is>
          <t>Riskhantering</t>
        </is>
      </c>
      <c r="J979" t="inlineStr">
        <is>
          <t>Riskkontroll</t>
        </is>
      </c>
      <c r="K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9" t="inlineStr">
        <is>
          <t>SKA</t>
        </is>
      </c>
      <c r="N979" t="inlineStr"/>
      <c r="O979" t="inlineStr"/>
      <c r="P979" t="inlineStr"/>
      <c r="Q979" t="inlineStr"/>
      <c r="R979" t="inlineStr">
        <is>
          <t>Vid risk for incident</t>
        </is>
      </c>
      <c r="S979" t="inlineStr"/>
      <c r="T979" t="inlineStr">
        <is>
          <t>556569</t>
        </is>
      </c>
      <c r="U979" t="inlineStr"/>
      <c r="V979" t="inlineStr"/>
      <c r="W979" t="inlineStr">
        <is>
          <t>Nej</t>
        </is>
      </c>
      <c r="X979" t="inlineStr">
        <is>
          <t>Nej</t>
        </is>
      </c>
      <c r="Y979" t="inlineStr">
        <is>
          <t>Ja</t>
        </is>
      </c>
      <c r="Z979" t="inlineStr">
        <is>
          <t>Ja</t>
        </is>
      </c>
      <c r="AA979" t="n">
        <v>8</v>
      </c>
      <c r="AB979" t="inlineStr">
        <is>
          <t>Riskhantering</t>
        </is>
      </c>
      <c r="AC979" t="inlineStr">
        <is>
          <t>Risk-PM</t>
        </is>
      </c>
      <c r="AD979" t="inlineStr">
        <is>
          <t>Nej</t>
        </is>
      </c>
      <c r="AE979" t="inlineStr">
        <is>
          <t>Nej</t>
        </is>
      </c>
      <c r="AF979" t="inlineStr">
        <is>
          <t>Ej behandlad</t>
        </is>
      </c>
      <c r="AG979" t="inlineStr">
        <is>
          <t>AUTO_GENERERAD. Verifiera citat mot kallfil.</t>
        </is>
      </c>
      <c r="AH979" t="inlineStr">
        <is>
          <t>MEDIUM</t>
        </is>
      </c>
      <c r="AI979" t="inlineStr">
        <is>
          <t>AUTO</t>
        </is>
      </c>
      <c r="AJ979" t="inlineStr">
        <is>
          <t>Nej</t>
        </is>
      </c>
      <c r="AK979" t="inlineStr"/>
      <c r="AL979" t="inlineStr"/>
      <c r="AM979" t="inlineStr"/>
      <c r="AN979" t="inlineStr"/>
      <c r="AO979" t="inlineStr">
        <is>
          <t>cmm4yuqad03ekcuqwsjee53ix</t>
        </is>
      </c>
      <c r="AP979" t="inlineStr">
        <is>
          <t>http://localhost:8787/api/admin/requirements/documents/cmm4yuqad03ekcuqwsjee53ix/view</t>
        </is>
      </c>
      <c r="AQ979">
        <f>HYPERLÄNK("http://localhost:8787/api/admin/requirements/documents/cmm4yuqad03ekcuqwsjee53ix/view";"Öppna PDF")</f>
        <v/>
      </c>
      <c r="AR979">
        <f>HYPERLINK("http://localhost:8787/api/admin/requirements/documents/cmm4yuqad03ekcuqwsjee53ix/view","Open PDF")</f>
        <v/>
      </c>
      <c r="AS979" t="inlineStr">
        <is>
          <t>cmm55w57p0004cuisfrtpqly8</t>
        </is>
      </c>
      <c r="AT979" t="inlineStr">
        <is>
          <t>cmm4xvu980000cuh4vj0usz09</t>
        </is>
      </c>
      <c r="AU979" t="inlineStr">
        <is>
          <t>i Huddinge</t>
        </is>
      </c>
      <c r="AV979" t="inlineStr">
        <is>
          <t>Kommun</t>
        </is>
      </c>
      <c r="AW979" t="inlineStr">
        <is>
          <t>i Huddinge kommun</t>
        </is>
      </c>
      <c r="AX979" t="inlineStr">
        <is>
          <t>2025-03</t>
        </is>
      </c>
      <c r="AY979" t="inlineStr">
        <is>
          <t>Beslut</t>
        </is>
      </c>
      <c r="AZ979" t="inlineStr">
        <is>
          <t>2026-02-04</t>
        </is>
      </c>
      <c r="BA979" t="inlineStr">
        <is>
          <t>MILJ.2025.963.pdf</t>
        </is>
      </c>
      <c r="BB979" t="inlineStr">
        <is>
          <t>Sv: till registrator [2026SC9796]</t>
        </is>
      </c>
      <c r="BC979" t="inlineStr">
        <is>
          <t>AUTO</t>
        </is>
      </c>
      <c r="BD979" t="inlineStr"/>
      <c r="BE979" t="inlineStr"/>
      <c r="BF979" t="inlineStr">
        <is>
          <t>AUTO_GENERERAD. Bekrafta metadata mot kallfil.</t>
        </is>
      </c>
      <c r="BG979">
        <f>HYPERLINK("C:\Users\jimmy\Desktop\Examens arbete\Kod\Ny mapp\remix_-copy-of-miljöbeslut.se-portal\MILJ.2025.963.pdf", "Öppna PDF")</f>
        <v/>
      </c>
    </row>
    <row r="980">
      <c r="A980" t="inlineStr">
        <is>
          <t>KRAV-AUTO-000979</t>
        </is>
      </c>
      <c r="B980" t="inlineStr">
        <is>
          <t>ADMIN-INDEX-2026-02-27-00000000125C043F57453246863FE664CAFE6A3F0700950291EA24F0614FB6ACEDB12BF0E31D00000000010C0000950291EA24F0614FB6ACEDB12BF0E31D00002087AE060000</t>
        </is>
      </c>
      <c r="C980" t="inlineStr">
        <is>
          <t>cmm4yuq9s03e2cuqws0cupjwv</t>
        </is>
      </c>
      <c r="D980" t="inlineStr">
        <is>
          <t>http://localhost:8787/api/admin/requirements/documents/cmm4yuq9s03e2cuqws0cupjwv/view</t>
        </is>
      </c>
      <c r="E980">
        <f>HYPERLÄNK("http://localhost:8787/api/admin/requirements/documents/cmm4yuq9s03e2cuqws0cupjwv/view";"Öppna PDF")</f>
        <v/>
      </c>
      <c r="F980">
        <f>HYPERLINK("http://localhost:8787/api/admin/requirements/documents/cmm4yuq9s03e2cuqws0cupjwv/view","Open PDF")</f>
        <v/>
      </c>
      <c r="G980" t="inlineStr">
        <is>
          <t>cmm55w57p0004cuisfrtpqly8</t>
        </is>
      </c>
      <c r="H980" t="inlineStr">
        <is>
          <t>Beslutsvillkor</t>
        </is>
      </c>
      <c r="I980" t="inlineStr">
        <is>
          <t>Riskhantering</t>
        </is>
      </c>
      <c r="J980" t="inlineStr">
        <is>
          <t>Riskkontroll</t>
        </is>
      </c>
      <c r="K980" t="inlineStr">
        <is>
          <t>Verksamhetskoder 90.60 gällande lagring av elektriska eller elektroniska produkter (inklusive kabel) samt batterier.</t>
        </is>
      </c>
      <c r="L980" t="inlineStr">
        <is>
          <t>Verksamhetskoder 90.60 gällande lagring av elektriska eller elektroniska produkter (inklusive kabel) samt batterier.</t>
        </is>
      </c>
      <c r="M980" t="inlineStr">
        <is>
          <t>SKA</t>
        </is>
      </c>
      <c r="N980" t="inlineStr"/>
      <c r="O980" t="inlineStr"/>
      <c r="P980" t="inlineStr"/>
      <c r="Q980" t="inlineStr"/>
      <c r="R980" t="inlineStr">
        <is>
          <t>Vid risk for incident</t>
        </is>
      </c>
      <c r="S980" t="inlineStr"/>
      <c r="T980" t="inlineStr">
        <is>
          <t>556569</t>
        </is>
      </c>
      <c r="U980" t="inlineStr"/>
      <c r="V980" t="inlineStr"/>
      <c r="W980" t="inlineStr">
        <is>
          <t>Nej</t>
        </is>
      </c>
      <c r="X980" t="inlineStr">
        <is>
          <t>Nej</t>
        </is>
      </c>
      <c r="Y980" t="inlineStr">
        <is>
          <t>Ja</t>
        </is>
      </c>
      <c r="Z980" t="inlineStr">
        <is>
          <t>Ja</t>
        </is>
      </c>
      <c r="AA980" t="n">
        <v>8</v>
      </c>
      <c r="AB980" t="inlineStr">
        <is>
          <t>Riskhantering</t>
        </is>
      </c>
      <c r="AC980" t="inlineStr">
        <is>
          <t>Risk-PM</t>
        </is>
      </c>
      <c r="AD980" t="inlineStr">
        <is>
          <t>Nej</t>
        </is>
      </c>
      <c r="AE980" t="inlineStr">
        <is>
          <t>Nej</t>
        </is>
      </c>
      <c r="AF980" t="inlineStr">
        <is>
          <t>Ej behandlad</t>
        </is>
      </c>
      <c r="AG980" t="inlineStr">
        <is>
          <t>AUTO_GENERERAD. Verifiera citat mot kallfil.</t>
        </is>
      </c>
      <c r="AH980" t="inlineStr">
        <is>
          <t>MEDIUM</t>
        </is>
      </c>
      <c r="AI980" t="inlineStr">
        <is>
          <t>AUTO</t>
        </is>
      </c>
      <c r="AJ980" t="inlineStr">
        <is>
          <t>Nej</t>
        </is>
      </c>
      <c r="AK980" t="inlineStr"/>
      <c r="AL980" t="inlineStr"/>
      <c r="AM980" t="inlineStr"/>
      <c r="AN980" t="inlineStr"/>
      <c r="AO980" t="inlineStr">
        <is>
          <t>cmm4yuqad03ekcuqwsjee53ix</t>
        </is>
      </c>
      <c r="AP980" t="inlineStr">
        <is>
          <t>http://localhost:8787/api/admin/requirements/documents/cmm4yuqad03ekcuqwsjee53ix/view</t>
        </is>
      </c>
      <c r="AQ980">
        <f>HYPERLÄNK("http://localhost:8787/api/admin/requirements/documents/cmm4yuqad03ekcuqwsjee53ix/view";"Öppna PDF")</f>
        <v/>
      </c>
      <c r="AR980">
        <f>HYPERLINK("http://localhost:8787/api/admin/requirements/documents/cmm4yuqad03ekcuqwsjee53ix/view","Open PDF")</f>
        <v/>
      </c>
      <c r="AS980" t="inlineStr">
        <is>
          <t>cmm55w57p0004cuisfrtpqly8</t>
        </is>
      </c>
      <c r="AT980" t="inlineStr">
        <is>
          <t>cmm4xvu980000cuh4vj0usz09</t>
        </is>
      </c>
      <c r="AU980" t="inlineStr">
        <is>
          <t>i Huddinge</t>
        </is>
      </c>
      <c r="AV980" t="inlineStr">
        <is>
          <t>Kommun</t>
        </is>
      </c>
      <c r="AW980" t="inlineStr">
        <is>
          <t>i Huddinge kommun</t>
        </is>
      </c>
      <c r="AX980" t="inlineStr">
        <is>
          <t>2025-03</t>
        </is>
      </c>
      <c r="AY980" t="inlineStr">
        <is>
          <t>Beslut</t>
        </is>
      </c>
      <c r="AZ980" t="inlineStr">
        <is>
          <t>2026-02-04</t>
        </is>
      </c>
      <c r="BA980" t="inlineStr">
        <is>
          <t>MILJ.2025.963.pdf</t>
        </is>
      </c>
      <c r="BB980" t="inlineStr">
        <is>
          <t>Sv: till registrator [2026SC9796]</t>
        </is>
      </c>
      <c r="BC980" t="inlineStr">
        <is>
          <t>AUTO</t>
        </is>
      </c>
      <c r="BD980" t="inlineStr"/>
      <c r="BE980" t="inlineStr"/>
      <c r="BF980" t="inlineStr">
        <is>
          <t>AUTO_GENERERAD. Bekrafta metadata mot kallfil.</t>
        </is>
      </c>
      <c r="BG980">
        <f>HYPERLINK("C:\Users\jimmy\Desktop\Examens arbete\Kod\Ny mapp\remix_-copy-of-miljöbeslut.se-portal\MILJ.2025.963.pdf", "Öppna PDF")</f>
        <v/>
      </c>
    </row>
    <row r="981">
      <c r="A981" t="inlineStr">
        <is>
          <t>KRAV-AUTO-000980</t>
        </is>
      </c>
      <c r="B981" t="inlineStr">
        <is>
          <t>ADMIN-INDEX-2026-02-27-00000000125C043F57453246863FE664CAFE6A3F0700950291EA24F0614FB6ACEDB12BF0E31D00000000010C0000950291EA24F0614FB6ACEDB12BF0E31D00002087AE060000</t>
        </is>
      </c>
      <c r="C981" t="inlineStr">
        <is>
          <t>cmm4yuq9s03e2cuqws0cupjwv</t>
        </is>
      </c>
      <c r="D981" t="inlineStr">
        <is>
          <t>http://localhost:8787/api/admin/requirements/documents/cmm4yuq9s03e2cuqws0cupjwv/view</t>
        </is>
      </c>
      <c r="E981">
        <f>HYPERLÄNK("http://localhost:8787/api/admin/requirements/documents/cmm4yuq9s03e2cuqws0cupjwv/view";"Öppna PDF")</f>
        <v/>
      </c>
      <c r="F981">
        <f>HYPERLINK("http://localhost:8787/api/admin/requirements/documents/cmm4yuq9s03e2cuqws0cupjwv/view","Open PDF")</f>
        <v/>
      </c>
      <c r="G981" t="inlineStr">
        <is>
          <t>cmm55w57p0004cuisfrtpqly8</t>
        </is>
      </c>
      <c r="H981" t="inlineStr">
        <is>
          <t>Beslutsvillkor</t>
        </is>
      </c>
      <c r="I981" t="inlineStr">
        <is>
          <t>Riskhantering</t>
        </is>
      </c>
      <c r="J981" t="inlineStr">
        <is>
          <t>Riskkontroll</t>
        </is>
      </c>
      <c r="K981" t="inlineStr">
        <is>
          <t>Nr 556569 2414) bedriver sedan 2023 återvinningsverksamhet med inriktning på återbruk (reuse) av elektriska och elektronisk utrustning på fastigheten LYFTKRANEN 2 i Huddinge kommun.</t>
        </is>
      </c>
      <c r="L981" t="inlineStr">
        <is>
          <t>Nr 556569 2414) bedriver sedan 2023 återvinningsverksamhet med inriktning på återbruk (reuse) av elektriska och elektronisk utrustning på fastigheten LYFTKRANEN 2 i Huddinge kommun.</t>
        </is>
      </c>
      <c r="M981" t="inlineStr">
        <is>
          <t>SKA</t>
        </is>
      </c>
      <c r="N981" t="inlineStr"/>
      <c r="O981" t="inlineStr"/>
      <c r="P981" t="inlineStr"/>
      <c r="Q981" t="inlineStr"/>
      <c r="R981" t="inlineStr">
        <is>
          <t>Vid risk for incident</t>
        </is>
      </c>
      <c r="S981" t="inlineStr"/>
      <c r="T981" t="inlineStr">
        <is>
          <t>556569</t>
        </is>
      </c>
      <c r="U981" t="inlineStr"/>
      <c r="V981" t="inlineStr"/>
      <c r="W981" t="inlineStr">
        <is>
          <t>Nej</t>
        </is>
      </c>
      <c r="X981" t="inlineStr">
        <is>
          <t>Nej</t>
        </is>
      </c>
      <c r="Y981" t="inlineStr">
        <is>
          <t>Ja</t>
        </is>
      </c>
      <c r="Z981" t="inlineStr">
        <is>
          <t>Ja</t>
        </is>
      </c>
      <c r="AA981" t="n">
        <v>8</v>
      </c>
      <c r="AB981" t="inlineStr">
        <is>
          <t>Riskhantering</t>
        </is>
      </c>
      <c r="AC981" t="inlineStr">
        <is>
          <t>Risk-PM</t>
        </is>
      </c>
      <c r="AD981" t="inlineStr">
        <is>
          <t>Nej</t>
        </is>
      </c>
      <c r="AE981" t="inlineStr">
        <is>
          <t>Nej</t>
        </is>
      </c>
      <c r="AF981" t="inlineStr">
        <is>
          <t>Ej behandlad</t>
        </is>
      </c>
      <c r="AG981" t="inlineStr">
        <is>
          <t>AUTO_GENERERAD. Verifiera citat mot kallfil.</t>
        </is>
      </c>
      <c r="AH981" t="inlineStr">
        <is>
          <t>MEDIUM</t>
        </is>
      </c>
      <c r="AI981" t="inlineStr">
        <is>
          <t>AUTO</t>
        </is>
      </c>
      <c r="AJ981" t="inlineStr">
        <is>
          <t>Nej</t>
        </is>
      </c>
      <c r="AK981" t="inlineStr"/>
      <c r="AL981" t="inlineStr"/>
      <c r="AM981" t="inlineStr"/>
      <c r="AN981" t="inlineStr"/>
      <c r="AO981" t="inlineStr">
        <is>
          <t>cmm4yuqad03ekcuqwsjee53ix</t>
        </is>
      </c>
      <c r="AP981" t="inlineStr">
        <is>
          <t>http://localhost:8787/api/admin/requirements/documents/cmm4yuqad03ekcuqwsjee53ix/view</t>
        </is>
      </c>
      <c r="AQ981">
        <f>HYPERLÄNK("http://localhost:8787/api/admin/requirements/documents/cmm4yuqad03ekcuqwsjee53ix/view";"Öppna PDF")</f>
        <v/>
      </c>
      <c r="AR981">
        <f>HYPERLINK("http://localhost:8787/api/admin/requirements/documents/cmm4yuqad03ekcuqwsjee53ix/view","Open PDF")</f>
        <v/>
      </c>
      <c r="AS981" t="inlineStr">
        <is>
          <t>cmm55w57p0004cuisfrtpqly8</t>
        </is>
      </c>
      <c r="AT981" t="inlineStr">
        <is>
          <t>cmm4xvu980000cuh4vj0usz09</t>
        </is>
      </c>
      <c r="AU981" t="inlineStr">
        <is>
          <t>i Huddinge</t>
        </is>
      </c>
      <c r="AV981" t="inlineStr">
        <is>
          <t>Kommun</t>
        </is>
      </c>
      <c r="AW981" t="inlineStr">
        <is>
          <t>i Huddinge kommun</t>
        </is>
      </c>
      <c r="AX981" t="inlineStr">
        <is>
          <t>2025-03</t>
        </is>
      </c>
      <c r="AY981" t="inlineStr">
        <is>
          <t>Beslut</t>
        </is>
      </c>
      <c r="AZ981" t="inlineStr">
        <is>
          <t>2026-02-04</t>
        </is>
      </c>
      <c r="BA981" t="inlineStr">
        <is>
          <t>MILJ.2025.963.pdf</t>
        </is>
      </c>
      <c r="BB981" t="inlineStr">
        <is>
          <t>Sv: till registrator [2026SC9796]</t>
        </is>
      </c>
      <c r="BC981" t="inlineStr">
        <is>
          <t>AUTO</t>
        </is>
      </c>
      <c r="BD981" t="inlineStr"/>
      <c r="BE981" t="inlineStr"/>
      <c r="BF981" t="inlineStr">
        <is>
          <t>AUTO_GENERERAD. Bekrafta metadata mot kallfil.</t>
        </is>
      </c>
      <c r="BG981">
        <f>HYPERLINK("C:\Users\jimmy\Desktop\Examens arbete\Kod\Ny mapp\remix_-copy-of-miljöbeslut.se-portal\MILJ.2025.963.pdf", "Öppna PDF")</f>
        <v/>
      </c>
    </row>
    <row r="982">
      <c r="A982" t="inlineStr">
        <is>
          <t>KRAV-AUTO-000981</t>
        </is>
      </c>
      <c r="B982" t="inlineStr">
        <is>
          <t>ADMIN-INDEX-2026-02-27-00000000125C043F57453246863FE664CAFE6A3F0700950291EA24F0614FB6ACEDB12BF0E31D00000000010C0000950291EA24F0614FB6ACEDB12BF0E31D00002087AE060000</t>
        </is>
      </c>
      <c r="C982" t="inlineStr">
        <is>
          <t>cmm4yuq9l03dwcuqwqxnsema7</t>
        </is>
      </c>
      <c r="D982" t="inlineStr">
        <is>
          <t>http://localhost:8787/api/admin/requirements/documents/cmm4yuq9l03dwcuqwqxnsema7/view</t>
        </is>
      </c>
      <c r="E982">
        <f>HYPERLÄNK("http://localhost:8787/api/admin/requirements/documents/cmm4yuq9l03dwcuqwqxnsema7/view";"Öppna PDF")</f>
        <v/>
      </c>
      <c r="F982">
        <f>HYPERLINK("http://localhost:8787/api/admin/requirements/documents/cmm4yuq9l03dwcuqwqxnsema7/view","Open PDF")</f>
        <v/>
      </c>
      <c r="G982" t="inlineStr">
        <is>
          <t>cmm55w57p0004cuisfrtpqly8</t>
        </is>
      </c>
      <c r="H982" t="inlineStr">
        <is>
          <t>Beslutsvillkor</t>
        </is>
      </c>
      <c r="I982" t="inlineStr">
        <is>
          <t>LagringsvolymTid</t>
        </is>
      </c>
      <c r="J982" t="inlineStr">
        <is>
          <t>Maxmangd</t>
        </is>
      </c>
      <c r="K982" t="inlineStr">
        <is>
          <t>Små mängder avfall från den egna verksamheten får transporteras utan tillstånd, men för det krävs anmälan till länsstyrelsen.</t>
        </is>
      </c>
      <c r="L982" t="inlineStr">
        <is>
          <t>Små mängder avfall från den egna verksamheten får transporteras utan tillstånd, men för det krävs anmälan till länsstyrelsen.</t>
        </is>
      </c>
      <c r="M982" t="inlineStr">
        <is>
          <t>SKA</t>
        </is>
      </c>
      <c r="N982" t="inlineStr"/>
      <c r="O982" t="inlineStr"/>
      <c r="P982" t="inlineStr"/>
      <c r="Q982" t="inlineStr"/>
      <c r="R982" t="inlineStr">
        <is>
          <t>Alltid</t>
        </is>
      </c>
      <c r="S982" t="inlineStr"/>
      <c r="T982" t="inlineStr"/>
      <c r="U982" t="inlineStr"/>
      <c r="V982" t="inlineStr"/>
      <c r="W982" t="inlineStr">
        <is>
          <t>Nej</t>
        </is>
      </c>
      <c r="X982" t="inlineStr">
        <is>
          <t>Nej</t>
        </is>
      </c>
      <c r="Y982" t="inlineStr">
        <is>
          <t>Nej</t>
        </is>
      </c>
      <c r="Z982" t="inlineStr">
        <is>
          <t>Nej</t>
        </is>
      </c>
      <c r="AA982" t="n">
        <v>4</v>
      </c>
      <c r="AB982" t="inlineStr">
        <is>
          <t>Avfallsmangder och lagringstid</t>
        </is>
      </c>
      <c r="AC982" t="inlineStr">
        <is>
          <t>Avfallsforteckning</t>
        </is>
      </c>
      <c r="AD982" t="inlineStr">
        <is>
          <t>Nej</t>
        </is>
      </c>
      <c r="AE982" t="inlineStr">
        <is>
          <t>Nej</t>
        </is>
      </c>
      <c r="AF982" t="inlineStr">
        <is>
          <t>Ej behandlad</t>
        </is>
      </c>
      <c r="AG982" t="inlineStr">
        <is>
          <t>AUTO_GENERERAD. Verifiera citat mot kallfil.</t>
        </is>
      </c>
      <c r="AH982" t="inlineStr">
        <is>
          <t>MEDIUM</t>
        </is>
      </c>
      <c r="AI982" t="inlineStr">
        <is>
          <t>AUTO</t>
        </is>
      </c>
      <c r="AJ982" t="inlineStr">
        <is>
          <t>Nej</t>
        </is>
      </c>
      <c r="AK982" t="inlineStr"/>
      <c r="AL982" t="inlineStr"/>
      <c r="AM982" t="inlineStr"/>
      <c r="AN982" t="inlineStr"/>
      <c r="AO982" t="inlineStr">
        <is>
          <t>cmm4yuqad03ekcuqwsjee53ix</t>
        </is>
      </c>
      <c r="AP982" t="inlineStr">
        <is>
          <t>http://localhost:8787/api/admin/requirements/documents/cmm4yuqad03ekcuqwsjee53ix/view</t>
        </is>
      </c>
      <c r="AQ982">
        <f>HYPERLÄNK("http://localhost:8787/api/admin/requirements/documents/cmm4yuqad03ekcuqwsjee53ix/view";"Öppna PDF")</f>
        <v/>
      </c>
      <c r="AR982">
        <f>HYPERLINK("http://localhost:8787/api/admin/requirements/documents/cmm4yuqad03ekcuqwsjee53ix/view","Open PDF")</f>
        <v/>
      </c>
      <c r="AS982" t="inlineStr">
        <is>
          <t>cmm55w57p0004cuisfrtpqly8</t>
        </is>
      </c>
      <c r="AT982" t="inlineStr">
        <is>
          <t>cmm4xvu980000cuh4vj0usz09</t>
        </is>
      </c>
      <c r="AU982" t="inlineStr">
        <is>
          <t>i Huddinge</t>
        </is>
      </c>
      <c r="AV982" t="inlineStr">
        <is>
          <t>Kommun</t>
        </is>
      </c>
      <c r="AW982" t="inlineStr">
        <is>
          <t>i Huddinge kommun</t>
        </is>
      </c>
      <c r="AX982" t="inlineStr">
        <is>
          <t>2025-03</t>
        </is>
      </c>
      <c r="AY982" t="inlineStr">
        <is>
          <t>Beslut</t>
        </is>
      </c>
      <c r="AZ982" t="inlineStr">
        <is>
          <t>2026-02-04</t>
        </is>
      </c>
      <c r="BA982" t="inlineStr">
        <is>
          <t>MILJ.2025.963.pdf</t>
        </is>
      </c>
      <c r="BB982" t="inlineStr">
        <is>
          <t>Sv: till registrator [2026SC9796]</t>
        </is>
      </c>
      <c r="BC982" t="inlineStr">
        <is>
          <t>AUTO</t>
        </is>
      </c>
      <c r="BD982" t="inlineStr"/>
      <c r="BE982" t="inlineStr"/>
      <c r="BF982" t="inlineStr">
        <is>
          <t>AUTO_GENERERAD. Bekrafta metadata mot kallfil.</t>
        </is>
      </c>
      <c r="BG982">
        <f>HYPERLINK("C:\Users\jimmy\Desktop\Examens arbete\Kod\Ny mapp\remix_-copy-of-miljöbeslut.se-portal\MILJ.2025.963.pdf", "Öppna PDF")</f>
        <v/>
      </c>
    </row>
    <row r="983">
      <c r="A983" t="inlineStr">
        <is>
          <t>KRAV-AUTO-000982</t>
        </is>
      </c>
      <c r="B983" t="inlineStr">
        <is>
          <t>ADMIN-INDEX-2026-02-27-00000000125C043F57453246863FE664CAFE6A3F0700950291EA24F0614FB6ACEDB12BF0E31D00000000010C0000950291EA24F0614FB6ACEDB12BF0E31D00002087AE060000</t>
        </is>
      </c>
      <c r="C983" t="inlineStr">
        <is>
          <t>cmm4yuq9l03dwcuqwqxnsema7</t>
        </is>
      </c>
      <c r="D983" t="inlineStr">
        <is>
          <t>http://localhost:8787/api/admin/requirements/documents/cmm4yuq9l03dwcuqwqxnsema7/view</t>
        </is>
      </c>
      <c r="E983">
        <f>HYPERLÄNK("http://localhost:8787/api/admin/requirements/documents/cmm4yuq9l03dwcuqwqxnsema7/view";"Öppna PDF")</f>
        <v/>
      </c>
      <c r="F983">
        <f>HYPERLINK("http://localhost:8787/api/admin/requirements/documents/cmm4yuq9l03dwcuqwqxnsema7/view","Open PDF")</f>
        <v/>
      </c>
      <c r="G983" t="inlineStr">
        <is>
          <t>cmm55w57p0004cuisfrtpqly8</t>
        </is>
      </c>
      <c r="H983" t="inlineStr">
        <is>
          <t>Beslutsvillkor</t>
        </is>
      </c>
      <c r="I983" t="inlineStr">
        <is>
          <t>TransportLogistik</t>
        </is>
      </c>
      <c r="J983" t="inlineStr">
        <is>
          <t>Transportvagar</t>
        </is>
      </c>
      <c r="K983" t="inlineStr">
        <is>
          <t>Vem transporterar bort avfallet?</t>
        </is>
      </c>
      <c r="L983" t="inlineStr">
        <is>
          <t>Vem transporterar bort avfallet?</t>
        </is>
      </c>
      <c r="M983" t="inlineStr">
        <is>
          <t>BOR</t>
        </is>
      </c>
      <c r="N983" t="inlineStr"/>
      <c r="O983" t="inlineStr"/>
      <c r="P983" t="inlineStr"/>
      <c r="Q983" t="inlineStr"/>
      <c r="R983" t="inlineStr">
        <is>
          <t>Vid transporter</t>
        </is>
      </c>
      <c r="S983" t="inlineStr"/>
      <c r="T983" t="inlineStr"/>
      <c r="U983" t="inlineStr"/>
      <c r="V983" t="inlineStr"/>
      <c r="W983" t="inlineStr">
        <is>
          <t>Nej</t>
        </is>
      </c>
      <c r="X983" t="inlineStr">
        <is>
          <t>Nej</t>
        </is>
      </c>
      <c r="Y983" t="inlineStr">
        <is>
          <t>Nej</t>
        </is>
      </c>
      <c r="Z983" t="inlineStr">
        <is>
          <t>Ja</t>
        </is>
      </c>
      <c r="AA983" t="n">
        <v>9</v>
      </c>
      <c r="AB983" t="inlineStr">
        <is>
          <t>Transporter och logistik</t>
        </is>
      </c>
      <c r="AC983" t="inlineStr">
        <is>
          <t>Trafikplan</t>
        </is>
      </c>
      <c r="AD983" t="inlineStr">
        <is>
          <t>Nej</t>
        </is>
      </c>
      <c r="AE983" t="inlineStr">
        <is>
          <t>Nej</t>
        </is>
      </c>
      <c r="AF983" t="inlineStr">
        <is>
          <t>Ej behandlad</t>
        </is>
      </c>
      <c r="AG983" t="inlineStr">
        <is>
          <t>AUTO_GENERERAD. Verifiera citat mot kallfil.</t>
        </is>
      </c>
      <c r="AH983" t="inlineStr">
        <is>
          <t>LOW</t>
        </is>
      </c>
      <c r="AI983" t="inlineStr">
        <is>
          <t>AUTO</t>
        </is>
      </c>
      <c r="AJ983" t="inlineStr">
        <is>
          <t>Nej</t>
        </is>
      </c>
      <c r="AK983" t="inlineStr"/>
      <c r="AL983" t="inlineStr"/>
      <c r="AM983" t="inlineStr"/>
      <c r="AN983" t="inlineStr"/>
      <c r="AO983" t="inlineStr">
        <is>
          <t>cmm4yuqad03ekcuqwsjee53ix</t>
        </is>
      </c>
      <c r="AP983" t="inlineStr">
        <is>
          <t>http://localhost:8787/api/admin/requirements/documents/cmm4yuqad03ekcuqwsjee53ix/view</t>
        </is>
      </c>
      <c r="AQ983">
        <f>HYPERLÄNK("http://localhost:8787/api/admin/requirements/documents/cmm4yuqad03ekcuqwsjee53ix/view";"Öppna PDF")</f>
        <v/>
      </c>
      <c r="AR983">
        <f>HYPERLINK("http://localhost:8787/api/admin/requirements/documents/cmm4yuqad03ekcuqwsjee53ix/view","Open PDF")</f>
        <v/>
      </c>
      <c r="AS983" t="inlineStr">
        <is>
          <t>cmm55w57p0004cuisfrtpqly8</t>
        </is>
      </c>
      <c r="AT983" t="inlineStr">
        <is>
          <t>cmm4xvu980000cuh4vj0usz09</t>
        </is>
      </c>
      <c r="AU983" t="inlineStr">
        <is>
          <t>i Huddinge</t>
        </is>
      </c>
      <c r="AV983" t="inlineStr">
        <is>
          <t>Kommun</t>
        </is>
      </c>
      <c r="AW983" t="inlineStr">
        <is>
          <t>i Huddinge kommun</t>
        </is>
      </c>
      <c r="AX983" t="inlineStr">
        <is>
          <t>2025-03</t>
        </is>
      </c>
      <c r="AY983" t="inlineStr">
        <is>
          <t>Beslut</t>
        </is>
      </c>
      <c r="AZ983" t="inlineStr">
        <is>
          <t>2026-02-04</t>
        </is>
      </c>
      <c r="BA983" t="inlineStr">
        <is>
          <t>MILJ.2025.963.pdf</t>
        </is>
      </c>
      <c r="BB983" t="inlineStr">
        <is>
          <t>Sv: till registrator [2026SC9796]</t>
        </is>
      </c>
      <c r="BC983" t="inlineStr">
        <is>
          <t>AUTO</t>
        </is>
      </c>
      <c r="BD983" t="inlineStr"/>
      <c r="BE983" t="inlineStr"/>
      <c r="BF983" t="inlineStr">
        <is>
          <t>AUTO_GENERERAD. Bekrafta metadata mot kallfil.</t>
        </is>
      </c>
      <c r="BG983">
        <f>HYPERLINK("C:\Users\jimmy\Desktop\Examens arbete\Kod\Ny mapp\remix_-copy-of-miljöbeslut.se-portal\MILJ.2025.963.pdf", "Öppna PDF")</f>
        <v/>
      </c>
    </row>
    <row r="984">
      <c r="A984" t="inlineStr">
        <is>
          <t>KRAV-AUTO-000983</t>
        </is>
      </c>
      <c r="B984" t="inlineStr">
        <is>
          <t>ADMIN-INDEX-2026-02-27-00000000125C043F57453246863FE664CAFE6A3F0700950291EA24F0614FB6ACEDB12BF0E31D00000000010C0000950291EA24F0614FB6ACEDB12BF0E31D00002087AE060000</t>
        </is>
      </c>
      <c r="C984" t="inlineStr">
        <is>
          <t>cmm4yuq9l03dwcuqwqxnsema7</t>
        </is>
      </c>
      <c r="D984" t="inlineStr">
        <is>
          <t>http://localhost:8787/api/admin/requirements/documents/cmm4yuq9l03dwcuqwqxnsema7/view</t>
        </is>
      </c>
      <c r="E984">
        <f>HYPERLÄNK("http://localhost:8787/api/admin/requirements/documents/cmm4yuq9l03dwcuqwqxnsema7/view";"Öppna PDF")</f>
        <v/>
      </c>
      <c r="F984">
        <f>HYPERLINK("http://localhost:8787/api/admin/requirements/documents/cmm4yuq9l03dwcuqwqxnsema7/view","Open PDF")</f>
        <v/>
      </c>
      <c r="G984" t="inlineStr">
        <is>
          <t>cmm55w57p0004cuisfrtpqly8</t>
        </is>
      </c>
      <c r="H984" t="inlineStr">
        <is>
          <t>Beslutsvillkor</t>
        </is>
      </c>
      <c r="I984" t="inlineStr">
        <is>
          <t>MiljopaverkanForsiktighet</t>
        </is>
      </c>
      <c r="J984" t="inlineStr">
        <is>
          <t>Skyddsatgarder</t>
        </is>
      </c>
      <c r="K984" t="inlineStr">
        <is>
          <t>Anmälan ska vara inlämnad senast sex veckor innan farligt avfall får tas emot.</t>
        </is>
      </c>
      <c r="L984" t="inlineStr">
        <is>
          <t>Anmälan ska vara inlämnad senast sex veckor innan farligt avfall får tas emot.</t>
        </is>
      </c>
      <c r="M984" t="inlineStr">
        <is>
          <t>SKA</t>
        </is>
      </c>
      <c r="N984" t="inlineStr"/>
      <c r="O984" t="inlineStr">
        <is>
          <t>senast sex veckor innan farligt avfal</t>
        </is>
      </c>
      <c r="P984" t="inlineStr">
        <is>
          <t>Arlig</t>
        </is>
      </c>
      <c r="Q984" t="inlineStr"/>
      <c r="R984" t="inlineStr">
        <is>
          <t>Alltid</t>
        </is>
      </c>
      <c r="S984" t="inlineStr"/>
      <c r="T984" t="inlineStr"/>
      <c r="U984" t="inlineStr"/>
      <c r="V984" t="inlineStr"/>
      <c r="W984" t="inlineStr">
        <is>
          <t>Nej</t>
        </is>
      </c>
      <c r="X984" t="inlineStr">
        <is>
          <t>Nej</t>
        </is>
      </c>
      <c r="Y984" t="inlineStr">
        <is>
          <t>Nej</t>
        </is>
      </c>
      <c r="Z984" t="inlineStr">
        <is>
          <t>Nej</t>
        </is>
      </c>
      <c r="AA984" t="n">
        <v>10</v>
      </c>
      <c r="AB984" t="inlineStr">
        <is>
          <t>Miljopaverkan och forsiktighetsmatt</t>
        </is>
      </c>
      <c r="AC984" t="inlineStr">
        <is>
          <t>Miljo-PM</t>
        </is>
      </c>
      <c r="AD984" t="inlineStr">
        <is>
          <t>Nej</t>
        </is>
      </c>
      <c r="AE984" t="inlineStr">
        <is>
          <t>Nej</t>
        </is>
      </c>
      <c r="AF984" t="inlineStr">
        <is>
          <t>Ej behandlad</t>
        </is>
      </c>
      <c r="AG984" t="inlineStr">
        <is>
          <t>AUTO_GENERERAD. Verifiera citat mot kallfil.</t>
        </is>
      </c>
      <c r="AH984" t="inlineStr">
        <is>
          <t>MEDIUM</t>
        </is>
      </c>
      <c r="AI984" t="inlineStr">
        <is>
          <t>AUTO</t>
        </is>
      </c>
      <c r="AJ984" t="inlineStr">
        <is>
          <t>Nej</t>
        </is>
      </c>
      <c r="AK984" t="inlineStr"/>
      <c r="AL984" t="inlineStr"/>
      <c r="AM984" t="inlineStr"/>
      <c r="AN984" t="inlineStr"/>
      <c r="AO984" t="inlineStr">
        <is>
          <t>cmm4yuqad03ekcuqwsjee53ix</t>
        </is>
      </c>
      <c r="AP984" t="inlineStr">
        <is>
          <t>http://localhost:8787/api/admin/requirements/documents/cmm4yuqad03ekcuqwsjee53ix/view</t>
        </is>
      </c>
      <c r="AQ984">
        <f>HYPERLÄNK("http://localhost:8787/api/admin/requirements/documents/cmm4yuqad03ekcuqwsjee53ix/view";"Öppna PDF")</f>
        <v/>
      </c>
      <c r="AR984">
        <f>HYPERLINK("http://localhost:8787/api/admin/requirements/documents/cmm4yuqad03ekcuqwsjee53ix/view","Open PDF")</f>
        <v/>
      </c>
      <c r="AS984" t="inlineStr">
        <is>
          <t>cmm55w57p0004cuisfrtpqly8</t>
        </is>
      </c>
      <c r="AT984" t="inlineStr">
        <is>
          <t>cmm4xvu980000cuh4vj0usz09</t>
        </is>
      </c>
      <c r="AU984" t="inlineStr">
        <is>
          <t>i Huddinge</t>
        </is>
      </c>
      <c r="AV984" t="inlineStr">
        <is>
          <t>Kommun</t>
        </is>
      </c>
      <c r="AW984" t="inlineStr">
        <is>
          <t>i Huddinge kommun</t>
        </is>
      </c>
      <c r="AX984" t="inlineStr">
        <is>
          <t>2025-03</t>
        </is>
      </c>
      <c r="AY984" t="inlineStr">
        <is>
          <t>Beslut</t>
        </is>
      </c>
      <c r="AZ984" t="inlineStr">
        <is>
          <t>2026-02-04</t>
        </is>
      </c>
      <c r="BA984" t="inlineStr">
        <is>
          <t>MILJ.2025.963.pdf</t>
        </is>
      </c>
      <c r="BB984" t="inlineStr">
        <is>
          <t>Sv: till registrator [2026SC9796]</t>
        </is>
      </c>
      <c r="BC984" t="inlineStr">
        <is>
          <t>AUTO</t>
        </is>
      </c>
      <c r="BD984" t="inlineStr"/>
      <c r="BE984" t="inlineStr"/>
      <c r="BF984" t="inlineStr">
        <is>
          <t>AUTO_GENERERAD. Bekrafta metadata mot kallfil.</t>
        </is>
      </c>
      <c r="BG984">
        <f>HYPERLINK("C:\Users\jimmy\Desktop\Examens arbete\Kod\Ny mapp\remix_-copy-of-miljöbeslut.se-portal\MILJ.2025.963.pdf", "Öppna PDF")</f>
        <v/>
      </c>
    </row>
    <row r="985">
      <c r="A985" t="inlineStr">
        <is>
          <t>KRAV-AUTO-000984</t>
        </is>
      </c>
      <c r="B985" t="inlineStr">
        <is>
          <t>ADMIN-INDEX-2026-02-27-00000000125C043F57453246863FE664CAFE6A3F0700950291EA24F0614FB6ACEDB12BF0E31D00000000010C0000950291EA24F0614FB6ACEDB12BF0E31D00002087AE060000</t>
        </is>
      </c>
      <c r="C985" t="inlineStr">
        <is>
          <t>cmm4yuq9g03dqcuqw036g23j1</t>
        </is>
      </c>
      <c r="D985" t="inlineStr">
        <is>
          <t>http://localhost:8787/api/admin/requirements/documents/cmm4yuq9g03dqcuqw036g23j1/view</t>
        </is>
      </c>
      <c r="E985">
        <f>HYPERLÄNK("http://localhost:8787/api/admin/requirements/documents/cmm4yuq9g03dqcuqw036g23j1/view";"Öppna PDF")</f>
        <v/>
      </c>
      <c r="F985">
        <f>HYPERLINK("http://localhost:8787/api/admin/requirements/documents/cmm4yuq9g03dqcuqw036g23j1/view","Open PDF")</f>
        <v/>
      </c>
      <c r="G985" t="inlineStr">
        <is>
          <t>cmm55w57p0004cuisfrtpqly8</t>
        </is>
      </c>
      <c r="H985" t="inlineStr">
        <is>
          <t>Beslutsvillkor</t>
        </is>
      </c>
      <c r="I985" t="inlineStr">
        <is>
          <t>LagringsvolymTid</t>
        </is>
      </c>
      <c r="J985" t="inlineStr">
        <is>
          <t>Maxmangd</t>
        </is>
      </c>
      <c r="K985" t="inlineStr">
        <is>
          <t>Ragn-Sells uppskattar att cirka 50 ton tomma tryckbehållare kommer hanteras årligen.</t>
        </is>
      </c>
      <c r="L985" t="inlineStr">
        <is>
          <t>Ragn-Sells uppskattar att cirka 50 ton tomma tryckbehållare kommer hanteras årligen.</t>
        </is>
      </c>
      <c r="M985" t="inlineStr">
        <is>
          <t>SKA</t>
        </is>
      </c>
      <c r="N985" t="inlineStr"/>
      <c r="O985" t="inlineStr"/>
      <c r="P985" t="inlineStr">
        <is>
          <t>Arlig</t>
        </is>
      </c>
      <c r="Q985" t="inlineStr"/>
      <c r="R985" t="inlineStr">
        <is>
          <t>Alltid</t>
        </is>
      </c>
      <c r="S985" t="inlineStr"/>
      <c r="T985" t="inlineStr">
        <is>
          <t>556057</t>
        </is>
      </c>
      <c r="U985" t="n">
        <v>50</v>
      </c>
      <c r="V985" t="inlineStr"/>
      <c r="W985" t="inlineStr">
        <is>
          <t>Nej</t>
        </is>
      </c>
      <c r="X985" t="inlineStr">
        <is>
          <t>Nej</t>
        </is>
      </c>
      <c r="Y985" t="inlineStr">
        <is>
          <t>Nej</t>
        </is>
      </c>
      <c r="Z985" t="inlineStr">
        <is>
          <t>Nej</t>
        </is>
      </c>
      <c r="AA985" t="n">
        <v>4</v>
      </c>
      <c r="AB985" t="inlineStr">
        <is>
          <t>Avfallsmangder och lagringstid</t>
        </is>
      </c>
      <c r="AC985" t="inlineStr">
        <is>
          <t>Avfallsforteckning</t>
        </is>
      </c>
      <c r="AD985" t="inlineStr">
        <is>
          <t>Nej</t>
        </is>
      </c>
      <c r="AE985" t="inlineStr">
        <is>
          <t>Nej</t>
        </is>
      </c>
      <c r="AF985" t="inlineStr">
        <is>
          <t>Ej behandlad</t>
        </is>
      </c>
      <c r="AG985" t="inlineStr">
        <is>
          <t>AUTO_GENERERAD. Verifiera citat mot kallfil.</t>
        </is>
      </c>
      <c r="AH985" t="inlineStr">
        <is>
          <t>MEDIUM</t>
        </is>
      </c>
      <c r="AI985" t="inlineStr">
        <is>
          <t>AUTO</t>
        </is>
      </c>
      <c r="AJ985" t="inlineStr">
        <is>
          <t>Nej</t>
        </is>
      </c>
      <c r="AK985" t="inlineStr"/>
      <c r="AL985" t="inlineStr"/>
      <c r="AM985" t="inlineStr"/>
      <c r="AN985" t="inlineStr"/>
      <c r="AO985" t="inlineStr">
        <is>
          <t>cmm4yuqad03ekcuqwsjee53ix</t>
        </is>
      </c>
      <c r="AP985" t="inlineStr">
        <is>
          <t>http://localhost:8787/api/admin/requirements/documents/cmm4yuqad03ekcuqwsjee53ix/view</t>
        </is>
      </c>
      <c r="AQ985">
        <f>HYPERLÄNK("http://localhost:8787/api/admin/requirements/documents/cmm4yuqad03ekcuqwsjee53ix/view";"Öppna PDF")</f>
        <v/>
      </c>
      <c r="AR985">
        <f>HYPERLINK("http://localhost:8787/api/admin/requirements/documents/cmm4yuqad03ekcuqwsjee53ix/view","Open PDF")</f>
        <v/>
      </c>
      <c r="AS985" t="inlineStr">
        <is>
          <t>cmm55w57p0004cuisfrtpqly8</t>
        </is>
      </c>
      <c r="AT985" t="inlineStr">
        <is>
          <t>cmm4xvu980000cuh4vj0usz09</t>
        </is>
      </c>
      <c r="AU985" t="inlineStr">
        <is>
          <t>i Huddinge</t>
        </is>
      </c>
      <c r="AV985" t="inlineStr">
        <is>
          <t>Kommun</t>
        </is>
      </c>
      <c r="AW985" t="inlineStr">
        <is>
          <t>i Huddinge kommun</t>
        </is>
      </c>
      <c r="AX985" t="inlineStr">
        <is>
          <t>2025-03</t>
        </is>
      </c>
      <c r="AY985" t="inlineStr">
        <is>
          <t>Beslut</t>
        </is>
      </c>
      <c r="AZ985" t="inlineStr">
        <is>
          <t>2026-02-04</t>
        </is>
      </c>
      <c r="BA985" t="inlineStr">
        <is>
          <t>MILJ.2025.963.pdf</t>
        </is>
      </c>
      <c r="BB985" t="inlineStr">
        <is>
          <t>Sv: till registrator [2026SC9796]</t>
        </is>
      </c>
      <c r="BC985" t="inlineStr">
        <is>
          <t>AUTO</t>
        </is>
      </c>
      <c r="BD985" t="inlineStr"/>
      <c r="BE985" t="inlineStr"/>
      <c r="BF985" t="inlineStr">
        <is>
          <t>AUTO_GENERERAD. Bekrafta metadata mot kallfil.</t>
        </is>
      </c>
      <c r="BG985">
        <f>HYPERLINK("C:\Users\jimmy\Desktop\Examens arbete\Kod\Ny mapp\remix_-copy-of-miljöbeslut.se-portal\MILJ.2025.963.pdf", "Öppna PDF")</f>
        <v/>
      </c>
    </row>
    <row r="986">
      <c r="A986" t="inlineStr">
        <is>
          <t>KRAV-AUTO-000985</t>
        </is>
      </c>
      <c r="B986" t="inlineStr">
        <is>
          <t>ADMIN-INDEX-2026-02-27-00000000125C043F57453246863FE664CAFE6A3F0700950291EA24F0614FB6ACEDB12BF0E31D00000000010C0000950291EA24F0614FB6ACEDB12BF0E31D00002087AE060000</t>
        </is>
      </c>
      <c r="C986" t="inlineStr">
        <is>
          <t>cmm4yuq9g03dqcuqw036g23j1</t>
        </is>
      </c>
      <c r="D986" t="inlineStr">
        <is>
          <t>http://localhost:8787/api/admin/requirements/documents/cmm4yuq9g03dqcuqw036g23j1/view</t>
        </is>
      </c>
      <c r="E986">
        <f>HYPERLÄNK("http://localhost:8787/api/admin/requirements/documents/cmm4yuq9g03dqcuqw036g23j1/view";"Öppna PDF")</f>
        <v/>
      </c>
      <c r="F986">
        <f>HYPERLINK("http://localhost:8787/api/admin/requirements/documents/cmm4yuq9g03dqcuqw036g23j1/view","Open PDF")</f>
        <v/>
      </c>
      <c r="G986" t="inlineStr">
        <is>
          <t>cmm55w57p0004cuisfrtpqly8</t>
        </is>
      </c>
      <c r="H986" t="inlineStr">
        <is>
          <t>Beslutsvillkor</t>
        </is>
      </c>
      <c r="I986" t="inlineStr">
        <is>
          <t>MiljopaverkanForsiktighet</t>
        </is>
      </c>
      <c r="J986" t="inlineStr">
        <is>
          <t>Skyddsatgarder</t>
        </is>
      </c>
      <c r="K986" t="inlineStr">
        <is>
          <t>1 § Avfallsförordningen (AF) ska avfallsinnehavaren välja den kod som bäst beskriver avfallet.</t>
        </is>
      </c>
      <c r="L986" t="inlineStr">
        <is>
          <t>1 § Avfallsförordningen (AF) ska avfallsinnehavaren välja den kod som bäst beskriver avfallet.</t>
        </is>
      </c>
      <c r="M986" t="inlineStr">
        <is>
          <t>SKA</t>
        </is>
      </c>
      <c r="N986" t="inlineStr"/>
      <c r="O986" t="inlineStr"/>
      <c r="P986" t="inlineStr"/>
      <c r="Q986" t="inlineStr"/>
      <c r="R986" t="inlineStr">
        <is>
          <t>Alltid</t>
        </is>
      </c>
      <c r="S986" t="inlineStr"/>
      <c r="T986" t="inlineStr">
        <is>
          <t>556057</t>
        </is>
      </c>
      <c r="U986" t="inlineStr"/>
      <c r="V986" t="inlineStr"/>
      <c r="W986" t="inlineStr">
        <is>
          <t>Nej</t>
        </is>
      </c>
      <c r="X986" t="inlineStr">
        <is>
          <t>Nej</t>
        </is>
      </c>
      <c r="Y986" t="inlineStr">
        <is>
          <t>Nej</t>
        </is>
      </c>
      <c r="Z986" t="inlineStr">
        <is>
          <t>Nej</t>
        </is>
      </c>
      <c r="AA986" t="n">
        <v>10</v>
      </c>
      <c r="AB986" t="inlineStr">
        <is>
          <t>Miljopaverkan och forsiktighetsmatt</t>
        </is>
      </c>
      <c r="AC986" t="inlineStr">
        <is>
          <t>Miljo-PM</t>
        </is>
      </c>
      <c r="AD986" t="inlineStr">
        <is>
          <t>Nej</t>
        </is>
      </c>
      <c r="AE986" t="inlineStr">
        <is>
          <t>Nej</t>
        </is>
      </c>
      <c r="AF986" t="inlineStr">
        <is>
          <t>Ej behandlad</t>
        </is>
      </c>
      <c r="AG986" t="inlineStr">
        <is>
          <t>AUTO_GENERERAD. Verifiera citat mot kallfil.</t>
        </is>
      </c>
      <c r="AH986" t="inlineStr">
        <is>
          <t>MEDIUM</t>
        </is>
      </c>
      <c r="AI986" t="inlineStr">
        <is>
          <t>AUTO</t>
        </is>
      </c>
      <c r="AJ986" t="inlineStr">
        <is>
          <t>Nej</t>
        </is>
      </c>
      <c r="AK986" t="inlineStr"/>
      <c r="AL986" t="inlineStr"/>
      <c r="AM986" t="inlineStr"/>
      <c r="AN986" t="inlineStr"/>
      <c r="AO986" t="inlineStr">
        <is>
          <t>cmm4yuqad03ekcuqwsjee53ix</t>
        </is>
      </c>
      <c r="AP986" t="inlineStr">
        <is>
          <t>http://localhost:8787/api/admin/requirements/documents/cmm4yuqad03ekcuqwsjee53ix/view</t>
        </is>
      </c>
      <c r="AQ986">
        <f>HYPERLÄNK("http://localhost:8787/api/admin/requirements/documents/cmm4yuqad03ekcuqwsjee53ix/view";"Öppna PDF")</f>
        <v/>
      </c>
      <c r="AR986">
        <f>HYPERLINK("http://localhost:8787/api/admin/requirements/documents/cmm4yuqad03ekcuqwsjee53ix/view","Open PDF")</f>
        <v/>
      </c>
      <c r="AS986" t="inlineStr">
        <is>
          <t>cmm55w57p0004cuisfrtpqly8</t>
        </is>
      </c>
      <c r="AT986" t="inlineStr">
        <is>
          <t>cmm4xvu980000cuh4vj0usz09</t>
        </is>
      </c>
      <c r="AU986" t="inlineStr">
        <is>
          <t>i Huddinge</t>
        </is>
      </c>
      <c r="AV986" t="inlineStr">
        <is>
          <t>Kommun</t>
        </is>
      </c>
      <c r="AW986" t="inlineStr">
        <is>
          <t>i Huddinge kommun</t>
        </is>
      </c>
      <c r="AX986" t="inlineStr">
        <is>
          <t>2025-03</t>
        </is>
      </c>
      <c r="AY986" t="inlineStr">
        <is>
          <t>Beslut</t>
        </is>
      </c>
      <c r="AZ986" t="inlineStr">
        <is>
          <t>2026-02-04</t>
        </is>
      </c>
      <c r="BA986" t="inlineStr">
        <is>
          <t>MILJ.2025.963.pdf</t>
        </is>
      </c>
      <c r="BB986" t="inlineStr">
        <is>
          <t>Sv: till registrator [2026SC9796]</t>
        </is>
      </c>
      <c r="BC986" t="inlineStr">
        <is>
          <t>AUTO</t>
        </is>
      </c>
      <c r="BD986" t="inlineStr"/>
      <c r="BE986" t="inlineStr"/>
      <c r="BF986" t="inlineStr">
        <is>
          <t>AUTO_GENERERAD. Bekrafta metadata mot kallfil.</t>
        </is>
      </c>
      <c r="BG986">
        <f>HYPERLINK("C:\Users\jimmy\Desktop\Examens arbete\Kod\Ny mapp\remix_-copy-of-miljöbeslut.se-portal\MILJ.2025.963.pdf", "Öppna PDF")</f>
        <v/>
      </c>
    </row>
    <row r="987">
      <c r="A987" t="inlineStr">
        <is>
          <t>KRAV-AUTO-000986</t>
        </is>
      </c>
      <c r="B987" t="inlineStr">
        <is>
          <t>ADMIN-INDEX-2026-02-27-00000000125C043F57453246863FE664CAFE6A3F0700950291EA24F0614FB6ACEDB12BF0E31D00000000010C0000950291EA24F0614FB6ACEDB12BF0E31D00002087AE060000</t>
        </is>
      </c>
      <c r="C987" t="inlineStr">
        <is>
          <t>cmm4yuq9g03dqcuqw036g23j1</t>
        </is>
      </c>
      <c r="D987" t="inlineStr">
        <is>
          <t>http://localhost:8787/api/admin/requirements/documents/cmm4yuq9g03dqcuqw036g23j1/view</t>
        </is>
      </c>
      <c r="E987">
        <f>HYPERLÄNK("http://localhost:8787/api/admin/requirements/documents/cmm4yuq9g03dqcuqw036g23j1/view";"Öppna PDF")</f>
        <v/>
      </c>
      <c r="F987">
        <f>HYPERLINK("http://localhost:8787/api/admin/requirements/documents/cmm4yuq9g03dqcuqw036g23j1/view","Open PDF")</f>
        <v/>
      </c>
      <c r="G987" t="inlineStr">
        <is>
          <t>cmm55w57p0004cuisfrtpqly8</t>
        </is>
      </c>
      <c r="H987" t="inlineStr">
        <is>
          <t>Beslutsvillkor</t>
        </is>
      </c>
      <c r="I987" t="inlineStr">
        <is>
          <t>MiljopaverkanForsiktighet</t>
        </is>
      </c>
      <c r="J987" t="inlineStr">
        <is>
          <t>Skyddsatgarder</t>
        </is>
      </c>
      <c r="K987" t="inlineStr">
        <is>
          <t>Tryckbehållare innehållandes vätska/gas klassas som farligt avfall enligt Avfallsförordningen (SFS 2011:927).</t>
        </is>
      </c>
      <c r="L987" t="inlineStr">
        <is>
          <t>Tryckbehållare innehållandes vätska/gas klassas som farligt avfall enligt Avfallsförordningen (SFS 2011:927).</t>
        </is>
      </c>
      <c r="M987" t="inlineStr">
        <is>
          <t>SKA</t>
        </is>
      </c>
      <c r="N987" t="inlineStr"/>
      <c r="O987" t="inlineStr"/>
      <c r="P987" t="inlineStr">
        <is>
          <t>Arlig</t>
        </is>
      </c>
      <c r="Q987" t="inlineStr"/>
      <c r="R987" t="inlineStr">
        <is>
          <t>Alltid</t>
        </is>
      </c>
      <c r="S987" t="inlineStr"/>
      <c r="T987" t="inlineStr">
        <is>
          <t>556057</t>
        </is>
      </c>
      <c r="U987" t="inlineStr"/>
      <c r="V987" t="inlineStr"/>
      <c r="W987" t="inlineStr">
        <is>
          <t>Nej</t>
        </is>
      </c>
      <c r="X987" t="inlineStr">
        <is>
          <t>Nej</t>
        </is>
      </c>
      <c r="Y987" t="inlineStr">
        <is>
          <t>Nej</t>
        </is>
      </c>
      <c r="Z987" t="inlineStr">
        <is>
          <t>Nej</t>
        </is>
      </c>
      <c r="AA987" t="n">
        <v>10</v>
      </c>
      <c r="AB987" t="inlineStr">
        <is>
          <t>Miljopaverkan och forsiktighetsmatt</t>
        </is>
      </c>
      <c r="AC987" t="inlineStr">
        <is>
          <t>Miljo-PM</t>
        </is>
      </c>
      <c r="AD987" t="inlineStr">
        <is>
          <t>Nej</t>
        </is>
      </c>
      <c r="AE987" t="inlineStr">
        <is>
          <t>Nej</t>
        </is>
      </c>
      <c r="AF987" t="inlineStr">
        <is>
          <t>Ej behandlad</t>
        </is>
      </c>
      <c r="AG987" t="inlineStr">
        <is>
          <t>AUTO_GENERERAD. Verifiera citat mot kallfil.</t>
        </is>
      </c>
      <c r="AH987" t="inlineStr">
        <is>
          <t>MEDIUM</t>
        </is>
      </c>
      <c r="AI987" t="inlineStr">
        <is>
          <t>AUTO</t>
        </is>
      </c>
      <c r="AJ987" t="inlineStr">
        <is>
          <t>Nej</t>
        </is>
      </c>
      <c r="AK987" t="inlineStr"/>
      <c r="AL987" t="inlineStr"/>
      <c r="AM987" t="inlineStr"/>
      <c r="AN987" t="inlineStr"/>
      <c r="AO987" t="inlineStr">
        <is>
          <t>cmm4yuqad03ekcuqwsjee53ix</t>
        </is>
      </c>
      <c r="AP987" t="inlineStr">
        <is>
          <t>http://localhost:8787/api/admin/requirements/documents/cmm4yuqad03ekcuqwsjee53ix/view</t>
        </is>
      </c>
      <c r="AQ987">
        <f>HYPERLÄNK("http://localhost:8787/api/admin/requirements/documents/cmm4yuqad03ekcuqwsjee53ix/view";"Öppna PDF")</f>
        <v/>
      </c>
      <c r="AR987">
        <f>HYPERLINK("http://localhost:8787/api/admin/requirements/documents/cmm4yuqad03ekcuqwsjee53ix/view","Open PDF")</f>
        <v/>
      </c>
      <c r="AS987" t="inlineStr">
        <is>
          <t>cmm55w57p0004cuisfrtpqly8</t>
        </is>
      </c>
      <c r="AT987" t="inlineStr">
        <is>
          <t>cmm4xvu980000cuh4vj0usz09</t>
        </is>
      </c>
      <c r="AU987" t="inlineStr">
        <is>
          <t>i Huddinge</t>
        </is>
      </c>
      <c r="AV987" t="inlineStr">
        <is>
          <t>Kommun</t>
        </is>
      </c>
      <c r="AW987" t="inlineStr">
        <is>
          <t>i Huddinge kommun</t>
        </is>
      </c>
      <c r="AX987" t="inlineStr">
        <is>
          <t>2025-03</t>
        </is>
      </c>
      <c r="AY987" t="inlineStr">
        <is>
          <t>Beslut</t>
        </is>
      </c>
      <c r="AZ987" t="inlineStr">
        <is>
          <t>2026-02-04</t>
        </is>
      </c>
      <c r="BA987" t="inlineStr">
        <is>
          <t>MILJ.2025.963.pdf</t>
        </is>
      </c>
      <c r="BB987" t="inlineStr">
        <is>
          <t>Sv: till registrator [2026SC9796]</t>
        </is>
      </c>
      <c r="BC987" t="inlineStr">
        <is>
          <t>AUTO</t>
        </is>
      </c>
      <c r="BD987" t="inlineStr"/>
      <c r="BE987" t="inlineStr"/>
      <c r="BF987" t="inlineStr">
        <is>
          <t>AUTO_GENERERAD. Bekrafta metadata mot kallfil.</t>
        </is>
      </c>
      <c r="BG987">
        <f>HYPERLINK("C:\Users\jimmy\Desktop\Examens arbete\Kod\Ny mapp\remix_-copy-of-miljöbeslut.se-portal\MILJ.2025.963.pdf", "Öppna PDF")</f>
        <v/>
      </c>
    </row>
    <row r="988">
      <c r="A988" t="inlineStr">
        <is>
          <t>KRAV-AUTO-000987</t>
        </is>
      </c>
      <c r="B988" t="inlineStr">
        <is>
          <t>ADMIN-INDEX-2026-02-27-00000000125C043F57453246863FE664CAFE6A3F0700950291EA24F0614FB6ACEDB12BF0E31D00000000010C0000950291EA24F0614FB6ACEDB12BF0E31D00002087AE070000</t>
        </is>
      </c>
      <c r="C988" t="inlineStr">
        <is>
          <t>cmm4yuq9b03dkcuqwlaf5fap0</t>
        </is>
      </c>
      <c r="D988" t="inlineStr">
        <is>
          <t>http://localhost:8787/api/admin/requirements/documents/cmm4yuq9b03dkcuqwlaf5fap0/view</t>
        </is>
      </c>
      <c r="E988">
        <f>HYPERLÄNK("http://localhost:8787/api/admin/requirements/documents/cmm4yuq9b03dkcuqwlaf5fap0/view";"Öppna PDF")</f>
        <v/>
      </c>
      <c r="F988">
        <f>HYPERLINK("http://localhost:8787/api/admin/requirements/documents/cmm4yuq9b03dkcuqwlaf5fap0/view","Open PDF")</f>
        <v/>
      </c>
      <c r="G988" t="inlineStr">
        <is>
          <t>cmm55w57p0004cuisfrtpqly8</t>
        </is>
      </c>
      <c r="H988" t="inlineStr">
        <is>
          <t>Beslutsvillkor</t>
        </is>
      </c>
      <c r="I988" t="inlineStr">
        <is>
          <t>DagvattenLakvatten</t>
        </is>
      </c>
      <c r="J988" t="inlineStr">
        <is>
          <t>Uppsamling</t>
        </is>
      </c>
      <c r="K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88" t="inlineStr">
        <is>
          <t>SKA</t>
        </is>
      </c>
      <c r="N988" t="inlineStr">
        <is>
          <t>FMH</t>
        </is>
      </c>
      <c r="O988" t="inlineStr"/>
      <c r="P988" t="inlineStr">
        <is>
          <t>Arlig</t>
        </is>
      </c>
      <c r="Q988" t="inlineStr"/>
      <c r="R988" t="inlineStr">
        <is>
          <t>Vid nederbord och avrinning</t>
        </is>
      </c>
      <c r="S988" t="inlineStr"/>
      <c r="T988" t="inlineStr">
        <is>
          <t>03 2025</t>
        </is>
      </c>
      <c r="U988" t="inlineStr"/>
      <c r="V988" t="inlineStr"/>
      <c r="W988" t="inlineStr">
        <is>
          <t>Nej</t>
        </is>
      </c>
      <c r="X988" t="inlineStr">
        <is>
          <t>Ja</t>
        </is>
      </c>
      <c r="Y988" t="inlineStr">
        <is>
          <t>Ja</t>
        </is>
      </c>
      <c r="Z988" t="inlineStr">
        <is>
          <t>Nej</t>
        </is>
      </c>
      <c r="AA988" t="n">
        <v>6</v>
      </c>
      <c r="AB988" t="inlineStr">
        <is>
          <t>Lakvattenhantering</t>
        </is>
      </c>
      <c r="AC988" t="inlineStr">
        <is>
          <t>Flodesschema dagvatten-lakvatten</t>
        </is>
      </c>
      <c r="AD988" t="inlineStr">
        <is>
          <t>Nej</t>
        </is>
      </c>
      <c r="AE988" t="inlineStr">
        <is>
          <t>Nej</t>
        </is>
      </c>
      <c r="AF988" t="inlineStr">
        <is>
          <t>Ej behandlad</t>
        </is>
      </c>
      <c r="AG988" t="inlineStr">
        <is>
          <t>AUTO_GENERERAD. Verifiera citat mot kallfil.</t>
        </is>
      </c>
      <c r="AH988" t="inlineStr">
        <is>
          <t>HIGH</t>
        </is>
      </c>
      <c r="AI988" t="inlineStr">
        <is>
          <t>AUTO</t>
        </is>
      </c>
      <c r="AJ988" t="inlineStr">
        <is>
          <t>Nej</t>
        </is>
      </c>
      <c r="AK988" t="inlineStr"/>
      <c r="AL988" t="inlineStr"/>
      <c r="AM988" t="inlineStr"/>
      <c r="AN988" t="inlineStr"/>
      <c r="AO988" t="inlineStr">
        <is>
          <t>cmm4yuq9d03dncuqwwomqoxjw</t>
        </is>
      </c>
      <c r="AP988" t="inlineStr">
        <is>
          <t>http://localhost:8787/api/admin/requirements/documents/cmm4yuq9d03dncuqwwomqoxjw/view</t>
        </is>
      </c>
      <c r="AQ988">
        <f>HYPERLÄNK("http://localhost:8787/api/admin/requirements/documents/cmm4yuq9d03dncuqwwomqoxjw/view";"Öppna PDF")</f>
        <v/>
      </c>
      <c r="AR988">
        <f>HYPERLINK("http://localhost:8787/api/admin/requirements/documents/cmm4yuq9d03dncuqwwomqoxjw/view","Open PDF")</f>
        <v/>
      </c>
      <c r="AS988" t="inlineStr">
        <is>
          <t>cmm55w57p0004cuisfrtpqly8</t>
        </is>
      </c>
      <c r="AT988" t="inlineStr">
        <is>
          <t>cmm4xvu980000cuh4vj0usz09</t>
        </is>
      </c>
      <c r="AU988" t="inlineStr"/>
      <c r="AV988" t="inlineStr">
        <is>
          <t>Kommun</t>
        </is>
      </c>
      <c r="AW988" t="inlineStr"/>
      <c r="AX988" t="inlineStr">
        <is>
          <t>2025-07</t>
        </is>
      </c>
      <c r="AY988" t="inlineStr">
        <is>
          <t>Beslut</t>
        </is>
      </c>
      <c r="AZ988" t="inlineStr">
        <is>
          <t>2026-02-04</t>
        </is>
      </c>
      <c r="BA988" t="inlineStr">
        <is>
          <t>MN-2025-421-Sv_ Fyllnadsmassor Arvidsjaur 5_14.pdf</t>
        </is>
      </c>
      <c r="BB988" t="inlineStr">
        <is>
          <t>Sv: till registrator</t>
        </is>
      </c>
      <c r="BC988" t="inlineStr">
        <is>
          <t>AUTO</t>
        </is>
      </c>
      <c r="BD988" t="inlineStr"/>
      <c r="BE988" t="inlineStr"/>
      <c r="BF988" t="inlineStr">
        <is>
          <t>AUTO_GENERERAD. Bekrafta metadata mot kallfil.</t>
        </is>
      </c>
      <c r="BG988">
        <f>HYPERLINK("C:\Users\jimmy\Desktop\Examens arbete\Kod\Ny mapp\remix_-copy-of-miljöbeslut.se-portal\MN-2025-421-Sv_ Fyllnadsmassor Arvidsjaur 5_14.pdf", "Öppna PDF")</f>
        <v/>
      </c>
    </row>
    <row r="989">
      <c r="A989" t="inlineStr">
        <is>
          <t>KRAV-AUTO-000988</t>
        </is>
      </c>
      <c r="B989" t="inlineStr">
        <is>
          <t>ADMIN-INDEX-2026-02-27-00000000125C043F57453246863FE664CAFE6A3F0700950291EA24F0614FB6ACEDB12BF0E31D00000000010C0000950291EA24F0614FB6ACEDB12BF0E31D00002087AE070000</t>
        </is>
      </c>
      <c r="C989" t="inlineStr">
        <is>
          <t>cmm4yuq9b03dkcuqwlaf5fap0</t>
        </is>
      </c>
      <c r="D989" t="inlineStr">
        <is>
          <t>http://localhost:8787/api/admin/requirements/documents/cmm4yuq9b03dkcuqwlaf5fap0/view</t>
        </is>
      </c>
      <c r="E989">
        <f>HYPERLÄNK("http://localhost:8787/api/admin/requirements/documents/cmm4yuq9b03dkcuqwlaf5fap0/view";"Öppna PDF")</f>
        <v/>
      </c>
      <c r="F989">
        <f>HYPERLINK("http://localhost:8787/api/admin/requirements/documents/cmm4yuq9b03dkcuqwlaf5fap0/view","Open PDF")</f>
        <v/>
      </c>
      <c r="G989" t="inlineStr">
        <is>
          <t>cmm55w57p0004cuisfrtpqly8</t>
        </is>
      </c>
      <c r="H989" t="inlineStr">
        <is>
          <t>Beslutsvillkor</t>
        </is>
      </c>
      <c r="I989" t="inlineStr">
        <is>
          <t>Riskhantering</t>
        </is>
      </c>
      <c r="J989" t="inlineStr">
        <is>
          <t>Riskkontroll</t>
        </is>
      </c>
      <c r="K989" t="inlineStr">
        <is>
          <t>Massorna som används som utfyllnadsmaterial ska vara fria från brandrester.</t>
        </is>
      </c>
      <c r="L989" t="inlineStr">
        <is>
          <t>Massorna som används som utfyllnadsmaterial ska vara fria från brandrester.</t>
        </is>
      </c>
      <c r="M989" t="inlineStr">
        <is>
          <t>SKA</t>
        </is>
      </c>
      <c r="N989" t="inlineStr"/>
      <c r="O989" t="inlineStr"/>
      <c r="P989" t="inlineStr"/>
      <c r="Q989" t="inlineStr"/>
      <c r="R989" t="inlineStr">
        <is>
          <t>Vid risk for incident</t>
        </is>
      </c>
      <c r="S989" t="inlineStr"/>
      <c r="T989" t="inlineStr">
        <is>
          <t>03 2025</t>
        </is>
      </c>
      <c r="U989" t="inlineStr"/>
      <c r="V989" t="inlineStr"/>
      <c r="W989" t="inlineStr">
        <is>
          <t>Nej</t>
        </is>
      </c>
      <c r="X989" t="inlineStr">
        <is>
          <t>Nej</t>
        </is>
      </c>
      <c r="Y989" t="inlineStr">
        <is>
          <t>Ja</t>
        </is>
      </c>
      <c r="Z989" t="inlineStr">
        <is>
          <t>Ja</t>
        </is>
      </c>
      <c r="AA989" t="n">
        <v>8</v>
      </c>
      <c r="AB989" t="inlineStr">
        <is>
          <t>Riskhantering</t>
        </is>
      </c>
      <c r="AC989" t="inlineStr">
        <is>
          <t>Risk-PM</t>
        </is>
      </c>
      <c r="AD989" t="inlineStr">
        <is>
          <t>Nej</t>
        </is>
      </c>
      <c r="AE989" t="inlineStr">
        <is>
          <t>Nej</t>
        </is>
      </c>
      <c r="AF989" t="inlineStr">
        <is>
          <t>Ej behandlad</t>
        </is>
      </c>
      <c r="AG989" t="inlineStr">
        <is>
          <t>AUTO_GENERERAD. Verifiera citat mot kallfil.</t>
        </is>
      </c>
      <c r="AH989" t="inlineStr">
        <is>
          <t>MEDIUM</t>
        </is>
      </c>
      <c r="AI989" t="inlineStr">
        <is>
          <t>AUTO</t>
        </is>
      </c>
      <c r="AJ989" t="inlineStr">
        <is>
          <t>Nej</t>
        </is>
      </c>
      <c r="AK989" t="inlineStr"/>
      <c r="AL989" t="inlineStr"/>
      <c r="AM989" t="inlineStr"/>
      <c r="AN989" t="inlineStr"/>
      <c r="AO989" t="inlineStr">
        <is>
          <t>cmm4yuq9d03dncuqwwomqoxjw</t>
        </is>
      </c>
      <c r="AP989" t="inlineStr">
        <is>
          <t>http://localhost:8787/api/admin/requirements/documents/cmm4yuq9d03dncuqwwomqoxjw/view</t>
        </is>
      </c>
      <c r="AQ989">
        <f>HYPERLÄNK("http://localhost:8787/api/admin/requirements/documents/cmm4yuq9d03dncuqwwomqoxjw/view";"Öppna PDF")</f>
        <v/>
      </c>
      <c r="AR989">
        <f>HYPERLINK("http://localhost:8787/api/admin/requirements/documents/cmm4yuq9d03dncuqwwomqoxjw/view","Open PDF")</f>
        <v/>
      </c>
      <c r="AS989" t="inlineStr">
        <is>
          <t>cmm55w57p0004cuisfrtpqly8</t>
        </is>
      </c>
      <c r="AT989" t="inlineStr">
        <is>
          <t>cmm4xvu980000cuh4vj0usz09</t>
        </is>
      </c>
      <c r="AU989" t="inlineStr"/>
      <c r="AV989" t="inlineStr">
        <is>
          <t>Kommun</t>
        </is>
      </c>
      <c r="AW989" t="inlineStr"/>
      <c r="AX989" t="inlineStr">
        <is>
          <t>2025-07</t>
        </is>
      </c>
      <c r="AY989" t="inlineStr">
        <is>
          <t>Beslut</t>
        </is>
      </c>
      <c r="AZ989" t="inlineStr">
        <is>
          <t>2026-02-04</t>
        </is>
      </c>
      <c r="BA989" t="inlineStr">
        <is>
          <t>MN-2025-421-Sv_ Fyllnadsmassor Arvidsjaur 5_14.pdf</t>
        </is>
      </c>
      <c r="BB989" t="inlineStr">
        <is>
          <t>Sv: till registrator</t>
        </is>
      </c>
      <c r="BC989" t="inlineStr">
        <is>
          <t>AUTO</t>
        </is>
      </c>
      <c r="BD989" t="inlineStr"/>
      <c r="BE989" t="inlineStr"/>
      <c r="BF989" t="inlineStr">
        <is>
          <t>AUTO_GENERERAD. Bekrafta metadata mot kallfil.</t>
        </is>
      </c>
      <c r="BG989">
        <f>HYPERLINK("C:\Users\jimmy\Desktop\Examens arbete\Kod\Ny mapp\remix_-copy-of-miljöbeslut.se-portal\MN-2025-421-Sv_ Fyllnadsmassor Arvidsjaur 5_14.pdf", "Öppna PDF")</f>
        <v/>
      </c>
    </row>
    <row r="990">
      <c r="A990" t="inlineStr">
        <is>
          <t>KRAV-AUTO-000989</t>
        </is>
      </c>
      <c r="B990" t="inlineStr">
        <is>
          <t>ADMIN-INDEX-2026-02-27-00000000125C043F57453246863FE664CAFE6A3F0700950291EA24F0614FB6ACEDB12BF0E31D00000000010C0000950291EA24F0614FB6ACEDB12BF0E31D00002087AE070000</t>
        </is>
      </c>
      <c r="C990" t="inlineStr">
        <is>
          <t>cmm4yuq9b03dkcuqwlaf5fap0</t>
        </is>
      </c>
      <c r="D990" t="inlineStr">
        <is>
          <t>http://localhost:8787/api/admin/requirements/documents/cmm4yuq9b03dkcuqwlaf5fap0/view</t>
        </is>
      </c>
      <c r="E990">
        <f>HYPERLÄNK("http://localhost:8787/api/admin/requirements/documents/cmm4yuq9b03dkcuqwlaf5fap0/view";"Öppna PDF")</f>
        <v/>
      </c>
      <c r="F990">
        <f>HYPERLINK("http://localhost:8787/api/admin/requirements/documents/cmm4yuq9b03dkcuqwlaf5fap0/view","Open PDF")</f>
        <v/>
      </c>
      <c r="G990" t="inlineStr">
        <is>
          <t>cmm55w57p0004cuisfrtpqly8</t>
        </is>
      </c>
      <c r="H990" t="inlineStr">
        <is>
          <t>Beslutsvillkor</t>
        </is>
      </c>
      <c r="I990" t="inlineStr">
        <is>
          <t>Riskhantering</t>
        </is>
      </c>
      <c r="J990" t="inlineStr">
        <is>
          <t>Riskkontroll</t>
        </is>
      </c>
      <c r="K990" t="inlineStr">
        <is>
          <t>Om brandrester påträffas ska dessa sorteras ut och lämnas för deponering på godkänd anläggning.</t>
        </is>
      </c>
      <c r="L990" t="inlineStr">
        <is>
          <t>Om brandrester påträffas ska dessa sorteras ut och lämnas för deponering på godkänd anläggning.</t>
        </is>
      </c>
      <c r="M990" t="inlineStr">
        <is>
          <t>SKA</t>
        </is>
      </c>
      <c r="N990" t="inlineStr"/>
      <c r="O990" t="inlineStr"/>
      <c r="P990" t="inlineStr"/>
      <c r="Q990" t="inlineStr"/>
      <c r="R990" t="inlineStr">
        <is>
          <t>Vid risk for incident</t>
        </is>
      </c>
      <c r="S990" t="inlineStr"/>
      <c r="T990" t="inlineStr">
        <is>
          <t>03 2025</t>
        </is>
      </c>
      <c r="U990" t="inlineStr"/>
      <c r="V990" t="inlineStr"/>
      <c r="W990" t="inlineStr">
        <is>
          <t>Nej</t>
        </is>
      </c>
      <c r="X990" t="inlineStr">
        <is>
          <t>Nej</t>
        </is>
      </c>
      <c r="Y990" t="inlineStr">
        <is>
          <t>Ja</t>
        </is>
      </c>
      <c r="Z990" t="inlineStr">
        <is>
          <t>Ja</t>
        </is>
      </c>
      <c r="AA990" t="n">
        <v>8</v>
      </c>
      <c r="AB990" t="inlineStr">
        <is>
          <t>Riskhantering</t>
        </is>
      </c>
      <c r="AC990" t="inlineStr">
        <is>
          <t>Risk-PM</t>
        </is>
      </c>
      <c r="AD990" t="inlineStr">
        <is>
          <t>Nej</t>
        </is>
      </c>
      <c r="AE990" t="inlineStr">
        <is>
          <t>Nej</t>
        </is>
      </c>
      <c r="AF990" t="inlineStr">
        <is>
          <t>Ej behandlad</t>
        </is>
      </c>
      <c r="AG990" t="inlineStr">
        <is>
          <t>AUTO_GENERERAD. Verifiera citat mot kallfil.</t>
        </is>
      </c>
      <c r="AH990" t="inlineStr">
        <is>
          <t>MEDIUM</t>
        </is>
      </c>
      <c r="AI990" t="inlineStr">
        <is>
          <t>AUTO</t>
        </is>
      </c>
      <c r="AJ990" t="inlineStr">
        <is>
          <t>Nej</t>
        </is>
      </c>
      <c r="AK990" t="inlineStr"/>
      <c r="AL990" t="inlineStr"/>
      <c r="AM990" t="inlineStr"/>
      <c r="AN990" t="inlineStr"/>
      <c r="AO990" t="inlineStr">
        <is>
          <t>cmm4yuq9d03dncuqwwomqoxjw</t>
        </is>
      </c>
      <c r="AP990" t="inlineStr">
        <is>
          <t>http://localhost:8787/api/admin/requirements/documents/cmm4yuq9d03dncuqwwomqoxjw/view</t>
        </is>
      </c>
      <c r="AQ990">
        <f>HYPERLÄNK("http://localhost:8787/api/admin/requirements/documents/cmm4yuq9d03dncuqwwomqoxjw/view";"Öppna PDF")</f>
        <v/>
      </c>
      <c r="AR990">
        <f>HYPERLINK("http://localhost:8787/api/admin/requirements/documents/cmm4yuq9d03dncuqwwomqoxjw/view","Open PDF")</f>
        <v/>
      </c>
      <c r="AS990" t="inlineStr">
        <is>
          <t>cmm55w57p0004cuisfrtpqly8</t>
        </is>
      </c>
      <c r="AT990" t="inlineStr">
        <is>
          <t>cmm4xvu980000cuh4vj0usz09</t>
        </is>
      </c>
      <c r="AU990" t="inlineStr"/>
      <c r="AV990" t="inlineStr">
        <is>
          <t>Kommun</t>
        </is>
      </c>
      <c r="AW990" t="inlineStr"/>
      <c r="AX990" t="inlineStr">
        <is>
          <t>2025-07</t>
        </is>
      </c>
      <c r="AY990" t="inlineStr">
        <is>
          <t>Beslut</t>
        </is>
      </c>
      <c r="AZ990" t="inlineStr">
        <is>
          <t>2026-02-04</t>
        </is>
      </c>
      <c r="BA990" t="inlineStr">
        <is>
          <t>MN-2025-421-Sv_ Fyllnadsmassor Arvidsjaur 5_14.pdf</t>
        </is>
      </c>
      <c r="BB990" t="inlineStr">
        <is>
          <t>Sv: till registrator</t>
        </is>
      </c>
      <c r="BC990" t="inlineStr">
        <is>
          <t>AUTO</t>
        </is>
      </c>
      <c r="BD990" t="inlineStr"/>
      <c r="BE990" t="inlineStr"/>
      <c r="BF990" t="inlineStr">
        <is>
          <t>AUTO_GENERERAD. Bekrafta metadata mot kallfil.</t>
        </is>
      </c>
      <c r="BG990">
        <f>HYPERLINK("C:\Users\jimmy\Desktop\Examens arbete\Kod\Ny mapp\remix_-copy-of-miljöbeslut.se-portal\MN-2025-421-Sv_ Fyllnadsmassor Arvidsjaur 5_14.pdf", "Öppna PDF")</f>
        <v/>
      </c>
    </row>
    <row r="991">
      <c r="A991" t="inlineStr">
        <is>
          <t>KRAV-AUTO-000990</t>
        </is>
      </c>
      <c r="B991" t="inlineStr">
        <is>
          <t>ADMIN-INDEX-2026-02-27-00000000125C043F57453246863FE664CAFE6A3F0700950291EA24F0614FB6ACEDB12BF0E31D00000000010C0000950291EA24F0614FB6ACEDB12BF0E31D00002087AE070000</t>
        </is>
      </c>
      <c r="C991" t="inlineStr">
        <is>
          <t>cmm4yuq9403decuqw4guwv4pv</t>
        </is>
      </c>
      <c r="D991" t="inlineStr">
        <is>
          <t>http://localhost:8787/api/admin/requirements/documents/cmm4yuq9403decuqw4guwv4pv/view</t>
        </is>
      </c>
      <c r="E991">
        <f>HYPERLÄNK("http://localhost:8787/api/admin/requirements/documents/cmm4yuq9403decuqw4guwv4pv/view";"Öppna PDF")</f>
        <v/>
      </c>
      <c r="F991">
        <f>HYPERLINK("http://localhost:8787/api/admin/requirements/documents/cmm4yuq9403decuqw4guwv4pv/view","Open PDF")</f>
        <v/>
      </c>
      <c r="G991" t="inlineStr">
        <is>
          <t>cmm55w57p0004cuisfrtpqly8</t>
        </is>
      </c>
      <c r="H991" t="inlineStr">
        <is>
          <t>Informationskrav</t>
        </is>
      </c>
      <c r="I991" t="inlineStr">
        <is>
          <t>DagvattenLakvatten</t>
        </is>
      </c>
      <c r="J991" t="inlineStr">
        <is>
          <t>Uppsamling</t>
        </is>
      </c>
      <c r="K991" t="inlineStr">
        <is>
          <t>Föroreningsrisken avgör om du måste göra en anmälan Det som avgör om en anmälan krävs eller inte är risken för förorening av mark, vattenområde eller grundvatten.</t>
        </is>
      </c>
      <c r="L991" t="inlineStr">
        <is>
          <t>Föroreningsrisken avgör om du måste göra en anmälan Det som avgör om en anmälan krävs eller inte är risken för förorening av mark, vattenområde eller grundvatten.</t>
        </is>
      </c>
      <c r="M991" t="inlineStr">
        <is>
          <t>SKA</t>
        </is>
      </c>
      <c r="N991" t="inlineStr"/>
      <c r="O991" t="inlineStr"/>
      <c r="P991" t="inlineStr"/>
      <c r="Q991" t="inlineStr"/>
      <c r="R991" t="inlineStr">
        <is>
          <t>Vid nederbord och avrinning</t>
        </is>
      </c>
      <c r="S991" t="inlineStr"/>
      <c r="T991" t="inlineStr">
        <is>
          <t>797000</t>
        </is>
      </c>
      <c r="U991" t="inlineStr"/>
      <c r="V991" t="inlineStr"/>
      <c r="W991" t="inlineStr">
        <is>
          <t>Nej</t>
        </is>
      </c>
      <c r="X991" t="inlineStr">
        <is>
          <t>Ja</t>
        </is>
      </c>
      <c r="Y991" t="inlineStr">
        <is>
          <t>Ja</t>
        </is>
      </c>
      <c r="Z991" t="inlineStr">
        <is>
          <t>Nej</t>
        </is>
      </c>
      <c r="AA991" t="n">
        <v>6</v>
      </c>
      <c r="AB991" t="inlineStr">
        <is>
          <t>Lakvattenhantering</t>
        </is>
      </c>
      <c r="AC991" t="inlineStr">
        <is>
          <t>Flodesschema dagvatten-lakvatten</t>
        </is>
      </c>
      <c r="AD991" t="inlineStr">
        <is>
          <t>Nej</t>
        </is>
      </c>
      <c r="AE991" t="inlineStr">
        <is>
          <t>Nej</t>
        </is>
      </c>
      <c r="AF991" t="inlineStr">
        <is>
          <t>Ej behandlad</t>
        </is>
      </c>
      <c r="AG991" t="inlineStr">
        <is>
          <t>AUTO_GENERERAD. Verifiera citat mot kallfil.</t>
        </is>
      </c>
      <c r="AH991" t="inlineStr">
        <is>
          <t>MEDIUM</t>
        </is>
      </c>
      <c r="AI991" t="inlineStr">
        <is>
          <t>AUTO</t>
        </is>
      </c>
      <c r="AJ991" t="inlineStr">
        <is>
          <t>Nej</t>
        </is>
      </c>
      <c r="AK991" t="inlineStr"/>
      <c r="AL991" t="inlineStr"/>
      <c r="AM991" t="inlineStr"/>
      <c r="AN991" t="inlineStr"/>
      <c r="AO991" t="inlineStr">
        <is>
          <t>cmm4yuq9d03dncuqwwomqoxjw</t>
        </is>
      </c>
      <c r="AP991" t="inlineStr">
        <is>
          <t>http://localhost:8787/api/admin/requirements/documents/cmm4yuq9d03dncuqwwomqoxjw/view</t>
        </is>
      </c>
      <c r="AQ991">
        <f>HYPERLÄNK("http://localhost:8787/api/admin/requirements/documents/cmm4yuq9d03dncuqwwomqoxjw/view";"Öppna PDF")</f>
        <v/>
      </c>
      <c r="AR991">
        <f>HYPERLINK("http://localhost:8787/api/admin/requirements/documents/cmm4yuq9d03dncuqwwomqoxjw/view","Open PDF")</f>
        <v/>
      </c>
      <c r="AS991" t="inlineStr">
        <is>
          <t>cmm55w57p0004cuisfrtpqly8</t>
        </is>
      </c>
      <c r="AT991" t="inlineStr">
        <is>
          <t>cmm4xvu980000cuh4vj0usz09</t>
        </is>
      </c>
      <c r="AU991" t="inlineStr"/>
      <c r="AV991" t="inlineStr">
        <is>
          <t>Kommun</t>
        </is>
      </c>
      <c r="AW991" t="inlineStr"/>
      <c r="AX991" t="inlineStr">
        <is>
          <t>2025-07</t>
        </is>
      </c>
      <c r="AY991" t="inlineStr">
        <is>
          <t>Beslut</t>
        </is>
      </c>
      <c r="AZ991" t="inlineStr">
        <is>
          <t>2026-02-04</t>
        </is>
      </c>
      <c r="BA991" t="inlineStr">
        <is>
          <t>MN-2025-421-Sv_ Fyllnadsmassor Arvidsjaur 5_14.pdf</t>
        </is>
      </c>
      <c r="BB991" t="inlineStr">
        <is>
          <t>Sv: till registrator</t>
        </is>
      </c>
      <c r="BC991" t="inlineStr">
        <is>
          <t>AUTO</t>
        </is>
      </c>
      <c r="BD991" t="inlineStr"/>
      <c r="BE991" t="inlineStr"/>
      <c r="BF991" t="inlineStr">
        <is>
          <t>AUTO_GENERERAD. Bekrafta metadata mot kallfil.</t>
        </is>
      </c>
      <c r="BG991">
        <f>HYPERLINK("C:\Users\jimmy\Desktop\Examens arbete\Kod\Ny mapp\remix_-copy-of-miljöbeslut.se-portal\MN-2025-421-Sv_ Fyllnadsmassor Arvidsjaur 5_14.pdf", "Öppna PDF")</f>
        <v/>
      </c>
    </row>
    <row r="992">
      <c r="A992" t="inlineStr">
        <is>
          <t>KRAV-AUTO-000991</t>
        </is>
      </c>
      <c r="B992" t="inlineStr">
        <is>
          <t>ADMIN-INDEX-2026-02-27-00000000125C043F57453246863FE664CAFE6A3F0700950291EA24F0614FB6ACEDB12BF0E31D00000000010C0000950291EA24F0614FB6ACEDB12BF0E31D00002087AE070000</t>
        </is>
      </c>
      <c r="C992" t="inlineStr">
        <is>
          <t>cmm4yuq9403decuqw4guwv4pv</t>
        </is>
      </c>
      <c r="D992" t="inlineStr">
        <is>
          <t>http://localhost:8787/api/admin/requirements/documents/cmm4yuq9403decuqw4guwv4pv/view</t>
        </is>
      </c>
      <c r="E992">
        <f>HYPERLÄNK("http://localhost:8787/api/admin/requirements/documents/cmm4yuq9403decuqw4guwv4pv/view";"Öppna PDF")</f>
        <v/>
      </c>
      <c r="F992">
        <f>HYPERLINK("http://localhost:8787/api/admin/requirements/documents/cmm4yuq9403decuqw4guwv4pv/view","Open PDF")</f>
        <v/>
      </c>
      <c r="G992" t="inlineStr">
        <is>
          <t>cmm55w57p0004cuisfrtpqly8</t>
        </is>
      </c>
      <c r="H992" t="inlineStr">
        <is>
          <t>Informationskrav</t>
        </is>
      </c>
      <c r="I992" t="inlineStr">
        <is>
          <t>DagvattenLakvatten</t>
        </is>
      </c>
      <c r="J992" t="inlineStr">
        <is>
          <t>Uppsamling</t>
        </is>
      </c>
      <c r="K992" t="inlineStr">
        <is>
          <t>Om föroreningsrisken bedöms som ringa ska en anmälan lämnas till miljö-, bygg- och hälsoskyddsnämnden.</t>
        </is>
      </c>
      <c r="L992" t="inlineStr">
        <is>
          <t>Om föroreningsrisken bedöms som ringa ska en anmälan lämnas till miljö-, bygg- och hälsoskyddsnämnden.</t>
        </is>
      </c>
      <c r="M992" t="inlineStr">
        <is>
          <t>SKA</t>
        </is>
      </c>
      <c r="N992" t="inlineStr"/>
      <c r="O992" t="inlineStr"/>
      <c r="P992" t="inlineStr"/>
      <c r="Q992" t="inlineStr"/>
      <c r="R992" t="inlineStr">
        <is>
          <t>Vid nederbord och avrinning</t>
        </is>
      </c>
      <c r="S992" t="inlineStr"/>
      <c r="T992" t="inlineStr">
        <is>
          <t>797000</t>
        </is>
      </c>
      <c r="U992" t="inlineStr"/>
      <c r="V992" t="inlineStr"/>
      <c r="W992" t="inlineStr">
        <is>
          <t>Nej</t>
        </is>
      </c>
      <c r="X992" t="inlineStr">
        <is>
          <t>Ja</t>
        </is>
      </c>
      <c r="Y992" t="inlineStr">
        <is>
          <t>Ja</t>
        </is>
      </c>
      <c r="Z992" t="inlineStr">
        <is>
          <t>Nej</t>
        </is>
      </c>
      <c r="AA992" t="n">
        <v>6</v>
      </c>
      <c r="AB992" t="inlineStr">
        <is>
          <t>Lakvattenhantering</t>
        </is>
      </c>
      <c r="AC992" t="inlineStr">
        <is>
          <t>Flodesschema dagvatten-lakvatten</t>
        </is>
      </c>
      <c r="AD992" t="inlineStr">
        <is>
          <t>Nej</t>
        </is>
      </c>
      <c r="AE992" t="inlineStr">
        <is>
          <t>Nej</t>
        </is>
      </c>
      <c r="AF992" t="inlineStr">
        <is>
          <t>Ej behandlad</t>
        </is>
      </c>
      <c r="AG992" t="inlineStr">
        <is>
          <t>AUTO_GENERERAD. Verifiera citat mot kallfil.</t>
        </is>
      </c>
      <c r="AH992" t="inlineStr">
        <is>
          <t>MEDIUM</t>
        </is>
      </c>
      <c r="AI992" t="inlineStr">
        <is>
          <t>AUTO</t>
        </is>
      </c>
      <c r="AJ992" t="inlineStr">
        <is>
          <t>Nej</t>
        </is>
      </c>
      <c r="AK992" t="inlineStr"/>
      <c r="AL992" t="inlineStr"/>
      <c r="AM992" t="inlineStr"/>
      <c r="AN992" t="inlineStr"/>
      <c r="AO992" t="inlineStr">
        <is>
          <t>cmm4yuq9d03dncuqwwomqoxjw</t>
        </is>
      </c>
      <c r="AP992" t="inlineStr">
        <is>
          <t>http://localhost:8787/api/admin/requirements/documents/cmm4yuq9d03dncuqwwomqoxjw/view</t>
        </is>
      </c>
      <c r="AQ992">
        <f>HYPERLÄNK("http://localhost:8787/api/admin/requirements/documents/cmm4yuq9d03dncuqwwomqoxjw/view";"Öppna PDF")</f>
        <v/>
      </c>
      <c r="AR992">
        <f>HYPERLINK("http://localhost:8787/api/admin/requirements/documents/cmm4yuq9d03dncuqwwomqoxjw/view","Open PDF")</f>
        <v/>
      </c>
      <c r="AS992" t="inlineStr">
        <is>
          <t>cmm55w57p0004cuisfrtpqly8</t>
        </is>
      </c>
      <c r="AT992" t="inlineStr">
        <is>
          <t>cmm4xvu980000cuh4vj0usz09</t>
        </is>
      </c>
      <c r="AU992" t="inlineStr"/>
      <c r="AV992" t="inlineStr">
        <is>
          <t>Kommun</t>
        </is>
      </c>
      <c r="AW992" t="inlineStr"/>
      <c r="AX992" t="inlineStr">
        <is>
          <t>2025-07</t>
        </is>
      </c>
      <c r="AY992" t="inlineStr">
        <is>
          <t>Beslut</t>
        </is>
      </c>
      <c r="AZ992" t="inlineStr">
        <is>
          <t>2026-02-04</t>
        </is>
      </c>
      <c r="BA992" t="inlineStr">
        <is>
          <t>MN-2025-421-Sv_ Fyllnadsmassor Arvidsjaur 5_14.pdf</t>
        </is>
      </c>
      <c r="BB992" t="inlineStr">
        <is>
          <t>Sv: till registrator</t>
        </is>
      </c>
      <c r="BC992" t="inlineStr">
        <is>
          <t>AUTO</t>
        </is>
      </c>
      <c r="BD992" t="inlineStr"/>
      <c r="BE992" t="inlineStr"/>
      <c r="BF992" t="inlineStr">
        <is>
          <t>AUTO_GENERERAD. Bekrafta metadata mot kallfil.</t>
        </is>
      </c>
      <c r="BG992">
        <f>HYPERLINK("C:\Users\jimmy\Desktop\Examens arbete\Kod\Ny mapp\remix_-copy-of-miljöbeslut.se-portal\MN-2025-421-Sv_ Fyllnadsmassor Arvidsjaur 5_14.pdf", "Öppna PDF")</f>
        <v/>
      </c>
    </row>
    <row r="993">
      <c r="A993" t="inlineStr">
        <is>
          <t>KRAV-AUTO-000992</t>
        </is>
      </c>
      <c r="B993" t="inlineStr">
        <is>
          <t>ADMIN-INDEX-2026-02-27-00000000125C043F57453246863FE664CAFE6A3F0700950291EA24F0614FB6ACEDB12BF0E31D00000000010C0000950291EA24F0614FB6ACEDB12BF0E31D00002087AE070000</t>
        </is>
      </c>
      <c r="C993" t="inlineStr">
        <is>
          <t>cmm4yuq9403decuqw4guwv4pv</t>
        </is>
      </c>
      <c r="D993" t="inlineStr">
        <is>
          <t>http://localhost:8787/api/admin/requirements/documents/cmm4yuq9403decuqw4guwv4pv/view</t>
        </is>
      </c>
      <c r="E993">
        <f>HYPERLÄNK("http://localhost:8787/api/admin/requirements/documents/cmm4yuq9403decuqw4guwv4pv/view";"Öppna PDF")</f>
        <v/>
      </c>
      <c r="F993">
        <f>HYPERLINK("http://localhost:8787/api/admin/requirements/documents/cmm4yuq9403decuqw4guwv4pv/view","Open PDF")</f>
        <v/>
      </c>
      <c r="G993" t="inlineStr">
        <is>
          <t>cmm55w57p0004cuisfrtpqly8</t>
        </is>
      </c>
      <c r="H993" t="inlineStr">
        <is>
          <t>Informationskrav</t>
        </is>
      </c>
      <c r="I993" t="inlineStr">
        <is>
          <t>DagvattenLakvatten</t>
        </is>
      </c>
      <c r="J993" t="inlineStr">
        <is>
          <t>Uppsamling</t>
        </is>
      </c>
      <c r="K993" t="inlineStr">
        <is>
          <t>Om föroreningsrisken bedöms som mer än ringa krävs tillstånd av länsstyrelsen Om det inte finns någon föroreningsrisk krävs ingen anmälan (samråd, strandskydds- dispens och/eller marklov kan dock ändå vara aktuellt, se nedan).</t>
        </is>
      </c>
      <c r="L993" t="inlineStr">
        <is>
          <t>Om föroreningsrisken bedöms som mer än ringa krävs tillstånd av länsstyrelsen Om det inte finns någon föroreningsrisk krävs ingen anmälan (samråd, strandskydds- dispens och/eller marklov kan dock ändå vara aktuellt, se nedan).</t>
        </is>
      </c>
      <c r="M993" t="inlineStr">
        <is>
          <t>SKA</t>
        </is>
      </c>
      <c r="N993" t="inlineStr"/>
      <c r="O993" t="inlineStr"/>
      <c r="P993" t="inlineStr"/>
      <c r="Q993" t="inlineStr"/>
      <c r="R993" t="inlineStr">
        <is>
          <t>Vid nederbord och avrinning</t>
        </is>
      </c>
      <c r="S993" t="inlineStr"/>
      <c r="T993" t="inlineStr">
        <is>
          <t>797000</t>
        </is>
      </c>
      <c r="U993" t="inlineStr"/>
      <c r="V993" t="inlineStr"/>
      <c r="W993" t="inlineStr">
        <is>
          <t>Nej</t>
        </is>
      </c>
      <c r="X993" t="inlineStr">
        <is>
          <t>Ja</t>
        </is>
      </c>
      <c r="Y993" t="inlineStr">
        <is>
          <t>Ja</t>
        </is>
      </c>
      <c r="Z993" t="inlineStr">
        <is>
          <t>Nej</t>
        </is>
      </c>
      <c r="AA993" t="n">
        <v>6</v>
      </c>
      <c r="AB993" t="inlineStr">
        <is>
          <t>Lakvattenhantering</t>
        </is>
      </c>
      <c r="AC993" t="inlineStr">
        <is>
          <t>Flodesschema dagvatten-lakvatten</t>
        </is>
      </c>
      <c r="AD993" t="inlineStr">
        <is>
          <t>Nej</t>
        </is>
      </c>
      <c r="AE993" t="inlineStr">
        <is>
          <t>Nej</t>
        </is>
      </c>
      <c r="AF993" t="inlineStr">
        <is>
          <t>Ej behandlad</t>
        </is>
      </c>
      <c r="AG993" t="inlineStr">
        <is>
          <t>AUTO_GENERERAD. Verifiera citat mot kallfil.</t>
        </is>
      </c>
      <c r="AH993" t="inlineStr">
        <is>
          <t>MEDIUM</t>
        </is>
      </c>
      <c r="AI993" t="inlineStr">
        <is>
          <t>AUTO</t>
        </is>
      </c>
      <c r="AJ993" t="inlineStr">
        <is>
          <t>Nej</t>
        </is>
      </c>
      <c r="AK993" t="inlineStr"/>
      <c r="AL993" t="inlineStr"/>
      <c r="AM993" t="inlineStr"/>
      <c r="AN993" t="inlineStr"/>
      <c r="AO993" t="inlineStr">
        <is>
          <t>cmm4yuq9d03dncuqwwomqoxjw</t>
        </is>
      </c>
      <c r="AP993" t="inlineStr">
        <is>
          <t>http://localhost:8787/api/admin/requirements/documents/cmm4yuq9d03dncuqwwomqoxjw/view</t>
        </is>
      </c>
      <c r="AQ993">
        <f>HYPERLÄNK("http://localhost:8787/api/admin/requirements/documents/cmm4yuq9d03dncuqwwomqoxjw/view";"Öppna PDF")</f>
        <v/>
      </c>
      <c r="AR993">
        <f>HYPERLINK("http://localhost:8787/api/admin/requirements/documents/cmm4yuq9d03dncuqwwomqoxjw/view","Open PDF")</f>
        <v/>
      </c>
      <c r="AS993" t="inlineStr">
        <is>
          <t>cmm55w57p0004cuisfrtpqly8</t>
        </is>
      </c>
      <c r="AT993" t="inlineStr">
        <is>
          <t>cmm4xvu980000cuh4vj0usz09</t>
        </is>
      </c>
      <c r="AU993" t="inlineStr"/>
      <c r="AV993" t="inlineStr">
        <is>
          <t>Kommun</t>
        </is>
      </c>
      <c r="AW993" t="inlineStr"/>
      <c r="AX993" t="inlineStr">
        <is>
          <t>2025-07</t>
        </is>
      </c>
      <c r="AY993" t="inlineStr">
        <is>
          <t>Beslut</t>
        </is>
      </c>
      <c r="AZ993" t="inlineStr">
        <is>
          <t>2026-02-04</t>
        </is>
      </c>
      <c r="BA993" t="inlineStr">
        <is>
          <t>MN-2025-421-Sv_ Fyllnadsmassor Arvidsjaur 5_14.pdf</t>
        </is>
      </c>
      <c r="BB993" t="inlineStr">
        <is>
          <t>Sv: till registrator</t>
        </is>
      </c>
      <c r="BC993" t="inlineStr">
        <is>
          <t>AUTO</t>
        </is>
      </c>
      <c r="BD993" t="inlineStr"/>
      <c r="BE993" t="inlineStr"/>
      <c r="BF993" t="inlineStr">
        <is>
          <t>AUTO_GENERERAD. Bekrafta metadata mot kallfil.</t>
        </is>
      </c>
      <c r="BG993">
        <f>HYPERLINK("C:\Users\jimmy\Desktop\Examens arbete\Kod\Ny mapp\remix_-copy-of-miljöbeslut.se-portal\MN-2025-421-Sv_ Fyllnadsmassor Arvidsjaur 5_14.pdf", "Öppna PDF")</f>
        <v/>
      </c>
    </row>
    <row r="994">
      <c r="A994" t="inlineStr">
        <is>
          <t>KRAV-AUTO-000993</t>
        </is>
      </c>
      <c r="B994" t="inlineStr">
        <is>
          <t>ADMIN-INDEX-2026-02-27-00000000125C043F57453246863FE664CAFE6A3F0700950291EA24F0614FB6ACEDB12BF0E31D00000000010C0000950291EA24F0614FB6ACEDB12BF0E31D00002087AE080000</t>
        </is>
      </c>
      <c r="C994" t="inlineStr">
        <is>
          <t>cmm4yuq8p03czcuqw4vkvpd00</t>
        </is>
      </c>
      <c r="D994" t="inlineStr">
        <is>
          <t>http://localhost:8787/api/admin/requirements/documents/cmm4yuq8p03czcuqw4vkvpd00/view</t>
        </is>
      </c>
      <c r="E994">
        <f>HYPERLÄNK("http://localhost:8787/api/admin/requirements/documents/cmm4yuq8p03czcuqw4vkvpd00/view";"Öppna PDF")</f>
        <v/>
      </c>
      <c r="F994">
        <f>HYPERLINK("http://localhost:8787/api/admin/requirements/documents/cmm4yuq8p03czcuqw4vkvpd00/view","Open PDF")</f>
        <v/>
      </c>
      <c r="G994" t="inlineStr">
        <is>
          <t>cmm55w57p0004cuisfrtpqly8</t>
        </is>
      </c>
      <c r="H994" t="inlineStr">
        <is>
          <t>Beslutsvillkor</t>
        </is>
      </c>
      <c r="I994" t="inlineStr">
        <is>
          <t>MiljopaverkanForsiktighet</t>
        </is>
      </c>
      <c r="J994" t="inlineStr">
        <is>
          <t>Skyddsatgarder</t>
        </is>
      </c>
      <c r="K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994" t="inlineStr">
        <is>
          <t>SKA</t>
        </is>
      </c>
      <c r="N994" t="inlineStr"/>
      <c r="O994" t="inlineStr"/>
      <c r="P994" t="inlineStr"/>
      <c r="Q994" t="inlineStr"/>
      <c r="R994" t="inlineStr">
        <is>
          <t>Alltid</t>
        </is>
      </c>
      <c r="S994" t="inlineStr"/>
      <c r="T994" t="inlineStr">
        <is>
          <t>2025 11</t>
        </is>
      </c>
      <c r="U994" t="inlineStr"/>
      <c r="V994" t="inlineStr"/>
      <c r="W994" t="inlineStr">
        <is>
          <t>Nej</t>
        </is>
      </c>
      <c r="X994" t="inlineStr">
        <is>
          <t>Nej</t>
        </is>
      </c>
      <c r="Y994" t="inlineStr">
        <is>
          <t>Nej</t>
        </is>
      </c>
      <c r="Z994" t="inlineStr">
        <is>
          <t>Nej</t>
        </is>
      </c>
      <c r="AA994" t="n">
        <v>10</v>
      </c>
      <c r="AB994" t="inlineStr">
        <is>
          <t>Miljopaverkan och forsiktighetsmatt</t>
        </is>
      </c>
      <c r="AC994" t="inlineStr">
        <is>
          <t>Miljo-PM</t>
        </is>
      </c>
      <c r="AD994" t="inlineStr">
        <is>
          <t>Nej</t>
        </is>
      </c>
      <c r="AE994" t="inlineStr">
        <is>
          <t>Nej</t>
        </is>
      </c>
      <c r="AF994" t="inlineStr">
        <is>
          <t>Ej behandlad</t>
        </is>
      </c>
      <c r="AG994" t="inlineStr">
        <is>
          <t>AUTO_GENERERAD. Verifiera citat mot kallfil.</t>
        </is>
      </c>
      <c r="AH994" t="inlineStr">
        <is>
          <t>MEDIUM</t>
        </is>
      </c>
      <c r="AI994" t="inlineStr">
        <is>
          <t>AUTO</t>
        </is>
      </c>
      <c r="AJ994" t="inlineStr">
        <is>
          <t>Nej</t>
        </is>
      </c>
      <c r="AK994" t="inlineStr"/>
      <c r="AL994" t="inlineStr"/>
      <c r="AM994" t="inlineStr"/>
      <c r="AN994" t="inlineStr"/>
      <c r="AO994" t="inlineStr">
        <is>
          <t>cmm4yuq8h03cqcuqw79qvo0km</t>
        </is>
      </c>
      <c r="AP994" t="inlineStr">
        <is>
          <t>http://localhost:8787/api/admin/requirements/documents/cmm4yuq8h03cqcuqw79qvo0km/view</t>
        </is>
      </c>
      <c r="AQ994">
        <f>HYPERLÄNK("http://localhost:8787/api/admin/requirements/documents/cmm4yuq8h03cqcuqw79qvo0km/view";"Öppna PDF")</f>
        <v/>
      </c>
      <c r="AR994">
        <f>HYPERLINK("http://localhost:8787/api/admin/requirements/documents/cmm4yuq8h03cqcuqw79qvo0km/view","Open PDF")</f>
        <v/>
      </c>
      <c r="AS994" t="inlineStr">
        <is>
          <t>cmm55w57p0004cuisfrtpqly8</t>
        </is>
      </c>
      <c r="AT994" t="inlineStr">
        <is>
          <t>cmm4xvu980000cuh4vj0usz09</t>
        </is>
      </c>
      <c r="AU994" t="inlineStr">
        <is>
          <t>-- Arvidsjaurs</t>
        </is>
      </c>
      <c r="AV994" t="inlineStr">
        <is>
          <t>Kommun</t>
        </is>
      </c>
      <c r="AW994" t="inlineStr">
        <is>
          <t>-- Arvidsjaurs kommun</t>
        </is>
      </c>
      <c r="AX994" t="inlineStr">
        <is>
          <t>0600-1800</t>
        </is>
      </c>
      <c r="AY994" t="inlineStr">
        <is>
          <t>Anmalan</t>
        </is>
      </c>
      <c r="AZ994" t="inlineStr">
        <is>
          <t>2026-02-04</t>
        </is>
      </c>
      <c r="BA994" t="inlineStr">
        <is>
          <t>MN-2025-421-Anmälan.pdf</t>
        </is>
      </c>
      <c r="BB994" t="inlineStr">
        <is>
          <t>Sv: till registrator</t>
        </is>
      </c>
      <c r="BC994" t="inlineStr">
        <is>
          <t>AUTO</t>
        </is>
      </c>
      <c r="BD994" t="inlineStr"/>
      <c r="BE994" t="inlineStr"/>
      <c r="BF994" t="inlineStr">
        <is>
          <t>AUTO_GENERERAD. Bekrafta metadata mot kallfil.</t>
        </is>
      </c>
      <c r="BG994">
        <f>HYPERLINK("C:\Users\jimmy\Desktop\Examens arbete\Kod\Ny mapp\remix_-copy-of-miljöbeslut.se-portal\MN-2025-421-Anmälan.pdf", "Öppna PDF")</f>
        <v/>
      </c>
    </row>
    <row r="995">
      <c r="A995" t="inlineStr">
        <is>
          <t>KRAV-AUTO-000994</t>
        </is>
      </c>
      <c r="B995" t="inlineStr">
        <is>
          <t>ADMIN-INDEX-2026-02-27-00000000125C043F57453246863FE664CAFE6A3F0700950291EA24F0614FB6ACEDB12BF0E31D00000000010C0000950291EA24F0614FB6ACEDB12BF0E31D00002087AE080000</t>
        </is>
      </c>
      <c r="C995" t="inlineStr">
        <is>
          <t>cmm4yuq8p03czcuqw4vkvpd00</t>
        </is>
      </c>
      <c r="D995" t="inlineStr">
        <is>
          <t>http://localhost:8787/api/admin/requirements/documents/cmm4yuq8p03czcuqw4vkvpd00/view</t>
        </is>
      </c>
      <c r="E995">
        <f>HYPERLÄNK("http://localhost:8787/api/admin/requirements/documents/cmm4yuq8p03czcuqw4vkvpd00/view";"Öppna PDF")</f>
        <v/>
      </c>
      <c r="F995">
        <f>HYPERLINK("http://localhost:8787/api/admin/requirements/documents/cmm4yuq8p03czcuqw4vkvpd00/view","Open PDF")</f>
        <v/>
      </c>
      <c r="G995" t="inlineStr">
        <is>
          <t>cmm55w57p0004cuisfrtpqly8</t>
        </is>
      </c>
      <c r="H995" t="inlineStr">
        <is>
          <t>Beslutsvillkor</t>
        </is>
      </c>
      <c r="I995" t="inlineStr">
        <is>
          <t>LagringsvolymTid</t>
        </is>
      </c>
      <c r="J995" t="inlineStr">
        <is>
          <t>Maxmangd</t>
        </is>
      </c>
      <c r="K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995" t="inlineStr">
        <is>
          <t>SKA</t>
        </is>
      </c>
      <c r="N995" t="inlineStr"/>
      <c r="O995" t="inlineStr"/>
      <c r="P995" t="inlineStr"/>
      <c r="Q995" t="inlineStr"/>
      <c r="R995" t="inlineStr">
        <is>
          <t>Alltid</t>
        </is>
      </c>
      <c r="S995" t="inlineStr"/>
      <c r="T995" t="inlineStr">
        <is>
          <t>2025 16</t>
        </is>
      </c>
      <c r="U995" t="inlineStr"/>
      <c r="V995" t="inlineStr"/>
      <c r="W995" t="inlineStr">
        <is>
          <t>Nej</t>
        </is>
      </c>
      <c r="X995" t="inlineStr">
        <is>
          <t>Nej</t>
        </is>
      </c>
      <c r="Y995" t="inlineStr">
        <is>
          <t>Nej</t>
        </is>
      </c>
      <c r="Z995" t="inlineStr">
        <is>
          <t>Nej</t>
        </is>
      </c>
      <c r="AA995" t="n">
        <v>4</v>
      </c>
      <c r="AB995" t="inlineStr">
        <is>
          <t>Avfallsmangder och lagringstid</t>
        </is>
      </c>
      <c r="AC995" t="inlineStr">
        <is>
          <t>Avfallsforteckning</t>
        </is>
      </c>
      <c r="AD995" t="inlineStr">
        <is>
          <t>Nej</t>
        </is>
      </c>
      <c r="AE995" t="inlineStr">
        <is>
          <t>Nej</t>
        </is>
      </c>
      <c r="AF995" t="inlineStr">
        <is>
          <t>Ej behandlad</t>
        </is>
      </c>
      <c r="AG995" t="inlineStr">
        <is>
          <t>AUTO_GENERERAD. Verifiera citat mot kallfil.</t>
        </is>
      </c>
      <c r="AH995" t="inlineStr">
        <is>
          <t>MEDIUM</t>
        </is>
      </c>
      <c r="AI995" t="inlineStr">
        <is>
          <t>AUTO</t>
        </is>
      </c>
      <c r="AJ995" t="inlineStr">
        <is>
          <t>Nej</t>
        </is>
      </c>
      <c r="AK995" t="inlineStr"/>
      <c r="AL995" t="inlineStr"/>
      <c r="AM995" t="inlineStr"/>
      <c r="AN995" t="inlineStr"/>
      <c r="AO995" t="inlineStr">
        <is>
          <t>cmm4yuq8h03cqcuqw79qvo0km</t>
        </is>
      </c>
      <c r="AP995" t="inlineStr">
        <is>
          <t>http://localhost:8787/api/admin/requirements/documents/cmm4yuq8h03cqcuqw79qvo0km/view</t>
        </is>
      </c>
      <c r="AQ995">
        <f>HYPERLÄNK("http://localhost:8787/api/admin/requirements/documents/cmm4yuq8h03cqcuqw79qvo0km/view";"Öppna PDF")</f>
        <v/>
      </c>
      <c r="AR995">
        <f>HYPERLINK("http://localhost:8787/api/admin/requirements/documents/cmm4yuq8h03cqcuqw79qvo0km/view","Open PDF")</f>
        <v/>
      </c>
      <c r="AS995" t="inlineStr">
        <is>
          <t>cmm55w57p0004cuisfrtpqly8</t>
        </is>
      </c>
      <c r="AT995" t="inlineStr">
        <is>
          <t>cmm4xvu980000cuh4vj0usz09</t>
        </is>
      </c>
      <c r="AU995" t="inlineStr">
        <is>
          <t>-- Arvidsjaurs</t>
        </is>
      </c>
      <c r="AV995" t="inlineStr">
        <is>
          <t>Kommun</t>
        </is>
      </c>
      <c r="AW995" t="inlineStr">
        <is>
          <t>-- Arvidsjaurs kommun</t>
        </is>
      </c>
      <c r="AX995" t="inlineStr">
        <is>
          <t>0600-1800</t>
        </is>
      </c>
      <c r="AY995" t="inlineStr">
        <is>
          <t>Anmalan</t>
        </is>
      </c>
      <c r="AZ995" t="inlineStr">
        <is>
          <t>2026-02-04</t>
        </is>
      </c>
      <c r="BA995" t="inlineStr">
        <is>
          <t>MN-2025-421-Anmälan.pdf</t>
        </is>
      </c>
      <c r="BB995" t="inlineStr">
        <is>
          <t>Sv: till registrator</t>
        </is>
      </c>
      <c r="BC995" t="inlineStr">
        <is>
          <t>AUTO</t>
        </is>
      </c>
      <c r="BD995" t="inlineStr"/>
      <c r="BE995" t="inlineStr"/>
      <c r="BF995" t="inlineStr">
        <is>
          <t>AUTO_GENERERAD. Bekrafta metadata mot kallfil.</t>
        </is>
      </c>
      <c r="BG995">
        <f>HYPERLINK("C:\Users\jimmy\Desktop\Examens arbete\Kod\Ny mapp\remix_-copy-of-miljöbeslut.se-portal\MN-2025-421-Anmälan.pdf", "Öppna PDF")</f>
        <v/>
      </c>
    </row>
    <row r="996">
      <c r="A996" t="inlineStr">
        <is>
          <t>KRAV-AUTO-000995</t>
        </is>
      </c>
      <c r="B996" t="inlineStr">
        <is>
          <t>ADMIN-INDEX-2026-02-27-00000000125C043F57453246863FE664CAFE6A3F0700950291EA24F0614FB6ACEDB12BF0E31D00000000010C0000950291EA24F0614FB6ACEDB12BF0E31D00002087AE080000</t>
        </is>
      </c>
      <c r="C996" t="inlineStr">
        <is>
          <t>cmm4yuq8m03cwcuqwx1veuezk</t>
        </is>
      </c>
      <c r="D996" t="inlineStr">
        <is>
          <t>http://localhost:8787/api/admin/requirements/documents/cmm4yuq8m03cwcuqwx1veuezk/view</t>
        </is>
      </c>
      <c r="E996">
        <f>HYPERLÄNK("http://localhost:8787/api/admin/requirements/documents/cmm4yuq8m03cwcuqwx1veuezk/view";"Öppna PDF")</f>
        <v/>
      </c>
      <c r="F996">
        <f>HYPERLINK("http://localhost:8787/api/admin/requirements/documents/cmm4yuq8m03cwcuqwx1veuezk/view","Open PDF")</f>
        <v/>
      </c>
      <c r="G996" t="inlineStr">
        <is>
          <t>cmm55w57p0004cuisfrtpqly8</t>
        </is>
      </c>
      <c r="H996" t="inlineStr">
        <is>
          <t>Beslutsvillkor</t>
        </is>
      </c>
      <c r="I996" t="inlineStr">
        <is>
          <t>DagvattenLakvatten</t>
        </is>
      </c>
      <c r="J996" t="inlineStr">
        <is>
          <t>Uppsamling</t>
        </is>
      </c>
      <c r="K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6" t="inlineStr">
        <is>
          <t>SKA</t>
        </is>
      </c>
      <c r="N996" t="inlineStr">
        <is>
          <t>FMH</t>
        </is>
      </c>
      <c r="O996" t="inlineStr"/>
      <c r="P996" t="inlineStr">
        <is>
          <t>Arlig</t>
        </is>
      </c>
      <c r="Q996" t="inlineStr"/>
      <c r="R996" t="inlineStr">
        <is>
          <t>Vid nederbord och avrinning</t>
        </is>
      </c>
      <c r="S996" t="inlineStr"/>
      <c r="T996" t="inlineStr">
        <is>
          <t>03 2025</t>
        </is>
      </c>
      <c r="U996" t="inlineStr"/>
      <c r="V996" t="inlineStr"/>
      <c r="W996" t="inlineStr">
        <is>
          <t>Nej</t>
        </is>
      </c>
      <c r="X996" t="inlineStr">
        <is>
          <t>Ja</t>
        </is>
      </c>
      <c r="Y996" t="inlineStr">
        <is>
          <t>Ja</t>
        </is>
      </c>
      <c r="Z996" t="inlineStr">
        <is>
          <t>Nej</t>
        </is>
      </c>
      <c r="AA996" t="n">
        <v>6</v>
      </c>
      <c r="AB996" t="inlineStr">
        <is>
          <t>Lakvattenhantering</t>
        </is>
      </c>
      <c r="AC996" t="inlineStr">
        <is>
          <t>Flodesschema dagvatten-lakvatten</t>
        </is>
      </c>
      <c r="AD996" t="inlineStr">
        <is>
          <t>Nej</t>
        </is>
      </c>
      <c r="AE996" t="inlineStr">
        <is>
          <t>Nej</t>
        </is>
      </c>
      <c r="AF996" t="inlineStr">
        <is>
          <t>Ej behandlad</t>
        </is>
      </c>
      <c r="AG996" t="inlineStr">
        <is>
          <t>AUTO_GENERERAD. Verifiera citat mot kallfil.</t>
        </is>
      </c>
      <c r="AH996" t="inlineStr">
        <is>
          <t>HIGH</t>
        </is>
      </c>
      <c r="AI996" t="inlineStr">
        <is>
          <t>AUTO</t>
        </is>
      </c>
      <c r="AJ996" t="inlineStr">
        <is>
          <t>Nej</t>
        </is>
      </c>
      <c r="AK996" t="inlineStr"/>
      <c r="AL996" t="inlineStr"/>
      <c r="AM996" t="inlineStr"/>
      <c r="AN996" t="inlineStr"/>
      <c r="AO996" t="inlineStr">
        <is>
          <t>cmm4yuq8h03cqcuqw79qvo0km</t>
        </is>
      </c>
      <c r="AP996" t="inlineStr">
        <is>
          <t>http://localhost:8787/api/admin/requirements/documents/cmm4yuq8h03cqcuqw79qvo0km/view</t>
        </is>
      </c>
      <c r="AQ996">
        <f>HYPERLÄNK("http://localhost:8787/api/admin/requirements/documents/cmm4yuq8h03cqcuqw79qvo0km/view";"Öppna PDF")</f>
        <v/>
      </c>
      <c r="AR996">
        <f>HYPERLINK("http://localhost:8787/api/admin/requirements/documents/cmm4yuq8h03cqcuqw79qvo0km/view","Open PDF")</f>
        <v/>
      </c>
      <c r="AS996" t="inlineStr">
        <is>
          <t>cmm55w57p0004cuisfrtpqly8</t>
        </is>
      </c>
      <c r="AT996" t="inlineStr">
        <is>
          <t>cmm4xvu980000cuh4vj0usz09</t>
        </is>
      </c>
      <c r="AU996" t="inlineStr">
        <is>
          <t>-- Arvidsjaurs</t>
        </is>
      </c>
      <c r="AV996" t="inlineStr">
        <is>
          <t>Kommun</t>
        </is>
      </c>
      <c r="AW996" t="inlineStr">
        <is>
          <t>-- Arvidsjaurs kommun</t>
        </is>
      </c>
      <c r="AX996" t="inlineStr">
        <is>
          <t>0600-1800</t>
        </is>
      </c>
      <c r="AY996" t="inlineStr">
        <is>
          <t>Anmalan</t>
        </is>
      </c>
      <c r="AZ996" t="inlineStr">
        <is>
          <t>2026-02-04</t>
        </is>
      </c>
      <c r="BA996" t="inlineStr">
        <is>
          <t>MN-2025-421-Anmälan.pdf</t>
        </is>
      </c>
      <c r="BB996" t="inlineStr">
        <is>
          <t>Sv: till registrator</t>
        </is>
      </c>
      <c r="BC996" t="inlineStr">
        <is>
          <t>AUTO</t>
        </is>
      </c>
      <c r="BD996" t="inlineStr"/>
      <c r="BE996" t="inlineStr"/>
      <c r="BF996" t="inlineStr">
        <is>
          <t>AUTO_GENERERAD. Bekrafta metadata mot kallfil.</t>
        </is>
      </c>
      <c r="BG996">
        <f>HYPERLINK("C:\Users\jimmy\Desktop\Examens arbete\Kod\Ny mapp\remix_-copy-of-miljöbeslut.se-portal\MN-2025-421-Anmälan.pdf", "Öppna PDF")</f>
        <v/>
      </c>
    </row>
    <row r="997">
      <c r="A997" t="inlineStr">
        <is>
          <t>KRAV-AUTO-000996</t>
        </is>
      </c>
      <c r="B997" t="inlineStr">
        <is>
          <t>ADMIN-INDEX-2026-02-27-00000000125C043F57453246863FE664CAFE6A3F0700950291EA24F0614FB6ACEDB12BF0E31D00000000010C0000950291EA24F0614FB6ACEDB12BF0E31D00002087AE080000</t>
        </is>
      </c>
      <c r="C997" t="inlineStr">
        <is>
          <t>cmm4yuq8m03cwcuqwx1veuezk</t>
        </is>
      </c>
      <c r="D997" t="inlineStr">
        <is>
          <t>http://localhost:8787/api/admin/requirements/documents/cmm4yuq8m03cwcuqwx1veuezk/view</t>
        </is>
      </c>
      <c r="E997">
        <f>HYPERLÄNK("http://localhost:8787/api/admin/requirements/documents/cmm4yuq8m03cwcuqwx1veuezk/view";"Öppna PDF")</f>
        <v/>
      </c>
      <c r="F997">
        <f>HYPERLINK("http://localhost:8787/api/admin/requirements/documents/cmm4yuq8m03cwcuqwx1veuezk/view","Open PDF")</f>
        <v/>
      </c>
      <c r="G997" t="inlineStr">
        <is>
          <t>cmm55w57p0004cuisfrtpqly8</t>
        </is>
      </c>
      <c r="H997" t="inlineStr">
        <is>
          <t>Beslutsvillkor</t>
        </is>
      </c>
      <c r="I997" t="inlineStr">
        <is>
          <t>Riskhantering</t>
        </is>
      </c>
      <c r="J997" t="inlineStr">
        <is>
          <t>Riskkontroll</t>
        </is>
      </c>
      <c r="K997" t="inlineStr">
        <is>
          <t>Massorna som används som utfyllnadsmaterial ska vara fria från brandrester.</t>
        </is>
      </c>
      <c r="L997" t="inlineStr">
        <is>
          <t>Massorna som används som utfyllnadsmaterial ska vara fria från brandrester.</t>
        </is>
      </c>
      <c r="M997" t="inlineStr">
        <is>
          <t>SKA</t>
        </is>
      </c>
      <c r="N997" t="inlineStr"/>
      <c r="O997" t="inlineStr"/>
      <c r="P997" t="inlineStr"/>
      <c r="Q997" t="inlineStr"/>
      <c r="R997" t="inlineStr">
        <is>
          <t>Vid risk for incident</t>
        </is>
      </c>
      <c r="S997" t="inlineStr"/>
      <c r="T997" t="inlineStr">
        <is>
          <t>03 2025</t>
        </is>
      </c>
      <c r="U997" t="inlineStr"/>
      <c r="V997" t="inlineStr"/>
      <c r="W997" t="inlineStr">
        <is>
          <t>Nej</t>
        </is>
      </c>
      <c r="X997" t="inlineStr">
        <is>
          <t>Nej</t>
        </is>
      </c>
      <c r="Y997" t="inlineStr">
        <is>
          <t>Ja</t>
        </is>
      </c>
      <c r="Z997" t="inlineStr">
        <is>
          <t>Ja</t>
        </is>
      </c>
      <c r="AA997" t="n">
        <v>8</v>
      </c>
      <c r="AB997" t="inlineStr">
        <is>
          <t>Riskhantering</t>
        </is>
      </c>
      <c r="AC997" t="inlineStr">
        <is>
          <t>Risk-PM</t>
        </is>
      </c>
      <c r="AD997" t="inlineStr">
        <is>
          <t>Nej</t>
        </is>
      </c>
      <c r="AE997" t="inlineStr">
        <is>
          <t>Nej</t>
        </is>
      </c>
      <c r="AF997" t="inlineStr">
        <is>
          <t>Ej behandlad</t>
        </is>
      </c>
      <c r="AG997" t="inlineStr">
        <is>
          <t>AUTO_GENERERAD. Verifiera citat mot kallfil.</t>
        </is>
      </c>
      <c r="AH997" t="inlineStr">
        <is>
          <t>MEDIUM</t>
        </is>
      </c>
      <c r="AI997" t="inlineStr">
        <is>
          <t>AUTO</t>
        </is>
      </c>
      <c r="AJ997" t="inlineStr">
        <is>
          <t>Nej</t>
        </is>
      </c>
      <c r="AK997" t="inlineStr"/>
      <c r="AL997" t="inlineStr"/>
      <c r="AM997" t="inlineStr"/>
      <c r="AN997" t="inlineStr"/>
      <c r="AO997" t="inlineStr">
        <is>
          <t>cmm4yuq8h03cqcuqw79qvo0km</t>
        </is>
      </c>
      <c r="AP997" t="inlineStr">
        <is>
          <t>http://localhost:8787/api/admin/requirements/documents/cmm4yuq8h03cqcuqw79qvo0km/view</t>
        </is>
      </c>
      <c r="AQ997">
        <f>HYPERLÄNK("http://localhost:8787/api/admin/requirements/documents/cmm4yuq8h03cqcuqw79qvo0km/view";"Öppna PDF")</f>
        <v/>
      </c>
      <c r="AR997">
        <f>HYPERLINK("http://localhost:8787/api/admin/requirements/documents/cmm4yuq8h03cqcuqw79qvo0km/view","Open PDF")</f>
        <v/>
      </c>
      <c r="AS997" t="inlineStr">
        <is>
          <t>cmm55w57p0004cuisfrtpqly8</t>
        </is>
      </c>
      <c r="AT997" t="inlineStr">
        <is>
          <t>cmm4xvu980000cuh4vj0usz09</t>
        </is>
      </c>
      <c r="AU997" t="inlineStr">
        <is>
          <t>-- Arvidsjaurs</t>
        </is>
      </c>
      <c r="AV997" t="inlineStr">
        <is>
          <t>Kommun</t>
        </is>
      </c>
      <c r="AW997" t="inlineStr">
        <is>
          <t>-- Arvidsjaurs kommun</t>
        </is>
      </c>
      <c r="AX997" t="inlineStr">
        <is>
          <t>0600-1800</t>
        </is>
      </c>
      <c r="AY997" t="inlineStr">
        <is>
          <t>Anmalan</t>
        </is>
      </c>
      <c r="AZ997" t="inlineStr">
        <is>
          <t>2026-02-04</t>
        </is>
      </c>
      <c r="BA997" t="inlineStr">
        <is>
          <t>MN-2025-421-Anmälan.pdf</t>
        </is>
      </c>
      <c r="BB997" t="inlineStr">
        <is>
          <t>Sv: till registrator</t>
        </is>
      </c>
      <c r="BC997" t="inlineStr">
        <is>
          <t>AUTO</t>
        </is>
      </c>
      <c r="BD997" t="inlineStr"/>
      <c r="BE997" t="inlineStr"/>
      <c r="BF997" t="inlineStr">
        <is>
          <t>AUTO_GENERERAD. Bekrafta metadata mot kallfil.</t>
        </is>
      </c>
      <c r="BG997">
        <f>HYPERLINK("C:\Users\jimmy\Desktop\Examens arbete\Kod\Ny mapp\remix_-copy-of-miljöbeslut.se-portal\MN-2025-421-Anmälan.pdf", "Öppna PDF")</f>
        <v/>
      </c>
    </row>
    <row r="998">
      <c r="A998" t="inlineStr">
        <is>
          <t>KRAV-AUTO-000997</t>
        </is>
      </c>
      <c r="B998" t="inlineStr">
        <is>
          <t>ADMIN-INDEX-2026-02-27-00000000125C043F57453246863FE664CAFE6A3F0700950291EA24F0614FB6ACEDB12BF0E31D00000000010C0000950291EA24F0614FB6ACEDB12BF0E31D00002087AE080000</t>
        </is>
      </c>
      <c r="C998" t="inlineStr">
        <is>
          <t>cmm4yuq8m03cwcuqwx1veuezk</t>
        </is>
      </c>
      <c r="D998" t="inlineStr">
        <is>
          <t>http://localhost:8787/api/admin/requirements/documents/cmm4yuq8m03cwcuqwx1veuezk/view</t>
        </is>
      </c>
      <c r="E998">
        <f>HYPERLÄNK("http://localhost:8787/api/admin/requirements/documents/cmm4yuq8m03cwcuqwx1veuezk/view";"Öppna PDF")</f>
        <v/>
      </c>
      <c r="F998">
        <f>HYPERLINK("http://localhost:8787/api/admin/requirements/documents/cmm4yuq8m03cwcuqwx1veuezk/view","Open PDF")</f>
        <v/>
      </c>
      <c r="G998" t="inlineStr">
        <is>
          <t>cmm55w57p0004cuisfrtpqly8</t>
        </is>
      </c>
      <c r="H998" t="inlineStr">
        <is>
          <t>Beslutsvillkor</t>
        </is>
      </c>
      <c r="I998" t="inlineStr">
        <is>
          <t>Riskhantering</t>
        </is>
      </c>
      <c r="J998" t="inlineStr">
        <is>
          <t>Riskkontroll</t>
        </is>
      </c>
      <c r="K998" t="inlineStr">
        <is>
          <t>Om brandrester påträffas ska dessa sorteras ut och lämnas för deponering på godkänd anläggning.</t>
        </is>
      </c>
      <c r="L998" t="inlineStr">
        <is>
          <t>Om brandrester påträffas ska dessa sorteras ut och lämnas för deponering på godkänd anläggning.</t>
        </is>
      </c>
      <c r="M998" t="inlineStr">
        <is>
          <t>SKA</t>
        </is>
      </c>
      <c r="N998" t="inlineStr"/>
      <c r="O998" t="inlineStr"/>
      <c r="P998" t="inlineStr"/>
      <c r="Q998" t="inlineStr"/>
      <c r="R998" t="inlineStr">
        <is>
          <t>Vid risk for incident</t>
        </is>
      </c>
      <c r="S998" t="inlineStr"/>
      <c r="T998" t="inlineStr">
        <is>
          <t>03 2025</t>
        </is>
      </c>
      <c r="U998" t="inlineStr"/>
      <c r="V998" t="inlineStr"/>
      <c r="W998" t="inlineStr">
        <is>
          <t>Nej</t>
        </is>
      </c>
      <c r="X998" t="inlineStr">
        <is>
          <t>Nej</t>
        </is>
      </c>
      <c r="Y998" t="inlineStr">
        <is>
          <t>Ja</t>
        </is>
      </c>
      <c r="Z998" t="inlineStr">
        <is>
          <t>Ja</t>
        </is>
      </c>
      <c r="AA998" t="n">
        <v>8</v>
      </c>
      <c r="AB998" t="inlineStr">
        <is>
          <t>Riskhantering</t>
        </is>
      </c>
      <c r="AC998" t="inlineStr">
        <is>
          <t>Risk-PM</t>
        </is>
      </c>
      <c r="AD998" t="inlineStr">
        <is>
          <t>Nej</t>
        </is>
      </c>
      <c r="AE998" t="inlineStr">
        <is>
          <t>Nej</t>
        </is>
      </c>
      <c r="AF998" t="inlineStr">
        <is>
          <t>Ej behandlad</t>
        </is>
      </c>
      <c r="AG998" t="inlineStr">
        <is>
          <t>AUTO_GENERERAD. Verifiera citat mot kallfil.</t>
        </is>
      </c>
      <c r="AH998" t="inlineStr">
        <is>
          <t>MEDIUM</t>
        </is>
      </c>
      <c r="AI998" t="inlineStr">
        <is>
          <t>AUTO</t>
        </is>
      </c>
      <c r="AJ998" t="inlineStr">
        <is>
          <t>Nej</t>
        </is>
      </c>
      <c r="AK998" t="inlineStr"/>
      <c r="AL998" t="inlineStr"/>
      <c r="AM998" t="inlineStr"/>
      <c r="AN998" t="inlineStr"/>
      <c r="AO998" t="inlineStr">
        <is>
          <t>cmm4yuq8h03cqcuqw79qvo0km</t>
        </is>
      </c>
      <c r="AP998" t="inlineStr">
        <is>
          <t>http://localhost:8787/api/admin/requirements/documents/cmm4yuq8h03cqcuqw79qvo0km/view</t>
        </is>
      </c>
      <c r="AQ998">
        <f>HYPERLÄNK("http://localhost:8787/api/admin/requirements/documents/cmm4yuq8h03cqcuqw79qvo0km/view";"Öppna PDF")</f>
        <v/>
      </c>
      <c r="AR998">
        <f>HYPERLINK("http://localhost:8787/api/admin/requirements/documents/cmm4yuq8h03cqcuqw79qvo0km/view","Open PDF")</f>
        <v/>
      </c>
      <c r="AS998" t="inlineStr">
        <is>
          <t>cmm55w57p0004cuisfrtpqly8</t>
        </is>
      </c>
      <c r="AT998" t="inlineStr">
        <is>
          <t>cmm4xvu980000cuh4vj0usz09</t>
        </is>
      </c>
      <c r="AU998" t="inlineStr">
        <is>
          <t>-- Arvidsjaurs</t>
        </is>
      </c>
      <c r="AV998" t="inlineStr">
        <is>
          <t>Kommun</t>
        </is>
      </c>
      <c r="AW998" t="inlineStr">
        <is>
          <t>-- Arvidsjaurs kommun</t>
        </is>
      </c>
      <c r="AX998" t="inlineStr">
        <is>
          <t>0600-1800</t>
        </is>
      </c>
      <c r="AY998" t="inlineStr">
        <is>
          <t>Anmalan</t>
        </is>
      </c>
      <c r="AZ998" t="inlineStr">
        <is>
          <t>2026-02-04</t>
        </is>
      </c>
      <c r="BA998" t="inlineStr">
        <is>
          <t>MN-2025-421-Anmälan.pdf</t>
        </is>
      </c>
      <c r="BB998" t="inlineStr">
        <is>
          <t>Sv: till registrator</t>
        </is>
      </c>
      <c r="BC998" t="inlineStr">
        <is>
          <t>AUTO</t>
        </is>
      </c>
      <c r="BD998" t="inlineStr"/>
      <c r="BE998" t="inlineStr"/>
      <c r="BF998" t="inlineStr">
        <is>
          <t>AUTO_GENERERAD. Bekrafta metadata mot kallfil.</t>
        </is>
      </c>
      <c r="BG998">
        <f>HYPERLINK("C:\Users\jimmy\Desktop\Examens arbete\Kod\Ny mapp\remix_-copy-of-miljöbeslut.se-portal\MN-2025-421-Anmälan.pdf", "Öppna PDF")</f>
        <v/>
      </c>
    </row>
    <row r="999">
      <c r="A999" t="inlineStr">
        <is>
          <t>KRAV-AUTO-000998</t>
        </is>
      </c>
      <c r="B999" t="inlineStr">
        <is>
          <t>ADMIN-INDEX-2026-02-27-00000000125C043F57453246863FE664CAFE6A3F0700950291EA24F0614FB6ACEDB12BF0E31D00000000010C0000950291EA24F0614FB6ACEDB12BF0E31D00002087AE080000</t>
        </is>
      </c>
      <c r="C999" t="inlineStr">
        <is>
          <t>cmm4yuq8c03ckcuqw9dgn4fop</t>
        </is>
      </c>
      <c r="D999" t="inlineStr">
        <is>
          <t>http://localhost:8787/api/admin/requirements/documents/cmm4yuq8c03ckcuqw9dgn4fop/view</t>
        </is>
      </c>
      <c r="E999">
        <f>HYPERLÄNK("http://localhost:8787/api/admin/requirements/documents/cmm4yuq8c03ckcuqw9dgn4fop/view";"Öppna PDF")</f>
        <v/>
      </c>
      <c r="F999">
        <f>HYPERLINK("http://localhost:8787/api/admin/requirements/documents/cmm4yuq8c03ckcuqw9dgn4fop/view","Open PDF")</f>
        <v/>
      </c>
      <c r="G999" t="inlineStr">
        <is>
          <t>cmm55w57p0004cuisfrtpqly8</t>
        </is>
      </c>
      <c r="H999" t="inlineStr">
        <is>
          <t>Beslutsvillkor</t>
        </is>
      </c>
      <c r="I999" t="inlineStr">
        <is>
          <t>DagvattenLakvatten</t>
        </is>
      </c>
      <c r="J999" t="inlineStr">
        <is>
          <t>Uppsamling</t>
        </is>
      </c>
      <c r="K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9" t="inlineStr">
        <is>
          <t>SKA</t>
        </is>
      </c>
      <c r="N999" t="inlineStr">
        <is>
          <t>FMH</t>
        </is>
      </c>
      <c r="O999" t="inlineStr"/>
      <c r="P999" t="inlineStr">
        <is>
          <t>Arlig</t>
        </is>
      </c>
      <c r="Q999" t="inlineStr"/>
      <c r="R999" t="inlineStr">
        <is>
          <t>Vid nederbord och avrinning</t>
        </is>
      </c>
      <c r="S999" t="inlineStr"/>
      <c r="T999" t="inlineStr">
        <is>
          <t>25 2024</t>
        </is>
      </c>
      <c r="U999" t="inlineStr"/>
      <c r="V999" t="inlineStr"/>
      <c r="W999" t="inlineStr">
        <is>
          <t>Nej</t>
        </is>
      </c>
      <c r="X999" t="inlineStr">
        <is>
          <t>Ja</t>
        </is>
      </c>
      <c r="Y999" t="inlineStr">
        <is>
          <t>Ja</t>
        </is>
      </c>
      <c r="Z999" t="inlineStr">
        <is>
          <t>Nej</t>
        </is>
      </c>
      <c r="AA999" t="n">
        <v>6</v>
      </c>
      <c r="AB999" t="inlineStr">
        <is>
          <t>Lakvattenhantering</t>
        </is>
      </c>
      <c r="AC999" t="inlineStr">
        <is>
          <t>Flodesschema dagvatten-lakvatten</t>
        </is>
      </c>
      <c r="AD999" t="inlineStr">
        <is>
          <t>Nej</t>
        </is>
      </c>
      <c r="AE999" t="inlineStr">
        <is>
          <t>Nej</t>
        </is>
      </c>
      <c r="AF999" t="inlineStr">
        <is>
          <t>Ej behandlad</t>
        </is>
      </c>
      <c r="AG999" t="inlineStr">
        <is>
          <t>AUTO_GENERERAD. Verifiera citat mot kallfil.</t>
        </is>
      </c>
      <c r="AH999" t="inlineStr">
        <is>
          <t>HIGH</t>
        </is>
      </c>
      <c r="AI999" t="inlineStr">
        <is>
          <t>AUTO</t>
        </is>
      </c>
      <c r="AJ999" t="inlineStr">
        <is>
          <t>Nej</t>
        </is>
      </c>
      <c r="AK999" t="inlineStr"/>
      <c r="AL999" t="inlineStr"/>
      <c r="AM999" t="inlineStr"/>
      <c r="AN999" t="inlineStr"/>
      <c r="AO999" t="inlineStr">
        <is>
          <t>cmm4yuq8h03cqcuqw79qvo0km</t>
        </is>
      </c>
      <c r="AP999" t="inlineStr">
        <is>
          <t>http://localhost:8787/api/admin/requirements/documents/cmm4yuq8h03cqcuqw79qvo0km/view</t>
        </is>
      </c>
      <c r="AQ999">
        <f>HYPERLÄNK("http://localhost:8787/api/admin/requirements/documents/cmm4yuq8h03cqcuqw79qvo0km/view";"Öppna PDF")</f>
        <v/>
      </c>
      <c r="AR999">
        <f>HYPERLINK("http://localhost:8787/api/admin/requirements/documents/cmm4yuq8h03cqcuqw79qvo0km/view","Open PDF")</f>
        <v/>
      </c>
      <c r="AS999" t="inlineStr">
        <is>
          <t>cmm55w57p0004cuisfrtpqly8</t>
        </is>
      </c>
      <c r="AT999" t="inlineStr">
        <is>
          <t>cmm4xvu980000cuh4vj0usz09</t>
        </is>
      </c>
      <c r="AU999" t="inlineStr">
        <is>
          <t>-- Arvidsjaurs</t>
        </is>
      </c>
      <c r="AV999" t="inlineStr">
        <is>
          <t>Kommun</t>
        </is>
      </c>
      <c r="AW999" t="inlineStr">
        <is>
          <t>-- Arvidsjaurs kommun</t>
        </is>
      </c>
      <c r="AX999" t="inlineStr">
        <is>
          <t>0600-1800</t>
        </is>
      </c>
      <c r="AY999" t="inlineStr">
        <is>
          <t>Anmalan</t>
        </is>
      </c>
      <c r="AZ999" t="inlineStr">
        <is>
          <t>2026-02-04</t>
        </is>
      </c>
      <c r="BA999" t="inlineStr">
        <is>
          <t>MN-2025-421-Anmälan.pdf</t>
        </is>
      </c>
      <c r="BB999" t="inlineStr">
        <is>
          <t>Sv: till registrator</t>
        </is>
      </c>
      <c r="BC999" t="inlineStr">
        <is>
          <t>AUTO</t>
        </is>
      </c>
      <c r="BD999" t="inlineStr"/>
      <c r="BE999" t="inlineStr"/>
      <c r="BF999" t="inlineStr">
        <is>
          <t>AUTO_GENERERAD. Bekrafta metadata mot kallfil.</t>
        </is>
      </c>
      <c r="BG999">
        <f>HYPERLINK("C:\Users\jimmy\Desktop\Examens arbete\Kod\Ny mapp\remix_-copy-of-miljöbeslut.se-portal\MN-2025-421-Anmälan.pdf", "Öppna PDF")</f>
        <v/>
      </c>
    </row>
    <row r="1000">
      <c r="A1000" t="inlineStr">
        <is>
          <t>KRAV-AUTO-000999</t>
        </is>
      </c>
      <c r="B1000" t="inlineStr">
        <is>
          <t>ADMIN-INDEX-2026-02-27-00000000125C043F57453246863FE664CAFE6A3F0700950291EA24F0614FB6ACEDB12BF0E31D00000000010C0000950291EA24F0614FB6ACEDB12BF0E31D00002087AE080000</t>
        </is>
      </c>
      <c r="C1000" t="inlineStr">
        <is>
          <t>cmm4yuq8c03ckcuqw9dgn4fop</t>
        </is>
      </c>
      <c r="D1000" t="inlineStr">
        <is>
          <t>http://localhost:8787/api/admin/requirements/documents/cmm4yuq8c03ckcuqw9dgn4fop/view</t>
        </is>
      </c>
      <c r="E1000">
        <f>HYPERLÄNK("http://localhost:8787/api/admin/requirements/documents/cmm4yuq8c03ckcuqw9dgn4fop/view";"Öppna PDF")</f>
        <v/>
      </c>
      <c r="F1000">
        <f>HYPERLINK("http://localhost:8787/api/admin/requirements/documents/cmm4yuq8c03ckcuqw9dgn4fop/view","Open PDF")</f>
        <v/>
      </c>
      <c r="G1000" t="inlineStr">
        <is>
          <t>cmm55w57p0004cuisfrtpqly8</t>
        </is>
      </c>
      <c r="H1000" t="inlineStr">
        <is>
          <t>Beslutsvillkor</t>
        </is>
      </c>
      <c r="I1000" t="inlineStr">
        <is>
          <t>MiljopaverkanForsiktighet</t>
        </is>
      </c>
      <c r="J1000" t="inlineStr">
        <is>
          <t>Skyddsatgarder</t>
        </is>
      </c>
      <c r="K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1000" t="inlineStr">
        <is>
          <t>INFO</t>
        </is>
      </c>
      <c r="N1000" t="inlineStr">
        <is>
          <t>Miljobalken, FMH</t>
        </is>
      </c>
      <c r="O1000" t="inlineStr"/>
      <c r="P1000" t="inlineStr">
        <is>
          <t>Arlig</t>
        </is>
      </c>
      <c r="Q1000" t="inlineStr">
        <is>
          <t>Forelaggande vid brist</t>
        </is>
      </c>
      <c r="R1000" t="inlineStr">
        <is>
          <t>Alltid</t>
        </is>
      </c>
      <c r="S1000" t="inlineStr"/>
      <c r="T1000" t="inlineStr">
        <is>
          <t>550501</t>
        </is>
      </c>
      <c r="U1000" t="inlineStr"/>
      <c r="V1000" t="inlineStr"/>
      <c r="W1000" t="inlineStr">
        <is>
          <t>Nej</t>
        </is>
      </c>
      <c r="X1000" t="inlineStr">
        <is>
          <t>Nej</t>
        </is>
      </c>
      <c r="Y1000" t="inlineStr">
        <is>
          <t>Nej</t>
        </is>
      </c>
      <c r="Z1000" t="inlineStr">
        <is>
          <t>Nej</t>
        </is>
      </c>
      <c r="AA1000" t="n">
        <v>10</v>
      </c>
      <c r="AB1000" t="inlineStr">
        <is>
          <t>Miljopaverkan och forsiktighetsmatt</t>
        </is>
      </c>
      <c r="AC1000" t="inlineStr">
        <is>
          <t>Miljo-PM</t>
        </is>
      </c>
      <c r="AD1000" t="inlineStr">
        <is>
          <t>Nej</t>
        </is>
      </c>
      <c r="AE1000" t="inlineStr">
        <is>
          <t>Nej</t>
        </is>
      </c>
      <c r="AF1000" t="inlineStr">
        <is>
          <t>Ej behandlad</t>
        </is>
      </c>
      <c r="AG1000" t="inlineStr">
        <is>
          <t>AUTO_GENERERAD. Verifiera citat mot kallfil.</t>
        </is>
      </c>
      <c r="AH1000" t="inlineStr">
        <is>
          <t>HIGH</t>
        </is>
      </c>
      <c r="AI1000" t="inlineStr">
        <is>
          <t>AUTO</t>
        </is>
      </c>
      <c r="AJ1000" t="inlineStr">
        <is>
          <t>Nej</t>
        </is>
      </c>
      <c r="AK1000" t="inlineStr"/>
      <c r="AL1000" t="inlineStr"/>
      <c r="AM1000" t="inlineStr"/>
      <c r="AN1000" t="inlineStr"/>
      <c r="AO1000" t="inlineStr">
        <is>
          <t>cmm4yuq8h03cqcuqw79qvo0km</t>
        </is>
      </c>
      <c r="AP1000" t="inlineStr">
        <is>
          <t>http://localhost:8787/api/admin/requirements/documents/cmm4yuq8h03cqcuqw79qvo0km/view</t>
        </is>
      </c>
      <c r="AQ1000">
        <f>HYPERLÄNK("http://localhost:8787/api/admin/requirements/documents/cmm4yuq8h03cqcuqw79qvo0km/view";"Öppna PDF")</f>
        <v/>
      </c>
      <c r="AR1000">
        <f>HYPERLINK("http://localhost:8787/api/admin/requirements/documents/cmm4yuq8h03cqcuqw79qvo0km/view","Open PDF")</f>
        <v/>
      </c>
      <c r="AS1000" t="inlineStr">
        <is>
          <t>cmm55w57p0004cuisfrtpqly8</t>
        </is>
      </c>
      <c r="AT1000" t="inlineStr">
        <is>
          <t>cmm4xvu980000cuh4vj0usz09</t>
        </is>
      </c>
      <c r="AU1000" t="inlineStr">
        <is>
          <t>-- Arvidsjaurs</t>
        </is>
      </c>
      <c r="AV1000" t="inlineStr">
        <is>
          <t>Kommun</t>
        </is>
      </c>
      <c r="AW1000" t="inlineStr">
        <is>
          <t>-- Arvidsjaurs kommun</t>
        </is>
      </c>
      <c r="AX1000" t="inlineStr">
        <is>
          <t>0600-1800</t>
        </is>
      </c>
      <c r="AY1000" t="inlineStr">
        <is>
          <t>Anmalan</t>
        </is>
      </c>
      <c r="AZ1000" t="inlineStr">
        <is>
          <t>2026-02-04</t>
        </is>
      </c>
      <c r="BA1000" t="inlineStr">
        <is>
          <t>MN-2025-421-Anmälan.pdf</t>
        </is>
      </c>
      <c r="BB1000" t="inlineStr">
        <is>
          <t>Sv: till registrator</t>
        </is>
      </c>
      <c r="BC1000" t="inlineStr">
        <is>
          <t>AUTO</t>
        </is>
      </c>
      <c r="BD1000" t="inlineStr"/>
      <c r="BE1000" t="inlineStr"/>
      <c r="BF1000" t="inlineStr">
        <is>
          <t>AUTO_GENERERAD. Bekrafta metadata mot kallfil.</t>
        </is>
      </c>
      <c r="BG1000">
        <f>HYPERLINK("C:\Users\jimmy\Desktop\Examens arbete\Kod\Ny mapp\remix_-copy-of-miljöbeslut.se-portal\MN-2025-421-Anmälan.pdf", "Öppna PDF")</f>
        <v/>
      </c>
    </row>
    <row r="1001">
      <c r="A1001" t="inlineStr">
        <is>
          <t>KRAV-AUTO-001000</t>
        </is>
      </c>
      <c r="B1001" t="inlineStr">
        <is>
          <t>ADMIN-INDEX-2026-02-27-00000000125C043F57453246863FE664CAFE6A3F0700950291EA24F0614FB6ACEDB12BF0E31D00000000010C0000950291EA24F0614FB6ACEDB12BF0E31D00002087AE080000</t>
        </is>
      </c>
      <c r="C1001" t="inlineStr">
        <is>
          <t>cmm4yuq8603cecuqw8hjn9p3b</t>
        </is>
      </c>
      <c r="D1001" t="inlineStr">
        <is>
          <t>http://localhost:8787/api/admin/requirements/documents/cmm4yuq8603cecuqw8hjn9p3b/view</t>
        </is>
      </c>
      <c r="E1001">
        <f>HYPERLÄNK("http://localhost:8787/api/admin/requirements/documents/cmm4yuq8603cecuqw8hjn9p3b/view";"Öppna PDF")</f>
        <v/>
      </c>
      <c r="F1001">
        <f>HYPERLINK("http://localhost:8787/api/admin/requirements/documents/cmm4yuq8603cecuqw8hjn9p3b/view","Open PDF")</f>
        <v/>
      </c>
      <c r="G1001" t="inlineStr">
        <is>
          <t>cmm55w57p0004cuisfrtpqly8</t>
        </is>
      </c>
      <c r="H1001" t="inlineStr">
        <is>
          <t>Beslutsvillkor</t>
        </is>
      </c>
      <c r="I1001" t="inlineStr">
        <is>
          <t>Riskhantering</t>
        </is>
      </c>
      <c r="J1001" t="inlineStr">
        <is>
          <t>Riskkontroll</t>
        </is>
      </c>
      <c r="K1001" t="inlineStr">
        <is>
          <t>Certifiering krävs inte heller för sorteringen innan ingrepp har gjorts beträffande de elektriska eller elektroniska delarna, eller behandling som sker efter att ämnen, komponenter m.m.</t>
        </is>
      </c>
      <c r="L1001" t="inlineStr">
        <is>
          <t>Certifiering krävs inte heller för sorteringen innan ingrepp har gjorts beträffande de elektriska eller elektroniska delarna, eller behandling som sker efter att ämnen, komponenter m.m.</t>
        </is>
      </c>
      <c r="M1001" t="inlineStr">
        <is>
          <t>SKA</t>
        </is>
      </c>
      <c r="N1001" t="inlineStr"/>
      <c r="O1001" t="inlineStr"/>
      <c r="P1001" t="inlineStr"/>
      <c r="Q1001" t="inlineStr"/>
      <c r="R1001" t="inlineStr">
        <is>
          <t>Vid risk for incident</t>
        </is>
      </c>
      <c r="S1001" t="inlineStr"/>
      <c r="T1001" t="inlineStr">
        <is>
          <t>559508</t>
        </is>
      </c>
      <c r="U1001" t="inlineStr"/>
      <c r="V1001" t="inlineStr"/>
      <c r="W1001" t="inlineStr">
        <is>
          <t>Nej</t>
        </is>
      </c>
      <c r="X1001" t="inlineStr">
        <is>
          <t>Nej</t>
        </is>
      </c>
      <c r="Y1001" t="inlineStr">
        <is>
          <t>Ja</t>
        </is>
      </c>
      <c r="Z1001" t="inlineStr">
        <is>
          <t>Ja</t>
        </is>
      </c>
      <c r="AA1001" t="n">
        <v>8</v>
      </c>
      <c r="AB1001" t="inlineStr">
        <is>
          <t>Riskhantering</t>
        </is>
      </c>
      <c r="AC1001" t="inlineStr">
        <is>
          <t>Risk-PM</t>
        </is>
      </c>
      <c r="AD1001" t="inlineStr">
        <is>
          <t>Nej</t>
        </is>
      </c>
      <c r="AE1001" t="inlineStr">
        <is>
          <t>Nej</t>
        </is>
      </c>
      <c r="AF1001" t="inlineStr">
        <is>
          <t>Ej behandlad</t>
        </is>
      </c>
      <c r="AG1001" t="inlineStr">
        <is>
          <t>AUTO_GENERERAD. Verifiera citat mot kallfil.</t>
        </is>
      </c>
      <c r="AH1001" t="inlineStr">
        <is>
          <t>MEDIUM</t>
        </is>
      </c>
      <c r="AI1001" t="inlineStr">
        <is>
          <t>AUTO</t>
        </is>
      </c>
      <c r="AJ1001" t="inlineStr">
        <is>
          <t>Nej</t>
        </is>
      </c>
      <c r="AK1001" t="inlineStr"/>
      <c r="AL1001" t="inlineStr"/>
      <c r="AM1001" t="inlineStr"/>
      <c r="AN1001" t="inlineStr"/>
      <c r="AO1001" t="inlineStr">
        <is>
          <t>cmm4yuq8h03cqcuqw79qvo0km</t>
        </is>
      </c>
      <c r="AP1001" t="inlineStr">
        <is>
          <t>http://localhost:8787/api/admin/requirements/documents/cmm4yuq8h03cqcuqw79qvo0km/view</t>
        </is>
      </c>
      <c r="AQ1001">
        <f>HYPERLÄNK("http://localhost:8787/api/admin/requirements/documents/cmm4yuq8h03cqcuqw79qvo0km/view";"Öppna PDF")</f>
        <v/>
      </c>
      <c r="AR1001">
        <f>HYPERLINK("http://localhost:8787/api/admin/requirements/documents/cmm4yuq8h03cqcuqw79qvo0km/view","Open PDF")</f>
        <v/>
      </c>
      <c r="AS1001" t="inlineStr">
        <is>
          <t>cmm55w57p0004cuisfrtpqly8</t>
        </is>
      </c>
      <c r="AT1001" t="inlineStr">
        <is>
          <t>cmm4xvu980000cuh4vj0usz09</t>
        </is>
      </c>
      <c r="AU1001" t="inlineStr">
        <is>
          <t>-- Arvidsjaurs</t>
        </is>
      </c>
      <c r="AV1001" t="inlineStr">
        <is>
          <t>Kommun</t>
        </is>
      </c>
      <c r="AW1001" t="inlineStr">
        <is>
          <t>-- Arvidsjaurs kommun</t>
        </is>
      </c>
      <c r="AX1001" t="inlineStr">
        <is>
          <t>0600-1800</t>
        </is>
      </c>
      <c r="AY1001" t="inlineStr">
        <is>
          <t>Anmalan</t>
        </is>
      </c>
      <c r="AZ1001" t="inlineStr">
        <is>
          <t>2026-02-04</t>
        </is>
      </c>
      <c r="BA1001" t="inlineStr">
        <is>
          <t>MN-2025-421-Anmälan.pdf</t>
        </is>
      </c>
      <c r="BB1001" t="inlineStr">
        <is>
          <t>Sv: till registrator</t>
        </is>
      </c>
      <c r="BC1001" t="inlineStr">
        <is>
          <t>AUTO</t>
        </is>
      </c>
      <c r="BD1001" t="inlineStr"/>
      <c r="BE1001" t="inlineStr"/>
      <c r="BF1001" t="inlineStr">
        <is>
          <t>AUTO_GENERERAD. Bekrafta metadata mot kallfil.</t>
        </is>
      </c>
      <c r="BG1001">
        <f>HYPERLINK("C:\Users\jimmy\Desktop\Examens arbete\Kod\Ny mapp\remix_-copy-of-miljöbeslut.se-portal\MN-2025-421-Anmälan.pdf", "Öppna PDF")</f>
        <v/>
      </c>
    </row>
    <row r="1002">
      <c r="A1002" t="inlineStr">
        <is>
          <t>KRAV-AUTO-001001</t>
        </is>
      </c>
      <c r="B1002" t="inlineStr">
        <is>
          <t>ADMIN-INDEX-2026-02-27-00000000125C043F57453246863FE664CAFE6A3F0700950291EA24F0614FB6ACEDB12BF0E31D00000000010C0000950291EA24F0614FB6ACEDB12BF0E31D00002087AE080000</t>
        </is>
      </c>
      <c r="C1002" t="inlineStr">
        <is>
          <t>cmm4yuq8603cecuqw8hjn9p3b</t>
        </is>
      </c>
      <c r="D1002" t="inlineStr">
        <is>
          <t>http://localhost:8787/api/admin/requirements/documents/cmm4yuq8603cecuqw8hjn9p3b/view</t>
        </is>
      </c>
      <c r="E1002">
        <f>HYPERLÄNK("http://localhost:8787/api/admin/requirements/documents/cmm4yuq8603cecuqw8hjn9p3b/view";"Öppna PDF")</f>
        <v/>
      </c>
      <c r="F1002">
        <f>HYPERLINK("http://localhost:8787/api/admin/requirements/documents/cmm4yuq8603cecuqw8hjn9p3b/view","Open PDF")</f>
        <v/>
      </c>
      <c r="G1002" t="inlineStr">
        <is>
          <t>cmm55w57p0004cuisfrtpqly8</t>
        </is>
      </c>
      <c r="H1002" t="inlineStr">
        <is>
          <t>Beslutsvillkor</t>
        </is>
      </c>
      <c r="I1002" t="inlineStr">
        <is>
          <t>MiljopaverkanForsiktighet</t>
        </is>
      </c>
      <c r="J1002" t="inlineStr">
        <is>
          <t>Skyddsatgarder</t>
        </is>
      </c>
      <c r="K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t>
        </is>
      </c>
      <c r="M1002" t="inlineStr">
        <is>
          <t>SKA</t>
        </is>
      </c>
      <c r="N1002" t="inlineStr">
        <is>
          <t>Miljobalken, FMH</t>
        </is>
      </c>
      <c r="O1002" t="inlineStr"/>
      <c r="P1002" t="inlineStr">
        <is>
          <t>Arlig</t>
        </is>
      </c>
      <c r="Q1002" t="inlineStr">
        <is>
          <t>Forelaggande vid brist</t>
        </is>
      </c>
      <c r="R1002" t="inlineStr">
        <is>
          <t>Alltid</t>
        </is>
      </c>
      <c r="S1002" t="inlineStr"/>
      <c r="T1002" t="inlineStr">
        <is>
          <t>559508</t>
        </is>
      </c>
      <c r="U1002" t="inlineStr"/>
      <c r="V1002" t="inlineStr"/>
      <c r="W1002" t="inlineStr">
        <is>
          <t>Nej</t>
        </is>
      </c>
      <c r="X1002" t="inlineStr">
        <is>
          <t>Nej</t>
        </is>
      </c>
      <c r="Y1002" t="inlineStr">
        <is>
          <t>Nej</t>
        </is>
      </c>
      <c r="Z1002" t="inlineStr">
        <is>
          <t>Nej</t>
        </is>
      </c>
      <c r="AA1002" t="n">
        <v>10</v>
      </c>
      <c r="AB1002" t="inlineStr">
        <is>
          <t>Miljopaverkan och forsiktighetsmatt</t>
        </is>
      </c>
      <c r="AC1002" t="inlineStr">
        <is>
          <t>Miljo-PM</t>
        </is>
      </c>
      <c r="AD1002" t="inlineStr">
        <is>
          <t>Nej</t>
        </is>
      </c>
      <c r="AE1002" t="inlineStr">
        <is>
          <t>Nej</t>
        </is>
      </c>
      <c r="AF1002" t="inlineStr">
        <is>
          <t>Ej behandlad</t>
        </is>
      </c>
      <c r="AG1002" t="inlineStr">
        <is>
          <t>AUTO_GENERERAD. Verifiera citat mot kallfil.</t>
        </is>
      </c>
      <c r="AH1002" t="inlineStr">
        <is>
          <t>HIGH</t>
        </is>
      </c>
      <c r="AI1002" t="inlineStr">
        <is>
          <t>AUTO</t>
        </is>
      </c>
      <c r="AJ1002" t="inlineStr">
        <is>
          <t>Nej</t>
        </is>
      </c>
      <c r="AK1002" t="inlineStr"/>
      <c r="AL1002" t="inlineStr"/>
      <c r="AM1002" t="inlineStr"/>
      <c r="AN1002" t="inlineStr"/>
      <c r="AO1002" t="inlineStr">
        <is>
          <t>cmm4yuq8h03cqcuqw79qvo0km</t>
        </is>
      </c>
      <c r="AP1002" t="inlineStr">
        <is>
          <t>http://localhost:8787/api/admin/requirements/documents/cmm4yuq8h03cqcuqw79qvo0km/view</t>
        </is>
      </c>
      <c r="AQ1002">
        <f>HYPERLÄNK("http://localhost:8787/api/admin/requirements/documents/cmm4yuq8h03cqcuqw79qvo0km/view";"Öppna PDF")</f>
        <v/>
      </c>
      <c r="AR1002">
        <f>HYPERLINK("http://localhost:8787/api/admin/requirements/documents/cmm4yuq8h03cqcuqw79qvo0km/view","Open PDF")</f>
        <v/>
      </c>
      <c r="AS1002" t="inlineStr">
        <is>
          <t>cmm55w57p0004cuisfrtpqly8</t>
        </is>
      </c>
      <c r="AT1002" t="inlineStr">
        <is>
          <t>cmm4xvu980000cuh4vj0usz09</t>
        </is>
      </c>
      <c r="AU1002" t="inlineStr">
        <is>
          <t>-- Arvidsjaurs</t>
        </is>
      </c>
      <c r="AV1002" t="inlineStr">
        <is>
          <t>Kommun</t>
        </is>
      </c>
      <c r="AW1002" t="inlineStr">
        <is>
          <t>-- Arvidsjaurs kommun</t>
        </is>
      </c>
      <c r="AX1002" t="inlineStr">
        <is>
          <t>0600-1800</t>
        </is>
      </c>
      <c r="AY1002" t="inlineStr">
        <is>
          <t>Anmalan</t>
        </is>
      </c>
      <c r="AZ1002" t="inlineStr">
        <is>
          <t>2026-02-04</t>
        </is>
      </c>
      <c r="BA1002" t="inlineStr">
        <is>
          <t>MN-2025-421-Anmälan.pdf</t>
        </is>
      </c>
      <c r="BB1002" t="inlineStr">
        <is>
          <t>Sv: till registrator</t>
        </is>
      </c>
      <c r="BC1002" t="inlineStr">
        <is>
          <t>AUTO</t>
        </is>
      </c>
      <c r="BD1002" t="inlineStr"/>
      <c r="BE1002" t="inlineStr"/>
      <c r="BF1002" t="inlineStr">
        <is>
          <t>AUTO_GENERERAD. Bekrafta metadata mot kallfil.</t>
        </is>
      </c>
      <c r="BG1002">
        <f>HYPERLINK("C:\Users\jimmy\Desktop\Examens arbete\Kod\Ny mapp\remix_-copy-of-miljöbeslut.se-portal\MN-2025-421-Anmälan.pdf", "Öppna PDF")</f>
        <v/>
      </c>
    </row>
    <row r="1003">
      <c r="A1003" t="inlineStr">
        <is>
          <t>KRAV-AUTO-001002</t>
        </is>
      </c>
      <c r="B1003" t="inlineStr">
        <is>
          <t>ADMIN-INDEX-2026-02-27-00000000125C043F57453246863FE664CAFE6A3F0700950291EA24F0614FB6ACEDB12BF0E31D00000000010C0000950291EA24F0614FB6ACEDB12BF0E31D00002087AE080000</t>
        </is>
      </c>
      <c r="C1003" t="inlineStr">
        <is>
          <t>cmm4yuq8603cecuqw8hjn9p3b</t>
        </is>
      </c>
      <c r="D1003" t="inlineStr">
        <is>
          <t>http://localhost:8787/api/admin/requirements/documents/cmm4yuq8603cecuqw8hjn9p3b/view</t>
        </is>
      </c>
      <c r="E1003">
        <f>HYPERLÄNK("http://localhost:8787/api/admin/requirements/documents/cmm4yuq8603cecuqw8hjn9p3b/view";"Öppna PDF")</f>
        <v/>
      </c>
      <c r="F1003">
        <f>HYPERLINK("http://localhost:8787/api/admin/requirements/documents/cmm4yuq8603cecuqw8hjn9p3b/view","Open PDF")</f>
        <v/>
      </c>
      <c r="G1003" t="inlineStr">
        <is>
          <t>cmm55w57p0004cuisfrtpqly8</t>
        </is>
      </c>
      <c r="H1003" t="inlineStr">
        <is>
          <t>Beslutsvillkor</t>
        </is>
      </c>
      <c r="I1003" t="inlineStr">
        <is>
          <t>LagringsvolymTid</t>
        </is>
      </c>
      <c r="J1003" t="inlineStr">
        <is>
          <t>Maxmangd</t>
        </is>
      </c>
      <c r="K1003" t="inlineStr">
        <is>
          <t>Anteckningar om mängder av avfall och hur dessa ska behandlas ska föras i enlighet med bestämmelserna i avfallslagstiftningen.</t>
        </is>
      </c>
      <c r="L1003" t="inlineStr">
        <is>
          <t>Anteckningar om mängder av avfall och hur dessa ska behandlas ska föras i enlighet med bestämmelserna i avfallslagstiftningen.</t>
        </is>
      </c>
      <c r="M1003" t="inlineStr">
        <is>
          <t>SKA</t>
        </is>
      </c>
      <c r="N1003" t="inlineStr"/>
      <c r="O1003" t="inlineStr"/>
      <c r="P1003" t="inlineStr"/>
      <c r="Q1003" t="inlineStr"/>
      <c r="R1003" t="inlineStr">
        <is>
          <t>Alltid</t>
        </is>
      </c>
      <c r="S1003" t="inlineStr"/>
      <c r="T1003" t="inlineStr">
        <is>
          <t>559508</t>
        </is>
      </c>
      <c r="U1003" t="inlineStr"/>
      <c r="V1003" t="inlineStr"/>
      <c r="W1003" t="inlineStr">
        <is>
          <t>Nej</t>
        </is>
      </c>
      <c r="X1003" t="inlineStr">
        <is>
          <t>Nej</t>
        </is>
      </c>
      <c r="Y1003" t="inlineStr">
        <is>
          <t>Nej</t>
        </is>
      </c>
      <c r="Z1003" t="inlineStr">
        <is>
          <t>Nej</t>
        </is>
      </c>
      <c r="AA1003" t="n">
        <v>4</v>
      </c>
      <c r="AB1003" t="inlineStr">
        <is>
          <t>Avfallsmangder och lagringstid</t>
        </is>
      </c>
      <c r="AC1003" t="inlineStr">
        <is>
          <t>Avfallsforteckning</t>
        </is>
      </c>
      <c r="AD1003" t="inlineStr">
        <is>
          <t>Nej</t>
        </is>
      </c>
      <c r="AE1003" t="inlineStr">
        <is>
          <t>Nej</t>
        </is>
      </c>
      <c r="AF1003" t="inlineStr">
        <is>
          <t>Ej behandlad</t>
        </is>
      </c>
      <c r="AG1003" t="inlineStr">
        <is>
          <t>AUTO_GENERERAD. Verifiera citat mot kallfil.</t>
        </is>
      </c>
      <c r="AH1003" t="inlineStr">
        <is>
          <t>MEDIUM</t>
        </is>
      </c>
      <c r="AI1003" t="inlineStr">
        <is>
          <t>AUTO</t>
        </is>
      </c>
      <c r="AJ1003" t="inlineStr">
        <is>
          <t>Nej</t>
        </is>
      </c>
      <c r="AK1003" t="inlineStr"/>
      <c r="AL1003" t="inlineStr"/>
      <c r="AM1003" t="inlineStr"/>
      <c r="AN1003" t="inlineStr"/>
      <c r="AO1003" t="inlineStr">
        <is>
          <t>cmm4yuq8h03cqcuqw79qvo0km</t>
        </is>
      </c>
      <c r="AP1003" t="inlineStr">
        <is>
          <t>http://localhost:8787/api/admin/requirements/documents/cmm4yuq8h03cqcuqw79qvo0km/view</t>
        </is>
      </c>
      <c r="AQ1003">
        <f>HYPERLÄNK("http://localhost:8787/api/admin/requirements/documents/cmm4yuq8h03cqcuqw79qvo0km/view";"Öppna PDF")</f>
        <v/>
      </c>
      <c r="AR1003">
        <f>HYPERLINK("http://localhost:8787/api/admin/requirements/documents/cmm4yuq8h03cqcuqw79qvo0km/view","Open PDF")</f>
        <v/>
      </c>
      <c r="AS1003" t="inlineStr">
        <is>
          <t>cmm55w57p0004cuisfrtpqly8</t>
        </is>
      </c>
      <c r="AT1003" t="inlineStr">
        <is>
          <t>cmm4xvu980000cuh4vj0usz09</t>
        </is>
      </c>
      <c r="AU1003" t="inlineStr">
        <is>
          <t>-- Arvidsjaurs</t>
        </is>
      </c>
      <c r="AV1003" t="inlineStr">
        <is>
          <t>Kommun</t>
        </is>
      </c>
      <c r="AW1003" t="inlineStr">
        <is>
          <t>-- Arvidsjaurs kommun</t>
        </is>
      </c>
      <c r="AX1003" t="inlineStr">
        <is>
          <t>0600-1800</t>
        </is>
      </c>
      <c r="AY1003" t="inlineStr">
        <is>
          <t>Anmalan</t>
        </is>
      </c>
      <c r="AZ1003" t="inlineStr">
        <is>
          <t>2026-02-04</t>
        </is>
      </c>
      <c r="BA1003" t="inlineStr">
        <is>
          <t>MN-2025-421-Anmälan.pdf</t>
        </is>
      </c>
      <c r="BB1003" t="inlineStr">
        <is>
          <t>Sv: till registrator</t>
        </is>
      </c>
      <c r="BC1003" t="inlineStr">
        <is>
          <t>AUTO</t>
        </is>
      </c>
      <c r="BD1003" t="inlineStr"/>
      <c r="BE1003" t="inlineStr"/>
      <c r="BF1003" t="inlineStr">
        <is>
          <t>AUTO_GENERERAD. Bekrafta metadata mot kallfil.</t>
        </is>
      </c>
      <c r="BG1003">
        <f>HYPERLINK("C:\Users\jimmy\Desktop\Examens arbete\Kod\Ny mapp\remix_-copy-of-miljöbeslut.se-portal\MN-2025-421-Anmälan.pdf", "Öppna PDF")</f>
        <v/>
      </c>
    </row>
    <row r="1004">
      <c r="A1004" t="inlineStr">
        <is>
          <t>KRAV-AUTO-001003</t>
        </is>
      </c>
      <c r="B1004" t="inlineStr">
        <is>
          <t>ADMIN-INDEX-2026-02-27-00000000125C043F57453246863FE664CAFE6A3F0700950291EA24F0614FB6ACEDB12BF0E31D00000000010C0000950291EA24F0614FB6ACEDB12BF0E31D00002087AE0B0000</t>
        </is>
      </c>
      <c r="C1004" t="inlineStr">
        <is>
          <t>cmm4yuq8203cbcuqwt5vz11gj</t>
        </is>
      </c>
      <c r="D1004" t="inlineStr">
        <is>
          <t>http://localhost:8787/api/admin/requirements/documents/cmm4yuq8203cbcuqwt5vz11gj/view</t>
        </is>
      </c>
      <c r="E1004">
        <f>HYPERLÄNK("http://localhost:8787/api/admin/requirements/documents/cmm4yuq8203cbcuqwt5vz11gj/view";"Öppna PDF")</f>
        <v/>
      </c>
      <c r="F1004">
        <f>HYPERLINK("http://localhost:8787/api/admin/requirements/documents/cmm4yuq8203cbcuqwt5vz11gj/view","Open PDF")</f>
        <v/>
      </c>
      <c r="G1004" t="inlineStr">
        <is>
          <t>cmm55w57p0004cuisfrtpqly8</t>
        </is>
      </c>
      <c r="H1004" t="inlineStr">
        <is>
          <t>Informationskrav</t>
        </is>
      </c>
      <c r="I1004" t="inlineStr">
        <is>
          <t>MiljopaverkanForsiktighet</t>
        </is>
      </c>
      <c r="J1004" t="inlineStr">
        <is>
          <t>Skyddsatgarder</t>
        </is>
      </c>
      <c r="K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1004" t="inlineStr">
        <is>
          <t>SKA</t>
        </is>
      </c>
      <c r="N1004" t="inlineStr">
        <is>
          <t>FMH</t>
        </is>
      </c>
      <c r="O1004" t="inlineStr">
        <is>
          <t>2019-02-11</t>
        </is>
      </c>
      <c r="P1004" t="inlineStr">
        <is>
          <t>Arlig</t>
        </is>
      </c>
      <c r="Q1004" t="inlineStr"/>
      <c r="R1004" t="inlineStr">
        <is>
          <t>Alltid</t>
        </is>
      </c>
      <c r="S1004" t="inlineStr"/>
      <c r="T1004" t="inlineStr"/>
      <c r="U1004" t="inlineStr"/>
      <c r="V1004" t="inlineStr"/>
      <c r="W1004" t="inlineStr">
        <is>
          <t>Nej</t>
        </is>
      </c>
      <c r="X1004" t="inlineStr">
        <is>
          <t>Nej</t>
        </is>
      </c>
      <c r="Y1004" t="inlineStr">
        <is>
          <t>Nej</t>
        </is>
      </c>
      <c r="Z1004" t="inlineStr">
        <is>
          <t>Nej</t>
        </is>
      </c>
      <c r="AA1004" t="n">
        <v>10</v>
      </c>
      <c r="AB1004" t="inlineStr">
        <is>
          <t>Miljopaverkan och forsiktighetsmatt</t>
        </is>
      </c>
      <c r="AC1004" t="inlineStr">
        <is>
          <t>Miljo-PM</t>
        </is>
      </c>
      <c r="AD1004" t="inlineStr">
        <is>
          <t>Nej</t>
        </is>
      </c>
      <c r="AE1004" t="inlineStr">
        <is>
          <t>Nej</t>
        </is>
      </c>
      <c r="AF1004" t="inlineStr">
        <is>
          <t>Ej behandlad</t>
        </is>
      </c>
      <c r="AG1004" t="inlineStr">
        <is>
          <t>AUTO_GENERERAD. Verifiera citat mot kallfil.</t>
        </is>
      </c>
      <c r="AH1004" t="inlineStr">
        <is>
          <t>MEDIUM</t>
        </is>
      </c>
      <c r="AI1004" t="inlineStr">
        <is>
          <t>AUTO</t>
        </is>
      </c>
      <c r="AJ1004" t="inlineStr">
        <is>
          <t>Nej</t>
        </is>
      </c>
      <c r="AK1004" t="inlineStr"/>
      <c r="AL1004" t="inlineStr"/>
      <c r="AM1004" t="inlineStr"/>
      <c r="AN1004" t="inlineStr"/>
      <c r="AO1004" t="inlineStr">
        <is>
          <t>cmm4yuq8203cbcuqwt5vz11gj</t>
        </is>
      </c>
      <c r="AP1004" t="inlineStr">
        <is>
          <t>http://localhost:8787/api/admin/requirements/documents/cmm4yuq8203cbcuqwt5vz11gj/view</t>
        </is>
      </c>
      <c r="AQ1004">
        <f>HYPERLÄNK("http://localhost:8787/api/admin/requirements/documents/cmm4yuq8203cbcuqwt5vz11gj/view";"Öppna PDF")</f>
        <v/>
      </c>
      <c r="AR1004">
        <f>HYPERLINK("http://localhost:8787/api/admin/requirements/documents/cmm4yuq8203cbcuqwt5vz11gj/view","Open PDF")</f>
        <v/>
      </c>
      <c r="AS1004" t="inlineStr">
        <is>
          <t>cmm55w57p0004cuisfrtpqly8</t>
        </is>
      </c>
      <c r="AT1004" t="inlineStr">
        <is>
          <t>cmm4xvu980000cuh4vj0usz09</t>
        </is>
      </c>
      <c r="AU1004" t="inlineStr"/>
      <c r="AV1004" t="inlineStr">
        <is>
          <t>Kommun</t>
        </is>
      </c>
      <c r="AW1004" t="inlineStr"/>
      <c r="AX1004" t="inlineStr">
        <is>
          <t>2019-4598</t>
        </is>
      </c>
      <c r="AY1004" t="inlineStr">
        <is>
          <t>Anmalan</t>
        </is>
      </c>
      <c r="AZ1004" t="inlineStr">
        <is>
          <t>2026-02-04</t>
        </is>
      </c>
      <c r="BA1004" t="inlineStr">
        <is>
          <t>Diariekort anmälningspliktiga verksamheter.pdf</t>
        </is>
      </c>
      <c r="BB1004" t="inlineStr">
        <is>
          <t>VB: till registrator</t>
        </is>
      </c>
      <c r="BC1004" t="inlineStr">
        <is>
          <t>AUTO</t>
        </is>
      </c>
      <c r="BD1004" t="inlineStr"/>
      <c r="BE1004" t="inlineStr"/>
      <c r="BF1004" t="inlineStr">
        <is>
          <t>AUTO_GENERERAD. Bekrafta metadata mot kallfil.</t>
        </is>
      </c>
      <c r="BG1004">
        <f>HYPERLINK("C:\Users\jimmy\Desktop\Examens arbete\Kod\Ny mapp\remix_-copy-of-miljöbeslut.se-portal\Diariekort anmälningspliktiga verksamheter.pdf", "Öppna PDF")</f>
        <v/>
      </c>
    </row>
    <row r="1005">
      <c r="A1005" t="inlineStr">
        <is>
          <t>KRAV-AUTO-001004</t>
        </is>
      </c>
      <c r="B1005" t="inlineStr">
        <is>
          <t>ADMIN-INDEX-2026-02-27-00000000125C043F57453246863FE664CAFE6A3F0700950291EA24F0614FB6ACEDB12BF0E31D00000000010C0000950291EA24F0614FB6ACEDB12BF0E31D00002087AE0B0000</t>
        </is>
      </c>
      <c r="C1005" t="inlineStr">
        <is>
          <t>cmm4yuq8203cbcuqwt5vz11gj</t>
        </is>
      </c>
      <c r="D1005" t="inlineStr">
        <is>
          <t>http://localhost:8787/api/admin/requirements/documents/cmm4yuq8203cbcuqwt5vz11gj/view</t>
        </is>
      </c>
      <c r="E1005">
        <f>HYPERLÄNK("http://localhost:8787/api/admin/requirements/documents/cmm4yuq8203cbcuqwt5vz11gj/view";"Öppna PDF")</f>
        <v/>
      </c>
      <c r="F1005">
        <f>HYPERLINK("http://localhost:8787/api/admin/requirements/documents/cmm4yuq8203cbcuqwt5vz11gj/view","Open PDF")</f>
        <v/>
      </c>
      <c r="G1005" t="inlineStr">
        <is>
          <t>cmm55w57p0004cuisfrtpqly8</t>
        </is>
      </c>
      <c r="H1005" t="inlineStr">
        <is>
          <t>Informationskrav</t>
        </is>
      </c>
      <c r="I1005" t="inlineStr">
        <is>
          <t>MiljopaverkanForsiktighet</t>
        </is>
      </c>
      <c r="J1005" t="inlineStr">
        <is>
          <t>Skyddsatgarder</t>
        </is>
      </c>
      <c r="K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1005" t="inlineStr">
        <is>
          <t>BOR</t>
        </is>
      </c>
      <c r="N1005" t="inlineStr"/>
      <c r="O1005" t="inlineStr">
        <is>
          <t>2025-04-28</t>
        </is>
      </c>
      <c r="P1005" t="inlineStr"/>
      <c r="Q1005" t="inlineStr">
        <is>
          <t>Vite</t>
        </is>
      </c>
      <c r="R1005" t="inlineStr">
        <is>
          <t>Alltid</t>
        </is>
      </c>
      <c r="S1005" t="inlineStr"/>
      <c r="T1005" t="inlineStr">
        <is>
          <t>26 2025</t>
        </is>
      </c>
      <c r="U1005" t="inlineStr"/>
      <c r="V1005" t="inlineStr"/>
      <c r="W1005" t="inlineStr">
        <is>
          <t>Nej</t>
        </is>
      </c>
      <c r="X1005" t="inlineStr">
        <is>
          <t>Nej</t>
        </is>
      </c>
      <c r="Y1005" t="inlineStr">
        <is>
          <t>Nej</t>
        </is>
      </c>
      <c r="Z1005" t="inlineStr">
        <is>
          <t>Nej</t>
        </is>
      </c>
      <c r="AA1005" t="n">
        <v>10</v>
      </c>
      <c r="AB1005" t="inlineStr">
        <is>
          <t>Miljopaverkan och forsiktighetsmatt</t>
        </is>
      </c>
      <c r="AC1005" t="inlineStr">
        <is>
          <t>Miljo-PM</t>
        </is>
      </c>
      <c r="AD1005" t="inlineStr">
        <is>
          <t>Nej</t>
        </is>
      </c>
      <c r="AE1005" t="inlineStr">
        <is>
          <t>Nej</t>
        </is>
      </c>
      <c r="AF1005" t="inlineStr">
        <is>
          <t>Ej behandlad</t>
        </is>
      </c>
      <c r="AG1005" t="inlineStr">
        <is>
          <t>AUTO_GENERERAD. Verifiera citat mot kallfil.</t>
        </is>
      </c>
      <c r="AH1005" t="inlineStr">
        <is>
          <t>MEDIUM</t>
        </is>
      </c>
      <c r="AI1005" t="inlineStr">
        <is>
          <t>AUTO</t>
        </is>
      </c>
      <c r="AJ1005" t="inlineStr">
        <is>
          <t>Nej</t>
        </is>
      </c>
      <c r="AK1005" t="inlineStr"/>
      <c r="AL1005" t="inlineStr"/>
      <c r="AM1005" t="inlineStr"/>
      <c r="AN1005" t="inlineStr"/>
      <c r="AO1005" t="inlineStr">
        <is>
          <t>cmm4yuq8203cbcuqwt5vz11gj</t>
        </is>
      </c>
      <c r="AP1005" t="inlineStr">
        <is>
          <t>http://localhost:8787/api/admin/requirements/documents/cmm4yuq8203cbcuqwt5vz11gj/view</t>
        </is>
      </c>
      <c r="AQ1005">
        <f>HYPERLÄNK("http://localhost:8787/api/admin/requirements/documents/cmm4yuq8203cbcuqwt5vz11gj/view";"Öppna PDF")</f>
        <v/>
      </c>
      <c r="AR1005">
        <f>HYPERLINK("http://localhost:8787/api/admin/requirements/documents/cmm4yuq8203cbcuqwt5vz11gj/view","Open PDF")</f>
        <v/>
      </c>
      <c r="AS1005" t="inlineStr">
        <is>
          <t>cmm55w57p0004cuisfrtpqly8</t>
        </is>
      </c>
      <c r="AT1005" t="inlineStr">
        <is>
          <t>cmm4xvu980000cuh4vj0usz09</t>
        </is>
      </c>
      <c r="AU1005" t="inlineStr"/>
      <c r="AV1005" t="inlineStr">
        <is>
          <t>Kommun</t>
        </is>
      </c>
      <c r="AW1005" t="inlineStr"/>
      <c r="AX1005" t="inlineStr">
        <is>
          <t>2019-4598</t>
        </is>
      </c>
      <c r="AY1005" t="inlineStr">
        <is>
          <t>Anmalan</t>
        </is>
      </c>
      <c r="AZ1005" t="inlineStr">
        <is>
          <t>2026-02-04</t>
        </is>
      </c>
      <c r="BA1005" t="inlineStr">
        <is>
          <t>Diariekort anmälningspliktiga verksamheter.pdf</t>
        </is>
      </c>
      <c r="BB1005" t="inlineStr">
        <is>
          <t>VB: till registrator</t>
        </is>
      </c>
      <c r="BC1005" t="inlineStr">
        <is>
          <t>AUTO</t>
        </is>
      </c>
      <c r="BD1005" t="inlineStr"/>
      <c r="BE1005" t="inlineStr"/>
      <c r="BF1005" t="inlineStr">
        <is>
          <t>AUTO_GENERERAD. Bekrafta metadata mot kallfil.</t>
        </is>
      </c>
      <c r="BG1005">
        <f>HYPERLINK("C:\Users\jimmy\Desktop\Examens arbete\Kod\Ny mapp\remix_-copy-of-miljöbeslut.se-portal\Diariekort anmälningspliktiga verksamheter.pdf", "Öppna PDF")</f>
        <v/>
      </c>
    </row>
    <row r="1006">
      <c r="A1006" t="inlineStr">
        <is>
          <t>KRAV-AUTO-001005</t>
        </is>
      </c>
      <c r="B1006" t="inlineStr">
        <is>
          <t>ADMIN-INDEX-2026-02-27-00000000125C043F57453246863FE664CAFE6A3F0700950291EA24F0614FB6ACEDB12BF0E31D00000000010C0000950291EA24F0614FB6ACEDB12BF0E31D00002087AE230000</t>
        </is>
      </c>
      <c r="C1006" t="inlineStr">
        <is>
          <t>cmm4yuq7003b5cuqwu0h0s83x</t>
        </is>
      </c>
      <c r="D1006" t="inlineStr">
        <is>
          <t>http://localhost:8787/api/admin/requirements/documents/cmm4yuq7003b5cuqwu0h0s83x/view</t>
        </is>
      </c>
      <c r="E1006">
        <f>HYPERLÄNK("http://localhost:8787/api/admin/requirements/documents/cmm4yuq7003b5cuqwu0h0s83x/view";"Öppna PDF")</f>
        <v/>
      </c>
      <c r="F1006">
        <f>HYPERLINK("http://localhost:8787/api/admin/requirements/documents/cmm4yuq7003b5cuqwu0h0s83x/view","Open PDF")</f>
        <v/>
      </c>
      <c r="G1006" t="inlineStr">
        <is>
          <t>cmm55w57p0004cuisfrtpqly8</t>
        </is>
      </c>
      <c r="H1006" t="inlineStr">
        <is>
          <t>Beslutsvillkor</t>
        </is>
      </c>
      <c r="I1006" t="inlineStr">
        <is>
          <t>DagvattenLakvatten</t>
        </is>
      </c>
      <c r="J1006" t="inlineStr">
        <is>
          <t>Uppsamling</t>
        </is>
      </c>
      <c r="K1006" t="inlineStr">
        <is>
          <t>Spill och förorenat dagvatten från hantering av elavfall ska kunna samlas upp och kontrolleras.</t>
        </is>
      </c>
      <c r="L1006" t="inlineStr">
        <is>
          <t>Spill och förorenat dagvatten från hantering av elavfall ska kunna samlas upp och kontrolleras.</t>
        </is>
      </c>
      <c r="M1006" t="inlineStr">
        <is>
          <t>SKA</t>
        </is>
      </c>
      <c r="N1006" t="inlineStr"/>
      <c r="O1006" t="inlineStr"/>
      <c r="P1006" t="inlineStr"/>
      <c r="Q1006" t="inlineStr"/>
      <c r="R1006" t="inlineStr">
        <is>
          <t>Vid nederbord och avrinning</t>
        </is>
      </c>
      <c r="S1006" t="inlineStr"/>
      <c r="T1006" t="inlineStr">
        <is>
          <t>12 40 50</t>
        </is>
      </c>
      <c r="U1006" t="inlineStr"/>
      <c r="V1006" t="inlineStr"/>
      <c r="W1006" t="inlineStr">
        <is>
          <t>Nej</t>
        </is>
      </c>
      <c r="X1006" t="inlineStr">
        <is>
          <t>Ja</t>
        </is>
      </c>
      <c r="Y1006" t="inlineStr">
        <is>
          <t>Ja</t>
        </is>
      </c>
      <c r="Z1006" t="inlineStr">
        <is>
          <t>Nej</t>
        </is>
      </c>
      <c r="AA1006" t="n">
        <v>6</v>
      </c>
      <c r="AB1006" t="inlineStr">
        <is>
          <t>Lakvattenhantering</t>
        </is>
      </c>
      <c r="AC1006" t="inlineStr">
        <is>
          <t>Flodesschema dagvatten-lakvatten</t>
        </is>
      </c>
      <c r="AD1006" t="inlineStr">
        <is>
          <t>Nej</t>
        </is>
      </c>
      <c r="AE1006" t="inlineStr">
        <is>
          <t>Nej</t>
        </is>
      </c>
      <c r="AF1006" t="inlineStr">
        <is>
          <t>Ej behandlad</t>
        </is>
      </c>
      <c r="AG1006" t="inlineStr">
        <is>
          <t>AUTO_GENERERAD. Verifiera citat mot kallfil.</t>
        </is>
      </c>
      <c r="AH1006" t="inlineStr">
        <is>
          <t>MEDIUM</t>
        </is>
      </c>
      <c r="AI1006" t="inlineStr">
        <is>
          <t>AUTO</t>
        </is>
      </c>
      <c r="AJ1006" t="inlineStr">
        <is>
          <t>Nej</t>
        </is>
      </c>
      <c r="AK1006" t="inlineStr"/>
      <c r="AL1006" t="inlineStr"/>
      <c r="AM1006" t="inlineStr"/>
      <c r="AN1006" t="inlineStr"/>
      <c r="AO1006" t="inlineStr">
        <is>
          <t>cmm4yuq7503bbcuqway70c0xj</t>
        </is>
      </c>
      <c r="AP1006" t="inlineStr">
        <is>
          <t>http://localhost:8787/api/admin/requirements/documents/cmm4yuq7503bbcuqway70c0xj/view</t>
        </is>
      </c>
      <c r="AQ1006">
        <f>HYPERLÄNK("http://localhost:8787/api/admin/requirements/documents/cmm4yuq7503bbcuqway70c0xj/view";"Öppna PDF")</f>
        <v/>
      </c>
      <c r="AR1006">
        <f>HYPERLINK("http://localhost:8787/api/admin/requirements/documents/cmm4yuq7503bbcuqway70c0xj/view","Open PDF")</f>
        <v/>
      </c>
      <c r="AS1006" t="inlineStr">
        <is>
          <t>cmm55w57p0004cuisfrtpqly8</t>
        </is>
      </c>
      <c r="AT1006" t="inlineStr">
        <is>
          <t>cmm4xvu980000cuh4vj0usz09</t>
        </is>
      </c>
      <c r="AU1006" t="inlineStr"/>
      <c r="AV1006" t="inlineStr">
        <is>
          <t>Kommun</t>
        </is>
      </c>
      <c r="AW1006" t="inlineStr"/>
      <c r="AX1006" t="inlineStr">
        <is>
          <t>2024-11</t>
        </is>
      </c>
      <c r="AY1006" t="inlineStr">
        <is>
          <t>Anmalan</t>
        </is>
      </c>
      <c r="AZ1006" t="inlineStr">
        <is>
          <t>2026-02-04</t>
        </is>
      </c>
      <c r="BA1006" t="inlineStr">
        <is>
          <t>anmälan.pdf</t>
        </is>
      </c>
      <c r="BB1006" t="inlineStr">
        <is>
          <t>till registrator</t>
        </is>
      </c>
      <c r="BC1006" t="inlineStr">
        <is>
          <t>AUTO</t>
        </is>
      </c>
      <c r="BD1006" t="inlineStr"/>
      <c r="BE1006" t="inlineStr"/>
      <c r="BF1006" t="inlineStr">
        <is>
          <t>AUTO_GENERERAD. Bekrafta metadata mot kallfil.</t>
        </is>
      </c>
      <c r="BG1006">
        <f>HYPERLINK("C:\Users\jimmy\Desktop\Examens arbete\Kod\Ny mapp\remix_-copy-of-miljöbeslut.se-portal\anmälan.pdf", "Öppna PDF")</f>
        <v/>
      </c>
    </row>
    <row r="1007">
      <c r="A1007" t="inlineStr">
        <is>
          <t>KRAV-AUTO-001006</t>
        </is>
      </c>
      <c r="B1007" t="inlineStr">
        <is>
          <t>ADMIN-INDEX-2026-02-27-00000000125C043F57453246863FE664CAFE6A3F0700950291EA24F0614FB6ACEDB12BF0E31D00000000010C0000950291EA24F0614FB6ACEDB12BF0E31D00002087AE230000</t>
        </is>
      </c>
      <c r="C1007" t="inlineStr">
        <is>
          <t>cmm4yuq7003b5cuqwu0h0s83x</t>
        </is>
      </c>
      <c r="D1007" t="inlineStr">
        <is>
          <t>http://localhost:8787/api/admin/requirements/documents/cmm4yuq7003b5cuqwu0h0s83x/view</t>
        </is>
      </c>
      <c r="E1007">
        <f>HYPERLÄNK("http://localhost:8787/api/admin/requirements/documents/cmm4yuq7003b5cuqwu0h0s83x/view";"Öppna PDF")</f>
        <v/>
      </c>
      <c r="F1007">
        <f>HYPERLINK("http://localhost:8787/api/admin/requirements/documents/cmm4yuq7003b5cuqwu0h0s83x/view","Open PDF")</f>
        <v/>
      </c>
      <c r="G1007" t="inlineStr">
        <is>
          <t>cmm55w57p0004cuisfrtpqly8</t>
        </is>
      </c>
      <c r="H1007" t="inlineStr">
        <is>
          <t>Beslutsvillkor</t>
        </is>
      </c>
      <c r="I1007" t="inlineStr">
        <is>
          <t>Ytkonstruktion</t>
        </is>
      </c>
      <c r="J1007" t="inlineStr">
        <is>
          <t>Tat yta</t>
        </is>
      </c>
      <c r="K1007" t="inlineStr">
        <is>
          <t>Det ska även förvaras på tät invallad yta under tak.</t>
        </is>
      </c>
      <c r="L1007" t="inlineStr">
        <is>
          <t>Det ska även förvaras på tät invallad yta under tak.</t>
        </is>
      </c>
      <c r="M1007" t="inlineStr">
        <is>
          <t>SKA</t>
        </is>
      </c>
      <c r="N1007" t="inlineStr"/>
      <c r="O1007" t="inlineStr"/>
      <c r="P1007" t="inlineStr"/>
      <c r="Q1007" t="inlineStr"/>
      <c r="R1007" t="inlineStr">
        <is>
          <t>Vid mellanlagring av avfall</t>
        </is>
      </c>
      <c r="S1007" t="inlineStr"/>
      <c r="T1007" t="inlineStr">
        <is>
          <t>12 40 50</t>
        </is>
      </c>
      <c r="U1007" t="inlineStr"/>
      <c r="V1007" t="inlineStr"/>
      <c r="W1007" t="inlineStr">
        <is>
          <t>Ja</t>
        </is>
      </c>
      <c r="X1007" t="inlineStr">
        <is>
          <t>Nej</t>
        </is>
      </c>
      <c r="Y1007" t="inlineStr">
        <is>
          <t>Nej</t>
        </is>
      </c>
      <c r="Z1007" t="inlineStr">
        <is>
          <t>Nej</t>
        </is>
      </c>
      <c r="AA1007" t="n">
        <v>5</v>
      </c>
      <c r="AB1007" t="inlineStr">
        <is>
          <t>Teknisk beskrivning av platta</t>
        </is>
      </c>
      <c r="AC1007" t="inlineStr">
        <is>
          <t>Teknisk ritning platta</t>
        </is>
      </c>
      <c r="AD1007" t="inlineStr">
        <is>
          <t>Nej</t>
        </is>
      </c>
      <c r="AE1007" t="inlineStr">
        <is>
          <t>Nej</t>
        </is>
      </c>
      <c r="AF1007" t="inlineStr">
        <is>
          <t>Ej behandlad</t>
        </is>
      </c>
      <c r="AG1007" t="inlineStr">
        <is>
          <t>AUTO_GENERERAD. Verifiera citat mot kallfil.</t>
        </is>
      </c>
      <c r="AH1007" t="inlineStr">
        <is>
          <t>MEDIUM</t>
        </is>
      </c>
      <c r="AI1007" t="inlineStr">
        <is>
          <t>AUTO</t>
        </is>
      </c>
      <c r="AJ1007" t="inlineStr">
        <is>
          <t>Nej</t>
        </is>
      </c>
      <c r="AK1007" t="inlineStr"/>
      <c r="AL1007" t="inlineStr"/>
      <c r="AM1007" t="inlineStr"/>
      <c r="AN1007" t="inlineStr"/>
      <c r="AO1007" t="inlineStr">
        <is>
          <t>cmm4yuq7503bbcuqway70c0xj</t>
        </is>
      </c>
      <c r="AP1007" t="inlineStr">
        <is>
          <t>http://localhost:8787/api/admin/requirements/documents/cmm4yuq7503bbcuqway70c0xj/view</t>
        </is>
      </c>
      <c r="AQ1007">
        <f>HYPERLÄNK("http://localhost:8787/api/admin/requirements/documents/cmm4yuq7503bbcuqway70c0xj/view";"Öppna PDF")</f>
        <v/>
      </c>
      <c r="AR1007">
        <f>HYPERLINK("http://localhost:8787/api/admin/requirements/documents/cmm4yuq7503bbcuqway70c0xj/view","Open PDF")</f>
        <v/>
      </c>
      <c r="AS1007" t="inlineStr">
        <is>
          <t>cmm55w57p0004cuisfrtpqly8</t>
        </is>
      </c>
      <c r="AT1007" t="inlineStr">
        <is>
          <t>cmm4xvu980000cuh4vj0usz09</t>
        </is>
      </c>
      <c r="AU1007" t="inlineStr"/>
      <c r="AV1007" t="inlineStr">
        <is>
          <t>Kommun</t>
        </is>
      </c>
      <c r="AW1007" t="inlineStr"/>
      <c r="AX1007" t="inlineStr">
        <is>
          <t>2024-11</t>
        </is>
      </c>
      <c r="AY1007" t="inlineStr">
        <is>
          <t>Anmalan</t>
        </is>
      </c>
      <c r="AZ1007" t="inlineStr">
        <is>
          <t>2026-02-04</t>
        </is>
      </c>
      <c r="BA1007" t="inlineStr">
        <is>
          <t>anmälan.pdf</t>
        </is>
      </c>
      <c r="BB1007" t="inlineStr">
        <is>
          <t>till registrator</t>
        </is>
      </c>
      <c r="BC1007" t="inlineStr">
        <is>
          <t>AUTO</t>
        </is>
      </c>
      <c r="BD1007" t="inlineStr"/>
      <c r="BE1007" t="inlineStr"/>
      <c r="BF1007" t="inlineStr">
        <is>
          <t>AUTO_GENERERAD. Bekrafta metadata mot kallfil.</t>
        </is>
      </c>
      <c r="BG1007">
        <f>HYPERLINK("C:\Users\jimmy\Desktop\Examens arbete\Kod\Ny mapp\remix_-copy-of-miljöbeslut.se-portal\anmälan.pdf", "Öppna PDF")</f>
        <v/>
      </c>
    </row>
    <row r="1008">
      <c r="A1008" t="inlineStr">
        <is>
          <t>KRAV-AUTO-001007</t>
        </is>
      </c>
      <c r="B1008" t="inlineStr">
        <is>
          <t>ADMIN-INDEX-2026-02-27-00000000125C043F57453246863FE664CAFE6A3F0700950291EA24F0614FB6ACEDB12BF0E31D00000000010C0000950291EA24F0614FB6ACEDB12BF0E31D00002087AE230000</t>
        </is>
      </c>
      <c r="C1008" t="inlineStr">
        <is>
          <t>cmm4yuq7003b5cuqwu0h0s83x</t>
        </is>
      </c>
      <c r="D1008" t="inlineStr">
        <is>
          <t>http://localhost:8787/api/admin/requirements/documents/cmm4yuq7003b5cuqwu0h0s83x/view</t>
        </is>
      </c>
      <c r="E1008">
        <f>HYPERLÄNK("http://localhost:8787/api/admin/requirements/documents/cmm4yuq7003b5cuqwu0h0s83x/view";"Öppna PDF")</f>
        <v/>
      </c>
      <c r="F1008">
        <f>HYPERLINK("http://localhost:8787/api/admin/requirements/documents/cmm4yuq7003b5cuqwu0h0s83x/view","Open PDF")</f>
        <v/>
      </c>
      <c r="G1008" t="inlineStr">
        <is>
          <t>cmm55w57p0004cuisfrtpqly8</t>
        </is>
      </c>
      <c r="H1008" t="inlineStr">
        <is>
          <t>Beslutsvillkor</t>
        </is>
      </c>
      <c r="I1008" t="inlineStr">
        <is>
          <t>Ytkonstruktion</t>
        </is>
      </c>
      <c r="J1008" t="inlineStr">
        <is>
          <t>Tat yta</t>
        </is>
      </c>
      <c r="K1008" t="inlineStr">
        <is>
          <t>• Elavfall ska sorteras ut lagras skyddat mot nederbörd och förvaras på en plats med tät ytbeläggning.</t>
        </is>
      </c>
      <c r="L1008" t="inlineStr">
        <is>
          <t>• Elavfall ska sorteras ut lagras skyddat mot nederbörd och förvaras på en plats med tät ytbeläggning.</t>
        </is>
      </c>
      <c r="M1008" t="inlineStr">
        <is>
          <t>SKA</t>
        </is>
      </c>
      <c r="N1008" t="inlineStr"/>
      <c r="O1008" t="inlineStr"/>
      <c r="P1008" t="inlineStr"/>
      <c r="Q1008" t="inlineStr"/>
      <c r="R1008" t="inlineStr">
        <is>
          <t>Vid mellanlagring av avfall</t>
        </is>
      </c>
      <c r="S1008" t="inlineStr"/>
      <c r="T1008" t="inlineStr">
        <is>
          <t>12 40 50</t>
        </is>
      </c>
      <c r="U1008" t="inlineStr"/>
      <c r="V1008" t="inlineStr"/>
      <c r="W1008" t="inlineStr">
        <is>
          <t>Ja</t>
        </is>
      </c>
      <c r="X1008" t="inlineStr">
        <is>
          <t>Nej</t>
        </is>
      </c>
      <c r="Y1008" t="inlineStr">
        <is>
          <t>Nej</t>
        </is>
      </c>
      <c r="Z1008" t="inlineStr">
        <is>
          <t>Nej</t>
        </is>
      </c>
      <c r="AA1008" t="n">
        <v>5</v>
      </c>
      <c r="AB1008" t="inlineStr">
        <is>
          <t>Teknisk beskrivning av platta</t>
        </is>
      </c>
      <c r="AC1008" t="inlineStr">
        <is>
          <t>Teknisk ritning platta</t>
        </is>
      </c>
      <c r="AD1008" t="inlineStr">
        <is>
          <t>Nej</t>
        </is>
      </c>
      <c r="AE1008" t="inlineStr">
        <is>
          <t>Nej</t>
        </is>
      </c>
      <c r="AF1008" t="inlineStr">
        <is>
          <t>Ej behandlad</t>
        </is>
      </c>
      <c r="AG1008" t="inlineStr">
        <is>
          <t>AUTO_GENERERAD. Verifiera citat mot kallfil.</t>
        </is>
      </c>
      <c r="AH1008" t="inlineStr">
        <is>
          <t>MEDIUM</t>
        </is>
      </c>
      <c r="AI1008" t="inlineStr">
        <is>
          <t>AUTO</t>
        </is>
      </c>
      <c r="AJ1008" t="inlineStr">
        <is>
          <t>Nej</t>
        </is>
      </c>
      <c r="AK1008" t="inlineStr"/>
      <c r="AL1008" t="inlineStr"/>
      <c r="AM1008" t="inlineStr"/>
      <c r="AN1008" t="inlineStr"/>
      <c r="AO1008" t="inlineStr">
        <is>
          <t>cmm4yuq7503bbcuqway70c0xj</t>
        </is>
      </c>
      <c r="AP1008" t="inlineStr">
        <is>
          <t>http://localhost:8787/api/admin/requirements/documents/cmm4yuq7503bbcuqway70c0xj/view</t>
        </is>
      </c>
      <c r="AQ1008">
        <f>HYPERLÄNK("http://localhost:8787/api/admin/requirements/documents/cmm4yuq7503bbcuqway70c0xj/view";"Öppna PDF")</f>
        <v/>
      </c>
      <c r="AR1008">
        <f>HYPERLINK("http://localhost:8787/api/admin/requirements/documents/cmm4yuq7503bbcuqway70c0xj/view","Open PDF")</f>
        <v/>
      </c>
      <c r="AS1008" t="inlineStr">
        <is>
          <t>cmm55w57p0004cuisfrtpqly8</t>
        </is>
      </c>
      <c r="AT1008" t="inlineStr">
        <is>
          <t>cmm4xvu980000cuh4vj0usz09</t>
        </is>
      </c>
      <c r="AU1008" t="inlineStr"/>
      <c r="AV1008" t="inlineStr">
        <is>
          <t>Kommun</t>
        </is>
      </c>
      <c r="AW1008" t="inlineStr"/>
      <c r="AX1008" t="inlineStr">
        <is>
          <t>2024-11</t>
        </is>
      </c>
      <c r="AY1008" t="inlineStr">
        <is>
          <t>Anmalan</t>
        </is>
      </c>
      <c r="AZ1008" t="inlineStr">
        <is>
          <t>2026-02-04</t>
        </is>
      </c>
      <c r="BA1008" t="inlineStr">
        <is>
          <t>anmälan.pdf</t>
        </is>
      </c>
      <c r="BB1008" t="inlineStr">
        <is>
          <t>till registrator</t>
        </is>
      </c>
      <c r="BC1008" t="inlineStr">
        <is>
          <t>AUTO</t>
        </is>
      </c>
      <c r="BD1008" t="inlineStr"/>
      <c r="BE1008" t="inlineStr"/>
      <c r="BF1008" t="inlineStr">
        <is>
          <t>AUTO_GENERERAD. Bekrafta metadata mot kallfil.</t>
        </is>
      </c>
      <c r="BG1008">
        <f>HYPERLINK("C:\Users\jimmy\Desktop\Examens arbete\Kod\Ny mapp\remix_-copy-of-miljöbeslut.se-portal\anmälan.pdf", "Öppna PDF")</f>
        <v/>
      </c>
    </row>
    <row r="1009">
      <c r="A1009" t="inlineStr">
        <is>
          <t>KRAV-AUTO-001008</t>
        </is>
      </c>
      <c r="B1009" t="inlineStr">
        <is>
          <t>ADMIN-INDEX-2026-02-27-00000000125C043F57453246863FE664CAFE6A3F0700950291EA24F0614FB6ACEDB12BF0E31D00000000010C0000950291EA24F0614FB6ACEDB12BF0E31D00002087AE240000</t>
        </is>
      </c>
      <c r="C1009" t="inlineStr">
        <is>
          <t>cmm4yuq6x03b2cuqwo57iihur</t>
        </is>
      </c>
      <c r="D1009" t="inlineStr">
        <is>
          <t>http://localhost:8787/api/admin/requirements/documents/cmm4yuq6x03b2cuqwo57iihur/view</t>
        </is>
      </c>
      <c r="E1009">
        <f>HYPERLÄNK("http://localhost:8787/api/admin/requirements/documents/cmm4yuq6x03b2cuqwo57iihur/view";"Öppna PDF")</f>
        <v/>
      </c>
      <c r="F1009">
        <f>HYPERLINK("http://localhost:8787/api/admin/requirements/documents/cmm4yuq6x03b2cuqwo57iihur/view","Open PDF")</f>
        <v/>
      </c>
      <c r="G1009" t="inlineStr">
        <is>
          <t>cmm55w57p0004cuisfrtpqly8</t>
        </is>
      </c>
      <c r="H1009" t="inlineStr">
        <is>
          <t>Informationskrav</t>
        </is>
      </c>
      <c r="I1009" t="inlineStr">
        <is>
          <t>LagringsvolymTid</t>
        </is>
      </c>
      <c r="J1009" t="inlineStr">
        <is>
          <t>Maxmangd</t>
        </is>
      </c>
      <c r="K1009" t="inlineStr">
        <is>
          <t>Beskriv verksamheten och ge om möjligt en kort historik Omlastning av sopor från en stor mängd företag i Gagnefs kommun där vi har för avsikt att påbörja sortering av detta avfall.</t>
        </is>
      </c>
      <c r="L1009" t="inlineStr">
        <is>
          <t>Beskriv verksamheten och ge om möjligt en kort historik Omlastning av sopor från en stor mängd företag i Gagnefs kommun där vi har för avsikt att påbörja sortering av detta avfall.</t>
        </is>
      </c>
      <c r="M1009" t="inlineStr">
        <is>
          <t>BOR</t>
        </is>
      </c>
      <c r="N1009" t="inlineStr"/>
      <c r="O1009" t="inlineStr"/>
      <c r="P1009" t="inlineStr"/>
      <c r="Q1009" t="inlineStr"/>
      <c r="R1009" t="inlineStr">
        <is>
          <t>Alltid</t>
        </is>
      </c>
      <c r="S1009" t="inlineStr"/>
      <c r="T1009" t="inlineStr">
        <is>
          <t>556106</t>
        </is>
      </c>
      <c r="U1009" t="inlineStr"/>
      <c r="V1009" t="inlineStr"/>
      <c r="W1009" t="inlineStr">
        <is>
          <t>Nej</t>
        </is>
      </c>
      <c r="X1009" t="inlineStr">
        <is>
          <t>Nej</t>
        </is>
      </c>
      <c r="Y1009" t="inlineStr">
        <is>
          <t>Nej</t>
        </is>
      </c>
      <c r="Z1009" t="inlineStr">
        <is>
          <t>Nej</t>
        </is>
      </c>
      <c r="AA1009" t="n">
        <v>4</v>
      </c>
      <c r="AB1009" t="inlineStr">
        <is>
          <t>Avfallsmangder och lagringstid</t>
        </is>
      </c>
      <c r="AC1009" t="inlineStr">
        <is>
          <t>Avfallsforteckning</t>
        </is>
      </c>
      <c r="AD1009" t="inlineStr">
        <is>
          <t>Nej</t>
        </is>
      </c>
      <c r="AE1009" t="inlineStr">
        <is>
          <t>Nej</t>
        </is>
      </c>
      <c r="AF1009" t="inlineStr">
        <is>
          <t>Ej behandlad</t>
        </is>
      </c>
      <c r="AG1009" t="inlineStr">
        <is>
          <t>AUTO_GENERERAD. Verifiera citat mot kallfil.</t>
        </is>
      </c>
      <c r="AH1009" t="inlineStr">
        <is>
          <t>MEDIUM</t>
        </is>
      </c>
      <c r="AI1009" t="inlineStr">
        <is>
          <t>AUTO</t>
        </is>
      </c>
      <c r="AJ1009" t="inlineStr">
        <is>
          <t>Nej</t>
        </is>
      </c>
      <c r="AK1009" t="inlineStr"/>
      <c r="AL1009" t="inlineStr"/>
      <c r="AM1009" t="inlineStr"/>
      <c r="AN1009" t="inlineStr"/>
      <c r="AO1009" t="inlineStr">
        <is>
          <t>cmm4yuq6r03awcuqwq022xuhi</t>
        </is>
      </c>
      <c r="AP1009" t="inlineStr">
        <is>
          <t>http://localhost:8787/api/admin/requirements/documents/cmm4yuq6r03awcuqwq022xuhi/view</t>
        </is>
      </c>
      <c r="AQ1009">
        <f>HYPERLÄNK("http://localhost:8787/api/admin/requirements/documents/cmm4yuq6r03awcuqwq022xuhi/view";"Öppna PDF")</f>
        <v/>
      </c>
      <c r="AR1009">
        <f>HYPERLINK("http://localhost:8787/api/admin/requirements/documents/cmm4yuq6r03awcuqwq022xuhi/view","Open PDF")</f>
        <v/>
      </c>
      <c r="AS1009" t="inlineStr">
        <is>
          <t>cmm55w57p0004cuisfrtpqly8</t>
        </is>
      </c>
      <c r="AT1009" t="inlineStr">
        <is>
          <t>cmm4xvu980000cuh4vj0usz09</t>
        </is>
      </c>
      <c r="AU1009" t="inlineStr">
        <is>
          <t>Postadress Gagnefs</t>
        </is>
      </c>
      <c r="AV1009" t="inlineStr">
        <is>
          <t>Kommun</t>
        </is>
      </c>
      <c r="AW1009" t="inlineStr">
        <is>
          <t>Postadress Gagnefs kommun</t>
        </is>
      </c>
      <c r="AX1009" t="inlineStr">
        <is>
          <t>2024-12</t>
        </is>
      </c>
      <c r="AY1009" t="inlineStr">
        <is>
          <t>Beslut</t>
        </is>
      </c>
      <c r="AZ1009" t="inlineStr">
        <is>
          <t>2026-02-04</t>
        </is>
      </c>
      <c r="BA1009" t="inlineStr">
        <is>
          <t>beslut.pdf</t>
        </is>
      </c>
      <c r="BB1009" t="inlineStr">
        <is>
          <t>till registrator</t>
        </is>
      </c>
      <c r="BC1009" t="inlineStr">
        <is>
          <t>AUTO</t>
        </is>
      </c>
      <c r="BD1009" t="inlineStr"/>
      <c r="BE1009" t="inlineStr"/>
      <c r="BF1009" t="inlineStr">
        <is>
          <t>AUTO_GENERERAD. Bekrafta metadata mot kallfil.</t>
        </is>
      </c>
      <c r="BG1009">
        <f>HYPERLINK("C:\Users\jimmy\Desktop\Examens arbete\Kod\Ny mapp\remix_-copy-of-miljöbeslut.se-portal\beslut.pdf", "Öppna PDF")</f>
        <v/>
      </c>
    </row>
    <row r="1010">
      <c r="A1010" t="inlineStr">
        <is>
          <t>KRAV-AUTO-001009</t>
        </is>
      </c>
      <c r="B1010" t="inlineStr">
        <is>
          <t>ADMIN-INDEX-2026-02-27-00000000125C043F57453246863FE664CAFE6A3F0700950291EA24F0614FB6ACEDB12BF0E31D00000000010C0000950291EA24F0614FB6ACEDB12BF0E31D00002087AE240000</t>
        </is>
      </c>
      <c r="C1010" t="inlineStr">
        <is>
          <t>cmm4yuq6x03b2cuqwo57iihur</t>
        </is>
      </c>
      <c r="D1010" t="inlineStr">
        <is>
          <t>http://localhost:8787/api/admin/requirements/documents/cmm4yuq6x03b2cuqwo57iihur/view</t>
        </is>
      </c>
      <c r="E1010">
        <f>HYPERLÄNK("http://localhost:8787/api/admin/requirements/documents/cmm4yuq6x03b2cuqwo57iihur/view";"Öppna PDF")</f>
        <v/>
      </c>
      <c r="F1010">
        <f>HYPERLINK("http://localhost:8787/api/admin/requirements/documents/cmm4yuq6x03b2cuqwo57iihur/view","Open PDF")</f>
        <v/>
      </c>
      <c r="G1010" t="inlineStr">
        <is>
          <t>cmm55w57p0004cuisfrtpqly8</t>
        </is>
      </c>
      <c r="H1010" t="inlineStr">
        <is>
          <t>Informationskrav</t>
        </is>
      </c>
      <c r="I1010" t="inlineStr">
        <is>
          <t>LagringsvolymTid</t>
        </is>
      </c>
      <c r="J1010" t="inlineStr">
        <is>
          <t>Maxmangd</t>
        </is>
      </c>
      <c r="K1010" t="inlineStr">
        <is>
          <t>Verksamhetsbeskrivning Beskriv i korthet produktionsmetoder, produkter, kapacitet/producerad mängd, arbetstider och annat som är relevant för er verksamhet Lokalisering Beskriv den närmaste omgivningen.</t>
        </is>
      </c>
      <c r="L1010" t="inlineStr">
        <is>
          <t>Verksamhetsbeskrivning Beskriv i korthet produktionsmetoder, produkter, kapacitet/producerad mängd, arbetstider och annat som är relevant för er verksamhet Lokalisering Beskriv den närmaste omgivningen.</t>
        </is>
      </c>
      <c r="M1010" t="inlineStr">
        <is>
          <t>SKA</t>
        </is>
      </c>
      <c r="N1010" t="inlineStr"/>
      <c r="O1010" t="inlineStr"/>
      <c r="P1010" t="inlineStr"/>
      <c r="Q1010" t="inlineStr"/>
      <c r="R1010" t="inlineStr">
        <is>
          <t>Alltid</t>
        </is>
      </c>
      <c r="S1010" t="inlineStr"/>
      <c r="T1010" t="inlineStr">
        <is>
          <t>556106</t>
        </is>
      </c>
      <c r="U1010" t="inlineStr"/>
      <c r="V1010" t="inlineStr"/>
      <c r="W1010" t="inlineStr">
        <is>
          <t>Nej</t>
        </is>
      </c>
      <c r="X1010" t="inlineStr">
        <is>
          <t>Nej</t>
        </is>
      </c>
      <c r="Y1010" t="inlineStr">
        <is>
          <t>Nej</t>
        </is>
      </c>
      <c r="Z1010" t="inlineStr">
        <is>
          <t>Nej</t>
        </is>
      </c>
      <c r="AA1010" t="n">
        <v>4</v>
      </c>
      <c r="AB1010" t="inlineStr">
        <is>
          <t>Avfallsmangder och lagringstid</t>
        </is>
      </c>
      <c r="AC1010" t="inlineStr">
        <is>
          <t>Avfallsforteckning</t>
        </is>
      </c>
      <c r="AD1010" t="inlineStr">
        <is>
          <t>Nej</t>
        </is>
      </c>
      <c r="AE1010" t="inlineStr">
        <is>
          <t>Nej</t>
        </is>
      </c>
      <c r="AF1010" t="inlineStr">
        <is>
          <t>Ej behandlad</t>
        </is>
      </c>
      <c r="AG1010" t="inlineStr">
        <is>
          <t>AUTO_GENERERAD. Verifiera citat mot kallfil.</t>
        </is>
      </c>
      <c r="AH1010" t="inlineStr">
        <is>
          <t>MEDIUM</t>
        </is>
      </c>
      <c r="AI1010" t="inlineStr">
        <is>
          <t>AUTO</t>
        </is>
      </c>
      <c r="AJ1010" t="inlineStr">
        <is>
          <t>Nej</t>
        </is>
      </c>
      <c r="AK1010" t="inlineStr"/>
      <c r="AL1010" t="inlineStr"/>
      <c r="AM1010" t="inlineStr"/>
      <c r="AN1010" t="inlineStr"/>
      <c r="AO1010" t="inlineStr">
        <is>
          <t>cmm4yuq6r03awcuqwq022xuhi</t>
        </is>
      </c>
      <c r="AP1010" t="inlineStr">
        <is>
          <t>http://localhost:8787/api/admin/requirements/documents/cmm4yuq6r03awcuqwq022xuhi/view</t>
        </is>
      </c>
      <c r="AQ1010">
        <f>HYPERLÄNK("http://localhost:8787/api/admin/requirements/documents/cmm4yuq6r03awcuqwq022xuhi/view";"Öppna PDF")</f>
        <v/>
      </c>
      <c r="AR1010">
        <f>HYPERLINK("http://localhost:8787/api/admin/requirements/documents/cmm4yuq6r03awcuqwq022xuhi/view","Open PDF")</f>
        <v/>
      </c>
      <c r="AS1010" t="inlineStr">
        <is>
          <t>cmm55w57p0004cuisfrtpqly8</t>
        </is>
      </c>
      <c r="AT1010" t="inlineStr">
        <is>
          <t>cmm4xvu980000cuh4vj0usz09</t>
        </is>
      </c>
      <c r="AU1010" t="inlineStr">
        <is>
          <t>Postadress Gagnefs</t>
        </is>
      </c>
      <c r="AV1010" t="inlineStr">
        <is>
          <t>Kommun</t>
        </is>
      </c>
      <c r="AW1010" t="inlineStr">
        <is>
          <t>Postadress Gagnefs kommun</t>
        </is>
      </c>
      <c r="AX1010" t="inlineStr">
        <is>
          <t>2024-12</t>
        </is>
      </c>
      <c r="AY1010" t="inlineStr">
        <is>
          <t>Beslut</t>
        </is>
      </c>
      <c r="AZ1010" t="inlineStr">
        <is>
          <t>2026-02-04</t>
        </is>
      </c>
      <c r="BA1010" t="inlineStr">
        <is>
          <t>beslut.pdf</t>
        </is>
      </c>
      <c r="BB1010" t="inlineStr">
        <is>
          <t>till registrator</t>
        </is>
      </c>
      <c r="BC1010" t="inlineStr">
        <is>
          <t>AUTO</t>
        </is>
      </c>
      <c r="BD1010" t="inlineStr"/>
      <c r="BE1010" t="inlineStr"/>
      <c r="BF1010" t="inlineStr">
        <is>
          <t>AUTO_GENERERAD. Bekrafta metadata mot kallfil.</t>
        </is>
      </c>
      <c r="BG1010">
        <f>HYPERLINK("C:\Users\jimmy\Desktop\Examens arbete\Kod\Ny mapp\remix_-copy-of-miljöbeslut.se-portal\beslut.pdf", "Öppna PDF")</f>
        <v/>
      </c>
    </row>
    <row r="1011">
      <c r="A1011" t="inlineStr">
        <is>
          <t>KRAV-AUTO-001010</t>
        </is>
      </c>
      <c r="B1011" t="inlineStr">
        <is>
          <t>ADMIN-INDEX-2026-02-27-00000000125C043F57453246863FE664CAFE6A3F0700950291EA24F0614FB6ACEDB12BF0E31D00000000010C0000950291EA24F0614FB6ACEDB12BF0E31D00002087AE240000</t>
        </is>
      </c>
      <c r="C1011" t="inlineStr">
        <is>
          <t>cmm4yuq6x03b2cuqwo57iihur</t>
        </is>
      </c>
      <c r="D1011" t="inlineStr">
        <is>
          <t>http://localhost:8787/api/admin/requirements/documents/cmm4yuq6x03b2cuqwo57iihur/view</t>
        </is>
      </c>
      <c r="E1011">
        <f>HYPERLÄNK("http://localhost:8787/api/admin/requirements/documents/cmm4yuq6x03b2cuqwo57iihur/view";"Öppna PDF")</f>
        <v/>
      </c>
      <c r="F1011">
        <f>HYPERLINK("http://localhost:8787/api/admin/requirements/documents/cmm4yuq6x03b2cuqwo57iihur/view","Open PDF")</f>
        <v/>
      </c>
      <c r="G1011" t="inlineStr">
        <is>
          <t>cmm55w57p0004cuisfrtpqly8</t>
        </is>
      </c>
      <c r="H1011" t="inlineStr">
        <is>
          <t>Informationskrav</t>
        </is>
      </c>
      <c r="I1011" t="inlineStr">
        <is>
          <t>DriftEgenkontroll</t>
        </is>
      </c>
      <c r="J1011" t="inlineStr">
        <is>
          <t>Journalforing</t>
        </is>
      </c>
      <c r="K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1011" t="inlineStr">
        <is>
          <t>SKA</t>
        </is>
      </c>
      <c r="N1011" t="inlineStr"/>
      <c r="O1011" t="inlineStr">
        <is>
          <t>2024-11-08</t>
        </is>
      </c>
      <c r="P1011" t="inlineStr"/>
      <c r="Q1011" t="inlineStr"/>
      <c r="R1011" t="inlineStr">
        <is>
          <t>Lopande drift</t>
        </is>
      </c>
      <c r="S1011" t="inlineStr"/>
      <c r="T1011" t="inlineStr">
        <is>
          <t>556106</t>
        </is>
      </c>
      <c r="U1011" t="inlineStr"/>
      <c r="V1011" t="inlineStr"/>
      <c r="W1011" t="inlineStr">
        <is>
          <t>Nej</t>
        </is>
      </c>
      <c r="X1011" t="inlineStr">
        <is>
          <t>Nej</t>
        </is>
      </c>
      <c r="Y1011" t="inlineStr">
        <is>
          <t>Ja</t>
        </is>
      </c>
      <c r="Z1011" t="inlineStr">
        <is>
          <t>Nej</t>
        </is>
      </c>
      <c r="AA1011" t="n">
        <v>7</v>
      </c>
      <c r="AB1011" t="inlineStr">
        <is>
          <t>Egenkontrollrutiner</t>
        </is>
      </c>
      <c r="AC1011" t="inlineStr">
        <is>
          <t>Egenkontrollprogram</t>
        </is>
      </c>
      <c r="AD1011" t="inlineStr">
        <is>
          <t>Nej</t>
        </is>
      </c>
      <c r="AE1011" t="inlineStr">
        <is>
          <t>Nej</t>
        </is>
      </c>
      <c r="AF1011" t="inlineStr">
        <is>
          <t>Ej behandlad</t>
        </is>
      </c>
      <c r="AG1011" t="inlineStr">
        <is>
          <t>AUTO_GENERERAD. Verifiera citat mot kallfil.</t>
        </is>
      </c>
      <c r="AH1011" t="inlineStr">
        <is>
          <t>MEDIUM</t>
        </is>
      </c>
      <c r="AI1011" t="inlineStr">
        <is>
          <t>AUTO</t>
        </is>
      </c>
      <c r="AJ1011" t="inlineStr">
        <is>
          <t>Nej</t>
        </is>
      </c>
      <c r="AK1011" t="inlineStr"/>
      <c r="AL1011" t="inlineStr"/>
      <c r="AM1011" t="inlineStr"/>
      <c r="AN1011" t="inlineStr"/>
      <c r="AO1011" t="inlineStr">
        <is>
          <t>cmm4yuq6r03awcuqwq022xuhi</t>
        </is>
      </c>
      <c r="AP1011" t="inlineStr">
        <is>
          <t>http://localhost:8787/api/admin/requirements/documents/cmm4yuq6r03awcuqwq022xuhi/view</t>
        </is>
      </c>
      <c r="AQ1011">
        <f>HYPERLÄNK("http://localhost:8787/api/admin/requirements/documents/cmm4yuq6r03awcuqwq022xuhi/view";"Öppna PDF")</f>
        <v/>
      </c>
      <c r="AR1011">
        <f>HYPERLINK("http://localhost:8787/api/admin/requirements/documents/cmm4yuq6r03awcuqwq022xuhi/view","Open PDF")</f>
        <v/>
      </c>
      <c r="AS1011" t="inlineStr">
        <is>
          <t>cmm55w57p0004cuisfrtpqly8</t>
        </is>
      </c>
      <c r="AT1011" t="inlineStr">
        <is>
          <t>cmm4xvu980000cuh4vj0usz09</t>
        </is>
      </c>
      <c r="AU1011" t="inlineStr">
        <is>
          <t>Postadress Gagnefs</t>
        </is>
      </c>
      <c r="AV1011" t="inlineStr">
        <is>
          <t>Kommun</t>
        </is>
      </c>
      <c r="AW1011" t="inlineStr">
        <is>
          <t>Postadress Gagnefs kommun</t>
        </is>
      </c>
      <c r="AX1011" t="inlineStr">
        <is>
          <t>2024-12</t>
        </is>
      </c>
      <c r="AY1011" t="inlineStr">
        <is>
          <t>Beslut</t>
        </is>
      </c>
      <c r="AZ1011" t="inlineStr">
        <is>
          <t>2026-02-04</t>
        </is>
      </c>
      <c r="BA1011" t="inlineStr">
        <is>
          <t>beslut.pdf</t>
        </is>
      </c>
      <c r="BB1011" t="inlineStr">
        <is>
          <t>till registrator</t>
        </is>
      </c>
      <c r="BC1011" t="inlineStr">
        <is>
          <t>AUTO</t>
        </is>
      </c>
      <c r="BD1011" t="inlineStr"/>
      <c r="BE1011" t="inlineStr"/>
      <c r="BF1011" t="inlineStr">
        <is>
          <t>AUTO_GENERERAD. Bekrafta metadata mot kallfil.</t>
        </is>
      </c>
      <c r="BG1011">
        <f>HYPERLINK("C:\Users\jimmy\Desktop\Examens arbete\Kod\Ny mapp\remix_-copy-of-miljöbeslut.se-portal\beslut.pdf", "Öppna PDF")</f>
        <v/>
      </c>
    </row>
    <row r="1012">
      <c r="A1012" t="inlineStr">
        <is>
          <t>KRAV-AUTO-001011</t>
        </is>
      </c>
      <c r="B1012" t="inlineStr">
        <is>
          <t>ADMIN-INDEX-2026-02-27-00000000125C043F57453246863FE664CAFE6A3F0700950291EA24F0614FB6ACEDB12BF0E31D00000000010C0000950291EA24F0614FB6ACEDB12BF0E31D00002087AE2B0000</t>
        </is>
      </c>
      <c r="C1012" t="inlineStr">
        <is>
          <t>cmm4yuq6g03akcuqwn4qgtvur</t>
        </is>
      </c>
      <c r="D1012" t="inlineStr">
        <is>
          <t>http://localhost:8787/api/admin/requirements/documents/cmm4yuq6g03akcuqwn4qgtvur/view</t>
        </is>
      </c>
      <c r="E1012">
        <f>HYPERLÄNK("http://localhost:8787/api/admin/requirements/documents/cmm4yuq6g03akcuqwn4qgtvur/view";"Öppna PDF")</f>
        <v/>
      </c>
      <c r="F1012">
        <f>HYPERLINK("http://localhost:8787/api/admin/requirements/documents/cmm4yuq6g03akcuqwn4qgtvur/view","Open PDF")</f>
        <v/>
      </c>
      <c r="G1012" t="inlineStr">
        <is>
          <t>cmm55w57p0004cuisfrtpqly8</t>
        </is>
      </c>
      <c r="H1012" t="inlineStr">
        <is>
          <t>Informationskrav</t>
        </is>
      </c>
      <c r="I1012" t="inlineStr">
        <is>
          <t>DagvattenLakvatten</t>
        </is>
      </c>
      <c r="J1012" t="inlineStr">
        <is>
          <t>Uppsamling</t>
        </is>
      </c>
      <c r="K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2" t="inlineStr">
        <is>
          <t>BOR</t>
        </is>
      </c>
      <c r="N1012" t="inlineStr"/>
      <c r="O1012" t="inlineStr">
        <is>
          <t>2025-01-22</t>
        </is>
      </c>
      <c r="P1012" t="inlineStr"/>
      <c r="Q1012" t="inlineStr"/>
      <c r="R1012" t="inlineStr">
        <is>
          <t>Vid nederbord och avrinning</t>
        </is>
      </c>
      <c r="S1012" t="inlineStr"/>
      <c r="T1012" t="inlineStr">
        <is>
          <t>212000</t>
        </is>
      </c>
      <c r="U1012" t="inlineStr"/>
      <c r="V1012" t="inlineStr"/>
      <c r="W1012" t="inlineStr">
        <is>
          <t>Nej</t>
        </is>
      </c>
      <c r="X1012" t="inlineStr">
        <is>
          <t>Ja</t>
        </is>
      </c>
      <c r="Y1012" t="inlineStr">
        <is>
          <t>Ja</t>
        </is>
      </c>
      <c r="Z1012" t="inlineStr">
        <is>
          <t>Nej</t>
        </is>
      </c>
      <c r="AA1012" t="n">
        <v>6</v>
      </c>
      <c r="AB1012" t="inlineStr">
        <is>
          <t>Lakvattenhantering</t>
        </is>
      </c>
      <c r="AC1012" t="inlineStr">
        <is>
          <t>Flodesschema dagvatten-lakvatten</t>
        </is>
      </c>
      <c r="AD1012" t="inlineStr">
        <is>
          <t>Nej</t>
        </is>
      </c>
      <c r="AE1012" t="inlineStr">
        <is>
          <t>Nej</t>
        </is>
      </c>
      <c r="AF1012" t="inlineStr">
        <is>
          <t>Ej behandlad</t>
        </is>
      </c>
      <c r="AG1012" t="inlineStr">
        <is>
          <t>AUTO_GENERERAD. Verifiera citat mot kallfil.</t>
        </is>
      </c>
      <c r="AH1012" t="inlineStr">
        <is>
          <t>MEDIUM</t>
        </is>
      </c>
      <c r="AI1012" t="inlineStr">
        <is>
          <t>AUTO</t>
        </is>
      </c>
      <c r="AJ1012" t="inlineStr">
        <is>
          <t>Nej</t>
        </is>
      </c>
      <c r="AK1012" t="inlineStr"/>
      <c r="AL1012" t="inlineStr"/>
      <c r="AM1012" t="inlineStr"/>
      <c r="AN1012" t="inlineStr"/>
      <c r="AO1012" t="inlineStr">
        <is>
          <t>cmm4yuq6o03atcuqwooffjadk</t>
        </is>
      </c>
      <c r="AP1012" t="inlineStr">
        <is>
          <t>http://localhost:8787/api/admin/requirements/documents/cmm4yuq6o03atcuqwooffjadk/view</t>
        </is>
      </c>
      <c r="AQ1012">
        <f>HYPERLÄNK("http://localhost:8787/api/admin/requirements/documents/cmm4yuq6o03atcuqwooffjadk/view";"Öppna PDF")</f>
        <v/>
      </c>
      <c r="AR1012">
        <f>HYPERLINK("http://localhost:8787/api/admin/requirements/documents/cmm4yuq6o03atcuqwooffjadk/view","Open PDF")</f>
        <v/>
      </c>
      <c r="AS1012" t="inlineStr">
        <is>
          <t>cmm55w57p0004cuisfrtpqly8</t>
        </is>
      </c>
      <c r="AT1012" t="inlineStr">
        <is>
          <t>cmm4xvu980000cuh4vj0usz09</t>
        </is>
      </c>
      <c r="AU1012" t="inlineStr">
        <is>
          <t>-- Borgholms</t>
        </is>
      </c>
      <c r="AV1012" t="inlineStr">
        <is>
          <t>Kommun</t>
        </is>
      </c>
      <c r="AW1012" t="inlineStr">
        <is>
          <t>-- Borgholms kommun</t>
        </is>
      </c>
      <c r="AX1012" t="inlineStr">
        <is>
          <t>2023-12</t>
        </is>
      </c>
      <c r="AY1012" t="inlineStr">
        <is>
          <t>Beslut</t>
        </is>
      </c>
      <c r="AZ1012" t="inlineStr">
        <is>
          <t>2026-02-04</t>
        </is>
      </c>
      <c r="BA1012" t="inlineStr">
        <is>
          <t>FÖRA 8_4 MBN-2023-1561 Delegationsbeslut 2023-12-27.pdf</t>
        </is>
      </c>
      <c r="BB1012" t="inlineStr">
        <is>
          <t>Sv: till registrator</t>
        </is>
      </c>
      <c r="BC1012" t="inlineStr">
        <is>
          <t>AUTO</t>
        </is>
      </c>
      <c r="BD1012" t="inlineStr"/>
      <c r="BE1012" t="inlineStr"/>
      <c r="BF1012" t="inlineStr">
        <is>
          <t>AUTO_GENERERAD. Bekrafta metadata mot kallfil.</t>
        </is>
      </c>
      <c r="BG1012">
        <f>HYPERLINK("C:\Users\jimmy\Desktop\Examens arbete\Kod\Ny mapp\remix_-copy-of-miljöbeslut.se-portal\FÖRA 8_4 MBN-2023-1561 Delegationsbeslut 2023-12-27.pdf", "Öppna PDF")</f>
        <v/>
      </c>
    </row>
    <row r="1013">
      <c r="A1013" t="inlineStr">
        <is>
          <t>KRAV-AUTO-001012</t>
        </is>
      </c>
      <c r="B1013" t="inlineStr">
        <is>
          <t>ADMIN-INDEX-2026-02-27-00000000125C043F57453246863FE664CAFE6A3F0700950291EA24F0614FB6ACEDB12BF0E31D00000000010C0000950291EA24F0614FB6ACEDB12BF0E31D00002087AE2B0000</t>
        </is>
      </c>
      <c r="C1013" t="inlineStr">
        <is>
          <t>cmm4yuq6g03akcuqwn4qgtvur</t>
        </is>
      </c>
      <c r="D1013" t="inlineStr">
        <is>
          <t>http://localhost:8787/api/admin/requirements/documents/cmm4yuq6g03akcuqwn4qgtvur/view</t>
        </is>
      </c>
      <c r="E1013">
        <f>HYPERLÄNK("http://localhost:8787/api/admin/requirements/documents/cmm4yuq6g03akcuqwn4qgtvur/view";"Öppna PDF")</f>
        <v/>
      </c>
      <c r="F1013">
        <f>HYPERLINK("http://localhost:8787/api/admin/requirements/documents/cmm4yuq6g03akcuqwn4qgtvur/view","Open PDF")</f>
        <v/>
      </c>
      <c r="G1013" t="inlineStr">
        <is>
          <t>cmm55w57p0004cuisfrtpqly8</t>
        </is>
      </c>
      <c r="H1013" t="inlineStr">
        <is>
          <t>Informationskrav</t>
        </is>
      </c>
      <c r="I1013" t="inlineStr">
        <is>
          <t>LagringsvolymTid</t>
        </is>
      </c>
      <c r="J1013" t="inlineStr">
        <is>
          <t>Maxmangd</t>
        </is>
      </c>
      <c r="K1013" t="inlineStr">
        <is>
          <t>Mängden skadliga ämnen i material och produkter ska minska, liksom de negativa effekterna av avfall.</t>
        </is>
      </c>
      <c r="L1013" t="inlineStr">
        <is>
          <t>Mängden skadliga ämnen i material och produkter ska minska, liksom de negativa effekterna av avfall.</t>
        </is>
      </c>
      <c r="M1013" t="inlineStr">
        <is>
          <t>SKA</t>
        </is>
      </c>
      <c r="N1013" t="inlineStr"/>
      <c r="O1013" t="inlineStr"/>
      <c r="P1013" t="inlineStr"/>
      <c r="Q1013" t="inlineStr"/>
      <c r="R1013" t="inlineStr">
        <is>
          <t>Alltid</t>
        </is>
      </c>
      <c r="S1013" t="inlineStr"/>
      <c r="T1013" t="inlineStr">
        <is>
          <t>212000</t>
        </is>
      </c>
      <c r="U1013" t="inlineStr"/>
      <c r="V1013" t="inlineStr"/>
      <c r="W1013" t="inlineStr">
        <is>
          <t>Nej</t>
        </is>
      </c>
      <c r="X1013" t="inlineStr">
        <is>
          <t>Nej</t>
        </is>
      </c>
      <c r="Y1013" t="inlineStr">
        <is>
          <t>Nej</t>
        </is>
      </c>
      <c r="Z1013" t="inlineStr">
        <is>
          <t>Nej</t>
        </is>
      </c>
      <c r="AA1013" t="n">
        <v>4</v>
      </c>
      <c r="AB1013" t="inlineStr">
        <is>
          <t>Avfallsmangder och lagringstid</t>
        </is>
      </c>
      <c r="AC1013" t="inlineStr">
        <is>
          <t>Avfallsforteckning</t>
        </is>
      </c>
      <c r="AD1013" t="inlineStr">
        <is>
          <t>Nej</t>
        </is>
      </c>
      <c r="AE1013" t="inlineStr">
        <is>
          <t>Nej</t>
        </is>
      </c>
      <c r="AF1013" t="inlineStr">
        <is>
          <t>Ej behandlad</t>
        </is>
      </c>
      <c r="AG1013" t="inlineStr">
        <is>
          <t>AUTO_GENERERAD. Verifiera citat mot kallfil.</t>
        </is>
      </c>
      <c r="AH1013" t="inlineStr">
        <is>
          <t>MEDIUM</t>
        </is>
      </c>
      <c r="AI1013" t="inlineStr">
        <is>
          <t>AUTO</t>
        </is>
      </c>
      <c r="AJ1013" t="inlineStr">
        <is>
          <t>Nej</t>
        </is>
      </c>
      <c r="AK1013" t="inlineStr"/>
      <c r="AL1013" t="inlineStr"/>
      <c r="AM1013" t="inlineStr"/>
      <c r="AN1013" t="inlineStr"/>
      <c r="AO1013" t="inlineStr">
        <is>
          <t>cmm4yuq6o03atcuqwooffjadk</t>
        </is>
      </c>
      <c r="AP1013" t="inlineStr">
        <is>
          <t>http://localhost:8787/api/admin/requirements/documents/cmm4yuq6o03atcuqwooffjadk/view</t>
        </is>
      </c>
      <c r="AQ1013">
        <f>HYPERLÄNK("http://localhost:8787/api/admin/requirements/documents/cmm4yuq6o03atcuqwooffjadk/view";"Öppna PDF")</f>
        <v/>
      </c>
      <c r="AR1013">
        <f>HYPERLINK("http://localhost:8787/api/admin/requirements/documents/cmm4yuq6o03atcuqwooffjadk/view","Open PDF")</f>
        <v/>
      </c>
      <c r="AS1013" t="inlineStr">
        <is>
          <t>cmm55w57p0004cuisfrtpqly8</t>
        </is>
      </c>
      <c r="AT1013" t="inlineStr">
        <is>
          <t>cmm4xvu980000cuh4vj0usz09</t>
        </is>
      </c>
      <c r="AU1013" t="inlineStr">
        <is>
          <t>-- Borgholms</t>
        </is>
      </c>
      <c r="AV1013" t="inlineStr">
        <is>
          <t>Kommun</t>
        </is>
      </c>
      <c r="AW1013" t="inlineStr">
        <is>
          <t>-- Borgholms kommun</t>
        </is>
      </c>
      <c r="AX1013" t="inlineStr">
        <is>
          <t>2023-12</t>
        </is>
      </c>
      <c r="AY1013" t="inlineStr">
        <is>
          <t>Beslut</t>
        </is>
      </c>
      <c r="AZ1013" t="inlineStr">
        <is>
          <t>2026-02-04</t>
        </is>
      </c>
      <c r="BA1013" t="inlineStr">
        <is>
          <t>FÖRA 8_4 MBN-2023-1561 Delegationsbeslut 2023-12-27.pdf</t>
        </is>
      </c>
      <c r="BB1013" t="inlineStr">
        <is>
          <t>Sv: till registrator</t>
        </is>
      </c>
      <c r="BC1013" t="inlineStr">
        <is>
          <t>AUTO</t>
        </is>
      </c>
      <c r="BD1013" t="inlineStr"/>
      <c r="BE1013" t="inlineStr"/>
      <c r="BF1013" t="inlineStr">
        <is>
          <t>AUTO_GENERERAD. Bekrafta metadata mot kallfil.</t>
        </is>
      </c>
      <c r="BG1013">
        <f>HYPERLINK("C:\Users\jimmy\Desktop\Examens arbete\Kod\Ny mapp\remix_-copy-of-miljöbeslut.se-portal\FÖRA 8_4 MBN-2023-1561 Delegationsbeslut 2023-12-27.pdf", "Öppna PDF")</f>
        <v/>
      </c>
    </row>
    <row r="1014">
      <c r="A1014" t="inlineStr">
        <is>
          <t>KRAV-AUTO-001013</t>
        </is>
      </c>
      <c r="B1014" t="inlineStr">
        <is>
          <t>ADMIN-INDEX-2026-02-27-00000000125C043F57453246863FE664CAFE6A3F0700950291EA24F0614FB6ACEDB12BF0E31D00000000010C0000950291EA24F0614FB6ACEDB12BF0E31D00002087AE2B0000</t>
        </is>
      </c>
      <c r="C1014" t="inlineStr">
        <is>
          <t>cmm4yuq6g03akcuqwn4qgtvur</t>
        </is>
      </c>
      <c r="D1014" t="inlineStr">
        <is>
          <t>http://localhost:8787/api/admin/requirements/documents/cmm4yuq6g03akcuqwn4qgtvur/view</t>
        </is>
      </c>
      <c r="E1014">
        <f>HYPERLÄNK("http://localhost:8787/api/admin/requirements/documents/cmm4yuq6g03akcuqwn4qgtvur/view";"Öppna PDF")</f>
        <v/>
      </c>
      <c r="F1014">
        <f>HYPERLINK("http://localhost:8787/api/admin/requirements/documents/cmm4yuq6g03akcuqwn4qgtvur/view","Open PDF")</f>
        <v/>
      </c>
      <c r="G1014" t="inlineStr">
        <is>
          <t>cmm55w57p0004cuisfrtpqly8</t>
        </is>
      </c>
      <c r="H1014" t="inlineStr">
        <is>
          <t>Informationskrav</t>
        </is>
      </c>
      <c r="I1014" t="inlineStr">
        <is>
          <t>Riskhantering</t>
        </is>
      </c>
      <c r="J1014" t="inlineStr">
        <is>
          <t>Riskkontroll</t>
        </is>
      </c>
      <c r="K1014" t="inlineStr">
        <is>
          <t>Viktig information För att anmälan ska kunna behandlas ska den vara korrekt ifylld och obligatoriska bilagor ska medfölja.</t>
        </is>
      </c>
      <c r="L1014" t="inlineStr">
        <is>
          <t>Viktig information För att anmälan ska kunna behandlas ska den vara korrekt ifylld och obligatoriska bilagor ska medfölja.</t>
        </is>
      </c>
      <c r="M1014" t="inlineStr">
        <is>
          <t>SKA</t>
        </is>
      </c>
      <c r="N1014" t="inlineStr"/>
      <c r="O1014" t="inlineStr"/>
      <c r="P1014" t="inlineStr"/>
      <c r="Q1014" t="inlineStr"/>
      <c r="R1014" t="inlineStr">
        <is>
          <t>Vid risk for incident</t>
        </is>
      </c>
      <c r="S1014" t="inlineStr"/>
      <c r="T1014" t="inlineStr">
        <is>
          <t>212000</t>
        </is>
      </c>
      <c r="U1014" t="inlineStr"/>
      <c r="V1014" t="inlineStr"/>
      <c r="W1014" t="inlineStr">
        <is>
          <t>Nej</t>
        </is>
      </c>
      <c r="X1014" t="inlineStr">
        <is>
          <t>Nej</t>
        </is>
      </c>
      <c r="Y1014" t="inlineStr">
        <is>
          <t>Ja</t>
        </is>
      </c>
      <c r="Z1014" t="inlineStr">
        <is>
          <t>Ja</t>
        </is>
      </c>
      <c r="AA1014" t="n">
        <v>8</v>
      </c>
      <c r="AB1014" t="inlineStr">
        <is>
          <t>Riskhantering</t>
        </is>
      </c>
      <c r="AC1014" t="inlineStr">
        <is>
          <t>Risk-PM</t>
        </is>
      </c>
      <c r="AD1014" t="inlineStr">
        <is>
          <t>Nej</t>
        </is>
      </c>
      <c r="AE1014" t="inlineStr">
        <is>
          <t>Nej</t>
        </is>
      </c>
      <c r="AF1014" t="inlineStr">
        <is>
          <t>Ej behandlad</t>
        </is>
      </c>
      <c r="AG1014" t="inlineStr">
        <is>
          <t>AUTO_GENERERAD. Verifiera citat mot kallfil.</t>
        </is>
      </c>
      <c r="AH1014" t="inlineStr">
        <is>
          <t>MEDIUM</t>
        </is>
      </c>
      <c r="AI1014" t="inlineStr">
        <is>
          <t>AUTO</t>
        </is>
      </c>
      <c r="AJ1014" t="inlineStr">
        <is>
          <t>Nej</t>
        </is>
      </c>
      <c r="AK1014" t="inlineStr"/>
      <c r="AL1014" t="inlineStr"/>
      <c r="AM1014" t="inlineStr"/>
      <c r="AN1014" t="inlineStr"/>
      <c r="AO1014" t="inlineStr">
        <is>
          <t>cmm4yuq6o03atcuqwooffjadk</t>
        </is>
      </c>
      <c r="AP1014" t="inlineStr">
        <is>
          <t>http://localhost:8787/api/admin/requirements/documents/cmm4yuq6o03atcuqwooffjadk/view</t>
        </is>
      </c>
      <c r="AQ1014">
        <f>HYPERLÄNK("http://localhost:8787/api/admin/requirements/documents/cmm4yuq6o03atcuqwooffjadk/view";"Öppna PDF")</f>
        <v/>
      </c>
      <c r="AR1014">
        <f>HYPERLINK("http://localhost:8787/api/admin/requirements/documents/cmm4yuq6o03atcuqwooffjadk/view","Open PDF")</f>
        <v/>
      </c>
      <c r="AS1014" t="inlineStr">
        <is>
          <t>cmm55w57p0004cuisfrtpqly8</t>
        </is>
      </c>
      <c r="AT1014" t="inlineStr">
        <is>
          <t>cmm4xvu980000cuh4vj0usz09</t>
        </is>
      </c>
      <c r="AU1014" t="inlineStr">
        <is>
          <t>-- Borgholms</t>
        </is>
      </c>
      <c r="AV1014" t="inlineStr">
        <is>
          <t>Kommun</t>
        </is>
      </c>
      <c r="AW1014" t="inlineStr">
        <is>
          <t>-- Borgholms kommun</t>
        </is>
      </c>
      <c r="AX1014" t="inlineStr">
        <is>
          <t>2023-12</t>
        </is>
      </c>
      <c r="AY1014" t="inlineStr">
        <is>
          <t>Beslut</t>
        </is>
      </c>
      <c r="AZ1014" t="inlineStr">
        <is>
          <t>2026-02-04</t>
        </is>
      </c>
      <c r="BA1014" t="inlineStr">
        <is>
          <t>FÖRA 8_4 MBN-2023-1561 Delegationsbeslut 2023-12-27.pdf</t>
        </is>
      </c>
      <c r="BB1014" t="inlineStr">
        <is>
          <t>Sv: till registrator</t>
        </is>
      </c>
      <c r="BC1014" t="inlineStr">
        <is>
          <t>AUTO</t>
        </is>
      </c>
      <c r="BD1014" t="inlineStr"/>
      <c r="BE1014" t="inlineStr"/>
      <c r="BF1014" t="inlineStr">
        <is>
          <t>AUTO_GENERERAD. Bekrafta metadata mot kallfil.</t>
        </is>
      </c>
      <c r="BG1014">
        <f>HYPERLINK("C:\Users\jimmy\Desktop\Examens arbete\Kod\Ny mapp\remix_-copy-of-miljöbeslut.se-portal\FÖRA 8_4 MBN-2023-1561 Delegationsbeslut 2023-12-27.pdf", "Öppna PDF")</f>
        <v/>
      </c>
    </row>
    <row r="1015">
      <c r="A1015" t="inlineStr">
        <is>
          <t>KRAV-AUTO-001014</t>
        </is>
      </c>
      <c r="B1015" t="inlineStr">
        <is>
          <t>ADMIN-INDEX-2026-02-27-00000000125C043F57453246863FE664CAFE6A3F0700950291EA24F0614FB6ACEDB12BF0E31D00000000010C0000950291EA24F0614FB6ACEDB12BF0E31D00002087AE2C0000</t>
        </is>
      </c>
      <c r="C1015" t="inlineStr">
        <is>
          <t>cmm4yuq6a03aecuqwtzskru1v</t>
        </is>
      </c>
      <c r="D1015" t="inlineStr">
        <is>
          <t>http://localhost:8787/api/admin/requirements/documents/cmm4yuq6a03aecuqwtzskru1v/view</t>
        </is>
      </c>
      <c r="E1015">
        <f>HYPERLÄNK("http://localhost:8787/api/admin/requirements/documents/cmm4yuq6a03aecuqwtzskru1v/view";"Öppna PDF")</f>
        <v/>
      </c>
      <c r="F1015">
        <f>HYPERLINK("http://localhost:8787/api/admin/requirements/documents/cmm4yuq6a03aecuqwtzskru1v/view","Open PDF")</f>
        <v/>
      </c>
      <c r="G1015" t="inlineStr">
        <is>
          <t>cmm55w57p0004cuisfrtpqly8</t>
        </is>
      </c>
      <c r="H1015" t="inlineStr">
        <is>
          <t>Beslutsvillkor</t>
        </is>
      </c>
      <c r="I1015" t="inlineStr">
        <is>
          <t>LagringsvolymTid</t>
        </is>
      </c>
      <c r="J1015" t="inlineStr">
        <is>
          <t>Maxmangd</t>
        </is>
      </c>
      <c r="K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1015" t="inlineStr">
        <is>
          <t>SKA</t>
        </is>
      </c>
      <c r="N1015" t="inlineStr"/>
      <c r="O1015" t="inlineStr"/>
      <c r="P1015" t="inlineStr"/>
      <c r="Q1015" t="inlineStr">
        <is>
          <t>Forelaggande vid brist</t>
        </is>
      </c>
      <c r="R1015" t="inlineStr">
        <is>
          <t>Alltid</t>
        </is>
      </c>
      <c r="S1015" t="inlineStr"/>
      <c r="T1015" t="inlineStr">
        <is>
          <t>556613</t>
        </is>
      </c>
      <c r="U1015" t="inlineStr"/>
      <c r="V1015" t="inlineStr"/>
      <c r="W1015" t="inlineStr">
        <is>
          <t>Nej</t>
        </is>
      </c>
      <c r="X1015" t="inlineStr">
        <is>
          <t>Nej</t>
        </is>
      </c>
      <c r="Y1015" t="inlineStr">
        <is>
          <t>Nej</t>
        </is>
      </c>
      <c r="Z1015" t="inlineStr">
        <is>
          <t>Nej</t>
        </is>
      </c>
      <c r="AA1015" t="n">
        <v>4</v>
      </c>
      <c r="AB1015" t="inlineStr">
        <is>
          <t>Avfallsmangder och lagringstid</t>
        </is>
      </c>
      <c r="AC1015" t="inlineStr">
        <is>
          <t>Avfallsforteckning</t>
        </is>
      </c>
      <c r="AD1015" t="inlineStr">
        <is>
          <t>Nej</t>
        </is>
      </c>
      <c r="AE1015" t="inlineStr">
        <is>
          <t>Nej</t>
        </is>
      </c>
      <c r="AF1015" t="inlineStr">
        <is>
          <t>Ej behandlad</t>
        </is>
      </c>
      <c r="AG1015" t="inlineStr">
        <is>
          <t>AUTO_GENERERAD. Verifiera citat mot kallfil.</t>
        </is>
      </c>
      <c r="AH1015" t="inlineStr">
        <is>
          <t>MEDIUM</t>
        </is>
      </c>
      <c r="AI1015" t="inlineStr">
        <is>
          <t>AUTO</t>
        </is>
      </c>
      <c r="AJ1015" t="inlineStr">
        <is>
          <t>Nej</t>
        </is>
      </c>
      <c r="AK1015" t="inlineStr"/>
      <c r="AL1015" t="inlineStr"/>
      <c r="AM1015" t="inlineStr"/>
      <c r="AN1015" t="inlineStr"/>
      <c r="AO1015" t="inlineStr">
        <is>
          <t>cmm4yuq6d03ahcuqwmgnuflvh</t>
        </is>
      </c>
      <c r="AP1015" t="inlineStr">
        <is>
          <t>http://localhost:8787/api/admin/requirements/documents/cmm4yuq6d03ahcuqwmgnuflvh/view</t>
        </is>
      </c>
      <c r="AQ1015">
        <f>HYPERLÄNK("http://localhost:8787/api/admin/requirements/documents/cmm4yuq6d03ahcuqwmgnuflvh/view";"Öppna PDF")</f>
        <v/>
      </c>
      <c r="AR1015">
        <f>HYPERLINK("http://localhost:8787/api/admin/requirements/documents/cmm4yuq6d03ahcuqwmgnuflvh/view","Open PDF")</f>
        <v/>
      </c>
      <c r="AS1015" t="inlineStr">
        <is>
          <t>cmm55w57p0004cuisfrtpqly8</t>
        </is>
      </c>
      <c r="AT1015" t="inlineStr">
        <is>
          <t>cmm4xvu980000cuh4vj0usz09</t>
        </is>
      </c>
      <c r="AU1015" t="inlineStr">
        <is>
          <t>-- Borgholms</t>
        </is>
      </c>
      <c r="AV1015" t="inlineStr">
        <is>
          <t>Kommun</t>
        </is>
      </c>
      <c r="AW1015" t="inlineStr">
        <is>
          <t>-- Borgholms kommun</t>
        </is>
      </c>
      <c r="AX1015" t="inlineStr">
        <is>
          <t>2023-12</t>
        </is>
      </c>
      <c r="AY1015" t="inlineStr">
        <is>
          <t>Beslut</t>
        </is>
      </c>
      <c r="AZ1015" t="inlineStr">
        <is>
          <t>2026-02-04</t>
        </is>
      </c>
      <c r="BA1015" t="inlineStr">
        <is>
          <t>FÖRA 8_4 MBN-2023-1561 Delegationsbeslut 2023-12-27.pdf</t>
        </is>
      </c>
      <c r="BB1015" t="inlineStr">
        <is>
          <t>Sv: till registrator</t>
        </is>
      </c>
      <c r="BC1015" t="inlineStr">
        <is>
          <t>AUTO</t>
        </is>
      </c>
      <c r="BD1015" t="inlineStr"/>
      <c r="BE1015" t="inlineStr"/>
      <c r="BF1015" t="inlineStr">
        <is>
          <t>AUTO_GENERERAD. Bekrafta metadata mot kallfil.</t>
        </is>
      </c>
      <c r="BG1015">
        <f>HYPERLINK("C:\Users\jimmy\Desktop\Examens arbete\Kod\Ny mapp\remix_-copy-of-miljöbeslut.se-portal\FÖRA 8_4 MBN-2023-1561 Delegationsbeslut 2023-12-27.pdf", "Öppna PDF")</f>
        <v/>
      </c>
    </row>
    <row r="1016">
      <c r="A1016" t="inlineStr">
        <is>
          <t>KRAV-AUTO-001015</t>
        </is>
      </c>
      <c r="B1016" t="inlineStr">
        <is>
          <t>ADMIN-INDEX-2026-02-27-00000000125C043F57453246863FE664CAFE6A3F0700950291EA24F0614FB6ACEDB12BF0E31D00000000010C0000950291EA24F0614FB6ACEDB12BF0E31D00002087AE2C0000</t>
        </is>
      </c>
      <c r="C1016" t="inlineStr">
        <is>
          <t>cmm4yuq6a03aecuqwtzskru1v</t>
        </is>
      </c>
      <c r="D1016" t="inlineStr">
        <is>
          <t>http://localhost:8787/api/admin/requirements/documents/cmm4yuq6a03aecuqwtzskru1v/view</t>
        </is>
      </c>
      <c r="E1016">
        <f>HYPERLÄNK("http://localhost:8787/api/admin/requirements/documents/cmm4yuq6a03aecuqwtzskru1v/view";"Öppna PDF")</f>
        <v/>
      </c>
      <c r="F1016">
        <f>HYPERLINK("http://localhost:8787/api/admin/requirements/documents/cmm4yuq6a03aecuqwtzskru1v/view","Open PDF")</f>
        <v/>
      </c>
      <c r="G1016" t="inlineStr">
        <is>
          <t>cmm55w57p0004cuisfrtpqly8</t>
        </is>
      </c>
      <c r="H1016" t="inlineStr">
        <is>
          <t>Beslutsvillkor</t>
        </is>
      </c>
      <c r="I1016" t="inlineStr">
        <is>
          <t>MiljopaverkanForsiktighet</t>
        </is>
      </c>
      <c r="J1016" t="inlineStr">
        <is>
          <t>Skyddsatgarder</t>
        </is>
      </c>
      <c r="K1016" t="inlineStr">
        <is>
          <t>Avfallet som anmälan avser har uppkommit lokalt och ska återanvändas till anläggningsändamål i närområdet.</t>
        </is>
      </c>
      <c r="L1016" t="inlineStr">
        <is>
          <t>Avfallet som anmälan avser har uppkommit lokalt och ska återanvändas till anläggningsändamål i närområdet.</t>
        </is>
      </c>
      <c r="M1016" t="inlineStr">
        <is>
          <t>SKA</t>
        </is>
      </c>
      <c r="N1016" t="inlineStr"/>
      <c r="O1016" t="inlineStr"/>
      <c r="P1016" t="inlineStr"/>
      <c r="Q1016" t="inlineStr"/>
      <c r="R1016" t="inlineStr">
        <is>
          <t>Alltid</t>
        </is>
      </c>
      <c r="S1016" t="inlineStr"/>
      <c r="T1016" t="inlineStr">
        <is>
          <t>556613</t>
        </is>
      </c>
      <c r="U1016" t="inlineStr"/>
      <c r="V1016" t="inlineStr"/>
      <c r="W1016" t="inlineStr">
        <is>
          <t>Nej</t>
        </is>
      </c>
      <c r="X1016" t="inlineStr">
        <is>
          <t>Nej</t>
        </is>
      </c>
      <c r="Y1016" t="inlineStr">
        <is>
          <t>Nej</t>
        </is>
      </c>
      <c r="Z1016" t="inlineStr">
        <is>
          <t>Nej</t>
        </is>
      </c>
      <c r="AA1016" t="n">
        <v>10</v>
      </c>
      <c r="AB1016" t="inlineStr">
        <is>
          <t>Miljopaverkan och forsiktighetsmatt</t>
        </is>
      </c>
      <c r="AC1016" t="inlineStr">
        <is>
          <t>Miljo-PM</t>
        </is>
      </c>
      <c r="AD1016" t="inlineStr">
        <is>
          <t>Nej</t>
        </is>
      </c>
      <c r="AE1016" t="inlineStr">
        <is>
          <t>Nej</t>
        </is>
      </c>
      <c r="AF1016" t="inlineStr">
        <is>
          <t>Ej behandlad</t>
        </is>
      </c>
      <c r="AG1016" t="inlineStr">
        <is>
          <t>AUTO_GENERERAD. Verifiera citat mot kallfil.</t>
        </is>
      </c>
      <c r="AH1016" t="inlineStr">
        <is>
          <t>MEDIUM</t>
        </is>
      </c>
      <c r="AI1016" t="inlineStr">
        <is>
          <t>AUTO</t>
        </is>
      </c>
      <c r="AJ1016" t="inlineStr">
        <is>
          <t>Nej</t>
        </is>
      </c>
      <c r="AK1016" t="inlineStr"/>
      <c r="AL1016" t="inlineStr"/>
      <c r="AM1016" t="inlineStr"/>
      <c r="AN1016" t="inlineStr"/>
      <c r="AO1016" t="inlineStr">
        <is>
          <t>cmm4yuq6d03ahcuqwmgnuflvh</t>
        </is>
      </c>
      <c r="AP1016" t="inlineStr">
        <is>
          <t>http://localhost:8787/api/admin/requirements/documents/cmm4yuq6d03ahcuqwmgnuflvh/view</t>
        </is>
      </c>
      <c r="AQ1016">
        <f>HYPERLÄNK("http://localhost:8787/api/admin/requirements/documents/cmm4yuq6d03ahcuqwmgnuflvh/view";"Öppna PDF")</f>
        <v/>
      </c>
      <c r="AR1016">
        <f>HYPERLINK("http://localhost:8787/api/admin/requirements/documents/cmm4yuq6d03ahcuqwmgnuflvh/view","Open PDF")</f>
        <v/>
      </c>
      <c r="AS1016" t="inlineStr">
        <is>
          <t>cmm55w57p0004cuisfrtpqly8</t>
        </is>
      </c>
      <c r="AT1016" t="inlineStr">
        <is>
          <t>cmm4xvu980000cuh4vj0usz09</t>
        </is>
      </c>
      <c r="AU1016" t="inlineStr">
        <is>
          <t>-- Borgholms</t>
        </is>
      </c>
      <c r="AV1016" t="inlineStr">
        <is>
          <t>Kommun</t>
        </is>
      </c>
      <c r="AW1016" t="inlineStr">
        <is>
          <t>-- Borgholms kommun</t>
        </is>
      </c>
      <c r="AX1016" t="inlineStr">
        <is>
          <t>2023-12</t>
        </is>
      </c>
      <c r="AY1016" t="inlineStr">
        <is>
          <t>Beslut</t>
        </is>
      </c>
      <c r="AZ1016" t="inlineStr">
        <is>
          <t>2026-02-04</t>
        </is>
      </c>
      <c r="BA1016" t="inlineStr">
        <is>
          <t>FÖRA 8_4 MBN-2023-1561 Delegationsbeslut 2023-12-27.pdf</t>
        </is>
      </c>
      <c r="BB1016" t="inlineStr">
        <is>
          <t>Sv: till registrator</t>
        </is>
      </c>
      <c r="BC1016" t="inlineStr">
        <is>
          <t>AUTO</t>
        </is>
      </c>
      <c r="BD1016" t="inlineStr"/>
      <c r="BE1016" t="inlineStr"/>
      <c r="BF1016" t="inlineStr">
        <is>
          <t>AUTO_GENERERAD. Bekrafta metadata mot kallfil.</t>
        </is>
      </c>
      <c r="BG1016">
        <f>HYPERLINK("C:\Users\jimmy\Desktop\Examens arbete\Kod\Ny mapp\remix_-copy-of-miljöbeslut.se-portal\FÖRA 8_4 MBN-2023-1561 Delegationsbeslut 2023-12-27.pdf", "Öppna PDF")</f>
        <v/>
      </c>
    </row>
    <row r="1017">
      <c r="A1017" t="inlineStr">
        <is>
          <t>KRAV-AUTO-001016</t>
        </is>
      </c>
      <c r="B1017" t="inlineStr">
        <is>
          <t>ADMIN-INDEX-2026-02-27-00000000125C043F57453246863FE664CAFE6A3F0700950291EA24F0614FB6ACEDB12BF0E31D00000000010C0000950291EA24F0614FB6ACEDB12BF0E31D00002087AE2C0000</t>
        </is>
      </c>
      <c r="C1017" t="inlineStr">
        <is>
          <t>cmm4yuq6a03aecuqwtzskru1v</t>
        </is>
      </c>
      <c r="D1017" t="inlineStr">
        <is>
          <t>http://localhost:8787/api/admin/requirements/documents/cmm4yuq6a03aecuqwtzskru1v/view</t>
        </is>
      </c>
      <c r="E1017">
        <f>HYPERLÄNK("http://localhost:8787/api/admin/requirements/documents/cmm4yuq6a03aecuqwtzskru1v/view";"Öppna PDF")</f>
        <v/>
      </c>
      <c r="F1017">
        <f>HYPERLINK("http://localhost:8787/api/admin/requirements/documents/cmm4yuq6a03aecuqwtzskru1v/view","Open PDF")</f>
        <v/>
      </c>
      <c r="G1017" t="inlineStr">
        <is>
          <t>cmm55w57p0004cuisfrtpqly8</t>
        </is>
      </c>
      <c r="H1017" t="inlineStr">
        <is>
          <t>Beslutsvillkor</t>
        </is>
      </c>
      <c r="I1017" t="inlineStr">
        <is>
          <t>MiljopaverkanForsiktighet</t>
        </is>
      </c>
      <c r="J1017" t="inlineStr">
        <is>
          <t>Skyddsatgarder</t>
        </is>
      </c>
      <c r="K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1017" t="inlineStr">
        <is>
          <t>BOR</t>
        </is>
      </c>
      <c r="N1017" t="inlineStr"/>
      <c r="O1017" t="inlineStr">
        <is>
          <t>2023-12-12</t>
        </is>
      </c>
      <c r="P1017" t="inlineStr"/>
      <c r="Q1017" t="inlineStr"/>
      <c r="R1017" t="inlineStr">
        <is>
          <t>Alltid</t>
        </is>
      </c>
      <c r="S1017" t="inlineStr"/>
      <c r="T1017" t="inlineStr">
        <is>
          <t>556613</t>
        </is>
      </c>
      <c r="U1017" t="inlineStr"/>
      <c r="V1017" t="inlineStr"/>
      <c r="W1017" t="inlineStr">
        <is>
          <t>Nej</t>
        </is>
      </c>
      <c r="X1017" t="inlineStr">
        <is>
          <t>Nej</t>
        </is>
      </c>
      <c r="Y1017" t="inlineStr">
        <is>
          <t>Nej</t>
        </is>
      </c>
      <c r="Z1017" t="inlineStr">
        <is>
          <t>Nej</t>
        </is>
      </c>
      <c r="AA1017" t="n">
        <v>10</v>
      </c>
      <c r="AB1017" t="inlineStr">
        <is>
          <t>Miljopaverkan och forsiktighetsmatt</t>
        </is>
      </c>
      <c r="AC1017" t="inlineStr">
        <is>
          <t>Miljo-PM</t>
        </is>
      </c>
      <c r="AD1017" t="inlineStr">
        <is>
          <t>Nej</t>
        </is>
      </c>
      <c r="AE1017" t="inlineStr">
        <is>
          <t>Nej</t>
        </is>
      </c>
      <c r="AF1017" t="inlineStr">
        <is>
          <t>Ej behandlad</t>
        </is>
      </c>
      <c r="AG1017" t="inlineStr">
        <is>
          <t>AUTO_GENERERAD. Verifiera citat mot kallfil.</t>
        </is>
      </c>
      <c r="AH1017" t="inlineStr">
        <is>
          <t>MEDIUM</t>
        </is>
      </c>
      <c r="AI1017" t="inlineStr">
        <is>
          <t>AUTO</t>
        </is>
      </c>
      <c r="AJ1017" t="inlineStr">
        <is>
          <t>Nej</t>
        </is>
      </c>
      <c r="AK1017" t="inlineStr"/>
      <c r="AL1017" t="inlineStr"/>
      <c r="AM1017" t="inlineStr"/>
      <c r="AN1017" t="inlineStr"/>
      <c r="AO1017" t="inlineStr">
        <is>
          <t>cmm4yuq6d03ahcuqwmgnuflvh</t>
        </is>
      </c>
      <c r="AP1017" t="inlineStr">
        <is>
          <t>http://localhost:8787/api/admin/requirements/documents/cmm4yuq6d03ahcuqwmgnuflvh/view</t>
        </is>
      </c>
      <c r="AQ1017">
        <f>HYPERLÄNK("http://localhost:8787/api/admin/requirements/documents/cmm4yuq6d03ahcuqwmgnuflvh/view";"Öppna PDF")</f>
        <v/>
      </c>
      <c r="AR1017">
        <f>HYPERLINK("http://localhost:8787/api/admin/requirements/documents/cmm4yuq6d03ahcuqwmgnuflvh/view","Open PDF")</f>
        <v/>
      </c>
      <c r="AS1017" t="inlineStr">
        <is>
          <t>cmm55w57p0004cuisfrtpqly8</t>
        </is>
      </c>
      <c r="AT1017" t="inlineStr">
        <is>
          <t>cmm4xvu980000cuh4vj0usz09</t>
        </is>
      </c>
      <c r="AU1017" t="inlineStr">
        <is>
          <t>-- Borgholms</t>
        </is>
      </c>
      <c r="AV1017" t="inlineStr">
        <is>
          <t>Kommun</t>
        </is>
      </c>
      <c r="AW1017" t="inlineStr">
        <is>
          <t>-- Borgholms kommun</t>
        </is>
      </c>
      <c r="AX1017" t="inlineStr">
        <is>
          <t>2023-12</t>
        </is>
      </c>
      <c r="AY1017" t="inlineStr">
        <is>
          <t>Beslut</t>
        </is>
      </c>
      <c r="AZ1017" t="inlineStr">
        <is>
          <t>2026-02-04</t>
        </is>
      </c>
      <c r="BA1017" t="inlineStr">
        <is>
          <t>FÖRA 8_4 MBN-2023-1561 Delegationsbeslut 2023-12-27.pdf</t>
        </is>
      </c>
      <c r="BB1017" t="inlineStr">
        <is>
          <t>Sv: till registrator</t>
        </is>
      </c>
      <c r="BC1017" t="inlineStr">
        <is>
          <t>AUTO</t>
        </is>
      </c>
      <c r="BD1017" t="inlineStr"/>
      <c r="BE1017" t="inlineStr"/>
      <c r="BF1017" t="inlineStr">
        <is>
          <t>AUTO_GENERERAD. Bekrafta metadata mot kallfil.</t>
        </is>
      </c>
      <c r="BG1017">
        <f>HYPERLINK("C:\Users\jimmy\Desktop\Examens arbete\Kod\Ny mapp\remix_-copy-of-miljöbeslut.se-portal\FÖRA 8_4 MBN-2023-1561 Delegationsbeslut 2023-12-27.pdf", "Öppna PDF")</f>
        <v/>
      </c>
    </row>
    <row r="1018">
      <c r="A1018" t="inlineStr">
        <is>
          <t>KRAV-AUTO-001017</t>
        </is>
      </c>
      <c r="B1018" t="inlineStr">
        <is>
          <t>ADMIN-INDEX-2026-02-27-00000000125C043F57453246863FE664CAFE6A3F0700950291EA24F0614FB6ACEDB12BF0E31D00000000010C0000950291EA24F0614FB6ACEDB12BF0E31D00002087AE2C0000</t>
        </is>
      </c>
      <c r="C1018" t="inlineStr">
        <is>
          <t>cmm4yuq6503a8cuqw4hvaouwn</t>
        </is>
      </c>
      <c r="D1018" t="inlineStr">
        <is>
          <t>http://localhost:8787/api/admin/requirements/documents/cmm4yuq6503a8cuqw4hvaouwn/view</t>
        </is>
      </c>
      <c r="E1018">
        <f>HYPERLÄNK("http://localhost:8787/api/admin/requirements/documents/cmm4yuq6503a8cuqw4hvaouwn/view";"Öppna PDF")</f>
        <v/>
      </c>
      <c r="F1018">
        <f>HYPERLINK("http://localhost:8787/api/admin/requirements/documents/cmm4yuq6503a8cuqw4hvaouwn/view","Open PDF")</f>
        <v/>
      </c>
      <c r="G1018" t="inlineStr">
        <is>
          <t>cmm55w57p0004cuisfrtpqly8</t>
        </is>
      </c>
      <c r="H1018" t="inlineStr">
        <is>
          <t>Informationskrav</t>
        </is>
      </c>
      <c r="I1018" t="inlineStr">
        <is>
          <t>DagvattenLakvatten</t>
        </is>
      </c>
      <c r="J1018" t="inlineStr">
        <is>
          <t>Uppsamling</t>
        </is>
      </c>
      <c r="K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8" t="inlineStr">
        <is>
          <t>BOR</t>
        </is>
      </c>
      <c r="N1018" t="inlineStr"/>
      <c r="O1018" t="inlineStr">
        <is>
          <t>2025-01-22</t>
        </is>
      </c>
      <c r="P1018" t="inlineStr"/>
      <c r="Q1018" t="inlineStr"/>
      <c r="R1018" t="inlineStr">
        <is>
          <t>Vid nederbord och avrinning</t>
        </is>
      </c>
      <c r="S1018" t="inlineStr"/>
      <c r="T1018" t="inlineStr">
        <is>
          <t>212000</t>
        </is>
      </c>
      <c r="U1018" t="inlineStr"/>
      <c r="V1018" t="inlineStr"/>
      <c r="W1018" t="inlineStr">
        <is>
          <t>Nej</t>
        </is>
      </c>
      <c r="X1018" t="inlineStr">
        <is>
          <t>Ja</t>
        </is>
      </c>
      <c r="Y1018" t="inlineStr">
        <is>
          <t>Ja</t>
        </is>
      </c>
      <c r="Z1018" t="inlineStr">
        <is>
          <t>Nej</t>
        </is>
      </c>
      <c r="AA1018" t="n">
        <v>6</v>
      </c>
      <c r="AB1018" t="inlineStr">
        <is>
          <t>Lakvattenhantering</t>
        </is>
      </c>
      <c r="AC1018" t="inlineStr">
        <is>
          <t>Flodesschema dagvatten-lakvatten</t>
        </is>
      </c>
      <c r="AD1018" t="inlineStr">
        <is>
          <t>Nej</t>
        </is>
      </c>
      <c r="AE1018" t="inlineStr">
        <is>
          <t>Nej</t>
        </is>
      </c>
      <c r="AF1018" t="inlineStr">
        <is>
          <t>Ej behandlad</t>
        </is>
      </c>
      <c r="AG1018" t="inlineStr">
        <is>
          <t>AUTO_GENERERAD. Verifiera citat mot kallfil.</t>
        </is>
      </c>
      <c r="AH1018" t="inlineStr">
        <is>
          <t>MEDIUM</t>
        </is>
      </c>
      <c r="AI1018" t="inlineStr">
        <is>
          <t>AUTO</t>
        </is>
      </c>
      <c r="AJ1018" t="inlineStr">
        <is>
          <t>Nej</t>
        </is>
      </c>
      <c r="AK1018" t="inlineStr"/>
      <c r="AL1018" t="inlineStr"/>
      <c r="AM1018" t="inlineStr"/>
      <c r="AN1018" t="inlineStr"/>
      <c r="AO1018" t="inlineStr">
        <is>
          <t>cmm4yuq6d03ahcuqwmgnuflvh</t>
        </is>
      </c>
      <c r="AP1018" t="inlineStr">
        <is>
          <t>http://localhost:8787/api/admin/requirements/documents/cmm4yuq6d03ahcuqwmgnuflvh/view</t>
        </is>
      </c>
      <c r="AQ1018">
        <f>HYPERLÄNK("http://localhost:8787/api/admin/requirements/documents/cmm4yuq6d03ahcuqwmgnuflvh/view";"Öppna PDF")</f>
        <v/>
      </c>
      <c r="AR1018">
        <f>HYPERLINK("http://localhost:8787/api/admin/requirements/documents/cmm4yuq6d03ahcuqwmgnuflvh/view","Open PDF")</f>
        <v/>
      </c>
      <c r="AS1018" t="inlineStr">
        <is>
          <t>cmm55w57p0004cuisfrtpqly8</t>
        </is>
      </c>
      <c r="AT1018" t="inlineStr">
        <is>
          <t>cmm4xvu980000cuh4vj0usz09</t>
        </is>
      </c>
      <c r="AU1018" t="inlineStr">
        <is>
          <t>-- Borgholms</t>
        </is>
      </c>
      <c r="AV1018" t="inlineStr">
        <is>
          <t>Kommun</t>
        </is>
      </c>
      <c r="AW1018" t="inlineStr">
        <is>
          <t>-- Borgholms kommun</t>
        </is>
      </c>
      <c r="AX1018" t="inlineStr">
        <is>
          <t>2023-12</t>
        </is>
      </c>
      <c r="AY1018" t="inlineStr">
        <is>
          <t>Beslut</t>
        </is>
      </c>
      <c r="AZ1018" t="inlineStr">
        <is>
          <t>2026-02-04</t>
        </is>
      </c>
      <c r="BA1018" t="inlineStr">
        <is>
          <t>FÖRA 8_4 MBN-2023-1561 Delegationsbeslut 2023-12-27.pdf</t>
        </is>
      </c>
      <c r="BB1018" t="inlineStr">
        <is>
          <t>Sv: till registrator</t>
        </is>
      </c>
      <c r="BC1018" t="inlineStr">
        <is>
          <t>AUTO</t>
        </is>
      </c>
      <c r="BD1018" t="inlineStr"/>
      <c r="BE1018" t="inlineStr"/>
      <c r="BF1018" t="inlineStr">
        <is>
          <t>AUTO_GENERERAD. Bekrafta metadata mot kallfil.</t>
        </is>
      </c>
      <c r="BG1018">
        <f>HYPERLINK("C:\Users\jimmy\Desktop\Examens arbete\Kod\Ny mapp\remix_-copy-of-miljöbeslut.se-portal\FÖRA 8_4 MBN-2023-1561 Delegationsbeslut 2023-12-27.pdf", "Öppna PDF")</f>
        <v/>
      </c>
    </row>
    <row r="1019">
      <c r="A1019" t="inlineStr">
        <is>
          <t>KRAV-AUTO-001018</t>
        </is>
      </c>
      <c r="B1019" t="inlineStr">
        <is>
          <t>ADMIN-INDEX-2026-02-27-00000000125C043F57453246863FE664CAFE6A3F0700950291EA24F0614FB6ACEDB12BF0E31D00000000010C0000950291EA24F0614FB6ACEDB12BF0E31D00002087AE2C0000</t>
        </is>
      </c>
      <c r="C1019" t="inlineStr">
        <is>
          <t>cmm4yuq6503a8cuqw4hvaouwn</t>
        </is>
      </c>
      <c r="D1019" t="inlineStr">
        <is>
          <t>http://localhost:8787/api/admin/requirements/documents/cmm4yuq6503a8cuqw4hvaouwn/view</t>
        </is>
      </c>
      <c r="E1019">
        <f>HYPERLÄNK("http://localhost:8787/api/admin/requirements/documents/cmm4yuq6503a8cuqw4hvaouwn/view";"Öppna PDF")</f>
        <v/>
      </c>
      <c r="F1019">
        <f>HYPERLINK("http://localhost:8787/api/admin/requirements/documents/cmm4yuq6503a8cuqw4hvaouwn/view","Open PDF")</f>
        <v/>
      </c>
      <c r="G1019" t="inlineStr">
        <is>
          <t>cmm55w57p0004cuisfrtpqly8</t>
        </is>
      </c>
      <c r="H1019" t="inlineStr">
        <is>
          <t>Informationskrav</t>
        </is>
      </c>
      <c r="I1019" t="inlineStr">
        <is>
          <t>LagringsvolymTid</t>
        </is>
      </c>
      <c r="J1019" t="inlineStr">
        <is>
          <t>Maxmangd</t>
        </is>
      </c>
      <c r="K1019" t="inlineStr">
        <is>
          <t>Mängden skadliga ämnen i material och produkter ska minska, liksom de negativa effekterna av avfall.</t>
        </is>
      </c>
      <c r="L1019" t="inlineStr">
        <is>
          <t>Mängden skadliga ämnen i material och produkter ska minska, liksom de negativa effekterna av avfall.</t>
        </is>
      </c>
      <c r="M1019" t="inlineStr">
        <is>
          <t>SKA</t>
        </is>
      </c>
      <c r="N1019" t="inlineStr"/>
      <c r="O1019" t="inlineStr"/>
      <c r="P1019" t="inlineStr"/>
      <c r="Q1019" t="inlineStr"/>
      <c r="R1019" t="inlineStr">
        <is>
          <t>Alltid</t>
        </is>
      </c>
      <c r="S1019" t="inlineStr"/>
      <c r="T1019" t="inlineStr">
        <is>
          <t>212000</t>
        </is>
      </c>
      <c r="U1019" t="inlineStr"/>
      <c r="V1019" t="inlineStr"/>
      <c r="W1019" t="inlineStr">
        <is>
          <t>Nej</t>
        </is>
      </c>
      <c r="X1019" t="inlineStr">
        <is>
          <t>Nej</t>
        </is>
      </c>
      <c r="Y1019" t="inlineStr">
        <is>
          <t>Nej</t>
        </is>
      </c>
      <c r="Z1019" t="inlineStr">
        <is>
          <t>Nej</t>
        </is>
      </c>
      <c r="AA1019" t="n">
        <v>4</v>
      </c>
      <c r="AB1019" t="inlineStr">
        <is>
          <t>Avfallsmangder och lagringstid</t>
        </is>
      </c>
      <c r="AC1019" t="inlineStr">
        <is>
          <t>Avfallsforteckning</t>
        </is>
      </c>
      <c r="AD1019" t="inlineStr">
        <is>
          <t>Nej</t>
        </is>
      </c>
      <c r="AE1019" t="inlineStr">
        <is>
          <t>Nej</t>
        </is>
      </c>
      <c r="AF1019" t="inlineStr">
        <is>
          <t>Ej behandlad</t>
        </is>
      </c>
      <c r="AG1019" t="inlineStr">
        <is>
          <t>AUTO_GENERERAD. Verifiera citat mot kallfil.</t>
        </is>
      </c>
      <c r="AH1019" t="inlineStr">
        <is>
          <t>MEDIUM</t>
        </is>
      </c>
      <c r="AI1019" t="inlineStr">
        <is>
          <t>AUTO</t>
        </is>
      </c>
      <c r="AJ1019" t="inlineStr">
        <is>
          <t>Nej</t>
        </is>
      </c>
      <c r="AK1019" t="inlineStr"/>
      <c r="AL1019" t="inlineStr"/>
      <c r="AM1019" t="inlineStr"/>
      <c r="AN1019" t="inlineStr"/>
      <c r="AO1019" t="inlineStr">
        <is>
          <t>cmm4yuq6d03ahcuqwmgnuflvh</t>
        </is>
      </c>
      <c r="AP1019" t="inlineStr">
        <is>
          <t>http://localhost:8787/api/admin/requirements/documents/cmm4yuq6d03ahcuqwmgnuflvh/view</t>
        </is>
      </c>
      <c r="AQ1019">
        <f>HYPERLÄNK("http://localhost:8787/api/admin/requirements/documents/cmm4yuq6d03ahcuqwmgnuflvh/view";"Öppna PDF")</f>
        <v/>
      </c>
      <c r="AR1019">
        <f>HYPERLINK("http://localhost:8787/api/admin/requirements/documents/cmm4yuq6d03ahcuqwmgnuflvh/view","Open PDF")</f>
        <v/>
      </c>
      <c r="AS1019" t="inlineStr">
        <is>
          <t>cmm55w57p0004cuisfrtpqly8</t>
        </is>
      </c>
      <c r="AT1019" t="inlineStr">
        <is>
          <t>cmm4xvu980000cuh4vj0usz09</t>
        </is>
      </c>
      <c r="AU1019" t="inlineStr">
        <is>
          <t>-- Borgholms</t>
        </is>
      </c>
      <c r="AV1019" t="inlineStr">
        <is>
          <t>Kommun</t>
        </is>
      </c>
      <c r="AW1019" t="inlineStr">
        <is>
          <t>-- Borgholms kommun</t>
        </is>
      </c>
      <c r="AX1019" t="inlineStr">
        <is>
          <t>2023-12</t>
        </is>
      </c>
      <c r="AY1019" t="inlineStr">
        <is>
          <t>Beslut</t>
        </is>
      </c>
      <c r="AZ1019" t="inlineStr">
        <is>
          <t>2026-02-04</t>
        </is>
      </c>
      <c r="BA1019" t="inlineStr">
        <is>
          <t>FÖRA 8_4 MBN-2023-1561 Delegationsbeslut 2023-12-27.pdf</t>
        </is>
      </c>
      <c r="BB1019" t="inlineStr">
        <is>
          <t>Sv: till registrator</t>
        </is>
      </c>
      <c r="BC1019" t="inlineStr">
        <is>
          <t>AUTO</t>
        </is>
      </c>
      <c r="BD1019" t="inlineStr"/>
      <c r="BE1019" t="inlineStr"/>
      <c r="BF1019" t="inlineStr">
        <is>
          <t>AUTO_GENERERAD. Bekrafta metadata mot kallfil.</t>
        </is>
      </c>
      <c r="BG1019">
        <f>HYPERLINK("C:\Users\jimmy\Desktop\Examens arbete\Kod\Ny mapp\remix_-copy-of-miljöbeslut.se-portal\FÖRA 8_4 MBN-2023-1561 Delegationsbeslut 2023-12-27.pdf", "Öppna PDF")</f>
        <v/>
      </c>
    </row>
    <row r="1020">
      <c r="A1020" t="inlineStr">
        <is>
          <t>KRAV-AUTO-001019</t>
        </is>
      </c>
      <c r="B1020" t="inlineStr">
        <is>
          <t>ADMIN-INDEX-2026-02-27-00000000125C043F57453246863FE664CAFE6A3F0700950291EA24F0614FB6ACEDB12BF0E31D00000000010C0000950291EA24F0614FB6ACEDB12BF0E31D00002087AE2C0000</t>
        </is>
      </c>
      <c r="C1020" t="inlineStr">
        <is>
          <t>cmm4yuq6503a8cuqw4hvaouwn</t>
        </is>
      </c>
      <c r="D1020" t="inlineStr">
        <is>
          <t>http://localhost:8787/api/admin/requirements/documents/cmm4yuq6503a8cuqw4hvaouwn/view</t>
        </is>
      </c>
      <c r="E1020">
        <f>HYPERLÄNK("http://localhost:8787/api/admin/requirements/documents/cmm4yuq6503a8cuqw4hvaouwn/view";"Öppna PDF")</f>
        <v/>
      </c>
      <c r="F1020">
        <f>HYPERLINK("http://localhost:8787/api/admin/requirements/documents/cmm4yuq6503a8cuqw4hvaouwn/view","Open PDF")</f>
        <v/>
      </c>
      <c r="G1020" t="inlineStr">
        <is>
          <t>cmm55w57p0004cuisfrtpqly8</t>
        </is>
      </c>
      <c r="H1020" t="inlineStr">
        <is>
          <t>Informationskrav</t>
        </is>
      </c>
      <c r="I1020" t="inlineStr">
        <is>
          <t>Riskhantering</t>
        </is>
      </c>
      <c r="J1020" t="inlineStr">
        <is>
          <t>Riskkontroll</t>
        </is>
      </c>
      <c r="K1020" t="inlineStr">
        <is>
          <t>Viktig information För att anmälan ska kunna behandlas ska den vara korrekt ifylld och obligatoriska bilagor ska medfölja.</t>
        </is>
      </c>
      <c r="L1020" t="inlineStr">
        <is>
          <t>Viktig information För att anmälan ska kunna behandlas ska den vara korrekt ifylld och obligatoriska bilagor ska medfölja.</t>
        </is>
      </c>
      <c r="M1020" t="inlineStr">
        <is>
          <t>SKA</t>
        </is>
      </c>
      <c r="N1020" t="inlineStr"/>
      <c r="O1020" t="inlineStr"/>
      <c r="P1020" t="inlineStr"/>
      <c r="Q1020" t="inlineStr"/>
      <c r="R1020" t="inlineStr">
        <is>
          <t>Vid risk for incident</t>
        </is>
      </c>
      <c r="S1020" t="inlineStr"/>
      <c r="T1020" t="inlineStr">
        <is>
          <t>212000</t>
        </is>
      </c>
      <c r="U1020" t="inlineStr"/>
      <c r="V1020" t="inlineStr"/>
      <c r="W1020" t="inlineStr">
        <is>
          <t>Nej</t>
        </is>
      </c>
      <c r="X1020" t="inlineStr">
        <is>
          <t>Nej</t>
        </is>
      </c>
      <c r="Y1020" t="inlineStr">
        <is>
          <t>Ja</t>
        </is>
      </c>
      <c r="Z1020" t="inlineStr">
        <is>
          <t>Ja</t>
        </is>
      </c>
      <c r="AA1020" t="n">
        <v>8</v>
      </c>
      <c r="AB1020" t="inlineStr">
        <is>
          <t>Riskhantering</t>
        </is>
      </c>
      <c r="AC1020" t="inlineStr">
        <is>
          <t>Risk-PM</t>
        </is>
      </c>
      <c r="AD1020" t="inlineStr">
        <is>
          <t>Nej</t>
        </is>
      </c>
      <c r="AE1020" t="inlineStr">
        <is>
          <t>Nej</t>
        </is>
      </c>
      <c r="AF1020" t="inlineStr">
        <is>
          <t>Ej behandlad</t>
        </is>
      </c>
      <c r="AG1020" t="inlineStr">
        <is>
          <t>AUTO_GENERERAD. Verifiera citat mot kallfil.</t>
        </is>
      </c>
      <c r="AH1020" t="inlineStr">
        <is>
          <t>MEDIUM</t>
        </is>
      </c>
      <c r="AI1020" t="inlineStr">
        <is>
          <t>AUTO</t>
        </is>
      </c>
      <c r="AJ1020" t="inlineStr">
        <is>
          <t>Nej</t>
        </is>
      </c>
      <c r="AK1020" t="inlineStr"/>
      <c r="AL1020" t="inlineStr"/>
      <c r="AM1020" t="inlineStr"/>
      <c r="AN1020" t="inlineStr"/>
      <c r="AO1020" t="inlineStr">
        <is>
          <t>cmm4yuq6d03ahcuqwmgnuflvh</t>
        </is>
      </c>
      <c r="AP1020" t="inlineStr">
        <is>
          <t>http://localhost:8787/api/admin/requirements/documents/cmm4yuq6d03ahcuqwmgnuflvh/view</t>
        </is>
      </c>
      <c r="AQ1020">
        <f>HYPERLÄNK("http://localhost:8787/api/admin/requirements/documents/cmm4yuq6d03ahcuqwmgnuflvh/view";"Öppna PDF")</f>
        <v/>
      </c>
      <c r="AR1020">
        <f>HYPERLINK("http://localhost:8787/api/admin/requirements/documents/cmm4yuq6d03ahcuqwmgnuflvh/view","Open PDF")</f>
        <v/>
      </c>
      <c r="AS1020" t="inlineStr">
        <is>
          <t>cmm55w57p0004cuisfrtpqly8</t>
        </is>
      </c>
      <c r="AT1020" t="inlineStr">
        <is>
          <t>cmm4xvu980000cuh4vj0usz09</t>
        </is>
      </c>
      <c r="AU1020" t="inlineStr">
        <is>
          <t>-- Borgholms</t>
        </is>
      </c>
      <c r="AV1020" t="inlineStr">
        <is>
          <t>Kommun</t>
        </is>
      </c>
      <c r="AW1020" t="inlineStr">
        <is>
          <t>-- Borgholms kommun</t>
        </is>
      </c>
      <c r="AX1020" t="inlineStr">
        <is>
          <t>2023-12</t>
        </is>
      </c>
      <c r="AY1020" t="inlineStr">
        <is>
          <t>Beslut</t>
        </is>
      </c>
      <c r="AZ1020" t="inlineStr">
        <is>
          <t>2026-02-04</t>
        </is>
      </c>
      <c r="BA1020" t="inlineStr">
        <is>
          <t>FÖRA 8_4 MBN-2023-1561 Delegationsbeslut 2023-12-27.pdf</t>
        </is>
      </c>
      <c r="BB1020" t="inlineStr">
        <is>
          <t>Sv: till registrator</t>
        </is>
      </c>
      <c r="BC1020" t="inlineStr">
        <is>
          <t>AUTO</t>
        </is>
      </c>
      <c r="BD1020" t="inlineStr"/>
      <c r="BE1020" t="inlineStr"/>
      <c r="BF1020" t="inlineStr">
        <is>
          <t>AUTO_GENERERAD. Bekrafta metadata mot kallfil.</t>
        </is>
      </c>
      <c r="BG1020">
        <f>HYPERLINK("C:\Users\jimmy\Desktop\Examens arbete\Kod\Ny mapp\remix_-copy-of-miljöbeslut.se-portal\FÖRA 8_4 MBN-2023-1561 Delegationsbeslut 2023-12-27.pdf", "Öppna PDF")</f>
        <v/>
      </c>
    </row>
    <row r="1021">
      <c r="A1021" t="inlineStr">
        <is>
          <t>KRAV-AUTO-001020</t>
        </is>
      </c>
      <c r="B1021" t="inlineStr">
        <is>
          <t>ADMIN-INDEX-2026-02-27-00000000125C043F57453246863FE664CAFE6A3F0700950291EA24F0614FB6ACEDB12BF0E31D00000000010C0000950291EA24F0614FB6ACEDB12BF0E31D00002087AE2D0000</t>
        </is>
      </c>
      <c r="C1021" t="inlineStr">
        <is>
          <t>cmm4yuq6203a5cuqwur3o5za9</t>
        </is>
      </c>
      <c r="D1021" t="inlineStr">
        <is>
          <t>http://localhost:8787/api/admin/requirements/documents/cmm4yuq6203a5cuqwur3o5za9/view</t>
        </is>
      </c>
      <c r="E1021">
        <f>HYPERLÄNK("http://localhost:8787/api/admin/requirements/documents/cmm4yuq6203a5cuqwur3o5za9/view";"Öppna PDF")</f>
        <v/>
      </c>
      <c r="F1021">
        <f>HYPERLINK("http://localhost:8787/api/admin/requirements/documents/cmm4yuq6203a5cuqwur3o5za9/view","Open PDF")</f>
        <v/>
      </c>
      <c r="G1021" t="inlineStr">
        <is>
          <t>cmm55w57p0004cuisfrtpqly8</t>
        </is>
      </c>
      <c r="H1021" t="inlineStr">
        <is>
          <t>Kompletteringskrav</t>
        </is>
      </c>
      <c r="I1021" t="inlineStr">
        <is>
          <t>LagringsvolymTid</t>
        </is>
      </c>
      <c r="J1021" t="inlineStr">
        <is>
          <t>Maxmangd</t>
        </is>
      </c>
      <c r="K1021" t="inlineStr">
        <is>
          <t>Skäl för beslutet Enligt uppgift har smetresten (som är aktuell i detta fall) legat hos länge, i åtminstone ett par år, kanske mer.</t>
        </is>
      </c>
      <c r="L1021" t="inlineStr">
        <is>
          <t>Skäl för beslutet Enligt uppgift har smetresten (som är aktuell i detta fall) legat hos länge, i åtminstone ett par år, kanske mer.</t>
        </is>
      </c>
      <c r="M1021" t="inlineStr">
        <is>
          <t>SKA</t>
        </is>
      </c>
      <c r="N1021" t="inlineStr"/>
      <c r="O1021" t="inlineStr"/>
      <c r="P1021" t="inlineStr"/>
      <c r="Q1021" t="inlineStr"/>
      <c r="R1021" t="inlineStr">
        <is>
          <t>Alltid</t>
        </is>
      </c>
      <c r="S1021" t="inlineStr"/>
      <c r="T1021" t="inlineStr">
        <is>
          <t>212000</t>
        </is>
      </c>
      <c r="U1021" t="inlineStr"/>
      <c r="V1021" t="inlineStr"/>
      <c r="W1021" t="inlineStr">
        <is>
          <t>Nej</t>
        </is>
      </c>
      <c r="X1021" t="inlineStr">
        <is>
          <t>Nej</t>
        </is>
      </c>
      <c r="Y1021" t="inlineStr">
        <is>
          <t>Nej</t>
        </is>
      </c>
      <c r="Z1021" t="inlineStr">
        <is>
          <t>Nej</t>
        </is>
      </c>
      <c r="AA1021" t="n">
        <v>4</v>
      </c>
      <c r="AB1021" t="inlineStr">
        <is>
          <t>Avfallsmangder och lagringstid</t>
        </is>
      </c>
      <c r="AC1021" t="inlineStr">
        <is>
          <t>Avfallsforteckning</t>
        </is>
      </c>
      <c r="AD1021" t="inlineStr">
        <is>
          <t>Nej</t>
        </is>
      </c>
      <c r="AE1021" t="inlineStr">
        <is>
          <t>Nej</t>
        </is>
      </c>
      <c r="AF1021" t="inlineStr">
        <is>
          <t>Ej behandlad</t>
        </is>
      </c>
      <c r="AG1021" t="inlineStr">
        <is>
          <t>AUTO_GENERERAD. Verifiera citat mot kallfil.</t>
        </is>
      </c>
      <c r="AH1021" t="inlineStr">
        <is>
          <t>MEDIUM</t>
        </is>
      </c>
      <c r="AI1021" t="inlineStr">
        <is>
          <t>AUTO</t>
        </is>
      </c>
      <c r="AJ1021" t="inlineStr">
        <is>
          <t>Nej</t>
        </is>
      </c>
      <c r="AK1021" t="inlineStr"/>
      <c r="AL1021" t="inlineStr"/>
      <c r="AM1021" t="inlineStr"/>
      <c r="AN1021" t="inlineStr"/>
      <c r="AO1021" t="inlineStr">
        <is>
          <t>cmm4yuq6203a5cuqwur3o5za9</t>
        </is>
      </c>
      <c r="AP1021" t="inlineStr">
        <is>
          <t>http://localhost:8787/api/admin/requirements/documents/cmm4yuq6203a5cuqwur3o5za9/view</t>
        </is>
      </c>
      <c r="AQ1021">
        <f>HYPERLÄNK("http://localhost:8787/api/admin/requirements/documents/cmm4yuq6203a5cuqwur3o5za9/view";"Öppna PDF")</f>
        <v/>
      </c>
      <c r="AR1021">
        <f>HYPERLINK("http://localhost:8787/api/admin/requirements/documents/cmm4yuq6203a5cuqwur3o5za9/view","Open PDF")</f>
        <v/>
      </c>
      <c r="AS1021" t="inlineStr">
        <is>
          <t>cmm55w57p0004cuisfrtpqly8</t>
        </is>
      </c>
      <c r="AT1021" t="inlineStr">
        <is>
          <t>cmm4xvu980000cuh4vj0usz09</t>
        </is>
      </c>
      <c r="AU1021" t="inlineStr">
        <is>
          <t>pdf Karlstads</t>
        </is>
      </c>
      <c r="AV1021" t="inlineStr">
        <is>
          <t>Kommun</t>
        </is>
      </c>
      <c r="AW1021" t="inlineStr">
        <is>
          <t>pdf Karlstads kommun</t>
        </is>
      </c>
      <c r="AX1021" t="inlineStr">
        <is>
          <t>2025-04</t>
        </is>
      </c>
      <c r="AY1021" t="inlineStr">
        <is>
          <t>Forelaggande</t>
        </is>
      </c>
      <c r="AZ1021" t="inlineStr">
        <is>
          <t>2026-02-04</t>
        </is>
      </c>
      <c r="BA1021" t="inlineStr">
        <is>
          <t>Föreläggande försiktighetsåtgärder_Bortredigerad.pdf</t>
        </is>
      </c>
      <c r="BB1021" t="inlineStr">
        <is>
          <t>VB:  Begäran om utlämnande av allmän handling – Anmälningar och beslut rörande mellanlagring av avfall samt anläggning av ytor</t>
        </is>
      </c>
      <c r="BC1021" t="inlineStr">
        <is>
          <t>AUTO</t>
        </is>
      </c>
      <c r="BD1021" t="inlineStr"/>
      <c r="BE1021" t="inlineStr"/>
      <c r="BF1021" t="inlineStr">
        <is>
          <t>AUTO_GENERERAD. Bekrafta metadata mot kallfil.</t>
        </is>
      </c>
      <c r="BG1021">
        <f>HYPERLINK("C:\Users\jimmy\Desktop\Examens arbete\Kod\Ny mapp\remix_-copy-of-miljöbeslut.se-portal\Föreläggande försiktighetsåtgärder_Bortredigerad.pdf", "Öppna PDF")</f>
        <v/>
      </c>
    </row>
    <row r="1022">
      <c r="A1022" t="inlineStr">
        <is>
          <t>KRAV-AUTO-001021</t>
        </is>
      </c>
      <c r="B1022" t="inlineStr">
        <is>
          <t>ADMIN-INDEX-2026-02-27-00000000125C043F57453246863FE664CAFE6A3F0700950291EA24F0614FB6ACEDB12BF0E31D00000000010C0000950291EA24F0614FB6ACEDB12BF0E31D00002087AE2D0000</t>
        </is>
      </c>
      <c r="C1022" t="inlineStr">
        <is>
          <t>cmm4yuq5z03a2cuqwtqkqkqsw</t>
        </is>
      </c>
      <c r="D1022" t="inlineStr">
        <is>
          <t>http://localhost:8787/api/admin/requirements/documents/cmm4yuq5z03a2cuqwtqkqkqsw/view</t>
        </is>
      </c>
      <c r="E1022">
        <f>HYPERLÄNK("http://localhost:8787/api/admin/requirements/documents/cmm4yuq5z03a2cuqwtqkqkqsw/view";"Öppna PDF")</f>
        <v/>
      </c>
      <c r="F1022">
        <f>HYPERLINK("http://localhost:8787/api/admin/requirements/documents/cmm4yuq5z03a2cuqwtqkqkqsw/view","Open PDF")</f>
        <v/>
      </c>
      <c r="G1022" t="inlineStr">
        <is>
          <t>cmm55w57p0004cuisfrtpqly8</t>
        </is>
      </c>
      <c r="H1022" t="inlineStr">
        <is>
          <t>Informationskrav</t>
        </is>
      </c>
      <c r="I1022" t="inlineStr">
        <is>
          <t>DriftEgenkontroll</t>
        </is>
      </c>
      <c r="J1022" t="inlineStr">
        <is>
          <t>Journalforing</t>
        </is>
      </c>
      <c r="K1022" t="inlineStr">
        <is>
          <t>Kontrollprogram finns upprättat för platsen där smeresten ska appliceras.</t>
        </is>
      </c>
      <c r="L1022" t="inlineStr">
        <is>
          <t>Kontrollprogram finns upprättat för platsen där smeresten ska appliceras.</t>
        </is>
      </c>
      <c r="M1022" t="inlineStr">
        <is>
          <t>SKA</t>
        </is>
      </c>
      <c r="N1022" t="inlineStr"/>
      <c r="O1022" t="inlineStr"/>
      <c r="P1022" t="inlineStr"/>
      <c r="Q1022" t="inlineStr"/>
      <c r="R1022" t="inlineStr">
        <is>
          <t>Lopande drift</t>
        </is>
      </c>
      <c r="S1022" t="inlineStr"/>
      <c r="T1022" t="inlineStr">
        <is>
          <t>250320</t>
        </is>
      </c>
      <c r="U1022" t="inlineStr"/>
      <c r="V1022" t="inlineStr"/>
      <c r="W1022" t="inlineStr">
        <is>
          <t>Nej</t>
        </is>
      </c>
      <c r="X1022" t="inlineStr">
        <is>
          <t>Nej</t>
        </is>
      </c>
      <c r="Y1022" t="inlineStr">
        <is>
          <t>Ja</t>
        </is>
      </c>
      <c r="Z1022" t="inlineStr">
        <is>
          <t>Nej</t>
        </is>
      </c>
      <c r="AA1022" t="n">
        <v>7</v>
      </c>
      <c r="AB1022" t="inlineStr">
        <is>
          <t>Egenkontrollrutiner</t>
        </is>
      </c>
      <c r="AC1022" t="inlineStr">
        <is>
          <t>Egenkontrollprogram</t>
        </is>
      </c>
      <c r="AD1022" t="inlineStr">
        <is>
          <t>Nej</t>
        </is>
      </c>
      <c r="AE1022" t="inlineStr">
        <is>
          <t>Nej</t>
        </is>
      </c>
      <c r="AF1022" t="inlineStr">
        <is>
          <t>Ej behandlad</t>
        </is>
      </c>
      <c r="AG1022" t="inlineStr">
        <is>
          <t>AUTO_GENERERAD. Verifiera citat mot kallfil.</t>
        </is>
      </c>
      <c r="AH1022" t="inlineStr">
        <is>
          <t>MEDIUM</t>
        </is>
      </c>
      <c r="AI1022" t="inlineStr">
        <is>
          <t>AUTO</t>
        </is>
      </c>
      <c r="AJ1022" t="inlineStr">
        <is>
          <t>Nej</t>
        </is>
      </c>
      <c r="AK1022" t="inlineStr"/>
      <c r="AL1022" t="inlineStr"/>
      <c r="AM1022" t="inlineStr"/>
      <c r="AN1022" t="inlineStr"/>
      <c r="AO1022" t="inlineStr">
        <is>
          <t>cmm4yuq6203a5cuqwur3o5za9</t>
        </is>
      </c>
      <c r="AP1022" t="inlineStr">
        <is>
          <t>http://localhost:8787/api/admin/requirements/documents/cmm4yuq6203a5cuqwur3o5za9/view</t>
        </is>
      </c>
      <c r="AQ1022">
        <f>HYPERLÄNK("http://localhost:8787/api/admin/requirements/documents/cmm4yuq6203a5cuqwur3o5za9/view";"Öppna PDF")</f>
        <v/>
      </c>
      <c r="AR1022">
        <f>HYPERLINK("http://localhost:8787/api/admin/requirements/documents/cmm4yuq6203a5cuqwur3o5za9/view","Open PDF")</f>
        <v/>
      </c>
      <c r="AS1022" t="inlineStr">
        <is>
          <t>cmm55w57p0004cuisfrtpqly8</t>
        </is>
      </c>
      <c r="AT1022" t="inlineStr">
        <is>
          <t>cmm4xvu980000cuh4vj0usz09</t>
        </is>
      </c>
      <c r="AU1022" t="inlineStr">
        <is>
          <t>pdf Karlstads</t>
        </is>
      </c>
      <c r="AV1022" t="inlineStr">
        <is>
          <t>Kommun</t>
        </is>
      </c>
      <c r="AW1022" t="inlineStr">
        <is>
          <t>pdf Karlstads kommun</t>
        </is>
      </c>
      <c r="AX1022" t="inlineStr">
        <is>
          <t>2025-04</t>
        </is>
      </c>
      <c r="AY1022" t="inlineStr">
        <is>
          <t>Forelaggande</t>
        </is>
      </c>
      <c r="AZ1022" t="inlineStr">
        <is>
          <t>2026-02-04</t>
        </is>
      </c>
      <c r="BA1022" t="inlineStr">
        <is>
          <t>Föreläggande försiktighetsåtgärder_Bortredigerad.pdf</t>
        </is>
      </c>
      <c r="BB1022" t="inlineStr">
        <is>
          <t>VB:  Begäran om utlämnande av allmän handling – Anmälningar och beslut rörande mellanlagring av avfall samt anläggning av ytor</t>
        </is>
      </c>
      <c r="BC1022" t="inlineStr">
        <is>
          <t>AUTO</t>
        </is>
      </c>
      <c r="BD1022" t="inlineStr"/>
      <c r="BE1022" t="inlineStr"/>
      <c r="BF1022" t="inlineStr">
        <is>
          <t>AUTO_GENERERAD. Bekrafta metadata mot kallfil.</t>
        </is>
      </c>
      <c r="BG1022">
        <f>HYPERLINK("C:\Users\jimmy\Desktop\Examens arbete\Kod\Ny mapp\remix_-copy-of-miljöbeslut.se-portal\Föreläggande försiktighetsåtgärder_Bortredigerad.pdf", "Öppna PDF")</f>
        <v/>
      </c>
    </row>
    <row r="1023">
      <c r="A1023" t="inlineStr">
        <is>
          <t>KRAV-AUTO-001022</t>
        </is>
      </c>
      <c r="B1023" t="inlineStr">
        <is>
          <t>ADMIN-INDEX-2026-02-27-00000000125C043F57453246863FE664CAFE6A3F0700950291EA24F0614FB6ACEDB12BF0E31D00000000010C0000950291EA24F0614FB6ACEDB12BF0E31D00002087AE2D0000</t>
        </is>
      </c>
      <c r="C1023" t="inlineStr">
        <is>
          <t>cmm4yuq5z03a2cuqwtqkqkqsw</t>
        </is>
      </c>
      <c r="D1023" t="inlineStr">
        <is>
          <t>http://localhost:8787/api/admin/requirements/documents/cmm4yuq5z03a2cuqwtqkqkqsw/view</t>
        </is>
      </c>
      <c r="E1023">
        <f>HYPERLÄNK("http://localhost:8787/api/admin/requirements/documents/cmm4yuq5z03a2cuqwtqkqkqsw/view";"Öppna PDF")</f>
        <v/>
      </c>
      <c r="F1023">
        <f>HYPERLINK("http://localhost:8787/api/admin/requirements/documents/cmm4yuq5z03a2cuqwtqkqkqsw/view","Open PDF")</f>
        <v/>
      </c>
      <c r="G1023" t="inlineStr">
        <is>
          <t>cmm55w57p0004cuisfrtpqly8</t>
        </is>
      </c>
      <c r="H1023" t="inlineStr">
        <is>
          <t>Informationskrav</t>
        </is>
      </c>
      <c r="I1023" t="inlineStr">
        <is>
          <t>Ytkonstruktion</t>
        </is>
      </c>
      <c r="J1023" t="inlineStr">
        <is>
          <t>Tat yta</t>
        </is>
      </c>
      <c r="K1023" t="inlineStr">
        <is>
          <t>Beskriv syftet med den nya anläggningen som avfallet ska användas till Ingen ny anläggning, utan tillägg av material till konstruktion av yta samt bullervall.</t>
        </is>
      </c>
      <c r="L1023" t="inlineStr">
        <is>
          <t>Beskriv syftet med den nya anläggningen som avfallet ska användas till Ingen ny anläggning, utan tillägg av material till konstruktion av yta samt bullervall.</t>
        </is>
      </c>
      <c r="M1023" t="inlineStr">
        <is>
          <t>SKA</t>
        </is>
      </c>
      <c r="N1023" t="inlineStr"/>
      <c r="O1023" t="inlineStr"/>
      <c r="P1023" t="inlineStr"/>
      <c r="Q1023" t="inlineStr"/>
      <c r="R1023" t="inlineStr">
        <is>
          <t>Vid mellanlagring av avfall</t>
        </is>
      </c>
      <c r="S1023" t="inlineStr"/>
      <c r="T1023" t="inlineStr">
        <is>
          <t>250320</t>
        </is>
      </c>
      <c r="U1023" t="inlineStr"/>
      <c r="V1023" t="inlineStr"/>
      <c r="W1023" t="inlineStr">
        <is>
          <t>Ja</t>
        </is>
      </c>
      <c r="X1023" t="inlineStr">
        <is>
          <t>Nej</t>
        </is>
      </c>
      <c r="Y1023" t="inlineStr">
        <is>
          <t>Nej</t>
        </is>
      </c>
      <c r="Z1023" t="inlineStr">
        <is>
          <t>Nej</t>
        </is>
      </c>
      <c r="AA1023" t="n">
        <v>5</v>
      </c>
      <c r="AB1023" t="inlineStr">
        <is>
          <t>Teknisk beskrivning av platta</t>
        </is>
      </c>
      <c r="AC1023" t="inlineStr">
        <is>
          <t>Teknisk ritning platta</t>
        </is>
      </c>
      <c r="AD1023" t="inlineStr">
        <is>
          <t>Nej</t>
        </is>
      </c>
      <c r="AE1023" t="inlineStr">
        <is>
          <t>Nej</t>
        </is>
      </c>
      <c r="AF1023" t="inlineStr">
        <is>
          <t>Ej behandlad</t>
        </is>
      </c>
      <c r="AG1023" t="inlineStr">
        <is>
          <t>AUTO_GENERERAD. Verifiera citat mot kallfil.</t>
        </is>
      </c>
      <c r="AH1023" t="inlineStr">
        <is>
          <t>MEDIUM</t>
        </is>
      </c>
      <c r="AI1023" t="inlineStr">
        <is>
          <t>AUTO</t>
        </is>
      </c>
      <c r="AJ1023" t="inlineStr">
        <is>
          <t>Nej</t>
        </is>
      </c>
      <c r="AK1023" t="inlineStr"/>
      <c r="AL1023" t="inlineStr"/>
      <c r="AM1023" t="inlineStr"/>
      <c r="AN1023" t="inlineStr"/>
      <c r="AO1023" t="inlineStr">
        <is>
          <t>cmm4yuq6203a5cuqwur3o5za9</t>
        </is>
      </c>
      <c r="AP1023" t="inlineStr">
        <is>
          <t>http://localhost:8787/api/admin/requirements/documents/cmm4yuq6203a5cuqwur3o5za9/view</t>
        </is>
      </c>
      <c r="AQ1023">
        <f>HYPERLÄNK("http://localhost:8787/api/admin/requirements/documents/cmm4yuq6203a5cuqwur3o5za9/view";"Öppna PDF")</f>
        <v/>
      </c>
      <c r="AR1023">
        <f>HYPERLINK("http://localhost:8787/api/admin/requirements/documents/cmm4yuq6203a5cuqwur3o5za9/view","Open PDF")</f>
        <v/>
      </c>
      <c r="AS1023" t="inlineStr">
        <is>
          <t>cmm55w57p0004cuisfrtpqly8</t>
        </is>
      </c>
      <c r="AT1023" t="inlineStr">
        <is>
          <t>cmm4xvu980000cuh4vj0usz09</t>
        </is>
      </c>
      <c r="AU1023" t="inlineStr">
        <is>
          <t>pdf Karlstads</t>
        </is>
      </c>
      <c r="AV1023" t="inlineStr">
        <is>
          <t>Kommun</t>
        </is>
      </c>
      <c r="AW1023" t="inlineStr">
        <is>
          <t>pdf Karlstads kommun</t>
        </is>
      </c>
      <c r="AX1023" t="inlineStr">
        <is>
          <t>2025-04</t>
        </is>
      </c>
      <c r="AY1023" t="inlineStr">
        <is>
          <t>Forelaggande</t>
        </is>
      </c>
      <c r="AZ1023" t="inlineStr">
        <is>
          <t>2026-02-04</t>
        </is>
      </c>
      <c r="BA1023" t="inlineStr">
        <is>
          <t>Föreläggande försiktighetsåtgärder_Bortredigerad.pdf</t>
        </is>
      </c>
      <c r="BB1023" t="inlineStr">
        <is>
          <t>VB:  Begäran om utlämnande av allmän handling – Anmälningar och beslut rörande mellanlagring av avfall samt anläggning av ytor</t>
        </is>
      </c>
      <c r="BC1023" t="inlineStr">
        <is>
          <t>AUTO</t>
        </is>
      </c>
      <c r="BD1023" t="inlineStr"/>
      <c r="BE1023" t="inlineStr"/>
      <c r="BF1023" t="inlineStr">
        <is>
          <t>AUTO_GENERERAD. Bekrafta metadata mot kallfil.</t>
        </is>
      </c>
      <c r="BG1023">
        <f>HYPERLINK("C:\Users\jimmy\Desktop\Examens arbete\Kod\Ny mapp\remix_-copy-of-miljöbeslut.se-portal\Föreläggande försiktighetsåtgärder_Bortredigerad.pdf", "Öppna PDF")</f>
        <v/>
      </c>
    </row>
    <row r="1024">
      <c r="A1024" t="inlineStr">
        <is>
          <t>KRAV-AUTO-001023</t>
        </is>
      </c>
      <c r="B1024" t="inlineStr">
        <is>
          <t>ADMIN-INDEX-2026-02-27-00000000125C043F57453246863FE664CAFE6A3F0700950291EA24F0614FB6ACEDB12BF0E31D00000000010C0000950291EA24F0614FB6ACEDB12BF0E31D00002087AE2D0000</t>
        </is>
      </c>
      <c r="C1024" t="inlineStr">
        <is>
          <t>cmm4yuq5z03a2cuqwtqkqkqsw</t>
        </is>
      </c>
      <c r="D1024" t="inlineStr">
        <is>
          <t>http://localhost:8787/api/admin/requirements/documents/cmm4yuq5z03a2cuqwtqkqkqsw/view</t>
        </is>
      </c>
      <c r="E1024">
        <f>HYPERLÄNK("http://localhost:8787/api/admin/requirements/documents/cmm4yuq5z03a2cuqwtqkqkqsw/view";"Öppna PDF")</f>
        <v/>
      </c>
      <c r="F1024">
        <f>HYPERLINK("http://localhost:8787/api/admin/requirements/documents/cmm4yuq5z03a2cuqwtqkqkqsw/view","Open PDF")</f>
        <v/>
      </c>
      <c r="G1024" t="inlineStr">
        <is>
          <t>cmm55w57p0004cuisfrtpqly8</t>
        </is>
      </c>
      <c r="H1024" t="inlineStr">
        <is>
          <t>Informationskrav</t>
        </is>
      </c>
      <c r="I1024" t="inlineStr">
        <is>
          <t>Riskhantering</t>
        </is>
      </c>
      <c r="J1024" t="inlineStr">
        <is>
          <t>Riskkontroll</t>
        </is>
      </c>
      <c r="K1024" t="inlineStr">
        <is>
          <t>Hänsyn ska tas till verksamheten, den plats som verksamheten bedrivs på och andra omständigheter som buller, damning, risk för spill- eller haveri, detaljplan, vattenskyddsområde, naturreservat och invasiva arter.</t>
        </is>
      </c>
      <c r="L1024" t="inlineStr">
        <is>
          <t>Hänsyn ska tas till verksamheten, den plats som verksamheten bedrivs på och andra omständigheter som buller, damning, risk för spill- eller haveri, detaljplan, vattenskyddsområde, naturreservat och invasiva arter.</t>
        </is>
      </c>
      <c r="M1024" t="inlineStr">
        <is>
          <t>SKA</t>
        </is>
      </c>
      <c r="N1024" t="inlineStr"/>
      <c r="O1024" t="inlineStr"/>
      <c r="P1024" t="inlineStr"/>
      <c r="Q1024" t="inlineStr"/>
      <c r="R1024" t="inlineStr">
        <is>
          <t>Vid risk for incident</t>
        </is>
      </c>
      <c r="S1024" t="inlineStr"/>
      <c r="T1024" t="inlineStr">
        <is>
          <t>250320</t>
        </is>
      </c>
      <c r="U1024" t="inlineStr"/>
      <c r="V1024" t="inlineStr"/>
      <c r="W1024" t="inlineStr">
        <is>
          <t>Nej</t>
        </is>
      </c>
      <c r="X1024" t="inlineStr">
        <is>
          <t>Nej</t>
        </is>
      </c>
      <c r="Y1024" t="inlineStr">
        <is>
          <t>Ja</t>
        </is>
      </c>
      <c r="Z1024" t="inlineStr">
        <is>
          <t>Ja</t>
        </is>
      </c>
      <c r="AA1024" t="n">
        <v>8</v>
      </c>
      <c r="AB1024" t="inlineStr">
        <is>
          <t>Riskhantering</t>
        </is>
      </c>
      <c r="AC1024" t="inlineStr">
        <is>
          <t>Risk-PM</t>
        </is>
      </c>
      <c r="AD1024" t="inlineStr">
        <is>
          <t>Nej</t>
        </is>
      </c>
      <c r="AE1024" t="inlineStr">
        <is>
          <t>Nej</t>
        </is>
      </c>
      <c r="AF1024" t="inlineStr">
        <is>
          <t>Ej behandlad</t>
        </is>
      </c>
      <c r="AG1024" t="inlineStr">
        <is>
          <t>AUTO_GENERERAD. Verifiera citat mot kallfil.</t>
        </is>
      </c>
      <c r="AH1024" t="inlineStr">
        <is>
          <t>MEDIUM</t>
        </is>
      </c>
      <c r="AI1024" t="inlineStr">
        <is>
          <t>AUTO</t>
        </is>
      </c>
      <c r="AJ1024" t="inlineStr">
        <is>
          <t>Nej</t>
        </is>
      </c>
      <c r="AK1024" t="inlineStr"/>
      <c r="AL1024" t="inlineStr"/>
      <c r="AM1024" t="inlineStr"/>
      <c r="AN1024" t="inlineStr"/>
      <c r="AO1024" t="inlineStr">
        <is>
          <t>cmm4yuq6203a5cuqwur3o5za9</t>
        </is>
      </c>
      <c r="AP1024" t="inlineStr">
        <is>
          <t>http://localhost:8787/api/admin/requirements/documents/cmm4yuq6203a5cuqwur3o5za9/view</t>
        </is>
      </c>
      <c r="AQ1024">
        <f>HYPERLÄNK("http://localhost:8787/api/admin/requirements/documents/cmm4yuq6203a5cuqwur3o5za9/view";"Öppna PDF")</f>
        <v/>
      </c>
      <c r="AR1024">
        <f>HYPERLINK("http://localhost:8787/api/admin/requirements/documents/cmm4yuq6203a5cuqwur3o5za9/view","Open PDF")</f>
        <v/>
      </c>
      <c r="AS1024" t="inlineStr">
        <is>
          <t>cmm55w57p0004cuisfrtpqly8</t>
        </is>
      </c>
      <c r="AT1024" t="inlineStr">
        <is>
          <t>cmm4xvu980000cuh4vj0usz09</t>
        </is>
      </c>
      <c r="AU1024" t="inlineStr">
        <is>
          <t>pdf Karlstads</t>
        </is>
      </c>
      <c r="AV1024" t="inlineStr">
        <is>
          <t>Kommun</t>
        </is>
      </c>
      <c r="AW1024" t="inlineStr">
        <is>
          <t>pdf Karlstads kommun</t>
        </is>
      </c>
      <c r="AX1024" t="inlineStr">
        <is>
          <t>2025-04</t>
        </is>
      </c>
      <c r="AY1024" t="inlineStr">
        <is>
          <t>Forelaggande</t>
        </is>
      </c>
      <c r="AZ1024" t="inlineStr">
        <is>
          <t>2026-02-04</t>
        </is>
      </c>
      <c r="BA1024" t="inlineStr">
        <is>
          <t>Föreläggande försiktighetsåtgärder_Bortredigerad.pdf</t>
        </is>
      </c>
      <c r="BB1024" t="inlineStr">
        <is>
          <t>VB:  Begäran om utlämnande av allmän handling – Anmälningar och beslut rörande mellanlagring av avfall samt anläggning av ytor</t>
        </is>
      </c>
      <c r="BC1024" t="inlineStr">
        <is>
          <t>AUTO</t>
        </is>
      </c>
      <c r="BD1024" t="inlineStr"/>
      <c r="BE1024" t="inlineStr"/>
      <c r="BF1024" t="inlineStr">
        <is>
          <t>AUTO_GENERERAD. Bekrafta metadata mot kallfil.</t>
        </is>
      </c>
      <c r="BG1024">
        <f>HYPERLINK("C:\Users\jimmy\Desktop\Examens arbete\Kod\Ny mapp\remix_-copy-of-miljöbeslut.se-portal\Föreläggande försiktighetsåtgärder_Bortredigerad.pdf", "Öppna PDF")</f>
        <v/>
      </c>
    </row>
    <row r="1025">
      <c r="A1025" t="inlineStr">
        <is>
          <t>KRAV-AUTO-001024</t>
        </is>
      </c>
      <c r="B1025" t="inlineStr">
        <is>
          <t>ADMIN-INDEX-2026-02-27-00000000125C043F57453246863FE664CAFE6A3F0700950291EA24F0614FB6ACEDB12BF0E31D00000000010C0000950291EA24F0614FB6ACEDB12BF0E31D00002087AE330000</t>
        </is>
      </c>
      <c r="C1025" t="inlineStr">
        <is>
          <t>cmm4yuq4j038qcuqw3wr1f8e5</t>
        </is>
      </c>
      <c r="D1025" t="inlineStr">
        <is>
          <t>http://localhost:8787/api/admin/requirements/documents/cmm4yuq4j038qcuqw3wr1f8e5/view</t>
        </is>
      </c>
      <c r="E1025">
        <f>HYPERLÄNK("http://localhost:8787/api/admin/requirements/documents/cmm4yuq4j038qcuqw3wr1f8e5/view";"Öppna PDF")</f>
        <v/>
      </c>
      <c r="F1025">
        <f>HYPERLINK("http://localhost:8787/api/admin/requirements/documents/cmm4yuq4j038qcuqw3wr1f8e5/view","Open PDF")</f>
        <v/>
      </c>
      <c r="G1025" t="inlineStr">
        <is>
          <t>cmm55w57p0004cuisfrtpqly8</t>
        </is>
      </c>
      <c r="H1025" t="inlineStr">
        <is>
          <t>Beslutsvillkor</t>
        </is>
      </c>
      <c r="I1025" t="inlineStr">
        <is>
          <t>DriftEgenkontroll</t>
        </is>
      </c>
      <c r="J1025" t="inlineStr">
        <is>
          <t>Journalforing</t>
        </is>
      </c>
      <c r="K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025" t="inlineStr">
        <is>
          <t>BOR</t>
        </is>
      </c>
      <c r="N1025" t="inlineStr"/>
      <c r="O1025" t="inlineStr">
        <is>
          <t>2021-10-28</t>
        </is>
      </c>
      <c r="P1025" t="inlineStr"/>
      <c r="Q1025" t="inlineStr"/>
      <c r="R1025" t="inlineStr">
        <is>
          <t>Lopande drift</t>
        </is>
      </c>
      <c r="S1025" t="inlineStr"/>
      <c r="T1025" t="inlineStr">
        <is>
          <t>505924</t>
        </is>
      </c>
      <c r="U1025" t="inlineStr"/>
      <c r="V1025" t="inlineStr"/>
      <c r="W1025" t="inlineStr">
        <is>
          <t>Nej</t>
        </is>
      </c>
      <c r="X1025" t="inlineStr">
        <is>
          <t>Nej</t>
        </is>
      </c>
      <c r="Y1025" t="inlineStr">
        <is>
          <t>Ja</t>
        </is>
      </c>
      <c r="Z1025" t="inlineStr">
        <is>
          <t>Nej</t>
        </is>
      </c>
      <c r="AA1025" t="n">
        <v>7</v>
      </c>
      <c r="AB1025" t="inlineStr">
        <is>
          <t>Egenkontrollrutiner</t>
        </is>
      </c>
      <c r="AC1025" t="inlineStr">
        <is>
          <t>Egenkontrollprogram</t>
        </is>
      </c>
      <c r="AD1025" t="inlineStr">
        <is>
          <t>Nej</t>
        </is>
      </c>
      <c r="AE1025" t="inlineStr">
        <is>
          <t>Nej</t>
        </is>
      </c>
      <c r="AF1025" t="inlineStr">
        <is>
          <t>Ej behandlad</t>
        </is>
      </c>
      <c r="AG1025" t="inlineStr">
        <is>
          <t>AUTO_GENERERAD. Verifiera citat mot kallfil.</t>
        </is>
      </c>
      <c r="AH1025" t="inlineStr">
        <is>
          <t>MEDIUM</t>
        </is>
      </c>
      <c r="AI1025" t="inlineStr">
        <is>
          <t>AUTO</t>
        </is>
      </c>
      <c r="AJ1025" t="inlineStr">
        <is>
          <t>Nej</t>
        </is>
      </c>
      <c r="AK1025" t="inlineStr"/>
      <c r="AL1025" t="inlineStr"/>
      <c r="AM1025" t="inlineStr"/>
      <c r="AN1025" t="inlineStr"/>
      <c r="AO1025" t="inlineStr">
        <is>
          <t>cmm4yuq56039bcuqw31feylkb</t>
        </is>
      </c>
      <c r="AP1025" t="inlineStr">
        <is>
          <t>http://localhost:8787/api/admin/requirements/documents/cmm4yuq56039bcuqw31feylkb/view</t>
        </is>
      </c>
      <c r="AQ1025">
        <f>HYPERLÄNK("http://localhost:8787/api/admin/requirements/documents/cmm4yuq56039bcuqw31feylkb/view";"Öppna PDF")</f>
        <v/>
      </c>
      <c r="AR1025">
        <f>HYPERLINK("http://localhost:8787/api/admin/requirements/documents/cmm4yuq56039bcuqw31feylkb/view","Open PDF")</f>
        <v/>
      </c>
      <c r="AS1025" t="inlineStr">
        <is>
          <t>cmm55w57p0004cuisfrtpqly8</t>
        </is>
      </c>
      <c r="AT1025" t="inlineStr">
        <is>
          <t>cmm4xvu980000cuh4vj0usz09</t>
        </is>
      </c>
      <c r="AU1025" t="inlineStr">
        <is>
          <t>Säffle</t>
        </is>
      </c>
      <c r="AV1025" t="inlineStr">
        <is>
          <t>Kommun</t>
        </is>
      </c>
      <c r="AW1025" t="inlineStr">
        <is>
          <t>Säffle kommun</t>
        </is>
      </c>
      <c r="AX1025" t="inlineStr">
        <is>
          <t>0533-68</t>
        </is>
      </c>
      <c r="AY1025" t="inlineStr">
        <is>
          <t>Anmalan</t>
        </is>
      </c>
      <c r="AZ1025" t="inlineStr">
        <is>
          <t>2026-02-04</t>
        </is>
      </c>
      <c r="BA1025" t="inlineStr">
        <is>
          <t>Anmälningsbeslut - Avelsäter 1_46.pdf</t>
        </is>
      </c>
      <c r="BB1025" t="inlineStr">
        <is>
          <t>Sv: till registrator</t>
        </is>
      </c>
      <c r="BC1025" t="inlineStr">
        <is>
          <t>AUTO</t>
        </is>
      </c>
      <c r="BD1025" t="inlineStr"/>
      <c r="BE1025" t="inlineStr"/>
      <c r="BF1025" t="inlineStr">
        <is>
          <t>AUTO_GENERERAD. Bekrafta metadata mot kallfil.</t>
        </is>
      </c>
      <c r="BG1025">
        <f>HYPERLINK("C:\Users\jimmy\Desktop\Examens arbete\Kod\Ny mapp\remix_-copy-of-miljöbeslut.se-portal\Anmälningsbeslut - Avelsäter 1_46.pdf", "Öppna PDF")</f>
        <v/>
      </c>
    </row>
    <row r="1026">
      <c r="A1026" t="inlineStr">
        <is>
          <t>KRAV-AUTO-001025</t>
        </is>
      </c>
      <c r="B1026" t="inlineStr">
        <is>
          <t>ADMIN-INDEX-2026-02-27-00000000125C043F57453246863FE664CAFE6A3F0700950291EA24F0614FB6ACEDB12BF0E31D00000000010C0000950291EA24F0614FB6ACEDB12BF0E31D00002087AE330000</t>
        </is>
      </c>
      <c r="C1026" t="inlineStr">
        <is>
          <t>cmm4yuq4j038qcuqw3wr1f8e5</t>
        </is>
      </c>
      <c r="D1026" t="inlineStr">
        <is>
          <t>http://localhost:8787/api/admin/requirements/documents/cmm4yuq4j038qcuqw3wr1f8e5/view</t>
        </is>
      </c>
      <c r="E1026">
        <f>HYPERLÄNK("http://localhost:8787/api/admin/requirements/documents/cmm4yuq4j038qcuqw3wr1f8e5/view";"Öppna PDF")</f>
        <v/>
      </c>
      <c r="F1026">
        <f>HYPERLINK("http://localhost:8787/api/admin/requirements/documents/cmm4yuq4j038qcuqw3wr1f8e5/view","Open PDF")</f>
        <v/>
      </c>
      <c r="G1026" t="inlineStr">
        <is>
          <t>cmm55w57p0004cuisfrtpqly8</t>
        </is>
      </c>
      <c r="H1026" t="inlineStr">
        <is>
          <t>Beslutsvillkor</t>
        </is>
      </c>
      <c r="I1026" t="inlineStr">
        <is>
          <t>DriftEgenkontroll</t>
        </is>
      </c>
      <c r="J1026" t="inlineStr">
        <is>
          <t>Journalforing</t>
        </is>
      </c>
      <c r="K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026" t="inlineStr">
        <is>
          <t>BOR</t>
        </is>
      </c>
      <c r="N1026" t="inlineStr"/>
      <c r="O1026" t="inlineStr">
        <is>
          <t>2021-10-28</t>
        </is>
      </c>
      <c r="P1026" t="inlineStr"/>
      <c r="Q1026" t="inlineStr"/>
      <c r="R1026" t="inlineStr">
        <is>
          <t>Lopande drift</t>
        </is>
      </c>
      <c r="S1026" t="inlineStr"/>
      <c r="T1026" t="inlineStr">
        <is>
          <t>505924</t>
        </is>
      </c>
      <c r="U1026" t="inlineStr"/>
      <c r="V1026" t="inlineStr"/>
      <c r="W1026" t="inlineStr">
        <is>
          <t>Nej</t>
        </is>
      </c>
      <c r="X1026" t="inlineStr">
        <is>
          <t>Nej</t>
        </is>
      </c>
      <c r="Y1026" t="inlineStr">
        <is>
          <t>Ja</t>
        </is>
      </c>
      <c r="Z1026" t="inlineStr">
        <is>
          <t>Nej</t>
        </is>
      </c>
      <c r="AA1026" t="n">
        <v>7</v>
      </c>
      <c r="AB1026" t="inlineStr">
        <is>
          <t>Egenkontrollrutiner</t>
        </is>
      </c>
      <c r="AC1026" t="inlineStr">
        <is>
          <t>Egenkontrollprogram</t>
        </is>
      </c>
      <c r="AD1026" t="inlineStr">
        <is>
          <t>Nej</t>
        </is>
      </c>
      <c r="AE1026" t="inlineStr">
        <is>
          <t>Nej</t>
        </is>
      </c>
      <c r="AF1026" t="inlineStr">
        <is>
          <t>Ej behandlad</t>
        </is>
      </c>
      <c r="AG1026" t="inlineStr">
        <is>
          <t>AUTO_GENERERAD. Verifiera citat mot kallfil.</t>
        </is>
      </c>
      <c r="AH1026" t="inlineStr">
        <is>
          <t>MEDIUM</t>
        </is>
      </c>
      <c r="AI1026" t="inlineStr">
        <is>
          <t>AUTO</t>
        </is>
      </c>
      <c r="AJ1026" t="inlineStr">
        <is>
          <t>Nej</t>
        </is>
      </c>
      <c r="AK1026" t="inlineStr"/>
      <c r="AL1026" t="inlineStr"/>
      <c r="AM1026" t="inlineStr"/>
      <c r="AN1026" t="inlineStr"/>
      <c r="AO1026" t="inlineStr">
        <is>
          <t>cmm4yuq56039bcuqw31feylkb</t>
        </is>
      </c>
      <c r="AP1026" t="inlineStr">
        <is>
          <t>http://localhost:8787/api/admin/requirements/documents/cmm4yuq56039bcuqw31feylkb/view</t>
        </is>
      </c>
      <c r="AQ1026">
        <f>HYPERLÄNK("http://localhost:8787/api/admin/requirements/documents/cmm4yuq56039bcuqw31feylkb/view";"Öppna PDF")</f>
        <v/>
      </c>
      <c r="AR1026">
        <f>HYPERLINK("http://localhost:8787/api/admin/requirements/documents/cmm4yuq56039bcuqw31feylkb/view","Open PDF")</f>
        <v/>
      </c>
      <c r="AS1026" t="inlineStr">
        <is>
          <t>cmm55w57p0004cuisfrtpqly8</t>
        </is>
      </c>
      <c r="AT1026" t="inlineStr">
        <is>
          <t>cmm4xvu980000cuh4vj0usz09</t>
        </is>
      </c>
      <c r="AU1026" t="inlineStr">
        <is>
          <t>Säffle</t>
        </is>
      </c>
      <c r="AV1026" t="inlineStr">
        <is>
          <t>Kommun</t>
        </is>
      </c>
      <c r="AW1026" t="inlineStr">
        <is>
          <t>Säffle kommun</t>
        </is>
      </c>
      <c r="AX1026" t="inlineStr">
        <is>
          <t>0533-68</t>
        </is>
      </c>
      <c r="AY1026" t="inlineStr">
        <is>
          <t>Anmalan</t>
        </is>
      </c>
      <c r="AZ1026" t="inlineStr">
        <is>
          <t>2026-02-04</t>
        </is>
      </c>
      <c r="BA1026" t="inlineStr">
        <is>
          <t>Anmälningsbeslut - Avelsäter 1_46.pdf</t>
        </is>
      </c>
      <c r="BB1026" t="inlineStr">
        <is>
          <t>Sv: till registrator</t>
        </is>
      </c>
      <c r="BC1026" t="inlineStr">
        <is>
          <t>AUTO</t>
        </is>
      </c>
      <c r="BD1026" t="inlineStr"/>
      <c r="BE1026" t="inlineStr"/>
      <c r="BF1026" t="inlineStr">
        <is>
          <t>AUTO_GENERERAD. Bekrafta metadata mot kallfil.</t>
        </is>
      </c>
      <c r="BG1026">
        <f>HYPERLINK("C:\Users\jimmy\Desktop\Examens arbete\Kod\Ny mapp\remix_-copy-of-miljöbeslut.se-portal\Anmälningsbeslut - Avelsäter 1_46.pdf", "Öppna PDF")</f>
        <v/>
      </c>
    </row>
    <row r="1027">
      <c r="A1027" t="inlineStr">
        <is>
          <t>KRAV-AUTO-001026</t>
        </is>
      </c>
      <c r="B1027" t="inlineStr">
        <is>
          <t>ADMIN-INDEX-2026-02-27-00000000125C043F57453246863FE664CAFE6A3F0700950291EA24F0614FB6ACEDB12BF0E31D00000000010C0000950291EA24F0614FB6ACEDB12BF0E31D00002087AE330000</t>
        </is>
      </c>
      <c r="C1027" t="inlineStr">
        <is>
          <t>cmm4yuq4j038qcuqw3wr1f8e5</t>
        </is>
      </c>
      <c r="D1027" t="inlineStr">
        <is>
          <t>http://localhost:8787/api/admin/requirements/documents/cmm4yuq4j038qcuqw3wr1f8e5/view</t>
        </is>
      </c>
      <c r="E1027">
        <f>HYPERLÄNK("http://localhost:8787/api/admin/requirements/documents/cmm4yuq4j038qcuqw3wr1f8e5/view";"Öppna PDF")</f>
        <v/>
      </c>
      <c r="F1027">
        <f>HYPERLINK("http://localhost:8787/api/admin/requirements/documents/cmm4yuq4j038qcuqw3wr1f8e5/view","Open PDF")</f>
        <v/>
      </c>
      <c r="G1027" t="inlineStr">
        <is>
          <t>cmm55w57p0004cuisfrtpqly8</t>
        </is>
      </c>
      <c r="H1027" t="inlineStr">
        <is>
          <t>Beslutsvillkor</t>
        </is>
      </c>
      <c r="I1027" t="inlineStr">
        <is>
          <t>DriftEgenkontroll</t>
        </is>
      </c>
      <c r="J1027" t="inlineStr">
        <is>
          <t>Journalforing</t>
        </is>
      </c>
      <c r="K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027" t="inlineStr">
        <is>
          <t>BOR</t>
        </is>
      </c>
      <c r="N1027" t="inlineStr"/>
      <c r="O1027" t="inlineStr">
        <is>
          <t>2021-10-28</t>
        </is>
      </c>
      <c r="P1027" t="inlineStr"/>
      <c r="Q1027" t="inlineStr"/>
      <c r="R1027" t="inlineStr">
        <is>
          <t>Lopande drift</t>
        </is>
      </c>
      <c r="S1027" t="inlineStr"/>
      <c r="T1027" t="inlineStr">
        <is>
          <t>505924</t>
        </is>
      </c>
      <c r="U1027" t="inlineStr"/>
      <c r="V1027" t="inlineStr"/>
      <c r="W1027" t="inlineStr">
        <is>
          <t>Nej</t>
        </is>
      </c>
      <c r="X1027" t="inlineStr">
        <is>
          <t>Nej</t>
        </is>
      </c>
      <c r="Y1027" t="inlineStr">
        <is>
          <t>Ja</t>
        </is>
      </c>
      <c r="Z1027" t="inlineStr">
        <is>
          <t>Nej</t>
        </is>
      </c>
      <c r="AA1027" t="n">
        <v>7</v>
      </c>
      <c r="AB1027" t="inlineStr">
        <is>
          <t>Egenkontrollrutiner</t>
        </is>
      </c>
      <c r="AC1027" t="inlineStr">
        <is>
          <t>Egenkontrollprogram</t>
        </is>
      </c>
      <c r="AD1027" t="inlineStr">
        <is>
          <t>Nej</t>
        </is>
      </c>
      <c r="AE1027" t="inlineStr">
        <is>
          <t>Nej</t>
        </is>
      </c>
      <c r="AF1027" t="inlineStr">
        <is>
          <t>Ej behandlad</t>
        </is>
      </c>
      <c r="AG1027" t="inlineStr">
        <is>
          <t>AUTO_GENERERAD. Verifiera citat mot kallfil.</t>
        </is>
      </c>
      <c r="AH1027" t="inlineStr">
        <is>
          <t>MEDIUM</t>
        </is>
      </c>
      <c r="AI1027" t="inlineStr">
        <is>
          <t>AUTO</t>
        </is>
      </c>
      <c r="AJ1027" t="inlineStr">
        <is>
          <t>Nej</t>
        </is>
      </c>
      <c r="AK1027" t="inlineStr"/>
      <c r="AL1027" t="inlineStr"/>
      <c r="AM1027" t="inlineStr"/>
      <c r="AN1027" t="inlineStr"/>
      <c r="AO1027" t="inlineStr">
        <is>
          <t>cmm4yuq56039bcuqw31feylkb</t>
        </is>
      </c>
      <c r="AP1027" t="inlineStr">
        <is>
          <t>http://localhost:8787/api/admin/requirements/documents/cmm4yuq56039bcuqw31feylkb/view</t>
        </is>
      </c>
      <c r="AQ1027">
        <f>HYPERLÄNK("http://localhost:8787/api/admin/requirements/documents/cmm4yuq56039bcuqw31feylkb/view";"Öppna PDF")</f>
        <v/>
      </c>
      <c r="AR1027">
        <f>HYPERLINK("http://localhost:8787/api/admin/requirements/documents/cmm4yuq56039bcuqw31feylkb/view","Open PDF")</f>
        <v/>
      </c>
      <c r="AS1027" t="inlineStr">
        <is>
          <t>cmm55w57p0004cuisfrtpqly8</t>
        </is>
      </c>
      <c r="AT1027" t="inlineStr">
        <is>
          <t>cmm4xvu980000cuh4vj0usz09</t>
        </is>
      </c>
      <c r="AU1027" t="inlineStr">
        <is>
          <t>Säffle</t>
        </is>
      </c>
      <c r="AV1027" t="inlineStr">
        <is>
          <t>Kommun</t>
        </is>
      </c>
      <c r="AW1027" t="inlineStr">
        <is>
          <t>Säffle kommun</t>
        </is>
      </c>
      <c r="AX1027" t="inlineStr">
        <is>
          <t>0533-68</t>
        </is>
      </c>
      <c r="AY1027" t="inlineStr">
        <is>
          <t>Anmalan</t>
        </is>
      </c>
      <c r="AZ1027" t="inlineStr">
        <is>
          <t>2026-02-04</t>
        </is>
      </c>
      <c r="BA1027" t="inlineStr">
        <is>
          <t>Anmälningsbeslut - Avelsäter 1_46.pdf</t>
        </is>
      </c>
      <c r="BB1027" t="inlineStr">
        <is>
          <t>Sv: till registrator</t>
        </is>
      </c>
      <c r="BC1027" t="inlineStr">
        <is>
          <t>AUTO</t>
        </is>
      </c>
      <c r="BD1027" t="inlineStr"/>
      <c r="BE1027" t="inlineStr"/>
      <c r="BF1027" t="inlineStr">
        <is>
          <t>AUTO_GENERERAD. Bekrafta metadata mot kallfil.</t>
        </is>
      </c>
      <c r="BG1027">
        <f>HYPERLINK("C:\Users\jimmy\Desktop\Examens arbete\Kod\Ny mapp\remix_-copy-of-miljöbeslut.se-portal\Anmälningsbeslut - Avelsäter 1_46.pdf", "Öppna PDF")</f>
        <v/>
      </c>
    </row>
    <row r="1028">
      <c r="A1028" t="inlineStr">
        <is>
          <t>KRAV-AUTO-001027</t>
        </is>
      </c>
      <c r="B1028" t="inlineStr">
        <is>
          <t>ADMIN-INDEX-2026-02-27-00000000125C043F57453246863FE664CAFE6A3F0700950291EA24F0614FB6ACEDB12BF0E31D00000000010C0000950291EA24F0614FB6ACEDB12BF0E31D00002087AE340000</t>
        </is>
      </c>
      <c r="C1028" t="inlineStr">
        <is>
          <t>cmm4yuq3w0385cuqwarfm072q</t>
        </is>
      </c>
      <c r="D1028" t="inlineStr">
        <is>
          <t>http://localhost:8787/api/admin/requirements/documents/cmm4yuq3w0385cuqwarfm072q/view</t>
        </is>
      </c>
      <c r="E1028">
        <f>HYPERLÄNK("http://localhost:8787/api/admin/requirements/documents/cmm4yuq3w0385cuqwarfm072q/view";"Öppna PDF")</f>
        <v/>
      </c>
      <c r="F1028">
        <f>HYPERLINK("http://localhost:8787/api/admin/requirements/documents/cmm4yuq3w0385cuqwarfm072q/view","Open PDF")</f>
        <v/>
      </c>
      <c r="G1028" t="inlineStr">
        <is>
          <t>cmm55w57p0004cuisfrtpqly8</t>
        </is>
      </c>
      <c r="H1028" t="inlineStr">
        <is>
          <t>Informationskrav</t>
        </is>
      </c>
      <c r="I1028" t="inlineStr">
        <is>
          <t>Riskhantering</t>
        </is>
      </c>
      <c r="J1028" t="inlineStr">
        <is>
          <t>Riskkontroll</t>
        </is>
      </c>
      <c r="K1028" t="inlineStr">
        <is>
          <t>Detta innebär att asfaltens innehåll av dessa skadliga ämnen måste vara tillräckligt lågt för att inte utgöra en risk för miljön eller människors hälsa.</t>
        </is>
      </c>
      <c r="L1028" t="inlineStr">
        <is>
          <t>Detta innebär att asfaltens innehåll av dessa skadliga ämnen måste vara tillräckligt lågt för att inte utgöra en risk för miljön eller människors hälsa.</t>
        </is>
      </c>
      <c r="M1028" t="inlineStr">
        <is>
          <t>SKA</t>
        </is>
      </c>
      <c r="N1028" t="inlineStr"/>
      <c r="O1028" t="inlineStr"/>
      <c r="P1028" t="inlineStr"/>
      <c r="Q1028" t="inlineStr"/>
      <c r="R1028" t="inlineStr">
        <is>
          <t>Vid risk for incident</t>
        </is>
      </c>
      <c r="S1028" t="inlineStr"/>
      <c r="T1028" t="inlineStr">
        <is>
          <t>212000</t>
        </is>
      </c>
      <c r="U1028" t="inlineStr"/>
      <c r="V1028" t="inlineStr"/>
      <c r="W1028" t="inlineStr">
        <is>
          <t>Nej</t>
        </is>
      </c>
      <c r="X1028" t="inlineStr">
        <is>
          <t>Nej</t>
        </is>
      </c>
      <c r="Y1028" t="inlineStr">
        <is>
          <t>Ja</t>
        </is>
      </c>
      <c r="Z1028" t="inlineStr">
        <is>
          <t>Ja</t>
        </is>
      </c>
      <c r="AA1028" t="n">
        <v>8</v>
      </c>
      <c r="AB1028" t="inlineStr">
        <is>
          <t>Riskhantering</t>
        </is>
      </c>
      <c r="AC1028" t="inlineStr">
        <is>
          <t>Risk-PM</t>
        </is>
      </c>
      <c r="AD1028" t="inlineStr">
        <is>
          <t>Nej</t>
        </is>
      </c>
      <c r="AE1028" t="inlineStr">
        <is>
          <t>Nej</t>
        </is>
      </c>
      <c r="AF1028" t="inlineStr">
        <is>
          <t>Ej behandlad</t>
        </is>
      </c>
      <c r="AG1028" t="inlineStr">
        <is>
          <t>AUTO_GENERERAD. Verifiera citat mot kallfil.</t>
        </is>
      </c>
      <c r="AH1028" t="inlineStr">
        <is>
          <t>MEDIUM</t>
        </is>
      </c>
      <c r="AI1028" t="inlineStr">
        <is>
          <t>AUTO</t>
        </is>
      </c>
      <c r="AJ1028" t="inlineStr">
        <is>
          <t>Nej</t>
        </is>
      </c>
      <c r="AK1028" t="inlineStr"/>
      <c r="AL1028" t="inlineStr"/>
      <c r="AM1028" t="inlineStr"/>
      <c r="AN1028" t="inlineStr"/>
      <c r="AO1028" t="inlineStr">
        <is>
          <t>cmm4yuq3a037kcuqwpi0d7k4c</t>
        </is>
      </c>
      <c r="AP1028" t="inlineStr">
        <is>
          <t>http://localhost:8787/api/admin/requirements/documents/cmm4yuq3a037kcuqwpi0d7k4c/view</t>
        </is>
      </c>
      <c r="AQ1028">
        <f>HYPERLÄNK("http://localhost:8787/api/admin/requirements/documents/cmm4yuq3a037kcuqwpi0d7k4c/view";"Öppna PDF")</f>
        <v/>
      </c>
      <c r="AR1028">
        <f>HYPERLINK("http://localhost:8787/api/admin/requirements/documents/cmm4yuq3a037kcuqwpi0d7k4c/view","Open PDF")</f>
        <v/>
      </c>
      <c r="AS1028" t="inlineStr">
        <is>
          <t>cmm55w57p0004cuisfrtpqly8</t>
        </is>
      </c>
      <c r="AT1028" t="inlineStr">
        <is>
          <t>cmm4xvu980000cuh4vj0usz09</t>
        </is>
      </c>
      <c r="AU1028" t="inlineStr"/>
      <c r="AV1028" t="inlineStr">
        <is>
          <t>Kommun</t>
        </is>
      </c>
      <c r="AW1028" t="inlineStr"/>
      <c r="AX1028" t="inlineStr">
        <is>
          <t>2019:01</t>
        </is>
      </c>
      <c r="AY1028" t="inlineStr">
        <is>
          <t>Beslut</t>
        </is>
      </c>
      <c r="AZ1028" t="inlineStr">
        <is>
          <t>2026-02-04</t>
        </is>
      </c>
      <c r="BA1028" t="inlineStr">
        <is>
          <t>Analysresultat - Muraren 4.pdf</t>
        </is>
      </c>
      <c r="BB1028" t="inlineStr">
        <is>
          <t>Sv: till registrator</t>
        </is>
      </c>
      <c r="BC1028" t="inlineStr">
        <is>
          <t>AUTO</t>
        </is>
      </c>
      <c r="BD1028" t="inlineStr"/>
      <c r="BE1028" t="inlineStr"/>
      <c r="BF1028" t="inlineStr">
        <is>
          <t>AUTO_GENERERAD. Bekrafta metadata mot kallfil.</t>
        </is>
      </c>
      <c r="BG1028">
        <f>HYPERLINK("C:\Users\jimmy\Desktop\Examens arbete\Kod\Ny mapp\remix_-copy-of-miljöbeslut.se-portal\Analysresultat - Muraren 4.pdf", "Öppna PDF")</f>
        <v/>
      </c>
    </row>
    <row r="1029">
      <c r="A1029" t="inlineStr">
        <is>
          <t>KRAV-AUTO-001028</t>
        </is>
      </c>
      <c r="B1029" t="inlineStr">
        <is>
          <t>ADMIN-INDEX-2026-02-27-00000000125C043F57453246863FE664CAFE6A3F0700950291EA24F0614FB6ACEDB12BF0E31D00000000010C0000950291EA24F0614FB6ACEDB12BF0E31D00002087AE340000</t>
        </is>
      </c>
      <c r="C1029" t="inlineStr">
        <is>
          <t>cmm4yuq3w0385cuqwarfm072q</t>
        </is>
      </c>
      <c r="D1029" t="inlineStr">
        <is>
          <t>http://localhost:8787/api/admin/requirements/documents/cmm4yuq3w0385cuqwarfm072q/view</t>
        </is>
      </c>
      <c r="E1029">
        <f>HYPERLÄNK("http://localhost:8787/api/admin/requirements/documents/cmm4yuq3w0385cuqwarfm072q/view";"Öppna PDF")</f>
        <v/>
      </c>
      <c r="F1029">
        <f>HYPERLINK("http://localhost:8787/api/admin/requirements/documents/cmm4yuq3w0385cuqwarfm072q/view","Open PDF")</f>
        <v/>
      </c>
      <c r="G1029" t="inlineStr">
        <is>
          <t>cmm55w57p0004cuisfrtpqly8</t>
        </is>
      </c>
      <c r="H1029" t="inlineStr">
        <is>
          <t>Informationskrav</t>
        </is>
      </c>
      <c r="I1029" t="inlineStr">
        <is>
          <t>MiljopaverkanForsiktighet</t>
        </is>
      </c>
      <c r="J1029" t="inlineStr">
        <is>
          <t>Skyddsatgarder</t>
        </is>
      </c>
      <c r="K1029" t="inlineStr">
        <is>
          <t>För att asfalt ska klassificeras som icke-farligt avfall måste halten av PAH16 (polycykliska aromatiska kolväten) underskrida värden på mindre än 70 ppm (parts per million).</t>
        </is>
      </c>
      <c r="L1029" t="inlineStr">
        <is>
          <t>För att asfalt ska klassificeras som icke-farligt avfall måste halten av PAH16 (polycykliska aromatiska kolväten) underskrida värden på mindre än 70 ppm (parts per million).</t>
        </is>
      </c>
      <c r="M1029" t="inlineStr">
        <is>
          <t>SKA</t>
        </is>
      </c>
      <c r="N1029" t="inlineStr"/>
      <c r="O1029" t="inlineStr"/>
      <c r="P1029" t="inlineStr">
        <is>
          <t>Arlig</t>
        </is>
      </c>
      <c r="Q1029" t="inlineStr"/>
      <c r="R1029" t="inlineStr">
        <is>
          <t>Alltid</t>
        </is>
      </c>
      <c r="S1029" t="inlineStr"/>
      <c r="T1029" t="inlineStr">
        <is>
          <t>212000</t>
        </is>
      </c>
      <c r="U1029" t="inlineStr"/>
      <c r="V1029" t="inlineStr"/>
      <c r="W1029" t="inlineStr">
        <is>
          <t>Nej</t>
        </is>
      </c>
      <c r="X1029" t="inlineStr">
        <is>
          <t>Nej</t>
        </is>
      </c>
      <c r="Y1029" t="inlineStr">
        <is>
          <t>Nej</t>
        </is>
      </c>
      <c r="Z1029" t="inlineStr">
        <is>
          <t>Nej</t>
        </is>
      </c>
      <c r="AA1029" t="n">
        <v>10</v>
      </c>
      <c r="AB1029" t="inlineStr">
        <is>
          <t>Miljopaverkan och forsiktighetsmatt</t>
        </is>
      </c>
      <c r="AC1029" t="inlineStr">
        <is>
          <t>Miljo-PM</t>
        </is>
      </c>
      <c r="AD1029" t="inlineStr">
        <is>
          <t>Nej</t>
        </is>
      </c>
      <c r="AE1029" t="inlineStr">
        <is>
          <t>Nej</t>
        </is>
      </c>
      <c r="AF1029" t="inlineStr">
        <is>
          <t>Ej behandlad</t>
        </is>
      </c>
      <c r="AG1029" t="inlineStr">
        <is>
          <t>AUTO_GENERERAD. Verifiera citat mot kallfil.</t>
        </is>
      </c>
      <c r="AH1029" t="inlineStr">
        <is>
          <t>MEDIUM</t>
        </is>
      </c>
      <c r="AI1029" t="inlineStr">
        <is>
          <t>AUTO</t>
        </is>
      </c>
      <c r="AJ1029" t="inlineStr">
        <is>
          <t>Nej</t>
        </is>
      </c>
      <c r="AK1029" t="inlineStr"/>
      <c r="AL1029" t="inlineStr"/>
      <c r="AM1029" t="inlineStr"/>
      <c r="AN1029" t="inlineStr"/>
      <c r="AO1029" t="inlineStr">
        <is>
          <t>cmm4yuq3a037kcuqwpi0d7k4c</t>
        </is>
      </c>
      <c r="AP1029" t="inlineStr">
        <is>
          <t>http://localhost:8787/api/admin/requirements/documents/cmm4yuq3a037kcuqwpi0d7k4c/view</t>
        </is>
      </c>
      <c r="AQ1029">
        <f>HYPERLÄNK("http://localhost:8787/api/admin/requirements/documents/cmm4yuq3a037kcuqwpi0d7k4c/view";"Öppna PDF")</f>
        <v/>
      </c>
      <c r="AR1029">
        <f>HYPERLINK("http://localhost:8787/api/admin/requirements/documents/cmm4yuq3a037kcuqwpi0d7k4c/view","Open PDF")</f>
        <v/>
      </c>
      <c r="AS1029" t="inlineStr">
        <is>
          <t>cmm55w57p0004cuisfrtpqly8</t>
        </is>
      </c>
      <c r="AT1029" t="inlineStr">
        <is>
          <t>cmm4xvu980000cuh4vj0usz09</t>
        </is>
      </c>
      <c r="AU1029" t="inlineStr"/>
      <c r="AV1029" t="inlineStr">
        <is>
          <t>Kommun</t>
        </is>
      </c>
      <c r="AW1029" t="inlineStr"/>
      <c r="AX1029" t="inlineStr">
        <is>
          <t>2019:01</t>
        </is>
      </c>
      <c r="AY1029" t="inlineStr">
        <is>
          <t>Beslut</t>
        </is>
      </c>
      <c r="AZ1029" t="inlineStr">
        <is>
          <t>2026-02-04</t>
        </is>
      </c>
      <c r="BA1029" t="inlineStr">
        <is>
          <t>Analysresultat - Muraren 4.pdf</t>
        </is>
      </c>
      <c r="BB1029" t="inlineStr">
        <is>
          <t>Sv: till registrator</t>
        </is>
      </c>
      <c r="BC1029" t="inlineStr">
        <is>
          <t>AUTO</t>
        </is>
      </c>
      <c r="BD1029" t="inlineStr"/>
      <c r="BE1029" t="inlineStr"/>
      <c r="BF1029" t="inlineStr">
        <is>
          <t>AUTO_GENERERAD. Bekrafta metadata mot kallfil.</t>
        </is>
      </c>
      <c r="BG1029">
        <f>HYPERLINK("C:\Users\jimmy\Desktop\Examens arbete\Kod\Ny mapp\remix_-copy-of-miljöbeslut.se-portal\Analysresultat - Muraren 4.pdf", "Öppna PDF")</f>
        <v/>
      </c>
    </row>
    <row r="1030">
      <c r="A1030" t="inlineStr">
        <is>
          <t>KRAV-AUTO-001029</t>
        </is>
      </c>
      <c r="B1030" t="inlineStr">
        <is>
          <t>ADMIN-INDEX-2026-02-27-00000000125C043F57453246863FE664CAFE6A3F0700950291EA24F0614FB6ACEDB12BF0E31D00000000010C0000950291EA24F0614FB6ACEDB12BF0E31D00002087AE340000</t>
        </is>
      </c>
      <c r="C1030" t="inlineStr">
        <is>
          <t>cmm4yuq3w0385cuqwarfm072q</t>
        </is>
      </c>
      <c r="D1030" t="inlineStr">
        <is>
          <t>http://localhost:8787/api/admin/requirements/documents/cmm4yuq3w0385cuqwarfm072q/view</t>
        </is>
      </c>
      <c r="E1030">
        <f>HYPERLÄNK("http://localhost:8787/api/admin/requirements/documents/cmm4yuq3w0385cuqwarfm072q/view";"Öppna PDF")</f>
        <v/>
      </c>
      <c r="F1030">
        <f>HYPERLINK("http://localhost:8787/api/admin/requirements/documents/cmm4yuq3w0385cuqwarfm072q/view","Open PDF")</f>
        <v/>
      </c>
      <c r="G1030" t="inlineStr">
        <is>
          <t>cmm55w57p0004cuisfrtpqly8</t>
        </is>
      </c>
      <c r="H1030" t="inlineStr">
        <is>
          <t>Informationskrav</t>
        </is>
      </c>
      <c r="I1030" t="inlineStr">
        <is>
          <t>LagringsvolymTid</t>
        </is>
      </c>
      <c r="J1030" t="inlineStr">
        <is>
          <t>Maxmangd</t>
        </is>
      </c>
      <c r="K1030" t="inlineStr">
        <is>
          <t>mer än 1 000 ton per kalenderår och avfallet ska användas för byggnads- eller anläggningsändamål, eller 2.</t>
        </is>
      </c>
      <c r="L1030" t="inlineStr">
        <is>
          <t>mer än 1 000 ton per kalenderår och avfallet ska användas för byggnads- eller anläggningsändamål, eller 2.</t>
        </is>
      </c>
      <c r="M1030" t="inlineStr">
        <is>
          <t>SKA</t>
        </is>
      </c>
      <c r="N1030" t="inlineStr"/>
      <c r="O1030" t="inlineStr"/>
      <c r="P1030" t="inlineStr"/>
      <c r="Q1030" t="inlineStr"/>
      <c r="R1030" t="inlineStr">
        <is>
          <t>Alltid</t>
        </is>
      </c>
      <c r="S1030" t="inlineStr"/>
      <c r="T1030" t="inlineStr">
        <is>
          <t>212000</t>
        </is>
      </c>
      <c r="U1030" t="n">
        <v>0</v>
      </c>
      <c r="V1030" t="inlineStr"/>
      <c r="W1030" t="inlineStr">
        <is>
          <t>Nej</t>
        </is>
      </c>
      <c r="X1030" t="inlineStr">
        <is>
          <t>Nej</t>
        </is>
      </c>
      <c r="Y1030" t="inlineStr">
        <is>
          <t>Nej</t>
        </is>
      </c>
      <c r="Z1030" t="inlineStr">
        <is>
          <t>Nej</t>
        </is>
      </c>
      <c r="AA1030" t="n">
        <v>4</v>
      </c>
      <c r="AB1030" t="inlineStr">
        <is>
          <t>Avfallsmangder och lagringstid</t>
        </is>
      </c>
      <c r="AC1030" t="inlineStr">
        <is>
          <t>Avfallsforteckning</t>
        </is>
      </c>
      <c r="AD1030" t="inlineStr">
        <is>
          <t>Nej</t>
        </is>
      </c>
      <c r="AE1030" t="inlineStr">
        <is>
          <t>Nej</t>
        </is>
      </c>
      <c r="AF1030" t="inlineStr">
        <is>
          <t>Ej behandlad</t>
        </is>
      </c>
      <c r="AG1030" t="inlineStr">
        <is>
          <t>AUTO_GENERERAD. Verifiera citat mot kallfil.</t>
        </is>
      </c>
      <c r="AH1030" t="inlineStr">
        <is>
          <t>MEDIUM</t>
        </is>
      </c>
      <c r="AI1030" t="inlineStr">
        <is>
          <t>AUTO</t>
        </is>
      </c>
      <c r="AJ1030" t="inlineStr">
        <is>
          <t>Nej</t>
        </is>
      </c>
      <c r="AK1030" t="inlineStr"/>
      <c r="AL1030" t="inlineStr"/>
      <c r="AM1030" t="inlineStr"/>
      <c r="AN1030" t="inlineStr"/>
      <c r="AO1030" t="inlineStr">
        <is>
          <t>cmm4yuq3a037kcuqwpi0d7k4c</t>
        </is>
      </c>
      <c r="AP1030" t="inlineStr">
        <is>
          <t>http://localhost:8787/api/admin/requirements/documents/cmm4yuq3a037kcuqwpi0d7k4c/view</t>
        </is>
      </c>
      <c r="AQ1030">
        <f>HYPERLÄNK("http://localhost:8787/api/admin/requirements/documents/cmm4yuq3a037kcuqwpi0d7k4c/view";"Öppna PDF")</f>
        <v/>
      </c>
      <c r="AR1030">
        <f>HYPERLINK("http://localhost:8787/api/admin/requirements/documents/cmm4yuq3a037kcuqwpi0d7k4c/view","Open PDF")</f>
        <v/>
      </c>
      <c r="AS1030" t="inlineStr">
        <is>
          <t>cmm55w57p0004cuisfrtpqly8</t>
        </is>
      </c>
      <c r="AT1030" t="inlineStr">
        <is>
          <t>cmm4xvu980000cuh4vj0usz09</t>
        </is>
      </c>
      <c r="AU1030" t="inlineStr"/>
      <c r="AV1030" t="inlineStr">
        <is>
          <t>Kommun</t>
        </is>
      </c>
      <c r="AW1030" t="inlineStr"/>
      <c r="AX1030" t="inlineStr">
        <is>
          <t>2019:01</t>
        </is>
      </c>
      <c r="AY1030" t="inlineStr">
        <is>
          <t>Beslut</t>
        </is>
      </c>
      <c r="AZ1030" t="inlineStr">
        <is>
          <t>2026-02-04</t>
        </is>
      </c>
      <c r="BA1030" t="inlineStr">
        <is>
          <t>Analysresultat - Muraren 4.pdf</t>
        </is>
      </c>
      <c r="BB1030" t="inlineStr">
        <is>
          <t>Sv: till registrator</t>
        </is>
      </c>
      <c r="BC1030" t="inlineStr">
        <is>
          <t>AUTO</t>
        </is>
      </c>
      <c r="BD1030" t="inlineStr"/>
      <c r="BE1030" t="inlineStr"/>
      <c r="BF1030" t="inlineStr">
        <is>
          <t>AUTO_GENERERAD. Bekrafta metadata mot kallfil.</t>
        </is>
      </c>
      <c r="BG1030">
        <f>HYPERLINK("C:\Users\jimmy\Desktop\Examens arbete\Kod\Ny mapp\remix_-copy-of-miljöbeslut.se-portal\Analysresultat - Muraren 4.pdf", "Öppna PDF")</f>
        <v/>
      </c>
    </row>
    <row r="1031">
      <c r="A1031" t="inlineStr">
        <is>
          <t>KRAV-AUTO-001030</t>
        </is>
      </c>
      <c r="B1031" t="inlineStr">
        <is>
          <t>ADMIN-INDEX-2026-02-27-00000000125C043F57453246863FE664CAFE6A3F0700950291EA24F0614FB6ACEDB12BF0E31D00000000010C0000950291EA24F0614FB6ACEDB12BF0E31D00002087AE340000</t>
        </is>
      </c>
      <c r="C1031" t="inlineStr">
        <is>
          <t>cmm4yuq3i037qcuqwvwpbxnma</t>
        </is>
      </c>
      <c r="D1031" t="inlineStr">
        <is>
          <t>http://localhost:8787/api/admin/requirements/documents/cmm4yuq3i037qcuqwvwpbxnma/view</t>
        </is>
      </c>
      <c r="E1031">
        <f>HYPERLÄNK("http://localhost:8787/api/admin/requirements/documents/cmm4yuq3i037qcuqwvwpbxnma/view";"Öppna PDF")</f>
        <v/>
      </c>
      <c r="F1031">
        <f>HYPERLINK("http://localhost:8787/api/admin/requirements/documents/cmm4yuq3i037qcuqwvwpbxnma/view","Open PDF")</f>
        <v/>
      </c>
      <c r="G1031" t="inlineStr">
        <is>
          <t>cmm55w57p0004cuisfrtpqly8</t>
        </is>
      </c>
      <c r="H1031" t="inlineStr">
        <is>
          <t>Informationskrav</t>
        </is>
      </c>
      <c r="I1031" t="inlineStr">
        <is>
          <t>LagringsvolymTid</t>
        </is>
      </c>
      <c r="J1031" t="inlineStr">
        <is>
          <t>Maxmangd</t>
        </is>
      </c>
      <c r="K1031" t="inlineStr">
        <is>
          <t>En mindre mängd på 100 m3 kommer att uppstå när åtgärder ska utföras för att förstärka vägkanter på vissa delar längs väg 175 Säffle – Knöstad.</t>
        </is>
      </c>
      <c r="L1031" t="inlineStr">
        <is>
          <t>En mindre mängd på 100 m3 kommer att uppstå när åtgärder ska utföras för att förstärka vägkanter på vissa delar längs väg 175 Säffle – Knöstad.</t>
        </is>
      </c>
      <c r="M1031" t="inlineStr">
        <is>
          <t>SKA</t>
        </is>
      </c>
      <c r="N1031" t="inlineStr"/>
      <c r="O1031" t="inlineStr"/>
      <c r="P1031" t="inlineStr"/>
      <c r="Q1031" t="inlineStr"/>
      <c r="R1031" t="inlineStr">
        <is>
          <t>Alltid</t>
        </is>
      </c>
      <c r="S1031" t="inlineStr"/>
      <c r="T1031" t="inlineStr">
        <is>
          <t>212000</t>
        </is>
      </c>
      <c r="U1031" t="inlineStr"/>
      <c r="V1031" t="inlineStr"/>
      <c r="W1031" t="inlineStr">
        <is>
          <t>Nej</t>
        </is>
      </c>
      <c r="X1031" t="inlineStr">
        <is>
          <t>Nej</t>
        </is>
      </c>
      <c r="Y1031" t="inlineStr">
        <is>
          <t>Nej</t>
        </is>
      </c>
      <c r="Z1031" t="inlineStr">
        <is>
          <t>Nej</t>
        </is>
      </c>
      <c r="AA1031" t="n">
        <v>4</v>
      </c>
      <c r="AB1031" t="inlineStr">
        <is>
          <t>Avfallsmangder och lagringstid</t>
        </is>
      </c>
      <c r="AC1031" t="inlineStr">
        <is>
          <t>Avfallsforteckning</t>
        </is>
      </c>
      <c r="AD1031" t="inlineStr">
        <is>
          <t>Nej</t>
        </is>
      </c>
      <c r="AE1031" t="inlineStr">
        <is>
          <t>Nej</t>
        </is>
      </c>
      <c r="AF1031" t="inlineStr">
        <is>
          <t>Ej behandlad</t>
        </is>
      </c>
      <c r="AG1031" t="inlineStr">
        <is>
          <t>AUTO_GENERERAD. Verifiera citat mot kallfil.</t>
        </is>
      </c>
      <c r="AH1031" t="inlineStr">
        <is>
          <t>MEDIUM</t>
        </is>
      </c>
      <c r="AI1031" t="inlineStr">
        <is>
          <t>AUTO</t>
        </is>
      </c>
      <c r="AJ1031" t="inlineStr">
        <is>
          <t>Nej</t>
        </is>
      </c>
      <c r="AK1031" t="inlineStr"/>
      <c r="AL1031" t="inlineStr"/>
      <c r="AM1031" t="inlineStr"/>
      <c r="AN1031" t="inlineStr"/>
      <c r="AO1031" t="inlineStr">
        <is>
          <t>cmm4yuq3a037kcuqwpi0d7k4c</t>
        </is>
      </c>
      <c r="AP1031" t="inlineStr">
        <is>
          <t>http://localhost:8787/api/admin/requirements/documents/cmm4yuq3a037kcuqwpi0d7k4c/view</t>
        </is>
      </c>
      <c r="AQ1031">
        <f>HYPERLÄNK("http://localhost:8787/api/admin/requirements/documents/cmm4yuq3a037kcuqwpi0d7k4c/view";"Öppna PDF")</f>
        <v/>
      </c>
      <c r="AR1031">
        <f>HYPERLINK("http://localhost:8787/api/admin/requirements/documents/cmm4yuq3a037kcuqwpi0d7k4c/view","Open PDF")</f>
        <v/>
      </c>
      <c r="AS1031" t="inlineStr">
        <is>
          <t>cmm55w57p0004cuisfrtpqly8</t>
        </is>
      </c>
      <c r="AT1031" t="inlineStr">
        <is>
          <t>cmm4xvu980000cuh4vj0usz09</t>
        </is>
      </c>
      <c r="AU1031" t="inlineStr"/>
      <c r="AV1031" t="inlineStr">
        <is>
          <t>Kommun</t>
        </is>
      </c>
      <c r="AW1031" t="inlineStr"/>
      <c r="AX1031" t="inlineStr">
        <is>
          <t>2019:01</t>
        </is>
      </c>
      <c r="AY1031" t="inlineStr">
        <is>
          <t>Beslut</t>
        </is>
      </c>
      <c r="AZ1031" t="inlineStr">
        <is>
          <t>2026-02-04</t>
        </is>
      </c>
      <c r="BA1031" t="inlineStr">
        <is>
          <t>Analysresultat - Muraren 4.pdf</t>
        </is>
      </c>
      <c r="BB1031" t="inlineStr">
        <is>
          <t>Sv: till registrator</t>
        </is>
      </c>
      <c r="BC1031" t="inlineStr">
        <is>
          <t>AUTO</t>
        </is>
      </c>
      <c r="BD1031" t="inlineStr"/>
      <c r="BE1031" t="inlineStr"/>
      <c r="BF1031" t="inlineStr">
        <is>
          <t>AUTO_GENERERAD. Bekrafta metadata mot kallfil.</t>
        </is>
      </c>
      <c r="BG1031">
        <f>HYPERLINK("C:\Users\jimmy\Desktop\Examens arbete\Kod\Ny mapp\remix_-copy-of-miljöbeslut.se-portal\Analysresultat - Muraren 4.pdf", "Öppna PDF")</f>
        <v/>
      </c>
    </row>
    <row r="1032">
      <c r="A1032" t="inlineStr">
        <is>
          <t>KRAV-AUTO-001031</t>
        </is>
      </c>
      <c r="B1032" t="inlineStr">
        <is>
          <t>ADMIN-INDEX-2026-02-27-00000000125C043F57453246863FE664CAFE6A3F0700950291EA24F0614FB6ACEDB12BF0E31D00000000010C0000950291EA24F0614FB6ACEDB12BF0E31D00002087AE560000</t>
        </is>
      </c>
      <c r="C1032" t="inlineStr">
        <is>
          <t>cmm4yupsf02xecuqwpwksbz7o</t>
        </is>
      </c>
      <c r="D1032" t="inlineStr">
        <is>
          <t>http://localhost:8787/api/admin/requirements/documents/cmm4yupsf02xecuqwpwksbz7o/view</t>
        </is>
      </c>
      <c r="E1032">
        <f>HYPERLÄNK("http://localhost:8787/api/admin/requirements/documents/cmm4yupsf02xecuqwpwksbz7o/view";"Öppna PDF")</f>
        <v/>
      </c>
      <c r="F1032">
        <f>HYPERLINK("http://localhost:8787/api/admin/requirements/documents/cmm4yupsf02xecuqwpwksbz7o/view","Open PDF")</f>
        <v/>
      </c>
      <c r="G1032" t="inlineStr">
        <is>
          <t>cmm55w57p0004cuisfrtpqly8</t>
        </is>
      </c>
      <c r="H1032" t="inlineStr">
        <is>
          <t>Beslutsvillkor</t>
        </is>
      </c>
      <c r="I1032" t="inlineStr">
        <is>
          <t>Riskhantering</t>
        </is>
      </c>
      <c r="J1032" t="inlineStr">
        <is>
          <t>Riskkontroll</t>
        </is>
      </c>
      <c r="K1032" t="inlineStr">
        <is>
          <t>Innehåller brandfarliga ämnen som kan bilda brandfarliga ång-luftblandningar vid kontakt med antändningskällor.</t>
        </is>
      </c>
      <c r="L1032" t="inlineStr">
        <is>
          <t>Innehåller brandfarliga ämnen som kan bilda brandfarliga ång-luftblandningar vid kontakt med antändningskällor.</t>
        </is>
      </c>
      <c r="M1032" t="inlineStr">
        <is>
          <t>SKA</t>
        </is>
      </c>
      <c r="N1032" t="inlineStr"/>
      <c r="O1032" t="inlineStr"/>
      <c r="P1032" t="inlineStr">
        <is>
          <t>Arlig</t>
        </is>
      </c>
      <c r="Q1032" t="inlineStr"/>
      <c r="R1032" t="inlineStr">
        <is>
          <t>Vid risk for incident</t>
        </is>
      </c>
      <c r="S1032" t="inlineStr"/>
      <c r="T1032" t="inlineStr"/>
      <c r="U1032" t="inlineStr"/>
      <c r="V1032" t="inlineStr"/>
      <c r="W1032" t="inlineStr">
        <is>
          <t>Nej</t>
        </is>
      </c>
      <c r="X1032" t="inlineStr">
        <is>
          <t>Nej</t>
        </is>
      </c>
      <c r="Y1032" t="inlineStr">
        <is>
          <t>Ja</t>
        </is>
      </c>
      <c r="Z1032" t="inlineStr">
        <is>
          <t>Ja</t>
        </is>
      </c>
      <c r="AA1032" t="n">
        <v>8</v>
      </c>
      <c r="AB1032" t="inlineStr">
        <is>
          <t>Riskhantering</t>
        </is>
      </c>
      <c r="AC1032" t="inlineStr">
        <is>
          <t>Risk-PM</t>
        </is>
      </c>
      <c r="AD1032" t="inlineStr">
        <is>
          <t>Nej</t>
        </is>
      </c>
      <c r="AE1032" t="inlineStr">
        <is>
          <t>Nej</t>
        </is>
      </c>
      <c r="AF1032" t="inlineStr">
        <is>
          <t>Ej behandlad</t>
        </is>
      </c>
      <c r="AG1032" t="inlineStr">
        <is>
          <t>AUTO_GENERERAD. Verifiera citat mot kallfil.</t>
        </is>
      </c>
      <c r="AH1032" t="inlineStr">
        <is>
          <t>MEDIUM</t>
        </is>
      </c>
      <c r="AI1032" t="inlineStr">
        <is>
          <t>AUTO</t>
        </is>
      </c>
      <c r="AJ1032" t="inlineStr">
        <is>
          <t>Nej</t>
        </is>
      </c>
      <c r="AK1032" t="inlineStr"/>
      <c r="AL1032" t="inlineStr"/>
      <c r="AM1032" t="inlineStr"/>
      <c r="AN1032" t="inlineStr"/>
      <c r="AO1032" t="inlineStr">
        <is>
          <t>cmm4yupsi02xhcuqwgbgcjc0r</t>
        </is>
      </c>
      <c r="AP1032" t="inlineStr">
        <is>
          <t>http://localhost:8787/api/admin/requirements/documents/cmm4yupsi02xhcuqwgbgcjc0r/view</t>
        </is>
      </c>
      <c r="AQ1032">
        <f>HYPERLÄNK("http://localhost:8787/api/admin/requirements/documents/cmm4yupsi02xhcuqwgbgcjc0r/view";"Öppna PDF")</f>
        <v/>
      </c>
      <c r="AR1032">
        <f>HYPERLINK("http://localhost:8787/api/admin/requirements/documents/cmm4yupsi02xhcuqwgbgcjc0r/view","Open PDF")</f>
        <v/>
      </c>
      <c r="AS1032" t="inlineStr">
        <is>
          <t>cmm55w57p0004cuisfrtpqly8</t>
        </is>
      </c>
      <c r="AT1032" t="inlineStr">
        <is>
          <t>cmm4xvu980000cuh4vj0usz09</t>
        </is>
      </c>
      <c r="AU1032" t="inlineStr"/>
      <c r="AV1032" t="inlineStr">
        <is>
          <t>Kommun</t>
        </is>
      </c>
      <c r="AW1032" t="inlineStr"/>
      <c r="AX1032" t="inlineStr">
        <is>
          <t>2024-576</t>
        </is>
      </c>
      <c r="AY1032" t="inlineStr">
        <is>
          <t>Beslut</t>
        </is>
      </c>
      <c r="AZ1032" t="inlineStr">
        <is>
          <t>2026-02-04</t>
        </is>
      </c>
      <c r="BA1032" t="inlineStr">
        <is>
          <t>Säkerhetsdatablad Nordic Shampoo.pdf</t>
        </is>
      </c>
      <c r="BB1032" t="inlineStr">
        <is>
          <t>2024-576</t>
        </is>
      </c>
      <c r="BC1032" t="inlineStr">
        <is>
          <t>AUTO</t>
        </is>
      </c>
      <c r="BD1032" t="inlineStr"/>
      <c r="BE1032" t="inlineStr"/>
      <c r="BF1032" t="inlineStr">
        <is>
          <t>AUTO_GENERERAD. Bekrafta metadata mot kallfil.</t>
        </is>
      </c>
      <c r="BG1032">
        <f>HYPERLINK("C:\Users\jimmy\Desktop\Examens arbete\Kod\Ny mapp\remix_-copy-of-miljöbeslut.se-portal\Säkerhetsdatablad Nordic Shampoo.pdf", "Öppna PDF")</f>
        <v/>
      </c>
    </row>
    <row r="1033">
      <c r="A1033" t="inlineStr">
        <is>
          <t>KRAV-AUTO-001032</t>
        </is>
      </c>
      <c r="B1033" t="inlineStr">
        <is>
          <t>ADMIN-INDEX-2026-02-27-00000000125C043F57453246863FE664CAFE6A3F0700950291EA24F0614FB6ACEDB12BF0E31D00000000010C0000950291EA24F0614FB6ACEDB12BF0E31D00002087AE560000</t>
        </is>
      </c>
      <c r="C1033" t="inlineStr">
        <is>
          <t>cmm4yupsf02xecuqwpwksbz7o</t>
        </is>
      </c>
      <c r="D1033" t="inlineStr">
        <is>
          <t>http://localhost:8787/api/admin/requirements/documents/cmm4yupsf02xecuqwpwksbz7o/view</t>
        </is>
      </c>
      <c r="E1033">
        <f>HYPERLÄNK("http://localhost:8787/api/admin/requirements/documents/cmm4yupsf02xecuqwpwksbz7o/view";"Öppna PDF")</f>
        <v/>
      </c>
      <c r="F1033">
        <f>HYPERLINK("http://localhost:8787/api/admin/requirements/documents/cmm4yupsf02xecuqwpwksbz7o/view","Open PDF")</f>
        <v/>
      </c>
      <c r="G1033" t="inlineStr">
        <is>
          <t>cmm55w57p0004cuisfrtpqly8</t>
        </is>
      </c>
      <c r="H1033" t="inlineStr">
        <is>
          <t>Beslutsvillkor</t>
        </is>
      </c>
      <c r="I1033" t="inlineStr">
        <is>
          <t>Riskhantering</t>
        </is>
      </c>
      <c r="J1033" t="inlineStr">
        <is>
          <t>Riskkontroll</t>
        </is>
      </c>
      <c r="K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1033" t="inlineStr">
        <is>
          <t>SKA</t>
        </is>
      </c>
      <c r="N1033" t="inlineStr"/>
      <c r="O1033" t="inlineStr">
        <is>
          <t>2021-07-09</t>
        </is>
      </c>
      <c r="P1033" t="inlineStr"/>
      <c r="Q1033" t="inlineStr"/>
      <c r="R1033" t="inlineStr">
        <is>
          <t>Vid risk for incident</t>
        </is>
      </c>
      <c r="S1033" t="inlineStr"/>
      <c r="T1033" t="inlineStr"/>
      <c r="U1033" t="inlineStr"/>
      <c r="V1033" t="inlineStr"/>
      <c r="W1033" t="inlineStr">
        <is>
          <t>Nej</t>
        </is>
      </c>
      <c r="X1033" t="inlineStr">
        <is>
          <t>Nej</t>
        </is>
      </c>
      <c r="Y1033" t="inlineStr">
        <is>
          <t>Ja</t>
        </is>
      </c>
      <c r="Z1033" t="inlineStr">
        <is>
          <t>Ja</t>
        </is>
      </c>
      <c r="AA1033" t="n">
        <v>8</v>
      </c>
      <c r="AB1033" t="inlineStr">
        <is>
          <t>Riskhantering</t>
        </is>
      </c>
      <c r="AC1033" t="inlineStr">
        <is>
          <t>Risk-PM</t>
        </is>
      </c>
      <c r="AD1033" t="inlineStr">
        <is>
          <t>Nej</t>
        </is>
      </c>
      <c r="AE1033" t="inlineStr">
        <is>
          <t>Nej</t>
        </is>
      </c>
      <c r="AF1033" t="inlineStr">
        <is>
          <t>Ej behandlad</t>
        </is>
      </c>
      <c r="AG1033" t="inlineStr">
        <is>
          <t>AUTO_GENERERAD. Verifiera citat mot kallfil.</t>
        </is>
      </c>
      <c r="AH1033" t="inlineStr">
        <is>
          <t>MEDIUM</t>
        </is>
      </c>
      <c r="AI1033" t="inlineStr">
        <is>
          <t>AUTO</t>
        </is>
      </c>
      <c r="AJ1033" t="inlineStr">
        <is>
          <t>Nej</t>
        </is>
      </c>
      <c r="AK1033" t="inlineStr"/>
      <c r="AL1033" t="inlineStr"/>
      <c r="AM1033" t="inlineStr"/>
      <c r="AN1033" t="inlineStr"/>
      <c r="AO1033" t="inlineStr">
        <is>
          <t>cmm4yupsi02xhcuqwgbgcjc0r</t>
        </is>
      </c>
      <c r="AP1033" t="inlineStr">
        <is>
          <t>http://localhost:8787/api/admin/requirements/documents/cmm4yupsi02xhcuqwgbgcjc0r/view</t>
        </is>
      </c>
      <c r="AQ1033">
        <f>HYPERLÄNK("http://localhost:8787/api/admin/requirements/documents/cmm4yupsi02xhcuqwgbgcjc0r/view";"Öppna PDF")</f>
        <v/>
      </c>
      <c r="AR1033">
        <f>HYPERLINK("http://localhost:8787/api/admin/requirements/documents/cmm4yupsi02xhcuqwgbgcjc0r/view","Open PDF")</f>
        <v/>
      </c>
      <c r="AS1033" t="inlineStr">
        <is>
          <t>cmm55w57p0004cuisfrtpqly8</t>
        </is>
      </c>
      <c r="AT1033" t="inlineStr">
        <is>
          <t>cmm4xvu980000cuh4vj0usz09</t>
        </is>
      </c>
      <c r="AU1033" t="inlineStr"/>
      <c r="AV1033" t="inlineStr">
        <is>
          <t>Kommun</t>
        </is>
      </c>
      <c r="AW1033" t="inlineStr"/>
      <c r="AX1033" t="inlineStr">
        <is>
          <t>2024-576</t>
        </is>
      </c>
      <c r="AY1033" t="inlineStr">
        <is>
          <t>Beslut</t>
        </is>
      </c>
      <c r="AZ1033" t="inlineStr">
        <is>
          <t>2026-02-04</t>
        </is>
      </c>
      <c r="BA1033" t="inlineStr">
        <is>
          <t>Säkerhetsdatablad Nordic Shampoo.pdf</t>
        </is>
      </c>
      <c r="BB1033" t="inlineStr">
        <is>
          <t>2024-576</t>
        </is>
      </c>
      <c r="BC1033" t="inlineStr">
        <is>
          <t>AUTO</t>
        </is>
      </c>
      <c r="BD1033" t="inlineStr"/>
      <c r="BE1033" t="inlineStr"/>
      <c r="BF1033" t="inlineStr">
        <is>
          <t>AUTO_GENERERAD. Bekrafta metadata mot kallfil.</t>
        </is>
      </c>
      <c r="BG1033">
        <f>HYPERLINK("C:\Users\jimmy\Desktop\Examens arbete\Kod\Ny mapp\remix_-copy-of-miljöbeslut.se-portal\Säkerhetsdatablad Nordic Shampoo.pdf", "Öppna PDF")</f>
        <v/>
      </c>
    </row>
    <row r="1034">
      <c r="A1034" t="inlineStr">
        <is>
          <t>KRAV-AUTO-001033</t>
        </is>
      </c>
      <c r="B1034" t="inlineStr">
        <is>
          <t>ADMIN-INDEX-2026-02-27-00000000125C043F57453246863FE664CAFE6A3F0700950291EA24F0614FB6ACEDB12BF0E31D00000000010C0000950291EA24F0614FB6ACEDB12BF0E31D00002087AE560000</t>
        </is>
      </c>
      <c r="C1034" t="inlineStr">
        <is>
          <t>cmm4yupsf02xecuqwpwksbz7o</t>
        </is>
      </c>
      <c r="D1034" t="inlineStr">
        <is>
          <t>http://localhost:8787/api/admin/requirements/documents/cmm4yupsf02xecuqwpwksbz7o/view</t>
        </is>
      </c>
      <c r="E1034">
        <f>HYPERLÄNK("http://localhost:8787/api/admin/requirements/documents/cmm4yupsf02xecuqwpwksbz7o/view";"Öppna PDF")</f>
        <v/>
      </c>
      <c r="F1034">
        <f>HYPERLINK("http://localhost:8787/api/admin/requirements/documents/cmm4yupsf02xecuqwpwksbz7o/view","Open PDF")</f>
        <v/>
      </c>
      <c r="G1034" t="inlineStr">
        <is>
          <t>cmm55w57p0004cuisfrtpqly8</t>
        </is>
      </c>
      <c r="H1034" t="inlineStr">
        <is>
          <t>Beslutsvillkor</t>
        </is>
      </c>
      <c r="I1034" t="inlineStr">
        <is>
          <t>Ytkonstruktion</t>
        </is>
      </c>
      <c r="J1034" t="inlineStr">
        <is>
          <t>Tat yta</t>
        </is>
      </c>
      <c r="K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1034" t="inlineStr">
        <is>
          <t>SKA</t>
        </is>
      </c>
      <c r="N1034" t="inlineStr"/>
      <c r="O1034" t="inlineStr"/>
      <c r="P1034" t="inlineStr"/>
      <c r="Q1034" t="inlineStr"/>
      <c r="R1034" t="inlineStr">
        <is>
          <t>Vid mellanlagring av avfall</t>
        </is>
      </c>
      <c r="S1034" t="inlineStr"/>
      <c r="T1034" t="inlineStr"/>
      <c r="U1034" t="inlineStr"/>
      <c r="V1034" t="inlineStr"/>
      <c r="W1034" t="inlineStr">
        <is>
          <t>Ja</t>
        </is>
      </c>
      <c r="X1034" t="inlineStr">
        <is>
          <t>Nej</t>
        </is>
      </c>
      <c r="Y1034" t="inlineStr">
        <is>
          <t>Nej</t>
        </is>
      </c>
      <c r="Z1034" t="inlineStr">
        <is>
          <t>Nej</t>
        </is>
      </c>
      <c r="AA1034" t="n">
        <v>5</v>
      </c>
      <c r="AB1034" t="inlineStr">
        <is>
          <t>Teknisk beskrivning av platta</t>
        </is>
      </c>
      <c r="AC1034" t="inlineStr">
        <is>
          <t>Teknisk ritning platta</t>
        </is>
      </c>
      <c r="AD1034" t="inlineStr">
        <is>
          <t>Nej</t>
        </is>
      </c>
      <c r="AE1034" t="inlineStr">
        <is>
          <t>Nej</t>
        </is>
      </c>
      <c r="AF1034" t="inlineStr">
        <is>
          <t>Ej behandlad</t>
        </is>
      </c>
      <c r="AG1034" t="inlineStr">
        <is>
          <t>AUTO_GENERERAD. Verifiera citat mot kallfil.</t>
        </is>
      </c>
      <c r="AH1034" t="inlineStr">
        <is>
          <t>MEDIUM</t>
        </is>
      </c>
      <c r="AI1034" t="inlineStr">
        <is>
          <t>AUTO</t>
        </is>
      </c>
      <c r="AJ1034" t="inlineStr">
        <is>
          <t>Nej</t>
        </is>
      </c>
      <c r="AK1034" t="inlineStr"/>
      <c r="AL1034" t="inlineStr"/>
      <c r="AM1034" t="inlineStr"/>
      <c r="AN1034" t="inlineStr"/>
      <c r="AO1034" t="inlineStr">
        <is>
          <t>cmm4yupsi02xhcuqwgbgcjc0r</t>
        </is>
      </c>
      <c r="AP1034" t="inlineStr">
        <is>
          <t>http://localhost:8787/api/admin/requirements/documents/cmm4yupsi02xhcuqwgbgcjc0r/view</t>
        </is>
      </c>
      <c r="AQ1034">
        <f>HYPERLÄNK("http://localhost:8787/api/admin/requirements/documents/cmm4yupsi02xhcuqwgbgcjc0r/view";"Öppna PDF")</f>
        <v/>
      </c>
      <c r="AR1034">
        <f>HYPERLINK("http://localhost:8787/api/admin/requirements/documents/cmm4yupsi02xhcuqwgbgcjc0r/view","Open PDF")</f>
        <v/>
      </c>
      <c r="AS1034" t="inlineStr">
        <is>
          <t>cmm55w57p0004cuisfrtpqly8</t>
        </is>
      </c>
      <c r="AT1034" t="inlineStr">
        <is>
          <t>cmm4xvu980000cuh4vj0usz09</t>
        </is>
      </c>
      <c r="AU1034" t="inlineStr"/>
      <c r="AV1034" t="inlineStr">
        <is>
          <t>Kommun</t>
        </is>
      </c>
      <c r="AW1034" t="inlineStr"/>
      <c r="AX1034" t="inlineStr">
        <is>
          <t>2024-576</t>
        </is>
      </c>
      <c r="AY1034" t="inlineStr">
        <is>
          <t>Beslut</t>
        </is>
      </c>
      <c r="AZ1034" t="inlineStr">
        <is>
          <t>2026-02-04</t>
        </is>
      </c>
      <c r="BA1034" t="inlineStr">
        <is>
          <t>Säkerhetsdatablad Nordic Shampoo.pdf</t>
        </is>
      </c>
      <c r="BB1034" t="inlineStr">
        <is>
          <t>2024-576</t>
        </is>
      </c>
      <c r="BC1034" t="inlineStr">
        <is>
          <t>AUTO</t>
        </is>
      </c>
      <c r="BD1034" t="inlineStr"/>
      <c r="BE1034" t="inlineStr"/>
      <c r="BF1034" t="inlineStr">
        <is>
          <t>AUTO_GENERERAD. Bekrafta metadata mot kallfil.</t>
        </is>
      </c>
      <c r="BG1034">
        <f>HYPERLINK("C:\Users\jimmy\Desktop\Examens arbete\Kod\Ny mapp\remix_-copy-of-miljöbeslut.se-portal\Säkerhetsdatablad Nordic Shampoo.pdf", "Öppna PDF")</f>
        <v/>
      </c>
    </row>
    <row r="1035">
      <c r="A1035" t="inlineStr">
        <is>
          <t>KRAV-AUTO-001034</t>
        </is>
      </c>
      <c r="B1035" t="inlineStr">
        <is>
          <t>ADMIN-INDEX-2026-02-27-00000000125C043F57453246863FE664CAFE6A3F0700950291EA24F0614FB6ACEDB12BF0E31D00000000010C0000950291EA24F0614FB6ACEDB12BF0E31D00002087AE560000</t>
        </is>
      </c>
      <c r="C1035" t="inlineStr">
        <is>
          <t>cmm4yupsc02xbcuqw5wnd1yvg</t>
        </is>
      </c>
      <c r="D1035" t="inlineStr">
        <is>
          <t>http://localhost:8787/api/admin/requirements/documents/cmm4yupsc02xbcuqw5wnd1yvg/view</t>
        </is>
      </c>
      <c r="E1035">
        <f>HYPERLÄNK("http://localhost:8787/api/admin/requirements/documents/cmm4yupsc02xbcuqw5wnd1yvg/view";"Öppna PDF")</f>
        <v/>
      </c>
      <c r="F1035">
        <f>HYPERLINK("http://localhost:8787/api/admin/requirements/documents/cmm4yupsc02xbcuqw5wnd1yvg/view","Open PDF")</f>
        <v/>
      </c>
      <c r="G1035" t="inlineStr">
        <is>
          <t>cmm55w57p0004cuisfrtpqly8</t>
        </is>
      </c>
      <c r="H1035" t="inlineStr">
        <is>
          <t>Beslutsvillkor</t>
        </is>
      </c>
      <c r="I1035" t="inlineStr">
        <is>
          <t>Riskhantering</t>
        </is>
      </c>
      <c r="J1035" t="inlineStr">
        <is>
          <t>Riskkontroll</t>
        </is>
      </c>
      <c r="K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035" t="inlineStr">
        <is>
          <t>SKA</t>
        </is>
      </c>
      <c r="N1035" t="inlineStr"/>
      <c r="O1035" t="inlineStr"/>
      <c r="P1035" t="inlineStr">
        <is>
          <t>Manadskontroll</t>
        </is>
      </c>
      <c r="Q1035" t="inlineStr"/>
      <c r="R1035" t="inlineStr">
        <is>
          <t>Vid risk for incident</t>
        </is>
      </c>
      <c r="S1035" t="inlineStr"/>
      <c r="T1035" t="inlineStr"/>
      <c r="U1035" t="inlineStr"/>
      <c r="V1035" t="inlineStr">
        <is>
          <t>12 manader</t>
        </is>
      </c>
      <c r="W1035" t="inlineStr">
        <is>
          <t>Nej</t>
        </is>
      </c>
      <c r="X1035" t="inlineStr">
        <is>
          <t>Nej</t>
        </is>
      </c>
      <c r="Y1035" t="inlineStr">
        <is>
          <t>Ja</t>
        </is>
      </c>
      <c r="Z1035" t="inlineStr">
        <is>
          <t>Ja</t>
        </is>
      </c>
      <c r="AA1035" t="n">
        <v>8</v>
      </c>
      <c r="AB1035" t="inlineStr">
        <is>
          <t>Riskhantering</t>
        </is>
      </c>
      <c r="AC1035" t="inlineStr">
        <is>
          <t>Risk-PM</t>
        </is>
      </c>
      <c r="AD1035" t="inlineStr">
        <is>
          <t>Nej</t>
        </is>
      </c>
      <c r="AE1035" t="inlineStr">
        <is>
          <t>Nej</t>
        </is>
      </c>
      <c r="AF1035" t="inlineStr">
        <is>
          <t>Ej behandlad</t>
        </is>
      </c>
      <c r="AG1035" t="inlineStr">
        <is>
          <t>AUTO_GENERERAD. Verifiera citat mot kallfil.</t>
        </is>
      </c>
      <c r="AH1035" t="inlineStr">
        <is>
          <t>MEDIUM</t>
        </is>
      </c>
      <c r="AI1035" t="inlineStr">
        <is>
          <t>AUTO</t>
        </is>
      </c>
      <c r="AJ1035" t="inlineStr">
        <is>
          <t>Nej</t>
        </is>
      </c>
      <c r="AK1035" t="inlineStr"/>
      <c r="AL1035" t="inlineStr"/>
      <c r="AM1035" t="inlineStr"/>
      <c r="AN1035" t="inlineStr"/>
      <c r="AO1035" t="inlineStr">
        <is>
          <t>cmm4yupsi02xhcuqwgbgcjc0r</t>
        </is>
      </c>
      <c r="AP1035" t="inlineStr">
        <is>
          <t>http://localhost:8787/api/admin/requirements/documents/cmm4yupsi02xhcuqwgbgcjc0r/view</t>
        </is>
      </c>
      <c r="AQ1035">
        <f>HYPERLÄNK("http://localhost:8787/api/admin/requirements/documents/cmm4yupsi02xhcuqwgbgcjc0r/view";"Öppna PDF")</f>
        <v/>
      </c>
      <c r="AR1035">
        <f>HYPERLINK("http://localhost:8787/api/admin/requirements/documents/cmm4yupsi02xhcuqwgbgcjc0r/view","Open PDF")</f>
        <v/>
      </c>
      <c r="AS1035" t="inlineStr">
        <is>
          <t>cmm55w57p0004cuisfrtpqly8</t>
        </is>
      </c>
      <c r="AT1035" t="inlineStr">
        <is>
          <t>cmm4xvu980000cuh4vj0usz09</t>
        </is>
      </c>
      <c r="AU1035" t="inlineStr"/>
      <c r="AV1035" t="inlineStr">
        <is>
          <t>Kommun</t>
        </is>
      </c>
      <c r="AW1035" t="inlineStr"/>
      <c r="AX1035" t="inlineStr">
        <is>
          <t>2024-576</t>
        </is>
      </c>
      <c r="AY1035" t="inlineStr">
        <is>
          <t>Beslut</t>
        </is>
      </c>
      <c r="AZ1035" t="inlineStr">
        <is>
          <t>2026-02-04</t>
        </is>
      </c>
      <c r="BA1035" t="inlineStr">
        <is>
          <t>Säkerhetsdatablad Nordic Shampoo.pdf</t>
        </is>
      </c>
      <c r="BB1035" t="inlineStr">
        <is>
          <t>2024-576</t>
        </is>
      </c>
      <c r="BC1035" t="inlineStr">
        <is>
          <t>AUTO</t>
        </is>
      </c>
      <c r="BD1035" t="inlineStr"/>
      <c r="BE1035" t="inlineStr"/>
      <c r="BF1035" t="inlineStr">
        <is>
          <t>AUTO_GENERERAD. Bekrafta metadata mot kallfil.</t>
        </is>
      </c>
      <c r="BG1035">
        <f>HYPERLINK("C:\Users\jimmy\Desktop\Examens arbete\Kod\Ny mapp\remix_-copy-of-miljöbeslut.se-portal\Säkerhetsdatablad Nordic Shampoo.pdf", "Öppna PDF")</f>
        <v/>
      </c>
    </row>
    <row r="1036">
      <c r="A1036" t="inlineStr">
        <is>
          <t>KRAV-AUTO-001035</t>
        </is>
      </c>
      <c r="B1036" t="inlineStr">
        <is>
          <t>ADMIN-INDEX-2026-02-27-00000000125C043F57453246863FE664CAFE6A3F0700950291EA24F0614FB6ACEDB12BF0E31D00000000010C0000950291EA24F0614FB6ACEDB12BF0E31D00002087AE560000</t>
        </is>
      </c>
      <c r="C1036" t="inlineStr">
        <is>
          <t>cmm4yupsc02xbcuqw5wnd1yvg</t>
        </is>
      </c>
      <c r="D1036" t="inlineStr">
        <is>
          <t>http://localhost:8787/api/admin/requirements/documents/cmm4yupsc02xbcuqw5wnd1yvg/view</t>
        </is>
      </c>
      <c r="E1036">
        <f>HYPERLÄNK("http://localhost:8787/api/admin/requirements/documents/cmm4yupsc02xbcuqw5wnd1yvg/view";"Öppna PDF")</f>
        <v/>
      </c>
      <c r="F1036">
        <f>HYPERLINK("http://localhost:8787/api/admin/requirements/documents/cmm4yupsc02xbcuqw5wnd1yvg/view","Open PDF")</f>
        <v/>
      </c>
      <c r="G1036" t="inlineStr">
        <is>
          <t>cmm55w57p0004cuisfrtpqly8</t>
        </is>
      </c>
      <c r="H1036" t="inlineStr">
        <is>
          <t>Beslutsvillkor</t>
        </is>
      </c>
      <c r="I1036" t="inlineStr">
        <is>
          <t>Riskhantering</t>
        </is>
      </c>
      <c r="J1036" t="inlineStr">
        <is>
          <t>Riskkontroll</t>
        </is>
      </c>
      <c r="K1036" t="inlineStr">
        <is>
          <t>AFS 2014:43 Kemiska arbetsmiljörisker.</t>
        </is>
      </c>
      <c r="L1036" t="inlineStr">
        <is>
          <t>AFS 2014:43 Kemiska arbetsmiljörisker.</t>
        </is>
      </c>
      <c r="M1036" t="inlineStr">
        <is>
          <t>SKA</t>
        </is>
      </c>
      <c r="N1036" t="inlineStr"/>
      <c r="O1036" t="inlineStr"/>
      <c r="P1036" t="inlineStr"/>
      <c r="Q1036" t="inlineStr"/>
      <c r="R1036" t="inlineStr">
        <is>
          <t>Vid risk for incident</t>
        </is>
      </c>
      <c r="S1036" t="inlineStr"/>
      <c r="T1036" t="inlineStr"/>
      <c r="U1036" t="inlineStr"/>
      <c r="V1036" t="inlineStr"/>
      <c r="W1036" t="inlineStr">
        <is>
          <t>Nej</t>
        </is>
      </c>
      <c r="X1036" t="inlineStr">
        <is>
          <t>Nej</t>
        </is>
      </c>
      <c r="Y1036" t="inlineStr">
        <is>
          <t>Ja</t>
        </is>
      </c>
      <c r="Z1036" t="inlineStr">
        <is>
          <t>Ja</t>
        </is>
      </c>
      <c r="AA1036" t="n">
        <v>8</v>
      </c>
      <c r="AB1036" t="inlineStr">
        <is>
          <t>Riskhantering</t>
        </is>
      </c>
      <c r="AC1036" t="inlineStr">
        <is>
          <t>Risk-PM</t>
        </is>
      </c>
      <c r="AD1036" t="inlineStr">
        <is>
          <t>Nej</t>
        </is>
      </c>
      <c r="AE1036" t="inlineStr">
        <is>
          <t>Nej</t>
        </is>
      </c>
      <c r="AF1036" t="inlineStr">
        <is>
          <t>Ej behandlad</t>
        </is>
      </c>
      <c r="AG1036" t="inlineStr">
        <is>
          <t>AUTO_GENERERAD. Verifiera citat mot kallfil.</t>
        </is>
      </c>
      <c r="AH1036" t="inlineStr">
        <is>
          <t>LOW</t>
        </is>
      </c>
      <c r="AI1036" t="inlineStr">
        <is>
          <t>AUTO</t>
        </is>
      </c>
      <c r="AJ1036" t="inlineStr">
        <is>
          <t>Nej</t>
        </is>
      </c>
      <c r="AK1036" t="inlineStr"/>
      <c r="AL1036" t="inlineStr"/>
      <c r="AM1036" t="inlineStr"/>
      <c r="AN1036" t="inlineStr"/>
      <c r="AO1036" t="inlineStr">
        <is>
          <t>cmm4yupsi02xhcuqwgbgcjc0r</t>
        </is>
      </c>
      <c r="AP1036" t="inlineStr">
        <is>
          <t>http://localhost:8787/api/admin/requirements/documents/cmm4yupsi02xhcuqwgbgcjc0r/view</t>
        </is>
      </c>
      <c r="AQ1036">
        <f>HYPERLÄNK("http://localhost:8787/api/admin/requirements/documents/cmm4yupsi02xhcuqwgbgcjc0r/view";"Öppna PDF")</f>
        <v/>
      </c>
      <c r="AR1036">
        <f>HYPERLINK("http://localhost:8787/api/admin/requirements/documents/cmm4yupsi02xhcuqwgbgcjc0r/view","Open PDF")</f>
        <v/>
      </c>
      <c r="AS1036" t="inlineStr">
        <is>
          <t>cmm55w57p0004cuisfrtpqly8</t>
        </is>
      </c>
      <c r="AT1036" t="inlineStr">
        <is>
          <t>cmm4xvu980000cuh4vj0usz09</t>
        </is>
      </c>
      <c r="AU1036" t="inlineStr"/>
      <c r="AV1036" t="inlineStr">
        <is>
          <t>Kommun</t>
        </is>
      </c>
      <c r="AW1036" t="inlineStr"/>
      <c r="AX1036" t="inlineStr">
        <is>
          <t>2024-576</t>
        </is>
      </c>
      <c r="AY1036" t="inlineStr">
        <is>
          <t>Beslut</t>
        </is>
      </c>
      <c r="AZ1036" t="inlineStr">
        <is>
          <t>2026-02-04</t>
        </is>
      </c>
      <c r="BA1036" t="inlineStr">
        <is>
          <t>Säkerhetsdatablad Nordic Shampoo.pdf</t>
        </is>
      </c>
      <c r="BB1036" t="inlineStr">
        <is>
          <t>2024-576</t>
        </is>
      </c>
      <c r="BC1036" t="inlineStr">
        <is>
          <t>AUTO</t>
        </is>
      </c>
      <c r="BD1036" t="inlineStr"/>
      <c r="BE1036" t="inlineStr"/>
      <c r="BF1036" t="inlineStr">
        <is>
          <t>AUTO_GENERERAD. Bekrafta metadata mot kallfil.</t>
        </is>
      </c>
      <c r="BG1036">
        <f>HYPERLINK("C:\Users\jimmy\Desktop\Examens arbete\Kod\Ny mapp\remix_-copy-of-miljöbeslut.se-portal\Säkerhetsdatablad Nordic Shampoo.pdf", "Öppna PDF")</f>
        <v/>
      </c>
    </row>
    <row r="1037">
      <c r="A1037" t="inlineStr">
        <is>
          <t>KRAV-AUTO-001036</t>
        </is>
      </c>
      <c r="B1037" t="inlineStr">
        <is>
          <t>ADMIN-INDEX-2026-02-27-00000000125C043F57453246863FE664CAFE6A3F0700950291EA24F0614FB6ACEDB12BF0E31D00000000010C0000950291EA24F0614FB6ACEDB12BF0E31D00002087AE560000</t>
        </is>
      </c>
      <c r="C1037" t="inlineStr">
        <is>
          <t>cmm4yupsc02xbcuqw5wnd1yvg</t>
        </is>
      </c>
      <c r="D1037" t="inlineStr">
        <is>
          <t>http://localhost:8787/api/admin/requirements/documents/cmm4yupsc02xbcuqw5wnd1yvg/view</t>
        </is>
      </c>
      <c r="E1037">
        <f>HYPERLÄNK("http://localhost:8787/api/admin/requirements/documents/cmm4yupsc02xbcuqw5wnd1yvg/view";"Öppna PDF")</f>
        <v/>
      </c>
      <c r="F1037">
        <f>HYPERLINK("http://localhost:8787/api/admin/requirements/documents/cmm4yupsc02xbcuqw5wnd1yvg/view","Open PDF")</f>
        <v/>
      </c>
      <c r="G1037" t="inlineStr">
        <is>
          <t>cmm55w57p0004cuisfrtpqly8</t>
        </is>
      </c>
      <c r="H1037" t="inlineStr">
        <is>
          <t>Beslutsvillkor</t>
        </is>
      </c>
      <c r="I1037" t="inlineStr">
        <is>
          <t>Riskhantering</t>
        </is>
      </c>
      <c r="J1037" t="inlineStr">
        <is>
          <t>Riskkontroll</t>
        </is>
      </c>
      <c r="K1037" t="inlineStr">
        <is>
          <t>Andra lagar: AFS 2011:19 Kemiska arbetsmiljörisker.</t>
        </is>
      </c>
      <c r="L1037" t="inlineStr">
        <is>
          <t>Andra lagar: AFS 2011:19 Kemiska arbetsmiljörisker.</t>
        </is>
      </c>
      <c r="M1037" t="inlineStr">
        <is>
          <t>SKA</t>
        </is>
      </c>
      <c r="N1037" t="inlineStr"/>
      <c r="O1037" t="inlineStr"/>
      <c r="P1037" t="inlineStr"/>
      <c r="Q1037" t="inlineStr"/>
      <c r="R1037" t="inlineStr">
        <is>
          <t>Vid risk for incident</t>
        </is>
      </c>
      <c r="S1037" t="inlineStr"/>
      <c r="T1037" t="inlineStr"/>
      <c r="U1037" t="inlineStr"/>
      <c r="V1037" t="inlineStr"/>
      <c r="W1037" t="inlineStr">
        <is>
          <t>Nej</t>
        </is>
      </c>
      <c r="X1037" t="inlineStr">
        <is>
          <t>Nej</t>
        </is>
      </c>
      <c r="Y1037" t="inlineStr">
        <is>
          <t>Ja</t>
        </is>
      </c>
      <c r="Z1037" t="inlineStr">
        <is>
          <t>Ja</t>
        </is>
      </c>
      <c r="AA1037" t="n">
        <v>8</v>
      </c>
      <c r="AB1037" t="inlineStr">
        <is>
          <t>Riskhantering</t>
        </is>
      </c>
      <c r="AC1037" t="inlineStr">
        <is>
          <t>Risk-PM</t>
        </is>
      </c>
      <c r="AD1037" t="inlineStr">
        <is>
          <t>Nej</t>
        </is>
      </c>
      <c r="AE1037" t="inlineStr">
        <is>
          <t>Nej</t>
        </is>
      </c>
      <c r="AF1037" t="inlineStr">
        <is>
          <t>Ej behandlad</t>
        </is>
      </c>
      <c r="AG1037" t="inlineStr">
        <is>
          <t>AUTO_GENERERAD. Verifiera citat mot kallfil.</t>
        </is>
      </c>
      <c r="AH1037" t="inlineStr">
        <is>
          <t>MEDIUM</t>
        </is>
      </c>
      <c r="AI1037" t="inlineStr">
        <is>
          <t>AUTO</t>
        </is>
      </c>
      <c r="AJ1037" t="inlineStr">
        <is>
          <t>Nej</t>
        </is>
      </c>
      <c r="AK1037" t="inlineStr"/>
      <c r="AL1037" t="inlineStr"/>
      <c r="AM1037" t="inlineStr"/>
      <c r="AN1037" t="inlineStr"/>
      <c r="AO1037" t="inlineStr">
        <is>
          <t>cmm4yupsi02xhcuqwgbgcjc0r</t>
        </is>
      </c>
      <c r="AP1037" t="inlineStr">
        <is>
          <t>http://localhost:8787/api/admin/requirements/documents/cmm4yupsi02xhcuqwgbgcjc0r/view</t>
        </is>
      </c>
      <c r="AQ1037">
        <f>HYPERLÄNK("http://localhost:8787/api/admin/requirements/documents/cmm4yupsi02xhcuqwgbgcjc0r/view";"Öppna PDF")</f>
        <v/>
      </c>
      <c r="AR1037">
        <f>HYPERLINK("http://localhost:8787/api/admin/requirements/documents/cmm4yupsi02xhcuqwgbgcjc0r/view","Open PDF")</f>
        <v/>
      </c>
      <c r="AS1037" t="inlineStr">
        <is>
          <t>cmm55w57p0004cuisfrtpqly8</t>
        </is>
      </c>
      <c r="AT1037" t="inlineStr">
        <is>
          <t>cmm4xvu980000cuh4vj0usz09</t>
        </is>
      </c>
      <c r="AU1037" t="inlineStr"/>
      <c r="AV1037" t="inlineStr">
        <is>
          <t>Kommun</t>
        </is>
      </c>
      <c r="AW1037" t="inlineStr"/>
      <c r="AX1037" t="inlineStr">
        <is>
          <t>2024-576</t>
        </is>
      </c>
      <c r="AY1037" t="inlineStr">
        <is>
          <t>Beslut</t>
        </is>
      </c>
      <c r="AZ1037" t="inlineStr">
        <is>
          <t>2026-02-04</t>
        </is>
      </c>
      <c r="BA1037" t="inlineStr">
        <is>
          <t>Säkerhetsdatablad Nordic Shampoo.pdf</t>
        </is>
      </c>
      <c r="BB1037" t="inlineStr">
        <is>
          <t>2024-576</t>
        </is>
      </c>
      <c r="BC1037" t="inlineStr">
        <is>
          <t>AUTO</t>
        </is>
      </c>
      <c r="BD1037" t="inlineStr"/>
      <c r="BE1037" t="inlineStr"/>
      <c r="BF1037" t="inlineStr">
        <is>
          <t>AUTO_GENERERAD. Bekrafta metadata mot kallfil.</t>
        </is>
      </c>
      <c r="BG1037">
        <f>HYPERLINK("C:\Users\jimmy\Desktop\Examens arbete\Kod\Ny mapp\remix_-copy-of-miljöbeslut.se-portal\Säkerhetsdatablad Nordic Shampoo.pdf", "Öppna PDF")</f>
        <v/>
      </c>
    </row>
    <row r="1038">
      <c r="A1038" t="inlineStr">
        <is>
          <t>KRAV-AUTO-001037</t>
        </is>
      </c>
      <c r="B1038" t="inlineStr">
        <is>
          <t>ADMIN-INDEX-2026-02-27-00000000125C043F57453246863FE664CAFE6A3F0700950291EA24F0614FB6ACEDB12BF0E31D00000000010C0000950291EA24F0614FB6ACEDB12BF0E31D00002087AE560000</t>
        </is>
      </c>
      <c r="C1038" t="inlineStr">
        <is>
          <t>cmm4yupsa02x8cuqwfc9fh2jh</t>
        </is>
      </c>
      <c r="D1038" t="inlineStr">
        <is>
          <t>http://localhost:8787/api/admin/requirements/documents/cmm4yupsa02x8cuqwfc9fh2jh/view</t>
        </is>
      </c>
      <c r="E1038">
        <f>HYPERLÄNK("http://localhost:8787/api/admin/requirements/documents/cmm4yupsa02x8cuqwfc9fh2jh/view";"Öppna PDF")</f>
        <v/>
      </c>
      <c r="F1038">
        <f>HYPERLINK("http://localhost:8787/api/admin/requirements/documents/cmm4yupsa02x8cuqwfc9fh2jh/view","Open PDF")</f>
        <v/>
      </c>
      <c r="G1038" t="inlineStr">
        <is>
          <t>cmm55w57p0004cuisfrtpqly8</t>
        </is>
      </c>
      <c r="H1038" t="inlineStr">
        <is>
          <t>Beslutsvillkor</t>
        </is>
      </c>
      <c r="I1038" t="inlineStr">
        <is>
          <t>Riskhantering</t>
        </is>
      </c>
      <c r="J1038" t="inlineStr">
        <is>
          <t>Riskkontroll</t>
        </is>
      </c>
      <c r="K1038" t="inlineStr">
        <is>
          <t>Innehåller brandfarliga ämnen som kan bilda brandfarliga ång-luftblandningar vid kontakt med antändningskällor.</t>
        </is>
      </c>
      <c r="L1038" t="inlineStr">
        <is>
          <t>Innehåller brandfarliga ämnen som kan bilda brandfarliga ång-luftblandningar vid kontakt med antändningskällor.</t>
        </is>
      </c>
      <c r="M1038" t="inlineStr">
        <is>
          <t>SKA</t>
        </is>
      </c>
      <c r="N1038" t="inlineStr"/>
      <c r="O1038" t="inlineStr"/>
      <c r="P1038" t="inlineStr">
        <is>
          <t>Arlig</t>
        </is>
      </c>
      <c r="Q1038" t="inlineStr"/>
      <c r="R1038" t="inlineStr">
        <is>
          <t>Vid risk for incident</t>
        </is>
      </c>
      <c r="S1038" t="inlineStr"/>
      <c r="T1038" t="inlineStr"/>
      <c r="U1038" t="inlineStr"/>
      <c r="V1038" t="inlineStr"/>
      <c r="W1038" t="inlineStr">
        <is>
          <t>Nej</t>
        </is>
      </c>
      <c r="X1038" t="inlineStr">
        <is>
          <t>Nej</t>
        </is>
      </c>
      <c r="Y1038" t="inlineStr">
        <is>
          <t>Ja</t>
        </is>
      </c>
      <c r="Z1038" t="inlineStr">
        <is>
          <t>Ja</t>
        </is>
      </c>
      <c r="AA1038" t="n">
        <v>8</v>
      </c>
      <c r="AB1038" t="inlineStr">
        <is>
          <t>Riskhantering</t>
        </is>
      </c>
      <c r="AC1038" t="inlineStr">
        <is>
          <t>Risk-PM</t>
        </is>
      </c>
      <c r="AD1038" t="inlineStr">
        <is>
          <t>Nej</t>
        </is>
      </c>
      <c r="AE1038" t="inlineStr">
        <is>
          <t>Nej</t>
        </is>
      </c>
      <c r="AF1038" t="inlineStr">
        <is>
          <t>Ej behandlad</t>
        </is>
      </c>
      <c r="AG1038" t="inlineStr">
        <is>
          <t>AUTO_GENERERAD. Verifiera citat mot kallfil.</t>
        </is>
      </c>
      <c r="AH1038" t="inlineStr">
        <is>
          <t>MEDIUM</t>
        </is>
      </c>
      <c r="AI1038" t="inlineStr">
        <is>
          <t>AUTO</t>
        </is>
      </c>
      <c r="AJ1038" t="inlineStr">
        <is>
          <t>Nej</t>
        </is>
      </c>
      <c r="AK1038" t="inlineStr"/>
      <c r="AL1038" t="inlineStr"/>
      <c r="AM1038" t="inlineStr"/>
      <c r="AN1038" t="inlineStr"/>
      <c r="AO1038" t="inlineStr">
        <is>
          <t>cmm4yupsi02xhcuqwgbgcjc0r</t>
        </is>
      </c>
      <c r="AP1038" t="inlineStr">
        <is>
          <t>http://localhost:8787/api/admin/requirements/documents/cmm4yupsi02xhcuqwgbgcjc0r/view</t>
        </is>
      </c>
      <c r="AQ1038">
        <f>HYPERLÄNK("http://localhost:8787/api/admin/requirements/documents/cmm4yupsi02xhcuqwgbgcjc0r/view";"Öppna PDF")</f>
        <v/>
      </c>
      <c r="AR1038">
        <f>HYPERLINK("http://localhost:8787/api/admin/requirements/documents/cmm4yupsi02xhcuqwgbgcjc0r/view","Open PDF")</f>
        <v/>
      </c>
      <c r="AS1038" t="inlineStr">
        <is>
          <t>cmm55w57p0004cuisfrtpqly8</t>
        </is>
      </c>
      <c r="AT1038" t="inlineStr">
        <is>
          <t>cmm4xvu980000cuh4vj0usz09</t>
        </is>
      </c>
      <c r="AU1038" t="inlineStr"/>
      <c r="AV1038" t="inlineStr">
        <is>
          <t>Kommun</t>
        </is>
      </c>
      <c r="AW1038" t="inlineStr"/>
      <c r="AX1038" t="inlineStr">
        <is>
          <t>2024-576</t>
        </is>
      </c>
      <c r="AY1038" t="inlineStr">
        <is>
          <t>Beslut</t>
        </is>
      </c>
      <c r="AZ1038" t="inlineStr">
        <is>
          <t>2026-02-04</t>
        </is>
      </c>
      <c r="BA1038" t="inlineStr">
        <is>
          <t>Säkerhetsdatablad Nordic Shampoo.pdf</t>
        </is>
      </c>
      <c r="BB1038" t="inlineStr">
        <is>
          <t>2024-576</t>
        </is>
      </c>
      <c r="BC1038" t="inlineStr">
        <is>
          <t>AUTO</t>
        </is>
      </c>
      <c r="BD1038" t="inlineStr"/>
      <c r="BE1038" t="inlineStr"/>
      <c r="BF1038" t="inlineStr">
        <is>
          <t>AUTO_GENERERAD. Bekrafta metadata mot kallfil.</t>
        </is>
      </c>
      <c r="BG1038">
        <f>HYPERLINK("C:\Users\jimmy\Desktop\Examens arbete\Kod\Ny mapp\remix_-copy-of-miljöbeslut.se-portal\Säkerhetsdatablad Nordic Shampoo.pdf", "Öppna PDF")</f>
        <v/>
      </c>
    </row>
    <row r="1039">
      <c r="A1039" t="inlineStr">
        <is>
          <t>KRAV-AUTO-001038</t>
        </is>
      </c>
      <c r="B1039" t="inlineStr">
        <is>
          <t>ADMIN-INDEX-2026-02-27-00000000125C043F57453246863FE664CAFE6A3F0700950291EA24F0614FB6ACEDB12BF0E31D00000000010C0000950291EA24F0614FB6ACEDB12BF0E31D00002087AE560000</t>
        </is>
      </c>
      <c r="C1039" t="inlineStr">
        <is>
          <t>cmm4yupsa02x8cuqwfc9fh2jh</t>
        </is>
      </c>
      <c r="D1039" t="inlineStr">
        <is>
          <t>http://localhost:8787/api/admin/requirements/documents/cmm4yupsa02x8cuqwfc9fh2jh/view</t>
        </is>
      </c>
      <c r="E1039">
        <f>HYPERLÄNK("http://localhost:8787/api/admin/requirements/documents/cmm4yupsa02x8cuqwfc9fh2jh/view";"Öppna PDF")</f>
        <v/>
      </c>
      <c r="F1039">
        <f>HYPERLINK("http://localhost:8787/api/admin/requirements/documents/cmm4yupsa02x8cuqwfc9fh2jh/view","Open PDF")</f>
        <v/>
      </c>
      <c r="G1039" t="inlineStr">
        <is>
          <t>cmm55w57p0004cuisfrtpqly8</t>
        </is>
      </c>
      <c r="H1039" t="inlineStr">
        <is>
          <t>Beslutsvillkor</t>
        </is>
      </c>
      <c r="I1039" t="inlineStr">
        <is>
          <t>Riskhantering</t>
        </is>
      </c>
      <c r="J1039" t="inlineStr">
        <is>
          <t>Riskkontroll</t>
        </is>
      </c>
      <c r="K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1039" t="inlineStr">
        <is>
          <t>SKA</t>
        </is>
      </c>
      <c r="N1039" t="inlineStr"/>
      <c r="O1039" t="inlineStr"/>
      <c r="P1039" t="inlineStr">
        <is>
          <t>Manadskontroll</t>
        </is>
      </c>
      <c r="Q1039" t="inlineStr"/>
      <c r="R1039" t="inlineStr">
        <is>
          <t>Vid risk for incident</t>
        </is>
      </c>
      <c r="S1039" t="inlineStr"/>
      <c r="T1039" t="inlineStr"/>
      <c r="U1039" t="inlineStr"/>
      <c r="V1039" t="inlineStr">
        <is>
          <t>12 manader</t>
        </is>
      </c>
      <c r="W1039" t="inlineStr">
        <is>
          <t>Nej</t>
        </is>
      </c>
      <c r="X1039" t="inlineStr">
        <is>
          <t>Nej</t>
        </is>
      </c>
      <c r="Y1039" t="inlineStr">
        <is>
          <t>Ja</t>
        </is>
      </c>
      <c r="Z1039" t="inlineStr">
        <is>
          <t>Ja</t>
        </is>
      </c>
      <c r="AA1039" t="n">
        <v>8</v>
      </c>
      <c r="AB1039" t="inlineStr">
        <is>
          <t>Riskhantering</t>
        </is>
      </c>
      <c r="AC1039" t="inlineStr">
        <is>
          <t>Risk-PM</t>
        </is>
      </c>
      <c r="AD1039" t="inlineStr">
        <is>
          <t>Nej</t>
        </is>
      </c>
      <c r="AE1039" t="inlineStr">
        <is>
          <t>Nej</t>
        </is>
      </c>
      <c r="AF1039" t="inlineStr">
        <is>
          <t>Ej behandlad</t>
        </is>
      </c>
      <c r="AG1039" t="inlineStr">
        <is>
          <t>AUTO_GENERERAD. Verifiera citat mot kallfil.</t>
        </is>
      </c>
      <c r="AH1039" t="inlineStr">
        <is>
          <t>MEDIUM</t>
        </is>
      </c>
      <c r="AI1039" t="inlineStr">
        <is>
          <t>AUTO</t>
        </is>
      </c>
      <c r="AJ1039" t="inlineStr">
        <is>
          <t>Nej</t>
        </is>
      </c>
      <c r="AK1039" t="inlineStr"/>
      <c r="AL1039" t="inlineStr"/>
      <c r="AM1039" t="inlineStr"/>
      <c r="AN1039" t="inlineStr"/>
      <c r="AO1039" t="inlineStr">
        <is>
          <t>cmm4yupsi02xhcuqwgbgcjc0r</t>
        </is>
      </c>
      <c r="AP1039" t="inlineStr">
        <is>
          <t>http://localhost:8787/api/admin/requirements/documents/cmm4yupsi02xhcuqwgbgcjc0r/view</t>
        </is>
      </c>
      <c r="AQ1039">
        <f>HYPERLÄNK("http://localhost:8787/api/admin/requirements/documents/cmm4yupsi02xhcuqwgbgcjc0r/view";"Öppna PDF")</f>
        <v/>
      </c>
      <c r="AR1039">
        <f>HYPERLINK("http://localhost:8787/api/admin/requirements/documents/cmm4yupsi02xhcuqwgbgcjc0r/view","Open PDF")</f>
        <v/>
      </c>
      <c r="AS1039" t="inlineStr">
        <is>
          <t>cmm55w57p0004cuisfrtpqly8</t>
        </is>
      </c>
      <c r="AT1039" t="inlineStr">
        <is>
          <t>cmm4xvu980000cuh4vj0usz09</t>
        </is>
      </c>
      <c r="AU1039" t="inlineStr"/>
      <c r="AV1039" t="inlineStr">
        <is>
          <t>Kommun</t>
        </is>
      </c>
      <c r="AW1039" t="inlineStr"/>
      <c r="AX1039" t="inlineStr">
        <is>
          <t>2024-576</t>
        </is>
      </c>
      <c r="AY1039" t="inlineStr">
        <is>
          <t>Beslut</t>
        </is>
      </c>
      <c r="AZ1039" t="inlineStr">
        <is>
          <t>2026-02-04</t>
        </is>
      </c>
      <c r="BA1039" t="inlineStr">
        <is>
          <t>Säkerhetsdatablad Nordic Shampoo.pdf</t>
        </is>
      </c>
      <c r="BB1039" t="inlineStr">
        <is>
          <t>2024-576</t>
        </is>
      </c>
      <c r="BC1039" t="inlineStr">
        <is>
          <t>AUTO</t>
        </is>
      </c>
      <c r="BD1039" t="inlineStr"/>
      <c r="BE1039" t="inlineStr"/>
      <c r="BF1039" t="inlineStr">
        <is>
          <t>AUTO_GENERERAD. Bekrafta metadata mot kallfil.</t>
        </is>
      </c>
      <c r="BG1039">
        <f>HYPERLINK("C:\Users\jimmy\Desktop\Examens arbete\Kod\Ny mapp\remix_-copy-of-miljöbeslut.se-portal\Säkerhetsdatablad Nordic Shampoo.pdf", "Öppna PDF")</f>
        <v/>
      </c>
    </row>
    <row r="1040">
      <c r="A1040" t="inlineStr">
        <is>
          <t>KRAV-AUTO-001039</t>
        </is>
      </c>
      <c r="B1040" t="inlineStr">
        <is>
          <t>ADMIN-INDEX-2026-02-27-00000000125C043F57453246863FE664CAFE6A3F0700950291EA24F0614FB6ACEDB12BF0E31D00000000010C0000950291EA24F0614FB6ACEDB12BF0E31D00002087AE560000</t>
        </is>
      </c>
      <c r="C1040" t="inlineStr">
        <is>
          <t>cmm4yupsa02x8cuqwfc9fh2jh</t>
        </is>
      </c>
      <c r="D1040" t="inlineStr">
        <is>
          <t>http://localhost:8787/api/admin/requirements/documents/cmm4yupsa02x8cuqwfc9fh2jh/view</t>
        </is>
      </c>
      <c r="E1040">
        <f>HYPERLÄNK("http://localhost:8787/api/admin/requirements/documents/cmm4yupsa02x8cuqwfc9fh2jh/view";"Öppna PDF")</f>
        <v/>
      </c>
      <c r="F1040">
        <f>HYPERLINK("http://localhost:8787/api/admin/requirements/documents/cmm4yupsa02x8cuqwfc9fh2jh/view","Open PDF")</f>
        <v/>
      </c>
      <c r="G1040" t="inlineStr">
        <is>
          <t>cmm55w57p0004cuisfrtpqly8</t>
        </is>
      </c>
      <c r="H1040" t="inlineStr">
        <is>
          <t>Beslutsvillkor</t>
        </is>
      </c>
      <c r="I1040" t="inlineStr">
        <is>
          <t>MiljopaverkanForsiktighet</t>
        </is>
      </c>
      <c r="J1040" t="inlineStr">
        <is>
          <t>Skyddsatgarder</t>
        </is>
      </c>
      <c r="K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1040" t="inlineStr">
        <is>
          <t>SKA</t>
        </is>
      </c>
      <c r="N1040" t="inlineStr"/>
      <c r="O1040" t="inlineStr"/>
      <c r="P1040" t="inlineStr">
        <is>
          <t>Arlig</t>
        </is>
      </c>
      <c r="Q1040" t="inlineStr"/>
      <c r="R1040" t="inlineStr">
        <is>
          <t>Alltid</t>
        </is>
      </c>
      <c r="S1040" t="inlineStr"/>
      <c r="T1040" t="inlineStr">
        <is>
          <t>20 01 29</t>
        </is>
      </c>
      <c r="U1040" t="inlineStr"/>
      <c r="V1040" t="inlineStr"/>
      <c r="W1040" t="inlineStr">
        <is>
          <t>Nej</t>
        </is>
      </c>
      <c r="X1040" t="inlineStr">
        <is>
          <t>Nej</t>
        </is>
      </c>
      <c r="Y1040" t="inlineStr">
        <is>
          <t>Nej</t>
        </is>
      </c>
      <c r="Z1040" t="inlineStr">
        <is>
          <t>Nej</t>
        </is>
      </c>
      <c r="AA1040" t="n">
        <v>10</v>
      </c>
      <c r="AB1040" t="inlineStr">
        <is>
          <t>Miljopaverkan och forsiktighetsmatt</t>
        </is>
      </c>
      <c r="AC1040" t="inlineStr">
        <is>
          <t>Miljo-PM</t>
        </is>
      </c>
      <c r="AD1040" t="inlineStr">
        <is>
          <t>Nej</t>
        </is>
      </c>
      <c r="AE1040" t="inlineStr">
        <is>
          <t>Nej</t>
        </is>
      </c>
      <c r="AF1040" t="inlineStr">
        <is>
          <t>Ej behandlad</t>
        </is>
      </c>
      <c r="AG1040" t="inlineStr">
        <is>
          <t>AUTO_GENERERAD. Verifiera citat mot kallfil.</t>
        </is>
      </c>
      <c r="AH1040" t="inlineStr">
        <is>
          <t>MEDIUM</t>
        </is>
      </c>
      <c r="AI1040" t="inlineStr">
        <is>
          <t>AUTO</t>
        </is>
      </c>
      <c r="AJ1040" t="inlineStr">
        <is>
          <t>Nej</t>
        </is>
      </c>
      <c r="AK1040" t="inlineStr"/>
      <c r="AL1040" t="inlineStr"/>
      <c r="AM1040" t="inlineStr"/>
      <c r="AN1040" t="inlineStr"/>
      <c r="AO1040" t="inlineStr">
        <is>
          <t>cmm4yupsi02xhcuqwgbgcjc0r</t>
        </is>
      </c>
      <c r="AP1040" t="inlineStr">
        <is>
          <t>http://localhost:8787/api/admin/requirements/documents/cmm4yupsi02xhcuqwgbgcjc0r/view</t>
        </is>
      </c>
      <c r="AQ1040">
        <f>HYPERLÄNK("http://localhost:8787/api/admin/requirements/documents/cmm4yupsi02xhcuqwgbgcjc0r/view";"Öppna PDF")</f>
        <v/>
      </c>
      <c r="AR1040">
        <f>HYPERLINK("http://localhost:8787/api/admin/requirements/documents/cmm4yupsi02xhcuqwgbgcjc0r/view","Open PDF")</f>
        <v/>
      </c>
      <c r="AS1040" t="inlineStr">
        <is>
          <t>cmm55w57p0004cuisfrtpqly8</t>
        </is>
      </c>
      <c r="AT1040" t="inlineStr">
        <is>
          <t>cmm4xvu980000cuh4vj0usz09</t>
        </is>
      </c>
      <c r="AU1040" t="inlineStr"/>
      <c r="AV1040" t="inlineStr">
        <is>
          <t>Kommun</t>
        </is>
      </c>
      <c r="AW1040" t="inlineStr"/>
      <c r="AX1040" t="inlineStr">
        <is>
          <t>2024-576</t>
        </is>
      </c>
      <c r="AY1040" t="inlineStr">
        <is>
          <t>Beslut</t>
        </is>
      </c>
      <c r="AZ1040" t="inlineStr">
        <is>
          <t>2026-02-04</t>
        </is>
      </c>
      <c r="BA1040" t="inlineStr">
        <is>
          <t>Säkerhetsdatablad Nordic Shampoo.pdf</t>
        </is>
      </c>
      <c r="BB1040" t="inlineStr">
        <is>
          <t>2024-576</t>
        </is>
      </c>
      <c r="BC1040" t="inlineStr">
        <is>
          <t>AUTO</t>
        </is>
      </c>
      <c r="BD1040" t="inlineStr"/>
      <c r="BE1040" t="inlineStr"/>
      <c r="BF1040" t="inlineStr">
        <is>
          <t>AUTO_GENERERAD. Bekrafta metadata mot kallfil.</t>
        </is>
      </c>
      <c r="BG1040">
        <f>HYPERLINK("C:\Users\jimmy\Desktop\Examens arbete\Kod\Ny mapp\remix_-copy-of-miljöbeslut.se-portal\Säkerhetsdatablad Nordic Shampoo.pdf", "Öppna PDF")</f>
        <v/>
      </c>
    </row>
    <row r="1041">
      <c r="A1041" t="inlineStr">
        <is>
          <t>KRAV-AUTO-001040</t>
        </is>
      </c>
      <c r="B1041" t="inlineStr">
        <is>
          <t>ADMIN-INDEX-2026-02-27-00000000125C043F57453246863FE664CAFE6A3F0700950291EA24F0614FB6ACEDB12BF0E31D00000000010C0000950291EA24F0614FB6ACEDB12BF0E31D00002087AE560000</t>
        </is>
      </c>
      <c r="C1041" t="inlineStr">
        <is>
          <t>cmm4yups702x5cuqw0gashkpm</t>
        </is>
      </c>
      <c r="D1041" t="inlineStr">
        <is>
          <t>http://localhost:8787/api/admin/requirements/documents/cmm4yups702x5cuqw0gashkpm/view</t>
        </is>
      </c>
      <c r="E1041">
        <f>HYPERLÄNK("http://localhost:8787/api/admin/requirements/documents/cmm4yups702x5cuqw0gashkpm/view";"Öppna PDF")</f>
        <v/>
      </c>
      <c r="F1041">
        <f>HYPERLINK("http://localhost:8787/api/admin/requirements/documents/cmm4yups702x5cuqw0gashkpm/view","Open PDF")</f>
        <v/>
      </c>
      <c r="G1041" t="inlineStr">
        <is>
          <t>cmm55w57p0004cuisfrtpqly8</t>
        </is>
      </c>
      <c r="H1041" t="inlineStr">
        <is>
          <t>Beslutsvillkor</t>
        </is>
      </c>
      <c r="I1041" t="inlineStr">
        <is>
          <t>Riskhantering</t>
        </is>
      </c>
      <c r="J1041" t="inlineStr">
        <is>
          <t>Riskkontroll</t>
        </is>
      </c>
      <c r="K1041" t="inlineStr">
        <is>
          <t>5.3 Råd till brandbekämpningspersonal Speciell skyddsutrustning: Vid brandbekämpning skall vanliga åtgärder vidtas.</t>
        </is>
      </c>
      <c r="L1041" t="inlineStr">
        <is>
          <t>5.3 Råd till brandbekämpningspersonal Speciell skyddsutrustning: Vid brandbekämpning skall vanliga åtgärder vidtas.</t>
        </is>
      </c>
      <c r="M1041" t="inlineStr">
        <is>
          <t>SKA</t>
        </is>
      </c>
      <c r="N1041" t="inlineStr"/>
      <c r="O1041" t="inlineStr"/>
      <c r="P1041" t="inlineStr"/>
      <c r="Q1041" t="inlineStr"/>
      <c r="R1041" t="inlineStr">
        <is>
          <t>Vid risk for incident</t>
        </is>
      </c>
      <c r="S1041" t="inlineStr"/>
      <c r="T1041" t="inlineStr">
        <is>
          <t>513330</t>
        </is>
      </c>
      <c r="U1041" t="inlineStr"/>
      <c r="V1041" t="inlineStr"/>
      <c r="W1041" t="inlineStr">
        <is>
          <t>Nej</t>
        </is>
      </c>
      <c r="X1041" t="inlineStr">
        <is>
          <t>Nej</t>
        </is>
      </c>
      <c r="Y1041" t="inlineStr">
        <is>
          <t>Ja</t>
        </is>
      </c>
      <c r="Z1041" t="inlineStr">
        <is>
          <t>Ja</t>
        </is>
      </c>
      <c r="AA1041" t="n">
        <v>8</v>
      </c>
      <c r="AB1041" t="inlineStr">
        <is>
          <t>Riskhantering</t>
        </is>
      </c>
      <c r="AC1041" t="inlineStr">
        <is>
          <t>Risk-PM</t>
        </is>
      </c>
      <c r="AD1041" t="inlineStr">
        <is>
          <t>Nej</t>
        </is>
      </c>
      <c r="AE1041" t="inlineStr">
        <is>
          <t>Nej</t>
        </is>
      </c>
      <c r="AF1041" t="inlineStr">
        <is>
          <t>Ej behandlad</t>
        </is>
      </c>
      <c r="AG1041" t="inlineStr">
        <is>
          <t>AUTO_GENERERAD. Verifiera citat mot kallfil.</t>
        </is>
      </c>
      <c r="AH1041" t="inlineStr">
        <is>
          <t>MEDIUM</t>
        </is>
      </c>
      <c r="AI1041" t="inlineStr">
        <is>
          <t>AUTO</t>
        </is>
      </c>
      <c r="AJ1041" t="inlineStr">
        <is>
          <t>Nej</t>
        </is>
      </c>
      <c r="AK1041" t="inlineStr"/>
      <c r="AL1041" t="inlineStr"/>
      <c r="AM1041" t="inlineStr"/>
      <c r="AN1041" t="inlineStr"/>
      <c r="AO1041" t="inlineStr">
        <is>
          <t>cmm4yupsi02xhcuqwgbgcjc0r</t>
        </is>
      </c>
      <c r="AP1041" t="inlineStr">
        <is>
          <t>http://localhost:8787/api/admin/requirements/documents/cmm4yupsi02xhcuqwgbgcjc0r/view</t>
        </is>
      </c>
      <c r="AQ1041">
        <f>HYPERLÄNK("http://localhost:8787/api/admin/requirements/documents/cmm4yupsi02xhcuqwgbgcjc0r/view";"Öppna PDF")</f>
        <v/>
      </c>
      <c r="AR1041">
        <f>HYPERLINK("http://localhost:8787/api/admin/requirements/documents/cmm4yupsi02xhcuqwgbgcjc0r/view","Open PDF")</f>
        <v/>
      </c>
      <c r="AS1041" t="inlineStr">
        <is>
          <t>cmm55w57p0004cuisfrtpqly8</t>
        </is>
      </c>
      <c r="AT1041" t="inlineStr">
        <is>
          <t>cmm4xvu980000cuh4vj0usz09</t>
        </is>
      </c>
      <c r="AU1041" t="inlineStr"/>
      <c r="AV1041" t="inlineStr">
        <is>
          <t>Kommun</t>
        </is>
      </c>
      <c r="AW1041" t="inlineStr"/>
      <c r="AX1041" t="inlineStr">
        <is>
          <t>2024-576</t>
        </is>
      </c>
      <c r="AY1041" t="inlineStr">
        <is>
          <t>Beslut</t>
        </is>
      </c>
      <c r="AZ1041" t="inlineStr">
        <is>
          <t>2026-02-04</t>
        </is>
      </c>
      <c r="BA1041" t="inlineStr">
        <is>
          <t>Säkerhetsdatablad Nordic Shampoo.pdf</t>
        </is>
      </c>
      <c r="BB1041" t="inlineStr">
        <is>
          <t>2024-576</t>
        </is>
      </c>
      <c r="BC1041" t="inlineStr">
        <is>
          <t>AUTO</t>
        </is>
      </c>
      <c r="BD1041" t="inlineStr"/>
      <c r="BE1041" t="inlineStr"/>
      <c r="BF1041" t="inlineStr">
        <is>
          <t>AUTO_GENERERAD. Bekrafta metadata mot kallfil.</t>
        </is>
      </c>
      <c r="BG1041">
        <f>HYPERLINK("C:\Users\jimmy\Desktop\Examens arbete\Kod\Ny mapp\remix_-copy-of-miljöbeslut.se-portal\Säkerhetsdatablad Nordic Shampoo.pdf", "Öppna PDF")</f>
        <v/>
      </c>
    </row>
    <row r="1042">
      <c r="A1042" t="inlineStr">
        <is>
          <t>KRAV-AUTO-001041</t>
        </is>
      </c>
      <c r="B1042" t="inlineStr">
        <is>
          <t>ADMIN-INDEX-2026-02-27-00000000125C043F57453246863FE664CAFE6A3F0700950291EA24F0614FB6ACEDB12BF0E31D00000000010C0000950291EA24F0614FB6ACEDB12BF0E31D00002087AE560000</t>
        </is>
      </c>
      <c r="C1042" t="inlineStr">
        <is>
          <t>cmm4yups702x5cuqw0gashkpm</t>
        </is>
      </c>
      <c r="D1042" t="inlineStr">
        <is>
          <t>http://localhost:8787/api/admin/requirements/documents/cmm4yups702x5cuqw0gashkpm/view</t>
        </is>
      </c>
      <c r="E1042">
        <f>HYPERLÄNK("http://localhost:8787/api/admin/requirements/documents/cmm4yups702x5cuqw0gashkpm/view";"Öppna PDF")</f>
        <v/>
      </c>
      <c r="F1042">
        <f>HYPERLINK("http://localhost:8787/api/admin/requirements/documents/cmm4yups702x5cuqw0gashkpm/view","Open PDF")</f>
        <v/>
      </c>
      <c r="G1042" t="inlineStr">
        <is>
          <t>cmm55w57p0004cuisfrtpqly8</t>
        </is>
      </c>
      <c r="H1042" t="inlineStr">
        <is>
          <t>Beslutsvillkor</t>
        </is>
      </c>
      <c r="I1042" t="inlineStr">
        <is>
          <t>MiljopaverkanForsiktighet</t>
        </is>
      </c>
      <c r="J1042" t="inlineStr">
        <is>
          <t>Skyddsatgarder</t>
        </is>
      </c>
      <c r="K1042" t="inlineStr">
        <is>
          <t>Rekommendation: Avfall måste hanteras och avlägsnas enligt lokala föreskrifter.</t>
        </is>
      </c>
      <c r="L1042" t="inlineStr">
        <is>
          <t>Rekommendation: Avfall måste hanteras och avlägsnas enligt lokala föreskrifter.</t>
        </is>
      </c>
      <c r="M1042" t="inlineStr">
        <is>
          <t>SKA</t>
        </is>
      </c>
      <c r="N1042" t="inlineStr"/>
      <c r="O1042" t="inlineStr"/>
      <c r="P1042" t="inlineStr"/>
      <c r="Q1042" t="inlineStr"/>
      <c r="R1042" t="inlineStr">
        <is>
          <t>Alltid</t>
        </is>
      </c>
      <c r="S1042" t="inlineStr"/>
      <c r="T1042" t="inlineStr">
        <is>
          <t>513330</t>
        </is>
      </c>
      <c r="U1042" t="inlineStr"/>
      <c r="V1042" t="inlineStr"/>
      <c r="W1042" t="inlineStr">
        <is>
          <t>Nej</t>
        </is>
      </c>
      <c r="X1042" t="inlineStr">
        <is>
          <t>Nej</t>
        </is>
      </c>
      <c r="Y1042" t="inlineStr">
        <is>
          <t>Nej</t>
        </is>
      </c>
      <c r="Z1042" t="inlineStr">
        <is>
          <t>Nej</t>
        </is>
      </c>
      <c r="AA1042" t="n">
        <v>10</v>
      </c>
      <c r="AB1042" t="inlineStr">
        <is>
          <t>Miljopaverkan och forsiktighetsmatt</t>
        </is>
      </c>
      <c r="AC1042" t="inlineStr">
        <is>
          <t>Miljo-PM</t>
        </is>
      </c>
      <c r="AD1042" t="inlineStr">
        <is>
          <t>Nej</t>
        </is>
      </c>
      <c r="AE1042" t="inlineStr">
        <is>
          <t>Nej</t>
        </is>
      </c>
      <c r="AF1042" t="inlineStr">
        <is>
          <t>Ej behandlad</t>
        </is>
      </c>
      <c r="AG1042" t="inlineStr">
        <is>
          <t>AUTO_GENERERAD. Verifiera citat mot kallfil.</t>
        </is>
      </c>
      <c r="AH1042" t="inlineStr">
        <is>
          <t>MEDIUM</t>
        </is>
      </c>
      <c r="AI1042" t="inlineStr">
        <is>
          <t>AUTO</t>
        </is>
      </c>
      <c r="AJ1042" t="inlineStr">
        <is>
          <t>Nej</t>
        </is>
      </c>
      <c r="AK1042" t="inlineStr"/>
      <c r="AL1042" t="inlineStr"/>
      <c r="AM1042" t="inlineStr"/>
      <c r="AN1042" t="inlineStr"/>
      <c r="AO1042" t="inlineStr">
        <is>
          <t>cmm4yupsi02xhcuqwgbgcjc0r</t>
        </is>
      </c>
      <c r="AP1042" t="inlineStr">
        <is>
          <t>http://localhost:8787/api/admin/requirements/documents/cmm4yupsi02xhcuqwgbgcjc0r/view</t>
        </is>
      </c>
      <c r="AQ1042">
        <f>HYPERLÄNK("http://localhost:8787/api/admin/requirements/documents/cmm4yupsi02xhcuqwgbgcjc0r/view";"Öppna PDF")</f>
        <v/>
      </c>
      <c r="AR1042">
        <f>HYPERLINK("http://localhost:8787/api/admin/requirements/documents/cmm4yupsi02xhcuqwgbgcjc0r/view","Open PDF")</f>
        <v/>
      </c>
      <c r="AS1042" t="inlineStr">
        <is>
          <t>cmm55w57p0004cuisfrtpqly8</t>
        </is>
      </c>
      <c r="AT1042" t="inlineStr">
        <is>
          <t>cmm4xvu980000cuh4vj0usz09</t>
        </is>
      </c>
      <c r="AU1042" t="inlineStr"/>
      <c r="AV1042" t="inlineStr">
        <is>
          <t>Kommun</t>
        </is>
      </c>
      <c r="AW1042" t="inlineStr"/>
      <c r="AX1042" t="inlineStr">
        <is>
          <t>2024-576</t>
        </is>
      </c>
      <c r="AY1042" t="inlineStr">
        <is>
          <t>Beslut</t>
        </is>
      </c>
      <c r="AZ1042" t="inlineStr">
        <is>
          <t>2026-02-04</t>
        </is>
      </c>
      <c r="BA1042" t="inlineStr">
        <is>
          <t>Säkerhetsdatablad Nordic Shampoo.pdf</t>
        </is>
      </c>
      <c r="BB1042" t="inlineStr">
        <is>
          <t>2024-576</t>
        </is>
      </c>
      <c r="BC1042" t="inlineStr">
        <is>
          <t>AUTO</t>
        </is>
      </c>
      <c r="BD1042" t="inlineStr"/>
      <c r="BE1042" t="inlineStr"/>
      <c r="BF1042" t="inlineStr">
        <is>
          <t>AUTO_GENERERAD. Bekrafta metadata mot kallfil.</t>
        </is>
      </c>
      <c r="BG1042">
        <f>HYPERLINK("C:\Users\jimmy\Desktop\Examens arbete\Kod\Ny mapp\remix_-copy-of-miljöbeslut.se-portal\Säkerhetsdatablad Nordic Shampoo.pdf", "Öppna PDF")</f>
        <v/>
      </c>
    </row>
    <row r="1043">
      <c r="A1043" t="inlineStr">
        <is>
          <t>KRAV-AUTO-001042</t>
        </is>
      </c>
      <c r="B1043" t="inlineStr">
        <is>
          <t>ADMIN-INDEX-2026-02-27-00000000125C043F57453246863FE664CAFE6A3F0700950291EA24F0614FB6ACEDB12BF0E31D00000000010C0000950291EA24F0614FB6ACEDB12BF0E31D00002087AE560000</t>
        </is>
      </c>
      <c r="C1043" t="inlineStr">
        <is>
          <t>cmm4yups702x5cuqw0gashkpm</t>
        </is>
      </c>
      <c r="D1043" t="inlineStr">
        <is>
          <t>http://localhost:8787/api/admin/requirements/documents/cmm4yups702x5cuqw0gashkpm/view</t>
        </is>
      </c>
      <c r="E1043">
        <f>HYPERLÄNK("http://localhost:8787/api/admin/requirements/documents/cmm4yups702x5cuqw0gashkpm/view";"Öppna PDF")</f>
        <v/>
      </c>
      <c r="F1043">
        <f>HYPERLINK("http://localhost:8787/api/admin/requirements/documents/cmm4yups702x5cuqw0gashkpm/view","Open PDF")</f>
        <v/>
      </c>
      <c r="G1043" t="inlineStr">
        <is>
          <t>cmm55w57p0004cuisfrtpqly8</t>
        </is>
      </c>
      <c r="H1043" t="inlineStr">
        <is>
          <t>Beslutsvillkor</t>
        </is>
      </c>
      <c r="I1043" t="inlineStr">
        <is>
          <t>Riskhantering</t>
        </is>
      </c>
      <c r="J1043" t="inlineStr">
        <is>
          <t>Riskkontroll</t>
        </is>
      </c>
      <c r="K1043" t="inlineStr">
        <is>
          <t>Hänvisningar beträffande brand- och explosionsskydd: Inga speciella åtgärder krävs.</t>
        </is>
      </c>
      <c r="L1043" t="inlineStr">
        <is>
          <t>Hänvisningar beträffande brand- och explosionsskydd: Inga speciella åtgärder krävs.</t>
        </is>
      </c>
      <c r="M1043" t="inlineStr">
        <is>
          <t>SKA</t>
        </is>
      </c>
      <c r="N1043" t="inlineStr"/>
      <c r="O1043" t="inlineStr"/>
      <c r="P1043" t="inlineStr"/>
      <c r="Q1043" t="inlineStr"/>
      <c r="R1043" t="inlineStr">
        <is>
          <t>Vid risk for incident</t>
        </is>
      </c>
      <c r="S1043" t="inlineStr"/>
      <c r="T1043" t="inlineStr">
        <is>
          <t>513330</t>
        </is>
      </c>
      <c r="U1043" t="inlineStr"/>
      <c r="V1043" t="inlineStr"/>
      <c r="W1043" t="inlineStr">
        <is>
          <t>Nej</t>
        </is>
      </c>
      <c r="X1043" t="inlineStr">
        <is>
          <t>Nej</t>
        </is>
      </c>
      <c r="Y1043" t="inlineStr">
        <is>
          <t>Ja</t>
        </is>
      </c>
      <c r="Z1043" t="inlineStr">
        <is>
          <t>Ja</t>
        </is>
      </c>
      <c r="AA1043" t="n">
        <v>8</v>
      </c>
      <c r="AB1043" t="inlineStr">
        <is>
          <t>Riskhantering</t>
        </is>
      </c>
      <c r="AC1043" t="inlineStr">
        <is>
          <t>Risk-PM</t>
        </is>
      </c>
      <c r="AD1043" t="inlineStr">
        <is>
          <t>Nej</t>
        </is>
      </c>
      <c r="AE1043" t="inlineStr">
        <is>
          <t>Nej</t>
        </is>
      </c>
      <c r="AF1043" t="inlineStr">
        <is>
          <t>Ej behandlad</t>
        </is>
      </c>
      <c r="AG1043" t="inlineStr">
        <is>
          <t>AUTO_GENERERAD. Verifiera citat mot kallfil.</t>
        </is>
      </c>
      <c r="AH1043" t="inlineStr">
        <is>
          <t>MEDIUM</t>
        </is>
      </c>
      <c r="AI1043" t="inlineStr">
        <is>
          <t>AUTO</t>
        </is>
      </c>
      <c r="AJ1043" t="inlineStr">
        <is>
          <t>Nej</t>
        </is>
      </c>
      <c r="AK1043" t="inlineStr"/>
      <c r="AL1043" t="inlineStr"/>
      <c r="AM1043" t="inlineStr"/>
      <c r="AN1043" t="inlineStr"/>
      <c r="AO1043" t="inlineStr">
        <is>
          <t>cmm4yupsi02xhcuqwgbgcjc0r</t>
        </is>
      </c>
      <c r="AP1043" t="inlineStr">
        <is>
          <t>http://localhost:8787/api/admin/requirements/documents/cmm4yupsi02xhcuqwgbgcjc0r/view</t>
        </is>
      </c>
      <c r="AQ1043">
        <f>HYPERLÄNK("http://localhost:8787/api/admin/requirements/documents/cmm4yupsi02xhcuqwgbgcjc0r/view";"Öppna PDF")</f>
        <v/>
      </c>
      <c r="AR1043">
        <f>HYPERLINK("http://localhost:8787/api/admin/requirements/documents/cmm4yupsi02xhcuqwgbgcjc0r/view","Open PDF")</f>
        <v/>
      </c>
      <c r="AS1043" t="inlineStr">
        <is>
          <t>cmm55w57p0004cuisfrtpqly8</t>
        </is>
      </c>
      <c r="AT1043" t="inlineStr">
        <is>
          <t>cmm4xvu980000cuh4vj0usz09</t>
        </is>
      </c>
      <c r="AU1043" t="inlineStr"/>
      <c r="AV1043" t="inlineStr">
        <is>
          <t>Kommun</t>
        </is>
      </c>
      <c r="AW1043" t="inlineStr"/>
      <c r="AX1043" t="inlineStr">
        <is>
          <t>2024-576</t>
        </is>
      </c>
      <c r="AY1043" t="inlineStr">
        <is>
          <t>Beslut</t>
        </is>
      </c>
      <c r="AZ1043" t="inlineStr">
        <is>
          <t>2026-02-04</t>
        </is>
      </c>
      <c r="BA1043" t="inlineStr">
        <is>
          <t>Säkerhetsdatablad Nordic Shampoo.pdf</t>
        </is>
      </c>
      <c r="BB1043" t="inlineStr">
        <is>
          <t>2024-576</t>
        </is>
      </c>
      <c r="BC1043" t="inlineStr">
        <is>
          <t>AUTO</t>
        </is>
      </c>
      <c r="BD1043" t="inlineStr"/>
      <c r="BE1043" t="inlineStr"/>
      <c r="BF1043" t="inlineStr">
        <is>
          <t>AUTO_GENERERAD. Bekrafta metadata mot kallfil.</t>
        </is>
      </c>
      <c r="BG1043">
        <f>HYPERLINK("C:\Users\jimmy\Desktop\Examens arbete\Kod\Ny mapp\remix_-copy-of-miljöbeslut.se-portal\Säkerhetsdatablad Nordic Shampoo.pdf", "Öppna PDF")</f>
        <v/>
      </c>
    </row>
    <row r="1044">
      <c r="A1044" t="inlineStr">
        <is>
          <t>KRAV-AUTO-001043</t>
        </is>
      </c>
      <c r="B1044" t="inlineStr">
        <is>
          <t>ADMIN-INDEX-2026-02-27-00000000125C043F57453246863FE664CAFE6A3F0700950291EA24F0614FB6ACEDB12BF0E31D00000000010C0000950291EA24F0614FB6ACEDB12BF0E31D00002087AE560000</t>
        </is>
      </c>
      <c r="C1044" t="inlineStr">
        <is>
          <t>cmm4yuprx02wwcuqwzh8r15uu</t>
        </is>
      </c>
      <c r="D1044" t="inlineStr">
        <is>
          <t>http://localhost:8787/api/admin/requirements/documents/cmm4yuprx02wwcuqwzh8r15uu/view</t>
        </is>
      </c>
      <c r="E1044">
        <f>HYPERLÄNK("http://localhost:8787/api/admin/requirements/documents/cmm4yuprx02wwcuqwzh8r15uu/view";"Öppna PDF")</f>
        <v/>
      </c>
      <c r="F1044">
        <f>HYPERLINK("http://localhost:8787/api/admin/requirements/documents/cmm4yuprx02wwcuqwzh8r15uu/view","Open PDF")</f>
        <v/>
      </c>
      <c r="G1044" t="inlineStr">
        <is>
          <t>cmm55w57p0004cuisfrtpqly8</t>
        </is>
      </c>
      <c r="H1044" t="inlineStr">
        <is>
          <t>Beslutsvillkor</t>
        </is>
      </c>
      <c r="I1044" t="inlineStr">
        <is>
          <t>MiljopaverkanForsiktighet</t>
        </is>
      </c>
      <c r="J1044" t="inlineStr">
        <is>
          <t>Skyddsatgarder</t>
        </is>
      </c>
      <c r="K1044" t="inlineStr">
        <is>
          <t>Avfall som uppstår vid tömning skall tas omhand som farligt avfall.</t>
        </is>
      </c>
      <c r="L1044" t="inlineStr">
        <is>
          <t>Avfall som uppstår vid tömning skall tas omhand som farligt avfall.</t>
        </is>
      </c>
      <c r="M1044" t="inlineStr">
        <is>
          <t>SKA</t>
        </is>
      </c>
      <c r="N1044" t="inlineStr"/>
      <c r="O1044" t="inlineStr"/>
      <c r="P1044" t="inlineStr">
        <is>
          <t>Arlig</t>
        </is>
      </c>
      <c r="Q1044" t="inlineStr"/>
      <c r="R1044" t="inlineStr">
        <is>
          <t>Alltid</t>
        </is>
      </c>
      <c r="S1044" t="inlineStr"/>
      <c r="T1044" t="inlineStr">
        <is>
          <t>96 2024</t>
        </is>
      </c>
      <c r="U1044" t="inlineStr"/>
      <c r="V1044" t="inlineStr"/>
      <c r="W1044" t="inlineStr">
        <is>
          <t>Nej</t>
        </is>
      </c>
      <c r="X1044" t="inlineStr">
        <is>
          <t>Nej</t>
        </is>
      </c>
      <c r="Y1044" t="inlineStr">
        <is>
          <t>Nej</t>
        </is>
      </c>
      <c r="Z1044" t="inlineStr">
        <is>
          <t>Nej</t>
        </is>
      </c>
      <c r="AA1044" t="n">
        <v>10</v>
      </c>
      <c r="AB1044" t="inlineStr">
        <is>
          <t>Miljopaverkan och forsiktighetsmatt</t>
        </is>
      </c>
      <c r="AC1044" t="inlineStr">
        <is>
          <t>Miljo-PM</t>
        </is>
      </c>
      <c r="AD1044" t="inlineStr">
        <is>
          <t>Nej</t>
        </is>
      </c>
      <c r="AE1044" t="inlineStr">
        <is>
          <t>Nej</t>
        </is>
      </c>
      <c r="AF1044" t="inlineStr">
        <is>
          <t>Ej behandlad</t>
        </is>
      </c>
      <c r="AG1044" t="inlineStr">
        <is>
          <t>AUTO_GENERERAD. Verifiera citat mot kallfil.</t>
        </is>
      </c>
      <c r="AH1044" t="inlineStr">
        <is>
          <t>MEDIUM</t>
        </is>
      </c>
      <c r="AI1044" t="inlineStr">
        <is>
          <t>AUTO</t>
        </is>
      </c>
      <c r="AJ1044" t="inlineStr">
        <is>
          <t>Nej</t>
        </is>
      </c>
      <c r="AK1044" t="inlineStr"/>
      <c r="AL1044" t="inlineStr"/>
      <c r="AM1044" t="inlineStr"/>
      <c r="AN1044" t="inlineStr"/>
      <c r="AO1044" t="inlineStr">
        <is>
          <t>cmm4yupsi02xhcuqwgbgcjc0r</t>
        </is>
      </c>
      <c r="AP1044" t="inlineStr">
        <is>
          <t>http://localhost:8787/api/admin/requirements/documents/cmm4yupsi02xhcuqwgbgcjc0r/view</t>
        </is>
      </c>
      <c r="AQ1044">
        <f>HYPERLÄNK("http://localhost:8787/api/admin/requirements/documents/cmm4yupsi02xhcuqwgbgcjc0r/view";"Öppna PDF")</f>
        <v/>
      </c>
      <c r="AR1044">
        <f>HYPERLINK("http://localhost:8787/api/admin/requirements/documents/cmm4yupsi02xhcuqwgbgcjc0r/view","Open PDF")</f>
        <v/>
      </c>
      <c r="AS1044" t="inlineStr">
        <is>
          <t>cmm55w57p0004cuisfrtpqly8</t>
        </is>
      </c>
      <c r="AT1044" t="inlineStr">
        <is>
          <t>cmm4xvu980000cuh4vj0usz09</t>
        </is>
      </c>
      <c r="AU1044" t="inlineStr"/>
      <c r="AV1044" t="inlineStr">
        <is>
          <t>Kommun</t>
        </is>
      </c>
      <c r="AW1044" t="inlineStr"/>
      <c r="AX1044" t="inlineStr">
        <is>
          <t>2024-576</t>
        </is>
      </c>
      <c r="AY1044" t="inlineStr">
        <is>
          <t>Beslut</t>
        </is>
      </c>
      <c r="AZ1044" t="inlineStr">
        <is>
          <t>2026-02-04</t>
        </is>
      </c>
      <c r="BA1044" t="inlineStr">
        <is>
          <t>Säkerhetsdatablad Nordic Shampoo.pdf</t>
        </is>
      </c>
      <c r="BB1044" t="inlineStr">
        <is>
          <t>2024-576</t>
        </is>
      </c>
      <c r="BC1044" t="inlineStr">
        <is>
          <t>AUTO</t>
        </is>
      </c>
      <c r="BD1044" t="inlineStr"/>
      <c r="BE1044" t="inlineStr"/>
      <c r="BF1044" t="inlineStr">
        <is>
          <t>AUTO_GENERERAD. Bekrafta metadata mot kallfil.</t>
        </is>
      </c>
      <c r="BG1044">
        <f>HYPERLINK("C:\Users\jimmy\Desktop\Examens arbete\Kod\Ny mapp\remix_-copy-of-miljöbeslut.se-portal\Säkerhetsdatablad Nordic Shampoo.pdf", "Öppna PDF")</f>
        <v/>
      </c>
    </row>
    <row r="1045">
      <c r="A1045" t="inlineStr">
        <is>
          <t>KRAV-AUTO-001044</t>
        </is>
      </c>
      <c r="B1045" t="inlineStr">
        <is>
          <t>ADMIN-INDEX-2026-02-27-00000000125C043F57453246863FE664CAFE6A3F0700950291EA24F0614FB6ACEDB12BF0E31D00000000010C0000950291EA24F0614FB6ACEDB12BF0E31D00002087AE560000</t>
        </is>
      </c>
      <c r="C1045" t="inlineStr">
        <is>
          <t>cmm4yuprx02wwcuqwzh8r15uu</t>
        </is>
      </c>
      <c r="D1045" t="inlineStr">
        <is>
          <t>http://localhost:8787/api/admin/requirements/documents/cmm4yuprx02wwcuqwzh8r15uu/view</t>
        </is>
      </c>
      <c r="E1045">
        <f>HYPERLÄNK("http://localhost:8787/api/admin/requirements/documents/cmm4yuprx02wwcuqwzh8r15uu/view";"Öppna PDF")</f>
        <v/>
      </c>
      <c r="F1045">
        <f>HYPERLINK("http://localhost:8787/api/admin/requirements/documents/cmm4yuprx02wwcuqwzh8r15uu/view","Open PDF")</f>
        <v/>
      </c>
      <c r="G1045" t="inlineStr">
        <is>
          <t>cmm55w57p0004cuisfrtpqly8</t>
        </is>
      </c>
      <c r="H1045" t="inlineStr">
        <is>
          <t>Beslutsvillkor</t>
        </is>
      </c>
      <c r="I1045" t="inlineStr">
        <is>
          <t>DagvattenLakvatten</t>
        </is>
      </c>
      <c r="J1045" t="inlineStr">
        <is>
          <t>Uppsamling</t>
        </is>
      </c>
      <c r="K1045" t="inlineStr">
        <is>
          <t>Utgående vatten från fordonstvättsanläggningen skall efter rening ledas till spillvattennätet och ska därför uppfylla riktvärden enligt tabell 1 vad gäller maximal mängd förorening per tvättat fordon.</t>
        </is>
      </c>
      <c r="L1045" t="inlineStr">
        <is>
          <t>Utgående vatten från fordonstvättsanläggningen skall efter rening ledas till spillvattennätet och ska därför uppfylla riktvärden enligt tabell 1 vad gäller maximal mängd förorening per tvättat fordon.</t>
        </is>
      </c>
      <c r="M1045" t="inlineStr">
        <is>
          <t>SKA</t>
        </is>
      </c>
      <c r="N1045" t="inlineStr"/>
      <c r="O1045" t="inlineStr"/>
      <c r="P1045" t="inlineStr"/>
      <c r="Q1045" t="inlineStr"/>
      <c r="R1045" t="inlineStr">
        <is>
          <t>Vid nederbord och avrinning</t>
        </is>
      </c>
      <c r="S1045" t="inlineStr"/>
      <c r="T1045" t="inlineStr">
        <is>
          <t>96 2024</t>
        </is>
      </c>
      <c r="U1045" t="inlineStr"/>
      <c r="V1045" t="inlineStr"/>
      <c r="W1045" t="inlineStr">
        <is>
          <t>Nej</t>
        </is>
      </c>
      <c r="X1045" t="inlineStr">
        <is>
          <t>Ja</t>
        </is>
      </c>
      <c r="Y1045" t="inlineStr">
        <is>
          <t>Ja</t>
        </is>
      </c>
      <c r="Z1045" t="inlineStr">
        <is>
          <t>Nej</t>
        </is>
      </c>
      <c r="AA1045" t="n">
        <v>6</v>
      </c>
      <c r="AB1045" t="inlineStr">
        <is>
          <t>Lakvattenhantering</t>
        </is>
      </c>
      <c r="AC1045" t="inlineStr">
        <is>
          <t>Flodesschema dagvatten-lakvatten</t>
        </is>
      </c>
      <c r="AD1045" t="inlineStr">
        <is>
          <t>Nej</t>
        </is>
      </c>
      <c r="AE1045" t="inlineStr">
        <is>
          <t>Nej</t>
        </is>
      </c>
      <c r="AF1045" t="inlineStr">
        <is>
          <t>Ej behandlad</t>
        </is>
      </c>
      <c r="AG1045" t="inlineStr">
        <is>
          <t>AUTO_GENERERAD. Verifiera citat mot kallfil.</t>
        </is>
      </c>
      <c r="AH1045" t="inlineStr">
        <is>
          <t>MEDIUM</t>
        </is>
      </c>
      <c r="AI1045" t="inlineStr">
        <is>
          <t>AUTO</t>
        </is>
      </c>
      <c r="AJ1045" t="inlineStr">
        <is>
          <t>Nej</t>
        </is>
      </c>
      <c r="AK1045" t="inlineStr"/>
      <c r="AL1045" t="inlineStr"/>
      <c r="AM1045" t="inlineStr"/>
      <c r="AN1045" t="inlineStr"/>
      <c r="AO1045" t="inlineStr">
        <is>
          <t>cmm4yupsi02xhcuqwgbgcjc0r</t>
        </is>
      </c>
      <c r="AP1045" t="inlineStr">
        <is>
          <t>http://localhost:8787/api/admin/requirements/documents/cmm4yupsi02xhcuqwgbgcjc0r/view</t>
        </is>
      </c>
      <c r="AQ1045">
        <f>HYPERLÄNK("http://localhost:8787/api/admin/requirements/documents/cmm4yupsi02xhcuqwgbgcjc0r/view";"Öppna PDF")</f>
        <v/>
      </c>
      <c r="AR1045">
        <f>HYPERLINK("http://localhost:8787/api/admin/requirements/documents/cmm4yupsi02xhcuqwgbgcjc0r/view","Open PDF")</f>
        <v/>
      </c>
      <c r="AS1045" t="inlineStr">
        <is>
          <t>cmm55w57p0004cuisfrtpqly8</t>
        </is>
      </c>
      <c r="AT1045" t="inlineStr">
        <is>
          <t>cmm4xvu980000cuh4vj0usz09</t>
        </is>
      </c>
      <c r="AU1045" t="inlineStr"/>
      <c r="AV1045" t="inlineStr">
        <is>
          <t>Kommun</t>
        </is>
      </c>
      <c r="AW1045" t="inlineStr"/>
      <c r="AX1045" t="inlineStr">
        <is>
          <t>2024-576</t>
        </is>
      </c>
      <c r="AY1045" t="inlineStr">
        <is>
          <t>Beslut</t>
        </is>
      </c>
      <c r="AZ1045" t="inlineStr">
        <is>
          <t>2026-02-04</t>
        </is>
      </c>
      <c r="BA1045" t="inlineStr">
        <is>
          <t>Säkerhetsdatablad Nordic Shampoo.pdf</t>
        </is>
      </c>
      <c r="BB1045" t="inlineStr">
        <is>
          <t>2024-576</t>
        </is>
      </c>
      <c r="BC1045" t="inlineStr">
        <is>
          <t>AUTO</t>
        </is>
      </c>
      <c r="BD1045" t="inlineStr"/>
      <c r="BE1045" t="inlineStr"/>
      <c r="BF1045" t="inlineStr">
        <is>
          <t>AUTO_GENERERAD. Bekrafta metadata mot kallfil.</t>
        </is>
      </c>
      <c r="BG1045">
        <f>HYPERLINK("C:\Users\jimmy\Desktop\Examens arbete\Kod\Ny mapp\remix_-copy-of-miljöbeslut.se-portal\Säkerhetsdatablad Nordic Shampoo.pdf", "Öppna PDF")</f>
        <v/>
      </c>
    </row>
    <row r="1046">
      <c r="A1046" t="inlineStr">
        <is>
          <t>KRAV-AUTO-001045</t>
        </is>
      </c>
      <c r="B1046" t="inlineStr">
        <is>
          <t>ADMIN-INDEX-2026-02-27-00000000125C043F57453246863FE664CAFE6A3F0700950291EA24F0614FB6ACEDB12BF0E31D00000000010C0000950291EA24F0614FB6ACEDB12BF0E31D00002087AE560000</t>
        </is>
      </c>
      <c r="C1046" t="inlineStr">
        <is>
          <t>cmm4yuprx02wwcuqwzh8r15uu</t>
        </is>
      </c>
      <c r="D1046" t="inlineStr">
        <is>
          <t>http://localhost:8787/api/admin/requirements/documents/cmm4yuprx02wwcuqwzh8r15uu/view</t>
        </is>
      </c>
      <c r="E1046">
        <f>HYPERLÄNK("http://localhost:8787/api/admin/requirements/documents/cmm4yuprx02wwcuqwzh8r15uu/view";"Öppna PDF")</f>
        <v/>
      </c>
      <c r="F1046">
        <f>HYPERLINK("http://localhost:8787/api/admin/requirements/documents/cmm4yuprx02wwcuqwzh8r15uu/view","Open PDF")</f>
        <v/>
      </c>
      <c r="G1046" t="inlineStr">
        <is>
          <t>cmm55w57p0004cuisfrtpqly8</t>
        </is>
      </c>
      <c r="H1046" t="inlineStr">
        <is>
          <t>Beslutsvillkor</t>
        </is>
      </c>
      <c r="I1046" t="inlineStr">
        <is>
          <t>Ytkonstruktion</t>
        </is>
      </c>
      <c r="J1046" t="inlineStr">
        <is>
          <t>Tat yta</t>
        </is>
      </c>
      <c r="K1046" t="inlineStr">
        <is>
          <t>Kemikalier ska förvaras i sekundärt skydd eller i en invallning som är tät och beständig mot det aktuella ämnet, samt rymmer hela den största behållarens volym plus 10 procent av resterande behållares totala volym.</t>
        </is>
      </c>
      <c r="L1046" t="inlineStr">
        <is>
          <t>Kemikalier ska förvaras i sekundärt skydd eller i en invallning som är tät och beständig mot det aktuella ämnet, samt rymmer hela den största behållarens volym plus 10 procent av resterande behållares totala volym.</t>
        </is>
      </c>
      <c r="M1046" t="inlineStr">
        <is>
          <t>SKA</t>
        </is>
      </c>
      <c r="N1046" t="inlineStr"/>
      <c r="O1046" t="inlineStr"/>
      <c r="P1046" t="inlineStr"/>
      <c r="Q1046" t="inlineStr"/>
      <c r="R1046" t="inlineStr">
        <is>
          <t>Vid mellanlagring av avfall</t>
        </is>
      </c>
      <c r="S1046" t="inlineStr"/>
      <c r="T1046" t="inlineStr">
        <is>
          <t>96 2024</t>
        </is>
      </c>
      <c r="U1046" t="inlineStr"/>
      <c r="V1046" t="inlineStr"/>
      <c r="W1046" t="inlineStr">
        <is>
          <t>Ja</t>
        </is>
      </c>
      <c r="X1046" t="inlineStr">
        <is>
          <t>Nej</t>
        </is>
      </c>
      <c r="Y1046" t="inlineStr">
        <is>
          <t>Nej</t>
        </is>
      </c>
      <c r="Z1046" t="inlineStr">
        <is>
          <t>Nej</t>
        </is>
      </c>
      <c r="AA1046" t="n">
        <v>5</v>
      </c>
      <c r="AB1046" t="inlineStr">
        <is>
          <t>Teknisk beskrivning av platta</t>
        </is>
      </c>
      <c r="AC1046" t="inlineStr">
        <is>
          <t>Teknisk ritning platta</t>
        </is>
      </c>
      <c r="AD1046" t="inlineStr">
        <is>
          <t>Nej</t>
        </is>
      </c>
      <c r="AE1046" t="inlineStr">
        <is>
          <t>Nej</t>
        </is>
      </c>
      <c r="AF1046" t="inlineStr">
        <is>
          <t>Ej behandlad</t>
        </is>
      </c>
      <c r="AG1046" t="inlineStr">
        <is>
          <t>AUTO_GENERERAD. Verifiera citat mot kallfil.</t>
        </is>
      </c>
      <c r="AH1046" t="inlineStr">
        <is>
          <t>MEDIUM</t>
        </is>
      </c>
      <c r="AI1046" t="inlineStr">
        <is>
          <t>AUTO</t>
        </is>
      </c>
      <c r="AJ1046" t="inlineStr">
        <is>
          <t>Nej</t>
        </is>
      </c>
      <c r="AK1046" t="inlineStr"/>
      <c r="AL1046" t="inlineStr"/>
      <c r="AM1046" t="inlineStr"/>
      <c r="AN1046" t="inlineStr"/>
      <c r="AO1046" t="inlineStr">
        <is>
          <t>cmm4yupsi02xhcuqwgbgcjc0r</t>
        </is>
      </c>
      <c r="AP1046" t="inlineStr">
        <is>
          <t>http://localhost:8787/api/admin/requirements/documents/cmm4yupsi02xhcuqwgbgcjc0r/view</t>
        </is>
      </c>
      <c r="AQ1046">
        <f>HYPERLÄNK("http://localhost:8787/api/admin/requirements/documents/cmm4yupsi02xhcuqwgbgcjc0r/view";"Öppna PDF")</f>
        <v/>
      </c>
      <c r="AR1046">
        <f>HYPERLINK("http://localhost:8787/api/admin/requirements/documents/cmm4yupsi02xhcuqwgbgcjc0r/view","Open PDF")</f>
        <v/>
      </c>
      <c r="AS1046" t="inlineStr">
        <is>
          <t>cmm55w57p0004cuisfrtpqly8</t>
        </is>
      </c>
      <c r="AT1046" t="inlineStr">
        <is>
          <t>cmm4xvu980000cuh4vj0usz09</t>
        </is>
      </c>
      <c r="AU1046" t="inlineStr"/>
      <c r="AV1046" t="inlineStr">
        <is>
          <t>Kommun</t>
        </is>
      </c>
      <c r="AW1046" t="inlineStr"/>
      <c r="AX1046" t="inlineStr">
        <is>
          <t>2024-576</t>
        </is>
      </c>
      <c r="AY1046" t="inlineStr">
        <is>
          <t>Beslut</t>
        </is>
      </c>
      <c r="AZ1046" t="inlineStr">
        <is>
          <t>2026-02-04</t>
        </is>
      </c>
      <c r="BA1046" t="inlineStr">
        <is>
          <t>Säkerhetsdatablad Nordic Shampoo.pdf</t>
        </is>
      </c>
      <c r="BB1046" t="inlineStr">
        <is>
          <t>2024-576</t>
        </is>
      </c>
      <c r="BC1046" t="inlineStr">
        <is>
          <t>AUTO</t>
        </is>
      </c>
      <c r="BD1046" t="inlineStr"/>
      <c r="BE1046" t="inlineStr"/>
      <c r="BF1046" t="inlineStr">
        <is>
          <t>AUTO_GENERERAD. Bekrafta metadata mot kallfil.</t>
        </is>
      </c>
      <c r="BG1046">
        <f>HYPERLINK("C:\Users\jimmy\Desktop\Examens arbete\Kod\Ny mapp\remix_-copy-of-miljöbeslut.se-portal\Säkerhetsdatablad Nordic Shampoo.pdf", "Öppna PDF")</f>
        <v/>
      </c>
    </row>
    <row r="1047">
      <c r="A1047" t="inlineStr">
        <is>
          <t>KRAV-AUTO-001046</t>
        </is>
      </c>
      <c r="B1047" t="inlineStr">
        <is>
          <t>ADMIN-INDEX-2026-02-27-00000000125C043F57453246863FE664CAFE6A3F0700950291EA24F0614FB6ACEDB12BF0E31D00000000010C0000950291EA24F0614FB6ACEDB12BF0E31D00002087AE560000</t>
        </is>
      </c>
      <c r="C1047" t="inlineStr">
        <is>
          <t>cmm4yuprq02wqcuqwkp0u58pi</t>
        </is>
      </c>
      <c r="D1047" t="inlineStr">
        <is>
          <t>http://localhost:8787/api/admin/requirements/documents/cmm4yuprq02wqcuqwkp0u58pi/view</t>
        </is>
      </c>
      <c r="E1047">
        <f>HYPERLÄNK("http://localhost:8787/api/admin/requirements/documents/cmm4yuprq02wqcuqwkp0u58pi/view";"Öppna PDF")</f>
        <v/>
      </c>
      <c r="F1047">
        <f>HYPERLINK("http://localhost:8787/api/admin/requirements/documents/cmm4yuprq02wqcuqwkp0u58pi/view","Open PDF")</f>
        <v/>
      </c>
      <c r="G1047" t="inlineStr">
        <is>
          <t>cmm55w57p0004cuisfrtpqly8</t>
        </is>
      </c>
      <c r="H1047" t="inlineStr">
        <is>
          <t>Informationskrav</t>
        </is>
      </c>
      <c r="I1047" t="inlineStr">
        <is>
          <t>DagvattenLakvatten</t>
        </is>
      </c>
      <c r="J1047" t="inlineStr">
        <is>
          <t>Uppsamling</t>
        </is>
      </c>
      <c r="K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1047" t="inlineStr">
        <is>
          <t>SKA</t>
        </is>
      </c>
      <c r="N1047" t="inlineStr">
        <is>
          <t>FMH</t>
        </is>
      </c>
      <c r="O1047" t="inlineStr"/>
      <c r="P1047" t="inlineStr">
        <is>
          <t>Arlig</t>
        </is>
      </c>
      <c r="Q1047" t="inlineStr"/>
      <c r="R1047" t="inlineStr">
        <is>
          <t>Vid nederbord och avrinning</t>
        </is>
      </c>
      <c r="S1047" t="inlineStr"/>
      <c r="T1047" t="inlineStr"/>
      <c r="U1047" t="inlineStr"/>
      <c r="V1047" t="inlineStr"/>
      <c r="W1047" t="inlineStr">
        <is>
          <t>Nej</t>
        </is>
      </c>
      <c r="X1047" t="inlineStr">
        <is>
          <t>Ja</t>
        </is>
      </c>
      <c r="Y1047" t="inlineStr">
        <is>
          <t>Ja</t>
        </is>
      </c>
      <c r="Z1047" t="inlineStr">
        <is>
          <t>Nej</t>
        </is>
      </c>
      <c r="AA1047" t="n">
        <v>6</v>
      </c>
      <c r="AB1047" t="inlineStr">
        <is>
          <t>Lakvattenhantering</t>
        </is>
      </c>
      <c r="AC1047" t="inlineStr">
        <is>
          <t>Flodesschema dagvatten-lakvatten</t>
        </is>
      </c>
      <c r="AD1047" t="inlineStr">
        <is>
          <t>Nej</t>
        </is>
      </c>
      <c r="AE1047" t="inlineStr">
        <is>
          <t>Nej</t>
        </is>
      </c>
      <c r="AF1047" t="inlineStr">
        <is>
          <t>Ej behandlad</t>
        </is>
      </c>
      <c r="AG1047" t="inlineStr">
        <is>
          <t>AUTO_GENERERAD. Verifiera citat mot kallfil.</t>
        </is>
      </c>
      <c r="AH1047" t="inlineStr">
        <is>
          <t>HIGH</t>
        </is>
      </c>
      <c r="AI1047" t="inlineStr">
        <is>
          <t>AUTO</t>
        </is>
      </c>
      <c r="AJ1047" t="inlineStr">
        <is>
          <t>Nej</t>
        </is>
      </c>
      <c r="AK1047" t="inlineStr"/>
      <c r="AL1047" t="inlineStr"/>
      <c r="AM1047" t="inlineStr"/>
      <c r="AN1047" t="inlineStr"/>
      <c r="AO1047" t="inlineStr">
        <is>
          <t>cmm4yupsi02xhcuqwgbgcjc0r</t>
        </is>
      </c>
      <c r="AP1047" t="inlineStr">
        <is>
          <t>http://localhost:8787/api/admin/requirements/documents/cmm4yupsi02xhcuqwgbgcjc0r/view</t>
        </is>
      </c>
      <c r="AQ1047">
        <f>HYPERLÄNK("http://localhost:8787/api/admin/requirements/documents/cmm4yupsi02xhcuqwgbgcjc0r/view";"Öppna PDF")</f>
        <v/>
      </c>
      <c r="AR1047">
        <f>HYPERLINK("http://localhost:8787/api/admin/requirements/documents/cmm4yupsi02xhcuqwgbgcjc0r/view","Open PDF")</f>
        <v/>
      </c>
      <c r="AS1047" t="inlineStr">
        <is>
          <t>cmm55w57p0004cuisfrtpqly8</t>
        </is>
      </c>
      <c r="AT1047" t="inlineStr">
        <is>
          <t>cmm4xvu980000cuh4vj0usz09</t>
        </is>
      </c>
      <c r="AU1047" t="inlineStr"/>
      <c r="AV1047" t="inlineStr">
        <is>
          <t>Kommun</t>
        </is>
      </c>
      <c r="AW1047" t="inlineStr"/>
      <c r="AX1047" t="inlineStr">
        <is>
          <t>2024-576</t>
        </is>
      </c>
      <c r="AY1047" t="inlineStr">
        <is>
          <t>Beslut</t>
        </is>
      </c>
      <c r="AZ1047" t="inlineStr">
        <is>
          <t>2026-02-04</t>
        </is>
      </c>
      <c r="BA1047" t="inlineStr">
        <is>
          <t>Säkerhetsdatablad Nordic Shampoo.pdf</t>
        </is>
      </c>
      <c r="BB1047" t="inlineStr">
        <is>
          <t>2024-576</t>
        </is>
      </c>
      <c r="BC1047" t="inlineStr">
        <is>
          <t>AUTO</t>
        </is>
      </c>
      <c r="BD1047" t="inlineStr"/>
      <c r="BE1047" t="inlineStr"/>
      <c r="BF1047" t="inlineStr">
        <is>
          <t>AUTO_GENERERAD. Bekrafta metadata mot kallfil.</t>
        </is>
      </c>
      <c r="BG1047">
        <f>HYPERLINK("C:\Users\jimmy\Desktop\Examens arbete\Kod\Ny mapp\remix_-copy-of-miljöbeslut.se-portal\Säkerhetsdatablad Nordic Shampoo.pdf", "Öppna PDF")</f>
        <v/>
      </c>
    </row>
    <row r="1048">
      <c r="A1048" t="inlineStr">
        <is>
          <t>KRAV-AUTO-001047</t>
        </is>
      </c>
      <c r="B1048" t="inlineStr">
        <is>
          <t>ADMIN-INDEX-2026-02-27-00000000125C043F57453246863FE664CAFE6A3F0700950291EA24F0614FB6ACEDB12BF0E31D00000000010C0000950291EA24F0614FB6ACEDB12BF0E31D00002087AE560000</t>
        </is>
      </c>
      <c r="C1048" t="inlineStr">
        <is>
          <t>cmm4yuprq02wqcuqwkp0u58pi</t>
        </is>
      </c>
      <c r="D1048" t="inlineStr">
        <is>
          <t>http://localhost:8787/api/admin/requirements/documents/cmm4yuprq02wqcuqwkp0u58pi/view</t>
        </is>
      </c>
      <c r="E1048">
        <f>HYPERLÄNK("http://localhost:8787/api/admin/requirements/documents/cmm4yuprq02wqcuqwkp0u58pi/view";"Öppna PDF")</f>
        <v/>
      </c>
      <c r="F1048">
        <f>HYPERLINK("http://localhost:8787/api/admin/requirements/documents/cmm4yuprq02wqcuqwkp0u58pi/view","Open PDF")</f>
        <v/>
      </c>
      <c r="G1048" t="inlineStr">
        <is>
          <t>cmm55w57p0004cuisfrtpqly8</t>
        </is>
      </c>
      <c r="H1048" t="inlineStr">
        <is>
          <t>Informationskrav</t>
        </is>
      </c>
      <c r="I1048" t="inlineStr">
        <is>
          <t>DagvattenLakvatten</t>
        </is>
      </c>
      <c r="J1048" t="inlineStr">
        <is>
          <t>Uppsamling</t>
        </is>
      </c>
      <c r="K1048" t="inlineStr">
        <is>
          <t>☐ Ja ☐ Nej Från vilka processer förekommer spillvatten (ej WC, kök m.m.) Ange flöden, utsläppspunkter och uppskattade vattenföroreningsmängder (kan bifogas som bilaga.</t>
        </is>
      </c>
      <c r="L1048" t="inlineStr">
        <is>
          <t>☐ Ja ☐ Nej Från vilka processer förekommer spillvatten (ej WC, kök m.m.) Ange flöden, utsläppspunkter och uppskattade vattenföroreningsmängder (kan bifogas som bilaga.</t>
        </is>
      </c>
      <c r="M1048" t="inlineStr">
        <is>
          <t>SKA</t>
        </is>
      </c>
      <c r="N1048" t="inlineStr"/>
      <c r="O1048" t="inlineStr"/>
      <c r="P1048" t="inlineStr"/>
      <c r="Q1048" t="inlineStr"/>
      <c r="R1048" t="inlineStr">
        <is>
          <t>Vid nederbord och avrinning</t>
        </is>
      </c>
      <c r="S1048" t="inlineStr"/>
      <c r="T1048" t="inlineStr"/>
      <c r="U1048" t="inlineStr"/>
      <c r="V1048" t="inlineStr"/>
      <c r="W1048" t="inlineStr">
        <is>
          <t>Nej</t>
        </is>
      </c>
      <c r="X1048" t="inlineStr">
        <is>
          <t>Ja</t>
        </is>
      </c>
      <c r="Y1048" t="inlineStr">
        <is>
          <t>Ja</t>
        </is>
      </c>
      <c r="Z1048" t="inlineStr">
        <is>
          <t>Nej</t>
        </is>
      </c>
      <c r="AA1048" t="n">
        <v>6</v>
      </c>
      <c r="AB1048" t="inlineStr">
        <is>
          <t>Lakvattenhantering</t>
        </is>
      </c>
      <c r="AC1048" t="inlineStr">
        <is>
          <t>Flodesschema dagvatten-lakvatten</t>
        </is>
      </c>
      <c r="AD1048" t="inlineStr">
        <is>
          <t>Nej</t>
        </is>
      </c>
      <c r="AE1048" t="inlineStr">
        <is>
          <t>Nej</t>
        </is>
      </c>
      <c r="AF1048" t="inlineStr">
        <is>
          <t>Ej behandlad</t>
        </is>
      </c>
      <c r="AG1048" t="inlineStr">
        <is>
          <t>AUTO_GENERERAD. Verifiera citat mot kallfil.</t>
        </is>
      </c>
      <c r="AH1048" t="inlineStr">
        <is>
          <t>MEDIUM</t>
        </is>
      </c>
      <c r="AI1048" t="inlineStr">
        <is>
          <t>AUTO</t>
        </is>
      </c>
      <c r="AJ1048" t="inlineStr">
        <is>
          <t>Nej</t>
        </is>
      </c>
      <c r="AK1048" t="inlineStr"/>
      <c r="AL1048" t="inlineStr"/>
      <c r="AM1048" t="inlineStr"/>
      <c r="AN1048" t="inlineStr"/>
      <c r="AO1048" t="inlineStr">
        <is>
          <t>cmm4yupsi02xhcuqwgbgcjc0r</t>
        </is>
      </c>
      <c r="AP1048" t="inlineStr">
        <is>
          <t>http://localhost:8787/api/admin/requirements/documents/cmm4yupsi02xhcuqwgbgcjc0r/view</t>
        </is>
      </c>
      <c r="AQ1048">
        <f>HYPERLÄNK("http://localhost:8787/api/admin/requirements/documents/cmm4yupsi02xhcuqwgbgcjc0r/view";"Öppna PDF")</f>
        <v/>
      </c>
      <c r="AR1048">
        <f>HYPERLINK("http://localhost:8787/api/admin/requirements/documents/cmm4yupsi02xhcuqwgbgcjc0r/view","Open PDF")</f>
        <v/>
      </c>
      <c r="AS1048" t="inlineStr">
        <is>
          <t>cmm55w57p0004cuisfrtpqly8</t>
        </is>
      </c>
      <c r="AT1048" t="inlineStr">
        <is>
          <t>cmm4xvu980000cuh4vj0usz09</t>
        </is>
      </c>
      <c r="AU1048" t="inlineStr"/>
      <c r="AV1048" t="inlineStr">
        <is>
          <t>Kommun</t>
        </is>
      </c>
      <c r="AW1048" t="inlineStr"/>
      <c r="AX1048" t="inlineStr">
        <is>
          <t>2024-576</t>
        </is>
      </c>
      <c r="AY1048" t="inlineStr">
        <is>
          <t>Beslut</t>
        </is>
      </c>
      <c r="AZ1048" t="inlineStr">
        <is>
          <t>2026-02-04</t>
        </is>
      </c>
      <c r="BA1048" t="inlineStr">
        <is>
          <t>Säkerhetsdatablad Nordic Shampoo.pdf</t>
        </is>
      </c>
      <c r="BB1048" t="inlineStr">
        <is>
          <t>2024-576</t>
        </is>
      </c>
      <c r="BC1048" t="inlineStr">
        <is>
          <t>AUTO</t>
        </is>
      </c>
      <c r="BD1048" t="inlineStr"/>
      <c r="BE1048" t="inlineStr"/>
      <c r="BF1048" t="inlineStr">
        <is>
          <t>AUTO_GENERERAD. Bekrafta metadata mot kallfil.</t>
        </is>
      </c>
      <c r="BG1048">
        <f>HYPERLINK("C:\Users\jimmy\Desktop\Examens arbete\Kod\Ny mapp\remix_-copy-of-miljöbeslut.se-portal\Säkerhetsdatablad Nordic Shampoo.pdf", "Öppna PDF")</f>
        <v/>
      </c>
    </row>
    <row r="1049">
      <c r="A1049" t="inlineStr">
        <is>
          <t>KRAV-AUTO-001048</t>
        </is>
      </c>
      <c r="B1049" t="inlineStr">
        <is>
          <t>ADMIN-INDEX-2026-02-27-00000000125C043F57453246863FE664CAFE6A3F0700950291EA24F0614FB6ACEDB12BF0E31D00000000010C0000950291EA24F0614FB6ACEDB12BF0E31D00002087AE560000</t>
        </is>
      </c>
      <c r="C1049" t="inlineStr">
        <is>
          <t>cmm4yuprq02wqcuqwkp0u58pi</t>
        </is>
      </c>
      <c r="D1049" t="inlineStr">
        <is>
          <t>http://localhost:8787/api/admin/requirements/documents/cmm4yuprq02wqcuqwkp0u58pi/view</t>
        </is>
      </c>
      <c r="E1049">
        <f>HYPERLÄNK("http://localhost:8787/api/admin/requirements/documents/cmm4yuprq02wqcuqwkp0u58pi/view";"Öppna PDF")</f>
        <v/>
      </c>
      <c r="F1049">
        <f>HYPERLINK("http://localhost:8787/api/admin/requirements/documents/cmm4yuprq02wqcuqwkp0u58pi/view","Open PDF")</f>
        <v/>
      </c>
      <c r="G1049" t="inlineStr">
        <is>
          <t>cmm55w57p0004cuisfrtpqly8</t>
        </is>
      </c>
      <c r="H1049" t="inlineStr">
        <is>
          <t>Informationskrav</t>
        </is>
      </c>
      <c r="I1049" t="inlineStr">
        <is>
          <t>DagvattenLakvatten</t>
        </is>
      </c>
      <c r="J1049" t="inlineStr">
        <is>
          <t>Uppsamling</t>
        </is>
      </c>
      <c r="K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1049" t="inlineStr">
        <is>
          <t>SKA</t>
        </is>
      </c>
      <c r="N1049" t="inlineStr">
        <is>
          <t>FMH</t>
        </is>
      </c>
      <c r="O1049" t="inlineStr"/>
      <c r="P1049" t="inlineStr">
        <is>
          <t>Arlig</t>
        </is>
      </c>
      <c r="Q1049" t="inlineStr"/>
      <c r="R1049" t="inlineStr">
        <is>
          <t>Vid nederbord och avrinning</t>
        </is>
      </c>
      <c r="S1049" t="inlineStr"/>
      <c r="T1049" t="inlineStr"/>
      <c r="U1049" t="inlineStr"/>
      <c r="V1049" t="inlineStr"/>
      <c r="W1049" t="inlineStr">
        <is>
          <t>Nej</t>
        </is>
      </c>
      <c r="X1049" t="inlineStr">
        <is>
          <t>Ja</t>
        </is>
      </c>
      <c r="Y1049" t="inlineStr">
        <is>
          <t>Ja</t>
        </is>
      </c>
      <c r="Z1049" t="inlineStr">
        <is>
          <t>Nej</t>
        </is>
      </c>
      <c r="AA1049" t="n">
        <v>6</v>
      </c>
      <c r="AB1049" t="inlineStr">
        <is>
          <t>Lakvattenhantering</t>
        </is>
      </c>
      <c r="AC1049" t="inlineStr">
        <is>
          <t>Flodesschema dagvatten-lakvatten</t>
        </is>
      </c>
      <c r="AD1049" t="inlineStr">
        <is>
          <t>Nej</t>
        </is>
      </c>
      <c r="AE1049" t="inlineStr">
        <is>
          <t>Nej</t>
        </is>
      </c>
      <c r="AF1049" t="inlineStr">
        <is>
          <t>Ej behandlad</t>
        </is>
      </c>
      <c r="AG1049" t="inlineStr">
        <is>
          <t>AUTO_GENERERAD. Verifiera citat mot kallfil.</t>
        </is>
      </c>
      <c r="AH1049" t="inlineStr">
        <is>
          <t>HIGH</t>
        </is>
      </c>
      <c r="AI1049" t="inlineStr">
        <is>
          <t>AUTO</t>
        </is>
      </c>
      <c r="AJ1049" t="inlineStr">
        <is>
          <t>Nej</t>
        </is>
      </c>
      <c r="AK1049" t="inlineStr"/>
      <c r="AL1049" t="inlineStr"/>
      <c r="AM1049" t="inlineStr"/>
      <c r="AN1049" t="inlineStr"/>
      <c r="AO1049" t="inlineStr">
        <is>
          <t>cmm4yupsi02xhcuqwgbgcjc0r</t>
        </is>
      </c>
      <c r="AP1049" t="inlineStr">
        <is>
          <t>http://localhost:8787/api/admin/requirements/documents/cmm4yupsi02xhcuqwgbgcjc0r/view</t>
        </is>
      </c>
      <c r="AQ1049">
        <f>HYPERLÄNK("http://localhost:8787/api/admin/requirements/documents/cmm4yupsi02xhcuqwgbgcjc0r/view";"Öppna PDF")</f>
        <v/>
      </c>
      <c r="AR1049">
        <f>HYPERLINK("http://localhost:8787/api/admin/requirements/documents/cmm4yupsi02xhcuqwgbgcjc0r/view","Open PDF")</f>
        <v/>
      </c>
      <c r="AS1049" t="inlineStr">
        <is>
          <t>cmm55w57p0004cuisfrtpqly8</t>
        </is>
      </c>
      <c r="AT1049" t="inlineStr">
        <is>
          <t>cmm4xvu980000cuh4vj0usz09</t>
        </is>
      </c>
      <c r="AU1049" t="inlineStr"/>
      <c r="AV1049" t="inlineStr">
        <is>
          <t>Kommun</t>
        </is>
      </c>
      <c r="AW1049" t="inlineStr"/>
      <c r="AX1049" t="inlineStr">
        <is>
          <t>2024-576</t>
        </is>
      </c>
      <c r="AY1049" t="inlineStr">
        <is>
          <t>Beslut</t>
        </is>
      </c>
      <c r="AZ1049" t="inlineStr">
        <is>
          <t>2026-02-04</t>
        </is>
      </c>
      <c r="BA1049" t="inlineStr">
        <is>
          <t>Säkerhetsdatablad Nordic Shampoo.pdf</t>
        </is>
      </c>
      <c r="BB1049" t="inlineStr">
        <is>
          <t>2024-576</t>
        </is>
      </c>
      <c r="BC1049" t="inlineStr">
        <is>
          <t>AUTO</t>
        </is>
      </c>
      <c r="BD1049" t="inlineStr"/>
      <c r="BE1049" t="inlineStr"/>
      <c r="BF1049" t="inlineStr">
        <is>
          <t>AUTO_GENERERAD. Bekrafta metadata mot kallfil.</t>
        </is>
      </c>
      <c r="BG1049">
        <f>HYPERLINK("C:\Users\jimmy\Desktop\Examens arbete\Kod\Ny mapp\remix_-copy-of-miljöbeslut.se-portal\Säkerhetsdatablad Nordic Shampoo.pdf", "Öppna PDF")</f>
        <v/>
      </c>
    </row>
    <row r="1050">
      <c r="A1050" t="inlineStr">
        <is>
          <t>KRAV-AUTO-001049</t>
        </is>
      </c>
      <c r="B1050" t="inlineStr">
        <is>
          <t>ADMIN-INDEX-2026-02-27-00000000125C043F57453246863FE664CAFE6A3F0700950291EA24F0614FB6ACEDB12BF0E31D00000000010C0000950291EA24F0614FB6ACEDB12BF0E31D00002087AE590000</t>
        </is>
      </c>
      <c r="C1050" t="inlineStr">
        <is>
          <t>cmm4yuprn02wncuqwbj4uawum</t>
        </is>
      </c>
      <c r="D1050" t="inlineStr">
        <is>
          <t>http://localhost:8787/api/admin/requirements/documents/cmm4yuprn02wncuqwbj4uawum/view</t>
        </is>
      </c>
      <c r="E1050">
        <f>HYPERLÄNK("http://localhost:8787/api/admin/requirements/documents/cmm4yuprn02wncuqwbj4uawum/view";"Öppna PDF")</f>
        <v/>
      </c>
      <c r="F1050">
        <f>HYPERLINK("http://localhost:8787/api/admin/requirements/documents/cmm4yuprn02wncuqwbj4uawum/view","Open PDF")</f>
        <v/>
      </c>
      <c r="G1050" t="inlineStr">
        <is>
          <t>cmm55w57p0004cuisfrtpqly8</t>
        </is>
      </c>
      <c r="H1050" t="inlineStr">
        <is>
          <t>Beslutsvillkor</t>
        </is>
      </c>
      <c r="I1050" t="inlineStr">
        <is>
          <t>DriftEgenkontroll</t>
        </is>
      </c>
      <c r="J1050" t="inlineStr">
        <is>
          <t>Journalforing</t>
        </is>
      </c>
      <c r="K1050" t="inlineStr">
        <is>
          <t>Skulle misstanke uppstå att någon förorenad jord kommit med kommer provtagning att ske av den jord som skall säljas.</t>
        </is>
      </c>
      <c r="L1050" t="inlineStr">
        <is>
          <t>Skulle misstanke uppstå att någon förorenad jord kommit med kommer provtagning att ske av den jord som skall säljas.</t>
        </is>
      </c>
      <c r="M1050" t="inlineStr">
        <is>
          <t>SKA</t>
        </is>
      </c>
      <c r="N1050" t="inlineStr"/>
      <c r="O1050" t="inlineStr"/>
      <c r="P1050" t="inlineStr"/>
      <c r="Q1050" t="inlineStr"/>
      <c r="R1050" t="inlineStr">
        <is>
          <t>Lopande drift</t>
        </is>
      </c>
      <c r="S1050" t="inlineStr"/>
      <c r="T1050" t="inlineStr"/>
      <c r="U1050" t="inlineStr"/>
      <c r="V1050" t="inlineStr"/>
      <c r="W1050" t="inlineStr">
        <is>
          <t>Nej</t>
        </is>
      </c>
      <c r="X1050" t="inlineStr">
        <is>
          <t>Nej</t>
        </is>
      </c>
      <c r="Y1050" t="inlineStr">
        <is>
          <t>Ja</t>
        </is>
      </c>
      <c r="Z1050" t="inlineStr">
        <is>
          <t>Nej</t>
        </is>
      </c>
      <c r="AA1050" t="n">
        <v>7</v>
      </c>
      <c r="AB1050" t="inlineStr">
        <is>
          <t>Egenkontrollrutiner</t>
        </is>
      </c>
      <c r="AC1050" t="inlineStr">
        <is>
          <t>Egenkontrollprogram</t>
        </is>
      </c>
      <c r="AD1050" t="inlineStr">
        <is>
          <t>Nej</t>
        </is>
      </c>
      <c r="AE1050" t="inlineStr">
        <is>
          <t>Nej</t>
        </is>
      </c>
      <c r="AF1050" t="inlineStr">
        <is>
          <t>Ej behandlad</t>
        </is>
      </c>
      <c r="AG1050" t="inlineStr">
        <is>
          <t>AUTO_GENERERAD. Verifiera citat mot kallfil.</t>
        </is>
      </c>
      <c r="AH1050" t="inlineStr">
        <is>
          <t>MEDIUM</t>
        </is>
      </c>
      <c r="AI1050" t="inlineStr">
        <is>
          <t>AUTO</t>
        </is>
      </c>
      <c r="AJ1050" t="inlineStr">
        <is>
          <t>Nej</t>
        </is>
      </c>
      <c r="AK1050" t="inlineStr"/>
      <c r="AL1050" t="inlineStr"/>
      <c r="AM1050" t="inlineStr"/>
      <c r="AN1050" t="inlineStr"/>
      <c r="AO1050" t="inlineStr">
        <is>
          <t>cmm4yuprg02whcuqwxnhw7fpc</t>
        </is>
      </c>
      <c r="AP1050" t="inlineStr">
        <is>
          <t>http://localhost:8787/api/admin/requirements/documents/cmm4yuprg02whcuqwxnhw7fpc/view</t>
        </is>
      </c>
      <c r="AQ1050">
        <f>HYPERLÄNK("http://localhost:8787/api/admin/requirements/documents/cmm4yuprg02whcuqwxnhw7fpc/view";"Öppna PDF")</f>
        <v/>
      </c>
      <c r="AR1050">
        <f>HYPERLINK("http://localhost:8787/api/admin/requirements/documents/cmm4yuprg02whcuqwxnhw7fpc/view","Open PDF")</f>
        <v/>
      </c>
      <c r="AS1050" t="inlineStr">
        <is>
          <t>cmm55w57p0004cuisfrtpqly8</t>
        </is>
      </c>
      <c r="AT1050" t="inlineStr">
        <is>
          <t>cmm4xvu980000cuh4vj0usz09</t>
        </is>
      </c>
      <c r="AU1050" t="inlineStr"/>
      <c r="AV1050" t="inlineStr">
        <is>
          <t>Kommun</t>
        </is>
      </c>
      <c r="AW1050" t="inlineStr"/>
      <c r="AX1050" t="inlineStr">
        <is>
          <t>2024-1293</t>
        </is>
      </c>
      <c r="AY1050" t="inlineStr">
        <is>
          <t>Anmalan</t>
        </is>
      </c>
      <c r="AZ1050" t="inlineStr">
        <is>
          <t>2026-02-04</t>
        </is>
      </c>
      <c r="BA1050" t="inlineStr">
        <is>
          <t>Anmälan miljöfarlig verksamhet.pdf</t>
        </is>
      </c>
      <c r="BB1050" t="inlineStr">
        <is>
          <t>Ärende 2024-1293 - Begäran om utdrag av allmän handling</t>
        </is>
      </c>
      <c r="BC1050" t="inlineStr">
        <is>
          <t>AUTO</t>
        </is>
      </c>
      <c r="BD1050" t="inlineStr"/>
      <c r="BE1050" t="inlineStr"/>
      <c r="BF1050" t="inlineStr">
        <is>
          <t>AUTO_GENERERAD. Bekrafta metadata mot kallfil.</t>
        </is>
      </c>
      <c r="BG1050">
        <f>HYPERLINK("C:\Users\jimmy\Desktop\Examens arbete\Kod\Ny mapp\remix_-copy-of-miljöbeslut.se-portal\Anmälan miljöfarlig verksamhet.pdf", "Öppna PDF")</f>
        <v/>
      </c>
    </row>
    <row r="1051">
      <c r="A1051" t="inlineStr">
        <is>
          <t>KRAV-AUTO-001050</t>
        </is>
      </c>
      <c r="B1051" t="inlineStr">
        <is>
          <t>ADMIN-INDEX-2026-02-27-00000000125C043F57453246863FE664CAFE6A3F0700950291EA24F0614FB6ACEDB12BF0E31D00000000010C0000950291EA24F0614FB6ACEDB12BF0E31D00002087AE590000</t>
        </is>
      </c>
      <c r="C1051" t="inlineStr">
        <is>
          <t>cmm4yuprj02wkcuqw0mqtypue</t>
        </is>
      </c>
      <c r="D1051" t="inlineStr">
        <is>
          <t>http://localhost:8787/api/admin/requirements/documents/cmm4yuprj02wkcuqw0mqtypue/view</t>
        </is>
      </c>
      <c r="E1051">
        <f>HYPERLÄNK("http://localhost:8787/api/admin/requirements/documents/cmm4yuprj02wkcuqw0mqtypue/view";"Öppna PDF")</f>
        <v/>
      </c>
      <c r="F1051">
        <f>HYPERLINK("http://localhost:8787/api/admin/requirements/documents/cmm4yuprj02wkcuqw0mqtypue/view","Open PDF")</f>
        <v/>
      </c>
      <c r="G1051" t="inlineStr">
        <is>
          <t>cmm55w57p0004cuisfrtpqly8</t>
        </is>
      </c>
      <c r="H1051" t="inlineStr">
        <is>
          <t>Beslutsvillkor</t>
        </is>
      </c>
      <c r="I1051" t="inlineStr">
        <is>
          <t>LagringsvolymTid</t>
        </is>
      </c>
      <c r="J1051" t="inlineStr">
        <is>
          <t>Maxmangd</t>
        </is>
      </c>
      <c r="K1051" t="inlineStr">
        <is>
          <t>I normalfallet ska 1 samlingsprov tas per 200 ton massor.</t>
        </is>
      </c>
      <c r="L1051" t="inlineStr">
        <is>
          <t>I normalfallet ska 1 samlingsprov tas per 200 ton massor.</t>
        </is>
      </c>
      <c r="M1051" t="inlineStr">
        <is>
          <t>SKA</t>
        </is>
      </c>
      <c r="N1051" t="inlineStr"/>
      <c r="O1051" t="inlineStr"/>
      <c r="P1051" t="inlineStr"/>
      <c r="Q1051" t="inlineStr"/>
      <c r="R1051" t="inlineStr">
        <is>
          <t>Alltid</t>
        </is>
      </c>
      <c r="S1051" t="inlineStr"/>
      <c r="T1051" t="inlineStr"/>
      <c r="U1051" t="n">
        <v>200</v>
      </c>
      <c r="V1051" t="inlineStr"/>
      <c r="W1051" t="inlineStr">
        <is>
          <t>Nej</t>
        </is>
      </c>
      <c r="X1051" t="inlineStr">
        <is>
          <t>Nej</t>
        </is>
      </c>
      <c r="Y1051" t="inlineStr">
        <is>
          <t>Nej</t>
        </is>
      </c>
      <c r="Z1051" t="inlineStr">
        <is>
          <t>Nej</t>
        </is>
      </c>
      <c r="AA1051" t="n">
        <v>4</v>
      </c>
      <c r="AB1051" t="inlineStr">
        <is>
          <t>Avfallsmangder och lagringstid</t>
        </is>
      </c>
      <c r="AC1051" t="inlineStr">
        <is>
          <t>Avfallsforteckning</t>
        </is>
      </c>
      <c r="AD1051" t="inlineStr">
        <is>
          <t>Nej</t>
        </is>
      </c>
      <c r="AE1051" t="inlineStr">
        <is>
          <t>Nej</t>
        </is>
      </c>
      <c r="AF1051" t="inlineStr">
        <is>
          <t>Ej behandlad</t>
        </is>
      </c>
      <c r="AG1051" t="inlineStr">
        <is>
          <t>AUTO_GENERERAD. Verifiera citat mot kallfil.</t>
        </is>
      </c>
      <c r="AH1051" t="inlineStr">
        <is>
          <t>MEDIUM</t>
        </is>
      </c>
      <c r="AI1051" t="inlineStr">
        <is>
          <t>AUTO</t>
        </is>
      </c>
      <c r="AJ1051" t="inlineStr">
        <is>
          <t>Nej</t>
        </is>
      </c>
      <c r="AK1051" t="inlineStr"/>
      <c r="AL1051" t="inlineStr"/>
      <c r="AM1051" t="inlineStr"/>
      <c r="AN1051" t="inlineStr"/>
      <c r="AO1051" t="inlineStr">
        <is>
          <t>cmm4yuprg02whcuqwxnhw7fpc</t>
        </is>
      </c>
      <c r="AP1051" t="inlineStr">
        <is>
          <t>http://localhost:8787/api/admin/requirements/documents/cmm4yuprg02whcuqwxnhw7fpc/view</t>
        </is>
      </c>
      <c r="AQ1051">
        <f>HYPERLÄNK("http://localhost:8787/api/admin/requirements/documents/cmm4yuprg02whcuqwxnhw7fpc/view";"Öppna PDF")</f>
        <v/>
      </c>
      <c r="AR1051">
        <f>HYPERLINK("http://localhost:8787/api/admin/requirements/documents/cmm4yuprg02whcuqwxnhw7fpc/view","Open PDF")</f>
        <v/>
      </c>
      <c r="AS1051" t="inlineStr">
        <is>
          <t>cmm55w57p0004cuisfrtpqly8</t>
        </is>
      </c>
      <c r="AT1051" t="inlineStr">
        <is>
          <t>cmm4xvu980000cuh4vj0usz09</t>
        </is>
      </c>
      <c r="AU1051" t="inlineStr"/>
      <c r="AV1051" t="inlineStr">
        <is>
          <t>Kommun</t>
        </is>
      </c>
      <c r="AW1051" t="inlineStr"/>
      <c r="AX1051" t="inlineStr">
        <is>
          <t>2024-1293</t>
        </is>
      </c>
      <c r="AY1051" t="inlineStr">
        <is>
          <t>Anmalan</t>
        </is>
      </c>
      <c r="AZ1051" t="inlineStr">
        <is>
          <t>2026-02-04</t>
        </is>
      </c>
      <c r="BA1051" t="inlineStr">
        <is>
          <t>Anmälan miljöfarlig verksamhet.pdf</t>
        </is>
      </c>
      <c r="BB1051" t="inlineStr">
        <is>
          <t>Ärende 2024-1293 - Begäran om utdrag av allmän handling</t>
        </is>
      </c>
      <c r="BC1051" t="inlineStr">
        <is>
          <t>AUTO</t>
        </is>
      </c>
      <c r="BD1051" t="inlineStr"/>
      <c r="BE1051" t="inlineStr"/>
      <c r="BF1051" t="inlineStr">
        <is>
          <t>AUTO_GENERERAD. Bekrafta metadata mot kallfil.</t>
        </is>
      </c>
      <c r="BG1051">
        <f>HYPERLINK("C:\Users\jimmy\Desktop\Examens arbete\Kod\Ny mapp\remix_-copy-of-miljöbeslut.se-portal\Anmälan miljöfarlig verksamhet.pdf", "Öppna PDF")</f>
        <v/>
      </c>
    </row>
    <row r="1052">
      <c r="A1052" t="inlineStr">
        <is>
          <t>KRAV-AUTO-001051</t>
        </is>
      </c>
      <c r="B1052" t="inlineStr">
        <is>
          <t>ADMIN-INDEX-2026-02-27-00000000125C043F57453246863FE664CAFE6A3F0700950291EA24F0614FB6ACEDB12BF0E31D00000000010C0000950291EA24F0614FB6ACEDB12BF0E31D00002087AE5A0000</t>
        </is>
      </c>
      <c r="C1052" t="inlineStr">
        <is>
          <t>cmm4yupre02wecuqw90cyqwpp</t>
        </is>
      </c>
      <c r="D1052" t="inlineStr">
        <is>
          <t>http://localhost:8787/api/admin/requirements/documents/cmm4yupre02wecuqw90cyqwpp/view</t>
        </is>
      </c>
      <c r="E1052">
        <f>HYPERLÄNK("http://localhost:8787/api/admin/requirements/documents/cmm4yupre02wecuqw90cyqwpp/view";"Öppna PDF")</f>
        <v/>
      </c>
      <c r="F1052">
        <f>HYPERLINK("http://localhost:8787/api/admin/requirements/documents/cmm4yupre02wecuqw90cyqwpp/view","Open PDF")</f>
        <v/>
      </c>
      <c r="G1052" t="inlineStr">
        <is>
          <t>cmm55w57p0004cuisfrtpqly8</t>
        </is>
      </c>
      <c r="H1052" t="inlineStr">
        <is>
          <t>Beslutsvillkor</t>
        </is>
      </c>
      <c r="I1052" t="inlineStr">
        <is>
          <t>DriftEgenkontroll</t>
        </is>
      </c>
      <c r="J1052" t="inlineStr">
        <is>
          <t>Journalforing</t>
        </is>
      </c>
      <c r="K1052" t="inlineStr">
        <is>
          <t>Skulle misstanke uppstå att någon förorenad jord kommit med kommer provtagning att ske av den jord som skall säljas.</t>
        </is>
      </c>
      <c r="L1052" t="inlineStr">
        <is>
          <t>Skulle misstanke uppstå att någon förorenad jord kommit med kommer provtagning att ske av den jord som skall säljas.</t>
        </is>
      </c>
      <c r="M1052" t="inlineStr">
        <is>
          <t>SKA</t>
        </is>
      </c>
      <c r="N1052" t="inlineStr"/>
      <c r="O1052" t="inlineStr"/>
      <c r="P1052" t="inlineStr"/>
      <c r="Q1052" t="inlineStr"/>
      <c r="R1052" t="inlineStr">
        <is>
          <t>Lopande drift</t>
        </is>
      </c>
      <c r="S1052" t="inlineStr"/>
      <c r="T1052" t="inlineStr"/>
      <c r="U1052" t="inlineStr"/>
      <c r="V1052" t="inlineStr"/>
      <c r="W1052" t="inlineStr">
        <is>
          <t>Nej</t>
        </is>
      </c>
      <c r="X1052" t="inlineStr">
        <is>
          <t>Nej</t>
        </is>
      </c>
      <c r="Y1052" t="inlineStr">
        <is>
          <t>Ja</t>
        </is>
      </c>
      <c r="Z1052" t="inlineStr">
        <is>
          <t>Nej</t>
        </is>
      </c>
      <c r="AA1052" t="n">
        <v>7</v>
      </c>
      <c r="AB1052" t="inlineStr">
        <is>
          <t>Egenkontrollrutiner</t>
        </is>
      </c>
      <c r="AC1052" t="inlineStr">
        <is>
          <t>Egenkontrollprogram</t>
        </is>
      </c>
      <c r="AD1052" t="inlineStr">
        <is>
          <t>Nej</t>
        </is>
      </c>
      <c r="AE1052" t="inlineStr">
        <is>
          <t>Nej</t>
        </is>
      </c>
      <c r="AF1052" t="inlineStr">
        <is>
          <t>Ej behandlad</t>
        </is>
      </c>
      <c r="AG1052" t="inlineStr">
        <is>
          <t>AUTO_GENERERAD. Verifiera citat mot kallfil.</t>
        </is>
      </c>
      <c r="AH1052" t="inlineStr">
        <is>
          <t>MEDIUM</t>
        </is>
      </c>
      <c r="AI1052" t="inlineStr">
        <is>
          <t>AUTO</t>
        </is>
      </c>
      <c r="AJ1052" t="inlineStr">
        <is>
          <t>Nej</t>
        </is>
      </c>
      <c r="AK1052" t="inlineStr"/>
      <c r="AL1052" t="inlineStr"/>
      <c r="AM1052" t="inlineStr"/>
      <c r="AN1052" t="inlineStr"/>
      <c r="AO1052" t="inlineStr">
        <is>
          <t>cmm4yupre02wecuqw90cyqwpp</t>
        </is>
      </c>
      <c r="AP1052" t="inlineStr">
        <is>
          <t>http://localhost:8787/api/admin/requirements/documents/cmm4yupre02wecuqw90cyqwpp/view</t>
        </is>
      </c>
      <c r="AQ1052">
        <f>HYPERLÄNK("http://localhost:8787/api/admin/requirements/documents/cmm4yupre02wecuqw90cyqwpp/view";"Öppna PDF")</f>
        <v/>
      </c>
      <c r="AR1052">
        <f>HYPERLINK("http://localhost:8787/api/admin/requirements/documents/cmm4yupre02wecuqw90cyqwpp/view","Open PDF")</f>
        <v/>
      </c>
      <c r="AS1052" t="inlineStr">
        <is>
          <t>cmm55w57p0004cuisfrtpqly8</t>
        </is>
      </c>
      <c r="AT1052" t="inlineStr">
        <is>
          <t>cmm4xvu980000cuh4vj0usz09</t>
        </is>
      </c>
      <c r="AU1052" t="inlineStr"/>
      <c r="AV1052" t="inlineStr">
        <is>
          <t>Kommun</t>
        </is>
      </c>
      <c r="AW1052" t="inlineStr"/>
      <c r="AX1052" t="inlineStr">
        <is>
          <t>2024-1293</t>
        </is>
      </c>
      <c r="AY1052" t="inlineStr">
        <is>
          <t>Beslut</t>
        </is>
      </c>
      <c r="AZ1052" t="inlineStr">
        <is>
          <t>2026-02-04</t>
        </is>
      </c>
      <c r="BA1052" t="inlineStr">
        <is>
          <t>Egenkontrollprogram.pdf</t>
        </is>
      </c>
      <c r="BB1052" t="inlineStr">
        <is>
          <t>Ärende 2024-1293 - Begäran om utdrag av allmän handling</t>
        </is>
      </c>
      <c r="BC1052" t="inlineStr">
        <is>
          <t>AUTO</t>
        </is>
      </c>
      <c r="BD1052" t="inlineStr"/>
      <c r="BE1052" t="inlineStr"/>
      <c r="BF1052" t="inlineStr">
        <is>
          <t>AUTO_GENERERAD. Bekrafta metadata mot kallfil.</t>
        </is>
      </c>
      <c r="BG1052">
        <f>HYPERLINK("C:\Users\jimmy\Desktop\Examens arbete\Kod\Ny mapp\remix_-copy-of-miljöbeslut.se-portal\Egenkontrollprogram.pdf", "Öppna PDF")</f>
        <v/>
      </c>
    </row>
    <row r="1053">
      <c r="A1053" t="inlineStr">
        <is>
          <t>KRAV-AUTO-001052</t>
        </is>
      </c>
      <c r="B1053" t="inlineStr">
        <is>
          <t>ADMIN-INDEX-2026-02-27-00000000125C043F57453246863FE664CAFE6A3F0700950291EA24F0614FB6ACEDB12BF0E31D00000000010C0000950291EA24F0614FB6ACEDB12BF0E31D00002087AE5A0000</t>
        </is>
      </c>
      <c r="C1053" t="inlineStr">
        <is>
          <t>cmm4yuprb02wbcuqw0byo5b0k</t>
        </is>
      </c>
      <c r="D1053" t="inlineStr">
        <is>
          <t>http://localhost:8787/api/admin/requirements/documents/cmm4yuprb02wbcuqw0byo5b0k/view</t>
        </is>
      </c>
      <c r="E1053">
        <f>HYPERLÄNK("http://localhost:8787/api/admin/requirements/documents/cmm4yuprb02wbcuqw0byo5b0k/view";"Öppna PDF")</f>
        <v/>
      </c>
      <c r="F1053">
        <f>HYPERLINK("http://localhost:8787/api/admin/requirements/documents/cmm4yuprb02wbcuqw0byo5b0k/view","Open PDF")</f>
        <v/>
      </c>
      <c r="G1053" t="inlineStr">
        <is>
          <t>cmm55w57p0004cuisfrtpqly8</t>
        </is>
      </c>
      <c r="H1053" t="inlineStr">
        <is>
          <t>Beslutsvillkor</t>
        </is>
      </c>
      <c r="I1053" t="inlineStr">
        <is>
          <t>LagringsvolymTid</t>
        </is>
      </c>
      <c r="J1053" t="inlineStr">
        <is>
          <t>Maxmangd</t>
        </is>
      </c>
      <c r="K1053" t="inlineStr">
        <is>
          <t>I normalfallet ska 1 samlingsprov tas per 200 ton massor.</t>
        </is>
      </c>
      <c r="L1053" t="inlineStr">
        <is>
          <t>I normalfallet ska 1 samlingsprov tas per 200 ton massor.</t>
        </is>
      </c>
      <c r="M1053" t="inlineStr">
        <is>
          <t>SKA</t>
        </is>
      </c>
      <c r="N1053" t="inlineStr"/>
      <c r="O1053" t="inlineStr"/>
      <c r="P1053" t="inlineStr"/>
      <c r="Q1053" t="inlineStr"/>
      <c r="R1053" t="inlineStr">
        <is>
          <t>Alltid</t>
        </is>
      </c>
      <c r="S1053" t="inlineStr"/>
      <c r="T1053" t="inlineStr"/>
      <c r="U1053" t="n">
        <v>200</v>
      </c>
      <c r="V1053" t="inlineStr"/>
      <c r="W1053" t="inlineStr">
        <is>
          <t>Nej</t>
        </is>
      </c>
      <c r="X1053" t="inlineStr">
        <is>
          <t>Nej</t>
        </is>
      </c>
      <c r="Y1053" t="inlineStr">
        <is>
          <t>Nej</t>
        </is>
      </c>
      <c r="Z1053" t="inlineStr">
        <is>
          <t>Nej</t>
        </is>
      </c>
      <c r="AA1053" t="n">
        <v>4</v>
      </c>
      <c r="AB1053" t="inlineStr">
        <is>
          <t>Avfallsmangder och lagringstid</t>
        </is>
      </c>
      <c r="AC1053" t="inlineStr">
        <is>
          <t>Avfallsforteckning</t>
        </is>
      </c>
      <c r="AD1053" t="inlineStr">
        <is>
          <t>Nej</t>
        </is>
      </c>
      <c r="AE1053" t="inlineStr">
        <is>
          <t>Nej</t>
        </is>
      </c>
      <c r="AF1053" t="inlineStr">
        <is>
          <t>Ej behandlad</t>
        </is>
      </c>
      <c r="AG1053" t="inlineStr">
        <is>
          <t>AUTO_GENERERAD. Verifiera citat mot kallfil.</t>
        </is>
      </c>
      <c r="AH1053" t="inlineStr">
        <is>
          <t>MEDIUM</t>
        </is>
      </c>
      <c r="AI1053" t="inlineStr">
        <is>
          <t>AUTO</t>
        </is>
      </c>
      <c r="AJ1053" t="inlineStr">
        <is>
          <t>Nej</t>
        </is>
      </c>
      <c r="AK1053" t="inlineStr"/>
      <c r="AL1053" t="inlineStr"/>
      <c r="AM1053" t="inlineStr"/>
      <c r="AN1053" t="inlineStr"/>
      <c r="AO1053" t="inlineStr">
        <is>
          <t>cmm4yupre02wecuqw90cyqwpp</t>
        </is>
      </c>
      <c r="AP1053" t="inlineStr">
        <is>
          <t>http://localhost:8787/api/admin/requirements/documents/cmm4yupre02wecuqw90cyqwpp/view</t>
        </is>
      </c>
      <c r="AQ1053">
        <f>HYPERLÄNK("http://localhost:8787/api/admin/requirements/documents/cmm4yupre02wecuqw90cyqwpp/view";"Öppna PDF")</f>
        <v/>
      </c>
      <c r="AR1053">
        <f>HYPERLINK("http://localhost:8787/api/admin/requirements/documents/cmm4yupre02wecuqw90cyqwpp/view","Open PDF")</f>
        <v/>
      </c>
      <c r="AS1053" t="inlineStr">
        <is>
          <t>cmm55w57p0004cuisfrtpqly8</t>
        </is>
      </c>
      <c r="AT1053" t="inlineStr">
        <is>
          <t>cmm4xvu980000cuh4vj0usz09</t>
        </is>
      </c>
      <c r="AU1053" t="inlineStr"/>
      <c r="AV1053" t="inlineStr">
        <is>
          <t>Kommun</t>
        </is>
      </c>
      <c r="AW1053" t="inlineStr"/>
      <c r="AX1053" t="inlineStr">
        <is>
          <t>2024-1293</t>
        </is>
      </c>
      <c r="AY1053" t="inlineStr">
        <is>
          <t>Beslut</t>
        </is>
      </c>
      <c r="AZ1053" t="inlineStr">
        <is>
          <t>2026-02-04</t>
        </is>
      </c>
      <c r="BA1053" t="inlineStr">
        <is>
          <t>Egenkontrollprogram.pdf</t>
        </is>
      </c>
      <c r="BB1053" t="inlineStr">
        <is>
          <t>Ärende 2024-1293 - Begäran om utdrag av allmän handling</t>
        </is>
      </c>
      <c r="BC1053" t="inlineStr">
        <is>
          <t>AUTO</t>
        </is>
      </c>
      <c r="BD1053" t="inlineStr"/>
      <c r="BE1053" t="inlineStr"/>
      <c r="BF1053" t="inlineStr">
        <is>
          <t>AUTO_GENERERAD. Bekrafta metadata mot kallfil.</t>
        </is>
      </c>
      <c r="BG1053">
        <f>HYPERLINK("C:\Users\jimmy\Desktop\Examens arbete\Kod\Ny mapp\remix_-copy-of-miljöbeslut.se-portal\Egenkontrollprogram.pdf", "Öppna PDF")</f>
        <v/>
      </c>
    </row>
    <row r="1054">
      <c r="A1054" t="inlineStr">
        <is>
          <t>KRAV-AUTO-001053</t>
        </is>
      </c>
      <c r="B1054" t="inlineStr">
        <is>
          <t>ADMIN-INDEX-2026-02-27-00000000125C043F57453246863FE664CAFE6A3F0700950291EA24F0614FB6ACEDB12BF0E31D00000000010C0000950291EA24F0614FB6ACEDB12BF0E31D00002087AE5A0000</t>
        </is>
      </c>
      <c r="C1054" t="inlineStr">
        <is>
          <t>cmm4yupr902w8cuqw1fb99efd</t>
        </is>
      </c>
      <c r="D1054" t="inlineStr">
        <is>
          <t>http://localhost:8787/api/admin/requirements/documents/cmm4yupr902w8cuqw1fb99efd/view</t>
        </is>
      </c>
      <c r="E1054">
        <f>HYPERLÄNK("http://localhost:8787/api/admin/requirements/documents/cmm4yupr902w8cuqw1fb99efd/view";"Öppna PDF")</f>
        <v/>
      </c>
      <c r="F1054">
        <f>HYPERLINK("http://localhost:8787/api/admin/requirements/documents/cmm4yupr902w8cuqw1fb99efd/view","Open PDF")</f>
        <v/>
      </c>
      <c r="G1054" t="inlineStr">
        <is>
          <t>cmm55w57p0004cuisfrtpqly8</t>
        </is>
      </c>
      <c r="H1054" t="inlineStr">
        <is>
          <t>Informationskrav</t>
        </is>
      </c>
      <c r="I1054" t="inlineStr">
        <is>
          <t>MiljopaverkanForsiktighet</t>
        </is>
      </c>
      <c r="J1054" t="inlineStr">
        <is>
          <t>Skyddsatgarder</t>
        </is>
      </c>
      <c r="K1054" t="inlineStr">
        <is>
          <t>Lagring av avfall får ske under högst ett år innan det bortskaffas eller under högst tre år innan det återvinns eller behandlas (kod 90.40) Företagsuppgifter Namn/anmälare BaoTAD Grev o schakt AB Fastighetsbeteckning Hemmes lov.</t>
        </is>
      </c>
      <c r="L1054" t="inlineStr">
        <is>
          <t>Lagring av avfall får ske under högst ett år innan det bortskaffas eller under högst tre år innan det återvinns eller behandlas (kod 90.40) Företagsuppgifter Namn/anmälare BaoTAD Grev o schakt AB Fastighetsbeteckning Hemmes lov.</t>
        </is>
      </c>
      <c r="M1054" t="inlineStr">
        <is>
          <t>SKA</t>
        </is>
      </c>
      <c r="N1054" t="inlineStr">
        <is>
          <t>FMH</t>
        </is>
      </c>
      <c r="O1054" t="inlineStr"/>
      <c r="P1054" t="inlineStr"/>
      <c r="Q1054" t="inlineStr"/>
      <c r="R1054" t="inlineStr">
        <is>
          <t>Alltid</t>
        </is>
      </c>
      <c r="S1054" t="inlineStr"/>
      <c r="T1054" t="inlineStr">
        <is>
          <t>559027</t>
        </is>
      </c>
      <c r="U1054" t="inlineStr"/>
      <c r="V1054" t="inlineStr"/>
      <c r="W1054" t="inlineStr">
        <is>
          <t>Nej</t>
        </is>
      </c>
      <c r="X1054" t="inlineStr">
        <is>
          <t>Nej</t>
        </is>
      </c>
      <c r="Y1054" t="inlineStr">
        <is>
          <t>Nej</t>
        </is>
      </c>
      <c r="Z1054" t="inlineStr">
        <is>
          <t>Nej</t>
        </is>
      </c>
      <c r="AA1054" t="n">
        <v>10</v>
      </c>
      <c r="AB1054" t="inlineStr">
        <is>
          <t>Miljopaverkan och forsiktighetsmatt</t>
        </is>
      </c>
      <c r="AC1054" t="inlineStr">
        <is>
          <t>Miljo-PM</t>
        </is>
      </c>
      <c r="AD1054" t="inlineStr">
        <is>
          <t>Nej</t>
        </is>
      </c>
      <c r="AE1054" t="inlineStr">
        <is>
          <t>Nej</t>
        </is>
      </c>
      <c r="AF1054" t="inlineStr">
        <is>
          <t>Ej behandlad</t>
        </is>
      </c>
      <c r="AG1054" t="inlineStr">
        <is>
          <t>AUTO_GENERERAD. Verifiera citat mot kallfil.</t>
        </is>
      </c>
      <c r="AH1054" t="inlineStr">
        <is>
          <t>MEDIUM</t>
        </is>
      </c>
      <c r="AI1054" t="inlineStr">
        <is>
          <t>AUTO</t>
        </is>
      </c>
      <c r="AJ1054" t="inlineStr">
        <is>
          <t>Nej</t>
        </is>
      </c>
      <c r="AK1054" t="inlineStr"/>
      <c r="AL1054" t="inlineStr"/>
      <c r="AM1054" t="inlineStr"/>
      <c r="AN1054" t="inlineStr"/>
      <c r="AO1054" t="inlineStr">
        <is>
          <t>cmm4yupre02wecuqw90cyqwpp</t>
        </is>
      </c>
      <c r="AP1054" t="inlineStr">
        <is>
          <t>http://localhost:8787/api/admin/requirements/documents/cmm4yupre02wecuqw90cyqwpp/view</t>
        </is>
      </c>
      <c r="AQ1054">
        <f>HYPERLÄNK("http://localhost:8787/api/admin/requirements/documents/cmm4yupre02wecuqw90cyqwpp/view";"Öppna PDF")</f>
        <v/>
      </c>
      <c r="AR1054">
        <f>HYPERLINK("http://localhost:8787/api/admin/requirements/documents/cmm4yupre02wecuqw90cyqwpp/view","Open PDF")</f>
        <v/>
      </c>
      <c r="AS1054" t="inlineStr">
        <is>
          <t>cmm55w57p0004cuisfrtpqly8</t>
        </is>
      </c>
      <c r="AT1054" t="inlineStr">
        <is>
          <t>cmm4xvu980000cuh4vj0usz09</t>
        </is>
      </c>
      <c r="AU1054" t="inlineStr"/>
      <c r="AV1054" t="inlineStr">
        <is>
          <t>Kommun</t>
        </is>
      </c>
      <c r="AW1054" t="inlineStr"/>
      <c r="AX1054" t="inlineStr">
        <is>
          <t>2024-1293</t>
        </is>
      </c>
      <c r="AY1054" t="inlineStr">
        <is>
          <t>Beslut</t>
        </is>
      </c>
      <c r="AZ1054" t="inlineStr">
        <is>
          <t>2026-02-04</t>
        </is>
      </c>
      <c r="BA1054" t="inlineStr">
        <is>
          <t>Egenkontrollprogram.pdf</t>
        </is>
      </c>
      <c r="BB1054" t="inlineStr">
        <is>
          <t>Ärende 2024-1293 - Begäran om utdrag av allmän handling</t>
        </is>
      </c>
      <c r="BC1054" t="inlineStr">
        <is>
          <t>AUTO</t>
        </is>
      </c>
      <c r="BD1054" t="inlineStr"/>
      <c r="BE1054" t="inlineStr"/>
      <c r="BF1054" t="inlineStr">
        <is>
          <t>AUTO_GENERERAD. Bekrafta metadata mot kallfil.</t>
        </is>
      </c>
      <c r="BG1054">
        <f>HYPERLINK("C:\Users\jimmy\Desktop\Examens arbete\Kod\Ny mapp\remix_-copy-of-miljöbeslut.se-portal\Egenkontrollprogram.pdf", "Öppna PDF")</f>
        <v/>
      </c>
    </row>
    <row r="1055">
      <c r="A1055" t="inlineStr">
        <is>
          <t>KRAV-AUTO-001054</t>
        </is>
      </c>
      <c r="B1055" t="inlineStr">
        <is>
          <t>ADMIN-INDEX-2026-02-27-00000000125C043F57453246863FE664CAFE6A3F0700950291EA24F0614FB6ACEDB12BF0E31D00000000010C0000950291EA24F0614FB6ACEDB12BF0E31D00002087AE5A0000</t>
        </is>
      </c>
      <c r="C1055" t="inlineStr">
        <is>
          <t>cmm4yupr902w8cuqw1fb99efd</t>
        </is>
      </c>
      <c r="D1055" t="inlineStr">
        <is>
          <t>http://localhost:8787/api/admin/requirements/documents/cmm4yupr902w8cuqw1fb99efd/view</t>
        </is>
      </c>
      <c r="E1055">
        <f>HYPERLÄNK("http://localhost:8787/api/admin/requirements/documents/cmm4yupr902w8cuqw1fb99efd/view";"Öppna PDF")</f>
        <v/>
      </c>
      <c r="F1055">
        <f>HYPERLINK("http://localhost:8787/api/admin/requirements/documents/cmm4yupr902w8cuqw1fb99efd/view","Open PDF")</f>
        <v/>
      </c>
      <c r="G1055" t="inlineStr">
        <is>
          <t>cmm55w57p0004cuisfrtpqly8</t>
        </is>
      </c>
      <c r="H1055" t="inlineStr">
        <is>
          <t>Informationskrav</t>
        </is>
      </c>
      <c r="I1055" t="inlineStr">
        <is>
          <t>Riskhantering</t>
        </is>
      </c>
      <c r="J1055" t="inlineStr">
        <is>
          <t>Riskkontroll</t>
        </is>
      </c>
      <c r="K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1055" t="inlineStr">
        <is>
          <t>SKA</t>
        </is>
      </c>
      <c r="N1055" t="inlineStr">
        <is>
          <t>FMH</t>
        </is>
      </c>
      <c r="O1055" t="inlineStr"/>
      <c r="P1055" t="inlineStr">
        <is>
          <t>Arlig</t>
        </is>
      </c>
      <c r="Q1055" t="inlineStr"/>
      <c r="R1055" t="inlineStr">
        <is>
          <t>Vid risk for incident</t>
        </is>
      </c>
      <c r="S1055" t="inlineStr"/>
      <c r="T1055" t="inlineStr">
        <is>
          <t>559027</t>
        </is>
      </c>
      <c r="U1055" t="inlineStr"/>
      <c r="V1055" t="inlineStr"/>
      <c r="W1055" t="inlineStr">
        <is>
          <t>Nej</t>
        </is>
      </c>
      <c r="X1055" t="inlineStr">
        <is>
          <t>Nej</t>
        </is>
      </c>
      <c r="Y1055" t="inlineStr">
        <is>
          <t>Ja</t>
        </is>
      </c>
      <c r="Z1055" t="inlineStr">
        <is>
          <t>Ja</t>
        </is>
      </c>
      <c r="AA1055" t="n">
        <v>8</v>
      </c>
      <c r="AB1055" t="inlineStr">
        <is>
          <t>Riskhantering</t>
        </is>
      </c>
      <c r="AC1055" t="inlineStr">
        <is>
          <t>Risk-PM</t>
        </is>
      </c>
      <c r="AD1055" t="inlineStr">
        <is>
          <t>Nej</t>
        </is>
      </c>
      <c r="AE1055" t="inlineStr">
        <is>
          <t>Nej</t>
        </is>
      </c>
      <c r="AF1055" t="inlineStr">
        <is>
          <t>Ej behandlad</t>
        </is>
      </c>
      <c r="AG1055" t="inlineStr">
        <is>
          <t>AUTO_GENERERAD. Verifiera citat mot kallfil.</t>
        </is>
      </c>
      <c r="AH1055" t="inlineStr">
        <is>
          <t>MEDIUM</t>
        </is>
      </c>
      <c r="AI1055" t="inlineStr">
        <is>
          <t>AUTO</t>
        </is>
      </c>
      <c r="AJ1055" t="inlineStr">
        <is>
          <t>Nej</t>
        </is>
      </c>
      <c r="AK1055" t="inlineStr"/>
      <c r="AL1055" t="inlineStr"/>
      <c r="AM1055" t="inlineStr"/>
      <c r="AN1055" t="inlineStr"/>
      <c r="AO1055" t="inlineStr">
        <is>
          <t>cmm4yupre02wecuqw90cyqwpp</t>
        </is>
      </c>
      <c r="AP1055" t="inlineStr">
        <is>
          <t>http://localhost:8787/api/admin/requirements/documents/cmm4yupre02wecuqw90cyqwpp/view</t>
        </is>
      </c>
      <c r="AQ1055">
        <f>HYPERLÄNK("http://localhost:8787/api/admin/requirements/documents/cmm4yupre02wecuqw90cyqwpp/view";"Öppna PDF")</f>
        <v/>
      </c>
      <c r="AR1055">
        <f>HYPERLINK("http://localhost:8787/api/admin/requirements/documents/cmm4yupre02wecuqw90cyqwpp/view","Open PDF")</f>
        <v/>
      </c>
      <c r="AS1055" t="inlineStr">
        <is>
          <t>cmm55w57p0004cuisfrtpqly8</t>
        </is>
      </c>
      <c r="AT1055" t="inlineStr">
        <is>
          <t>cmm4xvu980000cuh4vj0usz09</t>
        </is>
      </c>
      <c r="AU1055" t="inlineStr"/>
      <c r="AV1055" t="inlineStr">
        <is>
          <t>Kommun</t>
        </is>
      </c>
      <c r="AW1055" t="inlineStr"/>
      <c r="AX1055" t="inlineStr">
        <is>
          <t>2024-1293</t>
        </is>
      </c>
      <c r="AY1055" t="inlineStr">
        <is>
          <t>Beslut</t>
        </is>
      </c>
      <c r="AZ1055" t="inlineStr">
        <is>
          <t>2026-02-04</t>
        </is>
      </c>
      <c r="BA1055" t="inlineStr">
        <is>
          <t>Egenkontrollprogram.pdf</t>
        </is>
      </c>
      <c r="BB1055" t="inlineStr">
        <is>
          <t>Ärende 2024-1293 - Begäran om utdrag av allmän handling</t>
        </is>
      </c>
      <c r="BC1055" t="inlineStr">
        <is>
          <t>AUTO</t>
        </is>
      </c>
      <c r="BD1055" t="inlineStr"/>
      <c r="BE1055" t="inlineStr"/>
      <c r="BF1055" t="inlineStr">
        <is>
          <t>AUTO_GENERERAD. Bekrafta metadata mot kallfil.</t>
        </is>
      </c>
      <c r="BG1055">
        <f>HYPERLINK("C:\Users\jimmy\Desktop\Examens arbete\Kod\Ny mapp\remix_-copy-of-miljöbeslut.se-portal\Egenkontrollprogram.pdf", "Öppna PDF")</f>
        <v/>
      </c>
    </row>
    <row r="1056">
      <c r="A1056" t="inlineStr">
        <is>
          <t>KRAV-AUTO-001055</t>
        </is>
      </c>
      <c r="B1056" t="inlineStr">
        <is>
          <t>ADMIN-INDEX-2026-02-27-00000000125C043F57453246863FE664CAFE6A3F0700950291EA24F0614FB6ACEDB12BF0E31D00000000010C0000950291EA24F0614FB6ACEDB12BF0E31D00002087AE5A0000</t>
        </is>
      </c>
      <c r="C1056" t="inlineStr">
        <is>
          <t>cmm4yupr902w8cuqw1fb99efd</t>
        </is>
      </c>
      <c r="D1056" t="inlineStr">
        <is>
          <t>http://localhost:8787/api/admin/requirements/documents/cmm4yupr902w8cuqw1fb99efd/view</t>
        </is>
      </c>
      <c r="E1056">
        <f>HYPERLÄNK("http://localhost:8787/api/admin/requirements/documents/cmm4yupr902w8cuqw1fb99efd/view";"Öppna PDF")</f>
        <v/>
      </c>
      <c r="F1056">
        <f>HYPERLINK("http://localhost:8787/api/admin/requirements/documents/cmm4yupr902w8cuqw1fb99efd/view","Open PDF")</f>
        <v/>
      </c>
      <c r="G1056" t="inlineStr">
        <is>
          <t>cmm55w57p0004cuisfrtpqly8</t>
        </is>
      </c>
      <c r="H1056" t="inlineStr">
        <is>
          <t>Informationskrav</t>
        </is>
      </c>
      <c r="I1056" t="inlineStr">
        <is>
          <t>LagringsvolymTid</t>
        </is>
      </c>
      <c r="J1056" t="inlineStr">
        <is>
          <t>Maxmangd</t>
        </is>
      </c>
      <c r="K1056" t="inlineStr">
        <is>
          <t>Ska avfallet användas för bygg- eller anläggningsändamål får 30 000 ton lagras vid varje enskilt tillfälle.</t>
        </is>
      </c>
      <c r="L1056" t="inlineStr">
        <is>
          <t>Ska avfallet användas för bygg- eller anläggningsändamål får 30 000 ton lagras vid varje enskilt tillfälle.</t>
        </is>
      </c>
      <c r="M1056" t="inlineStr">
        <is>
          <t>SKA</t>
        </is>
      </c>
      <c r="N1056" t="inlineStr">
        <is>
          <t>FMH</t>
        </is>
      </c>
      <c r="O1056" t="inlineStr"/>
      <c r="P1056" t="inlineStr"/>
      <c r="Q1056" t="inlineStr"/>
      <c r="R1056" t="inlineStr">
        <is>
          <t>Alltid</t>
        </is>
      </c>
      <c r="S1056" t="inlineStr"/>
      <c r="T1056" t="inlineStr">
        <is>
          <t>559027</t>
        </is>
      </c>
      <c r="U1056" t="n">
        <v>0</v>
      </c>
      <c r="V1056" t="inlineStr"/>
      <c r="W1056" t="inlineStr">
        <is>
          <t>Nej</t>
        </is>
      </c>
      <c r="X1056" t="inlineStr">
        <is>
          <t>Nej</t>
        </is>
      </c>
      <c r="Y1056" t="inlineStr">
        <is>
          <t>Nej</t>
        </is>
      </c>
      <c r="Z1056" t="inlineStr">
        <is>
          <t>Nej</t>
        </is>
      </c>
      <c r="AA1056" t="n">
        <v>4</v>
      </c>
      <c r="AB1056" t="inlineStr">
        <is>
          <t>Avfallsmangder och lagringstid</t>
        </is>
      </c>
      <c r="AC1056" t="inlineStr">
        <is>
          <t>Avfallsforteckning</t>
        </is>
      </c>
      <c r="AD1056" t="inlineStr">
        <is>
          <t>Nej</t>
        </is>
      </c>
      <c r="AE1056" t="inlineStr">
        <is>
          <t>Nej</t>
        </is>
      </c>
      <c r="AF1056" t="inlineStr">
        <is>
          <t>Ej behandlad</t>
        </is>
      </c>
      <c r="AG1056" t="inlineStr">
        <is>
          <t>AUTO_GENERERAD. Verifiera citat mot kallfil.</t>
        </is>
      </c>
      <c r="AH1056" t="inlineStr">
        <is>
          <t>MEDIUM</t>
        </is>
      </c>
      <c r="AI1056" t="inlineStr">
        <is>
          <t>AUTO</t>
        </is>
      </c>
      <c r="AJ1056" t="inlineStr">
        <is>
          <t>Nej</t>
        </is>
      </c>
      <c r="AK1056" t="inlineStr"/>
      <c r="AL1056" t="inlineStr"/>
      <c r="AM1056" t="inlineStr"/>
      <c r="AN1056" t="inlineStr"/>
      <c r="AO1056" t="inlineStr">
        <is>
          <t>cmm4yupre02wecuqw90cyqwpp</t>
        </is>
      </c>
      <c r="AP1056" t="inlineStr">
        <is>
          <t>http://localhost:8787/api/admin/requirements/documents/cmm4yupre02wecuqw90cyqwpp/view</t>
        </is>
      </c>
      <c r="AQ1056">
        <f>HYPERLÄNK("http://localhost:8787/api/admin/requirements/documents/cmm4yupre02wecuqw90cyqwpp/view";"Öppna PDF")</f>
        <v/>
      </c>
      <c r="AR1056">
        <f>HYPERLINK("http://localhost:8787/api/admin/requirements/documents/cmm4yupre02wecuqw90cyqwpp/view","Open PDF")</f>
        <v/>
      </c>
      <c r="AS1056" t="inlineStr">
        <is>
          <t>cmm55w57p0004cuisfrtpqly8</t>
        </is>
      </c>
      <c r="AT1056" t="inlineStr">
        <is>
          <t>cmm4xvu980000cuh4vj0usz09</t>
        </is>
      </c>
      <c r="AU1056" t="inlineStr"/>
      <c r="AV1056" t="inlineStr">
        <is>
          <t>Kommun</t>
        </is>
      </c>
      <c r="AW1056" t="inlineStr"/>
      <c r="AX1056" t="inlineStr">
        <is>
          <t>2024-1293</t>
        </is>
      </c>
      <c r="AY1056" t="inlineStr">
        <is>
          <t>Beslut</t>
        </is>
      </c>
      <c r="AZ1056" t="inlineStr">
        <is>
          <t>2026-02-04</t>
        </is>
      </c>
      <c r="BA1056" t="inlineStr">
        <is>
          <t>Egenkontrollprogram.pdf</t>
        </is>
      </c>
      <c r="BB1056" t="inlineStr">
        <is>
          <t>Ärende 2024-1293 - Begäran om utdrag av allmän handling</t>
        </is>
      </c>
      <c r="BC1056" t="inlineStr">
        <is>
          <t>AUTO</t>
        </is>
      </c>
      <c r="BD1056" t="inlineStr"/>
      <c r="BE1056" t="inlineStr"/>
      <c r="BF1056" t="inlineStr">
        <is>
          <t>AUTO_GENERERAD. Bekrafta metadata mot kallfil.</t>
        </is>
      </c>
      <c r="BG1056">
        <f>HYPERLINK("C:\Users\jimmy\Desktop\Examens arbete\Kod\Ny mapp\remix_-copy-of-miljöbeslut.se-portal\Egenkontrollprogram.pdf", "Öppna PDF")</f>
        <v/>
      </c>
    </row>
    <row r="1057">
      <c r="A1057" t="inlineStr">
        <is>
          <t>KRAV-AUTO-001056</t>
        </is>
      </c>
      <c r="B1057" t="inlineStr">
        <is>
          <t>ADMIN-INDEX-2026-02-27-00000000125C043F57453246863FE664CAFE6A3F0700950291EA24F0614FB6ACEDB12BF0E31D00000000010C0000950291EA24F0614FB6ACEDB12BF0E31D00002087AE5B0000</t>
        </is>
      </c>
      <c r="C1057" t="inlineStr">
        <is>
          <t>cmm4yupr602w5cuqw1ydovq3h</t>
        </is>
      </c>
      <c r="D1057" t="inlineStr">
        <is>
          <t>http://localhost:8787/api/admin/requirements/documents/cmm4yupr602w5cuqw1ydovq3h/view</t>
        </is>
      </c>
      <c r="E1057">
        <f>HYPERLÄNK("http://localhost:8787/api/admin/requirements/documents/cmm4yupr602w5cuqw1ydovq3h/view";"Öppna PDF")</f>
        <v/>
      </c>
      <c r="F1057">
        <f>HYPERLINK("http://localhost:8787/api/admin/requirements/documents/cmm4yupr602w5cuqw1ydovq3h/view","Open PDF")</f>
        <v/>
      </c>
      <c r="G1057" t="inlineStr">
        <is>
          <t>cmm55w57p0004cuisfrtpqly8</t>
        </is>
      </c>
      <c r="H1057" t="inlineStr">
        <is>
          <t>Kompletteringskrav</t>
        </is>
      </c>
      <c r="I1057" t="inlineStr">
        <is>
          <t>LagringsvolymTid</t>
        </is>
      </c>
      <c r="J1057" t="inlineStr">
        <is>
          <t>Maxmangd</t>
        </is>
      </c>
      <c r="K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57" t="inlineStr">
        <is>
          <t>SKA</t>
        </is>
      </c>
      <c r="N1057" t="inlineStr">
        <is>
          <t>MPF</t>
        </is>
      </c>
      <c r="O1057" t="inlineStr"/>
      <c r="P1057" t="inlineStr">
        <is>
          <t>Arlig</t>
        </is>
      </c>
      <c r="Q1057" t="inlineStr"/>
      <c r="R1057" t="inlineStr">
        <is>
          <t>Alltid</t>
        </is>
      </c>
      <c r="S1057" t="inlineStr"/>
      <c r="T1057" t="inlineStr">
        <is>
          <t>59 50 00</t>
        </is>
      </c>
      <c r="U1057" t="n">
        <v>10</v>
      </c>
      <c r="V1057" t="inlineStr"/>
      <c r="W1057" t="inlineStr">
        <is>
          <t>Nej</t>
        </is>
      </c>
      <c r="X1057" t="inlineStr">
        <is>
          <t>Nej</t>
        </is>
      </c>
      <c r="Y1057" t="inlineStr">
        <is>
          <t>Nej</t>
        </is>
      </c>
      <c r="Z1057" t="inlineStr">
        <is>
          <t>Nej</t>
        </is>
      </c>
      <c r="AA1057" t="n">
        <v>4</v>
      </c>
      <c r="AB1057" t="inlineStr">
        <is>
          <t>Avfallsmangder och lagringstid</t>
        </is>
      </c>
      <c r="AC1057" t="inlineStr">
        <is>
          <t>Avfallsforteckning</t>
        </is>
      </c>
      <c r="AD1057" t="inlineStr">
        <is>
          <t>Nej</t>
        </is>
      </c>
      <c r="AE1057" t="inlineStr">
        <is>
          <t>Nej</t>
        </is>
      </c>
      <c r="AF1057" t="inlineStr">
        <is>
          <t>Ej behandlad</t>
        </is>
      </c>
      <c r="AG1057" t="inlineStr">
        <is>
          <t>AUTO_GENERERAD. Verifiera citat mot kallfil.</t>
        </is>
      </c>
      <c r="AH1057" t="inlineStr">
        <is>
          <t>HIGH</t>
        </is>
      </c>
      <c r="AI1057" t="inlineStr">
        <is>
          <t>AUTO</t>
        </is>
      </c>
      <c r="AJ1057" t="inlineStr">
        <is>
          <t>Nej</t>
        </is>
      </c>
      <c r="AK1057" t="inlineStr"/>
      <c r="AL1057" t="inlineStr"/>
      <c r="AM1057" t="inlineStr"/>
      <c r="AN1057" t="inlineStr"/>
      <c r="AO1057" t="inlineStr">
        <is>
          <t>cmm4yupr602w5cuqw1ydovq3h</t>
        </is>
      </c>
      <c r="AP1057" t="inlineStr">
        <is>
          <t>http://localhost:8787/api/admin/requirements/documents/cmm4yupr602w5cuqw1ydovq3h/view</t>
        </is>
      </c>
      <c r="AQ1057">
        <f>HYPERLÄNK("http://localhost:8787/api/admin/requirements/documents/cmm4yupr602w5cuqw1ydovq3h/view";"Öppna PDF")</f>
        <v/>
      </c>
      <c r="AR1057">
        <f>HYPERLINK("http://localhost:8787/api/admin/requirements/documents/cmm4yupr602w5cuqw1ydovq3h/view","Open PDF")</f>
        <v/>
      </c>
      <c r="AS1057" t="inlineStr">
        <is>
          <t>cmm55w57p0004cuisfrtpqly8</t>
        </is>
      </c>
      <c r="AT1057" t="inlineStr">
        <is>
          <t>cmm4xvu980000cuh4vj0usz09</t>
        </is>
      </c>
      <c r="AU1057" t="inlineStr">
        <is>
          <t>Ulricehamns</t>
        </is>
      </c>
      <c r="AV1057" t="inlineStr">
        <is>
          <t>Kommun</t>
        </is>
      </c>
      <c r="AW1057" t="inlineStr">
        <is>
          <t>Ulricehamns kommun</t>
        </is>
      </c>
      <c r="AX1057" t="inlineStr">
        <is>
          <t>0321-59</t>
        </is>
      </c>
      <c r="AY1057" t="inlineStr">
        <is>
          <t>Forelaggande</t>
        </is>
      </c>
      <c r="AZ1057" t="inlineStr">
        <is>
          <t>2026-02-04</t>
        </is>
      </c>
      <c r="BA1057" t="inlineStr">
        <is>
          <t>MSB-2025-1907 Delegationsbeslut § 402 Föreläggande 2025-12-12.pdf</t>
        </is>
      </c>
      <c r="BB1057" t="inlineStr">
        <is>
          <t>Sv: till registrator</t>
        </is>
      </c>
      <c r="BC1057" t="inlineStr">
        <is>
          <t>AUTO</t>
        </is>
      </c>
      <c r="BD1057" t="inlineStr"/>
      <c r="BE1057" t="inlineStr"/>
      <c r="BF1057" t="inlineStr">
        <is>
          <t>AUTO_GENERERAD. Bekrafta metadata mot kallfil.</t>
        </is>
      </c>
      <c r="BG1057">
        <f>HYPERLINK("C:\Users\jimmy\Desktop\Examens arbete\Kod\Ny mapp\remix_-copy-of-miljöbeslut.se-portal\MSB-2025-1907 Delegationsbeslut § 402 Föreläggande 2025-12-12.pdf", "Öppna PDF")</f>
        <v/>
      </c>
    </row>
    <row r="1058">
      <c r="A1058" t="inlineStr">
        <is>
          <t>KRAV-AUTO-001057</t>
        </is>
      </c>
      <c r="B1058" t="inlineStr">
        <is>
          <t>ADMIN-INDEX-2026-02-27-00000000125C043F57453246863FE664CAFE6A3F0700950291EA24F0614FB6ACEDB12BF0E31D00000000010C0000950291EA24F0614FB6ACEDB12BF0E31D00002087AE5B0000</t>
        </is>
      </c>
      <c r="C1058" t="inlineStr">
        <is>
          <t>cmm4yupr602w5cuqw1ydovq3h</t>
        </is>
      </c>
      <c r="D1058" t="inlineStr">
        <is>
          <t>http://localhost:8787/api/admin/requirements/documents/cmm4yupr602w5cuqw1ydovq3h/view</t>
        </is>
      </c>
      <c r="E1058">
        <f>HYPERLÄNK("http://localhost:8787/api/admin/requirements/documents/cmm4yupr602w5cuqw1ydovq3h/view";"Öppna PDF")</f>
        <v/>
      </c>
      <c r="F1058">
        <f>HYPERLINK("http://localhost:8787/api/admin/requirements/documents/cmm4yupr602w5cuqw1ydovq3h/view","Open PDF")</f>
        <v/>
      </c>
      <c r="G1058" t="inlineStr">
        <is>
          <t>cmm55w57p0004cuisfrtpqly8</t>
        </is>
      </c>
      <c r="H1058" t="inlineStr">
        <is>
          <t>Kompletteringskrav</t>
        </is>
      </c>
      <c r="I1058" t="inlineStr">
        <is>
          <t>LagringsvolymTid</t>
        </is>
      </c>
      <c r="J1058" t="inlineStr">
        <is>
          <t>Maxmangd</t>
        </is>
      </c>
      <c r="K1058" t="inlineStr">
        <is>
          <t>Det får inte under någon gång lagras mer än 30 000 ton avfall på fastigheten.</t>
        </is>
      </c>
      <c r="L1058" t="inlineStr">
        <is>
          <t>Det får inte under någon gång lagras mer än 30 000 ton avfall på fastigheten.</t>
        </is>
      </c>
      <c r="M1058" t="inlineStr">
        <is>
          <t>SKA</t>
        </is>
      </c>
      <c r="N1058" t="inlineStr"/>
      <c r="O1058" t="inlineStr"/>
      <c r="P1058" t="inlineStr"/>
      <c r="Q1058" t="inlineStr">
        <is>
          <t>Driftbegransning vid avvikelse</t>
        </is>
      </c>
      <c r="R1058" t="inlineStr">
        <is>
          <t>Alltid</t>
        </is>
      </c>
      <c r="S1058" t="inlineStr"/>
      <c r="T1058" t="inlineStr">
        <is>
          <t>59 50 00</t>
        </is>
      </c>
      <c r="U1058" t="n">
        <v>0</v>
      </c>
      <c r="V1058" t="inlineStr"/>
      <c r="W1058" t="inlineStr">
        <is>
          <t>Nej</t>
        </is>
      </c>
      <c r="X1058" t="inlineStr">
        <is>
          <t>Nej</t>
        </is>
      </c>
      <c r="Y1058" t="inlineStr">
        <is>
          <t>Nej</t>
        </is>
      </c>
      <c r="Z1058" t="inlineStr">
        <is>
          <t>Nej</t>
        </is>
      </c>
      <c r="AA1058" t="n">
        <v>4</v>
      </c>
      <c r="AB1058" t="inlineStr">
        <is>
          <t>Avfallsmangder och lagringstid</t>
        </is>
      </c>
      <c r="AC1058" t="inlineStr">
        <is>
          <t>Avfallsforteckning</t>
        </is>
      </c>
      <c r="AD1058" t="inlineStr">
        <is>
          <t>Nej</t>
        </is>
      </c>
      <c r="AE1058" t="inlineStr">
        <is>
          <t>Nej</t>
        </is>
      </c>
      <c r="AF1058" t="inlineStr">
        <is>
          <t>Ej behandlad</t>
        </is>
      </c>
      <c r="AG1058" t="inlineStr">
        <is>
          <t>AUTO_GENERERAD. Verifiera citat mot kallfil.</t>
        </is>
      </c>
      <c r="AH1058" t="inlineStr">
        <is>
          <t>MEDIUM</t>
        </is>
      </c>
      <c r="AI1058" t="inlineStr">
        <is>
          <t>AUTO</t>
        </is>
      </c>
      <c r="AJ1058" t="inlineStr">
        <is>
          <t>Nej</t>
        </is>
      </c>
      <c r="AK1058" t="inlineStr"/>
      <c r="AL1058" t="inlineStr"/>
      <c r="AM1058" t="inlineStr"/>
      <c r="AN1058" t="inlineStr"/>
      <c r="AO1058" t="inlineStr">
        <is>
          <t>cmm4yupr602w5cuqw1ydovq3h</t>
        </is>
      </c>
      <c r="AP1058" t="inlineStr">
        <is>
          <t>http://localhost:8787/api/admin/requirements/documents/cmm4yupr602w5cuqw1ydovq3h/view</t>
        </is>
      </c>
      <c r="AQ1058">
        <f>HYPERLÄNK("http://localhost:8787/api/admin/requirements/documents/cmm4yupr602w5cuqw1ydovq3h/view";"Öppna PDF")</f>
        <v/>
      </c>
      <c r="AR1058">
        <f>HYPERLINK("http://localhost:8787/api/admin/requirements/documents/cmm4yupr602w5cuqw1ydovq3h/view","Open PDF")</f>
        <v/>
      </c>
      <c r="AS1058" t="inlineStr">
        <is>
          <t>cmm55w57p0004cuisfrtpqly8</t>
        </is>
      </c>
      <c r="AT1058" t="inlineStr">
        <is>
          <t>cmm4xvu980000cuh4vj0usz09</t>
        </is>
      </c>
      <c r="AU1058" t="inlineStr">
        <is>
          <t>Ulricehamns</t>
        </is>
      </c>
      <c r="AV1058" t="inlineStr">
        <is>
          <t>Kommun</t>
        </is>
      </c>
      <c r="AW1058" t="inlineStr">
        <is>
          <t>Ulricehamns kommun</t>
        </is>
      </c>
      <c r="AX1058" t="inlineStr">
        <is>
          <t>0321-59</t>
        </is>
      </c>
      <c r="AY1058" t="inlineStr">
        <is>
          <t>Forelaggande</t>
        </is>
      </c>
      <c r="AZ1058" t="inlineStr">
        <is>
          <t>2026-02-04</t>
        </is>
      </c>
      <c r="BA1058" t="inlineStr">
        <is>
          <t>MSB-2025-1907 Delegationsbeslut § 402 Föreläggande 2025-12-12.pdf</t>
        </is>
      </c>
      <c r="BB1058" t="inlineStr">
        <is>
          <t>Sv: till registrator</t>
        </is>
      </c>
      <c r="BC1058" t="inlineStr">
        <is>
          <t>AUTO</t>
        </is>
      </c>
      <c r="BD1058" t="inlineStr"/>
      <c r="BE1058" t="inlineStr"/>
      <c r="BF1058" t="inlineStr">
        <is>
          <t>AUTO_GENERERAD. Bekrafta metadata mot kallfil.</t>
        </is>
      </c>
      <c r="BG1058">
        <f>HYPERLINK("C:\Users\jimmy\Desktop\Examens arbete\Kod\Ny mapp\remix_-copy-of-miljöbeslut.se-portal\MSB-2025-1907 Delegationsbeslut § 402 Föreläggande 2025-12-12.pdf", "Öppna PDF")</f>
        <v/>
      </c>
    </row>
    <row r="1059">
      <c r="A1059" t="inlineStr">
        <is>
          <t>KRAV-AUTO-001058</t>
        </is>
      </c>
      <c r="B1059" t="inlineStr">
        <is>
          <t>ADMIN-INDEX-2026-02-27-00000000125C043F57453246863FE664CAFE6A3F0700950291EA24F0614FB6ACEDB12BF0E31D00000000010C0000950291EA24F0614FB6ACEDB12BF0E31D00002087AE5B0000</t>
        </is>
      </c>
      <c r="C1059" t="inlineStr">
        <is>
          <t>cmm4yupr602w5cuqw1ydovq3h</t>
        </is>
      </c>
      <c r="D1059" t="inlineStr">
        <is>
          <t>http://localhost:8787/api/admin/requirements/documents/cmm4yupr602w5cuqw1ydovq3h/view</t>
        </is>
      </c>
      <c r="E1059">
        <f>HYPERLÄNK("http://localhost:8787/api/admin/requirements/documents/cmm4yupr602w5cuqw1ydovq3h/view";"Öppna PDF")</f>
        <v/>
      </c>
      <c r="F1059">
        <f>HYPERLINK("http://localhost:8787/api/admin/requirements/documents/cmm4yupr602w5cuqw1ydovq3h/view","Open PDF")</f>
        <v/>
      </c>
      <c r="G1059" t="inlineStr">
        <is>
          <t>cmm55w57p0004cuisfrtpqly8</t>
        </is>
      </c>
      <c r="H1059" t="inlineStr">
        <is>
          <t>Kompletteringskrav</t>
        </is>
      </c>
      <c r="I1059" t="inlineStr">
        <is>
          <t>Riskhantering</t>
        </is>
      </c>
      <c r="J1059" t="inlineStr">
        <is>
          <t>Riskkontroll</t>
        </is>
      </c>
      <c r="K1059" t="inlineStr">
        <is>
          <t>Verksamheten ska bedrivas så att hanteringen av avfall inte skadar eller orsakar risk för skada på människors hälsa eller miljön.</t>
        </is>
      </c>
      <c r="L1059" t="inlineStr">
        <is>
          <t>Verksamheten ska bedrivas så att hanteringen av avfall inte skadar eller orsakar risk för skada på människors hälsa eller miljön.</t>
        </is>
      </c>
      <c r="M1059" t="inlineStr">
        <is>
          <t>SKA</t>
        </is>
      </c>
      <c r="N1059" t="inlineStr"/>
      <c r="O1059" t="inlineStr"/>
      <c r="P1059" t="inlineStr"/>
      <c r="Q1059" t="inlineStr"/>
      <c r="R1059" t="inlineStr">
        <is>
          <t>Vid risk for incident</t>
        </is>
      </c>
      <c r="S1059" t="inlineStr"/>
      <c r="T1059" t="inlineStr">
        <is>
          <t>59 50 00</t>
        </is>
      </c>
      <c r="U1059" t="inlineStr"/>
      <c r="V1059" t="inlineStr"/>
      <c r="W1059" t="inlineStr">
        <is>
          <t>Nej</t>
        </is>
      </c>
      <c r="X1059" t="inlineStr">
        <is>
          <t>Nej</t>
        </is>
      </c>
      <c r="Y1059" t="inlineStr">
        <is>
          <t>Ja</t>
        </is>
      </c>
      <c r="Z1059" t="inlineStr">
        <is>
          <t>Ja</t>
        </is>
      </c>
      <c r="AA1059" t="n">
        <v>8</v>
      </c>
      <c r="AB1059" t="inlineStr">
        <is>
          <t>Riskhantering</t>
        </is>
      </c>
      <c r="AC1059" t="inlineStr">
        <is>
          <t>Risk-PM</t>
        </is>
      </c>
      <c r="AD1059" t="inlineStr">
        <is>
          <t>Nej</t>
        </is>
      </c>
      <c r="AE1059" t="inlineStr">
        <is>
          <t>Nej</t>
        </is>
      </c>
      <c r="AF1059" t="inlineStr">
        <is>
          <t>Ej behandlad</t>
        </is>
      </c>
      <c r="AG1059" t="inlineStr">
        <is>
          <t>AUTO_GENERERAD. Verifiera citat mot kallfil.</t>
        </is>
      </c>
      <c r="AH1059" t="inlineStr">
        <is>
          <t>MEDIUM</t>
        </is>
      </c>
      <c r="AI1059" t="inlineStr">
        <is>
          <t>AUTO</t>
        </is>
      </c>
      <c r="AJ1059" t="inlineStr">
        <is>
          <t>Nej</t>
        </is>
      </c>
      <c r="AK1059" t="inlineStr"/>
      <c r="AL1059" t="inlineStr"/>
      <c r="AM1059" t="inlineStr"/>
      <c r="AN1059" t="inlineStr"/>
      <c r="AO1059" t="inlineStr">
        <is>
          <t>cmm4yupr602w5cuqw1ydovq3h</t>
        </is>
      </c>
      <c r="AP1059" t="inlineStr">
        <is>
          <t>http://localhost:8787/api/admin/requirements/documents/cmm4yupr602w5cuqw1ydovq3h/view</t>
        </is>
      </c>
      <c r="AQ1059">
        <f>HYPERLÄNK("http://localhost:8787/api/admin/requirements/documents/cmm4yupr602w5cuqw1ydovq3h/view";"Öppna PDF")</f>
        <v/>
      </c>
      <c r="AR1059">
        <f>HYPERLINK("http://localhost:8787/api/admin/requirements/documents/cmm4yupr602w5cuqw1ydovq3h/view","Open PDF")</f>
        <v/>
      </c>
      <c r="AS1059" t="inlineStr">
        <is>
          <t>cmm55w57p0004cuisfrtpqly8</t>
        </is>
      </c>
      <c r="AT1059" t="inlineStr">
        <is>
          <t>cmm4xvu980000cuh4vj0usz09</t>
        </is>
      </c>
      <c r="AU1059" t="inlineStr">
        <is>
          <t>Ulricehamns</t>
        </is>
      </c>
      <c r="AV1059" t="inlineStr">
        <is>
          <t>Kommun</t>
        </is>
      </c>
      <c r="AW1059" t="inlineStr">
        <is>
          <t>Ulricehamns kommun</t>
        </is>
      </c>
      <c r="AX1059" t="inlineStr">
        <is>
          <t>0321-59</t>
        </is>
      </c>
      <c r="AY1059" t="inlineStr">
        <is>
          <t>Forelaggande</t>
        </is>
      </c>
      <c r="AZ1059" t="inlineStr">
        <is>
          <t>2026-02-04</t>
        </is>
      </c>
      <c r="BA1059" t="inlineStr">
        <is>
          <t>MSB-2025-1907 Delegationsbeslut § 402 Föreläggande 2025-12-12.pdf</t>
        </is>
      </c>
      <c r="BB1059" t="inlineStr">
        <is>
          <t>Sv: till registrator</t>
        </is>
      </c>
      <c r="BC1059" t="inlineStr">
        <is>
          <t>AUTO</t>
        </is>
      </c>
      <c r="BD1059" t="inlineStr"/>
      <c r="BE1059" t="inlineStr"/>
      <c r="BF1059" t="inlineStr">
        <is>
          <t>AUTO_GENERERAD. Bekrafta metadata mot kallfil.</t>
        </is>
      </c>
      <c r="BG1059">
        <f>HYPERLINK("C:\Users\jimmy\Desktop\Examens arbete\Kod\Ny mapp\remix_-copy-of-miljöbeslut.se-portal\MSB-2025-1907 Delegationsbeslut § 402 Föreläggande 2025-12-12.pdf", "Öppna PDF")</f>
        <v/>
      </c>
    </row>
    <row r="1060">
      <c r="A1060" t="inlineStr">
        <is>
          <t>KRAV-AUTO-001059</t>
        </is>
      </c>
      <c r="B1060" t="inlineStr">
        <is>
          <t>ADMIN-INDEX-2026-02-27-00000000125C043F57453246863FE664CAFE6A3F0700950291EA24F0614FB6ACEDB12BF0E31D00000000010C0000950291EA24F0614FB6ACEDB12BF0E31D00002087AE5C0000</t>
        </is>
      </c>
      <c r="C1060" t="inlineStr">
        <is>
          <t>cmm4yupqy02vwcuqwkpofglow</t>
        </is>
      </c>
      <c r="D1060" t="inlineStr">
        <is>
          <t>http://localhost:8787/api/admin/requirements/documents/cmm4yupqy02vwcuqwkpofglow/view</t>
        </is>
      </c>
      <c r="E1060">
        <f>HYPERLÄNK("http://localhost:8787/api/admin/requirements/documents/cmm4yupqy02vwcuqwkpofglow/view";"Öppna PDF")</f>
        <v/>
      </c>
      <c r="F1060">
        <f>HYPERLINK("http://localhost:8787/api/admin/requirements/documents/cmm4yupqy02vwcuqwkpofglow/view","Open PDF")</f>
        <v/>
      </c>
      <c r="G1060" t="inlineStr">
        <is>
          <t>cmm55w57p0004cuisfrtpqly8</t>
        </is>
      </c>
      <c r="H1060" t="inlineStr">
        <is>
          <t>Kompletteringskrav</t>
        </is>
      </c>
      <c r="I1060" t="inlineStr">
        <is>
          <t>LagringsvolymTid</t>
        </is>
      </c>
      <c r="J1060" t="inlineStr">
        <is>
          <t>Maxmangd</t>
        </is>
      </c>
      <c r="K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60" t="inlineStr">
        <is>
          <t>SKA</t>
        </is>
      </c>
      <c r="N1060" t="inlineStr">
        <is>
          <t>MPF</t>
        </is>
      </c>
      <c r="O1060" t="inlineStr"/>
      <c r="P1060" t="inlineStr">
        <is>
          <t>Arlig</t>
        </is>
      </c>
      <c r="Q1060" t="inlineStr"/>
      <c r="R1060" t="inlineStr">
        <is>
          <t>Alltid</t>
        </is>
      </c>
      <c r="S1060" t="inlineStr"/>
      <c r="T1060" t="inlineStr">
        <is>
          <t>59 50 00</t>
        </is>
      </c>
      <c r="U1060" t="n">
        <v>10</v>
      </c>
      <c r="V1060" t="inlineStr"/>
      <c r="W1060" t="inlineStr">
        <is>
          <t>Nej</t>
        </is>
      </c>
      <c r="X1060" t="inlineStr">
        <is>
          <t>Nej</t>
        </is>
      </c>
      <c r="Y1060" t="inlineStr">
        <is>
          <t>Nej</t>
        </is>
      </c>
      <c r="Z1060" t="inlineStr">
        <is>
          <t>Nej</t>
        </is>
      </c>
      <c r="AA1060" t="n">
        <v>4</v>
      </c>
      <c r="AB1060" t="inlineStr">
        <is>
          <t>Avfallsmangder och lagringstid</t>
        </is>
      </c>
      <c r="AC1060" t="inlineStr">
        <is>
          <t>Avfallsforteckning</t>
        </is>
      </c>
      <c r="AD1060" t="inlineStr">
        <is>
          <t>Nej</t>
        </is>
      </c>
      <c r="AE1060" t="inlineStr">
        <is>
          <t>Nej</t>
        </is>
      </c>
      <c r="AF1060" t="inlineStr">
        <is>
          <t>Ej behandlad</t>
        </is>
      </c>
      <c r="AG1060" t="inlineStr">
        <is>
          <t>AUTO_GENERERAD. Verifiera citat mot kallfil.</t>
        </is>
      </c>
      <c r="AH1060" t="inlineStr">
        <is>
          <t>HIGH</t>
        </is>
      </c>
      <c r="AI1060" t="inlineStr">
        <is>
          <t>AUTO</t>
        </is>
      </c>
      <c r="AJ1060" t="inlineStr">
        <is>
          <t>Nej</t>
        </is>
      </c>
      <c r="AK1060" t="inlineStr"/>
      <c r="AL1060" t="inlineStr"/>
      <c r="AM1060" t="inlineStr"/>
      <c r="AN1060" t="inlineStr"/>
      <c r="AO1060" t="inlineStr">
        <is>
          <t>cmm4yupqy02vwcuqwkpofglow</t>
        </is>
      </c>
      <c r="AP1060" t="inlineStr">
        <is>
          <t>http://localhost:8787/api/admin/requirements/documents/cmm4yupqy02vwcuqwkpofglow/view</t>
        </is>
      </c>
      <c r="AQ1060">
        <f>HYPERLÄNK("http://localhost:8787/api/admin/requirements/documents/cmm4yupqy02vwcuqwkpofglow/view";"Öppna PDF")</f>
        <v/>
      </c>
      <c r="AR1060">
        <f>HYPERLINK("http://localhost:8787/api/admin/requirements/documents/cmm4yupqy02vwcuqwkpofglow/view","Open PDF")</f>
        <v/>
      </c>
      <c r="AS1060" t="inlineStr">
        <is>
          <t>cmm55w57p0004cuisfrtpqly8</t>
        </is>
      </c>
      <c r="AT1060" t="inlineStr">
        <is>
          <t>cmm4xvu980000cuh4vj0usz09</t>
        </is>
      </c>
      <c r="AU1060" t="inlineStr">
        <is>
          <t>Ulricehamns</t>
        </is>
      </c>
      <c r="AV1060" t="inlineStr">
        <is>
          <t>Kommun</t>
        </is>
      </c>
      <c r="AW1060" t="inlineStr">
        <is>
          <t>Ulricehamns kommun</t>
        </is>
      </c>
      <c r="AX1060" t="inlineStr">
        <is>
          <t>0321-59</t>
        </is>
      </c>
      <c r="AY1060" t="inlineStr">
        <is>
          <t>Forelaggande</t>
        </is>
      </c>
      <c r="AZ1060" t="inlineStr">
        <is>
          <t>2026-02-04</t>
        </is>
      </c>
      <c r="BA1060" t="inlineStr">
        <is>
          <t>MSB-2025-1907 Delegationsbeslut § 402 Föreläggande 2025-12-12.pdf</t>
        </is>
      </c>
      <c r="BB1060" t="inlineStr">
        <is>
          <t>Sv: till registrator</t>
        </is>
      </c>
      <c r="BC1060" t="inlineStr">
        <is>
          <t>AUTO</t>
        </is>
      </c>
      <c r="BD1060" t="inlineStr"/>
      <c r="BE1060" t="inlineStr"/>
      <c r="BF1060" t="inlineStr">
        <is>
          <t>AUTO_GENERERAD. Bekrafta metadata mot kallfil.</t>
        </is>
      </c>
      <c r="BG1060">
        <f>HYPERLINK("C:\Users\jimmy\Desktop\Examens arbete\Kod\Ny mapp\remix_-copy-of-miljöbeslut.se-portal\MSB-2025-1907 Delegationsbeslut § 402 Föreläggande 2025-12-12.pdf", "Öppna PDF")</f>
        <v/>
      </c>
    </row>
    <row r="1061">
      <c r="A1061" t="inlineStr">
        <is>
          <t>KRAV-AUTO-001060</t>
        </is>
      </c>
      <c r="B1061" t="inlineStr">
        <is>
          <t>ADMIN-INDEX-2026-02-27-00000000125C043F57453246863FE664CAFE6A3F0700950291EA24F0614FB6ACEDB12BF0E31D00000000010C0000950291EA24F0614FB6ACEDB12BF0E31D00002087AE5C0000</t>
        </is>
      </c>
      <c r="C1061" t="inlineStr">
        <is>
          <t>cmm4yupqy02vwcuqwkpofglow</t>
        </is>
      </c>
      <c r="D1061" t="inlineStr">
        <is>
          <t>http://localhost:8787/api/admin/requirements/documents/cmm4yupqy02vwcuqwkpofglow/view</t>
        </is>
      </c>
      <c r="E1061">
        <f>HYPERLÄNK("http://localhost:8787/api/admin/requirements/documents/cmm4yupqy02vwcuqwkpofglow/view";"Öppna PDF")</f>
        <v/>
      </c>
      <c r="F1061">
        <f>HYPERLINK("http://localhost:8787/api/admin/requirements/documents/cmm4yupqy02vwcuqwkpofglow/view","Open PDF")</f>
        <v/>
      </c>
      <c r="G1061" t="inlineStr">
        <is>
          <t>cmm55w57p0004cuisfrtpqly8</t>
        </is>
      </c>
      <c r="H1061" t="inlineStr">
        <is>
          <t>Kompletteringskrav</t>
        </is>
      </c>
      <c r="I1061" t="inlineStr">
        <is>
          <t>LagringsvolymTid</t>
        </is>
      </c>
      <c r="J1061" t="inlineStr">
        <is>
          <t>Maxmangd</t>
        </is>
      </c>
      <c r="K1061" t="inlineStr">
        <is>
          <t>Det får inte under någon gång lagras mer än 30 000 ton avfall på fastigheten.</t>
        </is>
      </c>
      <c r="L1061" t="inlineStr">
        <is>
          <t>Det får inte under någon gång lagras mer än 30 000 ton avfall på fastigheten.</t>
        </is>
      </c>
      <c r="M1061" t="inlineStr">
        <is>
          <t>SKA</t>
        </is>
      </c>
      <c r="N1061" t="inlineStr"/>
      <c r="O1061" t="inlineStr"/>
      <c r="P1061" t="inlineStr"/>
      <c r="Q1061" t="inlineStr">
        <is>
          <t>Driftbegransning vid avvikelse</t>
        </is>
      </c>
      <c r="R1061" t="inlineStr">
        <is>
          <t>Alltid</t>
        </is>
      </c>
      <c r="S1061" t="inlineStr"/>
      <c r="T1061" t="inlineStr">
        <is>
          <t>59 50 00</t>
        </is>
      </c>
      <c r="U1061" t="n">
        <v>0</v>
      </c>
      <c r="V1061" t="inlineStr"/>
      <c r="W1061" t="inlineStr">
        <is>
          <t>Nej</t>
        </is>
      </c>
      <c r="X1061" t="inlineStr">
        <is>
          <t>Nej</t>
        </is>
      </c>
      <c r="Y1061" t="inlineStr">
        <is>
          <t>Nej</t>
        </is>
      </c>
      <c r="Z1061" t="inlineStr">
        <is>
          <t>Nej</t>
        </is>
      </c>
      <c r="AA1061" t="n">
        <v>4</v>
      </c>
      <c r="AB1061" t="inlineStr">
        <is>
          <t>Avfallsmangder och lagringstid</t>
        </is>
      </c>
      <c r="AC1061" t="inlineStr">
        <is>
          <t>Avfallsforteckning</t>
        </is>
      </c>
      <c r="AD1061" t="inlineStr">
        <is>
          <t>Nej</t>
        </is>
      </c>
      <c r="AE1061" t="inlineStr">
        <is>
          <t>Nej</t>
        </is>
      </c>
      <c r="AF1061" t="inlineStr">
        <is>
          <t>Ej behandlad</t>
        </is>
      </c>
      <c r="AG1061" t="inlineStr">
        <is>
          <t>AUTO_GENERERAD. Verifiera citat mot kallfil.</t>
        </is>
      </c>
      <c r="AH1061" t="inlineStr">
        <is>
          <t>MEDIUM</t>
        </is>
      </c>
      <c r="AI1061" t="inlineStr">
        <is>
          <t>AUTO</t>
        </is>
      </c>
      <c r="AJ1061" t="inlineStr">
        <is>
          <t>Nej</t>
        </is>
      </c>
      <c r="AK1061" t="inlineStr"/>
      <c r="AL1061" t="inlineStr"/>
      <c r="AM1061" t="inlineStr"/>
      <c r="AN1061" t="inlineStr"/>
      <c r="AO1061" t="inlineStr">
        <is>
          <t>cmm4yupqy02vwcuqwkpofglow</t>
        </is>
      </c>
      <c r="AP1061" t="inlineStr">
        <is>
          <t>http://localhost:8787/api/admin/requirements/documents/cmm4yupqy02vwcuqwkpofglow/view</t>
        </is>
      </c>
      <c r="AQ1061">
        <f>HYPERLÄNK("http://localhost:8787/api/admin/requirements/documents/cmm4yupqy02vwcuqwkpofglow/view";"Öppna PDF")</f>
        <v/>
      </c>
      <c r="AR1061">
        <f>HYPERLINK("http://localhost:8787/api/admin/requirements/documents/cmm4yupqy02vwcuqwkpofglow/view","Open PDF")</f>
        <v/>
      </c>
      <c r="AS1061" t="inlineStr">
        <is>
          <t>cmm55w57p0004cuisfrtpqly8</t>
        </is>
      </c>
      <c r="AT1061" t="inlineStr">
        <is>
          <t>cmm4xvu980000cuh4vj0usz09</t>
        </is>
      </c>
      <c r="AU1061" t="inlineStr">
        <is>
          <t>Ulricehamns</t>
        </is>
      </c>
      <c r="AV1061" t="inlineStr">
        <is>
          <t>Kommun</t>
        </is>
      </c>
      <c r="AW1061" t="inlineStr">
        <is>
          <t>Ulricehamns kommun</t>
        </is>
      </c>
      <c r="AX1061" t="inlineStr">
        <is>
          <t>0321-59</t>
        </is>
      </c>
      <c r="AY1061" t="inlineStr">
        <is>
          <t>Forelaggande</t>
        </is>
      </c>
      <c r="AZ1061" t="inlineStr">
        <is>
          <t>2026-02-04</t>
        </is>
      </c>
      <c r="BA1061" t="inlineStr">
        <is>
          <t>MSB-2025-1907 Delegationsbeslut § 402 Föreläggande 2025-12-12.pdf</t>
        </is>
      </c>
      <c r="BB1061" t="inlineStr">
        <is>
          <t>Sv: till registrator</t>
        </is>
      </c>
      <c r="BC1061" t="inlineStr">
        <is>
          <t>AUTO</t>
        </is>
      </c>
      <c r="BD1061" t="inlineStr"/>
      <c r="BE1061" t="inlineStr"/>
      <c r="BF1061" t="inlineStr">
        <is>
          <t>AUTO_GENERERAD. Bekrafta metadata mot kallfil.</t>
        </is>
      </c>
      <c r="BG1061">
        <f>HYPERLINK("C:\Users\jimmy\Desktop\Examens arbete\Kod\Ny mapp\remix_-copy-of-miljöbeslut.se-portal\MSB-2025-1907 Delegationsbeslut § 402 Föreläggande 2025-12-12.pdf", "Öppna PDF")</f>
        <v/>
      </c>
    </row>
    <row r="1062">
      <c r="A1062" t="inlineStr">
        <is>
          <t>KRAV-AUTO-001061</t>
        </is>
      </c>
      <c r="B1062" t="inlineStr">
        <is>
          <t>ADMIN-INDEX-2026-02-27-00000000125C043F57453246863FE664CAFE6A3F0700950291EA24F0614FB6ACEDB12BF0E31D00000000010C0000950291EA24F0614FB6ACEDB12BF0E31D00002087AE5C0000</t>
        </is>
      </c>
      <c r="C1062" t="inlineStr">
        <is>
          <t>cmm4yupqy02vwcuqwkpofglow</t>
        </is>
      </c>
      <c r="D1062" t="inlineStr">
        <is>
          <t>http://localhost:8787/api/admin/requirements/documents/cmm4yupqy02vwcuqwkpofglow/view</t>
        </is>
      </c>
      <c r="E1062">
        <f>HYPERLÄNK("http://localhost:8787/api/admin/requirements/documents/cmm4yupqy02vwcuqwkpofglow/view";"Öppna PDF")</f>
        <v/>
      </c>
      <c r="F1062">
        <f>HYPERLINK("http://localhost:8787/api/admin/requirements/documents/cmm4yupqy02vwcuqwkpofglow/view","Open PDF")</f>
        <v/>
      </c>
      <c r="G1062" t="inlineStr">
        <is>
          <t>cmm55w57p0004cuisfrtpqly8</t>
        </is>
      </c>
      <c r="H1062" t="inlineStr">
        <is>
          <t>Kompletteringskrav</t>
        </is>
      </c>
      <c r="I1062" t="inlineStr">
        <is>
          <t>Riskhantering</t>
        </is>
      </c>
      <c r="J1062" t="inlineStr">
        <is>
          <t>Riskkontroll</t>
        </is>
      </c>
      <c r="K1062" t="inlineStr">
        <is>
          <t>Verksamheten ska bedrivas så att hanteringen av avfall inte skadar eller orsakar risk för skada på människors hälsa eller miljön.</t>
        </is>
      </c>
      <c r="L1062" t="inlineStr">
        <is>
          <t>Verksamheten ska bedrivas så att hanteringen av avfall inte skadar eller orsakar risk för skada på människors hälsa eller miljön.</t>
        </is>
      </c>
      <c r="M1062" t="inlineStr">
        <is>
          <t>SKA</t>
        </is>
      </c>
      <c r="N1062" t="inlineStr"/>
      <c r="O1062" t="inlineStr"/>
      <c r="P1062" t="inlineStr"/>
      <c r="Q1062" t="inlineStr"/>
      <c r="R1062" t="inlineStr">
        <is>
          <t>Vid risk for incident</t>
        </is>
      </c>
      <c r="S1062" t="inlineStr"/>
      <c r="T1062" t="inlineStr">
        <is>
          <t>59 50 00</t>
        </is>
      </c>
      <c r="U1062" t="inlineStr"/>
      <c r="V1062" t="inlineStr"/>
      <c r="W1062" t="inlineStr">
        <is>
          <t>Nej</t>
        </is>
      </c>
      <c r="X1062" t="inlineStr">
        <is>
          <t>Nej</t>
        </is>
      </c>
      <c r="Y1062" t="inlineStr">
        <is>
          <t>Ja</t>
        </is>
      </c>
      <c r="Z1062" t="inlineStr">
        <is>
          <t>Ja</t>
        </is>
      </c>
      <c r="AA1062" t="n">
        <v>8</v>
      </c>
      <c r="AB1062" t="inlineStr">
        <is>
          <t>Riskhantering</t>
        </is>
      </c>
      <c r="AC1062" t="inlineStr">
        <is>
          <t>Risk-PM</t>
        </is>
      </c>
      <c r="AD1062" t="inlineStr">
        <is>
          <t>Nej</t>
        </is>
      </c>
      <c r="AE1062" t="inlineStr">
        <is>
          <t>Nej</t>
        </is>
      </c>
      <c r="AF1062" t="inlineStr">
        <is>
          <t>Ej behandlad</t>
        </is>
      </c>
      <c r="AG1062" t="inlineStr">
        <is>
          <t>AUTO_GENERERAD. Verifiera citat mot kallfil.</t>
        </is>
      </c>
      <c r="AH1062" t="inlineStr">
        <is>
          <t>MEDIUM</t>
        </is>
      </c>
      <c r="AI1062" t="inlineStr">
        <is>
          <t>AUTO</t>
        </is>
      </c>
      <c r="AJ1062" t="inlineStr">
        <is>
          <t>Nej</t>
        </is>
      </c>
      <c r="AK1062" t="inlineStr"/>
      <c r="AL1062" t="inlineStr"/>
      <c r="AM1062" t="inlineStr"/>
      <c r="AN1062" t="inlineStr"/>
      <c r="AO1062" t="inlineStr">
        <is>
          <t>cmm4yupqy02vwcuqwkpofglow</t>
        </is>
      </c>
      <c r="AP1062" t="inlineStr">
        <is>
          <t>http://localhost:8787/api/admin/requirements/documents/cmm4yupqy02vwcuqwkpofglow/view</t>
        </is>
      </c>
      <c r="AQ1062">
        <f>HYPERLÄNK("http://localhost:8787/api/admin/requirements/documents/cmm4yupqy02vwcuqwkpofglow/view";"Öppna PDF")</f>
        <v/>
      </c>
      <c r="AR1062">
        <f>HYPERLINK("http://localhost:8787/api/admin/requirements/documents/cmm4yupqy02vwcuqwkpofglow/view","Open PDF")</f>
        <v/>
      </c>
      <c r="AS1062" t="inlineStr">
        <is>
          <t>cmm55w57p0004cuisfrtpqly8</t>
        </is>
      </c>
      <c r="AT1062" t="inlineStr">
        <is>
          <t>cmm4xvu980000cuh4vj0usz09</t>
        </is>
      </c>
      <c r="AU1062" t="inlineStr">
        <is>
          <t>Ulricehamns</t>
        </is>
      </c>
      <c r="AV1062" t="inlineStr">
        <is>
          <t>Kommun</t>
        </is>
      </c>
      <c r="AW1062" t="inlineStr">
        <is>
          <t>Ulricehamns kommun</t>
        </is>
      </c>
      <c r="AX1062" t="inlineStr">
        <is>
          <t>0321-59</t>
        </is>
      </c>
      <c r="AY1062" t="inlineStr">
        <is>
          <t>Forelaggande</t>
        </is>
      </c>
      <c r="AZ1062" t="inlineStr">
        <is>
          <t>2026-02-04</t>
        </is>
      </c>
      <c r="BA1062" t="inlineStr">
        <is>
          <t>MSB-2025-1907 Delegationsbeslut § 402 Föreläggande 2025-12-12.pdf</t>
        </is>
      </c>
      <c r="BB1062" t="inlineStr">
        <is>
          <t>Sv: till registrator</t>
        </is>
      </c>
      <c r="BC1062" t="inlineStr">
        <is>
          <t>AUTO</t>
        </is>
      </c>
      <c r="BD1062" t="inlineStr"/>
      <c r="BE1062" t="inlineStr"/>
      <c r="BF1062" t="inlineStr">
        <is>
          <t>AUTO_GENERERAD. Bekrafta metadata mot kallfil.</t>
        </is>
      </c>
      <c r="BG1062">
        <f>HYPERLINK("C:\Users\jimmy\Desktop\Examens arbete\Kod\Ny mapp\remix_-copy-of-miljöbeslut.se-portal\MSB-2025-1907 Delegationsbeslut § 402 Föreläggande 2025-12-12.pdf", "Öppna PDF")</f>
        <v/>
      </c>
    </row>
    <row r="1063">
      <c r="A1063" t="inlineStr">
        <is>
          <t>KRAV-AUTO-001062</t>
        </is>
      </c>
      <c r="B1063" t="inlineStr">
        <is>
          <t>ADMIN-INDEX-2026-02-27-00000000125C043F57453246863FE664CAFE6A3F0700950291EA24F0614FB6ACEDB12BF0E31D00000000010C0000950291EA24F0614FB6ACEDB12BF0E31D00002087AE5F0000</t>
        </is>
      </c>
      <c r="C1063" t="inlineStr">
        <is>
          <t>cmm4yupqq02vncuqwip6s7xdy</t>
        </is>
      </c>
      <c r="D1063" t="inlineStr">
        <is>
          <t>http://localhost:8787/api/admin/requirements/documents/cmm4yupqq02vncuqwip6s7xdy/view</t>
        </is>
      </c>
      <c r="E1063">
        <f>HYPERLÄNK("http://localhost:8787/api/admin/requirements/documents/cmm4yupqq02vncuqwip6s7xdy/view";"Öppna PDF")</f>
        <v/>
      </c>
      <c r="F1063">
        <f>HYPERLINK("http://localhost:8787/api/admin/requirements/documents/cmm4yupqq02vncuqwip6s7xdy/view","Open PDF")</f>
        <v/>
      </c>
      <c r="G1063" t="inlineStr">
        <is>
          <t>cmm55w57p0004cuisfrtpqly8</t>
        </is>
      </c>
      <c r="H1063" t="inlineStr">
        <is>
          <t>Beslutsvillkor</t>
        </is>
      </c>
      <c r="I1063" t="inlineStr">
        <is>
          <t>LagringsvolymTid</t>
        </is>
      </c>
      <c r="J1063" t="inlineStr">
        <is>
          <t>Maxmangd</t>
        </is>
      </c>
      <c r="K1063" t="inlineStr">
        <is>
          <t>• Uppskattad mängd 100 m3.</t>
        </is>
      </c>
      <c r="L1063" t="inlineStr">
        <is>
          <t>• Uppskattad mängd 100 m3.</t>
        </is>
      </c>
      <c r="M1063" t="inlineStr">
        <is>
          <t>SKA</t>
        </is>
      </c>
      <c r="N1063" t="inlineStr"/>
      <c r="O1063" t="inlineStr"/>
      <c r="P1063" t="inlineStr"/>
      <c r="Q1063" t="inlineStr"/>
      <c r="R1063" t="inlineStr">
        <is>
          <t>Alltid</t>
        </is>
      </c>
      <c r="S1063" t="inlineStr"/>
      <c r="T1063" t="inlineStr"/>
      <c r="U1063" t="inlineStr"/>
      <c r="V1063" t="inlineStr"/>
      <c r="W1063" t="inlineStr">
        <is>
          <t>Nej</t>
        </is>
      </c>
      <c r="X1063" t="inlineStr">
        <is>
          <t>Nej</t>
        </is>
      </c>
      <c r="Y1063" t="inlineStr">
        <is>
          <t>Nej</t>
        </is>
      </c>
      <c r="Z1063" t="inlineStr">
        <is>
          <t>Nej</t>
        </is>
      </c>
      <c r="AA1063" t="n">
        <v>4</v>
      </c>
      <c r="AB1063" t="inlineStr">
        <is>
          <t>Avfallsmangder och lagringstid</t>
        </is>
      </c>
      <c r="AC1063" t="inlineStr">
        <is>
          <t>Avfallsforteckning</t>
        </is>
      </c>
      <c r="AD1063" t="inlineStr">
        <is>
          <t>Nej</t>
        </is>
      </c>
      <c r="AE1063" t="inlineStr">
        <is>
          <t>Nej</t>
        </is>
      </c>
      <c r="AF1063" t="inlineStr">
        <is>
          <t>Ej behandlad</t>
        </is>
      </c>
      <c r="AG1063" t="inlineStr">
        <is>
          <t>AUTO_GENERERAD. Verifiera citat mot kallfil.</t>
        </is>
      </c>
      <c r="AH1063" t="inlineStr">
        <is>
          <t>LOW</t>
        </is>
      </c>
      <c r="AI1063" t="inlineStr">
        <is>
          <t>AUTO</t>
        </is>
      </c>
      <c r="AJ1063" t="inlineStr">
        <is>
          <t>Nej</t>
        </is>
      </c>
      <c r="AK1063" t="inlineStr"/>
      <c r="AL1063" t="inlineStr"/>
      <c r="AM1063" t="inlineStr"/>
      <c r="AN1063" t="inlineStr"/>
      <c r="AO1063" t="inlineStr">
        <is>
          <t>cmm4yupqq02vncuqwip6s7xdy</t>
        </is>
      </c>
      <c r="AP1063" t="inlineStr">
        <is>
          <t>http://localhost:8787/api/admin/requirements/documents/cmm4yupqq02vncuqwip6s7xdy/view</t>
        </is>
      </c>
      <c r="AQ1063">
        <f>HYPERLÄNK("http://localhost:8787/api/admin/requirements/documents/cmm4yupqq02vncuqwip6s7xdy/view";"Öppna PDF")</f>
        <v/>
      </c>
      <c r="AR1063">
        <f>HYPERLINK("http://localhost:8787/api/admin/requirements/documents/cmm4yupqq02vncuqwip6s7xdy/view","Open PDF")</f>
        <v/>
      </c>
      <c r="AS1063" t="inlineStr">
        <is>
          <t>cmm55w57p0004cuisfrtpqly8</t>
        </is>
      </c>
      <c r="AT1063" t="inlineStr">
        <is>
          <t>cmm4xvu980000cuh4vj0usz09</t>
        </is>
      </c>
      <c r="AU1063" t="inlineStr"/>
      <c r="AV1063" t="inlineStr">
        <is>
          <t>Kommun</t>
        </is>
      </c>
      <c r="AW1063" t="inlineStr"/>
      <c r="AX1063" t="inlineStr">
        <is>
          <t>2025-08</t>
        </is>
      </c>
      <c r="AY1063" t="inlineStr">
        <is>
          <t>Beslut</t>
        </is>
      </c>
      <c r="AZ1063" t="inlineStr">
        <is>
          <t>2026-02-04</t>
        </is>
      </c>
      <c r="BA1063" t="inlineStr">
        <is>
          <t>MB-2025-687 Svar asfalt.pdf</t>
        </is>
      </c>
      <c r="BB1063" t="inlineStr">
        <is>
          <t>Sv: till registrator</t>
        </is>
      </c>
      <c r="BC1063" t="inlineStr">
        <is>
          <t>AUTO</t>
        </is>
      </c>
      <c r="BD1063" t="inlineStr"/>
      <c r="BE1063" t="inlineStr"/>
      <c r="BF1063" t="inlineStr">
        <is>
          <t>AUTO_GENERERAD. Bekrafta metadata mot kallfil.</t>
        </is>
      </c>
      <c r="BG1063">
        <f>HYPERLINK("C:\Users\jimmy\Desktop\Examens arbete\Kod\Ny mapp\remix_-copy-of-miljöbeslut.se-portal\MB-2025-687 Svar asfalt.pdf", "Öppna PDF")</f>
        <v/>
      </c>
    </row>
    <row r="1064">
      <c r="A1064" t="inlineStr">
        <is>
          <t>KRAV-AUTO-001063</t>
        </is>
      </c>
      <c r="B1064" t="inlineStr">
        <is>
          <t>ADMIN-INDEX-2026-02-27-00000000125C043F57453246863FE664CAFE6A3F0700950291EA24F0614FB6ACEDB12BF0E31D00000000010C0000950291EA24F0614FB6ACEDB12BF0E31D00002087AE5F0000</t>
        </is>
      </c>
      <c r="C1064" t="inlineStr">
        <is>
          <t>cmm4yupqh02vecuqwffty34q7</t>
        </is>
      </c>
      <c r="D1064" t="inlineStr">
        <is>
          <t>http://localhost:8787/api/admin/requirements/documents/cmm4yupqh02vecuqwffty34q7/view</t>
        </is>
      </c>
      <c r="E1064">
        <f>HYPERLÄNK("http://localhost:8787/api/admin/requirements/documents/cmm4yupqh02vecuqwffty34q7/view";"Öppna PDF")</f>
        <v/>
      </c>
      <c r="F1064">
        <f>HYPERLINK("http://localhost:8787/api/admin/requirements/documents/cmm4yupqh02vecuqwffty34q7/view","Open PDF")</f>
        <v/>
      </c>
      <c r="G1064" t="inlineStr">
        <is>
          <t>cmm55w57p0004cuisfrtpqly8</t>
        </is>
      </c>
      <c r="H1064" t="inlineStr">
        <is>
          <t>Beslutsvillkor</t>
        </is>
      </c>
      <c r="I1064" t="inlineStr">
        <is>
          <t>DriftEgenkontroll</t>
        </is>
      </c>
      <c r="J1064" t="inlineStr">
        <is>
          <t>Journalforing</t>
        </is>
      </c>
      <c r="K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4" t="inlineStr">
        <is>
          <t>BOR</t>
        </is>
      </c>
      <c r="N1064" t="inlineStr"/>
      <c r="O1064" t="inlineStr">
        <is>
          <t>2024-04-29</t>
        </is>
      </c>
      <c r="P1064" t="inlineStr"/>
      <c r="Q1064" t="inlineStr"/>
      <c r="R1064" t="inlineStr">
        <is>
          <t>Lopande drift</t>
        </is>
      </c>
      <c r="S1064" t="inlineStr"/>
      <c r="T1064" t="inlineStr">
        <is>
          <t>06 2024</t>
        </is>
      </c>
      <c r="U1064" t="inlineStr"/>
      <c r="V1064" t="inlineStr"/>
      <c r="W1064" t="inlineStr">
        <is>
          <t>Nej</t>
        </is>
      </c>
      <c r="X1064" t="inlineStr">
        <is>
          <t>Nej</t>
        </is>
      </c>
      <c r="Y1064" t="inlineStr">
        <is>
          <t>Ja</t>
        </is>
      </c>
      <c r="Z1064" t="inlineStr">
        <is>
          <t>Nej</t>
        </is>
      </c>
      <c r="AA1064" t="n">
        <v>7</v>
      </c>
      <c r="AB1064" t="inlineStr">
        <is>
          <t>Egenkontrollrutiner</t>
        </is>
      </c>
      <c r="AC1064" t="inlineStr">
        <is>
          <t>Egenkontrollprogram</t>
        </is>
      </c>
      <c r="AD1064" t="inlineStr">
        <is>
          <t>Nej</t>
        </is>
      </c>
      <c r="AE1064" t="inlineStr">
        <is>
          <t>Nej</t>
        </is>
      </c>
      <c r="AF1064" t="inlineStr">
        <is>
          <t>Ej behandlad</t>
        </is>
      </c>
      <c r="AG1064" t="inlineStr">
        <is>
          <t>AUTO_GENERERAD. Verifiera citat mot kallfil.</t>
        </is>
      </c>
      <c r="AH1064" t="inlineStr">
        <is>
          <t>MEDIUM</t>
        </is>
      </c>
      <c r="AI1064" t="inlineStr">
        <is>
          <t>AUTO</t>
        </is>
      </c>
      <c r="AJ1064" t="inlineStr">
        <is>
          <t>Nej</t>
        </is>
      </c>
      <c r="AK1064" t="inlineStr"/>
      <c r="AL1064" t="inlineStr"/>
      <c r="AM1064" t="inlineStr"/>
      <c r="AN1064" t="inlineStr"/>
      <c r="AO1064" t="inlineStr">
        <is>
          <t>cmm4yupqq02vncuqwip6s7xdy</t>
        </is>
      </c>
      <c r="AP1064" t="inlineStr">
        <is>
          <t>http://localhost:8787/api/admin/requirements/documents/cmm4yupqq02vncuqwip6s7xdy/view</t>
        </is>
      </c>
      <c r="AQ1064">
        <f>HYPERLÄNK("http://localhost:8787/api/admin/requirements/documents/cmm4yupqq02vncuqwip6s7xdy/view";"Öppna PDF")</f>
        <v/>
      </c>
      <c r="AR1064">
        <f>HYPERLINK("http://localhost:8787/api/admin/requirements/documents/cmm4yupqq02vncuqwip6s7xdy/view","Open PDF")</f>
        <v/>
      </c>
      <c r="AS1064" t="inlineStr">
        <is>
          <t>cmm55w57p0004cuisfrtpqly8</t>
        </is>
      </c>
      <c r="AT1064" t="inlineStr">
        <is>
          <t>cmm4xvu980000cuh4vj0usz09</t>
        </is>
      </c>
      <c r="AU1064" t="inlineStr"/>
      <c r="AV1064" t="inlineStr">
        <is>
          <t>Kommun</t>
        </is>
      </c>
      <c r="AW1064" t="inlineStr"/>
      <c r="AX1064" t="inlineStr">
        <is>
          <t>2025-08</t>
        </is>
      </c>
      <c r="AY1064" t="inlineStr">
        <is>
          <t>Beslut</t>
        </is>
      </c>
      <c r="AZ1064" t="inlineStr">
        <is>
          <t>2026-02-04</t>
        </is>
      </c>
      <c r="BA1064" t="inlineStr">
        <is>
          <t>MB-2025-687 Svar asfalt.pdf</t>
        </is>
      </c>
      <c r="BB1064" t="inlineStr">
        <is>
          <t>Sv: till registrator</t>
        </is>
      </c>
      <c r="BC1064" t="inlineStr">
        <is>
          <t>AUTO</t>
        </is>
      </c>
      <c r="BD1064" t="inlineStr"/>
      <c r="BE1064" t="inlineStr"/>
      <c r="BF1064" t="inlineStr">
        <is>
          <t>AUTO_GENERERAD. Bekrafta metadata mot kallfil.</t>
        </is>
      </c>
      <c r="BG1064">
        <f>HYPERLINK("C:\Users\jimmy\Desktop\Examens arbete\Kod\Ny mapp\remix_-copy-of-miljöbeslut.se-portal\MB-2025-687 Svar asfalt.pdf", "Öppna PDF")</f>
        <v/>
      </c>
    </row>
    <row r="1065">
      <c r="A1065" t="inlineStr">
        <is>
          <t>KRAV-AUTO-001064</t>
        </is>
      </c>
      <c r="B1065" t="inlineStr">
        <is>
          <t>ADMIN-INDEX-2026-02-27-00000000125C043F57453246863FE664CAFE6A3F0700950291EA24F0614FB6ACEDB12BF0E31D00000000010C0000950291EA24F0614FB6ACEDB12BF0E31D00002087AE5F0000</t>
        </is>
      </c>
      <c r="C1065" t="inlineStr">
        <is>
          <t>cmm4yupqe02vbcuqw1k66yewt</t>
        </is>
      </c>
      <c r="D1065" t="inlineStr">
        <is>
          <t>http://localhost:8787/api/admin/requirements/documents/cmm4yupqe02vbcuqw1k66yewt/view</t>
        </is>
      </c>
      <c r="E1065">
        <f>HYPERLÄNK("http://localhost:8787/api/admin/requirements/documents/cmm4yupqe02vbcuqw1k66yewt/view";"Öppna PDF")</f>
        <v/>
      </c>
      <c r="F1065">
        <f>HYPERLINK("http://localhost:8787/api/admin/requirements/documents/cmm4yupqe02vbcuqw1k66yewt/view","Open PDF")</f>
        <v/>
      </c>
      <c r="G1065" t="inlineStr">
        <is>
          <t>cmm55w57p0004cuisfrtpqly8</t>
        </is>
      </c>
      <c r="H1065" t="inlineStr">
        <is>
          <t>Beslutsvillkor</t>
        </is>
      </c>
      <c r="I1065" t="inlineStr">
        <is>
          <t>Ytkonstruktion</t>
        </is>
      </c>
      <c r="J1065" t="inlineStr">
        <is>
          <t>Tat yta</t>
        </is>
      </c>
      <c r="K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65" t="inlineStr">
        <is>
          <t>SKA</t>
        </is>
      </c>
      <c r="N1065" t="inlineStr"/>
      <c r="O1065" t="inlineStr">
        <is>
          <t>2025-04-25</t>
        </is>
      </c>
      <c r="P1065" t="inlineStr"/>
      <c r="Q1065" t="inlineStr">
        <is>
          <t>Forelaggande vid brist</t>
        </is>
      </c>
      <c r="R1065" t="inlineStr">
        <is>
          <t>Vid mellanlagring av avfall</t>
        </is>
      </c>
      <c r="S1065" t="inlineStr"/>
      <c r="T1065" t="inlineStr"/>
      <c r="U1065" t="inlineStr"/>
      <c r="V1065" t="inlineStr"/>
      <c r="W1065" t="inlineStr">
        <is>
          <t>Ja</t>
        </is>
      </c>
      <c r="X1065" t="inlineStr">
        <is>
          <t>Nej</t>
        </is>
      </c>
      <c r="Y1065" t="inlineStr">
        <is>
          <t>Nej</t>
        </is>
      </c>
      <c r="Z1065" t="inlineStr">
        <is>
          <t>Nej</t>
        </is>
      </c>
      <c r="AA1065" t="n">
        <v>5</v>
      </c>
      <c r="AB1065" t="inlineStr">
        <is>
          <t>Teknisk beskrivning av platta</t>
        </is>
      </c>
      <c r="AC1065" t="inlineStr">
        <is>
          <t>Teknisk ritning platta</t>
        </is>
      </c>
      <c r="AD1065" t="inlineStr">
        <is>
          <t>Nej</t>
        </is>
      </c>
      <c r="AE1065" t="inlineStr">
        <is>
          <t>Nej</t>
        </is>
      </c>
      <c r="AF1065" t="inlineStr">
        <is>
          <t>Ej behandlad</t>
        </is>
      </c>
      <c r="AG1065" t="inlineStr">
        <is>
          <t>AUTO_GENERERAD. Verifiera citat mot kallfil.</t>
        </is>
      </c>
      <c r="AH1065" t="inlineStr">
        <is>
          <t>MEDIUM</t>
        </is>
      </c>
      <c r="AI1065" t="inlineStr">
        <is>
          <t>AUTO</t>
        </is>
      </c>
      <c r="AJ1065" t="inlineStr">
        <is>
          <t>Nej</t>
        </is>
      </c>
      <c r="AK1065" t="inlineStr"/>
      <c r="AL1065" t="inlineStr"/>
      <c r="AM1065" t="inlineStr"/>
      <c r="AN1065" t="inlineStr"/>
      <c r="AO1065" t="inlineStr">
        <is>
          <t>cmm4yupqq02vncuqwip6s7xdy</t>
        </is>
      </c>
      <c r="AP1065" t="inlineStr">
        <is>
          <t>http://localhost:8787/api/admin/requirements/documents/cmm4yupqq02vncuqwip6s7xdy/view</t>
        </is>
      </c>
      <c r="AQ1065">
        <f>HYPERLÄNK("http://localhost:8787/api/admin/requirements/documents/cmm4yupqq02vncuqwip6s7xdy/view";"Öppna PDF")</f>
        <v/>
      </c>
      <c r="AR1065">
        <f>HYPERLINK("http://localhost:8787/api/admin/requirements/documents/cmm4yupqq02vncuqwip6s7xdy/view","Open PDF")</f>
        <v/>
      </c>
      <c r="AS1065" t="inlineStr">
        <is>
          <t>cmm55w57p0004cuisfrtpqly8</t>
        </is>
      </c>
      <c r="AT1065" t="inlineStr">
        <is>
          <t>cmm4xvu980000cuh4vj0usz09</t>
        </is>
      </c>
      <c r="AU1065" t="inlineStr"/>
      <c r="AV1065" t="inlineStr">
        <is>
          <t>Kommun</t>
        </is>
      </c>
      <c r="AW1065" t="inlineStr"/>
      <c r="AX1065" t="inlineStr">
        <is>
          <t>2025-08</t>
        </is>
      </c>
      <c r="AY1065" t="inlineStr">
        <is>
          <t>Beslut</t>
        </is>
      </c>
      <c r="AZ1065" t="inlineStr">
        <is>
          <t>2026-02-04</t>
        </is>
      </c>
      <c r="BA1065" t="inlineStr">
        <is>
          <t>MB-2025-687 Svar asfalt.pdf</t>
        </is>
      </c>
      <c r="BB1065" t="inlineStr">
        <is>
          <t>Sv: till registrator</t>
        </is>
      </c>
      <c r="BC1065" t="inlineStr">
        <is>
          <t>AUTO</t>
        </is>
      </c>
      <c r="BD1065" t="inlineStr"/>
      <c r="BE1065" t="inlineStr"/>
      <c r="BF1065" t="inlineStr">
        <is>
          <t>AUTO_GENERERAD. Bekrafta metadata mot kallfil.</t>
        </is>
      </c>
      <c r="BG1065">
        <f>HYPERLINK("C:\Users\jimmy\Desktop\Examens arbete\Kod\Ny mapp\remix_-copy-of-miljöbeslut.se-portal\MB-2025-687 Svar asfalt.pdf", "Öppna PDF")</f>
        <v/>
      </c>
    </row>
    <row r="1066">
      <c r="A1066" t="inlineStr">
        <is>
          <t>KRAV-AUTO-001065</t>
        </is>
      </c>
      <c r="B1066" t="inlineStr">
        <is>
          <t>ADMIN-INDEX-2026-02-27-00000000125C043F57453246863FE664CAFE6A3F0700950291EA24F0614FB6ACEDB12BF0E31D00000000010C0000950291EA24F0614FB6ACEDB12BF0E31D00002087AE5F0000</t>
        </is>
      </c>
      <c r="C1066" t="inlineStr">
        <is>
          <t>cmm4yupqe02vbcuqw1k66yewt</t>
        </is>
      </c>
      <c r="D1066" t="inlineStr">
        <is>
          <t>http://localhost:8787/api/admin/requirements/documents/cmm4yupqe02vbcuqw1k66yewt/view</t>
        </is>
      </c>
      <c r="E1066">
        <f>HYPERLÄNK("http://localhost:8787/api/admin/requirements/documents/cmm4yupqe02vbcuqw1k66yewt/view";"Öppna PDF")</f>
        <v/>
      </c>
      <c r="F1066">
        <f>HYPERLINK("http://localhost:8787/api/admin/requirements/documents/cmm4yupqe02vbcuqw1k66yewt/view","Open PDF")</f>
        <v/>
      </c>
      <c r="G1066" t="inlineStr">
        <is>
          <t>cmm55w57p0004cuisfrtpqly8</t>
        </is>
      </c>
      <c r="H1066" t="inlineStr">
        <is>
          <t>Beslutsvillkor</t>
        </is>
      </c>
      <c r="I1066" t="inlineStr">
        <is>
          <t>Ytkonstruktion</t>
        </is>
      </c>
      <c r="J1066" t="inlineStr">
        <is>
          <t>Tat yta</t>
        </is>
      </c>
      <c r="K1066" t="inlineStr">
        <is>
          <t>Verksamheten ska utföras på fastigheten Plattan 4, vid omlastningscentralen och industriområdet mellan Storuman och Stensele, f.d.</t>
        </is>
      </c>
      <c r="L1066" t="inlineStr">
        <is>
          <t>Verksamheten ska utföras på fastigheten Plattan 4, vid omlastningscentralen och industriområdet mellan Storuman och Stensele, f.d.</t>
        </is>
      </c>
      <c r="M1066" t="inlineStr">
        <is>
          <t>SKA</t>
        </is>
      </c>
      <c r="N1066" t="inlineStr"/>
      <c r="O1066" t="inlineStr"/>
      <c r="P1066" t="inlineStr"/>
      <c r="Q1066" t="inlineStr"/>
      <c r="R1066" t="inlineStr">
        <is>
          <t>Vid mellanlagring av avfall</t>
        </is>
      </c>
      <c r="S1066" t="inlineStr"/>
      <c r="T1066" t="inlineStr"/>
      <c r="U1066" t="inlineStr"/>
      <c r="V1066" t="inlineStr"/>
      <c r="W1066" t="inlineStr">
        <is>
          <t>Ja</t>
        </is>
      </c>
      <c r="X1066" t="inlineStr">
        <is>
          <t>Nej</t>
        </is>
      </c>
      <c r="Y1066" t="inlineStr">
        <is>
          <t>Nej</t>
        </is>
      </c>
      <c r="Z1066" t="inlineStr">
        <is>
          <t>Nej</t>
        </is>
      </c>
      <c r="AA1066" t="n">
        <v>5</v>
      </c>
      <c r="AB1066" t="inlineStr">
        <is>
          <t>Teknisk beskrivning av platta</t>
        </is>
      </c>
      <c r="AC1066" t="inlineStr">
        <is>
          <t>Teknisk ritning platta</t>
        </is>
      </c>
      <c r="AD1066" t="inlineStr">
        <is>
          <t>Nej</t>
        </is>
      </c>
      <c r="AE1066" t="inlineStr">
        <is>
          <t>Nej</t>
        </is>
      </c>
      <c r="AF1066" t="inlineStr">
        <is>
          <t>Ej behandlad</t>
        </is>
      </c>
      <c r="AG1066" t="inlineStr">
        <is>
          <t>AUTO_GENERERAD. Verifiera citat mot kallfil.</t>
        </is>
      </c>
      <c r="AH1066" t="inlineStr">
        <is>
          <t>MEDIUM</t>
        </is>
      </c>
      <c r="AI1066" t="inlineStr">
        <is>
          <t>AUTO</t>
        </is>
      </c>
      <c r="AJ1066" t="inlineStr">
        <is>
          <t>Nej</t>
        </is>
      </c>
      <c r="AK1066" t="inlineStr"/>
      <c r="AL1066" t="inlineStr"/>
      <c r="AM1066" t="inlineStr"/>
      <c r="AN1066" t="inlineStr"/>
      <c r="AO1066" t="inlineStr">
        <is>
          <t>cmm4yupqq02vncuqwip6s7xdy</t>
        </is>
      </c>
      <c r="AP1066" t="inlineStr">
        <is>
          <t>http://localhost:8787/api/admin/requirements/documents/cmm4yupqq02vncuqwip6s7xdy/view</t>
        </is>
      </c>
      <c r="AQ1066">
        <f>HYPERLÄNK("http://localhost:8787/api/admin/requirements/documents/cmm4yupqq02vncuqwip6s7xdy/view";"Öppna PDF")</f>
        <v/>
      </c>
      <c r="AR1066">
        <f>HYPERLINK("http://localhost:8787/api/admin/requirements/documents/cmm4yupqq02vncuqwip6s7xdy/view","Open PDF")</f>
        <v/>
      </c>
      <c r="AS1066" t="inlineStr">
        <is>
          <t>cmm55w57p0004cuisfrtpqly8</t>
        </is>
      </c>
      <c r="AT1066" t="inlineStr">
        <is>
          <t>cmm4xvu980000cuh4vj0usz09</t>
        </is>
      </c>
      <c r="AU1066" t="inlineStr"/>
      <c r="AV1066" t="inlineStr">
        <is>
          <t>Kommun</t>
        </is>
      </c>
      <c r="AW1066" t="inlineStr"/>
      <c r="AX1066" t="inlineStr">
        <is>
          <t>2025-08</t>
        </is>
      </c>
      <c r="AY1066" t="inlineStr">
        <is>
          <t>Beslut</t>
        </is>
      </c>
      <c r="AZ1066" t="inlineStr">
        <is>
          <t>2026-02-04</t>
        </is>
      </c>
      <c r="BA1066" t="inlineStr">
        <is>
          <t>MB-2025-687 Svar asfalt.pdf</t>
        </is>
      </c>
      <c r="BB1066" t="inlineStr">
        <is>
          <t>Sv: till registrator</t>
        </is>
      </c>
      <c r="BC1066" t="inlineStr">
        <is>
          <t>AUTO</t>
        </is>
      </c>
      <c r="BD1066" t="inlineStr"/>
      <c r="BE1066" t="inlineStr"/>
      <c r="BF1066" t="inlineStr">
        <is>
          <t>AUTO_GENERERAD. Bekrafta metadata mot kallfil.</t>
        </is>
      </c>
      <c r="BG1066">
        <f>HYPERLINK("C:\Users\jimmy\Desktop\Examens arbete\Kod\Ny mapp\remix_-copy-of-miljöbeslut.se-portal\MB-2025-687 Svar asfalt.pdf", "Öppna PDF")</f>
        <v/>
      </c>
    </row>
    <row r="1067">
      <c r="A1067" t="inlineStr">
        <is>
          <t>KRAV-AUTO-001066</t>
        </is>
      </c>
      <c r="B1067" t="inlineStr">
        <is>
          <t>ADMIN-INDEX-2026-02-27-00000000125C043F57453246863FE664CAFE6A3F0700950291EA24F0614FB6ACEDB12BF0E31D00000000010C0000950291EA24F0614FB6ACEDB12BF0E31D00002087AE5F0000</t>
        </is>
      </c>
      <c r="C1067" t="inlineStr">
        <is>
          <t>cmm4yupqe02vbcuqw1k66yewt</t>
        </is>
      </c>
      <c r="D1067" t="inlineStr">
        <is>
          <t>http://localhost:8787/api/admin/requirements/documents/cmm4yupqe02vbcuqw1k66yewt/view</t>
        </is>
      </c>
      <c r="E1067">
        <f>HYPERLÄNK("http://localhost:8787/api/admin/requirements/documents/cmm4yupqe02vbcuqw1k66yewt/view";"Öppna PDF")</f>
        <v/>
      </c>
      <c r="F1067">
        <f>HYPERLINK("http://localhost:8787/api/admin/requirements/documents/cmm4yupqe02vbcuqw1k66yewt/view","Open PDF")</f>
        <v/>
      </c>
      <c r="G1067" t="inlineStr">
        <is>
          <t>cmm55w57p0004cuisfrtpqly8</t>
        </is>
      </c>
      <c r="H1067" t="inlineStr">
        <is>
          <t>Beslutsvillkor</t>
        </is>
      </c>
      <c r="I1067" t="inlineStr">
        <is>
          <t>Riskhantering</t>
        </is>
      </c>
      <c r="J1067" t="inlineStr">
        <is>
          <t>Riskkontroll</t>
        </is>
      </c>
      <c r="K1067" t="inlineStr">
        <is>
          <t>Spill av olja eller andra miljöfarliga ämnen ska samlas upp och omhändertas som farligt avfall.</t>
        </is>
      </c>
      <c r="L1067" t="inlineStr">
        <is>
          <t>Spill av olja eller andra miljöfarliga ämnen ska samlas upp och omhändertas som farligt avfall.</t>
        </is>
      </c>
      <c r="M1067" t="inlineStr">
        <is>
          <t>SKA</t>
        </is>
      </c>
      <c r="N1067" t="inlineStr"/>
      <c r="O1067" t="inlineStr"/>
      <c r="P1067" t="inlineStr">
        <is>
          <t>Arlig</t>
        </is>
      </c>
      <c r="Q1067" t="inlineStr"/>
      <c r="R1067" t="inlineStr">
        <is>
          <t>Vid risk for incident</t>
        </is>
      </c>
      <c r="S1067" t="inlineStr"/>
      <c r="T1067" t="inlineStr"/>
      <c r="U1067" t="inlineStr"/>
      <c r="V1067" t="inlineStr"/>
      <c r="W1067" t="inlineStr">
        <is>
          <t>Nej</t>
        </is>
      </c>
      <c r="X1067" t="inlineStr">
        <is>
          <t>Nej</t>
        </is>
      </c>
      <c r="Y1067" t="inlineStr">
        <is>
          <t>Ja</t>
        </is>
      </c>
      <c r="Z1067" t="inlineStr">
        <is>
          <t>Ja</t>
        </is>
      </c>
      <c r="AA1067" t="n">
        <v>8</v>
      </c>
      <c r="AB1067" t="inlineStr">
        <is>
          <t>Riskhantering</t>
        </is>
      </c>
      <c r="AC1067" t="inlineStr">
        <is>
          <t>Risk-PM</t>
        </is>
      </c>
      <c r="AD1067" t="inlineStr">
        <is>
          <t>Nej</t>
        </is>
      </c>
      <c r="AE1067" t="inlineStr">
        <is>
          <t>Nej</t>
        </is>
      </c>
      <c r="AF1067" t="inlineStr">
        <is>
          <t>Ej behandlad</t>
        </is>
      </c>
      <c r="AG1067" t="inlineStr">
        <is>
          <t>AUTO_GENERERAD. Verifiera citat mot kallfil.</t>
        </is>
      </c>
      <c r="AH1067" t="inlineStr">
        <is>
          <t>MEDIUM</t>
        </is>
      </c>
      <c r="AI1067" t="inlineStr">
        <is>
          <t>AUTO</t>
        </is>
      </c>
      <c r="AJ1067" t="inlineStr">
        <is>
          <t>Nej</t>
        </is>
      </c>
      <c r="AK1067" t="inlineStr"/>
      <c r="AL1067" t="inlineStr"/>
      <c r="AM1067" t="inlineStr"/>
      <c r="AN1067" t="inlineStr"/>
      <c r="AO1067" t="inlineStr">
        <is>
          <t>cmm4yupqq02vncuqwip6s7xdy</t>
        </is>
      </c>
      <c r="AP1067" t="inlineStr">
        <is>
          <t>http://localhost:8787/api/admin/requirements/documents/cmm4yupqq02vncuqwip6s7xdy/view</t>
        </is>
      </c>
      <c r="AQ1067">
        <f>HYPERLÄNK("http://localhost:8787/api/admin/requirements/documents/cmm4yupqq02vncuqwip6s7xdy/view";"Öppna PDF")</f>
        <v/>
      </c>
      <c r="AR1067">
        <f>HYPERLINK("http://localhost:8787/api/admin/requirements/documents/cmm4yupqq02vncuqwip6s7xdy/view","Open PDF")</f>
        <v/>
      </c>
      <c r="AS1067" t="inlineStr">
        <is>
          <t>cmm55w57p0004cuisfrtpqly8</t>
        </is>
      </c>
      <c r="AT1067" t="inlineStr">
        <is>
          <t>cmm4xvu980000cuh4vj0usz09</t>
        </is>
      </c>
      <c r="AU1067" t="inlineStr"/>
      <c r="AV1067" t="inlineStr">
        <is>
          <t>Kommun</t>
        </is>
      </c>
      <c r="AW1067" t="inlineStr"/>
      <c r="AX1067" t="inlineStr">
        <is>
          <t>2025-08</t>
        </is>
      </c>
      <c r="AY1067" t="inlineStr">
        <is>
          <t>Beslut</t>
        </is>
      </c>
      <c r="AZ1067" t="inlineStr">
        <is>
          <t>2026-02-04</t>
        </is>
      </c>
      <c r="BA1067" t="inlineStr">
        <is>
          <t>MB-2025-687 Svar asfalt.pdf</t>
        </is>
      </c>
      <c r="BB1067" t="inlineStr">
        <is>
          <t>Sv: till registrator</t>
        </is>
      </c>
      <c r="BC1067" t="inlineStr">
        <is>
          <t>AUTO</t>
        </is>
      </c>
      <c r="BD1067" t="inlineStr"/>
      <c r="BE1067" t="inlineStr"/>
      <c r="BF1067" t="inlineStr">
        <is>
          <t>AUTO_GENERERAD. Bekrafta metadata mot kallfil.</t>
        </is>
      </c>
      <c r="BG1067">
        <f>HYPERLINK("C:\Users\jimmy\Desktop\Examens arbete\Kod\Ny mapp\remix_-copy-of-miljöbeslut.se-portal\MB-2025-687 Svar asfalt.pdf", "Öppna PDF")</f>
        <v/>
      </c>
    </row>
    <row r="1068">
      <c r="A1068" t="inlineStr">
        <is>
          <t>KRAV-AUTO-001067</t>
        </is>
      </c>
      <c r="B1068" t="inlineStr">
        <is>
          <t>ADMIN-INDEX-2026-02-27-00000000125C043F57453246863FE664CAFE6A3F0700950291EA24F0614FB6ACEDB12BF0E31D00000000010C0000950291EA24F0614FB6ACEDB12BF0E31D00002087AE600000</t>
        </is>
      </c>
      <c r="C1068" t="inlineStr">
        <is>
          <t>cmm4yupq802v5cuqwuh2enfih</t>
        </is>
      </c>
      <c r="D1068" t="inlineStr">
        <is>
          <t>http://localhost:8787/api/admin/requirements/documents/cmm4yupq802v5cuqwuh2enfih/view</t>
        </is>
      </c>
      <c r="E1068">
        <f>HYPERLÄNK("http://localhost:8787/api/admin/requirements/documents/cmm4yupq802v5cuqwuh2enfih/view";"Öppna PDF")</f>
        <v/>
      </c>
      <c r="F1068">
        <f>HYPERLINK("http://localhost:8787/api/admin/requirements/documents/cmm4yupq802v5cuqwuh2enfih/view","Open PDF")</f>
        <v/>
      </c>
      <c r="G1068" t="inlineStr">
        <is>
          <t>cmm55w57p0004cuisfrtpqly8</t>
        </is>
      </c>
      <c r="H1068" t="inlineStr">
        <is>
          <t>Beslutsvillkor</t>
        </is>
      </c>
      <c r="I1068" t="inlineStr">
        <is>
          <t>LagringsvolymTid</t>
        </is>
      </c>
      <c r="J1068" t="inlineStr">
        <is>
          <t>Maxmangd</t>
        </is>
      </c>
      <c r="K1068" t="inlineStr">
        <is>
          <t>• Uppskattad mängd 100 m3.</t>
        </is>
      </c>
      <c r="L1068" t="inlineStr">
        <is>
          <t>• Uppskattad mängd 100 m3.</t>
        </is>
      </c>
      <c r="M1068" t="inlineStr">
        <is>
          <t>SKA</t>
        </is>
      </c>
      <c r="N1068" t="inlineStr"/>
      <c r="O1068" t="inlineStr"/>
      <c r="P1068" t="inlineStr"/>
      <c r="Q1068" t="inlineStr"/>
      <c r="R1068" t="inlineStr">
        <is>
          <t>Alltid</t>
        </is>
      </c>
      <c r="S1068" t="inlineStr"/>
      <c r="T1068" t="inlineStr"/>
      <c r="U1068" t="inlineStr"/>
      <c r="V1068" t="inlineStr"/>
      <c r="W1068" t="inlineStr">
        <is>
          <t>Nej</t>
        </is>
      </c>
      <c r="X1068" t="inlineStr">
        <is>
          <t>Nej</t>
        </is>
      </c>
      <c r="Y1068" t="inlineStr">
        <is>
          <t>Nej</t>
        </is>
      </c>
      <c r="Z1068" t="inlineStr">
        <is>
          <t>Nej</t>
        </is>
      </c>
      <c r="AA1068" t="n">
        <v>4</v>
      </c>
      <c r="AB1068" t="inlineStr">
        <is>
          <t>Avfallsmangder och lagringstid</t>
        </is>
      </c>
      <c r="AC1068" t="inlineStr">
        <is>
          <t>Avfallsforteckning</t>
        </is>
      </c>
      <c r="AD1068" t="inlineStr">
        <is>
          <t>Nej</t>
        </is>
      </c>
      <c r="AE1068" t="inlineStr">
        <is>
          <t>Nej</t>
        </is>
      </c>
      <c r="AF1068" t="inlineStr">
        <is>
          <t>Ej behandlad</t>
        </is>
      </c>
      <c r="AG1068" t="inlineStr">
        <is>
          <t>AUTO_GENERERAD. Verifiera citat mot kallfil.</t>
        </is>
      </c>
      <c r="AH1068" t="inlineStr">
        <is>
          <t>LOW</t>
        </is>
      </c>
      <c r="AI1068" t="inlineStr">
        <is>
          <t>AUTO</t>
        </is>
      </c>
      <c r="AJ1068" t="inlineStr">
        <is>
          <t>Nej</t>
        </is>
      </c>
      <c r="AK1068" t="inlineStr"/>
      <c r="AL1068" t="inlineStr"/>
      <c r="AM1068" t="inlineStr"/>
      <c r="AN1068" t="inlineStr"/>
      <c r="AO1068" t="inlineStr">
        <is>
          <t>cmm4yupq802v5cuqwuh2enfih</t>
        </is>
      </c>
      <c r="AP1068" t="inlineStr">
        <is>
          <t>http://localhost:8787/api/admin/requirements/documents/cmm4yupq802v5cuqwuh2enfih/view</t>
        </is>
      </c>
      <c r="AQ1068">
        <f>HYPERLÄNK("http://localhost:8787/api/admin/requirements/documents/cmm4yupq802v5cuqwuh2enfih/view";"Öppna PDF")</f>
        <v/>
      </c>
      <c r="AR1068">
        <f>HYPERLINK("http://localhost:8787/api/admin/requirements/documents/cmm4yupq802v5cuqwuh2enfih/view","Open PDF")</f>
        <v/>
      </c>
      <c r="AS1068" t="inlineStr">
        <is>
          <t>cmm55w57p0004cuisfrtpqly8</t>
        </is>
      </c>
      <c r="AT1068" t="inlineStr">
        <is>
          <t>cmm4xvu980000cuh4vj0usz09</t>
        </is>
      </c>
      <c r="AU1068" t="inlineStr"/>
      <c r="AV1068" t="inlineStr">
        <is>
          <t>Kommun</t>
        </is>
      </c>
      <c r="AW1068" t="inlineStr"/>
      <c r="AX1068" t="inlineStr">
        <is>
          <t>2025-08</t>
        </is>
      </c>
      <c r="AY1068" t="inlineStr">
        <is>
          <t>Beslut</t>
        </is>
      </c>
      <c r="AZ1068" t="inlineStr">
        <is>
          <t>2026-02-04</t>
        </is>
      </c>
      <c r="BA1068" t="inlineStr">
        <is>
          <t>MB-2025-687 Svar asfalt.pdf</t>
        </is>
      </c>
      <c r="BB1068" t="inlineStr">
        <is>
          <t>Sv: till registrator</t>
        </is>
      </c>
      <c r="BC1068" t="inlineStr">
        <is>
          <t>AUTO</t>
        </is>
      </c>
      <c r="BD1068" t="inlineStr"/>
      <c r="BE1068" t="inlineStr"/>
      <c r="BF1068" t="inlineStr">
        <is>
          <t>AUTO_GENERERAD. Bekrafta metadata mot kallfil.</t>
        </is>
      </c>
      <c r="BG1068">
        <f>HYPERLINK("C:\Users\jimmy\Desktop\Examens arbete\Kod\Ny mapp\remix_-copy-of-miljöbeslut.se-portal\MB-2025-687 Svar asfalt.pdf", "Öppna PDF")</f>
        <v/>
      </c>
    </row>
    <row r="1069">
      <c r="A1069" t="inlineStr">
        <is>
          <t>KRAV-AUTO-001068</t>
        </is>
      </c>
      <c r="B1069" t="inlineStr">
        <is>
          <t>ADMIN-INDEX-2026-02-27-00000000125C043F57453246863FE664CAFE6A3F0700950291EA24F0614FB6ACEDB12BF0E31D00000000010C0000950291EA24F0614FB6ACEDB12BF0E31D00002087AE600000</t>
        </is>
      </c>
      <c r="C1069" t="inlineStr">
        <is>
          <t>cmm4yupq002uwcuqwozt4p4ws</t>
        </is>
      </c>
      <c r="D1069" t="inlineStr">
        <is>
          <t>http://localhost:8787/api/admin/requirements/documents/cmm4yupq002uwcuqwozt4p4ws/view</t>
        </is>
      </c>
      <c r="E1069">
        <f>HYPERLÄNK("http://localhost:8787/api/admin/requirements/documents/cmm4yupq002uwcuqwozt4p4ws/view";"Öppna PDF")</f>
        <v/>
      </c>
      <c r="F1069">
        <f>HYPERLINK("http://localhost:8787/api/admin/requirements/documents/cmm4yupq002uwcuqwozt4p4ws/view","Open PDF")</f>
        <v/>
      </c>
      <c r="G1069" t="inlineStr">
        <is>
          <t>cmm55w57p0004cuisfrtpqly8</t>
        </is>
      </c>
      <c r="H1069" t="inlineStr">
        <is>
          <t>Beslutsvillkor</t>
        </is>
      </c>
      <c r="I1069" t="inlineStr">
        <is>
          <t>DriftEgenkontroll</t>
        </is>
      </c>
      <c r="J1069" t="inlineStr">
        <is>
          <t>Journalforing</t>
        </is>
      </c>
      <c r="K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9" t="inlineStr">
        <is>
          <t>BOR</t>
        </is>
      </c>
      <c r="N1069" t="inlineStr"/>
      <c r="O1069" t="inlineStr">
        <is>
          <t>2024-04-29</t>
        </is>
      </c>
      <c r="P1069" t="inlineStr"/>
      <c r="Q1069" t="inlineStr"/>
      <c r="R1069" t="inlineStr">
        <is>
          <t>Lopande drift</t>
        </is>
      </c>
      <c r="S1069" t="inlineStr"/>
      <c r="T1069" t="inlineStr">
        <is>
          <t>06 2024</t>
        </is>
      </c>
      <c r="U1069" t="inlineStr"/>
      <c r="V1069" t="inlineStr"/>
      <c r="W1069" t="inlineStr">
        <is>
          <t>Nej</t>
        </is>
      </c>
      <c r="X1069" t="inlineStr">
        <is>
          <t>Nej</t>
        </is>
      </c>
      <c r="Y1069" t="inlineStr">
        <is>
          <t>Ja</t>
        </is>
      </c>
      <c r="Z1069" t="inlineStr">
        <is>
          <t>Nej</t>
        </is>
      </c>
      <c r="AA1069" t="n">
        <v>7</v>
      </c>
      <c r="AB1069" t="inlineStr">
        <is>
          <t>Egenkontrollrutiner</t>
        </is>
      </c>
      <c r="AC1069" t="inlineStr">
        <is>
          <t>Egenkontrollprogram</t>
        </is>
      </c>
      <c r="AD1069" t="inlineStr">
        <is>
          <t>Nej</t>
        </is>
      </c>
      <c r="AE1069" t="inlineStr">
        <is>
          <t>Nej</t>
        </is>
      </c>
      <c r="AF1069" t="inlineStr">
        <is>
          <t>Ej behandlad</t>
        </is>
      </c>
      <c r="AG1069" t="inlineStr">
        <is>
          <t>AUTO_GENERERAD. Verifiera citat mot kallfil.</t>
        </is>
      </c>
      <c r="AH1069" t="inlineStr">
        <is>
          <t>MEDIUM</t>
        </is>
      </c>
      <c r="AI1069" t="inlineStr">
        <is>
          <t>AUTO</t>
        </is>
      </c>
      <c r="AJ1069" t="inlineStr">
        <is>
          <t>Nej</t>
        </is>
      </c>
      <c r="AK1069" t="inlineStr"/>
      <c r="AL1069" t="inlineStr"/>
      <c r="AM1069" t="inlineStr"/>
      <c r="AN1069" t="inlineStr"/>
      <c r="AO1069" t="inlineStr">
        <is>
          <t>cmm4yupq802v5cuqwuh2enfih</t>
        </is>
      </c>
      <c r="AP1069" t="inlineStr">
        <is>
          <t>http://localhost:8787/api/admin/requirements/documents/cmm4yupq802v5cuqwuh2enfih/view</t>
        </is>
      </c>
      <c r="AQ1069">
        <f>HYPERLÄNK("http://localhost:8787/api/admin/requirements/documents/cmm4yupq802v5cuqwuh2enfih/view";"Öppna PDF")</f>
        <v/>
      </c>
      <c r="AR1069">
        <f>HYPERLINK("http://localhost:8787/api/admin/requirements/documents/cmm4yupq802v5cuqwuh2enfih/view","Open PDF")</f>
        <v/>
      </c>
      <c r="AS1069" t="inlineStr">
        <is>
          <t>cmm55w57p0004cuisfrtpqly8</t>
        </is>
      </c>
      <c r="AT1069" t="inlineStr">
        <is>
          <t>cmm4xvu980000cuh4vj0usz09</t>
        </is>
      </c>
      <c r="AU1069" t="inlineStr"/>
      <c r="AV1069" t="inlineStr">
        <is>
          <t>Kommun</t>
        </is>
      </c>
      <c r="AW1069" t="inlineStr"/>
      <c r="AX1069" t="inlineStr">
        <is>
          <t>2025-08</t>
        </is>
      </c>
      <c r="AY1069" t="inlineStr">
        <is>
          <t>Beslut</t>
        </is>
      </c>
      <c r="AZ1069" t="inlineStr">
        <is>
          <t>2026-02-04</t>
        </is>
      </c>
      <c r="BA1069" t="inlineStr">
        <is>
          <t>MB-2025-687 Svar asfalt.pdf</t>
        </is>
      </c>
      <c r="BB1069" t="inlineStr">
        <is>
          <t>Sv: till registrator</t>
        </is>
      </c>
      <c r="BC1069" t="inlineStr">
        <is>
          <t>AUTO</t>
        </is>
      </c>
      <c r="BD1069" t="inlineStr"/>
      <c r="BE1069" t="inlineStr"/>
      <c r="BF1069" t="inlineStr">
        <is>
          <t>AUTO_GENERERAD. Bekrafta metadata mot kallfil.</t>
        </is>
      </c>
      <c r="BG1069">
        <f>HYPERLINK("C:\Users\jimmy\Desktop\Examens arbete\Kod\Ny mapp\remix_-copy-of-miljöbeslut.se-portal\MB-2025-687 Svar asfalt.pdf", "Öppna PDF")</f>
        <v/>
      </c>
    </row>
    <row r="1070">
      <c r="A1070" t="inlineStr">
        <is>
          <t>KRAV-AUTO-001069</t>
        </is>
      </c>
      <c r="B1070" t="inlineStr">
        <is>
          <t>ADMIN-INDEX-2026-02-27-00000000125C043F57453246863FE664CAFE6A3F0700950291EA24F0614FB6ACEDB12BF0E31D00000000010C0000950291EA24F0614FB6ACEDB12BF0E31D00002087AE600000</t>
        </is>
      </c>
      <c r="C1070" t="inlineStr">
        <is>
          <t>cmm4yuppx02utcuqwiul7rpng</t>
        </is>
      </c>
      <c r="D1070" t="inlineStr">
        <is>
          <t>http://localhost:8787/api/admin/requirements/documents/cmm4yuppx02utcuqwiul7rpng/view</t>
        </is>
      </c>
      <c r="E1070">
        <f>HYPERLÄNK("http://localhost:8787/api/admin/requirements/documents/cmm4yuppx02utcuqwiul7rpng/view";"Öppna PDF")</f>
        <v/>
      </c>
      <c r="F1070">
        <f>HYPERLINK("http://localhost:8787/api/admin/requirements/documents/cmm4yuppx02utcuqwiul7rpng/view","Open PDF")</f>
        <v/>
      </c>
      <c r="G1070" t="inlineStr">
        <is>
          <t>cmm55w57p0004cuisfrtpqly8</t>
        </is>
      </c>
      <c r="H1070" t="inlineStr">
        <is>
          <t>Beslutsvillkor</t>
        </is>
      </c>
      <c r="I1070" t="inlineStr">
        <is>
          <t>Ytkonstruktion</t>
        </is>
      </c>
      <c r="J1070" t="inlineStr">
        <is>
          <t>Tat yta</t>
        </is>
      </c>
      <c r="K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70" t="inlineStr">
        <is>
          <t>SKA</t>
        </is>
      </c>
      <c r="N1070" t="inlineStr"/>
      <c r="O1070" t="inlineStr">
        <is>
          <t>2025-04-25</t>
        </is>
      </c>
      <c r="P1070" t="inlineStr"/>
      <c r="Q1070" t="inlineStr">
        <is>
          <t>Forelaggande vid brist</t>
        </is>
      </c>
      <c r="R1070" t="inlineStr">
        <is>
          <t>Vid mellanlagring av avfall</t>
        </is>
      </c>
      <c r="S1070" t="inlineStr"/>
      <c r="T1070" t="inlineStr"/>
      <c r="U1070" t="inlineStr"/>
      <c r="V1070" t="inlineStr"/>
      <c r="W1070" t="inlineStr">
        <is>
          <t>Ja</t>
        </is>
      </c>
      <c r="X1070" t="inlineStr">
        <is>
          <t>Nej</t>
        </is>
      </c>
      <c r="Y1070" t="inlineStr">
        <is>
          <t>Nej</t>
        </is>
      </c>
      <c r="Z1070" t="inlineStr">
        <is>
          <t>Nej</t>
        </is>
      </c>
      <c r="AA1070" t="n">
        <v>5</v>
      </c>
      <c r="AB1070" t="inlineStr">
        <is>
          <t>Teknisk beskrivning av platta</t>
        </is>
      </c>
      <c r="AC1070" t="inlineStr">
        <is>
          <t>Teknisk ritning platta</t>
        </is>
      </c>
      <c r="AD1070" t="inlineStr">
        <is>
          <t>Nej</t>
        </is>
      </c>
      <c r="AE1070" t="inlineStr">
        <is>
          <t>Nej</t>
        </is>
      </c>
      <c r="AF1070" t="inlineStr">
        <is>
          <t>Ej behandlad</t>
        </is>
      </c>
      <c r="AG1070" t="inlineStr">
        <is>
          <t>AUTO_GENERERAD. Verifiera citat mot kallfil.</t>
        </is>
      </c>
      <c r="AH1070" t="inlineStr">
        <is>
          <t>MEDIUM</t>
        </is>
      </c>
      <c r="AI1070" t="inlineStr">
        <is>
          <t>AUTO</t>
        </is>
      </c>
      <c r="AJ1070" t="inlineStr">
        <is>
          <t>Nej</t>
        </is>
      </c>
      <c r="AK1070" t="inlineStr"/>
      <c r="AL1070" t="inlineStr"/>
      <c r="AM1070" t="inlineStr"/>
      <c r="AN1070" t="inlineStr"/>
      <c r="AO1070" t="inlineStr">
        <is>
          <t>cmm4yupq802v5cuqwuh2enfih</t>
        </is>
      </c>
      <c r="AP1070" t="inlineStr">
        <is>
          <t>http://localhost:8787/api/admin/requirements/documents/cmm4yupq802v5cuqwuh2enfih/view</t>
        </is>
      </c>
      <c r="AQ1070">
        <f>HYPERLÄNK("http://localhost:8787/api/admin/requirements/documents/cmm4yupq802v5cuqwuh2enfih/view";"Öppna PDF")</f>
        <v/>
      </c>
      <c r="AR1070">
        <f>HYPERLINK("http://localhost:8787/api/admin/requirements/documents/cmm4yupq802v5cuqwuh2enfih/view","Open PDF")</f>
        <v/>
      </c>
      <c r="AS1070" t="inlineStr">
        <is>
          <t>cmm55w57p0004cuisfrtpqly8</t>
        </is>
      </c>
      <c r="AT1070" t="inlineStr">
        <is>
          <t>cmm4xvu980000cuh4vj0usz09</t>
        </is>
      </c>
      <c r="AU1070" t="inlineStr"/>
      <c r="AV1070" t="inlineStr">
        <is>
          <t>Kommun</t>
        </is>
      </c>
      <c r="AW1070" t="inlineStr"/>
      <c r="AX1070" t="inlineStr">
        <is>
          <t>2025-08</t>
        </is>
      </c>
      <c r="AY1070" t="inlineStr">
        <is>
          <t>Beslut</t>
        </is>
      </c>
      <c r="AZ1070" t="inlineStr">
        <is>
          <t>2026-02-04</t>
        </is>
      </c>
      <c r="BA1070" t="inlineStr">
        <is>
          <t>MB-2025-687 Svar asfalt.pdf</t>
        </is>
      </c>
      <c r="BB1070" t="inlineStr">
        <is>
          <t>Sv: till registrator</t>
        </is>
      </c>
      <c r="BC1070" t="inlineStr">
        <is>
          <t>AUTO</t>
        </is>
      </c>
      <c r="BD1070" t="inlineStr"/>
      <c r="BE1070" t="inlineStr"/>
      <c r="BF1070" t="inlineStr">
        <is>
          <t>AUTO_GENERERAD. Bekrafta metadata mot kallfil.</t>
        </is>
      </c>
      <c r="BG1070">
        <f>HYPERLINK("C:\Users\jimmy\Desktop\Examens arbete\Kod\Ny mapp\remix_-copy-of-miljöbeslut.se-portal\MB-2025-687 Svar asfalt.pdf", "Öppna PDF")</f>
        <v/>
      </c>
    </row>
    <row r="1071">
      <c r="A1071" t="inlineStr">
        <is>
          <t>KRAV-AUTO-001070</t>
        </is>
      </c>
      <c r="B1071" t="inlineStr">
        <is>
          <t>ADMIN-INDEX-2026-02-27-00000000125C043F57453246863FE664CAFE6A3F0700950291EA24F0614FB6ACEDB12BF0E31D00000000010C0000950291EA24F0614FB6ACEDB12BF0E31D00002087AE600000</t>
        </is>
      </c>
      <c r="C1071" t="inlineStr">
        <is>
          <t>cmm4yuppx02utcuqwiul7rpng</t>
        </is>
      </c>
      <c r="D1071" t="inlineStr">
        <is>
          <t>http://localhost:8787/api/admin/requirements/documents/cmm4yuppx02utcuqwiul7rpng/view</t>
        </is>
      </c>
      <c r="E1071">
        <f>HYPERLÄNK("http://localhost:8787/api/admin/requirements/documents/cmm4yuppx02utcuqwiul7rpng/view";"Öppna PDF")</f>
        <v/>
      </c>
      <c r="F1071">
        <f>HYPERLINK("http://localhost:8787/api/admin/requirements/documents/cmm4yuppx02utcuqwiul7rpng/view","Open PDF")</f>
        <v/>
      </c>
      <c r="G1071" t="inlineStr">
        <is>
          <t>cmm55w57p0004cuisfrtpqly8</t>
        </is>
      </c>
      <c r="H1071" t="inlineStr">
        <is>
          <t>Beslutsvillkor</t>
        </is>
      </c>
      <c r="I1071" t="inlineStr">
        <is>
          <t>Ytkonstruktion</t>
        </is>
      </c>
      <c r="J1071" t="inlineStr">
        <is>
          <t>Tat yta</t>
        </is>
      </c>
      <c r="K1071" t="inlineStr">
        <is>
          <t>Verksamheten ska utföras på fastigheten Plattan 4, vid omlastningscentralen och industriområdet mellan Storuman och Stensele, f.d.</t>
        </is>
      </c>
      <c r="L1071" t="inlineStr">
        <is>
          <t>Verksamheten ska utföras på fastigheten Plattan 4, vid omlastningscentralen och industriområdet mellan Storuman och Stensele, f.d.</t>
        </is>
      </c>
      <c r="M1071" t="inlineStr">
        <is>
          <t>SKA</t>
        </is>
      </c>
      <c r="N1071" t="inlineStr"/>
      <c r="O1071" t="inlineStr"/>
      <c r="P1071" t="inlineStr"/>
      <c r="Q1071" t="inlineStr"/>
      <c r="R1071" t="inlineStr">
        <is>
          <t>Vid mellanlagring av avfall</t>
        </is>
      </c>
      <c r="S1071" t="inlineStr"/>
      <c r="T1071" t="inlineStr"/>
      <c r="U1071" t="inlineStr"/>
      <c r="V1071" t="inlineStr"/>
      <c r="W1071" t="inlineStr">
        <is>
          <t>Ja</t>
        </is>
      </c>
      <c r="X1071" t="inlineStr">
        <is>
          <t>Nej</t>
        </is>
      </c>
      <c r="Y1071" t="inlineStr">
        <is>
          <t>Nej</t>
        </is>
      </c>
      <c r="Z1071" t="inlineStr">
        <is>
          <t>Nej</t>
        </is>
      </c>
      <c r="AA1071" t="n">
        <v>5</v>
      </c>
      <c r="AB1071" t="inlineStr">
        <is>
          <t>Teknisk beskrivning av platta</t>
        </is>
      </c>
      <c r="AC1071" t="inlineStr">
        <is>
          <t>Teknisk ritning platta</t>
        </is>
      </c>
      <c r="AD1071" t="inlineStr">
        <is>
          <t>Nej</t>
        </is>
      </c>
      <c r="AE1071" t="inlineStr">
        <is>
          <t>Nej</t>
        </is>
      </c>
      <c r="AF1071" t="inlineStr">
        <is>
          <t>Ej behandlad</t>
        </is>
      </c>
      <c r="AG1071" t="inlineStr">
        <is>
          <t>AUTO_GENERERAD. Verifiera citat mot kallfil.</t>
        </is>
      </c>
      <c r="AH1071" t="inlineStr">
        <is>
          <t>MEDIUM</t>
        </is>
      </c>
      <c r="AI1071" t="inlineStr">
        <is>
          <t>AUTO</t>
        </is>
      </c>
      <c r="AJ1071" t="inlineStr">
        <is>
          <t>Nej</t>
        </is>
      </c>
      <c r="AK1071" t="inlineStr"/>
      <c r="AL1071" t="inlineStr"/>
      <c r="AM1071" t="inlineStr"/>
      <c r="AN1071" t="inlineStr"/>
      <c r="AO1071" t="inlineStr">
        <is>
          <t>cmm4yupq802v5cuqwuh2enfih</t>
        </is>
      </c>
      <c r="AP1071" t="inlineStr">
        <is>
          <t>http://localhost:8787/api/admin/requirements/documents/cmm4yupq802v5cuqwuh2enfih/view</t>
        </is>
      </c>
      <c r="AQ1071">
        <f>HYPERLÄNK("http://localhost:8787/api/admin/requirements/documents/cmm4yupq802v5cuqwuh2enfih/view";"Öppna PDF")</f>
        <v/>
      </c>
      <c r="AR1071">
        <f>HYPERLINK("http://localhost:8787/api/admin/requirements/documents/cmm4yupq802v5cuqwuh2enfih/view","Open PDF")</f>
        <v/>
      </c>
      <c r="AS1071" t="inlineStr">
        <is>
          <t>cmm55w57p0004cuisfrtpqly8</t>
        </is>
      </c>
      <c r="AT1071" t="inlineStr">
        <is>
          <t>cmm4xvu980000cuh4vj0usz09</t>
        </is>
      </c>
      <c r="AU1071" t="inlineStr"/>
      <c r="AV1071" t="inlineStr">
        <is>
          <t>Kommun</t>
        </is>
      </c>
      <c r="AW1071" t="inlineStr"/>
      <c r="AX1071" t="inlineStr">
        <is>
          <t>2025-08</t>
        </is>
      </c>
      <c r="AY1071" t="inlineStr">
        <is>
          <t>Beslut</t>
        </is>
      </c>
      <c r="AZ1071" t="inlineStr">
        <is>
          <t>2026-02-04</t>
        </is>
      </c>
      <c r="BA1071" t="inlineStr">
        <is>
          <t>MB-2025-687 Svar asfalt.pdf</t>
        </is>
      </c>
      <c r="BB1071" t="inlineStr">
        <is>
          <t>Sv: till registrator</t>
        </is>
      </c>
      <c r="BC1071" t="inlineStr">
        <is>
          <t>AUTO</t>
        </is>
      </c>
      <c r="BD1071" t="inlineStr"/>
      <c r="BE1071" t="inlineStr"/>
      <c r="BF1071" t="inlineStr">
        <is>
          <t>AUTO_GENERERAD. Bekrafta metadata mot kallfil.</t>
        </is>
      </c>
      <c r="BG1071">
        <f>HYPERLINK("C:\Users\jimmy\Desktop\Examens arbete\Kod\Ny mapp\remix_-copy-of-miljöbeslut.se-portal\MB-2025-687 Svar asfalt.pdf", "Öppna PDF")</f>
        <v/>
      </c>
    </row>
    <row r="1072">
      <c r="A1072" t="inlineStr">
        <is>
          <t>KRAV-AUTO-001071</t>
        </is>
      </c>
      <c r="B1072" t="inlineStr">
        <is>
          <t>ADMIN-INDEX-2026-02-27-00000000125C043F57453246863FE664CAFE6A3F0700950291EA24F0614FB6ACEDB12BF0E31D00000000010C0000950291EA24F0614FB6ACEDB12BF0E31D00002087AE600000</t>
        </is>
      </c>
      <c r="C1072" t="inlineStr">
        <is>
          <t>cmm4yuppx02utcuqwiul7rpng</t>
        </is>
      </c>
      <c r="D1072" t="inlineStr">
        <is>
          <t>http://localhost:8787/api/admin/requirements/documents/cmm4yuppx02utcuqwiul7rpng/view</t>
        </is>
      </c>
      <c r="E1072">
        <f>HYPERLÄNK("http://localhost:8787/api/admin/requirements/documents/cmm4yuppx02utcuqwiul7rpng/view";"Öppna PDF")</f>
        <v/>
      </c>
      <c r="F1072">
        <f>HYPERLINK("http://localhost:8787/api/admin/requirements/documents/cmm4yuppx02utcuqwiul7rpng/view","Open PDF")</f>
        <v/>
      </c>
      <c r="G1072" t="inlineStr">
        <is>
          <t>cmm55w57p0004cuisfrtpqly8</t>
        </is>
      </c>
      <c r="H1072" t="inlineStr">
        <is>
          <t>Beslutsvillkor</t>
        </is>
      </c>
      <c r="I1072" t="inlineStr">
        <is>
          <t>Riskhantering</t>
        </is>
      </c>
      <c r="J1072" t="inlineStr">
        <is>
          <t>Riskkontroll</t>
        </is>
      </c>
      <c r="K1072" t="inlineStr">
        <is>
          <t>Spill av olja eller andra miljöfarliga ämnen ska samlas upp och omhändertas som farligt avfall.</t>
        </is>
      </c>
      <c r="L1072" t="inlineStr">
        <is>
          <t>Spill av olja eller andra miljöfarliga ämnen ska samlas upp och omhändertas som farligt avfall.</t>
        </is>
      </c>
      <c r="M1072" t="inlineStr">
        <is>
          <t>SKA</t>
        </is>
      </c>
      <c r="N1072" t="inlineStr"/>
      <c r="O1072" t="inlineStr"/>
      <c r="P1072" t="inlineStr">
        <is>
          <t>Arlig</t>
        </is>
      </c>
      <c r="Q1072" t="inlineStr"/>
      <c r="R1072" t="inlineStr">
        <is>
          <t>Vid risk for incident</t>
        </is>
      </c>
      <c r="S1072" t="inlineStr"/>
      <c r="T1072" t="inlineStr"/>
      <c r="U1072" t="inlineStr"/>
      <c r="V1072" t="inlineStr"/>
      <c r="W1072" t="inlineStr">
        <is>
          <t>Nej</t>
        </is>
      </c>
      <c r="X1072" t="inlineStr">
        <is>
          <t>Nej</t>
        </is>
      </c>
      <c r="Y1072" t="inlineStr">
        <is>
          <t>Ja</t>
        </is>
      </c>
      <c r="Z1072" t="inlineStr">
        <is>
          <t>Ja</t>
        </is>
      </c>
      <c r="AA1072" t="n">
        <v>8</v>
      </c>
      <c r="AB1072" t="inlineStr">
        <is>
          <t>Riskhantering</t>
        </is>
      </c>
      <c r="AC1072" t="inlineStr">
        <is>
          <t>Risk-PM</t>
        </is>
      </c>
      <c r="AD1072" t="inlineStr">
        <is>
          <t>Nej</t>
        </is>
      </c>
      <c r="AE1072" t="inlineStr">
        <is>
          <t>Nej</t>
        </is>
      </c>
      <c r="AF1072" t="inlineStr">
        <is>
          <t>Ej behandlad</t>
        </is>
      </c>
      <c r="AG1072" t="inlineStr">
        <is>
          <t>AUTO_GENERERAD. Verifiera citat mot kallfil.</t>
        </is>
      </c>
      <c r="AH1072" t="inlineStr">
        <is>
          <t>MEDIUM</t>
        </is>
      </c>
      <c r="AI1072" t="inlineStr">
        <is>
          <t>AUTO</t>
        </is>
      </c>
      <c r="AJ1072" t="inlineStr">
        <is>
          <t>Nej</t>
        </is>
      </c>
      <c r="AK1072" t="inlineStr"/>
      <c r="AL1072" t="inlineStr"/>
      <c r="AM1072" t="inlineStr"/>
      <c r="AN1072" t="inlineStr"/>
      <c r="AO1072" t="inlineStr">
        <is>
          <t>cmm4yupq802v5cuqwuh2enfih</t>
        </is>
      </c>
      <c r="AP1072" t="inlineStr">
        <is>
          <t>http://localhost:8787/api/admin/requirements/documents/cmm4yupq802v5cuqwuh2enfih/view</t>
        </is>
      </c>
      <c r="AQ1072">
        <f>HYPERLÄNK("http://localhost:8787/api/admin/requirements/documents/cmm4yupq802v5cuqwuh2enfih/view";"Öppna PDF")</f>
        <v/>
      </c>
      <c r="AR1072">
        <f>HYPERLINK("http://localhost:8787/api/admin/requirements/documents/cmm4yupq802v5cuqwuh2enfih/view","Open PDF")</f>
        <v/>
      </c>
      <c r="AS1072" t="inlineStr">
        <is>
          <t>cmm55w57p0004cuisfrtpqly8</t>
        </is>
      </c>
      <c r="AT1072" t="inlineStr">
        <is>
          <t>cmm4xvu980000cuh4vj0usz09</t>
        </is>
      </c>
      <c r="AU1072" t="inlineStr"/>
      <c r="AV1072" t="inlineStr">
        <is>
          <t>Kommun</t>
        </is>
      </c>
      <c r="AW1072" t="inlineStr"/>
      <c r="AX1072" t="inlineStr">
        <is>
          <t>2025-08</t>
        </is>
      </c>
      <c r="AY1072" t="inlineStr">
        <is>
          <t>Beslut</t>
        </is>
      </c>
      <c r="AZ1072" t="inlineStr">
        <is>
          <t>2026-02-04</t>
        </is>
      </c>
      <c r="BA1072" t="inlineStr">
        <is>
          <t>MB-2025-687 Svar asfalt.pdf</t>
        </is>
      </c>
      <c r="BB1072" t="inlineStr">
        <is>
          <t>Sv: till registrator</t>
        </is>
      </c>
      <c r="BC1072" t="inlineStr">
        <is>
          <t>AUTO</t>
        </is>
      </c>
      <c r="BD1072" t="inlineStr"/>
      <c r="BE1072" t="inlineStr"/>
      <c r="BF1072" t="inlineStr">
        <is>
          <t>AUTO_GENERERAD. Bekrafta metadata mot kallfil.</t>
        </is>
      </c>
      <c r="BG1072">
        <f>HYPERLINK("C:\Users\jimmy\Desktop\Examens arbete\Kod\Ny mapp\remix_-copy-of-miljöbeslut.se-portal\MB-2025-687 Svar asfalt.pdf", "Öppna PDF")</f>
        <v/>
      </c>
    </row>
    <row r="1073">
      <c r="A1073" t="inlineStr">
        <is>
          <t>KRAV-AUTO-001072</t>
        </is>
      </c>
      <c r="B1073" t="inlineStr">
        <is>
          <t>ADMIN-INDEX-2026-02-27-00000000125C043F57453246863FE664CAFE6A3F0700950291EA24F0614FB6ACEDB12BF0E31D00000000010C0000950291EA24F0614FB6ACEDB12BF0E31D00002087AE610000</t>
        </is>
      </c>
      <c r="C1073" t="inlineStr">
        <is>
          <t>cmm4yupps02uncuqw2oocfvsk</t>
        </is>
      </c>
      <c r="D1073" t="inlineStr">
        <is>
          <t>http://localhost:8787/api/admin/requirements/documents/cmm4yupps02uncuqw2oocfvsk/view</t>
        </is>
      </c>
      <c r="E1073">
        <f>HYPERLÄNK("http://localhost:8787/api/admin/requirements/documents/cmm4yupps02uncuqw2oocfvsk/view";"Öppna PDF")</f>
        <v/>
      </c>
      <c r="F1073">
        <f>HYPERLINK("http://localhost:8787/api/admin/requirements/documents/cmm4yupps02uncuqw2oocfvsk/view","Open PDF")</f>
        <v/>
      </c>
      <c r="G1073" t="inlineStr">
        <is>
          <t>cmm55w57p0004cuisfrtpqly8</t>
        </is>
      </c>
      <c r="H1073" t="inlineStr">
        <is>
          <t>Informationskrav</t>
        </is>
      </c>
      <c r="I1073" t="inlineStr">
        <is>
          <t>DagvattenLakvatten</t>
        </is>
      </c>
      <c r="J1073" t="inlineStr">
        <is>
          <t>Uppsamling</t>
        </is>
      </c>
      <c r="K1073" t="inlineStr">
        <is>
          <t>Vatten: Vad gäller vatten och avlopp bör uppdelning ske på processvatten, sanitärt vatten och dagvatten.</t>
        </is>
      </c>
      <c r="L1073" t="inlineStr">
        <is>
          <t>Vatten: Vad gäller vatten och avlopp bör uppdelning ske på processvatten, sanitärt vatten och dagvatten.</t>
        </is>
      </c>
      <c r="M1073" t="inlineStr">
        <is>
          <t>BOR</t>
        </is>
      </c>
      <c r="N1073" t="inlineStr"/>
      <c r="O1073" t="inlineStr"/>
      <c r="P1073" t="inlineStr"/>
      <c r="Q1073" t="inlineStr"/>
      <c r="R1073" t="inlineStr">
        <is>
          <t>Vid nederbord och avrinning</t>
        </is>
      </c>
      <c r="S1073" t="inlineStr"/>
      <c r="T1073" t="inlineStr">
        <is>
          <t>35 30 00</t>
        </is>
      </c>
      <c r="U1073" t="inlineStr"/>
      <c r="V1073" t="inlineStr"/>
      <c r="W1073" t="inlineStr">
        <is>
          <t>Nej</t>
        </is>
      </c>
      <c r="X1073" t="inlineStr">
        <is>
          <t>Ja</t>
        </is>
      </c>
      <c r="Y1073" t="inlineStr">
        <is>
          <t>Ja</t>
        </is>
      </c>
      <c r="Z1073" t="inlineStr">
        <is>
          <t>Nej</t>
        </is>
      </c>
      <c r="AA1073" t="n">
        <v>6</v>
      </c>
      <c r="AB1073" t="inlineStr">
        <is>
          <t>Lakvattenhantering</t>
        </is>
      </c>
      <c r="AC1073" t="inlineStr">
        <is>
          <t>Flodesschema dagvatten-lakvatten</t>
        </is>
      </c>
      <c r="AD1073" t="inlineStr">
        <is>
          <t>Nej</t>
        </is>
      </c>
      <c r="AE1073" t="inlineStr">
        <is>
          <t>Nej</t>
        </is>
      </c>
      <c r="AF1073" t="inlineStr">
        <is>
          <t>Ej behandlad</t>
        </is>
      </c>
      <c r="AG1073" t="inlineStr">
        <is>
          <t>AUTO_GENERERAD. Verifiera citat mot kallfil.</t>
        </is>
      </c>
      <c r="AH1073" t="inlineStr">
        <is>
          <t>MEDIUM</t>
        </is>
      </c>
      <c r="AI1073" t="inlineStr">
        <is>
          <t>AUTO</t>
        </is>
      </c>
      <c r="AJ1073" t="inlineStr">
        <is>
          <t>Nej</t>
        </is>
      </c>
      <c r="AK1073" t="inlineStr"/>
      <c r="AL1073" t="inlineStr"/>
      <c r="AM1073" t="inlineStr"/>
      <c r="AN1073" t="inlineStr"/>
      <c r="AO1073" t="inlineStr">
        <is>
          <t>cmm4yupps02uncuqw2oocfvsk</t>
        </is>
      </c>
      <c r="AP1073" t="inlineStr">
        <is>
          <t>http://localhost:8787/api/admin/requirements/documents/cmm4yupps02uncuqw2oocfvsk/view</t>
        </is>
      </c>
      <c r="AQ1073">
        <f>HYPERLÄNK("http://localhost:8787/api/admin/requirements/documents/cmm4yupps02uncuqw2oocfvsk/view";"Öppna PDF")</f>
        <v/>
      </c>
      <c r="AR1073">
        <f>HYPERLINK("http://localhost:8787/api/admin/requirements/documents/cmm4yupps02uncuqw2oocfvsk/view","Open PDF")</f>
        <v/>
      </c>
      <c r="AS1073" t="inlineStr">
        <is>
          <t>cmm55w57p0004cuisfrtpqly8</t>
        </is>
      </c>
      <c r="AT1073" t="inlineStr">
        <is>
          <t>cmm4xvu980000cuh4vj0usz09</t>
        </is>
      </c>
      <c r="AU1073" t="inlineStr"/>
      <c r="AV1073" t="inlineStr">
        <is>
          <t>Kommun</t>
        </is>
      </c>
      <c r="AW1073" t="inlineStr"/>
      <c r="AX1073" t="inlineStr">
        <is>
          <t>2013:251</t>
        </is>
      </c>
      <c r="AY1073" t="inlineStr">
        <is>
          <t>Anmalan</t>
        </is>
      </c>
      <c r="AZ1073" t="inlineStr">
        <is>
          <t>2026-02-04</t>
        </is>
      </c>
      <c r="BA1073" t="inlineStr">
        <is>
          <t>2025-3473 8.pdf</t>
        </is>
      </c>
      <c r="BB1073" t="inlineStr">
        <is>
          <t>Sv:  Begäran om utlämnande av allmän handling – Anmälningar och beslut rörande mellanlagring av avfall samt anläggning av ytor</t>
        </is>
      </c>
      <c r="BC1073" t="inlineStr">
        <is>
          <t>AUTO</t>
        </is>
      </c>
      <c r="BD1073" t="inlineStr"/>
      <c r="BE1073" t="inlineStr"/>
      <c r="BF1073" t="inlineStr">
        <is>
          <t>AUTO_GENERERAD. Bekrafta metadata mot kallfil.</t>
        </is>
      </c>
      <c r="BG1073">
        <f>HYPERLINK("C:\Users\jimmy\Desktop\Examens arbete\Kod\Ny mapp\remix_-copy-of-miljöbeslut.se-portal\2025-3473 8.pdf", "Öppna PDF")</f>
        <v/>
      </c>
    </row>
    <row r="1074">
      <c r="A1074" t="inlineStr">
        <is>
          <t>KRAV-AUTO-001073</t>
        </is>
      </c>
      <c r="B1074" t="inlineStr">
        <is>
          <t>ADMIN-INDEX-2026-02-27-00000000125C043F57453246863FE664CAFE6A3F0700950291EA24F0614FB6ACEDB12BF0E31D00000000010C0000950291EA24F0614FB6ACEDB12BF0E31D00002087AE610000</t>
        </is>
      </c>
      <c r="C1074" t="inlineStr">
        <is>
          <t>cmm4yupps02uncuqw2oocfvsk</t>
        </is>
      </c>
      <c r="D1074" t="inlineStr">
        <is>
          <t>http://localhost:8787/api/admin/requirements/documents/cmm4yupps02uncuqw2oocfvsk/view</t>
        </is>
      </c>
      <c r="E1074">
        <f>HYPERLÄNK("http://localhost:8787/api/admin/requirements/documents/cmm4yupps02uncuqw2oocfvsk/view";"Öppna PDF")</f>
        <v/>
      </c>
      <c r="F1074">
        <f>HYPERLINK("http://localhost:8787/api/admin/requirements/documents/cmm4yupps02uncuqw2oocfvsk/view","Open PDF")</f>
        <v/>
      </c>
      <c r="G1074" t="inlineStr">
        <is>
          <t>cmm55w57p0004cuisfrtpqly8</t>
        </is>
      </c>
      <c r="H1074" t="inlineStr">
        <is>
          <t>Informationskrav</t>
        </is>
      </c>
      <c r="I1074" t="inlineStr">
        <is>
          <t>Riskhantering</t>
        </is>
      </c>
      <c r="J1074" t="inlineStr">
        <is>
          <t>Riskkontroll</t>
        </is>
      </c>
      <c r="K1074" t="inlineStr">
        <is>
          <t>• En beskrivning av den verksamhet som ska bedrivas och vilka miljö- och hälsorisker som kan uppstå i eller i anslutning till verksamheten.</t>
        </is>
      </c>
      <c r="L1074" t="inlineStr">
        <is>
          <t>• En beskrivning av den verksamhet som ska bedrivas och vilka miljö- och hälsorisker som kan uppstå i eller i anslutning till verksamheten.</t>
        </is>
      </c>
      <c r="M1074" t="inlineStr">
        <is>
          <t>SKA</t>
        </is>
      </c>
      <c r="N1074" t="inlineStr"/>
      <c r="O1074" t="inlineStr"/>
      <c r="P1074" t="inlineStr"/>
      <c r="Q1074" t="inlineStr"/>
      <c r="R1074" t="inlineStr">
        <is>
          <t>Vid risk for incident</t>
        </is>
      </c>
      <c r="S1074" t="inlineStr"/>
      <c r="T1074" t="inlineStr">
        <is>
          <t>35 30 00</t>
        </is>
      </c>
      <c r="U1074" t="inlineStr"/>
      <c r="V1074" t="inlineStr"/>
      <c r="W1074" t="inlineStr">
        <is>
          <t>Nej</t>
        </is>
      </c>
      <c r="X1074" t="inlineStr">
        <is>
          <t>Nej</t>
        </is>
      </c>
      <c r="Y1074" t="inlineStr">
        <is>
          <t>Ja</t>
        </is>
      </c>
      <c r="Z1074" t="inlineStr">
        <is>
          <t>Ja</t>
        </is>
      </c>
      <c r="AA1074" t="n">
        <v>8</v>
      </c>
      <c r="AB1074" t="inlineStr">
        <is>
          <t>Riskhantering</t>
        </is>
      </c>
      <c r="AC1074" t="inlineStr">
        <is>
          <t>Risk-PM</t>
        </is>
      </c>
      <c r="AD1074" t="inlineStr">
        <is>
          <t>Nej</t>
        </is>
      </c>
      <c r="AE1074" t="inlineStr">
        <is>
          <t>Nej</t>
        </is>
      </c>
      <c r="AF1074" t="inlineStr">
        <is>
          <t>Ej behandlad</t>
        </is>
      </c>
      <c r="AG1074" t="inlineStr">
        <is>
          <t>AUTO_GENERERAD. Verifiera citat mot kallfil.</t>
        </is>
      </c>
      <c r="AH1074" t="inlineStr">
        <is>
          <t>MEDIUM</t>
        </is>
      </c>
      <c r="AI1074" t="inlineStr">
        <is>
          <t>AUTO</t>
        </is>
      </c>
      <c r="AJ1074" t="inlineStr">
        <is>
          <t>Nej</t>
        </is>
      </c>
      <c r="AK1074" t="inlineStr"/>
      <c r="AL1074" t="inlineStr"/>
      <c r="AM1074" t="inlineStr"/>
      <c r="AN1074" t="inlineStr"/>
      <c r="AO1074" t="inlineStr">
        <is>
          <t>cmm4yupps02uncuqw2oocfvsk</t>
        </is>
      </c>
      <c r="AP1074" t="inlineStr">
        <is>
          <t>http://localhost:8787/api/admin/requirements/documents/cmm4yupps02uncuqw2oocfvsk/view</t>
        </is>
      </c>
      <c r="AQ1074">
        <f>HYPERLÄNK("http://localhost:8787/api/admin/requirements/documents/cmm4yupps02uncuqw2oocfvsk/view";"Öppna PDF")</f>
        <v/>
      </c>
      <c r="AR1074">
        <f>HYPERLINK("http://localhost:8787/api/admin/requirements/documents/cmm4yupps02uncuqw2oocfvsk/view","Open PDF")</f>
        <v/>
      </c>
      <c r="AS1074" t="inlineStr">
        <is>
          <t>cmm55w57p0004cuisfrtpqly8</t>
        </is>
      </c>
      <c r="AT1074" t="inlineStr">
        <is>
          <t>cmm4xvu980000cuh4vj0usz09</t>
        </is>
      </c>
      <c r="AU1074" t="inlineStr"/>
      <c r="AV1074" t="inlineStr">
        <is>
          <t>Kommun</t>
        </is>
      </c>
      <c r="AW1074" t="inlineStr"/>
      <c r="AX1074" t="inlineStr">
        <is>
          <t>2013:251</t>
        </is>
      </c>
      <c r="AY1074" t="inlineStr">
        <is>
          <t>Anmalan</t>
        </is>
      </c>
      <c r="AZ1074" t="inlineStr">
        <is>
          <t>2026-02-04</t>
        </is>
      </c>
      <c r="BA1074" t="inlineStr">
        <is>
          <t>2025-3473 8.pdf</t>
        </is>
      </c>
      <c r="BB1074" t="inlineStr">
        <is>
          <t>Sv:  Begäran om utlämnande av allmän handling – Anmälningar och beslut rörande mellanlagring av avfall samt anläggning av ytor</t>
        </is>
      </c>
      <c r="BC1074" t="inlineStr">
        <is>
          <t>AUTO</t>
        </is>
      </c>
      <c r="BD1074" t="inlineStr"/>
      <c r="BE1074" t="inlineStr"/>
      <c r="BF1074" t="inlineStr">
        <is>
          <t>AUTO_GENERERAD. Bekrafta metadata mot kallfil.</t>
        </is>
      </c>
      <c r="BG1074">
        <f>HYPERLINK("C:\Users\jimmy\Desktop\Examens arbete\Kod\Ny mapp\remix_-copy-of-miljöbeslut.se-portal\2025-3473 8.pdf", "Öppna PDF")</f>
        <v/>
      </c>
    </row>
    <row r="1075">
      <c r="A1075" t="inlineStr">
        <is>
          <t>KRAV-AUTO-001074</t>
        </is>
      </c>
      <c r="B1075" t="inlineStr">
        <is>
          <t>ADMIN-INDEX-2026-02-27-00000000125C043F57453246863FE664CAFE6A3F0700950291EA24F0614FB6ACEDB12BF0E31D00000000010C0000950291EA24F0614FB6ACEDB12BF0E31D00002087AE610000</t>
        </is>
      </c>
      <c r="C1075" t="inlineStr">
        <is>
          <t>cmm4yupps02uncuqw2oocfvsk</t>
        </is>
      </c>
      <c r="D1075" t="inlineStr">
        <is>
          <t>http://localhost:8787/api/admin/requirements/documents/cmm4yupps02uncuqw2oocfvsk/view</t>
        </is>
      </c>
      <c r="E1075">
        <f>HYPERLÄNK("http://localhost:8787/api/admin/requirements/documents/cmm4yupps02uncuqw2oocfvsk/view";"Öppna PDF")</f>
        <v/>
      </c>
      <c r="F1075">
        <f>HYPERLINK("http://localhost:8787/api/admin/requirements/documents/cmm4yupps02uncuqw2oocfvsk/view","Open PDF")</f>
        <v/>
      </c>
      <c r="G1075" t="inlineStr">
        <is>
          <t>cmm55w57p0004cuisfrtpqly8</t>
        </is>
      </c>
      <c r="H1075" t="inlineStr">
        <is>
          <t>Informationskrav</t>
        </is>
      </c>
      <c r="I1075" t="inlineStr">
        <is>
          <t>DagvattenLakvatten</t>
        </is>
      </c>
      <c r="J1075" t="inlineStr">
        <is>
          <t>Uppsamling</t>
        </is>
      </c>
      <c r="K1075" t="inlineStr">
        <is>
          <t>Redogör för planerad verksamhet och åtgärder i tekniskt hänseende som råvaror, produktionsmetoder, produktionskapacitet/producerad mängd, kemikaliehantering, kapacitet, emissioner, reningsanläggning, driftförhållanden, energiförbrukning m.m.</t>
        </is>
      </c>
      <c r="L1075" t="inlineStr">
        <is>
          <t>Redogör för planerad verksamhet och åtgärder i tekniskt hänseende som råvaror, produktionsmetoder, produktionskapacitet/producerad mängd, kemikaliehantering, kapacitet, emissioner, reningsanläggning, driftförhållanden, energiförbrukning m.m.</t>
        </is>
      </c>
      <c r="M1075" t="inlineStr">
        <is>
          <t>SKA</t>
        </is>
      </c>
      <c r="N1075" t="inlineStr"/>
      <c r="O1075" t="inlineStr"/>
      <c r="P1075" t="inlineStr"/>
      <c r="Q1075" t="inlineStr"/>
      <c r="R1075" t="inlineStr">
        <is>
          <t>Vid nederbord och avrinning</t>
        </is>
      </c>
      <c r="S1075" t="inlineStr"/>
      <c r="T1075" t="inlineStr">
        <is>
          <t>35 30 00</t>
        </is>
      </c>
      <c r="U1075" t="inlineStr"/>
      <c r="V1075" t="inlineStr"/>
      <c r="W1075" t="inlineStr">
        <is>
          <t>Nej</t>
        </is>
      </c>
      <c r="X1075" t="inlineStr">
        <is>
          <t>Ja</t>
        </is>
      </c>
      <c r="Y1075" t="inlineStr">
        <is>
          <t>Ja</t>
        </is>
      </c>
      <c r="Z1075" t="inlineStr">
        <is>
          <t>Nej</t>
        </is>
      </c>
      <c r="AA1075" t="n">
        <v>6</v>
      </c>
      <c r="AB1075" t="inlineStr">
        <is>
          <t>Lakvattenhantering</t>
        </is>
      </c>
      <c r="AC1075" t="inlineStr">
        <is>
          <t>Flodesschema dagvatten-lakvatten</t>
        </is>
      </c>
      <c r="AD1075" t="inlineStr">
        <is>
          <t>Nej</t>
        </is>
      </c>
      <c r="AE1075" t="inlineStr">
        <is>
          <t>Nej</t>
        </is>
      </c>
      <c r="AF1075" t="inlineStr">
        <is>
          <t>Ej behandlad</t>
        </is>
      </c>
      <c r="AG1075" t="inlineStr">
        <is>
          <t>AUTO_GENERERAD. Verifiera citat mot kallfil.</t>
        </is>
      </c>
      <c r="AH1075" t="inlineStr">
        <is>
          <t>MEDIUM</t>
        </is>
      </c>
      <c r="AI1075" t="inlineStr">
        <is>
          <t>AUTO</t>
        </is>
      </c>
      <c r="AJ1075" t="inlineStr">
        <is>
          <t>Nej</t>
        </is>
      </c>
      <c r="AK1075" t="inlineStr"/>
      <c r="AL1075" t="inlineStr"/>
      <c r="AM1075" t="inlineStr"/>
      <c r="AN1075" t="inlineStr"/>
      <c r="AO1075" t="inlineStr">
        <is>
          <t>cmm4yupps02uncuqw2oocfvsk</t>
        </is>
      </c>
      <c r="AP1075" t="inlineStr">
        <is>
          <t>http://localhost:8787/api/admin/requirements/documents/cmm4yupps02uncuqw2oocfvsk/view</t>
        </is>
      </c>
      <c r="AQ1075">
        <f>HYPERLÄNK("http://localhost:8787/api/admin/requirements/documents/cmm4yupps02uncuqw2oocfvsk/view";"Öppna PDF")</f>
        <v/>
      </c>
      <c r="AR1075">
        <f>HYPERLINK("http://localhost:8787/api/admin/requirements/documents/cmm4yupps02uncuqw2oocfvsk/view","Open PDF")</f>
        <v/>
      </c>
      <c r="AS1075" t="inlineStr">
        <is>
          <t>cmm55w57p0004cuisfrtpqly8</t>
        </is>
      </c>
      <c r="AT1075" t="inlineStr">
        <is>
          <t>cmm4xvu980000cuh4vj0usz09</t>
        </is>
      </c>
      <c r="AU1075" t="inlineStr"/>
      <c r="AV1075" t="inlineStr">
        <is>
          <t>Kommun</t>
        </is>
      </c>
      <c r="AW1075" t="inlineStr"/>
      <c r="AX1075" t="inlineStr">
        <is>
          <t>2013:251</t>
        </is>
      </c>
      <c r="AY1075" t="inlineStr">
        <is>
          <t>Anmalan</t>
        </is>
      </c>
      <c r="AZ1075" t="inlineStr">
        <is>
          <t>2026-02-04</t>
        </is>
      </c>
      <c r="BA1075" t="inlineStr">
        <is>
          <t>2025-3473 8.pdf</t>
        </is>
      </c>
      <c r="BB1075" t="inlineStr">
        <is>
          <t>Sv:  Begäran om utlämnande av allmän handling – Anmälningar och beslut rörande mellanlagring av avfall samt anläggning av ytor</t>
        </is>
      </c>
      <c r="BC1075" t="inlineStr">
        <is>
          <t>AUTO</t>
        </is>
      </c>
      <c r="BD1075" t="inlineStr"/>
      <c r="BE1075" t="inlineStr"/>
      <c r="BF1075" t="inlineStr">
        <is>
          <t>AUTO_GENERERAD. Bekrafta metadata mot kallfil.</t>
        </is>
      </c>
      <c r="BG1075">
        <f>HYPERLINK("C:\Users\jimmy\Desktop\Examens arbete\Kod\Ny mapp\remix_-copy-of-miljöbeslut.se-portal\2025-3473 8.pdf", "Öppna PDF")</f>
        <v/>
      </c>
    </row>
    <row r="1076">
      <c r="A1076" t="inlineStr">
        <is>
          <t>KRAV-AUTO-001075</t>
        </is>
      </c>
      <c r="B1076" t="inlineStr">
        <is>
          <t>ADMIN-INDEX-2026-02-27-00000000125C043F57453246863FE664CAFE6A3F0700950291EA24F0614FB6ACEDB12BF0E31D00000000010C0000950291EA24F0614FB6ACEDB12BF0E31D00002087AE610000</t>
        </is>
      </c>
      <c r="C1076" t="inlineStr">
        <is>
          <t>cmm4yuppp02ukcuqw5y10avan</t>
        </is>
      </c>
      <c r="D1076" t="inlineStr">
        <is>
          <t>http://localhost:8787/api/admin/requirements/documents/cmm4yuppp02ukcuqw5y10avan/view</t>
        </is>
      </c>
      <c r="E1076">
        <f>HYPERLÄNK("http://localhost:8787/api/admin/requirements/documents/cmm4yuppp02ukcuqw5y10avan/view";"Öppna PDF")</f>
        <v/>
      </c>
      <c r="F1076">
        <f>HYPERLINK("http://localhost:8787/api/admin/requirements/documents/cmm4yuppp02ukcuqw5y10avan/view","Open PDF")</f>
        <v/>
      </c>
      <c r="G1076" t="inlineStr">
        <is>
          <t>cmm55w57p0004cuisfrtpqly8</t>
        </is>
      </c>
      <c r="H1076" t="inlineStr">
        <is>
          <t>Informationskrav</t>
        </is>
      </c>
      <c r="I1076" t="inlineStr">
        <is>
          <t>LagringsvolymTid</t>
        </is>
      </c>
      <c r="J1076" t="inlineStr">
        <is>
          <t>Maxmangd</t>
        </is>
      </c>
      <c r="K1076" t="inlineStr">
        <is>
          <t>Det har under handläggningen av ärendet framkommit att 300 stubbar motsvarar ca 75 m3 fast mått eller 300 m3 löst mått vilket innebär att de mängder som ska flisas ligger under den anmälningspliktiga nivån.</t>
        </is>
      </c>
      <c r="L1076" t="inlineStr">
        <is>
          <t>Det har under handläggningen av ärendet framkommit att 300 stubbar motsvarar ca 75 m3 fast mått eller 300 m3 löst mått vilket innebär att de mängder som ska flisas ligger under den anmälningspliktiga nivån.</t>
        </is>
      </c>
      <c r="M1076" t="inlineStr">
        <is>
          <t>SKA</t>
        </is>
      </c>
      <c r="N1076" t="inlineStr"/>
      <c r="O1076" t="inlineStr"/>
      <c r="P1076" t="inlineStr"/>
      <c r="Q1076" t="inlineStr"/>
      <c r="R1076" t="inlineStr">
        <is>
          <t>Alltid</t>
        </is>
      </c>
      <c r="S1076" t="inlineStr"/>
      <c r="T1076" t="inlineStr">
        <is>
          <t>35 30 04</t>
        </is>
      </c>
      <c r="U1076" t="inlineStr"/>
      <c r="V1076" t="inlineStr"/>
      <c r="W1076" t="inlineStr">
        <is>
          <t>Nej</t>
        </is>
      </c>
      <c r="X1076" t="inlineStr">
        <is>
          <t>Nej</t>
        </is>
      </c>
      <c r="Y1076" t="inlineStr">
        <is>
          <t>Nej</t>
        </is>
      </c>
      <c r="Z1076" t="inlineStr">
        <is>
          <t>Nej</t>
        </is>
      </c>
      <c r="AA1076" t="n">
        <v>4</v>
      </c>
      <c r="AB1076" t="inlineStr">
        <is>
          <t>Avfallsmangder och lagringstid</t>
        </is>
      </c>
      <c r="AC1076" t="inlineStr">
        <is>
          <t>Avfallsforteckning</t>
        </is>
      </c>
      <c r="AD1076" t="inlineStr">
        <is>
          <t>Nej</t>
        </is>
      </c>
      <c r="AE1076" t="inlineStr">
        <is>
          <t>Nej</t>
        </is>
      </c>
      <c r="AF1076" t="inlineStr">
        <is>
          <t>Ej behandlad</t>
        </is>
      </c>
      <c r="AG1076" t="inlineStr">
        <is>
          <t>AUTO_GENERERAD. Verifiera citat mot kallfil.</t>
        </is>
      </c>
      <c r="AH1076" t="inlineStr">
        <is>
          <t>MEDIUM</t>
        </is>
      </c>
      <c r="AI1076" t="inlineStr">
        <is>
          <t>AUTO</t>
        </is>
      </c>
      <c r="AJ1076" t="inlineStr">
        <is>
          <t>Nej</t>
        </is>
      </c>
      <c r="AK1076" t="inlineStr"/>
      <c r="AL1076" t="inlineStr"/>
      <c r="AM1076" t="inlineStr"/>
      <c r="AN1076" t="inlineStr"/>
      <c r="AO1076" t="inlineStr">
        <is>
          <t>cmm4yupps02uncuqw2oocfvsk</t>
        </is>
      </c>
      <c r="AP1076" t="inlineStr">
        <is>
          <t>http://localhost:8787/api/admin/requirements/documents/cmm4yupps02uncuqw2oocfvsk/view</t>
        </is>
      </c>
      <c r="AQ1076">
        <f>HYPERLÄNK("http://localhost:8787/api/admin/requirements/documents/cmm4yupps02uncuqw2oocfvsk/view";"Öppna PDF")</f>
        <v/>
      </c>
      <c r="AR1076">
        <f>HYPERLINK("http://localhost:8787/api/admin/requirements/documents/cmm4yupps02uncuqw2oocfvsk/view","Open PDF")</f>
        <v/>
      </c>
      <c r="AS1076" t="inlineStr">
        <is>
          <t>cmm55w57p0004cuisfrtpqly8</t>
        </is>
      </c>
      <c r="AT1076" t="inlineStr">
        <is>
          <t>cmm4xvu980000cuh4vj0usz09</t>
        </is>
      </c>
      <c r="AU1076" t="inlineStr"/>
      <c r="AV1076" t="inlineStr">
        <is>
          <t>Kommun</t>
        </is>
      </c>
      <c r="AW1076" t="inlineStr"/>
      <c r="AX1076" t="inlineStr">
        <is>
          <t>2013:251</t>
        </is>
      </c>
      <c r="AY1076" t="inlineStr">
        <is>
          <t>Anmalan</t>
        </is>
      </c>
      <c r="AZ1076" t="inlineStr">
        <is>
          <t>2026-02-04</t>
        </is>
      </c>
      <c r="BA1076" t="inlineStr">
        <is>
          <t>2025-3473 8.pdf</t>
        </is>
      </c>
      <c r="BB1076" t="inlineStr">
        <is>
          <t>Sv:  Begäran om utlämnande av allmän handling – Anmälningar och beslut rörande mellanlagring av avfall samt anläggning av ytor</t>
        </is>
      </c>
      <c r="BC1076" t="inlineStr">
        <is>
          <t>AUTO</t>
        </is>
      </c>
      <c r="BD1076" t="inlineStr"/>
      <c r="BE1076" t="inlineStr"/>
      <c r="BF1076" t="inlineStr">
        <is>
          <t>AUTO_GENERERAD. Bekrafta metadata mot kallfil.</t>
        </is>
      </c>
      <c r="BG1076">
        <f>HYPERLINK("C:\Users\jimmy\Desktop\Examens arbete\Kod\Ny mapp\remix_-copy-of-miljöbeslut.se-portal\2025-3473 8.pdf", "Öppna PDF")</f>
        <v/>
      </c>
    </row>
    <row r="1077">
      <c r="A1077" t="inlineStr">
        <is>
          <t>KRAV-AUTO-001076</t>
        </is>
      </c>
      <c r="B1077" t="inlineStr">
        <is>
          <t>ADMIN-INDEX-2026-02-27-00000000125C043F57453246863FE664CAFE6A3F0700950291EA24F0614FB6ACEDB12BF0E31D00000000010C0000950291EA24F0614FB6ACEDB12BF0E31D00002087AE610000</t>
        </is>
      </c>
      <c r="C1077" t="inlineStr">
        <is>
          <t>cmm4yuppl02uhcuqw82o3bw2z</t>
        </is>
      </c>
      <c r="D1077" t="inlineStr">
        <is>
          <t>http://localhost:8787/api/admin/requirements/documents/cmm4yuppl02uhcuqw82o3bw2z/view</t>
        </is>
      </c>
      <c r="E1077">
        <f>HYPERLÄNK("http://localhost:8787/api/admin/requirements/documents/cmm4yuppl02uhcuqw82o3bw2z/view";"Öppna PDF")</f>
        <v/>
      </c>
      <c r="F1077">
        <f>HYPERLINK("http://localhost:8787/api/admin/requirements/documents/cmm4yuppl02uhcuqw82o3bw2z/view","Open PDF")</f>
        <v/>
      </c>
      <c r="G1077" t="inlineStr">
        <is>
          <t>cmm55w57p0004cuisfrtpqly8</t>
        </is>
      </c>
      <c r="H1077" t="inlineStr">
        <is>
          <t>Informationskrav</t>
        </is>
      </c>
      <c r="I1077" t="inlineStr">
        <is>
          <t>DriftEgenkontroll</t>
        </is>
      </c>
      <c r="J1077" t="inlineStr">
        <is>
          <t>Journalforing</t>
        </is>
      </c>
      <c r="K1077" t="inlineStr">
        <is>
          <t>Provtagning kommer ske genom samlingsprov med ett intervall om 1500m³ Mottagningsdokument för karakterisering av massorna kommer kravställas på de som tippar på platsen.</t>
        </is>
      </c>
      <c r="L1077" t="inlineStr">
        <is>
          <t>Provtagning kommer ske genom samlingsprov med ett intervall om 1500m³ Mottagningsdokument för karakterisering av massorna kommer kravställas på de som tippar på platsen.</t>
        </is>
      </c>
      <c r="M1077" t="inlineStr">
        <is>
          <t>SKA</t>
        </is>
      </c>
      <c r="N1077" t="inlineStr"/>
      <c r="O1077" t="inlineStr"/>
      <c r="P1077" t="inlineStr"/>
      <c r="Q1077" t="inlineStr"/>
      <c r="R1077" t="inlineStr">
        <is>
          <t>Lopande drift</t>
        </is>
      </c>
      <c r="S1077" t="inlineStr"/>
      <c r="T1077" t="inlineStr"/>
      <c r="U1077" t="inlineStr"/>
      <c r="V1077" t="inlineStr"/>
      <c r="W1077" t="inlineStr">
        <is>
          <t>Nej</t>
        </is>
      </c>
      <c r="X1077" t="inlineStr">
        <is>
          <t>Nej</t>
        </is>
      </c>
      <c r="Y1077" t="inlineStr">
        <is>
          <t>Ja</t>
        </is>
      </c>
      <c r="Z1077" t="inlineStr">
        <is>
          <t>Nej</t>
        </is>
      </c>
      <c r="AA1077" t="n">
        <v>7</v>
      </c>
      <c r="AB1077" t="inlineStr">
        <is>
          <t>Egenkontrollrutiner</t>
        </is>
      </c>
      <c r="AC1077" t="inlineStr">
        <is>
          <t>Egenkontrollprogram</t>
        </is>
      </c>
      <c r="AD1077" t="inlineStr">
        <is>
          <t>Nej</t>
        </is>
      </c>
      <c r="AE1077" t="inlineStr">
        <is>
          <t>Nej</t>
        </is>
      </c>
      <c r="AF1077" t="inlineStr">
        <is>
          <t>Ej behandlad</t>
        </is>
      </c>
      <c r="AG1077" t="inlineStr">
        <is>
          <t>AUTO_GENERERAD. Verifiera citat mot kallfil.</t>
        </is>
      </c>
      <c r="AH1077" t="inlineStr">
        <is>
          <t>LOW</t>
        </is>
      </c>
      <c r="AI1077" t="inlineStr">
        <is>
          <t>AUTO</t>
        </is>
      </c>
      <c r="AJ1077" t="inlineStr">
        <is>
          <t>Nej</t>
        </is>
      </c>
      <c r="AK1077" t="inlineStr"/>
      <c r="AL1077" t="inlineStr"/>
      <c r="AM1077" t="inlineStr"/>
      <c r="AN1077" t="inlineStr"/>
      <c r="AO1077" t="inlineStr">
        <is>
          <t>cmm4yupps02uncuqw2oocfvsk</t>
        </is>
      </c>
      <c r="AP1077" t="inlineStr">
        <is>
          <t>http://localhost:8787/api/admin/requirements/documents/cmm4yupps02uncuqw2oocfvsk/view</t>
        </is>
      </c>
      <c r="AQ1077">
        <f>HYPERLÄNK("http://localhost:8787/api/admin/requirements/documents/cmm4yupps02uncuqw2oocfvsk/view";"Öppna PDF")</f>
        <v/>
      </c>
      <c r="AR1077">
        <f>HYPERLINK("http://localhost:8787/api/admin/requirements/documents/cmm4yupps02uncuqw2oocfvsk/view","Open PDF")</f>
        <v/>
      </c>
      <c r="AS1077" t="inlineStr">
        <is>
          <t>cmm55w57p0004cuisfrtpqly8</t>
        </is>
      </c>
      <c r="AT1077" t="inlineStr">
        <is>
          <t>cmm4xvu980000cuh4vj0usz09</t>
        </is>
      </c>
      <c r="AU1077" t="inlineStr"/>
      <c r="AV1077" t="inlineStr">
        <is>
          <t>Kommun</t>
        </is>
      </c>
      <c r="AW1077" t="inlineStr"/>
      <c r="AX1077" t="inlineStr">
        <is>
          <t>2013:251</t>
        </is>
      </c>
      <c r="AY1077" t="inlineStr">
        <is>
          <t>Anmalan</t>
        </is>
      </c>
      <c r="AZ1077" t="inlineStr">
        <is>
          <t>2026-02-04</t>
        </is>
      </c>
      <c r="BA1077" t="inlineStr">
        <is>
          <t>2025-3473 8.pdf</t>
        </is>
      </c>
      <c r="BB1077" t="inlineStr">
        <is>
          <t>Sv:  Begäran om utlämnande av allmän handling – Anmälningar och beslut rörande mellanlagring av avfall samt anläggning av ytor</t>
        </is>
      </c>
      <c r="BC1077" t="inlineStr">
        <is>
          <t>AUTO</t>
        </is>
      </c>
      <c r="BD1077" t="inlineStr"/>
      <c r="BE1077" t="inlineStr"/>
      <c r="BF1077" t="inlineStr">
        <is>
          <t>AUTO_GENERERAD. Bekrafta metadata mot kallfil.</t>
        </is>
      </c>
      <c r="BG1077">
        <f>HYPERLINK("C:\Users\jimmy\Desktop\Examens arbete\Kod\Ny mapp\remix_-copy-of-miljöbeslut.se-portal\2025-3473 8.pdf", "Öppna PDF")</f>
        <v/>
      </c>
    </row>
    <row r="1078">
      <c r="A1078" t="inlineStr">
        <is>
          <t>KRAV-AUTO-001077</t>
        </is>
      </c>
      <c r="B1078" t="inlineStr">
        <is>
          <t>ADMIN-INDEX-2026-02-27-00000000125C043F57453246863FE664CAFE6A3F0700950291EA24F0614FB6ACEDB12BF0E31D00000000010C0000950291EA24F0614FB6ACEDB12BF0E31D00002087AE610000</t>
        </is>
      </c>
      <c r="C1078" t="inlineStr">
        <is>
          <t>cmm4yupph02uecuqwfrixmsn3</t>
        </is>
      </c>
      <c r="D1078" t="inlineStr">
        <is>
          <t>http://localhost:8787/api/admin/requirements/documents/cmm4yupph02uecuqwfrixmsn3/view</t>
        </is>
      </c>
      <c r="E1078">
        <f>HYPERLÄNK("http://localhost:8787/api/admin/requirements/documents/cmm4yupph02uecuqwfrixmsn3/view";"Öppna PDF")</f>
        <v/>
      </c>
      <c r="F1078">
        <f>HYPERLINK("http://localhost:8787/api/admin/requirements/documents/cmm4yupph02uecuqwfrixmsn3/view","Open PDF")</f>
        <v/>
      </c>
      <c r="G1078" t="inlineStr">
        <is>
          <t>cmm55w57p0004cuisfrtpqly8</t>
        </is>
      </c>
      <c r="H1078" t="inlineStr">
        <is>
          <t>Informationskrav</t>
        </is>
      </c>
      <c r="I1078" t="inlineStr">
        <is>
          <t>DagvattenLakvatten</t>
        </is>
      </c>
      <c r="J1078" t="inlineStr">
        <is>
          <t>Uppsamling</t>
        </is>
      </c>
      <c r="K1078" t="inlineStr">
        <is>
          <t>Vatten: Vad gäller vatten och avlopp bör uppdelning ske på processvatten, sanitärt vatten och dagvatten.</t>
        </is>
      </c>
      <c r="L1078" t="inlineStr">
        <is>
          <t>Vatten: Vad gäller vatten och avlopp bör uppdelning ske på processvatten, sanitärt vatten och dagvatten.</t>
        </is>
      </c>
      <c r="M1078" t="inlineStr">
        <is>
          <t>BOR</t>
        </is>
      </c>
      <c r="N1078" t="inlineStr"/>
      <c r="O1078" t="inlineStr"/>
      <c r="P1078" t="inlineStr"/>
      <c r="Q1078" t="inlineStr"/>
      <c r="R1078" t="inlineStr">
        <is>
          <t>Vid nederbord och avrinning</t>
        </is>
      </c>
      <c r="S1078" t="inlineStr"/>
      <c r="T1078" t="inlineStr">
        <is>
          <t>22 23 72</t>
        </is>
      </c>
      <c r="U1078" t="inlineStr"/>
      <c r="V1078" t="inlineStr"/>
      <c r="W1078" t="inlineStr">
        <is>
          <t>Nej</t>
        </is>
      </c>
      <c r="X1078" t="inlineStr">
        <is>
          <t>Ja</t>
        </is>
      </c>
      <c r="Y1078" t="inlineStr">
        <is>
          <t>Ja</t>
        </is>
      </c>
      <c r="Z1078" t="inlineStr">
        <is>
          <t>Nej</t>
        </is>
      </c>
      <c r="AA1078" t="n">
        <v>6</v>
      </c>
      <c r="AB1078" t="inlineStr">
        <is>
          <t>Lakvattenhantering</t>
        </is>
      </c>
      <c r="AC1078" t="inlineStr">
        <is>
          <t>Flodesschema dagvatten-lakvatten</t>
        </is>
      </c>
      <c r="AD1078" t="inlineStr">
        <is>
          <t>Nej</t>
        </is>
      </c>
      <c r="AE1078" t="inlineStr">
        <is>
          <t>Nej</t>
        </is>
      </c>
      <c r="AF1078" t="inlineStr">
        <is>
          <t>Ej behandlad</t>
        </is>
      </c>
      <c r="AG1078" t="inlineStr">
        <is>
          <t>AUTO_GENERERAD. Verifiera citat mot kallfil.</t>
        </is>
      </c>
      <c r="AH1078" t="inlineStr">
        <is>
          <t>MEDIUM</t>
        </is>
      </c>
      <c r="AI1078" t="inlineStr">
        <is>
          <t>AUTO</t>
        </is>
      </c>
      <c r="AJ1078" t="inlineStr">
        <is>
          <t>Nej</t>
        </is>
      </c>
      <c r="AK1078" t="inlineStr"/>
      <c r="AL1078" t="inlineStr"/>
      <c r="AM1078" t="inlineStr"/>
      <c r="AN1078" t="inlineStr"/>
      <c r="AO1078" t="inlineStr">
        <is>
          <t>cmm4yupps02uncuqw2oocfvsk</t>
        </is>
      </c>
      <c r="AP1078" t="inlineStr">
        <is>
          <t>http://localhost:8787/api/admin/requirements/documents/cmm4yupps02uncuqw2oocfvsk/view</t>
        </is>
      </c>
      <c r="AQ1078">
        <f>HYPERLÄNK("http://localhost:8787/api/admin/requirements/documents/cmm4yupps02uncuqw2oocfvsk/view";"Öppna PDF")</f>
        <v/>
      </c>
      <c r="AR1078">
        <f>HYPERLINK("http://localhost:8787/api/admin/requirements/documents/cmm4yupps02uncuqw2oocfvsk/view","Open PDF")</f>
        <v/>
      </c>
      <c r="AS1078" t="inlineStr">
        <is>
          <t>cmm55w57p0004cuisfrtpqly8</t>
        </is>
      </c>
      <c r="AT1078" t="inlineStr">
        <is>
          <t>cmm4xvu980000cuh4vj0usz09</t>
        </is>
      </c>
      <c r="AU1078" t="inlineStr"/>
      <c r="AV1078" t="inlineStr">
        <is>
          <t>Kommun</t>
        </is>
      </c>
      <c r="AW1078" t="inlineStr"/>
      <c r="AX1078" t="inlineStr">
        <is>
          <t>2013:251</t>
        </is>
      </c>
      <c r="AY1078" t="inlineStr">
        <is>
          <t>Anmalan</t>
        </is>
      </c>
      <c r="AZ1078" t="inlineStr">
        <is>
          <t>2026-02-04</t>
        </is>
      </c>
      <c r="BA1078" t="inlineStr">
        <is>
          <t>2025-3473 8.pdf</t>
        </is>
      </c>
      <c r="BB1078" t="inlineStr">
        <is>
          <t>Sv:  Begäran om utlämnande av allmän handling – Anmälningar och beslut rörande mellanlagring av avfall samt anläggning av ytor</t>
        </is>
      </c>
      <c r="BC1078" t="inlineStr">
        <is>
          <t>AUTO</t>
        </is>
      </c>
      <c r="BD1078" t="inlineStr"/>
      <c r="BE1078" t="inlineStr"/>
      <c r="BF1078" t="inlineStr">
        <is>
          <t>AUTO_GENERERAD. Bekrafta metadata mot kallfil.</t>
        </is>
      </c>
      <c r="BG1078">
        <f>HYPERLINK("C:\Users\jimmy\Desktop\Examens arbete\Kod\Ny mapp\remix_-copy-of-miljöbeslut.se-portal\2025-3473 8.pdf", "Öppna PDF")</f>
        <v/>
      </c>
    </row>
    <row r="1079">
      <c r="A1079" t="inlineStr">
        <is>
          <t>KRAV-AUTO-001078</t>
        </is>
      </c>
      <c r="B1079" t="inlineStr">
        <is>
          <t>ADMIN-INDEX-2026-02-27-00000000125C043F57453246863FE664CAFE6A3F0700950291EA24F0614FB6ACEDB12BF0E31D00000000010C0000950291EA24F0614FB6ACEDB12BF0E31D00002087AE610000</t>
        </is>
      </c>
      <c r="C1079" t="inlineStr">
        <is>
          <t>cmm4yupph02uecuqwfrixmsn3</t>
        </is>
      </c>
      <c r="D1079" t="inlineStr">
        <is>
          <t>http://localhost:8787/api/admin/requirements/documents/cmm4yupph02uecuqwfrixmsn3/view</t>
        </is>
      </c>
      <c r="E1079">
        <f>HYPERLÄNK("http://localhost:8787/api/admin/requirements/documents/cmm4yupph02uecuqwfrixmsn3/view";"Öppna PDF")</f>
        <v/>
      </c>
      <c r="F1079">
        <f>HYPERLINK("http://localhost:8787/api/admin/requirements/documents/cmm4yupph02uecuqwfrixmsn3/view","Open PDF")</f>
        <v/>
      </c>
      <c r="G1079" t="inlineStr">
        <is>
          <t>cmm55w57p0004cuisfrtpqly8</t>
        </is>
      </c>
      <c r="H1079" t="inlineStr">
        <is>
          <t>Informationskrav</t>
        </is>
      </c>
      <c r="I1079" t="inlineStr">
        <is>
          <t>LokaliseringPlats</t>
        </is>
      </c>
      <c r="J1079" t="inlineStr">
        <is>
          <t>Skyddsobjekt</t>
        </is>
      </c>
      <c r="K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079" t="inlineStr">
        <is>
          <t>SKA</t>
        </is>
      </c>
      <c r="N1079" t="inlineStr"/>
      <c r="O1079" t="inlineStr"/>
      <c r="P1079" t="inlineStr">
        <is>
          <t>Arlig</t>
        </is>
      </c>
      <c r="Q1079" t="inlineStr"/>
      <c r="R1079" t="inlineStr">
        <is>
          <t>Fore beslut</t>
        </is>
      </c>
      <c r="S1079" t="inlineStr"/>
      <c r="T1079" t="inlineStr">
        <is>
          <t>22 23 72</t>
        </is>
      </c>
      <c r="U1079" t="inlineStr"/>
      <c r="V1079" t="inlineStr"/>
      <c r="W1079" t="inlineStr">
        <is>
          <t>Nej</t>
        </is>
      </c>
      <c r="X1079" t="inlineStr">
        <is>
          <t>Nej</t>
        </is>
      </c>
      <c r="Y1079" t="inlineStr">
        <is>
          <t>Nej</t>
        </is>
      </c>
      <c r="Z1079" t="inlineStr">
        <is>
          <t>Nej</t>
        </is>
      </c>
      <c r="AA1079" t="n">
        <v>3</v>
      </c>
      <c r="AB1079" t="inlineStr">
        <is>
          <t>Platsforutsattningar</t>
        </is>
      </c>
      <c r="AC1079" t="inlineStr">
        <is>
          <t>Situationsplan</t>
        </is>
      </c>
      <c r="AD1079" t="inlineStr">
        <is>
          <t>Nej</t>
        </is>
      </c>
      <c r="AE1079" t="inlineStr">
        <is>
          <t>Nej</t>
        </is>
      </c>
      <c r="AF1079" t="inlineStr">
        <is>
          <t>Ej behandlad</t>
        </is>
      </c>
      <c r="AG1079" t="inlineStr">
        <is>
          <t>AUTO_GENERERAD. Verifiera citat mot kallfil.</t>
        </is>
      </c>
      <c r="AH1079" t="inlineStr">
        <is>
          <t>MEDIUM</t>
        </is>
      </c>
      <c r="AI1079" t="inlineStr">
        <is>
          <t>AUTO</t>
        </is>
      </c>
      <c r="AJ1079" t="inlineStr">
        <is>
          <t>Nej</t>
        </is>
      </c>
      <c r="AK1079" t="inlineStr"/>
      <c r="AL1079" t="inlineStr"/>
      <c r="AM1079" t="inlineStr"/>
      <c r="AN1079" t="inlineStr"/>
      <c r="AO1079" t="inlineStr">
        <is>
          <t>cmm4yupps02uncuqw2oocfvsk</t>
        </is>
      </c>
      <c r="AP1079" t="inlineStr">
        <is>
          <t>http://localhost:8787/api/admin/requirements/documents/cmm4yupps02uncuqw2oocfvsk/view</t>
        </is>
      </c>
      <c r="AQ1079">
        <f>HYPERLÄNK("http://localhost:8787/api/admin/requirements/documents/cmm4yupps02uncuqw2oocfvsk/view";"Öppna PDF")</f>
        <v/>
      </c>
      <c r="AR1079">
        <f>HYPERLINK("http://localhost:8787/api/admin/requirements/documents/cmm4yupps02uncuqw2oocfvsk/view","Open PDF")</f>
        <v/>
      </c>
      <c r="AS1079" t="inlineStr">
        <is>
          <t>cmm55w57p0004cuisfrtpqly8</t>
        </is>
      </c>
      <c r="AT1079" t="inlineStr">
        <is>
          <t>cmm4xvu980000cuh4vj0usz09</t>
        </is>
      </c>
      <c r="AU1079" t="inlineStr"/>
      <c r="AV1079" t="inlineStr">
        <is>
          <t>Kommun</t>
        </is>
      </c>
      <c r="AW1079" t="inlineStr"/>
      <c r="AX1079" t="inlineStr">
        <is>
          <t>2013:251</t>
        </is>
      </c>
      <c r="AY1079" t="inlineStr">
        <is>
          <t>Anmalan</t>
        </is>
      </c>
      <c r="AZ1079" t="inlineStr">
        <is>
          <t>2026-02-04</t>
        </is>
      </c>
      <c r="BA1079" t="inlineStr">
        <is>
          <t>2025-3473 8.pdf</t>
        </is>
      </c>
      <c r="BB1079" t="inlineStr">
        <is>
          <t>Sv:  Begäran om utlämnande av allmän handling – Anmälningar och beslut rörande mellanlagring av avfall samt anläggning av ytor</t>
        </is>
      </c>
      <c r="BC1079" t="inlineStr">
        <is>
          <t>AUTO</t>
        </is>
      </c>
      <c r="BD1079" t="inlineStr"/>
      <c r="BE1079" t="inlineStr"/>
      <c r="BF1079" t="inlineStr">
        <is>
          <t>AUTO_GENERERAD. Bekrafta metadata mot kallfil.</t>
        </is>
      </c>
      <c r="BG1079">
        <f>HYPERLINK("C:\Users\jimmy\Desktop\Examens arbete\Kod\Ny mapp\remix_-copy-of-miljöbeslut.se-portal\2025-3473 8.pdf", "Öppna PDF")</f>
        <v/>
      </c>
    </row>
    <row r="1080">
      <c r="A1080" t="inlineStr">
        <is>
          <t>KRAV-AUTO-001079</t>
        </is>
      </c>
      <c r="B1080" t="inlineStr">
        <is>
          <t>ADMIN-INDEX-2026-02-27-00000000125C043F57453246863FE664CAFE6A3F0700950291EA24F0614FB6ACEDB12BF0E31D00000000010C0000950291EA24F0614FB6ACEDB12BF0E31D00002087AE610000</t>
        </is>
      </c>
      <c r="C1080" t="inlineStr">
        <is>
          <t>cmm4yupph02uecuqwfrixmsn3</t>
        </is>
      </c>
      <c r="D1080" t="inlineStr">
        <is>
          <t>http://localhost:8787/api/admin/requirements/documents/cmm4yupph02uecuqwfrixmsn3/view</t>
        </is>
      </c>
      <c r="E1080">
        <f>HYPERLÄNK("http://localhost:8787/api/admin/requirements/documents/cmm4yupph02uecuqwfrixmsn3/view";"Öppna PDF")</f>
        <v/>
      </c>
      <c r="F1080">
        <f>HYPERLINK("http://localhost:8787/api/admin/requirements/documents/cmm4yupph02uecuqwfrixmsn3/view","Open PDF")</f>
        <v/>
      </c>
      <c r="G1080" t="inlineStr">
        <is>
          <t>cmm55w57p0004cuisfrtpqly8</t>
        </is>
      </c>
      <c r="H1080" t="inlineStr">
        <is>
          <t>Informationskrav</t>
        </is>
      </c>
      <c r="I1080" t="inlineStr">
        <is>
          <t>DagvattenLakvatten</t>
        </is>
      </c>
      <c r="J1080" t="inlineStr">
        <is>
          <t>Uppsamling</t>
        </is>
      </c>
      <c r="K1080" t="inlineStr">
        <is>
          <t>Redogör för planerad verksamhet och åtgärder i tekniskt hänseende som råvaror, produktionsmetoder, produktionskapacitet/producerad mängd, kemikaliehantering, kapacitet, emissioner, reningsanläggning, driftförhållanden, energiförbrukning m.m.</t>
        </is>
      </c>
      <c r="L1080" t="inlineStr">
        <is>
          <t>Redogör för planerad verksamhet och åtgärder i tekniskt hänseende som råvaror, produktionsmetoder, produktionskapacitet/producerad mängd, kemikaliehantering, kapacitet, emissioner, reningsanläggning, driftförhållanden, energiförbrukning m.m.</t>
        </is>
      </c>
      <c r="M1080" t="inlineStr">
        <is>
          <t>SKA</t>
        </is>
      </c>
      <c r="N1080" t="inlineStr"/>
      <c r="O1080" t="inlineStr"/>
      <c r="P1080" t="inlineStr"/>
      <c r="Q1080" t="inlineStr"/>
      <c r="R1080" t="inlineStr">
        <is>
          <t>Vid nederbord och avrinning</t>
        </is>
      </c>
      <c r="S1080" t="inlineStr"/>
      <c r="T1080" t="inlineStr">
        <is>
          <t>22 23 72</t>
        </is>
      </c>
      <c r="U1080" t="inlineStr"/>
      <c r="V1080" t="inlineStr"/>
      <c r="W1080" t="inlineStr">
        <is>
          <t>Nej</t>
        </is>
      </c>
      <c r="X1080" t="inlineStr">
        <is>
          <t>Ja</t>
        </is>
      </c>
      <c r="Y1080" t="inlineStr">
        <is>
          <t>Ja</t>
        </is>
      </c>
      <c r="Z1080" t="inlineStr">
        <is>
          <t>Nej</t>
        </is>
      </c>
      <c r="AA1080" t="n">
        <v>6</v>
      </c>
      <c r="AB1080" t="inlineStr">
        <is>
          <t>Lakvattenhantering</t>
        </is>
      </c>
      <c r="AC1080" t="inlineStr">
        <is>
          <t>Flodesschema dagvatten-lakvatten</t>
        </is>
      </c>
      <c r="AD1080" t="inlineStr">
        <is>
          <t>Nej</t>
        </is>
      </c>
      <c r="AE1080" t="inlineStr">
        <is>
          <t>Nej</t>
        </is>
      </c>
      <c r="AF1080" t="inlineStr">
        <is>
          <t>Ej behandlad</t>
        </is>
      </c>
      <c r="AG1080" t="inlineStr">
        <is>
          <t>AUTO_GENERERAD. Verifiera citat mot kallfil.</t>
        </is>
      </c>
      <c r="AH1080" t="inlineStr">
        <is>
          <t>MEDIUM</t>
        </is>
      </c>
      <c r="AI1080" t="inlineStr">
        <is>
          <t>AUTO</t>
        </is>
      </c>
      <c r="AJ1080" t="inlineStr">
        <is>
          <t>Nej</t>
        </is>
      </c>
      <c r="AK1080" t="inlineStr"/>
      <c r="AL1080" t="inlineStr"/>
      <c r="AM1080" t="inlineStr"/>
      <c r="AN1080" t="inlineStr"/>
      <c r="AO1080" t="inlineStr">
        <is>
          <t>cmm4yupps02uncuqw2oocfvsk</t>
        </is>
      </c>
      <c r="AP1080" t="inlineStr">
        <is>
          <t>http://localhost:8787/api/admin/requirements/documents/cmm4yupps02uncuqw2oocfvsk/view</t>
        </is>
      </c>
      <c r="AQ1080">
        <f>HYPERLÄNK("http://localhost:8787/api/admin/requirements/documents/cmm4yupps02uncuqw2oocfvsk/view";"Öppna PDF")</f>
        <v/>
      </c>
      <c r="AR1080">
        <f>HYPERLINK("http://localhost:8787/api/admin/requirements/documents/cmm4yupps02uncuqw2oocfvsk/view","Open PDF")</f>
        <v/>
      </c>
      <c r="AS1080" t="inlineStr">
        <is>
          <t>cmm55w57p0004cuisfrtpqly8</t>
        </is>
      </c>
      <c r="AT1080" t="inlineStr">
        <is>
          <t>cmm4xvu980000cuh4vj0usz09</t>
        </is>
      </c>
      <c r="AU1080" t="inlineStr"/>
      <c r="AV1080" t="inlineStr">
        <is>
          <t>Kommun</t>
        </is>
      </c>
      <c r="AW1080" t="inlineStr"/>
      <c r="AX1080" t="inlineStr">
        <is>
          <t>2013:251</t>
        </is>
      </c>
      <c r="AY1080" t="inlineStr">
        <is>
          <t>Anmalan</t>
        </is>
      </c>
      <c r="AZ1080" t="inlineStr">
        <is>
          <t>2026-02-04</t>
        </is>
      </c>
      <c r="BA1080" t="inlineStr">
        <is>
          <t>2025-3473 8.pdf</t>
        </is>
      </c>
      <c r="BB1080" t="inlineStr">
        <is>
          <t>Sv:  Begäran om utlämnande av allmän handling – Anmälningar och beslut rörande mellanlagring av avfall samt anläggning av ytor</t>
        </is>
      </c>
      <c r="BC1080" t="inlineStr">
        <is>
          <t>AUTO</t>
        </is>
      </c>
      <c r="BD1080" t="inlineStr"/>
      <c r="BE1080" t="inlineStr"/>
      <c r="BF1080" t="inlineStr">
        <is>
          <t>AUTO_GENERERAD. Bekrafta metadata mot kallfil.</t>
        </is>
      </c>
      <c r="BG1080">
        <f>HYPERLINK("C:\Users\jimmy\Desktop\Examens arbete\Kod\Ny mapp\remix_-copy-of-miljöbeslut.se-portal\2025-3473 8.pdf", "Öppna PDF")</f>
        <v/>
      </c>
    </row>
    <row r="1081">
      <c r="A1081" t="inlineStr">
        <is>
          <t>KRAV-AUTO-001080</t>
        </is>
      </c>
      <c r="B1081" t="inlineStr">
        <is>
          <t>ADMIN-INDEX-2026-02-27-00000000125C043F57453246863FE664CAFE6A3F0700950291EA24F0614FB6ACEDB12BF0E31D00000000010C0000950291EA24F0614FB6ACEDB12BF0E31D00002087AE610000</t>
        </is>
      </c>
      <c r="C1081" t="inlineStr">
        <is>
          <t>cmm4yuppe02ubcuqwignm3ye9</t>
        </is>
      </c>
      <c r="D1081" t="inlineStr">
        <is>
          <t>http://localhost:8787/api/admin/requirements/documents/cmm4yuppe02ubcuqwignm3ye9/view</t>
        </is>
      </c>
      <c r="E1081">
        <f>HYPERLÄNK("http://localhost:8787/api/admin/requirements/documents/cmm4yuppe02ubcuqwignm3ye9/view";"Öppna PDF")</f>
        <v/>
      </c>
      <c r="F1081">
        <f>HYPERLINK("http://localhost:8787/api/admin/requirements/documents/cmm4yuppe02ubcuqwignm3ye9/view","Open PDF")</f>
        <v/>
      </c>
      <c r="G1081" t="inlineStr">
        <is>
          <t>cmm55w57p0004cuisfrtpqly8</t>
        </is>
      </c>
      <c r="H1081" t="inlineStr">
        <is>
          <t>Informationskrav</t>
        </is>
      </c>
      <c r="I1081" t="inlineStr">
        <is>
          <t>DagvattenLakvatten</t>
        </is>
      </c>
      <c r="J1081" t="inlineStr">
        <is>
          <t>Uppsamling</t>
        </is>
      </c>
      <c r="K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081" t="inlineStr">
        <is>
          <t>SKA</t>
        </is>
      </c>
      <c r="N1081" t="inlineStr"/>
      <c r="O1081" t="inlineStr"/>
      <c r="P1081" t="inlineStr"/>
      <c r="Q1081" t="inlineStr"/>
      <c r="R1081" t="inlineStr">
        <is>
          <t>Vid nederbord och avrinning</t>
        </is>
      </c>
      <c r="S1081" t="inlineStr"/>
      <c r="T1081" t="inlineStr">
        <is>
          <t>556173</t>
        </is>
      </c>
      <c r="U1081" t="inlineStr"/>
      <c r="V1081" t="inlineStr"/>
      <c r="W1081" t="inlineStr">
        <is>
          <t>Nej</t>
        </is>
      </c>
      <c r="X1081" t="inlineStr">
        <is>
          <t>Ja</t>
        </is>
      </c>
      <c r="Y1081" t="inlineStr">
        <is>
          <t>Ja</t>
        </is>
      </c>
      <c r="Z1081" t="inlineStr">
        <is>
          <t>Nej</t>
        </is>
      </c>
      <c r="AA1081" t="n">
        <v>6</v>
      </c>
      <c r="AB1081" t="inlineStr">
        <is>
          <t>Lakvattenhantering</t>
        </is>
      </c>
      <c r="AC1081" t="inlineStr">
        <is>
          <t>Flodesschema dagvatten-lakvatten</t>
        </is>
      </c>
      <c r="AD1081" t="inlineStr">
        <is>
          <t>Nej</t>
        </is>
      </c>
      <c r="AE1081" t="inlineStr">
        <is>
          <t>Nej</t>
        </is>
      </c>
      <c r="AF1081" t="inlineStr">
        <is>
          <t>Ej behandlad</t>
        </is>
      </c>
      <c r="AG1081" t="inlineStr">
        <is>
          <t>AUTO_GENERERAD. Verifiera citat mot kallfil.</t>
        </is>
      </c>
      <c r="AH1081" t="inlineStr">
        <is>
          <t>MEDIUM</t>
        </is>
      </c>
      <c r="AI1081" t="inlineStr">
        <is>
          <t>AUTO</t>
        </is>
      </c>
      <c r="AJ1081" t="inlineStr">
        <is>
          <t>Nej</t>
        </is>
      </c>
      <c r="AK1081" t="inlineStr"/>
      <c r="AL1081" t="inlineStr"/>
      <c r="AM1081" t="inlineStr"/>
      <c r="AN1081" t="inlineStr"/>
      <c r="AO1081" t="inlineStr">
        <is>
          <t>cmm4yupps02uncuqw2oocfvsk</t>
        </is>
      </c>
      <c r="AP1081" t="inlineStr">
        <is>
          <t>http://localhost:8787/api/admin/requirements/documents/cmm4yupps02uncuqw2oocfvsk/view</t>
        </is>
      </c>
      <c r="AQ1081">
        <f>HYPERLÄNK("http://localhost:8787/api/admin/requirements/documents/cmm4yupps02uncuqw2oocfvsk/view";"Öppna PDF")</f>
        <v/>
      </c>
      <c r="AR1081">
        <f>HYPERLINK("http://localhost:8787/api/admin/requirements/documents/cmm4yupps02uncuqw2oocfvsk/view","Open PDF")</f>
        <v/>
      </c>
      <c r="AS1081" t="inlineStr">
        <is>
          <t>cmm55w57p0004cuisfrtpqly8</t>
        </is>
      </c>
      <c r="AT1081" t="inlineStr">
        <is>
          <t>cmm4xvu980000cuh4vj0usz09</t>
        </is>
      </c>
      <c r="AU1081" t="inlineStr"/>
      <c r="AV1081" t="inlineStr">
        <is>
          <t>Kommun</t>
        </is>
      </c>
      <c r="AW1081" t="inlineStr"/>
      <c r="AX1081" t="inlineStr">
        <is>
          <t>2013:251</t>
        </is>
      </c>
      <c r="AY1081" t="inlineStr">
        <is>
          <t>Anmalan</t>
        </is>
      </c>
      <c r="AZ1081" t="inlineStr">
        <is>
          <t>2026-02-04</t>
        </is>
      </c>
      <c r="BA1081" t="inlineStr">
        <is>
          <t>2025-3473 8.pdf</t>
        </is>
      </c>
      <c r="BB1081" t="inlineStr">
        <is>
          <t>Sv:  Begäran om utlämnande av allmän handling – Anmälningar och beslut rörande mellanlagring av avfall samt anläggning av ytor</t>
        </is>
      </c>
      <c r="BC1081" t="inlineStr">
        <is>
          <t>AUTO</t>
        </is>
      </c>
      <c r="BD1081" t="inlineStr"/>
      <c r="BE1081" t="inlineStr"/>
      <c r="BF1081" t="inlineStr">
        <is>
          <t>AUTO_GENERERAD. Bekrafta metadata mot kallfil.</t>
        </is>
      </c>
      <c r="BG1081">
        <f>HYPERLINK("C:\Users\jimmy\Desktop\Examens arbete\Kod\Ny mapp\remix_-copy-of-miljöbeslut.se-portal\2025-3473 8.pdf", "Öppna PDF")</f>
        <v/>
      </c>
    </row>
    <row r="1082">
      <c r="A1082" t="inlineStr">
        <is>
          <t>KRAV-AUTO-001081</t>
        </is>
      </c>
      <c r="B1082" t="inlineStr">
        <is>
          <t>ADMIN-INDEX-2026-02-27-00000000125C043F57453246863FE664CAFE6A3F0700950291EA24F0614FB6ACEDB12BF0E31D00000000010C0000950291EA24F0614FB6ACEDB12BF0E31D00002087AE610000</t>
        </is>
      </c>
      <c r="C1082" t="inlineStr">
        <is>
          <t>cmm4yuppe02ubcuqwignm3ye9</t>
        </is>
      </c>
      <c r="D1082" t="inlineStr">
        <is>
          <t>http://localhost:8787/api/admin/requirements/documents/cmm4yuppe02ubcuqwignm3ye9/view</t>
        </is>
      </c>
      <c r="E1082">
        <f>HYPERLÄNK("http://localhost:8787/api/admin/requirements/documents/cmm4yuppe02ubcuqwignm3ye9/view";"Öppna PDF")</f>
        <v/>
      </c>
      <c r="F1082">
        <f>HYPERLINK("http://localhost:8787/api/admin/requirements/documents/cmm4yuppe02ubcuqwignm3ye9/view","Open PDF")</f>
        <v/>
      </c>
      <c r="G1082" t="inlineStr">
        <is>
          <t>cmm55w57p0004cuisfrtpqly8</t>
        </is>
      </c>
      <c r="H1082" t="inlineStr">
        <is>
          <t>Informationskrav</t>
        </is>
      </c>
      <c r="I1082" t="inlineStr">
        <is>
          <t>Ytkonstruktion</t>
        </is>
      </c>
      <c r="J1082" t="inlineStr">
        <is>
          <t>Tat yta</t>
        </is>
      </c>
      <c r="K1082" t="inlineStr">
        <is>
          <t>Det farliga avfallet kommer att sorteras och förvaras i separata täta och invallade behållare med nederbördsskydd.</t>
        </is>
      </c>
      <c r="L1082" t="inlineStr">
        <is>
          <t>Det farliga avfallet kommer att sorteras och förvaras i separata täta och invallade behållare med nederbördsskydd.</t>
        </is>
      </c>
      <c r="M1082" t="inlineStr">
        <is>
          <t>BOR</t>
        </is>
      </c>
      <c r="N1082" t="inlineStr"/>
      <c r="O1082" t="inlineStr"/>
      <c r="P1082" t="inlineStr">
        <is>
          <t>Arlig</t>
        </is>
      </c>
      <c r="Q1082" t="inlineStr"/>
      <c r="R1082" t="inlineStr">
        <is>
          <t>Vid mellanlagring av avfall</t>
        </is>
      </c>
      <c r="S1082" t="inlineStr"/>
      <c r="T1082" t="inlineStr">
        <is>
          <t>556173</t>
        </is>
      </c>
      <c r="U1082" t="inlineStr"/>
      <c r="V1082" t="inlineStr"/>
      <c r="W1082" t="inlineStr">
        <is>
          <t>Ja</t>
        </is>
      </c>
      <c r="X1082" t="inlineStr">
        <is>
          <t>Nej</t>
        </is>
      </c>
      <c r="Y1082" t="inlineStr">
        <is>
          <t>Nej</t>
        </is>
      </c>
      <c r="Z1082" t="inlineStr">
        <is>
          <t>Nej</t>
        </is>
      </c>
      <c r="AA1082" t="n">
        <v>5</v>
      </c>
      <c r="AB1082" t="inlineStr">
        <is>
          <t>Teknisk beskrivning av platta</t>
        </is>
      </c>
      <c r="AC1082" t="inlineStr">
        <is>
          <t>Teknisk ritning platta</t>
        </is>
      </c>
      <c r="AD1082" t="inlineStr">
        <is>
          <t>Nej</t>
        </is>
      </c>
      <c r="AE1082" t="inlineStr">
        <is>
          <t>Nej</t>
        </is>
      </c>
      <c r="AF1082" t="inlineStr">
        <is>
          <t>Ej behandlad</t>
        </is>
      </c>
      <c r="AG1082" t="inlineStr">
        <is>
          <t>AUTO_GENERERAD. Verifiera citat mot kallfil.</t>
        </is>
      </c>
      <c r="AH1082" t="inlineStr">
        <is>
          <t>MEDIUM</t>
        </is>
      </c>
      <c r="AI1082" t="inlineStr">
        <is>
          <t>AUTO</t>
        </is>
      </c>
      <c r="AJ1082" t="inlineStr">
        <is>
          <t>Nej</t>
        </is>
      </c>
      <c r="AK1082" t="inlineStr"/>
      <c r="AL1082" t="inlineStr"/>
      <c r="AM1082" t="inlineStr"/>
      <c r="AN1082" t="inlineStr"/>
      <c r="AO1082" t="inlineStr">
        <is>
          <t>cmm4yupps02uncuqw2oocfvsk</t>
        </is>
      </c>
      <c r="AP1082" t="inlineStr">
        <is>
          <t>http://localhost:8787/api/admin/requirements/documents/cmm4yupps02uncuqw2oocfvsk/view</t>
        </is>
      </c>
      <c r="AQ1082">
        <f>HYPERLÄNK("http://localhost:8787/api/admin/requirements/documents/cmm4yupps02uncuqw2oocfvsk/view";"Öppna PDF")</f>
        <v/>
      </c>
      <c r="AR1082">
        <f>HYPERLINK("http://localhost:8787/api/admin/requirements/documents/cmm4yupps02uncuqw2oocfvsk/view","Open PDF")</f>
        <v/>
      </c>
      <c r="AS1082" t="inlineStr">
        <is>
          <t>cmm55w57p0004cuisfrtpqly8</t>
        </is>
      </c>
      <c r="AT1082" t="inlineStr">
        <is>
          <t>cmm4xvu980000cuh4vj0usz09</t>
        </is>
      </c>
      <c r="AU1082" t="inlineStr"/>
      <c r="AV1082" t="inlineStr">
        <is>
          <t>Kommun</t>
        </is>
      </c>
      <c r="AW1082" t="inlineStr"/>
      <c r="AX1082" t="inlineStr">
        <is>
          <t>2013:251</t>
        </is>
      </c>
      <c r="AY1082" t="inlineStr">
        <is>
          <t>Anmalan</t>
        </is>
      </c>
      <c r="AZ1082" t="inlineStr">
        <is>
          <t>2026-02-04</t>
        </is>
      </c>
      <c r="BA1082" t="inlineStr">
        <is>
          <t>2025-3473 8.pdf</t>
        </is>
      </c>
      <c r="BB1082" t="inlineStr">
        <is>
          <t>Sv:  Begäran om utlämnande av allmän handling – Anmälningar och beslut rörande mellanlagring av avfall samt anläggning av ytor</t>
        </is>
      </c>
      <c r="BC1082" t="inlineStr">
        <is>
          <t>AUTO</t>
        </is>
      </c>
      <c r="BD1082" t="inlineStr"/>
      <c r="BE1082" t="inlineStr"/>
      <c r="BF1082" t="inlineStr">
        <is>
          <t>AUTO_GENERERAD. Bekrafta metadata mot kallfil.</t>
        </is>
      </c>
      <c r="BG1082">
        <f>HYPERLINK("C:\Users\jimmy\Desktop\Examens arbete\Kod\Ny mapp\remix_-copy-of-miljöbeslut.se-portal\2025-3473 8.pdf", "Öppna PDF")</f>
        <v/>
      </c>
    </row>
    <row r="1083">
      <c r="A1083" t="inlineStr">
        <is>
          <t>KRAV-AUTO-001082</t>
        </is>
      </c>
      <c r="B1083" t="inlineStr">
        <is>
          <t>ADMIN-INDEX-2026-02-27-00000000125C043F57453246863FE664CAFE6A3F0700950291EA24F0614FB6ACEDB12BF0E31D00000000010C0000950291EA24F0614FB6ACEDB12BF0E31D00002087AE610000</t>
        </is>
      </c>
      <c r="C1083" t="inlineStr">
        <is>
          <t>cmm4yuppe02ubcuqwignm3ye9</t>
        </is>
      </c>
      <c r="D1083" t="inlineStr">
        <is>
          <t>http://localhost:8787/api/admin/requirements/documents/cmm4yuppe02ubcuqwignm3ye9/view</t>
        </is>
      </c>
      <c r="E1083">
        <f>HYPERLÄNK("http://localhost:8787/api/admin/requirements/documents/cmm4yuppe02ubcuqwignm3ye9/view";"Öppna PDF")</f>
        <v/>
      </c>
      <c r="F1083">
        <f>HYPERLINK("http://localhost:8787/api/admin/requirements/documents/cmm4yuppe02ubcuqwignm3ye9/view","Open PDF")</f>
        <v/>
      </c>
      <c r="G1083" t="inlineStr">
        <is>
          <t>cmm55w57p0004cuisfrtpqly8</t>
        </is>
      </c>
      <c r="H1083" t="inlineStr">
        <is>
          <t>Informationskrav</t>
        </is>
      </c>
      <c r="I1083" t="inlineStr">
        <is>
          <t>Riskhantering</t>
        </is>
      </c>
      <c r="J1083" t="inlineStr">
        <is>
          <t>Riskkontroll</t>
        </is>
      </c>
      <c r="K1083" t="inlineStr">
        <is>
          <t>• För att minska risken för att det avfall som tas in på fastigheten innehåller invasiva arter ska avfallslämnaren i förväg fylla i ett mottagningsformulär med bl.a.</t>
        </is>
      </c>
      <c r="L1083" t="inlineStr">
        <is>
          <t>• För att minska risken för att det avfall som tas in på fastigheten innehåller invasiva arter ska avfallslämnaren i förväg fylla i ett mottagningsformulär med bl.a.</t>
        </is>
      </c>
      <c r="M1083" t="inlineStr">
        <is>
          <t>SKA</t>
        </is>
      </c>
      <c r="N1083" t="inlineStr"/>
      <c r="O1083" t="inlineStr"/>
      <c r="P1083" t="inlineStr"/>
      <c r="Q1083" t="inlineStr"/>
      <c r="R1083" t="inlineStr">
        <is>
          <t>Vid risk for incident</t>
        </is>
      </c>
      <c r="S1083" t="inlineStr"/>
      <c r="T1083" t="inlineStr">
        <is>
          <t>556173</t>
        </is>
      </c>
      <c r="U1083" t="inlineStr"/>
      <c r="V1083" t="inlineStr"/>
      <c r="W1083" t="inlineStr">
        <is>
          <t>Nej</t>
        </is>
      </c>
      <c r="X1083" t="inlineStr">
        <is>
          <t>Nej</t>
        </is>
      </c>
      <c r="Y1083" t="inlineStr">
        <is>
          <t>Ja</t>
        </is>
      </c>
      <c r="Z1083" t="inlineStr">
        <is>
          <t>Ja</t>
        </is>
      </c>
      <c r="AA1083" t="n">
        <v>8</v>
      </c>
      <c r="AB1083" t="inlineStr">
        <is>
          <t>Riskhantering</t>
        </is>
      </c>
      <c r="AC1083" t="inlineStr">
        <is>
          <t>Risk-PM</t>
        </is>
      </c>
      <c r="AD1083" t="inlineStr">
        <is>
          <t>Nej</t>
        </is>
      </c>
      <c r="AE1083" t="inlineStr">
        <is>
          <t>Nej</t>
        </is>
      </c>
      <c r="AF1083" t="inlineStr">
        <is>
          <t>Ej behandlad</t>
        </is>
      </c>
      <c r="AG1083" t="inlineStr">
        <is>
          <t>AUTO_GENERERAD. Verifiera citat mot kallfil.</t>
        </is>
      </c>
      <c r="AH1083" t="inlineStr">
        <is>
          <t>MEDIUM</t>
        </is>
      </c>
      <c r="AI1083" t="inlineStr">
        <is>
          <t>AUTO</t>
        </is>
      </c>
      <c r="AJ1083" t="inlineStr">
        <is>
          <t>Nej</t>
        </is>
      </c>
      <c r="AK1083" t="inlineStr"/>
      <c r="AL1083" t="inlineStr"/>
      <c r="AM1083" t="inlineStr"/>
      <c r="AN1083" t="inlineStr"/>
      <c r="AO1083" t="inlineStr">
        <is>
          <t>cmm4yupps02uncuqw2oocfvsk</t>
        </is>
      </c>
      <c r="AP1083" t="inlineStr">
        <is>
          <t>http://localhost:8787/api/admin/requirements/documents/cmm4yupps02uncuqw2oocfvsk/view</t>
        </is>
      </c>
      <c r="AQ1083">
        <f>HYPERLÄNK("http://localhost:8787/api/admin/requirements/documents/cmm4yupps02uncuqw2oocfvsk/view";"Öppna PDF")</f>
        <v/>
      </c>
      <c r="AR1083">
        <f>HYPERLINK("http://localhost:8787/api/admin/requirements/documents/cmm4yupps02uncuqw2oocfvsk/view","Open PDF")</f>
        <v/>
      </c>
      <c r="AS1083" t="inlineStr">
        <is>
          <t>cmm55w57p0004cuisfrtpqly8</t>
        </is>
      </c>
      <c r="AT1083" t="inlineStr">
        <is>
          <t>cmm4xvu980000cuh4vj0usz09</t>
        </is>
      </c>
      <c r="AU1083" t="inlineStr"/>
      <c r="AV1083" t="inlineStr">
        <is>
          <t>Kommun</t>
        </is>
      </c>
      <c r="AW1083" t="inlineStr"/>
      <c r="AX1083" t="inlineStr">
        <is>
          <t>2013:251</t>
        </is>
      </c>
      <c r="AY1083" t="inlineStr">
        <is>
          <t>Anmalan</t>
        </is>
      </c>
      <c r="AZ1083" t="inlineStr">
        <is>
          <t>2026-02-04</t>
        </is>
      </c>
      <c r="BA1083" t="inlineStr">
        <is>
          <t>2025-3473 8.pdf</t>
        </is>
      </c>
      <c r="BB1083" t="inlineStr">
        <is>
          <t>Sv:  Begäran om utlämnande av allmän handling – Anmälningar och beslut rörande mellanlagring av avfall samt anläggning av ytor</t>
        </is>
      </c>
      <c r="BC1083" t="inlineStr">
        <is>
          <t>AUTO</t>
        </is>
      </c>
      <c r="BD1083" t="inlineStr"/>
      <c r="BE1083" t="inlineStr"/>
      <c r="BF1083" t="inlineStr">
        <is>
          <t>AUTO_GENERERAD. Bekrafta metadata mot kallfil.</t>
        </is>
      </c>
      <c r="BG1083">
        <f>HYPERLINK("C:\Users\jimmy\Desktop\Examens arbete\Kod\Ny mapp\remix_-copy-of-miljöbeslut.se-portal\2025-3473 8.pdf", "Öppna PDF")</f>
        <v/>
      </c>
    </row>
    <row r="1084">
      <c r="A1084" t="inlineStr">
        <is>
          <t>KRAV-AUTO-001083</t>
        </is>
      </c>
      <c r="B1084" t="inlineStr">
        <is>
          <t>ADMIN-INDEX-2026-02-27-00000000125C043F57453246863FE664CAFE6A3F0700950291EA24F0614FB6ACEDB12BF0E31D00000000010C0000950291EA24F0614FB6ACEDB12BF0E31D00002087AE610000</t>
        </is>
      </c>
      <c r="C1084" t="inlineStr">
        <is>
          <t>cmm4yuppb02u8cuqwns6ssovu</t>
        </is>
      </c>
      <c r="D1084" t="inlineStr">
        <is>
          <t>http://localhost:8787/api/admin/requirements/documents/cmm4yuppb02u8cuqwns6ssovu/view</t>
        </is>
      </c>
      <c r="E1084">
        <f>HYPERLÄNK("http://localhost:8787/api/admin/requirements/documents/cmm4yuppb02u8cuqwns6ssovu/view";"Öppna PDF")</f>
        <v/>
      </c>
      <c r="F1084">
        <f>HYPERLINK("http://localhost:8787/api/admin/requirements/documents/cmm4yuppb02u8cuqwns6ssovu/view","Open PDF")</f>
        <v/>
      </c>
      <c r="G1084" t="inlineStr">
        <is>
          <t>cmm55w57p0004cuisfrtpqly8</t>
        </is>
      </c>
      <c r="H1084" t="inlineStr">
        <is>
          <t>Informationskrav</t>
        </is>
      </c>
      <c r="I1084" t="inlineStr">
        <is>
          <t>LagringsvolymTid</t>
        </is>
      </c>
      <c r="J1084" t="inlineStr">
        <is>
          <t>Maxmangd</t>
        </is>
      </c>
      <c r="K1084" t="inlineStr">
        <is>
          <t>Bland annat ska typer och mängder av avfall som behandlas och lagras regleras vilket har gjorts i punkt 4, 5, 6 i föreläggandet.</t>
        </is>
      </c>
      <c r="L1084" t="inlineStr">
        <is>
          <t>Bland annat ska typer och mängder av avfall som behandlas och lagras regleras vilket har gjorts i punkt 4, 5, 6 i föreläggandet.</t>
        </is>
      </c>
      <c r="M1084" t="inlineStr">
        <is>
          <t>SKA</t>
        </is>
      </c>
      <c r="N1084" t="inlineStr"/>
      <c r="O1084" t="inlineStr"/>
      <c r="P1084" t="inlineStr"/>
      <c r="Q1084" t="inlineStr">
        <is>
          <t>Forelaggande vid brist</t>
        </is>
      </c>
      <c r="R1084" t="inlineStr">
        <is>
          <t>Alltid</t>
        </is>
      </c>
      <c r="S1084" t="inlineStr"/>
      <c r="T1084" t="inlineStr">
        <is>
          <t>35 30 00</t>
        </is>
      </c>
      <c r="U1084" t="inlineStr"/>
      <c r="V1084" t="inlineStr"/>
      <c r="W1084" t="inlineStr">
        <is>
          <t>Nej</t>
        </is>
      </c>
      <c r="X1084" t="inlineStr">
        <is>
          <t>Nej</t>
        </is>
      </c>
      <c r="Y1084" t="inlineStr">
        <is>
          <t>Nej</t>
        </is>
      </c>
      <c r="Z1084" t="inlineStr">
        <is>
          <t>Nej</t>
        </is>
      </c>
      <c r="AA1084" t="n">
        <v>4</v>
      </c>
      <c r="AB1084" t="inlineStr">
        <is>
          <t>Avfallsmangder och lagringstid</t>
        </is>
      </c>
      <c r="AC1084" t="inlineStr">
        <is>
          <t>Avfallsforteckning</t>
        </is>
      </c>
      <c r="AD1084" t="inlineStr">
        <is>
          <t>Nej</t>
        </is>
      </c>
      <c r="AE1084" t="inlineStr">
        <is>
          <t>Nej</t>
        </is>
      </c>
      <c r="AF1084" t="inlineStr">
        <is>
          <t>Ej behandlad</t>
        </is>
      </c>
      <c r="AG1084" t="inlineStr">
        <is>
          <t>AUTO_GENERERAD. Verifiera citat mot kallfil.</t>
        </is>
      </c>
      <c r="AH1084" t="inlineStr">
        <is>
          <t>MEDIUM</t>
        </is>
      </c>
      <c r="AI1084" t="inlineStr">
        <is>
          <t>AUTO</t>
        </is>
      </c>
      <c r="AJ1084" t="inlineStr">
        <is>
          <t>Nej</t>
        </is>
      </c>
      <c r="AK1084" t="inlineStr"/>
      <c r="AL1084" t="inlineStr"/>
      <c r="AM1084" t="inlineStr"/>
      <c r="AN1084" t="inlineStr"/>
      <c r="AO1084" t="inlineStr">
        <is>
          <t>cmm4yupps02uncuqw2oocfvsk</t>
        </is>
      </c>
      <c r="AP1084" t="inlineStr">
        <is>
          <t>http://localhost:8787/api/admin/requirements/documents/cmm4yupps02uncuqw2oocfvsk/view</t>
        </is>
      </c>
      <c r="AQ1084">
        <f>HYPERLÄNK("http://localhost:8787/api/admin/requirements/documents/cmm4yupps02uncuqw2oocfvsk/view";"Öppna PDF")</f>
        <v/>
      </c>
      <c r="AR1084">
        <f>HYPERLINK("http://localhost:8787/api/admin/requirements/documents/cmm4yupps02uncuqw2oocfvsk/view","Open PDF")</f>
        <v/>
      </c>
      <c r="AS1084" t="inlineStr">
        <is>
          <t>cmm55w57p0004cuisfrtpqly8</t>
        </is>
      </c>
      <c r="AT1084" t="inlineStr">
        <is>
          <t>cmm4xvu980000cuh4vj0usz09</t>
        </is>
      </c>
      <c r="AU1084" t="inlineStr"/>
      <c r="AV1084" t="inlineStr">
        <is>
          <t>Kommun</t>
        </is>
      </c>
      <c r="AW1084" t="inlineStr"/>
      <c r="AX1084" t="inlineStr">
        <is>
          <t>2013:251</t>
        </is>
      </c>
      <c r="AY1084" t="inlineStr">
        <is>
          <t>Anmalan</t>
        </is>
      </c>
      <c r="AZ1084" t="inlineStr">
        <is>
          <t>2026-02-04</t>
        </is>
      </c>
      <c r="BA1084" t="inlineStr">
        <is>
          <t>2025-3473 8.pdf</t>
        </is>
      </c>
      <c r="BB1084" t="inlineStr">
        <is>
          <t>Sv:  Begäran om utlämnande av allmän handling – Anmälningar och beslut rörande mellanlagring av avfall samt anläggning av ytor</t>
        </is>
      </c>
      <c r="BC1084" t="inlineStr">
        <is>
          <t>AUTO</t>
        </is>
      </c>
      <c r="BD1084" t="inlineStr"/>
      <c r="BE1084" t="inlineStr"/>
      <c r="BF1084" t="inlineStr">
        <is>
          <t>AUTO_GENERERAD. Bekrafta metadata mot kallfil.</t>
        </is>
      </c>
      <c r="BG1084">
        <f>HYPERLINK("C:\Users\jimmy\Desktop\Examens arbete\Kod\Ny mapp\remix_-copy-of-miljöbeslut.se-portal\2025-3473 8.pdf", "Öppna PDF")</f>
        <v/>
      </c>
    </row>
    <row r="1085">
      <c r="A1085" t="inlineStr">
        <is>
          <t>KRAV-AUTO-001084</t>
        </is>
      </c>
      <c r="B1085" t="inlineStr">
        <is>
          <t>ADMIN-INDEX-2026-02-27-00000000125C043F57453246863FE664CAFE6A3F0700950291EA24F0614FB6ACEDB12BF0E31D00000000010C0000950291EA24F0614FB6ACEDB12BF0E31D00002087AE610000</t>
        </is>
      </c>
      <c r="C1085" t="inlineStr">
        <is>
          <t>cmm4yuppb02u8cuqwns6ssovu</t>
        </is>
      </c>
      <c r="D1085" t="inlineStr">
        <is>
          <t>http://localhost:8787/api/admin/requirements/documents/cmm4yuppb02u8cuqwns6ssovu/view</t>
        </is>
      </c>
      <c r="E1085">
        <f>HYPERLÄNK("http://localhost:8787/api/admin/requirements/documents/cmm4yuppb02u8cuqwns6ssovu/view";"Öppna PDF")</f>
        <v/>
      </c>
      <c r="F1085">
        <f>HYPERLINK("http://localhost:8787/api/admin/requirements/documents/cmm4yuppb02u8cuqwns6ssovu/view","Open PDF")</f>
        <v/>
      </c>
      <c r="G1085" t="inlineStr">
        <is>
          <t>cmm55w57p0004cuisfrtpqly8</t>
        </is>
      </c>
      <c r="H1085" t="inlineStr">
        <is>
          <t>Informationskrav</t>
        </is>
      </c>
      <c r="I1085" t="inlineStr">
        <is>
          <t>Ytkonstruktion</t>
        </is>
      </c>
      <c r="J1085" t="inlineStr">
        <is>
          <t>Tat yta</t>
        </is>
      </c>
      <c r="K1085" t="inlineStr">
        <is>
          <t>Farligt avfall och kemikalier ska förvaras invallat, invallningen ska rymma 100% av den störta behållarens volym plus 10% av övriga behållares totala volym.</t>
        </is>
      </c>
      <c r="L1085" t="inlineStr">
        <is>
          <t>Farligt avfall och kemikalier ska förvaras invallat, invallningen ska rymma 100% av den störta behållarens volym plus 10% av övriga behållares totala volym.</t>
        </is>
      </c>
      <c r="M1085" t="inlineStr">
        <is>
          <t>SKA</t>
        </is>
      </c>
      <c r="N1085" t="inlineStr"/>
      <c r="O1085" t="inlineStr"/>
      <c r="P1085" t="inlineStr">
        <is>
          <t>Arlig</t>
        </is>
      </c>
      <c r="Q1085" t="inlineStr"/>
      <c r="R1085" t="inlineStr">
        <is>
          <t>Vid mellanlagring av avfall</t>
        </is>
      </c>
      <c r="S1085" t="inlineStr"/>
      <c r="T1085" t="inlineStr">
        <is>
          <t>35 30 00</t>
        </is>
      </c>
      <c r="U1085" t="inlineStr"/>
      <c r="V1085" t="inlineStr"/>
      <c r="W1085" t="inlineStr">
        <is>
          <t>Ja</t>
        </is>
      </c>
      <c r="X1085" t="inlineStr">
        <is>
          <t>Nej</t>
        </is>
      </c>
      <c r="Y1085" t="inlineStr">
        <is>
          <t>Nej</t>
        </is>
      </c>
      <c r="Z1085" t="inlineStr">
        <is>
          <t>Nej</t>
        </is>
      </c>
      <c r="AA1085" t="n">
        <v>5</v>
      </c>
      <c r="AB1085" t="inlineStr">
        <is>
          <t>Teknisk beskrivning av platta</t>
        </is>
      </c>
      <c r="AC1085" t="inlineStr">
        <is>
          <t>Teknisk ritning platta</t>
        </is>
      </c>
      <c r="AD1085" t="inlineStr">
        <is>
          <t>Nej</t>
        </is>
      </c>
      <c r="AE1085" t="inlineStr">
        <is>
          <t>Nej</t>
        </is>
      </c>
      <c r="AF1085" t="inlineStr">
        <is>
          <t>Ej behandlad</t>
        </is>
      </c>
      <c r="AG1085" t="inlineStr">
        <is>
          <t>AUTO_GENERERAD. Verifiera citat mot kallfil.</t>
        </is>
      </c>
      <c r="AH1085" t="inlineStr">
        <is>
          <t>MEDIUM</t>
        </is>
      </c>
      <c r="AI1085" t="inlineStr">
        <is>
          <t>AUTO</t>
        </is>
      </c>
      <c r="AJ1085" t="inlineStr">
        <is>
          <t>Nej</t>
        </is>
      </c>
      <c r="AK1085" t="inlineStr"/>
      <c r="AL1085" t="inlineStr"/>
      <c r="AM1085" t="inlineStr"/>
      <c r="AN1085" t="inlineStr"/>
      <c r="AO1085" t="inlineStr">
        <is>
          <t>cmm4yupps02uncuqw2oocfvsk</t>
        </is>
      </c>
      <c r="AP1085" t="inlineStr">
        <is>
          <t>http://localhost:8787/api/admin/requirements/documents/cmm4yupps02uncuqw2oocfvsk/view</t>
        </is>
      </c>
      <c r="AQ1085">
        <f>HYPERLÄNK("http://localhost:8787/api/admin/requirements/documents/cmm4yupps02uncuqw2oocfvsk/view";"Öppna PDF")</f>
        <v/>
      </c>
      <c r="AR1085">
        <f>HYPERLINK("http://localhost:8787/api/admin/requirements/documents/cmm4yupps02uncuqw2oocfvsk/view","Open PDF")</f>
        <v/>
      </c>
      <c r="AS1085" t="inlineStr">
        <is>
          <t>cmm55w57p0004cuisfrtpqly8</t>
        </is>
      </c>
      <c r="AT1085" t="inlineStr">
        <is>
          <t>cmm4xvu980000cuh4vj0usz09</t>
        </is>
      </c>
      <c r="AU1085" t="inlineStr"/>
      <c r="AV1085" t="inlineStr">
        <is>
          <t>Kommun</t>
        </is>
      </c>
      <c r="AW1085" t="inlineStr"/>
      <c r="AX1085" t="inlineStr">
        <is>
          <t>2013:251</t>
        </is>
      </c>
      <c r="AY1085" t="inlineStr">
        <is>
          <t>Anmalan</t>
        </is>
      </c>
      <c r="AZ1085" t="inlineStr">
        <is>
          <t>2026-02-04</t>
        </is>
      </c>
      <c r="BA1085" t="inlineStr">
        <is>
          <t>2025-3473 8.pdf</t>
        </is>
      </c>
      <c r="BB1085" t="inlineStr">
        <is>
          <t>Sv:  Begäran om utlämnande av allmän handling – Anmälningar och beslut rörande mellanlagring av avfall samt anläggning av ytor</t>
        </is>
      </c>
      <c r="BC1085" t="inlineStr">
        <is>
          <t>AUTO</t>
        </is>
      </c>
      <c r="BD1085" t="inlineStr"/>
      <c r="BE1085" t="inlineStr"/>
      <c r="BF1085" t="inlineStr">
        <is>
          <t>AUTO_GENERERAD. Bekrafta metadata mot kallfil.</t>
        </is>
      </c>
      <c r="BG1085">
        <f>HYPERLINK("C:\Users\jimmy\Desktop\Examens arbete\Kod\Ny mapp\remix_-copy-of-miljöbeslut.se-portal\2025-3473 8.pdf", "Öppna PDF")</f>
        <v/>
      </c>
    </row>
    <row r="1086">
      <c r="A1086" t="inlineStr">
        <is>
          <t>KRAV-AUTO-001085</t>
        </is>
      </c>
      <c r="B1086" t="inlineStr">
        <is>
          <t>ADMIN-INDEX-2026-02-27-00000000125C043F57453246863FE664CAFE6A3F0700950291EA24F0614FB6ACEDB12BF0E31D00000000010C0000950291EA24F0614FB6ACEDB12BF0E31D00002087AE610000</t>
        </is>
      </c>
      <c r="C1086" t="inlineStr">
        <is>
          <t>cmm4yuppb02u8cuqwns6ssovu</t>
        </is>
      </c>
      <c r="D1086" t="inlineStr">
        <is>
          <t>http://localhost:8787/api/admin/requirements/documents/cmm4yuppb02u8cuqwns6ssovu/view</t>
        </is>
      </c>
      <c r="E1086">
        <f>HYPERLÄNK("http://localhost:8787/api/admin/requirements/documents/cmm4yuppb02u8cuqwns6ssovu/view";"Öppna PDF")</f>
        <v/>
      </c>
      <c r="F1086">
        <f>HYPERLINK("http://localhost:8787/api/admin/requirements/documents/cmm4yuppb02u8cuqwns6ssovu/view","Open PDF")</f>
        <v/>
      </c>
      <c r="G1086" t="inlineStr">
        <is>
          <t>cmm55w57p0004cuisfrtpqly8</t>
        </is>
      </c>
      <c r="H1086" t="inlineStr">
        <is>
          <t>Informationskrav</t>
        </is>
      </c>
      <c r="I1086" t="inlineStr">
        <is>
          <t>MiljopaverkanForsiktighet</t>
        </is>
      </c>
      <c r="J1086" t="inlineStr">
        <is>
          <t>Skyddsatgarder</t>
        </is>
      </c>
      <c r="K1086" t="inlineStr">
        <is>
          <t>Av 27 a § Förordningen om miljöfarlig verksamhet och hälsoskydd framgår att när det gäller en verksamhet som behandlar avfall ska ett föreläggande om skyddsåtgärder innehålla vissa uppgifter.</t>
        </is>
      </c>
      <c r="L1086" t="inlineStr">
        <is>
          <t>Av 27 a § Förordningen om miljöfarlig verksamhet och hälsoskydd framgår att när det gäller en verksamhet som behandlar avfall ska ett föreläggande om skyddsåtgärder innehålla vissa uppgifter.</t>
        </is>
      </c>
      <c r="M1086" t="inlineStr">
        <is>
          <t>SKA</t>
        </is>
      </c>
      <c r="N1086" t="inlineStr">
        <is>
          <t>FMH</t>
        </is>
      </c>
      <c r="O1086" t="inlineStr"/>
      <c r="P1086" t="inlineStr">
        <is>
          <t>Arlig</t>
        </is>
      </c>
      <c r="Q1086" t="inlineStr">
        <is>
          <t>Forelaggande vid brist</t>
        </is>
      </c>
      <c r="R1086" t="inlineStr">
        <is>
          <t>Alltid</t>
        </is>
      </c>
      <c r="S1086" t="inlineStr"/>
      <c r="T1086" t="inlineStr">
        <is>
          <t>35 30 00</t>
        </is>
      </c>
      <c r="U1086" t="inlineStr"/>
      <c r="V1086" t="inlineStr"/>
      <c r="W1086" t="inlineStr">
        <is>
          <t>Nej</t>
        </is>
      </c>
      <c r="X1086" t="inlineStr">
        <is>
          <t>Nej</t>
        </is>
      </c>
      <c r="Y1086" t="inlineStr">
        <is>
          <t>Nej</t>
        </is>
      </c>
      <c r="Z1086" t="inlineStr">
        <is>
          <t>Nej</t>
        </is>
      </c>
      <c r="AA1086" t="n">
        <v>10</v>
      </c>
      <c r="AB1086" t="inlineStr">
        <is>
          <t>Miljopaverkan och forsiktighetsmatt</t>
        </is>
      </c>
      <c r="AC1086" t="inlineStr">
        <is>
          <t>Miljo-PM</t>
        </is>
      </c>
      <c r="AD1086" t="inlineStr">
        <is>
          <t>Nej</t>
        </is>
      </c>
      <c r="AE1086" t="inlineStr">
        <is>
          <t>Nej</t>
        </is>
      </c>
      <c r="AF1086" t="inlineStr">
        <is>
          <t>Ej behandlad</t>
        </is>
      </c>
      <c r="AG1086" t="inlineStr">
        <is>
          <t>AUTO_GENERERAD. Verifiera citat mot kallfil.</t>
        </is>
      </c>
      <c r="AH1086" t="inlineStr">
        <is>
          <t>MEDIUM</t>
        </is>
      </c>
      <c r="AI1086" t="inlineStr">
        <is>
          <t>AUTO</t>
        </is>
      </c>
      <c r="AJ1086" t="inlineStr">
        <is>
          <t>Nej</t>
        </is>
      </c>
      <c r="AK1086" t="inlineStr"/>
      <c r="AL1086" t="inlineStr"/>
      <c r="AM1086" t="inlineStr"/>
      <c r="AN1086" t="inlineStr"/>
      <c r="AO1086" t="inlineStr">
        <is>
          <t>cmm4yupps02uncuqw2oocfvsk</t>
        </is>
      </c>
      <c r="AP1086" t="inlineStr">
        <is>
          <t>http://localhost:8787/api/admin/requirements/documents/cmm4yupps02uncuqw2oocfvsk/view</t>
        </is>
      </c>
      <c r="AQ1086">
        <f>HYPERLÄNK("http://localhost:8787/api/admin/requirements/documents/cmm4yupps02uncuqw2oocfvsk/view";"Öppna PDF")</f>
        <v/>
      </c>
      <c r="AR1086">
        <f>HYPERLINK("http://localhost:8787/api/admin/requirements/documents/cmm4yupps02uncuqw2oocfvsk/view","Open PDF")</f>
        <v/>
      </c>
      <c r="AS1086" t="inlineStr">
        <is>
          <t>cmm55w57p0004cuisfrtpqly8</t>
        </is>
      </c>
      <c r="AT1086" t="inlineStr">
        <is>
          <t>cmm4xvu980000cuh4vj0usz09</t>
        </is>
      </c>
      <c r="AU1086" t="inlineStr"/>
      <c r="AV1086" t="inlineStr">
        <is>
          <t>Kommun</t>
        </is>
      </c>
      <c r="AW1086" t="inlineStr"/>
      <c r="AX1086" t="inlineStr">
        <is>
          <t>2013:251</t>
        </is>
      </c>
      <c r="AY1086" t="inlineStr">
        <is>
          <t>Anmalan</t>
        </is>
      </c>
      <c r="AZ1086" t="inlineStr">
        <is>
          <t>2026-02-04</t>
        </is>
      </c>
      <c r="BA1086" t="inlineStr">
        <is>
          <t>2025-3473 8.pdf</t>
        </is>
      </c>
      <c r="BB1086" t="inlineStr">
        <is>
          <t>Sv:  Begäran om utlämnande av allmän handling – Anmälningar och beslut rörande mellanlagring av avfall samt anläggning av ytor</t>
        </is>
      </c>
      <c r="BC1086" t="inlineStr">
        <is>
          <t>AUTO</t>
        </is>
      </c>
      <c r="BD1086" t="inlineStr"/>
      <c r="BE1086" t="inlineStr"/>
      <c r="BF1086" t="inlineStr">
        <is>
          <t>AUTO_GENERERAD. Bekrafta metadata mot kallfil.</t>
        </is>
      </c>
      <c r="BG1086">
        <f>HYPERLINK("C:\Users\jimmy\Desktop\Examens arbete\Kod\Ny mapp\remix_-copy-of-miljöbeslut.se-portal\2025-3473 8.pdf", "Öppna PDF")</f>
        <v/>
      </c>
    </row>
    <row r="1087">
      <c r="A1087" t="inlineStr">
        <is>
          <t>KRAV-AUTO-001086</t>
        </is>
      </c>
      <c r="B1087" t="inlineStr">
        <is>
          <t>ADMIN-INDEX-2026-02-27-00000000125C043F57453246863FE664CAFE6A3F0700950291EA24F0614FB6ACEDB12BF0E31D00000000010C0000950291EA24F0614FB6ACEDB12BF0E31D00002087AE610000</t>
        </is>
      </c>
      <c r="C1087" t="inlineStr">
        <is>
          <t>cmm4yupp702u5cuqwiepm97td</t>
        </is>
      </c>
      <c r="D1087" t="inlineStr">
        <is>
          <t>http://localhost:8787/api/admin/requirements/documents/cmm4yupp702u5cuqwiepm97td/view</t>
        </is>
      </c>
      <c r="E1087">
        <f>HYPERLÄNK("http://localhost:8787/api/admin/requirements/documents/cmm4yupp702u5cuqwiepm97td/view";"Öppna PDF")</f>
        <v/>
      </c>
      <c r="F1087">
        <f>HYPERLINK("http://localhost:8787/api/admin/requirements/documents/cmm4yupp702u5cuqwiepm97td/view","Open PDF")</f>
        <v/>
      </c>
      <c r="G1087" t="inlineStr">
        <is>
          <t>cmm55w57p0004cuisfrtpqly8</t>
        </is>
      </c>
      <c r="H1087" t="inlineStr">
        <is>
          <t>Informationskrav</t>
        </is>
      </c>
      <c r="I1087" t="inlineStr">
        <is>
          <t>Ytkonstruktion</t>
        </is>
      </c>
      <c r="J1087" t="inlineStr">
        <is>
          <t>Tat yta</t>
        </is>
      </c>
      <c r="K1087" t="inlineStr">
        <is>
          <t>Avsändare: calle@fristadsexpress.se Mottaget: 2025-11-26 07:25:05 Mottagare: John Glamheden [john.glamheden@boras.se] Kopia: Ämne: Falskog Bifogade filer: Hej John, Här kommer de ytterligare EWC koder vi pratade om igår.</t>
        </is>
      </c>
      <c r="L1087" t="inlineStr">
        <is>
          <t>Avsändare: calle@fristadsexpress.se Mottaget: 2025-11-26 07:25:05 Mottagare: John Glamheden [john.glamheden@boras.se] Kopia: Ämne: Falskog Bifogade filer: Hej John, Här kommer de ytterligare EWC koder vi pratade om igår.</t>
        </is>
      </c>
      <c r="M1087" t="inlineStr">
        <is>
          <t>BOR</t>
        </is>
      </c>
      <c r="N1087" t="inlineStr"/>
      <c r="O1087" t="inlineStr">
        <is>
          <t>2025-11-26</t>
        </is>
      </c>
      <c r="P1087" t="inlineStr"/>
      <c r="Q1087" t="inlineStr"/>
      <c r="R1087" t="inlineStr">
        <is>
          <t>Vid mellanlagring av avfall</t>
        </is>
      </c>
      <c r="S1087" t="inlineStr"/>
      <c r="T1087" t="inlineStr">
        <is>
          <t>170508</t>
        </is>
      </c>
      <c r="U1087" t="inlineStr"/>
      <c r="V1087" t="inlineStr"/>
      <c r="W1087" t="inlineStr">
        <is>
          <t>Ja</t>
        </is>
      </c>
      <c r="X1087" t="inlineStr">
        <is>
          <t>Nej</t>
        </is>
      </c>
      <c r="Y1087" t="inlineStr">
        <is>
          <t>Nej</t>
        </is>
      </c>
      <c r="Z1087" t="inlineStr">
        <is>
          <t>Nej</t>
        </is>
      </c>
      <c r="AA1087" t="n">
        <v>5</v>
      </c>
      <c r="AB1087" t="inlineStr">
        <is>
          <t>Teknisk beskrivning av platta</t>
        </is>
      </c>
      <c r="AC1087" t="inlineStr">
        <is>
          <t>Teknisk ritning platta</t>
        </is>
      </c>
      <c r="AD1087" t="inlineStr">
        <is>
          <t>Nej</t>
        </is>
      </c>
      <c r="AE1087" t="inlineStr">
        <is>
          <t>Nej</t>
        </is>
      </c>
      <c r="AF1087" t="inlineStr">
        <is>
          <t>Ej behandlad</t>
        </is>
      </c>
      <c r="AG1087" t="inlineStr">
        <is>
          <t>AUTO_GENERERAD. Verifiera citat mot kallfil.</t>
        </is>
      </c>
      <c r="AH1087" t="inlineStr">
        <is>
          <t>MEDIUM</t>
        </is>
      </c>
      <c r="AI1087" t="inlineStr">
        <is>
          <t>AUTO</t>
        </is>
      </c>
      <c r="AJ1087" t="inlineStr">
        <is>
          <t>Nej</t>
        </is>
      </c>
      <c r="AK1087" t="inlineStr"/>
      <c r="AL1087" t="inlineStr"/>
      <c r="AM1087" t="inlineStr"/>
      <c r="AN1087" t="inlineStr"/>
      <c r="AO1087" t="inlineStr">
        <is>
          <t>cmm4yupps02uncuqw2oocfvsk</t>
        </is>
      </c>
      <c r="AP1087" t="inlineStr">
        <is>
          <t>http://localhost:8787/api/admin/requirements/documents/cmm4yupps02uncuqw2oocfvsk/view</t>
        </is>
      </c>
      <c r="AQ1087">
        <f>HYPERLÄNK("http://localhost:8787/api/admin/requirements/documents/cmm4yupps02uncuqw2oocfvsk/view";"Öppna PDF")</f>
        <v/>
      </c>
      <c r="AR1087">
        <f>HYPERLINK("http://localhost:8787/api/admin/requirements/documents/cmm4yupps02uncuqw2oocfvsk/view","Open PDF")</f>
        <v/>
      </c>
      <c r="AS1087" t="inlineStr">
        <is>
          <t>cmm55w57p0004cuisfrtpqly8</t>
        </is>
      </c>
      <c r="AT1087" t="inlineStr">
        <is>
          <t>cmm4xvu980000cuh4vj0usz09</t>
        </is>
      </c>
      <c r="AU1087" t="inlineStr"/>
      <c r="AV1087" t="inlineStr">
        <is>
          <t>Kommun</t>
        </is>
      </c>
      <c r="AW1087" t="inlineStr"/>
      <c r="AX1087" t="inlineStr">
        <is>
          <t>2013:251</t>
        </is>
      </c>
      <c r="AY1087" t="inlineStr">
        <is>
          <t>Anmalan</t>
        </is>
      </c>
      <c r="AZ1087" t="inlineStr">
        <is>
          <t>2026-02-04</t>
        </is>
      </c>
      <c r="BA1087" t="inlineStr">
        <is>
          <t>2025-3473 8.pdf</t>
        </is>
      </c>
      <c r="BB1087" t="inlineStr">
        <is>
          <t>Sv:  Begäran om utlämnande av allmän handling – Anmälningar och beslut rörande mellanlagring av avfall samt anläggning av ytor</t>
        </is>
      </c>
      <c r="BC1087" t="inlineStr">
        <is>
          <t>AUTO</t>
        </is>
      </c>
      <c r="BD1087" t="inlineStr"/>
      <c r="BE1087" t="inlineStr"/>
      <c r="BF1087" t="inlineStr">
        <is>
          <t>AUTO_GENERERAD. Bekrafta metadata mot kallfil.</t>
        </is>
      </c>
      <c r="BG1087">
        <f>HYPERLINK("C:\Users\jimmy\Desktop\Examens arbete\Kod\Ny mapp\remix_-copy-of-miljöbeslut.se-portal\2025-3473 8.pdf", "Öppna PDF")</f>
        <v/>
      </c>
    </row>
    <row r="1088">
      <c r="A1088" t="inlineStr">
        <is>
          <t>KRAV-AUTO-001087</t>
        </is>
      </c>
      <c r="B1088" t="inlineStr">
        <is>
          <t>ADMIN-INDEX-2026-02-27-00000000125C043F57453246863FE664CAFE6A3F0700950291EA24F0614FB6ACEDB12BF0E31D00000000010C0000950291EA24F0614FB6ACEDB12BF0E31D00002087AE610000</t>
        </is>
      </c>
      <c r="C1088" t="inlineStr">
        <is>
          <t>cmm4yupp502u2cuqwsyd8t5mx</t>
        </is>
      </c>
      <c r="D1088" t="inlineStr">
        <is>
          <t>http://localhost:8787/api/admin/requirements/documents/cmm4yupp502u2cuqwsyd8t5mx/view</t>
        </is>
      </c>
      <c r="E1088">
        <f>HYPERLÄNK("http://localhost:8787/api/admin/requirements/documents/cmm4yupp502u2cuqwsyd8t5mx/view";"Öppna PDF")</f>
        <v/>
      </c>
      <c r="F1088">
        <f>HYPERLINK("http://localhost:8787/api/admin/requirements/documents/cmm4yupp502u2cuqwsyd8t5mx/view","Open PDF")</f>
        <v/>
      </c>
      <c r="G1088" t="inlineStr">
        <is>
          <t>cmm55w57p0004cuisfrtpqly8</t>
        </is>
      </c>
      <c r="H1088" t="inlineStr">
        <is>
          <t>Informationskrav</t>
        </is>
      </c>
      <c r="I1088" t="inlineStr">
        <is>
          <t>MiljopaverkanForsiktighet</t>
        </is>
      </c>
      <c r="J1088" t="inlineStr">
        <is>
          <t>Skyddsatgarder</t>
        </is>
      </c>
      <c r="K1088" t="inlineStr">
        <is>
          <t>ZjQcmQRYFpfptBannerEnd Hej John, Vi önskar lägga till EWC-koden för Ballast utan farliga ämnen 170508 som ok att ta in på verksamheten enligt Borås stad beslut 2025-1582, i övrigt allt annat lika.</t>
        </is>
      </c>
      <c r="L1088" t="inlineStr">
        <is>
          <t>ZjQcmQRYFpfptBannerEnd Hej John, Vi önskar lägga till EWC-koden för Ballast utan farliga ämnen 170508 som ok att ta in på verksamheten enligt Borås stad beslut 2025-1582, i övrigt allt annat lika.</t>
        </is>
      </c>
      <c r="M1088" t="inlineStr">
        <is>
          <t>SKA</t>
        </is>
      </c>
      <c r="N1088" t="inlineStr"/>
      <c r="O1088" t="inlineStr"/>
      <c r="P1088" t="inlineStr">
        <is>
          <t>Arlig</t>
        </is>
      </c>
      <c r="Q1088" t="inlineStr"/>
      <c r="R1088" t="inlineStr">
        <is>
          <t>Alltid</t>
        </is>
      </c>
      <c r="S1088" t="inlineStr"/>
      <c r="T1088" t="inlineStr">
        <is>
          <t>170508</t>
        </is>
      </c>
      <c r="U1088" t="inlineStr"/>
      <c r="V1088" t="inlineStr"/>
      <c r="W1088" t="inlineStr">
        <is>
          <t>Nej</t>
        </is>
      </c>
      <c r="X1088" t="inlineStr">
        <is>
          <t>Nej</t>
        </is>
      </c>
      <c r="Y1088" t="inlineStr">
        <is>
          <t>Nej</t>
        </is>
      </c>
      <c r="Z1088" t="inlineStr">
        <is>
          <t>Nej</t>
        </is>
      </c>
      <c r="AA1088" t="n">
        <v>10</v>
      </c>
      <c r="AB1088" t="inlineStr">
        <is>
          <t>Miljopaverkan och forsiktighetsmatt</t>
        </is>
      </c>
      <c r="AC1088" t="inlineStr">
        <is>
          <t>Miljo-PM</t>
        </is>
      </c>
      <c r="AD1088" t="inlineStr">
        <is>
          <t>Nej</t>
        </is>
      </c>
      <c r="AE1088" t="inlineStr">
        <is>
          <t>Nej</t>
        </is>
      </c>
      <c r="AF1088" t="inlineStr">
        <is>
          <t>Ej behandlad</t>
        </is>
      </c>
      <c r="AG1088" t="inlineStr">
        <is>
          <t>AUTO_GENERERAD. Verifiera citat mot kallfil.</t>
        </is>
      </c>
      <c r="AH1088" t="inlineStr">
        <is>
          <t>MEDIUM</t>
        </is>
      </c>
      <c r="AI1088" t="inlineStr">
        <is>
          <t>AUTO</t>
        </is>
      </c>
      <c r="AJ1088" t="inlineStr">
        <is>
          <t>Nej</t>
        </is>
      </c>
      <c r="AK1088" t="inlineStr"/>
      <c r="AL1088" t="inlineStr"/>
      <c r="AM1088" t="inlineStr"/>
      <c r="AN1088" t="inlineStr"/>
      <c r="AO1088" t="inlineStr">
        <is>
          <t>cmm4yupps02uncuqw2oocfvsk</t>
        </is>
      </c>
      <c r="AP1088" t="inlineStr">
        <is>
          <t>http://localhost:8787/api/admin/requirements/documents/cmm4yupps02uncuqw2oocfvsk/view</t>
        </is>
      </c>
      <c r="AQ1088">
        <f>HYPERLÄNK("http://localhost:8787/api/admin/requirements/documents/cmm4yupps02uncuqw2oocfvsk/view";"Öppna PDF")</f>
        <v/>
      </c>
      <c r="AR1088">
        <f>HYPERLINK("http://localhost:8787/api/admin/requirements/documents/cmm4yupps02uncuqw2oocfvsk/view","Open PDF")</f>
        <v/>
      </c>
      <c r="AS1088" t="inlineStr">
        <is>
          <t>cmm55w57p0004cuisfrtpqly8</t>
        </is>
      </c>
      <c r="AT1088" t="inlineStr">
        <is>
          <t>cmm4xvu980000cuh4vj0usz09</t>
        </is>
      </c>
      <c r="AU1088" t="inlineStr"/>
      <c r="AV1088" t="inlineStr">
        <is>
          <t>Kommun</t>
        </is>
      </c>
      <c r="AW1088" t="inlineStr"/>
      <c r="AX1088" t="inlineStr">
        <is>
          <t>2013:251</t>
        </is>
      </c>
      <c r="AY1088" t="inlineStr">
        <is>
          <t>Anmalan</t>
        </is>
      </c>
      <c r="AZ1088" t="inlineStr">
        <is>
          <t>2026-02-04</t>
        </is>
      </c>
      <c r="BA1088" t="inlineStr">
        <is>
          <t>2025-3473 8.pdf</t>
        </is>
      </c>
      <c r="BB1088" t="inlineStr">
        <is>
          <t>Sv:  Begäran om utlämnande av allmän handling – Anmälningar och beslut rörande mellanlagring av avfall samt anläggning av ytor</t>
        </is>
      </c>
      <c r="BC1088" t="inlineStr">
        <is>
          <t>AUTO</t>
        </is>
      </c>
      <c r="BD1088" t="inlineStr"/>
      <c r="BE1088" t="inlineStr"/>
      <c r="BF1088" t="inlineStr">
        <is>
          <t>AUTO_GENERERAD. Bekrafta metadata mot kallfil.</t>
        </is>
      </c>
      <c r="BG1088">
        <f>HYPERLINK("C:\Users\jimmy\Desktop\Examens arbete\Kod\Ny mapp\remix_-copy-of-miljöbeslut.se-portal\2025-3473 8.pdf", "Öppna PDF")</f>
        <v/>
      </c>
    </row>
    <row r="1089">
      <c r="A1089" t="inlineStr">
        <is>
          <t>KRAV-AUTO-001088</t>
        </is>
      </c>
      <c r="B1089" t="inlineStr">
        <is>
          <t>ADMIN-INDEX-2026-02-27-00000000125C043F57453246863FE664CAFE6A3F0700950291EA24F0614FB6ACEDB12BF0E31D00000000010C0000950291EA24F0614FB6ACEDB12BF0E31D00002087AE610000</t>
        </is>
      </c>
      <c r="C1089" t="inlineStr">
        <is>
          <t>cmm4yupp502u2cuqwsyd8t5mx</t>
        </is>
      </c>
      <c r="D1089" t="inlineStr">
        <is>
          <t>http://localhost:8787/api/admin/requirements/documents/cmm4yupp502u2cuqwsyd8t5mx/view</t>
        </is>
      </c>
      <c r="E1089">
        <f>HYPERLÄNK("http://localhost:8787/api/admin/requirements/documents/cmm4yupp502u2cuqwsyd8t5mx/view";"Öppna PDF")</f>
        <v/>
      </c>
      <c r="F1089">
        <f>HYPERLINK("http://localhost:8787/api/admin/requirements/documents/cmm4yupp502u2cuqwsyd8t5mx/view","Open PDF")</f>
        <v/>
      </c>
      <c r="G1089" t="inlineStr">
        <is>
          <t>cmm55w57p0004cuisfrtpqly8</t>
        </is>
      </c>
      <c r="H1089" t="inlineStr">
        <is>
          <t>Informationskrav</t>
        </is>
      </c>
      <c r="I1089" t="inlineStr">
        <is>
          <t>MiljopaverkanForsiktighet</t>
        </is>
      </c>
      <c r="J1089" t="inlineStr">
        <is>
          <t>Skyddsatgarder</t>
        </is>
      </c>
      <c r="K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089" t="inlineStr">
        <is>
          <t>SKA</t>
        </is>
      </c>
      <c r="N1089" t="inlineStr"/>
      <c r="O1089" t="inlineStr">
        <is>
          <t>2025-10-20</t>
        </is>
      </c>
      <c r="P1089" t="inlineStr">
        <is>
          <t>Arlig</t>
        </is>
      </c>
      <c r="Q1089" t="inlineStr"/>
      <c r="R1089" t="inlineStr">
        <is>
          <t>Alltid</t>
        </is>
      </c>
      <c r="S1089" t="inlineStr"/>
      <c r="T1089" t="inlineStr">
        <is>
          <t>2025 12</t>
        </is>
      </c>
      <c r="U1089" t="inlineStr"/>
      <c r="V1089" t="inlineStr"/>
      <c r="W1089" t="inlineStr">
        <is>
          <t>Nej</t>
        </is>
      </c>
      <c r="X1089" t="inlineStr">
        <is>
          <t>Nej</t>
        </is>
      </c>
      <c r="Y1089" t="inlineStr">
        <is>
          <t>Nej</t>
        </is>
      </c>
      <c r="Z1089" t="inlineStr">
        <is>
          <t>Nej</t>
        </is>
      </c>
      <c r="AA1089" t="n">
        <v>10</v>
      </c>
      <c r="AB1089" t="inlineStr">
        <is>
          <t>Miljopaverkan och forsiktighetsmatt</t>
        </is>
      </c>
      <c r="AC1089" t="inlineStr">
        <is>
          <t>Miljo-PM</t>
        </is>
      </c>
      <c r="AD1089" t="inlineStr">
        <is>
          <t>Nej</t>
        </is>
      </c>
      <c r="AE1089" t="inlineStr">
        <is>
          <t>Nej</t>
        </is>
      </c>
      <c r="AF1089" t="inlineStr">
        <is>
          <t>Ej behandlad</t>
        </is>
      </c>
      <c r="AG1089" t="inlineStr">
        <is>
          <t>AUTO_GENERERAD. Verifiera citat mot kallfil.</t>
        </is>
      </c>
      <c r="AH1089" t="inlineStr">
        <is>
          <t>MEDIUM</t>
        </is>
      </c>
      <c r="AI1089" t="inlineStr">
        <is>
          <t>AUTO</t>
        </is>
      </c>
      <c r="AJ1089" t="inlineStr">
        <is>
          <t>Nej</t>
        </is>
      </c>
      <c r="AK1089" t="inlineStr"/>
      <c r="AL1089" t="inlineStr"/>
      <c r="AM1089" t="inlineStr"/>
      <c r="AN1089" t="inlineStr"/>
      <c r="AO1089" t="inlineStr">
        <is>
          <t>cmm4yupps02uncuqw2oocfvsk</t>
        </is>
      </c>
      <c r="AP1089" t="inlineStr">
        <is>
          <t>http://localhost:8787/api/admin/requirements/documents/cmm4yupps02uncuqw2oocfvsk/view</t>
        </is>
      </c>
      <c r="AQ1089">
        <f>HYPERLÄNK("http://localhost:8787/api/admin/requirements/documents/cmm4yupps02uncuqw2oocfvsk/view";"Öppna PDF")</f>
        <v/>
      </c>
      <c r="AR1089">
        <f>HYPERLINK("http://localhost:8787/api/admin/requirements/documents/cmm4yupps02uncuqw2oocfvsk/view","Open PDF")</f>
        <v/>
      </c>
      <c r="AS1089" t="inlineStr">
        <is>
          <t>cmm55w57p0004cuisfrtpqly8</t>
        </is>
      </c>
      <c r="AT1089" t="inlineStr">
        <is>
          <t>cmm4xvu980000cuh4vj0usz09</t>
        </is>
      </c>
      <c r="AU1089" t="inlineStr"/>
      <c r="AV1089" t="inlineStr">
        <is>
          <t>Kommun</t>
        </is>
      </c>
      <c r="AW1089" t="inlineStr"/>
      <c r="AX1089" t="inlineStr">
        <is>
          <t>2013:251</t>
        </is>
      </c>
      <c r="AY1089" t="inlineStr">
        <is>
          <t>Anmalan</t>
        </is>
      </c>
      <c r="AZ1089" t="inlineStr">
        <is>
          <t>2026-02-04</t>
        </is>
      </c>
      <c r="BA1089" t="inlineStr">
        <is>
          <t>2025-3473 8.pdf</t>
        </is>
      </c>
      <c r="BB1089" t="inlineStr">
        <is>
          <t>Sv:  Begäran om utlämnande av allmän handling – Anmälningar och beslut rörande mellanlagring av avfall samt anläggning av ytor</t>
        </is>
      </c>
      <c r="BC1089" t="inlineStr">
        <is>
          <t>AUTO</t>
        </is>
      </c>
      <c r="BD1089" t="inlineStr"/>
      <c r="BE1089" t="inlineStr"/>
      <c r="BF1089" t="inlineStr">
        <is>
          <t>AUTO_GENERERAD. Bekrafta metadata mot kallfil.</t>
        </is>
      </c>
      <c r="BG1089">
        <f>HYPERLINK("C:\Users\jimmy\Desktop\Examens arbete\Kod\Ny mapp\remix_-copy-of-miljöbeslut.se-portal\2025-3473 8.pdf", "Öppna PDF")</f>
        <v/>
      </c>
    </row>
    <row r="1090">
      <c r="A1090" t="inlineStr">
        <is>
          <t>KRAV-AUTO-001089</t>
        </is>
      </c>
      <c r="B1090" t="inlineStr">
        <is>
          <t>ADMIN-INDEX-2026-02-27-00000000125C043F57453246863FE664CAFE6A3F0700950291EA24F0614FB6ACEDB12BF0E31D00000000010C0000950291EA24F0614FB6ACEDB12BF0E31D00002087AE610000</t>
        </is>
      </c>
      <c r="C1090" t="inlineStr">
        <is>
          <t>cmm4yupp202tzcuqwtksamcb4</t>
        </is>
      </c>
      <c r="D1090" t="inlineStr">
        <is>
          <t>http://localhost:8787/api/admin/requirements/documents/cmm4yupp202tzcuqwtksamcb4/view</t>
        </is>
      </c>
      <c r="E1090">
        <f>HYPERLÄNK("http://localhost:8787/api/admin/requirements/documents/cmm4yupp202tzcuqwtksamcb4/view";"Öppna PDF")</f>
        <v/>
      </c>
      <c r="F1090">
        <f>HYPERLINK("http://localhost:8787/api/admin/requirements/documents/cmm4yupp202tzcuqwtksamcb4/view","Open PDF")</f>
        <v/>
      </c>
      <c r="G1090" t="inlineStr">
        <is>
          <t>cmm55w57p0004cuisfrtpqly8</t>
        </is>
      </c>
      <c r="H1090" t="inlineStr">
        <is>
          <t>Informationskrav</t>
        </is>
      </c>
      <c r="I1090" t="inlineStr">
        <is>
          <t>Ytkonstruktion</t>
        </is>
      </c>
      <c r="J1090" t="inlineStr">
        <is>
          <t>Tat yta</t>
        </is>
      </c>
      <c r="K1090" t="inlineStr">
        <is>
          <t>Farligt avfall och kemikalier ska förvaras invallat, invallningen ska rymma 100% av den störta behållarens volym plus 10% av övriga behållares totala volym.</t>
        </is>
      </c>
      <c r="L1090" t="inlineStr">
        <is>
          <t>Farligt avfall och kemikalier ska förvaras invallat, invallningen ska rymma 100% av den störta behållarens volym plus 10% av övriga behållares totala volym.</t>
        </is>
      </c>
      <c r="M1090" t="inlineStr">
        <is>
          <t>SKA</t>
        </is>
      </c>
      <c r="N1090" t="inlineStr"/>
      <c r="O1090" t="inlineStr"/>
      <c r="P1090" t="inlineStr">
        <is>
          <t>Arlig</t>
        </is>
      </c>
      <c r="Q1090" t="inlineStr"/>
      <c r="R1090" t="inlineStr">
        <is>
          <t>Vid mellanlagring av avfall</t>
        </is>
      </c>
      <c r="S1090" t="inlineStr"/>
      <c r="T1090" t="inlineStr">
        <is>
          <t>22 23 70</t>
        </is>
      </c>
      <c r="U1090" t="inlineStr"/>
      <c r="V1090" t="inlineStr"/>
      <c r="W1090" t="inlineStr">
        <is>
          <t>Ja</t>
        </is>
      </c>
      <c r="X1090" t="inlineStr">
        <is>
          <t>Nej</t>
        </is>
      </c>
      <c r="Y1090" t="inlineStr">
        <is>
          <t>Nej</t>
        </is>
      </c>
      <c r="Z1090" t="inlineStr">
        <is>
          <t>Nej</t>
        </is>
      </c>
      <c r="AA1090" t="n">
        <v>5</v>
      </c>
      <c r="AB1090" t="inlineStr">
        <is>
          <t>Teknisk beskrivning av platta</t>
        </is>
      </c>
      <c r="AC1090" t="inlineStr">
        <is>
          <t>Teknisk ritning platta</t>
        </is>
      </c>
      <c r="AD1090" t="inlineStr">
        <is>
          <t>Nej</t>
        </is>
      </c>
      <c r="AE1090" t="inlineStr">
        <is>
          <t>Nej</t>
        </is>
      </c>
      <c r="AF1090" t="inlineStr">
        <is>
          <t>Ej behandlad</t>
        </is>
      </c>
      <c r="AG1090" t="inlineStr">
        <is>
          <t>AUTO_GENERERAD. Verifiera citat mot kallfil.</t>
        </is>
      </c>
      <c r="AH1090" t="inlineStr">
        <is>
          <t>MEDIUM</t>
        </is>
      </c>
      <c r="AI1090" t="inlineStr">
        <is>
          <t>AUTO</t>
        </is>
      </c>
      <c r="AJ1090" t="inlineStr">
        <is>
          <t>Nej</t>
        </is>
      </c>
      <c r="AK1090" t="inlineStr"/>
      <c r="AL1090" t="inlineStr"/>
      <c r="AM1090" t="inlineStr"/>
      <c r="AN1090" t="inlineStr"/>
      <c r="AO1090" t="inlineStr">
        <is>
          <t>cmm4yupps02uncuqw2oocfvsk</t>
        </is>
      </c>
      <c r="AP1090" t="inlineStr">
        <is>
          <t>http://localhost:8787/api/admin/requirements/documents/cmm4yupps02uncuqw2oocfvsk/view</t>
        </is>
      </c>
      <c r="AQ1090">
        <f>HYPERLÄNK("http://localhost:8787/api/admin/requirements/documents/cmm4yupps02uncuqw2oocfvsk/view";"Öppna PDF")</f>
        <v/>
      </c>
      <c r="AR1090">
        <f>HYPERLINK("http://localhost:8787/api/admin/requirements/documents/cmm4yupps02uncuqw2oocfvsk/view","Open PDF")</f>
        <v/>
      </c>
      <c r="AS1090" t="inlineStr">
        <is>
          <t>cmm55w57p0004cuisfrtpqly8</t>
        </is>
      </c>
      <c r="AT1090" t="inlineStr">
        <is>
          <t>cmm4xvu980000cuh4vj0usz09</t>
        </is>
      </c>
      <c r="AU1090" t="inlineStr"/>
      <c r="AV1090" t="inlineStr">
        <is>
          <t>Kommun</t>
        </is>
      </c>
      <c r="AW1090" t="inlineStr"/>
      <c r="AX1090" t="inlineStr">
        <is>
          <t>2013:251</t>
        </is>
      </c>
      <c r="AY1090" t="inlineStr">
        <is>
          <t>Anmalan</t>
        </is>
      </c>
      <c r="AZ1090" t="inlineStr">
        <is>
          <t>2026-02-04</t>
        </is>
      </c>
      <c r="BA1090" t="inlineStr">
        <is>
          <t>2025-3473 8.pdf</t>
        </is>
      </c>
      <c r="BB1090" t="inlineStr">
        <is>
          <t>Sv:  Begäran om utlämnande av allmän handling – Anmälningar och beslut rörande mellanlagring av avfall samt anläggning av ytor</t>
        </is>
      </c>
      <c r="BC1090" t="inlineStr">
        <is>
          <t>AUTO</t>
        </is>
      </c>
      <c r="BD1090" t="inlineStr"/>
      <c r="BE1090" t="inlineStr"/>
      <c r="BF1090" t="inlineStr">
        <is>
          <t>AUTO_GENERERAD. Bekrafta metadata mot kallfil.</t>
        </is>
      </c>
      <c r="BG1090">
        <f>HYPERLINK("C:\Users\jimmy\Desktop\Examens arbete\Kod\Ny mapp\remix_-copy-of-miljöbeslut.se-portal\2025-3473 8.pdf", "Öppna PDF")</f>
        <v/>
      </c>
    </row>
    <row r="1091">
      <c r="A1091" t="inlineStr">
        <is>
          <t>KRAV-AUTO-001090</t>
        </is>
      </c>
      <c r="B1091" t="inlineStr">
        <is>
          <t>ADMIN-INDEX-2026-02-27-00000000125C043F57453246863FE664CAFE6A3F0700950291EA24F0614FB6ACEDB12BF0E31D00000000010C0000950291EA24F0614FB6ACEDB12BF0E31D00002087AE610000</t>
        </is>
      </c>
      <c r="C1091" t="inlineStr">
        <is>
          <t>cmm4yupp202tzcuqwtksamcb4</t>
        </is>
      </c>
      <c r="D1091" t="inlineStr">
        <is>
          <t>http://localhost:8787/api/admin/requirements/documents/cmm4yupp202tzcuqwtksamcb4/view</t>
        </is>
      </c>
      <c r="E1091">
        <f>HYPERLÄNK("http://localhost:8787/api/admin/requirements/documents/cmm4yupp202tzcuqwtksamcb4/view";"Öppna PDF")</f>
        <v/>
      </c>
      <c r="F1091">
        <f>HYPERLINK("http://localhost:8787/api/admin/requirements/documents/cmm4yupp202tzcuqwtksamcb4/view","Open PDF")</f>
        <v/>
      </c>
      <c r="G1091" t="inlineStr">
        <is>
          <t>cmm55w57p0004cuisfrtpqly8</t>
        </is>
      </c>
      <c r="H1091" t="inlineStr">
        <is>
          <t>Informationskrav</t>
        </is>
      </c>
      <c r="I1091" t="inlineStr">
        <is>
          <t>DagvattenLakvatten</t>
        </is>
      </c>
      <c r="J1091" t="inlineStr">
        <is>
          <t>Uppsamling</t>
        </is>
      </c>
      <c r="K1091" t="inlineStr">
        <is>
          <t>Vatten behöver tillföras vissa produkter för att rätt fukthalt ska bibehållas så något överskott på dagvatten räknar vi inte med att få inom verksamheten.</t>
        </is>
      </c>
      <c r="L1091" t="inlineStr">
        <is>
          <t>Vatten behöver tillföras vissa produkter för att rätt fukthalt ska bibehållas så något överskott på dagvatten räknar vi inte med att få inom verksamheten.</t>
        </is>
      </c>
      <c r="M1091" t="inlineStr">
        <is>
          <t>SKA</t>
        </is>
      </c>
      <c r="N1091" t="inlineStr"/>
      <c r="O1091" t="inlineStr"/>
      <c r="P1091" t="inlineStr"/>
      <c r="Q1091" t="inlineStr"/>
      <c r="R1091" t="inlineStr">
        <is>
          <t>Vid nederbord och avrinning</t>
        </is>
      </c>
      <c r="S1091" t="inlineStr"/>
      <c r="T1091" t="inlineStr">
        <is>
          <t>22 23 70</t>
        </is>
      </c>
      <c r="U1091" t="inlineStr"/>
      <c r="V1091" t="inlineStr"/>
      <c r="W1091" t="inlineStr">
        <is>
          <t>Nej</t>
        </is>
      </c>
      <c r="X1091" t="inlineStr">
        <is>
          <t>Ja</t>
        </is>
      </c>
      <c r="Y1091" t="inlineStr">
        <is>
          <t>Ja</t>
        </is>
      </c>
      <c r="Z1091" t="inlineStr">
        <is>
          <t>Nej</t>
        </is>
      </c>
      <c r="AA1091" t="n">
        <v>6</v>
      </c>
      <c r="AB1091" t="inlineStr">
        <is>
          <t>Lakvattenhantering</t>
        </is>
      </c>
      <c r="AC1091" t="inlineStr">
        <is>
          <t>Flodesschema dagvatten-lakvatten</t>
        </is>
      </c>
      <c r="AD1091" t="inlineStr">
        <is>
          <t>Nej</t>
        </is>
      </c>
      <c r="AE1091" t="inlineStr">
        <is>
          <t>Nej</t>
        </is>
      </c>
      <c r="AF1091" t="inlineStr">
        <is>
          <t>Ej behandlad</t>
        </is>
      </c>
      <c r="AG1091" t="inlineStr">
        <is>
          <t>AUTO_GENERERAD. Verifiera citat mot kallfil.</t>
        </is>
      </c>
      <c r="AH1091" t="inlineStr">
        <is>
          <t>MEDIUM</t>
        </is>
      </c>
      <c r="AI1091" t="inlineStr">
        <is>
          <t>AUTO</t>
        </is>
      </c>
      <c r="AJ1091" t="inlineStr">
        <is>
          <t>Nej</t>
        </is>
      </c>
      <c r="AK1091" t="inlineStr"/>
      <c r="AL1091" t="inlineStr"/>
      <c r="AM1091" t="inlineStr"/>
      <c r="AN1091" t="inlineStr"/>
      <c r="AO1091" t="inlineStr">
        <is>
          <t>cmm4yupps02uncuqw2oocfvsk</t>
        </is>
      </c>
      <c r="AP1091" t="inlineStr">
        <is>
          <t>http://localhost:8787/api/admin/requirements/documents/cmm4yupps02uncuqw2oocfvsk/view</t>
        </is>
      </c>
      <c r="AQ1091">
        <f>HYPERLÄNK("http://localhost:8787/api/admin/requirements/documents/cmm4yupps02uncuqw2oocfvsk/view";"Öppna PDF")</f>
        <v/>
      </c>
      <c r="AR1091">
        <f>HYPERLINK("http://localhost:8787/api/admin/requirements/documents/cmm4yupps02uncuqw2oocfvsk/view","Open PDF")</f>
        <v/>
      </c>
      <c r="AS1091" t="inlineStr">
        <is>
          <t>cmm55w57p0004cuisfrtpqly8</t>
        </is>
      </c>
      <c r="AT1091" t="inlineStr">
        <is>
          <t>cmm4xvu980000cuh4vj0usz09</t>
        </is>
      </c>
      <c r="AU1091" t="inlineStr"/>
      <c r="AV1091" t="inlineStr">
        <is>
          <t>Kommun</t>
        </is>
      </c>
      <c r="AW1091" t="inlineStr"/>
      <c r="AX1091" t="inlineStr">
        <is>
          <t>2013:251</t>
        </is>
      </c>
      <c r="AY1091" t="inlineStr">
        <is>
          <t>Anmalan</t>
        </is>
      </c>
      <c r="AZ1091" t="inlineStr">
        <is>
          <t>2026-02-04</t>
        </is>
      </c>
      <c r="BA1091" t="inlineStr">
        <is>
          <t>2025-3473 8.pdf</t>
        </is>
      </c>
      <c r="BB1091" t="inlineStr">
        <is>
          <t>Sv:  Begäran om utlämnande av allmän handling – Anmälningar och beslut rörande mellanlagring av avfall samt anläggning av ytor</t>
        </is>
      </c>
      <c r="BC1091" t="inlineStr">
        <is>
          <t>AUTO</t>
        </is>
      </c>
      <c r="BD1091" t="inlineStr"/>
      <c r="BE1091" t="inlineStr"/>
      <c r="BF1091" t="inlineStr">
        <is>
          <t>AUTO_GENERERAD. Bekrafta metadata mot kallfil.</t>
        </is>
      </c>
      <c r="BG1091">
        <f>HYPERLINK("C:\Users\jimmy\Desktop\Examens arbete\Kod\Ny mapp\remix_-copy-of-miljöbeslut.se-portal\2025-3473 8.pdf", "Öppna PDF")</f>
        <v/>
      </c>
    </row>
    <row r="1092">
      <c r="A1092" t="inlineStr">
        <is>
          <t>KRAV-AUTO-001091</t>
        </is>
      </c>
      <c r="B1092" t="inlineStr">
        <is>
          <t>ADMIN-INDEX-2026-02-27-00000000125C043F57453246863FE664CAFE6A3F0700950291EA24F0614FB6ACEDB12BF0E31D00000000010C0000950291EA24F0614FB6ACEDB12BF0E31D00002087AE610000</t>
        </is>
      </c>
      <c r="C1092" t="inlineStr">
        <is>
          <t>cmm4yupp202tzcuqwtksamcb4</t>
        </is>
      </c>
      <c r="D1092" t="inlineStr">
        <is>
          <t>http://localhost:8787/api/admin/requirements/documents/cmm4yupp202tzcuqwtksamcb4/view</t>
        </is>
      </c>
      <c r="E1092">
        <f>HYPERLÄNK("http://localhost:8787/api/admin/requirements/documents/cmm4yupp202tzcuqwtksamcb4/view";"Öppna PDF")</f>
        <v/>
      </c>
      <c r="F1092">
        <f>HYPERLINK("http://localhost:8787/api/admin/requirements/documents/cmm4yupp202tzcuqwtksamcb4/view","Open PDF")</f>
        <v/>
      </c>
      <c r="G1092" t="inlineStr">
        <is>
          <t>cmm55w57p0004cuisfrtpqly8</t>
        </is>
      </c>
      <c r="H1092" t="inlineStr">
        <is>
          <t>Informationskrav</t>
        </is>
      </c>
      <c r="I1092" t="inlineStr">
        <is>
          <t>Riskhantering</t>
        </is>
      </c>
      <c r="J1092" t="inlineStr">
        <is>
          <t>Riskkontroll</t>
        </is>
      </c>
      <c r="K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092" t="inlineStr">
        <is>
          <t>SKA</t>
        </is>
      </c>
      <c r="N1092" t="inlineStr"/>
      <c r="O1092" t="inlineStr"/>
      <c r="P1092" t="inlineStr"/>
      <c r="Q1092" t="inlineStr"/>
      <c r="R1092" t="inlineStr">
        <is>
          <t>Vid risk for incident</t>
        </is>
      </c>
      <c r="S1092" t="inlineStr"/>
      <c r="T1092" t="inlineStr">
        <is>
          <t>22 23 70</t>
        </is>
      </c>
      <c r="U1092" t="inlineStr"/>
      <c r="V1092" t="inlineStr"/>
      <c r="W1092" t="inlineStr">
        <is>
          <t>Nej</t>
        </is>
      </c>
      <c r="X1092" t="inlineStr">
        <is>
          <t>Nej</t>
        </is>
      </c>
      <c r="Y1092" t="inlineStr">
        <is>
          <t>Ja</t>
        </is>
      </c>
      <c r="Z1092" t="inlineStr">
        <is>
          <t>Ja</t>
        </is>
      </c>
      <c r="AA1092" t="n">
        <v>8</v>
      </c>
      <c r="AB1092" t="inlineStr">
        <is>
          <t>Riskhantering</t>
        </is>
      </c>
      <c r="AC1092" t="inlineStr">
        <is>
          <t>Risk-PM</t>
        </is>
      </c>
      <c r="AD1092" t="inlineStr">
        <is>
          <t>Nej</t>
        </is>
      </c>
      <c r="AE1092" t="inlineStr">
        <is>
          <t>Nej</t>
        </is>
      </c>
      <c r="AF1092" t="inlineStr">
        <is>
          <t>Ej behandlad</t>
        </is>
      </c>
      <c r="AG1092" t="inlineStr">
        <is>
          <t>AUTO_GENERERAD. Verifiera citat mot kallfil.</t>
        </is>
      </c>
      <c r="AH1092" t="inlineStr">
        <is>
          <t>MEDIUM</t>
        </is>
      </c>
      <c r="AI1092" t="inlineStr">
        <is>
          <t>AUTO</t>
        </is>
      </c>
      <c r="AJ1092" t="inlineStr">
        <is>
          <t>Nej</t>
        </is>
      </c>
      <c r="AK1092" t="inlineStr"/>
      <c r="AL1092" t="inlineStr"/>
      <c r="AM1092" t="inlineStr"/>
      <c r="AN1092" t="inlineStr"/>
      <c r="AO1092" t="inlineStr">
        <is>
          <t>cmm4yupps02uncuqw2oocfvsk</t>
        </is>
      </c>
      <c r="AP1092" t="inlineStr">
        <is>
          <t>http://localhost:8787/api/admin/requirements/documents/cmm4yupps02uncuqw2oocfvsk/view</t>
        </is>
      </c>
      <c r="AQ1092">
        <f>HYPERLÄNK("http://localhost:8787/api/admin/requirements/documents/cmm4yupps02uncuqw2oocfvsk/view";"Öppna PDF")</f>
        <v/>
      </c>
      <c r="AR1092">
        <f>HYPERLINK("http://localhost:8787/api/admin/requirements/documents/cmm4yupps02uncuqw2oocfvsk/view","Open PDF")</f>
        <v/>
      </c>
      <c r="AS1092" t="inlineStr">
        <is>
          <t>cmm55w57p0004cuisfrtpqly8</t>
        </is>
      </c>
      <c r="AT1092" t="inlineStr">
        <is>
          <t>cmm4xvu980000cuh4vj0usz09</t>
        </is>
      </c>
      <c r="AU1092" t="inlineStr"/>
      <c r="AV1092" t="inlineStr">
        <is>
          <t>Kommun</t>
        </is>
      </c>
      <c r="AW1092" t="inlineStr"/>
      <c r="AX1092" t="inlineStr">
        <is>
          <t>2013:251</t>
        </is>
      </c>
      <c r="AY1092" t="inlineStr">
        <is>
          <t>Anmalan</t>
        </is>
      </c>
      <c r="AZ1092" t="inlineStr">
        <is>
          <t>2026-02-04</t>
        </is>
      </c>
      <c r="BA1092" t="inlineStr">
        <is>
          <t>2025-3473 8.pdf</t>
        </is>
      </c>
      <c r="BB1092" t="inlineStr">
        <is>
          <t>Sv:  Begäran om utlämnande av allmän handling – Anmälningar och beslut rörande mellanlagring av avfall samt anläggning av ytor</t>
        </is>
      </c>
      <c r="BC1092" t="inlineStr">
        <is>
          <t>AUTO</t>
        </is>
      </c>
      <c r="BD1092" t="inlineStr"/>
      <c r="BE1092" t="inlineStr"/>
      <c r="BF1092" t="inlineStr">
        <is>
          <t>AUTO_GENERERAD. Bekrafta metadata mot kallfil.</t>
        </is>
      </c>
      <c r="BG1092">
        <f>HYPERLINK("C:\Users\jimmy\Desktop\Examens arbete\Kod\Ny mapp\remix_-copy-of-miljöbeslut.se-portal\2025-3473 8.pdf", "Öppna PDF")</f>
        <v/>
      </c>
    </row>
    <row r="1093">
      <c r="A1093" t="inlineStr">
        <is>
          <t>KRAV-AUTO-001092</t>
        </is>
      </c>
      <c r="B1093" t="inlineStr">
        <is>
          <t>ADMIN-INDEX-2026-02-27-00000000125C043F57453246863FE664CAFE6A3F0700950291EA24F0614FB6ACEDB12BF0E31D00000000010C0000950291EA24F0614FB6ACEDB12BF0E31D00002087AE610000</t>
        </is>
      </c>
      <c r="C1093" t="inlineStr">
        <is>
          <t>cmm4yupoz02twcuqw1s4jb2q1</t>
        </is>
      </c>
      <c r="D1093" t="inlineStr">
        <is>
          <t>http://localhost:8787/api/admin/requirements/documents/cmm4yupoz02twcuqw1s4jb2q1/view</t>
        </is>
      </c>
      <c r="E1093">
        <f>HYPERLÄNK("http://localhost:8787/api/admin/requirements/documents/cmm4yupoz02twcuqw1s4jb2q1/view";"Öppna PDF")</f>
        <v/>
      </c>
      <c r="F1093">
        <f>HYPERLINK("http://localhost:8787/api/admin/requirements/documents/cmm4yupoz02twcuqw1s4jb2q1/view","Open PDF")</f>
        <v/>
      </c>
      <c r="G1093" t="inlineStr">
        <is>
          <t>cmm55w57p0004cuisfrtpqly8</t>
        </is>
      </c>
      <c r="H1093" t="inlineStr">
        <is>
          <t>Informationskrav</t>
        </is>
      </c>
      <c r="I1093" t="inlineStr">
        <is>
          <t>LagringsvolymTid</t>
        </is>
      </c>
      <c r="J1093" t="inlineStr">
        <is>
          <t>Maxmangd</t>
        </is>
      </c>
      <c r="K1093" t="inlineStr">
        <is>
          <t>Bland annat ska typer och mängder av avfall som behandlas och lagras regleras vilket har gjorts i punkt 2, 3, 4 och 5 i föreläggandet.</t>
        </is>
      </c>
      <c r="L1093" t="inlineStr">
        <is>
          <t>Bland annat ska typer och mängder av avfall som behandlas och lagras regleras vilket har gjorts i punkt 2, 3, 4 och 5 i föreläggandet.</t>
        </is>
      </c>
      <c r="M1093" t="inlineStr">
        <is>
          <t>SKA</t>
        </is>
      </c>
      <c r="N1093" t="inlineStr"/>
      <c r="O1093" t="inlineStr"/>
      <c r="P1093" t="inlineStr"/>
      <c r="Q1093" t="inlineStr">
        <is>
          <t>Forelaggande vid brist</t>
        </is>
      </c>
      <c r="R1093" t="inlineStr">
        <is>
          <t>Alltid</t>
        </is>
      </c>
      <c r="S1093" t="inlineStr"/>
      <c r="T1093" t="inlineStr">
        <is>
          <t>35 30 00</t>
        </is>
      </c>
      <c r="U1093" t="inlineStr"/>
      <c r="V1093" t="inlineStr"/>
      <c r="W1093" t="inlineStr">
        <is>
          <t>Nej</t>
        </is>
      </c>
      <c r="X1093" t="inlineStr">
        <is>
          <t>Nej</t>
        </is>
      </c>
      <c r="Y1093" t="inlineStr">
        <is>
          <t>Nej</t>
        </is>
      </c>
      <c r="Z1093" t="inlineStr">
        <is>
          <t>Nej</t>
        </is>
      </c>
      <c r="AA1093" t="n">
        <v>4</v>
      </c>
      <c r="AB1093" t="inlineStr">
        <is>
          <t>Avfallsmangder och lagringstid</t>
        </is>
      </c>
      <c r="AC1093" t="inlineStr">
        <is>
          <t>Avfallsforteckning</t>
        </is>
      </c>
      <c r="AD1093" t="inlineStr">
        <is>
          <t>Nej</t>
        </is>
      </c>
      <c r="AE1093" t="inlineStr">
        <is>
          <t>Nej</t>
        </is>
      </c>
      <c r="AF1093" t="inlineStr">
        <is>
          <t>Ej behandlad</t>
        </is>
      </c>
      <c r="AG1093" t="inlineStr">
        <is>
          <t>AUTO_GENERERAD. Verifiera citat mot kallfil.</t>
        </is>
      </c>
      <c r="AH1093" t="inlineStr">
        <is>
          <t>MEDIUM</t>
        </is>
      </c>
      <c r="AI1093" t="inlineStr">
        <is>
          <t>AUTO</t>
        </is>
      </c>
      <c r="AJ1093" t="inlineStr">
        <is>
          <t>Nej</t>
        </is>
      </c>
      <c r="AK1093" t="inlineStr"/>
      <c r="AL1093" t="inlineStr"/>
      <c r="AM1093" t="inlineStr"/>
      <c r="AN1093" t="inlineStr"/>
      <c r="AO1093" t="inlineStr">
        <is>
          <t>cmm4yupps02uncuqw2oocfvsk</t>
        </is>
      </c>
      <c r="AP1093" t="inlineStr">
        <is>
          <t>http://localhost:8787/api/admin/requirements/documents/cmm4yupps02uncuqw2oocfvsk/view</t>
        </is>
      </c>
      <c r="AQ1093">
        <f>HYPERLÄNK("http://localhost:8787/api/admin/requirements/documents/cmm4yupps02uncuqw2oocfvsk/view";"Öppna PDF")</f>
        <v/>
      </c>
      <c r="AR1093">
        <f>HYPERLINK("http://localhost:8787/api/admin/requirements/documents/cmm4yupps02uncuqw2oocfvsk/view","Open PDF")</f>
        <v/>
      </c>
      <c r="AS1093" t="inlineStr">
        <is>
          <t>cmm55w57p0004cuisfrtpqly8</t>
        </is>
      </c>
      <c r="AT1093" t="inlineStr">
        <is>
          <t>cmm4xvu980000cuh4vj0usz09</t>
        </is>
      </c>
      <c r="AU1093" t="inlineStr"/>
      <c r="AV1093" t="inlineStr">
        <is>
          <t>Kommun</t>
        </is>
      </c>
      <c r="AW1093" t="inlineStr"/>
      <c r="AX1093" t="inlineStr">
        <is>
          <t>2013:251</t>
        </is>
      </c>
      <c r="AY1093" t="inlineStr">
        <is>
          <t>Anmalan</t>
        </is>
      </c>
      <c r="AZ1093" t="inlineStr">
        <is>
          <t>2026-02-04</t>
        </is>
      </c>
      <c r="BA1093" t="inlineStr">
        <is>
          <t>2025-3473 8.pdf</t>
        </is>
      </c>
      <c r="BB1093" t="inlineStr">
        <is>
          <t>Sv:  Begäran om utlämnande av allmän handling – Anmälningar och beslut rörande mellanlagring av avfall samt anläggning av ytor</t>
        </is>
      </c>
      <c r="BC1093" t="inlineStr">
        <is>
          <t>AUTO</t>
        </is>
      </c>
      <c r="BD1093" t="inlineStr"/>
      <c r="BE1093" t="inlineStr"/>
      <c r="BF1093" t="inlineStr">
        <is>
          <t>AUTO_GENERERAD. Bekrafta metadata mot kallfil.</t>
        </is>
      </c>
      <c r="BG1093">
        <f>HYPERLINK("C:\Users\jimmy\Desktop\Examens arbete\Kod\Ny mapp\remix_-copy-of-miljöbeslut.se-portal\2025-3473 8.pdf", "Öppna PDF")</f>
        <v/>
      </c>
    </row>
    <row r="1094">
      <c r="A1094" t="inlineStr">
        <is>
          <t>KRAV-AUTO-001093</t>
        </is>
      </c>
      <c r="B1094" t="inlineStr">
        <is>
          <t>ADMIN-INDEX-2026-02-27-00000000125C043F57453246863FE664CAFE6A3F0700950291EA24F0614FB6ACEDB12BF0E31D00000000010C0000950291EA24F0614FB6ACEDB12BF0E31D00002087AE610000</t>
        </is>
      </c>
      <c r="C1094" t="inlineStr">
        <is>
          <t>cmm4yupoz02twcuqw1s4jb2q1</t>
        </is>
      </c>
      <c r="D1094" t="inlineStr">
        <is>
          <t>http://localhost:8787/api/admin/requirements/documents/cmm4yupoz02twcuqw1s4jb2q1/view</t>
        </is>
      </c>
      <c r="E1094">
        <f>HYPERLÄNK("http://localhost:8787/api/admin/requirements/documents/cmm4yupoz02twcuqw1s4jb2q1/view";"Öppna PDF")</f>
        <v/>
      </c>
      <c r="F1094">
        <f>HYPERLINK("http://localhost:8787/api/admin/requirements/documents/cmm4yupoz02twcuqw1s4jb2q1/view","Open PDF")</f>
        <v/>
      </c>
      <c r="G1094" t="inlineStr">
        <is>
          <t>cmm55w57p0004cuisfrtpqly8</t>
        </is>
      </c>
      <c r="H1094" t="inlineStr">
        <is>
          <t>Informationskrav</t>
        </is>
      </c>
      <c r="I1094" t="inlineStr">
        <is>
          <t>DriftEgenkontroll</t>
        </is>
      </c>
      <c r="J1094" t="inlineStr">
        <is>
          <t>Journalforing</t>
        </is>
      </c>
      <c r="K1094" t="inlineStr">
        <is>
          <t>Avfall som misstänks vara förorenat ska förvaras separat och får inte blandas med annat avfall innan provtagning och analysresultat är klara.</t>
        </is>
      </c>
      <c r="L1094" t="inlineStr">
        <is>
          <t>Avfall som misstänks vara förorenat ska förvaras separat och får inte blandas med annat avfall innan provtagning och analysresultat är klara.</t>
        </is>
      </c>
      <c r="M1094" t="inlineStr">
        <is>
          <t>SKA</t>
        </is>
      </c>
      <c r="N1094" t="inlineStr"/>
      <c r="O1094" t="inlineStr"/>
      <c r="P1094" t="inlineStr"/>
      <c r="Q1094" t="inlineStr">
        <is>
          <t>Driftbegransning vid avvikelse</t>
        </is>
      </c>
      <c r="R1094" t="inlineStr">
        <is>
          <t>Lopande drift</t>
        </is>
      </c>
      <c r="S1094" t="inlineStr"/>
      <c r="T1094" t="inlineStr">
        <is>
          <t>35 30 00</t>
        </is>
      </c>
      <c r="U1094" t="inlineStr"/>
      <c r="V1094" t="inlineStr"/>
      <c r="W1094" t="inlineStr">
        <is>
          <t>Nej</t>
        </is>
      </c>
      <c r="X1094" t="inlineStr">
        <is>
          <t>Nej</t>
        </is>
      </c>
      <c r="Y1094" t="inlineStr">
        <is>
          <t>Ja</t>
        </is>
      </c>
      <c r="Z1094" t="inlineStr">
        <is>
          <t>Nej</t>
        </is>
      </c>
      <c r="AA1094" t="n">
        <v>7</v>
      </c>
      <c r="AB1094" t="inlineStr">
        <is>
          <t>Egenkontrollrutiner</t>
        </is>
      </c>
      <c r="AC1094" t="inlineStr">
        <is>
          <t>Egenkontrollprogram</t>
        </is>
      </c>
      <c r="AD1094" t="inlineStr">
        <is>
          <t>Nej</t>
        </is>
      </c>
      <c r="AE1094" t="inlineStr">
        <is>
          <t>Nej</t>
        </is>
      </c>
      <c r="AF1094" t="inlineStr">
        <is>
          <t>Ej behandlad</t>
        </is>
      </c>
      <c r="AG1094" t="inlineStr">
        <is>
          <t>AUTO_GENERERAD. Verifiera citat mot kallfil.</t>
        </is>
      </c>
      <c r="AH1094" t="inlineStr">
        <is>
          <t>MEDIUM</t>
        </is>
      </c>
      <c r="AI1094" t="inlineStr">
        <is>
          <t>AUTO</t>
        </is>
      </c>
      <c r="AJ1094" t="inlineStr">
        <is>
          <t>Nej</t>
        </is>
      </c>
      <c r="AK1094" t="inlineStr"/>
      <c r="AL1094" t="inlineStr"/>
      <c r="AM1094" t="inlineStr"/>
      <c r="AN1094" t="inlineStr"/>
      <c r="AO1094" t="inlineStr">
        <is>
          <t>cmm4yupps02uncuqw2oocfvsk</t>
        </is>
      </c>
      <c r="AP1094" t="inlineStr">
        <is>
          <t>http://localhost:8787/api/admin/requirements/documents/cmm4yupps02uncuqw2oocfvsk/view</t>
        </is>
      </c>
      <c r="AQ1094">
        <f>HYPERLÄNK("http://localhost:8787/api/admin/requirements/documents/cmm4yupps02uncuqw2oocfvsk/view";"Öppna PDF")</f>
        <v/>
      </c>
      <c r="AR1094">
        <f>HYPERLINK("http://localhost:8787/api/admin/requirements/documents/cmm4yupps02uncuqw2oocfvsk/view","Open PDF")</f>
        <v/>
      </c>
      <c r="AS1094" t="inlineStr">
        <is>
          <t>cmm55w57p0004cuisfrtpqly8</t>
        </is>
      </c>
      <c r="AT1094" t="inlineStr">
        <is>
          <t>cmm4xvu980000cuh4vj0usz09</t>
        </is>
      </c>
      <c r="AU1094" t="inlineStr"/>
      <c r="AV1094" t="inlineStr">
        <is>
          <t>Kommun</t>
        </is>
      </c>
      <c r="AW1094" t="inlineStr"/>
      <c r="AX1094" t="inlineStr">
        <is>
          <t>2013:251</t>
        </is>
      </c>
      <c r="AY1094" t="inlineStr">
        <is>
          <t>Anmalan</t>
        </is>
      </c>
      <c r="AZ1094" t="inlineStr">
        <is>
          <t>2026-02-04</t>
        </is>
      </c>
      <c r="BA1094" t="inlineStr">
        <is>
          <t>2025-3473 8.pdf</t>
        </is>
      </c>
      <c r="BB1094" t="inlineStr">
        <is>
          <t>Sv:  Begäran om utlämnande av allmän handling – Anmälningar och beslut rörande mellanlagring av avfall samt anläggning av ytor</t>
        </is>
      </c>
      <c r="BC1094" t="inlineStr">
        <is>
          <t>AUTO</t>
        </is>
      </c>
      <c r="BD1094" t="inlineStr"/>
      <c r="BE1094" t="inlineStr"/>
      <c r="BF1094" t="inlineStr">
        <is>
          <t>AUTO_GENERERAD. Bekrafta metadata mot kallfil.</t>
        </is>
      </c>
      <c r="BG1094">
        <f>HYPERLINK("C:\Users\jimmy\Desktop\Examens arbete\Kod\Ny mapp\remix_-copy-of-miljöbeslut.se-portal\2025-3473 8.pdf", "Öppna PDF")</f>
        <v/>
      </c>
    </row>
    <row r="1095">
      <c r="A1095" t="inlineStr">
        <is>
          <t>KRAV-AUTO-001094</t>
        </is>
      </c>
      <c r="B1095" t="inlineStr">
        <is>
          <t>ADMIN-INDEX-2026-02-27-00000000125C043F57453246863FE664CAFE6A3F0700950291EA24F0614FB6ACEDB12BF0E31D00000000010C0000950291EA24F0614FB6ACEDB12BF0E31D00002087AE610000</t>
        </is>
      </c>
      <c r="C1095" t="inlineStr">
        <is>
          <t>cmm4yupoz02twcuqw1s4jb2q1</t>
        </is>
      </c>
      <c r="D1095" t="inlineStr">
        <is>
          <t>http://localhost:8787/api/admin/requirements/documents/cmm4yupoz02twcuqw1s4jb2q1/view</t>
        </is>
      </c>
      <c r="E1095">
        <f>HYPERLÄNK("http://localhost:8787/api/admin/requirements/documents/cmm4yupoz02twcuqw1s4jb2q1/view";"Öppna PDF")</f>
        <v/>
      </c>
      <c r="F1095">
        <f>HYPERLINK("http://localhost:8787/api/admin/requirements/documents/cmm4yupoz02twcuqw1s4jb2q1/view","Open PDF")</f>
        <v/>
      </c>
      <c r="G1095" t="inlineStr">
        <is>
          <t>cmm55w57p0004cuisfrtpqly8</t>
        </is>
      </c>
      <c r="H1095" t="inlineStr">
        <is>
          <t>Informationskrav</t>
        </is>
      </c>
      <c r="I1095" t="inlineStr">
        <is>
          <t>MiljopaverkanForsiktighet</t>
        </is>
      </c>
      <c r="J1095" t="inlineStr">
        <is>
          <t>Skyddsatgarder</t>
        </is>
      </c>
      <c r="K1095" t="inlineStr">
        <is>
          <t>Rutinen för mottagningskontroll ska lämnas in till Miljöförvaltningen innan avfall börjar att tas emot vid anläggningen.</t>
        </is>
      </c>
      <c r="L1095" t="inlineStr">
        <is>
          <t>Rutinen för mottagningskontroll ska lämnas in till Miljöförvaltningen innan avfall börjar att tas emot vid anläggningen.</t>
        </is>
      </c>
      <c r="M1095" t="inlineStr">
        <is>
          <t>SKA</t>
        </is>
      </c>
      <c r="N1095" t="inlineStr"/>
      <c r="O1095" t="inlineStr"/>
      <c r="P1095" t="inlineStr"/>
      <c r="Q1095" t="inlineStr"/>
      <c r="R1095" t="inlineStr">
        <is>
          <t>Alltid</t>
        </is>
      </c>
      <c r="S1095" t="inlineStr"/>
      <c r="T1095" t="inlineStr">
        <is>
          <t>35 30 00</t>
        </is>
      </c>
      <c r="U1095" t="inlineStr"/>
      <c r="V1095" t="inlineStr"/>
      <c r="W1095" t="inlineStr">
        <is>
          <t>Nej</t>
        </is>
      </c>
      <c r="X1095" t="inlineStr">
        <is>
          <t>Nej</t>
        </is>
      </c>
      <c r="Y1095" t="inlineStr">
        <is>
          <t>Nej</t>
        </is>
      </c>
      <c r="Z1095" t="inlineStr">
        <is>
          <t>Nej</t>
        </is>
      </c>
      <c r="AA1095" t="n">
        <v>10</v>
      </c>
      <c r="AB1095" t="inlineStr">
        <is>
          <t>Miljopaverkan och forsiktighetsmatt</t>
        </is>
      </c>
      <c r="AC1095" t="inlineStr">
        <is>
          <t>Miljo-PM</t>
        </is>
      </c>
      <c r="AD1095" t="inlineStr">
        <is>
          <t>Nej</t>
        </is>
      </c>
      <c r="AE1095" t="inlineStr">
        <is>
          <t>Nej</t>
        </is>
      </c>
      <c r="AF1095" t="inlineStr">
        <is>
          <t>Ej behandlad</t>
        </is>
      </c>
      <c r="AG1095" t="inlineStr">
        <is>
          <t>AUTO_GENERERAD. Verifiera citat mot kallfil.</t>
        </is>
      </c>
      <c r="AH1095" t="inlineStr">
        <is>
          <t>MEDIUM</t>
        </is>
      </c>
      <c r="AI1095" t="inlineStr">
        <is>
          <t>AUTO</t>
        </is>
      </c>
      <c r="AJ1095" t="inlineStr">
        <is>
          <t>Nej</t>
        </is>
      </c>
      <c r="AK1095" t="inlineStr"/>
      <c r="AL1095" t="inlineStr"/>
      <c r="AM1095" t="inlineStr"/>
      <c r="AN1095" t="inlineStr"/>
      <c r="AO1095" t="inlineStr">
        <is>
          <t>cmm4yupps02uncuqw2oocfvsk</t>
        </is>
      </c>
      <c r="AP1095" t="inlineStr">
        <is>
          <t>http://localhost:8787/api/admin/requirements/documents/cmm4yupps02uncuqw2oocfvsk/view</t>
        </is>
      </c>
      <c r="AQ1095">
        <f>HYPERLÄNK("http://localhost:8787/api/admin/requirements/documents/cmm4yupps02uncuqw2oocfvsk/view";"Öppna PDF")</f>
        <v/>
      </c>
      <c r="AR1095">
        <f>HYPERLINK("http://localhost:8787/api/admin/requirements/documents/cmm4yupps02uncuqw2oocfvsk/view","Open PDF")</f>
        <v/>
      </c>
      <c r="AS1095" t="inlineStr">
        <is>
          <t>cmm55w57p0004cuisfrtpqly8</t>
        </is>
      </c>
      <c r="AT1095" t="inlineStr">
        <is>
          <t>cmm4xvu980000cuh4vj0usz09</t>
        </is>
      </c>
      <c r="AU1095" t="inlineStr"/>
      <c r="AV1095" t="inlineStr">
        <is>
          <t>Kommun</t>
        </is>
      </c>
      <c r="AW1095" t="inlineStr"/>
      <c r="AX1095" t="inlineStr">
        <is>
          <t>2013:251</t>
        </is>
      </c>
      <c r="AY1095" t="inlineStr">
        <is>
          <t>Anmalan</t>
        </is>
      </c>
      <c r="AZ1095" t="inlineStr">
        <is>
          <t>2026-02-04</t>
        </is>
      </c>
      <c r="BA1095" t="inlineStr">
        <is>
          <t>2025-3473 8.pdf</t>
        </is>
      </c>
      <c r="BB1095" t="inlineStr">
        <is>
          <t>Sv:  Begäran om utlämnande av allmän handling – Anmälningar och beslut rörande mellanlagring av avfall samt anläggning av ytor</t>
        </is>
      </c>
      <c r="BC1095" t="inlineStr">
        <is>
          <t>AUTO</t>
        </is>
      </c>
      <c r="BD1095" t="inlineStr"/>
      <c r="BE1095" t="inlineStr"/>
      <c r="BF1095" t="inlineStr">
        <is>
          <t>AUTO_GENERERAD. Bekrafta metadata mot kallfil.</t>
        </is>
      </c>
      <c r="BG1095">
        <f>HYPERLINK("C:\Users\jimmy\Desktop\Examens arbete\Kod\Ny mapp\remix_-copy-of-miljöbeslut.se-portal\2025-3473 8.pdf", "Öppna PDF")</f>
        <v/>
      </c>
    </row>
    <row r="1096">
      <c r="A1096" t="inlineStr">
        <is>
          <t>KRAV-AUTO-001095</t>
        </is>
      </c>
      <c r="B1096" t="inlineStr">
        <is>
          <t>ADMIN-INDEX-2026-02-27-00000000125C043F57453246863FE664CAFE6A3F0700950291EA24F0614FB6ACEDB12BF0E31D00000000010C0000950291EA24F0614FB6ACEDB12BF0E31D00002087AE610000</t>
        </is>
      </c>
      <c r="C1096" t="inlineStr">
        <is>
          <t>cmm4yupow02ttcuqwiwo2a9h7</t>
        </is>
      </c>
      <c r="D1096" t="inlineStr">
        <is>
          <t>http://localhost:8787/api/admin/requirements/documents/cmm4yupow02ttcuqwiwo2a9h7/view</t>
        </is>
      </c>
      <c r="E1096">
        <f>HYPERLÄNK("http://localhost:8787/api/admin/requirements/documents/cmm4yupow02ttcuqwiwo2a9h7/view";"Öppna PDF")</f>
        <v/>
      </c>
      <c r="F1096">
        <f>HYPERLINK("http://localhost:8787/api/admin/requirements/documents/cmm4yupow02ttcuqwiwo2a9h7/view","Open PDF")</f>
        <v/>
      </c>
      <c r="G1096" t="inlineStr">
        <is>
          <t>cmm55w57p0004cuisfrtpqly8</t>
        </is>
      </c>
      <c r="H1096" t="inlineStr">
        <is>
          <t>Informationskrav</t>
        </is>
      </c>
      <c r="I1096" t="inlineStr">
        <is>
          <t>DagvattenLakvatten</t>
        </is>
      </c>
      <c r="J1096" t="inlineStr">
        <is>
          <t>Uppsamling</t>
        </is>
      </c>
      <c r="K1096" t="inlineStr">
        <is>
          <t>Vatten: Vad gäller vatten och avlopp bör uppdelning ske på processvatten, sanitärt vatten och dagvatten.</t>
        </is>
      </c>
      <c r="L1096" t="inlineStr">
        <is>
          <t>Vatten: Vad gäller vatten och avlopp bör uppdelning ske på processvatten, sanitärt vatten och dagvatten.</t>
        </is>
      </c>
      <c r="M1096" t="inlineStr">
        <is>
          <t>BOR</t>
        </is>
      </c>
      <c r="N1096" t="inlineStr"/>
      <c r="O1096" t="inlineStr"/>
      <c r="P1096" t="inlineStr"/>
      <c r="Q1096" t="inlineStr"/>
      <c r="R1096" t="inlineStr">
        <is>
          <t>Vid nederbord och avrinning</t>
        </is>
      </c>
      <c r="S1096" t="inlineStr"/>
      <c r="T1096" t="inlineStr">
        <is>
          <t>35 30 00</t>
        </is>
      </c>
      <c r="U1096" t="inlineStr"/>
      <c r="V1096" t="inlineStr"/>
      <c r="W1096" t="inlineStr">
        <is>
          <t>Nej</t>
        </is>
      </c>
      <c r="X1096" t="inlineStr">
        <is>
          <t>Ja</t>
        </is>
      </c>
      <c r="Y1096" t="inlineStr">
        <is>
          <t>Ja</t>
        </is>
      </c>
      <c r="Z1096" t="inlineStr">
        <is>
          <t>Nej</t>
        </is>
      </c>
      <c r="AA1096" t="n">
        <v>6</v>
      </c>
      <c r="AB1096" t="inlineStr">
        <is>
          <t>Lakvattenhantering</t>
        </is>
      </c>
      <c r="AC1096" t="inlineStr">
        <is>
          <t>Flodesschema dagvatten-lakvatten</t>
        </is>
      </c>
      <c r="AD1096" t="inlineStr">
        <is>
          <t>Nej</t>
        </is>
      </c>
      <c r="AE1096" t="inlineStr">
        <is>
          <t>Nej</t>
        </is>
      </c>
      <c r="AF1096" t="inlineStr">
        <is>
          <t>Ej behandlad</t>
        </is>
      </c>
      <c r="AG1096" t="inlineStr">
        <is>
          <t>AUTO_GENERERAD. Verifiera citat mot kallfil.</t>
        </is>
      </c>
      <c r="AH1096" t="inlineStr">
        <is>
          <t>MEDIUM</t>
        </is>
      </c>
      <c r="AI1096" t="inlineStr">
        <is>
          <t>AUTO</t>
        </is>
      </c>
      <c r="AJ1096" t="inlineStr">
        <is>
          <t>Nej</t>
        </is>
      </c>
      <c r="AK1096" t="inlineStr"/>
      <c r="AL1096" t="inlineStr"/>
      <c r="AM1096" t="inlineStr"/>
      <c r="AN1096" t="inlineStr"/>
      <c r="AO1096" t="inlineStr">
        <is>
          <t>cmm4yupps02uncuqw2oocfvsk</t>
        </is>
      </c>
      <c r="AP1096" t="inlineStr">
        <is>
          <t>http://localhost:8787/api/admin/requirements/documents/cmm4yupps02uncuqw2oocfvsk/view</t>
        </is>
      </c>
      <c r="AQ1096">
        <f>HYPERLÄNK("http://localhost:8787/api/admin/requirements/documents/cmm4yupps02uncuqw2oocfvsk/view";"Öppna PDF")</f>
        <v/>
      </c>
      <c r="AR1096">
        <f>HYPERLINK("http://localhost:8787/api/admin/requirements/documents/cmm4yupps02uncuqw2oocfvsk/view","Open PDF")</f>
        <v/>
      </c>
      <c r="AS1096" t="inlineStr">
        <is>
          <t>cmm55w57p0004cuisfrtpqly8</t>
        </is>
      </c>
      <c r="AT1096" t="inlineStr">
        <is>
          <t>cmm4xvu980000cuh4vj0usz09</t>
        </is>
      </c>
      <c r="AU1096" t="inlineStr"/>
      <c r="AV1096" t="inlineStr">
        <is>
          <t>Kommun</t>
        </is>
      </c>
      <c r="AW1096" t="inlineStr"/>
      <c r="AX1096" t="inlineStr">
        <is>
          <t>2013:251</t>
        </is>
      </c>
      <c r="AY1096" t="inlineStr">
        <is>
          <t>Anmalan</t>
        </is>
      </c>
      <c r="AZ1096" t="inlineStr">
        <is>
          <t>2026-02-04</t>
        </is>
      </c>
      <c r="BA1096" t="inlineStr">
        <is>
          <t>2025-3473 8.pdf</t>
        </is>
      </c>
      <c r="BB1096" t="inlineStr">
        <is>
          <t>Sv:  Begäran om utlämnande av allmän handling – Anmälningar och beslut rörande mellanlagring av avfall samt anläggning av ytor</t>
        </is>
      </c>
      <c r="BC1096" t="inlineStr">
        <is>
          <t>AUTO</t>
        </is>
      </c>
      <c r="BD1096" t="inlineStr"/>
      <c r="BE1096" t="inlineStr"/>
      <c r="BF1096" t="inlineStr">
        <is>
          <t>AUTO_GENERERAD. Bekrafta metadata mot kallfil.</t>
        </is>
      </c>
      <c r="BG1096">
        <f>HYPERLINK("C:\Users\jimmy\Desktop\Examens arbete\Kod\Ny mapp\remix_-copy-of-miljöbeslut.se-portal\2025-3473 8.pdf", "Öppna PDF")</f>
        <v/>
      </c>
    </row>
    <row r="1097">
      <c r="A1097" t="inlineStr">
        <is>
          <t>KRAV-AUTO-001096</t>
        </is>
      </c>
      <c r="B1097" t="inlineStr">
        <is>
          <t>ADMIN-INDEX-2026-02-27-00000000125C043F57453246863FE664CAFE6A3F0700950291EA24F0614FB6ACEDB12BF0E31D00000000010C0000950291EA24F0614FB6ACEDB12BF0E31D00002087AE610000</t>
        </is>
      </c>
      <c r="C1097" t="inlineStr">
        <is>
          <t>cmm4yupow02ttcuqwiwo2a9h7</t>
        </is>
      </c>
      <c r="D1097" t="inlineStr">
        <is>
          <t>http://localhost:8787/api/admin/requirements/documents/cmm4yupow02ttcuqwiwo2a9h7/view</t>
        </is>
      </c>
      <c r="E1097">
        <f>HYPERLÄNK("http://localhost:8787/api/admin/requirements/documents/cmm4yupow02ttcuqwiwo2a9h7/view";"Öppna PDF")</f>
        <v/>
      </c>
      <c r="F1097">
        <f>HYPERLINK("http://localhost:8787/api/admin/requirements/documents/cmm4yupow02ttcuqwiwo2a9h7/view","Open PDF")</f>
        <v/>
      </c>
      <c r="G1097" t="inlineStr">
        <is>
          <t>cmm55w57p0004cuisfrtpqly8</t>
        </is>
      </c>
      <c r="H1097" t="inlineStr">
        <is>
          <t>Informationskrav</t>
        </is>
      </c>
      <c r="I1097" t="inlineStr">
        <is>
          <t>Riskhantering</t>
        </is>
      </c>
      <c r="J1097" t="inlineStr">
        <is>
          <t>Riskkontroll</t>
        </is>
      </c>
      <c r="K1097" t="inlineStr">
        <is>
          <t>• En beskrivning av den verksamhet som ska bedrivas och vilka miljö- och hälsorisker som kan uppstå i eller i anslutning till verksamheten.</t>
        </is>
      </c>
      <c r="L1097" t="inlineStr">
        <is>
          <t>• En beskrivning av den verksamhet som ska bedrivas och vilka miljö- och hälsorisker som kan uppstå i eller i anslutning till verksamheten.</t>
        </is>
      </c>
      <c r="M1097" t="inlineStr">
        <is>
          <t>SKA</t>
        </is>
      </c>
      <c r="N1097" t="inlineStr"/>
      <c r="O1097" t="inlineStr"/>
      <c r="P1097" t="inlineStr"/>
      <c r="Q1097" t="inlineStr"/>
      <c r="R1097" t="inlineStr">
        <is>
          <t>Vid risk for incident</t>
        </is>
      </c>
      <c r="S1097" t="inlineStr"/>
      <c r="T1097" t="inlineStr">
        <is>
          <t>35 30 00</t>
        </is>
      </c>
      <c r="U1097" t="inlineStr"/>
      <c r="V1097" t="inlineStr"/>
      <c r="W1097" t="inlineStr">
        <is>
          <t>Nej</t>
        </is>
      </c>
      <c r="X1097" t="inlineStr">
        <is>
          <t>Nej</t>
        </is>
      </c>
      <c r="Y1097" t="inlineStr">
        <is>
          <t>Ja</t>
        </is>
      </c>
      <c r="Z1097" t="inlineStr">
        <is>
          <t>Ja</t>
        </is>
      </c>
      <c r="AA1097" t="n">
        <v>8</v>
      </c>
      <c r="AB1097" t="inlineStr">
        <is>
          <t>Riskhantering</t>
        </is>
      </c>
      <c r="AC1097" t="inlineStr">
        <is>
          <t>Risk-PM</t>
        </is>
      </c>
      <c r="AD1097" t="inlineStr">
        <is>
          <t>Nej</t>
        </is>
      </c>
      <c r="AE1097" t="inlineStr">
        <is>
          <t>Nej</t>
        </is>
      </c>
      <c r="AF1097" t="inlineStr">
        <is>
          <t>Ej behandlad</t>
        </is>
      </c>
      <c r="AG1097" t="inlineStr">
        <is>
          <t>AUTO_GENERERAD. Verifiera citat mot kallfil.</t>
        </is>
      </c>
      <c r="AH1097" t="inlineStr">
        <is>
          <t>MEDIUM</t>
        </is>
      </c>
      <c r="AI1097" t="inlineStr">
        <is>
          <t>AUTO</t>
        </is>
      </c>
      <c r="AJ1097" t="inlineStr">
        <is>
          <t>Nej</t>
        </is>
      </c>
      <c r="AK1097" t="inlineStr"/>
      <c r="AL1097" t="inlineStr"/>
      <c r="AM1097" t="inlineStr"/>
      <c r="AN1097" t="inlineStr"/>
      <c r="AO1097" t="inlineStr">
        <is>
          <t>cmm4yupps02uncuqw2oocfvsk</t>
        </is>
      </c>
      <c r="AP1097" t="inlineStr">
        <is>
          <t>http://localhost:8787/api/admin/requirements/documents/cmm4yupps02uncuqw2oocfvsk/view</t>
        </is>
      </c>
      <c r="AQ1097">
        <f>HYPERLÄNK("http://localhost:8787/api/admin/requirements/documents/cmm4yupps02uncuqw2oocfvsk/view";"Öppna PDF")</f>
        <v/>
      </c>
      <c r="AR1097">
        <f>HYPERLINK("http://localhost:8787/api/admin/requirements/documents/cmm4yupps02uncuqw2oocfvsk/view","Open PDF")</f>
        <v/>
      </c>
      <c r="AS1097" t="inlineStr">
        <is>
          <t>cmm55w57p0004cuisfrtpqly8</t>
        </is>
      </c>
      <c r="AT1097" t="inlineStr">
        <is>
          <t>cmm4xvu980000cuh4vj0usz09</t>
        </is>
      </c>
      <c r="AU1097" t="inlineStr"/>
      <c r="AV1097" t="inlineStr">
        <is>
          <t>Kommun</t>
        </is>
      </c>
      <c r="AW1097" t="inlineStr"/>
      <c r="AX1097" t="inlineStr">
        <is>
          <t>2013:251</t>
        </is>
      </c>
      <c r="AY1097" t="inlineStr">
        <is>
          <t>Anmalan</t>
        </is>
      </c>
      <c r="AZ1097" t="inlineStr">
        <is>
          <t>2026-02-04</t>
        </is>
      </c>
      <c r="BA1097" t="inlineStr">
        <is>
          <t>2025-3473 8.pdf</t>
        </is>
      </c>
      <c r="BB1097" t="inlineStr">
        <is>
          <t>Sv:  Begäran om utlämnande av allmän handling – Anmälningar och beslut rörande mellanlagring av avfall samt anläggning av ytor</t>
        </is>
      </c>
      <c r="BC1097" t="inlineStr">
        <is>
          <t>AUTO</t>
        </is>
      </c>
      <c r="BD1097" t="inlineStr"/>
      <c r="BE1097" t="inlineStr"/>
      <c r="BF1097" t="inlineStr">
        <is>
          <t>AUTO_GENERERAD. Bekrafta metadata mot kallfil.</t>
        </is>
      </c>
      <c r="BG1097">
        <f>HYPERLINK("C:\Users\jimmy\Desktop\Examens arbete\Kod\Ny mapp\remix_-copy-of-miljöbeslut.se-portal\2025-3473 8.pdf", "Öppna PDF")</f>
        <v/>
      </c>
    </row>
    <row r="1098">
      <c r="A1098" t="inlineStr">
        <is>
          <t>KRAV-AUTO-001097</t>
        </is>
      </c>
      <c r="B1098" t="inlineStr">
        <is>
          <t>ADMIN-INDEX-2026-02-27-00000000125C043F57453246863FE664CAFE6A3F0700950291EA24F0614FB6ACEDB12BF0E31D00000000010C0000950291EA24F0614FB6ACEDB12BF0E31D00002087AE610000</t>
        </is>
      </c>
      <c r="C1098" t="inlineStr">
        <is>
          <t>cmm4yupow02ttcuqwiwo2a9h7</t>
        </is>
      </c>
      <c r="D1098" t="inlineStr">
        <is>
          <t>http://localhost:8787/api/admin/requirements/documents/cmm4yupow02ttcuqwiwo2a9h7/view</t>
        </is>
      </c>
      <c r="E1098">
        <f>HYPERLÄNK("http://localhost:8787/api/admin/requirements/documents/cmm4yupow02ttcuqwiwo2a9h7/view";"Öppna PDF")</f>
        <v/>
      </c>
      <c r="F1098">
        <f>HYPERLINK("http://localhost:8787/api/admin/requirements/documents/cmm4yupow02ttcuqwiwo2a9h7/view","Open PDF")</f>
        <v/>
      </c>
      <c r="G1098" t="inlineStr">
        <is>
          <t>cmm55w57p0004cuisfrtpqly8</t>
        </is>
      </c>
      <c r="H1098" t="inlineStr">
        <is>
          <t>Informationskrav</t>
        </is>
      </c>
      <c r="I1098" t="inlineStr">
        <is>
          <t>DagvattenLakvatten</t>
        </is>
      </c>
      <c r="J1098" t="inlineStr">
        <is>
          <t>Uppsamling</t>
        </is>
      </c>
      <c r="K1098" t="inlineStr">
        <is>
          <t>Redogör för planerad verksamhet och åtgärder i tekniskt hänseende som råvaror, produktionsmetoder, produktionskapacitet/producerad mängd, kemikaliehantering, kapacitet, emissioner, reningsanläggning, driftförhållanden, energiförbrukning m.m.</t>
        </is>
      </c>
      <c r="L1098" t="inlineStr">
        <is>
          <t>Redogör för planerad verksamhet och åtgärder i tekniskt hänseende som råvaror, produktionsmetoder, produktionskapacitet/producerad mängd, kemikaliehantering, kapacitet, emissioner, reningsanläggning, driftförhållanden, energiförbrukning m.m.</t>
        </is>
      </c>
      <c r="M1098" t="inlineStr">
        <is>
          <t>SKA</t>
        </is>
      </c>
      <c r="N1098" t="inlineStr"/>
      <c r="O1098" t="inlineStr"/>
      <c r="P1098" t="inlineStr"/>
      <c r="Q1098" t="inlineStr"/>
      <c r="R1098" t="inlineStr">
        <is>
          <t>Vid nederbord och avrinning</t>
        </is>
      </c>
      <c r="S1098" t="inlineStr"/>
      <c r="T1098" t="inlineStr">
        <is>
          <t>35 30 00</t>
        </is>
      </c>
      <c r="U1098" t="inlineStr"/>
      <c r="V1098" t="inlineStr"/>
      <c r="W1098" t="inlineStr">
        <is>
          <t>Nej</t>
        </is>
      </c>
      <c r="X1098" t="inlineStr">
        <is>
          <t>Ja</t>
        </is>
      </c>
      <c r="Y1098" t="inlineStr">
        <is>
          <t>Ja</t>
        </is>
      </c>
      <c r="Z1098" t="inlineStr">
        <is>
          <t>Nej</t>
        </is>
      </c>
      <c r="AA1098" t="n">
        <v>6</v>
      </c>
      <c r="AB1098" t="inlineStr">
        <is>
          <t>Lakvattenhantering</t>
        </is>
      </c>
      <c r="AC1098" t="inlineStr">
        <is>
          <t>Flodesschema dagvatten-lakvatten</t>
        </is>
      </c>
      <c r="AD1098" t="inlineStr">
        <is>
          <t>Nej</t>
        </is>
      </c>
      <c r="AE1098" t="inlineStr">
        <is>
          <t>Nej</t>
        </is>
      </c>
      <c r="AF1098" t="inlineStr">
        <is>
          <t>Ej behandlad</t>
        </is>
      </c>
      <c r="AG1098" t="inlineStr">
        <is>
          <t>AUTO_GENERERAD. Verifiera citat mot kallfil.</t>
        </is>
      </c>
      <c r="AH1098" t="inlineStr">
        <is>
          <t>MEDIUM</t>
        </is>
      </c>
      <c r="AI1098" t="inlineStr">
        <is>
          <t>AUTO</t>
        </is>
      </c>
      <c r="AJ1098" t="inlineStr">
        <is>
          <t>Nej</t>
        </is>
      </c>
      <c r="AK1098" t="inlineStr"/>
      <c r="AL1098" t="inlineStr"/>
      <c r="AM1098" t="inlineStr"/>
      <c r="AN1098" t="inlineStr"/>
      <c r="AO1098" t="inlineStr">
        <is>
          <t>cmm4yupps02uncuqw2oocfvsk</t>
        </is>
      </c>
      <c r="AP1098" t="inlineStr">
        <is>
          <t>http://localhost:8787/api/admin/requirements/documents/cmm4yupps02uncuqw2oocfvsk/view</t>
        </is>
      </c>
      <c r="AQ1098">
        <f>HYPERLÄNK("http://localhost:8787/api/admin/requirements/documents/cmm4yupps02uncuqw2oocfvsk/view";"Öppna PDF")</f>
        <v/>
      </c>
      <c r="AR1098">
        <f>HYPERLINK("http://localhost:8787/api/admin/requirements/documents/cmm4yupps02uncuqw2oocfvsk/view","Open PDF")</f>
        <v/>
      </c>
      <c r="AS1098" t="inlineStr">
        <is>
          <t>cmm55w57p0004cuisfrtpqly8</t>
        </is>
      </c>
      <c r="AT1098" t="inlineStr">
        <is>
          <t>cmm4xvu980000cuh4vj0usz09</t>
        </is>
      </c>
      <c r="AU1098" t="inlineStr"/>
      <c r="AV1098" t="inlineStr">
        <is>
          <t>Kommun</t>
        </is>
      </c>
      <c r="AW1098" t="inlineStr"/>
      <c r="AX1098" t="inlineStr">
        <is>
          <t>2013:251</t>
        </is>
      </c>
      <c r="AY1098" t="inlineStr">
        <is>
          <t>Anmalan</t>
        </is>
      </c>
      <c r="AZ1098" t="inlineStr">
        <is>
          <t>2026-02-04</t>
        </is>
      </c>
      <c r="BA1098" t="inlineStr">
        <is>
          <t>2025-3473 8.pdf</t>
        </is>
      </c>
      <c r="BB1098" t="inlineStr">
        <is>
          <t>Sv:  Begäran om utlämnande av allmän handling – Anmälningar och beslut rörande mellanlagring av avfall samt anläggning av ytor</t>
        </is>
      </c>
      <c r="BC1098" t="inlineStr">
        <is>
          <t>AUTO</t>
        </is>
      </c>
      <c r="BD1098" t="inlineStr"/>
      <c r="BE1098" t="inlineStr"/>
      <c r="BF1098" t="inlineStr">
        <is>
          <t>AUTO_GENERERAD. Bekrafta metadata mot kallfil.</t>
        </is>
      </c>
      <c r="BG1098">
        <f>HYPERLINK("C:\Users\jimmy\Desktop\Examens arbete\Kod\Ny mapp\remix_-copy-of-miljöbeslut.se-portal\2025-3473 8.pdf", "Öppna PDF")</f>
        <v/>
      </c>
    </row>
    <row r="1099">
      <c r="A1099" t="inlineStr">
        <is>
          <t>KRAV-AUTO-001098</t>
        </is>
      </c>
      <c r="B1099" t="inlineStr">
        <is>
          <t>ADMIN-INDEX-2026-02-27-00000000125C043F57453246863FE664CAFE6A3F0700950291EA24F0614FB6ACEDB12BF0E31D00000000010C0000950291EA24F0614FB6ACEDB12BF0E31D00002087AE610000</t>
        </is>
      </c>
      <c r="C1099" t="inlineStr">
        <is>
          <t>cmm4yupot02tqcuqw6efar0yd</t>
        </is>
      </c>
      <c r="D1099" t="inlineStr">
        <is>
          <t>http://localhost:8787/api/admin/requirements/documents/cmm4yupot02tqcuqw6efar0yd/view</t>
        </is>
      </c>
      <c r="E1099">
        <f>HYPERLÄNK("http://localhost:8787/api/admin/requirements/documents/cmm4yupot02tqcuqw6efar0yd/view";"Öppna PDF")</f>
        <v/>
      </c>
      <c r="F1099">
        <f>HYPERLINK("http://localhost:8787/api/admin/requirements/documents/cmm4yupot02tqcuqw6efar0yd/view","Open PDF")</f>
        <v/>
      </c>
      <c r="G1099" t="inlineStr">
        <is>
          <t>cmm55w57p0004cuisfrtpqly8</t>
        </is>
      </c>
      <c r="H1099" t="inlineStr">
        <is>
          <t>Informationskrav</t>
        </is>
      </c>
      <c r="I1099" t="inlineStr">
        <is>
          <t>MiljopaverkanForsiktighet</t>
        </is>
      </c>
      <c r="J1099" t="inlineStr">
        <is>
          <t>Skyddsatgarder</t>
        </is>
      </c>
      <c r="K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099" t="inlineStr">
        <is>
          <t>BOR</t>
        </is>
      </c>
      <c r="N1099" t="inlineStr"/>
      <c r="O1099" t="inlineStr">
        <is>
          <t>2025-04-10</t>
        </is>
      </c>
      <c r="P1099" t="inlineStr"/>
      <c r="Q1099" t="inlineStr">
        <is>
          <t>Forelaggande vid brist</t>
        </is>
      </c>
      <c r="R1099" t="inlineStr">
        <is>
          <t>Alltid</t>
        </is>
      </c>
      <c r="S1099" t="inlineStr"/>
      <c r="T1099" t="inlineStr">
        <is>
          <t>35 30 00</t>
        </is>
      </c>
      <c r="U1099" t="inlineStr"/>
      <c r="V1099" t="inlineStr"/>
      <c r="W1099" t="inlineStr">
        <is>
          <t>Nej</t>
        </is>
      </c>
      <c r="X1099" t="inlineStr">
        <is>
          <t>Nej</t>
        </is>
      </c>
      <c r="Y1099" t="inlineStr">
        <is>
          <t>Nej</t>
        </is>
      </c>
      <c r="Z1099" t="inlineStr">
        <is>
          <t>Nej</t>
        </is>
      </c>
      <c r="AA1099" t="n">
        <v>10</v>
      </c>
      <c r="AB1099" t="inlineStr">
        <is>
          <t>Miljopaverkan och forsiktighetsmatt</t>
        </is>
      </c>
      <c r="AC1099" t="inlineStr">
        <is>
          <t>Miljo-PM</t>
        </is>
      </c>
      <c r="AD1099" t="inlineStr">
        <is>
          <t>Nej</t>
        </is>
      </c>
      <c r="AE1099" t="inlineStr">
        <is>
          <t>Nej</t>
        </is>
      </c>
      <c r="AF1099" t="inlineStr">
        <is>
          <t>Ej behandlad</t>
        </is>
      </c>
      <c r="AG1099" t="inlineStr">
        <is>
          <t>AUTO_GENERERAD. Verifiera citat mot kallfil.</t>
        </is>
      </c>
      <c r="AH1099" t="inlineStr">
        <is>
          <t>MEDIUM</t>
        </is>
      </c>
      <c r="AI1099" t="inlineStr">
        <is>
          <t>AUTO</t>
        </is>
      </c>
      <c r="AJ1099" t="inlineStr">
        <is>
          <t>Nej</t>
        </is>
      </c>
      <c r="AK1099" t="inlineStr"/>
      <c r="AL1099" t="inlineStr"/>
      <c r="AM1099" t="inlineStr"/>
      <c r="AN1099" t="inlineStr"/>
      <c r="AO1099" t="inlineStr">
        <is>
          <t>cmm4yupps02uncuqw2oocfvsk</t>
        </is>
      </c>
      <c r="AP1099" t="inlineStr">
        <is>
          <t>http://localhost:8787/api/admin/requirements/documents/cmm4yupps02uncuqw2oocfvsk/view</t>
        </is>
      </c>
      <c r="AQ1099">
        <f>HYPERLÄNK("http://localhost:8787/api/admin/requirements/documents/cmm4yupps02uncuqw2oocfvsk/view";"Öppna PDF")</f>
        <v/>
      </c>
      <c r="AR1099">
        <f>HYPERLINK("http://localhost:8787/api/admin/requirements/documents/cmm4yupps02uncuqw2oocfvsk/view","Open PDF")</f>
        <v/>
      </c>
      <c r="AS1099" t="inlineStr">
        <is>
          <t>cmm55w57p0004cuisfrtpqly8</t>
        </is>
      </c>
      <c r="AT1099" t="inlineStr">
        <is>
          <t>cmm4xvu980000cuh4vj0usz09</t>
        </is>
      </c>
      <c r="AU1099" t="inlineStr"/>
      <c r="AV1099" t="inlineStr">
        <is>
          <t>Kommun</t>
        </is>
      </c>
      <c r="AW1099" t="inlineStr"/>
      <c r="AX1099" t="inlineStr">
        <is>
          <t>2013:251</t>
        </is>
      </c>
      <c r="AY1099" t="inlineStr">
        <is>
          <t>Anmalan</t>
        </is>
      </c>
      <c r="AZ1099" t="inlineStr">
        <is>
          <t>2026-02-04</t>
        </is>
      </c>
      <c r="BA1099" t="inlineStr">
        <is>
          <t>2025-3473 8.pdf</t>
        </is>
      </c>
      <c r="BB1099" t="inlineStr">
        <is>
          <t>Sv:  Begäran om utlämnande av allmän handling – Anmälningar och beslut rörande mellanlagring av avfall samt anläggning av ytor</t>
        </is>
      </c>
      <c r="BC1099" t="inlineStr">
        <is>
          <t>AUTO</t>
        </is>
      </c>
      <c r="BD1099" t="inlineStr"/>
      <c r="BE1099" t="inlineStr"/>
      <c r="BF1099" t="inlineStr">
        <is>
          <t>AUTO_GENERERAD. Bekrafta metadata mot kallfil.</t>
        </is>
      </c>
      <c r="BG1099">
        <f>HYPERLINK("C:\Users\jimmy\Desktop\Examens arbete\Kod\Ny mapp\remix_-copy-of-miljöbeslut.se-portal\2025-3473 8.pdf", "Öppna PDF")</f>
        <v/>
      </c>
    </row>
    <row r="1100">
      <c r="A1100" t="inlineStr">
        <is>
          <t>KRAV-AUTO-001099</t>
        </is>
      </c>
      <c r="B1100" t="inlineStr">
        <is>
          <t>ADMIN-INDEX-2026-02-27-00000000125C043F57453246863FE664CAFE6A3F0700950291EA24F0614FB6ACEDB12BF0E31D00000000010C0000950291EA24F0614FB6ACEDB12BF0E31D00002087AE610000</t>
        </is>
      </c>
      <c r="C1100" t="inlineStr">
        <is>
          <t>cmm4yupot02tqcuqw6efar0yd</t>
        </is>
      </c>
      <c r="D1100" t="inlineStr">
        <is>
          <t>http://localhost:8787/api/admin/requirements/documents/cmm4yupot02tqcuqw6efar0yd/view</t>
        </is>
      </c>
      <c r="E1100">
        <f>HYPERLÄNK("http://localhost:8787/api/admin/requirements/documents/cmm4yupot02tqcuqw6efar0yd/view";"Öppna PDF")</f>
        <v/>
      </c>
      <c r="F1100">
        <f>HYPERLINK("http://localhost:8787/api/admin/requirements/documents/cmm4yupot02tqcuqw6efar0yd/view","Open PDF")</f>
        <v/>
      </c>
      <c r="G1100" t="inlineStr">
        <is>
          <t>cmm55w57p0004cuisfrtpqly8</t>
        </is>
      </c>
      <c r="H1100" t="inlineStr">
        <is>
          <t>Informationskrav</t>
        </is>
      </c>
      <c r="I1100" t="inlineStr">
        <is>
          <t>DagvattenLakvatten</t>
        </is>
      </c>
      <c r="J1100" t="inlineStr">
        <is>
          <t>Uppsamling</t>
        </is>
      </c>
      <c r="K1100" t="inlineStr">
        <is>
          <t>Provtagningen ska vara genomförd så att den ger en representativ bild av eventuell föroreningshalt för avfallet 8.</t>
        </is>
      </c>
      <c r="L1100" t="inlineStr">
        <is>
          <t>Provtagningen ska vara genomförd så att den ger en representativ bild av eventuell föroreningshalt för avfallet 8.</t>
        </is>
      </c>
      <c r="M1100" t="inlineStr">
        <is>
          <t>SKA</t>
        </is>
      </c>
      <c r="N1100" t="inlineStr"/>
      <c r="O1100" t="inlineStr"/>
      <c r="P1100" t="inlineStr"/>
      <c r="Q1100" t="inlineStr"/>
      <c r="R1100" t="inlineStr">
        <is>
          <t>Vid nederbord och avrinning</t>
        </is>
      </c>
      <c r="S1100" t="inlineStr"/>
      <c r="T1100" t="inlineStr">
        <is>
          <t>35 30 00</t>
        </is>
      </c>
      <c r="U1100" t="inlineStr"/>
      <c r="V1100" t="inlineStr"/>
      <c r="W1100" t="inlineStr">
        <is>
          <t>Nej</t>
        </is>
      </c>
      <c r="X1100" t="inlineStr">
        <is>
          <t>Ja</t>
        </is>
      </c>
      <c r="Y1100" t="inlineStr">
        <is>
          <t>Ja</t>
        </is>
      </c>
      <c r="Z1100" t="inlineStr">
        <is>
          <t>Nej</t>
        </is>
      </c>
      <c r="AA1100" t="n">
        <v>6</v>
      </c>
      <c r="AB1100" t="inlineStr">
        <is>
          <t>Lakvattenhantering</t>
        </is>
      </c>
      <c r="AC1100" t="inlineStr">
        <is>
          <t>Flodesschema dagvatten-lakvatten</t>
        </is>
      </c>
      <c r="AD1100" t="inlineStr">
        <is>
          <t>Nej</t>
        </is>
      </c>
      <c r="AE1100" t="inlineStr">
        <is>
          <t>Nej</t>
        </is>
      </c>
      <c r="AF1100" t="inlineStr">
        <is>
          <t>Ej behandlad</t>
        </is>
      </c>
      <c r="AG1100" t="inlineStr">
        <is>
          <t>AUTO_GENERERAD. Verifiera citat mot kallfil.</t>
        </is>
      </c>
      <c r="AH1100" t="inlineStr">
        <is>
          <t>MEDIUM</t>
        </is>
      </c>
      <c r="AI1100" t="inlineStr">
        <is>
          <t>AUTO</t>
        </is>
      </c>
      <c r="AJ1100" t="inlineStr">
        <is>
          <t>Nej</t>
        </is>
      </c>
      <c r="AK1100" t="inlineStr"/>
      <c r="AL1100" t="inlineStr"/>
      <c r="AM1100" t="inlineStr"/>
      <c r="AN1100" t="inlineStr"/>
      <c r="AO1100" t="inlineStr">
        <is>
          <t>cmm4yupps02uncuqw2oocfvsk</t>
        </is>
      </c>
      <c r="AP1100" t="inlineStr">
        <is>
          <t>http://localhost:8787/api/admin/requirements/documents/cmm4yupps02uncuqw2oocfvsk/view</t>
        </is>
      </c>
      <c r="AQ1100">
        <f>HYPERLÄNK("http://localhost:8787/api/admin/requirements/documents/cmm4yupps02uncuqw2oocfvsk/view";"Öppna PDF")</f>
        <v/>
      </c>
      <c r="AR1100">
        <f>HYPERLINK("http://localhost:8787/api/admin/requirements/documents/cmm4yupps02uncuqw2oocfvsk/view","Open PDF")</f>
        <v/>
      </c>
      <c r="AS1100" t="inlineStr">
        <is>
          <t>cmm55w57p0004cuisfrtpqly8</t>
        </is>
      </c>
      <c r="AT1100" t="inlineStr">
        <is>
          <t>cmm4xvu980000cuh4vj0usz09</t>
        </is>
      </c>
      <c r="AU1100" t="inlineStr"/>
      <c r="AV1100" t="inlineStr">
        <is>
          <t>Kommun</t>
        </is>
      </c>
      <c r="AW1100" t="inlineStr"/>
      <c r="AX1100" t="inlineStr">
        <is>
          <t>2013:251</t>
        </is>
      </c>
      <c r="AY1100" t="inlineStr">
        <is>
          <t>Anmalan</t>
        </is>
      </c>
      <c r="AZ1100" t="inlineStr">
        <is>
          <t>2026-02-04</t>
        </is>
      </c>
      <c r="BA1100" t="inlineStr">
        <is>
          <t>2025-3473 8.pdf</t>
        </is>
      </c>
      <c r="BB1100" t="inlineStr">
        <is>
          <t>Sv:  Begäran om utlämnande av allmän handling – Anmälningar och beslut rörande mellanlagring av avfall samt anläggning av ytor</t>
        </is>
      </c>
      <c r="BC1100" t="inlineStr">
        <is>
          <t>AUTO</t>
        </is>
      </c>
      <c r="BD1100" t="inlineStr"/>
      <c r="BE1100" t="inlineStr"/>
      <c r="BF1100" t="inlineStr">
        <is>
          <t>AUTO_GENERERAD. Bekrafta metadata mot kallfil.</t>
        </is>
      </c>
      <c r="BG1100">
        <f>HYPERLINK("C:\Users\jimmy\Desktop\Examens arbete\Kod\Ny mapp\remix_-copy-of-miljöbeslut.se-portal\2025-3473 8.pdf", "Öppna PDF")</f>
        <v/>
      </c>
    </row>
    <row r="1101">
      <c r="A1101" t="inlineStr">
        <is>
          <t>KRAV-AUTO-001100</t>
        </is>
      </c>
      <c r="B1101" t="inlineStr">
        <is>
          <t>ADMIN-INDEX-2026-02-27-00000000125C043F57453246863FE664CAFE6A3F0700950291EA24F0614FB6ACEDB12BF0E31D00000000010C0000950291EA24F0614FB6ACEDB12BF0E31D00002087AE610000</t>
        </is>
      </c>
      <c r="C1101" t="inlineStr">
        <is>
          <t>cmm4yupot02tqcuqw6efar0yd</t>
        </is>
      </c>
      <c r="D1101" t="inlineStr">
        <is>
          <t>http://localhost:8787/api/admin/requirements/documents/cmm4yupot02tqcuqw6efar0yd/view</t>
        </is>
      </c>
      <c r="E1101">
        <f>HYPERLÄNK("http://localhost:8787/api/admin/requirements/documents/cmm4yupot02tqcuqw6efar0yd/view";"Öppna PDF")</f>
        <v/>
      </c>
      <c r="F1101">
        <f>HYPERLINK("http://localhost:8787/api/admin/requirements/documents/cmm4yupot02tqcuqw6efar0yd/view","Open PDF")</f>
        <v/>
      </c>
      <c r="G1101" t="inlineStr">
        <is>
          <t>cmm55w57p0004cuisfrtpqly8</t>
        </is>
      </c>
      <c r="H1101" t="inlineStr">
        <is>
          <t>Informationskrav</t>
        </is>
      </c>
      <c r="I1101" t="inlineStr">
        <is>
          <t>DagvattenLakvatten</t>
        </is>
      </c>
      <c r="J1101" t="inlineStr">
        <is>
          <t>Uppsamling</t>
        </is>
      </c>
      <c r="K1101" t="inlineStr">
        <is>
          <t>För att minimera risken för spridning av föroreningar så ska avfall som hanteras vara karaktäriserat vid mottagningen.</t>
        </is>
      </c>
      <c r="L1101" t="inlineStr">
        <is>
          <t>För att minimera risken för spridning av föroreningar så ska avfall som hanteras vara karaktäriserat vid mottagningen.</t>
        </is>
      </c>
      <c r="M1101" t="inlineStr">
        <is>
          <t>SKA</t>
        </is>
      </c>
      <c r="N1101" t="inlineStr"/>
      <c r="O1101" t="inlineStr"/>
      <c r="P1101" t="inlineStr"/>
      <c r="Q1101" t="inlineStr"/>
      <c r="R1101" t="inlineStr">
        <is>
          <t>Vid nederbord och avrinning</t>
        </is>
      </c>
      <c r="S1101" t="inlineStr"/>
      <c r="T1101" t="inlineStr">
        <is>
          <t>35 30 00</t>
        </is>
      </c>
      <c r="U1101" t="inlineStr"/>
      <c r="V1101" t="inlineStr"/>
      <c r="W1101" t="inlineStr">
        <is>
          <t>Nej</t>
        </is>
      </c>
      <c r="X1101" t="inlineStr">
        <is>
          <t>Ja</t>
        </is>
      </c>
      <c r="Y1101" t="inlineStr">
        <is>
          <t>Ja</t>
        </is>
      </c>
      <c r="Z1101" t="inlineStr">
        <is>
          <t>Nej</t>
        </is>
      </c>
      <c r="AA1101" t="n">
        <v>6</v>
      </c>
      <c r="AB1101" t="inlineStr">
        <is>
          <t>Lakvattenhantering</t>
        </is>
      </c>
      <c r="AC1101" t="inlineStr">
        <is>
          <t>Flodesschema dagvatten-lakvatten</t>
        </is>
      </c>
      <c r="AD1101" t="inlineStr">
        <is>
          <t>Nej</t>
        </is>
      </c>
      <c r="AE1101" t="inlineStr">
        <is>
          <t>Nej</t>
        </is>
      </c>
      <c r="AF1101" t="inlineStr">
        <is>
          <t>Ej behandlad</t>
        </is>
      </c>
      <c r="AG1101" t="inlineStr">
        <is>
          <t>AUTO_GENERERAD. Verifiera citat mot kallfil.</t>
        </is>
      </c>
      <c r="AH1101" t="inlineStr">
        <is>
          <t>MEDIUM</t>
        </is>
      </c>
      <c r="AI1101" t="inlineStr">
        <is>
          <t>AUTO</t>
        </is>
      </c>
      <c r="AJ1101" t="inlineStr">
        <is>
          <t>Nej</t>
        </is>
      </c>
      <c r="AK1101" t="inlineStr"/>
      <c r="AL1101" t="inlineStr"/>
      <c r="AM1101" t="inlineStr"/>
      <c r="AN1101" t="inlineStr"/>
      <c r="AO1101" t="inlineStr">
        <is>
          <t>cmm4yupps02uncuqw2oocfvsk</t>
        </is>
      </c>
      <c r="AP1101" t="inlineStr">
        <is>
          <t>http://localhost:8787/api/admin/requirements/documents/cmm4yupps02uncuqw2oocfvsk/view</t>
        </is>
      </c>
      <c r="AQ1101">
        <f>HYPERLÄNK("http://localhost:8787/api/admin/requirements/documents/cmm4yupps02uncuqw2oocfvsk/view";"Öppna PDF")</f>
        <v/>
      </c>
      <c r="AR1101">
        <f>HYPERLINK("http://localhost:8787/api/admin/requirements/documents/cmm4yupps02uncuqw2oocfvsk/view","Open PDF")</f>
        <v/>
      </c>
      <c r="AS1101" t="inlineStr">
        <is>
          <t>cmm55w57p0004cuisfrtpqly8</t>
        </is>
      </c>
      <c r="AT1101" t="inlineStr">
        <is>
          <t>cmm4xvu980000cuh4vj0usz09</t>
        </is>
      </c>
      <c r="AU1101" t="inlineStr"/>
      <c r="AV1101" t="inlineStr">
        <is>
          <t>Kommun</t>
        </is>
      </c>
      <c r="AW1101" t="inlineStr"/>
      <c r="AX1101" t="inlineStr">
        <is>
          <t>2013:251</t>
        </is>
      </c>
      <c r="AY1101" t="inlineStr">
        <is>
          <t>Anmalan</t>
        </is>
      </c>
      <c r="AZ1101" t="inlineStr">
        <is>
          <t>2026-02-04</t>
        </is>
      </c>
      <c r="BA1101" t="inlineStr">
        <is>
          <t>2025-3473 8.pdf</t>
        </is>
      </c>
      <c r="BB1101" t="inlineStr">
        <is>
          <t>Sv:  Begäran om utlämnande av allmän handling – Anmälningar och beslut rörande mellanlagring av avfall samt anläggning av ytor</t>
        </is>
      </c>
      <c r="BC1101" t="inlineStr">
        <is>
          <t>AUTO</t>
        </is>
      </c>
      <c r="BD1101" t="inlineStr"/>
      <c r="BE1101" t="inlineStr"/>
      <c r="BF1101" t="inlineStr">
        <is>
          <t>AUTO_GENERERAD. Bekrafta metadata mot kallfil.</t>
        </is>
      </c>
      <c r="BG1101">
        <f>HYPERLINK("C:\Users\jimmy\Desktop\Examens arbete\Kod\Ny mapp\remix_-copy-of-miljöbeslut.se-portal\2025-3473 8.pdf", "Öppna PDF")</f>
        <v/>
      </c>
    </row>
    <row r="1102">
      <c r="A1102" t="inlineStr">
        <is>
          <t>KRAV-AUTO-001101</t>
        </is>
      </c>
      <c r="B1102" t="inlineStr">
        <is>
          <t>ADMIN-INDEX-2026-02-27-00000000125C043F57453246863FE664CAFE6A3F0700950291EA24F0614FB6ACEDB12BF0E31D00000000010C0000950291EA24F0614FB6ACEDB12BF0E31D00002087AE610000</t>
        </is>
      </c>
      <c r="C1102" t="inlineStr">
        <is>
          <t>cmm4yupoo02tkcuqwj2ttaeuj</t>
        </is>
      </c>
      <c r="D1102" t="inlineStr">
        <is>
          <t>http://localhost:8787/api/admin/requirements/documents/cmm4yupoo02tkcuqwj2ttaeuj/view</t>
        </is>
      </c>
      <c r="E1102">
        <f>HYPERLÄNK("http://localhost:8787/api/admin/requirements/documents/cmm4yupoo02tkcuqwj2ttaeuj/view";"Öppna PDF")</f>
        <v/>
      </c>
      <c r="F1102">
        <f>HYPERLINK("http://localhost:8787/api/admin/requirements/documents/cmm4yupoo02tkcuqwj2ttaeuj/view","Open PDF")</f>
        <v/>
      </c>
      <c r="G1102" t="inlineStr">
        <is>
          <t>cmm55w57p0004cuisfrtpqly8</t>
        </is>
      </c>
      <c r="H1102" t="inlineStr">
        <is>
          <t>Informationskrav</t>
        </is>
      </c>
      <c r="I1102" t="inlineStr">
        <is>
          <t>MiljopaverkanForsiktighet</t>
        </is>
      </c>
      <c r="J1102" t="inlineStr">
        <is>
          <t>Skyddsatgarder</t>
        </is>
      </c>
      <c r="K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02" t="inlineStr">
        <is>
          <t>BOR</t>
        </is>
      </c>
      <c r="N1102" t="inlineStr"/>
      <c r="O1102" t="inlineStr">
        <is>
          <t>2025-02-11</t>
        </is>
      </c>
      <c r="P1102" t="inlineStr"/>
      <c r="Q1102" t="inlineStr">
        <is>
          <t>Forbud</t>
        </is>
      </c>
      <c r="R1102" t="inlineStr">
        <is>
          <t>Alltid</t>
        </is>
      </c>
      <c r="S1102" t="inlineStr"/>
      <c r="T1102" t="inlineStr">
        <is>
          <t>35 30 00</t>
        </is>
      </c>
      <c r="U1102" t="inlineStr"/>
      <c r="V1102" t="inlineStr"/>
      <c r="W1102" t="inlineStr">
        <is>
          <t>Nej</t>
        </is>
      </c>
      <c r="X1102" t="inlineStr">
        <is>
          <t>Nej</t>
        </is>
      </c>
      <c r="Y1102" t="inlineStr">
        <is>
          <t>Nej</t>
        </is>
      </c>
      <c r="Z1102" t="inlineStr">
        <is>
          <t>Nej</t>
        </is>
      </c>
      <c r="AA1102" t="n">
        <v>10</v>
      </c>
      <c r="AB1102" t="inlineStr">
        <is>
          <t>Miljopaverkan och forsiktighetsmatt</t>
        </is>
      </c>
      <c r="AC1102" t="inlineStr">
        <is>
          <t>Miljo-PM</t>
        </is>
      </c>
      <c r="AD1102" t="inlineStr">
        <is>
          <t>Nej</t>
        </is>
      </c>
      <c r="AE1102" t="inlineStr">
        <is>
          <t>Nej</t>
        </is>
      </c>
      <c r="AF1102" t="inlineStr">
        <is>
          <t>Ej behandlad</t>
        </is>
      </c>
      <c r="AG1102" t="inlineStr">
        <is>
          <t>AUTO_GENERERAD. Verifiera citat mot kallfil.</t>
        </is>
      </c>
      <c r="AH1102" t="inlineStr">
        <is>
          <t>MEDIUM</t>
        </is>
      </c>
      <c r="AI1102" t="inlineStr">
        <is>
          <t>AUTO</t>
        </is>
      </c>
      <c r="AJ1102" t="inlineStr">
        <is>
          <t>Nej</t>
        </is>
      </c>
      <c r="AK1102" t="inlineStr"/>
      <c r="AL1102" t="inlineStr"/>
      <c r="AM1102" t="inlineStr"/>
      <c r="AN1102" t="inlineStr"/>
      <c r="AO1102" t="inlineStr">
        <is>
          <t>cmm4yupps02uncuqw2oocfvsk</t>
        </is>
      </c>
      <c r="AP1102" t="inlineStr">
        <is>
          <t>http://localhost:8787/api/admin/requirements/documents/cmm4yupps02uncuqw2oocfvsk/view</t>
        </is>
      </c>
      <c r="AQ1102">
        <f>HYPERLÄNK("http://localhost:8787/api/admin/requirements/documents/cmm4yupps02uncuqw2oocfvsk/view";"Öppna PDF")</f>
        <v/>
      </c>
      <c r="AR1102">
        <f>HYPERLINK("http://localhost:8787/api/admin/requirements/documents/cmm4yupps02uncuqw2oocfvsk/view","Open PDF")</f>
        <v/>
      </c>
      <c r="AS1102" t="inlineStr">
        <is>
          <t>cmm55w57p0004cuisfrtpqly8</t>
        </is>
      </c>
      <c r="AT1102" t="inlineStr">
        <is>
          <t>cmm4xvu980000cuh4vj0usz09</t>
        </is>
      </c>
      <c r="AU1102" t="inlineStr"/>
      <c r="AV1102" t="inlineStr">
        <is>
          <t>Kommun</t>
        </is>
      </c>
      <c r="AW1102" t="inlineStr"/>
      <c r="AX1102" t="inlineStr">
        <is>
          <t>2013:251</t>
        </is>
      </c>
      <c r="AY1102" t="inlineStr">
        <is>
          <t>Anmalan</t>
        </is>
      </c>
      <c r="AZ1102" t="inlineStr">
        <is>
          <t>2026-02-04</t>
        </is>
      </c>
      <c r="BA1102" t="inlineStr">
        <is>
          <t>2025-3473 8.pdf</t>
        </is>
      </c>
      <c r="BB1102" t="inlineStr">
        <is>
          <t>Sv:  Begäran om utlämnande av allmän handling – Anmälningar och beslut rörande mellanlagring av avfall samt anläggning av ytor</t>
        </is>
      </c>
      <c r="BC1102" t="inlineStr">
        <is>
          <t>AUTO</t>
        </is>
      </c>
      <c r="BD1102" t="inlineStr"/>
      <c r="BE1102" t="inlineStr"/>
      <c r="BF1102" t="inlineStr">
        <is>
          <t>AUTO_GENERERAD. Bekrafta metadata mot kallfil.</t>
        </is>
      </c>
      <c r="BG1102">
        <f>HYPERLINK("C:\Users\jimmy\Desktop\Examens arbete\Kod\Ny mapp\remix_-copy-of-miljöbeslut.se-portal\2025-3473 8.pdf", "Öppna PDF")</f>
        <v/>
      </c>
    </row>
    <row r="1103">
      <c r="A1103" t="inlineStr">
        <is>
          <t>KRAV-AUTO-001102</t>
        </is>
      </c>
      <c r="B1103" t="inlineStr">
        <is>
          <t>ADMIN-INDEX-2026-02-27-00000000125C043F57453246863FE664CAFE6A3F0700950291EA24F0614FB6ACEDB12BF0E31D00000000010C0000950291EA24F0614FB6ACEDB12BF0E31D00002087AE610000</t>
        </is>
      </c>
      <c r="C1103" t="inlineStr">
        <is>
          <t>cmm4yupoo02tkcuqwj2ttaeuj</t>
        </is>
      </c>
      <c r="D1103" t="inlineStr">
        <is>
          <t>http://localhost:8787/api/admin/requirements/documents/cmm4yupoo02tkcuqwj2ttaeuj/view</t>
        </is>
      </c>
      <c r="E1103">
        <f>HYPERLÄNK("http://localhost:8787/api/admin/requirements/documents/cmm4yupoo02tkcuqwj2ttaeuj/view";"Öppna PDF")</f>
        <v/>
      </c>
      <c r="F1103">
        <f>HYPERLINK("http://localhost:8787/api/admin/requirements/documents/cmm4yupoo02tkcuqwj2ttaeuj/view","Open PDF")</f>
        <v/>
      </c>
      <c r="G1103" t="inlineStr">
        <is>
          <t>cmm55w57p0004cuisfrtpqly8</t>
        </is>
      </c>
      <c r="H1103" t="inlineStr">
        <is>
          <t>Informationskrav</t>
        </is>
      </c>
      <c r="I1103" t="inlineStr">
        <is>
          <t>Riskhantering</t>
        </is>
      </c>
      <c r="J1103" t="inlineStr">
        <is>
          <t>Riskkontroll</t>
        </is>
      </c>
      <c r="K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03" t="inlineStr">
        <is>
          <t>BOR</t>
        </is>
      </c>
      <c r="N1103" t="inlineStr"/>
      <c r="O1103" t="inlineStr"/>
      <c r="P1103" t="inlineStr"/>
      <c r="Q1103" t="inlineStr"/>
      <c r="R1103" t="inlineStr">
        <is>
          <t>Vid risk for incident</t>
        </is>
      </c>
      <c r="S1103" t="inlineStr"/>
      <c r="T1103" t="inlineStr">
        <is>
          <t>35 30 00</t>
        </is>
      </c>
      <c r="U1103" t="inlineStr"/>
      <c r="V1103" t="inlineStr"/>
      <c r="W1103" t="inlineStr">
        <is>
          <t>Nej</t>
        </is>
      </c>
      <c r="X1103" t="inlineStr">
        <is>
          <t>Nej</t>
        </is>
      </c>
      <c r="Y1103" t="inlineStr">
        <is>
          <t>Ja</t>
        </is>
      </c>
      <c r="Z1103" t="inlineStr">
        <is>
          <t>Ja</t>
        </is>
      </c>
      <c r="AA1103" t="n">
        <v>8</v>
      </c>
      <c r="AB1103" t="inlineStr">
        <is>
          <t>Riskhantering</t>
        </is>
      </c>
      <c r="AC1103" t="inlineStr">
        <is>
          <t>Risk-PM</t>
        </is>
      </c>
      <c r="AD1103" t="inlineStr">
        <is>
          <t>Nej</t>
        </is>
      </c>
      <c r="AE1103" t="inlineStr">
        <is>
          <t>Nej</t>
        </is>
      </c>
      <c r="AF1103" t="inlineStr">
        <is>
          <t>Ej behandlad</t>
        </is>
      </c>
      <c r="AG1103" t="inlineStr">
        <is>
          <t>AUTO_GENERERAD. Verifiera citat mot kallfil.</t>
        </is>
      </c>
      <c r="AH1103" t="inlineStr">
        <is>
          <t>MEDIUM</t>
        </is>
      </c>
      <c r="AI1103" t="inlineStr">
        <is>
          <t>AUTO</t>
        </is>
      </c>
      <c r="AJ1103" t="inlineStr">
        <is>
          <t>Nej</t>
        </is>
      </c>
      <c r="AK1103" t="inlineStr"/>
      <c r="AL1103" t="inlineStr"/>
      <c r="AM1103" t="inlineStr"/>
      <c r="AN1103" t="inlineStr"/>
      <c r="AO1103" t="inlineStr">
        <is>
          <t>cmm4yupps02uncuqw2oocfvsk</t>
        </is>
      </c>
      <c r="AP1103" t="inlineStr">
        <is>
          <t>http://localhost:8787/api/admin/requirements/documents/cmm4yupps02uncuqw2oocfvsk/view</t>
        </is>
      </c>
      <c r="AQ1103">
        <f>HYPERLÄNK("http://localhost:8787/api/admin/requirements/documents/cmm4yupps02uncuqw2oocfvsk/view";"Öppna PDF")</f>
        <v/>
      </c>
      <c r="AR1103">
        <f>HYPERLINK("http://localhost:8787/api/admin/requirements/documents/cmm4yupps02uncuqw2oocfvsk/view","Open PDF")</f>
        <v/>
      </c>
      <c r="AS1103" t="inlineStr">
        <is>
          <t>cmm55w57p0004cuisfrtpqly8</t>
        </is>
      </c>
      <c r="AT1103" t="inlineStr">
        <is>
          <t>cmm4xvu980000cuh4vj0usz09</t>
        </is>
      </c>
      <c r="AU1103" t="inlineStr"/>
      <c r="AV1103" t="inlineStr">
        <is>
          <t>Kommun</t>
        </is>
      </c>
      <c r="AW1103" t="inlineStr"/>
      <c r="AX1103" t="inlineStr">
        <is>
          <t>2013:251</t>
        </is>
      </c>
      <c r="AY1103" t="inlineStr">
        <is>
          <t>Anmalan</t>
        </is>
      </c>
      <c r="AZ1103" t="inlineStr">
        <is>
          <t>2026-02-04</t>
        </is>
      </c>
      <c r="BA1103" t="inlineStr">
        <is>
          <t>2025-3473 8.pdf</t>
        </is>
      </c>
      <c r="BB1103" t="inlineStr">
        <is>
          <t>Sv:  Begäran om utlämnande av allmän handling – Anmälningar och beslut rörande mellanlagring av avfall samt anläggning av ytor</t>
        </is>
      </c>
      <c r="BC1103" t="inlineStr">
        <is>
          <t>AUTO</t>
        </is>
      </c>
      <c r="BD1103" t="inlineStr"/>
      <c r="BE1103" t="inlineStr"/>
      <c r="BF1103" t="inlineStr">
        <is>
          <t>AUTO_GENERERAD. Bekrafta metadata mot kallfil.</t>
        </is>
      </c>
      <c r="BG1103">
        <f>HYPERLINK("C:\Users\jimmy\Desktop\Examens arbete\Kod\Ny mapp\remix_-copy-of-miljöbeslut.se-portal\2025-3473 8.pdf", "Öppna PDF")</f>
        <v/>
      </c>
    </row>
    <row r="1104">
      <c r="A1104" t="inlineStr">
        <is>
          <t>KRAV-AUTO-001103</t>
        </is>
      </c>
      <c r="B1104" t="inlineStr">
        <is>
          <t>ADMIN-INDEX-2026-02-27-00000000125C043F57453246863FE664CAFE6A3F0700950291EA24F0614FB6ACEDB12BF0E31D00000000010C0000950291EA24F0614FB6ACEDB12BF0E31D00002087AE610000</t>
        </is>
      </c>
      <c r="C1104" t="inlineStr">
        <is>
          <t>cmm4yupoo02tkcuqwj2ttaeuj</t>
        </is>
      </c>
      <c r="D1104" t="inlineStr">
        <is>
          <t>http://localhost:8787/api/admin/requirements/documents/cmm4yupoo02tkcuqwj2ttaeuj/view</t>
        </is>
      </c>
      <c r="E1104">
        <f>HYPERLÄNK("http://localhost:8787/api/admin/requirements/documents/cmm4yupoo02tkcuqwj2ttaeuj/view";"Öppna PDF")</f>
        <v/>
      </c>
      <c r="F1104">
        <f>HYPERLINK("http://localhost:8787/api/admin/requirements/documents/cmm4yupoo02tkcuqwj2ttaeuj/view","Open PDF")</f>
        <v/>
      </c>
      <c r="G1104" t="inlineStr">
        <is>
          <t>cmm55w57p0004cuisfrtpqly8</t>
        </is>
      </c>
      <c r="H1104" t="inlineStr">
        <is>
          <t>Informationskrav</t>
        </is>
      </c>
      <c r="I1104" t="inlineStr">
        <is>
          <t>Riskhantering</t>
        </is>
      </c>
      <c r="J1104" t="inlineStr">
        <is>
          <t>Riskkontroll</t>
        </is>
      </c>
      <c r="K1104" t="inlineStr">
        <is>
          <t>Spill av petroleumprodukter ska omhändertas som farligt avfall.</t>
        </is>
      </c>
      <c r="L1104" t="inlineStr">
        <is>
          <t>Spill av petroleumprodukter ska omhändertas som farligt avfall.</t>
        </is>
      </c>
      <c r="M1104" t="inlineStr">
        <is>
          <t>SKA</t>
        </is>
      </c>
      <c r="N1104" t="inlineStr"/>
      <c r="O1104" t="inlineStr"/>
      <c r="P1104" t="inlineStr">
        <is>
          <t>Arlig</t>
        </is>
      </c>
      <c r="Q1104" t="inlineStr"/>
      <c r="R1104" t="inlineStr">
        <is>
          <t>Vid risk for incident</t>
        </is>
      </c>
      <c r="S1104" t="inlineStr"/>
      <c r="T1104" t="inlineStr">
        <is>
          <t>35 30 00</t>
        </is>
      </c>
      <c r="U1104" t="inlineStr"/>
      <c r="V1104" t="inlineStr"/>
      <c r="W1104" t="inlineStr">
        <is>
          <t>Nej</t>
        </is>
      </c>
      <c r="X1104" t="inlineStr">
        <is>
          <t>Nej</t>
        </is>
      </c>
      <c r="Y1104" t="inlineStr">
        <is>
          <t>Ja</t>
        </is>
      </c>
      <c r="Z1104" t="inlineStr">
        <is>
          <t>Ja</t>
        </is>
      </c>
      <c r="AA1104" t="n">
        <v>8</v>
      </c>
      <c r="AB1104" t="inlineStr">
        <is>
          <t>Riskhantering</t>
        </is>
      </c>
      <c r="AC1104" t="inlineStr">
        <is>
          <t>Risk-PM</t>
        </is>
      </c>
      <c r="AD1104" t="inlineStr">
        <is>
          <t>Nej</t>
        </is>
      </c>
      <c r="AE1104" t="inlineStr">
        <is>
          <t>Nej</t>
        </is>
      </c>
      <c r="AF1104" t="inlineStr">
        <is>
          <t>Ej behandlad</t>
        </is>
      </c>
      <c r="AG1104" t="inlineStr">
        <is>
          <t>AUTO_GENERERAD. Verifiera citat mot kallfil.</t>
        </is>
      </c>
      <c r="AH1104" t="inlineStr">
        <is>
          <t>MEDIUM</t>
        </is>
      </c>
      <c r="AI1104" t="inlineStr">
        <is>
          <t>AUTO</t>
        </is>
      </c>
      <c r="AJ1104" t="inlineStr">
        <is>
          <t>Nej</t>
        </is>
      </c>
      <c r="AK1104" t="inlineStr"/>
      <c r="AL1104" t="inlineStr"/>
      <c r="AM1104" t="inlineStr"/>
      <c r="AN1104" t="inlineStr"/>
      <c r="AO1104" t="inlineStr">
        <is>
          <t>cmm4yupps02uncuqw2oocfvsk</t>
        </is>
      </c>
      <c r="AP1104" t="inlineStr">
        <is>
          <t>http://localhost:8787/api/admin/requirements/documents/cmm4yupps02uncuqw2oocfvsk/view</t>
        </is>
      </c>
      <c r="AQ1104">
        <f>HYPERLÄNK("http://localhost:8787/api/admin/requirements/documents/cmm4yupps02uncuqw2oocfvsk/view";"Öppna PDF")</f>
        <v/>
      </c>
      <c r="AR1104">
        <f>HYPERLINK("http://localhost:8787/api/admin/requirements/documents/cmm4yupps02uncuqw2oocfvsk/view","Open PDF")</f>
        <v/>
      </c>
      <c r="AS1104" t="inlineStr">
        <is>
          <t>cmm55w57p0004cuisfrtpqly8</t>
        </is>
      </c>
      <c r="AT1104" t="inlineStr">
        <is>
          <t>cmm4xvu980000cuh4vj0usz09</t>
        </is>
      </c>
      <c r="AU1104" t="inlineStr"/>
      <c r="AV1104" t="inlineStr">
        <is>
          <t>Kommun</t>
        </is>
      </c>
      <c r="AW1104" t="inlineStr"/>
      <c r="AX1104" t="inlineStr">
        <is>
          <t>2013:251</t>
        </is>
      </c>
      <c r="AY1104" t="inlineStr">
        <is>
          <t>Anmalan</t>
        </is>
      </c>
      <c r="AZ1104" t="inlineStr">
        <is>
          <t>2026-02-04</t>
        </is>
      </c>
      <c r="BA1104" t="inlineStr">
        <is>
          <t>2025-3473 8.pdf</t>
        </is>
      </c>
      <c r="BB1104" t="inlineStr">
        <is>
          <t>Sv:  Begäran om utlämnande av allmän handling – Anmälningar och beslut rörande mellanlagring av avfall samt anläggning av ytor</t>
        </is>
      </c>
      <c r="BC1104" t="inlineStr">
        <is>
          <t>AUTO</t>
        </is>
      </c>
      <c r="BD1104" t="inlineStr"/>
      <c r="BE1104" t="inlineStr"/>
      <c r="BF1104" t="inlineStr">
        <is>
          <t>AUTO_GENERERAD. Bekrafta metadata mot kallfil.</t>
        </is>
      </c>
      <c r="BG1104">
        <f>HYPERLINK("C:\Users\jimmy\Desktop\Examens arbete\Kod\Ny mapp\remix_-copy-of-miljöbeslut.se-portal\2025-3473 8.pdf", "Öppna PDF")</f>
        <v/>
      </c>
    </row>
    <row r="1105">
      <c r="A1105" t="inlineStr">
        <is>
          <t>KRAV-AUTO-001104</t>
        </is>
      </c>
      <c r="B1105" t="inlineStr">
        <is>
          <t>ADMIN-INDEX-2026-02-27-00000000125C043F57453246863FE664CAFE6A3F0700950291EA24F0614FB6ACEDB12BF0E31D00000000010C0000950291EA24F0614FB6ACEDB12BF0E31D00002087AE620000</t>
        </is>
      </c>
      <c r="C1105" t="inlineStr">
        <is>
          <t>cmm4yupoi02tecuqwcxfb7ykc</t>
        </is>
      </c>
      <c r="D1105" t="inlineStr">
        <is>
          <t>http://localhost:8787/api/admin/requirements/documents/cmm4yupoi02tecuqwcxfb7ykc/view</t>
        </is>
      </c>
      <c r="E1105">
        <f>HYPERLÄNK("http://localhost:8787/api/admin/requirements/documents/cmm4yupoi02tecuqwcxfb7ykc/view";"Öppna PDF")</f>
        <v/>
      </c>
      <c r="F1105">
        <f>HYPERLINK("http://localhost:8787/api/admin/requirements/documents/cmm4yupoi02tecuqwcxfb7ykc/view","Open PDF")</f>
        <v/>
      </c>
      <c r="G1105" t="inlineStr">
        <is>
          <t>cmm55w57p0004cuisfrtpqly8</t>
        </is>
      </c>
      <c r="H1105" t="inlineStr">
        <is>
          <t>Informationskrav</t>
        </is>
      </c>
      <c r="I1105" t="inlineStr">
        <is>
          <t>DagvattenLakvatten</t>
        </is>
      </c>
      <c r="J1105" t="inlineStr">
        <is>
          <t>Uppsamling</t>
        </is>
      </c>
      <c r="K1105" t="inlineStr">
        <is>
          <t>Vatten: Vad gäller vatten och avlopp bör uppdelning ske på processvatten, sanitärt vatten och dagvatten.</t>
        </is>
      </c>
      <c r="L1105" t="inlineStr">
        <is>
          <t>Vatten: Vad gäller vatten och avlopp bör uppdelning ske på processvatten, sanitärt vatten och dagvatten.</t>
        </is>
      </c>
      <c r="M1105" t="inlineStr">
        <is>
          <t>BOR</t>
        </is>
      </c>
      <c r="N1105" t="inlineStr"/>
      <c r="O1105" t="inlineStr"/>
      <c r="P1105" t="inlineStr"/>
      <c r="Q1105" t="inlineStr"/>
      <c r="R1105" t="inlineStr">
        <is>
          <t>Vid nederbord och avrinning</t>
        </is>
      </c>
      <c r="S1105" t="inlineStr"/>
      <c r="T1105" t="inlineStr">
        <is>
          <t>35 30 00</t>
        </is>
      </c>
      <c r="U1105" t="inlineStr"/>
      <c r="V1105" t="inlineStr"/>
      <c r="W1105" t="inlineStr">
        <is>
          <t>Nej</t>
        </is>
      </c>
      <c r="X1105" t="inlineStr">
        <is>
          <t>Ja</t>
        </is>
      </c>
      <c r="Y1105" t="inlineStr">
        <is>
          <t>Ja</t>
        </is>
      </c>
      <c r="Z1105" t="inlineStr">
        <is>
          <t>Nej</t>
        </is>
      </c>
      <c r="AA1105" t="n">
        <v>6</v>
      </c>
      <c r="AB1105" t="inlineStr">
        <is>
          <t>Lakvattenhantering</t>
        </is>
      </c>
      <c r="AC1105" t="inlineStr">
        <is>
          <t>Flodesschema dagvatten-lakvatten</t>
        </is>
      </c>
      <c r="AD1105" t="inlineStr">
        <is>
          <t>Nej</t>
        </is>
      </c>
      <c r="AE1105" t="inlineStr">
        <is>
          <t>Nej</t>
        </is>
      </c>
      <c r="AF1105" t="inlineStr">
        <is>
          <t>Ej behandlad</t>
        </is>
      </c>
      <c r="AG1105" t="inlineStr">
        <is>
          <t>AUTO_GENERERAD. Verifiera citat mot kallfil.</t>
        </is>
      </c>
      <c r="AH1105" t="inlineStr">
        <is>
          <t>MEDIUM</t>
        </is>
      </c>
      <c r="AI1105" t="inlineStr">
        <is>
          <t>AUTO</t>
        </is>
      </c>
      <c r="AJ1105" t="inlineStr">
        <is>
          <t>Nej</t>
        </is>
      </c>
      <c r="AK1105" t="inlineStr"/>
      <c r="AL1105" t="inlineStr"/>
      <c r="AM1105" t="inlineStr"/>
      <c r="AN1105" t="inlineStr"/>
      <c r="AO1105" t="inlineStr">
        <is>
          <t>cmm4yupoi02tecuqwcxfb7ykc</t>
        </is>
      </c>
      <c r="AP1105" t="inlineStr">
        <is>
          <t>http://localhost:8787/api/admin/requirements/documents/cmm4yupoi02tecuqwcxfb7ykc/view</t>
        </is>
      </c>
      <c r="AQ1105">
        <f>HYPERLÄNK("http://localhost:8787/api/admin/requirements/documents/cmm4yupoi02tecuqwcxfb7ykc/view";"Öppna PDF")</f>
        <v/>
      </c>
      <c r="AR1105">
        <f>HYPERLINK("http://localhost:8787/api/admin/requirements/documents/cmm4yupoi02tecuqwcxfb7ykc/view","Open PDF")</f>
        <v/>
      </c>
      <c r="AS1105" t="inlineStr">
        <is>
          <t>cmm55w57p0004cuisfrtpqly8</t>
        </is>
      </c>
      <c r="AT1105" t="inlineStr">
        <is>
          <t>cmm4xvu980000cuh4vj0usz09</t>
        </is>
      </c>
      <c r="AU1105" t="inlineStr"/>
      <c r="AV1105" t="inlineStr">
        <is>
          <t>Kommun</t>
        </is>
      </c>
      <c r="AW1105" t="inlineStr"/>
      <c r="AX1105" t="inlineStr">
        <is>
          <t>2013:251</t>
        </is>
      </c>
      <c r="AY1105" t="inlineStr">
        <is>
          <t>Anmalan</t>
        </is>
      </c>
      <c r="AZ1105" t="inlineStr">
        <is>
          <t>2026-02-04</t>
        </is>
      </c>
      <c r="BA1105" t="inlineStr">
        <is>
          <t>2025-3473 8.pdf</t>
        </is>
      </c>
      <c r="BB1105" t="inlineStr">
        <is>
          <t>Sv:  Begäran om utlämnande av allmän handling – Anmälningar och beslut rörande mellanlagring av avfall samt anläggning av ytor</t>
        </is>
      </c>
      <c r="BC1105" t="inlineStr">
        <is>
          <t>AUTO</t>
        </is>
      </c>
      <c r="BD1105" t="inlineStr"/>
      <c r="BE1105" t="inlineStr"/>
      <c r="BF1105" t="inlineStr">
        <is>
          <t>AUTO_GENERERAD. Bekrafta metadata mot kallfil.</t>
        </is>
      </c>
      <c r="BG1105">
        <f>HYPERLINK("C:\Users\jimmy\Desktop\Examens arbete\Kod\Ny mapp\remix_-copy-of-miljöbeslut.se-portal\2025-3473 8.pdf", "Öppna PDF")</f>
        <v/>
      </c>
    </row>
    <row r="1106">
      <c r="A1106" t="inlineStr">
        <is>
          <t>KRAV-AUTO-001105</t>
        </is>
      </c>
      <c r="B1106" t="inlineStr">
        <is>
          <t>ADMIN-INDEX-2026-02-27-00000000125C043F57453246863FE664CAFE6A3F0700950291EA24F0614FB6ACEDB12BF0E31D00000000010C0000950291EA24F0614FB6ACEDB12BF0E31D00002087AE620000</t>
        </is>
      </c>
      <c r="C1106" t="inlineStr">
        <is>
          <t>cmm4yupoi02tecuqwcxfb7ykc</t>
        </is>
      </c>
      <c r="D1106" t="inlineStr">
        <is>
          <t>http://localhost:8787/api/admin/requirements/documents/cmm4yupoi02tecuqwcxfb7ykc/view</t>
        </is>
      </c>
      <c r="E1106">
        <f>HYPERLÄNK("http://localhost:8787/api/admin/requirements/documents/cmm4yupoi02tecuqwcxfb7ykc/view";"Öppna PDF")</f>
        <v/>
      </c>
      <c r="F1106">
        <f>HYPERLINK("http://localhost:8787/api/admin/requirements/documents/cmm4yupoi02tecuqwcxfb7ykc/view","Open PDF")</f>
        <v/>
      </c>
      <c r="G1106" t="inlineStr">
        <is>
          <t>cmm55w57p0004cuisfrtpqly8</t>
        </is>
      </c>
      <c r="H1106" t="inlineStr">
        <is>
          <t>Informationskrav</t>
        </is>
      </c>
      <c r="I1106" t="inlineStr">
        <is>
          <t>Riskhantering</t>
        </is>
      </c>
      <c r="J1106" t="inlineStr">
        <is>
          <t>Riskkontroll</t>
        </is>
      </c>
      <c r="K1106" t="inlineStr">
        <is>
          <t>• En beskrivning av den verksamhet som ska bedrivas och vilka miljö- och hälsorisker som kan uppstå i eller i anslutning till verksamheten.</t>
        </is>
      </c>
      <c r="L1106" t="inlineStr">
        <is>
          <t>• En beskrivning av den verksamhet som ska bedrivas och vilka miljö- och hälsorisker som kan uppstå i eller i anslutning till verksamheten.</t>
        </is>
      </c>
      <c r="M1106" t="inlineStr">
        <is>
          <t>SKA</t>
        </is>
      </c>
      <c r="N1106" t="inlineStr"/>
      <c r="O1106" t="inlineStr"/>
      <c r="P1106" t="inlineStr"/>
      <c r="Q1106" t="inlineStr"/>
      <c r="R1106" t="inlineStr">
        <is>
          <t>Vid risk for incident</t>
        </is>
      </c>
      <c r="S1106" t="inlineStr"/>
      <c r="T1106" t="inlineStr">
        <is>
          <t>35 30 00</t>
        </is>
      </c>
      <c r="U1106" t="inlineStr"/>
      <c r="V1106" t="inlineStr"/>
      <c r="W1106" t="inlineStr">
        <is>
          <t>Nej</t>
        </is>
      </c>
      <c r="X1106" t="inlineStr">
        <is>
          <t>Nej</t>
        </is>
      </c>
      <c r="Y1106" t="inlineStr">
        <is>
          <t>Ja</t>
        </is>
      </c>
      <c r="Z1106" t="inlineStr">
        <is>
          <t>Ja</t>
        </is>
      </c>
      <c r="AA1106" t="n">
        <v>8</v>
      </c>
      <c r="AB1106" t="inlineStr">
        <is>
          <t>Riskhantering</t>
        </is>
      </c>
      <c r="AC1106" t="inlineStr">
        <is>
          <t>Risk-PM</t>
        </is>
      </c>
      <c r="AD1106" t="inlineStr">
        <is>
          <t>Nej</t>
        </is>
      </c>
      <c r="AE1106" t="inlineStr">
        <is>
          <t>Nej</t>
        </is>
      </c>
      <c r="AF1106" t="inlineStr">
        <is>
          <t>Ej behandlad</t>
        </is>
      </c>
      <c r="AG1106" t="inlineStr">
        <is>
          <t>AUTO_GENERERAD. Verifiera citat mot kallfil.</t>
        </is>
      </c>
      <c r="AH1106" t="inlineStr">
        <is>
          <t>MEDIUM</t>
        </is>
      </c>
      <c r="AI1106" t="inlineStr">
        <is>
          <t>AUTO</t>
        </is>
      </c>
      <c r="AJ1106" t="inlineStr">
        <is>
          <t>Nej</t>
        </is>
      </c>
      <c r="AK1106" t="inlineStr"/>
      <c r="AL1106" t="inlineStr"/>
      <c r="AM1106" t="inlineStr"/>
      <c r="AN1106" t="inlineStr"/>
      <c r="AO1106" t="inlineStr">
        <is>
          <t>cmm4yupoi02tecuqwcxfb7ykc</t>
        </is>
      </c>
      <c r="AP1106" t="inlineStr">
        <is>
          <t>http://localhost:8787/api/admin/requirements/documents/cmm4yupoi02tecuqwcxfb7ykc/view</t>
        </is>
      </c>
      <c r="AQ1106">
        <f>HYPERLÄNK("http://localhost:8787/api/admin/requirements/documents/cmm4yupoi02tecuqwcxfb7ykc/view";"Öppna PDF")</f>
        <v/>
      </c>
      <c r="AR1106">
        <f>HYPERLINK("http://localhost:8787/api/admin/requirements/documents/cmm4yupoi02tecuqwcxfb7ykc/view","Open PDF")</f>
        <v/>
      </c>
      <c r="AS1106" t="inlineStr">
        <is>
          <t>cmm55w57p0004cuisfrtpqly8</t>
        </is>
      </c>
      <c r="AT1106" t="inlineStr">
        <is>
          <t>cmm4xvu980000cuh4vj0usz09</t>
        </is>
      </c>
      <c r="AU1106" t="inlineStr"/>
      <c r="AV1106" t="inlineStr">
        <is>
          <t>Kommun</t>
        </is>
      </c>
      <c r="AW1106" t="inlineStr"/>
      <c r="AX1106" t="inlineStr">
        <is>
          <t>2013:251</t>
        </is>
      </c>
      <c r="AY1106" t="inlineStr">
        <is>
          <t>Anmalan</t>
        </is>
      </c>
      <c r="AZ1106" t="inlineStr">
        <is>
          <t>2026-02-04</t>
        </is>
      </c>
      <c r="BA1106" t="inlineStr">
        <is>
          <t>2025-3473 8.pdf</t>
        </is>
      </c>
      <c r="BB1106" t="inlineStr">
        <is>
          <t>Sv:  Begäran om utlämnande av allmän handling – Anmälningar och beslut rörande mellanlagring av avfall samt anläggning av ytor</t>
        </is>
      </c>
      <c r="BC1106" t="inlineStr">
        <is>
          <t>AUTO</t>
        </is>
      </c>
      <c r="BD1106" t="inlineStr"/>
      <c r="BE1106" t="inlineStr"/>
      <c r="BF1106" t="inlineStr">
        <is>
          <t>AUTO_GENERERAD. Bekrafta metadata mot kallfil.</t>
        </is>
      </c>
      <c r="BG1106">
        <f>HYPERLINK("C:\Users\jimmy\Desktop\Examens arbete\Kod\Ny mapp\remix_-copy-of-miljöbeslut.se-portal\2025-3473 8.pdf", "Öppna PDF")</f>
        <v/>
      </c>
    </row>
    <row r="1107">
      <c r="A1107" t="inlineStr">
        <is>
          <t>KRAV-AUTO-001106</t>
        </is>
      </c>
      <c r="B1107" t="inlineStr">
        <is>
          <t>ADMIN-INDEX-2026-02-27-00000000125C043F57453246863FE664CAFE6A3F0700950291EA24F0614FB6ACEDB12BF0E31D00000000010C0000950291EA24F0614FB6ACEDB12BF0E31D00002087AE620000</t>
        </is>
      </c>
      <c r="C1107" t="inlineStr">
        <is>
          <t>cmm4yupoi02tecuqwcxfb7ykc</t>
        </is>
      </c>
      <c r="D1107" t="inlineStr">
        <is>
          <t>http://localhost:8787/api/admin/requirements/documents/cmm4yupoi02tecuqwcxfb7ykc/view</t>
        </is>
      </c>
      <c r="E1107">
        <f>HYPERLÄNK("http://localhost:8787/api/admin/requirements/documents/cmm4yupoi02tecuqwcxfb7ykc/view";"Öppna PDF")</f>
        <v/>
      </c>
      <c r="F1107">
        <f>HYPERLINK("http://localhost:8787/api/admin/requirements/documents/cmm4yupoi02tecuqwcxfb7ykc/view","Open PDF")</f>
        <v/>
      </c>
      <c r="G1107" t="inlineStr">
        <is>
          <t>cmm55w57p0004cuisfrtpqly8</t>
        </is>
      </c>
      <c r="H1107" t="inlineStr">
        <is>
          <t>Informationskrav</t>
        </is>
      </c>
      <c r="I1107" t="inlineStr">
        <is>
          <t>DagvattenLakvatten</t>
        </is>
      </c>
      <c r="J1107" t="inlineStr">
        <is>
          <t>Uppsamling</t>
        </is>
      </c>
      <c r="K1107" t="inlineStr">
        <is>
          <t>Redogör för planerad verksamhet och åtgärder i tekniskt hänseende som råvaror, produktionsmetoder, produktionskapacitet/producerad mängd, kemikaliehantering, kapacitet, emissioner, reningsanläggning, driftförhållanden, energiförbrukning m.m.</t>
        </is>
      </c>
      <c r="L1107" t="inlineStr">
        <is>
          <t>Redogör för planerad verksamhet och åtgärder i tekniskt hänseende som råvaror, produktionsmetoder, produktionskapacitet/producerad mängd, kemikaliehantering, kapacitet, emissioner, reningsanläggning, driftförhållanden, energiförbrukning m.m.</t>
        </is>
      </c>
      <c r="M1107" t="inlineStr">
        <is>
          <t>SKA</t>
        </is>
      </c>
      <c r="N1107" t="inlineStr"/>
      <c r="O1107" t="inlineStr"/>
      <c r="P1107" t="inlineStr"/>
      <c r="Q1107" t="inlineStr"/>
      <c r="R1107" t="inlineStr">
        <is>
          <t>Vid nederbord och avrinning</t>
        </is>
      </c>
      <c r="S1107" t="inlineStr"/>
      <c r="T1107" t="inlineStr">
        <is>
          <t>35 30 00</t>
        </is>
      </c>
      <c r="U1107" t="inlineStr"/>
      <c r="V1107" t="inlineStr"/>
      <c r="W1107" t="inlineStr">
        <is>
          <t>Nej</t>
        </is>
      </c>
      <c r="X1107" t="inlineStr">
        <is>
          <t>Ja</t>
        </is>
      </c>
      <c r="Y1107" t="inlineStr">
        <is>
          <t>Ja</t>
        </is>
      </c>
      <c r="Z1107" t="inlineStr">
        <is>
          <t>Nej</t>
        </is>
      </c>
      <c r="AA1107" t="n">
        <v>6</v>
      </c>
      <c r="AB1107" t="inlineStr">
        <is>
          <t>Lakvattenhantering</t>
        </is>
      </c>
      <c r="AC1107" t="inlineStr">
        <is>
          <t>Flodesschema dagvatten-lakvatten</t>
        </is>
      </c>
      <c r="AD1107" t="inlineStr">
        <is>
          <t>Nej</t>
        </is>
      </c>
      <c r="AE1107" t="inlineStr">
        <is>
          <t>Nej</t>
        </is>
      </c>
      <c r="AF1107" t="inlineStr">
        <is>
          <t>Ej behandlad</t>
        </is>
      </c>
      <c r="AG1107" t="inlineStr">
        <is>
          <t>AUTO_GENERERAD. Verifiera citat mot kallfil.</t>
        </is>
      </c>
      <c r="AH1107" t="inlineStr">
        <is>
          <t>MEDIUM</t>
        </is>
      </c>
      <c r="AI1107" t="inlineStr">
        <is>
          <t>AUTO</t>
        </is>
      </c>
      <c r="AJ1107" t="inlineStr">
        <is>
          <t>Nej</t>
        </is>
      </c>
      <c r="AK1107" t="inlineStr"/>
      <c r="AL1107" t="inlineStr"/>
      <c r="AM1107" t="inlineStr"/>
      <c r="AN1107" t="inlineStr"/>
      <c r="AO1107" t="inlineStr">
        <is>
          <t>cmm4yupoi02tecuqwcxfb7ykc</t>
        </is>
      </c>
      <c r="AP1107" t="inlineStr">
        <is>
          <t>http://localhost:8787/api/admin/requirements/documents/cmm4yupoi02tecuqwcxfb7ykc/view</t>
        </is>
      </c>
      <c r="AQ1107">
        <f>HYPERLÄNK("http://localhost:8787/api/admin/requirements/documents/cmm4yupoi02tecuqwcxfb7ykc/view";"Öppna PDF")</f>
        <v/>
      </c>
      <c r="AR1107">
        <f>HYPERLINK("http://localhost:8787/api/admin/requirements/documents/cmm4yupoi02tecuqwcxfb7ykc/view","Open PDF")</f>
        <v/>
      </c>
      <c r="AS1107" t="inlineStr">
        <is>
          <t>cmm55w57p0004cuisfrtpqly8</t>
        </is>
      </c>
      <c r="AT1107" t="inlineStr">
        <is>
          <t>cmm4xvu980000cuh4vj0usz09</t>
        </is>
      </c>
      <c r="AU1107" t="inlineStr"/>
      <c r="AV1107" t="inlineStr">
        <is>
          <t>Kommun</t>
        </is>
      </c>
      <c r="AW1107" t="inlineStr"/>
      <c r="AX1107" t="inlineStr">
        <is>
          <t>2013:251</t>
        </is>
      </c>
      <c r="AY1107" t="inlineStr">
        <is>
          <t>Anmalan</t>
        </is>
      </c>
      <c r="AZ1107" t="inlineStr">
        <is>
          <t>2026-02-04</t>
        </is>
      </c>
      <c r="BA1107" t="inlineStr">
        <is>
          <t>2025-3473 8.pdf</t>
        </is>
      </c>
      <c r="BB1107" t="inlineStr">
        <is>
          <t>Sv:  Begäran om utlämnande av allmän handling – Anmälningar och beslut rörande mellanlagring av avfall samt anläggning av ytor</t>
        </is>
      </c>
      <c r="BC1107" t="inlineStr">
        <is>
          <t>AUTO</t>
        </is>
      </c>
      <c r="BD1107" t="inlineStr"/>
      <c r="BE1107" t="inlineStr"/>
      <c r="BF1107" t="inlineStr">
        <is>
          <t>AUTO_GENERERAD. Bekrafta metadata mot kallfil.</t>
        </is>
      </c>
      <c r="BG1107">
        <f>HYPERLINK("C:\Users\jimmy\Desktop\Examens arbete\Kod\Ny mapp\remix_-copy-of-miljöbeslut.se-portal\2025-3473 8.pdf", "Öppna PDF")</f>
        <v/>
      </c>
    </row>
    <row r="1108">
      <c r="A1108" t="inlineStr">
        <is>
          <t>KRAV-AUTO-001107</t>
        </is>
      </c>
      <c r="B1108" t="inlineStr">
        <is>
          <t>ADMIN-INDEX-2026-02-27-00000000125C043F57453246863FE664CAFE6A3F0700950291EA24F0614FB6ACEDB12BF0E31D00000000010C0000950291EA24F0614FB6ACEDB12BF0E31D00002087AE620000</t>
        </is>
      </c>
      <c r="C1108" t="inlineStr">
        <is>
          <t>cmm4yupog02tbcuqw2gywtdnq</t>
        </is>
      </c>
      <c r="D1108" t="inlineStr">
        <is>
          <t>http://localhost:8787/api/admin/requirements/documents/cmm4yupog02tbcuqw2gywtdnq/view</t>
        </is>
      </c>
      <c r="E1108">
        <f>HYPERLÄNK("http://localhost:8787/api/admin/requirements/documents/cmm4yupog02tbcuqw2gywtdnq/view";"Öppna PDF")</f>
        <v/>
      </c>
      <c r="F1108">
        <f>HYPERLINK("http://localhost:8787/api/admin/requirements/documents/cmm4yupog02tbcuqw2gywtdnq/view","Open PDF")</f>
        <v/>
      </c>
      <c r="G1108" t="inlineStr">
        <is>
          <t>cmm55w57p0004cuisfrtpqly8</t>
        </is>
      </c>
      <c r="H1108" t="inlineStr">
        <is>
          <t>Informationskrav</t>
        </is>
      </c>
      <c r="I1108" t="inlineStr">
        <is>
          <t>LagringsvolymTid</t>
        </is>
      </c>
      <c r="J1108" t="inlineStr">
        <is>
          <t>Maxmangd</t>
        </is>
      </c>
      <c r="K1108" t="inlineStr">
        <is>
          <t>Det har under handläggningen av ärendet framkommit att 300 stubbar motsvarar ca 75 m3 fast mått eller 300 m3 löst mått vilket innebär att de mängder som ska flisas ligger under den anmälningspliktiga nivån.</t>
        </is>
      </c>
      <c r="L1108" t="inlineStr">
        <is>
          <t>Det har under handläggningen av ärendet framkommit att 300 stubbar motsvarar ca 75 m3 fast mått eller 300 m3 löst mått vilket innebär att de mängder som ska flisas ligger under den anmälningspliktiga nivån.</t>
        </is>
      </c>
      <c r="M1108" t="inlineStr">
        <is>
          <t>SKA</t>
        </is>
      </c>
      <c r="N1108" t="inlineStr"/>
      <c r="O1108" t="inlineStr"/>
      <c r="P1108" t="inlineStr"/>
      <c r="Q1108" t="inlineStr"/>
      <c r="R1108" t="inlineStr">
        <is>
          <t>Alltid</t>
        </is>
      </c>
      <c r="S1108" t="inlineStr"/>
      <c r="T1108" t="inlineStr">
        <is>
          <t>35 30 04</t>
        </is>
      </c>
      <c r="U1108" t="inlineStr"/>
      <c r="V1108" t="inlineStr"/>
      <c r="W1108" t="inlineStr">
        <is>
          <t>Nej</t>
        </is>
      </c>
      <c r="X1108" t="inlineStr">
        <is>
          <t>Nej</t>
        </is>
      </c>
      <c r="Y1108" t="inlineStr">
        <is>
          <t>Nej</t>
        </is>
      </c>
      <c r="Z1108" t="inlineStr">
        <is>
          <t>Nej</t>
        </is>
      </c>
      <c r="AA1108" t="n">
        <v>4</v>
      </c>
      <c r="AB1108" t="inlineStr">
        <is>
          <t>Avfallsmangder och lagringstid</t>
        </is>
      </c>
      <c r="AC1108" t="inlineStr">
        <is>
          <t>Avfallsforteckning</t>
        </is>
      </c>
      <c r="AD1108" t="inlineStr">
        <is>
          <t>Nej</t>
        </is>
      </c>
      <c r="AE1108" t="inlineStr">
        <is>
          <t>Nej</t>
        </is>
      </c>
      <c r="AF1108" t="inlineStr">
        <is>
          <t>Ej behandlad</t>
        </is>
      </c>
      <c r="AG1108" t="inlineStr">
        <is>
          <t>AUTO_GENERERAD. Verifiera citat mot kallfil.</t>
        </is>
      </c>
      <c r="AH1108" t="inlineStr">
        <is>
          <t>MEDIUM</t>
        </is>
      </c>
      <c r="AI1108" t="inlineStr">
        <is>
          <t>AUTO</t>
        </is>
      </c>
      <c r="AJ1108" t="inlineStr">
        <is>
          <t>Nej</t>
        </is>
      </c>
      <c r="AK1108" t="inlineStr"/>
      <c r="AL1108" t="inlineStr"/>
      <c r="AM1108" t="inlineStr"/>
      <c r="AN1108" t="inlineStr"/>
      <c r="AO1108" t="inlineStr">
        <is>
          <t>cmm4yupoi02tecuqwcxfb7ykc</t>
        </is>
      </c>
      <c r="AP1108" t="inlineStr">
        <is>
          <t>http://localhost:8787/api/admin/requirements/documents/cmm4yupoi02tecuqwcxfb7ykc/view</t>
        </is>
      </c>
      <c r="AQ1108">
        <f>HYPERLÄNK("http://localhost:8787/api/admin/requirements/documents/cmm4yupoi02tecuqwcxfb7ykc/view";"Öppna PDF")</f>
        <v/>
      </c>
      <c r="AR1108">
        <f>HYPERLINK("http://localhost:8787/api/admin/requirements/documents/cmm4yupoi02tecuqwcxfb7ykc/view","Open PDF")</f>
        <v/>
      </c>
      <c r="AS1108" t="inlineStr">
        <is>
          <t>cmm55w57p0004cuisfrtpqly8</t>
        </is>
      </c>
      <c r="AT1108" t="inlineStr">
        <is>
          <t>cmm4xvu980000cuh4vj0usz09</t>
        </is>
      </c>
      <c r="AU1108" t="inlineStr"/>
      <c r="AV1108" t="inlineStr">
        <is>
          <t>Kommun</t>
        </is>
      </c>
      <c r="AW1108" t="inlineStr"/>
      <c r="AX1108" t="inlineStr">
        <is>
          <t>2013:251</t>
        </is>
      </c>
      <c r="AY1108" t="inlineStr">
        <is>
          <t>Anmalan</t>
        </is>
      </c>
      <c r="AZ1108" t="inlineStr">
        <is>
          <t>2026-02-04</t>
        </is>
      </c>
      <c r="BA1108" t="inlineStr">
        <is>
          <t>2025-3473 8.pdf</t>
        </is>
      </c>
      <c r="BB1108" t="inlineStr">
        <is>
          <t>Sv:  Begäran om utlämnande av allmän handling – Anmälningar och beslut rörande mellanlagring av avfall samt anläggning av ytor</t>
        </is>
      </c>
      <c r="BC1108" t="inlineStr">
        <is>
          <t>AUTO</t>
        </is>
      </c>
      <c r="BD1108" t="inlineStr"/>
      <c r="BE1108" t="inlineStr"/>
      <c r="BF1108" t="inlineStr">
        <is>
          <t>AUTO_GENERERAD. Bekrafta metadata mot kallfil.</t>
        </is>
      </c>
      <c r="BG1108">
        <f>HYPERLINK("C:\Users\jimmy\Desktop\Examens arbete\Kod\Ny mapp\remix_-copy-of-miljöbeslut.se-portal\2025-3473 8.pdf", "Öppna PDF")</f>
        <v/>
      </c>
    </row>
    <row r="1109">
      <c r="A1109" t="inlineStr">
        <is>
          <t>KRAV-AUTO-001108</t>
        </is>
      </c>
      <c r="B1109" t="inlineStr">
        <is>
          <t>ADMIN-INDEX-2026-02-27-00000000125C043F57453246863FE664CAFE6A3F0700950291EA24F0614FB6ACEDB12BF0E31D00000000010C0000950291EA24F0614FB6ACEDB12BF0E31D00002087AE620000</t>
        </is>
      </c>
      <c r="C1109" t="inlineStr">
        <is>
          <t>cmm4yupod02t8cuqw7z4ge4fe</t>
        </is>
      </c>
      <c r="D1109" t="inlineStr">
        <is>
          <t>http://localhost:8787/api/admin/requirements/documents/cmm4yupod02t8cuqw7z4ge4fe/view</t>
        </is>
      </c>
      <c r="E1109">
        <f>HYPERLÄNK("http://localhost:8787/api/admin/requirements/documents/cmm4yupod02t8cuqw7z4ge4fe/view";"Öppna PDF")</f>
        <v/>
      </c>
      <c r="F1109">
        <f>HYPERLINK("http://localhost:8787/api/admin/requirements/documents/cmm4yupod02t8cuqw7z4ge4fe/view","Open PDF")</f>
        <v/>
      </c>
      <c r="G1109" t="inlineStr">
        <is>
          <t>cmm55w57p0004cuisfrtpqly8</t>
        </is>
      </c>
      <c r="H1109" t="inlineStr">
        <is>
          <t>Informationskrav</t>
        </is>
      </c>
      <c r="I1109" t="inlineStr">
        <is>
          <t>DriftEgenkontroll</t>
        </is>
      </c>
      <c r="J1109" t="inlineStr">
        <is>
          <t>Journalforing</t>
        </is>
      </c>
      <c r="K1109" t="inlineStr">
        <is>
          <t>Provtagning kommer ske genom samlingsprov med ett intervall om 1500m³ Mottagningsdokument för karakterisering av massorna kommer kravställas på de som tippar på platsen.</t>
        </is>
      </c>
      <c r="L1109" t="inlineStr">
        <is>
          <t>Provtagning kommer ske genom samlingsprov med ett intervall om 1500m³ Mottagningsdokument för karakterisering av massorna kommer kravställas på de som tippar på platsen.</t>
        </is>
      </c>
      <c r="M1109" t="inlineStr">
        <is>
          <t>SKA</t>
        </is>
      </c>
      <c r="N1109" t="inlineStr"/>
      <c r="O1109" t="inlineStr"/>
      <c r="P1109" t="inlineStr"/>
      <c r="Q1109" t="inlineStr"/>
      <c r="R1109" t="inlineStr">
        <is>
          <t>Lopande drift</t>
        </is>
      </c>
      <c r="S1109" t="inlineStr"/>
      <c r="T1109" t="inlineStr"/>
      <c r="U1109" t="inlineStr"/>
      <c r="V1109" t="inlineStr"/>
      <c r="W1109" t="inlineStr">
        <is>
          <t>Nej</t>
        </is>
      </c>
      <c r="X1109" t="inlineStr">
        <is>
          <t>Nej</t>
        </is>
      </c>
      <c r="Y1109" t="inlineStr">
        <is>
          <t>Ja</t>
        </is>
      </c>
      <c r="Z1109" t="inlineStr">
        <is>
          <t>Nej</t>
        </is>
      </c>
      <c r="AA1109" t="n">
        <v>7</v>
      </c>
      <c r="AB1109" t="inlineStr">
        <is>
          <t>Egenkontrollrutiner</t>
        </is>
      </c>
      <c r="AC1109" t="inlineStr">
        <is>
          <t>Egenkontrollprogram</t>
        </is>
      </c>
      <c r="AD1109" t="inlineStr">
        <is>
          <t>Nej</t>
        </is>
      </c>
      <c r="AE1109" t="inlineStr">
        <is>
          <t>Nej</t>
        </is>
      </c>
      <c r="AF1109" t="inlineStr">
        <is>
          <t>Ej behandlad</t>
        </is>
      </c>
      <c r="AG1109" t="inlineStr">
        <is>
          <t>AUTO_GENERERAD. Verifiera citat mot kallfil.</t>
        </is>
      </c>
      <c r="AH1109" t="inlineStr">
        <is>
          <t>LOW</t>
        </is>
      </c>
      <c r="AI1109" t="inlineStr">
        <is>
          <t>AUTO</t>
        </is>
      </c>
      <c r="AJ1109" t="inlineStr">
        <is>
          <t>Nej</t>
        </is>
      </c>
      <c r="AK1109" t="inlineStr"/>
      <c r="AL1109" t="inlineStr"/>
      <c r="AM1109" t="inlineStr"/>
      <c r="AN1109" t="inlineStr"/>
      <c r="AO1109" t="inlineStr">
        <is>
          <t>cmm4yupoi02tecuqwcxfb7ykc</t>
        </is>
      </c>
      <c r="AP1109" t="inlineStr">
        <is>
          <t>http://localhost:8787/api/admin/requirements/documents/cmm4yupoi02tecuqwcxfb7ykc/view</t>
        </is>
      </c>
      <c r="AQ1109">
        <f>HYPERLÄNK("http://localhost:8787/api/admin/requirements/documents/cmm4yupoi02tecuqwcxfb7ykc/view";"Öppna PDF")</f>
        <v/>
      </c>
      <c r="AR1109">
        <f>HYPERLINK("http://localhost:8787/api/admin/requirements/documents/cmm4yupoi02tecuqwcxfb7ykc/view","Open PDF")</f>
        <v/>
      </c>
      <c r="AS1109" t="inlineStr">
        <is>
          <t>cmm55w57p0004cuisfrtpqly8</t>
        </is>
      </c>
      <c r="AT1109" t="inlineStr">
        <is>
          <t>cmm4xvu980000cuh4vj0usz09</t>
        </is>
      </c>
      <c r="AU1109" t="inlineStr"/>
      <c r="AV1109" t="inlineStr">
        <is>
          <t>Kommun</t>
        </is>
      </c>
      <c r="AW1109" t="inlineStr"/>
      <c r="AX1109" t="inlineStr">
        <is>
          <t>2013:251</t>
        </is>
      </c>
      <c r="AY1109" t="inlineStr">
        <is>
          <t>Anmalan</t>
        </is>
      </c>
      <c r="AZ1109" t="inlineStr">
        <is>
          <t>2026-02-04</t>
        </is>
      </c>
      <c r="BA1109" t="inlineStr">
        <is>
          <t>2025-3473 8.pdf</t>
        </is>
      </c>
      <c r="BB1109" t="inlineStr">
        <is>
          <t>Sv:  Begäran om utlämnande av allmän handling – Anmälningar och beslut rörande mellanlagring av avfall samt anläggning av ytor</t>
        </is>
      </c>
      <c r="BC1109" t="inlineStr">
        <is>
          <t>AUTO</t>
        </is>
      </c>
      <c r="BD1109" t="inlineStr"/>
      <c r="BE1109" t="inlineStr"/>
      <c r="BF1109" t="inlineStr">
        <is>
          <t>AUTO_GENERERAD. Bekrafta metadata mot kallfil.</t>
        </is>
      </c>
      <c r="BG1109">
        <f>HYPERLINK("C:\Users\jimmy\Desktop\Examens arbete\Kod\Ny mapp\remix_-copy-of-miljöbeslut.se-portal\2025-3473 8.pdf", "Öppna PDF")</f>
        <v/>
      </c>
    </row>
    <row r="1110">
      <c r="A1110" t="inlineStr">
        <is>
          <t>KRAV-AUTO-001109</t>
        </is>
      </c>
      <c r="B1110" t="inlineStr">
        <is>
          <t>ADMIN-INDEX-2026-02-27-00000000125C043F57453246863FE664CAFE6A3F0700950291EA24F0614FB6ACEDB12BF0E31D00000000010C0000950291EA24F0614FB6ACEDB12BF0E31D00002087AE620000</t>
        </is>
      </c>
      <c r="C1110" t="inlineStr">
        <is>
          <t>cmm4yupoa02t5cuqwiwkjwbj1</t>
        </is>
      </c>
      <c r="D1110" t="inlineStr">
        <is>
          <t>http://localhost:8787/api/admin/requirements/documents/cmm4yupoa02t5cuqwiwkjwbj1/view</t>
        </is>
      </c>
      <c r="E1110">
        <f>HYPERLÄNK("http://localhost:8787/api/admin/requirements/documents/cmm4yupoa02t5cuqwiwkjwbj1/view";"Öppna PDF")</f>
        <v/>
      </c>
      <c r="F1110">
        <f>HYPERLINK("http://localhost:8787/api/admin/requirements/documents/cmm4yupoa02t5cuqwiwkjwbj1/view","Open PDF")</f>
        <v/>
      </c>
      <c r="G1110" t="inlineStr">
        <is>
          <t>cmm55w57p0004cuisfrtpqly8</t>
        </is>
      </c>
      <c r="H1110" t="inlineStr">
        <is>
          <t>Informationskrav</t>
        </is>
      </c>
      <c r="I1110" t="inlineStr">
        <is>
          <t>DagvattenLakvatten</t>
        </is>
      </c>
      <c r="J1110" t="inlineStr">
        <is>
          <t>Uppsamling</t>
        </is>
      </c>
      <c r="K1110" t="inlineStr">
        <is>
          <t>Vatten: Vad gäller vatten och avlopp bör uppdelning ske på processvatten, sanitärt vatten och dagvatten.</t>
        </is>
      </c>
      <c r="L1110" t="inlineStr">
        <is>
          <t>Vatten: Vad gäller vatten och avlopp bör uppdelning ske på processvatten, sanitärt vatten och dagvatten.</t>
        </is>
      </c>
      <c r="M1110" t="inlineStr">
        <is>
          <t>BOR</t>
        </is>
      </c>
      <c r="N1110" t="inlineStr"/>
      <c r="O1110" t="inlineStr"/>
      <c r="P1110" t="inlineStr"/>
      <c r="Q1110" t="inlineStr"/>
      <c r="R1110" t="inlineStr">
        <is>
          <t>Vid nederbord och avrinning</t>
        </is>
      </c>
      <c r="S1110" t="inlineStr"/>
      <c r="T1110" t="inlineStr">
        <is>
          <t>22 23 72</t>
        </is>
      </c>
      <c r="U1110" t="inlineStr"/>
      <c r="V1110" t="inlineStr"/>
      <c r="W1110" t="inlineStr">
        <is>
          <t>Nej</t>
        </is>
      </c>
      <c r="X1110" t="inlineStr">
        <is>
          <t>Ja</t>
        </is>
      </c>
      <c r="Y1110" t="inlineStr">
        <is>
          <t>Ja</t>
        </is>
      </c>
      <c r="Z1110" t="inlineStr">
        <is>
          <t>Nej</t>
        </is>
      </c>
      <c r="AA1110" t="n">
        <v>6</v>
      </c>
      <c r="AB1110" t="inlineStr">
        <is>
          <t>Lakvattenhantering</t>
        </is>
      </c>
      <c r="AC1110" t="inlineStr">
        <is>
          <t>Flodesschema dagvatten-lakvatten</t>
        </is>
      </c>
      <c r="AD1110" t="inlineStr">
        <is>
          <t>Nej</t>
        </is>
      </c>
      <c r="AE1110" t="inlineStr">
        <is>
          <t>Nej</t>
        </is>
      </c>
      <c r="AF1110" t="inlineStr">
        <is>
          <t>Ej behandlad</t>
        </is>
      </c>
      <c r="AG1110" t="inlineStr">
        <is>
          <t>AUTO_GENERERAD. Verifiera citat mot kallfil.</t>
        </is>
      </c>
      <c r="AH1110" t="inlineStr">
        <is>
          <t>MEDIUM</t>
        </is>
      </c>
      <c r="AI1110" t="inlineStr">
        <is>
          <t>AUTO</t>
        </is>
      </c>
      <c r="AJ1110" t="inlineStr">
        <is>
          <t>Nej</t>
        </is>
      </c>
      <c r="AK1110" t="inlineStr"/>
      <c r="AL1110" t="inlineStr"/>
      <c r="AM1110" t="inlineStr"/>
      <c r="AN1110" t="inlineStr"/>
      <c r="AO1110" t="inlineStr">
        <is>
          <t>cmm4yupoi02tecuqwcxfb7ykc</t>
        </is>
      </c>
      <c r="AP1110" t="inlineStr">
        <is>
          <t>http://localhost:8787/api/admin/requirements/documents/cmm4yupoi02tecuqwcxfb7ykc/view</t>
        </is>
      </c>
      <c r="AQ1110">
        <f>HYPERLÄNK("http://localhost:8787/api/admin/requirements/documents/cmm4yupoi02tecuqwcxfb7ykc/view";"Öppna PDF")</f>
        <v/>
      </c>
      <c r="AR1110">
        <f>HYPERLINK("http://localhost:8787/api/admin/requirements/documents/cmm4yupoi02tecuqwcxfb7ykc/view","Open PDF")</f>
        <v/>
      </c>
      <c r="AS1110" t="inlineStr">
        <is>
          <t>cmm55w57p0004cuisfrtpqly8</t>
        </is>
      </c>
      <c r="AT1110" t="inlineStr">
        <is>
          <t>cmm4xvu980000cuh4vj0usz09</t>
        </is>
      </c>
      <c r="AU1110" t="inlineStr"/>
      <c r="AV1110" t="inlineStr">
        <is>
          <t>Kommun</t>
        </is>
      </c>
      <c r="AW1110" t="inlineStr"/>
      <c r="AX1110" t="inlineStr">
        <is>
          <t>2013:251</t>
        </is>
      </c>
      <c r="AY1110" t="inlineStr">
        <is>
          <t>Anmalan</t>
        </is>
      </c>
      <c r="AZ1110" t="inlineStr">
        <is>
          <t>2026-02-04</t>
        </is>
      </c>
      <c r="BA1110" t="inlineStr">
        <is>
          <t>2025-3473 8.pdf</t>
        </is>
      </c>
      <c r="BB1110" t="inlineStr">
        <is>
          <t>Sv:  Begäran om utlämnande av allmän handling – Anmälningar och beslut rörande mellanlagring av avfall samt anläggning av ytor</t>
        </is>
      </c>
      <c r="BC1110" t="inlineStr">
        <is>
          <t>AUTO</t>
        </is>
      </c>
      <c r="BD1110" t="inlineStr"/>
      <c r="BE1110" t="inlineStr"/>
      <c r="BF1110" t="inlineStr">
        <is>
          <t>AUTO_GENERERAD. Bekrafta metadata mot kallfil.</t>
        </is>
      </c>
      <c r="BG1110">
        <f>HYPERLINK("C:\Users\jimmy\Desktop\Examens arbete\Kod\Ny mapp\remix_-copy-of-miljöbeslut.se-portal\2025-3473 8.pdf", "Öppna PDF")</f>
        <v/>
      </c>
    </row>
    <row r="1111">
      <c r="A1111" t="inlineStr">
        <is>
          <t>KRAV-AUTO-001110</t>
        </is>
      </c>
      <c r="B1111" t="inlineStr">
        <is>
          <t>ADMIN-INDEX-2026-02-27-00000000125C043F57453246863FE664CAFE6A3F0700950291EA24F0614FB6ACEDB12BF0E31D00000000010C0000950291EA24F0614FB6ACEDB12BF0E31D00002087AE620000</t>
        </is>
      </c>
      <c r="C1111" t="inlineStr">
        <is>
          <t>cmm4yupoa02t5cuqwiwkjwbj1</t>
        </is>
      </c>
      <c r="D1111" t="inlineStr">
        <is>
          <t>http://localhost:8787/api/admin/requirements/documents/cmm4yupoa02t5cuqwiwkjwbj1/view</t>
        </is>
      </c>
      <c r="E1111">
        <f>HYPERLÄNK("http://localhost:8787/api/admin/requirements/documents/cmm4yupoa02t5cuqwiwkjwbj1/view";"Öppna PDF")</f>
        <v/>
      </c>
      <c r="F1111">
        <f>HYPERLINK("http://localhost:8787/api/admin/requirements/documents/cmm4yupoa02t5cuqwiwkjwbj1/view","Open PDF")</f>
        <v/>
      </c>
      <c r="G1111" t="inlineStr">
        <is>
          <t>cmm55w57p0004cuisfrtpqly8</t>
        </is>
      </c>
      <c r="H1111" t="inlineStr">
        <is>
          <t>Informationskrav</t>
        </is>
      </c>
      <c r="I1111" t="inlineStr">
        <is>
          <t>LokaliseringPlats</t>
        </is>
      </c>
      <c r="J1111" t="inlineStr">
        <is>
          <t>Skyddsobjekt</t>
        </is>
      </c>
      <c r="K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111" t="inlineStr">
        <is>
          <t>SKA</t>
        </is>
      </c>
      <c r="N1111" t="inlineStr"/>
      <c r="O1111" t="inlineStr"/>
      <c r="P1111" t="inlineStr">
        <is>
          <t>Arlig</t>
        </is>
      </c>
      <c r="Q1111" t="inlineStr"/>
      <c r="R1111" t="inlineStr">
        <is>
          <t>Fore beslut</t>
        </is>
      </c>
      <c r="S1111" t="inlineStr"/>
      <c r="T1111" t="inlineStr">
        <is>
          <t>22 23 72</t>
        </is>
      </c>
      <c r="U1111" t="inlineStr"/>
      <c r="V1111" t="inlineStr"/>
      <c r="W1111" t="inlineStr">
        <is>
          <t>Nej</t>
        </is>
      </c>
      <c r="X1111" t="inlineStr">
        <is>
          <t>Nej</t>
        </is>
      </c>
      <c r="Y1111" t="inlineStr">
        <is>
          <t>Nej</t>
        </is>
      </c>
      <c r="Z1111" t="inlineStr">
        <is>
          <t>Nej</t>
        </is>
      </c>
      <c r="AA1111" t="n">
        <v>3</v>
      </c>
      <c r="AB1111" t="inlineStr">
        <is>
          <t>Platsforutsattningar</t>
        </is>
      </c>
      <c r="AC1111" t="inlineStr">
        <is>
          <t>Situationsplan</t>
        </is>
      </c>
      <c r="AD1111" t="inlineStr">
        <is>
          <t>Nej</t>
        </is>
      </c>
      <c r="AE1111" t="inlineStr">
        <is>
          <t>Nej</t>
        </is>
      </c>
      <c r="AF1111" t="inlineStr">
        <is>
          <t>Ej behandlad</t>
        </is>
      </c>
      <c r="AG1111" t="inlineStr">
        <is>
          <t>AUTO_GENERERAD. Verifiera citat mot kallfil.</t>
        </is>
      </c>
      <c r="AH1111" t="inlineStr">
        <is>
          <t>MEDIUM</t>
        </is>
      </c>
      <c r="AI1111" t="inlineStr">
        <is>
          <t>AUTO</t>
        </is>
      </c>
      <c r="AJ1111" t="inlineStr">
        <is>
          <t>Nej</t>
        </is>
      </c>
      <c r="AK1111" t="inlineStr"/>
      <c r="AL1111" t="inlineStr"/>
      <c r="AM1111" t="inlineStr"/>
      <c r="AN1111" t="inlineStr"/>
      <c r="AO1111" t="inlineStr">
        <is>
          <t>cmm4yupoi02tecuqwcxfb7ykc</t>
        </is>
      </c>
      <c r="AP1111" t="inlineStr">
        <is>
          <t>http://localhost:8787/api/admin/requirements/documents/cmm4yupoi02tecuqwcxfb7ykc/view</t>
        </is>
      </c>
      <c r="AQ1111">
        <f>HYPERLÄNK("http://localhost:8787/api/admin/requirements/documents/cmm4yupoi02tecuqwcxfb7ykc/view";"Öppna PDF")</f>
        <v/>
      </c>
      <c r="AR1111">
        <f>HYPERLINK("http://localhost:8787/api/admin/requirements/documents/cmm4yupoi02tecuqwcxfb7ykc/view","Open PDF")</f>
        <v/>
      </c>
      <c r="AS1111" t="inlineStr">
        <is>
          <t>cmm55w57p0004cuisfrtpqly8</t>
        </is>
      </c>
      <c r="AT1111" t="inlineStr">
        <is>
          <t>cmm4xvu980000cuh4vj0usz09</t>
        </is>
      </c>
      <c r="AU1111" t="inlineStr"/>
      <c r="AV1111" t="inlineStr">
        <is>
          <t>Kommun</t>
        </is>
      </c>
      <c r="AW1111" t="inlineStr"/>
      <c r="AX1111" t="inlineStr">
        <is>
          <t>2013:251</t>
        </is>
      </c>
      <c r="AY1111" t="inlineStr">
        <is>
          <t>Anmalan</t>
        </is>
      </c>
      <c r="AZ1111" t="inlineStr">
        <is>
          <t>2026-02-04</t>
        </is>
      </c>
      <c r="BA1111" t="inlineStr">
        <is>
          <t>2025-3473 8.pdf</t>
        </is>
      </c>
      <c r="BB1111" t="inlineStr">
        <is>
          <t>Sv:  Begäran om utlämnande av allmän handling – Anmälningar och beslut rörande mellanlagring av avfall samt anläggning av ytor</t>
        </is>
      </c>
      <c r="BC1111" t="inlineStr">
        <is>
          <t>AUTO</t>
        </is>
      </c>
      <c r="BD1111" t="inlineStr"/>
      <c r="BE1111" t="inlineStr"/>
      <c r="BF1111" t="inlineStr">
        <is>
          <t>AUTO_GENERERAD. Bekrafta metadata mot kallfil.</t>
        </is>
      </c>
      <c r="BG1111">
        <f>HYPERLINK("C:\Users\jimmy\Desktop\Examens arbete\Kod\Ny mapp\remix_-copy-of-miljöbeslut.se-portal\2025-3473 8.pdf", "Öppna PDF")</f>
        <v/>
      </c>
    </row>
    <row r="1112">
      <c r="A1112" t="inlineStr">
        <is>
          <t>KRAV-AUTO-001111</t>
        </is>
      </c>
      <c r="B1112" t="inlineStr">
        <is>
          <t>ADMIN-INDEX-2026-02-27-00000000125C043F57453246863FE664CAFE6A3F0700950291EA24F0614FB6ACEDB12BF0E31D00000000010C0000950291EA24F0614FB6ACEDB12BF0E31D00002087AE620000</t>
        </is>
      </c>
      <c r="C1112" t="inlineStr">
        <is>
          <t>cmm4yupoa02t5cuqwiwkjwbj1</t>
        </is>
      </c>
      <c r="D1112" t="inlineStr">
        <is>
          <t>http://localhost:8787/api/admin/requirements/documents/cmm4yupoa02t5cuqwiwkjwbj1/view</t>
        </is>
      </c>
      <c r="E1112">
        <f>HYPERLÄNK("http://localhost:8787/api/admin/requirements/documents/cmm4yupoa02t5cuqwiwkjwbj1/view";"Öppna PDF")</f>
        <v/>
      </c>
      <c r="F1112">
        <f>HYPERLINK("http://localhost:8787/api/admin/requirements/documents/cmm4yupoa02t5cuqwiwkjwbj1/view","Open PDF")</f>
        <v/>
      </c>
      <c r="G1112" t="inlineStr">
        <is>
          <t>cmm55w57p0004cuisfrtpqly8</t>
        </is>
      </c>
      <c r="H1112" t="inlineStr">
        <is>
          <t>Informationskrav</t>
        </is>
      </c>
      <c r="I1112" t="inlineStr">
        <is>
          <t>DagvattenLakvatten</t>
        </is>
      </c>
      <c r="J1112" t="inlineStr">
        <is>
          <t>Uppsamling</t>
        </is>
      </c>
      <c r="K1112" t="inlineStr">
        <is>
          <t>Redogör för planerad verksamhet och åtgärder i tekniskt hänseende som råvaror, produktionsmetoder, produktionskapacitet/producerad mängd, kemikaliehantering, kapacitet, emissioner, reningsanläggning, driftförhållanden, energiförbrukning m.m.</t>
        </is>
      </c>
      <c r="L1112" t="inlineStr">
        <is>
          <t>Redogör för planerad verksamhet och åtgärder i tekniskt hänseende som råvaror, produktionsmetoder, produktionskapacitet/producerad mängd, kemikaliehantering, kapacitet, emissioner, reningsanläggning, driftförhållanden, energiförbrukning m.m.</t>
        </is>
      </c>
      <c r="M1112" t="inlineStr">
        <is>
          <t>SKA</t>
        </is>
      </c>
      <c r="N1112" t="inlineStr"/>
      <c r="O1112" t="inlineStr"/>
      <c r="P1112" t="inlineStr"/>
      <c r="Q1112" t="inlineStr"/>
      <c r="R1112" t="inlineStr">
        <is>
          <t>Vid nederbord och avrinning</t>
        </is>
      </c>
      <c r="S1112" t="inlineStr"/>
      <c r="T1112" t="inlineStr">
        <is>
          <t>22 23 72</t>
        </is>
      </c>
      <c r="U1112" t="inlineStr"/>
      <c r="V1112" t="inlineStr"/>
      <c r="W1112" t="inlineStr">
        <is>
          <t>Nej</t>
        </is>
      </c>
      <c r="X1112" t="inlineStr">
        <is>
          <t>Ja</t>
        </is>
      </c>
      <c r="Y1112" t="inlineStr">
        <is>
          <t>Ja</t>
        </is>
      </c>
      <c r="Z1112" t="inlineStr">
        <is>
          <t>Nej</t>
        </is>
      </c>
      <c r="AA1112" t="n">
        <v>6</v>
      </c>
      <c r="AB1112" t="inlineStr">
        <is>
          <t>Lakvattenhantering</t>
        </is>
      </c>
      <c r="AC1112" t="inlineStr">
        <is>
          <t>Flodesschema dagvatten-lakvatten</t>
        </is>
      </c>
      <c r="AD1112" t="inlineStr">
        <is>
          <t>Nej</t>
        </is>
      </c>
      <c r="AE1112" t="inlineStr">
        <is>
          <t>Nej</t>
        </is>
      </c>
      <c r="AF1112" t="inlineStr">
        <is>
          <t>Ej behandlad</t>
        </is>
      </c>
      <c r="AG1112" t="inlineStr">
        <is>
          <t>AUTO_GENERERAD. Verifiera citat mot kallfil.</t>
        </is>
      </c>
      <c r="AH1112" t="inlineStr">
        <is>
          <t>MEDIUM</t>
        </is>
      </c>
      <c r="AI1112" t="inlineStr">
        <is>
          <t>AUTO</t>
        </is>
      </c>
      <c r="AJ1112" t="inlineStr">
        <is>
          <t>Nej</t>
        </is>
      </c>
      <c r="AK1112" t="inlineStr"/>
      <c r="AL1112" t="inlineStr"/>
      <c r="AM1112" t="inlineStr"/>
      <c r="AN1112" t="inlineStr"/>
      <c r="AO1112" t="inlineStr">
        <is>
          <t>cmm4yupoi02tecuqwcxfb7ykc</t>
        </is>
      </c>
      <c r="AP1112" t="inlineStr">
        <is>
          <t>http://localhost:8787/api/admin/requirements/documents/cmm4yupoi02tecuqwcxfb7ykc/view</t>
        </is>
      </c>
      <c r="AQ1112">
        <f>HYPERLÄNK("http://localhost:8787/api/admin/requirements/documents/cmm4yupoi02tecuqwcxfb7ykc/view";"Öppna PDF")</f>
        <v/>
      </c>
      <c r="AR1112">
        <f>HYPERLINK("http://localhost:8787/api/admin/requirements/documents/cmm4yupoi02tecuqwcxfb7ykc/view","Open PDF")</f>
        <v/>
      </c>
      <c r="AS1112" t="inlineStr">
        <is>
          <t>cmm55w57p0004cuisfrtpqly8</t>
        </is>
      </c>
      <c r="AT1112" t="inlineStr">
        <is>
          <t>cmm4xvu980000cuh4vj0usz09</t>
        </is>
      </c>
      <c r="AU1112" t="inlineStr"/>
      <c r="AV1112" t="inlineStr">
        <is>
          <t>Kommun</t>
        </is>
      </c>
      <c r="AW1112" t="inlineStr"/>
      <c r="AX1112" t="inlineStr">
        <is>
          <t>2013:251</t>
        </is>
      </c>
      <c r="AY1112" t="inlineStr">
        <is>
          <t>Anmalan</t>
        </is>
      </c>
      <c r="AZ1112" t="inlineStr">
        <is>
          <t>2026-02-04</t>
        </is>
      </c>
      <c r="BA1112" t="inlineStr">
        <is>
          <t>2025-3473 8.pdf</t>
        </is>
      </c>
      <c r="BB1112" t="inlineStr">
        <is>
          <t>Sv:  Begäran om utlämnande av allmän handling – Anmälningar och beslut rörande mellanlagring av avfall samt anläggning av ytor</t>
        </is>
      </c>
      <c r="BC1112" t="inlineStr">
        <is>
          <t>AUTO</t>
        </is>
      </c>
      <c r="BD1112" t="inlineStr"/>
      <c r="BE1112" t="inlineStr"/>
      <c r="BF1112" t="inlineStr">
        <is>
          <t>AUTO_GENERERAD. Bekrafta metadata mot kallfil.</t>
        </is>
      </c>
      <c r="BG1112">
        <f>HYPERLINK("C:\Users\jimmy\Desktop\Examens arbete\Kod\Ny mapp\remix_-copy-of-miljöbeslut.se-portal\2025-3473 8.pdf", "Öppna PDF")</f>
        <v/>
      </c>
    </row>
    <row r="1113">
      <c r="A1113" t="inlineStr">
        <is>
          <t>KRAV-AUTO-001112</t>
        </is>
      </c>
      <c r="B1113" t="inlineStr">
        <is>
          <t>ADMIN-INDEX-2026-02-27-00000000125C043F57453246863FE664CAFE6A3F0700950291EA24F0614FB6ACEDB12BF0E31D00000000010C0000950291EA24F0614FB6ACEDB12BF0E31D00002087AE620000</t>
        </is>
      </c>
      <c r="C1113" t="inlineStr">
        <is>
          <t>cmm4yupo702t2cuqwxl3b83ul</t>
        </is>
      </c>
      <c r="D1113" t="inlineStr">
        <is>
          <t>http://localhost:8787/api/admin/requirements/documents/cmm4yupo702t2cuqwxl3b83ul/view</t>
        </is>
      </c>
      <c r="E1113">
        <f>HYPERLÄNK("http://localhost:8787/api/admin/requirements/documents/cmm4yupo702t2cuqwxl3b83ul/view";"Öppna PDF")</f>
        <v/>
      </c>
      <c r="F1113">
        <f>HYPERLINK("http://localhost:8787/api/admin/requirements/documents/cmm4yupo702t2cuqwxl3b83ul/view","Open PDF")</f>
        <v/>
      </c>
      <c r="G1113" t="inlineStr">
        <is>
          <t>cmm55w57p0004cuisfrtpqly8</t>
        </is>
      </c>
      <c r="H1113" t="inlineStr">
        <is>
          <t>Informationskrav</t>
        </is>
      </c>
      <c r="I1113" t="inlineStr">
        <is>
          <t>DagvattenLakvatten</t>
        </is>
      </c>
      <c r="J1113" t="inlineStr">
        <is>
          <t>Uppsamling</t>
        </is>
      </c>
      <c r="K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113" t="inlineStr">
        <is>
          <t>SKA</t>
        </is>
      </c>
      <c r="N1113" t="inlineStr"/>
      <c r="O1113" t="inlineStr"/>
      <c r="P1113" t="inlineStr"/>
      <c r="Q1113" t="inlineStr"/>
      <c r="R1113" t="inlineStr">
        <is>
          <t>Vid nederbord och avrinning</t>
        </is>
      </c>
      <c r="S1113" t="inlineStr"/>
      <c r="T1113" t="inlineStr">
        <is>
          <t>556173</t>
        </is>
      </c>
      <c r="U1113" t="inlineStr"/>
      <c r="V1113" t="inlineStr"/>
      <c r="W1113" t="inlineStr">
        <is>
          <t>Nej</t>
        </is>
      </c>
      <c r="X1113" t="inlineStr">
        <is>
          <t>Ja</t>
        </is>
      </c>
      <c r="Y1113" t="inlineStr">
        <is>
          <t>Ja</t>
        </is>
      </c>
      <c r="Z1113" t="inlineStr">
        <is>
          <t>Nej</t>
        </is>
      </c>
      <c r="AA1113" t="n">
        <v>6</v>
      </c>
      <c r="AB1113" t="inlineStr">
        <is>
          <t>Lakvattenhantering</t>
        </is>
      </c>
      <c r="AC1113" t="inlineStr">
        <is>
          <t>Flodesschema dagvatten-lakvatten</t>
        </is>
      </c>
      <c r="AD1113" t="inlineStr">
        <is>
          <t>Nej</t>
        </is>
      </c>
      <c r="AE1113" t="inlineStr">
        <is>
          <t>Nej</t>
        </is>
      </c>
      <c r="AF1113" t="inlineStr">
        <is>
          <t>Ej behandlad</t>
        </is>
      </c>
      <c r="AG1113" t="inlineStr">
        <is>
          <t>AUTO_GENERERAD. Verifiera citat mot kallfil.</t>
        </is>
      </c>
      <c r="AH1113" t="inlineStr">
        <is>
          <t>MEDIUM</t>
        </is>
      </c>
      <c r="AI1113" t="inlineStr">
        <is>
          <t>AUTO</t>
        </is>
      </c>
      <c r="AJ1113" t="inlineStr">
        <is>
          <t>Nej</t>
        </is>
      </c>
      <c r="AK1113" t="inlineStr"/>
      <c r="AL1113" t="inlineStr"/>
      <c r="AM1113" t="inlineStr"/>
      <c r="AN1113" t="inlineStr"/>
      <c r="AO1113" t="inlineStr">
        <is>
          <t>cmm4yupoi02tecuqwcxfb7ykc</t>
        </is>
      </c>
      <c r="AP1113" t="inlineStr">
        <is>
          <t>http://localhost:8787/api/admin/requirements/documents/cmm4yupoi02tecuqwcxfb7ykc/view</t>
        </is>
      </c>
      <c r="AQ1113">
        <f>HYPERLÄNK("http://localhost:8787/api/admin/requirements/documents/cmm4yupoi02tecuqwcxfb7ykc/view";"Öppna PDF")</f>
        <v/>
      </c>
      <c r="AR1113">
        <f>HYPERLINK("http://localhost:8787/api/admin/requirements/documents/cmm4yupoi02tecuqwcxfb7ykc/view","Open PDF")</f>
        <v/>
      </c>
      <c r="AS1113" t="inlineStr">
        <is>
          <t>cmm55w57p0004cuisfrtpqly8</t>
        </is>
      </c>
      <c r="AT1113" t="inlineStr">
        <is>
          <t>cmm4xvu980000cuh4vj0usz09</t>
        </is>
      </c>
      <c r="AU1113" t="inlineStr"/>
      <c r="AV1113" t="inlineStr">
        <is>
          <t>Kommun</t>
        </is>
      </c>
      <c r="AW1113" t="inlineStr"/>
      <c r="AX1113" t="inlineStr">
        <is>
          <t>2013:251</t>
        </is>
      </c>
      <c r="AY1113" t="inlineStr">
        <is>
          <t>Anmalan</t>
        </is>
      </c>
      <c r="AZ1113" t="inlineStr">
        <is>
          <t>2026-02-04</t>
        </is>
      </c>
      <c r="BA1113" t="inlineStr">
        <is>
          <t>2025-3473 8.pdf</t>
        </is>
      </c>
      <c r="BB1113" t="inlineStr">
        <is>
          <t>Sv:  Begäran om utlämnande av allmän handling – Anmälningar och beslut rörande mellanlagring av avfall samt anläggning av ytor</t>
        </is>
      </c>
      <c r="BC1113" t="inlineStr">
        <is>
          <t>AUTO</t>
        </is>
      </c>
      <c r="BD1113" t="inlineStr"/>
      <c r="BE1113" t="inlineStr"/>
      <c r="BF1113" t="inlineStr">
        <is>
          <t>AUTO_GENERERAD. Bekrafta metadata mot kallfil.</t>
        </is>
      </c>
      <c r="BG1113">
        <f>HYPERLINK("C:\Users\jimmy\Desktop\Examens arbete\Kod\Ny mapp\remix_-copy-of-miljöbeslut.se-portal\2025-3473 8.pdf", "Öppna PDF")</f>
        <v/>
      </c>
    </row>
    <row r="1114">
      <c r="A1114" t="inlineStr">
        <is>
          <t>KRAV-AUTO-001113</t>
        </is>
      </c>
      <c r="B1114" t="inlineStr">
        <is>
          <t>ADMIN-INDEX-2026-02-27-00000000125C043F57453246863FE664CAFE6A3F0700950291EA24F0614FB6ACEDB12BF0E31D00000000010C0000950291EA24F0614FB6ACEDB12BF0E31D00002087AE620000</t>
        </is>
      </c>
      <c r="C1114" t="inlineStr">
        <is>
          <t>cmm4yupo702t2cuqwxl3b83ul</t>
        </is>
      </c>
      <c r="D1114" t="inlineStr">
        <is>
          <t>http://localhost:8787/api/admin/requirements/documents/cmm4yupo702t2cuqwxl3b83ul/view</t>
        </is>
      </c>
      <c r="E1114">
        <f>HYPERLÄNK("http://localhost:8787/api/admin/requirements/documents/cmm4yupo702t2cuqwxl3b83ul/view";"Öppna PDF")</f>
        <v/>
      </c>
      <c r="F1114">
        <f>HYPERLINK("http://localhost:8787/api/admin/requirements/documents/cmm4yupo702t2cuqwxl3b83ul/view","Open PDF")</f>
        <v/>
      </c>
      <c r="G1114" t="inlineStr">
        <is>
          <t>cmm55w57p0004cuisfrtpqly8</t>
        </is>
      </c>
      <c r="H1114" t="inlineStr">
        <is>
          <t>Informationskrav</t>
        </is>
      </c>
      <c r="I1114" t="inlineStr">
        <is>
          <t>Ytkonstruktion</t>
        </is>
      </c>
      <c r="J1114" t="inlineStr">
        <is>
          <t>Tat yta</t>
        </is>
      </c>
      <c r="K1114" t="inlineStr">
        <is>
          <t>Det farliga avfallet kommer att sorteras och förvaras i separata täta och invallade behållare med nederbördsskydd.</t>
        </is>
      </c>
      <c r="L1114" t="inlineStr">
        <is>
          <t>Det farliga avfallet kommer att sorteras och förvaras i separata täta och invallade behållare med nederbördsskydd.</t>
        </is>
      </c>
      <c r="M1114" t="inlineStr">
        <is>
          <t>BOR</t>
        </is>
      </c>
      <c r="N1114" t="inlineStr"/>
      <c r="O1114" t="inlineStr"/>
      <c r="P1114" t="inlineStr">
        <is>
          <t>Arlig</t>
        </is>
      </c>
      <c r="Q1114" t="inlineStr"/>
      <c r="R1114" t="inlineStr">
        <is>
          <t>Vid mellanlagring av avfall</t>
        </is>
      </c>
      <c r="S1114" t="inlineStr"/>
      <c r="T1114" t="inlineStr">
        <is>
          <t>556173</t>
        </is>
      </c>
      <c r="U1114" t="inlineStr"/>
      <c r="V1114" t="inlineStr"/>
      <c r="W1114" t="inlineStr">
        <is>
          <t>Ja</t>
        </is>
      </c>
      <c r="X1114" t="inlineStr">
        <is>
          <t>Nej</t>
        </is>
      </c>
      <c r="Y1114" t="inlineStr">
        <is>
          <t>Nej</t>
        </is>
      </c>
      <c r="Z1114" t="inlineStr">
        <is>
          <t>Nej</t>
        </is>
      </c>
      <c r="AA1114" t="n">
        <v>5</v>
      </c>
      <c r="AB1114" t="inlineStr">
        <is>
          <t>Teknisk beskrivning av platta</t>
        </is>
      </c>
      <c r="AC1114" t="inlineStr">
        <is>
          <t>Teknisk ritning platta</t>
        </is>
      </c>
      <c r="AD1114" t="inlineStr">
        <is>
          <t>Nej</t>
        </is>
      </c>
      <c r="AE1114" t="inlineStr">
        <is>
          <t>Nej</t>
        </is>
      </c>
      <c r="AF1114" t="inlineStr">
        <is>
          <t>Ej behandlad</t>
        </is>
      </c>
      <c r="AG1114" t="inlineStr">
        <is>
          <t>AUTO_GENERERAD. Verifiera citat mot kallfil.</t>
        </is>
      </c>
      <c r="AH1114" t="inlineStr">
        <is>
          <t>MEDIUM</t>
        </is>
      </c>
      <c r="AI1114" t="inlineStr">
        <is>
          <t>AUTO</t>
        </is>
      </c>
      <c r="AJ1114" t="inlineStr">
        <is>
          <t>Nej</t>
        </is>
      </c>
      <c r="AK1114" t="inlineStr"/>
      <c r="AL1114" t="inlineStr"/>
      <c r="AM1114" t="inlineStr"/>
      <c r="AN1114" t="inlineStr"/>
      <c r="AO1114" t="inlineStr">
        <is>
          <t>cmm4yupoi02tecuqwcxfb7ykc</t>
        </is>
      </c>
      <c r="AP1114" t="inlineStr">
        <is>
          <t>http://localhost:8787/api/admin/requirements/documents/cmm4yupoi02tecuqwcxfb7ykc/view</t>
        </is>
      </c>
      <c r="AQ1114">
        <f>HYPERLÄNK("http://localhost:8787/api/admin/requirements/documents/cmm4yupoi02tecuqwcxfb7ykc/view";"Öppna PDF")</f>
        <v/>
      </c>
      <c r="AR1114">
        <f>HYPERLINK("http://localhost:8787/api/admin/requirements/documents/cmm4yupoi02tecuqwcxfb7ykc/view","Open PDF")</f>
        <v/>
      </c>
      <c r="AS1114" t="inlineStr">
        <is>
          <t>cmm55w57p0004cuisfrtpqly8</t>
        </is>
      </c>
      <c r="AT1114" t="inlineStr">
        <is>
          <t>cmm4xvu980000cuh4vj0usz09</t>
        </is>
      </c>
      <c r="AU1114" t="inlineStr"/>
      <c r="AV1114" t="inlineStr">
        <is>
          <t>Kommun</t>
        </is>
      </c>
      <c r="AW1114" t="inlineStr"/>
      <c r="AX1114" t="inlineStr">
        <is>
          <t>2013:251</t>
        </is>
      </c>
      <c r="AY1114" t="inlineStr">
        <is>
          <t>Anmalan</t>
        </is>
      </c>
      <c r="AZ1114" t="inlineStr">
        <is>
          <t>2026-02-04</t>
        </is>
      </c>
      <c r="BA1114" t="inlineStr">
        <is>
          <t>2025-3473 8.pdf</t>
        </is>
      </c>
      <c r="BB1114" t="inlineStr">
        <is>
          <t>Sv:  Begäran om utlämnande av allmän handling – Anmälningar och beslut rörande mellanlagring av avfall samt anläggning av ytor</t>
        </is>
      </c>
      <c r="BC1114" t="inlineStr">
        <is>
          <t>AUTO</t>
        </is>
      </c>
      <c r="BD1114" t="inlineStr"/>
      <c r="BE1114" t="inlineStr"/>
      <c r="BF1114" t="inlineStr">
        <is>
          <t>AUTO_GENERERAD. Bekrafta metadata mot kallfil.</t>
        </is>
      </c>
      <c r="BG1114">
        <f>HYPERLINK("C:\Users\jimmy\Desktop\Examens arbete\Kod\Ny mapp\remix_-copy-of-miljöbeslut.se-portal\2025-3473 8.pdf", "Öppna PDF")</f>
        <v/>
      </c>
    </row>
    <row r="1115">
      <c r="A1115" t="inlineStr">
        <is>
          <t>KRAV-AUTO-001114</t>
        </is>
      </c>
      <c r="B1115" t="inlineStr">
        <is>
          <t>ADMIN-INDEX-2026-02-27-00000000125C043F57453246863FE664CAFE6A3F0700950291EA24F0614FB6ACEDB12BF0E31D00000000010C0000950291EA24F0614FB6ACEDB12BF0E31D00002087AE620000</t>
        </is>
      </c>
      <c r="C1115" t="inlineStr">
        <is>
          <t>cmm4yupo702t2cuqwxl3b83ul</t>
        </is>
      </c>
      <c r="D1115" t="inlineStr">
        <is>
          <t>http://localhost:8787/api/admin/requirements/documents/cmm4yupo702t2cuqwxl3b83ul/view</t>
        </is>
      </c>
      <c r="E1115">
        <f>HYPERLÄNK("http://localhost:8787/api/admin/requirements/documents/cmm4yupo702t2cuqwxl3b83ul/view";"Öppna PDF")</f>
        <v/>
      </c>
      <c r="F1115">
        <f>HYPERLINK("http://localhost:8787/api/admin/requirements/documents/cmm4yupo702t2cuqwxl3b83ul/view","Open PDF")</f>
        <v/>
      </c>
      <c r="G1115" t="inlineStr">
        <is>
          <t>cmm55w57p0004cuisfrtpqly8</t>
        </is>
      </c>
      <c r="H1115" t="inlineStr">
        <is>
          <t>Informationskrav</t>
        </is>
      </c>
      <c r="I1115" t="inlineStr">
        <is>
          <t>Riskhantering</t>
        </is>
      </c>
      <c r="J1115" t="inlineStr">
        <is>
          <t>Riskkontroll</t>
        </is>
      </c>
      <c r="K1115" t="inlineStr">
        <is>
          <t>• För att minska risken för att det avfall som tas in på fastigheten innehåller invasiva arter ska avfallslämnaren i förväg fylla i ett mottagningsformulär med bl.a.</t>
        </is>
      </c>
      <c r="L1115" t="inlineStr">
        <is>
          <t>• För att minska risken för att det avfall som tas in på fastigheten innehåller invasiva arter ska avfallslämnaren i förväg fylla i ett mottagningsformulär med bl.a.</t>
        </is>
      </c>
      <c r="M1115" t="inlineStr">
        <is>
          <t>SKA</t>
        </is>
      </c>
      <c r="N1115" t="inlineStr"/>
      <c r="O1115" t="inlineStr"/>
      <c r="P1115" t="inlineStr"/>
      <c r="Q1115" t="inlineStr"/>
      <c r="R1115" t="inlineStr">
        <is>
          <t>Vid risk for incident</t>
        </is>
      </c>
      <c r="S1115" t="inlineStr"/>
      <c r="T1115" t="inlineStr">
        <is>
          <t>556173</t>
        </is>
      </c>
      <c r="U1115" t="inlineStr"/>
      <c r="V1115" t="inlineStr"/>
      <c r="W1115" t="inlineStr">
        <is>
          <t>Nej</t>
        </is>
      </c>
      <c r="X1115" t="inlineStr">
        <is>
          <t>Nej</t>
        </is>
      </c>
      <c r="Y1115" t="inlineStr">
        <is>
          <t>Ja</t>
        </is>
      </c>
      <c r="Z1115" t="inlineStr">
        <is>
          <t>Ja</t>
        </is>
      </c>
      <c r="AA1115" t="n">
        <v>8</v>
      </c>
      <c r="AB1115" t="inlineStr">
        <is>
          <t>Riskhantering</t>
        </is>
      </c>
      <c r="AC1115" t="inlineStr">
        <is>
          <t>Risk-PM</t>
        </is>
      </c>
      <c r="AD1115" t="inlineStr">
        <is>
          <t>Nej</t>
        </is>
      </c>
      <c r="AE1115" t="inlineStr">
        <is>
          <t>Nej</t>
        </is>
      </c>
      <c r="AF1115" t="inlineStr">
        <is>
          <t>Ej behandlad</t>
        </is>
      </c>
      <c r="AG1115" t="inlineStr">
        <is>
          <t>AUTO_GENERERAD. Verifiera citat mot kallfil.</t>
        </is>
      </c>
      <c r="AH1115" t="inlineStr">
        <is>
          <t>MEDIUM</t>
        </is>
      </c>
      <c r="AI1115" t="inlineStr">
        <is>
          <t>AUTO</t>
        </is>
      </c>
      <c r="AJ1115" t="inlineStr">
        <is>
          <t>Nej</t>
        </is>
      </c>
      <c r="AK1115" t="inlineStr"/>
      <c r="AL1115" t="inlineStr"/>
      <c r="AM1115" t="inlineStr"/>
      <c r="AN1115" t="inlineStr"/>
      <c r="AO1115" t="inlineStr">
        <is>
          <t>cmm4yupoi02tecuqwcxfb7ykc</t>
        </is>
      </c>
      <c r="AP1115" t="inlineStr">
        <is>
          <t>http://localhost:8787/api/admin/requirements/documents/cmm4yupoi02tecuqwcxfb7ykc/view</t>
        </is>
      </c>
      <c r="AQ1115">
        <f>HYPERLÄNK("http://localhost:8787/api/admin/requirements/documents/cmm4yupoi02tecuqwcxfb7ykc/view";"Öppna PDF")</f>
        <v/>
      </c>
      <c r="AR1115">
        <f>HYPERLINK("http://localhost:8787/api/admin/requirements/documents/cmm4yupoi02tecuqwcxfb7ykc/view","Open PDF")</f>
        <v/>
      </c>
      <c r="AS1115" t="inlineStr">
        <is>
          <t>cmm55w57p0004cuisfrtpqly8</t>
        </is>
      </c>
      <c r="AT1115" t="inlineStr">
        <is>
          <t>cmm4xvu980000cuh4vj0usz09</t>
        </is>
      </c>
      <c r="AU1115" t="inlineStr"/>
      <c r="AV1115" t="inlineStr">
        <is>
          <t>Kommun</t>
        </is>
      </c>
      <c r="AW1115" t="inlineStr"/>
      <c r="AX1115" t="inlineStr">
        <is>
          <t>2013:251</t>
        </is>
      </c>
      <c r="AY1115" t="inlineStr">
        <is>
          <t>Anmalan</t>
        </is>
      </c>
      <c r="AZ1115" t="inlineStr">
        <is>
          <t>2026-02-04</t>
        </is>
      </c>
      <c r="BA1115" t="inlineStr">
        <is>
          <t>2025-3473 8.pdf</t>
        </is>
      </c>
      <c r="BB1115" t="inlineStr">
        <is>
          <t>Sv:  Begäran om utlämnande av allmän handling – Anmälningar och beslut rörande mellanlagring av avfall samt anläggning av ytor</t>
        </is>
      </c>
      <c r="BC1115" t="inlineStr">
        <is>
          <t>AUTO</t>
        </is>
      </c>
      <c r="BD1115" t="inlineStr"/>
      <c r="BE1115" t="inlineStr"/>
      <c r="BF1115" t="inlineStr">
        <is>
          <t>AUTO_GENERERAD. Bekrafta metadata mot kallfil.</t>
        </is>
      </c>
      <c r="BG1115">
        <f>HYPERLINK("C:\Users\jimmy\Desktop\Examens arbete\Kod\Ny mapp\remix_-copy-of-miljöbeslut.se-portal\2025-3473 8.pdf", "Öppna PDF")</f>
        <v/>
      </c>
    </row>
    <row r="1116">
      <c r="A1116" t="inlineStr">
        <is>
          <t>KRAV-AUTO-001115</t>
        </is>
      </c>
      <c r="B1116" t="inlineStr">
        <is>
          <t>ADMIN-INDEX-2026-02-27-00000000125C043F57453246863FE664CAFE6A3F0700950291EA24F0614FB6ACEDB12BF0E31D00000000010C0000950291EA24F0614FB6ACEDB12BF0E31D00002087AE620000</t>
        </is>
      </c>
      <c r="C1116" t="inlineStr">
        <is>
          <t>cmm4yupo402szcuqwreyj7042</t>
        </is>
      </c>
      <c r="D1116" t="inlineStr">
        <is>
          <t>http://localhost:8787/api/admin/requirements/documents/cmm4yupo402szcuqwreyj7042/view</t>
        </is>
      </c>
      <c r="E1116">
        <f>HYPERLÄNK("http://localhost:8787/api/admin/requirements/documents/cmm4yupo402szcuqwreyj7042/view";"Öppna PDF")</f>
        <v/>
      </c>
      <c r="F1116">
        <f>HYPERLINK("http://localhost:8787/api/admin/requirements/documents/cmm4yupo402szcuqwreyj7042/view","Open PDF")</f>
        <v/>
      </c>
      <c r="G1116" t="inlineStr">
        <is>
          <t>cmm55w57p0004cuisfrtpqly8</t>
        </is>
      </c>
      <c r="H1116" t="inlineStr">
        <is>
          <t>Informationskrav</t>
        </is>
      </c>
      <c r="I1116" t="inlineStr">
        <is>
          <t>LagringsvolymTid</t>
        </is>
      </c>
      <c r="J1116" t="inlineStr">
        <is>
          <t>Maxmangd</t>
        </is>
      </c>
      <c r="K1116" t="inlineStr">
        <is>
          <t>Bland annat ska typer och mängder av avfall som behandlas och lagras regleras vilket har gjorts i punkt 4, 5, 6 i föreläggandet.</t>
        </is>
      </c>
      <c r="L1116" t="inlineStr">
        <is>
          <t>Bland annat ska typer och mängder av avfall som behandlas och lagras regleras vilket har gjorts i punkt 4, 5, 6 i föreläggandet.</t>
        </is>
      </c>
      <c r="M1116" t="inlineStr">
        <is>
          <t>SKA</t>
        </is>
      </c>
      <c r="N1116" t="inlineStr"/>
      <c r="O1116" t="inlineStr"/>
      <c r="P1116" t="inlineStr"/>
      <c r="Q1116" t="inlineStr">
        <is>
          <t>Forelaggande vid brist</t>
        </is>
      </c>
      <c r="R1116" t="inlineStr">
        <is>
          <t>Alltid</t>
        </is>
      </c>
      <c r="S1116" t="inlineStr"/>
      <c r="T1116" t="inlineStr">
        <is>
          <t>35 30 00</t>
        </is>
      </c>
      <c r="U1116" t="inlineStr"/>
      <c r="V1116" t="inlineStr"/>
      <c r="W1116" t="inlineStr">
        <is>
          <t>Nej</t>
        </is>
      </c>
      <c r="X1116" t="inlineStr">
        <is>
          <t>Nej</t>
        </is>
      </c>
      <c r="Y1116" t="inlineStr">
        <is>
          <t>Nej</t>
        </is>
      </c>
      <c r="Z1116" t="inlineStr">
        <is>
          <t>Nej</t>
        </is>
      </c>
      <c r="AA1116" t="n">
        <v>4</v>
      </c>
      <c r="AB1116" t="inlineStr">
        <is>
          <t>Avfallsmangder och lagringstid</t>
        </is>
      </c>
      <c r="AC1116" t="inlineStr">
        <is>
          <t>Avfallsforteckning</t>
        </is>
      </c>
      <c r="AD1116" t="inlineStr">
        <is>
          <t>Nej</t>
        </is>
      </c>
      <c r="AE1116" t="inlineStr">
        <is>
          <t>Nej</t>
        </is>
      </c>
      <c r="AF1116" t="inlineStr">
        <is>
          <t>Ej behandlad</t>
        </is>
      </c>
      <c r="AG1116" t="inlineStr">
        <is>
          <t>AUTO_GENERERAD. Verifiera citat mot kallfil.</t>
        </is>
      </c>
      <c r="AH1116" t="inlineStr">
        <is>
          <t>MEDIUM</t>
        </is>
      </c>
      <c r="AI1116" t="inlineStr">
        <is>
          <t>AUTO</t>
        </is>
      </c>
      <c r="AJ1116" t="inlineStr">
        <is>
          <t>Nej</t>
        </is>
      </c>
      <c r="AK1116" t="inlineStr"/>
      <c r="AL1116" t="inlineStr"/>
      <c r="AM1116" t="inlineStr"/>
      <c r="AN1116" t="inlineStr"/>
      <c r="AO1116" t="inlineStr">
        <is>
          <t>cmm4yupoi02tecuqwcxfb7ykc</t>
        </is>
      </c>
      <c r="AP1116" t="inlineStr">
        <is>
          <t>http://localhost:8787/api/admin/requirements/documents/cmm4yupoi02tecuqwcxfb7ykc/view</t>
        </is>
      </c>
      <c r="AQ1116">
        <f>HYPERLÄNK("http://localhost:8787/api/admin/requirements/documents/cmm4yupoi02tecuqwcxfb7ykc/view";"Öppna PDF")</f>
        <v/>
      </c>
      <c r="AR1116">
        <f>HYPERLINK("http://localhost:8787/api/admin/requirements/documents/cmm4yupoi02tecuqwcxfb7ykc/view","Open PDF")</f>
        <v/>
      </c>
      <c r="AS1116" t="inlineStr">
        <is>
          <t>cmm55w57p0004cuisfrtpqly8</t>
        </is>
      </c>
      <c r="AT1116" t="inlineStr">
        <is>
          <t>cmm4xvu980000cuh4vj0usz09</t>
        </is>
      </c>
      <c r="AU1116" t="inlineStr"/>
      <c r="AV1116" t="inlineStr">
        <is>
          <t>Kommun</t>
        </is>
      </c>
      <c r="AW1116" t="inlineStr"/>
      <c r="AX1116" t="inlineStr">
        <is>
          <t>2013:251</t>
        </is>
      </c>
      <c r="AY1116" t="inlineStr">
        <is>
          <t>Anmalan</t>
        </is>
      </c>
      <c r="AZ1116" t="inlineStr">
        <is>
          <t>2026-02-04</t>
        </is>
      </c>
      <c r="BA1116" t="inlineStr">
        <is>
          <t>2025-3473 8.pdf</t>
        </is>
      </c>
      <c r="BB1116" t="inlineStr">
        <is>
          <t>Sv:  Begäran om utlämnande av allmän handling – Anmälningar och beslut rörande mellanlagring av avfall samt anläggning av ytor</t>
        </is>
      </c>
      <c r="BC1116" t="inlineStr">
        <is>
          <t>AUTO</t>
        </is>
      </c>
      <c r="BD1116" t="inlineStr"/>
      <c r="BE1116" t="inlineStr"/>
      <c r="BF1116" t="inlineStr">
        <is>
          <t>AUTO_GENERERAD. Bekrafta metadata mot kallfil.</t>
        </is>
      </c>
      <c r="BG1116">
        <f>HYPERLINK("C:\Users\jimmy\Desktop\Examens arbete\Kod\Ny mapp\remix_-copy-of-miljöbeslut.se-portal\2025-3473 8.pdf", "Öppna PDF")</f>
        <v/>
      </c>
    </row>
    <row r="1117">
      <c r="A1117" t="inlineStr">
        <is>
          <t>KRAV-AUTO-001116</t>
        </is>
      </c>
      <c r="B1117" t="inlineStr">
        <is>
          <t>ADMIN-INDEX-2026-02-27-00000000125C043F57453246863FE664CAFE6A3F0700950291EA24F0614FB6ACEDB12BF0E31D00000000010C0000950291EA24F0614FB6ACEDB12BF0E31D00002087AE620000</t>
        </is>
      </c>
      <c r="C1117" t="inlineStr">
        <is>
          <t>cmm4yupo402szcuqwreyj7042</t>
        </is>
      </c>
      <c r="D1117" t="inlineStr">
        <is>
          <t>http://localhost:8787/api/admin/requirements/documents/cmm4yupo402szcuqwreyj7042/view</t>
        </is>
      </c>
      <c r="E1117">
        <f>HYPERLÄNK("http://localhost:8787/api/admin/requirements/documents/cmm4yupo402szcuqwreyj7042/view";"Öppna PDF")</f>
        <v/>
      </c>
      <c r="F1117">
        <f>HYPERLINK("http://localhost:8787/api/admin/requirements/documents/cmm4yupo402szcuqwreyj7042/view","Open PDF")</f>
        <v/>
      </c>
      <c r="G1117" t="inlineStr">
        <is>
          <t>cmm55w57p0004cuisfrtpqly8</t>
        </is>
      </c>
      <c r="H1117" t="inlineStr">
        <is>
          <t>Informationskrav</t>
        </is>
      </c>
      <c r="I1117" t="inlineStr">
        <is>
          <t>Ytkonstruktion</t>
        </is>
      </c>
      <c r="J1117" t="inlineStr">
        <is>
          <t>Tat yta</t>
        </is>
      </c>
      <c r="K1117" t="inlineStr">
        <is>
          <t>Farligt avfall och kemikalier ska förvaras invallat, invallningen ska rymma 100% av den störta behållarens volym plus 10% av övriga behållares totala volym.</t>
        </is>
      </c>
      <c r="L1117" t="inlineStr">
        <is>
          <t>Farligt avfall och kemikalier ska förvaras invallat, invallningen ska rymma 100% av den störta behållarens volym plus 10% av övriga behållares totala volym.</t>
        </is>
      </c>
      <c r="M1117" t="inlineStr">
        <is>
          <t>SKA</t>
        </is>
      </c>
      <c r="N1117" t="inlineStr"/>
      <c r="O1117" t="inlineStr"/>
      <c r="P1117" t="inlineStr">
        <is>
          <t>Arlig</t>
        </is>
      </c>
      <c r="Q1117" t="inlineStr"/>
      <c r="R1117" t="inlineStr">
        <is>
          <t>Vid mellanlagring av avfall</t>
        </is>
      </c>
      <c r="S1117" t="inlineStr"/>
      <c r="T1117" t="inlineStr">
        <is>
          <t>35 30 00</t>
        </is>
      </c>
      <c r="U1117" t="inlineStr"/>
      <c r="V1117" t="inlineStr"/>
      <c r="W1117" t="inlineStr">
        <is>
          <t>Ja</t>
        </is>
      </c>
      <c r="X1117" t="inlineStr">
        <is>
          <t>Nej</t>
        </is>
      </c>
      <c r="Y1117" t="inlineStr">
        <is>
          <t>Nej</t>
        </is>
      </c>
      <c r="Z1117" t="inlineStr">
        <is>
          <t>Nej</t>
        </is>
      </c>
      <c r="AA1117" t="n">
        <v>5</v>
      </c>
      <c r="AB1117" t="inlineStr">
        <is>
          <t>Teknisk beskrivning av platta</t>
        </is>
      </c>
      <c r="AC1117" t="inlineStr">
        <is>
          <t>Teknisk ritning platta</t>
        </is>
      </c>
      <c r="AD1117" t="inlineStr">
        <is>
          <t>Nej</t>
        </is>
      </c>
      <c r="AE1117" t="inlineStr">
        <is>
          <t>Nej</t>
        </is>
      </c>
      <c r="AF1117" t="inlineStr">
        <is>
          <t>Ej behandlad</t>
        </is>
      </c>
      <c r="AG1117" t="inlineStr">
        <is>
          <t>AUTO_GENERERAD. Verifiera citat mot kallfil.</t>
        </is>
      </c>
      <c r="AH1117" t="inlineStr">
        <is>
          <t>MEDIUM</t>
        </is>
      </c>
      <c r="AI1117" t="inlineStr">
        <is>
          <t>AUTO</t>
        </is>
      </c>
      <c r="AJ1117" t="inlineStr">
        <is>
          <t>Nej</t>
        </is>
      </c>
      <c r="AK1117" t="inlineStr"/>
      <c r="AL1117" t="inlineStr"/>
      <c r="AM1117" t="inlineStr"/>
      <c r="AN1117" t="inlineStr"/>
      <c r="AO1117" t="inlineStr">
        <is>
          <t>cmm4yupoi02tecuqwcxfb7ykc</t>
        </is>
      </c>
      <c r="AP1117" t="inlineStr">
        <is>
          <t>http://localhost:8787/api/admin/requirements/documents/cmm4yupoi02tecuqwcxfb7ykc/view</t>
        </is>
      </c>
      <c r="AQ1117">
        <f>HYPERLÄNK("http://localhost:8787/api/admin/requirements/documents/cmm4yupoi02tecuqwcxfb7ykc/view";"Öppna PDF")</f>
        <v/>
      </c>
      <c r="AR1117">
        <f>HYPERLINK("http://localhost:8787/api/admin/requirements/documents/cmm4yupoi02tecuqwcxfb7ykc/view","Open PDF")</f>
        <v/>
      </c>
      <c r="AS1117" t="inlineStr">
        <is>
          <t>cmm55w57p0004cuisfrtpqly8</t>
        </is>
      </c>
      <c r="AT1117" t="inlineStr">
        <is>
          <t>cmm4xvu980000cuh4vj0usz09</t>
        </is>
      </c>
      <c r="AU1117" t="inlineStr"/>
      <c r="AV1117" t="inlineStr">
        <is>
          <t>Kommun</t>
        </is>
      </c>
      <c r="AW1117" t="inlineStr"/>
      <c r="AX1117" t="inlineStr">
        <is>
          <t>2013:251</t>
        </is>
      </c>
      <c r="AY1117" t="inlineStr">
        <is>
          <t>Anmalan</t>
        </is>
      </c>
      <c r="AZ1117" t="inlineStr">
        <is>
          <t>2026-02-04</t>
        </is>
      </c>
      <c r="BA1117" t="inlineStr">
        <is>
          <t>2025-3473 8.pdf</t>
        </is>
      </c>
      <c r="BB1117" t="inlineStr">
        <is>
          <t>Sv:  Begäran om utlämnande av allmän handling – Anmälningar och beslut rörande mellanlagring av avfall samt anläggning av ytor</t>
        </is>
      </c>
      <c r="BC1117" t="inlineStr">
        <is>
          <t>AUTO</t>
        </is>
      </c>
      <c r="BD1117" t="inlineStr"/>
      <c r="BE1117" t="inlineStr"/>
      <c r="BF1117" t="inlineStr">
        <is>
          <t>AUTO_GENERERAD. Bekrafta metadata mot kallfil.</t>
        </is>
      </c>
      <c r="BG1117">
        <f>HYPERLINK("C:\Users\jimmy\Desktop\Examens arbete\Kod\Ny mapp\remix_-copy-of-miljöbeslut.se-portal\2025-3473 8.pdf", "Öppna PDF")</f>
        <v/>
      </c>
    </row>
    <row r="1118">
      <c r="A1118" t="inlineStr">
        <is>
          <t>KRAV-AUTO-001117</t>
        </is>
      </c>
      <c r="B1118" t="inlineStr">
        <is>
          <t>ADMIN-INDEX-2026-02-27-00000000125C043F57453246863FE664CAFE6A3F0700950291EA24F0614FB6ACEDB12BF0E31D00000000010C0000950291EA24F0614FB6ACEDB12BF0E31D00002087AE620000</t>
        </is>
      </c>
      <c r="C1118" t="inlineStr">
        <is>
          <t>cmm4yupo402szcuqwreyj7042</t>
        </is>
      </c>
      <c r="D1118" t="inlineStr">
        <is>
          <t>http://localhost:8787/api/admin/requirements/documents/cmm4yupo402szcuqwreyj7042/view</t>
        </is>
      </c>
      <c r="E1118">
        <f>HYPERLÄNK("http://localhost:8787/api/admin/requirements/documents/cmm4yupo402szcuqwreyj7042/view";"Öppna PDF")</f>
        <v/>
      </c>
      <c r="F1118">
        <f>HYPERLINK("http://localhost:8787/api/admin/requirements/documents/cmm4yupo402szcuqwreyj7042/view","Open PDF")</f>
        <v/>
      </c>
      <c r="G1118" t="inlineStr">
        <is>
          <t>cmm55w57p0004cuisfrtpqly8</t>
        </is>
      </c>
      <c r="H1118" t="inlineStr">
        <is>
          <t>Informationskrav</t>
        </is>
      </c>
      <c r="I1118" t="inlineStr">
        <is>
          <t>MiljopaverkanForsiktighet</t>
        </is>
      </c>
      <c r="J1118" t="inlineStr">
        <is>
          <t>Skyddsatgarder</t>
        </is>
      </c>
      <c r="K1118" t="inlineStr">
        <is>
          <t>Av 27 a § Förordningen om miljöfarlig verksamhet och hälsoskydd framgår att när det gäller en verksamhet som behandlar avfall ska ett föreläggande om skyddsåtgärder innehålla vissa uppgifter.</t>
        </is>
      </c>
      <c r="L1118" t="inlineStr">
        <is>
          <t>Av 27 a § Förordningen om miljöfarlig verksamhet och hälsoskydd framgår att när det gäller en verksamhet som behandlar avfall ska ett föreläggande om skyddsåtgärder innehålla vissa uppgifter.</t>
        </is>
      </c>
      <c r="M1118" t="inlineStr">
        <is>
          <t>SKA</t>
        </is>
      </c>
      <c r="N1118" t="inlineStr">
        <is>
          <t>FMH</t>
        </is>
      </c>
      <c r="O1118" t="inlineStr"/>
      <c r="P1118" t="inlineStr">
        <is>
          <t>Arlig</t>
        </is>
      </c>
      <c r="Q1118" t="inlineStr">
        <is>
          <t>Forelaggande vid brist</t>
        </is>
      </c>
      <c r="R1118" t="inlineStr">
        <is>
          <t>Alltid</t>
        </is>
      </c>
      <c r="S1118" t="inlineStr"/>
      <c r="T1118" t="inlineStr">
        <is>
          <t>35 30 00</t>
        </is>
      </c>
      <c r="U1118" t="inlineStr"/>
      <c r="V1118" t="inlineStr"/>
      <c r="W1118" t="inlineStr">
        <is>
          <t>Nej</t>
        </is>
      </c>
      <c r="X1118" t="inlineStr">
        <is>
          <t>Nej</t>
        </is>
      </c>
      <c r="Y1118" t="inlineStr">
        <is>
          <t>Nej</t>
        </is>
      </c>
      <c r="Z1118" t="inlineStr">
        <is>
          <t>Nej</t>
        </is>
      </c>
      <c r="AA1118" t="n">
        <v>10</v>
      </c>
      <c r="AB1118" t="inlineStr">
        <is>
          <t>Miljopaverkan och forsiktighetsmatt</t>
        </is>
      </c>
      <c r="AC1118" t="inlineStr">
        <is>
          <t>Miljo-PM</t>
        </is>
      </c>
      <c r="AD1118" t="inlineStr">
        <is>
          <t>Nej</t>
        </is>
      </c>
      <c r="AE1118" t="inlineStr">
        <is>
          <t>Nej</t>
        </is>
      </c>
      <c r="AF1118" t="inlineStr">
        <is>
          <t>Ej behandlad</t>
        </is>
      </c>
      <c r="AG1118" t="inlineStr">
        <is>
          <t>AUTO_GENERERAD. Verifiera citat mot kallfil.</t>
        </is>
      </c>
      <c r="AH1118" t="inlineStr">
        <is>
          <t>MEDIUM</t>
        </is>
      </c>
      <c r="AI1118" t="inlineStr">
        <is>
          <t>AUTO</t>
        </is>
      </c>
      <c r="AJ1118" t="inlineStr">
        <is>
          <t>Nej</t>
        </is>
      </c>
      <c r="AK1118" t="inlineStr"/>
      <c r="AL1118" t="inlineStr"/>
      <c r="AM1118" t="inlineStr"/>
      <c r="AN1118" t="inlineStr"/>
      <c r="AO1118" t="inlineStr">
        <is>
          <t>cmm4yupoi02tecuqwcxfb7ykc</t>
        </is>
      </c>
      <c r="AP1118" t="inlineStr">
        <is>
          <t>http://localhost:8787/api/admin/requirements/documents/cmm4yupoi02tecuqwcxfb7ykc/view</t>
        </is>
      </c>
      <c r="AQ1118">
        <f>HYPERLÄNK("http://localhost:8787/api/admin/requirements/documents/cmm4yupoi02tecuqwcxfb7ykc/view";"Öppna PDF")</f>
        <v/>
      </c>
      <c r="AR1118">
        <f>HYPERLINK("http://localhost:8787/api/admin/requirements/documents/cmm4yupoi02tecuqwcxfb7ykc/view","Open PDF")</f>
        <v/>
      </c>
      <c r="AS1118" t="inlineStr">
        <is>
          <t>cmm55w57p0004cuisfrtpqly8</t>
        </is>
      </c>
      <c r="AT1118" t="inlineStr">
        <is>
          <t>cmm4xvu980000cuh4vj0usz09</t>
        </is>
      </c>
      <c r="AU1118" t="inlineStr"/>
      <c r="AV1118" t="inlineStr">
        <is>
          <t>Kommun</t>
        </is>
      </c>
      <c r="AW1118" t="inlineStr"/>
      <c r="AX1118" t="inlineStr">
        <is>
          <t>2013:251</t>
        </is>
      </c>
      <c r="AY1118" t="inlineStr">
        <is>
          <t>Anmalan</t>
        </is>
      </c>
      <c r="AZ1118" t="inlineStr">
        <is>
          <t>2026-02-04</t>
        </is>
      </c>
      <c r="BA1118" t="inlineStr">
        <is>
          <t>2025-3473 8.pdf</t>
        </is>
      </c>
      <c r="BB1118" t="inlineStr">
        <is>
          <t>Sv:  Begäran om utlämnande av allmän handling – Anmälningar och beslut rörande mellanlagring av avfall samt anläggning av ytor</t>
        </is>
      </c>
      <c r="BC1118" t="inlineStr">
        <is>
          <t>AUTO</t>
        </is>
      </c>
      <c r="BD1118" t="inlineStr"/>
      <c r="BE1118" t="inlineStr"/>
      <c r="BF1118" t="inlineStr">
        <is>
          <t>AUTO_GENERERAD. Bekrafta metadata mot kallfil.</t>
        </is>
      </c>
      <c r="BG1118">
        <f>HYPERLINK("C:\Users\jimmy\Desktop\Examens arbete\Kod\Ny mapp\remix_-copy-of-miljöbeslut.se-portal\2025-3473 8.pdf", "Öppna PDF")</f>
        <v/>
      </c>
    </row>
    <row r="1119">
      <c r="A1119" t="inlineStr">
        <is>
          <t>KRAV-AUTO-001118</t>
        </is>
      </c>
      <c r="B1119" t="inlineStr">
        <is>
          <t>ADMIN-INDEX-2026-02-27-00000000125C043F57453246863FE664CAFE6A3F0700950291EA24F0614FB6ACEDB12BF0E31D00000000010C0000950291EA24F0614FB6ACEDB12BF0E31D00002087AE620000</t>
        </is>
      </c>
      <c r="C1119" t="inlineStr">
        <is>
          <t>cmm4yupo102swcuqwycphztq8</t>
        </is>
      </c>
      <c r="D1119" t="inlineStr">
        <is>
          <t>http://localhost:8787/api/admin/requirements/documents/cmm4yupo102swcuqwycphztq8/view</t>
        </is>
      </c>
      <c r="E1119">
        <f>HYPERLÄNK("http://localhost:8787/api/admin/requirements/documents/cmm4yupo102swcuqwycphztq8/view";"Öppna PDF")</f>
        <v/>
      </c>
      <c r="F1119">
        <f>HYPERLINK("http://localhost:8787/api/admin/requirements/documents/cmm4yupo102swcuqwycphztq8/view","Open PDF")</f>
        <v/>
      </c>
      <c r="G1119" t="inlineStr">
        <is>
          <t>cmm55w57p0004cuisfrtpqly8</t>
        </is>
      </c>
      <c r="H1119" t="inlineStr">
        <is>
          <t>Informationskrav</t>
        </is>
      </c>
      <c r="I1119" t="inlineStr">
        <is>
          <t>Ytkonstruktion</t>
        </is>
      </c>
      <c r="J1119" t="inlineStr">
        <is>
          <t>Tat yta</t>
        </is>
      </c>
      <c r="K1119" t="inlineStr">
        <is>
          <t>Avsändare: calle@fristadsexpress.se Mottaget: 2025-11-26 07:25:05 Mottagare: John Glamheden [john.glamheden@boras.se] Kopia: Ämne: Falskog Bifogade filer: Hej John, Här kommer de ytterligare EWC koder vi pratade om igår.</t>
        </is>
      </c>
      <c r="L1119" t="inlineStr">
        <is>
          <t>Avsändare: calle@fristadsexpress.se Mottaget: 2025-11-26 07:25:05 Mottagare: John Glamheden [john.glamheden@boras.se] Kopia: Ämne: Falskog Bifogade filer: Hej John, Här kommer de ytterligare EWC koder vi pratade om igår.</t>
        </is>
      </c>
      <c r="M1119" t="inlineStr">
        <is>
          <t>BOR</t>
        </is>
      </c>
      <c r="N1119" t="inlineStr"/>
      <c r="O1119" t="inlineStr">
        <is>
          <t>2025-11-26</t>
        </is>
      </c>
      <c r="P1119" t="inlineStr"/>
      <c r="Q1119" t="inlineStr"/>
      <c r="R1119" t="inlineStr">
        <is>
          <t>Vid mellanlagring av avfall</t>
        </is>
      </c>
      <c r="S1119" t="inlineStr"/>
      <c r="T1119" t="inlineStr">
        <is>
          <t>170508</t>
        </is>
      </c>
      <c r="U1119" t="inlineStr"/>
      <c r="V1119" t="inlineStr"/>
      <c r="W1119" t="inlineStr">
        <is>
          <t>Ja</t>
        </is>
      </c>
      <c r="X1119" t="inlineStr">
        <is>
          <t>Nej</t>
        </is>
      </c>
      <c r="Y1119" t="inlineStr">
        <is>
          <t>Nej</t>
        </is>
      </c>
      <c r="Z1119" t="inlineStr">
        <is>
          <t>Nej</t>
        </is>
      </c>
      <c r="AA1119" t="n">
        <v>5</v>
      </c>
      <c r="AB1119" t="inlineStr">
        <is>
          <t>Teknisk beskrivning av platta</t>
        </is>
      </c>
      <c r="AC1119" t="inlineStr">
        <is>
          <t>Teknisk ritning platta</t>
        </is>
      </c>
      <c r="AD1119" t="inlineStr">
        <is>
          <t>Nej</t>
        </is>
      </c>
      <c r="AE1119" t="inlineStr">
        <is>
          <t>Nej</t>
        </is>
      </c>
      <c r="AF1119" t="inlineStr">
        <is>
          <t>Ej behandlad</t>
        </is>
      </c>
      <c r="AG1119" t="inlineStr">
        <is>
          <t>AUTO_GENERERAD. Verifiera citat mot kallfil.</t>
        </is>
      </c>
      <c r="AH1119" t="inlineStr">
        <is>
          <t>MEDIUM</t>
        </is>
      </c>
      <c r="AI1119" t="inlineStr">
        <is>
          <t>AUTO</t>
        </is>
      </c>
      <c r="AJ1119" t="inlineStr">
        <is>
          <t>Nej</t>
        </is>
      </c>
      <c r="AK1119" t="inlineStr"/>
      <c r="AL1119" t="inlineStr"/>
      <c r="AM1119" t="inlineStr"/>
      <c r="AN1119" t="inlineStr"/>
      <c r="AO1119" t="inlineStr">
        <is>
          <t>cmm4yupoi02tecuqwcxfb7ykc</t>
        </is>
      </c>
      <c r="AP1119" t="inlineStr">
        <is>
          <t>http://localhost:8787/api/admin/requirements/documents/cmm4yupoi02tecuqwcxfb7ykc/view</t>
        </is>
      </c>
      <c r="AQ1119">
        <f>HYPERLÄNK("http://localhost:8787/api/admin/requirements/documents/cmm4yupoi02tecuqwcxfb7ykc/view";"Öppna PDF")</f>
        <v/>
      </c>
      <c r="AR1119">
        <f>HYPERLINK("http://localhost:8787/api/admin/requirements/documents/cmm4yupoi02tecuqwcxfb7ykc/view","Open PDF")</f>
        <v/>
      </c>
      <c r="AS1119" t="inlineStr">
        <is>
          <t>cmm55w57p0004cuisfrtpqly8</t>
        </is>
      </c>
      <c r="AT1119" t="inlineStr">
        <is>
          <t>cmm4xvu980000cuh4vj0usz09</t>
        </is>
      </c>
      <c r="AU1119" t="inlineStr"/>
      <c r="AV1119" t="inlineStr">
        <is>
          <t>Kommun</t>
        </is>
      </c>
      <c r="AW1119" t="inlineStr"/>
      <c r="AX1119" t="inlineStr">
        <is>
          <t>2013:251</t>
        </is>
      </c>
      <c r="AY1119" t="inlineStr">
        <is>
          <t>Anmalan</t>
        </is>
      </c>
      <c r="AZ1119" t="inlineStr">
        <is>
          <t>2026-02-04</t>
        </is>
      </c>
      <c r="BA1119" t="inlineStr">
        <is>
          <t>2025-3473 8.pdf</t>
        </is>
      </c>
      <c r="BB1119" t="inlineStr">
        <is>
          <t>Sv:  Begäran om utlämnande av allmän handling – Anmälningar och beslut rörande mellanlagring av avfall samt anläggning av ytor</t>
        </is>
      </c>
      <c r="BC1119" t="inlineStr">
        <is>
          <t>AUTO</t>
        </is>
      </c>
      <c r="BD1119" t="inlineStr"/>
      <c r="BE1119" t="inlineStr"/>
      <c r="BF1119" t="inlineStr">
        <is>
          <t>AUTO_GENERERAD. Bekrafta metadata mot kallfil.</t>
        </is>
      </c>
      <c r="BG1119">
        <f>HYPERLINK("C:\Users\jimmy\Desktop\Examens arbete\Kod\Ny mapp\remix_-copy-of-miljöbeslut.se-portal\2025-3473 8.pdf", "Öppna PDF")</f>
        <v/>
      </c>
    </row>
    <row r="1120">
      <c r="A1120" t="inlineStr">
        <is>
          <t>KRAV-AUTO-001119</t>
        </is>
      </c>
      <c r="B1120" t="inlineStr">
        <is>
          <t>ADMIN-INDEX-2026-02-27-00000000125C043F57453246863FE664CAFE6A3F0700950291EA24F0614FB6ACEDB12BF0E31D00000000010C0000950291EA24F0614FB6ACEDB12BF0E31D00002087AE620000</t>
        </is>
      </c>
      <c r="C1120" t="inlineStr">
        <is>
          <t>cmm4yupnx02stcuqw5t7crswk</t>
        </is>
      </c>
      <c r="D1120" t="inlineStr">
        <is>
          <t>http://localhost:8787/api/admin/requirements/documents/cmm4yupnx02stcuqw5t7crswk/view</t>
        </is>
      </c>
      <c r="E1120">
        <f>HYPERLÄNK("http://localhost:8787/api/admin/requirements/documents/cmm4yupnx02stcuqw5t7crswk/view";"Öppna PDF")</f>
        <v/>
      </c>
      <c r="F1120">
        <f>HYPERLINK("http://localhost:8787/api/admin/requirements/documents/cmm4yupnx02stcuqw5t7crswk/view","Open PDF")</f>
        <v/>
      </c>
      <c r="G1120" t="inlineStr">
        <is>
          <t>cmm55w57p0004cuisfrtpqly8</t>
        </is>
      </c>
      <c r="H1120" t="inlineStr">
        <is>
          <t>Informationskrav</t>
        </is>
      </c>
      <c r="I1120" t="inlineStr">
        <is>
          <t>MiljopaverkanForsiktighet</t>
        </is>
      </c>
      <c r="J1120" t="inlineStr">
        <is>
          <t>Skyddsatgarder</t>
        </is>
      </c>
      <c r="K1120" t="inlineStr">
        <is>
          <t>ZjQcmQRYFpfptBannerEnd Hej John, Vi önskar lägga till EWC-koden för Ballast utan farliga ämnen 170508 som ok att ta in på verksamheten enligt Borås stad beslut 2025-1582, i övrigt allt annat lika.</t>
        </is>
      </c>
      <c r="L1120" t="inlineStr">
        <is>
          <t>ZjQcmQRYFpfptBannerEnd Hej John, Vi önskar lägga till EWC-koden för Ballast utan farliga ämnen 170508 som ok att ta in på verksamheten enligt Borås stad beslut 2025-1582, i övrigt allt annat lika.</t>
        </is>
      </c>
      <c r="M1120" t="inlineStr">
        <is>
          <t>SKA</t>
        </is>
      </c>
      <c r="N1120" t="inlineStr"/>
      <c r="O1120" t="inlineStr"/>
      <c r="P1120" t="inlineStr">
        <is>
          <t>Arlig</t>
        </is>
      </c>
      <c r="Q1120" t="inlineStr"/>
      <c r="R1120" t="inlineStr">
        <is>
          <t>Alltid</t>
        </is>
      </c>
      <c r="S1120" t="inlineStr"/>
      <c r="T1120" t="inlineStr">
        <is>
          <t>170508</t>
        </is>
      </c>
      <c r="U1120" t="inlineStr"/>
      <c r="V1120" t="inlineStr"/>
      <c r="W1120" t="inlineStr">
        <is>
          <t>Nej</t>
        </is>
      </c>
      <c r="X1120" t="inlineStr">
        <is>
          <t>Nej</t>
        </is>
      </c>
      <c r="Y1120" t="inlineStr">
        <is>
          <t>Nej</t>
        </is>
      </c>
      <c r="Z1120" t="inlineStr">
        <is>
          <t>Nej</t>
        </is>
      </c>
      <c r="AA1120" t="n">
        <v>10</v>
      </c>
      <c r="AB1120" t="inlineStr">
        <is>
          <t>Miljopaverkan och forsiktighetsmatt</t>
        </is>
      </c>
      <c r="AC1120" t="inlineStr">
        <is>
          <t>Miljo-PM</t>
        </is>
      </c>
      <c r="AD1120" t="inlineStr">
        <is>
          <t>Nej</t>
        </is>
      </c>
      <c r="AE1120" t="inlineStr">
        <is>
          <t>Nej</t>
        </is>
      </c>
      <c r="AF1120" t="inlineStr">
        <is>
          <t>Ej behandlad</t>
        </is>
      </c>
      <c r="AG1120" t="inlineStr">
        <is>
          <t>AUTO_GENERERAD. Verifiera citat mot kallfil.</t>
        </is>
      </c>
      <c r="AH1120" t="inlineStr">
        <is>
          <t>MEDIUM</t>
        </is>
      </c>
      <c r="AI1120" t="inlineStr">
        <is>
          <t>AUTO</t>
        </is>
      </c>
      <c r="AJ1120" t="inlineStr">
        <is>
          <t>Nej</t>
        </is>
      </c>
      <c r="AK1120" t="inlineStr"/>
      <c r="AL1120" t="inlineStr"/>
      <c r="AM1120" t="inlineStr"/>
      <c r="AN1120" t="inlineStr"/>
      <c r="AO1120" t="inlineStr">
        <is>
          <t>cmm4yupoi02tecuqwcxfb7ykc</t>
        </is>
      </c>
      <c r="AP1120" t="inlineStr">
        <is>
          <t>http://localhost:8787/api/admin/requirements/documents/cmm4yupoi02tecuqwcxfb7ykc/view</t>
        </is>
      </c>
      <c r="AQ1120">
        <f>HYPERLÄNK("http://localhost:8787/api/admin/requirements/documents/cmm4yupoi02tecuqwcxfb7ykc/view";"Öppna PDF")</f>
        <v/>
      </c>
      <c r="AR1120">
        <f>HYPERLINK("http://localhost:8787/api/admin/requirements/documents/cmm4yupoi02tecuqwcxfb7ykc/view","Open PDF")</f>
        <v/>
      </c>
      <c r="AS1120" t="inlineStr">
        <is>
          <t>cmm55w57p0004cuisfrtpqly8</t>
        </is>
      </c>
      <c r="AT1120" t="inlineStr">
        <is>
          <t>cmm4xvu980000cuh4vj0usz09</t>
        </is>
      </c>
      <c r="AU1120" t="inlineStr"/>
      <c r="AV1120" t="inlineStr">
        <is>
          <t>Kommun</t>
        </is>
      </c>
      <c r="AW1120" t="inlineStr"/>
      <c r="AX1120" t="inlineStr">
        <is>
          <t>2013:251</t>
        </is>
      </c>
      <c r="AY1120" t="inlineStr">
        <is>
          <t>Anmalan</t>
        </is>
      </c>
      <c r="AZ1120" t="inlineStr">
        <is>
          <t>2026-02-04</t>
        </is>
      </c>
      <c r="BA1120" t="inlineStr">
        <is>
          <t>2025-3473 8.pdf</t>
        </is>
      </c>
      <c r="BB1120" t="inlineStr">
        <is>
          <t>Sv:  Begäran om utlämnande av allmän handling – Anmälningar och beslut rörande mellanlagring av avfall samt anläggning av ytor</t>
        </is>
      </c>
      <c r="BC1120" t="inlineStr">
        <is>
          <t>AUTO</t>
        </is>
      </c>
      <c r="BD1120" t="inlineStr"/>
      <c r="BE1120" t="inlineStr"/>
      <c r="BF1120" t="inlineStr">
        <is>
          <t>AUTO_GENERERAD. Bekrafta metadata mot kallfil.</t>
        </is>
      </c>
      <c r="BG1120">
        <f>HYPERLINK("C:\Users\jimmy\Desktop\Examens arbete\Kod\Ny mapp\remix_-copy-of-miljöbeslut.se-portal\2025-3473 8.pdf", "Öppna PDF")</f>
        <v/>
      </c>
    </row>
    <row r="1121">
      <c r="A1121" t="inlineStr">
        <is>
          <t>KRAV-AUTO-001120</t>
        </is>
      </c>
      <c r="B1121" t="inlineStr">
        <is>
          <t>ADMIN-INDEX-2026-02-27-00000000125C043F57453246863FE664CAFE6A3F0700950291EA24F0614FB6ACEDB12BF0E31D00000000010C0000950291EA24F0614FB6ACEDB12BF0E31D00002087AE620000</t>
        </is>
      </c>
      <c r="C1121" t="inlineStr">
        <is>
          <t>cmm4yupnx02stcuqw5t7crswk</t>
        </is>
      </c>
      <c r="D1121" t="inlineStr">
        <is>
          <t>http://localhost:8787/api/admin/requirements/documents/cmm4yupnx02stcuqw5t7crswk/view</t>
        </is>
      </c>
      <c r="E1121">
        <f>HYPERLÄNK("http://localhost:8787/api/admin/requirements/documents/cmm4yupnx02stcuqw5t7crswk/view";"Öppna PDF")</f>
        <v/>
      </c>
      <c r="F1121">
        <f>HYPERLINK("http://localhost:8787/api/admin/requirements/documents/cmm4yupnx02stcuqw5t7crswk/view","Open PDF")</f>
        <v/>
      </c>
      <c r="G1121" t="inlineStr">
        <is>
          <t>cmm55w57p0004cuisfrtpqly8</t>
        </is>
      </c>
      <c r="H1121" t="inlineStr">
        <is>
          <t>Informationskrav</t>
        </is>
      </c>
      <c r="I1121" t="inlineStr">
        <is>
          <t>MiljopaverkanForsiktighet</t>
        </is>
      </c>
      <c r="J1121" t="inlineStr">
        <is>
          <t>Skyddsatgarder</t>
        </is>
      </c>
      <c r="K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121" t="inlineStr">
        <is>
          <t>SKA</t>
        </is>
      </c>
      <c r="N1121" t="inlineStr"/>
      <c r="O1121" t="inlineStr">
        <is>
          <t>2025-10-20</t>
        </is>
      </c>
      <c r="P1121" t="inlineStr">
        <is>
          <t>Arlig</t>
        </is>
      </c>
      <c r="Q1121" t="inlineStr"/>
      <c r="R1121" t="inlineStr">
        <is>
          <t>Alltid</t>
        </is>
      </c>
      <c r="S1121" t="inlineStr"/>
      <c r="T1121" t="inlineStr">
        <is>
          <t>2025 12</t>
        </is>
      </c>
      <c r="U1121" t="inlineStr"/>
      <c r="V1121" t="inlineStr"/>
      <c r="W1121" t="inlineStr">
        <is>
          <t>Nej</t>
        </is>
      </c>
      <c r="X1121" t="inlineStr">
        <is>
          <t>Nej</t>
        </is>
      </c>
      <c r="Y1121" t="inlineStr">
        <is>
          <t>Nej</t>
        </is>
      </c>
      <c r="Z1121" t="inlineStr">
        <is>
          <t>Nej</t>
        </is>
      </c>
      <c r="AA1121" t="n">
        <v>10</v>
      </c>
      <c r="AB1121" t="inlineStr">
        <is>
          <t>Miljopaverkan och forsiktighetsmatt</t>
        </is>
      </c>
      <c r="AC1121" t="inlineStr">
        <is>
          <t>Miljo-PM</t>
        </is>
      </c>
      <c r="AD1121" t="inlineStr">
        <is>
          <t>Nej</t>
        </is>
      </c>
      <c r="AE1121" t="inlineStr">
        <is>
          <t>Nej</t>
        </is>
      </c>
      <c r="AF1121" t="inlineStr">
        <is>
          <t>Ej behandlad</t>
        </is>
      </c>
      <c r="AG1121" t="inlineStr">
        <is>
          <t>AUTO_GENERERAD. Verifiera citat mot kallfil.</t>
        </is>
      </c>
      <c r="AH1121" t="inlineStr">
        <is>
          <t>MEDIUM</t>
        </is>
      </c>
      <c r="AI1121" t="inlineStr">
        <is>
          <t>AUTO</t>
        </is>
      </c>
      <c r="AJ1121" t="inlineStr">
        <is>
          <t>Nej</t>
        </is>
      </c>
      <c r="AK1121" t="inlineStr"/>
      <c r="AL1121" t="inlineStr"/>
      <c r="AM1121" t="inlineStr"/>
      <c r="AN1121" t="inlineStr"/>
      <c r="AO1121" t="inlineStr">
        <is>
          <t>cmm4yupoi02tecuqwcxfb7ykc</t>
        </is>
      </c>
      <c r="AP1121" t="inlineStr">
        <is>
          <t>http://localhost:8787/api/admin/requirements/documents/cmm4yupoi02tecuqwcxfb7ykc/view</t>
        </is>
      </c>
      <c r="AQ1121">
        <f>HYPERLÄNK("http://localhost:8787/api/admin/requirements/documents/cmm4yupoi02tecuqwcxfb7ykc/view";"Öppna PDF")</f>
        <v/>
      </c>
      <c r="AR1121">
        <f>HYPERLINK("http://localhost:8787/api/admin/requirements/documents/cmm4yupoi02tecuqwcxfb7ykc/view","Open PDF")</f>
        <v/>
      </c>
      <c r="AS1121" t="inlineStr">
        <is>
          <t>cmm55w57p0004cuisfrtpqly8</t>
        </is>
      </c>
      <c r="AT1121" t="inlineStr">
        <is>
          <t>cmm4xvu980000cuh4vj0usz09</t>
        </is>
      </c>
      <c r="AU1121" t="inlineStr"/>
      <c r="AV1121" t="inlineStr">
        <is>
          <t>Kommun</t>
        </is>
      </c>
      <c r="AW1121" t="inlineStr"/>
      <c r="AX1121" t="inlineStr">
        <is>
          <t>2013:251</t>
        </is>
      </c>
      <c r="AY1121" t="inlineStr">
        <is>
          <t>Anmalan</t>
        </is>
      </c>
      <c r="AZ1121" t="inlineStr">
        <is>
          <t>2026-02-04</t>
        </is>
      </c>
      <c r="BA1121" t="inlineStr">
        <is>
          <t>2025-3473 8.pdf</t>
        </is>
      </c>
      <c r="BB1121" t="inlineStr">
        <is>
          <t>Sv:  Begäran om utlämnande av allmän handling – Anmälningar och beslut rörande mellanlagring av avfall samt anläggning av ytor</t>
        </is>
      </c>
      <c r="BC1121" t="inlineStr">
        <is>
          <t>AUTO</t>
        </is>
      </c>
      <c r="BD1121" t="inlineStr"/>
      <c r="BE1121" t="inlineStr"/>
      <c r="BF1121" t="inlineStr">
        <is>
          <t>AUTO_GENERERAD. Bekrafta metadata mot kallfil.</t>
        </is>
      </c>
      <c r="BG1121">
        <f>HYPERLINK("C:\Users\jimmy\Desktop\Examens arbete\Kod\Ny mapp\remix_-copy-of-miljöbeslut.se-portal\2025-3473 8.pdf", "Öppna PDF")</f>
        <v/>
      </c>
    </row>
    <row r="1122">
      <c r="A1122" t="inlineStr">
        <is>
          <t>KRAV-AUTO-001121</t>
        </is>
      </c>
      <c r="B1122" t="inlineStr">
        <is>
          <t>ADMIN-INDEX-2026-02-27-00000000125C043F57453246863FE664CAFE6A3F0700950291EA24F0614FB6ACEDB12BF0E31D00000000010C0000950291EA24F0614FB6ACEDB12BF0E31D00002087AE620000</t>
        </is>
      </c>
      <c r="C1122" t="inlineStr">
        <is>
          <t>cmm4yupnt02sqcuqw14icrttf</t>
        </is>
      </c>
      <c r="D1122" t="inlineStr">
        <is>
          <t>http://localhost:8787/api/admin/requirements/documents/cmm4yupnt02sqcuqw14icrttf/view</t>
        </is>
      </c>
      <c r="E1122">
        <f>HYPERLÄNK("http://localhost:8787/api/admin/requirements/documents/cmm4yupnt02sqcuqw14icrttf/view";"Öppna PDF")</f>
        <v/>
      </c>
      <c r="F1122">
        <f>HYPERLINK("http://localhost:8787/api/admin/requirements/documents/cmm4yupnt02sqcuqw14icrttf/view","Open PDF")</f>
        <v/>
      </c>
      <c r="G1122" t="inlineStr">
        <is>
          <t>cmm55w57p0004cuisfrtpqly8</t>
        </is>
      </c>
      <c r="H1122" t="inlineStr">
        <is>
          <t>Informationskrav</t>
        </is>
      </c>
      <c r="I1122" t="inlineStr">
        <is>
          <t>Ytkonstruktion</t>
        </is>
      </c>
      <c r="J1122" t="inlineStr">
        <is>
          <t>Tat yta</t>
        </is>
      </c>
      <c r="K1122" t="inlineStr">
        <is>
          <t>Farligt avfall och kemikalier ska förvaras invallat, invallningen ska rymma 100% av den störta behållarens volym plus 10% av övriga behållares totala volym.</t>
        </is>
      </c>
      <c r="L1122" t="inlineStr">
        <is>
          <t>Farligt avfall och kemikalier ska förvaras invallat, invallningen ska rymma 100% av den störta behållarens volym plus 10% av övriga behållares totala volym.</t>
        </is>
      </c>
      <c r="M1122" t="inlineStr">
        <is>
          <t>SKA</t>
        </is>
      </c>
      <c r="N1122" t="inlineStr"/>
      <c r="O1122" t="inlineStr"/>
      <c r="P1122" t="inlineStr">
        <is>
          <t>Arlig</t>
        </is>
      </c>
      <c r="Q1122" t="inlineStr"/>
      <c r="R1122" t="inlineStr">
        <is>
          <t>Vid mellanlagring av avfall</t>
        </is>
      </c>
      <c r="S1122" t="inlineStr"/>
      <c r="T1122" t="inlineStr">
        <is>
          <t>22 23 70</t>
        </is>
      </c>
      <c r="U1122" t="inlineStr"/>
      <c r="V1122" t="inlineStr"/>
      <c r="W1122" t="inlineStr">
        <is>
          <t>Ja</t>
        </is>
      </c>
      <c r="X1122" t="inlineStr">
        <is>
          <t>Nej</t>
        </is>
      </c>
      <c r="Y1122" t="inlineStr">
        <is>
          <t>Nej</t>
        </is>
      </c>
      <c r="Z1122" t="inlineStr">
        <is>
          <t>Nej</t>
        </is>
      </c>
      <c r="AA1122" t="n">
        <v>5</v>
      </c>
      <c r="AB1122" t="inlineStr">
        <is>
          <t>Teknisk beskrivning av platta</t>
        </is>
      </c>
      <c r="AC1122" t="inlineStr">
        <is>
          <t>Teknisk ritning platta</t>
        </is>
      </c>
      <c r="AD1122" t="inlineStr">
        <is>
          <t>Nej</t>
        </is>
      </c>
      <c r="AE1122" t="inlineStr">
        <is>
          <t>Nej</t>
        </is>
      </c>
      <c r="AF1122" t="inlineStr">
        <is>
          <t>Ej behandlad</t>
        </is>
      </c>
      <c r="AG1122" t="inlineStr">
        <is>
          <t>AUTO_GENERERAD. Verifiera citat mot kallfil.</t>
        </is>
      </c>
      <c r="AH1122" t="inlineStr">
        <is>
          <t>MEDIUM</t>
        </is>
      </c>
      <c r="AI1122" t="inlineStr">
        <is>
          <t>AUTO</t>
        </is>
      </c>
      <c r="AJ1122" t="inlineStr">
        <is>
          <t>Nej</t>
        </is>
      </c>
      <c r="AK1122" t="inlineStr"/>
      <c r="AL1122" t="inlineStr"/>
      <c r="AM1122" t="inlineStr"/>
      <c r="AN1122" t="inlineStr"/>
      <c r="AO1122" t="inlineStr">
        <is>
          <t>cmm4yupoi02tecuqwcxfb7ykc</t>
        </is>
      </c>
      <c r="AP1122" t="inlineStr">
        <is>
          <t>http://localhost:8787/api/admin/requirements/documents/cmm4yupoi02tecuqwcxfb7ykc/view</t>
        </is>
      </c>
      <c r="AQ1122">
        <f>HYPERLÄNK("http://localhost:8787/api/admin/requirements/documents/cmm4yupoi02tecuqwcxfb7ykc/view";"Öppna PDF")</f>
        <v/>
      </c>
      <c r="AR1122">
        <f>HYPERLINK("http://localhost:8787/api/admin/requirements/documents/cmm4yupoi02tecuqwcxfb7ykc/view","Open PDF")</f>
        <v/>
      </c>
      <c r="AS1122" t="inlineStr">
        <is>
          <t>cmm55w57p0004cuisfrtpqly8</t>
        </is>
      </c>
      <c r="AT1122" t="inlineStr">
        <is>
          <t>cmm4xvu980000cuh4vj0usz09</t>
        </is>
      </c>
      <c r="AU1122" t="inlineStr"/>
      <c r="AV1122" t="inlineStr">
        <is>
          <t>Kommun</t>
        </is>
      </c>
      <c r="AW1122" t="inlineStr"/>
      <c r="AX1122" t="inlineStr">
        <is>
          <t>2013:251</t>
        </is>
      </c>
      <c r="AY1122" t="inlineStr">
        <is>
          <t>Anmalan</t>
        </is>
      </c>
      <c r="AZ1122" t="inlineStr">
        <is>
          <t>2026-02-04</t>
        </is>
      </c>
      <c r="BA1122" t="inlineStr">
        <is>
          <t>2025-3473 8.pdf</t>
        </is>
      </c>
      <c r="BB1122" t="inlineStr">
        <is>
          <t>Sv:  Begäran om utlämnande av allmän handling – Anmälningar och beslut rörande mellanlagring av avfall samt anläggning av ytor</t>
        </is>
      </c>
      <c r="BC1122" t="inlineStr">
        <is>
          <t>AUTO</t>
        </is>
      </c>
      <c r="BD1122" t="inlineStr"/>
      <c r="BE1122" t="inlineStr"/>
      <c r="BF1122" t="inlineStr">
        <is>
          <t>AUTO_GENERERAD. Bekrafta metadata mot kallfil.</t>
        </is>
      </c>
      <c r="BG1122">
        <f>HYPERLINK("C:\Users\jimmy\Desktop\Examens arbete\Kod\Ny mapp\remix_-copy-of-miljöbeslut.se-portal\2025-3473 8.pdf", "Öppna PDF")</f>
        <v/>
      </c>
    </row>
    <row r="1123">
      <c r="A1123" t="inlineStr">
        <is>
          <t>KRAV-AUTO-001122</t>
        </is>
      </c>
      <c r="B1123" t="inlineStr">
        <is>
          <t>ADMIN-INDEX-2026-02-27-00000000125C043F57453246863FE664CAFE6A3F0700950291EA24F0614FB6ACEDB12BF0E31D00000000010C0000950291EA24F0614FB6ACEDB12BF0E31D00002087AE620000</t>
        </is>
      </c>
      <c r="C1123" t="inlineStr">
        <is>
          <t>cmm4yupnt02sqcuqw14icrttf</t>
        </is>
      </c>
      <c r="D1123" t="inlineStr">
        <is>
          <t>http://localhost:8787/api/admin/requirements/documents/cmm4yupnt02sqcuqw14icrttf/view</t>
        </is>
      </c>
      <c r="E1123">
        <f>HYPERLÄNK("http://localhost:8787/api/admin/requirements/documents/cmm4yupnt02sqcuqw14icrttf/view";"Öppna PDF")</f>
        <v/>
      </c>
      <c r="F1123">
        <f>HYPERLINK("http://localhost:8787/api/admin/requirements/documents/cmm4yupnt02sqcuqw14icrttf/view","Open PDF")</f>
        <v/>
      </c>
      <c r="G1123" t="inlineStr">
        <is>
          <t>cmm55w57p0004cuisfrtpqly8</t>
        </is>
      </c>
      <c r="H1123" t="inlineStr">
        <is>
          <t>Informationskrav</t>
        </is>
      </c>
      <c r="I1123" t="inlineStr">
        <is>
          <t>DagvattenLakvatten</t>
        </is>
      </c>
      <c r="J1123" t="inlineStr">
        <is>
          <t>Uppsamling</t>
        </is>
      </c>
      <c r="K1123" t="inlineStr">
        <is>
          <t>Vatten behöver tillföras vissa produkter för att rätt fukthalt ska bibehållas så något överskott på dagvatten räknar vi inte med att få inom verksamheten.</t>
        </is>
      </c>
      <c r="L1123" t="inlineStr">
        <is>
          <t>Vatten behöver tillföras vissa produkter för att rätt fukthalt ska bibehållas så något överskott på dagvatten räknar vi inte med att få inom verksamheten.</t>
        </is>
      </c>
      <c r="M1123" t="inlineStr">
        <is>
          <t>SKA</t>
        </is>
      </c>
      <c r="N1123" t="inlineStr"/>
      <c r="O1123" t="inlineStr"/>
      <c r="P1123" t="inlineStr"/>
      <c r="Q1123" t="inlineStr"/>
      <c r="R1123" t="inlineStr">
        <is>
          <t>Vid nederbord och avrinning</t>
        </is>
      </c>
      <c r="S1123" t="inlineStr"/>
      <c r="T1123" t="inlineStr">
        <is>
          <t>22 23 70</t>
        </is>
      </c>
      <c r="U1123" t="inlineStr"/>
      <c r="V1123" t="inlineStr"/>
      <c r="W1123" t="inlineStr">
        <is>
          <t>Nej</t>
        </is>
      </c>
      <c r="X1123" t="inlineStr">
        <is>
          <t>Ja</t>
        </is>
      </c>
      <c r="Y1123" t="inlineStr">
        <is>
          <t>Ja</t>
        </is>
      </c>
      <c r="Z1123" t="inlineStr">
        <is>
          <t>Nej</t>
        </is>
      </c>
      <c r="AA1123" t="n">
        <v>6</v>
      </c>
      <c r="AB1123" t="inlineStr">
        <is>
          <t>Lakvattenhantering</t>
        </is>
      </c>
      <c r="AC1123" t="inlineStr">
        <is>
          <t>Flodesschema dagvatten-lakvatten</t>
        </is>
      </c>
      <c r="AD1123" t="inlineStr">
        <is>
          <t>Nej</t>
        </is>
      </c>
      <c r="AE1123" t="inlineStr">
        <is>
          <t>Nej</t>
        </is>
      </c>
      <c r="AF1123" t="inlineStr">
        <is>
          <t>Ej behandlad</t>
        </is>
      </c>
      <c r="AG1123" t="inlineStr">
        <is>
          <t>AUTO_GENERERAD. Verifiera citat mot kallfil.</t>
        </is>
      </c>
      <c r="AH1123" t="inlineStr">
        <is>
          <t>MEDIUM</t>
        </is>
      </c>
      <c r="AI1123" t="inlineStr">
        <is>
          <t>AUTO</t>
        </is>
      </c>
      <c r="AJ1123" t="inlineStr">
        <is>
          <t>Nej</t>
        </is>
      </c>
      <c r="AK1123" t="inlineStr"/>
      <c r="AL1123" t="inlineStr"/>
      <c r="AM1123" t="inlineStr"/>
      <c r="AN1123" t="inlineStr"/>
      <c r="AO1123" t="inlineStr">
        <is>
          <t>cmm4yupoi02tecuqwcxfb7ykc</t>
        </is>
      </c>
      <c r="AP1123" t="inlineStr">
        <is>
          <t>http://localhost:8787/api/admin/requirements/documents/cmm4yupoi02tecuqwcxfb7ykc/view</t>
        </is>
      </c>
      <c r="AQ1123">
        <f>HYPERLÄNK("http://localhost:8787/api/admin/requirements/documents/cmm4yupoi02tecuqwcxfb7ykc/view";"Öppna PDF")</f>
        <v/>
      </c>
      <c r="AR1123">
        <f>HYPERLINK("http://localhost:8787/api/admin/requirements/documents/cmm4yupoi02tecuqwcxfb7ykc/view","Open PDF")</f>
        <v/>
      </c>
      <c r="AS1123" t="inlineStr">
        <is>
          <t>cmm55w57p0004cuisfrtpqly8</t>
        </is>
      </c>
      <c r="AT1123" t="inlineStr">
        <is>
          <t>cmm4xvu980000cuh4vj0usz09</t>
        </is>
      </c>
      <c r="AU1123" t="inlineStr"/>
      <c r="AV1123" t="inlineStr">
        <is>
          <t>Kommun</t>
        </is>
      </c>
      <c r="AW1123" t="inlineStr"/>
      <c r="AX1123" t="inlineStr">
        <is>
          <t>2013:251</t>
        </is>
      </c>
      <c r="AY1123" t="inlineStr">
        <is>
          <t>Anmalan</t>
        </is>
      </c>
      <c r="AZ1123" t="inlineStr">
        <is>
          <t>2026-02-04</t>
        </is>
      </c>
      <c r="BA1123" t="inlineStr">
        <is>
          <t>2025-3473 8.pdf</t>
        </is>
      </c>
      <c r="BB1123" t="inlineStr">
        <is>
          <t>Sv:  Begäran om utlämnande av allmän handling – Anmälningar och beslut rörande mellanlagring av avfall samt anläggning av ytor</t>
        </is>
      </c>
      <c r="BC1123" t="inlineStr">
        <is>
          <t>AUTO</t>
        </is>
      </c>
      <c r="BD1123" t="inlineStr"/>
      <c r="BE1123" t="inlineStr"/>
      <c r="BF1123" t="inlineStr">
        <is>
          <t>AUTO_GENERERAD. Bekrafta metadata mot kallfil.</t>
        </is>
      </c>
      <c r="BG1123">
        <f>HYPERLINK("C:\Users\jimmy\Desktop\Examens arbete\Kod\Ny mapp\remix_-copy-of-miljöbeslut.se-portal\2025-3473 8.pdf", "Öppna PDF")</f>
        <v/>
      </c>
    </row>
    <row r="1124">
      <c r="A1124" t="inlineStr">
        <is>
          <t>KRAV-AUTO-001123</t>
        </is>
      </c>
      <c r="B1124" t="inlineStr">
        <is>
          <t>ADMIN-INDEX-2026-02-27-00000000125C043F57453246863FE664CAFE6A3F0700950291EA24F0614FB6ACEDB12BF0E31D00000000010C0000950291EA24F0614FB6ACEDB12BF0E31D00002087AE620000</t>
        </is>
      </c>
      <c r="C1124" t="inlineStr">
        <is>
          <t>cmm4yupnt02sqcuqw14icrttf</t>
        </is>
      </c>
      <c r="D1124" t="inlineStr">
        <is>
          <t>http://localhost:8787/api/admin/requirements/documents/cmm4yupnt02sqcuqw14icrttf/view</t>
        </is>
      </c>
      <c r="E1124">
        <f>HYPERLÄNK("http://localhost:8787/api/admin/requirements/documents/cmm4yupnt02sqcuqw14icrttf/view";"Öppna PDF")</f>
        <v/>
      </c>
      <c r="F1124">
        <f>HYPERLINK("http://localhost:8787/api/admin/requirements/documents/cmm4yupnt02sqcuqw14icrttf/view","Open PDF")</f>
        <v/>
      </c>
      <c r="G1124" t="inlineStr">
        <is>
          <t>cmm55w57p0004cuisfrtpqly8</t>
        </is>
      </c>
      <c r="H1124" t="inlineStr">
        <is>
          <t>Informationskrav</t>
        </is>
      </c>
      <c r="I1124" t="inlineStr">
        <is>
          <t>Riskhantering</t>
        </is>
      </c>
      <c r="J1124" t="inlineStr">
        <is>
          <t>Riskkontroll</t>
        </is>
      </c>
      <c r="K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124" t="inlineStr">
        <is>
          <t>SKA</t>
        </is>
      </c>
      <c r="N1124" t="inlineStr"/>
      <c r="O1124" t="inlineStr"/>
      <c r="P1124" t="inlineStr"/>
      <c r="Q1124" t="inlineStr"/>
      <c r="R1124" t="inlineStr">
        <is>
          <t>Vid risk for incident</t>
        </is>
      </c>
      <c r="S1124" t="inlineStr"/>
      <c r="T1124" t="inlineStr">
        <is>
          <t>22 23 70</t>
        </is>
      </c>
      <c r="U1124" t="inlineStr"/>
      <c r="V1124" t="inlineStr"/>
      <c r="W1124" t="inlineStr">
        <is>
          <t>Nej</t>
        </is>
      </c>
      <c r="X1124" t="inlineStr">
        <is>
          <t>Nej</t>
        </is>
      </c>
      <c r="Y1124" t="inlineStr">
        <is>
          <t>Ja</t>
        </is>
      </c>
      <c r="Z1124" t="inlineStr">
        <is>
          <t>Ja</t>
        </is>
      </c>
      <c r="AA1124" t="n">
        <v>8</v>
      </c>
      <c r="AB1124" t="inlineStr">
        <is>
          <t>Riskhantering</t>
        </is>
      </c>
      <c r="AC1124" t="inlineStr">
        <is>
          <t>Risk-PM</t>
        </is>
      </c>
      <c r="AD1124" t="inlineStr">
        <is>
          <t>Nej</t>
        </is>
      </c>
      <c r="AE1124" t="inlineStr">
        <is>
          <t>Nej</t>
        </is>
      </c>
      <c r="AF1124" t="inlineStr">
        <is>
          <t>Ej behandlad</t>
        </is>
      </c>
      <c r="AG1124" t="inlineStr">
        <is>
          <t>AUTO_GENERERAD. Verifiera citat mot kallfil.</t>
        </is>
      </c>
      <c r="AH1124" t="inlineStr">
        <is>
          <t>MEDIUM</t>
        </is>
      </c>
      <c r="AI1124" t="inlineStr">
        <is>
          <t>AUTO</t>
        </is>
      </c>
      <c r="AJ1124" t="inlineStr">
        <is>
          <t>Nej</t>
        </is>
      </c>
      <c r="AK1124" t="inlineStr"/>
      <c r="AL1124" t="inlineStr"/>
      <c r="AM1124" t="inlineStr"/>
      <c r="AN1124" t="inlineStr"/>
      <c r="AO1124" t="inlineStr">
        <is>
          <t>cmm4yupoi02tecuqwcxfb7ykc</t>
        </is>
      </c>
      <c r="AP1124" t="inlineStr">
        <is>
          <t>http://localhost:8787/api/admin/requirements/documents/cmm4yupoi02tecuqwcxfb7ykc/view</t>
        </is>
      </c>
      <c r="AQ1124">
        <f>HYPERLÄNK("http://localhost:8787/api/admin/requirements/documents/cmm4yupoi02tecuqwcxfb7ykc/view";"Öppna PDF")</f>
        <v/>
      </c>
      <c r="AR1124">
        <f>HYPERLINK("http://localhost:8787/api/admin/requirements/documents/cmm4yupoi02tecuqwcxfb7ykc/view","Open PDF")</f>
        <v/>
      </c>
      <c r="AS1124" t="inlineStr">
        <is>
          <t>cmm55w57p0004cuisfrtpqly8</t>
        </is>
      </c>
      <c r="AT1124" t="inlineStr">
        <is>
          <t>cmm4xvu980000cuh4vj0usz09</t>
        </is>
      </c>
      <c r="AU1124" t="inlineStr"/>
      <c r="AV1124" t="inlineStr">
        <is>
          <t>Kommun</t>
        </is>
      </c>
      <c r="AW1124" t="inlineStr"/>
      <c r="AX1124" t="inlineStr">
        <is>
          <t>2013:251</t>
        </is>
      </c>
      <c r="AY1124" t="inlineStr">
        <is>
          <t>Anmalan</t>
        </is>
      </c>
      <c r="AZ1124" t="inlineStr">
        <is>
          <t>2026-02-04</t>
        </is>
      </c>
      <c r="BA1124" t="inlineStr">
        <is>
          <t>2025-3473 8.pdf</t>
        </is>
      </c>
      <c r="BB1124" t="inlineStr">
        <is>
          <t>Sv:  Begäran om utlämnande av allmän handling – Anmälningar och beslut rörande mellanlagring av avfall samt anläggning av ytor</t>
        </is>
      </c>
      <c r="BC1124" t="inlineStr">
        <is>
          <t>AUTO</t>
        </is>
      </c>
      <c r="BD1124" t="inlineStr"/>
      <c r="BE1124" t="inlineStr"/>
      <c r="BF1124" t="inlineStr">
        <is>
          <t>AUTO_GENERERAD. Bekrafta metadata mot kallfil.</t>
        </is>
      </c>
      <c r="BG1124">
        <f>HYPERLINK("C:\Users\jimmy\Desktop\Examens arbete\Kod\Ny mapp\remix_-copy-of-miljöbeslut.se-portal\2025-3473 8.pdf", "Öppna PDF")</f>
        <v/>
      </c>
    </row>
    <row r="1125">
      <c r="A1125" t="inlineStr">
        <is>
          <t>KRAV-AUTO-001124</t>
        </is>
      </c>
      <c r="B1125" t="inlineStr">
        <is>
          <t>ADMIN-INDEX-2026-02-27-00000000125C043F57453246863FE664CAFE6A3F0700950291EA24F0614FB6ACEDB12BF0E31D00000000010C0000950291EA24F0614FB6ACEDB12BF0E31D00002087AE620000</t>
        </is>
      </c>
      <c r="C1125" t="inlineStr">
        <is>
          <t>cmm4yupnr02sncuqw6w96jqdy</t>
        </is>
      </c>
      <c r="D1125" t="inlineStr">
        <is>
          <t>http://localhost:8787/api/admin/requirements/documents/cmm4yupnr02sncuqw6w96jqdy/view</t>
        </is>
      </c>
      <c r="E1125">
        <f>HYPERLÄNK("http://localhost:8787/api/admin/requirements/documents/cmm4yupnr02sncuqw6w96jqdy/view";"Öppna PDF")</f>
        <v/>
      </c>
      <c r="F1125">
        <f>HYPERLINK("http://localhost:8787/api/admin/requirements/documents/cmm4yupnr02sncuqw6w96jqdy/view","Open PDF")</f>
        <v/>
      </c>
      <c r="G1125" t="inlineStr">
        <is>
          <t>cmm55w57p0004cuisfrtpqly8</t>
        </is>
      </c>
      <c r="H1125" t="inlineStr">
        <is>
          <t>Informationskrav</t>
        </is>
      </c>
      <c r="I1125" t="inlineStr">
        <is>
          <t>LagringsvolymTid</t>
        </is>
      </c>
      <c r="J1125" t="inlineStr">
        <is>
          <t>Maxmangd</t>
        </is>
      </c>
      <c r="K1125" t="inlineStr">
        <is>
          <t>Bland annat ska typer och mängder av avfall som behandlas och lagras regleras vilket har gjorts i punkt 2, 3, 4 och 5 i föreläggandet.</t>
        </is>
      </c>
      <c r="L1125" t="inlineStr">
        <is>
          <t>Bland annat ska typer och mängder av avfall som behandlas och lagras regleras vilket har gjorts i punkt 2, 3, 4 och 5 i föreläggandet.</t>
        </is>
      </c>
      <c r="M1125" t="inlineStr">
        <is>
          <t>SKA</t>
        </is>
      </c>
      <c r="N1125" t="inlineStr"/>
      <c r="O1125" t="inlineStr"/>
      <c r="P1125" t="inlineStr"/>
      <c r="Q1125" t="inlineStr">
        <is>
          <t>Forelaggande vid brist</t>
        </is>
      </c>
      <c r="R1125" t="inlineStr">
        <is>
          <t>Alltid</t>
        </is>
      </c>
      <c r="S1125" t="inlineStr"/>
      <c r="T1125" t="inlineStr">
        <is>
          <t>35 30 00</t>
        </is>
      </c>
      <c r="U1125" t="inlineStr"/>
      <c r="V1125" t="inlineStr"/>
      <c r="W1125" t="inlineStr">
        <is>
          <t>Nej</t>
        </is>
      </c>
      <c r="X1125" t="inlineStr">
        <is>
          <t>Nej</t>
        </is>
      </c>
      <c r="Y1125" t="inlineStr">
        <is>
          <t>Nej</t>
        </is>
      </c>
      <c r="Z1125" t="inlineStr">
        <is>
          <t>Nej</t>
        </is>
      </c>
      <c r="AA1125" t="n">
        <v>4</v>
      </c>
      <c r="AB1125" t="inlineStr">
        <is>
          <t>Avfallsmangder och lagringstid</t>
        </is>
      </c>
      <c r="AC1125" t="inlineStr">
        <is>
          <t>Avfallsforteckning</t>
        </is>
      </c>
      <c r="AD1125" t="inlineStr">
        <is>
          <t>Nej</t>
        </is>
      </c>
      <c r="AE1125" t="inlineStr">
        <is>
          <t>Nej</t>
        </is>
      </c>
      <c r="AF1125" t="inlineStr">
        <is>
          <t>Ej behandlad</t>
        </is>
      </c>
      <c r="AG1125" t="inlineStr">
        <is>
          <t>AUTO_GENERERAD. Verifiera citat mot kallfil.</t>
        </is>
      </c>
      <c r="AH1125" t="inlineStr">
        <is>
          <t>MEDIUM</t>
        </is>
      </c>
      <c r="AI1125" t="inlineStr">
        <is>
          <t>AUTO</t>
        </is>
      </c>
      <c r="AJ1125" t="inlineStr">
        <is>
          <t>Nej</t>
        </is>
      </c>
      <c r="AK1125" t="inlineStr"/>
      <c r="AL1125" t="inlineStr"/>
      <c r="AM1125" t="inlineStr"/>
      <c r="AN1125" t="inlineStr"/>
      <c r="AO1125" t="inlineStr">
        <is>
          <t>cmm4yupoi02tecuqwcxfb7ykc</t>
        </is>
      </c>
      <c r="AP1125" t="inlineStr">
        <is>
          <t>http://localhost:8787/api/admin/requirements/documents/cmm4yupoi02tecuqwcxfb7ykc/view</t>
        </is>
      </c>
      <c r="AQ1125">
        <f>HYPERLÄNK("http://localhost:8787/api/admin/requirements/documents/cmm4yupoi02tecuqwcxfb7ykc/view";"Öppna PDF")</f>
        <v/>
      </c>
      <c r="AR1125">
        <f>HYPERLINK("http://localhost:8787/api/admin/requirements/documents/cmm4yupoi02tecuqwcxfb7ykc/view","Open PDF")</f>
        <v/>
      </c>
      <c r="AS1125" t="inlineStr">
        <is>
          <t>cmm55w57p0004cuisfrtpqly8</t>
        </is>
      </c>
      <c r="AT1125" t="inlineStr">
        <is>
          <t>cmm4xvu980000cuh4vj0usz09</t>
        </is>
      </c>
      <c r="AU1125" t="inlineStr"/>
      <c r="AV1125" t="inlineStr">
        <is>
          <t>Kommun</t>
        </is>
      </c>
      <c r="AW1125" t="inlineStr"/>
      <c r="AX1125" t="inlineStr">
        <is>
          <t>2013:251</t>
        </is>
      </c>
      <c r="AY1125" t="inlineStr">
        <is>
          <t>Anmalan</t>
        </is>
      </c>
      <c r="AZ1125" t="inlineStr">
        <is>
          <t>2026-02-04</t>
        </is>
      </c>
      <c r="BA1125" t="inlineStr">
        <is>
          <t>2025-3473 8.pdf</t>
        </is>
      </c>
      <c r="BB1125" t="inlineStr">
        <is>
          <t>Sv:  Begäran om utlämnande av allmän handling – Anmälningar och beslut rörande mellanlagring av avfall samt anläggning av ytor</t>
        </is>
      </c>
      <c r="BC1125" t="inlineStr">
        <is>
          <t>AUTO</t>
        </is>
      </c>
      <c r="BD1125" t="inlineStr"/>
      <c r="BE1125" t="inlineStr"/>
      <c r="BF1125" t="inlineStr">
        <is>
          <t>AUTO_GENERERAD. Bekrafta metadata mot kallfil.</t>
        </is>
      </c>
      <c r="BG1125">
        <f>HYPERLINK("C:\Users\jimmy\Desktop\Examens arbete\Kod\Ny mapp\remix_-copy-of-miljöbeslut.se-portal\2025-3473 8.pdf", "Öppna PDF")</f>
        <v/>
      </c>
    </row>
    <row r="1126">
      <c r="A1126" t="inlineStr">
        <is>
          <t>KRAV-AUTO-001125</t>
        </is>
      </c>
      <c r="B1126" t="inlineStr">
        <is>
          <t>ADMIN-INDEX-2026-02-27-00000000125C043F57453246863FE664CAFE6A3F0700950291EA24F0614FB6ACEDB12BF0E31D00000000010C0000950291EA24F0614FB6ACEDB12BF0E31D00002087AE620000</t>
        </is>
      </c>
      <c r="C1126" t="inlineStr">
        <is>
          <t>cmm4yupnr02sncuqw6w96jqdy</t>
        </is>
      </c>
      <c r="D1126" t="inlineStr">
        <is>
          <t>http://localhost:8787/api/admin/requirements/documents/cmm4yupnr02sncuqw6w96jqdy/view</t>
        </is>
      </c>
      <c r="E1126">
        <f>HYPERLÄNK("http://localhost:8787/api/admin/requirements/documents/cmm4yupnr02sncuqw6w96jqdy/view";"Öppna PDF")</f>
        <v/>
      </c>
      <c r="F1126">
        <f>HYPERLINK("http://localhost:8787/api/admin/requirements/documents/cmm4yupnr02sncuqw6w96jqdy/view","Open PDF")</f>
        <v/>
      </c>
      <c r="G1126" t="inlineStr">
        <is>
          <t>cmm55w57p0004cuisfrtpqly8</t>
        </is>
      </c>
      <c r="H1126" t="inlineStr">
        <is>
          <t>Informationskrav</t>
        </is>
      </c>
      <c r="I1126" t="inlineStr">
        <is>
          <t>DriftEgenkontroll</t>
        </is>
      </c>
      <c r="J1126" t="inlineStr">
        <is>
          <t>Journalforing</t>
        </is>
      </c>
      <c r="K1126" t="inlineStr">
        <is>
          <t>Avfall som misstänks vara förorenat ska förvaras separat och får inte blandas med annat avfall innan provtagning och analysresultat är klara.</t>
        </is>
      </c>
      <c r="L1126" t="inlineStr">
        <is>
          <t>Avfall som misstänks vara förorenat ska förvaras separat och får inte blandas med annat avfall innan provtagning och analysresultat är klara.</t>
        </is>
      </c>
      <c r="M1126" t="inlineStr">
        <is>
          <t>SKA</t>
        </is>
      </c>
      <c r="N1126" t="inlineStr"/>
      <c r="O1126" t="inlineStr"/>
      <c r="P1126" t="inlineStr"/>
      <c r="Q1126" t="inlineStr">
        <is>
          <t>Driftbegransning vid avvikelse</t>
        </is>
      </c>
      <c r="R1126" t="inlineStr">
        <is>
          <t>Lopande drift</t>
        </is>
      </c>
      <c r="S1126" t="inlineStr"/>
      <c r="T1126" t="inlineStr">
        <is>
          <t>35 30 00</t>
        </is>
      </c>
      <c r="U1126" t="inlineStr"/>
      <c r="V1126" t="inlineStr"/>
      <c r="W1126" t="inlineStr">
        <is>
          <t>Nej</t>
        </is>
      </c>
      <c r="X1126" t="inlineStr">
        <is>
          <t>Nej</t>
        </is>
      </c>
      <c r="Y1126" t="inlineStr">
        <is>
          <t>Ja</t>
        </is>
      </c>
      <c r="Z1126" t="inlineStr">
        <is>
          <t>Nej</t>
        </is>
      </c>
      <c r="AA1126" t="n">
        <v>7</v>
      </c>
      <c r="AB1126" t="inlineStr">
        <is>
          <t>Egenkontrollrutiner</t>
        </is>
      </c>
      <c r="AC1126" t="inlineStr">
        <is>
          <t>Egenkontrollprogram</t>
        </is>
      </c>
      <c r="AD1126" t="inlineStr">
        <is>
          <t>Nej</t>
        </is>
      </c>
      <c r="AE1126" t="inlineStr">
        <is>
          <t>Nej</t>
        </is>
      </c>
      <c r="AF1126" t="inlineStr">
        <is>
          <t>Ej behandlad</t>
        </is>
      </c>
      <c r="AG1126" t="inlineStr">
        <is>
          <t>AUTO_GENERERAD. Verifiera citat mot kallfil.</t>
        </is>
      </c>
      <c r="AH1126" t="inlineStr">
        <is>
          <t>MEDIUM</t>
        </is>
      </c>
      <c r="AI1126" t="inlineStr">
        <is>
          <t>AUTO</t>
        </is>
      </c>
      <c r="AJ1126" t="inlineStr">
        <is>
          <t>Nej</t>
        </is>
      </c>
      <c r="AK1126" t="inlineStr"/>
      <c r="AL1126" t="inlineStr"/>
      <c r="AM1126" t="inlineStr"/>
      <c r="AN1126" t="inlineStr"/>
      <c r="AO1126" t="inlineStr">
        <is>
          <t>cmm4yupoi02tecuqwcxfb7ykc</t>
        </is>
      </c>
      <c r="AP1126" t="inlineStr">
        <is>
          <t>http://localhost:8787/api/admin/requirements/documents/cmm4yupoi02tecuqwcxfb7ykc/view</t>
        </is>
      </c>
      <c r="AQ1126">
        <f>HYPERLÄNK("http://localhost:8787/api/admin/requirements/documents/cmm4yupoi02tecuqwcxfb7ykc/view";"Öppna PDF")</f>
        <v/>
      </c>
      <c r="AR1126">
        <f>HYPERLINK("http://localhost:8787/api/admin/requirements/documents/cmm4yupoi02tecuqwcxfb7ykc/view","Open PDF")</f>
        <v/>
      </c>
      <c r="AS1126" t="inlineStr">
        <is>
          <t>cmm55w57p0004cuisfrtpqly8</t>
        </is>
      </c>
      <c r="AT1126" t="inlineStr">
        <is>
          <t>cmm4xvu980000cuh4vj0usz09</t>
        </is>
      </c>
      <c r="AU1126" t="inlineStr"/>
      <c r="AV1126" t="inlineStr">
        <is>
          <t>Kommun</t>
        </is>
      </c>
      <c r="AW1126" t="inlineStr"/>
      <c r="AX1126" t="inlineStr">
        <is>
          <t>2013:251</t>
        </is>
      </c>
      <c r="AY1126" t="inlineStr">
        <is>
          <t>Anmalan</t>
        </is>
      </c>
      <c r="AZ1126" t="inlineStr">
        <is>
          <t>2026-02-04</t>
        </is>
      </c>
      <c r="BA1126" t="inlineStr">
        <is>
          <t>2025-3473 8.pdf</t>
        </is>
      </c>
      <c r="BB1126" t="inlineStr">
        <is>
          <t>Sv:  Begäran om utlämnande av allmän handling – Anmälningar och beslut rörande mellanlagring av avfall samt anläggning av ytor</t>
        </is>
      </c>
      <c r="BC1126" t="inlineStr">
        <is>
          <t>AUTO</t>
        </is>
      </c>
      <c r="BD1126" t="inlineStr"/>
      <c r="BE1126" t="inlineStr"/>
      <c r="BF1126" t="inlineStr">
        <is>
          <t>AUTO_GENERERAD. Bekrafta metadata mot kallfil.</t>
        </is>
      </c>
      <c r="BG1126">
        <f>HYPERLINK("C:\Users\jimmy\Desktop\Examens arbete\Kod\Ny mapp\remix_-copy-of-miljöbeslut.se-portal\2025-3473 8.pdf", "Öppna PDF")</f>
        <v/>
      </c>
    </row>
    <row r="1127">
      <c r="A1127" t="inlineStr">
        <is>
          <t>KRAV-AUTO-001126</t>
        </is>
      </c>
      <c r="B1127" t="inlineStr">
        <is>
          <t>ADMIN-INDEX-2026-02-27-00000000125C043F57453246863FE664CAFE6A3F0700950291EA24F0614FB6ACEDB12BF0E31D00000000010C0000950291EA24F0614FB6ACEDB12BF0E31D00002087AE620000</t>
        </is>
      </c>
      <c r="C1127" t="inlineStr">
        <is>
          <t>cmm4yupnr02sncuqw6w96jqdy</t>
        </is>
      </c>
      <c r="D1127" t="inlineStr">
        <is>
          <t>http://localhost:8787/api/admin/requirements/documents/cmm4yupnr02sncuqw6w96jqdy/view</t>
        </is>
      </c>
      <c r="E1127">
        <f>HYPERLÄNK("http://localhost:8787/api/admin/requirements/documents/cmm4yupnr02sncuqw6w96jqdy/view";"Öppna PDF")</f>
        <v/>
      </c>
      <c r="F1127">
        <f>HYPERLINK("http://localhost:8787/api/admin/requirements/documents/cmm4yupnr02sncuqw6w96jqdy/view","Open PDF")</f>
        <v/>
      </c>
      <c r="G1127" t="inlineStr">
        <is>
          <t>cmm55w57p0004cuisfrtpqly8</t>
        </is>
      </c>
      <c r="H1127" t="inlineStr">
        <is>
          <t>Informationskrav</t>
        </is>
      </c>
      <c r="I1127" t="inlineStr">
        <is>
          <t>MiljopaverkanForsiktighet</t>
        </is>
      </c>
      <c r="J1127" t="inlineStr">
        <is>
          <t>Skyddsatgarder</t>
        </is>
      </c>
      <c r="K1127" t="inlineStr">
        <is>
          <t>Rutinen för mottagningskontroll ska lämnas in till Miljöförvaltningen innan avfall börjar att tas emot vid anläggningen.</t>
        </is>
      </c>
      <c r="L1127" t="inlineStr">
        <is>
          <t>Rutinen för mottagningskontroll ska lämnas in till Miljöförvaltningen innan avfall börjar att tas emot vid anläggningen.</t>
        </is>
      </c>
      <c r="M1127" t="inlineStr">
        <is>
          <t>SKA</t>
        </is>
      </c>
      <c r="N1127" t="inlineStr"/>
      <c r="O1127" t="inlineStr"/>
      <c r="P1127" t="inlineStr"/>
      <c r="Q1127" t="inlineStr"/>
      <c r="R1127" t="inlineStr">
        <is>
          <t>Alltid</t>
        </is>
      </c>
      <c r="S1127" t="inlineStr"/>
      <c r="T1127" t="inlineStr">
        <is>
          <t>35 30 00</t>
        </is>
      </c>
      <c r="U1127" t="inlineStr"/>
      <c r="V1127" t="inlineStr"/>
      <c r="W1127" t="inlineStr">
        <is>
          <t>Nej</t>
        </is>
      </c>
      <c r="X1127" t="inlineStr">
        <is>
          <t>Nej</t>
        </is>
      </c>
      <c r="Y1127" t="inlineStr">
        <is>
          <t>Nej</t>
        </is>
      </c>
      <c r="Z1127" t="inlineStr">
        <is>
          <t>Nej</t>
        </is>
      </c>
      <c r="AA1127" t="n">
        <v>10</v>
      </c>
      <c r="AB1127" t="inlineStr">
        <is>
          <t>Miljopaverkan och forsiktighetsmatt</t>
        </is>
      </c>
      <c r="AC1127" t="inlineStr">
        <is>
          <t>Miljo-PM</t>
        </is>
      </c>
      <c r="AD1127" t="inlineStr">
        <is>
          <t>Nej</t>
        </is>
      </c>
      <c r="AE1127" t="inlineStr">
        <is>
          <t>Nej</t>
        </is>
      </c>
      <c r="AF1127" t="inlineStr">
        <is>
          <t>Ej behandlad</t>
        </is>
      </c>
      <c r="AG1127" t="inlineStr">
        <is>
          <t>AUTO_GENERERAD. Verifiera citat mot kallfil.</t>
        </is>
      </c>
      <c r="AH1127" t="inlineStr">
        <is>
          <t>MEDIUM</t>
        </is>
      </c>
      <c r="AI1127" t="inlineStr">
        <is>
          <t>AUTO</t>
        </is>
      </c>
      <c r="AJ1127" t="inlineStr">
        <is>
          <t>Nej</t>
        </is>
      </c>
      <c r="AK1127" t="inlineStr"/>
      <c r="AL1127" t="inlineStr"/>
      <c r="AM1127" t="inlineStr"/>
      <c r="AN1127" t="inlineStr"/>
      <c r="AO1127" t="inlineStr">
        <is>
          <t>cmm4yupoi02tecuqwcxfb7ykc</t>
        </is>
      </c>
      <c r="AP1127" t="inlineStr">
        <is>
          <t>http://localhost:8787/api/admin/requirements/documents/cmm4yupoi02tecuqwcxfb7ykc/view</t>
        </is>
      </c>
      <c r="AQ1127">
        <f>HYPERLÄNK("http://localhost:8787/api/admin/requirements/documents/cmm4yupoi02tecuqwcxfb7ykc/view";"Öppna PDF")</f>
        <v/>
      </c>
      <c r="AR1127">
        <f>HYPERLINK("http://localhost:8787/api/admin/requirements/documents/cmm4yupoi02tecuqwcxfb7ykc/view","Open PDF")</f>
        <v/>
      </c>
      <c r="AS1127" t="inlineStr">
        <is>
          <t>cmm55w57p0004cuisfrtpqly8</t>
        </is>
      </c>
      <c r="AT1127" t="inlineStr">
        <is>
          <t>cmm4xvu980000cuh4vj0usz09</t>
        </is>
      </c>
      <c r="AU1127" t="inlineStr"/>
      <c r="AV1127" t="inlineStr">
        <is>
          <t>Kommun</t>
        </is>
      </c>
      <c r="AW1127" t="inlineStr"/>
      <c r="AX1127" t="inlineStr">
        <is>
          <t>2013:251</t>
        </is>
      </c>
      <c r="AY1127" t="inlineStr">
        <is>
          <t>Anmalan</t>
        </is>
      </c>
      <c r="AZ1127" t="inlineStr">
        <is>
          <t>2026-02-04</t>
        </is>
      </c>
      <c r="BA1127" t="inlineStr">
        <is>
          <t>2025-3473 8.pdf</t>
        </is>
      </c>
      <c r="BB1127" t="inlineStr">
        <is>
          <t>Sv:  Begäran om utlämnande av allmän handling – Anmälningar och beslut rörande mellanlagring av avfall samt anläggning av ytor</t>
        </is>
      </c>
      <c r="BC1127" t="inlineStr">
        <is>
          <t>AUTO</t>
        </is>
      </c>
      <c r="BD1127" t="inlineStr"/>
      <c r="BE1127" t="inlineStr"/>
      <c r="BF1127" t="inlineStr">
        <is>
          <t>AUTO_GENERERAD. Bekrafta metadata mot kallfil.</t>
        </is>
      </c>
      <c r="BG1127">
        <f>HYPERLINK("C:\Users\jimmy\Desktop\Examens arbete\Kod\Ny mapp\remix_-copy-of-miljöbeslut.se-portal\2025-3473 8.pdf", "Öppna PDF")</f>
        <v/>
      </c>
    </row>
    <row r="1128">
      <c r="A1128" t="inlineStr">
        <is>
          <t>KRAV-AUTO-001127</t>
        </is>
      </c>
      <c r="B1128" t="inlineStr">
        <is>
          <t>ADMIN-INDEX-2026-02-27-00000000125C043F57453246863FE664CAFE6A3F0700950291EA24F0614FB6ACEDB12BF0E31D00000000010C0000950291EA24F0614FB6ACEDB12BF0E31D00002087AE620000</t>
        </is>
      </c>
      <c r="C1128" t="inlineStr">
        <is>
          <t>cmm4yupno02skcuqw9nieppoi</t>
        </is>
      </c>
      <c r="D1128" t="inlineStr">
        <is>
          <t>http://localhost:8787/api/admin/requirements/documents/cmm4yupno02skcuqw9nieppoi/view</t>
        </is>
      </c>
      <c r="E1128">
        <f>HYPERLÄNK("http://localhost:8787/api/admin/requirements/documents/cmm4yupno02skcuqw9nieppoi/view";"Öppna PDF")</f>
        <v/>
      </c>
      <c r="F1128">
        <f>HYPERLINK("http://localhost:8787/api/admin/requirements/documents/cmm4yupno02skcuqw9nieppoi/view","Open PDF")</f>
        <v/>
      </c>
      <c r="G1128" t="inlineStr">
        <is>
          <t>cmm55w57p0004cuisfrtpqly8</t>
        </is>
      </c>
      <c r="H1128" t="inlineStr">
        <is>
          <t>Informationskrav</t>
        </is>
      </c>
      <c r="I1128" t="inlineStr">
        <is>
          <t>DagvattenLakvatten</t>
        </is>
      </c>
      <c r="J1128" t="inlineStr">
        <is>
          <t>Uppsamling</t>
        </is>
      </c>
      <c r="K1128" t="inlineStr">
        <is>
          <t>Vatten: Vad gäller vatten och avlopp bör uppdelning ske på processvatten, sanitärt vatten och dagvatten.</t>
        </is>
      </c>
      <c r="L1128" t="inlineStr">
        <is>
          <t>Vatten: Vad gäller vatten och avlopp bör uppdelning ske på processvatten, sanitärt vatten och dagvatten.</t>
        </is>
      </c>
      <c r="M1128" t="inlineStr">
        <is>
          <t>BOR</t>
        </is>
      </c>
      <c r="N1128" t="inlineStr"/>
      <c r="O1128" t="inlineStr"/>
      <c r="P1128" t="inlineStr"/>
      <c r="Q1128" t="inlineStr"/>
      <c r="R1128" t="inlineStr">
        <is>
          <t>Vid nederbord och avrinning</t>
        </is>
      </c>
      <c r="S1128" t="inlineStr"/>
      <c r="T1128" t="inlineStr">
        <is>
          <t>35 30 00</t>
        </is>
      </c>
      <c r="U1128" t="inlineStr"/>
      <c r="V1128" t="inlineStr"/>
      <c r="W1128" t="inlineStr">
        <is>
          <t>Nej</t>
        </is>
      </c>
      <c r="X1128" t="inlineStr">
        <is>
          <t>Ja</t>
        </is>
      </c>
      <c r="Y1128" t="inlineStr">
        <is>
          <t>Ja</t>
        </is>
      </c>
      <c r="Z1128" t="inlineStr">
        <is>
          <t>Nej</t>
        </is>
      </c>
      <c r="AA1128" t="n">
        <v>6</v>
      </c>
      <c r="AB1128" t="inlineStr">
        <is>
          <t>Lakvattenhantering</t>
        </is>
      </c>
      <c r="AC1128" t="inlineStr">
        <is>
          <t>Flodesschema dagvatten-lakvatten</t>
        </is>
      </c>
      <c r="AD1128" t="inlineStr">
        <is>
          <t>Nej</t>
        </is>
      </c>
      <c r="AE1128" t="inlineStr">
        <is>
          <t>Nej</t>
        </is>
      </c>
      <c r="AF1128" t="inlineStr">
        <is>
          <t>Ej behandlad</t>
        </is>
      </c>
      <c r="AG1128" t="inlineStr">
        <is>
          <t>AUTO_GENERERAD. Verifiera citat mot kallfil.</t>
        </is>
      </c>
      <c r="AH1128" t="inlineStr">
        <is>
          <t>MEDIUM</t>
        </is>
      </c>
      <c r="AI1128" t="inlineStr">
        <is>
          <t>AUTO</t>
        </is>
      </c>
      <c r="AJ1128" t="inlineStr">
        <is>
          <t>Nej</t>
        </is>
      </c>
      <c r="AK1128" t="inlineStr"/>
      <c r="AL1128" t="inlineStr"/>
      <c r="AM1128" t="inlineStr"/>
      <c r="AN1128" t="inlineStr"/>
      <c r="AO1128" t="inlineStr">
        <is>
          <t>cmm4yupoi02tecuqwcxfb7ykc</t>
        </is>
      </c>
      <c r="AP1128" t="inlineStr">
        <is>
          <t>http://localhost:8787/api/admin/requirements/documents/cmm4yupoi02tecuqwcxfb7ykc/view</t>
        </is>
      </c>
      <c r="AQ1128">
        <f>HYPERLÄNK("http://localhost:8787/api/admin/requirements/documents/cmm4yupoi02tecuqwcxfb7ykc/view";"Öppna PDF")</f>
        <v/>
      </c>
      <c r="AR1128">
        <f>HYPERLINK("http://localhost:8787/api/admin/requirements/documents/cmm4yupoi02tecuqwcxfb7ykc/view","Open PDF")</f>
        <v/>
      </c>
      <c r="AS1128" t="inlineStr">
        <is>
          <t>cmm55w57p0004cuisfrtpqly8</t>
        </is>
      </c>
      <c r="AT1128" t="inlineStr">
        <is>
          <t>cmm4xvu980000cuh4vj0usz09</t>
        </is>
      </c>
      <c r="AU1128" t="inlineStr"/>
      <c r="AV1128" t="inlineStr">
        <is>
          <t>Kommun</t>
        </is>
      </c>
      <c r="AW1128" t="inlineStr"/>
      <c r="AX1128" t="inlineStr">
        <is>
          <t>2013:251</t>
        </is>
      </c>
      <c r="AY1128" t="inlineStr">
        <is>
          <t>Anmalan</t>
        </is>
      </c>
      <c r="AZ1128" t="inlineStr">
        <is>
          <t>2026-02-04</t>
        </is>
      </c>
      <c r="BA1128" t="inlineStr">
        <is>
          <t>2025-3473 8.pdf</t>
        </is>
      </c>
      <c r="BB1128" t="inlineStr">
        <is>
          <t>Sv:  Begäran om utlämnande av allmän handling – Anmälningar och beslut rörande mellanlagring av avfall samt anläggning av ytor</t>
        </is>
      </c>
      <c r="BC1128" t="inlineStr">
        <is>
          <t>AUTO</t>
        </is>
      </c>
      <c r="BD1128" t="inlineStr"/>
      <c r="BE1128" t="inlineStr"/>
      <c r="BF1128" t="inlineStr">
        <is>
          <t>AUTO_GENERERAD. Bekrafta metadata mot kallfil.</t>
        </is>
      </c>
      <c r="BG1128">
        <f>HYPERLINK("C:\Users\jimmy\Desktop\Examens arbete\Kod\Ny mapp\remix_-copy-of-miljöbeslut.se-portal\2025-3473 8.pdf", "Öppna PDF")</f>
        <v/>
      </c>
    </row>
    <row r="1129">
      <c r="A1129" t="inlineStr">
        <is>
          <t>KRAV-AUTO-001128</t>
        </is>
      </c>
      <c r="B1129" t="inlineStr">
        <is>
          <t>ADMIN-INDEX-2026-02-27-00000000125C043F57453246863FE664CAFE6A3F0700950291EA24F0614FB6ACEDB12BF0E31D00000000010C0000950291EA24F0614FB6ACEDB12BF0E31D00002087AE620000</t>
        </is>
      </c>
      <c r="C1129" t="inlineStr">
        <is>
          <t>cmm4yupno02skcuqw9nieppoi</t>
        </is>
      </c>
      <c r="D1129" t="inlineStr">
        <is>
          <t>http://localhost:8787/api/admin/requirements/documents/cmm4yupno02skcuqw9nieppoi/view</t>
        </is>
      </c>
      <c r="E1129">
        <f>HYPERLÄNK("http://localhost:8787/api/admin/requirements/documents/cmm4yupno02skcuqw9nieppoi/view";"Öppna PDF")</f>
        <v/>
      </c>
      <c r="F1129">
        <f>HYPERLINK("http://localhost:8787/api/admin/requirements/documents/cmm4yupno02skcuqw9nieppoi/view","Open PDF")</f>
        <v/>
      </c>
      <c r="G1129" t="inlineStr">
        <is>
          <t>cmm55w57p0004cuisfrtpqly8</t>
        </is>
      </c>
      <c r="H1129" t="inlineStr">
        <is>
          <t>Informationskrav</t>
        </is>
      </c>
      <c r="I1129" t="inlineStr">
        <is>
          <t>Riskhantering</t>
        </is>
      </c>
      <c r="J1129" t="inlineStr">
        <is>
          <t>Riskkontroll</t>
        </is>
      </c>
      <c r="K1129" t="inlineStr">
        <is>
          <t>• En beskrivning av den verksamhet som ska bedrivas och vilka miljö- och hälsorisker som kan uppstå i eller i anslutning till verksamheten.</t>
        </is>
      </c>
      <c r="L1129" t="inlineStr">
        <is>
          <t>• En beskrivning av den verksamhet som ska bedrivas och vilka miljö- och hälsorisker som kan uppstå i eller i anslutning till verksamheten.</t>
        </is>
      </c>
      <c r="M1129" t="inlineStr">
        <is>
          <t>SKA</t>
        </is>
      </c>
      <c r="N1129" t="inlineStr"/>
      <c r="O1129" t="inlineStr"/>
      <c r="P1129" t="inlineStr"/>
      <c r="Q1129" t="inlineStr"/>
      <c r="R1129" t="inlineStr">
        <is>
          <t>Vid risk for incident</t>
        </is>
      </c>
      <c r="S1129" t="inlineStr"/>
      <c r="T1129" t="inlineStr">
        <is>
          <t>35 30 00</t>
        </is>
      </c>
      <c r="U1129" t="inlineStr"/>
      <c r="V1129" t="inlineStr"/>
      <c r="W1129" t="inlineStr">
        <is>
          <t>Nej</t>
        </is>
      </c>
      <c r="X1129" t="inlineStr">
        <is>
          <t>Nej</t>
        </is>
      </c>
      <c r="Y1129" t="inlineStr">
        <is>
          <t>Ja</t>
        </is>
      </c>
      <c r="Z1129" t="inlineStr">
        <is>
          <t>Ja</t>
        </is>
      </c>
      <c r="AA1129" t="n">
        <v>8</v>
      </c>
      <c r="AB1129" t="inlineStr">
        <is>
          <t>Riskhantering</t>
        </is>
      </c>
      <c r="AC1129" t="inlineStr">
        <is>
          <t>Risk-PM</t>
        </is>
      </c>
      <c r="AD1129" t="inlineStr">
        <is>
          <t>Nej</t>
        </is>
      </c>
      <c r="AE1129" t="inlineStr">
        <is>
          <t>Nej</t>
        </is>
      </c>
      <c r="AF1129" t="inlineStr">
        <is>
          <t>Ej behandlad</t>
        </is>
      </c>
      <c r="AG1129" t="inlineStr">
        <is>
          <t>AUTO_GENERERAD. Verifiera citat mot kallfil.</t>
        </is>
      </c>
      <c r="AH1129" t="inlineStr">
        <is>
          <t>MEDIUM</t>
        </is>
      </c>
      <c r="AI1129" t="inlineStr">
        <is>
          <t>AUTO</t>
        </is>
      </c>
      <c r="AJ1129" t="inlineStr">
        <is>
          <t>Nej</t>
        </is>
      </c>
      <c r="AK1129" t="inlineStr"/>
      <c r="AL1129" t="inlineStr"/>
      <c r="AM1129" t="inlineStr"/>
      <c r="AN1129" t="inlineStr"/>
      <c r="AO1129" t="inlineStr">
        <is>
          <t>cmm4yupoi02tecuqwcxfb7ykc</t>
        </is>
      </c>
      <c r="AP1129" t="inlineStr">
        <is>
          <t>http://localhost:8787/api/admin/requirements/documents/cmm4yupoi02tecuqwcxfb7ykc/view</t>
        </is>
      </c>
      <c r="AQ1129">
        <f>HYPERLÄNK("http://localhost:8787/api/admin/requirements/documents/cmm4yupoi02tecuqwcxfb7ykc/view";"Öppna PDF")</f>
        <v/>
      </c>
      <c r="AR1129">
        <f>HYPERLINK("http://localhost:8787/api/admin/requirements/documents/cmm4yupoi02tecuqwcxfb7ykc/view","Open PDF")</f>
        <v/>
      </c>
      <c r="AS1129" t="inlineStr">
        <is>
          <t>cmm55w57p0004cuisfrtpqly8</t>
        </is>
      </c>
      <c r="AT1129" t="inlineStr">
        <is>
          <t>cmm4xvu980000cuh4vj0usz09</t>
        </is>
      </c>
      <c r="AU1129" t="inlineStr"/>
      <c r="AV1129" t="inlineStr">
        <is>
          <t>Kommun</t>
        </is>
      </c>
      <c r="AW1129" t="inlineStr"/>
      <c r="AX1129" t="inlineStr">
        <is>
          <t>2013:251</t>
        </is>
      </c>
      <c r="AY1129" t="inlineStr">
        <is>
          <t>Anmalan</t>
        </is>
      </c>
      <c r="AZ1129" t="inlineStr">
        <is>
          <t>2026-02-04</t>
        </is>
      </c>
      <c r="BA1129" t="inlineStr">
        <is>
          <t>2025-3473 8.pdf</t>
        </is>
      </c>
      <c r="BB1129" t="inlineStr">
        <is>
          <t>Sv:  Begäran om utlämnande av allmän handling – Anmälningar och beslut rörande mellanlagring av avfall samt anläggning av ytor</t>
        </is>
      </c>
      <c r="BC1129" t="inlineStr">
        <is>
          <t>AUTO</t>
        </is>
      </c>
      <c r="BD1129" t="inlineStr"/>
      <c r="BE1129" t="inlineStr"/>
      <c r="BF1129" t="inlineStr">
        <is>
          <t>AUTO_GENERERAD. Bekrafta metadata mot kallfil.</t>
        </is>
      </c>
      <c r="BG1129">
        <f>HYPERLINK("C:\Users\jimmy\Desktop\Examens arbete\Kod\Ny mapp\remix_-copy-of-miljöbeslut.se-portal\2025-3473 8.pdf", "Öppna PDF")</f>
        <v/>
      </c>
    </row>
    <row r="1130">
      <c r="A1130" t="inlineStr">
        <is>
          <t>KRAV-AUTO-001129</t>
        </is>
      </c>
      <c r="B1130" t="inlineStr">
        <is>
          <t>ADMIN-INDEX-2026-02-27-00000000125C043F57453246863FE664CAFE6A3F0700950291EA24F0614FB6ACEDB12BF0E31D00000000010C0000950291EA24F0614FB6ACEDB12BF0E31D00002087AE620000</t>
        </is>
      </c>
      <c r="C1130" t="inlineStr">
        <is>
          <t>cmm4yupno02skcuqw9nieppoi</t>
        </is>
      </c>
      <c r="D1130" t="inlineStr">
        <is>
          <t>http://localhost:8787/api/admin/requirements/documents/cmm4yupno02skcuqw9nieppoi/view</t>
        </is>
      </c>
      <c r="E1130">
        <f>HYPERLÄNK("http://localhost:8787/api/admin/requirements/documents/cmm4yupno02skcuqw9nieppoi/view";"Öppna PDF")</f>
        <v/>
      </c>
      <c r="F1130">
        <f>HYPERLINK("http://localhost:8787/api/admin/requirements/documents/cmm4yupno02skcuqw9nieppoi/view","Open PDF")</f>
        <v/>
      </c>
      <c r="G1130" t="inlineStr">
        <is>
          <t>cmm55w57p0004cuisfrtpqly8</t>
        </is>
      </c>
      <c r="H1130" t="inlineStr">
        <is>
          <t>Informationskrav</t>
        </is>
      </c>
      <c r="I1130" t="inlineStr">
        <is>
          <t>DagvattenLakvatten</t>
        </is>
      </c>
      <c r="J1130" t="inlineStr">
        <is>
          <t>Uppsamling</t>
        </is>
      </c>
      <c r="K1130" t="inlineStr">
        <is>
          <t>Redogör för planerad verksamhet och åtgärder i tekniskt hänseende som råvaror, produktionsmetoder, produktionskapacitet/producerad mängd, kemikaliehantering, kapacitet, emissioner, reningsanläggning, driftförhållanden, energiförbrukning m.m.</t>
        </is>
      </c>
      <c r="L1130" t="inlineStr">
        <is>
          <t>Redogör för planerad verksamhet och åtgärder i tekniskt hänseende som råvaror, produktionsmetoder, produktionskapacitet/producerad mängd, kemikaliehantering, kapacitet, emissioner, reningsanläggning, driftförhållanden, energiförbrukning m.m.</t>
        </is>
      </c>
      <c r="M1130" t="inlineStr">
        <is>
          <t>SKA</t>
        </is>
      </c>
      <c r="N1130" t="inlineStr"/>
      <c r="O1130" t="inlineStr"/>
      <c r="P1130" t="inlineStr"/>
      <c r="Q1130" t="inlineStr"/>
      <c r="R1130" t="inlineStr">
        <is>
          <t>Vid nederbord och avrinning</t>
        </is>
      </c>
      <c r="S1130" t="inlineStr"/>
      <c r="T1130" t="inlineStr">
        <is>
          <t>35 30 00</t>
        </is>
      </c>
      <c r="U1130" t="inlineStr"/>
      <c r="V1130" t="inlineStr"/>
      <c r="W1130" t="inlineStr">
        <is>
          <t>Nej</t>
        </is>
      </c>
      <c r="X1130" t="inlineStr">
        <is>
          <t>Ja</t>
        </is>
      </c>
      <c r="Y1130" t="inlineStr">
        <is>
          <t>Ja</t>
        </is>
      </c>
      <c r="Z1130" t="inlineStr">
        <is>
          <t>Nej</t>
        </is>
      </c>
      <c r="AA1130" t="n">
        <v>6</v>
      </c>
      <c r="AB1130" t="inlineStr">
        <is>
          <t>Lakvattenhantering</t>
        </is>
      </c>
      <c r="AC1130" t="inlineStr">
        <is>
          <t>Flodesschema dagvatten-lakvatten</t>
        </is>
      </c>
      <c r="AD1130" t="inlineStr">
        <is>
          <t>Nej</t>
        </is>
      </c>
      <c r="AE1130" t="inlineStr">
        <is>
          <t>Nej</t>
        </is>
      </c>
      <c r="AF1130" t="inlineStr">
        <is>
          <t>Ej behandlad</t>
        </is>
      </c>
      <c r="AG1130" t="inlineStr">
        <is>
          <t>AUTO_GENERERAD. Verifiera citat mot kallfil.</t>
        </is>
      </c>
      <c r="AH1130" t="inlineStr">
        <is>
          <t>MEDIUM</t>
        </is>
      </c>
      <c r="AI1130" t="inlineStr">
        <is>
          <t>AUTO</t>
        </is>
      </c>
      <c r="AJ1130" t="inlineStr">
        <is>
          <t>Nej</t>
        </is>
      </c>
      <c r="AK1130" t="inlineStr"/>
      <c r="AL1130" t="inlineStr"/>
      <c r="AM1130" t="inlineStr"/>
      <c r="AN1130" t="inlineStr"/>
      <c r="AO1130" t="inlineStr">
        <is>
          <t>cmm4yupoi02tecuqwcxfb7ykc</t>
        </is>
      </c>
      <c r="AP1130" t="inlineStr">
        <is>
          <t>http://localhost:8787/api/admin/requirements/documents/cmm4yupoi02tecuqwcxfb7ykc/view</t>
        </is>
      </c>
      <c r="AQ1130">
        <f>HYPERLÄNK("http://localhost:8787/api/admin/requirements/documents/cmm4yupoi02tecuqwcxfb7ykc/view";"Öppna PDF")</f>
        <v/>
      </c>
      <c r="AR1130">
        <f>HYPERLINK("http://localhost:8787/api/admin/requirements/documents/cmm4yupoi02tecuqwcxfb7ykc/view","Open PDF")</f>
        <v/>
      </c>
      <c r="AS1130" t="inlineStr">
        <is>
          <t>cmm55w57p0004cuisfrtpqly8</t>
        </is>
      </c>
      <c r="AT1130" t="inlineStr">
        <is>
          <t>cmm4xvu980000cuh4vj0usz09</t>
        </is>
      </c>
      <c r="AU1130" t="inlineStr"/>
      <c r="AV1130" t="inlineStr">
        <is>
          <t>Kommun</t>
        </is>
      </c>
      <c r="AW1130" t="inlineStr"/>
      <c r="AX1130" t="inlineStr">
        <is>
          <t>2013:251</t>
        </is>
      </c>
      <c r="AY1130" t="inlineStr">
        <is>
          <t>Anmalan</t>
        </is>
      </c>
      <c r="AZ1130" t="inlineStr">
        <is>
          <t>2026-02-04</t>
        </is>
      </c>
      <c r="BA1130" t="inlineStr">
        <is>
          <t>2025-3473 8.pdf</t>
        </is>
      </c>
      <c r="BB1130" t="inlineStr">
        <is>
          <t>Sv:  Begäran om utlämnande av allmän handling – Anmälningar och beslut rörande mellanlagring av avfall samt anläggning av ytor</t>
        </is>
      </c>
      <c r="BC1130" t="inlineStr">
        <is>
          <t>AUTO</t>
        </is>
      </c>
      <c r="BD1130" t="inlineStr"/>
      <c r="BE1130" t="inlineStr"/>
      <c r="BF1130" t="inlineStr">
        <is>
          <t>AUTO_GENERERAD. Bekrafta metadata mot kallfil.</t>
        </is>
      </c>
      <c r="BG1130">
        <f>HYPERLINK("C:\Users\jimmy\Desktop\Examens arbete\Kod\Ny mapp\remix_-copy-of-miljöbeslut.se-portal\2025-3473 8.pdf", "Öppna PDF")</f>
        <v/>
      </c>
    </row>
    <row r="1131">
      <c r="A1131" t="inlineStr">
        <is>
          <t>KRAV-AUTO-001130</t>
        </is>
      </c>
      <c r="B1131" t="inlineStr">
        <is>
          <t>ADMIN-INDEX-2026-02-27-00000000125C043F57453246863FE664CAFE6A3F0700950291EA24F0614FB6ACEDB12BF0E31D00000000010C0000950291EA24F0614FB6ACEDB12BF0E31D00002087AE620000</t>
        </is>
      </c>
      <c r="C1131" t="inlineStr">
        <is>
          <t>cmm4yupnm02shcuqwns9u4g0f</t>
        </is>
      </c>
      <c r="D1131" t="inlineStr">
        <is>
          <t>http://localhost:8787/api/admin/requirements/documents/cmm4yupnm02shcuqwns9u4g0f/view</t>
        </is>
      </c>
      <c r="E1131">
        <f>HYPERLÄNK("http://localhost:8787/api/admin/requirements/documents/cmm4yupnm02shcuqwns9u4g0f/view";"Öppna PDF")</f>
        <v/>
      </c>
      <c r="F1131">
        <f>HYPERLINK("http://localhost:8787/api/admin/requirements/documents/cmm4yupnm02shcuqwns9u4g0f/view","Open PDF")</f>
        <v/>
      </c>
      <c r="G1131" t="inlineStr">
        <is>
          <t>cmm55w57p0004cuisfrtpqly8</t>
        </is>
      </c>
      <c r="H1131" t="inlineStr">
        <is>
          <t>Informationskrav</t>
        </is>
      </c>
      <c r="I1131" t="inlineStr">
        <is>
          <t>MiljopaverkanForsiktighet</t>
        </is>
      </c>
      <c r="J1131" t="inlineStr">
        <is>
          <t>Skyddsatgarder</t>
        </is>
      </c>
      <c r="K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131" t="inlineStr">
        <is>
          <t>BOR</t>
        </is>
      </c>
      <c r="N1131" t="inlineStr"/>
      <c r="O1131" t="inlineStr">
        <is>
          <t>2025-04-10</t>
        </is>
      </c>
      <c r="P1131" t="inlineStr"/>
      <c r="Q1131" t="inlineStr">
        <is>
          <t>Forelaggande vid brist</t>
        </is>
      </c>
      <c r="R1131" t="inlineStr">
        <is>
          <t>Alltid</t>
        </is>
      </c>
      <c r="S1131" t="inlineStr"/>
      <c r="T1131" t="inlineStr">
        <is>
          <t>35 30 00</t>
        </is>
      </c>
      <c r="U1131" t="inlineStr"/>
      <c r="V1131" t="inlineStr"/>
      <c r="W1131" t="inlineStr">
        <is>
          <t>Nej</t>
        </is>
      </c>
      <c r="X1131" t="inlineStr">
        <is>
          <t>Nej</t>
        </is>
      </c>
      <c r="Y1131" t="inlineStr">
        <is>
          <t>Nej</t>
        </is>
      </c>
      <c r="Z1131" t="inlineStr">
        <is>
          <t>Nej</t>
        </is>
      </c>
      <c r="AA1131" t="n">
        <v>10</v>
      </c>
      <c r="AB1131" t="inlineStr">
        <is>
          <t>Miljopaverkan och forsiktighetsmatt</t>
        </is>
      </c>
      <c r="AC1131" t="inlineStr">
        <is>
          <t>Miljo-PM</t>
        </is>
      </c>
      <c r="AD1131" t="inlineStr">
        <is>
          <t>Nej</t>
        </is>
      </c>
      <c r="AE1131" t="inlineStr">
        <is>
          <t>Nej</t>
        </is>
      </c>
      <c r="AF1131" t="inlineStr">
        <is>
          <t>Ej behandlad</t>
        </is>
      </c>
      <c r="AG1131" t="inlineStr">
        <is>
          <t>AUTO_GENERERAD. Verifiera citat mot kallfil.</t>
        </is>
      </c>
      <c r="AH1131" t="inlineStr">
        <is>
          <t>MEDIUM</t>
        </is>
      </c>
      <c r="AI1131" t="inlineStr">
        <is>
          <t>AUTO</t>
        </is>
      </c>
      <c r="AJ1131" t="inlineStr">
        <is>
          <t>Nej</t>
        </is>
      </c>
      <c r="AK1131" t="inlineStr"/>
      <c r="AL1131" t="inlineStr"/>
      <c r="AM1131" t="inlineStr"/>
      <c r="AN1131" t="inlineStr"/>
      <c r="AO1131" t="inlineStr">
        <is>
          <t>cmm4yupoi02tecuqwcxfb7ykc</t>
        </is>
      </c>
      <c r="AP1131" t="inlineStr">
        <is>
          <t>http://localhost:8787/api/admin/requirements/documents/cmm4yupoi02tecuqwcxfb7ykc/view</t>
        </is>
      </c>
      <c r="AQ1131">
        <f>HYPERLÄNK("http://localhost:8787/api/admin/requirements/documents/cmm4yupoi02tecuqwcxfb7ykc/view";"Öppna PDF")</f>
        <v/>
      </c>
      <c r="AR1131">
        <f>HYPERLINK("http://localhost:8787/api/admin/requirements/documents/cmm4yupoi02tecuqwcxfb7ykc/view","Open PDF")</f>
        <v/>
      </c>
      <c r="AS1131" t="inlineStr">
        <is>
          <t>cmm55w57p0004cuisfrtpqly8</t>
        </is>
      </c>
      <c r="AT1131" t="inlineStr">
        <is>
          <t>cmm4xvu980000cuh4vj0usz09</t>
        </is>
      </c>
      <c r="AU1131" t="inlineStr"/>
      <c r="AV1131" t="inlineStr">
        <is>
          <t>Kommun</t>
        </is>
      </c>
      <c r="AW1131" t="inlineStr"/>
      <c r="AX1131" t="inlineStr">
        <is>
          <t>2013:251</t>
        </is>
      </c>
      <c r="AY1131" t="inlineStr">
        <is>
          <t>Anmalan</t>
        </is>
      </c>
      <c r="AZ1131" t="inlineStr">
        <is>
          <t>2026-02-04</t>
        </is>
      </c>
      <c r="BA1131" t="inlineStr">
        <is>
          <t>2025-3473 8.pdf</t>
        </is>
      </c>
      <c r="BB1131" t="inlineStr">
        <is>
          <t>Sv:  Begäran om utlämnande av allmän handling – Anmälningar och beslut rörande mellanlagring av avfall samt anläggning av ytor</t>
        </is>
      </c>
      <c r="BC1131" t="inlineStr">
        <is>
          <t>AUTO</t>
        </is>
      </c>
      <c r="BD1131" t="inlineStr"/>
      <c r="BE1131" t="inlineStr"/>
      <c r="BF1131" t="inlineStr">
        <is>
          <t>AUTO_GENERERAD. Bekrafta metadata mot kallfil.</t>
        </is>
      </c>
      <c r="BG1131">
        <f>HYPERLINK("C:\Users\jimmy\Desktop\Examens arbete\Kod\Ny mapp\remix_-copy-of-miljöbeslut.se-portal\2025-3473 8.pdf", "Öppna PDF")</f>
        <v/>
      </c>
    </row>
    <row r="1132">
      <c r="A1132" t="inlineStr">
        <is>
          <t>KRAV-AUTO-001131</t>
        </is>
      </c>
      <c r="B1132" t="inlineStr">
        <is>
          <t>ADMIN-INDEX-2026-02-27-00000000125C043F57453246863FE664CAFE6A3F0700950291EA24F0614FB6ACEDB12BF0E31D00000000010C0000950291EA24F0614FB6ACEDB12BF0E31D00002087AE620000</t>
        </is>
      </c>
      <c r="C1132" t="inlineStr">
        <is>
          <t>cmm4yupnm02shcuqwns9u4g0f</t>
        </is>
      </c>
      <c r="D1132" t="inlineStr">
        <is>
          <t>http://localhost:8787/api/admin/requirements/documents/cmm4yupnm02shcuqwns9u4g0f/view</t>
        </is>
      </c>
      <c r="E1132">
        <f>HYPERLÄNK("http://localhost:8787/api/admin/requirements/documents/cmm4yupnm02shcuqwns9u4g0f/view";"Öppna PDF")</f>
        <v/>
      </c>
      <c r="F1132">
        <f>HYPERLINK("http://localhost:8787/api/admin/requirements/documents/cmm4yupnm02shcuqwns9u4g0f/view","Open PDF")</f>
        <v/>
      </c>
      <c r="G1132" t="inlineStr">
        <is>
          <t>cmm55w57p0004cuisfrtpqly8</t>
        </is>
      </c>
      <c r="H1132" t="inlineStr">
        <is>
          <t>Informationskrav</t>
        </is>
      </c>
      <c r="I1132" t="inlineStr">
        <is>
          <t>DagvattenLakvatten</t>
        </is>
      </c>
      <c r="J1132" t="inlineStr">
        <is>
          <t>Uppsamling</t>
        </is>
      </c>
      <c r="K1132" t="inlineStr">
        <is>
          <t>Provtagningen ska vara genomförd så att den ger en representativ bild av eventuell föroreningshalt för avfallet 8.</t>
        </is>
      </c>
      <c r="L1132" t="inlineStr">
        <is>
          <t>Provtagningen ska vara genomförd så att den ger en representativ bild av eventuell föroreningshalt för avfallet 8.</t>
        </is>
      </c>
      <c r="M1132" t="inlineStr">
        <is>
          <t>SKA</t>
        </is>
      </c>
      <c r="N1132" t="inlineStr"/>
      <c r="O1132" t="inlineStr"/>
      <c r="P1132" t="inlineStr"/>
      <c r="Q1132" t="inlineStr"/>
      <c r="R1132" t="inlineStr">
        <is>
          <t>Vid nederbord och avrinning</t>
        </is>
      </c>
      <c r="S1132" t="inlineStr"/>
      <c r="T1132" t="inlineStr">
        <is>
          <t>35 30 00</t>
        </is>
      </c>
      <c r="U1132" t="inlineStr"/>
      <c r="V1132" t="inlineStr"/>
      <c r="W1132" t="inlineStr">
        <is>
          <t>Nej</t>
        </is>
      </c>
      <c r="X1132" t="inlineStr">
        <is>
          <t>Ja</t>
        </is>
      </c>
      <c r="Y1132" t="inlineStr">
        <is>
          <t>Ja</t>
        </is>
      </c>
      <c r="Z1132" t="inlineStr">
        <is>
          <t>Nej</t>
        </is>
      </c>
      <c r="AA1132" t="n">
        <v>6</v>
      </c>
      <c r="AB1132" t="inlineStr">
        <is>
          <t>Lakvattenhantering</t>
        </is>
      </c>
      <c r="AC1132" t="inlineStr">
        <is>
          <t>Flodesschema dagvatten-lakvatten</t>
        </is>
      </c>
      <c r="AD1132" t="inlineStr">
        <is>
          <t>Nej</t>
        </is>
      </c>
      <c r="AE1132" t="inlineStr">
        <is>
          <t>Nej</t>
        </is>
      </c>
      <c r="AF1132" t="inlineStr">
        <is>
          <t>Ej behandlad</t>
        </is>
      </c>
      <c r="AG1132" t="inlineStr">
        <is>
          <t>AUTO_GENERERAD. Verifiera citat mot kallfil.</t>
        </is>
      </c>
      <c r="AH1132" t="inlineStr">
        <is>
          <t>MEDIUM</t>
        </is>
      </c>
      <c r="AI1132" t="inlineStr">
        <is>
          <t>AUTO</t>
        </is>
      </c>
      <c r="AJ1132" t="inlineStr">
        <is>
          <t>Nej</t>
        </is>
      </c>
      <c r="AK1132" t="inlineStr"/>
      <c r="AL1132" t="inlineStr"/>
      <c r="AM1132" t="inlineStr"/>
      <c r="AN1132" t="inlineStr"/>
      <c r="AO1132" t="inlineStr">
        <is>
          <t>cmm4yupoi02tecuqwcxfb7ykc</t>
        </is>
      </c>
      <c r="AP1132" t="inlineStr">
        <is>
          <t>http://localhost:8787/api/admin/requirements/documents/cmm4yupoi02tecuqwcxfb7ykc/view</t>
        </is>
      </c>
      <c r="AQ1132">
        <f>HYPERLÄNK("http://localhost:8787/api/admin/requirements/documents/cmm4yupoi02tecuqwcxfb7ykc/view";"Öppna PDF")</f>
        <v/>
      </c>
      <c r="AR1132">
        <f>HYPERLINK("http://localhost:8787/api/admin/requirements/documents/cmm4yupoi02tecuqwcxfb7ykc/view","Open PDF")</f>
        <v/>
      </c>
      <c r="AS1132" t="inlineStr">
        <is>
          <t>cmm55w57p0004cuisfrtpqly8</t>
        </is>
      </c>
      <c r="AT1132" t="inlineStr">
        <is>
          <t>cmm4xvu980000cuh4vj0usz09</t>
        </is>
      </c>
      <c r="AU1132" t="inlineStr"/>
      <c r="AV1132" t="inlineStr">
        <is>
          <t>Kommun</t>
        </is>
      </c>
      <c r="AW1132" t="inlineStr"/>
      <c r="AX1132" t="inlineStr">
        <is>
          <t>2013:251</t>
        </is>
      </c>
      <c r="AY1132" t="inlineStr">
        <is>
          <t>Anmalan</t>
        </is>
      </c>
      <c r="AZ1132" t="inlineStr">
        <is>
          <t>2026-02-04</t>
        </is>
      </c>
      <c r="BA1132" t="inlineStr">
        <is>
          <t>2025-3473 8.pdf</t>
        </is>
      </c>
      <c r="BB1132" t="inlineStr">
        <is>
          <t>Sv:  Begäran om utlämnande av allmän handling – Anmälningar och beslut rörande mellanlagring av avfall samt anläggning av ytor</t>
        </is>
      </c>
      <c r="BC1132" t="inlineStr">
        <is>
          <t>AUTO</t>
        </is>
      </c>
      <c r="BD1132" t="inlineStr"/>
      <c r="BE1132" t="inlineStr"/>
      <c r="BF1132" t="inlineStr">
        <is>
          <t>AUTO_GENERERAD. Bekrafta metadata mot kallfil.</t>
        </is>
      </c>
      <c r="BG1132">
        <f>HYPERLINK("C:\Users\jimmy\Desktop\Examens arbete\Kod\Ny mapp\remix_-copy-of-miljöbeslut.se-portal\2025-3473 8.pdf", "Öppna PDF")</f>
        <v/>
      </c>
    </row>
    <row r="1133">
      <c r="A1133" t="inlineStr">
        <is>
          <t>KRAV-AUTO-001132</t>
        </is>
      </c>
      <c r="B1133" t="inlineStr">
        <is>
          <t>ADMIN-INDEX-2026-02-27-00000000125C043F57453246863FE664CAFE6A3F0700950291EA24F0614FB6ACEDB12BF0E31D00000000010C0000950291EA24F0614FB6ACEDB12BF0E31D00002087AE620000</t>
        </is>
      </c>
      <c r="C1133" t="inlineStr">
        <is>
          <t>cmm4yupnm02shcuqwns9u4g0f</t>
        </is>
      </c>
      <c r="D1133" t="inlineStr">
        <is>
          <t>http://localhost:8787/api/admin/requirements/documents/cmm4yupnm02shcuqwns9u4g0f/view</t>
        </is>
      </c>
      <c r="E1133">
        <f>HYPERLÄNK("http://localhost:8787/api/admin/requirements/documents/cmm4yupnm02shcuqwns9u4g0f/view";"Öppna PDF")</f>
        <v/>
      </c>
      <c r="F1133">
        <f>HYPERLINK("http://localhost:8787/api/admin/requirements/documents/cmm4yupnm02shcuqwns9u4g0f/view","Open PDF")</f>
        <v/>
      </c>
      <c r="G1133" t="inlineStr">
        <is>
          <t>cmm55w57p0004cuisfrtpqly8</t>
        </is>
      </c>
      <c r="H1133" t="inlineStr">
        <is>
          <t>Informationskrav</t>
        </is>
      </c>
      <c r="I1133" t="inlineStr">
        <is>
          <t>DagvattenLakvatten</t>
        </is>
      </c>
      <c r="J1133" t="inlineStr">
        <is>
          <t>Uppsamling</t>
        </is>
      </c>
      <c r="K1133" t="inlineStr">
        <is>
          <t>För att minimera risken för spridning av föroreningar så ska avfall som hanteras vara karaktäriserat vid mottagningen.</t>
        </is>
      </c>
      <c r="L1133" t="inlineStr">
        <is>
          <t>För att minimera risken för spridning av föroreningar så ska avfall som hanteras vara karaktäriserat vid mottagningen.</t>
        </is>
      </c>
      <c r="M1133" t="inlineStr">
        <is>
          <t>SKA</t>
        </is>
      </c>
      <c r="N1133" t="inlineStr"/>
      <c r="O1133" t="inlineStr"/>
      <c r="P1133" t="inlineStr"/>
      <c r="Q1133" t="inlineStr"/>
      <c r="R1133" t="inlineStr">
        <is>
          <t>Vid nederbord och avrinning</t>
        </is>
      </c>
      <c r="S1133" t="inlineStr"/>
      <c r="T1133" t="inlineStr">
        <is>
          <t>35 30 00</t>
        </is>
      </c>
      <c r="U1133" t="inlineStr"/>
      <c r="V1133" t="inlineStr"/>
      <c r="W1133" t="inlineStr">
        <is>
          <t>Nej</t>
        </is>
      </c>
      <c r="X1133" t="inlineStr">
        <is>
          <t>Ja</t>
        </is>
      </c>
      <c r="Y1133" t="inlineStr">
        <is>
          <t>Ja</t>
        </is>
      </c>
      <c r="Z1133" t="inlineStr">
        <is>
          <t>Nej</t>
        </is>
      </c>
      <c r="AA1133" t="n">
        <v>6</v>
      </c>
      <c r="AB1133" t="inlineStr">
        <is>
          <t>Lakvattenhantering</t>
        </is>
      </c>
      <c r="AC1133" t="inlineStr">
        <is>
          <t>Flodesschema dagvatten-lakvatten</t>
        </is>
      </c>
      <c r="AD1133" t="inlineStr">
        <is>
          <t>Nej</t>
        </is>
      </c>
      <c r="AE1133" t="inlineStr">
        <is>
          <t>Nej</t>
        </is>
      </c>
      <c r="AF1133" t="inlineStr">
        <is>
          <t>Ej behandlad</t>
        </is>
      </c>
      <c r="AG1133" t="inlineStr">
        <is>
          <t>AUTO_GENERERAD. Verifiera citat mot kallfil.</t>
        </is>
      </c>
      <c r="AH1133" t="inlineStr">
        <is>
          <t>MEDIUM</t>
        </is>
      </c>
      <c r="AI1133" t="inlineStr">
        <is>
          <t>AUTO</t>
        </is>
      </c>
      <c r="AJ1133" t="inlineStr">
        <is>
          <t>Nej</t>
        </is>
      </c>
      <c r="AK1133" t="inlineStr"/>
      <c r="AL1133" t="inlineStr"/>
      <c r="AM1133" t="inlineStr"/>
      <c r="AN1133" t="inlineStr"/>
      <c r="AO1133" t="inlineStr">
        <is>
          <t>cmm4yupoi02tecuqwcxfb7ykc</t>
        </is>
      </c>
      <c r="AP1133" t="inlineStr">
        <is>
          <t>http://localhost:8787/api/admin/requirements/documents/cmm4yupoi02tecuqwcxfb7ykc/view</t>
        </is>
      </c>
      <c r="AQ1133">
        <f>HYPERLÄNK("http://localhost:8787/api/admin/requirements/documents/cmm4yupoi02tecuqwcxfb7ykc/view";"Öppna PDF")</f>
        <v/>
      </c>
      <c r="AR1133">
        <f>HYPERLINK("http://localhost:8787/api/admin/requirements/documents/cmm4yupoi02tecuqwcxfb7ykc/view","Open PDF")</f>
        <v/>
      </c>
      <c r="AS1133" t="inlineStr">
        <is>
          <t>cmm55w57p0004cuisfrtpqly8</t>
        </is>
      </c>
      <c r="AT1133" t="inlineStr">
        <is>
          <t>cmm4xvu980000cuh4vj0usz09</t>
        </is>
      </c>
      <c r="AU1133" t="inlineStr"/>
      <c r="AV1133" t="inlineStr">
        <is>
          <t>Kommun</t>
        </is>
      </c>
      <c r="AW1133" t="inlineStr"/>
      <c r="AX1133" t="inlineStr">
        <is>
          <t>2013:251</t>
        </is>
      </c>
      <c r="AY1133" t="inlineStr">
        <is>
          <t>Anmalan</t>
        </is>
      </c>
      <c r="AZ1133" t="inlineStr">
        <is>
          <t>2026-02-04</t>
        </is>
      </c>
      <c r="BA1133" t="inlineStr">
        <is>
          <t>2025-3473 8.pdf</t>
        </is>
      </c>
      <c r="BB1133" t="inlineStr">
        <is>
          <t>Sv:  Begäran om utlämnande av allmän handling – Anmälningar och beslut rörande mellanlagring av avfall samt anläggning av ytor</t>
        </is>
      </c>
      <c r="BC1133" t="inlineStr">
        <is>
          <t>AUTO</t>
        </is>
      </c>
      <c r="BD1133" t="inlineStr"/>
      <c r="BE1133" t="inlineStr"/>
      <c r="BF1133" t="inlineStr">
        <is>
          <t>AUTO_GENERERAD. Bekrafta metadata mot kallfil.</t>
        </is>
      </c>
      <c r="BG1133">
        <f>HYPERLINK("C:\Users\jimmy\Desktop\Examens arbete\Kod\Ny mapp\remix_-copy-of-miljöbeslut.se-portal\2025-3473 8.pdf", "Öppna PDF")</f>
        <v/>
      </c>
    </row>
    <row r="1134">
      <c r="A1134" t="inlineStr">
        <is>
          <t>KRAV-AUTO-001133</t>
        </is>
      </c>
      <c r="B1134" t="inlineStr">
        <is>
          <t>ADMIN-INDEX-2026-02-27-00000000125C043F57453246863FE664CAFE6A3F0700950291EA24F0614FB6ACEDB12BF0E31D00000000010C0000950291EA24F0614FB6ACEDB12BF0E31D00002087AE620000</t>
        </is>
      </c>
      <c r="C1134" t="inlineStr">
        <is>
          <t>cmm4yupng02sbcuqw4umilxsa</t>
        </is>
      </c>
      <c r="D1134" t="inlineStr">
        <is>
          <t>http://localhost:8787/api/admin/requirements/documents/cmm4yupng02sbcuqw4umilxsa/view</t>
        </is>
      </c>
      <c r="E1134">
        <f>HYPERLÄNK("http://localhost:8787/api/admin/requirements/documents/cmm4yupng02sbcuqw4umilxsa/view";"Öppna PDF")</f>
        <v/>
      </c>
      <c r="F1134">
        <f>HYPERLINK("http://localhost:8787/api/admin/requirements/documents/cmm4yupng02sbcuqw4umilxsa/view","Open PDF")</f>
        <v/>
      </c>
      <c r="G1134" t="inlineStr">
        <is>
          <t>cmm55w57p0004cuisfrtpqly8</t>
        </is>
      </c>
      <c r="H1134" t="inlineStr">
        <is>
          <t>Informationskrav</t>
        </is>
      </c>
      <c r="I1134" t="inlineStr">
        <is>
          <t>MiljopaverkanForsiktighet</t>
        </is>
      </c>
      <c r="J1134" t="inlineStr">
        <is>
          <t>Skyddsatgarder</t>
        </is>
      </c>
      <c r="K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34" t="inlineStr">
        <is>
          <t>BOR</t>
        </is>
      </c>
      <c r="N1134" t="inlineStr"/>
      <c r="O1134" t="inlineStr">
        <is>
          <t>2025-02-11</t>
        </is>
      </c>
      <c r="P1134" t="inlineStr"/>
      <c r="Q1134" t="inlineStr">
        <is>
          <t>Forbud</t>
        </is>
      </c>
      <c r="R1134" t="inlineStr">
        <is>
          <t>Alltid</t>
        </is>
      </c>
      <c r="S1134" t="inlineStr"/>
      <c r="T1134" t="inlineStr">
        <is>
          <t>35 30 00</t>
        </is>
      </c>
      <c r="U1134" t="inlineStr"/>
      <c r="V1134" t="inlineStr"/>
      <c r="W1134" t="inlineStr">
        <is>
          <t>Nej</t>
        </is>
      </c>
      <c r="X1134" t="inlineStr">
        <is>
          <t>Nej</t>
        </is>
      </c>
      <c r="Y1134" t="inlineStr">
        <is>
          <t>Nej</t>
        </is>
      </c>
      <c r="Z1134" t="inlineStr">
        <is>
          <t>Nej</t>
        </is>
      </c>
      <c r="AA1134" t="n">
        <v>10</v>
      </c>
      <c r="AB1134" t="inlineStr">
        <is>
          <t>Miljopaverkan och forsiktighetsmatt</t>
        </is>
      </c>
      <c r="AC1134" t="inlineStr">
        <is>
          <t>Miljo-PM</t>
        </is>
      </c>
      <c r="AD1134" t="inlineStr">
        <is>
          <t>Nej</t>
        </is>
      </c>
      <c r="AE1134" t="inlineStr">
        <is>
          <t>Nej</t>
        </is>
      </c>
      <c r="AF1134" t="inlineStr">
        <is>
          <t>Ej behandlad</t>
        </is>
      </c>
      <c r="AG1134" t="inlineStr">
        <is>
          <t>AUTO_GENERERAD. Verifiera citat mot kallfil.</t>
        </is>
      </c>
      <c r="AH1134" t="inlineStr">
        <is>
          <t>MEDIUM</t>
        </is>
      </c>
      <c r="AI1134" t="inlineStr">
        <is>
          <t>AUTO</t>
        </is>
      </c>
      <c r="AJ1134" t="inlineStr">
        <is>
          <t>Nej</t>
        </is>
      </c>
      <c r="AK1134" t="inlineStr"/>
      <c r="AL1134" t="inlineStr"/>
      <c r="AM1134" t="inlineStr"/>
      <c r="AN1134" t="inlineStr"/>
      <c r="AO1134" t="inlineStr">
        <is>
          <t>cmm4yupoi02tecuqwcxfb7ykc</t>
        </is>
      </c>
      <c r="AP1134" t="inlineStr">
        <is>
          <t>http://localhost:8787/api/admin/requirements/documents/cmm4yupoi02tecuqwcxfb7ykc/view</t>
        </is>
      </c>
      <c r="AQ1134">
        <f>HYPERLÄNK("http://localhost:8787/api/admin/requirements/documents/cmm4yupoi02tecuqwcxfb7ykc/view";"Öppna PDF")</f>
        <v/>
      </c>
      <c r="AR1134">
        <f>HYPERLINK("http://localhost:8787/api/admin/requirements/documents/cmm4yupoi02tecuqwcxfb7ykc/view","Open PDF")</f>
        <v/>
      </c>
      <c r="AS1134" t="inlineStr">
        <is>
          <t>cmm55w57p0004cuisfrtpqly8</t>
        </is>
      </c>
      <c r="AT1134" t="inlineStr">
        <is>
          <t>cmm4xvu980000cuh4vj0usz09</t>
        </is>
      </c>
      <c r="AU1134" t="inlineStr"/>
      <c r="AV1134" t="inlineStr">
        <is>
          <t>Kommun</t>
        </is>
      </c>
      <c r="AW1134" t="inlineStr"/>
      <c r="AX1134" t="inlineStr">
        <is>
          <t>2013:251</t>
        </is>
      </c>
      <c r="AY1134" t="inlineStr">
        <is>
          <t>Anmalan</t>
        </is>
      </c>
      <c r="AZ1134" t="inlineStr">
        <is>
          <t>2026-02-04</t>
        </is>
      </c>
      <c r="BA1134" t="inlineStr">
        <is>
          <t>2025-3473 8.pdf</t>
        </is>
      </c>
      <c r="BB1134" t="inlineStr">
        <is>
          <t>Sv:  Begäran om utlämnande av allmän handling – Anmälningar och beslut rörande mellanlagring av avfall samt anläggning av ytor</t>
        </is>
      </c>
      <c r="BC1134" t="inlineStr">
        <is>
          <t>AUTO</t>
        </is>
      </c>
      <c r="BD1134" t="inlineStr"/>
      <c r="BE1134" t="inlineStr"/>
      <c r="BF1134" t="inlineStr">
        <is>
          <t>AUTO_GENERERAD. Bekrafta metadata mot kallfil.</t>
        </is>
      </c>
      <c r="BG1134">
        <f>HYPERLINK("C:\Users\jimmy\Desktop\Examens arbete\Kod\Ny mapp\remix_-copy-of-miljöbeslut.se-portal\2025-3473 8.pdf", "Öppna PDF")</f>
        <v/>
      </c>
    </row>
    <row r="1135">
      <c r="A1135" t="inlineStr">
        <is>
          <t>KRAV-AUTO-001134</t>
        </is>
      </c>
      <c r="B1135" t="inlineStr">
        <is>
          <t>ADMIN-INDEX-2026-02-27-00000000125C043F57453246863FE664CAFE6A3F0700950291EA24F0614FB6ACEDB12BF0E31D00000000010C0000950291EA24F0614FB6ACEDB12BF0E31D00002087AE620000</t>
        </is>
      </c>
      <c r="C1135" t="inlineStr">
        <is>
          <t>cmm4yupng02sbcuqw4umilxsa</t>
        </is>
      </c>
      <c r="D1135" t="inlineStr">
        <is>
          <t>http://localhost:8787/api/admin/requirements/documents/cmm4yupng02sbcuqw4umilxsa/view</t>
        </is>
      </c>
      <c r="E1135">
        <f>HYPERLÄNK("http://localhost:8787/api/admin/requirements/documents/cmm4yupng02sbcuqw4umilxsa/view";"Öppna PDF")</f>
        <v/>
      </c>
      <c r="F1135">
        <f>HYPERLINK("http://localhost:8787/api/admin/requirements/documents/cmm4yupng02sbcuqw4umilxsa/view","Open PDF")</f>
        <v/>
      </c>
      <c r="G1135" t="inlineStr">
        <is>
          <t>cmm55w57p0004cuisfrtpqly8</t>
        </is>
      </c>
      <c r="H1135" t="inlineStr">
        <is>
          <t>Informationskrav</t>
        </is>
      </c>
      <c r="I1135" t="inlineStr">
        <is>
          <t>Riskhantering</t>
        </is>
      </c>
      <c r="J1135" t="inlineStr">
        <is>
          <t>Riskkontroll</t>
        </is>
      </c>
      <c r="K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35" t="inlineStr">
        <is>
          <t>BOR</t>
        </is>
      </c>
      <c r="N1135" t="inlineStr"/>
      <c r="O1135" t="inlineStr"/>
      <c r="P1135" t="inlineStr"/>
      <c r="Q1135" t="inlineStr"/>
      <c r="R1135" t="inlineStr">
        <is>
          <t>Vid risk for incident</t>
        </is>
      </c>
      <c r="S1135" t="inlineStr"/>
      <c r="T1135" t="inlineStr">
        <is>
          <t>35 30 00</t>
        </is>
      </c>
      <c r="U1135" t="inlineStr"/>
      <c r="V1135" t="inlineStr"/>
      <c r="W1135" t="inlineStr">
        <is>
          <t>Nej</t>
        </is>
      </c>
      <c r="X1135" t="inlineStr">
        <is>
          <t>Nej</t>
        </is>
      </c>
      <c r="Y1135" t="inlineStr">
        <is>
          <t>Ja</t>
        </is>
      </c>
      <c r="Z1135" t="inlineStr">
        <is>
          <t>Ja</t>
        </is>
      </c>
      <c r="AA1135" t="n">
        <v>8</v>
      </c>
      <c r="AB1135" t="inlineStr">
        <is>
          <t>Riskhantering</t>
        </is>
      </c>
      <c r="AC1135" t="inlineStr">
        <is>
          <t>Risk-PM</t>
        </is>
      </c>
      <c r="AD1135" t="inlineStr">
        <is>
          <t>Nej</t>
        </is>
      </c>
      <c r="AE1135" t="inlineStr">
        <is>
          <t>Nej</t>
        </is>
      </c>
      <c r="AF1135" t="inlineStr">
        <is>
          <t>Ej behandlad</t>
        </is>
      </c>
      <c r="AG1135" t="inlineStr">
        <is>
          <t>AUTO_GENERERAD. Verifiera citat mot kallfil.</t>
        </is>
      </c>
      <c r="AH1135" t="inlineStr">
        <is>
          <t>MEDIUM</t>
        </is>
      </c>
      <c r="AI1135" t="inlineStr">
        <is>
          <t>AUTO</t>
        </is>
      </c>
      <c r="AJ1135" t="inlineStr">
        <is>
          <t>Nej</t>
        </is>
      </c>
      <c r="AK1135" t="inlineStr"/>
      <c r="AL1135" t="inlineStr"/>
      <c r="AM1135" t="inlineStr"/>
      <c r="AN1135" t="inlineStr"/>
      <c r="AO1135" t="inlineStr">
        <is>
          <t>cmm4yupoi02tecuqwcxfb7ykc</t>
        </is>
      </c>
      <c r="AP1135" t="inlineStr">
        <is>
          <t>http://localhost:8787/api/admin/requirements/documents/cmm4yupoi02tecuqwcxfb7ykc/view</t>
        </is>
      </c>
      <c r="AQ1135">
        <f>HYPERLÄNK("http://localhost:8787/api/admin/requirements/documents/cmm4yupoi02tecuqwcxfb7ykc/view";"Öppna PDF")</f>
        <v/>
      </c>
      <c r="AR1135">
        <f>HYPERLINK("http://localhost:8787/api/admin/requirements/documents/cmm4yupoi02tecuqwcxfb7ykc/view","Open PDF")</f>
        <v/>
      </c>
      <c r="AS1135" t="inlineStr">
        <is>
          <t>cmm55w57p0004cuisfrtpqly8</t>
        </is>
      </c>
      <c r="AT1135" t="inlineStr">
        <is>
          <t>cmm4xvu980000cuh4vj0usz09</t>
        </is>
      </c>
      <c r="AU1135" t="inlineStr"/>
      <c r="AV1135" t="inlineStr">
        <is>
          <t>Kommun</t>
        </is>
      </c>
      <c r="AW1135" t="inlineStr"/>
      <c r="AX1135" t="inlineStr">
        <is>
          <t>2013:251</t>
        </is>
      </c>
      <c r="AY1135" t="inlineStr">
        <is>
          <t>Anmalan</t>
        </is>
      </c>
      <c r="AZ1135" t="inlineStr">
        <is>
          <t>2026-02-04</t>
        </is>
      </c>
      <c r="BA1135" t="inlineStr">
        <is>
          <t>2025-3473 8.pdf</t>
        </is>
      </c>
      <c r="BB1135" t="inlineStr">
        <is>
          <t>Sv:  Begäran om utlämnande av allmän handling – Anmälningar och beslut rörande mellanlagring av avfall samt anläggning av ytor</t>
        </is>
      </c>
      <c r="BC1135" t="inlineStr">
        <is>
          <t>AUTO</t>
        </is>
      </c>
      <c r="BD1135" t="inlineStr"/>
      <c r="BE1135" t="inlineStr"/>
      <c r="BF1135" t="inlineStr">
        <is>
          <t>AUTO_GENERERAD. Bekrafta metadata mot kallfil.</t>
        </is>
      </c>
      <c r="BG1135">
        <f>HYPERLINK("C:\Users\jimmy\Desktop\Examens arbete\Kod\Ny mapp\remix_-copy-of-miljöbeslut.se-portal\2025-3473 8.pdf", "Öppna PDF")</f>
        <v/>
      </c>
    </row>
    <row r="1136">
      <c r="A1136" t="inlineStr">
        <is>
          <t>KRAV-AUTO-001135</t>
        </is>
      </c>
      <c r="B1136" t="inlineStr">
        <is>
          <t>ADMIN-INDEX-2026-02-27-00000000125C043F57453246863FE664CAFE6A3F0700950291EA24F0614FB6ACEDB12BF0E31D00000000010C0000950291EA24F0614FB6ACEDB12BF0E31D00002087AE620000</t>
        </is>
      </c>
      <c r="C1136" t="inlineStr">
        <is>
          <t>cmm4yupng02sbcuqw4umilxsa</t>
        </is>
      </c>
      <c r="D1136" t="inlineStr">
        <is>
          <t>http://localhost:8787/api/admin/requirements/documents/cmm4yupng02sbcuqw4umilxsa/view</t>
        </is>
      </c>
      <c r="E1136">
        <f>HYPERLÄNK("http://localhost:8787/api/admin/requirements/documents/cmm4yupng02sbcuqw4umilxsa/view";"Öppna PDF")</f>
        <v/>
      </c>
      <c r="F1136">
        <f>HYPERLINK("http://localhost:8787/api/admin/requirements/documents/cmm4yupng02sbcuqw4umilxsa/view","Open PDF")</f>
        <v/>
      </c>
      <c r="G1136" t="inlineStr">
        <is>
          <t>cmm55w57p0004cuisfrtpqly8</t>
        </is>
      </c>
      <c r="H1136" t="inlineStr">
        <is>
          <t>Informationskrav</t>
        </is>
      </c>
      <c r="I1136" t="inlineStr">
        <is>
          <t>Riskhantering</t>
        </is>
      </c>
      <c r="J1136" t="inlineStr">
        <is>
          <t>Riskkontroll</t>
        </is>
      </c>
      <c r="K1136" t="inlineStr">
        <is>
          <t>Spill av petroleumprodukter ska omhändertas som farligt avfall.</t>
        </is>
      </c>
      <c r="L1136" t="inlineStr">
        <is>
          <t>Spill av petroleumprodukter ska omhändertas som farligt avfall.</t>
        </is>
      </c>
      <c r="M1136" t="inlineStr">
        <is>
          <t>SKA</t>
        </is>
      </c>
      <c r="N1136" t="inlineStr"/>
      <c r="O1136" t="inlineStr"/>
      <c r="P1136" t="inlineStr">
        <is>
          <t>Arlig</t>
        </is>
      </c>
      <c r="Q1136" t="inlineStr"/>
      <c r="R1136" t="inlineStr">
        <is>
          <t>Vid risk for incident</t>
        </is>
      </c>
      <c r="S1136" t="inlineStr"/>
      <c r="T1136" t="inlineStr">
        <is>
          <t>35 30 00</t>
        </is>
      </c>
      <c r="U1136" t="inlineStr"/>
      <c r="V1136" t="inlineStr"/>
      <c r="W1136" t="inlineStr">
        <is>
          <t>Nej</t>
        </is>
      </c>
      <c r="X1136" t="inlineStr">
        <is>
          <t>Nej</t>
        </is>
      </c>
      <c r="Y1136" t="inlineStr">
        <is>
          <t>Ja</t>
        </is>
      </c>
      <c r="Z1136" t="inlineStr">
        <is>
          <t>Ja</t>
        </is>
      </c>
      <c r="AA1136" t="n">
        <v>8</v>
      </c>
      <c r="AB1136" t="inlineStr">
        <is>
          <t>Riskhantering</t>
        </is>
      </c>
      <c r="AC1136" t="inlineStr">
        <is>
          <t>Risk-PM</t>
        </is>
      </c>
      <c r="AD1136" t="inlineStr">
        <is>
          <t>Nej</t>
        </is>
      </c>
      <c r="AE1136" t="inlineStr">
        <is>
          <t>Nej</t>
        </is>
      </c>
      <c r="AF1136" t="inlineStr">
        <is>
          <t>Ej behandlad</t>
        </is>
      </c>
      <c r="AG1136" t="inlineStr">
        <is>
          <t>AUTO_GENERERAD. Verifiera citat mot kallfil.</t>
        </is>
      </c>
      <c r="AH1136" t="inlineStr">
        <is>
          <t>MEDIUM</t>
        </is>
      </c>
      <c r="AI1136" t="inlineStr">
        <is>
          <t>AUTO</t>
        </is>
      </c>
      <c r="AJ1136" t="inlineStr">
        <is>
          <t>Nej</t>
        </is>
      </c>
      <c r="AK1136" t="inlineStr"/>
      <c r="AL1136" t="inlineStr"/>
      <c r="AM1136" t="inlineStr"/>
      <c r="AN1136" t="inlineStr"/>
      <c r="AO1136" t="inlineStr">
        <is>
          <t>cmm4yupoi02tecuqwcxfb7ykc</t>
        </is>
      </c>
      <c r="AP1136" t="inlineStr">
        <is>
          <t>http://localhost:8787/api/admin/requirements/documents/cmm4yupoi02tecuqwcxfb7ykc/view</t>
        </is>
      </c>
      <c r="AQ1136">
        <f>HYPERLÄNK("http://localhost:8787/api/admin/requirements/documents/cmm4yupoi02tecuqwcxfb7ykc/view";"Öppna PDF")</f>
        <v/>
      </c>
      <c r="AR1136">
        <f>HYPERLINK("http://localhost:8787/api/admin/requirements/documents/cmm4yupoi02tecuqwcxfb7ykc/view","Open PDF")</f>
        <v/>
      </c>
      <c r="AS1136" t="inlineStr">
        <is>
          <t>cmm55w57p0004cuisfrtpqly8</t>
        </is>
      </c>
      <c r="AT1136" t="inlineStr">
        <is>
          <t>cmm4xvu980000cuh4vj0usz09</t>
        </is>
      </c>
      <c r="AU1136" t="inlineStr"/>
      <c r="AV1136" t="inlineStr">
        <is>
          <t>Kommun</t>
        </is>
      </c>
      <c r="AW1136" t="inlineStr"/>
      <c r="AX1136" t="inlineStr">
        <is>
          <t>2013:251</t>
        </is>
      </c>
      <c r="AY1136" t="inlineStr">
        <is>
          <t>Anmalan</t>
        </is>
      </c>
      <c r="AZ1136" t="inlineStr">
        <is>
          <t>2026-02-04</t>
        </is>
      </c>
      <c r="BA1136" t="inlineStr">
        <is>
          <t>2025-3473 8.pdf</t>
        </is>
      </c>
      <c r="BB1136" t="inlineStr">
        <is>
          <t>Sv:  Begäran om utlämnande av allmän handling – Anmälningar och beslut rörande mellanlagring av avfall samt anläggning av ytor</t>
        </is>
      </c>
      <c r="BC1136" t="inlineStr">
        <is>
          <t>AUTO</t>
        </is>
      </c>
      <c r="BD1136" t="inlineStr"/>
      <c r="BE1136" t="inlineStr"/>
      <c r="BF1136" t="inlineStr">
        <is>
          <t>AUTO_GENERERAD. Bekrafta metadata mot kallfil.</t>
        </is>
      </c>
      <c r="BG1136">
        <f>HYPERLINK("C:\Users\jimmy\Desktop\Examens arbete\Kod\Ny mapp\remix_-copy-of-miljöbeslut.se-portal\2025-3473 8.pdf", "Öppna PDF")</f>
        <v/>
      </c>
    </row>
    <row r="1137">
      <c r="A1137" t="inlineStr">
        <is>
          <t>KRAV-AUTO-001136</t>
        </is>
      </c>
      <c r="B1137" t="inlineStr">
        <is>
          <t>ADMIN-INDEX-2026-02-27-00000000125C043F57453246863FE664CAFE6A3F0700950291EA24F0614FB6ACEDB12BF0E31D00000000010C0000950291EA24F0614FB6ACEDB12BF0E31D00002087AE630000</t>
        </is>
      </c>
      <c r="C1137" t="inlineStr">
        <is>
          <t>cmm4yupmn02rkcuqwjnnwfgym</t>
        </is>
      </c>
      <c r="D1137" t="inlineStr">
        <is>
          <t>http://localhost:8787/api/admin/requirements/documents/cmm4yupmn02rkcuqwjnnwfgym/view</t>
        </is>
      </c>
      <c r="E1137">
        <f>HYPERLÄNK("http://localhost:8787/api/admin/requirements/documents/cmm4yupmn02rkcuqwjnnwfgym/view";"Öppna PDF")</f>
        <v/>
      </c>
      <c r="F1137">
        <f>HYPERLINK("http://localhost:8787/api/admin/requirements/documents/cmm4yupmn02rkcuqwjnnwfgym/view","Open PDF")</f>
        <v/>
      </c>
      <c r="G1137" t="inlineStr">
        <is>
          <t>cmm55w57p0004cuisfrtpqly8</t>
        </is>
      </c>
      <c r="H1137" t="inlineStr">
        <is>
          <t>Informationskrav</t>
        </is>
      </c>
      <c r="I1137" t="inlineStr">
        <is>
          <t>DagvattenLakvatten</t>
        </is>
      </c>
      <c r="J1137" t="inlineStr">
        <is>
          <t>Uppsamling</t>
        </is>
      </c>
      <c r="K1137" t="inlineStr">
        <is>
          <t>Det uppsamlade materialet ska sedan grävas upp och placeras i ett väl utmärkt uppsamlingskärl för att sedan borttransporteras av behörig transportör för farligt avfall.</t>
        </is>
      </c>
      <c r="L1137" t="inlineStr">
        <is>
          <t>Det uppsamlade materialet ska sedan grävas upp och placeras i ett väl utmärkt uppsamlingskärl för att sedan borttransporteras av behörig transportör för farligt avfall.</t>
        </is>
      </c>
      <c r="M1137" t="inlineStr">
        <is>
          <t>SKA</t>
        </is>
      </c>
      <c r="N1137" t="inlineStr"/>
      <c r="O1137" t="inlineStr"/>
      <c r="P1137" t="inlineStr">
        <is>
          <t>Arlig</t>
        </is>
      </c>
      <c r="Q1137" t="inlineStr"/>
      <c r="R1137" t="inlineStr">
        <is>
          <t>Vid nederbord och avrinning</t>
        </is>
      </c>
      <c r="S1137" t="inlineStr"/>
      <c r="T1137" t="inlineStr">
        <is>
          <t>509943</t>
        </is>
      </c>
      <c r="U1137" t="inlineStr"/>
      <c r="V1137" t="inlineStr"/>
      <c r="W1137" t="inlineStr">
        <is>
          <t>Nej</t>
        </is>
      </c>
      <c r="X1137" t="inlineStr">
        <is>
          <t>Ja</t>
        </is>
      </c>
      <c r="Y1137" t="inlineStr">
        <is>
          <t>Ja</t>
        </is>
      </c>
      <c r="Z1137" t="inlineStr">
        <is>
          <t>Nej</t>
        </is>
      </c>
      <c r="AA1137" t="n">
        <v>6</v>
      </c>
      <c r="AB1137" t="inlineStr">
        <is>
          <t>Lakvattenhantering</t>
        </is>
      </c>
      <c r="AC1137" t="inlineStr">
        <is>
          <t>Flodesschema dagvatten-lakvatten</t>
        </is>
      </c>
      <c r="AD1137" t="inlineStr">
        <is>
          <t>Nej</t>
        </is>
      </c>
      <c r="AE1137" t="inlineStr">
        <is>
          <t>Nej</t>
        </is>
      </c>
      <c r="AF1137" t="inlineStr">
        <is>
          <t>Ej behandlad</t>
        </is>
      </c>
      <c r="AG1137" t="inlineStr">
        <is>
          <t>AUTO_GENERERAD. Verifiera citat mot kallfil.</t>
        </is>
      </c>
      <c r="AH1137" t="inlineStr">
        <is>
          <t>MEDIUM</t>
        </is>
      </c>
      <c r="AI1137" t="inlineStr">
        <is>
          <t>AUTO</t>
        </is>
      </c>
      <c r="AJ1137" t="inlineStr">
        <is>
          <t>Nej</t>
        </is>
      </c>
      <c r="AK1137" t="inlineStr"/>
      <c r="AL1137" t="inlineStr"/>
      <c r="AM1137" t="inlineStr"/>
      <c r="AN1137" t="inlineStr"/>
      <c r="AO1137" t="inlineStr">
        <is>
          <t>cmm4yupmn02rkcuqwjnnwfgym</t>
        </is>
      </c>
      <c r="AP1137" t="inlineStr">
        <is>
          <t>http://localhost:8787/api/admin/requirements/documents/cmm4yupmn02rkcuqwjnnwfgym/view</t>
        </is>
      </c>
      <c r="AQ1137">
        <f>HYPERLÄNK("http://localhost:8787/api/admin/requirements/documents/cmm4yupmn02rkcuqwjnnwfgym/view";"Öppna PDF")</f>
        <v/>
      </c>
      <c r="AR1137">
        <f>HYPERLINK("http://localhost:8787/api/admin/requirements/documents/cmm4yupmn02rkcuqwjnnwfgym/view","Open PDF")</f>
        <v/>
      </c>
      <c r="AS1137" t="inlineStr">
        <is>
          <t>cmm55w57p0004cuisfrtpqly8</t>
        </is>
      </c>
      <c r="AT1137" t="inlineStr">
        <is>
          <t>cmm4xvu980000cuh4vj0usz09</t>
        </is>
      </c>
      <c r="AU1137" t="inlineStr"/>
      <c r="AV1137" t="inlineStr">
        <is>
          <t>Kommun</t>
        </is>
      </c>
      <c r="AW1137" t="inlineStr"/>
      <c r="AX1137" t="inlineStr">
        <is>
          <t>2025-02</t>
        </is>
      </c>
      <c r="AY1137" t="inlineStr">
        <is>
          <t>Anmalan</t>
        </is>
      </c>
      <c r="AZ1137" t="inlineStr">
        <is>
          <t>2026-02-04</t>
        </is>
      </c>
      <c r="BA1137" t="inlineStr">
        <is>
          <t>SBF-2025-376_2025-02-28_Bilaga 1 C-anmälan Markmästarna 2018.pdf</t>
        </is>
      </c>
      <c r="BB1137" t="inlineStr">
        <is>
          <t>SV: till registrator</t>
        </is>
      </c>
      <c r="BC1137" t="inlineStr">
        <is>
          <t>AUTO</t>
        </is>
      </c>
      <c r="BD1137" t="inlineStr"/>
      <c r="BE1137" t="inlineStr"/>
      <c r="BF1137" t="inlineStr">
        <is>
          <t>AUTO_GENERERAD. Bekrafta metadata mot kallfil.</t>
        </is>
      </c>
      <c r="BG1137">
        <f>HYPERLINK("C:\Users\jimmy\Desktop\Examens arbete\Kod\Ny mapp\remix_-copy-of-miljöbeslut.se-portal\SBF-2025-376_2025-02-28_Bilaga 1 C-anmälan Markmästarna 2018.pdf", "Öppna PDF")</f>
        <v/>
      </c>
    </row>
    <row r="1138">
      <c r="A1138" t="inlineStr">
        <is>
          <t>KRAV-AUTO-001137</t>
        </is>
      </c>
      <c r="B1138" t="inlineStr">
        <is>
          <t>ADMIN-INDEX-2026-02-27-00000000125C043F57453246863FE664CAFE6A3F0700950291EA24F0614FB6ACEDB12BF0E31D00000000010C0000950291EA24F0614FB6ACEDB12BF0E31D00002087AE630000</t>
        </is>
      </c>
      <c r="C1138" t="inlineStr">
        <is>
          <t>cmm4yupmn02rkcuqwjnnwfgym</t>
        </is>
      </c>
      <c r="D1138" t="inlineStr">
        <is>
          <t>http://localhost:8787/api/admin/requirements/documents/cmm4yupmn02rkcuqwjnnwfgym/view</t>
        </is>
      </c>
      <c r="E1138">
        <f>HYPERLÄNK("http://localhost:8787/api/admin/requirements/documents/cmm4yupmn02rkcuqwjnnwfgym/view";"Öppna PDF")</f>
        <v/>
      </c>
      <c r="F1138">
        <f>HYPERLINK("http://localhost:8787/api/admin/requirements/documents/cmm4yupmn02rkcuqwjnnwfgym/view","Open PDF")</f>
        <v/>
      </c>
      <c r="G1138" t="inlineStr">
        <is>
          <t>cmm55w57p0004cuisfrtpqly8</t>
        </is>
      </c>
      <c r="H1138" t="inlineStr">
        <is>
          <t>Informationskrav</t>
        </is>
      </c>
      <c r="I1138" t="inlineStr">
        <is>
          <t>DagvattenLakvatten</t>
        </is>
      </c>
      <c r="J1138" t="inlineStr">
        <is>
          <t>Uppsamling</t>
        </is>
      </c>
      <c r="K1138" t="inlineStr">
        <is>
          <t>Det vatten som genereras är så kallat dagvatten från nederbörd i form av regn och snö.</t>
        </is>
      </c>
      <c r="L1138" t="inlineStr">
        <is>
          <t>Det vatten som genereras är så kallat dagvatten från nederbörd i form av regn och snö.</t>
        </is>
      </c>
      <c r="M1138" t="inlineStr">
        <is>
          <t>BOR</t>
        </is>
      </c>
      <c r="N1138" t="inlineStr"/>
      <c r="O1138" t="inlineStr"/>
      <c r="P1138" t="inlineStr"/>
      <c r="Q1138" t="inlineStr"/>
      <c r="R1138" t="inlineStr">
        <is>
          <t>Vid nederbord och avrinning</t>
        </is>
      </c>
      <c r="S1138" t="inlineStr"/>
      <c r="T1138" t="inlineStr">
        <is>
          <t>509943</t>
        </is>
      </c>
      <c r="U1138" t="inlineStr"/>
      <c r="V1138" t="inlineStr"/>
      <c r="W1138" t="inlineStr">
        <is>
          <t>Nej</t>
        </is>
      </c>
      <c r="X1138" t="inlineStr">
        <is>
          <t>Ja</t>
        </is>
      </c>
      <c r="Y1138" t="inlineStr">
        <is>
          <t>Ja</t>
        </is>
      </c>
      <c r="Z1138" t="inlineStr">
        <is>
          <t>Nej</t>
        </is>
      </c>
      <c r="AA1138" t="n">
        <v>6</v>
      </c>
      <c r="AB1138" t="inlineStr">
        <is>
          <t>Lakvattenhantering</t>
        </is>
      </c>
      <c r="AC1138" t="inlineStr">
        <is>
          <t>Flodesschema dagvatten-lakvatten</t>
        </is>
      </c>
      <c r="AD1138" t="inlineStr">
        <is>
          <t>Nej</t>
        </is>
      </c>
      <c r="AE1138" t="inlineStr">
        <is>
          <t>Nej</t>
        </is>
      </c>
      <c r="AF1138" t="inlineStr">
        <is>
          <t>Ej behandlad</t>
        </is>
      </c>
      <c r="AG1138" t="inlineStr">
        <is>
          <t>AUTO_GENERERAD. Verifiera citat mot kallfil.</t>
        </is>
      </c>
      <c r="AH1138" t="inlineStr">
        <is>
          <t>MEDIUM</t>
        </is>
      </c>
      <c r="AI1138" t="inlineStr">
        <is>
          <t>AUTO</t>
        </is>
      </c>
      <c r="AJ1138" t="inlineStr">
        <is>
          <t>Nej</t>
        </is>
      </c>
      <c r="AK1138" t="inlineStr"/>
      <c r="AL1138" t="inlineStr"/>
      <c r="AM1138" t="inlineStr"/>
      <c r="AN1138" t="inlineStr"/>
      <c r="AO1138" t="inlineStr">
        <is>
          <t>cmm4yupmn02rkcuqwjnnwfgym</t>
        </is>
      </c>
      <c r="AP1138" t="inlineStr">
        <is>
          <t>http://localhost:8787/api/admin/requirements/documents/cmm4yupmn02rkcuqwjnnwfgym/view</t>
        </is>
      </c>
      <c r="AQ1138">
        <f>HYPERLÄNK("http://localhost:8787/api/admin/requirements/documents/cmm4yupmn02rkcuqwjnnwfgym/view";"Öppna PDF")</f>
        <v/>
      </c>
      <c r="AR1138">
        <f>HYPERLINK("http://localhost:8787/api/admin/requirements/documents/cmm4yupmn02rkcuqwjnnwfgym/view","Open PDF")</f>
        <v/>
      </c>
      <c r="AS1138" t="inlineStr">
        <is>
          <t>cmm55w57p0004cuisfrtpqly8</t>
        </is>
      </c>
      <c r="AT1138" t="inlineStr">
        <is>
          <t>cmm4xvu980000cuh4vj0usz09</t>
        </is>
      </c>
      <c r="AU1138" t="inlineStr"/>
      <c r="AV1138" t="inlineStr">
        <is>
          <t>Kommun</t>
        </is>
      </c>
      <c r="AW1138" t="inlineStr"/>
      <c r="AX1138" t="inlineStr">
        <is>
          <t>2025-02</t>
        </is>
      </c>
      <c r="AY1138" t="inlineStr">
        <is>
          <t>Anmalan</t>
        </is>
      </c>
      <c r="AZ1138" t="inlineStr">
        <is>
          <t>2026-02-04</t>
        </is>
      </c>
      <c r="BA1138" t="inlineStr">
        <is>
          <t>SBF-2025-376_2025-02-28_Bilaga 1 C-anmälan Markmästarna 2018.pdf</t>
        </is>
      </c>
      <c r="BB1138" t="inlineStr">
        <is>
          <t>SV: till registrator</t>
        </is>
      </c>
      <c r="BC1138" t="inlineStr">
        <is>
          <t>AUTO</t>
        </is>
      </c>
      <c r="BD1138" t="inlineStr"/>
      <c r="BE1138" t="inlineStr"/>
      <c r="BF1138" t="inlineStr">
        <is>
          <t>AUTO_GENERERAD. Bekrafta metadata mot kallfil.</t>
        </is>
      </c>
      <c r="BG1138">
        <f>HYPERLINK("C:\Users\jimmy\Desktop\Examens arbete\Kod\Ny mapp\remix_-copy-of-miljöbeslut.se-portal\SBF-2025-376_2025-02-28_Bilaga 1 C-anmälan Markmästarna 2018.pdf", "Öppna PDF")</f>
        <v/>
      </c>
    </row>
    <row r="1139">
      <c r="A1139" t="inlineStr">
        <is>
          <t>KRAV-AUTO-001138</t>
        </is>
      </c>
      <c r="B1139" t="inlineStr">
        <is>
          <t>ADMIN-INDEX-2026-02-27-00000000125C043F57453246863FE664CAFE6A3F0700950291EA24F0614FB6ACEDB12BF0E31D00000000010C0000950291EA24F0614FB6ACEDB12BF0E31D00002087AE630000</t>
        </is>
      </c>
      <c r="C1139" t="inlineStr">
        <is>
          <t>cmm4yupmn02rkcuqwjnnwfgym</t>
        </is>
      </c>
      <c r="D1139" t="inlineStr">
        <is>
          <t>http://localhost:8787/api/admin/requirements/documents/cmm4yupmn02rkcuqwjnnwfgym/view</t>
        </is>
      </c>
      <c r="E1139">
        <f>HYPERLÄNK("http://localhost:8787/api/admin/requirements/documents/cmm4yupmn02rkcuqwjnnwfgym/view";"Öppna PDF")</f>
        <v/>
      </c>
      <c r="F1139">
        <f>HYPERLINK("http://localhost:8787/api/admin/requirements/documents/cmm4yupmn02rkcuqwjnnwfgym/view","Open PDF")</f>
        <v/>
      </c>
      <c r="G1139" t="inlineStr">
        <is>
          <t>cmm55w57p0004cuisfrtpqly8</t>
        </is>
      </c>
      <c r="H1139" t="inlineStr">
        <is>
          <t>Informationskrav</t>
        </is>
      </c>
      <c r="I1139" t="inlineStr">
        <is>
          <t>Riskhantering</t>
        </is>
      </c>
      <c r="J1139" t="inlineStr">
        <is>
          <t>Riskkontroll</t>
        </is>
      </c>
      <c r="K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39" t="inlineStr">
        <is>
          <t>SKA</t>
        </is>
      </c>
      <c r="N1139" t="inlineStr"/>
      <c r="O1139" t="inlineStr">
        <is>
          <t>2025-02-28</t>
        </is>
      </c>
      <c r="P1139" t="inlineStr"/>
      <c r="Q1139" t="inlineStr"/>
      <c r="R1139" t="inlineStr">
        <is>
          <t>Vid risk for incident</t>
        </is>
      </c>
      <c r="S1139" t="inlineStr"/>
      <c r="T1139" t="inlineStr">
        <is>
          <t>509943</t>
        </is>
      </c>
      <c r="U1139" t="inlineStr"/>
      <c r="V1139" t="inlineStr"/>
      <c r="W1139" t="inlineStr">
        <is>
          <t>Nej</t>
        </is>
      </c>
      <c r="X1139" t="inlineStr">
        <is>
          <t>Nej</t>
        </is>
      </c>
      <c r="Y1139" t="inlineStr">
        <is>
          <t>Ja</t>
        </is>
      </c>
      <c r="Z1139" t="inlineStr">
        <is>
          <t>Ja</t>
        </is>
      </c>
      <c r="AA1139" t="n">
        <v>8</v>
      </c>
      <c r="AB1139" t="inlineStr">
        <is>
          <t>Riskhantering</t>
        </is>
      </c>
      <c r="AC1139" t="inlineStr">
        <is>
          <t>Risk-PM</t>
        </is>
      </c>
      <c r="AD1139" t="inlineStr">
        <is>
          <t>Nej</t>
        </is>
      </c>
      <c r="AE1139" t="inlineStr">
        <is>
          <t>Nej</t>
        </is>
      </c>
      <c r="AF1139" t="inlineStr">
        <is>
          <t>Ej behandlad</t>
        </is>
      </c>
      <c r="AG1139" t="inlineStr">
        <is>
          <t>AUTO_GENERERAD. Verifiera citat mot kallfil.</t>
        </is>
      </c>
      <c r="AH1139" t="inlineStr">
        <is>
          <t>MEDIUM</t>
        </is>
      </c>
      <c r="AI1139" t="inlineStr">
        <is>
          <t>AUTO</t>
        </is>
      </c>
      <c r="AJ1139" t="inlineStr">
        <is>
          <t>Nej</t>
        </is>
      </c>
      <c r="AK1139" t="inlineStr"/>
      <c r="AL1139" t="inlineStr"/>
      <c r="AM1139" t="inlineStr"/>
      <c r="AN1139" t="inlineStr"/>
      <c r="AO1139" t="inlineStr">
        <is>
          <t>cmm4yupmn02rkcuqwjnnwfgym</t>
        </is>
      </c>
      <c r="AP1139" t="inlineStr">
        <is>
          <t>http://localhost:8787/api/admin/requirements/documents/cmm4yupmn02rkcuqwjnnwfgym/view</t>
        </is>
      </c>
      <c r="AQ1139">
        <f>HYPERLÄNK("http://localhost:8787/api/admin/requirements/documents/cmm4yupmn02rkcuqwjnnwfgym/view";"Öppna PDF")</f>
        <v/>
      </c>
      <c r="AR1139">
        <f>HYPERLINK("http://localhost:8787/api/admin/requirements/documents/cmm4yupmn02rkcuqwjnnwfgym/view","Open PDF")</f>
        <v/>
      </c>
      <c r="AS1139" t="inlineStr">
        <is>
          <t>cmm55w57p0004cuisfrtpqly8</t>
        </is>
      </c>
      <c r="AT1139" t="inlineStr">
        <is>
          <t>cmm4xvu980000cuh4vj0usz09</t>
        </is>
      </c>
      <c r="AU1139" t="inlineStr"/>
      <c r="AV1139" t="inlineStr">
        <is>
          <t>Kommun</t>
        </is>
      </c>
      <c r="AW1139" t="inlineStr"/>
      <c r="AX1139" t="inlineStr">
        <is>
          <t>2025-02</t>
        </is>
      </c>
      <c r="AY1139" t="inlineStr">
        <is>
          <t>Anmalan</t>
        </is>
      </c>
      <c r="AZ1139" t="inlineStr">
        <is>
          <t>2026-02-04</t>
        </is>
      </c>
      <c r="BA1139" t="inlineStr">
        <is>
          <t>SBF-2025-376_2025-02-28_Bilaga 1 C-anmälan Markmästarna 2018.pdf</t>
        </is>
      </c>
      <c r="BB1139" t="inlineStr">
        <is>
          <t>SV: till registrator</t>
        </is>
      </c>
      <c r="BC1139" t="inlineStr">
        <is>
          <t>AUTO</t>
        </is>
      </c>
      <c r="BD1139" t="inlineStr"/>
      <c r="BE1139" t="inlineStr"/>
      <c r="BF1139" t="inlineStr">
        <is>
          <t>AUTO_GENERERAD. Bekrafta metadata mot kallfil.</t>
        </is>
      </c>
      <c r="BG1139">
        <f>HYPERLINK("C:\Users\jimmy\Desktop\Examens arbete\Kod\Ny mapp\remix_-copy-of-miljöbeslut.se-portal\SBF-2025-376_2025-02-28_Bilaga 1 C-anmälan Markmästarna 2018.pdf", "Öppna PDF")</f>
        <v/>
      </c>
    </row>
    <row r="1140">
      <c r="A1140" t="inlineStr">
        <is>
          <t>KRAV-AUTO-001139</t>
        </is>
      </c>
      <c r="B1140" t="inlineStr">
        <is>
          <t>ADMIN-INDEX-2026-02-27-00000000125C043F57453246863FE664CAFE6A3F0700950291EA24F0614FB6ACEDB12BF0E31D00000000010C0000950291EA24F0614FB6ACEDB12BF0E31D00002087AE630000</t>
        </is>
      </c>
      <c r="C1140" t="inlineStr">
        <is>
          <t>cmm4yupml02rhcuqwnsnr79oi</t>
        </is>
      </c>
      <c r="D1140" t="inlineStr">
        <is>
          <t>http://localhost:8787/api/admin/requirements/documents/cmm4yupml02rhcuqwnsnr79oi/view</t>
        </is>
      </c>
      <c r="E1140">
        <f>HYPERLÄNK("http://localhost:8787/api/admin/requirements/documents/cmm4yupml02rhcuqwnsnr79oi/view";"Öppna PDF")</f>
        <v/>
      </c>
      <c r="F1140">
        <f>HYPERLINK("http://localhost:8787/api/admin/requirements/documents/cmm4yupml02rhcuqwnsnr79oi/view","Open PDF")</f>
        <v/>
      </c>
      <c r="G1140" t="inlineStr">
        <is>
          <t>cmm55w57p0004cuisfrtpqly8</t>
        </is>
      </c>
      <c r="H1140" t="inlineStr">
        <is>
          <t>Informationskrav</t>
        </is>
      </c>
      <c r="I1140" t="inlineStr">
        <is>
          <t>DagvattenLakvatten</t>
        </is>
      </c>
      <c r="J1140" t="inlineStr">
        <is>
          <t>Uppsamling</t>
        </is>
      </c>
      <c r="K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40" t="inlineStr">
        <is>
          <t>SKA</t>
        </is>
      </c>
      <c r="N1140" t="inlineStr">
        <is>
          <t>FMH</t>
        </is>
      </c>
      <c r="O1140" t="inlineStr"/>
      <c r="P1140" t="inlineStr"/>
      <c r="Q1140" t="inlineStr"/>
      <c r="R1140" t="inlineStr">
        <is>
          <t>Vid nederbord och avrinning</t>
        </is>
      </c>
      <c r="S1140" t="inlineStr"/>
      <c r="T1140" t="inlineStr">
        <is>
          <t>512727</t>
        </is>
      </c>
      <c r="U1140" t="inlineStr"/>
      <c r="V1140" t="inlineStr"/>
      <c r="W1140" t="inlineStr">
        <is>
          <t>Nej</t>
        </is>
      </c>
      <c r="X1140" t="inlineStr">
        <is>
          <t>Ja</t>
        </is>
      </c>
      <c r="Y1140" t="inlineStr">
        <is>
          <t>Ja</t>
        </is>
      </c>
      <c r="Z1140" t="inlineStr">
        <is>
          <t>Nej</t>
        </is>
      </c>
      <c r="AA1140" t="n">
        <v>6</v>
      </c>
      <c r="AB1140" t="inlineStr">
        <is>
          <t>Lakvattenhantering</t>
        </is>
      </c>
      <c r="AC1140" t="inlineStr">
        <is>
          <t>Flodesschema dagvatten-lakvatten</t>
        </is>
      </c>
      <c r="AD1140" t="inlineStr">
        <is>
          <t>Nej</t>
        </is>
      </c>
      <c r="AE1140" t="inlineStr">
        <is>
          <t>Nej</t>
        </is>
      </c>
      <c r="AF1140" t="inlineStr">
        <is>
          <t>Ej behandlad</t>
        </is>
      </c>
      <c r="AG1140" t="inlineStr">
        <is>
          <t>AUTO_GENERERAD. Verifiera citat mot kallfil.</t>
        </is>
      </c>
      <c r="AH1140" t="inlineStr">
        <is>
          <t>HIGH</t>
        </is>
      </c>
      <c r="AI1140" t="inlineStr">
        <is>
          <t>AUTO</t>
        </is>
      </c>
      <c r="AJ1140" t="inlineStr">
        <is>
          <t>Nej</t>
        </is>
      </c>
      <c r="AK1140" t="inlineStr"/>
      <c r="AL1140" t="inlineStr"/>
      <c r="AM1140" t="inlineStr"/>
      <c r="AN1140" t="inlineStr"/>
      <c r="AO1140" t="inlineStr">
        <is>
          <t>cmm4yupmn02rkcuqwjnnwfgym</t>
        </is>
      </c>
      <c r="AP1140" t="inlineStr">
        <is>
          <t>http://localhost:8787/api/admin/requirements/documents/cmm4yupmn02rkcuqwjnnwfgym/view</t>
        </is>
      </c>
      <c r="AQ1140">
        <f>HYPERLÄNK("http://localhost:8787/api/admin/requirements/documents/cmm4yupmn02rkcuqwjnnwfgym/view";"Öppna PDF")</f>
        <v/>
      </c>
      <c r="AR1140">
        <f>HYPERLINK("http://localhost:8787/api/admin/requirements/documents/cmm4yupmn02rkcuqwjnnwfgym/view","Open PDF")</f>
        <v/>
      </c>
      <c r="AS1140" t="inlineStr">
        <is>
          <t>cmm55w57p0004cuisfrtpqly8</t>
        </is>
      </c>
      <c r="AT1140" t="inlineStr">
        <is>
          <t>cmm4xvu980000cuh4vj0usz09</t>
        </is>
      </c>
      <c r="AU1140" t="inlineStr"/>
      <c r="AV1140" t="inlineStr">
        <is>
          <t>Kommun</t>
        </is>
      </c>
      <c r="AW1140" t="inlineStr"/>
      <c r="AX1140" t="inlineStr">
        <is>
          <t>2025-02</t>
        </is>
      </c>
      <c r="AY1140" t="inlineStr">
        <is>
          <t>Anmalan</t>
        </is>
      </c>
      <c r="AZ1140" t="inlineStr">
        <is>
          <t>2026-02-04</t>
        </is>
      </c>
      <c r="BA1140" t="inlineStr">
        <is>
          <t>SBF-2025-376_2025-02-28_Bilaga 1 C-anmälan Markmästarna 2018.pdf</t>
        </is>
      </c>
      <c r="BB1140" t="inlineStr">
        <is>
          <t>SV: till registrator</t>
        </is>
      </c>
      <c r="BC1140" t="inlineStr">
        <is>
          <t>AUTO</t>
        </is>
      </c>
      <c r="BD1140" t="inlineStr"/>
      <c r="BE1140" t="inlineStr"/>
      <c r="BF1140" t="inlineStr">
        <is>
          <t>AUTO_GENERERAD. Bekrafta metadata mot kallfil.</t>
        </is>
      </c>
      <c r="BG1140">
        <f>HYPERLINK("C:\Users\jimmy\Desktop\Examens arbete\Kod\Ny mapp\remix_-copy-of-miljöbeslut.se-portal\SBF-2025-376_2025-02-28_Bilaga 1 C-anmälan Markmästarna 2018.pdf", "Öppna PDF")</f>
        <v/>
      </c>
    </row>
    <row r="1141">
      <c r="A1141" t="inlineStr">
        <is>
          <t>KRAV-AUTO-001140</t>
        </is>
      </c>
      <c r="B1141" t="inlineStr">
        <is>
          <t>ADMIN-INDEX-2026-02-27-00000000125C043F57453246863FE664CAFE6A3F0700950291EA24F0614FB6ACEDB12BF0E31D00000000010C0000950291EA24F0614FB6ACEDB12BF0E31D00002087AE630000</t>
        </is>
      </c>
      <c r="C1141" t="inlineStr">
        <is>
          <t>cmm4yupml02rhcuqwnsnr79oi</t>
        </is>
      </c>
      <c r="D1141" t="inlineStr">
        <is>
          <t>http://localhost:8787/api/admin/requirements/documents/cmm4yupml02rhcuqwnsnr79oi/view</t>
        </is>
      </c>
      <c r="E1141">
        <f>HYPERLÄNK("http://localhost:8787/api/admin/requirements/documents/cmm4yupml02rhcuqwnsnr79oi/view";"Öppna PDF")</f>
        <v/>
      </c>
      <c r="F1141">
        <f>HYPERLINK("http://localhost:8787/api/admin/requirements/documents/cmm4yupml02rhcuqwnsnr79oi/view","Open PDF")</f>
        <v/>
      </c>
      <c r="G1141" t="inlineStr">
        <is>
          <t>cmm55w57p0004cuisfrtpqly8</t>
        </is>
      </c>
      <c r="H1141" t="inlineStr">
        <is>
          <t>Informationskrav</t>
        </is>
      </c>
      <c r="I1141" t="inlineStr">
        <is>
          <t>DagvattenLakvatten</t>
        </is>
      </c>
      <c r="J1141" t="inlineStr">
        <is>
          <t>Uppsamling</t>
        </is>
      </c>
      <c r="K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41" t="inlineStr">
        <is>
          <t>SKA</t>
        </is>
      </c>
      <c r="N1141" t="inlineStr">
        <is>
          <t>FMH</t>
        </is>
      </c>
      <c r="O1141" t="inlineStr"/>
      <c r="P1141" t="inlineStr"/>
      <c r="Q1141" t="inlineStr"/>
      <c r="R1141" t="inlineStr">
        <is>
          <t>Vid nederbord och avrinning</t>
        </is>
      </c>
      <c r="S1141" t="inlineStr"/>
      <c r="T1141" t="inlineStr">
        <is>
          <t>512727</t>
        </is>
      </c>
      <c r="U1141" t="inlineStr"/>
      <c r="V1141" t="inlineStr"/>
      <c r="W1141" t="inlineStr">
        <is>
          <t>Nej</t>
        </is>
      </c>
      <c r="X1141" t="inlineStr">
        <is>
          <t>Ja</t>
        </is>
      </c>
      <c r="Y1141" t="inlineStr">
        <is>
          <t>Ja</t>
        </is>
      </c>
      <c r="Z1141" t="inlineStr">
        <is>
          <t>Nej</t>
        </is>
      </c>
      <c r="AA1141" t="n">
        <v>6</v>
      </c>
      <c r="AB1141" t="inlineStr">
        <is>
          <t>Lakvattenhantering</t>
        </is>
      </c>
      <c r="AC1141" t="inlineStr">
        <is>
          <t>Flodesschema dagvatten-lakvatten</t>
        </is>
      </c>
      <c r="AD1141" t="inlineStr">
        <is>
          <t>Nej</t>
        </is>
      </c>
      <c r="AE1141" t="inlineStr">
        <is>
          <t>Nej</t>
        </is>
      </c>
      <c r="AF1141" t="inlineStr">
        <is>
          <t>Ej behandlad</t>
        </is>
      </c>
      <c r="AG1141" t="inlineStr">
        <is>
          <t>AUTO_GENERERAD. Verifiera citat mot kallfil.</t>
        </is>
      </c>
      <c r="AH1141" t="inlineStr">
        <is>
          <t>HIGH</t>
        </is>
      </c>
      <c r="AI1141" t="inlineStr">
        <is>
          <t>AUTO</t>
        </is>
      </c>
      <c r="AJ1141" t="inlineStr">
        <is>
          <t>Nej</t>
        </is>
      </c>
      <c r="AK1141" t="inlineStr"/>
      <c r="AL1141" t="inlineStr"/>
      <c r="AM1141" t="inlineStr"/>
      <c r="AN1141" t="inlineStr"/>
      <c r="AO1141" t="inlineStr">
        <is>
          <t>cmm4yupmn02rkcuqwjnnwfgym</t>
        </is>
      </c>
      <c r="AP1141" t="inlineStr">
        <is>
          <t>http://localhost:8787/api/admin/requirements/documents/cmm4yupmn02rkcuqwjnnwfgym/view</t>
        </is>
      </c>
      <c r="AQ1141">
        <f>HYPERLÄNK("http://localhost:8787/api/admin/requirements/documents/cmm4yupmn02rkcuqwjnnwfgym/view";"Öppna PDF")</f>
        <v/>
      </c>
      <c r="AR1141">
        <f>HYPERLINK("http://localhost:8787/api/admin/requirements/documents/cmm4yupmn02rkcuqwjnnwfgym/view","Open PDF")</f>
        <v/>
      </c>
      <c r="AS1141" t="inlineStr">
        <is>
          <t>cmm55w57p0004cuisfrtpqly8</t>
        </is>
      </c>
      <c r="AT1141" t="inlineStr">
        <is>
          <t>cmm4xvu980000cuh4vj0usz09</t>
        </is>
      </c>
      <c r="AU1141" t="inlineStr"/>
      <c r="AV1141" t="inlineStr">
        <is>
          <t>Kommun</t>
        </is>
      </c>
      <c r="AW1141" t="inlineStr"/>
      <c r="AX1141" t="inlineStr">
        <is>
          <t>2025-02</t>
        </is>
      </c>
      <c r="AY1141" t="inlineStr">
        <is>
          <t>Anmalan</t>
        </is>
      </c>
      <c r="AZ1141" t="inlineStr">
        <is>
          <t>2026-02-04</t>
        </is>
      </c>
      <c r="BA1141" t="inlineStr">
        <is>
          <t>SBF-2025-376_2025-02-28_Bilaga 1 C-anmälan Markmästarna 2018.pdf</t>
        </is>
      </c>
      <c r="BB1141" t="inlineStr">
        <is>
          <t>SV: till registrator</t>
        </is>
      </c>
      <c r="BC1141" t="inlineStr">
        <is>
          <t>AUTO</t>
        </is>
      </c>
      <c r="BD1141" t="inlineStr"/>
      <c r="BE1141" t="inlineStr"/>
      <c r="BF1141" t="inlineStr">
        <is>
          <t>AUTO_GENERERAD. Bekrafta metadata mot kallfil.</t>
        </is>
      </c>
      <c r="BG1141">
        <f>HYPERLINK("C:\Users\jimmy\Desktop\Examens arbete\Kod\Ny mapp\remix_-copy-of-miljöbeslut.se-portal\SBF-2025-376_2025-02-28_Bilaga 1 C-anmälan Markmästarna 2018.pdf", "Öppna PDF")</f>
        <v/>
      </c>
    </row>
    <row r="1142">
      <c r="A1142" t="inlineStr">
        <is>
          <t>KRAV-AUTO-001141</t>
        </is>
      </c>
      <c r="B1142" t="inlineStr">
        <is>
          <t>ADMIN-INDEX-2026-02-27-00000000125C043F57453246863FE664CAFE6A3F0700950291EA24F0614FB6ACEDB12BF0E31D00000000010C0000950291EA24F0614FB6ACEDB12BF0E31D00002087AE630000</t>
        </is>
      </c>
      <c r="C1142" t="inlineStr">
        <is>
          <t>cmm4yupmf02rbcuqwlb6zhajv</t>
        </is>
      </c>
      <c r="D1142" t="inlineStr">
        <is>
          <t>http://localhost:8787/api/admin/requirements/documents/cmm4yupmf02rbcuqwlb6zhajv/view</t>
        </is>
      </c>
      <c r="E1142">
        <f>HYPERLÄNK("http://localhost:8787/api/admin/requirements/documents/cmm4yupmf02rbcuqwlb6zhajv/view";"Öppna PDF")</f>
        <v/>
      </c>
      <c r="F1142">
        <f>HYPERLINK("http://localhost:8787/api/admin/requirements/documents/cmm4yupmf02rbcuqwlb6zhajv/view","Open PDF")</f>
        <v/>
      </c>
      <c r="G1142" t="inlineStr">
        <is>
          <t>cmm55w57p0004cuisfrtpqly8</t>
        </is>
      </c>
      <c r="H1142" t="inlineStr">
        <is>
          <t>Beslutsvillkor</t>
        </is>
      </c>
      <c r="I1142" t="inlineStr">
        <is>
          <t>MiljopaverkanForsiktighet</t>
        </is>
      </c>
      <c r="J1142" t="inlineStr">
        <is>
          <t>Skyddsatgarder</t>
        </is>
      </c>
      <c r="K1142" t="inlineStr">
        <is>
          <t>Dokument: SBF-2024-1820_2024-11-11_Beslut användning av avfall för anläggningsändamål_Bortredigerad.pdf.</t>
        </is>
      </c>
      <c r="L1142" t="inlineStr">
        <is>
          <t>Dokument: SBF-2024-1820_2024-11-11_Beslut användning av avfall för anläggningsändamål_Bortredigerad.pdf.</t>
        </is>
      </c>
      <c r="M1142" t="inlineStr">
        <is>
          <t>BOR</t>
        </is>
      </c>
      <c r="N1142" t="inlineStr"/>
      <c r="O1142" t="inlineStr"/>
      <c r="P1142" t="inlineStr"/>
      <c r="Q1142" t="inlineStr"/>
      <c r="R1142" t="inlineStr">
        <is>
          <t>Alltid</t>
        </is>
      </c>
      <c r="S1142" t="inlineStr"/>
      <c r="T1142" t="inlineStr"/>
      <c r="U1142" t="inlineStr"/>
      <c r="V1142" t="inlineStr"/>
      <c r="W1142" t="inlineStr">
        <is>
          <t>Nej</t>
        </is>
      </c>
      <c r="X1142" t="inlineStr">
        <is>
          <t>Nej</t>
        </is>
      </c>
      <c r="Y1142" t="inlineStr">
        <is>
          <t>Nej</t>
        </is>
      </c>
      <c r="Z1142" t="inlineStr">
        <is>
          <t>Nej</t>
        </is>
      </c>
      <c r="AA1142" t="n">
        <v>10</v>
      </c>
      <c r="AB1142" t="inlineStr">
        <is>
          <t>Miljopaverkan och forsiktighetsmatt</t>
        </is>
      </c>
      <c r="AC1142" t="inlineStr">
        <is>
          <t>Miljo-PM</t>
        </is>
      </c>
      <c r="AD1142" t="inlineStr">
        <is>
          <t>Nej</t>
        </is>
      </c>
      <c r="AE1142" t="inlineStr">
        <is>
          <t>Nej</t>
        </is>
      </c>
      <c r="AF1142" t="inlineStr">
        <is>
          <t>Ej behandlad</t>
        </is>
      </c>
      <c r="AG1142" t="inlineStr">
        <is>
          <t>AUTO_GENERERAD. Verifiera citat mot kallfil.</t>
        </is>
      </c>
      <c r="AH1142" t="inlineStr">
        <is>
          <t>LOW</t>
        </is>
      </c>
      <c r="AI1142" t="inlineStr">
        <is>
          <t>AUTO</t>
        </is>
      </c>
      <c r="AJ1142" t="inlineStr">
        <is>
          <t>Nej</t>
        </is>
      </c>
      <c r="AK1142" t="inlineStr"/>
      <c r="AL1142" t="inlineStr"/>
      <c r="AM1142" t="inlineStr"/>
      <c r="AN1142" t="inlineStr"/>
      <c r="AO1142" t="inlineStr">
        <is>
          <t>cmm4yupmn02rkcuqwjnnwfgym</t>
        </is>
      </c>
      <c r="AP1142" t="inlineStr">
        <is>
          <t>http://localhost:8787/api/admin/requirements/documents/cmm4yupmn02rkcuqwjnnwfgym/view</t>
        </is>
      </c>
      <c r="AQ1142">
        <f>HYPERLÄNK("http://localhost:8787/api/admin/requirements/documents/cmm4yupmn02rkcuqwjnnwfgym/view";"Öppna PDF")</f>
        <v/>
      </c>
      <c r="AR1142">
        <f>HYPERLINK("http://localhost:8787/api/admin/requirements/documents/cmm4yupmn02rkcuqwjnnwfgym/view","Open PDF")</f>
        <v/>
      </c>
      <c r="AS1142" t="inlineStr">
        <is>
          <t>cmm55w57p0004cuisfrtpqly8</t>
        </is>
      </c>
      <c r="AT1142" t="inlineStr">
        <is>
          <t>cmm4xvu980000cuh4vj0usz09</t>
        </is>
      </c>
      <c r="AU1142" t="inlineStr"/>
      <c r="AV1142" t="inlineStr">
        <is>
          <t>Kommun</t>
        </is>
      </c>
      <c r="AW1142" t="inlineStr"/>
      <c r="AX1142" t="inlineStr">
        <is>
          <t>2025-02</t>
        </is>
      </c>
      <c r="AY1142" t="inlineStr">
        <is>
          <t>Anmalan</t>
        </is>
      </c>
      <c r="AZ1142" t="inlineStr">
        <is>
          <t>2026-02-04</t>
        </is>
      </c>
      <c r="BA1142" t="inlineStr">
        <is>
          <t>SBF-2025-376_2025-02-28_Bilaga 1 C-anmälan Markmästarna 2018.pdf</t>
        </is>
      </c>
      <c r="BB1142" t="inlineStr">
        <is>
          <t>SV: till registrator</t>
        </is>
      </c>
      <c r="BC1142" t="inlineStr">
        <is>
          <t>AUTO</t>
        </is>
      </c>
      <c r="BD1142" t="inlineStr"/>
      <c r="BE1142" t="inlineStr"/>
      <c r="BF1142" t="inlineStr">
        <is>
          <t>AUTO_GENERERAD. Bekrafta metadata mot kallfil.</t>
        </is>
      </c>
      <c r="BG1142">
        <f>HYPERLINK("C:\Users\jimmy\Desktop\Examens arbete\Kod\Ny mapp\remix_-copy-of-miljöbeslut.se-portal\SBF-2025-376_2025-02-28_Bilaga 1 C-anmälan Markmästarna 2018.pdf", "Öppna PDF")</f>
        <v/>
      </c>
    </row>
    <row r="1143">
      <c r="A1143" t="inlineStr">
        <is>
          <t>KRAV-AUTO-001142</t>
        </is>
      </c>
      <c r="B1143" t="inlineStr">
        <is>
          <t>ADMIN-INDEX-2026-02-27-00000000125C043F57453246863FE664CAFE6A3F0700950291EA24F0614FB6ACEDB12BF0E31D00000000010C0000950291EA24F0614FB6ACEDB12BF0E31D00002087AE630000</t>
        </is>
      </c>
      <c r="C1143" t="inlineStr">
        <is>
          <t>cmm4yupma02r5cuqwyz08rh4i</t>
        </is>
      </c>
      <c r="D1143" t="inlineStr">
        <is>
          <t>http://localhost:8787/api/admin/requirements/documents/cmm4yupma02r5cuqwyz08rh4i/view</t>
        </is>
      </c>
      <c r="E1143">
        <f>HYPERLÄNK("http://localhost:8787/api/admin/requirements/documents/cmm4yupma02r5cuqwyz08rh4i/view";"Öppna PDF")</f>
        <v/>
      </c>
      <c r="F1143">
        <f>HYPERLINK("http://localhost:8787/api/admin/requirements/documents/cmm4yupma02r5cuqwyz08rh4i/view","Open PDF")</f>
        <v/>
      </c>
      <c r="G1143" t="inlineStr">
        <is>
          <t>cmm55w57p0004cuisfrtpqly8</t>
        </is>
      </c>
      <c r="H1143" t="inlineStr">
        <is>
          <t>Beslutsvillkor</t>
        </is>
      </c>
      <c r="I1143" t="inlineStr">
        <is>
          <t>LagringsvolymTid</t>
        </is>
      </c>
      <c r="J1143" t="inlineStr">
        <is>
          <t>Maxmangd</t>
        </is>
      </c>
      <c r="K1143" t="inlineStr">
        <is>
          <t>2.4 MATERIAL OCH UTRUSTNING SOM SKA ÅTERVINNAS Produkt Avfallskod Placering Mängd Aluminium 17 04 02 Alla hus.</t>
        </is>
      </c>
      <c r="L1143" t="inlineStr">
        <is>
          <t>2.4 MATERIAL OCH UTRUSTNING SOM SKA ÅTERVINNAS Produkt Avfallskod Placering Mängd Aluminium 17 04 02 Alla hus.</t>
        </is>
      </c>
      <c r="M1143" t="inlineStr">
        <is>
          <t>SKA</t>
        </is>
      </c>
      <c r="N1143" t="inlineStr"/>
      <c r="O1143" t="inlineStr"/>
      <c r="P1143" t="inlineStr"/>
      <c r="Q1143" t="inlineStr"/>
      <c r="R1143" t="inlineStr">
        <is>
          <t>Alltid</t>
        </is>
      </c>
      <c r="S1143" t="inlineStr"/>
      <c r="T1143" t="inlineStr">
        <is>
          <t>17 04 02</t>
        </is>
      </c>
      <c r="U1143" t="inlineStr"/>
      <c r="V1143" t="inlineStr"/>
      <c r="W1143" t="inlineStr">
        <is>
          <t>Nej</t>
        </is>
      </c>
      <c r="X1143" t="inlineStr">
        <is>
          <t>Nej</t>
        </is>
      </c>
      <c r="Y1143" t="inlineStr">
        <is>
          <t>Nej</t>
        </is>
      </c>
      <c r="Z1143" t="inlineStr">
        <is>
          <t>Nej</t>
        </is>
      </c>
      <c r="AA1143" t="n">
        <v>4</v>
      </c>
      <c r="AB1143" t="inlineStr">
        <is>
          <t>Avfallsmangder och lagringstid</t>
        </is>
      </c>
      <c r="AC1143" t="inlineStr">
        <is>
          <t>Avfallsforteckning</t>
        </is>
      </c>
      <c r="AD1143" t="inlineStr">
        <is>
          <t>Nej</t>
        </is>
      </c>
      <c r="AE1143" t="inlineStr">
        <is>
          <t>Nej</t>
        </is>
      </c>
      <c r="AF1143" t="inlineStr">
        <is>
          <t>Ej behandlad</t>
        </is>
      </c>
      <c r="AG1143" t="inlineStr">
        <is>
          <t>AUTO_GENERERAD. Verifiera citat mot kallfil.</t>
        </is>
      </c>
      <c r="AH1143" t="inlineStr">
        <is>
          <t>MEDIUM</t>
        </is>
      </c>
      <c r="AI1143" t="inlineStr">
        <is>
          <t>AUTO</t>
        </is>
      </c>
      <c r="AJ1143" t="inlineStr">
        <is>
          <t>Nej</t>
        </is>
      </c>
      <c r="AK1143" t="inlineStr"/>
      <c r="AL1143" t="inlineStr"/>
      <c r="AM1143" t="inlineStr"/>
      <c r="AN1143" t="inlineStr"/>
      <c r="AO1143" t="inlineStr">
        <is>
          <t>cmm4yupmn02rkcuqwjnnwfgym</t>
        </is>
      </c>
      <c r="AP1143" t="inlineStr">
        <is>
          <t>http://localhost:8787/api/admin/requirements/documents/cmm4yupmn02rkcuqwjnnwfgym/view</t>
        </is>
      </c>
      <c r="AQ1143">
        <f>HYPERLÄNK("http://localhost:8787/api/admin/requirements/documents/cmm4yupmn02rkcuqwjnnwfgym/view";"Öppna PDF")</f>
        <v/>
      </c>
      <c r="AR1143">
        <f>HYPERLINK("http://localhost:8787/api/admin/requirements/documents/cmm4yupmn02rkcuqwjnnwfgym/view","Open PDF")</f>
        <v/>
      </c>
      <c r="AS1143" t="inlineStr">
        <is>
          <t>cmm55w57p0004cuisfrtpqly8</t>
        </is>
      </c>
      <c r="AT1143" t="inlineStr">
        <is>
          <t>cmm4xvu980000cuh4vj0usz09</t>
        </is>
      </c>
      <c r="AU1143" t="inlineStr"/>
      <c r="AV1143" t="inlineStr">
        <is>
          <t>Kommun</t>
        </is>
      </c>
      <c r="AW1143" t="inlineStr"/>
      <c r="AX1143" t="inlineStr">
        <is>
          <t>2025-02</t>
        </is>
      </c>
      <c r="AY1143" t="inlineStr">
        <is>
          <t>Anmalan</t>
        </is>
      </c>
      <c r="AZ1143" t="inlineStr">
        <is>
          <t>2026-02-04</t>
        </is>
      </c>
      <c r="BA1143" t="inlineStr">
        <is>
          <t>SBF-2025-376_2025-02-28_Bilaga 1 C-anmälan Markmästarna 2018.pdf</t>
        </is>
      </c>
      <c r="BB1143" t="inlineStr">
        <is>
          <t>SV: till registrator</t>
        </is>
      </c>
      <c r="BC1143" t="inlineStr">
        <is>
          <t>AUTO</t>
        </is>
      </c>
      <c r="BD1143" t="inlineStr"/>
      <c r="BE1143" t="inlineStr"/>
      <c r="BF1143" t="inlineStr">
        <is>
          <t>AUTO_GENERERAD. Bekrafta metadata mot kallfil.</t>
        </is>
      </c>
      <c r="BG1143">
        <f>HYPERLINK("C:\Users\jimmy\Desktop\Examens arbete\Kod\Ny mapp\remix_-copy-of-miljöbeslut.se-portal\SBF-2025-376_2025-02-28_Bilaga 1 C-anmälan Markmästarna 2018.pdf", "Öppna PDF")</f>
        <v/>
      </c>
    </row>
    <row r="1144">
      <c r="A1144" t="inlineStr">
        <is>
          <t>KRAV-AUTO-001143</t>
        </is>
      </c>
      <c r="B1144" t="inlineStr">
        <is>
          <t>ADMIN-INDEX-2026-02-27-00000000125C043F57453246863FE664CAFE6A3F0700950291EA24F0614FB6ACEDB12BF0E31D00000000010C0000950291EA24F0614FB6ACEDB12BF0E31D00002087AE630000</t>
        </is>
      </c>
      <c r="C1144" t="inlineStr">
        <is>
          <t>cmm4yupma02r5cuqwyz08rh4i</t>
        </is>
      </c>
      <c r="D1144" t="inlineStr">
        <is>
          <t>http://localhost:8787/api/admin/requirements/documents/cmm4yupma02r5cuqwyz08rh4i/view</t>
        </is>
      </c>
      <c r="E1144">
        <f>HYPERLÄNK("http://localhost:8787/api/admin/requirements/documents/cmm4yupma02r5cuqwyz08rh4i/view";"Öppna PDF")</f>
        <v/>
      </c>
      <c r="F1144">
        <f>HYPERLINK("http://localhost:8787/api/admin/requirements/documents/cmm4yupma02r5cuqwyz08rh4i/view","Open PDF")</f>
        <v/>
      </c>
      <c r="G1144" t="inlineStr">
        <is>
          <t>cmm55w57p0004cuisfrtpqly8</t>
        </is>
      </c>
      <c r="H1144" t="inlineStr">
        <is>
          <t>Beslutsvillkor</t>
        </is>
      </c>
      <c r="I1144" t="inlineStr">
        <is>
          <t>DriftEgenkontroll</t>
        </is>
      </c>
      <c r="J1144" t="inlineStr">
        <is>
          <t>Journalforing</t>
        </is>
      </c>
      <c r="K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44" t="inlineStr">
        <is>
          <t>BOR</t>
        </is>
      </c>
      <c r="N1144" t="inlineStr"/>
      <c r="O1144" t="inlineStr">
        <is>
          <t>2024-01-24</t>
        </is>
      </c>
      <c r="P1144" t="inlineStr"/>
      <c r="Q1144" t="inlineStr"/>
      <c r="R1144" t="inlineStr">
        <is>
          <t>Lopande drift</t>
        </is>
      </c>
      <c r="S1144" t="inlineStr"/>
      <c r="T1144" t="inlineStr">
        <is>
          <t>17 03 02</t>
        </is>
      </c>
      <c r="U1144" t="inlineStr"/>
      <c r="V1144" t="inlineStr"/>
      <c r="W1144" t="inlineStr">
        <is>
          <t>Nej</t>
        </is>
      </c>
      <c r="X1144" t="inlineStr">
        <is>
          <t>Nej</t>
        </is>
      </c>
      <c r="Y1144" t="inlineStr">
        <is>
          <t>Ja</t>
        </is>
      </c>
      <c r="Z1144" t="inlineStr">
        <is>
          <t>Nej</t>
        </is>
      </c>
      <c r="AA1144" t="n">
        <v>7</v>
      </c>
      <c r="AB1144" t="inlineStr">
        <is>
          <t>Egenkontrollrutiner</t>
        </is>
      </c>
      <c r="AC1144" t="inlineStr">
        <is>
          <t>Egenkontrollprogram</t>
        </is>
      </c>
      <c r="AD1144" t="inlineStr">
        <is>
          <t>Nej</t>
        </is>
      </c>
      <c r="AE1144" t="inlineStr">
        <is>
          <t>Nej</t>
        </is>
      </c>
      <c r="AF1144" t="inlineStr">
        <is>
          <t>Ej behandlad</t>
        </is>
      </c>
      <c r="AG1144" t="inlineStr">
        <is>
          <t>AUTO_GENERERAD. Verifiera citat mot kallfil.</t>
        </is>
      </c>
      <c r="AH1144" t="inlineStr">
        <is>
          <t>MEDIUM</t>
        </is>
      </c>
      <c r="AI1144" t="inlineStr">
        <is>
          <t>AUTO</t>
        </is>
      </c>
      <c r="AJ1144" t="inlineStr">
        <is>
          <t>Nej</t>
        </is>
      </c>
      <c r="AK1144" t="inlineStr"/>
      <c r="AL1144" t="inlineStr"/>
      <c r="AM1144" t="inlineStr"/>
      <c r="AN1144" t="inlineStr"/>
      <c r="AO1144" t="inlineStr">
        <is>
          <t>cmm4yupmn02rkcuqwjnnwfgym</t>
        </is>
      </c>
      <c r="AP1144" t="inlineStr">
        <is>
          <t>http://localhost:8787/api/admin/requirements/documents/cmm4yupmn02rkcuqwjnnwfgym/view</t>
        </is>
      </c>
      <c r="AQ1144">
        <f>HYPERLÄNK("http://localhost:8787/api/admin/requirements/documents/cmm4yupmn02rkcuqwjnnwfgym/view";"Öppna PDF")</f>
        <v/>
      </c>
      <c r="AR1144">
        <f>HYPERLINK("http://localhost:8787/api/admin/requirements/documents/cmm4yupmn02rkcuqwjnnwfgym/view","Open PDF")</f>
        <v/>
      </c>
      <c r="AS1144" t="inlineStr">
        <is>
          <t>cmm55w57p0004cuisfrtpqly8</t>
        </is>
      </c>
      <c r="AT1144" t="inlineStr">
        <is>
          <t>cmm4xvu980000cuh4vj0usz09</t>
        </is>
      </c>
      <c r="AU1144" t="inlineStr"/>
      <c r="AV1144" t="inlineStr">
        <is>
          <t>Kommun</t>
        </is>
      </c>
      <c r="AW1144" t="inlineStr"/>
      <c r="AX1144" t="inlineStr">
        <is>
          <t>2025-02</t>
        </is>
      </c>
      <c r="AY1144" t="inlineStr">
        <is>
          <t>Anmalan</t>
        </is>
      </c>
      <c r="AZ1144" t="inlineStr">
        <is>
          <t>2026-02-04</t>
        </is>
      </c>
      <c r="BA1144" t="inlineStr">
        <is>
          <t>SBF-2025-376_2025-02-28_Bilaga 1 C-anmälan Markmästarna 2018.pdf</t>
        </is>
      </c>
      <c r="BB1144" t="inlineStr">
        <is>
          <t>SV: till registrator</t>
        </is>
      </c>
      <c r="BC1144" t="inlineStr">
        <is>
          <t>AUTO</t>
        </is>
      </c>
      <c r="BD1144" t="inlineStr"/>
      <c r="BE1144" t="inlineStr"/>
      <c r="BF1144" t="inlineStr">
        <is>
          <t>AUTO_GENERERAD. Bekrafta metadata mot kallfil.</t>
        </is>
      </c>
      <c r="BG1144">
        <f>HYPERLINK("C:\Users\jimmy\Desktop\Examens arbete\Kod\Ny mapp\remix_-copy-of-miljöbeslut.se-portal\SBF-2025-376_2025-02-28_Bilaga 1 C-anmälan Markmästarna 2018.pdf", "Öppna PDF")</f>
        <v/>
      </c>
    </row>
    <row r="1145">
      <c r="A1145" t="inlineStr">
        <is>
          <t>KRAV-AUTO-001144</t>
        </is>
      </c>
      <c r="B1145" t="inlineStr">
        <is>
          <t>ADMIN-INDEX-2026-02-27-00000000125C043F57453246863FE664CAFE6A3F0700950291EA24F0614FB6ACEDB12BF0E31D00000000010C0000950291EA24F0614FB6ACEDB12BF0E31D00002087AE630000</t>
        </is>
      </c>
      <c r="C1145" t="inlineStr">
        <is>
          <t>cmm4yupm802r2cuqwvpqcqe3f</t>
        </is>
      </c>
      <c r="D1145" t="inlineStr">
        <is>
          <t>http://localhost:8787/api/admin/requirements/documents/cmm4yupm802r2cuqwvpqcqe3f/view</t>
        </is>
      </c>
      <c r="E1145">
        <f>HYPERLÄNK("http://localhost:8787/api/admin/requirements/documents/cmm4yupm802r2cuqwvpqcqe3f/view";"Öppna PDF")</f>
        <v/>
      </c>
      <c r="F1145">
        <f>HYPERLINK("http://localhost:8787/api/admin/requirements/documents/cmm4yupm802r2cuqwvpqcqe3f/view","Open PDF")</f>
        <v/>
      </c>
      <c r="G1145" t="inlineStr">
        <is>
          <t>cmm55w57p0004cuisfrtpqly8</t>
        </is>
      </c>
      <c r="H1145" t="inlineStr">
        <is>
          <t>Beslutsvillkor</t>
        </is>
      </c>
      <c r="I1145" t="inlineStr">
        <is>
          <t>DriftEgenkontroll</t>
        </is>
      </c>
      <c r="J1145" t="inlineStr">
        <is>
          <t>Journalforing</t>
        </is>
      </c>
      <c r="K1145" t="inlineStr">
        <is>
          <t>Sida Ordernummer Kund LE2401733 Conservator AB : : : 3 av 14 Provbeteckning PPtung2 BTG samlingsprov hus 07 Laboratoriets provnummer LE2401733-002 Provtagningsdatum / tid 2024-01-24 Matris BYGGNADSMATERIAL Resultat MU Enhet LOR Metod Utf.</t>
        </is>
      </c>
      <c r="L1145" t="inlineStr">
        <is>
          <t>Sida Ordernummer Kund LE2401733 Conservator AB : : : 3 av 14 Provbeteckning PPtung2 BTG samlingsprov hus 07 Laboratoriets provnummer LE2401733-002 Provtagningsdatum / tid 2024-01-24 Matris BYGGNADSMATERIAL Resultat MU Enhet LOR Metod Utf.</t>
        </is>
      </c>
      <c r="M1145" t="inlineStr">
        <is>
          <t>BOR</t>
        </is>
      </c>
      <c r="N1145" t="inlineStr"/>
      <c r="O1145" t="inlineStr">
        <is>
          <t>2024-01-24</t>
        </is>
      </c>
      <c r="P1145" t="inlineStr"/>
      <c r="Q1145" t="inlineStr"/>
      <c r="R1145" t="inlineStr">
        <is>
          <t>Lopande drift</t>
        </is>
      </c>
      <c r="S1145" t="inlineStr"/>
      <c r="T1145" t="inlineStr"/>
      <c r="U1145" t="inlineStr"/>
      <c r="V1145" t="inlineStr"/>
      <c r="W1145" t="inlineStr">
        <is>
          <t>Nej</t>
        </is>
      </c>
      <c r="X1145" t="inlineStr">
        <is>
          <t>Nej</t>
        </is>
      </c>
      <c r="Y1145" t="inlineStr">
        <is>
          <t>Ja</t>
        </is>
      </c>
      <c r="Z1145" t="inlineStr">
        <is>
          <t>Nej</t>
        </is>
      </c>
      <c r="AA1145" t="n">
        <v>7</v>
      </c>
      <c r="AB1145" t="inlineStr">
        <is>
          <t>Egenkontrollrutiner</t>
        </is>
      </c>
      <c r="AC1145" t="inlineStr">
        <is>
          <t>Egenkontrollprogram</t>
        </is>
      </c>
      <c r="AD1145" t="inlineStr">
        <is>
          <t>Nej</t>
        </is>
      </c>
      <c r="AE1145" t="inlineStr">
        <is>
          <t>Nej</t>
        </is>
      </c>
      <c r="AF1145" t="inlineStr">
        <is>
          <t>Ej behandlad</t>
        </is>
      </c>
      <c r="AG1145" t="inlineStr">
        <is>
          <t>AUTO_GENERERAD. Verifiera citat mot kallfil.</t>
        </is>
      </c>
      <c r="AH1145" t="inlineStr">
        <is>
          <t>MEDIUM</t>
        </is>
      </c>
      <c r="AI1145" t="inlineStr">
        <is>
          <t>AUTO</t>
        </is>
      </c>
      <c r="AJ1145" t="inlineStr">
        <is>
          <t>Nej</t>
        </is>
      </c>
      <c r="AK1145" t="inlineStr"/>
      <c r="AL1145" t="inlineStr"/>
      <c r="AM1145" t="inlineStr"/>
      <c r="AN1145" t="inlineStr"/>
      <c r="AO1145" t="inlineStr">
        <is>
          <t>cmm4yupmn02rkcuqwjnnwfgym</t>
        </is>
      </c>
      <c r="AP1145" t="inlineStr">
        <is>
          <t>http://localhost:8787/api/admin/requirements/documents/cmm4yupmn02rkcuqwjnnwfgym/view</t>
        </is>
      </c>
      <c r="AQ1145">
        <f>HYPERLÄNK("http://localhost:8787/api/admin/requirements/documents/cmm4yupmn02rkcuqwjnnwfgym/view";"Öppna PDF")</f>
        <v/>
      </c>
      <c r="AR1145">
        <f>HYPERLINK("http://localhost:8787/api/admin/requirements/documents/cmm4yupmn02rkcuqwjnnwfgym/view","Open PDF")</f>
        <v/>
      </c>
      <c r="AS1145" t="inlineStr">
        <is>
          <t>cmm55w57p0004cuisfrtpqly8</t>
        </is>
      </c>
      <c r="AT1145" t="inlineStr">
        <is>
          <t>cmm4xvu980000cuh4vj0usz09</t>
        </is>
      </c>
      <c r="AU1145" t="inlineStr"/>
      <c r="AV1145" t="inlineStr">
        <is>
          <t>Kommun</t>
        </is>
      </c>
      <c r="AW1145" t="inlineStr"/>
      <c r="AX1145" t="inlineStr">
        <is>
          <t>2025-02</t>
        </is>
      </c>
      <c r="AY1145" t="inlineStr">
        <is>
          <t>Anmalan</t>
        </is>
      </c>
      <c r="AZ1145" t="inlineStr">
        <is>
          <t>2026-02-04</t>
        </is>
      </c>
      <c r="BA1145" t="inlineStr">
        <is>
          <t>SBF-2025-376_2025-02-28_Bilaga 1 C-anmälan Markmästarna 2018.pdf</t>
        </is>
      </c>
      <c r="BB1145" t="inlineStr">
        <is>
          <t>SV: till registrator</t>
        </is>
      </c>
      <c r="BC1145" t="inlineStr">
        <is>
          <t>AUTO</t>
        </is>
      </c>
      <c r="BD1145" t="inlineStr"/>
      <c r="BE1145" t="inlineStr"/>
      <c r="BF1145" t="inlineStr">
        <is>
          <t>AUTO_GENERERAD. Bekrafta metadata mot kallfil.</t>
        </is>
      </c>
      <c r="BG1145">
        <f>HYPERLINK("C:\Users\jimmy\Desktop\Examens arbete\Kod\Ny mapp\remix_-copy-of-miljöbeslut.se-portal\SBF-2025-376_2025-02-28_Bilaga 1 C-anmälan Markmästarna 2018.pdf", "Öppna PDF")</f>
        <v/>
      </c>
    </row>
    <row r="1146">
      <c r="A1146" t="inlineStr">
        <is>
          <t>KRAV-AUTO-001145</t>
        </is>
      </c>
      <c r="B1146" t="inlineStr">
        <is>
          <t>ADMIN-INDEX-2026-02-27-00000000125C043F57453246863FE664CAFE6A3F0700950291EA24F0614FB6ACEDB12BF0E31D00000000010C0000950291EA24F0614FB6ACEDB12BF0E31D00002087AE630000</t>
        </is>
      </c>
      <c r="C1146" t="inlineStr">
        <is>
          <t>cmm4yupm502qzcuqwr5yizw4b</t>
        </is>
      </c>
      <c r="D1146" t="inlineStr">
        <is>
          <t>http://localhost:8787/api/admin/requirements/documents/cmm4yupm502qzcuqwr5yizw4b/view</t>
        </is>
      </c>
      <c r="E1146">
        <f>HYPERLÄNK("http://localhost:8787/api/admin/requirements/documents/cmm4yupm502qzcuqwr5yizw4b/view";"Öppna PDF")</f>
        <v/>
      </c>
      <c r="F1146">
        <f>HYPERLINK("http://localhost:8787/api/admin/requirements/documents/cmm4yupm502qzcuqwr5yizw4b/view","Open PDF")</f>
        <v/>
      </c>
      <c r="G1146" t="inlineStr">
        <is>
          <t>cmm55w57p0004cuisfrtpqly8</t>
        </is>
      </c>
      <c r="H1146" t="inlineStr">
        <is>
          <t>Informationskrav</t>
        </is>
      </c>
      <c r="I1146" t="inlineStr">
        <is>
          <t>DagvattenLakvatten</t>
        </is>
      </c>
      <c r="J1146" t="inlineStr">
        <is>
          <t>Uppsamling</t>
        </is>
      </c>
      <c r="K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46" t="inlineStr">
        <is>
          <t>SKA</t>
        </is>
      </c>
      <c r="N1146" t="inlineStr">
        <is>
          <t>Miljobalken</t>
        </is>
      </c>
      <c r="O1146" t="inlineStr"/>
      <c r="P1146" t="inlineStr"/>
      <c r="Q1146" t="inlineStr"/>
      <c r="R1146" t="inlineStr">
        <is>
          <t>Vid nederbord och avrinning</t>
        </is>
      </c>
      <c r="S1146" t="inlineStr"/>
      <c r="T1146" t="inlineStr">
        <is>
          <t>17 01 01</t>
        </is>
      </c>
      <c r="U1146" t="n">
        <v>700</v>
      </c>
      <c r="V1146" t="inlineStr"/>
      <c r="W1146" t="inlineStr">
        <is>
          <t>Nej</t>
        </is>
      </c>
      <c r="X1146" t="inlineStr">
        <is>
          <t>Ja</t>
        </is>
      </c>
      <c r="Y1146" t="inlineStr">
        <is>
          <t>Ja</t>
        </is>
      </c>
      <c r="Z1146" t="inlineStr">
        <is>
          <t>Nej</t>
        </is>
      </c>
      <c r="AA1146" t="n">
        <v>6</v>
      </c>
      <c r="AB1146" t="inlineStr">
        <is>
          <t>Lakvattenhantering</t>
        </is>
      </c>
      <c r="AC1146" t="inlineStr">
        <is>
          <t>Flodesschema dagvatten-lakvatten</t>
        </is>
      </c>
      <c r="AD1146" t="inlineStr">
        <is>
          <t>Nej</t>
        </is>
      </c>
      <c r="AE1146" t="inlineStr">
        <is>
          <t>Nej</t>
        </is>
      </c>
      <c r="AF1146" t="inlineStr">
        <is>
          <t>Ej behandlad</t>
        </is>
      </c>
      <c r="AG1146" t="inlineStr">
        <is>
          <t>AUTO_GENERERAD. Verifiera citat mot kallfil.</t>
        </is>
      </c>
      <c r="AH1146" t="inlineStr">
        <is>
          <t>HIGH</t>
        </is>
      </c>
      <c r="AI1146" t="inlineStr">
        <is>
          <t>AUTO</t>
        </is>
      </c>
      <c r="AJ1146" t="inlineStr">
        <is>
          <t>Nej</t>
        </is>
      </c>
      <c r="AK1146" t="inlineStr"/>
      <c r="AL1146" t="inlineStr"/>
      <c r="AM1146" t="inlineStr"/>
      <c r="AN1146" t="inlineStr"/>
      <c r="AO1146" t="inlineStr">
        <is>
          <t>cmm4yupmn02rkcuqwjnnwfgym</t>
        </is>
      </c>
      <c r="AP1146" t="inlineStr">
        <is>
          <t>http://localhost:8787/api/admin/requirements/documents/cmm4yupmn02rkcuqwjnnwfgym/view</t>
        </is>
      </c>
      <c r="AQ1146">
        <f>HYPERLÄNK("http://localhost:8787/api/admin/requirements/documents/cmm4yupmn02rkcuqwjnnwfgym/view";"Öppna PDF")</f>
        <v/>
      </c>
      <c r="AR1146">
        <f>HYPERLINK("http://localhost:8787/api/admin/requirements/documents/cmm4yupmn02rkcuqwjnnwfgym/view","Open PDF")</f>
        <v/>
      </c>
      <c r="AS1146" t="inlineStr">
        <is>
          <t>cmm55w57p0004cuisfrtpqly8</t>
        </is>
      </c>
      <c r="AT1146" t="inlineStr">
        <is>
          <t>cmm4xvu980000cuh4vj0usz09</t>
        </is>
      </c>
      <c r="AU1146" t="inlineStr"/>
      <c r="AV1146" t="inlineStr">
        <is>
          <t>Kommun</t>
        </is>
      </c>
      <c r="AW1146" t="inlineStr"/>
      <c r="AX1146" t="inlineStr">
        <is>
          <t>2025-02</t>
        </is>
      </c>
      <c r="AY1146" t="inlineStr">
        <is>
          <t>Anmalan</t>
        </is>
      </c>
      <c r="AZ1146" t="inlineStr">
        <is>
          <t>2026-02-04</t>
        </is>
      </c>
      <c r="BA1146" t="inlineStr">
        <is>
          <t>SBF-2025-376_2025-02-28_Bilaga 1 C-anmälan Markmästarna 2018.pdf</t>
        </is>
      </c>
      <c r="BB1146" t="inlineStr">
        <is>
          <t>SV: till registrator</t>
        </is>
      </c>
      <c r="BC1146" t="inlineStr">
        <is>
          <t>AUTO</t>
        </is>
      </c>
      <c r="BD1146" t="inlineStr"/>
      <c r="BE1146" t="inlineStr"/>
      <c r="BF1146" t="inlineStr">
        <is>
          <t>AUTO_GENERERAD. Bekrafta metadata mot kallfil.</t>
        </is>
      </c>
      <c r="BG1146">
        <f>HYPERLINK("C:\Users\jimmy\Desktop\Examens arbete\Kod\Ny mapp\remix_-copy-of-miljöbeslut.se-portal\SBF-2025-376_2025-02-28_Bilaga 1 C-anmälan Markmästarna 2018.pdf", "Öppna PDF")</f>
        <v/>
      </c>
    </row>
    <row r="1147">
      <c r="A1147" t="inlineStr">
        <is>
          <t>KRAV-AUTO-001146</t>
        </is>
      </c>
      <c r="B1147" t="inlineStr">
        <is>
          <t>ADMIN-INDEX-2026-02-27-00000000125C043F57453246863FE664CAFE6A3F0700950291EA24F0614FB6ACEDB12BF0E31D00000000010C0000950291EA24F0614FB6ACEDB12BF0E31D00002087AE640000</t>
        </is>
      </c>
      <c r="C1147" t="inlineStr">
        <is>
          <t>cmm4yuplh02qbcuqwo52fuzbg</t>
        </is>
      </c>
      <c r="D1147" t="inlineStr">
        <is>
          <t>http://localhost:8787/api/admin/requirements/documents/cmm4yuplh02qbcuqwo52fuzbg/view</t>
        </is>
      </c>
      <c r="E1147">
        <f>HYPERLÄNK("http://localhost:8787/api/admin/requirements/documents/cmm4yuplh02qbcuqwo52fuzbg/view";"Öppna PDF")</f>
        <v/>
      </c>
      <c r="F1147">
        <f>HYPERLINK("http://localhost:8787/api/admin/requirements/documents/cmm4yuplh02qbcuqwo52fuzbg/view","Open PDF")</f>
        <v/>
      </c>
      <c r="G1147" t="inlineStr">
        <is>
          <t>cmm55w57p0004cuisfrtpqly8</t>
        </is>
      </c>
      <c r="H1147" t="inlineStr">
        <is>
          <t>Informationskrav</t>
        </is>
      </c>
      <c r="I1147" t="inlineStr">
        <is>
          <t>DagvattenLakvatten</t>
        </is>
      </c>
      <c r="J1147" t="inlineStr">
        <is>
          <t>Uppsamling</t>
        </is>
      </c>
      <c r="K1147" t="inlineStr">
        <is>
          <t>Det uppsamlade materialet ska sedan grävas upp och placeras i ett väl utmärkt uppsamlingskärl för att sedan borttransporteras av behörig transportör för farligt avfall.</t>
        </is>
      </c>
      <c r="L1147" t="inlineStr">
        <is>
          <t>Det uppsamlade materialet ska sedan grävas upp och placeras i ett väl utmärkt uppsamlingskärl för att sedan borttransporteras av behörig transportör för farligt avfall.</t>
        </is>
      </c>
      <c r="M1147" t="inlineStr">
        <is>
          <t>SKA</t>
        </is>
      </c>
      <c r="N1147" t="inlineStr"/>
      <c r="O1147" t="inlineStr"/>
      <c r="P1147" t="inlineStr">
        <is>
          <t>Arlig</t>
        </is>
      </c>
      <c r="Q1147" t="inlineStr"/>
      <c r="R1147" t="inlineStr">
        <is>
          <t>Vid nederbord och avrinning</t>
        </is>
      </c>
      <c r="S1147" t="inlineStr"/>
      <c r="T1147" t="inlineStr">
        <is>
          <t>509943</t>
        </is>
      </c>
      <c r="U1147" t="inlineStr"/>
      <c r="V1147" t="inlineStr"/>
      <c r="W1147" t="inlineStr">
        <is>
          <t>Nej</t>
        </is>
      </c>
      <c r="X1147" t="inlineStr">
        <is>
          <t>Ja</t>
        </is>
      </c>
      <c r="Y1147" t="inlineStr">
        <is>
          <t>Ja</t>
        </is>
      </c>
      <c r="Z1147" t="inlineStr">
        <is>
          <t>Nej</t>
        </is>
      </c>
      <c r="AA1147" t="n">
        <v>6</v>
      </c>
      <c r="AB1147" t="inlineStr">
        <is>
          <t>Lakvattenhantering</t>
        </is>
      </c>
      <c r="AC1147" t="inlineStr">
        <is>
          <t>Flodesschema dagvatten-lakvatten</t>
        </is>
      </c>
      <c r="AD1147" t="inlineStr">
        <is>
          <t>Nej</t>
        </is>
      </c>
      <c r="AE1147" t="inlineStr">
        <is>
          <t>Nej</t>
        </is>
      </c>
      <c r="AF1147" t="inlineStr">
        <is>
          <t>Ej behandlad</t>
        </is>
      </c>
      <c r="AG1147" t="inlineStr">
        <is>
          <t>AUTO_GENERERAD. Verifiera citat mot kallfil.</t>
        </is>
      </c>
      <c r="AH1147" t="inlineStr">
        <is>
          <t>MEDIUM</t>
        </is>
      </c>
      <c r="AI1147" t="inlineStr">
        <is>
          <t>AUTO</t>
        </is>
      </c>
      <c r="AJ1147" t="inlineStr">
        <is>
          <t>Nej</t>
        </is>
      </c>
      <c r="AK1147" t="inlineStr"/>
      <c r="AL1147" t="inlineStr"/>
      <c r="AM1147" t="inlineStr"/>
      <c r="AN1147" t="inlineStr"/>
      <c r="AO1147" t="inlineStr">
        <is>
          <t>cmm4yuplh02qbcuqwo52fuzbg</t>
        </is>
      </c>
      <c r="AP1147" t="inlineStr">
        <is>
          <t>http://localhost:8787/api/admin/requirements/documents/cmm4yuplh02qbcuqwo52fuzbg/view</t>
        </is>
      </c>
      <c r="AQ1147">
        <f>HYPERLÄNK("http://localhost:8787/api/admin/requirements/documents/cmm4yuplh02qbcuqwo52fuzbg/view";"Öppna PDF")</f>
        <v/>
      </c>
      <c r="AR1147">
        <f>HYPERLINK("http://localhost:8787/api/admin/requirements/documents/cmm4yuplh02qbcuqwo52fuzbg/view","Open PDF")</f>
        <v/>
      </c>
      <c r="AS1147" t="inlineStr">
        <is>
          <t>cmm55w57p0004cuisfrtpqly8</t>
        </is>
      </c>
      <c r="AT1147" t="inlineStr">
        <is>
          <t>cmm4xvu980000cuh4vj0usz09</t>
        </is>
      </c>
      <c r="AU1147" t="inlineStr"/>
      <c r="AV1147" t="inlineStr">
        <is>
          <t>Kommun</t>
        </is>
      </c>
      <c r="AW1147" t="inlineStr"/>
      <c r="AX1147" t="inlineStr">
        <is>
          <t>2025-02</t>
        </is>
      </c>
      <c r="AY1147" t="inlineStr">
        <is>
          <t>Anmalan</t>
        </is>
      </c>
      <c r="AZ1147" t="inlineStr">
        <is>
          <t>2026-02-04</t>
        </is>
      </c>
      <c r="BA1147" t="inlineStr">
        <is>
          <t>SBF-2025-376_2025-02-28_Bilaga 1 C-anmälan Markmästarna 2018.pdf</t>
        </is>
      </c>
      <c r="BB1147" t="inlineStr">
        <is>
          <t>SV: till registrator</t>
        </is>
      </c>
      <c r="BC1147" t="inlineStr">
        <is>
          <t>AUTO</t>
        </is>
      </c>
      <c r="BD1147" t="inlineStr"/>
      <c r="BE1147" t="inlineStr"/>
      <c r="BF1147" t="inlineStr">
        <is>
          <t>AUTO_GENERERAD. Bekrafta metadata mot kallfil.</t>
        </is>
      </c>
      <c r="BG1147">
        <f>HYPERLINK("C:\Users\jimmy\Desktop\Examens arbete\Kod\Ny mapp\remix_-copy-of-miljöbeslut.se-portal\SBF-2025-376_2025-02-28_Bilaga 1 C-anmälan Markmästarna 2018.pdf", "Öppna PDF")</f>
        <v/>
      </c>
    </row>
    <row r="1148">
      <c r="A1148" t="inlineStr">
        <is>
          <t>KRAV-AUTO-001147</t>
        </is>
      </c>
      <c r="B1148" t="inlineStr">
        <is>
          <t>ADMIN-INDEX-2026-02-27-00000000125C043F57453246863FE664CAFE6A3F0700950291EA24F0614FB6ACEDB12BF0E31D00000000010C0000950291EA24F0614FB6ACEDB12BF0E31D00002087AE640000</t>
        </is>
      </c>
      <c r="C1148" t="inlineStr">
        <is>
          <t>cmm4yuplh02qbcuqwo52fuzbg</t>
        </is>
      </c>
      <c r="D1148" t="inlineStr">
        <is>
          <t>http://localhost:8787/api/admin/requirements/documents/cmm4yuplh02qbcuqwo52fuzbg/view</t>
        </is>
      </c>
      <c r="E1148">
        <f>HYPERLÄNK("http://localhost:8787/api/admin/requirements/documents/cmm4yuplh02qbcuqwo52fuzbg/view";"Öppna PDF")</f>
        <v/>
      </c>
      <c r="F1148">
        <f>HYPERLINK("http://localhost:8787/api/admin/requirements/documents/cmm4yuplh02qbcuqwo52fuzbg/view","Open PDF")</f>
        <v/>
      </c>
      <c r="G1148" t="inlineStr">
        <is>
          <t>cmm55w57p0004cuisfrtpqly8</t>
        </is>
      </c>
      <c r="H1148" t="inlineStr">
        <is>
          <t>Informationskrav</t>
        </is>
      </c>
      <c r="I1148" t="inlineStr">
        <is>
          <t>DagvattenLakvatten</t>
        </is>
      </c>
      <c r="J1148" t="inlineStr">
        <is>
          <t>Uppsamling</t>
        </is>
      </c>
      <c r="K1148" t="inlineStr">
        <is>
          <t>Det vatten som genereras är så kallat dagvatten från nederbörd i form av regn och snö.</t>
        </is>
      </c>
      <c r="L1148" t="inlineStr">
        <is>
          <t>Det vatten som genereras är så kallat dagvatten från nederbörd i form av regn och snö.</t>
        </is>
      </c>
      <c r="M1148" t="inlineStr">
        <is>
          <t>BOR</t>
        </is>
      </c>
      <c r="N1148" t="inlineStr"/>
      <c r="O1148" t="inlineStr"/>
      <c r="P1148" t="inlineStr"/>
      <c r="Q1148" t="inlineStr"/>
      <c r="R1148" t="inlineStr">
        <is>
          <t>Vid nederbord och avrinning</t>
        </is>
      </c>
      <c r="S1148" t="inlineStr"/>
      <c r="T1148" t="inlineStr">
        <is>
          <t>509943</t>
        </is>
      </c>
      <c r="U1148" t="inlineStr"/>
      <c r="V1148" t="inlineStr"/>
      <c r="W1148" t="inlineStr">
        <is>
          <t>Nej</t>
        </is>
      </c>
      <c r="X1148" t="inlineStr">
        <is>
          <t>Ja</t>
        </is>
      </c>
      <c r="Y1148" t="inlineStr">
        <is>
          <t>Ja</t>
        </is>
      </c>
      <c r="Z1148" t="inlineStr">
        <is>
          <t>Nej</t>
        </is>
      </c>
      <c r="AA1148" t="n">
        <v>6</v>
      </c>
      <c r="AB1148" t="inlineStr">
        <is>
          <t>Lakvattenhantering</t>
        </is>
      </c>
      <c r="AC1148" t="inlineStr">
        <is>
          <t>Flodesschema dagvatten-lakvatten</t>
        </is>
      </c>
      <c r="AD1148" t="inlineStr">
        <is>
          <t>Nej</t>
        </is>
      </c>
      <c r="AE1148" t="inlineStr">
        <is>
          <t>Nej</t>
        </is>
      </c>
      <c r="AF1148" t="inlineStr">
        <is>
          <t>Ej behandlad</t>
        </is>
      </c>
      <c r="AG1148" t="inlineStr">
        <is>
          <t>AUTO_GENERERAD. Verifiera citat mot kallfil.</t>
        </is>
      </c>
      <c r="AH1148" t="inlineStr">
        <is>
          <t>MEDIUM</t>
        </is>
      </c>
      <c r="AI1148" t="inlineStr">
        <is>
          <t>AUTO</t>
        </is>
      </c>
      <c r="AJ1148" t="inlineStr">
        <is>
          <t>Nej</t>
        </is>
      </c>
      <c r="AK1148" t="inlineStr"/>
      <c r="AL1148" t="inlineStr"/>
      <c r="AM1148" t="inlineStr"/>
      <c r="AN1148" t="inlineStr"/>
      <c r="AO1148" t="inlineStr">
        <is>
          <t>cmm4yuplh02qbcuqwo52fuzbg</t>
        </is>
      </c>
      <c r="AP1148" t="inlineStr">
        <is>
          <t>http://localhost:8787/api/admin/requirements/documents/cmm4yuplh02qbcuqwo52fuzbg/view</t>
        </is>
      </c>
      <c r="AQ1148">
        <f>HYPERLÄNK("http://localhost:8787/api/admin/requirements/documents/cmm4yuplh02qbcuqwo52fuzbg/view";"Öppna PDF")</f>
        <v/>
      </c>
      <c r="AR1148">
        <f>HYPERLINK("http://localhost:8787/api/admin/requirements/documents/cmm4yuplh02qbcuqwo52fuzbg/view","Open PDF")</f>
        <v/>
      </c>
      <c r="AS1148" t="inlineStr">
        <is>
          <t>cmm55w57p0004cuisfrtpqly8</t>
        </is>
      </c>
      <c r="AT1148" t="inlineStr">
        <is>
          <t>cmm4xvu980000cuh4vj0usz09</t>
        </is>
      </c>
      <c r="AU1148" t="inlineStr"/>
      <c r="AV1148" t="inlineStr">
        <is>
          <t>Kommun</t>
        </is>
      </c>
      <c r="AW1148" t="inlineStr"/>
      <c r="AX1148" t="inlineStr">
        <is>
          <t>2025-02</t>
        </is>
      </c>
      <c r="AY1148" t="inlineStr">
        <is>
          <t>Anmalan</t>
        </is>
      </c>
      <c r="AZ1148" t="inlineStr">
        <is>
          <t>2026-02-04</t>
        </is>
      </c>
      <c r="BA1148" t="inlineStr">
        <is>
          <t>SBF-2025-376_2025-02-28_Bilaga 1 C-anmälan Markmästarna 2018.pdf</t>
        </is>
      </c>
      <c r="BB1148" t="inlineStr">
        <is>
          <t>SV: till registrator</t>
        </is>
      </c>
      <c r="BC1148" t="inlineStr">
        <is>
          <t>AUTO</t>
        </is>
      </c>
      <c r="BD1148" t="inlineStr"/>
      <c r="BE1148" t="inlineStr"/>
      <c r="BF1148" t="inlineStr">
        <is>
          <t>AUTO_GENERERAD. Bekrafta metadata mot kallfil.</t>
        </is>
      </c>
      <c r="BG1148">
        <f>HYPERLINK("C:\Users\jimmy\Desktop\Examens arbete\Kod\Ny mapp\remix_-copy-of-miljöbeslut.se-portal\SBF-2025-376_2025-02-28_Bilaga 1 C-anmälan Markmästarna 2018.pdf", "Öppna PDF")</f>
        <v/>
      </c>
    </row>
    <row r="1149">
      <c r="A1149" t="inlineStr">
        <is>
          <t>KRAV-AUTO-001148</t>
        </is>
      </c>
      <c r="B1149" t="inlineStr">
        <is>
          <t>ADMIN-INDEX-2026-02-27-00000000125C043F57453246863FE664CAFE6A3F0700950291EA24F0614FB6ACEDB12BF0E31D00000000010C0000950291EA24F0614FB6ACEDB12BF0E31D00002087AE640000</t>
        </is>
      </c>
      <c r="C1149" t="inlineStr">
        <is>
          <t>cmm4yuplh02qbcuqwo52fuzbg</t>
        </is>
      </c>
      <c r="D1149" t="inlineStr">
        <is>
          <t>http://localhost:8787/api/admin/requirements/documents/cmm4yuplh02qbcuqwo52fuzbg/view</t>
        </is>
      </c>
      <c r="E1149">
        <f>HYPERLÄNK("http://localhost:8787/api/admin/requirements/documents/cmm4yuplh02qbcuqwo52fuzbg/view";"Öppna PDF")</f>
        <v/>
      </c>
      <c r="F1149">
        <f>HYPERLINK("http://localhost:8787/api/admin/requirements/documents/cmm4yuplh02qbcuqwo52fuzbg/view","Open PDF")</f>
        <v/>
      </c>
      <c r="G1149" t="inlineStr">
        <is>
          <t>cmm55w57p0004cuisfrtpqly8</t>
        </is>
      </c>
      <c r="H1149" t="inlineStr">
        <is>
          <t>Informationskrav</t>
        </is>
      </c>
      <c r="I1149" t="inlineStr">
        <is>
          <t>Riskhantering</t>
        </is>
      </c>
      <c r="J1149" t="inlineStr">
        <is>
          <t>Riskkontroll</t>
        </is>
      </c>
      <c r="K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49" t="inlineStr">
        <is>
          <t>SKA</t>
        </is>
      </c>
      <c r="N1149" t="inlineStr"/>
      <c r="O1149" t="inlineStr">
        <is>
          <t>2025-02-28</t>
        </is>
      </c>
      <c r="P1149" t="inlineStr"/>
      <c r="Q1149" t="inlineStr"/>
      <c r="R1149" t="inlineStr">
        <is>
          <t>Vid risk for incident</t>
        </is>
      </c>
      <c r="S1149" t="inlineStr"/>
      <c r="T1149" t="inlineStr">
        <is>
          <t>509943</t>
        </is>
      </c>
      <c r="U1149" t="inlineStr"/>
      <c r="V1149" t="inlineStr"/>
      <c r="W1149" t="inlineStr">
        <is>
          <t>Nej</t>
        </is>
      </c>
      <c r="X1149" t="inlineStr">
        <is>
          <t>Nej</t>
        </is>
      </c>
      <c r="Y1149" t="inlineStr">
        <is>
          <t>Ja</t>
        </is>
      </c>
      <c r="Z1149" t="inlineStr">
        <is>
          <t>Ja</t>
        </is>
      </c>
      <c r="AA1149" t="n">
        <v>8</v>
      </c>
      <c r="AB1149" t="inlineStr">
        <is>
          <t>Riskhantering</t>
        </is>
      </c>
      <c r="AC1149" t="inlineStr">
        <is>
          <t>Risk-PM</t>
        </is>
      </c>
      <c r="AD1149" t="inlineStr">
        <is>
          <t>Nej</t>
        </is>
      </c>
      <c r="AE1149" t="inlineStr">
        <is>
          <t>Nej</t>
        </is>
      </c>
      <c r="AF1149" t="inlineStr">
        <is>
          <t>Ej behandlad</t>
        </is>
      </c>
      <c r="AG1149" t="inlineStr">
        <is>
          <t>AUTO_GENERERAD. Verifiera citat mot kallfil.</t>
        </is>
      </c>
      <c r="AH1149" t="inlineStr">
        <is>
          <t>MEDIUM</t>
        </is>
      </c>
      <c r="AI1149" t="inlineStr">
        <is>
          <t>AUTO</t>
        </is>
      </c>
      <c r="AJ1149" t="inlineStr">
        <is>
          <t>Nej</t>
        </is>
      </c>
      <c r="AK1149" t="inlineStr"/>
      <c r="AL1149" t="inlineStr"/>
      <c r="AM1149" t="inlineStr"/>
      <c r="AN1149" t="inlineStr"/>
      <c r="AO1149" t="inlineStr">
        <is>
          <t>cmm4yuplh02qbcuqwo52fuzbg</t>
        </is>
      </c>
      <c r="AP1149" t="inlineStr">
        <is>
          <t>http://localhost:8787/api/admin/requirements/documents/cmm4yuplh02qbcuqwo52fuzbg/view</t>
        </is>
      </c>
      <c r="AQ1149">
        <f>HYPERLÄNK("http://localhost:8787/api/admin/requirements/documents/cmm4yuplh02qbcuqwo52fuzbg/view";"Öppna PDF")</f>
        <v/>
      </c>
      <c r="AR1149">
        <f>HYPERLINK("http://localhost:8787/api/admin/requirements/documents/cmm4yuplh02qbcuqwo52fuzbg/view","Open PDF")</f>
        <v/>
      </c>
      <c r="AS1149" t="inlineStr">
        <is>
          <t>cmm55w57p0004cuisfrtpqly8</t>
        </is>
      </c>
      <c r="AT1149" t="inlineStr">
        <is>
          <t>cmm4xvu980000cuh4vj0usz09</t>
        </is>
      </c>
      <c r="AU1149" t="inlineStr"/>
      <c r="AV1149" t="inlineStr">
        <is>
          <t>Kommun</t>
        </is>
      </c>
      <c r="AW1149" t="inlineStr"/>
      <c r="AX1149" t="inlineStr">
        <is>
          <t>2025-02</t>
        </is>
      </c>
      <c r="AY1149" t="inlineStr">
        <is>
          <t>Anmalan</t>
        </is>
      </c>
      <c r="AZ1149" t="inlineStr">
        <is>
          <t>2026-02-04</t>
        </is>
      </c>
      <c r="BA1149" t="inlineStr">
        <is>
          <t>SBF-2025-376_2025-02-28_Bilaga 1 C-anmälan Markmästarna 2018.pdf</t>
        </is>
      </c>
      <c r="BB1149" t="inlineStr">
        <is>
          <t>SV: till registrator</t>
        </is>
      </c>
      <c r="BC1149" t="inlineStr">
        <is>
          <t>AUTO</t>
        </is>
      </c>
      <c r="BD1149" t="inlineStr"/>
      <c r="BE1149" t="inlineStr"/>
      <c r="BF1149" t="inlineStr">
        <is>
          <t>AUTO_GENERERAD. Bekrafta metadata mot kallfil.</t>
        </is>
      </c>
      <c r="BG1149">
        <f>HYPERLINK("C:\Users\jimmy\Desktop\Examens arbete\Kod\Ny mapp\remix_-copy-of-miljöbeslut.se-portal\SBF-2025-376_2025-02-28_Bilaga 1 C-anmälan Markmästarna 2018.pdf", "Öppna PDF")</f>
        <v/>
      </c>
    </row>
    <row r="1150">
      <c r="A1150" t="inlineStr">
        <is>
          <t>KRAV-AUTO-001149</t>
        </is>
      </c>
      <c r="B1150" t="inlineStr">
        <is>
          <t>ADMIN-INDEX-2026-02-27-00000000125C043F57453246863FE664CAFE6A3F0700950291EA24F0614FB6ACEDB12BF0E31D00000000010C0000950291EA24F0614FB6ACEDB12BF0E31D00002087AE640000</t>
        </is>
      </c>
      <c r="C1150" t="inlineStr">
        <is>
          <t>cmm4yuple02q8cuqwc9b1xfqu</t>
        </is>
      </c>
      <c r="D1150" t="inlineStr">
        <is>
          <t>http://localhost:8787/api/admin/requirements/documents/cmm4yuple02q8cuqwc9b1xfqu/view</t>
        </is>
      </c>
      <c r="E1150">
        <f>HYPERLÄNK("http://localhost:8787/api/admin/requirements/documents/cmm4yuple02q8cuqwc9b1xfqu/view";"Öppna PDF")</f>
        <v/>
      </c>
      <c r="F1150">
        <f>HYPERLINK("http://localhost:8787/api/admin/requirements/documents/cmm4yuple02q8cuqwc9b1xfqu/view","Open PDF")</f>
        <v/>
      </c>
      <c r="G1150" t="inlineStr">
        <is>
          <t>cmm55w57p0004cuisfrtpqly8</t>
        </is>
      </c>
      <c r="H1150" t="inlineStr">
        <is>
          <t>Informationskrav</t>
        </is>
      </c>
      <c r="I1150" t="inlineStr">
        <is>
          <t>DagvattenLakvatten</t>
        </is>
      </c>
      <c r="J1150" t="inlineStr">
        <is>
          <t>Uppsamling</t>
        </is>
      </c>
      <c r="K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50" t="inlineStr">
        <is>
          <t>SKA</t>
        </is>
      </c>
      <c r="N1150" t="inlineStr">
        <is>
          <t>FMH</t>
        </is>
      </c>
      <c r="O1150" t="inlineStr"/>
      <c r="P1150" t="inlineStr"/>
      <c r="Q1150" t="inlineStr"/>
      <c r="R1150" t="inlineStr">
        <is>
          <t>Vid nederbord och avrinning</t>
        </is>
      </c>
      <c r="S1150" t="inlineStr"/>
      <c r="T1150" t="inlineStr">
        <is>
          <t>512727</t>
        </is>
      </c>
      <c r="U1150" t="inlineStr"/>
      <c r="V1150" t="inlineStr"/>
      <c r="W1150" t="inlineStr">
        <is>
          <t>Nej</t>
        </is>
      </c>
      <c r="X1150" t="inlineStr">
        <is>
          <t>Ja</t>
        </is>
      </c>
      <c r="Y1150" t="inlineStr">
        <is>
          <t>Ja</t>
        </is>
      </c>
      <c r="Z1150" t="inlineStr">
        <is>
          <t>Nej</t>
        </is>
      </c>
      <c r="AA1150" t="n">
        <v>6</v>
      </c>
      <c r="AB1150" t="inlineStr">
        <is>
          <t>Lakvattenhantering</t>
        </is>
      </c>
      <c r="AC1150" t="inlineStr">
        <is>
          <t>Flodesschema dagvatten-lakvatten</t>
        </is>
      </c>
      <c r="AD1150" t="inlineStr">
        <is>
          <t>Nej</t>
        </is>
      </c>
      <c r="AE1150" t="inlineStr">
        <is>
          <t>Nej</t>
        </is>
      </c>
      <c r="AF1150" t="inlineStr">
        <is>
          <t>Ej behandlad</t>
        </is>
      </c>
      <c r="AG1150" t="inlineStr">
        <is>
          <t>AUTO_GENERERAD. Verifiera citat mot kallfil.</t>
        </is>
      </c>
      <c r="AH1150" t="inlineStr">
        <is>
          <t>HIGH</t>
        </is>
      </c>
      <c r="AI1150" t="inlineStr">
        <is>
          <t>AUTO</t>
        </is>
      </c>
      <c r="AJ1150" t="inlineStr">
        <is>
          <t>Nej</t>
        </is>
      </c>
      <c r="AK1150" t="inlineStr"/>
      <c r="AL1150" t="inlineStr"/>
      <c r="AM1150" t="inlineStr"/>
      <c r="AN1150" t="inlineStr"/>
      <c r="AO1150" t="inlineStr">
        <is>
          <t>cmm4yuplh02qbcuqwo52fuzbg</t>
        </is>
      </c>
      <c r="AP1150" t="inlineStr">
        <is>
          <t>http://localhost:8787/api/admin/requirements/documents/cmm4yuplh02qbcuqwo52fuzbg/view</t>
        </is>
      </c>
      <c r="AQ1150">
        <f>HYPERLÄNK("http://localhost:8787/api/admin/requirements/documents/cmm4yuplh02qbcuqwo52fuzbg/view";"Öppna PDF")</f>
        <v/>
      </c>
      <c r="AR1150">
        <f>HYPERLINK("http://localhost:8787/api/admin/requirements/documents/cmm4yuplh02qbcuqwo52fuzbg/view","Open PDF")</f>
        <v/>
      </c>
      <c r="AS1150" t="inlineStr">
        <is>
          <t>cmm55w57p0004cuisfrtpqly8</t>
        </is>
      </c>
      <c r="AT1150" t="inlineStr">
        <is>
          <t>cmm4xvu980000cuh4vj0usz09</t>
        </is>
      </c>
      <c r="AU1150" t="inlineStr"/>
      <c r="AV1150" t="inlineStr">
        <is>
          <t>Kommun</t>
        </is>
      </c>
      <c r="AW1150" t="inlineStr"/>
      <c r="AX1150" t="inlineStr">
        <is>
          <t>2025-02</t>
        </is>
      </c>
      <c r="AY1150" t="inlineStr">
        <is>
          <t>Anmalan</t>
        </is>
      </c>
      <c r="AZ1150" t="inlineStr">
        <is>
          <t>2026-02-04</t>
        </is>
      </c>
      <c r="BA1150" t="inlineStr">
        <is>
          <t>SBF-2025-376_2025-02-28_Bilaga 1 C-anmälan Markmästarna 2018.pdf</t>
        </is>
      </c>
      <c r="BB1150" t="inlineStr">
        <is>
          <t>SV: till registrator</t>
        </is>
      </c>
      <c r="BC1150" t="inlineStr">
        <is>
          <t>AUTO</t>
        </is>
      </c>
      <c r="BD1150" t="inlineStr"/>
      <c r="BE1150" t="inlineStr"/>
      <c r="BF1150" t="inlineStr">
        <is>
          <t>AUTO_GENERERAD. Bekrafta metadata mot kallfil.</t>
        </is>
      </c>
      <c r="BG1150">
        <f>HYPERLINK("C:\Users\jimmy\Desktop\Examens arbete\Kod\Ny mapp\remix_-copy-of-miljöbeslut.se-portal\SBF-2025-376_2025-02-28_Bilaga 1 C-anmälan Markmästarna 2018.pdf", "Öppna PDF")</f>
        <v/>
      </c>
    </row>
    <row r="1151">
      <c r="A1151" t="inlineStr">
        <is>
          <t>KRAV-AUTO-001150</t>
        </is>
      </c>
      <c r="B1151" t="inlineStr">
        <is>
          <t>ADMIN-INDEX-2026-02-27-00000000125C043F57453246863FE664CAFE6A3F0700950291EA24F0614FB6ACEDB12BF0E31D00000000010C0000950291EA24F0614FB6ACEDB12BF0E31D00002087AE640000</t>
        </is>
      </c>
      <c r="C1151" t="inlineStr">
        <is>
          <t>cmm4yuple02q8cuqwc9b1xfqu</t>
        </is>
      </c>
      <c r="D1151" t="inlineStr">
        <is>
          <t>http://localhost:8787/api/admin/requirements/documents/cmm4yuple02q8cuqwc9b1xfqu/view</t>
        </is>
      </c>
      <c r="E1151">
        <f>HYPERLÄNK("http://localhost:8787/api/admin/requirements/documents/cmm4yuple02q8cuqwc9b1xfqu/view";"Öppna PDF")</f>
        <v/>
      </c>
      <c r="F1151">
        <f>HYPERLINK("http://localhost:8787/api/admin/requirements/documents/cmm4yuple02q8cuqwc9b1xfqu/view","Open PDF")</f>
        <v/>
      </c>
      <c r="G1151" t="inlineStr">
        <is>
          <t>cmm55w57p0004cuisfrtpqly8</t>
        </is>
      </c>
      <c r="H1151" t="inlineStr">
        <is>
          <t>Informationskrav</t>
        </is>
      </c>
      <c r="I1151" t="inlineStr">
        <is>
          <t>DagvattenLakvatten</t>
        </is>
      </c>
      <c r="J1151" t="inlineStr">
        <is>
          <t>Uppsamling</t>
        </is>
      </c>
      <c r="K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51" t="inlineStr">
        <is>
          <t>SKA</t>
        </is>
      </c>
      <c r="N1151" t="inlineStr">
        <is>
          <t>FMH</t>
        </is>
      </c>
      <c r="O1151" t="inlineStr"/>
      <c r="P1151" t="inlineStr"/>
      <c r="Q1151" t="inlineStr"/>
      <c r="R1151" t="inlineStr">
        <is>
          <t>Vid nederbord och avrinning</t>
        </is>
      </c>
      <c r="S1151" t="inlineStr"/>
      <c r="T1151" t="inlineStr">
        <is>
          <t>512727</t>
        </is>
      </c>
      <c r="U1151" t="inlineStr"/>
      <c r="V1151" t="inlineStr"/>
      <c r="W1151" t="inlineStr">
        <is>
          <t>Nej</t>
        </is>
      </c>
      <c r="X1151" t="inlineStr">
        <is>
          <t>Ja</t>
        </is>
      </c>
      <c r="Y1151" t="inlineStr">
        <is>
          <t>Ja</t>
        </is>
      </c>
      <c r="Z1151" t="inlineStr">
        <is>
          <t>Nej</t>
        </is>
      </c>
      <c r="AA1151" t="n">
        <v>6</v>
      </c>
      <c r="AB1151" t="inlineStr">
        <is>
          <t>Lakvattenhantering</t>
        </is>
      </c>
      <c r="AC1151" t="inlineStr">
        <is>
          <t>Flodesschema dagvatten-lakvatten</t>
        </is>
      </c>
      <c r="AD1151" t="inlineStr">
        <is>
          <t>Nej</t>
        </is>
      </c>
      <c r="AE1151" t="inlineStr">
        <is>
          <t>Nej</t>
        </is>
      </c>
      <c r="AF1151" t="inlineStr">
        <is>
          <t>Ej behandlad</t>
        </is>
      </c>
      <c r="AG1151" t="inlineStr">
        <is>
          <t>AUTO_GENERERAD. Verifiera citat mot kallfil.</t>
        </is>
      </c>
      <c r="AH1151" t="inlineStr">
        <is>
          <t>HIGH</t>
        </is>
      </c>
      <c r="AI1151" t="inlineStr">
        <is>
          <t>AUTO</t>
        </is>
      </c>
      <c r="AJ1151" t="inlineStr">
        <is>
          <t>Nej</t>
        </is>
      </c>
      <c r="AK1151" t="inlineStr"/>
      <c r="AL1151" t="inlineStr"/>
      <c r="AM1151" t="inlineStr"/>
      <c r="AN1151" t="inlineStr"/>
      <c r="AO1151" t="inlineStr">
        <is>
          <t>cmm4yuplh02qbcuqwo52fuzbg</t>
        </is>
      </c>
      <c r="AP1151" t="inlineStr">
        <is>
          <t>http://localhost:8787/api/admin/requirements/documents/cmm4yuplh02qbcuqwo52fuzbg/view</t>
        </is>
      </c>
      <c r="AQ1151">
        <f>HYPERLÄNK("http://localhost:8787/api/admin/requirements/documents/cmm4yuplh02qbcuqwo52fuzbg/view";"Öppna PDF")</f>
        <v/>
      </c>
      <c r="AR1151">
        <f>HYPERLINK("http://localhost:8787/api/admin/requirements/documents/cmm4yuplh02qbcuqwo52fuzbg/view","Open PDF")</f>
        <v/>
      </c>
      <c r="AS1151" t="inlineStr">
        <is>
          <t>cmm55w57p0004cuisfrtpqly8</t>
        </is>
      </c>
      <c r="AT1151" t="inlineStr">
        <is>
          <t>cmm4xvu980000cuh4vj0usz09</t>
        </is>
      </c>
      <c r="AU1151" t="inlineStr"/>
      <c r="AV1151" t="inlineStr">
        <is>
          <t>Kommun</t>
        </is>
      </c>
      <c r="AW1151" t="inlineStr"/>
      <c r="AX1151" t="inlineStr">
        <is>
          <t>2025-02</t>
        </is>
      </c>
      <c r="AY1151" t="inlineStr">
        <is>
          <t>Anmalan</t>
        </is>
      </c>
      <c r="AZ1151" t="inlineStr">
        <is>
          <t>2026-02-04</t>
        </is>
      </c>
      <c r="BA1151" t="inlineStr">
        <is>
          <t>SBF-2025-376_2025-02-28_Bilaga 1 C-anmälan Markmästarna 2018.pdf</t>
        </is>
      </c>
      <c r="BB1151" t="inlineStr">
        <is>
          <t>SV: till registrator</t>
        </is>
      </c>
      <c r="BC1151" t="inlineStr">
        <is>
          <t>AUTO</t>
        </is>
      </c>
      <c r="BD1151" t="inlineStr"/>
      <c r="BE1151" t="inlineStr"/>
      <c r="BF1151" t="inlineStr">
        <is>
          <t>AUTO_GENERERAD. Bekrafta metadata mot kallfil.</t>
        </is>
      </c>
      <c r="BG1151">
        <f>HYPERLINK("C:\Users\jimmy\Desktop\Examens arbete\Kod\Ny mapp\remix_-copy-of-miljöbeslut.se-portal\SBF-2025-376_2025-02-28_Bilaga 1 C-anmälan Markmästarna 2018.pdf", "Öppna PDF")</f>
        <v/>
      </c>
    </row>
    <row r="1152">
      <c r="A1152" t="inlineStr">
        <is>
          <t>KRAV-AUTO-001151</t>
        </is>
      </c>
      <c r="B1152" t="inlineStr">
        <is>
          <t>ADMIN-INDEX-2026-02-27-00000000125C043F57453246863FE664CAFE6A3F0700950291EA24F0614FB6ACEDB12BF0E31D00000000010C0000950291EA24F0614FB6ACEDB12BF0E31D00002087AE640000</t>
        </is>
      </c>
      <c r="C1152" t="inlineStr">
        <is>
          <t>cmm4yupl902q2cuqwe4e3uaol</t>
        </is>
      </c>
      <c r="D1152" t="inlineStr">
        <is>
          <t>http://localhost:8787/api/admin/requirements/documents/cmm4yupl902q2cuqwe4e3uaol/view</t>
        </is>
      </c>
      <c r="E1152">
        <f>HYPERLÄNK("http://localhost:8787/api/admin/requirements/documents/cmm4yupl902q2cuqwe4e3uaol/view";"Öppna PDF")</f>
        <v/>
      </c>
      <c r="F1152">
        <f>HYPERLINK("http://localhost:8787/api/admin/requirements/documents/cmm4yupl902q2cuqwe4e3uaol/view","Open PDF")</f>
        <v/>
      </c>
      <c r="G1152" t="inlineStr">
        <is>
          <t>cmm55w57p0004cuisfrtpqly8</t>
        </is>
      </c>
      <c r="H1152" t="inlineStr">
        <is>
          <t>Beslutsvillkor</t>
        </is>
      </c>
      <c r="I1152" t="inlineStr">
        <is>
          <t>MiljopaverkanForsiktighet</t>
        </is>
      </c>
      <c r="J1152" t="inlineStr">
        <is>
          <t>Skyddsatgarder</t>
        </is>
      </c>
      <c r="K1152" t="inlineStr">
        <is>
          <t>Dokument: SBF-2024-1820_2024-11-11_Beslut användning av avfall för anläggningsändamål_Bortredigerad.pdf.</t>
        </is>
      </c>
      <c r="L1152" t="inlineStr">
        <is>
          <t>Dokument: SBF-2024-1820_2024-11-11_Beslut användning av avfall för anläggningsändamål_Bortredigerad.pdf.</t>
        </is>
      </c>
      <c r="M1152" t="inlineStr">
        <is>
          <t>BOR</t>
        </is>
      </c>
      <c r="N1152" t="inlineStr"/>
      <c r="O1152" t="inlineStr"/>
      <c r="P1152" t="inlineStr"/>
      <c r="Q1152" t="inlineStr"/>
      <c r="R1152" t="inlineStr">
        <is>
          <t>Alltid</t>
        </is>
      </c>
      <c r="S1152" t="inlineStr"/>
      <c r="T1152" t="inlineStr"/>
      <c r="U1152" t="inlineStr"/>
      <c r="V1152" t="inlineStr"/>
      <c r="W1152" t="inlineStr">
        <is>
          <t>Nej</t>
        </is>
      </c>
      <c r="X1152" t="inlineStr">
        <is>
          <t>Nej</t>
        </is>
      </c>
      <c r="Y1152" t="inlineStr">
        <is>
          <t>Nej</t>
        </is>
      </c>
      <c r="Z1152" t="inlineStr">
        <is>
          <t>Nej</t>
        </is>
      </c>
      <c r="AA1152" t="n">
        <v>10</v>
      </c>
      <c r="AB1152" t="inlineStr">
        <is>
          <t>Miljopaverkan och forsiktighetsmatt</t>
        </is>
      </c>
      <c r="AC1152" t="inlineStr">
        <is>
          <t>Miljo-PM</t>
        </is>
      </c>
      <c r="AD1152" t="inlineStr">
        <is>
          <t>Nej</t>
        </is>
      </c>
      <c r="AE1152" t="inlineStr">
        <is>
          <t>Nej</t>
        </is>
      </c>
      <c r="AF1152" t="inlineStr">
        <is>
          <t>Ej behandlad</t>
        </is>
      </c>
      <c r="AG1152" t="inlineStr">
        <is>
          <t>AUTO_GENERERAD. Verifiera citat mot kallfil.</t>
        </is>
      </c>
      <c r="AH1152" t="inlineStr">
        <is>
          <t>LOW</t>
        </is>
      </c>
      <c r="AI1152" t="inlineStr">
        <is>
          <t>AUTO</t>
        </is>
      </c>
      <c r="AJ1152" t="inlineStr">
        <is>
          <t>Nej</t>
        </is>
      </c>
      <c r="AK1152" t="inlineStr"/>
      <c r="AL1152" t="inlineStr"/>
      <c r="AM1152" t="inlineStr"/>
      <c r="AN1152" t="inlineStr"/>
      <c r="AO1152" t="inlineStr">
        <is>
          <t>cmm4yuplh02qbcuqwo52fuzbg</t>
        </is>
      </c>
      <c r="AP1152" t="inlineStr">
        <is>
          <t>http://localhost:8787/api/admin/requirements/documents/cmm4yuplh02qbcuqwo52fuzbg/view</t>
        </is>
      </c>
      <c r="AQ1152">
        <f>HYPERLÄNK("http://localhost:8787/api/admin/requirements/documents/cmm4yuplh02qbcuqwo52fuzbg/view";"Öppna PDF")</f>
        <v/>
      </c>
      <c r="AR1152">
        <f>HYPERLINK("http://localhost:8787/api/admin/requirements/documents/cmm4yuplh02qbcuqwo52fuzbg/view","Open PDF")</f>
        <v/>
      </c>
      <c r="AS1152" t="inlineStr">
        <is>
          <t>cmm55w57p0004cuisfrtpqly8</t>
        </is>
      </c>
      <c r="AT1152" t="inlineStr">
        <is>
          <t>cmm4xvu980000cuh4vj0usz09</t>
        </is>
      </c>
      <c r="AU1152" t="inlineStr"/>
      <c r="AV1152" t="inlineStr">
        <is>
          <t>Kommun</t>
        </is>
      </c>
      <c r="AW1152" t="inlineStr"/>
      <c r="AX1152" t="inlineStr">
        <is>
          <t>2025-02</t>
        </is>
      </c>
      <c r="AY1152" t="inlineStr">
        <is>
          <t>Anmalan</t>
        </is>
      </c>
      <c r="AZ1152" t="inlineStr">
        <is>
          <t>2026-02-04</t>
        </is>
      </c>
      <c r="BA1152" t="inlineStr">
        <is>
          <t>SBF-2025-376_2025-02-28_Bilaga 1 C-anmälan Markmästarna 2018.pdf</t>
        </is>
      </c>
      <c r="BB1152" t="inlineStr">
        <is>
          <t>SV: till registrator</t>
        </is>
      </c>
      <c r="BC1152" t="inlineStr">
        <is>
          <t>AUTO</t>
        </is>
      </c>
      <c r="BD1152" t="inlineStr"/>
      <c r="BE1152" t="inlineStr"/>
      <c r="BF1152" t="inlineStr">
        <is>
          <t>AUTO_GENERERAD. Bekrafta metadata mot kallfil.</t>
        </is>
      </c>
      <c r="BG1152">
        <f>HYPERLINK("C:\Users\jimmy\Desktop\Examens arbete\Kod\Ny mapp\remix_-copy-of-miljöbeslut.se-portal\SBF-2025-376_2025-02-28_Bilaga 1 C-anmälan Markmästarna 2018.pdf", "Öppna PDF")</f>
        <v/>
      </c>
    </row>
    <row r="1153">
      <c r="A1153" t="inlineStr">
        <is>
          <t>KRAV-AUTO-001152</t>
        </is>
      </c>
      <c r="B1153" t="inlineStr">
        <is>
          <t>ADMIN-INDEX-2026-02-27-00000000125C043F57453246863FE664CAFE6A3F0700950291EA24F0614FB6ACEDB12BF0E31D00000000010C0000950291EA24F0614FB6ACEDB12BF0E31D00002087AE640000</t>
        </is>
      </c>
      <c r="C1153" t="inlineStr">
        <is>
          <t>cmm4yupl302pwcuqw1ywwzo18</t>
        </is>
      </c>
      <c r="D1153" t="inlineStr">
        <is>
          <t>http://localhost:8787/api/admin/requirements/documents/cmm4yupl302pwcuqw1ywwzo18/view</t>
        </is>
      </c>
      <c r="E1153">
        <f>HYPERLÄNK("http://localhost:8787/api/admin/requirements/documents/cmm4yupl302pwcuqw1ywwzo18/view";"Öppna PDF")</f>
        <v/>
      </c>
      <c r="F1153">
        <f>HYPERLINK("http://localhost:8787/api/admin/requirements/documents/cmm4yupl302pwcuqw1ywwzo18/view","Open PDF")</f>
        <v/>
      </c>
      <c r="G1153" t="inlineStr">
        <is>
          <t>cmm55w57p0004cuisfrtpqly8</t>
        </is>
      </c>
      <c r="H1153" t="inlineStr">
        <is>
          <t>Beslutsvillkor</t>
        </is>
      </c>
      <c r="I1153" t="inlineStr">
        <is>
          <t>LagringsvolymTid</t>
        </is>
      </c>
      <c r="J1153" t="inlineStr">
        <is>
          <t>Maxmangd</t>
        </is>
      </c>
      <c r="K1153" t="inlineStr">
        <is>
          <t>2.4 MATERIAL OCH UTRUSTNING SOM SKA ÅTERVINNAS Produkt Avfallskod Placering Mängd Aluminium 17 04 02 Alla hus.</t>
        </is>
      </c>
      <c r="L1153" t="inlineStr">
        <is>
          <t>2.4 MATERIAL OCH UTRUSTNING SOM SKA ÅTERVINNAS Produkt Avfallskod Placering Mängd Aluminium 17 04 02 Alla hus.</t>
        </is>
      </c>
      <c r="M1153" t="inlineStr">
        <is>
          <t>SKA</t>
        </is>
      </c>
      <c r="N1153" t="inlineStr"/>
      <c r="O1153" t="inlineStr"/>
      <c r="P1153" t="inlineStr"/>
      <c r="Q1153" t="inlineStr"/>
      <c r="R1153" t="inlineStr">
        <is>
          <t>Alltid</t>
        </is>
      </c>
      <c r="S1153" t="inlineStr"/>
      <c r="T1153" t="inlineStr">
        <is>
          <t>17 04 02</t>
        </is>
      </c>
      <c r="U1153" t="inlineStr"/>
      <c r="V1153" t="inlineStr"/>
      <c r="W1153" t="inlineStr">
        <is>
          <t>Nej</t>
        </is>
      </c>
      <c r="X1153" t="inlineStr">
        <is>
          <t>Nej</t>
        </is>
      </c>
      <c r="Y1153" t="inlineStr">
        <is>
          <t>Nej</t>
        </is>
      </c>
      <c r="Z1153" t="inlineStr">
        <is>
          <t>Nej</t>
        </is>
      </c>
      <c r="AA1153" t="n">
        <v>4</v>
      </c>
      <c r="AB1153" t="inlineStr">
        <is>
          <t>Avfallsmangder och lagringstid</t>
        </is>
      </c>
      <c r="AC1153" t="inlineStr">
        <is>
          <t>Avfallsforteckning</t>
        </is>
      </c>
      <c r="AD1153" t="inlineStr">
        <is>
          <t>Nej</t>
        </is>
      </c>
      <c r="AE1153" t="inlineStr">
        <is>
          <t>Nej</t>
        </is>
      </c>
      <c r="AF1153" t="inlineStr">
        <is>
          <t>Ej behandlad</t>
        </is>
      </c>
      <c r="AG1153" t="inlineStr">
        <is>
          <t>AUTO_GENERERAD. Verifiera citat mot kallfil.</t>
        </is>
      </c>
      <c r="AH1153" t="inlineStr">
        <is>
          <t>MEDIUM</t>
        </is>
      </c>
      <c r="AI1153" t="inlineStr">
        <is>
          <t>AUTO</t>
        </is>
      </c>
      <c r="AJ1153" t="inlineStr">
        <is>
          <t>Nej</t>
        </is>
      </c>
      <c r="AK1153" t="inlineStr"/>
      <c r="AL1153" t="inlineStr"/>
      <c r="AM1153" t="inlineStr"/>
      <c r="AN1153" t="inlineStr"/>
      <c r="AO1153" t="inlineStr">
        <is>
          <t>cmm4yuplh02qbcuqwo52fuzbg</t>
        </is>
      </c>
      <c r="AP1153" t="inlineStr">
        <is>
          <t>http://localhost:8787/api/admin/requirements/documents/cmm4yuplh02qbcuqwo52fuzbg/view</t>
        </is>
      </c>
      <c r="AQ1153">
        <f>HYPERLÄNK("http://localhost:8787/api/admin/requirements/documents/cmm4yuplh02qbcuqwo52fuzbg/view";"Öppna PDF")</f>
        <v/>
      </c>
      <c r="AR1153">
        <f>HYPERLINK("http://localhost:8787/api/admin/requirements/documents/cmm4yuplh02qbcuqwo52fuzbg/view","Open PDF")</f>
        <v/>
      </c>
      <c r="AS1153" t="inlineStr">
        <is>
          <t>cmm55w57p0004cuisfrtpqly8</t>
        </is>
      </c>
      <c r="AT1153" t="inlineStr">
        <is>
          <t>cmm4xvu980000cuh4vj0usz09</t>
        </is>
      </c>
      <c r="AU1153" t="inlineStr"/>
      <c r="AV1153" t="inlineStr">
        <is>
          <t>Kommun</t>
        </is>
      </c>
      <c r="AW1153" t="inlineStr"/>
      <c r="AX1153" t="inlineStr">
        <is>
          <t>2025-02</t>
        </is>
      </c>
      <c r="AY1153" t="inlineStr">
        <is>
          <t>Anmalan</t>
        </is>
      </c>
      <c r="AZ1153" t="inlineStr">
        <is>
          <t>2026-02-04</t>
        </is>
      </c>
      <c r="BA1153" t="inlineStr">
        <is>
          <t>SBF-2025-376_2025-02-28_Bilaga 1 C-anmälan Markmästarna 2018.pdf</t>
        </is>
      </c>
      <c r="BB1153" t="inlineStr">
        <is>
          <t>SV: till registrator</t>
        </is>
      </c>
      <c r="BC1153" t="inlineStr">
        <is>
          <t>AUTO</t>
        </is>
      </c>
      <c r="BD1153" t="inlineStr"/>
      <c r="BE1153" t="inlineStr"/>
      <c r="BF1153" t="inlineStr">
        <is>
          <t>AUTO_GENERERAD. Bekrafta metadata mot kallfil.</t>
        </is>
      </c>
      <c r="BG1153">
        <f>HYPERLINK("C:\Users\jimmy\Desktop\Examens arbete\Kod\Ny mapp\remix_-copy-of-miljöbeslut.se-portal\SBF-2025-376_2025-02-28_Bilaga 1 C-anmälan Markmästarna 2018.pdf", "Öppna PDF")</f>
        <v/>
      </c>
    </row>
    <row r="1154">
      <c r="A1154" t="inlineStr">
        <is>
          <t>KRAV-AUTO-001153</t>
        </is>
      </c>
      <c r="B1154" t="inlineStr">
        <is>
          <t>ADMIN-INDEX-2026-02-27-00000000125C043F57453246863FE664CAFE6A3F0700950291EA24F0614FB6ACEDB12BF0E31D00000000010C0000950291EA24F0614FB6ACEDB12BF0E31D00002087AE640000</t>
        </is>
      </c>
      <c r="C1154" t="inlineStr">
        <is>
          <t>cmm4yupl302pwcuqw1ywwzo18</t>
        </is>
      </c>
      <c r="D1154" t="inlineStr">
        <is>
          <t>http://localhost:8787/api/admin/requirements/documents/cmm4yupl302pwcuqw1ywwzo18/view</t>
        </is>
      </c>
      <c r="E1154">
        <f>HYPERLÄNK("http://localhost:8787/api/admin/requirements/documents/cmm4yupl302pwcuqw1ywwzo18/view";"Öppna PDF")</f>
        <v/>
      </c>
      <c r="F1154">
        <f>HYPERLINK("http://localhost:8787/api/admin/requirements/documents/cmm4yupl302pwcuqw1ywwzo18/view","Open PDF")</f>
        <v/>
      </c>
      <c r="G1154" t="inlineStr">
        <is>
          <t>cmm55w57p0004cuisfrtpqly8</t>
        </is>
      </c>
      <c r="H1154" t="inlineStr">
        <is>
          <t>Beslutsvillkor</t>
        </is>
      </c>
      <c r="I1154" t="inlineStr">
        <is>
          <t>DriftEgenkontroll</t>
        </is>
      </c>
      <c r="J1154" t="inlineStr">
        <is>
          <t>Journalforing</t>
        </is>
      </c>
      <c r="K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54" t="inlineStr">
        <is>
          <t>BOR</t>
        </is>
      </c>
      <c r="N1154" t="inlineStr"/>
      <c r="O1154" t="inlineStr">
        <is>
          <t>2024-01-24</t>
        </is>
      </c>
      <c r="P1154" t="inlineStr"/>
      <c r="Q1154" t="inlineStr"/>
      <c r="R1154" t="inlineStr">
        <is>
          <t>Lopande drift</t>
        </is>
      </c>
      <c r="S1154" t="inlineStr"/>
      <c r="T1154" t="inlineStr">
        <is>
          <t>17 03 02</t>
        </is>
      </c>
      <c r="U1154" t="inlineStr"/>
      <c r="V1154" t="inlineStr"/>
      <c r="W1154" t="inlineStr">
        <is>
          <t>Nej</t>
        </is>
      </c>
      <c r="X1154" t="inlineStr">
        <is>
          <t>Nej</t>
        </is>
      </c>
      <c r="Y1154" t="inlineStr">
        <is>
          <t>Ja</t>
        </is>
      </c>
      <c r="Z1154" t="inlineStr">
        <is>
          <t>Nej</t>
        </is>
      </c>
      <c r="AA1154" t="n">
        <v>7</v>
      </c>
      <c r="AB1154" t="inlineStr">
        <is>
          <t>Egenkontrollrutiner</t>
        </is>
      </c>
      <c r="AC1154" t="inlineStr">
        <is>
          <t>Egenkontrollprogram</t>
        </is>
      </c>
      <c r="AD1154" t="inlineStr">
        <is>
          <t>Nej</t>
        </is>
      </c>
      <c r="AE1154" t="inlineStr">
        <is>
          <t>Nej</t>
        </is>
      </c>
      <c r="AF1154" t="inlineStr">
        <is>
          <t>Ej behandlad</t>
        </is>
      </c>
      <c r="AG1154" t="inlineStr">
        <is>
          <t>AUTO_GENERERAD. Verifiera citat mot kallfil.</t>
        </is>
      </c>
      <c r="AH1154" t="inlineStr">
        <is>
          <t>MEDIUM</t>
        </is>
      </c>
      <c r="AI1154" t="inlineStr">
        <is>
          <t>AUTO</t>
        </is>
      </c>
      <c r="AJ1154" t="inlineStr">
        <is>
          <t>Nej</t>
        </is>
      </c>
      <c r="AK1154" t="inlineStr"/>
      <c r="AL1154" t="inlineStr"/>
      <c r="AM1154" t="inlineStr"/>
      <c r="AN1154" t="inlineStr"/>
      <c r="AO1154" t="inlineStr">
        <is>
          <t>cmm4yuplh02qbcuqwo52fuzbg</t>
        </is>
      </c>
      <c r="AP1154" t="inlineStr">
        <is>
          <t>http://localhost:8787/api/admin/requirements/documents/cmm4yuplh02qbcuqwo52fuzbg/view</t>
        </is>
      </c>
      <c r="AQ1154">
        <f>HYPERLÄNK("http://localhost:8787/api/admin/requirements/documents/cmm4yuplh02qbcuqwo52fuzbg/view";"Öppna PDF")</f>
        <v/>
      </c>
      <c r="AR1154">
        <f>HYPERLINK("http://localhost:8787/api/admin/requirements/documents/cmm4yuplh02qbcuqwo52fuzbg/view","Open PDF")</f>
        <v/>
      </c>
      <c r="AS1154" t="inlineStr">
        <is>
          <t>cmm55w57p0004cuisfrtpqly8</t>
        </is>
      </c>
      <c r="AT1154" t="inlineStr">
        <is>
          <t>cmm4xvu980000cuh4vj0usz09</t>
        </is>
      </c>
      <c r="AU1154" t="inlineStr"/>
      <c r="AV1154" t="inlineStr">
        <is>
          <t>Kommun</t>
        </is>
      </c>
      <c r="AW1154" t="inlineStr"/>
      <c r="AX1154" t="inlineStr">
        <is>
          <t>2025-02</t>
        </is>
      </c>
      <c r="AY1154" t="inlineStr">
        <is>
          <t>Anmalan</t>
        </is>
      </c>
      <c r="AZ1154" t="inlineStr">
        <is>
          <t>2026-02-04</t>
        </is>
      </c>
      <c r="BA1154" t="inlineStr">
        <is>
          <t>SBF-2025-376_2025-02-28_Bilaga 1 C-anmälan Markmästarna 2018.pdf</t>
        </is>
      </c>
      <c r="BB1154" t="inlineStr">
        <is>
          <t>SV: till registrator</t>
        </is>
      </c>
      <c r="BC1154" t="inlineStr">
        <is>
          <t>AUTO</t>
        </is>
      </c>
      <c r="BD1154" t="inlineStr"/>
      <c r="BE1154" t="inlineStr"/>
      <c r="BF1154" t="inlineStr">
        <is>
          <t>AUTO_GENERERAD. Bekrafta metadata mot kallfil.</t>
        </is>
      </c>
      <c r="BG1154">
        <f>HYPERLINK("C:\Users\jimmy\Desktop\Examens arbete\Kod\Ny mapp\remix_-copy-of-miljöbeslut.se-portal\SBF-2025-376_2025-02-28_Bilaga 1 C-anmälan Markmästarna 2018.pdf", "Öppna PDF")</f>
        <v/>
      </c>
    </row>
    <row r="1155">
      <c r="A1155" t="inlineStr">
        <is>
          <t>KRAV-AUTO-001154</t>
        </is>
      </c>
      <c r="B1155" t="inlineStr">
        <is>
          <t>ADMIN-INDEX-2026-02-27-00000000125C043F57453246863FE664CAFE6A3F0700950291EA24F0614FB6ACEDB12BF0E31D00000000010C0000950291EA24F0614FB6ACEDB12BF0E31D00002087AE640000</t>
        </is>
      </c>
      <c r="C1155" t="inlineStr">
        <is>
          <t>cmm4yupkz02ptcuqwzdelk75o</t>
        </is>
      </c>
      <c r="D1155" t="inlineStr">
        <is>
          <t>http://localhost:8787/api/admin/requirements/documents/cmm4yupkz02ptcuqwzdelk75o/view</t>
        </is>
      </c>
      <c r="E1155">
        <f>HYPERLÄNK("http://localhost:8787/api/admin/requirements/documents/cmm4yupkz02ptcuqwzdelk75o/view";"Öppna PDF")</f>
        <v/>
      </c>
      <c r="F1155">
        <f>HYPERLINK("http://localhost:8787/api/admin/requirements/documents/cmm4yupkz02ptcuqwzdelk75o/view","Open PDF")</f>
        <v/>
      </c>
      <c r="G1155" t="inlineStr">
        <is>
          <t>cmm55w57p0004cuisfrtpqly8</t>
        </is>
      </c>
      <c r="H1155" t="inlineStr">
        <is>
          <t>Beslutsvillkor</t>
        </is>
      </c>
      <c r="I1155" t="inlineStr">
        <is>
          <t>DriftEgenkontroll</t>
        </is>
      </c>
      <c r="J1155" t="inlineStr">
        <is>
          <t>Journalforing</t>
        </is>
      </c>
      <c r="K1155" t="inlineStr">
        <is>
          <t>Sida Ordernummer Kund LE2401733 Conservator AB : : : 3 av 14 Provbeteckning PPtung2 BTG samlingsprov hus 07 Laboratoriets provnummer LE2401733-002 Provtagningsdatum / tid 2024-01-24 Matris BYGGNADSMATERIAL Resultat MU Enhet LOR Metod Utf.</t>
        </is>
      </c>
      <c r="L1155" t="inlineStr">
        <is>
          <t>Sida Ordernummer Kund LE2401733 Conservator AB : : : 3 av 14 Provbeteckning PPtung2 BTG samlingsprov hus 07 Laboratoriets provnummer LE2401733-002 Provtagningsdatum / tid 2024-01-24 Matris BYGGNADSMATERIAL Resultat MU Enhet LOR Metod Utf.</t>
        </is>
      </c>
      <c r="M1155" t="inlineStr">
        <is>
          <t>BOR</t>
        </is>
      </c>
      <c r="N1155" t="inlineStr"/>
      <c r="O1155" t="inlineStr">
        <is>
          <t>2024-01-24</t>
        </is>
      </c>
      <c r="P1155" t="inlineStr"/>
      <c r="Q1155" t="inlineStr"/>
      <c r="R1155" t="inlineStr">
        <is>
          <t>Lopande drift</t>
        </is>
      </c>
      <c r="S1155" t="inlineStr"/>
      <c r="T1155" t="inlineStr"/>
      <c r="U1155" t="inlineStr"/>
      <c r="V1155" t="inlineStr"/>
      <c r="W1155" t="inlineStr">
        <is>
          <t>Nej</t>
        </is>
      </c>
      <c r="X1155" t="inlineStr">
        <is>
          <t>Nej</t>
        </is>
      </c>
      <c r="Y1155" t="inlineStr">
        <is>
          <t>Ja</t>
        </is>
      </c>
      <c r="Z1155" t="inlineStr">
        <is>
          <t>Nej</t>
        </is>
      </c>
      <c r="AA1155" t="n">
        <v>7</v>
      </c>
      <c r="AB1155" t="inlineStr">
        <is>
          <t>Egenkontrollrutiner</t>
        </is>
      </c>
      <c r="AC1155" t="inlineStr">
        <is>
          <t>Egenkontrollprogram</t>
        </is>
      </c>
      <c r="AD1155" t="inlineStr">
        <is>
          <t>Nej</t>
        </is>
      </c>
      <c r="AE1155" t="inlineStr">
        <is>
          <t>Nej</t>
        </is>
      </c>
      <c r="AF1155" t="inlineStr">
        <is>
          <t>Ej behandlad</t>
        </is>
      </c>
      <c r="AG1155" t="inlineStr">
        <is>
          <t>AUTO_GENERERAD. Verifiera citat mot kallfil.</t>
        </is>
      </c>
      <c r="AH1155" t="inlineStr">
        <is>
          <t>MEDIUM</t>
        </is>
      </c>
      <c r="AI1155" t="inlineStr">
        <is>
          <t>AUTO</t>
        </is>
      </c>
      <c r="AJ1155" t="inlineStr">
        <is>
          <t>Nej</t>
        </is>
      </c>
      <c r="AK1155" t="inlineStr"/>
      <c r="AL1155" t="inlineStr"/>
      <c r="AM1155" t="inlineStr"/>
      <c r="AN1155" t="inlineStr"/>
      <c r="AO1155" t="inlineStr">
        <is>
          <t>cmm4yuplh02qbcuqwo52fuzbg</t>
        </is>
      </c>
      <c r="AP1155" t="inlineStr">
        <is>
          <t>http://localhost:8787/api/admin/requirements/documents/cmm4yuplh02qbcuqwo52fuzbg/view</t>
        </is>
      </c>
      <c r="AQ1155">
        <f>HYPERLÄNK("http://localhost:8787/api/admin/requirements/documents/cmm4yuplh02qbcuqwo52fuzbg/view";"Öppna PDF")</f>
        <v/>
      </c>
      <c r="AR1155">
        <f>HYPERLINK("http://localhost:8787/api/admin/requirements/documents/cmm4yuplh02qbcuqwo52fuzbg/view","Open PDF")</f>
        <v/>
      </c>
      <c r="AS1155" t="inlineStr">
        <is>
          <t>cmm55w57p0004cuisfrtpqly8</t>
        </is>
      </c>
      <c r="AT1155" t="inlineStr">
        <is>
          <t>cmm4xvu980000cuh4vj0usz09</t>
        </is>
      </c>
      <c r="AU1155" t="inlineStr"/>
      <c r="AV1155" t="inlineStr">
        <is>
          <t>Kommun</t>
        </is>
      </c>
      <c r="AW1155" t="inlineStr"/>
      <c r="AX1155" t="inlineStr">
        <is>
          <t>2025-02</t>
        </is>
      </c>
      <c r="AY1155" t="inlineStr">
        <is>
          <t>Anmalan</t>
        </is>
      </c>
      <c r="AZ1155" t="inlineStr">
        <is>
          <t>2026-02-04</t>
        </is>
      </c>
      <c r="BA1155" t="inlineStr">
        <is>
          <t>SBF-2025-376_2025-02-28_Bilaga 1 C-anmälan Markmästarna 2018.pdf</t>
        </is>
      </c>
      <c r="BB1155" t="inlineStr">
        <is>
          <t>SV: till registrator</t>
        </is>
      </c>
      <c r="BC1155" t="inlineStr">
        <is>
          <t>AUTO</t>
        </is>
      </c>
      <c r="BD1155" t="inlineStr"/>
      <c r="BE1155" t="inlineStr"/>
      <c r="BF1155" t="inlineStr">
        <is>
          <t>AUTO_GENERERAD. Bekrafta metadata mot kallfil.</t>
        </is>
      </c>
      <c r="BG1155">
        <f>HYPERLINK("C:\Users\jimmy\Desktop\Examens arbete\Kod\Ny mapp\remix_-copy-of-miljöbeslut.se-portal\SBF-2025-376_2025-02-28_Bilaga 1 C-anmälan Markmästarna 2018.pdf", "Öppna PDF")</f>
        <v/>
      </c>
    </row>
    <row r="1156">
      <c r="A1156" t="inlineStr">
        <is>
          <t>KRAV-AUTO-001155</t>
        </is>
      </c>
      <c r="B1156" t="inlineStr">
        <is>
          <t>ADMIN-INDEX-2026-02-27-00000000125C043F57453246863FE664CAFE6A3F0700950291EA24F0614FB6ACEDB12BF0E31D00000000010C0000950291EA24F0614FB6ACEDB12BF0E31D00002087AE640000</t>
        </is>
      </c>
      <c r="C1156" t="inlineStr">
        <is>
          <t>cmm4yupkx02pqcuqw9tff56cg</t>
        </is>
      </c>
      <c r="D1156" t="inlineStr">
        <is>
          <t>http://localhost:8787/api/admin/requirements/documents/cmm4yupkx02pqcuqw9tff56cg/view</t>
        </is>
      </c>
      <c r="E1156">
        <f>HYPERLÄNK("http://localhost:8787/api/admin/requirements/documents/cmm4yupkx02pqcuqw9tff56cg/view";"Öppna PDF")</f>
        <v/>
      </c>
      <c r="F1156">
        <f>HYPERLINK("http://localhost:8787/api/admin/requirements/documents/cmm4yupkx02pqcuqw9tff56cg/view","Open PDF")</f>
        <v/>
      </c>
      <c r="G1156" t="inlineStr">
        <is>
          <t>cmm55w57p0004cuisfrtpqly8</t>
        </is>
      </c>
      <c r="H1156" t="inlineStr">
        <is>
          <t>Informationskrav</t>
        </is>
      </c>
      <c r="I1156" t="inlineStr">
        <is>
          <t>DagvattenLakvatten</t>
        </is>
      </c>
      <c r="J1156" t="inlineStr">
        <is>
          <t>Uppsamling</t>
        </is>
      </c>
      <c r="K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56" t="inlineStr">
        <is>
          <t>SKA</t>
        </is>
      </c>
      <c r="N1156" t="inlineStr">
        <is>
          <t>Miljobalken</t>
        </is>
      </c>
      <c r="O1156" t="inlineStr"/>
      <c r="P1156" t="inlineStr"/>
      <c r="Q1156" t="inlineStr"/>
      <c r="R1156" t="inlineStr">
        <is>
          <t>Vid nederbord och avrinning</t>
        </is>
      </c>
      <c r="S1156" t="inlineStr"/>
      <c r="T1156" t="inlineStr">
        <is>
          <t>17 01 01</t>
        </is>
      </c>
      <c r="U1156" t="n">
        <v>700</v>
      </c>
      <c r="V1156" t="inlineStr"/>
      <c r="W1156" t="inlineStr">
        <is>
          <t>Nej</t>
        </is>
      </c>
      <c r="X1156" t="inlineStr">
        <is>
          <t>Ja</t>
        </is>
      </c>
      <c r="Y1156" t="inlineStr">
        <is>
          <t>Ja</t>
        </is>
      </c>
      <c r="Z1156" t="inlineStr">
        <is>
          <t>Nej</t>
        </is>
      </c>
      <c r="AA1156" t="n">
        <v>6</v>
      </c>
      <c r="AB1156" t="inlineStr">
        <is>
          <t>Lakvattenhantering</t>
        </is>
      </c>
      <c r="AC1156" t="inlineStr">
        <is>
          <t>Flodesschema dagvatten-lakvatten</t>
        </is>
      </c>
      <c r="AD1156" t="inlineStr">
        <is>
          <t>Nej</t>
        </is>
      </c>
      <c r="AE1156" t="inlineStr">
        <is>
          <t>Nej</t>
        </is>
      </c>
      <c r="AF1156" t="inlineStr">
        <is>
          <t>Ej behandlad</t>
        </is>
      </c>
      <c r="AG1156" t="inlineStr">
        <is>
          <t>AUTO_GENERERAD. Verifiera citat mot kallfil.</t>
        </is>
      </c>
      <c r="AH1156" t="inlineStr">
        <is>
          <t>HIGH</t>
        </is>
      </c>
      <c r="AI1156" t="inlineStr">
        <is>
          <t>AUTO</t>
        </is>
      </c>
      <c r="AJ1156" t="inlineStr">
        <is>
          <t>Nej</t>
        </is>
      </c>
      <c r="AK1156" t="inlineStr"/>
      <c r="AL1156" t="inlineStr"/>
      <c r="AM1156" t="inlineStr"/>
      <c r="AN1156" t="inlineStr"/>
      <c r="AO1156" t="inlineStr">
        <is>
          <t>cmm4yuplh02qbcuqwo52fuzbg</t>
        </is>
      </c>
      <c r="AP1156" t="inlineStr">
        <is>
          <t>http://localhost:8787/api/admin/requirements/documents/cmm4yuplh02qbcuqwo52fuzbg/view</t>
        </is>
      </c>
      <c r="AQ1156">
        <f>HYPERLÄNK("http://localhost:8787/api/admin/requirements/documents/cmm4yuplh02qbcuqwo52fuzbg/view";"Öppna PDF")</f>
        <v/>
      </c>
      <c r="AR1156">
        <f>HYPERLINK("http://localhost:8787/api/admin/requirements/documents/cmm4yuplh02qbcuqwo52fuzbg/view","Open PDF")</f>
        <v/>
      </c>
      <c r="AS1156" t="inlineStr">
        <is>
          <t>cmm55w57p0004cuisfrtpqly8</t>
        </is>
      </c>
      <c r="AT1156" t="inlineStr">
        <is>
          <t>cmm4xvu980000cuh4vj0usz09</t>
        </is>
      </c>
      <c r="AU1156" t="inlineStr"/>
      <c r="AV1156" t="inlineStr">
        <is>
          <t>Kommun</t>
        </is>
      </c>
      <c r="AW1156" t="inlineStr"/>
      <c r="AX1156" t="inlineStr">
        <is>
          <t>2025-02</t>
        </is>
      </c>
      <c r="AY1156" t="inlineStr">
        <is>
          <t>Anmalan</t>
        </is>
      </c>
      <c r="AZ1156" t="inlineStr">
        <is>
          <t>2026-02-04</t>
        </is>
      </c>
      <c r="BA1156" t="inlineStr">
        <is>
          <t>SBF-2025-376_2025-02-28_Bilaga 1 C-anmälan Markmästarna 2018.pdf</t>
        </is>
      </c>
      <c r="BB1156" t="inlineStr">
        <is>
          <t>SV: till registrator</t>
        </is>
      </c>
      <c r="BC1156" t="inlineStr">
        <is>
          <t>AUTO</t>
        </is>
      </c>
      <c r="BD1156" t="inlineStr"/>
      <c r="BE1156" t="inlineStr"/>
      <c r="BF1156" t="inlineStr">
        <is>
          <t>AUTO_GENERERAD. Bekrafta metadata mot kallfil.</t>
        </is>
      </c>
      <c r="BG1156">
        <f>HYPERLINK("C:\Users\jimmy\Desktop\Examens arbete\Kod\Ny mapp\remix_-copy-of-miljöbeslut.se-portal\SBF-2025-376_2025-02-28_Bilaga 1 C-anmälan Markmästarna 2018.pdf", "Öppna PDF")</f>
        <v/>
      </c>
    </row>
    <row r="1157">
      <c r="A1157" t="inlineStr">
        <is>
          <t>KRAV-AUTO-001156</t>
        </is>
      </c>
      <c r="B1157" t="inlineStr">
        <is>
          <t>ADMIN-INDEX-2026-02-27-00000000125C043F57453246863FE664CAFE6A3F0700950291EA24F0614FB6ACEDB12BF0E31D00000000010C0000950291EA24F0614FB6ACEDB12BF0E31D00002087AE650000</t>
        </is>
      </c>
      <c r="C1157" t="inlineStr">
        <is>
          <t>cmm4yupkl02pecuqwc9aq8lae</t>
        </is>
      </c>
      <c r="D1157" t="inlineStr">
        <is>
          <t>http://localhost:8787/api/admin/requirements/documents/cmm4yupkl02pecuqwc9aq8lae/view</t>
        </is>
      </c>
      <c r="E1157">
        <f>HYPERLÄNK("http://localhost:8787/api/admin/requirements/documents/cmm4yupkl02pecuqwc9aq8lae/view";"Öppna PDF")</f>
        <v/>
      </c>
      <c r="F1157">
        <f>HYPERLINK("http://localhost:8787/api/admin/requirements/documents/cmm4yupkl02pecuqwc9aq8lae/view","Open PDF")</f>
        <v/>
      </c>
      <c r="G1157" t="inlineStr">
        <is>
          <t>cmm55w57p0004cuisfrtpqly8</t>
        </is>
      </c>
      <c r="H1157" t="inlineStr">
        <is>
          <t>Informationskrav</t>
        </is>
      </c>
      <c r="I1157" t="inlineStr">
        <is>
          <t>LagringsvolymTid</t>
        </is>
      </c>
      <c r="J1157" t="inlineStr">
        <is>
          <t>Maxmangd</t>
        </is>
      </c>
      <c r="K1157" t="inlineStr">
        <is>
          <t>Vi räknar med att mängden farligt avfall som mellanlagras inte vid något tillfälle kommer att överstiga 50 ton Området ska städas kontinuerligt eller när behov uppstår.</t>
        </is>
      </c>
      <c r="L1157" t="inlineStr">
        <is>
          <t>Vi räknar med att mängden farligt avfall som mellanlagras inte vid något tillfälle kommer att överstiga 50 ton Området ska städas kontinuerligt eller när behov uppstår.</t>
        </is>
      </c>
      <c r="M1157" t="inlineStr">
        <is>
          <t>SKA</t>
        </is>
      </c>
      <c r="N1157" t="inlineStr"/>
      <c r="O1157" t="inlineStr"/>
      <c r="P1157" t="inlineStr">
        <is>
          <t>Arlig</t>
        </is>
      </c>
      <c r="Q1157" t="inlineStr"/>
      <c r="R1157" t="inlineStr">
        <is>
          <t>Alltid</t>
        </is>
      </c>
      <c r="S1157" t="inlineStr"/>
      <c r="T1157" t="inlineStr"/>
      <c r="U1157" t="n">
        <v>50</v>
      </c>
      <c r="V1157" t="inlineStr"/>
      <c r="W1157" t="inlineStr">
        <is>
          <t>Nej</t>
        </is>
      </c>
      <c r="X1157" t="inlineStr">
        <is>
          <t>Nej</t>
        </is>
      </c>
      <c r="Y1157" t="inlineStr">
        <is>
          <t>Nej</t>
        </is>
      </c>
      <c r="Z1157" t="inlineStr">
        <is>
          <t>Nej</t>
        </is>
      </c>
      <c r="AA1157" t="n">
        <v>4</v>
      </c>
      <c r="AB1157" t="inlineStr">
        <is>
          <t>Avfallsmangder och lagringstid</t>
        </is>
      </c>
      <c r="AC1157" t="inlineStr">
        <is>
          <t>Avfallsforteckning</t>
        </is>
      </c>
      <c r="AD1157" t="inlineStr">
        <is>
          <t>Nej</t>
        </is>
      </c>
      <c r="AE1157" t="inlineStr">
        <is>
          <t>Nej</t>
        </is>
      </c>
      <c r="AF1157" t="inlineStr">
        <is>
          <t>Ej behandlad</t>
        </is>
      </c>
      <c r="AG1157" t="inlineStr">
        <is>
          <t>AUTO_GENERERAD. Verifiera citat mot kallfil.</t>
        </is>
      </c>
      <c r="AH1157" t="inlineStr">
        <is>
          <t>MEDIUM</t>
        </is>
      </c>
      <c r="AI1157" t="inlineStr">
        <is>
          <t>AUTO</t>
        </is>
      </c>
      <c r="AJ1157" t="inlineStr">
        <is>
          <t>Nej</t>
        </is>
      </c>
      <c r="AK1157" t="inlineStr"/>
      <c r="AL1157" t="inlineStr"/>
      <c r="AM1157" t="inlineStr"/>
      <c r="AN1157" t="inlineStr"/>
      <c r="AO1157" t="inlineStr">
        <is>
          <t>cmm4yupkl02pecuqwc9aq8lae</t>
        </is>
      </c>
      <c r="AP1157" t="inlineStr">
        <is>
          <t>http://localhost:8787/api/admin/requirements/documents/cmm4yupkl02pecuqwc9aq8lae/view</t>
        </is>
      </c>
      <c r="AQ1157">
        <f>HYPERLÄNK("http://localhost:8787/api/admin/requirements/documents/cmm4yupkl02pecuqwc9aq8lae/view";"Öppna PDF")</f>
        <v/>
      </c>
      <c r="AR1157">
        <f>HYPERLINK("http://localhost:8787/api/admin/requirements/documents/cmm4yupkl02pecuqwc9aq8lae/view","Open PDF")</f>
        <v/>
      </c>
      <c r="AS1157" t="inlineStr">
        <is>
          <t>cmm55w57p0004cuisfrtpqly8</t>
        </is>
      </c>
      <c r="AT1157" t="inlineStr">
        <is>
          <t>cmm4xvu980000cuh4vj0usz09</t>
        </is>
      </c>
      <c r="AU1157" t="inlineStr"/>
      <c r="AV1157" t="inlineStr">
        <is>
          <t>Kommun</t>
        </is>
      </c>
      <c r="AW1157" t="inlineStr"/>
      <c r="AX1157" t="inlineStr">
        <is>
          <t>1980-08</t>
        </is>
      </c>
      <c r="AY1157" t="inlineStr">
        <is>
          <t>Anmalan</t>
        </is>
      </c>
      <c r="AZ1157" t="inlineStr">
        <is>
          <t>2026-02-04</t>
        </is>
      </c>
      <c r="BA1157" t="inlineStr">
        <is>
          <t>Anmälan om mellanlagring av icke.pdf</t>
        </is>
      </c>
      <c r="BB1157" t="inlineStr">
        <is>
          <t>Begäran om handlingar - Partille</t>
        </is>
      </c>
      <c r="BC1157" t="inlineStr">
        <is>
          <t>AUTO</t>
        </is>
      </c>
      <c r="BD1157" t="inlineStr"/>
      <c r="BE1157" t="inlineStr"/>
      <c r="BF1157" t="inlineStr">
        <is>
          <t>AUTO_GENERERAD. Bekrafta metadata mot kallfil.</t>
        </is>
      </c>
      <c r="BG1157">
        <f>HYPERLINK("C:\Users\jimmy\Desktop\Examens arbete\Kod\Ny mapp\remix_-copy-of-miljöbeslut.se-portal\Anmälan om mellanlagring av icke.pdf", "Öppna PDF")</f>
        <v/>
      </c>
    </row>
    <row r="1158">
      <c r="A1158" t="inlineStr">
        <is>
          <t>KRAV-AUTO-001157</t>
        </is>
      </c>
      <c r="B1158" t="inlineStr">
        <is>
          <t>ADMIN-INDEX-2026-02-27-00000000125C043F57453246863FE664CAFE6A3F0700950291EA24F0614FB6ACEDB12BF0E31D00000000010C0000950291EA24F0614FB6ACEDB12BF0E31D00002087AE650000</t>
        </is>
      </c>
      <c r="C1158" t="inlineStr">
        <is>
          <t>cmm4yupkl02pecuqwc9aq8lae</t>
        </is>
      </c>
      <c r="D1158" t="inlineStr">
        <is>
          <t>http://localhost:8787/api/admin/requirements/documents/cmm4yupkl02pecuqwc9aq8lae/view</t>
        </is>
      </c>
      <c r="E1158">
        <f>HYPERLÄNK("http://localhost:8787/api/admin/requirements/documents/cmm4yupkl02pecuqwc9aq8lae/view";"Öppna PDF")</f>
        <v/>
      </c>
      <c r="F1158">
        <f>HYPERLINK("http://localhost:8787/api/admin/requirements/documents/cmm4yupkl02pecuqwc9aq8lae/view","Open PDF")</f>
        <v/>
      </c>
      <c r="G1158" t="inlineStr">
        <is>
          <t>cmm55w57p0004cuisfrtpqly8</t>
        </is>
      </c>
      <c r="H1158" t="inlineStr">
        <is>
          <t>Informationskrav</t>
        </is>
      </c>
      <c r="I1158" t="inlineStr">
        <is>
          <t>Ytkonstruktion</t>
        </is>
      </c>
      <c r="J1158" t="inlineStr">
        <is>
          <t>Tat yta</t>
        </is>
      </c>
      <c r="K1158" t="inlineStr">
        <is>
          <t>Spolplattan har en spolränna en efterföljande sedimentationsränna med sand, vattnet leds sedan till oljeavskiljare med koalecensfilter och nivålarm Tvättmedel……… Antal tvättar /år uppskatta en siffra.</t>
        </is>
      </c>
      <c r="L1158" t="inlineStr">
        <is>
          <t>Spolplattan har en spolränna en efterföljande sedimentationsränna med sand, vattnet leds sedan till oljeavskiljare med koalecensfilter och nivålarm Tvättmedel……… Antal tvättar /år uppskatta en siffra.</t>
        </is>
      </c>
      <c r="M1158" t="inlineStr">
        <is>
          <t>SKA</t>
        </is>
      </c>
      <c r="N1158" t="inlineStr"/>
      <c r="O1158" t="inlineStr"/>
      <c r="P1158" t="inlineStr"/>
      <c r="Q1158" t="inlineStr"/>
      <c r="R1158" t="inlineStr">
        <is>
          <t>Vid mellanlagring av avfall</t>
        </is>
      </c>
      <c r="S1158" t="inlineStr"/>
      <c r="T1158" t="inlineStr"/>
      <c r="U1158" t="inlineStr"/>
      <c r="V1158" t="inlineStr"/>
      <c r="W1158" t="inlineStr">
        <is>
          <t>Ja</t>
        </is>
      </c>
      <c r="X1158" t="inlineStr">
        <is>
          <t>Nej</t>
        </is>
      </c>
      <c r="Y1158" t="inlineStr">
        <is>
          <t>Nej</t>
        </is>
      </c>
      <c r="Z1158" t="inlineStr">
        <is>
          <t>Nej</t>
        </is>
      </c>
      <c r="AA1158" t="n">
        <v>5</v>
      </c>
      <c r="AB1158" t="inlineStr">
        <is>
          <t>Teknisk beskrivning av platta</t>
        </is>
      </c>
      <c r="AC1158" t="inlineStr">
        <is>
          <t>Teknisk ritning platta</t>
        </is>
      </c>
      <c r="AD1158" t="inlineStr">
        <is>
          <t>Nej</t>
        </is>
      </c>
      <c r="AE1158" t="inlineStr">
        <is>
          <t>Nej</t>
        </is>
      </c>
      <c r="AF1158" t="inlineStr">
        <is>
          <t>Ej behandlad</t>
        </is>
      </c>
      <c r="AG1158" t="inlineStr">
        <is>
          <t>AUTO_GENERERAD. Verifiera citat mot kallfil.</t>
        </is>
      </c>
      <c r="AH1158" t="inlineStr">
        <is>
          <t>MEDIUM</t>
        </is>
      </c>
      <c r="AI1158" t="inlineStr">
        <is>
          <t>AUTO</t>
        </is>
      </c>
      <c r="AJ1158" t="inlineStr">
        <is>
          <t>Nej</t>
        </is>
      </c>
      <c r="AK1158" t="inlineStr"/>
      <c r="AL1158" t="inlineStr"/>
      <c r="AM1158" t="inlineStr"/>
      <c r="AN1158" t="inlineStr"/>
      <c r="AO1158" t="inlineStr">
        <is>
          <t>cmm4yupkl02pecuqwc9aq8lae</t>
        </is>
      </c>
      <c r="AP1158" t="inlineStr">
        <is>
          <t>http://localhost:8787/api/admin/requirements/documents/cmm4yupkl02pecuqwc9aq8lae/view</t>
        </is>
      </c>
      <c r="AQ1158">
        <f>HYPERLÄNK("http://localhost:8787/api/admin/requirements/documents/cmm4yupkl02pecuqwc9aq8lae/view";"Öppna PDF")</f>
        <v/>
      </c>
      <c r="AR1158">
        <f>HYPERLINK("http://localhost:8787/api/admin/requirements/documents/cmm4yupkl02pecuqwc9aq8lae/view","Open PDF")</f>
        <v/>
      </c>
      <c r="AS1158" t="inlineStr">
        <is>
          <t>cmm55w57p0004cuisfrtpqly8</t>
        </is>
      </c>
      <c r="AT1158" t="inlineStr">
        <is>
          <t>cmm4xvu980000cuh4vj0usz09</t>
        </is>
      </c>
      <c r="AU1158" t="inlineStr"/>
      <c r="AV1158" t="inlineStr">
        <is>
          <t>Kommun</t>
        </is>
      </c>
      <c r="AW1158" t="inlineStr"/>
      <c r="AX1158" t="inlineStr">
        <is>
          <t>1980-08</t>
        </is>
      </c>
      <c r="AY1158" t="inlineStr">
        <is>
          <t>Anmalan</t>
        </is>
      </c>
      <c r="AZ1158" t="inlineStr">
        <is>
          <t>2026-02-04</t>
        </is>
      </c>
      <c r="BA1158" t="inlineStr">
        <is>
          <t>Anmälan om mellanlagring av icke.pdf</t>
        </is>
      </c>
      <c r="BB1158" t="inlineStr">
        <is>
          <t>Begäran om handlingar - Partille</t>
        </is>
      </c>
      <c r="BC1158" t="inlineStr">
        <is>
          <t>AUTO</t>
        </is>
      </c>
      <c r="BD1158" t="inlineStr"/>
      <c r="BE1158" t="inlineStr"/>
      <c r="BF1158" t="inlineStr">
        <is>
          <t>AUTO_GENERERAD. Bekrafta metadata mot kallfil.</t>
        </is>
      </c>
      <c r="BG1158">
        <f>HYPERLINK("C:\Users\jimmy\Desktop\Examens arbete\Kod\Ny mapp\remix_-copy-of-miljöbeslut.se-portal\Anmälan om mellanlagring av icke.pdf", "Öppna PDF")</f>
        <v/>
      </c>
    </row>
    <row r="1159">
      <c r="A1159" t="inlineStr">
        <is>
          <t>KRAV-AUTO-001158</t>
        </is>
      </c>
      <c r="B1159" t="inlineStr">
        <is>
          <t>ADMIN-INDEX-2026-02-27-00000000125C043F57453246863FE664CAFE6A3F0700950291EA24F0614FB6ACEDB12BF0E31D00000000010C0000950291EA24F0614FB6ACEDB12BF0E31D00002087AE650000</t>
        </is>
      </c>
      <c r="C1159" t="inlineStr">
        <is>
          <t>cmm4yupkl02pecuqwc9aq8lae</t>
        </is>
      </c>
      <c r="D1159" t="inlineStr">
        <is>
          <t>http://localhost:8787/api/admin/requirements/documents/cmm4yupkl02pecuqwc9aq8lae/view</t>
        </is>
      </c>
      <c r="E1159">
        <f>HYPERLÄNK("http://localhost:8787/api/admin/requirements/documents/cmm4yupkl02pecuqwc9aq8lae/view";"Öppna PDF")</f>
        <v/>
      </c>
      <c r="F1159">
        <f>HYPERLINK("http://localhost:8787/api/admin/requirements/documents/cmm4yupkl02pecuqwc9aq8lae/view","Open PDF")</f>
        <v/>
      </c>
      <c r="G1159" t="inlineStr">
        <is>
          <t>cmm55w57p0004cuisfrtpqly8</t>
        </is>
      </c>
      <c r="H1159" t="inlineStr">
        <is>
          <t>Informationskrav</t>
        </is>
      </c>
      <c r="I1159" t="inlineStr">
        <is>
          <t>LagringsvolymTid</t>
        </is>
      </c>
      <c r="J1159" t="inlineStr">
        <is>
          <t>Maxmangd</t>
        </is>
      </c>
      <c r="K1159" t="inlineStr">
        <is>
          <t>mer än 10 ton men högst 30 000 ton och avfallet ska användas för byggnads- eller anläggningsändamål, eller 2.</t>
        </is>
      </c>
      <c r="L1159" t="inlineStr">
        <is>
          <t>mer än 10 ton men högst 30 000 ton och avfallet ska användas för byggnads- eller anläggningsändamål, eller 2.</t>
        </is>
      </c>
      <c r="M1159" t="inlineStr">
        <is>
          <t>SKA</t>
        </is>
      </c>
      <c r="N1159" t="inlineStr"/>
      <c r="O1159" t="inlineStr"/>
      <c r="P1159" t="inlineStr"/>
      <c r="Q1159" t="inlineStr"/>
      <c r="R1159" t="inlineStr">
        <is>
          <t>Alltid</t>
        </is>
      </c>
      <c r="S1159" t="inlineStr"/>
      <c r="T1159" t="inlineStr"/>
      <c r="U1159" t="n">
        <v>10</v>
      </c>
      <c r="V1159" t="inlineStr"/>
      <c r="W1159" t="inlineStr">
        <is>
          <t>Nej</t>
        </is>
      </c>
      <c r="X1159" t="inlineStr">
        <is>
          <t>Nej</t>
        </is>
      </c>
      <c r="Y1159" t="inlineStr">
        <is>
          <t>Nej</t>
        </is>
      </c>
      <c r="Z1159" t="inlineStr">
        <is>
          <t>Nej</t>
        </is>
      </c>
      <c r="AA1159" t="n">
        <v>4</v>
      </c>
      <c r="AB1159" t="inlineStr">
        <is>
          <t>Avfallsmangder och lagringstid</t>
        </is>
      </c>
      <c r="AC1159" t="inlineStr">
        <is>
          <t>Avfallsforteckning</t>
        </is>
      </c>
      <c r="AD1159" t="inlineStr">
        <is>
          <t>Nej</t>
        </is>
      </c>
      <c r="AE1159" t="inlineStr">
        <is>
          <t>Nej</t>
        </is>
      </c>
      <c r="AF1159" t="inlineStr">
        <is>
          <t>Ej behandlad</t>
        </is>
      </c>
      <c r="AG1159" t="inlineStr">
        <is>
          <t>AUTO_GENERERAD. Verifiera citat mot kallfil.</t>
        </is>
      </c>
      <c r="AH1159" t="inlineStr">
        <is>
          <t>MEDIUM</t>
        </is>
      </c>
      <c r="AI1159" t="inlineStr">
        <is>
          <t>AUTO</t>
        </is>
      </c>
      <c r="AJ1159" t="inlineStr">
        <is>
          <t>Nej</t>
        </is>
      </c>
      <c r="AK1159" t="inlineStr"/>
      <c r="AL1159" t="inlineStr"/>
      <c r="AM1159" t="inlineStr"/>
      <c r="AN1159" t="inlineStr"/>
      <c r="AO1159" t="inlineStr">
        <is>
          <t>cmm4yupkl02pecuqwc9aq8lae</t>
        </is>
      </c>
      <c r="AP1159" t="inlineStr">
        <is>
          <t>http://localhost:8787/api/admin/requirements/documents/cmm4yupkl02pecuqwc9aq8lae/view</t>
        </is>
      </c>
      <c r="AQ1159">
        <f>HYPERLÄNK("http://localhost:8787/api/admin/requirements/documents/cmm4yupkl02pecuqwc9aq8lae/view";"Öppna PDF")</f>
        <v/>
      </c>
      <c r="AR1159">
        <f>HYPERLINK("http://localhost:8787/api/admin/requirements/documents/cmm4yupkl02pecuqwc9aq8lae/view","Open PDF")</f>
        <v/>
      </c>
      <c r="AS1159" t="inlineStr">
        <is>
          <t>cmm55w57p0004cuisfrtpqly8</t>
        </is>
      </c>
      <c r="AT1159" t="inlineStr">
        <is>
          <t>cmm4xvu980000cuh4vj0usz09</t>
        </is>
      </c>
      <c r="AU1159" t="inlineStr"/>
      <c r="AV1159" t="inlineStr">
        <is>
          <t>Kommun</t>
        </is>
      </c>
      <c r="AW1159" t="inlineStr"/>
      <c r="AX1159" t="inlineStr">
        <is>
          <t>1980-08</t>
        </is>
      </c>
      <c r="AY1159" t="inlineStr">
        <is>
          <t>Anmalan</t>
        </is>
      </c>
      <c r="AZ1159" t="inlineStr">
        <is>
          <t>2026-02-04</t>
        </is>
      </c>
      <c r="BA1159" t="inlineStr">
        <is>
          <t>Anmälan om mellanlagring av icke.pdf</t>
        </is>
      </c>
      <c r="BB1159" t="inlineStr">
        <is>
          <t>Begäran om handlingar - Partille</t>
        </is>
      </c>
      <c r="BC1159" t="inlineStr">
        <is>
          <t>AUTO</t>
        </is>
      </c>
      <c r="BD1159" t="inlineStr"/>
      <c r="BE1159" t="inlineStr"/>
      <c r="BF1159" t="inlineStr">
        <is>
          <t>AUTO_GENERERAD. Bekrafta metadata mot kallfil.</t>
        </is>
      </c>
      <c r="BG1159">
        <f>HYPERLINK("C:\Users\jimmy\Desktop\Examens arbete\Kod\Ny mapp\remix_-copy-of-miljöbeslut.se-portal\Anmälan om mellanlagring av icke.pdf", "Öppna PDF")</f>
        <v/>
      </c>
    </row>
    <row r="1160">
      <c r="A1160" t="inlineStr">
        <is>
          <t>KRAV-AUTO-001159</t>
        </is>
      </c>
      <c r="B1160" t="inlineStr">
        <is>
          <t>ADMIN-INDEX-2026-02-27-00000000125C043F57453246863FE664CAFE6A3F0700950291EA24F0614FB6ACEDB12BF0E31D00000000010C0000950291EA24F0614FB6ACEDB12BF0E31D00002087AE650000</t>
        </is>
      </c>
      <c r="C1160" t="inlineStr">
        <is>
          <t>cmm4yupki02pbcuqwmmqxe1ge</t>
        </is>
      </c>
      <c r="D1160" t="inlineStr">
        <is>
          <t>http://localhost:8787/api/admin/requirements/documents/cmm4yupki02pbcuqwmmqxe1ge/view</t>
        </is>
      </c>
      <c r="E1160">
        <f>HYPERLÄNK("http://localhost:8787/api/admin/requirements/documents/cmm4yupki02pbcuqwmmqxe1ge/view";"Öppna PDF")</f>
        <v/>
      </c>
      <c r="F1160">
        <f>HYPERLINK("http://localhost:8787/api/admin/requirements/documents/cmm4yupki02pbcuqwmmqxe1ge/view","Open PDF")</f>
        <v/>
      </c>
      <c r="G1160" t="inlineStr">
        <is>
          <t>cmm55w57p0004cuisfrtpqly8</t>
        </is>
      </c>
      <c r="H1160" t="inlineStr">
        <is>
          <t>Informationskrav</t>
        </is>
      </c>
      <c r="I1160" t="inlineStr">
        <is>
          <t>LokaliseringPlats</t>
        </is>
      </c>
      <c r="J1160" t="inlineStr">
        <is>
          <t>Skyddsobjekt</t>
        </is>
      </c>
      <c r="K1160" t="inlineStr">
        <is>
          <t>Lokalisering (översiktskarta) med markerade platser för där mellanlagring sker i kommunen 5.</t>
        </is>
      </c>
      <c r="L1160" t="inlineStr">
        <is>
          <t>Lokalisering (översiktskarta) med markerade platser för där mellanlagring sker i kommunen 5.</t>
        </is>
      </c>
      <c r="M1160" t="inlineStr">
        <is>
          <t>SKA</t>
        </is>
      </c>
      <c r="N1160" t="inlineStr"/>
      <c r="O1160" t="inlineStr"/>
      <c r="P1160" t="inlineStr"/>
      <c r="Q1160" t="inlineStr"/>
      <c r="R1160" t="inlineStr">
        <is>
          <t>Fore beslut</t>
        </is>
      </c>
      <c r="S1160" t="inlineStr"/>
      <c r="T1160" t="inlineStr"/>
      <c r="U1160" t="inlineStr"/>
      <c r="V1160" t="inlineStr"/>
      <c r="W1160" t="inlineStr">
        <is>
          <t>Nej</t>
        </is>
      </c>
      <c r="X1160" t="inlineStr">
        <is>
          <t>Nej</t>
        </is>
      </c>
      <c r="Y1160" t="inlineStr">
        <is>
          <t>Nej</t>
        </is>
      </c>
      <c r="Z1160" t="inlineStr">
        <is>
          <t>Nej</t>
        </is>
      </c>
      <c r="AA1160" t="n">
        <v>3</v>
      </c>
      <c r="AB1160" t="inlineStr">
        <is>
          <t>Platsforutsattningar</t>
        </is>
      </c>
      <c r="AC1160" t="inlineStr">
        <is>
          <t>Situationsplan</t>
        </is>
      </c>
      <c r="AD1160" t="inlineStr">
        <is>
          <t>Nej</t>
        </is>
      </c>
      <c r="AE1160" t="inlineStr">
        <is>
          <t>Nej</t>
        </is>
      </c>
      <c r="AF1160" t="inlineStr">
        <is>
          <t>Ej behandlad</t>
        </is>
      </c>
      <c r="AG1160" t="inlineStr">
        <is>
          <t>AUTO_GENERERAD. Verifiera citat mot kallfil.</t>
        </is>
      </c>
      <c r="AH1160" t="inlineStr">
        <is>
          <t>MEDIUM</t>
        </is>
      </c>
      <c r="AI1160" t="inlineStr">
        <is>
          <t>AUTO</t>
        </is>
      </c>
      <c r="AJ1160" t="inlineStr">
        <is>
          <t>Nej</t>
        </is>
      </c>
      <c r="AK1160" t="inlineStr"/>
      <c r="AL1160" t="inlineStr"/>
      <c r="AM1160" t="inlineStr"/>
      <c r="AN1160" t="inlineStr"/>
      <c r="AO1160" t="inlineStr">
        <is>
          <t>cmm4yupkl02pecuqwc9aq8lae</t>
        </is>
      </c>
      <c r="AP1160" t="inlineStr">
        <is>
          <t>http://localhost:8787/api/admin/requirements/documents/cmm4yupkl02pecuqwc9aq8lae/view</t>
        </is>
      </c>
      <c r="AQ1160">
        <f>HYPERLÄNK("http://localhost:8787/api/admin/requirements/documents/cmm4yupkl02pecuqwc9aq8lae/view";"Öppna PDF")</f>
        <v/>
      </c>
      <c r="AR1160">
        <f>HYPERLINK("http://localhost:8787/api/admin/requirements/documents/cmm4yupkl02pecuqwc9aq8lae/view","Open PDF")</f>
        <v/>
      </c>
      <c r="AS1160" t="inlineStr">
        <is>
          <t>cmm55w57p0004cuisfrtpqly8</t>
        </is>
      </c>
      <c r="AT1160" t="inlineStr">
        <is>
          <t>cmm4xvu980000cuh4vj0usz09</t>
        </is>
      </c>
      <c r="AU1160" t="inlineStr"/>
      <c r="AV1160" t="inlineStr">
        <is>
          <t>Kommun</t>
        </is>
      </c>
      <c r="AW1160" t="inlineStr"/>
      <c r="AX1160" t="inlineStr">
        <is>
          <t>1980-08</t>
        </is>
      </c>
      <c r="AY1160" t="inlineStr">
        <is>
          <t>Anmalan</t>
        </is>
      </c>
      <c r="AZ1160" t="inlineStr">
        <is>
          <t>2026-02-04</t>
        </is>
      </c>
      <c r="BA1160" t="inlineStr">
        <is>
          <t>Anmälan om mellanlagring av icke.pdf</t>
        </is>
      </c>
      <c r="BB1160" t="inlineStr">
        <is>
          <t>Begäran om handlingar - Partille</t>
        </is>
      </c>
      <c r="BC1160" t="inlineStr">
        <is>
          <t>AUTO</t>
        </is>
      </c>
      <c r="BD1160" t="inlineStr"/>
      <c r="BE1160" t="inlineStr"/>
      <c r="BF1160" t="inlineStr">
        <is>
          <t>AUTO_GENERERAD. Bekrafta metadata mot kallfil.</t>
        </is>
      </c>
      <c r="BG1160">
        <f>HYPERLINK("C:\Users\jimmy\Desktop\Examens arbete\Kod\Ny mapp\remix_-copy-of-miljöbeslut.se-portal\Anmälan om mellanlagring av icke.pdf", "Öppna PDF")</f>
        <v/>
      </c>
    </row>
    <row r="1161">
      <c r="A1161" t="inlineStr">
        <is>
          <t>KRAV-AUTO-001160</t>
        </is>
      </c>
      <c r="B1161" t="inlineStr">
        <is>
          <t>ADMIN-INDEX-2026-02-27-00000000125C043F57453246863FE664CAFE6A3F0700950291EA24F0614FB6ACEDB12BF0E31D00000000010C0000950291EA24F0614FB6ACEDB12BF0E31D00002087AE660000</t>
        </is>
      </c>
      <c r="C1161" t="inlineStr">
        <is>
          <t>cmm4yupk402owcuqww06jlz5a</t>
        </is>
      </c>
      <c r="D1161" t="inlineStr">
        <is>
          <t>http://localhost:8787/api/admin/requirements/documents/cmm4yupk402owcuqww06jlz5a/view</t>
        </is>
      </c>
      <c r="E1161">
        <f>HYPERLÄNK("http://localhost:8787/api/admin/requirements/documents/cmm4yupk402owcuqww06jlz5a/view";"Öppna PDF")</f>
        <v/>
      </c>
      <c r="F1161">
        <f>HYPERLINK("http://localhost:8787/api/admin/requirements/documents/cmm4yupk402owcuqww06jlz5a/view","Open PDF")</f>
        <v/>
      </c>
      <c r="G1161" t="inlineStr">
        <is>
          <t>cmm55w57p0004cuisfrtpqly8</t>
        </is>
      </c>
      <c r="H1161" t="inlineStr">
        <is>
          <t>Informationskrav</t>
        </is>
      </c>
      <c r="I1161" t="inlineStr">
        <is>
          <t>LagringsvolymTid</t>
        </is>
      </c>
      <c r="J1161" t="inlineStr">
        <is>
          <t>Maxmangd</t>
        </is>
      </c>
      <c r="K1161" t="inlineStr">
        <is>
          <t>Vi räknar med att mängden farligt avfall som mellanlagras inte vid något tillfälle kommer att överstiga 50 ton Området ska städas kontinuerligt eller när behov uppstår.</t>
        </is>
      </c>
      <c r="L1161" t="inlineStr">
        <is>
          <t>Vi räknar med att mängden farligt avfall som mellanlagras inte vid något tillfälle kommer att överstiga 50 ton Området ska städas kontinuerligt eller när behov uppstår.</t>
        </is>
      </c>
      <c r="M1161" t="inlineStr">
        <is>
          <t>SKA</t>
        </is>
      </c>
      <c r="N1161" t="inlineStr"/>
      <c r="O1161" t="inlineStr"/>
      <c r="P1161" t="inlineStr">
        <is>
          <t>Arlig</t>
        </is>
      </c>
      <c r="Q1161" t="inlineStr"/>
      <c r="R1161" t="inlineStr">
        <is>
          <t>Alltid</t>
        </is>
      </c>
      <c r="S1161" t="inlineStr"/>
      <c r="T1161" t="inlineStr"/>
      <c r="U1161" t="n">
        <v>50</v>
      </c>
      <c r="V1161" t="inlineStr"/>
      <c r="W1161" t="inlineStr">
        <is>
          <t>Nej</t>
        </is>
      </c>
      <c r="X1161" t="inlineStr">
        <is>
          <t>Nej</t>
        </is>
      </c>
      <c r="Y1161" t="inlineStr">
        <is>
          <t>Nej</t>
        </is>
      </c>
      <c r="Z1161" t="inlineStr">
        <is>
          <t>Nej</t>
        </is>
      </c>
      <c r="AA1161" t="n">
        <v>4</v>
      </c>
      <c r="AB1161" t="inlineStr">
        <is>
          <t>Avfallsmangder och lagringstid</t>
        </is>
      </c>
      <c r="AC1161" t="inlineStr">
        <is>
          <t>Avfallsforteckning</t>
        </is>
      </c>
      <c r="AD1161" t="inlineStr">
        <is>
          <t>Nej</t>
        </is>
      </c>
      <c r="AE1161" t="inlineStr">
        <is>
          <t>Nej</t>
        </is>
      </c>
      <c r="AF1161" t="inlineStr">
        <is>
          <t>Ej behandlad</t>
        </is>
      </c>
      <c r="AG1161" t="inlineStr">
        <is>
          <t>AUTO_GENERERAD. Verifiera citat mot kallfil.</t>
        </is>
      </c>
      <c r="AH1161" t="inlineStr">
        <is>
          <t>MEDIUM</t>
        </is>
      </c>
      <c r="AI1161" t="inlineStr">
        <is>
          <t>AUTO</t>
        </is>
      </c>
      <c r="AJ1161" t="inlineStr">
        <is>
          <t>Nej</t>
        </is>
      </c>
      <c r="AK1161" t="inlineStr"/>
      <c r="AL1161" t="inlineStr"/>
      <c r="AM1161" t="inlineStr"/>
      <c r="AN1161" t="inlineStr"/>
      <c r="AO1161" t="inlineStr">
        <is>
          <t>cmm4yupk402owcuqww06jlz5a</t>
        </is>
      </c>
      <c r="AP1161" t="inlineStr">
        <is>
          <t>http://localhost:8787/api/admin/requirements/documents/cmm4yupk402owcuqww06jlz5a/view</t>
        </is>
      </c>
      <c r="AQ1161">
        <f>HYPERLÄNK("http://localhost:8787/api/admin/requirements/documents/cmm4yupk402owcuqww06jlz5a/view";"Öppna PDF")</f>
        <v/>
      </c>
      <c r="AR1161">
        <f>HYPERLINK("http://localhost:8787/api/admin/requirements/documents/cmm4yupk402owcuqww06jlz5a/view","Open PDF")</f>
        <v/>
      </c>
      <c r="AS1161" t="inlineStr">
        <is>
          <t>cmm55w57p0004cuisfrtpqly8</t>
        </is>
      </c>
      <c r="AT1161" t="inlineStr">
        <is>
          <t>cmm4xvu980000cuh4vj0usz09</t>
        </is>
      </c>
      <c r="AU1161" t="inlineStr"/>
      <c r="AV1161" t="inlineStr">
        <is>
          <t>Kommun</t>
        </is>
      </c>
      <c r="AW1161" t="inlineStr"/>
      <c r="AX1161" t="inlineStr">
        <is>
          <t>1980-08</t>
        </is>
      </c>
      <c r="AY1161" t="inlineStr">
        <is>
          <t>Anmalan</t>
        </is>
      </c>
      <c r="AZ1161" t="inlineStr">
        <is>
          <t>2026-02-04</t>
        </is>
      </c>
      <c r="BA1161" t="inlineStr">
        <is>
          <t>Anmälan om mellanlagring av icke.pdf</t>
        </is>
      </c>
      <c r="BB1161" t="inlineStr">
        <is>
          <t>Begäran om handlingar - Partille</t>
        </is>
      </c>
      <c r="BC1161" t="inlineStr">
        <is>
          <t>AUTO</t>
        </is>
      </c>
      <c r="BD1161" t="inlineStr"/>
      <c r="BE1161" t="inlineStr"/>
      <c r="BF1161" t="inlineStr">
        <is>
          <t>AUTO_GENERERAD. Bekrafta metadata mot kallfil.</t>
        </is>
      </c>
      <c r="BG1161">
        <f>HYPERLINK("C:\Users\jimmy\Desktop\Examens arbete\Kod\Ny mapp\remix_-copy-of-miljöbeslut.se-portal\Anmälan om mellanlagring av icke.pdf", "Öppna PDF")</f>
        <v/>
      </c>
    </row>
    <row r="1162">
      <c r="A1162" t="inlineStr">
        <is>
          <t>KRAV-AUTO-001161</t>
        </is>
      </c>
      <c r="B1162" t="inlineStr">
        <is>
          <t>ADMIN-INDEX-2026-02-27-00000000125C043F57453246863FE664CAFE6A3F0700950291EA24F0614FB6ACEDB12BF0E31D00000000010C0000950291EA24F0614FB6ACEDB12BF0E31D00002087AE660000</t>
        </is>
      </c>
      <c r="C1162" t="inlineStr">
        <is>
          <t>cmm4yupk402owcuqww06jlz5a</t>
        </is>
      </c>
      <c r="D1162" t="inlineStr">
        <is>
          <t>http://localhost:8787/api/admin/requirements/documents/cmm4yupk402owcuqww06jlz5a/view</t>
        </is>
      </c>
      <c r="E1162">
        <f>HYPERLÄNK("http://localhost:8787/api/admin/requirements/documents/cmm4yupk402owcuqww06jlz5a/view";"Öppna PDF")</f>
        <v/>
      </c>
      <c r="F1162">
        <f>HYPERLINK("http://localhost:8787/api/admin/requirements/documents/cmm4yupk402owcuqww06jlz5a/view","Open PDF")</f>
        <v/>
      </c>
      <c r="G1162" t="inlineStr">
        <is>
          <t>cmm55w57p0004cuisfrtpqly8</t>
        </is>
      </c>
      <c r="H1162" t="inlineStr">
        <is>
          <t>Informationskrav</t>
        </is>
      </c>
      <c r="I1162" t="inlineStr">
        <is>
          <t>Ytkonstruktion</t>
        </is>
      </c>
      <c r="J1162" t="inlineStr">
        <is>
          <t>Tat yta</t>
        </is>
      </c>
      <c r="K1162" t="inlineStr">
        <is>
          <t>Spolplattan har en spolränna en efterföljande sedimentationsränna med sand, vattnet leds sedan till oljeavskiljare med koalecensfilter och nivålarm Tvättmedel……… Antal tvättar /år uppskatta en siffra.</t>
        </is>
      </c>
      <c r="L1162" t="inlineStr">
        <is>
          <t>Spolplattan har en spolränna en efterföljande sedimentationsränna med sand, vattnet leds sedan till oljeavskiljare med koalecensfilter och nivålarm Tvättmedel……… Antal tvättar /år uppskatta en siffra.</t>
        </is>
      </c>
      <c r="M1162" t="inlineStr">
        <is>
          <t>SKA</t>
        </is>
      </c>
      <c r="N1162" t="inlineStr"/>
      <c r="O1162" t="inlineStr"/>
      <c r="P1162" t="inlineStr"/>
      <c r="Q1162" t="inlineStr"/>
      <c r="R1162" t="inlineStr">
        <is>
          <t>Vid mellanlagring av avfall</t>
        </is>
      </c>
      <c r="S1162" t="inlineStr"/>
      <c r="T1162" t="inlineStr"/>
      <c r="U1162" t="inlineStr"/>
      <c r="V1162" t="inlineStr"/>
      <c r="W1162" t="inlineStr">
        <is>
          <t>Ja</t>
        </is>
      </c>
      <c r="X1162" t="inlineStr">
        <is>
          <t>Nej</t>
        </is>
      </c>
      <c r="Y1162" t="inlineStr">
        <is>
          <t>Nej</t>
        </is>
      </c>
      <c r="Z1162" t="inlineStr">
        <is>
          <t>Nej</t>
        </is>
      </c>
      <c r="AA1162" t="n">
        <v>5</v>
      </c>
      <c r="AB1162" t="inlineStr">
        <is>
          <t>Teknisk beskrivning av platta</t>
        </is>
      </c>
      <c r="AC1162" t="inlineStr">
        <is>
          <t>Teknisk ritning platta</t>
        </is>
      </c>
      <c r="AD1162" t="inlineStr">
        <is>
          <t>Nej</t>
        </is>
      </c>
      <c r="AE1162" t="inlineStr">
        <is>
          <t>Nej</t>
        </is>
      </c>
      <c r="AF1162" t="inlineStr">
        <is>
          <t>Ej behandlad</t>
        </is>
      </c>
      <c r="AG1162" t="inlineStr">
        <is>
          <t>AUTO_GENERERAD. Verifiera citat mot kallfil.</t>
        </is>
      </c>
      <c r="AH1162" t="inlineStr">
        <is>
          <t>MEDIUM</t>
        </is>
      </c>
      <c r="AI1162" t="inlineStr">
        <is>
          <t>AUTO</t>
        </is>
      </c>
      <c r="AJ1162" t="inlineStr">
        <is>
          <t>Nej</t>
        </is>
      </c>
      <c r="AK1162" t="inlineStr"/>
      <c r="AL1162" t="inlineStr"/>
      <c r="AM1162" t="inlineStr"/>
      <c r="AN1162" t="inlineStr"/>
      <c r="AO1162" t="inlineStr">
        <is>
          <t>cmm4yupk402owcuqww06jlz5a</t>
        </is>
      </c>
      <c r="AP1162" t="inlineStr">
        <is>
          <t>http://localhost:8787/api/admin/requirements/documents/cmm4yupk402owcuqww06jlz5a/view</t>
        </is>
      </c>
      <c r="AQ1162">
        <f>HYPERLÄNK("http://localhost:8787/api/admin/requirements/documents/cmm4yupk402owcuqww06jlz5a/view";"Öppna PDF")</f>
        <v/>
      </c>
      <c r="AR1162">
        <f>HYPERLINK("http://localhost:8787/api/admin/requirements/documents/cmm4yupk402owcuqww06jlz5a/view","Open PDF")</f>
        <v/>
      </c>
      <c r="AS1162" t="inlineStr">
        <is>
          <t>cmm55w57p0004cuisfrtpqly8</t>
        </is>
      </c>
      <c r="AT1162" t="inlineStr">
        <is>
          <t>cmm4xvu980000cuh4vj0usz09</t>
        </is>
      </c>
      <c r="AU1162" t="inlineStr"/>
      <c r="AV1162" t="inlineStr">
        <is>
          <t>Kommun</t>
        </is>
      </c>
      <c r="AW1162" t="inlineStr"/>
      <c r="AX1162" t="inlineStr">
        <is>
          <t>1980-08</t>
        </is>
      </c>
      <c r="AY1162" t="inlineStr">
        <is>
          <t>Anmalan</t>
        </is>
      </c>
      <c r="AZ1162" t="inlineStr">
        <is>
          <t>2026-02-04</t>
        </is>
      </c>
      <c r="BA1162" t="inlineStr">
        <is>
          <t>Anmälan om mellanlagring av icke.pdf</t>
        </is>
      </c>
      <c r="BB1162" t="inlineStr">
        <is>
          <t>Begäran om handlingar - Partille</t>
        </is>
      </c>
      <c r="BC1162" t="inlineStr">
        <is>
          <t>AUTO</t>
        </is>
      </c>
      <c r="BD1162" t="inlineStr"/>
      <c r="BE1162" t="inlineStr"/>
      <c r="BF1162" t="inlineStr">
        <is>
          <t>AUTO_GENERERAD. Bekrafta metadata mot kallfil.</t>
        </is>
      </c>
      <c r="BG1162">
        <f>HYPERLINK("C:\Users\jimmy\Desktop\Examens arbete\Kod\Ny mapp\remix_-copy-of-miljöbeslut.se-portal\Anmälan om mellanlagring av icke.pdf", "Öppna PDF")</f>
        <v/>
      </c>
    </row>
    <row r="1163">
      <c r="A1163" t="inlineStr">
        <is>
          <t>KRAV-AUTO-001162</t>
        </is>
      </c>
      <c r="B1163" t="inlineStr">
        <is>
          <t>ADMIN-INDEX-2026-02-27-00000000125C043F57453246863FE664CAFE6A3F0700950291EA24F0614FB6ACEDB12BF0E31D00000000010C0000950291EA24F0614FB6ACEDB12BF0E31D00002087AE660000</t>
        </is>
      </c>
      <c r="C1163" t="inlineStr">
        <is>
          <t>cmm4yupk402owcuqww06jlz5a</t>
        </is>
      </c>
      <c r="D1163" t="inlineStr">
        <is>
          <t>http://localhost:8787/api/admin/requirements/documents/cmm4yupk402owcuqww06jlz5a/view</t>
        </is>
      </c>
      <c r="E1163">
        <f>HYPERLÄNK("http://localhost:8787/api/admin/requirements/documents/cmm4yupk402owcuqww06jlz5a/view";"Öppna PDF")</f>
        <v/>
      </c>
      <c r="F1163">
        <f>HYPERLINK("http://localhost:8787/api/admin/requirements/documents/cmm4yupk402owcuqww06jlz5a/view","Open PDF")</f>
        <v/>
      </c>
      <c r="G1163" t="inlineStr">
        <is>
          <t>cmm55w57p0004cuisfrtpqly8</t>
        </is>
      </c>
      <c r="H1163" t="inlineStr">
        <is>
          <t>Informationskrav</t>
        </is>
      </c>
      <c r="I1163" t="inlineStr">
        <is>
          <t>LagringsvolymTid</t>
        </is>
      </c>
      <c r="J1163" t="inlineStr">
        <is>
          <t>Maxmangd</t>
        </is>
      </c>
      <c r="K1163" t="inlineStr">
        <is>
          <t>mer än 10 ton men högst 30 000 ton och avfallet ska användas för byggnads- eller anläggningsändamål, eller 2.</t>
        </is>
      </c>
      <c r="L1163" t="inlineStr">
        <is>
          <t>mer än 10 ton men högst 30 000 ton och avfallet ska användas för byggnads- eller anläggningsändamål, eller 2.</t>
        </is>
      </c>
      <c r="M1163" t="inlineStr">
        <is>
          <t>SKA</t>
        </is>
      </c>
      <c r="N1163" t="inlineStr"/>
      <c r="O1163" t="inlineStr"/>
      <c r="P1163" t="inlineStr"/>
      <c r="Q1163" t="inlineStr"/>
      <c r="R1163" t="inlineStr">
        <is>
          <t>Alltid</t>
        </is>
      </c>
      <c r="S1163" t="inlineStr"/>
      <c r="T1163" t="inlineStr"/>
      <c r="U1163" t="n">
        <v>10</v>
      </c>
      <c r="V1163" t="inlineStr"/>
      <c r="W1163" t="inlineStr">
        <is>
          <t>Nej</t>
        </is>
      </c>
      <c r="X1163" t="inlineStr">
        <is>
          <t>Nej</t>
        </is>
      </c>
      <c r="Y1163" t="inlineStr">
        <is>
          <t>Nej</t>
        </is>
      </c>
      <c r="Z1163" t="inlineStr">
        <is>
          <t>Nej</t>
        </is>
      </c>
      <c r="AA1163" t="n">
        <v>4</v>
      </c>
      <c r="AB1163" t="inlineStr">
        <is>
          <t>Avfallsmangder och lagringstid</t>
        </is>
      </c>
      <c r="AC1163" t="inlineStr">
        <is>
          <t>Avfallsforteckning</t>
        </is>
      </c>
      <c r="AD1163" t="inlineStr">
        <is>
          <t>Nej</t>
        </is>
      </c>
      <c r="AE1163" t="inlineStr">
        <is>
          <t>Nej</t>
        </is>
      </c>
      <c r="AF1163" t="inlineStr">
        <is>
          <t>Ej behandlad</t>
        </is>
      </c>
      <c r="AG1163" t="inlineStr">
        <is>
          <t>AUTO_GENERERAD. Verifiera citat mot kallfil.</t>
        </is>
      </c>
      <c r="AH1163" t="inlineStr">
        <is>
          <t>MEDIUM</t>
        </is>
      </c>
      <c r="AI1163" t="inlineStr">
        <is>
          <t>AUTO</t>
        </is>
      </c>
      <c r="AJ1163" t="inlineStr">
        <is>
          <t>Nej</t>
        </is>
      </c>
      <c r="AK1163" t="inlineStr"/>
      <c r="AL1163" t="inlineStr"/>
      <c r="AM1163" t="inlineStr"/>
      <c r="AN1163" t="inlineStr"/>
      <c r="AO1163" t="inlineStr">
        <is>
          <t>cmm4yupk402owcuqww06jlz5a</t>
        </is>
      </c>
      <c r="AP1163" t="inlineStr">
        <is>
          <t>http://localhost:8787/api/admin/requirements/documents/cmm4yupk402owcuqww06jlz5a/view</t>
        </is>
      </c>
      <c r="AQ1163">
        <f>HYPERLÄNK("http://localhost:8787/api/admin/requirements/documents/cmm4yupk402owcuqww06jlz5a/view";"Öppna PDF")</f>
        <v/>
      </c>
      <c r="AR1163">
        <f>HYPERLINK("http://localhost:8787/api/admin/requirements/documents/cmm4yupk402owcuqww06jlz5a/view","Open PDF")</f>
        <v/>
      </c>
      <c r="AS1163" t="inlineStr">
        <is>
          <t>cmm55w57p0004cuisfrtpqly8</t>
        </is>
      </c>
      <c r="AT1163" t="inlineStr">
        <is>
          <t>cmm4xvu980000cuh4vj0usz09</t>
        </is>
      </c>
      <c r="AU1163" t="inlineStr"/>
      <c r="AV1163" t="inlineStr">
        <is>
          <t>Kommun</t>
        </is>
      </c>
      <c r="AW1163" t="inlineStr"/>
      <c r="AX1163" t="inlineStr">
        <is>
          <t>1980-08</t>
        </is>
      </c>
      <c r="AY1163" t="inlineStr">
        <is>
          <t>Anmalan</t>
        </is>
      </c>
      <c r="AZ1163" t="inlineStr">
        <is>
          <t>2026-02-04</t>
        </is>
      </c>
      <c r="BA1163" t="inlineStr">
        <is>
          <t>Anmälan om mellanlagring av icke.pdf</t>
        </is>
      </c>
      <c r="BB1163" t="inlineStr">
        <is>
          <t>Begäran om handlingar - Partille</t>
        </is>
      </c>
      <c r="BC1163" t="inlineStr">
        <is>
          <t>AUTO</t>
        </is>
      </c>
      <c r="BD1163" t="inlineStr"/>
      <c r="BE1163" t="inlineStr"/>
      <c r="BF1163" t="inlineStr">
        <is>
          <t>AUTO_GENERERAD. Bekrafta metadata mot kallfil.</t>
        </is>
      </c>
      <c r="BG1163">
        <f>HYPERLINK("C:\Users\jimmy\Desktop\Examens arbete\Kod\Ny mapp\remix_-copy-of-miljöbeslut.se-portal\Anmälan om mellanlagring av icke.pdf", "Öppna PDF")</f>
        <v/>
      </c>
    </row>
    <row r="1164">
      <c r="A1164" t="inlineStr">
        <is>
          <t>KRAV-AUTO-001163</t>
        </is>
      </c>
      <c r="B1164" t="inlineStr">
        <is>
          <t>ADMIN-INDEX-2026-02-27-00000000125C043F57453246863FE664CAFE6A3F0700950291EA24F0614FB6ACEDB12BF0E31D00000000010C0000950291EA24F0614FB6ACEDB12BF0E31D00002087AE660000</t>
        </is>
      </c>
      <c r="C1164" t="inlineStr">
        <is>
          <t>cmm4yupk102otcuqwal3xz5wn</t>
        </is>
      </c>
      <c r="D1164" t="inlineStr">
        <is>
          <t>http://localhost:8787/api/admin/requirements/documents/cmm4yupk102otcuqwal3xz5wn/view</t>
        </is>
      </c>
      <c r="E1164">
        <f>HYPERLÄNK("http://localhost:8787/api/admin/requirements/documents/cmm4yupk102otcuqwal3xz5wn/view";"Öppna PDF")</f>
        <v/>
      </c>
      <c r="F1164">
        <f>HYPERLINK("http://localhost:8787/api/admin/requirements/documents/cmm4yupk102otcuqwal3xz5wn/view","Open PDF")</f>
        <v/>
      </c>
      <c r="G1164" t="inlineStr">
        <is>
          <t>cmm55w57p0004cuisfrtpqly8</t>
        </is>
      </c>
      <c r="H1164" t="inlineStr">
        <is>
          <t>Informationskrav</t>
        </is>
      </c>
      <c r="I1164" t="inlineStr">
        <is>
          <t>LokaliseringPlats</t>
        </is>
      </c>
      <c r="J1164" t="inlineStr">
        <is>
          <t>Skyddsobjekt</t>
        </is>
      </c>
      <c r="K1164" t="inlineStr">
        <is>
          <t>Lokalisering (översiktskarta) med markerade platser för där mellanlagring sker i kommunen 5.</t>
        </is>
      </c>
      <c r="L1164" t="inlineStr">
        <is>
          <t>Lokalisering (översiktskarta) med markerade platser för där mellanlagring sker i kommunen 5.</t>
        </is>
      </c>
      <c r="M1164" t="inlineStr">
        <is>
          <t>SKA</t>
        </is>
      </c>
      <c r="N1164" t="inlineStr"/>
      <c r="O1164" t="inlineStr"/>
      <c r="P1164" t="inlineStr"/>
      <c r="Q1164" t="inlineStr"/>
      <c r="R1164" t="inlineStr">
        <is>
          <t>Fore beslut</t>
        </is>
      </c>
      <c r="S1164" t="inlineStr"/>
      <c r="T1164" t="inlineStr"/>
      <c r="U1164" t="inlineStr"/>
      <c r="V1164" t="inlineStr"/>
      <c r="W1164" t="inlineStr">
        <is>
          <t>Nej</t>
        </is>
      </c>
      <c r="X1164" t="inlineStr">
        <is>
          <t>Nej</t>
        </is>
      </c>
      <c r="Y1164" t="inlineStr">
        <is>
          <t>Nej</t>
        </is>
      </c>
      <c r="Z1164" t="inlineStr">
        <is>
          <t>Nej</t>
        </is>
      </c>
      <c r="AA1164" t="n">
        <v>3</v>
      </c>
      <c r="AB1164" t="inlineStr">
        <is>
          <t>Platsforutsattningar</t>
        </is>
      </c>
      <c r="AC1164" t="inlineStr">
        <is>
          <t>Situationsplan</t>
        </is>
      </c>
      <c r="AD1164" t="inlineStr">
        <is>
          <t>Nej</t>
        </is>
      </c>
      <c r="AE1164" t="inlineStr">
        <is>
          <t>Nej</t>
        </is>
      </c>
      <c r="AF1164" t="inlineStr">
        <is>
          <t>Ej behandlad</t>
        </is>
      </c>
      <c r="AG1164" t="inlineStr">
        <is>
          <t>AUTO_GENERERAD. Verifiera citat mot kallfil.</t>
        </is>
      </c>
      <c r="AH1164" t="inlineStr">
        <is>
          <t>MEDIUM</t>
        </is>
      </c>
      <c r="AI1164" t="inlineStr">
        <is>
          <t>AUTO</t>
        </is>
      </c>
      <c r="AJ1164" t="inlineStr">
        <is>
          <t>Nej</t>
        </is>
      </c>
      <c r="AK1164" t="inlineStr"/>
      <c r="AL1164" t="inlineStr"/>
      <c r="AM1164" t="inlineStr"/>
      <c r="AN1164" t="inlineStr"/>
      <c r="AO1164" t="inlineStr">
        <is>
          <t>cmm4yupk402owcuqww06jlz5a</t>
        </is>
      </c>
      <c r="AP1164" t="inlineStr">
        <is>
          <t>http://localhost:8787/api/admin/requirements/documents/cmm4yupk402owcuqww06jlz5a/view</t>
        </is>
      </c>
      <c r="AQ1164">
        <f>HYPERLÄNK("http://localhost:8787/api/admin/requirements/documents/cmm4yupk402owcuqww06jlz5a/view";"Öppna PDF")</f>
        <v/>
      </c>
      <c r="AR1164">
        <f>HYPERLINK("http://localhost:8787/api/admin/requirements/documents/cmm4yupk402owcuqww06jlz5a/view","Open PDF")</f>
        <v/>
      </c>
      <c r="AS1164" t="inlineStr">
        <is>
          <t>cmm55w57p0004cuisfrtpqly8</t>
        </is>
      </c>
      <c r="AT1164" t="inlineStr">
        <is>
          <t>cmm4xvu980000cuh4vj0usz09</t>
        </is>
      </c>
      <c r="AU1164" t="inlineStr"/>
      <c r="AV1164" t="inlineStr">
        <is>
          <t>Kommun</t>
        </is>
      </c>
      <c r="AW1164" t="inlineStr"/>
      <c r="AX1164" t="inlineStr">
        <is>
          <t>1980-08</t>
        </is>
      </c>
      <c r="AY1164" t="inlineStr">
        <is>
          <t>Anmalan</t>
        </is>
      </c>
      <c r="AZ1164" t="inlineStr">
        <is>
          <t>2026-02-04</t>
        </is>
      </c>
      <c r="BA1164" t="inlineStr">
        <is>
          <t>Anmälan om mellanlagring av icke.pdf</t>
        </is>
      </c>
      <c r="BB1164" t="inlineStr">
        <is>
          <t>Begäran om handlingar - Partille</t>
        </is>
      </c>
      <c r="BC1164" t="inlineStr">
        <is>
          <t>AUTO</t>
        </is>
      </c>
      <c r="BD1164" t="inlineStr"/>
      <c r="BE1164" t="inlineStr"/>
      <c r="BF1164" t="inlineStr">
        <is>
          <t>AUTO_GENERERAD. Bekrafta metadata mot kallfil.</t>
        </is>
      </c>
      <c r="BG1164">
        <f>HYPERLINK("C:\Users\jimmy\Desktop\Examens arbete\Kod\Ny mapp\remix_-copy-of-miljöbeslut.se-portal\Anmälan om mellanlagring av icke.pdf", "Öppna PDF")</f>
        <v/>
      </c>
    </row>
    <row r="1165">
      <c r="A1165" t="inlineStr">
        <is>
          <t>KRAV-AUTO-001164</t>
        </is>
      </c>
      <c r="B1165" t="inlineStr">
        <is>
          <t>ADMIN-INDEX-2026-02-27-00000000125C043F57453246863FE664CAFE6A3F0700950291EA24F0614FB6ACEDB12BF0E31D00000000010C0000950291EA24F0614FB6ACEDB12BF0E31D00002087AE710000</t>
        </is>
      </c>
      <c r="C1165" t="inlineStr">
        <is>
          <t>cmm4yupjv02oncuqwhzi14w7y</t>
        </is>
      </c>
      <c r="D1165" t="inlineStr">
        <is>
          <t>http://localhost:8787/api/admin/requirements/documents/cmm4yupjv02oncuqwhzi14w7y/view</t>
        </is>
      </c>
      <c r="E1165">
        <f>HYPERLÄNK("http://localhost:8787/api/admin/requirements/documents/cmm4yupjv02oncuqwhzi14w7y/view";"Öppna PDF")</f>
        <v/>
      </c>
      <c r="F1165">
        <f>HYPERLINK("http://localhost:8787/api/admin/requirements/documents/cmm4yupjv02oncuqwhzi14w7y/view","Open PDF")</f>
        <v/>
      </c>
      <c r="G1165" t="inlineStr">
        <is>
          <t>cmm55w57p0004cuisfrtpqly8</t>
        </is>
      </c>
      <c r="H1165" t="inlineStr">
        <is>
          <t>Beslutsvillkor</t>
        </is>
      </c>
      <c r="I1165" t="inlineStr">
        <is>
          <t>Ytkonstruktion</t>
        </is>
      </c>
      <c r="J1165" t="inlineStr">
        <is>
          <t>Tat yta</t>
        </is>
      </c>
      <c r="K1165" t="inlineStr">
        <is>
          <t>Vid förvaring utomhus ska avfallet förvaras på en yta som är ogenomsläpplig, invallad och försedd med nederbördsskydd.</t>
        </is>
      </c>
      <c r="L1165" t="inlineStr">
        <is>
          <t>Vid förvaring utomhus ska avfallet förvaras på en yta som är ogenomsläpplig, invallad och försedd med nederbördsskydd.</t>
        </is>
      </c>
      <c r="M1165" t="inlineStr">
        <is>
          <t>SKA</t>
        </is>
      </c>
      <c r="N1165" t="inlineStr"/>
      <c r="O1165" t="inlineStr"/>
      <c r="P1165" t="inlineStr"/>
      <c r="Q1165" t="inlineStr"/>
      <c r="R1165" t="inlineStr">
        <is>
          <t>Vid mellanlagring av avfall</t>
        </is>
      </c>
      <c r="S1165" t="inlineStr"/>
      <c r="T1165" t="inlineStr">
        <is>
          <t>222423</t>
        </is>
      </c>
      <c r="U1165" t="inlineStr"/>
      <c r="V1165" t="inlineStr"/>
      <c r="W1165" t="inlineStr">
        <is>
          <t>Ja</t>
        </is>
      </c>
      <c r="X1165" t="inlineStr">
        <is>
          <t>Nej</t>
        </is>
      </c>
      <c r="Y1165" t="inlineStr">
        <is>
          <t>Nej</t>
        </is>
      </c>
      <c r="Z1165" t="inlineStr">
        <is>
          <t>Nej</t>
        </is>
      </c>
      <c r="AA1165" t="n">
        <v>5</v>
      </c>
      <c r="AB1165" t="inlineStr">
        <is>
          <t>Teknisk beskrivning av platta</t>
        </is>
      </c>
      <c r="AC1165" t="inlineStr">
        <is>
          <t>Teknisk ritning platta</t>
        </is>
      </c>
      <c r="AD1165" t="inlineStr">
        <is>
          <t>Nej</t>
        </is>
      </c>
      <c r="AE1165" t="inlineStr">
        <is>
          <t>Nej</t>
        </is>
      </c>
      <c r="AF1165" t="inlineStr">
        <is>
          <t>Ej behandlad</t>
        </is>
      </c>
      <c r="AG1165" t="inlineStr">
        <is>
          <t>AUTO_GENERERAD. Verifiera citat mot kallfil.</t>
        </is>
      </c>
      <c r="AH1165" t="inlineStr">
        <is>
          <t>MEDIUM</t>
        </is>
      </c>
      <c r="AI1165" t="inlineStr">
        <is>
          <t>AUTO</t>
        </is>
      </c>
      <c r="AJ1165" t="inlineStr">
        <is>
          <t>Nej</t>
        </is>
      </c>
      <c r="AK1165" t="inlineStr"/>
      <c r="AL1165" t="inlineStr"/>
      <c r="AM1165" t="inlineStr"/>
      <c r="AN1165" t="inlineStr"/>
      <c r="AO1165" t="inlineStr">
        <is>
          <t>cmm4yupjv02oncuqwhzi14w7y</t>
        </is>
      </c>
      <c r="AP1165" t="inlineStr">
        <is>
          <t>http://localhost:8787/api/admin/requirements/documents/cmm4yupjv02oncuqwhzi14w7y/view</t>
        </is>
      </c>
      <c r="AQ1165">
        <f>HYPERLÄNK("http://localhost:8787/api/admin/requirements/documents/cmm4yupjv02oncuqwhzi14w7y/view";"Öppna PDF")</f>
        <v/>
      </c>
      <c r="AR1165">
        <f>HYPERLINK("http://localhost:8787/api/admin/requirements/documents/cmm4yupjv02oncuqwhzi14w7y/view","Open PDF")</f>
        <v/>
      </c>
      <c r="AS1165" t="inlineStr">
        <is>
          <t>cmm55w57p0004cuisfrtpqly8</t>
        </is>
      </c>
      <c r="AT1165" t="inlineStr">
        <is>
          <t>cmm4xvu980000cuh4vj0usz09</t>
        </is>
      </c>
      <c r="AU1165" t="inlineStr"/>
      <c r="AV1165" t="inlineStr">
        <is>
          <t>Kommun</t>
        </is>
      </c>
      <c r="AW1165" t="inlineStr"/>
      <c r="AX1165" t="inlineStr">
        <is>
          <t>2026-02</t>
        </is>
      </c>
      <c r="AY1165" t="inlineStr">
        <is>
          <t>Beslut</t>
        </is>
      </c>
      <c r="AZ1165" t="inlineStr">
        <is>
          <t>2026-02-04</t>
        </is>
      </c>
      <c r="BA1165" t="inlineStr">
        <is>
          <t>2.pdf</t>
        </is>
      </c>
      <c r="BB1165" t="inlineStr">
        <is>
          <t>Sv: till registrator</t>
        </is>
      </c>
      <c r="BC1165" t="inlineStr">
        <is>
          <t>AUTO</t>
        </is>
      </c>
      <c r="BD1165" t="inlineStr"/>
      <c r="BE1165" t="inlineStr"/>
      <c r="BF1165" t="inlineStr">
        <is>
          <t>AUTO_GENERERAD. Bekrafta metadata mot kallfil.</t>
        </is>
      </c>
      <c r="BG1165">
        <f>HYPERLINK("C:\Users\jimmy\Desktop\Examens arbete\Kod\Ny mapp\remix_-copy-of-miljöbeslut.se-portal\2.pdf", "Öppna PDF")</f>
        <v/>
      </c>
    </row>
    <row r="1166">
      <c r="A1166" t="inlineStr">
        <is>
          <t>KRAV-AUTO-001165</t>
        </is>
      </c>
      <c r="B1166" t="inlineStr">
        <is>
          <t>ADMIN-INDEX-2026-02-27-00000000125C043F57453246863FE664CAFE6A3F0700950291EA24F0614FB6ACEDB12BF0E31D00000000010C0000950291EA24F0614FB6ACEDB12BF0E31D00002087AE710000</t>
        </is>
      </c>
      <c r="C1166" t="inlineStr">
        <is>
          <t>cmm4yupjv02oncuqwhzi14w7y</t>
        </is>
      </c>
      <c r="D1166" t="inlineStr">
        <is>
          <t>http://localhost:8787/api/admin/requirements/documents/cmm4yupjv02oncuqwhzi14w7y/view</t>
        </is>
      </c>
      <c r="E1166">
        <f>HYPERLÄNK("http://localhost:8787/api/admin/requirements/documents/cmm4yupjv02oncuqwhzi14w7y/view";"Öppna PDF")</f>
        <v/>
      </c>
      <c r="F1166">
        <f>HYPERLINK("http://localhost:8787/api/admin/requirements/documents/cmm4yupjv02oncuqwhzi14w7y/view","Open PDF")</f>
        <v/>
      </c>
      <c r="G1166" t="inlineStr">
        <is>
          <t>cmm55w57p0004cuisfrtpqly8</t>
        </is>
      </c>
      <c r="H1166" t="inlineStr">
        <is>
          <t>Beslutsvillkor</t>
        </is>
      </c>
      <c r="I1166" t="inlineStr">
        <is>
          <t>Ytkonstruktion</t>
        </is>
      </c>
      <c r="J1166" t="inlineStr">
        <is>
          <t>Tat yta</t>
        </is>
      </c>
      <c r="K1166" t="inlineStr">
        <is>
          <t>Tänk på att cisterner ska vara stadigt uppställda och inte placeras direkt på marken (korrosionsrisk) och bör förses med invallning och droppskydd.</t>
        </is>
      </c>
      <c r="L1166" t="inlineStr">
        <is>
          <t>Tänk på att cisterner ska vara stadigt uppställda och inte placeras direkt på marken (korrosionsrisk) och bör förses med invallning och droppskydd.</t>
        </is>
      </c>
      <c r="M1166" t="inlineStr">
        <is>
          <t>SKA</t>
        </is>
      </c>
      <c r="N1166" t="inlineStr"/>
      <c r="O1166" t="inlineStr"/>
      <c r="P1166" t="inlineStr"/>
      <c r="Q1166" t="inlineStr"/>
      <c r="R1166" t="inlineStr">
        <is>
          <t>Vid mellanlagring av avfall</t>
        </is>
      </c>
      <c r="S1166" t="inlineStr"/>
      <c r="T1166" t="inlineStr">
        <is>
          <t>222423</t>
        </is>
      </c>
      <c r="U1166" t="inlineStr"/>
      <c r="V1166" t="inlineStr"/>
      <c r="W1166" t="inlineStr">
        <is>
          <t>Ja</t>
        </is>
      </c>
      <c r="X1166" t="inlineStr">
        <is>
          <t>Nej</t>
        </is>
      </c>
      <c r="Y1166" t="inlineStr">
        <is>
          <t>Nej</t>
        </is>
      </c>
      <c r="Z1166" t="inlineStr">
        <is>
          <t>Nej</t>
        </is>
      </c>
      <c r="AA1166" t="n">
        <v>5</v>
      </c>
      <c r="AB1166" t="inlineStr">
        <is>
          <t>Teknisk beskrivning av platta</t>
        </is>
      </c>
      <c r="AC1166" t="inlineStr">
        <is>
          <t>Teknisk ritning platta</t>
        </is>
      </c>
      <c r="AD1166" t="inlineStr">
        <is>
          <t>Nej</t>
        </is>
      </c>
      <c r="AE1166" t="inlineStr">
        <is>
          <t>Nej</t>
        </is>
      </c>
      <c r="AF1166" t="inlineStr">
        <is>
          <t>Ej behandlad</t>
        </is>
      </c>
      <c r="AG1166" t="inlineStr">
        <is>
          <t>AUTO_GENERERAD. Verifiera citat mot kallfil.</t>
        </is>
      </c>
      <c r="AH1166" t="inlineStr">
        <is>
          <t>MEDIUM</t>
        </is>
      </c>
      <c r="AI1166" t="inlineStr">
        <is>
          <t>AUTO</t>
        </is>
      </c>
      <c r="AJ1166" t="inlineStr">
        <is>
          <t>Nej</t>
        </is>
      </c>
      <c r="AK1166" t="inlineStr"/>
      <c r="AL1166" t="inlineStr"/>
      <c r="AM1166" t="inlineStr"/>
      <c r="AN1166" t="inlineStr"/>
      <c r="AO1166" t="inlineStr">
        <is>
          <t>cmm4yupjv02oncuqwhzi14w7y</t>
        </is>
      </c>
      <c r="AP1166" t="inlineStr">
        <is>
          <t>http://localhost:8787/api/admin/requirements/documents/cmm4yupjv02oncuqwhzi14w7y/view</t>
        </is>
      </c>
      <c r="AQ1166">
        <f>HYPERLÄNK("http://localhost:8787/api/admin/requirements/documents/cmm4yupjv02oncuqwhzi14w7y/view";"Öppna PDF")</f>
        <v/>
      </c>
      <c r="AR1166">
        <f>HYPERLINK("http://localhost:8787/api/admin/requirements/documents/cmm4yupjv02oncuqwhzi14w7y/view","Open PDF")</f>
        <v/>
      </c>
      <c r="AS1166" t="inlineStr">
        <is>
          <t>cmm55w57p0004cuisfrtpqly8</t>
        </is>
      </c>
      <c r="AT1166" t="inlineStr">
        <is>
          <t>cmm4xvu980000cuh4vj0usz09</t>
        </is>
      </c>
      <c r="AU1166" t="inlineStr"/>
      <c r="AV1166" t="inlineStr">
        <is>
          <t>Kommun</t>
        </is>
      </c>
      <c r="AW1166" t="inlineStr"/>
      <c r="AX1166" t="inlineStr">
        <is>
          <t>2026-02</t>
        </is>
      </c>
      <c r="AY1166" t="inlineStr">
        <is>
          <t>Beslut</t>
        </is>
      </c>
      <c r="AZ1166" t="inlineStr">
        <is>
          <t>2026-02-04</t>
        </is>
      </c>
      <c r="BA1166" t="inlineStr">
        <is>
          <t>2.pdf</t>
        </is>
      </c>
      <c r="BB1166" t="inlineStr">
        <is>
          <t>Sv: till registrator</t>
        </is>
      </c>
      <c r="BC1166" t="inlineStr">
        <is>
          <t>AUTO</t>
        </is>
      </c>
      <c r="BD1166" t="inlineStr"/>
      <c r="BE1166" t="inlineStr"/>
      <c r="BF1166" t="inlineStr">
        <is>
          <t>AUTO_GENERERAD. Bekrafta metadata mot kallfil.</t>
        </is>
      </c>
      <c r="BG1166">
        <f>HYPERLINK("C:\Users\jimmy\Desktop\Examens arbete\Kod\Ny mapp\remix_-copy-of-miljöbeslut.se-portal\2.pdf", "Öppna PDF")</f>
        <v/>
      </c>
    </row>
    <row r="1167">
      <c r="A1167" t="inlineStr">
        <is>
          <t>KRAV-AUTO-001166</t>
        </is>
      </c>
      <c r="B1167" t="inlineStr">
        <is>
          <t>ADMIN-INDEX-2026-02-27-00000000125C043F57453246863FE664CAFE6A3F0700950291EA24F0614FB6ACEDB12BF0E31D00000000010C0000950291EA24F0614FB6ACEDB12BF0E31D00002087AE710000</t>
        </is>
      </c>
      <c r="C1167" t="inlineStr">
        <is>
          <t>cmm4yupjv02oncuqwhzi14w7y</t>
        </is>
      </c>
      <c r="D1167" t="inlineStr">
        <is>
          <t>http://localhost:8787/api/admin/requirements/documents/cmm4yupjv02oncuqwhzi14w7y/view</t>
        </is>
      </c>
      <c r="E1167">
        <f>HYPERLÄNK("http://localhost:8787/api/admin/requirements/documents/cmm4yupjv02oncuqwhzi14w7y/view";"Öppna PDF")</f>
        <v/>
      </c>
      <c r="F1167">
        <f>HYPERLINK("http://localhost:8787/api/admin/requirements/documents/cmm4yupjv02oncuqwhzi14w7y/view","Open PDF")</f>
        <v/>
      </c>
      <c r="G1167" t="inlineStr">
        <is>
          <t>cmm55w57p0004cuisfrtpqly8</t>
        </is>
      </c>
      <c r="H1167" t="inlineStr">
        <is>
          <t>Beslutsvillkor</t>
        </is>
      </c>
      <c r="I1167" t="inlineStr">
        <is>
          <t>MiljopaverkanForsiktighet</t>
        </is>
      </c>
      <c r="J1167" t="inlineStr">
        <is>
          <t>Skyddsatgarder</t>
        </is>
      </c>
      <c r="K1167" t="inlineStr">
        <is>
          <t>Avfall kan läggas på en anläggning för mellanlagring under kortare tid än ett år innan det bortskaffas eller upp till tre år innan det återvinns (se 15 kap.</t>
        </is>
      </c>
      <c r="L1167" t="inlineStr">
        <is>
          <t>Avfall kan läggas på en anläggning för mellanlagring under kortare tid än ett år innan det bortskaffas eller upp till tre år innan det återvinns (se 15 kap.</t>
        </is>
      </c>
      <c r="M1167" t="inlineStr">
        <is>
          <t>SKA</t>
        </is>
      </c>
      <c r="N1167" t="inlineStr"/>
      <c r="O1167" t="inlineStr"/>
      <c r="P1167" t="inlineStr"/>
      <c r="Q1167" t="inlineStr"/>
      <c r="R1167" t="inlineStr">
        <is>
          <t>Alltid</t>
        </is>
      </c>
      <c r="S1167" t="inlineStr"/>
      <c r="T1167" t="inlineStr">
        <is>
          <t>222423</t>
        </is>
      </c>
      <c r="U1167" t="inlineStr"/>
      <c r="V1167" t="inlineStr"/>
      <c r="W1167" t="inlineStr">
        <is>
          <t>Nej</t>
        </is>
      </c>
      <c r="X1167" t="inlineStr">
        <is>
          <t>Nej</t>
        </is>
      </c>
      <c r="Y1167" t="inlineStr">
        <is>
          <t>Nej</t>
        </is>
      </c>
      <c r="Z1167" t="inlineStr">
        <is>
          <t>Nej</t>
        </is>
      </c>
      <c r="AA1167" t="n">
        <v>10</v>
      </c>
      <c r="AB1167" t="inlineStr">
        <is>
          <t>Miljopaverkan och forsiktighetsmatt</t>
        </is>
      </c>
      <c r="AC1167" t="inlineStr">
        <is>
          <t>Miljo-PM</t>
        </is>
      </c>
      <c r="AD1167" t="inlineStr">
        <is>
          <t>Nej</t>
        </is>
      </c>
      <c r="AE1167" t="inlineStr">
        <is>
          <t>Nej</t>
        </is>
      </c>
      <c r="AF1167" t="inlineStr">
        <is>
          <t>Ej behandlad</t>
        </is>
      </c>
      <c r="AG1167" t="inlineStr">
        <is>
          <t>AUTO_GENERERAD. Verifiera citat mot kallfil.</t>
        </is>
      </c>
      <c r="AH1167" t="inlineStr">
        <is>
          <t>MEDIUM</t>
        </is>
      </c>
      <c r="AI1167" t="inlineStr">
        <is>
          <t>AUTO</t>
        </is>
      </c>
      <c r="AJ1167" t="inlineStr">
        <is>
          <t>Nej</t>
        </is>
      </c>
      <c r="AK1167" t="inlineStr"/>
      <c r="AL1167" t="inlineStr"/>
      <c r="AM1167" t="inlineStr"/>
      <c r="AN1167" t="inlineStr"/>
      <c r="AO1167" t="inlineStr">
        <is>
          <t>cmm4yupjv02oncuqwhzi14w7y</t>
        </is>
      </c>
      <c r="AP1167" t="inlineStr">
        <is>
          <t>http://localhost:8787/api/admin/requirements/documents/cmm4yupjv02oncuqwhzi14w7y/view</t>
        </is>
      </c>
      <c r="AQ1167">
        <f>HYPERLÄNK("http://localhost:8787/api/admin/requirements/documents/cmm4yupjv02oncuqwhzi14w7y/view";"Öppna PDF")</f>
        <v/>
      </c>
      <c r="AR1167">
        <f>HYPERLINK("http://localhost:8787/api/admin/requirements/documents/cmm4yupjv02oncuqwhzi14w7y/view","Open PDF")</f>
        <v/>
      </c>
      <c r="AS1167" t="inlineStr">
        <is>
          <t>cmm55w57p0004cuisfrtpqly8</t>
        </is>
      </c>
      <c r="AT1167" t="inlineStr">
        <is>
          <t>cmm4xvu980000cuh4vj0usz09</t>
        </is>
      </c>
      <c r="AU1167" t="inlineStr"/>
      <c r="AV1167" t="inlineStr">
        <is>
          <t>Kommun</t>
        </is>
      </c>
      <c r="AW1167" t="inlineStr"/>
      <c r="AX1167" t="inlineStr">
        <is>
          <t>2026-02</t>
        </is>
      </c>
      <c r="AY1167" t="inlineStr">
        <is>
          <t>Beslut</t>
        </is>
      </c>
      <c r="AZ1167" t="inlineStr">
        <is>
          <t>2026-02-04</t>
        </is>
      </c>
      <c r="BA1167" t="inlineStr">
        <is>
          <t>2.pdf</t>
        </is>
      </c>
      <c r="BB1167" t="inlineStr">
        <is>
          <t>Sv: till registrator</t>
        </is>
      </c>
      <c r="BC1167" t="inlineStr">
        <is>
          <t>AUTO</t>
        </is>
      </c>
      <c r="BD1167" t="inlineStr"/>
      <c r="BE1167" t="inlineStr"/>
      <c r="BF1167" t="inlineStr">
        <is>
          <t>AUTO_GENERERAD. Bekrafta metadata mot kallfil.</t>
        </is>
      </c>
      <c r="BG1167">
        <f>HYPERLINK("C:\Users\jimmy\Desktop\Examens arbete\Kod\Ny mapp\remix_-copy-of-miljöbeslut.se-portal\2.pdf", "Öppna PDF")</f>
        <v/>
      </c>
    </row>
    <row r="1168">
      <c r="A1168" t="inlineStr">
        <is>
          <t>KRAV-AUTO-001167</t>
        </is>
      </c>
      <c r="B1168" t="inlineStr">
        <is>
          <t>ADMIN-INDEX-2026-02-27-00000000125C043F57453246863FE664CAFE6A3F0700950291EA24F0614FB6ACEDB12BF0E31D00000000010C0000950291EA24F0614FB6ACEDB12BF0E31D00002087AE720000</t>
        </is>
      </c>
      <c r="C1168" t="inlineStr">
        <is>
          <t>cmm4yupjp02ohcuqwx5giwxd4</t>
        </is>
      </c>
      <c r="D1168" t="inlineStr">
        <is>
          <t>http://localhost:8787/api/admin/requirements/documents/cmm4yupjp02ohcuqwx5giwxd4/view</t>
        </is>
      </c>
      <c r="E1168">
        <f>HYPERLÄNK("http://localhost:8787/api/admin/requirements/documents/cmm4yupjp02ohcuqwx5giwxd4/view";"Öppna PDF")</f>
        <v/>
      </c>
      <c r="F1168">
        <f>HYPERLINK("http://localhost:8787/api/admin/requirements/documents/cmm4yupjp02ohcuqwx5giwxd4/view","Open PDF")</f>
        <v/>
      </c>
      <c r="G1168" t="inlineStr">
        <is>
          <t>cmm55w57p0004cuisfrtpqly8</t>
        </is>
      </c>
      <c r="H1168" t="inlineStr">
        <is>
          <t>Beslutsvillkor</t>
        </is>
      </c>
      <c r="I1168" t="inlineStr">
        <is>
          <t>Ytkonstruktion</t>
        </is>
      </c>
      <c r="J1168" t="inlineStr">
        <is>
          <t>Tat yta</t>
        </is>
      </c>
      <c r="K1168" t="inlineStr">
        <is>
          <t>Vid förvaring utomhus ska avfallet förvaras på en yta som är ogenomsläpplig, invallad och försedd med nederbördsskydd.</t>
        </is>
      </c>
      <c r="L1168" t="inlineStr">
        <is>
          <t>Vid förvaring utomhus ska avfallet förvaras på en yta som är ogenomsläpplig, invallad och försedd med nederbördsskydd.</t>
        </is>
      </c>
      <c r="M1168" t="inlineStr">
        <is>
          <t>SKA</t>
        </is>
      </c>
      <c r="N1168" t="inlineStr"/>
      <c r="O1168" t="inlineStr"/>
      <c r="P1168" t="inlineStr"/>
      <c r="Q1168" t="inlineStr"/>
      <c r="R1168" t="inlineStr">
        <is>
          <t>Vid mellanlagring av avfall</t>
        </is>
      </c>
      <c r="S1168" t="inlineStr"/>
      <c r="T1168" t="inlineStr">
        <is>
          <t>222423</t>
        </is>
      </c>
      <c r="U1168" t="inlineStr"/>
      <c r="V1168" t="inlineStr"/>
      <c r="W1168" t="inlineStr">
        <is>
          <t>Ja</t>
        </is>
      </c>
      <c r="X1168" t="inlineStr">
        <is>
          <t>Nej</t>
        </is>
      </c>
      <c r="Y1168" t="inlineStr">
        <is>
          <t>Nej</t>
        </is>
      </c>
      <c r="Z1168" t="inlineStr">
        <is>
          <t>Nej</t>
        </is>
      </c>
      <c r="AA1168" t="n">
        <v>5</v>
      </c>
      <c r="AB1168" t="inlineStr">
        <is>
          <t>Teknisk beskrivning av platta</t>
        </is>
      </c>
      <c r="AC1168" t="inlineStr">
        <is>
          <t>Teknisk ritning platta</t>
        </is>
      </c>
      <c r="AD1168" t="inlineStr">
        <is>
          <t>Nej</t>
        </is>
      </c>
      <c r="AE1168" t="inlineStr">
        <is>
          <t>Nej</t>
        </is>
      </c>
      <c r="AF1168" t="inlineStr">
        <is>
          <t>Ej behandlad</t>
        </is>
      </c>
      <c r="AG1168" t="inlineStr">
        <is>
          <t>AUTO_GENERERAD. Verifiera citat mot kallfil.</t>
        </is>
      </c>
      <c r="AH1168" t="inlineStr">
        <is>
          <t>MEDIUM</t>
        </is>
      </c>
      <c r="AI1168" t="inlineStr">
        <is>
          <t>AUTO</t>
        </is>
      </c>
      <c r="AJ1168" t="inlineStr">
        <is>
          <t>Nej</t>
        </is>
      </c>
      <c r="AK1168" t="inlineStr"/>
      <c r="AL1168" t="inlineStr"/>
      <c r="AM1168" t="inlineStr"/>
      <c r="AN1168" t="inlineStr"/>
      <c r="AO1168" t="inlineStr">
        <is>
          <t>cmm4yupjp02ohcuqwx5giwxd4</t>
        </is>
      </c>
      <c r="AP1168" t="inlineStr">
        <is>
          <t>http://localhost:8787/api/admin/requirements/documents/cmm4yupjp02ohcuqwx5giwxd4/view</t>
        </is>
      </c>
      <c r="AQ1168">
        <f>HYPERLÄNK("http://localhost:8787/api/admin/requirements/documents/cmm4yupjp02ohcuqwx5giwxd4/view";"Öppna PDF")</f>
        <v/>
      </c>
      <c r="AR1168">
        <f>HYPERLINK("http://localhost:8787/api/admin/requirements/documents/cmm4yupjp02ohcuqwx5giwxd4/view","Open PDF")</f>
        <v/>
      </c>
      <c r="AS1168" t="inlineStr">
        <is>
          <t>cmm55w57p0004cuisfrtpqly8</t>
        </is>
      </c>
      <c r="AT1168" t="inlineStr">
        <is>
          <t>cmm4xvu980000cuh4vj0usz09</t>
        </is>
      </c>
      <c r="AU1168" t="inlineStr"/>
      <c r="AV1168" t="inlineStr">
        <is>
          <t>Kommun</t>
        </is>
      </c>
      <c r="AW1168" t="inlineStr"/>
      <c r="AX1168" t="inlineStr">
        <is>
          <t>2026-02</t>
        </is>
      </c>
      <c r="AY1168" t="inlineStr">
        <is>
          <t>Beslut</t>
        </is>
      </c>
      <c r="AZ1168" t="inlineStr">
        <is>
          <t>2026-02-04</t>
        </is>
      </c>
      <c r="BA1168" t="inlineStr">
        <is>
          <t>2.pdf</t>
        </is>
      </c>
      <c r="BB1168" t="inlineStr">
        <is>
          <t>Sv: till registrator</t>
        </is>
      </c>
      <c r="BC1168" t="inlineStr">
        <is>
          <t>AUTO</t>
        </is>
      </c>
      <c r="BD1168" t="inlineStr"/>
      <c r="BE1168" t="inlineStr"/>
      <c r="BF1168" t="inlineStr">
        <is>
          <t>AUTO_GENERERAD. Bekrafta metadata mot kallfil.</t>
        </is>
      </c>
      <c r="BG1168">
        <f>HYPERLINK("C:\Users\jimmy\Desktop\Examens arbete\Kod\Ny mapp\remix_-copy-of-miljöbeslut.se-portal\2.pdf", "Öppna PDF")</f>
        <v/>
      </c>
    </row>
    <row r="1169">
      <c r="A1169" t="inlineStr">
        <is>
          <t>KRAV-AUTO-001168</t>
        </is>
      </c>
      <c r="B1169" t="inlineStr">
        <is>
          <t>ADMIN-INDEX-2026-02-27-00000000125C043F57453246863FE664CAFE6A3F0700950291EA24F0614FB6ACEDB12BF0E31D00000000010C0000950291EA24F0614FB6ACEDB12BF0E31D00002087AE720000</t>
        </is>
      </c>
      <c r="C1169" t="inlineStr">
        <is>
          <t>cmm4yupjp02ohcuqwx5giwxd4</t>
        </is>
      </c>
      <c r="D1169" t="inlineStr">
        <is>
          <t>http://localhost:8787/api/admin/requirements/documents/cmm4yupjp02ohcuqwx5giwxd4/view</t>
        </is>
      </c>
      <c r="E1169">
        <f>HYPERLÄNK("http://localhost:8787/api/admin/requirements/documents/cmm4yupjp02ohcuqwx5giwxd4/view";"Öppna PDF")</f>
        <v/>
      </c>
      <c r="F1169">
        <f>HYPERLINK("http://localhost:8787/api/admin/requirements/documents/cmm4yupjp02ohcuqwx5giwxd4/view","Open PDF")</f>
        <v/>
      </c>
      <c r="G1169" t="inlineStr">
        <is>
          <t>cmm55w57p0004cuisfrtpqly8</t>
        </is>
      </c>
      <c r="H1169" t="inlineStr">
        <is>
          <t>Beslutsvillkor</t>
        </is>
      </c>
      <c r="I1169" t="inlineStr">
        <is>
          <t>Ytkonstruktion</t>
        </is>
      </c>
      <c r="J1169" t="inlineStr">
        <is>
          <t>Tat yta</t>
        </is>
      </c>
      <c r="K1169" t="inlineStr">
        <is>
          <t>Tänk på att cisterner ska vara stadigt uppställda och inte placeras direkt på marken (korrosionsrisk) och bör förses med invallning och droppskydd.</t>
        </is>
      </c>
      <c r="L1169" t="inlineStr">
        <is>
          <t>Tänk på att cisterner ska vara stadigt uppställda och inte placeras direkt på marken (korrosionsrisk) och bör förses med invallning och droppskydd.</t>
        </is>
      </c>
      <c r="M1169" t="inlineStr">
        <is>
          <t>SKA</t>
        </is>
      </c>
      <c r="N1169" t="inlineStr"/>
      <c r="O1169" t="inlineStr"/>
      <c r="P1169" t="inlineStr"/>
      <c r="Q1169" t="inlineStr"/>
      <c r="R1169" t="inlineStr">
        <is>
          <t>Vid mellanlagring av avfall</t>
        </is>
      </c>
      <c r="S1169" t="inlineStr"/>
      <c r="T1169" t="inlineStr">
        <is>
          <t>222423</t>
        </is>
      </c>
      <c r="U1169" t="inlineStr"/>
      <c r="V1169" t="inlineStr"/>
      <c r="W1169" t="inlineStr">
        <is>
          <t>Ja</t>
        </is>
      </c>
      <c r="X1169" t="inlineStr">
        <is>
          <t>Nej</t>
        </is>
      </c>
      <c r="Y1169" t="inlineStr">
        <is>
          <t>Nej</t>
        </is>
      </c>
      <c r="Z1169" t="inlineStr">
        <is>
          <t>Nej</t>
        </is>
      </c>
      <c r="AA1169" t="n">
        <v>5</v>
      </c>
      <c r="AB1169" t="inlineStr">
        <is>
          <t>Teknisk beskrivning av platta</t>
        </is>
      </c>
      <c r="AC1169" t="inlineStr">
        <is>
          <t>Teknisk ritning platta</t>
        </is>
      </c>
      <c r="AD1169" t="inlineStr">
        <is>
          <t>Nej</t>
        </is>
      </c>
      <c r="AE1169" t="inlineStr">
        <is>
          <t>Nej</t>
        </is>
      </c>
      <c r="AF1169" t="inlineStr">
        <is>
          <t>Ej behandlad</t>
        </is>
      </c>
      <c r="AG1169" t="inlineStr">
        <is>
          <t>AUTO_GENERERAD. Verifiera citat mot kallfil.</t>
        </is>
      </c>
      <c r="AH1169" t="inlineStr">
        <is>
          <t>MEDIUM</t>
        </is>
      </c>
      <c r="AI1169" t="inlineStr">
        <is>
          <t>AUTO</t>
        </is>
      </c>
      <c r="AJ1169" t="inlineStr">
        <is>
          <t>Nej</t>
        </is>
      </c>
      <c r="AK1169" t="inlineStr"/>
      <c r="AL1169" t="inlineStr"/>
      <c r="AM1169" t="inlineStr"/>
      <c r="AN1169" t="inlineStr"/>
      <c r="AO1169" t="inlineStr">
        <is>
          <t>cmm4yupjp02ohcuqwx5giwxd4</t>
        </is>
      </c>
      <c r="AP1169" t="inlineStr">
        <is>
          <t>http://localhost:8787/api/admin/requirements/documents/cmm4yupjp02ohcuqwx5giwxd4/view</t>
        </is>
      </c>
      <c r="AQ1169">
        <f>HYPERLÄNK("http://localhost:8787/api/admin/requirements/documents/cmm4yupjp02ohcuqwx5giwxd4/view";"Öppna PDF")</f>
        <v/>
      </c>
      <c r="AR1169">
        <f>HYPERLINK("http://localhost:8787/api/admin/requirements/documents/cmm4yupjp02ohcuqwx5giwxd4/view","Open PDF")</f>
        <v/>
      </c>
      <c r="AS1169" t="inlineStr">
        <is>
          <t>cmm55w57p0004cuisfrtpqly8</t>
        </is>
      </c>
      <c r="AT1169" t="inlineStr">
        <is>
          <t>cmm4xvu980000cuh4vj0usz09</t>
        </is>
      </c>
      <c r="AU1169" t="inlineStr"/>
      <c r="AV1169" t="inlineStr">
        <is>
          <t>Kommun</t>
        </is>
      </c>
      <c r="AW1169" t="inlineStr"/>
      <c r="AX1169" t="inlineStr">
        <is>
          <t>2026-02</t>
        </is>
      </c>
      <c r="AY1169" t="inlineStr">
        <is>
          <t>Beslut</t>
        </is>
      </c>
      <c r="AZ1169" t="inlineStr">
        <is>
          <t>2026-02-04</t>
        </is>
      </c>
      <c r="BA1169" t="inlineStr">
        <is>
          <t>2.pdf</t>
        </is>
      </c>
      <c r="BB1169" t="inlineStr">
        <is>
          <t>Sv: till registrator</t>
        </is>
      </c>
      <c r="BC1169" t="inlineStr">
        <is>
          <t>AUTO</t>
        </is>
      </c>
      <c r="BD1169" t="inlineStr"/>
      <c r="BE1169" t="inlineStr"/>
      <c r="BF1169" t="inlineStr">
        <is>
          <t>AUTO_GENERERAD. Bekrafta metadata mot kallfil.</t>
        </is>
      </c>
      <c r="BG1169">
        <f>HYPERLINK("C:\Users\jimmy\Desktop\Examens arbete\Kod\Ny mapp\remix_-copy-of-miljöbeslut.se-portal\2.pdf", "Öppna PDF")</f>
        <v/>
      </c>
    </row>
    <row r="1170">
      <c r="A1170" t="inlineStr">
        <is>
          <t>KRAV-AUTO-001169</t>
        </is>
      </c>
      <c r="B1170" t="inlineStr">
        <is>
          <t>ADMIN-INDEX-2026-02-27-00000000125C043F57453246863FE664CAFE6A3F0700950291EA24F0614FB6ACEDB12BF0E31D00000000010C0000950291EA24F0614FB6ACEDB12BF0E31D00002087AE720000</t>
        </is>
      </c>
      <c r="C1170" t="inlineStr">
        <is>
          <t>cmm4yupjp02ohcuqwx5giwxd4</t>
        </is>
      </c>
      <c r="D1170" t="inlineStr">
        <is>
          <t>http://localhost:8787/api/admin/requirements/documents/cmm4yupjp02ohcuqwx5giwxd4/view</t>
        </is>
      </c>
      <c r="E1170">
        <f>HYPERLÄNK("http://localhost:8787/api/admin/requirements/documents/cmm4yupjp02ohcuqwx5giwxd4/view";"Öppna PDF")</f>
        <v/>
      </c>
      <c r="F1170">
        <f>HYPERLINK("http://localhost:8787/api/admin/requirements/documents/cmm4yupjp02ohcuqwx5giwxd4/view","Open PDF")</f>
        <v/>
      </c>
      <c r="G1170" t="inlineStr">
        <is>
          <t>cmm55w57p0004cuisfrtpqly8</t>
        </is>
      </c>
      <c r="H1170" t="inlineStr">
        <is>
          <t>Beslutsvillkor</t>
        </is>
      </c>
      <c r="I1170" t="inlineStr">
        <is>
          <t>MiljopaverkanForsiktighet</t>
        </is>
      </c>
      <c r="J1170" t="inlineStr">
        <is>
          <t>Skyddsatgarder</t>
        </is>
      </c>
      <c r="K1170" t="inlineStr">
        <is>
          <t>Avfall kan läggas på en anläggning för mellanlagring under kortare tid än ett år innan det bortskaffas eller upp till tre år innan det återvinns (se 15 kap.</t>
        </is>
      </c>
      <c r="L1170" t="inlineStr">
        <is>
          <t>Avfall kan läggas på en anläggning för mellanlagring under kortare tid än ett år innan det bortskaffas eller upp till tre år innan det återvinns (se 15 kap.</t>
        </is>
      </c>
      <c r="M1170" t="inlineStr">
        <is>
          <t>SKA</t>
        </is>
      </c>
      <c r="N1170" t="inlineStr"/>
      <c r="O1170" t="inlineStr"/>
      <c r="P1170" t="inlineStr"/>
      <c r="Q1170" t="inlineStr"/>
      <c r="R1170" t="inlineStr">
        <is>
          <t>Alltid</t>
        </is>
      </c>
      <c r="S1170" t="inlineStr"/>
      <c r="T1170" t="inlineStr">
        <is>
          <t>222423</t>
        </is>
      </c>
      <c r="U1170" t="inlineStr"/>
      <c r="V1170" t="inlineStr"/>
      <c r="W1170" t="inlineStr">
        <is>
          <t>Nej</t>
        </is>
      </c>
      <c r="X1170" t="inlineStr">
        <is>
          <t>Nej</t>
        </is>
      </c>
      <c r="Y1170" t="inlineStr">
        <is>
          <t>Nej</t>
        </is>
      </c>
      <c r="Z1170" t="inlineStr">
        <is>
          <t>Nej</t>
        </is>
      </c>
      <c r="AA1170" t="n">
        <v>10</v>
      </c>
      <c r="AB1170" t="inlineStr">
        <is>
          <t>Miljopaverkan och forsiktighetsmatt</t>
        </is>
      </c>
      <c r="AC1170" t="inlineStr">
        <is>
          <t>Miljo-PM</t>
        </is>
      </c>
      <c r="AD1170" t="inlineStr">
        <is>
          <t>Nej</t>
        </is>
      </c>
      <c r="AE1170" t="inlineStr">
        <is>
          <t>Nej</t>
        </is>
      </c>
      <c r="AF1170" t="inlineStr">
        <is>
          <t>Ej behandlad</t>
        </is>
      </c>
      <c r="AG1170" t="inlineStr">
        <is>
          <t>AUTO_GENERERAD. Verifiera citat mot kallfil.</t>
        </is>
      </c>
      <c r="AH1170" t="inlineStr">
        <is>
          <t>MEDIUM</t>
        </is>
      </c>
      <c r="AI1170" t="inlineStr">
        <is>
          <t>AUTO</t>
        </is>
      </c>
      <c r="AJ1170" t="inlineStr">
        <is>
          <t>Nej</t>
        </is>
      </c>
      <c r="AK1170" t="inlineStr"/>
      <c r="AL1170" t="inlineStr"/>
      <c r="AM1170" t="inlineStr"/>
      <c r="AN1170" t="inlineStr"/>
      <c r="AO1170" t="inlineStr">
        <is>
          <t>cmm4yupjp02ohcuqwx5giwxd4</t>
        </is>
      </c>
      <c r="AP1170" t="inlineStr">
        <is>
          <t>http://localhost:8787/api/admin/requirements/documents/cmm4yupjp02ohcuqwx5giwxd4/view</t>
        </is>
      </c>
      <c r="AQ1170">
        <f>HYPERLÄNK("http://localhost:8787/api/admin/requirements/documents/cmm4yupjp02ohcuqwx5giwxd4/view";"Öppna PDF")</f>
        <v/>
      </c>
      <c r="AR1170">
        <f>HYPERLINK("http://localhost:8787/api/admin/requirements/documents/cmm4yupjp02ohcuqwx5giwxd4/view","Open PDF")</f>
        <v/>
      </c>
      <c r="AS1170" t="inlineStr">
        <is>
          <t>cmm55w57p0004cuisfrtpqly8</t>
        </is>
      </c>
      <c r="AT1170" t="inlineStr">
        <is>
          <t>cmm4xvu980000cuh4vj0usz09</t>
        </is>
      </c>
      <c r="AU1170" t="inlineStr"/>
      <c r="AV1170" t="inlineStr">
        <is>
          <t>Kommun</t>
        </is>
      </c>
      <c r="AW1170" t="inlineStr"/>
      <c r="AX1170" t="inlineStr">
        <is>
          <t>2026-02</t>
        </is>
      </c>
      <c r="AY1170" t="inlineStr">
        <is>
          <t>Beslut</t>
        </is>
      </c>
      <c r="AZ1170" t="inlineStr">
        <is>
          <t>2026-02-04</t>
        </is>
      </c>
      <c r="BA1170" t="inlineStr">
        <is>
          <t>2.pdf</t>
        </is>
      </c>
      <c r="BB1170" t="inlineStr">
        <is>
          <t>Sv: till registrator</t>
        </is>
      </c>
      <c r="BC1170" t="inlineStr">
        <is>
          <t>AUTO</t>
        </is>
      </c>
      <c r="BD1170" t="inlineStr"/>
      <c r="BE1170" t="inlineStr"/>
      <c r="BF1170" t="inlineStr">
        <is>
          <t>AUTO_GENERERAD. Bekrafta metadata mot kallfil.</t>
        </is>
      </c>
      <c r="BG1170">
        <f>HYPERLINK("C:\Users\jimmy\Desktop\Examens arbete\Kod\Ny mapp\remix_-copy-of-miljöbeslut.se-portal\2.pdf", "Öppna PDF")</f>
        <v/>
      </c>
    </row>
    <row r="1171">
      <c r="A1171" t="inlineStr">
        <is>
          <t>KRAV-AUTO-001170</t>
        </is>
      </c>
      <c r="B1171" t="inlineStr">
        <is>
          <t>ADMIN-INDEX-2026-02-27-00000000125C043F57453246863FE664CAFE6A3F0700950291EA24F0614FB6ACEDB12BF0E31D00000000010C0000950291EA24F0614FB6ACEDB12BF0E31D00002087AE730000</t>
        </is>
      </c>
      <c r="C1171" t="inlineStr">
        <is>
          <t>cmm4yupji02obcuqwtixc21ni</t>
        </is>
      </c>
      <c r="D1171" t="inlineStr">
        <is>
          <t>http://localhost:8787/api/admin/requirements/documents/cmm4yupji02obcuqwtixc21ni/view</t>
        </is>
      </c>
      <c r="E1171">
        <f>HYPERLÄNK("http://localhost:8787/api/admin/requirements/documents/cmm4yupji02obcuqwtixc21ni/view";"Öppna PDF")</f>
        <v/>
      </c>
      <c r="F1171">
        <f>HYPERLINK("http://localhost:8787/api/admin/requirements/documents/cmm4yupji02obcuqwtixc21ni/view","Open PDF")</f>
        <v/>
      </c>
      <c r="G1171" t="inlineStr">
        <is>
          <t>cmm55w57p0004cuisfrtpqly8</t>
        </is>
      </c>
      <c r="H1171" t="inlineStr">
        <is>
          <t>Beslutsvillkor</t>
        </is>
      </c>
      <c r="I1171" t="inlineStr">
        <is>
          <t>DriftEgenkontroll</t>
        </is>
      </c>
      <c r="J1171" t="inlineStr">
        <is>
          <t>Journalforing</t>
        </is>
      </c>
      <c r="K1171" t="inlineStr">
        <is>
          <t>Ge gärna lite input så skall jag sen börja upprätta en provtagningsplan som du givetvis kommer att delges underhand så vi hittar samsyn om detta.</t>
        </is>
      </c>
      <c r="L1171" t="inlineStr">
        <is>
          <t>Ge gärna lite input så skall jag sen börja upprätta en provtagningsplan som du givetvis kommer att delges underhand så vi hittar samsyn om detta.</t>
        </is>
      </c>
      <c r="M1171" t="inlineStr">
        <is>
          <t>SKA</t>
        </is>
      </c>
      <c r="N1171" t="inlineStr"/>
      <c r="O1171" t="inlineStr"/>
      <c r="P1171" t="inlineStr"/>
      <c r="Q1171" t="inlineStr"/>
      <c r="R1171" t="inlineStr">
        <is>
          <t>Lopande drift</t>
        </is>
      </c>
      <c r="S1171" t="inlineStr"/>
      <c r="T1171" t="inlineStr">
        <is>
          <t>208080</t>
        </is>
      </c>
      <c r="U1171" t="inlineStr"/>
      <c r="V1171" t="inlineStr"/>
      <c r="W1171" t="inlineStr">
        <is>
          <t>Nej</t>
        </is>
      </c>
      <c r="X1171" t="inlineStr">
        <is>
          <t>Nej</t>
        </is>
      </c>
      <c r="Y1171" t="inlineStr">
        <is>
          <t>Ja</t>
        </is>
      </c>
      <c r="Z1171" t="inlineStr">
        <is>
          <t>Nej</t>
        </is>
      </c>
      <c r="AA1171" t="n">
        <v>7</v>
      </c>
      <c r="AB1171" t="inlineStr">
        <is>
          <t>Egenkontrollrutiner</t>
        </is>
      </c>
      <c r="AC1171" t="inlineStr">
        <is>
          <t>Egenkontrollprogram</t>
        </is>
      </c>
      <c r="AD1171" t="inlineStr">
        <is>
          <t>Nej</t>
        </is>
      </c>
      <c r="AE1171" t="inlineStr">
        <is>
          <t>Nej</t>
        </is>
      </c>
      <c r="AF1171" t="inlineStr">
        <is>
          <t>Ej behandlad</t>
        </is>
      </c>
      <c r="AG1171" t="inlineStr">
        <is>
          <t>AUTO_GENERERAD. Verifiera citat mot kallfil.</t>
        </is>
      </c>
      <c r="AH1171" t="inlineStr">
        <is>
          <t>MEDIUM</t>
        </is>
      </c>
      <c r="AI1171" t="inlineStr">
        <is>
          <t>AUTO</t>
        </is>
      </c>
      <c r="AJ1171" t="inlineStr">
        <is>
          <t>Nej</t>
        </is>
      </c>
      <c r="AK1171" t="inlineStr"/>
      <c r="AL1171" t="inlineStr"/>
      <c r="AM1171" t="inlineStr"/>
      <c r="AN1171" t="inlineStr"/>
      <c r="AO1171" t="inlineStr">
        <is>
          <t>cmm4yupji02obcuqwtixc21ni</t>
        </is>
      </c>
      <c r="AP1171" t="inlineStr">
        <is>
          <t>http://localhost:8787/api/admin/requirements/documents/cmm4yupji02obcuqwtixc21ni/view</t>
        </is>
      </c>
      <c r="AQ1171">
        <f>HYPERLÄNK("http://localhost:8787/api/admin/requirements/documents/cmm4yupji02obcuqwtixc21ni/view";"Öppna PDF")</f>
        <v/>
      </c>
      <c r="AR1171">
        <f>HYPERLINK("http://localhost:8787/api/admin/requirements/documents/cmm4yupji02obcuqwtixc21ni/view","Open PDF")</f>
        <v/>
      </c>
      <c r="AS1171" t="inlineStr">
        <is>
          <t>cmm55w57p0004cuisfrtpqly8</t>
        </is>
      </c>
      <c r="AT1171" t="inlineStr">
        <is>
          <t>cmm4xvu980000cuh4vj0usz09</t>
        </is>
      </c>
      <c r="AU1171" t="inlineStr"/>
      <c r="AV1171" t="inlineStr">
        <is>
          <t>Kommun</t>
        </is>
      </c>
      <c r="AW1171" t="inlineStr"/>
      <c r="AX1171" t="inlineStr">
        <is>
          <t>2026-02</t>
        </is>
      </c>
      <c r="AY1171" t="inlineStr">
        <is>
          <t>Beslut</t>
        </is>
      </c>
      <c r="AZ1171" t="inlineStr">
        <is>
          <t>2026-02-04</t>
        </is>
      </c>
      <c r="BA1171" t="inlineStr">
        <is>
          <t>4.pdf</t>
        </is>
      </c>
      <c r="BB1171" t="inlineStr">
        <is>
          <t>Sv: till registrator</t>
        </is>
      </c>
      <c r="BC1171" t="inlineStr">
        <is>
          <t>AUTO</t>
        </is>
      </c>
      <c r="BD1171" t="inlineStr"/>
      <c r="BE1171" t="inlineStr"/>
      <c r="BF1171" t="inlineStr">
        <is>
          <t>AUTO_GENERERAD. Bekrafta metadata mot kallfil.</t>
        </is>
      </c>
      <c r="BG1171">
        <f>HYPERLINK("C:\Users\jimmy\Desktop\Examens arbete\Kod\Ny mapp\remix_-copy-of-miljöbeslut.se-portal\4.pdf", "Öppna PDF")</f>
        <v/>
      </c>
    </row>
    <row r="1172">
      <c r="A1172" t="inlineStr">
        <is>
          <t>KRAV-AUTO-001171</t>
        </is>
      </c>
      <c r="B1172" t="inlineStr">
        <is>
          <t>ADMIN-INDEX-2026-02-27-00000000125C043F57453246863FE664CAFE6A3F0700950291EA24F0614FB6ACEDB12BF0E31D00000000010C0000950291EA24F0614FB6ACEDB12BF0E31D00002087AE730000</t>
        </is>
      </c>
      <c r="C1172" t="inlineStr">
        <is>
          <t>cmm4yupji02obcuqwtixc21ni</t>
        </is>
      </c>
      <c r="D1172" t="inlineStr">
        <is>
          <t>http://localhost:8787/api/admin/requirements/documents/cmm4yupji02obcuqwtixc21ni/view</t>
        </is>
      </c>
      <c r="E1172">
        <f>HYPERLÄNK("http://localhost:8787/api/admin/requirements/documents/cmm4yupji02obcuqwtixc21ni/view";"Öppna PDF")</f>
        <v/>
      </c>
      <c r="F1172">
        <f>HYPERLINK("http://localhost:8787/api/admin/requirements/documents/cmm4yupji02obcuqwtixc21ni/view","Open PDF")</f>
        <v/>
      </c>
      <c r="G1172" t="inlineStr">
        <is>
          <t>cmm55w57p0004cuisfrtpqly8</t>
        </is>
      </c>
      <c r="H1172" t="inlineStr">
        <is>
          <t>Beslutsvillkor</t>
        </is>
      </c>
      <c r="I1172" t="inlineStr">
        <is>
          <t>Ytkonstruktion</t>
        </is>
      </c>
      <c r="J1172" t="inlineStr">
        <is>
          <t>Tat yta</t>
        </is>
      </c>
      <c r="K1172" t="inlineStr">
        <is>
          <t>Krossningen kommer inte att ske på plats utan mtrl kommer att flyttas till en hårdgjord platta (enl länk) där vi har ett upplag för mtrl som skall krossas till bl.a utfyllnad och väg-grus.</t>
        </is>
      </c>
      <c r="L1172" t="inlineStr">
        <is>
          <t>Krossningen kommer inte att ske på plats utan mtrl kommer att flyttas till en hårdgjord platta (enl länk) där vi har ett upplag för mtrl som skall krossas till bl.a utfyllnad och väg-grus.</t>
        </is>
      </c>
      <c r="M1172" t="inlineStr">
        <is>
          <t>SKA</t>
        </is>
      </c>
      <c r="N1172" t="inlineStr"/>
      <c r="O1172" t="inlineStr"/>
      <c r="P1172" t="inlineStr"/>
      <c r="Q1172" t="inlineStr"/>
      <c r="R1172" t="inlineStr">
        <is>
          <t>Vid mellanlagring av avfall</t>
        </is>
      </c>
      <c r="S1172" t="inlineStr"/>
      <c r="T1172" t="inlineStr">
        <is>
          <t>208080</t>
        </is>
      </c>
      <c r="U1172" t="inlineStr"/>
      <c r="V1172" t="inlineStr"/>
      <c r="W1172" t="inlineStr">
        <is>
          <t>Ja</t>
        </is>
      </c>
      <c r="X1172" t="inlineStr">
        <is>
          <t>Nej</t>
        </is>
      </c>
      <c r="Y1172" t="inlineStr">
        <is>
          <t>Nej</t>
        </is>
      </c>
      <c r="Z1172" t="inlineStr">
        <is>
          <t>Nej</t>
        </is>
      </c>
      <c r="AA1172" t="n">
        <v>5</v>
      </c>
      <c r="AB1172" t="inlineStr">
        <is>
          <t>Teknisk beskrivning av platta</t>
        </is>
      </c>
      <c r="AC1172" t="inlineStr">
        <is>
          <t>Teknisk ritning platta</t>
        </is>
      </c>
      <c r="AD1172" t="inlineStr">
        <is>
          <t>Nej</t>
        </is>
      </c>
      <c r="AE1172" t="inlineStr">
        <is>
          <t>Nej</t>
        </is>
      </c>
      <c r="AF1172" t="inlineStr">
        <is>
          <t>Ej behandlad</t>
        </is>
      </c>
      <c r="AG1172" t="inlineStr">
        <is>
          <t>AUTO_GENERERAD. Verifiera citat mot kallfil.</t>
        </is>
      </c>
      <c r="AH1172" t="inlineStr">
        <is>
          <t>MEDIUM</t>
        </is>
      </c>
      <c r="AI1172" t="inlineStr">
        <is>
          <t>AUTO</t>
        </is>
      </c>
      <c r="AJ1172" t="inlineStr">
        <is>
          <t>Nej</t>
        </is>
      </c>
      <c r="AK1172" t="inlineStr"/>
      <c r="AL1172" t="inlineStr"/>
      <c r="AM1172" t="inlineStr"/>
      <c r="AN1172" t="inlineStr"/>
      <c r="AO1172" t="inlineStr">
        <is>
          <t>cmm4yupji02obcuqwtixc21ni</t>
        </is>
      </c>
      <c r="AP1172" t="inlineStr">
        <is>
          <t>http://localhost:8787/api/admin/requirements/documents/cmm4yupji02obcuqwtixc21ni/view</t>
        </is>
      </c>
      <c r="AQ1172">
        <f>HYPERLÄNK("http://localhost:8787/api/admin/requirements/documents/cmm4yupji02obcuqwtixc21ni/view";"Öppna PDF")</f>
        <v/>
      </c>
      <c r="AR1172">
        <f>HYPERLINK("http://localhost:8787/api/admin/requirements/documents/cmm4yupji02obcuqwtixc21ni/view","Open PDF")</f>
        <v/>
      </c>
      <c r="AS1172" t="inlineStr">
        <is>
          <t>cmm55w57p0004cuisfrtpqly8</t>
        </is>
      </c>
      <c r="AT1172" t="inlineStr">
        <is>
          <t>cmm4xvu980000cuh4vj0usz09</t>
        </is>
      </c>
      <c r="AU1172" t="inlineStr"/>
      <c r="AV1172" t="inlineStr">
        <is>
          <t>Kommun</t>
        </is>
      </c>
      <c r="AW1172" t="inlineStr"/>
      <c r="AX1172" t="inlineStr">
        <is>
          <t>2026-02</t>
        </is>
      </c>
      <c r="AY1172" t="inlineStr">
        <is>
          <t>Beslut</t>
        </is>
      </c>
      <c r="AZ1172" t="inlineStr">
        <is>
          <t>2026-02-04</t>
        </is>
      </c>
      <c r="BA1172" t="inlineStr">
        <is>
          <t>4.pdf</t>
        </is>
      </c>
      <c r="BB1172" t="inlineStr">
        <is>
          <t>Sv: till registrator</t>
        </is>
      </c>
      <c r="BC1172" t="inlineStr">
        <is>
          <t>AUTO</t>
        </is>
      </c>
      <c r="BD1172" t="inlineStr"/>
      <c r="BE1172" t="inlineStr"/>
      <c r="BF1172" t="inlineStr">
        <is>
          <t>AUTO_GENERERAD. Bekrafta metadata mot kallfil.</t>
        </is>
      </c>
      <c r="BG1172">
        <f>HYPERLINK("C:\Users\jimmy\Desktop\Examens arbete\Kod\Ny mapp\remix_-copy-of-miljöbeslut.se-portal\4.pdf", "Öppna PDF")</f>
        <v/>
      </c>
    </row>
    <row r="1173">
      <c r="A1173" t="inlineStr">
        <is>
          <t>KRAV-AUTO-001172</t>
        </is>
      </c>
      <c r="B1173" t="inlineStr">
        <is>
          <t>ADMIN-INDEX-2026-02-27-00000000125C043F57453246863FE664CAFE6A3F0700950291EA24F0614FB6ACEDB12BF0E31D00000000010C0000950291EA24F0614FB6ACEDB12BF0E31D00002087AE730000</t>
        </is>
      </c>
      <c r="C1173" t="inlineStr">
        <is>
          <t>cmm4yupji02obcuqwtixc21ni</t>
        </is>
      </c>
      <c r="D1173" t="inlineStr">
        <is>
          <t>http://localhost:8787/api/admin/requirements/documents/cmm4yupji02obcuqwtixc21ni/view</t>
        </is>
      </c>
      <c r="E1173">
        <f>HYPERLÄNK("http://localhost:8787/api/admin/requirements/documents/cmm4yupji02obcuqwtixc21ni/view";"Öppna PDF")</f>
        <v/>
      </c>
      <c r="F1173">
        <f>HYPERLINK("http://localhost:8787/api/admin/requirements/documents/cmm4yupji02obcuqwtixc21ni/view","Open PDF")</f>
        <v/>
      </c>
      <c r="G1173" t="inlineStr">
        <is>
          <t>cmm55w57p0004cuisfrtpqly8</t>
        </is>
      </c>
      <c r="H1173" t="inlineStr">
        <is>
          <t>Beslutsvillkor</t>
        </is>
      </c>
      <c r="I1173" t="inlineStr">
        <is>
          <t>DriftEgenkontroll</t>
        </is>
      </c>
      <c r="J1173" t="inlineStr">
        <is>
          <t>Journalforing</t>
        </is>
      </c>
      <c r="K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3" t="inlineStr">
        <is>
          <t>SKA</t>
        </is>
      </c>
      <c r="N1173" t="inlineStr"/>
      <c r="O1173" t="inlineStr"/>
      <c r="P1173" t="inlineStr"/>
      <c r="Q1173" t="inlineStr"/>
      <c r="R1173" t="inlineStr">
        <is>
          <t>Lopande drift</t>
        </is>
      </c>
      <c r="S1173" t="inlineStr"/>
      <c r="T1173" t="inlineStr">
        <is>
          <t>208080</t>
        </is>
      </c>
      <c r="U1173" t="inlineStr"/>
      <c r="V1173" t="inlineStr"/>
      <c r="W1173" t="inlineStr">
        <is>
          <t>Nej</t>
        </is>
      </c>
      <c r="X1173" t="inlineStr">
        <is>
          <t>Nej</t>
        </is>
      </c>
      <c r="Y1173" t="inlineStr">
        <is>
          <t>Ja</t>
        </is>
      </c>
      <c r="Z1173" t="inlineStr">
        <is>
          <t>Nej</t>
        </is>
      </c>
      <c r="AA1173" t="n">
        <v>7</v>
      </c>
      <c r="AB1173" t="inlineStr">
        <is>
          <t>Egenkontrollrutiner</t>
        </is>
      </c>
      <c r="AC1173" t="inlineStr">
        <is>
          <t>Egenkontrollprogram</t>
        </is>
      </c>
      <c r="AD1173" t="inlineStr">
        <is>
          <t>Nej</t>
        </is>
      </c>
      <c r="AE1173" t="inlineStr">
        <is>
          <t>Nej</t>
        </is>
      </c>
      <c r="AF1173" t="inlineStr">
        <is>
          <t>Ej behandlad</t>
        </is>
      </c>
      <c r="AG1173" t="inlineStr">
        <is>
          <t>AUTO_GENERERAD. Verifiera citat mot kallfil.</t>
        </is>
      </c>
      <c r="AH1173" t="inlineStr">
        <is>
          <t>MEDIUM</t>
        </is>
      </c>
      <c r="AI1173" t="inlineStr">
        <is>
          <t>AUTO</t>
        </is>
      </c>
      <c r="AJ1173" t="inlineStr">
        <is>
          <t>Nej</t>
        </is>
      </c>
      <c r="AK1173" t="inlineStr"/>
      <c r="AL1173" t="inlineStr"/>
      <c r="AM1173" t="inlineStr"/>
      <c r="AN1173" t="inlineStr"/>
      <c r="AO1173" t="inlineStr">
        <is>
          <t>cmm4yupji02obcuqwtixc21ni</t>
        </is>
      </c>
      <c r="AP1173" t="inlineStr">
        <is>
          <t>http://localhost:8787/api/admin/requirements/documents/cmm4yupji02obcuqwtixc21ni/view</t>
        </is>
      </c>
      <c r="AQ1173">
        <f>HYPERLÄNK("http://localhost:8787/api/admin/requirements/documents/cmm4yupji02obcuqwtixc21ni/view";"Öppna PDF")</f>
        <v/>
      </c>
      <c r="AR1173">
        <f>HYPERLINK("http://localhost:8787/api/admin/requirements/documents/cmm4yupji02obcuqwtixc21ni/view","Open PDF")</f>
        <v/>
      </c>
      <c r="AS1173" t="inlineStr">
        <is>
          <t>cmm55w57p0004cuisfrtpqly8</t>
        </is>
      </c>
      <c r="AT1173" t="inlineStr">
        <is>
          <t>cmm4xvu980000cuh4vj0usz09</t>
        </is>
      </c>
      <c r="AU1173" t="inlineStr"/>
      <c r="AV1173" t="inlineStr">
        <is>
          <t>Kommun</t>
        </is>
      </c>
      <c r="AW1173" t="inlineStr"/>
      <c r="AX1173" t="inlineStr">
        <is>
          <t>2026-02</t>
        </is>
      </c>
      <c r="AY1173" t="inlineStr">
        <is>
          <t>Beslut</t>
        </is>
      </c>
      <c r="AZ1173" t="inlineStr">
        <is>
          <t>2026-02-04</t>
        </is>
      </c>
      <c r="BA1173" t="inlineStr">
        <is>
          <t>4.pdf</t>
        </is>
      </c>
      <c r="BB1173" t="inlineStr">
        <is>
          <t>Sv: till registrator</t>
        </is>
      </c>
      <c r="BC1173" t="inlineStr">
        <is>
          <t>AUTO</t>
        </is>
      </c>
      <c r="BD1173" t="inlineStr"/>
      <c r="BE1173" t="inlineStr"/>
      <c r="BF1173" t="inlineStr">
        <is>
          <t>AUTO_GENERERAD. Bekrafta metadata mot kallfil.</t>
        </is>
      </c>
      <c r="BG1173">
        <f>HYPERLINK("C:\Users\jimmy\Desktop\Examens arbete\Kod\Ny mapp\remix_-copy-of-miljöbeslut.se-portal\4.pdf", "Öppna PDF")</f>
        <v/>
      </c>
    </row>
    <row r="1174">
      <c r="A1174" t="inlineStr">
        <is>
          <t>KRAV-AUTO-001173</t>
        </is>
      </c>
      <c r="B1174" t="inlineStr">
        <is>
          <t>ADMIN-INDEX-2026-02-27-00000000125C043F57453246863FE664CAFE6A3F0700950291EA24F0614FB6ACEDB12BF0E31D00000000010C0000950291EA24F0614FB6ACEDB12BF0E31D00002087AE730000</t>
        </is>
      </c>
      <c r="C1174" t="inlineStr">
        <is>
          <t>cmm4yupjf02o8cuqw0rqdugbm</t>
        </is>
      </c>
      <c r="D1174" t="inlineStr">
        <is>
          <t>http://localhost:8787/api/admin/requirements/documents/cmm4yupjf02o8cuqw0rqdugbm/view</t>
        </is>
      </c>
      <c r="E1174">
        <f>HYPERLÄNK("http://localhost:8787/api/admin/requirements/documents/cmm4yupjf02o8cuqw0rqdugbm/view";"Öppna PDF")</f>
        <v/>
      </c>
      <c r="F1174">
        <f>HYPERLINK("http://localhost:8787/api/admin/requirements/documents/cmm4yupjf02o8cuqw0rqdugbm/view","Open PDF")</f>
        <v/>
      </c>
      <c r="G1174" t="inlineStr">
        <is>
          <t>cmm55w57p0004cuisfrtpqly8</t>
        </is>
      </c>
      <c r="H1174" t="inlineStr">
        <is>
          <t>Beslutsvillkor</t>
        </is>
      </c>
      <c r="I1174" t="inlineStr">
        <is>
          <t>DagvattenLakvatten</t>
        </is>
      </c>
      <c r="J1174" t="inlineStr">
        <is>
          <t>Uppsamling</t>
        </is>
      </c>
      <c r="K1174" t="inlineStr">
        <is>
          <t>Invallningarnas uppsamlingsvolym ska minst motsvara den största behållarens volym plus 10% av övriga behållares volym.</t>
        </is>
      </c>
      <c r="L1174" t="inlineStr">
        <is>
          <t>Invallningarnas uppsamlingsvolym ska minst motsvara den största behållarens volym plus 10% av övriga behållares volym.</t>
        </is>
      </c>
      <c r="M1174" t="inlineStr">
        <is>
          <t>SKA</t>
        </is>
      </c>
      <c r="N1174" t="inlineStr"/>
      <c r="O1174" t="inlineStr"/>
      <c r="P1174" t="inlineStr"/>
      <c r="Q1174" t="inlineStr"/>
      <c r="R1174" t="inlineStr">
        <is>
          <t>Vid nederbord och avrinning</t>
        </is>
      </c>
      <c r="S1174" t="inlineStr"/>
      <c r="T1174" t="inlineStr">
        <is>
          <t>212754</t>
        </is>
      </c>
      <c r="U1174" t="inlineStr"/>
      <c r="V1174" t="inlineStr"/>
      <c r="W1174" t="inlineStr">
        <is>
          <t>Nej</t>
        </is>
      </c>
      <c r="X1174" t="inlineStr">
        <is>
          <t>Ja</t>
        </is>
      </c>
      <c r="Y1174" t="inlineStr">
        <is>
          <t>Ja</t>
        </is>
      </c>
      <c r="Z1174" t="inlineStr">
        <is>
          <t>Nej</t>
        </is>
      </c>
      <c r="AA1174" t="n">
        <v>6</v>
      </c>
      <c r="AB1174" t="inlineStr">
        <is>
          <t>Lakvattenhantering</t>
        </is>
      </c>
      <c r="AC1174" t="inlineStr">
        <is>
          <t>Flodesschema dagvatten-lakvatten</t>
        </is>
      </c>
      <c r="AD1174" t="inlineStr">
        <is>
          <t>Nej</t>
        </is>
      </c>
      <c r="AE1174" t="inlineStr">
        <is>
          <t>Nej</t>
        </is>
      </c>
      <c r="AF1174" t="inlineStr">
        <is>
          <t>Ej behandlad</t>
        </is>
      </c>
      <c r="AG1174" t="inlineStr">
        <is>
          <t>AUTO_GENERERAD. Verifiera citat mot kallfil.</t>
        </is>
      </c>
      <c r="AH1174" t="inlineStr">
        <is>
          <t>MEDIUM</t>
        </is>
      </c>
      <c r="AI1174" t="inlineStr">
        <is>
          <t>AUTO</t>
        </is>
      </c>
      <c r="AJ1174" t="inlineStr">
        <is>
          <t>Nej</t>
        </is>
      </c>
      <c r="AK1174" t="inlineStr"/>
      <c r="AL1174" t="inlineStr"/>
      <c r="AM1174" t="inlineStr"/>
      <c r="AN1174" t="inlineStr"/>
      <c r="AO1174" t="inlineStr">
        <is>
          <t>cmm4yupji02obcuqwtixc21ni</t>
        </is>
      </c>
      <c r="AP1174" t="inlineStr">
        <is>
          <t>http://localhost:8787/api/admin/requirements/documents/cmm4yupji02obcuqwtixc21ni/view</t>
        </is>
      </c>
      <c r="AQ1174">
        <f>HYPERLÄNK("http://localhost:8787/api/admin/requirements/documents/cmm4yupji02obcuqwtixc21ni/view";"Öppna PDF")</f>
        <v/>
      </c>
      <c r="AR1174">
        <f>HYPERLINK("http://localhost:8787/api/admin/requirements/documents/cmm4yupji02obcuqwtixc21ni/view","Open PDF")</f>
        <v/>
      </c>
      <c r="AS1174" t="inlineStr">
        <is>
          <t>cmm55w57p0004cuisfrtpqly8</t>
        </is>
      </c>
      <c r="AT1174" t="inlineStr">
        <is>
          <t>cmm4xvu980000cuh4vj0usz09</t>
        </is>
      </c>
      <c r="AU1174" t="inlineStr"/>
      <c r="AV1174" t="inlineStr">
        <is>
          <t>Kommun</t>
        </is>
      </c>
      <c r="AW1174" t="inlineStr"/>
      <c r="AX1174" t="inlineStr">
        <is>
          <t>2026-02</t>
        </is>
      </c>
      <c r="AY1174" t="inlineStr">
        <is>
          <t>Beslut</t>
        </is>
      </c>
      <c r="AZ1174" t="inlineStr">
        <is>
          <t>2026-02-04</t>
        </is>
      </c>
      <c r="BA1174" t="inlineStr">
        <is>
          <t>4.pdf</t>
        </is>
      </c>
      <c r="BB1174" t="inlineStr">
        <is>
          <t>Sv: till registrator</t>
        </is>
      </c>
      <c r="BC1174" t="inlineStr">
        <is>
          <t>AUTO</t>
        </is>
      </c>
      <c r="BD1174" t="inlineStr"/>
      <c r="BE1174" t="inlineStr"/>
      <c r="BF1174" t="inlineStr">
        <is>
          <t>AUTO_GENERERAD. Bekrafta metadata mot kallfil.</t>
        </is>
      </c>
      <c r="BG1174">
        <f>HYPERLINK("C:\Users\jimmy\Desktop\Examens arbete\Kod\Ny mapp\remix_-copy-of-miljöbeslut.se-portal\4.pdf", "Öppna PDF")</f>
        <v/>
      </c>
    </row>
    <row r="1175">
      <c r="A1175" t="inlineStr">
        <is>
          <t>KRAV-AUTO-001174</t>
        </is>
      </c>
      <c r="B1175" t="inlineStr">
        <is>
          <t>ADMIN-INDEX-2026-02-27-00000000125C043F57453246863FE664CAFE6A3F0700950291EA24F0614FB6ACEDB12BF0E31D00000000010C0000950291EA24F0614FB6ACEDB12BF0E31D00002087AE730000</t>
        </is>
      </c>
      <c r="C1175" t="inlineStr">
        <is>
          <t>cmm4yupjf02o8cuqw0rqdugbm</t>
        </is>
      </c>
      <c r="D1175" t="inlineStr">
        <is>
          <t>http://localhost:8787/api/admin/requirements/documents/cmm4yupjf02o8cuqw0rqdugbm/view</t>
        </is>
      </c>
      <c r="E1175">
        <f>HYPERLÄNK("http://localhost:8787/api/admin/requirements/documents/cmm4yupjf02o8cuqw0rqdugbm/view";"Öppna PDF")</f>
        <v/>
      </c>
      <c r="F1175">
        <f>HYPERLINK("http://localhost:8787/api/admin/requirements/documents/cmm4yupjf02o8cuqw0rqdugbm/view","Open PDF")</f>
        <v/>
      </c>
      <c r="G1175" t="inlineStr">
        <is>
          <t>cmm55w57p0004cuisfrtpqly8</t>
        </is>
      </c>
      <c r="H1175" t="inlineStr">
        <is>
          <t>Beslutsvillkor</t>
        </is>
      </c>
      <c r="I1175" t="inlineStr">
        <is>
          <t>Ytkonstruktion</t>
        </is>
      </c>
      <c r="J1175" t="inlineStr">
        <is>
          <t>Tat yta</t>
        </is>
      </c>
      <c r="K1175" t="inlineStr">
        <is>
          <t>Förvaringen av flytande kemiska produkter och farligt avfall ska ske på ogenomsläpplig invallad yta alternativt i dubbelmantlade behållare.</t>
        </is>
      </c>
      <c r="L1175" t="inlineStr">
        <is>
          <t>Förvaringen av flytande kemiska produkter och farligt avfall ska ske på ogenomsläpplig invallad yta alternativt i dubbelmantlade behållare.</t>
        </is>
      </c>
      <c r="M1175" t="inlineStr">
        <is>
          <t>SKA</t>
        </is>
      </c>
      <c r="N1175" t="inlineStr"/>
      <c r="O1175" t="inlineStr"/>
      <c r="P1175" t="inlineStr">
        <is>
          <t>Arlig</t>
        </is>
      </c>
      <c r="Q1175" t="inlineStr"/>
      <c r="R1175" t="inlineStr">
        <is>
          <t>Vid mellanlagring av avfall</t>
        </is>
      </c>
      <c r="S1175" t="inlineStr"/>
      <c r="T1175" t="inlineStr">
        <is>
          <t>212754</t>
        </is>
      </c>
      <c r="U1175" t="inlineStr"/>
      <c r="V1175" t="inlineStr"/>
      <c r="W1175" t="inlineStr">
        <is>
          <t>Ja</t>
        </is>
      </c>
      <c r="X1175" t="inlineStr">
        <is>
          <t>Nej</t>
        </is>
      </c>
      <c r="Y1175" t="inlineStr">
        <is>
          <t>Nej</t>
        </is>
      </c>
      <c r="Z1175" t="inlineStr">
        <is>
          <t>Nej</t>
        </is>
      </c>
      <c r="AA1175" t="n">
        <v>5</v>
      </c>
      <c r="AB1175" t="inlineStr">
        <is>
          <t>Teknisk beskrivning av platta</t>
        </is>
      </c>
      <c r="AC1175" t="inlineStr">
        <is>
          <t>Teknisk ritning platta</t>
        </is>
      </c>
      <c r="AD1175" t="inlineStr">
        <is>
          <t>Nej</t>
        </is>
      </c>
      <c r="AE1175" t="inlineStr">
        <is>
          <t>Nej</t>
        </is>
      </c>
      <c r="AF1175" t="inlineStr">
        <is>
          <t>Ej behandlad</t>
        </is>
      </c>
      <c r="AG1175" t="inlineStr">
        <is>
          <t>AUTO_GENERERAD. Verifiera citat mot kallfil.</t>
        </is>
      </c>
      <c r="AH1175" t="inlineStr">
        <is>
          <t>MEDIUM</t>
        </is>
      </c>
      <c r="AI1175" t="inlineStr">
        <is>
          <t>AUTO</t>
        </is>
      </c>
      <c r="AJ1175" t="inlineStr">
        <is>
          <t>Nej</t>
        </is>
      </c>
      <c r="AK1175" t="inlineStr"/>
      <c r="AL1175" t="inlineStr"/>
      <c r="AM1175" t="inlineStr"/>
      <c r="AN1175" t="inlineStr"/>
      <c r="AO1175" t="inlineStr">
        <is>
          <t>cmm4yupji02obcuqwtixc21ni</t>
        </is>
      </c>
      <c r="AP1175" t="inlineStr">
        <is>
          <t>http://localhost:8787/api/admin/requirements/documents/cmm4yupji02obcuqwtixc21ni/view</t>
        </is>
      </c>
      <c r="AQ1175">
        <f>HYPERLÄNK("http://localhost:8787/api/admin/requirements/documents/cmm4yupji02obcuqwtixc21ni/view";"Öppna PDF")</f>
        <v/>
      </c>
      <c r="AR1175">
        <f>HYPERLINK("http://localhost:8787/api/admin/requirements/documents/cmm4yupji02obcuqwtixc21ni/view","Open PDF")</f>
        <v/>
      </c>
      <c r="AS1175" t="inlineStr">
        <is>
          <t>cmm55w57p0004cuisfrtpqly8</t>
        </is>
      </c>
      <c r="AT1175" t="inlineStr">
        <is>
          <t>cmm4xvu980000cuh4vj0usz09</t>
        </is>
      </c>
      <c r="AU1175" t="inlineStr"/>
      <c r="AV1175" t="inlineStr">
        <is>
          <t>Kommun</t>
        </is>
      </c>
      <c r="AW1175" t="inlineStr"/>
      <c r="AX1175" t="inlineStr">
        <is>
          <t>2026-02</t>
        </is>
      </c>
      <c r="AY1175" t="inlineStr">
        <is>
          <t>Beslut</t>
        </is>
      </c>
      <c r="AZ1175" t="inlineStr">
        <is>
          <t>2026-02-04</t>
        </is>
      </c>
      <c r="BA1175" t="inlineStr">
        <is>
          <t>4.pdf</t>
        </is>
      </c>
      <c r="BB1175" t="inlineStr">
        <is>
          <t>Sv: till registrator</t>
        </is>
      </c>
      <c r="BC1175" t="inlineStr">
        <is>
          <t>AUTO</t>
        </is>
      </c>
      <c r="BD1175" t="inlineStr"/>
      <c r="BE1175" t="inlineStr"/>
      <c r="BF1175" t="inlineStr">
        <is>
          <t>AUTO_GENERERAD. Bekrafta metadata mot kallfil.</t>
        </is>
      </c>
      <c r="BG1175">
        <f>HYPERLINK("C:\Users\jimmy\Desktop\Examens arbete\Kod\Ny mapp\remix_-copy-of-miljöbeslut.se-portal\4.pdf", "Öppna PDF")</f>
        <v/>
      </c>
    </row>
    <row r="1176">
      <c r="A1176" t="inlineStr">
        <is>
          <t>KRAV-AUTO-001175</t>
        </is>
      </c>
      <c r="B1176" t="inlineStr">
        <is>
          <t>ADMIN-INDEX-2026-02-27-00000000125C043F57453246863FE664CAFE6A3F0700950291EA24F0614FB6ACEDB12BF0E31D00000000010C0000950291EA24F0614FB6ACEDB12BF0E31D00002087AE730000</t>
        </is>
      </c>
      <c r="C1176" t="inlineStr">
        <is>
          <t>cmm4yupjf02o8cuqw0rqdugbm</t>
        </is>
      </c>
      <c r="D1176" t="inlineStr">
        <is>
          <t>http://localhost:8787/api/admin/requirements/documents/cmm4yupjf02o8cuqw0rqdugbm/view</t>
        </is>
      </c>
      <c r="E1176">
        <f>HYPERLÄNK("http://localhost:8787/api/admin/requirements/documents/cmm4yupjf02o8cuqw0rqdugbm/view";"Öppna PDF")</f>
        <v/>
      </c>
      <c r="F1176">
        <f>HYPERLINK("http://localhost:8787/api/admin/requirements/documents/cmm4yupjf02o8cuqw0rqdugbm/view","Open PDF")</f>
        <v/>
      </c>
      <c r="G1176" t="inlineStr">
        <is>
          <t>cmm55w57p0004cuisfrtpqly8</t>
        </is>
      </c>
      <c r="H1176" t="inlineStr">
        <is>
          <t>Beslutsvillkor</t>
        </is>
      </c>
      <c r="I1176" t="inlineStr">
        <is>
          <t>DriftEgenkontroll</t>
        </is>
      </c>
      <c r="J1176" t="inlineStr">
        <is>
          <t>Journalforing</t>
        </is>
      </c>
      <c r="K1176" t="inlineStr">
        <is>
          <t>Av rutinen ska det framgå hur riskbedömningen ska göras, när och hur provtagning ska ske, hur journalföring ska gå till, vem som ansvarar för kontrollerna samt hur ni säkerställer att det finns en spårbarhet i masshanteringen.</t>
        </is>
      </c>
      <c r="L1176" t="inlineStr">
        <is>
          <t>Av rutinen ska det framgå hur riskbedömningen ska göras, när och hur provtagning ska ske, hur journalföring ska gå till, vem som ansvarar för kontrollerna samt hur ni säkerställer att det finns en spårbarhet i masshanteringen.</t>
        </is>
      </c>
      <c r="M1176" t="inlineStr">
        <is>
          <t>SKA</t>
        </is>
      </c>
      <c r="N1176" t="inlineStr"/>
      <c r="O1176" t="inlineStr"/>
      <c r="P1176" t="inlineStr"/>
      <c r="Q1176" t="inlineStr"/>
      <c r="R1176" t="inlineStr">
        <is>
          <t>Lopande drift</t>
        </is>
      </c>
      <c r="S1176" t="inlineStr"/>
      <c r="T1176" t="inlineStr">
        <is>
          <t>212754</t>
        </is>
      </c>
      <c r="U1176" t="inlineStr"/>
      <c r="V1176" t="inlineStr"/>
      <c r="W1176" t="inlineStr">
        <is>
          <t>Nej</t>
        </is>
      </c>
      <c r="X1176" t="inlineStr">
        <is>
          <t>Nej</t>
        </is>
      </c>
      <c r="Y1176" t="inlineStr">
        <is>
          <t>Ja</t>
        </is>
      </c>
      <c r="Z1176" t="inlineStr">
        <is>
          <t>Nej</t>
        </is>
      </c>
      <c r="AA1176" t="n">
        <v>7</v>
      </c>
      <c r="AB1176" t="inlineStr">
        <is>
          <t>Egenkontrollrutiner</t>
        </is>
      </c>
      <c r="AC1176" t="inlineStr">
        <is>
          <t>Egenkontrollprogram</t>
        </is>
      </c>
      <c r="AD1176" t="inlineStr">
        <is>
          <t>Nej</t>
        </is>
      </c>
      <c r="AE1176" t="inlineStr">
        <is>
          <t>Nej</t>
        </is>
      </c>
      <c r="AF1176" t="inlineStr">
        <is>
          <t>Ej behandlad</t>
        </is>
      </c>
      <c r="AG1176" t="inlineStr">
        <is>
          <t>AUTO_GENERERAD. Verifiera citat mot kallfil.</t>
        </is>
      </c>
      <c r="AH1176" t="inlineStr">
        <is>
          <t>MEDIUM</t>
        </is>
      </c>
      <c r="AI1176" t="inlineStr">
        <is>
          <t>AUTO</t>
        </is>
      </c>
      <c r="AJ1176" t="inlineStr">
        <is>
          <t>Nej</t>
        </is>
      </c>
      <c r="AK1176" t="inlineStr"/>
      <c r="AL1176" t="inlineStr"/>
      <c r="AM1176" t="inlineStr"/>
      <c r="AN1176" t="inlineStr"/>
      <c r="AO1176" t="inlineStr">
        <is>
          <t>cmm4yupji02obcuqwtixc21ni</t>
        </is>
      </c>
      <c r="AP1176" t="inlineStr">
        <is>
          <t>http://localhost:8787/api/admin/requirements/documents/cmm4yupji02obcuqwtixc21ni/view</t>
        </is>
      </c>
      <c r="AQ1176">
        <f>HYPERLÄNK("http://localhost:8787/api/admin/requirements/documents/cmm4yupji02obcuqwtixc21ni/view";"Öppna PDF")</f>
        <v/>
      </c>
      <c r="AR1176">
        <f>HYPERLINK("http://localhost:8787/api/admin/requirements/documents/cmm4yupji02obcuqwtixc21ni/view","Open PDF")</f>
        <v/>
      </c>
      <c r="AS1176" t="inlineStr">
        <is>
          <t>cmm55w57p0004cuisfrtpqly8</t>
        </is>
      </c>
      <c r="AT1176" t="inlineStr">
        <is>
          <t>cmm4xvu980000cuh4vj0usz09</t>
        </is>
      </c>
      <c r="AU1176" t="inlineStr"/>
      <c r="AV1176" t="inlineStr">
        <is>
          <t>Kommun</t>
        </is>
      </c>
      <c r="AW1176" t="inlineStr"/>
      <c r="AX1176" t="inlineStr">
        <is>
          <t>2026-02</t>
        </is>
      </c>
      <c r="AY1176" t="inlineStr">
        <is>
          <t>Beslut</t>
        </is>
      </c>
      <c r="AZ1176" t="inlineStr">
        <is>
          <t>2026-02-04</t>
        </is>
      </c>
      <c r="BA1176" t="inlineStr">
        <is>
          <t>4.pdf</t>
        </is>
      </c>
      <c r="BB1176" t="inlineStr">
        <is>
          <t>Sv: till registrator</t>
        </is>
      </c>
      <c r="BC1176" t="inlineStr">
        <is>
          <t>AUTO</t>
        </is>
      </c>
      <c r="BD1176" t="inlineStr"/>
      <c r="BE1176" t="inlineStr"/>
      <c r="BF1176" t="inlineStr">
        <is>
          <t>AUTO_GENERERAD. Bekrafta metadata mot kallfil.</t>
        </is>
      </c>
      <c r="BG1176">
        <f>HYPERLINK("C:\Users\jimmy\Desktop\Examens arbete\Kod\Ny mapp\remix_-copy-of-miljöbeslut.se-portal\4.pdf", "Öppna PDF")</f>
        <v/>
      </c>
    </row>
    <row r="1177">
      <c r="A1177" t="inlineStr">
        <is>
          <t>KRAV-AUTO-001176</t>
        </is>
      </c>
      <c r="B1177" t="inlineStr">
        <is>
          <t>ADMIN-INDEX-2026-02-27-00000000125C043F57453246863FE664CAFE6A3F0700950291EA24F0614FB6ACEDB12BF0E31D00000000010C0000950291EA24F0614FB6ACEDB12BF0E31D00002087AE740000</t>
        </is>
      </c>
      <c r="C1177" t="inlineStr">
        <is>
          <t>cmm4yupjc02o5cuqw79mcn0cr</t>
        </is>
      </c>
      <c r="D1177" t="inlineStr">
        <is>
          <t>http://localhost:8787/api/admin/requirements/documents/cmm4yupjc02o5cuqw79mcn0cr/view</t>
        </is>
      </c>
      <c r="E1177">
        <f>HYPERLÄNK("http://localhost:8787/api/admin/requirements/documents/cmm4yupjc02o5cuqw79mcn0cr/view";"Öppna PDF")</f>
        <v/>
      </c>
      <c r="F1177">
        <f>HYPERLINK("http://localhost:8787/api/admin/requirements/documents/cmm4yupjc02o5cuqw79mcn0cr/view","Open PDF")</f>
        <v/>
      </c>
      <c r="G1177" t="inlineStr">
        <is>
          <t>cmm55w57p0004cuisfrtpqly8</t>
        </is>
      </c>
      <c r="H1177" t="inlineStr">
        <is>
          <t>Beslutsvillkor</t>
        </is>
      </c>
      <c r="I1177" t="inlineStr">
        <is>
          <t>DriftEgenkontroll</t>
        </is>
      </c>
      <c r="J1177" t="inlineStr">
        <is>
          <t>Journalforing</t>
        </is>
      </c>
      <c r="K1177" t="inlineStr">
        <is>
          <t>Ge gärna lite input så skall jag sen börja upprätta en provtagningsplan som du givetvis kommer att delges underhand så vi hittar samsyn om detta.</t>
        </is>
      </c>
      <c r="L1177" t="inlineStr">
        <is>
          <t>Ge gärna lite input så skall jag sen börja upprätta en provtagningsplan som du givetvis kommer att delges underhand så vi hittar samsyn om detta.</t>
        </is>
      </c>
      <c r="M1177" t="inlineStr">
        <is>
          <t>SKA</t>
        </is>
      </c>
      <c r="N1177" t="inlineStr"/>
      <c r="O1177" t="inlineStr"/>
      <c r="P1177" t="inlineStr"/>
      <c r="Q1177" t="inlineStr"/>
      <c r="R1177" t="inlineStr">
        <is>
          <t>Lopande drift</t>
        </is>
      </c>
      <c r="S1177" t="inlineStr"/>
      <c r="T1177" t="inlineStr">
        <is>
          <t>208080</t>
        </is>
      </c>
      <c r="U1177" t="inlineStr"/>
      <c r="V1177" t="inlineStr"/>
      <c r="W1177" t="inlineStr">
        <is>
          <t>Nej</t>
        </is>
      </c>
      <c r="X1177" t="inlineStr">
        <is>
          <t>Nej</t>
        </is>
      </c>
      <c r="Y1177" t="inlineStr">
        <is>
          <t>Ja</t>
        </is>
      </c>
      <c r="Z1177" t="inlineStr">
        <is>
          <t>Nej</t>
        </is>
      </c>
      <c r="AA1177" t="n">
        <v>7</v>
      </c>
      <c r="AB1177" t="inlineStr">
        <is>
          <t>Egenkontrollrutiner</t>
        </is>
      </c>
      <c r="AC1177" t="inlineStr">
        <is>
          <t>Egenkontrollprogram</t>
        </is>
      </c>
      <c r="AD1177" t="inlineStr">
        <is>
          <t>Nej</t>
        </is>
      </c>
      <c r="AE1177" t="inlineStr">
        <is>
          <t>Nej</t>
        </is>
      </c>
      <c r="AF1177" t="inlineStr">
        <is>
          <t>Ej behandlad</t>
        </is>
      </c>
      <c r="AG1177" t="inlineStr">
        <is>
          <t>AUTO_GENERERAD. Verifiera citat mot kallfil.</t>
        </is>
      </c>
      <c r="AH1177" t="inlineStr">
        <is>
          <t>MEDIUM</t>
        </is>
      </c>
      <c r="AI1177" t="inlineStr">
        <is>
          <t>AUTO</t>
        </is>
      </c>
      <c r="AJ1177" t="inlineStr">
        <is>
          <t>Nej</t>
        </is>
      </c>
      <c r="AK1177" t="inlineStr"/>
      <c r="AL1177" t="inlineStr"/>
      <c r="AM1177" t="inlineStr"/>
      <c r="AN1177" t="inlineStr"/>
      <c r="AO1177" t="inlineStr">
        <is>
          <t>cmm4yupjc02o5cuqw79mcn0cr</t>
        </is>
      </c>
      <c r="AP1177" t="inlineStr">
        <is>
          <t>http://localhost:8787/api/admin/requirements/documents/cmm4yupjc02o5cuqw79mcn0cr/view</t>
        </is>
      </c>
      <c r="AQ1177">
        <f>HYPERLÄNK("http://localhost:8787/api/admin/requirements/documents/cmm4yupjc02o5cuqw79mcn0cr/view";"Öppna PDF")</f>
        <v/>
      </c>
      <c r="AR1177">
        <f>HYPERLINK("http://localhost:8787/api/admin/requirements/documents/cmm4yupjc02o5cuqw79mcn0cr/view","Open PDF")</f>
        <v/>
      </c>
      <c r="AS1177" t="inlineStr">
        <is>
          <t>cmm55w57p0004cuisfrtpqly8</t>
        </is>
      </c>
      <c r="AT1177" t="inlineStr">
        <is>
          <t>cmm4xvu980000cuh4vj0usz09</t>
        </is>
      </c>
      <c r="AU1177" t="inlineStr"/>
      <c r="AV1177" t="inlineStr">
        <is>
          <t>Kommun</t>
        </is>
      </c>
      <c r="AW1177" t="inlineStr"/>
      <c r="AX1177" t="inlineStr">
        <is>
          <t>2026-02</t>
        </is>
      </c>
      <c r="AY1177" t="inlineStr">
        <is>
          <t>Beslut</t>
        </is>
      </c>
      <c r="AZ1177" t="inlineStr">
        <is>
          <t>2026-02-04</t>
        </is>
      </c>
      <c r="BA1177" t="inlineStr">
        <is>
          <t>4.pdf</t>
        </is>
      </c>
      <c r="BB1177" t="inlineStr">
        <is>
          <t>Sv: till registrator</t>
        </is>
      </c>
      <c r="BC1177" t="inlineStr">
        <is>
          <t>AUTO</t>
        </is>
      </c>
      <c r="BD1177" t="inlineStr"/>
      <c r="BE1177" t="inlineStr"/>
      <c r="BF1177" t="inlineStr">
        <is>
          <t>AUTO_GENERERAD. Bekrafta metadata mot kallfil.</t>
        </is>
      </c>
      <c r="BG1177">
        <f>HYPERLINK("C:\Users\jimmy\Desktop\Examens arbete\Kod\Ny mapp\remix_-copy-of-miljöbeslut.se-portal\4.pdf", "Öppna PDF")</f>
        <v/>
      </c>
    </row>
    <row r="1178">
      <c r="A1178" t="inlineStr">
        <is>
          <t>KRAV-AUTO-001177</t>
        </is>
      </c>
      <c r="B1178" t="inlineStr">
        <is>
          <t>ADMIN-INDEX-2026-02-27-00000000125C043F57453246863FE664CAFE6A3F0700950291EA24F0614FB6ACEDB12BF0E31D00000000010C0000950291EA24F0614FB6ACEDB12BF0E31D00002087AE740000</t>
        </is>
      </c>
      <c r="C1178" t="inlineStr">
        <is>
          <t>cmm4yupjc02o5cuqw79mcn0cr</t>
        </is>
      </c>
      <c r="D1178" t="inlineStr">
        <is>
          <t>http://localhost:8787/api/admin/requirements/documents/cmm4yupjc02o5cuqw79mcn0cr/view</t>
        </is>
      </c>
      <c r="E1178">
        <f>HYPERLÄNK("http://localhost:8787/api/admin/requirements/documents/cmm4yupjc02o5cuqw79mcn0cr/view";"Öppna PDF")</f>
        <v/>
      </c>
      <c r="F1178">
        <f>HYPERLINK("http://localhost:8787/api/admin/requirements/documents/cmm4yupjc02o5cuqw79mcn0cr/view","Open PDF")</f>
        <v/>
      </c>
      <c r="G1178" t="inlineStr">
        <is>
          <t>cmm55w57p0004cuisfrtpqly8</t>
        </is>
      </c>
      <c r="H1178" t="inlineStr">
        <is>
          <t>Beslutsvillkor</t>
        </is>
      </c>
      <c r="I1178" t="inlineStr">
        <is>
          <t>Ytkonstruktion</t>
        </is>
      </c>
      <c r="J1178" t="inlineStr">
        <is>
          <t>Tat yta</t>
        </is>
      </c>
      <c r="K1178" t="inlineStr">
        <is>
          <t>Krossningen kommer inte att ske på plats utan mtrl kommer att flyttas till en hårdgjord platta (enl länk) där vi har ett upplag för mtrl som skall krossas till bl.a utfyllnad och väg-grus.</t>
        </is>
      </c>
      <c r="L1178" t="inlineStr">
        <is>
          <t>Krossningen kommer inte att ske på plats utan mtrl kommer att flyttas till en hårdgjord platta (enl länk) där vi har ett upplag för mtrl som skall krossas till bl.a utfyllnad och väg-grus.</t>
        </is>
      </c>
      <c r="M1178" t="inlineStr">
        <is>
          <t>SKA</t>
        </is>
      </c>
      <c r="N1178" t="inlineStr"/>
      <c r="O1178" t="inlineStr"/>
      <c r="P1178" t="inlineStr"/>
      <c r="Q1178" t="inlineStr"/>
      <c r="R1178" t="inlineStr">
        <is>
          <t>Vid mellanlagring av avfall</t>
        </is>
      </c>
      <c r="S1178" t="inlineStr"/>
      <c r="T1178" t="inlineStr">
        <is>
          <t>208080</t>
        </is>
      </c>
      <c r="U1178" t="inlineStr"/>
      <c r="V1178" t="inlineStr"/>
      <c r="W1178" t="inlineStr">
        <is>
          <t>Ja</t>
        </is>
      </c>
      <c r="X1178" t="inlineStr">
        <is>
          <t>Nej</t>
        </is>
      </c>
      <c r="Y1178" t="inlineStr">
        <is>
          <t>Nej</t>
        </is>
      </c>
      <c r="Z1178" t="inlineStr">
        <is>
          <t>Nej</t>
        </is>
      </c>
      <c r="AA1178" t="n">
        <v>5</v>
      </c>
      <c r="AB1178" t="inlineStr">
        <is>
          <t>Teknisk beskrivning av platta</t>
        </is>
      </c>
      <c r="AC1178" t="inlineStr">
        <is>
          <t>Teknisk ritning platta</t>
        </is>
      </c>
      <c r="AD1178" t="inlineStr">
        <is>
          <t>Nej</t>
        </is>
      </c>
      <c r="AE1178" t="inlineStr">
        <is>
          <t>Nej</t>
        </is>
      </c>
      <c r="AF1178" t="inlineStr">
        <is>
          <t>Ej behandlad</t>
        </is>
      </c>
      <c r="AG1178" t="inlineStr">
        <is>
          <t>AUTO_GENERERAD. Verifiera citat mot kallfil.</t>
        </is>
      </c>
      <c r="AH1178" t="inlineStr">
        <is>
          <t>MEDIUM</t>
        </is>
      </c>
      <c r="AI1178" t="inlineStr">
        <is>
          <t>AUTO</t>
        </is>
      </c>
      <c r="AJ1178" t="inlineStr">
        <is>
          <t>Nej</t>
        </is>
      </c>
      <c r="AK1178" t="inlineStr"/>
      <c r="AL1178" t="inlineStr"/>
      <c r="AM1178" t="inlineStr"/>
      <c r="AN1178" t="inlineStr"/>
      <c r="AO1178" t="inlineStr">
        <is>
          <t>cmm4yupjc02o5cuqw79mcn0cr</t>
        </is>
      </c>
      <c r="AP1178" t="inlineStr">
        <is>
          <t>http://localhost:8787/api/admin/requirements/documents/cmm4yupjc02o5cuqw79mcn0cr/view</t>
        </is>
      </c>
      <c r="AQ1178">
        <f>HYPERLÄNK("http://localhost:8787/api/admin/requirements/documents/cmm4yupjc02o5cuqw79mcn0cr/view";"Öppna PDF")</f>
        <v/>
      </c>
      <c r="AR1178">
        <f>HYPERLINK("http://localhost:8787/api/admin/requirements/documents/cmm4yupjc02o5cuqw79mcn0cr/view","Open PDF")</f>
        <v/>
      </c>
      <c r="AS1178" t="inlineStr">
        <is>
          <t>cmm55w57p0004cuisfrtpqly8</t>
        </is>
      </c>
      <c r="AT1178" t="inlineStr">
        <is>
          <t>cmm4xvu980000cuh4vj0usz09</t>
        </is>
      </c>
      <c r="AU1178" t="inlineStr"/>
      <c r="AV1178" t="inlineStr">
        <is>
          <t>Kommun</t>
        </is>
      </c>
      <c r="AW1178" t="inlineStr"/>
      <c r="AX1178" t="inlineStr">
        <is>
          <t>2026-02</t>
        </is>
      </c>
      <c r="AY1178" t="inlineStr">
        <is>
          <t>Beslut</t>
        </is>
      </c>
      <c r="AZ1178" t="inlineStr">
        <is>
          <t>2026-02-04</t>
        </is>
      </c>
      <c r="BA1178" t="inlineStr">
        <is>
          <t>4.pdf</t>
        </is>
      </c>
      <c r="BB1178" t="inlineStr">
        <is>
          <t>Sv: till registrator</t>
        </is>
      </c>
      <c r="BC1178" t="inlineStr">
        <is>
          <t>AUTO</t>
        </is>
      </c>
      <c r="BD1178" t="inlineStr"/>
      <c r="BE1178" t="inlineStr"/>
      <c r="BF1178" t="inlineStr">
        <is>
          <t>AUTO_GENERERAD. Bekrafta metadata mot kallfil.</t>
        </is>
      </c>
      <c r="BG1178">
        <f>HYPERLINK("C:\Users\jimmy\Desktop\Examens arbete\Kod\Ny mapp\remix_-copy-of-miljöbeslut.se-portal\4.pdf", "Öppna PDF")</f>
        <v/>
      </c>
    </row>
    <row r="1179">
      <c r="A1179" t="inlineStr">
        <is>
          <t>KRAV-AUTO-001178</t>
        </is>
      </c>
      <c r="B1179" t="inlineStr">
        <is>
          <t>ADMIN-INDEX-2026-02-27-00000000125C043F57453246863FE664CAFE6A3F0700950291EA24F0614FB6ACEDB12BF0E31D00000000010C0000950291EA24F0614FB6ACEDB12BF0E31D00002087AE740000</t>
        </is>
      </c>
      <c r="C1179" t="inlineStr">
        <is>
          <t>cmm4yupjc02o5cuqw79mcn0cr</t>
        </is>
      </c>
      <c r="D1179" t="inlineStr">
        <is>
          <t>http://localhost:8787/api/admin/requirements/documents/cmm4yupjc02o5cuqw79mcn0cr/view</t>
        </is>
      </c>
      <c r="E1179">
        <f>HYPERLÄNK("http://localhost:8787/api/admin/requirements/documents/cmm4yupjc02o5cuqw79mcn0cr/view";"Öppna PDF")</f>
        <v/>
      </c>
      <c r="F1179">
        <f>HYPERLINK("http://localhost:8787/api/admin/requirements/documents/cmm4yupjc02o5cuqw79mcn0cr/view","Open PDF")</f>
        <v/>
      </c>
      <c r="G1179" t="inlineStr">
        <is>
          <t>cmm55w57p0004cuisfrtpqly8</t>
        </is>
      </c>
      <c r="H1179" t="inlineStr">
        <is>
          <t>Beslutsvillkor</t>
        </is>
      </c>
      <c r="I1179" t="inlineStr">
        <is>
          <t>DriftEgenkontroll</t>
        </is>
      </c>
      <c r="J1179" t="inlineStr">
        <is>
          <t>Journalforing</t>
        </is>
      </c>
      <c r="K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9" t="inlineStr">
        <is>
          <t>SKA</t>
        </is>
      </c>
      <c r="N1179" t="inlineStr"/>
      <c r="O1179" t="inlineStr"/>
      <c r="P1179" t="inlineStr"/>
      <c r="Q1179" t="inlineStr"/>
      <c r="R1179" t="inlineStr">
        <is>
          <t>Lopande drift</t>
        </is>
      </c>
      <c r="S1179" t="inlineStr"/>
      <c r="T1179" t="inlineStr">
        <is>
          <t>208080</t>
        </is>
      </c>
      <c r="U1179" t="inlineStr"/>
      <c r="V1179" t="inlineStr"/>
      <c r="W1179" t="inlineStr">
        <is>
          <t>Nej</t>
        </is>
      </c>
      <c r="X1179" t="inlineStr">
        <is>
          <t>Nej</t>
        </is>
      </c>
      <c r="Y1179" t="inlineStr">
        <is>
          <t>Ja</t>
        </is>
      </c>
      <c r="Z1179" t="inlineStr">
        <is>
          <t>Nej</t>
        </is>
      </c>
      <c r="AA1179" t="n">
        <v>7</v>
      </c>
      <c r="AB1179" t="inlineStr">
        <is>
          <t>Egenkontrollrutiner</t>
        </is>
      </c>
      <c r="AC1179" t="inlineStr">
        <is>
          <t>Egenkontrollprogram</t>
        </is>
      </c>
      <c r="AD1179" t="inlineStr">
        <is>
          <t>Nej</t>
        </is>
      </c>
      <c r="AE1179" t="inlineStr">
        <is>
          <t>Nej</t>
        </is>
      </c>
      <c r="AF1179" t="inlineStr">
        <is>
          <t>Ej behandlad</t>
        </is>
      </c>
      <c r="AG1179" t="inlineStr">
        <is>
          <t>AUTO_GENERERAD. Verifiera citat mot kallfil.</t>
        </is>
      </c>
      <c r="AH1179" t="inlineStr">
        <is>
          <t>MEDIUM</t>
        </is>
      </c>
      <c r="AI1179" t="inlineStr">
        <is>
          <t>AUTO</t>
        </is>
      </c>
      <c r="AJ1179" t="inlineStr">
        <is>
          <t>Nej</t>
        </is>
      </c>
      <c r="AK1179" t="inlineStr"/>
      <c r="AL1179" t="inlineStr"/>
      <c r="AM1179" t="inlineStr"/>
      <c r="AN1179" t="inlineStr"/>
      <c r="AO1179" t="inlineStr">
        <is>
          <t>cmm4yupjc02o5cuqw79mcn0cr</t>
        </is>
      </c>
      <c r="AP1179" t="inlineStr">
        <is>
          <t>http://localhost:8787/api/admin/requirements/documents/cmm4yupjc02o5cuqw79mcn0cr/view</t>
        </is>
      </c>
      <c r="AQ1179">
        <f>HYPERLÄNK("http://localhost:8787/api/admin/requirements/documents/cmm4yupjc02o5cuqw79mcn0cr/view";"Öppna PDF")</f>
        <v/>
      </c>
      <c r="AR1179">
        <f>HYPERLINK("http://localhost:8787/api/admin/requirements/documents/cmm4yupjc02o5cuqw79mcn0cr/view","Open PDF")</f>
        <v/>
      </c>
      <c r="AS1179" t="inlineStr">
        <is>
          <t>cmm55w57p0004cuisfrtpqly8</t>
        </is>
      </c>
      <c r="AT1179" t="inlineStr">
        <is>
          <t>cmm4xvu980000cuh4vj0usz09</t>
        </is>
      </c>
      <c r="AU1179" t="inlineStr"/>
      <c r="AV1179" t="inlineStr">
        <is>
          <t>Kommun</t>
        </is>
      </c>
      <c r="AW1179" t="inlineStr"/>
      <c r="AX1179" t="inlineStr">
        <is>
          <t>2026-02</t>
        </is>
      </c>
      <c r="AY1179" t="inlineStr">
        <is>
          <t>Beslut</t>
        </is>
      </c>
      <c r="AZ1179" t="inlineStr">
        <is>
          <t>2026-02-04</t>
        </is>
      </c>
      <c r="BA1179" t="inlineStr">
        <is>
          <t>4.pdf</t>
        </is>
      </c>
      <c r="BB1179" t="inlineStr">
        <is>
          <t>Sv: till registrator</t>
        </is>
      </c>
      <c r="BC1179" t="inlineStr">
        <is>
          <t>AUTO</t>
        </is>
      </c>
      <c r="BD1179" t="inlineStr"/>
      <c r="BE1179" t="inlineStr"/>
      <c r="BF1179" t="inlineStr">
        <is>
          <t>AUTO_GENERERAD. Bekrafta metadata mot kallfil.</t>
        </is>
      </c>
      <c r="BG1179">
        <f>HYPERLINK("C:\Users\jimmy\Desktop\Examens arbete\Kod\Ny mapp\remix_-copy-of-miljöbeslut.se-portal\4.pdf", "Öppna PDF")</f>
        <v/>
      </c>
    </row>
    <row r="1180">
      <c r="A1180" t="inlineStr">
        <is>
          <t>KRAV-AUTO-001179</t>
        </is>
      </c>
      <c r="B1180" t="inlineStr">
        <is>
          <t>ADMIN-INDEX-2026-02-27-00000000125C043F57453246863FE664CAFE6A3F0700950291EA24F0614FB6ACEDB12BF0E31D00000000010C0000950291EA24F0614FB6ACEDB12BF0E31D00002087AE740000</t>
        </is>
      </c>
      <c r="C1180" t="inlineStr">
        <is>
          <t>cmm4yupj902o2cuqw0uf2g1z6</t>
        </is>
      </c>
      <c r="D1180" t="inlineStr">
        <is>
          <t>http://localhost:8787/api/admin/requirements/documents/cmm4yupj902o2cuqw0uf2g1z6/view</t>
        </is>
      </c>
      <c r="E1180">
        <f>HYPERLÄNK("http://localhost:8787/api/admin/requirements/documents/cmm4yupj902o2cuqw0uf2g1z6/view";"Öppna PDF")</f>
        <v/>
      </c>
      <c r="F1180">
        <f>HYPERLINK("http://localhost:8787/api/admin/requirements/documents/cmm4yupj902o2cuqw0uf2g1z6/view","Open PDF")</f>
        <v/>
      </c>
      <c r="G1180" t="inlineStr">
        <is>
          <t>cmm55w57p0004cuisfrtpqly8</t>
        </is>
      </c>
      <c r="H1180" t="inlineStr">
        <is>
          <t>Beslutsvillkor</t>
        </is>
      </c>
      <c r="I1180" t="inlineStr">
        <is>
          <t>DagvattenLakvatten</t>
        </is>
      </c>
      <c r="J1180" t="inlineStr">
        <is>
          <t>Uppsamling</t>
        </is>
      </c>
      <c r="K1180" t="inlineStr">
        <is>
          <t>Invallningarnas uppsamlingsvolym ska minst motsvara den största behållarens volym plus 10% av övriga behållares volym.</t>
        </is>
      </c>
      <c r="L1180" t="inlineStr">
        <is>
          <t>Invallningarnas uppsamlingsvolym ska minst motsvara den största behållarens volym plus 10% av övriga behållares volym.</t>
        </is>
      </c>
      <c r="M1180" t="inlineStr">
        <is>
          <t>SKA</t>
        </is>
      </c>
      <c r="N1180" t="inlineStr"/>
      <c r="O1180" t="inlineStr"/>
      <c r="P1180" t="inlineStr"/>
      <c r="Q1180" t="inlineStr"/>
      <c r="R1180" t="inlineStr">
        <is>
          <t>Vid nederbord och avrinning</t>
        </is>
      </c>
      <c r="S1180" t="inlineStr"/>
      <c r="T1180" t="inlineStr">
        <is>
          <t>212754</t>
        </is>
      </c>
      <c r="U1180" t="inlineStr"/>
      <c r="V1180" t="inlineStr"/>
      <c r="W1180" t="inlineStr">
        <is>
          <t>Nej</t>
        </is>
      </c>
      <c r="X1180" t="inlineStr">
        <is>
          <t>Ja</t>
        </is>
      </c>
      <c r="Y1180" t="inlineStr">
        <is>
          <t>Ja</t>
        </is>
      </c>
      <c r="Z1180" t="inlineStr">
        <is>
          <t>Nej</t>
        </is>
      </c>
      <c r="AA1180" t="n">
        <v>6</v>
      </c>
      <c r="AB1180" t="inlineStr">
        <is>
          <t>Lakvattenhantering</t>
        </is>
      </c>
      <c r="AC1180" t="inlineStr">
        <is>
          <t>Flodesschema dagvatten-lakvatten</t>
        </is>
      </c>
      <c r="AD1180" t="inlineStr">
        <is>
          <t>Nej</t>
        </is>
      </c>
      <c r="AE1180" t="inlineStr">
        <is>
          <t>Nej</t>
        </is>
      </c>
      <c r="AF1180" t="inlineStr">
        <is>
          <t>Ej behandlad</t>
        </is>
      </c>
      <c r="AG1180" t="inlineStr">
        <is>
          <t>AUTO_GENERERAD. Verifiera citat mot kallfil.</t>
        </is>
      </c>
      <c r="AH1180" t="inlineStr">
        <is>
          <t>MEDIUM</t>
        </is>
      </c>
      <c r="AI1180" t="inlineStr">
        <is>
          <t>AUTO</t>
        </is>
      </c>
      <c r="AJ1180" t="inlineStr">
        <is>
          <t>Nej</t>
        </is>
      </c>
      <c r="AK1180" t="inlineStr"/>
      <c r="AL1180" t="inlineStr"/>
      <c r="AM1180" t="inlineStr"/>
      <c r="AN1180" t="inlineStr"/>
      <c r="AO1180" t="inlineStr">
        <is>
          <t>cmm4yupjc02o5cuqw79mcn0cr</t>
        </is>
      </c>
      <c r="AP1180" t="inlineStr">
        <is>
          <t>http://localhost:8787/api/admin/requirements/documents/cmm4yupjc02o5cuqw79mcn0cr/view</t>
        </is>
      </c>
      <c r="AQ1180">
        <f>HYPERLÄNK("http://localhost:8787/api/admin/requirements/documents/cmm4yupjc02o5cuqw79mcn0cr/view";"Öppna PDF")</f>
        <v/>
      </c>
      <c r="AR1180">
        <f>HYPERLINK("http://localhost:8787/api/admin/requirements/documents/cmm4yupjc02o5cuqw79mcn0cr/view","Open PDF")</f>
        <v/>
      </c>
      <c r="AS1180" t="inlineStr">
        <is>
          <t>cmm55w57p0004cuisfrtpqly8</t>
        </is>
      </c>
      <c r="AT1180" t="inlineStr">
        <is>
          <t>cmm4xvu980000cuh4vj0usz09</t>
        </is>
      </c>
      <c r="AU1180" t="inlineStr"/>
      <c r="AV1180" t="inlineStr">
        <is>
          <t>Kommun</t>
        </is>
      </c>
      <c r="AW1180" t="inlineStr"/>
      <c r="AX1180" t="inlineStr">
        <is>
          <t>2026-02</t>
        </is>
      </c>
      <c r="AY1180" t="inlineStr">
        <is>
          <t>Beslut</t>
        </is>
      </c>
      <c r="AZ1180" t="inlineStr">
        <is>
          <t>2026-02-04</t>
        </is>
      </c>
      <c r="BA1180" t="inlineStr">
        <is>
          <t>4.pdf</t>
        </is>
      </c>
      <c r="BB1180" t="inlineStr">
        <is>
          <t>Sv: till registrator</t>
        </is>
      </c>
      <c r="BC1180" t="inlineStr">
        <is>
          <t>AUTO</t>
        </is>
      </c>
      <c r="BD1180" t="inlineStr"/>
      <c r="BE1180" t="inlineStr"/>
      <c r="BF1180" t="inlineStr">
        <is>
          <t>AUTO_GENERERAD. Bekrafta metadata mot kallfil.</t>
        </is>
      </c>
      <c r="BG1180">
        <f>HYPERLINK("C:\Users\jimmy\Desktop\Examens arbete\Kod\Ny mapp\remix_-copy-of-miljöbeslut.se-portal\4.pdf", "Öppna PDF")</f>
        <v/>
      </c>
    </row>
    <row r="1181">
      <c r="A1181" t="inlineStr">
        <is>
          <t>KRAV-AUTO-001180</t>
        </is>
      </c>
      <c r="B1181" t="inlineStr">
        <is>
          <t>ADMIN-INDEX-2026-02-27-00000000125C043F57453246863FE664CAFE6A3F0700950291EA24F0614FB6ACEDB12BF0E31D00000000010C0000950291EA24F0614FB6ACEDB12BF0E31D00002087AE740000</t>
        </is>
      </c>
      <c r="C1181" t="inlineStr">
        <is>
          <t>cmm4yupj902o2cuqw0uf2g1z6</t>
        </is>
      </c>
      <c r="D1181" t="inlineStr">
        <is>
          <t>http://localhost:8787/api/admin/requirements/documents/cmm4yupj902o2cuqw0uf2g1z6/view</t>
        </is>
      </c>
      <c r="E1181">
        <f>HYPERLÄNK("http://localhost:8787/api/admin/requirements/documents/cmm4yupj902o2cuqw0uf2g1z6/view";"Öppna PDF")</f>
        <v/>
      </c>
      <c r="F1181">
        <f>HYPERLINK("http://localhost:8787/api/admin/requirements/documents/cmm4yupj902o2cuqw0uf2g1z6/view","Open PDF")</f>
        <v/>
      </c>
      <c r="G1181" t="inlineStr">
        <is>
          <t>cmm55w57p0004cuisfrtpqly8</t>
        </is>
      </c>
      <c r="H1181" t="inlineStr">
        <is>
          <t>Beslutsvillkor</t>
        </is>
      </c>
      <c r="I1181" t="inlineStr">
        <is>
          <t>Ytkonstruktion</t>
        </is>
      </c>
      <c r="J1181" t="inlineStr">
        <is>
          <t>Tat yta</t>
        </is>
      </c>
      <c r="K1181" t="inlineStr">
        <is>
          <t>Förvaringen av flytande kemiska produkter och farligt avfall ska ske på ogenomsläpplig invallad yta alternativt i dubbelmantlade behållare.</t>
        </is>
      </c>
      <c r="L1181" t="inlineStr">
        <is>
          <t>Förvaringen av flytande kemiska produkter och farligt avfall ska ske på ogenomsläpplig invallad yta alternativt i dubbelmantlade behållare.</t>
        </is>
      </c>
      <c r="M1181" t="inlineStr">
        <is>
          <t>SKA</t>
        </is>
      </c>
      <c r="N1181" t="inlineStr"/>
      <c r="O1181" t="inlineStr"/>
      <c r="P1181" t="inlineStr">
        <is>
          <t>Arlig</t>
        </is>
      </c>
      <c r="Q1181" t="inlineStr"/>
      <c r="R1181" t="inlineStr">
        <is>
          <t>Vid mellanlagring av avfall</t>
        </is>
      </c>
      <c r="S1181" t="inlineStr"/>
      <c r="T1181" t="inlineStr">
        <is>
          <t>212754</t>
        </is>
      </c>
      <c r="U1181" t="inlineStr"/>
      <c r="V1181" t="inlineStr"/>
      <c r="W1181" t="inlineStr">
        <is>
          <t>Ja</t>
        </is>
      </c>
      <c r="X1181" t="inlineStr">
        <is>
          <t>Nej</t>
        </is>
      </c>
      <c r="Y1181" t="inlineStr">
        <is>
          <t>Nej</t>
        </is>
      </c>
      <c r="Z1181" t="inlineStr">
        <is>
          <t>Nej</t>
        </is>
      </c>
      <c r="AA1181" t="n">
        <v>5</v>
      </c>
      <c r="AB1181" t="inlineStr">
        <is>
          <t>Teknisk beskrivning av platta</t>
        </is>
      </c>
      <c r="AC1181" t="inlineStr">
        <is>
          <t>Teknisk ritning platta</t>
        </is>
      </c>
      <c r="AD1181" t="inlineStr">
        <is>
          <t>Nej</t>
        </is>
      </c>
      <c r="AE1181" t="inlineStr">
        <is>
          <t>Nej</t>
        </is>
      </c>
      <c r="AF1181" t="inlineStr">
        <is>
          <t>Ej behandlad</t>
        </is>
      </c>
      <c r="AG1181" t="inlineStr">
        <is>
          <t>AUTO_GENERERAD. Verifiera citat mot kallfil.</t>
        </is>
      </c>
      <c r="AH1181" t="inlineStr">
        <is>
          <t>MEDIUM</t>
        </is>
      </c>
      <c r="AI1181" t="inlineStr">
        <is>
          <t>AUTO</t>
        </is>
      </c>
      <c r="AJ1181" t="inlineStr">
        <is>
          <t>Nej</t>
        </is>
      </c>
      <c r="AK1181" t="inlineStr"/>
      <c r="AL1181" t="inlineStr"/>
      <c r="AM1181" t="inlineStr"/>
      <c r="AN1181" t="inlineStr"/>
      <c r="AO1181" t="inlineStr">
        <is>
          <t>cmm4yupjc02o5cuqw79mcn0cr</t>
        </is>
      </c>
      <c r="AP1181" t="inlineStr">
        <is>
          <t>http://localhost:8787/api/admin/requirements/documents/cmm4yupjc02o5cuqw79mcn0cr/view</t>
        </is>
      </c>
      <c r="AQ1181">
        <f>HYPERLÄNK("http://localhost:8787/api/admin/requirements/documents/cmm4yupjc02o5cuqw79mcn0cr/view";"Öppna PDF")</f>
        <v/>
      </c>
      <c r="AR1181">
        <f>HYPERLINK("http://localhost:8787/api/admin/requirements/documents/cmm4yupjc02o5cuqw79mcn0cr/view","Open PDF")</f>
        <v/>
      </c>
      <c r="AS1181" t="inlineStr">
        <is>
          <t>cmm55w57p0004cuisfrtpqly8</t>
        </is>
      </c>
      <c r="AT1181" t="inlineStr">
        <is>
          <t>cmm4xvu980000cuh4vj0usz09</t>
        </is>
      </c>
      <c r="AU1181" t="inlineStr"/>
      <c r="AV1181" t="inlineStr">
        <is>
          <t>Kommun</t>
        </is>
      </c>
      <c r="AW1181" t="inlineStr"/>
      <c r="AX1181" t="inlineStr">
        <is>
          <t>2026-02</t>
        </is>
      </c>
      <c r="AY1181" t="inlineStr">
        <is>
          <t>Beslut</t>
        </is>
      </c>
      <c r="AZ1181" t="inlineStr">
        <is>
          <t>2026-02-04</t>
        </is>
      </c>
      <c r="BA1181" t="inlineStr">
        <is>
          <t>4.pdf</t>
        </is>
      </c>
      <c r="BB1181" t="inlineStr">
        <is>
          <t>Sv: till registrator</t>
        </is>
      </c>
      <c r="BC1181" t="inlineStr">
        <is>
          <t>AUTO</t>
        </is>
      </c>
      <c r="BD1181" t="inlineStr"/>
      <c r="BE1181" t="inlineStr"/>
      <c r="BF1181" t="inlineStr">
        <is>
          <t>AUTO_GENERERAD. Bekrafta metadata mot kallfil.</t>
        </is>
      </c>
      <c r="BG1181">
        <f>HYPERLINK("C:\Users\jimmy\Desktop\Examens arbete\Kod\Ny mapp\remix_-copy-of-miljöbeslut.se-portal\4.pdf", "Öppna PDF")</f>
        <v/>
      </c>
    </row>
    <row r="1182">
      <c r="A1182" t="inlineStr">
        <is>
          <t>KRAV-AUTO-001181</t>
        </is>
      </c>
      <c r="B1182" t="inlineStr">
        <is>
          <t>ADMIN-INDEX-2026-02-27-00000000125C043F57453246863FE664CAFE6A3F0700950291EA24F0614FB6ACEDB12BF0E31D00000000010C0000950291EA24F0614FB6ACEDB12BF0E31D00002087AE740000</t>
        </is>
      </c>
      <c r="C1182" t="inlineStr">
        <is>
          <t>cmm4yupj902o2cuqw0uf2g1z6</t>
        </is>
      </c>
      <c r="D1182" t="inlineStr">
        <is>
          <t>http://localhost:8787/api/admin/requirements/documents/cmm4yupj902o2cuqw0uf2g1z6/view</t>
        </is>
      </c>
      <c r="E1182">
        <f>HYPERLÄNK("http://localhost:8787/api/admin/requirements/documents/cmm4yupj902o2cuqw0uf2g1z6/view";"Öppna PDF")</f>
        <v/>
      </c>
      <c r="F1182">
        <f>HYPERLINK("http://localhost:8787/api/admin/requirements/documents/cmm4yupj902o2cuqw0uf2g1z6/view","Open PDF")</f>
        <v/>
      </c>
      <c r="G1182" t="inlineStr">
        <is>
          <t>cmm55w57p0004cuisfrtpqly8</t>
        </is>
      </c>
      <c r="H1182" t="inlineStr">
        <is>
          <t>Beslutsvillkor</t>
        </is>
      </c>
      <c r="I1182" t="inlineStr">
        <is>
          <t>DriftEgenkontroll</t>
        </is>
      </c>
      <c r="J1182" t="inlineStr">
        <is>
          <t>Journalforing</t>
        </is>
      </c>
      <c r="K1182" t="inlineStr">
        <is>
          <t>Av rutinen ska det framgå hur riskbedömningen ska göras, när och hur provtagning ska ske, hur journalföring ska gå till, vem som ansvarar för kontrollerna samt hur ni säkerställer att det finns en spårbarhet i masshanteringen.</t>
        </is>
      </c>
      <c r="L1182" t="inlineStr">
        <is>
          <t>Av rutinen ska det framgå hur riskbedömningen ska göras, när och hur provtagning ska ske, hur journalföring ska gå till, vem som ansvarar för kontrollerna samt hur ni säkerställer att det finns en spårbarhet i masshanteringen.</t>
        </is>
      </c>
      <c r="M1182" t="inlineStr">
        <is>
          <t>SKA</t>
        </is>
      </c>
      <c r="N1182" t="inlineStr"/>
      <c r="O1182" t="inlineStr"/>
      <c r="P1182" t="inlineStr"/>
      <c r="Q1182" t="inlineStr"/>
      <c r="R1182" t="inlineStr">
        <is>
          <t>Lopande drift</t>
        </is>
      </c>
      <c r="S1182" t="inlineStr"/>
      <c r="T1182" t="inlineStr">
        <is>
          <t>212754</t>
        </is>
      </c>
      <c r="U1182" t="inlineStr"/>
      <c r="V1182" t="inlineStr"/>
      <c r="W1182" t="inlineStr">
        <is>
          <t>Nej</t>
        </is>
      </c>
      <c r="X1182" t="inlineStr">
        <is>
          <t>Nej</t>
        </is>
      </c>
      <c r="Y1182" t="inlineStr">
        <is>
          <t>Ja</t>
        </is>
      </c>
      <c r="Z1182" t="inlineStr">
        <is>
          <t>Nej</t>
        </is>
      </c>
      <c r="AA1182" t="n">
        <v>7</v>
      </c>
      <c r="AB1182" t="inlineStr">
        <is>
          <t>Egenkontrollrutiner</t>
        </is>
      </c>
      <c r="AC1182" t="inlineStr">
        <is>
          <t>Egenkontrollprogram</t>
        </is>
      </c>
      <c r="AD1182" t="inlineStr">
        <is>
          <t>Nej</t>
        </is>
      </c>
      <c r="AE1182" t="inlineStr">
        <is>
          <t>Nej</t>
        </is>
      </c>
      <c r="AF1182" t="inlineStr">
        <is>
          <t>Ej behandlad</t>
        </is>
      </c>
      <c r="AG1182" t="inlineStr">
        <is>
          <t>AUTO_GENERERAD. Verifiera citat mot kallfil.</t>
        </is>
      </c>
      <c r="AH1182" t="inlineStr">
        <is>
          <t>MEDIUM</t>
        </is>
      </c>
      <c r="AI1182" t="inlineStr">
        <is>
          <t>AUTO</t>
        </is>
      </c>
      <c r="AJ1182" t="inlineStr">
        <is>
          <t>Nej</t>
        </is>
      </c>
      <c r="AK1182" t="inlineStr"/>
      <c r="AL1182" t="inlineStr"/>
      <c r="AM1182" t="inlineStr"/>
      <c r="AN1182" t="inlineStr"/>
      <c r="AO1182" t="inlineStr">
        <is>
          <t>cmm4yupjc02o5cuqw79mcn0cr</t>
        </is>
      </c>
      <c r="AP1182" t="inlineStr">
        <is>
          <t>http://localhost:8787/api/admin/requirements/documents/cmm4yupjc02o5cuqw79mcn0cr/view</t>
        </is>
      </c>
      <c r="AQ1182">
        <f>HYPERLÄNK("http://localhost:8787/api/admin/requirements/documents/cmm4yupjc02o5cuqw79mcn0cr/view";"Öppna PDF")</f>
        <v/>
      </c>
      <c r="AR1182">
        <f>HYPERLINK("http://localhost:8787/api/admin/requirements/documents/cmm4yupjc02o5cuqw79mcn0cr/view","Open PDF")</f>
        <v/>
      </c>
      <c r="AS1182" t="inlineStr">
        <is>
          <t>cmm55w57p0004cuisfrtpqly8</t>
        </is>
      </c>
      <c r="AT1182" t="inlineStr">
        <is>
          <t>cmm4xvu980000cuh4vj0usz09</t>
        </is>
      </c>
      <c r="AU1182" t="inlineStr"/>
      <c r="AV1182" t="inlineStr">
        <is>
          <t>Kommun</t>
        </is>
      </c>
      <c r="AW1182" t="inlineStr"/>
      <c r="AX1182" t="inlineStr">
        <is>
          <t>2026-02</t>
        </is>
      </c>
      <c r="AY1182" t="inlineStr">
        <is>
          <t>Beslut</t>
        </is>
      </c>
      <c r="AZ1182" t="inlineStr">
        <is>
          <t>2026-02-04</t>
        </is>
      </c>
      <c r="BA1182" t="inlineStr">
        <is>
          <t>4.pdf</t>
        </is>
      </c>
      <c r="BB1182" t="inlineStr">
        <is>
          <t>Sv: till registrator</t>
        </is>
      </c>
      <c r="BC1182" t="inlineStr">
        <is>
          <t>AUTO</t>
        </is>
      </c>
      <c r="BD1182" t="inlineStr"/>
      <c r="BE1182" t="inlineStr"/>
      <c r="BF1182" t="inlineStr">
        <is>
          <t>AUTO_GENERERAD. Bekrafta metadata mot kallfil.</t>
        </is>
      </c>
      <c r="BG1182">
        <f>HYPERLINK("C:\Users\jimmy\Desktop\Examens arbete\Kod\Ny mapp\remix_-copy-of-miljöbeslut.se-portal\4.pdf", "Öppna PDF")</f>
        <v/>
      </c>
    </row>
    <row r="1183">
      <c r="A1183" t="inlineStr">
        <is>
          <t>KRAV-AUTO-001182</t>
        </is>
      </c>
      <c r="B1183" t="inlineStr">
        <is>
          <t>ADMIN-INDEX-2026-02-27-00000000125C043F57453246863FE664CAFE6A3F0700950291EA24F0614FB6ACEDB12BF0E31D00000000010C0000950291EA24F0614FB6ACEDB12BF0E31D00002087AE750000</t>
        </is>
      </c>
      <c r="C1183" t="inlineStr">
        <is>
          <t>cmm4yupj602nzcuqwz84u4s1y</t>
        </is>
      </c>
      <c r="D1183" t="inlineStr">
        <is>
          <t>http://localhost:8787/api/admin/requirements/documents/cmm4yupj602nzcuqwz84u4s1y/view</t>
        </is>
      </c>
      <c r="E1183">
        <f>HYPERLÄNK("http://localhost:8787/api/admin/requirements/documents/cmm4yupj602nzcuqwz84u4s1y/view";"Öppna PDF")</f>
        <v/>
      </c>
      <c r="F1183">
        <f>HYPERLINK("http://localhost:8787/api/admin/requirements/documents/cmm4yupj602nzcuqwz84u4s1y/view","Open PDF")</f>
        <v/>
      </c>
      <c r="G1183" t="inlineStr">
        <is>
          <t>cmm55w57p0004cuisfrtpqly8</t>
        </is>
      </c>
      <c r="H1183" t="inlineStr">
        <is>
          <t>Informationskrav</t>
        </is>
      </c>
      <c r="I1183" t="inlineStr">
        <is>
          <t>DagvattenLakvatten</t>
        </is>
      </c>
      <c r="J1183" t="inlineStr">
        <is>
          <t>Uppsamling</t>
        </is>
      </c>
      <c r="K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3" t="inlineStr">
        <is>
          <t>SKA</t>
        </is>
      </c>
      <c r="N1183" t="inlineStr">
        <is>
          <t>FMH</t>
        </is>
      </c>
      <c r="O1183" t="inlineStr"/>
      <c r="P1183" t="inlineStr"/>
      <c r="Q1183" t="inlineStr"/>
      <c r="R1183" t="inlineStr">
        <is>
          <t>Vid nederbord och avrinning</t>
        </is>
      </c>
      <c r="S1183" t="inlineStr"/>
      <c r="T1183" t="inlineStr">
        <is>
          <t>559205</t>
        </is>
      </c>
      <c r="U1183" t="inlineStr"/>
      <c r="V1183" t="inlineStr"/>
      <c r="W1183" t="inlineStr">
        <is>
          <t>Nej</t>
        </is>
      </c>
      <c r="X1183" t="inlineStr">
        <is>
          <t>Ja</t>
        </is>
      </c>
      <c r="Y1183" t="inlineStr">
        <is>
          <t>Ja</t>
        </is>
      </c>
      <c r="Z1183" t="inlineStr">
        <is>
          <t>Nej</t>
        </is>
      </c>
      <c r="AA1183" t="n">
        <v>6</v>
      </c>
      <c r="AB1183" t="inlineStr">
        <is>
          <t>Lakvattenhantering</t>
        </is>
      </c>
      <c r="AC1183" t="inlineStr">
        <is>
          <t>Flodesschema dagvatten-lakvatten</t>
        </is>
      </c>
      <c r="AD1183" t="inlineStr">
        <is>
          <t>Nej</t>
        </is>
      </c>
      <c r="AE1183" t="inlineStr">
        <is>
          <t>Nej</t>
        </is>
      </c>
      <c r="AF1183" t="inlineStr">
        <is>
          <t>Ej behandlad</t>
        </is>
      </c>
      <c r="AG1183" t="inlineStr">
        <is>
          <t>AUTO_GENERERAD. Verifiera citat mot kallfil.</t>
        </is>
      </c>
      <c r="AH1183" t="inlineStr">
        <is>
          <t>HIGH</t>
        </is>
      </c>
      <c r="AI1183" t="inlineStr">
        <is>
          <t>AUTO</t>
        </is>
      </c>
      <c r="AJ1183" t="inlineStr">
        <is>
          <t>Nej</t>
        </is>
      </c>
      <c r="AK1183" t="inlineStr"/>
      <c r="AL1183" t="inlineStr"/>
      <c r="AM1183" t="inlineStr"/>
      <c r="AN1183" t="inlineStr"/>
      <c r="AO1183" t="inlineStr">
        <is>
          <t>cmm4yupj602nzcuqwz84u4s1y</t>
        </is>
      </c>
      <c r="AP1183" t="inlineStr">
        <is>
          <t>http://localhost:8787/api/admin/requirements/documents/cmm4yupj602nzcuqwz84u4s1y/view</t>
        </is>
      </c>
      <c r="AQ1183">
        <f>HYPERLÄNK("http://localhost:8787/api/admin/requirements/documents/cmm4yupj602nzcuqwz84u4s1y/view";"Öppna PDF")</f>
        <v/>
      </c>
      <c r="AR1183">
        <f>HYPERLINK("http://localhost:8787/api/admin/requirements/documents/cmm4yupj602nzcuqwz84u4s1y/view","Open PDF")</f>
        <v/>
      </c>
      <c r="AS1183" t="inlineStr">
        <is>
          <t>cmm55w57p0004cuisfrtpqly8</t>
        </is>
      </c>
      <c r="AT1183" t="inlineStr">
        <is>
          <t>cmm4xvu980000cuh4vj0usz09</t>
        </is>
      </c>
      <c r="AU1183" t="inlineStr">
        <is>
          <t>Fyll i om sökanden är Tierps</t>
        </is>
      </c>
      <c r="AV1183" t="inlineStr">
        <is>
          <t>Kommun</t>
        </is>
      </c>
      <c r="AW1183" t="inlineStr">
        <is>
          <t>Fyll i om sökanden är Tierps kommun</t>
        </is>
      </c>
      <c r="AX1183" t="inlineStr">
        <is>
          <t>0293-21</t>
        </is>
      </c>
      <c r="AY1183" t="inlineStr">
        <is>
          <t>Anmalan</t>
        </is>
      </c>
      <c r="AZ1183" t="inlineStr">
        <is>
          <t>2026-02-04</t>
        </is>
      </c>
      <c r="BA1183" t="inlineStr">
        <is>
          <t>TK 2025-1240 Anmälan om miljöfarlig verksamhet.pdf</t>
        </is>
      </c>
      <c r="BB1183" t="inlineStr">
        <is>
          <t>Utlämnande av allmän handling</t>
        </is>
      </c>
      <c r="BC1183" t="inlineStr">
        <is>
          <t>AUTO</t>
        </is>
      </c>
      <c r="BD1183" t="inlineStr"/>
      <c r="BE1183" t="inlineStr"/>
      <c r="BF1183" t="inlineStr">
        <is>
          <t>AUTO_GENERERAD. Bekrafta metadata mot kallfil.</t>
        </is>
      </c>
      <c r="BG1183">
        <f>HYPERLINK("C:\Users\jimmy\Desktop\Examens arbete\Kod\Ny mapp\remix_-copy-of-miljöbeslut.se-portal\TK 2025-1240 Anmälan om miljöfarlig verksamhet.pdf", "Öppna PDF")</f>
        <v/>
      </c>
    </row>
    <row r="1184">
      <c r="A1184" t="inlineStr">
        <is>
          <t>KRAV-AUTO-001183</t>
        </is>
      </c>
      <c r="B1184" t="inlineStr">
        <is>
          <t>ADMIN-INDEX-2026-02-27-00000000125C043F57453246863FE664CAFE6A3F0700950291EA24F0614FB6ACEDB12BF0E31D00000000010C0000950291EA24F0614FB6ACEDB12BF0E31D00002087AE750000</t>
        </is>
      </c>
      <c r="C1184" t="inlineStr">
        <is>
          <t>cmm4yupit02nncuqweoqni2b7</t>
        </is>
      </c>
      <c r="D1184" t="inlineStr">
        <is>
          <t>http://localhost:8787/api/admin/requirements/documents/cmm4yupit02nncuqweoqni2b7/view</t>
        </is>
      </c>
      <c r="E1184">
        <f>HYPERLÄNK("http://localhost:8787/api/admin/requirements/documents/cmm4yupit02nncuqweoqni2b7/view";"Öppna PDF")</f>
        <v/>
      </c>
      <c r="F1184">
        <f>HYPERLINK("http://localhost:8787/api/admin/requirements/documents/cmm4yupit02nncuqweoqni2b7/view","Open PDF")</f>
        <v/>
      </c>
      <c r="G1184" t="inlineStr">
        <is>
          <t>cmm55w57p0004cuisfrtpqly8</t>
        </is>
      </c>
      <c r="H1184" t="inlineStr">
        <is>
          <t>Kompletteringskrav</t>
        </is>
      </c>
      <c r="I1184" t="inlineStr">
        <is>
          <t>TransportLogistik</t>
        </is>
      </c>
      <c r="J1184" t="inlineStr">
        <is>
          <t>Transportvagar</t>
        </is>
      </c>
      <c r="K1184" t="inlineStr">
        <is>
          <t>Farligt avfall skall förses med korrekt märkning i väntan på borttransport för slutligt omhändertagande.</t>
        </is>
      </c>
      <c r="L1184" t="inlineStr">
        <is>
          <t>Farligt avfall skall förses med korrekt märkning i väntan på borttransport för slutligt omhändertagande.</t>
        </is>
      </c>
      <c r="M1184" t="inlineStr">
        <is>
          <t>SKA</t>
        </is>
      </c>
      <c r="N1184" t="inlineStr"/>
      <c r="O1184" t="inlineStr"/>
      <c r="P1184" t="inlineStr">
        <is>
          <t>Arlig</t>
        </is>
      </c>
      <c r="Q1184" t="inlineStr"/>
      <c r="R1184" t="inlineStr">
        <is>
          <t>Vid transporter</t>
        </is>
      </c>
      <c r="S1184" t="inlineStr"/>
      <c r="T1184" t="inlineStr">
        <is>
          <t>21 80 00</t>
        </is>
      </c>
      <c r="U1184" t="inlineStr"/>
      <c r="V1184" t="inlineStr"/>
      <c r="W1184" t="inlineStr">
        <is>
          <t>Nej</t>
        </is>
      </c>
      <c r="X1184" t="inlineStr">
        <is>
          <t>Nej</t>
        </is>
      </c>
      <c r="Y1184" t="inlineStr">
        <is>
          <t>Nej</t>
        </is>
      </c>
      <c r="Z1184" t="inlineStr">
        <is>
          <t>Ja</t>
        </is>
      </c>
      <c r="AA1184" t="n">
        <v>9</v>
      </c>
      <c r="AB1184" t="inlineStr">
        <is>
          <t>Transporter och logistik</t>
        </is>
      </c>
      <c r="AC1184" t="inlineStr">
        <is>
          <t>Trafikplan</t>
        </is>
      </c>
      <c r="AD1184" t="inlineStr">
        <is>
          <t>Nej</t>
        </is>
      </c>
      <c r="AE1184" t="inlineStr">
        <is>
          <t>Nej</t>
        </is>
      </c>
      <c r="AF1184" t="inlineStr">
        <is>
          <t>Ej behandlad</t>
        </is>
      </c>
      <c r="AG1184" t="inlineStr">
        <is>
          <t>AUTO_GENERERAD. Verifiera citat mot kallfil.</t>
        </is>
      </c>
      <c r="AH1184" t="inlineStr">
        <is>
          <t>MEDIUM</t>
        </is>
      </c>
      <c r="AI1184" t="inlineStr">
        <is>
          <t>AUTO</t>
        </is>
      </c>
      <c r="AJ1184" t="inlineStr">
        <is>
          <t>Nej</t>
        </is>
      </c>
      <c r="AK1184" t="inlineStr"/>
      <c r="AL1184" t="inlineStr"/>
      <c r="AM1184" t="inlineStr"/>
      <c r="AN1184" t="inlineStr"/>
      <c r="AO1184" t="inlineStr">
        <is>
          <t>cmm4yupj602nzcuqwz84u4s1y</t>
        </is>
      </c>
      <c r="AP1184" t="inlineStr">
        <is>
          <t>http://localhost:8787/api/admin/requirements/documents/cmm4yupj602nzcuqwz84u4s1y/view</t>
        </is>
      </c>
      <c r="AQ1184">
        <f>HYPERLÄNK("http://localhost:8787/api/admin/requirements/documents/cmm4yupj602nzcuqwz84u4s1y/view";"Öppna PDF")</f>
        <v/>
      </c>
      <c r="AR1184">
        <f>HYPERLINK("http://localhost:8787/api/admin/requirements/documents/cmm4yupj602nzcuqwz84u4s1y/view","Open PDF")</f>
        <v/>
      </c>
      <c r="AS1184" t="inlineStr">
        <is>
          <t>cmm55w57p0004cuisfrtpqly8</t>
        </is>
      </c>
      <c r="AT1184" t="inlineStr">
        <is>
          <t>cmm4xvu980000cuh4vj0usz09</t>
        </is>
      </c>
      <c r="AU1184" t="inlineStr">
        <is>
          <t>Fyll i om sökanden är Tierps</t>
        </is>
      </c>
      <c r="AV1184" t="inlineStr">
        <is>
          <t>Kommun</t>
        </is>
      </c>
      <c r="AW1184" t="inlineStr">
        <is>
          <t>Fyll i om sökanden är Tierps kommun</t>
        </is>
      </c>
      <c r="AX1184" t="inlineStr">
        <is>
          <t>0293-21</t>
        </is>
      </c>
      <c r="AY1184" t="inlineStr">
        <is>
          <t>Anmalan</t>
        </is>
      </c>
      <c r="AZ1184" t="inlineStr">
        <is>
          <t>2026-02-04</t>
        </is>
      </c>
      <c r="BA1184" t="inlineStr">
        <is>
          <t>TK 2025-1240 Anmälan om miljöfarlig verksamhet.pdf</t>
        </is>
      </c>
      <c r="BB1184" t="inlineStr">
        <is>
          <t>Utlämnande av allmän handling</t>
        </is>
      </c>
      <c r="BC1184" t="inlineStr">
        <is>
          <t>AUTO</t>
        </is>
      </c>
      <c r="BD1184" t="inlineStr"/>
      <c r="BE1184" t="inlineStr"/>
      <c r="BF1184" t="inlineStr">
        <is>
          <t>AUTO_GENERERAD. Bekrafta metadata mot kallfil.</t>
        </is>
      </c>
      <c r="BG1184">
        <f>HYPERLINK("C:\Users\jimmy\Desktop\Examens arbete\Kod\Ny mapp\remix_-copy-of-miljöbeslut.se-portal\TK 2025-1240 Anmälan om miljöfarlig verksamhet.pdf", "Öppna PDF")</f>
        <v/>
      </c>
    </row>
    <row r="1185">
      <c r="A1185" t="inlineStr">
        <is>
          <t>KRAV-AUTO-001184</t>
        </is>
      </c>
      <c r="B1185" t="inlineStr">
        <is>
          <t>ADMIN-INDEX-2026-02-27-00000000125C043F57453246863FE664CAFE6A3F0700950291EA24F0614FB6ACEDB12BF0E31D00000000010C0000950291EA24F0614FB6ACEDB12BF0E31D00002087AE750000</t>
        </is>
      </c>
      <c r="C1185" t="inlineStr">
        <is>
          <t>cmm4yupit02nncuqweoqni2b7</t>
        </is>
      </c>
      <c r="D1185" t="inlineStr">
        <is>
          <t>http://localhost:8787/api/admin/requirements/documents/cmm4yupit02nncuqweoqni2b7/view</t>
        </is>
      </c>
      <c r="E1185">
        <f>HYPERLÄNK("http://localhost:8787/api/admin/requirements/documents/cmm4yupit02nncuqweoqni2b7/view";"Öppna PDF")</f>
        <v/>
      </c>
      <c r="F1185">
        <f>HYPERLINK("http://localhost:8787/api/admin/requirements/documents/cmm4yupit02nncuqweoqni2b7/view","Open PDF")</f>
        <v/>
      </c>
      <c r="G1185" t="inlineStr">
        <is>
          <t>cmm55w57p0004cuisfrtpqly8</t>
        </is>
      </c>
      <c r="H1185" t="inlineStr">
        <is>
          <t>Kompletteringskrav</t>
        </is>
      </c>
      <c r="I1185" t="inlineStr">
        <is>
          <t>Riskhantering</t>
        </is>
      </c>
      <c r="J1185" t="inlineStr">
        <is>
          <t>Riskkontroll</t>
        </is>
      </c>
      <c r="K1185" t="inlineStr">
        <is>
          <t>Lagring och hantering av kemikalier och farligt avfall, skall ske på sådant sätt att det inte uppstår risk för människors hälsa och miljön.</t>
        </is>
      </c>
      <c r="L1185" t="inlineStr">
        <is>
          <t>Lagring och hantering av kemikalier och farligt avfall, skall ske på sådant sätt att det inte uppstår risk för människors hälsa och miljön.</t>
        </is>
      </c>
      <c r="M1185" t="inlineStr">
        <is>
          <t>SKA</t>
        </is>
      </c>
      <c r="N1185" t="inlineStr"/>
      <c r="O1185" t="inlineStr"/>
      <c r="P1185" t="inlineStr">
        <is>
          <t>Arlig</t>
        </is>
      </c>
      <c r="Q1185" t="inlineStr"/>
      <c r="R1185" t="inlineStr">
        <is>
          <t>Vid risk for incident</t>
        </is>
      </c>
      <c r="S1185" t="inlineStr"/>
      <c r="T1185" t="inlineStr">
        <is>
          <t>21 80 00</t>
        </is>
      </c>
      <c r="U1185" t="inlineStr"/>
      <c r="V1185" t="inlineStr"/>
      <c r="W1185" t="inlineStr">
        <is>
          <t>Nej</t>
        </is>
      </c>
      <c r="X1185" t="inlineStr">
        <is>
          <t>Nej</t>
        </is>
      </c>
      <c r="Y1185" t="inlineStr">
        <is>
          <t>Ja</t>
        </is>
      </c>
      <c r="Z1185" t="inlineStr">
        <is>
          <t>Ja</t>
        </is>
      </c>
      <c r="AA1185" t="n">
        <v>8</v>
      </c>
      <c r="AB1185" t="inlineStr">
        <is>
          <t>Riskhantering</t>
        </is>
      </c>
      <c r="AC1185" t="inlineStr">
        <is>
          <t>Risk-PM</t>
        </is>
      </c>
      <c r="AD1185" t="inlineStr">
        <is>
          <t>Nej</t>
        </is>
      </c>
      <c r="AE1185" t="inlineStr">
        <is>
          <t>Nej</t>
        </is>
      </c>
      <c r="AF1185" t="inlineStr">
        <is>
          <t>Ej behandlad</t>
        </is>
      </c>
      <c r="AG1185" t="inlineStr">
        <is>
          <t>AUTO_GENERERAD. Verifiera citat mot kallfil.</t>
        </is>
      </c>
      <c r="AH1185" t="inlineStr">
        <is>
          <t>MEDIUM</t>
        </is>
      </c>
      <c r="AI1185" t="inlineStr">
        <is>
          <t>AUTO</t>
        </is>
      </c>
      <c r="AJ1185" t="inlineStr">
        <is>
          <t>Nej</t>
        </is>
      </c>
      <c r="AK1185" t="inlineStr"/>
      <c r="AL1185" t="inlineStr"/>
      <c r="AM1185" t="inlineStr"/>
      <c r="AN1185" t="inlineStr"/>
      <c r="AO1185" t="inlineStr">
        <is>
          <t>cmm4yupj602nzcuqwz84u4s1y</t>
        </is>
      </c>
      <c r="AP1185" t="inlineStr">
        <is>
          <t>http://localhost:8787/api/admin/requirements/documents/cmm4yupj602nzcuqwz84u4s1y/view</t>
        </is>
      </c>
      <c r="AQ1185">
        <f>HYPERLÄNK("http://localhost:8787/api/admin/requirements/documents/cmm4yupj602nzcuqwz84u4s1y/view";"Öppna PDF")</f>
        <v/>
      </c>
      <c r="AR1185">
        <f>HYPERLINK("http://localhost:8787/api/admin/requirements/documents/cmm4yupj602nzcuqwz84u4s1y/view","Open PDF")</f>
        <v/>
      </c>
      <c r="AS1185" t="inlineStr">
        <is>
          <t>cmm55w57p0004cuisfrtpqly8</t>
        </is>
      </c>
      <c r="AT1185" t="inlineStr">
        <is>
          <t>cmm4xvu980000cuh4vj0usz09</t>
        </is>
      </c>
      <c r="AU1185" t="inlineStr">
        <is>
          <t>Fyll i om sökanden är Tierps</t>
        </is>
      </c>
      <c r="AV1185" t="inlineStr">
        <is>
          <t>Kommun</t>
        </is>
      </c>
      <c r="AW1185" t="inlineStr">
        <is>
          <t>Fyll i om sökanden är Tierps kommun</t>
        </is>
      </c>
      <c r="AX1185" t="inlineStr">
        <is>
          <t>0293-21</t>
        </is>
      </c>
      <c r="AY1185" t="inlineStr">
        <is>
          <t>Anmalan</t>
        </is>
      </c>
      <c r="AZ1185" t="inlineStr">
        <is>
          <t>2026-02-04</t>
        </is>
      </c>
      <c r="BA1185" t="inlineStr">
        <is>
          <t>TK 2025-1240 Anmälan om miljöfarlig verksamhet.pdf</t>
        </is>
      </c>
      <c r="BB1185" t="inlineStr">
        <is>
          <t>Utlämnande av allmän handling</t>
        </is>
      </c>
      <c r="BC1185" t="inlineStr">
        <is>
          <t>AUTO</t>
        </is>
      </c>
      <c r="BD1185" t="inlineStr"/>
      <c r="BE1185" t="inlineStr"/>
      <c r="BF1185" t="inlineStr">
        <is>
          <t>AUTO_GENERERAD. Bekrafta metadata mot kallfil.</t>
        </is>
      </c>
      <c r="BG1185">
        <f>HYPERLINK("C:\Users\jimmy\Desktop\Examens arbete\Kod\Ny mapp\remix_-copy-of-miljöbeslut.se-portal\TK 2025-1240 Anmälan om miljöfarlig verksamhet.pdf", "Öppna PDF")</f>
        <v/>
      </c>
    </row>
    <row r="1186">
      <c r="A1186" t="inlineStr">
        <is>
          <t>KRAV-AUTO-001185</t>
        </is>
      </c>
      <c r="B1186" t="inlineStr">
        <is>
          <t>ADMIN-INDEX-2026-02-27-00000000125C043F57453246863FE664CAFE6A3F0700950291EA24F0614FB6ACEDB12BF0E31D00000000010C0000950291EA24F0614FB6ACEDB12BF0E31D00002087AE750000</t>
        </is>
      </c>
      <c r="C1186" t="inlineStr">
        <is>
          <t>cmm4yupit02nncuqweoqni2b7</t>
        </is>
      </c>
      <c r="D1186" t="inlineStr">
        <is>
          <t>http://localhost:8787/api/admin/requirements/documents/cmm4yupit02nncuqweoqni2b7/view</t>
        </is>
      </c>
      <c r="E1186">
        <f>HYPERLÄNK("http://localhost:8787/api/admin/requirements/documents/cmm4yupit02nncuqweoqni2b7/view";"Öppna PDF")</f>
        <v/>
      </c>
      <c r="F1186">
        <f>HYPERLINK("http://localhost:8787/api/admin/requirements/documents/cmm4yupit02nncuqweoqni2b7/view","Open PDF")</f>
        <v/>
      </c>
      <c r="G1186" t="inlineStr">
        <is>
          <t>cmm55w57p0004cuisfrtpqly8</t>
        </is>
      </c>
      <c r="H1186" t="inlineStr">
        <is>
          <t>Kompletteringskrav</t>
        </is>
      </c>
      <c r="I1186" t="inlineStr">
        <is>
          <t>Ytkonstruktion</t>
        </is>
      </c>
      <c r="J1186" t="inlineStr">
        <is>
          <t>Tat yta</t>
        </is>
      </c>
      <c r="K1186" t="inlineStr">
        <is>
          <t>Flytande kemikalier och flytande farligt avfall ska förvaras i spillsäker invallning som rymmer hela volymen av den största behållaren plus 10 procent av resterande behållares volym.</t>
        </is>
      </c>
      <c r="L1186" t="inlineStr">
        <is>
          <t>Flytande kemikalier och flytande farligt avfall ska förvaras i spillsäker invallning som rymmer hela volymen av den största behållaren plus 10 procent av resterande behållares volym.</t>
        </is>
      </c>
      <c r="M1186" t="inlineStr">
        <is>
          <t>SKA</t>
        </is>
      </c>
      <c r="N1186" t="inlineStr"/>
      <c r="O1186" t="inlineStr"/>
      <c r="P1186" t="inlineStr">
        <is>
          <t>Arlig</t>
        </is>
      </c>
      <c r="Q1186" t="inlineStr"/>
      <c r="R1186" t="inlineStr">
        <is>
          <t>Vid mellanlagring av avfall</t>
        </is>
      </c>
      <c r="S1186" t="inlineStr"/>
      <c r="T1186" t="inlineStr">
        <is>
          <t>21 80 00</t>
        </is>
      </c>
      <c r="U1186" t="inlineStr"/>
      <c r="V1186" t="inlineStr"/>
      <c r="W1186" t="inlineStr">
        <is>
          <t>Ja</t>
        </is>
      </c>
      <c r="X1186" t="inlineStr">
        <is>
          <t>Nej</t>
        </is>
      </c>
      <c r="Y1186" t="inlineStr">
        <is>
          <t>Nej</t>
        </is>
      </c>
      <c r="Z1186" t="inlineStr">
        <is>
          <t>Nej</t>
        </is>
      </c>
      <c r="AA1186" t="n">
        <v>5</v>
      </c>
      <c r="AB1186" t="inlineStr">
        <is>
          <t>Teknisk beskrivning av platta</t>
        </is>
      </c>
      <c r="AC1186" t="inlineStr">
        <is>
          <t>Teknisk ritning platta</t>
        </is>
      </c>
      <c r="AD1186" t="inlineStr">
        <is>
          <t>Nej</t>
        </is>
      </c>
      <c r="AE1186" t="inlineStr">
        <is>
          <t>Nej</t>
        </is>
      </c>
      <c r="AF1186" t="inlineStr">
        <is>
          <t>Ej behandlad</t>
        </is>
      </c>
      <c r="AG1186" t="inlineStr">
        <is>
          <t>AUTO_GENERERAD. Verifiera citat mot kallfil.</t>
        </is>
      </c>
      <c r="AH1186" t="inlineStr">
        <is>
          <t>MEDIUM</t>
        </is>
      </c>
      <c r="AI1186" t="inlineStr">
        <is>
          <t>AUTO</t>
        </is>
      </c>
      <c r="AJ1186" t="inlineStr">
        <is>
          <t>Nej</t>
        </is>
      </c>
      <c r="AK1186" t="inlineStr"/>
      <c r="AL1186" t="inlineStr"/>
      <c r="AM1186" t="inlineStr"/>
      <c r="AN1186" t="inlineStr"/>
      <c r="AO1186" t="inlineStr">
        <is>
          <t>cmm4yupj602nzcuqwz84u4s1y</t>
        </is>
      </c>
      <c r="AP1186" t="inlineStr">
        <is>
          <t>http://localhost:8787/api/admin/requirements/documents/cmm4yupj602nzcuqwz84u4s1y/view</t>
        </is>
      </c>
      <c r="AQ1186">
        <f>HYPERLÄNK("http://localhost:8787/api/admin/requirements/documents/cmm4yupj602nzcuqwz84u4s1y/view";"Öppna PDF")</f>
        <v/>
      </c>
      <c r="AR1186">
        <f>HYPERLINK("http://localhost:8787/api/admin/requirements/documents/cmm4yupj602nzcuqwz84u4s1y/view","Open PDF")</f>
        <v/>
      </c>
      <c r="AS1186" t="inlineStr">
        <is>
          <t>cmm55w57p0004cuisfrtpqly8</t>
        </is>
      </c>
      <c r="AT1186" t="inlineStr">
        <is>
          <t>cmm4xvu980000cuh4vj0usz09</t>
        </is>
      </c>
      <c r="AU1186" t="inlineStr">
        <is>
          <t>Fyll i om sökanden är Tierps</t>
        </is>
      </c>
      <c r="AV1186" t="inlineStr">
        <is>
          <t>Kommun</t>
        </is>
      </c>
      <c r="AW1186" t="inlineStr">
        <is>
          <t>Fyll i om sökanden är Tierps kommun</t>
        </is>
      </c>
      <c r="AX1186" t="inlineStr">
        <is>
          <t>0293-21</t>
        </is>
      </c>
      <c r="AY1186" t="inlineStr">
        <is>
          <t>Anmalan</t>
        </is>
      </c>
      <c r="AZ1186" t="inlineStr">
        <is>
          <t>2026-02-04</t>
        </is>
      </c>
      <c r="BA1186" t="inlineStr">
        <is>
          <t>TK 2025-1240 Anmälan om miljöfarlig verksamhet.pdf</t>
        </is>
      </c>
      <c r="BB1186" t="inlineStr">
        <is>
          <t>Utlämnande av allmän handling</t>
        </is>
      </c>
      <c r="BC1186" t="inlineStr">
        <is>
          <t>AUTO</t>
        </is>
      </c>
      <c r="BD1186" t="inlineStr"/>
      <c r="BE1186" t="inlineStr"/>
      <c r="BF1186" t="inlineStr">
        <is>
          <t>AUTO_GENERERAD. Bekrafta metadata mot kallfil.</t>
        </is>
      </c>
      <c r="BG1186">
        <f>HYPERLINK("C:\Users\jimmy\Desktop\Examens arbete\Kod\Ny mapp\remix_-copy-of-miljöbeslut.se-portal\TK 2025-1240 Anmälan om miljöfarlig verksamhet.pdf", "Öppna PDF")</f>
        <v/>
      </c>
    </row>
    <row r="1187">
      <c r="A1187" t="inlineStr">
        <is>
          <t>KRAV-AUTO-001186</t>
        </is>
      </c>
      <c r="B1187" t="inlineStr">
        <is>
          <t>ADMIN-INDEX-2026-02-27-00000000125C043F57453246863FE664CAFE6A3F0700950291EA24F0614FB6ACEDB12BF0E31D00000000010C0000950291EA24F0614FB6ACEDB12BF0E31D00002087AE760000</t>
        </is>
      </c>
      <c r="C1187" t="inlineStr">
        <is>
          <t>cmm4yupip02nkcuqwvl8gkfaz</t>
        </is>
      </c>
      <c r="D1187" t="inlineStr">
        <is>
          <t>http://localhost:8787/api/admin/requirements/documents/cmm4yupip02nkcuqwvl8gkfaz/view</t>
        </is>
      </c>
      <c r="E1187">
        <f>HYPERLÄNK("http://localhost:8787/api/admin/requirements/documents/cmm4yupip02nkcuqwvl8gkfaz/view";"Öppna PDF")</f>
        <v/>
      </c>
      <c r="F1187">
        <f>HYPERLINK("http://localhost:8787/api/admin/requirements/documents/cmm4yupip02nkcuqwvl8gkfaz/view","Open PDF")</f>
        <v/>
      </c>
      <c r="G1187" t="inlineStr">
        <is>
          <t>cmm55w57p0004cuisfrtpqly8</t>
        </is>
      </c>
      <c r="H1187" t="inlineStr">
        <is>
          <t>Informationskrav</t>
        </is>
      </c>
      <c r="I1187" t="inlineStr">
        <is>
          <t>DagvattenLakvatten</t>
        </is>
      </c>
      <c r="J1187" t="inlineStr">
        <is>
          <t>Uppsamling</t>
        </is>
      </c>
      <c r="K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7" t="inlineStr">
        <is>
          <t>SKA</t>
        </is>
      </c>
      <c r="N1187" t="inlineStr">
        <is>
          <t>FMH</t>
        </is>
      </c>
      <c r="O1187" t="inlineStr"/>
      <c r="P1187" t="inlineStr"/>
      <c r="Q1187" t="inlineStr"/>
      <c r="R1187" t="inlineStr">
        <is>
          <t>Vid nederbord och avrinning</t>
        </is>
      </c>
      <c r="S1187" t="inlineStr"/>
      <c r="T1187" t="inlineStr">
        <is>
          <t>559205</t>
        </is>
      </c>
      <c r="U1187" t="inlineStr"/>
      <c r="V1187" t="inlineStr"/>
      <c r="W1187" t="inlineStr">
        <is>
          <t>Nej</t>
        </is>
      </c>
      <c r="X1187" t="inlineStr">
        <is>
          <t>Ja</t>
        </is>
      </c>
      <c r="Y1187" t="inlineStr">
        <is>
          <t>Ja</t>
        </is>
      </c>
      <c r="Z1187" t="inlineStr">
        <is>
          <t>Nej</t>
        </is>
      </c>
      <c r="AA1187" t="n">
        <v>6</v>
      </c>
      <c r="AB1187" t="inlineStr">
        <is>
          <t>Lakvattenhantering</t>
        </is>
      </c>
      <c r="AC1187" t="inlineStr">
        <is>
          <t>Flodesschema dagvatten-lakvatten</t>
        </is>
      </c>
      <c r="AD1187" t="inlineStr">
        <is>
          <t>Nej</t>
        </is>
      </c>
      <c r="AE1187" t="inlineStr">
        <is>
          <t>Nej</t>
        </is>
      </c>
      <c r="AF1187" t="inlineStr">
        <is>
          <t>Ej behandlad</t>
        </is>
      </c>
      <c r="AG1187" t="inlineStr">
        <is>
          <t>AUTO_GENERERAD. Verifiera citat mot kallfil.</t>
        </is>
      </c>
      <c r="AH1187" t="inlineStr">
        <is>
          <t>HIGH</t>
        </is>
      </c>
      <c r="AI1187" t="inlineStr">
        <is>
          <t>AUTO</t>
        </is>
      </c>
      <c r="AJ1187" t="inlineStr">
        <is>
          <t>Nej</t>
        </is>
      </c>
      <c r="AK1187" t="inlineStr"/>
      <c r="AL1187" t="inlineStr"/>
      <c r="AM1187" t="inlineStr"/>
      <c r="AN1187" t="inlineStr"/>
      <c r="AO1187" t="inlineStr">
        <is>
          <t>cmm4yupip02nkcuqwvl8gkfaz</t>
        </is>
      </c>
      <c r="AP1187" t="inlineStr">
        <is>
          <t>http://localhost:8787/api/admin/requirements/documents/cmm4yupip02nkcuqwvl8gkfaz/view</t>
        </is>
      </c>
      <c r="AQ1187">
        <f>HYPERLÄNK("http://localhost:8787/api/admin/requirements/documents/cmm4yupip02nkcuqwvl8gkfaz/view";"Öppna PDF")</f>
        <v/>
      </c>
      <c r="AR1187">
        <f>HYPERLINK("http://localhost:8787/api/admin/requirements/documents/cmm4yupip02nkcuqwvl8gkfaz/view","Open PDF")</f>
        <v/>
      </c>
      <c r="AS1187" t="inlineStr">
        <is>
          <t>cmm55w57p0004cuisfrtpqly8</t>
        </is>
      </c>
      <c r="AT1187" t="inlineStr">
        <is>
          <t>cmm4xvu980000cuh4vj0usz09</t>
        </is>
      </c>
      <c r="AU1187" t="inlineStr">
        <is>
          <t>Fyll i om sökanden är Tierps</t>
        </is>
      </c>
      <c r="AV1187" t="inlineStr">
        <is>
          <t>Kommun</t>
        </is>
      </c>
      <c r="AW1187" t="inlineStr">
        <is>
          <t>Fyll i om sökanden är Tierps kommun</t>
        </is>
      </c>
      <c r="AX1187" t="inlineStr">
        <is>
          <t>0293-21</t>
        </is>
      </c>
      <c r="AY1187" t="inlineStr">
        <is>
          <t>Anmalan</t>
        </is>
      </c>
      <c r="AZ1187" t="inlineStr">
        <is>
          <t>2026-02-04</t>
        </is>
      </c>
      <c r="BA1187" t="inlineStr">
        <is>
          <t>TK 2025-1240 Anmälan om miljöfarlig verksamhet.pdf</t>
        </is>
      </c>
      <c r="BB1187" t="inlineStr">
        <is>
          <t>Utlämnande av allmän handling</t>
        </is>
      </c>
      <c r="BC1187" t="inlineStr">
        <is>
          <t>AUTO</t>
        </is>
      </c>
      <c r="BD1187" t="inlineStr"/>
      <c r="BE1187" t="inlineStr"/>
      <c r="BF1187" t="inlineStr">
        <is>
          <t>AUTO_GENERERAD. Bekrafta metadata mot kallfil.</t>
        </is>
      </c>
      <c r="BG1187">
        <f>HYPERLINK("C:\Users\jimmy\Desktop\Examens arbete\Kod\Ny mapp\remix_-copy-of-miljöbeslut.se-portal\TK 2025-1240 Anmälan om miljöfarlig verksamhet.pdf", "Öppna PDF")</f>
        <v/>
      </c>
    </row>
    <row r="1188">
      <c r="A1188" t="inlineStr">
        <is>
          <t>KRAV-AUTO-001187</t>
        </is>
      </c>
      <c r="B1188" t="inlineStr">
        <is>
          <t>ADMIN-INDEX-2026-02-27-00000000125C043F57453246863FE664CAFE6A3F0700950291EA24F0614FB6ACEDB12BF0E31D00000000010C0000950291EA24F0614FB6ACEDB12BF0E31D00002087AE760000</t>
        </is>
      </c>
      <c r="C1188" t="inlineStr">
        <is>
          <t>cmm4yupi902n8cuqwulibqoz9</t>
        </is>
      </c>
      <c r="D1188" t="inlineStr">
        <is>
          <t>http://localhost:8787/api/admin/requirements/documents/cmm4yupi902n8cuqwulibqoz9/view</t>
        </is>
      </c>
      <c r="E1188">
        <f>HYPERLÄNK("http://localhost:8787/api/admin/requirements/documents/cmm4yupi902n8cuqwulibqoz9/view";"Öppna PDF")</f>
        <v/>
      </c>
      <c r="F1188">
        <f>HYPERLINK("http://localhost:8787/api/admin/requirements/documents/cmm4yupi902n8cuqwulibqoz9/view","Open PDF")</f>
        <v/>
      </c>
      <c r="G1188" t="inlineStr">
        <is>
          <t>cmm55w57p0004cuisfrtpqly8</t>
        </is>
      </c>
      <c r="H1188" t="inlineStr">
        <is>
          <t>Kompletteringskrav</t>
        </is>
      </c>
      <c r="I1188" t="inlineStr">
        <is>
          <t>TransportLogistik</t>
        </is>
      </c>
      <c r="J1188" t="inlineStr">
        <is>
          <t>Transportvagar</t>
        </is>
      </c>
      <c r="K1188" t="inlineStr">
        <is>
          <t>Farligt avfall skall förses med korrekt märkning i väntan på borttransport för slutligt omhändertagande.</t>
        </is>
      </c>
      <c r="L1188" t="inlineStr">
        <is>
          <t>Farligt avfall skall förses med korrekt märkning i väntan på borttransport för slutligt omhändertagande.</t>
        </is>
      </c>
      <c r="M1188" t="inlineStr">
        <is>
          <t>SKA</t>
        </is>
      </c>
      <c r="N1188" t="inlineStr"/>
      <c r="O1188" t="inlineStr"/>
      <c r="P1188" t="inlineStr">
        <is>
          <t>Arlig</t>
        </is>
      </c>
      <c r="Q1188" t="inlineStr"/>
      <c r="R1188" t="inlineStr">
        <is>
          <t>Vid transporter</t>
        </is>
      </c>
      <c r="S1188" t="inlineStr"/>
      <c r="T1188" t="inlineStr">
        <is>
          <t>21 80 00</t>
        </is>
      </c>
      <c r="U1188" t="inlineStr"/>
      <c r="V1188" t="inlineStr"/>
      <c r="W1188" t="inlineStr">
        <is>
          <t>Nej</t>
        </is>
      </c>
      <c r="X1188" t="inlineStr">
        <is>
          <t>Nej</t>
        </is>
      </c>
      <c r="Y1188" t="inlineStr">
        <is>
          <t>Nej</t>
        </is>
      </c>
      <c r="Z1188" t="inlineStr">
        <is>
          <t>Ja</t>
        </is>
      </c>
      <c r="AA1188" t="n">
        <v>9</v>
      </c>
      <c r="AB1188" t="inlineStr">
        <is>
          <t>Transporter och logistik</t>
        </is>
      </c>
      <c r="AC1188" t="inlineStr">
        <is>
          <t>Trafikplan</t>
        </is>
      </c>
      <c r="AD1188" t="inlineStr">
        <is>
          <t>Nej</t>
        </is>
      </c>
      <c r="AE1188" t="inlineStr">
        <is>
          <t>Nej</t>
        </is>
      </c>
      <c r="AF1188" t="inlineStr">
        <is>
          <t>Ej behandlad</t>
        </is>
      </c>
      <c r="AG1188" t="inlineStr">
        <is>
          <t>AUTO_GENERERAD. Verifiera citat mot kallfil.</t>
        </is>
      </c>
      <c r="AH1188" t="inlineStr">
        <is>
          <t>MEDIUM</t>
        </is>
      </c>
      <c r="AI1188" t="inlineStr">
        <is>
          <t>AUTO</t>
        </is>
      </c>
      <c r="AJ1188" t="inlineStr">
        <is>
          <t>Nej</t>
        </is>
      </c>
      <c r="AK1188" t="inlineStr"/>
      <c r="AL1188" t="inlineStr"/>
      <c r="AM1188" t="inlineStr"/>
      <c r="AN1188" t="inlineStr"/>
      <c r="AO1188" t="inlineStr">
        <is>
          <t>cmm4yupip02nkcuqwvl8gkfaz</t>
        </is>
      </c>
      <c r="AP1188" t="inlineStr">
        <is>
          <t>http://localhost:8787/api/admin/requirements/documents/cmm4yupip02nkcuqwvl8gkfaz/view</t>
        </is>
      </c>
      <c r="AQ1188">
        <f>HYPERLÄNK("http://localhost:8787/api/admin/requirements/documents/cmm4yupip02nkcuqwvl8gkfaz/view";"Öppna PDF")</f>
        <v/>
      </c>
      <c r="AR1188">
        <f>HYPERLINK("http://localhost:8787/api/admin/requirements/documents/cmm4yupip02nkcuqwvl8gkfaz/view","Open PDF")</f>
        <v/>
      </c>
      <c r="AS1188" t="inlineStr">
        <is>
          <t>cmm55w57p0004cuisfrtpqly8</t>
        </is>
      </c>
      <c r="AT1188" t="inlineStr">
        <is>
          <t>cmm4xvu980000cuh4vj0usz09</t>
        </is>
      </c>
      <c r="AU1188" t="inlineStr">
        <is>
          <t>Fyll i om sökanden är Tierps</t>
        </is>
      </c>
      <c r="AV1188" t="inlineStr">
        <is>
          <t>Kommun</t>
        </is>
      </c>
      <c r="AW1188" t="inlineStr">
        <is>
          <t>Fyll i om sökanden är Tierps kommun</t>
        </is>
      </c>
      <c r="AX1188" t="inlineStr">
        <is>
          <t>0293-21</t>
        </is>
      </c>
      <c r="AY1188" t="inlineStr">
        <is>
          <t>Anmalan</t>
        </is>
      </c>
      <c r="AZ1188" t="inlineStr">
        <is>
          <t>2026-02-04</t>
        </is>
      </c>
      <c r="BA1188" t="inlineStr">
        <is>
          <t>TK 2025-1240 Anmälan om miljöfarlig verksamhet.pdf</t>
        </is>
      </c>
      <c r="BB1188" t="inlineStr">
        <is>
          <t>Utlämnande av allmän handling</t>
        </is>
      </c>
      <c r="BC1188" t="inlineStr">
        <is>
          <t>AUTO</t>
        </is>
      </c>
      <c r="BD1188" t="inlineStr"/>
      <c r="BE1188" t="inlineStr"/>
      <c r="BF1188" t="inlineStr">
        <is>
          <t>AUTO_GENERERAD. Bekrafta metadata mot kallfil.</t>
        </is>
      </c>
      <c r="BG1188">
        <f>HYPERLINK("C:\Users\jimmy\Desktop\Examens arbete\Kod\Ny mapp\remix_-copy-of-miljöbeslut.se-portal\TK 2025-1240 Anmälan om miljöfarlig verksamhet.pdf", "Öppna PDF")</f>
        <v/>
      </c>
    </row>
    <row r="1189">
      <c r="A1189" t="inlineStr">
        <is>
          <t>KRAV-AUTO-001188</t>
        </is>
      </c>
      <c r="B1189" t="inlineStr">
        <is>
          <t>ADMIN-INDEX-2026-02-27-00000000125C043F57453246863FE664CAFE6A3F0700950291EA24F0614FB6ACEDB12BF0E31D00000000010C0000950291EA24F0614FB6ACEDB12BF0E31D00002087AE760000</t>
        </is>
      </c>
      <c r="C1189" t="inlineStr">
        <is>
          <t>cmm4yupi902n8cuqwulibqoz9</t>
        </is>
      </c>
      <c r="D1189" t="inlineStr">
        <is>
          <t>http://localhost:8787/api/admin/requirements/documents/cmm4yupi902n8cuqwulibqoz9/view</t>
        </is>
      </c>
      <c r="E1189">
        <f>HYPERLÄNK("http://localhost:8787/api/admin/requirements/documents/cmm4yupi902n8cuqwulibqoz9/view";"Öppna PDF")</f>
        <v/>
      </c>
      <c r="F1189">
        <f>HYPERLINK("http://localhost:8787/api/admin/requirements/documents/cmm4yupi902n8cuqwulibqoz9/view","Open PDF")</f>
        <v/>
      </c>
      <c r="G1189" t="inlineStr">
        <is>
          <t>cmm55w57p0004cuisfrtpqly8</t>
        </is>
      </c>
      <c r="H1189" t="inlineStr">
        <is>
          <t>Kompletteringskrav</t>
        </is>
      </c>
      <c r="I1189" t="inlineStr">
        <is>
          <t>Riskhantering</t>
        </is>
      </c>
      <c r="J1189" t="inlineStr">
        <is>
          <t>Riskkontroll</t>
        </is>
      </c>
      <c r="K1189" t="inlineStr">
        <is>
          <t>Lagring och hantering av kemikalier och farligt avfall, skall ske på sådant sätt att det inte uppstår risk för människors hälsa och miljön.</t>
        </is>
      </c>
      <c r="L1189" t="inlineStr">
        <is>
          <t>Lagring och hantering av kemikalier och farligt avfall, skall ske på sådant sätt att det inte uppstår risk för människors hälsa och miljön.</t>
        </is>
      </c>
      <c r="M1189" t="inlineStr">
        <is>
          <t>SKA</t>
        </is>
      </c>
      <c r="N1189" t="inlineStr"/>
      <c r="O1189" t="inlineStr"/>
      <c r="P1189" t="inlineStr">
        <is>
          <t>Arlig</t>
        </is>
      </c>
      <c r="Q1189" t="inlineStr"/>
      <c r="R1189" t="inlineStr">
        <is>
          <t>Vid risk for incident</t>
        </is>
      </c>
      <c r="S1189" t="inlineStr"/>
      <c r="T1189" t="inlineStr">
        <is>
          <t>21 80 00</t>
        </is>
      </c>
      <c r="U1189" t="inlineStr"/>
      <c r="V1189" t="inlineStr"/>
      <c r="W1189" t="inlineStr">
        <is>
          <t>Nej</t>
        </is>
      </c>
      <c r="X1189" t="inlineStr">
        <is>
          <t>Nej</t>
        </is>
      </c>
      <c r="Y1189" t="inlineStr">
        <is>
          <t>Ja</t>
        </is>
      </c>
      <c r="Z1189" t="inlineStr">
        <is>
          <t>Ja</t>
        </is>
      </c>
      <c r="AA1189" t="n">
        <v>8</v>
      </c>
      <c r="AB1189" t="inlineStr">
        <is>
          <t>Riskhantering</t>
        </is>
      </c>
      <c r="AC1189" t="inlineStr">
        <is>
          <t>Risk-PM</t>
        </is>
      </c>
      <c r="AD1189" t="inlineStr">
        <is>
          <t>Nej</t>
        </is>
      </c>
      <c r="AE1189" t="inlineStr">
        <is>
          <t>Nej</t>
        </is>
      </c>
      <c r="AF1189" t="inlineStr">
        <is>
          <t>Ej behandlad</t>
        </is>
      </c>
      <c r="AG1189" t="inlineStr">
        <is>
          <t>AUTO_GENERERAD. Verifiera citat mot kallfil.</t>
        </is>
      </c>
      <c r="AH1189" t="inlineStr">
        <is>
          <t>MEDIUM</t>
        </is>
      </c>
      <c r="AI1189" t="inlineStr">
        <is>
          <t>AUTO</t>
        </is>
      </c>
      <c r="AJ1189" t="inlineStr">
        <is>
          <t>Nej</t>
        </is>
      </c>
      <c r="AK1189" t="inlineStr"/>
      <c r="AL1189" t="inlineStr"/>
      <c r="AM1189" t="inlineStr"/>
      <c r="AN1189" t="inlineStr"/>
      <c r="AO1189" t="inlineStr">
        <is>
          <t>cmm4yupip02nkcuqwvl8gkfaz</t>
        </is>
      </c>
      <c r="AP1189" t="inlineStr">
        <is>
          <t>http://localhost:8787/api/admin/requirements/documents/cmm4yupip02nkcuqwvl8gkfaz/view</t>
        </is>
      </c>
      <c r="AQ1189">
        <f>HYPERLÄNK("http://localhost:8787/api/admin/requirements/documents/cmm4yupip02nkcuqwvl8gkfaz/view";"Öppna PDF")</f>
        <v/>
      </c>
      <c r="AR1189">
        <f>HYPERLINK("http://localhost:8787/api/admin/requirements/documents/cmm4yupip02nkcuqwvl8gkfaz/view","Open PDF")</f>
        <v/>
      </c>
      <c r="AS1189" t="inlineStr">
        <is>
          <t>cmm55w57p0004cuisfrtpqly8</t>
        </is>
      </c>
      <c r="AT1189" t="inlineStr">
        <is>
          <t>cmm4xvu980000cuh4vj0usz09</t>
        </is>
      </c>
      <c r="AU1189" t="inlineStr">
        <is>
          <t>Fyll i om sökanden är Tierps</t>
        </is>
      </c>
      <c r="AV1189" t="inlineStr">
        <is>
          <t>Kommun</t>
        </is>
      </c>
      <c r="AW1189" t="inlineStr">
        <is>
          <t>Fyll i om sökanden är Tierps kommun</t>
        </is>
      </c>
      <c r="AX1189" t="inlineStr">
        <is>
          <t>0293-21</t>
        </is>
      </c>
      <c r="AY1189" t="inlineStr">
        <is>
          <t>Anmalan</t>
        </is>
      </c>
      <c r="AZ1189" t="inlineStr">
        <is>
          <t>2026-02-04</t>
        </is>
      </c>
      <c r="BA1189" t="inlineStr">
        <is>
          <t>TK 2025-1240 Anmälan om miljöfarlig verksamhet.pdf</t>
        </is>
      </c>
      <c r="BB1189" t="inlineStr">
        <is>
          <t>Utlämnande av allmän handling</t>
        </is>
      </c>
      <c r="BC1189" t="inlineStr">
        <is>
          <t>AUTO</t>
        </is>
      </c>
      <c r="BD1189" t="inlineStr"/>
      <c r="BE1189" t="inlineStr"/>
      <c r="BF1189" t="inlineStr">
        <is>
          <t>AUTO_GENERERAD. Bekrafta metadata mot kallfil.</t>
        </is>
      </c>
      <c r="BG1189">
        <f>HYPERLINK("C:\Users\jimmy\Desktop\Examens arbete\Kod\Ny mapp\remix_-copy-of-miljöbeslut.se-portal\TK 2025-1240 Anmälan om miljöfarlig verksamhet.pdf", "Öppna PDF")</f>
        <v/>
      </c>
    </row>
    <row r="1190">
      <c r="A1190" t="inlineStr">
        <is>
          <t>KRAV-AUTO-001189</t>
        </is>
      </c>
      <c r="B1190" t="inlineStr">
        <is>
          <t>ADMIN-INDEX-2026-02-27-00000000125C043F57453246863FE664CAFE6A3F0700950291EA24F0614FB6ACEDB12BF0E31D00000000010C0000950291EA24F0614FB6ACEDB12BF0E31D00002087AE760000</t>
        </is>
      </c>
      <c r="C1190" t="inlineStr">
        <is>
          <t>cmm4yupi902n8cuqwulibqoz9</t>
        </is>
      </c>
      <c r="D1190" t="inlineStr">
        <is>
          <t>http://localhost:8787/api/admin/requirements/documents/cmm4yupi902n8cuqwulibqoz9/view</t>
        </is>
      </c>
      <c r="E1190">
        <f>HYPERLÄNK("http://localhost:8787/api/admin/requirements/documents/cmm4yupi902n8cuqwulibqoz9/view";"Öppna PDF")</f>
        <v/>
      </c>
      <c r="F1190">
        <f>HYPERLINK("http://localhost:8787/api/admin/requirements/documents/cmm4yupi902n8cuqwulibqoz9/view","Open PDF")</f>
        <v/>
      </c>
      <c r="G1190" t="inlineStr">
        <is>
          <t>cmm55w57p0004cuisfrtpqly8</t>
        </is>
      </c>
      <c r="H1190" t="inlineStr">
        <is>
          <t>Kompletteringskrav</t>
        </is>
      </c>
      <c r="I1190" t="inlineStr">
        <is>
          <t>Ytkonstruktion</t>
        </is>
      </c>
      <c r="J1190" t="inlineStr">
        <is>
          <t>Tat yta</t>
        </is>
      </c>
      <c r="K1190" t="inlineStr">
        <is>
          <t>Flytande kemikalier och flytande farligt avfall ska förvaras i spillsäker invallning som rymmer hela volymen av den största behållaren plus 10 procent av resterande behållares volym.</t>
        </is>
      </c>
      <c r="L1190" t="inlineStr">
        <is>
          <t>Flytande kemikalier och flytande farligt avfall ska förvaras i spillsäker invallning som rymmer hela volymen av den största behållaren plus 10 procent av resterande behållares volym.</t>
        </is>
      </c>
      <c r="M1190" t="inlineStr">
        <is>
          <t>SKA</t>
        </is>
      </c>
      <c r="N1190" t="inlineStr"/>
      <c r="O1190" t="inlineStr"/>
      <c r="P1190" t="inlineStr">
        <is>
          <t>Arlig</t>
        </is>
      </c>
      <c r="Q1190" t="inlineStr"/>
      <c r="R1190" t="inlineStr">
        <is>
          <t>Vid mellanlagring av avfall</t>
        </is>
      </c>
      <c r="S1190" t="inlineStr"/>
      <c r="T1190" t="inlineStr">
        <is>
          <t>21 80 00</t>
        </is>
      </c>
      <c r="U1190" t="inlineStr"/>
      <c r="V1190" t="inlineStr"/>
      <c r="W1190" t="inlineStr">
        <is>
          <t>Ja</t>
        </is>
      </c>
      <c r="X1190" t="inlineStr">
        <is>
          <t>Nej</t>
        </is>
      </c>
      <c r="Y1190" t="inlineStr">
        <is>
          <t>Nej</t>
        </is>
      </c>
      <c r="Z1190" t="inlineStr">
        <is>
          <t>Nej</t>
        </is>
      </c>
      <c r="AA1190" t="n">
        <v>5</v>
      </c>
      <c r="AB1190" t="inlineStr">
        <is>
          <t>Teknisk beskrivning av platta</t>
        </is>
      </c>
      <c r="AC1190" t="inlineStr">
        <is>
          <t>Teknisk ritning platta</t>
        </is>
      </c>
      <c r="AD1190" t="inlineStr">
        <is>
          <t>Nej</t>
        </is>
      </c>
      <c r="AE1190" t="inlineStr">
        <is>
          <t>Nej</t>
        </is>
      </c>
      <c r="AF1190" t="inlineStr">
        <is>
          <t>Ej behandlad</t>
        </is>
      </c>
      <c r="AG1190" t="inlineStr">
        <is>
          <t>AUTO_GENERERAD. Verifiera citat mot kallfil.</t>
        </is>
      </c>
      <c r="AH1190" t="inlineStr">
        <is>
          <t>MEDIUM</t>
        </is>
      </c>
      <c r="AI1190" t="inlineStr">
        <is>
          <t>AUTO</t>
        </is>
      </c>
      <c r="AJ1190" t="inlineStr">
        <is>
          <t>Nej</t>
        </is>
      </c>
      <c r="AK1190" t="inlineStr"/>
      <c r="AL1190" t="inlineStr"/>
      <c r="AM1190" t="inlineStr"/>
      <c r="AN1190" t="inlineStr"/>
      <c r="AO1190" t="inlineStr">
        <is>
          <t>cmm4yupip02nkcuqwvl8gkfaz</t>
        </is>
      </c>
      <c r="AP1190" t="inlineStr">
        <is>
          <t>http://localhost:8787/api/admin/requirements/documents/cmm4yupip02nkcuqwvl8gkfaz/view</t>
        </is>
      </c>
      <c r="AQ1190">
        <f>HYPERLÄNK("http://localhost:8787/api/admin/requirements/documents/cmm4yupip02nkcuqwvl8gkfaz/view";"Öppna PDF")</f>
        <v/>
      </c>
      <c r="AR1190">
        <f>HYPERLINK("http://localhost:8787/api/admin/requirements/documents/cmm4yupip02nkcuqwvl8gkfaz/view","Open PDF")</f>
        <v/>
      </c>
      <c r="AS1190" t="inlineStr">
        <is>
          <t>cmm55w57p0004cuisfrtpqly8</t>
        </is>
      </c>
      <c r="AT1190" t="inlineStr">
        <is>
          <t>cmm4xvu980000cuh4vj0usz09</t>
        </is>
      </c>
      <c r="AU1190" t="inlineStr">
        <is>
          <t>Fyll i om sökanden är Tierps</t>
        </is>
      </c>
      <c r="AV1190" t="inlineStr">
        <is>
          <t>Kommun</t>
        </is>
      </c>
      <c r="AW1190" t="inlineStr">
        <is>
          <t>Fyll i om sökanden är Tierps kommun</t>
        </is>
      </c>
      <c r="AX1190" t="inlineStr">
        <is>
          <t>0293-21</t>
        </is>
      </c>
      <c r="AY1190" t="inlineStr">
        <is>
          <t>Anmalan</t>
        </is>
      </c>
      <c r="AZ1190" t="inlineStr">
        <is>
          <t>2026-02-04</t>
        </is>
      </c>
      <c r="BA1190" t="inlineStr">
        <is>
          <t>TK 2025-1240 Anmälan om miljöfarlig verksamhet.pdf</t>
        </is>
      </c>
      <c r="BB1190" t="inlineStr">
        <is>
          <t>Utlämnande av allmän handling</t>
        </is>
      </c>
      <c r="BC1190" t="inlineStr">
        <is>
          <t>AUTO</t>
        </is>
      </c>
      <c r="BD1190" t="inlineStr"/>
      <c r="BE1190" t="inlineStr"/>
      <c r="BF1190" t="inlineStr">
        <is>
          <t>AUTO_GENERERAD. Bekrafta metadata mot kallfil.</t>
        </is>
      </c>
      <c r="BG1190">
        <f>HYPERLINK("C:\Users\jimmy\Desktop\Examens arbete\Kod\Ny mapp\remix_-copy-of-miljöbeslut.se-portal\TK 2025-1240 Anmälan om miljöfarlig verksamhet.pdf", "Öppna PDF")</f>
        <v/>
      </c>
    </row>
    <row r="1191">
      <c r="A1191" t="inlineStr">
        <is>
          <t>KRAV-AUTO-001190</t>
        </is>
      </c>
      <c r="B1191" t="inlineStr">
        <is>
          <t>ADMIN-INDEX-2026-02-27-00000000125C043F57453246863FE664CAFE6A3F0700950291EA24F0614FB6ACEDB12BF0E31D00000000010C0000950291EA24F0614FB6ACEDB12BF0E31D00002087AE790000</t>
        </is>
      </c>
      <c r="C1191" t="inlineStr">
        <is>
          <t>cmm4yuphs02mtcuqwxbrtxsxi</t>
        </is>
      </c>
      <c r="D1191" t="inlineStr">
        <is>
          <t>http://localhost:8787/api/admin/requirements/documents/cmm4yuphs02mtcuqwxbrtxsxi/view</t>
        </is>
      </c>
      <c r="E1191">
        <f>HYPERLÄNK("http://localhost:8787/api/admin/requirements/documents/cmm4yuphs02mtcuqwxbrtxsxi/view";"Öppna PDF")</f>
        <v/>
      </c>
      <c r="F1191">
        <f>HYPERLINK("http://localhost:8787/api/admin/requirements/documents/cmm4yuphs02mtcuqwxbrtxsxi/view","Open PDF")</f>
        <v/>
      </c>
      <c r="G1191" t="inlineStr">
        <is>
          <t>cmm55w57p0004cuisfrtpqly8</t>
        </is>
      </c>
      <c r="H1191" t="inlineStr">
        <is>
          <t>Beslutsvillkor</t>
        </is>
      </c>
      <c r="I1191" t="inlineStr">
        <is>
          <t>DagvattenLakvatten</t>
        </is>
      </c>
      <c r="J1191" t="inlineStr">
        <is>
          <t>Uppsamling</t>
        </is>
      </c>
      <c r="K1191" t="inlineStr">
        <is>
          <t>Lakvatten som avrinner från upplagsplatsen ska samlas upp och behandlas i Lessebo avloppsreningsverk.</t>
        </is>
      </c>
      <c r="L1191" t="inlineStr">
        <is>
          <t>Lakvatten som avrinner från upplagsplatsen ska samlas upp och behandlas i Lessebo avloppsreningsverk.</t>
        </is>
      </c>
      <c r="M1191" t="inlineStr">
        <is>
          <t>SKA</t>
        </is>
      </c>
      <c r="N1191" t="inlineStr"/>
      <c r="O1191" t="inlineStr"/>
      <c r="P1191" t="inlineStr"/>
      <c r="Q1191" t="inlineStr"/>
      <c r="R1191" t="inlineStr">
        <is>
          <t>Vid nederbord och avrinning</t>
        </is>
      </c>
      <c r="S1191" t="inlineStr"/>
      <c r="T1191" t="inlineStr">
        <is>
          <t>212000</t>
        </is>
      </c>
      <c r="U1191" t="inlineStr"/>
      <c r="V1191" t="inlineStr"/>
      <c r="W1191" t="inlineStr">
        <is>
          <t>Nej</t>
        </is>
      </c>
      <c r="X1191" t="inlineStr">
        <is>
          <t>Ja</t>
        </is>
      </c>
      <c r="Y1191" t="inlineStr">
        <is>
          <t>Ja</t>
        </is>
      </c>
      <c r="Z1191" t="inlineStr">
        <is>
          <t>Nej</t>
        </is>
      </c>
      <c r="AA1191" t="n">
        <v>6</v>
      </c>
      <c r="AB1191" t="inlineStr">
        <is>
          <t>Lakvattenhantering</t>
        </is>
      </c>
      <c r="AC1191" t="inlineStr">
        <is>
          <t>Flodesschema dagvatten-lakvatten</t>
        </is>
      </c>
      <c r="AD1191" t="inlineStr">
        <is>
          <t>Nej</t>
        </is>
      </c>
      <c r="AE1191" t="inlineStr">
        <is>
          <t>Nej</t>
        </is>
      </c>
      <c r="AF1191" t="inlineStr">
        <is>
          <t>Ej behandlad</t>
        </is>
      </c>
      <c r="AG1191" t="inlineStr">
        <is>
          <t>AUTO_GENERERAD. Verifiera citat mot kallfil.</t>
        </is>
      </c>
      <c r="AH1191" t="inlineStr">
        <is>
          <t>MEDIUM</t>
        </is>
      </c>
      <c r="AI1191" t="inlineStr">
        <is>
          <t>AUTO</t>
        </is>
      </c>
      <c r="AJ1191" t="inlineStr">
        <is>
          <t>Nej</t>
        </is>
      </c>
      <c r="AK1191" t="inlineStr"/>
      <c r="AL1191" t="inlineStr"/>
      <c r="AM1191" t="inlineStr"/>
      <c r="AN1191" t="inlineStr"/>
      <c r="AO1191" t="inlineStr">
        <is>
          <t>cmm4yuphs02mtcuqwxbrtxsxi</t>
        </is>
      </c>
      <c r="AP1191" t="inlineStr">
        <is>
          <t>http://localhost:8787/api/admin/requirements/documents/cmm4yuphs02mtcuqwxbrtxsxi/view</t>
        </is>
      </c>
      <c r="AQ1191">
        <f>HYPERLÄNK("http://localhost:8787/api/admin/requirements/documents/cmm4yuphs02mtcuqwxbrtxsxi/view";"Öppna PDF")</f>
        <v/>
      </c>
      <c r="AR1191">
        <f>HYPERLINK("http://localhost:8787/api/admin/requirements/documents/cmm4yuphs02mtcuqwxbrtxsxi/view","Open PDF")</f>
        <v/>
      </c>
      <c r="AS1191" t="inlineStr">
        <is>
          <t>cmm55w57p0004cuisfrtpqly8</t>
        </is>
      </c>
      <c r="AT1191" t="inlineStr">
        <is>
          <t>cmm4xvu980000cuh4vj0usz09</t>
        </is>
      </c>
      <c r="AU1191" t="inlineStr">
        <is>
          <t>Vreta Kloster Postadress Lessebo</t>
        </is>
      </c>
      <c r="AV1191" t="inlineStr">
        <is>
          <t>Kommun</t>
        </is>
      </c>
      <c r="AW1191" t="inlineStr">
        <is>
          <t>Vreta Kloster Postadress Lessebo kommun</t>
        </is>
      </c>
      <c r="AX1191" t="inlineStr">
        <is>
          <t>2025-05</t>
        </is>
      </c>
      <c r="AY1191" t="inlineStr">
        <is>
          <t>Beslut</t>
        </is>
      </c>
      <c r="AZ1191" t="inlineStr">
        <is>
          <t>2026-02-04</t>
        </is>
      </c>
      <c r="BA1191" t="inlineStr">
        <is>
          <t>MN-2025-119_Delegationsbeslut_2025-05-07.pdf</t>
        </is>
      </c>
      <c r="BB1191" t="inlineStr">
        <is>
          <t>Sv: till registrator</t>
        </is>
      </c>
      <c r="BC1191" t="inlineStr">
        <is>
          <t>AUTO</t>
        </is>
      </c>
      <c r="BD1191" t="inlineStr"/>
      <c r="BE1191" t="inlineStr"/>
      <c r="BF1191" t="inlineStr">
        <is>
          <t>AUTO_GENERERAD. Bekrafta metadata mot kallfil.</t>
        </is>
      </c>
      <c r="BG1191">
        <f>HYPERLINK("C:\Users\jimmy\Desktop\Examens arbete\Kod\Ny mapp\remix_-copy-of-miljöbeslut.se-portal\MN-2025-119_Delegationsbeslut_2025-05-07.pdf", "Öppna PDF")</f>
        <v/>
      </c>
    </row>
    <row r="1192">
      <c r="A1192" t="inlineStr">
        <is>
          <t>KRAV-AUTO-001191</t>
        </is>
      </c>
      <c r="B1192" t="inlineStr">
        <is>
          <t>ADMIN-INDEX-2026-02-27-00000000125C043F57453246863FE664CAFE6A3F0700950291EA24F0614FB6ACEDB12BF0E31D00000000010C0000950291EA24F0614FB6ACEDB12BF0E31D00002087AE790000</t>
        </is>
      </c>
      <c r="C1192" t="inlineStr">
        <is>
          <t>cmm4yuphs02mtcuqwxbrtxsxi</t>
        </is>
      </c>
      <c r="D1192" t="inlineStr">
        <is>
          <t>http://localhost:8787/api/admin/requirements/documents/cmm4yuphs02mtcuqwxbrtxsxi/view</t>
        </is>
      </c>
      <c r="E1192">
        <f>HYPERLÄNK("http://localhost:8787/api/admin/requirements/documents/cmm4yuphs02mtcuqwxbrtxsxi/view";"Öppna PDF")</f>
        <v/>
      </c>
      <c r="F1192">
        <f>HYPERLINK("http://localhost:8787/api/admin/requirements/documents/cmm4yuphs02mtcuqwxbrtxsxi/view","Open PDF")</f>
        <v/>
      </c>
      <c r="G1192" t="inlineStr">
        <is>
          <t>cmm55w57p0004cuisfrtpqly8</t>
        </is>
      </c>
      <c r="H1192" t="inlineStr">
        <is>
          <t>Beslutsvillkor</t>
        </is>
      </c>
      <c r="I1192" t="inlineStr">
        <is>
          <t>DagvattenLakvatten</t>
        </is>
      </c>
      <c r="J1192" t="inlineStr">
        <is>
          <t>Uppsamling</t>
        </is>
      </c>
      <c r="K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2" t="inlineStr">
        <is>
          <t>INFO</t>
        </is>
      </c>
      <c r="N1192" t="inlineStr">
        <is>
          <t>FMH</t>
        </is>
      </c>
      <c r="O1192" t="inlineStr">
        <is>
          <t>2025-03-11</t>
        </is>
      </c>
      <c r="P1192" t="inlineStr">
        <is>
          <t>Arlig</t>
        </is>
      </c>
      <c r="Q1192" t="inlineStr"/>
      <c r="R1192" t="inlineStr">
        <is>
          <t>Vid nederbord och avrinning</t>
        </is>
      </c>
      <c r="S1192" t="inlineStr"/>
      <c r="T1192" t="inlineStr">
        <is>
          <t>19 08 05</t>
        </is>
      </c>
      <c r="U1192" t="n">
        <v>6000</v>
      </c>
      <c r="V1192" t="inlineStr"/>
      <c r="W1192" t="inlineStr">
        <is>
          <t>Nej</t>
        </is>
      </c>
      <c r="X1192" t="inlineStr">
        <is>
          <t>Ja</t>
        </is>
      </c>
      <c r="Y1192" t="inlineStr">
        <is>
          <t>Ja</t>
        </is>
      </c>
      <c r="Z1192" t="inlineStr">
        <is>
          <t>Nej</t>
        </is>
      </c>
      <c r="AA1192" t="n">
        <v>6</v>
      </c>
      <c r="AB1192" t="inlineStr">
        <is>
          <t>Lakvattenhantering</t>
        </is>
      </c>
      <c r="AC1192" t="inlineStr">
        <is>
          <t>Flodesschema dagvatten-lakvatten</t>
        </is>
      </c>
      <c r="AD1192" t="inlineStr">
        <is>
          <t>Nej</t>
        </is>
      </c>
      <c r="AE1192" t="inlineStr">
        <is>
          <t>Nej</t>
        </is>
      </c>
      <c r="AF1192" t="inlineStr">
        <is>
          <t>Ej behandlad</t>
        </is>
      </c>
      <c r="AG1192" t="inlineStr">
        <is>
          <t>AUTO_GENERERAD. Verifiera citat mot kallfil.</t>
        </is>
      </c>
      <c r="AH1192" t="inlineStr">
        <is>
          <t>HIGH</t>
        </is>
      </c>
      <c r="AI1192" t="inlineStr">
        <is>
          <t>AUTO</t>
        </is>
      </c>
      <c r="AJ1192" t="inlineStr">
        <is>
          <t>Nej</t>
        </is>
      </c>
      <c r="AK1192" t="inlineStr"/>
      <c r="AL1192" t="inlineStr"/>
      <c r="AM1192" t="inlineStr"/>
      <c r="AN1192" t="inlineStr"/>
      <c r="AO1192" t="inlineStr">
        <is>
          <t>cmm4yuphs02mtcuqwxbrtxsxi</t>
        </is>
      </c>
      <c r="AP1192" t="inlineStr">
        <is>
          <t>http://localhost:8787/api/admin/requirements/documents/cmm4yuphs02mtcuqwxbrtxsxi/view</t>
        </is>
      </c>
      <c r="AQ1192">
        <f>HYPERLÄNK("http://localhost:8787/api/admin/requirements/documents/cmm4yuphs02mtcuqwxbrtxsxi/view";"Öppna PDF")</f>
        <v/>
      </c>
      <c r="AR1192">
        <f>HYPERLINK("http://localhost:8787/api/admin/requirements/documents/cmm4yuphs02mtcuqwxbrtxsxi/view","Open PDF")</f>
        <v/>
      </c>
      <c r="AS1192" t="inlineStr">
        <is>
          <t>cmm55w57p0004cuisfrtpqly8</t>
        </is>
      </c>
      <c r="AT1192" t="inlineStr">
        <is>
          <t>cmm4xvu980000cuh4vj0usz09</t>
        </is>
      </c>
      <c r="AU1192" t="inlineStr">
        <is>
          <t>Vreta Kloster Postadress Lessebo</t>
        </is>
      </c>
      <c r="AV1192" t="inlineStr">
        <is>
          <t>Kommun</t>
        </is>
      </c>
      <c r="AW1192" t="inlineStr">
        <is>
          <t>Vreta Kloster Postadress Lessebo kommun</t>
        </is>
      </c>
      <c r="AX1192" t="inlineStr">
        <is>
          <t>2025-05</t>
        </is>
      </c>
      <c r="AY1192" t="inlineStr">
        <is>
          <t>Beslut</t>
        </is>
      </c>
      <c r="AZ1192" t="inlineStr">
        <is>
          <t>2026-02-04</t>
        </is>
      </c>
      <c r="BA1192" t="inlineStr">
        <is>
          <t>MN-2025-119_Delegationsbeslut_2025-05-07.pdf</t>
        </is>
      </c>
      <c r="BB1192" t="inlineStr">
        <is>
          <t>Sv: till registrator</t>
        </is>
      </c>
      <c r="BC1192" t="inlineStr">
        <is>
          <t>AUTO</t>
        </is>
      </c>
      <c r="BD1192" t="inlineStr"/>
      <c r="BE1192" t="inlineStr"/>
      <c r="BF1192" t="inlineStr">
        <is>
          <t>AUTO_GENERERAD. Bekrafta metadata mot kallfil.</t>
        </is>
      </c>
      <c r="BG1192">
        <f>HYPERLINK("C:\Users\jimmy\Desktop\Examens arbete\Kod\Ny mapp\remix_-copy-of-miljöbeslut.se-portal\MN-2025-119_Delegationsbeslut_2025-05-07.pdf", "Öppna PDF")</f>
        <v/>
      </c>
    </row>
    <row r="1193">
      <c r="A1193" t="inlineStr">
        <is>
          <t>KRAV-AUTO-001192</t>
        </is>
      </c>
      <c r="B1193" t="inlineStr">
        <is>
          <t>ADMIN-INDEX-2026-02-27-00000000125C043F57453246863FE664CAFE6A3F0700950291EA24F0614FB6ACEDB12BF0E31D00000000010C0000950291EA24F0614FB6ACEDB12BF0E31D00002087AE790000</t>
        </is>
      </c>
      <c r="C1193" t="inlineStr">
        <is>
          <t>cmm4yuphs02mtcuqwxbrtxsxi</t>
        </is>
      </c>
      <c r="D1193" t="inlineStr">
        <is>
          <t>http://localhost:8787/api/admin/requirements/documents/cmm4yuphs02mtcuqwxbrtxsxi/view</t>
        </is>
      </c>
      <c r="E1193">
        <f>HYPERLÄNK("http://localhost:8787/api/admin/requirements/documents/cmm4yuphs02mtcuqwxbrtxsxi/view";"Öppna PDF")</f>
        <v/>
      </c>
      <c r="F1193">
        <f>HYPERLINK("http://localhost:8787/api/admin/requirements/documents/cmm4yuphs02mtcuqwxbrtxsxi/view","Open PDF")</f>
        <v/>
      </c>
      <c r="G1193" t="inlineStr">
        <is>
          <t>cmm55w57p0004cuisfrtpqly8</t>
        </is>
      </c>
      <c r="H1193" t="inlineStr">
        <is>
          <t>Beslutsvillkor</t>
        </is>
      </c>
      <c r="I1193" t="inlineStr">
        <is>
          <t>LagringsvolymTid</t>
        </is>
      </c>
      <c r="J1193" t="inlineStr">
        <is>
          <t>Maxmangd</t>
        </is>
      </c>
      <c r="K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193" t="inlineStr">
        <is>
          <t>SKA</t>
        </is>
      </c>
      <c r="N1193" t="inlineStr">
        <is>
          <t>FMH</t>
        </is>
      </c>
      <c r="O1193" t="inlineStr"/>
      <c r="P1193" t="inlineStr"/>
      <c r="Q1193" t="inlineStr"/>
      <c r="R1193" t="inlineStr">
        <is>
          <t>Alltid</t>
        </is>
      </c>
      <c r="S1193" t="inlineStr"/>
      <c r="T1193" t="inlineStr">
        <is>
          <t>212000</t>
        </is>
      </c>
      <c r="U1193" t="inlineStr"/>
      <c r="V1193" t="inlineStr"/>
      <c r="W1193" t="inlineStr">
        <is>
          <t>Nej</t>
        </is>
      </c>
      <c r="X1193" t="inlineStr">
        <is>
          <t>Nej</t>
        </is>
      </c>
      <c r="Y1193" t="inlineStr">
        <is>
          <t>Nej</t>
        </is>
      </c>
      <c r="Z1193" t="inlineStr">
        <is>
          <t>Nej</t>
        </is>
      </c>
      <c r="AA1193" t="n">
        <v>4</v>
      </c>
      <c r="AB1193" t="inlineStr">
        <is>
          <t>Avfallsmangder och lagringstid</t>
        </is>
      </c>
      <c r="AC1193" t="inlineStr">
        <is>
          <t>Avfallsforteckning</t>
        </is>
      </c>
      <c r="AD1193" t="inlineStr">
        <is>
          <t>Nej</t>
        </is>
      </c>
      <c r="AE1193" t="inlineStr">
        <is>
          <t>Nej</t>
        </is>
      </c>
      <c r="AF1193" t="inlineStr">
        <is>
          <t>Ej behandlad</t>
        </is>
      </c>
      <c r="AG1193" t="inlineStr">
        <is>
          <t>AUTO_GENERERAD. Verifiera citat mot kallfil.</t>
        </is>
      </c>
      <c r="AH1193" t="inlineStr">
        <is>
          <t>HIGH</t>
        </is>
      </c>
      <c r="AI1193" t="inlineStr">
        <is>
          <t>AUTO</t>
        </is>
      </c>
      <c r="AJ1193" t="inlineStr">
        <is>
          <t>Nej</t>
        </is>
      </c>
      <c r="AK1193" t="inlineStr"/>
      <c r="AL1193" t="inlineStr"/>
      <c r="AM1193" t="inlineStr"/>
      <c r="AN1193" t="inlineStr"/>
      <c r="AO1193" t="inlineStr">
        <is>
          <t>cmm4yuphs02mtcuqwxbrtxsxi</t>
        </is>
      </c>
      <c r="AP1193" t="inlineStr">
        <is>
          <t>http://localhost:8787/api/admin/requirements/documents/cmm4yuphs02mtcuqwxbrtxsxi/view</t>
        </is>
      </c>
      <c r="AQ1193">
        <f>HYPERLÄNK("http://localhost:8787/api/admin/requirements/documents/cmm4yuphs02mtcuqwxbrtxsxi/view";"Öppna PDF")</f>
        <v/>
      </c>
      <c r="AR1193">
        <f>HYPERLINK("http://localhost:8787/api/admin/requirements/documents/cmm4yuphs02mtcuqwxbrtxsxi/view","Open PDF")</f>
        <v/>
      </c>
      <c r="AS1193" t="inlineStr">
        <is>
          <t>cmm55w57p0004cuisfrtpqly8</t>
        </is>
      </c>
      <c r="AT1193" t="inlineStr">
        <is>
          <t>cmm4xvu980000cuh4vj0usz09</t>
        </is>
      </c>
      <c r="AU1193" t="inlineStr">
        <is>
          <t>Vreta Kloster Postadress Lessebo</t>
        </is>
      </c>
      <c r="AV1193" t="inlineStr">
        <is>
          <t>Kommun</t>
        </is>
      </c>
      <c r="AW1193" t="inlineStr">
        <is>
          <t>Vreta Kloster Postadress Lessebo kommun</t>
        </is>
      </c>
      <c r="AX1193" t="inlineStr">
        <is>
          <t>2025-05</t>
        </is>
      </c>
      <c r="AY1193" t="inlineStr">
        <is>
          <t>Beslut</t>
        </is>
      </c>
      <c r="AZ1193" t="inlineStr">
        <is>
          <t>2026-02-04</t>
        </is>
      </c>
      <c r="BA1193" t="inlineStr">
        <is>
          <t>MN-2025-119_Delegationsbeslut_2025-05-07.pdf</t>
        </is>
      </c>
      <c r="BB1193" t="inlineStr">
        <is>
          <t>Sv: till registrator</t>
        </is>
      </c>
      <c r="BC1193" t="inlineStr">
        <is>
          <t>AUTO</t>
        </is>
      </c>
      <c r="BD1193" t="inlineStr"/>
      <c r="BE1193" t="inlineStr"/>
      <c r="BF1193" t="inlineStr">
        <is>
          <t>AUTO_GENERERAD. Bekrafta metadata mot kallfil.</t>
        </is>
      </c>
      <c r="BG1193">
        <f>HYPERLINK("C:\Users\jimmy\Desktop\Examens arbete\Kod\Ny mapp\remix_-copy-of-miljöbeslut.se-portal\MN-2025-119_Delegationsbeslut_2025-05-07.pdf", "Öppna PDF")</f>
        <v/>
      </c>
    </row>
    <row r="1194">
      <c r="A1194" t="inlineStr">
        <is>
          <t>KRAV-AUTO-001193</t>
        </is>
      </c>
      <c r="B1194" t="inlineStr">
        <is>
          <t>ADMIN-INDEX-2026-02-27-00000000125C043F57453246863FE664CAFE6A3F0700950291EA24F0614FB6ACEDB12BF0E31D00000000010C0000950291EA24F0614FB6ACEDB12BF0E31D00002087AE790000</t>
        </is>
      </c>
      <c r="C1194" t="inlineStr">
        <is>
          <t>cmm4yuphk02mkcuqw6kd78i98</t>
        </is>
      </c>
      <c r="D1194" t="inlineStr">
        <is>
          <t>http://localhost:8787/api/admin/requirements/documents/cmm4yuphk02mkcuqw6kd78i98/view</t>
        </is>
      </c>
      <c r="E1194">
        <f>HYPERLÄNK("http://localhost:8787/api/admin/requirements/documents/cmm4yuphk02mkcuqw6kd78i98/view";"Öppna PDF")</f>
        <v/>
      </c>
      <c r="F1194">
        <f>HYPERLINK("http://localhost:8787/api/admin/requirements/documents/cmm4yuphk02mkcuqw6kd78i98/view","Open PDF")</f>
        <v/>
      </c>
      <c r="G1194" t="inlineStr">
        <is>
          <t>cmm55w57p0004cuisfrtpqly8</t>
        </is>
      </c>
      <c r="H1194" t="inlineStr">
        <is>
          <t>Beslutsvillkor</t>
        </is>
      </c>
      <c r="I1194" t="inlineStr">
        <is>
          <t>DagvattenLakvatten</t>
        </is>
      </c>
      <c r="J1194" t="inlineStr">
        <is>
          <t>Uppsamling</t>
        </is>
      </c>
      <c r="K1194" t="inlineStr">
        <is>
          <t>Lakvatten som avrinner från upplagsplatsen ska samlas upp och behandlas i Lessebo avloppsreningsverk.</t>
        </is>
      </c>
      <c r="L1194" t="inlineStr">
        <is>
          <t>Lakvatten som avrinner från upplagsplatsen ska samlas upp och behandlas i Lessebo avloppsreningsverk.</t>
        </is>
      </c>
      <c r="M1194" t="inlineStr">
        <is>
          <t>SKA</t>
        </is>
      </c>
      <c r="N1194" t="inlineStr"/>
      <c r="O1194" t="inlineStr"/>
      <c r="P1194" t="inlineStr"/>
      <c r="Q1194" t="inlineStr"/>
      <c r="R1194" t="inlineStr">
        <is>
          <t>Vid nederbord och avrinning</t>
        </is>
      </c>
      <c r="S1194" t="inlineStr"/>
      <c r="T1194" t="inlineStr">
        <is>
          <t>212000</t>
        </is>
      </c>
      <c r="U1194" t="inlineStr"/>
      <c r="V1194" t="inlineStr"/>
      <c r="W1194" t="inlineStr">
        <is>
          <t>Nej</t>
        </is>
      </c>
      <c r="X1194" t="inlineStr">
        <is>
          <t>Ja</t>
        </is>
      </c>
      <c r="Y1194" t="inlineStr">
        <is>
          <t>Ja</t>
        </is>
      </c>
      <c r="Z1194" t="inlineStr">
        <is>
          <t>Nej</t>
        </is>
      </c>
      <c r="AA1194" t="n">
        <v>6</v>
      </c>
      <c r="AB1194" t="inlineStr">
        <is>
          <t>Lakvattenhantering</t>
        </is>
      </c>
      <c r="AC1194" t="inlineStr">
        <is>
          <t>Flodesschema dagvatten-lakvatten</t>
        </is>
      </c>
      <c r="AD1194" t="inlineStr">
        <is>
          <t>Nej</t>
        </is>
      </c>
      <c r="AE1194" t="inlineStr">
        <is>
          <t>Nej</t>
        </is>
      </c>
      <c r="AF1194" t="inlineStr">
        <is>
          <t>Ej behandlad</t>
        </is>
      </c>
      <c r="AG1194" t="inlineStr">
        <is>
          <t>AUTO_GENERERAD. Verifiera citat mot kallfil.</t>
        </is>
      </c>
      <c r="AH1194" t="inlineStr">
        <is>
          <t>MEDIUM</t>
        </is>
      </c>
      <c r="AI1194" t="inlineStr">
        <is>
          <t>AUTO</t>
        </is>
      </c>
      <c r="AJ1194" t="inlineStr">
        <is>
          <t>Nej</t>
        </is>
      </c>
      <c r="AK1194" t="inlineStr"/>
      <c r="AL1194" t="inlineStr"/>
      <c r="AM1194" t="inlineStr"/>
      <c r="AN1194" t="inlineStr"/>
      <c r="AO1194" t="inlineStr">
        <is>
          <t>cmm4yuphs02mtcuqwxbrtxsxi</t>
        </is>
      </c>
      <c r="AP1194" t="inlineStr">
        <is>
          <t>http://localhost:8787/api/admin/requirements/documents/cmm4yuphs02mtcuqwxbrtxsxi/view</t>
        </is>
      </c>
      <c r="AQ1194">
        <f>HYPERLÄNK("http://localhost:8787/api/admin/requirements/documents/cmm4yuphs02mtcuqwxbrtxsxi/view";"Öppna PDF")</f>
        <v/>
      </c>
      <c r="AR1194">
        <f>HYPERLINK("http://localhost:8787/api/admin/requirements/documents/cmm4yuphs02mtcuqwxbrtxsxi/view","Open PDF")</f>
        <v/>
      </c>
      <c r="AS1194" t="inlineStr">
        <is>
          <t>cmm55w57p0004cuisfrtpqly8</t>
        </is>
      </c>
      <c r="AT1194" t="inlineStr">
        <is>
          <t>cmm4xvu980000cuh4vj0usz09</t>
        </is>
      </c>
      <c r="AU1194" t="inlineStr">
        <is>
          <t>Vreta Kloster Postadress Lessebo</t>
        </is>
      </c>
      <c r="AV1194" t="inlineStr">
        <is>
          <t>Kommun</t>
        </is>
      </c>
      <c r="AW1194" t="inlineStr">
        <is>
          <t>Vreta Kloster Postadress Lessebo kommun</t>
        </is>
      </c>
      <c r="AX1194" t="inlineStr">
        <is>
          <t>2025-05</t>
        </is>
      </c>
      <c r="AY1194" t="inlineStr">
        <is>
          <t>Beslut</t>
        </is>
      </c>
      <c r="AZ1194" t="inlineStr">
        <is>
          <t>2026-02-04</t>
        </is>
      </c>
      <c r="BA1194" t="inlineStr">
        <is>
          <t>MN-2025-119_Delegationsbeslut_2025-05-07.pdf</t>
        </is>
      </c>
      <c r="BB1194" t="inlineStr">
        <is>
          <t>Sv: till registrator</t>
        </is>
      </c>
      <c r="BC1194" t="inlineStr">
        <is>
          <t>AUTO</t>
        </is>
      </c>
      <c r="BD1194" t="inlineStr"/>
      <c r="BE1194" t="inlineStr"/>
      <c r="BF1194" t="inlineStr">
        <is>
          <t>AUTO_GENERERAD. Bekrafta metadata mot kallfil.</t>
        </is>
      </c>
      <c r="BG1194">
        <f>HYPERLINK("C:\Users\jimmy\Desktop\Examens arbete\Kod\Ny mapp\remix_-copy-of-miljöbeslut.se-portal\MN-2025-119_Delegationsbeslut_2025-05-07.pdf", "Öppna PDF")</f>
        <v/>
      </c>
    </row>
    <row r="1195">
      <c r="A1195" t="inlineStr">
        <is>
          <t>KRAV-AUTO-001194</t>
        </is>
      </c>
      <c r="B1195" t="inlineStr">
        <is>
          <t>ADMIN-INDEX-2026-02-27-00000000125C043F57453246863FE664CAFE6A3F0700950291EA24F0614FB6ACEDB12BF0E31D00000000010C0000950291EA24F0614FB6ACEDB12BF0E31D00002087AE790000</t>
        </is>
      </c>
      <c r="C1195" t="inlineStr">
        <is>
          <t>cmm4yuphk02mkcuqw6kd78i98</t>
        </is>
      </c>
      <c r="D1195" t="inlineStr">
        <is>
          <t>http://localhost:8787/api/admin/requirements/documents/cmm4yuphk02mkcuqw6kd78i98/view</t>
        </is>
      </c>
      <c r="E1195">
        <f>HYPERLÄNK("http://localhost:8787/api/admin/requirements/documents/cmm4yuphk02mkcuqw6kd78i98/view";"Öppna PDF")</f>
        <v/>
      </c>
      <c r="F1195">
        <f>HYPERLINK("http://localhost:8787/api/admin/requirements/documents/cmm4yuphk02mkcuqw6kd78i98/view","Open PDF")</f>
        <v/>
      </c>
      <c r="G1195" t="inlineStr">
        <is>
          <t>cmm55w57p0004cuisfrtpqly8</t>
        </is>
      </c>
      <c r="H1195" t="inlineStr">
        <is>
          <t>Beslutsvillkor</t>
        </is>
      </c>
      <c r="I1195" t="inlineStr">
        <is>
          <t>DagvattenLakvatten</t>
        </is>
      </c>
      <c r="J1195" t="inlineStr">
        <is>
          <t>Uppsamling</t>
        </is>
      </c>
      <c r="K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5" t="inlineStr">
        <is>
          <t>INFO</t>
        </is>
      </c>
      <c r="N1195" t="inlineStr">
        <is>
          <t>FMH</t>
        </is>
      </c>
      <c r="O1195" t="inlineStr">
        <is>
          <t>2025-03-11</t>
        </is>
      </c>
      <c r="P1195" t="inlineStr">
        <is>
          <t>Arlig</t>
        </is>
      </c>
      <c r="Q1195" t="inlineStr"/>
      <c r="R1195" t="inlineStr">
        <is>
          <t>Vid nederbord och avrinning</t>
        </is>
      </c>
      <c r="S1195" t="inlineStr"/>
      <c r="T1195" t="inlineStr">
        <is>
          <t>19 08 05</t>
        </is>
      </c>
      <c r="U1195" t="n">
        <v>6000</v>
      </c>
      <c r="V1195" t="inlineStr"/>
      <c r="W1195" t="inlineStr">
        <is>
          <t>Nej</t>
        </is>
      </c>
      <c r="X1195" t="inlineStr">
        <is>
          <t>Ja</t>
        </is>
      </c>
      <c r="Y1195" t="inlineStr">
        <is>
          <t>Ja</t>
        </is>
      </c>
      <c r="Z1195" t="inlineStr">
        <is>
          <t>Nej</t>
        </is>
      </c>
      <c r="AA1195" t="n">
        <v>6</v>
      </c>
      <c r="AB1195" t="inlineStr">
        <is>
          <t>Lakvattenhantering</t>
        </is>
      </c>
      <c r="AC1195" t="inlineStr">
        <is>
          <t>Flodesschema dagvatten-lakvatten</t>
        </is>
      </c>
      <c r="AD1195" t="inlineStr">
        <is>
          <t>Nej</t>
        </is>
      </c>
      <c r="AE1195" t="inlineStr">
        <is>
          <t>Nej</t>
        </is>
      </c>
      <c r="AF1195" t="inlineStr">
        <is>
          <t>Ej behandlad</t>
        </is>
      </c>
      <c r="AG1195" t="inlineStr">
        <is>
          <t>AUTO_GENERERAD. Verifiera citat mot kallfil.</t>
        </is>
      </c>
      <c r="AH1195" t="inlineStr">
        <is>
          <t>HIGH</t>
        </is>
      </c>
      <c r="AI1195" t="inlineStr">
        <is>
          <t>AUTO</t>
        </is>
      </c>
      <c r="AJ1195" t="inlineStr">
        <is>
          <t>Nej</t>
        </is>
      </c>
      <c r="AK1195" t="inlineStr"/>
      <c r="AL1195" t="inlineStr"/>
      <c r="AM1195" t="inlineStr"/>
      <c r="AN1195" t="inlineStr"/>
      <c r="AO1195" t="inlineStr">
        <is>
          <t>cmm4yuphs02mtcuqwxbrtxsxi</t>
        </is>
      </c>
      <c r="AP1195" t="inlineStr">
        <is>
          <t>http://localhost:8787/api/admin/requirements/documents/cmm4yuphs02mtcuqwxbrtxsxi/view</t>
        </is>
      </c>
      <c r="AQ1195">
        <f>HYPERLÄNK("http://localhost:8787/api/admin/requirements/documents/cmm4yuphs02mtcuqwxbrtxsxi/view";"Öppna PDF")</f>
        <v/>
      </c>
      <c r="AR1195">
        <f>HYPERLINK("http://localhost:8787/api/admin/requirements/documents/cmm4yuphs02mtcuqwxbrtxsxi/view","Open PDF")</f>
        <v/>
      </c>
      <c r="AS1195" t="inlineStr">
        <is>
          <t>cmm55w57p0004cuisfrtpqly8</t>
        </is>
      </c>
      <c r="AT1195" t="inlineStr">
        <is>
          <t>cmm4xvu980000cuh4vj0usz09</t>
        </is>
      </c>
      <c r="AU1195" t="inlineStr">
        <is>
          <t>Vreta Kloster Postadress Lessebo</t>
        </is>
      </c>
      <c r="AV1195" t="inlineStr">
        <is>
          <t>Kommun</t>
        </is>
      </c>
      <c r="AW1195" t="inlineStr">
        <is>
          <t>Vreta Kloster Postadress Lessebo kommun</t>
        </is>
      </c>
      <c r="AX1195" t="inlineStr">
        <is>
          <t>2025-05</t>
        </is>
      </c>
      <c r="AY1195" t="inlineStr">
        <is>
          <t>Beslut</t>
        </is>
      </c>
      <c r="AZ1195" t="inlineStr">
        <is>
          <t>2026-02-04</t>
        </is>
      </c>
      <c r="BA1195" t="inlineStr">
        <is>
          <t>MN-2025-119_Delegationsbeslut_2025-05-07.pdf</t>
        </is>
      </c>
      <c r="BB1195" t="inlineStr">
        <is>
          <t>Sv: till registrator</t>
        </is>
      </c>
      <c r="BC1195" t="inlineStr">
        <is>
          <t>AUTO</t>
        </is>
      </c>
      <c r="BD1195" t="inlineStr"/>
      <c r="BE1195" t="inlineStr"/>
      <c r="BF1195" t="inlineStr">
        <is>
          <t>AUTO_GENERERAD. Bekrafta metadata mot kallfil.</t>
        </is>
      </c>
      <c r="BG1195">
        <f>HYPERLINK("C:\Users\jimmy\Desktop\Examens arbete\Kod\Ny mapp\remix_-copy-of-miljöbeslut.se-portal\MN-2025-119_Delegationsbeslut_2025-05-07.pdf", "Öppna PDF")</f>
        <v/>
      </c>
    </row>
    <row r="1196">
      <c r="A1196" t="inlineStr">
        <is>
          <t>KRAV-AUTO-001195</t>
        </is>
      </c>
      <c r="B1196" t="inlineStr">
        <is>
          <t>ADMIN-INDEX-2026-02-27-00000000125C043F57453246863FE664CAFE6A3F0700950291EA24F0614FB6ACEDB12BF0E31D00000000010C0000950291EA24F0614FB6ACEDB12BF0E31D00002087AE790000</t>
        </is>
      </c>
      <c r="C1196" t="inlineStr">
        <is>
          <t>cmm4yuphk02mkcuqw6kd78i98</t>
        </is>
      </c>
      <c r="D1196" t="inlineStr">
        <is>
          <t>http://localhost:8787/api/admin/requirements/documents/cmm4yuphk02mkcuqw6kd78i98/view</t>
        </is>
      </c>
      <c r="E1196">
        <f>HYPERLÄNK("http://localhost:8787/api/admin/requirements/documents/cmm4yuphk02mkcuqw6kd78i98/view";"Öppna PDF")</f>
        <v/>
      </c>
      <c r="F1196">
        <f>HYPERLINK("http://localhost:8787/api/admin/requirements/documents/cmm4yuphk02mkcuqw6kd78i98/view","Open PDF")</f>
        <v/>
      </c>
      <c r="G1196" t="inlineStr">
        <is>
          <t>cmm55w57p0004cuisfrtpqly8</t>
        </is>
      </c>
      <c r="H1196" t="inlineStr">
        <is>
          <t>Beslutsvillkor</t>
        </is>
      </c>
      <c r="I1196" t="inlineStr">
        <is>
          <t>LagringsvolymTid</t>
        </is>
      </c>
      <c r="J1196" t="inlineStr">
        <is>
          <t>Maxmangd</t>
        </is>
      </c>
      <c r="K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196" t="inlineStr">
        <is>
          <t>SKA</t>
        </is>
      </c>
      <c r="N1196" t="inlineStr">
        <is>
          <t>FMH</t>
        </is>
      </c>
      <c r="O1196" t="inlineStr"/>
      <c r="P1196" t="inlineStr"/>
      <c r="Q1196" t="inlineStr"/>
      <c r="R1196" t="inlineStr">
        <is>
          <t>Alltid</t>
        </is>
      </c>
      <c r="S1196" t="inlineStr"/>
      <c r="T1196" t="inlineStr">
        <is>
          <t>212000</t>
        </is>
      </c>
      <c r="U1196" t="inlineStr"/>
      <c r="V1196" t="inlineStr"/>
      <c r="W1196" t="inlineStr">
        <is>
          <t>Nej</t>
        </is>
      </c>
      <c r="X1196" t="inlineStr">
        <is>
          <t>Nej</t>
        </is>
      </c>
      <c r="Y1196" t="inlineStr">
        <is>
          <t>Nej</t>
        </is>
      </c>
      <c r="Z1196" t="inlineStr">
        <is>
          <t>Nej</t>
        </is>
      </c>
      <c r="AA1196" t="n">
        <v>4</v>
      </c>
      <c r="AB1196" t="inlineStr">
        <is>
          <t>Avfallsmangder och lagringstid</t>
        </is>
      </c>
      <c r="AC1196" t="inlineStr">
        <is>
          <t>Avfallsforteckning</t>
        </is>
      </c>
      <c r="AD1196" t="inlineStr">
        <is>
          <t>Nej</t>
        </is>
      </c>
      <c r="AE1196" t="inlineStr">
        <is>
          <t>Nej</t>
        </is>
      </c>
      <c r="AF1196" t="inlineStr">
        <is>
          <t>Ej behandlad</t>
        </is>
      </c>
      <c r="AG1196" t="inlineStr">
        <is>
          <t>AUTO_GENERERAD. Verifiera citat mot kallfil.</t>
        </is>
      </c>
      <c r="AH1196" t="inlineStr">
        <is>
          <t>HIGH</t>
        </is>
      </c>
      <c r="AI1196" t="inlineStr">
        <is>
          <t>AUTO</t>
        </is>
      </c>
      <c r="AJ1196" t="inlineStr">
        <is>
          <t>Nej</t>
        </is>
      </c>
      <c r="AK1196" t="inlineStr"/>
      <c r="AL1196" t="inlineStr"/>
      <c r="AM1196" t="inlineStr"/>
      <c r="AN1196" t="inlineStr"/>
      <c r="AO1196" t="inlineStr">
        <is>
          <t>cmm4yuphs02mtcuqwxbrtxsxi</t>
        </is>
      </c>
      <c r="AP1196" t="inlineStr">
        <is>
          <t>http://localhost:8787/api/admin/requirements/documents/cmm4yuphs02mtcuqwxbrtxsxi/view</t>
        </is>
      </c>
      <c r="AQ1196">
        <f>HYPERLÄNK("http://localhost:8787/api/admin/requirements/documents/cmm4yuphs02mtcuqwxbrtxsxi/view";"Öppna PDF")</f>
        <v/>
      </c>
      <c r="AR1196">
        <f>HYPERLINK("http://localhost:8787/api/admin/requirements/documents/cmm4yuphs02mtcuqwxbrtxsxi/view","Open PDF")</f>
        <v/>
      </c>
      <c r="AS1196" t="inlineStr">
        <is>
          <t>cmm55w57p0004cuisfrtpqly8</t>
        </is>
      </c>
      <c r="AT1196" t="inlineStr">
        <is>
          <t>cmm4xvu980000cuh4vj0usz09</t>
        </is>
      </c>
      <c r="AU1196" t="inlineStr">
        <is>
          <t>Vreta Kloster Postadress Lessebo</t>
        </is>
      </c>
      <c r="AV1196" t="inlineStr">
        <is>
          <t>Kommun</t>
        </is>
      </c>
      <c r="AW1196" t="inlineStr">
        <is>
          <t>Vreta Kloster Postadress Lessebo kommun</t>
        </is>
      </c>
      <c r="AX1196" t="inlineStr">
        <is>
          <t>2025-05</t>
        </is>
      </c>
      <c r="AY1196" t="inlineStr">
        <is>
          <t>Beslut</t>
        </is>
      </c>
      <c r="AZ1196" t="inlineStr">
        <is>
          <t>2026-02-04</t>
        </is>
      </c>
      <c r="BA1196" t="inlineStr">
        <is>
          <t>MN-2025-119_Delegationsbeslut_2025-05-07.pdf</t>
        </is>
      </c>
      <c r="BB1196" t="inlineStr">
        <is>
          <t>Sv: till registrator</t>
        </is>
      </c>
      <c r="BC1196" t="inlineStr">
        <is>
          <t>AUTO</t>
        </is>
      </c>
      <c r="BD1196" t="inlineStr"/>
      <c r="BE1196" t="inlineStr"/>
      <c r="BF1196" t="inlineStr">
        <is>
          <t>AUTO_GENERERAD. Bekrafta metadata mot kallfil.</t>
        </is>
      </c>
      <c r="BG1196">
        <f>HYPERLINK("C:\Users\jimmy\Desktop\Examens arbete\Kod\Ny mapp\remix_-copy-of-miljöbeslut.se-portal\MN-2025-119_Delegationsbeslut_2025-05-07.pdf", "Öppna PDF")</f>
        <v/>
      </c>
    </row>
    <row r="1197">
      <c r="A1197" t="inlineStr">
        <is>
          <t>KRAV-AUTO-001196</t>
        </is>
      </c>
      <c r="B1197" t="inlineStr">
        <is>
          <t>ADMIN-INDEX-2026-02-27-00000000125C043F57453246863FE664CAFE6A3F0700950291EA24F0614FB6ACEDB12BF0E31D00000000010C0000950291EA24F0614FB6ACEDB12BF0E31D00002087AE790000</t>
        </is>
      </c>
      <c r="C1197" t="inlineStr">
        <is>
          <t>cmm4yuphf02mecuqwxj96c2mu</t>
        </is>
      </c>
      <c r="D1197" t="inlineStr">
        <is>
          <t>http://localhost:8787/api/admin/requirements/documents/cmm4yuphf02mecuqwxj96c2mu/view</t>
        </is>
      </c>
      <c r="E1197">
        <f>HYPERLÄNK("http://localhost:8787/api/admin/requirements/documents/cmm4yuphf02mecuqwxj96c2mu/view";"Öppna PDF")</f>
        <v/>
      </c>
      <c r="F1197">
        <f>HYPERLINK("http://localhost:8787/api/admin/requirements/documents/cmm4yuphf02mecuqwxj96c2mu/view","Open PDF")</f>
        <v/>
      </c>
      <c r="G1197" t="inlineStr">
        <is>
          <t>cmm55w57p0004cuisfrtpqly8</t>
        </is>
      </c>
      <c r="H1197" t="inlineStr">
        <is>
          <t>Beslutsvillkor</t>
        </is>
      </c>
      <c r="I1197" t="inlineStr">
        <is>
          <t>LagringsvolymTid</t>
        </is>
      </c>
      <c r="J1197" t="inlineStr">
        <is>
          <t>Maxmangd</t>
        </is>
      </c>
      <c r="K1197" t="inlineStr">
        <is>
          <t>Då bedömer jag att ni faller under Avfall 29 kap i Miljöprövningsförordningen antingen § 40 eller § 41 beroende på mängden som ska behandlas.</t>
        </is>
      </c>
      <c r="L1197" t="inlineStr">
        <is>
          <t>Då bedömer jag att ni faller under Avfall 29 kap i Miljöprövningsförordningen antingen § 40 eller § 41 beroende på mängden som ska behandlas.</t>
        </is>
      </c>
      <c r="M1197" t="inlineStr">
        <is>
          <t>SKA</t>
        </is>
      </c>
      <c r="N1197" t="inlineStr">
        <is>
          <t>MPF</t>
        </is>
      </c>
      <c r="O1197" t="inlineStr"/>
      <c r="P1197" t="inlineStr"/>
      <c r="Q1197" t="inlineStr"/>
      <c r="R1197" t="inlineStr">
        <is>
          <t>Alltid</t>
        </is>
      </c>
      <c r="S1197" t="inlineStr"/>
      <c r="T1197" t="inlineStr">
        <is>
          <t>200422</t>
        </is>
      </c>
      <c r="U1197" t="inlineStr"/>
      <c r="V1197" t="inlineStr"/>
      <c r="W1197" t="inlineStr">
        <is>
          <t>Nej</t>
        </is>
      </c>
      <c r="X1197" t="inlineStr">
        <is>
          <t>Nej</t>
        </is>
      </c>
      <c r="Y1197" t="inlineStr">
        <is>
          <t>Nej</t>
        </is>
      </c>
      <c r="Z1197" t="inlineStr">
        <is>
          <t>Nej</t>
        </is>
      </c>
      <c r="AA1197" t="n">
        <v>4</v>
      </c>
      <c r="AB1197" t="inlineStr">
        <is>
          <t>Avfallsmangder och lagringstid</t>
        </is>
      </c>
      <c r="AC1197" t="inlineStr">
        <is>
          <t>Avfallsforteckning</t>
        </is>
      </c>
      <c r="AD1197" t="inlineStr">
        <is>
          <t>Nej</t>
        </is>
      </c>
      <c r="AE1197" t="inlineStr">
        <is>
          <t>Nej</t>
        </is>
      </c>
      <c r="AF1197" t="inlineStr">
        <is>
          <t>Ej behandlad</t>
        </is>
      </c>
      <c r="AG1197" t="inlineStr">
        <is>
          <t>AUTO_GENERERAD. Verifiera citat mot kallfil.</t>
        </is>
      </c>
      <c r="AH1197" t="inlineStr">
        <is>
          <t>MEDIUM</t>
        </is>
      </c>
      <c r="AI1197" t="inlineStr">
        <is>
          <t>AUTO</t>
        </is>
      </c>
      <c r="AJ1197" t="inlineStr">
        <is>
          <t>Nej</t>
        </is>
      </c>
      <c r="AK1197" t="inlineStr"/>
      <c r="AL1197" t="inlineStr"/>
      <c r="AM1197" t="inlineStr"/>
      <c r="AN1197" t="inlineStr"/>
      <c r="AO1197" t="inlineStr">
        <is>
          <t>cmm4yuphs02mtcuqwxbrtxsxi</t>
        </is>
      </c>
      <c r="AP1197" t="inlineStr">
        <is>
          <t>http://localhost:8787/api/admin/requirements/documents/cmm4yuphs02mtcuqwxbrtxsxi/view</t>
        </is>
      </c>
      <c r="AQ1197">
        <f>HYPERLÄNK("http://localhost:8787/api/admin/requirements/documents/cmm4yuphs02mtcuqwxbrtxsxi/view";"Öppna PDF")</f>
        <v/>
      </c>
      <c r="AR1197">
        <f>HYPERLINK("http://localhost:8787/api/admin/requirements/documents/cmm4yuphs02mtcuqwxbrtxsxi/view","Open PDF")</f>
        <v/>
      </c>
      <c r="AS1197" t="inlineStr">
        <is>
          <t>cmm55w57p0004cuisfrtpqly8</t>
        </is>
      </c>
      <c r="AT1197" t="inlineStr">
        <is>
          <t>cmm4xvu980000cuh4vj0usz09</t>
        </is>
      </c>
      <c r="AU1197" t="inlineStr">
        <is>
          <t>Vreta Kloster Postadress Lessebo</t>
        </is>
      </c>
      <c r="AV1197" t="inlineStr">
        <is>
          <t>Kommun</t>
        </is>
      </c>
      <c r="AW1197" t="inlineStr">
        <is>
          <t>Vreta Kloster Postadress Lessebo kommun</t>
        </is>
      </c>
      <c r="AX1197" t="inlineStr">
        <is>
          <t>2025-05</t>
        </is>
      </c>
      <c r="AY1197" t="inlineStr">
        <is>
          <t>Beslut</t>
        </is>
      </c>
      <c r="AZ1197" t="inlineStr">
        <is>
          <t>2026-02-04</t>
        </is>
      </c>
      <c r="BA1197" t="inlineStr">
        <is>
          <t>MN-2025-119_Delegationsbeslut_2025-05-07.pdf</t>
        </is>
      </c>
      <c r="BB1197" t="inlineStr">
        <is>
          <t>Sv: till registrator</t>
        </is>
      </c>
      <c r="BC1197" t="inlineStr">
        <is>
          <t>AUTO</t>
        </is>
      </c>
      <c r="BD1197" t="inlineStr"/>
      <c r="BE1197" t="inlineStr"/>
      <c r="BF1197" t="inlineStr">
        <is>
          <t>AUTO_GENERERAD. Bekrafta metadata mot kallfil.</t>
        </is>
      </c>
      <c r="BG1197">
        <f>HYPERLINK("C:\Users\jimmy\Desktop\Examens arbete\Kod\Ny mapp\remix_-copy-of-miljöbeslut.se-portal\MN-2025-119_Delegationsbeslut_2025-05-07.pdf", "Öppna PDF")</f>
        <v/>
      </c>
    </row>
    <row r="1198">
      <c r="A1198" t="inlineStr">
        <is>
          <t>KRAV-AUTO-001197</t>
        </is>
      </c>
      <c r="B1198" t="inlineStr">
        <is>
          <t>ADMIN-INDEX-2026-02-27-00000000125C043F57453246863FE664CAFE6A3F0700950291EA24F0614FB6ACEDB12BF0E31D00000000010C0000950291EA24F0614FB6ACEDB12BF0E31D00002087AE790000</t>
        </is>
      </c>
      <c r="C1198" t="inlineStr">
        <is>
          <t>cmm4yuphb02mbcuqw2ym0mlff</t>
        </is>
      </c>
      <c r="D1198" t="inlineStr">
        <is>
          <t>http://localhost:8787/api/admin/requirements/documents/cmm4yuphb02mbcuqw2ym0mlff/view</t>
        </is>
      </c>
      <c r="E1198">
        <f>HYPERLÄNK("http://localhost:8787/api/admin/requirements/documents/cmm4yuphb02mbcuqw2ym0mlff/view";"Öppna PDF")</f>
        <v/>
      </c>
      <c r="F1198">
        <f>HYPERLINK("http://localhost:8787/api/admin/requirements/documents/cmm4yuphb02mbcuqw2ym0mlff/view","Open PDF")</f>
        <v/>
      </c>
      <c r="G1198" t="inlineStr">
        <is>
          <t>cmm55w57p0004cuisfrtpqly8</t>
        </is>
      </c>
      <c r="H1198" t="inlineStr">
        <is>
          <t>Beslutsvillkor</t>
        </is>
      </c>
      <c r="I1198" t="inlineStr">
        <is>
          <t>LagringsvolymTid</t>
        </is>
      </c>
      <c r="J1198" t="inlineStr">
        <is>
          <t>Maxmangd</t>
        </is>
      </c>
      <c r="K1198" t="inlineStr">
        <is>
          <t>Då bedömer jag att ni faller under Avfall 29 kap i Miljöprövningsförordningen antingen § 40 eller § 41 beroende på mängden som ska behandlas.</t>
        </is>
      </c>
      <c r="L1198" t="inlineStr">
        <is>
          <t>Då bedömer jag att ni faller under Avfall 29 kap i Miljöprövningsförordningen antingen § 40 eller § 41 beroende på mängden som ska behandlas.</t>
        </is>
      </c>
      <c r="M1198" t="inlineStr">
        <is>
          <t>SKA</t>
        </is>
      </c>
      <c r="N1198" t="inlineStr">
        <is>
          <t>MPF</t>
        </is>
      </c>
      <c r="O1198" t="inlineStr"/>
      <c r="P1198" t="inlineStr"/>
      <c r="Q1198" t="inlineStr"/>
      <c r="R1198" t="inlineStr">
        <is>
          <t>Alltid</t>
        </is>
      </c>
      <c r="S1198" t="inlineStr"/>
      <c r="T1198" t="inlineStr">
        <is>
          <t>2024 16</t>
        </is>
      </c>
      <c r="U1198" t="inlineStr"/>
      <c r="V1198" t="inlineStr"/>
      <c r="W1198" t="inlineStr">
        <is>
          <t>Nej</t>
        </is>
      </c>
      <c r="X1198" t="inlineStr">
        <is>
          <t>Nej</t>
        </is>
      </c>
      <c r="Y1198" t="inlineStr">
        <is>
          <t>Nej</t>
        </is>
      </c>
      <c r="Z1198" t="inlineStr">
        <is>
          <t>Nej</t>
        </is>
      </c>
      <c r="AA1198" t="n">
        <v>4</v>
      </c>
      <c r="AB1198" t="inlineStr">
        <is>
          <t>Avfallsmangder och lagringstid</t>
        </is>
      </c>
      <c r="AC1198" t="inlineStr">
        <is>
          <t>Avfallsforteckning</t>
        </is>
      </c>
      <c r="AD1198" t="inlineStr">
        <is>
          <t>Nej</t>
        </is>
      </c>
      <c r="AE1198" t="inlineStr">
        <is>
          <t>Nej</t>
        </is>
      </c>
      <c r="AF1198" t="inlineStr">
        <is>
          <t>Ej behandlad</t>
        </is>
      </c>
      <c r="AG1198" t="inlineStr">
        <is>
          <t>AUTO_GENERERAD. Verifiera citat mot kallfil.</t>
        </is>
      </c>
      <c r="AH1198" t="inlineStr">
        <is>
          <t>MEDIUM</t>
        </is>
      </c>
      <c r="AI1198" t="inlineStr">
        <is>
          <t>AUTO</t>
        </is>
      </c>
      <c r="AJ1198" t="inlineStr">
        <is>
          <t>Nej</t>
        </is>
      </c>
      <c r="AK1198" t="inlineStr"/>
      <c r="AL1198" t="inlineStr"/>
      <c r="AM1198" t="inlineStr"/>
      <c r="AN1198" t="inlineStr"/>
      <c r="AO1198" t="inlineStr">
        <is>
          <t>cmm4yuphs02mtcuqwxbrtxsxi</t>
        </is>
      </c>
      <c r="AP1198" t="inlineStr">
        <is>
          <t>http://localhost:8787/api/admin/requirements/documents/cmm4yuphs02mtcuqwxbrtxsxi/view</t>
        </is>
      </c>
      <c r="AQ1198">
        <f>HYPERLÄNK("http://localhost:8787/api/admin/requirements/documents/cmm4yuphs02mtcuqwxbrtxsxi/view";"Öppna PDF")</f>
        <v/>
      </c>
      <c r="AR1198">
        <f>HYPERLINK("http://localhost:8787/api/admin/requirements/documents/cmm4yuphs02mtcuqwxbrtxsxi/view","Open PDF")</f>
        <v/>
      </c>
      <c r="AS1198" t="inlineStr">
        <is>
          <t>cmm55w57p0004cuisfrtpqly8</t>
        </is>
      </c>
      <c r="AT1198" t="inlineStr">
        <is>
          <t>cmm4xvu980000cuh4vj0usz09</t>
        </is>
      </c>
      <c r="AU1198" t="inlineStr">
        <is>
          <t>Vreta Kloster Postadress Lessebo</t>
        </is>
      </c>
      <c r="AV1198" t="inlineStr">
        <is>
          <t>Kommun</t>
        </is>
      </c>
      <c r="AW1198" t="inlineStr">
        <is>
          <t>Vreta Kloster Postadress Lessebo kommun</t>
        </is>
      </c>
      <c r="AX1198" t="inlineStr">
        <is>
          <t>2025-05</t>
        </is>
      </c>
      <c r="AY1198" t="inlineStr">
        <is>
          <t>Beslut</t>
        </is>
      </c>
      <c r="AZ1198" t="inlineStr">
        <is>
          <t>2026-02-04</t>
        </is>
      </c>
      <c r="BA1198" t="inlineStr">
        <is>
          <t>MN-2025-119_Delegationsbeslut_2025-05-07.pdf</t>
        </is>
      </c>
      <c r="BB1198" t="inlineStr">
        <is>
          <t>Sv: till registrator</t>
        </is>
      </c>
      <c r="BC1198" t="inlineStr">
        <is>
          <t>AUTO</t>
        </is>
      </c>
      <c r="BD1198" t="inlineStr"/>
      <c r="BE1198" t="inlineStr"/>
      <c r="BF1198" t="inlineStr">
        <is>
          <t>AUTO_GENERERAD. Bekrafta metadata mot kallfil.</t>
        </is>
      </c>
      <c r="BG1198">
        <f>HYPERLINK("C:\Users\jimmy\Desktop\Examens arbete\Kod\Ny mapp\remix_-copy-of-miljöbeslut.se-portal\MN-2025-119_Delegationsbeslut_2025-05-07.pdf", "Öppna PDF")</f>
        <v/>
      </c>
    </row>
    <row r="1199">
      <c r="A1199" t="inlineStr">
        <is>
          <t>KRAV-AUTO-001198</t>
        </is>
      </c>
      <c r="B1199" t="inlineStr">
        <is>
          <t>ADMIN-INDEX-2026-02-27-00000000125C043F57453246863FE664CAFE6A3F0700950291EA24F0614FB6ACEDB12BF0E31D00000000010C0000950291EA24F0614FB6ACEDB12BF0E31D00002087AE7A0000</t>
        </is>
      </c>
      <c r="C1199" t="inlineStr">
        <is>
          <t>cmm4yupgm02lkcuqwtilqg9xf</t>
        </is>
      </c>
      <c r="D1199" t="inlineStr">
        <is>
          <t>http://localhost:8787/api/admin/requirements/documents/cmm4yupgm02lkcuqwtilqg9xf/view</t>
        </is>
      </c>
      <c r="E1199">
        <f>HYPERLÄNK("http://localhost:8787/api/admin/requirements/documents/cmm4yupgm02lkcuqwtilqg9xf/view";"Öppna PDF")</f>
        <v/>
      </c>
      <c r="F1199">
        <f>HYPERLINK("http://localhost:8787/api/admin/requirements/documents/cmm4yupgm02lkcuqwtilqg9xf/view","Open PDF")</f>
        <v/>
      </c>
      <c r="G1199" t="inlineStr">
        <is>
          <t>cmm55w57p0004cuisfrtpqly8</t>
        </is>
      </c>
      <c r="H1199" t="inlineStr">
        <is>
          <t>Beslutsvillkor</t>
        </is>
      </c>
      <c r="I1199" t="inlineStr">
        <is>
          <t>DagvattenLakvatten</t>
        </is>
      </c>
      <c r="J1199" t="inlineStr">
        <is>
          <t>Uppsamling</t>
        </is>
      </c>
      <c r="K1199" t="inlineStr">
        <is>
          <t>Lakvatten som avrinner från upplagsplatsen ska samlas upp och behandlas i Lessebo avloppsreningsverk.</t>
        </is>
      </c>
      <c r="L1199" t="inlineStr">
        <is>
          <t>Lakvatten som avrinner från upplagsplatsen ska samlas upp och behandlas i Lessebo avloppsreningsverk.</t>
        </is>
      </c>
      <c r="M1199" t="inlineStr">
        <is>
          <t>SKA</t>
        </is>
      </c>
      <c r="N1199" t="inlineStr"/>
      <c r="O1199" t="inlineStr"/>
      <c r="P1199" t="inlineStr"/>
      <c r="Q1199" t="inlineStr"/>
      <c r="R1199" t="inlineStr">
        <is>
          <t>Vid nederbord och avrinning</t>
        </is>
      </c>
      <c r="S1199" t="inlineStr"/>
      <c r="T1199" t="inlineStr">
        <is>
          <t>212000</t>
        </is>
      </c>
      <c r="U1199" t="inlineStr"/>
      <c r="V1199" t="inlineStr"/>
      <c r="W1199" t="inlineStr">
        <is>
          <t>Nej</t>
        </is>
      </c>
      <c r="X1199" t="inlineStr">
        <is>
          <t>Ja</t>
        </is>
      </c>
      <c r="Y1199" t="inlineStr">
        <is>
          <t>Ja</t>
        </is>
      </c>
      <c r="Z1199" t="inlineStr">
        <is>
          <t>Nej</t>
        </is>
      </c>
      <c r="AA1199" t="n">
        <v>6</v>
      </c>
      <c r="AB1199" t="inlineStr">
        <is>
          <t>Lakvattenhantering</t>
        </is>
      </c>
      <c r="AC1199" t="inlineStr">
        <is>
          <t>Flodesschema dagvatten-lakvatten</t>
        </is>
      </c>
      <c r="AD1199" t="inlineStr">
        <is>
          <t>Nej</t>
        </is>
      </c>
      <c r="AE1199" t="inlineStr">
        <is>
          <t>Nej</t>
        </is>
      </c>
      <c r="AF1199" t="inlineStr">
        <is>
          <t>Ej behandlad</t>
        </is>
      </c>
      <c r="AG1199" t="inlineStr">
        <is>
          <t>AUTO_GENERERAD. Verifiera citat mot kallfil.</t>
        </is>
      </c>
      <c r="AH1199" t="inlineStr">
        <is>
          <t>MEDIUM</t>
        </is>
      </c>
      <c r="AI1199" t="inlineStr">
        <is>
          <t>AUTO</t>
        </is>
      </c>
      <c r="AJ1199" t="inlineStr">
        <is>
          <t>Nej</t>
        </is>
      </c>
      <c r="AK1199" t="inlineStr"/>
      <c r="AL1199" t="inlineStr"/>
      <c r="AM1199" t="inlineStr"/>
      <c r="AN1199" t="inlineStr"/>
      <c r="AO1199" t="inlineStr">
        <is>
          <t>cmm4yupgm02lkcuqwtilqg9xf</t>
        </is>
      </c>
      <c r="AP1199" t="inlineStr">
        <is>
          <t>http://localhost:8787/api/admin/requirements/documents/cmm4yupgm02lkcuqwtilqg9xf/view</t>
        </is>
      </c>
      <c r="AQ1199">
        <f>HYPERLÄNK("http://localhost:8787/api/admin/requirements/documents/cmm4yupgm02lkcuqwtilqg9xf/view";"Öppna PDF")</f>
        <v/>
      </c>
      <c r="AR1199">
        <f>HYPERLINK("http://localhost:8787/api/admin/requirements/documents/cmm4yupgm02lkcuqwtilqg9xf/view","Open PDF")</f>
        <v/>
      </c>
      <c r="AS1199" t="inlineStr">
        <is>
          <t>cmm55w57p0004cuisfrtpqly8</t>
        </is>
      </c>
      <c r="AT1199" t="inlineStr">
        <is>
          <t>cmm4xvu980000cuh4vj0usz09</t>
        </is>
      </c>
      <c r="AU1199" t="inlineStr">
        <is>
          <t>Vreta Kloster Postadress Lessebo</t>
        </is>
      </c>
      <c r="AV1199" t="inlineStr">
        <is>
          <t>Kommun</t>
        </is>
      </c>
      <c r="AW1199" t="inlineStr">
        <is>
          <t>Vreta Kloster Postadress Lessebo kommun</t>
        </is>
      </c>
      <c r="AX1199" t="inlineStr">
        <is>
          <t>2025-05</t>
        </is>
      </c>
      <c r="AY1199" t="inlineStr">
        <is>
          <t>Beslut</t>
        </is>
      </c>
      <c r="AZ1199" t="inlineStr">
        <is>
          <t>2026-02-04</t>
        </is>
      </c>
      <c r="BA1199" t="inlineStr">
        <is>
          <t>MN-2025-119_Delegationsbeslut_2025-05-07.pdf</t>
        </is>
      </c>
      <c r="BB1199" t="inlineStr">
        <is>
          <t>Sv: till registrator</t>
        </is>
      </c>
      <c r="BC1199" t="inlineStr">
        <is>
          <t>AUTO</t>
        </is>
      </c>
      <c r="BD1199" t="inlineStr"/>
      <c r="BE1199" t="inlineStr"/>
      <c r="BF1199" t="inlineStr">
        <is>
          <t>AUTO_GENERERAD. Bekrafta metadata mot kallfil.</t>
        </is>
      </c>
      <c r="BG1199">
        <f>HYPERLINK("C:\Users\jimmy\Desktop\Examens arbete\Kod\Ny mapp\remix_-copy-of-miljöbeslut.se-portal\MN-2025-119_Delegationsbeslut_2025-05-07.pdf", "Öppna PDF")</f>
        <v/>
      </c>
    </row>
    <row r="1200">
      <c r="A1200" t="inlineStr">
        <is>
          <t>KRAV-AUTO-001199</t>
        </is>
      </c>
      <c r="B1200" t="inlineStr">
        <is>
          <t>ADMIN-INDEX-2026-02-27-00000000125C043F57453246863FE664CAFE6A3F0700950291EA24F0614FB6ACEDB12BF0E31D00000000010C0000950291EA24F0614FB6ACEDB12BF0E31D00002087AE7A0000</t>
        </is>
      </c>
      <c r="C1200" t="inlineStr">
        <is>
          <t>cmm4yupgm02lkcuqwtilqg9xf</t>
        </is>
      </c>
      <c r="D1200" t="inlineStr">
        <is>
          <t>http://localhost:8787/api/admin/requirements/documents/cmm4yupgm02lkcuqwtilqg9xf/view</t>
        </is>
      </c>
      <c r="E1200">
        <f>HYPERLÄNK("http://localhost:8787/api/admin/requirements/documents/cmm4yupgm02lkcuqwtilqg9xf/view";"Öppna PDF")</f>
        <v/>
      </c>
      <c r="F1200">
        <f>HYPERLINK("http://localhost:8787/api/admin/requirements/documents/cmm4yupgm02lkcuqwtilqg9xf/view","Open PDF")</f>
        <v/>
      </c>
      <c r="G1200" t="inlineStr">
        <is>
          <t>cmm55w57p0004cuisfrtpqly8</t>
        </is>
      </c>
      <c r="H1200" t="inlineStr">
        <is>
          <t>Beslutsvillkor</t>
        </is>
      </c>
      <c r="I1200" t="inlineStr">
        <is>
          <t>DagvattenLakvatten</t>
        </is>
      </c>
      <c r="J1200" t="inlineStr">
        <is>
          <t>Uppsamling</t>
        </is>
      </c>
      <c r="K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0" t="inlineStr">
        <is>
          <t>INFO</t>
        </is>
      </c>
      <c r="N1200" t="inlineStr">
        <is>
          <t>FMH</t>
        </is>
      </c>
      <c r="O1200" t="inlineStr">
        <is>
          <t>2025-03-11</t>
        </is>
      </c>
      <c r="P1200" t="inlineStr">
        <is>
          <t>Arlig</t>
        </is>
      </c>
      <c r="Q1200" t="inlineStr"/>
      <c r="R1200" t="inlineStr">
        <is>
          <t>Vid nederbord och avrinning</t>
        </is>
      </c>
      <c r="S1200" t="inlineStr"/>
      <c r="T1200" t="inlineStr">
        <is>
          <t>19 08 05</t>
        </is>
      </c>
      <c r="U1200" t="n">
        <v>6000</v>
      </c>
      <c r="V1200" t="inlineStr"/>
      <c r="W1200" t="inlineStr">
        <is>
          <t>Nej</t>
        </is>
      </c>
      <c r="X1200" t="inlineStr">
        <is>
          <t>Ja</t>
        </is>
      </c>
      <c r="Y1200" t="inlineStr">
        <is>
          <t>Ja</t>
        </is>
      </c>
      <c r="Z1200" t="inlineStr">
        <is>
          <t>Nej</t>
        </is>
      </c>
      <c r="AA1200" t="n">
        <v>6</v>
      </c>
      <c r="AB1200" t="inlineStr">
        <is>
          <t>Lakvattenhantering</t>
        </is>
      </c>
      <c r="AC1200" t="inlineStr">
        <is>
          <t>Flodesschema dagvatten-lakvatten</t>
        </is>
      </c>
      <c r="AD1200" t="inlineStr">
        <is>
          <t>Nej</t>
        </is>
      </c>
      <c r="AE1200" t="inlineStr">
        <is>
          <t>Nej</t>
        </is>
      </c>
      <c r="AF1200" t="inlineStr">
        <is>
          <t>Ej behandlad</t>
        </is>
      </c>
      <c r="AG1200" t="inlineStr">
        <is>
          <t>AUTO_GENERERAD. Verifiera citat mot kallfil.</t>
        </is>
      </c>
      <c r="AH1200" t="inlineStr">
        <is>
          <t>HIGH</t>
        </is>
      </c>
      <c r="AI1200" t="inlineStr">
        <is>
          <t>AUTO</t>
        </is>
      </c>
      <c r="AJ1200" t="inlineStr">
        <is>
          <t>Nej</t>
        </is>
      </c>
      <c r="AK1200" t="inlineStr"/>
      <c r="AL1200" t="inlineStr"/>
      <c r="AM1200" t="inlineStr"/>
      <c r="AN1200" t="inlineStr"/>
      <c r="AO1200" t="inlineStr">
        <is>
          <t>cmm4yupgm02lkcuqwtilqg9xf</t>
        </is>
      </c>
      <c r="AP1200" t="inlineStr">
        <is>
          <t>http://localhost:8787/api/admin/requirements/documents/cmm4yupgm02lkcuqwtilqg9xf/view</t>
        </is>
      </c>
      <c r="AQ1200">
        <f>HYPERLÄNK("http://localhost:8787/api/admin/requirements/documents/cmm4yupgm02lkcuqwtilqg9xf/view";"Öppna PDF")</f>
        <v/>
      </c>
      <c r="AR1200">
        <f>HYPERLINK("http://localhost:8787/api/admin/requirements/documents/cmm4yupgm02lkcuqwtilqg9xf/view","Open PDF")</f>
        <v/>
      </c>
      <c r="AS1200" t="inlineStr">
        <is>
          <t>cmm55w57p0004cuisfrtpqly8</t>
        </is>
      </c>
      <c r="AT1200" t="inlineStr">
        <is>
          <t>cmm4xvu980000cuh4vj0usz09</t>
        </is>
      </c>
      <c r="AU1200" t="inlineStr">
        <is>
          <t>Vreta Kloster Postadress Lessebo</t>
        </is>
      </c>
      <c r="AV1200" t="inlineStr">
        <is>
          <t>Kommun</t>
        </is>
      </c>
      <c r="AW1200" t="inlineStr">
        <is>
          <t>Vreta Kloster Postadress Lessebo kommun</t>
        </is>
      </c>
      <c r="AX1200" t="inlineStr">
        <is>
          <t>2025-05</t>
        </is>
      </c>
      <c r="AY1200" t="inlineStr">
        <is>
          <t>Beslut</t>
        </is>
      </c>
      <c r="AZ1200" t="inlineStr">
        <is>
          <t>2026-02-04</t>
        </is>
      </c>
      <c r="BA1200" t="inlineStr">
        <is>
          <t>MN-2025-119_Delegationsbeslut_2025-05-07.pdf</t>
        </is>
      </c>
      <c r="BB1200" t="inlineStr">
        <is>
          <t>Sv: till registrator</t>
        </is>
      </c>
      <c r="BC1200" t="inlineStr">
        <is>
          <t>AUTO</t>
        </is>
      </c>
      <c r="BD1200" t="inlineStr"/>
      <c r="BE1200" t="inlineStr"/>
      <c r="BF1200" t="inlineStr">
        <is>
          <t>AUTO_GENERERAD. Bekrafta metadata mot kallfil.</t>
        </is>
      </c>
      <c r="BG1200">
        <f>HYPERLINK("C:\Users\jimmy\Desktop\Examens arbete\Kod\Ny mapp\remix_-copy-of-miljöbeslut.se-portal\MN-2025-119_Delegationsbeslut_2025-05-07.pdf", "Öppna PDF")</f>
        <v/>
      </c>
    </row>
    <row r="1201">
      <c r="A1201" t="inlineStr">
        <is>
          <t>KRAV-AUTO-001200</t>
        </is>
      </c>
      <c r="B1201" t="inlineStr">
        <is>
          <t>ADMIN-INDEX-2026-02-27-00000000125C043F57453246863FE664CAFE6A3F0700950291EA24F0614FB6ACEDB12BF0E31D00000000010C0000950291EA24F0614FB6ACEDB12BF0E31D00002087AE7A0000</t>
        </is>
      </c>
      <c r="C1201" t="inlineStr">
        <is>
          <t>cmm4yupgm02lkcuqwtilqg9xf</t>
        </is>
      </c>
      <c r="D1201" t="inlineStr">
        <is>
          <t>http://localhost:8787/api/admin/requirements/documents/cmm4yupgm02lkcuqwtilqg9xf/view</t>
        </is>
      </c>
      <c r="E1201">
        <f>HYPERLÄNK("http://localhost:8787/api/admin/requirements/documents/cmm4yupgm02lkcuqwtilqg9xf/view";"Öppna PDF")</f>
        <v/>
      </c>
      <c r="F1201">
        <f>HYPERLINK("http://localhost:8787/api/admin/requirements/documents/cmm4yupgm02lkcuqwtilqg9xf/view","Open PDF")</f>
        <v/>
      </c>
      <c r="G1201" t="inlineStr">
        <is>
          <t>cmm55w57p0004cuisfrtpqly8</t>
        </is>
      </c>
      <c r="H1201" t="inlineStr">
        <is>
          <t>Beslutsvillkor</t>
        </is>
      </c>
      <c r="I1201" t="inlineStr">
        <is>
          <t>LagringsvolymTid</t>
        </is>
      </c>
      <c r="J1201" t="inlineStr">
        <is>
          <t>Maxmangd</t>
        </is>
      </c>
      <c r="K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201" t="inlineStr">
        <is>
          <t>SKA</t>
        </is>
      </c>
      <c r="N1201" t="inlineStr">
        <is>
          <t>FMH</t>
        </is>
      </c>
      <c r="O1201" t="inlineStr"/>
      <c r="P1201" t="inlineStr"/>
      <c r="Q1201" t="inlineStr"/>
      <c r="R1201" t="inlineStr">
        <is>
          <t>Alltid</t>
        </is>
      </c>
      <c r="S1201" t="inlineStr"/>
      <c r="T1201" t="inlineStr">
        <is>
          <t>212000</t>
        </is>
      </c>
      <c r="U1201" t="inlineStr"/>
      <c r="V1201" t="inlineStr"/>
      <c r="W1201" t="inlineStr">
        <is>
          <t>Nej</t>
        </is>
      </c>
      <c r="X1201" t="inlineStr">
        <is>
          <t>Nej</t>
        </is>
      </c>
      <c r="Y1201" t="inlineStr">
        <is>
          <t>Nej</t>
        </is>
      </c>
      <c r="Z1201" t="inlineStr">
        <is>
          <t>Nej</t>
        </is>
      </c>
      <c r="AA1201" t="n">
        <v>4</v>
      </c>
      <c r="AB1201" t="inlineStr">
        <is>
          <t>Avfallsmangder och lagringstid</t>
        </is>
      </c>
      <c r="AC1201" t="inlineStr">
        <is>
          <t>Avfallsforteckning</t>
        </is>
      </c>
      <c r="AD1201" t="inlineStr">
        <is>
          <t>Nej</t>
        </is>
      </c>
      <c r="AE1201" t="inlineStr">
        <is>
          <t>Nej</t>
        </is>
      </c>
      <c r="AF1201" t="inlineStr">
        <is>
          <t>Ej behandlad</t>
        </is>
      </c>
      <c r="AG1201" t="inlineStr">
        <is>
          <t>AUTO_GENERERAD. Verifiera citat mot kallfil.</t>
        </is>
      </c>
      <c r="AH1201" t="inlineStr">
        <is>
          <t>HIGH</t>
        </is>
      </c>
      <c r="AI1201" t="inlineStr">
        <is>
          <t>AUTO</t>
        </is>
      </c>
      <c r="AJ1201" t="inlineStr">
        <is>
          <t>Nej</t>
        </is>
      </c>
      <c r="AK1201" t="inlineStr"/>
      <c r="AL1201" t="inlineStr"/>
      <c r="AM1201" t="inlineStr"/>
      <c r="AN1201" t="inlineStr"/>
      <c r="AO1201" t="inlineStr">
        <is>
          <t>cmm4yupgm02lkcuqwtilqg9xf</t>
        </is>
      </c>
      <c r="AP1201" t="inlineStr">
        <is>
          <t>http://localhost:8787/api/admin/requirements/documents/cmm4yupgm02lkcuqwtilqg9xf/view</t>
        </is>
      </c>
      <c r="AQ1201">
        <f>HYPERLÄNK("http://localhost:8787/api/admin/requirements/documents/cmm4yupgm02lkcuqwtilqg9xf/view";"Öppna PDF")</f>
        <v/>
      </c>
      <c r="AR1201">
        <f>HYPERLINK("http://localhost:8787/api/admin/requirements/documents/cmm4yupgm02lkcuqwtilqg9xf/view","Open PDF")</f>
        <v/>
      </c>
      <c r="AS1201" t="inlineStr">
        <is>
          <t>cmm55w57p0004cuisfrtpqly8</t>
        </is>
      </c>
      <c r="AT1201" t="inlineStr">
        <is>
          <t>cmm4xvu980000cuh4vj0usz09</t>
        </is>
      </c>
      <c r="AU1201" t="inlineStr">
        <is>
          <t>Vreta Kloster Postadress Lessebo</t>
        </is>
      </c>
      <c r="AV1201" t="inlineStr">
        <is>
          <t>Kommun</t>
        </is>
      </c>
      <c r="AW1201" t="inlineStr">
        <is>
          <t>Vreta Kloster Postadress Lessebo kommun</t>
        </is>
      </c>
      <c r="AX1201" t="inlineStr">
        <is>
          <t>2025-05</t>
        </is>
      </c>
      <c r="AY1201" t="inlineStr">
        <is>
          <t>Beslut</t>
        </is>
      </c>
      <c r="AZ1201" t="inlineStr">
        <is>
          <t>2026-02-04</t>
        </is>
      </c>
      <c r="BA1201" t="inlineStr">
        <is>
          <t>MN-2025-119_Delegationsbeslut_2025-05-07.pdf</t>
        </is>
      </c>
      <c r="BB1201" t="inlineStr">
        <is>
          <t>Sv: till registrator</t>
        </is>
      </c>
      <c r="BC1201" t="inlineStr">
        <is>
          <t>AUTO</t>
        </is>
      </c>
      <c r="BD1201" t="inlineStr"/>
      <c r="BE1201" t="inlineStr"/>
      <c r="BF1201" t="inlineStr">
        <is>
          <t>AUTO_GENERERAD. Bekrafta metadata mot kallfil.</t>
        </is>
      </c>
      <c r="BG1201">
        <f>HYPERLINK("C:\Users\jimmy\Desktop\Examens arbete\Kod\Ny mapp\remix_-copy-of-miljöbeslut.se-portal\MN-2025-119_Delegationsbeslut_2025-05-07.pdf", "Öppna PDF")</f>
        <v/>
      </c>
    </row>
    <row r="1202">
      <c r="A1202" t="inlineStr">
        <is>
          <t>KRAV-AUTO-001201</t>
        </is>
      </c>
      <c r="B1202" t="inlineStr">
        <is>
          <t>ADMIN-INDEX-2026-02-27-00000000125C043F57453246863FE664CAFE6A3F0700950291EA24F0614FB6ACEDB12BF0E31D00000000010C0000950291EA24F0614FB6ACEDB12BF0E31D00002087AE7A0000</t>
        </is>
      </c>
      <c r="C1202" t="inlineStr">
        <is>
          <t>cmm4yupge02lbcuqwya4f3wox</t>
        </is>
      </c>
      <c r="D1202" t="inlineStr">
        <is>
          <t>http://localhost:8787/api/admin/requirements/documents/cmm4yupge02lbcuqwya4f3wox/view</t>
        </is>
      </c>
      <c r="E1202">
        <f>HYPERLÄNK("http://localhost:8787/api/admin/requirements/documents/cmm4yupge02lbcuqwya4f3wox/view";"Öppna PDF")</f>
        <v/>
      </c>
      <c r="F1202">
        <f>HYPERLINK("http://localhost:8787/api/admin/requirements/documents/cmm4yupge02lbcuqwya4f3wox/view","Open PDF")</f>
        <v/>
      </c>
      <c r="G1202" t="inlineStr">
        <is>
          <t>cmm55w57p0004cuisfrtpqly8</t>
        </is>
      </c>
      <c r="H1202" t="inlineStr">
        <is>
          <t>Beslutsvillkor</t>
        </is>
      </c>
      <c r="I1202" t="inlineStr">
        <is>
          <t>DagvattenLakvatten</t>
        </is>
      </c>
      <c r="J1202" t="inlineStr">
        <is>
          <t>Uppsamling</t>
        </is>
      </c>
      <c r="K1202" t="inlineStr">
        <is>
          <t>Lakvatten som avrinner från upplagsplatsen ska samlas upp och behandlas i Lessebo avloppsreningsverk.</t>
        </is>
      </c>
      <c r="L1202" t="inlineStr">
        <is>
          <t>Lakvatten som avrinner från upplagsplatsen ska samlas upp och behandlas i Lessebo avloppsreningsverk.</t>
        </is>
      </c>
      <c r="M1202" t="inlineStr">
        <is>
          <t>SKA</t>
        </is>
      </c>
      <c r="N1202" t="inlineStr"/>
      <c r="O1202" t="inlineStr"/>
      <c r="P1202" t="inlineStr"/>
      <c r="Q1202" t="inlineStr"/>
      <c r="R1202" t="inlineStr">
        <is>
          <t>Vid nederbord och avrinning</t>
        </is>
      </c>
      <c r="S1202" t="inlineStr"/>
      <c r="T1202" t="inlineStr">
        <is>
          <t>212000</t>
        </is>
      </c>
      <c r="U1202" t="inlineStr"/>
      <c r="V1202" t="inlineStr"/>
      <c r="W1202" t="inlineStr">
        <is>
          <t>Nej</t>
        </is>
      </c>
      <c r="X1202" t="inlineStr">
        <is>
          <t>Ja</t>
        </is>
      </c>
      <c r="Y1202" t="inlineStr">
        <is>
          <t>Ja</t>
        </is>
      </c>
      <c r="Z1202" t="inlineStr">
        <is>
          <t>Nej</t>
        </is>
      </c>
      <c r="AA1202" t="n">
        <v>6</v>
      </c>
      <c r="AB1202" t="inlineStr">
        <is>
          <t>Lakvattenhantering</t>
        </is>
      </c>
      <c r="AC1202" t="inlineStr">
        <is>
          <t>Flodesschema dagvatten-lakvatten</t>
        </is>
      </c>
      <c r="AD1202" t="inlineStr">
        <is>
          <t>Nej</t>
        </is>
      </c>
      <c r="AE1202" t="inlineStr">
        <is>
          <t>Nej</t>
        </is>
      </c>
      <c r="AF1202" t="inlineStr">
        <is>
          <t>Ej behandlad</t>
        </is>
      </c>
      <c r="AG1202" t="inlineStr">
        <is>
          <t>AUTO_GENERERAD. Verifiera citat mot kallfil.</t>
        </is>
      </c>
      <c r="AH1202" t="inlineStr">
        <is>
          <t>MEDIUM</t>
        </is>
      </c>
      <c r="AI1202" t="inlineStr">
        <is>
          <t>AUTO</t>
        </is>
      </c>
      <c r="AJ1202" t="inlineStr">
        <is>
          <t>Nej</t>
        </is>
      </c>
      <c r="AK1202" t="inlineStr"/>
      <c r="AL1202" t="inlineStr"/>
      <c r="AM1202" t="inlineStr"/>
      <c r="AN1202" t="inlineStr"/>
      <c r="AO1202" t="inlineStr">
        <is>
          <t>cmm4yupgm02lkcuqwtilqg9xf</t>
        </is>
      </c>
      <c r="AP1202" t="inlineStr">
        <is>
          <t>http://localhost:8787/api/admin/requirements/documents/cmm4yupgm02lkcuqwtilqg9xf/view</t>
        </is>
      </c>
      <c r="AQ1202">
        <f>HYPERLÄNK("http://localhost:8787/api/admin/requirements/documents/cmm4yupgm02lkcuqwtilqg9xf/view";"Öppna PDF")</f>
        <v/>
      </c>
      <c r="AR1202">
        <f>HYPERLINK("http://localhost:8787/api/admin/requirements/documents/cmm4yupgm02lkcuqwtilqg9xf/view","Open PDF")</f>
        <v/>
      </c>
      <c r="AS1202" t="inlineStr">
        <is>
          <t>cmm55w57p0004cuisfrtpqly8</t>
        </is>
      </c>
      <c r="AT1202" t="inlineStr">
        <is>
          <t>cmm4xvu980000cuh4vj0usz09</t>
        </is>
      </c>
      <c r="AU1202" t="inlineStr">
        <is>
          <t>Vreta Kloster Postadress Lessebo</t>
        </is>
      </c>
      <c r="AV1202" t="inlineStr">
        <is>
          <t>Kommun</t>
        </is>
      </c>
      <c r="AW1202" t="inlineStr">
        <is>
          <t>Vreta Kloster Postadress Lessebo kommun</t>
        </is>
      </c>
      <c r="AX1202" t="inlineStr">
        <is>
          <t>2025-05</t>
        </is>
      </c>
      <c r="AY1202" t="inlineStr">
        <is>
          <t>Beslut</t>
        </is>
      </c>
      <c r="AZ1202" t="inlineStr">
        <is>
          <t>2026-02-04</t>
        </is>
      </c>
      <c r="BA1202" t="inlineStr">
        <is>
          <t>MN-2025-119_Delegationsbeslut_2025-05-07.pdf</t>
        </is>
      </c>
      <c r="BB1202" t="inlineStr">
        <is>
          <t>Sv: till registrator</t>
        </is>
      </c>
      <c r="BC1202" t="inlineStr">
        <is>
          <t>AUTO</t>
        </is>
      </c>
      <c r="BD1202" t="inlineStr"/>
      <c r="BE1202" t="inlineStr"/>
      <c r="BF1202" t="inlineStr">
        <is>
          <t>AUTO_GENERERAD. Bekrafta metadata mot kallfil.</t>
        </is>
      </c>
      <c r="BG1202">
        <f>HYPERLINK("C:\Users\jimmy\Desktop\Examens arbete\Kod\Ny mapp\remix_-copy-of-miljöbeslut.se-portal\MN-2025-119_Delegationsbeslut_2025-05-07.pdf", "Öppna PDF")</f>
        <v/>
      </c>
    </row>
    <row r="1203">
      <c r="A1203" t="inlineStr">
        <is>
          <t>KRAV-AUTO-001202</t>
        </is>
      </c>
      <c r="B1203" t="inlineStr">
        <is>
          <t>ADMIN-INDEX-2026-02-27-00000000125C043F57453246863FE664CAFE6A3F0700950291EA24F0614FB6ACEDB12BF0E31D00000000010C0000950291EA24F0614FB6ACEDB12BF0E31D00002087AE7A0000</t>
        </is>
      </c>
      <c r="C1203" t="inlineStr">
        <is>
          <t>cmm4yupge02lbcuqwya4f3wox</t>
        </is>
      </c>
      <c r="D1203" t="inlineStr">
        <is>
          <t>http://localhost:8787/api/admin/requirements/documents/cmm4yupge02lbcuqwya4f3wox/view</t>
        </is>
      </c>
      <c r="E1203">
        <f>HYPERLÄNK("http://localhost:8787/api/admin/requirements/documents/cmm4yupge02lbcuqwya4f3wox/view";"Öppna PDF")</f>
        <v/>
      </c>
      <c r="F1203">
        <f>HYPERLINK("http://localhost:8787/api/admin/requirements/documents/cmm4yupge02lbcuqwya4f3wox/view","Open PDF")</f>
        <v/>
      </c>
      <c r="G1203" t="inlineStr">
        <is>
          <t>cmm55w57p0004cuisfrtpqly8</t>
        </is>
      </c>
      <c r="H1203" t="inlineStr">
        <is>
          <t>Beslutsvillkor</t>
        </is>
      </c>
      <c r="I1203" t="inlineStr">
        <is>
          <t>DagvattenLakvatten</t>
        </is>
      </c>
      <c r="J1203" t="inlineStr">
        <is>
          <t>Uppsamling</t>
        </is>
      </c>
      <c r="K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3" t="inlineStr">
        <is>
          <t>INFO</t>
        </is>
      </c>
      <c r="N1203" t="inlineStr">
        <is>
          <t>FMH</t>
        </is>
      </c>
      <c r="O1203" t="inlineStr">
        <is>
          <t>2025-03-11</t>
        </is>
      </c>
      <c r="P1203" t="inlineStr">
        <is>
          <t>Arlig</t>
        </is>
      </c>
      <c r="Q1203" t="inlineStr"/>
      <c r="R1203" t="inlineStr">
        <is>
          <t>Vid nederbord och avrinning</t>
        </is>
      </c>
      <c r="S1203" t="inlineStr"/>
      <c r="T1203" t="inlineStr">
        <is>
          <t>19 08 05</t>
        </is>
      </c>
      <c r="U1203" t="n">
        <v>6000</v>
      </c>
      <c r="V1203" t="inlineStr"/>
      <c r="W1203" t="inlineStr">
        <is>
          <t>Nej</t>
        </is>
      </c>
      <c r="X1203" t="inlineStr">
        <is>
          <t>Ja</t>
        </is>
      </c>
      <c r="Y1203" t="inlineStr">
        <is>
          <t>Ja</t>
        </is>
      </c>
      <c r="Z1203" t="inlineStr">
        <is>
          <t>Nej</t>
        </is>
      </c>
      <c r="AA1203" t="n">
        <v>6</v>
      </c>
      <c r="AB1203" t="inlineStr">
        <is>
          <t>Lakvattenhantering</t>
        </is>
      </c>
      <c r="AC1203" t="inlineStr">
        <is>
          <t>Flodesschema dagvatten-lakvatten</t>
        </is>
      </c>
      <c r="AD1203" t="inlineStr">
        <is>
          <t>Nej</t>
        </is>
      </c>
      <c r="AE1203" t="inlineStr">
        <is>
          <t>Nej</t>
        </is>
      </c>
      <c r="AF1203" t="inlineStr">
        <is>
          <t>Ej behandlad</t>
        </is>
      </c>
      <c r="AG1203" t="inlineStr">
        <is>
          <t>AUTO_GENERERAD. Verifiera citat mot kallfil.</t>
        </is>
      </c>
      <c r="AH1203" t="inlineStr">
        <is>
          <t>HIGH</t>
        </is>
      </c>
      <c r="AI1203" t="inlineStr">
        <is>
          <t>AUTO</t>
        </is>
      </c>
      <c r="AJ1203" t="inlineStr">
        <is>
          <t>Nej</t>
        </is>
      </c>
      <c r="AK1203" t="inlineStr"/>
      <c r="AL1203" t="inlineStr"/>
      <c r="AM1203" t="inlineStr"/>
      <c r="AN1203" t="inlineStr"/>
      <c r="AO1203" t="inlineStr">
        <is>
          <t>cmm4yupgm02lkcuqwtilqg9xf</t>
        </is>
      </c>
      <c r="AP1203" t="inlineStr">
        <is>
          <t>http://localhost:8787/api/admin/requirements/documents/cmm4yupgm02lkcuqwtilqg9xf/view</t>
        </is>
      </c>
      <c r="AQ1203">
        <f>HYPERLÄNK("http://localhost:8787/api/admin/requirements/documents/cmm4yupgm02lkcuqwtilqg9xf/view";"Öppna PDF")</f>
        <v/>
      </c>
      <c r="AR1203">
        <f>HYPERLINK("http://localhost:8787/api/admin/requirements/documents/cmm4yupgm02lkcuqwtilqg9xf/view","Open PDF")</f>
        <v/>
      </c>
      <c r="AS1203" t="inlineStr">
        <is>
          <t>cmm55w57p0004cuisfrtpqly8</t>
        </is>
      </c>
      <c r="AT1203" t="inlineStr">
        <is>
          <t>cmm4xvu980000cuh4vj0usz09</t>
        </is>
      </c>
      <c r="AU1203" t="inlineStr">
        <is>
          <t>Vreta Kloster Postadress Lessebo</t>
        </is>
      </c>
      <c r="AV1203" t="inlineStr">
        <is>
          <t>Kommun</t>
        </is>
      </c>
      <c r="AW1203" t="inlineStr">
        <is>
          <t>Vreta Kloster Postadress Lessebo kommun</t>
        </is>
      </c>
      <c r="AX1203" t="inlineStr">
        <is>
          <t>2025-05</t>
        </is>
      </c>
      <c r="AY1203" t="inlineStr">
        <is>
          <t>Beslut</t>
        </is>
      </c>
      <c r="AZ1203" t="inlineStr">
        <is>
          <t>2026-02-04</t>
        </is>
      </c>
      <c r="BA1203" t="inlineStr">
        <is>
          <t>MN-2025-119_Delegationsbeslut_2025-05-07.pdf</t>
        </is>
      </c>
      <c r="BB1203" t="inlineStr">
        <is>
          <t>Sv: till registrator</t>
        </is>
      </c>
      <c r="BC1203" t="inlineStr">
        <is>
          <t>AUTO</t>
        </is>
      </c>
      <c r="BD1203" t="inlineStr"/>
      <c r="BE1203" t="inlineStr"/>
      <c r="BF1203" t="inlineStr">
        <is>
          <t>AUTO_GENERERAD. Bekrafta metadata mot kallfil.</t>
        </is>
      </c>
      <c r="BG1203">
        <f>HYPERLINK("C:\Users\jimmy\Desktop\Examens arbete\Kod\Ny mapp\remix_-copy-of-miljöbeslut.se-portal\MN-2025-119_Delegationsbeslut_2025-05-07.pdf", "Öppna PDF")</f>
        <v/>
      </c>
    </row>
    <row r="1204">
      <c r="A1204" t="inlineStr">
        <is>
          <t>KRAV-AUTO-001203</t>
        </is>
      </c>
      <c r="B1204" t="inlineStr">
        <is>
          <t>ADMIN-INDEX-2026-02-27-00000000125C043F57453246863FE664CAFE6A3F0700950291EA24F0614FB6ACEDB12BF0E31D00000000010C0000950291EA24F0614FB6ACEDB12BF0E31D00002087AE7A0000</t>
        </is>
      </c>
      <c r="C1204" t="inlineStr">
        <is>
          <t>cmm4yupge02lbcuqwya4f3wox</t>
        </is>
      </c>
      <c r="D1204" t="inlineStr">
        <is>
          <t>http://localhost:8787/api/admin/requirements/documents/cmm4yupge02lbcuqwya4f3wox/view</t>
        </is>
      </c>
      <c r="E1204">
        <f>HYPERLÄNK("http://localhost:8787/api/admin/requirements/documents/cmm4yupge02lbcuqwya4f3wox/view";"Öppna PDF")</f>
        <v/>
      </c>
      <c r="F1204">
        <f>HYPERLINK("http://localhost:8787/api/admin/requirements/documents/cmm4yupge02lbcuqwya4f3wox/view","Open PDF")</f>
        <v/>
      </c>
      <c r="G1204" t="inlineStr">
        <is>
          <t>cmm55w57p0004cuisfrtpqly8</t>
        </is>
      </c>
      <c r="H1204" t="inlineStr">
        <is>
          <t>Beslutsvillkor</t>
        </is>
      </c>
      <c r="I1204" t="inlineStr">
        <is>
          <t>LagringsvolymTid</t>
        </is>
      </c>
      <c r="J1204" t="inlineStr">
        <is>
          <t>Maxmangd</t>
        </is>
      </c>
      <c r="K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204" t="inlineStr">
        <is>
          <t>SKA</t>
        </is>
      </c>
      <c r="N1204" t="inlineStr">
        <is>
          <t>FMH</t>
        </is>
      </c>
      <c r="O1204" t="inlineStr"/>
      <c r="P1204" t="inlineStr"/>
      <c r="Q1204" t="inlineStr"/>
      <c r="R1204" t="inlineStr">
        <is>
          <t>Alltid</t>
        </is>
      </c>
      <c r="S1204" t="inlineStr"/>
      <c r="T1204" t="inlineStr">
        <is>
          <t>212000</t>
        </is>
      </c>
      <c r="U1204" t="inlineStr"/>
      <c r="V1204" t="inlineStr"/>
      <c r="W1204" t="inlineStr">
        <is>
          <t>Nej</t>
        </is>
      </c>
      <c r="X1204" t="inlineStr">
        <is>
          <t>Nej</t>
        </is>
      </c>
      <c r="Y1204" t="inlineStr">
        <is>
          <t>Nej</t>
        </is>
      </c>
      <c r="Z1204" t="inlineStr">
        <is>
          <t>Nej</t>
        </is>
      </c>
      <c r="AA1204" t="n">
        <v>4</v>
      </c>
      <c r="AB1204" t="inlineStr">
        <is>
          <t>Avfallsmangder och lagringstid</t>
        </is>
      </c>
      <c r="AC1204" t="inlineStr">
        <is>
          <t>Avfallsforteckning</t>
        </is>
      </c>
      <c r="AD1204" t="inlineStr">
        <is>
          <t>Nej</t>
        </is>
      </c>
      <c r="AE1204" t="inlineStr">
        <is>
          <t>Nej</t>
        </is>
      </c>
      <c r="AF1204" t="inlineStr">
        <is>
          <t>Ej behandlad</t>
        </is>
      </c>
      <c r="AG1204" t="inlineStr">
        <is>
          <t>AUTO_GENERERAD. Verifiera citat mot kallfil.</t>
        </is>
      </c>
      <c r="AH1204" t="inlineStr">
        <is>
          <t>HIGH</t>
        </is>
      </c>
      <c r="AI1204" t="inlineStr">
        <is>
          <t>AUTO</t>
        </is>
      </c>
      <c r="AJ1204" t="inlineStr">
        <is>
          <t>Nej</t>
        </is>
      </c>
      <c r="AK1204" t="inlineStr"/>
      <c r="AL1204" t="inlineStr"/>
      <c r="AM1204" t="inlineStr"/>
      <c r="AN1204" t="inlineStr"/>
      <c r="AO1204" t="inlineStr">
        <is>
          <t>cmm4yupgm02lkcuqwtilqg9xf</t>
        </is>
      </c>
      <c r="AP1204" t="inlineStr">
        <is>
          <t>http://localhost:8787/api/admin/requirements/documents/cmm4yupgm02lkcuqwtilqg9xf/view</t>
        </is>
      </c>
      <c r="AQ1204">
        <f>HYPERLÄNK("http://localhost:8787/api/admin/requirements/documents/cmm4yupgm02lkcuqwtilqg9xf/view";"Öppna PDF")</f>
        <v/>
      </c>
      <c r="AR1204">
        <f>HYPERLINK("http://localhost:8787/api/admin/requirements/documents/cmm4yupgm02lkcuqwtilqg9xf/view","Open PDF")</f>
        <v/>
      </c>
      <c r="AS1204" t="inlineStr">
        <is>
          <t>cmm55w57p0004cuisfrtpqly8</t>
        </is>
      </c>
      <c r="AT1204" t="inlineStr">
        <is>
          <t>cmm4xvu980000cuh4vj0usz09</t>
        </is>
      </c>
      <c r="AU1204" t="inlineStr">
        <is>
          <t>Vreta Kloster Postadress Lessebo</t>
        </is>
      </c>
      <c r="AV1204" t="inlineStr">
        <is>
          <t>Kommun</t>
        </is>
      </c>
      <c r="AW1204" t="inlineStr">
        <is>
          <t>Vreta Kloster Postadress Lessebo kommun</t>
        </is>
      </c>
      <c r="AX1204" t="inlineStr">
        <is>
          <t>2025-05</t>
        </is>
      </c>
      <c r="AY1204" t="inlineStr">
        <is>
          <t>Beslut</t>
        </is>
      </c>
      <c r="AZ1204" t="inlineStr">
        <is>
          <t>2026-02-04</t>
        </is>
      </c>
      <c r="BA1204" t="inlineStr">
        <is>
          <t>MN-2025-119_Delegationsbeslut_2025-05-07.pdf</t>
        </is>
      </c>
      <c r="BB1204" t="inlineStr">
        <is>
          <t>Sv: till registrator</t>
        </is>
      </c>
      <c r="BC1204" t="inlineStr">
        <is>
          <t>AUTO</t>
        </is>
      </c>
      <c r="BD1204" t="inlineStr"/>
      <c r="BE1204" t="inlineStr"/>
      <c r="BF1204" t="inlineStr">
        <is>
          <t>AUTO_GENERERAD. Bekrafta metadata mot kallfil.</t>
        </is>
      </c>
      <c r="BG1204">
        <f>HYPERLINK("C:\Users\jimmy\Desktop\Examens arbete\Kod\Ny mapp\remix_-copy-of-miljöbeslut.se-portal\MN-2025-119_Delegationsbeslut_2025-05-07.pdf", "Öppna PDF")</f>
        <v/>
      </c>
    </row>
    <row r="1205">
      <c r="A1205" t="inlineStr">
        <is>
          <t>KRAV-AUTO-001204</t>
        </is>
      </c>
      <c r="B1205" t="inlineStr">
        <is>
          <t>ADMIN-INDEX-2026-02-27-00000000125C043F57453246863FE664CAFE6A3F0700950291EA24F0614FB6ACEDB12BF0E31D00000000010C0000950291EA24F0614FB6ACEDB12BF0E31D00002087AE7A0000</t>
        </is>
      </c>
      <c r="C1205" t="inlineStr">
        <is>
          <t>cmm4yupg802l5cuqwascfd0db</t>
        </is>
      </c>
      <c r="D1205" t="inlineStr">
        <is>
          <t>http://localhost:8787/api/admin/requirements/documents/cmm4yupg802l5cuqwascfd0db/view</t>
        </is>
      </c>
      <c r="E1205">
        <f>HYPERLÄNK("http://localhost:8787/api/admin/requirements/documents/cmm4yupg802l5cuqwascfd0db/view";"Öppna PDF")</f>
        <v/>
      </c>
      <c r="F1205">
        <f>HYPERLINK("http://localhost:8787/api/admin/requirements/documents/cmm4yupg802l5cuqwascfd0db/view","Open PDF")</f>
        <v/>
      </c>
      <c r="G1205" t="inlineStr">
        <is>
          <t>cmm55w57p0004cuisfrtpqly8</t>
        </is>
      </c>
      <c r="H1205" t="inlineStr">
        <is>
          <t>Beslutsvillkor</t>
        </is>
      </c>
      <c r="I1205" t="inlineStr">
        <is>
          <t>LagringsvolymTid</t>
        </is>
      </c>
      <c r="J1205" t="inlineStr">
        <is>
          <t>Maxmangd</t>
        </is>
      </c>
      <c r="K1205" t="inlineStr">
        <is>
          <t>Då bedömer jag att ni faller under Avfall 29 kap i Miljöprövningsförordningen antingen § 40 eller § 41 beroende på mängden som ska behandlas.</t>
        </is>
      </c>
      <c r="L1205" t="inlineStr">
        <is>
          <t>Då bedömer jag att ni faller under Avfall 29 kap i Miljöprövningsförordningen antingen § 40 eller § 41 beroende på mängden som ska behandlas.</t>
        </is>
      </c>
      <c r="M1205" t="inlineStr">
        <is>
          <t>SKA</t>
        </is>
      </c>
      <c r="N1205" t="inlineStr">
        <is>
          <t>MPF</t>
        </is>
      </c>
      <c r="O1205" t="inlineStr"/>
      <c r="P1205" t="inlineStr"/>
      <c r="Q1205" t="inlineStr"/>
      <c r="R1205" t="inlineStr">
        <is>
          <t>Alltid</t>
        </is>
      </c>
      <c r="S1205" t="inlineStr"/>
      <c r="T1205" t="inlineStr">
        <is>
          <t>200422</t>
        </is>
      </c>
      <c r="U1205" t="inlineStr"/>
      <c r="V1205" t="inlineStr"/>
      <c r="W1205" t="inlineStr">
        <is>
          <t>Nej</t>
        </is>
      </c>
      <c r="X1205" t="inlineStr">
        <is>
          <t>Nej</t>
        </is>
      </c>
      <c r="Y1205" t="inlineStr">
        <is>
          <t>Nej</t>
        </is>
      </c>
      <c r="Z1205" t="inlineStr">
        <is>
          <t>Nej</t>
        </is>
      </c>
      <c r="AA1205" t="n">
        <v>4</v>
      </c>
      <c r="AB1205" t="inlineStr">
        <is>
          <t>Avfallsmangder och lagringstid</t>
        </is>
      </c>
      <c r="AC1205" t="inlineStr">
        <is>
          <t>Avfallsforteckning</t>
        </is>
      </c>
      <c r="AD1205" t="inlineStr">
        <is>
          <t>Nej</t>
        </is>
      </c>
      <c r="AE1205" t="inlineStr">
        <is>
          <t>Nej</t>
        </is>
      </c>
      <c r="AF1205" t="inlineStr">
        <is>
          <t>Ej behandlad</t>
        </is>
      </c>
      <c r="AG1205" t="inlineStr">
        <is>
          <t>AUTO_GENERERAD. Verifiera citat mot kallfil.</t>
        </is>
      </c>
      <c r="AH1205" t="inlineStr">
        <is>
          <t>MEDIUM</t>
        </is>
      </c>
      <c r="AI1205" t="inlineStr">
        <is>
          <t>AUTO</t>
        </is>
      </c>
      <c r="AJ1205" t="inlineStr">
        <is>
          <t>Nej</t>
        </is>
      </c>
      <c r="AK1205" t="inlineStr"/>
      <c r="AL1205" t="inlineStr"/>
      <c r="AM1205" t="inlineStr"/>
      <c r="AN1205" t="inlineStr"/>
      <c r="AO1205" t="inlineStr">
        <is>
          <t>cmm4yupgm02lkcuqwtilqg9xf</t>
        </is>
      </c>
      <c r="AP1205" t="inlineStr">
        <is>
          <t>http://localhost:8787/api/admin/requirements/documents/cmm4yupgm02lkcuqwtilqg9xf/view</t>
        </is>
      </c>
      <c r="AQ1205">
        <f>HYPERLÄNK("http://localhost:8787/api/admin/requirements/documents/cmm4yupgm02lkcuqwtilqg9xf/view";"Öppna PDF")</f>
        <v/>
      </c>
      <c r="AR1205">
        <f>HYPERLINK("http://localhost:8787/api/admin/requirements/documents/cmm4yupgm02lkcuqwtilqg9xf/view","Open PDF")</f>
        <v/>
      </c>
      <c r="AS1205" t="inlineStr">
        <is>
          <t>cmm55w57p0004cuisfrtpqly8</t>
        </is>
      </c>
      <c r="AT1205" t="inlineStr">
        <is>
          <t>cmm4xvu980000cuh4vj0usz09</t>
        </is>
      </c>
      <c r="AU1205" t="inlineStr">
        <is>
          <t>Vreta Kloster Postadress Lessebo</t>
        </is>
      </c>
      <c r="AV1205" t="inlineStr">
        <is>
          <t>Kommun</t>
        </is>
      </c>
      <c r="AW1205" t="inlineStr">
        <is>
          <t>Vreta Kloster Postadress Lessebo kommun</t>
        </is>
      </c>
      <c r="AX1205" t="inlineStr">
        <is>
          <t>2025-05</t>
        </is>
      </c>
      <c r="AY1205" t="inlineStr">
        <is>
          <t>Beslut</t>
        </is>
      </c>
      <c r="AZ1205" t="inlineStr">
        <is>
          <t>2026-02-04</t>
        </is>
      </c>
      <c r="BA1205" t="inlineStr">
        <is>
          <t>MN-2025-119_Delegationsbeslut_2025-05-07.pdf</t>
        </is>
      </c>
      <c r="BB1205" t="inlineStr">
        <is>
          <t>Sv: till registrator</t>
        </is>
      </c>
      <c r="BC1205" t="inlineStr">
        <is>
          <t>AUTO</t>
        </is>
      </c>
      <c r="BD1205" t="inlineStr"/>
      <c r="BE1205" t="inlineStr"/>
      <c r="BF1205" t="inlineStr">
        <is>
          <t>AUTO_GENERERAD. Bekrafta metadata mot kallfil.</t>
        </is>
      </c>
      <c r="BG1205">
        <f>HYPERLINK("C:\Users\jimmy\Desktop\Examens arbete\Kod\Ny mapp\remix_-copy-of-miljöbeslut.se-portal\MN-2025-119_Delegationsbeslut_2025-05-07.pdf", "Öppna PDF")</f>
        <v/>
      </c>
    </row>
    <row r="1206">
      <c r="A1206" t="inlineStr">
        <is>
          <t>KRAV-AUTO-001205</t>
        </is>
      </c>
      <c r="B1206" t="inlineStr">
        <is>
          <t>ADMIN-INDEX-2026-02-27-00000000125C043F57453246863FE664CAFE6A3F0700950291EA24F0614FB6ACEDB12BF0E31D00000000010C0000950291EA24F0614FB6ACEDB12BF0E31D00002087AE7A0000</t>
        </is>
      </c>
      <c r="C1206" t="inlineStr">
        <is>
          <t>cmm4yupg602l2cuqwycxhhu89</t>
        </is>
      </c>
      <c r="D1206" t="inlineStr">
        <is>
          <t>http://localhost:8787/api/admin/requirements/documents/cmm4yupg602l2cuqwycxhhu89/view</t>
        </is>
      </c>
      <c r="E1206">
        <f>HYPERLÄNK("http://localhost:8787/api/admin/requirements/documents/cmm4yupg602l2cuqwycxhhu89/view";"Öppna PDF")</f>
        <v/>
      </c>
      <c r="F1206">
        <f>HYPERLINK("http://localhost:8787/api/admin/requirements/documents/cmm4yupg602l2cuqwycxhhu89/view","Open PDF")</f>
        <v/>
      </c>
      <c r="G1206" t="inlineStr">
        <is>
          <t>cmm55w57p0004cuisfrtpqly8</t>
        </is>
      </c>
      <c r="H1206" t="inlineStr">
        <is>
          <t>Beslutsvillkor</t>
        </is>
      </c>
      <c r="I1206" t="inlineStr">
        <is>
          <t>LagringsvolymTid</t>
        </is>
      </c>
      <c r="J1206" t="inlineStr">
        <is>
          <t>Maxmangd</t>
        </is>
      </c>
      <c r="K1206" t="inlineStr">
        <is>
          <t>Då bedömer jag att ni faller under Avfall 29 kap i Miljöprövningsförordningen antingen § 40 eller § 41 beroende på mängden som ska behandlas.</t>
        </is>
      </c>
      <c r="L1206" t="inlineStr">
        <is>
          <t>Då bedömer jag att ni faller under Avfall 29 kap i Miljöprövningsförordningen antingen § 40 eller § 41 beroende på mängden som ska behandlas.</t>
        </is>
      </c>
      <c r="M1206" t="inlineStr">
        <is>
          <t>SKA</t>
        </is>
      </c>
      <c r="N1206" t="inlineStr">
        <is>
          <t>MPF</t>
        </is>
      </c>
      <c r="O1206" t="inlineStr"/>
      <c r="P1206" t="inlineStr"/>
      <c r="Q1206" t="inlineStr"/>
      <c r="R1206" t="inlineStr">
        <is>
          <t>Alltid</t>
        </is>
      </c>
      <c r="S1206" t="inlineStr"/>
      <c r="T1206" t="inlineStr">
        <is>
          <t>2024 16</t>
        </is>
      </c>
      <c r="U1206" t="inlineStr"/>
      <c r="V1206" t="inlineStr"/>
      <c r="W1206" t="inlineStr">
        <is>
          <t>Nej</t>
        </is>
      </c>
      <c r="X1206" t="inlineStr">
        <is>
          <t>Nej</t>
        </is>
      </c>
      <c r="Y1206" t="inlineStr">
        <is>
          <t>Nej</t>
        </is>
      </c>
      <c r="Z1206" t="inlineStr">
        <is>
          <t>Nej</t>
        </is>
      </c>
      <c r="AA1206" t="n">
        <v>4</v>
      </c>
      <c r="AB1206" t="inlineStr">
        <is>
          <t>Avfallsmangder och lagringstid</t>
        </is>
      </c>
      <c r="AC1206" t="inlineStr">
        <is>
          <t>Avfallsforteckning</t>
        </is>
      </c>
      <c r="AD1206" t="inlineStr">
        <is>
          <t>Nej</t>
        </is>
      </c>
      <c r="AE1206" t="inlineStr">
        <is>
          <t>Nej</t>
        </is>
      </c>
      <c r="AF1206" t="inlineStr">
        <is>
          <t>Ej behandlad</t>
        </is>
      </c>
      <c r="AG1206" t="inlineStr">
        <is>
          <t>AUTO_GENERERAD. Verifiera citat mot kallfil.</t>
        </is>
      </c>
      <c r="AH1206" t="inlineStr">
        <is>
          <t>MEDIUM</t>
        </is>
      </c>
      <c r="AI1206" t="inlineStr">
        <is>
          <t>AUTO</t>
        </is>
      </c>
      <c r="AJ1206" t="inlineStr">
        <is>
          <t>Nej</t>
        </is>
      </c>
      <c r="AK1206" t="inlineStr"/>
      <c r="AL1206" t="inlineStr"/>
      <c r="AM1206" t="inlineStr"/>
      <c r="AN1206" t="inlineStr"/>
      <c r="AO1206" t="inlineStr">
        <is>
          <t>cmm4yupgm02lkcuqwtilqg9xf</t>
        </is>
      </c>
      <c r="AP1206" t="inlineStr">
        <is>
          <t>http://localhost:8787/api/admin/requirements/documents/cmm4yupgm02lkcuqwtilqg9xf/view</t>
        </is>
      </c>
      <c r="AQ1206">
        <f>HYPERLÄNK("http://localhost:8787/api/admin/requirements/documents/cmm4yupgm02lkcuqwtilqg9xf/view";"Öppna PDF")</f>
        <v/>
      </c>
      <c r="AR1206">
        <f>HYPERLINK("http://localhost:8787/api/admin/requirements/documents/cmm4yupgm02lkcuqwtilqg9xf/view","Open PDF")</f>
        <v/>
      </c>
      <c r="AS1206" t="inlineStr">
        <is>
          <t>cmm55w57p0004cuisfrtpqly8</t>
        </is>
      </c>
      <c r="AT1206" t="inlineStr">
        <is>
          <t>cmm4xvu980000cuh4vj0usz09</t>
        </is>
      </c>
      <c r="AU1206" t="inlineStr">
        <is>
          <t>Vreta Kloster Postadress Lessebo</t>
        </is>
      </c>
      <c r="AV1206" t="inlineStr">
        <is>
          <t>Kommun</t>
        </is>
      </c>
      <c r="AW1206" t="inlineStr">
        <is>
          <t>Vreta Kloster Postadress Lessebo kommun</t>
        </is>
      </c>
      <c r="AX1206" t="inlineStr">
        <is>
          <t>2025-05</t>
        </is>
      </c>
      <c r="AY1206" t="inlineStr">
        <is>
          <t>Beslut</t>
        </is>
      </c>
      <c r="AZ1206" t="inlineStr">
        <is>
          <t>2026-02-04</t>
        </is>
      </c>
      <c r="BA1206" t="inlineStr">
        <is>
          <t>MN-2025-119_Delegationsbeslut_2025-05-07.pdf</t>
        </is>
      </c>
      <c r="BB1206" t="inlineStr">
        <is>
          <t>Sv: till registrator</t>
        </is>
      </c>
      <c r="BC1206" t="inlineStr">
        <is>
          <t>AUTO</t>
        </is>
      </c>
      <c r="BD1206" t="inlineStr"/>
      <c r="BE1206" t="inlineStr"/>
      <c r="BF1206" t="inlineStr">
        <is>
          <t>AUTO_GENERERAD. Bekrafta metadata mot kallfil.</t>
        </is>
      </c>
      <c r="BG1206">
        <f>HYPERLINK("C:\Users\jimmy\Desktop\Examens arbete\Kod\Ny mapp\remix_-copy-of-miljöbeslut.se-portal\MN-2025-119_Delegationsbeslut_2025-05-07.pdf", "Öppna PDF")</f>
        <v/>
      </c>
    </row>
    <row r="1207">
      <c r="A1207" t="inlineStr">
        <is>
          <t>KRAV-AUTO-001206</t>
        </is>
      </c>
      <c r="B1207" t="inlineStr">
        <is>
          <t>ADMIN-INDEX-2026-02-27-00000000125C043F57453246863FE664CAFE6A3F0700950291EA24F0614FB6ACEDB12BF0E31D00000000010C0000950291EA24F0614FB6ACEDB12BF0E31D00002087AE8B0000</t>
        </is>
      </c>
      <c r="C1207" t="inlineStr">
        <is>
          <t>cmm4yupfm02khcuqwabq732ou</t>
        </is>
      </c>
      <c r="D1207" t="inlineStr">
        <is>
          <t>http://localhost:8787/api/admin/requirements/documents/cmm4yupfm02khcuqwabq732ou/view</t>
        </is>
      </c>
      <c r="E1207">
        <f>HYPERLÄNK("http://localhost:8787/api/admin/requirements/documents/cmm4yupfm02khcuqwabq732ou/view";"Öppna PDF")</f>
        <v/>
      </c>
      <c r="F1207">
        <f>HYPERLINK("http://localhost:8787/api/admin/requirements/documents/cmm4yupfm02khcuqwabq732ou/view","Open PDF")</f>
        <v/>
      </c>
      <c r="G1207" t="inlineStr">
        <is>
          <t>cmm55w57p0004cuisfrtpqly8</t>
        </is>
      </c>
      <c r="H1207" t="inlineStr">
        <is>
          <t>Beslutsvillkor</t>
        </is>
      </c>
      <c r="I1207" t="inlineStr">
        <is>
          <t>MiljopaverkanForsiktighet</t>
        </is>
      </c>
      <c r="J1207" t="inlineStr">
        <is>
          <t>Skyddsatgarder</t>
        </is>
      </c>
      <c r="K1207" t="inlineStr">
        <is>
          <t>Buller Buller är en betydande störningskälla vid all avfallshantering.</t>
        </is>
      </c>
      <c r="L1207" t="inlineStr">
        <is>
          <t>Buller Buller är en betydande störningskälla vid all avfallshantering.</t>
        </is>
      </c>
      <c r="M1207" t="inlineStr">
        <is>
          <t>SKA</t>
        </is>
      </c>
      <c r="N1207" t="inlineStr"/>
      <c r="O1207" t="inlineStr"/>
      <c r="P1207" t="inlineStr"/>
      <c r="Q1207" t="inlineStr"/>
      <c r="R1207" t="inlineStr">
        <is>
          <t>Alltid</t>
        </is>
      </c>
      <c r="S1207" t="inlineStr"/>
      <c r="T1207" t="inlineStr">
        <is>
          <t>2026 22</t>
        </is>
      </c>
      <c r="U1207" t="inlineStr"/>
      <c r="V1207" t="inlineStr"/>
      <c r="W1207" t="inlineStr">
        <is>
          <t>Nej</t>
        </is>
      </c>
      <c r="X1207" t="inlineStr">
        <is>
          <t>Nej</t>
        </is>
      </c>
      <c r="Y1207" t="inlineStr">
        <is>
          <t>Nej</t>
        </is>
      </c>
      <c r="Z1207" t="inlineStr">
        <is>
          <t>Nej</t>
        </is>
      </c>
      <c r="AA1207" t="n">
        <v>10</v>
      </c>
      <c r="AB1207" t="inlineStr">
        <is>
          <t>Miljopaverkan och forsiktighetsmatt</t>
        </is>
      </c>
      <c r="AC1207" t="inlineStr">
        <is>
          <t>Miljo-PM</t>
        </is>
      </c>
      <c r="AD1207" t="inlineStr">
        <is>
          <t>Nej</t>
        </is>
      </c>
      <c r="AE1207" t="inlineStr">
        <is>
          <t>Nej</t>
        </is>
      </c>
      <c r="AF1207" t="inlineStr">
        <is>
          <t>Ej behandlad</t>
        </is>
      </c>
      <c r="AG1207" t="inlineStr">
        <is>
          <t>AUTO_GENERERAD. Verifiera citat mot kallfil.</t>
        </is>
      </c>
      <c r="AH1207" t="inlineStr">
        <is>
          <t>MEDIUM</t>
        </is>
      </c>
      <c r="AI1207" t="inlineStr">
        <is>
          <t>AUTO</t>
        </is>
      </c>
      <c r="AJ1207" t="inlineStr">
        <is>
          <t>Nej</t>
        </is>
      </c>
      <c r="AK1207" t="inlineStr"/>
      <c r="AL1207" t="inlineStr"/>
      <c r="AM1207" t="inlineStr"/>
      <c r="AN1207" t="inlineStr"/>
      <c r="AO1207" t="inlineStr">
        <is>
          <t>cmm4yupfm02khcuqwabq732ou</t>
        </is>
      </c>
      <c r="AP1207" t="inlineStr">
        <is>
          <t>http://localhost:8787/api/admin/requirements/documents/cmm4yupfm02khcuqwabq732ou/view</t>
        </is>
      </c>
      <c r="AQ1207">
        <f>HYPERLÄNK("http://localhost:8787/api/admin/requirements/documents/cmm4yupfm02khcuqwabq732ou/view";"Öppna PDF")</f>
        <v/>
      </c>
      <c r="AR1207">
        <f>HYPERLINK("http://localhost:8787/api/admin/requirements/documents/cmm4yupfm02khcuqwabq732ou/view","Open PDF")</f>
        <v/>
      </c>
      <c r="AS1207" t="inlineStr">
        <is>
          <t>cmm55w57p0004cuisfrtpqly8</t>
        </is>
      </c>
      <c r="AT1207" t="inlineStr">
        <is>
          <t>cmm4xvu980000cuh4vj0usz09</t>
        </is>
      </c>
      <c r="AU1207" t="inlineStr"/>
      <c r="AV1207" t="inlineStr">
        <is>
          <t>Kommun</t>
        </is>
      </c>
      <c r="AW1207" t="inlineStr"/>
      <c r="AX1207" t="inlineStr">
        <is>
          <t>0371-81000</t>
        </is>
      </c>
      <c r="AY1207" t="inlineStr">
        <is>
          <t>Beslut</t>
        </is>
      </c>
      <c r="AZ1207" t="inlineStr">
        <is>
          <t>2026-02-03</t>
        </is>
      </c>
      <c r="BA1207" t="inlineStr">
        <is>
          <t>MMIL.2025.618_Sjögårdens entreprenad.pdf</t>
        </is>
      </c>
      <c r="BB1207" t="inlineStr">
        <is>
          <t>SV: till registrator [2026KC4801]</t>
        </is>
      </c>
      <c r="BC1207" t="inlineStr">
        <is>
          <t>AUTO</t>
        </is>
      </c>
      <c r="BD1207" t="inlineStr"/>
      <c r="BE1207" t="inlineStr"/>
      <c r="BF1207" t="inlineStr">
        <is>
          <t>AUTO_GENERERAD. Bekrafta metadata mot kallfil.</t>
        </is>
      </c>
      <c r="BG1207">
        <f>HYPERLINK("C:\Users\jimmy\Desktop\Examens arbete\Kod\Ny mapp\remix_-copy-of-miljöbeslut.se-portal\MMIL.2025.618_Sjögårdens entreprenad.pdf", "Öppna PDF")</f>
        <v/>
      </c>
    </row>
    <row r="1208">
      <c r="A1208" t="inlineStr">
        <is>
          <t>KRAV-AUTO-001207</t>
        </is>
      </c>
      <c r="B1208" t="inlineStr">
        <is>
          <t>ADMIN-INDEX-2026-02-27-00000000125C043F57453246863FE664CAFE6A3F0700950291EA24F0614FB6ACEDB12BF0E31D00000000010C0000950291EA24F0614FB6ACEDB12BF0E31D00002087AE8B0000</t>
        </is>
      </c>
      <c r="C1208" t="inlineStr">
        <is>
          <t>cmm4yupfm02khcuqwabq732ou</t>
        </is>
      </c>
      <c r="D1208" t="inlineStr">
        <is>
          <t>http://localhost:8787/api/admin/requirements/documents/cmm4yupfm02khcuqwabq732ou/view</t>
        </is>
      </c>
      <c r="E1208">
        <f>HYPERLÄNK("http://localhost:8787/api/admin/requirements/documents/cmm4yupfm02khcuqwabq732ou/view";"Öppna PDF")</f>
        <v/>
      </c>
      <c r="F1208">
        <f>HYPERLINK("http://localhost:8787/api/admin/requirements/documents/cmm4yupfm02khcuqwabq732ou/view","Open PDF")</f>
        <v/>
      </c>
      <c r="G1208" t="inlineStr">
        <is>
          <t>cmm55w57p0004cuisfrtpqly8</t>
        </is>
      </c>
      <c r="H1208" t="inlineStr">
        <is>
          <t>Beslutsvillkor</t>
        </is>
      </c>
      <c r="I1208" t="inlineStr">
        <is>
          <t>DagvattenLakvatten</t>
        </is>
      </c>
      <c r="J1208" t="inlineStr">
        <is>
          <t>Uppsamling</t>
        </is>
      </c>
      <c r="K1208" t="inlineStr">
        <is>
          <t>Provtagning av massor kommer att ske om risk för föroreningar finns och uppskattad volym är 2000 ton per år.</t>
        </is>
      </c>
      <c r="L1208" t="inlineStr">
        <is>
          <t>Provtagning av massor kommer att ske om risk för föroreningar finns och uppskattad volym är 2000 ton per år.</t>
        </is>
      </c>
      <c r="M1208" t="inlineStr">
        <is>
          <t>SKA</t>
        </is>
      </c>
      <c r="N1208" t="inlineStr"/>
      <c r="O1208" t="inlineStr"/>
      <c r="P1208" t="inlineStr"/>
      <c r="Q1208" t="inlineStr"/>
      <c r="R1208" t="inlineStr">
        <is>
          <t>Vid nederbord och avrinning</t>
        </is>
      </c>
      <c r="S1208" t="inlineStr"/>
      <c r="T1208" t="inlineStr">
        <is>
          <t>2026 22</t>
        </is>
      </c>
      <c r="U1208" t="n">
        <v>2000</v>
      </c>
      <c r="V1208" t="inlineStr"/>
      <c r="W1208" t="inlineStr">
        <is>
          <t>Nej</t>
        </is>
      </c>
      <c r="X1208" t="inlineStr">
        <is>
          <t>Ja</t>
        </is>
      </c>
      <c r="Y1208" t="inlineStr">
        <is>
          <t>Ja</t>
        </is>
      </c>
      <c r="Z1208" t="inlineStr">
        <is>
          <t>Nej</t>
        </is>
      </c>
      <c r="AA1208" t="n">
        <v>6</v>
      </c>
      <c r="AB1208" t="inlineStr">
        <is>
          <t>Lakvattenhantering</t>
        </is>
      </c>
      <c r="AC1208" t="inlineStr">
        <is>
          <t>Flodesschema dagvatten-lakvatten</t>
        </is>
      </c>
      <c r="AD1208" t="inlineStr">
        <is>
          <t>Nej</t>
        </is>
      </c>
      <c r="AE1208" t="inlineStr">
        <is>
          <t>Nej</t>
        </is>
      </c>
      <c r="AF1208" t="inlineStr">
        <is>
          <t>Ej behandlad</t>
        </is>
      </c>
      <c r="AG1208" t="inlineStr">
        <is>
          <t>AUTO_GENERERAD. Verifiera citat mot kallfil.</t>
        </is>
      </c>
      <c r="AH1208" t="inlineStr">
        <is>
          <t>MEDIUM</t>
        </is>
      </c>
      <c r="AI1208" t="inlineStr">
        <is>
          <t>AUTO</t>
        </is>
      </c>
      <c r="AJ1208" t="inlineStr">
        <is>
          <t>Nej</t>
        </is>
      </c>
      <c r="AK1208" t="inlineStr"/>
      <c r="AL1208" t="inlineStr"/>
      <c r="AM1208" t="inlineStr"/>
      <c r="AN1208" t="inlineStr"/>
      <c r="AO1208" t="inlineStr">
        <is>
          <t>cmm4yupfm02khcuqwabq732ou</t>
        </is>
      </c>
      <c r="AP1208" t="inlineStr">
        <is>
          <t>http://localhost:8787/api/admin/requirements/documents/cmm4yupfm02khcuqwabq732ou/view</t>
        </is>
      </c>
      <c r="AQ1208">
        <f>HYPERLÄNK("http://localhost:8787/api/admin/requirements/documents/cmm4yupfm02khcuqwabq732ou/view";"Öppna PDF")</f>
        <v/>
      </c>
      <c r="AR1208">
        <f>HYPERLINK("http://localhost:8787/api/admin/requirements/documents/cmm4yupfm02khcuqwabq732ou/view","Open PDF")</f>
        <v/>
      </c>
      <c r="AS1208" t="inlineStr">
        <is>
          <t>cmm55w57p0004cuisfrtpqly8</t>
        </is>
      </c>
      <c r="AT1208" t="inlineStr">
        <is>
          <t>cmm4xvu980000cuh4vj0usz09</t>
        </is>
      </c>
      <c r="AU1208" t="inlineStr"/>
      <c r="AV1208" t="inlineStr">
        <is>
          <t>Kommun</t>
        </is>
      </c>
      <c r="AW1208" t="inlineStr"/>
      <c r="AX1208" t="inlineStr">
        <is>
          <t>0371-81000</t>
        </is>
      </c>
      <c r="AY1208" t="inlineStr">
        <is>
          <t>Beslut</t>
        </is>
      </c>
      <c r="AZ1208" t="inlineStr">
        <is>
          <t>2026-02-03</t>
        </is>
      </c>
      <c r="BA1208" t="inlineStr">
        <is>
          <t>MMIL.2025.618_Sjögårdens entreprenad.pdf</t>
        </is>
      </c>
      <c r="BB1208" t="inlineStr">
        <is>
          <t>SV: till registrator [2026KC4801]</t>
        </is>
      </c>
      <c r="BC1208" t="inlineStr">
        <is>
          <t>AUTO</t>
        </is>
      </c>
      <c r="BD1208" t="inlineStr"/>
      <c r="BE1208" t="inlineStr"/>
      <c r="BF1208" t="inlineStr">
        <is>
          <t>AUTO_GENERERAD. Bekrafta metadata mot kallfil.</t>
        </is>
      </c>
      <c r="BG1208">
        <f>HYPERLINK("C:\Users\jimmy\Desktop\Examens arbete\Kod\Ny mapp\remix_-copy-of-miljöbeslut.se-portal\MMIL.2025.618_Sjögårdens entreprenad.pdf", "Öppna PDF")</f>
        <v/>
      </c>
    </row>
    <row r="1209">
      <c r="A1209" t="inlineStr">
        <is>
          <t>KRAV-AUTO-001208</t>
        </is>
      </c>
      <c r="B1209" t="inlineStr">
        <is>
          <t>ADMIN-INDEX-2026-02-27-00000000125C043F57453246863FE664CAFE6A3F0700950291EA24F0614FB6ACEDB12BF0E31D00000000010C0000950291EA24F0614FB6ACEDB12BF0E31D00002087AE8B0000</t>
        </is>
      </c>
      <c r="C1209" t="inlineStr">
        <is>
          <t>cmm4yupfm02khcuqwabq732ou</t>
        </is>
      </c>
      <c r="D1209" t="inlineStr">
        <is>
          <t>http://localhost:8787/api/admin/requirements/documents/cmm4yupfm02khcuqwabq732ou/view</t>
        </is>
      </c>
      <c r="E1209">
        <f>HYPERLÄNK("http://localhost:8787/api/admin/requirements/documents/cmm4yupfm02khcuqwabq732ou/view";"Öppna PDF")</f>
        <v/>
      </c>
      <c r="F1209">
        <f>HYPERLINK("http://localhost:8787/api/admin/requirements/documents/cmm4yupfm02khcuqwabq732ou/view","Open PDF")</f>
        <v/>
      </c>
      <c r="G1209" t="inlineStr">
        <is>
          <t>cmm55w57p0004cuisfrtpqly8</t>
        </is>
      </c>
      <c r="H1209" t="inlineStr">
        <is>
          <t>Beslutsvillkor</t>
        </is>
      </c>
      <c r="I1209" t="inlineStr">
        <is>
          <t>DriftEgenkontroll</t>
        </is>
      </c>
      <c r="J1209" t="inlineStr">
        <is>
          <t>Journalforing</t>
        </is>
      </c>
      <c r="K1209" t="inlineStr">
        <is>
          <t>Mängden inkommande aska och askans ursprung ska journalföras.</t>
        </is>
      </c>
      <c r="L1209" t="inlineStr">
        <is>
          <t>Mängden inkommande aska och askans ursprung ska journalföras.</t>
        </is>
      </c>
      <c r="M1209" t="inlineStr">
        <is>
          <t>SKA</t>
        </is>
      </c>
      <c r="N1209" t="inlineStr"/>
      <c r="O1209" t="inlineStr"/>
      <c r="P1209" t="inlineStr"/>
      <c r="Q1209" t="inlineStr"/>
      <c r="R1209" t="inlineStr">
        <is>
          <t>Lopande drift</t>
        </is>
      </c>
      <c r="S1209" t="inlineStr"/>
      <c r="T1209" t="inlineStr">
        <is>
          <t>2026 22</t>
        </is>
      </c>
      <c r="U1209" t="inlineStr"/>
      <c r="V1209" t="inlineStr"/>
      <c r="W1209" t="inlineStr">
        <is>
          <t>Nej</t>
        </is>
      </c>
      <c r="X1209" t="inlineStr">
        <is>
          <t>Nej</t>
        </is>
      </c>
      <c r="Y1209" t="inlineStr">
        <is>
          <t>Ja</t>
        </is>
      </c>
      <c r="Z1209" t="inlineStr">
        <is>
          <t>Nej</t>
        </is>
      </c>
      <c r="AA1209" t="n">
        <v>7</v>
      </c>
      <c r="AB1209" t="inlineStr">
        <is>
          <t>Egenkontrollrutiner</t>
        </is>
      </c>
      <c r="AC1209" t="inlineStr">
        <is>
          <t>Egenkontrollprogram</t>
        </is>
      </c>
      <c r="AD1209" t="inlineStr">
        <is>
          <t>Nej</t>
        </is>
      </c>
      <c r="AE1209" t="inlineStr">
        <is>
          <t>Nej</t>
        </is>
      </c>
      <c r="AF1209" t="inlineStr">
        <is>
          <t>Ej behandlad</t>
        </is>
      </c>
      <c r="AG1209" t="inlineStr">
        <is>
          <t>AUTO_GENERERAD. Verifiera citat mot kallfil.</t>
        </is>
      </c>
      <c r="AH1209" t="inlineStr">
        <is>
          <t>MEDIUM</t>
        </is>
      </c>
      <c r="AI1209" t="inlineStr">
        <is>
          <t>AUTO</t>
        </is>
      </c>
      <c r="AJ1209" t="inlineStr">
        <is>
          <t>Nej</t>
        </is>
      </c>
      <c r="AK1209" t="inlineStr"/>
      <c r="AL1209" t="inlineStr"/>
      <c r="AM1209" t="inlineStr"/>
      <c r="AN1209" t="inlineStr"/>
      <c r="AO1209" t="inlineStr">
        <is>
          <t>cmm4yupfm02khcuqwabq732ou</t>
        </is>
      </c>
      <c r="AP1209" t="inlineStr">
        <is>
          <t>http://localhost:8787/api/admin/requirements/documents/cmm4yupfm02khcuqwabq732ou/view</t>
        </is>
      </c>
      <c r="AQ1209">
        <f>HYPERLÄNK("http://localhost:8787/api/admin/requirements/documents/cmm4yupfm02khcuqwabq732ou/view";"Öppna PDF")</f>
        <v/>
      </c>
      <c r="AR1209">
        <f>HYPERLINK("http://localhost:8787/api/admin/requirements/documents/cmm4yupfm02khcuqwabq732ou/view","Open PDF")</f>
        <v/>
      </c>
      <c r="AS1209" t="inlineStr">
        <is>
          <t>cmm55w57p0004cuisfrtpqly8</t>
        </is>
      </c>
      <c r="AT1209" t="inlineStr">
        <is>
          <t>cmm4xvu980000cuh4vj0usz09</t>
        </is>
      </c>
      <c r="AU1209" t="inlineStr"/>
      <c r="AV1209" t="inlineStr">
        <is>
          <t>Kommun</t>
        </is>
      </c>
      <c r="AW1209" t="inlineStr"/>
      <c r="AX1209" t="inlineStr">
        <is>
          <t>0371-81000</t>
        </is>
      </c>
      <c r="AY1209" t="inlineStr">
        <is>
          <t>Beslut</t>
        </is>
      </c>
      <c r="AZ1209" t="inlineStr">
        <is>
          <t>2026-02-03</t>
        </is>
      </c>
      <c r="BA1209" t="inlineStr">
        <is>
          <t>MMIL.2025.618_Sjögårdens entreprenad.pdf</t>
        </is>
      </c>
      <c r="BB1209" t="inlineStr">
        <is>
          <t>SV: till registrator [2026KC4801]</t>
        </is>
      </c>
      <c r="BC1209" t="inlineStr">
        <is>
          <t>AUTO</t>
        </is>
      </c>
      <c r="BD1209" t="inlineStr"/>
      <c r="BE1209" t="inlineStr"/>
      <c r="BF1209" t="inlineStr">
        <is>
          <t>AUTO_GENERERAD. Bekrafta metadata mot kallfil.</t>
        </is>
      </c>
      <c r="BG1209">
        <f>HYPERLINK("C:\Users\jimmy\Desktop\Examens arbete\Kod\Ny mapp\remix_-copy-of-miljöbeslut.se-portal\MMIL.2025.618_Sjögårdens entreprenad.pdf", "Öppna PDF")</f>
        <v/>
      </c>
    </row>
    <row r="1210">
      <c r="A1210" t="inlineStr">
        <is>
          <t>KRAV-AUTO-001209</t>
        </is>
      </c>
      <c r="B1210" t="inlineStr">
        <is>
          <t>ADMIN-INDEX-2026-02-27-00000000125C043F57453246863FE664CAFE6A3F0700950291EA24F0614FB6ACEDB12BF0E31D00000000010C0000950291EA24F0614FB6ACEDB12BF0E31D00002087AE8B0000</t>
        </is>
      </c>
      <c r="C1210" t="inlineStr">
        <is>
          <t>cmm4yupfk02kecuqwlf7agq1f</t>
        </is>
      </c>
      <c r="D1210" t="inlineStr">
        <is>
          <t>http://localhost:8787/api/admin/requirements/documents/cmm4yupfk02kecuqwlf7agq1f/view</t>
        </is>
      </c>
      <c r="E1210">
        <f>HYPERLÄNK("http://localhost:8787/api/admin/requirements/documents/cmm4yupfk02kecuqwlf7agq1f/view";"Öppna PDF")</f>
        <v/>
      </c>
      <c r="F1210">
        <f>HYPERLINK("http://localhost:8787/api/admin/requirements/documents/cmm4yupfk02kecuqwlf7agq1f/view","Open PDF")</f>
        <v/>
      </c>
      <c r="G1210" t="inlineStr">
        <is>
          <t>cmm55w57p0004cuisfrtpqly8</t>
        </is>
      </c>
      <c r="H1210" t="inlineStr">
        <is>
          <t>Beslutsvillkor</t>
        </is>
      </c>
      <c r="I1210" t="inlineStr">
        <is>
          <t>DagvattenLakvatten</t>
        </is>
      </c>
      <c r="J1210" t="inlineStr">
        <is>
          <t>Uppsamling</t>
        </is>
      </c>
      <c r="K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0" t="inlineStr">
        <is>
          <t>SKA</t>
        </is>
      </c>
      <c r="N1210" t="inlineStr"/>
      <c r="O1210" t="inlineStr"/>
      <c r="P1210" t="inlineStr">
        <is>
          <t>Arlig</t>
        </is>
      </c>
      <c r="Q1210" t="inlineStr"/>
      <c r="R1210" t="inlineStr">
        <is>
          <t>Vid nederbord och avrinning</t>
        </is>
      </c>
      <c r="S1210" t="inlineStr"/>
      <c r="T1210" t="inlineStr">
        <is>
          <t>212000</t>
        </is>
      </c>
      <c r="U1210" t="inlineStr"/>
      <c r="V1210" t="inlineStr"/>
      <c r="W1210" t="inlineStr">
        <is>
          <t>Nej</t>
        </is>
      </c>
      <c r="X1210" t="inlineStr">
        <is>
          <t>Ja</t>
        </is>
      </c>
      <c r="Y1210" t="inlineStr">
        <is>
          <t>Ja</t>
        </is>
      </c>
      <c r="Z1210" t="inlineStr">
        <is>
          <t>Nej</t>
        </is>
      </c>
      <c r="AA1210" t="n">
        <v>6</v>
      </c>
      <c r="AB1210" t="inlineStr">
        <is>
          <t>Lakvattenhantering</t>
        </is>
      </c>
      <c r="AC1210" t="inlineStr">
        <is>
          <t>Flodesschema dagvatten-lakvatten</t>
        </is>
      </c>
      <c r="AD1210" t="inlineStr">
        <is>
          <t>Nej</t>
        </is>
      </c>
      <c r="AE1210" t="inlineStr">
        <is>
          <t>Nej</t>
        </is>
      </c>
      <c r="AF1210" t="inlineStr">
        <is>
          <t>Ej behandlad</t>
        </is>
      </c>
      <c r="AG1210" t="inlineStr">
        <is>
          <t>AUTO_GENERERAD. Verifiera citat mot kallfil.</t>
        </is>
      </c>
      <c r="AH1210" t="inlineStr">
        <is>
          <t>MEDIUM</t>
        </is>
      </c>
      <c r="AI1210" t="inlineStr">
        <is>
          <t>AUTO</t>
        </is>
      </c>
      <c r="AJ1210" t="inlineStr">
        <is>
          <t>Nej</t>
        </is>
      </c>
      <c r="AK1210" t="inlineStr"/>
      <c r="AL1210" t="inlineStr"/>
      <c r="AM1210" t="inlineStr"/>
      <c r="AN1210" t="inlineStr"/>
      <c r="AO1210" t="inlineStr">
        <is>
          <t>cmm4yupfm02khcuqwabq732ou</t>
        </is>
      </c>
      <c r="AP1210" t="inlineStr">
        <is>
          <t>http://localhost:8787/api/admin/requirements/documents/cmm4yupfm02khcuqwabq732ou/view</t>
        </is>
      </c>
      <c r="AQ1210">
        <f>HYPERLÄNK("http://localhost:8787/api/admin/requirements/documents/cmm4yupfm02khcuqwabq732ou/view";"Öppna PDF")</f>
        <v/>
      </c>
      <c r="AR1210">
        <f>HYPERLINK("http://localhost:8787/api/admin/requirements/documents/cmm4yupfm02khcuqwabq732ou/view","Open PDF")</f>
        <v/>
      </c>
      <c r="AS1210" t="inlineStr">
        <is>
          <t>cmm55w57p0004cuisfrtpqly8</t>
        </is>
      </c>
      <c r="AT1210" t="inlineStr">
        <is>
          <t>cmm4xvu980000cuh4vj0usz09</t>
        </is>
      </c>
      <c r="AU1210" t="inlineStr"/>
      <c r="AV1210" t="inlineStr">
        <is>
          <t>Kommun</t>
        </is>
      </c>
      <c r="AW1210" t="inlineStr"/>
      <c r="AX1210" t="inlineStr">
        <is>
          <t>0371-81000</t>
        </is>
      </c>
      <c r="AY1210" t="inlineStr">
        <is>
          <t>Beslut</t>
        </is>
      </c>
      <c r="AZ1210" t="inlineStr">
        <is>
          <t>2026-02-03</t>
        </is>
      </c>
      <c r="BA1210" t="inlineStr">
        <is>
          <t>MMIL.2025.618_Sjögårdens entreprenad.pdf</t>
        </is>
      </c>
      <c r="BB1210" t="inlineStr">
        <is>
          <t>SV: till registrator [2026KC4801]</t>
        </is>
      </c>
      <c r="BC1210" t="inlineStr">
        <is>
          <t>AUTO</t>
        </is>
      </c>
      <c r="BD1210" t="inlineStr"/>
      <c r="BE1210" t="inlineStr"/>
      <c r="BF1210" t="inlineStr">
        <is>
          <t>AUTO_GENERERAD. Bekrafta metadata mot kallfil.</t>
        </is>
      </c>
      <c r="BG1210">
        <f>HYPERLINK("C:\Users\jimmy\Desktop\Examens arbete\Kod\Ny mapp\remix_-copy-of-miljöbeslut.se-portal\MMIL.2025.618_Sjögårdens entreprenad.pdf", "Öppna PDF")</f>
        <v/>
      </c>
    </row>
    <row r="1211">
      <c r="A1211" t="inlineStr">
        <is>
          <t>KRAV-AUTO-001210</t>
        </is>
      </c>
      <c r="B1211" t="inlineStr">
        <is>
          <t>ADMIN-INDEX-2026-02-27-00000000125C043F57453246863FE664CAFE6A3F0700950291EA24F0614FB6ACEDB12BF0E31D00000000010C0000950291EA24F0614FB6ACEDB12BF0E31D00002087AE8B0000</t>
        </is>
      </c>
      <c r="C1211" t="inlineStr">
        <is>
          <t>cmm4yupfk02kecuqwlf7agq1f</t>
        </is>
      </c>
      <c r="D1211" t="inlineStr">
        <is>
          <t>http://localhost:8787/api/admin/requirements/documents/cmm4yupfk02kecuqwlf7agq1f/view</t>
        </is>
      </c>
      <c r="E1211">
        <f>HYPERLÄNK("http://localhost:8787/api/admin/requirements/documents/cmm4yupfk02kecuqwlf7agq1f/view";"Öppna PDF")</f>
        <v/>
      </c>
      <c r="F1211">
        <f>HYPERLINK("http://localhost:8787/api/admin/requirements/documents/cmm4yupfk02kecuqwlf7agq1f/view","Open PDF")</f>
        <v/>
      </c>
      <c r="G1211" t="inlineStr">
        <is>
          <t>cmm55w57p0004cuisfrtpqly8</t>
        </is>
      </c>
      <c r="H1211" t="inlineStr">
        <is>
          <t>Beslutsvillkor</t>
        </is>
      </c>
      <c r="I1211" t="inlineStr">
        <is>
          <t>Ytkonstruktion</t>
        </is>
      </c>
      <c r="J1211" t="inlineStr">
        <is>
          <t>Tat yta</t>
        </is>
      </c>
      <c r="K1211" t="inlineStr">
        <is>
          <t>Flytande kemiska produkter och flytande farligt avfall ska alltid förvaras inom invallat område som är beständigt mot det som förvaras där.</t>
        </is>
      </c>
      <c r="L1211" t="inlineStr">
        <is>
          <t>Flytande kemiska produkter och flytande farligt avfall ska alltid förvaras inom invallat område som är beständigt mot det som förvaras där.</t>
        </is>
      </c>
      <c r="M1211" t="inlineStr">
        <is>
          <t>SKA</t>
        </is>
      </c>
      <c r="N1211" t="inlineStr"/>
      <c r="O1211" t="inlineStr"/>
      <c r="P1211" t="inlineStr">
        <is>
          <t>Arlig</t>
        </is>
      </c>
      <c r="Q1211" t="inlineStr"/>
      <c r="R1211" t="inlineStr">
        <is>
          <t>Vid mellanlagring av avfall</t>
        </is>
      </c>
      <c r="S1211" t="inlineStr"/>
      <c r="T1211" t="inlineStr">
        <is>
          <t>212000</t>
        </is>
      </c>
      <c r="U1211" t="inlineStr"/>
      <c r="V1211" t="inlineStr"/>
      <c r="W1211" t="inlineStr">
        <is>
          <t>Ja</t>
        </is>
      </c>
      <c r="X1211" t="inlineStr">
        <is>
          <t>Nej</t>
        </is>
      </c>
      <c r="Y1211" t="inlineStr">
        <is>
          <t>Nej</t>
        </is>
      </c>
      <c r="Z1211" t="inlineStr">
        <is>
          <t>Nej</t>
        </is>
      </c>
      <c r="AA1211" t="n">
        <v>5</v>
      </c>
      <c r="AB1211" t="inlineStr">
        <is>
          <t>Teknisk beskrivning av platta</t>
        </is>
      </c>
      <c r="AC1211" t="inlineStr">
        <is>
          <t>Teknisk ritning platta</t>
        </is>
      </c>
      <c r="AD1211" t="inlineStr">
        <is>
          <t>Nej</t>
        </is>
      </c>
      <c r="AE1211" t="inlineStr">
        <is>
          <t>Nej</t>
        </is>
      </c>
      <c r="AF1211" t="inlineStr">
        <is>
          <t>Ej behandlad</t>
        </is>
      </c>
      <c r="AG1211" t="inlineStr">
        <is>
          <t>AUTO_GENERERAD. Verifiera citat mot kallfil.</t>
        </is>
      </c>
      <c r="AH1211" t="inlineStr">
        <is>
          <t>MEDIUM</t>
        </is>
      </c>
      <c r="AI1211" t="inlineStr">
        <is>
          <t>AUTO</t>
        </is>
      </c>
      <c r="AJ1211" t="inlineStr">
        <is>
          <t>Nej</t>
        </is>
      </c>
      <c r="AK1211" t="inlineStr"/>
      <c r="AL1211" t="inlineStr"/>
      <c r="AM1211" t="inlineStr"/>
      <c r="AN1211" t="inlineStr"/>
      <c r="AO1211" t="inlineStr">
        <is>
          <t>cmm4yupfm02khcuqwabq732ou</t>
        </is>
      </c>
      <c r="AP1211" t="inlineStr">
        <is>
          <t>http://localhost:8787/api/admin/requirements/documents/cmm4yupfm02khcuqwabq732ou/view</t>
        </is>
      </c>
      <c r="AQ1211">
        <f>HYPERLÄNK("http://localhost:8787/api/admin/requirements/documents/cmm4yupfm02khcuqwabq732ou/view";"Öppna PDF")</f>
        <v/>
      </c>
      <c r="AR1211">
        <f>HYPERLINK("http://localhost:8787/api/admin/requirements/documents/cmm4yupfm02khcuqwabq732ou/view","Open PDF")</f>
        <v/>
      </c>
      <c r="AS1211" t="inlineStr">
        <is>
          <t>cmm55w57p0004cuisfrtpqly8</t>
        </is>
      </c>
      <c r="AT1211" t="inlineStr">
        <is>
          <t>cmm4xvu980000cuh4vj0usz09</t>
        </is>
      </c>
      <c r="AU1211" t="inlineStr"/>
      <c r="AV1211" t="inlineStr">
        <is>
          <t>Kommun</t>
        </is>
      </c>
      <c r="AW1211" t="inlineStr"/>
      <c r="AX1211" t="inlineStr">
        <is>
          <t>0371-81000</t>
        </is>
      </c>
      <c r="AY1211" t="inlineStr">
        <is>
          <t>Beslut</t>
        </is>
      </c>
      <c r="AZ1211" t="inlineStr">
        <is>
          <t>2026-02-03</t>
        </is>
      </c>
      <c r="BA1211" t="inlineStr">
        <is>
          <t>MMIL.2025.618_Sjögårdens entreprenad.pdf</t>
        </is>
      </c>
      <c r="BB1211" t="inlineStr">
        <is>
          <t>SV: till registrator [2026KC4801]</t>
        </is>
      </c>
      <c r="BC1211" t="inlineStr">
        <is>
          <t>AUTO</t>
        </is>
      </c>
      <c r="BD1211" t="inlineStr"/>
      <c r="BE1211" t="inlineStr"/>
      <c r="BF1211" t="inlineStr">
        <is>
          <t>AUTO_GENERERAD. Bekrafta metadata mot kallfil.</t>
        </is>
      </c>
      <c r="BG1211">
        <f>HYPERLINK("C:\Users\jimmy\Desktop\Examens arbete\Kod\Ny mapp\remix_-copy-of-miljöbeslut.se-portal\MMIL.2025.618_Sjögårdens entreprenad.pdf", "Öppna PDF")</f>
        <v/>
      </c>
    </row>
    <row r="1212">
      <c r="A1212" t="inlineStr">
        <is>
          <t>KRAV-AUTO-001211</t>
        </is>
      </c>
      <c r="B1212" t="inlineStr">
        <is>
          <t>ADMIN-INDEX-2026-02-27-00000000125C043F57453246863FE664CAFE6A3F0700950291EA24F0614FB6ACEDB12BF0E31D00000000010C0000950291EA24F0614FB6ACEDB12BF0E31D00002087AE8B0000</t>
        </is>
      </c>
      <c r="C1212" t="inlineStr">
        <is>
          <t>cmm4yupfk02kecuqwlf7agq1f</t>
        </is>
      </c>
      <c r="D1212" t="inlineStr">
        <is>
          <t>http://localhost:8787/api/admin/requirements/documents/cmm4yupfk02kecuqwlf7agq1f/view</t>
        </is>
      </c>
      <c r="E1212">
        <f>HYPERLÄNK("http://localhost:8787/api/admin/requirements/documents/cmm4yupfk02kecuqwlf7agq1f/view";"Öppna PDF")</f>
        <v/>
      </c>
      <c r="F1212">
        <f>HYPERLINK("http://localhost:8787/api/admin/requirements/documents/cmm4yupfk02kecuqwlf7agq1f/view","Open PDF")</f>
        <v/>
      </c>
      <c r="G1212" t="inlineStr">
        <is>
          <t>cmm55w57p0004cuisfrtpqly8</t>
        </is>
      </c>
      <c r="H1212" t="inlineStr">
        <is>
          <t>Beslutsvillkor</t>
        </is>
      </c>
      <c r="I1212" t="inlineStr">
        <is>
          <t>Ytkonstruktion</t>
        </is>
      </c>
      <c r="J1212" t="inlineStr">
        <is>
          <t>Tat yta</t>
        </is>
      </c>
      <c r="K1212" t="inlineStr">
        <is>
          <t>Namn Sammansättning Användningsområde Mängd/år Beskriv var råvaror och kemiska produkter hanteras och förvaras (invallning m.m.) Enligt produktvalsprincipen i 2 kap.</t>
        </is>
      </c>
      <c r="L1212" t="inlineStr">
        <is>
          <t>Namn Sammansättning Användningsområde Mängd/år Beskriv var råvaror och kemiska produkter hanteras och förvaras (invallning m.m.) Enligt produktvalsprincipen i 2 kap.</t>
        </is>
      </c>
      <c r="M1212" t="inlineStr">
        <is>
          <t>SKA</t>
        </is>
      </c>
      <c r="N1212" t="inlineStr"/>
      <c r="O1212" t="inlineStr"/>
      <c r="P1212" t="inlineStr"/>
      <c r="Q1212" t="inlineStr"/>
      <c r="R1212" t="inlineStr">
        <is>
          <t>Vid mellanlagring av avfall</t>
        </is>
      </c>
      <c r="S1212" t="inlineStr"/>
      <c r="T1212" t="inlineStr">
        <is>
          <t>212000</t>
        </is>
      </c>
      <c r="U1212" t="inlineStr"/>
      <c r="V1212" t="inlineStr"/>
      <c r="W1212" t="inlineStr">
        <is>
          <t>Ja</t>
        </is>
      </c>
      <c r="X1212" t="inlineStr">
        <is>
          <t>Nej</t>
        </is>
      </c>
      <c r="Y1212" t="inlineStr">
        <is>
          <t>Nej</t>
        </is>
      </c>
      <c r="Z1212" t="inlineStr">
        <is>
          <t>Nej</t>
        </is>
      </c>
      <c r="AA1212" t="n">
        <v>5</v>
      </c>
      <c r="AB1212" t="inlineStr">
        <is>
          <t>Teknisk beskrivning av platta</t>
        </is>
      </c>
      <c r="AC1212" t="inlineStr">
        <is>
          <t>Teknisk ritning platta</t>
        </is>
      </c>
      <c r="AD1212" t="inlineStr">
        <is>
          <t>Nej</t>
        </is>
      </c>
      <c r="AE1212" t="inlineStr">
        <is>
          <t>Nej</t>
        </is>
      </c>
      <c r="AF1212" t="inlineStr">
        <is>
          <t>Ej behandlad</t>
        </is>
      </c>
      <c r="AG1212" t="inlineStr">
        <is>
          <t>AUTO_GENERERAD. Verifiera citat mot kallfil.</t>
        </is>
      </c>
      <c r="AH1212" t="inlineStr">
        <is>
          <t>MEDIUM</t>
        </is>
      </c>
      <c r="AI1212" t="inlineStr">
        <is>
          <t>AUTO</t>
        </is>
      </c>
      <c r="AJ1212" t="inlineStr">
        <is>
          <t>Nej</t>
        </is>
      </c>
      <c r="AK1212" t="inlineStr"/>
      <c r="AL1212" t="inlineStr"/>
      <c r="AM1212" t="inlineStr"/>
      <c r="AN1212" t="inlineStr"/>
      <c r="AO1212" t="inlineStr">
        <is>
          <t>cmm4yupfm02khcuqwabq732ou</t>
        </is>
      </c>
      <c r="AP1212" t="inlineStr">
        <is>
          <t>http://localhost:8787/api/admin/requirements/documents/cmm4yupfm02khcuqwabq732ou/view</t>
        </is>
      </c>
      <c r="AQ1212">
        <f>HYPERLÄNK("http://localhost:8787/api/admin/requirements/documents/cmm4yupfm02khcuqwabq732ou/view";"Öppna PDF")</f>
        <v/>
      </c>
      <c r="AR1212">
        <f>HYPERLINK("http://localhost:8787/api/admin/requirements/documents/cmm4yupfm02khcuqwabq732ou/view","Open PDF")</f>
        <v/>
      </c>
      <c r="AS1212" t="inlineStr">
        <is>
          <t>cmm55w57p0004cuisfrtpqly8</t>
        </is>
      </c>
      <c r="AT1212" t="inlineStr">
        <is>
          <t>cmm4xvu980000cuh4vj0usz09</t>
        </is>
      </c>
      <c r="AU1212" t="inlineStr"/>
      <c r="AV1212" t="inlineStr">
        <is>
          <t>Kommun</t>
        </is>
      </c>
      <c r="AW1212" t="inlineStr"/>
      <c r="AX1212" t="inlineStr">
        <is>
          <t>0371-81000</t>
        </is>
      </c>
      <c r="AY1212" t="inlineStr">
        <is>
          <t>Beslut</t>
        </is>
      </c>
      <c r="AZ1212" t="inlineStr">
        <is>
          <t>2026-02-03</t>
        </is>
      </c>
      <c r="BA1212" t="inlineStr">
        <is>
          <t>MMIL.2025.618_Sjögårdens entreprenad.pdf</t>
        </is>
      </c>
      <c r="BB1212" t="inlineStr">
        <is>
          <t>SV: till registrator [2026KC4801]</t>
        </is>
      </c>
      <c r="BC1212" t="inlineStr">
        <is>
          <t>AUTO</t>
        </is>
      </c>
      <c r="BD1212" t="inlineStr"/>
      <c r="BE1212" t="inlineStr"/>
      <c r="BF1212" t="inlineStr">
        <is>
          <t>AUTO_GENERERAD. Bekrafta metadata mot kallfil.</t>
        </is>
      </c>
      <c r="BG1212">
        <f>HYPERLINK("C:\Users\jimmy\Desktop\Examens arbete\Kod\Ny mapp\remix_-copy-of-miljöbeslut.se-portal\MMIL.2025.618_Sjögårdens entreprenad.pdf", "Öppna PDF")</f>
        <v/>
      </c>
    </row>
    <row r="1213">
      <c r="A1213" t="inlineStr">
        <is>
          <t>KRAV-AUTO-001212</t>
        </is>
      </c>
      <c r="B1213" t="inlineStr">
        <is>
          <t>ADMIN-INDEX-2026-02-27-00000000125C043F57453246863FE664CAFE6A3F0700950291EA24F0614FB6ACEDB12BF0E31D00000000010C0000950291EA24F0614FB6ACEDB12BF0E31D00002087AE8B0000</t>
        </is>
      </c>
      <c r="C1213" t="inlineStr">
        <is>
          <t>cmm4yupfh02kbcuqwe2vxlwsg</t>
        </is>
      </c>
      <c r="D1213" t="inlineStr">
        <is>
          <t>http://localhost:8787/api/admin/requirements/documents/cmm4yupfh02kbcuqwe2vxlwsg/view</t>
        </is>
      </c>
      <c r="E1213">
        <f>HYPERLÄNK("http://localhost:8787/api/admin/requirements/documents/cmm4yupfh02kbcuqwe2vxlwsg/view";"Öppna PDF")</f>
        <v/>
      </c>
      <c r="F1213">
        <f>HYPERLINK("http://localhost:8787/api/admin/requirements/documents/cmm4yupfh02kbcuqwe2vxlwsg/view","Open PDF")</f>
        <v/>
      </c>
      <c r="G1213" t="inlineStr">
        <is>
          <t>cmm55w57p0004cuisfrtpqly8</t>
        </is>
      </c>
      <c r="H1213" t="inlineStr">
        <is>
          <t>Beslutsvillkor</t>
        </is>
      </c>
      <c r="I1213" t="inlineStr">
        <is>
          <t>DagvattenLakvatten</t>
        </is>
      </c>
      <c r="J1213" t="inlineStr">
        <is>
          <t>Uppsamling</t>
        </is>
      </c>
      <c r="K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13" t="inlineStr">
        <is>
          <t>SKA</t>
        </is>
      </c>
      <c r="N1213" t="inlineStr"/>
      <c r="O1213" t="inlineStr"/>
      <c r="P1213" t="inlineStr">
        <is>
          <t>Arlig</t>
        </is>
      </c>
      <c r="Q1213" t="inlineStr"/>
      <c r="R1213" t="inlineStr">
        <is>
          <t>Vid nederbord och avrinning</t>
        </is>
      </c>
      <c r="S1213" t="inlineStr"/>
      <c r="T1213" t="inlineStr">
        <is>
          <t>212000</t>
        </is>
      </c>
      <c r="U1213" t="inlineStr"/>
      <c r="V1213" t="inlineStr"/>
      <c r="W1213" t="inlineStr">
        <is>
          <t>Nej</t>
        </is>
      </c>
      <c r="X1213" t="inlineStr">
        <is>
          <t>Ja</t>
        </is>
      </c>
      <c r="Y1213" t="inlineStr">
        <is>
          <t>Ja</t>
        </is>
      </c>
      <c r="Z1213" t="inlineStr">
        <is>
          <t>Nej</t>
        </is>
      </c>
      <c r="AA1213" t="n">
        <v>6</v>
      </c>
      <c r="AB1213" t="inlineStr">
        <is>
          <t>Lakvattenhantering</t>
        </is>
      </c>
      <c r="AC1213" t="inlineStr">
        <is>
          <t>Flodesschema dagvatten-lakvatten</t>
        </is>
      </c>
      <c r="AD1213" t="inlineStr">
        <is>
          <t>Nej</t>
        </is>
      </c>
      <c r="AE1213" t="inlineStr">
        <is>
          <t>Nej</t>
        </is>
      </c>
      <c r="AF1213" t="inlineStr">
        <is>
          <t>Ej behandlad</t>
        </is>
      </c>
      <c r="AG1213" t="inlineStr">
        <is>
          <t>AUTO_GENERERAD. Verifiera citat mot kallfil.</t>
        </is>
      </c>
      <c r="AH1213" t="inlineStr">
        <is>
          <t>MEDIUM</t>
        </is>
      </c>
      <c r="AI1213" t="inlineStr">
        <is>
          <t>AUTO</t>
        </is>
      </c>
      <c r="AJ1213" t="inlineStr">
        <is>
          <t>Nej</t>
        </is>
      </c>
      <c r="AK1213" t="inlineStr"/>
      <c r="AL1213" t="inlineStr"/>
      <c r="AM1213" t="inlineStr"/>
      <c r="AN1213" t="inlineStr"/>
      <c r="AO1213" t="inlineStr">
        <is>
          <t>cmm4yupfm02khcuqwabq732ou</t>
        </is>
      </c>
      <c r="AP1213" t="inlineStr">
        <is>
          <t>http://localhost:8787/api/admin/requirements/documents/cmm4yupfm02khcuqwabq732ou/view</t>
        </is>
      </c>
      <c r="AQ1213">
        <f>HYPERLÄNK("http://localhost:8787/api/admin/requirements/documents/cmm4yupfm02khcuqwabq732ou/view";"Öppna PDF")</f>
        <v/>
      </c>
      <c r="AR1213">
        <f>HYPERLINK("http://localhost:8787/api/admin/requirements/documents/cmm4yupfm02khcuqwabq732ou/view","Open PDF")</f>
        <v/>
      </c>
      <c r="AS1213" t="inlineStr">
        <is>
          <t>cmm55w57p0004cuisfrtpqly8</t>
        </is>
      </c>
      <c r="AT1213" t="inlineStr">
        <is>
          <t>cmm4xvu980000cuh4vj0usz09</t>
        </is>
      </c>
      <c r="AU1213" t="inlineStr"/>
      <c r="AV1213" t="inlineStr">
        <is>
          <t>Kommun</t>
        </is>
      </c>
      <c r="AW1213" t="inlineStr"/>
      <c r="AX1213" t="inlineStr">
        <is>
          <t>0371-81000</t>
        </is>
      </c>
      <c r="AY1213" t="inlineStr">
        <is>
          <t>Beslut</t>
        </is>
      </c>
      <c r="AZ1213" t="inlineStr">
        <is>
          <t>2026-02-03</t>
        </is>
      </c>
      <c r="BA1213" t="inlineStr">
        <is>
          <t>MMIL.2025.618_Sjögårdens entreprenad.pdf</t>
        </is>
      </c>
      <c r="BB1213" t="inlineStr">
        <is>
          <t>SV: till registrator [2026KC4801]</t>
        </is>
      </c>
      <c r="BC1213" t="inlineStr">
        <is>
          <t>AUTO</t>
        </is>
      </c>
      <c r="BD1213" t="inlineStr"/>
      <c r="BE1213" t="inlineStr"/>
      <c r="BF1213" t="inlineStr">
        <is>
          <t>AUTO_GENERERAD. Bekrafta metadata mot kallfil.</t>
        </is>
      </c>
      <c r="BG1213">
        <f>HYPERLINK("C:\Users\jimmy\Desktop\Examens arbete\Kod\Ny mapp\remix_-copy-of-miljöbeslut.se-portal\MMIL.2025.618_Sjögårdens entreprenad.pdf", "Öppna PDF")</f>
        <v/>
      </c>
    </row>
    <row r="1214">
      <c r="A1214" t="inlineStr">
        <is>
          <t>KRAV-AUTO-001213</t>
        </is>
      </c>
      <c r="B1214" t="inlineStr">
        <is>
          <t>ADMIN-INDEX-2026-02-27-00000000125C043F57453246863FE664CAFE6A3F0700950291EA24F0614FB6ACEDB12BF0E31D00000000010C0000950291EA24F0614FB6ACEDB12BF0E31D00002087AE8B0000</t>
        </is>
      </c>
      <c r="C1214" t="inlineStr">
        <is>
          <t>cmm4yupfh02kbcuqwe2vxlwsg</t>
        </is>
      </c>
      <c r="D1214" t="inlineStr">
        <is>
          <t>http://localhost:8787/api/admin/requirements/documents/cmm4yupfh02kbcuqwe2vxlwsg/view</t>
        </is>
      </c>
      <c r="E1214">
        <f>HYPERLÄNK("http://localhost:8787/api/admin/requirements/documents/cmm4yupfh02kbcuqwe2vxlwsg/view";"Öppna PDF")</f>
        <v/>
      </c>
      <c r="F1214">
        <f>HYPERLINK("http://localhost:8787/api/admin/requirements/documents/cmm4yupfh02kbcuqwe2vxlwsg/view","Open PDF")</f>
        <v/>
      </c>
      <c r="G1214" t="inlineStr">
        <is>
          <t>cmm55w57p0004cuisfrtpqly8</t>
        </is>
      </c>
      <c r="H1214" t="inlineStr">
        <is>
          <t>Beslutsvillkor</t>
        </is>
      </c>
      <c r="I1214" t="inlineStr">
        <is>
          <t>Ytkonstruktion</t>
        </is>
      </c>
      <c r="J1214" t="inlineStr">
        <is>
          <t>Tat yta</t>
        </is>
      </c>
      <c r="K1214" t="inlineStr">
        <is>
          <t>Flytande kemiska produkter och flytande farligt avfall ska alltid förvaras inom invallat område som är beständigt mot det som förvaras där.</t>
        </is>
      </c>
      <c r="L1214" t="inlineStr">
        <is>
          <t>Flytande kemiska produkter och flytande farligt avfall ska alltid förvaras inom invallat område som är beständigt mot det som förvaras där.</t>
        </is>
      </c>
      <c r="M1214" t="inlineStr">
        <is>
          <t>SKA</t>
        </is>
      </c>
      <c r="N1214" t="inlineStr"/>
      <c r="O1214" t="inlineStr"/>
      <c r="P1214" t="inlineStr">
        <is>
          <t>Arlig</t>
        </is>
      </c>
      <c r="Q1214" t="inlineStr"/>
      <c r="R1214" t="inlineStr">
        <is>
          <t>Vid mellanlagring av avfall</t>
        </is>
      </c>
      <c r="S1214" t="inlineStr"/>
      <c r="T1214" t="inlineStr">
        <is>
          <t>212000</t>
        </is>
      </c>
      <c r="U1214" t="inlineStr"/>
      <c r="V1214" t="inlineStr"/>
      <c r="W1214" t="inlineStr">
        <is>
          <t>Ja</t>
        </is>
      </c>
      <c r="X1214" t="inlineStr">
        <is>
          <t>Nej</t>
        </is>
      </c>
      <c r="Y1214" t="inlineStr">
        <is>
          <t>Nej</t>
        </is>
      </c>
      <c r="Z1214" t="inlineStr">
        <is>
          <t>Nej</t>
        </is>
      </c>
      <c r="AA1214" t="n">
        <v>5</v>
      </c>
      <c r="AB1214" t="inlineStr">
        <is>
          <t>Teknisk beskrivning av platta</t>
        </is>
      </c>
      <c r="AC1214" t="inlineStr">
        <is>
          <t>Teknisk ritning platta</t>
        </is>
      </c>
      <c r="AD1214" t="inlineStr">
        <is>
          <t>Nej</t>
        </is>
      </c>
      <c r="AE1214" t="inlineStr">
        <is>
          <t>Nej</t>
        </is>
      </c>
      <c r="AF1214" t="inlineStr">
        <is>
          <t>Ej behandlad</t>
        </is>
      </c>
      <c r="AG1214" t="inlineStr">
        <is>
          <t>AUTO_GENERERAD. Verifiera citat mot kallfil.</t>
        </is>
      </c>
      <c r="AH1214" t="inlineStr">
        <is>
          <t>MEDIUM</t>
        </is>
      </c>
      <c r="AI1214" t="inlineStr">
        <is>
          <t>AUTO</t>
        </is>
      </c>
      <c r="AJ1214" t="inlineStr">
        <is>
          <t>Nej</t>
        </is>
      </c>
      <c r="AK1214" t="inlineStr"/>
      <c r="AL1214" t="inlineStr"/>
      <c r="AM1214" t="inlineStr"/>
      <c r="AN1214" t="inlineStr"/>
      <c r="AO1214" t="inlineStr">
        <is>
          <t>cmm4yupfm02khcuqwabq732ou</t>
        </is>
      </c>
      <c r="AP1214" t="inlineStr">
        <is>
          <t>http://localhost:8787/api/admin/requirements/documents/cmm4yupfm02khcuqwabq732ou/view</t>
        </is>
      </c>
      <c r="AQ1214">
        <f>HYPERLÄNK("http://localhost:8787/api/admin/requirements/documents/cmm4yupfm02khcuqwabq732ou/view";"Öppna PDF")</f>
        <v/>
      </c>
      <c r="AR1214">
        <f>HYPERLINK("http://localhost:8787/api/admin/requirements/documents/cmm4yupfm02khcuqwabq732ou/view","Open PDF")</f>
        <v/>
      </c>
      <c r="AS1214" t="inlineStr">
        <is>
          <t>cmm55w57p0004cuisfrtpqly8</t>
        </is>
      </c>
      <c r="AT1214" t="inlineStr">
        <is>
          <t>cmm4xvu980000cuh4vj0usz09</t>
        </is>
      </c>
      <c r="AU1214" t="inlineStr"/>
      <c r="AV1214" t="inlineStr">
        <is>
          <t>Kommun</t>
        </is>
      </c>
      <c r="AW1214" t="inlineStr"/>
      <c r="AX1214" t="inlineStr">
        <is>
          <t>0371-81000</t>
        </is>
      </c>
      <c r="AY1214" t="inlineStr">
        <is>
          <t>Beslut</t>
        </is>
      </c>
      <c r="AZ1214" t="inlineStr">
        <is>
          <t>2026-02-03</t>
        </is>
      </c>
      <c r="BA1214" t="inlineStr">
        <is>
          <t>MMIL.2025.618_Sjögårdens entreprenad.pdf</t>
        </is>
      </c>
      <c r="BB1214" t="inlineStr">
        <is>
          <t>SV: till registrator [2026KC4801]</t>
        </is>
      </c>
      <c r="BC1214" t="inlineStr">
        <is>
          <t>AUTO</t>
        </is>
      </c>
      <c r="BD1214" t="inlineStr"/>
      <c r="BE1214" t="inlineStr"/>
      <c r="BF1214" t="inlineStr">
        <is>
          <t>AUTO_GENERERAD. Bekrafta metadata mot kallfil.</t>
        </is>
      </c>
      <c r="BG1214">
        <f>HYPERLINK("C:\Users\jimmy\Desktop\Examens arbete\Kod\Ny mapp\remix_-copy-of-miljöbeslut.se-portal\MMIL.2025.618_Sjögårdens entreprenad.pdf", "Öppna PDF")</f>
        <v/>
      </c>
    </row>
    <row r="1215">
      <c r="A1215" t="inlineStr">
        <is>
          <t>KRAV-AUTO-001214</t>
        </is>
      </c>
      <c r="B1215" t="inlineStr">
        <is>
          <t>ADMIN-INDEX-2026-02-27-00000000125C043F57453246863FE664CAFE6A3F0700950291EA24F0614FB6ACEDB12BF0E31D00000000010C0000950291EA24F0614FB6ACEDB12BF0E31D00002087AE8B0000</t>
        </is>
      </c>
      <c r="C1215" t="inlineStr">
        <is>
          <t>cmm4yupfh02kbcuqwe2vxlwsg</t>
        </is>
      </c>
      <c r="D1215" t="inlineStr">
        <is>
          <t>http://localhost:8787/api/admin/requirements/documents/cmm4yupfh02kbcuqwe2vxlwsg/view</t>
        </is>
      </c>
      <c r="E1215">
        <f>HYPERLÄNK("http://localhost:8787/api/admin/requirements/documents/cmm4yupfh02kbcuqwe2vxlwsg/view";"Öppna PDF")</f>
        <v/>
      </c>
      <c r="F1215">
        <f>HYPERLINK("http://localhost:8787/api/admin/requirements/documents/cmm4yupfh02kbcuqwe2vxlwsg/view","Open PDF")</f>
        <v/>
      </c>
      <c r="G1215" t="inlineStr">
        <is>
          <t>cmm55w57p0004cuisfrtpqly8</t>
        </is>
      </c>
      <c r="H1215" t="inlineStr">
        <is>
          <t>Beslutsvillkor</t>
        </is>
      </c>
      <c r="I1215" t="inlineStr">
        <is>
          <t>Ytkonstruktion</t>
        </is>
      </c>
      <c r="J1215" t="inlineStr">
        <is>
          <t>Tat yta</t>
        </is>
      </c>
      <c r="K1215" t="inlineStr">
        <is>
          <t>Namn Sammansättning Användningsområde Mängd/år Beskriv var råvaror och kemiska produkter hanteras och förvaras (invallning m.m.) Enligt produktvalsprincipen i 2 kap.</t>
        </is>
      </c>
      <c r="L1215" t="inlineStr">
        <is>
          <t>Namn Sammansättning Användningsområde Mängd/år Beskriv var råvaror och kemiska produkter hanteras och förvaras (invallning m.m.) Enligt produktvalsprincipen i 2 kap.</t>
        </is>
      </c>
      <c r="M1215" t="inlineStr">
        <is>
          <t>SKA</t>
        </is>
      </c>
      <c r="N1215" t="inlineStr"/>
      <c r="O1215" t="inlineStr"/>
      <c r="P1215" t="inlineStr"/>
      <c r="Q1215" t="inlineStr"/>
      <c r="R1215" t="inlineStr">
        <is>
          <t>Vid mellanlagring av avfall</t>
        </is>
      </c>
      <c r="S1215" t="inlineStr"/>
      <c r="T1215" t="inlineStr">
        <is>
          <t>212000</t>
        </is>
      </c>
      <c r="U1215" t="inlineStr"/>
      <c r="V1215" t="inlineStr"/>
      <c r="W1215" t="inlineStr">
        <is>
          <t>Ja</t>
        </is>
      </c>
      <c r="X1215" t="inlineStr">
        <is>
          <t>Nej</t>
        </is>
      </c>
      <c r="Y1215" t="inlineStr">
        <is>
          <t>Nej</t>
        </is>
      </c>
      <c r="Z1215" t="inlineStr">
        <is>
          <t>Nej</t>
        </is>
      </c>
      <c r="AA1215" t="n">
        <v>5</v>
      </c>
      <c r="AB1215" t="inlineStr">
        <is>
          <t>Teknisk beskrivning av platta</t>
        </is>
      </c>
      <c r="AC1215" t="inlineStr">
        <is>
          <t>Teknisk ritning platta</t>
        </is>
      </c>
      <c r="AD1215" t="inlineStr">
        <is>
          <t>Nej</t>
        </is>
      </c>
      <c r="AE1215" t="inlineStr">
        <is>
          <t>Nej</t>
        </is>
      </c>
      <c r="AF1215" t="inlineStr">
        <is>
          <t>Ej behandlad</t>
        </is>
      </c>
      <c r="AG1215" t="inlineStr">
        <is>
          <t>AUTO_GENERERAD. Verifiera citat mot kallfil.</t>
        </is>
      </c>
      <c r="AH1215" t="inlineStr">
        <is>
          <t>MEDIUM</t>
        </is>
      </c>
      <c r="AI1215" t="inlineStr">
        <is>
          <t>AUTO</t>
        </is>
      </c>
      <c r="AJ1215" t="inlineStr">
        <is>
          <t>Nej</t>
        </is>
      </c>
      <c r="AK1215" t="inlineStr"/>
      <c r="AL1215" t="inlineStr"/>
      <c r="AM1215" t="inlineStr"/>
      <c r="AN1215" t="inlineStr"/>
      <c r="AO1215" t="inlineStr">
        <is>
          <t>cmm4yupfm02khcuqwabq732ou</t>
        </is>
      </c>
      <c r="AP1215" t="inlineStr">
        <is>
          <t>http://localhost:8787/api/admin/requirements/documents/cmm4yupfm02khcuqwabq732ou/view</t>
        </is>
      </c>
      <c r="AQ1215">
        <f>HYPERLÄNK("http://localhost:8787/api/admin/requirements/documents/cmm4yupfm02khcuqwabq732ou/view";"Öppna PDF")</f>
        <v/>
      </c>
      <c r="AR1215">
        <f>HYPERLINK("http://localhost:8787/api/admin/requirements/documents/cmm4yupfm02khcuqwabq732ou/view","Open PDF")</f>
        <v/>
      </c>
      <c r="AS1215" t="inlineStr">
        <is>
          <t>cmm55w57p0004cuisfrtpqly8</t>
        </is>
      </c>
      <c r="AT1215" t="inlineStr">
        <is>
          <t>cmm4xvu980000cuh4vj0usz09</t>
        </is>
      </c>
      <c r="AU1215" t="inlineStr"/>
      <c r="AV1215" t="inlineStr">
        <is>
          <t>Kommun</t>
        </is>
      </c>
      <c r="AW1215" t="inlineStr"/>
      <c r="AX1215" t="inlineStr">
        <is>
          <t>0371-81000</t>
        </is>
      </c>
      <c r="AY1215" t="inlineStr">
        <is>
          <t>Beslut</t>
        </is>
      </c>
      <c r="AZ1215" t="inlineStr">
        <is>
          <t>2026-02-03</t>
        </is>
      </c>
      <c r="BA1215" t="inlineStr">
        <is>
          <t>MMIL.2025.618_Sjögårdens entreprenad.pdf</t>
        </is>
      </c>
      <c r="BB1215" t="inlineStr">
        <is>
          <t>SV: till registrator [2026KC4801]</t>
        </is>
      </c>
      <c r="BC1215" t="inlineStr">
        <is>
          <t>AUTO</t>
        </is>
      </c>
      <c r="BD1215" t="inlineStr"/>
      <c r="BE1215" t="inlineStr"/>
      <c r="BF1215" t="inlineStr">
        <is>
          <t>AUTO_GENERERAD. Bekrafta metadata mot kallfil.</t>
        </is>
      </c>
      <c r="BG1215">
        <f>HYPERLINK("C:\Users\jimmy\Desktop\Examens arbete\Kod\Ny mapp\remix_-copy-of-miljöbeslut.se-portal\MMIL.2025.618_Sjögårdens entreprenad.pdf", "Öppna PDF")</f>
        <v/>
      </c>
    </row>
    <row r="1216">
      <c r="A1216" t="inlineStr">
        <is>
          <t>KRAV-AUTO-001215</t>
        </is>
      </c>
      <c r="B1216" t="inlineStr">
        <is>
          <t>ADMIN-INDEX-2026-02-27-00000000125C043F57453246863FE664CAFE6A3F0700950291EA24F0614FB6ACEDB12BF0E31D00000000010C0000950291EA24F0614FB6ACEDB12BF0E31D00002087AE8C0000</t>
        </is>
      </c>
      <c r="C1216" t="inlineStr">
        <is>
          <t>cmm4yupfe02k8cuqw8vllvz05</t>
        </is>
      </c>
      <c r="D1216" t="inlineStr">
        <is>
          <t>http://localhost:8787/api/admin/requirements/documents/cmm4yupfe02k8cuqw8vllvz05/view</t>
        </is>
      </c>
      <c r="E1216">
        <f>HYPERLÄNK("http://localhost:8787/api/admin/requirements/documents/cmm4yupfe02k8cuqw8vllvz05/view";"Öppna PDF")</f>
        <v/>
      </c>
      <c r="F1216">
        <f>HYPERLINK("http://localhost:8787/api/admin/requirements/documents/cmm4yupfe02k8cuqw8vllvz05/view","Open PDF")</f>
        <v/>
      </c>
      <c r="G1216" t="inlineStr">
        <is>
          <t>cmm55w57p0004cuisfrtpqly8</t>
        </is>
      </c>
      <c r="H1216" t="inlineStr">
        <is>
          <t>Beslutsvillkor</t>
        </is>
      </c>
      <c r="I1216" t="inlineStr">
        <is>
          <t>MiljopaverkanForsiktighet</t>
        </is>
      </c>
      <c r="J1216" t="inlineStr">
        <is>
          <t>Skyddsatgarder</t>
        </is>
      </c>
      <c r="K1216" t="inlineStr">
        <is>
          <t>Buller Buller är en betydande störningskälla vid all avfallshantering.</t>
        </is>
      </c>
      <c r="L1216" t="inlineStr">
        <is>
          <t>Buller Buller är en betydande störningskälla vid all avfallshantering.</t>
        </is>
      </c>
      <c r="M1216" t="inlineStr">
        <is>
          <t>SKA</t>
        </is>
      </c>
      <c r="N1216" t="inlineStr"/>
      <c r="O1216" t="inlineStr"/>
      <c r="P1216" t="inlineStr"/>
      <c r="Q1216" t="inlineStr"/>
      <c r="R1216" t="inlineStr">
        <is>
          <t>Alltid</t>
        </is>
      </c>
      <c r="S1216" t="inlineStr"/>
      <c r="T1216" t="inlineStr">
        <is>
          <t>2026 22</t>
        </is>
      </c>
      <c r="U1216" t="inlineStr"/>
      <c r="V1216" t="inlineStr"/>
      <c r="W1216" t="inlineStr">
        <is>
          <t>Nej</t>
        </is>
      </c>
      <c r="X1216" t="inlineStr">
        <is>
          <t>Nej</t>
        </is>
      </c>
      <c r="Y1216" t="inlineStr">
        <is>
          <t>Nej</t>
        </is>
      </c>
      <c r="Z1216" t="inlineStr">
        <is>
          <t>Nej</t>
        </is>
      </c>
      <c r="AA1216" t="n">
        <v>10</v>
      </c>
      <c r="AB1216" t="inlineStr">
        <is>
          <t>Miljopaverkan och forsiktighetsmatt</t>
        </is>
      </c>
      <c r="AC1216" t="inlineStr">
        <is>
          <t>Miljo-PM</t>
        </is>
      </c>
      <c r="AD1216" t="inlineStr">
        <is>
          <t>Nej</t>
        </is>
      </c>
      <c r="AE1216" t="inlineStr">
        <is>
          <t>Nej</t>
        </is>
      </c>
      <c r="AF1216" t="inlineStr">
        <is>
          <t>Ej behandlad</t>
        </is>
      </c>
      <c r="AG1216" t="inlineStr">
        <is>
          <t>AUTO_GENERERAD. Verifiera citat mot kallfil.</t>
        </is>
      </c>
      <c r="AH1216" t="inlineStr">
        <is>
          <t>MEDIUM</t>
        </is>
      </c>
      <c r="AI1216" t="inlineStr">
        <is>
          <t>AUTO</t>
        </is>
      </c>
      <c r="AJ1216" t="inlineStr">
        <is>
          <t>Nej</t>
        </is>
      </c>
      <c r="AK1216" t="inlineStr"/>
      <c r="AL1216" t="inlineStr"/>
      <c r="AM1216" t="inlineStr"/>
      <c r="AN1216" t="inlineStr"/>
      <c r="AO1216" t="inlineStr">
        <is>
          <t>cmm4yupfe02k8cuqw8vllvz05</t>
        </is>
      </c>
      <c r="AP1216" t="inlineStr">
        <is>
          <t>http://localhost:8787/api/admin/requirements/documents/cmm4yupfe02k8cuqw8vllvz05/view</t>
        </is>
      </c>
      <c r="AQ1216">
        <f>HYPERLÄNK("http://localhost:8787/api/admin/requirements/documents/cmm4yupfe02k8cuqw8vllvz05/view";"Öppna PDF")</f>
        <v/>
      </c>
      <c r="AR1216">
        <f>HYPERLINK("http://localhost:8787/api/admin/requirements/documents/cmm4yupfe02k8cuqw8vllvz05/view","Open PDF")</f>
        <v/>
      </c>
      <c r="AS1216" t="inlineStr">
        <is>
          <t>cmm55w57p0004cuisfrtpqly8</t>
        </is>
      </c>
      <c r="AT1216" t="inlineStr">
        <is>
          <t>cmm4xvu980000cuh4vj0usz09</t>
        </is>
      </c>
      <c r="AU1216" t="inlineStr"/>
      <c r="AV1216" t="inlineStr">
        <is>
          <t>Kommun</t>
        </is>
      </c>
      <c r="AW1216" t="inlineStr"/>
      <c r="AX1216" t="inlineStr">
        <is>
          <t>0371-81000</t>
        </is>
      </c>
      <c r="AY1216" t="inlineStr">
        <is>
          <t>Beslut</t>
        </is>
      </c>
      <c r="AZ1216" t="inlineStr">
        <is>
          <t>2026-02-03</t>
        </is>
      </c>
      <c r="BA1216" t="inlineStr">
        <is>
          <t>MMIL.2025.618_Sjögårdens entreprenad.pdf</t>
        </is>
      </c>
      <c r="BB1216" t="inlineStr">
        <is>
          <t>SV: till registrator [2026KC4801]</t>
        </is>
      </c>
      <c r="BC1216" t="inlineStr">
        <is>
          <t>AUTO</t>
        </is>
      </c>
      <c r="BD1216" t="inlineStr"/>
      <c r="BE1216" t="inlineStr"/>
      <c r="BF1216" t="inlineStr">
        <is>
          <t>AUTO_GENERERAD. Bekrafta metadata mot kallfil.</t>
        </is>
      </c>
      <c r="BG1216">
        <f>HYPERLINK("C:\Users\jimmy\Desktop\Examens arbete\Kod\Ny mapp\remix_-copy-of-miljöbeslut.se-portal\MMIL.2025.618_Sjögårdens entreprenad.pdf", "Öppna PDF")</f>
        <v/>
      </c>
    </row>
    <row r="1217">
      <c r="A1217" t="inlineStr">
        <is>
          <t>KRAV-AUTO-001216</t>
        </is>
      </c>
      <c r="B1217" t="inlineStr">
        <is>
          <t>ADMIN-INDEX-2026-02-27-00000000125C043F57453246863FE664CAFE6A3F0700950291EA24F0614FB6ACEDB12BF0E31D00000000010C0000950291EA24F0614FB6ACEDB12BF0E31D00002087AE8C0000</t>
        </is>
      </c>
      <c r="C1217" t="inlineStr">
        <is>
          <t>cmm4yupfe02k8cuqw8vllvz05</t>
        </is>
      </c>
      <c r="D1217" t="inlineStr">
        <is>
          <t>http://localhost:8787/api/admin/requirements/documents/cmm4yupfe02k8cuqw8vllvz05/view</t>
        </is>
      </c>
      <c r="E1217">
        <f>HYPERLÄNK("http://localhost:8787/api/admin/requirements/documents/cmm4yupfe02k8cuqw8vllvz05/view";"Öppna PDF")</f>
        <v/>
      </c>
      <c r="F1217">
        <f>HYPERLINK("http://localhost:8787/api/admin/requirements/documents/cmm4yupfe02k8cuqw8vllvz05/view","Open PDF")</f>
        <v/>
      </c>
      <c r="G1217" t="inlineStr">
        <is>
          <t>cmm55w57p0004cuisfrtpqly8</t>
        </is>
      </c>
      <c r="H1217" t="inlineStr">
        <is>
          <t>Beslutsvillkor</t>
        </is>
      </c>
      <c r="I1217" t="inlineStr">
        <is>
          <t>DagvattenLakvatten</t>
        </is>
      </c>
      <c r="J1217" t="inlineStr">
        <is>
          <t>Uppsamling</t>
        </is>
      </c>
      <c r="K1217" t="inlineStr">
        <is>
          <t>Provtagning av massor kommer att ske om risk för föroreningar finns och uppskattad volym är 2000 ton per år.</t>
        </is>
      </c>
      <c r="L1217" t="inlineStr">
        <is>
          <t>Provtagning av massor kommer att ske om risk för föroreningar finns och uppskattad volym är 2000 ton per år.</t>
        </is>
      </c>
      <c r="M1217" t="inlineStr">
        <is>
          <t>SKA</t>
        </is>
      </c>
      <c r="N1217" t="inlineStr"/>
      <c r="O1217" t="inlineStr"/>
      <c r="P1217" t="inlineStr"/>
      <c r="Q1217" t="inlineStr"/>
      <c r="R1217" t="inlineStr">
        <is>
          <t>Vid nederbord och avrinning</t>
        </is>
      </c>
      <c r="S1217" t="inlineStr"/>
      <c r="T1217" t="inlineStr">
        <is>
          <t>2026 22</t>
        </is>
      </c>
      <c r="U1217" t="n">
        <v>2000</v>
      </c>
      <c r="V1217" t="inlineStr"/>
      <c r="W1217" t="inlineStr">
        <is>
          <t>Nej</t>
        </is>
      </c>
      <c r="X1217" t="inlineStr">
        <is>
          <t>Ja</t>
        </is>
      </c>
      <c r="Y1217" t="inlineStr">
        <is>
          <t>Ja</t>
        </is>
      </c>
      <c r="Z1217" t="inlineStr">
        <is>
          <t>Nej</t>
        </is>
      </c>
      <c r="AA1217" t="n">
        <v>6</v>
      </c>
      <c r="AB1217" t="inlineStr">
        <is>
          <t>Lakvattenhantering</t>
        </is>
      </c>
      <c r="AC1217" t="inlineStr">
        <is>
          <t>Flodesschema dagvatten-lakvatten</t>
        </is>
      </c>
      <c r="AD1217" t="inlineStr">
        <is>
          <t>Nej</t>
        </is>
      </c>
      <c r="AE1217" t="inlineStr">
        <is>
          <t>Nej</t>
        </is>
      </c>
      <c r="AF1217" t="inlineStr">
        <is>
          <t>Ej behandlad</t>
        </is>
      </c>
      <c r="AG1217" t="inlineStr">
        <is>
          <t>AUTO_GENERERAD. Verifiera citat mot kallfil.</t>
        </is>
      </c>
      <c r="AH1217" t="inlineStr">
        <is>
          <t>MEDIUM</t>
        </is>
      </c>
      <c r="AI1217" t="inlineStr">
        <is>
          <t>AUTO</t>
        </is>
      </c>
      <c r="AJ1217" t="inlineStr">
        <is>
          <t>Nej</t>
        </is>
      </c>
      <c r="AK1217" t="inlineStr"/>
      <c r="AL1217" t="inlineStr"/>
      <c r="AM1217" t="inlineStr"/>
      <c r="AN1217" t="inlineStr"/>
      <c r="AO1217" t="inlineStr">
        <is>
          <t>cmm4yupfe02k8cuqw8vllvz05</t>
        </is>
      </c>
      <c r="AP1217" t="inlineStr">
        <is>
          <t>http://localhost:8787/api/admin/requirements/documents/cmm4yupfe02k8cuqw8vllvz05/view</t>
        </is>
      </c>
      <c r="AQ1217">
        <f>HYPERLÄNK("http://localhost:8787/api/admin/requirements/documents/cmm4yupfe02k8cuqw8vllvz05/view";"Öppna PDF")</f>
        <v/>
      </c>
      <c r="AR1217">
        <f>HYPERLINK("http://localhost:8787/api/admin/requirements/documents/cmm4yupfe02k8cuqw8vllvz05/view","Open PDF")</f>
        <v/>
      </c>
      <c r="AS1217" t="inlineStr">
        <is>
          <t>cmm55w57p0004cuisfrtpqly8</t>
        </is>
      </c>
      <c r="AT1217" t="inlineStr">
        <is>
          <t>cmm4xvu980000cuh4vj0usz09</t>
        </is>
      </c>
      <c r="AU1217" t="inlineStr"/>
      <c r="AV1217" t="inlineStr">
        <is>
          <t>Kommun</t>
        </is>
      </c>
      <c r="AW1217" t="inlineStr"/>
      <c r="AX1217" t="inlineStr">
        <is>
          <t>0371-81000</t>
        </is>
      </c>
      <c r="AY1217" t="inlineStr">
        <is>
          <t>Beslut</t>
        </is>
      </c>
      <c r="AZ1217" t="inlineStr">
        <is>
          <t>2026-02-03</t>
        </is>
      </c>
      <c r="BA1217" t="inlineStr">
        <is>
          <t>MMIL.2025.618_Sjögårdens entreprenad.pdf</t>
        </is>
      </c>
      <c r="BB1217" t="inlineStr">
        <is>
          <t>SV: till registrator [2026KC4801]</t>
        </is>
      </c>
      <c r="BC1217" t="inlineStr">
        <is>
          <t>AUTO</t>
        </is>
      </c>
      <c r="BD1217" t="inlineStr"/>
      <c r="BE1217" t="inlineStr"/>
      <c r="BF1217" t="inlineStr">
        <is>
          <t>AUTO_GENERERAD. Bekrafta metadata mot kallfil.</t>
        </is>
      </c>
      <c r="BG1217">
        <f>HYPERLINK("C:\Users\jimmy\Desktop\Examens arbete\Kod\Ny mapp\remix_-copy-of-miljöbeslut.se-portal\MMIL.2025.618_Sjögårdens entreprenad.pdf", "Öppna PDF")</f>
        <v/>
      </c>
    </row>
    <row r="1218">
      <c r="A1218" t="inlineStr">
        <is>
          <t>KRAV-AUTO-001217</t>
        </is>
      </c>
      <c r="B1218" t="inlineStr">
        <is>
          <t>ADMIN-INDEX-2026-02-27-00000000125C043F57453246863FE664CAFE6A3F0700950291EA24F0614FB6ACEDB12BF0E31D00000000010C0000950291EA24F0614FB6ACEDB12BF0E31D00002087AE8C0000</t>
        </is>
      </c>
      <c r="C1218" t="inlineStr">
        <is>
          <t>cmm4yupfe02k8cuqw8vllvz05</t>
        </is>
      </c>
      <c r="D1218" t="inlineStr">
        <is>
          <t>http://localhost:8787/api/admin/requirements/documents/cmm4yupfe02k8cuqw8vllvz05/view</t>
        </is>
      </c>
      <c r="E1218">
        <f>HYPERLÄNK("http://localhost:8787/api/admin/requirements/documents/cmm4yupfe02k8cuqw8vllvz05/view";"Öppna PDF")</f>
        <v/>
      </c>
      <c r="F1218">
        <f>HYPERLINK("http://localhost:8787/api/admin/requirements/documents/cmm4yupfe02k8cuqw8vllvz05/view","Open PDF")</f>
        <v/>
      </c>
      <c r="G1218" t="inlineStr">
        <is>
          <t>cmm55w57p0004cuisfrtpqly8</t>
        </is>
      </c>
      <c r="H1218" t="inlineStr">
        <is>
          <t>Beslutsvillkor</t>
        </is>
      </c>
      <c r="I1218" t="inlineStr">
        <is>
          <t>DriftEgenkontroll</t>
        </is>
      </c>
      <c r="J1218" t="inlineStr">
        <is>
          <t>Journalforing</t>
        </is>
      </c>
      <c r="K1218" t="inlineStr">
        <is>
          <t>Mängden inkommande aska och askans ursprung ska journalföras.</t>
        </is>
      </c>
      <c r="L1218" t="inlineStr">
        <is>
          <t>Mängden inkommande aska och askans ursprung ska journalföras.</t>
        </is>
      </c>
      <c r="M1218" t="inlineStr">
        <is>
          <t>SKA</t>
        </is>
      </c>
      <c r="N1218" t="inlineStr"/>
      <c r="O1218" t="inlineStr"/>
      <c r="P1218" t="inlineStr"/>
      <c r="Q1218" t="inlineStr"/>
      <c r="R1218" t="inlineStr">
        <is>
          <t>Lopande drift</t>
        </is>
      </c>
      <c r="S1218" t="inlineStr"/>
      <c r="T1218" t="inlineStr">
        <is>
          <t>2026 22</t>
        </is>
      </c>
      <c r="U1218" t="inlineStr"/>
      <c r="V1218" t="inlineStr"/>
      <c r="W1218" t="inlineStr">
        <is>
          <t>Nej</t>
        </is>
      </c>
      <c r="X1218" t="inlineStr">
        <is>
          <t>Nej</t>
        </is>
      </c>
      <c r="Y1218" t="inlineStr">
        <is>
          <t>Ja</t>
        </is>
      </c>
      <c r="Z1218" t="inlineStr">
        <is>
          <t>Nej</t>
        </is>
      </c>
      <c r="AA1218" t="n">
        <v>7</v>
      </c>
      <c r="AB1218" t="inlineStr">
        <is>
          <t>Egenkontrollrutiner</t>
        </is>
      </c>
      <c r="AC1218" t="inlineStr">
        <is>
          <t>Egenkontrollprogram</t>
        </is>
      </c>
      <c r="AD1218" t="inlineStr">
        <is>
          <t>Nej</t>
        </is>
      </c>
      <c r="AE1218" t="inlineStr">
        <is>
          <t>Nej</t>
        </is>
      </c>
      <c r="AF1218" t="inlineStr">
        <is>
          <t>Ej behandlad</t>
        </is>
      </c>
      <c r="AG1218" t="inlineStr">
        <is>
          <t>AUTO_GENERERAD. Verifiera citat mot kallfil.</t>
        </is>
      </c>
      <c r="AH1218" t="inlineStr">
        <is>
          <t>MEDIUM</t>
        </is>
      </c>
      <c r="AI1218" t="inlineStr">
        <is>
          <t>AUTO</t>
        </is>
      </c>
      <c r="AJ1218" t="inlineStr">
        <is>
          <t>Nej</t>
        </is>
      </c>
      <c r="AK1218" t="inlineStr"/>
      <c r="AL1218" t="inlineStr"/>
      <c r="AM1218" t="inlineStr"/>
      <c r="AN1218" t="inlineStr"/>
      <c r="AO1218" t="inlineStr">
        <is>
          <t>cmm4yupfe02k8cuqw8vllvz05</t>
        </is>
      </c>
      <c r="AP1218" t="inlineStr">
        <is>
          <t>http://localhost:8787/api/admin/requirements/documents/cmm4yupfe02k8cuqw8vllvz05/view</t>
        </is>
      </c>
      <c r="AQ1218">
        <f>HYPERLÄNK("http://localhost:8787/api/admin/requirements/documents/cmm4yupfe02k8cuqw8vllvz05/view";"Öppna PDF")</f>
        <v/>
      </c>
      <c r="AR1218">
        <f>HYPERLINK("http://localhost:8787/api/admin/requirements/documents/cmm4yupfe02k8cuqw8vllvz05/view","Open PDF")</f>
        <v/>
      </c>
      <c r="AS1218" t="inlineStr">
        <is>
          <t>cmm55w57p0004cuisfrtpqly8</t>
        </is>
      </c>
      <c r="AT1218" t="inlineStr">
        <is>
          <t>cmm4xvu980000cuh4vj0usz09</t>
        </is>
      </c>
      <c r="AU1218" t="inlineStr"/>
      <c r="AV1218" t="inlineStr">
        <is>
          <t>Kommun</t>
        </is>
      </c>
      <c r="AW1218" t="inlineStr"/>
      <c r="AX1218" t="inlineStr">
        <is>
          <t>0371-81000</t>
        </is>
      </c>
      <c r="AY1218" t="inlineStr">
        <is>
          <t>Beslut</t>
        </is>
      </c>
      <c r="AZ1218" t="inlineStr">
        <is>
          <t>2026-02-03</t>
        </is>
      </c>
      <c r="BA1218" t="inlineStr">
        <is>
          <t>MMIL.2025.618_Sjögårdens entreprenad.pdf</t>
        </is>
      </c>
      <c r="BB1218" t="inlineStr">
        <is>
          <t>SV: till registrator [2026KC4801]</t>
        </is>
      </c>
      <c r="BC1218" t="inlineStr">
        <is>
          <t>AUTO</t>
        </is>
      </c>
      <c r="BD1218" t="inlineStr"/>
      <c r="BE1218" t="inlineStr"/>
      <c r="BF1218" t="inlineStr">
        <is>
          <t>AUTO_GENERERAD. Bekrafta metadata mot kallfil.</t>
        </is>
      </c>
      <c r="BG1218">
        <f>HYPERLINK("C:\Users\jimmy\Desktop\Examens arbete\Kod\Ny mapp\remix_-copy-of-miljöbeslut.se-portal\MMIL.2025.618_Sjögårdens entreprenad.pdf", "Öppna PDF")</f>
        <v/>
      </c>
    </row>
    <row r="1219">
      <c r="A1219" t="inlineStr">
        <is>
          <t>KRAV-AUTO-001218</t>
        </is>
      </c>
      <c r="B1219" t="inlineStr">
        <is>
          <t>ADMIN-INDEX-2026-02-27-00000000125C043F57453246863FE664CAFE6A3F0700950291EA24F0614FB6ACEDB12BF0E31D00000000010C0000950291EA24F0614FB6ACEDB12BF0E31D00002087AE8C0000</t>
        </is>
      </c>
      <c r="C1219" t="inlineStr">
        <is>
          <t>cmm4yupfc02k5cuqwbwnfgd47</t>
        </is>
      </c>
      <c r="D1219" t="inlineStr">
        <is>
          <t>http://localhost:8787/api/admin/requirements/documents/cmm4yupfc02k5cuqwbwnfgd47/view</t>
        </is>
      </c>
      <c r="E1219">
        <f>HYPERLÄNK("http://localhost:8787/api/admin/requirements/documents/cmm4yupfc02k5cuqwbwnfgd47/view";"Öppna PDF")</f>
        <v/>
      </c>
      <c r="F1219">
        <f>HYPERLINK("http://localhost:8787/api/admin/requirements/documents/cmm4yupfc02k5cuqwbwnfgd47/view","Open PDF")</f>
        <v/>
      </c>
      <c r="G1219" t="inlineStr">
        <is>
          <t>cmm55w57p0004cuisfrtpqly8</t>
        </is>
      </c>
      <c r="H1219" t="inlineStr">
        <is>
          <t>Beslutsvillkor</t>
        </is>
      </c>
      <c r="I1219" t="inlineStr">
        <is>
          <t>DagvattenLakvatten</t>
        </is>
      </c>
      <c r="J1219" t="inlineStr">
        <is>
          <t>Uppsamling</t>
        </is>
      </c>
      <c r="K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9" t="inlineStr">
        <is>
          <t>SKA</t>
        </is>
      </c>
      <c r="N1219" t="inlineStr"/>
      <c r="O1219" t="inlineStr"/>
      <c r="P1219" t="inlineStr">
        <is>
          <t>Arlig</t>
        </is>
      </c>
      <c r="Q1219" t="inlineStr"/>
      <c r="R1219" t="inlineStr">
        <is>
          <t>Vid nederbord och avrinning</t>
        </is>
      </c>
      <c r="S1219" t="inlineStr"/>
      <c r="T1219" t="inlineStr">
        <is>
          <t>212000</t>
        </is>
      </c>
      <c r="U1219" t="inlineStr"/>
      <c r="V1219" t="inlineStr"/>
      <c r="W1219" t="inlineStr">
        <is>
          <t>Nej</t>
        </is>
      </c>
      <c r="X1219" t="inlineStr">
        <is>
          <t>Ja</t>
        </is>
      </c>
      <c r="Y1219" t="inlineStr">
        <is>
          <t>Ja</t>
        </is>
      </c>
      <c r="Z1219" t="inlineStr">
        <is>
          <t>Nej</t>
        </is>
      </c>
      <c r="AA1219" t="n">
        <v>6</v>
      </c>
      <c r="AB1219" t="inlineStr">
        <is>
          <t>Lakvattenhantering</t>
        </is>
      </c>
      <c r="AC1219" t="inlineStr">
        <is>
          <t>Flodesschema dagvatten-lakvatten</t>
        </is>
      </c>
      <c r="AD1219" t="inlineStr">
        <is>
          <t>Nej</t>
        </is>
      </c>
      <c r="AE1219" t="inlineStr">
        <is>
          <t>Nej</t>
        </is>
      </c>
      <c r="AF1219" t="inlineStr">
        <is>
          <t>Ej behandlad</t>
        </is>
      </c>
      <c r="AG1219" t="inlineStr">
        <is>
          <t>AUTO_GENERERAD. Verifiera citat mot kallfil.</t>
        </is>
      </c>
      <c r="AH1219" t="inlineStr">
        <is>
          <t>MEDIUM</t>
        </is>
      </c>
      <c r="AI1219" t="inlineStr">
        <is>
          <t>AUTO</t>
        </is>
      </c>
      <c r="AJ1219" t="inlineStr">
        <is>
          <t>Nej</t>
        </is>
      </c>
      <c r="AK1219" t="inlineStr"/>
      <c r="AL1219" t="inlineStr"/>
      <c r="AM1219" t="inlineStr"/>
      <c r="AN1219" t="inlineStr"/>
      <c r="AO1219" t="inlineStr">
        <is>
          <t>cmm4yupfe02k8cuqw8vllvz05</t>
        </is>
      </c>
      <c r="AP1219" t="inlineStr">
        <is>
          <t>http://localhost:8787/api/admin/requirements/documents/cmm4yupfe02k8cuqw8vllvz05/view</t>
        </is>
      </c>
      <c r="AQ1219">
        <f>HYPERLÄNK("http://localhost:8787/api/admin/requirements/documents/cmm4yupfe02k8cuqw8vllvz05/view";"Öppna PDF")</f>
        <v/>
      </c>
      <c r="AR1219">
        <f>HYPERLINK("http://localhost:8787/api/admin/requirements/documents/cmm4yupfe02k8cuqw8vllvz05/view","Open PDF")</f>
        <v/>
      </c>
      <c r="AS1219" t="inlineStr">
        <is>
          <t>cmm55w57p0004cuisfrtpqly8</t>
        </is>
      </c>
      <c r="AT1219" t="inlineStr">
        <is>
          <t>cmm4xvu980000cuh4vj0usz09</t>
        </is>
      </c>
      <c r="AU1219" t="inlineStr"/>
      <c r="AV1219" t="inlineStr">
        <is>
          <t>Kommun</t>
        </is>
      </c>
      <c r="AW1219" t="inlineStr"/>
      <c r="AX1219" t="inlineStr">
        <is>
          <t>0371-81000</t>
        </is>
      </c>
      <c r="AY1219" t="inlineStr">
        <is>
          <t>Beslut</t>
        </is>
      </c>
      <c r="AZ1219" t="inlineStr">
        <is>
          <t>2026-02-03</t>
        </is>
      </c>
      <c r="BA1219" t="inlineStr">
        <is>
          <t>MMIL.2025.618_Sjögårdens entreprenad.pdf</t>
        </is>
      </c>
      <c r="BB1219" t="inlineStr">
        <is>
          <t>SV: till registrator [2026KC4801]</t>
        </is>
      </c>
      <c r="BC1219" t="inlineStr">
        <is>
          <t>AUTO</t>
        </is>
      </c>
      <c r="BD1219" t="inlineStr"/>
      <c r="BE1219" t="inlineStr"/>
      <c r="BF1219" t="inlineStr">
        <is>
          <t>AUTO_GENERERAD. Bekrafta metadata mot kallfil.</t>
        </is>
      </c>
      <c r="BG1219">
        <f>HYPERLINK("C:\Users\jimmy\Desktop\Examens arbete\Kod\Ny mapp\remix_-copy-of-miljöbeslut.se-portal\MMIL.2025.618_Sjögårdens entreprenad.pdf", "Öppna PDF")</f>
        <v/>
      </c>
    </row>
    <row r="1220">
      <c r="A1220" t="inlineStr">
        <is>
          <t>KRAV-AUTO-001219</t>
        </is>
      </c>
      <c r="B1220" t="inlineStr">
        <is>
          <t>ADMIN-INDEX-2026-02-27-00000000125C043F57453246863FE664CAFE6A3F0700950291EA24F0614FB6ACEDB12BF0E31D00000000010C0000950291EA24F0614FB6ACEDB12BF0E31D00002087AE8C0000</t>
        </is>
      </c>
      <c r="C1220" t="inlineStr">
        <is>
          <t>cmm4yupfc02k5cuqwbwnfgd47</t>
        </is>
      </c>
      <c r="D1220" t="inlineStr">
        <is>
          <t>http://localhost:8787/api/admin/requirements/documents/cmm4yupfc02k5cuqwbwnfgd47/view</t>
        </is>
      </c>
      <c r="E1220">
        <f>HYPERLÄNK("http://localhost:8787/api/admin/requirements/documents/cmm4yupfc02k5cuqwbwnfgd47/view";"Öppna PDF")</f>
        <v/>
      </c>
      <c r="F1220">
        <f>HYPERLINK("http://localhost:8787/api/admin/requirements/documents/cmm4yupfc02k5cuqwbwnfgd47/view","Open PDF")</f>
        <v/>
      </c>
      <c r="G1220" t="inlineStr">
        <is>
          <t>cmm55w57p0004cuisfrtpqly8</t>
        </is>
      </c>
      <c r="H1220" t="inlineStr">
        <is>
          <t>Beslutsvillkor</t>
        </is>
      </c>
      <c r="I1220" t="inlineStr">
        <is>
          <t>Ytkonstruktion</t>
        </is>
      </c>
      <c r="J1220" t="inlineStr">
        <is>
          <t>Tat yta</t>
        </is>
      </c>
      <c r="K1220" t="inlineStr">
        <is>
          <t>Flytande kemiska produkter och flytande farligt avfall ska alltid förvaras inom invallat område som är beständigt mot det som förvaras där.</t>
        </is>
      </c>
      <c r="L1220" t="inlineStr">
        <is>
          <t>Flytande kemiska produkter och flytande farligt avfall ska alltid förvaras inom invallat område som är beständigt mot det som förvaras där.</t>
        </is>
      </c>
      <c r="M1220" t="inlineStr">
        <is>
          <t>SKA</t>
        </is>
      </c>
      <c r="N1220" t="inlineStr"/>
      <c r="O1220" t="inlineStr"/>
      <c r="P1220" t="inlineStr">
        <is>
          <t>Arlig</t>
        </is>
      </c>
      <c r="Q1220" t="inlineStr"/>
      <c r="R1220" t="inlineStr">
        <is>
          <t>Vid mellanlagring av avfall</t>
        </is>
      </c>
      <c r="S1220" t="inlineStr"/>
      <c r="T1220" t="inlineStr">
        <is>
          <t>212000</t>
        </is>
      </c>
      <c r="U1220" t="inlineStr"/>
      <c r="V1220" t="inlineStr"/>
      <c r="W1220" t="inlineStr">
        <is>
          <t>Ja</t>
        </is>
      </c>
      <c r="X1220" t="inlineStr">
        <is>
          <t>Nej</t>
        </is>
      </c>
      <c r="Y1220" t="inlineStr">
        <is>
          <t>Nej</t>
        </is>
      </c>
      <c r="Z1220" t="inlineStr">
        <is>
          <t>Nej</t>
        </is>
      </c>
      <c r="AA1220" t="n">
        <v>5</v>
      </c>
      <c r="AB1220" t="inlineStr">
        <is>
          <t>Teknisk beskrivning av platta</t>
        </is>
      </c>
      <c r="AC1220" t="inlineStr">
        <is>
          <t>Teknisk ritning platta</t>
        </is>
      </c>
      <c r="AD1220" t="inlineStr">
        <is>
          <t>Nej</t>
        </is>
      </c>
      <c r="AE1220" t="inlineStr">
        <is>
          <t>Nej</t>
        </is>
      </c>
      <c r="AF1220" t="inlineStr">
        <is>
          <t>Ej behandlad</t>
        </is>
      </c>
      <c r="AG1220" t="inlineStr">
        <is>
          <t>AUTO_GENERERAD. Verifiera citat mot kallfil.</t>
        </is>
      </c>
      <c r="AH1220" t="inlineStr">
        <is>
          <t>MEDIUM</t>
        </is>
      </c>
      <c r="AI1220" t="inlineStr">
        <is>
          <t>AUTO</t>
        </is>
      </c>
      <c r="AJ1220" t="inlineStr">
        <is>
          <t>Nej</t>
        </is>
      </c>
      <c r="AK1220" t="inlineStr"/>
      <c r="AL1220" t="inlineStr"/>
      <c r="AM1220" t="inlineStr"/>
      <c r="AN1220" t="inlineStr"/>
      <c r="AO1220" t="inlineStr">
        <is>
          <t>cmm4yupfe02k8cuqw8vllvz05</t>
        </is>
      </c>
      <c r="AP1220" t="inlineStr">
        <is>
          <t>http://localhost:8787/api/admin/requirements/documents/cmm4yupfe02k8cuqw8vllvz05/view</t>
        </is>
      </c>
      <c r="AQ1220">
        <f>HYPERLÄNK("http://localhost:8787/api/admin/requirements/documents/cmm4yupfe02k8cuqw8vllvz05/view";"Öppna PDF")</f>
        <v/>
      </c>
      <c r="AR1220">
        <f>HYPERLINK("http://localhost:8787/api/admin/requirements/documents/cmm4yupfe02k8cuqw8vllvz05/view","Open PDF")</f>
        <v/>
      </c>
      <c r="AS1220" t="inlineStr">
        <is>
          <t>cmm55w57p0004cuisfrtpqly8</t>
        </is>
      </c>
      <c r="AT1220" t="inlineStr">
        <is>
          <t>cmm4xvu980000cuh4vj0usz09</t>
        </is>
      </c>
      <c r="AU1220" t="inlineStr"/>
      <c r="AV1220" t="inlineStr">
        <is>
          <t>Kommun</t>
        </is>
      </c>
      <c r="AW1220" t="inlineStr"/>
      <c r="AX1220" t="inlineStr">
        <is>
          <t>0371-81000</t>
        </is>
      </c>
      <c r="AY1220" t="inlineStr">
        <is>
          <t>Beslut</t>
        </is>
      </c>
      <c r="AZ1220" t="inlineStr">
        <is>
          <t>2026-02-03</t>
        </is>
      </c>
      <c r="BA1220" t="inlineStr">
        <is>
          <t>MMIL.2025.618_Sjögårdens entreprenad.pdf</t>
        </is>
      </c>
      <c r="BB1220" t="inlineStr">
        <is>
          <t>SV: till registrator [2026KC4801]</t>
        </is>
      </c>
      <c r="BC1220" t="inlineStr">
        <is>
          <t>AUTO</t>
        </is>
      </c>
      <c r="BD1220" t="inlineStr"/>
      <c r="BE1220" t="inlineStr"/>
      <c r="BF1220" t="inlineStr">
        <is>
          <t>AUTO_GENERERAD. Bekrafta metadata mot kallfil.</t>
        </is>
      </c>
      <c r="BG1220">
        <f>HYPERLINK("C:\Users\jimmy\Desktop\Examens arbete\Kod\Ny mapp\remix_-copy-of-miljöbeslut.se-portal\MMIL.2025.618_Sjögårdens entreprenad.pdf", "Öppna PDF")</f>
        <v/>
      </c>
    </row>
    <row r="1221">
      <c r="A1221" t="inlineStr">
        <is>
          <t>KRAV-AUTO-001220</t>
        </is>
      </c>
      <c r="B1221" t="inlineStr">
        <is>
          <t>ADMIN-INDEX-2026-02-27-00000000125C043F57453246863FE664CAFE6A3F0700950291EA24F0614FB6ACEDB12BF0E31D00000000010C0000950291EA24F0614FB6ACEDB12BF0E31D00002087AE8C0000</t>
        </is>
      </c>
      <c r="C1221" t="inlineStr">
        <is>
          <t>cmm4yupfc02k5cuqwbwnfgd47</t>
        </is>
      </c>
      <c r="D1221" t="inlineStr">
        <is>
          <t>http://localhost:8787/api/admin/requirements/documents/cmm4yupfc02k5cuqwbwnfgd47/view</t>
        </is>
      </c>
      <c r="E1221">
        <f>HYPERLÄNK("http://localhost:8787/api/admin/requirements/documents/cmm4yupfc02k5cuqwbwnfgd47/view";"Öppna PDF")</f>
        <v/>
      </c>
      <c r="F1221">
        <f>HYPERLINK("http://localhost:8787/api/admin/requirements/documents/cmm4yupfc02k5cuqwbwnfgd47/view","Open PDF")</f>
        <v/>
      </c>
      <c r="G1221" t="inlineStr">
        <is>
          <t>cmm55w57p0004cuisfrtpqly8</t>
        </is>
      </c>
      <c r="H1221" t="inlineStr">
        <is>
          <t>Beslutsvillkor</t>
        </is>
      </c>
      <c r="I1221" t="inlineStr">
        <is>
          <t>Ytkonstruktion</t>
        </is>
      </c>
      <c r="J1221" t="inlineStr">
        <is>
          <t>Tat yta</t>
        </is>
      </c>
      <c r="K1221" t="inlineStr">
        <is>
          <t>Namn Sammansättning Användningsområde Mängd/år Beskriv var råvaror och kemiska produkter hanteras och förvaras (invallning m.m.) Enligt produktvalsprincipen i 2 kap.</t>
        </is>
      </c>
      <c r="L1221" t="inlineStr">
        <is>
          <t>Namn Sammansättning Användningsområde Mängd/år Beskriv var råvaror och kemiska produkter hanteras och förvaras (invallning m.m.) Enligt produktvalsprincipen i 2 kap.</t>
        </is>
      </c>
      <c r="M1221" t="inlineStr">
        <is>
          <t>SKA</t>
        </is>
      </c>
      <c r="N1221" t="inlineStr"/>
      <c r="O1221" t="inlineStr"/>
      <c r="P1221" t="inlineStr"/>
      <c r="Q1221" t="inlineStr"/>
      <c r="R1221" t="inlineStr">
        <is>
          <t>Vid mellanlagring av avfall</t>
        </is>
      </c>
      <c r="S1221" t="inlineStr"/>
      <c r="T1221" t="inlineStr">
        <is>
          <t>212000</t>
        </is>
      </c>
      <c r="U1221" t="inlineStr"/>
      <c r="V1221" t="inlineStr"/>
      <c r="W1221" t="inlineStr">
        <is>
          <t>Ja</t>
        </is>
      </c>
      <c r="X1221" t="inlineStr">
        <is>
          <t>Nej</t>
        </is>
      </c>
      <c r="Y1221" t="inlineStr">
        <is>
          <t>Nej</t>
        </is>
      </c>
      <c r="Z1221" t="inlineStr">
        <is>
          <t>Nej</t>
        </is>
      </c>
      <c r="AA1221" t="n">
        <v>5</v>
      </c>
      <c r="AB1221" t="inlineStr">
        <is>
          <t>Teknisk beskrivning av platta</t>
        </is>
      </c>
      <c r="AC1221" t="inlineStr">
        <is>
          <t>Teknisk ritning platta</t>
        </is>
      </c>
      <c r="AD1221" t="inlineStr">
        <is>
          <t>Nej</t>
        </is>
      </c>
      <c r="AE1221" t="inlineStr">
        <is>
          <t>Nej</t>
        </is>
      </c>
      <c r="AF1221" t="inlineStr">
        <is>
          <t>Ej behandlad</t>
        </is>
      </c>
      <c r="AG1221" t="inlineStr">
        <is>
          <t>AUTO_GENERERAD. Verifiera citat mot kallfil.</t>
        </is>
      </c>
      <c r="AH1221" t="inlineStr">
        <is>
          <t>MEDIUM</t>
        </is>
      </c>
      <c r="AI1221" t="inlineStr">
        <is>
          <t>AUTO</t>
        </is>
      </c>
      <c r="AJ1221" t="inlineStr">
        <is>
          <t>Nej</t>
        </is>
      </c>
      <c r="AK1221" t="inlineStr"/>
      <c r="AL1221" t="inlineStr"/>
      <c r="AM1221" t="inlineStr"/>
      <c r="AN1221" t="inlineStr"/>
      <c r="AO1221" t="inlineStr">
        <is>
          <t>cmm4yupfe02k8cuqw8vllvz05</t>
        </is>
      </c>
      <c r="AP1221" t="inlineStr">
        <is>
          <t>http://localhost:8787/api/admin/requirements/documents/cmm4yupfe02k8cuqw8vllvz05/view</t>
        </is>
      </c>
      <c r="AQ1221">
        <f>HYPERLÄNK("http://localhost:8787/api/admin/requirements/documents/cmm4yupfe02k8cuqw8vllvz05/view";"Öppna PDF")</f>
        <v/>
      </c>
      <c r="AR1221">
        <f>HYPERLINK("http://localhost:8787/api/admin/requirements/documents/cmm4yupfe02k8cuqw8vllvz05/view","Open PDF")</f>
        <v/>
      </c>
      <c r="AS1221" t="inlineStr">
        <is>
          <t>cmm55w57p0004cuisfrtpqly8</t>
        </is>
      </c>
      <c r="AT1221" t="inlineStr">
        <is>
          <t>cmm4xvu980000cuh4vj0usz09</t>
        </is>
      </c>
      <c r="AU1221" t="inlineStr"/>
      <c r="AV1221" t="inlineStr">
        <is>
          <t>Kommun</t>
        </is>
      </c>
      <c r="AW1221" t="inlineStr"/>
      <c r="AX1221" t="inlineStr">
        <is>
          <t>0371-81000</t>
        </is>
      </c>
      <c r="AY1221" t="inlineStr">
        <is>
          <t>Beslut</t>
        </is>
      </c>
      <c r="AZ1221" t="inlineStr">
        <is>
          <t>2026-02-03</t>
        </is>
      </c>
      <c r="BA1221" t="inlineStr">
        <is>
          <t>MMIL.2025.618_Sjögårdens entreprenad.pdf</t>
        </is>
      </c>
      <c r="BB1221" t="inlineStr">
        <is>
          <t>SV: till registrator [2026KC4801]</t>
        </is>
      </c>
      <c r="BC1221" t="inlineStr">
        <is>
          <t>AUTO</t>
        </is>
      </c>
      <c r="BD1221" t="inlineStr"/>
      <c r="BE1221" t="inlineStr"/>
      <c r="BF1221" t="inlineStr">
        <is>
          <t>AUTO_GENERERAD. Bekrafta metadata mot kallfil.</t>
        </is>
      </c>
      <c r="BG1221">
        <f>HYPERLINK("C:\Users\jimmy\Desktop\Examens arbete\Kod\Ny mapp\remix_-copy-of-miljöbeslut.se-portal\MMIL.2025.618_Sjögårdens entreprenad.pdf", "Öppna PDF")</f>
        <v/>
      </c>
    </row>
    <row r="1222">
      <c r="A1222" t="inlineStr">
        <is>
          <t>KRAV-AUTO-001221</t>
        </is>
      </c>
      <c r="B1222" t="inlineStr">
        <is>
          <t>ADMIN-INDEX-2026-02-27-00000000125C043F57453246863FE664CAFE6A3F0700950291EA24F0614FB6ACEDB12BF0E31D00000000010C0000950291EA24F0614FB6ACEDB12BF0E31D00002087AE8C0000</t>
        </is>
      </c>
      <c r="C1222" t="inlineStr">
        <is>
          <t>cmm4yupfa02k2cuqwrchpe2vq</t>
        </is>
      </c>
      <c r="D1222" t="inlineStr">
        <is>
          <t>http://localhost:8787/api/admin/requirements/documents/cmm4yupfa02k2cuqwrchpe2vq/view</t>
        </is>
      </c>
      <c r="E1222">
        <f>HYPERLÄNK("http://localhost:8787/api/admin/requirements/documents/cmm4yupfa02k2cuqwrchpe2vq/view";"Öppna PDF")</f>
        <v/>
      </c>
      <c r="F1222">
        <f>HYPERLINK("http://localhost:8787/api/admin/requirements/documents/cmm4yupfa02k2cuqwrchpe2vq/view","Open PDF")</f>
        <v/>
      </c>
      <c r="G1222" t="inlineStr">
        <is>
          <t>cmm55w57p0004cuisfrtpqly8</t>
        </is>
      </c>
      <c r="H1222" t="inlineStr">
        <is>
          <t>Beslutsvillkor</t>
        </is>
      </c>
      <c r="I1222" t="inlineStr">
        <is>
          <t>DagvattenLakvatten</t>
        </is>
      </c>
      <c r="J1222" t="inlineStr">
        <is>
          <t>Uppsamling</t>
        </is>
      </c>
      <c r="K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22" t="inlineStr">
        <is>
          <t>SKA</t>
        </is>
      </c>
      <c r="N1222" t="inlineStr"/>
      <c r="O1222" t="inlineStr"/>
      <c r="P1222" t="inlineStr">
        <is>
          <t>Arlig</t>
        </is>
      </c>
      <c r="Q1222" t="inlineStr"/>
      <c r="R1222" t="inlineStr">
        <is>
          <t>Vid nederbord och avrinning</t>
        </is>
      </c>
      <c r="S1222" t="inlineStr"/>
      <c r="T1222" t="inlineStr">
        <is>
          <t>212000</t>
        </is>
      </c>
      <c r="U1222" t="inlineStr"/>
      <c r="V1222" t="inlineStr"/>
      <c r="W1222" t="inlineStr">
        <is>
          <t>Nej</t>
        </is>
      </c>
      <c r="X1222" t="inlineStr">
        <is>
          <t>Ja</t>
        </is>
      </c>
      <c r="Y1222" t="inlineStr">
        <is>
          <t>Ja</t>
        </is>
      </c>
      <c r="Z1222" t="inlineStr">
        <is>
          <t>Nej</t>
        </is>
      </c>
      <c r="AA1222" t="n">
        <v>6</v>
      </c>
      <c r="AB1222" t="inlineStr">
        <is>
          <t>Lakvattenhantering</t>
        </is>
      </c>
      <c r="AC1222" t="inlineStr">
        <is>
          <t>Flodesschema dagvatten-lakvatten</t>
        </is>
      </c>
      <c r="AD1222" t="inlineStr">
        <is>
          <t>Nej</t>
        </is>
      </c>
      <c r="AE1222" t="inlineStr">
        <is>
          <t>Nej</t>
        </is>
      </c>
      <c r="AF1222" t="inlineStr">
        <is>
          <t>Ej behandlad</t>
        </is>
      </c>
      <c r="AG1222" t="inlineStr">
        <is>
          <t>AUTO_GENERERAD. Verifiera citat mot kallfil.</t>
        </is>
      </c>
      <c r="AH1222" t="inlineStr">
        <is>
          <t>MEDIUM</t>
        </is>
      </c>
      <c r="AI1222" t="inlineStr">
        <is>
          <t>AUTO</t>
        </is>
      </c>
      <c r="AJ1222" t="inlineStr">
        <is>
          <t>Nej</t>
        </is>
      </c>
      <c r="AK1222" t="inlineStr"/>
      <c r="AL1222" t="inlineStr"/>
      <c r="AM1222" t="inlineStr"/>
      <c r="AN1222" t="inlineStr"/>
      <c r="AO1222" t="inlineStr">
        <is>
          <t>cmm4yupfe02k8cuqw8vllvz05</t>
        </is>
      </c>
      <c r="AP1222" t="inlineStr">
        <is>
          <t>http://localhost:8787/api/admin/requirements/documents/cmm4yupfe02k8cuqw8vllvz05/view</t>
        </is>
      </c>
      <c r="AQ1222">
        <f>HYPERLÄNK("http://localhost:8787/api/admin/requirements/documents/cmm4yupfe02k8cuqw8vllvz05/view";"Öppna PDF")</f>
        <v/>
      </c>
      <c r="AR1222">
        <f>HYPERLINK("http://localhost:8787/api/admin/requirements/documents/cmm4yupfe02k8cuqw8vllvz05/view","Open PDF")</f>
        <v/>
      </c>
      <c r="AS1222" t="inlineStr">
        <is>
          <t>cmm55w57p0004cuisfrtpqly8</t>
        </is>
      </c>
      <c r="AT1222" t="inlineStr">
        <is>
          <t>cmm4xvu980000cuh4vj0usz09</t>
        </is>
      </c>
      <c r="AU1222" t="inlineStr"/>
      <c r="AV1222" t="inlineStr">
        <is>
          <t>Kommun</t>
        </is>
      </c>
      <c r="AW1222" t="inlineStr"/>
      <c r="AX1222" t="inlineStr">
        <is>
          <t>0371-81000</t>
        </is>
      </c>
      <c r="AY1222" t="inlineStr">
        <is>
          <t>Beslut</t>
        </is>
      </c>
      <c r="AZ1222" t="inlineStr">
        <is>
          <t>2026-02-03</t>
        </is>
      </c>
      <c r="BA1222" t="inlineStr">
        <is>
          <t>MMIL.2025.618_Sjögårdens entreprenad.pdf</t>
        </is>
      </c>
      <c r="BB1222" t="inlineStr">
        <is>
          <t>SV: till registrator [2026KC4801]</t>
        </is>
      </c>
      <c r="BC1222" t="inlineStr">
        <is>
          <t>AUTO</t>
        </is>
      </c>
      <c r="BD1222" t="inlineStr"/>
      <c r="BE1222" t="inlineStr"/>
      <c r="BF1222" t="inlineStr">
        <is>
          <t>AUTO_GENERERAD. Bekrafta metadata mot kallfil.</t>
        </is>
      </c>
      <c r="BG1222">
        <f>HYPERLINK("C:\Users\jimmy\Desktop\Examens arbete\Kod\Ny mapp\remix_-copy-of-miljöbeslut.se-portal\MMIL.2025.618_Sjögårdens entreprenad.pdf", "Öppna PDF")</f>
        <v/>
      </c>
    </row>
    <row r="1223">
      <c r="A1223" t="inlineStr">
        <is>
          <t>KRAV-AUTO-001222</t>
        </is>
      </c>
      <c r="B1223" t="inlineStr">
        <is>
          <t>ADMIN-INDEX-2026-02-27-00000000125C043F57453246863FE664CAFE6A3F0700950291EA24F0614FB6ACEDB12BF0E31D00000000010C0000950291EA24F0614FB6ACEDB12BF0E31D00002087AE8C0000</t>
        </is>
      </c>
      <c r="C1223" t="inlineStr">
        <is>
          <t>cmm4yupfa02k2cuqwrchpe2vq</t>
        </is>
      </c>
      <c r="D1223" t="inlineStr">
        <is>
          <t>http://localhost:8787/api/admin/requirements/documents/cmm4yupfa02k2cuqwrchpe2vq/view</t>
        </is>
      </c>
      <c r="E1223">
        <f>HYPERLÄNK("http://localhost:8787/api/admin/requirements/documents/cmm4yupfa02k2cuqwrchpe2vq/view";"Öppna PDF")</f>
        <v/>
      </c>
      <c r="F1223">
        <f>HYPERLINK("http://localhost:8787/api/admin/requirements/documents/cmm4yupfa02k2cuqwrchpe2vq/view","Open PDF")</f>
        <v/>
      </c>
      <c r="G1223" t="inlineStr">
        <is>
          <t>cmm55w57p0004cuisfrtpqly8</t>
        </is>
      </c>
      <c r="H1223" t="inlineStr">
        <is>
          <t>Beslutsvillkor</t>
        </is>
      </c>
      <c r="I1223" t="inlineStr">
        <is>
          <t>Ytkonstruktion</t>
        </is>
      </c>
      <c r="J1223" t="inlineStr">
        <is>
          <t>Tat yta</t>
        </is>
      </c>
      <c r="K1223" t="inlineStr">
        <is>
          <t>Flytande kemiska produkter och flytande farligt avfall ska alltid förvaras inom invallat område som är beständigt mot det som förvaras där.</t>
        </is>
      </c>
      <c r="L1223" t="inlineStr">
        <is>
          <t>Flytande kemiska produkter och flytande farligt avfall ska alltid förvaras inom invallat område som är beständigt mot det som förvaras där.</t>
        </is>
      </c>
      <c r="M1223" t="inlineStr">
        <is>
          <t>SKA</t>
        </is>
      </c>
      <c r="N1223" t="inlineStr"/>
      <c r="O1223" t="inlineStr"/>
      <c r="P1223" t="inlineStr">
        <is>
          <t>Arlig</t>
        </is>
      </c>
      <c r="Q1223" t="inlineStr"/>
      <c r="R1223" t="inlineStr">
        <is>
          <t>Vid mellanlagring av avfall</t>
        </is>
      </c>
      <c r="S1223" t="inlineStr"/>
      <c r="T1223" t="inlineStr">
        <is>
          <t>212000</t>
        </is>
      </c>
      <c r="U1223" t="inlineStr"/>
      <c r="V1223" t="inlineStr"/>
      <c r="W1223" t="inlineStr">
        <is>
          <t>Ja</t>
        </is>
      </c>
      <c r="X1223" t="inlineStr">
        <is>
          <t>Nej</t>
        </is>
      </c>
      <c r="Y1223" t="inlineStr">
        <is>
          <t>Nej</t>
        </is>
      </c>
      <c r="Z1223" t="inlineStr">
        <is>
          <t>Nej</t>
        </is>
      </c>
      <c r="AA1223" t="n">
        <v>5</v>
      </c>
      <c r="AB1223" t="inlineStr">
        <is>
          <t>Teknisk beskrivning av platta</t>
        </is>
      </c>
      <c r="AC1223" t="inlineStr">
        <is>
          <t>Teknisk ritning platta</t>
        </is>
      </c>
      <c r="AD1223" t="inlineStr">
        <is>
          <t>Nej</t>
        </is>
      </c>
      <c r="AE1223" t="inlineStr">
        <is>
          <t>Nej</t>
        </is>
      </c>
      <c r="AF1223" t="inlineStr">
        <is>
          <t>Ej behandlad</t>
        </is>
      </c>
      <c r="AG1223" t="inlineStr">
        <is>
          <t>AUTO_GENERERAD. Verifiera citat mot kallfil.</t>
        </is>
      </c>
      <c r="AH1223" t="inlineStr">
        <is>
          <t>MEDIUM</t>
        </is>
      </c>
      <c r="AI1223" t="inlineStr">
        <is>
          <t>AUTO</t>
        </is>
      </c>
      <c r="AJ1223" t="inlineStr">
        <is>
          <t>Nej</t>
        </is>
      </c>
      <c r="AK1223" t="inlineStr"/>
      <c r="AL1223" t="inlineStr"/>
      <c r="AM1223" t="inlineStr"/>
      <c r="AN1223" t="inlineStr"/>
      <c r="AO1223" t="inlineStr">
        <is>
          <t>cmm4yupfe02k8cuqw8vllvz05</t>
        </is>
      </c>
      <c r="AP1223" t="inlineStr">
        <is>
          <t>http://localhost:8787/api/admin/requirements/documents/cmm4yupfe02k8cuqw8vllvz05/view</t>
        </is>
      </c>
      <c r="AQ1223">
        <f>HYPERLÄNK("http://localhost:8787/api/admin/requirements/documents/cmm4yupfe02k8cuqw8vllvz05/view";"Öppna PDF")</f>
        <v/>
      </c>
      <c r="AR1223">
        <f>HYPERLINK("http://localhost:8787/api/admin/requirements/documents/cmm4yupfe02k8cuqw8vllvz05/view","Open PDF")</f>
        <v/>
      </c>
      <c r="AS1223" t="inlineStr">
        <is>
          <t>cmm55w57p0004cuisfrtpqly8</t>
        </is>
      </c>
      <c r="AT1223" t="inlineStr">
        <is>
          <t>cmm4xvu980000cuh4vj0usz09</t>
        </is>
      </c>
      <c r="AU1223" t="inlineStr"/>
      <c r="AV1223" t="inlineStr">
        <is>
          <t>Kommun</t>
        </is>
      </c>
      <c r="AW1223" t="inlineStr"/>
      <c r="AX1223" t="inlineStr">
        <is>
          <t>0371-81000</t>
        </is>
      </c>
      <c r="AY1223" t="inlineStr">
        <is>
          <t>Beslut</t>
        </is>
      </c>
      <c r="AZ1223" t="inlineStr">
        <is>
          <t>2026-02-03</t>
        </is>
      </c>
      <c r="BA1223" t="inlineStr">
        <is>
          <t>MMIL.2025.618_Sjögårdens entreprenad.pdf</t>
        </is>
      </c>
      <c r="BB1223" t="inlineStr">
        <is>
          <t>SV: till registrator [2026KC4801]</t>
        </is>
      </c>
      <c r="BC1223" t="inlineStr">
        <is>
          <t>AUTO</t>
        </is>
      </c>
      <c r="BD1223" t="inlineStr"/>
      <c r="BE1223" t="inlineStr"/>
      <c r="BF1223" t="inlineStr">
        <is>
          <t>AUTO_GENERERAD. Bekrafta metadata mot kallfil.</t>
        </is>
      </c>
      <c r="BG1223">
        <f>HYPERLINK("C:\Users\jimmy\Desktop\Examens arbete\Kod\Ny mapp\remix_-copy-of-miljöbeslut.se-portal\MMIL.2025.618_Sjögårdens entreprenad.pdf", "Öppna PDF")</f>
        <v/>
      </c>
    </row>
    <row r="1224">
      <c r="A1224" t="inlineStr">
        <is>
          <t>KRAV-AUTO-001223</t>
        </is>
      </c>
      <c r="B1224" t="inlineStr">
        <is>
          <t>ADMIN-INDEX-2026-02-27-00000000125C043F57453246863FE664CAFE6A3F0700950291EA24F0614FB6ACEDB12BF0E31D00000000010C0000950291EA24F0614FB6ACEDB12BF0E31D00002087AE8C0000</t>
        </is>
      </c>
      <c r="C1224" t="inlineStr">
        <is>
          <t>cmm4yupfa02k2cuqwrchpe2vq</t>
        </is>
      </c>
      <c r="D1224" t="inlineStr">
        <is>
          <t>http://localhost:8787/api/admin/requirements/documents/cmm4yupfa02k2cuqwrchpe2vq/view</t>
        </is>
      </c>
      <c r="E1224">
        <f>HYPERLÄNK("http://localhost:8787/api/admin/requirements/documents/cmm4yupfa02k2cuqwrchpe2vq/view";"Öppna PDF")</f>
        <v/>
      </c>
      <c r="F1224">
        <f>HYPERLINK("http://localhost:8787/api/admin/requirements/documents/cmm4yupfa02k2cuqwrchpe2vq/view","Open PDF")</f>
        <v/>
      </c>
      <c r="G1224" t="inlineStr">
        <is>
          <t>cmm55w57p0004cuisfrtpqly8</t>
        </is>
      </c>
      <c r="H1224" t="inlineStr">
        <is>
          <t>Beslutsvillkor</t>
        </is>
      </c>
      <c r="I1224" t="inlineStr">
        <is>
          <t>Ytkonstruktion</t>
        </is>
      </c>
      <c r="J1224" t="inlineStr">
        <is>
          <t>Tat yta</t>
        </is>
      </c>
      <c r="K1224" t="inlineStr">
        <is>
          <t>Namn Sammansättning Användningsområde Mängd/år Beskriv var råvaror och kemiska produkter hanteras och förvaras (invallning m.m.) Enligt produktvalsprincipen i 2 kap.</t>
        </is>
      </c>
      <c r="L1224" t="inlineStr">
        <is>
          <t>Namn Sammansättning Användningsområde Mängd/år Beskriv var råvaror och kemiska produkter hanteras och förvaras (invallning m.m.) Enligt produktvalsprincipen i 2 kap.</t>
        </is>
      </c>
      <c r="M1224" t="inlineStr">
        <is>
          <t>SKA</t>
        </is>
      </c>
      <c r="N1224" t="inlineStr"/>
      <c r="O1224" t="inlineStr"/>
      <c r="P1224" t="inlineStr"/>
      <c r="Q1224" t="inlineStr"/>
      <c r="R1224" t="inlineStr">
        <is>
          <t>Vid mellanlagring av avfall</t>
        </is>
      </c>
      <c r="S1224" t="inlineStr"/>
      <c r="T1224" t="inlineStr">
        <is>
          <t>212000</t>
        </is>
      </c>
      <c r="U1224" t="inlineStr"/>
      <c r="V1224" t="inlineStr"/>
      <c r="W1224" t="inlineStr">
        <is>
          <t>Ja</t>
        </is>
      </c>
      <c r="X1224" t="inlineStr">
        <is>
          <t>Nej</t>
        </is>
      </c>
      <c r="Y1224" t="inlineStr">
        <is>
          <t>Nej</t>
        </is>
      </c>
      <c r="Z1224" t="inlineStr">
        <is>
          <t>Nej</t>
        </is>
      </c>
      <c r="AA1224" t="n">
        <v>5</v>
      </c>
      <c r="AB1224" t="inlineStr">
        <is>
          <t>Teknisk beskrivning av platta</t>
        </is>
      </c>
      <c r="AC1224" t="inlineStr">
        <is>
          <t>Teknisk ritning platta</t>
        </is>
      </c>
      <c r="AD1224" t="inlineStr">
        <is>
          <t>Nej</t>
        </is>
      </c>
      <c r="AE1224" t="inlineStr">
        <is>
          <t>Nej</t>
        </is>
      </c>
      <c r="AF1224" t="inlineStr">
        <is>
          <t>Ej behandlad</t>
        </is>
      </c>
      <c r="AG1224" t="inlineStr">
        <is>
          <t>AUTO_GENERERAD. Verifiera citat mot kallfil.</t>
        </is>
      </c>
      <c r="AH1224" t="inlineStr">
        <is>
          <t>MEDIUM</t>
        </is>
      </c>
      <c r="AI1224" t="inlineStr">
        <is>
          <t>AUTO</t>
        </is>
      </c>
      <c r="AJ1224" t="inlineStr">
        <is>
          <t>Nej</t>
        </is>
      </c>
      <c r="AK1224" t="inlineStr"/>
      <c r="AL1224" t="inlineStr"/>
      <c r="AM1224" t="inlineStr"/>
      <c r="AN1224" t="inlineStr"/>
      <c r="AO1224" t="inlineStr">
        <is>
          <t>cmm4yupfe02k8cuqw8vllvz05</t>
        </is>
      </c>
      <c r="AP1224" t="inlineStr">
        <is>
          <t>http://localhost:8787/api/admin/requirements/documents/cmm4yupfe02k8cuqw8vllvz05/view</t>
        </is>
      </c>
      <c r="AQ1224">
        <f>HYPERLÄNK("http://localhost:8787/api/admin/requirements/documents/cmm4yupfe02k8cuqw8vllvz05/view";"Öppna PDF")</f>
        <v/>
      </c>
      <c r="AR1224">
        <f>HYPERLINK("http://localhost:8787/api/admin/requirements/documents/cmm4yupfe02k8cuqw8vllvz05/view","Open PDF")</f>
        <v/>
      </c>
      <c r="AS1224" t="inlineStr">
        <is>
          <t>cmm55w57p0004cuisfrtpqly8</t>
        </is>
      </c>
      <c r="AT1224" t="inlineStr">
        <is>
          <t>cmm4xvu980000cuh4vj0usz09</t>
        </is>
      </c>
      <c r="AU1224" t="inlineStr"/>
      <c r="AV1224" t="inlineStr">
        <is>
          <t>Kommun</t>
        </is>
      </c>
      <c r="AW1224" t="inlineStr"/>
      <c r="AX1224" t="inlineStr">
        <is>
          <t>0371-81000</t>
        </is>
      </c>
      <c r="AY1224" t="inlineStr">
        <is>
          <t>Beslut</t>
        </is>
      </c>
      <c r="AZ1224" t="inlineStr">
        <is>
          <t>2026-02-03</t>
        </is>
      </c>
      <c r="BA1224" t="inlineStr">
        <is>
          <t>MMIL.2025.618_Sjögårdens entreprenad.pdf</t>
        </is>
      </c>
      <c r="BB1224" t="inlineStr">
        <is>
          <t>SV: till registrator [2026KC4801]</t>
        </is>
      </c>
      <c r="BC1224" t="inlineStr">
        <is>
          <t>AUTO</t>
        </is>
      </c>
      <c r="BD1224" t="inlineStr"/>
      <c r="BE1224" t="inlineStr"/>
      <c r="BF1224" t="inlineStr">
        <is>
          <t>AUTO_GENERERAD. Bekrafta metadata mot kallfil.</t>
        </is>
      </c>
      <c r="BG1224">
        <f>HYPERLINK("C:\Users\jimmy\Desktop\Examens arbete\Kod\Ny mapp\remix_-copy-of-miljöbeslut.se-portal\MMIL.2025.618_Sjögårdens entreprenad.pdf", "Öppna PDF")</f>
        <v/>
      </c>
    </row>
    <row r="1225">
      <c r="A1225" t="inlineStr">
        <is>
          <t>KRAV-AUTO-001224</t>
        </is>
      </c>
      <c r="B1225" t="inlineStr">
        <is>
          <t>ADMIN-INDEX-2026-02-27-00000000125C043F57453246863FE664CAFE6A3F0700950291EA24F0614FB6ACEDB12BF0E31D00000000010C0000950291EA24F0614FB6ACEDB12BF0E31D00002087AE8D0000</t>
        </is>
      </c>
      <c r="C1225" t="inlineStr">
        <is>
          <t>cmm4yupf702jzcuqwdksoalck</t>
        </is>
      </c>
      <c r="D1225" t="inlineStr">
        <is>
          <t>http://localhost:8787/api/admin/requirements/documents/cmm4yupf702jzcuqwdksoalck/view</t>
        </is>
      </c>
      <c r="E1225">
        <f>HYPERLÄNK("http://localhost:8787/api/admin/requirements/documents/cmm4yupf702jzcuqwdksoalck/view";"Öppna PDF")</f>
        <v/>
      </c>
      <c r="F1225">
        <f>HYPERLINK("http://localhost:8787/api/admin/requirements/documents/cmm4yupf702jzcuqwdksoalck/view","Open PDF")</f>
        <v/>
      </c>
      <c r="G1225" t="inlineStr">
        <is>
          <t>cmm55w57p0004cuisfrtpqly8</t>
        </is>
      </c>
      <c r="H1225" t="inlineStr">
        <is>
          <t>Beslutsvillkor</t>
        </is>
      </c>
      <c r="I1225" t="inlineStr">
        <is>
          <t>DagvattenLakvatten</t>
        </is>
      </c>
      <c r="J1225" t="inlineStr">
        <is>
          <t>Uppsamling</t>
        </is>
      </c>
      <c r="K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25" t="inlineStr">
        <is>
          <t>SKA</t>
        </is>
      </c>
      <c r="N1225" t="inlineStr">
        <is>
          <t>FMH</t>
        </is>
      </c>
      <c r="O1225" t="inlineStr"/>
      <c r="P1225" t="inlineStr"/>
      <c r="Q1225" t="inlineStr"/>
      <c r="R1225" t="inlineStr">
        <is>
          <t>Vid nederbord och avrinning</t>
        </is>
      </c>
      <c r="S1225" t="inlineStr"/>
      <c r="T1225" t="inlineStr">
        <is>
          <t>212000</t>
        </is>
      </c>
      <c r="U1225" t="inlineStr"/>
      <c r="V1225" t="inlineStr"/>
      <c r="W1225" t="inlineStr">
        <is>
          <t>Nej</t>
        </is>
      </c>
      <c r="X1225" t="inlineStr">
        <is>
          <t>Ja</t>
        </is>
      </c>
      <c r="Y1225" t="inlineStr">
        <is>
          <t>Ja</t>
        </is>
      </c>
      <c r="Z1225" t="inlineStr">
        <is>
          <t>Nej</t>
        </is>
      </c>
      <c r="AA1225" t="n">
        <v>6</v>
      </c>
      <c r="AB1225" t="inlineStr">
        <is>
          <t>Lakvattenhantering</t>
        </is>
      </c>
      <c r="AC1225" t="inlineStr">
        <is>
          <t>Flodesschema dagvatten-lakvatten</t>
        </is>
      </c>
      <c r="AD1225" t="inlineStr">
        <is>
          <t>Nej</t>
        </is>
      </c>
      <c r="AE1225" t="inlineStr">
        <is>
          <t>Nej</t>
        </is>
      </c>
      <c r="AF1225" t="inlineStr">
        <is>
          <t>Ej behandlad</t>
        </is>
      </c>
      <c r="AG1225" t="inlineStr">
        <is>
          <t>AUTO_GENERERAD. Verifiera citat mot kallfil.</t>
        </is>
      </c>
      <c r="AH1225" t="inlineStr">
        <is>
          <t>HIGH</t>
        </is>
      </c>
      <c r="AI1225" t="inlineStr">
        <is>
          <t>AUTO</t>
        </is>
      </c>
      <c r="AJ1225" t="inlineStr">
        <is>
          <t>Nej</t>
        </is>
      </c>
      <c r="AK1225" t="inlineStr"/>
      <c r="AL1225" t="inlineStr"/>
      <c r="AM1225" t="inlineStr"/>
      <c r="AN1225" t="inlineStr"/>
      <c r="AO1225" t="inlineStr">
        <is>
          <t>cmm4yupf702jzcuqwdksoalck</t>
        </is>
      </c>
      <c r="AP1225" t="inlineStr">
        <is>
          <t>http://localhost:8787/api/admin/requirements/documents/cmm4yupf702jzcuqwdksoalck/view</t>
        </is>
      </c>
      <c r="AQ1225">
        <f>HYPERLÄNK("http://localhost:8787/api/admin/requirements/documents/cmm4yupf702jzcuqwdksoalck/view";"Öppna PDF")</f>
        <v/>
      </c>
      <c r="AR1225">
        <f>HYPERLINK("http://localhost:8787/api/admin/requirements/documents/cmm4yupf702jzcuqwdksoalck/view","Open PDF")</f>
        <v/>
      </c>
      <c r="AS1225" t="inlineStr">
        <is>
          <t>cmm55w57p0004cuisfrtpqly8</t>
        </is>
      </c>
      <c r="AT1225" t="inlineStr">
        <is>
          <t>cmm4xvu980000cuh4vj0usz09</t>
        </is>
      </c>
      <c r="AU1225" t="inlineStr">
        <is>
          <t>Samhällsbyggnadsnämnden i Söderköpings</t>
        </is>
      </c>
      <c r="AV1225" t="inlineStr">
        <is>
          <t>Kommun</t>
        </is>
      </c>
      <c r="AW1225" t="inlineStr">
        <is>
          <t>Samhällsbyggnadsnämnden i Söderköpings kommun</t>
        </is>
      </c>
      <c r="AX1225" t="inlineStr">
        <is>
          <t>2025-12</t>
        </is>
      </c>
      <c r="AY1225" t="inlineStr">
        <is>
          <t>Beslut</t>
        </is>
      </c>
      <c r="AZ1225" t="inlineStr">
        <is>
          <t>2026-02-03</t>
        </is>
      </c>
      <c r="BA1225" t="inlineStr">
        <is>
          <t>SBF-2024-1814_2025-12-10_Beslut Miljöfarlig verksamhet.pdf</t>
        </is>
      </c>
      <c r="BB1225" t="inlineStr">
        <is>
          <t>SV: till registrator</t>
        </is>
      </c>
      <c r="BC1225" t="inlineStr">
        <is>
          <t>AUTO</t>
        </is>
      </c>
      <c r="BD1225" t="inlineStr"/>
      <c r="BE1225" t="inlineStr"/>
      <c r="BF1225" t="inlineStr">
        <is>
          <t>AUTO_GENERERAD. Bekrafta metadata mot kallfil.</t>
        </is>
      </c>
      <c r="BG1225">
        <f>HYPERLINK("C:\Users\jimmy\Desktop\Examens arbete\Kod\Ny mapp\remix_-copy-of-miljöbeslut.se-portal\SBF-2024-1814_2025-12-10_Beslut Miljöfarlig verksamhet.pdf", "Öppna PDF")</f>
        <v/>
      </c>
    </row>
    <row r="1226">
      <c r="A1226" t="inlineStr">
        <is>
          <t>KRAV-AUTO-001225</t>
        </is>
      </c>
      <c r="B1226" t="inlineStr">
        <is>
          <t>ADMIN-INDEX-2026-02-27-00000000125C043F57453246863FE664CAFE6A3F0700950291EA24F0614FB6ACEDB12BF0E31D00000000010C0000950291EA24F0614FB6ACEDB12BF0E31D00002087AE8D0000</t>
        </is>
      </c>
      <c r="C1226" t="inlineStr">
        <is>
          <t>cmm4yupf702jzcuqwdksoalck</t>
        </is>
      </c>
      <c r="D1226" t="inlineStr">
        <is>
          <t>http://localhost:8787/api/admin/requirements/documents/cmm4yupf702jzcuqwdksoalck/view</t>
        </is>
      </c>
      <c r="E1226">
        <f>HYPERLÄNK("http://localhost:8787/api/admin/requirements/documents/cmm4yupf702jzcuqwdksoalck/view";"Öppna PDF")</f>
        <v/>
      </c>
      <c r="F1226">
        <f>HYPERLINK("http://localhost:8787/api/admin/requirements/documents/cmm4yupf702jzcuqwdksoalck/view","Open PDF")</f>
        <v/>
      </c>
      <c r="G1226" t="inlineStr">
        <is>
          <t>cmm55w57p0004cuisfrtpqly8</t>
        </is>
      </c>
      <c r="H1226" t="inlineStr">
        <is>
          <t>Beslutsvillkor</t>
        </is>
      </c>
      <c r="I1226" t="inlineStr">
        <is>
          <t>DagvattenLakvatten</t>
        </is>
      </c>
      <c r="J1226" t="inlineStr">
        <is>
          <t>Uppsamling</t>
        </is>
      </c>
      <c r="K1226" t="inlineStr">
        <is>
          <t>På Hjälmsborg placeras materialet bestående av sand, humusämnen och vatten i en grävd grop där sanden sedimenterar och en mindre mängd vattnet förs genom dike till befintlig lakvattendamm på Hjälmsborg.</t>
        </is>
      </c>
      <c r="L1226" t="inlineStr">
        <is>
          <t>På Hjälmsborg placeras materialet bestående av sand, humusämnen och vatten i en grävd grop där sanden sedimenterar och en mindre mängd vattnet förs genom dike till befintlig lakvattendamm på Hjälmsborg.</t>
        </is>
      </c>
      <c r="M1226" t="inlineStr">
        <is>
          <t>BOR</t>
        </is>
      </c>
      <c r="N1226" t="inlineStr">
        <is>
          <t>FMH</t>
        </is>
      </c>
      <c r="O1226" t="inlineStr"/>
      <c r="P1226" t="inlineStr"/>
      <c r="Q1226" t="inlineStr"/>
      <c r="R1226" t="inlineStr">
        <is>
          <t>Vid nederbord och avrinning</t>
        </is>
      </c>
      <c r="S1226" t="inlineStr"/>
      <c r="T1226" t="inlineStr">
        <is>
          <t>212000</t>
        </is>
      </c>
      <c r="U1226" t="inlineStr"/>
      <c r="V1226" t="inlineStr"/>
      <c r="W1226" t="inlineStr">
        <is>
          <t>Nej</t>
        </is>
      </c>
      <c r="X1226" t="inlineStr">
        <is>
          <t>Ja</t>
        </is>
      </c>
      <c r="Y1226" t="inlineStr">
        <is>
          <t>Ja</t>
        </is>
      </c>
      <c r="Z1226" t="inlineStr">
        <is>
          <t>Nej</t>
        </is>
      </c>
      <c r="AA1226" t="n">
        <v>6</v>
      </c>
      <c r="AB1226" t="inlineStr">
        <is>
          <t>Lakvattenhantering</t>
        </is>
      </c>
      <c r="AC1226" t="inlineStr">
        <is>
          <t>Flodesschema dagvatten-lakvatten</t>
        </is>
      </c>
      <c r="AD1226" t="inlineStr">
        <is>
          <t>Nej</t>
        </is>
      </c>
      <c r="AE1226" t="inlineStr">
        <is>
          <t>Nej</t>
        </is>
      </c>
      <c r="AF1226" t="inlineStr">
        <is>
          <t>Ej behandlad</t>
        </is>
      </c>
      <c r="AG1226" t="inlineStr">
        <is>
          <t>AUTO_GENERERAD. Verifiera citat mot kallfil.</t>
        </is>
      </c>
      <c r="AH1226" t="inlineStr">
        <is>
          <t>HIGH</t>
        </is>
      </c>
      <c r="AI1226" t="inlineStr">
        <is>
          <t>AUTO</t>
        </is>
      </c>
      <c r="AJ1226" t="inlineStr">
        <is>
          <t>Nej</t>
        </is>
      </c>
      <c r="AK1226" t="inlineStr"/>
      <c r="AL1226" t="inlineStr"/>
      <c r="AM1226" t="inlineStr"/>
      <c r="AN1226" t="inlineStr"/>
      <c r="AO1226" t="inlineStr">
        <is>
          <t>cmm4yupf702jzcuqwdksoalck</t>
        </is>
      </c>
      <c r="AP1226" t="inlineStr">
        <is>
          <t>http://localhost:8787/api/admin/requirements/documents/cmm4yupf702jzcuqwdksoalck/view</t>
        </is>
      </c>
      <c r="AQ1226">
        <f>HYPERLÄNK("http://localhost:8787/api/admin/requirements/documents/cmm4yupf702jzcuqwdksoalck/view";"Öppna PDF")</f>
        <v/>
      </c>
      <c r="AR1226">
        <f>HYPERLINK("http://localhost:8787/api/admin/requirements/documents/cmm4yupf702jzcuqwdksoalck/view","Open PDF")</f>
        <v/>
      </c>
      <c r="AS1226" t="inlineStr">
        <is>
          <t>cmm55w57p0004cuisfrtpqly8</t>
        </is>
      </c>
      <c r="AT1226" t="inlineStr">
        <is>
          <t>cmm4xvu980000cuh4vj0usz09</t>
        </is>
      </c>
      <c r="AU1226" t="inlineStr">
        <is>
          <t>Samhällsbyggnadsnämnden i Söderköpings</t>
        </is>
      </c>
      <c r="AV1226" t="inlineStr">
        <is>
          <t>Kommun</t>
        </is>
      </c>
      <c r="AW1226" t="inlineStr">
        <is>
          <t>Samhällsbyggnadsnämnden i Söderköpings kommun</t>
        </is>
      </c>
      <c r="AX1226" t="inlineStr">
        <is>
          <t>2025-12</t>
        </is>
      </c>
      <c r="AY1226" t="inlineStr">
        <is>
          <t>Beslut</t>
        </is>
      </c>
      <c r="AZ1226" t="inlineStr">
        <is>
          <t>2026-02-03</t>
        </is>
      </c>
      <c r="BA1226" t="inlineStr">
        <is>
          <t>SBF-2024-1814_2025-12-10_Beslut Miljöfarlig verksamhet.pdf</t>
        </is>
      </c>
      <c r="BB1226" t="inlineStr">
        <is>
          <t>SV: till registrator</t>
        </is>
      </c>
      <c r="BC1226" t="inlineStr">
        <is>
          <t>AUTO</t>
        </is>
      </c>
      <c r="BD1226" t="inlineStr"/>
      <c r="BE1226" t="inlineStr"/>
      <c r="BF1226" t="inlineStr">
        <is>
          <t>AUTO_GENERERAD. Bekrafta metadata mot kallfil.</t>
        </is>
      </c>
      <c r="BG1226">
        <f>HYPERLINK("C:\Users\jimmy\Desktop\Examens arbete\Kod\Ny mapp\remix_-copy-of-miljöbeslut.se-portal\SBF-2024-1814_2025-12-10_Beslut Miljöfarlig verksamhet.pdf", "Öppna PDF")</f>
        <v/>
      </c>
    </row>
    <row r="1227">
      <c r="A1227" t="inlineStr">
        <is>
          <t>KRAV-AUTO-001226</t>
        </is>
      </c>
      <c r="B1227" t="inlineStr">
        <is>
          <t>ADMIN-INDEX-2026-02-27-00000000125C043F57453246863FE664CAFE6A3F0700950291EA24F0614FB6ACEDB12BF0E31D00000000010C0000950291EA24F0614FB6ACEDB12BF0E31D00002087AE8D0000</t>
        </is>
      </c>
      <c r="C1227" t="inlineStr">
        <is>
          <t>cmm4yupf702jzcuqwdksoalck</t>
        </is>
      </c>
      <c r="D1227" t="inlineStr">
        <is>
          <t>http://localhost:8787/api/admin/requirements/documents/cmm4yupf702jzcuqwdksoalck/view</t>
        </is>
      </c>
      <c r="E1227">
        <f>HYPERLÄNK("http://localhost:8787/api/admin/requirements/documents/cmm4yupf702jzcuqwdksoalck/view";"Öppna PDF")</f>
        <v/>
      </c>
      <c r="F1227">
        <f>HYPERLINK("http://localhost:8787/api/admin/requirements/documents/cmm4yupf702jzcuqwdksoalck/view","Open PDF")</f>
        <v/>
      </c>
      <c r="G1227" t="inlineStr">
        <is>
          <t>cmm55w57p0004cuisfrtpqly8</t>
        </is>
      </c>
      <c r="H1227" t="inlineStr">
        <is>
          <t>Beslutsvillkor</t>
        </is>
      </c>
      <c r="I1227" t="inlineStr">
        <is>
          <t>Ytkonstruktion</t>
        </is>
      </c>
      <c r="J1227" t="inlineStr">
        <is>
          <t>Tat yta</t>
        </is>
      </c>
      <c r="K1227" t="inlineStr">
        <is>
          <t>I yttrandet lyfter de att sedimentet ska klassas som avfall och rimligen ha avfallskod som börjar med 19 09.</t>
        </is>
      </c>
      <c r="L1227" t="inlineStr">
        <is>
          <t>I yttrandet lyfter de att sedimentet ska klassas som avfall och rimligen ha avfallskod som börjar med 19 09.</t>
        </is>
      </c>
      <c r="M1227" t="inlineStr">
        <is>
          <t>SKA</t>
        </is>
      </c>
      <c r="N1227" t="inlineStr">
        <is>
          <t>FMH</t>
        </is>
      </c>
      <c r="O1227" t="inlineStr"/>
      <c r="P1227" t="inlineStr"/>
      <c r="Q1227" t="inlineStr"/>
      <c r="R1227" t="inlineStr">
        <is>
          <t>Vid mellanlagring av avfall</t>
        </is>
      </c>
      <c r="S1227" t="inlineStr"/>
      <c r="T1227" t="inlineStr">
        <is>
          <t>212000</t>
        </is>
      </c>
      <c r="U1227" t="inlineStr"/>
      <c r="V1227" t="inlineStr"/>
      <c r="W1227" t="inlineStr">
        <is>
          <t>Ja</t>
        </is>
      </c>
      <c r="X1227" t="inlineStr">
        <is>
          <t>Nej</t>
        </is>
      </c>
      <c r="Y1227" t="inlineStr">
        <is>
          <t>Nej</t>
        </is>
      </c>
      <c r="Z1227" t="inlineStr">
        <is>
          <t>Nej</t>
        </is>
      </c>
      <c r="AA1227" t="n">
        <v>5</v>
      </c>
      <c r="AB1227" t="inlineStr">
        <is>
          <t>Teknisk beskrivning av platta</t>
        </is>
      </c>
      <c r="AC1227" t="inlineStr">
        <is>
          <t>Teknisk ritning platta</t>
        </is>
      </c>
      <c r="AD1227" t="inlineStr">
        <is>
          <t>Nej</t>
        </is>
      </c>
      <c r="AE1227" t="inlineStr">
        <is>
          <t>Nej</t>
        </is>
      </c>
      <c r="AF1227" t="inlineStr">
        <is>
          <t>Ej behandlad</t>
        </is>
      </c>
      <c r="AG1227" t="inlineStr">
        <is>
          <t>AUTO_GENERERAD. Verifiera citat mot kallfil.</t>
        </is>
      </c>
      <c r="AH1227" t="inlineStr">
        <is>
          <t>HIGH</t>
        </is>
      </c>
      <c r="AI1227" t="inlineStr">
        <is>
          <t>AUTO</t>
        </is>
      </c>
      <c r="AJ1227" t="inlineStr">
        <is>
          <t>Nej</t>
        </is>
      </c>
      <c r="AK1227" t="inlineStr"/>
      <c r="AL1227" t="inlineStr"/>
      <c r="AM1227" t="inlineStr"/>
      <c r="AN1227" t="inlineStr"/>
      <c r="AO1227" t="inlineStr">
        <is>
          <t>cmm4yupf702jzcuqwdksoalck</t>
        </is>
      </c>
      <c r="AP1227" t="inlineStr">
        <is>
          <t>http://localhost:8787/api/admin/requirements/documents/cmm4yupf702jzcuqwdksoalck/view</t>
        </is>
      </c>
      <c r="AQ1227">
        <f>HYPERLÄNK("http://localhost:8787/api/admin/requirements/documents/cmm4yupf702jzcuqwdksoalck/view";"Öppna PDF")</f>
        <v/>
      </c>
      <c r="AR1227">
        <f>HYPERLINK("http://localhost:8787/api/admin/requirements/documents/cmm4yupf702jzcuqwdksoalck/view","Open PDF")</f>
        <v/>
      </c>
      <c r="AS1227" t="inlineStr">
        <is>
          <t>cmm55w57p0004cuisfrtpqly8</t>
        </is>
      </c>
      <c r="AT1227" t="inlineStr">
        <is>
          <t>cmm4xvu980000cuh4vj0usz09</t>
        </is>
      </c>
      <c r="AU1227" t="inlineStr">
        <is>
          <t>Samhällsbyggnadsnämnden i Söderköpings</t>
        </is>
      </c>
      <c r="AV1227" t="inlineStr">
        <is>
          <t>Kommun</t>
        </is>
      </c>
      <c r="AW1227" t="inlineStr">
        <is>
          <t>Samhällsbyggnadsnämnden i Söderköpings kommun</t>
        </is>
      </c>
      <c r="AX1227" t="inlineStr">
        <is>
          <t>2025-12</t>
        </is>
      </c>
      <c r="AY1227" t="inlineStr">
        <is>
          <t>Beslut</t>
        </is>
      </c>
      <c r="AZ1227" t="inlineStr">
        <is>
          <t>2026-02-03</t>
        </is>
      </c>
      <c r="BA1227" t="inlineStr">
        <is>
          <t>SBF-2024-1814_2025-12-10_Beslut Miljöfarlig verksamhet.pdf</t>
        </is>
      </c>
      <c r="BB1227" t="inlineStr">
        <is>
          <t>SV: till registrator</t>
        </is>
      </c>
      <c r="BC1227" t="inlineStr">
        <is>
          <t>AUTO</t>
        </is>
      </c>
      <c r="BD1227" t="inlineStr"/>
      <c r="BE1227" t="inlineStr"/>
      <c r="BF1227" t="inlineStr">
        <is>
          <t>AUTO_GENERERAD. Bekrafta metadata mot kallfil.</t>
        </is>
      </c>
      <c r="BG1227">
        <f>HYPERLINK("C:\Users\jimmy\Desktop\Examens arbete\Kod\Ny mapp\remix_-copy-of-miljöbeslut.se-portal\SBF-2024-1814_2025-12-10_Beslut Miljöfarlig verksamhet.pdf", "Öppna PDF")</f>
        <v/>
      </c>
    </row>
    <row r="1228">
      <c r="A1228" t="inlineStr">
        <is>
          <t>KRAV-AUTO-001227</t>
        </is>
      </c>
      <c r="B1228" t="inlineStr">
        <is>
          <t>ADMIN-INDEX-2026-02-27-00000000125C043F57453246863FE664CAFE6A3F0700950291EA24F0614FB6ACEDB12BF0E31D00000000010C0000950291EA24F0614FB6ACEDB12BF0E31D00002087AE8D0000</t>
        </is>
      </c>
      <c r="C1228" t="inlineStr">
        <is>
          <t>cmm4yupf502jwcuqwqh47enkj</t>
        </is>
      </c>
      <c r="D1228" t="inlineStr">
        <is>
          <t>http://localhost:8787/api/admin/requirements/documents/cmm4yupf502jwcuqwqh47enkj/view</t>
        </is>
      </c>
      <c r="E1228">
        <f>HYPERLÄNK("http://localhost:8787/api/admin/requirements/documents/cmm4yupf502jwcuqwqh47enkj/view";"Öppna PDF")</f>
        <v/>
      </c>
      <c r="F1228">
        <f>HYPERLINK("http://localhost:8787/api/admin/requirements/documents/cmm4yupf502jwcuqwqh47enkj/view","Open PDF")</f>
        <v/>
      </c>
      <c r="G1228" t="inlineStr">
        <is>
          <t>cmm55w57p0004cuisfrtpqly8</t>
        </is>
      </c>
      <c r="H1228" t="inlineStr">
        <is>
          <t>Beslutsvillkor</t>
        </is>
      </c>
      <c r="I1228" t="inlineStr">
        <is>
          <t>DriftEgenkontroll</t>
        </is>
      </c>
      <c r="J1228" t="inlineStr">
        <is>
          <t>Journalforing</t>
        </is>
      </c>
      <c r="K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28" t="inlineStr">
        <is>
          <t>BOR</t>
        </is>
      </c>
      <c r="N1228" t="inlineStr"/>
      <c r="O1228" t="inlineStr">
        <is>
          <t>2025-06-16</t>
        </is>
      </c>
      <c r="P1228" t="inlineStr"/>
      <c r="Q1228" t="inlineStr">
        <is>
          <t>Vite</t>
        </is>
      </c>
      <c r="R1228" t="inlineStr">
        <is>
          <t>Lopande drift</t>
        </is>
      </c>
      <c r="S1228" t="inlineStr"/>
      <c r="T1228" t="inlineStr">
        <is>
          <t>25 49 00</t>
        </is>
      </c>
      <c r="U1228" t="inlineStr"/>
      <c r="V1228" t="inlineStr"/>
      <c r="W1228" t="inlineStr">
        <is>
          <t>Nej</t>
        </is>
      </c>
      <c r="X1228" t="inlineStr">
        <is>
          <t>Nej</t>
        </is>
      </c>
      <c r="Y1228" t="inlineStr">
        <is>
          <t>Ja</t>
        </is>
      </c>
      <c r="Z1228" t="inlineStr">
        <is>
          <t>Nej</t>
        </is>
      </c>
      <c r="AA1228" t="n">
        <v>7</v>
      </c>
      <c r="AB1228" t="inlineStr">
        <is>
          <t>Egenkontrollrutiner</t>
        </is>
      </c>
      <c r="AC1228" t="inlineStr">
        <is>
          <t>Egenkontrollprogram</t>
        </is>
      </c>
      <c r="AD1228" t="inlineStr">
        <is>
          <t>Nej</t>
        </is>
      </c>
      <c r="AE1228" t="inlineStr">
        <is>
          <t>Nej</t>
        </is>
      </c>
      <c r="AF1228" t="inlineStr">
        <is>
          <t>Ej behandlad</t>
        </is>
      </c>
      <c r="AG1228" t="inlineStr">
        <is>
          <t>AUTO_GENERERAD. Verifiera citat mot kallfil.</t>
        </is>
      </c>
      <c r="AH1228" t="inlineStr">
        <is>
          <t>MEDIUM</t>
        </is>
      </c>
      <c r="AI1228" t="inlineStr">
        <is>
          <t>AUTO</t>
        </is>
      </c>
      <c r="AJ1228" t="inlineStr">
        <is>
          <t>Nej</t>
        </is>
      </c>
      <c r="AK1228" t="inlineStr"/>
      <c r="AL1228" t="inlineStr"/>
      <c r="AM1228" t="inlineStr"/>
      <c r="AN1228" t="inlineStr"/>
      <c r="AO1228" t="inlineStr">
        <is>
          <t>cmm4yupf702jzcuqwdksoalck</t>
        </is>
      </c>
      <c r="AP1228" t="inlineStr">
        <is>
          <t>http://localhost:8787/api/admin/requirements/documents/cmm4yupf702jzcuqwdksoalck/view</t>
        </is>
      </c>
      <c r="AQ1228">
        <f>HYPERLÄNK("http://localhost:8787/api/admin/requirements/documents/cmm4yupf702jzcuqwdksoalck/view";"Öppna PDF")</f>
        <v/>
      </c>
      <c r="AR1228">
        <f>HYPERLINK("http://localhost:8787/api/admin/requirements/documents/cmm4yupf702jzcuqwdksoalck/view","Open PDF")</f>
        <v/>
      </c>
      <c r="AS1228" t="inlineStr">
        <is>
          <t>cmm55w57p0004cuisfrtpqly8</t>
        </is>
      </c>
      <c r="AT1228" t="inlineStr">
        <is>
          <t>cmm4xvu980000cuh4vj0usz09</t>
        </is>
      </c>
      <c r="AU1228" t="inlineStr">
        <is>
          <t>Samhällsbyggnadsnämnden i Söderköpings</t>
        </is>
      </c>
      <c r="AV1228" t="inlineStr">
        <is>
          <t>Kommun</t>
        </is>
      </c>
      <c r="AW1228" t="inlineStr">
        <is>
          <t>Samhällsbyggnadsnämnden i Söderköpings kommun</t>
        </is>
      </c>
      <c r="AX1228" t="inlineStr">
        <is>
          <t>2025-12</t>
        </is>
      </c>
      <c r="AY1228" t="inlineStr">
        <is>
          <t>Beslut</t>
        </is>
      </c>
      <c r="AZ1228" t="inlineStr">
        <is>
          <t>2026-02-03</t>
        </is>
      </c>
      <c r="BA1228" t="inlineStr">
        <is>
          <t>SBF-2024-1814_2025-12-10_Beslut Miljöfarlig verksamhet.pdf</t>
        </is>
      </c>
      <c r="BB1228" t="inlineStr">
        <is>
          <t>SV: till registrator</t>
        </is>
      </c>
      <c r="BC1228" t="inlineStr">
        <is>
          <t>AUTO</t>
        </is>
      </c>
      <c r="BD1228" t="inlineStr"/>
      <c r="BE1228" t="inlineStr"/>
      <c r="BF1228" t="inlineStr">
        <is>
          <t>AUTO_GENERERAD. Bekrafta metadata mot kallfil.</t>
        </is>
      </c>
      <c r="BG1228">
        <f>HYPERLINK("C:\Users\jimmy\Desktop\Examens arbete\Kod\Ny mapp\remix_-copy-of-miljöbeslut.se-portal\SBF-2024-1814_2025-12-10_Beslut Miljöfarlig verksamhet.pdf", "Öppna PDF")</f>
        <v/>
      </c>
    </row>
    <row r="1229">
      <c r="A1229" t="inlineStr">
        <is>
          <t>KRAV-AUTO-001228</t>
        </is>
      </c>
      <c r="B1229" t="inlineStr">
        <is>
          <t>ADMIN-INDEX-2026-02-27-00000000125C043F57453246863FE664CAFE6A3F0700950291EA24F0614FB6ACEDB12BF0E31D00000000010C0000950291EA24F0614FB6ACEDB12BF0E31D00002087AE8D0000</t>
        </is>
      </c>
      <c r="C1229" t="inlineStr">
        <is>
          <t>cmm4yupf202jtcuqw9e46am6p</t>
        </is>
      </c>
      <c r="D1229" t="inlineStr">
        <is>
          <t>http://localhost:8787/api/admin/requirements/documents/cmm4yupf202jtcuqw9e46am6p/view</t>
        </is>
      </c>
      <c r="E1229">
        <f>HYPERLÄNK("http://localhost:8787/api/admin/requirements/documents/cmm4yupf202jtcuqw9e46am6p/view";"Öppna PDF")</f>
        <v/>
      </c>
      <c r="F1229">
        <f>HYPERLINK("http://localhost:8787/api/admin/requirements/documents/cmm4yupf202jtcuqw9e46am6p/view","Open PDF")</f>
        <v/>
      </c>
      <c r="G1229" t="inlineStr">
        <is>
          <t>cmm55w57p0004cuisfrtpqly8</t>
        </is>
      </c>
      <c r="H1229" t="inlineStr">
        <is>
          <t>Beslutsvillkor</t>
        </is>
      </c>
      <c r="I1229" t="inlineStr">
        <is>
          <t>DagvattenLakvatten</t>
        </is>
      </c>
      <c r="J1229" t="inlineStr">
        <is>
          <t>Uppsamling</t>
        </is>
      </c>
      <c r="K1229" t="inlineStr">
        <is>
          <t>Länsstyrelsen konstaterar att det är olämpligt att lakvatten från andra verksamheter släpps till lakvattendammen som ska hantera lakvatten från Hjälmsborgs avfallsupplag.</t>
        </is>
      </c>
      <c r="L1229" t="inlineStr">
        <is>
          <t>Länsstyrelsen konstaterar att det är olämpligt att lakvatten från andra verksamheter släpps till lakvattendammen som ska hantera lakvatten från Hjälmsborgs avfallsupplag.</t>
        </is>
      </c>
      <c r="M1229" t="inlineStr">
        <is>
          <t>SKA</t>
        </is>
      </c>
      <c r="N1229" t="inlineStr"/>
      <c r="O1229" t="inlineStr"/>
      <c r="P1229" t="inlineStr"/>
      <c r="Q1229" t="inlineStr"/>
      <c r="R1229" t="inlineStr">
        <is>
          <t>Vid nederbord och avrinning</t>
        </is>
      </c>
      <c r="S1229" t="inlineStr"/>
      <c r="T1229" t="inlineStr">
        <is>
          <t>540341</t>
        </is>
      </c>
      <c r="U1229" t="inlineStr"/>
      <c r="V1229" t="inlineStr"/>
      <c r="W1229" t="inlineStr">
        <is>
          <t>Nej</t>
        </is>
      </c>
      <c r="X1229" t="inlineStr">
        <is>
          <t>Ja</t>
        </is>
      </c>
      <c r="Y1229" t="inlineStr">
        <is>
          <t>Ja</t>
        </is>
      </c>
      <c r="Z1229" t="inlineStr">
        <is>
          <t>Nej</t>
        </is>
      </c>
      <c r="AA1229" t="n">
        <v>6</v>
      </c>
      <c r="AB1229" t="inlineStr">
        <is>
          <t>Lakvattenhantering</t>
        </is>
      </c>
      <c r="AC1229" t="inlineStr">
        <is>
          <t>Flodesschema dagvatten-lakvatten</t>
        </is>
      </c>
      <c r="AD1229" t="inlineStr">
        <is>
          <t>Nej</t>
        </is>
      </c>
      <c r="AE1229" t="inlineStr">
        <is>
          <t>Nej</t>
        </is>
      </c>
      <c r="AF1229" t="inlineStr">
        <is>
          <t>Ej behandlad</t>
        </is>
      </c>
      <c r="AG1229" t="inlineStr">
        <is>
          <t>AUTO_GENERERAD. Verifiera citat mot kallfil.</t>
        </is>
      </c>
      <c r="AH1229" t="inlineStr">
        <is>
          <t>MEDIUM</t>
        </is>
      </c>
      <c r="AI1229" t="inlineStr">
        <is>
          <t>AUTO</t>
        </is>
      </c>
      <c r="AJ1229" t="inlineStr">
        <is>
          <t>Nej</t>
        </is>
      </c>
      <c r="AK1229" t="inlineStr"/>
      <c r="AL1229" t="inlineStr"/>
      <c r="AM1229" t="inlineStr"/>
      <c r="AN1229" t="inlineStr"/>
      <c r="AO1229" t="inlineStr">
        <is>
          <t>cmm4yupf702jzcuqwdksoalck</t>
        </is>
      </c>
      <c r="AP1229" t="inlineStr">
        <is>
          <t>http://localhost:8787/api/admin/requirements/documents/cmm4yupf702jzcuqwdksoalck/view</t>
        </is>
      </c>
      <c r="AQ1229">
        <f>HYPERLÄNK("http://localhost:8787/api/admin/requirements/documents/cmm4yupf702jzcuqwdksoalck/view";"Öppna PDF")</f>
        <v/>
      </c>
      <c r="AR1229">
        <f>HYPERLINK("http://localhost:8787/api/admin/requirements/documents/cmm4yupf702jzcuqwdksoalck/view","Open PDF")</f>
        <v/>
      </c>
      <c r="AS1229" t="inlineStr">
        <is>
          <t>cmm55w57p0004cuisfrtpqly8</t>
        </is>
      </c>
      <c r="AT1229" t="inlineStr">
        <is>
          <t>cmm4xvu980000cuh4vj0usz09</t>
        </is>
      </c>
      <c r="AU1229" t="inlineStr">
        <is>
          <t>Samhällsbyggnadsnämnden i Söderköpings</t>
        </is>
      </c>
      <c r="AV1229" t="inlineStr">
        <is>
          <t>Kommun</t>
        </is>
      </c>
      <c r="AW1229" t="inlineStr">
        <is>
          <t>Samhällsbyggnadsnämnden i Söderköpings kommun</t>
        </is>
      </c>
      <c r="AX1229" t="inlineStr">
        <is>
          <t>2025-12</t>
        </is>
      </c>
      <c r="AY1229" t="inlineStr">
        <is>
          <t>Beslut</t>
        </is>
      </c>
      <c r="AZ1229" t="inlineStr">
        <is>
          <t>2026-02-03</t>
        </is>
      </c>
      <c r="BA1229" t="inlineStr">
        <is>
          <t>SBF-2024-1814_2025-12-10_Beslut Miljöfarlig verksamhet.pdf</t>
        </is>
      </c>
      <c r="BB1229" t="inlineStr">
        <is>
          <t>SV: till registrator</t>
        </is>
      </c>
      <c r="BC1229" t="inlineStr">
        <is>
          <t>AUTO</t>
        </is>
      </c>
      <c r="BD1229" t="inlineStr"/>
      <c r="BE1229" t="inlineStr"/>
      <c r="BF1229" t="inlineStr">
        <is>
          <t>AUTO_GENERERAD. Bekrafta metadata mot kallfil.</t>
        </is>
      </c>
      <c r="BG1229">
        <f>HYPERLINK("C:\Users\jimmy\Desktop\Examens arbete\Kod\Ny mapp\remix_-copy-of-miljöbeslut.se-portal\SBF-2024-1814_2025-12-10_Beslut Miljöfarlig verksamhet.pdf", "Öppna PDF")</f>
        <v/>
      </c>
    </row>
    <row r="1230">
      <c r="A1230" t="inlineStr">
        <is>
          <t>KRAV-AUTO-001229</t>
        </is>
      </c>
      <c r="B1230" t="inlineStr">
        <is>
          <t>ADMIN-INDEX-2026-02-27-00000000125C043F57453246863FE664CAFE6A3F0700950291EA24F0614FB6ACEDB12BF0E31D00000000010C0000950291EA24F0614FB6ACEDB12BF0E31D00002087AE8D0000</t>
        </is>
      </c>
      <c r="C1230" t="inlineStr">
        <is>
          <t>cmm4yupf202jtcuqw9e46am6p</t>
        </is>
      </c>
      <c r="D1230" t="inlineStr">
        <is>
          <t>http://localhost:8787/api/admin/requirements/documents/cmm4yupf202jtcuqw9e46am6p/view</t>
        </is>
      </c>
      <c r="E1230">
        <f>HYPERLÄNK("http://localhost:8787/api/admin/requirements/documents/cmm4yupf202jtcuqw9e46am6p/view";"Öppna PDF")</f>
        <v/>
      </c>
      <c r="F1230">
        <f>HYPERLINK("http://localhost:8787/api/admin/requirements/documents/cmm4yupf202jtcuqw9e46am6p/view","Open PDF")</f>
        <v/>
      </c>
      <c r="G1230" t="inlineStr">
        <is>
          <t>cmm55w57p0004cuisfrtpqly8</t>
        </is>
      </c>
      <c r="H1230" t="inlineStr">
        <is>
          <t>Beslutsvillkor</t>
        </is>
      </c>
      <c r="I1230" t="inlineStr">
        <is>
          <t>MiljopaverkanForsiktighet</t>
        </is>
      </c>
      <c r="J1230" t="inlineStr">
        <is>
          <t>Skyddsatgarder</t>
        </is>
      </c>
      <c r="K1230" t="inlineStr">
        <is>
          <t>Länsstyrelsen finner utifrån dessa konstateranden att det är olämpligt att avfall tillförs till område kring Hjälmsborgs avfallsupplag.</t>
        </is>
      </c>
      <c r="L1230" t="inlineStr">
        <is>
          <t>Länsstyrelsen finner utifrån dessa konstateranden att det är olämpligt att avfall tillförs till område kring Hjälmsborgs avfallsupplag.</t>
        </is>
      </c>
      <c r="M1230" t="inlineStr">
        <is>
          <t>BOR</t>
        </is>
      </c>
      <c r="N1230" t="inlineStr"/>
      <c r="O1230" t="inlineStr"/>
      <c r="P1230" t="inlineStr"/>
      <c r="Q1230" t="inlineStr"/>
      <c r="R1230" t="inlineStr">
        <is>
          <t>Alltid</t>
        </is>
      </c>
      <c r="S1230" t="inlineStr"/>
      <c r="T1230" t="inlineStr">
        <is>
          <t>540341</t>
        </is>
      </c>
      <c r="U1230" t="inlineStr"/>
      <c r="V1230" t="inlineStr"/>
      <c r="W1230" t="inlineStr">
        <is>
          <t>Nej</t>
        </is>
      </c>
      <c r="X1230" t="inlineStr">
        <is>
          <t>Nej</t>
        </is>
      </c>
      <c r="Y1230" t="inlineStr">
        <is>
          <t>Nej</t>
        </is>
      </c>
      <c r="Z1230" t="inlineStr">
        <is>
          <t>Nej</t>
        </is>
      </c>
      <c r="AA1230" t="n">
        <v>10</v>
      </c>
      <c r="AB1230" t="inlineStr">
        <is>
          <t>Miljopaverkan och forsiktighetsmatt</t>
        </is>
      </c>
      <c r="AC1230" t="inlineStr">
        <is>
          <t>Miljo-PM</t>
        </is>
      </c>
      <c r="AD1230" t="inlineStr">
        <is>
          <t>Nej</t>
        </is>
      </c>
      <c r="AE1230" t="inlineStr">
        <is>
          <t>Nej</t>
        </is>
      </c>
      <c r="AF1230" t="inlineStr">
        <is>
          <t>Ej behandlad</t>
        </is>
      </c>
      <c r="AG1230" t="inlineStr">
        <is>
          <t>AUTO_GENERERAD. Verifiera citat mot kallfil.</t>
        </is>
      </c>
      <c r="AH1230" t="inlineStr">
        <is>
          <t>MEDIUM</t>
        </is>
      </c>
      <c r="AI1230" t="inlineStr">
        <is>
          <t>AUTO</t>
        </is>
      </c>
      <c r="AJ1230" t="inlineStr">
        <is>
          <t>Nej</t>
        </is>
      </c>
      <c r="AK1230" t="inlineStr"/>
      <c r="AL1230" t="inlineStr"/>
      <c r="AM1230" t="inlineStr"/>
      <c r="AN1230" t="inlineStr"/>
      <c r="AO1230" t="inlineStr">
        <is>
          <t>cmm4yupf702jzcuqwdksoalck</t>
        </is>
      </c>
      <c r="AP1230" t="inlineStr">
        <is>
          <t>http://localhost:8787/api/admin/requirements/documents/cmm4yupf702jzcuqwdksoalck/view</t>
        </is>
      </c>
      <c r="AQ1230">
        <f>HYPERLÄNK("http://localhost:8787/api/admin/requirements/documents/cmm4yupf702jzcuqwdksoalck/view";"Öppna PDF")</f>
        <v/>
      </c>
      <c r="AR1230">
        <f>HYPERLINK("http://localhost:8787/api/admin/requirements/documents/cmm4yupf702jzcuqwdksoalck/view","Open PDF")</f>
        <v/>
      </c>
      <c r="AS1230" t="inlineStr">
        <is>
          <t>cmm55w57p0004cuisfrtpqly8</t>
        </is>
      </c>
      <c r="AT1230" t="inlineStr">
        <is>
          <t>cmm4xvu980000cuh4vj0usz09</t>
        </is>
      </c>
      <c r="AU1230" t="inlineStr">
        <is>
          <t>Samhällsbyggnadsnämnden i Söderköpings</t>
        </is>
      </c>
      <c r="AV1230" t="inlineStr">
        <is>
          <t>Kommun</t>
        </is>
      </c>
      <c r="AW1230" t="inlineStr">
        <is>
          <t>Samhällsbyggnadsnämnden i Söderköpings kommun</t>
        </is>
      </c>
      <c r="AX1230" t="inlineStr">
        <is>
          <t>2025-12</t>
        </is>
      </c>
      <c r="AY1230" t="inlineStr">
        <is>
          <t>Beslut</t>
        </is>
      </c>
      <c r="AZ1230" t="inlineStr">
        <is>
          <t>2026-02-03</t>
        </is>
      </c>
      <c r="BA1230" t="inlineStr">
        <is>
          <t>SBF-2024-1814_2025-12-10_Beslut Miljöfarlig verksamhet.pdf</t>
        </is>
      </c>
      <c r="BB1230" t="inlineStr">
        <is>
          <t>SV: till registrator</t>
        </is>
      </c>
      <c r="BC1230" t="inlineStr">
        <is>
          <t>AUTO</t>
        </is>
      </c>
      <c r="BD1230" t="inlineStr"/>
      <c r="BE1230" t="inlineStr"/>
      <c r="BF1230" t="inlineStr">
        <is>
          <t>AUTO_GENERERAD. Bekrafta metadata mot kallfil.</t>
        </is>
      </c>
      <c r="BG1230">
        <f>HYPERLINK("C:\Users\jimmy\Desktop\Examens arbete\Kod\Ny mapp\remix_-copy-of-miljöbeslut.se-portal\SBF-2024-1814_2025-12-10_Beslut Miljöfarlig verksamhet.pdf", "Öppna PDF")</f>
        <v/>
      </c>
    </row>
    <row r="1231">
      <c r="A1231" t="inlineStr">
        <is>
          <t>KRAV-AUTO-001230</t>
        </is>
      </c>
      <c r="B1231" t="inlineStr">
        <is>
          <t>ADMIN-INDEX-2026-02-27-00000000125C043F57453246863FE664CAFE6A3F0700950291EA24F0614FB6ACEDB12BF0E31D00000000010C0000950291EA24F0614FB6ACEDB12BF0E31D00002087AE8D0000</t>
        </is>
      </c>
      <c r="C1231" t="inlineStr">
        <is>
          <t>cmm4yupf202jtcuqw9e46am6p</t>
        </is>
      </c>
      <c r="D1231" t="inlineStr">
        <is>
          <t>http://localhost:8787/api/admin/requirements/documents/cmm4yupf202jtcuqw9e46am6p/view</t>
        </is>
      </c>
      <c r="E1231">
        <f>HYPERLÄNK("http://localhost:8787/api/admin/requirements/documents/cmm4yupf202jtcuqw9e46am6p/view";"Öppna PDF")</f>
        <v/>
      </c>
      <c r="F1231">
        <f>HYPERLINK("http://localhost:8787/api/admin/requirements/documents/cmm4yupf202jtcuqw9e46am6p/view","Open PDF")</f>
        <v/>
      </c>
      <c r="G1231" t="inlineStr">
        <is>
          <t>cmm55w57p0004cuisfrtpqly8</t>
        </is>
      </c>
      <c r="H1231" t="inlineStr">
        <is>
          <t>Beslutsvillkor</t>
        </is>
      </c>
      <c r="I1231" t="inlineStr">
        <is>
          <t>MiljopaverkanForsiktighet</t>
        </is>
      </c>
      <c r="J1231" t="inlineStr">
        <is>
          <t>Skyddsatgarder</t>
        </is>
      </c>
      <c r="K1231" t="inlineStr">
        <is>
          <t>Det borde vara ett avfall som klassificeras med någon av avfallkoderna som börjar med 19 09, Avfall från framställning av dricksvatten eller vatten för industriändamål, i avfallsförordningen (2020:614).</t>
        </is>
      </c>
      <c r="L1231" t="inlineStr">
        <is>
          <t>Det borde vara ett avfall som klassificeras med någon av avfallkoderna som börjar med 19 09, Avfall från framställning av dricksvatten eller vatten för industriändamål, i avfallsförordningen (2020:614).</t>
        </is>
      </c>
      <c r="M1231" t="inlineStr">
        <is>
          <t>BOR</t>
        </is>
      </c>
      <c r="N1231" t="inlineStr"/>
      <c r="O1231" t="inlineStr"/>
      <c r="P1231" t="inlineStr"/>
      <c r="Q1231" t="inlineStr"/>
      <c r="R1231" t="inlineStr">
        <is>
          <t>Alltid</t>
        </is>
      </c>
      <c r="S1231" t="inlineStr"/>
      <c r="T1231" t="inlineStr">
        <is>
          <t>540341</t>
        </is>
      </c>
      <c r="U1231" t="inlineStr"/>
      <c r="V1231" t="inlineStr"/>
      <c r="W1231" t="inlineStr">
        <is>
          <t>Nej</t>
        </is>
      </c>
      <c r="X1231" t="inlineStr">
        <is>
          <t>Nej</t>
        </is>
      </c>
      <c r="Y1231" t="inlineStr">
        <is>
          <t>Nej</t>
        </is>
      </c>
      <c r="Z1231" t="inlineStr">
        <is>
          <t>Nej</t>
        </is>
      </c>
      <c r="AA1231" t="n">
        <v>10</v>
      </c>
      <c r="AB1231" t="inlineStr">
        <is>
          <t>Miljopaverkan och forsiktighetsmatt</t>
        </is>
      </c>
      <c r="AC1231" t="inlineStr">
        <is>
          <t>Miljo-PM</t>
        </is>
      </c>
      <c r="AD1231" t="inlineStr">
        <is>
          <t>Nej</t>
        </is>
      </c>
      <c r="AE1231" t="inlineStr">
        <is>
          <t>Nej</t>
        </is>
      </c>
      <c r="AF1231" t="inlineStr">
        <is>
          <t>Ej behandlad</t>
        </is>
      </c>
      <c r="AG1231" t="inlineStr">
        <is>
          <t>AUTO_GENERERAD. Verifiera citat mot kallfil.</t>
        </is>
      </c>
      <c r="AH1231" t="inlineStr">
        <is>
          <t>MEDIUM</t>
        </is>
      </c>
      <c r="AI1231" t="inlineStr">
        <is>
          <t>AUTO</t>
        </is>
      </c>
      <c r="AJ1231" t="inlineStr">
        <is>
          <t>Nej</t>
        </is>
      </c>
      <c r="AK1231" t="inlineStr"/>
      <c r="AL1231" t="inlineStr"/>
      <c r="AM1231" t="inlineStr"/>
      <c r="AN1231" t="inlineStr"/>
      <c r="AO1231" t="inlineStr">
        <is>
          <t>cmm4yupf702jzcuqwdksoalck</t>
        </is>
      </c>
      <c r="AP1231" t="inlineStr">
        <is>
          <t>http://localhost:8787/api/admin/requirements/documents/cmm4yupf702jzcuqwdksoalck/view</t>
        </is>
      </c>
      <c r="AQ1231">
        <f>HYPERLÄNK("http://localhost:8787/api/admin/requirements/documents/cmm4yupf702jzcuqwdksoalck/view";"Öppna PDF")</f>
        <v/>
      </c>
      <c r="AR1231">
        <f>HYPERLINK("http://localhost:8787/api/admin/requirements/documents/cmm4yupf702jzcuqwdksoalck/view","Open PDF")</f>
        <v/>
      </c>
      <c r="AS1231" t="inlineStr">
        <is>
          <t>cmm55w57p0004cuisfrtpqly8</t>
        </is>
      </c>
      <c r="AT1231" t="inlineStr">
        <is>
          <t>cmm4xvu980000cuh4vj0usz09</t>
        </is>
      </c>
      <c r="AU1231" t="inlineStr">
        <is>
          <t>Samhällsbyggnadsnämnden i Söderköpings</t>
        </is>
      </c>
      <c r="AV1231" t="inlineStr">
        <is>
          <t>Kommun</t>
        </is>
      </c>
      <c r="AW1231" t="inlineStr">
        <is>
          <t>Samhällsbyggnadsnämnden i Söderköpings kommun</t>
        </is>
      </c>
      <c r="AX1231" t="inlineStr">
        <is>
          <t>2025-12</t>
        </is>
      </c>
      <c r="AY1231" t="inlineStr">
        <is>
          <t>Beslut</t>
        </is>
      </c>
      <c r="AZ1231" t="inlineStr">
        <is>
          <t>2026-02-03</t>
        </is>
      </c>
      <c r="BA1231" t="inlineStr">
        <is>
          <t>SBF-2024-1814_2025-12-10_Beslut Miljöfarlig verksamhet.pdf</t>
        </is>
      </c>
      <c r="BB1231" t="inlineStr">
        <is>
          <t>SV: till registrator</t>
        </is>
      </c>
      <c r="BC1231" t="inlineStr">
        <is>
          <t>AUTO</t>
        </is>
      </c>
      <c r="BD1231" t="inlineStr"/>
      <c r="BE1231" t="inlineStr"/>
      <c r="BF1231" t="inlineStr">
        <is>
          <t>AUTO_GENERERAD. Bekrafta metadata mot kallfil.</t>
        </is>
      </c>
      <c r="BG1231">
        <f>HYPERLINK("C:\Users\jimmy\Desktop\Examens arbete\Kod\Ny mapp\remix_-copy-of-miljöbeslut.se-portal\SBF-2024-1814_2025-12-10_Beslut Miljöfarlig verksamhet.pdf", "Öppna PDF")</f>
        <v/>
      </c>
    </row>
    <row r="1232">
      <c r="A1232" t="inlineStr">
        <is>
          <t>KRAV-AUTO-001231</t>
        </is>
      </c>
      <c r="B1232" t="inlineStr">
        <is>
          <t>ADMIN-INDEX-2026-02-27-00000000125C043F57453246863FE664CAFE6A3F0700950291EA24F0614FB6ACEDB12BF0E31D00000000010C0000950291EA24F0614FB6ACEDB12BF0E31D00002087AE8D0000</t>
        </is>
      </c>
      <c r="C1232" t="inlineStr">
        <is>
          <t>cmm4yupeq02jhcuqw5d79d7bz</t>
        </is>
      </c>
      <c r="D1232" t="inlineStr">
        <is>
          <t>http://localhost:8787/api/admin/requirements/documents/cmm4yupeq02jhcuqw5d79d7bz/view</t>
        </is>
      </c>
      <c r="E1232">
        <f>HYPERLÄNK("http://localhost:8787/api/admin/requirements/documents/cmm4yupeq02jhcuqw5d79d7bz/view";"Öppna PDF")</f>
        <v/>
      </c>
      <c r="F1232">
        <f>HYPERLINK("http://localhost:8787/api/admin/requirements/documents/cmm4yupeq02jhcuqw5d79d7bz/view","Open PDF")</f>
        <v/>
      </c>
      <c r="G1232" t="inlineStr">
        <is>
          <t>cmm55w57p0004cuisfrtpqly8</t>
        </is>
      </c>
      <c r="H1232" t="inlineStr">
        <is>
          <t>Beslutsvillkor</t>
        </is>
      </c>
      <c r="I1232" t="inlineStr">
        <is>
          <t>MiljopaverkanForsiktighet</t>
        </is>
      </c>
      <c r="J1232" t="inlineStr">
        <is>
          <t>Skyddsatgarder</t>
        </is>
      </c>
      <c r="K1232" t="inlineStr">
        <is>
          <t>Sedimentet planeras att läggas på Hjälmsborgs avfallsanläggning.</t>
        </is>
      </c>
      <c r="L1232" t="inlineStr">
        <is>
          <t>Sedimentet planeras att läggas på Hjälmsborgs avfallsanläggning.</t>
        </is>
      </c>
      <c r="M1232" t="inlineStr">
        <is>
          <t>BOR</t>
        </is>
      </c>
      <c r="N1232" t="inlineStr"/>
      <c r="O1232" t="inlineStr"/>
      <c r="P1232" t="inlineStr"/>
      <c r="Q1232" t="inlineStr"/>
      <c r="R1232" t="inlineStr">
        <is>
          <t>Alltid</t>
        </is>
      </c>
      <c r="S1232" t="inlineStr"/>
      <c r="T1232" t="inlineStr">
        <is>
          <t>10 10 25</t>
        </is>
      </c>
      <c r="U1232" t="inlineStr"/>
      <c r="V1232" t="inlineStr"/>
      <c r="W1232" t="inlineStr">
        <is>
          <t>Nej</t>
        </is>
      </c>
      <c r="X1232" t="inlineStr">
        <is>
          <t>Nej</t>
        </is>
      </c>
      <c r="Y1232" t="inlineStr">
        <is>
          <t>Nej</t>
        </is>
      </c>
      <c r="Z1232" t="inlineStr">
        <is>
          <t>Nej</t>
        </is>
      </c>
      <c r="AA1232" t="n">
        <v>10</v>
      </c>
      <c r="AB1232" t="inlineStr">
        <is>
          <t>Miljopaverkan och forsiktighetsmatt</t>
        </is>
      </c>
      <c r="AC1232" t="inlineStr">
        <is>
          <t>Miljo-PM</t>
        </is>
      </c>
      <c r="AD1232" t="inlineStr">
        <is>
          <t>Nej</t>
        </is>
      </c>
      <c r="AE1232" t="inlineStr">
        <is>
          <t>Nej</t>
        </is>
      </c>
      <c r="AF1232" t="inlineStr">
        <is>
          <t>Ej behandlad</t>
        </is>
      </c>
      <c r="AG1232" t="inlineStr">
        <is>
          <t>AUTO_GENERERAD. Verifiera citat mot kallfil.</t>
        </is>
      </c>
      <c r="AH1232" t="inlineStr">
        <is>
          <t>LOW</t>
        </is>
      </c>
      <c r="AI1232" t="inlineStr">
        <is>
          <t>AUTO</t>
        </is>
      </c>
      <c r="AJ1232" t="inlineStr">
        <is>
          <t>Nej</t>
        </is>
      </c>
      <c r="AK1232" t="inlineStr"/>
      <c r="AL1232" t="inlineStr"/>
      <c r="AM1232" t="inlineStr"/>
      <c r="AN1232" t="inlineStr"/>
      <c r="AO1232" t="inlineStr">
        <is>
          <t>cmm4yupf702jzcuqwdksoalck</t>
        </is>
      </c>
      <c r="AP1232" t="inlineStr">
        <is>
          <t>http://localhost:8787/api/admin/requirements/documents/cmm4yupf702jzcuqwdksoalck/view</t>
        </is>
      </c>
      <c r="AQ1232">
        <f>HYPERLÄNK("http://localhost:8787/api/admin/requirements/documents/cmm4yupf702jzcuqwdksoalck/view";"Öppna PDF")</f>
        <v/>
      </c>
      <c r="AR1232">
        <f>HYPERLINK("http://localhost:8787/api/admin/requirements/documents/cmm4yupf702jzcuqwdksoalck/view","Open PDF")</f>
        <v/>
      </c>
      <c r="AS1232" t="inlineStr">
        <is>
          <t>cmm55w57p0004cuisfrtpqly8</t>
        </is>
      </c>
      <c r="AT1232" t="inlineStr">
        <is>
          <t>cmm4xvu980000cuh4vj0usz09</t>
        </is>
      </c>
      <c r="AU1232" t="inlineStr">
        <is>
          <t>Samhällsbyggnadsnämnden i Söderköpings</t>
        </is>
      </c>
      <c r="AV1232" t="inlineStr">
        <is>
          <t>Kommun</t>
        </is>
      </c>
      <c r="AW1232" t="inlineStr">
        <is>
          <t>Samhällsbyggnadsnämnden i Söderköpings kommun</t>
        </is>
      </c>
      <c r="AX1232" t="inlineStr">
        <is>
          <t>2025-12</t>
        </is>
      </c>
      <c r="AY1232" t="inlineStr">
        <is>
          <t>Beslut</t>
        </is>
      </c>
      <c r="AZ1232" t="inlineStr">
        <is>
          <t>2026-02-03</t>
        </is>
      </c>
      <c r="BA1232" t="inlineStr">
        <is>
          <t>SBF-2024-1814_2025-12-10_Beslut Miljöfarlig verksamhet.pdf</t>
        </is>
      </c>
      <c r="BB1232" t="inlineStr">
        <is>
          <t>SV: till registrator</t>
        </is>
      </c>
      <c r="BC1232" t="inlineStr">
        <is>
          <t>AUTO</t>
        </is>
      </c>
      <c r="BD1232" t="inlineStr"/>
      <c r="BE1232" t="inlineStr"/>
      <c r="BF1232" t="inlineStr">
        <is>
          <t>AUTO_GENERERAD. Bekrafta metadata mot kallfil.</t>
        </is>
      </c>
      <c r="BG1232">
        <f>HYPERLINK("C:\Users\jimmy\Desktop\Examens arbete\Kod\Ny mapp\remix_-copy-of-miljöbeslut.se-portal\SBF-2024-1814_2025-12-10_Beslut Miljöfarlig verksamhet.pdf", "Öppna PDF")</f>
        <v/>
      </c>
    </row>
    <row r="1233">
      <c r="A1233" t="inlineStr">
        <is>
          <t>KRAV-AUTO-001232</t>
        </is>
      </c>
      <c r="B1233" t="inlineStr">
        <is>
          <t>ADMIN-INDEX-2026-02-27-00000000125C043F57453246863FE664CAFE6A3F0700950291EA24F0614FB6ACEDB12BF0E31D00000000010C0000950291EA24F0614FB6ACEDB12BF0E31D00002087AE8D0000</t>
        </is>
      </c>
      <c r="C1233" t="inlineStr">
        <is>
          <t>cmm4yuped02j2cuqwqeihzv48</t>
        </is>
      </c>
      <c r="D1233" t="inlineStr">
        <is>
          <t>http://localhost:8787/api/admin/requirements/documents/cmm4yuped02j2cuqwqeihzv48/view</t>
        </is>
      </c>
      <c r="E1233">
        <f>HYPERLÄNK("http://localhost:8787/api/admin/requirements/documents/cmm4yuped02j2cuqwqeihzv48/view";"Öppna PDF")</f>
        <v/>
      </c>
      <c r="F1233">
        <f>HYPERLINK("http://localhost:8787/api/admin/requirements/documents/cmm4yuped02j2cuqwqeihzv48/view","Open PDF")</f>
        <v/>
      </c>
      <c r="G1233" t="inlineStr">
        <is>
          <t>cmm55w57p0004cuisfrtpqly8</t>
        </is>
      </c>
      <c r="H1233" t="inlineStr">
        <is>
          <t>Informationskrav</t>
        </is>
      </c>
      <c r="I1233" t="inlineStr">
        <is>
          <t>MiljopaverkanForsiktighet</t>
        </is>
      </c>
      <c r="J1233" t="inlineStr">
        <is>
          <t>Skyddsatgarder</t>
        </is>
      </c>
      <c r="K1233" t="inlineStr">
        <is>
          <t>Dokument: SBF-2024-772_2024-04-11_Uppläggning av avfall_användning av avfall för anläggningsändamål - anmälan Braberg_Bortredigerad.pdf.</t>
        </is>
      </c>
      <c r="L1233" t="inlineStr">
        <is>
          <t>Dokument: SBF-2024-772_2024-04-11_Uppläggning av avfall_användning av avfall för anläggningsändamål - anmälan Braberg_Bortredigerad.pdf.</t>
        </is>
      </c>
      <c r="M1233" t="inlineStr">
        <is>
          <t>BOR</t>
        </is>
      </c>
      <c r="N1233" t="inlineStr"/>
      <c r="O1233" t="inlineStr"/>
      <c r="P1233" t="inlineStr"/>
      <c r="Q1233" t="inlineStr"/>
      <c r="R1233" t="inlineStr">
        <is>
          <t>Alltid</t>
        </is>
      </c>
      <c r="S1233" t="inlineStr"/>
      <c r="T1233" t="inlineStr"/>
      <c r="U1233" t="inlineStr"/>
      <c r="V1233" t="inlineStr"/>
      <c r="W1233" t="inlineStr">
        <is>
          <t>Nej</t>
        </is>
      </c>
      <c r="X1233" t="inlineStr">
        <is>
          <t>Nej</t>
        </is>
      </c>
      <c r="Y1233" t="inlineStr">
        <is>
          <t>Nej</t>
        </is>
      </c>
      <c r="Z1233" t="inlineStr">
        <is>
          <t>Nej</t>
        </is>
      </c>
      <c r="AA1233" t="n">
        <v>10</v>
      </c>
      <c r="AB1233" t="inlineStr">
        <is>
          <t>Miljopaverkan och forsiktighetsmatt</t>
        </is>
      </c>
      <c r="AC1233" t="inlineStr">
        <is>
          <t>Miljo-PM</t>
        </is>
      </c>
      <c r="AD1233" t="inlineStr">
        <is>
          <t>Nej</t>
        </is>
      </c>
      <c r="AE1233" t="inlineStr">
        <is>
          <t>Nej</t>
        </is>
      </c>
      <c r="AF1233" t="inlineStr">
        <is>
          <t>Ej behandlad</t>
        </is>
      </c>
      <c r="AG1233" t="inlineStr">
        <is>
          <t>AUTO_GENERERAD. Verifiera citat mot kallfil.</t>
        </is>
      </c>
      <c r="AH1233" t="inlineStr">
        <is>
          <t>LOW</t>
        </is>
      </c>
      <c r="AI1233" t="inlineStr">
        <is>
          <t>AUTO</t>
        </is>
      </c>
      <c r="AJ1233" t="inlineStr">
        <is>
          <t>Nej</t>
        </is>
      </c>
      <c r="AK1233" t="inlineStr"/>
      <c r="AL1233" t="inlineStr"/>
      <c r="AM1233" t="inlineStr"/>
      <c r="AN1233" t="inlineStr"/>
      <c r="AO1233" t="inlineStr">
        <is>
          <t>cmm4yupf702jzcuqwdksoalck</t>
        </is>
      </c>
      <c r="AP1233" t="inlineStr">
        <is>
          <t>http://localhost:8787/api/admin/requirements/documents/cmm4yupf702jzcuqwdksoalck/view</t>
        </is>
      </c>
      <c r="AQ1233">
        <f>HYPERLÄNK("http://localhost:8787/api/admin/requirements/documents/cmm4yupf702jzcuqwdksoalck/view";"Öppna PDF")</f>
        <v/>
      </c>
      <c r="AR1233">
        <f>HYPERLINK("http://localhost:8787/api/admin/requirements/documents/cmm4yupf702jzcuqwdksoalck/view","Open PDF")</f>
        <v/>
      </c>
      <c r="AS1233" t="inlineStr">
        <is>
          <t>cmm55w57p0004cuisfrtpqly8</t>
        </is>
      </c>
      <c r="AT1233" t="inlineStr">
        <is>
          <t>cmm4xvu980000cuh4vj0usz09</t>
        </is>
      </c>
      <c r="AU1233" t="inlineStr">
        <is>
          <t>Samhällsbyggnadsnämnden i Söderköpings</t>
        </is>
      </c>
      <c r="AV1233" t="inlineStr">
        <is>
          <t>Kommun</t>
        </is>
      </c>
      <c r="AW1233" t="inlineStr">
        <is>
          <t>Samhällsbyggnadsnämnden i Söderköpings kommun</t>
        </is>
      </c>
      <c r="AX1233" t="inlineStr">
        <is>
          <t>2025-12</t>
        </is>
      </c>
      <c r="AY1233" t="inlineStr">
        <is>
          <t>Beslut</t>
        </is>
      </c>
      <c r="AZ1233" t="inlineStr">
        <is>
          <t>2026-02-03</t>
        </is>
      </c>
      <c r="BA1233" t="inlineStr">
        <is>
          <t>SBF-2024-1814_2025-12-10_Beslut Miljöfarlig verksamhet.pdf</t>
        </is>
      </c>
      <c r="BB1233" t="inlineStr">
        <is>
          <t>SV: till registrator</t>
        </is>
      </c>
      <c r="BC1233" t="inlineStr">
        <is>
          <t>AUTO</t>
        </is>
      </c>
      <c r="BD1233" t="inlineStr"/>
      <c r="BE1233" t="inlineStr"/>
      <c r="BF1233" t="inlineStr">
        <is>
          <t>AUTO_GENERERAD. Bekrafta metadata mot kallfil.</t>
        </is>
      </c>
      <c r="BG1233">
        <f>HYPERLINK("C:\Users\jimmy\Desktop\Examens arbete\Kod\Ny mapp\remix_-copy-of-miljöbeslut.se-portal\SBF-2024-1814_2025-12-10_Beslut Miljöfarlig verksamhet.pdf", "Öppna PDF")</f>
        <v/>
      </c>
    </row>
    <row r="1234">
      <c r="A1234" t="inlineStr">
        <is>
          <t>KRAV-AUTO-001233</t>
        </is>
      </c>
      <c r="B1234" t="inlineStr">
        <is>
          <t>ADMIN-INDEX-2026-02-27-00000000125C043F57453246863FE664CAFE6A3F0700950291EA24F0614FB6ACEDB12BF0E31D00000000010C0000950291EA24F0614FB6ACEDB12BF0E31D00002087AE8E0000</t>
        </is>
      </c>
      <c r="C1234" t="inlineStr">
        <is>
          <t>cmm4yupea02izcuqwdrmdlxqb</t>
        </is>
      </c>
      <c r="D1234" t="inlineStr">
        <is>
          <t>http://localhost:8787/api/admin/requirements/documents/cmm4yupea02izcuqwdrmdlxqb/view</t>
        </is>
      </c>
      <c r="E1234">
        <f>HYPERLÄNK("http://localhost:8787/api/admin/requirements/documents/cmm4yupea02izcuqwdrmdlxqb/view";"Öppna PDF")</f>
        <v/>
      </c>
      <c r="F1234">
        <f>HYPERLINK("http://localhost:8787/api/admin/requirements/documents/cmm4yupea02izcuqwdrmdlxqb/view","Open PDF")</f>
        <v/>
      </c>
      <c r="G1234" t="inlineStr">
        <is>
          <t>cmm55w57p0004cuisfrtpqly8</t>
        </is>
      </c>
      <c r="H1234" t="inlineStr">
        <is>
          <t>Beslutsvillkor</t>
        </is>
      </c>
      <c r="I1234" t="inlineStr">
        <is>
          <t>DagvattenLakvatten</t>
        </is>
      </c>
      <c r="J1234" t="inlineStr">
        <is>
          <t>Uppsamling</t>
        </is>
      </c>
      <c r="K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34" t="inlineStr">
        <is>
          <t>SKA</t>
        </is>
      </c>
      <c r="N1234" t="inlineStr">
        <is>
          <t>FMH</t>
        </is>
      </c>
      <c r="O1234" t="inlineStr"/>
      <c r="P1234" t="inlineStr"/>
      <c r="Q1234" t="inlineStr"/>
      <c r="R1234" t="inlineStr">
        <is>
          <t>Vid nederbord och avrinning</t>
        </is>
      </c>
      <c r="S1234" t="inlineStr"/>
      <c r="T1234" t="inlineStr">
        <is>
          <t>212000</t>
        </is>
      </c>
      <c r="U1234" t="inlineStr"/>
      <c r="V1234" t="inlineStr"/>
      <c r="W1234" t="inlineStr">
        <is>
          <t>Nej</t>
        </is>
      </c>
      <c r="X1234" t="inlineStr">
        <is>
          <t>Ja</t>
        </is>
      </c>
      <c r="Y1234" t="inlineStr">
        <is>
          <t>Ja</t>
        </is>
      </c>
      <c r="Z1234" t="inlineStr">
        <is>
          <t>Nej</t>
        </is>
      </c>
      <c r="AA1234" t="n">
        <v>6</v>
      </c>
      <c r="AB1234" t="inlineStr">
        <is>
          <t>Lakvattenhantering</t>
        </is>
      </c>
      <c r="AC1234" t="inlineStr">
        <is>
          <t>Flodesschema dagvatten-lakvatten</t>
        </is>
      </c>
      <c r="AD1234" t="inlineStr">
        <is>
          <t>Nej</t>
        </is>
      </c>
      <c r="AE1234" t="inlineStr">
        <is>
          <t>Nej</t>
        </is>
      </c>
      <c r="AF1234" t="inlineStr">
        <is>
          <t>Ej behandlad</t>
        </is>
      </c>
      <c r="AG1234" t="inlineStr">
        <is>
          <t>AUTO_GENERERAD. Verifiera citat mot kallfil.</t>
        </is>
      </c>
      <c r="AH1234" t="inlineStr">
        <is>
          <t>HIGH</t>
        </is>
      </c>
      <c r="AI1234" t="inlineStr">
        <is>
          <t>AUTO</t>
        </is>
      </c>
      <c r="AJ1234" t="inlineStr">
        <is>
          <t>Nej</t>
        </is>
      </c>
      <c r="AK1234" t="inlineStr"/>
      <c r="AL1234" t="inlineStr"/>
      <c r="AM1234" t="inlineStr"/>
      <c r="AN1234" t="inlineStr"/>
      <c r="AO1234" t="inlineStr">
        <is>
          <t>cmm4yupea02izcuqwdrmdlxqb</t>
        </is>
      </c>
      <c r="AP1234" t="inlineStr">
        <is>
          <t>http://localhost:8787/api/admin/requirements/documents/cmm4yupea02izcuqwdrmdlxqb/view</t>
        </is>
      </c>
      <c r="AQ1234">
        <f>HYPERLÄNK("http://localhost:8787/api/admin/requirements/documents/cmm4yupea02izcuqwdrmdlxqb/view";"Öppna PDF")</f>
        <v/>
      </c>
      <c r="AR1234">
        <f>HYPERLINK("http://localhost:8787/api/admin/requirements/documents/cmm4yupea02izcuqwdrmdlxqb/view","Open PDF")</f>
        <v/>
      </c>
      <c r="AS1234" t="inlineStr">
        <is>
          <t>cmm55w57p0004cuisfrtpqly8</t>
        </is>
      </c>
      <c r="AT1234" t="inlineStr">
        <is>
          <t>cmm4xvu980000cuh4vj0usz09</t>
        </is>
      </c>
      <c r="AU1234" t="inlineStr">
        <is>
          <t>Samhällsbyggnadsnämnden i Söderköpings</t>
        </is>
      </c>
      <c r="AV1234" t="inlineStr">
        <is>
          <t>Kommun</t>
        </is>
      </c>
      <c r="AW1234" t="inlineStr">
        <is>
          <t>Samhällsbyggnadsnämnden i Söderköpings kommun</t>
        </is>
      </c>
      <c r="AX1234" t="inlineStr">
        <is>
          <t>2025-12</t>
        </is>
      </c>
      <c r="AY1234" t="inlineStr">
        <is>
          <t>Beslut</t>
        </is>
      </c>
      <c r="AZ1234" t="inlineStr">
        <is>
          <t>2026-02-03</t>
        </is>
      </c>
      <c r="BA1234" t="inlineStr">
        <is>
          <t>SBF-2024-1814_2025-12-10_Beslut Miljöfarlig verksamhet.pdf</t>
        </is>
      </c>
      <c r="BB1234" t="inlineStr">
        <is>
          <t>SV: till registrator</t>
        </is>
      </c>
      <c r="BC1234" t="inlineStr">
        <is>
          <t>AUTO</t>
        </is>
      </c>
      <c r="BD1234" t="inlineStr"/>
      <c r="BE1234" t="inlineStr"/>
      <c r="BF1234" t="inlineStr">
        <is>
          <t>AUTO_GENERERAD. Bekrafta metadata mot kallfil.</t>
        </is>
      </c>
      <c r="BG1234">
        <f>HYPERLINK("C:\Users\jimmy\Desktop\Examens arbete\Kod\Ny mapp\remix_-copy-of-miljöbeslut.se-portal\SBF-2024-1814_2025-12-10_Beslut Miljöfarlig verksamhet.pdf", "Öppna PDF")</f>
        <v/>
      </c>
    </row>
    <row r="1235">
      <c r="A1235" t="inlineStr">
        <is>
          <t>KRAV-AUTO-001234</t>
        </is>
      </c>
      <c r="B1235" t="inlineStr">
        <is>
          <t>ADMIN-INDEX-2026-02-27-00000000125C043F57453246863FE664CAFE6A3F0700950291EA24F0614FB6ACEDB12BF0E31D00000000010C0000950291EA24F0614FB6ACEDB12BF0E31D00002087AE8E0000</t>
        </is>
      </c>
      <c r="C1235" t="inlineStr">
        <is>
          <t>cmm4yupea02izcuqwdrmdlxqb</t>
        </is>
      </c>
      <c r="D1235" t="inlineStr">
        <is>
          <t>http://localhost:8787/api/admin/requirements/documents/cmm4yupea02izcuqwdrmdlxqb/view</t>
        </is>
      </c>
      <c r="E1235">
        <f>HYPERLÄNK("http://localhost:8787/api/admin/requirements/documents/cmm4yupea02izcuqwdrmdlxqb/view";"Öppna PDF")</f>
        <v/>
      </c>
      <c r="F1235">
        <f>HYPERLINK("http://localhost:8787/api/admin/requirements/documents/cmm4yupea02izcuqwdrmdlxqb/view","Open PDF")</f>
        <v/>
      </c>
      <c r="G1235" t="inlineStr">
        <is>
          <t>cmm55w57p0004cuisfrtpqly8</t>
        </is>
      </c>
      <c r="H1235" t="inlineStr">
        <is>
          <t>Beslutsvillkor</t>
        </is>
      </c>
      <c r="I1235" t="inlineStr">
        <is>
          <t>DagvattenLakvatten</t>
        </is>
      </c>
      <c r="J1235" t="inlineStr">
        <is>
          <t>Uppsamling</t>
        </is>
      </c>
      <c r="K1235" t="inlineStr">
        <is>
          <t>På Hjälmsborg placeras materialet bestående av sand, humusämnen och vatten i en grävd grop där sanden sedimenterar och en mindre mängd vattnet förs genom dike till befintlig lakvattendamm på Hjälmsborg.</t>
        </is>
      </c>
      <c r="L1235" t="inlineStr">
        <is>
          <t>På Hjälmsborg placeras materialet bestående av sand, humusämnen och vatten i en grävd grop där sanden sedimenterar och en mindre mängd vattnet förs genom dike till befintlig lakvattendamm på Hjälmsborg.</t>
        </is>
      </c>
      <c r="M1235" t="inlineStr">
        <is>
          <t>BOR</t>
        </is>
      </c>
      <c r="N1235" t="inlineStr">
        <is>
          <t>FMH</t>
        </is>
      </c>
      <c r="O1235" t="inlineStr"/>
      <c r="P1235" t="inlineStr"/>
      <c r="Q1235" t="inlineStr"/>
      <c r="R1235" t="inlineStr">
        <is>
          <t>Vid nederbord och avrinning</t>
        </is>
      </c>
      <c r="S1235" t="inlineStr"/>
      <c r="T1235" t="inlineStr">
        <is>
          <t>212000</t>
        </is>
      </c>
      <c r="U1235" t="inlineStr"/>
      <c r="V1235" t="inlineStr"/>
      <c r="W1235" t="inlineStr">
        <is>
          <t>Nej</t>
        </is>
      </c>
      <c r="X1235" t="inlineStr">
        <is>
          <t>Ja</t>
        </is>
      </c>
      <c r="Y1235" t="inlineStr">
        <is>
          <t>Ja</t>
        </is>
      </c>
      <c r="Z1235" t="inlineStr">
        <is>
          <t>Nej</t>
        </is>
      </c>
      <c r="AA1235" t="n">
        <v>6</v>
      </c>
      <c r="AB1235" t="inlineStr">
        <is>
          <t>Lakvattenhantering</t>
        </is>
      </c>
      <c r="AC1235" t="inlineStr">
        <is>
          <t>Flodesschema dagvatten-lakvatten</t>
        </is>
      </c>
      <c r="AD1235" t="inlineStr">
        <is>
          <t>Nej</t>
        </is>
      </c>
      <c r="AE1235" t="inlineStr">
        <is>
          <t>Nej</t>
        </is>
      </c>
      <c r="AF1235" t="inlineStr">
        <is>
          <t>Ej behandlad</t>
        </is>
      </c>
      <c r="AG1235" t="inlineStr">
        <is>
          <t>AUTO_GENERERAD. Verifiera citat mot kallfil.</t>
        </is>
      </c>
      <c r="AH1235" t="inlineStr">
        <is>
          <t>HIGH</t>
        </is>
      </c>
      <c r="AI1235" t="inlineStr">
        <is>
          <t>AUTO</t>
        </is>
      </c>
      <c r="AJ1235" t="inlineStr">
        <is>
          <t>Nej</t>
        </is>
      </c>
      <c r="AK1235" t="inlineStr"/>
      <c r="AL1235" t="inlineStr"/>
      <c r="AM1235" t="inlineStr"/>
      <c r="AN1235" t="inlineStr"/>
      <c r="AO1235" t="inlineStr">
        <is>
          <t>cmm4yupea02izcuqwdrmdlxqb</t>
        </is>
      </c>
      <c r="AP1235" t="inlineStr">
        <is>
          <t>http://localhost:8787/api/admin/requirements/documents/cmm4yupea02izcuqwdrmdlxqb/view</t>
        </is>
      </c>
      <c r="AQ1235">
        <f>HYPERLÄNK("http://localhost:8787/api/admin/requirements/documents/cmm4yupea02izcuqwdrmdlxqb/view";"Öppna PDF")</f>
        <v/>
      </c>
      <c r="AR1235">
        <f>HYPERLINK("http://localhost:8787/api/admin/requirements/documents/cmm4yupea02izcuqwdrmdlxqb/view","Open PDF")</f>
        <v/>
      </c>
      <c r="AS1235" t="inlineStr">
        <is>
          <t>cmm55w57p0004cuisfrtpqly8</t>
        </is>
      </c>
      <c r="AT1235" t="inlineStr">
        <is>
          <t>cmm4xvu980000cuh4vj0usz09</t>
        </is>
      </c>
      <c r="AU1235" t="inlineStr">
        <is>
          <t>Samhällsbyggnadsnämnden i Söderköpings</t>
        </is>
      </c>
      <c r="AV1235" t="inlineStr">
        <is>
          <t>Kommun</t>
        </is>
      </c>
      <c r="AW1235" t="inlineStr">
        <is>
          <t>Samhällsbyggnadsnämnden i Söderköpings kommun</t>
        </is>
      </c>
      <c r="AX1235" t="inlineStr">
        <is>
          <t>2025-12</t>
        </is>
      </c>
      <c r="AY1235" t="inlineStr">
        <is>
          <t>Beslut</t>
        </is>
      </c>
      <c r="AZ1235" t="inlineStr">
        <is>
          <t>2026-02-03</t>
        </is>
      </c>
      <c r="BA1235" t="inlineStr">
        <is>
          <t>SBF-2024-1814_2025-12-10_Beslut Miljöfarlig verksamhet.pdf</t>
        </is>
      </c>
      <c r="BB1235" t="inlineStr">
        <is>
          <t>SV: till registrator</t>
        </is>
      </c>
      <c r="BC1235" t="inlineStr">
        <is>
          <t>AUTO</t>
        </is>
      </c>
      <c r="BD1235" t="inlineStr"/>
      <c r="BE1235" t="inlineStr"/>
      <c r="BF1235" t="inlineStr">
        <is>
          <t>AUTO_GENERERAD. Bekrafta metadata mot kallfil.</t>
        </is>
      </c>
      <c r="BG1235">
        <f>HYPERLINK("C:\Users\jimmy\Desktop\Examens arbete\Kod\Ny mapp\remix_-copy-of-miljöbeslut.se-portal\SBF-2024-1814_2025-12-10_Beslut Miljöfarlig verksamhet.pdf", "Öppna PDF")</f>
        <v/>
      </c>
    </row>
    <row r="1236">
      <c r="A1236" t="inlineStr">
        <is>
          <t>KRAV-AUTO-001235</t>
        </is>
      </c>
      <c r="B1236" t="inlineStr">
        <is>
          <t>ADMIN-INDEX-2026-02-27-00000000125C043F57453246863FE664CAFE6A3F0700950291EA24F0614FB6ACEDB12BF0E31D00000000010C0000950291EA24F0614FB6ACEDB12BF0E31D00002087AE8E0000</t>
        </is>
      </c>
      <c r="C1236" t="inlineStr">
        <is>
          <t>cmm4yupea02izcuqwdrmdlxqb</t>
        </is>
      </c>
      <c r="D1236" t="inlineStr">
        <is>
          <t>http://localhost:8787/api/admin/requirements/documents/cmm4yupea02izcuqwdrmdlxqb/view</t>
        </is>
      </c>
      <c r="E1236">
        <f>HYPERLÄNK("http://localhost:8787/api/admin/requirements/documents/cmm4yupea02izcuqwdrmdlxqb/view";"Öppna PDF")</f>
        <v/>
      </c>
      <c r="F1236">
        <f>HYPERLINK("http://localhost:8787/api/admin/requirements/documents/cmm4yupea02izcuqwdrmdlxqb/view","Open PDF")</f>
        <v/>
      </c>
      <c r="G1236" t="inlineStr">
        <is>
          <t>cmm55w57p0004cuisfrtpqly8</t>
        </is>
      </c>
      <c r="H1236" t="inlineStr">
        <is>
          <t>Beslutsvillkor</t>
        </is>
      </c>
      <c r="I1236" t="inlineStr">
        <is>
          <t>Ytkonstruktion</t>
        </is>
      </c>
      <c r="J1236" t="inlineStr">
        <is>
          <t>Tat yta</t>
        </is>
      </c>
      <c r="K1236" t="inlineStr">
        <is>
          <t>I yttrandet lyfter de att sedimentet ska klassas som avfall och rimligen ha avfallskod som börjar med 19 09.</t>
        </is>
      </c>
      <c r="L1236" t="inlineStr">
        <is>
          <t>I yttrandet lyfter de att sedimentet ska klassas som avfall och rimligen ha avfallskod som börjar med 19 09.</t>
        </is>
      </c>
      <c r="M1236" t="inlineStr">
        <is>
          <t>SKA</t>
        </is>
      </c>
      <c r="N1236" t="inlineStr">
        <is>
          <t>FMH</t>
        </is>
      </c>
      <c r="O1236" t="inlineStr"/>
      <c r="P1236" t="inlineStr"/>
      <c r="Q1236" t="inlineStr"/>
      <c r="R1236" t="inlineStr">
        <is>
          <t>Vid mellanlagring av avfall</t>
        </is>
      </c>
      <c r="S1236" t="inlineStr"/>
      <c r="T1236" t="inlineStr">
        <is>
          <t>212000</t>
        </is>
      </c>
      <c r="U1236" t="inlineStr"/>
      <c r="V1236" t="inlineStr"/>
      <c r="W1236" t="inlineStr">
        <is>
          <t>Ja</t>
        </is>
      </c>
      <c r="X1236" t="inlineStr">
        <is>
          <t>Nej</t>
        </is>
      </c>
      <c r="Y1236" t="inlineStr">
        <is>
          <t>Nej</t>
        </is>
      </c>
      <c r="Z1236" t="inlineStr">
        <is>
          <t>Nej</t>
        </is>
      </c>
      <c r="AA1236" t="n">
        <v>5</v>
      </c>
      <c r="AB1236" t="inlineStr">
        <is>
          <t>Teknisk beskrivning av platta</t>
        </is>
      </c>
      <c r="AC1236" t="inlineStr">
        <is>
          <t>Teknisk ritning platta</t>
        </is>
      </c>
      <c r="AD1236" t="inlineStr">
        <is>
          <t>Nej</t>
        </is>
      </c>
      <c r="AE1236" t="inlineStr">
        <is>
          <t>Nej</t>
        </is>
      </c>
      <c r="AF1236" t="inlineStr">
        <is>
          <t>Ej behandlad</t>
        </is>
      </c>
      <c r="AG1236" t="inlineStr">
        <is>
          <t>AUTO_GENERERAD. Verifiera citat mot kallfil.</t>
        </is>
      </c>
      <c r="AH1236" t="inlineStr">
        <is>
          <t>HIGH</t>
        </is>
      </c>
      <c r="AI1236" t="inlineStr">
        <is>
          <t>AUTO</t>
        </is>
      </c>
      <c r="AJ1236" t="inlineStr">
        <is>
          <t>Nej</t>
        </is>
      </c>
      <c r="AK1236" t="inlineStr"/>
      <c r="AL1236" t="inlineStr"/>
      <c r="AM1236" t="inlineStr"/>
      <c r="AN1236" t="inlineStr"/>
      <c r="AO1236" t="inlineStr">
        <is>
          <t>cmm4yupea02izcuqwdrmdlxqb</t>
        </is>
      </c>
      <c r="AP1236" t="inlineStr">
        <is>
          <t>http://localhost:8787/api/admin/requirements/documents/cmm4yupea02izcuqwdrmdlxqb/view</t>
        </is>
      </c>
      <c r="AQ1236">
        <f>HYPERLÄNK("http://localhost:8787/api/admin/requirements/documents/cmm4yupea02izcuqwdrmdlxqb/view";"Öppna PDF")</f>
        <v/>
      </c>
      <c r="AR1236">
        <f>HYPERLINK("http://localhost:8787/api/admin/requirements/documents/cmm4yupea02izcuqwdrmdlxqb/view","Open PDF")</f>
        <v/>
      </c>
      <c r="AS1236" t="inlineStr">
        <is>
          <t>cmm55w57p0004cuisfrtpqly8</t>
        </is>
      </c>
      <c r="AT1236" t="inlineStr">
        <is>
          <t>cmm4xvu980000cuh4vj0usz09</t>
        </is>
      </c>
      <c r="AU1236" t="inlineStr">
        <is>
          <t>Samhällsbyggnadsnämnden i Söderköpings</t>
        </is>
      </c>
      <c r="AV1236" t="inlineStr">
        <is>
          <t>Kommun</t>
        </is>
      </c>
      <c r="AW1236" t="inlineStr">
        <is>
          <t>Samhällsbyggnadsnämnden i Söderköpings kommun</t>
        </is>
      </c>
      <c r="AX1236" t="inlineStr">
        <is>
          <t>2025-12</t>
        </is>
      </c>
      <c r="AY1236" t="inlineStr">
        <is>
          <t>Beslut</t>
        </is>
      </c>
      <c r="AZ1236" t="inlineStr">
        <is>
          <t>2026-02-03</t>
        </is>
      </c>
      <c r="BA1236" t="inlineStr">
        <is>
          <t>SBF-2024-1814_2025-12-10_Beslut Miljöfarlig verksamhet.pdf</t>
        </is>
      </c>
      <c r="BB1236" t="inlineStr">
        <is>
          <t>SV: till registrator</t>
        </is>
      </c>
      <c r="BC1236" t="inlineStr">
        <is>
          <t>AUTO</t>
        </is>
      </c>
      <c r="BD1236" t="inlineStr"/>
      <c r="BE1236" t="inlineStr"/>
      <c r="BF1236" t="inlineStr">
        <is>
          <t>AUTO_GENERERAD. Bekrafta metadata mot kallfil.</t>
        </is>
      </c>
      <c r="BG1236">
        <f>HYPERLINK("C:\Users\jimmy\Desktop\Examens arbete\Kod\Ny mapp\remix_-copy-of-miljöbeslut.se-portal\SBF-2024-1814_2025-12-10_Beslut Miljöfarlig verksamhet.pdf", "Öppna PDF")</f>
        <v/>
      </c>
    </row>
    <row r="1237">
      <c r="A1237" t="inlineStr">
        <is>
          <t>KRAV-AUTO-001236</t>
        </is>
      </c>
      <c r="B1237" t="inlineStr">
        <is>
          <t>ADMIN-INDEX-2026-02-27-00000000125C043F57453246863FE664CAFE6A3F0700950291EA24F0614FB6ACEDB12BF0E31D00000000010C0000950291EA24F0614FB6ACEDB12BF0E31D00002087AE8E0000</t>
        </is>
      </c>
      <c r="C1237" t="inlineStr">
        <is>
          <t>cmm4yupe702iwcuqwdrx3d959</t>
        </is>
      </c>
      <c r="D1237" t="inlineStr">
        <is>
          <t>http://localhost:8787/api/admin/requirements/documents/cmm4yupe702iwcuqwdrx3d959/view</t>
        </is>
      </c>
      <c r="E1237">
        <f>HYPERLÄNK("http://localhost:8787/api/admin/requirements/documents/cmm4yupe702iwcuqwdrx3d959/view";"Öppna PDF")</f>
        <v/>
      </c>
      <c r="F1237">
        <f>HYPERLINK("http://localhost:8787/api/admin/requirements/documents/cmm4yupe702iwcuqwdrx3d959/view","Open PDF")</f>
        <v/>
      </c>
      <c r="G1237" t="inlineStr">
        <is>
          <t>cmm55w57p0004cuisfrtpqly8</t>
        </is>
      </c>
      <c r="H1237" t="inlineStr">
        <is>
          <t>Beslutsvillkor</t>
        </is>
      </c>
      <c r="I1237" t="inlineStr">
        <is>
          <t>DriftEgenkontroll</t>
        </is>
      </c>
      <c r="J1237" t="inlineStr">
        <is>
          <t>Journalforing</t>
        </is>
      </c>
      <c r="K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37" t="inlineStr">
        <is>
          <t>BOR</t>
        </is>
      </c>
      <c r="N1237" t="inlineStr"/>
      <c r="O1237" t="inlineStr">
        <is>
          <t>2025-06-16</t>
        </is>
      </c>
      <c r="P1237" t="inlineStr"/>
      <c r="Q1237" t="inlineStr">
        <is>
          <t>Vite</t>
        </is>
      </c>
      <c r="R1237" t="inlineStr">
        <is>
          <t>Lopande drift</t>
        </is>
      </c>
      <c r="S1237" t="inlineStr"/>
      <c r="T1237" t="inlineStr">
        <is>
          <t>25 49 00</t>
        </is>
      </c>
      <c r="U1237" t="inlineStr"/>
      <c r="V1237" t="inlineStr"/>
      <c r="W1237" t="inlineStr">
        <is>
          <t>Nej</t>
        </is>
      </c>
      <c r="X1237" t="inlineStr">
        <is>
          <t>Nej</t>
        </is>
      </c>
      <c r="Y1237" t="inlineStr">
        <is>
          <t>Ja</t>
        </is>
      </c>
      <c r="Z1237" t="inlineStr">
        <is>
          <t>Nej</t>
        </is>
      </c>
      <c r="AA1237" t="n">
        <v>7</v>
      </c>
      <c r="AB1237" t="inlineStr">
        <is>
          <t>Egenkontrollrutiner</t>
        </is>
      </c>
      <c r="AC1237" t="inlineStr">
        <is>
          <t>Egenkontrollprogram</t>
        </is>
      </c>
      <c r="AD1237" t="inlineStr">
        <is>
          <t>Nej</t>
        </is>
      </c>
      <c r="AE1237" t="inlineStr">
        <is>
          <t>Nej</t>
        </is>
      </c>
      <c r="AF1237" t="inlineStr">
        <is>
          <t>Ej behandlad</t>
        </is>
      </c>
      <c r="AG1237" t="inlineStr">
        <is>
          <t>AUTO_GENERERAD. Verifiera citat mot kallfil.</t>
        </is>
      </c>
      <c r="AH1237" t="inlineStr">
        <is>
          <t>MEDIUM</t>
        </is>
      </c>
      <c r="AI1237" t="inlineStr">
        <is>
          <t>AUTO</t>
        </is>
      </c>
      <c r="AJ1237" t="inlineStr">
        <is>
          <t>Nej</t>
        </is>
      </c>
      <c r="AK1237" t="inlineStr"/>
      <c r="AL1237" t="inlineStr"/>
      <c r="AM1237" t="inlineStr"/>
      <c r="AN1237" t="inlineStr"/>
      <c r="AO1237" t="inlineStr">
        <is>
          <t>cmm4yupea02izcuqwdrmdlxqb</t>
        </is>
      </c>
      <c r="AP1237" t="inlineStr">
        <is>
          <t>http://localhost:8787/api/admin/requirements/documents/cmm4yupea02izcuqwdrmdlxqb/view</t>
        </is>
      </c>
      <c r="AQ1237">
        <f>HYPERLÄNK("http://localhost:8787/api/admin/requirements/documents/cmm4yupea02izcuqwdrmdlxqb/view";"Öppna PDF")</f>
        <v/>
      </c>
      <c r="AR1237">
        <f>HYPERLINK("http://localhost:8787/api/admin/requirements/documents/cmm4yupea02izcuqwdrmdlxqb/view","Open PDF")</f>
        <v/>
      </c>
      <c r="AS1237" t="inlineStr">
        <is>
          <t>cmm55w57p0004cuisfrtpqly8</t>
        </is>
      </c>
      <c r="AT1237" t="inlineStr">
        <is>
          <t>cmm4xvu980000cuh4vj0usz09</t>
        </is>
      </c>
      <c r="AU1237" t="inlineStr">
        <is>
          <t>Samhällsbyggnadsnämnden i Söderköpings</t>
        </is>
      </c>
      <c r="AV1237" t="inlineStr">
        <is>
          <t>Kommun</t>
        </is>
      </c>
      <c r="AW1237" t="inlineStr">
        <is>
          <t>Samhällsbyggnadsnämnden i Söderköpings kommun</t>
        </is>
      </c>
      <c r="AX1237" t="inlineStr">
        <is>
          <t>2025-12</t>
        </is>
      </c>
      <c r="AY1237" t="inlineStr">
        <is>
          <t>Beslut</t>
        </is>
      </c>
      <c r="AZ1237" t="inlineStr">
        <is>
          <t>2026-02-03</t>
        </is>
      </c>
      <c r="BA1237" t="inlineStr">
        <is>
          <t>SBF-2024-1814_2025-12-10_Beslut Miljöfarlig verksamhet.pdf</t>
        </is>
      </c>
      <c r="BB1237" t="inlineStr">
        <is>
          <t>SV: till registrator</t>
        </is>
      </c>
      <c r="BC1237" t="inlineStr">
        <is>
          <t>AUTO</t>
        </is>
      </c>
      <c r="BD1237" t="inlineStr"/>
      <c r="BE1237" t="inlineStr"/>
      <c r="BF1237" t="inlineStr">
        <is>
          <t>AUTO_GENERERAD. Bekrafta metadata mot kallfil.</t>
        </is>
      </c>
      <c r="BG1237">
        <f>HYPERLINK("C:\Users\jimmy\Desktop\Examens arbete\Kod\Ny mapp\remix_-copy-of-miljöbeslut.se-portal\SBF-2024-1814_2025-12-10_Beslut Miljöfarlig verksamhet.pdf", "Öppna PDF")</f>
        <v/>
      </c>
    </row>
    <row r="1238">
      <c r="A1238" t="inlineStr">
        <is>
          <t>KRAV-AUTO-001237</t>
        </is>
      </c>
      <c r="B1238" t="inlineStr">
        <is>
          <t>ADMIN-INDEX-2026-02-27-00000000125C043F57453246863FE664CAFE6A3F0700950291EA24F0614FB6ACEDB12BF0E31D00000000010C0000950291EA24F0614FB6ACEDB12BF0E31D00002087AE8E0000</t>
        </is>
      </c>
      <c r="C1238" t="inlineStr">
        <is>
          <t>cmm4yupe402itcuqwq5rz911s</t>
        </is>
      </c>
      <c r="D1238" t="inlineStr">
        <is>
          <t>http://localhost:8787/api/admin/requirements/documents/cmm4yupe402itcuqwq5rz911s/view</t>
        </is>
      </c>
      <c r="E1238">
        <f>HYPERLÄNK("http://localhost:8787/api/admin/requirements/documents/cmm4yupe402itcuqwq5rz911s/view";"Öppna PDF")</f>
        <v/>
      </c>
      <c r="F1238">
        <f>HYPERLINK("http://localhost:8787/api/admin/requirements/documents/cmm4yupe402itcuqwq5rz911s/view","Open PDF")</f>
        <v/>
      </c>
      <c r="G1238" t="inlineStr">
        <is>
          <t>cmm55w57p0004cuisfrtpqly8</t>
        </is>
      </c>
      <c r="H1238" t="inlineStr">
        <is>
          <t>Beslutsvillkor</t>
        </is>
      </c>
      <c r="I1238" t="inlineStr">
        <is>
          <t>DagvattenLakvatten</t>
        </is>
      </c>
      <c r="J1238" t="inlineStr">
        <is>
          <t>Uppsamling</t>
        </is>
      </c>
      <c r="K1238" t="inlineStr">
        <is>
          <t>Länsstyrelsen konstaterar att det är olämpligt att lakvatten från andra verksamheter släpps till lakvattendammen som ska hantera lakvatten från Hjälmsborgs avfallsupplag.</t>
        </is>
      </c>
      <c r="L1238" t="inlineStr">
        <is>
          <t>Länsstyrelsen konstaterar att det är olämpligt att lakvatten från andra verksamheter släpps till lakvattendammen som ska hantera lakvatten från Hjälmsborgs avfallsupplag.</t>
        </is>
      </c>
      <c r="M1238" t="inlineStr">
        <is>
          <t>SKA</t>
        </is>
      </c>
      <c r="N1238" t="inlineStr"/>
      <c r="O1238" t="inlineStr"/>
      <c r="P1238" t="inlineStr"/>
      <c r="Q1238" t="inlineStr"/>
      <c r="R1238" t="inlineStr">
        <is>
          <t>Vid nederbord och avrinning</t>
        </is>
      </c>
      <c r="S1238" t="inlineStr"/>
      <c r="T1238" t="inlineStr">
        <is>
          <t>540341</t>
        </is>
      </c>
      <c r="U1238" t="inlineStr"/>
      <c r="V1238" t="inlineStr"/>
      <c r="W1238" t="inlineStr">
        <is>
          <t>Nej</t>
        </is>
      </c>
      <c r="X1238" t="inlineStr">
        <is>
          <t>Ja</t>
        </is>
      </c>
      <c r="Y1238" t="inlineStr">
        <is>
          <t>Ja</t>
        </is>
      </c>
      <c r="Z1238" t="inlineStr">
        <is>
          <t>Nej</t>
        </is>
      </c>
      <c r="AA1238" t="n">
        <v>6</v>
      </c>
      <c r="AB1238" t="inlineStr">
        <is>
          <t>Lakvattenhantering</t>
        </is>
      </c>
      <c r="AC1238" t="inlineStr">
        <is>
          <t>Flodesschema dagvatten-lakvatten</t>
        </is>
      </c>
      <c r="AD1238" t="inlineStr">
        <is>
          <t>Nej</t>
        </is>
      </c>
      <c r="AE1238" t="inlineStr">
        <is>
          <t>Nej</t>
        </is>
      </c>
      <c r="AF1238" t="inlineStr">
        <is>
          <t>Ej behandlad</t>
        </is>
      </c>
      <c r="AG1238" t="inlineStr">
        <is>
          <t>AUTO_GENERERAD. Verifiera citat mot kallfil.</t>
        </is>
      </c>
      <c r="AH1238" t="inlineStr">
        <is>
          <t>MEDIUM</t>
        </is>
      </c>
      <c r="AI1238" t="inlineStr">
        <is>
          <t>AUTO</t>
        </is>
      </c>
      <c r="AJ1238" t="inlineStr">
        <is>
          <t>Nej</t>
        </is>
      </c>
      <c r="AK1238" t="inlineStr"/>
      <c r="AL1238" t="inlineStr"/>
      <c r="AM1238" t="inlineStr"/>
      <c r="AN1238" t="inlineStr"/>
      <c r="AO1238" t="inlineStr">
        <is>
          <t>cmm4yupea02izcuqwdrmdlxqb</t>
        </is>
      </c>
      <c r="AP1238" t="inlineStr">
        <is>
          <t>http://localhost:8787/api/admin/requirements/documents/cmm4yupea02izcuqwdrmdlxqb/view</t>
        </is>
      </c>
      <c r="AQ1238">
        <f>HYPERLÄNK("http://localhost:8787/api/admin/requirements/documents/cmm4yupea02izcuqwdrmdlxqb/view";"Öppna PDF")</f>
        <v/>
      </c>
      <c r="AR1238">
        <f>HYPERLINK("http://localhost:8787/api/admin/requirements/documents/cmm4yupea02izcuqwdrmdlxqb/view","Open PDF")</f>
        <v/>
      </c>
      <c r="AS1238" t="inlineStr">
        <is>
          <t>cmm55w57p0004cuisfrtpqly8</t>
        </is>
      </c>
      <c r="AT1238" t="inlineStr">
        <is>
          <t>cmm4xvu980000cuh4vj0usz09</t>
        </is>
      </c>
      <c r="AU1238" t="inlineStr">
        <is>
          <t>Samhällsbyggnadsnämnden i Söderköpings</t>
        </is>
      </c>
      <c r="AV1238" t="inlineStr">
        <is>
          <t>Kommun</t>
        </is>
      </c>
      <c r="AW1238" t="inlineStr">
        <is>
          <t>Samhällsbyggnadsnämnden i Söderköpings kommun</t>
        </is>
      </c>
      <c r="AX1238" t="inlineStr">
        <is>
          <t>2025-12</t>
        </is>
      </c>
      <c r="AY1238" t="inlineStr">
        <is>
          <t>Beslut</t>
        </is>
      </c>
      <c r="AZ1238" t="inlineStr">
        <is>
          <t>2026-02-03</t>
        </is>
      </c>
      <c r="BA1238" t="inlineStr">
        <is>
          <t>SBF-2024-1814_2025-12-10_Beslut Miljöfarlig verksamhet.pdf</t>
        </is>
      </c>
      <c r="BB1238" t="inlineStr">
        <is>
          <t>SV: till registrator</t>
        </is>
      </c>
      <c r="BC1238" t="inlineStr">
        <is>
          <t>AUTO</t>
        </is>
      </c>
      <c r="BD1238" t="inlineStr"/>
      <c r="BE1238" t="inlineStr"/>
      <c r="BF1238" t="inlineStr">
        <is>
          <t>AUTO_GENERERAD. Bekrafta metadata mot kallfil.</t>
        </is>
      </c>
      <c r="BG1238">
        <f>HYPERLINK("C:\Users\jimmy\Desktop\Examens arbete\Kod\Ny mapp\remix_-copy-of-miljöbeslut.se-portal\SBF-2024-1814_2025-12-10_Beslut Miljöfarlig verksamhet.pdf", "Öppna PDF")</f>
        <v/>
      </c>
    </row>
    <row r="1239">
      <c r="A1239" t="inlineStr">
        <is>
          <t>KRAV-AUTO-001238</t>
        </is>
      </c>
      <c r="B1239" t="inlineStr">
        <is>
          <t>ADMIN-INDEX-2026-02-27-00000000125C043F57453246863FE664CAFE6A3F0700950291EA24F0614FB6ACEDB12BF0E31D00000000010C0000950291EA24F0614FB6ACEDB12BF0E31D00002087AE8E0000</t>
        </is>
      </c>
      <c r="C1239" t="inlineStr">
        <is>
          <t>cmm4yupe402itcuqwq5rz911s</t>
        </is>
      </c>
      <c r="D1239" t="inlineStr">
        <is>
          <t>http://localhost:8787/api/admin/requirements/documents/cmm4yupe402itcuqwq5rz911s/view</t>
        </is>
      </c>
      <c r="E1239">
        <f>HYPERLÄNK("http://localhost:8787/api/admin/requirements/documents/cmm4yupe402itcuqwq5rz911s/view";"Öppna PDF")</f>
        <v/>
      </c>
      <c r="F1239">
        <f>HYPERLINK("http://localhost:8787/api/admin/requirements/documents/cmm4yupe402itcuqwq5rz911s/view","Open PDF")</f>
        <v/>
      </c>
      <c r="G1239" t="inlineStr">
        <is>
          <t>cmm55w57p0004cuisfrtpqly8</t>
        </is>
      </c>
      <c r="H1239" t="inlineStr">
        <is>
          <t>Beslutsvillkor</t>
        </is>
      </c>
      <c r="I1239" t="inlineStr">
        <is>
          <t>MiljopaverkanForsiktighet</t>
        </is>
      </c>
      <c r="J1239" t="inlineStr">
        <is>
          <t>Skyddsatgarder</t>
        </is>
      </c>
      <c r="K1239" t="inlineStr">
        <is>
          <t>Länsstyrelsen finner utifrån dessa konstateranden att det är olämpligt att avfall tillförs till område kring Hjälmsborgs avfallsupplag.</t>
        </is>
      </c>
      <c r="L1239" t="inlineStr">
        <is>
          <t>Länsstyrelsen finner utifrån dessa konstateranden att det är olämpligt att avfall tillförs till område kring Hjälmsborgs avfallsupplag.</t>
        </is>
      </c>
      <c r="M1239" t="inlineStr">
        <is>
          <t>BOR</t>
        </is>
      </c>
      <c r="N1239" t="inlineStr"/>
      <c r="O1239" t="inlineStr"/>
      <c r="P1239" t="inlineStr"/>
      <c r="Q1239" t="inlineStr"/>
      <c r="R1239" t="inlineStr">
        <is>
          <t>Alltid</t>
        </is>
      </c>
      <c r="S1239" t="inlineStr"/>
      <c r="T1239" t="inlineStr">
        <is>
          <t>540341</t>
        </is>
      </c>
      <c r="U1239" t="inlineStr"/>
      <c r="V1239" t="inlineStr"/>
      <c r="W1239" t="inlineStr">
        <is>
          <t>Nej</t>
        </is>
      </c>
      <c r="X1239" t="inlineStr">
        <is>
          <t>Nej</t>
        </is>
      </c>
      <c r="Y1239" t="inlineStr">
        <is>
          <t>Nej</t>
        </is>
      </c>
      <c r="Z1239" t="inlineStr">
        <is>
          <t>Nej</t>
        </is>
      </c>
      <c r="AA1239" t="n">
        <v>10</v>
      </c>
      <c r="AB1239" t="inlineStr">
        <is>
          <t>Miljopaverkan och forsiktighetsmatt</t>
        </is>
      </c>
      <c r="AC1239" t="inlineStr">
        <is>
          <t>Miljo-PM</t>
        </is>
      </c>
      <c r="AD1239" t="inlineStr">
        <is>
          <t>Nej</t>
        </is>
      </c>
      <c r="AE1239" t="inlineStr">
        <is>
          <t>Nej</t>
        </is>
      </c>
      <c r="AF1239" t="inlineStr">
        <is>
          <t>Ej behandlad</t>
        </is>
      </c>
      <c r="AG1239" t="inlineStr">
        <is>
          <t>AUTO_GENERERAD. Verifiera citat mot kallfil.</t>
        </is>
      </c>
      <c r="AH1239" t="inlineStr">
        <is>
          <t>MEDIUM</t>
        </is>
      </c>
      <c r="AI1239" t="inlineStr">
        <is>
          <t>AUTO</t>
        </is>
      </c>
      <c r="AJ1239" t="inlineStr">
        <is>
          <t>Nej</t>
        </is>
      </c>
      <c r="AK1239" t="inlineStr"/>
      <c r="AL1239" t="inlineStr"/>
      <c r="AM1239" t="inlineStr"/>
      <c r="AN1239" t="inlineStr"/>
      <c r="AO1239" t="inlineStr">
        <is>
          <t>cmm4yupea02izcuqwdrmdlxqb</t>
        </is>
      </c>
      <c r="AP1239" t="inlineStr">
        <is>
          <t>http://localhost:8787/api/admin/requirements/documents/cmm4yupea02izcuqwdrmdlxqb/view</t>
        </is>
      </c>
      <c r="AQ1239">
        <f>HYPERLÄNK("http://localhost:8787/api/admin/requirements/documents/cmm4yupea02izcuqwdrmdlxqb/view";"Öppna PDF")</f>
        <v/>
      </c>
      <c r="AR1239">
        <f>HYPERLINK("http://localhost:8787/api/admin/requirements/documents/cmm4yupea02izcuqwdrmdlxqb/view","Open PDF")</f>
        <v/>
      </c>
      <c r="AS1239" t="inlineStr">
        <is>
          <t>cmm55w57p0004cuisfrtpqly8</t>
        </is>
      </c>
      <c r="AT1239" t="inlineStr">
        <is>
          <t>cmm4xvu980000cuh4vj0usz09</t>
        </is>
      </c>
      <c r="AU1239" t="inlineStr">
        <is>
          <t>Samhällsbyggnadsnämnden i Söderköpings</t>
        </is>
      </c>
      <c r="AV1239" t="inlineStr">
        <is>
          <t>Kommun</t>
        </is>
      </c>
      <c r="AW1239" t="inlineStr">
        <is>
          <t>Samhällsbyggnadsnämnden i Söderköpings kommun</t>
        </is>
      </c>
      <c r="AX1239" t="inlineStr">
        <is>
          <t>2025-12</t>
        </is>
      </c>
      <c r="AY1239" t="inlineStr">
        <is>
          <t>Beslut</t>
        </is>
      </c>
      <c r="AZ1239" t="inlineStr">
        <is>
          <t>2026-02-03</t>
        </is>
      </c>
      <c r="BA1239" t="inlineStr">
        <is>
          <t>SBF-2024-1814_2025-12-10_Beslut Miljöfarlig verksamhet.pdf</t>
        </is>
      </c>
      <c r="BB1239" t="inlineStr">
        <is>
          <t>SV: till registrator</t>
        </is>
      </c>
      <c r="BC1239" t="inlineStr">
        <is>
          <t>AUTO</t>
        </is>
      </c>
      <c r="BD1239" t="inlineStr"/>
      <c r="BE1239" t="inlineStr"/>
      <c r="BF1239" t="inlineStr">
        <is>
          <t>AUTO_GENERERAD. Bekrafta metadata mot kallfil.</t>
        </is>
      </c>
      <c r="BG1239">
        <f>HYPERLINK("C:\Users\jimmy\Desktop\Examens arbete\Kod\Ny mapp\remix_-copy-of-miljöbeslut.se-portal\SBF-2024-1814_2025-12-10_Beslut Miljöfarlig verksamhet.pdf", "Öppna PDF")</f>
        <v/>
      </c>
    </row>
    <row r="1240">
      <c r="A1240" t="inlineStr">
        <is>
          <t>KRAV-AUTO-001239</t>
        </is>
      </c>
      <c r="B1240" t="inlineStr">
        <is>
          <t>ADMIN-INDEX-2026-02-27-00000000125C043F57453246863FE664CAFE6A3F0700950291EA24F0614FB6ACEDB12BF0E31D00000000010C0000950291EA24F0614FB6ACEDB12BF0E31D00002087AE8E0000</t>
        </is>
      </c>
      <c r="C1240" t="inlineStr">
        <is>
          <t>cmm4yupe402itcuqwq5rz911s</t>
        </is>
      </c>
      <c r="D1240" t="inlineStr">
        <is>
          <t>http://localhost:8787/api/admin/requirements/documents/cmm4yupe402itcuqwq5rz911s/view</t>
        </is>
      </c>
      <c r="E1240">
        <f>HYPERLÄNK("http://localhost:8787/api/admin/requirements/documents/cmm4yupe402itcuqwq5rz911s/view";"Öppna PDF")</f>
        <v/>
      </c>
      <c r="F1240">
        <f>HYPERLINK("http://localhost:8787/api/admin/requirements/documents/cmm4yupe402itcuqwq5rz911s/view","Open PDF")</f>
        <v/>
      </c>
      <c r="G1240" t="inlineStr">
        <is>
          <t>cmm55w57p0004cuisfrtpqly8</t>
        </is>
      </c>
      <c r="H1240" t="inlineStr">
        <is>
          <t>Beslutsvillkor</t>
        </is>
      </c>
      <c r="I1240" t="inlineStr">
        <is>
          <t>MiljopaverkanForsiktighet</t>
        </is>
      </c>
      <c r="J1240" t="inlineStr">
        <is>
          <t>Skyddsatgarder</t>
        </is>
      </c>
      <c r="K1240" t="inlineStr">
        <is>
          <t>Det borde vara ett avfall som klassificeras med någon av avfallkoderna som börjar med 19 09, Avfall från framställning av dricksvatten eller vatten för industriändamål, i avfallsförordningen (2020:614).</t>
        </is>
      </c>
      <c r="L1240" t="inlineStr">
        <is>
          <t>Det borde vara ett avfall som klassificeras med någon av avfallkoderna som börjar med 19 09, Avfall från framställning av dricksvatten eller vatten för industriändamål, i avfallsförordningen (2020:614).</t>
        </is>
      </c>
      <c r="M1240" t="inlineStr">
        <is>
          <t>BOR</t>
        </is>
      </c>
      <c r="N1240" t="inlineStr"/>
      <c r="O1240" t="inlineStr"/>
      <c r="P1240" t="inlineStr"/>
      <c r="Q1240" t="inlineStr"/>
      <c r="R1240" t="inlineStr">
        <is>
          <t>Alltid</t>
        </is>
      </c>
      <c r="S1240" t="inlineStr"/>
      <c r="T1240" t="inlineStr">
        <is>
          <t>540341</t>
        </is>
      </c>
      <c r="U1240" t="inlineStr"/>
      <c r="V1240" t="inlineStr"/>
      <c r="W1240" t="inlineStr">
        <is>
          <t>Nej</t>
        </is>
      </c>
      <c r="X1240" t="inlineStr">
        <is>
          <t>Nej</t>
        </is>
      </c>
      <c r="Y1240" t="inlineStr">
        <is>
          <t>Nej</t>
        </is>
      </c>
      <c r="Z1240" t="inlineStr">
        <is>
          <t>Nej</t>
        </is>
      </c>
      <c r="AA1240" t="n">
        <v>10</v>
      </c>
      <c r="AB1240" t="inlineStr">
        <is>
          <t>Miljopaverkan och forsiktighetsmatt</t>
        </is>
      </c>
      <c r="AC1240" t="inlineStr">
        <is>
          <t>Miljo-PM</t>
        </is>
      </c>
      <c r="AD1240" t="inlineStr">
        <is>
          <t>Nej</t>
        </is>
      </c>
      <c r="AE1240" t="inlineStr">
        <is>
          <t>Nej</t>
        </is>
      </c>
      <c r="AF1240" t="inlineStr">
        <is>
          <t>Ej behandlad</t>
        </is>
      </c>
      <c r="AG1240" t="inlineStr">
        <is>
          <t>AUTO_GENERERAD. Verifiera citat mot kallfil.</t>
        </is>
      </c>
      <c r="AH1240" t="inlineStr">
        <is>
          <t>MEDIUM</t>
        </is>
      </c>
      <c r="AI1240" t="inlineStr">
        <is>
          <t>AUTO</t>
        </is>
      </c>
      <c r="AJ1240" t="inlineStr">
        <is>
          <t>Nej</t>
        </is>
      </c>
      <c r="AK1240" t="inlineStr"/>
      <c r="AL1240" t="inlineStr"/>
      <c r="AM1240" t="inlineStr"/>
      <c r="AN1240" t="inlineStr"/>
      <c r="AO1240" t="inlineStr">
        <is>
          <t>cmm4yupea02izcuqwdrmdlxqb</t>
        </is>
      </c>
      <c r="AP1240" t="inlineStr">
        <is>
          <t>http://localhost:8787/api/admin/requirements/documents/cmm4yupea02izcuqwdrmdlxqb/view</t>
        </is>
      </c>
      <c r="AQ1240">
        <f>HYPERLÄNK("http://localhost:8787/api/admin/requirements/documents/cmm4yupea02izcuqwdrmdlxqb/view";"Öppna PDF")</f>
        <v/>
      </c>
      <c r="AR1240">
        <f>HYPERLINK("http://localhost:8787/api/admin/requirements/documents/cmm4yupea02izcuqwdrmdlxqb/view","Open PDF")</f>
        <v/>
      </c>
      <c r="AS1240" t="inlineStr">
        <is>
          <t>cmm55w57p0004cuisfrtpqly8</t>
        </is>
      </c>
      <c r="AT1240" t="inlineStr">
        <is>
          <t>cmm4xvu980000cuh4vj0usz09</t>
        </is>
      </c>
      <c r="AU1240" t="inlineStr">
        <is>
          <t>Samhällsbyggnadsnämnden i Söderköpings</t>
        </is>
      </c>
      <c r="AV1240" t="inlineStr">
        <is>
          <t>Kommun</t>
        </is>
      </c>
      <c r="AW1240" t="inlineStr">
        <is>
          <t>Samhällsbyggnadsnämnden i Söderköpings kommun</t>
        </is>
      </c>
      <c r="AX1240" t="inlineStr">
        <is>
          <t>2025-12</t>
        </is>
      </c>
      <c r="AY1240" t="inlineStr">
        <is>
          <t>Beslut</t>
        </is>
      </c>
      <c r="AZ1240" t="inlineStr">
        <is>
          <t>2026-02-03</t>
        </is>
      </c>
      <c r="BA1240" t="inlineStr">
        <is>
          <t>SBF-2024-1814_2025-12-10_Beslut Miljöfarlig verksamhet.pdf</t>
        </is>
      </c>
      <c r="BB1240" t="inlineStr">
        <is>
          <t>SV: till registrator</t>
        </is>
      </c>
      <c r="BC1240" t="inlineStr">
        <is>
          <t>AUTO</t>
        </is>
      </c>
      <c r="BD1240" t="inlineStr"/>
      <c r="BE1240" t="inlineStr"/>
      <c r="BF1240" t="inlineStr">
        <is>
          <t>AUTO_GENERERAD. Bekrafta metadata mot kallfil.</t>
        </is>
      </c>
      <c r="BG1240">
        <f>HYPERLINK("C:\Users\jimmy\Desktop\Examens arbete\Kod\Ny mapp\remix_-copy-of-miljöbeslut.se-portal\SBF-2024-1814_2025-12-10_Beslut Miljöfarlig verksamhet.pdf", "Öppna PDF")</f>
        <v/>
      </c>
    </row>
    <row r="1241">
      <c r="A1241" t="inlineStr">
        <is>
          <t>KRAV-AUTO-001240</t>
        </is>
      </c>
      <c r="B1241" t="inlineStr">
        <is>
          <t>ADMIN-INDEX-2026-02-27-00000000125C043F57453246863FE664CAFE6A3F0700950291EA24F0614FB6ACEDB12BF0E31D00000000010C0000950291EA24F0614FB6ACEDB12BF0E31D00002087AE8E0000</t>
        </is>
      </c>
      <c r="C1241" t="inlineStr">
        <is>
          <t>cmm4yupdt02ihcuqw3df01afi</t>
        </is>
      </c>
      <c r="D1241" t="inlineStr">
        <is>
          <t>http://localhost:8787/api/admin/requirements/documents/cmm4yupdt02ihcuqw3df01afi/view</t>
        </is>
      </c>
      <c r="E1241">
        <f>HYPERLÄNK("http://localhost:8787/api/admin/requirements/documents/cmm4yupdt02ihcuqw3df01afi/view";"Öppna PDF")</f>
        <v/>
      </c>
      <c r="F1241">
        <f>HYPERLINK("http://localhost:8787/api/admin/requirements/documents/cmm4yupdt02ihcuqw3df01afi/view","Open PDF")</f>
        <v/>
      </c>
      <c r="G1241" t="inlineStr">
        <is>
          <t>cmm55w57p0004cuisfrtpqly8</t>
        </is>
      </c>
      <c r="H1241" t="inlineStr">
        <is>
          <t>Beslutsvillkor</t>
        </is>
      </c>
      <c r="I1241" t="inlineStr">
        <is>
          <t>MiljopaverkanForsiktighet</t>
        </is>
      </c>
      <c r="J1241" t="inlineStr">
        <is>
          <t>Skyddsatgarder</t>
        </is>
      </c>
      <c r="K1241" t="inlineStr">
        <is>
          <t>Sedimentet planeras att läggas på Hjälmsborgs avfallsanläggning.</t>
        </is>
      </c>
      <c r="L1241" t="inlineStr">
        <is>
          <t>Sedimentet planeras att läggas på Hjälmsborgs avfallsanläggning.</t>
        </is>
      </c>
      <c r="M1241" t="inlineStr">
        <is>
          <t>BOR</t>
        </is>
      </c>
      <c r="N1241" t="inlineStr"/>
      <c r="O1241" t="inlineStr"/>
      <c r="P1241" t="inlineStr"/>
      <c r="Q1241" t="inlineStr"/>
      <c r="R1241" t="inlineStr">
        <is>
          <t>Alltid</t>
        </is>
      </c>
      <c r="S1241" t="inlineStr"/>
      <c r="T1241" t="inlineStr">
        <is>
          <t>10 10 25</t>
        </is>
      </c>
      <c r="U1241" t="inlineStr"/>
      <c r="V1241" t="inlineStr"/>
      <c r="W1241" t="inlineStr">
        <is>
          <t>Nej</t>
        </is>
      </c>
      <c r="X1241" t="inlineStr">
        <is>
          <t>Nej</t>
        </is>
      </c>
      <c r="Y1241" t="inlineStr">
        <is>
          <t>Nej</t>
        </is>
      </c>
      <c r="Z1241" t="inlineStr">
        <is>
          <t>Nej</t>
        </is>
      </c>
      <c r="AA1241" t="n">
        <v>10</v>
      </c>
      <c r="AB1241" t="inlineStr">
        <is>
          <t>Miljopaverkan och forsiktighetsmatt</t>
        </is>
      </c>
      <c r="AC1241" t="inlineStr">
        <is>
          <t>Miljo-PM</t>
        </is>
      </c>
      <c r="AD1241" t="inlineStr">
        <is>
          <t>Nej</t>
        </is>
      </c>
      <c r="AE1241" t="inlineStr">
        <is>
          <t>Nej</t>
        </is>
      </c>
      <c r="AF1241" t="inlineStr">
        <is>
          <t>Ej behandlad</t>
        </is>
      </c>
      <c r="AG1241" t="inlineStr">
        <is>
          <t>AUTO_GENERERAD. Verifiera citat mot kallfil.</t>
        </is>
      </c>
      <c r="AH1241" t="inlineStr">
        <is>
          <t>LOW</t>
        </is>
      </c>
      <c r="AI1241" t="inlineStr">
        <is>
          <t>AUTO</t>
        </is>
      </c>
      <c r="AJ1241" t="inlineStr">
        <is>
          <t>Nej</t>
        </is>
      </c>
      <c r="AK1241" t="inlineStr"/>
      <c r="AL1241" t="inlineStr"/>
      <c r="AM1241" t="inlineStr"/>
      <c r="AN1241" t="inlineStr"/>
      <c r="AO1241" t="inlineStr">
        <is>
          <t>cmm4yupea02izcuqwdrmdlxqb</t>
        </is>
      </c>
      <c r="AP1241" t="inlineStr">
        <is>
          <t>http://localhost:8787/api/admin/requirements/documents/cmm4yupea02izcuqwdrmdlxqb/view</t>
        </is>
      </c>
      <c r="AQ1241">
        <f>HYPERLÄNK("http://localhost:8787/api/admin/requirements/documents/cmm4yupea02izcuqwdrmdlxqb/view";"Öppna PDF")</f>
        <v/>
      </c>
      <c r="AR1241">
        <f>HYPERLINK("http://localhost:8787/api/admin/requirements/documents/cmm4yupea02izcuqwdrmdlxqb/view","Open PDF")</f>
        <v/>
      </c>
      <c r="AS1241" t="inlineStr">
        <is>
          <t>cmm55w57p0004cuisfrtpqly8</t>
        </is>
      </c>
      <c r="AT1241" t="inlineStr">
        <is>
          <t>cmm4xvu980000cuh4vj0usz09</t>
        </is>
      </c>
      <c r="AU1241" t="inlineStr">
        <is>
          <t>Samhällsbyggnadsnämnden i Söderköpings</t>
        </is>
      </c>
      <c r="AV1241" t="inlineStr">
        <is>
          <t>Kommun</t>
        </is>
      </c>
      <c r="AW1241" t="inlineStr">
        <is>
          <t>Samhällsbyggnadsnämnden i Söderköpings kommun</t>
        </is>
      </c>
      <c r="AX1241" t="inlineStr">
        <is>
          <t>2025-12</t>
        </is>
      </c>
      <c r="AY1241" t="inlineStr">
        <is>
          <t>Beslut</t>
        </is>
      </c>
      <c r="AZ1241" t="inlineStr">
        <is>
          <t>2026-02-03</t>
        </is>
      </c>
      <c r="BA1241" t="inlineStr">
        <is>
          <t>SBF-2024-1814_2025-12-10_Beslut Miljöfarlig verksamhet.pdf</t>
        </is>
      </c>
      <c r="BB1241" t="inlineStr">
        <is>
          <t>SV: till registrator</t>
        </is>
      </c>
      <c r="BC1241" t="inlineStr">
        <is>
          <t>AUTO</t>
        </is>
      </c>
      <c r="BD1241" t="inlineStr"/>
      <c r="BE1241" t="inlineStr"/>
      <c r="BF1241" t="inlineStr">
        <is>
          <t>AUTO_GENERERAD. Bekrafta metadata mot kallfil.</t>
        </is>
      </c>
      <c r="BG1241">
        <f>HYPERLINK("C:\Users\jimmy\Desktop\Examens arbete\Kod\Ny mapp\remix_-copy-of-miljöbeslut.se-portal\SBF-2024-1814_2025-12-10_Beslut Miljöfarlig verksamhet.pdf", "Öppna PDF")</f>
        <v/>
      </c>
    </row>
    <row r="1242">
      <c r="A1242" t="inlineStr">
        <is>
          <t>KRAV-AUTO-001241</t>
        </is>
      </c>
      <c r="B1242" t="inlineStr">
        <is>
          <t>ADMIN-INDEX-2026-02-27-00000000125C043F57453246863FE664CAFE6A3F0700950291EA24F0614FB6ACEDB12BF0E31D00000000010C0000950291EA24F0614FB6ACEDB12BF0E31D00002087AE8E0000</t>
        </is>
      </c>
      <c r="C1242" t="inlineStr">
        <is>
          <t>cmm4yupdf02i2cuqwt27kgzwo</t>
        </is>
      </c>
      <c r="D1242" t="inlineStr">
        <is>
          <t>http://localhost:8787/api/admin/requirements/documents/cmm4yupdf02i2cuqwt27kgzwo/view</t>
        </is>
      </c>
      <c r="E1242">
        <f>HYPERLÄNK("http://localhost:8787/api/admin/requirements/documents/cmm4yupdf02i2cuqwt27kgzwo/view";"Öppna PDF")</f>
        <v/>
      </c>
      <c r="F1242">
        <f>HYPERLINK("http://localhost:8787/api/admin/requirements/documents/cmm4yupdf02i2cuqwt27kgzwo/view","Open PDF")</f>
        <v/>
      </c>
      <c r="G1242" t="inlineStr">
        <is>
          <t>cmm55w57p0004cuisfrtpqly8</t>
        </is>
      </c>
      <c r="H1242" t="inlineStr">
        <is>
          <t>Informationskrav</t>
        </is>
      </c>
      <c r="I1242" t="inlineStr">
        <is>
          <t>MiljopaverkanForsiktighet</t>
        </is>
      </c>
      <c r="J1242" t="inlineStr">
        <is>
          <t>Skyddsatgarder</t>
        </is>
      </c>
      <c r="K1242" t="inlineStr">
        <is>
          <t>Dokument: SBF-2024-772_2024-04-11_Uppläggning av avfall_användning av avfall för anläggningsändamål - anmälan Braberg_Bortredigerad.pdf.</t>
        </is>
      </c>
      <c r="L1242" t="inlineStr">
        <is>
          <t>Dokument: SBF-2024-772_2024-04-11_Uppläggning av avfall_användning av avfall för anläggningsändamål - anmälan Braberg_Bortredigerad.pdf.</t>
        </is>
      </c>
      <c r="M1242" t="inlineStr">
        <is>
          <t>BOR</t>
        </is>
      </c>
      <c r="N1242" t="inlineStr"/>
      <c r="O1242" t="inlineStr"/>
      <c r="P1242" t="inlineStr"/>
      <c r="Q1242" t="inlineStr"/>
      <c r="R1242" t="inlineStr">
        <is>
          <t>Alltid</t>
        </is>
      </c>
      <c r="S1242" t="inlineStr"/>
      <c r="T1242" t="inlineStr"/>
      <c r="U1242" t="inlineStr"/>
      <c r="V1242" t="inlineStr"/>
      <c r="W1242" t="inlineStr">
        <is>
          <t>Nej</t>
        </is>
      </c>
      <c r="X1242" t="inlineStr">
        <is>
          <t>Nej</t>
        </is>
      </c>
      <c r="Y1242" t="inlineStr">
        <is>
          <t>Nej</t>
        </is>
      </c>
      <c r="Z1242" t="inlineStr">
        <is>
          <t>Nej</t>
        </is>
      </c>
      <c r="AA1242" t="n">
        <v>10</v>
      </c>
      <c r="AB1242" t="inlineStr">
        <is>
          <t>Miljopaverkan och forsiktighetsmatt</t>
        </is>
      </c>
      <c r="AC1242" t="inlineStr">
        <is>
          <t>Miljo-PM</t>
        </is>
      </c>
      <c r="AD1242" t="inlineStr">
        <is>
          <t>Nej</t>
        </is>
      </c>
      <c r="AE1242" t="inlineStr">
        <is>
          <t>Nej</t>
        </is>
      </c>
      <c r="AF1242" t="inlineStr">
        <is>
          <t>Ej behandlad</t>
        </is>
      </c>
      <c r="AG1242" t="inlineStr">
        <is>
          <t>AUTO_GENERERAD. Verifiera citat mot kallfil.</t>
        </is>
      </c>
      <c r="AH1242" t="inlineStr">
        <is>
          <t>LOW</t>
        </is>
      </c>
      <c r="AI1242" t="inlineStr">
        <is>
          <t>AUTO</t>
        </is>
      </c>
      <c r="AJ1242" t="inlineStr">
        <is>
          <t>Nej</t>
        </is>
      </c>
      <c r="AK1242" t="inlineStr"/>
      <c r="AL1242" t="inlineStr"/>
      <c r="AM1242" t="inlineStr"/>
      <c r="AN1242" t="inlineStr"/>
      <c r="AO1242" t="inlineStr">
        <is>
          <t>cmm4yupea02izcuqwdrmdlxqb</t>
        </is>
      </c>
      <c r="AP1242" t="inlineStr">
        <is>
          <t>http://localhost:8787/api/admin/requirements/documents/cmm4yupea02izcuqwdrmdlxqb/view</t>
        </is>
      </c>
      <c r="AQ1242">
        <f>HYPERLÄNK("http://localhost:8787/api/admin/requirements/documents/cmm4yupea02izcuqwdrmdlxqb/view";"Öppna PDF")</f>
        <v/>
      </c>
      <c r="AR1242">
        <f>HYPERLINK("http://localhost:8787/api/admin/requirements/documents/cmm4yupea02izcuqwdrmdlxqb/view","Open PDF")</f>
        <v/>
      </c>
      <c r="AS1242" t="inlineStr">
        <is>
          <t>cmm55w57p0004cuisfrtpqly8</t>
        </is>
      </c>
      <c r="AT1242" t="inlineStr">
        <is>
          <t>cmm4xvu980000cuh4vj0usz09</t>
        </is>
      </c>
      <c r="AU1242" t="inlineStr">
        <is>
          <t>Samhällsbyggnadsnämnden i Söderköpings</t>
        </is>
      </c>
      <c r="AV1242" t="inlineStr">
        <is>
          <t>Kommun</t>
        </is>
      </c>
      <c r="AW1242" t="inlineStr">
        <is>
          <t>Samhällsbyggnadsnämnden i Söderköpings kommun</t>
        </is>
      </c>
      <c r="AX1242" t="inlineStr">
        <is>
          <t>2025-12</t>
        </is>
      </c>
      <c r="AY1242" t="inlineStr">
        <is>
          <t>Beslut</t>
        </is>
      </c>
      <c r="AZ1242" t="inlineStr">
        <is>
          <t>2026-02-03</t>
        </is>
      </c>
      <c r="BA1242" t="inlineStr">
        <is>
          <t>SBF-2024-1814_2025-12-10_Beslut Miljöfarlig verksamhet.pdf</t>
        </is>
      </c>
      <c r="BB1242" t="inlineStr">
        <is>
          <t>SV: till registrator</t>
        </is>
      </c>
      <c r="BC1242" t="inlineStr">
        <is>
          <t>AUTO</t>
        </is>
      </c>
      <c r="BD1242" t="inlineStr"/>
      <c r="BE1242" t="inlineStr"/>
      <c r="BF1242" t="inlineStr">
        <is>
          <t>AUTO_GENERERAD. Bekrafta metadata mot kallfil.</t>
        </is>
      </c>
      <c r="BG1242">
        <f>HYPERLINK("C:\Users\jimmy\Desktop\Examens arbete\Kod\Ny mapp\remix_-copy-of-miljöbeslut.se-portal\SBF-2024-1814_2025-12-10_Beslut Miljöfarlig verksamhet.pdf", "Öppna PDF")</f>
        <v/>
      </c>
    </row>
    <row r="1243">
      <c r="A1243" t="inlineStr">
        <is>
          <t>KRAV-AUTO-001242</t>
        </is>
      </c>
      <c r="B1243" t="inlineStr">
        <is>
          <t>ADMIN-INDEX-2026-02-27-00000000125C043F57453246863FE664CAFE6A3F0700950291EA24F0614FB6ACEDB12BF0E31D00000000010C0000950291EA24F0614FB6ACEDB12BF0E31D00002087AE910000</t>
        </is>
      </c>
      <c r="C1243" t="inlineStr">
        <is>
          <t>cmm4yupcb02gzcuqwshitaoru</t>
        </is>
      </c>
      <c r="D1243" t="inlineStr">
        <is>
          <t>http://localhost:8787/api/admin/requirements/documents/cmm4yupcb02gzcuqwshitaoru/view</t>
        </is>
      </c>
      <c r="E1243">
        <f>HYPERLÄNK("http://localhost:8787/api/admin/requirements/documents/cmm4yupcb02gzcuqwshitaoru/view";"Öppna PDF")</f>
        <v/>
      </c>
      <c r="F1243">
        <f>HYPERLINK("http://localhost:8787/api/admin/requirements/documents/cmm4yupcb02gzcuqwshitaoru/view","Open PDF")</f>
        <v/>
      </c>
      <c r="G1243" t="inlineStr">
        <is>
          <t>cmm55w57p0004cuisfrtpqly8</t>
        </is>
      </c>
      <c r="H1243" t="inlineStr">
        <is>
          <t>Beslutsvillkor</t>
        </is>
      </c>
      <c r="I1243" t="inlineStr">
        <is>
          <t>Riskhantering</t>
        </is>
      </c>
      <c r="J1243" t="inlineStr">
        <is>
          <t>Riskkontroll</t>
        </is>
      </c>
      <c r="K1243" t="inlineStr">
        <is>
          <t>Hur bör miljörisker för asfalt bedömas?</t>
        </is>
      </c>
      <c r="L1243" t="inlineStr">
        <is>
          <t>Hur bör miljörisker för asfalt bedömas?</t>
        </is>
      </c>
      <c r="M1243" t="inlineStr">
        <is>
          <t>BOR</t>
        </is>
      </c>
      <c r="N1243" t="inlineStr"/>
      <c r="O1243" t="inlineStr"/>
      <c r="P1243" t="inlineStr"/>
      <c r="Q1243" t="inlineStr"/>
      <c r="R1243" t="inlineStr">
        <is>
          <t>Vid risk for incident</t>
        </is>
      </c>
      <c r="S1243" t="inlineStr"/>
      <c r="T1243" t="inlineStr"/>
      <c r="U1243" t="inlineStr"/>
      <c r="V1243" t="inlineStr"/>
      <c r="W1243" t="inlineStr">
        <is>
          <t>Nej</t>
        </is>
      </c>
      <c r="X1243" t="inlineStr">
        <is>
          <t>Nej</t>
        </is>
      </c>
      <c r="Y1243" t="inlineStr">
        <is>
          <t>Ja</t>
        </is>
      </c>
      <c r="Z1243" t="inlineStr">
        <is>
          <t>Ja</t>
        </is>
      </c>
      <c r="AA1243" t="n">
        <v>8</v>
      </c>
      <c r="AB1243" t="inlineStr">
        <is>
          <t>Riskhantering</t>
        </is>
      </c>
      <c r="AC1243" t="inlineStr">
        <is>
          <t>Risk-PM</t>
        </is>
      </c>
      <c r="AD1243" t="inlineStr">
        <is>
          <t>Nej</t>
        </is>
      </c>
      <c r="AE1243" t="inlineStr">
        <is>
          <t>Nej</t>
        </is>
      </c>
      <c r="AF1243" t="inlineStr">
        <is>
          <t>Ej behandlad</t>
        </is>
      </c>
      <c r="AG1243" t="inlineStr">
        <is>
          <t>AUTO_GENERERAD. Verifiera citat mot kallfil.</t>
        </is>
      </c>
      <c r="AH1243" t="inlineStr">
        <is>
          <t>LOW</t>
        </is>
      </c>
      <c r="AI1243" t="inlineStr">
        <is>
          <t>AUTO</t>
        </is>
      </c>
      <c r="AJ1243" t="inlineStr">
        <is>
          <t>Nej</t>
        </is>
      </c>
      <c r="AK1243" t="inlineStr"/>
      <c r="AL1243" t="inlineStr"/>
      <c r="AM1243" t="inlineStr"/>
      <c r="AN1243" t="inlineStr"/>
      <c r="AO1243" t="inlineStr">
        <is>
          <t>cmm4yupcb02gzcuqwshitaoru</t>
        </is>
      </c>
      <c r="AP1243" t="inlineStr">
        <is>
          <t>http://localhost:8787/api/admin/requirements/documents/cmm4yupcb02gzcuqwshitaoru/view</t>
        </is>
      </c>
      <c r="AQ1243">
        <f>HYPERLÄNK("http://localhost:8787/api/admin/requirements/documents/cmm4yupcb02gzcuqwshitaoru/view";"Öppna PDF")</f>
        <v/>
      </c>
      <c r="AR1243">
        <f>HYPERLINK("http://localhost:8787/api/admin/requirements/documents/cmm4yupcb02gzcuqwshitaoru/view","Open PDF")</f>
        <v/>
      </c>
      <c r="AS1243" t="inlineStr">
        <is>
          <t>cmm55w57p0004cuisfrtpqly8</t>
        </is>
      </c>
      <c r="AT1243" t="inlineStr">
        <is>
          <t>cmm4xvu980000cuh4vj0usz09</t>
        </is>
      </c>
      <c r="AU1243" t="inlineStr">
        <is>
          <t>Arvika</t>
        </is>
      </c>
      <c r="AV1243" t="inlineStr">
        <is>
          <t>Kommun</t>
        </is>
      </c>
      <c r="AW1243" t="inlineStr">
        <is>
          <t>Arvika kommun</t>
        </is>
      </c>
      <c r="AX1243" t="inlineStr">
        <is>
          <t>2025-04</t>
        </is>
      </c>
      <c r="AY1243" t="inlineStr">
        <is>
          <t>Beslut</t>
        </is>
      </c>
      <c r="AZ1243" t="inlineStr">
        <is>
          <t>2026-02-03</t>
        </is>
      </c>
      <c r="BA1243" t="inlineStr">
        <is>
          <t>Mejl från Carl Zide.pdf</t>
        </is>
      </c>
      <c r="BB1243" t="inlineStr">
        <is>
          <t>Ärende gällande användning av avfall för anläggningsändamål, Arvika kommun</t>
        </is>
      </c>
      <c r="BC1243" t="inlineStr">
        <is>
          <t>AUTO</t>
        </is>
      </c>
      <c r="BD1243" t="inlineStr"/>
      <c r="BE1243" t="inlineStr"/>
      <c r="BF1243" t="inlineStr">
        <is>
          <t>AUTO_GENERERAD. Bekrafta metadata mot kallfil.</t>
        </is>
      </c>
      <c r="BG1243">
        <f>HYPERLINK("C:\Users\jimmy\Desktop\Examens arbete\Kod\Ny mapp\remix_-copy-of-miljöbeslut.se-portal\Mejl från Carl Zide.pdf", "Öppna PDF")</f>
        <v/>
      </c>
    </row>
    <row r="1244">
      <c r="A1244" t="inlineStr">
        <is>
          <t>KRAV-AUTO-001243</t>
        </is>
      </c>
      <c r="B1244" t="inlineStr">
        <is>
          <t>ADMIN-INDEX-2026-02-27-00000000125C043F57453246863FE664CAFE6A3F0700950291EA24F0614FB6ACEDB12BF0E31D00000000010C0000950291EA24F0614FB6ACEDB12BF0E31D00002087AE910000</t>
        </is>
      </c>
      <c r="C1244" t="inlineStr">
        <is>
          <t>cmm4yupcb02gzcuqwshitaoru</t>
        </is>
      </c>
      <c r="D1244" t="inlineStr">
        <is>
          <t>http://localhost:8787/api/admin/requirements/documents/cmm4yupcb02gzcuqwshitaoru/view</t>
        </is>
      </c>
      <c r="E1244">
        <f>HYPERLÄNK("http://localhost:8787/api/admin/requirements/documents/cmm4yupcb02gzcuqwshitaoru/view";"Öppna PDF")</f>
        <v/>
      </c>
      <c r="F1244">
        <f>HYPERLINK("http://localhost:8787/api/admin/requirements/documents/cmm4yupcb02gzcuqwshitaoru/view","Open PDF")</f>
        <v/>
      </c>
      <c r="G1244" t="inlineStr">
        <is>
          <t>cmm55w57p0004cuisfrtpqly8</t>
        </is>
      </c>
      <c r="H1244" t="inlineStr">
        <is>
          <t>Beslutsvillkor</t>
        </is>
      </c>
      <c r="I1244" t="inlineStr">
        <is>
          <t>DriftEgenkontroll</t>
        </is>
      </c>
      <c r="J1244" t="inlineStr">
        <is>
          <t>Journalforing</t>
        </is>
      </c>
      <c r="K1244" t="inlineStr">
        <is>
          <t>Om jag får föreslå något så tycker jag att ni kan förelägga Glava Grävtjänst att ta kompletterande prover vid ankomst i enlighet med deras kontrollprogram.</t>
        </is>
      </c>
      <c r="L1244" t="inlineStr">
        <is>
          <t>Om jag får föreslå något så tycker jag att ni kan förelägga Glava Grävtjänst att ta kompletterande prover vid ankomst i enlighet med deras kontrollprogram.</t>
        </is>
      </c>
      <c r="M1244" t="inlineStr">
        <is>
          <t>KAN</t>
        </is>
      </c>
      <c r="N1244" t="inlineStr"/>
      <c r="O1244" t="inlineStr"/>
      <c r="P1244" t="inlineStr"/>
      <c r="Q1244" t="inlineStr">
        <is>
          <t>Forelaggande vid brist</t>
        </is>
      </c>
      <c r="R1244" t="inlineStr">
        <is>
          <t>Lopande drift</t>
        </is>
      </c>
      <c r="S1244" t="inlineStr"/>
      <c r="T1244" t="inlineStr"/>
      <c r="U1244" t="inlineStr"/>
      <c r="V1244" t="inlineStr"/>
      <c r="W1244" t="inlineStr">
        <is>
          <t>Nej</t>
        </is>
      </c>
      <c r="X1244" t="inlineStr">
        <is>
          <t>Nej</t>
        </is>
      </c>
      <c r="Y1244" t="inlineStr">
        <is>
          <t>Ja</t>
        </is>
      </c>
      <c r="Z1244" t="inlineStr">
        <is>
          <t>Nej</t>
        </is>
      </c>
      <c r="AA1244" t="n">
        <v>7</v>
      </c>
      <c r="AB1244" t="inlineStr">
        <is>
          <t>Egenkontrollrutiner</t>
        </is>
      </c>
      <c r="AC1244" t="inlineStr">
        <is>
          <t>Egenkontrollprogram</t>
        </is>
      </c>
      <c r="AD1244" t="inlineStr">
        <is>
          <t>Nej</t>
        </is>
      </c>
      <c r="AE1244" t="inlineStr">
        <is>
          <t>Nej</t>
        </is>
      </c>
      <c r="AF1244" t="inlineStr">
        <is>
          <t>Ej behandlad</t>
        </is>
      </c>
      <c r="AG1244" t="inlineStr">
        <is>
          <t>AUTO_GENERERAD. Verifiera citat mot kallfil.</t>
        </is>
      </c>
      <c r="AH1244" t="inlineStr">
        <is>
          <t>MEDIUM</t>
        </is>
      </c>
      <c r="AI1244" t="inlineStr">
        <is>
          <t>AUTO</t>
        </is>
      </c>
      <c r="AJ1244" t="inlineStr">
        <is>
          <t>Nej</t>
        </is>
      </c>
      <c r="AK1244" t="inlineStr"/>
      <c r="AL1244" t="inlineStr"/>
      <c r="AM1244" t="inlineStr"/>
      <c r="AN1244" t="inlineStr"/>
      <c r="AO1244" t="inlineStr">
        <is>
          <t>cmm4yupcb02gzcuqwshitaoru</t>
        </is>
      </c>
      <c r="AP1244" t="inlineStr">
        <is>
          <t>http://localhost:8787/api/admin/requirements/documents/cmm4yupcb02gzcuqwshitaoru/view</t>
        </is>
      </c>
      <c r="AQ1244">
        <f>HYPERLÄNK("http://localhost:8787/api/admin/requirements/documents/cmm4yupcb02gzcuqwshitaoru/view";"Öppna PDF")</f>
        <v/>
      </c>
      <c r="AR1244">
        <f>HYPERLINK("http://localhost:8787/api/admin/requirements/documents/cmm4yupcb02gzcuqwshitaoru/view","Open PDF")</f>
        <v/>
      </c>
      <c r="AS1244" t="inlineStr">
        <is>
          <t>cmm55w57p0004cuisfrtpqly8</t>
        </is>
      </c>
      <c r="AT1244" t="inlineStr">
        <is>
          <t>cmm4xvu980000cuh4vj0usz09</t>
        </is>
      </c>
      <c r="AU1244" t="inlineStr">
        <is>
          <t>Arvika</t>
        </is>
      </c>
      <c r="AV1244" t="inlineStr">
        <is>
          <t>Kommun</t>
        </is>
      </c>
      <c r="AW1244" t="inlineStr">
        <is>
          <t>Arvika kommun</t>
        </is>
      </c>
      <c r="AX1244" t="inlineStr">
        <is>
          <t>2025-04</t>
        </is>
      </c>
      <c r="AY1244" t="inlineStr">
        <is>
          <t>Beslut</t>
        </is>
      </c>
      <c r="AZ1244" t="inlineStr">
        <is>
          <t>2026-02-03</t>
        </is>
      </c>
      <c r="BA1244" t="inlineStr">
        <is>
          <t>Mejl från Carl Zide.pdf</t>
        </is>
      </c>
      <c r="BB1244" t="inlineStr">
        <is>
          <t>Ärende gällande användning av avfall för anläggningsändamål, Arvika kommun</t>
        </is>
      </c>
      <c r="BC1244" t="inlineStr">
        <is>
          <t>AUTO</t>
        </is>
      </c>
      <c r="BD1244" t="inlineStr"/>
      <c r="BE1244" t="inlineStr"/>
      <c r="BF1244" t="inlineStr">
        <is>
          <t>AUTO_GENERERAD. Bekrafta metadata mot kallfil.</t>
        </is>
      </c>
      <c r="BG1244">
        <f>HYPERLINK("C:\Users\jimmy\Desktop\Examens arbete\Kod\Ny mapp\remix_-copy-of-miljöbeslut.se-portal\Mejl från Carl Zide.pdf", "Öppna PDF")</f>
        <v/>
      </c>
    </row>
    <row r="1245">
      <c r="A1245" t="inlineStr">
        <is>
          <t>KRAV-AUTO-001244</t>
        </is>
      </c>
      <c r="B1245" t="inlineStr">
        <is>
          <t>ADMIN-INDEX-2026-02-27-00000000125C043F57453246863FE664CAFE6A3F0700950291EA24F0614FB6ACEDB12BF0E31D00000000010C0000950291EA24F0614FB6ACEDB12BF0E31D00002087AE910000</t>
        </is>
      </c>
      <c r="C1245" t="inlineStr">
        <is>
          <t>cmm4yupcb02gzcuqwshitaoru</t>
        </is>
      </c>
      <c r="D1245" t="inlineStr">
        <is>
          <t>http://localhost:8787/api/admin/requirements/documents/cmm4yupcb02gzcuqwshitaoru/view</t>
        </is>
      </c>
      <c r="E1245">
        <f>HYPERLÄNK("http://localhost:8787/api/admin/requirements/documents/cmm4yupcb02gzcuqwshitaoru/view";"Öppna PDF")</f>
        <v/>
      </c>
      <c r="F1245">
        <f>HYPERLINK("http://localhost:8787/api/admin/requirements/documents/cmm4yupcb02gzcuqwshitaoru/view","Open PDF")</f>
        <v/>
      </c>
      <c r="G1245" t="inlineStr">
        <is>
          <t>cmm55w57p0004cuisfrtpqly8</t>
        </is>
      </c>
      <c r="H1245" t="inlineStr">
        <is>
          <t>Beslutsvillkor</t>
        </is>
      </c>
      <c r="I1245" t="inlineStr">
        <is>
          <t>Ytkonstruktion</t>
        </is>
      </c>
      <c r="J1245" t="inlineStr">
        <is>
          <t>Tat yta</t>
        </is>
      </c>
      <c r="K1245" t="inlineStr">
        <is>
          <t>Man skulle också kunna förelägga Glava Grävtjänst att installera grundvattenrör inom 12 månader för att ytterligare förstärka miljökontrollen utöver provtagning i den kommande sedimentationsdammen.</t>
        </is>
      </c>
      <c r="L1245" t="inlineStr">
        <is>
          <t>Man skulle också kunna förelägga Glava Grävtjänst att installera grundvattenrör inom 12 månader för att ytterligare förstärka miljökontrollen utöver provtagning i den kommande sedimentationsdammen.</t>
        </is>
      </c>
      <c r="M1245" t="inlineStr">
        <is>
          <t>INFO</t>
        </is>
      </c>
      <c r="N1245" t="inlineStr"/>
      <c r="O1245" t="inlineStr">
        <is>
          <t>inom 12 manader</t>
        </is>
      </c>
      <c r="P1245" t="inlineStr">
        <is>
          <t>Manadskontroll</t>
        </is>
      </c>
      <c r="Q1245" t="inlineStr">
        <is>
          <t>Forelaggande vid brist</t>
        </is>
      </c>
      <c r="R1245" t="inlineStr">
        <is>
          <t>Vid mellanlagring av avfall</t>
        </is>
      </c>
      <c r="S1245" t="inlineStr"/>
      <c r="T1245" t="inlineStr"/>
      <c r="U1245" t="inlineStr"/>
      <c r="V1245" t="inlineStr">
        <is>
          <t>12 manader</t>
        </is>
      </c>
      <c r="W1245" t="inlineStr">
        <is>
          <t>Ja</t>
        </is>
      </c>
      <c r="X1245" t="inlineStr">
        <is>
          <t>Nej</t>
        </is>
      </c>
      <c r="Y1245" t="inlineStr">
        <is>
          <t>Nej</t>
        </is>
      </c>
      <c r="Z1245" t="inlineStr">
        <is>
          <t>Nej</t>
        </is>
      </c>
      <c r="AA1245" t="n">
        <v>5</v>
      </c>
      <c r="AB1245" t="inlineStr">
        <is>
          <t>Teknisk beskrivning av platta</t>
        </is>
      </c>
      <c r="AC1245" t="inlineStr">
        <is>
          <t>Teknisk ritning platta</t>
        </is>
      </c>
      <c r="AD1245" t="inlineStr">
        <is>
          <t>Nej</t>
        </is>
      </c>
      <c r="AE1245" t="inlineStr">
        <is>
          <t>Nej</t>
        </is>
      </c>
      <c r="AF1245" t="inlineStr">
        <is>
          <t>Ej behandlad</t>
        </is>
      </c>
      <c r="AG1245" t="inlineStr">
        <is>
          <t>AUTO_GENERERAD. Verifiera citat mot kallfil.</t>
        </is>
      </c>
      <c r="AH1245" t="inlineStr">
        <is>
          <t>MEDIUM</t>
        </is>
      </c>
      <c r="AI1245" t="inlineStr">
        <is>
          <t>AUTO</t>
        </is>
      </c>
      <c r="AJ1245" t="inlineStr">
        <is>
          <t>Nej</t>
        </is>
      </c>
      <c r="AK1245" t="inlineStr"/>
      <c r="AL1245" t="inlineStr"/>
      <c r="AM1245" t="inlineStr"/>
      <c r="AN1245" t="inlineStr"/>
      <c r="AO1245" t="inlineStr">
        <is>
          <t>cmm4yupcb02gzcuqwshitaoru</t>
        </is>
      </c>
      <c r="AP1245" t="inlineStr">
        <is>
          <t>http://localhost:8787/api/admin/requirements/documents/cmm4yupcb02gzcuqwshitaoru/view</t>
        </is>
      </c>
      <c r="AQ1245">
        <f>HYPERLÄNK("http://localhost:8787/api/admin/requirements/documents/cmm4yupcb02gzcuqwshitaoru/view";"Öppna PDF")</f>
        <v/>
      </c>
      <c r="AR1245">
        <f>HYPERLINK("http://localhost:8787/api/admin/requirements/documents/cmm4yupcb02gzcuqwshitaoru/view","Open PDF")</f>
        <v/>
      </c>
      <c r="AS1245" t="inlineStr">
        <is>
          <t>cmm55w57p0004cuisfrtpqly8</t>
        </is>
      </c>
      <c r="AT1245" t="inlineStr">
        <is>
          <t>cmm4xvu980000cuh4vj0usz09</t>
        </is>
      </c>
      <c r="AU1245" t="inlineStr">
        <is>
          <t>Arvika</t>
        </is>
      </c>
      <c r="AV1245" t="inlineStr">
        <is>
          <t>Kommun</t>
        </is>
      </c>
      <c r="AW1245" t="inlineStr">
        <is>
          <t>Arvika kommun</t>
        </is>
      </c>
      <c r="AX1245" t="inlineStr">
        <is>
          <t>2025-04</t>
        </is>
      </c>
      <c r="AY1245" t="inlineStr">
        <is>
          <t>Beslut</t>
        </is>
      </c>
      <c r="AZ1245" t="inlineStr">
        <is>
          <t>2026-02-03</t>
        </is>
      </c>
      <c r="BA1245" t="inlineStr">
        <is>
          <t>Mejl från Carl Zide.pdf</t>
        </is>
      </c>
      <c r="BB1245" t="inlineStr">
        <is>
          <t>Ärende gällande användning av avfall för anläggningsändamål, Arvika kommun</t>
        </is>
      </c>
      <c r="BC1245" t="inlineStr">
        <is>
          <t>AUTO</t>
        </is>
      </c>
      <c r="BD1245" t="inlineStr"/>
      <c r="BE1245" t="inlineStr"/>
      <c r="BF1245" t="inlineStr">
        <is>
          <t>AUTO_GENERERAD. Bekrafta metadata mot kallfil.</t>
        </is>
      </c>
      <c r="BG1245">
        <f>HYPERLINK("C:\Users\jimmy\Desktop\Examens arbete\Kod\Ny mapp\remix_-copy-of-miljöbeslut.se-portal\Mejl från Carl Zide.pdf", "Öppna PDF")</f>
        <v/>
      </c>
    </row>
    <row r="1246">
      <c r="A1246" t="inlineStr">
        <is>
          <t>KRAV-AUTO-001245</t>
        </is>
      </c>
      <c r="B1246" t="inlineStr">
        <is>
          <t>ADMIN-INDEX-2026-02-27-00000000125C043F57453246863FE664CAFE6A3F0700950291EA24F0614FB6ACEDB12BF0E31D00000000010C0000950291EA24F0614FB6ACEDB12BF0E31D00002087AE920000</t>
        </is>
      </c>
      <c r="C1246" t="inlineStr">
        <is>
          <t>cmm4yupc002gncuqwakbngv3p</t>
        </is>
      </c>
      <c r="D1246" t="inlineStr">
        <is>
          <t>http://localhost:8787/api/admin/requirements/documents/cmm4yupc002gncuqwakbngv3p/view</t>
        </is>
      </c>
      <c r="E1246">
        <f>HYPERLÄNK("http://localhost:8787/api/admin/requirements/documents/cmm4yupc002gncuqwakbngv3p/view";"Öppna PDF")</f>
        <v/>
      </c>
      <c r="F1246">
        <f>HYPERLINK("http://localhost:8787/api/admin/requirements/documents/cmm4yupc002gncuqwakbngv3p/view","Open PDF")</f>
        <v/>
      </c>
      <c r="G1246" t="inlineStr">
        <is>
          <t>cmm55w57p0004cuisfrtpqly8</t>
        </is>
      </c>
      <c r="H1246" t="inlineStr">
        <is>
          <t>Beslutsvillkor</t>
        </is>
      </c>
      <c r="I1246" t="inlineStr">
        <is>
          <t>Riskhantering</t>
        </is>
      </c>
      <c r="J1246" t="inlineStr">
        <is>
          <t>Riskkontroll</t>
        </is>
      </c>
      <c r="K1246" t="inlineStr">
        <is>
          <t>Hur bör miljörisker för asfalt bedömas?</t>
        </is>
      </c>
      <c r="L1246" t="inlineStr">
        <is>
          <t>Hur bör miljörisker för asfalt bedömas?</t>
        </is>
      </c>
      <c r="M1246" t="inlineStr">
        <is>
          <t>BOR</t>
        </is>
      </c>
      <c r="N1246" t="inlineStr"/>
      <c r="O1246" t="inlineStr"/>
      <c r="P1246" t="inlineStr"/>
      <c r="Q1246" t="inlineStr"/>
      <c r="R1246" t="inlineStr">
        <is>
          <t>Vid risk for incident</t>
        </is>
      </c>
      <c r="S1246" t="inlineStr"/>
      <c r="T1246" t="inlineStr"/>
      <c r="U1246" t="inlineStr"/>
      <c r="V1246" t="inlineStr"/>
      <c r="W1246" t="inlineStr">
        <is>
          <t>Nej</t>
        </is>
      </c>
      <c r="X1246" t="inlineStr">
        <is>
          <t>Nej</t>
        </is>
      </c>
      <c r="Y1246" t="inlineStr">
        <is>
          <t>Ja</t>
        </is>
      </c>
      <c r="Z1246" t="inlineStr">
        <is>
          <t>Ja</t>
        </is>
      </c>
      <c r="AA1246" t="n">
        <v>8</v>
      </c>
      <c r="AB1246" t="inlineStr">
        <is>
          <t>Riskhantering</t>
        </is>
      </c>
      <c r="AC1246" t="inlineStr">
        <is>
          <t>Risk-PM</t>
        </is>
      </c>
      <c r="AD1246" t="inlineStr">
        <is>
          <t>Nej</t>
        </is>
      </c>
      <c r="AE1246" t="inlineStr">
        <is>
          <t>Nej</t>
        </is>
      </c>
      <c r="AF1246" t="inlineStr">
        <is>
          <t>Ej behandlad</t>
        </is>
      </c>
      <c r="AG1246" t="inlineStr">
        <is>
          <t>AUTO_GENERERAD. Verifiera citat mot kallfil.</t>
        </is>
      </c>
      <c r="AH1246" t="inlineStr">
        <is>
          <t>LOW</t>
        </is>
      </c>
      <c r="AI1246" t="inlineStr">
        <is>
          <t>AUTO</t>
        </is>
      </c>
      <c r="AJ1246" t="inlineStr">
        <is>
          <t>Nej</t>
        </is>
      </c>
      <c r="AK1246" t="inlineStr"/>
      <c r="AL1246" t="inlineStr"/>
      <c r="AM1246" t="inlineStr"/>
      <c r="AN1246" t="inlineStr"/>
      <c r="AO1246" t="inlineStr">
        <is>
          <t>cmm4yupc002gncuqwakbngv3p</t>
        </is>
      </c>
      <c r="AP1246" t="inlineStr">
        <is>
          <t>http://localhost:8787/api/admin/requirements/documents/cmm4yupc002gncuqwakbngv3p/view</t>
        </is>
      </c>
      <c r="AQ1246">
        <f>HYPERLÄNK("http://localhost:8787/api/admin/requirements/documents/cmm4yupc002gncuqwakbngv3p/view";"Öppna PDF")</f>
        <v/>
      </c>
      <c r="AR1246">
        <f>HYPERLINK("http://localhost:8787/api/admin/requirements/documents/cmm4yupc002gncuqwakbngv3p/view","Open PDF")</f>
        <v/>
      </c>
      <c r="AS1246" t="inlineStr">
        <is>
          <t>cmm55w57p0004cuisfrtpqly8</t>
        </is>
      </c>
      <c r="AT1246" t="inlineStr">
        <is>
          <t>cmm4xvu980000cuh4vj0usz09</t>
        </is>
      </c>
      <c r="AU1246" t="inlineStr">
        <is>
          <t>Arvika</t>
        </is>
      </c>
      <c r="AV1246" t="inlineStr">
        <is>
          <t>Kommun</t>
        </is>
      </c>
      <c r="AW1246" t="inlineStr">
        <is>
          <t>Arvika kommun</t>
        </is>
      </c>
      <c r="AX1246" t="inlineStr">
        <is>
          <t>2025-04</t>
        </is>
      </c>
      <c r="AY1246" t="inlineStr">
        <is>
          <t>Beslut</t>
        </is>
      </c>
      <c r="AZ1246" t="inlineStr">
        <is>
          <t>2026-02-03</t>
        </is>
      </c>
      <c r="BA1246" t="inlineStr">
        <is>
          <t>Mejl från Carl Zide.pdf</t>
        </is>
      </c>
      <c r="BB1246" t="inlineStr">
        <is>
          <t>Ärende gällande användning av avfall för anläggningsändamål, Arvika kommun</t>
        </is>
      </c>
      <c r="BC1246" t="inlineStr">
        <is>
          <t>AUTO</t>
        </is>
      </c>
      <c r="BD1246" t="inlineStr"/>
      <c r="BE1246" t="inlineStr"/>
      <c r="BF1246" t="inlineStr">
        <is>
          <t>AUTO_GENERERAD. Bekrafta metadata mot kallfil.</t>
        </is>
      </c>
      <c r="BG1246">
        <f>HYPERLINK("C:\Users\jimmy\Desktop\Examens arbete\Kod\Ny mapp\remix_-copy-of-miljöbeslut.se-portal\Mejl från Carl Zide.pdf", "Öppna PDF")</f>
        <v/>
      </c>
    </row>
    <row r="1247">
      <c r="A1247" t="inlineStr">
        <is>
          <t>KRAV-AUTO-001246</t>
        </is>
      </c>
      <c r="B1247" t="inlineStr">
        <is>
          <t>ADMIN-INDEX-2026-02-27-00000000125C043F57453246863FE664CAFE6A3F0700950291EA24F0614FB6ACEDB12BF0E31D00000000010C0000950291EA24F0614FB6ACEDB12BF0E31D00002087AE920000</t>
        </is>
      </c>
      <c r="C1247" t="inlineStr">
        <is>
          <t>cmm4yupc002gncuqwakbngv3p</t>
        </is>
      </c>
      <c r="D1247" t="inlineStr">
        <is>
          <t>http://localhost:8787/api/admin/requirements/documents/cmm4yupc002gncuqwakbngv3p/view</t>
        </is>
      </c>
      <c r="E1247">
        <f>HYPERLÄNK("http://localhost:8787/api/admin/requirements/documents/cmm4yupc002gncuqwakbngv3p/view";"Öppna PDF")</f>
        <v/>
      </c>
      <c r="F1247">
        <f>HYPERLINK("http://localhost:8787/api/admin/requirements/documents/cmm4yupc002gncuqwakbngv3p/view","Open PDF")</f>
        <v/>
      </c>
      <c r="G1247" t="inlineStr">
        <is>
          <t>cmm55w57p0004cuisfrtpqly8</t>
        </is>
      </c>
      <c r="H1247" t="inlineStr">
        <is>
          <t>Beslutsvillkor</t>
        </is>
      </c>
      <c r="I1247" t="inlineStr">
        <is>
          <t>DriftEgenkontroll</t>
        </is>
      </c>
      <c r="J1247" t="inlineStr">
        <is>
          <t>Journalforing</t>
        </is>
      </c>
      <c r="K1247" t="inlineStr">
        <is>
          <t>Om jag får föreslå något så tycker jag att ni kan förelägga Glava Grävtjänst att ta kompletterande prover vid ankomst i enlighet med deras kontrollprogram.</t>
        </is>
      </c>
      <c r="L1247" t="inlineStr">
        <is>
          <t>Om jag får föreslå något så tycker jag att ni kan förelägga Glava Grävtjänst att ta kompletterande prover vid ankomst i enlighet med deras kontrollprogram.</t>
        </is>
      </c>
      <c r="M1247" t="inlineStr">
        <is>
          <t>KAN</t>
        </is>
      </c>
      <c r="N1247" t="inlineStr"/>
      <c r="O1247" t="inlineStr"/>
      <c r="P1247" t="inlineStr"/>
      <c r="Q1247" t="inlineStr">
        <is>
          <t>Forelaggande vid brist</t>
        </is>
      </c>
      <c r="R1247" t="inlineStr">
        <is>
          <t>Lopande drift</t>
        </is>
      </c>
      <c r="S1247" t="inlineStr"/>
      <c r="T1247" t="inlineStr"/>
      <c r="U1247" t="inlineStr"/>
      <c r="V1247" t="inlineStr"/>
      <c r="W1247" t="inlineStr">
        <is>
          <t>Nej</t>
        </is>
      </c>
      <c r="X1247" t="inlineStr">
        <is>
          <t>Nej</t>
        </is>
      </c>
      <c r="Y1247" t="inlineStr">
        <is>
          <t>Ja</t>
        </is>
      </c>
      <c r="Z1247" t="inlineStr">
        <is>
          <t>Nej</t>
        </is>
      </c>
      <c r="AA1247" t="n">
        <v>7</v>
      </c>
      <c r="AB1247" t="inlineStr">
        <is>
          <t>Egenkontrollrutiner</t>
        </is>
      </c>
      <c r="AC1247" t="inlineStr">
        <is>
          <t>Egenkontrollprogram</t>
        </is>
      </c>
      <c r="AD1247" t="inlineStr">
        <is>
          <t>Nej</t>
        </is>
      </c>
      <c r="AE1247" t="inlineStr">
        <is>
          <t>Nej</t>
        </is>
      </c>
      <c r="AF1247" t="inlineStr">
        <is>
          <t>Ej behandlad</t>
        </is>
      </c>
      <c r="AG1247" t="inlineStr">
        <is>
          <t>AUTO_GENERERAD. Verifiera citat mot kallfil.</t>
        </is>
      </c>
      <c r="AH1247" t="inlineStr">
        <is>
          <t>MEDIUM</t>
        </is>
      </c>
      <c r="AI1247" t="inlineStr">
        <is>
          <t>AUTO</t>
        </is>
      </c>
      <c r="AJ1247" t="inlineStr">
        <is>
          <t>Nej</t>
        </is>
      </c>
      <c r="AK1247" t="inlineStr"/>
      <c r="AL1247" t="inlineStr"/>
      <c r="AM1247" t="inlineStr"/>
      <c r="AN1247" t="inlineStr"/>
      <c r="AO1247" t="inlineStr">
        <is>
          <t>cmm4yupc002gncuqwakbngv3p</t>
        </is>
      </c>
      <c r="AP1247" t="inlineStr">
        <is>
          <t>http://localhost:8787/api/admin/requirements/documents/cmm4yupc002gncuqwakbngv3p/view</t>
        </is>
      </c>
      <c r="AQ1247">
        <f>HYPERLÄNK("http://localhost:8787/api/admin/requirements/documents/cmm4yupc002gncuqwakbngv3p/view";"Öppna PDF")</f>
        <v/>
      </c>
      <c r="AR1247">
        <f>HYPERLINK("http://localhost:8787/api/admin/requirements/documents/cmm4yupc002gncuqwakbngv3p/view","Open PDF")</f>
        <v/>
      </c>
      <c r="AS1247" t="inlineStr">
        <is>
          <t>cmm55w57p0004cuisfrtpqly8</t>
        </is>
      </c>
      <c r="AT1247" t="inlineStr">
        <is>
          <t>cmm4xvu980000cuh4vj0usz09</t>
        </is>
      </c>
      <c r="AU1247" t="inlineStr">
        <is>
          <t>Arvika</t>
        </is>
      </c>
      <c r="AV1247" t="inlineStr">
        <is>
          <t>Kommun</t>
        </is>
      </c>
      <c r="AW1247" t="inlineStr">
        <is>
          <t>Arvika kommun</t>
        </is>
      </c>
      <c r="AX1247" t="inlineStr">
        <is>
          <t>2025-04</t>
        </is>
      </c>
      <c r="AY1247" t="inlineStr">
        <is>
          <t>Beslut</t>
        </is>
      </c>
      <c r="AZ1247" t="inlineStr">
        <is>
          <t>2026-02-03</t>
        </is>
      </c>
      <c r="BA1247" t="inlineStr">
        <is>
          <t>Mejl från Carl Zide.pdf</t>
        </is>
      </c>
      <c r="BB1247" t="inlineStr">
        <is>
          <t>Ärende gällande användning av avfall för anläggningsändamål, Arvika kommun</t>
        </is>
      </c>
      <c r="BC1247" t="inlineStr">
        <is>
          <t>AUTO</t>
        </is>
      </c>
      <c r="BD1247" t="inlineStr"/>
      <c r="BE1247" t="inlineStr"/>
      <c r="BF1247" t="inlineStr">
        <is>
          <t>AUTO_GENERERAD. Bekrafta metadata mot kallfil.</t>
        </is>
      </c>
      <c r="BG1247">
        <f>HYPERLINK("C:\Users\jimmy\Desktop\Examens arbete\Kod\Ny mapp\remix_-copy-of-miljöbeslut.se-portal\Mejl från Carl Zide.pdf", "Öppna PDF")</f>
        <v/>
      </c>
    </row>
    <row r="1248">
      <c r="A1248" t="inlineStr">
        <is>
          <t>KRAV-AUTO-001247</t>
        </is>
      </c>
      <c r="B1248" t="inlineStr">
        <is>
          <t>ADMIN-INDEX-2026-02-27-00000000125C043F57453246863FE664CAFE6A3F0700950291EA24F0614FB6ACEDB12BF0E31D00000000010C0000950291EA24F0614FB6ACEDB12BF0E31D00002087AE920000</t>
        </is>
      </c>
      <c r="C1248" t="inlineStr">
        <is>
          <t>cmm4yupc002gncuqwakbngv3p</t>
        </is>
      </c>
      <c r="D1248" t="inlineStr">
        <is>
          <t>http://localhost:8787/api/admin/requirements/documents/cmm4yupc002gncuqwakbngv3p/view</t>
        </is>
      </c>
      <c r="E1248">
        <f>HYPERLÄNK("http://localhost:8787/api/admin/requirements/documents/cmm4yupc002gncuqwakbngv3p/view";"Öppna PDF")</f>
        <v/>
      </c>
      <c r="F1248">
        <f>HYPERLINK("http://localhost:8787/api/admin/requirements/documents/cmm4yupc002gncuqwakbngv3p/view","Open PDF")</f>
        <v/>
      </c>
      <c r="G1248" t="inlineStr">
        <is>
          <t>cmm55w57p0004cuisfrtpqly8</t>
        </is>
      </c>
      <c r="H1248" t="inlineStr">
        <is>
          <t>Beslutsvillkor</t>
        </is>
      </c>
      <c r="I1248" t="inlineStr">
        <is>
          <t>Ytkonstruktion</t>
        </is>
      </c>
      <c r="J1248" t="inlineStr">
        <is>
          <t>Tat yta</t>
        </is>
      </c>
      <c r="K1248" t="inlineStr">
        <is>
          <t>Man skulle också kunna förelägga Glava Grävtjänst att installera grundvattenrör inom 12 månader för att ytterligare förstärka miljökontrollen utöver provtagning i den kommande sedimentationsdammen.</t>
        </is>
      </c>
      <c r="L1248" t="inlineStr">
        <is>
          <t>Man skulle också kunna förelägga Glava Grävtjänst att installera grundvattenrör inom 12 månader för att ytterligare förstärka miljökontrollen utöver provtagning i den kommande sedimentationsdammen.</t>
        </is>
      </c>
      <c r="M1248" t="inlineStr">
        <is>
          <t>INFO</t>
        </is>
      </c>
      <c r="N1248" t="inlineStr"/>
      <c r="O1248" t="inlineStr">
        <is>
          <t>inom 12 manader</t>
        </is>
      </c>
      <c r="P1248" t="inlineStr">
        <is>
          <t>Manadskontroll</t>
        </is>
      </c>
      <c r="Q1248" t="inlineStr">
        <is>
          <t>Forelaggande vid brist</t>
        </is>
      </c>
      <c r="R1248" t="inlineStr">
        <is>
          <t>Vid mellanlagring av avfall</t>
        </is>
      </c>
      <c r="S1248" t="inlineStr"/>
      <c r="T1248" t="inlineStr"/>
      <c r="U1248" t="inlineStr"/>
      <c r="V1248" t="inlineStr">
        <is>
          <t>12 manader</t>
        </is>
      </c>
      <c r="W1248" t="inlineStr">
        <is>
          <t>Ja</t>
        </is>
      </c>
      <c r="X1248" t="inlineStr">
        <is>
          <t>Nej</t>
        </is>
      </c>
      <c r="Y1248" t="inlineStr">
        <is>
          <t>Nej</t>
        </is>
      </c>
      <c r="Z1248" t="inlineStr">
        <is>
          <t>Nej</t>
        </is>
      </c>
      <c r="AA1248" t="n">
        <v>5</v>
      </c>
      <c r="AB1248" t="inlineStr">
        <is>
          <t>Teknisk beskrivning av platta</t>
        </is>
      </c>
      <c r="AC1248" t="inlineStr">
        <is>
          <t>Teknisk ritning platta</t>
        </is>
      </c>
      <c r="AD1248" t="inlineStr">
        <is>
          <t>Nej</t>
        </is>
      </c>
      <c r="AE1248" t="inlineStr">
        <is>
          <t>Nej</t>
        </is>
      </c>
      <c r="AF1248" t="inlineStr">
        <is>
          <t>Ej behandlad</t>
        </is>
      </c>
      <c r="AG1248" t="inlineStr">
        <is>
          <t>AUTO_GENERERAD. Verifiera citat mot kallfil.</t>
        </is>
      </c>
      <c r="AH1248" t="inlineStr">
        <is>
          <t>MEDIUM</t>
        </is>
      </c>
      <c r="AI1248" t="inlineStr">
        <is>
          <t>AUTO</t>
        </is>
      </c>
      <c r="AJ1248" t="inlineStr">
        <is>
          <t>Nej</t>
        </is>
      </c>
      <c r="AK1248" t="inlineStr"/>
      <c r="AL1248" t="inlineStr"/>
      <c r="AM1248" t="inlineStr"/>
      <c r="AN1248" t="inlineStr"/>
      <c r="AO1248" t="inlineStr">
        <is>
          <t>cmm4yupc002gncuqwakbngv3p</t>
        </is>
      </c>
      <c r="AP1248" t="inlineStr">
        <is>
          <t>http://localhost:8787/api/admin/requirements/documents/cmm4yupc002gncuqwakbngv3p/view</t>
        </is>
      </c>
      <c r="AQ1248">
        <f>HYPERLÄNK("http://localhost:8787/api/admin/requirements/documents/cmm4yupc002gncuqwakbngv3p/view";"Öppna PDF")</f>
        <v/>
      </c>
      <c r="AR1248">
        <f>HYPERLINK("http://localhost:8787/api/admin/requirements/documents/cmm4yupc002gncuqwakbngv3p/view","Open PDF")</f>
        <v/>
      </c>
      <c r="AS1248" t="inlineStr">
        <is>
          <t>cmm55w57p0004cuisfrtpqly8</t>
        </is>
      </c>
      <c r="AT1248" t="inlineStr">
        <is>
          <t>cmm4xvu980000cuh4vj0usz09</t>
        </is>
      </c>
      <c r="AU1248" t="inlineStr">
        <is>
          <t>Arvika</t>
        </is>
      </c>
      <c r="AV1248" t="inlineStr">
        <is>
          <t>Kommun</t>
        </is>
      </c>
      <c r="AW1248" t="inlineStr">
        <is>
          <t>Arvika kommun</t>
        </is>
      </c>
      <c r="AX1248" t="inlineStr">
        <is>
          <t>2025-04</t>
        </is>
      </c>
      <c r="AY1248" t="inlineStr">
        <is>
          <t>Beslut</t>
        </is>
      </c>
      <c r="AZ1248" t="inlineStr">
        <is>
          <t>2026-02-03</t>
        </is>
      </c>
      <c r="BA1248" t="inlineStr">
        <is>
          <t>Mejl från Carl Zide.pdf</t>
        </is>
      </c>
      <c r="BB1248" t="inlineStr">
        <is>
          <t>Ärende gällande användning av avfall för anläggningsändamål, Arvika kommun</t>
        </is>
      </c>
      <c r="BC1248" t="inlineStr">
        <is>
          <t>AUTO</t>
        </is>
      </c>
      <c r="BD1248" t="inlineStr"/>
      <c r="BE1248" t="inlineStr"/>
      <c r="BF1248" t="inlineStr">
        <is>
          <t>AUTO_GENERERAD. Bekrafta metadata mot kallfil.</t>
        </is>
      </c>
      <c r="BG1248">
        <f>HYPERLINK("C:\Users\jimmy\Desktop\Examens arbete\Kod\Ny mapp\remix_-copy-of-miljöbeslut.se-portal\Mejl från Carl Zide.pdf", "Öppna PDF")</f>
        <v/>
      </c>
    </row>
    <row r="1249">
      <c r="A1249" t="inlineStr">
        <is>
          <t>KRAV-AUTO-001248</t>
        </is>
      </c>
      <c r="B1249" t="inlineStr">
        <is>
          <t>ADMIN-INDEX-2026-02-27-00000000125C043F57453246863FE664CAFE6A3F0700950291EA24F0614FB6ACEDB12BF0E31D00000000010C0000950291EA24F0614FB6ACEDB12BF0E31D00002087AE930000</t>
        </is>
      </c>
      <c r="C1249" t="inlineStr">
        <is>
          <t>cmm4yupbv02ghcuqwpw1dt4la</t>
        </is>
      </c>
      <c r="D1249" t="inlineStr">
        <is>
          <t>http://localhost:8787/api/admin/requirements/documents/cmm4yupbv02ghcuqwpw1dt4la/view</t>
        </is>
      </c>
      <c r="E1249">
        <f>HYPERLÄNK("http://localhost:8787/api/admin/requirements/documents/cmm4yupbv02ghcuqwpw1dt4la/view";"Öppna PDF")</f>
        <v/>
      </c>
      <c r="F1249">
        <f>HYPERLINK("http://localhost:8787/api/admin/requirements/documents/cmm4yupbv02ghcuqwpw1dt4la/view","Open PDF")</f>
        <v/>
      </c>
      <c r="G1249" t="inlineStr">
        <is>
          <t>cmm55w57p0004cuisfrtpqly8</t>
        </is>
      </c>
      <c r="H1249" t="inlineStr">
        <is>
          <t>Kompletteringskrav</t>
        </is>
      </c>
      <c r="I1249" t="inlineStr">
        <is>
          <t>MiljopaverkanForsiktighet</t>
        </is>
      </c>
      <c r="J1249" t="inlineStr">
        <is>
          <t>Skyddsatgarder</t>
        </is>
      </c>
      <c r="K1249" t="inlineStr">
        <is>
          <t>Material som inte är klassat som fyllnadsmaterial eller annat godtagbart byggmaterial, samt oönskat eller miljömässigt olämpligt avfall, ska sorteras bort och lämnas till godkänd avfallsmottagare.</t>
        </is>
      </c>
      <c r="L1249" t="inlineStr">
        <is>
          <t>Material som inte är klassat som fyllnadsmaterial eller annat godtagbart byggmaterial, samt oönskat eller miljömässigt olämpligt avfall, ska sorteras bort och lämnas till godkänd avfallsmottagare.</t>
        </is>
      </c>
      <c r="M1249" t="inlineStr">
        <is>
          <t>SKA</t>
        </is>
      </c>
      <c r="N1249" t="inlineStr"/>
      <c r="O1249" t="inlineStr"/>
      <c r="P1249" t="inlineStr"/>
      <c r="Q1249" t="inlineStr"/>
      <c r="R1249" t="inlineStr">
        <is>
          <t>Alltid</t>
        </is>
      </c>
      <c r="S1249" t="inlineStr"/>
      <c r="T1249" t="inlineStr"/>
      <c r="U1249" t="inlineStr"/>
      <c r="V1249" t="inlineStr"/>
      <c r="W1249" t="inlineStr">
        <is>
          <t>Nej</t>
        </is>
      </c>
      <c r="X1249" t="inlineStr">
        <is>
          <t>Nej</t>
        </is>
      </c>
      <c r="Y1249" t="inlineStr">
        <is>
          <t>Nej</t>
        </is>
      </c>
      <c r="Z1249" t="inlineStr">
        <is>
          <t>Nej</t>
        </is>
      </c>
      <c r="AA1249" t="n">
        <v>10</v>
      </c>
      <c r="AB1249" t="inlineStr">
        <is>
          <t>Miljopaverkan och forsiktighetsmatt</t>
        </is>
      </c>
      <c r="AC1249" t="inlineStr">
        <is>
          <t>Miljo-PM</t>
        </is>
      </c>
      <c r="AD1249" t="inlineStr">
        <is>
          <t>Nej</t>
        </is>
      </c>
      <c r="AE1249" t="inlineStr">
        <is>
          <t>Nej</t>
        </is>
      </c>
      <c r="AF1249" t="inlineStr">
        <is>
          <t>Ej behandlad</t>
        </is>
      </c>
      <c r="AG1249" t="inlineStr">
        <is>
          <t>AUTO_GENERERAD. Verifiera citat mot kallfil.</t>
        </is>
      </c>
      <c r="AH1249" t="inlineStr">
        <is>
          <t>MEDIUM</t>
        </is>
      </c>
      <c r="AI1249" t="inlineStr">
        <is>
          <t>AUTO</t>
        </is>
      </c>
      <c r="AJ1249" t="inlineStr">
        <is>
          <t>Nej</t>
        </is>
      </c>
      <c r="AK1249" t="inlineStr"/>
      <c r="AL1249" t="inlineStr"/>
      <c r="AM1249" t="inlineStr"/>
      <c r="AN1249" t="inlineStr"/>
      <c r="AO1249" t="inlineStr">
        <is>
          <t>cmm4yupbv02ghcuqwpw1dt4la</t>
        </is>
      </c>
      <c r="AP1249" t="inlineStr">
        <is>
          <t>http://localhost:8787/api/admin/requirements/documents/cmm4yupbv02ghcuqwpw1dt4la/view</t>
        </is>
      </c>
      <c r="AQ1249">
        <f>HYPERLÄNK("http://localhost:8787/api/admin/requirements/documents/cmm4yupbv02ghcuqwpw1dt4la/view";"Öppna PDF")</f>
        <v/>
      </c>
      <c r="AR1249">
        <f>HYPERLINK("http://localhost:8787/api/admin/requirements/documents/cmm4yupbv02ghcuqwpw1dt4la/view","Open PDF")</f>
        <v/>
      </c>
      <c r="AS1249" t="inlineStr">
        <is>
          <t>cmm55w57p0004cuisfrtpqly8</t>
        </is>
      </c>
      <c r="AT1249" t="inlineStr">
        <is>
          <t>cmm4xvu980000cuh4vj0usz09</t>
        </is>
      </c>
      <c r="AU1249" t="inlineStr"/>
      <c r="AV1249" t="inlineStr">
        <is>
          <t>Kommun</t>
        </is>
      </c>
      <c r="AW1249" t="inlineStr"/>
      <c r="AX1249" t="inlineStr">
        <is>
          <t>2025-06</t>
        </is>
      </c>
      <c r="AY1249" t="inlineStr">
        <is>
          <t>Forelaggande</t>
        </is>
      </c>
      <c r="AZ1249" t="inlineStr">
        <is>
          <t>2026-02-03</t>
        </is>
      </c>
      <c r="BA1249" t="inlineStr">
        <is>
          <t>M_föreläggande om åtgärd (1).pdf</t>
        </is>
      </c>
      <c r="BB1249" t="inlineStr">
        <is>
          <t>till registrator</t>
        </is>
      </c>
      <c r="BC1249" t="inlineStr">
        <is>
          <t>AUTO</t>
        </is>
      </c>
      <c r="BD1249" t="inlineStr"/>
      <c r="BE1249" t="inlineStr"/>
      <c r="BF1249" t="inlineStr">
        <is>
          <t>AUTO_GENERERAD. Bekrafta metadata mot kallfil.</t>
        </is>
      </c>
      <c r="BG1249">
        <f>HYPERLINK("C:\Users\jimmy\Desktop\Examens arbete\Kod\Ny mapp\remix_-copy-of-miljöbeslut.se-portal\M_föreläggande om åtgärd (1).pdf", "Öppna PDF")</f>
        <v/>
      </c>
    </row>
    <row r="1250">
      <c r="A1250" t="inlineStr">
        <is>
          <t>KRAV-AUTO-001249</t>
        </is>
      </c>
      <c r="B1250" t="inlineStr">
        <is>
          <t>ADMIN-INDEX-2026-02-27-00000000125C043F57453246863FE664CAFE6A3F0700950291EA24F0614FB6ACEDB12BF0E31D00000000010C0000950291EA24F0614FB6ACEDB12BF0E31D00002087AE930000</t>
        </is>
      </c>
      <c r="C1250" t="inlineStr">
        <is>
          <t>cmm4yupbv02ghcuqwpw1dt4la</t>
        </is>
      </c>
      <c r="D1250" t="inlineStr">
        <is>
          <t>http://localhost:8787/api/admin/requirements/documents/cmm4yupbv02ghcuqwpw1dt4la/view</t>
        </is>
      </c>
      <c r="E1250">
        <f>HYPERLÄNK("http://localhost:8787/api/admin/requirements/documents/cmm4yupbv02ghcuqwpw1dt4la/view";"Öppna PDF")</f>
        <v/>
      </c>
      <c r="F1250">
        <f>HYPERLINK("http://localhost:8787/api/admin/requirements/documents/cmm4yupbv02ghcuqwpw1dt4la/view","Open PDF")</f>
        <v/>
      </c>
      <c r="G1250" t="inlineStr">
        <is>
          <t>cmm55w57p0004cuisfrtpqly8</t>
        </is>
      </c>
      <c r="H1250" t="inlineStr">
        <is>
          <t>Kompletteringskrav</t>
        </is>
      </c>
      <c r="I1250" t="inlineStr">
        <is>
          <t>MiljopaverkanForsiktighet</t>
        </is>
      </c>
      <c r="J1250" t="inlineStr">
        <is>
          <t>Skyddsatgarder</t>
        </is>
      </c>
      <c r="K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50" t="inlineStr">
        <is>
          <t>BOR</t>
        </is>
      </c>
      <c r="N1250" t="inlineStr"/>
      <c r="O1250" t="inlineStr">
        <is>
          <t>2025-06-02</t>
        </is>
      </c>
      <c r="P1250" t="inlineStr"/>
      <c r="Q1250" t="inlineStr">
        <is>
          <t>Forelaggande vid brist</t>
        </is>
      </c>
      <c r="R1250" t="inlineStr">
        <is>
          <t>Alltid</t>
        </is>
      </c>
      <c r="S1250" t="inlineStr"/>
      <c r="T1250" t="inlineStr"/>
      <c r="U1250" t="inlineStr"/>
      <c r="V1250" t="inlineStr"/>
      <c r="W1250" t="inlineStr">
        <is>
          <t>Nej</t>
        </is>
      </c>
      <c r="X1250" t="inlineStr">
        <is>
          <t>Nej</t>
        </is>
      </c>
      <c r="Y1250" t="inlineStr">
        <is>
          <t>Nej</t>
        </is>
      </c>
      <c r="Z1250" t="inlineStr">
        <is>
          <t>Nej</t>
        </is>
      </c>
      <c r="AA1250" t="n">
        <v>10</v>
      </c>
      <c r="AB1250" t="inlineStr">
        <is>
          <t>Miljopaverkan och forsiktighetsmatt</t>
        </is>
      </c>
      <c r="AC1250" t="inlineStr">
        <is>
          <t>Miljo-PM</t>
        </is>
      </c>
      <c r="AD1250" t="inlineStr">
        <is>
          <t>Nej</t>
        </is>
      </c>
      <c r="AE1250" t="inlineStr">
        <is>
          <t>Nej</t>
        </is>
      </c>
      <c r="AF1250" t="inlineStr">
        <is>
          <t>Ej behandlad</t>
        </is>
      </c>
      <c r="AG1250" t="inlineStr">
        <is>
          <t>AUTO_GENERERAD. Verifiera citat mot kallfil.</t>
        </is>
      </c>
      <c r="AH1250" t="inlineStr">
        <is>
          <t>MEDIUM</t>
        </is>
      </c>
      <c r="AI1250" t="inlineStr">
        <is>
          <t>AUTO</t>
        </is>
      </c>
      <c r="AJ1250" t="inlineStr">
        <is>
          <t>Nej</t>
        </is>
      </c>
      <c r="AK1250" t="inlineStr"/>
      <c r="AL1250" t="inlineStr"/>
      <c r="AM1250" t="inlineStr"/>
      <c r="AN1250" t="inlineStr"/>
      <c r="AO1250" t="inlineStr">
        <is>
          <t>cmm4yupbv02ghcuqwpw1dt4la</t>
        </is>
      </c>
      <c r="AP1250" t="inlineStr">
        <is>
          <t>http://localhost:8787/api/admin/requirements/documents/cmm4yupbv02ghcuqwpw1dt4la/view</t>
        </is>
      </c>
      <c r="AQ1250">
        <f>HYPERLÄNK("http://localhost:8787/api/admin/requirements/documents/cmm4yupbv02ghcuqwpw1dt4la/view";"Öppna PDF")</f>
        <v/>
      </c>
      <c r="AR1250">
        <f>HYPERLINK("http://localhost:8787/api/admin/requirements/documents/cmm4yupbv02ghcuqwpw1dt4la/view","Open PDF")</f>
        <v/>
      </c>
      <c r="AS1250" t="inlineStr">
        <is>
          <t>cmm55w57p0004cuisfrtpqly8</t>
        </is>
      </c>
      <c r="AT1250" t="inlineStr">
        <is>
          <t>cmm4xvu980000cuh4vj0usz09</t>
        </is>
      </c>
      <c r="AU1250" t="inlineStr"/>
      <c r="AV1250" t="inlineStr">
        <is>
          <t>Kommun</t>
        </is>
      </c>
      <c r="AW1250" t="inlineStr"/>
      <c r="AX1250" t="inlineStr">
        <is>
          <t>2025-06</t>
        </is>
      </c>
      <c r="AY1250" t="inlineStr">
        <is>
          <t>Forelaggande</t>
        </is>
      </c>
      <c r="AZ1250" t="inlineStr">
        <is>
          <t>2026-02-03</t>
        </is>
      </c>
      <c r="BA1250" t="inlineStr">
        <is>
          <t>M_föreläggande om åtgärd (1).pdf</t>
        </is>
      </c>
      <c r="BB1250" t="inlineStr">
        <is>
          <t>till registrator</t>
        </is>
      </c>
      <c r="BC1250" t="inlineStr">
        <is>
          <t>AUTO</t>
        </is>
      </c>
      <c r="BD1250" t="inlineStr"/>
      <c r="BE1250" t="inlineStr"/>
      <c r="BF1250" t="inlineStr">
        <is>
          <t>AUTO_GENERERAD. Bekrafta metadata mot kallfil.</t>
        </is>
      </c>
      <c r="BG1250">
        <f>HYPERLINK("C:\Users\jimmy\Desktop\Examens arbete\Kod\Ny mapp\remix_-copy-of-miljöbeslut.se-portal\M_föreläggande om åtgärd (1).pdf", "Öppna PDF")</f>
        <v/>
      </c>
    </row>
    <row r="1251">
      <c r="A1251" t="inlineStr">
        <is>
          <t>KRAV-AUTO-001250</t>
        </is>
      </c>
      <c r="B1251" t="inlineStr">
        <is>
          <t>ADMIN-INDEX-2026-02-27-00000000125C043F57453246863FE664CAFE6A3F0700950291EA24F0614FB6ACEDB12BF0E31D00000000010C0000950291EA24F0614FB6ACEDB12BF0E31D00002087AE930000</t>
        </is>
      </c>
      <c r="C1251" t="inlineStr">
        <is>
          <t>cmm4yupbv02ghcuqwpw1dt4la</t>
        </is>
      </c>
      <c r="D1251" t="inlineStr">
        <is>
          <t>http://localhost:8787/api/admin/requirements/documents/cmm4yupbv02ghcuqwpw1dt4la/view</t>
        </is>
      </c>
      <c r="E1251">
        <f>HYPERLÄNK("http://localhost:8787/api/admin/requirements/documents/cmm4yupbv02ghcuqwpw1dt4la/view";"Öppna PDF")</f>
        <v/>
      </c>
      <c r="F1251">
        <f>HYPERLINK("http://localhost:8787/api/admin/requirements/documents/cmm4yupbv02ghcuqwpw1dt4la/view","Open PDF")</f>
        <v/>
      </c>
      <c r="G1251" t="inlineStr">
        <is>
          <t>cmm55w57p0004cuisfrtpqly8</t>
        </is>
      </c>
      <c r="H1251" t="inlineStr">
        <is>
          <t>Kompletteringskrav</t>
        </is>
      </c>
      <c r="I1251" t="inlineStr">
        <is>
          <t>LagringsvolymTid</t>
        </is>
      </c>
      <c r="J1251" t="inlineStr">
        <is>
          <t>Maxmangd</t>
        </is>
      </c>
      <c r="K1251" t="inlineStr">
        <is>
          <t>Om hörbara toner förekommer ska de angivna värdena sänkas med 5 dB (A)-enheter 3.</t>
        </is>
      </c>
      <c r="L1251" t="inlineStr">
        <is>
          <t>Om hörbara toner förekommer ska de angivna värdena sänkas med 5 dB (A)-enheter 3.</t>
        </is>
      </c>
      <c r="M1251" t="inlineStr">
        <is>
          <t>SKA</t>
        </is>
      </c>
      <c r="N1251" t="inlineStr"/>
      <c r="O1251" t="inlineStr"/>
      <c r="P1251" t="inlineStr"/>
      <c r="Q1251" t="inlineStr"/>
      <c r="R1251" t="inlineStr">
        <is>
          <t>Alltid</t>
        </is>
      </c>
      <c r="S1251" t="inlineStr"/>
      <c r="T1251" t="inlineStr"/>
      <c r="U1251" t="inlineStr"/>
      <c r="V1251" t="inlineStr"/>
      <c r="W1251" t="inlineStr">
        <is>
          <t>Nej</t>
        </is>
      </c>
      <c r="X1251" t="inlineStr">
        <is>
          <t>Nej</t>
        </is>
      </c>
      <c r="Y1251" t="inlineStr">
        <is>
          <t>Nej</t>
        </is>
      </c>
      <c r="Z1251" t="inlineStr">
        <is>
          <t>Nej</t>
        </is>
      </c>
      <c r="AA1251" t="n">
        <v>4</v>
      </c>
      <c r="AB1251" t="inlineStr">
        <is>
          <t>Avfallsmangder och lagringstid</t>
        </is>
      </c>
      <c r="AC1251" t="inlineStr">
        <is>
          <t>Avfallsforteckning</t>
        </is>
      </c>
      <c r="AD1251" t="inlineStr">
        <is>
          <t>Nej</t>
        </is>
      </c>
      <c r="AE1251" t="inlineStr">
        <is>
          <t>Nej</t>
        </is>
      </c>
      <c r="AF1251" t="inlineStr">
        <is>
          <t>Ej behandlad</t>
        </is>
      </c>
      <c r="AG1251" t="inlineStr">
        <is>
          <t>AUTO_GENERERAD. Verifiera citat mot kallfil.</t>
        </is>
      </c>
      <c r="AH1251" t="inlineStr">
        <is>
          <t>MEDIUM</t>
        </is>
      </c>
      <c r="AI1251" t="inlineStr">
        <is>
          <t>AUTO</t>
        </is>
      </c>
      <c r="AJ1251" t="inlineStr">
        <is>
          <t>Nej</t>
        </is>
      </c>
      <c r="AK1251" t="inlineStr"/>
      <c r="AL1251" t="inlineStr"/>
      <c r="AM1251" t="inlineStr"/>
      <c r="AN1251" t="inlineStr"/>
      <c r="AO1251" t="inlineStr">
        <is>
          <t>cmm4yupbv02ghcuqwpw1dt4la</t>
        </is>
      </c>
      <c r="AP1251" t="inlineStr">
        <is>
          <t>http://localhost:8787/api/admin/requirements/documents/cmm4yupbv02ghcuqwpw1dt4la/view</t>
        </is>
      </c>
      <c r="AQ1251">
        <f>HYPERLÄNK("http://localhost:8787/api/admin/requirements/documents/cmm4yupbv02ghcuqwpw1dt4la/view";"Öppna PDF")</f>
        <v/>
      </c>
      <c r="AR1251">
        <f>HYPERLINK("http://localhost:8787/api/admin/requirements/documents/cmm4yupbv02ghcuqwpw1dt4la/view","Open PDF")</f>
        <v/>
      </c>
      <c r="AS1251" t="inlineStr">
        <is>
          <t>cmm55w57p0004cuisfrtpqly8</t>
        </is>
      </c>
      <c r="AT1251" t="inlineStr">
        <is>
          <t>cmm4xvu980000cuh4vj0usz09</t>
        </is>
      </c>
      <c r="AU1251" t="inlineStr"/>
      <c r="AV1251" t="inlineStr">
        <is>
          <t>Kommun</t>
        </is>
      </c>
      <c r="AW1251" t="inlineStr"/>
      <c r="AX1251" t="inlineStr">
        <is>
          <t>2025-06</t>
        </is>
      </c>
      <c r="AY1251" t="inlineStr">
        <is>
          <t>Forelaggande</t>
        </is>
      </c>
      <c r="AZ1251" t="inlineStr">
        <is>
          <t>2026-02-03</t>
        </is>
      </c>
      <c r="BA1251" t="inlineStr">
        <is>
          <t>M_föreläggande om åtgärd (1).pdf</t>
        </is>
      </c>
      <c r="BB1251" t="inlineStr">
        <is>
          <t>till registrator</t>
        </is>
      </c>
      <c r="BC1251" t="inlineStr">
        <is>
          <t>AUTO</t>
        </is>
      </c>
      <c r="BD1251" t="inlineStr"/>
      <c r="BE1251" t="inlineStr"/>
      <c r="BF1251" t="inlineStr">
        <is>
          <t>AUTO_GENERERAD. Bekrafta metadata mot kallfil.</t>
        </is>
      </c>
      <c r="BG1251">
        <f>HYPERLINK("C:\Users\jimmy\Desktop\Examens arbete\Kod\Ny mapp\remix_-copy-of-miljöbeslut.se-portal\M_föreläggande om åtgärd (1).pdf", "Öppna PDF")</f>
        <v/>
      </c>
    </row>
    <row r="1252">
      <c r="A1252" t="inlineStr">
        <is>
          <t>KRAV-AUTO-001251</t>
        </is>
      </c>
      <c r="B1252" t="inlineStr">
        <is>
          <t>ADMIN-INDEX-2026-02-27-00000000125C043F57453246863FE664CAFE6A3F0700950291EA24F0614FB6ACEDB12BF0E31D00000000010C0000950291EA24F0614FB6ACEDB12BF0E31D00002087AE930000</t>
        </is>
      </c>
      <c r="C1252" t="inlineStr">
        <is>
          <t>cmm4yupbs02gecuqwfm8bzlev</t>
        </is>
      </c>
      <c r="D1252" t="inlineStr">
        <is>
          <t>http://localhost:8787/api/admin/requirements/documents/cmm4yupbs02gecuqwfm8bzlev/view</t>
        </is>
      </c>
      <c r="E1252">
        <f>HYPERLÄNK("http://localhost:8787/api/admin/requirements/documents/cmm4yupbs02gecuqwfm8bzlev/view";"Öppna PDF")</f>
        <v/>
      </c>
      <c r="F1252">
        <f>HYPERLINK("http://localhost:8787/api/admin/requirements/documents/cmm4yupbs02gecuqwfm8bzlev/view","Open PDF")</f>
        <v/>
      </c>
      <c r="G1252" t="inlineStr">
        <is>
          <t>cmm55w57p0004cuisfrtpqly8</t>
        </is>
      </c>
      <c r="H1252" t="inlineStr">
        <is>
          <t>Beslutsvillkor</t>
        </is>
      </c>
      <c r="I1252" t="inlineStr">
        <is>
          <t>DagvattenLakvatten</t>
        </is>
      </c>
      <c r="J1252" t="inlineStr">
        <is>
          <t>Uppsamling</t>
        </is>
      </c>
      <c r="K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52" t="inlineStr">
        <is>
          <t>BOR</t>
        </is>
      </c>
      <c r="N1252" t="inlineStr"/>
      <c r="O1252" t="inlineStr"/>
      <c r="P1252" t="inlineStr"/>
      <c r="Q1252" t="inlineStr"/>
      <c r="R1252" t="inlineStr">
        <is>
          <t>Vid nederbord och avrinning</t>
        </is>
      </c>
      <c r="S1252" t="inlineStr"/>
      <c r="T1252" t="inlineStr">
        <is>
          <t>2025 08</t>
        </is>
      </c>
      <c r="U1252" t="inlineStr"/>
      <c r="V1252" t="inlineStr"/>
      <c r="W1252" t="inlineStr">
        <is>
          <t>Nej</t>
        </is>
      </c>
      <c r="X1252" t="inlineStr">
        <is>
          <t>Ja</t>
        </is>
      </c>
      <c r="Y1252" t="inlineStr">
        <is>
          <t>Ja</t>
        </is>
      </c>
      <c r="Z1252" t="inlineStr">
        <is>
          <t>Nej</t>
        </is>
      </c>
      <c r="AA1252" t="n">
        <v>6</v>
      </c>
      <c r="AB1252" t="inlineStr">
        <is>
          <t>Lakvattenhantering</t>
        </is>
      </c>
      <c r="AC1252" t="inlineStr">
        <is>
          <t>Flodesschema dagvatten-lakvatten</t>
        </is>
      </c>
      <c r="AD1252" t="inlineStr">
        <is>
          <t>Nej</t>
        </is>
      </c>
      <c r="AE1252" t="inlineStr">
        <is>
          <t>Nej</t>
        </is>
      </c>
      <c r="AF1252" t="inlineStr">
        <is>
          <t>Ej behandlad</t>
        </is>
      </c>
      <c r="AG1252" t="inlineStr">
        <is>
          <t>AUTO_GENERERAD. Verifiera citat mot kallfil.</t>
        </is>
      </c>
      <c r="AH1252" t="inlineStr">
        <is>
          <t>MEDIUM</t>
        </is>
      </c>
      <c r="AI1252" t="inlineStr">
        <is>
          <t>AUTO</t>
        </is>
      </c>
      <c r="AJ1252" t="inlineStr">
        <is>
          <t>Nej</t>
        </is>
      </c>
      <c r="AK1252" t="inlineStr"/>
      <c r="AL1252" t="inlineStr"/>
      <c r="AM1252" t="inlineStr"/>
      <c r="AN1252" t="inlineStr"/>
      <c r="AO1252" t="inlineStr">
        <is>
          <t>cmm4yupbv02ghcuqwpw1dt4la</t>
        </is>
      </c>
      <c r="AP1252" t="inlineStr">
        <is>
          <t>http://localhost:8787/api/admin/requirements/documents/cmm4yupbv02ghcuqwpw1dt4la/view</t>
        </is>
      </c>
      <c r="AQ1252">
        <f>HYPERLÄNK("http://localhost:8787/api/admin/requirements/documents/cmm4yupbv02ghcuqwpw1dt4la/view";"Öppna PDF")</f>
        <v/>
      </c>
      <c r="AR1252">
        <f>HYPERLINK("http://localhost:8787/api/admin/requirements/documents/cmm4yupbv02ghcuqwpw1dt4la/view","Open PDF")</f>
        <v/>
      </c>
      <c r="AS1252" t="inlineStr">
        <is>
          <t>cmm55w57p0004cuisfrtpqly8</t>
        </is>
      </c>
      <c r="AT1252" t="inlineStr">
        <is>
          <t>cmm4xvu980000cuh4vj0usz09</t>
        </is>
      </c>
      <c r="AU1252" t="inlineStr"/>
      <c r="AV1252" t="inlineStr">
        <is>
          <t>Kommun</t>
        </is>
      </c>
      <c r="AW1252" t="inlineStr"/>
      <c r="AX1252" t="inlineStr">
        <is>
          <t>2025-06</t>
        </is>
      </c>
      <c r="AY1252" t="inlineStr">
        <is>
          <t>Forelaggande</t>
        </is>
      </c>
      <c r="AZ1252" t="inlineStr">
        <is>
          <t>2026-02-03</t>
        </is>
      </c>
      <c r="BA1252" t="inlineStr">
        <is>
          <t>M_föreläggande om åtgärd (1).pdf</t>
        </is>
      </c>
      <c r="BB1252" t="inlineStr">
        <is>
          <t>till registrator</t>
        </is>
      </c>
      <c r="BC1252" t="inlineStr">
        <is>
          <t>AUTO</t>
        </is>
      </c>
      <c r="BD1252" t="inlineStr"/>
      <c r="BE1252" t="inlineStr"/>
      <c r="BF1252" t="inlineStr">
        <is>
          <t>AUTO_GENERERAD. Bekrafta metadata mot kallfil.</t>
        </is>
      </c>
      <c r="BG1252">
        <f>HYPERLINK("C:\Users\jimmy\Desktop\Examens arbete\Kod\Ny mapp\remix_-copy-of-miljöbeslut.se-portal\M_föreläggande om åtgärd (1).pdf", "Öppna PDF")</f>
        <v/>
      </c>
    </row>
    <row r="1253">
      <c r="A1253" t="inlineStr">
        <is>
          <t>KRAV-AUTO-001252</t>
        </is>
      </c>
      <c r="B1253" t="inlineStr">
        <is>
          <t>ADMIN-INDEX-2026-02-27-00000000125C043F57453246863FE664CAFE6A3F0700950291EA24F0614FB6ACEDB12BF0E31D00000000010C0000950291EA24F0614FB6ACEDB12BF0E31D00002087AE930000</t>
        </is>
      </c>
      <c r="C1253" t="inlineStr">
        <is>
          <t>cmm4yupbs02gecuqwfm8bzlev</t>
        </is>
      </c>
      <c r="D1253" t="inlineStr">
        <is>
          <t>http://localhost:8787/api/admin/requirements/documents/cmm4yupbs02gecuqwfm8bzlev/view</t>
        </is>
      </c>
      <c r="E1253">
        <f>HYPERLÄNK("http://localhost:8787/api/admin/requirements/documents/cmm4yupbs02gecuqwfm8bzlev/view";"Öppna PDF")</f>
        <v/>
      </c>
      <c r="F1253">
        <f>HYPERLINK("http://localhost:8787/api/admin/requirements/documents/cmm4yupbs02gecuqwfm8bzlev/view","Open PDF")</f>
        <v/>
      </c>
      <c r="G1253" t="inlineStr">
        <is>
          <t>cmm55w57p0004cuisfrtpqly8</t>
        </is>
      </c>
      <c r="H1253" t="inlineStr">
        <is>
          <t>Beslutsvillkor</t>
        </is>
      </c>
      <c r="I1253" t="inlineStr">
        <is>
          <t>Riskhantering</t>
        </is>
      </c>
      <c r="J1253" t="inlineStr">
        <is>
          <t>Riskkontroll</t>
        </is>
      </c>
      <c r="K1253" t="inlineStr">
        <is>
          <t>Minskar risken yƩerligare kopplat Ɵll dessa ämnen.</t>
        </is>
      </c>
      <c r="L1253" t="inlineStr">
        <is>
          <t>Minskar risken yƩerligare kopplat Ɵll dessa ämnen.</t>
        </is>
      </c>
      <c r="M1253" t="inlineStr">
        <is>
          <t>SKA</t>
        </is>
      </c>
      <c r="N1253" t="inlineStr"/>
      <c r="O1253" t="inlineStr"/>
      <c r="P1253" t="inlineStr"/>
      <c r="Q1253" t="inlineStr"/>
      <c r="R1253" t="inlineStr">
        <is>
          <t>Vid risk for incident</t>
        </is>
      </c>
      <c r="S1253" t="inlineStr"/>
      <c r="T1253" t="inlineStr">
        <is>
          <t>2025 08</t>
        </is>
      </c>
      <c r="U1253" t="inlineStr"/>
      <c r="V1253" t="inlineStr"/>
      <c r="W1253" t="inlineStr">
        <is>
          <t>Nej</t>
        </is>
      </c>
      <c r="X1253" t="inlineStr">
        <is>
          <t>Nej</t>
        </is>
      </c>
      <c r="Y1253" t="inlineStr">
        <is>
          <t>Ja</t>
        </is>
      </c>
      <c r="Z1253" t="inlineStr">
        <is>
          <t>Ja</t>
        </is>
      </c>
      <c r="AA1253" t="n">
        <v>8</v>
      </c>
      <c r="AB1253" t="inlineStr">
        <is>
          <t>Riskhantering</t>
        </is>
      </c>
      <c r="AC1253" t="inlineStr">
        <is>
          <t>Risk-PM</t>
        </is>
      </c>
      <c r="AD1253" t="inlineStr">
        <is>
          <t>Nej</t>
        </is>
      </c>
      <c r="AE1253" t="inlineStr">
        <is>
          <t>Nej</t>
        </is>
      </c>
      <c r="AF1253" t="inlineStr">
        <is>
          <t>Ej behandlad</t>
        </is>
      </c>
      <c r="AG1253" t="inlineStr">
        <is>
          <t>AUTO_GENERERAD. Verifiera citat mot kallfil.</t>
        </is>
      </c>
      <c r="AH1253" t="inlineStr">
        <is>
          <t>MEDIUM</t>
        </is>
      </c>
      <c r="AI1253" t="inlineStr">
        <is>
          <t>AUTO</t>
        </is>
      </c>
      <c r="AJ1253" t="inlineStr">
        <is>
          <t>Nej</t>
        </is>
      </c>
      <c r="AK1253" t="inlineStr"/>
      <c r="AL1253" t="inlineStr"/>
      <c r="AM1253" t="inlineStr"/>
      <c r="AN1253" t="inlineStr"/>
      <c r="AO1253" t="inlineStr">
        <is>
          <t>cmm4yupbv02ghcuqwpw1dt4la</t>
        </is>
      </c>
      <c r="AP1253" t="inlineStr">
        <is>
          <t>http://localhost:8787/api/admin/requirements/documents/cmm4yupbv02ghcuqwpw1dt4la/view</t>
        </is>
      </c>
      <c r="AQ1253">
        <f>HYPERLÄNK("http://localhost:8787/api/admin/requirements/documents/cmm4yupbv02ghcuqwpw1dt4la/view";"Öppna PDF")</f>
        <v/>
      </c>
      <c r="AR1253">
        <f>HYPERLINK("http://localhost:8787/api/admin/requirements/documents/cmm4yupbv02ghcuqwpw1dt4la/view","Open PDF")</f>
        <v/>
      </c>
      <c r="AS1253" t="inlineStr">
        <is>
          <t>cmm55w57p0004cuisfrtpqly8</t>
        </is>
      </c>
      <c r="AT1253" t="inlineStr">
        <is>
          <t>cmm4xvu980000cuh4vj0usz09</t>
        </is>
      </c>
      <c r="AU1253" t="inlineStr"/>
      <c r="AV1253" t="inlineStr">
        <is>
          <t>Kommun</t>
        </is>
      </c>
      <c r="AW1253" t="inlineStr"/>
      <c r="AX1253" t="inlineStr">
        <is>
          <t>2025-06</t>
        </is>
      </c>
      <c r="AY1253" t="inlineStr">
        <is>
          <t>Forelaggande</t>
        </is>
      </c>
      <c r="AZ1253" t="inlineStr">
        <is>
          <t>2026-02-03</t>
        </is>
      </c>
      <c r="BA1253" t="inlineStr">
        <is>
          <t>M_föreläggande om åtgärd (1).pdf</t>
        </is>
      </c>
      <c r="BB1253" t="inlineStr">
        <is>
          <t>till registrator</t>
        </is>
      </c>
      <c r="BC1253" t="inlineStr">
        <is>
          <t>AUTO</t>
        </is>
      </c>
      <c r="BD1253" t="inlineStr"/>
      <c r="BE1253" t="inlineStr"/>
      <c r="BF1253" t="inlineStr">
        <is>
          <t>AUTO_GENERERAD. Bekrafta metadata mot kallfil.</t>
        </is>
      </c>
      <c r="BG1253">
        <f>HYPERLINK("C:\Users\jimmy\Desktop\Examens arbete\Kod\Ny mapp\remix_-copy-of-miljöbeslut.se-portal\M_föreläggande om åtgärd (1).pdf", "Öppna PDF")</f>
        <v/>
      </c>
    </row>
    <row r="1254">
      <c r="A1254" t="inlineStr">
        <is>
          <t>KRAV-AUTO-001253</t>
        </is>
      </c>
      <c r="B1254" t="inlineStr">
        <is>
          <t>ADMIN-INDEX-2026-02-27-00000000125C043F57453246863FE664CAFE6A3F0700950291EA24F0614FB6ACEDB12BF0E31D00000000010C0000950291EA24F0614FB6ACEDB12BF0E31D00002087AE930000</t>
        </is>
      </c>
      <c r="C1254" t="inlineStr">
        <is>
          <t>cmm4yupbs02gecuqwfm8bzlev</t>
        </is>
      </c>
      <c r="D1254" t="inlineStr">
        <is>
          <t>http://localhost:8787/api/admin/requirements/documents/cmm4yupbs02gecuqwfm8bzlev/view</t>
        </is>
      </c>
      <c r="E1254">
        <f>HYPERLÄNK("http://localhost:8787/api/admin/requirements/documents/cmm4yupbs02gecuqwfm8bzlev/view";"Öppna PDF")</f>
        <v/>
      </c>
      <c r="F1254">
        <f>HYPERLINK("http://localhost:8787/api/admin/requirements/documents/cmm4yupbs02gecuqwfm8bzlev/view","Open PDF")</f>
        <v/>
      </c>
      <c r="G1254" t="inlineStr">
        <is>
          <t>cmm55w57p0004cuisfrtpqly8</t>
        </is>
      </c>
      <c r="H1254" t="inlineStr">
        <is>
          <t>Beslutsvillkor</t>
        </is>
      </c>
      <c r="I1254" t="inlineStr">
        <is>
          <t>DagvattenLakvatten</t>
        </is>
      </c>
      <c r="J1254" t="inlineStr">
        <is>
          <t>Uppsamling</t>
        </is>
      </c>
      <c r="K1254" t="inlineStr">
        <is>
          <t>När asfalt däremot ska tillföras en ny plats görs även bedömningar utifrån andra relevanta parametrar för att säkerställa att avfallet inte höjer föroreningsnivåerna i området.</t>
        </is>
      </c>
      <c r="L1254" t="inlineStr">
        <is>
          <t>När asfalt däremot ska tillföras en ny plats görs även bedömningar utifrån andra relevanta parametrar för att säkerställa att avfallet inte höjer föroreningsnivåerna i området.</t>
        </is>
      </c>
      <c r="M1254" t="inlineStr">
        <is>
          <t>SKA</t>
        </is>
      </c>
      <c r="N1254" t="inlineStr"/>
      <c r="O1254" t="inlineStr"/>
      <c r="P1254" t="inlineStr"/>
      <c r="Q1254" t="inlineStr"/>
      <c r="R1254" t="inlineStr">
        <is>
          <t>Vid nederbord och avrinning</t>
        </is>
      </c>
      <c r="S1254" t="inlineStr"/>
      <c r="T1254" t="inlineStr">
        <is>
          <t>2025 08</t>
        </is>
      </c>
      <c r="U1254" t="inlineStr"/>
      <c r="V1254" t="inlineStr"/>
      <c r="W1254" t="inlineStr">
        <is>
          <t>Nej</t>
        </is>
      </c>
      <c r="X1254" t="inlineStr">
        <is>
          <t>Ja</t>
        </is>
      </c>
      <c r="Y1254" t="inlineStr">
        <is>
          <t>Ja</t>
        </is>
      </c>
      <c r="Z1254" t="inlineStr">
        <is>
          <t>Nej</t>
        </is>
      </c>
      <c r="AA1254" t="n">
        <v>6</v>
      </c>
      <c r="AB1254" t="inlineStr">
        <is>
          <t>Lakvattenhantering</t>
        </is>
      </c>
      <c r="AC1254" t="inlineStr">
        <is>
          <t>Flodesschema dagvatten-lakvatten</t>
        </is>
      </c>
      <c r="AD1254" t="inlineStr">
        <is>
          <t>Nej</t>
        </is>
      </c>
      <c r="AE1254" t="inlineStr">
        <is>
          <t>Nej</t>
        </is>
      </c>
      <c r="AF1254" t="inlineStr">
        <is>
          <t>Ej behandlad</t>
        </is>
      </c>
      <c r="AG1254" t="inlineStr">
        <is>
          <t>AUTO_GENERERAD. Verifiera citat mot kallfil.</t>
        </is>
      </c>
      <c r="AH1254" t="inlineStr">
        <is>
          <t>MEDIUM</t>
        </is>
      </c>
      <c r="AI1254" t="inlineStr">
        <is>
          <t>AUTO</t>
        </is>
      </c>
      <c r="AJ1254" t="inlineStr">
        <is>
          <t>Nej</t>
        </is>
      </c>
      <c r="AK1254" t="inlineStr"/>
      <c r="AL1254" t="inlineStr"/>
      <c r="AM1254" t="inlineStr"/>
      <c r="AN1254" t="inlineStr"/>
      <c r="AO1254" t="inlineStr">
        <is>
          <t>cmm4yupbv02ghcuqwpw1dt4la</t>
        </is>
      </c>
      <c r="AP1254" t="inlineStr">
        <is>
          <t>http://localhost:8787/api/admin/requirements/documents/cmm4yupbv02ghcuqwpw1dt4la/view</t>
        </is>
      </c>
      <c r="AQ1254">
        <f>HYPERLÄNK("http://localhost:8787/api/admin/requirements/documents/cmm4yupbv02ghcuqwpw1dt4la/view";"Öppna PDF")</f>
        <v/>
      </c>
      <c r="AR1254">
        <f>HYPERLINK("http://localhost:8787/api/admin/requirements/documents/cmm4yupbv02ghcuqwpw1dt4la/view","Open PDF")</f>
        <v/>
      </c>
      <c r="AS1254" t="inlineStr">
        <is>
          <t>cmm55w57p0004cuisfrtpqly8</t>
        </is>
      </c>
      <c r="AT1254" t="inlineStr">
        <is>
          <t>cmm4xvu980000cuh4vj0usz09</t>
        </is>
      </c>
      <c r="AU1254" t="inlineStr"/>
      <c r="AV1254" t="inlineStr">
        <is>
          <t>Kommun</t>
        </is>
      </c>
      <c r="AW1254" t="inlineStr"/>
      <c r="AX1254" t="inlineStr">
        <is>
          <t>2025-06</t>
        </is>
      </c>
      <c r="AY1254" t="inlineStr">
        <is>
          <t>Forelaggande</t>
        </is>
      </c>
      <c r="AZ1254" t="inlineStr">
        <is>
          <t>2026-02-03</t>
        </is>
      </c>
      <c r="BA1254" t="inlineStr">
        <is>
          <t>M_föreläggande om åtgärd (1).pdf</t>
        </is>
      </c>
      <c r="BB1254" t="inlineStr">
        <is>
          <t>till registrator</t>
        </is>
      </c>
      <c r="BC1254" t="inlineStr">
        <is>
          <t>AUTO</t>
        </is>
      </c>
      <c r="BD1254" t="inlineStr"/>
      <c r="BE1254" t="inlineStr"/>
      <c r="BF1254" t="inlineStr">
        <is>
          <t>AUTO_GENERERAD. Bekrafta metadata mot kallfil.</t>
        </is>
      </c>
      <c r="BG1254">
        <f>HYPERLINK("C:\Users\jimmy\Desktop\Examens arbete\Kod\Ny mapp\remix_-copy-of-miljöbeslut.se-portal\M_föreläggande om åtgärd (1).pdf", "Öppna PDF")</f>
        <v/>
      </c>
    </row>
    <row r="1255">
      <c r="A1255" t="inlineStr">
        <is>
          <t>KRAV-AUTO-001254</t>
        </is>
      </c>
      <c r="B1255" t="inlineStr">
        <is>
          <t>ADMIN-INDEX-2026-02-27-00000000125C043F57453246863FE664CAFE6A3F0700950291EA24F0614FB6ACEDB12BF0E31D00000000010C0000950291EA24F0614FB6ACEDB12BF0E31D00002087AE930000</t>
        </is>
      </c>
      <c r="C1255" t="inlineStr">
        <is>
          <t>cmm4yupbm02g8cuqwrkgykr8q</t>
        </is>
      </c>
      <c r="D1255" t="inlineStr">
        <is>
          <t>http://localhost:8787/api/admin/requirements/documents/cmm4yupbm02g8cuqwrkgykr8q/view</t>
        </is>
      </c>
      <c r="E1255">
        <f>HYPERLÄNK("http://localhost:8787/api/admin/requirements/documents/cmm4yupbm02g8cuqwrkgykr8q/view";"Öppna PDF")</f>
        <v/>
      </c>
      <c r="F1255">
        <f>HYPERLINK("http://localhost:8787/api/admin/requirements/documents/cmm4yupbm02g8cuqwrkgykr8q/view","Open PDF")</f>
        <v/>
      </c>
      <c r="G1255" t="inlineStr">
        <is>
          <t>cmm55w57p0004cuisfrtpqly8</t>
        </is>
      </c>
      <c r="H1255" t="inlineStr">
        <is>
          <t>Beslutsvillkor</t>
        </is>
      </c>
      <c r="I1255" t="inlineStr">
        <is>
          <t>DriftEgenkontroll</t>
        </is>
      </c>
      <c r="J1255" t="inlineStr">
        <is>
          <t>Journalforing</t>
        </is>
      </c>
      <c r="K1255" t="inlineStr">
        <is>
          <t>Trafikverket skall inkomma med på kontrollprogram för borttransport av avfallet.</t>
        </is>
      </c>
      <c r="L1255" t="inlineStr">
        <is>
          <t>Trafikverket skall inkomma med på kontrollprogram för borttransport av avfallet.</t>
        </is>
      </c>
      <c r="M1255" t="inlineStr">
        <is>
          <t>SKA</t>
        </is>
      </c>
      <c r="N1255" t="inlineStr"/>
      <c r="O1255" t="inlineStr"/>
      <c r="P1255" t="inlineStr"/>
      <c r="Q1255" t="inlineStr"/>
      <c r="R1255" t="inlineStr">
        <is>
          <t>Lopande drift</t>
        </is>
      </c>
      <c r="S1255" t="inlineStr"/>
      <c r="T1255" t="inlineStr">
        <is>
          <t>202100</t>
        </is>
      </c>
      <c r="U1255" t="inlineStr"/>
      <c r="V1255" t="inlineStr"/>
      <c r="W1255" t="inlineStr">
        <is>
          <t>Nej</t>
        </is>
      </c>
      <c r="X1255" t="inlineStr">
        <is>
          <t>Nej</t>
        </is>
      </c>
      <c r="Y1255" t="inlineStr">
        <is>
          <t>Ja</t>
        </is>
      </c>
      <c r="Z1255" t="inlineStr">
        <is>
          <t>Nej</t>
        </is>
      </c>
      <c r="AA1255" t="n">
        <v>7</v>
      </c>
      <c r="AB1255" t="inlineStr">
        <is>
          <t>Egenkontrollrutiner</t>
        </is>
      </c>
      <c r="AC1255" t="inlineStr">
        <is>
          <t>Egenkontrollprogram</t>
        </is>
      </c>
      <c r="AD1255" t="inlineStr">
        <is>
          <t>Nej</t>
        </is>
      </c>
      <c r="AE1255" t="inlineStr">
        <is>
          <t>Nej</t>
        </is>
      </c>
      <c r="AF1255" t="inlineStr">
        <is>
          <t>Ej behandlad</t>
        </is>
      </c>
      <c r="AG1255" t="inlineStr">
        <is>
          <t>AUTO_GENERERAD. Verifiera citat mot kallfil.</t>
        </is>
      </c>
      <c r="AH1255" t="inlineStr">
        <is>
          <t>MEDIUM</t>
        </is>
      </c>
      <c r="AI1255" t="inlineStr">
        <is>
          <t>AUTO</t>
        </is>
      </c>
      <c r="AJ1255" t="inlineStr">
        <is>
          <t>Nej</t>
        </is>
      </c>
      <c r="AK1255" t="inlineStr"/>
      <c r="AL1255" t="inlineStr"/>
      <c r="AM1255" t="inlineStr"/>
      <c r="AN1255" t="inlineStr"/>
      <c r="AO1255" t="inlineStr">
        <is>
          <t>cmm4yupbv02ghcuqwpw1dt4la</t>
        </is>
      </c>
      <c r="AP1255" t="inlineStr">
        <is>
          <t>http://localhost:8787/api/admin/requirements/documents/cmm4yupbv02ghcuqwpw1dt4la/view</t>
        </is>
      </c>
      <c r="AQ1255">
        <f>HYPERLÄNK("http://localhost:8787/api/admin/requirements/documents/cmm4yupbv02ghcuqwpw1dt4la/view";"Öppna PDF")</f>
        <v/>
      </c>
      <c r="AR1255">
        <f>HYPERLINK("http://localhost:8787/api/admin/requirements/documents/cmm4yupbv02ghcuqwpw1dt4la/view","Open PDF")</f>
        <v/>
      </c>
      <c r="AS1255" t="inlineStr">
        <is>
          <t>cmm55w57p0004cuisfrtpqly8</t>
        </is>
      </c>
      <c r="AT1255" t="inlineStr">
        <is>
          <t>cmm4xvu980000cuh4vj0usz09</t>
        </is>
      </c>
      <c r="AU1255" t="inlineStr"/>
      <c r="AV1255" t="inlineStr">
        <is>
          <t>Kommun</t>
        </is>
      </c>
      <c r="AW1255" t="inlineStr"/>
      <c r="AX1255" t="inlineStr">
        <is>
          <t>2025-06</t>
        </is>
      </c>
      <c r="AY1255" t="inlineStr">
        <is>
          <t>Forelaggande</t>
        </is>
      </c>
      <c r="AZ1255" t="inlineStr">
        <is>
          <t>2026-02-03</t>
        </is>
      </c>
      <c r="BA1255" t="inlineStr">
        <is>
          <t>M_föreläggande om åtgärd (1).pdf</t>
        </is>
      </c>
      <c r="BB1255" t="inlineStr">
        <is>
          <t>till registrator</t>
        </is>
      </c>
      <c r="BC1255" t="inlineStr">
        <is>
          <t>AUTO</t>
        </is>
      </c>
      <c r="BD1255" t="inlineStr"/>
      <c r="BE1255" t="inlineStr"/>
      <c r="BF1255" t="inlineStr">
        <is>
          <t>AUTO_GENERERAD. Bekrafta metadata mot kallfil.</t>
        </is>
      </c>
      <c r="BG1255">
        <f>HYPERLINK("C:\Users\jimmy\Desktop\Examens arbete\Kod\Ny mapp\remix_-copy-of-miljöbeslut.se-portal\M_föreläggande om åtgärd (1).pdf", "Öppna PDF")</f>
        <v/>
      </c>
    </row>
    <row r="1256">
      <c r="A1256" t="inlineStr">
        <is>
          <t>KRAV-AUTO-001255</t>
        </is>
      </c>
      <c r="B1256" t="inlineStr">
        <is>
          <t>ADMIN-INDEX-2026-02-27-00000000125C043F57453246863FE664CAFE6A3F0700950291EA24F0614FB6ACEDB12BF0E31D00000000010C0000950291EA24F0614FB6ACEDB12BF0E31D00002087AE930000</t>
        </is>
      </c>
      <c r="C1256" t="inlineStr">
        <is>
          <t>cmm4yupbm02g8cuqwrkgykr8q</t>
        </is>
      </c>
      <c r="D1256" t="inlineStr">
        <is>
          <t>http://localhost:8787/api/admin/requirements/documents/cmm4yupbm02g8cuqwrkgykr8q/view</t>
        </is>
      </c>
      <c r="E1256">
        <f>HYPERLÄNK("http://localhost:8787/api/admin/requirements/documents/cmm4yupbm02g8cuqwrkgykr8q/view";"Öppna PDF")</f>
        <v/>
      </c>
      <c r="F1256">
        <f>HYPERLINK("http://localhost:8787/api/admin/requirements/documents/cmm4yupbm02g8cuqwrkgykr8q/view","Open PDF")</f>
        <v/>
      </c>
      <c r="G1256" t="inlineStr">
        <is>
          <t>cmm55w57p0004cuisfrtpqly8</t>
        </is>
      </c>
      <c r="H1256" t="inlineStr">
        <is>
          <t>Beslutsvillkor</t>
        </is>
      </c>
      <c r="I1256" t="inlineStr">
        <is>
          <t>DriftEgenkontroll</t>
        </is>
      </c>
      <c r="J1256" t="inlineStr">
        <is>
          <t>Journalforing</t>
        </is>
      </c>
      <c r="K1256" t="inlineStr">
        <is>
          <t>Kontrollprogrammet skall redovisas för miljöenheten så snart som möjligt.</t>
        </is>
      </c>
      <c r="L1256" t="inlineStr">
        <is>
          <t>Kontrollprogrammet skall redovisas för miljöenheten så snart som möjligt.</t>
        </is>
      </c>
      <c r="M1256" t="inlineStr">
        <is>
          <t>SKA</t>
        </is>
      </c>
      <c r="N1256" t="inlineStr"/>
      <c r="O1256" t="inlineStr"/>
      <c r="P1256" t="inlineStr"/>
      <c r="Q1256" t="inlineStr"/>
      <c r="R1256" t="inlineStr">
        <is>
          <t>Lopande drift</t>
        </is>
      </c>
      <c r="S1256" t="inlineStr"/>
      <c r="T1256" t="inlineStr">
        <is>
          <t>202100</t>
        </is>
      </c>
      <c r="U1256" t="inlineStr"/>
      <c r="V1256" t="inlineStr"/>
      <c r="W1256" t="inlineStr">
        <is>
          <t>Nej</t>
        </is>
      </c>
      <c r="X1256" t="inlineStr">
        <is>
          <t>Nej</t>
        </is>
      </c>
      <c r="Y1256" t="inlineStr">
        <is>
          <t>Ja</t>
        </is>
      </c>
      <c r="Z1256" t="inlineStr">
        <is>
          <t>Nej</t>
        </is>
      </c>
      <c r="AA1256" t="n">
        <v>7</v>
      </c>
      <c r="AB1256" t="inlineStr">
        <is>
          <t>Egenkontrollrutiner</t>
        </is>
      </c>
      <c r="AC1256" t="inlineStr">
        <is>
          <t>Egenkontrollprogram</t>
        </is>
      </c>
      <c r="AD1256" t="inlineStr">
        <is>
          <t>Nej</t>
        </is>
      </c>
      <c r="AE1256" t="inlineStr">
        <is>
          <t>Nej</t>
        </is>
      </c>
      <c r="AF1256" t="inlineStr">
        <is>
          <t>Ej behandlad</t>
        </is>
      </c>
      <c r="AG1256" t="inlineStr">
        <is>
          <t>AUTO_GENERERAD. Verifiera citat mot kallfil.</t>
        </is>
      </c>
      <c r="AH1256" t="inlineStr">
        <is>
          <t>MEDIUM</t>
        </is>
      </c>
      <c r="AI1256" t="inlineStr">
        <is>
          <t>AUTO</t>
        </is>
      </c>
      <c r="AJ1256" t="inlineStr">
        <is>
          <t>Nej</t>
        </is>
      </c>
      <c r="AK1256" t="inlineStr"/>
      <c r="AL1256" t="inlineStr"/>
      <c r="AM1256" t="inlineStr"/>
      <c r="AN1256" t="inlineStr"/>
      <c r="AO1256" t="inlineStr">
        <is>
          <t>cmm4yupbv02ghcuqwpw1dt4la</t>
        </is>
      </c>
      <c r="AP1256" t="inlineStr">
        <is>
          <t>http://localhost:8787/api/admin/requirements/documents/cmm4yupbv02ghcuqwpw1dt4la/view</t>
        </is>
      </c>
      <c r="AQ1256">
        <f>HYPERLÄNK("http://localhost:8787/api/admin/requirements/documents/cmm4yupbv02ghcuqwpw1dt4la/view";"Öppna PDF")</f>
        <v/>
      </c>
      <c r="AR1256">
        <f>HYPERLINK("http://localhost:8787/api/admin/requirements/documents/cmm4yupbv02ghcuqwpw1dt4la/view","Open PDF")</f>
        <v/>
      </c>
      <c r="AS1256" t="inlineStr">
        <is>
          <t>cmm55w57p0004cuisfrtpqly8</t>
        </is>
      </c>
      <c r="AT1256" t="inlineStr">
        <is>
          <t>cmm4xvu980000cuh4vj0usz09</t>
        </is>
      </c>
      <c r="AU1256" t="inlineStr"/>
      <c r="AV1256" t="inlineStr">
        <is>
          <t>Kommun</t>
        </is>
      </c>
      <c r="AW1256" t="inlineStr"/>
      <c r="AX1256" t="inlineStr">
        <is>
          <t>2025-06</t>
        </is>
      </c>
      <c r="AY1256" t="inlineStr">
        <is>
          <t>Forelaggande</t>
        </is>
      </c>
      <c r="AZ1256" t="inlineStr">
        <is>
          <t>2026-02-03</t>
        </is>
      </c>
      <c r="BA1256" t="inlineStr">
        <is>
          <t>M_föreläggande om åtgärd (1).pdf</t>
        </is>
      </c>
      <c r="BB1256" t="inlineStr">
        <is>
          <t>till registrator</t>
        </is>
      </c>
      <c r="BC1256" t="inlineStr">
        <is>
          <t>AUTO</t>
        </is>
      </c>
      <c r="BD1256" t="inlineStr"/>
      <c r="BE1256" t="inlineStr"/>
      <c r="BF1256" t="inlineStr">
        <is>
          <t>AUTO_GENERERAD. Bekrafta metadata mot kallfil.</t>
        </is>
      </c>
      <c r="BG1256">
        <f>HYPERLINK("C:\Users\jimmy\Desktop\Examens arbete\Kod\Ny mapp\remix_-copy-of-miljöbeslut.se-portal\M_föreläggande om åtgärd (1).pdf", "Öppna PDF")</f>
        <v/>
      </c>
    </row>
    <row r="1257">
      <c r="A1257" t="inlineStr">
        <is>
          <t>KRAV-AUTO-001256</t>
        </is>
      </c>
      <c r="B1257" t="inlineStr">
        <is>
          <t>ADMIN-INDEX-2026-02-27-00000000125C043F57453246863FE664CAFE6A3F0700950291EA24F0614FB6ACEDB12BF0E31D00000000010C0000950291EA24F0614FB6ACEDB12BF0E31D00002087AE930000</t>
        </is>
      </c>
      <c r="C1257" t="inlineStr">
        <is>
          <t>cmm4yupbm02g8cuqwrkgykr8q</t>
        </is>
      </c>
      <c r="D1257" t="inlineStr">
        <is>
          <t>http://localhost:8787/api/admin/requirements/documents/cmm4yupbm02g8cuqwrkgykr8q/view</t>
        </is>
      </c>
      <c r="E1257">
        <f>HYPERLÄNK("http://localhost:8787/api/admin/requirements/documents/cmm4yupbm02g8cuqwrkgykr8q/view";"Öppna PDF")</f>
        <v/>
      </c>
      <c r="F1257">
        <f>HYPERLINK("http://localhost:8787/api/admin/requirements/documents/cmm4yupbm02g8cuqwrkgykr8q/view","Open PDF")</f>
        <v/>
      </c>
      <c r="G1257" t="inlineStr">
        <is>
          <t>cmm55w57p0004cuisfrtpqly8</t>
        </is>
      </c>
      <c r="H1257" t="inlineStr">
        <is>
          <t>Beslutsvillkor</t>
        </is>
      </c>
      <c r="I1257" t="inlineStr">
        <is>
          <t>DriftEgenkontroll</t>
        </is>
      </c>
      <c r="J1257" t="inlineStr">
        <is>
          <t>Journalforing</t>
        </is>
      </c>
      <c r="K1257" t="inlineStr">
        <is>
          <t>Kontrollprogrammet ska redogöra hur skydd för människors hälsa ska säkerställas under borttransport.</t>
        </is>
      </c>
      <c r="L1257" t="inlineStr">
        <is>
          <t>Kontrollprogrammet ska redogöra hur skydd för människors hälsa ska säkerställas under borttransport.</t>
        </is>
      </c>
      <c r="M1257" t="inlineStr">
        <is>
          <t>SKA</t>
        </is>
      </c>
      <c r="N1257" t="inlineStr"/>
      <c r="O1257" t="inlineStr"/>
      <c r="P1257" t="inlineStr"/>
      <c r="Q1257" t="inlineStr"/>
      <c r="R1257" t="inlineStr">
        <is>
          <t>Lopande drift</t>
        </is>
      </c>
      <c r="S1257" t="inlineStr"/>
      <c r="T1257" t="inlineStr">
        <is>
          <t>202100</t>
        </is>
      </c>
      <c r="U1257" t="inlineStr"/>
      <c r="V1257" t="inlineStr"/>
      <c r="W1257" t="inlineStr">
        <is>
          <t>Nej</t>
        </is>
      </c>
      <c r="X1257" t="inlineStr">
        <is>
          <t>Nej</t>
        </is>
      </c>
      <c r="Y1257" t="inlineStr">
        <is>
          <t>Ja</t>
        </is>
      </c>
      <c r="Z1257" t="inlineStr">
        <is>
          <t>Nej</t>
        </is>
      </c>
      <c r="AA1257" t="n">
        <v>7</v>
      </c>
      <c r="AB1257" t="inlineStr">
        <is>
          <t>Egenkontrollrutiner</t>
        </is>
      </c>
      <c r="AC1257" t="inlineStr">
        <is>
          <t>Egenkontrollprogram</t>
        </is>
      </c>
      <c r="AD1257" t="inlineStr">
        <is>
          <t>Nej</t>
        </is>
      </c>
      <c r="AE1257" t="inlineStr">
        <is>
          <t>Nej</t>
        </is>
      </c>
      <c r="AF1257" t="inlineStr">
        <is>
          <t>Ej behandlad</t>
        </is>
      </c>
      <c r="AG1257" t="inlineStr">
        <is>
          <t>AUTO_GENERERAD. Verifiera citat mot kallfil.</t>
        </is>
      </c>
      <c r="AH1257" t="inlineStr">
        <is>
          <t>MEDIUM</t>
        </is>
      </c>
      <c r="AI1257" t="inlineStr">
        <is>
          <t>AUTO</t>
        </is>
      </c>
      <c r="AJ1257" t="inlineStr">
        <is>
          <t>Nej</t>
        </is>
      </c>
      <c r="AK1257" t="inlineStr"/>
      <c r="AL1257" t="inlineStr"/>
      <c r="AM1257" t="inlineStr"/>
      <c r="AN1257" t="inlineStr"/>
      <c r="AO1257" t="inlineStr">
        <is>
          <t>cmm4yupbv02ghcuqwpw1dt4la</t>
        </is>
      </c>
      <c r="AP1257" t="inlineStr">
        <is>
          <t>http://localhost:8787/api/admin/requirements/documents/cmm4yupbv02ghcuqwpw1dt4la/view</t>
        </is>
      </c>
      <c r="AQ1257">
        <f>HYPERLÄNK("http://localhost:8787/api/admin/requirements/documents/cmm4yupbv02ghcuqwpw1dt4la/view";"Öppna PDF")</f>
        <v/>
      </c>
      <c r="AR1257">
        <f>HYPERLINK("http://localhost:8787/api/admin/requirements/documents/cmm4yupbv02ghcuqwpw1dt4la/view","Open PDF")</f>
        <v/>
      </c>
      <c r="AS1257" t="inlineStr">
        <is>
          <t>cmm55w57p0004cuisfrtpqly8</t>
        </is>
      </c>
      <c r="AT1257" t="inlineStr">
        <is>
          <t>cmm4xvu980000cuh4vj0usz09</t>
        </is>
      </c>
      <c r="AU1257" t="inlineStr"/>
      <c r="AV1257" t="inlineStr">
        <is>
          <t>Kommun</t>
        </is>
      </c>
      <c r="AW1257" t="inlineStr"/>
      <c r="AX1257" t="inlineStr">
        <is>
          <t>2025-06</t>
        </is>
      </c>
      <c r="AY1257" t="inlineStr">
        <is>
          <t>Forelaggande</t>
        </is>
      </c>
      <c r="AZ1257" t="inlineStr">
        <is>
          <t>2026-02-03</t>
        </is>
      </c>
      <c r="BA1257" t="inlineStr">
        <is>
          <t>M_föreläggande om åtgärd (1).pdf</t>
        </is>
      </c>
      <c r="BB1257" t="inlineStr">
        <is>
          <t>till registrator</t>
        </is>
      </c>
      <c r="BC1257" t="inlineStr">
        <is>
          <t>AUTO</t>
        </is>
      </c>
      <c r="BD1257" t="inlineStr"/>
      <c r="BE1257" t="inlineStr"/>
      <c r="BF1257" t="inlineStr">
        <is>
          <t>AUTO_GENERERAD. Bekrafta metadata mot kallfil.</t>
        </is>
      </c>
      <c r="BG1257">
        <f>HYPERLINK("C:\Users\jimmy\Desktop\Examens arbete\Kod\Ny mapp\remix_-copy-of-miljöbeslut.se-portal\M_föreläggande om åtgärd (1).pdf", "Öppna PDF")</f>
        <v/>
      </c>
    </row>
    <row r="1258">
      <c r="A1258" t="inlineStr">
        <is>
          <t>KRAV-AUTO-001257</t>
        </is>
      </c>
      <c r="B1258" t="inlineStr">
        <is>
          <t>ADMIN-INDEX-2026-02-27-00000000125C043F57453246863FE664CAFE6A3F0700950291EA24F0614FB6ACEDB12BF0E31D00000000010C0000950291EA24F0614FB6ACEDB12BF0E31D00002087AE930000</t>
        </is>
      </c>
      <c r="C1258" t="inlineStr">
        <is>
          <t>cmm4yupbj02g5cuqw1olgu0d3</t>
        </is>
      </c>
      <c r="D1258" t="inlineStr">
        <is>
          <t>http://localhost:8787/api/admin/requirements/documents/cmm4yupbj02g5cuqw1olgu0d3/view</t>
        </is>
      </c>
      <c r="E1258">
        <f>HYPERLÄNK("http://localhost:8787/api/admin/requirements/documents/cmm4yupbj02g5cuqw1olgu0d3/view";"Öppna PDF")</f>
        <v/>
      </c>
      <c r="F1258">
        <f>HYPERLINK("http://localhost:8787/api/admin/requirements/documents/cmm4yupbj02g5cuqw1olgu0d3/view","Open PDF")</f>
        <v/>
      </c>
      <c r="G1258" t="inlineStr">
        <is>
          <t>cmm55w57p0004cuisfrtpqly8</t>
        </is>
      </c>
      <c r="H1258" t="inlineStr">
        <is>
          <t>Beslutsvillkor</t>
        </is>
      </c>
      <c r="I1258" t="inlineStr">
        <is>
          <t>DriftEgenkontroll</t>
        </is>
      </c>
      <c r="J1258" t="inlineStr">
        <is>
          <t>Journalforing</t>
        </is>
      </c>
      <c r="K1258" t="inlineStr">
        <is>
          <t>Provtagning av avfallet ska utföras av ett ackrediterat laboratorium.</t>
        </is>
      </c>
      <c r="L1258" t="inlineStr">
        <is>
          <t>Provtagning av avfallet ska utföras av ett ackrediterat laboratorium.</t>
        </is>
      </c>
      <c r="M1258" t="inlineStr">
        <is>
          <t>SKA</t>
        </is>
      </c>
      <c r="N1258" t="inlineStr"/>
      <c r="O1258" t="inlineStr"/>
      <c r="P1258" t="inlineStr"/>
      <c r="Q1258" t="inlineStr"/>
      <c r="R1258" t="inlineStr">
        <is>
          <t>Lopande drift</t>
        </is>
      </c>
      <c r="S1258" t="inlineStr"/>
      <c r="T1258" t="inlineStr"/>
      <c r="U1258" t="inlineStr"/>
      <c r="V1258" t="inlineStr"/>
      <c r="W1258" t="inlineStr">
        <is>
          <t>Nej</t>
        </is>
      </c>
      <c r="X1258" t="inlineStr">
        <is>
          <t>Nej</t>
        </is>
      </c>
      <c r="Y1258" t="inlineStr">
        <is>
          <t>Ja</t>
        </is>
      </c>
      <c r="Z1258" t="inlineStr">
        <is>
          <t>Nej</t>
        </is>
      </c>
      <c r="AA1258" t="n">
        <v>7</v>
      </c>
      <c r="AB1258" t="inlineStr">
        <is>
          <t>Egenkontrollrutiner</t>
        </is>
      </c>
      <c r="AC1258" t="inlineStr">
        <is>
          <t>Egenkontrollprogram</t>
        </is>
      </c>
      <c r="AD1258" t="inlineStr">
        <is>
          <t>Nej</t>
        </is>
      </c>
      <c r="AE1258" t="inlineStr">
        <is>
          <t>Nej</t>
        </is>
      </c>
      <c r="AF1258" t="inlineStr">
        <is>
          <t>Ej behandlad</t>
        </is>
      </c>
      <c r="AG1258" t="inlineStr">
        <is>
          <t>AUTO_GENERERAD. Verifiera citat mot kallfil.</t>
        </is>
      </c>
      <c r="AH1258" t="inlineStr">
        <is>
          <t>MEDIUM</t>
        </is>
      </c>
      <c r="AI1258" t="inlineStr">
        <is>
          <t>AUTO</t>
        </is>
      </c>
      <c r="AJ1258" t="inlineStr">
        <is>
          <t>Nej</t>
        </is>
      </c>
      <c r="AK1258" t="inlineStr"/>
      <c r="AL1258" t="inlineStr"/>
      <c r="AM1258" t="inlineStr"/>
      <c r="AN1258" t="inlineStr"/>
      <c r="AO1258" t="inlineStr">
        <is>
          <t>cmm4yupbv02ghcuqwpw1dt4la</t>
        </is>
      </c>
      <c r="AP1258" t="inlineStr">
        <is>
          <t>http://localhost:8787/api/admin/requirements/documents/cmm4yupbv02ghcuqwpw1dt4la/view</t>
        </is>
      </c>
      <c r="AQ1258">
        <f>HYPERLÄNK("http://localhost:8787/api/admin/requirements/documents/cmm4yupbv02ghcuqwpw1dt4la/view";"Öppna PDF")</f>
        <v/>
      </c>
      <c r="AR1258">
        <f>HYPERLINK("http://localhost:8787/api/admin/requirements/documents/cmm4yupbv02ghcuqwpw1dt4la/view","Open PDF")</f>
        <v/>
      </c>
      <c r="AS1258" t="inlineStr">
        <is>
          <t>cmm55w57p0004cuisfrtpqly8</t>
        </is>
      </c>
      <c r="AT1258" t="inlineStr">
        <is>
          <t>cmm4xvu980000cuh4vj0usz09</t>
        </is>
      </c>
      <c r="AU1258" t="inlineStr"/>
      <c r="AV1258" t="inlineStr">
        <is>
          <t>Kommun</t>
        </is>
      </c>
      <c r="AW1258" t="inlineStr"/>
      <c r="AX1258" t="inlineStr">
        <is>
          <t>2025-06</t>
        </is>
      </c>
      <c r="AY1258" t="inlineStr">
        <is>
          <t>Forelaggande</t>
        </is>
      </c>
      <c r="AZ1258" t="inlineStr">
        <is>
          <t>2026-02-03</t>
        </is>
      </c>
      <c r="BA1258" t="inlineStr">
        <is>
          <t>M_föreläggande om åtgärd (1).pdf</t>
        </is>
      </c>
      <c r="BB1258" t="inlineStr">
        <is>
          <t>till registrator</t>
        </is>
      </c>
      <c r="BC1258" t="inlineStr">
        <is>
          <t>AUTO</t>
        </is>
      </c>
      <c r="BD1258" t="inlineStr"/>
      <c r="BE1258" t="inlineStr"/>
      <c r="BF1258" t="inlineStr">
        <is>
          <t>AUTO_GENERERAD. Bekrafta metadata mot kallfil.</t>
        </is>
      </c>
      <c r="BG1258">
        <f>HYPERLINK("C:\Users\jimmy\Desktop\Examens arbete\Kod\Ny mapp\remix_-copy-of-miljöbeslut.se-portal\M_föreläggande om åtgärd (1).pdf", "Öppna PDF")</f>
        <v/>
      </c>
    </row>
    <row r="1259">
      <c r="A1259" t="inlineStr">
        <is>
          <t>KRAV-AUTO-001258</t>
        </is>
      </c>
      <c r="B1259" t="inlineStr">
        <is>
          <t>ADMIN-INDEX-2026-02-27-00000000125C043F57453246863FE664CAFE6A3F0700950291EA24F0614FB6ACEDB12BF0E31D00000000010C0000950291EA24F0614FB6ACEDB12BF0E31D00002087AE930000</t>
        </is>
      </c>
      <c r="C1259" t="inlineStr">
        <is>
          <t>cmm4yupbj02g5cuqw1olgu0d3</t>
        </is>
      </c>
      <c r="D1259" t="inlineStr">
        <is>
          <t>http://localhost:8787/api/admin/requirements/documents/cmm4yupbj02g5cuqw1olgu0d3/view</t>
        </is>
      </c>
      <c r="E1259">
        <f>HYPERLÄNK("http://localhost:8787/api/admin/requirements/documents/cmm4yupbj02g5cuqw1olgu0d3/view";"Öppna PDF")</f>
        <v/>
      </c>
      <c r="F1259">
        <f>HYPERLINK("http://localhost:8787/api/admin/requirements/documents/cmm4yupbj02g5cuqw1olgu0d3/view","Open PDF")</f>
        <v/>
      </c>
      <c r="G1259" t="inlineStr">
        <is>
          <t>cmm55w57p0004cuisfrtpqly8</t>
        </is>
      </c>
      <c r="H1259" t="inlineStr">
        <is>
          <t>Beslutsvillkor</t>
        </is>
      </c>
      <c r="I1259" t="inlineStr">
        <is>
          <t>DriftEgenkontroll</t>
        </is>
      </c>
      <c r="J1259" t="inlineStr">
        <is>
          <t>Journalforing</t>
        </is>
      </c>
      <c r="K1259" t="inlineStr">
        <is>
          <t>Innan massorna används för anlaggningsandamal ska en undersökning/provtagning genomföras för att bedöma om avfallet är lämpligt för ändamålet.</t>
        </is>
      </c>
      <c r="L1259" t="inlineStr">
        <is>
          <t>Innan massorna används för anlaggningsandamal ska en undersökning/provtagning genomföras för att bedöma om avfallet är lämpligt för ändamålet.</t>
        </is>
      </c>
      <c r="M1259" t="inlineStr">
        <is>
          <t>SKA</t>
        </is>
      </c>
      <c r="N1259" t="inlineStr"/>
      <c r="O1259" t="inlineStr"/>
      <c r="P1259" t="inlineStr"/>
      <c r="Q1259" t="inlineStr"/>
      <c r="R1259" t="inlineStr">
        <is>
          <t>Lopande drift</t>
        </is>
      </c>
      <c r="S1259" t="inlineStr"/>
      <c r="T1259" t="inlineStr"/>
      <c r="U1259" t="inlineStr"/>
      <c r="V1259" t="inlineStr"/>
      <c r="W1259" t="inlineStr">
        <is>
          <t>Nej</t>
        </is>
      </c>
      <c r="X1259" t="inlineStr">
        <is>
          <t>Nej</t>
        </is>
      </c>
      <c r="Y1259" t="inlineStr">
        <is>
          <t>Ja</t>
        </is>
      </c>
      <c r="Z1259" t="inlineStr">
        <is>
          <t>Nej</t>
        </is>
      </c>
      <c r="AA1259" t="n">
        <v>7</v>
      </c>
      <c r="AB1259" t="inlineStr">
        <is>
          <t>Egenkontrollrutiner</t>
        </is>
      </c>
      <c r="AC1259" t="inlineStr">
        <is>
          <t>Egenkontrollprogram</t>
        </is>
      </c>
      <c r="AD1259" t="inlineStr">
        <is>
          <t>Nej</t>
        </is>
      </c>
      <c r="AE1259" t="inlineStr">
        <is>
          <t>Nej</t>
        </is>
      </c>
      <c r="AF1259" t="inlineStr">
        <is>
          <t>Ej behandlad</t>
        </is>
      </c>
      <c r="AG1259" t="inlineStr">
        <is>
          <t>AUTO_GENERERAD. Verifiera citat mot kallfil.</t>
        </is>
      </c>
      <c r="AH1259" t="inlineStr">
        <is>
          <t>MEDIUM</t>
        </is>
      </c>
      <c r="AI1259" t="inlineStr">
        <is>
          <t>AUTO</t>
        </is>
      </c>
      <c r="AJ1259" t="inlineStr">
        <is>
          <t>Nej</t>
        </is>
      </c>
      <c r="AK1259" t="inlineStr"/>
      <c r="AL1259" t="inlineStr"/>
      <c r="AM1259" t="inlineStr"/>
      <c r="AN1259" t="inlineStr"/>
      <c r="AO1259" t="inlineStr">
        <is>
          <t>cmm4yupbv02ghcuqwpw1dt4la</t>
        </is>
      </c>
      <c r="AP1259" t="inlineStr">
        <is>
          <t>http://localhost:8787/api/admin/requirements/documents/cmm4yupbv02ghcuqwpw1dt4la/view</t>
        </is>
      </c>
      <c r="AQ1259">
        <f>HYPERLÄNK("http://localhost:8787/api/admin/requirements/documents/cmm4yupbv02ghcuqwpw1dt4la/view";"Öppna PDF")</f>
        <v/>
      </c>
      <c r="AR1259">
        <f>HYPERLINK("http://localhost:8787/api/admin/requirements/documents/cmm4yupbv02ghcuqwpw1dt4la/view","Open PDF")</f>
        <v/>
      </c>
      <c r="AS1259" t="inlineStr">
        <is>
          <t>cmm55w57p0004cuisfrtpqly8</t>
        </is>
      </c>
      <c r="AT1259" t="inlineStr">
        <is>
          <t>cmm4xvu980000cuh4vj0usz09</t>
        </is>
      </c>
      <c r="AU1259" t="inlineStr"/>
      <c r="AV1259" t="inlineStr">
        <is>
          <t>Kommun</t>
        </is>
      </c>
      <c r="AW1259" t="inlineStr"/>
      <c r="AX1259" t="inlineStr">
        <is>
          <t>2025-06</t>
        </is>
      </c>
      <c r="AY1259" t="inlineStr">
        <is>
          <t>Forelaggande</t>
        </is>
      </c>
      <c r="AZ1259" t="inlineStr">
        <is>
          <t>2026-02-03</t>
        </is>
      </c>
      <c r="BA1259" t="inlineStr">
        <is>
          <t>M_föreläggande om åtgärd (1).pdf</t>
        </is>
      </c>
      <c r="BB1259" t="inlineStr">
        <is>
          <t>till registrator</t>
        </is>
      </c>
      <c r="BC1259" t="inlineStr">
        <is>
          <t>AUTO</t>
        </is>
      </c>
      <c r="BD1259" t="inlineStr"/>
      <c r="BE1259" t="inlineStr"/>
      <c r="BF1259" t="inlineStr">
        <is>
          <t>AUTO_GENERERAD. Bekrafta metadata mot kallfil.</t>
        </is>
      </c>
      <c r="BG1259">
        <f>HYPERLINK("C:\Users\jimmy\Desktop\Examens arbete\Kod\Ny mapp\remix_-copy-of-miljöbeslut.se-portal\M_föreläggande om åtgärd (1).pdf", "Öppna PDF")</f>
        <v/>
      </c>
    </row>
    <row r="1260">
      <c r="A1260" t="inlineStr">
        <is>
          <t>KRAV-AUTO-001259</t>
        </is>
      </c>
      <c r="B1260" t="inlineStr">
        <is>
          <t>ADMIN-INDEX-2026-02-27-00000000125C043F57453246863FE664CAFE6A3F0700950291EA24F0614FB6ACEDB12BF0E31D00000000010C0000950291EA24F0614FB6ACEDB12BF0E31D00002087AE930000</t>
        </is>
      </c>
      <c r="C1260" t="inlineStr">
        <is>
          <t>cmm4yupbj02g5cuqw1olgu0d3</t>
        </is>
      </c>
      <c r="D1260" t="inlineStr">
        <is>
          <t>http://localhost:8787/api/admin/requirements/documents/cmm4yupbj02g5cuqw1olgu0d3/view</t>
        </is>
      </c>
      <c r="E1260">
        <f>HYPERLÄNK("http://localhost:8787/api/admin/requirements/documents/cmm4yupbj02g5cuqw1olgu0d3/view";"Öppna PDF")</f>
        <v/>
      </c>
      <c r="F1260">
        <f>HYPERLINK("http://localhost:8787/api/admin/requirements/documents/cmm4yupbj02g5cuqw1olgu0d3/view","Open PDF")</f>
        <v/>
      </c>
      <c r="G1260" t="inlineStr">
        <is>
          <t>cmm55w57p0004cuisfrtpqly8</t>
        </is>
      </c>
      <c r="H1260" t="inlineStr">
        <is>
          <t>Beslutsvillkor</t>
        </is>
      </c>
      <c r="I1260" t="inlineStr">
        <is>
          <t>LagringsvolymTid</t>
        </is>
      </c>
      <c r="J1260" t="inlineStr">
        <is>
          <t>Maxmangd</t>
        </is>
      </c>
      <c r="K1260" t="inlineStr">
        <is>
          <t>Den totala volymen angestill uppskattas mängd av dikes massor 2400 m?.</t>
        </is>
      </c>
      <c r="L1260" t="inlineStr">
        <is>
          <t>Den totala volymen angestill uppskattas mängd av dikes massor 2400 m?.</t>
        </is>
      </c>
      <c r="M1260" t="inlineStr">
        <is>
          <t>SKA</t>
        </is>
      </c>
      <c r="N1260" t="inlineStr"/>
      <c r="O1260" t="inlineStr"/>
      <c r="P1260" t="inlineStr"/>
      <c r="Q1260" t="inlineStr"/>
      <c r="R1260" t="inlineStr">
        <is>
          <t>Alltid</t>
        </is>
      </c>
      <c r="S1260" t="inlineStr"/>
      <c r="T1260" t="inlineStr"/>
      <c r="U1260" t="inlineStr"/>
      <c r="V1260" t="inlineStr"/>
      <c r="W1260" t="inlineStr">
        <is>
          <t>Nej</t>
        </is>
      </c>
      <c r="X1260" t="inlineStr">
        <is>
          <t>Nej</t>
        </is>
      </c>
      <c r="Y1260" t="inlineStr">
        <is>
          <t>Nej</t>
        </is>
      </c>
      <c r="Z1260" t="inlineStr">
        <is>
          <t>Nej</t>
        </is>
      </c>
      <c r="AA1260" t="n">
        <v>4</v>
      </c>
      <c r="AB1260" t="inlineStr">
        <is>
          <t>Avfallsmangder och lagringstid</t>
        </is>
      </c>
      <c r="AC1260" t="inlineStr">
        <is>
          <t>Avfallsforteckning</t>
        </is>
      </c>
      <c r="AD1260" t="inlineStr">
        <is>
          <t>Nej</t>
        </is>
      </c>
      <c r="AE1260" t="inlineStr">
        <is>
          <t>Nej</t>
        </is>
      </c>
      <c r="AF1260" t="inlineStr">
        <is>
          <t>Ej behandlad</t>
        </is>
      </c>
      <c r="AG1260" t="inlineStr">
        <is>
          <t>AUTO_GENERERAD. Verifiera citat mot kallfil.</t>
        </is>
      </c>
      <c r="AH1260" t="inlineStr">
        <is>
          <t>MEDIUM</t>
        </is>
      </c>
      <c r="AI1260" t="inlineStr">
        <is>
          <t>AUTO</t>
        </is>
      </c>
      <c r="AJ1260" t="inlineStr">
        <is>
          <t>Nej</t>
        </is>
      </c>
      <c r="AK1260" t="inlineStr"/>
      <c r="AL1260" t="inlineStr"/>
      <c r="AM1260" t="inlineStr"/>
      <c r="AN1260" t="inlineStr"/>
      <c r="AO1260" t="inlineStr">
        <is>
          <t>cmm4yupbv02ghcuqwpw1dt4la</t>
        </is>
      </c>
      <c r="AP1260" t="inlineStr">
        <is>
          <t>http://localhost:8787/api/admin/requirements/documents/cmm4yupbv02ghcuqwpw1dt4la/view</t>
        </is>
      </c>
      <c r="AQ1260">
        <f>HYPERLÄNK("http://localhost:8787/api/admin/requirements/documents/cmm4yupbv02ghcuqwpw1dt4la/view";"Öppna PDF")</f>
        <v/>
      </c>
      <c r="AR1260">
        <f>HYPERLINK("http://localhost:8787/api/admin/requirements/documents/cmm4yupbv02ghcuqwpw1dt4la/view","Open PDF")</f>
        <v/>
      </c>
      <c r="AS1260" t="inlineStr">
        <is>
          <t>cmm55w57p0004cuisfrtpqly8</t>
        </is>
      </c>
      <c r="AT1260" t="inlineStr">
        <is>
          <t>cmm4xvu980000cuh4vj0usz09</t>
        </is>
      </c>
      <c r="AU1260" t="inlineStr"/>
      <c r="AV1260" t="inlineStr">
        <is>
          <t>Kommun</t>
        </is>
      </c>
      <c r="AW1260" t="inlineStr"/>
      <c r="AX1260" t="inlineStr">
        <is>
          <t>2025-06</t>
        </is>
      </c>
      <c r="AY1260" t="inlineStr">
        <is>
          <t>Forelaggande</t>
        </is>
      </c>
      <c r="AZ1260" t="inlineStr">
        <is>
          <t>2026-02-03</t>
        </is>
      </c>
      <c r="BA1260" t="inlineStr">
        <is>
          <t>M_föreläggande om åtgärd (1).pdf</t>
        </is>
      </c>
      <c r="BB1260" t="inlineStr">
        <is>
          <t>till registrator</t>
        </is>
      </c>
      <c r="BC1260" t="inlineStr">
        <is>
          <t>AUTO</t>
        </is>
      </c>
      <c r="BD1260" t="inlineStr"/>
      <c r="BE1260" t="inlineStr"/>
      <c r="BF1260" t="inlineStr">
        <is>
          <t>AUTO_GENERERAD. Bekrafta metadata mot kallfil.</t>
        </is>
      </c>
      <c r="BG1260">
        <f>HYPERLINK("C:\Users\jimmy\Desktop\Examens arbete\Kod\Ny mapp\remix_-copy-of-miljöbeslut.se-portal\M_föreläggande om åtgärd (1).pdf", "Öppna PDF")</f>
        <v/>
      </c>
    </row>
    <row r="1261">
      <c r="A1261" t="inlineStr">
        <is>
          <t>KRAV-AUTO-001260</t>
        </is>
      </c>
      <c r="B1261" t="inlineStr">
        <is>
          <t>ADMIN-INDEX-2026-02-27-00000000125C043F57453246863FE664CAFE6A3F0700950291EA24F0614FB6ACEDB12BF0E31D00000000010C0000950291EA24F0614FB6ACEDB12BF0E31D00002087AE930000</t>
        </is>
      </c>
      <c r="C1261" t="inlineStr">
        <is>
          <t>cmm4yupb102fncuqwxbftsmvu</t>
        </is>
      </c>
      <c r="D1261" t="inlineStr">
        <is>
          <t>http://localhost:8787/api/admin/requirements/documents/cmm4yupb102fncuqwxbftsmvu/view</t>
        </is>
      </c>
      <c r="E1261">
        <f>HYPERLÄNK("http://localhost:8787/api/admin/requirements/documents/cmm4yupb102fncuqwxbftsmvu/view";"Öppna PDF")</f>
        <v/>
      </c>
      <c r="F1261">
        <f>HYPERLINK("http://localhost:8787/api/admin/requirements/documents/cmm4yupb102fncuqwxbftsmvu/view","Open PDF")</f>
        <v/>
      </c>
      <c r="G1261" t="inlineStr">
        <is>
          <t>cmm55w57p0004cuisfrtpqly8</t>
        </is>
      </c>
      <c r="H1261" t="inlineStr">
        <is>
          <t>Informationskrav</t>
        </is>
      </c>
      <c r="I1261" t="inlineStr">
        <is>
          <t>DagvattenLakvatten</t>
        </is>
      </c>
      <c r="J1261" t="inlineStr">
        <is>
          <t>Uppsamling</t>
        </is>
      </c>
      <c r="K1261" t="inlineStr">
        <is>
          <t>Vatten och avlopp bör delas in i processvatten, kylvatten, sanitärt vatten och dagvatten.</t>
        </is>
      </c>
      <c r="L1261" t="inlineStr">
        <is>
          <t>Vatten och avlopp bör delas in i processvatten, kylvatten, sanitärt vatten och dagvatten.</t>
        </is>
      </c>
      <c r="M1261" t="inlineStr">
        <is>
          <t>BOR</t>
        </is>
      </c>
      <c r="N1261" t="inlineStr">
        <is>
          <t>FMH</t>
        </is>
      </c>
      <c r="O1261" t="inlineStr"/>
      <c r="P1261" t="inlineStr"/>
      <c r="Q1261" t="inlineStr"/>
      <c r="R1261" t="inlineStr">
        <is>
          <t>Vid nederbord och avrinning</t>
        </is>
      </c>
      <c r="S1261" t="inlineStr"/>
      <c r="T1261" t="inlineStr"/>
      <c r="U1261" t="inlineStr"/>
      <c r="V1261" t="inlineStr"/>
      <c r="W1261" t="inlineStr">
        <is>
          <t>Nej</t>
        </is>
      </c>
      <c r="X1261" t="inlineStr">
        <is>
          <t>Ja</t>
        </is>
      </c>
      <c r="Y1261" t="inlineStr">
        <is>
          <t>Ja</t>
        </is>
      </c>
      <c r="Z1261" t="inlineStr">
        <is>
          <t>Nej</t>
        </is>
      </c>
      <c r="AA1261" t="n">
        <v>6</v>
      </c>
      <c r="AB1261" t="inlineStr">
        <is>
          <t>Lakvattenhantering</t>
        </is>
      </c>
      <c r="AC1261" t="inlineStr">
        <is>
          <t>Flodesschema dagvatten-lakvatten</t>
        </is>
      </c>
      <c r="AD1261" t="inlineStr">
        <is>
          <t>Nej</t>
        </is>
      </c>
      <c r="AE1261" t="inlineStr">
        <is>
          <t>Nej</t>
        </is>
      </c>
      <c r="AF1261" t="inlineStr">
        <is>
          <t>Ej behandlad</t>
        </is>
      </c>
      <c r="AG1261" t="inlineStr">
        <is>
          <t>AUTO_GENERERAD. Verifiera citat mot kallfil.</t>
        </is>
      </c>
      <c r="AH1261" t="inlineStr">
        <is>
          <t>HIGH</t>
        </is>
      </c>
      <c r="AI1261" t="inlineStr">
        <is>
          <t>AUTO</t>
        </is>
      </c>
      <c r="AJ1261" t="inlineStr">
        <is>
          <t>Nej</t>
        </is>
      </c>
      <c r="AK1261" t="inlineStr"/>
      <c r="AL1261" t="inlineStr"/>
      <c r="AM1261" t="inlineStr"/>
      <c r="AN1261" t="inlineStr"/>
      <c r="AO1261" t="inlineStr">
        <is>
          <t>cmm4yupbv02ghcuqwpw1dt4la</t>
        </is>
      </c>
      <c r="AP1261" t="inlineStr">
        <is>
          <t>http://localhost:8787/api/admin/requirements/documents/cmm4yupbv02ghcuqwpw1dt4la/view</t>
        </is>
      </c>
      <c r="AQ1261">
        <f>HYPERLÄNK("http://localhost:8787/api/admin/requirements/documents/cmm4yupbv02ghcuqwpw1dt4la/view";"Öppna PDF")</f>
        <v/>
      </c>
      <c r="AR1261">
        <f>HYPERLINK("http://localhost:8787/api/admin/requirements/documents/cmm4yupbv02ghcuqwpw1dt4la/view","Open PDF")</f>
        <v/>
      </c>
      <c r="AS1261" t="inlineStr">
        <is>
          <t>cmm55w57p0004cuisfrtpqly8</t>
        </is>
      </c>
      <c r="AT1261" t="inlineStr">
        <is>
          <t>cmm4xvu980000cuh4vj0usz09</t>
        </is>
      </c>
      <c r="AU1261" t="inlineStr"/>
      <c r="AV1261" t="inlineStr">
        <is>
          <t>Kommun</t>
        </is>
      </c>
      <c r="AW1261" t="inlineStr"/>
      <c r="AX1261" t="inlineStr">
        <is>
          <t>2025-06</t>
        </is>
      </c>
      <c r="AY1261" t="inlineStr">
        <is>
          <t>Forelaggande</t>
        </is>
      </c>
      <c r="AZ1261" t="inlineStr">
        <is>
          <t>2026-02-03</t>
        </is>
      </c>
      <c r="BA1261" t="inlineStr">
        <is>
          <t>M_föreläggande om åtgärd (1).pdf</t>
        </is>
      </c>
      <c r="BB1261" t="inlineStr">
        <is>
          <t>till registrator</t>
        </is>
      </c>
      <c r="BC1261" t="inlineStr">
        <is>
          <t>AUTO</t>
        </is>
      </c>
      <c r="BD1261" t="inlineStr"/>
      <c r="BE1261" t="inlineStr"/>
      <c r="BF1261" t="inlineStr">
        <is>
          <t>AUTO_GENERERAD. Bekrafta metadata mot kallfil.</t>
        </is>
      </c>
      <c r="BG1261">
        <f>HYPERLINK("C:\Users\jimmy\Desktop\Examens arbete\Kod\Ny mapp\remix_-copy-of-miljöbeslut.se-portal\M_föreläggande om åtgärd (1).pdf", "Öppna PDF")</f>
        <v/>
      </c>
    </row>
    <row r="1262">
      <c r="A1262" t="inlineStr">
        <is>
          <t>KRAV-AUTO-001261</t>
        </is>
      </c>
      <c r="B1262" t="inlineStr">
        <is>
          <t>ADMIN-INDEX-2026-02-27-00000000125C043F57453246863FE664CAFE6A3F0700950291EA24F0614FB6ACEDB12BF0E31D00000000010C0000950291EA24F0614FB6ACEDB12BF0E31D00002087AE930000</t>
        </is>
      </c>
      <c r="C1262" t="inlineStr">
        <is>
          <t>cmm4yupb102fncuqwxbftsmvu</t>
        </is>
      </c>
      <c r="D1262" t="inlineStr">
        <is>
          <t>http://localhost:8787/api/admin/requirements/documents/cmm4yupb102fncuqwxbftsmvu/view</t>
        </is>
      </c>
      <c r="E1262">
        <f>HYPERLÄNK("http://localhost:8787/api/admin/requirements/documents/cmm4yupb102fncuqwxbftsmvu/view";"Öppna PDF")</f>
        <v/>
      </c>
      <c r="F1262">
        <f>HYPERLINK("http://localhost:8787/api/admin/requirements/documents/cmm4yupb102fncuqwxbftsmvu/view","Open PDF")</f>
        <v/>
      </c>
      <c r="G1262" t="inlineStr">
        <is>
          <t>cmm55w57p0004cuisfrtpqly8</t>
        </is>
      </c>
      <c r="H1262" t="inlineStr">
        <is>
          <t>Informationskrav</t>
        </is>
      </c>
      <c r="I1262" t="inlineStr">
        <is>
          <t>Ytkonstruktion</t>
        </is>
      </c>
      <c r="J1262" t="inlineStr">
        <is>
          <t>Tat yta</t>
        </is>
      </c>
      <c r="K1262" t="inlineStr">
        <is>
          <t>överfyllnadsskydd, invallning, nederbördsskydd, påkörningsskydd, tätning av brunnar) och påfyllning (t.ex.</t>
        </is>
      </c>
      <c r="L1262" t="inlineStr">
        <is>
          <t>överfyllnadsskydd, invallning, nederbördsskydd, påkörningsskydd, tätning av brunnar) och påfyllning (t.ex.</t>
        </is>
      </c>
      <c r="M1262" t="inlineStr">
        <is>
          <t>BOR</t>
        </is>
      </c>
      <c r="N1262" t="inlineStr">
        <is>
          <t>FMH</t>
        </is>
      </c>
      <c r="O1262" t="inlineStr"/>
      <c r="P1262" t="inlineStr"/>
      <c r="Q1262" t="inlineStr"/>
      <c r="R1262" t="inlineStr">
        <is>
          <t>Vid mellanlagring av avfall</t>
        </is>
      </c>
      <c r="S1262" t="inlineStr"/>
      <c r="T1262" t="inlineStr"/>
      <c r="U1262" t="inlineStr"/>
      <c r="V1262" t="inlineStr"/>
      <c r="W1262" t="inlineStr">
        <is>
          <t>Ja</t>
        </is>
      </c>
      <c r="X1262" t="inlineStr">
        <is>
          <t>Nej</t>
        </is>
      </c>
      <c r="Y1262" t="inlineStr">
        <is>
          <t>Nej</t>
        </is>
      </c>
      <c r="Z1262" t="inlineStr">
        <is>
          <t>Nej</t>
        </is>
      </c>
      <c r="AA1262" t="n">
        <v>5</v>
      </c>
      <c r="AB1262" t="inlineStr">
        <is>
          <t>Teknisk beskrivning av platta</t>
        </is>
      </c>
      <c r="AC1262" t="inlineStr">
        <is>
          <t>Teknisk ritning platta</t>
        </is>
      </c>
      <c r="AD1262" t="inlineStr">
        <is>
          <t>Nej</t>
        </is>
      </c>
      <c r="AE1262" t="inlineStr">
        <is>
          <t>Nej</t>
        </is>
      </c>
      <c r="AF1262" t="inlineStr">
        <is>
          <t>Ej behandlad</t>
        </is>
      </c>
      <c r="AG1262" t="inlineStr">
        <is>
          <t>AUTO_GENERERAD. Verifiera citat mot kallfil.</t>
        </is>
      </c>
      <c r="AH1262" t="inlineStr">
        <is>
          <t>HIGH</t>
        </is>
      </c>
      <c r="AI1262" t="inlineStr">
        <is>
          <t>AUTO</t>
        </is>
      </c>
      <c r="AJ1262" t="inlineStr">
        <is>
          <t>Nej</t>
        </is>
      </c>
      <c r="AK1262" t="inlineStr"/>
      <c r="AL1262" t="inlineStr"/>
      <c r="AM1262" t="inlineStr"/>
      <c r="AN1262" t="inlineStr"/>
      <c r="AO1262" t="inlineStr">
        <is>
          <t>cmm4yupbv02ghcuqwpw1dt4la</t>
        </is>
      </c>
      <c r="AP1262" t="inlineStr">
        <is>
          <t>http://localhost:8787/api/admin/requirements/documents/cmm4yupbv02ghcuqwpw1dt4la/view</t>
        </is>
      </c>
      <c r="AQ1262">
        <f>HYPERLÄNK("http://localhost:8787/api/admin/requirements/documents/cmm4yupbv02ghcuqwpw1dt4la/view";"Öppna PDF")</f>
        <v/>
      </c>
      <c r="AR1262">
        <f>HYPERLINK("http://localhost:8787/api/admin/requirements/documents/cmm4yupbv02ghcuqwpw1dt4la/view","Open PDF")</f>
        <v/>
      </c>
      <c r="AS1262" t="inlineStr">
        <is>
          <t>cmm55w57p0004cuisfrtpqly8</t>
        </is>
      </c>
      <c r="AT1262" t="inlineStr">
        <is>
          <t>cmm4xvu980000cuh4vj0usz09</t>
        </is>
      </c>
      <c r="AU1262" t="inlineStr"/>
      <c r="AV1262" t="inlineStr">
        <is>
          <t>Kommun</t>
        </is>
      </c>
      <c r="AW1262" t="inlineStr"/>
      <c r="AX1262" t="inlineStr">
        <is>
          <t>2025-06</t>
        </is>
      </c>
      <c r="AY1262" t="inlineStr">
        <is>
          <t>Forelaggande</t>
        </is>
      </c>
      <c r="AZ1262" t="inlineStr">
        <is>
          <t>2026-02-03</t>
        </is>
      </c>
      <c r="BA1262" t="inlineStr">
        <is>
          <t>M_föreläggande om åtgärd (1).pdf</t>
        </is>
      </c>
      <c r="BB1262" t="inlineStr">
        <is>
          <t>till registrator</t>
        </is>
      </c>
      <c r="BC1262" t="inlineStr">
        <is>
          <t>AUTO</t>
        </is>
      </c>
      <c r="BD1262" t="inlineStr"/>
      <c r="BE1262" t="inlineStr"/>
      <c r="BF1262" t="inlineStr">
        <is>
          <t>AUTO_GENERERAD. Bekrafta metadata mot kallfil.</t>
        </is>
      </c>
      <c r="BG1262">
        <f>HYPERLINK("C:\Users\jimmy\Desktop\Examens arbete\Kod\Ny mapp\remix_-copy-of-miljöbeslut.se-portal\M_föreläggande om åtgärd (1).pdf", "Öppna PDF")</f>
        <v/>
      </c>
    </row>
    <row r="1263">
      <c r="A1263" t="inlineStr">
        <is>
          <t>KRAV-AUTO-001262</t>
        </is>
      </c>
      <c r="B1263" t="inlineStr">
        <is>
          <t>ADMIN-INDEX-2026-02-27-00000000125C043F57453246863FE664CAFE6A3F0700950291EA24F0614FB6ACEDB12BF0E31D00000000010C0000950291EA24F0614FB6ACEDB12BF0E31D00002087AE930000</t>
        </is>
      </c>
      <c r="C1263" t="inlineStr">
        <is>
          <t>cmm4yupb102fncuqwxbftsmvu</t>
        </is>
      </c>
      <c r="D1263" t="inlineStr">
        <is>
          <t>http://localhost:8787/api/admin/requirements/documents/cmm4yupb102fncuqwxbftsmvu/view</t>
        </is>
      </c>
      <c r="E1263">
        <f>HYPERLÄNK("http://localhost:8787/api/admin/requirements/documents/cmm4yupb102fncuqwxbftsmvu/view";"Öppna PDF")</f>
        <v/>
      </c>
      <c r="F1263">
        <f>HYPERLINK("http://localhost:8787/api/admin/requirements/documents/cmm4yupb102fncuqwxbftsmvu/view","Open PDF")</f>
        <v/>
      </c>
      <c r="G1263" t="inlineStr">
        <is>
          <t>cmm55w57p0004cuisfrtpqly8</t>
        </is>
      </c>
      <c r="H1263" t="inlineStr">
        <is>
          <t>Informationskrav</t>
        </is>
      </c>
      <c r="I1263" t="inlineStr">
        <is>
          <t>Ytkonstruktion</t>
        </is>
      </c>
      <c r="J1263" t="inlineStr">
        <is>
          <t>Tat yta</t>
        </is>
      </c>
      <c r="K1263" t="inlineStr">
        <is>
          <t>överfyllnadsskydd, invallning, nederbördsskydd, påkörningsskydd, tätning av brunnar) och påfyllning, tankning (t.ex.</t>
        </is>
      </c>
      <c r="L1263" t="inlineStr">
        <is>
          <t>överfyllnadsskydd, invallning, nederbördsskydd, påkörningsskydd, tätning av brunnar) och påfyllning, tankning (t.ex.</t>
        </is>
      </c>
      <c r="M1263" t="inlineStr">
        <is>
          <t>BOR</t>
        </is>
      </c>
      <c r="N1263" t="inlineStr">
        <is>
          <t>FMH</t>
        </is>
      </c>
      <c r="O1263" t="inlineStr"/>
      <c r="P1263" t="inlineStr"/>
      <c r="Q1263" t="inlineStr"/>
      <c r="R1263" t="inlineStr">
        <is>
          <t>Vid mellanlagring av avfall</t>
        </is>
      </c>
      <c r="S1263" t="inlineStr"/>
      <c r="T1263" t="inlineStr"/>
      <c r="U1263" t="inlineStr"/>
      <c r="V1263" t="inlineStr"/>
      <c r="W1263" t="inlineStr">
        <is>
          <t>Ja</t>
        </is>
      </c>
      <c r="X1263" t="inlineStr">
        <is>
          <t>Nej</t>
        </is>
      </c>
      <c r="Y1263" t="inlineStr">
        <is>
          <t>Nej</t>
        </is>
      </c>
      <c r="Z1263" t="inlineStr">
        <is>
          <t>Nej</t>
        </is>
      </c>
      <c r="AA1263" t="n">
        <v>5</v>
      </c>
      <c r="AB1263" t="inlineStr">
        <is>
          <t>Teknisk beskrivning av platta</t>
        </is>
      </c>
      <c r="AC1263" t="inlineStr">
        <is>
          <t>Teknisk ritning platta</t>
        </is>
      </c>
      <c r="AD1263" t="inlineStr">
        <is>
          <t>Nej</t>
        </is>
      </c>
      <c r="AE1263" t="inlineStr">
        <is>
          <t>Nej</t>
        </is>
      </c>
      <c r="AF1263" t="inlineStr">
        <is>
          <t>Ej behandlad</t>
        </is>
      </c>
      <c r="AG1263" t="inlineStr">
        <is>
          <t>AUTO_GENERERAD. Verifiera citat mot kallfil.</t>
        </is>
      </c>
      <c r="AH1263" t="inlineStr">
        <is>
          <t>HIGH</t>
        </is>
      </c>
      <c r="AI1263" t="inlineStr">
        <is>
          <t>AUTO</t>
        </is>
      </c>
      <c r="AJ1263" t="inlineStr">
        <is>
          <t>Nej</t>
        </is>
      </c>
      <c r="AK1263" t="inlineStr"/>
      <c r="AL1263" t="inlineStr"/>
      <c r="AM1263" t="inlineStr"/>
      <c r="AN1263" t="inlineStr"/>
      <c r="AO1263" t="inlineStr">
        <is>
          <t>cmm4yupbv02ghcuqwpw1dt4la</t>
        </is>
      </c>
      <c r="AP1263" t="inlineStr">
        <is>
          <t>http://localhost:8787/api/admin/requirements/documents/cmm4yupbv02ghcuqwpw1dt4la/view</t>
        </is>
      </c>
      <c r="AQ1263">
        <f>HYPERLÄNK("http://localhost:8787/api/admin/requirements/documents/cmm4yupbv02ghcuqwpw1dt4la/view";"Öppna PDF")</f>
        <v/>
      </c>
      <c r="AR1263">
        <f>HYPERLINK("http://localhost:8787/api/admin/requirements/documents/cmm4yupbv02ghcuqwpw1dt4la/view","Open PDF")</f>
        <v/>
      </c>
      <c r="AS1263" t="inlineStr">
        <is>
          <t>cmm55w57p0004cuisfrtpqly8</t>
        </is>
      </c>
      <c r="AT1263" t="inlineStr">
        <is>
          <t>cmm4xvu980000cuh4vj0usz09</t>
        </is>
      </c>
      <c r="AU1263" t="inlineStr"/>
      <c r="AV1263" t="inlineStr">
        <is>
          <t>Kommun</t>
        </is>
      </c>
      <c r="AW1263" t="inlineStr"/>
      <c r="AX1263" t="inlineStr">
        <is>
          <t>2025-06</t>
        </is>
      </c>
      <c r="AY1263" t="inlineStr">
        <is>
          <t>Forelaggande</t>
        </is>
      </c>
      <c r="AZ1263" t="inlineStr">
        <is>
          <t>2026-02-03</t>
        </is>
      </c>
      <c r="BA1263" t="inlineStr">
        <is>
          <t>M_föreläggande om åtgärd (1).pdf</t>
        </is>
      </c>
      <c r="BB1263" t="inlineStr">
        <is>
          <t>till registrator</t>
        </is>
      </c>
      <c r="BC1263" t="inlineStr">
        <is>
          <t>AUTO</t>
        </is>
      </c>
      <c r="BD1263" t="inlineStr"/>
      <c r="BE1263" t="inlineStr"/>
      <c r="BF1263" t="inlineStr">
        <is>
          <t>AUTO_GENERERAD. Bekrafta metadata mot kallfil.</t>
        </is>
      </c>
      <c r="BG1263">
        <f>HYPERLINK("C:\Users\jimmy\Desktop\Examens arbete\Kod\Ny mapp\remix_-copy-of-miljöbeslut.se-portal\M_föreläggande om åtgärd (1).pdf", "Öppna PDF")</f>
        <v/>
      </c>
    </row>
    <row r="1264">
      <c r="A1264" t="inlineStr">
        <is>
          <t>KRAV-AUTO-001263</t>
        </is>
      </c>
      <c r="B1264" t="inlineStr">
        <is>
          <t>ADMIN-INDEX-2026-02-27-00000000125C043F57453246863FE664CAFE6A3F0700950291EA24F0614FB6ACEDB12BF0E31D00000000010C0000950291EA24F0614FB6ACEDB12BF0E31D00002087AE930000</t>
        </is>
      </c>
      <c r="C1264" t="inlineStr">
        <is>
          <t>cmm4yupay02fkcuqwmo0pbztr</t>
        </is>
      </c>
      <c r="D1264" t="inlineStr">
        <is>
          <t>http://localhost:8787/api/admin/requirements/documents/cmm4yupay02fkcuqwmo0pbztr/view</t>
        </is>
      </c>
      <c r="E1264">
        <f>HYPERLÄNK("http://localhost:8787/api/admin/requirements/documents/cmm4yupay02fkcuqwmo0pbztr/view";"Öppna PDF")</f>
        <v/>
      </c>
      <c r="F1264">
        <f>HYPERLINK("http://localhost:8787/api/admin/requirements/documents/cmm4yupay02fkcuqwmo0pbztr/view","Open PDF")</f>
        <v/>
      </c>
      <c r="G1264" t="inlineStr">
        <is>
          <t>cmm55w57p0004cuisfrtpqly8</t>
        </is>
      </c>
      <c r="H1264" t="inlineStr">
        <is>
          <t>Informationskrav</t>
        </is>
      </c>
      <c r="I1264" t="inlineStr">
        <is>
          <t>LagringsvolymTid</t>
        </is>
      </c>
      <c r="J1264" t="inlineStr">
        <is>
          <t>Maxmangd</t>
        </is>
      </c>
      <c r="K1264" t="inlineStr">
        <is>
          <t>Men uppskattningsvis uppgår den totala mängden till ca 6 000 - 9 000 ton längsmed hela sträckan med nivåer under 70 mg/kg.</t>
        </is>
      </c>
      <c r="L1264" t="inlineStr">
        <is>
          <t>Men uppskattningsvis uppgår den totala mängden till ca 6 000 - 9 000 ton längsmed hela sträckan med nivåer under 70 mg/kg.</t>
        </is>
      </c>
      <c r="M1264" t="inlineStr">
        <is>
          <t>SKA</t>
        </is>
      </c>
      <c r="N1264" t="inlineStr"/>
      <c r="O1264" t="inlineStr"/>
      <c r="P1264" t="inlineStr"/>
      <c r="Q1264" t="inlineStr"/>
      <c r="R1264" t="inlineStr">
        <is>
          <t>Alltid</t>
        </is>
      </c>
      <c r="S1264" t="inlineStr"/>
      <c r="T1264" t="inlineStr"/>
      <c r="U1264" t="n">
        <v>0</v>
      </c>
      <c r="V1264" t="inlineStr"/>
      <c r="W1264" t="inlineStr">
        <is>
          <t>Nej</t>
        </is>
      </c>
      <c r="X1264" t="inlineStr">
        <is>
          <t>Nej</t>
        </is>
      </c>
      <c r="Y1264" t="inlineStr">
        <is>
          <t>Nej</t>
        </is>
      </c>
      <c r="Z1264" t="inlineStr">
        <is>
          <t>Nej</t>
        </is>
      </c>
      <c r="AA1264" t="n">
        <v>4</v>
      </c>
      <c r="AB1264" t="inlineStr">
        <is>
          <t>Avfallsmangder och lagringstid</t>
        </is>
      </c>
      <c r="AC1264" t="inlineStr">
        <is>
          <t>Avfallsforteckning</t>
        </is>
      </c>
      <c r="AD1264" t="inlineStr">
        <is>
          <t>Nej</t>
        </is>
      </c>
      <c r="AE1264" t="inlineStr">
        <is>
          <t>Nej</t>
        </is>
      </c>
      <c r="AF1264" t="inlineStr">
        <is>
          <t>Ej behandlad</t>
        </is>
      </c>
      <c r="AG1264" t="inlineStr">
        <is>
          <t>AUTO_GENERERAD. Verifiera citat mot kallfil.</t>
        </is>
      </c>
      <c r="AH1264" t="inlineStr">
        <is>
          <t>MEDIUM</t>
        </is>
      </c>
      <c r="AI1264" t="inlineStr">
        <is>
          <t>AUTO</t>
        </is>
      </c>
      <c r="AJ1264" t="inlineStr">
        <is>
          <t>Nej</t>
        </is>
      </c>
      <c r="AK1264" t="inlineStr"/>
      <c r="AL1264" t="inlineStr"/>
      <c r="AM1264" t="inlineStr"/>
      <c r="AN1264" t="inlineStr"/>
      <c r="AO1264" t="inlineStr">
        <is>
          <t>cmm4yupbv02ghcuqwpw1dt4la</t>
        </is>
      </c>
      <c r="AP1264" t="inlineStr">
        <is>
          <t>http://localhost:8787/api/admin/requirements/documents/cmm4yupbv02ghcuqwpw1dt4la/view</t>
        </is>
      </c>
      <c r="AQ1264">
        <f>HYPERLÄNK("http://localhost:8787/api/admin/requirements/documents/cmm4yupbv02ghcuqwpw1dt4la/view";"Öppna PDF")</f>
        <v/>
      </c>
      <c r="AR1264">
        <f>HYPERLINK("http://localhost:8787/api/admin/requirements/documents/cmm4yupbv02ghcuqwpw1dt4la/view","Open PDF")</f>
        <v/>
      </c>
      <c r="AS1264" t="inlineStr">
        <is>
          <t>cmm55w57p0004cuisfrtpqly8</t>
        </is>
      </c>
      <c r="AT1264" t="inlineStr">
        <is>
          <t>cmm4xvu980000cuh4vj0usz09</t>
        </is>
      </c>
      <c r="AU1264" t="inlineStr"/>
      <c r="AV1264" t="inlineStr">
        <is>
          <t>Kommun</t>
        </is>
      </c>
      <c r="AW1264" t="inlineStr"/>
      <c r="AX1264" t="inlineStr">
        <is>
          <t>2025-06</t>
        </is>
      </c>
      <c r="AY1264" t="inlineStr">
        <is>
          <t>Forelaggande</t>
        </is>
      </c>
      <c r="AZ1264" t="inlineStr">
        <is>
          <t>2026-02-03</t>
        </is>
      </c>
      <c r="BA1264" t="inlineStr">
        <is>
          <t>M_föreläggande om åtgärd (1).pdf</t>
        </is>
      </c>
      <c r="BB1264" t="inlineStr">
        <is>
          <t>till registrator</t>
        </is>
      </c>
      <c r="BC1264" t="inlineStr">
        <is>
          <t>AUTO</t>
        </is>
      </c>
      <c r="BD1264" t="inlineStr"/>
      <c r="BE1264" t="inlineStr"/>
      <c r="BF1264" t="inlineStr">
        <is>
          <t>AUTO_GENERERAD. Bekrafta metadata mot kallfil.</t>
        </is>
      </c>
      <c r="BG1264">
        <f>HYPERLINK("C:\Users\jimmy\Desktop\Examens arbete\Kod\Ny mapp\remix_-copy-of-miljöbeslut.se-portal\M_föreläggande om åtgärd (1).pdf", "Öppna PDF")</f>
        <v/>
      </c>
    </row>
    <row r="1265">
      <c r="A1265" t="inlineStr">
        <is>
          <t>KRAV-AUTO-001264</t>
        </is>
      </c>
      <c r="B1265" t="inlineStr">
        <is>
          <t>ADMIN-INDEX-2026-02-27-00000000125C043F57453246863FE664CAFE6A3F0700950291EA24F0614FB6ACEDB12BF0E31D00000000010C0000950291EA24F0614FB6ACEDB12BF0E31D00002087AE930000</t>
        </is>
      </c>
      <c r="C1265" t="inlineStr">
        <is>
          <t>cmm4yupav02fhcuqwovwgv4qn</t>
        </is>
      </c>
      <c r="D1265" t="inlineStr">
        <is>
          <t>http://localhost:8787/api/admin/requirements/documents/cmm4yupav02fhcuqwovwgv4qn/view</t>
        </is>
      </c>
      <c r="E1265">
        <f>HYPERLÄNK("http://localhost:8787/api/admin/requirements/documents/cmm4yupav02fhcuqwovwgv4qn/view";"Öppna PDF")</f>
        <v/>
      </c>
      <c r="F1265">
        <f>HYPERLINK("http://localhost:8787/api/admin/requirements/documents/cmm4yupav02fhcuqwovwgv4qn/view","Open PDF")</f>
        <v/>
      </c>
      <c r="G1265" t="inlineStr">
        <is>
          <t>cmm55w57p0004cuisfrtpqly8</t>
        </is>
      </c>
      <c r="H1265" t="inlineStr">
        <is>
          <t>Informationskrav</t>
        </is>
      </c>
      <c r="I1265" t="inlineStr">
        <is>
          <t>Riskhantering</t>
        </is>
      </c>
      <c r="J1265" t="inlineStr">
        <is>
          <t>Riskkontroll</t>
        </is>
      </c>
      <c r="K1265" t="inlineStr">
        <is>
          <t>Genom att dessutom undvika områden som riskerar att översvämmas vid större nederbörd minskas risken för att materialet kommer i kontakt med vatten vid extrema händelser.</t>
        </is>
      </c>
      <c r="L1265" t="inlineStr">
        <is>
          <t>Genom att dessutom undvika områden som riskerar att översvämmas vid större nederbörd minskas risken för att materialet kommer i kontakt med vatten vid extrema händelser.</t>
        </is>
      </c>
      <c r="M1265" t="inlineStr">
        <is>
          <t>SKA</t>
        </is>
      </c>
      <c r="N1265" t="inlineStr"/>
      <c r="O1265" t="inlineStr"/>
      <c r="P1265" t="inlineStr"/>
      <c r="Q1265" t="inlineStr"/>
      <c r="R1265" t="inlineStr">
        <is>
          <t>Vid risk for incident</t>
        </is>
      </c>
      <c r="S1265" t="inlineStr"/>
      <c r="T1265" t="inlineStr"/>
      <c r="U1265" t="inlineStr"/>
      <c r="V1265" t="inlineStr"/>
      <c r="W1265" t="inlineStr">
        <is>
          <t>Nej</t>
        </is>
      </c>
      <c r="X1265" t="inlineStr">
        <is>
          <t>Nej</t>
        </is>
      </c>
      <c r="Y1265" t="inlineStr">
        <is>
          <t>Ja</t>
        </is>
      </c>
      <c r="Z1265" t="inlineStr">
        <is>
          <t>Ja</t>
        </is>
      </c>
      <c r="AA1265" t="n">
        <v>8</v>
      </c>
      <c r="AB1265" t="inlineStr">
        <is>
          <t>Riskhantering</t>
        </is>
      </c>
      <c r="AC1265" t="inlineStr">
        <is>
          <t>Risk-PM</t>
        </is>
      </c>
      <c r="AD1265" t="inlineStr">
        <is>
          <t>Nej</t>
        </is>
      </c>
      <c r="AE1265" t="inlineStr">
        <is>
          <t>Nej</t>
        </is>
      </c>
      <c r="AF1265" t="inlineStr">
        <is>
          <t>Ej behandlad</t>
        </is>
      </c>
      <c r="AG1265" t="inlineStr">
        <is>
          <t>AUTO_GENERERAD. Verifiera citat mot kallfil.</t>
        </is>
      </c>
      <c r="AH1265" t="inlineStr">
        <is>
          <t>MEDIUM</t>
        </is>
      </c>
      <c r="AI1265" t="inlineStr">
        <is>
          <t>AUTO</t>
        </is>
      </c>
      <c r="AJ1265" t="inlineStr">
        <is>
          <t>Nej</t>
        </is>
      </c>
      <c r="AK1265" t="inlineStr"/>
      <c r="AL1265" t="inlineStr"/>
      <c r="AM1265" t="inlineStr"/>
      <c r="AN1265" t="inlineStr"/>
      <c r="AO1265" t="inlineStr">
        <is>
          <t>cmm4yupbv02ghcuqwpw1dt4la</t>
        </is>
      </c>
      <c r="AP1265" t="inlineStr">
        <is>
          <t>http://localhost:8787/api/admin/requirements/documents/cmm4yupbv02ghcuqwpw1dt4la/view</t>
        </is>
      </c>
      <c r="AQ1265">
        <f>HYPERLÄNK("http://localhost:8787/api/admin/requirements/documents/cmm4yupbv02ghcuqwpw1dt4la/view";"Öppna PDF")</f>
        <v/>
      </c>
      <c r="AR1265">
        <f>HYPERLINK("http://localhost:8787/api/admin/requirements/documents/cmm4yupbv02ghcuqwpw1dt4la/view","Open PDF")</f>
        <v/>
      </c>
      <c r="AS1265" t="inlineStr">
        <is>
          <t>cmm55w57p0004cuisfrtpqly8</t>
        </is>
      </c>
      <c r="AT1265" t="inlineStr">
        <is>
          <t>cmm4xvu980000cuh4vj0usz09</t>
        </is>
      </c>
      <c r="AU1265" t="inlineStr"/>
      <c r="AV1265" t="inlineStr">
        <is>
          <t>Kommun</t>
        </is>
      </c>
      <c r="AW1265" t="inlineStr"/>
      <c r="AX1265" t="inlineStr">
        <is>
          <t>2025-06</t>
        </is>
      </c>
      <c r="AY1265" t="inlineStr">
        <is>
          <t>Forelaggande</t>
        </is>
      </c>
      <c r="AZ1265" t="inlineStr">
        <is>
          <t>2026-02-03</t>
        </is>
      </c>
      <c r="BA1265" t="inlineStr">
        <is>
          <t>M_föreläggande om åtgärd (1).pdf</t>
        </is>
      </c>
      <c r="BB1265" t="inlineStr">
        <is>
          <t>till registrator</t>
        </is>
      </c>
      <c r="BC1265" t="inlineStr">
        <is>
          <t>AUTO</t>
        </is>
      </c>
      <c r="BD1265" t="inlineStr"/>
      <c r="BE1265" t="inlineStr"/>
      <c r="BF1265" t="inlineStr">
        <is>
          <t>AUTO_GENERERAD. Bekrafta metadata mot kallfil.</t>
        </is>
      </c>
      <c r="BG1265">
        <f>HYPERLINK("C:\Users\jimmy\Desktop\Examens arbete\Kod\Ny mapp\remix_-copy-of-miljöbeslut.se-portal\M_föreläggande om åtgärd (1).pdf", "Öppna PDF")</f>
        <v/>
      </c>
    </row>
    <row r="1266">
      <c r="A1266" t="inlineStr">
        <is>
          <t>KRAV-AUTO-001265</t>
        </is>
      </c>
      <c r="B1266" t="inlineStr">
        <is>
          <t>ADMIN-INDEX-2026-02-27-00000000125C043F57453246863FE664CAFE6A3F0700950291EA24F0614FB6ACEDB12BF0E31D00000000010C0000950291EA24F0614FB6ACEDB12BF0E31D00002087AE930000</t>
        </is>
      </c>
      <c r="C1266" t="inlineStr">
        <is>
          <t>cmm4yupav02fhcuqwovwgv4qn</t>
        </is>
      </c>
      <c r="D1266" t="inlineStr">
        <is>
          <t>http://localhost:8787/api/admin/requirements/documents/cmm4yupav02fhcuqwovwgv4qn/view</t>
        </is>
      </c>
      <c r="E1266">
        <f>HYPERLÄNK("http://localhost:8787/api/admin/requirements/documents/cmm4yupav02fhcuqwovwgv4qn/view";"Öppna PDF")</f>
        <v/>
      </c>
      <c r="F1266">
        <f>HYPERLINK("http://localhost:8787/api/admin/requirements/documents/cmm4yupav02fhcuqwovwgv4qn/view","Open PDF")</f>
        <v/>
      </c>
      <c r="G1266" t="inlineStr">
        <is>
          <t>cmm55w57p0004cuisfrtpqly8</t>
        </is>
      </c>
      <c r="H1266" t="inlineStr">
        <is>
          <t>Informationskrav</t>
        </is>
      </c>
      <c r="I1266" t="inlineStr">
        <is>
          <t>LagringsvolymTid</t>
        </is>
      </c>
      <c r="J1266" t="inlineStr">
        <is>
          <t>Maxmangd</t>
        </is>
      </c>
      <c r="K1266" t="inlineStr">
        <is>
          <t>Uppskattningsvis kommer det uppstå ca 1 000 ton asfalt med asfalt innehållandes PAH (70-300 mg/kg).</t>
        </is>
      </c>
      <c r="L1266" t="inlineStr">
        <is>
          <t>Uppskattningsvis kommer det uppstå ca 1 000 ton asfalt med asfalt innehållandes PAH (70-300 mg/kg).</t>
        </is>
      </c>
      <c r="M1266" t="inlineStr">
        <is>
          <t>SKA</t>
        </is>
      </c>
      <c r="N1266" t="inlineStr"/>
      <c r="O1266" t="inlineStr"/>
      <c r="P1266" t="inlineStr"/>
      <c r="Q1266" t="inlineStr"/>
      <c r="R1266" t="inlineStr">
        <is>
          <t>Alltid</t>
        </is>
      </c>
      <c r="S1266" t="inlineStr"/>
      <c r="T1266" t="inlineStr"/>
      <c r="U1266" t="n">
        <v>0</v>
      </c>
      <c r="V1266" t="inlineStr"/>
      <c r="W1266" t="inlineStr">
        <is>
          <t>Nej</t>
        </is>
      </c>
      <c r="X1266" t="inlineStr">
        <is>
          <t>Nej</t>
        </is>
      </c>
      <c r="Y1266" t="inlineStr">
        <is>
          <t>Nej</t>
        </is>
      </c>
      <c r="Z1266" t="inlineStr">
        <is>
          <t>Nej</t>
        </is>
      </c>
      <c r="AA1266" t="n">
        <v>4</v>
      </c>
      <c r="AB1266" t="inlineStr">
        <is>
          <t>Avfallsmangder och lagringstid</t>
        </is>
      </c>
      <c r="AC1266" t="inlineStr">
        <is>
          <t>Avfallsforteckning</t>
        </is>
      </c>
      <c r="AD1266" t="inlineStr">
        <is>
          <t>Nej</t>
        </is>
      </c>
      <c r="AE1266" t="inlineStr">
        <is>
          <t>Nej</t>
        </is>
      </c>
      <c r="AF1266" t="inlineStr">
        <is>
          <t>Ej behandlad</t>
        </is>
      </c>
      <c r="AG1266" t="inlineStr">
        <is>
          <t>AUTO_GENERERAD. Verifiera citat mot kallfil.</t>
        </is>
      </c>
      <c r="AH1266" t="inlineStr">
        <is>
          <t>MEDIUM</t>
        </is>
      </c>
      <c r="AI1266" t="inlineStr">
        <is>
          <t>AUTO</t>
        </is>
      </c>
      <c r="AJ1266" t="inlineStr">
        <is>
          <t>Nej</t>
        </is>
      </c>
      <c r="AK1266" t="inlineStr"/>
      <c r="AL1266" t="inlineStr"/>
      <c r="AM1266" t="inlineStr"/>
      <c r="AN1266" t="inlineStr"/>
      <c r="AO1266" t="inlineStr">
        <is>
          <t>cmm4yupbv02ghcuqwpw1dt4la</t>
        </is>
      </c>
      <c r="AP1266" t="inlineStr">
        <is>
          <t>http://localhost:8787/api/admin/requirements/documents/cmm4yupbv02ghcuqwpw1dt4la/view</t>
        </is>
      </c>
      <c r="AQ1266">
        <f>HYPERLÄNK("http://localhost:8787/api/admin/requirements/documents/cmm4yupbv02ghcuqwpw1dt4la/view";"Öppna PDF")</f>
        <v/>
      </c>
      <c r="AR1266">
        <f>HYPERLINK("http://localhost:8787/api/admin/requirements/documents/cmm4yupbv02ghcuqwpw1dt4la/view","Open PDF")</f>
        <v/>
      </c>
      <c r="AS1266" t="inlineStr">
        <is>
          <t>cmm55w57p0004cuisfrtpqly8</t>
        </is>
      </c>
      <c r="AT1266" t="inlineStr">
        <is>
          <t>cmm4xvu980000cuh4vj0usz09</t>
        </is>
      </c>
      <c r="AU1266" t="inlineStr"/>
      <c r="AV1266" t="inlineStr">
        <is>
          <t>Kommun</t>
        </is>
      </c>
      <c r="AW1266" t="inlineStr"/>
      <c r="AX1266" t="inlineStr">
        <is>
          <t>2025-06</t>
        </is>
      </c>
      <c r="AY1266" t="inlineStr">
        <is>
          <t>Forelaggande</t>
        </is>
      </c>
      <c r="AZ1266" t="inlineStr">
        <is>
          <t>2026-02-03</t>
        </is>
      </c>
      <c r="BA1266" t="inlineStr">
        <is>
          <t>M_föreläggande om åtgärd (1).pdf</t>
        </is>
      </c>
      <c r="BB1266" t="inlineStr">
        <is>
          <t>till registrator</t>
        </is>
      </c>
      <c r="BC1266" t="inlineStr">
        <is>
          <t>AUTO</t>
        </is>
      </c>
      <c r="BD1266" t="inlineStr"/>
      <c r="BE1266" t="inlineStr"/>
      <c r="BF1266" t="inlineStr">
        <is>
          <t>AUTO_GENERERAD. Bekrafta metadata mot kallfil.</t>
        </is>
      </c>
      <c r="BG1266">
        <f>HYPERLINK("C:\Users\jimmy\Desktop\Examens arbete\Kod\Ny mapp\remix_-copy-of-miljöbeslut.se-portal\M_föreläggande om åtgärd (1).pdf", "Öppna PDF")</f>
        <v/>
      </c>
    </row>
    <row r="1267">
      <c r="A1267" t="inlineStr">
        <is>
          <t>KRAV-AUTO-001266</t>
        </is>
      </c>
      <c r="B1267" t="inlineStr">
        <is>
          <t>ADMIN-INDEX-2026-02-27-00000000125C043F57453246863FE664CAFE6A3F0700950291EA24F0614FB6ACEDB12BF0E31D00000000010C0000950291EA24F0614FB6ACEDB12BF0E31D00002087AE940000</t>
        </is>
      </c>
      <c r="C1267" t="inlineStr">
        <is>
          <t>cmm4yupas02fecuqwvht0309b</t>
        </is>
      </c>
      <c r="D1267" t="inlineStr">
        <is>
          <t>http://localhost:8787/api/admin/requirements/documents/cmm4yupas02fecuqwvht0309b/view</t>
        </is>
      </c>
      <c r="E1267">
        <f>HYPERLÄNK("http://localhost:8787/api/admin/requirements/documents/cmm4yupas02fecuqwvht0309b/view";"Öppna PDF")</f>
        <v/>
      </c>
      <c r="F1267">
        <f>HYPERLINK("http://localhost:8787/api/admin/requirements/documents/cmm4yupas02fecuqwvht0309b/view","Open PDF")</f>
        <v/>
      </c>
      <c r="G1267" t="inlineStr">
        <is>
          <t>cmm55w57p0004cuisfrtpqly8</t>
        </is>
      </c>
      <c r="H1267" t="inlineStr">
        <is>
          <t>Kompletteringskrav</t>
        </is>
      </c>
      <c r="I1267" t="inlineStr">
        <is>
          <t>MiljopaverkanForsiktighet</t>
        </is>
      </c>
      <c r="J1267" t="inlineStr">
        <is>
          <t>Skyddsatgarder</t>
        </is>
      </c>
      <c r="K1267" t="inlineStr">
        <is>
          <t>Material som inte är klassat som fyllnadsmaterial eller annat godtagbart byggmaterial, samt oönskat eller miljömässigt olämpligt avfall, ska sorteras bort och lämnas till godkänd avfallsmottagare.</t>
        </is>
      </c>
      <c r="L1267" t="inlineStr">
        <is>
          <t>Material som inte är klassat som fyllnadsmaterial eller annat godtagbart byggmaterial, samt oönskat eller miljömässigt olämpligt avfall, ska sorteras bort och lämnas till godkänd avfallsmottagare.</t>
        </is>
      </c>
      <c r="M1267" t="inlineStr">
        <is>
          <t>SKA</t>
        </is>
      </c>
      <c r="N1267" t="inlineStr"/>
      <c r="O1267" t="inlineStr"/>
      <c r="P1267" t="inlineStr"/>
      <c r="Q1267" t="inlineStr"/>
      <c r="R1267" t="inlineStr">
        <is>
          <t>Alltid</t>
        </is>
      </c>
      <c r="S1267" t="inlineStr"/>
      <c r="T1267" t="inlineStr"/>
      <c r="U1267" t="inlineStr"/>
      <c r="V1267" t="inlineStr"/>
      <c r="W1267" t="inlineStr">
        <is>
          <t>Nej</t>
        </is>
      </c>
      <c r="X1267" t="inlineStr">
        <is>
          <t>Nej</t>
        </is>
      </c>
      <c r="Y1267" t="inlineStr">
        <is>
          <t>Nej</t>
        </is>
      </c>
      <c r="Z1267" t="inlineStr">
        <is>
          <t>Nej</t>
        </is>
      </c>
      <c r="AA1267" t="n">
        <v>10</v>
      </c>
      <c r="AB1267" t="inlineStr">
        <is>
          <t>Miljopaverkan och forsiktighetsmatt</t>
        </is>
      </c>
      <c r="AC1267" t="inlineStr">
        <is>
          <t>Miljo-PM</t>
        </is>
      </c>
      <c r="AD1267" t="inlineStr">
        <is>
          <t>Nej</t>
        </is>
      </c>
      <c r="AE1267" t="inlineStr">
        <is>
          <t>Nej</t>
        </is>
      </c>
      <c r="AF1267" t="inlineStr">
        <is>
          <t>Ej behandlad</t>
        </is>
      </c>
      <c r="AG1267" t="inlineStr">
        <is>
          <t>AUTO_GENERERAD. Verifiera citat mot kallfil.</t>
        </is>
      </c>
      <c r="AH1267" t="inlineStr">
        <is>
          <t>MEDIUM</t>
        </is>
      </c>
      <c r="AI1267" t="inlineStr">
        <is>
          <t>AUTO</t>
        </is>
      </c>
      <c r="AJ1267" t="inlineStr">
        <is>
          <t>Nej</t>
        </is>
      </c>
      <c r="AK1267" t="inlineStr"/>
      <c r="AL1267" t="inlineStr"/>
      <c r="AM1267" t="inlineStr"/>
      <c r="AN1267" t="inlineStr"/>
      <c r="AO1267" t="inlineStr">
        <is>
          <t>cmm4yupas02fecuqwvht0309b</t>
        </is>
      </c>
      <c r="AP1267" t="inlineStr">
        <is>
          <t>http://localhost:8787/api/admin/requirements/documents/cmm4yupas02fecuqwvht0309b/view</t>
        </is>
      </c>
      <c r="AQ1267">
        <f>HYPERLÄNK("http://localhost:8787/api/admin/requirements/documents/cmm4yupas02fecuqwvht0309b/view";"Öppna PDF")</f>
        <v/>
      </c>
      <c r="AR1267">
        <f>HYPERLINK("http://localhost:8787/api/admin/requirements/documents/cmm4yupas02fecuqwvht0309b/view","Open PDF")</f>
        <v/>
      </c>
      <c r="AS1267" t="inlineStr">
        <is>
          <t>cmm55w57p0004cuisfrtpqly8</t>
        </is>
      </c>
      <c r="AT1267" t="inlineStr">
        <is>
          <t>cmm4xvu980000cuh4vj0usz09</t>
        </is>
      </c>
      <c r="AU1267" t="inlineStr"/>
      <c r="AV1267" t="inlineStr">
        <is>
          <t>Kommun</t>
        </is>
      </c>
      <c r="AW1267" t="inlineStr"/>
      <c r="AX1267" t="inlineStr">
        <is>
          <t>2025-06</t>
        </is>
      </c>
      <c r="AY1267" t="inlineStr">
        <is>
          <t>Forelaggande</t>
        </is>
      </c>
      <c r="AZ1267" t="inlineStr">
        <is>
          <t>2026-02-03</t>
        </is>
      </c>
      <c r="BA1267" t="inlineStr">
        <is>
          <t>M_föreläggande om åtgärd (1).pdf</t>
        </is>
      </c>
      <c r="BB1267" t="inlineStr">
        <is>
          <t>till registrator</t>
        </is>
      </c>
      <c r="BC1267" t="inlineStr">
        <is>
          <t>AUTO</t>
        </is>
      </c>
      <c r="BD1267" t="inlineStr"/>
      <c r="BE1267" t="inlineStr"/>
      <c r="BF1267" t="inlineStr">
        <is>
          <t>AUTO_GENERERAD. Bekrafta metadata mot kallfil.</t>
        </is>
      </c>
      <c r="BG1267">
        <f>HYPERLINK("C:\Users\jimmy\Desktop\Examens arbete\Kod\Ny mapp\remix_-copy-of-miljöbeslut.se-portal\M_föreläggande om åtgärd (1).pdf", "Öppna PDF")</f>
        <v/>
      </c>
    </row>
    <row r="1268">
      <c r="A1268" t="inlineStr">
        <is>
          <t>KRAV-AUTO-001267</t>
        </is>
      </c>
      <c r="B1268" t="inlineStr">
        <is>
          <t>ADMIN-INDEX-2026-02-27-00000000125C043F57453246863FE664CAFE6A3F0700950291EA24F0614FB6ACEDB12BF0E31D00000000010C0000950291EA24F0614FB6ACEDB12BF0E31D00002087AE940000</t>
        </is>
      </c>
      <c r="C1268" t="inlineStr">
        <is>
          <t>cmm4yupas02fecuqwvht0309b</t>
        </is>
      </c>
      <c r="D1268" t="inlineStr">
        <is>
          <t>http://localhost:8787/api/admin/requirements/documents/cmm4yupas02fecuqwvht0309b/view</t>
        </is>
      </c>
      <c r="E1268">
        <f>HYPERLÄNK("http://localhost:8787/api/admin/requirements/documents/cmm4yupas02fecuqwvht0309b/view";"Öppna PDF")</f>
        <v/>
      </c>
      <c r="F1268">
        <f>HYPERLINK("http://localhost:8787/api/admin/requirements/documents/cmm4yupas02fecuqwvht0309b/view","Open PDF")</f>
        <v/>
      </c>
      <c r="G1268" t="inlineStr">
        <is>
          <t>cmm55w57p0004cuisfrtpqly8</t>
        </is>
      </c>
      <c r="H1268" t="inlineStr">
        <is>
          <t>Kompletteringskrav</t>
        </is>
      </c>
      <c r="I1268" t="inlineStr">
        <is>
          <t>MiljopaverkanForsiktighet</t>
        </is>
      </c>
      <c r="J1268" t="inlineStr">
        <is>
          <t>Skyddsatgarder</t>
        </is>
      </c>
      <c r="K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68" t="inlineStr">
        <is>
          <t>BOR</t>
        </is>
      </c>
      <c r="N1268" t="inlineStr"/>
      <c r="O1268" t="inlineStr">
        <is>
          <t>2025-06-02</t>
        </is>
      </c>
      <c r="P1268" t="inlineStr"/>
      <c r="Q1268" t="inlineStr">
        <is>
          <t>Forelaggande vid brist</t>
        </is>
      </c>
      <c r="R1268" t="inlineStr">
        <is>
          <t>Alltid</t>
        </is>
      </c>
      <c r="S1268" t="inlineStr"/>
      <c r="T1268" t="inlineStr"/>
      <c r="U1268" t="inlineStr"/>
      <c r="V1268" t="inlineStr"/>
      <c r="W1268" t="inlineStr">
        <is>
          <t>Nej</t>
        </is>
      </c>
      <c r="X1268" t="inlineStr">
        <is>
          <t>Nej</t>
        </is>
      </c>
      <c r="Y1268" t="inlineStr">
        <is>
          <t>Nej</t>
        </is>
      </c>
      <c r="Z1268" t="inlineStr">
        <is>
          <t>Nej</t>
        </is>
      </c>
      <c r="AA1268" t="n">
        <v>10</v>
      </c>
      <c r="AB1268" t="inlineStr">
        <is>
          <t>Miljopaverkan och forsiktighetsmatt</t>
        </is>
      </c>
      <c r="AC1268" t="inlineStr">
        <is>
          <t>Miljo-PM</t>
        </is>
      </c>
      <c r="AD1268" t="inlineStr">
        <is>
          <t>Nej</t>
        </is>
      </c>
      <c r="AE1268" t="inlineStr">
        <is>
          <t>Nej</t>
        </is>
      </c>
      <c r="AF1268" t="inlineStr">
        <is>
          <t>Ej behandlad</t>
        </is>
      </c>
      <c r="AG1268" t="inlineStr">
        <is>
          <t>AUTO_GENERERAD. Verifiera citat mot kallfil.</t>
        </is>
      </c>
      <c r="AH1268" t="inlineStr">
        <is>
          <t>MEDIUM</t>
        </is>
      </c>
      <c r="AI1268" t="inlineStr">
        <is>
          <t>AUTO</t>
        </is>
      </c>
      <c r="AJ1268" t="inlineStr">
        <is>
          <t>Nej</t>
        </is>
      </c>
      <c r="AK1268" t="inlineStr"/>
      <c r="AL1268" t="inlineStr"/>
      <c r="AM1268" t="inlineStr"/>
      <c r="AN1268" t="inlineStr"/>
      <c r="AO1268" t="inlineStr">
        <is>
          <t>cmm4yupas02fecuqwvht0309b</t>
        </is>
      </c>
      <c r="AP1268" t="inlineStr">
        <is>
          <t>http://localhost:8787/api/admin/requirements/documents/cmm4yupas02fecuqwvht0309b/view</t>
        </is>
      </c>
      <c r="AQ1268">
        <f>HYPERLÄNK("http://localhost:8787/api/admin/requirements/documents/cmm4yupas02fecuqwvht0309b/view";"Öppna PDF")</f>
        <v/>
      </c>
      <c r="AR1268">
        <f>HYPERLINK("http://localhost:8787/api/admin/requirements/documents/cmm4yupas02fecuqwvht0309b/view","Open PDF")</f>
        <v/>
      </c>
      <c r="AS1268" t="inlineStr">
        <is>
          <t>cmm55w57p0004cuisfrtpqly8</t>
        </is>
      </c>
      <c r="AT1268" t="inlineStr">
        <is>
          <t>cmm4xvu980000cuh4vj0usz09</t>
        </is>
      </c>
      <c r="AU1268" t="inlineStr"/>
      <c r="AV1268" t="inlineStr">
        <is>
          <t>Kommun</t>
        </is>
      </c>
      <c r="AW1268" t="inlineStr"/>
      <c r="AX1268" t="inlineStr">
        <is>
          <t>2025-06</t>
        </is>
      </c>
      <c r="AY1268" t="inlineStr">
        <is>
          <t>Forelaggande</t>
        </is>
      </c>
      <c r="AZ1268" t="inlineStr">
        <is>
          <t>2026-02-03</t>
        </is>
      </c>
      <c r="BA1268" t="inlineStr">
        <is>
          <t>M_föreläggande om åtgärd (1).pdf</t>
        </is>
      </c>
      <c r="BB1268" t="inlineStr">
        <is>
          <t>till registrator</t>
        </is>
      </c>
      <c r="BC1268" t="inlineStr">
        <is>
          <t>AUTO</t>
        </is>
      </c>
      <c r="BD1268" t="inlineStr"/>
      <c r="BE1268" t="inlineStr"/>
      <c r="BF1268" t="inlineStr">
        <is>
          <t>AUTO_GENERERAD. Bekrafta metadata mot kallfil.</t>
        </is>
      </c>
      <c r="BG1268">
        <f>HYPERLINK("C:\Users\jimmy\Desktop\Examens arbete\Kod\Ny mapp\remix_-copy-of-miljöbeslut.se-portal\M_föreläggande om åtgärd (1).pdf", "Öppna PDF")</f>
        <v/>
      </c>
    </row>
    <row r="1269">
      <c r="A1269" t="inlineStr">
        <is>
          <t>KRAV-AUTO-001268</t>
        </is>
      </c>
      <c r="B1269" t="inlineStr">
        <is>
          <t>ADMIN-INDEX-2026-02-27-00000000125C043F57453246863FE664CAFE6A3F0700950291EA24F0614FB6ACEDB12BF0E31D00000000010C0000950291EA24F0614FB6ACEDB12BF0E31D00002087AE940000</t>
        </is>
      </c>
      <c r="C1269" t="inlineStr">
        <is>
          <t>cmm4yupas02fecuqwvht0309b</t>
        </is>
      </c>
      <c r="D1269" t="inlineStr">
        <is>
          <t>http://localhost:8787/api/admin/requirements/documents/cmm4yupas02fecuqwvht0309b/view</t>
        </is>
      </c>
      <c r="E1269">
        <f>HYPERLÄNK("http://localhost:8787/api/admin/requirements/documents/cmm4yupas02fecuqwvht0309b/view";"Öppna PDF")</f>
        <v/>
      </c>
      <c r="F1269">
        <f>HYPERLINK("http://localhost:8787/api/admin/requirements/documents/cmm4yupas02fecuqwvht0309b/view","Open PDF")</f>
        <v/>
      </c>
      <c r="G1269" t="inlineStr">
        <is>
          <t>cmm55w57p0004cuisfrtpqly8</t>
        </is>
      </c>
      <c r="H1269" t="inlineStr">
        <is>
          <t>Kompletteringskrav</t>
        </is>
      </c>
      <c r="I1269" t="inlineStr">
        <is>
          <t>LagringsvolymTid</t>
        </is>
      </c>
      <c r="J1269" t="inlineStr">
        <is>
          <t>Maxmangd</t>
        </is>
      </c>
      <c r="K1269" t="inlineStr">
        <is>
          <t>Om hörbara toner förekommer ska de angivna värdena sänkas med 5 dB (A)-enheter 3.</t>
        </is>
      </c>
      <c r="L1269" t="inlineStr">
        <is>
          <t>Om hörbara toner förekommer ska de angivna värdena sänkas med 5 dB (A)-enheter 3.</t>
        </is>
      </c>
      <c r="M1269" t="inlineStr">
        <is>
          <t>SKA</t>
        </is>
      </c>
      <c r="N1269" t="inlineStr"/>
      <c r="O1269" t="inlineStr"/>
      <c r="P1269" t="inlineStr"/>
      <c r="Q1269" t="inlineStr"/>
      <c r="R1269" t="inlineStr">
        <is>
          <t>Alltid</t>
        </is>
      </c>
      <c r="S1269" t="inlineStr"/>
      <c r="T1269" t="inlineStr"/>
      <c r="U1269" t="inlineStr"/>
      <c r="V1269" t="inlineStr"/>
      <c r="W1269" t="inlineStr">
        <is>
          <t>Nej</t>
        </is>
      </c>
      <c r="X1269" t="inlineStr">
        <is>
          <t>Nej</t>
        </is>
      </c>
      <c r="Y1269" t="inlineStr">
        <is>
          <t>Nej</t>
        </is>
      </c>
      <c r="Z1269" t="inlineStr">
        <is>
          <t>Nej</t>
        </is>
      </c>
      <c r="AA1269" t="n">
        <v>4</v>
      </c>
      <c r="AB1269" t="inlineStr">
        <is>
          <t>Avfallsmangder och lagringstid</t>
        </is>
      </c>
      <c r="AC1269" t="inlineStr">
        <is>
          <t>Avfallsforteckning</t>
        </is>
      </c>
      <c r="AD1269" t="inlineStr">
        <is>
          <t>Nej</t>
        </is>
      </c>
      <c r="AE1269" t="inlineStr">
        <is>
          <t>Nej</t>
        </is>
      </c>
      <c r="AF1269" t="inlineStr">
        <is>
          <t>Ej behandlad</t>
        </is>
      </c>
      <c r="AG1269" t="inlineStr">
        <is>
          <t>AUTO_GENERERAD. Verifiera citat mot kallfil.</t>
        </is>
      </c>
      <c r="AH1269" t="inlineStr">
        <is>
          <t>MEDIUM</t>
        </is>
      </c>
      <c r="AI1269" t="inlineStr">
        <is>
          <t>AUTO</t>
        </is>
      </c>
      <c r="AJ1269" t="inlineStr">
        <is>
          <t>Nej</t>
        </is>
      </c>
      <c r="AK1269" t="inlineStr"/>
      <c r="AL1269" t="inlineStr"/>
      <c r="AM1269" t="inlineStr"/>
      <c r="AN1269" t="inlineStr"/>
      <c r="AO1269" t="inlineStr">
        <is>
          <t>cmm4yupas02fecuqwvht0309b</t>
        </is>
      </c>
      <c r="AP1269" t="inlineStr">
        <is>
          <t>http://localhost:8787/api/admin/requirements/documents/cmm4yupas02fecuqwvht0309b/view</t>
        </is>
      </c>
      <c r="AQ1269">
        <f>HYPERLÄNK("http://localhost:8787/api/admin/requirements/documents/cmm4yupas02fecuqwvht0309b/view";"Öppna PDF")</f>
        <v/>
      </c>
      <c r="AR1269">
        <f>HYPERLINK("http://localhost:8787/api/admin/requirements/documents/cmm4yupas02fecuqwvht0309b/view","Open PDF")</f>
        <v/>
      </c>
      <c r="AS1269" t="inlineStr">
        <is>
          <t>cmm55w57p0004cuisfrtpqly8</t>
        </is>
      </c>
      <c r="AT1269" t="inlineStr">
        <is>
          <t>cmm4xvu980000cuh4vj0usz09</t>
        </is>
      </c>
      <c r="AU1269" t="inlineStr"/>
      <c r="AV1269" t="inlineStr">
        <is>
          <t>Kommun</t>
        </is>
      </c>
      <c r="AW1269" t="inlineStr"/>
      <c r="AX1269" t="inlineStr">
        <is>
          <t>2025-06</t>
        </is>
      </c>
      <c r="AY1269" t="inlineStr">
        <is>
          <t>Forelaggande</t>
        </is>
      </c>
      <c r="AZ1269" t="inlineStr">
        <is>
          <t>2026-02-03</t>
        </is>
      </c>
      <c r="BA1269" t="inlineStr">
        <is>
          <t>M_föreläggande om åtgärd (1).pdf</t>
        </is>
      </c>
      <c r="BB1269" t="inlineStr">
        <is>
          <t>till registrator</t>
        </is>
      </c>
      <c r="BC1269" t="inlineStr">
        <is>
          <t>AUTO</t>
        </is>
      </c>
      <c r="BD1269" t="inlineStr"/>
      <c r="BE1269" t="inlineStr"/>
      <c r="BF1269" t="inlineStr">
        <is>
          <t>AUTO_GENERERAD. Bekrafta metadata mot kallfil.</t>
        </is>
      </c>
      <c r="BG1269">
        <f>HYPERLINK("C:\Users\jimmy\Desktop\Examens arbete\Kod\Ny mapp\remix_-copy-of-miljöbeslut.se-portal\M_föreläggande om åtgärd (1).pdf", "Öppna PDF")</f>
        <v/>
      </c>
    </row>
    <row r="1270">
      <c r="A1270" t="inlineStr">
        <is>
          <t>KRAV-AUTO-001269</t>
        </is>
      </c>
      <c r="B1270" t="inlineStr">
        <is>
          <t>ADMIN-INDEX-2026-02-27-00000000125C043F57453246863FE664CAFE6A3F0700950291EA24F0614FB6ACEDB12BF0E31D00000000010C0000950291EA24F0614FB6ACEDB12BF0E31D00002087AE940000</t>
        </is>
      </c>
      <c r="C1270" t="inlineStr">
        <is>
          <t>cmm4yupap02fbcuqwxkz3waw5</t>
        </is>
      </c>
      <c r="D1270" t="inlineStr">
        <is>
          <t>http://localhost:8787/api/admin/requirements/documents/cmm4yupap02fbcuqwxkz3waw5/view</t>
        </is>
      </c>
      <c r="E1270">
        <f>HYPERLÄNK("http://localhost:8787/api/admin/requirements/documents/cmm4yupap02fbcuqwxkz3waw5/view";"Öppna PDF")</f>
        <v/>
      </c>
      <c r="F1270">
        <f>HYPERLINK("http://localhost:8787/api/admin/requirements/documents/cmm4yupap02fbcuqwxkz3waw5/view","Open PDF")</f>
        <v/>
      </c>
      <c r="G1270" t="inlineStr">
        <is>
          <t>cmm55w57p0004cuisfrtpqly8</t>
        </is>
      </c>
      <c r="H1270" t="inlineStr">
        <is>
          <t>Beslutsvillkor</t>
        </is>
      </c>
      <c r="I1270" t="inlineStr">
        <is>
          <t>DagvattenLakvatten</t>
        </is>
      </c>
      <c r="J1270" t="inlineStr">
        <is>
          <t>Uppsamling</t>
        </is>
      </c>
      <c r="K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70" t="inlineStr">
        <is>
          <t>BOR</t>
        </is>
      </c>
      <c r="N1270" t="inlineStr"/>
      <c r="O1270" t="inlineStr"/>
      <c r="P1270" t="inlineStr"/>
      <c r="Q1270" t="inlineStr"/>
      <c r="R1270" t="inlineStr">
        <is>
          <t>Vid nederbord och avrinning</t>
        </is>
      </c>
      <c r="S1270" t="inlineStr"/>
      <c r="T1270" t="inlineStr">
        <is>
          <t>2025 08</t>
        </is>
      </c>
      <c r="U1270" t="inlineStr"/>
      <c r="V1270" t="inlineStr"/>
      <c r="W1270" t="inlineStr">
        <is>
          <t>Nej</t>
        </is>
      </c>
      <c r="X1270" t="inlineStr">
        <is>
          <t>Ja</t>
        </is>
      </c>
      <c r="Y1270" t="inlineStr">
        <is>
          <t>Ja</t>
        </is>
      </c>
      <c r="Z1270" t="inlineStr">
        <is>
          <t>Nej</t>
        </is>
      </c>
      <c r="AA1270" t="n">
        <v>6</v>
      </c>
      <c r="AB1270" t="inlineStr">
        <is>
          <t>Lakvattenhantering</t>
        </is>
      </c>
      <c r="AC1270" t="inlineStr">
        <is>
          <t>Flodesschema dagvatten-lakvatten</t>
        </is>
      </c>
      <c r="AD1270" t="inlineStr">
        <is>
          <t>Nej</t>
        </is>
      </c>
      <c r="AE1270" t="inlineStr">
        <is>
          <t>Nej</t>
        </is>
      </c>
      <c r="AF1270" t="inlineStr">
        <is>
          <t>Ej behandlad</t>
        </is>
      </c>
      <c r="AG1270" t="inlineStr">
        <is>
          <t>AUTO_GENERERAD. Verifiera citat mot kallfil.</t>
        </is>
      </c>
      <c r="AH1270" t="inlineStr">
        <is>
          <t>MEDIUM</t>
        </is>
      </c>
      <c r="AI1270" t="inlineStr">
        <is>
          <t>AUTO</t>
        </is>
      </c>
      <c r="AJ1270" t="inlineStr">
        <is>
          <t>Nej</t>
        </is>
      </c>
      <c r="AK1270" t="inlineStr"/>
      <c r="AL1270" t="inlineStr"/>
      <c r="AM1270" t="inlineStr"/>
      <c r="AN1270" t="inlineStr"/>
      <c r="AO1270" t="inlineStr">
        <is>
          <t>cmm4yupas02fecuqwvht0309b</t>
        </is>
      </c>
      <c r="AP1270" t="inlineStr">
        <is>
          <t>http://localhost:8787/api/admin/requirements/documents/cmm4yupas02fecuqwvht0309b/view</t>
        </is>
      </c>
      <c r="AQ1270">
        <f>HYPERLÄNK("http://localhost:8787/api/admin/requirements/documents/cmm4yupas02fecuqwvht0309b/view";"Öppna PDF")</f>
        <v/>
      </c>
      <c r="AR1270">
        <f>HYPERLINK("http://localhost:8787/api/admin/requirements/documents/cmm4yupas02fecuqwvht0309b/view","Open PDF")</f>
        <v/>
      </c>
      <c r="AS1270" t="inlineStr">
        <is>
          <t>cmm55w57p0004cuisfrtpqly8</t>
        </is>
      </c>
      <c r="AT1270" t="inlineStr">
        <is>
          <t>cmm4xvu980000cuh4vj0usz09</t>
        </is>
      </c>
      <c r="AU1270" t="inlineStr"/>
      <c r="AV1270" t="inlineStr">
        <is>
          <t>Kommun</t>
        </is>
      </c>
      <c r="AW1270" t="inlineStr"/>
      <c r="AX1270" t="inlineStr">
        <is>
          <t>2025-06</t>
        </is>
      </c>
      <c r="AY1270" t="inlineStr">
        <is>
          <t>Forelaggande</t>
        </is>
      </c>
      <c r="AZ1270" t="inlineStr">
        <is>
          <t>2026-02-03</t>
        </is>
      </c>
      <c r="BA1270" t="inlineStr">
        <is>
          <t>M_föreläggande om åtgärd (1).pdf</t>
        </is>
      </c>
      <c r="BB1270" t="inlineStr">
        <is>
          <t>till registrator</t>
        </is>
      </c>
      <c r="BC1270" t="inlineStr">
        <is>
          <t>AUTO</t>
        </is>
      </c>
      <c r="BD1270" t="inlineStr"/>
      <c r="BE1270" t="inlineStr"/>
      <c r="BF1270" t="inlineStr">
        <is>
          <t>AUTO_GENERERAD. Bekrafta metadata mot kallfil.</t>
        </is>
      </c>
      <c r="BG1270">
        <f>HYPERLINK("C:\Users\jimmy\Desktop\Examens arbete\Kod\Ny mapp\remix_-copy-of-miljöbeslut.se-portal\M_föreläggande om åtgärd (1).pdf", "Öppna PDF")</f>
        <v/>
      </c>
    </row>
    <row r="1271">
      <c r="A1271" t="inlineStr">
        <is>
          <t>KRAV-AUTO-001270</t>
        </is>
      </c>
      <c r="B1271" t="inlineStr">
        <is>
          <t>ADMIN-INDEX-2026-02-27-00000000125C043F57453246863FE664CAFE6A3F0700950291EA24F0614FB6ACEDB12BF0E31D00000000010C0000950291EA24F0614FB6ACEDB12BF0E31D00002087AE940000</t>
        </is>
      </c>
      <c r="C1271" t="inlineStr">
        <is>
          <t>cmm4yupap02fbcuqwxkz3waw5</t>
        </is>
      </c>
      <c r="D1271" t="inlineStr">
        <is>
          <t>http://localhost:8787/api/admin/requirements/documents/cmm4yupap02fbcuqwxkz3waw5/view</t>
        </is>
      </c>
      <c r="E1271">
        <f>HYPERLÄNK("http://localhost:8787/api/admin/requirements/documents/cmm4yupap02fbcuqwxkz3waw5/view";"Öppna PDF")</f>
        <v/>
      </c>
      <c r="F1271">
        <f>HYPERLINK("http://localhost:8787/api/admin/requirements/documents/cmm4yupap02fbcuqwxkz3waw5/view","Open PDF")</f>
        <v/>
      </c>
      <c r="G1271" t="inlineStr">
        <is>
          <t>cmm55w57p0004cuisfrtpqly8</t>
        </is>
      </c>
      <c r="H1271" t="inlineStr">
        <is>
          <t>Beslutsvillkor</t>
        </is>
      </c>
      <c r="I1271" t="inlineStr">
        <is>
          <t>Riskhantering</t>
        </is>
      </c>
      <c r="J1271" t="inlineStr">
        <is>
          <t>Riskkontroll</t>
        </is>
      </c>
      <c r="K1271" t="inlineStr">
        <is>
          <t>Minskar risken yƩerligare kopplat Ɵll dessa ämnen.</t>
        </is>
      </c>
      <c r="L1271" t="inlineStr">
        <is>
          <t>Minskar risken yƩerligare kopplat Ɵll dessa ämnen.</t>
        </is>
      </c>
      <c r="M1271" t="inlineStr">
        <is>
          <t>SKA</t>
        </is>
      </c>
      <c r="N1271" t="inlineStr"/>
      <c r="O1271" t="inlineStr"/>
      <c r="P1271" t="inlineStr"/>
      <c r="Q1271" t="inlineStr"/>
      <c r="R1271" t="inlineStr">
        <is>
          <t>Vid risk for incident</t>
        </is>
      </c>
      <c r="S1271" t="inlineStr"/>
      <c r="T1271" t="inlineStr">
        <is>
          <t>2025 08</t>
        </is>
      </c>
      <c r="U1271" t="inlineStr"/>
      <c r="V1271" t="inlineStr"/>
      <c r="W1271" t="inlineStr">
        <is>
          <t>Nej</t>
        </is>
      </c>
      <c r="X1271" t="inlineStr">
        <is>
          <t>Nej</t>
        </is>
      </c>
      <c r="Y1271" t="inlineStr">
        <is>
          <t>Ja</t>
        </is>
      </c>
      <c r="Z1271" t="inlineStr">
        <is>
          <t>Ja</t>
        </is>
      </c>
      <c r="AA1271" t="n">
        <v>8</v>
      </c>
      <c r="AB1271" t="inlineStr">
        <is>
          <t>Riskhantering</t>
        </is>
      </c>
      <c r="AC1271" t="inlineStr">
        <is>
          <t>Risk-PM</t>
        </is>
      </c>
      <c r="AD1271" t="inlineStr">
        <is>
          <t>Nej</t>
        </is>
      </c>
      <c r="AE1271" t="inlineStr">
        <is>
          <t>Nej</t>
        </is>
      </c>
      <c r="AF1271" t="inlineStr">
        <is>
          <t>Ej behandlad</t>
        </is>
      </c>
      <c r="AG1271" t="inlineStr">
        <is>
          <t>AUTO_GENERERAD. Verifiera citat mot kallfil.</t>
        </is>
      </c>
      <c r="AH1271" t="inlineStr">
        <is>
          <t>MEDIUM</t>
        </is>
      </c>
      <c r="AI1271" t="inlineStr">
        <is>
          <t>AUTO</t>
        </is>
      </c>
      <c r="AJ1271" t="inlineStr">
        <is>
          <t>Nej</t>
        </is>
      </c>
      <c r="AK1271" t="inlineStr"/>
      <c r="AL1271" t="inlineStr"/>
      <c r="AM1271" t="inlineStr"/>
      <c r="AN1271" t="inlineStr"/>
      <c r="AO1271" t="inlineStr">
        <is>
          <t>cmm4yupas02fecuqwvht0309b</t>
        </is>
      </c>
      <c r="AP1271" t="inlineStr">
        <is>
          <t>http://localhost:8787/api/admin/requirements/documents/cmm4yupas02fecuqwvht0309b/view</t>
        </is>
      </c>
      <c r="AQ1271">
        <f>HYPERLÄNK("http://localhost:8787/api/admin/requirements/documents/cmm4yupas02fecuqwvht0309b/view";"Öppna PDF")</f>
        <v/>
      </c>
      <c r="AR1271">
        <f>HYPERLINK("http://localhost:8787/api/admin/requirements/documents/cmm4yupas02fecuqwvht0309b/view","Open PDF")</f>
        <v/>
      </c>
      <c r="AS1271" t="inlineStr">
        <is>
          <t>cmm55w57p0004cuisfrtpqly8</t>
        </is>
      </c>
      <c r="AT1271" t="inlineStr">
        <is>
          <t>cmm4xvu980000cuh4vj0usz09</t>
        </is>
      </c>
      <c r="AU1271" t="inlineStr"/>
      <c r="AV1271" t="inlineStr">
        <is>
          <t>Kommun</t>
        </is>
      </c>
      <c r="AW1271" t="inlineStr"/>
      <c r="AX1271" t="inlineStr">
        <is>
          <t>2025-06</t>
        </is>
      </c>
      <c r="AY1271" t="inlineStr">
        <is>
          <t>Forelaggande</t>
        </is>
      </c>
      <c r="AZ1271" t="inlineStr">
        <is>
          <t>2026-02-03</t>
        </is>
      </c>
      <c r="BA1271" t="inlineStr">
        <is>
          <t>M_föreläggande om åtgärd (1).pdf</t>
        </is>
      </c>
      <c r="BB1271" t="inlineStr">
        <is>
          <t>till registrator</t>
        </is>
      </c>
      <c r="BC1271" t="inlineStr">
        <is>
          <t>AUTO</t>
        </is>
      </c>
      <c r="BD1271" t="inlineStr"/>
      <c r="BE1271" t="inlineStr"/>
      <c r="BF1271" t="inlineStr">
        <is>
          <t>AUTO_GENERERAD. Bekrafta metadata mot kallfil.</t>
        </is>
      </c>
      <c r="BG1271">
        <f>HYPERLINK("C:\Users\jimmy\Desktop\Examens arbete\Kod\Ny mapp\remix_-copy-of-miljöbeslut.se-portal\M_föreläggande om åtgärd (1).pdf", "Öppna PDF")</f>
        <v/>
      </c>
    </row>
    <row r="1272">
      <c r="A1272" t="inlineStr">
        <is>
          <t>KRAV-AUTO-001271</t>
        </is>
      </c>
      <c r="B1272" t="inlineStr">
        <is>
          <t>ADMIN-INDEX-2026-02-27-00000000125C043F57453246863FE664CAFE6A3F0700950291EA24F0614FB6ACEDB12BF0E31D00000000010C0000950291EA24F0614FB6ACEDB12BF0E31D00002087AE940000</t>
        </is>
      </c>
      <c r="C1272" t="inlineStr">
        <is>
          <t>cmm4yupap02fbcuqwxkz3waw5</t>
        </is>
      </c>
      <c r="D1272" t="inlineStr">
        <is>
          <t>http://localhost:8787/api/admin/requirements/documents/cmm4yupap02fbcuqwxkz3waw5/view</t>
        </is>
      </c>
      <c r="E1272">
        <f>HYPERLÄNK("http://localhost:8787/api/admin/requirements/documents/cmm4yupap02fbcuqwxkz3waw5/view";"Öppna PDF")</f>
        <v/>
      </c>
      <c r="F1272">
        <f>HYPERLINK("http://localhost:8787/api/admin/requirements/documents/cmm4yupap02fbcuqwxkz3waw5/view","Open PDF")</f>
        <v/>
      </c>
      <c r="G1272" t="inlineStr">
        <is>
          <t>cmm55w57p0004cuisfrtpqly8</t>
        </is>
      </c>
      <c r="H1272" t="inlineStr">
        <is>
          <t>Beslutsvillkor</t>
        </is>
      </c>
      <c r="I1272" t="inlineStr">
        <is>
          <t>DagvattenLakvatten</t>
        </is>
      </c>
      <c r="J1272" t="inlineStr">
        <is>
          <t>Uppsamling</t>
        </is>
      </c>
      <c r="K1272" t="inlineStr">
        <is>
          <t>När asfalt däremot ska tillföras en ny plats görs även bedömningar utifrån andra relevanta parametrar för att säkerställa att avfallet inte höjer föroreningsnivåerna i området.</t>
        </is>
      </c>
      <c r="L1272" t="inlineStr">
        <is>
          <t>När asfalt däremot ska tillföras en ny plats görs även bedömningar utifrån andra relevanta parametrar för att säkerställa att avfallet inte höjer föroreningsnivåerna i området.</t>
        </is>
      </c>
      <c r="M1272" t="inlineStr">
        <is>
          <t>SKA</t>
        </is>
      </c>
      <c r="N1272" t="inlineStr"/>
      <c r="O1272" t="inlineStr"/>
      <c r="P1272" t="inlineStr"/>
      <c r="Q1272" t="inlineStr"/>
      <c r="R1272" t="inlineStr">
        <is>
          <t>Vid nederbord och avrinning</t>
        </is>
      </c>
      <c r="S1272" t="inlineStr"/>
      <c r="T1272" t="inlineStr">
        <is>
          <t>2025 08</t>
        </is>
      </c>
      <c r="U1272" t="inlineStr"/>
      <c r="V1272" t="inlineStr"/>
      <c r="W1272" t="inlineStr">
        <is>
          <t>Nej</t>
        </is>
      </c>
      <c r="X1272" t="inlineStr">
        <is>
          <t>Ja</t>
        </is>
      </c>
      <c r="Y1272" t="inlineStr">
        <is>
          <t>Ja</t>
        </is>
      </c>
      <c r="Z1272" t="inlineStr">
        <is>
          <t>Nej</t>
        </is>
      </c>
      <c r="AA1272" t="n">
        <v>6</v>
      </c>
      <c r="AB1272" t="inlineStr">
        <is>
          <t>Lakvattenhantering</t>
        </is>
      </c>
      <c r="AC1272" t="inlineStr">
        <is>
          <t>Flodesschema dagvatten-lakvatten</t>
        </is>
      </c>
      <c r="AD1272" t="inlineStr">
        <is>
          <t>Nej</t>
        </is>
      </c>
      <c r="AE1272" t="inlineStr">
        <is>
          <t>Nej</t>
        </is>
      </c>
      <c r="AF1272" t="inlineStr">
        <is>
          <t>Ej behandlad</t>
        </is>
      </c>
      <c r="AG1272" t="inlineStr">
        <is>
          <t>AUTO_GENERERAD. Verifiera citat mot kallfil.</t>
        </is>
      </c>
      <c r="AH1272" t="inlineStr">
        <is>
          <t>MEDIUM</t>
        </is>
      </c>
      <c r="AI1272" t="inlineStr">
        <is>
          <t>AUTO</t>
        </is>
      </c>
      <c r="AJ1272" t="inlineStr">
        <is>
          <t>Nej</t>
        </is>
      </c>
      <c r="AK1272" t="inlineStr"/>
      <c r="AL1272" t="inlineStr"/>
      <c r="AM1272" t="inlineStr"/>
      <c r="AN1272" t="inlineStr"/>
      <c r="AO1272" t="inlineStr">
        <is>
          <t>cmm4yupas02fecuqwvht0309b</t>
        </is>
      </c>
      <c r="AP1272" t="inlineStr">
        <is>
          <t>http://localhost:8787/api/admin/requirements/documents/cmm4yupas02fecuqwvht0309b/view</t>
        </is>
      </c>
      <c r="AQ1272">
        <f>HYPERLÄNK("http://localhost:8787/api/admin/requirements/documents/cmm4yupas02fecuqwvht0309b/view";"Öppna PDF")</f>
        <v/>
      </c>
      <c r="AR1272">
        <f>HYPERLINK("http://localhost:8787/api/admin/requirements/documents/cmm4yupas02fecuqwvht0309b/view","Open PDF")</f>
        <v/>
      </c>
      <c r="AS1272" t="inlineStr">
        <is>
          <t>cmm55w57p0004cuisfrtpqly8</t>
        </is>
      </c>
      <c r="AT1272" t="inlineStr">
        <is>
          <t>cmm4xvu980000cuh4vj0usz09</t>
        </is>
      </c>
      <c r="AU1272" t="inlineStr"/>
      <c r="AV1272" t="inlineStr">
        <is>
          <t>Kommun</t>
        </is>
      </c>
      <c r="AW1272" t="inlineStr"/>
      <c r="AX1272" t="inlineStr">
        <is>
          <t>2025-06</t>
        </is>
      </c>
      <c r="AY1272" t="inlineStr">
        <is>
          <t>Forelaggande</t>
        </is>
      </c>
      <c r="AZ1272" t="inlineStr">
        <is>
          <t>2026-02-03</t>
        </is>
      </c>
      <c r="BA1272" t="inlineStr">
        <is>
          <t>M_föreläggande om åtgärd (1).pdf</t>
        </is>
      </c>
      <c r="BB1272" t="inlineStr">
        <is>
          <t>till registrator</t>
        </is>
      </c>
      <c r="BC1272" t="inlineStr">
        <is>
          <t>AUTO</t>
        </is>
      </c>
      <c r="BD1272" t="inlineStr"/>
      <c r="BE1272" t="inlineStr"/>
      <c r="BF1272" t="inlineStr">
        <is>
          <t>AUTO_GENERERAD. Bekrafta metadata mot kallfil.</t>
        </is>
      </c>
      <c r="BG1272">
        <f>HYPERLINK("C:\Users\jimmy\Desktop\Examens arbete\Kod\Ny mapp\remix_-copy-of-miljöbeslut.se-portal\M_föreläggande om åtgärd (1).pdf", "Öppna PDF")</f>
        <v/>
      </c>
    </row>
    <row r="1273">
      <c r="A1273" t="inlineStr">
        <is>
          <t>KRAV-AUTO-001272</t>
        </is>
      </c>
      <c r="B1273" t="inlineStr">
        <is>
          <t>ADMIN-INDEX-2026-02-27-00000000125C043F57453246863FE664CAFE6A3F0700950291EA24F0614FB6ACEDB12BF0E31D00000000010C0000950291EA24F0614FB6ACEDB12BF0E31D00002087AE940000</t>
        </is>
      </c>
      <c r="C1273" t="inlineStr">
        <is>
          <t>cmm4yupaj02f5cuqwpcaiatbu</t>
        </is>
      </c>
      <c r="D1273" t="inlineStr">
        <is>
          <t>http://localhost:8787/api/admin/requirements/documents/cmm4yupaj02f5cuqwpcaiatbu/view</t>
        </is>
      </c>
      <c r="E1273">
        <f>HYPERLÄNK("http://localhost:8787/api/admin/requirements/documents/cmm4yupaj02f5cuqwpcaiatbu/view";"Öppna PDF")</f>
        <v/>
      </c>
      <c r="F1273">
        <f>HYPERLINK("http://localhost:8787/api/admin/requirements/documents/cmm4yupaj02f5cuqwpcaiatbu/view","Open PDF")</f>
        <v/>
      </c>
      <c r="G1273" t="inlineStr">
        <is>
          <t>cmm55w57p0004cuisfrtpqly8</t>
        </is>
      </c>
      <c r="H1273" t="inlineStr">
        <is>
          <t>Beslutsvillkor</t>
        </is>
      </c>
      <c r="I1273" t="inlineStr">
        <is>
          <t>DriftEgenkontroll</t>
        </is>
      </c>
      <c r="J1273" t="inlineStr">
        <is>
          <t>Journalforing</t>
        </is>
      </c>
      <c r="K1273" t="inlineStr">
        <is>
          <t>Trafikverket skall inkomma med på kontrollprogram för borttransport av avfallet.</t>
        </is>
      </c>
      <c r="L1273" t="inlineStr">
        <is>
          <t>Trafikverket skall inkomma med på kontrollprogram för borttransport av avfallet.</t>
        </is>
      </c>
      <c r="M1273" t="inlineStr">
        <is>
          <t>SKA</t>
        </is>
      </c>
      <c r="N1273" t="inlineStr"/>
      <c r="O1273" t="inlineStr"/>
      <c r="P1273" t="inlineStr"/>
      <c r="Q1273" t="inlineStr"/>
      <c r="R1273" t="inlineStr">
        <is>
          <t>Lopande drift</t>
        </is>
      </c>
      <c r="S1273" t="inlineStr"/>
      <c r="T1273" t="inlineStr">
        <is>
          <t>202100</t>
        </is>
      </c>
      <c r="U1273" t="inlineStr"/>
      <c r="V1273" t="inlineStr"/>
      <c r="W1273" t="inlineStr">
        <is>
          <t>Nej</t>
        </is>
      </c>
      <c r="X1273" t="inlineStr">
        <is>
          <t>Nej</t>
        </is>
      </c>
      <c r="Y1273" t="inlineStr">
        <is>
          <t>Ja</t>
        </is>
      </c>
      <c r="Z1273" t="inlineStr">
        <is>
          <t>Nej</t>
        </is>
      </c>
      <c r="AA1273" t="n">
        <v>7</v>
      </c>
      <c r="AB1273" t="inlineStr">
        <is>
          <t>Egenkontrollrutiner</t>
        </is>
      </c>
      <c r="AC1273" t="inlineStr">
        <is>
          <t>Egenkontrollprogram</t>
        </is>
      </c>
      <c r="AD1273" t="inlineStr">
        <is>
          <t>Nej</t>
        </is>
      </c>
      <c r="AE1273" t="inlineStr">
        <is>
          <t>Nej</t>
        </is>
      </c>
      <c r="AF1273" t="inlineStr">
        <is>
          <t>Ej behandlad</t>
        </is>
      </c>
      <c r="AG1273" t="inlineStr">
        <is>
          <t>AUTO_GENERERAD. Verifiera citat mot kallfil.</t>
        </is>
      </c>
      <c r="AH1273" t="inlineStr">
        <is>
          <t>MEDIUM</t>
        </is>
      </c>
      <c r="AI1273" t="inlineStr">
        <is>
          <t>AUTO</t>
        </is>
      </c>
      <c r="AJ1273" t="inlineStr">
        <is>
          <t>Nej</t>
        </is>
      </c>
      <c r="AK1273" t="inlineStr"/>
      <c r="AL1273" t="inlineStr"/>
      <c r="AM1273" t="inlineStr"/>
      <c r="AN1273" t="inlineStr"/>
      <c r="AO1273" t="inlineStr">
        <is>
          <t>cmm4yupas02fecuqwvht0309b</t>
        </is>
      </c>
      <c r="AP1273" t="inlineStr">
        <is>
          <t>http://localhost:8787/api/admin/requirements/documents/cmm4yupas02fecuqwvht0309b/view</t>
        </is>
      </c>
      <c r="AQ1273">
        <f>HYPERLÄNK("http://localhost:8787/api/admin/requirements/documents/cmm4yupas02fecuqwvht0309b/view";"Öppna PDF")</f>
        <v/>
      </c>
      <c r="AR1273">
        <f>HYPERLINK("http://localhost:8787/api/admin/requirements/documents/cmm4yupas02fecuqwvht0309b/view","Open PDF")</f>
        <v/>
      </c>
      <c r="AS1273" t="inlineStr">
        <is>
          <t>cmm55w57p0004cuisfrtpqly8</t>
        </is>
      </c>
      <c r="AT1273" t="inlineStr">
        <is>
          <t>cmm4xvu980000cuh4vj0usz09</t>
        </is>
      </c>
      <c r="AU1273" t="inlineStr"/>
      <c r="AV1273" t="inlineStr">
        <is>
          <t>Kommun</t>
        </is>
      </c>
      <c r="AW1273" t="inlineStr"/>
      <c r="AX1273" t="inlineStr">
        <is>
          <t>2025-06</t>
        </is>
      </c>
      <c r="AY1273" t="inlineStr">
        <is>
          <t>Forelaggande</t>
        </is>
      </c>
      <c r="AZ1273" t="inlineStr">
        <is>
          <t>2026-02-03</t>
        </is>
      </c>
      <c r="BA1273" t="inlineStr">
        <is>
          <t>M_föreläggande om åtgärd (1).pdf</t>
        </is>
      </c>
      <c r="BB1273" t="inlineStr">
        <is>
          <t>till registrator</t>
        </is>
      </c>
      <c r="BC1273" t="inlineStr">
        <is>
          <t>AUTO</t>
        </is>
      </c>
      <c r="BD1273" t="inlineStr"/>
      <c r="BE1273" t="inlineStr"/>
      <c r="BF1273" t="inlineStr">
        <is>
          <t>AUTO_GENERERAD. Bekrafta metadata mot kallfil.</t>
        </is>
      </c>
      <c r="BG1273">
        <f>HYPERLINK("C:\Users\jimmy\Desktop\Examens arbete\Kod\Ny mapp\remix_-copy-of-miljöbeslut.se-portal\M_föreläggande om åtgärd (1).pdf", "Öppna PDF")</f>
        <v/>
      </c>
    </row>
    <row r="1274">
      <c r="A1274" t="inlineStr">
        <is>
          <t>KRAV-AUTO-001273</t>
        </is>
      </c>
      <c r="B1274" t="inlineStr">
        <is>
          <t>ADMIN-INDEX-2026-02-27-00000000125C043F57453246863FE664CAFE6A3F0700950291EA24F0614FB6ACEDB12BF0E31D00000000010C0000950291EA24F0614FB6ACEDB12BF0E31D00002087AE940000</t>
        </is>
      </c>
      <c r="C1274" t="inlineStr">
        <is>
          <t>cmm4yupaj02f5cuqwpcaiatbu</t>
        </is>
      </c>
      <c r="D1274" t="inlineStr">
        <is>
          <t>http://localhost:8787/api/admin/requirements/documents/cmm4yupaj02f5cuqwpcaiatbu/view</t>
        </is>
      </c>
      <c r="E1274">
        <f>HYPERLÄNK("http://localhost:8787/api/admin/requirements/documents/cmm4yupaj02f5cuqwpcaiatbu/view";"Öppna PDF")</f>
        <v/>
      </c>
      <c r="F1274">
        <f>HYPERLINK("http://localhost:8787/api/admin/requirements/documents/cmm4yupaj02f5cuqwpcaiatbu/view","Open PDF")</f>
        <v/>
      </c>
      <c r="G1274" t="inlineStr">
        <is>
          <t>cmm55w57p0004cuisfrtpqly8</t>
        </is>
      </c>
      <c r="H1274" t="inlineStr">
        <is>
          <t>Beslutsvillkor</t>
        </is>
      </c>
      <c r="I1274" t="inlineStr">
        <is>
          <t>DriftEgenkontroll</t>
        </is>
      </c>
      <c r="J1274" t="inlineStr">
        <is>
          <t>Journalforing</t>
        </is>
      </c>
      <c r="K1274" t="inlineStr">
        <is>
          <t>Kontrollprogrammet skall redovisas för miljöenheten så snart som möjligt.</t>
        </is>
      </c>
      <c r="L1274" t="inlineStr">
        <is>
          <t>Kontrollprogrammet skall redovisas för miljöenheten så snart som möjligt.</t>
        </is>
      </c>
      <c r="M1274" t="inlineStr">
        <is>
          <t>SKA</t>
        </is>
      </c>
      <c r="N1274" t="inlineStr"/>
      <c r="O1274" t="inlineStr"/>
      <c r="P1274" t="inlineStr"/>
      <c r="Q1274" t="inlineStr"/>
      <c r="R1274" t="inlineStr">
        <is>
          <t>Lopande drift</t>
        </is>
      </c>
      <c r="S1274" t="inlineStr"/>
      <c r="T1274" t="inlineStr">
        <is>
          <t>202100</t>
        </is>
      </c>
      <c r="U1274" t="inlineStr"/>
      <c r="V1274" t="inlineStr"/>
      <c r="W1274" t="inlineStr">
        <is>
          <t>Nej</t>
        </is>
      </c>
      <c r="X1274" t="inlineStr">
        <is>
          <t>Nej</t>
        </is>
      </c>
      <c r="Y1274" t="inlineStr">
        <is>
          <t>Ja</t>
        </is>
      </c>
      <c r="Z1274" t="inlineStr">
        <is>
          <t>Nej</t>
        </is>
      </c>
      <c r="AA1274" t="n">
        <v>7</v>
      </c>
      <c r="AB1274" t="inlineStr">
        <is>
          <t>Egenkontrollrutiner</t>
        </is>
      </c>
      <c r="AC1274" t="inlineStr">
        <is>
          <t>Egenkontrollprogram</t>
        </is>
      </c>
      <c r="AD1274" t="inlineStr">
        <is>
          <t>Nej</t>
        </is>
      </c>
      <c r="AE1274" t="inlineStr">
        <is>
          <t>Nej</t>
        </is>
      </c>
      <c r="AF1274" t="inlineStr">
        <is>
          <t>Ej behandlad</t>
        </is>
      </c>
      <c r="AG1274" t="inlineStr">
        <is>
          <t>AUTO_GENERERAD. Verifiera citat mot kallfil.</t>
        </is>
      </c>
      <c r="AH1274" t="inlineStr">
        <is>
          <t>MEDIUM</t>
        </is>
      </c>
      <c r="AI1274" t="inlineStr">
        <is>
          <t>AUTO</t>
        </is>
      </c>
      <c r="AJ1274" t="inlineStr">
        <is>
          <t>Nej</t>
        </is>
      </c>
      <c r="AK1274" t="inlineStr"/>
      <c r="AL1274" t="inlineStr"/>
      <c r="AM1274" t="inlineStr"/>
      <c r="AN1274" t="inlineStr"/>
      <c r="AO1274" t="inlineStr">
        <is>
          <t>cmm4yupas02fecuqwvht0309b</t>
        </is>
      </c>
      <c r="AP1274" t="inlineStr">
        <is>
          <t>http://localhost:8787/api/admin/requirements/documents/cmm4yupas02fecuqwvht0309b/view</t>
        </is>
      </c>
      <c r="AQ1274">
        <f>HYPERLÄNK("http://localhost:8787/api/admin/requirements/documents/cmm4yupas02fecuqwvht0309b/view";"Öppna PDF")</f>
        <v/>
      </c>
      <c r="AR1274">
        <f>HYPERLINK("http://localhost:8787/api/admin/requirements/documents/cmm4yupas02fecuqwvht0309b/view","Open PDF")</f>
        <v/>
      </c>
      <c r="AS1274" t="inlineStr">
        <is>
          <t>cmm55w57p0004cuisfrtpqly8</t>
        </is>
      </c>
      <c r="AT1274" t="inlineStr">
        <is>
          <t>cmm4xvu980000cuh4vj0usz09</t>
        </is>
      </c>
      <c r="AU1274" t="inlineStr"/>
      <c r="AV1274" t="inlineStr">
        <is>
          <t>Kommun</t>
        </is>
      </c>
      <c r="AW1274" t="inlineStr"/>
      <c r="AX1274" t="inlineStr">
        <is>
          <t>2025-06</t>
        </is>
      </c>
      <c r="AY1274" t="inlineStr">
        <is>
          <t>Forelaggande</t>
        </is>
      </c>
      <c r="AZ1274" t="inlineStr">
        <is>
          <t>2026-02-03</t>
        </is>
      </c>
      <c r="BA1274" t="inlineStr">
        <is>
          <t>M_föreläggande om åtgärd (1).pdf</t>
        </is>
      </c>
      <c r="BB1274" t="inlineStr">
        <is>
          <t>till registrator</t>
        </is>
      </c>
      <c r="BC1274" t="inlineStr">
        <is>
          <t>AUTO</t>
        </is>
      </c>
      <c r="BD1274" t="inlineStr"/>
      <c r="BE1274" t="inlineStr"/>
      <c r="BF1274" t="inlineStr">
        <is>
          <t>AUTO_GENERERAD. Bekrafta metadata mot kallfil.</t>
        </is>
      </c>
      <c r="BG1274">
        <f>HYPERLINK("C:\Users\jimmy\Desktop\Examens arbete\Kod\Ny mapp\remix_-copy-of-miljöbeslut.se-portal\M_föreläggande om åtgärd (1).pdf", "Öppna PDF")</f>
        <v/>
      </c>
    </row>
    <row r="1275">
      <c r="A1275" t="inlineStr">
        <is>
          <t>KRAV-AUTO-001274</t>
        </is>
      </c>
      <c r="B1275" t="inlineStr">
        <is>
          <t>ADMIN-INDEX-2026-02-27-00000000125C043F57453246863FE664CAFE6A3F0700950291EA24F0614FB6ACEDB12BF0E31D00000000010C0000950291EA24F0614FB6ACEDB12BF0E31D00002087AE940000</t>
        </is>
      </c>
      <c r="C1275" t="inlineStr">
        <is>
          <t>cmm4yupaj02f5cuqwpcaiatbu</t>
        </is>
      </c>
      <c r="D1275" t="inlineStr">
        <is>
          <t>http://localhost:8787/api/admin/requirements/documents/cmm4yupaj02f5cuqwpcaiatbu/view</t>
        </is>
      </c>
      <c r="E1275">
        <f>HYPERLÄNK("http://localhost:8787/api/admin/requirements/documents/cmm4yupaj02f5cuqwpcaiatbu/view";"Öppna PDF")</f>
        <v/>
      </c>
      <c r="F1275">
        <f>HYPERLINK("http://localhost:8787/api/admin/requirements/documents/cmm4yupaj02f5cuqwpcaiatbu/view","Open PDF")</f>
        <v/>
      </c>
      <c r="G1275" t="inlineStr">
        <is>
          <t>cmm55w57p0004cuisfrtpqly8</t>
        </is>
      </c>
      <c r="H1275" t="inlineStr">
        <is>
          <t>Beslutsvillkor</t>
        </is>
      </c>
      <c r="I1275" t="inlineStr">
        <is>
          <t>DriftEgenkontroll</t>
        </is>
      </c>
      <c r="J1275" t="inlineStr">
        <is>
          <t>Journalforing</t>
        </is>
      </c>
      <c r="K1275" t="inlineStr">
        <is>
          <t>Kontrollprogrammet ska redogöra hur skydd för människors hälsa ska säkerställas under borttransport.</t>
        </is>
      </c>
      <c r="L1275" t="inlineStr">
        <is>
          <t>Kontrollprogrammet ska redogöra hur skydd för människors hälsa ska säkerställas under borttransport.</t>
        </is>
      </c>
      <c r="M1275" t="inlineStr">
        <is>
          <t>SKA</t>
        </is>
      </c>
      <c r="N1275" t="inlineStr"/>
      <c r="O1275" t="inlineStr"/>
      <c r="P1275" t="inlineStr"/>
      <c r="Q1275" t="inlineStr"/>
      <c r="R1275" t="inlineStr">
        <is>
          <t>Lopande drift</t>
        </is>
      </c>
      <c r="S1275" t="inlineStr"/>
      <c r="T1275" t="inlineStr">
        <is>
          <t>202100</t>
        </is>
      </c>
      <c r="U1275" t="inlineStr"/>
      <c r="V1275" t="inlineStr"/>
      <c r="W1275" t="inlineStr">
        <is>
          <t>Nej</t>
        </is>
      </c>
      <c r="X1275" t="inlineStr">
        <is>
          <t>Nej</t>
        </is>
      </c>
      <c r="Y1275" t="inlineStr">
        <is>
          <t>Ja</t>
        </is>
      </c>
      <c r="Z1275" t="inlineStr">
        <is>
          <t>Nej</t>
        </is>
      </c>
      <c r="AA1275" t="n">
        <v>7</v>
      </c>
      <c r="AB1275" t="inlineStr">
        <is>
          <t>Egenkontrollrutiner</t>
        </is>
      </c>
      <c r="AC1275" t="inlineStr">
        <is>
          <t>Egenkontrollprogram</t>
        </is>
      </c>
      <c r="AD1275" t="inlineStr">
        <is>
          <t>Nej</t>
        </is>
      </c>
      <c r="AE1275" t="inlineStr">
        <is>
          <t>Nej</t>
        </is>
      </c>
      <c r="AF1275" t="inlineStr">
        <is>
          <t>Ej behandlad</t>
        </is>
      </c>
      <c r="AG1275" t="inlineStr">
        <is>
          <t>AUTO_GENERERAD. Verifiera citat mot kallfil.</t>
        </is>
      </c>
      <c r="AH1275" t="inlineStr">
        <is>
          <t>MEDIUM</t>
        </is>
      </c>
      <c r="AI1275" t="inlineStr">
        <is>
          <t>AUTO</t>
        </is>
      </c>
      <c r="AJ1275" t="inlineStr">
        <is>
          <t>Nej</t>
        </is>
      </c>
      <c r="AK1275" t="inlineStr"/>
      <c r="AL1275" t="inlineStr"/>
      <c r="AM1275" t="inlineStr"/>
      <c r="AN1275" t="inlineStr"/>
      <c r="AO1275" t="inlineStr">
        <is>
          <t>cmm4yupas02fecuqwvht0309b</t>
        </is>
      </c>
      <c r="AP1275" t="inlineStr">
        <is>
          <t>http://localhost:8787/api/admin/requirements/documents/cmm4yupas02fecuqwvht0309b/view</t>
        </is>
      </c>
      <c r="AQ1275">
        <f>HYPERLÄNK("http://localhost:8787/api/admin/requirements/documents/cmm4yupas02fecuqwvht0309b/view";"Öppna PDF")</f>
        <v/>
      </c>
      <c r="AR1275">
        <f>HYPERLINK("http://localhost:8787/api/admin/requirements/documents/cmm4yupas02fecuqwvht0309b/view","Open PDF")</f>
        <v/>
      </c>
      <c r="AS1275" t="inlineStr">
        <is>
          <t>cmm55w57p0004cuisfrtpqly8</t>
        </is>
      </c>
      <c r="AT1275" t="inlineStr">
        <is>
          <t>cmm4xvu980000cuh4vj0usz09</t>
        </is>
      </c>
      <c r="AU1275" t="inlineStr"/>
      <c r="AV1275" t="inlineStr">
        <is>
          <t>Kommun</t>
        </is>
      </c>
      <c r="AW1275" t="inlineStr"/>
      <c r="AX1275" t="inlineStr">
        <is>
          <t>2025-06</t>
        </is>
      </c>
      <c r="AY1275" t="inlineStr">
        <is>
          <t>Forelaggande</t>
        </is>
      </c>
      <c r="AZ1275" t="inlineStr">
        <is>
          <t>2026-02-03</t>
        </is>
      </c>
      <c r="BA1275" t="inlineStr">
        <is>
          <t>M_föreläggande om åtgärd (1).pdf</t>
        </is>
      </c>
      <c r="BB1275" t="inlineStr">
        <is>
          <t>till registrator</t>
        </is>
      </c>
      <c r="BC1275" t="inlineStr">
        <is>
          <t>AUTO</t>
        </is>
      </c>
      <c r="BD1275" t="inlineStr"/>
      <c r="BE1275" t="inlineStr"/>
      <c r="BF1275" t="inlineStr">
        <is>
          <t>AUTO_GENERERAD. Bekrafta metadata mot kallfil.</t>
        </is>
      </c>
      <c r="BG1275">
        <f>HYPERLINK("C:\Users\jimmy\Desktop\Examens arbete\Kod\Ny mapp\remix_-copy-of-miljöbeslut.se-portal\M_föreläggande om åtgärd (1).pdf", "Öppna PDF")</f>
        <v/>
      </c>
    </row>
    <row r="1276">
      <c r="A1276" t="inlineStr">
        <is>
          <t>KRAV-AUTO-001275</t>
        </is>
      </c>
      <c r="B1276" t="inlineStr">
        <is>
          <t>ADMIN-INDEX-2026-02-27-00000000125C043F57453246863FE664CAFE6A3F0700950291EA24F0614FB6ACEDB12BF0E31D00000000010C0000950291EA24F0614FB6ACEDB12BF0E31D00002087AE940000</t>
        </is>
      </c>
      <c r="C1276" t="inlineStr">
        <is>
          <t>cmm4yupag02f2cuqwwal5yomp</t>
        </is>
      </c>
      <c r="D1276" t="inlineStr">
        <is>
          <t>http://localhost:8787/api/admin/requirements/documents/cmm4yupag02f2cuqwwal5yomp/view</t>
        </is>
      </c>
      <c r="E1276">
        <f>HYPERLÄNK("http://localhost:8787/api/admin/requirements/documents/cmm4yupag02f2cuqwwal5yomp/view";"Öppna PDF")</f>
        <v/>
      </c>
      <c r="F1276">
        <f>HYPERLINK("http://localhost:8787/api/admin/requirements/documents/cmm4yupag02f2cuqwwal5yomp/view","Open PDF")</f>
        <v/>
      </c>
      <c r="G1276" t="inlineStr">
        <is>
          <t>cmm55w57p0004cuisfrtpqly8</t>
        </is>
      </c>
      <c r="H1276" t="inlineStr">
        <is>
          <t>Beslutsvillkor</t>
        </is>
      </c>
      <c r="I1276" t="inlineStr">
        <is>
          <t>DriftEgenkontroll</t>
        </is>
      </c>
      <c r="J1276" t="inlineStr">
        <is>
          <t>Journalforing</t>
        </is>
      </c>
      <c r="K1276" t="inlineStr">
        <is>
          <t>Provtagning av avfallet ska utföras av ett ackrediterat laboratorium.</t>
        </is>
      </c>
      <c r="L1276" t="inlineStr">
        <is>
          <t>Provtagning av avfallet ska utföras av ett ackrediterat laboratorium.</t>
        </is>
      </c>
      <c r="M1276" t="inlineStr">
        <is>
          <t>SKA</t>
        </is>
      </c>
      <c r="N1276" t="inlineStr"/>
      <c r="O1276" t="inlineStr"/>
      <c r="P1276" t="inlineStr"/>
      <c r="Q1276" t="inlineStr"/>
      <c r="R1276" t="inlineStr">
        <is>
          <t>Lopande drift</t>
        </is>
      </c>
      <c r="S1276" t="inlineStr"/>
      <c r="T1276" t="inlineStr"/>
      <c r="U1276" t="inlineStr"/>
      <c r="V1276" t="inlineStr"/>
      <c r="W1276" t="inlineStr">
        <is>
          <t>Nej</t>
        </is>
      </c>
      <c r="X1276" t="inlineStr">
        <is>
          <t>Nej</t>
        </is>
      </c>
      <c r="Y1276" t="inlineStr">
        <is>
          <t>Ja</t>
        </is>
      </c>
      <c r="Z1276" t="inlineStr">
        <is>
          <t>Nej</t>
        </is>
      </c>
      <c r="AA1276" t="n">
        <v>7</v>
      </c>
      <c r="AB1276" t="inlineStr">
        <is>
          <t>Egenkontrollrutiner</t>
        </is>
      </c>
      <c r="AC1276" t="inlineStr">
        <is>
          <t>Egenkontrollprogram</t>
        </is>
      </c>
      <c r="AD1276" t="inlineStr">
        <is>
          <t>Nej</t>
        </is>
      </c>
      <c r="AE1276" t="inlineStr">
        <is>
          <t>Nej</t>
        </is>
      </c>
      <c r="AF1276" t="inlineStr">
        <is>
          <t>Ej behandlad</t>
        </is>
      </c>
      <c r="AG1276" t="inlineStr">
        <is>
          <t>AUTO_GENERERAD. Verifiera citat mot kallfil.</t>
        </is>
      </c>
      <c r="AH1276" t="inlineStr">
        <is>
          <t>MEDIUM</t>
        </is>
      </c>
      <c r="AI1276" t="inlineStr">
        <is>
          <t>AUTO</t>
        </is>
      </c>
      <c r="AJ1276" t="inlineStr">
        <is>
          <t>Nej</t>
        </is>
      </c>
      <c r="AK1276" t="inlineStr"/>
      <c r="AL1276" t="inlineStr"/>
      <c r="AM1276" t="inlineStr"/>
      <c r="AN1276" t="inlineStr"/>
      <c r="AO1276" t="inlineStr">
        <is>
          <t>cmm4yupas02fecuqwvht0309b</t>
        </is>
      </c>
      <c r="AP1276" t="inlineStr">
        <is>
          <t>http://localhost:8787/api/admin/requirements/documents/cmm4yupas02fecuqwvht0309b/view</t>
        </is>
      </c>
      <c r="AQ1276">
        <f>HYPERLÄNK("http://localhost:8787/api/admin/requirements/documents/cmm4yupas02fecuqwvht0309b/view";"Öppna PDF")</f>
        <v/>
      </c>
      <c r="AR1276">
        <f>HYPERLINK("http://localhost:8787/api/admin/requirements/documents/cmm4yupas02fecuqwvht0309b/view","Open PDF")</f>
        <v/>
      </c>
      <c r="AS1276" t="inlineStr">
        <is>
          <t>cmm55w57p0004cuisfrtpqly8</t>
        </is>
      </c>
      <c r="AT1276" t="inlineStr">
        <is>
          <t>cmm4xvu980000cuh4vj0usz09</t>
        </is>
      </c>
      <c r="AU1276" t="inlineStr"/>
      <c r="AV1276" t="inlineStr">
        <is>
          <t>Kommun</t>
        </is>
      </c>
      <c r="AW1276" t="inlineStr"/>
      <c r="AX1276" t="inlineStr">
        <is>
          <t>2025-06</t>
        </is>
      </c>
      <c r="AY1276" t="inlineStr">
        <is>
          <t>Forelaggande</t>
        </is>
      </c>
      <c r="AZ1276" t="inlineStr">
        <is>
          <t>2026-02-03</t>
        </is>
      </c>
      <c r="BA1276" t="inlineStr">
        <is>
          <t>M_föreläggande om åtgärd (1).pdf</t>
        </is>
      </c>
      <c r="BB1276" t="inlineStr">
        <is>
          <t>till registrator</t>
        </is>
      </c>
      <c r="BC1276" t="inlineStr">
        <is>
          <t>AUTO</t>
        </is>
      </c>
      <c r="BD1276" t="inlineStr"/>
      <c r="BE1276" t="inlineStr"/>
      <c r="BF1276" t="inlineStr">
        <is>
          <t>AUTO_GENERERAD. Bekrafta metadata mot kallfil.</t>
        </is>
      </c>
      <c r="BG1276">
        <f>HYPERLINK("C:\Users\jimmy\Desktop\Examens arbete\Kod\Ny mapp\remix_-copy-of-miljöbeslut.se-portal\M_föreläggande om åtgärd (1).pdf", "Öppna PDF")</f>
        <v/>
      </c>
    </row>
    <row r="1277">
      <c r="A1277" t="inlineStr">
        <is>
          <t>KRAV-AUTO-001276</t>
        </is>
      </c>
      <c r="B1277" t="inlineStr">
        <is>
          <t>ADMIN-INDEX-2026-02-27-00000000125C043F57453246863FE664CAFE6A3F0700950291EA24F0614FB6ACEDB12BF0E31D00000000010C0000950291EA24F0614FB6ACEDB12BF0E31D00002087AE940000</t>
        </is>
      </c>
      <c r="C1277" t="inlineStr">
        <is>
          <t>cmm4yupag02f2cuqwwal5yomp</t>
        </is>
      </c>
      <c r="D1277" t="inlineStr">
        <is>
          <t>http://localhost:8787/api/admin/requirements/documents/cmm4yupag02f2cuqwwal5yomp/view</t>
        </is>
      </c>
      <c r="E1277">
        <f>HYPERLÄNK("http://localhost:8787/api/admin/requirements/documents/cmm4yupag02f2cuqwwal5yomp/view";"Öppna PDF")</f>
        <v/>
      </c>
      <c r="F1277">
        <f>HYPERLINK("http://localhost:8787/api/admin/requirements/documents/cmm4yupag02f2cuqwwal5yomp/view","Open PDF")</f>
        <v/>
      </c>
      <c r="G1277" t="inlineStr">
        <is>
          <t>cmm55w57p0004cuisfrtpqly8</t>
        </is>
      </c>
      <c r="H1277" t="inlineStr">
        <is>
          <t>Beslutsvillkor</t>
        </is>
      </c>
      <c r="I1277" t="inlineStr">
        <is>
          <t>DriftEgenkontroll</t>
        </is>
      </c>
      <c r="J1277" t="inlineStr">
        <is>
          <t>Journalforing</t>
        </is>
      </c>
      <c r="K1277" t="inlineStr">
        <is>
          <t>Innan massorna används för anlaggningsandamal ska en undersökning/provtagning genomföras för att bedöma om avfallet är lämpligt för ändamålet.</t>
        </is>
      </c>
      <c r="L1277" t="inlineStr">
        <is>
          <t>Innan massorna används för anlaggningsandamal ska en undersökning/provtagning genomföras för att bedöma om avfallet är lämpligt för ändamålet.</t>
        </is>
      </c>
      <c r="M1277" t="inlineStr">
        <is>
          <t>SKA</t>
        </is>
      </c>
      <c r="N1277" t="inlineStr"/>
      <c r="O1277" t="inlineStr"/>
      <c r="P1277" t="inlineStr"/>
      <c r="Q1277" t="inlineStr"/>
      <c r="R1277" t="inlineStr">
        <is>
          <t>Lopande drift</t>
        </is>
      </c>
      <c r="S1277" t="inlineStr"/>
      <c r="T1277" t="inlineStr"/>
      <c r="U1277" t="inlineStr"/>
      <c r="V1277" t="inlineStr"/>
      <c r="W1277" t="inlineStr">
        <is>
          <t>Nej</t>
        </is>
      </c>
      <c r="X1277" t="inlineStr">
        <is>
          <t>Nej</t>
        </is>
      </c>
      <c r="Y1277" t="inlineStr">
        <is>
          <t>Ja</t>
        </is>
      </c>
      <c r="Z1277" t="inlineStr">
        <is>
          <t>Nej</t>
        </is>
      </c>
      <c r="AA1277" t="n">
        <v>7</v>
      </c>
      <c r="AB1277" t="inlineStr">
        <is>
          <t>Egenkontrollrutiner</t>
        </is>
      </c>
      <c r="AC1277" t="inlineStr">
        <is>
          <t>Egenkontrollprogram</t>
        </is>
      </c>
      <c r="AD1277" t="inlineStr">
        <is>
          <t>Nej</t>
        </is>
      </c>
      <c r="AE1277" t="inlineStr">
        <is>
          <t>Nej</t>
        </is>
      </c>
      <c r="AF1277" t="inlineStr">
        <is>
          <t>Ej behandlad</t>
        </is>
      </c>
      <c r="AG1277" t="inlineStr">
        <is>
          <t>AUTO_GENERERAD. Verifiera citat mot kallfil.</t>
        </is>
      </c>
      <c r="AH1277" t="inlineStr">
        <is>
          <t>MEDIUM</t>
        </is>
      </c>
      <c r="AI1277" t="inlineStr">
        <is>
          <t>AUTO</t>
        </is>
      </c>
      <c r="AJ1277" t="inlineStr">
        <is>
          <t>Nej</t>
        </is>
      </c>
      <c r="AK1277" t="inlineStr"/>
      <c r="AL1277" t="inlineStr"/>
      <c r="AM1277" t="inlineStr"/>
      <c r="AN1277" t="inlineStr"/>
      <c r="AO1277" t="inlineStr">
        <is>
          <t>cmm4yupas02fecuqwvht0309b</t>
        </is>
      </c>
      <c r="AP1277" t="inlineStr">
        <is>
          <t>http://localhost:8787/api/admin/requirements/documents/cmm4yupas02fecuqwvht0309b/view</t>
        </is>
      </c>
      <c r="AQ1277">
        <f>HYPERLÄNK("http://localhost:8787/api/admin/requirements/documents/cmm4yupas02fecuqwvht0309b/view";"Öppna PDF")</f>
        <v/>
      </c>
      <c r="AR1277">
        <f>HYPERLINK("http://localhost:8787/api/admin/requirements/documents/cmm4yupas02fecuqwvht0309b/view","Open PDF")</f>
        <v/>
      </c>
      <c r="AS1277" t="inlineStr">
        <is>
          <t>cmm55w57p0004cuisfrtpqly8</t>
        </is>
      </c>
      <c r="AT1277" t="inlineStr">
        <is>
          <t>cmm4xvu980000cuh4vj0usz09</t>
        </is>
      </c>
      <c r="AU1277" t="inlineStr"/>
      <c r="AV1277" t="inlineStr">
        <is>
          <t>Kommun</t>
        </is>
      </c>
      <c r="AW1277" t="inlineStr"/>
      <c r="AX1277" t="inlineStr">
        <is>
          <t>2025-06</t>
        </is>
      </c>
      <c r="AY1277" t="inlineStr">
        <is>
          <t>Forelaggande</t>
        </is>
      </c>
      <c r="AZ1277" t="inlineStr">
        <is>
          <t>2026-02-03</t>
        </is>
      </c>
      <c r="BA1277" t="inlineStr">
        <is>
          <t>M_föreläggande om åtgärd (1).pdf</t>
        </is>
      </c>
      <c r="BB1277" t="inlineStr">
        <is>
          <t>till registrator</t>
        </is>
      </c>
      <c r="BC1277" t="inlineStr">
        <is>
          <t>AUTO</t>
        </is>
      </c>
      <c r="BD1277" t="inlineStr"/>
      <c r="BE1277" t="inlineStr"/>
      <c r="BF1277" t="inlineStr">
        <is>
          <t>AUTO_GENERERAD. Bekrafta metadata mot kallfil.</t>
        </is>
      </c>
      <c r="BG1277">
        <f>HYPERLINK("C:\Users\jimmy\Desktop\Examens arbete\Kod\Ny mapp\remix_-copy-of-miljöbeslut.se-portal\M_föreläggande om åtgärd (1).pdf", "Öppna PDF")</f>
        <v/>
      </c>
    </row>
    <row r="1278">
      <c r="A1278" t="inlineStr">
        <is>
          <t>KRAV-AUTO-001277</t>
        </is>
      </c>
      <c r="B1278" t="inlineStr">
        <is>
          <t>ADMIN-INDEX-2026-02-27-00000000125C043F57453246863FE664CAFE6A3F0700950291EA24F0614FB6ACEDB12BF0E31D00000000010C0000950291EA24F0614FB6ACEDB12BF0E31D00002087AE940000</t>
        </is>
      </c>
      <c r="C1278" t="inlineStr">
        <is>
          <t>cmm4yupag02f2cuqwwal5yomp</t>
        </is>
      </c>
      <c r="D1278" t="inlineStr">
        <is>
          <t>http://localhost:8787/api/admin/requirements/documents/cmm4yupag02f2cuqwwal5yomp/view</t>
        </is>
      </c>
      <c r="E1278">
        <f>HYPERLÄNK("http://localhost:8787/api/admin/requirements/documents/cmm4yupag02f2cuqwwal5yomp/view";"Öppna PDF")</f>
        <v/>
      </c>
      <c r="F1278">
        <f>HYPERLINK("http://localhost:8787/api/admin/requirements/documents/cmm4yupag02f2cuqwwal5yomp/view","Open PDF")</f>
        <v/>
      </c>
      <c r="G1278" t="inlineStr">
        <is>
          <t>cmm55w57p0004cuisfrtpqly8</t>
        </is>
      </c>
      <c r="H1278" t="inlineStr">
        <is>
          <t>Beslutsvillkor</t>
        </is>
      </c>
      <c r="I1278" t="inlineStr">
        <is>
          <t>LagringsvolymTid</t>
        </is>
      </c>
      <c r="J1278" t="inlineStr">
        <is>
          <t>Maxmangd</t>
        </is>
      </c>
      <c r="K1278" t="inlineStr">
        <is>
          <t>Den totala volymen angestill uppskattas mängd av dikes massor 2400 m?.</t>
        </is>
      </c>
      <c r="L1278" t="inlineStr">
        <is>
          <t>Den totala volymen angestill uppskattas mängd av dikes massor 2400 m?.</t>
        </is>
      </c>
      <c r="M1278" t="inlineStr">
        <is>
          <t>SKA</t>
        </is>
      </c>
      <c r="N1278" t="inlineStr"/>
      <c r="O1278" t="inlineStr"/>
      <c r="P1278" t="inlineStr"/>
      <c r="Q1278" t="inlineStr"/>
      <c r="R1278" t="inlineStr">
        <is>
          <t>Alltid</t>
        </is>
      </c>
      <c r="S1278" t="inlineStr"/>
      <c r="T1278" t="inlineStr"/>
      <c r="U1278" t="inlineStr"/>
      <c r="V1278" t="inlineStr"/>
      <c r="W1278" t="inlineStr">
        <is>
          <t>Nej</t>
        </is>
      </c>
      <c r="X1278" t="inlineStr">
        <is>
          <t>Nej</t>
        </is>
      </c>
      <c r="Y1278" t="inlineStr">
        <is>
          <t>Nej</t>
        </is>
      </c>
      <c r="Z1278" t="inlineStr">
        <is>
          <t>Nej</t>
        </is>
      </c>
      <c r="AA1278" t="n">
        <v>4</v>
      </c>
      <c r="AB1278" t="inlineStr">
        <is>
          <t>Avfallsmangder och lagringstid</t>
        </is>
      </c>
      <c r="AC1278" t="inlineStr">
        <is>
          <t>Avfallsforteckning</t>
        </is>
      </c>
      <c r="AD1278" t="inlineStr">
        <is>
          <t>Nej</t>
        </is>
      </c>
      <c r="AE1278" t="inlineStr">
        <is>
          <t>Nej</t>
        </is>
      </c>
      <c r="AF1278" t="inlineStr">
        <is>
          <t>Ej behandlad</t>
        </is>
      </c>
      <c r="AG1278" t="inlineStr">
        <is>
          <t>AUTO_GENERERAD. Verifiera citat mot kallfil.</t>
        </is>
      </c>
      <c r="AH1278" t="inlineStr">
        <is>
          <t>MEDIUM</t>
        </is>
      </c>
      <c r="AI1278" t="inlineStr">
        <is>
          <t>AUTO</t>
        </is>
      </c>
      <c r="AJ1278" t="inlineStr">
        <is>
          <t>Nej</t>
        </is>
      </c>
      <c r="AK1278" t="inlineStr"/>
      <c r="AL1278" t="inlineStr"/>
      <c r="AM1278" t="inlineStr"/>
      <c r="AN1278" t="inlineStr"/>
      <c r="AO1278" t="inlineStr">
        <is>
          <t>cmm4yupas02fecuqwvht0309b</t>
        </is>
      </c>
      <c r="AP1278" t="inlineStr">
        <is>
          <t>http://localhost:8787/api/admin/requirements/documents/cmm4yupas02fecuqwvht0309b/view</t>
        </is>
      </c>
      <c r="AQ1278">
        <f>HYPERLÄNK("http://localhost:8787/api/admin/requirements/documents/cmm4yupas02fecuqwvht0309b/view";"Öppna PDF")</f>
        <v/>
      </c>
      <c r="AR1278">
        <f>HYPERLINK("http://localhost:8787/api/admin/requirements/documents/cmm4yupas02fecuqwvht0309b/view","Open PDF")</f>
        <v/>
      </c>
      <c r="AS1278" t="inlineStr">
        <is>
          <t>cmm55w57p0004cuisfrtpqly8</t>
        </is>
      </c>
      <c r="AT1278" t="inlineStr">
        <is>
          <t>cmm4xvu980000cuh4vj0usz09</t>
        </is>
      </c>
      <c r="AU1278" t="inlineStr"/>
      <c r="AV1278" t="inlineStr">
        <is>
          <t>Kommun</t>
        </is>
      </c>
      <c r="AW1278" t="inlineStr"/>
      <c r="AX1278" t="inlineStr">
        <is>
          <t>2025-06</t>
        </is>
      </c>
      <c r="AY1278" t="inlineStr">
        <is>
          <t>Forelaggande</t>
        </is>
      </c>
      <c r="AZ1278" t="inlineStr">
        <is>
          <t>2026-02-03</t>
        </is>
      </c>
      <c r="BA1278" t="inlineStr">
        <is>
          <t>M_föreläggande om åtgärd (1).pdf</t>
        </is>
      </c>
      <c r="BB1278" t="inlineStr">
        <is>
          <t>till registrator</t>
        </is>
      </c>
      <c r="BC1278" t="inlineStr">
        <is>
          <t>AUTO</t>
        </is>
      </c>
      <c r="BD1278" t="inlineStr"/>
      <c r="BE1278" t="inlineStr"/>
      <c r="BF1278" t="inlineStr">
        <is>
          <t>AUTO_GENERERAD. Bekrafta metadata mot kallfil.</t>
        </is>
      </c>
      <c r="BG1278">
        <f>HYPERLINK("C:\Users\jimmy\Desktop\Examens arbete\Kod\Ny mapp\remix_-copy-of-miljöbeslut.se-portal\M_föreläggande om åtgärd (1).pdf", "Öppna PDF")</f>
        <v/>
      </c>
    </row>
    <row r="1279">
      <c r="A1279" t="inlineStr">
        <is>
          <t>KRAV-AUTO-001278</t>
        </is>
      </c>
      <c r="B1279" t="inlineStr">
        <is>
          <t>ADMIN-INDEX-2026-02-27-00000000125C043F57453246863FE664CAFE6A3F0700950291EA24F0614FB6ACEDB12BF0E31D00000000010C0000950291EA24F0614FB6ACEDB12BF0E31D00002087AE940000</t>
        </is>
      </c>
      <c r="C1279" t="inlineStr">
        <is>
          <t>cmm4yup9x02ekcuqwg6b1mlba</t>
        </is>
      </c>
      <c r="D1279" t="inlineStr">
        <is>
          <t>http://localhost:8787/api/admin/requirements/documents/cmm4yup9x02ekcuqwg6b1mlba/view</t>
        </is>
      </c>
      <c r="E1279">
        <f>HYPERLÄNK("http://localhost:8787/api/admin/requirements/documents/cmm4yup9x02ekcuqwg6b1mlba/view";"Öppna PDF")</f>
        <v/>
      </c>
      <c r="F1279">
        <f>HYPERLINK("http://localhost:8787/api/admin/requirements/documents/cmm4yup9x02ekcuqwg6b1mlba/view","Open PDF")</f>
        <v/>
      </c>
      <c r="G1279" t="inlineStr">
        <is>
          <t>cmm55w57p0004cuisfrtpqly8</t>
        </is>
      </c>
      <c r="H1279" t="inlineStr">
        <is>
          <t>Informationskrav</t>
        </is>
      </c>
      <c r="I1279" t="inlineStr">
        <is>
          <t>DagvattenLakvatten</t>
        </is>
      </c>
      <c r="J1279" t="inlineStr">
        <is>
          <t>Uppsamling</t>
        </is>
      </c>
      <c r="K1279" t="inlineStr">
        <is>
          <t>Vatten och avlopp bör delas in i processvatten, kylvatten, sanitärt vatten och dagvatten.</t>
        </is>
      </c>
      <c r="L1279" t="inlineStr">
        <is>
          <t>Vatten och avlopp bör delas in i processvatten, kylvatten, sanitärt vatten och dagvatten.</t>
        </is>
      </c>
      <c r="M1279" t="inlineStr">
        <is>
          <t>BOR</t>
        </is>
      </c>
      <c r="N1279" t="inlineStr">
        <is>
          <t>FMH</t>
        </is>
      </c>
      <c r="O1279" t="inlineStr"/>
      <c r="P1279" t="inlineStr"/>
      <c r="Q1279" t="inlineStr"/>
      <c r="R1279" t="inlineStr">
        <is>
          <t>Vid nederbord och avrinning</t>
        </is>
      </c>
      <c r="S1279" t="inlineStr"/>
      <c r="T1279" t="inlineStr"/>
      <c r="U1279" t="inlineStr"/>
      <c r="V1279" t="inlineStr"/>
      <c r="W1279" t="inlineStr">
        <is>
          <t>Nej</t>
        </is>
      </c>
      <c r="X1279" t="inlineStr">
        <is>
          <t>Ja</t>
        </is>
      </c>
      <c r="Y1279" t="inlineStr">
        <is>
          <t>Ja</t>
        </is>
      </c>
      <c r="Z1279" t="inlineStr">
        <is>
          <t>Nej</t>
        </is>
      </c>
      <c r="AA1279" t="n">
        <v>6</v>
      </c>
      <c r="AB1279" t="inlineStr">
        <is>
          <t>Lakvattenhantering</t>
        </is>
      </c>
      <c r="AC1279" t="inlineStr">
        <is>
          <t>Flodesschema dagvatten-lakvatten</t>
        </is>
      </c>
      <c r="AD1279" t="inlineStr">
        <is>
          <t>Nej</t>
        </is>
      </c>
      <c r="AE1279" t="inlineStr">
        <is>
          <t>Nej</t>
        </is>
      </c>
      <c r="AF1279" t="inlineStr">
        <is>
          <t>Ej behandlad</t>
        </is>
      </c>
      <c r="AG1279" t="inlineStr">
        <is>
          <t>AUTO_GENERERAD. Verifiera citat mot kallfil.</t>
        </is>
      </c>
      <c r="AH1279" t="inlineStr">
        <is>
          <t>HIGH</t>
        </is>
      </c>
      <c r="AI1279" t="inlineStr">
        <is>
          <t>AUTO</t>
        </is>
      </c>
      <c r="AJ1279" t="inlineStr">
        <is>
          <t>Nej</t>
        </is>
      </c>
      <c r="AK1279" t="inlineStr"/>
      <c r="AL1279" t="inlineStr"/>
      <c r="AM1279" t="inlineStr"/>
      <c r="AN1279" t="inlineStr"/>
      <c r="AO1279" t="inlineStr">
        <is>
          <t>cmm4yupas02fecuqwvht0309b</t>
        </is>
      </c>
      <c r="AP1279" t="inlineStr">
        <is>
          <t>http://localhost:8787/api/admin/requirements/documents/cmm4yupas02fecuqwvht0309b/view</t>
        </is>
      </c>
      <c r="AQ1279">
        <f>HYPERLÄNK("http://localhost:8787/api/admin/requirements/documents/cmm4yupas02fecuqwvht0309b/view";"Öppna PDF")</f>
        <v/>
      </c>
      <c r="AR1279">
        <f>HYPERLINK("http://localhost:8787/api/admin/requirements/documents/cmm4yupas02fecuqwvht0309b/view","Open PDF")</f>
        <v/>
      </c>
      <c r="AS1279" t="inlineStr">
        <is>
          <t>cmm55w57p0004cuisfrtpqly8</t>
        </is>
      </c>
      <c r="AT1279" t="inlineStr">
        <is>
          <t>cmm4xvu980000cuh4vj0usz09</t>
        </is>
      </c>
      <c r="AU1279" t="inlineStr"/>
      <c r="AV1279" t="inlineStr">
        <is>
          <t>Kommun</t>
        </is>
      </c>
      <c r="AW1279" t="inlineStr"/>
      <c r="AX1279" t="inlineStr">
        <is>
          <t>2025-06</t>
        </is>
      </c>
      <c r="AY1279" t="inlineStr">
        <is>
          <t>Forelaggande</t>
        </is>
      </c>
      <c r="AZ1279" t="inlineStr">
        <is>
          <t>2026-02-03</t>
        </is>
      </c>
      <c r="BA1279" t="inlineStr">
        <is>
          <t>M_föreläggande om åtgärd (1).pdf</t>
        </is>
      </c>
      <c r="BB1279" t="inlineStr">
        <is>
          <t>till registrator</t>
        </is>
      </c>
      <c r="BC1279" t="inlineStr">
        <is>
          <t>AUTO</t>
        </is>
      </c>
      <c r="BD1279" t="inlineStr"/>
      <c r="BE1279" t="inlineStr"/>
      <c r="BF1279" t="inlineStr">
        <is>
          <t>AUTO_GENERERAD. Bekrafta metadata mot kallfil.</t>
        </is>
      </c>
      <c r="BG1279">
        <f>HYPERLINK("C:\Users\jimmy\Desktop\Examens arbete\Kod\Ny mapp\remix_-copy-of-miljöbeslut.se-portal\M_föreläggande om åtgärd (1).pdf", "Öppna PDF")</f>
        <v/>
      </c>
    </row>
    <row r="1280">
      <c r="A1280" t="inlineStr">
        <is>
          <t>KRAV-AUTO-001279</t>
        </is>
      </c>
      <c r="B1280" t="inlineStr">
        <is>
          <t>ADMIN-INDEX-2026-02-27-00000000125C043F57453246863FE664CAFE6A3F0700950291EA24F0614FB6ACEDB12BF0E31D00000000010C0000950291EA24F0614FB6ACEDB12BF0E31D00002087AE940000</t>
        </is>
      </c>
      <c r="C1280" t="inlineStr">
        <is>
          <t>cmm4yup9x02ekcuqwg6b1mlba</t>
        </is>
      </c>
      <c r="D1280" t="inlineStr">
        <is>
          <t>http://localhost:8787/api/admin/requirements/documents/cmm4yup9x02ekcuqwg6b1mlba/view</t>
        </is>
      </c>
      <c r="E1280">
        <f>HYPERLÄNK("http://localhost:8787/api/admin/requirements/documents/cmm4yup9x02ekcuqwg6b1mlba/view";"Öppna PDF")</f>
        <v/>
      </c>
      <c r="F1280">
        <f>HYPERLINK("http://localhost:8787/api/admin/requirements/documents/cmm4yup9x02ekcuqwg6b1mlba/view","Open PDF")</f>
        <v/>
      </c>
      <c r="G1280" t="inlineStr">
        <is>
          <t>cmm55w57p0004cuisfrtpqly8</t>
        </is>
      </c>
      <c r="H1280" t="inlineStr">
        <is>
          <t>Informationskrav</t>
        </is>
      </c>
      <c r="I1280" t="inlineStr">
        <is>
          <t>Ytkonstruktion</t>
        </is>
      </c>
      <c r="J1280" t="inlineStr">
        <is>
          <t>Tat yta</t>
        </is>
      </c>
      <c r="K1280" t="inlineStr">
        <is>
          <t>överfyllnadsskydd, invallning, nederbördsskydd, påkörningsskydd, tätning av brunnar) och påfyllning (t.ex.</t>
        </is>
      </c>
      <c r="L1280" t="inlineStr">
        <is>
          <t>överfyllnadsskydd, invallning, nederbördsskydd, påkörningsskydd, tätning av brunnar) och påfyllning (t.ex.</t>
        </is>
      </c>
      <c r="M1280" t="inlineStr">
        <is>
          <t>BOR</t>
        </is>
      </c>
      <c r="N1280" t="inlineStr">
        <is>
          <t>FMH</t>
        </is>
      </c>
      <c r="O1280" t="inlineStr"/>
      <c r="P1280" t="inlineStr"/>
      <c r="Q1280" t="inlineStr"/>
      <c r="R1280" t="inlineStr">
        <is>
          <t>Vid mellanlagring av avfall</t>
        </is>
      </c>
      <c r="S1280" t="inlineStr"/>
      <c r="T1280" t="inlineStr"/>
      <c r="U1280" t="inlineStr"/>
      <c r="V1280" t="inlineStr"/>
      <c r="W1280" t="inlineStr">
        <is>
          <t>Ja</t>
        </is>
      </c>
      <c r="X1280" t="inlineStr">
        <is>
          <t>Nej</t>
        </is>
      </c>
      <c r="Y1280" t="inlineStr">
        <is>
          <t>Nej</t>
        </is>
      </c>
      <c r="Z1280" t="inlineStr">
        <is>
          <t>Nej</t>
        </is>
      </c>
      <c r="AA1280" t="n">
        <v>5</v>
      </c>
      <c r="AB1280" t="inlineStr">
        <is>
          <t>Teknisk beskrivning av platta</t>
        </is>
      </c>
      <c r="AC1280" t="inlineStr">
        <is>
          <t>Teknisk ritning platta</t>
        </is>
      </c>
      <c r="AD1280" t="inlineStr">
        <is>
          <t>Nej</t>
        </is>
      </c>
      <c r="AE1280" t="inlineStr">
        <is>
          <t>Nej</t>
        </is>
      </c>
      <c r="AF1280" t="inlineStr">
        <is>
          <t>Ej behandlad</t>
        </is>
      </c>
      <c r="AG1280" t="inlineStr">
        <is>
          <t>AUTO_GENERERAD. Verifiera citat mot kallfil.</t>
        </is>
      </c>
      <c r="AH1280" t="inlineStr">
        <is>
          <t>HIGH</t>
        </is>
      </c>
      <c r="AI1280" t="inlineStr">
        <is>
          <t>AUTO</t>
        </is>
      </c>
      <c r="AJ1280" t="inlineStr">
        <is>
          <t>Nej</t>
        </is>
      </c>
      <c r="AK1280" t="inlineStr"/>
      <c r="AL1280" t="inlineStr"/>
      <c r="AM1280" t="inlineStr"/>
      <c r="AN1280" t="inlineStr"/>
      <c r="AO1280" t="inlineStr">
        <is>
          <t>cmm4yupas02fecuqwvht0309b</t>
        </is>
      </c>
      <c r="AP1280" t="inlineStr">
        <is>
          <t>http://localhost:8787/api/admin/requirements/documents/cmm4yupas02fecuqwvht0309b/view</t>
        </is>
      </c>
      <c r="AQ1280">
        <f>HYPERLÄNK("http://localhost:8787/api/admin/requirements/documents/cmm4yupas02fecuqwvht0309b/view";"Öppna PDF")</f>
        <v/>
      </c>
      <c r="AR1280">
        <f>HYPERLINK("http://localhost:8787/api/admin/requirements/documents/cmm4yupas02fecuqwvht0309b/view","Open PDF")</f>
        <v/>
      </c>
      <c r="AS1280" t="inlineStr">
        <is>
          <t>cmm55w57p0004cuisfrtpqly8</t>
        </is>
      </c>
      <c r="AT1280" t="inlineStr">
        <is>
          <t>cmm4xvu980000cuh4vj0usz09</t>
        </is>
      </c>
      <c r="AU1280" t="inlineStr"/>
      <c r="AV1280" t="inlineStr">
        <is>
          <t>Kommun</t>
        </is>
      </c>
      <c r="AW1280" t="inlineStr"/>
      <c r="AX1280" t="inlineStr">
        <is>
          <t>2025-06</t>
        </is>
      </c>
      <c r="AY1280" t="inlineStr">
        <is>
          <t>Forelaggande</t>
        </is>
      </c>
      <c r="AZ1280" t="inlineStr">
        <is>
          <t>2026-02-03</t>
        </is>
      </c>
      <c r="BA1280" t="inlineStr">
        <is>
          <t>M_föreläggande om åtgärd (1).pdf</t>
        </is>
      </c>
      <c r="BB1280" t="inlineStr">
        <is>
          <t>till registrator</t>
        </is>
      </c>
      <c r="BC1280" t="inlineStr">
        <is>
          <t>AUTO</t>
        </is>
      </c>
      <c r="BD1280" t="inlineStr"/>
      <c r="BE1280" t="inlineStr"/>
      <c r="BF1280" t="inlineStr">
        <is>
          <t>AUTO_GENERERAD. Bekrafta metadata mot kallfil.</t>
        </is>
      </c>
      <c r="BG1280">
        <f>HYPERLINK("C:\Users\jimmy\Desktop\Examens arbete\Kod\Ny mapp\remix_-copy-of-miljöbeslut.se-portal\M_föreläggande om åtgärd (1).pdf", "Öppna PDF")</f>
        <v/>
      </c>
    </row>
    <row r="1281">
      <c r="A1281" t="inlineStr">
        <is>
          <t>KRAV-AUTO-001280</t>
        </is>
      </c>
      <c r="B1281" t="inlineStr">
        <is>
          <t>ADMIN-INDEX-2026-02-27-00000000125C043F57453246863FE664CAFE6A3F0700950291EA24F0614FB6ACEDB12BF0E31D00000000010C0000950291EA24F0614FB6ACEDB12BF0E31D00002087AE940000</t>
        </is>
      </c>
      <c r="C1281" t="inlineStr">
        <is>
          <t>cmm4yup9x02ekcuqwg6b1mlba</t>
        </is>
      </c>
      <c r="D1281" t="inlineStr">
        <is>
          <t>http://localhost:8787/api/admin/requirements/documents/cmm4yup9x02ekcuqwg6b1mlba/view</t>
        </is>
      </c>
      <c r="E1281">
        <f>HYPERLÄNK("http://localhost:8787/api/admin/requirements/documents/cmm4yup9x02ekcuqwg6b1mlba/view";"Öppna PDF")</f>
        <v/>
      </c>
      <c r="F1281">
        <f>HYPERLINK("http://localhost:8787/api/admin/requirements/documents/cmm4yup9x02ekcuqwg6b1mlba/view","Open PDF")</f>
        <v/>
      </c>
      <c r="G1281" t="inlineStr">
        <is>
          <t>cmm55w57p0004cuisfrtpqly8</t>
        </is>
      </c>
      <c r="H1281" t="inlineStr">
        <is>
          <t>Informationskrav</t>
        </is>
      </c>
      <c r="I1281" t="inlineStr">
        <is>
          <t>Ytkonstruktion</t>
        </is>
      </c>
      <c r="J1281" t="inlineStr">
        <is>
          <t>Tat yta</t>
        </is>
      </c>
      <c r="K1281" t="inlineStr">
        <is>
          <t>överfyllnadsskydd, invallning, nederbördsskydd, påkörningsskydd, tätning av brunnar) och påfyllning, tankning (t.ex.</t>
        </is>
      </c>
      <c r="L1281" t="inlineStr">
        <is>
          <t>överfyllnadsskydd, invallning, nederbördsskydd, påkörningsskydd, tätning av brunnar) och påfyllning, tankning (t.ex.</t>
        </is>
      </c>
      <c r="M1281" t="inlineStr">
        <is>
          <t>BOR</t>
        </is>
      </c>
      <c r="N1281" t="inlineStr">
        <is>
          <t>FMH</t>
        </is>
      </c>
      <c r="O1281" t="inlineStr"/>
      <c r="P1281" t="inlineStr"/>
      <c r="Q1281" t="inlineStr"/>
      <c r="R1281" t="inlineStr">
        <is>
          <t>Vid mellanlagring av avfall</t>
        </is>
      </c>
      <c r="S1281" t="inlineStr"/>
      <c r="T1281" t="inlineStr"/>
      <c r="U1281" t="inlineStr"/>
      <c r="V1281" t="inlineStr"/>
      <c r="W1281" t="inlineStr">
        <is>
          <t>Ja</t>
        </is>
      </c>
      <c r="X1281" t="inlineStr">
        <is>
          <t>Nej</t>
        </is>
      </c>
      <c r="Y1281" t="inlineStr">
        <is>
          <t>Nej</t>
        </is>
      </c>
      <c r="Z1281" t="inlineStr">
        <is>
          <t>Nej</t>
        </is>
      </c>
      <c r="AA1281" t="n">
        <v>5</v>
      </c>
      <c r="AB1281" t="inlineStr">
        <is>
          <t>Teknisk beskrivning av platta</t>
        </is>
      </c>
      <c r="AC1281" t="inlineStr">
        <is>
          <t>Teknisk ritning platta</t>
        </is>
      </c>
      <c r="AD1281" t="inlineStr">
        <is>
          <t>Nej</t>
        </is>
      </c>
      <c r="AE1281" t="inlineStr">
        <is>
          <t>Nej</t>
        </is>
      </c>
      <c r="AF1281" t="inlineStr">
        <is>
          <t>Ej behandlad</t>
        </is>
      </c>
      <c r="AG1281" t="inlineStr">
        <is>
          <t>AUTO_GENERERAD. Verifiera citat mot kallfil.</t>
        </is>
      </c>
      <c r="AH1281" t="inlineStr">
        <is>
          <t>HIGH</t>
        </is>
      </c>
      <c r="AI1281" t="inlineStr">
        <is>
          <t>AUTO</t>
        </is>
      </c>
      <c r="AJ1281" t="inlineStr">
        <is>
          <t>Nej</t>
        </is>
      </c>
      <c r="AK1281" t="inlineStr"/>
      <c r="AL1281" t="inlineStr"/>
      <c r="AM1281" t="inlineStr"/>
      <c r="AN1281" t="inlineStr"/>
      <c r="AO1281" t="inlineStr">
        <is>
          <t>cmm4yupas02fecuqwvht0309b</t>
        </is>
      </c>
      <c r="AP1281" t="inlineStr">
        <is>
          <t>http://localhost:8787/api/admin/requirements/documents/cmm4yupas02fecuqwvht0309b/view</t>
        </is>
      </c>
      <c r="AQ1281">
        <f>HYPERLÄNK("http://localhost:8787/api/admin/requirements/documents/cmm4yupas02fecuqwvht0309b/view";"Öppna PDF")</f>
        <v/>
      </c>
      <c r="AR1281">
        <f>HYPERLINK("http://localhost:8787/api/admin/requirements/documents/cmm4yupas02fecuqwvht0309b/view","Open PDF")</f>
        <v/>
      </c>
      <c r="AS1281" t="inlineStr">
        <is>
          <t>cmm55w57p0004cuisfrtpqly8</t>
        </is>
      </c>
      <c r="AT1281" t="inlineStr">
        <is>
          <t>cmm4xvu980000cuh4vj0usz09</t>
        </is>
      </c>
      <c r="AU1281" t="inlineStr"/>
      <c r="AV1281" t="inlineStr">
        <is>
          <t>Kommun</t>
        </is>
      </c>
      <c r="AW1281" t="inlineStr"/>
      <c r="AX1281" t="inlineStr">
        <is>
          <t>2025-06</t>
        </is>
      </c>
      <c r="AY1281" t="inlineStr">
        <is>
          <t>Forelaggande</t>
        </is>
      </c>
      <c r="AZ1281" t="inlineStr">
        <is>
          <t>2026-02-03</t>
        </is>
      </c>
      <c r="BA1281" t="inlineStr">
        <is>
          <t>M_föreläggande om åtgärd (1).pdf</t>
        </is>
      </c>
      <c r="BB1281" t="inlineStr">
        <is>
          <t>till registrator</t>
        </is>
      </c>
      <c r="BC1281" t="inlineStr">
        <is>
          <t>AUTO</t>
        </is>
      </c>
      <c r="BD1281" t="inlineStr"/>
      <c r="BE1281" t="inlineStr"/>
      <c r="BF1281" t="inlineStr">
        <is>
          <t>AUTO_GENERERAD. Bekrafta metadata mot kallfil.</t>
        </is>
      </c>
      <c r="BG1281">
        <f>HYPERLINK("C:\Users\jimmy\Desktop\Examens arbete\Kod\Ny mapp\remix_-copy-of-miljöbeslut.se-portal\M_föreläggande om åtgärd (1).pdf", "Öppna PDF")</f>
        <v/>
      </c>
    </row>
    <row r="1282">
      <c r="A1282" t="inlineStr">
        <is>
          <t>KRAV-AUTO-001281</t>
        </is>
      </c>
      <c r="B1282" t="inlineStr">
        <is>
          <t>ADMIN-INDEX-2026-02-27-00000000125C043F57453246863FE664CAFE6A3F0700950291EA24F0614FB6ACEDB12BF0E31D00000000010C0000950291EA24F0614FB6ACEDB12BF0E31D00002087AE940000</t>
        </is>
      </c>
      <c r="C1282" t="inlineStr">
        <is>
          <t>cmm4yup9v02ehcuqweb1zfsae</t>
        </is>
      </c>
      <c r="D1282" t="inlineStr">
        <is>
          <t>http://localhost:8787/api/admin/requirements/documents/cmm4yup9v02ehcuqweb1zfsae/view</t>
        </is>
      </c>
      <c r="E1282">
        <f>HYPERLÄNK("http://localhost:8787/api/admin/requirements/documents/cmm4yup9v02ehcuqweb1zfsae/view";"Öppna PDF")</f>
        <v/>
      </c>
      <c r="F1282">
        <f>HYPERLINK("http://localhost:8787/api/admin/requirements/documents/cmm4yup9v02ehcuqweb1zfsae/view","Open PDF")</f>
        <v/>
      </c>
      <c r="G1282" t="inlineStr">
        <is>
          <t>cmm55w57p0004cuisfrtpqly8</t>
        </is>
      </c>
      <c r="H1282" t="inlineStr">
        <is>
          <t>Informationskrav</t>
        </is>
      </c>
      <c r="I1282" t="inlineStr">
        <is>
          <t>LagringsvolymTid</t>
        </is>
      </c>
      <c r="J1282" t="inlineStr">
        <is>
          <t>Maxmangd</t>
        </is>
      </c>
      <c r="K1282" t="inlineStr">
        <is>
          <t>Men uppskattningsvis uppgår den totala mängden till ca 6 000 - 9 000 ton längsmed hela sträckan med nivåer under 70 mg/kg.</t>
        </is>
      </c>
      <c r="L1282" t="inlineStr">
        <is>
          <t>Men uppskattningsvis uppgår den totala mängden till ca 6 000 - 9 000 ton längsmed hela sträckan med nivåer under 70 mg/kg.</t>
        </is>
      </c>
      <c r="M1282" t="inlineStr">
        <is>
          <t>SKA</t>
        </is>
      </c>
      <c r="N1282" t="inlineStr"/>
      <c r="O1282" t="inlineStr"/>
      <c r="P1282" t="inlineStr"/>
      <c r="Q1282" t="inlineStr"/>
      <c r="R1282" t="inlineStr">
        <is>
          <t>Alltid</t>
        </is>
      </c>
      <c r="S1282" t="inlineStr"/>
      <c r="T1282" t="inlineStr"/>
      <c r="U1282" t="n">
        <v>0</v>
      </c>
      <c r="V1282" t="inlineStr"/>
      <c r="W1282" t="inlineStr">
        <is>
          <t>Nej</t>
        </is>
      </c>
      <c r="X1282" t="inlineStr">
        <is>
          <t>Nej</t>
        </is>
      </c>
      <c r="Y1282" t="inlineStr">
        <is>
          <t>Nej</t>
        </is>
      </c>
      <c r="Z1282" t="inlineStr">
        <is>
          <t>Nej</t>
        </is>
      </c>
      <c r="AA1282" t="n">
        <v>4</v>
      </c>
      <c r="AB1282" t="inlineStr">
        <is>
          <t>Avfallsmangder och lagringstid</t>
        </is>
      </c>
      <c r="AC1282" t="inlineStr">
        <is>
          <t>Avfallsforteckning</t>
        </is>
      </c>
      <c r="AD1282" t="inlineStr">
        <is>
          <t>Nej</t>
        </is>
      </c>
      <c r="AE1282" t="inlineStr">
        <is>
          <t>Nej</t>
        </is>
      </c>
      <c r="AF1282" t="inlineStr">
        <is>
          <t>Ej behandlad</t>
        </is>
      </c>
      <c r="AG1282" t="inlineStr">
        <is>
          <t>AUTO_GENERERAD. Verifiera citat mot kallfil.</t>
        </is>
      </c>
      <c r="AH1282" t="inlineStr">
        <is>
          <t>MEDIUM</t>
        </is>
      </c>
      <c r="AI1282" t="inlineStr">
        <is>
          <t>AUTO</t>
        </is>
      </c>
      <c r="AJ1282" t="inlineStr">
        <is>
          <t>Nej</t>
        </is>
      </c>
      <c r="AK1282" t="inlineStr"/>
      <c r="AL1282" t="inlineStr"/>
      <c r="AM1282" t="inlineStr"/>
      <c r="AN1282" t="inlineStr"/>
      <c r="AO1282" t="inlineStr">
        <is>
          <t>cmm4yupas02fecuqwvht0309b</t>
        </is>
      </c>
      <c r="AP1282" t="inlineStr">
        <is>
          <t>http://localhost:8787/api/admin/requirements/documents/cmm4yupas02fecuqwvht0309b/view</t>
        </is>
      </c>
      <c r="AQ1282">
        <f>HYPERLÄNK("http://localhost:8787/api/admin/requirements/documents/cmm4yupas02fecuqwvht0309b/view";"Öppna PDF")</f>
        <v/>
      </c>
      <c r="AR1282">
        <f>HYPERLINK("http://localhost:8787/api/admin/requirements/documents/cmm4yupas02fecuqwvht0309b/view","Open PDF")</f>
        <v/>
      </c>
      <c r="AS1282" t="inlineStr">
        <is>
          <t>cmm55w57p0004cuisfrtpqly8</t>
        </is>
      </c>
      <c r="AT1282" t="inlineStr">
        <is>
          <t>cmm4xvu980000cuh4vj0usz09</t>
        </is>
      </c>
      <c r="AU1282" t="inlineStr"/>
      <c r="AV1282" t="inlineStr">
        <is>
          <t>Kommun</t>
        </is>
      </c>
      <c r="AW1282" t="inlineStr"/>
      <c r="AX1282" t="inlineStr">
        <is>
          <t>2025-06</t>
        </is>
      </c>
      <c r="AY1282" t="inlineStr">
        <is>
          <t>Forelaggande</t>
        </is>
      </c>
      <c r="AZ1282" t="inlineStr">
        <is>
          <t>2026-02-03</t>
        </is>
      </c>
      <c r="BA1282" t="inlineStr">
        <is>
          <t>M_föreläggande om åtgärd (1).pdf</t>
        </is>
      </c>
      <c r="BB1282" t="inlineStr">
        <is>
          <t>till registrator</t>
        </is>
      </c>
      <c r="BC1282" t="inlineStr">
        <is>
          <t>AUTO</t>
        </is>
      </c>
      <c r="BD1282" t="inlineStr"/>
      <c r="BE1282" t="inlineStr"/>
      <c r="BF1282" t="inlineStr">
        <is>
          <t>AUTO_GENERERAD. Bekrafta metadata mot kallfil.</t>
        </is>
      </c>
      <c r="BG1282">
        <f>HYPERLINK("C:\Users\jimmy\Desktop\Examens arbete\Kod\Ny mapp\remix_-copy-of-miljöbeslut.se-portal\M_föreläggande om åtgärd (1).pdf", "Öppna PDF")</f>
        <v/>
      </c>
    </row>
    <row r="1283">
      <c r="A1283" t="inlineStr">
        <is>
          <t>KRAV-AUTO-001282</t>
        </is>
      </c>
      <c r="B1283" t="inlineStr">
        <is>
          <t>ADMIN-INDEX-2026-02-27-00000000125C043F57453246863FE664CAFE6A3F0700950291EA24F0614FB6ACEDB12BF0E31D00000000010C0000950291EA24F0614FB6ACEDB12BF0E31D00002087AE940000</t>
        </is>
      </c>
      <c r="C1283" t="inlineStr">
        <is>
          <t>cmm4yup9s02eecuqw2n1gyw4i</t>
        </is>
      </c>
      <c r="D1283" t="inlineStr">
        <is>
          <t>http://localhost:8787/api/admin/requirements/documents/cmm4yup9s02eecuqw2n1gyw4i/view</t>
        </is>
      </c>
      <c r="E1283">
        <f>HYPERLÄNK("http://localhost:8787/api/admin/requirements/documents/cmm4yup9s02eecuqw2n1gyw4i/view";"Öppna PDF")</f>
        <v/>
      </c>
      <c r="F1283">
        <f>HYPERLINK("http://localhost:8787/api/admin/requirements/documents/cmm4yup9s02eecuqw2n1gyw4i/view","Open PDF")</f>
        <v/>
      </c>
      <c r="G1283" t="inlineStr">
        <is>
          <t>cmm55w57p0004cuisfrtpqly8</t>
        </is>
      </c>
      <c r="H1283" t="inlineStr">
        <is>
          <t>Informationskrav</t>
        </is>
      </c>
      <c r="I1283" t="inlineStr">
        <is>
          <t>Riskhantering</t>
        </is>
      </c>
      <c r="J1283" t="inlineStr">
        <is>
          <t>Riskkontroll</t>
        </is>
      </c>
      <c r="K1283" t="inlineStr">
        <is>
          <t>Genom att dessutom undvika områden som riskerar att översvämmas vid större nederbörd minskas risken för att materialet kommer i kontakt med vatten vid extrema händelser.</t>
        </is>
      </c>
      <c r="L1283" t="inlineStr">
        <is>
          <t>Genom att dessutom undvika områden som riskerar att översvämmas vid större nederbörd minskas risken för att materialet kommer i kontakt med vatten vid extrema händelser.</t>
        </is>
      </c>
      <c r="M1283" t="inlineStr">
        <is>
          <t>SKA</t>
        </is>
      </c>
      <c r="N1283" t="inlineStr"/>
      <c r="O1283" t="inlineStr"/>
      <c r="P1283" t="inlineStr"/>
      <c r="Q1283" t="inlineStr"/>
      <c r="R1283" t="inlineStr">
        <is>
          <t>Vid risk for incident</t>
        </is>
      </c>
      <c r="S1283" t="inlineStr"/>
      <c r="T1283" t="inlineStr"/>
      <c r="U1283" t="inlineStr"/>
      <c r="V1283" t="inlineStr"/>
      <c r="W1283" t="inlineStr">
        <is>
          <t>Nej</t>
        </is>
      </c>
      <c r="X1283" t="inlineStr">
        <is>
          <t>Nej</t>
        </is>
      </c>
      <c r="Y1283" t="inlineStr">
        <is>
          <t>Ja</t>
        </is>
      </c>
      <c r="Z1283" t="inlineStr">
        <is>
          <t>Ja</t>
        </is>
      </c>
      <c r="AA1283" t="n">
        <v>8</v>
      </c>
      <c r="AB1283" t="inlineStr">
        <is>
          <t>Riskhantering</t>
        </is>
      </c>
      <c r="AC1283" t="inlineStr">
        <is>
          <t>Risk-PM</t>
        </is>
      </c>
      <c r="AD1283" t="inlineStr">
        <is>
          <t>Nej</t>
        </is>
      </c>
      <c r="AE1283" t="inlineStr">
        <is>
          <t>Nej</t>
        </is>
      </c>
      <c r="AF1283" t="inlineStr">
        <is>
          <t>Ej behandlad</t>
        </is>
      </c>
      <c r="AG1283" t="inlineStr">
        <is>
          <t>AUTO_GENERERAD. Verifiera citat mot kallfil.</t>
        </is>
      </c>
      <c r="AH1283" t="inlineStr">
        <is>
          <t>MEDIUM</t>
        </is>
      </c>
      <c r="AI1283" t="inlineStr">
        <is>
          <t>AUTO</t>
        </is>
      </c>
      <c r="AJ1283" t="inlineStr">
        <is>
          <t>Nej</t>
        </is>
      </c>
      <c r="AK1283" t="inlineStr"/>
      <c r="AL1283" t="inlineStr"/>
      <c r="AM1283" t="inlineStr"/>
      <c r="AN1283" t="inlineStr"/>
      <c r="AO1283" t="inlineStr">
        <is>
          <t>cmm4yupas02fecuqwvht0309b</t>
        </is>
      </c>
      <c r="AP1283" t="inlineStr">
        <is>
          <t>http://localhost:8787/api/admin/requirements/documents/cmm4yupas02fecuqwvht0309b/view</t>
        </is>
      </c>
      <c r="AQ1283">
        <f>HYPERLÄNK("http://localhost:8787/api/admin/requirements/documents/cmm4yupas02fecuqwvht0309b/view";"Öppna PDF")</f>
        <v/>
      </c>
      <c r="AR1283">
        <f>HYPERLINK("http://localhost:8787/api/admin/requirements/documents/cmm4yupas02fecuqwvht0309b/view","Open PDF")</f>
        <v/>
      </c>
      <c r="AS1283" t="inlineStr">
        <is>
          <t>cmm55w57p0004cuisfrtpqly8</t>
        </is>
      </c>
      <c r="AT1283" t="inlineStr">
        <is>
          <t>cmm4xvu980000cuh4vj0usz09</t>
        </is>
      </c>
      <c r="AU1283" t="inlineStr"/>
      <c r="AV1283" t="inlineStr">
        <is>
          <t>Kommun</t>
        </is>
      </c>
      <c r="AW1283" t="inlineStr"/>
      <c r="AX1283" t="inlineStr">
        <is>
          <t>2025-06</t>
        </is>
      </c>
      <c r="AY1283" t="inlineStr">
        <is>
          <t>Forelaggande</t>
        </is>
      </c>
      <c r="AZ1283" t="inlineStr">
        <is>
          <t>2026-02-03</t>
        </is>
      </c>
      <c r="BA1283" t="inlineStr">
        <is>
          <t>M_föreläggande om åtgärd (1).pdf</t>
        </is>
      </c>
      <c r="BB1283" t="inlineStr">
        <is>
          <t>till registrator</t>
        </is>
      </c>
      <c r="BC1283" t="inlineStr">
        <is>
          <t>AUTO</t>
        </is>
      </c>
      <c r="BD1283" t="inlineStr"/>
      <c r="BE1283" t="inlineStr"/>
      <c r="BF1283" t="inlineStr">
        <is>
          <t>AUTO_GENERERAD. Bekrafta metadata mot kallfil.</t>
        </is>
      </c>
      <c r="BG1283">
        <f>HYPERLINK("C:\Users\jimmy\Desktop\Examens arbete\Kod\Ny mapp\remix_-copy-of-miljöbeslut.se-portal\M_föreläggande om åtgärd (1).pdf", "Öppna PDF")</f>
        <v/>
      </c>
    </row>
    <row r="1284">
      <c r="A1284" t="inlineStr">
        <is>
          <t>KRAV-AUTO-001283</t>
        </is>
      </c>
      <c r="B1284" t="inlineStr">
        <is>
          <t>ADMIN-INDEX-2026-02-27-00000000125C043F57453246863FE664CAFE6A3F0700950291EA24F0614FB6ACEDB12BF0E31D00000000010C0000950291EA24F0614FB6ACEDB12BF0E31D00002087AE940000</t>
        </is>
      </c>
      <c r="C1284" t="inlineStr">
        <is>
          <t>cmm4yup9s02eecuqw2n1gyw4i</t>
        </is>
      </c>
      <c r="D1284" t="inlineStr">
        <is>
          <t>http://localhost:8787/api/admin/requirements/documents/cmm4yup9s02eecuqw2n1gyw4i/view</t>
        </is>
      </c>
      <c r="E1284">
        <f>HYPERLÄNK("http://localhost:8787/api/admin/requirements/documents/cmm4yup9s02eecuqw2n1gyw4i/view";"Öppna PDF")</f>
        <v/>
      </c>
      <c r="F1284">
        <f>HYPERLINK("http://localhost:8787/api/admin/requirements/documents/cmm4yup9s02eecuqw2n1gyw4i/view","Open PDF")</f>
        <v/>
      </c>
      <c r="G1284" t="inlineStr">
        <is>
          <t>cmm55w57p0004cuisfrtpqly8</t>
        </is>
      </c>
      <c r="H1284" t="inlineStr">
        <is>
          <t>Informationskrav</t>
        </is>
      </c>
      <c r="I1284" t="inlineStr">
        <is>
          <t>LagringsvolymTid</t>
        </is>
      </c>
      <c r="J1284" t="inlineStr">
        <is>
          <t>Maxmangd</t>
        </is>
      </c>
      <c r="K1284" t="inlineStr">
        <is>
          <t>Uppskattningsvis kommer det uppstå ca 1 000 ton asfalt med asfalt innehållandes PAH (70-300 mg/kg).</t>
        </is>
      </c>
      <c r="L1284" t="inlineStr">
        <is>
          <t>Uppskattningsvis kommer det uppstå ca 1 000 ton asfalt med asfalt innehållandes PAH (70-300 mg/kg).</t>
        </is>
      </c>
      <c r="M1284" t="inlineStr">
        <is>
          <t>SKA</t>
        </is>
      </c>
      <c r="N1284" t="inlineStr"/>
      <c r="O1284" t="inlineStr"/>
      <c r="P1284" t="inlineStr"/>
      <c r="Q1284" t="inlineStr"/>
      <c r="R1284" t="inlineStr">
        <is>
          <t>Alltid</t>
        </is>
      </c>
      <c r="S1284" t="inlineStr"/>
      <c r="T1284" t="inlineStr"/>
      <c r="U1284" t="n">
        <v>0</v>
      </c>
      <c r="V1284" t="inlineStr"/>
      <c r="W1284" t="inlineStr">
        <is>
          <t>Nej</t>
        </is>
      </c>
      <c r="X1284" t="inlineStr">
        <is>
          <t>Nej</t>
        </is>
      </c>
      <c r="Y1284" t="inlineStr">
        <is>
          <t>Nej</t>
        </is>
      </c>
      <c r="Z1284" t="inlineStr">
        <is>
          <t>Nej</t>
        </is>
      </c>
      <c r="AA1284" t="n">
        <v>4</v>
      </c>
      <c r="AB1284" t="inlineStr">
        <is>
          <t>Avfallsmangder och lagringstid</t>
        </is>
      </c>
      <c r="AC1284" t="inlineStr">
        <is>
          <t>Avfallsforteckning</t>
        </is>
      </c>
      <c r="AD1284" t="inlineStr">
        <is>
          <t>Nej</t>
        </is>
      </c>
      <c r="AE1284" t="inlineStr">
        <is>
          <t>Nej</t>
        </is>
      </c>
      <c r="AF1284" t="inlineStr">
        <is>
          <t>Ej behandlad</t>
        </is>
      </c>
      <c r="AG1284" t="inlineStr">
        <is>
          <t>AUTO_GENERERAD. Verifiera citat mot kallfil.</t>
        </is>
      </c>
      <c r="AH1284" t="inlineStr">
        <is>
          <t>MEDIUM</t>
        </is>
      </c>
      <c r="AI1284" t="inlineStr">
        <is>
          <t>AUTO</t>
        </is>
      </c>
      <c r="AJ1284" t="inlineStr">
        <is>
          <t>Nej</t>
        </is>
      </c>
      <c r="AK1284" t="inlineStr"/>
      <c r="AL1284" t="inlineStr"/>
      <c r="AM1284" t="inlineStr"/>
      <c r="AN1284" t="inlineStr"/>
      <c r="AO1284" t="inlineStr">
        <is>
          <t>cmm4yupas02fecuqwvht0309b</t>
        </is>
      </c>
      <c r="AP1284" t="inlineStr">
        <is>
          <t>http://localhost:8787/api/admin/requirements/documents/cmm4yupas02fecuqwvht0309b/view</t>
        </is>
      </c>
      <c r="AQ1284">
        <f>HYPERLÄNK("http://localhost:8787/api/admin/requirements/documents/cmm4yupas02fecuqwvht0309b/view";"Öppna PDF")</f>
        <v/>
      </c>
      <c r="AR1284">
        <f>HYPERLINK("http://localhost:8787/api/admin/requirements/documents/cmm4yupas02fecuqwvht0309b/view","Open PDF")</f>
        <v/>
      </c>
      <c r="AS1284" t="inlineStr">
        <is>
          <t>cmm55w57p0004cuisfrtpqly8</t>
        </is>
      </c>
      <c r="AT1284" t="inlineStr">
        <is>
          <t>cmm4xvu980000cuh4vj0usz09</t>
        </is>
      </c>
      <c r="AU1284" t="inlineStr"/>
      <c r="AV1284" t="inlineStr">
        <is>
          <t>Kommun</t>
        </is>
      </c>
      <c r="AW1284" t="inlineStr"/>
      <c r="AX1284" t="inlineStr">
        <is>
          <t>2025-06</t>
        </is>
      </c>
      <c r="AY1284" t="inlineStr">
        <is>
          <t>Forelaggande</t>
        </is>
      </c>
      <c r="AZ1284" t="inlineStr">
        <is>
          <t>2026-02-03</t>
        </is>
      </c>
      <c r="BA1284" t="inlineStr">
        <is>
          <t>M_föreläggande om åtgärd (1).pdf</t>
        </is>
      </c>
      <c r="BB1284" t="inlineStr">
        <is>
          <t>till registrator</t>
        </is>
      </c>
      <c r="BC1284" t="inlineStr">
        <is>
          <t>AUTO</t>
        </is>
      </c>
      <c r="BD1284" t="inlineStr"/>
      <c r="BE1284" t="inlineStr"/>
      <c r="BF1284" t="inlineStr">
        <is>
          <t>AUTO_GENERERAD. Bekrafta metadata mot kallfil.</t>
        </is>
      </c>
      <c r="BG1284">
        <f>HYPERLINK("C:\Users\jimmy\Desktop\Examens arbete\Kod\Ny mapp\remix_-copy-of-miljöbeslut.se-portal\M_föreläggande om åtgärd (1).pdf", "Öppna PDF")</f>
        <v/>
      </c>
    </row>
    <row r="1285">
      <c r="A1285" t="inlineStr">
        <is>
          <t>KRAV-AUTO-001284</t>
        </is>
      </c>
      <c r="B1285" t="inlineStr">
        <is>
          <t>ADMIN-INDEX-2026-02-27-00000000125C043F57453246863FE664CAFE6A3F0700950291EA24F0614FB6ACEDB12BF0E31D00000000010C0000950291EA24F0614FB6ACEDB12BF0E31D00002087AE970000</t>
        </is>
      </c>
      <c r="C1285" t="inlineStr">
        <is>
          <t>cmm4yup9e02dzcuqwruoclys2</t>
        </is>
      </c>
      <c r="D1285" t="inlineStr">
        <is>
          <t>http://localhost:8787/api/admin/requirements/documents/cmm4yup9e02dzcuqwruoclys2/view</t>
        </is>
      </c>
      <c r="E1285">
        <f>HYPERLÄNK("http://localhost:8787/api/admin/requirements/documents/cmm4yup9e02dzcuqwruoclys2/view";"Öppna PDF")</f>
        <v/>
      </c>
      <c r="F1285">
        <f>HYPERLINK("http://localhost:8787/api/admin/requirements/documents/cmm4yup9e02dzcuqwruoclys2/view","Open PDF")</f>
        <v/>
      </c>
      <c r="G1285" t="inlineStr">
        <is>
          <t>cmm55w57p0004cuisfrtpqly8</t>
        </is>
      </c>
      <c r="H1285" t="inlineStr">
        <is>
          <t>Beslutsvillkor</t>
        </is>
      </c>
      <c r="I1285" t="inlineStr">
        <is>
          <t>Ytkonstruktion</t>
        </is>
      </c>
      <c r="J1285" t="inlineStr">
        <is>
          <t>Tat yta</t>
        </is>
      </c>
      <c r="K1285" t="inlineStr">
        <is>
          <t>Och att det inte är tänkt att ni ska mellanlagra något avfall eller genomföra någon krossning eller annan verksamhet på den nya ytan, utan enbart lagring av obehandlat virke.</t>
        </is>
      </c>
      <c r="L1285" t="inlineStr">
        <is>
          <t>Och att det inte är tänkt att ni ska mellanlagra något avfall eller genomföra någon krossning eller annan verksamhet på den nya ytan, utan enbart lagring av obehandlat virke.</t>
        </is>
      </c>
      <c r="M1285" t="inlineStr">
        <is>
          <t>SKA</t>
        </is>
      </c>
      <c r="N1285" t="inlineStr"/>
      <c r="O1285" t="inlineStr"/>
      <c r="P1285" t="inlineStr"/>
      <c r="Q1285" t="inlineStr"/>
      <c r="R1285" t="inlineStr">
        <is>
          <t>Vid mellanlagring av avfall</t>
        </is>
      </c>
      <c r="S1285" t="inlineStr"/>
      <c r="T1285" t="inlineStr"/>
      <c r="U1285" t="inlineStr"/>
      <c r="V1285" t="inlineStr"/>
      <c r="W1285" t="inlineStr">
        <is>
          <t>Ja</t>
        </is>
      </c>
      <c r="X1285" t="inlineStr">
        <is>
          <t>Nej</t>
        </is>
      </c>
      <c r="Y1285" t="inlineStr">
        <is>
          <t>Nej</t>
        </is>
      </c>
      <c r="Z1285" t="inlineStr">
        <is>
          <t>Nej</t>
        </is>
      </c>
      <c r="AA1285" t="n">
        <v>5</v>
      </c>
      <c r="AB1285" t="inlineStr">
        <is>
          <t>Teknisk beskrivning av platta</t>
        </is>
      </c>
      <c r="AC1285" t="inlineStr">
        <is>
          <t>Teknisk ritning platta</t>
        </is>
      </c>
      <c r="AD1285" t="inlineStr">
        <is>
          <t>Nej</t>
        </is>
      </c>
      <c r="AE1285" t="inlineStr">
        <is>
          <t>Nej</t>
        </is>
      </c>
      <c r="AF1285" t="inlineStr">
        <is>
          <t>Ej behandlad</t>
        </is>
      </c>
      <c r="AG1285" t="inlineStr">
        <is>
          <t>AUTO_GENERERAD. Verifiera citat mot kallfil.</t>
        </is>
      </c>
      <c r="AH1285" t="inlineStr">
        <is>
          <t>MEDIUM</t>
        </is>
      </c>
      <c r="AI1285" t="inlineStr">
        <is>
          <t>AUTO</t>
        </is>
      </c>
      <c r="AJ1285" t="inlineStr">
        <is>
          <t>Nej</t>
        </is>
      </c>
      <c r="AK1285" t="inlineStr"/>
      <c r="AL1285" t="inlineStr"/>
      <c r="AM1285" t="inlineStr"/>
      <c r="AN1285" t="inlineStr"/>
      <c r="AO1285" t="inlineStr">
        <is>
          <t>cmm4yup9e02dzcuqwruoclys2</t>
        </is>
      </c>
      <c r="AP1285" t="inlineStr">
        <is>
          <t>http://localhost:8787/api/admin/requirements/documents/cmm4yup9e02dzcuqwruoclys2/view</t>
        </is>
      </c>
      <c r="AQ1285">
        <f>HYPERLÄNK("http://localhost:8787/api/admin/requirements/documents/cmm4yup9e02dzcuqwruoclys2/view";"Öppna PDF")</f>
        <v/>
      </c>
      <c r="AR1285">
        <f>HYPERLINK("http://localhost:8787/api/admin/requirements/documents/cmm4yup9e02dzcuqwruoclys2/view","Open PDF")</f>
        <v/>
      </c>
      <c r="AS1285" t="inlineStr">
        <is>
          <t>cmm55w57p0004cuisfrtpqly8</t>
        </is>
      </c>
      <c r="AT1285" t="inlineStr">
        <is>
          <t>cmm4xvu980000cuh4vj0usz09</t>
        </is>
      </c>
      <c r="AU1285" t="inlineStr">
        <is>
          <t>Herrljunga</t>
        </is>
      </c>
      <c r="AV1285" t="inlineStr">
        <is>
          <t>Kommun</t>
        </is>
      </c>
      <c r="AW1285" t="inlineStr">
        <is>
          <t>Herrljunga kommun</t>
        </is>
      </c>
      <c r="AX1285" t="inlineStr">
        <is>
          <t>2025-09</t>
        </is>
      </c>
      <c r="AY1285" t="inlineStr">
        <is>
          <t>Beslut</t>
        </is>
      </c>
      <c r="AZ1285" t="inlineStr">
        <is>
          <t>2026-02-03</t>
        </is>
      </c>
      <c r="BA1285" t="inlineStr">
        <is>
          <t>M-2025-408_1_Re_anm.pdf</t>
        </is>
      </c>
      <c r="BB1285" t="inlineStr">
        <is>
          <t>VB: till registrator</t>
        </is>
      </c>
      <c r="BC1285" t="inlineStr">
        <is>
          <t>AUTO</t>
        </is>
      </c>
      <c r="BD1285" t="inlineStr"/>
      <c r="BE1285" t="inlineStr"/>
      <c r="BF1285" t="inlineStr">
        <is>
          <t>AUTO_GENERERAD. Bekrafta metadata mot kallfil.</t>
        </is>
      </c>
      <c r="BG1285">
        <f>HYPERLINK("C:\Users\jimmy\Desktop\Examens arbete\Kod\Ny mapp\remix_-copy-of-miljöbeslut.se-portal\M-2025-408_1_Re_anm.pdf", "Öppna PDF")</f>
        <v/>
      </c>
    </row>
    <row r="1286">
      <c r="A1286" t="inlineStr">
        <is>
          <t>KRAV-AUTO-001285</t>
        </is>
      </c>
      <c r="B1286" t="inlineStr">
        <is>
          <t>ADMIN-INDEX-2026-02-27-00000000125C043F57453246863FE664CAFE6A3F0700950291EA24F0614FB6ACEDB12BF0E31D00000000010C0000950291EA24F0614FB6ACEDB12BF0E31D00002087AE980000</t>
        </is>
      </c>
      <c r="C1286" t="inlineStr">
        <is>
          <t>cmm4yup8u02dhcuqwwwmhavgp</t>
        </is>
      </c>
      <c r="D1286" t="inlineStr">
        <is>
          <t>http://localhost:8787/api/admin/requirements/documents/cmm4yup8u02dhcuqwwwmhavgp/view</t>
        </is>
      </c>
      <c r="E1286">
        <f>HYPERLÄNK("http://localhost:8787/api/admin/requirements/documents/cmm4yup8u02dhcuqwwwmhavgp/view";"Öppna PDF")</f>
        <v/>
      </c>
      <c r="F1286">
        <f>HYPERLINK("http://localhost:8787/api/admin/requirements/documents/cmm4yup8u02dhcuqwwwmhavgp/view","Open PDF")</f>
        <v/>
      </c>
      <c r="G1286" t="inlineStr">
        <is>
          <t>cmm55w57p0004cuisfrtpqly8</t>
        </is>
      </c>
      <c r="H1286" t="inlineStr">
        <is>
          <t>Beslutsvillkor</t>
        </is>
      </c>
      <c r="I1286" t="inlineStr">
        <is>
          <t>Ytkonstruktion</t>
        </is>
      </c>
      <c r="J1286" t="inlineStr">
        <is>
          <t>Tat yta</t>
        </is>
      </c>
      <c r="K1286" t="inlineStr">
        <is>
          <t>Och att det inte är tänkt att ni ska mellanlagra något avfall eller genomföra någon krossning eller annan verksamhet på den nya ytan, utan enbart lagring av obehandlat virke.</t>
        </is>
      </c>
      <c r="L1286" t="inlineStr">
        <is>
          <t>Och att det inte är tänkt att ni ska mellanlagra något avfall eller genomföra någon krossning eller annan verksamhet på den nya ytan, utan enbart lagring av obehandlat virke.</t>
        </is>
      </c>
      <c r="M1286" t="inlineStr">
        <is>
          <t>SKA</t>
        </is>
      </c>
      <c r="N1286" t="inlineStr"/>
      <c r="O1286" t="inlineStr"/>
      <c r="P1286" t="inlineStr"/>
      <c r="Q1286" t="inlineStr"/>
      <c r="R1286" t="inlineStr">
        <is>
          <t>Vid mellanlagring av avfall</t>
        </is>
      </c>
      <c r="S1286" t="inlineStr"/>
      <c r="T1286" t="inlineStr"/>
      <c r="U1286" t="inlineStr"/>
      <c r="V1286" t="inlineStr"/>
      <c r="W1286" t="inlineStr">
        <is>
          <t>Ja</t>
        </is>
      </c>
      <c r="X1286" t="inlineStr">
        <is>
          <t>Nej</t>
        </is>
      </c>
      <c r="Y1286" t="inlineStr">
        <is>
          <t>Nej</t>
        </is>
      </c>
      <c r="Z1286" t="inlineStr">
        <is>
          <t>Nej</t>
        </is>
      </c>
      <c r="AA1286" t="n">
        <v>5</v>
      </c>
      <c r="AB1286" t="inlineStr">
        <is>
          <t>Teknisk beskrivning av platta</t>
        </is>
      </c>
      <c r="AC1286" t="inlineStr">
        <is>
          <t>Teknisk ritning platta</t>
        </is>
      </c>
      <c r="AD1286" t="inlineStr">
        <is>
          <t>Nej</t>
        </is>
      </c>
      <c r="AE1286" t="inlineStr">
        <is>
          <t>Nej</t>
        </is>
      </c>
      <c r="AF1286" t="inlineStr">
        <is>
          <t>Ej behandlad</t>
        </is>
      </c>
      <c r="AG1286" t="inlineStr">
        <is>
          <t>AUTO_GENERERAD. Verifiera citat mot kallfil.</t>
        </is>
      </c>
      <c r="AH1286" t="inlineStr">
        <is>
          <t>MEDIUM</t>
        </is>
      </c>
      <c r="AI1286" t="inlineStr">
        <is>
          <t>AUTO</t>
        </is>
      </c>
      <c r="AJ1286" t="inlineStr">
        <is>
          <t>Nej</t>
        </is>
      </c>
      <c r="AK1286" t="inlineStr"/>
      <c r="AL1286" t="inlineStr"/>
      <c r="AM1286" t="inlineStr"/>
      <c r="AN1286" t="inlineStr"/>
      <c r="AO1286" t="inlineStr">
        <is>
          <t>cmm4yup8u02dhcuqwwwmhavgp</t>
        </is>
      </c>
      <c r="AP1286" t="inlineStr">
        <is>
          <t>http://localhost:8787/api/admin/requirements/documents/cmm4yup8u02dhcuqwwwmhavgp/view</t>
        </is>
      </c>
      <c r="AQ1286">
        <f>HYPERLÄNK("http://localhost:8787/api/admin/requirements/documents/cmm4yup8u02dhcuqwwwmhavgp/view";"Öppna PDF")</f>
        <v/>
      </c>
      <c r="AR1286">
        <f>HYPERLINK("http://localhost:8787/api/admin/requirements/documents/cmm4yup8u02dhcuqwwwmhavgp/view","Open PDF")</f>
        <v/>
      </c>
      <c r="AS1286" t="inlineStr">
        <is>
          <t>cmm55w57p0004cuisfrtpqly8</t>
        </is>
      </c>
      <c r="AT1286" t="inlineStr">
        <is>
          <t>cmm4xvu980000cuh4vj0usz09</t>
        </is>
      </c>
      <c r="AU1286" t="inlineStr">
        <is>
          <t>Herrljunga</t>
        </is>
      </c>
      <c r="AV1286" t="inlineStr">
        <is>
          <t>Kommun</t>
        </is>
      </c>
      <c r="AW1286" t="inlineStr">
        <is>
          <t>Herrljunga kommun</t>
        </is>
      </c>
      <c r="AX1286" t="inlineStr">
        <is>
          <t>2025-09</t>
        </is>
      </c>
      <c r="AY1286" t="inlineStr">
        <is>
          <t>Beslut</t>
        </is>
      </c>
      <c r="AZ1286" t="inlineStr">
        <is>
          <t>2026-02-03</t>
        </is>
      </c>
      <c r="BA1286" t="inlineStr">
        <is>
          <t>M-2025-408_1_Re_anm.pdf</t>
        </is>
      </c>
      <c r="BB1286" t="inlineStr">
        <is>
          <t>VB: till registrator</t>
        </is>
      </c>
      <c r="BC1286" t="inlineStr">
        <is>
          <t>AUTO</t>
        </is>
      </c>
      <c r="BD1286" t="inlineStr"/>
      <c r="BE1286" t="inlineStr"/>
      <c r="BF1286" t="inlineStr">
        <is>
          <t>AUTO_GENERERAD. Bekrafta metadata mot kallfil.</t>
        </is>
      </c>
      <c r="BG1286">
        <f>HYPERLINK("C:\Users\jimmy\Desktop\Examens arbete\Kod\Ny mapp\remix_-copy-of-miljöbeslut.se-portal\M-2025-408_1_Re_anm.pdf", "Öppna PDF")</f>
        <v/>
      </c>
    </row>
    <row r="1287">
      <c r="A1287" t="inlineStr">
        <is>
          <t>KRAV-AUTO-001286</t>
        </is>
      </c>
      <c r="B1287" t="inlineStr">
        <is>
          <t>ADMIN-INDEX-2026-02-27-00000000125C043F57453246863FE664CAFE6A3F0700950291EA24F0614FB6ACEDB12BF0E31D00000000010C0000950291EA24F0614FB6ACEDB12BF0E31D00002087AE990000</t>
        </is>
      </c>
      <c r="C1287" t="inlineStr">
        <is>
          <t>cmm4yup8m02d8cuqw8v4usph0</t>
        </is>
      </c>
      <c r="D1287" t="inlineStr">
        <is>
          <t>http://localhost:8787/api/admin/requirements/documents/cmm4yup8m02d8cuqw8v4usph0/view</t>
        </is>
      </c>
      <c r="E1287">
        <f>HYPERLÄNK("http://localhost:8787/api/admin/requirements/documents/cmm4yup8m02d8cuqw8v4usph0/view";"Öppna PDF")</f>
        <v/>
      </c>
      <c r="F1287">
        <f>HYPERLINK("http://localhost:8787/api/admin/requirements/documents/cmm4yup8m02d8cuqw8v4usph0/view","Open PDF")</f>
        <v/>
      </c>
      <c r="G1287" t="inlineStr">
        <is>
          <t>cmm55w57p0004cuisfrtpqly8</t>
        </is>
      </c>
      <c r="H1287" t="inlineStr">
        <is>
          <t>Beslutsvillkor</t>
        </is>
      </c>
      <c r="I1287" t="inlineStr">
        <is>
          <t>Ytkonstruktion</t>
        </is>
      </c>
      <c r="J1287" t="inlineStr">
        <is>
          <t>Tat yta</t>
        </is>
      </c>
      <c r="K1287" t="inlineStr">
        <is>
          <t>Flytande kemikalier och flytande farligt avfall ska förvaras skyddat från nederbörd och inom invallning.</t>
        </is>
      </c>
      <c r="L1287" t="inlineStr">
        <is>
          <t>Flytande kemikalier och flytande farligt avfall ska förvaras skyddat från nederbörd och inom invallning.</t>
        </is>
      </c>
      <c r="M1287" t="inlineStr">
        <is>
          <t>SKA</t>
        </is>
      </c>
      <c r="N1287" t="inlineStr">
        <is>
          <t>FMH</t>
        </is>
      </c>
      <c r="O1287" t="inlineStr"/>
      <c r="P1287" t="inlineStr">
        <is>
          <t>Arlig</t>
        </is>
      </c>
      <c r="Q1287" t="inlineStr"/>
      <c r="R1287" t="inlineStr">
        <is>
          <t>Vid mellanlagring av avfall</t>
        </is>
      </c>
      <c r="S1287" t="inlineStr"/>
      <c r="T1287" t="inlineStr">
        <is>
          <t>212000</t>
        </is>
      </c>
      <c r="U1287" t="inlineStr"/>
      <c r="V1287" t="inlineStr"/>
      <c r="W1287" t="inlineStr">
        <is>
          <t>Ja</t>
        </is>
      </c>
      <c r="X1287" t="inlineStr">
        <is>
          <t>Nej</t>
        </is>
      </c>
      <c r="Y1287" t="inlineStr">
        <is>
          <t>Nej</t>
        </is>
      </c>
      <c r="Z1287" t="inlineStr">
        <is>
          <t>Nej</t>
        </is>
      </c>
      <c r="AA1287" t="n">
        <v>5</v>
      </c>
      <c r="AB1287" t="inlineStr">
        <is>
          <t>Teknisk beskrivning av platta</t>
        </is>
      </c>
      <c r="AC1287" t="inlineStr">
        <is>
          <t>Teknisk ritning platta</t>
        </is>
      </c>
      <c r="AD1287" t="inlineStr">
        <is>
          <t>Nej</t>
        </is>
      </c>
      <c r="AE1287" t="inlineStr">
        <is>
          <t>Nej</t>
        </is>
      </c>
      <c r="AF1287" t="inlineStr">
        <is>
          <t>Ej behandlad</t>
        </is>
      </c>
      <c r="AG1287" t="inlineStr">
        <is>
          <t>AUTO_GENERERAD. Verifiera citat mot kallfil.</t>
        </is>
      </c>
      <c r="AH1287" t="inlineStr">
        <is>
          <t>HIGH</t>
        </is>
      </c>
      <c r="AI1287" t="inlineStr">
        <is>
          <t>AUTO</t>
        </is>
      </c>
      <c r="AJ1287" t="inlineStr">
        <is>
          <t>Nej</t>
        </is>
      </c>
      <c r="AK1287" t="inlineStr"/>
      <c r="AL1287" t="inlineStr"/>
      <c r="AM1287" t="inlineStr"/>
      <c r="AN1287" t="inlineStr"/>
      <c r="AO1287" t="inlineStr">
        <is>
          <t>cmm4yup8m02d8cuqw8v4usph0</t>
        </is>
      </c>
      <c r="AP1287" t="inlineStr">
        <is>
          <t>http://localhost:8787/api/admin/requirements/documents/cmm4yup8m02d8cuqw8v4usph0/view</t>
        </is>
      </c>
      <c r="AQ1287">
        <f>HYPERLÄNK("http://localhost:8787/api/admin/requirements/documents/cmm4yup8m02d8cuqw8v4usph0/view";"Öppna PDF")</f>
        <v/>
      </c>
      <c r="AR1287">
        <f>HYPERLINK("http://localhost:8787/api/admin/requirements/documents/cmm4yup8m02d8cuqw8v4usph0/view","Open PDF")</f>
        <v/>
      </c>
      <c r="AS1287" t="inlineStr">
        <is>
          <t>cmm55w57p0004cuisfrtpqly8</t>
        </is>
      </c>
      <c r="AT1287" t="inlineStr">
        <is>
          <t>cmm4xvu980000cuh4vj0usz09</t>
        </is>
      </c>
      <c r="AU1287" t="inlineStr">
        <is>
          <t>org nr Söderköpings</t>
        </is>
      </c>
      <c r="AV1287" t="inlineStr">
        <is>
          <t>Kommun</t>
        </is>
      </c>
      <c r="AW1287" t="inlineStr">
        <is>
          <t>org nr Söderköpings kommun</t>
        </is>
      </c>
      <c r="AX1287" t="inlineStr">
        <is>
          <t>2024-03</t>
        </is>
      </c>
      <c r="AY1287" t="inlineStr">
        <is>
          <t>Beslut</t>
        </is>
      </c>
      <c r="AZ1287" t="inlineStr">
        <is>
          <t>2026-02-03</t>
        </is>
      </c>
      <c r="BA1287" t="inlineStr">
        <is>
          <t>SBF-2024-273_2024-03-25_Beslut Miljöfarlig verksamhet.pdf</t>
        </is>
      </c>
      <c r="BB1287" t="inlineStr">
        <is>
          <t>SV: till registrator</t>
        </is>
      </c>
      <c r="BC1287" t="inlineStr">
        <is>
          <t>AUTO</t>
        </is>
      </c>
      <c r="BD1287" t="inlineStr"/>
      <c r="BE1287" t="inlineStr"/>
      <c r="BF1287" t="inlineStr">
        <is>
          <t>AUTO_GENERERAD. Bekrafta metadata mot kallfil.</t>
        </is>
      </c>
      <c r="BG1287">
        <f>HYPERLINK("C:\Users\jimmy\Desktop\Examens arbete\Kod\Ny mapp\remix_-copy-of-miljöbeslut.se-portal\SBF-2024-273_2024-03-25_Beslut Miljöfarlig verksamhet.pdf", "Öppna PDF")</f>
        <v/>
      </c>
    </row>
    <row r="1288">
      <c r="A1288" t="inlineStr">
        <is>
          <t>KRAV-AUTO-001287</t>
        </is>
      </c>
      <c r="B1288" t="inlineStr">
        <is>
          <t>ADMIN-INDEX-2026-02-27-00000000125C043F57453246863FE664CAFE6A3F0700950291EA24F0614FB6ACEDB12BF0E31D00000000010C0000950291EA24F0614FB6ACEDB12BF0E31D00002087AE990000</t>
        </is>
      </c>
      <c r="C1288" t="inlineStr">
        <is>
          <t>cmm4yup8m02d8cuqw8v4usph0</t>
        </is>
      </c>
      <c r="D1288" t="inlineStr">
        <is>
          <t>http://localhost:8787/api/admin/requirements/documents/cmm4yup8m02d8cuqw8v4usph0/view</t>
        </is>
      </c>
      <c r="E1288">
        <f>HYPERLÄNK("http://localhost:8787/api/admin/requirements/documents/cmm4yup8m02d8cuqw8v4usph0/view";"Öppna PDF")</f>
        <v/>
      </c>
      <c r="F1288">
        <f>HYPERLINK("http://localhost:8787/api/admin/requirements/documents/cmm4yup8m02d8cuqw8v4usph0/view","Open PDF")</f>
        <v/>
      </c>
      <c r="G1288" t="inlineStr">
        <is>
          <t>cmm55w57p0004cuisfrtpqly8</t>
        </is>
      </c>
      <c r="H1288" t="inlineStr">
        <is>
          <t>Beslutsvillkor</t>
        </is>
      </c>
      <c r="I1288" t="inlineStr">
        <is>
          <t>Ytkonstruktion</t>
        </is>
      </c>
      <c r="J1288" t="inlineStr">
        <is>
          <t>Tat yta</t>
        </is>
      </c>
      <c r="K1288" t="inlineStr">
        <is>
          <t>Invallningens konstruktionsmaterial ska vara ogenomsläppligt för den aktuella produkten.</t>
        </is>
      </c>
      <c r="L1288" t="inlineStr">
        <is>
          <t>Invallningens konstruktionsmaterial ska vara ogenomsläppligt för den aktuella produkten.</t>
        </is>
      </c>
      <c r="M1288" t="inlineStr">
        <is>
          <t>SKA</t>
        </is>
      </c>
      <c r="N1288" t="inlineStr">
        <is>
          <t>FMH</t>
        </is>
      </c>
      <c r="O1288" t="inlineStr"/>
      <c r="P1288" t="inlineStr"/>
      <c r="Q1288" t="inlineStr"/>
      <c r="R1288" t="inlineStr">
        <is>
          <t>Vid mellanlagring av avfall</t>
        </is>
      </c>
      <c r="S1288" t="inlineStr"/>
      <c r="T1288" t="inlineStr">
        <is>
          <t>212000</t>
        </is>
      </c>
      <c r="U1288" t="inlineStr"/>
      <c r="V1288" t="inlineStr"/>
      <c r="W1288" t="inlineStr">
        <is>
          <t>Ja</t>
        </is>
      </c>
      <c r="X1288" t="inlineStr">
        <is>
          <t>Nej</t>
        </is>
      </c>
      <c r="Y1288" t="inlineStr">
        <is>
          <t>Nej</t>
        </is>
      </c>
      <c r="Z1288" t="inlineStr">
        <is>
          <t>Nej</t>
        </is>
      </c>
      <c r="AA1288" t="n">
        <v>5</v>
      </c>
      <c r="AB1288" t="inlineStr">
        <is>
          <t>Teknisk beskrivning av platta</t>
        </is>
      </c>
      <c r="AC1288" t="inlineStr">
        <is>
          <t>Teknisk ritning platta</t>
        </is>
      </c>
      <c r="AD1288" t="inlineStr">
        <is>
          <t>Nej</t>
        </is>
      </c>
      <c r="AE1288" t="inlineStr">
        <is>
          <t>Nej</t>
        </is>
      </c>
      <c r="AF1288" t="inlineStr">
        <is>
          <t>Ej behandlad</t>
        </is>
      </c>
      <c r="AG1288" t="inlineStr">
        <is>
          <t>AUTO_GENERERAD. Verifiera citat mot kallfil.</t>
        </is>
      </c>
      <c r="AH1288" t="inlineStr">
        <is>
          <t>HIGH</t>
        </is>
      </c>
      <c r="AI1288" t="inlineStr">
        <is>
          <t>AUTO</t>
        </is>
      </c>
      <c r="AJ1288" t="inlineStr">
        <is>
          <t>Nej</t>
        </is>
      </c>
      <c r="AK1288" t="inlineStr"/>
      <c r="AL1288" t="inlineStr"/>
      <c r="AM1288" t="inlineStr"/>
      <c r="AN1288" t="inlineStr"/>
      <c r="AO1288" t="inlineStr">
        <is>
          <t>cmm4yup8m02d8cuqw8v4usph0</t>
        </is>
      </c>
      <c r="AP1288" t="inlineStr">
        <is>
          <t>http://localhost:8787/api/admin/requirements/documents/cmm4yup8m02d8cuqw8v4usph0/view</t>
        </is>
      </c>
      <c r="AQ1288">
        <f>HYPERLÄNK("http://localhost:8787/api/admin/requirements/documents/cmm4yup8m02d8cuqw8v4usph0/view";"Öppna PDF")</f>
        <v/>
      </c>
      <c r="AR1288">
        <f>HYPERLINK("http://localhost:8787/api/admin/requirements/documents/cmm4yup8m02d8cuqw8v4usph0/view","Open PDF")</f>
        <v/>
      </c>
      <c r="AS1288" t="inlineStr">
        <is>
          <t>cmm55w57p0004cuisfrtpqly8</t>
        </is>
      </c>
      <c r="AT1288" t="inlineStr">
        <is>
          <t>cmm4xvu980000cuh4vj0usz09</t>
        </is>
      </c>
      <c r="AU1288" t="inlineStr">
        <is>
          <t>org nr Söderköpings</t>
        </is>
      </c>
      <c r="AV1288" t="inlineStr">
        <is>
          <t>Kommun</t>
        </is>
      </c>
      <c r="AW1288" t="inlineStr">
        <is>
          <t>org nr Söderköpings kommun</t>
        </is>
      </c>
      <c r="AX1288" t="inlineStr">
        <is>
          <t>2024-03</t>
        </is>
      </c>
      <c r="AY1288" t="inlineStr">
        <is>
          <t>Beslut</t>
        </is>
      </c>
      <c r="AZ1288" t="inlineStr">
        <is>
          <t>2026-02-03</t>
        </is>
      </c>
      <c r="BA1288" t="inlineStr">
        <is>
          <t>SBF-2024-273_2024-03-25_Beslut Miljöfarlig verksamhet.pdf</t>
        </is>
      </c>
      <c r="BB1288" t="inlineStr">
        <is>
          <t>SV: till registrator</t>
        </is>
      </c>
      <c r="BC1288" t="inlineStr">
        <is>
          <t>AUTO</t>
        </is>
      </c>
      <c r="BD1288" t="inlineStr"/>
      <c r="BE1288" t="inlineStr"/>
      <c r="BF1288" t="inlineStr">
        <is>
          <t>AUTO_GENERERAD. Bekrafta metadata mot kallfil.</t>
        </is>
      </c>
      <c r="BG1288">
        <f>HYPERLINK("C:\Users\jimmy\Desktop\Examens arbete\Kod\Ny mapp\remix_-copy-of-miljöbeslut.se-portal\SBF-2024-273_2024-03-25_Beslut Miljöfarlig verksamhet.pdf", "Öppna PDF")</f>
        <v/>
      </c>
    </row>
    <row r="1289">
      <c r="A1289" t="inlineStr">
        <is>
          <t>KRAV-AUTO-001288</t>
        </is>
      </c>
      <c r="B1289" t="inlineStr">
        <is>
          <t>ADMIN-INDEX-2026-02-27-00000000125C043F57453246863FE664CAFE6A3F0700950291EA24F0614FB6ACEDB12BF0E31D00000000010C0000950291EA24F0614FB6ACEDB12BF0E31D00002087AE990000</t>
        </is>
      </c>
      <c r="C1289" t="inlineStr">
        <is>
          <t>cmm4yup8m02d8cuqw8v4usph0</t>
        </is>
      </c>
      <c r="D1289" t="inlineStr">
        <is>
          <t>http://localhost:8787/api/admin/requirements/documents/cmm4yup8m02d8cuqw8v4usph0/view</t>
        </is>
      </c>
      <c r="E1289">
        <f>HYPERLÄNK("http://localhost:8787/api/admin/requirements/documents/cmm4yup8m02d8cuqw8v4usph0/view";"Öppna PDF")</f>
        <v/>
      </c>
      <c r="F1289">
        <f>HYPERLINK("http://localhost:8787/api/admin/requirements/documents/cmm4yup8m02d8cuqw8v4usph0/view","Open PDF")</f>
        <v/>
      </c>
      <c r="G1289" t="inlineStr">
        <is>
          <t>cmm55w57p0004cuisfrtpqly8</t>
        </is>
      </c>
      <c r="H1289" t="inlineStr">
        <is>
          <t>Beslutsvillkor</t>
        </is>
      </c>
      <c r="I1289" t="inlineStr">
        <is>
          <t>DagvattenLakvatten</t>
        </is>
      </c>
      <c r="J1289" t="inlineStr">
        <is>
          <t>Uppsamling</t>
        </is>
      </c>
      <c r="K1289" t="inlineStr">
        <is>
          <t>Dagvattenbrunnarna ska skötas enligt tillverkarens instruktioner och utrustning för att kunna täta brunnar ska finnas på plats.</t>
        </is>
      </c>
      <c r="L1289" t="inlineStr">
        <is>
          <t>Dagvattenbrunnarna ska skötas enligt tillverkarens instruktioner och utrustning för att kunna täta brunnar ska finnas på plats.</t>
        </is>
      </c>
      <c r="M1289" t="inlineStr">
        <is>
          <t>SKA</t>
        </is>
      </c>
      <c r="N1289" t="inlineStr">
        <is>
          <t>FMH</t>
        </is>
      </c>
      <c r="O1289" t="inlineStr"/>
      <c r="P1289" t="inlineStr"/>
      <c r="Q1289" t="inlineStr"/>
      <c r="R1289" t="inlineStr">
        <is>
          <t>Vid nederbord och avrinning</t>
        </is>
      </c>
      <c r="S1289" t="inlineStr"/>
      <c r="T1289" t="inlineStr">
        <is>
          <t>212000</t>
        </is>
      </c>
      <c r="U1289" t="inlineStr"/>
      <c r="V1289" t="inlineStr"/>
      <c r="W1289" t="inlineStr">
        <is>
          <t>Nej</t>
        </is>
      </c>
      <c r="X1289" t="inlineStr">
        <is>
          <t>Ja</t>
        </is>
      </c>
      <c r="Y1289" t="inlineStr">
        <is>
          <t>Ja</t>
        </is>
      </c>
      <c r="Z1289" t="inlineStr">
        <is>
          <t>Nej</t>
        </is>
      </c>
      <c r="AA1289" t="n">
        <v>6</v>
      </c>
      <c r="AB1289" t="inlineStr">
        <is>
          <t>Lakvattenhantering</t>
        </is>
      </c>
      <c r="AC1289" t="inlineStr">
        <is>
          <t>Flodesschema dagvatten-lakvatten</t>
        </is>
      </c>
      <c r="AD1289" t="inlineStr">
        <is>
          <t>Nej</t>
        </is>
      </c>
      <c r="AE1289" t="inlineStr">
        <is>
          <t>Nej</t>
        </is>
      </c>
      <c r="AF1289" t="inlineStr">
        <is>
          <t>Ej behandlad</t>
        </is>
      </c>
      <c r="AG1289" t="inlineStr">
        <is>
          <t>AUTO_GENERERAD. Verifiera citat mot kallfil.</t>
        </is>
      </c>
      <c r="AH1289" t="inlineStr">
        <is>
          <t>HIGH</t>
        </is>
      </c>
      <c r="AI1289" t="inlineStr">
        <is>
          <t>AUTO</t>
        </is>
      </c>
      <c r="AJ1289" t="inlineStr">
        <is>
          <t>Nej</t>
        </is>
      </c>
      <c r="AK1289" t="inlineStr"/>
      <c r="AL1289" t="inlineStr"/>
      <c r="AM1289" t="inlineStr"/>
      <c r="AN1289" t="inlineStr"/>
      <c r="AO1289" t="inlineStr">
        <is>
          <t>cmm4yup8m02d8cuqw8v4usph0</t>
        </is>
      </c>
      <c r="AP1289" t="inlineStr">
        <is>
          <t>http://localhost:8787/api/admin/requirements/documents/cmm4yup8m02d8cuqw8v4usph0/view</t>
        </is>
      </c>
      <c r="AQ1289">
        <f>HYPERLÄNK("http://localhost:8787/api/admin/requirements/documents/cmm4yup8m02d8cuqw8v4usph0/view";"Öppna PDF")</f>
        <v/>
      </c>
      <c r="AR1289">
        <f>HYPERLINK("http://localhost:8787/api/admin/requirements/documents/cmm4yup8m02d8cuqw8v4usph0/view","Open PDF")</f>
        <v/>
      </c>
      <c r="AS1289" t="inlineStr">
        <is>
          <t>cmm55w57p0004cuisfrtpqly8</t>
        </is>
      </c>
      <c r="AT1289" t="inlineStr">
        <is>
          <t>cmm4xvu980000cuh4vj0usz09</t>
        </is>
      </c>
      <c r="AU1289" t="inlineStr">
        <is>
          <t>org nr Söderköpings</t>
        </is>
      </c>
      <c r="AV1289" t="inlineStr">
        <is>
          <t>Kommun</t>
        </is>
      </c>
      <c r="AW1289" t="inlineStr">
        <is>
          <t>org nr Söderköpings kommun</t>
        </is>
      </c>
      <c r="AX1289" t="inlineStr">
        <is>
          <t>2024-03</t>
        </is>
      </c>
      <c r="AY1289" t="inlineStr">
        <is>
          <t>Beslut</t>
        </is>
      </c>
      <c r="AZ1289" t="inlineStr">
        <is>
          <t>2026-02-03</t>
        </is>
      </c>
      <c r="BA1289" t="inlineStr">
        <is>
          <t>SBF-2024-273_2024-03-25_Beslut Miljöfarlig verksamhet.pdf</t>
        </is>
      </c>
      <c r="BB1289" t="inlineStr">
        <is>
          <t>SV: till registrator</t>
        </is>
      </c>
      <c r="BC1289" t="inlineStr">
        <is>
          <t>AUTO</t>
        </is>
      </c>
      <c r="BD1289" t="inlineStr"/>
      <c r="BE1289" t="inlineStr"/>
      <c r="BF1289" t="inlineStr">
        <is>
          <t>AUTO_GENERERAD. Bekrafta metadata mot kallfil.</t>
        </is>
      </c>
      <c r="BG1289">
        <f>HYPERLINK("C:\Users\jimmy\Desktop\Examens arbete\Kod\Ny mapp\remix_-copy-of-miljöbeslut.se-portal\SBF-2024-273_2024-03-25_Beslut Miljöfarlig verksamhet.pdf", "Öppna PDF")</f>
        <v/>
      </c>
    </row>
    <row r="1290">
      <c r="A1290" t="inlineStr">
        <is>
          <t>KRAV-AUTO-001289</t>
        </is>
      </c>
      <c r="B1290" t="inlineStr">
        <is>
          <t>ADMIN-INDEX-2026-02-27-00000000125C043F57453246863FE664CAFE6A3F0700950291EA24F0614FB6ACEDB12BF0E31D00000000010C0000950291EA24F0614FB6ACEDB12BF0E31D00002087AE990000</t>
        </is>
      </c>
      <c r="C1290" t="inlineStr">
        <is>
          <t>cmm4yup8502cqcuqwiwmbixv7</t>
        </is>
      </c>
      <c r="D1290" t="inlineStr">
        <is>
          <t>http://localhost:8787/api/admin/requirements/documents/cmm4yup8502cqcuqwiwmbixv7/view</t>
        </is>
      </c>
      <c r="E1290">
        <f>HYPERLÄNK("http://localhost:8787/api/admin/requirements/documents/cmm4yup8502cqcuqwiwmbixv7/view";"Öppna PDF")</f>
        <v/>
      </c>
      <c r="F1290">
        <f>HYPERLINK("http://localhost:8787/api/admin/requirements/documents/cmm4yup8502cqcuqwiwmbixv7/view","Open PDF")</f>
        <v/>
      </c>
      <c r="G1290" t="inlineStr">
        <is>
          <t>cmm55w57p0004cuisfrtpqly8</t>
        </is>
      </c>
      <c r="H1290" t="inlineStr">
        <is>
          <t>Beslutsvillkor</t>
        </is>
      </c>
      <c r="I1290" t="inlineStr">
        <is>
          <t>DagvattenLakvatten</t>
        </is>
      </c>
      <c r="J1290" t="inlineStr">
        <is>
          <t>Uppsamling</t>
        </is>
      </c>
      <c r="K1290" t="inlineStr">
        <is>
          <t>I egenkontrollprogrammet ska rutiner för regelbunden kontroll av dagvattenhanteringens syfte och funktion finnas.</t>
        </is>
      </c>
      <c r="L1290" t="inlineStr">
        <is>
          <t>I egenkontrollprogrammet ska rutiner för regelbunden kontroll av dagvattenhanteringens syfte och funktion finnas.</t>
        </is>
      </c>
      <c r="M1290" t="inlineStr">
        <is>
          <t>SKA</t>
        </is>
      </c>
      <c r="N1290" t="inlineStr">
        <is>
          <t>FMH</t>
        </is>
      </c>
      <c r="O1290" t="inlineStr"/>
      <c r="P1290" t="inlineStr"/>
      <c r="Q1290" t="inlineStr"/>
      <c r="R1290" t="inlineStr">
        <is>
          <t>Vid nederbord och avrinning</t>
        </is>
      </c>
      <c r="S1290" t="inlineStr"/>
      <c r="T1290" t="inlineStr">
        <is>
          <t>212000</t>
        </is>
      </c>
      <c r="U1290" t="inlineStr"/>
      <c r="V1290" t="inlineStr"/>
      <c r="W1290" t="inlineStr">
        <is>
          <t>Nej</t>
        </is>
      </c>
      <c r="X1290" t="inlineStr">
        <is>
          <t>Ja</t>
        </is>
      </c>
      <c r="Y1290" t="inlineStr">
        <is>
          <t>Ja</t>
        </is>
      </c>
      <c r="Z1290" t="inlineStr">
        <is>
          <t>Nej</t>
        </is>
      </c>
      <c r="AA1290" t="n">
        <v>6</v>
      </c>
      <c r="AB1290" t="inlineStr">
        <is>
          <t>Lakvattenhantering</t>
        </is>
      </c>
      <c r="AC1290" t="inlineStr">
        <is>
          <t>Flodesschema dagvatten-lakvatten</t>
        </is>
      </c>
      <c r="AD1290" t="inlineStr">
        <is>
          <t>Nej</t>
        </is>
      </c>
      <c r="AE1290" t="inlineStr">
        <is>
          <t>Nej</t>
        </is>
      </c>
      <c r="AF1290" t="inlineStr">
        <is>
          <t>Ej behandlad</t>
        </is>
      </c>
      <c r="AG1290" t="inlineStr">
        <is>
          <t>AUTO_GENERERAD. Verifiera citat mot kallfil.</t>
        </is>
      </c>
      <c r="AH1290" t="inlineStr">
        <is>
          <t>HIGH</t>
        </is>
      </c>
      <c r="AI1290" t="inlineStr">
        <is>
          <t>AUTO</t>
        </is>
      </c>
      <c r="AJ1290" t="inlineStr">
        <is>
          <t>Nej</t>
        </is>
      </c>
      <c r="AK1290" t="inlineStr"/>
      <c r="AL1290" t="inlineStr"/>
      <c r="AM1290" t="inlineStr"/>
      <c r="AN1290" t="inlineStr"/>
      <c r="AO1290" t="inlineStr">
        <is>
          <t>cmm4yup8m02d8cuqw8v4usph0</t>
        </is>
      </c>
      <c r="AP1290" t="inlineStr">
        <is>
          <t>http://localhost:8787/api/admin/requirements/documents/cmm4yup8m02d8cuqw8v4usph0/view</t>
        </is>
      </c>
      <c r="AQ1290">
        <f>HYPERLÄNK("http://localhost:8787/api/admin/requirements/documents/cmm4yup8m02d8cuqw8v4usph0/view";"Öppna PDF")</f>
        <v/>
      </c>
      <c r="AR1290">
        <f>HYPERLINK("http://localhost:8787/api/admin/requirements/documents/cmm4yup8m02d8cuqw8v4usph0/view","Open PDF")</f>
        <v/>
      </c>
      <c r="AS1290" t="inlineStr">
        <is>
          <t>cmm55w57p0004cuisfrtpqly8</t>
        </is>
      </c>
      <c r="AT1290" t="inlineStr">
        <is>
          <t>cmm4xvu980000cuh4vj0usz09</t>
        </is>
      </c>
      <c r="AU1290" t="inlineStr">
        <is>
          <t>org nr Söderköpings</t>
        </is>
      </c>
      <c r="AV1290" t="inlineStr">
        <is>
          <t>Kommun</t>
        </is>
      </c>
      <c r="AW1290" t="inlineStr">
        <is>
          <t>org nr Söderköpings kommun</t>
        </is>
      </c>
      <c r="AX1290" t="inlineStr">
        <is>
          <t>2024-03</t>
        </is>
      </c>
      <c r="AY1290" t="inlineStr">
        <is>
          <t>Beslut</t>
        </is>
      </c>
      <c r="AZ1290" t="inlineStr">
        <is>
          <t>2026-02-03</t>
        </is>
      </c>
      <c r="BA1290" t="inlineStr">
        <is>
          <t>SBF-2024-273_2024-03-25_Beslut Miljöfarlig verksamhet.pdf</t>
        </is>
      </c>
      <c r="BB1290" t="inlineStr">
        <is>
          <t>SV: till registrator</t>
        </is>
      </c>
      <c r="BC1290" t="inlineStr">
        <is>
          <t>AUTO</t>
        </is>
      </c>
      <c r="BD1290" t="inlineStr"/>
      <c r="BE1290" t="inlineStr"/>
      <c r="BF1290" t="inlineStr">
        <is>
          <t>AUTO_GENERERAD. Bekrafta metadata mot kallfil.</t>
        </is>
      </c>
      <c r="BG1290">
        <f>HYPERLINK("C:\Users\jimmy\Desktop\Examens arbete\Kod\Ny mapp\remix_-copy-of-miljöbeslut.se-portal\SBF-2024-273_2024-03-25_Beslut Miljöfarlig verksamhet.pdf", "Öppna PDF")</f>
        <v/>
      </c>
    </row>
    <row r="1291">
      <c r="A1291" t="inlineStr">
        <is>
          <t>KRAV-AUTO-001290</t>
        </is>
      </c>
      <c r="B1291" t="inlineStr">
        <is>
          <t>ADMIN-INDEX-2026-02-27-00000000125C043F57453246863FE664CAFE6A3F0700950291EA24F0614FB6ACEDB12BF0E31D00000000010C0000950291EA24F0614FB6ACEDB12BF0E31D00002087AE990000</t>
        </is>
      </c>
      <c r="C1291" t="inlineStr">
        <is>
          <t>cmm4yup8502cqcuqwiwmbixv7</t>
        </is>
      </c>
      <c r="D1291" t="inlineStr">
        <is>
          <t>http://localhost:8787/api/admin/requirements/documents/cmm4yup8502cqcuqwiwmbixv7/view</t>
        </is>
      </c>
      <c r="E1291">
        <f>HYPERLÄNK("http://localhost:8787/api/admin/requirements/documents/cmm4yup8502cqcuqwiwmbixv7/view";"Öppna PDF")</f>
        <v/>
      </c>
      <c r="F1291">
        <f>HYPERLINK("http://localhost:8787/api/admin/requirements/documents/cmm4yup8502cqcuqwiwmbixv7/view","Open PDF")</f>
        <v/>
      </c>
      <c r="G1291" t="inlineStr">
        <is>
          <t>cmm55w57p0004cuisfrtpqly8</t>
        </is>
      </c>
      <c r="H1291" t="inlineStr">
        <is>
          <t>Beslutsvillkor</t>
        </is>
      </c>
      <c r="I1291" t="inlineStr">
        <is>
          <t>MiljopaverkanForsiktighet</t>
        </is>
      </c>
      <c r="J1291" t="inlineStr">
        <is>
          <t>Skyddsatgarder</t>
        </is>
      </c>
      <c r="K1291" t="inlineStr">
        <is>
          <t>Hanteringen av matavfall skall ske i fack med skyddande sidor och tak som förhindrar skadedjur.</t>
        </is>
      </c>
      <c r="L1291" t="inlineStr">
        <is>
          <t>Hanteringen av matavfall skall ske i fack med skyddande sidor och tak som förhindrar skadedjur.</t>
        </is>
      </c>
      <c r="M1291" t="inlineStr">
        <is>
          <t>SKA</t>
        </is>
      </c>
      <c r="N1291" t="inlineStr">
        <is>
          <t>FMH</t>
        </is>
      </c>
      <c r="O1291" t="inlineStr"/>
      <c r="P1291" t="inlineStr"/>
      <c r="Q1291" t="inlineStr"/>
      <c r="R1291" t="inlineStr">
        <is>
          <t>Alltid</t>
        </is>
      </c>
      <c r="S1291" t="inlineStr"/>
      <c r="T1291" t="inlineStr">
        <is>
          <t>212000</t>
        </is>
      </c>
      <c r="U1291" t="inlineStr"/>
      <c r="V1291" t="inlineStr"/>
      <c r="W1291" t="inlineStr">
        <is>
          <t>Nej</t>
        </is>
      </c>
      <c r="X1291" t="inlineStr">
        <is>
          <t>Nej</t>
        </is>
      </c>
      <c r="Y1291" t="inlineStr">
        <is>
          <t>Nej</t>
        </is>
      </c>
      <c r="Z1291" t="inlineStr">
        <is>
          <t>Nej</t>
        </is>
      </c>
      <c r="AA1291" t="n">
        <v>10</v>
      </c>
      <c r="AB1291" t="inlineStr">
        <is>
          <t>Miljopaverkan och forsiktighetsmatt</t>
        </is>
      </c>
      <c r="AC1291" t="inlineStr">
        <is>
          <t>Miljo-PM</t>
        </is>
      </c>
      <c r="AD1291" t="inlineStr">
        <is>
          <t>Nej</t>
        </is>
      </c>
      <c r="AE1291" t="inlineStr">
        <is>
          <t>Nej</t>
        </is>
      </c>
      <c r="AF1291" t="inlineStr">
        <is>
          <t>Ej behandlad</t>
        </is>
      </c>
      <c r="AG1291" t="inlineStr">
        <is>
          <t>AUTO_GENERERAD. Verifiera citat mot kallfil.</t>
        </is>
      </c>
      <c r="AH1291" t="inlineStr">
        <is>
          <t>HIGH</t>
        </is>
      </c>
      <c r="AI1291" t="inlineStr">
        <is>
          <t>AUTO</t>
        </is>
      </c>
      <c r="AJ1291" t="inlineStr">
        <is>
          <t>Nej</t>
        </is>
      </c>
      <c r="AK1291" t="inlineStr"/>
      <c r="AL1291" t="inlineStr"/>
      <c r="AM1291" t="inlineStr"/>
      <c r="AN1291" t="inlineStr"/>
      <c r="AO1291" t="inlineStr">
        <is>
          <t>cmm4yup8m02d8cuqw8v4usph0</t>
        </is>
      </c>
      <c r="AP1291" t="inlineStr">
        <is>
          <t>http://localhost:8787/api/admin/requirements/documents/cmm4yup8m02d8cuqw8v4usph0/view</t>
        </is>
      </c>
      <c r="AQ1291">
        <f>HYPERLÄNK("http://localhost:8787/api/admin/requirements/documents/cmm4yup8m02d8cuqw8v4usph0/view";"Öppna PDF")</f>
        <v/>
      </c>
      <c r="AR1291">
        <f>HYPERLINK("http://localhost:8787/api/admin/requirements/documents/cmm4yup8m02d8cuqw8v4usph0/view","Open PDF")</f>
        <v/>
      </c>
      <c r="AS1291" t="inlineStr">
        <is>
          <t>cmm55w57p0004cuisfrtpqly8</t>
        </is>
      </c>
      <c r="AT1291" t="inlineStr">
        <is>
          <t>cmm4xvu980000cuh4vj0usz09</t>
        </is>
      </c>
      <c r="AU1291" t="inlineStr">
        <is>
          <t>org nr Söderköpings</t>
        </is>
      </c>
      <c r="AV1291" t="inlineStr">
        <is>
          <t>Kommun</t>
        </is>
      </c>
      <c r="AW1291" t="inlineStr">
        <is>
          <t>org nr Söderköpings kommun</t>
        </is>
      </c>
      <c r="AX1291" t="inlineStr">
        <is>
          <t>2024-03</t>
        </is>
      </c>
      <c r="AY1291" t="inlineStr">
        <is>
          <t>Beslut</t>
        </is>
      </c>
      <c r="AZ1291" t="inlineStr">
        <is>
          <t>2026-02-03</t>
        </is>
      </c>
      <c r="BA1291" t="inlineStr">
        <is>
          <t>SBF-2024-273_2024-03-25_Beslut Miljöfarlig verksamhet.pdf</t>
        </is>
      </c>
      <c r="BB1291" t="inlineStr">
        <is>
          <t>SV: till registrator</t>
        </is>
      </c>
      <c r="BC1291" t="inlineStr">
        <is>
          <t>AUTO</t>
        </is>
      </c>
      <c r="BD1291" t="inlineStr"/>
      <c r="BE1291" t="inlineStr"/>
      <c r="BF1291" t="inlineStr">
        <is>
          <t>AUTO_GENERERAD. Bekrafta metadata mot kallfil.</t>
        </is>
      </c>
      <c r="BG1291">
        <f>HYPERLINK("C:\Users\jimmy\Desktop\Examens arbete\Kod\Ny mapp\remix_-copy-of-miljöbeslut.se-portal\SBF-2024-273_2024-03-25_Beslut Miljöfarlig verksamhet.pdf", "Öppna PDF")</f>
        <v/>
      </c>
    </row>
    <row r="1292">
      <c r="A1292" t="inlineStr">
        <is>
          <t>KRAV-AUTO-001291</t>
        </is>
      </c>
      <c r="B1292" t="inlineStr">
        <is>
          <t>ADMIN-INDEX-2026-02-27-00000000125C043F57453246863FE664CAFE6A3F0700950291EA24F0614FB6ACEDB12BF0E31D00000000010C0000950291EA24F0614FB6ACEDB12BF0E31D00002087AE990000</t>
        </is>
      </c>
      <c r="C1292" t="inlineStr">
        <is>
          <t>cmm4yup8502cqcuqwiwmbixv7</t>
        </is>
      </c>
      <c r="D1292" t="inlineStr">
        <is>
          <t>http://localhost:8787/api/admin/requirements/documents/cmm4yup8502cqcuqwiwmbixv7/view</t>
        </is>
      </c>
      <c r="E1292">
        <f>HYPERLÄNK("http://localhost:8787/api/admin/requirements/documents/cmm4yup8502cqcuqwiwmbixv7/view";"Öppna PDF")</f>
        <v/>
      </c>
      <c r="F1292">
        <f>HYPERLINK("http://localhost:8787/api/admin/requirements/documents/cmm4yup8502cqcuqwiwmbixv7/view","Open PDF")</f>
        <v/>
      </c>
      <c r="G1292" t="inlineStr">
        <is>
          <t>cmm55w57p0004cuisfrtpqly8</t>
        </is>
      </c>
      <c r="H1292" t="inlineStr">
        <is>
          <t>Beslutsvillkor</t>
        </is>
      </c>
      <c r="I1292" t="inlineStr">
        <is>
          <t>DriftEgenkontroll</t>
        </is>
      </c>
      <c r="J1292" t="inlineStr">
        <is>
          <t>Journalforing</t>
        </is>
      </c>
      <c r="K1292" t="inlineStr">
        <is>
          <t>Avfall som omlastats ska klassificeras journalföras.</t>
        </is>
      </c>
      <c r="L1292" t="inlineStr">
        <is>
          <t>Avfall som omlastats ska klassificeras journalföras.</t>
        </is>
      </c>
      <c r="M1292" t="inlineStr">
        <is>
          <t>SKA</t>
        </is>
      </c>
      <c r="N1292" t="inlineStr">
        <is>
          <t>FMH</t>
        </is>
      </c>
      <c r="O1292" t="inlineStr"/>
      <c r="P1292" t="inlineStr"/>
      <c r="Q1292" t="inlineStr"/>
      <c r="R1292" t="inlineStr">
        <is>
          <t>Lopande drift</t>
        </is>
      </c>
      <c r="S1292" t="inlineStr"/>
      <c r="T1292" t="inlineStr">
        <is>
          <t>212000</t>
        </is>
      </c>
      <c r="U1292" t="inlineStr"/>
      <c r="V1292" t="inlineStr"/>
      <c r="W1292" t="inlineStr">
        <is>
          <t>Nej</t>
        </is>
      </c>
      <c r="X1292" t="inlineStr">
        <is>
          <t>Nej</t>
        </is>
      </c>
      <c r="Y1292" t="inlineStr">
        <is>
          <t>Ja</t>
        </is>
      </c>
      <c r="Z1292" t="inlineStr">
        <is>
          <t>Nej</t>
        </is>
      </c>
      <c r="AA1292" t="n">
        <v>7</v>
      </c>
      <c r="AB1292" t="inlineStr">
        <is>
          <t>Egenkontrollrutiner</t>
        </is>
      </c>
      <c r="AC1292" t="inlineStr">
        <is>
          <t>Egenkontrollprogram</t>
        </is>
      </c>
      <c r="AD1292" t="inlineStr">
        <is>
          <t>Nej</t>
        </is>
      </c>
      <c r="AE1292" t="inlineStr">
        <is>
          <t>Nej</t>
        </is>
      </c>
      <c r="AF1292" t="inlineStr">
        <is>
          <t>Ej behandlad</t>
        </is>
      </c>
      <c r="AG1292" t="inlineStr">
        <is>
          <t>AUTO_GENERERAD. Verifiera citat mot kallfil.</t>
        </is>
      </c>
      <c r="AH1292" t="inlineStr">
        <is>
          <t>HIGH</t>
        </is>
      </c>
      <c r="AI1292" t="inlineStr">
        <is>
          <t>AUTO</t>
        </is>
      </c>
      <c r="AJ1292" t="inlineStr">
        <is>
          <t>Nej</t>
        </is>
      </c>
      <c r="AK1292" t="inlineStr"/>
      <c r="AL1292" t="inlineStr"/>
      <c r="AM1292" t="inlineStr"/>
      <c r="AN1292" t="inlineStr"/>
      <c r="AO1292" t="inlineStr">
        <is>
          <t>cmm4yup8m02d8cuqw8v4usph0</t>
        </is>
      </c>
      <c r="AP1292" t="inlineStr">
        <is>
          <t>http://localhost:8787/api/admin/requirements/documents/cmm4yup8m02d8cuqw8v4usph0/view</t>
        </is>
      </c>
      <c r="AQ1292">
        <f>HYPERLÄNK("http://localhost:8787/api/admin/requirements/documents/cmm4yup8m02d8cuqw8v4usph0/view";"Öppna PDF")</f>
        <v/>
      </c>
      <c r="AR1292">
        <f>HYPERLINK("http://localhost:8787/api/admin/requirements/documents/cmm4yup8m02d8cuqw8v4usph0/view","Open PDF")</f>
        <v/>
      </c>
      <c r="AS1292" t="inlineStr">
        <is>
          <t>cmm55w57p0004cuisfrtpqly8</t>
        </is>
      </c>
      <c r="AT1292" t="inlineStr">
        <is>
          <t>cmm4xvu980000cuh4vj0usz09</t>
        </is>
      </c>
      <c r="AU1292" t="inlineStr">
        <is>
          <t>org nr Söderköpings</t>
        </is>
      </c>
      <c r="AV1292" t="inlineStr">
        <is>
          <t>Kommun</t>
        </is>
      </c>
      <c r="AW1292" t="inlineStr">
        <is>
          <t>org nr Söderköpings kommun</t>
        </is>
      </c>
      <c r="AX1292" t="inlineStr">
        <is>
          <t>2024-03</t>
        </is>
      </c>
      <c r="AY1292" t="inlineStr">
        <is>
          <t>Beslut</t>
        </is>
      </c>
      <c r="AZ1292" t="inlineStr">
        <is>
          <t>2026-02-03</t>
        </is>
      </c>
      <c r="BA1292" t="inlineStr">
        <is>
          <t>SBF-2024-273_2024-03-25_Beslut Miljöfarlig verksamhet.pdf</t>
        </is>
      </c>
      <c r="BB1292" t="inlineStr">
        <is>
          <t>SV: till registrator</t>
        </is>
      </c>
      <c r="BC1292" t="inlineStr">
        <is>
          <t>AUTO</t>
        </is>
      </c>
      <c r="BD1292" t="inlineStr"/>
      <c r="BE1292" t="inlineStr"/>
      <c r="BF1292" t="inlineStr">
        <is>
          <t>AUTO_GENERERAD. Bekrafta metadata mot kallfil.</t>
        </is>
      </c>
      <c r="BG1292">
        <f>HYPERLINK("C:\Users\jimmy\Desktop\Examens arbete\Kod\Ny mapp\remix_-copy-of-miljöbeslut.se-portal\SBF-2024-273_2024-03-25_Beslut Miljöfarlig verksamhet.pdf", "Öppna PDF")</f>
        <v/>
      </c>
    </row>
    <row r="1293">
      <c r="A1293" t="inlineStr">
        <is>
          <t>KRAV-AUTO-001292</t>
        </is>
      </c>
      <c r="B1293" t="inlineStr">
        <is>
          <t>ADMIN-INDEX-2026-02-27-00000000125C043F57453246863FE664CAFE6A3F0700950291EA24F0614FB6ACEDB12BF0E31D00000000010C0000950291EA24F0614FB6ACEDB12BF0E31D00002087AE990000</t>
        </is>
      </c>
      <c r="C1293" t="inlineStr">
        <is>
          <t>cmm4yup7y02ckcuqwwg4ekuuf</t>
        </is>
      </c>
      <c r="D1293" t="inlineStr">
        <is>
          <t>http://localhost:8787/api/admin/requirements/documents/cmm4yup7y02ckcuqwwg4ekuuf/view</t>
        </is>
      </c>
      <c r="E1293">
        <f>HYPERLÄNK("http://localhost:8787/api/admin/requirements/documents/cmm4yup7y02ckcuqwwg4ekuuf/view";"Öppna PDF")</f>
        <v/>
      </c>
      <c r="F1293">
        <f>HYPERLINK("http://localhost:8787/api/admin/requirements/documents/cmm4yup7y02ckcuqwwg4ekuuf/view","Open PDF")</f>
        <v/>
      </c>
      <c r="G1293" t="inlineStr">
        <is>
          <t>cmm55w57p0004cuisfrtpqly8</t>
        </is>
      </c>
      <c r="H1293" t="inlineStr">
        <is>
          <t>Informationskrav</t>
        </is>
      </c>
      <c r="I1293" t="inlineStr">
        <is>
          <t>DagvattenLakvatten</t>
        </is>
      </c>
      <c r="J1293" t="inlineStr">
        <is>
          <t>Uppsamling</t>
        </is>
      </c>
      <c r="K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293" t="inlineStr">
        <is>
          <t>SKA</t>
        </is>
      </c>
      <c r="N1293" t="inlineStr">
        <is>
          <t>FMH</t>
        </is>
      </c>
      <c r="O1293" t="inlineStr">
        <is>
          <t>2024-02-08</t>
        </is>
      </c>
      <c r="P1293" t="inlineStr"/>
      <c r="Q1293" t="inlineStr"/>
      <c r="R1293" t="inlineStr">
        <is>
          <t>Vid nederbord och avrinning</t>
        </is>
      </c>
      <c r="S1293" t="inlineStr"/>
      <c r="T1293" t="inlineStr">
        <is>
          <t>460076</t>
        </is>
      </c>
      <c r="U1293" t="inlineStr"/>
      <c r="V1293" t="inlineStr"/>
      <c r="W1293" t="inlineStr">
        <is>
          <t>Nej</t>
        </is>
      </c>
      <c r="X1293" t="inlineStr">
        <is>
          <t>Ja</t>
        </is>
      </c>
      <c r="Y1293" t="inlineStr">
        <is>
          <t>Ja</t>
        </is>
      </c>
      <c r="Z1293" t="inlineStr">
        <is>
          <t>Nej</t>
        </is>
      </c>
      <c r="AA1293" t="n">
        <v>6</v>
      </c>
      <c r="AB1293" t="inlineStr">
        <is>
          <t>Lakvattenhantering</t>
        </is>
      </c>
      <c r="AC1293" t="inlineStr">
        <is>
          <t>Flodesschema dagvatten-lakvatten</t>
        </is>
      </c>
      <c r="AD1293" t="inlineStr">
        <is>
          <t>Nej</t>
        </is>
      </c>
      <c r="AE1293" t="inlineStr">
        <is>
          <t>Nej</t>
        </is>
      </c>
      <c r="AF1293" t="inlineStr">
        <is>
          <t>Ej behandlad</t>
        </is>
      </c>
      <c r="AG1293" t="inlineStr">
        <is>
          <t>AUTO_GENERERAD. Verifiera citat mot kallfil.</t>
        </is>
      </c>
      <c r="AH1293" t="inlineStr">
        <is>
          <t>MEDIUM</t>
        </is>
      </c>
      <c r="AI1293" t="inlineStr">
        <is>
          <t>AUTO</t>
        </is>
      </c>
      <c r="AJ1293" t="inlineStr">
        <is>
          <t>Nej</t>
        </is>
      </c>
      <c r="AK1293" t="inlineStr"/>
      <c r="AL1293" t="inlineStr"/>
      <c r="AM1293" t="inlineStr"/>
      <c r="AN1293" t="inlineStr"/>
      <c r="AO1293" t="inlineStr">
        <is>
          <t>cmm4yup8m02d8cuqw8v4usph0</t>
        </is>
      </c>
      <c r="AP1293" t="inlineStr">
        <is>
          <t>http://localhost:8787/api/admin/requirements/documents/cmm4yup8m02d8cuqw8v4usph0/view</t>
        </is>
      </c>
      <c r="AQ1293">
        <f>HYPERLÄNK("http://localhost:8787/api/admin/requirements/documents/cmm4yup8m02d8cuqw8v4usph0/view";"Öppna PDF")</f>
        <v/>
      </c>
      <c r="AR1293">
        <f>HYPERLINK("http://localhost:8787/api/admin/requirements/documents/cmm4yup8m02d8cuqw8v4usph0/view","Open PDF")</f>
        <v/>
      </c>
      <c r="AS1293" t="inlineStr">
        <is>
          <t>cmm55w57p0004cuisfrtpqly8</t>
        </is>
      </c>
      <c r="AT1293" t="inlineStr">
        <is>
          <t>cmm4xvu980000cuh4vj0usz09</t>
        </is>
      </c>
      <c r="AU1293" t="inlineStr">
        <is>
          <t>org nr Söderköpings</t>
        </is>
      </c>
      <c r="AV1293" t="inlineStr">
        <is>
          <t>Kommun</t>
        </is>
      </c>
      <c r="AW1293" t="inlineStr">
        <is>
          <t>org nr Söderköpings kommun</t>
        </is>
      </c>
      <c r="AX1293" t="inlineStr">
        <is>
          <t>2024-03</t>
        </is>
      </c>
      <c r="AY1293" t="inlineStr">
        <is>
          <t>Beslut</t>
        </is>
      </c>
      <c r="AZ1293" t="inlineStr">
        <is>
          <t>2026-02-03</t>
        </is>
      </c>
      <c r="BA1293" t="inlineStr">
        <is>
          <t>SBF-2024-273_2024-03-25_Beslut Miljöfarlig verksamhet.pdf</t>
        </is>
      </c>
      <c r="BB1293" t="inlineStr">
        <is>
          <t>SV: till registrator</t>
        </is>
      </c>
      <c r="BC1293" t="inlineStr">
        <is>
          <t>AUTO</t>
        </is>
      </c>
      <c r="BD1293" t="inlineStr"/>
      <c r="BE1293" t="inlineStr"/>
      <c r="BF1293" t="inlineStr">
        <is>
          <t>AUTO_GENERERAD. Bekrafta metadata mot kallfil.</t>
        </is>
      </c>
      <c r="BG1293">
        <f>HYPERLINK("C:\Users\jimmy\Desktop\Examens arbete\Kod\Ny mapp\remix_-copy-of-miljöbeslut.se-portal\SBF-2024-273_2024-03-25_Beslut Miljöfarlig verksamhet.pdf", "Öppna PDF")</f>
        <v/>
      </c>
    </row>
    <row r="1294">
      <c r="A1294" t="inlineStr">
        <is>
          <t>KRAV-AUTO-001293</t>
        </is>
      </c>
      <c r="B1294" t="inlineStr">
        <is>
          <t>ADMIN-INDEX-2026-02-27-00000000125C043F57453246863FE664CAFE6A3F0700950291EA24F0614FB6ACEDB12BF0E31D00000000010C0000950291EA24F0614FB6ACEDB12BF0E31D00002087AE9A0000</t>
        </is>
      </c>
      <c r="C1294" t="inlineStr">
        <is>
          <t>cmm4yup7h02c2cuqwyq79ps8k</t>
        </is>
      </c>
      <c r="D1294" t="inlineStr">
        <is>
          <t>http://localhost:8787/api/admin/requirements/documents/cmm4yup7h02c2cuqwyq79ps8k/view</t>
        </is>
      </c>
      <c r="E1294">
        <f>HYPERLÄNK("http://localhost:8787/api/admin/requirements/documents/cmm4yup7h02c2cuqwyq79ps8k/view";"Öppna PDF")</f>
        <v/>
      </c>
      <c r="F1294">
        <f>HYPERLINK("http://localhost:8787/api/admin/requirements/documents/cmm4yup7h02c2cuqwyq79ps8k/view","Open PDF")</f>
        <v/>
      </c>
      <c r="G1294" t="inlineStr">
        <is>
          <t>cmm55w57p0004cuisfrtpqly8</t>
        </is>
      </c>
      <c r="H1294" t="inlineStr">
        <is>
          <t>Beslutsvillkor</t>
        </is>
      </c>
      <c r="I1294" t="inlineStr">
        <is>
          <t>Ytkonstruktion</t>
        </is>
      </c>
      <c r="J1294" t="inlineStr">
        <is>
          <t>Tat yta</t>
        </is>
      </c>
      <c r="K1294" t="inlineStr">
        <is>
          <t>Flytande kemikalier och flytande farligt avfall ska förvaras skyddat från nederbörd och inom invallning.</t>
        </is>
      </c>
      <c r="L1294" t="inlineStr">
        <is>
          <t>Flytande kemikalier och flytande farligt avfall ska förvaras skyddat från nederbörd och inom invallning.</t>
        </is>
      </c>
      <c r="M1294" t="inlineStr">
        <is>
          <t>SKA</t>
        </is>
      </c>
      <c r="N1294" t="inlineStr">
        <is>
          <t>FMH</t>
        </is>
      </c>
      <c r="O1294" t="inlineStr"/>
      <c r="P1294" t="inlineStr">
        <is>
          <t>Arlig</t>
        </is>
      </c>
      <c r="Q1294" t="inlineStr"/>
      <c r="R1294" t="inlineStr">
        <is>
          <t>Vid mellanlagring av avfall</t>
        </is>
      </c>
      <c r="S1294" t="inlineStr"/>
      <c r="T1294" t="inlineStr">
        <is>
          <t>212000</t>
        </is>
      </c>
      <c r="U1294" t="inlineStr"/>
      <c r="V1294" t="inlineStr"/>
      <c r="W1294" t="inlineStr">
        <is>
          <t>Ja</t>
        </is>
      </c>
      <c r="X1294" t="inlineStr">
        <is>
          <t>Nej</t>
        </is>
      </c>
      <c r="Y1294" t="inlineStr">
        <is>
          <t>Nej</t>
        </is>
      </c>
      <c r="Z1294" t="inlineStr">
        <is>
          <t>Nej</t>
        </is>
      </c>
      <c r="AA1294" t="n">
        <v>5</v>
      </c>
      <c r="AB1294" t="inlineStr">
        <is>
          <t>Teknisk beskrivning av platta</t>
        </is>
      </c>
      <c r="AC1294" t="inlineStr">
        <is>
          <t>Teknisk ritning platta</t>
        </is>
      </c>
      <c r="AD1294" t="inlineStr">
        <is>
          <t>Nej</t>
        </is>
      </c>
      <c r="AE1294" t="inlineStr">
        <is>
          <t>Nej</t>
        </is>
      </c>
      <c r="AF1294" t="inlineStr">
        <is>
          <t>Ej behandlad</t>
        </is>
      </c>
      <c r="AG1294" t="inlineStr">
        <is>
          <t>AUTO_GENERERAD. Verifiera citat mot kallfil.</t>
        </is>
      </c>
      <c r="AH1294" t="inlineStr">
        <is>
          <t>HIGH</t>
        </is>
      </c>
      <c r="AI1294" t="inlineStr">
        <is>
          <t>AUTO</t>
        </is>
      </c>
      <c r="AJ1294" t="inlineStr">
        <is>
          <t>Nej</t>
        </is>
      </c>
      <c r="AK1294" t="inlineStr"/>
      <c r="AL1294" t="inlineStr"/>
      <c r="AM1294" t="inlineStr"/>
      <c r="AN1294" t="inlineStr"/>
      <c r="AO1294" t="inlineStr">
        <is>
          <t>cmm4yup7h02c2cuqwyq79ps8k</t>
        </is>
      </c>
      <c r="AP1294" t="inlineStr">
        <is>
          <t>http://localhost:8787/api/admin/requirements/documents/cmm4yup7h02c2cuqwyq79ps8k/view</t>
        </is>
      </c>
      <c r="AQ1294">
        <f>HYPERLÄNK("http://localhost:8787/api/admin/requirements/documents/cmm4yup7h02c2cuqwyq79ps8k/view";"Öppna PDF")</f>
        <v/>
      </c>
      <c r="AR1294">
        <f>HYPERLINK("http://localhost:8787/api/admin/requirements/documents/cmm4yup7h02c2cuqwyq79ps8k/view","Open PDF")</f>
        <v/>
      </c>
      <c r="AS1294" t="inlineStr">
        <is>
          <t>cmm55w57p0004cuisfrtpqly8</t>
        </is>
      </c>
      <c r="AT1294" t="inlineStr">
        <is>
          <t>cmm4xvu980000cuh4vj0usz09</t>
        </is>
      </c>
      <c r="AU1294" t="inlineStr">
        <is>
          <t>org nr Söderköpings</t>
        </is>
      </c>
      <c r="AV1294" t="inlineStr">
        <is>
          <t>Kommun</t>
        </is>
      </c>
      <c r="AW1294" t="inlineStr">
        <is>
          <t>org nr Söderköpings kommun</t>
        </is>
      </c>
      <c r="AX1294" t="inlineStr">
        <is>
          <t>2024-03</t>
        </is>
      </c>
      <c r="AY1294" t="inlineStr">
        <is>
          <t>Beslut</t>
        </is>
      </c>
      <c r="AZ1294" t="inlineStr">
        <is>
          <t>2026-02-03</t>
        </is>
      </c>
      <c r="BA1294" t="inlineStr">
        <is>
          <t>SBF-2024-273_2024-03-25_Beslut Miljöfarlig verksamhet.pdf</t>
        </is>
      </c>
      <c r="BB1294" t="inlineStr">
        <is>
          <t>SV: till registrator</t>
        </is>
      </c>
      <c r="BC1294" t="inlineStr">
        <is>
          <t>AUTO</t>
        </is>
      </c>
      <c r="BD1294" t="inlineStr"/>
      <c r="BE1294" t="inlineStr"/>
      <c r="BF1294" t="inlineStr">
        <is>
          <t>AUTO_GENERERAD. Bekrafta metadata mot kallfil.</t>
        </is>
      </c>
      <c r="BG1294">
        <f>HYPERLINK("C:\Users\jimmy\Desktop\Examens arbete\Kod\Ny mapp\remix_-copy-of-miljöbeslut.se-portal\SBF-2024-273_2024-03-25_Beslut Miljöfarlig verksamhet.pdf", "Öppna PDF")</f>
        <v/>
      </c>
    </row>
    <row r="1295">
      <c r="A1295" t="inlineStr">
        <is>
          <t>KRAV-AUTO-001294</t>
        </is>
      </c>
      <c r="B1295" t="inlineStr">
        <is>
          <t>ADMIN-INDEX-2026-02-27-00000000125C043F57453246863FE664CAFE6A3F0700950291EA24F0614FB6ACEDB12BF0E31D00000000010C0000950291EA24F0614FB6ACEDB12BF0E31D00002087AE9A0000</t>
        </is>
      </c>
      <c r="C1295" t="inlineStr">
        <is>
          <t>cmm4yup7h02c2cuqwyq79ps8k</t>
        </is>
      </c>
      <c r="D1295" t="inlineStr">
        <is>
          <t>http://localhost:8787/api/admin/requirements/documents/cmm4yup7h02c2cuqwyq79ps8k/view</t>
        </is>
      </c>
      <c r="E1295">
        <f>HYPERLÄNK("http://localhost:8787/api/admin/requirements/documents/cmm4yup7h02c2cuqwyq79ps8k/view";"Öppna PDF")</f>
        <v/>
      </c>
      <c r="F1295">
        <f>HYPERLINK("http://localhost:8787/api/admin/requirements/documents/cmm4yup7h02c2cuqwyq79ps8k/view","Open PDF")</f>
        <v/>
      </c>
      <c r="G1295" t="inlineStr">
        <is>
          <t>cmm55w57p0004cuisfrtpqly8</t>
        </is>
      </c>
      <c r="H1295" t="inlineStr">
        <is>
          <t>Beslutsvillkor</t>
        </is>
      </c>
      <c r="I1295" t="inlineStr">
        <is>
          <t>Ytkonstruktion</t>
        </is>
      </c>
      <c r="J1295" t="inlineStr">
        <is>
          <t>Tat yta</t>
        </is>
      </c>
      <c r="K1295" t="inlineStr">
        <is>
          <t>Invallningens konstruktionsmaterial ska vara ogenomsläppligt för den aktuella produkten.</t>
        </is>
      </c>
      <c r="L1295" t="inlineStr">
        <is>
          <t>Invallningens konstruktionsmaterial ska vara ogenomsläppligt för den aktuella produkten.</t>
        </is>
      </c>
      <c r="M1295" t="inlineStr">
        <is>
          <t>SKA</t>
        </is>
      </c>
      <c r="N1295" t="inlineStr">
        <is>
          <t>FMH</t>
        </is>
      </c>
      <c r="O1295" t="inlineStr"/>
      <c r="P1295" t="inlineStr"/>
      <c r="Q1295" t="inlineStr"/>
      <c r="R1295" t="inlineStr">
        <is>
          <t>Vid mellanlagring av avfall</t>
        </is>
      </c>
      <c r="S1295" t="inlineStr"/>
      <c r="T1295" t="inlineStr">
        <is>
          <t>212000</t>
        </is>
      </c>
      <c r="U1295" t="inlineStr"/>
      <c r="V1295" t="inlineStr"/>
      <c r="W1295" t="inlineStr">
        <is>
          <t>Ja</t>
        </is>
      </c>
      <c r="X1295" t="inlineStr">
        <is>
          <t>Nej</t>
        </is>
      </c>
      <c r="Y1295" t="inlineStr">
        <is>
          <t>Nej</t>
        </is>
      </c>
      <c r="Z1295" t="inlineStr">
        <is>
          <t>Nej</t>
        </is>
      </c>
      <c r="AA1295" t="n">
        <v>5</v>
      </c>
      <c r="AB1295" t="inlineStr">
        <is>
          <t>Teknisk beskrivning av platta</t>
        </is>
      </c>
      <c r="AC1295" t="inlineStr">
        <is>
          <t>Teknisk ritning platta</t>
        </is>
      </c>
      <c r="AD1295" t="inlineStr">
        <is>
          <t>Nej</t>
        </is>
      </c>
      <c r="AE1295" t="inlineStr">
        <is>
          <t>Nej</t>
        </is>
      </c>
      <c r="AF1295" t="inlineStr">
        <is>
          <t>Ej behandlad</t>
        </is>
      </c>
      <c r="AG1295" t="inlineStr">
        <is>
          <t>AUTO_GENERERAD. Verifiera citat mot kallfil.</t>
        </is>
      </c>
      <c r="AH1295" t="inlineStr">
        <is>
          <t>HIGH</t>
        </is>
      </c>
      <c r="AI1295" t="inlineStr">
        <is>
          <t>AUTO</t>
        </is>
      </c>
      <c r="AJ1295" t="inlineStr">
        <is>
          <t>Nej</t>
        </is>
      </c>
      <c r="AK1295" t="inlineStr"/>
      <c r="AL1295" t="inlineStr"/>
      <c r="AM1295" t="inlineStr"/>
      <c r="AN1295" t="inlineStr"/>
      <c r="AO1295" t="inlineStr">
        <is>
          <t>cmm4yup7h02c2cuqwyq79ps8k</t>
        </is>
      </c>
      <c r="AP1295" t="inlineStr">
        <is>
          <t>http://localhost:8787/api/admin/requirements/documents/cmm4yup7h02c2cuqwyq79ps8k/view</t>
        </is>
      </c>
      <c r="AQ1295">
        <f>HYPERLÄNK("http://localhost:8787/api/admin/requirements/documents/cmm4yup7h02c2cuqwyq79ps8k/view";"Öppna PDF")</f>
        <v/>
      </c>
      <c r="AR1295">
        <f>HYPERLINK("http://localhost:8787/api/admin/requirements/documents/cmm4yup7h02c2cuqwyq79ps8k/view","Open PDF")</f>
        <v/>
      </c>
      <c r="AS1295" t="inlineStr">
        <is>
          <t>cmm55w57p0004cuisfrtpqly8</t>
        </is>
      </c>
      <c r="AT1295" t="inlineStr">
        <is>
          <t>cmm4xvu980000cuh4vj0usz09</t>
        </is>
      </c>
      <c r="AU1295" t="inlineStr">
        <is>
          <t>org nr Söderköpings</t>
        </is>
      </c>
      <c r="AV1295" t="inlineStr">
        <is>
          <t>Kommun</t>
        </is>
      </c>
      <c r="AW1295" t="inlineStr">
        <is>
          <t>org nr Söderköpings kommun</t>
        </is>
      </c>
      <c r="AX1295" t="inlineStr">
        <is>
          <t>2024-03</t>
        </is>
      </c>
      <c r="AY1295" t="inlineStr">
        <is>
          <t>Beslut</t>
        </is>
      </c>
      <c r="AZ1295" t="inlineStr">
        <is>
          <t>2026-02-03</t>
        </is>
      </c>
      <c r="BA1295" t="inlineStr">
        <is>
          <t>SBF-2024-273_2024-03-25_Beslut Miljöfarlig verksamhet.pdf</t>
        </is>
      </c>
      <c r="BB1295" t="inlineStr">
        <is>
          <t>SV: till registrator</t>
        </is>
      </c>
      <c r="BC1295" t="inlineStr">
        <is>
          <t>AUTO</t>
        </is>
      </c>
      <c r="BD1295" t="inlineStr"/>
      <c r="BE1295" t="inlineStr"/>
      <c r="BF1295" t="inlineStr">
        <is>
          <t>AUTO_GENERERAD. Bekrafta metadata mot kallfil.</t>
        </is>
      </c>
      <c r="BG1295">
        <f>HYPERLINK("C:\Users\jimmy\Desktop\Examens arbete\Kod\Ny mapp\remix_-copy-of-miljöbeslut.se-portal\SBF-2024-273_2024-03-25_Beslut Miljöfarlig verksamhet.pdf", "Öppna PDF")</f>
        <v/>
      </c>
    </row>
    <row r="1296">
      <c r="A1296" t="inlineStr">
        <is>
          <t>KRAV-AUTO-001295</t>
        </is>
      </c>
      <c r="B1296" t="inlineStr">
        <is>
          <t>ADMIN-INDEX-2026-02-27-00000000125C043F57453246863FE664CAFE6A3F0700950291EA24F0614FB6ACEDB12BF0E31D00000000010C0000950291EA24F0614FB6ACEDB12BF0E31D00002087AE9A0000</t>
        </is>
      </c>
      <c r="C1296" t="inlineStr">
        <is>
          <t>cmm4yup7h02c2cuqwyq79ps8k</t>
        </is>
      </c>
      <c r="D1296" t="inlineStr">
        <is>
          <t>http://localhost:8787/api/admin/requirements/documents/cmm4yup7h02c2cuqwyq79ps8k/view</t>
        </is>
      </c>
      <c r="E1296">
        <f>HYPERLÄNK("http://localhost:8787/api/admin/requirements/documents/cmm4yup7h02c2cuqwyq79ps8k/view";"Öppna PDF")</f>
        <v/>
      </c>
      <c r="F1296">
        <f>HYPERLINK("http://localhost:8787/api/admin/requirements/documents/cmm4yup7h02c2cuqwyq79ps8k/view","Open PDF")</f>
        <v/>
      </c>
      <c r="G1296" t="inlineStr">
        <is>
          <t>cmm55w57p0004cuisfrtpqly8</t>
        </is>
      </c>
      <c r="H1296" t="inlineStr">
        <is>
          <t>Beslutsvillkor</t>
        </is>
      </c>
      <c r="I1296" t="inlineStr">
        <is>
          <t>DagvattenLakvatten</t>
        </is>
      </c>
      <c r="J1296" t="inlineStr">
        <is>
          <t>Uppsamling</t>
        </is>
      </c>
      <c r="K1296" t="inlineStr">
        <is>
          <t>Dagvattenbrunnarna ska skötas enligt tillverkarens instruktioner och utrustning för att kunna täta brunnar ska finnas på plats.</t>
        </is>
      </c>
      <c r="L1296" t="inlineStr">
        <is>
          <t>Dagvattenbrunnarna ska skötas enligt tillverkarens instruktioner och utrustning för att kunna täta brunnar ska finnas på plats.</t>
        </is>
      </c>
      <c r="M1296" t="inlineStr">
        <is>
          <t>SKA</t>
        </is>
      </c>
      <c r="N1296" t="inlineStr">
        <is>
          <t>FMH</t>
        </is>
      </c>
      <c r="O1296" t="inlineStr"/>
      <c r="P1296" t="inlineStr"/>
      <c r="Q1296" t="inlineStr"/>
      <c r="R1296" t="inlineStr">
        <is>
          <t>Vid nederbord och avrinning</t>
        </is>
      </c>
      <c r="S1296" t="inlineStr"/>
      <c r="T1296" t="inlineStr">
        <is>
          <t>212000</t>
        </is>
      </c>
      <c r="U1296" t="inlineStr"/>
      <c r="V1296" t="inlineStr"/>
      <c r="W1296" t="inlineStr">
        <is>
          <t>Nej</t>
        </is>
      </c>
      <c r="X1296" t="inlineStr">
        <is>
          <t>Ja</t>
        </is>
      </c>
      <c r="Y1296" t="inlineStr">
        <is>
          <t>Ja</t>
        </is>
      </c>
      <c r="Z1296" t="inlineStr">
        <is>
          <t>Nej</t>
        </is>
      </c>
      <c r="AA1296" t="n">
        <v>6</v>
      </c>
      <c r="AB1296" t="inlineStr">
        <is>
          <t>Lakvattenhantering</t>
        </is>
      </c>
      <c r="AC1296" t="inlineStr">
        <is>
          <t>Flodesschema dagvatten-lakvatten</t>
        </is>
      </c>
      <c r="AD1296" t="inlineStr">
        <is>
          <t>Nej</t>
        </is>
      </c>
      <c r="AE1296" t="inlineStr">
        <is>
          <t>Nej</t>
        </is>
      </c>
      <c r="AF1296" t="inlineStr">
        <is>
          <t>Ej behandlad</t>
        </is>
      </c>
      <c r="AG1296" t="inlineStr">
        <is>
          <t>AUTO_GENERERAD. Verifiera citat mot kallfil.</t>
        </is>
      </c>
      <c r="AH1296" t="inlineStr">
        <is>
          <t>HIGH</t>
        </is>
      </c>
      <c r="AI1296" t="inlineStr">
        <is>
          <t>AUTO</t>
        </is>
      </c>
      <c r="AJ1296" t="inlineStr">
        <is>
          <t>Nej</t>
        </is>
      </c>
      <c r="AK1296" t="inlineStr"/>
      <c r="AL1296" t="inlineStr"/>
      <c r="AM1296" t="inlineStr"/>
      <c r="AN1296" t="inlineStr"/>
      <c r="AO1296" t="inlineStr">
        <is>
          <t>cmm4yup7h02c2cuqwyq79ps8k</t>
        </is>
      </c>
      <c r="AP1296" t="inlineStr">
        <is>
          <t>http://localhost:8787/api/admin/requirements/documents/cmm4yup7h02c2cuqwyq79ps8k/view</t>
        </is>
      </c>
      <c r="AQ1296">
        <f>HYPERLÄNK("http://localhost:8787/api/admin/requirements/documents/cmm4yup7h02c2cuqwyq79ps8k/view";"Öppna PDF")</f>
        <v/>
      </c>
      <c r="AR1296">
        <f>HYPERLINK("http://localhost:8787/api/admin/requirements/documents/cmm4yup7h02c2cuqwyq79ps8k/view","Open PDF")</f>
        <v/>
      </c>
      <c r="AS1296" t="inlineStr">
        <is>
          <t>cmm55w57p0004cuisfrtpqly8</t>
        </is>
      </c>
      <c r="AT1296" t="inlineStr">
        <is>
          <t>cmm4xvu980000cuh4vj0usz09</t>
        </is>
      </c>
      <c r="AU1296" t="inlineStr">
        <is>
          <t>org nr Söderköpings</t>
        </is>
      </c>
      <c r="AV1296" t="inlineStr">
        <is>
          <t>Kommun</t>
        </is>
      </c>
      <c r="AW1296" t="inlineStr">
        <is>
          <t>org nr Söderköpings kommun</t>
        </is>
      </c>
      <c r="AX1296" t="inlineStr">
        <is>
          <t>2024-03</t>
        </is>
      </c>
      <c r="AY1296" t="inlineStr">
        <is>
          <t>Beslut</t>
        </is>
      </c>
      <c r="AZ1296" t="inlineStr">
        <is>
          <t>2026-02-03</t>
        </is>
      </c>
      <c r="BA1296" t="inlineStr">
        <is>
          <t>SBF-2024-273_2024-03-25_Beslut Miljöfarlig verksamhet.pdf</t>
        </is>
      </c>
      <c r="BB1296" t="inlineStr">
        <is>
          <t>SV: till registrator</t>
        </is>
      </c>
      <c r="BC1296" t="inlineStr">
        <is>
          <t>AUTO</t>
        </is>
      </c>
      <c r="BD1296" t="inlineStr"/>
      <c r="BE1296" t="inlineStr"/>
      <c r="BF1296" t="inlineStr">
        <is>
          <t>AUTO_GENERERAD. Bekrafta metadata mot kallfil.</t>
        </is>
      </c>
      <c r="BG1296">
        <f>HYPERLINK("C:\Users\jimmy\Desktop\Examens arbete\Kod\Ny mapp\remix_-copy-of-miljöbeslut.se-portal\SBF-2024-273_2024-03-25_Beslut Miljöfarlig verksamhet.pdf", "Öppna PDF")</f>
        <v/>
      </c>
    </row>
    <row r="1297">
      <c r="A1297" t="inlineStr">
        <is>
          <t>KRAV-AUTO-001296</t>
        </is>
      </c>
      <c r="B1297" t="inlineStr">
        <is>
          <t>ADMIN-INDEX-2026-02-27-00000000125C043F57453246863FE664CAFE6A3F0700950291EA24F0614FB6ACEDB12BF0E31D00000000010C0000950291EA24F0614FB6ACEDB12BF0E31D00002087AE9A0000</t>
        </is>
      </c>
      <c r="C1297" t="inlineStr">
        <is>
          <t>cmm4yup6z02bkcuqwgs2ahase</t>
        </is>
      </c>
      <c r="D1297" t="inlineStr">
        <is>
          <t>http://localhost:8787/api/admin/requirements/documents/cmm4yup6z02bkcuqwgs2ahase/view</t>
        </is>
      </c>
      <c r="E1297">
        <f>HYPERLÄNK("http://localhost:8787/api/admin/requirements/documents/cmm4yup6z02bkcuqwgs2ahase/view";"Öppna PDF")</f>
        <v/>
      </c>
      <c r="F1297">
        <f>HYPERLINK("http://localhost:8787/api/admin/requirements/documents/cmm4yup6z02bkcuqwgs2ahase/view","Open PDF")</f>
        <v/>
      </c>
      <c r="G1297" t="inlineStr">
        <is>
          <t>cmm55w57p0004cuisfrtpqly8</t>
        </is>
      </c>
      <c r="H1297" t="inlineStr">
        <is>
          <t>Beslutsvillkor</t>
        </is>
      </c>
      <c r="I1297" t="inlineStr">
        <is>
          <t>DagvattenLakvatten</t>
        </is>
      </c>
      <c r="J1297" t="inlineStr">
        <is>
          <t>Uppsamling</t>
        </is>
      </c>
      <c r="K1297" t="inlineStr">
        <is>
          <t>I egenkontrollprogrammet ska rutiner för regelbunden kontroll av dagvattenhanteringens syfte och funktion finnas.</t>
        </is>
      </c>
      <c r="L1297" t="inlineStr">
        <is>
          <t>I egenkontrollprogrammet ska rutiner för regelbunden kontroll av dagvattenhanteringens syfte och funktion finnas.</t>
        </is>
      </c>
      <c r="M1297" t="inlineStr">
        <is>
          <t>SKA</t>
        </is>
      </c>
      <c r="N1297" t="inlineStr">
        <is>
          <t>FMH</t>
        </is>
      </c>
      <c r="O1297" t="inlineStr"/>
      <c r="P1297" t="inlineStr"/>
      <c r="Q1297" t="inlineStr"/>
      <c r="R1297" t="inlineStr">
        <is>
          <t>Vid nederbord och avrinning</t>
        </is>
      </c>
      <c r="S1297" t="inlineStr"/>
      <c r="T1297" t="inlineStr">
        <is>
          <t>212000</t>
        </is>
      </c>
      <c r="U1297" t="inlineStr"/>
      <c r="V1297" t="inlineStr"/>
      <c r="W1297" t="inlineStr">
        <is>
          <t>Nej</t>
        </is>
      </c>
      <c r="X1297" t="inlineStr">
        <is>
          <t>Ja</t>
        </is>
      </c>
      <c r="Y1297" t="inlineStr">
        <is>
          <t>Ja</t>
        </is>
      </c>
      <c r="Z1297" t="inlineStr">
        <is>
          <t>Nej</t>
        </is>
      </c>
      <c r="AA1297" t="n">
        <v>6</v>
      </c>
      <c r="AB1297" t="inlineStr">
        <is>
          <t>Lakvattenhantering</t>
        </is>
      </c>
      <c r="AC1297" t="inlineStr">
        <is>
          <t>Flodesschema dagvatten-lakvatten</t>
        </is>
      </c>
      <c r="AD1297" t="inlineStr">
        <is>
          <t>Nej</t>
        </is>
      </c>
      <c r="AE1297" t="inlineStr">
        <is>
          <t>Nej</t>
        </is>
      </c>
      <c r="AF1297" t="inlineStr">
        <is>
          <t>Ej behandlad</t>
        </is>
      </c>
      <c r="AG1297" t="inlineStr">
        <is>
          <t>AUTO_GENERERAD. Verifiera citat mot kallfil.</t>
        </is>
      </c>
      <c r="AH1297" t="inlineStr">
        <is>
          <t>HIGH</t>
        </is>
      </c>
      <c r="AI1297" t="inlineStr">
        <is>
          <t>AUTO</t>
        </is>
      </c>
      <c r="AJ1297" t="inlineStr">
        <is>
          <t>Nej</t>
        </is>
      </c>
      <c r="AK1297" t="inlineStr"/>
      <c r="AL1297" t="inlineStr"/>
      <c r="AM1297" t="inlineStr"/>
      <c r="AN1297" t="inlineStr"/>
      <c r="AO1297" t="inlineStr">
        <is>
          <t>cmm4yup7h02c2cuqwyq79ps8k</t>
        </is>
      </c>
      <c r="AP1297" t="inlineStr">
        <is>
          <t>http://localhost:8787/api/admin/requirements/documents/cmm4yup7h02c2cuqwyq79ps8k/view</t>
        </is>
      </c>
      <c r="AQ1297">
        <f>HYPERLÄNK("http://localhost:8787/api/admin/requirements/documents/cmm4yup7h02c2cuqwyq79ps8k/view";"Öppna PDF")</f>
        <v/>
      </c>
      <c r="AR1297">
        <f>HYPERLINK("http://localhost:8787/api/admin/requirements/documents/cmm4yup7h02c2cuqwyq79ps8k/view","Open PDF")</f>
        <v/>
      </c>
      <c r="AS1297" t="inlineStr">
        <is>
          <t>cmm55w57p0004cuisfrtpqly8</t>
        </is>
      </c>
      <c r="AT1297" t="inlineStr">
        <is>
          <t>cmm4xvu980000cuh4vj0usz09</t>
        </is>
      </c>
      <c r="AU1297" t="inlineStr">
        <is>
          <t>org nr Söderköpings</t>
        </is>
      </c>
      <c r="AV1297" t="inlineStr">
        <is>
          <t>Kommun</t>
        </is>
      </c>
      <c r="AW1297" t="inlineStr">
        <is>
          <t>org nr Söderköpings kommun</t>
        </is>
      </c>
      <c r="AX1297" t="inlineStr">
        <is>
          <t>2024-03</t>
        </is>
      </c>
      <c r="AY1297" t="inlineStr">
        <is>
          <t>Beslut</t>
        </is>
      </c>
      <c r="AZ1297" t="inlineStr">
        <is>
          <t>2026-02-03</t>
        </is>
      </c>
      <c r="BA1297" t="inlineStr">
        <is>
          <t>SBF-2024-273_2024-03-25_Beslut Miljöfarlig verksamhet.pdf</t>
        </is>
      </c>
      <c r="BB1297" t="inlineStr">
        <is>
          <t>SV: till registrator</t>
        </is>
      </c>
      <c r="BC1297" t="inlineStr">
        <is>
          <t>AUTO</t>
        </is>
      </c>
      <c r="BD1297" t="inlineStr"/>
      <c r="BE1297" t="inlineStr"/>
      <c r="BF1297" t="inlineStr">
        <is>
          <t>AUTO_GENERERAD. Bekrafta metadata mot kallfil.</t>
        </is>
      </c>
      <c r="BG1297">
        <f>HYPERLINK("C:\Users\jimmy\Desktop\Examens arbete\Kod\Ny mapp\remix_-copy-of-miljöbeslut.se-portal\SBF-2024-273_2024-03-25_Beslut Miljöfarlig verksamhet.pdf", "Öppna PDF")</f>
        <v/>
      </c>
    </row>
    <row r="1298">
      <c r="A1298" t="inlineStr">
        <is>
          <t>KRAV-AUTO-001297</t>
        </is>
      </c>
      <c r="B1298" t="inlineStr">
        <is>
          <t>ADMIN-INDEX-2026-02-27-00000000125C043F57453246863FE664CAFE6A3F0700950291EA24F0614FB6ACEDB12BF0E31D00000000010C0000950291EA24F0614FB6ACEDB12BF0E31D00002087AE9A0000</t>
        </is>
      </c>
      <c r="C1298" t="inlineStr">
        <is>
          <t>cmm4yup6z02bkcuqwgs2ahase</t>
        </is>
      </c>
      <c r="D1298" t="inlineStr">
        <is>
          <t>http://localhost:8787/api/admin/requirements/documents/cmm4yup6z02bkcuqwgs2ahase/view</t>
        </is>
      </c>
      <c r="E1298">
        <f>HYPERLÄNK("http://localhost:8787/api/admin/requirements/documents/cmm4yup6z02bkcuqwgs2ahase/view";"Öppna PDF")</f>
        <v/>
      </c>
      <c r="F1298">
        <f>HYPERLINK("http://localhost:8787/api/admin/requirements/documents/cmm4yup6z02bkcuqwgs2ahase/view","Open PDF")</f>
        <v/>
      </c>
      <c r="G1298" t="inlineStr">
        <is>
          <t>cmm55w57p0004cuisfrtpqly8</t>
        </is>
      </c>
      <c r="H1298" t="inlineStr">
        <is>
          <t>Beslutsvillkor</t>
        </is>
      </c>
      <c r="I1298" t="inlineStr">
        <is>
          <t>MiljopaverkanForsiktighet</t>
        </is>
      </c>
      <c r="J1298" t="inlineStr">
        <is>
          <t>Skyddsatgarder</t>
        </is>
      </c>
      <c r="K1298" t="inlineStr">
        <is>
          <t>Hanteringen av matavfall skall ske i fack med skyddande sidor och tak som förhindrar skadedjur.</t>
        </is>
      </c>
      <c r="L1298" t="inlineStr">
        <is>
          <t>Hanteringen av matavfall skall ske i fack med skyddande sidor och tak som förhindrar skadedjur.</t>
        </is>
      </c>
      <c r="M1298" t="inlineStr">
        <is>
          <t>SKA</t>
        </is>
      </c>
      <c r="N1298" t="inlineStr">
        <is>
          <t>FMH</t>
        </is>
      </c>
      <c r="O1298" t="inlineStr"/>
      <c r="P1298" t="inlineStr"/>
      <c r="Q1298" t="inlineStr"/>
      <c r="R1298" t="inlineStr">
        <is>
          <t>Alltid</t>
        </is>
      </c>
      <c r="S1298" t="inlineStr"/>
      <c r="T1298" t="inlineStr">
        <is>
          <t>212000</t>
        </is>
      </c>
      <c r="U1298" t="inlineStr"/>
      <c r="V1298" t="inlineStr"/>
      <c r="W1298" t="inlineStr">
        <is>
          <t>Nej</t>
        </is>
      </c>
      <c r="X1298" t="inlineStr">
        <is>
          <t>Nej</t>
        </is>
      </c>
      <c r="Y1298" t="inlineStr">
        <is>
          <t>Nej</t>
        </is>
      </c>
      <c r="Z1298" t="inlineStr">
        <is>
          <t>Nej</t>
        </is>
      </c>
      <c r="AA1298" t="n">
        <v>10</v>
      </c>
      <c r="AB1298" t="inlineStr">
        <is>
          <t>Miljopaverkan och forsiktighetsmatt</t>
        </is>
      </c>
      <c r="AC1298" t="inlineStr">
        <is>
          <t>Miljo-PM</t>
        </is>
      </c>
      <c r="AD1298" t="inlineStr">
        <is>
          <t>Nej</t>
        </is>
      </c>
      <c r="AE1298" t="inlineStr">
        <is>
          <t>Nej</t>
        </is>
      </c>
      <c r="AF1298" t="inlineStr">
        <is>
          <t>Ej behandlad</t>
        </is>
      </c>
      <c r="AG1298" t="inlineStr">
        <is>
          <t>AUTO_GENERERAD. Verifiera citat mot kallfil.</t>
        </is>
      </c>
      <c r="AH1298" t="inlineStr">
        <is>
          <t>HIGH</t>
        </is>
      </c>
      <c r="AI1298" t="inlineStr">
        <is>
          <t>AUTO</t>
        </is>
      </c>
      <c r="AJ1298" t="inlineStr">
        <is>
          <t>Nej</t>
        </is>
      </c>
      <c r="AK1298" t="inlineStr"/>
      <c r="AL1298" t="inlineStr"/>
      <c r="AM1298" t="inlineStr"/>
      <c r="AN1298" t="inlineStr"/>
      <c r="AO1298" t="inlineStr">
        <is>
          <t>cmm4yup7h02c2cuqwyq79ps8k</t>
        </is>
      </c>
      <c r="AP1298" t="inlineStr">
        <is>
          <t>http://localhost:8787/api/admin/requirements/documents/cmm4yup7h02c2cuqwyq79ps8k/view</t>
        </is>
      </c>
      <c r="AQ1298">
        <f>HYPERLÄNK("http://localhost:8787/api/admin/requirements/documents/cmm4yup7h02c2cuqwyq79ps8k/view";"Öppna PDF")</f>
        <v/>
      </c>
      <c r="AR1298">
        <f>HYPERLINK("http://localhost:8787/api/admin/requirements/documents/cmm4yup7h02c2cuqwyq79ps8k/view","Open PDF")</f>
        <v/>
      </c>
      <c r="AS1298" t="inlineStr">
        <is>
          <t>cmm55w57p0004cuisfrtpqly8</t>
        </is>
      </c>
      <c r="AT1298" t="inlineStr">
        <is>
          <t>cmm4xvu980000cuh4vj0usz09</t>
        </is>
      </c>
      <c r="AU1298" t="inlineStr">
        <is>
          <t>org nr Söderköpings</t>
        </is>
      </c>
      <c r="AV1298" t="inlineStr">
        <is>
          <t>Kommun</t>
        </is>
      </c>
      <c r="AW1298" t="inlineStr">
        <is>
          <t>org nr Söderköpings kommun</t>
        </is>
      </c>
      <c r="AX1298" t="inlineStr">
        <is>
          <t>2024-03</t>
        </is>
      </c>
      <c r="AY1298" t="inlineStr">
        <is>
          <t>Beslut</t>
        </is>
      </c>
      <c r="AZ1298" t="inlineStr">
        <is>
          <t>2026-02-03</t>
        </is>
      </c>
      <c r="BA1298" t="inlineStr">
        <is>
          <t>SBF-2024-273_2024-03-25_Beslut Miljöfarlig verksamhet.pdf</t>
        </is>
      </c>
      <c r="BB1298" t="inlineStr">
        <is>
          <t>SV: till registrator</t>
        </is>
      </c>
      <c r="BC1298" t="inlineStr">
        <is>
          <t>AUTO</t>
        </is>
      </c>
      <c r="BD1298" t="inlineStr"/>
      <c r="BE1298" t="inlineStr"/>
      <c r="BF1298" t="inlineStr">
        <is>
          <t>AUTO_GENERERAD. Bekrafta metadata mot kallfil.</t>
        </is>
      </c>
      <c r="BG1298">
        <f>HYPERLINK("C:\Users\jimmy\Desktop\Examens arbete\Kod\Ny mapp\remix_-copy-of-miljöbeslut.se-portal\SBF-2024-273_2024-03-25_Beslut Miljöfarlig verksamhet.pdf", "Öppna PDF")</f>
        <v/>
      </c>
    </row>
    <row r="1299">
      <c r="A1299" t="inlineStr">
        <is>
          <t>KRAV-AUTO-001298</t>
        </is>
      </c>
      <c r="B1299" t="inlineStr">
        <is>
          <t>ADMIN-INDEX-2026-02-27-00000000125C043F57453246863FE664CAFE6A3F0700950291EA24F0614FB6ACEDB12BF0E31D00000000010C0000950291EA24F0614FB6ACEDB12BF0E31D00002087AE9A0000</t>
        </is>
      </c>
      <c r="C1299" t="inlineStr">
        <is>
          <t>cmm4yup6z02bkcuqwgs2ahase</t>
        </is>
      </c>
      <c r="D1299" t="inlineStr">
        <is>
          <t>http://localhost:8787/api/admin/requirements/documents/cmm4yup6z02bkcuqwgs2ahase/view</t>
        </is>
      </c>
      <c r="E1299">
        <f>HYPERLÄNK("http://localhost:8787/api/admin/requirements/documents/cmm4yup6z02bkcuqwgs2ahase/view";"Öppna PDF")</f>
        <v/>
      </c>
      <c r="F1299">
        <f>HYPERLINK("http://localhost:8787/api/admin/requirements/documents/cmm4yup6z02bkcuqwgs2ahase/view","Open PDF")</f>
        <v/>
      </c>
      <c r="G1299" t="inlineStr">
        <is>
          <t>cmm55w57p0004cuisfrtpqly8</t>
        </is>
      </c>
      <c r="H1299" t="inlineStr">
        <is>
          <t>Beslutsvillkor</t>
        </is>
      </c>
      <c r="I1299" t="inlineStr">
        <is>
          <t>DriftEgenkontroll</t>
        </is>
      </c>
      <c r="J1299" t="inlineStr">
        <is>
          <t>Journalforing</t>
        </is>
      </c>
      <c r="K1299" t="inlineStr">
        <is>
          <t>Avfall som omlastats ska klassificeras journalföras.</t>
        </is>
      </c>
      <c r="L1299" t="inlineStr">
        <is>
          <t>Avfall som omlastats ska klassificeras journalföras.</t>
        </is>
      </c>
      <c r="M1299" t="inlineStr">
        <is>
          <t>SKA</t>
        </is>
      </c>
      <c r="N1299" t="inlineStr">
        <is>
          <t>FMH</t>
        </is>
      </c>
      <c r="O1299" t="inlineStr"/>
      <c r="P1299" t="inlineStr"/>
      <c r="Q1299" t="inlineStr"/>
      <c r="R1299" t="inlineStr">
        <is>
          <t>Lopande drift</t>
        </is>
      </c>
      <c r="S1299" t="inlineStr"/>
      <c r="T1299" t="inlineStr">
        <is>
          <t>212000</t>
        </is>
      </c>
      <c r="U1299" t="inlineStr"/>
      <c r="V1299" t="inlineStr"/>
      <c r="W1299" t="inlineStr">
        <is>
          <t>Nej</t>
        </is>
      </c>
      <c r="X1299" t="inlineStr">
        <is>
          <t>Nej</t>
        </is>
      </c>
      <c r="Y1299" t="inlineStr">
        <is>
          <t>Ja</t>
        </is>
      </c>
      <c r="Z1299" t="inlineStr">
        <is>
          <t>Nej</t>
        </is>
      </c>
      <c r="AA1299" t="n">
        <v>7</v>
      </c>
      <c r="AB1299" t="inlineStr">
        <is>
          <t>Egenkontrollrutiner</t>
        </is>
      </c>
      <c r="AC1299" t="inlineStr">
        <is>
          <t>Egenkontrollprogram</t>
        </is>
      </c>
      <c r="AD1299" t="inlineStr">
        <is>
          <t>Nej</t>
        </is>
      </c>
      <c r="AE1299" t="inlineStr">
        <is>
          <t>Nej</t>
        </is>
      </c>
      <c r="AF1299" t="inlineStr">
        <is>
          <t>Ej behandlad</t>
        </is>
      </c>
      <c r="AG1299" t="inlineStr">
        <is>
          <t>AUTO_GENERERAD. Verifiera citat mot kallfil.</t>
        </is>
      </c>
      <c r="AH1299" t="inlineStr">
        <is>
          <t>HIGH</t>
        </is>
      </c>
      <c r="AI1299" t="inlineStr">
        <is>
          <t>AUTO</t>
        </is>
      </c>
      <c r="AJ1299" t="inlineStr">
        <is>
          <t>Nej</t>
        </is>
      </c>
      <c r="AK1299" t="inlineStr"/>
      <c r="AL1299" t="inlineStr"/>
      <c r="AM1299" t="inlineStr"/>
      <c r="AN1299" t="inlineStr"/>
      <c r="AO1299" t="inlineStr">
        <is>
          <t>cmm4yup7h02c2cuqwyq79ps8k</t>
        </is>
      </c>
      <c r="AP1299" t="inlineStr">
        <is>
          <t>http://localhost:8787/api/admin/requirements/documents/cmm4yup7h02c2cuqwyq79ps8k/view</t>
        </is>
      </c>
      <c r="AQ1299">
        <f>HYPERLÄNK("http://localhost:8787/api/admin/requirements/documents/cmm4yup7h02c2cuqwyq79ps8k/view";"Öppna PDF")</f>
        <v/>
      </c>
      <c r="AR1299">
        <f>HYPERLINK("http://localhost:8787/api/admin/requirements/documents/cmm4yup7h02c2cuqwyq79ps8k/view","Open PDF")</f>
        <v/>
      </c>
      <c r="AS1299" t="inlineStr">
        <is>
          <t>cmm55w57p0004cuisfrtpqly8</t>
        </is>
      </c>
      <c r="AT1299" t="inlineStr">
        <is>
          <t>cmm4xvu980000cuh4vj0usz09</t>
        </is>
      </c>
      <c r="AU1299" t="inlineStr">
        <is>
          <t>org nr Söderköpings</t>
        </is>
      </c>
      <c r="AV1299" t="inlineStr">
        <is>
          <t>Kommun</t>
        </is>
      </c>
      <c r="AW1299" t="inlineStr">
        <is>
          <t>org nr Söderköpings kommun</t>
        </is>
      </c>
      <c r="AX1299" t="inlineStr">
        <is>
          <t>2024-03</t>
        </is>
      </c>
      <c r="AY1299" t="inlineStr">
        <is>
          <t>Beslut</t>
        </is>
      </c>
      <c r="AZ1299" t="inlineStr">
        <is>
          <t>2026-02-03</t>
        </is>
      </c>
      <c r="BA1299" t="inlineStr">
        <is>
          <t>SBF-2024-273_2024-03-25_Beslut Miljöfarlig verksamhet.pdf</t>
        </is>
      </c>
      <c r="BB1299" t="inlineStr">
        <is>
          <t>SV: till registrator</t>
        </is>
      </c>
      <c r="BC1299" t="inlineStr">
        <is>
          <t>AUTO</t>
        </is>
      </c>
      <c r="BD1299" t="inlineStr"/>
      <c r="BE1299" t="inlineStr"/>
      <c r="BF1299" t="inlineStr">
        <is>
          <t>AUTO_GENERERAD. Bekrafta metadata mot kallfil.</t>
        </is>
      </c>
      <c r="BG1299">
        <f>HYPERLINK("C:\Users\jimmy\Desktop\Examens arbete\Kod\Ny mapp\remix_-copy-of-miljöbeslut.se-portal\SBF-2024-273_2024-03-25_Beslut Miljöfarlig verksamhet.pdf", "Öppna PDF")</f>
        <v/>
      </c>
    </row>
    <row r="1300">
      <c r="A1300" t="inlineStr">
        <is>
          <t>KRAV-AUTO-001299</t>
        </is>
      </c>
      <c r="B1300" t="inlineStr">
        <is>
          <t>ADMIN-INDEX-2026-02-27-00000000125C043F57453246863FE664CAFE6A3F0700950291EA24F0614FB6ACEDB12BF0E31D00000000010C0000950291EA24F0614FB6ACEDB12BF0E31D00002087AE9A0000</t>
        </is>
      </c>
      <c r="C1300" t="inlineStr">
        <is>
          <t>cmm4yup6u02becuqwjn5oxx2d</t>
        </is>
      </c>
      <c r="D1300" t="inlineStr">
        <is>
          <t>http://localhost:8787/api/admin/requirements/documents/cmm4yup6u02becuqwjn5oxx2d/view</t>
        </is>
      </c>
      <c r="E1300">
        <f>HYPERLÄNK("http://localhost:8787/api/admin/requirements/documents/cmm4yup6u02becuqwjn5oxx2d/view";"Öppna PDF")</f>
        <v/>
      </c>
      <c r="F1300">
        <f>HYPERLINK("http://localhost:8787/api/admin/requirements/documents/cmm4yup6u02becuqwjn5oxx2d/view","Open PDF")</f>
        <v/>
      </c>
      <c r="G1300" t="inlineStr">
        <is>
          <t>cmm55w57p0004cuisfrtpqly8</t>
        </is>
      </c>
      <c r="H1300" t="inlineStr">
        <is>
          <t>Informationskrav</t>
        </is>
      </c>
      <c r="I1300" t="inlineStr">
        <is>
          <t>DagvattenLakvatten</t>
        </is>
      </c>
      <c r="J1300" t="inlineStr">
        <is>
          <t>Uppsamling</t>
        </is>
      </c>
      <c r="K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300" t="inlineStr">
        <is>
          <t>SKA</t>
        </is>
      </c>
      <c r="N1300" t="inlineStr">
        <is>
          <t>FMH</t>
        </is>
      </c>
      <c r="O1300" t="inlineStr">
        <is>
          <t>2024-02-08</t>
        </is>
      </c>
      <c r="P1300" t="inlineStr"/>
      <c r="Q1300" t="inlineStr"/>
      <c r="R1300" t="inlineStr">
        <is>
          <t>Vid nederbord och avrinning</t>
        </is>
      </c>
      <c r="S1300" t="inlineStr"/>
      <c r="T1300" t="inlineStr">
        <is>
          <t>460076</t>
        </is>
      </c>
      <c r="U1300" t="inlineStr"/>
      <c r="V1300" t="inlineStr"/>
      <c r="W1300" t="inlineStr">
        <is>
          <t>Nej</t>
        </is>
      </c>
      <c r="X1300" t="inlineStr">
        <is>
          <t>Ja</t>
        </is>
      </c>
      <c r="Y1300" t="inlineStr">
        <is>
          <t>Ja</t>
        </is>
      </c>
      <c r="Z1300" t="inlineStr">
        <is>
          <t>Nej</t>
        </is>
      </c>
      <c r="AA1300" t="n">
        <v>6</v>
      </c>
      <c r="AB1300" t="inlineStr">
        <is>
          <t>Lakvattenhantering</t>
        </is>
      </c>
      <c r="AC1300" t="inlineStr">
        <is>
          <t>Flodesschema dagvatten-lakvatten</t>
        </is>
      </c>
      <c r="AD1300" t="inlineStr">
        <is>
          <t>Nej</t>
        </is>
      </c>
      <c r="AE1300" t="inlineStr">
        <is>
          <t>Nej</t>
        </is>
      </c>
      <c r="AF1300" t="inlineStr">
        <is>
          <t>Ej behandlad</t>
        </is>
      </c>
      <c r="AG1300" t="inlineStr">
        <is>
          <t>AUTO_GENERERAD. Verifiera citat mot kallfil.</t>
        </is>
      </c>
      <c r="AH1300" t="inlineStr">
        <is>
          <t>MEDIUM</t>
        </is>
      </c>
      <c r="AI1300" t="inlineStr">
        <is>
          <t>AUTO</t>
        </is>
      </c>
      <c r="AJ1300" t="inlineStr">
        <is>
          <t>Nej</t>
        </is>
      </c>
      <c r="AK1300" t="inlineStr"/>
      <c r="AL1300" t="inlineStr"/>
      <c r="AM1300" t="inlineStr"/>
      <c r="AN1300" t="inlineStr"/>
      <c r="AO1300" t="inlineStr">
        <is>
          <t>cmm4yup7h02c2cuqwyq79ps8k</t>
        </is>
      </c>
      <c r="AP1300" t="inlineStr">
        <is>
          <t>http://localhost:8787/api/admin/requirements/documents/cmm4yup7h02c2cuqwyq79ps8k/view</t>
        </is>
      </c>
      <c r="AQ1300">
        <f>HYPERLÄNK("http://localhost:8787/api/admin/requirements/documents/cmm4yup7h02c2cuqwyq79ps8k/view";"Öppna PDF")</f>
        <v/>
      </c>
      <c r="AR1300">
        <f>HYPERLINK("http://localhost:8787/api/admin/requirements/documents/cmm4yup7h02c2cuqwyq79ps8k/view","Open PDF")</f>
        <v/>
      </c>
      <c r="AS1300" t="inlineStr">
        <is>
          <t>cmm55w57p0004cuisfrtpqly8</t>
        </is>
      </c>
      <c r="AT1300" t="inlineStr">
        <is>
          <t>cmm4xvu980000cuh4vj0usz09</t>
        </is>
      </c>
      <c r="AU1300" t="inlineStr">
        <is>
          <t>org nr Söderköpings</t>
        </is>
      </c>
      <c r="AV1300" t="inlineStr">
        <is>
          <t>Kommun</t>
        </is>
      </c>
      <c r="AW1300" t="inlineStr">
        <is>
          <t>org nr Söderköpings kommun</t>
        </is>
      </c>
      <c r="AX1300" t="inlineStr">
        <is>
          <t>2024-03</t>
        </is>
      </c>
      <c r="AY1300" t="inlineStr">
        <is>
          <t>Beslut</t>
        </is>
      </c>
      <c r="AZ1300" t="inlineStr">
        <is>
          <t>2026-02-03</t>
        </is>
      </c>
      <c r="BA1300" t="inlineStr">
        <is>
          <t>SBF-2024-273_2024-03-25_Beslut Miljöfarlig verksamhet.pdf</t>
        </is>
      </c>
      <c r="BB1300" t="inlineStr">
        <is>
          <t>SV: till registrator</t>
        </is>
      </c>
      <c r="BC1300" t="inlineStr">
        <is>
          <t>AUTO</t>
        </is>
      </c>
      <c r="BD1300" t="inlineStr"/>
      <c r="BE1300" t="inlineStr"/>
      <c r="BF1300" t="inlineStr">
        <is>
          <t>AUTO_GENERERAD. Bekrafta metadata mot kallfil.</t>
        </is>
      </c>
      <c r="BG1300">
        <f>HYPERLINK("C:\Users\jimmy\Desktop\Examens arbete\Kod\Ny mapp\remix_-copy-of-miljöbeslut.se-portal\SBF-2024-273_2024-03-25_Beslut Miljöfarlig verksamhet.pdf", "Öppna PDF")</f>
        <v/>
      </c>
    </row>
    <row r="1301">
      <c r="A1301" t="inlineStr">
        <is>
          <t>KRAV-AUTO-001300</t>
        </is>
      </c>
      <c r="B1301" t="inlineStr">
        <is>
          <t>ADMIN-INDEX-2026-02-27-00000000125C043F57453246863FE664CAFE6A3F0700950291EA24F0614FB6ACEDB12BF0E31D00000000010C0000950291EA24F0614FB6ACEDB12BF0E31D00002087AE9D0000</t>
        </is>
      </c>
      <c r="C1301" t="inlineStr">
        <is>
          <t>cmm4yup6002ahcuqwiwhrtr3f</t>
        </is>
      </c>
      <c r="D1301" t="inlineStr">
        <is>
          <t>http://localhost:8787/api/admin/requirements/documents/cmm4yup6002ahcuqwiwhrtr3f/view</t>
        </is>
      </c>
      <c r="E1301">
        <f>HYPERLÄNK("http://localhost:8787/api/admin/requirements/documents/cmm4yup6002ahcuqwiwhrtr3f/view";"Öppna PDF")</f>
        <v/>
      </c>
      <c r="F1301">
        <f>HYPERLINK("http://localhost:8787/api/admin/requirements/documents/cmm4yup6002ahcuqwiwhrtr3f/view","Open PDF")</f>
        <v/>
      </c>
      <c r="G1301" t="inlineStr">
        <is>
          <t>cmm55w57p0004cuisfrtpqly8</t>
        </is>
      </c>
      <c r="H1301" t="inlineStr">
        <is>
          <t>Beslutsvillkor</t>
        </is>
      </c>
      <c r="I1301" t="inlineStr">
        <is>
          <t>LagringsvolymTid</t>
        </is>
      </c>
      <c r="J1301" t="inlineStr">
        <is>
          <t>Maxmangd</t>
        </is>
      </c>
      <c r="K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01" t="inlineStr">
        <is>
          <t>SKA</t>
        </is>
      </c>
      <c r="N1301" t="inlineStr"/>
      <c r="O1301" t="inlineStr"/>
      <c r="P1301" t="inlineStr">
        <is>
          <t>Arlig</t>
        </is>
      </c>
      <c r="Q1301" t="inlineStr"/>
      <c r="R1301" t="inlineStr">
        <is>
          <t>Alltid</t>
        </is>
      </c>
      <c r="S1301" t="inlineStr"/>
      <c r="T1301" t="inlineStr">
        <is>
          <t>212000</t>
        </is>
      </c>
      <c r="U1301" t="n">
        <v>10</v>
      </c>
      <c r="V1301" t="inlineStr"/>
      <c r="W1301" t="inlineStr">
        <is>
          <t>Nej</t>
        </is>
      </c>
      <c r="X1301" t="inlineStr">
        <is>
          <t>Nej</t>
        </is>
      </c>
      <c r="Y1301" t="inlineStr">
        <is>
          <t>Nej</t>
        </is>
      </c>
      <c r="Z1301" t="inlineStr">
        <is>
          <t>Nej</t>
        </is>
      </c>
      <c r="AA1301" t="n">
        <v>4</v>
      </c>
      <c r="AB1301" t="inlineStr">
        <is>
          <t>Avfallsmangder och lagringstid</t>
        </is>
      </c>
      <c r="AC1301" t="inlineStr">
        <is>
          <t>Avfallsforteckning</t>
        </is>
      </c>
      <c r="AD1301" t="inlineStr">
        <is>
          <t>Nej</t>
        </is>
      </c>
      <c r="AE1301" t="inlineStr">
        <is>
          <t>Nej</t>
        </is>
      </c>
      <c r="AF1301" t="inlineStr">
        <is>
          <t>Ej behandlad</t>
        </is>
      </c>
      <c r="AG1301" t="inlineStr">
        <is>
          <t>AUTO_GENERERAD. Verifiera citat mot kallfil.</t>
        </is>
      </c>
      <c r="AH1301" t="inlineStr">
        <is>
          <t>MEDIUM</t>
        </is>
      </c>
      <c r="AI1301" t="inlineStr">
        <is>
          <t>AUTO</t>
        </is>
      </c>
      <c r="AJ1301" t="inlineStr">
        <is>
          <t>Nej</t>
        </is>
      </c>
      <c r="AK1301" t="inlineStr"/>
      <c r="AL1301" t="inlineStr"/>
      <c r="AM1301" t="inlineStr"/>
      <c r="AN1301" t="inlineStr"/>
      <c r="AO1301" t="inlineStr">
        <is>
          <t>cmm4yup6002ahcuqwiwhrtr3f</t>
        </is>
      </c>
      <c r="AP1301" t="inlineStr">
        <is>
          <t>http://localhost:8787/api/admin/requirements/documents/cmm4yup6002ahcuqwiwhrtr3f/view</t>
        </is>
      </c>
      <c r="AQ1301">
        <f>HYPERLÄNK("http://localhost:8787/api/admin/requirements/documents/cmm4yup6002ahcuqwiwhrtr3f/view";"Öppna PDF")</f>
        <v/>
      </c>
      <c r="AR1301">
        <f>HYPERLINK("http://localhost:8787/api/admin/requirements/documents/cmm4yup6002ahcuqwiwhrtr3f/view","Open PDF")</f>
        <v/>
      </c>
      <c r="AS1301" t="inlineStr">
        <is>
          <t>cmm55w57p0004cuisfrtpqly8</t>
        </is>
      </c>
      <c r="AT1301" t="inlineStr">
        <is>
          <t>cmm4xvu980000cuh4vj0usz09</t>
        </is>
      </c>
      <c r="AU1301" t="inlineStr">
        <is>
          <t>pdf Hedemora</t>
        </is>
      </c>
      <c r="AV1301" t="inlineStr">
        <is>
          <t>Kommun</t>
        </is>
      </c>
      <c r="AW1301" t="inlineStr">
        <is>
          <t>pdf Hedemora kommun</t>
        </is>
      </c>
      <c r="AX1301" t="inlineStr">
        <is>
          <t>0225-340</t>
        </is>
      </c>
      <c r="AY1301" t="inlineStr">
        <is>
          <t>Beslut</t>
        </is>
      </c>
      <c r="AZ1301" t="inlineStr">
        <is>
          <t>2026-02-03</t>
        </is>
      </c>
      <c r="BA1301" t="inlineStr">
        <is>
          <t>MB-2024-448-427-INFOR-Brev-2024-06-24-.pdf</t>
        </is>
      </c>
      <c r="BB1301" t="inlineStr">
        <is>
          <t>SV: till registrator [2026HSC4325]</t>
        </is>
      </c>
      <c r="BC1301" t="inlineStr">
        <is>
          <t>AUTO</t>
        </is>
      </c>
      <c r="BD1301" t="inlineStr"/>
      <c r="BE1301" t="inlineStr"/>
      <c r="BF1301" t="inlineStr">
        <is>
          <t>AUTO_GENERERAD. Bekrafta metadata mot kallfil.</t>
        </is>
      </c>
      <c r="BG1301">
        <f>HYPERLINK("C:\Users\jimmy\Desktop\Examens arbete\Kod\Ny mapp\remix_-copy-of-miljöbeslut.se-portal\MB-2024-448-427-INFOR-Brev-2024-06-24-.pdf", "Öppna PDF")</f>
        <v/>
      </c>
    </row>
    <row r="1302">
      <c r="A1302" t="inlineStr">
        <is>
          <t>KRAV-AUTO-001301</t>
        </is>
      </c>
      <c r="B1302" t="inlineStr">
        <is>
          <t>ADMIN-INDEX-2026-02-27-00000000125C043F57453246863FE664CAFE6A3F0700950291EA24F0614FB6ACEDB12BF0E31D00000000010C0000950291EA24F0614FB6ACEDB12BF0E31D00002087AE9D0000</t>
        </is>
      </c>
      <c r="C1302" t="inlineStr">
        <is>
          <t>cmm4yup5x02aecuqwxb56oqab</t>
        </is>
      </c>
      <c r="D1302" t="inlineStr">
        <is>
          <t>http://localhost:8787/api/admin/requirements/documents/cmm4yup5x02aecuqwxb56oqab/view</t>
        </is>
      </c>
      <c r="E1302">
        <f>HYPERLÄNK("http://localhost:8787/api/admin/requirements/documents/cmm4yup5x02aecuqwxb56oqab/view";"Öppna PDF")</f>
        <v/>
      </c>
      <c r="F1302">
        <f>HYPERLINK("http://localhost:8787/api/admin/requirements/documents/cmm4yup5x02aecuqwxb56oqab/view","Open PDF")</f>
        <v/>
      </c>
      <c r="G1302" t="inlineStr">
        <is>
          <t>cmm55w57p0004cuisfrtpqly8</t>
        </is>
      </c>
      <c r="H1302" t="inlineStr">
        <is>
          <t>Beslutsvillkor</t>
        </is>
      </c>
      <c r="I1302" t="inlineStr">
        <is>
          <t>LagringsvolymTid</t>
        </is>
      </c>
      <c r="J1302" t="inlineStr">
        <is>
          <t>Maxmangd</t>
        </is>
      </c>
      <c r="K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02" t="inlineStr">
        <is>
          <t>SKA</t>
        </is>
      </c>
      <c r="N1302" t="inlineStr"/>
      <c r="O1302" t="inlineStr">
        <is>
          <t>2024-08-28</t>
        </is>
      </c>
      <c r="P1302" t="inlineStr"/>
      <c r="Q1302" t="inlineStr"/>
      <c r="R1302" t="inlineStr">
        <is>
          <t>Alltid</t>
        </is>
      </c>
      <c r="S1302" t="inlineStr"/>
      <c r="T1302" t="inlineStr">
        <is>
          <t>212000</t>
        </is>
      </c>
      <c r="U1302" t="inlineStr"/>
      <c r="V1302" t="inlineStr"/>
      <c r="W1302" t="inlineStr">
        <is>
          <t>Nej</t>
        </is>
      </c>
      <c r="X1302" t="inlineStr">
        <is>
          <t>Nej</t>
        </is>
      </c>
      <c r="Y1302" t="inlineStr">
        <is>
          <t>Nej</t>
        </is>
      </c>
      <c r="Z1302" t="inlineStr">
        <is>
          <t>Nej</t>
        </is>
      </c>
      <c r="AA1302" t="n">
        <v>4</v>
      </c>
      <c r="AB1302" t="inlineStr">
        <is>
          <t>Avfallsmangder och lagringstid</t>
        </is>
      </c>
      <c r="AC1302" t="inlineStr">
        <is>
          <t>Avfallsforteckning</t>
        </is>
      </c>
      <c r="AD1302" t="inlineStr">
        <is>
          <t>Nej</t>
        </is>
      </c>
      <c r="AE1302" t="inlineStr">
        <is>
          <t>Nej</t>
        </is>
      </c>
      <c r="AF1302" t="inlineStr">
        <is>
          <t>Ej behandlad</t>
        </is>
      </c>
      <c r="AG1302" t="inlineStr">
        <is>
          <t>AUTO_GENERERAD. Verifiera citat mot kallfil.</t>
        </is>
      </c>
      <c r="AH1302" t="inlineStr">
        <is>
          <t>MEDIUM</t>
        </is>
      </c>
      <c r="AI1302" t="inlineStr">
        <is>
          <t>AUTO</t>
        </is>
      </c>
      <c r="AJ1302" t="inlineStr">
        <is>
          <t>Nej</t>
        </is>
      </c>
      <c r="AK1302" t="inlineStr"/>
      <c r="AL1302" t="inlineStr"/>
      <c r="AM1302" t="inlineStr"/>
      <c r="AN1302" t="inlineStr"/>
      <c r="AO1302" t="inlineStr">
        <is>
          <t>cmm4yup6002ahcuqwiwhrtr3f</t>
        </is>
      </c>
      <c r="AP1302" t="inlineStr">
        <is>
          <t>http://localhost:8787/api/admin/requirements/documents/cmm4yup6002ahcuqwiwhrtr3f/view</t>
        </is>
      </c>
      <c r="AQ1302">
        <f>HYPERLÄNK("http://localhost:8787/api/admin/requirements/documents/cmm4yup6002ahcuqwiwhrtr3f/view";"Öppna PDF")</f>
        <v/>
      </c>
      <c r="AR1302">
        <f>HYPERLINK("http://localhost:8787/api/admin/requirements/documents/cmm4yup6002ahcuqwiwhrtr3f/view","Open PDF")</f>
        <v/>
      </c>
      <c r="AS1302" t="inlineStr">
        <is>
          <t>cmm55w57p0004cuisfrtpqly8</t>
        </is>
      </c>
      <c r="AT1302" t="inlineStr">
        <is>
          <t>cmm4xvu980000cuh4vj0usz09</t>
        </is>
      </c>
      <c r="AU1302" t="inlineStr">
        <is>
          <t>pdf Hedemora</t>
        </is>
      </c>
      <c r="AV1302" t="inlineStr">
        <is>
          <t>Kommun</t>
        </is>
      </c>
      <c r="AW1302" t="inlineStr">
        <is>
          <t>pdf Hedemora kommun</t>
        </is>
      </c>
      <c r="AX1302" t="inlineStr">
        <is>
          <t>0225-340</t>
        </is>
      </c>
      <c r="AY1302" t="inlineStr">
        <is>
          <t>Beslut</t>
        </is>
      </c>
      <c r="AZ1302" t="inlineStr">
        <is>
          <t>2026-02-03</t>
        </is>
      </c>
      <c r="BA1302" t="inlineStr">
        <is>
          <t>MB-2024-448-427-INFOR-Brev-2024-06-24-.pdf</t>
        </is>
      </c>
      <c r="BB1302" t="inlineStr">
        <is>
          <t>SV: till registrator [2026HSC4325]</t>
        </is>
      </c>
      <c r="BC1302" t="inlineStr">
        <is>
          <t>AUTO</t>
        </is>
      </c>
      <c r="BD1302" t="inlineStr"/>
      <c r="BE1302" t="inlineStr"/>
      <c r="BF1302" t="inlineStr">
        <is>
          <t>AUTO_GENERERAD. Bekrafta metadata mot kallfil.</t>
        </is>
      </c>
      <c r="BG1302">
        <f>HYPERLINK("C:\Users\jimmy\Desktop\Examens arbete\Kod\Ny mapp\remix_-copy-of-miljöbeslut.se-portal\MB-2024-448-427-INFOR-Brev-2024-06-24-.pdf", "Öppna PDF")</f>
        <v/>
      </c>
    </row>
    <row r="1303">
      <c r="A1303" t="inlineStr">
        <is>
          <t>KRAV-AUTO-001302</t>
        </is>
      </c>
      <c r="B1303" t="inlineStr">
        <is>
          <t>ADMIN-INDEX-2026-02-27-00000000125C043F57453246863FE664CAFE6A3F0700950291EA24F0614FB6ACEDB12BF0E31D00000000010C0000950291EA24F0614FB6ACEDB12BF0E31D00002087AE9D0000</t>
        </is>
      </c>
      <c r="C1303" t="inlineStr">
        <is>
          <t>cmm4yup5x02aecuqwxb56oqab</t>
        </is>
      </c>
      <c r="D1303" t="inlineStr">
        <is>
          <t>http://localhost:8787/api/admin/requirements/documents/cmm4yup5x02aecuqwxb56oqab/view</t>
        </is>
      </c>
      <c r="E1303">
        <f>HYPERLÄNK("http://localhost:8787/api/admin/requirements/documents/cmm4yup5x02aecuqwxb56oqab/view";"Öppna PDF")</f>
        <v/>
      </c>
      <c r="F1303">
        <f>HYPERLINK("http://localhost:8787/api/admin/requirements/documents/cmm4yup5x02aecuqwxb56oqab/view","Open PDF")</f>
        <v/>
      </c>
      <c r="G1303" t="inlineStr">
        <is>
          <t>cmm55w57p0004cuisfrtpqly8</t>
        </is>
      </c>
      <c r="H1303" t="inlineStr">
        <is>
          <t>Beslutsvillkor</t>
        </is>
      </c>
      <c r="I1303" t="inlineStr">
        <is>
          <t>LagringsvolymTid</t>
        </is>
      </c>
      <c r="J1303" t="inlineStr">
        <is>
          <t>Maxmangd</t>
        </is>
      </c>
      <c r="K1303" t="inlineStr">
        <is>
          <t>Där anges att anmälningsplikt C gäller vid lagring av avfall, som ska användas till annat än i byggnads- eller anläggningsändamål, om mängden vid något tillfälle är mer än 10 ton men högst 10 000 ton.</t>
        </is>
      </c>
      <c r="L1303" t="inlineStr">
        <is>
          <t>Där anges att anmälningsplikt C gäller vid lagring av avfall, som ska användas till annat än i byggnads- eller anläggningsändamål, om mängden vid något tillfälle är mer än 10 ton men högst 10 000 ton.</t>
        </is>
      </c>
      <c r="M1303" t="inlineStr">
        <is>
          <t>SKA</t>
        </is>
      </c>
      <c r="N1303" t="inlineStr"/>
      <c r="O1303" t="inlineStr"/>
      <c r="P1303" t="inlineStr"/>
      <c r="Q1303" t="inlineStr"/>
      <c r="R1303" t="inlineStr">
        <is>
          <t>Alltid</t>
        </is>
      </c>
      <c r="S1303" t="inlineStr"/>
      <c r="T1303" t="inlineStr">
        <is>
          <t>212000</t>
        </is>
      </c>
      <c r="U1303" t="n">
        <v>10</v>
      </c>
      <c r="V1303" t="inlineStr"/>
      <c r="W1303" t="inlineStr">
        <is>
          <t>Nej</t>
        </is>
      </c>
      <c r="X1303" t="inlineStr">
        <is>
          <t>Nej</t>
        </is>
      </c>
      <c r="Y1303" t="inlineStr">
        <is>
          <t>Nej</t>
        </is>
      </c>
      <c r="Z1303" t="inlineStr">
        <is>
          <t>Nej</t>
        </is>
      </c>
      <c r="AA1303" t="n">
        <v>4</v>
      </c>
      <c r="AB1303" t="inlineStr">
        <is>
          <t>Avfallsmangder och lagringstid</t>
        </is>
      </c>
      <c r="AC1303" t="inlineStr">
        <is>
          <t>Avfallsforteckning</t>
        </is>
      </c>
      <c r="AD1303" t="inlineStr">
        <is>
          <t>Nej</t>
        </is>
      </c>
      <c r="AE1303" t="inlineStr">
        <is>
          <t>Nej</t>
        </is>
      </c>
      <c r="AF1303" t="inlineStr">
        <is>
          <t>Ej behandlad</t>
        </is>
      </c>
      <c r="AG1303" t="inlineStr">
        <is>
          <t>AUTO_GENERERAD. Verifiera citat mot kallfil.</t>
        </is>
      </c>
      <c r="AH1303" t="inlineStr">
        <is>
          <t>MEDIUM</t>
        </is>
      </c>
      <c r="AI1303" t="inlineStr">
        <is>
          <t>AUTO</t>
        </is>
      </c>
      <c r="AJ1303" t="inlineStr">
        <is>
          <t>Nej</t>
        </is>
      </c>
      <c r="AK1303" t="inlineStr"/>
      <c r="AL1303" t="inlineStr"/>
      <c r="AM1303" t="inlineStr"/>
      <c r="AN1303" t="inlineStr"/>
      <c r="AO1303" t="inlineStr">
        <is>
          <t>cmm4yup6002ahcuqwiwhrtr3f</t>
        </is>
      </c>
      <c r="AP1303" t="inlineStr">
        <is>
          <t>http://localhost:8787/api/admin/requirements/documents/cmm4yup6002ahcuqwiwhrtr3f/view</t>
        </is>
      </c>
      <c r="AQ1303">
        <f>HYPERLÄNK("http://localhost:8787/api/admin/requirements/documents/cmm4yup6002ahcuqwiwhrtr3f/view";"Öppna PDF")</f>
        <v/>
      </c>
      <c r="AR1303">
        <f>HYPERLINK("http://localhost:8787/api/admin/requirements/documents/cmm4yup6002ahcuqwiwhrtr3f/view","Open PDF")</f>
        <v/>
      </c>
      <c r="AS1303" t="inlineStr">
        <is>
          <t>cmm55w57p0004cuisfrtpqly8</t>
        </is>
      </c>
      <c r="AT1303" t="inlineStr">
        <is>
          <t>cmm4xvu980000cuh4vj0usz09</t>
        </is>
      </c>
      <c r="AU1303" t="inlineStr">
        <is>
          <t>pdf Hedemora</t>
        </is>
      </c>
      <c r="AV1303" t="inlineStr">
        <is>
          <t>Kommun</t>
        </is>
      </c>
      <c r="AW1303" t="inlineStr">
        <is>
          <t>pdf Hedemora kommun</t>
        </is>
      </c>
      <c r="AX1303" t="inlineStr">
        <is>
          <t>0225-340</t>
        </is>
      </c>
      <c r="AY1303" t="inlineStr">
        <is>
          <t>Beslut</t>
        </is>
      </c>
      <c r="AZ1303" t="inlineStr">
        <is>
          <t>2026-02-03</t>
        </is>
      </c>
      <c r="BA1303" t="inlineStr">
        <is>
          <t>MB-2024-448-427-INFOR-Brev-2024-06-24-.pdf</t>
        </is>
      </c>
      <c r="BB1303" t="inlineStr">
        <is>
          <t>SV: till registrator [2026HSC4325]</t>
        </is>
      </c>
      <c r="BC1303" t="inlineStr">
        <is>
          <t>AUTO</t>
        </is>
      </c>
      <c r="BD1303" t="inlineStr"/>
      <c r="BE1303" t="inlineStr"/>
      <c r="BF1303" t="inlineStr">
        <is>
          <t>AUTO_GENERERAD. Bekrafta metadata mot kallfil.</t>
        </is>
      </c>
      <c r="BG1303">
        <f>HYPERLINK("C:\Users\jimmy\Desktop\Examens arbete\Kod\Ny mapp\remix_-copy-of-miljöbeslut.se-portal\MB-2024-448-427-INFOR-Brev-2024-06-24-.pdf", "Öppna PDF")</f>
        <v/>
      </c>
    </row>
    <row r="1304">
      <c r="A1304" t="inlineStr">
        <is>
          <t>KRAV-AUTO-001303</t>
        </is>
      </c>
      <c r="B1304" t="inlineStr">
        <is>
          <t>ADMIN-INDEX-2026-02-27-00000000125C043F57453246863FE664CAFE6A3F0700950291EA24F0614FB6ACEDB12BF0E31D00000000010C0000950291EA24F0614FB6ACEDB12BF0E31D00002087AE9D0000</t>
        </is>
      </c>
      <c r="C1304" t="inlineStr">
        <is>
          <t>cmm4yup5x02aecuqwxb56oqab</t>
        </is>
      </c>
      <c r="D1304" t="inlineStr">
        <is>
          <t>http://localhost:8787/api/admin/requirements/documents/cmm4yup5x02aecuqwxb56oqab/view</t>
        </is>
      </c>
      <c r="E1304">
        <f>HYPERLÄNK("http://localhost:8787/api/admin/requirements/documents/cmm4yup5x02aecuqwxb56oqab/view";"Öppna PDF")</f>
        <v/>
      </c>
      <c r="F1304">
        <f>HYPERLINK("http://localhost:8787/api/admin/requirements/documents/cmm4yup5x02aecuqwxb56oqab/view","Open PDF")</f>
        <v/>
      </c>
      <c r="G1304" t="inlineStr">
        <is>
          <t>cmm55w57p0004cuisfrtpqly8</t>
        </is>
      </c>
      <c r="H1304" t="inlineStr">
        <is>
          <t>Beslutsvillkor</t>
        </is>
      </c>
      <c r="I1304" t="inlineStr">
        <is>
          <t>Riskhantering</t>
        </is>
      </c>
      <c r="J1304" t="inlineStr">
        <is>
          <t>Riskkontroll</t>
        </is>
      </c>
      <c r="K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04" t="inlineStr">
        <is>
          <t>SKA</t>
        </is>
      </c>
      <c r="N1304" t="inlineStr"/>
      <c r="O1304" t="inlineStr"/>
      <c r="P1304" t="inlineStr"/>
      <c r="Q1304" t="inlineStr"/>
      <c r="R1304" t="inlineStr">
        <is>
          <t>Vid risk for incident</t>
        </is>
      </c>
      <c r="S1304" t="inlineStr"/>
      <c r="T1304" t="inlineStr">
        <is>
          <t>212000</t>
        </is>
      </c>
      <c r="U1304" t="inlineStr"/>
      <c r="V1304" t="inlineStr"/>
      <c r="W1304" t="inlineStr">
        <is>
          <t>Nej</t>
        </is>
      </c>
      <c r="X1304" t="inlineStr">
        <is>
          <t>Nej</t>
        </is>
      </c>
      <c r="Y1304" t="inlineStr">
        <is>
          <t>Ja</t>
        </is>
      </c>
      <c r="Z1304" t="inlineStr">
        <is>
          <t>Ja</t>
        </is>
      </c>
      <c r="AA1304" t="n">
        <v>8</v>
      </c>
      <c r="AB1304" t="inlineStr">
        <is>
          <t>Riskhantering</t>
        </is>
      </c>
      <c r="AC1304" t="inlineStr">
        <is>
          <t>Risk-PM</t>
        </is>
      </c>
      <c r="AD1304" t="inlineStr">
        <is>
          <t>Nej</t>
        </is>
      </c>
      <c r="AE1304" t="inlineStr">
        <is>
          <t>Nej</t>
        </is>
      </c>
      <c r="AF1304" t="inlineStr">
        <is>
          <t>Ej behandlad</t>
        </is>
      </c>
      <c r="AG1304" t="inlineStr">
        <is>
          <t>AUTO_GENERERAD. Verifiera citat mot kallfil.</t>
        </is>
      </c>
      <c r="AH1304" t="inlineStr">
        <is>
          <t>MEDIUM</t>
        </is>
      </c>
      <c r="AI1304" t="inlineStr">
        <is>
          <t>AUTO</t>
        </is>
      </c>
      <c r="AJ1304" t="inlineStr">
        <is>
          <t>Nej</t>
        </is>
      </c>
      <c r="AK1304" t="inlineStr"/>
      <c r="AL1304" t="inlineStr"/>
      <c r="AM1304" t="inlineStr"/>
      <c r="AN1304" t="inlineStr"/>
      <c r="AO1304" t="inlineStr">
        <is>
          <t>cmm4yup6002ahcuqwiwhrtr3f</t>
        </is>
      </c>
      <c r="AP1304" t="inlineStr">
        <is>
          <t>http://localhost:8787/api/admin/requirements/documents/cmm4yup6002ahcuqwiwhrtr3f/view</t>
        </is>
      </c>
      <c r="AQ1304">
        <f>HYPERLÄNK("http://localhost:8787/api/admin/requirements/documents/cmm4yup6002ahcuqwiwhrtr3f/view";"Öppna PDF")</f>
        <v/>
      </c>
      <c r="AR1304">
        <f>HYPERLINK("http://localhost:8787/api/admin/requirements/documents/cmm4yup6002ahcuqwiwhrtr3f/view","Open PDF")</f>
        <v/>
      </c>
      <c r="AS1304" t="inlineStr">
        <is>
          <t>cmm55w57p0004cuisfrtpqly8</t>
        </is>
      </c>
      <c r="AT1304" t="inlineStr">
        <is>
          <t>cmm4xvu980000cuh4vj0usz09</t>
        </is>
      </c>
      <c r="AU1304" t="inlineStr">
        <is>
          <t>pdf Hedemora</t>
        </is>
      </c>
      <c r="AV1304" t="inlineStr">
        <is>
          <t>Kommun</t>
        </is>
      </c>
      <c r="AW1304" t="inlineStr">
        <is>
          <t>pdf Hedemora kommun</t>
        </is>
      </c>
      <c r="AX1304" t="inlineStr">
        <is>
          <t>0225-340</t>
        </is>
      </c>
      <c r="AY1304" t="inlineStr">
        <is>
          <t>Beslut</t>
        </is>
      </c>
      <c r="AZ1304" t="inlineStr">
        <is>
          <t>2026-02-03</t>
        </is>
      </c>
      <c r="BA1304" t="inlineStr">
        <is>
          <t>MB-2024-448-427-INFOR-Brev-2024-06-24-.pdf</t>
        </is>
      </c>
      <c r="BB1304" t="inlineStr">
        <is>
          <t>SV: till registrator [2026HSC4325]</t>
        </is>
      </c>
      <c r="BC1304" t="inlineStr">
        <is>
          <t>AUTO</t>
        </is>
      </c>
      <c r="BD1304" t="inlineStr"/>
      <c r="BE1304" t="inlineStr"/>
      <c r="BF1304" t="inlineStr">
        <is>
          <t>AUTO_GENERERAD. Bekrafta metadata mot kallfil.</t>
        </is>
      </c>
      <c r="BG1304">
        <f>HYPERLINK("C:\Users\jimmy\Desktop\Examens arbete\Kod\Ny mapp\remix_-copy-of-miljöbeslut.se-portal\MB-2024-448-427-INFOR-Brev-2024-06-24-.pdf", "Öppna PDF")</f>
        <v/>
      </c>
    </row>
    <row r="1305">
      <c r="A1305" t="inlineStr">
        <is>
          <t>KRAV-AUTO-001304</t>
        </is>
      </c>
      <c r="B1305" t="inlineStr">
        <is>
          <t>ADMIN-INDEX-2026-02-27-00000000125C043F57453246863FE664CAFE6A3F0700950291EA24F0614FB6ACEDB12BF0E31D00000000010C0000950291EA24F0614FB6ACEDB12BF0E31D00002087AE9D0000</t>
        </is>
      </c>
      <c r="C1305" t="inlineStr">
        <is>
          <t>cmm4yup5r02a8cuqwphvfys2q</t>
        </is>
      </c>
      <c r="D1305" t="inlineStr">
        <is>
          <t>http://localhost:8787/api/admin/requirements/documents/cmm4yup5r02a8cuqwphvfys2q/view</t>
        </is>
      </c>
      <c r="E1305">
        <f>HYPERLÄNK("http://localhost:8787/api/admin/requirements/documents/cmm4yup5r02a8cuqwphvfys2q/view";"Öppna PDF")</f>
        <v/>
      </c>
      <c r="F1305">
        <f>HYPERLINK("http://localhost:8787/api/admin/requirements/documents/cmm4yup5r02a8cuqwphvfys2q/view","Open PDF")</f>
        <v/>
      </c>
      <c r="G1305" t="inlineStr">
        <is>
          <t>cmm55w57p0004cuisfrtpqly8</t>
        </is>
      </c>
      <c r="H1305" t="inlineStr">
        <is>
          <t>Beslutsvillkor</t>
        </is>
      </c>
      <c r="I1305" t="inlineStr">
        <is>
          <t>LagringsvolymTid</t>
        </is>
      </c>
      <c r="J1305" t="inlineStr">
        <is>
          <t>Maxmangd</t>
        </is>
      </c>
      <c r="K1305" t="inlineStr">
        <is>
          <t>Det fiber- och bioslammet kommer endast från kartongbruket och ska provtas under mellanlagringen.</t>
        </is>
      </c>
      <c r="L1305" t="inlineStr">
        <is>
          <t>Det fiber- och bioslammet kommer endast från kartongbruket och ska provtas under mellanlagringen.</t>
        </is>
      </c>
      <c r="M1305" t="inlineStr">
        <is>
          <t>SKA</t>
        </is>
      </c>
      <c r="N1305" t="inlineStr"/>
      <c r="O1305" t="inlineStr"/>
      <c r="P1305" t="inlineStr"/>
      <c r="Q1305" t="inlineStr"/>
      <c r="R1305" t="inlineStr">
        <is>
          <t>Alltid</t>
        </is>
      </c>
      <c r="S1305" t="inlineStr"/>
      <c r="T1305" t="inlineStr">
        <is>
          <t>2024 09</t>
        </is>
      </c>
      <c r="U1305" t="inlineStr"/>
      <c r="V1305" t="inlineStr"/>
      <c r="W1305" t="inlineStr">
        <is>
          <t>Nej</t>
        </is>
      </c>
      <c r="X1305" t="inlineStr">
        <is>
          <t>Nej</t>
        </is>
      </c>
      <c r="Y1305" t="inlineStr">
        <is>
          <t>Nej</t>
        </is>
      </c>
      <c r="Z1305" t="inlineStr">
        <is>
          <t>Nej</t>
        </is>
      </c>
      <c r="AA1305" t="n">
        <v>4</v>
      </c>
      <c r="AB1305" t="inlineStr">
        <is>
          <t>Avfallsmangder och lagringstid</t>
        </is>
      </c>
      <c r="AC1305" t="inlineStr">
        <is>
          <t>Avfallsforteckning</t>
        </is>
      </c>
      <c r="AD1305" t="inlineStr">
        <is>
          <t>Nej</t>
        </is>
      </c>
      <c r="AE1305" t="inlineStr">
        <is>
          <t>Nej</t>
        </is>
      </c>
      <c r="AF1305" t="inlineStr">
        <is>
          <t>Ej behandlad</t>
        </is>
      </c>
      <c r="AG1305" t="inlineStr">
        <is>
          <t>AUTO_GENERERAD. Verifiera citat mot kallfil.</t>
        </is>
      </c>
      <c r="AH1305" t="inlineStr">
        <is>
          <t>MEDIUM</t>
        </is>
      </c>
      <c r="AI1305" t="inlineStr">
        <is>
          <t>AUTO</t>
        </is>
      </c>
      <c r="AJ1305" t="inlineStr">
        <is>
          <t>Nej</t>
        </is>
      </c>
      <c r="AK1305" t="inlineStr"/>
      <c r="AL1305" t="inlineStr"/>
      <c r="AM1305" t="inlineStr"/>
      <c r="AN1305" t="inlineStr"/>
      <c r="AO1305" t="inlineStr">
        <is>
          <t>cmm4yup6002ahcuqwiwhrtr3f</t>
        </is>
      </c>
      <c r="AP1305" t="inlineStr">
        <is>
          <t>http://localhost:8787/api/admin/requirements/documents/cmm4yup6002ahcuqwiwhrtr3f/view</t>
        </is>
      </c>
      <c r="AQ1305">
        <f>HYPERLÄNK("http://localhost:8787/api/admin/requirements/documents/cmm4yup6002ahcuqwiwhrtr3f/view";"Öppna PDF")</f>
        <v/>
      </c>
      <c r="AR1305">
        <f>HYPERLINK("http://localhost:8787/api/admin/requirements/documents/cmm4yup6002ahcuqwiwhrtr3f/view","Open PDF")</f>
        <v/>
      </c>
      <c r="AS1305" t="inlineStr">
        <is>
          <t>cmm55w57p0004cuisfrtpqly8</t>
        </is>
      </c>
      <c r="AT1305" t="inlineStr">
        <is>
          <t>cmm4xvu980000cuh4vj0usz09</t>
        </is>
      </c>
      <c r="AU1305" t="inlineStr">
        <is>
          <t>pdf Hedemora</t>
        </is>
      </c>
      <c r="AV1305" t="inlineStr">
        <is>
          <t>Kommun</t>
        </is>
      </c>
      <c r="AW1305" t="inlineStr">
        <is>
          <t>pdf Hedemora kommun</t>
        </is>
      </c>
      <c r="AX1305" t="inlineStr">
        <is>
          <t>0225-340</t>
        </is>
      </c>
      <c r="AY1305" t="inlineStr">
        <is>
          <t>Beslut</t>
        </is>
      </c>
      <c r="AZ1305" t="inlineStr">
        <is>
          <t>2026-02-03</t>
        </is>
      </c>
      <c r="BA1305" t="inlineStr">
        <is>
          <t>MB-2024-448-427-INFOR-Brev-2024-06-24-.pdf</t>
        </is>
      </c>
      <c r="BB1305" t="inlineStr">
        <is>
          <t>SV: till registrator [2026HSC4325]</t>
        </is>
      </c>
      <c r="BC1305" t="inlineStr">
        <is>
          <t>AUTO</t>
        </is>
      </c>
      <c r="BD1305" t="inlineStr"/>
      <c r="BE1305" t="inlineStr"/>
      <c r="BF1305" t="inlineStr">
        <is>
          <t>AUTO_GENERERAD. Bekrafta metadata mot kallfil.</t>
        </is>
      </c>
      <c r="BG1305">
        <f>HYPERLINK("C:\Users\jimmy\Desktop\Examens arbete\Kod\Ny mapp\remix_-copy-of-miljöbeslut.se-portal\MB-2024-448-427-INFOR-Brev-2024-06-24-.pdf", "Öppna PDF")</f>
        <v/>
      </c>
    </row>
    <row r="1306">
      <c r="A1306" t="inlineStr">
        <is>
          <t>KRAV-AUTO-001305</t>
        </is>
      </c>
      <c r="B1306" t="inlineStr">
        <is>
          <t>ADMIN-INDEX-2026-02-27-00000000125C043F57453246863FE664CAFE6A3F0700950291EA24F0614FB6ACEDB12BF0E31D00000000010C0000950291EA24F0614FB6ACEDB12BF0E31D00002087AE9D0000</t>
        </is>
      </c>
      <c r="C1306" t="inlineStr">
        <is>
          <t>cmm4yup5r02a8cuqwphvfys2q</t>
        </is>
      </c>
      <c r="D1306" t="inlineStr">
        <is>
          <t>http://localhost:8787/api/admin/requirements/documents/cmm4yup5r02a8cuqwphvfys2q/view</t>
        </is>
      </c>
      <c r="E1306">
        <f>HYPERLÄNK("http://localhost:8787/api/admin/requirements/documents/cmm4yup5r02a8cuqwphvfys2q/view";"Öppna PDF")</f>
        <v/>
      </c>
      <c r="F1306">
        <f>HYPERLINK("http://localhost:8787/api/admin/requirements/documents/cmm4yup5r02a8cuqwphvfys2q/view","Open PDF")</f>
        <v/>
      </c>
      <c r="G1306" t="inlineStr">
        <is>
          <t>cmm55w57p0004cuisfrtpqly8</t>
        </is>
      </c>
      <c r="H1306" t="inlineStr">
        <is>
          <t>Beslutsvillkor</t>
        </is>
      </c>
      <c r="I1306" t="inlineStr">
        <is>
          <t>DriftEgenkontroll</t>
        </is>
      </c>
      <c r="J1306" t="inlineStr">
        <is>
          <t>Journalforing</t>
        </is>
      </c>
      <c r="K1306" t="inlineStr">
        <is>
          <t>Enligt verksamhetsutövaren ska de inte göra någon aktiv behandling av massorna förutom provtagningen.</t>
        </is>
      </c>
      <c r="L1306" t="inlineStr">
        <is>
          <t>Enligt verksamhetsutövaren ska de inte göra någon aktiv behandling av massorna förutom provtagningen.</t>
        </is>
      </c>
      <c r="M1306" t="inlineStr">
        <is>
          <t>SKA</t>
        </is>
      </c>
      <c r="N1306" t="inlineStr"/>
      <c r="O1306" t="inlineStr"/>
      <c r="P1306" t="inlineStr"/>
      <c r="Q1306" t="inlineStr"/>
      <c r="R1306" t="inlineStr">
        <is>
          <t>Lopande drift</t>
        </is>
      </c>
      <c r="S1306" t="inlineStr"/>
      <c r="T1306" t="inlineStr">
        <is>
          <t>2024 09</t>
        </is>
      </c>
      <c r="U1306" t="inlineStr"/>
      <c r="V1306" t="inlineStr"/>
      <c r="W1306" t="inlineStr">
        <is>
          <t>Nej</t>
        </is>
      </c>
      <c r="X1306" t="inlineStr">
        <is>
          <t>Nej</t>
        </is>
      </c>
      <c r="Y1306" t="inlineStr">
        <is>
          <t>Ja</t>
        </is>
      </c>
      <c r="Z1306" t="inlineStr">
        <is>
          <t>Nej</t>
        </is>
      </c>
      <c r="AA1306" t="n">
        <v>7</v>
      </c>
      <c r="AB1306" t="inlineStr">
        <is>
          <t>Egenkontrollrutiner</t>
        </is>
      </c>
      <c r="AC1306" t="inlineStr">
        <is>
          <t>Egenkontrollprogram</t>
        </is>
      </c>
      <c r="AD1306" t="inlineStr">
        <is>
          <t>Nej</t>
        </is>
      </c>
      <c r="AE1306" t="inlineStr">
        <is>
          <t>Nej</t>
        </is>
      </c>
      <c r="AF1306" t="inlineStr">
        <is>
          <t>Ej behandlad</t>
        </is>
      </c>
      <c r="AG1306" t="inlineStr">
        <is>
          <t>AUTO_GENERERAD. Verifiera citat mot kallfil.</t>
        </is>
      </c>
      <c r="AH1306" t="inlineStr">
        <is>
          <t>MEDIUM</t>
        </is>
      </c>
      <c r="AI1306" t="inlineStr">
        <is>
          <t>AUTO</t>
        </is>
      </c>
      <c r="AJ1306" t="inlineStr">
        <is>
          <t>Nej</t>
        </is>
      </c>
      <c r="AK1306" t="inlineStr"/>
      <c r="AL1306" t="inlineStr"/>
      <c r="AM1306" t="inlineStr"/>
      <c r="AN1306" t="inlineStr"/>
      <c r="AO1306" t="inlineStr">
        <is>
          <t>cmm4yup6002ahcuqwiwhrtr3f</t>
        </is>
      </c>
      <c r="AP1306" t="inlineStr">
        <is>
          <t>http://localhost:8787/api/admin/requirements/documents/cmm4yup6002ahcuqwiwhrtr3f/view</t>
        </is>
      </c>
      <c r="AQ1306">
        <f>HYPERLÄNK("http://localhost:8787/api/admin/requirements/documents/cmm4yup6002ahcuqwiwhrtr3f/view";"Öppna PDF")</f>
        <v/>
      </c>
      <c r="AR1306">
        <f>HYPERLINK("http://localhost:8787/api/admin/requirements/documents/cmm4yup6002ahcuqwiwhrtr3f/view","Open PDF")</f>
        <v/>
      </c>
      <c r="AS1306" t="inlineStr">
        <is>
          <t>cmm55w57p0004cuisfrtpqly8</t>
        </is>
      </c>
      <c r="AT1306" t="inlineStr">
        <is>
          <t>cmm4xvu980000cuh4vj0usz09</t>
        </is>
      </c>
      <c r="AU1306" t="inlineStr">
        <is>
          <t>pdf Hedemora</t>
        </is>
      </c>
      <c r="AV1306" t="inlineStr">
        <is>
          <t>Kommun</t>
        </is>
      </c>
      <c r="AW1306" t="inlineStr">
        <is>
          <t>pdf Hedemora kommun</t>
        </is>
      </c>
      <c r="AX1306" t="inlineStr">
        <is>
          <t>0225-340</t>
        </is>
      </c>
      <c r="AY1306" t="inlineStr">
        <is>
          <t>Beslut</t>
        </is>
      </c>
      <c r="AZ1306" t="inlineStr">
        <is>
          <t>2026-02-03</t>
        </is>
      </c>
      <c r="BA1306" t="inlineStr">
        <is>
          <t>MB-2024-448-427-INFOR-Brev-2024-06-24-.pdf</t>
        </is>
      </c>
      <c r="BB1306" t="inlineStr">
        <is>
          <t>SV: till registrator [2026HSC4325]</t>
        </is>
      </c>
      <c r="BC1306" t="inlineStr">
        <is>
          <t>AUTO</t>
        </is>
      </c>
      <c r="BD1306" t="inlineStr"/>
      <c r="BE1306" t="inlineStr"/>
      <c r="BF1306" t="inlineStr">
        <is>
          <t>AUTO_GENERERAD. Bekrafta metadata mot kallfil.</t>
        </is>
      </c>
      <c r="BG1306">
        <f>HYPERLINK("C:\Users\jimmy\Desktop\Examens arbete\Kod\Ny mapp\remix_-copy-of-miljöbeslut.se-portal\MB-2024-448-427-INFOR-Brev-2024-06-24-.pdf", "Öppna PDF")</f>
        <v/>
      </c>
    </row>
    <row r="1307">
      <c r="A1307" t="inlineStr">
        <is>
          <t>KRAV-AUTO-001306</t>
        </is>
      </c>
      <c r="B1307" t="inlineStr">
        <is>
          <t>ADMIN-INDEX-2026-02-27-00000000125C043F57453246863FE664CAFE6A3F0700950291EA24F0614FB6ACEDB12BF0E31D00000000010C0000950291EA24F0614FB6ACEDB12BF0E31D00002087AE9D0000</t>
        </is>
      </c>
      <c r="C1307" t="inlineStr">
        <is>
          <t>cmm4yup5r02a8cuqwphvfys2q</t>
        </is>
      </c>
      <c r="D1307" t="inlineStr">
        <is>
          <t>http://localhost:8787/api/admin/requirements/documents/cmm4yup5r02a8cuqwphvfys2q/view</t>
        </is>
      </c>
      <c r="E1307">
        <f>HYPERLÄNK("http://localhost:8787/api/admin/requirements/documents/cmm4yup5r02a8cuqwphvfys2q/view";"Öppna PDF")</f>
        <v/>
      </c>
      <c r="F1307">
        <f>HYPERLINK("http://localhost:8787/api/admin/requirements/documents/cmm4yup5r02a8cuqwphvfys2q/view","Open PDF")</f>
        <v/>
      </c>
      <c r="G1307" t="inlineStr">
        <is>
          <t>cmm55w57p0004cuisfrtpqly8</t>
        </is>
      </c>
      <c r="H1307" t="inlineStr">
        <is>
          <t>Beslutsvillkor</t>
        </is>
      </c>
      <c r="I1307" t="inlineStr">
        <is>
          <t>MiljopaverkanForsiktighet</t>
        </is>
      </c>
      <c r="J1307" t="inlineStr">
        <is>
          <t>Skyddsatgarder</t>
        </is>
      </c>
      <c r="K1307" t="inlineStr">
        <is>
          <t>Från: Zoltan Csaba Fazekas Skickat: den 8 juli 2024 09:54 Till: kundtjanst@naturvardsverket.se Ämne: vägledning om avfall (fiberslam) Hej, Jag skulle uppskatta om ni kunde ge oss er syn på vår bedömning i detta aktuella ärende.</t>
        </is>
      </c>
      <c r="L1307" t="inlineStr">
        <is>
          <t>Från: Zoltan Csaba Fazekas Skickat: den 8 juli 2024 09:54 Till: kundtjanst@naturvardsverket.se Ämne: vägledning om avfall (fiberslam) Hej, Jag skulle uppskatta om ni kunde ge oss er syn på vår bedömning i detta aktuella ärende.</t>
        </is>
      </c>
      <c r="M1307" t="inlineStr">
        <is>
          <t>SKA</t>
        </is>
      </c>
      <c r="N1307" t="inlineStr">
        <is>
          <t>Naturvardsverket</t>
        </is>
      </c>
      <c r="O1307" t="inlineStr"/>
      <c r="P1307" t="inlineStr"/>
      <c r="Q1307" t="inlineStr"/>
      <c r="R1307" t="inlineStr">
        <is>
          <t>Alltid</t>
        </is>
      </c>
      <c r="S1307" t="inlineStr"/>
      <c r="T1307" t="inlineStr">
        <is>
          <t>2024 09</t>
        </is>
      </c>
      <c r="U1307" t="inlineStr"/>
      <c r="V1307" t="inlineStr"/>
      <c r="W1307" t="inlineStr">
        <is>
          <t>Nej</t>
        </is>
      </c>
      <c r="X1307" t="inlineStr">
        <is>
          <t>Nej</t>
        </is>
      </c>
      <c r="Y1307" t="inlineStr">
        <is>
          <t>Nej</t>
        </is>
      </c>
      <c r="Z1307" t="inlineStr">
        <is>
          <t>Nej</t>
        </is>
      </c>
      <c r="AA1307" t="n">
        <v>10</v>
      </c>
      <c r="AB1307" t="inlineStr">
        <is>
          <t>Miljopaverkan och forsiktighetsmatt</t>
        </is>
      </c>
      <c r="AC1307" t="inlineStr">
        <is>
          <t>Miljo-PM</t>
        </is>
      </c>
      <c r="AD1307" t="inlineStr">
        <is>
          <t>Nej</t>
        </is>
      </c>
      <c r="AE1307" t="inlineStr">
        <is>
          <t>Nej</t>
        </is>
      </c>
      <c r="AF1307" t="inlineStr">
        <is>
          <t>Ej behandlad</t>
        </is>
      </c>
      <c r="AG1307" t="inlineStr">
        <is>
          <t>AUTO_GENERERAD. Verifiera citat mot kallfil.</t>
        </is>
      </c>
      <c r="AH1307" t="inlineStr">
        <is>
          <t>MEDIUM</t>
        </is>
      </c>
      <c r="AI1307" t="inlineStr">
        <is>
          <t>AUTO</t>
        </is>
      </c>
      <c r="AJ1307" t="inlineStr">
        <is>
          <t>Nej</t>
        </is>
      </c>
      <c r="AK1307" t="inlineStr"/>
      <c r="AL1307" t="inlineStr"/>
      <c r="AM1307" t="inlineStr"/>
      <c r="AN1307" t="inlineStr"/>
      <c r="AO1307" t="inlineStr">
        <is>
          <t>cmm4yup6002ahcuqwiwhrtr3f</t>
        </is>
      </c>
      <c r="AP1307" t="inlineStr">
        <is>
          <t>http://localhost:8787/api/admin/requirements/documents/cmm4yup6002ahcuqwiwhrtr3f/view</t>
        </is>
      </c>
      <c r="AQ1307">
        <f>HYPERLÄNK("http://localhost:8787/api/admin/requirements/documents/cmm4yup6002ahcuqwiwhrtr3f/view";"Öppna PDF")</f>
        <v/>
      </c>
      <c r="AR1307">
        <f>HYPERLINK("http://localhost:8787/api/admin/requirements/documents/cmm4yup6002ahcuqwiwhrtr3f/view","Open PDF")</f>
        <v/>
      </c>
      <c r="AS1307" t="inlineStr">
        <is>
          <t>cmm55w57p0004cuisfrtpqly8</t>
        </is>
      </c>
      <c r="AT1307" t="inlineStr">
        <is>
          <t>cmm4xvu980000cuh4vj0usz09</t>
        </is>
      </c>
      <c r="AU1307" t="inlineStr">
        <is>
          <t>pdf Hedemora</t>
        </is>
      </c>
      <c r="AV1307" t="inlineStr">
        <is>
          <t>Kommun</t>
        </is>
      </c>
      <c r="AW1307" t="inlineStr">
        <is>
          <t>pdf Hedemora kommun</t>
        </is>
      </c>
      <c r="AX1307" t="inlineStr">
        <is>
          <t>0225-340</t>
        </is>
      </c>
      <c r="AY1307" t="inlineStr">
        <is>
          <t>Beslut</t>
        </is>
      </c>
      <c r="AZ1307" t="inlineStr">
        <is>
          <t>2026-02-03</t>
        </is>
      </c>
      <c r="BA1307" t="inlineStr">
        <is>
          <t>MB-2024-448-427-INFOR-Brev-2024-06-24-.pdf</t>
        </is>
      </c>
      <c r="BB1307" t="inlineStr">
        <is>
          <t>SV: till registrator [2026HSC4325]</t>
        </is>
      </c>
      <c r="BC1307" t="inlineStr">
        <is>
          <t>AUTO</t>
        </is>
      </c>
      <c r="BD1307" t="inlineStr"/>
      <c r="BE1307" t="inlineStr"/>
      <c r="BF1307" t="inlineStr">
        <is>
          <t>AUTO_GENERERAD. Bekrafta metadata mot kallfil.</t>
        </is>
      </c>
      <c r="BG1307">
        <f>HYPERLINK("C:\Users\jimmy\Desktop\Examens arbete\Kod\Ny mapp\remix_-copy-of-miljöbeslut.se-portal\MB-2024-448-427-INFOR-Brev-2024-06-24-.pdf", "Öppna PDF")</f>
        <v/>
      </c>
    </row>
    <row r="1308">
      <c r="A1308" t="inlineStr">
        <is>
          <t>KRAV-AUTO-001307</t>
        </is>
      </c>
      <c r="B1308" t="inlineStr">
        <is>
          <t>ADMIN-INDEX-2026-02-27-00000000125C043F57453246863FE664CAFE6A3F0700950291EA24F0614FB6ACEDB12BF0E31D00000000010C0000950291EA24F0614FB6ACEDB12BF0E31D00002087AE9D0000</t>
        </is>
      </c>
      <c r="C1308" t="inlineStr">
        <is>
          <t>cmm4yup5o02a5cuqw1kze60is</t>
        </is>
      </c>
      <c r="D1308" t="inlineStr">
        <is>
          <t>http://localhost:8787/api/admin/requirements/documents/cmm4yup5o02a5cuqw1kze60is/view</t>
        </is>
      </c>
      <c r="E1308">
        <f>HYPERLÄNK("http://localhost:8787/api/admin/requirements/documents/cmm4yup5o02a5cuqw1kze60is/view";"Öppna PDF")</f>
        <v/>
      </c>
      <c r="F1308">
        <f>HYPERLINK("http://localhost:8787/api/admin/requirements/documents/cmm4yup5o02a5cuqw1kze60is/view","Open PDF")</f>
        <v/>
      </c>
      <c r="G1308" t="inlineStr">
        <is>
          <t>cmm55w57p0004cuisfrtpqly8</t>
        </is>
      </c>
      <c r="H1308" t="inlineStr">
        <is>
          <t>Beslutsvillkor</t>
        </is>
      </c>
      <c r="I1308" t="inlineStr">
        <is>
          <t>LagringsvolymTid</t>
        </is>
      </c>
      <c r="J1308" t="inlineStr">
        <is>
          <t>Maxmangd</t>
        </is>
      </c>
      <c r="K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08" t="inlineStr">
        <is>
          <t>SKA</t>
        </is>
      </c>
      <c r="N1308" t="inlineStr">
        <is>
          <t>Naturvardsverket</t>
        </is>
      </c>
      <c r="O1308" t="inlineStr"/>
      <c r="P1308" t="inlineStr"/>
      <c r="Q1308" t="inlineStr"/>
      <c r="R1308" t="inlineStr">
        <is>
          <t>Alltid</t>
        </is>
      </c>
      <c r="S1308" t="inlineStr"/>
      <c r="T1308" t="inlineStr">
        <is>
          <t>2024 15</t>
        </is>
      </c>
      <c r="U1308" t="inlineStr"/>
      <c r="V1308" t="inlineStr"/>
      <c r="W1308" t="inlineStr">
        <is>
          <t>Nej</t>
        </is>
      </c>
      <c r="X1308" t="inlineStr">
        <is>
          <t>Nej</t>
        </is>
      </c>
      <c r="Y1308" t="inlineStr">
        <is>
          <t>Nej</t>
        </is>
      </c>
      <c r="Z1308" t="inlineStr">
        <is>
          <t>Nej</t>
        </is>
      </c>
      <c r="AA1308" t="n">
        <v>4</v>
      </c>
      <c r="AB1308" t="inlineStr">
        <is>
          <t>Avfallsmangder och lagringstid</t>
        </is>
      </c>
      <c r="AC1308" t="inlineStr">
        <is>
          <t>Avfallsforteckning</t>
        </is>
      </c>
      <c r="AD1308" t="inlineStr">
        <is>
          <t>Nej</t>
        </is>
      </c>
      <c r="AE1308" t="inlineStr">
        <is>
          <t>Nej</t>
        </is>
      </c>
      <c r="AF1308" t="inlineStr">
        <is>
          <t>Ej behandlad</t>
        </is>
      </c>
      <c r="AG1308" t="inlineStr">
        <is>
          <t>AUTO_GENERERAD. Verifiera citat mot kallfil.</t>
        </is>
      </c>
      <c r="AH1308" t="inlineStr">
        <is>
          <t>LOW</t>
        </is>
      </c>
      <c r="AI1308" t="inlineStr">
        <is>
          <t>AUTO</t>
        </is>
      </c>
      <c r="AJ1308" t="inlineStr">
        <is>
          <t>Nej</t>
        </is>
      </c>
      <c r="AK1308" t="inlineStr"/>
      <c r="AL1308" t="inlineStr"/>
      <c r="AM1308" t="inlineStr"/>
      <c r="AN1308" t="inlineStr"/>
      <c r="AO1308" t="inlineStr">
        <is>
          <t>cmm4yup6002ahcuqwiwhrtr3f</t>
        </is>
      </c>
      <c r="AP1308" t="inlineStr">
        <is>
          <t>http://localhost:8787/api/admin/requirements/documents/cmm4yup6002ahcuqwiwhrtr3f/view</t>
        </is>
      </c>
      <c r="AQ1308">
        <f>HYPERLÄNK("http://localhost:8787/api/admin/requirements/documents/cmm4yup6002ahcuqwiwhrtr3f/view";"Öppna PDF")</f>
        <v/>
      </c>
      <c r="AR1308">
        <f>HYPERLINK("http://localhost:8787/api/admin/requirements/documents/cmm4yup6002ahcuqwiwhrtr3f/view","Open PDF")</f>
        <v/>
      </c>
      <c r="AS1308" t="inlineStr">
        <is>
          <t>cmm55w57p0004cuisfrtpqly8</t>
        </is>
      </c>
      <c r="AT1308" t="inlineStr">
        <is>
          <t>cmm4xvu980000cuh4vj0usz09</t>
        </is>
      </c>
      <c r="AU1308" t="inlineStr">
        <is>
          <t>pdf Hedemora</t>
        </is>
      </c>
      <c r="AV1308" t="inlineStr">
        <is>
          <t>Kommun</t>
        </is>
      </c>
      <c r="AW1308" t="inlineStr">
        <is>
          <t>pdf Hedemora kommun</t>
        </is>
      </c>
      <c r="AX1308" t="inlineStr">
        <is>
          <t>0225-340</t>
        </is>
      </c>
      <c r="AY1308" t="inlineStr">
        <is>
          <t>Beslut</t>
        </is>
      </c>
      <c r="AZ1308" t="inlineStr">
        <is>
          <t>2026-02-03</t>
        </is>
      </c>
      <c r="BA1308" t="inlineStr">
        <is>
          <t>MB-2024-448-427-INFOR-Brev-2024-06-24-.pdf</t>
        </is>
      </c>
      <c r="BB1308" t="inlineStr">
        <is>
          <t>SV: till registrator [2026HSC4325]</t>
        </is>
      </c>
      <c r="BC1308" t="inlineStr">
        <is>
          <t>AUTO</t>
        </is>
      </c>
      <c r="BD1308" t="inlineStr"/>
      <c r="BE1308" t="inlineStr"/>
      <c r="BF1308" t="inlineStr">
        <is>
          <t>AUTO_GENERERAD. Bekrafta metadata mot kallfil.</t>
        </is>
      </c>
      <c r="BG1308">
        <f>HYPERLINK("C:\Users\jimmy\Desktop\Examens arbete\Kod\Ny mapp\remix_-copy-of-miljöbeslut.se-portal\MB-2024-448-427-INFOR-Brev-2024-06-24-.pdf", "Öppna PDF")</f>
        <v/>
      </c>
    </row>
    <row r="1309">
      <c r="A1309" t="inlineStr">
        <is>
          <t>KRAV-AUTO-001308</t>
        </is>
      </c>
      <c r="B1309" t="inlineStr">
        <is>
          <t>ADMIN-INDEX-2026-02-27-00000000125C043F57453246863FE664CAFE6A3F0700950291EA24F0614FB6ACEDB12BF0E31D00000000010C0000950291EA24F0614FB6ACEDB12BF0E31D00002087AE9D0000</t>
        </is>
      </c>
      <c r="C1309" t="inlineStr">
        <is>
          <t>cmm4yup5o02a5cuqw1kze60is</t>
        </is>
      </c>
      <c r="D1309" t="inlineStr">
        <is>
          <t>http://localhost:8787/api/admin/requirements/documents/cmm4yup5o02a5cuqw1kze60is/view</t>
        </is>
      </c>
      <c r="E1309">
        <f>HYPERLÄNK("http://localhost:8787/api/admin/requirements/documents/cmm4yup5o02a5cuqw1kze60is/view";"Öppna PDF")</f>
        <v/>
      </c>
      <c r="F1309">
        <f>HYPERLINK("http://localhost:8787/api/admin/requirements/documents/cmm4yup5o02a5cuqw1kze60is/view","Open PDF")</f>
        <v/>
      </c>
      <c r="G1309" t="inlineStr">
        <is>
          <t>cmm55w57p0004cuisfrtpqly8</t>
        </is>
      </c>
      <c r="H1309" t="inlineStr">
        <is>
          <t>Beslutsvillkor</t>
        </is>
      </c>
      <c r="I1309" t="inlineStr">
        <is>
          <t>MiljopaverkanForsiktighet</t>
        </is>
      </c>
      <c r="J1309" t="inlineStr">
        <is>
          <t>Skyddsatgarder</t>
        </is>
      </c>
      <c r="K1309" t="inlineStr">
        <is>
          <t>Det finns olika förfaranden för att återvinna avfall som ska spridas på jordbruksmark.</t>
        </is>
      </c>
      <c r="L1309" t="inlineStr">
        <is>
          <t>Det finns olika förfaranden för att återvinna avfall som ska spridas på jordbruksmark.</t>
        </is>
      </c>
      <c r="M1309" t="inlineStr">
        <is>
          <t>SKA</t>
        </is>
      </c>
      <c r="N1309" t="inlineStr"/>
      <c r="O1309" t="inlineStr"/>
      <c r="P1309" t="inlineStr"/>
      <c r="Q1309" t="inlineStr"/>
      <c r="R1309" t="inlineStr">
        <is>
          <t>Alltid</t>
        </is>
      </c>
      <c r="S1309" t="inlineStr"/>
      <c r="T1309" t="inlineStr">
        <is>
          <t>2024 15</t>
        </is>
      </c>
      <c r="U1309" t="inlineStr"/>
      <c r="V1309" t="inlineStr"/>
      <c r="W1309" t="inlineStr">
        <is>
          <t>Nej</t>
        </is>
      </c>
      <c r="X1309" t="inlineStr">
        <is>
          <t>Nej</t>
        </is>
      </c>
      <c r="Y1309" t="inlineStr">
        <is>
          <t>Nej</t>
        </is>
      </c>
      <c r="Z1309" t="inlineStr">
        <is>
          <t>Nej</t>
        </is>
      </c>
      <c r="AA1309" t="n">
        <v>10</v>
      </c>
      <c r="AB1309" t="inlineStr">
        <is>
          <t>Miljopaverkan och forsiktighetsmatt</t>
        </is>
      </c>
      <c r="AC1309" t="inlineStr">
        <is>
          <t>Miljo-PM</t>
        </is>
      </c>
      <c r="AD1309" t="inlineStr">
        <is>
          <t>Nej</t>
        </is>
      </c>
      <c r="AE1309" t="inlineStr">
        <is>
          <t>Nej</t>
        </is>
      </c>
      <c r="AF1309" t="inlineStr">
        <is>
          <t>Ej behandlad</t>
        </is>
      </c>
      <c r="AG1309" t="inlineStr">
        <is>
          <t>AUTO_GENERERAD. Verifiera citat mot kallfil.</t>
        </is>
      </c>
      <c r="AH1309" t="inlineStr">
        <is>
          <t>LOW</t>
        </is>
      </c>
      <c r="AI1309" t="inlineStr">
        <is>
          <t>AUTO</t>
        </is>
      </c>
      <c r="AJ1309" t="inlineStr">
        <is>
          <t>Nej</t>
        </is>
      </c>
      <c r="AK1309" t="inlineStr"/>
      <c r="AL1309" t="inlineStr"/>
      <c r="AM1309" t="inlineStr"/>
      <c r="AN1309" t="inlineStr"/>
      <c r="AO1309" t="inlineStr">
        <is>
          <t>cmm4yup6002ahcuqwiwhrtr3f</t>
        </is>
      </c>
      <c r="AP1309" t="inlineStr">
        <is>
          <t>http://localhost:8787/api/admin/requirements/documents/cmm4yup6002ahcuqwiwhrtr3f/view</t>
        </is>
      </c>
      <c r="AQ1309">
        <f>HYPERLÄNK("http://localhost:8787/api/admin/requirements/documents/cmm4yup6002ahcuqwiwhrtr3f/view";"Öppna PDF")</f>
        <v/>
      </c>
      <c r="AR1309">
        <f>HYPERLINK("http://localhost:8787/api/admin/requirements/documents/cmm4yup6002ahcuqwiwhrtr3f/view","Open PDF")</f>
        <v/>
      </c>
      <c r="AS1309" t="inlineStr">
        <is>
          <t>cmm55w57p0004cuisfrtpqly8</t>
        </is>
      </c>
      <c r="AT1309" t="inlineStr">
        <is>
          <t>cmm4xvu980000cuh4vj0usz09</t>
        </is>
      </c>
      <c r="AU1309" t="inlineStr">
        <is>
          <t>pdf Hedemora</t>
        </is>
      </c>
      <c r="AV1309" t="inlineStr">
        <is>
          <t>Kommun</t>
        </is>
      </c>
      <c r="AW1309" t="inlineStr">
        <is>
          <t>pdf Hedemora kommun</t>
        </is>
      </c>
      <c r="AX1309" t="inlineStr">
        <is>
          <t>0225-340</t>
        </is>
      </c>
      <c r="AY1309" t="inlineStr">
        <is>
          <t>Beslut</t>
        </is>
      </c>
      <c r="AZ1309" t="inlineStr">
        <is>
          <t>2026-02-03</t>
        </is>
      </c>
      <c r="BA1309" t="inlineStr">
        <is>
          <t>MB-2024-448-427-INFOR-Brev-2024-06-24-.pdf</t>
        </is>
      </c>
      <c r="BB1309" t="inlineStr">
        <is>
          <t>SV: till registrator [2026HSC4325]</t>
        </is>
      </c>
      <c r="BC1309" t="inlineStr">
        <is>
          <t>AUTO</t>
        </is>
      </c>
      <c r="BD1309" t="inlineStr"/>
      <c r="BE1309" t="inlineStr"/>
      <c r="BF1309" t="inlineStr">
        <is>
          <t>AUTO_GENERERAD. Bekrafta metadata mot kallfil.</t>
        </is>
      </c>
      <c r="BG1309">
        <f>HYPERLINK("C:\Users\jimmy\Desktop\Examens arbete\Kod\Ny mapp\remix_-copy-of-miljöbeslut.se-portal\MB-2024-448-427-INFOR-Brev-2024-06-24-.pdf", "Öppna PDF")</f>
        <v/>
      </c>
    </row>
    <row r="1310">
      <c r="A1310" t="inlineStr">
        <is>
          <t>KRAV-AUTO-001309</t>
        </is>
      </c>
      <c r="B1310" t="inlineStr">
        <is>
          <t>ADMIN-INDEX-2026-02-27-00000000125C043F57453246863FE664CAFE6A3F0700950291EA24F0614FB6ACEDB12BF0E31D00000000010C0000950291EA24F0614FB6ACEDB12BF0E31D00002087AE9D0000</t>
        </is>
      </c>
      <c r="C1310" t="inlineStr">
        <is>
          <t>cmm4yup5o02a5cuqw1kze60is</t>
        </is>
      </c>
      <c r="D1310" t="inlineStr">
        <is>
          <t>http://localhost:8787/api/admin/requirements/documents/cmm4yup5o02a5cuqw1kze60is/view</t>
        </is>
      </c>
      <c r="E1310">
        <f>HYPERLÄNK("http://localhost:8787/api/admin/requirements/documents/cmm4yup5o02a5cuqw1kze60is/view";"Öppna PDF")</f>
        <v/>
      </c>
      <c r="F1310">
        <f>HYPERLINK("http://localhost:8787/api/admin/requirements/documents/cmm4yup5o02a5cuqw1kze60is/view","Open PDF")</f>
        <v/>
      </c>
      <c r="G1310" t="inlineStr">
        <is>
          <t>cmm55w57p0004cuisfrtpqly8</t>
        </is>
      </c>
      <c r="H1310" t="inlineStr">
        <is>
          <t>Beslutsvillkor</t>
        </is>
      </c>
      <c r="I1310" t="inlineStr">
        <is>
          <t>MiljopaverkanForsiktighet</t>
        </is>
      </c>
      <c r="J1310" t="inlineStr">
        <is>
          <t>Skyddsatgarder</t>
        </is>
      </c>
      <c r="K1310" t="inlineStr">
        <is>
          <t>Bedömningen av om en restprodukt är avfall eller biprodukt ska alltid göras där den uppkommer.</t>
        </is>
      </c>
      <c r="L1310" t="inlineStr">
        <is>
          <t>Bedömningen av om en restprodukt är avfall eller biprodukt ska alltid göras där den uppkommer.</t>
        </is>
      </c>
      <c r="M1310" t="inlineStr">
        <is>
          <t>SKA</t>
        </is>
      </c>
      <c r="N1310" t="inlineStr"/>
      <c r="O1310" t="inlineStr"/>
      <c r="P1310" t="inlineStr"/>
      <c r="Q1310" t="inlineStr"/>
      <c r="R1310" t="inlineStr">
        <is>
          <t>Alltid</t>
        </is>
      </c>
      <c r="S1310" t="inlineStr"/>
      <c r="T1310" t="inlineStr">
        <is>
          <t>2024 15</t>
        </is>
      </c>
      <c r="U1310" t="inlineStr"/>
      <c r="V1310" t="inlineStr"/>
      <c r="W1310" t="inlineStr">
        <is>
          <t>Nej</t>
        </is>
      </c>
      <c r="X1310" t="inlineStr">
        <is>
          <t>Nej</t>
        </is>
      </c>
      <c r="Y1310" t="inlineStr">
        <is>
          <t>Nej</t>
        </is>
      </c>
      <c r="Z1310" t="inlineStr">
        <is>
          <t>Nej</t>
        </is>
      </c>
      <c r="AA1310" t="n">
        <v>10</v>
      </c>
      <c r="AB1310" t="inlineStr">
        <is>
          <t>Miljopaverkan och forsiktighetsmatt</t>
        </is>
      </c>
      <c r="AC1310" t="inlineStr">
        <is>
          <t>Miljo-PM</t>
        </is>
      </c>
      <c r="AD1310" t="inlineStr">
        <is>
          <t>Nej</t>
        </is>
      </c>
      <c r="AE1310" t="inlineStr">
        <is>
          <t>Nej</t>
        </is>
      </c>
      <c r="AF1310" t="inlineStr">
        <is>
          <t>Ej behandlad</t>
        </is>
      </c>
      <c r="AG1310" t="inlineStr">
        <is>
          <t>AUTO_GENERERAD. Verifiera citat mot kallfil.</t>
        </is>
      </c>
      <c r="AH1310" t="inlineStr">
        <is>
          <t>LOW</t>
        </is>
      </c>
      <c r="AI1310" t="inlineStr">
        <is>
          <t>AUTO</t>
        </is>
      </c>
      <c r="AJ1310" t="inlineStr">
        <is>
          <t>Nej</t>
        </is>
      </c>
      <c r="AK1310" t="inlineStr"/>
      <c r="AL1310" t="inlineStr"/>
      <c r="AM1310" t="inlineStr"/>
      <c r="AN1310" t="inlineStr"/>
      <c r="AO1310" t="inlineStr">
        <is>
          <t>cmm4yup6002ahcuqwiwhrtr3f</t>
        </is>
      </c>
      <c r="AP1310" t="inlineStr">
        <is>
          <t>http://localhost:8787/api/admin/requirements/documents/cmm4yup6002ahcuqwiwhrtr3f/view</t>
        </is>
      </c>
      <c r="AQ1310">
        <f>HYPERLÄNK("http://localhost:8787/api/admin/requirements/documents/cmm4yup6002ahcuqwiwhrtr3f/view";"Öppna PDF")</f>
        <v/>
      </c>
      <c r="AR1310">
        <f>HYPERLINK("http://localhost:8787/api/admin/requirements/documents/cmm4yup6002ahcuqwiwhrtr3f/view","Open PDF")</f>
        <v/>
      </c>
      <c r="AS1310" t="inlineStr">
        <is>
          <t>cmm55w57p0004cuisfrtpqly8</t>
        </is>
      </c>
      <c r="AT1310" t="inlineStr">
        <is>
          <t>cmm4xvu980000cuh4vj0usz09</t>
        </is>
      </c>
      <c r="AU1310" t="inlineStr">
        <is>
          <t>pdf Hedemora</t>
        </is>
      </c>
      <c r="AV1310" t="inlineStr">
        <is>
          <t>Kommun</t>
        </is>
      </c>
      <c r="AW1310" t="inlineStr">
        <is>
          <t>pdf Hedemora kommun</t>
        </is>
      </c>
      <c r="AX1310" t="inlineStr">
        <is>
          <t>0225-340</t>
        </is>
      </c>
      <c r="AY1310" t="inlineStr">
        <is>
          <t>Beslut</t>
        </is>
      </c>
      <c r="AZ1310" t="inlineStr">
        <is>
          <t>2026-02-03</t>
        </is>
      </c>
      <c r="BA1310" t="inlineStr">
        <is>
          <t>MB-2024-448-427-INFOR-Brev-2024-06-24-.pdf</t>
        </is>
      </c>
      <c r="BB1310" t="inlineStr">
        <is>
          <t>SV: till registrator [2026HSC4325]</t>
        </is>
      </c>
      <c r="BC1310" t="inlineStr">
        <is>
          <t>AUTO</t>
        </is>
      </c>
      <c r="BD1310" t="inlineStr"/>
      <c r="BE1310" t="inlineStr"/>
      <c r="BF1310" t="inlineStr">
        <is>
          <t>AUTO_GENERERAD. Bekrafta metadata mot kallfil.</t>
        </is>
      </c>
      <c r="BG1310">
        <f>HYPERLINK("C:\Users\jimmy\Desktop\Examens arbete\Kod\Ny mapp\remix_-copy-of-miljöbeslut.se-portal\MB-2024-448-427-INFOR-Brev-2024-06-24-.pdf", "Öppna PDF")</f>
        <v/>
      </c>
    </row>
    <row r="1311">
      <c r="A1311" t="inlineStr">
        <is>
          <t>KRAV-AUTO-001310</t>
        </is>
      </c>
      <c r="B1311" t="inlineStr">
        <is>
          <t>ADMIN-INDEX-2026-02-27-00000000125C043F57453246863FE664CAFE6A3F0700950291EA24F0614FB6ACEDB12BF0E31D00000000010C0000950291EA24F0614FB6ACEDB12BF0E31D00002087AE9D0000</t>
        </is>
      </c>
      <c r="C1311" t="inlineStr">
        <is>
          <t>cmm4yup5l02a2cuqw1g5z2d32</t>
        </is>
      </c>
      <c r="D1311" t="inlineStr">
        <is>
          <t>http://localhost:8787/api/admin/requirements/documents/cmm4yup5l02a2cuqw1g5z2d32/view</t>
        </is>
      </c>
      <c r="E1311">
        <f>HYPERLÄNK("http://localhost:8787/api/admin/requirements/documents/cmm4yup5l02a2cuqw1g5z2d32/view";"Öppna PDF")</f>
        <v/>
      </c>
      <c r="F1311">
        <f>HYPERLINK("http://localhost:8787/api/admin/requirements/documents/cmm4yup5l02a2cuqw1g5z2d32/view","Open PDF")</f>
        <v/>
      </c>
      <c r="G1311" t="inlineStr">
        <is>
          <t>cmm55w57p0004cuisfrtpqly8</t>
        </is>
      </c>
      <c r="H1311" t="inlineStr">
        <is>
          <t>Beslutsvillkor</t>
        </is>
      </c>
      <c r="I1311" t="inlineStr">
        <is>
          <t>LagringsvolymTid</t>
        </is>
      </c>
      <c r="J1311" t="inlineStr">
        <is>
          <t>Maxmangd</t>
        </is>
      </c>
      <c r="K1311" t="inlineStr">
        <is>
          <t>Om ni minskar mängden avfall som ni planerar att återanvända till högst 500 ton per år, kan ni i stället inkomma med en anmälan om miljöfarlig verksamhet till kommunen i enlighet med MPF.</t>
        </is>
      </c>
      <c r="L1311" t="inlineStr">
        <is>
          <t>Om ni minskar mängden avfall som ni planerar att återanvända till högst 500 ton per år, kan ni i stället inkomma med en anmälan om miljöfarlig verksamhet till kommunen i enlighet med MPF.</t>
        </is>
      </c>
      <c r="M1311" t="inlineStr">
        <is>
          <t>SKA</t>
        </is>
      </c>
      <c r="N1311" t="inlineStr">
        <is>
          <t>MPF, FMH</t>
        </is>
      </c>
      <c r="O1311" t="inlineStr"/>
      <c r="P1311" t="inlineStr">
        <is>
          <t>Arlig</t>
        </is>
      </c>
      <c r="Q1311" t="inlineStr"/>
      <c r="R1311" t="inlineStr">
        <is>
          <t>Alltid</t>
        </is>
      </c>
      <c r="S1311" t="inlineStr"/>
      <c r="T1311" t="inlineStr">
        <is>
          <t>212000</t>
        </is>
      </c>
      <c r="U1311" t="n">
        <v>500</v>
      </c>
      <c r="V1311" t="inlineStr"/>
      <c r="W1311" t="inlineStr">
        <is>
          <t>Nej</t>
        </is>
      </c>
      <c r="X1311" t="inlineStr">
        <is>
          <t>Nej</t>
        </is>
      </c>
      <c r="Y1311" t="inlineStr">
        <is>
          <t>Nej</t>
        </is>
      </c>
      <c r="Z1311" t="inlineStr">
        <is>
          <t>Nej</t>
        </is>
      </c>
      <c r="AA1311" t="n">
        <v>4</v>
      </c>
      <c r="AB1311" t="inlineStr">
        <is>
          <t>Avfallsmangder och lagringstid</t>
        </is>
      </c>
      <c r="AC1311" t="inlineStr">
        <is>
          <t>Avfallsforteckning</t>
        </is>
      </c>
      <c r="AD1311" t="inlineStr">
        <is>
          <t>Nej</t>
        </is>
      </c>
      <c r="AE1311" t="inlineStr">
        <is>
          <t>Nej</t>
        </is>
      </c>
      <c r="AF1311" t="inlineStr">
        <is>
          <t>Ej behandlad</t>
        </is>
      </c>
      <c r="AG1311" t="inlineStr">
        <is>
          <t>AUTO_GENERERAD. Verifiera citat mot kallfil.</t>
        </is>
      </c>
      <c r="AH1311" t="inlineStr">
        <is>
          <t>HIGH</t>
        </is>
      </c>
      <c r="AI1311" t="inlineStr">
        <is>
          <t>AUTO</t>
        </is>
      </c>
      <c r="AJ1311" t="inlineStr">
        <is>
          <t>Nej</t>
        </is>
      </c>
      <c r="AK1311" t="inlineStr"/>
      <c r="AL1311" t="inlineStr"/>
      <c r="AM1311" t="inlineStr"/>
      <c r="AN1311" t="inlineStr"/>
      <c r="AO1311" t="inlineStr">
        <is>
          <t>cmm4yup6002ahcuqwiwhrtr3f</t>
        </is>
      </c>
      <c r="AP1311" t="inlineStr">
        <is>
          <t>http://localhost:8787/api/admin/requirements/documents/cmm4yup6002ahcuqwiwhrtr3f/view</t>
        </is>
      </c>
      <c r="AQ1311">
        <f>HYPERLÄNK("http://localhost:8787/api/admin/requirements/documents/cmm4yup6002ahcuqwiwhrtr3f/view";"Öppna PDF")</f>
        <v/>
      </c>
      <c r="AR1311">
        <f>HYPERLINK("http://localhost:8787/api/admin/requirements/documents/cmm4yup6002ahcuqwiwhrtr3f/view","Open PDF")</f>
        <v/>
      </c>
      <c r="AS1311" t="inlineStr">
        <is>
          <t>cmm55w57p0004cuisfrtpqly8</t>
        </is>
      </c>
      <c r="AT1311" t="inlineStr">
        <is>
          <t>cmm4xvu980000cuh4vj0usz09</t>
        </is>
      </c>
      <c r="AU1311" t="inlineStr">
        <is>
          <t>pdf Hedemora</t>
        </is>
      </c>
      <c r="AV1311" t="inlineStr">
        <is>
          <t>Kommun</t>
        </is>
      </c>
      <c r="AW1311" t="inlineStr">
        <is>
          <t>pdf Hedemora kommun</t>
        </is>
      </c>
      <c r="AX1311" t="inlineStr">
        <is>
          <t>0225-340</t>
        </is>
      </c>
      <c r="AY1311" t="inlineStr">
        <is>
          <t>Beslut</t>
        </is>
      </c>
      <c r="AZ1311" t="inlineStr">
        <is>
          <t>2026-02-03</t>
        </is>
      </c>
      <c r="BA1311" t="inlineStr">
        <is>
          <t>MB-2024-448-427-INFOR-Brev-2024-06-24-.pdf</t>
        </is>
      </c>
      <c r="BB1311" t="inlineStr">
        <is>
          <t>SV: till registrator [2026HSC4325]</t>
        </is>
      </c>
      <c r="BC1311" t="inlineStr">
        <is>
          <t>AUTO</t>
        </is>
      </c>
      <c r="BD1311" t="inlineStr"/>
      <c r="BE1311" t="inlineStr"/>
      <c r="BF1311" t="inlineStr">
        <is>
          <t>AUTO_GENERERAD. Bekrafta metadata mot kallfil.</t>
        </is>
      </c>
      <c r="BG1311">
        <f>HYPERLINK("C:\Users\jimmy\Desktop\Examens arbete\Kod\Ny mapp\remix_-copy-of-miljöbeslut.se-portal\MB-2024-448-427-INFOR-Brev-2024-06-24-.pdf", "Öppna PDF")</f>
        <v/>
      </c>
    </row>
    <row r="1312">
      <c r="A1312" t="inlineStr">
        <is>
          <t>KRAV-AUTO-001311</t>
        </is>
      </c>
      <c r="B1312" t="inlineStr">
        <is>
          <t>ADMIN-INDEX-2026-02-27-00000000125C043F57453246863FE664CAFE6A3F0700950291EA24F0614FB6ACEDB12BF0E31D00000000010C0000950291EA24F0614FB6ACEDB12BF0E31D00002087AE9D0000</t>
        </is>
      </c>
      <c r="C1312" t="inlineStr">
        <is>
          <t>cmm4yup5l02a2cuqw1g5z2d32</t>
        </is>
      </c>
      <c r="D1312" t="inlineStr">
        <is>
          <t>http://localhost:8787/api/admin/requirements/documents/cmm4yup5l02a2cuqw1g5z2d32/view</t>
        </is>
      </c>
      <c r="E1312">
        <f>HYPERLÄNK("http://localhost:8787/api/admin/requirements/documents/cmm4yup5l02a2cuqw1g5z2d32/view";"Öppna PDF")</f>
        <v/>
      </c>
      <c r="F1312">
        <f>HYPERLINK("http://localhost:8787/api/admin/requirements/documents/cmm4yup5l02a2cuqw1g5z2d32/view","Open PDF")</f>
        <v/>
      </c>
      <c r="G1312" t="inlineStr">
        <is>
          <t>cmm55w57p0004cuisfrtpqly8</t>
        </is>
      </c>
      <c r="H1312" t="inlineStr">
        <is>
          <t>Beslutsvillkor</t>
        </is>
      </c>
      <c r="I1312" t="inlineStr">
        <is>
          <t>LagringsvolymTid</t>
        </is>
      </c>
      <c r="J1312" t="inlineStr">
        <is>
          <t>Maxmangd</t>
        </is>
      </c>
      <c r="K1312" t="inlineStr">
        <is>
          <t>Om fabriken klassar materialet som avfall, måste ni lämna in en ansökan om tillstånd (på grund av mängden) till Länsstyrelsen enligt ovanstående punkter innan spridningen kan ske.</t>
        </is>
      </c>
      <c r="L1312" t="inlineStr">
        <is>
          <t>Om fabriken klassar materialet som avfall, måste ni lämna in en ansökan om tillstånd (på grund av mängden) till Länsstyrelsen enligt ovanstående punkter innan spridningen kan ske.</t>
        </is>
      </c>
      <c r="M1312" t="inlineStr">
        <is>
          <t>SKA</t>
        </is>
      </c>
      <c r="N1312" t="inlineStr"/>
      <c r="O1312" t="inlineStr"/>
      <c r="P1312" t="inlineStr"/>
      <c r="Q1312" t="inlineStr"/>
      <c r="R1312" t="inlineStr">
        <is>
          <t>Alltid</t>
        </is>
      </c>
      <c r="S1312" t="inlineStr"/>
      <c r="T1312" t="inlineStr">
        <is>
          <t>212000</t>
        </is>
      </c>
      <c r="U1312" t="inlineStr"/>
      <c r="V1312" t="inlineStr"/>
      <c r="W1312" t="inlineStr">
        <is>
          <t>Nej</t>
        </is>
      </c>
      <c r="X1312" t="inlineStr">
        <is>
          <t>Nej</t>
        </is>
      </c>
      <c r="Y1312" t="inlineStr">
        <is>
          <t>Nej</t>
        </is>
      </c>
      <c r="Z1312" t="inlineStr">
        <is>
          <t>Nej</t>
        </is>
      </c>
      <c r="AA1312" t="n">
        <v>4</v>
      </c>
      <c r="AB1312" t="inlineStr">
        <is>
          <t>Avfallsmangder och lagringstid</t>
        </is>
      </c>
      <c r="AC1312" t="inlineStr">
        <is>
          <t>Avfallsforteckning</t>
        </is>
      </c>
      <c r="AD1312" t="inlineStr">
        <is>
          <t>Nej</t>
        </is>
      </c>
      <c r="AE1312" t="inlineStr">
        <is>
          <t>Nej</t>
        </is>
      </c>
      <c r="AF1312" t="inlineStr">
        <is>
          <t>Ej behandlad</t>
        </is>
      </c>
      <c r="AG1312" t="inlineStr">
        <is>
          <t>AUTO_GENERERAD. Verifiera citat mot kallfil.</t>
        </is>
      </c>
      <c r="AH1312" t="inlineStr">
        <is>
          <t>MEDIUM</t>
        </is>
      </c>
      <c r="AI1312" t="inlineStr">
        <is>
          <t>AUTO</t>
        </is>
      </c>
      <c r="AJ1312" t="inlineStr">
        <is>
          <t>Nej</t>
        </is>
      </c>
      <c r="AK1312" t="inlineStr"/>
      <c r="AL1312" t="inlineStr"/>
      <c r="AM1312" t="inlineStr"/>
      <c r="AN1312" t="inlineStr"/>
      <c r="AO1312" t="inlineStr">
        <is>
          <t>cmm4yup6002ahcuqwiwhrtr3f</t>
        </is>
      </c>
      <c r="AP1312" t="inlineStr">
        <is>
          <t>http://localhost:8787/api/admin/requirements/documents/cmm4yup6002ahcuqwiwhrtr3f/view</t>
        </is>
      </c>
      <c r="AQ1312">
        <f>HYPERLÄNK("http://localhost:8787/api/admin/requirements/documents/cmm4yup6002ahcuqwiwhrtr3f/view";"Öppna PDF")</f>
        <v/>
      </c>
      <c r="AR1312">
        <f>HYPERLINK("http://localhost:8787/api/admin/requirements/documents/cmm4yup6002ahcuqwiwhrtr3f/view","Open PDF")</f>
        <v/>
      </c>
      <c r="AS1312" t="inlineStr">
        <is>
          <t>cmm55w57p0004cuisfrtpqly8</t>
        </is>
      </c>
      <c r="AT1312" t="inlineStr">
        <is>
          <t>cmm4xvu980000cuh4vj0usz09</t>
        </is>
      </c>
      <c r="AU1312" t="inlineStr">
        <is>
          <t>pdf Hedemora</t>
        </is>
      </c>
      <c r="AV1312" t="inlineStr">
        <is>
          <t>Kommun</t>
        </is>
      </c>
      <c r="AW1312" t="inlineStr">
        <is>
          <t>pdf Hedemora kommun</t>
        </is>
      </c>
      <c r="AX1312" t="inlineStr">
        <is>
          <t>0225-340</t>
        </is>
      </c>
      <c r="AY1312" t="inlineStr">
        <is>
          <t>Beslut</t>
        </is>
      </c>
      <c r="AZ1312" t="inlineStr">
        <is>
          <t>2026-02-03</t>
        </is>
      </c>
      <c r="BA1312" t="inlineStr">
        <is>
          <t>MB-2024-448-427-INFOR-Brev-2024-06-24-.pdf</t>
        </is>
      </c>
      <c r="BB1312" t="inlineStr">
        <is>
          <t>SV: till registrator [2026HSC4325]</t>
        </is>
      </c>
      <c r="BC1312" t="inlineStr">
        <is>
          <t>AUTO</t>
        </is>
      </c>
      <c r="BD1312" t="inlineStr"/>
      <c r="BE1312" t="inlineStr"/>
      <c r="BF1312" t="inlineStr">
        <is>
          <t>AUTO_GENERERAD. Bekrafta metadata mot kallfil.</t>
        </is>
      </c>
      <c r="BG1312">
        <f>HYPERLINK("C:\Users\jimmy\Desktop\Examens arbete\Kod\Ny mapp\remix_-copy-of-miljöbeslut.se-portal\MB-2024-448-427-INFOR-Brev-2024-06-24-.pdf", "Öppna PDF")</f>
        <v/>
      </c>
    </row>
    <row r="1313">
      <c r="A1313" t="inlineStr">
        <is>
          <t>KRAV-AUTO-001312</t>
        </is>
      </c>
      <c r="B1313" t="inlineStr">
        <is>
          <t>ADMIN-INDEX-2026-02-27-00000000125C043F57453246863FE664CAFE6A3F0700950291EA24F0614FB6ACEDB12BF0E31D00000000010C0000950291EA24F0614FB6ACEDB12BF0E31D00002087AE9D0000</t>
        </is>
      </c>
      <c r="C1313" t="inlineStr">
        <is>
          <t>cmm4yup5l02a2cuqw1g5z2d32</t>
        </is>
      </c>
      <c r="D1313" t="inlineStr">
        <is>
          <t>http://localhost:8787/api/admin/requirements/documents/cmm4yup5l02a2cuqw1g5z2d32/view</t>
        </is>
      </c>
      <c r="E1313">
        <f>HYPERLÄNK("http://localhost:8787/api/admin/requirements/documents/cmm4yup5l02a2cuqw1g5z2d32/view";"Öppna PDF")</f>
        <v/>
      </c>
      <c r="F1313">
        <f>HYPERLINK("http://localhost:8787/api/admin/requirements/documents/cmm4yup5l02a2cuqw1g5z2d32/view","Open PDF")</f>
        <v/>
      </c>
      <c r="G1313" t="inlineStr">
        <is>
          <t>cmm55w57p0004cuisfrtpqly8</t>
        </is>
      </c>
      <c r="H1313" t="inlineStr">
        <is>
          <t>Beslutsvillkor</t>
        </is>
      </c>
      <c r="I1313" t="inlineStr">
        <is>
          <t>MiljopaverkanForsiktighet</t>
        </is>
      </c>
      <c r="J1313" t="inlineStr">
        <is>
          <t>Skyddsatgarder</t>
        </is>
      </c>
      <c r="K1313" t="inlineStr">
        <is>
          <t>Om materialet klassas som avfall måste det genomgå en återvinningsprocess innan det kan upphöra att vara avfall.</t>
        </is>
      </c>
      <c r="L1313" t="inlineStr">
        <is>
          <t>Om materialet klassas som avfall måste det genomgå en återvinningsprocess innan det kan upphöra att vara avfall.</t>
        </is>
      </c>
      <c r="M1313" t="inlineStr">
        <is>
          <t>SKA</t>
        </is>
      </c>
      <c r="N1313" t="inlineStr"/>
      <c r="O1313" t="inlineStr"/>
      <c r="P1313" t="inlineStr"/>
      <c r="Q1313" t="inlineStr"/>
      <c r="R1313" t="inlineStr">
        <is>
          <t>Alltid</t>
        </is>
      </c>
      <c r="S1313" t="inlineStr"/>
      <c r="T1313" t="inlineStr">
        <is>
          <t>212000</t>
        </is>
      </c>
      <c r="U1313" t="inlineStr"/>
      <c r="V1313" t="inlineStr"/>
      <c r="W1313" t="inlineStr">
        <is>
          <t>Nej</t>
        </is>
      </c>
      <c r="X1313" t="inlineStr">
        <is>
          <t>Nej</t>
        </is>
      </c>
      <c r="Y1313" t="inlineStr">
        <is>
          <t>Nej</t>
        </is>
      </c>
      <c r="Z1313" t="inlineStr">
        <is>
          <t>Nej</t>
        </is>
      </c>
      <c r="AA1313" t="n">
        <v>10</v>
      </c>
      <c r="AB1313" t="inlineStr">
        <is>
          <t>Miljopaverkan och forsiktighetsmatt</t>
        </is>
      </c>
      <c r="AC1313" t="inlineStr">
        <is>
          <t>Miljo-PM</t>
        </is>
      </c>
      <c r="AD1313" t="inlineStr">
        <is>
          <t>Nej</t>
        </is>
      </c>
      <c r="AE1313" t="inlineStr">
        <is>
          <t>Nej</t>
        </is>
      </c>
      <c r="AF1313" t="inlineStr">
        <is>
          <t>Ej behandlad</t>
        </is>
      </c>
      <c r="AG1313" t="inlineStr">
        <is>
          <t>AUTO_GENERERAD. Verifiera citat mot kallfil.</t>
        </is>
      </c>
      <c r="AH1313" t="inlineStr">
        <is>
          <t>MEDIUM</t>
        </is>
      </c>
      <c r="AI1313" t="inlineStr">
        <is>
          <t>AUTO</t>
        </is>
      </c>
      <c r="AJ1313" t="inlineStr">
        <is>
          <t>Nej</t>
        </is>
      </c>
      <c r="AK1313" t="inlineStr"/>
      <c r="AL1313" t="inlineStr"/>
      <c r="AM1313" t="inlineStr"/>
      <c r="AN1313" t="inlineStr"/>
      <c r="AO1313" t="inlineStr">
        <is>
          <t>cmm4yup6002ahcuqwiwhrtr3f</t>
        </is>
      </c>
      <c r="AP1313" t="inlineStr">
        <is>
          <t>http://localhost:8787/api/admin/requirements/documents/cmm4yup6002ahcuqwiwhrtr3f/view</t>
        </is>
      </c>
      <c r="AQ1313">
        <f>HYPERLÄNK("http://localhost:8787/api/admin/requirements/documents/cmm4yup6002ahcuqwiwhrtr3f/view";"Öppna PDF")</f>
        <v/>
      </c>
      <c r="AR1313">
        <f>HYPERLINK("http://localhost:8787/api/admin/requirements/documents/cmm4yup6002ahcuqwiwhrtr3f/view","Open PDF")</f>
        <v/>
      </c>
      <c r="AS1313" t="inlineStr">
        <is>
          <t>cmm55w57p0004cuisfrtpqly8</t>
        </is>
      </c>
      <c r="AT1313" t="inlineStr">
        <is>
          <t>cmm4xvu980000cuh4vj0usz09</t>
        </is>
      </c>
      <c r="AU1313" t="inlineStr">
        <is>
          <t>pdf Hedemora</t>
        </is>
      </c>
      <c r="AV1313" t="inlineStr">
        <is>
          <t>Kommun</t>
        </is>
      </c>
      <c r="AW1313" t="inlineStr">
        <is>
          <t>pdf Hedemora kommun</t>
        </is>
      </c>
      <c r="AX1313" t="inlineStr">
        <is>
          <t>0225-340</t>
        </is>
      </c>
      <c r="AY1313" t="inlineStr">
        <is>
          <t>Beslut</t>
        </is>
      </c>
      <c r="AZ1313" t="inlineStr">
        <is>
          <t>2026-02-03</t>
        </is>
      </c>
      <c r="BA1313" t="inlineStr">
        <is>
          <t>MB-2024-448-427-INFOR-Brev-2024-06-24-.pdf</t>
        </is>
      </c>
      <c r="BB1313" t="inlineStr">
        <is>
          <t>SV: till registrator [2026HSC4325]</t>
        </is>
      </c>
      <c r="BC1313" t="inlineStr">
        <is>
          <t>AUTO</t>
        </is>
      </c>
      <c r="BD1313" t="inlineStr"/>
      <c r="BE1313" t="inlineStr"/>
      <c r="BF1313" t="inlineStr">
        <is>
          <t>AUTO_GENERERAD. Bekrafta metadata mot kallfil.</t>
        </is>
      </c>
      <c r="BG1313">
        <f>HYPERLINK("C:\Users\jimmy\Desktop\Examens arbete\Kod\Ny mapp\remix_-copy-of-miljöbeslut.se-portal\MB-2024-448-427-INFOR-Brev-2024-06-24-.pdf", "Öppna PDF")</f>
        <v/>
      </c>
    </row>
    <row r="1314">
      <c r="A1314" t="inlineStr">
        <is>
          <t>KRAV-AUTO-001313</t>
        </is>
      </c>
      <c r="B1314" t="inlineStr">
        <is>
          <t>ADMIN-INDEX-2026-02-27-00000000125C043F57453246863FE664CAFE6A3F0700950291EA24F0614FB6ACEDB12BF0E31D00000000010C0000950291EA24F0614FB6ACEDB12BF0E31D00002087AE9D0000</t>
        </is>
      </c>
      <c r="C1314" t="inlineStr">
        <is>
          <t>cmm4yup5i029zcuqwfyamahvj</t>
        </is>
      </c>
      <c r="D1314" t="inlineStr">
        <is>
          <t>http://localhost:8787/api/admin/requirements/documents/cmm4yup5i029zcuqwfyamahvj/view</t>
        </is>
      </c>
      <c r="E1314">
        <f>HYPERLÄNK("http://localhost:8787/api/admin/requirements/documents/cmm4yup5i029zcuqwfyamahvj/view";"Öppna PDF")</f>
        <v/>
      </c>
      <c r="F1314">
        <f>HYPERLINK("http://localhost:8787/api/admin/requirements/documents/cmm4yup5i029zcuqwfyamahvj/view","Open PDF")</f>
        <v/>
      </c>
      <c r="G1314" t="inlineStr">
        <is>
          <t>cmm55w57p0004cuisfrtpqly8</t>
        </is>
      </c>
      <c r="H1314" t="inlineStr">
        <is>
          <t>Beslutsvillkor</t>
        </is>
      </c>
      <c r="I1314" t="inlineStr">
        <is>
          <t>MiljopaverkanForsiktighet</t>
        </is>
      </c>
      <c r="J1314" t="inlineStr">
        <is>
          <t>Skyddsatgarder</t>
        </is>
      </c>
      <c r="K1314" t="inlineStr">
        <is>
          <t>Om materialet klassas som avfall måste det genomgå en återvinningsprocess innan det kan upphöra att vara avfall.</t>
        </is>
      </c>
      <c r="L1314" t="inlineStr">
        <is>
          <t>Om materialet klassas som avfall måste det genomgå en återvinningsprocess innan det kan upphöra att vara avfall.</t>
        </is>
      </c>
      <c r="M1314" t="inlineStr">
        <is>
          <t>SKA</t>
        </is>
      </c>
      <c r="N1314" t="inlineStr"/>
      <c r="O1314" t="inlineStr"/>
      <c r="P1314" t="inlineStr"/>
      <c r="Q1314" t="inlineStr"/>
      <c r="R1314" t="inlineStr">
        <is>
          <t>Alltid</t>
        </is>
      </c>
      <c r="S1314" t="inlineStr"/>
      <c r="T1314" t="inlineStr">
        <is>
          <t>212000</t>
        </is>
      </c>
      <c r="U1314" t="inlineStr"/>
      <c r="V1314" t="inlineStr"/>
      <c r="W1314" t="inlineStr">
        <is>
          <t>Nej</t>
        </is>
      </c>
      <c r="X1314" t="inlineStr">
        <is>
          <t>Nej</t>
        </is>
      </c>
      <c r="Y1314" t="inlineStr">
        <is>
          <t>Nej</t>
        </is>
      </c>
      <c r="Z1314" t="inlineStr">
        <is>
          <t>Nej</t>
        </is>
      </c>
      <c r="AA1314" t="n">
        <v>10</v>
      </c>
      <c r="AB1314" t="inlineStr">
        <is>
          <t>Miljopaverkan och forsiktighetsmatt</t>
        </is>
      </c>
      <c r="AC1314" t="inlineStr">
        <is>
          <t>Miljo-PM</t>
        </is>
      </c>
      <c r="AD1314" t="inlineStr">
        <is>
          <t>Nej</t>
        </is>
      </c>
      <c r="AE1314" t="inlineStr">
        <is>
          <t>Nej</t>
        </is>
      </c>
      <c r="AF1314" t="inlineStr">
        <is>
          <t>Ej behandlad</t>
        </is>
      </c>
      <c r="AG1314" t="inlineStr">
        <is>
          <t>AUTO_GENERERAD. Verifiera citat mot kallfil.</t>
        </is>
      </c>
      <c r="AH1314" t="inlineStr">
        <is>
          <t>MEDIUM</t>
        </is>
      </c>
      <c r="AI1314" t="inlineStr">
        <is>
          <t>AUTO</t>
        </is>
      </c>
      <c r="AJ1314" t="inlineStr">
        <is>
          <t>Nej</t>
        </is>
      </c>
      <c r="AK1314" t="inlineStr"/>
      <c r="AL1314" t="inlineStr"/>
      <c r="AM1314" t="inlineStr"/>
      <c r="AN1314" t="inlineStr"/>
      <c r="AO1314" t="inlineStr">
        <is>
          <t>cmm4yup6002ahcuqwiwhrtr3f</t>
        </is>
      </c>
      <c r="AP1314" t="inlineStr">
        <is>
          <t>http://localhost:8787/api/admin/requirements/documents/cmm4yup6002ahcuqwiwhrtr3f/view</t>
        </is>
      </c>
      <c r="AQ1314">
        <f>HYPERLÄNK("http://localhost:8787/api/admin/requirements/documents/cmm4yup6002ahcuqwiwhrtr3f/view";"Öppna PDF")</f>
        <v/>
      </c>
      <c r="AR1314">
        <f>HYPERLINK("http://localhost:8787/api/admin/requirements/documents/cmm4yup6002ahcuqwiwhrtr3f/view","Open PDF")</f>
        <v/>
      </c>
      <c r="AS1314" t="inlineStr">
        <is>
          <t>cmm55w57p0004cuisfrtpqly8</t>
        </is>
      </c>
      <c r="AT1314" t="inlineStr">
        <is>
          <t>cmm4xvu980000cuh4vj0usz09</t>
        </is>
      </c>
      <c r="AU1314" t="inlineStr">
        <is>
          <t>pdf Hedemora</t>
        </is>
      </c>
      <c r="AV1314" t="inlineStr">
        <is>
          <t>Kommun</t>
        </is>
      </c>
      <c r="AW1314" t="inlineStr">
        <is>
          <t>pdf Hedemora kommun</t>
        </is>
      </c>
      <c r="AX1314" t="inlineStr">
        <is>
          <t>0225-340</t>
        </is>
      </c>
      <c r="AY1314" t="inlineStr">
        <is>
          <t>Beslut</t>
        </is>
      </c>
      <c r="AZ1314" t="inlineStr">
        <is>
          <t>2026-02-03</t>
        </is>
      </c>
      <c r="BA1314" t="inlineStr">
        <is>
          <t>MB-2024-448-427-INFOR-Brev-2024-06-24-.pdf</t>
        </is>
      </c>
      <c r="BB1314" t="inlineStr">
        <is>
          <t>SV: till registrator [2026HSC4325]</t>
        </is>
      </c>
      <c r="BC1314" t="inlineStr">
        <is>
          <t>AUTO</t>
        </is>
      </c>
      <c r="BD1314" t="inlineStr"/>
      <c r="BE1314" t="inlineStr"/>
      <c r="BF1314" t="inlineStr">
        <is>
          <t>AUTO_GENERERAD. Bekrafta metadata mot kallfil.</t>
        </is>
      </c>
      <c r="BG1314">
        <f>HYPERLINK("C:\Users\jimmy\Desktop\Examens arbete\Kod\Ny mapp\remix_-copy-of-miljöbeslut.se-portal\MB-2024-448-427-INFOR-Brev-2024-06-24-.pdf", "Öppna PDF")</f>
        <v/>
      </c>
    </row>
    <row r="1315">
      <c r="A1315" t="inlineStr">
        <is>
          <t>KRAV-AUTO-001314</t>
        </is>
      </c>
      <c r="B1315" t="inlineStr">
        <is>
          <t>ADMIN-INDEX-2026-02-27-00000000125C043F57453246863FE664CAFE6A3F0700950291EA24F0614FB6ACEDB12BF0E31D00000000010C0000950291EA24F0614FB6ACEDB12BF0E31D00002087AE9D0000</t>
        </is>
      </c>
      <c r="C1315" t="inlineStr">
        <is>
          <t>cmm4yup5i029zcuqwfyamahvj</t>
        </is>
      </c>
      <c r="D1315" t="inlineStr">
        <is>
          <t>http://localhost:8787/api/admin/requirements/documents/cmm4yup5i029zcuqwfyamahvj/view</t>
        </is>
      </c>
      <c r="E1315">
        <f>HYPERLÄNK("http://localhost:8787/api/admin/requirements/documents/cmm4yup5i029zcuqwfyamahvj/view";"Öppna PDF")</f>
        <v/>
      </c>
      <c r="F1315">
        <f>HYPERLINK("http://localhost:8787/api/admin/requirements/documents/cmm4yup5i029zcuqwfyamahvj/view","Open PDF")</f>
        <v/>
      </c>
      <c r="G1315" t="inlineStr">
        <is>
          <t>cmm55w57p0004cuisfrtpqly8</t>
        </is>
      </c>
      <c r="H1315" t="inlineStr">
        <is>
          <t>Beslutsvillkor</t>
        </is>
      </c>
      <c r="I1315" t="inlineStr">
        <is>
          <t>MiljopaverkanForsiktighet</t>
        </is>
      </c>
      <c r="J1315" t="inlineStr">
        <is>
          <t>Skyddsatgarder</t>
        </is>
      </c>
      <c r="K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15" t="inlineStr">
        <is>
          <t>SKA</t>
        </is>
      </c>
      <c r="N1315" t="inlineStr">
        <is>
          <t>Naturvardsverket</t>
        </is>
      </c>
      <c r="O1315" t="inlineStr">
        <is>
          <t>2024-10-24</t>
        </is>
      </c>
      <c r="P1315" t="inlineStr"/>
      <c r="Q1315" t="inlineStr"/>
      <c r="R1315" t="inlineStr">
        <is>
          <t>Alltid</t>
        </is>
      </c>
      <c r="S1315" t="inlineStr"/>
      <c r="T1315" t="inlineStr">
        <is>
          <t>212000</t>
        </is>
      </c>
      <c r="U1315" t="inlineStr"/>
      <c r="V1315" t="inlineStr"/>
      <c r="W1315" t="inlineStr">
        <is>
          <t>Nej</t>
        </is>
      </c>
      <c r="X1315" t="inlineStr">
        <is>
          <t>Nej</t>
        </is>
      </c>
      <c r="Y1315" t="inlineStr">
        <is>
          <t>Nej</t>
        </is>
      </c>
      <c r="Z1315" t="inlineStr">
        <is>
          <t>Nej</t>
        </is>
      </c>
      <c r="AA1315" t="n">
        <v>10</v>
      </c>
      <c r="AB1315" t="inlineStr">
        <is>
          <t>Miljopaverkan och forsiktighetsmatt</t>
        </is>
      </c>
      <c r="AC1315" t="inlineStr">
        <is>
          <t>Miljo-PM</t>
        </is>
      </c>
      <c r="AD1315" t="inlineStr">
        <is>
          <t>Nej</t>
        </is>
      </c>
      <c r="AE1315" t="inlineStr">
        <is>
          <t>Nej</t>
        </is>
      </c>
      <c r="AF1315" t="inlineStr">
        <is>
          <t>Ej behandlad</t>
        </is>
      </c>
      <c r="AG1315" t="inlineStr">
        <is>
          <t>AUTO_GENERERAD. Verifiera citat mot kallfil.</t>
        </is>
      </c>
      <c r="AH1315" t="inlineStr">
        <is>
          <t>HIGH</t>
        </is>
      </c>
      <c r="AI1315" t="inlineStr">
        <is>
          <t>AUTO</t>
        </is>
      </c>
      <c r="AJ1315" t="inlineStr">
        <is>
          <t>Nej</t>
        </is>
      </c>
      <c r="AK1315" t="inlineStr"/>
      <c r="AL1315" t="inlineStr"/>
      <c r="AM1315" t="inlineStr"/>
      <c r="AN1315" t="inlineStr"/>
      <c r="AO1315" t="inlineStr">
        <is>
          <t>cmm4yup6002ahcuqwiwhrtr3f</t>
        </is>
      </c>
      <c r="AP1315" t="inlineStr">
        <is>
          <t>http://localhost:8787/api/admin/requirements/documents/cmm4yup6002ahcuqwiwhrtr3f/view</t>
        </is>
      </c>
      <c r="AQ1315">
        <f>HYPERLÄNK("http://localhost:8787/api/admin/requirements/documents/cmm4yup6002ahcuqwiwhrtr3f/view";"Öppna PDF")</f>
        <v/>
      </c>
      <c r="AR1315">
        <f>HYPERLINK("http://localhost:8787/api/admin/requirements/documents/cmm4yup6002ahcuqwiwhrtr3f/view","Open PDF")</f>
        <v/>
      </c>
      <c r="AS1315" t="inlineStr">
        <is>
          <t>cmm55w57p0004cuisfrtpqly8</t>
        </is>
      </c>
      <c r="AT1315" t="inlineStr">
        <is>
          <t>cmm4xvu980000cuh4vj0usz09</t>
        </is>
      </c>
      <c r="AU1315" t="inlineStr">
        <is>
          <t>pdf Hedemora</t>
        </is>
      </c>
      <c r="AV1315" t="inlineStr">
        <is>
          <t>Kommun</t>
        </is>
      </c>
      <c r="AW1315" t="inlineStr">
        <is>
          <t>pdf Hedemora kommun</t>
        </is>
      </c>
      <c r="AX1315" t="inlineStr">
        <is>
          <t>0225-340</t>
        </is>
      </c>
      <c r="AY1315" t="inlineStr">
        <is>
          <t>Beslut</t>
        </is>
      </c>
      <c r="AZ1315" t="inlineStr">
        <is>
          <t>2026-02-03</t>
        </is>
      </c>
      <c r="BA1315" t="inlineStr">
        <is>
          <t>MB-2024-448-427-INFOR-Brev-2024-06-24-.pdf</t>
        </is>
      </c>
      <c r="BB1315" t="inlineStr">
        <is>
          <t>SV: till registrator [2026HSC4325]</t>
        </is>
      </c>
      <c r="BC1315" t="inlineStr">
        <is>
          <t>AUTO</t>
        </is>
      </c>
      <c r="BD1315" t="inlineStr"/>
      <c r="BE1315" t="inlineStr"/>
      <c r="BF1315" t="inlineStr">
        <is>
          <t>AUTO_GENERERAD. Bekrafta metadata mot kallfil.</t>
        </is>
      </c>
      <c r="BG1315">
        <f>HYPERLINK("C:\Users\jimmy\Desktop\Examens arbete\Kod\Ny mapp\remix_-copy-of-miljöbeslut.se-portal\MB-2024-448-427-INFOR-Brev-2024-06-24-.pdf", "Öppna PDF")</f>
        <v/>
      </c>
    </row>
    <row r="1316">
      <c r="A1316" t="inlineStr">
        <is>
          <t>KRAV-AUTO-001315</t>
        </is>
      </c>
      <c r="B1316" t="inlineStr">
        <is>
          <t>ADMIN-INDEX-2026-02-27-00000000125C043F57453246863FE664CAFE6A3F0700950291EA24F0614FB6ACEDB12BF0E31D00000000010C0000950291EA24F0614FB6ACEDB12BF0E31D00002087AE9D0000</t>
        </is>
      </c>
      <c r="C1316" t="inlineStr">
        <is>
          <t>cmm4yup4g028wcuqwvkyh7z8q</t>
        </is>
      </c>
      <c r="D1316" t="inlineStr">
        <is>
          <t>http://localhost:8787/api/admin/requirements/documents/cmm4yup4g028wcuqwvkyh7z8q/view</t>
        </is>
      </c>
      <c r="E1316">
        <f>HYPERLÄNK("http://localhost:8787/api/admin/requirements/documents/cmm4yup4g028wcuqwvkyh7z8q/view";"Öppna PDF")</f>
        <v/>
      </c>
      <c r="F1316">
        <f>HYPERLINK("http://localhost:8787/api/admin/requirements/documents/cmm4yup4g028wcuqwvkyh7z8q/view","Open PDF")</f>
        <v/>
      </c>
      <c r="G1316" t="inlineStr">
        <is>
          <t>cmm55w57p0004cuisfrtpqly8</t>
        </is>
      </c>
      <c r="H1316" t="inlineStr">
        <is>
          <t>Beslutsvillkor</t>
        </is>
      </c>
      <c r="I1316" t="inlineStr">
        <is>
          <t>MiljopaverkanForsiktighet</t>
        </is>
      </c>
      <c r="J1316" t="inlineStr">
        <is>
          <t>Skyddsatgarder</t>
        </is>
      </c>
      <c r="K1316" t="inlineStr">
        <is>
          <t> Om mellanlagring sker uppfylls förutsättningarna för att vi ska utföra årlig tillsyn och debitera tillsynsavgift enligt gällande bestämmelser.</t>
        </is>
      </c>
      <c r="L1316" t="inlineStr">
        <is>
          <t> Om mellanlagring sker uppfylls förutsättningarna för att vi ska utföra årlig tillsyn och debitera tillsynsavgift enligt gällande bestämmelser.</t>
        </is>
      </c>
      <c r="M1316" t="inlineStr">
        <is>
          <t>SKA</t>
        </is>
      </c>
      <c r="N1316" t="inlineStr"/>
      <c r="O1316" t="inlineStr"/>
      <c r="P1316" t="inlineStr">
        <is>
          <t>Arlig</t>
        </is>
      </c>
      <c r="Q1316" t="inlineStr"/>
      <c r="R1316" t="inlineStr">
        <is>
          <t>Alltid</t>
        </is>
      </c>
      <c r="S1316" t="inlineStr"/>
      <c r="T1316" t="inlineStr">
        <is>
          <t>212000</t>
        </is>
      </c>
      <c r="U1316" t="inlineStr"/>
      <c r="V1316" t="inlineStr"/>
      <c r="W1316" t="inlineStr">
        <is>
          <t>Nej</t>
        </is>
      </c>
      <c r="X1316" t="inlineStr">
        <is>
          <t>Nej</t>
        </is>
      </c>
      <c r="Y1316" t="inlineStr">
        <is>
          <t>Nej</t>
        </is>
      </c>
      <c r="Z1316" t="inlineStr">
        <is>
          <t>Nej</t>
        </is>
      </c>
      <c r="AA1316" t="n">
        <v>10</v>
      </c>
      <c r="AB1316" t="inlineStr">
        <is>
          <t>Miljopaverkan och forsiktighetsmatt</t>
        </is>
      </c>
      <c r="AC1316" t="inlineStr">
        <is>
          <t>Miljo-PM</t>
        </is>
      </c>
      <c r="AD1316" t="inlineStr">
        <is>
          <t>Nej</t>
        </is>
      </c>
      <c r="AE1316" t="inlineStr">
        <is>
          <t>Nej</t>
        </is>
      </c>
      <c r="AF1316" t="inlineStr">
        <is>
          <t>Ej behandlad</t>
        </is>
      </c>
      <c r="AG1316" t="inlineStr">
        <is>
          <t>AUTO_GENERERAD. Verifiera citat mot kallfil.</t>
        </is>
      </c>
      <c r="AH1316" t="inlineStr">
        <is>
          <t>MEDIUM</t>
        </is>
      </c>
      <c r="AI1316" t="inlineStr">
        <is>
          <t>AUTO</t>
        </is>
      </c>
      <c r="AJ1316" t="inlineStr">
        <is>
          <t>Nej</t>
        </is>
      </c>
      <c r="AK1316" t="inlineStr"/>
      <c r="AL1316" t="inlineStr"/>
      <c r="AM1316" t="inlineStr"/>
      <c r="AN1316" t="inlineStr"/>
      <c r="AO1316" t="inlineStr">
        <is>
          <t>cmm4yup6002ahcuqwiwhrtr3f</t>
        </is>
      </c>
      <c r="AP1316" t="inlineStr">
        <is>
          <t>http://localhost:8787/api/admin/requirements/documents/cmm4yup6002ahcuqwiwhrtr3f/view</t>
        </is>
      </c>
      <c r="AQ1316">
        <f>HYPERLÄNK("http://localhost:8787/api/admin/requirements/documents/cmm4yup6002ahcuqwiwhrtr3f/view";"Öppna PDF")</f>
        <v/>
      </c>
      <c r="AR1316">
        <f>HYPERLINK("http://localhost:8787/api/admin/requirements/documents/cmm4yup6002ahcuqwiwhrtr3f/view","Open PDF")</f>
        <v/>
      </c>
      <c r="AS1316" t="inlineStr">
        <is>
          <t>cmm55w57p0004cuisfrtpqly8</t>
        </is>
      </c>
      <c r="AT1316" t="inlineStr">
        <is>
          <t>cmm4xvu980000cuh4vj0usz09</t>
        </is>
      </c>
      <c r="AU1316" t="inlineStr">
        <is>
          <t>pdf Hedemora</t>
        </is>
      </c>
      <c r="AV1316" t="inlineStr">
        <is>
          <t>Kommun</t>
        </is>
      </c>
      <c r="AW1316" t="inlineStr">
        <is>
          <t>pdf Hedemora kommun</t>
        </is>
      </c>
      <c r="AX1316" t="inlineStr">
        <is>
          <t>0225-340</t>
        </is>
      </c>
      <c r="AY1316" t="inlineStr">
        <is>
          <t>Beslut</t>
        </is>
      </c>
      <c r="AZ1316" t="inlineStr">
        <is>
          <t>2026-02-03</t>
        </is>
      </c>
      <c r="BA1316" t="inlineStr">
        <is>
          <t>MB-2024-448-427-INFOR-Brev-2024-06-24-.pdf</t>
        </is>
      </c>
      <c r="BB1316" t="inlineStr">
        <is>
          <t>SV: till registrator [2026HSC4325]</t>
        </is>
      </c>
      <c r="BC1316" t="inlineStr">
        <is>
          <t>AUTO</t>
        </is>
      </c>
      <c r="BD1316" t="inlineStr"/>
      <c r="BE1316" t="inlineStr"/>
      <c r="BF1316" t="inlineStr">
        <is>
          <t>AUTO_GENERERAD. Bekrafta metadata mot kallfil.</t>
        </is>
      </c>
      <c r="BG1316">
        <f>HYPERLINK("C:\Users\jimmy\Desktop\Examens arbete\Kod\Ny mapp\remix_-copy-of-miljöbeslut.se-portal\MB-2024-448-427-INFOR-Brev-2024-06-24-.pdf", "Öppna PDF")</f>
        <v/>
      </c>
    </row>
    <row r="1317">
      <c r="A1317" t="inlineStr">
        <is>
          <t>KRAV-AUTO-001316</t>
        </is>
      </c>
      <c r="B1317" t="inlineStr">
        <is>
          <t>ADMIN-INDEX-2026-02-27-00000000125C043F57453246863FE664CAFE6A3F0700950291EA24F0614FB6ACEDB12BF0E31D00000000010C0000950291EA24F0614FB6ACEDB12BF0E31D00002087AE9D0000</t>
        </is>
      </c>
      <c r="C1317" t="inlineStr">
        <is>
          <t>cmm4yup4d028tcuqw148165jj</t>
        </is>
      </c>
      <c r="D1317" t="inlineStr">
        <is>
          <t>http://localhost:8787/api/admin/requirements/documents/cmm4yup4d028tcuqw148165jj/view</t>
        </is>
      </c>
      <c r="E1317">
        <f>HYPERLÄNK("http://localhost:8787/api/admin/requirements/documents/cmm4yup4d028tcuqw148165jj/view";"Öppna PDF")</f>
        <v/>
      </c>
      <c r="F1317">
        <f>HYPERLINK("http://localhost:8787/api/admin/requirements/documents/cmm4yup4d028tcuqw148165jj/view","Open PDF")</f>
        <v/>
      </c>
      <c r="G1317" t="inlineStr">
        <is>
          <t>cmm55w57p0004cuisfrtpqly8</t>
        </is>
      </c>
      <c r="H1317" t="inlineStr">
        <is>
          <t>Beslutsvillkor</t>
        </is>
      </c>
      <c r="I1317" t="inlineStr">
        <is>
          <t>LagringsvolymTid</t>
        </is>
      </c>
      <c r="J1317" t="inlineStr">
        <is>
          <t>Maxmangd</t>
        </is>
      </c>
      <c r="K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17" t="inlineStr">
        <is>
          <t>SKA</t>
        </is>
      </c>
      <c r="N1317" t="inlineStr"/>
      <c r="O1317" t="inlineStr">
        <is>
          <t>2026-01-19</t>
        </is>
      </c>
      <c r="P1317" t="inlineStr">
        <is>
          <t>Arlig</t>
        </is>
      </c>
      <c r="Q1317" t="inlineStr"/>
      <c r="R1317" t="inlineStr">
        <is>
          <t>Alltid</t>
        </is>
      </c>
      <c r="S1317" t="inlineStr"/>
      <c r="T1317" t="inlineStr">
        <is>
          <t>2024 10</t>
        </is>
      </c>
      <c r="U1317" t="n">
        <v>10</v>
      </c>
      <c r="V1317" t="inlineStr"/>
      <c r="W1317" t="inlineStr">
        <is>
          <t>Nej</t>
        </is>
      </c>
      <c r="X1317" t="inlineStr">
        <is>
          <t>Nej</t>
        </is>
      </c>
      <c r="Y1317" t="inlineStr">
        <is>
          <t>Nej</t>
        </is>
      </c>
      <c r="Z1317" t="inlineStr">
        <is>
          <t>Nej</t>
        </is>
      </c>
      <c r="AA1317" t="n">
        <v>4</v>
      </c>
      <c r="AB1317" t="inlineStr">
        <is>
          <t>Avfallsmangder och lagringstid</t>
        </is>
      </c>
      <c r="AC1317" t="inlineStr">
        <is>
          <t>Avfallsforteckning</t>
        </is>
      </c>
      <c r="AD1317" t="inlineStr">
        <is>
          <t>Nej</t>
        </is>
      </c>
      <c r="AE1317" t="inlineStr">
        <is>
          <t>Nej</t>
        </is>
      </c>
      <c r="AF1317" t="inlineStr">
        <is>
          <t>Ej behandlad</t>
        </is>
      </c>
      <c r="AG1317" t="inlineStr">
        <is>
          <t>AUTO_GENERERAD. Verifiera citat mot kallfil.</t>
        </is>
      </c>
      <c r="AH1317" t="inlineStr">
        <is>
          <t>MEDIUM</t>
        </is>
      </c>
      <c r="AI1317" t="inlineStr">
        <is>
          <t>AUTO</t>
        </is>
      </c>
      <c r="AJ1317" t="inlineStr">
        <is>
          <t>Nej</t>
        </is>
      </c>
      <c r="AK1317" t="inlineStr"/>
      <c r="AL1317" t="inlineStr"/>
      <c r="AM1317" t="inlineStr"/>
      <c r="AN1317" t="inlineStr"/>
      <c r="AO1317" t="inlineStr">
        <is>
          <t>cmm4yup6002ahcuqwiwhrtr3f</t>
        </is>
      </c>
      <c r="AP1317" t="inlineStr">
        <is>
          <t>http://localhost:8787/api/admin/requirements/documents/cmm4yup6002ahcuqwiwhrtr3f/view</t>
        </is>
      </c>
      <c r="AQ1317">
        <f>HYPERLÄNK("http://localhost:8787/api/admin/requirements/documents/cmm4yup6002ahcuqwiwhrtr3f/view";"Öppna PDF")</f>
        <v/>
      </c>
      <c r="AR1317">
        <f>HYPERLINK("http://localhost:8787/api/admin/requirements/documents/cmm4yup6002ahcuqwiwhrtr3f/view","Open PDF")</f>
        <v/>
      </c>
      <c r="AS1317" t="inlineStr">
        <is>
          <t>cmm55w57p0004cuisfrtpqly8</t>
        </is>
      </c>
      <c r="AT1317" t="inlineStr">
        <is>
          <t>cmm4xvu980000cuh4vj0usz09</t>
        </is>
      </c>
      <c r="AU1317" t="inlineStr">
        <is>
          <t>pdf Hedemora</t>
        </is>
      </c>
      <c r="AV1317" t="inlineStr">
        <is>
          <t>Kommun</t>
        </is>
      </c>
      <c r="AW1317" t="inlineStr">
        <is>
          <t>pdf Hedemora kommun</t>
        </is>
      </c>
      <c r="AX1317" t="inlineStr">
        <is>
          <t>0225-340</t>
        </is>
      </c>
      <c r="AY1317" t="inlineStr">
        <is>
          <t>Beslut</t>
        </is>
      </c>
      <c r="AZ1317" t="inlineStr">
        <is>
          <t>2026-02-03</t>
        </is>
      </c>
      <c r="BA1317" t="inlineStr">
        <is>
          <t>MB-2024-448-427-INFOR-Brev-2024-06-24-.pdf</t>
        </is>
      </c>
      <c r="BB1317" t="inlineStr">
        <is>
          <t>SV: till registrator [2026HSC4325]</t>
        </is>
      </c>
      <c r="BC1317" t="inlineStr">
        <is>
          <t>AUTO</t>
        </is>
      </c>
      <c r="BD1317" t="inlineStr"/>
      <c r="BE1317" t="inlineStr"/>
      <c r="BF1317" t="inlineStr">
        <is>
          <t>AUTO_GENERERAD. Bekrafta metadata mot kallfil.</t>
        </is>
      </c>
      <c r="BG1317">
        <f>HYPERLINK("C:\Users\jimmy\Desktop\Examens arbete\Kod\Ny mapp\remix_-copy-of-miljöbeslut.se-portal\MB-2024-448-427-INFOR-Brev-2024-06-24-.pdf", "Öppna PDF")</f>
        <v/>
      </c>
    </row>
    <row r="1318">
      <c r="A1318" t="inlineStr">
        <is>
          <t>KRAV-AUTO-001317</t>
        </is>
      </c>
      <c r="B1318" t="inlineStr">
        <is>
          <t>ADMIN-INDEX-2026-02-27-00000000125C043F57453246863FE664CAFE6A3F0700950291EA24F0614FB6ACEDB12BF0E31D00000000010C0000950291EA24F0614FB6ACEDB12BF0E31D00002087AE9E0000</t>
        </is>
      </c>
      <c r="C1318" t="inlineStr">
        <is>
          <t>cmm4yup3u0288cuqw1esiotxe</t>
        </is>
      </c>
      <c r="D1318" t="inlineStr">
        <is>
          <t>http://localhost:8787/api/admin/requirements/documents/cmm4yup3u0288cuqw1esiotxe/view</t>
        </is>
      </c>
      <c r="E1318">
        <f>HYPERLÄNK("http://localhost:8787/api/admin/requirements/documents/cmm4yup3u0288cuqw1esiotxe/view";"Öppna PDF")</f>
        <v/>
      </c>
      <c r="F1318">
        <f>HYPERLINK("http://localhost:8787/api/admin/requirements/documents/cmm4yup3u0288cuqw1esiotxe/view","Open PDF")</f>
        <v/>
      </c>
      <c r="G1318" t="inlineStr">
        <is>
          <t>cmm55w57p0004cuisfrtpqly8</t>
        </is>
      </c>
      <c r="H1318" t="inlineStr">
        <is>
          <t>Beslutsvillkor</t>
        </is>
      </c>
      <c r="I1318" t="inlineStr">
        <is>
          <t>LagringsvolymTid</t>
        </is>
      </c>
      <c r="J1318" t="inlineStr">
        <is>
          <t>Maxmangd</t>
        </is>
      </c>
      <c r="K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18" t="inlineStr">
        <is>
          <t>SKA</t>
        </is>
      </c>
      <c r="N1318" t="inlineStr"/>
      <c r="O1318" t="inlineStr"/>
      <c r="P1318" t="inlineStr">
        <is>
          <t>Arlig</t>
        </is>
      </c>
      <c r="Q1318" t="inlineStr"/>
      <c r="R1318" t="inlineStr">
        <is>
          <t>Alltid</t>
        </is>
      </c>
      <c r="S1318" t="inlineStr"/>
      <c r="T1318" t="inlineStr">
        <is>
          <t>212000</t>
        </is>
      </c>
      <c r="U1318" t="n">
        <v>10</v>
      </c>
      <c r="V1318" t="inlineStr"/>
      <c r="W1318" t="inlineStr">
        <is>
          <t>Nej</t>
        </is>
      </c>
      <c r="X1318" t="inlineStr">
        <is>
          <t>Nej</t>
        </is>
      </c>
      <c r="Y1318" t="inlineStr">
        <is>
          <t>Nej</t>
        </is>
      </c>
      <c r="Z1318" t="inlineStr">
        <is>
          <t>Nej</t>
        </is>
      </c>
      <c r="AA1318" t="n">
        <v>4</v>
      </c>
      <c r="AB1318" t="inlineStr">
        <is>
          <t>Avfallsmangder och lagringstid</t>
        </is>
      </c>
      <c r="AC1318" t="inlineStr">
        <is>
          <t>Avfallsforteckning</t>
        </is>
      </c>
      <c r="AD1318" t="inlineStr">
        <is>
          <t>Nej</t>
        </is>
      </c>
      <c r="AE1318" t="inlineStr">
        <is>
          <t>Nej</t>
        </is>
      </c>
      <c r="AF1318" t="inlineStr">
        <is>
          <t>Ej behandlad</t>
        </is>
      </c>
      <c r="AG1318" t="inlineStr">
        <is>
          <t>AUTO_GENERERAD. Verifiera citat mot kallfil.</t>
        </is>
      </c>
      <c r="AH1318" t="inlineStr">
        <is>
          <t>MEDIUM</t>
        </is>
      </c>
      <c r="AI1318" t="inlineStr">
        <is>
          <t>AUTO</t>
        </is>
      </c>
      <c r="AJ1318" t="inlineStr">
        <is>
          <t>Nej</t>
        </is>
      </c>
      <c r="AK1318" t="inlineStr"/>
      <c r="AL1318" t="inlineStr"/>
      <c r="AM1318" t="inlineStr"/>
      <c r="AN1318" t="inlineStr"/>
      <c r="AO1318" t="inlineStr">
        <is>
          <t>cmm4yup3u0288cuqw1esiotxe</t>
        </is>
      </c>
      <c r="AP1318" t="inlineStr">
        <is>
          <t>http://localhost:8787/api/admin/requirements/documents/cmm4yup3u0288cuqw1esiotxe/view</t>
        </is>
      </c>
      <c r="AQ1318">
        <f>HYPERLÄNK("http://localhost:8787/api/admin/requirements/documents/cmm4yup3u0288cuqw1esiotxe/view";"Öppna PDF")</f>
        <v/>
      </c>
      <c r="AR1318">
        <f>HYPERLINK("http://localhost:8787/api/admin/requirements/documents/cmm4yup3u0288cuqw1esiotxe/view","Open PDF")</f>
        <v/>
      </c>
      <c r="AS1318" t="inlineStr">
        <is>
          <t>cmm55w57p0004cuisfrtpqly8</t>
        </is>
      </c>
      <c r="AT1318" t="inlineStr">
        <is>
          <t>cmm4xvu980000cuh4vj0usz09</t>
        </is>
      </c>
      <c r="AU1318" t="inlineStr">
        <is>
          <t>pdf Hedemora</t>
        </is>
      </c>
      <c r="AV1318" t="inlineStr">
        <is>
          <t>Kommun</t>
        </is>
      </c>
      <c r="AW1318" t="inlineStr">
        <is>
          <t>pdf Hedemora kommun</t>
        </is>
      </c>
      <c r="AX1318" t="inlineStr">
        <is>
          <t>0225-340</t>
        </is>
      </c>
      <c r="AY1318" t="inlineStr">
        <is>
          <t>Beslut</t>
        </is>
      </c>
      <c r="AZ1318" t="inlineStr">
        <is>
          <t>2026-02-03</t>
        </is>
      </c>
      <c r="BA1318" t="inlineStr">
        <is>
          <t>MB-2024-448-427-INFOR-Brev-2024-06-24-.pdf</t>
        </is>
      </c>
      <c r="BB1318" t="inlineStr">
        <is>
          <t>SV: till registrator [2026HSC4325]</t>
        </is>
      </c>
      <c r="BC1318" t="inlineStr">
        <is>
          <t>AUTO</t>
        </is>
      </c>
      <c r="BD1318" t="inlineStr"/>
      <c r="BE1318" t="inlineStr"/>
      <c r="BF1318" t="inlineStr">
        <is>
          <t>AUTO_GENERERAD. Bekrafta metadata mot kallfil.</t>
        </is>
      </c>
      <c r="BG1318">
        <f>HYPERLINK("C:\Users\jimmy\Desktop\Examens arbete\Kod\Ny mapp\remix_-copy-of-miljöbeslut.se-portal\MB-2024-448-427-INFOR-Brev-2024-06-24-.pdf", "Öppna PDF")</f>
        <v/>
      </c>
    </row>
    <row r="1319">
      <c r="A1319" t="inlineStr">
        <is>
          <t>KRAV-AUTO-001318</t>
        </is>
      </c>
      <c r="B1319" t="inlineStr">
        <is>
          <t>ADMIN-INDEX-2026-02-27-00000000125C043F57453246863FE664CAFE6A3F0700950291EA24F0614FB6ACEDB12BF0E31D00000000010C0000950291EA24F0614FB6ACEDB12BF0E31D00002087AE9E0000</t>
        </is>
      </c>
      <c r="C1319" t="inlineStr">
        <is>
          <t>cmm4yup3r0285cuqwmilc3d3i</t>
        </is>
      </c>
      <c r="D1319" t="inlineStr">
        <is>
          <t>http://localhost:8787/api/admin/requirements/documents/cmm4yup3r0285cuqwmilc3d3i/view</t>
        </is>
      </c>
      <c r="E1319">
        <f>HYPERLÄNK("http://localhost:8787/api/admin/requirements/documents/cmm4yup3r0285cuqwmilc3d3i/view";"Öppna PDF")</f>
        <v/>
      </c>
      <c r="F1319">
        <f>HYPERLINK("http://localhost:8787/api/admin/requirements/documents/cmm4yup3r0285cuqwmilc3d3i/view","Open PDF")</f>
        <v/>
      </c>
      <c r="G1319" t="inlineStr">
        <is>
          <t>cmm55w57p0004cuisfrtpqly8</t>
        </is>
      </c>
      <c r="H1319" t="inlineStr">
        <is>
          <t>Beslutsvillkor</t>
        </is>
      </c>
      <c r="I1319" t="inlineStr">
        <is>
          <t>LagringsvolymTid</t>
        </is>
      </c>
      <c r="J1319" t="inlineStr">
        <is>
          <t>Maxmangd</t>
        </is>
      </c>
      <c r="K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19" t="inlineStr">
        <is>
          <t>SKA</t>
        </is>
      </c>
      <c r="N1319" t="inlineStr"/>
      <c r="O1319" t="inlineStr">
        <is>
          <t>2024-08-28</t>
        </is>
      </c>
      <c r="P1319" t="inlineStr"/>
      <c r="Q1319" t="inlineStr"/>
      <c r="R1319" t="inlineStr">
        <is>
          <t>Alltid</t>
        </is>
      </c>
      <c r="S1319" t="inlineStr"/>
      <c r="T1319" t="inlineStr">
        <is>
          <t>212000</t>
        </is>
      </c>
      <c r="U1319" t="inlineStr"/>
      <c r="V1319" t="inlineStr"/>
      <c r="W1319" t="inlineStr">
        <is>
          <t>Nej</t>
        </is>
      </c>
      <c r="X1319" t="inlineStr">
        <is>
          <t>Nej</t>
        </is>
      </c>
      <c r="Y1319" t="inlineStr">
        <is>
          <t>Nej</t>
        </is>
      </c>
      <c r="Z1319" t="inlineStr">
        <is>
          <t>Nej</t>
        </is>
      </c>
      <c r="AA1319" t="n">
        <v>4</v>
      </c>
      <c r="AB1319" t="inlineStr">
        <is>
          <t>Avfallsmangder och lagringstid</t>
        </is>
      </c>
      <c r="AC1319" t="inlineStr">
        <is>
          <t>Avfallsforteckning</t>
        </is>
      </c>
      <c r="AD1319" t="inlineStr">
        <is>
          <t>Nej</t>
        </is>
      </c>
      <c r="AE1319" t="inlineStr">
        <is>
          <t>Nej</t>
        </is>
      </c>
      <c r="AF1319" t="inlineStr">
        <is>
          <t>Ej behandlad</t>
        </is>
      </c>
      <c r="AG1319" t="inlineStr">
        <is>
          <t>AUTO_GENERERAD. Verifiera citat mot kallfil.</t>
        </is>
      </c>
      <c r="AH1319" t="inlineStr">
        <is>
          <t>MEDIUM</t>
        </is>
      </c>
      <c r="AI1319" t="inlineStr">
        <is>
          <t>AUTO</t>
        </is>
      </c>
      <c r="AJ1319" t="inlineStr">
        <is>
          <t>Nej</t>
        </is>
      </c>
      <c r="AK1319" t="inlineStr"/>
      <c r="AL1319" t="inlineStr"/>
      <c r="AM1319" t="inlineStr"/>
      <c r="AN1319" t="inlineStr"/>
      <c r="AO1319" t="inlineStr">
        <is>
          <t>cmm4yup3u0288cuqw1esiotxe</t>
        </is>
      </c>
      <c r="AP1319" t="inlineStr">
        <is>
          <t>http://localhost:8787/api/admin/requirements/documents/cmm4yup3u0288cuqw1esiotxe/view</t>
        </is>
      </c>
      <c r="AQ1319">
        <f>HYPERLÄNK("http://localhost:8787/api/admin/requirements/documents/cmm4yup3u0288cuqw1esiotxe/view";"Öppna PDF")</f>
        <v/>
      </c>
      <c r="AR1319">
        <f>HYPERLINK("http://localhost:8787/api/admin/requirements/documents/cmm4yup3u0288cuqw1esiotxe/view","Open PDF")</f>
        <v/>
      </c>
      <c r="AS1319" t="inlineStr">
        <is>
          <t>cmm55w57p0004cuisfrtpqly8</t>
        </is>
      </c>
      <c r="AT1319" t="inlineStr">
        <is>
          <t>cmm4xvu980000cuh4vj0usz09</t>
        </is>
      </c>
      <c r="AU1319" t="inlineStr">
        <is>
          <t>pdf Hedemora</t>
        </is>
      </c>
      <c r="AV1319" t="inlineStr">
        <is>
          <t>Kommun</t>
        </is>
      </c>
      <c r="AW1319" t="inlineStr">
        <is>
          <t>pdf Hedemora kommun</t>
        </is>
      </c>
      <c r="AX1319" t="inlineStr">
        <is>
          <t>0225-340</t>
        </is>
      </c>
      <c r="AY1319" t="inlineStr">
        <is>
          <t>Beslut</t>
        </is>
      </c>
      <c r="AZ1319" t="inlineStr">
        <is>
          <t>2026-02-03</t>
        </is>
      </c>
      <c r="BA1319" t="inlineStr">
        <is>
          <t>MB-2024-448-427-INFOR-Brev-2024-06-24-.pdf</t>
        </is>
      </c>
      <c r="BB1319" t="inlineStr">
        <is>
          <t>SV: till registrator [2026HSC4325]</t>
        </is>
      </c>
      <c r="BC1319" t="inlineStr">
        <is>
          <t>AUTO</t>
        </is>
      </c>
      <c r="BD1319" t="inlineStr"/>
      <c r="BE1319" t="inlineStr"/>
      <c r="BF1319" t="inlineStr">
        <is>
          <t>AUTO_GENERERAD. Bekrafta metadata mot kallfil.</t>
        </is>
      </c>
      <c r="BG1319">
        <f>HYPERLINK("C:\Users\jimmy\Desktop\Examens arbete\Kod\Ny mapp\remix_-copy-of-miljöbeslut.se-portal\MB-2024-448-427-INFOR-Brev-2024-06-24-.pdf", "Öppna PDF")</f>
        <v/>
      </c>
    </row>
    <row r="1320">
      <c r="A1320" t="inlineStr">
        <is>
          <t>KRAV-AUTO-001319</t>
        </is>
      </c>
      <c r="B1320" t="inlineStr">
        <is>
          <t>ADMIN-INDEX-2026-02-27-00000000125C043F57453246863FE664CAFE6A3F0700950291EA24F0614FB6ACEDB12BF0E31D00000000010C0000950291EA24F0614FB6ACEDB12BF0E31D00002087AE9E0000</t>
        </is>
      </c>
      <c r="C1320" t="inlineStr">
        <is>
          <t>cmm4yup3r0285cuqwmilc3d3i</t>
        </is>
      </c>
      <c r="D1320" t="inlineStr">
        <is>
          <t>http://localhost:8787/api/admin/requirements/documents/cmm4yup3r0285cuqwmilc3d3i/view</t>
        </is>
      </c>
      <c r="E1320">
        <f>HYPERLÄNK("http://localhost:8787/api/admin/requirements/documents/cmm4yup3r0285cuqwmilc3d3i/view";"Öppna PDF")</f>
        <v/>
      </c>
      <c r="F1320">
        <f>HYPERLINK("http://localhost:8787/api/admin/requirements/documents/cmm4yup3r0285cuqwmilc3d3i/view","Open PDF")</f>
        <v/>
      </c>
      <c r="G1320" t="inlineStr">
        <is>
          <t>cmm55w57p0004cuisfrtpqly8</t>
        </is>
      </c>
      <c r="H1320" t="inlineStr">
        <is>
          <t>Beslutsvillkor</t>
        </is>
      </c>
      <c r="I1320" t="inlineStr">
        <is>
          <t>LagringsvolymTid</t>
        </is>
      </c>
      <c r="J1320" t="inlineStr">
        <is>
          <t>Maxmangd</t>
        </is>
      </c>
      <c r="K1320" t="inlineStr">
        <is>
          <t>Där anges att anmälningsplikt C gäller vid lagring av avfall, som ska användas till annat än i byggnads- eller anläggningsändamål, om mängden vid något tillfälle är mer än 10 ton men högst 10 000 ton.</t>
        </is>
      </c>
      <c r="L1320" t="inlineStr">
        <is>
          <t>Där anges att anmälningsplikt C gäller vid lagring av avfall, som ska användas till annat än i byggnads- eller anläggningsändamål, om mängden vid något tillfälle är mer än 10 ton men högst 10 000 ton.</t>
        </is>
      </c>
      <c r="M1320" t="inlineStr">
        <is>
          <t>SKA</t>
        </is>
      </c>
      <c r="N1320" t="inlineStr"/>
      <c r="O1320" t="inlineStr"/>
      <c r="P1320" t="inlineStr"/>
      <c r="Q1320" t="inlineStr"/>
      <c r="R1320" t="inlineStr">
        <is>
          <t>Alltid</t>
        </is>
      </c>
      <c r="S1320" t="inlineStr"/>
      <c r="T1320" t="inlineStr">
        <is>
          <t>212000</t>
        </is>
      </c>
      <c r="U1320" t="n">
        <v>10</v>
      </c>
      <c r="V1320" t="inlineStr"/>
      <c r="W1320" t="inlineStr">
        <is>
          <t>Nej</t>
        </is>
      </c>
      <c r="X1320" t="inlineStr">
        <is>
          <t>Nej</t>
        </is>
      </c>
      <c r="Y1320" t="inlineStr">
        <is>
          <t>Nej</t>
        </is>
      </c>
      <c r="Z1320" t="inlineStr">
        <is>
          <t>Nej</t>
        </is>
      </c>
      <c r="AA1320" t="n">
        <v>4</v>
      </c>
      <c r="AB1320" t="inlineStr">
        <is>
          <t>Avfallsmangder och lagringstid</t>
        </is>
      </c>
      <c r="AC1320" t="inlineStr">
        <is>
          <t>Avfallsforteckning</t>
        </is>
      </c>
      <c r="AD1320" t="inlineStr">
        <is>
          <t>Nej</t>
        </is>
      </c>
      <c r="AE1320" t="inlineStr">
        <is>
          <t>Nej</t>
        </is>
      </c>
      <c r="AF1320" t="inlineStr">
        <is>
          <t>Ej behandlad</t>
        </is>
      </c>
      <c r="AG1320" t="inlineStr">
        <is>
          <t>AUTO_GENERERAD. Verifiera citat mot kallfil.</t>
        </is>
      </c>
      <c r="AH1320" t="inlineStr">
        <is>
          <t>MEDIUM</t>
        </is>
      </c>
      <c r="AI1320" t="inlineStr">
        <is>
          <t>AUTO</t>
        </is>
      </c>
      <c r="AJ1320" t="inlineStr">
        <is>
          <t>Nej</t>
        </is>
      </c>
      <c r="AK1320" t="inlineStr"/>
      <c r="AL1320" t="inlineStr"/>
      <c r="AM1320" t="inlineStr"/>
      <c r="AN1320" t="inlineStr"/>
      <c r="AO1320" t="inlineStr">
        <is>
          <t>cmm4yup3u0288cuqw1esiotxe</t>
        </is>
      </c>
      <c r="AP1320" t="inlineStr">
        <is>
          <t>http://localhost:8787/api/admin/requirements/documents/cmm4yup3u0288cuqw1esiotxe/view</t>
        </is>
      </c>
      <c r="AQ1320">
        <f>HYPERLÄNK("http://localhost:8787/api/admin/requirements/documents/cmm4yup3u0288cuqw1esiotxe/view";"Öppna PDF")</f>
        <v/>
      </c>
      <c r="AR1320">
        <f>HYPERLINK("http://localhost:8787/api/admin/requirements/documents/cmm4yup3u0288cuqw1esiotxe/view","Open PDF")</f>
        <v/>
      </c>
      <c r="AS1320" t="inlineStr">
        <is>
          <t>cmm55w57p0004cuisfrtpqly8</t>
        </is>
      </c>
      <c r="AT1320" t="inlineStr">
        <is>
          <t>cmm4xvu980000cuh4vj0usz09</t>
        </is>
      </c>
      <c r="AU1320" t="inlineStr">
        <is>
          <t>pdf Hedemora</t>
        </is>
      </c>
      <c r="AV1320" t="inlineStr">
        <is>
          <t>Kommun</t>
        </is>
      </c>
      <c r="AW1320" t="inlineStr">
        <is>
          <t>pdf Hedemora kommun</t>
        </is>
      </c>
      <c r="AX1320" t="inlineStr">
        <is>
          <t>0225-340</t>
        </is>
      </c>
      <c r="AY1320" t="inlineStr">
        <is>
          <t>Beslut</t>
        </is>
      </c>
      <c r="AZ1320" t="inlineStr">
        <is>
          <t>2026-02-03</t>
        </is>
      </c>
      <c r="BA1320" t="inlineStr">
        <is>
          <t>MB-2024-448-427-INFOR-Brev-2024-06-24-.pdf</t>
        </is>
      </c>
      <c r="BB1320" t="inlineStr">
        <is>
          <t>SV: till registrator [2026HSC4325]</t>
        </is>
      </c>
      <c r="BC1320" t="inlineStr">
        <is>
          <t>AUTO</t>
        </is>
      </c>
      <c r="BD1320" t="inlineStr"/>
      <c r="BE1320" t="inlineStr"/>
      <c r="BF1320" t="inlineStr">
        <is>
          <t>AUTO_GENERERAD. Bekrafta metadata mot kallfil.</t>
        </is>
      </c>
      <c r="BG1320">
        <f>HYPERLINK("C:\Users\jimmy\Desktop\Examens arbete\Kod\Ny mapp\remix_-copy-of-miljöbeslut.se-portal\MB-2024-448-427-INFOR-Brev-2024-06-24-.pdf", "Öppna PDF")</f>
        <v/>
      </c>
    </row>
    <row r="1321">
      <c r="A1321" t="inlineStr">
        <is>
          <t>KRAV-AUTO-001320</t>
        </is>
      </c>
      <c r="B1321" t="inlineStr">
        <is>
          <t>ADMIN-INDEX-2026-02-27-00000000125C043F57453246863FE664CAFE6A3F0700950291EA24F0614FB6ACEDB12BF0E31D00000000010C0000950291EA24F0614FB6ACEDB12BF0E31D00002087AE9E0000</t>
        </is>
      </c>
      <c r="C1321" t="inlineStr">
        <is>
          <t>cmm4yup3r0285cuqwmilc3d3i</t>
        </is>
      </c>
      <c r="D1321" t="inlineStr">
        <is>
          <t>http://localhost:8787/api/admin/requirements/documents/cmm4yup3r0285cuqwmilc3d3i/view</t>
        </is>
      </c>
      <c r="E1321">
        <f>HYPERLÄNK("http://localhost:8787/api/admin/requirements/documents/cmm4yup3r0285cuqwmilc3d3i/view";"Öppna PDF")</f>
        <v/>
      </c>
      <c r="F1321">
        <f>HYPERLINK("http://localhost:8787/api/admin/requirements/documents/cmm4yup3r0285cuqwmilc3d3i/view","Open PDF")</f>
        <v/>
      </c>
      <c r="G1321" t="inlineStr">
        <is>
          <t>cmm55w57p0004cuisfrtpqly8</t>
        </is>
      </c>
      <c r="H1321" t="inlineStr">
        <is>
          <t>Beslutsvillkor</t>
        </is>
      </c>
      <c r="I1321" t="inlineStr">
        <is>
          <t>Riskhantering</t>
        </is>
      </c>
      <c r="J1321" t="inlineStr">
        <is>
          <t>Riskkontroll</t>
        </is>
      </c>
      <c r="K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21" t="inlineStr">
        <is>
          <t>SKA</t>
        </is>
      </c>
      <c r="N1321" t="inlineStr"/>
      <c r="O1321" t="inlineStr"/>
      <c r="P1321" t="inlineStr"/>
      <c r="Q1321" t="inlineStr"/>
      <c r="R1321" t="inlineStr">
        <is>
          <t>Vid risk for incident</t>
        </is>
      </c>
      <c r="S1321" t="inlineStr"/>
      <c r="T1321" t="inlineStr">
        <is>
          <t>212000</t>
        </is>
      </c>
      <c r="U1321" t="inlineStr"/>
      <c r="V1321" t="inlineStr"/>
      <c r="W1321" t="inlineStr">
        <is>
          <t>Nej</t>
        </is>
      </c>
      <c r="X1321" t="inlineStr">
        <is>
          <t>Nej</t>
        </is>
      </c>
      <c r="Y1321" t="inlineStr">
        <is>
          <t>Ja</t>
        </is>
      </c>
      <c r="Z1321" t="inlineStr">
        <is>
          <t>Ja</t>
        </is>
      </c>
      <c r="AA1321" t="n">
        <v>8</v>
      </c>
      <c r="AB1321" t="inlineStr">
        <is>
          <t>Riskhantering</t>
        </is>
      </c>
      <c r="AC1321" t="inlineStr">
        <is>
          <t>Risk-PM</t>
        </is>
      </c>
      <c r="AD1321" t="inlineStr">
        <is>
          <t>Nej</t>
        </is>
      </c>
      <c r="AE1321" t="inlineStr">
        <is>
          <t>Nej</t>
        </is>
      </c>
      <c r="AF1321" t="inlineStr">
        <is>
          <t>Ej behandlad</t>
        </is>
      </c>
      <c r="AG1321" t="inlineStr">
        <is>
          <t>AUTO_GENERERAD. Verifiera citat mot kallfil.</t>
        </is>
      </c>
      <c r="AH1321" t="inlineStr">
        <is>
          <t>MEDIUM</t>
        </is>
      </c>
      <c r="AI1321" t="inlineStr">
        <is>
          <t>AUTO</t>
        </is>
      </c>
      <c r="AJ1321" t="inlineStr">
        <is>
          <t>Nej</t>
        </is>
      </c>
      <c r="AK1321" t="inlineStr"/>
      <c r="AL1321" t="inlineStr"/>
      <c r="AM1321" t="inlineStr"/>
      <c r="AN1321" t="inlineStr"/>
      <c r="AO1321" t="inlineStr">
        <is>
          <t>cmm4yup3u0288cuqw1esiotxe</t>
        </is>
      </c>
      <c r="AP1321" t="inlineStr">
        <is>
          <t>http://localhost:8787/api/admin/requirements/documents/cmm4yup3u0288cuqw1esiotxe/view</t>
        </is>
      </c>
      <c r="AQ1321">
        <f>HYPERLÄNK("http://localhost:8787/api/admin/requirements/documents/cmm4yup3u0288cuqw1esiotxe/view";"Öppna PDF")</f>
        <v/>
      </c>
      <c r="AR1321">
        <f>HYPERLINK("http://localhost:8787/api/admin/requirements/documents/cmm4yup3u0288cuqw1esiotxe/view","Open PDF")</f>
        <v/>
      </c>
      <c r="AS1321" t="inlineStr">
        <is>
          <t>cmm55w57p0004cuisfrtpqly8</t>
        </is>
      </c>
      <c r="AT1321" t="inlineStr">
        <is>
          <t>cmm4xvu980000cuh4vj0usz09</t>
        </is>
      </c>
      <c r="AU1321" t="inlineStr">
        <is>
          <t>pdf Hedemora</t>
        </is>
      </c>
      <c r="AV1321" t="inlineStr">
        <is>
          <t>Kommun</t>
        </is>
      </c>
      <c r="AW1321" t="inlineStr">
        <is>
          <t>pdf Hedemora kommun</t>
        </is>
      </c>
      <c r="AX1321" t="inlineStr">
        <is>
          <t>0225-340</t>
        </is>
      </c>
      <c r="AY1321" t="inlineStr">
        <is>
          <t>Beslut</t>
        </is>
      </c>
      <c r="AZ1321" t="inlineStr">
        <is>
          <t>2026-02-03</t>
        </is>
      </c>
      <c r="BA1321" t="inlineStr">
        <is>
          <t>MB-2024-448-427-INFOR-Brev-2024-06-24-.pdf</t>
        </is>
      </c>
      <c r="BB1321" t="inlineStr">
        <is>
          <t>SV: till registrator [2026HSC4325]</t>
        </is>
      </c>
      <c r="BC1321" t="inlineStr">
        <is>
          <t>AUTO</t>
        </is>
      </c>
      <c r="BD1321" t="inlineStr"/>
      <c r="BE1321" t="inlineStr"/>
      <c r="BF1321" t="inlineStr">
        <is>
          <t>AUTO_GENERERAD. Bekrafta metadata mot kallfil.</t>
        </is>
      </c>
      <c r="BG1321">
        <f>HYPERLINK("C:\Users\jimmy\Desktop\Examens arbete\Kod\Ny mapp\remix_-copy-of-miljöbeslut.se-portal\MB-2024-448-427-INFOR-Brev-2024-06-24-.pdf", "Öppna PDF")</f>
        <v/>
      </c>
    </row>
    <row r="1322">
      <c r="A1322" t="inlineStr">
        <is>
          <t>KRAV-AUTO-001321</t>
        </is>
      </c>
      <c r="B1322" t="inlineStr">
        <is>
          <t>ADMIN-INDEX-2026-02-27-00000000125C043F57453246863FE664CAFE6A3F0700950291EA24F0614FB6ACEDB12BF0E31D00000000010C0000950291EA24F0614FB6ACEDB12BF0E31D00002087AE9E0000</t>
        </is>
      </c>
      <c r="C1322" t="inlineStr">
        <is>
          <t>cmm4yup3m027zcuqwmc6drse4</t>
        </is>
      </c>
      <c r="D1322" t="inlineStr">
        <is>
          <t>http://localhost:8787/api/admin/requirements/documents/cmm4yup3m027zcuqwmc6drse4/view</t>
        </is>
      </c>
      <c r="E1322">
        <f>HYPERLÄNK("http://localhost:8787/api/admin/requirements/documents/cmm4yup3m027zcuqwmc6drse4/view";"Öppna PDF")</f>
        <v/>
      </c>
      <c r="F1322">
        <f>HYPERLINK("http://localhost:8787/api/admin/requirements/documents/cmm4yup3m027zcuqwmc6drse4/view","Open PDF")</f>
        <v/>
      </c>
      <c r="G1322" t="inlineStr">
        <is>
          <t>cmm55w57p0004cuisfrtpqly8</t>
        </is>
      </c>
      <c r="H1322" t="inlineStr">
        <is>
          <t>Beslutsvillkor</t>
        </is>
      </c>
      <c r="I1322" t="inlineStr">
        <is>
          <t>LagringsvolymTid</t>
        </is>
      </c>
      <c r="J1322" t="inlineStr">
        <is>
          <t>Maxmangd</t>
        </is>
      </c>
      <c r="K1322" t="inlineStr">
        <is>
          <t>Det fiber- och bioslammet kommer endast från kartongbruket och ska provtas under mellanlagringen.</t>
        </is>
      </c>
      <c r="L1322" t="inlineStr">
        <is>
          <t>Det fiber- och bioslammet kommer endast från kartongbruket och ska provtas under mellanlagringen.</t>
        </is>
      </c>
      <c r="M1322" t="inlineStr">
        <is>
          <t>SKA</t>
        </is>
      </c>
      <c r="N1322" t="inlineStr"/>
      <c r="O1322" t="inlineStr"/>
      <c r="P1322" t="inlineStr"/>
      <c r="Q1322" t="inlineStr"/>
      <c r="R1322" t="inlineStr">
        <is>
          <t>Alltid</t>
        </is>
      </c>
      <c r="S1322" t="inlineStr"/>
      <c r="T1322" t="inlineStr">
        <is>
          <t>2024 09</t>
        </is>
      </c>
      <c r="U1322" t="inlineStr"/>
      <c r="V1322" t="inlineStr"/>
      <c r="W1322" t="inlineStr">
        <is>
          <t>Nej</t>
        </is>
      </c>
      <c r="X1322" t="inlineStr">
        <is>
          <t>Nej</t>
        </is>
      </c>
      <c r="Y1322" t="inlineStr">
        <is>
          <t>Nej</t>
        </is>
      </c>
      <c r="Z1322" t="inlineStr">
        <is>
          <t>Nej</t>
        </is>
      </c>
      <c r="AA1322" t="n">
        <v>4</v>
      </c>
      <c r="AB1322" t="inlineStr">
        <is>
          <t>Avfallsmangder och lagringstid</t>
        </is>
      </c>
      <c r="AC1322" t="inlineStr">
        <is>
          <t>Avfallsforteckning</t>
        </is>
      </c>
      <c r="AD1322" t="inlineStr">
        <is>
          <t>Nej</t>
        </is>
      </c>
      <c r="AE1322" t="inlineStr">
        <is>
          <t>Nej</t>
        </is>
      </c>
      <c r="AF1322" t="inlineStr">
        <is>
          <t>Ej behandlad</t>
        </is>
      </c>
      <c r="AG1322" t="inlineStr">
        <is>
          <t>AUTO_GENERERAD. Verifiera citat mot kallfil.</t>
        </is>
      </c>
      <c r="AH1322" t="inlineStr">
        <is>
          <t>MEDIUM</t>
        </is>
      </c>
      <c r="AI1322" t="inlineStr">
        <is>
          <t>AUTO</t>
        </is>
      </c>
      <c r="AJ1322" t="inlineStr">
        <is>
          <t>Nej</t>
        </is>
      </c>
      <c r="AK1322" t="inlineStr"/>
      <c r="AL1322" t="inlineStr"/>
      <c r="AM1322" t="inlineStr"/>
      <c r="AN1322" t="inlineStr"/>
      <c r="AO1322" t="inlineStr">
        <is>
          <t>cmm4yup3u0288cuqw1esiotxe</t>
        </is>
      </c>
      <c r="AP1322" t="inlineStr">
        <is>
          <t>http://localhost:8787/api/admin/requirements/documents/cmm4yup3u0288cuqw1esiotxe/view</t>
        </is>
      </c>
      <c r="AQ1322">
        <f>HYPERLÄNK("http://localhost:8787/api/admin/requirements/documents/cmm4yup3u0288cuqw1esiotxe/view";"Öppna PDF")</f>
        <v/>
      </c>
      <c r="AR1322">
        <f>HYPERLINK("http://localhost:8787/api/admin/requirements/documents/cmm4yup3u0288cuqw1esiotxe/view","Open PDF")</f>
        <v/>
      </c>
      <c r="AS1322" t="inlineStr">
        <is>
          <t>cmm55w57p0004cuisfrtpqly8</t>
        </is>
      </c>
      <c r="AT1322" t="inlineStr">
        <is>
          <t>cmm4xvu980000cuh4vj0usz09</t>
        </is>
      </c>
      <c r="AU1322" t="inlineStr">
        <is>
          <t>pdf Hedemora</t>
        </is>
      </c>
      <c r="AV1322" t="inlineStr">
        <is>
          <t>Kommun</t>
        </is>
      </c>
      <c r="AW1322" t="inlineStr">
        <is>
          <t>pdf Hedemora kommun</t>
        </is>
      </c>
      <c r="AX1322" t="inlineStr">
        <is>
          <t>0225-340</t>
        </is>
      </c>
      <c r="AY1322" t="inlineStr">
        <is>
          <t>Beslut</t>
        </is>
      </c>
      <c r="AZ1322" t="inlineStr">
        <is>
          <t>2026-02-03</t>
        </is>
      </c>
      <c r="BA1322" t="inlineStr">
        <is>
          <t>MB-2024-448-427-INFOR-Brev-2024-06-24-.pdf</t>
        </is>
      </c>
      <c r="BB1322" t="inlineStr">
        <is>
          <t>SV: till registrator [2026HSC4325]</t>
        </is>
      </c>
      <c r="BC1322" t="inlineStr">
        <is>
          <t>AUTO</t>
        </is>
      </c>
      <c r="BD1322" t="inlineStr"/>
      <c r="BE1322" t="inlineStr"/>
      <c r="BF1322" t="inlineStr">
        <is>
          <t>AUTO_GENERERAD. Bekrafta metadata mot kallfil.</t>
        </is>
      </c>
      <c r="BG1322">
        <f>HYPERLINK("C:\Users\jimmy\Desktop\Examens arbete\Kod\Ny mapp\remix_-copy-of-miljöbeslut.se-portal\MB-2024-448-427-INFOR-Brev-2024-06-24-.pdf", "Öppna PDF")</f>
        <v/>
      </c>
    </row>
    <row r="1323">
      <c r="A1323" t="inlineStr">
        <is>
          <t>KRAV-AUTO-001322</t>
        </is>
      </c>
      <c r="B1323" t="inlineStr">
        <is>
          <t>ADMIN-INDEX-2026-02-27-00000000125C043F57453246863FE664CAFE6A3F0700950291EA24F0614FB6ACEDB12BF0E31D00000000010C0000950291EA24F0614FB6ACEDB12BF0E31D00002087AE9E0000</t>
        </is>
      </c>
      <c r="C1323" t="inlineStr">
        <is>
          <t>cmm4yup3m027zcuqwmc6drse4</t>
        </is>
      </c>
      <c r="D1323" t="inlineStr">
        <is>
          <t>http://localhost:8787/api/admin/requirements/documents/cmm4yup3m027zcuqwmc6drse4/view</t>
        </is>
      </c>
      <c r="E1323">
        <f>HYPERLÄNK("http://localhost:8787/api/admin/requirements/documents/cmm4yup3m027zcuqwmc6drse4/view";"Öppna PDF")</f>
        <v/>
      </c>
      <c r="F1323">
        <f>HYPERLINK("http://localhost:8787/api/admin/requirements/documents/cmm4yup3m027zcuqwmc6drse4/view","Open PDF")</f>
        <v/>
      </c>
      <c r="G1323" t="inlineStr">
        <is>
          <t>cmm55w57p0004cuisfrtpqly8</t>
        </is>
      </c>
      <c r="H1323" t="inlineStr">
        <is>
          <t>Beslutsvillkor</t>
        </is>
      </c>
      <c r="I1323" t="inlineStr">
        <is>
          <t>DriftEgenkontroll</t>
        </is>
      </c>
      <c r="J1323" t="inlineStr">
        <is>
          <t>Journalforing</t>
        </is>
      </c>
      <c r="K1323" t="inlineStr">
        <is>
          <t>Enligt verksamhetsutövaren ska de inte göra någon aktiv behandling av massorna förutom provtagningen.</t>
        </is>
      </c>
      <c r="L1323" t="inlineStr">
        <is>
          <t>Enligt verksamhetsutövaren ska de inte göra någon aktiv behandling av massorna förutom provtagningen.</t>
        </is>
      </c>
      <c r="M1323" t="inlineStr">
        <is>
          <t>SKA</t>
        </is>
      </c>
      <c r="N1323" t="inlineStr"/>
      <c r="O1323" t="inlineStr"/>
      <c r="P1323" t="inlineStr"/>
      <c r="Q1323" t="inlineStr"/>
      <c r="R1323" t="inlineStr">
        <is>
          <t>Lopande drift</t>
        </is>
      </c>
      <c r="S1323" t="inlineStr"/>
      <c r="T1323" t="inlineStr">
        <is>
          <t>2024 09</t>
        </is>
      </c>
      <c r="U1323" t="inlineStr"/>
      <c r="V1323" t="inlineStr"/>
      <c r="W1323" t="inlineStr">
        <is>
          <t>Nej</t>
        </is>
      </c>
      <c r="X1323" t="inlineStr">
        <is>
          <t>Nej</t>
        </is>
      </c>
      <c r="Y1323" t="inlineStr">
        <is>
          <t>Ja</t>
        </is>
      </c>
      <c r="Z1323" t="inlineStr">
        <is>
          <t>Nej</t>
        </is>
      </c>
      <c r="AA1323" t="n">
        <v>7</v>
      </c>
      <c r="AB1323" t="inlineStr">
        <is>
          <t>Egenkontrollrutiner</t>
        </is>
      </c>
      <c r="AC1323" t="inlineStr">
        <is>
          <t>Egenkontrollprogram</t>
        </is>
      </c>
      <c r="AD1323" t="inlineStr">
        <is>
          <t>Nej</t>
        </is>
      </c>
      <c r="AE1323" t="inlineStr">
        <is>
          <t>Nej</t>
        </is>
      </c>
      <c r="AF1323" t="inlineStr">
        <is>
          <t>Ej behandlad</t>
        </is>
      </c>
      <c r="AG1323" t="inlineStr">
        <is>
          <t>AUTO_GENERERAD. Verifiera citat mot kallfil.</t>
        </is>
      </c>
      <c r="AH1323" t="inlineStr">
        <is>
          <t>MEDIUM</t>
        </is>
      </c>
      <c r="AI1323" t="inlineStr">
        <is>
          <t>AUTO</t>
        </is>
      </c>
      <c r="AJ1323" t="inlineStr">
        <is>
          <t>Nej</t>
        </is>
      </c>
      <c r="AK1323" t="inlineStr"/>
      <c r="AL1323" t="inlineStr"/>
      <c r="AM1323" t="inlineStr"/>
      <c r="AN1323" t="inlineStr"/>
      <c r="AO1323" t="inlineStr">
        <is>
          <t>cmm4yup3u0288cuqw1esiotxe</t>
        </is>
      </c>
      <c r="AP1323" t="inlineStr">
        <is>
          <t>http://localhost:8787/api/admin/requirements/documents/cmm4yup3u0288cuqw1esiotxe/view</t>
        </is>
      </c>
      <c r="AQ1323">
        <f>HYPERLÄNK("http://localhost:8787/api/admin/requirements/documents/cmm4yup3u0288cuqw1esiotxe/view";"Öppna PDF")</f>
        <v/>
      </c>
      <c r="AR1323">
        <f>HYPERLINK("http://localhost:8787/api/admin/requirements/documents/cmm4yup3u0288cuqw1esiotxe/view","Open PDF")</f>
        <v/>
      </c>
      <c r="AS1323" t="inlineStr">
        <is>
          <t>cmm55w57p0004cuisfrtpqly8</t>
        </is>
      </c>
      <c r="AT1323" t="inlineStr">
        <is>
          <t>cmm4xvu980000cuh4vj0usz09</t>
        </is>
      </c>
      <c r="AU1323" t="inlineStr">
        <is>
          <t>pdf Hedemora</t>
        </is>
      </c>
      <c r="AV1323" t="inlineStr">
        <is>
          <t>Kommun</t>
        </is>
      </c>
      <c r="AW1323" t="inlineStr">
        <is>
          <t>pdf Hedemora kommun</t>
        </is>
      </c>
      <c r="AX1323" t="inlineStr">
        <is>
          <t>0225-340</t>
        </is>
      </c>
      <c r="AY1323" t="inlineStr">
        <is>
          <t>Beslut</t>
        </is>
      </c>
      <c r="AZ1323" t="inlineStr">
        <is>
          <t>2026-02-03</t>
        </is>
      </c>
      <c r="BA1323" t="inlineStr">
        <is>
          <t>MB-2024-448-427-INFOR-Brev-2024-06-24-.pdf</t>
        </is>
      </c>
      <c r="BB1323" t="inlineStr">
        <is>
          <t>SV: till registrator [2026HSC4325]</t>
        </is>
      </c>
      <c r="BC1323" t="inlineStr">
        <is>
          <t>AUTO</t>
        </is>
      </c>
      <c r="BD1323" t="inlineStr"/>
      <c r="BE1323" t="inlineStr"/>
      <c r="BF1323" t="inlineStr">
        <is>
          <t>AUTO_GENERERAD. Bekrafta metadata mot kallfil.</t>
        </is>
      </c>
      <c r="BG1323">
        <f>HYPERLINK("C:\Users\jimmy\Desktop\Examens arbete\Kod\Ny mapp\remix_-copy-of-miljöbeslut.se-portal\MB-2024-448-427-INFOR-Brev-2024-06-24-.pdf", "Öppna PDF")</f>
        <v/>
      </c>
    </row>
    <row r="1324">
      <c r="A1324" t="inlineStr">
        <is>
          <t>KRAV-AUTO-001323</t>
        </is>
      </c>
      <c r="B1324" t="inlineStr">
        <is>
          <t>ADMIN-INDEX-2026-02-27-00000000125C043F57453246863FE664CAFE6A3F0700950291EA24F0614FB6ACEDB12BF0E31D00000000010C0000950291EA24F0614FB6ACEDB12BF0E31D00002087AE9E0000</t>
        </is>
      </c>
      <c r="C1324" t="inlineStr">
        <is>
          <t>cmm4yup3m027zcuqwmc6drse4</t>
        </is>
      </c>
      <c r="D1324" t="inlineStr">
        <is>
          <t>http://localhost:8787/api/admin/requirements/documents/cmm4yup3m027zcuqwmc6drse4/view</t>
        </is>
      </c>
      <c r="E1324">
        <f>HYPERLÄNK("http://localhost:8787/api/admin/requirements/documents/cmm4yup3m027zcuqwmc6drse4/view";"Öppna PDF")</f>
        <v/>
      </c>
      <c r="F1324">
        <f>HYPERLINK("http://localhost:8787/api/admin/requirements/documents/cmm4yup3m027zcuqwmc6drse4/view","Open PDF")</f>
        <v/>
      </c>
      <c r="G1324" t="inlineStr">
        <is>
          <t>cmm55w57p0004cuisfrtpqly8</t>
        </is>
      </c>
      <c r="H1324" t="inlineStr">
        <is>
          <t>Beslutsvillkor</t>
        </is>
      </c>
      <c r="I1324" t="inlineStr">
        <is>
          <t>MiljopaverkanForsiktighet</t>
        </is>
      </c>
      <c r="J1324" t="inlineStr">
        <is>
          <t>Skyddsatgarder</t>
        </is>
      </c>
      <c r="K1324" t="inlineStr">
        <is>
          <t>Från: Zoltan Csaba Fazekas Skickat: den 8 juli 2024 09:54 Till: kundtjanst@naturvardsverket.se Ämne: vägledning om avfall (fiberslam) Hej, Jag skulle uppskatta om ni kunde ge oss er syn på vår bedömning i detta aktuella ärende.</t>
        </is>
      </c>
      <c r="L1324" t="inlineStr">
        <is>
          <t>Från: Zoltan Csaba Fazekas Skickat: den 8 juli 2024 09:54 Till: kundtjanst@naturvardsverket.se Ämne: vägledning om avfall (fiberslam) Hej, Jag skulle uppskatta om ni kunde ge oss er syn på vår bedömning i detta aktuella ärende.</t>
        </is>
      </c>
      <c r="M1324" t="inlineStr">
        <is>
          <t>SKA</t>
        </is>
      </c>
      <c r="N1324" t="inlineStr">
        <is>
          <t>Naturvardsverket</t>
        </is>
      </c>
      <c r="O1324" t="inlineStr"/>
      <c r="P1324" t="inlineStr"/>
      <c r="Q1324" t="inlineStr"/>
      <c r="R1324" t="inlineStr">
        <is>
          <t>Alltid</t>
        </is>
      </c>
      <c r="S1324" t="inlineStr"/>
      <c r="T1324" t="inlineStr">
        <is>
          <t>2024 09</t>
        </is>
      </c>
      <c r="U1324" t="inlineStr"/>
      <c r="V1324" t="inlineStr"/>
      <c r="W1324" t="inlineStr">
        <is>
          <t>Nej</t>
        </is>
      </c>
      <c r="X1324" t="inlineStr">
        <is>
          <t>Nej</t>
        </is>
      </c>
      <c r="Y1324" t="inlineStr">
        <is>
          <t>Nej</t>
        </is>
      </c>
      <c r="Z1324" t="inlineStr">
        <is>
          <t>Nej</t>
        </is>
      </c>
      <c r="AA1324" t="n">
        <v>10</v>
      </c>
      <c r="AB1324" t="inlineStr">
        <is>
          <t>Miljopaverkan och forsiktighetsmatt</t>
        </is>
      </c>
      <c r="AC1324" t="inlineStr">
        <is>
          <t>Miljo-PM</t>
        </is>
      </c>
      <c r="AD1324" t="inlineStr">
        <is>
          <t>Nej</t>
        </is>
      </c>
      <c r="AE1324" t="inlineStr">
        <is>
          <t>Nej</t>
        </is>
      </c>
      <c r="AF1324" t="inlineStr">
        <is>
          <t>Ej behandlad</t>
        </is>
      </c>
      <c r="AG1324" t="inlineStr">
        <is>
          <t>AUTO_GENERERAD. Verifiera citat mot kallfil.</t>
        </is>
      </c>
      <c r="AH1324" t="inlineStr">
        <is>
          <t>MEDIUM</t>
        </is>
      </c>
      <c r="AI1324" t="inlineStr">
        <is>
          <t>AUTO</t>
        </is>
      </c>
      <c r="AJ1324" t="inlineStr">
        <is>
          <t>Nej</t>
        </is>
      </c>
      <c r="AK1324" t="inlineStr"/>
      <c r="AL1324" t="inlineStr"/>
      <c r="AM1324" t="inlineStr"/>
      <c r="AN1324" t="inlineStr"/>
      <c r="AO1324" t="inlineStr">
        <is>
          <t>cmm4yup3u0288cuqw1esiotxe</t>
        </is>
      </c>
      <c r="AP1324" t="inlineStr">
        <is>
          <t>http://localhost:8787/api/admin/requirements/documents/cmm4yup3u0288cuqw1esiotxe/view</t>
        </is>
      </c>
      <c r="AQ1324">
        <f>HYPERLÄNK("http://localhost:8787/api/admin/requirements/documents/cmm4yup3u0288cuqw1esiotxe/view";"Öppna PDF")</f>
        <v/>
      </c>
      <c r="AR1324">
        <f>HYPERLINK("http://localhost:8787/api/admin/requirements/documents/cmm4yup3u0288cuqw1esiotxe/view","Open PDF")</f>
        <v/>
      </c>
      <c r="AS1324" t="inlineStr">
        <is>
          <t>cmm55w57p0004cuisfrtpqly8</t>
        </is>
      </c>
      <c r="AT1324" t="inlineStr">
        <is>
          <t>cmm4xvu980000cuh4vj0usz09</t>
        </is>
      </c>
      <c r="AU1324" t="inlineStr">
        <is>
          <t>pdf Hedemora</t>
        </is>
      </c>
      <c r="AV1324" t="inlineStr">
        <is>
          <t>Kommun</t>
        </is>
      </c>
      <c r="AW1324" t="inlineStr">
        <is>
          <t>pdf Hedemora kommun</t>
        </is>
      </c>
      <c r="AX1324" t="inlineStr">
        <is>
          <t>0225-340</t>
        </is>
      </c>
      <c r="AY1324" t="inlineStr">
        <is>
          <t>Beslut</t>
        </is>
      </c>
      <c r="AZ1324" t="inlineStr">
        <is>
          <t>2026-02-03</t>
        </is>
      </c>
      <c r="BA1324" t="inlineStr">
        <is>
          <t>MB-2024-448-427-INFOR-Brev-2024-06-24-.pdf</t>
        </is>
      </c>
      <c r="BB1324" t="inlineStr">
        <is>
          <t>SV: till registrator [2026HSC4325]</t>
        </is>
      </c>
      <c r="BC1324" t="inlineStr">
        <is>
          <t>AUTO</t>
        </is>
      </c>
      <c r="BD1324" t="inlineStr"/>
      <c r="BE1324" t="inlineStr"/>
      <c r="BF1324" t="inlineStr">
        <is>
          <t>AUTO_GENERERAD. Bekrafta metadata mot kallfil.</t>
        </is>
      </c>
      <c r="BG1324">
        <f>HYPERLINK("C:\Users\jimmy\Desktop\Examens arbete\Kod\Ny mapp\remix_-copy-of-miljöbeslut.se-portal\MB-2024-448-427-INFOR-Brev-2024-06-24-.pdf", "Öppna PDF")</f>
        <v/>
      </c>
    </row>
    <row r="1325">
      <c r="A1325" t="inlineStr">
        <is>
          <t>KRAV-AUTO-001324</t>
        </is>
      </c>
      <c r="B1325" t="inlineStr">
        <is>
          <t>ADMIN-INDEX-2026-02-27-00000000125C043F57453246863FE664CAFE6A3F0700950291EA24F0614FB6ACEDB12BF0E31D00000000010C0000950291EA24F0614FB6ACEDB12BF0E31D00002087AE9E0000</t>
        </is>
      </c>
      <c r="C1325" t="inlineStr">
        <is>
          <t>cmm4yup3j027wcuqwzjrqsf6l</t>
        </is>
      </c>
      <c r="D1325" t="inlineStr">
        <is>
          <t>http://localhost:8787/api/admin/requirements/documents/cmm4yup3j027wcuqwzjrqsf6l/view</t>
        </is>
      </c>
      <c r="E1325">
        <f>HYPERLÄNK("http://localhost:8787/api/admin/requirements/documents/cmm4yup3j027wcuqwzjrqsf6l/view";"Öppna PDF")</f>
        <v/>
      </c>
      <c r="F1325">
        <f>HYPERLINK("http://localhost:8787/api/admin/requirements/documents/cmm4yup3j027wcuqwzjrqsf6l/view","Open PDF")</f>
        <v/>
      </c>
      <c r="G1325" t="inlineStr">
        <is>
          <t>cmm55w57p0004cuisfrtpqly8</t>
        </is>
      </c>
      <c r="H1325" t="inlineStr">
        <is>
          <t>Beslutsvillkor</t>
        </is>
      </c>
      <c r="I1325" t="inlineStr">
        <is>
          <t>LagringsvolymTid</t>
        </is>
      </c>
      <c r="J1325" t="inlineStr">
        <is>
          <t>Maxmangd</t>
        </is>
      </c>
      <c r="K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25" t="inlineStr">
        <is>
          <t>SKA</t>
        </is>
      </c>
      <c r="N1325" t="inlineStr">
        <is>
          <t>Naturvardsverket</t>
        </is>
      </c>
      <c r="O1325" t="inlineStr"/>
      <c r="P1325" t="inlineStr"/>
      <c r="Q1325" t="inlineStr"/>
      <c r="R1325" t="inlineStr">
        <is>
          <t>Alltid</t>
        </is>
      </c>
      <c r="S1325" t="inlineStr"/>
      <c r="T1325" t="inlineStr">
        <is>
          <t>2024 15</t>
        </is>
      </c>
      <c r="U1325" t="inlineStr"/>
      <c r="V1325" t="inlineStr"/>
      <c r="W1325" t="inlineStr">
        <is>
          <t>Nej</t>
        </is>
      </c>
      <c r="X1325" t="inlineStr">
        <is>
          <t>Nej</t>
        </is>
      </c>
      <c r="Y1325" t="inlineStr">
        <is>
          <t>Nej</t>
        </is>
      </c>
      <c r="Z1325" t="inlineStr">
        <is>
          <t>Nej</t>
        </is>
      </c>
      <c r="AA1325" t="n">
        <v>4</v>
      </c>
      <c r="AB1325" t="inlineStr">
        <is>
          <t>Avfallsmangder och lagringstid</t>
        </is>
      </c>
      <c r="AC1325" t="inlineStr">
        <is>
          <t>Avfallsforteckning</t>
        </is>
      </c>
      <c r="AD1325" t="inlineStr">
        <is>
          <t>Nej</t>
        </is>
      </c>
      <c r="AE1325" t="inlineStr">
        <is>
          <t>Nej</t>
        </is>
      </c>
      <c r="AF1325" t="inlineStr">
        <is>
          <t>Ej behandlad</t>
        </is>
      </c>
      <c r="AG1325" t="inlineStr">
        <is>
          <t>AUTO_GENERERAD. Verifiera citat mot kallfil.</t>
        </is>
      </c>
      <c r="AH1325" t="inlineStr">
        <is>
          <t>LOW</t>
        </is>
      </c>
      <c r="AI1325" t="inlineStr">
        <is>
          <t>AUTO</t>
        </is>
      </c>
      <c r="AJ1325" t="inlineStr">
        <is>
          <t>Nej</t>
        </is>
      </c>
      <c r="AK1325" t="inlineStr"/>
      <c r="AL1325" t="inlineStr"/>
      <c r="AM1325" t="inlineStr"/>
      <c r="AN1325" t="inlineStr"/>
      <c r="AO1325" t="inlineStr">
        <is>
          <t>cmm4yup3u0288cuqw1esiotxe</t>
        </is>
      </c>
      <c r="AP1325" t="inlineStr">
        <is>
          <t>http://localhost:8787/api/admin/requirements/documents/cmm4yup3u0288cuqw1esiotxe/view</t>
        </is>
      </c>
      <c r="AQ1325">
        <f>HYPERLÄNK("http://localhost:8787/api/admin/requirements/documents/cmm4yup3u0288cuqw1esiotxe/view";"Öppna PDF")</f>
        <v/>
      </c>
      <c r="AR1325">
        <f>HYPERLINK("http://localhost:8787/api/admin/requirements/documents/cmm4yup3u0288cuqw1esiotxe/view","Open PDF")</f>
        <v/>
      </c>
      <c r="AS1325" t="inlineStr">
        <is>
          <t>cmm55w57p0004cuisfrtpqly8</t>
        </is>
      </c>
      <c r="AT1325" t="inlineStr">
        <is>
          <t>cmm4xvu980000cuh4vj0usz09</t>
        </is>
      </c>
      <c r="AU1325" t="inlineStr">
        <is>
          <t>pdf Hedemora</t>
        </is>
      </c>
      <c r="AV1325" t="inlineStr">
        <is>
          <t>Kommun</t>
        </is>
      </c>
      <c r="AW1325" t="inlineStr">
        <is>
          <t>pdf Hedemora kommun</t>
        </is>
      </c>
      <c r="AX1325" t="inlineStr">
        <is>
          <t>0225-340</t>
        </is>
      </c>
      <c r="AY1325" t="inlineStr">
        <is>
          <t>Beslut</t>
        </is>
      </c>
      <c r="AZ1325" t="inlineStr">
        <is>
          <t>2026-02-03</t>
        </is>
      </c>
      <c r="BA1325" t="inlineStr">
        <is>
          <t>MB-2024-448-427-INFOR-Brev-2024-06-24-.pdf</t>
        </is>
      </c>
      <c r="BB1325" t="inlineStr">
        <is>
          <t>SV: till registrator [2026HSC4325]</t>
        </is>
      </c>
      <c r="BC1325" t="inlineStr">
        <is>
          <t>AUTO</t>
        </is>
      </c>
      <c r="BD1325" t="inlineStr"/>
      <c r="BE1325" t="inlineStr"/>
      <c r="BF1325" t="inlineStr">
        <is>
          <t>AUTO_GENERERAD. Bekrafta metadata mot kallfil.</t>
        </is>
      </c>
      <c r="BG1325">
        <f>HYPERLINK("C:\Users\jimmy\Desktop\Examens arbete\Kod\Ny mapp\remix_-copy-of-miljöbeslut.se-portal\MB-2024-448-427-INFOR-Brev-2024-06-24-.pdf", "Öppna PDF")</f>
        <v/>
      </c>
    </row>
    <row r="1326">
      <c r="A1326" t="inlineStr">
        <is>
          <t>KRAV-AUTO-001325</t>
        </is>
      </c>
      <c r="B1326" t="inlineStr">
        <is>
          <t>ADMIN-INDEX-2026-02-27-00000000125C043F57453246863FE664CAFE6A3F0700950291EA24F0614FB6ACEDB12BF0E31D00000000010C0000950291EA24F0614FB6ACEDB12BF0E31D00002087AE9E0000</t>
        </is>
      </c>
      <c r="C1326" t="inlineStr">
        <is>
          <t>cmm4yup3j027wcuqwzjrqsf6l</t>
        </is>
      </c>
      <c r="D1326" t="inlineStr">
        <is>
          <t>http://localhost:8787/api/admin/requirements/documents/cmm4yup3j027wcuqwzjrqsf6l/view</t>
        </is>
      </c>
      <c r="E1326">
        <f>HYPERLÄNK("http://localhost:8787/api/admin/requirements/documents/cmm4yup3j027wcuqwzjrqsf6l/view";"Öppna PDF")</f>
        <v/>
      </c>
      <c r="F1326">
        <f>HYPERLINK("http://localhost:8787/api/admin/requirements/documents/cmm4yup3j027wcuqwzjrqsf6l/view","Open PDF")</f>
        <v/>
      </c>
      <c r="G1326" t="inlineStr">
        <is>
          <t>cmm55w57p0004cuisfrtpqly8</t>
        </is>
      </c>
      <c r="H1326" t="inlineStr">
        <is>
          <t>Beslutsvillkor</t>
        </is>
      </c>
      <c r="I1326" t="inlineStr">
        <is>
          <t>MiljopaverkanForsiktighet</t>
        </is>
      </c>
      <c r="J1326" t="inlineStr">
        <is>
          <t>Skyddsatgarder</t>
        </is>
      </c>
      <c r="K1326" t="inlineStr">
        <is>
          <t>Det finns olika förfaranden för att återvinna avfall som ska spridas på jordbruksmark.</t>
        </is>
      </c>
      <c r="L1326" t="inlineStr">
        <is>
          <t>Det finns olika förfaranden för att återvinna avfall som ska spridas på jordbruksmark.</t>
        </is>
      </c>
      <c r="M1326" t="inlineStr">
        <is>
          <t>SKA</t>
        </is>
      </c>
      <c r="N1326" t="inlineStr"/>
      <c r="O1326" t="inlineStr"/>
      <c r="P1326" t="inlineStr"/>
      <c r="Q1326" t="inlineStr"/>
      <c r="R1326" t="inlineStr">
        <is>
          <t>Alltid</t>
        </is>
      </c>
      <c r="S1326" t="inlineStr"/>
      <c r="T1326" t="inlineStr">
        <is>
          <t>2024 15</t>
        </is>
      </c>
      <c r="U1326" t="inlineStr"/>
      <c r="V1326" t="inlineStr"/>
      <c r="W1326" t="inlineStr">
        <is>
          <t>Nej</t>
        </is>
      </c>
      <c r="X1326" t="inlineStr">
        <is>
          <t>Nej</t>
        </is>
      </c>
      <c r="Y1326" t="inlineStr">
        <is>
          <t>Nej</t>
        </is>
      </c>
      <c r="Z1326" t="inlineStr">
        <is>
          <t>Nej</t>
        </is>
      </c>
      <c r="AA1326" t="n">
        <v>10</v>
      </c>
      <c r="AB1326" t="inlineStr">
        <is>
          <t>Miljopaverkan och forsiktighetsmatt</t>
        </is>
      </c>
      <c r="AC1326" t="inlineStr">
        <is>
          <t>Miljo-PM</t>
        </is>
      </c>
      <c r="AD1326" t="inlineStr">
        <is>
          <t>Nej</t>
        </is>
      </c>
      <c r="AE1326" t="inlineStr">
        <is>
          <t>Nej</t>
        </is>
      </c>
      <c r="AF1326" t="inlineStr">
        <is>
          <t>Ej behandlad</t>
        </is>
      </c>
      <c r="AG1326" t="inlineStr">
        <is>
          <t>AUTO_GENERERAD. Verifiera citat mot kallfil.</t>
        </is>
      </c>
      <c r="AH1326" t="inlineStr">
        <is>
          <t>LOW</t>
        </is>
      </c>
      <c r="AI1326" t="inlineStr">
        <is>
          <t>AUTO</t>
        </is>
      </c>
      <c r="AJ1326" t="inlineStr">
        <is>
          <t>Nej</t>
        </is>
      </c>
      <c r="AK1326" t="inlineStr"/>
      <c r="AL1326" t="inlineStr"/>
      <c r="AM1326" t="inlineStr"/>
      <c r="AN1326" t="inlineStr"/>
      <c r="AO1326" t="inlineStr">
        <is>
          <t>cmm4yup3u0288cuqw1esiotxe</t>
        </is>
      </c>
      <c r="AP1326" t="inlineStr">
        <is>
          <t>http://localhost:8787/api/admin/requirements/documents/cmm4yup3u0288cuqw1esiotxe/view</t>
        </is>
      </c>
      <c r="AQ1326">
        <f>HYPERLÄNK("http://localhost:8787/api/admin/requirements/documents/cmm4yup3u0288cuqw1esiotxe/view";"Öppna PDF")</f>
        <v/>
      </c>
      <c r="AR1326">
        <f>HYPERLINK("http://localhost:8787/api/admin/requirements/documents/cmm4yup3u0288cuqw1esiotxe/view","Open PDF")</f>
        <v/>
      </c>
      <c r="AS1326" t="inlineStr">
        <is>
          <t>cmm55w57p0004cuisfrtpqly8</t>
        </is>
      </c>
      <c r="AT1326" t="inlineStr">
        <is>
          <t>cmm4xvu980000cuh4vj0usz09</t>
        </is>
      </c>
      <c r="AU1326" t="inlineStr">
        <is>
          <t>pdf Hedemora</t>
        </is>
      </c>
      <c r="AV1326" t="inlineStr">
        <is>
          <t>Kommun</t>
        </is>
      </c>
      <c r="AW1326" t="inlineStr">
        <is>
          <t>pdf Hedemora kommun</t>
        </is>
      </c>
      <c r="AX1326" t="inlineStr">
        <is>
          <t>0225-340</t>
        </is>
      </c>
      <c r="AY1326" t="inlineStr">
        <is>
          <t>Beslut</t>
        </is>
      </c>
      <c r="AZ1326" t="inlineStr">
        <is>
          <t>2026-02-03</t>
        </is>
      </c>
      <c r="BA1326" t="inlineStr">
        <is>
          <t>MB-2024-448-427-INFOR-Brev-2024-06-24-.pdf</t>
        </is>
      </c>
      <c r="BB1326" t="inlineStr">
        <is>
          <t>SV: till registrator [2026HSC4325]</t>
        </is>
      </c>
      <c r="BC1326" t="inlineStr">
        <is>
          <t>AUTO</t>
        </is>
      </c>
      <c r="BD1326" t="inlineStr"/>
      <c r="BE1326" t="inlineStr"/>
      <c r="BF1326" t="inlineStr">
        <is>
          <t>AUTO_GENERERAD. Bekrafta metadata mot kallfil.</t>
        </is>
      </c>
      <c r="BG1326">
        <f>HYPERLINK("C:\Users\jimmy\Desktop\Examens arbete\Kod\Ny mapp\remix_-copy-of-miljöbeslut.se-portal\MB-2024-448-427-INFOR-Brev-2024-06-24-.pdf", "Öppna PDF")</f>
        <v/>
      </c>
    </row>
    <row r="1327">
      <c r="A1327" t="inlineStr">
        <is>
          <t>KRAV-AUTO-001326</t>
        </is>
      </c>
      <c r="B1327" t="inlineStr">
        <is>
          <t>ADMIN-INDEX-2026-02-27-00000000125C043F57453246863FE664CAFE6A3F0700950291EA24F0614FB6ACEDB12BF0E31D00000000010C0000950291EA24F0614FB6ACEDB12BF0E31D00002087AE9E0000</t>
        </is>
      </c>
      <c r="C1327" t="inlineStr">
        <is>
          <t>cmm4yup3j027wcuqwzjrqsf6l</t>
        </is>
      </c>
      <c r="D1327" t="inlineStr">
        <is>
          <t>http://localhost:8787/api/admin/requirements/documents/cmm4yup3j027wcuqwzjrqsf6l/view</t>
        </is>
      </c>
      <c r="E1327">
        <f>HYPERLÄNK("http://localhost:8787/api/admin/requirements/documents/cmm4yup3j027wcuqwzjrqsf6l/view";"Öppna PDF")</f>
        <v/>
      </c>
      <c r="F1327">
        <f>HYPERLINK("http://localhost:8787/api/admin/requirements/documents/cmm4yup3j027wcuqwzjrqsf6l/view","Open PDF")</f>
        <v/>
      </c>
      <c r="G1327" t="inlineStr">
        <is>
          <t>cmm55w57p0004cuisfrtpqly8</t>
        </is>
      </c>
      <c r="H1327" t="inlineStr">
        <is>
          <t>Beslutsvillkor</t>
        </is>
      </c>
      <c r="I1327" t="inlineStr">
        <is>
          <t>MiljopaverkanForsiktighet</t>
        </is>
      </c>
      <c r="J1327" t="inlineStr">
        <is>
          <t>Skyddsatgarder</t>
        </is>
      </c>
      <c r="K1327" t="inlineStr">
        <is>
          <t>Bedömningen av om en restprodukt är avfall eller biprodukt ska alltid göras där den uppkommer.</t>
        </is>
      </c>
      <c r="L1327" t="inlineStr">
        <is>
          <t>Bedömningen av om en restprodukt är avfall eller biprodukt ska alltid göras där den uppkommer.</t>
        </is>
      </c>
      <c r="M1327" t="inlineStr">
        <is>
          <t>SKA</t>
        </is>
      </c>
      <c r="N1327" t="inlineStr"/>
      <c r="O1327" t="inlineStr"/>
      <c r="P1327" t="inlineStr"/>
      <c r="Q1327" t="inlineStr"/>
      <c r="R1327" t="inlineStr">
        <is>
          <t>Alltid</t>
        </is>
      </c>
      <c r="S1327" t="inlineStr"/>
      <c r="T1327" t="inlineStr">
        <is>
          <t>2024 15</t>
        </is>
      </c>
      <c r="U1327" t="inlineStr"/>
      <c r="V1327" t="inlineStr"/>
      <c r="W1327" t="inlineStr">
        <is>
          <t>Nej</t>
        </is>
      </c>
      <c r="X1327" t="inlineStr">
        <is>
          <t>Nej</t>
        </is>
      </c>
      <c r="Y1327" t="inlineStr">
        <is>
          <t>Nej</t>
        </is>
      </c>
      <c r="Z1327" t="inlineStr">
        <is>
          <t>Nej</t>
        </is>
      </c>
      <c r="AA1327" t="n">
        <v>10</v>
      </c>
      <c r="AB1327" t="inlineStr">
        <is>
          <t>Miljopaverkan och forsiktighetsmatt</t>
        </is>
      </c>
      <c r="AC1327" t="inlineStr">
        <is>
          <t>Miljo-PM</t>
        </is>
      </c>
      <c r="AD1327" t="inlineStr">
        <is>
          <t>Nej</t>
        </is>
      </c>
      <c r="AE1327" t="inlineStr">
        <is>
          <t>Nej</t>
        </is>
      </c>
      <c r="AF1327" t="inlineStr">
        <is>
          <t>Ej behandlad</t>
        </is>
      </c>
      <c r="AG1327" t="inlineStr">
        <is>
          <t>AUTO_GENERERAD. Verifiera citat mot kallfil.</t>
        </is>
      </c>
      <c r="AH1327" t="inlineStr">
        <is>
          <t>LOW</t>
        </is>
      </c>
      <c r="AI1327" t="inlineStr">
        <is>
          <t>AUTO</t>
        </is>
      </c>
      <c r="AJ1327" t="inlineStr">
        <is>
          <t>Nej</t>
        </is>
      </c>
      <c r="AK1327" t="inlineStr"/>
      <c r="AL1327" t="inlineStr"/>
      <c r="AM1327" t="inlineStr"/>
      <c r="AN1327" t="inlineStr"/>
      <c r="AO1327" t="inlineStr">
        <is>
          <t>cmm4yup3u0288cuqw1esiotxe</t>
        </is>
      </c>
      <c r="AP1327" t="inlineStr">
        <is>
          <t>http://localhost:8787/api/admin/requirements/documents/cmm4yup3u0288cuqw1esiotxe/view</t>
        </is>
      </c>
      <c r="AQ1327">
        <f>HYPERLÄNK("http://localhost:8787/api/admin/requirements/documents/cmm4yup3u0288cuqw1esiotxe/view";"Öppna PDF")</f>
        <v/>
      </c>
      <c r="AR1327">
        <f>HYPERLINK("http://localhost:8787/api/admin/requirements/documents/cmm4yup3u0288cuqw1esiotxe/view","Open PDF")</f>
        <v/>
      </c>
      <c r="AS1327" t="inlineStr">
        <is>
          <t>cmm55w57p0004cuisfrtpqly8</t>
        </is>
      </c>
      <c r="AT1327" t="inlineStr">
        <is>
          <t>cmm4xvu980000cuh4vj0usz09</t>
        </is>
      </c>
      <c r="AU1327" t="inlineStr">
        <is>
          <t>pdf Hedemora</t>
        </is>
      </c>
      <c r="AV1327" t="inlineStr">
        <is>
          <t>Kommun</t>
        </is>
      </c>
      <c r="AW1327" t="inlineStr">
        <is>
          <t>pdf Hedemora kommun</t>
        </is>
      </c>
      <c r="AX1327" t="inlineStr">
        <is>
          <t>0225-340</t>
        </is>
      </c>
      <c r="AY1327" t="inlineStr">
        <is>
          <t>Beslut</t>
        </is>
      </c>
      <c r="AZ1327" t="inlineStr">
        <is>
          <t>2026-02-03</t>
        </is>
      </c>
      <c r="BA1327" t="inlineStr">
        <is>
          <t>MB-2024-448-427-INFOR-Brev-2024-06-24-.pdf</t>
        </is>
      </c>
      <c r="BB1327" t="inlineStr">
        <is>
          <t>SV: till registrator [2026HSC4325]</t>
        </is>
      </c>
      <c r="BC1327" t="inlineStr">
        <is>
          <t>AUTO</t>
        </is>
      </c>
      <c r="BD1327" t="inlineStr"/>
      <c r="BE1327" t="inlineStr"/>
      <c r="BF1327" t="inlineStr">
        <is>
          <t>AUTO_GENERERAD. Bekrafta metadata mot kallfil.</t>
        </is>
      </c>
      <c r="BG1327">
        <f>HYPERLINK("C:\Users\jimmy\Desktop\Examens arbete\Kod\Ny mapp\remix_-copy-of-miljöbeslut.se-portal\MB-2024-448-427-INFOR-Brev-2024-06-24-.pdf", "Öppna PDF")</f>
        <v/>
      </c>
    </row>
    <row r="1328">
      <c r="A1328" t="inlineStr">
        <is>
          <t>KRAV-AUTO-001327</t>
        </is>
      </c>
      <c r="B1328" t="inlineStr">
        <is>
          <t>ADMIN-INDEX-2026-02-27-00000000125C043F57453246863FE664CAFE6A3F0700950291EA24F0614FB6ACEDB12BF0E31D00000000010C0000950291EA24F0614FB6ACEDB12BF0E31D00002087AE9E0000</t>
        </is>
      </c>
      <c r="C1328" t="inlineStr">
        <is>
          <t>cmm4yup3g027tcuqwgr4m64mr</t>
        </is>
      </c>
      <c r="D1328" t="inlineStr">
        <is>
          <t>http://localhost:8787/api/admin/requirements/documents/cmm4yup3g027tcuqwgr4m64mr/view</t>
        </is>
      </c>
      <c r="E1328">
        <f>HYPERLÄNK("http://localhost:8787/api/admin/requirements/documents/cmm4yup3g027tcuqwgr4m64mr/view";"Öppna PDF")</f>
        <v/>
      </c>
      <c r="F1328">
        <f>HYPERLINK("http://localhost:8787/api/admin/requirements/documents/cmm4yup3g027tcuqwgr4m64mr/view","Open PDF")</f>
        <v/>
      </c>
      <c r="G1328" t="inlineStr">
        <is>
          <t>cmm55w57p0004cuisfrtpqly8</t>
        </is>
      </c>
      <c r="H1328" t="inlineStr">
        <is>
          <t>Beslutsvillkor</t>
        </is>
      </c>
      <c r="I1328" t="inlineStr">
        <is>
          <t>LagringsvolymTid</t>
        </is>
      </c>
      <c r="J1328" t="inlineStr">
        <is>
          <t>Maxmangd</t>
        </is>
      </c>
      <c r="K1328" t="inlineStr">
        <is>
          <t>Om ni minskar mängden avfall som ni planerar att återanvända till högst 500 ton per år, kan ni i stället inkomma med en anmälan om miljöfarlig verksamhet till kommunen i enlighet med MPF.</t>
        </is>
      </c>
      <c r="L1328" t="inlineStr">
        <is>
          <t>Om ni minskar mängden avfall som ni planerar att återanvända till högst 500 ton per år, kan ni i stället inkomma med en anmälan om miljöfarlig verksamhet till kommunen i enlighet med MPF.</t>
        </is>
      </c>
      <c r="M1328" t="inlineStr">
        <is>
          <t>SKA</t>
        </is>
      </c>
      <c r="N1328" t="inlineStr">
        <is>
          <t>MPF, FMH</t>
        </is>
      </c>
      <c r="O1328" t="inlineStr"/>
      <c r="P1328" t="inlineStr">
        <is>
          <t>Arlig</t>
        </is>
      </c>
      <c r="Q1328" t="inlineStr"/>
      <c r="R1328" t="inlineStr">
        <is>
          <t>Alltid</t>
        </is>
      </c>
      <c r="S1328" t="inlineStr"/>
      <c r="T1328" t="inlineStr">
        <is>
          <t>212000</t>
        </is>
      </c>
      <c r="U1328" t="n">
        <v>500</v>
      </c>
      <c r="V1328" t="inlineStr"/>
      <c r="W1328" t="inlineStr">
        <is>
          <t>Nej</t>
        </is>
      </c>
      <c r="X1328" t="inlineStr">
        <is>
          <t>Nej</t>
        </is>
      </c>
      <c r="Y1328" t="inlineStr">
        <is>
          <t>Nej</t>
        </is>
      </c>
      <c r="Z1328" t="inlineStr">
        <is>
          <t>Nej</t>
        </is>
      </c>
      <c r="AA1328" t="n">
        <v>4</v>
      </c>
      <c r="AB1328" t="inlineStr">
        <is>
          <t>Avfallsmangder och lagringstid</t>
        </is>
      </c>
      <c r="AC1328" t="inlineStr">
        <is>
          <t>Avfallsforteckning</t>
        </is>
      </c>
      <c r="AD1328" t="inlineStr">
        <is>
          <t>Nej</t>
        </is>
      </c>
      <c r="AE1328" t="inlineStr">
        <is>
          <t>Nej</t>
        </is>
      </c>
      <c r="AF1328" t="inlineStr">
        <is>
          <t>Ej behandlad</t>
        </is>
      </c>
      <c r="AG1328" t="inlineStr">
        <is>
          <t>AUTO_GENERERAD. Verifiera citat mot kallfil.</t>
        </is>
      </c>
      <c r="AH1328" t="inlineStr">
        <is>
          <t>HIGH</t>
        </is>
      </c>
      <c r="AI1328" t="inlineStr">
        <is>
          <t>AUTO</t>
        </is>
      </c>
      <c r="AJ1328" t="inlineStr">
        <is>
          <t>Nej</t>
        </is>
      </c>
      <c r="AK1328" t="inlineStr"/>
      <c r="AL1328" t="inlineStr"/>
      <c r="AM1328" t="inlineStr"/>
      <c r="AN1328" t="inlineStr"/>
      <c r="AO1328" t="inlineStr">
        <is>
          <t>cmm4yup3u0288cuqw1esiotxe</t>
        </is>
      </c>
      <c r="AP1328" t="inlineStr">
        <is>
          <t>http://localhost:8787/api/admin/requirements/documents/cmm4yup3u0288cuqw1esiotxe/view</t>
        </is>
      </c>
      <c r="AQ1328">
        <f>HYPERLÄNK("http://localhost:8787/api/admin/requirements/documents/cmm4yup3u0288cuqw1esiotxe/view";"Öppna PDF")</f>
        <v/>
      </c>
      <c r="AR1328">
        <f>HYPERLINK("http://localhost:8787/api/admin/requirements/documents/cmm4yup3u0288cuqw1esiotxe/view","Open PDF")</f>
        <v/>
      </c>
      <c r="AS1328" t="inlineStr">
        <is>
          <t>cmm55w57p0004cuisfrtpqly8</t>
        </is>
      </c>
      <c r="AT1328" t="inlineStr">
        <is>
          <t>cmm4xvu980000cuh4vj0usz09</t>
        </is>
      </c>
      <c r="AU1328" t="inlineStr">
        <is>
          <t>pdf Hedemora</t>
        </is>
      </c>
      <c r="AV1328" t="inlineStr">
        <is>
          <t>Kommun</t>
        </is>
      </c>
      <c r="AW1328" t="inlineStr">
        <is>
          <t>pdf Hedemora kommun</t>
        </is>
      </c>
      <c r="AX1328" t="inlineStr">
        <is>
          <t>0225-340</t>
        </is>
      </c>
      <c r="AY1328" t="inlineStr">
        <is>
          <t>Beslut</t>
        </is>
      </c>
      <c r="AZ1328" t="inlineStr">
        <is>
          <t>2026-02-03</t>
        </is>
      </c>
      <c r="BA1328" t="inlineStr">
        <is>
          <t>MB-2024-448-427-INFOR-Brev-2024-06-24-.pdf</t>
        </is>
      </c>
      <c r="BB1328" t="inlineStr">
        <is>
          <t>SV: till registrator [2026HSC4325]</t>
        </is>
      </c>
      <c r="BC1328" t="inlineStr">
        <is>
          <t>AUTO</t>
        </is>
      </c>
      <c r="BD1328" t="inlineStr"/>
      <c r="BE1328" t="inlineStr"/>
      <c r="BF1328" t="inlineStr">
        <is>
          <t>AUTO_GENERERAD. Bekrafta metadata mot kallfil.</t>
        </is>
      </c>
      <c r="BG1328">
        <f>HYPERLINK("C:\Users\jimmy\Desktop\Examens arbete\Kod\Ny mapp\remix_-copy-of-miljöbeslut.se-portal\MB-2024-448-427-INFOR-Brev-2024-06-24-.pdf", "Öppna PDF")</f>
        <v/>
      </c>
    </row>
    <row r="1329">
      <c r="A1329" t="inlineStr">
        <is>
          <t>KRAV-AUTO-001328</t>
        </is>
      </c>
      <c r="B1329" t="inlineStr">
        <is>
          <t>ADMIN-INDEX-2026-02-27-00000000125C043F57453246863FE664CAFE6A3F0700950291EA24F0614FB6ACEDB12BF0E31D00000000010C0000950291EA24F0614FB6ACEDB12BF0E31D00002087AE9E0000</t>
        </is>
      </c>
      <c r="C1329" t="inlineStr">
        <is>
          <t>cmm4yup3g027tcuqwgr4m64mr</t>
        </is>
      </c>
      <c r="D1329" t="inlineStr">
        <is>
          <t>http://localhost:8787/api/admin/requirements/documents/cmm4yup3g027tcuqwgr4m64mr/view</t>
        </is>
      </c>
      <c r="E1329">
        <f>HYPERLÄNK("http://localhost:8787/api/admin/requirements/documents/cmm4yup3g027tcuqwgr4m64mr/view";"Öppna PDF")</f>
        <v/>
      </c>
      <c r="F1329">
        <f>HYPERLINK("http://localhost:8787/api/admin/requirements/documents/cmm4yup3g027tcuqwgr4m64mr/view","Open PDF")</f>
        <v/>
      </c>
      <c r="G1329" t="inlineStr">
        <is>
          <t>cmm55w57p0004cuisfrtpqly8</t>
        </is>
      </c>
      <c r="H1329" t="inlineStr">
        <is>
          <t>Beslutsvillkor</t>
        </is>
      </c>
      <c r="I1329" t="inlineStr">
        <is>
          <t>LagringsvolymTid</t>
        </is>
      </c>
      <c r="J1329" t="inlineStr">
        <is>
          <t>Maxmangd</t>
        </is>
      </c>
      <c r="K1329" t="inlineStr">
        <is>
          <t>Om fabriken klassar materialet som avfall, måste ni lämna in en ansökan om tillstånd (på grund av mängden) till Länsstyrelsen enligt ovanstående punkter innan spridningen kan ske.</t>
        </is>
      </c>
      <c r="L1329" t="inlineStr">
        <is>
          <t>Om fabriken klassar materialet som avfall, måste ni lämna in en ansökan om tillstånd (på grund av mängden) till Länsstyrelsen enligt ovanstående punkter innan spridningen kan ske.</t>
        </is>
      </c>
      <c r="M1329" t="inlineStr">
        <is>
          <t>SKA</t>
        </is>
      </c>
      <c r="N1329" t="inlineStr"/>
      <c r="O1329" t="inlineStr"/>
      <c r="P1329" t="inlineStr"/>
      <c r="Q1329" t="inlineStr"/>
      <c r="R1329" t="inlineStr">
        <is>
          <t>Alltid</t>
        </is>
      </c>
      <c r="S1329" t="inlineStr"/>
      <c r="T1329" t="inlineStr">
        <is>
          <t>212000</t>
        </is>
      </c>
      <c r="U1329" t="inlineStr"/>
      <c r="V1329" t="inlineStr"/>
      <c r="W1329" t="inlineStr">
        <is>
          <t>Nej</t>
        </is>
      </c>
      <c r="X1329" t="inlineStr">
        <is>
          <t>Nej</t>
        </is>
      </c>
      <c r="Y1329" t="inlineStr">
        <is>
          <t>Nej</t>
        </is>
      </c>
      <c r="Z1329" t="inlineStr">
        <is>
          <t>Nej</t>
        </is>
      </c>
      <c r="AA1329" t="n">
        <v>4</v>
      </c>
      <c r="AB1329" t="inlineStr">
        <is>
          <t>Avfallsmangder och lagringstid</t>
        </is>
      </c>
      <c r="AC1329" t="inlineStr">
        <is>
          <t>Avfallsforteckning</t>
        </is>
      </c>
      <c r="AD1329" t="inlineStr">
        <is>
          <t>Nej</t>
        </is>
      </c>
      <c r="AE1329" t="inlineStr">
        <is>
          <t>Nej</t>
        </is>
      </c>
      <c r="AF1329" t="inlineStr">
        <is>
          <t>Ej behandlad</t>
        </is>
      </c>
      <c r="AG1329" t="inlineStr">
        <is>
          <t>AUTO_GENERERAD. Verifiera citat mot kallfil.</t>
        </is>
      </c>
      <c r="AH1329" t="inlineStr">
        <is>
          <t>MEDIUM</t>
        </is>
      </c>
      <c r="AI1329" t="inlineStr">
        <is>
          <t>AUTO</t>
        </is>
      </c>
      <c r="AJ1329" t="inlineStr">
        <is>
          <t>Nej</t>
        </is>
      </c>
      <c r="AK1329" t="inlineStr"/>
      <c r="AL1329" t="inlineStr"/>
      <c r="AM1329" t="inlineStr"/>
      <c r="AN1329" t="inlineStr"/>
      <c r="AO1329" t="inlineStr">
        <is>
          <t>cmm4yup3u0288cuqw1esiotxe</t>
        </is>
      </c>
      <c r="AP1329" t="inlineStr">
        <is>
          <t>http://localhost:8787/api/admin/requirements/documents/cmm4yup3u0288cuqw1esiotxe/view</t>
        </is>
      </c>
      <c r="AQ1329">
        <f>HYPERLÄNK("http://localhost:8787/api/admin/requirements/documents/cmm4yup3u0288cuqw1esiotxe/view";"Öppna PDF")</f>
        <v/>
      </c>
      <c r="AR1329">
        <f>HYPERLINK("http://localhost:8787/api/admin/requirements/documents/cmm4yup3u0288cuqw1esiotxe/view","Open PDF")</f>
        <v/>
      </c>
      <c r="AS1329" t="inlineStr">
        <is>
          <t>cmm55w57p0004cuisfrtpqly8</t>
        </is>
      </c>
      <c r="AT1329" t="inlineStr">
        <is>
          <t>cmm4xvu980000cuh4vj0usz09</t>
        </is>
      </c>
      <c r="AU1329" t="inlineStr">
        <is>
          <t>pdf Hedemora</t>
        </is>
      </c>
      <c r="AV1329" t="inlineStr">
        <is>
          <t>Kommun</t>
        </is>
      </c>
      <c r="AW1329" t="inlineStr">
        <is>
          <t>pdf Hedemora kommun</t>
        </is>
      </c>
      <c r="AX1329" t="inlineStr">
        <is>
          <t>0225-340</t>
        </is>
      </c>
      <c r="AY1329" t="inlineStr">
        <is>
          <t>Beslut</t>
        </is>
      </c>
      <c r="AZ1329" t="inlineStr">
        <is>
          <t>2026-02-03</t>
        </is>
      </c>
      <c r="BA1329" t="inlineStr">
        <is>
          <t>MB-2024-448-427-INFOR-Brev-2024-06-24-.pdf</t>
        </is>
      </c>
      <c r="BB1329" t="inlineStr">
        <is>
          <t>SV: till registrator [2026HSC4325]</t>
        </is>
      </c>
      <c r="BC1329" t="inlineStr">
        <is>
          <t>AUTO</t>
        </is>
      </c>
      <c r="BD1329" t="inlineStr"/>
      <c r="BE1329" t="inlineStr"/>
      <c r="BF1329" t="inlineStr">
        <is>
          <t>AUTO_GENERERAD. Bekrafta metadata mot kallfil.</t>
        </is>
      </c>
      <c r="BG1329">
        <f>HYPERLINK("C:\Users\jimmy\Desktop\Examens arbete\Kod\Ny mapp\remix_-copy-of-miljöbeslut.se-portal\MB-2024-448-427-INFOR-Brev-2024-06-24-.pdf", "Öppna PDF")</f>
        <v/>
      </c>
    </row>
    <row r="1330">
      <c r="A1330" t="inlineStr">
        <is>
          <t>KRAV-AUTO-001329</t>
        </is>
      </c>
      <c r="B1330" t="inlineStr">
        <is>
          <t>ADMIN-INDEX-2026-02-27-00000000125C043F57453246863FE664CAFE6A3F0700950291EA24F0614FB6ACEDB12BF0E31D00000000010C0000950291EA24F0614FB6ACEDB12BF0E31D00002087AE9E0000</t>
        </is>
      </c>
      <c r="C1330" t="inlineStr">
        <is>
          <t>cmm4yup3g027tcuqwgr4m64mr</t>
        </is>
      </c>
      <c r="D1330" t="inlineStr">
        <is>
          <t>http://localhost:8787/api/admin/requirements/documents/cmm4yup3g027tcuqwgr4m64mr/view</t>
        </is>
      </c>
      <c r="E1330">
        <f>HYPERLÄNK("http://localhost:8787/api/admin/requirements/documents/cmm4yup3g027tcuqwgr4m64mr/view";"Öppna PDF")</f>
        <v/>
      </c>
      <c r="F1330">
        <f>HYPERLINK("http://localhost:8787/api/admin/requirements/documents/cmm4yup3g027tcuqwgr4m64mr/view","Open PDF")</f>
        <v/>
      </c>
      <c r="G1330" t="inlineStr">
        <is>
          <t>cmm55w57p0004cuisfrtpqly8</t>
        </is>
      </c>
      <c r="H1330" t="inlineStr">
        <is>
          <t>Beslutsvillkor</t>
        </is>
      </c>
      <c r="I1330" t="inlineStr">
        <is>
          <t>MiljopaverkanForsiktighet</t>
        </is>
      </c>
      <c r="J1330" t="inlineStr">
        <is>
          <t>Skyddsatgarder</t>
        </is>
      </c>
      <c r="K1330" t="inlineStr">
        <is>
          <t>Om materialet klassas som avfall måste det genomgå en återvinningsprocess innan det kan upphöra att vara avfall.</t>
        </is>
      </c>
      <c r="L1330" t="inlineStr">
        <is>
          <t>Om materialet klassas som avfall måste det genomgå en återvinningsprocess innan det kan upphöra att vara avfall.</t>
        </is>
      </c>
      <c r="M1330" t="inlineStr">
        <is>
          <t>SKA</t>
        </is>
      </c>
      <c r="N1330" t="inlineStr"/>
      <c r="O1330" t="inlineStr"/>
      <c r="P1330" t="inlineStr"/>
      <c r="Q1330" t="inlineStr"/>
      <c r="R1330" t="inlineStr">
        <is>
          <t>Alltid</t>
        </is>
      </c>
      <c r="S1330" t="inlineStr"/>
      <c r="T1330" t="inlineStr">
        <is>
          <t>212000</t>
        </is>
      </c>
      <c r="U1330" t="inlineStr"/>
      <c r="V1330" t="inlineStr"/>
      <c r="W1330" t="inlineStr">
        <is>
          <t>Nej</t>
        </is>
      </c>
      <c r="X1330" t="inlineStr">
        <is>
          <t>Nej</t>
        </is>
      </c>
      <c r="Y1330" t="inlineStr">
        <is>
          <t>Nej</t>
        </is>
      </c>
      <c r="Z1330" t="inlineStr">
        <is>
          <t>Nej</t>
        </is>
      </c>
      <c r="AA1330" t="n">
        <v>10</v>
      </c>
      <c r="AB1330" t="inlineStr">
        <is>
          <t>Miljopaverkan och forsiktighetsmatt</t>
        </is>
      </c>
      <c r="AC1330" t="inlineStr">
        <is>
          <t>Miljo-PM</t>
        </is>
      </c>
      <c r="AD1330" t="inlineStr">
        <is>
          <t>Nej</t>
        </is>
      </c>
      <c r="AE1330" t="inlineStr">
        <is>
          <t>Nej</t>
        </is>
      </c>
      <c r="AF1330" t="inlineStr">
        <is>
          <t>Ej behandlad</t>
        </is>
      </c>
      <c r="AG1330" t="inlineStr">
        <is>
          <t>AUTO_GENERERAD. Verifiera citat mot kallfil.</t>
        </is>
      </c>
      <c r="AH1330" t="inlineStr">
        <is>
          <t>MEDIUM</t>
        </is>
      </c>
      <c r="AI1330" t="inlineStr">
        <is>
          <t>AUTO</t>
        </is>
      </c>
      <c r="AJ1330" t="inlineStr">
        <is>
          <t>Nej</t>
        </is>
      </c>
      <c r="AK1330" t="inlineStr"/>
      <c r="AL1330" t="inlineStr"/>
      <c r="AM1330" t="inlineStr"/>
      <c r="AN1330" t="inlineStr"/>
      <c r="AO1330" t="inlineStr">
        <is>
          <t>cmm4yup3u0288cuqw1esiotxe</t>
        </is>
      </c>
      <c r="AP1330" t="inlineStr">
        <is>
          <t>http://localhost:8787/api/admin/requirements/documents/cmm4yup3u0288cuqw1esiotxe/view</t>
        </is>
      </c>
      <c r="AQ1330">
        <f>HYPERLÄNK("http://localhost:8787/api/admin/requirements/documents/cmm4yup3u0288cuqw1esiotxe/view";"Öppna PDF")</f>
        <v/>
      </c>
      <c r="AR1330">
        <f>HYPERLINK("http://localhost:8787/api/admin/requirements/documents/cmm4yup3u0288cuqw1esiotxe/view","Open PDF")</f>
        <v/>
      </c>
      <c r="AS1330" t="inlineStr">
        <is>
          <t>cmm55w57p0004cuisfrtpqly8</t>
        </is>
      </c>
      <c r="AT1330" t="inlineStr">
        <is>
          <t>cmm4xvu980000cuh4vj0usz09</t>
        </is>
      </c>
      <c r="AU1330" t="inlineStr">
        <is>
          <t>pdf Hedemora</t>
        </is>
      </c>
      <c r="AV1330" t="inlineStr">
        <is>
          <t>Kommun</t>
        </is>
      </c>
      <c r="AW1330" t="inlineStr">
        <is>
          <t>pdf Hedemora kommun</t>
        </is>
      </c>
      <c r="AX1330" t="inlineStr">
        <is>
          <t>0225-340</t>
        </is>
      </c>
      <c r="AY1330" t="inlineStr">
        <is>
          <t>Beslut</t>
        </is>
      </c>
      <c r="AZ1330" t="inlineStr">
        <is>
          <t>2026-02-03</t>
        </is>
      </c>
      <c r="BA1330" t="inlineStr">
        <is>
          <t>MB-2024-448-427-INFOR-Brev-2024-06-24-.pdf</t>
        </is>
      </c>
      <c r="BB1330" t="inlineStr">
        <is>
          <t>SV: till registrator [2026HSC4325]</t>
        </is>
      </c>
      <c r="BC1330" t="inlineStr">
        <is>
          <t>AUTO</t>
        </is>
      </c>
      <c r="BD1330" t="inlineStr"/>
      <c r="BE1330" t="inlineStr"/>
      <c r="BF1330" t="inlineStr">
        <is>
          <t>AUTO_GENERERAD. Bekrafta metadata mot kallfil.</t>
        </is>
      </c>
      <c r="BG1330">
        <f>HYPERLINK("C:\Users\jimmy\Desktop\Examens arbete\Kod\Ny mapp\remix_-copy-of-miljöbeslut.se-portal\MB-2024-448-427-INFOR-Brev-2024-06-24-.pdf", "Öppna PDF")</f>
        <v/>
      </c>
    </row>
    <row r="1331">
      <c r="A1331" t="inlineStr">
        <is>
          <t>KRAV-AUTO-001330</t>
        </is>
      </c>
      <c r="B1331" t="inlineStr">
        <is>
          <t>ADMIN-INDEX-2026-02-27-00000000125C043F57453246863FE664CAFE6A3F0700950291EA24F0614FB6ACEDB12BF0E31D00000000010C0000950291EA24F0614FB6ACEDB12BF0E31D00002087AE9E0000</t>
        </is>
      </c>
      <c r="C1331" t="inlineStr">
        <is>
          <t>cmm4yup3d027qcuqwc2wjq7cw</t>
        </is>
      </c>
      <c r="D1331" t="inlineStr">
        <is>
          <t>http://localhost:8787/api/admin/requirements/documents/cmm4yup3d027qcuqwc2wjq7cw/view</t>
        </is>
      </c>
      <c r="E1331">
        <f>HYPERLÄNK("http://localhost:8787/api/admin/requirements/documents/cmm4yup3d027qcuqwc2wjq7cw/view";"Öppna PDF")</f>
        <v/>
      </c>
      <c r="F1331">
        <f>HYPERLINK("http://localhost:8787/api/admin/requirements/documents/cmm4yup3d027qcuqwc2wjq7cw/view","Open PDF")</f>
        <v/>
      </c>
      <c r="G1331" t="inlineStr">
        <is>
          <t>cmm55w57p0004cuisfrtpqly8</t>
        </is>
      </c>
      <c r="H1331" t="inlineStr">
        <is>
          <t>Beslutsvillkor</t>
        </is>
      </c>
      <c r="I1331" t="inlineStr">
        <is>
          <t>MiljopaverkanForsiktighet</t>
        </is>
      </c>
      <c r="J1331" t="inlineStr">
        <is>
          <t>Skyddsatgarder</t>
        </is>
      </c>
      <c r="K1331" t="inlineStr">
        <is>
          <t>Om materialet klassas som avfall måste det genomgå en återvinningsprocess innan det kan upphöra att vara avfall.</t>
        </is>
      </c>
      <c r="L1331" t="inlineStr">
        <is>
          <t>Om materialet klassas som avfall måste det genomgå en återvinningsprocess innan det kan upphöra att vara avfall.</t>
        </is>
      </c>
      <c r="M1331" t="inlineStr">
        <is>
          <t>SKA</t>
        </is>
      </c>
      <c r="N1331" t="inlineStr"/>
      <c r="O1331" t="inlineStr"/>
      <c r="P1331" t="inlineStr"/>
      <c r="Q1331" t="inlineStr"/>
      <c r="R1331" t="inlineStr">
        <is>
          <t>Alltid</t>
        </is>
      </c>
      <c r="S1331" t="inlineStr"/>
      <c r="T1331" t="inlineStr">
        <is>
          <t>212000</t>
        </is>
      </c>
      <c r="U1331" t="inlineStr"/>
      <c r="V1331" t="inlineStr"/>
      <c r="W1331" t="inlineStr">
        <is>
          <t>Nej</t>
        </is>
      </c>
      <c r="X1331" t="inlineStr">
        <is>
          <t>Nej</t>
        </is>
      </c>
      <c r="Y1331" t="inlineStr">
        <is>
          <t>Nej</t>
        </is>
      </c>
      <c r="Z1331" t="inlineStr">
        <is>
          <t>Nej</t>
        </is>
      </c>
      <c r="AA1331" t="n">
        <v>10</v>
      </c>
      <c r="AB1331" t="inlineStr">
        <is>
          <t>Miljopaverkan och forsiktighetsmatt</t>
        </is>
      </c>
      <c r="AC1331" t="inlineStr">
        <is>
          <t>Miljo-PM</t>
        </is>
      </c>
      <c r="AD1331" t="inlineStr">
        <is>
          <t>Nej</t>
        </is>
      </c>
      <c r="AE1331" t="inlineStr">
        <is>
          <t>Nej</t>
        </is>
      </c>
      <c r="AF1331" t="inlineStr">
        <is>
          <t>Ej behandlad</t>
        </is>
      </c>
      <c r="AG1331" t="inlineStr">
        <is>
          <t>AUTO_GENERERAD. Verifiera citat mot kallfil.</t>
        </is>
      </c>
      <c r="AH1331" t="inlineStr">
        <is>
          <t>MEDIUM</t>
        </is>
      </c>
      <c r="AI1331" t="inlineStr">
        <is>
          <t>AUTO</t>
        </is>
      </c>
      <c r="AJ1331" t="inlineStr">
        <is>
          <t>Nej</t>
        </is>
      </c>
      <c r="AK1331" t="inlineStr"/>
      <c r="AL1331" t="inlineStr"/>
      <c r="AM1331" t="inlineStr"/>
      <c r="AN1331" t="inlineStr"/>
      <c r="AO1331" t="inlineStr">
        <is>
          <t>cmm4yup3u0288cuqw1esiotxe</t>
        </is>
      </c>
      <c r="AP1331" t="inlineStr">
        <is>
          <t>http://localhost:8787/api/admin/requirements/documents/cmm4yup3u0288cuqw1esiotxe/view</t>
        </is>
      </c>
      <c r="AQ1331">
        <f>HYPERLÄNK("http://localhost:8787/api/admin/requirements/documents/cmm4yup3u0288cuqw1esiotxe/view";"Öppna PDF")</f>
        <v/>
      </c>
      <c r="AR1331">
        <f>HYPERLINK("http://localhost:8787/api/admin/requirements/documents/cmm4yup3u0288cuqw1esiotxe/view","Open PDF")</f>
        <v/>
      </c>
      <c r="AS1331" t="inlineStr">
        <is>
          <t>cmm55w57p0004cuisfrtpqly8</t>
        </is>
      </c>
      <c r="AT1331" t="inlineStr">
        <is>
          <t>cmm4xvu980000cuh4vj0usz09</t>
        </is>
      </c>
      <c r="AU1331" t="inlineStr">
        <is>
          <t>pdf Hedemora</t>
        </is>
      </c>
      <c r="AV1331" t="inlineStr">
        <is>
          <t>Kommun</t>
        </is>
      </c>
      <c r="AW1331" t="inlineStr">
        <is>
          <t>pdf Hedemora kommun</t>
        </is>
      </c>
      <c r="AX1331" t="inlineStr">
        <is>
          <t>0225-340</t>
        </is>
      </c>
      <c r="AY1331" t="inlineStr">
        <is>
          <t>Beslut</t>
        </is>
      </c>
      <c r="AZ1331" t="inlineStr">
        <is>
          <t>2026-02-03</t>
        </is>
      </c>
      <c r="BA1331" t="inlineStr">
        <is>
          <t>MB-2024-448-427-INFOR-Brev-2024-06-24-.pdf</t>
        </is>
      </c>
      <c r="BB1331" t="inlineStr">
        <is>
          <t>SV: till registrator [2026HSC4325]</t>
        </is>
      </c>
      <c r="BC1331" t="inlineStr">
        <is>
          <t>AUTO</t>
        </is>
      </c>
      <c r="BD1331" t="inlineStr"/>
      <c r="BE1331" t="inlineStr"/>
      <c r="BF1331" t="inlineStr">
        <is>
          <t>AUTO_GENERERAD. Bekrafta metadata mot kallfil.</t>
        </is>
      </c>
      <c r="BG1331">
        <f>HYPERLINK("C:\Users\jimmy\Desktop\Examens arbete\Kod\Ny mapp\remix_-copy-of-miljöbeslut.se-portal\MB-2024-448-427-INFOR-Brev-2024-06-24-.pdf", "Öppna PDF")</f>
        <v/>
      </c>
    </row>
    <row r="1332">
      <c r="A1332" t="inlineStr">
        <is>
          <t>KRAV-AUTO-001331</t>
        </is>
      </c>
      <c r="B1332" t="inlineStr">
        <is>
          <t>ADMIN-INDEX-2026-02-27-00000000125C043F57453246863FE664CAFE6A3F0700950291EA24F0614FB6ACEDB12BF0E31D00000000010C0000950291EA24F0614FB6ACEDB12BF0E31D00002087AE9E0000</t>
        </is>
      </c>
      <c r="C1332" t="inlineStr">
        <is>
          <t>cmm4yup3d027qcuqwc2wjq7cw</t>
        </is>
      </c>
      <c r="D1332" t="inlineStr">
        <is>
          <t>http://localhost:8787/api/admin/requirements/documents/cmm4yup3d027qcuqwc2wjq7cw/view</t>
        </is>
      </c>
      <c r="E1332">
        <f>HYPERLÄNK("http://localhost:8787/api/admin/requirements/documents/cmm4yup3d027qcuqwc2wjq7cw/view";"Öppna PDF")</f>
        <v/>
      </c>
      <c r="F1332">
        <f>HYPERLINK("http://localhost:8787/api/admin/requirements/documents/cmm4yup3d027qcuqwc2wjq7cw/view","Open PDF")</f>
        <v/>
      </c>
      <c r="G1332" t="inlineStr">
        <is>
          <t>cmm55w57p0004cuisfrtpqly8</t>
        </is>
      </c>
      <c r="H1332" t="inlineStr">
        <is>
          <t>Beslutsvillkor</t>
        </is>
      </c>
      <c r="I1332" t="inlineStr">
        <is>
          <t>MiljopaverkanForsiktighet</t>
        </is>
      </c>
      <c r="J1332" t="inlineStr">
        <is>
          <t>Skyddsatgarder</t>
        </is>
      </c>
      <c r="K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32" t="inlineStr">
        <is>
          <t>SKA</t>
        </is>
      </c>
      <c r="N1332" t="inlineStr">
        <is>
          <t>Naturvardsverket</t>
        </is>
      </c>
      <c r="O1332" t="inlineStr">
        <is>
          <t>2024-10-24</t>
        </is>
      </c>
      <c r="P1332" t="inlineStr"/>
      <c r="Q1332" t="inlineStr"/>
      <c r="R1332" t="inlineStr">
        <is>
          <t>Alltid</t>
        </is>
      </c>
      <c r="S1332" t="inlineStr"/>
      <c r="T1332" t="inlineStr">
        <is>
          <t>212000</t>
        </is>
      </c>
      <c r="U1332" t="inlineStr"/>
      <c r="V1332" t="inlineStr"/>
      <c r="W1332" t="inlineStr">
        <is>
          <t>Nej</t>
        </is>
      </c>
      <c r="X1332" t="inlineStr">
        <is>
          <t>Nej</t>
        </is>
      </c>
      <c r="Y1332" t="inlineStr">
        <is>
          <t>Nej</t>
        </is>
      </c>
      <c r="Z1332" t="inlineStr">
        <is>
          <t>Nej</t>
        </is>
      </c>
      <c r="AA1332" t="n">
        <v>10</v>
      </c>
      <c r="AB1332" t="inlineStr">
        <is>
          <t>Miljopaverkan och forsiktighetsmatt</t>
        </is>
      </c>
      <c r="AC1332" t="inlineStr">
        <is>
          <t>Miljo-PM</t>
        </is>
      </c>
      <c r="AD1332" t="inlineStr">
        <is>
          <t>Nej</t>
        </is>
      </c>
      <c r="AE1332" t="inlineStr">
        <is>
          <t>Nej</t>
        </is>
      </c>
      <c r="AF1332" t="inlineStr">
        <is>
          <t>Ej behandlad</t>
        </is>
      </c>
      <c r="AG1332" t="inlineStr">
        <is>
          <t>AUTO_GENERERAD. Verifiera citat mot kallfil.</t>
        </is>
      </c>
      <c r="AH1332" t="inlineStr">
        <is>
          <t>HIGH</t>
        </is>
      </c>
      <c r="AI1332" t="inlineStr">
        <is>
          <t>AUTO</t>
        </is>
      </c>
      <c r="AJ1332" t="inlineStr">
        <is>
          <t>Nej</t>
        </is>
      </c>
      <c r="AK1332" t="inlineStr"/>
      <c r="AL1332" t="inlineStr"/>
      <c r="AM1332" t="inlineStr"/>
      <c r="AN1332" t="inlineStr"/>
      <c r="AO1332" t="inlineStr">
        <is>
          <t>cmm4yup3u0288cuqw1esiotxe</t>
        </is>
      </c>
      <c r="AP1332" t="inlineStr">
        <is>
          <t>http://localhost:8787/api/admin/requirements/documents/cmm4yup3u0288cuqw1esiotxe/view</t>
        </is>
      </c>
      <c r="AQ1332">
        <f>HYPERLÄNK("http://localhost:8787/api/admin/requirements/documents/cmm4yup3u0288cuqw1esiotxe/view";"Öppna PDF")</f>
        <v/>
      </c>
      <c r="AR1332">
        <f>HYPERLINK("http://localhost:8787/api/admin/requirements/documents/cmm4yup3u0288cuqw1esiotxe/view","Open PDF")</f>
        <v/>
      </c>
      <c r="AS1332" t="inlineStr">
        <is>
          <t>cmm55w57p0004cuisfrtpqly8</t>
        </is>
      </c>
      <c r="AT1332" t="inlineStr">
        <is>
          <t>cmm4xvu980000cuh4vj0usz09</t>
        </is>
      </c>
      <c r="AU1332" t="inlineStr">
        <is>
          <t>pdf Hedemora</t>
        </is>
      </c>
      <c r="AV1332" t="inlineStr">
        <is>
          <t>Kommun</t>
        </is>
      </c>
      <c r="AW1332" t="inlineStr">
        <is>
          <t>pdf Hedemora kommun</t>
        </is>
      </c>
      <c r="AX1332" t="inlineStr">
        <is>
          <t>0225-340</t>
        </is>
      </c>
      <c r="AY1332" t="inlineStr">
        <is>
          <t>Beslut</t>
        </is>
      </c>
      <c r="AZ1332" t="inlineStr">
        <is>
          <t>2026-02-03</t>
        </is>
      </c>
      <c r="BA1332" t="inlineStr">
        <is>
          <t>MB-2024-448-427-INFOR-Brev-2024-06-24-.pdf</t>
        </is>
      </c>
      <c r="BB1332" t="inlineStr">
        <is>
          <t>SV: till registrator [2026HSC4325]</t>
        </is>
      </c>
      <c r="BC1332" t="inlineStr">
        <is>
          <t>AUTO</t>
        </is>
      </c>
      <c r="BD1332" t="inlineStr"/>
      <c r="BE1332" t="inlineStr"/>
      <c r="BF1332" t="inlineStr">
        <is>
          <t>AUTO_GENERERAD. Bekrafta metadata mot kallfil.</t>
        </is>
      </c>
      <c r="BG1332">
        <f>HYPERLINK("C:\Users\jimmy\Desktop\Examens arbete\Kod\Ny mapp\remix_-copy-of-miljöbeslut.se-portal\MB-2024-448-427-INFOR-Brev-2024-06-24-.pdf", "Öppna PDF")</f>
        <v/>
      </c>
    </row>
    <row r="1333">
      <c r="A1333" t="inlineStr">
        <is>
          <t>KRAV-AUTO-001332</t>
        </is>
      </c>
      <c r="B1333" t="inlineStr">
        <is>
          <t>ADMIN-INDEX-2026-02-27-00000000125C043F57453246863FE664CAFE6A3F0700950291EA24F0614FB6ACEDB12BF0E31D00000000010C0000950291EA24F0614FB6ACEDB12BF0E31D00002087AE9E0000</t>
        </is>
      </c>
      <c r="C1333" t="inlineStr">
        <is>
          <t>cmm4yup2b026ncuqwob4unnxv</t>
        </is>
      </c>
      <c r="D1333" t="inlineStr">
        <is>
          <t>http://localhost:8787/api/admin/requirements/documents/cmm4yup2b026ncuqwob4unnxv/view</t>
        </is>
      </c>
      <c r="E1333">
        <f>HYPERLÄNK("http://localhost:8787/api/admin/requirements/documents/cmm4yup2b026ncuqwob4unnxv/view";"Öppna PDF")</f>
        <v/>
      </c>
      <c r="F1333">
        <f>HYPERLINK("http://localhost:8787/api/admin/requirements/documents/cmm4yup2b026ncuqwob4unnxv/view","Open PDF")</f>
        <v/>
      </c>
      <c r="G1333" t="inlineStr">
        <is>
          <t>cmm55w57p0004cuisfrtpqly8</t>
        </is>
      </c>
      <c r="H1333" t="inlineStr">
        <is>
          <t>Beslutsvillkor</t>
        </is>
      </c>
      <c r="I1333" t="inlineStr">
        <is>
          <t>MiljopaverkanForsiktighet</t>
        </is>
      </c>
      <c r="J1333" t="inlineStr">
        <is>
          <t>Skyddsatgarder</t>
        </is>
      </c>
      <c r="K1333" t="inlineStr">
        <is>
          <t> Om mellanlagring sker uppfylls förutsättningarna för att vi ska utföra årlig tillsyn och debitera tillsynsavgift enligt gällande bestämmelser.</t>
        </is>
      </c>
      <c r="L1333" t="inlineStr">
        <is>
          <t> Om mellanlagring sker uppfylls förutsättningarna för att vi ska utföra årlig tillsyn och debitera tillsynsavgift enligt gällande bestämmelser.</t>
        </is>
      </c>
      <c r="M1333" t="inlineStr">
        <is>
          <t>SKA</t>
        </is>
      </c>
      <c r="N1333" t="inlineStr"/>
      <c r="O1333" t="inlineStr"/>
      <c r="P1333" t="inlineStr">
        <is>
          <t>Arlig</t>
        </is>
      </c>
      <c r="Q1333" t="inlineStr"/>
      <c r="R1333" t="inlineStr">
        <is>
          <t>Alltid</t>
        </is>
      </c>
      <c r="S1333" t="inlineStr"/>
      <c r="T1333" t="inlineStr">
        <is>
          <t>212000</t>
        </is>
      </c>
      <c r="U1333" t="inlineStr"/>
      <c r="V1333" t="inlineStr"/>
      <c r="W1333" t="inlineStr">
        <is>
          <t>Nej</t>
        </is>
      </c>
      <c r="X1333" t="inlineStr">
        <is>
          <t>Nej</t>
        </is>
      </c>
      <c r="Y1333" t="inlineStr">
        <is>
          <t>Nej</t>
        </is>
      </c>
      <c r="Z1333" t="inlineStr">
        <is>
          <t>Nej</t>
        </is>
      </c>
      <c r="AA1333" t="n">
        <v>10</v>
      </c>
      <c r="AB1333" t="inlineStr">
        <is>
          <t>Miljopaverkan och forsiktighetsmatt</t>
        </is>
      </c>
      <c r="AC1333" t="inlineStr">
        <is>
          <t>Miljo-PM</t>
        </is>
      </c>
      <c r="AD1333" t="inlineStr">
        <is>
          <t>Nej</t>
        </is>
      </c>
      <c r="AE1333" t="inlineStr">
        <is>
          <t>Nej</t>
        </is>
      </c>
      <c r="AF1333" t="inlineStr">
        <is>
          <t>Ej behandlad</t>
        </is>
      </c>
      <c r="AG1333" t="inlineStr">
        <is>
          <t>AUTO_GENERERAD. Verifiera citat mot kallfil.</t>
        </is>
      </c>
      <c r="AH1333" t="inlineStr">
        <is>
          <t>MEDIUM</t>
        </is>
      </c>
      <c r="AI1333" t="inlineStr">
        <is>
          <t>AUTO</t>
        </is>
      </c>
      <c r="AJ1333" t="inlineStr">
        <is>
          <t>Nej</t>
        </is>
      </c>
      <c r="AK1333" t="inlineStr"/>
      <c r="AL1333" t="inlineStr"/>
      <c r="AM1333" t="inlineStr"/>
      <c r="AN1333" t="inlineStr"/>
      <c r="AO1333" t="inlineStr">
        <is>
          <t>cmm4yup3u0288cuqw1esiotxe</t>
        </is>
      </c>
      <c r="AP1333" t="inlineStr">
        <is>
          <t>http://localhost:8787/api/admin/requirements/documents/cmm4yup3u0288cuqw1esiotxe/view</t>
        </is>
      </c>
      <c r="AQ1333">
        <f>HYPERLÄNK("http://localhost:8787/api/admin/requirements/documents/cmm4yup3u0288cuqw1esiotxe/view";"Öppna PDF")</f>
        <v/>
      </c>
      <c r="AR1333">
        <f>HYPERLINK("http://localhost:8787/api/admin/requirements/documents/cmm4yup3u0288cuqw1esiotxe/view","Open PDF")</f>
        <v/>
      </c>
      <c r="AS1333" t="inlineStr">
        <is>
          <t>cmm55w57p0004cuisfrtpqly8</t>
        </is>
      </c>
      <c r="AT1333" t="inlineStr">
        <is>
          <t>cmm4xvu980000cuh4vj0usz09</t>
        </is>
      </c>
      <c r="AU1333" t="inlineStr">
        <is>
          <t>pdf Hedemora</t>
        </is>
      </c>
      <c r="AV1333" t="inlineStr">
        <is>
          <t>Kommun</t>
        </is>
      </c>
      <c r="AW1333" t="inlineStr">
        <is>
          <t>pdf Hedemora kommun</t>
        </is>
      </c>
      <c r="AX1333" t="inlineStr">
        <is>
          <t>0225-340</t>
        </is>
      </c>
      <c r="AY1333" t="inlineStr">
        <is>
          <t>Beslut</t>
        </is>
      </c>
      <c r="AZ1333" t="inlineStr">
        <is>
          <t>2026-02-03</t>
        </is>
      </c>
      <c r="BA1333" t="inlineStr">
        <is>
          <t>MB-2024-448-427-INFOR-Brev-2024-06-24-.pdf</t>
        </is>
      </c>
      <c r="BB1333" t="inlineStr">
        <is>
          <t>SV: till registrator [2026HSC4325]</t>
        </is>
      </c>
      <c r="BC1333" t="inlineStr">
        <is>
          <t>AUTO</t>
        </is>
      </c>
      <c r="BD1333" t="inlineStr"/>
      <c r="BE1333" t="inlineStr"/>
      <c r="BF1333" t="inlineStr">
        <is>
          <t>AUTO_GENERERAD. Bekrafta metadata mot kallfil.</t>
        </is>
      </c>
      <c r="BG1333">
        <f>HYPERLINK("C:\Users\jimmy\Desktop\Examens arbete\Kod\Ny mapp\remix_-copy-of-miljöbeslut.se-portal\MB-2024-448-427-INFOR-Brev-2024-06-24-.pdf", "Öppna PDF")</f>
        <v/>
      </c>
    </row>
    <row r="1334">
      <c r="A1334" t="inlineStr">
        <is>
          <t>KRAV-AUTO-001333</t>
        </is>
      </c>
      <c r="B1334" t="inlineStr">
        <is>
          <t>ADMIN-INDEX-2026-02-27-00000000125C043F57453246863FE664CAFE6A3F0700950291EA24F0614FB6ACEDB12BF0E31D00000000010C0000950291EA24F0614FB6ACEDB12BF0E31D00002087AE9E0000</t>
        </is>
      </c>
      <c r="C1334" t="inlineStr">
        <is>
          <t>cmm4yup28026kcuqw4bd1zte7</t>
        </is>
      </c>
      <c r="D1334" t="inlineStr">
        <is>
          <t>http://localhost:8787/api/admin/requirements/documents/cmm4yup28026kcuqw4bd1zte7/view</t>
        </is>
      </c>
      <c r="E1334">
        <f>HYPERLÄNK("http://localhost:8787/api/admin/requirements/documents/cmm4yup28026kcuqw4bd1zte7/view";"Öppna PDF")</f>
        <v/>
      </c>
      <c r="F1334">
        <f>HYPERLINK("http://localhost:8787/api/admin/requirements/documents/cmm4yup28026kcuqw4bd1zte7/view","Open PDF")</f>
        <v/>
      </c>
      <c r="G1334" t="inlineStr">
        <is>
          <t>cmm55w57p0004cuisfrtpqly8</t>
        </is>
      </c>
      <c r="H1334" t="inlineStr">
        <is>
          <t>Beslutsvillkor</t>
        </is>
      </c>
      <c r="I1334" t="inlineStr">
        <is>
          <t>LagringsvolymTid</t>
        </is>
      </c>
      <c r="J1334" t="inlineStr">
        <is>
          <t>Maxmangd</t>
        </is>
      </c>
      <c r="K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34" t="inlineStr">
        <is>
          <t>SKA</t>
        </is>
      </c>
      <c r="N1334" t="inlineStr"/>
      <c r="O1334" t="inlineStr">
        <is>
          <t>2026-01-19</t>
        </is>
      </c>
      <c r="P1334" t="inlineStr">
        <is>
          <t>Arlig</t>
        </is>
      </c>
      <c r="Q1334" t="inlineStr"/>
      <c r="R1334" t="inlineStr">
        <is>
          <t>Alltid</t>
        </is>
      </c>
      <c r="S1334" t="inlineStr"/>
      <c r="T1334" t="inlineStr">
        <is>
          <t>2024 10</t>
        </is>
      </c>
      <c r="U1334" t="n">
        <v>10</v>
      </c>
      <c r="V1334" t="inlineStr"/>
      <c r="W1334" t="inlineStr">
        <is>
          <t>Nej</t>
        </is>
      </c>
      <c r="X1334" t="inlineStr">
        <is>
          <t>Nej</t>
        </is>
      </c>
      <c r="Y1334" t="inlineStr">
        <is>
          <t>Nej</t>
        </is>
      </c>
      <c r="Z1334" t="inlineStr">
        <is>
          <t>Nej</t>
        </is>
      </c>
      <c r="AA1334" t="n">
        <v>4</v>
      </c>
      <c r="AB1334" t="inlineStr">
        <is>
          <t>Avfallsmangder och lagringstid</t>
        </is>
      </c>
      <c r="AC1334" t="inlineStr">
        <is>
          <t>Avfallsforteckning</t>
        </is>
      </c>
      <c r="AD1334" t="inlineStr">
        <is>
          <t>Nej</t>
        </is>
      </c>
      <c r="AE1334" t="inlineStr">
        <is>
          <t>Nej</t>
        </is>
      </c>
      <c r="AF1334" t="inlineStr">
        <is>
          <t>Ej behandlad</t>
        </is>
      </c>
      <c r="AG1334" t="inlineStr">
        <is>
          <t>AUTO_GENERERAD. Verifiera citat mot kallfil.</t>
        </is>
      </c>
      <c r="AH1334" t="inlineStr">
        <is>
          <t>MEDIUM</t>
        </is>
      </c>
      <c r="AI1334" t="inlineStr">
        <is>
          <t>AUTO</t>
        </is>
      </c>
      <c r="AJ1334" t="inlineStr">
        <is>
          <t>Nej</t>
        </is>
      </c>
      <c r="AK1334" t="inlineStr"/>
      <c r="AL1334" t="inlineStr"/>
      <c r="AM1334" t="inlineStr"/>
      <c r="AN1334" t="inlineStr"/>
      <c r="AO1334" t="inlineStr">
        <is>
          <t>cmm4yup3u0288cuqw1esiotxe</t>
        </is>
      </c>
      <c r="AP1334" t="inlineStr">
        <is>
          <t>http://localhost:8787/api/admin/requirements/documents/cmm4yup3u0288cuqw1esiotxe/view</t>
        </is>
      </c>
      <c r="AQ1334">
        <f>HYPERLÄNK("http://localhost:8787/api/admin/requirements/documents/cmm4yup3u0288cuqw1esiotxe/view";"Öppna PDF")</f>
        <v/>
      </c>
      <c r="AR1334">
        <f>HYPERLINK("http://localhost:8787/api/admin/requirements/documents/cmm4yup3u0288cuqw1esiotxe/view","Open PDF")</f>
        <v/>
      </c>
      <c r="AS1334" t="inlineStr">
        <is>
          <t>cmm55w57p0004cuisfrtpqly8</t>
        </is>
      </c>
      <c r="AT1334" t="inlineStr">
        <is>
          <t>cmm4xvu980000cuh4vj0usz09</t>
        </is>
      </c>
      <c r="AU1334" t="inlineStr">
        <is>
          <t>pdf Hedemora</t>
        </is>
      </c>
      <c r="AV1334" t="inlineStr">
        <is>
          <t>Kommun</t>
        </is>
      </c>
      <c r="AW1334" t="inlineStr">
        <is>
          <t>pdf Hedemora kommun</t>
        </is>
      </c>
      <c r="AX1334" t="inlineStr">
        <is>
          <t>0225-340</t>
        </is>
      </c>
      <c r="AY1334" t="inlineStr">
        <is>
          <t>Beslut</t>
        </is>
      </c>
      <c r="AZ1334" t="inlineStr">
        <is>
          <t>2026-02-03</t>
        </is>
      </c>
      <c r="BA1334" t="inlineStr">
        <is>
          <t>MB-2024-448-427-INFOR-Brev-2024-06-24-.pdf</t>
        </is>
      </c>
      <c r="BB1334" t="inlineStr">
        <is>
          <t>SV: till registrator [2026HSC4325]</t>
        </is>
      </c>
      <c r="BC1334" t="inlineStr">
        <is>
          <t>AUTO</t>
        </is>
      </c>
      <c r="BD1334" t="inlineStr"/>
      <c r="BE1334" t="inlineStr"/>
      <c r="BF1334" t="inlineStr">
        <is>
          <t>AUTO_GENERERAD. Bekrafta metadata mot kallfil.</t>
        </is>
      </c>
      <c r="BG1334">
        <f>HYPERLINK("C:\Users\jimmy\Desktop\Examens arbete\Kod\Ny mapp\remix_-copy-of-miljöbeslut.se-portal\MB-2024-448-427-INFOR-Brev-2024-06-24-.pdf", "Öppna PDF")</f>
        <v/>
      </c>
    </row>
    <row r="1335">
      <c r="A1335" t="inlineStr">
        <is>
          <t>KRAV-AUTO-001334</t>
        </is>
      </c>
      <c r="B1335" t="inlineStr">
        <is>
          <t>ADMIN-INDEX-2026-02-27-00000000125C043F57453246863FE664CAFE6A3F0700950291EA24F0614FB6ACEDB12BF0E31D00000000010C0000950291EA24F0614FB6ACEDB12BF0E31D00002087AE9F0000</t>
        </is>
      </c>
      <c r="C1335" t="inlineStr">
        <is>
          <t>cmm4yup18025hcuqw7tz859cf</t>
        </is>
      </c>
      <c r="D1335" t="inlineStr">
        <is>
          <t>http://localhost:8787/api/admin/requirements/documents/cmm4yup18025hcuqw7tz859cf/view</t>
        </is>
      </c>
      <c r="E1335">
        <f>HYPERLÄNK("http://localhost:8787/api/admin/requirements/documents/cmm4yup18025hcuqw7tz859cf/view";"Öppna PDF")</f>
        <v/>
      </c>
      <c r="F1335">
        <f>HYPERLINK("http://localhost:8787/api/admin/requirements/documents/cmm4yup18025hcuqw7tz859cf/view","Open PDF")</f>
        <v/>
      </c>
      <c r="G1335" t="inlineStr">
        <is>
          <t>cmm55w57p0004cuisfrtpqly8</t>
        </is>
      </c>
      <c r="H1335" t="inlineStr">
        <is>
          <t>Informationskrav</t>
        </is>
      </c>
      <c r="I1335" t="inlineStr">
        <is>
          <t>LagringsvolymTid</t>
        </is>
      </c>
      <c r="J1335" t="inlineStr">
        <is>
          <t>Maxmangd</t>
        </is>
      </c>
      <c r="K1335" t="inlineStr">
        <is>
          <t>För att kunna återfylla marken krävs motsvarande mängd material som är uttaget i from av berg och grus.</t>
        </is>
      </c>
      <c r="L1335" t="inlineStr">
        <is>
          <t>För att kunna återfylla marken krävs motsvarande mängd material som är uttaget i from av berg och grus.</t>
        </is>
      </c>
      <c r="M1335" t="inlineStr">
        <is>
          <t>SKA</t>
        </is>
      </c>
      <c r="N1335" t="inlineStr"/>
      <c r="O1335" t="inlineStr"/>
      <c r="P1335" t="inlineStr"/>
      <c r="Q1335" t="inlineStr"/>
      <c r="R1335" t="inlineStr">
        <is>
          <t>Alltid</t>
        </is>
      </c>
      <c r="S1335" t="inlineStr"/>
      <c r="T1335" t="inlineStr">
        <is>
          <t>23 0121</t>
        </is>
      </c>
      <c r="U1335" t="inlineStr"/>
      <c r="V1335" t="inlineStr"/>
      <c r="W1335" t="inlineStr">
        <is>
          <t>Nej</t>
        </is>
      </c>
      <c r="X1335" t="inlineStr">
        <is>
          <t>Nej</t>
        </is>
      </c>
      <c r="Y1335" t="inlineStr">
        <is>
          <t>Nej</t>
        </is>
      </c>
      <c r="Z1335" t="inlineStr">
        <is>
          <t>Nej</t>
        </is>
      </c>
      <c r="AA1335" t="n">
        <v>4</v>
      </c>
      <c r="AB1335" t="inlineStr">
        <is>
          <t>Avfallsmangder och lagringstid</t>
        </is>
      </c>
      <c r="AC1335" t="inlineStr">
        <is>
          <t>Avfallsforteckning</t>
        </is>
      </c>
      <c r="AD1335" t="inlineStr">
        <is>
          <t>Nej</t>
        </is>
      </c>
      <c r="AE1335" t="inlineStr">
        <is>
          <t>Nej</t>
        </is>
      </c>
      <c r="AF1335" t="inlineStr">
        <is>
          <t>Ej behandlad</t>
        </is>
      </c>
      <c r="AG1335" t="inlineStr">
        <is>
          <t>AUTO_GENERERAD. Verifiera citat mot kallfil.</t>
        </is>
      </c>
      <c r="AH1335" t="inlineStr">
        <is>
          <t>MEDIUM</t>
        </is>
      </c>
      <c r="AI1335" t="inlineStr">
        <is>
          <t>AUTO</t>
        </is>
      </c>
      <c r="AJ1335" t="inlineStr">
        <is>
          <t>Nej</t>
        </is>
      </c>
      <c r="AK1335" t="inlineStr"/>
      <c r="AL1335" t="inlineStr"/>
      <c r="AM1335" t="inlineStr"/>
      <c r="AN1335" t="inlineStr"/>
      <c r="AO1335" t="inlineStr">
        <is>
          <t>cmm4yup18025hcuqw7tz859cf</t>
        </is>
      </c>
      <c r="AP1335" t="inlineStr">
        <is>
          <t>http://localhost:8787/api/admin/requirements/documents/cmm4yup18025hcuqw7tz859cf/view</t>
        </is>
      </c>
      <c r="AQ1335">
        <f>HYPERLÄNK("http://localhost:8787/api/admin/requirements/documents/cmm4yup18025hcuqw7tz859cf/view";"Öppna PDF")</f>
        <v/>
      </c>
      <c r="AR1335">
        <f>HYPERLINK("http://localhost:8787/api/admin/requirements/documents/cmm4yup18025hcuqw7tz859cf/view","Open PDF")</f>
        <v/>
      </c>
      <c r="AS1335" t="inlineStr">
        <is>
          <t>cmm55w57p0004cuisfrtpqly8</t>
        </is>
      </c>
      <c r="AT1335" t="inlineStr">
        <is>
          <t>cmm4xvu980000cuh4vj0usz09</t>
        </is>
      </c>
      <c r="AU1335" t="inlineStr">
        <is>
          <t>-- Miljökontoret Söderköpings</t>
        </is>
      </c>
      <c r="AV1335" t="inlineStr">
        <is>
          <t>Kommun</t>
        </is>
      </c>
      <c r="AW1335" t="inlineStr">
        <is>
          <t>-- Miljökontoret Söderköpings kommun</t>
        </is>
      </c>
      <c r="AX1335" t="inlineStr">
        <is>
          <t>2024-01</t>
        </is>
      </c>
      <c r="AY1335" t="inlineStr">
        <is>
          <t>Anmalan</t>
        </is>
      </c>
      <c r="AZ1335" t="inlineStr">
        <is>
          <t>2026-02-03</t>
        </is>
      </c>
      <c r="BA1335" t="inlineStr">
        <is>
          <t>SBF-2024-170_2024-01-23_Anmälan_Bortredigerad.pdf</t>
        </is>
      </c>
      <c r="BB1335" t="inlineStr">
        <is>
          <t>SV: till registrator</t>
        </is>
      </c>
      <c r="BC1335" t="inlineStr">
        <is>
          <t>AUTO</t>
        </is>
      </c>
      <c r="BD1335" t="inlineStr"/>
      <c r="BE1335" t="inlineStr"/>
      <c r="BF1335" t="inlineStr">
        <is>
          <t>AUTO_GENERERAD. Bekrafta metadata mot kallfil.</t>
        </is>
      </c>
      <c r="BG1335">
        <f>HYPERLINK("C:\Users\jimmy\Desktop\Examens arbete\Kod\Ny mapp\remix_-copy-of-miljöbeslut.se-portal\SBF-2024-170_2024-01-23_Anmälan_Bortredigerad.pdf", "Öppna PDF")</f>
        <v/>
      </c>
    </row>
    <row r="1336">
      <c r="A1336" t="inlineStr">
        <is>
          <t>KRAV-AUTO-001335</t>
        </is>
      </c>
      <c r="B1336" t="inlineStr">
        <is>
          <t>ADMIN-INDEX-2026-02-27-00000000125C043F57453246863FE664CAFE6A3F0700950291EA24F0614FB6ACEDB12BF0E31D00000000010C0000950291EA24F0614FB6ACEDB12BF0E31D00002087AE9F0000</t>
        </is>
      </c>
      <c r="C1336" t="inlineStr">
        <is>
          <t>cmm4yup18025hcuqw7tz859cf</t>
        </is>
      </c>
      <c r="D1336" t="inlineStr">
        <is>
          <t>http://localhost:8787/api/admin/requirements/documents/cmm4yup18025hcuqw7tz859cf/view</t>
        </is>
      </c>
      <c r="E1336">
        <f>HYPERLÄNK("http://localhost:8787/api/admin/requirements/documents/cmm4yup18025hcuqw7tz859cf/view";"Öppna PDF")</f>
        <v/>
      </c>
      <c r="F1336">
        <f>HYPERLINK("http://localhost:8787/api/admin/requirements/documents/cmm4yup18025hcuqw7tz859cf/view","Open PDF")</f>
        <v/>
      </c>
      <c r="G1336" t="inlineStr">
        <is>
          <t>cmm55w57p0004cuisfrtpqly8</t>
        </is>
      </c>
      <c r="H1336" t="inlineStr">
        <is>
          <t>Informationskrav</t>
        </is>
      </c>
      <c r="I1336" t="inlineStr">
        <is>
          <t>AvvecklingEfterbehandling</t>
        </is>
      </c>
      <c r="J1336" t="inlineStr">
        <is>
          <t>Atgardsplan</t>
        </is>
      </c>
      <c r="K1336" t="inlineStr">
        <is>
          <t>Hur ska avfallet användas?* Syftet är att återskapa jordbruksmarken (åker) efter uttag av tidigare grustäkt 1986-96 samt efterbehandling i avslutad del i bergtäkt.</t>
        </is>
      </c>
      <c r="L1336" t="inlineStr">
        <is>
          <t>Hur ska avfallet användas?* Syftet är att återskapa jordbruksmarken (åker) efter uttag av tidigare grustäkt 1986-96 samt efterbehandling i avslutad del i bergtäkt.</t>
        </is>
      </c>
      <c r="M1336" t="inlineStr">
        <is>
          <t>SKA</t>
        </is>
      </c>
      <c r="N1336" t="inlineStr"/>
      <c r="O1336" t="inlineStr"/>
      <c r="P1336" t="inlineStr"/>
      <c r="Q1336" t="inlineStr"/>
      <c r="R1336" t="inlineStr">
        <is>
          <t>Vid avslut av verksamhet</t>
        </is>
      </c>
      <c r="S1336" t="inlineStr"/>
      <c r="T1336" t="inlineStr">
        <is>
          <t>23 0121</t>
        </is>
      </c>
      <c r="U1336" t="inlineStr"/>
      <c r="V1336" t="inlineStr"/>
      <c r="W1336" t="inlineStr">
        <is>
          <t>Ja</t>
        </is>
      </c>
      <c r="X1336" t="inlineStr">
        <is>
          <t>Ja</t>
        </is>
      </c>
      <c r="Y1336" t="inlineStr">
        <is>
          <t>Ja</t>
        </is>
      </c>
      <c r="Z1336" t="inlineStr">
        <is>
          <t>Ja</t>
        </is>
      </c>
      <c r="AA1336" t="n">
        <v>11</v>
      </c>
      <c r="AB1336" t="inlineStr">
        <is>
          <t>Avveckling och efterbehandling</t>
        </is>
      </c>
      <c r="AC1336" t="inlineStr">
        <is>
          <t>Avvecklingsplan</t>
        </is>
      </c>
      <c r="AD1336" t="inlineStr">
        <is>
          <t>Nej</t>
        </is>
      </c>
      <c r="AE1336" t="inlineStr">
        <is>
          <t>Nej</t>
        </is>
      </c>
      <c r="AF1336" t="inlineStr">
        <is>
          <t>Ej behandlad</t>
        </is>
      </c>
      <c r="AG1336" t="inlineStr">
        <is>
          <t>AUTO_GENERERAD. Verifiera citat mot kallfil.</t>
        </is>
      </c>
      <c r="AH1336" t="inlineStr">
        <is>
          <t>MEDIUM</t>
        </is>
      </c>
      <c r="AI1336" t="inlineStr">
        <is>
          <t>AUTO</t>
        </is>
      </c>
      <c r="AJ1336" t="inlineStr">
        <is>
          <t>Nej</t>
        </is>
      </c>
      <c r="AK1336" t="inlineStr"/>
      <c r="AL1336" t="inlineStr"/>
      <c r="AM1336" t="inlineStr"/>
      <c r="AN1336" t="inlineStr"/>
      <c r="AO1336" t="inlineStr">
        <is>
          <t>cmm4yup18025hcuqw7tz859cf</t>
        </is>
      </c>
      <c r="AP1336" t="inlineStr">
        <is>
          <t>http://localhost:8787/api/admin/requirements/documents/cmm4yup18025hcuqw7tz859cf/view</t>
        </is>
      </c>
      <c r="AQ1336">
        <f>HYPERLÄNK("http://localhost:8787/api/admin/requirements/documents/cmm4yup18025hcuqw7tz859cf/view";"Öppna PDF")</f>
        <v/>
      </c>
      <c r="AR1336">
        <f>HYPERLINK("http://localhost:8787/api/admin/requirements/documents/cmm4yup18025hcuqw7tz859cf/view","Open PDF")</f>
        <v/>
      </c>
      <c r="AS1336" t="inlineStr">
        <is>
          <t>cmm55w57p0004cuisfrtpqly8</t>
        </is>
      </c>
      <c r="AT1336" t="inlineStr">
        <is>
          <t>cmm4xvu980000cuh4vj0usz09</t>
        </is>
      </c>
      <c r="AU1336" t="inlineStr">
        <is>
          <t>-- Miljökontoret Söderköpings</t>
        </is>
      </c>
      <c r="AV1336" t="inlineStr">
        <is>
          <t>Kommun</t>
        </is>
      </c>
      <c r="AW1336" t="inlineStr">
        <is>
          <t>-- Miljökontoret Söderköpings kommun</t>
        </is>
      </c>
      <c r="AX1336" t="inlineStr">
        <is>
          <t>2024-01</t>
        </is>
      </c>
      <c r="AY1336" t="inlineStr">
        <is>
          <t>Anmalan</t>
        </is>
      </c>
      <c r="AZ1336" t="inlineStr">
        <is>
          <t>2026-02-03</t>
        </is>
      </c>
      <c r="BA1336" t="inlineStr">
        <is>
          <t>SBF-2024-170_2024-01-23_Anmälan_Bortredigerad.pdf</t>
        </is>
      </c>
      <c r="BB1336" t="inlineStr">
        <is>
          <t>SV: till registrator</t>
        </is>
      </c>
      <c r="BC1336" t="inlineStr">
        <is>
          <t>AUTO</t>
        </is>
      </c>
      <c r="BD1336" t="inlineStr"/>
      <c r="BE1336" t="inlineStr"/>
      <c r="BF1336" t="inlineStr">
        <is>
          <t>AUTO_GENERERAD. Bekrafta metadata mot kallfil.</t>
        </is>
      </c>
      <c r="BG1336">
        <f>HYPERLINK("C:\Users\jimmy\Desktop\Examens arbete\Kod\Ny mapp\remix_-copy-of-miljöbeslut.se-portal\SBF-2024-170_2024-01-23_Anmälan_Bortredigerad.pdf", "Öppna PDF")</f>
        <v/>
      </c>
    </row>
    <row r="1337">
      <c r="A1337" t="inlineStr">
        <is>
          <t>KRAV-AUTO-001336</t>
        </is>
      </c>
      <c r="B1337" t="inlineStr">
        <is>
          <t>ADMIN-INDEX-2026-02-27-00000000125C043F57453246863FE664CAFE6A3F0700950291EA24F0614FB6ACEDB12BF0E31D00000000010C0000950291EA24F0614FB6ACEDB12BF0E31D00002087AEA00000</t>
        </is>
      </c>
      <c r="C1337" t="inlineStr">
        <is>
          <t>cmm4yuozq023zcuqwbms4qd54</t>
        </is>
      </c>
      <c r="D1337" t="inlineStr">
        <is>
          <t>http://localhost:8787/api/admin/requirements/documents/cmm4yuozq023zcuqwbms4qd54/view</t>
        </is>
      </c>
      <c r="E1337">
        <f>HYPERLÄNK("http://localhost:8787/api/admin/requirements/documents/cmm4yuozq023zcuqwbms4qd54/view";"Öppna PDF")</f>
        <v/>
      </c>
      <c r="F1337">
        <f>HYPERLINK("http://localhost:8787/api/admin/requirements/documents/cmm4yuozq023zcuqwbms4qd54/view","Open PDF")</f>
        <v/>
      </c>
      <c r="G1337" t="inlineStr">
        <is>
          <t>cmm55w57p0004cuisfrtpqly8</t>
        </is>
      </c>
      <c r="H1337" t="inlineStr">
        <is>
          <t>Informationskrav</t>
        </is>
      </c>
      <c r="I1337" t="inlineStr">
        <is>
          <t>LagringsvolymTid</t>
        </is>
      </c>
      <c r="J1337" t="inlineStr">
        <is>
          <t>Maxmangd</t>
        </is>
      </c>
      <c r="K1337" t="inlineStr">
        <is>
          <t>För att kunna återfylla marken krävs motsvarande mängd material som är uttaget i from av berg och grus.</t>
        </is>
      </c>
      <c r="L1337" t="inlineStr">
        <is>
          <t>För att kunna återfylla marken krävs motsvarande mängd material som är uttaget i from av berg och grus.</t>
        </is>
      </c>
      <c r="M1337" t="inlineStr">
        <is>
          <t>SKA</t>
        </is>
      </c>
      <c r="N1337" t="inlineStr"/>
      <c r="O1337" t="inlineStr"/>
      <c r="P1337" t="inlineStr"/>
      <c r="Q1337" t="inlineStr"/>
      <c r="R1337" t="inlineStr">
        <is>
          <t>Alltid</t>
        </is>
      </c>
      <c r="S1337" t="inlineStr"/>
      <c r="T1337" t="inlineStr">
        <is>
          <t>170504</t>
        </is>
      </c>
      <c r="U1337" t="inlineStr"/>
      <c r="V1337" t="inlineStr"/>
      <c r="W1337" t="inlineStr">
        <is>
          <t>Nej</t>
        </is>
      </c>
      <c r="X1337" t="inlineStr">
        <is>
          <t>Nej</t>
        </is>
      </c>
      <c r="Y1337" t="inlineStr">
        <is>
          <t>Nej</t>
        </is>
      </c>
      <c r="Z1337" t="inlineStr">
        <is>
          <t>Nej</t>
        </is>
      </c>
      <c r="AA1337" t="n">
        <v>4</v>
      </c>
      <c r="AB1337" t="inlineStr">
        <is>
          <t>Avfallsmangder och lagringstid</t>
        </is>
      </c>
      <c r="AC1337" t="inlineStr">
        <is>
          <t>Avfallsforteckning</t>
        </is>
      </c>
      <c r="AD1337" t="inlineStr">
        <is>
          <t>Nej</t>
        </is>
      </c>
      <c r="AE1337" t="inlineStr">
        <is>
          <t>Nej</t>
        </is>
      </c>
      <c r="AF1337" t="inlineStr">
        <is>
          <t>Ej behandlad</t>
        </is>
      </c>
      <c r="AG1337" t="inlineStr">
        <is>
          <t>AUTO_GENERERAD. Verifiera citat mot kallfil.</t>
        </is>
      </c>
      <c r="AH1337" t="inlineStr">
        <is>
          <t>MEDIUM</t>
        </is>
      </c>
      <c r="AI1337" t="inlineStr">
        <is>
          <t>AUTO</t>
        </is>
      </c>
      <c r="AJ1337" t="inlineStr">
        <is>
          <t>Nej</t>
        </is>
      </c>
      <c r="AK1337" t="inlineStr"/>
      <c r="AL1337" t="inlineStr"/>
      <c r="AM1337" t="inlineStr"/>
      <c r="AN1337" t="inlineStr"/>
      <c r="AO1337" t="inlineStr">
        <is>
          <t>cmm4yuozq023zcuqwbms4qd54</t>
        </is>
      </c>
      <c r="AP1337" t="inlineStr">
        <is>
          <t>http://localhost:8787/api/admin/requirements/documents/cmm4yuozq023zcuqwbms4qd54/view</t>
        </is>
      </c>
      <c r="AQ1337">
        <f>HYPERLÄNK("http://localhost:8787/api/admin/requirements/documents/cmm4yuozq023zcuqwbms4qd54/view";"Öppna PDF")</f>
        <v/>
      </c>
      <c r="AR1337">
        <f>HYPERLINK("http://localhost:8787/api/admin/requirements/documents/cmm4yuozq023zcuqwbms4qd54/view","Open PDF")</f>
        <v/>
      </c>
      <c r="AS1337" t="inlineStr">
        <is>
          <t>cmm55w57p0004cuisfrtpqly8</t>
        </is>
      </c>
      <c r="AT1337" t="inlineStr">
        <is>
          <t>cmm4xvu980000cuh4vj0usz09</t>
        </is>
      </c>
      <c r="AU1337" t="inlineStr">
        <is>
          <t>Söderköping Miljökontoret Söderköpings</t>
        </is>
      </c>
      <c r="AV1337" t="inlineStr">
        <is>
          <t>Kommun</t>
        </is>
      </c>
      <c r="AW1337" t="inlineStr">
        <is>
          <t>Söderköping Miljökontoret Söderköpings kommun</t>
        </is>
      </c>
      <c r="AX1337" t="inlineStr">
        <is>
          <t>0121-181</t>
        </is>
      </c>
      <c r="AY1337" t="inlineStr">
        <is>
          <t>Anmalan</t>
        </is>
      </c>
      <c r="AZ1337" t="inlineStr">
        <is>
          <t>2026-02-03</t>
        </is>
      </c>
      <c r="BA1337" t="inlineStr">
        <is>
          <t>SBF-2024-170_2024-01-23_Anmälan_Bortredigerad.pdf</t>
        </is>
      </c>
      <c r="BB1337" t="inlineStr">
        <is>
          <t>SV: till registrator</t>
        </is>
      </c>
      <c r="BC1337" t="inlineStr">
        <is>
          <t>AUTO</t>
        </is>
      </c>
      <c r="BD1337" t="inlineStr"/>
      <c r="BE1337" t="inlineStr"/>
      <c r="BF1337" t="inlineStr">
        <is>
          <t>AUTO_GENERERAD. Bekrafta metadata mot kallfil.</t>
        </is>
      </c>
      <c r="BG1337">
        <f>HYPERLINK("C:\Users\jimmy\Desktop\Examens arbete\Kod\Ny mapp\remix_-copy-of-miljöbeslut.se-portal\SBF-2024-170_2024-01-23_Anmälan_Bortredigerad.pdf", "Öppna PDF")</f>
        <v/>
      </c>
    </row>
    <row r="1338">
      <c r="A1338" t="inlineStr">
        <is>
          <t>KRAV-AUTO-001337</t>
        </is>
      </c>
      <c r="B1338" t="inlineStr">
        <is>
          <t>ADMIN-INDEX-2026-02-27-00000000125C043F57453246863FE664CAFE6A3F0700950291EA24F0614FB6ACEDB12BF0E31D00000000010C0000950291EA24F0614FB6ACEDB12BF0E31D00002087AEA00000</t>
        </is>
      </c>
      <c r="C1338" t="inlineStr">
        <is>
          <t>cmm4yuozq023zcuqwbms4qd54</t>
        </is>
      </c>
      <c r="D1338" t="inlineStr">
        <is>
          <t>http://localhost:8787/api/admin/requirements/documents/cmm4yuozq023zcuqwbms4qd54/view</t>
        </is>
      </c>
      <c r="E1338">
        <f>HYPERLÄNK("http://localhost:8787/api/admin/requirements/documents/cmm4yuozq023zcuqwbms4qd54/view";"Öppna PDF")</f>
        <v/>
      </c>
      <c r="F1338">
        <f>HYPERLINK("http://localhost:8787/api/admin/requirements/documents/cmm4yuozq023zcuqwbms4qd54/view","Open PDF")</f>
        <v/>
      </c>
      <c r="G1338" t="inlineStr">
        <is>
          <t>cmm55w57p0004cuisfrtpqly8</t>
        </is>
      </c>
      <c r="H1338" t="inlineStr">
        <is>
          <t>Informationskrav</t>
        </is>
      </c>
      <c r="I1338" t="inlineStr">
        <is>
          <t>AvvecklingEfterbehandling</t>
        </is>
      </c>
      <c r="J1338" t="inlineStr">
        <is>
          <t>Atgardsplan</t>
        </is>
      </c>
      <c r="K1338" t="inlineStr">
        <is>
          <t>Hur ska avfallet användas?* Syftet är att återskapa jordbruksmarken (åker) efter uttag av tidigare grustäkt 1986-96 samt efterbehandling i avslutad del i bergtäkt.</t>
        </is>
      </c>
      <c r="L1338" t="inlineStr">
        <is>
          <t>Hur ska avfallet användas?* Syftet är att återskapa jordbruksmarken (åker) efter uttag av tidigare grustäkt 1986-96 samt efterbehandling i avslutad del i bergtäkt.</t>
        </is>
      </c>
      <c r="M1338" t="inlineStr">
        <is>
          <t>SKA</t>
        </is>
      </c>
      <c r="N1338" t="inlineStr"/>
      <c r="O1338" t="inlineStr"/>
      <c r="P1338" t="inlineStr"/>
      <c r="Q1338" t="inlineStr"/>
      <c r="R1338" t="inlineStr">
        <is>
          <t>Vid avslut av verksamhet</t>
        </is>
      </c>
      <c r="S1338" t="inlineStr"/>
      <c r="T1338" t="inlineStr">
        <is>
          <t>170504</t>
        </is>
      </c>
      <c r="U1338" t="inlineStr"/>
      <c r="V1338" t="inlineStr"/>
      <c r="W1338" t="inlineStr">
        <is>
          <t>Ja</t>
        </is>
      </c>
      <c r="X1338" t="inlineStr">
        <is>
          <t>Ja</t>
        </is>
      </c>
      <c r="Y1338" t="inlineStr">
        <is>
          <t>Ja</t>
        </is>
      </c>
      <c r="Z1338" t="inlineStr">
        <is>
          <t>Ja</t>
        </is>
      </c>
      <c r="AA1338" t="n">
        <v>11</v>
      </c>
      <c r="AB1338" t="inlineStr">
        <is>
          <t>Avveckling och efterbehandling</t>
        </is>
      </c>
      <c r="AC1338" t="inlineStr">
        <is>
          <t>Avvecklingsplan</t>
        </is>
      </c>
      <c r="AD1338" t="inlineStr">
        <is>
          <t>Nej</t>
        </is>
      </c>
      <c r="AE1338" t="inlineStr">
        <is>
          <t>Nej</t>
        </is>
      </c>
      <c r="AF1338" t="inlineStr">
        <is>
          <t>Ej behandlad</t>
        </is>
      </c>
      <c r="AG1338" t="inlineStr">
        <is>
          <t>AUTO_GENERERAD. Verifiera citat mot kallfil.</t>
        </is>
      </c>
      <c r="AH1338" t="inlineStr">
        <is>
          <t>MEDIUM</t>
        </is>
      </c>
      <c r="AI1338" t="inlineStr">
        <is>
          <t>AUTO</t>
        </is>
      </c>
      <c r="AJ1338" t="inlineStr">
        <is>
          <t>Nej</t>
        </is>
      </c>
      <c r="AK1338" t="inlineStr"/>
      <c r="AL1338" t="inlineStr"/>
      <c r="AM1338" t="inlineStr"/>
      <c r="AN1338" t="inlineStr"/>
      <c r="AO1338" t="inlineStr">
        <is>
          <t>cmm4yuozq023zcuqwbms4qd54</t>
        </is>
      </c>
      <c r="AP1338" t="inlineStr">
        <is>
          <t>http://localhost:8787/api/admin/requirements/documents/cmm4yuozq023zcuqwbms4qd54/view</t>
        </is>
      </c>
      <c r="AQ1338">
        <f>HYPERLÄNK("http://localhost:8787/api/admin/requirements/documents/cmm4yuozq023zcuqwbms4qd54/view";"Öppna PDF")</f>
        <v/>
      </c>
      <c r="AR1338">
        <f>HYPERLINK("http://localhost:8787/api/admin/requirements/documents/cmm4yuozq023zcuqwbms4qd54/view","Open PDF")</f>
        <v/>
      </c>
      <c r="AS1338" t="inlineStr">
        <is>
          <t>cmm55w57p0004cuisfrtpqly8</t>
        </is>
      </c>
      <c r="AT1338" t="inlineStr">
        <is>
          <t>cmm4xvu980000cuh4vj0usz09</t>
        </is>
      </c>
      <c r="AU1338" t="inlineStr">
        <is>
          <t>Söderköping Miljökontoret Söderköpings</t>
        </is>
      </c>
      <c r="AV1338" t="inlineStr">
        <is>
          <t>Kommun</t>
        </is>
      </c>
      <c r="AW1338" t="inlineStr">
        <is>
          <t>Söderköping Miljökontoret Söderköpings kommun</t>
        </is>
      </c>
      <c r="AX1338" t="inlineStr">
        <is>
          <t>0121-181</t>
        </is>
      </c>
      <c r="AY1338" t="inlineStr">
        <is>
          <t>Anmalan</t>
        </is>
      </c>
      <c r="AZ1338" t="inlineStr">
        <is>
          <t>2026-02-03</t>
        </is>
      </c>
      <c r="BA1338" t="inlineStr">
        <is>
          <t>SBF-2024-170_2024-01-23_Anmälan_Bortredigerad.pdf</t>
        </is>
      </c>
      <c r="BB1338" t="inlineStr">
        <is>
          <t>SV: till registrator</t>
        </is>
      </c>
      <c r="BC1338" t="inlineStr">
        <is>
          <t>AUTO</t>
        </is>
      </c>
      <c r="BD1338" t="inlineStr"/>
      <c r="BE1338" t="inlineStr"/>
      <c r="BF1338" t="inlineStr">
        <is>
          <t>AUTO_GENERERAD. Bekrafta metadata mot kallfil.</t>
        </is>
      </c>
      <c r="BG1338">
        <f>HYPERLINK("C:\Users\jimmy\Desktop\Examens arbete\Kod\Ny mapp\remix_-copy-of-miljöbeslut.se-portal\SBF-2024-170_2024-01-23_Anmälan_Bortredigerad.pdf", "Öppna PDF")</f>
        <v/>
      </c>
    </row>
    <row r="1339">
      <c r="A1339" t="inlineStr">
        <is>
          <t>KRAV-AUTO-001338</t>
        </is>
      </c>
      <c r="B1339" t="inlineStr">
        <is>
          <t>ADMIN-INDEX-2026-02-27-00000000125C043F57453246863FE664CAFE6A3F0700950291EA24F0614FB6ACEDB12BF0E31D00000000010C0000950291EA24F0614FB6ACEDB12BF0E31D00002087AEA50000</t>
        </is>
      </c>
      <c r="C1339" t="inlineStr">
        <is>
          <t>cmm4yuoza023hcuqwb3u72dej</t>
        </is>
      </c>
      <c r="D1339" t="inlineStr">
        <is>
          <t>http://localhost:8787/api/admin/requirements/documents/cmm4yuoza023hcuqwb3u72dej/view</t>
        </is>
      </c>
      <c r="E1339">
        <f>HYPERLÄNK("http://localhost:8787/api/admin/requirements/documents/cmm4yuoza023hcuqwb3u72dej/view";"Öppna PDF")</f>
        <v/>
      </c>
      <c r="F1339">
        <f>HYPERLINK("http://localhost:8787/api/admin/requirements/documents/cmm4yuoza023hcuqwb3u72dej/view","Open PDF")</f>
        <v/>
      </c>
      <c r="G1339" t="inlineStr">
        <is>
          <t>cmm55w57p0004cuisfrtpqly8</t>
        </is>
      </c>
      <c r="H1339" t="inlineStr">
        <is>
          <t>Beslutsvillkor</t>
        </is>
      </c>
      <c r="I1339" t="inlineStr">
        <is>
          <t>MiljopaverkanForsiktighet</t>
        </is>
      </c>
      <c r="J1339" t="inlineStr">
        <is>
          <t>Skyddsatgarder</t>
        </is>
      </c>
      <c r="K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39" t="inlineStr">
        <is>
          <t>SKA</t>
        </is>
      </c>
      <c r="N1339" t="inlineStr"/>
      <c r="O1339" t="inlineStr"/>
      <c r="P1339" t="inlineStr"/>
      <c r="Q1339" t="inlineStr">
        <is>
          <t>Forbud</t>
        </is>
      </c>
      <c r="R1339" t="inlineStr">
        <is>
          <t>Alltid</t>
        </is>
      </c>
      <c r="S1339" t="inlineStr"/>
      <c r="T1339" t="inlineStr">
        <is>
          <t>15 2026</t>
        </is>
      </c>
      <c r="U1339" t="inlineStr"/>
      <c r="V1339" t="inlineStr"/>
      <c r="W1339" t="inlineStr">
        <is>
          <t>Nej</t>
        </is>
      </c>
      <c r="X1339" t="inlineStr">
        <is>
          <t>Nej</t>
        </is>
      </c>
      <c r="Y1339" t="inlineStr">
        <is>
          <t>Nej</t>
        </is>
      </c>
      <c r="Z1339" t="inlineStr">
        <is>
          <t>Nej</t>
        </is>
      </c>
      <c r="AA1339" t="n">
        <v>10</v>
      </c>
      <c r="AB1339" t="inlineStr">
        <is>
          <t>Miljopaverkan och forsiktighetsmatt</t>
        </is>
      </c>
      <c r="AC1339" t="inlineStr">
        <is>
          <t>Miljo-PM</t>
        </is>
      </c>
      <c r="AD1339" t="inlineStr">
        <is>
          <t>Nej</t>
        </is>
      </c>
      <c r="AE1339" t="inlineStr">
        <is>
          <t>Nej</t>
        </is>
      </c>
      <c r="AF1339" t="inlineStr">
        <is>
          <t>Ej behandlad</t>
        </is>
      </c>
      <c r="AG1339" t="inlineStr">
        <is>
          <t>AUTO_GENERERAD. Verifiera citat mot kallfil.</t>
        </is>
      </c>
      <c r="AH1339" t="inlineStr">
        <is>
          <t>MEDIUM</t>
        </is>
      </c>
      <c r="AI1339" t="inlineStr">
        <is>
          <t>AUTO</t>
        </is>
      </c>
      <c r="AJ1339" t="inlineStr">
        <is>
          <t>Nej</t>
        </is>
      </c>
      <c r="AK1339" t="inlineStr"/>
      <c r="AL1339" t="inlineStr"/>
      <c r="AM1339" t="inlineStr"/>
      <c r="AN1339" t="inlineStr"/>
      <c r="AO1339" t="inlineStr">
        <is>
          <t>cmm4yuoza023hcuqwb3u72dej</t>
        </is>
      </c>
      <c r="AP1339" t="inlineStr">
        <is>
          <t>http://localhost:8787/api/admin/requirements/documents/cmm4yuoza023hcuqwb3u72dej/view</t>
        </is>
      </c>
      <c r="AQ1339">
        <f>HYPERLÄNK("http://localhost:8787/api/admin/requirements/documents/cmm4yuoza023hcuqwb3u72dej/view";"Öppna PDF")</f>
        <v/>
      </c>
      <c r="AR1339">
        <f>HYPERLINK("http://localhost:8787/api/admin/requirements/documents/cmm4yuoza023hcuqwb3u72dej/view","Open PDF")</f>
        <v/>
      </c>
      <c r="AS1339" t="inlineStr">
        <is>
          <t>cmm55w57p0004cuisfrtpqly8</t>
        </is>
      </c>
      <c r="AT1339" t="inlineStr">
        <is>
          <t>cmm4xvu980000cuh4vj0usz09</t>
        </is>
      </c>
      <c r="AU1339" t="inlineStr">
        <is>
          <t>Sjöbo</t>
        </is>
      </c>
      <c r="AV1339" t="inlineStr">
        <is>
          <t>Kommun</t>
        </is>
      </c>
      <c r="AW1339" t="inlineStr">
        <is>
          <t>Sjöbo kommun</t>
        </is>
      </c>
      <c r="AX1339" t="inlineStr">
        <is>
          <t>2026-02</t>
        </is>
      </c>
      <c r="AY1339" t="inlineStr">
        <is>
          <t>Beslut</t>
        </is>
      </c>
      <c r="AZ1339" t="inlineStr">
        <is>
          <t>2026-02-03</t>
        </is>
      </c>
      <c r="BA1339" t="inlineStr">
        <is>
          <t>MILSK202515_2026-02-03.pdf</t>
        </is>
      </c>
      <c r="BB1339" t="inlineStr">
        <is>
          <t>Sv: till registrator</t>
        </is>
      </c>
      <c r="BC1339" t="inlineStr">
        <is>
          <t>AUTO</t>
        </is>
      </c>
      <c r="BD1339" t="inlineStr"/>
      <c r="BE1339" t="inlineStr"/>
      <c r="BF1339" t="inlineStr">
        <is>
          <t>AUTO_GENERERAD. Bekrafta metadata mot kallfil.</t>
        </is>
      </c>
      <c r="BG1339">
        <f>HYPERLINK("C:\Users\jimmy\Desktop\Examens arbete\Kod\Ny mapp\remix_-copy-of-miljöbeslut.se-portal\MILSK202515_2026-02-03.pdf", "Öppna PDF")</f>
        <v/>
      </c>
    </row>
    <row r="1340">
      <c r="A1340" t="inlineStr">
        <is>
          <t>KRAV-AUTO-001339</t>
        </is>
      </c>
      <c r="B1340" t="inlineStr">
        <is>
          <t>ADMIN-INDEX-2026-02-27-00000000125C043F57453246863FE664CAFE6A3F0700950291EA24F0614FB6ACEDB12BF0E31D00000000010C0000950291EA24F0614FB6ACEDB12BF0E31D00002087AEA50000</t>
        </is>
      </c>
      <c r="C1340" t="inlineStr">
        <is>
          <t>cmm4yuoza023hcuqwb3u72dej</t>
        </is>
      </c>
      <c r="D1340" t="inlineStr">
        <is>
          <t>http://localhost:8787/api/admin/requirements/documents/cmm4yuoza023hcuqwb3u72dej/view</t>
        </is>
      </c>
      <c r="E1340">
        <f>HYPERLÄNK("http://localhost:8787/api/admin/requirements/documents/cmm4yuoza023hcuqwb3u72dej/view";"Öppna PDF")</f>
        <v/>
      </c>
      <c r="F1340">
        <f>HYPERLINK("http://localhost:8787/api/admin/requirements/documents/cmm4yuoza023hcuqwb3u72dej/view","Open PDF")</f>
        <v/>
      </c>
      <c r="G1340" t="inlineStr">
        <is>
          <t>cmm55w57p0004cuisfrtpqly8</t>
        </is>
      </c>
      <c r="H1340" t="inlineStr">
        <is>
          <t>Beslutsvillkor</t>
        </is>
      </c>
      <c r="I1340" t="inlineStr">
        <is>
          <t>DriftEgenkontroll</t>
        </is>
      </c>
      <c r="J1340" t="inlineStr">
        <is>
          <t>Journalforing</t>
        </is>
      </c>
      <c r="K1340" t="inlineStr">
        <is>
          <t>Avgörande för bedömningen blir då den ursprungskontroll från avfallslämnaren som ska finnas för massorna samt den rutin för mottagningskontroll och provtagning som upprättas inom ramen för egenkontrollen.</t>
        </is>
      </c>
      <c r="L1340" t="inlineStr">
        <is>
          <t>Avgörande för bedömningen blir då den ursprungskontroll från avfallslämnaren som ska finnas för massorna samt den rutin för mottagningskontroll och provtagning som upprättas inom ramen för egenkontrollen.</t>
        </is>
      </c>
      <c r="M1340" t="inlineStr">
        <is>
          <t>SKA</t>
        </is>
      </c>
      <c r="N1340" t="inlineStr"/>
      <c r="O1340" t="inlineStr"/>
      <c r="P1340" t="inlineStr"/>
      <c r="Q1340" t="inlineStr"/>
      <c r="R1340" t="inlineStr">
        <is>
          <t>Lopande drift</t>
        </is>
      </c>
      <c r="S1340" t="inlineStr"/>
      <c r="T1340" t="inlineStr">
        <is>
          <t>15 2026</t>
        </is>
      </c>
      <c r="U1340" t="inlineStr"/>
      <c r="V1340" t="inlineStr"/>
      <c r="W1340" t="inlineStr">
        <is>
          <t>Nej</t>
        </is>
      </c>
      <c r="X1340" t="inlineStr">
        <is>
          <t>Nej</t>
        </is>
      </c>
      <c r="Y1340" t="inlineStr">
        <is>
          <t>Ja</t>
        </is>
      </c>
      <c r="Z1340" t="inlineStr">
        <is>
          <t>Nej</t>
        </is>
      </c>
      <c r="AA1340" t="n">
        <v>7</v>
      </c>
      <c r="AB1340" t="inlineStr">
        <is>
          <t>Egenkontrollrutiner</t>
        </is>
      </c>
      <c r="AC1340" t="inlineStr">
        <is>
          <t>Egenkontrollprogram</t>
        </is>
      </c>
      <c r="AD1340" t="inlineStr">
        <is>
          <t>Nej</t>
        </is>
      </c>
      <c r="AE1340" t="inlineStr">
        <is>
          <t>Nej</t>
        </is>
      </c>
      <c r="AF1340" t="inlineStr">
        <is>
          <t>Ej behandlad</t>
        </is>
      </c>
      <c r="AG1340" t="inlineStr">
        <is>
          <t>AUTO_GENERERAD. Verifiera citat mot kallfil.</t>
        </is>
      </c>
      <c r="AH1340" t="inlineStr">
        <is>
          <t>MEDIUM</t>
        </is>
      </c>
      <c r="AI1340" t="inlineStr">
        <is>
          <t>AUTO</t>
        </is>
      </c>
      <c r="AJ1340" t="inlineStr">
        <is>
          <t>Nej</t>
        </is>
      </c>
      <c r="AK1340" t="inlineStr"/>
      <c r="AL1340" t="inlineStr"/>
      <c r="AM1340" t="inlineStr"/>
      <c r="AN1340" t="inlineStr"/>
      <c r="AO1340" t="inlineStr">
        <is>
          <t>cmm4yuoza023hcuqwb3u72dej</t>
        </is>
      </c>
      <c r="AP1340" t="inlineStr">
        <is>
          <t>http://localhost:8787/api/admin/requirements/documents/cmm4yuoza023hcuqwb3u72dej/view</t>
        </is>
      </c>
      <c r="AQ1340">
        <f>HYPERLÄNK("http://localhost:8787/api/admin/requirements/documents/cmm4yuoza023hcuqwb3u72dej/view";"Öppna PDF")</f>
        <v/>
      </c>
      <c r="AR1340">
        <f>HYPERLINK("http://localhost:8787/api/admin/requirements/documents/cmm4yuoza023hcuqwb3u72dej/view","Open PDF")</f>
        <v/>
      </c>
      <c r="AS1340" t="inlineStr">
        <is>
          <t>cmm55w57p0004cuisfrtpqly8</t>
        </is>
      </c>
      <c r="AT1340" t="inlineStr">
        <is>
          <t>cmm4xvu980000cuh4vj0usz09</t>
        </is>
      </c>
      <c r="AU1340" t="inlineStr">
        <is>
          <t>Sjöbo</t>
        </is>
      </c>
      <c r="AV1340" t="inlineStr">
        <is>
          <t>Kommun</t>
        </is>
      </c>
      <c r="AW1340" t="inlineStr">
        <is>
          <t>Sjöbo kommun</t>
        </is>
      </c>
      <c r="AX1340" t="inlineStr">
        <is>
          <t>2026-02</t>
        </is>
      </c>
      <c r="AY1340" t="inlineStr">
        <is>
          <t>Beslut</t>
        </is>
      </c>
      <c r="AZ1340" t="inlineStr">
        <is>
          <t>2026-02-03</t>
        </is>
      </c>
      <c r="BA1340" t="inlineStr">
        <is>
          <t>MILSK202515_2026-02-03.pdf</t>
        </is>
      </c>
      <c r="BB1340" t="inlineStr">
        <is>
          <t>Sv: till registrator</t>
        </is>
      </c>
      <c r="BC1340" t="inlineStr">
        <is>
          <t>AUTO</t>
        </is>
      </c>
      <c r="BD1340" t="inlineStr"/>
      <c r="BE1340" t="inlineStr"/>
      <c r="BF1340" t="inlineStr">
        <is>
          <t>AUTO_GENERERAD. Bekrafta metadata mot kallfil.</t>
        </is>
      </c>
      <c r="BG1340">
        <f>HYPERLINK("C:\Users\jimmy\Desktop\Examens arbete\Kod\Ny mapp\remix_-copy-of-miljöbeslut.se-portal\MILSK202515_2026-02-03.pdf", "Öppna PDF")</f>
        <v/>
      </c>
    </row>
    <row r="1341">
      <c r="A1341" t="inlineStr">
        <is>
          <t>KRAV-AUTO-001340</t>
        </is>
      </c>
      <c r="B1341" t="inlineStr">
        <is>
          <t>ADMIN-INDEX-2026-02-27-00000000125C043F57453246863FE664CAFE6A3F0700950291EA24F0614FB6ACEDB12BF0E31D00000000010C0000950291EA24F0614FB6ACEDB12BF0E31D00002087AEA50000</t>
        </is>
      </c>
      <c r="C1341" t="inlineStr">
        <is>
          <t>cmm4yuoza023hcuqwb3u72dej</t>
        </is>
      </c>
      <c r="D1341" t="inlineStr">
        <is>
          <t>http://localhost:8787/api/admin/requirements/documents/cmm4yuoza023hcuqwb3u72dej/view</t>
        </is>
      </c>
      <c r="E1341">
        <f>HYPERLÄNK("http://localhost:8787/api/admin/requirements/documents/cmm4yuoza023hcuqwb3u72dej/view";"Öppna PDF")</f>
        <v/>
      </c>
      <c r="F1341">
        <f>HYPERLINK("http://localhost:8787/api/admin/requirements/documents/cmm4yuoza023hcuqwb3u72dej/view","Open PDF")</f>
        <v/>
      </c>
      <c r="G1341" t="inlineStr">
        <is>
          <t>cmm55w57p0004cuisfrtpqly8</t>
        </is>
      </c>
      <c r="H1341" t="inlineStr">
        <is>
          <t>Beslutsvillkor</t>
        </is>
      </c>
      <c r="I1341" t="inlineStr">
        <is>
          <t>DagvattenLakvatten</t>
        </is>
      </c>
      <c r="J1341" t="inlineStr">
        <is>
          <t>Uppsamling</t>
        </is>
      </c>
      <c r="K1341" t="inlineStr">
        <is>
          <t>Inga behov av skyddsåtgärder för att minska föroreningsrisken på platsen föreligger.</t>
        </is>
      </c>
      <c r="L1341" t="inlineStr">
        <is>
          <t>Inga behov av skyddsåtgärder för att minska föroreningsrisken på platsen föreligger.</t>
        </is>
      </c>
      <c r="M1341" t="inlineStr">
        <is>
          <t>SKA</t>
        </is>
      </c>
      <c r="N1341" t="inlineStr"/>
      <c r="O1341" t="inlineStr"/>
      <c r="P1341" t="inlineStr"/>
      <c r="Q1341" t="inlineStr"/>
      <c r="R1341" t="inlineStr">
        <is>
          <t>Vid nederbord och avrinning</t>
        </is>
      </c>
      <c r="S1341" t="inlineStr"/>
      <c r="T1341" t="inlineStr">
        <is>
          <t>15 2026</t>
        </is>
      </c>
      <c r="U1341" t="inlineStr"/>
      <c r="V1341" t="inlineStr"/>
      <c r="W1341" t="inlineStr">
        <is>
          <t>Nej</t>
        </is>
      </c>
      <c r="X1341" t="inlineStr">
        <is>
          <t>Ja</t>
        </is>
      </c>
      <c r="Y1341" t="inlineStr">
        <is>
          <t>Ja</t>
        </is>
      </c>
      <c r="Z1341" t="inlineStr">
        <is>
          <t>Nej</t>
        </is>
      </c>
      <c r="AA1341" t="n">
        <v>6</v>
      </c>
      <c r="AB1341" t="inlineStr">
        <is>
          <t>Lakvattenhantering</t>
        </is>
      </c>
      <c r="AC1341" t="inlineStr">
        <is>
          <t>Flodesschema dagvatten-lakvatten</t>
        </is>
      </c>
      <c r="AD1341" t="inlineStr">
        <is>
          <t>Nej</t>
        </is>
      </c>
      <c r="AE1341" t="inlineStr">
        <is>
          <t>Nej</t>
        </is>
      </c>
      <c r="AF1341" t="inlineStr">
        <is>
          <t>Ej behandlad</t>
        </is>
      </c>
      <c r="AG1341" t="inlineStr">
        <is>
          <t>AUTO_GENERERAD. Verifiera citat mot kallfil.</t>
        </is>
      </c>
      <c r="AH1341" t="inlineStr">
        <is>
          <t>MEDIUM</t>
        </is>
      </c>
      <c r="AI1341" t="inlineStr">
        <is>
          <t>AUTO</t>
        </is>
      </c>
      <c r="AJ1341" t="inlineStr">
        <is>
          <t>Nej</t>
        </is>
      </c>
      <c r="AK1341" t="inlineStr"/>
      <c r="AL1341" t="inlineStr"/>
      <c r="AM1341" t="inlineStr"/>
      <c r="AN1341" t="inlineStr"/>
      <c r="AO1341" t="inlineStr">
        <is>
          <t>cmm4yuoza023hcuqwb3u72dej</t>
        </is>
      </c>
      <c r="AP1341" t="inlineStr">
        <is>
          <t>http://localhost:8787/api/admin/requirements/documents/cmm4yuoza023hcuqwb3u72dej/view</t>
        </is>
      </c>
      <c r="AQ1341">
        <f>HYPERLÄNK("http://localhost:8787/api/admin/requirements/documents/cmm4yuoza023hcuqwb3u72dej/view";"Öppna PDF")</f>
        <v/>
      </c>
      <c r="AR1341">
        <f>HYPERLINK("http://localhost:8787/api/admin/requirements/documents/cmm4yuoza023hcuqwb3u72dej/view","Open PDF")</f>
        <v/>
      </c>
      <c r="AS1341" t="inlineStr">
        <is>
          <t>cmm55w57p0004cuisfrtpqly8</t>
        </is>
      </c>
      <c r="AT1341" t="inlineStr">
        <is>
          <t>cmm4xvu980000cuh4vj0usz09</t>
        </is>
      </c>
      <c r="AU1341" t="inlineStr">
        <is>
          <t>Sjöbo</t>
        </is>
      </c>
      <c r="AV1341" t="inlineStr">
        <is>
          <t>Kommun</t>
        </is>
      </c>
      <c r="AW1341" t="inlineStr">
        <is>
          <t>Sjöbo kommun</t>
        </is>
      </c>
      <c r="AX1341" t="inlineStr">
        <is>
          <t>2026-02</t>
        </is>
      </c>
      <c r="AY1341" t="inlineStr">
        <is>
          <t>Beslut</t>
        </is>
      </c>
      <c r="AZ1341" t="inlineStr">
        <is>
          <t>2026-02-03</t>
        </is>
      </c>
      <c r="BA1341" t="inlineStr">
        <is>
          <t>MILSK202515_2026-02-03.pdf</t>
        </is>
      </c>
      <c r="BB1341" t="inlineStr">
        <is>
          <t>Sv: till registrator</t>
        </is>
      </c>
      <c r="BC1341" t="inlineStr">
        <is>
          <t>AUTO</t>
        </is>
      </c>
      <c r="BD1341" t="inlineStr"/>
      <c r="BE1341" t="inlineStr"/>
      <c r="BF1341" t="inlineStr">
        <is>
          <t>AUTO_GENERERAD. Bekrafta metadata mot kallfil.</t>
        </is>
      </c>
      <c r="BG1341">
        <f>HYPERLINK("C:\Users\jimmy\Desktop\Examens arbete\Kod\Ny mapp\remix_-copy-of-miljöbeslut.se-portal\MILSK202515_2026-02-03.pdf", "Öppna PDF")</f>
        <v/>
      </c>
    </row>
    <row r="1342">
      <c r="A1342" t="inlineStr">
        <is>
          <t>KRAV-AUTO-001341</t>
        </is>
      </c>
      <c r="B1342" t="inlineStr">
        <is>
          <t>ADMIN-INDEX-2026-02-27-00000000125C043F57453246863FE664CAFE6A3F0700950291EA24F0614FB6ACEDB12BF0E31D00000000010C0000950291EA24F0614FB6ACEDB12BF0E31D00002087AEA50000</t>
        </is>
      </c>
      <c r="C1342" t="inlineStr">
        <is>
          <t>cmm4yuoz7023ecuqwts8ahjo8</t>
        </is>
      </c>
      <c r="D1342" t="inlineStr">
        <is>
          <t>http://localhost:8787/api/admin/requirements/documents/cmm4yuoz7023ecuqwts8ahjo8/view</t>
        </is>
      </c>
      <c r="E1342">
        <f>HYPERLÄNK("http://localhost:8787/api/admin/requirements/documents/cmm4yuoz7023ecuqwts8ahjo8/view";"Öppna PDF")</f>
        <v/>
      </c>
      <c r="F1342">
        <f>HYPERLINK("http://localhost:8787/api/admin/requirements/documents/cmm4yuoz7023ecuqwts8ahjo8/view","Open PDF")</f>
        <v/>
      </c>
      <c r="G1342" t="inlineStr">
        <is>
          <t>cmm55w57p0004cuisfrtpqly8</t>
        </is>
      </c>
      <c r="H1342" t="inlineStr">
        <is>
          <t>Beslutsvillkor</t>
        </is>
      </c>
      <c r="I1342" t="inlineStr">
        <is>
          <t>DagvattenLakvatten</t>
        </is>
      </c>
      <c r="J1342" t="inlineStr">
        <is>
          <t>Uppsamling</t>
        </is>
      </c>
      <c r="K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42" t="inlineStr">
        <is>
          <t>SKA</t>
        </is>
      </c>
      <c r="N1342" t="inlineStr"/>
      <c r="O1342" t="inlineStr"/>
      <c r="P1342" t="inlineStr"/>
      <c r="Q1342" t="inlineStr"/>
      <c r="R1342" t="inlineStr">
        <is>
          <t>Vid nederbord och avrinning</t>
        </is>
      </c>
      <c r="S1342" t="inlineStr"/>
      <c r="T1342" t="inlineStr">
        <is>
          <t>616701</t>
        </is>
      </c>
      <c r="U1342" t="inlineStr"/>
      <c r="V1342" t="inlineStr"/>
      <c r="W1342" t="inlineStr">
        <is>
          <t>Nej</t>
        </is>
      </c>
      <c r="X1342" t="inlineStr">
        <is>
          <t>Ja</t>
        </is>
      </c>
      <c r="Y1342" t="inlineStr">
        <is>
          <t>Ja</t>
        </is>
      </c>
      <c r="Z1342" t="inlineStr">
        <is>
          <t>Nej</t>
        </is>
      </c>
      <c r="AA1342" t="n">
        <v>6</v>
      </c>
      <c r="AB1342" t="inlineStr">
        <is>
          <t>Lakvattenhantering</t>
        </is>
      </c>
      <c r="AC1342" t="inlineStr">
        <is>
          <t>Flodesschema dagvatten-lakvatten</t>
        </is>
      </c>
      <c r="AD1342" t="inlineStr">
        <is>
          <t>Nej</t>
        </is>
      </c>
      <c r="AE1342" t="inlineStr">
        <is>
          <t>Nej</t>
        </is>
      </c>
      <c r="AF1342" t="inlineStr">
        <is>
          <t>Ej behandlad</t>
        </is>
      </c>
      <c r="AG1342" t="inlineStr">
        <is>
          <t>AUTO_GENERERAD. Verifiera citat mot kallfil.</t>
        </is>
      </c>
      <c r="AH1342" t="inlineStr">
        <is>
          <t>MEDIUM</t>
        </is>
      </c>
      <c r="AI1342" t="inlineStr">
        <is>
          <t>AUTO</t>
        </is>
      </c>
      <c r="AJ1342" t="inlineStr">
        <is>
          <t>Nej</t>
        </is>
      </c>
      <c r="AK1342" t="inlineStr"/>
      <c r="AL1342" t="inlineStr"/>
      <c r="AM1342" t="inlineStr"/>
      <c r="AN1342" t="inlineStr"/>
      <c r="AO1342" t="inlineStr">
        <is>
          <t>cmm4yuoza023hcuqwb3u72dej</t>
        </is>
      </c>
      <c r="AP1342" t="inlineStr">
        <is>
          <t>http://localhost:8787/api/admin/requirements/documents/cmm4yuoza023hcuqwb3u72dej/view</t>
        </is>
      </c>
      <c r="AQ1342">
        <f>HYPERLÄNK("http://localhost:8787/api/admin/requirements/documents/cmm4yuoza023hcuqwb3u72dej/view";"Öppna PDF")</f>
        <v/>
      </c>
      <c r="AR1342">
        <f>HYPERLINK("http://localhost:8787/api/admin/requirements/documents/cmm4yuoza023hcuqwb3u72dej/view","Open PDF")</f>
        <v/>
      </c>
      <c r="AS1342" t="inlineStr">
        <is>
          <t>cmm55w57p0004cuisfrtpqly8</t>
        </is>
      </c>
      <c r="AT1342" t="inlineStr">
        <is>
          <t>cmm4xvu980000cuh4vj0usz09</t>
        </is>
      </c>
      <c r="AU1342" t="inlineStr">
        <is>
          <t>Sjöbo</t>
        </is>
      </c>
      <c r="AV1342" t="inlineStr">
        <is>
          <t>Kommun</t>
        </is>
      </c>
      <c r="AW1342" t="inlineStr">
        <is>
          <t>Sjöbo kommun</t>
        </is>
      </c>
      <c r="AX1342" t="inlineStr">
        <is>
          <t>2026-02</t>
        </is>
      </c>
      <c r="AY1342" t="inlineStr">
        <is>
          <t>Beslut</t>
        </is>
      </c>
      <c r="AZ1342" t="inlineStr">
        <is>
          <t>2026-02-03</t>
        </is>
      </c>
      <c r="BA1342" t="inlineStr">
        <is>
          <t>MILSK202515_2026-02-03.pdf</t>
        </is>
      </c>
      <c r="BB1342" t="inlineStr">
        <is>
          <t>Sv: till registrator</t>
        </is>
      </c>
      <c r="BC1342" t="inlineStr">
        <is>
          <t>AUTO</t>
        </is>
      </c>
      <c r="BD1342" t="inlineStr"/>
      <c r="BE1342" t="inlineStr"/>
      <c r="BF1342" t="inlineStr">
        <is>
          <t>AUTO_GENERERAD. Bekrafta metadata mot kallfil.</t>
        </is>
      </c>
      <c r="BG1342">
        <f>HYPERLINK("C:\Users\jimmy\Desktop\Examens arbete\Kod\Ny mapp\remix_-copy-of-miljöbeslut.se-portal\MILSK202515_2026-02-03.pdf", "Öppna PDF")</f>
        <v/>
      </c>
    </row>
    <row r="1343">
      <c r="A1343" t="inlineStr">
        <is>
          <t>KRAV-AUTO-001342</t>
        </is>
      </c>
      <c r="B1343" t="inlineStr">
        <is>
          <t>ADMIN-INDEX-2026-02-27-00000000125C043F57453246863FE664CAFE6A3F0700950291EA24F0614FB6ACEDB12BF0E31D00000000010C0000950291EA24F0614FB6ACEDB12BF0E31D00002087AEA50000</t>
        </is>
      </c>
      <c r="C1343" t="inlineStr">
        <is>
          <t>cmm4yuoz7023ecuqwts8ahjo8</t>
        </is>
      </c>
      <c r="D1343" t="inlineStr">
        <is>
          <t>http://localhost:8787/api/admin/requirements/documents/cmm4yuoz7023ecuqwts8ahjo8/view</t>
        </is>
      </c>
      <c r="E1343">
        <f>HYPERLÄNK("http://localhost:8787/api/admin/requirements/documents/cmm4yuoz7023ecuqwts8ahjo8/view";"Öppna PDF")</f>
        <v/>
      </c>
      <c r="F1343">
        <f>HYPERLINK("http://localhost:8787/api/admin/requirements/documents/cmm4yuoz7023ecuqwts8ahjo8/view","Open PDF")</f>
        <v/>
      </c>
      <c r="G1343" t="inlineStr">
        <is>
          <t>cmm55w57p0004cuisfrtpqly8</t>
        </is>
      </c>
      <c r="H1343" t="inlineStr">
        <is>
          <t>Beslutsvillkor</t>
        </is>
      </c>
      <c r="I1343" t="inlineStr">
        <is>
          <t>MiljopaverkanForsiktighet</t>
        </is>
      </c>
      <c r="J1343" t="inlineStr">
        <is>
          <t>Skyddsatgarder</t>
        </is>
      </c>
      <c r="K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43" t="inlineStr">
        <is>
          <t>SKA</t>
        </is>
      </c>
      <c r="N1343" t="inlineStr"/>
      <c r="O1343" t="inlineStr">
        <is>
          <t>2025-04-24</t>
        </is>
      </c>
      <c r="P1343" t="inlineStr"/>
      <c r="Q1343" t="inlineStr">
        <is>
          <t>Forbud</t>
        </is>
      </c>
      <c r="R1343" t="inlineStr">
        <is>
          <t>Alltid</t>
        </is>
      </c>
      <c r="S1343" t="inlineStr"/>
      <c r="T1343" t="inlineStr">
        <is>
          <t>618643</t>
        </is>
      </c>
      <c r="U1343" t="inlineStr"/>
      <c r="V1343" t="inlineStr"/>
      <c r="W1343" t="inlineStr">
        <is>
          <t>Nej</t>
        </is>
      </c>
      <c r="X1343" t="inlineStr">
        <is>
          <t>Nej</t>
        </is>
      </c>
      <c r="Y1343" t="inlineStr">
        <is>
          <t>Nej</t>
        </is>
      </c>
      <c r="Z1343" t="inlineStr">
        <is>
          <t>Nej</t>
        </is>
      </c>
      <c r="AA1343" t="n">
        <v>10</v>
      </c>
      <c r="AB1343" t="inlineStr">
        <is>
          <t>Miljopaverkan och forsiktighetsmatt</t>
        </is>
      </c>
      <c r="AC1343" t="inlineStr">
        <is>
          <t>Miljo-PM</t>
        </is>
      </c>
      <c r="AD1343" t="inlineStr">
        <is>
          <t>Nej</t>
        </is>
      </c>
      <c r="AE1343" t="inlineStr">
        <is>
          <t>Nej</t>
        </is>
      </c>
      <c r="AF1343" t="inlineStr">
        <is>
          <t>Ej behandlad</t>
        </is>
      </c>
      <c r="AG1343" t="inlineStr">
        <is>
          <t>AUTO_GENERERAD. Verifiera citat mot kallfil.</t>
        </is>
      </c>
      <c r="AH1343" t="inlineStr">
        <is>
          <t>MEDIUM</t>
        </is>
      </c>
      <c r="AI1343" t="inlineStr">
        <is>
          <t>AUTO</t>
        </is>
      </c>
      <c r="AJ1343" t="inlineStr">
        <is>
          <t>Nej</t>
        </is>
      </c>
      <c r="AK1343" t="inlineStr"/>
      <c r="AL1343" t="inlineStr"/>
      <c r="AM1343" t="inlineStr"/>
      <c r="AN1343" t="inlineStr"/>
      <c r="AO1343" t="inlineStr">
        <is>
          <t>cmm4yuoza023hcuqwb3u72dej</t>
        </is>
      </c>
      <c r="AP1343" t="inlineStr">
        <is>
          <t>http://localhost:8787/api/admin/requirements/documents/cmm4yuoza023hcuqwb3u72dej/view</t>
        </is>
      </c>
      <c r="AQ1343">
        <f>HYPERLÄNK("http://localhost:8787/api/admin/requirements/documents/cmm4yuoza023hcuqwb3u72dej/view";"Öppna PDF")</f>
        <v/>
      </c>
      <c r="AR1343">
        <f>HYPERLINK("http://localhost:8787/api/admin/requirements/documents/cmm4yuoza023hcuqwb3u72dej/view","Open PDF")</f>
        <v/>
      </c>
      <c r="AS1343" t="inlineStr">
        <is>
          <t>cmm55w57p0004cuisfrtpqly8</t>
        </is>
      </c>
      <c r="AT1343" t="inlineStr">
        <is>
          <t>cmm4xvu980000cuh4vj0usz09</t>
        </is>
      </c>
      <c r="AU1343" t="inlineStr">
        <is>
          <t>Sjöbo</t>
        </is>
      </c>
      <c r="AV1343" t="inlineStr">
        <is>
          <t>Kommun</t>
        </is>
      </c>
      <c r="AW1343" t="inlineStr">
        <is>
          <t>Sjöbo kommun</t>
        </is>
      </c>
      <c r="AX1343" t="inlineStr">
        <is>
          <t>2026-02</t>
        </is>
      </c>
      <c r="AY1343" t="inlineStr">
        <is>
          <t>Beslut</t>
        </is>
      </c>
      <c r="AZ1343" t="inlineStr">
        <is>
          <t>2026-02-03</t>
        </is>
      </c>
      <c r="BA1343" t="inlineStr">
        <is>
          <t>MILSK202515_2026-02-03.pdf</t>
        </is>
      </c>
      <c r="BB1343" t="inlineStr">
        <is>
          <t>Sv: till registrator</t>
        </is>
      </c>
      <c r="BC1343" t="inlineStr">
        <is>
          <t>AUTO</t>
        </is>
      </c>
      <c r="BD1343" t="inlineStr"/>
      <c r="BE1343" t="inlineStr"/>
      <c r="BF1343" t="inlineStr">
        <is>
          <t>AUTO_GENERERAD. Bekrafta metadata mot kallfil.</t>
        </is>
      </c>
      <c r="BG1343">
        <f>HYPERLINK("C:\Users\jimmy\Desktop\Examens arbete\Kod\Ny mapp\remix_-copy-of-miljöbeslut.se-portal\MILSK202515_2026-02-03.pdf", "Öppna PDF")</f>
        <v/>
      </c>
    </row>
    <row r="1344">
      <c r="A1344" t="inlineStr">
        <is>
          <t>KRAV-AUTO-001343</t>
        </is>
      </c>
      <c r="B1344" t="inlineStr">
        <is>
          <t>ADMIN-INDEX-2026-02-27-00000000125C043F57453246863FE664CAFE6A3F0700950291EA24F0614FB6ACEDB12BF0E31D00000000010C0000950291EA24F0614FB6ACEDB12BF0E31D00002087AEA50000</t>
        </is>
      </c>
      <c r="C1344" t="inlineStr">
        <is>
          <t>cmm4yuoz7023ecuqwts8ahjo8</t>
        </is>
      </c>
      <c r="D1344" t="inlineStr">
        <is>
          <t>http://localhost:8787/api/admin/requirements/documents/cmm4yuoz7023ecuqwts8ahjo8/view</t>
        </is>
      </c>
      <c r="E1344">
        <f>HYPERLÄNK("http://localhost:8787/api/admin/requirements/documents/cmm4yuoz7023ecuqwts8ahjo8/view";"Öppna PDF")</f>
        <v/>
      </c>
      <c r="F1344">
        <f>HYPERLINK("http://localhost:8787/api/admin/requirements/documents/cmm4yuoz7023ecuqwts8ahjo8/view","Open PDF")</f>
        <v/>
      </c>
      <c r="G1344" t="inlineStr">
        <is>
          <t>cmm55w57p0004cuisfrtpqly8</t>
        </is>
      </c>
      <c r="H1344" t="inlineStr">
        <is>
          <t>Beslutsvillkor</t>
        </is>
      </c>
      <c r="I1344" t="inlineStr">
        <is>
          <t>DriftEgenkontroll</t>
        </is>
      </c>
      <c r="J1344" t="inlineStr">
        <is>
          <t>Journalforing</t>
        </is>
      </c>
      <c r="K1344" t="inlineStr">
        <is>
          <t>I tillägg till detta ska betong alltid vara provtaget med avseende på krom VI.</t>
        </is>
      </c>
      <c r="L1344" t="inlineStr">
        <is>
          <t>I tillägg till detta ska betong alltid vara provtaget med avseende på krom VI.</t>
        </is>
      </c>
      <c r="M1344" t="inlineStr">
        <is>
          <t>SKA</t>
        </is>
      </c>
      <c r="N1344" t="inlineStr"/>
      <c r="O1344" t="inlineStr"/>
      <c r="P1344" t="inlineStr"/>
      <c r="Q1344" t="inlineStr"/>
      <c r="R1344" t="inlineStr">
        <is>
          <t>Lopande drift</t>
        </is>
      </c>
      <c r="S1344" t="inlineStr"/>
      <c r="T1344" t="inlineStr">
        <is>
          <t>616701</t>
        </is>
      </c>
      <c r="U1344" t="inlineStr"/>
      <c r="V1344" t="inlineStr"/>
      <c r="W1344" t="inlineStr">
        <is>
          <t>Nej</t>
        </is>
      </c>
      <c r="X1344" t="inlineStr">
        <is>
          <t>Nej</t>
        </is>
      </c>
      <c r="Y1344" t="inlineStr">
        <is>
          <t>Ja</t>
        </is>
      </c>
      <c r="Z1344" t="inlineStr">
        <is>
          <t>Nej</t>
        </is>
      </c>
      <c r="AA1344" t="n">
        <v>7</v>
      </c>
      <c r="AB1344" t="inlineStr">
        <is>
          <t>Egenkontrollrutiner</t>
        </is>
      </c>
      <c r="AC1344" t="inlineStr">
        <is>
          <t>Egenkontrollprogram</t>
        </is>
      </c>
      <c r="AD1344" t="inlineStr">
        <is>
          <t>Nej</t>
        </is>
      </c>
      <c r="AE1344" t="inlineStr">
        <is>
          <t>Nej</t>
        </is>
      </c>
      <c r="AF1344" t="inlineStr">
        <is>
          <t>Ej behandlad</t>
        </is>
      </c>
      <c r="AG1344" t="inlineStr">
        <is>
          <t>AUTO_GENERERAD. Verifiera citat mot kallfil.</t>
        </is>
      </c>
      <c r="AH1344" t="inlineStr">
        <is>
          <t>MEDIUM</t>
        </is>
      </c>
      <c r="AI1344" t="inlineStr">
        <is>
          <t>AUTO</t>
        </is>
      </c>
      <c r="AJ1344" t="inlineStr">
        <is>
          <t>Nej</t>
        </is>
      </c>
      <c r="AK1344" t="inlineStr"/>
      <c r="AL1344" t="inlineStr"/>
      <c r="AM1344" t="inlineStr"/>
      <c r="AN1344" t="inlineStr"/>
      <c r="AO1344" t="inlineStr">
        <is>
          <t>cmm4yuoza023hcuqwb3u72dej</t>
        </is>
      </c>
      <c r="AP1344" t="inlineStr">
        <is>
          <t>http://localhost:8787/api/admin/requirements/documents/cmm4yuoza023hcuqwb3u72dej/view</t>
        </is>
      </c>
      <c r="AQ1344">
        <f>HYPERLÄNK("http://localhost:8787/api/admin/requirements/documents/cmm4yuoza023hcuqwb3u72dej/view";"Öppna PDF")</f>
        <v/>
      </c>
      <c r="AR1344">
        <f>HYPERLINK("http://localhost:8787/api/admin/requirements/documents/cmm4yuoza023hcuqwb3u72dej/view","Open PDF")</f>
        <v/>
      </c>
      <c r="AS1344" t="inlineStr">
        <is>
          <t>cmm55w57p0004cuisfrtpqly8</t>
        </is>
      </c>
      <c r="AT1344" t="inlineStr">
        <is>
          <t>cmm4xvu980000cuh4vj0usz09</t>
        </is>
      </c>
      <c r="AU1344" t="inlineStr">
        <is>
          <t>Sjöbo</t>
        </is>
      </c>
      <c r="AV1344" t="inlineStr">
        <is>
          <t>Kommun</t>
        </is>
      </c>
      <c r="AW1344" t="inlineStr">
        <is>
          <t>Sjöbo kommun</t>
        </is>
      </c>
      <c r="AX1344" t="inlineStr">
        <is>
          <t>2026-02</t>
        </is>
      </c>
      <c r="AY1344" t="inlineStr">
        <is>
          <t>Beslut</t>
        </is>
      </c>
      <c r="AZ1344" t="inlineStr">
        <is>
          <t>2026-02-03</t>
        </is>
      </c>
      <c r="BA1344" t="inlineStr">
        <is>
          <t>MILSK202515_2026-02-03.pdf</t>
        </is>
      </c>
      <c r="BB1344" t="inlineStr">
        <is>
          <t>Sv: till registrator</t>
        </is>
      </c>
      <c r="BC1344" t="inlineStr">
        <is>
          <t>AUTO</t>
        </is>
      </c>
      <c r="BD1344" t="inlineStr"/>
      <c r="BE1344" t="inlineStr"/>
      <c r="BF1344" t="inlineStr">
        <is>
          <t>AUTO_GENERERAD. Bekrafta metadata mot kallfil.</t>
        </is>
      </c>
      <c r="BG1344">
        <f>HYPERLINK("C:\Users\jimmy\Desktop\Examens arbete\Kod\Ny mapp\remix_-copy-of-miljöbeslut.se-portal\MILSK202515_2026-02-03.pdf", "Öppna PDF")</f>
        <v/>
      </c>
    </row>
    <row r="1345">
      <c r="A1345" t="inlineStr">
        <is>
          <t>KRAV-AUTO-001344</t>
        </is>
      </c>
      <c r="B1345" t="inlineStr">
        <is>
          <t>ADMIN-INDEX-2026-02-27-00000000125C043F57453246863FE664CAFE6A3F0700950291EA24F0614FB6ACEDB12BF0E31D00000000010C0000950291EA24F0614FB6ACEDB12BF0E31D00002087AEA50000</t>
        </is>
      </c>
      <c r="C1345" t="inlineStr">
        <is>
          <t>cmm4yuoz5023bcuqwrwyuuhmu</t>
        </is>
      </c>
      <c r="D1345" t="inlineStr">
        <is>
          <t>http://localhost:8787/api/admin/requirements/documents/cmm4yuoz5023bcuqwrwyuuhmu/view</t>
        </is>
      </c>
      <c r="E1345">
        <f>HYPERLÄNK("http://localhost:8787/api/admin/requirements/documents/cmm4yuoz5023bcuqwrwyuuhmu/view";"Öppna PDF")</f>
        <v/>
      </c>
      <c r="F1345">
        <f>HYPERLINK("http://localhost:8787/api/admin/requirements/documents/cmm4yuoz5023bcuqwrwyuuhmu/view","Open PDF")</f>
        <v/>
      </c>
      <c r="G1345" t="inlineStr">
        <is>
          <t>cmm55w57p0004cuisfrtpqly8</t>
        </is>
      </c>
      <c r="H1345" t="inlineStr">
        <is>
          <t>Beslutsvillkor</t>
        </is>
      </c>
      <c r="I1345" t="inlineStr">
        <is>
          <t>DagvattenLakvatten</t>
        </is>
      </c>
      <c r="J1345" t="inlineStr">
        <is>
          <t>Uppsamling</t>
        </is>
      </c>
      <c r="K1345" t="inlineStr">
        <is>
          <t>- Risken att vattenbrunnar och vattendrag skall påverkas är ringa då lagringsytan är utrustad med hårdgjord och tät yta, samt lakvattenhantering.</t>
        </is>
      </c>
      <c r="L1345" t="inlineStr">
        <is>
          <t>- Risken att vattenbrunnar och vattendrag skall påverkas är ringa då lagringsytan är utrustad med hårdgjord och tät yta, samt lakvattenhantering.</t>
        </is>
      </c>
      <c r="M1345" t="inlineStr">
        <is>
          <t>SKA</t>
        </is>
      </c>
      <c r="N1345" t="inlineStr"/>
      <c r="O1345" t="inlineStr"/>
      <c r="P1345" t="inlineStr"/>
      <c r="Q1345" t="inlineStr"/>
      <c r="R1345" t="inlineStr">
        <is>
          <t>Vid nederbord och avrinning</t>
        </is>
      </c>
      <c r="S1345" t="inlineStr"/>
      <c r="T1345" t="inlineStr">
        <is>
          <t>637349</t>
        </is>
      </c>
      <c r="U1345" t="inlineStr"/>
      <c r="V1345" t="inlineStr"/>
      <c r="W1345" t="inlineStr">
        <is>
          <t>Nej</t>
        </is>
      </c>
      <c r="X1345" t="inlineStr">
        <is>
          <t>Ja</t>
        </is>
      </c>
      <c r="Y1345" t="inlineStr">
        <is>
          <t>Ja</t>
        </is>
      </c>
      <c r="Z1345" t="inlineStr">
        <is>
          <t>Nej</t>
        </is>
      </c>
      <c r="AA1345" t="n">
        <v>6</v>
      </c>
      <c r="AB1345" t="inlineStr">
        <is>
          <t>Lakvattenhantering</t>
        </is>
      </c>
      <c r="AC1345" t="inlineStr">
        <is>
          <t>Flodesschema dagvatten-lakvatten</t>
        </is>
      </c>
      <c r="AD1345" t="inlineStr">
        <is>
          <t>Nej</t>
        </is>
      </c>
      <c r="AE1345" t="inlineStr">
        <is>
          <t>Nej</t>
        </is>
      </c>
      <c r="AF1345" t="inlineStr">
        <is>
          <t>Ej behandlad</t>
        </is>
      </c>
      <c r="AG1345" t="inlineStr">
        <is>
          <t>AUTO_GENERERAD. Verifiera citat mot kallfil.</t>
        </is>
      </c>
      <c r="AH1345" t="inlineStr">
        <is>
          <t>MEDIUM</t>
        </is>
      </c>
      <c r="AI1345" t="inlineStr">
        <is>
          <t>AUTO</t>
        </is>
      </c>
      <c r="AJ1345" t="inlineStr">
        <is>
          <t>Nej</t>
        </is>
      </c>
      <c r="AK1345" t="inlineStr"/>
      <c r="AL1345" t="inlineStr"/>
      <c r="AM1345" t="inlineStr"/>
      <c r="AN1345" t="inlineStr"/>
      <c r="AO1345" t="inlineStr">
        <is>
          <t>cmm4yuoza023hcuqwb3u72dej</t>
        </is>
      </c>
      <c r="AP1345" t="inlineStr">
        <is>
          <t>http://localhost:8787/api/admin/requirements/documents/cmm4yuoza023hcuqwb3u72dej/view</t>
        </is>
      </c>
      <c r="AQ1345">
        <f>HYPERLÄNK("http://localhost:8787/api/admin/requirements/documents/cmm4yuoza023hcuqwb3u72dej/view";"Öppna PDF")</f>
        <v/>
      </c>
      <c r="AR1345">
        <f>HYPERLINK("http://localhost:8787/api/admin/requirements/documents/cmm4yuoza023hcuqwb3u72dej/view","Open PDF")</f>
        <v/>
      </c>
      <c r="AS1345" t="inlineStr">
        <is>
          <t>cmm55w57p0004cuisfrtpqly8</t>
        </is>
      </c>
      <c r="AT1345" t="inlineStr">
        <is>
          <t>cmm4xvu980000cuh4vj0usz09</t>
        </is>
      </c>
      <c r="AU1345" t="inlineStr">
        <is>
          <t>Sjöbo</t>
        </is>
      </c>
      <c r="AV1345" t="inlineStr">
        <is>
          <t>Kommun</t>
        </is>
      </c>
      <c r="AW1345" t="inlineStr">
        <is>
          <t>Sjöbo kommun</t>
        </is>
      </c>
      <c r="AX1345" t="inlineStr">
        <is>
          <t>2026-02</t>
        </is>
      </c>
      <c r="AY1345" t="inlineStr">
        <is>
          <t>Beslut</t>
        </is>
      </c>
      <c r="AZ1345" t="inlineStr">
        <is>
          <t>2026-02-03</t>
        </is>
      </c>
      <c r="BA1345" t="inlineStr">
        <is>
          <t>MILSK202515_2026-02-03.pdf</t>
        </is>
      </c>
      <c r="BB1345" t="inlineStr">
        <is>
          <t>Sv: till registrator</t>
        </is>
      </c>
      <c r="BC1345" t="inlineStr">
        <is>
          <t>AUTO</t>
        </is>
      </c>
      <c r="BD1345" t="inlineStr"/>
      <c r="BE1345" t="inlineStr"/>
      <c r="BF1345" t="inlineStr">
        <is>
          <t>AUTO_GENERERAD. Bekrafta metadata mot kallfil.</t>
        </is>
      </c>
      <c r="BG1345">
        <f>HYPERLINK("C:\Users\jimmy\Desktop\Examens arbete\Kod\Ny mapp\remix_-copy-of-miljöbeslut.se-portal\MILSK202515_2026-02-03.pdf", "Öppna PDF")</f>
        <v/>
      </c>
    </row>
    <row r="1346">
      <c r="A1346" t="inlineStr">
        <is>
          <t>KRAV-AUTO-001345</t>
        </is>
      </c>
      <c r="B1346" t="inlineStr">
        <is>
          <t>ADMIN-INDEX-2026-02-27-00000000125C043F57453246863FE664CAFE6A3F0700950291EA24F0614FB6ACEDB12BF0E31D00000000010C0000950291EA24F0614FB6ACEDB12BF0E31D00002087AEA50000</t>
        </is>
      </c>
      <c r="C1346" t="inlineStr">
        <is>
          <t>cmm4yuoz5023bcuqwrwyuuhmu</t>
        </is>
      </c>
      <c r="D1346" t="inlineStr">
        <is>
          <t>http://localhost:8787/api/admin/requirements/documents/cmm4yuoz5023bcuqwrwyuuhmu/view</t>
        </is>
      </c>
      <c r="E1346">
        <f>HYPERLÄNK("http://localhost:8787/api/admin/requirements/documents/cmm4yuoz5023bcuqwrwyuuhmu/view";"Öppna PDF")</f>
        <v/>
      </c>
      <c r="F1346">
        <f>HYPERLINK("http://localhost:8787/api/admin/requirements/documents/cmm4yuoz5023bcuqwrwyuuhmu/view","Open PDF")</f>
        <v/>
      </c>
      <c r="G1346" t="inlineStr">
        <is>
          <t>cmm55w57p0004cuisfrtpqly8</t>
        </is>
      </c>
      <c r="H1346" t="inlineStr">
        <is>
          <t>Beslutsvillkor</t>
        </is>
      </c>
      <c r="I1346" t="inlineStr">
        <is>
          <t>DagvattenLakvatten</t>
        </is>
      </c>
      <c r="J1346" t="inlineStr">
        <is>
          <t>Uppsamling</t>
        </is>
      </c>
      <c r="K1346" t="inlineStr">
        <is>
          <t>Slammet ska lagras på hårdgjorda, täta ytor med uppsamling av lakvatten vilket minskar risken för förorening av grundvatten och vattendrag.</t>
        </is>
      </c>
      <c r="L1346" t="inlineStr">
        <is>
          <t>Slammet ska lagras på hårdgjorda, täta ytor med uppsamling av lakvatten vilket minskar risken för förorening av grundvatten och vattendrag.</t>
        </is>
      </c>
      <c r="M1346" t="inlineStr">
        <is>
          <t>SKA</t>
        </is>
      </c>
      <c r="N1346" t="inlineStr"/>
      <c r="O1346" t="inlineStr"/>
      <c r="P1346" t="inlineStr"/>
      <c r="Q1346" t="inlineStr"/>
      <c r="R1346" t="inlineStr">
        <is>
          <t>Vid nederbord och avrinning</t>
        </is>
      </c>
      <c r="S1346" t="inlineStr"/>
      <c r="T1346" t="inlineStr">
        <is>
          <t>637349</t>
        </is>
      </c>
      <c r="U1346" t="inlineStr"/>
      <c r="V1346" t="inlineStr"/>
      <c r="W1346" t="inlineStr">
        <is>
          <t>Nej</t>
        </is>
      </c>
      <c r="X1346" t="inlineStr">
        <is>
          <t>Ja</t>
        </is>
      </c>
      <c r="Y1346" t="inlineStr">
        <is>
          <t>Ja</t>
        </is>
      </c>
      <c r="Z1346" t="inlineStr">
        <is>
          <t>Nej</t>
        </is>
      </c>
      <c r="AA1346" t="n">
        <v>6</v>
      </c>
      <c r="AB1346" t="inlineStr">
        <is>
          <t>Lakvattenhantering</t>
        </is>
      </c>
      <c r="AC1346" t="inlineStr">
        <is>
          <t>Flodesschema dagvatten-lakvatten</t>
        </is>
      </c>
      <c r="AD1346" t="inlineStr">
        <is>
          <t>Nej</t>
        </is>
      </c>
      <c r="AE1346" t="inlineStr">
        <is>
          <t>Nej</t>
        </is>
      </c>
      <c r="AF1346" t="inlineStr">
        <is>
          <t>Ej behandlad</t>
        </is>
      </c>
      <c r="AG1346" t="inlineStr">
        <is>
          <t>AUTO_GENERERAD. Verifiera citat mot kallfil.</t>
        </is>
      </c>
      <c r="AH1346" t="inlineStr">
        <is>
          <t>MEDIUM</t>
        </is>
      </c>
      <c r="AI1346" t="inlineStr">
        <is>
          <t>AUTO</t>
        </is>
      </c>
      <c r="AJ1346" t="inlineStr">
        <is>
          <t>Nej</t>
        </is>
      </c>
      <c r="AK1346" t="inlineStr"/>
      <c r="AL1346" t="inlineStr"/>
      <c r="AM1346" t="inlineStr"/>
      <c r="AN1346" t="inlineStr"/>
      <c r="AO1346" t="inlineStr">
        <is>
          <t>cmm4yuoza023hcuqwb3u72dej</t>
        </is>
      </c>
      <c r="AP1346" t="inlineStr">
        <is>
          <t>http://localhost:8787/api/admin/requirements/documents/cmm4yuoza023hcuqwb3u72dej/view</t>
        </is>
      </c>
      <c r="AQ1346">
        <f>HYPERLÄNK("http://localhost:8787/api/admin/requirements/documents/cmm4yuoza023hcuqwb3u72dej/view";"Öppna PDF")</f>
        <v/>
      </c>
      <c r="AR1346">
        <f>HYPERLINK("http://localhost:8787/api/admin/requirements/documents/cmm4yuoza023hcuqwb3u72dej/view","Open PDF")</f>
        <v/>
      </c>
      <c r="AS1346" t="inlineStr">
        <is>
          <t>cmm55w57p0004cuisfrtpqly8</t>
        </is>
      </c>
      <c r="AT1346" t="inlineStr">
        <is>
          <t>cmm4xvu980000cuh4vj0usz09</t>
        </is>
      </c>
      <c r="AU1346" t="inlineStr">
        <is>
          <t>Sjöbo</t>
        </is>
      </c>
      <c r="AV1346" t="inlineStr">
        <is>
          <t>Kommun</t>
        </is>
      </c>
      <c r="AW1346" t="inlineStr">
        <is>
          <t>Sjöbo kommun</t>
        </is>
      </c>
      <c r="AX1346" t="inlineStr">
        <is>
          <t>2026-02</t>
        </is>
      </c>
      <c r="AY1346" t="inlineStr">
        <is>
          <t>Beslut</t>
        </is>
      </c>
      <c r="AZ1346" t="inlineStr">
        <is>
          <t>2026-02-03</t>
        </is>
      </c>
      <c r="BA1346" t="inlineStr">
        <is>
          <t>MILSK202515_2026-02-03.pdf</t>
        </is>
      </c>
      <c r="BB1346" t="inlineStr">
        <is>
          <t>Sv: till registrator</t>
        </is>
      </c>
      <c r="BC1346" t="inlineStr">
        <is>
          <t>AUTO</t>
        </is>
      </c>
      <c r="BD1346" t="inlineStr"/>
      <c r="BE1346" t="inlineStr"/>
      <c r="BF1346" t="inlineStr">
        <is>
          <t>AUTO_GENERERAD. Bekrafta metadata mot kallfil.</t>
        </is>
      </c>
      <c r="BG1346">
        <f>HYPERLINK("C:\Users\jimmy\Desktop\Examens arbete\Kod\Ny mapp\remix_-copy-of-miljöbeslut.se-portal\MILSK202515_2026-02-03.pdf", "Öppna PDF")</f>
        <v/>
      </c>
    </row>
    <row r="1347">
      <c r="A1347" t="inlineStr">
        <is>
          <t>KRAV-AUTO-001346</t>
        </is>
      </c>
      <c r="B1347" t="inlineStr">
        <is>
          <t>ADMIN-INDEX-2026-02-27-00000000125C043F57453246863FE664CAFE6A3F0700950291EA24F0614FB6ACEDB12BF0E31D00000000010C0000950291EA24F0614FB6ACEDB12BF0E31D00002087AEA50000</t>
        </is>
      </c>
      <c r="C1347" t="inlineStr">
        <is>
          <t>cmm4yuoz5023bcuqwrwyuuhmu</t>
        </is>
      </c>
      <c r="D1347" t="inlineStr">
        <is>
          <t>http://localhost:8787/api/admin/requirements/documents/cmm4yuoz5023bcuqwrwyuuhmu/view</t>
        </is>
      </c>
      <c r="E1347">
        <f>HYPERLÄNK("http://localhost:8787/api/admin/requirements/documents/cmm4yuoz5023bcuqwrwyuuhmu/view";"Öppna PDF")</f>
        <v/>
      </c>
      <c r="F1347">
        <f>HYPERLINK("http://localhost:8787/api/admin/requirements/documents/cmm4yuoz5023bcuqwrwyuuhmu/view","Open PDF")</f>
        <v/>
      </c>
      <c r="G1347" t="inlineStr">
        <is>
          <t>cmm55w57p0004cuisfrtpqly8</t>
        </is>
      </c>
      <c r="H1347" t="inlineStr">
        <is>
          <t>Beslutsvillkor</t>
        </is>
      </c>
      <c r="I1347" t="inlineStr">
        <is>
          <t>Ytkonstruktion</t>
        </is>
      </c>
      <c r="J1347" t="inlineStr">
        <is>
          <t>Tat yta</t>
        </is>
      </c>
      <c r="K1347" t="inlineStr">
        <is>
          <t>Lagringsytan består av en plansilo på ca 750 m2, en gödselplatta på ca 400 m2 och en betongbrunn med lagringskapacitet på ca 1680 m3.</t>
        </is>
      </c>
      <c r="L1347" t="inlineStr">
        <is>
          <t>Lagringsytan består av en plansilo på ca 750 m2, en gödselplatta på ca 400 m2 och en betongbrunn med lagringskapacitet på ca 1680 m3.</t>
        </is>
      </c>
      <c r="M1347" t="inlineStr">
        <is>
          <t>SKA</t>
        </is>
      </c>
      <c r="N1347" t="inlineStr"/>
      <c r="O1347" t="inlineStr"/>
      <c r="P1347" t="inlineStr"/>
      <c r="Q1347" t="inlineStr"/>
      <c r="R1347" t="inlineStr">
        <is>
          <t>Vid mellanlagring av avfall</t>
        </is>
      </c>
      <c r="S1347" t="inlineStr"/>
      <c r="T1347" t="inlineStr">
        <is>
          <t>637349</t>
        </is>
      </c>
      <c r="U1347" t="inlineStr"/>
      <c r="V1347" t="inlineStr"/>
      <c r="W1347" t="inlineStr">
        <is>
          <t>Ja</t>
        </is>
      </c>
      <c r="X1347" t="inlineStr">
        <is>
          <t>Nej</t>
        </is>
      </c>
      <c r="Y1347" t="inlineStr">
        <is>
          <t>Nej</t>
        </is>
      </c>
      <c r="Z1347" t="inlineStr">
        <is>
          <t>Nej</t>
        </is>
      </c>
      <c r="AA1347" t="n">
        <v>5</v>
      </c>
      <c r="AB1347" t="inlineStr">
        <is>
          <t>Teknisk beskrivning av platta</t>
        </is>
      </c>
      <c r="AC1347" t="inlineStr">
        <is>
          <t>Teknisk ritning platta</t>
        </is>
      </c>
      <c r="AD1347" t="inlineStr">
        <is>
          <t>Nej</t>
        </is>
      </c>
      <c r="AE1347" t="inlineStr">
        <is>
          <t>Nej</t>
        </is>
      </c>
      <c r="AF1347" t="inlineStr">
        <is>
          <t>Ej behandlad</t>
        </is>
      </c>
      <c r="AG1347" t="inlineStr">
        <is>
          <t>AUTO_GENERERAD. Verifiera citat mot kallfil.</t>
        </is>
      </c>
      <c r="AH1347" t="inlineStr">
        <is>
          <t>MEDIUM</t>
        </is>
      </c>
      <c r="AI1347" t="inlineStr">
        <is>
          <t>AUTO</t>
        </is>
      </c>
      <c r="AJ1347" t="inlineStr">
        <is>
          <t>Nej</t>
        </is>
      </c>
      <c r="AK1347" t="inlineStr"/>
      <c r="AL1347" t="inlineStr"/>
      <c r="AM1347" t="inlineStr"/>
      <c r="AN1347" t="inlineStr"/>
      <c r="AO1347" t="inlineStr">
        <is>
          <t>cmm4yuoza023hcuqwb3u72dej</t>
        </is>
      </c>
      <c r="AP1347" t="inlineStr">
        <is>
          <t>http://localhost:8787/api/admin/requirements/documents/cmm4yuoza023hcuqwb3u72dej/view</t>
        </is>
      </c>
      <c r="AQ1347">
        <f>HYPERLÄNK("http://localhost:8787/api/admin/requirements/documents/cmm4yuoza023hcuqwb3u72dej/view";"Öppna PDF")</f>
        <v/>
      </c>
      <c r="AR1347">
        <f>HYPERLINK("http://localhost:8787/api/admin/requirements/documents/cmm4yuoza023hcuqwb3u72dej/view","Open PDF")</f>
        <v/>
      </c>
      <c r="AS1347" t="inlineStr">
        <is>
          <t>cmm55w57p0004cuisfrtpqly8</t>
        </is>
      </c>
      <c r="AT1347" t="inlineStr">
        <is>
          <t>cmm4xvu980000cuh4vj0usz09</t>
        </is>
      </c>
      <c r="AU1347" t="inlineStr">
        <is>
          <t>Sjöbo</t>
        </is>
      </c>
      <c r="AV1347" t="inlineStr">
        <is>
          <t>Kommun</t>
        </is>
      </c>
      <c r="AW1347" t="inlineStr">
        <is>
          <t>Sjöbo kommun</t>
        </is>
      </c>
      <c r="AX1347" t="inlineStr">
        <is>
          <t>2026-02</t>
        </is>
      </c>
      <c r="AY1347" t="inlineStr">
        <is>
          <t>Beslut</t>
        </is>
      </c>
      <c r="AZ1347" t="inlineStr">
        <is>
          <t>2026-02-03</t>
        </is>
      </c>
      <c r="BA1347" t="inlineStr">
        <is>
          <t>MILSK202515_2026-02-03.pdf</t>
        </is>
      </c>
      <c r="BB1347" t="inlineStr">
        <is>
          <t>Sv: till registrator</t>
        </is>
      </c>
      <c r="BC1347" t="inlineStr">
        <is>
          <t>AUTO</t>
        </is>
      </c>
      <c r="BD1347" t="inlineStr"/>
      <c r="BE1347" t="inlineStr"/>
      <c r="BF1347" t="inlineStr">
        <is>
          <t>AUTO_GENERERAD. Bekrafta metadata mot kallfil.</t>
        </is>
      </c>
      <c r="BG1347">
        <f>HYPERLINK("C:\Users\jimmy\Desktop\Examens arbete\Kod\Ny mapp\remix_-copy-of-miljöbeslut.se-portal\MILSK202515_2026-02-03.pdf", "Öppna PDF")</f>
        <v/>
      </c>
    </row>
    <row r="1348">
      <c r="A1348" t="inlineStr">
        <is>
          <t>KRAV-AUTO-001347</t>
        </is>
      </c>
      <c r="B1348" t="inlineStr">
        <is>
          <t>ADMIN-INDEX-2026-02-27-00000000125C043F57453246863FE664CAFE6A3F0700950291EA24F0614FB6ACEDB12BF0E31D00000000010C0000950291EA24F0614FB6ACEDB12BF0E31D00002087AEA50000</t>
        </is>
      </c>
      <c r="C1348" t="inlineStr">
        <is>
          <t>cmm4yuoz20238cuqwjhvj6yt3</t>
        </is>
      </c>
      <c r="D1348" t="inlineStr">
        <is>
          <t>http://localhost:8787/api/admin/requirements/documents/cmm4yuoz20238cuqwjhvj6yt3/view</t>
        </is>
      </c>
      <c r="E1348">
        <f>HYPERLÄNK("http://localhost:8787/api/admin/requirements/documents/cmm4yuoz20238cuqwjhvj6yt3/view";"Öppna PDF")</f>
        <v/>
      </c>
      <c r="F1348">
        <f>HYPERLINK("http://localhost:8787/api/admin/requirements/documents/cmm4yuoz20238cuqwjhvj6yt3/view","Open PDF")</f>
        <v/>
      </c>
      <c r="G1348" t="inlineStr">
        <is>
          <t>cmm55w57p0004cuisfrtpqly8</t>
        </is>
      </c>
      <c r="H1348" t="inlineStr">
        <is>
          <t>Beslutsvillkor</t>
        </is>
      </c>
      <c r="I1348" t="inlineStr">
        <is>
          <t>Ytkonstruktion</t>
        </is>
      </c>
      <c r="J1348" t="inlineStr">
        <is>
          <t>Tat yta</t>
        </is>
      </c>
      <c r="K1348" t="inlineStr">
        <is>
          <t>På asfaltskanterna längst med plattan läggs jordvallar för att förhindra att slam placeras utanför plattan vid tippning.</t>
        </is>
      </c>
      <c r="L1348" t="inlineStr">
        <is>
          <t>På asfaltskanterna längst med plattan läggs jordvallar för att förhindra att slam placeras utanför plattan vid tippning.</t>
        </is>
      </c>
      <c r="M1348" t="inlineStr">
        <is>
          <t>SKA</t>
        </is>
      </c>
      <c r="N1348" t="inlineStr"/>
      <c r="O1348" t="inlineStr"/>
      <c r="P1348" t="inlineStr"/>
      <c r="Q1348" t="inlineStr"/>
      <c r="R1348" t="inlineStr">
        <is>
          <t>Vid mellanlagring av avfall</t>
        </is>
      </c>
      <c r="S1348" t="inlineStr"/>
      <c r="T1348" t="inlineStr">
        <is>
          <t>613394</t>
        </is>
      </c>
      <c r="U1348" t="inlineStr"/>
      <c r="V1348" t="inlineStr"/>
      <c r="W1348" t="inlineStr">
        <is>
          <t>Ja</t>
        </is>
      </c>
      <c r="X1348" t="inlineStr">
        <is>
          <t>Nej</t>
        </is>
      </c>
      <c r="Y1348" t="inlineStr">
        <is>
          <t>Nej</t>
        </is>
      </c>
      <c r="Z1348" t="inlineStr">
        <is>
          <t>Nej</t>
        </is>
      </c>
      <c r="AA1348" t="n">
        <v>5</v>
      </c>
      <c r="AB1348" t="inlineStr">
        <is>
          <t>Teknisk beskrivning av platta</t>
        </is>
      </c>
      <c r="AC1348" t="inlineStr">
        <is>
          <t>Teknisk ritning platta</t>
        </is>
      </c>
      <c r="AD1348" t="inlineStr">
        <is>
          <t>Nej</t>
        </is>
      </c>
      <c r="AE1348" t="inlineStr">
        <is>
          <t>Nej</t>
        </is>
      </c>
      <c r="AF1348" t="inlineStr">
        <is>
          <t>Ej behandlad</t>
        </is>
      </c>
      <c r="AG1348" t="inlineStr">
        <is>
          <t>AUTO_GENERERAD. Verifiera citat mot kallfil.</t>
        </is>
      </c>
      <c r="AH1348" t="inlineStr">
        <is>
          <t>MEDIUM</t>
        </is>
      </c>
      <c r="AI1348" t="inlineStr">
        <is>
          <t>AUTO</t>
        </is>
      </c>
      <c r="AJ1348" t="inlineStr">
        <is>
          <t>Nej</t>
        </is>
      </c>
      <c r="AK1348" t="inlineStr"/>
      <c r="AL1348" t="inlineStr"/>
      <c r="AM1348" t="inlineStr"/>
      <c r="AN1348" t="inlineStr"/>
      <c r="AO1348" t="inlineStr">
        <is>
          <t>cmm4yuoza023hcuqwb3u72dej</t>
        </is>
      </c>
      <c r="AP1348" t="inlineStr">
        <is>
          <t>http://localhost:8787/api/admin/requirements/documents/cmm4yuoza023hcuqwb3u72dej/view</t>
        </is>
      </c>
      <c r="AQ1348">
        <f>HYPERLÄNK("http://localhost:8787/api/admin/requirements/documents/cmm4yuoza023hcuqwb3u72dej/view";"Öppna PDF")</f>
        <v/>
      </c>
      <c r="AR1348">
        <f>HYPERLINK("http://localhost:8787/api/admin/requirements/documents/cmm4yuoza023hcuqwb3u72dej/view","Open PDF")</f>
        <v/>
      </c>
      <c r="AS1348" t="inlineStr">
        <is>
          <t>cmm55w57p0004cuisfrtpqly8</t>
        </is>
      </c>
      <c r="AT1348" t="inlineStr">
        <is>
          <t>cmm4xvu980000cuh4vj0usz09</t>
        </is>
      </c>
      <c r="AU1348" t="inlineStr">
        <is>
          <t>Sjöbo</t>
        </is>
      </c>
      <c r="AV1348" t="inlineStr">
        <is>
          <t>Kommun</t>
        </is>
      </c>
      <c r="AW1348" t="inlineStr">
        <is>
          <t>Sjöbo kommun</t>
        </is>
      </c>
      <c r="AX1348" t="inlineStr">
        <is>
          <t>2026-02</t>
        </is>
      </c>
      <c r="AY1348" t="inlineStr">
        <is>
          <t>Beslut</t>
        </is>
      </c>
      <c r="AZ1348" t="inlineStr">
        <is>
          <t>2026-02-03</t>
        </is>
      </c>
      <c r="BA1348" t="inlineStr">
        <is>
          <t>MILSK202515_2026-02-03.pdf</t>
        </is>
      </c>
      <c r="BB1348" t="inlineStr">
        <is>
          <t>Sv: till registrator</t>
        </is>
      </c>
      <c r="BC1348" t="inlineStr">
        <is>
          <t>AUTO</t>
        </is>
      </c>
      <c r="BD1348" t="inlineStr"/>
      <c r="BE1348" t="inlineStr"/>
      <c r="BF1348" t="inlineStr">
        <is>
          <t>AUTO_GENERERAD. Bekrafta metadata mot kallfil.</t>
        </is>
      </c>
      <c r="BG1348">
        <f>HYPERLINK("C:\Users\jimmy\Desktop\Examens arbete\Kod\Ny mapp\remix_-copy-of-miljöbeslut.se-portal\MILSK202515_2026-02-03.pdf", "Öppna PDF")</f>
        <v/>
      </c>
    </row>
    <row r="1349">
      <c r="A1349" t="inlineStr">
        <is>
          <t>KRAV-AUTO-001348</t>
        </is>
      </c>
      <c r="B1349" t="inlineStr">
        <is>
          <t>ADMIN-INDEX-2026-02-27-00000000125C043F57453246863FE664CAFE6A3F0700950291EA24F0614FB6ACEDB12BF0E31D00000000010C0000950291EA24F0614FB6ACEDB12BF0E31D00002087AEA50000</t>
        </is>
      </c>
      <c r="C1349" t="inlineStr">
        <is>
          <t>cmm4yuoz20238cuqwjhvj6yt3</t>
        </is>
      </c>
      <c r="D1349" t="inlineStr">
        <is>
          <t>http://localhost:8787/api/admin/requirements/documents/cmm4yuoz20238cuqwjhvj6yt3/view</t>
        </is>
      </c>
      <c r="E1349">
        <f>HYPERLÄNK("http://localhost:8787/api/admin/requirements/documents/cmm4yuoz20238cuqwjhvj6yt3/view";"Öppna PDF")</f>
        <v/>
      </c>
      <c r="F1349">
        <f>HYPERLINK("http://localhost:8787/api/admin/requirements/documents/cmm4yuoz20238cuqwjhvj6yt3/view","Open PDF")</f>
        <v/>
      </c>
      <c r="G1349" t="inlineStr">
        <is>
          <t>cmm55w57p0004cuisfrtpqly8</t>
        </is>
      </c>
      <c r="H1349" t="inlineStr">
        <is>
          <t>Beslutsvillkor</t>
        </is>
      </c>
      <c r="I1349" t="inlineStr">
        <is>
          <t>DagvattenLakvatten</t>
        </is>
      </c>
      <c r="J1349" t="inlineStr">
        <is>
          <t>Uppsamling</t>
        </is>
      </c>
      <c r="K1349" t="inlineStr">
        <is>
          <t>I föreläggandet anges att föroreningshalter i de massor som tillförs fastigheten Assmåsa 5:68 ska vara under riktvärden för mindre än ringa risk (MRR) enligt Naturvårdsverkets handbok 2010:1.</t>
        </is>
      </c>
      <c r="L1349" t="inlineStr">
        <is>
          <t>I föreläggandet anges att föroreningshalter i de massor som tillförs fastigheten Assmåsa 5:68 ska vara under riktvärden för mindre än ringa risk (MRR) enligt Naturvårdsverkets handbok 2010:1.</t>
        </is>
      </c>
      <c r="M1349" t="inlineStr">
        <is>
          <t>SKA</t>
        </is>
      </c>
      <c r="N1349" t="inlineStr">
        <is>
          <t>Naturvardsverket</t>
        </is>
      </c>
      <c r="O1349" t="inlineStr"/>
      <c r="P1349" t="inlineStr"/>
      <c r="Q1349" t="inlineStr">
        <is>
          <t>Forelaggande vid brist</t>
        </is>
      </c>
      <c r="R1349" t="inlineStr">
        <is>
          <t>Vid nederbord och avrinning</t>
        </is>
      </c>
      <c r="S1349" t="inlineStr"/>
      <c r="T1349" t="inlineStr">
        <is>
          <t>613394</t>
        </is>
      </c>
      <c r="U1349" t="inlineStr"/>
      <c r="V1349" t="inlineStr"/>
      <c r="W1349" t="inlineStr">
        <is>
          <t>Nej</t>
        </is>
      </c>
      <c r="X1349" t="inlineStr">
        <is>
          <t>Ja</t>
        </is>
      </c>
      <c r="Y1349" t="inlineStr">
        <is>
          <t>Ja</t>
        </is>
      </c>
      <c r="Z1349" t="inlineStr">
        <is>
          <t>Nej</t>
        </is>
      </c>
      <c r="AA1349" t="n">
        <v>6</v>
      </c>
      <c r="AB1349" t="inlineStr">
        <is>
          <t>Lakvattenhantering</t>
        </is>
      </c>
      <c r="AC1349" t="inlineStr">
        <is>
          <t>Flodesschema dagvatten-lakvatten</t>
        </is>
      </c>
      <c r="AD1349" t="inlineStr">
        <is>
          <t>Nej</t>
        </is>
      </c>
      <c r="AE1349" t="inlineStr">
        <is>
          <t>Nej</t>
        </is>
      </c>
      <c r="AF1349" t="inlineStr">
        <is>
          <t>Ej behandlad</t>
        </is>
      </c>
      <c r="AG1349" t="inlineStr">
        <is>
          <t>AUTO_GENERERAD. Verifiera citat mot kallfil.</t>
        </is>
      </c>
      <c r="AH1349" t="inlineStr">
        <is>
          <t>MEDIUM</t>
        </is>
      </c>
      <c r="AI1349" t="inlineStr">
        <is>
          <t>AUTO</t>
        </is>
      </c>
      <c r="AJ1349" t="inlineStr">
        <is>
          <t>Nej</t>
        </is>
      </c>
      <c r="AK1349" t="inlineStr"/>
      <c r="AL1349" t="inlineStr"/>
      <c r="AM1349" t="inlineStr"/>
      <c r="AN1349" t="inlineStr"/>
      <c r="AO1349" t="inlineStr">
        <is>
          <t>cmm4yuoza023hcuqwb3u72dej</t>
        </is>
      </c>
      <c r="AP1349" t="inlineStr">
        <is>
          <t>http://localhost:8787/api/admin/requirements/documents/cmm4yuoza023hcuqwb3u72dej/view</t>
        </is>
      </c>
      <c r="AQ1349">
        <f>HYPERLÄNK("http://localhost:8787/api/admin/requirements/documents/cmm4yuoza023hcuqwb3u72dej/view";"Öppna PDF")</f>
        <v/>
      </c>
      <c r="AR1349">
        <f>HYPERLINK("http://localhost:8787/api/admin/requirements/documents/cmm4yuoza023hcuqwb3u72dej/view","Open PDF")</f>
        <v/>
      </c>
      <c r="AS1349" t="inlineStr">
        <is>
          <t>cmm55w57p0004cuisfrtpqly8</t>
        </is>
      </c>
      <c r="AT1349" t="inlineStr">
        <is>
          <t>cmm4xvu980000cuh4vj0usz09</t>
        </is>
      </c>
      <c r="AU1349" t="inlineStr">
        <is>
          <t>Sjöbo</t>
        </is>
      </c>
      <c r="AV1349" t="inlineStr">
        <is>
          <t>Kommun</t>
        </is>
      </c>
      <c r="AW1349" t="inlineStr">
        <is>
          <t>Sjöbo kommun</t>
        </is>
      </c>
      <c r="AX1349" t="inlineStr">
        <is>
          <t>2026-02</t>
        </is>
      </c>
      <c r="AY1349" t="inlineStr">
        <is>
          <t>Beslut</t>
        </is>
      </c>
      <c r="AZ1349" t="inlineStr">
        <is>
          <t>2026-02-03</t>
        </is>
      </c>
      <c r="BA1349" t="inlineStr">
        <is>
          <t>MILSK202515_2026-02-03.pdf</t>
        </is>
      </c>
      <c r="BB1349" t="inlineStr">
        <is>
          <t>Sv: till registrator</t>
        </is>
      </c>
      <c r="BC1349" t="inlineStr">
        <is>
          <t>AUTO</t>
        </is>
      </c>
      <c r="BD1349" t="inlineStr"/>
      <c r="BE1349" t="inlineStr"/>
      <c r="BF1349" t="inlineStr">
        <is>
          <t>AUTO_GENERERAD. Bekrafta metadata mot kallfil.</t>
        </is>
      </c>
      <c r="BG1349">
        <f>HYPERLINK("C:\Users\jimmy\Desktop\Examens arbete\Kod\Ny mapp\remix_-copy-of-miljöbeslut.se-portal\MILSK202515_2026-02-03.pdf", "Öppna PDF")</f>
        <v/>
      </c>
    </row>
    <row r="1350">
      <c r="A1350" t="inlineStr">
        <is>
          <t>KRAV-AUTO-001349</t>
        </is>
      </c>
      <c r="B1350" t="inlineStr">
        <is>
          <t>ADMIN-INDEX-2026-02-27-00000000125C043F57453246863FE664CAFE6A3F0700950291EA24F0614FB6ACEDB12BF0E31D00000000010C0000950291EA24F0614FB6ACEDB12BF0E31D00002087AEA50000</t>
        </is>
      </c>
      <c r="C1350" t="inlineStr">
        <is>
          <t>cmm4yuoz20238cuqwjhvj6yt3</t>
        </is>
      </c>
      <c r="D1350" t="inlineStr">
        <is>
          <t>http://localhost:8787/api/admin/requirements/documents/cmm4yuoz20238cuqwjhvj6yt3/view</t>
        </is>
      </c>
      <c r="E1350">
        <f>HYPERLÄNK("http://localhost:8787/api/admin/requirements/documents/cmm4yuoz20238cuqwjhvj6yt3/view";"Öppna PDF")</f>
        <v/>
      </c>
      <c r="F1350">
        <f>HYPERLINK("http://localhost:8787/api/admin/requirements/documents/cmm4yuoz20238cuqwjhvj6yt3/view","Open PDF")</f>
        <v/>
      </c>
      <c r="G1350" t="inlineStr">
        <is>
          <t>cmm55w57p0004cuisfrtpqly8</t>
        </is>
      </c>
      <c r="H1350" t="inlineStr">
        <is>
          <t>Beslutsvillkor</t>
        </is>
      </c>
      <c r="I1350" t="inlineStr">
        <is>
          <t>DriftEgenkontroll</t>
        </is>
      </c>
      <c r="J1350" t="inlineStr">
        <is>
          <t>Journalforing</t>
        </is>
      </c>
      <c r="K1350" t="inlineStr">
        <is>
          <t>Vidare anges det i anmälan att provtagning ska utföras före mottagandet av massorna.</t>
        </is>
      </c>
      <c r="L1350" t="inlineStr">
        <is>
          <t>Vidare anges det i anmälan att provtagning ska utföras före mottagandet av massorna.</t>
        </is>
      </c>
      <c r="M1350" t="inlineStr">
        <is>
          <t>SKA</t>
        </is>
      </c>
      <c r="N1350" t="inlineStr"/>
      <c r="O1350" t="inlineStr"/>
      <c r="P1350" t="inlineStr"/>
      <c r="Q1350" t="inlineStr"/>
      <c r="R1350" t="inlineStr">
        <is>
          <t>Lopande drift</t>
        </is>
      </c>
      <c r="S1350" t="inlineStr"/>
      <c r="T1350" t="inlineStr">
        <is>
          <t>613394</t>
        </is>
      </c>
      <c r="U1350" t="inlineStr"/>
      <c r="V1350" t="inlineStr"/>
      <c r="W1350" t="inlineStr">
        <is>
          <t>Nej</t>
        </is>
      </c>
      <c r="X1350" t="inlineStr">
        <is>
          <t>Nej</t>
        </is>
      </c>
      <c r="Y1350" t="inlineStr">
        <is>
          <t>Ja</t>
        </is>
      </c>
      <c r="Z1350" t="inlineStr">
        <is>
          <t>Nej</t>
        </is>
      </c>
      <c r="AA1350" t="n">
        <v>7</v>
      </c>
      <c r="AB1350" t="inlineStr">
        <is>
          <t>Egenkontrollrutiner</t>
        </is>
      </c>
      <c r="AC1350" t="inlineStr">
        <is>
          <t>Egenkontrollprogram</t>
        </is>
      </c>
      <c r="AD1350" t="inlineStr">
        <is>
          <t>Nej</t>
        </is>
      </c>
      <c r="AE1350" t="inlineStr">
        <is>
          <t>Nej</t>
        </is>
      </c>
      <c r="AF1350" t="inlineStr">
        <is>
          <t>Ej behandlad</t>
        </is>
      </c>
      <c r="AG1350" t="inlineStr">
        <is>
          <t>AUTO_GENERERAD. Verifiera citat mot kallfil.</t>
        </is>
      </c>
      <c r="AH1350" t="inlineStr">
        <is>
          <t>MEDIUM</t>
        </is>
      </c>
      <c r="AI1350" t="inlineStr">
        <is>
          <t>AUTO</t>
        </is>
      </c>
      <c r="AJ1350" t="inlineStr">
        <is>
          <t>Nej</t>
        </is>
      </c>
      <c r="AK1350" t="inlineStr"/>
      <c r="AL1350" t="inlineStr"/>
      <c r="AM1350" t="inlineStr"/>
      <c r="AN1350" t="inlineStr"/>
      <c r="AO1350" t="inlineStr">
        <is>
          <t>cmm4yuoza023hcuqwb3u72dej</t>
        </is>
      </c>
      <c r="AP1350" t="inlineStr">
        <is>
          <t>http://localhost:8787/api/admin/requirements/documents/cmm4yuoza023hcuqwb3u72dej/view</t>
        </is>
      </c>
      <c r="AQ1350">
        <f>HYPERLÄNK("http://localhost:8787/api/admin/requirements/documents/cmm4yuoza023hcuqwb3u72dej/view";"Öppna PDF")</f>
        <v/>
      </c>
      <c r="AR1350">
        <f>HYPERLINK("http://localhost:8787/api/admin/requirements/documents/cmm4yuoza023hcuqwb3u72dej/view","Open PDF")</f>
        <v/>
      </c>
      <c r="AS1350" t="inlineStr">
        <is>
          <t>cmm55w57p0004cuisfrtpqly8</t>
        </is>
      </c>
      <c r="AT1350" t="inlineStr">
        <is>
          <t>cmm4xvu980000cuh4vj0usz09</t>
        </is>
      </c>
      <c r="AU1350" t="inlineStr">
        <is>
          <t>Sjöbo</t>
        </is>
      </c>
      <c r="AV1350" t="inlineStr">
        <is>
          <t>Kommun</t>
        </is>
      </c>
      <c r="AW1350" t="inlineStr">
        <is>
          <t>Sjöbo kommun</t>
        </is>
      </c>
      <c r="AX1350" t="inlineStr">
        <is>
          <t>2026-02</t>
        </is>
      </c>
      <c r="AY1350" t="inlineStr">
        <is>
          <t>Beslut</t>
        </is>
      </c>
      <c r="AZ1350" t="inlineStr">
        <is>
          <t>2026-02-03</t>
        </is>
      </c>
      <c r="BA1350" t="inlineStr">
        <is>
          <t>MILSK202515_2026-02-03.pdf</t>
        </is>
      </c>
      <c r="BB1350" t="inlineStr">
        <is>
          <t>Sv: till registrator</t>
        </is>
      </c>
      <c r="BC1350" t="inlineStr">
        <is>
          <t>AUTO</t>
        </is>
      </c>
      <c r="BD1350" t="inlineStr"/>
      <c r="BE1350" t="inlineStr"/>
      <c r="BF1350" t="inlineStr">
        <is>
          <t>AUTO_GENERERAD. Bekrafta metadata mot kallfil.</t>
        </is>
      </c>
      <c r="BG1350">
        <f>HYPERLINK("C:\Users\jimmy\Desktop\Examens arbete\Kod\Ny mapp\remix_-copy-of-miljöbeslut.se-portal\MILSK202515_2026-02-03.pdf", "Öppna PDF")</f>
        <v/>
      </c>
    </row>
    <row r="1351">
      <c r="A1351" t="inlineStr">
        <is>
          <t>KRAV-AUTO-001350</t>
        </is>
      </c>
      <c r="B1351" t="inlineStr">
        <is>
          <t>ADMIN-INDEX-2026-02-27-00000000125C043F57453246863FE664CAFE6A3F0700950291EA24F0614FB6ACEDB12BF0E31D00000000010C0000950291EA24F0614FB6ACEDB12BF0E31D00002087AEA50000</t>
        </is>
      </c>
      <c r="C1351" t="inlineStr">
        <is>
          <t>cmm4yuoz00235cuqwtom7ivky</t>
        </is>
      </c>
      <c r="D1351" t="inlineStr">
        <is>
          <t>http://localhost:8787/api/admin/requirements/documents/cmm4yuoz00235cuqwtom7ivky/view</t>
        </is>
      </c>
      <c r="E1351">
        <f>HYPERLÄNK("http://localhost:8787/api/admin/requirements/documents/cmm4yuoz00235cuqwtom7ivky/view";"Öppna PDF")</f>
        <v/>
      </c>
      <c r="F1351">
        <f>HYPERLINK("http://localhost:8787/api/admin/requirements/documents/cmm4yuoz00235cuqwtom7ivky/view","Open PDF")</f>
        <v/>
      </c>
      <c r="G1351" t="inlineStr">
        <is>
          <t>cmm55w57p0004cuisfrtpqly8</t>
        </is>
      </c>
      <c r="H1351" t="inlineStr">
        <is>
          <t>Beslutsvillkor</t>
        </is>
      </c>
      <c r="I1351" t="inlineStr">
        <is>
          <t>Ytkonstruktion</t>
        </is>
      </c>
      <c r="J1351" t="inlineStr">
        <is>
          <t>Tat yta</t>
        </is>
      </c>
      <c r="K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51" t="inlineStr">
        <is>
          <t>SKA</t>
        </is>
      </c>
      <c r="N1351" t="inlineStr"/>
      <c r="O1351" t="inlineStr"/>
      <c r="P1351" t="inlineStr"/>
      <c r="Q1351" t="inlineStr"/>
      <c r="R1351" t="inlineStr">
        <is>
          <t>Vid mellanlagring av avfall</t>
        </is>
      </c>
      <c r="S1351" t="inlineStr"/>
      <c r="T1351" t="inlineStr">
        <is>
          <t>601086</t>
        </is>
      </c>
      <c r="U1351" t="inlineStr"/>
      <c r="V1351" t="inlineStr"/>
      <c r="W1351" t="inlineStr">
        <is>
          <t>Ja</t>
        </is>
      </c>
      <c r="X1351" t="inlineStr">
        <is>
          <t>Nej</t>
        </is>
      </c>
      <c r="Y1351" t="inlineStr">
        <is>
          <t>Nej</t>
        </is>
      </c>
      <c r="Z1351" t="inlineStr">
        <is>
          <t>Nej</t>
        </is>
      </c>
      <c r="AA1351" t="n">
        <v>5</v>
      </c>
      <c r="AB1351" t="inlineStr">
        <is>
          <t>Teknisk beskrivning av platta</t>
        </is>
      </c>
      <c r="AC1351" t="inlineStr">
        <is>
          <t>Teknisk ritning platta</t>
        </is>
      </c>
      <c r="AD1351" t="inlineStr">
        <is>
          <t>Nej</t>
        </is>
      </c>
      <c r="AE1351" t="inlineStr">
        <is>
          <t>Nej</t>
        </is>
      </c>
      <c r="AF1351" t="inlineStr">
        <is>
          <t>Ej behandlad</t>
        </is>
      </c>
      <c r="AG1351" t="inlineStr">
        <is>
          <t>AUTO_GENERERAD. Verifiera citat mot kallfil.</t>
        </is>
      </c>
      <c r="AH1351" t="inlineStr">
        <is>
          <t>MEDIUM</t>
        </is>
      </c>
      <c r="AI1351" t="inlineStr">
        <is>
          <t>AUTO</t>
        </is>
      </c>
      <c r="AJ1351" t="inlineStr">
        <is>
          <t>Nej</t>
        </is>
      </c>
      <c r="AK1351" t="inlineStr"/>
      <c r="AL1351" t="inlineStr"/>
      <c r="AM1351" t="inlineStr"/>
      <c r="AN1351" t="inlineStr"/>
      <c r="AO1351" t="inlineStr">
        <is>
          <t>cmm4yuoza023hcuqwb3u72dej</t>
        </is>
      </c>
      <c r="AP1351" t="inlineStr">
        <is>
          <t>http://localhost:8787/api/admin/requirements/documents/cmm4yuoza023hcuqwb3u72dej/view</t>
        </is>
      </c>
      <c r="AQ1351">
        <f>HYPERLÄNK("http://localhost:8787/api/admin/requirements/documents/cmm4yuoza023hcuqwb3u72dej/view";"Öppna PDF")</f>
        <v/>
      </c>
      <c r="AR1351">
        <f>HYPERLINK("http://localhost:8787/api/admin/requirements/documents/cmm4yuoza023hcuqwb3u72dej/view","Open PDF")</f>
        <v/>
      </c>
      <c r="AS1351" t="inlineStr">
        <is>
          <t>cmm55w57p0004cuisfrtpqly8</t>
        </is>
      </c>
      <c r="AT1351" t="inlineStr">
        <is>
          <t>cmm4xvu980000cuh4vj0usz09</t>
        </is>
      </c>
      <c r="AU1351" t="inlineStr">
        <is>
          <t>Sjöbo</t>
        </is>
      </c>
      <c r="AV1351" t="inlineStr">
        <is>
          <t>Kommun</t>
        </is>
      </c>
      <c r="AW1351" t="inlineStr">
        <is>
          <t>Sjöbo kommun</t>
        </is>
      </c>
      <c r="AX1351" t="inlineStr">
        <is>
          <t>2026-02</t>
        </is>
      </c>
      <c r="AY1351" t="inlineStr">
        <is>
          <t>Beslut</t>
        </is>
      </c>
      <c r="AZ1351" t="inlineStr">
        <is>
          <t>2026-02-03</t>
        </is>
      </c>
      <c r="BA1351" t="inlineStr">
        <is>
          <t>MILSK202515_2026-02-03.pdf</t>
        </is>
      </c>
      <c r="BB1351" t="inlineStr">
        <is>
          <t>Sv: till registrator</t>
        </is>
      </c>
      <c r="BC1351" t="inlineStr">
        <is>
          <t>AUTO</t>
        </is>
      </c>
      <c r="BD1351" t="inlineStr"/>
      <c r="BE1351" t="inlineStr"/>
      <c r="BF1351" t="inlineStr">
        <is>
          <t>AUTO_GENERERAD. Bekrafta metadata mot kallfil.</t>
        </is>
      </c>
      <c r="BG1351">
        <f>HYPERLINK("C:\Users\jimmy\Desktop\Examens arbete\Kod\Ny mapp\remix_-copy-of-miljöbeslut.se-portal\MILSK202515_2026-02-03.pdf", "Öppna PDF")</f>
        <v/>
      </c>
    </row>
    <row r="1352">
      <c r="A1352" t="inlineStr">
        <is>
          <t>KRAV-AUTO-001351</t>
        </is>
      </c>
      <c r="B1352" t="inlineStr">
        <is>
          <t>ADMIN-INDEX-2026-02-27-00000000125C043F57453246863FE664CAFE6A3F0700950291EA24F0614FB6ACEDB12BF0E31D00000000010C0000950291EA24F0614FB6ACEDB12BF0E31D00002087AEA50000</t>
        </is>
      </c>
      <c r="C1352" t="inlineStr">
        <is>
          <t>cmm4yuoz00235cuqwtom7ivky</t>
        </is>
      </c>
      <c r="D1352" t="inlineStr">
        <is>
          <t>http://localhost:8787/api/admin/requirements/documents/cmm4yuoz00235cuqwtom7ivky/view</t>
        </is>
      </c>
      <c r="E1352">
        <f>HYPERLÄNK("http://localhost:8787/api/admin/requirements/documents/cmm4yuoz00235cuqwtom7ivky/view";"Öppna PDF")</f>
        <v/>
      </c>
      <c r="F1352">
        <f>HYPERLINK("http://localhost:8787/api/admin/requirements/documents/cmm4yuoz00235cuqwtom7ivky/view","Open PDF")</f>
        <v/>
      </c>
      <c r="G1352" t="inlineStr">
        <is>
          <t>cmm55w57p0004cuisfrtpqly8</t>
        </is>
      </c>
      <c r="H1352" t="inlineStr">
        <is>
          <t>Beslutsvillkor</t>
        </is>
      </c>
      <c r="I1352" t="inlineStr">
        <is>
          <t>MiljopaverkanForsiktighet</t>
        </is>
      </c>
      <c r="J1352" t="inlineStr">
        <is>
          <t>Skyddsatgarder</t>
        </is>
      </c>
      <c r="K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2" t="inlineStr">
        <is>
          <t>SKA</t>
        </is>
      </c>
      <c r="N1352" t="inlineStr"/>
      <c r="O1352" t="inlineStr"/>
      <c r="P1352" t="inlineStr"/>
      <c r="Q1352" t="inlineStr">
        <is>
          <t>Forbud</t>
        </is>
      </c>
      <c r="R1352" t="inlineStr">
        <is>
          <t>Alltid</t>
        </is>
      </c>
      <c r="S1352" t="inlineStr"/>
      <c r="T1352" t="inlineStr">
        <is>
          <t>601086</t>
        </is>
      </c>
      <c r="U1352" t="inlineStr"/>
      <c r="V1352" t="inlineStr"/>
      <c r="W1352" t="inlineStr">
        <is>
          <t>Nej</t>
        </is>
      </c>
      <c r="X1352" t="inlineStr">
        <is>
          <t>Nej</t>
        </is>
      </c>
      <c r="Y1352" t="inlineStr">
        <is>
          <t>Nej</t>
        </is>
      </c>
      <c r="Z1352" t="inlineStr">
        <is>
          <t>Nej</t>
        </is>
      </c>
      <c r="AA1352" t="n">
        <v>10</v>
      </c>
      <c r="AB1352" t="inlineStr">
        <is>
          <t>Miljopaverkan och forsiktighetsmatt</t>
        </is>
      </c>
      <c r="AC1352" t="inlineStr">
        <is>
          <t>Miljo-PM</t>
        </is>
      </c>
      <c r="AD1352" t="inlineStr">
        <is>
          <t>Nej</t>
        </is>
      </c>
      <c r="AE1352" t="inlineStr">
        <is>
          <t>Nej</t>
        </is>
      </c>
      <c r="AF1352" t="inlineStr">
        <is>
          <t>Ej behandlad</t>
        </is>
      </c>
      <c r="AG1352" t="inlineStr">
        <is>
          <t>AUTO_GENERERAD. Verifiera citat mot kallfil.</t>
        </is>
      </c>
      <c r="AH1352" t="inlineStr">
        <is>
          <t>MEDIUM</t>
        </is>
      </c>
      <c r="AI1352" t="inlineStr">
        <is>
          <t>AUTO</t>
        </is>
      </c>
      <c r="AJ1352" t="inlineStr">
        <is>
          <t>Nej</t>
        </is>
      </c>
      <c r="AK1352" t="inlineStr"/>
      <c r="AL1352" t="inlineStr"/>
      <c r="AM1352" t="inlineStr"/>
      <c r="AN1352" t="inlineStr"/>
      <c r="AO1352" t="inlineStr">
        <is>
          <t>cmm4yuoza023hcuqwb3u72dej</t>
        </is>
      </c>
      <c r="AP1352" t="inlineStr">
        <is>
          <t>http://localhost:8787/api/admin/requirements/documents/cmm4yuoza023hcuqwb3u72dej/view</t>
        </is>
      </c>
      <c r="AQ1352">
        <f>HYPERLÄNK("http://localhost:8787/api/admin/requirements/documents/cmm4yuoza023hcuqwb3u72dej/view";"Öppna PDF")</f>
        <v/>
      </c>
      <c r="AR1352">
        <f>HYPERLINK("http://localhost:8787/api/admin/requirements/documents/cmm4yuoza023hcuqwb3u72dej/view","Open PDF")</f>
        <v/>
      </c>
      <c r="AS1352" t="inlineStr">
        <is>
          <t>cmm55w57p0004cuisfrtpqly8</t>
        </is>
      </c>
      <c r="AT1352" t="inlineStr">
        <is>
          <t>cmm4xvu980000cuh4vj0usz09</t>
        </is>
      </c>
      <c r="AU1352" t="inlineStr">
        <is>
          <t>Sjöbo</t>
        </is>
      </c>
      <c r="AV1352" t="inlineStr">
        <is>
          <t>Kommun</t>
        </is>
      </c>
      <c r="AW1352" t="inlineStr">
        <is>
          <t>Sjöbo kommun</t>
        </is>
      </c>
      <c r="AX1352" t="inlineStr">
        <is>
          <t>2026-02</t>
        </is>
      </c>
      <c r="AY1352" t="inlineStr">
        <is>
          <t>Beslut</t>
        </is>
      </c>
      <c r="AZ1352" t="inlineStr">
        <is>
          <t>2026-02-03</t>
        </is>
      </c>
      <c r="BA1352" t="inlineStr">
        <is>
          <t>MILSK202515_2026-02-03.pdf</t>
        </is>
      </c>
      <c r="BB1352" t="inlineStr">
        <is>
          <t>Sv: till registrator</t>
        </is>
      </c>
      <c r="BC1352" t="inlineStr">
        <is>
          <t>AUTO</t>
        </is>
      </c>
      <c r="BD1352" t="inlineStr"/>
      <c r="BE1352" t="inlineStr"/>
      <c r="BF1352" t="inlineStr">
        <is>
          <t>AUTO_GENERERAD. Bekrafta metadata mot kallfil.</t>
        </is>
      </c>
      <c r="BG1352">
        <f>HYPERLINK("C:\Users\jimmy\Desktop\Examens arbete\Kod\Ny mapp\remix_-copy-of-miljöbeslut.se-portal\MILSK202515_2026-02-03.pdf", "Öppna PDF")</f>
        <v/>
      </c>
    </row>
    <row r="1353">
      <c r="A1353" t="inlineStr">
        <is>
          <t>KRAV-AUTO-001352</t>
        </is>
      </c>
      <c r="B1353" t="inlineStr">
        <is>
          <t>ADMIN-INDEX-2026-02-27-00000000125C043F57453246863FE664CAFE6A3F0700950291EA24F0614FB6ACEDB12BF0E31D00000000010C0000950291EA24F0614FB6ACEDB12BF0E31D00002087AEA50000</t>
        </is>
      </c>
      <c r="C1353" t="inlineStr">
        <is>
          <t>cmm4yuoz00235cuqwtom7ivky</t>
        </is>
      </c>
      <c r="D1353" t="inlineStr">
        <is>
          <t>http://localhost:8787/api/admin/requirements/documents/cmm4yuoz00235cuqwtom7ivky/view</t>
        </is>
      </c>
      <c r="E1353">
        <f>HYPERLÄNK("http://localhost:8787/api/admin/requirements/documents/cmm4yuoz00235cuqwtom7ivky/view";"Öppna PDF")</f>
        <v/>
      </c>
      <c r="F1353">
        <f>HYPERLINK("http://localhost:8787/api/admin/requirements/documents/cmm4yuoz00235cuqwtom7ivky/view","Open PDF")</f>
        <v/>
      </c>
      <c r="G1353" t="inlineStr">
        <is>
          <t>cmm55w57p0004cuisfrtpqly8</t>
        </is>
      </c>
      <c r="H1353" t="inlineStr">
        <is>
          <t>Beslutsvillkor</t>
        </is>
      </c>
      <c r="I1353" t="inlineStr">
        <is>
          <t>DriftEgenkontroll</t>
        </is>
      </c>
      <c r="J1353" t="inlineStr">
        <is>
          <t>Journalforing</t>
        </is>
      </c>
      <c r="K1353" t="inlineStr">
        <is>
          <t>Avgörande för bedömningen blir då den ursprungskontroll från avfallslämnaren som ska finnas för massorna samt den rutin för mottagningskontroll och provtagning som upprättas inom ramen för egenkontrollen.</t>
        </is>
      </c>
      <c r="L1353" t="inlineStr">
        <is>
          <t>Avgörande för bedömningen blir då den ursprungskontroll från avfallslämnaren som ska finnas för massorna samt den rutin för mottagningskontroll och provtagning som upprättas inom ramen för egenkontrollen.</t>
        </is>
      </c>
      <c r="M1353" t="inlineStr">
        <is>
          <t>SKA</t>
        </is>
      </c>
      <c r="N1353" t="inlineStr"/>
      <c r="O1353" t="inlineStr"/>
      <c r="P1353" t="inlineStr"/>
      <c r="Q1353" t="inlineStr"/>
      <c r="R1353" t="inlineStr">
        <is>
          <t>Lopande drift</t>
        </is>
      </c>
      <c r="S1353" t="inlineStr"/>
      <c r="T1353" t="inlineStr">
        <is>
          <t>601086</t>
        </is>
      </c>
      <c r="U1353" t="inlineStr"/>
      <c r="V1353" t="inlineStr"/>
      <c r="W1353" t="inlineStr">
        <is>
          <t>Nej</t>
        </is>
      </c>
      <c r="X1353" t="inlineStr">
        <is>
          <t>Nej</t>
        </is>
      </c>
      <c r="Y1353" t="inlineStr">
        <is>
          <t>Ja</t>
        </is>
      </c>
      <c r="Z1353" t="inlineStr">
        <is>
          <t>Nej</t>
        </is>
      </c>
      <c r="AA1353" t="n">
        <v>7</v>
      </c>
      <c r="AB1353" t="inlineStr">
        <is>
          <t>Egenkontrollrutiner</t>
        </is>
      </c>
      <c r="AC1353" t="inlineStr">
        <is>
          <t>Egenkontrollprogram</t>
        </is>
      </c>
      <c r="AD1353" t="inlineStr">
        <is>
          <t>Nej</t>
        </is>
      </c>
      <c r="AE1353" t="inlineStr">
        <is>
          <t>Nej</t>
        </is>
      </c>
      <c r="AF1353" t="inlineStr">
        <is>
          <t>Ej behandlad</t>
        </is>
      </c>
      <c r="AG1353" t="inlineStr">
        <is>
          <t>AUTO_GENERERAD. Verifiera citat mot kallfil.</t>
        </is>
      </c>
      <c r="AH1353" t="inlineStr">
        <is>
          <t>MEDIUM</t>
        </is>
      </c>
      <c r="AI1353" t="inlineStr">
        <is>
          <t>AUTO</t>
        </is>
      </c>
      <c r="AJ1353" t="inlineStr">
        <is>
          <t>Nej</t>
        </is>
      </c>
      <c r="AK1353" t="inlineStr"/>
      <c r="AL1353" t="inlineStr"/>
      <c r="AM1353" t="inlineStr"/>
      <c r="AN1353" t="inlineStr"/>
      <c r="AO1353" t="inlineStr">
        <is>
          <t>cmm4yuoza023hcuqwb3u72dej</t>
        </is>
      </c>
      <c r="AP1353" t="inlineStr">
        <is>
          <t>http://localhost:8787/api/admin/requirements/documents/cmm4yuoza023hcuqwb3u72dej/view</t>
        </is>
      </c>
      <c r="AQ1353">
        <f>HYPERLÄNK("http://localhost:8787/api/admin/requirements/documents/cmm4yuoza023hcuqwb3u72dej/view";"Öppna PDF")</f>
        <v/>
      </c>
      <c r="AR1353">
        <f>HYPERLINK("http://localhost:8787/api/admin/requirements/documents/cmm4yuoza023hcuqwb3u72dej/view","Open PDF")</f>
        <v/>
      </c>
      <c r="AS1353" t="inlineStr">
        <is>
          <t>cmm55w57p0004cuisfrtpqly8</t>
        </is>
      </c>
      <c r="AT1353" t="inlineStr">
        <is>
          <t>cmm4xvu980000cuh4vj0usz09</t>
        </is>
      </c>
      <c r="AU1353" t="inlineStr">
        <is>
          <t>Sjöbo</t>
        </is>
      </c>
      <c r="AV1353" t="inlineStr">
        <is>
          <t>Kommun</t>
        </is>
      </c>
      <c r="AW1353" t="inlineStr">
        <is>
          <t>Sjöbo kommun</t>
        </is>
      </c>
      <c r="AX1353" t="inlineStr">
        <is>
          <t>2026-02</t>
        </is>
      </c>
      <c r="AY1353" t="inlineStr">
        <is>
          <t>Beslut</t>
        </is>
      </c>
      <c r="AZ1353" t="inlineStr">
        <is>
          <t>2026-02-03</t>
        </is>
      </c>
      <c r="BA1353" t="inlineStr">
        <is>
          <t>MILSK202515_2026-02-03.pdf</t>
        </is>
      </c>
      <c r="BB1353" t="inlineStr">
        <is>
          <t>Sv: till registrator</t>
        </is>
      </c>
      <c r="BC1353" t="inlineStr">
        <is>
          <t>AUTO</t>
        </is>
      </c>
      <c r="BD1353" t="inlineStr"/>
      <c r="BE1353" t="inlineStr"/>
      <c r="BF1353" t="inlineStr">
        <is>
          <t>AUTO_GENERERAD. Bekrafta metadata mot kallfil.</t>
        </is>
      </c>
      <c r="BG1353">
        <f>HYPERLINK("C:\Users\jimmy\Desktop\Examens arbete\Kod\Ny mapp\remix_-copy-of-miljöbeslut.se-portal\MILSK202515_2026-02-03.pdf", "Öppna PDF")</f>
        <v/>
      </c>
    </row>
    <row r="1354">
      <c r="A1354" t="inlineStr">
        <is>
          <t>KRAV-AUTO-001353</t>
        </is>
      </c>
      <c r="B1354" t="inlineStr">
        <is>
          <t>ADMIN-INDEX-2026-02-27-00000000125C043F57453246863FE664CAFE6A3F0700950291EA24F0614FB6ACEDB12BF0E31D00000000010C0000950291EA24F0614FB6ACEDB12BF0E31D00002087AEA60000</t>
        </is>
      </c>
      <c r="C1354" t="inlineStr">
        <is>
          <t>cmm4yuoyx0232cuqwbrf7i0qf</t>
        </is>
      </c>
      <c r="D1354" t="inlineStr">
        <is>
          <t>http://localhost:8787/api/admin/requirements/documents/cmm4yuoyx0232cuqwbrf7i0qf/view</t>
        </is>
      </c>
      <c r="E1354">
        <f>HYPERLÄNK("http://localhost:8787/api/admin/requirements/documents/cmm4yuoyx0232cuqwbrf7i0qf/view";"Öppna PDF")</f>
        <v/>
      </c>
      <c r="F1354">
        <f>HYPERLINK("http://localhost:8787/api/admin/requirements/documents/cmm4yuoyx0232cuqwbrf7i0qf/view","Open PDF")</f>
        <v/>
      </c>
      <c r="G1354" t="inlineStr">
        <is>
          <t>cmm55w57p0004cuisfrtpqly8</t>
        </is>
      </c>
      <c r="H1354" t="inlineStr">
        <is>
          <t>Beslutsvillkor</t>
        </is>
      </c>
      <c r="I1354" t="inlineStr">
        <is>
          <t>MiljopaverkanForsiktighet</t>
        </is>
      </c>
      <c r="J1354" t="inlineStr">
        <is>
          <t>Skyddsatgarder</t>
        </is>
      </c>
      <c r="K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4" t="inlineStr">
        <is>
          <t>SKA</t>
        </is>
      </c>
      <c r="N1354" t="inlineStr"/>
      <c r="O1354" t="inlineStr"/>
      <c r="P1354" t="inlineStr"/>
      <c r="Q1354" t="inlineStr">
        <is>
          <t>Forbud</t>
        </is>
      </c>
      <c r="R1354" t="inlineStr">
        <is>
          <t>Alltid</t>
        </is>
      </c>
      <c r="S1354" t="inlineStr"/>
      <c r="T1354" t="inlineStr">
        <is>
          <t>15 2026</t>
        </is>
      </c>
      <c r="U1354" t="inlineStr"/>
      <c r="V1354" t="inlineStr"/>
      <c r="W1354" t="inlineStr">
        <is>
          <t>Nej</t>
        </is>
      </c>
      <c r="X1354" t="inlineStr">
        <is>
          <t>Nej</t>
        </is>
      </c>
      <c r="Y1354" t="inlineStr">
        <is>
          <t>Nej</t>
        </is>
      </c>
      <c r="Z1354" t="inlineStr">
        <is>
          <t>Nej</t>
        </is>
      </c>
      <c r="AA1354" t="n">
        <v>10</v>
      </c>
      <c r="AB1354" t="inlineStr">
        <is>
          <t>Miljopaverkan och forsiktighetsmatt</t>
        </is>
      </c>
      <c r="AC1354" t="inlineStr">
        <is>
          <t>Miljo-PM</t>
        </is>
      </c>
      <c r="AD1354" t="inlineStr">
        <is>
          <t>Nej</t>
        </is>
      </c>
      <c r="AE1354" t="inlineStr">
        <is>
          <t>Nej</t>
        </is>
      </c>
      <c r="AF1354" t="inlineStr">
        <is>
          <t>Ej behandlad</t>
        </is>
      </c>
      <c r="AG1354" t="inlineStr">
        <is>
          <t>AUTO_GENERERAD. Verifiera citat mot kallfil.</t>
        </is>
      </c>
      <c r="AH1354" t="inlineStr">
        <is>
          <t>MEDIUM</t>
        </is>
      </c>
      <c r="AI1354" t="inlineStr">
        <is>
          <t>AUTO</t>
        </is>
      </c>
      <c r="AJ1354" t="inlineStr">
        <is>
          <t>Nej</t>
        </is>
      </c>
      <c r="AK1354" t="inlineStr"/>
      <c r="AL1354" t="inlineStr"/>
      <c r="AM1354" t="inlineStr"/>
      <c r="AN1354" t="inlineStr"/>
      <c r="AO1354" t="inlineStr">
        <is>
          <t>cmm4yuoyx0232cuqwbrf7i0qf</t>
        </is>
      </c>
      <c r="AP1354" t="inlineStr">
        <is>
          <t>http://localhost:8787/api/admin/requirements/documents/cmm4yuoyx0232cuqwbrf7i0qf/view</t>
        </is>
      </c>
      <c r="AQ1354">
        <f>HYPERLÄNK("http://localhost:8787/api/admin/requirements/documents/cmm4yuoyx0232cuqwbrf7i0qf/view";"Öppna PDF")</f>
        <v/>
      </c>
      <c r="AR1354">
        <f>HYPERLINK("http://localhost:8787/api/admin/requirements/documents/cmm4yuoyx0232cuqwbrf7i0qf/view","Open PDF")</f>
        <v/>
      </c>
      <c r="AS1354" t="inlineStr">
        <is>
          <t>cmm55w57p0004cuisfrtpqly8</t>
        </is>
      </c>
      <c r="AT1354" t="inlineStr">
        <is>
          <t>cmm4xvu980000cuh4vj0usz09</t>
        </is>
      </c>
      <c r="AU1354" t="inlineStr">
        <is>
          <t>Sjöbo</t>
        </is>
      </c>
      <c r="AV1354" t="inlineStr">
        <is>
          <t>Kommun</t>
        </is>
      </c>
      <c r="AW1354" t="inlineStr">
        <is>
          <t>Sjöbo kommun</t>
        </is>
      </c>
      <c r="AX1354" t="inlineStr">
        <is>
          <t>2026-02</t>
        </is>
      </c>
      <c r="AY1354" t="inlineStr">
        <is>
          <t>Beslut</t>
        </is>
      </c>
      <c r="AZ1354" t="inlineStr">
        <is>
          <t>2026-02-03</t>
        </is>
      </c>
      <c r="BA1354" t="inlineStr">
        <is>
          <t>MILSK202515_2026-02-03.pdf</t>
        </is>
      </c>
      <c r="BB1354" t="inlineStr">
        <is>
          <t>Sv: till registrator</t>
        </is>
      </c>
      <c r="BC1354" t="inlineStr">
        <is>
          <t>AUTO</t>
        </is>
      </c>
      <c r="BD1354" t="inlineStr"/>
      <c r="BE1354" t="inlineStr"/>
      <c r="BF1354" t="inlineStr">
        <is>
          <t>AUTO_GENERERAD. Bekrafta metadata mot kallfil.</t>
        </is>
      </c>
      <c r="BG1354">
        <f>HYPERLINK("C:\Users\jimmy\Desktop\Examens arbete\Kod\Ny mapp\remix_-copy-of-miljöbeslut.se-portal\MILSK202515_2026-02-03.pdf", "Öppna PDF")</f>
        <v/>
      </c>
    </row>
    <row r="1355">
      <c r="A1355" t="inlineStr">
        <is>
          <t>KRAV-AUTO-001354</t>
        </is>
      </c>
      <c r="B1355" t="inlineStr">
        <is>
          <t>ADMIN-INDEX-2026-02-27-00000000125C043F57453246863FE664CAFE6A3F0700950291EA24F0614FB6ACEDB12BF0E31D00000000010C0000950291EA24F0614FB6ACEDB12BF0E31D00002087AEA60000</t>
        </is>
      </c>
      <c r="C1355" t="inlineStr">
        <is>
          <t>cmm4yuoyx0232cuqwbrf7i0qf</t>
        </is>
      </c>
      <c r="D1355" t="inlineStr">
        <is>
          <t>http://localhost:8787/api/admin/requirements/documents/cmm4yuoyx0232cuqwbrf7i0qf/view</t>
        </is>
      </c>
      <c r="E1355">
        <f>HYPERLÄNK("http://localhost:8787/api/admin/requirements/documents/cmm4yuoyx0232cuqwbrf7i0qf/view";"Öppna PDF")</f>
        <v/>
      </c>
      <c r="F1355">
        <f>HYPERLINK("http://localhost:8787/api/admin/requirements/documents/cmm4yuoyx0232cuqwbrf7i0qf/view","Open PDF")</f>
        <v/>
      </c>
      <c r="G1355" t="inlineStr">
        <is>
          <t>cmm55w57p0004cuisfrtpqly8</t>
        </is>
      </c>
      <c r="H1355" t="inlineStr">
        <is>
          <t>Beslutsvillkor</t>
        </is>
      </c>
      <c r="I1355" t="inlineStr">
        <is>
          <t>DriftEgenkontroll</t>
        </is>
      </c>
      <c r="J1355" t="inlineStr">
        <is>
          <t>Journalforing</t>
        </is>
      </c>
      <c r="K1355" t="inlineStr">
        <is>
          <t>Avgörande för bedömningen blir då den ursprungskontroll från avfallslämnaren som ska finnas för massorna samt den rutin för mottagningskontroll och provtagning som upprättas inom ramen för egenkontrollen.</t>
        </is>
      </c>
      <c r="L1355" t="inlineStr">
        <is>
          <t>Avgörande för bedömningen blir då den ursprungskontroll från avfallslämnaren som ska finnas för massorna samt den rutin för mottagningskontroll och provtagning som upprättas inom ramen för egenkontrollen.</t>
        </is>
      </c>
      <c r="M1355" t="inlineStr">
        <is>
          <t>SKA</t>
        </is>
      </c>
      <c r="N1355" t="inlineStr"/>
      <c r="O1355" t="inlineStr"/>
      <c r="P1355" t="inlineStr"/>
      <c r="Q1355" t="inlineStr"/>
      <c r="R1355" t="inlineStr">
        <is>
          <t>Lopande drift</t>
        </is>
      </c>
      <c r="S1355" t="inlineStr"/>
      <c r="T1355" t="inlineStr">
        <is>
          <t>15 2026</t>
        </is>
      </c>
      <c r="U1355" t="inlineStr"/>
      <c r="V1355" t="inlineStr"/>
      <c r="W1355" t="inlineStr">
        <is>
          <t>Nej</t>
        </is>
      </c>
      <c r="X1355" t="inlineStr">
        <is>
          <t>Nej</t>
        </is>
      </c>
      <c r="Y1355" t="inlineStr">
        <is>
          <t>Ja</t>
        </is>
      </c>
      <c r="Z1355" t="inlineStr">
        <is>
          <t>Nej</t>
        </is>
      </c>
      <c r="AA1355" t="n">
        <v>7</v>
      </c>
      <c r="AB1355" t="inlineStr">
        <is>
          <t>Egenkontrollrutiner</t>
        </is>
      </c>
      <c r="AC1355" t="inlineStr">
        <is>
          <t>Egenkontrollprogram</t>
        </is>
      </c>
      <c r="AD1355" t="inlineStr">
        <is>
          <t>Nej</t>
        </is>
      </c>
      <c r="AE1355" t="inlineStr">
        <is>
          <t>Nej</t>
        </is>
      </c>
      <c r="AF1355" t="inlineStr">
        <is>
          <t>Ej behandlad</t>
        </is>
      </c>
      <c r="AG1355" t="inlineStr">
        <is>
          <t>AUTO_GENERERAD. Verifiera citat mot kallfil.</t>
        </is>
      </c>
      <c r="AH1355" t="inlineStr">
        <is>
          <t>MEDIUM</t>
        </is>
      </c>
      <c r="AI1355" t="inlineStr">
        <is>
          <t>AUTO</t>
        </is>
      </c>
      <c r="AJ1355" t="inlineStr">
        <is>
          <t>Nej</t>
        </is>
      </c>
      <c r="AK1355" t="inlineStr"/>
      <c r="AL1355" t="inlineStr"/>
      <c r="AM1355" t="inlineStr"/>
      <c r="AN1355" t="inlineStr"/>
      <c r="AO1355" t="inlineStr">
        <is>
          <t>cmm4yuoyx0232cuqwbrf7i0qf</t>
        </is>
      </c>
      <c r="AP1355" t="inlineStr">
        <is>
          <t>http://localhost:8787/api/admin/requirements/documents/cmm4yuoyx0232cuqwbrf7i0qf/view</t>
        </is>
      </c>
      <c r="AQ1355">
        <f>HYPERLÄNK("http://localhost:8787/api/admin/requirements/documents/cmm4yuoyx0232cuqwbrf7i0qf/view";"Öppna PDF")</f>
        <v/>
      </c>
      <c r="AR1355">
        <f>HYPERLINK("http://localhost:8787/api/admin/requirements/documents/cmm4yuoyx0232cuqwbrf7i0qf/view","Open PDF")</f>
        <v/>
      </c>
      <c r="AS1355" t="inlineStr">
        <is>
          <t>cmm55w57p0004cuisfrtpqly8</t>
        </is>
      </c>
      <c r="AT1355" t="inlineStr">
        <is>
          <t>cmm4xvu980000cuh4vj0usz09</t>
        </is>
      </c>
      <c r="AU1355" t="inlineStr">
        <is>
          <t>Sjöbo</t>
        </is>
      </c>
      <c r="AV1355" t="inlineStr">
        <is>
          <t>Kommun</t>
        </is>
      </c>
      <c r="AW1355" t="inlineStr">
        <is>
          <t>Sjöbo kommun</t>
        </is>
      </c>
      <c r="AX1355" t="inlineStr">
        <is>
          <t>2026-02</t>
        </is>
      </c>
      <c r="AY1355" t="inlineStr">
        <is>
          <t>Beslut</t>
        </is>
      </c>
      <c r="AZ1355" t="inlineStr">
        <is>
          <t>2026-02-03</t>
        </is>
      </c>
      <c r="BA1355" t="inlineStr">
        <is>
          <t>MILSK202515_2026-02-03.pdf</t>
        </is>
      </c>
      <c r="BB1355" t="inlineStr">
        <is>
          <t>Sv: till registrator</t>
        </is>
      </c>
      <c r="BC1355" t="inlineStr">
        <is>
          <t>AUTO</t>
        </is>
      </c>
      <c r="BD1355" t="inlineStr"/>
      <c r="BE1355" t="inlineStr"/>
      <c r="BF1355" t="inlineStr">
        <is>
          <t>AUTO_GENERERAD. Bekrafta metadata mot kallfil.</t>
        </is>
      </c>
      <c r="BG1355">
        <f>HYPERLINK("C:\Users\jimmy\Desktop\Examens arbete\Kod\Ny mapp\remix_-copy-of-miljöbeslut.se-portal\MILSK202515_2026-02-03.pdf", "Öppna PDF")</f>
        <v/>
      </c>
    </row>
    <row r="1356">
      <c r="A1356" t="inlineStr">
        <is>
          <t>KRAV-AUTO-001355</t>
        </is>
      </c>
      <c r="B1356" t="inlineStr">
        <is>
          <t>ADMIN-INDEX-2026-02-27-00000000125C043F57453246863FE664CAFE6A3F0700950291EA24F0614FB6ACEDB12BF0E31D00000000010C0000950291EA24F0614FB6ACEDB12BF0E31D00002087AEA60000</t>
        </is>
      </c>
      <c r="C1356" t="inlineStr">
        <is>
          <t>cmm4yuoyx0232cuqwbrf7i0qf</t>
        </is>
      </c>
      <c r="D1356" t="inlineStr">
        <is>
          <t>http://localhost:8787/api/admin/requirements/documents/cmm4yuoyx0232cuqwbrf7i0qf/view</t>
        </is>
      </c>
      <c r="E1356">
        <f>HYPERLÄNK("http://localhost:8787/api/admin/requirements/documents/cmm4yuoyx0232cuqwbrf7i0qf/view";"Öppna PDF")</f>
        <v/>
      </c>
      <c r="F1356">
        <f>HYPERLINK("http://localhost:8787/api/admin/requirements/documents/cmm4yuoyx0232cuqwbrf7i0qf/view","Open PDF")</f>
        <v/>
      </c>
      <c r="G1356" t="inlineStr">
        <is>
          <t>cmm55w57p0004cuisfrtpqly8</t>
        </is>
      </c>
      <c r="H1356" t="inlineStr">
        <is>
          <t>Beslutsvillkor</t>
        </is>
      </c>
      <c r="I1356" t="inlineStr">
        <is>
          <t>DagvattenLakvatten</t>
        </is>
      </c>
      <c r="J1356" t="inlineStr">
        <is>
          <t>Uppsamling</t>
        </is>
      </c>
      <c r="K1356" t="inlineStr">
        <is>
          <t>Inga behov av skyddsåtgärder för att minska föroreningsrisken på platsen föreligger.</t>
        </is>
      </c>
      <c r="L1356" t="inlineStr">
        <is>
          <t>Inga behov av skyddsåtgärder för att minska föroreningsrisken på platsen föreligger.</t>
        </is>
      </c>
      <c r="M1356" t="inlineStr">
        <is>
          <t>SKA</t>
        </is>
      </c>
      <c r="N1356" t="inlineStr"/>
      <c r="O1356" t="inlineStr"/>
      <c r="P1356" t="inlineStr"/>
      <c r="Q1356" t="inlineStr"/>
      <c r="R1356" t="inlineStr">
        <is>
          <t>Vid nederbord och avrinning</t>
        </is>
      </c>
      <c r="S1356" t="inlineStr"/>
      <c r="T1356" t="inlineStr">
        <is>
          <t>15 2026</t>
        </is>
      </c>
      <c r="U1356" t="inlineStr"/>
      <c r="V1356" t="inlineStr"/>
      <c r="W1356" t="inlineStr">
        <is>
          <t>Nej</t>
        </is>
      </c>
      <c r="X1356" t="inlineStr">
        <is>
          <t>Ja</t>
        </is>
      </c>
      <c r="Y1356" t="inlineStr">
        <is>
          <t>Ja</t>
        </is>
      </c>
      <c r="Z1356" t="inlineStr">
        <is>
          <t>Nej</t>
        </is>
      </c>
      <c r="AA1356" t="n">
        <v>6</v>
      </c>
      <c r="AB1356" t="inlineStr">
        <is>
          <t>Lakvattenhantering</t>
        </is>
      </c>
      <c r="AC1356" t="inlineStr">
        <is>
          <t>Flodesschema dagvatten-lakvatten</t>
        </is>
      </c>
      <c r="AD1356" t="inlineStr">
        <is>
          <t>Nej</t>
        </is>
      </c>
      <c r="AE1356" t="inlineStr">
        <is>
          <t>Nej</t>
        </is>
      </c>
      <c r="AF1356" t="inlineStr">
        <is>
          <t>Ej behandlad</t>
        </is>
      </c>
      <c r="AG1356" t="inlineStr">
        <is>
          <t>AUTO_GENERERAD. Verifiera citat mot kallfil.</t>
        </is>
      </c>
      <c r="AH1356" t="inlineStr">
        <is>
          <t>MEDIUM</t>
        </is>
      </c>
      <c r="AI1356" t="inlineStr">
        <is>
          <t>AUTO</t>
        </is>
      </c>
      <c r="AJ1356" t="inlineStr">
        <is>
          <t>Nej</t>
        </is>
      </c>
      <c r="AK1356" t="inlineStr"/>
      <c r="AL1356" t="inlineStr"/>
      <c r="AM1356" t="inlineStr"/>
      <c r="AN1356" t="inlineStr"/>
      <c r="AO1356" t="inlineStr">
        <is>
          <t>cmm4yuoyx0232cuqwbrf7i0qf</t>
        </is>
      </c>
      <c r="AP1356" t="inlineStr">
        <is>
          <t>http://localhost:8787/api/admin/requirements/documents/cmm4yuoyx0232cuqwbrf7i0qf/view</t>
        </is>
      </c>
      <c r="AQ1356">
        <f>HYPERLÄNK("http://localhost:8787/api/admin/requirements/documents/cmm4yuoyx0232cuqwbrf7i0qf/view";"Öppna PDF")</f>
        <v/>
      </c>
      <c r="AR1356">
        <f>HYPERLINK("http://localhost:8787/api/admin/requirements/documents/cmm4yuoyx0232cuqwbrf7i0qf/view","Open PDF")</f>
        <v/>
      </c>
      <c r="AS1356" t="inlineStr">
        <is>
          <t>cmm55w57p0004cuisfrtpqly8</t>
        </is>
      </c>
      <c r="AT1356" t="inlineStr">
        <is>
          <t>cmm4xvu980000cuh4vj0usz09</t>
        </is>
      </c>
      <c r="AU1356" t="inlineStr">
        <is>
          <t>Sjöbo</t>
        </is>
      </c>
      <c r="AV1356" t="inlineStr">
        <is>
          <t>Kommun</t>
        </is>
      </c>
      <c r="AW1356" t="inlineStr">
        <is>
          <t>Sjöbo kommun</t>
        </is>
      </c>
      <c r="AX1356" t="inlineStr">
        <is>
          <t>2026-02</t>
        </is>
      </c>
      <c r="AY1356" t="inlineStr">
        <is>
          <t>Beslut</t>
        </is>
      </c>
      <c r="AZ1356" t="inlineStr">
        <is>
          <t>2026-02-03</t>
        </is>
      </c>
      <c r="BA1356" t="inlineStr">
        <is>
          <t>MILSK202515_2026-02-03.pdf</t>
        </is>
      </c>
      <c r="BB1356" t="inlineStr">
        <is>
          <t>Sv: till registrator</t>
        </is>
      </c>
      <c r="BC1356" t="inlineStr">
        <is>
          <t>AUTO</t>
        </is>
      </c>
      <c r="BD1356" t="inlineStr"/>
      <c r="BE1356" t="inlineStr"/>
      <c r="BF1356" t="inlineStr">
        <is>
          <t>AUTO_GENERERAD. Bekrafta metadata mot kallfil.</t>
        </is>
      </c>
      <c r="BG1356">
        <f>HYPERLINK("C:\Users\jimmy\Desktop\Examens arbete\Kod\Ny mapp\remix_-copy-of-miljöbeslut.se-portal\MILSK202515_2026-02-03.pdf", "Öppna PDF")</f>
        <v/>
      </c>
    </row>
    <row r="1357">
      <c r="A1357" t="inlineStr">
        <is>
          <t>KRAV-AUTO-001356</t>
        </is>
      </c>
      <c r="B1357" t="inlineStr">
        <is>
          <t>ADMIN-INDEX-2026-02-27-00000000125C043F57453246863FE664CAFE6A3F0700950291EA24F0614FB6ACEDB12BF0E31D00000000010C0000950291EA24F0614FB6ACEDB12BF0E31D00002087AEA60000</t>
        </is>
      </c>
      <c r="C1357" t="inlineStr">
        <is>
          <t>cmm4yuoyt022zcuqwqomedd43</t>
        </is>
      </c>
      <c r="D1357" t="inlineStr">
        <is>
          <t>http://localhost:8787/api/admin/requirements/documents/cmm4yuoyt022zcuqwqomedd43/view</t>
        </is>
      </c>
      <c r="E1357">
        <f>HYPERLÄNK("http://localhost:8787/api/admin/requirements/documents/cmm4yuoyt022zcuqwqomedd43/view";"Öppna PDF")</f>
        <v/>
      </c>
      <c r="F1357">
        <f>HYPERLINK("http://localhost:8787/api/admin/requirements/documents/cmm4yuoyt022zcuqwqomedd43/view","Open PDF")</f>
        <v/>
      </c>
      <c r="G1357" t="inlineStr">
        <is>
          <t>cmm55w57p0004cuisfrtpqly8</t>
        </is>
      </c>
      <c r="H1357" t="inlineStr">
        <is>
          <t>Beslutsvillkor</t>
        </is>
      </c>
      <c r="I1357" t="inlineStr">
        <is>
          <t>DagvattenLakvatten</t>
        </is>
      </c>
      <c r="J1357" t="inlineStr">
        <is>
          <t>Uppsamling</t>
        </is>
      </c>
      <c r="K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57" t="inlineStr">
        <is>
          <t>SKA</t>
        </is>
      </c>
      <c r="N1357" t="inlineStr"/>
      <c r="O1357" t="inlineStr"/>
      <c r="P1357" t="inlineStr"/>
      <c r="Q1357" t="inlineStr"/>
      <c r="R1357" t="inlineStr">
        <is>
          <t>Vid nederbord och avrinning</t>
        </is>
      </c>
      <c r="S1357" t="inlineStr"/>
      <c r="T1357" t="inlineStr">
        <is>
          <t>616701</t>
        </is>
      </c>
      <c r="U1357" t="inlineStr"/>
      <c r="V1357" t="inlineStr"/>
      <c r="W1357" t="inlineStr">
        <is>
          <t>Nej</t>
        </is>
      </c>
      <c r="X1357" t="inlineStr">
        <is>
          <t>Ja</t>
        </is>
      </c>
      <c r="Y1357" t="inlineStr">
        <is>
          <t>Ja</t>
        </is>
      </c>
      <c r="Z1357" t="inlineStr">
        <is>
          <t>Nej</t>
        </is>
      </c>
      <c r="AA1357" t="n">
        <v>6</v>
      </c>
      <c r="AB1357" t="inlineStr">
        <is>
          <t>Lakvattenhantering</t>
        </is>
      </c>
      <c r="AC1357" t="inlineStr">
        <is>
          <t>Flodesschema dagvatten-lakvatten</t>
        </is>
      </c>
      <c r="AD1357" t="inlineStr">
        <is>
          <t>Nej</t>
        </is>
      </c>
      <c r="AE1357" t="inlineStr">
        <is>
          <t>Nej</t>
        </is>
      </c>
      <c r="AF1357" t="inlineStr">
        <is>
          <t>Ej behandlad</t>
        </is>
      </c>
      <c r="AG1357" t="inlineStr">
        <is>
          <t>AUTO_GENERERAD. Verifiera citat mot kallfil.</t>
        </is>
      </c>
      <c r="AH1357" t="inlineStr">
        <is>
          <t>MEDIUM</t>
        </is>
      </c>
      <c r="AI1357" t="inlineStr">
        <is>
          <t>AUTO</t>
        </is>
      </c>
      <c r="AJ1357" t="inlineStr">
        <is>
          <t>Nej</t>
        </is>
      </c>
      <c r="AK1357" t="inlineStr"/>
      <c r="AL1357" t="inlineStr"/>
      <c r="AM1357" t="inlineStr"/>
      <c r="AN1357" t="inlineStr"/>
      <c r="AO1357" t="inlineStr">
        <is>
          <t>cmm4yuoyx0232cuqwbrf7i0qf</t>
        </is>
      </c>
      <c r="AP1357" t="inlineStr">
        <is>
          <t>http://localhost:8787/api/admin/requirements/documents/cmm4yuoyx0232cuqwbrf7i0qf/view</t>
        </is>
      </c>
      <c r="AQ1357">
        <f>HYPERLÄNK("http://localhost:8787/api/admin/requirements/documents/cmm4yuoyx0232cuqwbrf7i0qf/view";"Öppna PDF")</f>
        <v/>
      </c>
      <c r="AR1357">
        <f>HYPERLINK("http://localhost:8787/api/admin/requirements/documents/cmm4yuoyx0232cuqwbrf7i0qf/view","Open PDF")</f>
        <v/>
      </c>
      <c r="AS1357" t="inlineStr">
        <is>
          <t>cmm55w57p0004cuisfrtpqly8</t>
        </is>
      </c>
      <c r="AT1357" t="inlineStr">
        <is>
          <t>cmm4xvu980000cuh4vj0usz09</t>
        </is>
      </c>
      <c r="AU1357" t="inlineStr">
        <is>
          <t>Sjöbo</t>
        </is>
      </c>
      <c r="AV1357" t="inlineStr">
        <is>
          <t>Kommun</t>
        </is>
      </c>
      <c r="AW1357" t="inlineStr">
        <is>
          <t>Sjöbo kommun</t>
        </is>
      </c>
      <c r="AX1357" t="inlineStr">
        <is>
          <t>2026-02</t>
        </is>
      </c>
      <c r="AY1357" t="inlineStr">
        <is>
          <t>Beslut</t>
        </is>
      </c>
      <c r="AZ1357" t="inlineStr">
        <is>
          <t>2026-02-03</t>
        </is>
      </c>
      <c r="BA1357" t="inlineStr">
        <is>
          <t>MILSK202515_2026-02-03.pdf</t>
        </is>
      </c>
      <c r="BB1357" t="inlineStr">
        <is>
          <t>Sv: till registrator</t>
        </is>
      </c>
      <c r="BC1357" t="inlineStr">
        <is>
          <t>AUTO</t>
        </is>
      </c>
      <c r="BD1357" t="inlineStr"/>
      <c r="BE1357" t="inlineStr"/>
      <c r="BF1357" t="inlineStr">
        <is>
          <t>AUTO_GENERERAD. Bekrafta metadata mot kallfil.</t>
        </is>
      </c>
      <c r="BG1357">
        <f>HYPERLINK("C:\Users\jimmy\Desktop\Examens arbete\Kod\Ny mapp\remix_-copy-of-miljöbeslut.se-portal\MILSK202515_2026-02-03.pdf", "Öppna PDF")</f>
        <v/>
      </c>
    </row>
    <row r="1358">
      <c r="A1358" t="inlineStr">
        <is>
          <t>KRAV-AUTO-001357</t>
        </is>
      </c>
      <c r="B1358" t="inlineStr">
        <is>
          <t>ADMIN-INDEX-2026-02-27-00000000125C043F57453246863FE664CAFE6A3F0700950291EA24F0614FB6ACEDB12BF0E31D00000000010C0000950291EA24F0614FB6ACEDB12BF0E31D00002087AEA60000</t>
        </is>
      </c>
      <c r="C1358" t="inlineStr">
        <is>
          <t>cmm4yuoyt022zcuqwqomedd43</t>
        </is>
      </c>
      <c r="D1358" t="inlineStr">
        <is>
          <t>http://localhost:8787/api/admin/requirements/documents/cmm4yuoyt022zcuqwqomedd43/view</t>
        </is>
      </c>
      <c r="E1358">
        <f>HYPERLÄNK("http://localhost:8787/api/admin/requirements/documents/cmm4yuoyt022zcuqwqomedd43/view";"Öppna PDF")</f>
        <v/>
      </c>
      <c r="F1358">
        <f>HYPERLINK("http://localhost:8787/api/admin/requirements/documents/cmm4yuoyt022zcuqwqomedd43/view","Open PDF")</f>
        <v/>
      </c>
      <c r="G1358" t="inlineStr">
        <is>
          <t>cmm55w57p0004cuisfrtpqly8</t>
        </is>
      </c>
      <c r="H1358" t="inlineStr">
        <is>
          <t>Beslutsvillkor</t>
        </is>
      </c>
      <c r="I1358" t="inlineStr">
        <is>
          <t>MiljopaverkanForsiktighet</t>
        </is>
      </c>
      <c r="J1358" t="inlineStr">
        <is>
          <t>Skyddsatgarder</t>
        </is>
      </c>
      <c r="K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58" t="inlineStr">
        <is>
          <t>SKA</t>
        </is>
      </c>
      <c r="N1358" t="inlineStr"/>
      <c r="O1358" t="inlineStr">
        <is>
          <t>2025-04-24</t>
        </is>
      </c>
      <c r="P1358" t="inlineStr"/>
      <c r="Q1358" t="inlineStr">
        <is>
          <t>Forbud</t>
        </is>
      </c>
      <c r="R1358" t="inlineStr">
        <is>
          <t>Alltid</t>
        </is>
      </c>
      <c r="S1358" t="inlineStr"/>
      <c r="T1358" t="inlineStr">
        <is>
          <t>618643</t>
        </is>
      </c>
      <c r="U1358" t="inlineStr"/>
      <c r="V1358" t="inlineStr"/>
      <c r="W1358" t="inlineStr">
        <is>
          <t>Nej</t>
        </is>
      </c>
      <c r="X1358" t="inlineStr">
        <is>
          <t>Nej</t>
        </is>
      </c>
      <c r="Y1358" t="inlineStr">
        <is>
          <t>Nej</t>
        </is>
      </c>
      <c r="Z1358" t="inlineStr">
        <is>
          <t>Nej</t>
        </is>
      </c>
      <c r="AA1358" t="n">
        <v>10</v>
      </c>
      <c r="AB1358" t="inlineStr">
        <is>
          <t>Miljopaverkan och forsiktighetsmatt</t>
        </is>
      </c>
      <c r="AC1358" t="inlineStr">
        <is>
          <t>Miljo-PM</t>
        </is>
      </c>
      <c r="AD1358" t="inlineStr">
        <is>
          <t>Nej</t>
        </is>
      </c>
      <c r="AE1358" t="inlineStr">
        <is>
          <t>Nej</t>
        </is>
      </c>
      <c r="AF1358" t="inlineStr">
        <is>
          <t>Ej behandlad</t>
        </is>
      </c>
      <c r="AG1358" t="inlineStr">
        <is>
          <t>AUTO_GENERERAD. Verifiera citat mot kallfil.</t>
        </is>
      </c>
      <c r="AH1358" t="inlineStr">
        <is>
          <t>MEDIUM</t>
        </is>
      </c>
      <c r="AI1358" t="inlineStr">
        <is>
          <t>AUTO</t>
        </is>
      </c>
      <c r="AJ1358" t="inlineStr">
        <is>
          <t>Nej</t>
        </is>
      </c>
      <c r="AK1358" t="inlineStr"/>
      <c r="AL1358" t="inlineStr"/>
      <c r="AM1358" t="inlineStr"/>
      <c r="AN1358" t="inlineStr"/>
      <c r="AO1358" t="inlineStr">
        <is>
          <t>cmm4yuoyx0232cuqwbrf7i0qf</t>
        </is>
      </c>
      <c r="AP1358" t="inlineStr">
        <is>
          <t>http://localhost:8787/api/admin/requirements/documents/cmm4yuoyx0232cuqwbrf7i0qf/view</t>
        </is>
      </c>
      <c r="AQ1358">
        <f>HYPERLÄNK("http://localhost:8787/api/admin/requirements/documents/cmm4yuoyx0232cuqwbrf7i0qf/view";"Öppna PDF")</f>
        <v/>
      </c>
      <c r="AR1358">
        <f>HYPERLINK("http://localhost:8787/api/admin/requirements/documents/cmm4yuoyx0232cuqwbrf7i0qf/view","Open PDF")</f>
        <v/>
      </c>
      <c r="AS1358" t="inlineStr">
        <is>
          <t>cmm55w57p0004cuisfrtpqly8</t>
        </is>
      </c>
      <c r="AT1358" t="inlineStr">
        <is>
          <t>cmm4xvu980000cuh4vj0usz09</t>
        </is>
      </c>
      <c r="AU1358" t="inlineStr">
        <is>
          <t>Sjöbo</t>
        </is>
      </c>
      <c r="AV1358" t="inlineStr">
        <is>
          <t>Kommun</t>
        </is>
      </c>
      <c r="AW1358" t="inlineStr">
        <is>
          <t>Sjöbo kommun</t>
        </is>
      </c>
      <c r="AX1358" t="inlineStr">
        <is>
          <t>2026-02</t>
        </is>
      </c>
      <c r="AY1358" t="inlineStr">
        <is>
          <t>Beslut</t>
        </is>
      </c>
      <c r="AZ1358" t="inlineStr">
        <is>
          <t>2026-02-03</t>
        </is>
      </c>
      <c r="BA1358" t="inlineStr">
        <is>
          <t>MILSK202515_2026-02-03.pdf</t>
        </is>
      </c>
      <c r="BB1358" t="inlineStr">
        <is>
          <t>Sv: till registrator</t>
        </is>
      </c>
      <c r="BC1358" t="inlineStr">
        <is>
          <t>AUTO</t>
        </is>
      </c>
      <c r="BD1358" t="inlineStr"/>
      <c r="BE1358" t="inlineStr"/>
      <c r="BF1358" t="inlineStr">
        <is>
          <t>AUTO_GENERERAD. Bekrafta metadata mot kallfil.</t>
        </is>
      </c>
      <c r="BG1358">
        <f>HYPERLINK("C:\Users\jimmy\Desktop\Examens arbete\Kod\Ny mapp\remix_-copy-of-miljöbeslut.se-portal\MILSK202515_2026-02-03.pdf", "Öppna PDF")</f>
        <v/>
      </c>
    </row>
    <row r="1359">
      <c r="A1359" t="inlineStr">
        <is>
          <t>KRAV-AUTO-001358</t>
        </is>
      </c>
      <c r="B1359" t="inlineStr">
        <is>
          <t>ADMIN-INDEX-2026-02-27-00000000125C043F57453246863FE664CAFE6A3F0700950291EA24F0614FB6ACEDB12BF0E31D00000000010C0000950291EA24F0614FB6ACEDB12BF0E31D00002087AEA60000</t>
        </is>
      </c>
      <c r="C1359" t="inlineStr">
        <is>
          <t>cmm4yuoyt022zcuqwqomedd43</t>
        </is>
      </c>
      <c r="D1359" t="inlineStr">
        <is>
          <t>http://localhost:8787/api/admin/requirements/documents/cmm4yuoyt022zcuqwqomedd43/view</t>
        </is>
      </c>
      <c r="E1359">
        <f>HYPERLÄNK("http://localhost:8787/api/admin/requirements/documents/cmm4yuoyt022zcuqwqomedd43/view";"Öppna PDF")</f>
        <v/>
      </c>
      <c r="F1359">
        <f>HYPERLINK("http://localhost:8787/api/admin/requirements/documents/cmm4yuoyt022zcuqwqomedd43/view","Open PDF")</f>
        <v/>
      </c>
      <c r="G1359" t="inlineStr">
        <is>
          <t>cmm55w57p0004cuisfrtpqly8</t>
        </is>
      </c>
      <c r="H1359" t="inlineStr">
        <is>
          <t>Beslutsvillkor</t>
        </is>
      </c>
      <c r="I1359" t="inlineStr">
        <is>
          <t>DriftEgenkontroll</t>
        </is>
      </c>
      <c r="J1359" t="inlineStr">
        <is>
          <t>Journalforing</t>
        </is>
      </c>
      <c r="K1359" t="inlineStr">
        <is>
          <t>I tillägg till detta ska betong alltid vara provtaget med avseende på krom VI.</t>
        </is>
      </c>
      <c r="L1359" t="inlineStr">
        <is>
          <t>I tillägg till detta ska betong alltid vara provtaget med avseende på krom VI.</t>
        </is>
      </c>
      <c r="M1359" t="inlineStr">
        <is>
          <t>SKA</t>
        </is>
      </c>
      <c r="N1359" t="inlineStr"/>
      <c r="O1359" t="inlineStr"/>
      <c r="P1359" t="inlineStr"/>
      <c r="Q1359" t="inlineStr"/>
      <c r="R1359" t="inlineStr">
        <is>
          <t>Lopande drift</t>
        </is>
      </c>
      <c r="S1359" t="inlineStr"/>
      <c r="T1359" t="inlineStr">
        <is>
          <t>616701</t>
        </is>
      </c>
      <c r="U1359" t="inlineStr"/>
      <c r="V1359" t="inlineStr"/>
      <c r="W1359" t="inlineStr">
        <is>
          <t>Nej</t>
        </is>
      </c>
      <c r="X1359" t="inlineStr">
        <is>
          <t>Nej</t>
        </is>
      </c>
      <c r="Y1359" t="inlineStr">
        <is>
          <t>Ja</t>
        </is>
      </c>
      <c r="Z1359" t="inlineStr">
        <is>
          <t>Nej</t>
        </is>
      </c>
      <c r="AA1359" t="n">
        <v>7</v>
      </c>
      <c r="AB1359" t="inlineStr">
        <is>
          <t>Egenkontrollrutiner</t>
        </is>
      </c>
      <c r="AC1359" t="inlineStr">
        <is>
          <t>Egenkontrollprogram</t>
        </is>
      </c>
      <c r="AD1359" t="inlineStr">
        <is>
          <t>Nej</t>
        </is>
      </c>
      <c r="AE1359" t="inlineStr">
        <is>
          <t>Nej</t>
        </is>
      </c>
      <c r="AF1359" t="inlineStr">
        <is>
          <t>Ej behandlad</t>
        </is>
      </c>
      <c r="AG1359" t="inlineStr">
        <is>
          <t>AUTO_GENERERAD. Verifiera citat mot kallfil.</t>
        </is>
      </c>
      <c r="AH1359" t="inlineStr">
        <is>
          <t>MEDIUM</t>
        </is>
      </c>
      <c r="AI1359" t="inlineStr">
        <is>
          <t>AUTO</t>
        </is>
      </c>
      <c r="AJ1359" t="inlineStr">
        <is>
          <t>Nej</t>
        </is>
      </c>
      <c r="AK1359" t="inlineStr"/>
      <c r="AL1359" t="inlineStr"/>
      <c r="AM1359" t="inlineStr"/>
      <c r="AN1359" t="inlineStr"/>
      <c r="AO1359" t="inlineStr">
        <is>
          <t>cmm4yuoyx0232cuqwbrf7i0qf</t>
        </is>
      </c>
      <c r="AP1359" t="inlineStr">
        <is>
          <t>http://localhost:8787/api/admin/requirements/documents/cmm4yuoyx0232cuqwbrf7i0qf/view</t>
        </is>
      </c>
      <c r="AQ1359">
        <f>HYPERLÄNK("http://localhost:8787/api/admin/requirements/documents/cmm4yuoyx0232cuqwbrf7i0qf/view";"Öppna PDF")</f>
        <v/>
      </c>
      <c r="AR1359">
        <f>HYPERLINK("http://localhost:8787/api/admin/requirements/documents/cmm4yuoyx0232cuqwbrf7i0qf/view","Open PDF")</f>
        <v/>
      </c>
      <c r="AS1359" t="inlineStr">
        <is>
          <t>cmm55w57p0004cuisfrtpqly8</t>
        </is>
      </c>
      <c r="AT1359" t="inlineStr">
        <is>
          <t>cmm4xvu980000cuh4vj0usz09</t>
        </is>
      </c>
      <c r="AU1359" t="inlineStr">
        <is>
          <t>Sjöbo</t>
        </is>
      </c>
      <c r="AV1359" t="inlineStr">
        <is>
          <t>Kommun</t>
        </is>
      </c>
      <c r="AW1359" t="inlineStr">
        <is>
          <t>Sjöbo kommun</t>
        </is>
      </c>
      <c r="AX1359" t="inlineStr">
        <is>
          <t>2026-02</t>
        </is>
      </c>
      <c r="AY1359" t="inlineStr">
        <is>
          <t>Beslut</t>
        </is>
      </c>
      <c r="AZ1359" t="inlineStr">
        <is>
          <t>2026-02-03</t>
        </is>
      </c>
      <c r="BA1359" t="inlineStr">
        <is>
          <t>MILSK202515_2026-02-03.pdf</t>
        </is>
      </c>
      <c r="BB1359" t="inlineStr">
        <is>
          <t>Sv: till registrator</t>
        </is>
      </c>
      <c r="BC1359" t="inlineStr">
        <is>
          <t>AUTO</t>
        </is>
      </c>
      <c r="BD1359" t="inlineStr"/>
      <c r="BE1359" t="inlineStr"/>
      <c r="BF1359" t="inlineStr">
        <is>
          <t>AUTO_GENERERAD. Bekrafta metadata mot kallfil.</t>
        </is>
      </c>
      <c r="BG1359">
        <f>HYPERLINK("C:\Users\jimmy\Desktop\Examens arbete\Kod\Ny mapp\remix_-copy-of-miljöbeslut.se-portal\MILSK202515_2026-02-03.pdf", "Öppna PDF")</f>
        <v/>
      </c>
    </row>
    <row r="1360">
      <c r="A1360" t="inlineStr">
        <is>
          <t>KRAV-AUTO-001359</t>
        </is>
      </c>
      <c r="B1360" t="inlineStr">
        <is>
          <t>ADMIN-INDEX-2026-02-27-00000000125C043F57453246863FE664CAFE6A3F0700950291EA24F0614FB6ACEDB12BF0E31D00000000010C0000950291EA24F0614FB6ACEDB12BF0E31D00002087AEA60000</t>
        </is>
      </c>
      <c r="C1360" t="inlineStr">
        <is>
          <t>cmm4yuoyq022wcuqwzoddog8c</t>
        </is>
      </c>
      <c r="D1360" t="inlineStr">
        <is>
          <t>http://localhost:8787/api/admin/requirements/documents/cmm4yuoyq022wcuqwzoddog8c/view</t>
        </is>
      </c>
      <c r="E1360">
        <f>HYPERLÄNK("http://localhost:8787/api/admin/requirements/documents/cmm4yuoyq022wcuqwzoddog8c/view";"Öppna PDF")</f>
        <v/>
      </c>
      <c r="F1360">
        <f>HYPERLINK("http://localhost:8787/api/admin/requirements/documents/cmm4yuoyq022wcuqwzoddog8c/view","Open PDF")</f>
        <v/>
      </c>
      <c r="G1360" t="inlineStr">
        <is>
          <t>cmm55w57p0004cuisfrtpqly8</t>
        </is>
      </c>
      <c r="H1360" t="inlineStr">
        <is>
          <t>Beslutsvillkor</t>
        </is>
      </c>
      <c r="I1360" t="inlineStr">
        <is>
          <t>DagvattenLakvatten</t>
        </is>
      </c>
      <c r="J1360" t="inlineStr">
        <is>
          <t>Uppsamling</t>
        </is>
      </c>
      <c r="K1360" t="inlineStr">
        <is>
          <t>- Risken att vattenbrunnar och vattendrag skall påverkas är ringa då lagringsytan är utrustad med hårdgjord och tät yta, samt lakvattenhantering.</t>
        </is>
      </c>
      <c r="L1360" t="inlineStr">
        <is>
          <t>- Risken att vattenbrunnar och vattendrag skall påverkas är ringa då lagringsytan är utrustad med hårdgjord och tät yta, samt lakvattenhantering.</t>
        </is>
      </c>
      <c r="M1360" t="inlineStr">
        <is>
          <t>SKA</t>
        </is>
      </c>
      <c r="N1360" t="inlineStr"/>
      <c r="O1360" t="inlineStr"/>
      <c r="P1360" t="inlineStr"/>
      <c r="Q1360" t="inlineStr"/>
      <c r="R1360" t="inlineStr">
        <is>
          <t>Vid nederbord och avrinning</t>
        </is>
      </c>
      <c r="S1360" t="inlineStr"/>
      <c r="T1360" t="inlineStr">
        <is>
          <t>637349</t>
        </is>
      </c>
      <c r="U1360" t="inlineStr"/>
      <c r="V1360" t="inlineStr"/>
      <c r="W1360" t="inlineStr">
        <is>
          <t>Nej</t>
        </is>
      </c>
      <c r="X1360" t="inlineStr">
        <is>
          <t>Ja</t>
        </is>
      </c>
      <c r="Y1360" t="inlineStr">
        <is>
          <t>Ja</t>
        </is>
      </c>
      <c r="Z1360" t="inlineStr">
        <is>
          <t>Nej</t>
        </is>
      </c>
      <c r="AA1360" t="n">
        <v>6</v>
      </c>
      <c r="AB1360" t="inlineStr">
        <is>
          <t>Lakvattenhantering</t>
        </is>
      </c>
      <c r="AC1360" t="inlineStr">
        <is>
          <t>Flodesschema dagvatten-lakvatten</t>
        </is>
      </c>
      <c r="AD1360" t="inlineStr">
        <is>
          <t>Nej</t>
        </is>
      </c>
      <c r="AE1360" t="inlineStr">
        <is>
          <t>Nej</t>
        </is>
      </c>
      <c r="AF1360" t="inlineStr">
        <is>
          <t>Ej behandlad</t>
        </is>
      </c>
      <c r="AG1360" t="inlineStr">
        <is>
          <t>AUTO_GENERERAD. Verifiera citat mot kallfil.</t>
        </is>
      </c>
      <c r="AH1360" t="inlineStr">
        <is>
          <t>MEDIUM</t>
        </is>
      </c>
      <c r="AI1360" t="inlineStr">
        <is>
          <t>AUTO</t>
        </is>
      </c>
      <c r="AJ1360" t="inlineStr">
        <is>
          <t>Nej</t>
        </is>
      </c>
      <c r="AK1360" t="inlineStr"/>
      <c r="AL1360" t="inlineStr"/>
      <c r="AM1360" t="inlineStr"/>
      <c r="AN1360" t="inlineStr"/>
      <c r="AO1360" t="inlineStr">
        <is>
          <t>cmm4yuoyx0232cuqwbrf7i0qf</t>
        </is>
      </c>
      <c r="AP1360" t="inlineStr">
        <is>
          <t>http://localhost:8787/api/admin/requirements/documents/cmm4yuoyx0232cuqwbrf7i0qf/view</t>
        </is>
      </c>
      <c r="AQ1360">
        <f>HYPERLÄNK("http://localhost:8787/api/admin/requirements/documents/cmm4yuoyx0232cuqwbrf7i0qf/view";"Öppna PDF")</f>
        <v/>
      </c>
      <c r="AR1360">
        <f>HYPERLINK("http://localhost:8787/api/admin/requirements/documents/cmm4yuoyx0232cuqwbrf7i0qf/view","Open PDF")</f>
        <v/>
      </c>
      <c r="AS1360" t="inlineStr">
        <is>
          <t>cmm55w57p0004cuisfrtpqly8</t>
        </is>
      </c>
      <c r="AT1360" t="inlineStr">
        <is>
          <t>cmm4xvu980000cuh4vj0usz09</t>
        </is>
      </c>
      <c r="AU1360" t="inlineStr">
        <is>
          <t>Sjöbo</t>
        </is>
      </c>
      <c r="AV1360" t="inlineStr">
        <is>
          <t>Kommun</t>
        </is>
      </c>
      <c r="AW1360" t="inlineStr">
        <is>
          <t>Sjöbo kommun</t>
        </is>
      </c>
      <c r="AX1360" t="inlineStr">
        <is>
          <t>2026-02</t>
        </is>
      </c>
      <c r="AY1360" t="inlineStr">
        <is>
          <t>Beslut</t>
        </is>
      </c>
      <c r="AZ1360" t="inlineStr">
        <is>
          <t>2026-02-03</t>
        </is>
      </c>
      <c r="BA1360" t="inlineStr">
        <is>
          <t>MILSK202515_2026-02-03.pdf</t>
        </is>
      </c>
      <c r="BB1360" t="inlineStr">
        <is>
          <t>Sv: till registrator</t>
        </is>
      </c>
      <c r="BC1360" t="inlineStr">
        <is>
          <t>AUTO</t>
        </is>
      </c>
      <c r="BD1360" t="inlineStr"/>
      <c r="BE1360" t="inlineStr"/>
      <c r="BF1360" t="inlineStr">
        <is>
          <t>AUTO_GENERERAD. Bekrafta metadata mot kallfil.</t>
        </is>
      </c>
      <c r="BG1360">
        <f>HYPERLINK("C:\Users\jimmy\Desktop\Examens arbete\Kod\Ny mapp\remix_-copy-of-miljöbeslut.se-portal\MILSK202515_2026-02-03.pdf", "Öppna PDF")</f>
        <v/>
      </c>
    </row>
    <row r="1361">
      <c r="A1361" t="inlineStr">
        <is>
          <t>KRAV-AUTO-001360</t>
        </is>
      </c>
      <c r="B1361" t="inlineStr">
        <is>
          <t>ADMIN-INDEX-2026-02-27-00000000125C043F57453246863FE664CAFE6A3F0700950291EA24F0614FB6ACEDB12BF0E31D00000000010C0000950291EA24F0614FB6ACEDB12BF0E31D00002087AEA60000</t>
        </is>
      </c>
      <c r="C1361" t="inlineStr">
        <is>
          <t>cmm4yuoyq022wcuqwzoddog8c</t>
        </is>
      </c>
      <c r="D1361" t="inlineStr">
        <is>
          <t>http://localhost:8787/api/admin/requirements/documents/cmm4yuoyq022wcuqwzoddog8c/view</t>
        </is>
      </c>
      <c r="E1361">
        <f>HYPERLÄNK("http://localhost:8787/api/admin/requirements/documents/cmm4yuoyq022wcuqwzoddog8c/view";"Öppna PDF")</f>
        <v/>
      </c>
      <c r="F1361">
        <f>HYPERLINK("http://localhost:8787/api/admin/requirements/documents/cmm4yuoyq022wcuqwzoddog8c/view","Open PDF")</f>
        <v/>
      </c>
      <c r="G1361" t="inlineStr">
        <is>
          <t>cmm55w57p0004cuisfrtpqly8</t>
        </is>
      </c>
      <c r="H1361" t="inlineStr">
        <is>
          <t>Beslutsvillkor</t>
        </is>
      </c>
      <c r="I1361" t="inlineStr">
        <is>
          <t>DagvattenLakvatten</t>
        </is>
      </c>
      <c r="J1361" t="inlineStr">
        <is>
          <t>Uppsamling</t>
        </is>
      </c>
      <c r="K1361" t="inlineStr">
        <is>
          <t>Slammet ska lagras på hårdgjorda, täta ytor med uppsamling av lakvatten vilket minskar risken för förorening av grundvatten och vattendrag.</t>
        </is>
      </c>
      <c r="L1361" t="inlineStr">
        <is>
          <t>Slammet ska lagras på hårdgjorda, täta ytor med uppsamling av lakvatten vilket minskar risken för förorening av grundvatten och vattendrag.</t>
        </is>
      </c>
      <c r="M1361" t="inlineStr">
        <is>
          <t>SKA</t>
        </is>
      </c>
      <c r="N1361" t="inlineStr"/>
      <c r="O1361" t="inlineStr"/>
      <c r="P1361" t="inlineStr"/>
      <c r="Q1361" t="inlineStr"/>
      <c r="R1361" t="inlineStr">
        <is>
          <t>Vid nederbord och avrinning</t>
        </is>
      </c>
      <c r="S1361" t="inlineStr"/>
      <c r="T1361" t="inlineStr">
        <is>
          <t>637349</t>
        </is>
      </c>
      <c r="U1361" t="inlineStr"/>
      <c r="V1361" t="inlineStr"/>
      <c r="W1361" t="inlineStr">
        <is>
          <t>Nej</t>
        </is>
      </c>
      <c r="X1361" t="inlineStr">
        <is>
          <t>Ja</t>
        </is>
      </c>
      <c r="Y1361" t="inlineStr">
        <is>
          <t>Ja</t>
        </is>
      </c>
      <c r="Z1361" t="inlineStr">
        <is>
          <t>Nej</t>
        </is>
      </c>
      <c r="AA1361" t="n">
        <v>6</v>
      </c>
      <c r="AB1361" t="inlineStr">
        <is>
          <t>Lakvattenhantering</t>
        </is>
      </c>
      <c r="AC1361" t="inlineStr">
        <is>
          <t>Flodesschema dagvatten-lakvatten</t>
        </is>
      </c>
      <c r="AD1361" t="inlineStr">
        <is>
          <t>Nej</t>
        </is>
      </c>
      <c r="AE1361" t="inlineStr">
        <is>
          <t>Nej</t>
        </is>
      </c>
      <c r="AF1361" t="inlineStr">
        <is>
          <t>Ej behandlad</t>
        </is>
      </c>
      <c r="AG1361" t="inlineStr">
        <is>
          <t>AUTO_GENERERAD. Verifiera citat mot kallfil.</t>
        </is>
      </c>
      <c r="AH1361" t="inlineStr">
        <is>
          <t>MEDIUM</t>
        </is>
      </c>
      <c r="AI1361" t="inlineStr">
        <is>
          <t>AUTO</t>
        </is>
      </c>
      <c r="AJ1361" t="inlineStr">
        <is>
          <t>Nej</t>
        </is>
      </c>
      <c r="AK1361" t="inlineStr"/>
      <c r="AL1361" t="inlineStr"/>
      <c r="AM1361" t="inlineStr"/>
      <c r="AN1361" t="inlineStr"/>
      <c r="AO1361" t="inlineStr">
        <is>
          <t>cmm4yuoyx0232cuqwbrf7i0qf</t>
        </is>
      </c>
      <c r="AP1361" t="inlineStr">
        <is>
          <t>http://localhost:8787/api/admin/requirements/documents/cmm4yuoyx0232cuqwbrf7i0qf/view</t>
        </is>
      </c>
      <c r="AQ1361">
        <f>HYPERLÄNK("http://localhost:8787/api/admin/requirements/documents/cmm4yuoyx0232cuqwbrf7i0qf/view";"Öppna PDF")</f>
        <v/>
      </c>
      <c r="AR1361">
        <f>HYPERLINK("http://localhost:8787/api/admin/requirements/documents/cmm4yuoyx0232cuqwbrf7i0qf/view","Open PDF")</f>
        <v/>
      </c>
      <c r="AS1361" t="inlineStr">
        <is>
          <t>cmm55w57p0004cuisfrtpqly8</t>
        </is>
      </c>
      <c r="AT1361" t="inlineStr">
        <is>
          <t>cmm4xvu980000cuh4vj0usz09</t>
        </is>
      </c>
      <c r="AU1361" t="inlineStr">
        <is>
          <t>Sjöbo</t>
        </is>
      </c>
      <c r="AV1361" t="inlineStr">
        <is>
          <t>Kommun</t>
        </is>
      </c>
      <c r="AW1361" t="inlineStr">
        <is>
          <t>Sjöbo kommun</t>
        </is>
      </c>
      <c r="AX1361" t="inlineStr">
        <is>
          <t>2026-02</t>
        </is>
      </c>
      <c r="AY1361" t="inlineStr">
        <is>
          <t>Beslut</t>
        </is>
      </c>
      <c r="AZ1361" t="inlineStr">
        <is>
          <t>2026-02-03</t>
        </is>
      </c>
      <c r="BA1361" t="inlineStr">
        <is>
          <t>MILSK202515_2026-02-03.pdf</t>
        </is>
      </c>
      <c r="BB1361" t="inlineStr">
        <is>
          <t>Sv: till registrator</t>
        </is>
      </c>
      <c r="BC1361" t="inlineStr">
        <is>
          <t>AUTO</t>
        </is>
      </c>
      <c r="BD1361" t="inlineStr"/>
      <c r="BE1361" t="inlineStr"/>
      <c r="BF1361" t="inlineStr">
        <is>
          <t>AUTO_GENERERAD. Bekrafta metadata mot kallfil.</t>
        </is>
      </c>
      <c r="BG1361">
        <f>HYPERLINK("C:\Users\jimmy\Desktop\Examens arbete\Kod\Ny mapp\remix_-copy-of-miljöbeslut.se-portal\MILSK202515_2026-02-03.pdf", "Öppna PDF")</f>
        <v/>
      </c>
    </row>
    <row r="1362">
      <c r="A1362" t="inlineStr">
        <is>
          <t>KRAV-AUTO-001361</t>
        </is>
      </c>
      <c r="B1362" t="inlineStr">
        <is>
          <t>ADMIN-INDEX-2026-02-27-00000000125C043F57453246863FE664CAFE6A3F0700950291EA24F0614FB6ACEDB12BF0E31D00000000010C0000950291EA24F0614FB6ACEDB12BF0E31D00002087AEA60000</t>
        </is>
      </c>
      <c r="C1362" t="inlineStr">
        <is>
          <t>cmm4yuoyq022wcuqwzoddog8c</t>
        </is>
      </c>
      <c r="D1362" t="inlineStr">
        <is>
          <t>http://localhost:8787/api/admin/requirements/documents/cmm4yuoyq022wcuqwzoddog8c/view</t>
        </is>
      </c>
      <c r="E1362">
        <f>HYPERLÄNK("http://localhost:8787/api/admin/requirements/documents/cmm4yuoyq022wcuqwzoddog8c/view";"Öppna PDF")</f>
        <v/>
      </c>
      <c r="F1362">
        <f>HYPERLINK("http://localhost:8787/api/admin/requirements/documents/cmm4yuoyq022wcuqwzoddog8c/view","Open PDF")</f>
        <v/>
      </c>
      <c r="G1362" t="inlineStr">
        <is>
          <t>cmm55w57p0004cuisfrtpqly8</t>
        </is>
      </c>
      <c r="H1362" t="inlineStr">
        <is>
          <t>Beslutsvillkor</t>
        </is>
      </c>
      <c r="I1362" t="inlineStr">
        <is>
          <t>Ytkonstruktion</t>
        </is>
      </c>
      <c r="J1362" t="inlineStr">
        <is>
          <t>Tat yta</t>
        </is>
      </c>
      <c r="K1362" t="inlineStr">
        <is>
          <t>Lagringsytan består av en plansilo på ca 750 m2, en gödselplatta på ca 400 m2 och en betongbrunn med lagringskapacitet på ca 1680 m3.</t>
        </is>
      </c>
      <c r="L1362" t="inlineStr">
        <is>
          <t>Lagringsytan består av en plansilo på ca 750 m2, en gödselplatta på ca 400 m2 och en betongbrunn med lagringskapacitet på ca 1680 m3.</t>
        </is>
      </c>
      <c r="M1362" t="inlineStr">
        <is>
          <t>SKA</t>
        </is>
      </c>
      <c r="N1362" t="inlineStr"/>
      <c r="O1362" t="inlineStr"/>
      <c r="P1362" t="inlineStr"/>
      <c r="Q1362" t="inlineStr"/>
      <c r="R1362" t="inlineStr">
        <is>
          <t>Vid mellanlagring av avfall</t>
        </is>
      </c>
      <c r="S1362" t="inlineStr"/>
      <c r="T1362" t="inlineStr">
        <is>
          <t>637349</t>
        </is>
      </c>
      <c r="U1362" t="inlineStr"/>
      <c r="V1362" t="inlineStr"/>
      <c r="W1362" t="inlineStr">
        <is>
          <t>Ja</t>
        </is>
      </c>
      <c r="X1362" t="inlineStr">
        <is>
          <t>Nej</t>
        </is>
      </c>
      <c r="Y1362" t="inlineStr">
        <is>
          <t>Nej</t>
        </is>
      </c>
      <c r="Z1362" t="inlineStr">
        <is>
          <t>Nej</t>
        </is>
      </c>
      <c r="AA1362" t="n">
        <v>5</v>
      </c>
      <c r="AB1362" t="inlineStr">
        <is>
          <t>Teknisk beskrivning av platta</t>
        </is>
      </c>
      <c r="AC1362" t="inlineStr">
        <is>
          <t>Teknisk ritning platta</t>
        </is>
      </c>
      <c r="AD1362" t="inlineStr">
        <is>
          <t>Nej</t>
        </is>
      </c>
      <c r="AE1362" t="inlineStr">
        <is>
          <t>Nej</t>
        </is>
      </c>
      <c r="AF1362" t="inlineStr">
        <is>
          <t>Ej behandlad</t>
        </is>
      </c>
      <c r="AG1362" t="inlineStr">
        <is>
          <t>AUTO_GENERERAD. Verifiera citat mot kallfil.</t>
        </is>
      </c>
      <c r="AH1362" t="inlineStr">
        <is>
          <t>MEDIUM</t>
        </is>
      </c>
      <c r="AI1362" t="inlineStr">
        <is>
          <t>AUTO</t>
        </is>
      </c>
      <c r="AJ1362" t="inlineStr">
        <is>
          <t>Nej</t>
        </is>
      </c>
      <c r="AK1362" t="inlineStr"/>
      <c r="AL1362" t="inlineStr"/>
      <c r="AM1362" t="inlineStr"/>
      <c r="AN1362" t="inlineStr"/>
      <c r="AO1362" t="inlineStr">
        <is>
          <t>cmm4yuoyx0232cuqwbrf7i0qf</t>
        </is>
      </c>
      <c r="AP1362" t="inlineStr">
        <is>
          <t>http://localhost:8787/api/admin/requirements/documents/cmm4yuoyx0232cuqwbrf7i0qf/view</t>
        </is>
      </c>
      <c r="AQ1362">
        <f>HYPERLÄNK("http://localhost:8787/api/admin/requirements/documents/cmm4yuoyx0232cuqwbrf7i0qf/view";"Öppna PDF")</f>
        <v/>
      </c>
      <c r="AR1362">
        <f>HYPERLINK("http://localhost:8787/api/admin/requirements/documents/cmm4yuoyx0232cuqwbrf7i0qf/view","Open PDF")</f>
        <v/>
      </c>
      <c r="AS1362" t="inlineStr">
        <is>
          <t>cmm55w57p0004cuisfrtpqly8</t>
        </is>
      </c>
      <c r="AT1362" t="inlineStr">
        <is>
          <t>cmm4xvu980000cuh4vj0usz09</t>
        </is>
      </c>
      <c r="AU1362" t="inlineStr">
        <is>
          <t>Sjöbo</t>
        </is>
      </c>
      <c r="AV1362" t="inlineStr">
        <is>
          <t>Kommun</t>
        </is>
      </c>
      <c r="AW1362" t="inlineStr">
        <is>
          <t>Sjöbo kommun</t>
        </is>
      </c>
      <c r="AX1362" t="inlineStr">
        <is>
          <t>2026-02</t>
        </is>
      </c>
      <c r="AY1362" t="inlineStr">
        <is>
          <t>Beslut</t>
        </is>
      </c>
      <c r="AZ1362" t="inlineStr">
        <is>
          <t>2026-02-03</t>
        </is>
      </c>
      <c r="BA1362" t="inlineStr">
        <is>
          <t>MILSK202515_2026-02-03.pdf</t>
        </is>
      </c>
      <c r="BB1362" t="inlineStr">
        <is>
          <t>Sv: till registrator</t>
        </is>
      </c>
      <c r="BC1362" t="inlineStr">
        <is>
          <t>AUTO</t>
        </is>
      </c>
      <c r="BD1362" t="inlineStr"/>
      <c r="BE1362" t="inlineStr"/>
      <c r="BF1362" t="inlineStr">
        <is>
          <t>AUTO_GENERERAD. Bekrafta metadata mot kallfil.</t>
        </is>
      </c>
      <c r="BG1362">
        <f>HYPERLINK("C:\Users\jimmy\Desktop\Examens arbete\Kod\Ny mapp\remix_-copy-of-miljöbeslut.se-portal\MILSK202515_2026-02-03.pdf", "Öppna PDF")</f>
        <v/>
      </c>
    </row>
    <row r="1363">
      <c r="A1363" t="inlineStr">
        <is>
          <t>KRAV-AUTO-001362</t>
        </is>
      </c>
      <c r="B1363" t="inlineStr">
        <is>
          <t>ADMIN-INDEX-2026-02-27-00000000125C043F57453246863FE664CAFE6A3F0700950291EA24F0614FB6ACEDB12BF0E31D00000000010C0000950291EA24F0614FB6ACEDB12BF0E31D00002087AEA60000</t>
        </is>
      </c>
      <c r="C1363" t="inlineStr">
        <is>
          <t>cmm4yuoyn022tcuqw3p56hhv3</t>
        </is>
      </c>
      <c r="D1363" t="inlineStr">
        <is>
          <t>http://localhost:8787/api/admin/requirements/documents/cmm4yuoyn022tcuqw3p56hhv3/view</t>
        </is>
      </c>
      <c r="E1363">
        <f>HYPERLÄNK("http://localhost:8787/api/admin/requirements/documents/cmm4yuoyn022tcuqw3p56hhv3/view";"Öppna PDF")</f>
        <v/>
      </c>
      <c r="F1363">
        <f>HYPERLINK("http://localhost:8787/api/admin/requirements/documents/cmm4yuoyn022tcuqw3p56hhv3/view","Open PDF")</f>
        <v/>
      </c>
      <c r="G1363" t="inlineStr">
        <is>
          <t>cmm55w57p0004cuisfrtpqly8</t>
        </is>
      </c>
      <c r="H1363" t="inlineStr">
        <is>
          <t>Beslutsvillkor</t>
        </is>
      </c>
      <c r="I1363" t="inlineStr">
        <is>
          <t>Ytkonstruktion</t>
        </is>
      </c>
      <c r="J1363" t="inlineStr">
        <is>
          <t>Tat yta</t>
        </is>
      </c>
      <c r="K1363" t="inlineStr">
        <is>
          <t>På asfaltskanterna längst med plattan läggs jordvallar för att förhindra att slam placeras utanför plattan vid tippning.</t>
        </is>
      </c>
      <c r="L1363" t="inlineStr">
        <is>
          <t>På asfaltskanterna längst med plattan läggs jordvallar för att förhindra att slam placeras utanför plattan vid tippning.</t>
        </is>
      </c>
      <c r="M1363" t="inlineStr">
        <is>
          <t>SKA</t>
        </is>
      </c>
      <c r="N1363" t="inlineStr"/>
      <c r="O1363" t="inlineStr"/>
      <c r="P1363" t="inlineStr"/>
      <c r="Q1363" t="inlineStr"/>
      <c r="R1363" t="inlineStr">
        <is>
          <t>Vid mellanlagring av avfall</t>
        </is>
      </c>
      <c r="S1363" t="inlineStr"/>
      <c r="T1363" t="inlineStr">
        <is>
          <t>613394</t>
        </is>
      </c>
      <c r="U1363" t="inlineStr"/>
      <c r="V1363" t="inlineStr"/>
      <c r="W1363" t="inlineStr">
        <is>
          <t>Ja</t>
        </is>
      </c>
      <c r="X1363" t="inlineStr">
        <is>
          <t>Nej</t>
        </is>
      </c>
      <c r="Y1363" t="inlineStr">
        <is>
          <t>Nej</t>
        </is>
      </c>
      <c r="Z1363" t="inlineStr">
        <is>
          <t>Nej</t>
        </is>
      </c>
      <c r="AA1363" t="n">
        <v>5</v>
      </c>
      <c r="AB1363" t="inlineStr">
        <is>
          <t>Teknisk beskrivning av platta</t>
        </is>
      </c>
      <c r="AC1363" t="inlineStr">
        <is>
          <t>Teknisk ritning platta</t>
        </is>
      </c>
      <c r="AD1363" t="inlineStr">
        <is>
          <t>Nej</t>
        </is>
      </c>
      <c r="AE1363" t="inlineStr">
        <is>
          <t>Nej</t>
        </is>
      </c>
      <c r="AF1363" t="inlineStr">
        <is>
          <t>Ej behandlad</t>
        </is>
      </c>
      <c r="AG1363" t="inlineStr">
        <is>
          <t>AUTO_GENERERAD. Verifiera citat mot kallfil.</t>
        </is>
      </c>
      <c r="AH1363" t="inlineStr">
        <is>
          <t>MEDIUM</t>
        </is>
      </c>
      <c r="AI1363" t="inlineStr">
        <is>
          <t>AUTO</t>
        </is>
      </c>
      <c r="AJ1363" t="inlineStr">
        <is>
          <t>Nej</t>
        </is>
      </c>
      <c r="AK1363" t="inlineStr"/>
      <c r="AL1363" t="inlineStr"/>
      <c r="AM1363" t="inlineStr"/>
      <c r="AN1363" t="inlineStr"/>
      <c r="AO1363" t="inlineStr">
        <is>
          <t>cmm4yuoyx0232cuqwbrf7i0qf</t>
        </is>
      </c>
      <c r="AP1363" t="inlineStr">
        <is>
          <t>http://localhost:8787/api/admin/requirements/documents/cmm4yuoyx0232cuqwbrf7i0qf/view</t>
        </is>
      </c>
      <c r="AQ1363">
        <f>HYPERLÄNK("http://localhost:8787/api/admin/requirements/documents/cmm4yuoyx0232cuqwbrf7i0qf/view";"Öppna PDF")</f>
        <v/>
      </c>
      <c r="AR1363">
        <f>HYPERLINK("http://localhost:8787/api/admin/requirements/documents/cmm4yuoyx0232cuqwbrf7i0qf/view","Open PDF")</f>
        <v/>
      </c>
      <c r="AS1363" t="inlineStr">
        <is>
          <t>cmm55w57p0004cuisfrtpqly8</t>
        </is>
      </c>
      <c r="AT1363" t="inlineStr">
        <is>
          <t>cmm4xvu980000cuh4vj0usz09</t>
        </is>
      </c>
      <c r="AU1363" t="inlineStr">
        <is>
          <t>Sjöbo</t>
        </is>
      </c>
      <c r="AV1363" t="inlineStr">
        <is>
          <t>Kommun</t>
        </is>
      </c>
      <c r="AW1363" t="inlineStr">
        <is>
          <t>Sjöbo kommun</t>
        </is>
      </c>
      <c r="AX1363" t="inlineStr">
        <is>
          <t>2026-02</t>
        </is>
      </c>
      <c r="AY1363" t="inlineStr">
        <is>
          <t>Beslut</t>
        </is>
      </c>
      <c r="AZ1363" t="inlineStr">
        <is>
          <t>2026-02-03</t>
        </is>
      </c>
      <c r="BA1363" t="inlineStr">
        <is>
          <t>MILSK202515_2026-02-03.pdf</t>
        </is>
      </c>
      <c r="BB1363" t="inlineStr">
        <is>
          <t>Sv: till registrator</t>
        </is>
      </c>
      <c r="BC1363" t="inlineStr">
        <is>
          <t>AUTO</t>
        </is>
      </c>
      <c r="BD1363" t="inlineStr"/>
      <c r="BE1363" t="inlineStr"/>
      <c r="BF1363" t="inlineStr">
        <is>
          <t>AUTO_GENERERAD. Bekrafta metadata mot kallfil.</t>
        </is>
      </c>
      <c r="BG1363">
        <f>HYPERLINK("C:\Users\jimmy\Desktop\Examens arbete\Kod\Ny mapp\remix_-copy-of-miljöbeslut.se-portal\MILSK202515_2026-02-03.pdf", "Öppna PDF")</f>
        <v/>
      </c>
    </row>
    <row r="1364">
      <c r="A1364" t="inlineStr">
        <is>
          <t>KRAV-AUTO-001363</t>
        </is>
      </c>
      <c r="B1364" t="inlineStr">
        <is>
          <t>ADMIN-INDEX-2026-02-27-00000000125C043F57453246863FE664CAFE6A3F0700950291EA24F0614FB6ACEDB12BF0E31D00000000010C0000950291EA24F0614FB6ACEDB12BF0E31D00002087AEA60000</t>
        </is>
      </c>
      <c r="C1364" t="inlineStr">
        <is>
          <t>cmm4yuoyn022tcuqw3p56hhv3</t>
        </is>
      </c>
      <c r="D1364" t="inlineStr">
        <is>
          <t>http://localhost:8787/api/admin/requirements/documents/cmm4yuoyn022tcuqw3p56hhv3/view</t>
        </is>
      </c>
      <c r="E1364">
        <f>HYPERLÄNK("http://localhost:8787/api/admin/requirements/documents/cmm4yuoyn022tcuqw3p56hhv3/view";"Öppna PDF")</f>
        <v/>
      </c>
      <c r="F1364">
        <f>HYPERLINK("http://localhost:8787/api/admin/requirements/documents/cmm4yuoyn022tcuqw3p56hhv3/view","Open PDF")</f>
        <v/>
      </c>
      <c r="G1364" t="inlineStr">
        <is>
          <t>cmm55w57p0004cuisfrtpqly8</t>
        </is>
      </c>
      <c r="H1364" t="inlineStr">
        <is>
          <t>Beslutsvillkor</t>
        </is>
      </c>
      <c r="I1364" t="inlineStr">
        <is>
          <t>DagvattenLakvatten</t>
        </is>
      </c>
      <c r="J1364" t="inlineStr">
        <is>
          <t>Uppsamling</t>
        </is>
      </c>
      <c r="K1364" t="inlineStr">
        <is>
          <t>I föreläggandet anges att föroreningshalter i de massor som tillförs fastigheten Assmåsa 5:68 ska vara under riktvärden för mindre än ringa risk (MRR) enligt Naturvårdsverkets handbok 2010:1.</t>
        </is>
      </c>
      <c r="L1364" t="inlineStr">
        <is>
          <t>I föreläggandet anges att föroreningshalter i de massor som tillförs fastigheten Assmåsa 5:68 ska vara under riktvärden för mindre än ringa risk (MRR) enligt Naturvårdsverkets handbok 2010:1.</t>
        </is>
      </c>
      <c r="M1364" t="inlineStr">
        <is>
          <t>SKA</t>
        </is>
      </c>
      <c r="N1364" t="inlineStr">
        <is>
          <t>Naturvardsverket</t>
        </is>
      </c>
      <c r="O1364" t="inlineStr"/>
      <c r="P1364" t="inlineStr"/>
      <c r="Q1364" t="inlineStr">
        <is>
          <t>Forelaggande vid brist</t>
        </is>
      </c>
      <c r="R1364" t="inlineStr">
        <is>
          <t>Vid nederbord och avrinning</t>
        </is>
      </c>
      <c r="S1364" t="inlineStr"/>
      <c r="T1364" t="inlineStr">
        <is>
          <t>613394</t>
        </is>
      </c>
      <c r="U1364" t="inlineStr"/>
      <c r="V1364" t="inlineStr"/>
      <c r="W1364" t="inlineStr">
        <is>
          <t>Nej</t>
        </is>
      </c>
      <c r="X1364" t="inlineStr">
        <is>
          <t>Ja</t>
        </is>
      </c>
      <c r="Y1364" t="inlineStr">
        <is>
          <t>Ja</t>
        </is>
      </c>
      <c r="Z1364" t="inlineStr">
        <is>
          <t>Nej</t>
        </is>
      </c>
      <c r="AA1364" t="n">
        <v>6</v>
      </c>
      <c r="AB1364" t="inlineStr">
        <is>
          <t>Lakvattenhantering</t>
        </is>
      </c>
      <c r="AC1364" t="inlineStr">
        <is>
          <t>Flodesschema dagvatten-lakvatten</t>
        </is>
      </c>
      <c r="AD1364" t="inlineStr">
        <is>
          <t>Nej</t>
        </is>
      </c>
      <c r="AE1364" t="inlineStr">
        <is>
          <t>Nej</t>
        </is>
      </c>
      <c r="AF1364" t="inlineStr">
        <is>
          <t>Ej behandlad</t>
        </is>
      </c>
      <c r="AG1364" t="inlineStr">
        <is>
          <t>AUTO_GENERERAD. Verifiera citat mot kallfil.</t>
        </is>
      </c>
      <c r="AH1364" t="inlineStr">
        <is>
          <t>MEDIUM</t>
        </is>
      </c>
      <c r="AI1364" t="inlineStr">
        <is>
          <t>AUTO</t>
        </is>
      </c>
      <c r="AJ1364" t="inlineStr">
        <is>
          <t>Nej</t>
        </is>
      </c>
      <c r="AK1364" t="inlineStr"/>
      <c r="AL1364" t="inlineStr"/>
      <c r="AM1364" t="inlineStr"/>
      <c r="AN1364" t="inlineStr"/>
      <c r="AO1364" t="inlineStr">
        <is>
          <t>cmm4yuoyx0232cuqwbrf7i0qf</t>
        </is>
      </c>
      <c r="AP1364" t="inlineStr">
        <is>
          <t>http://localhost:8787/api/admin/requirements/documents/cmm4yuoyx0232cuqwbrf7i0qf/view</t>
        </is>
      </c>
      <c r="AQ1364">
        <f>HYPERLÄNK("http://localhost:8787/api/admin/requirements/documents/cmm4yuoyx0232cuqwbrf7i0qf/view";"Öppna PDF")</f>
        <v/>
      </c>
      <c r="AR1364">
        <f>HYPERLINK("http://localhost:8787/api/admin/requirements/documents/cmm4yuoyx0232cuqwbrf7i0qf/view","Open PDF")</f>
        <v/>
      </c>
      <c r="AS1364" t="inlineStr">
        <is>
          <t>cmm55w57p0004cuisfrtpqly8</t>
        </is>
      </c>
      <c r="AT1364" t="inlineStr">
        <is>
          <t>cmm4xvu980000cuh4vj0usz09</t>
        </is>
      </c>
      <c r="AU1364" t="inlineStr">
        <is>
          <t>Sjöbo</t>
        </is>
      </c>
      <c r="AV1364" t="inlineStr">
        <is>
          <t>Kommun</t>
        </is>
      </c>
      <c r="AW1364" t="inlineStr">
        <is>
          <t>Sjöbo kommun</t>
        </is>
      </c>
      <c r="AX1364" t="inlineStr">
        <is>
          <t>2026-02</t>
        </is>
      </c>
      <c r="AY1364" t="inlineStr">
        <is>
          <t>Beslut</t>
        </is>
      </c>
      <c r="AZ1364" t="inlineStr">
        <is>
          <t>2026-02-03</t>
        </is>
      </c>
      <c r="BA1364" t="inlineStr">
        <is>
          <t>MILSK202515_2026-02-03.pdf</t>
        </is>
      </c>
      <c r="BB1364" t="inlineStr">
        <is>
          <t>Sv: till registrator</t>
        </is>
      </c>
      <c r="BC1364" t="inlineStr">
        <is>
          <t>AUTO</t>
        </is>
      </c>
      <c r="BD1364" t="inlineStr"/>
      <c r="BE1364" t="inlineStr"/>
      <c r="BF1364" t="inlineStr">
        <is>
          <t>AUTO_GENERERAD. Bekrafta metadata mot kallfil.</t>
        </is>
      </c>
      <c r="BG1364">
        <f>HYPERLINK("C:\Users\jimmy\Desktop\Examens arbete\Kod\Ny mapp\remix_-copy-of-miljöbeslut.se-portal\MILSK202515_2026-02-03.pdf", "Öppna PDF")</f>
        <v/>
      </c>
    </row>
    <row r="1365">
      <c r="A1365" t="inlineStr">
        <is>
          <t>KRAV-AUTO-001364</t>
        </is>
      </c>
      <c r="B1365" t="inlineStr">
        <is>
          <t>ADMIN-INDEX-2026-02-27-00000000125C043F57453246863FE664CAFE6A3F0700950291EA24F0614FB6ACEDB12BF0E31D00000000010C0000950291EA24F0614FB6ACEDB12BF0E31D00002087AEA60000</t>
        </is>
      </c>
      <c r="C1365" t="inlineStr">
        <is>
          <t>cmm4yuoyn022tcuqw3p56hhv3</t>
        </is>
      </c>
      <c r="D1365" t="inlineStr">
        <is>
          <t>http://localhost:8787/api/admin/requirements/documents/cmm4yuoyn022tcuqw3p56hhv3/view</t>
        </is>
      </c>
      <c r="E1365">
        <f>HYPERLÄNK("http://localhost:8787/api/admin/requirements/documents/cmm4yuoyn022tcuqw3p56hhv3/view";"Öppna PDF")</f>
        <v/>
      </c>
      <c r="F1365">
        <f>HYPERLINK("http://localhost:8787/api/admin/requirements/documents/cmm4yuoyn022tcuqw3p56hhv3/view","Open PDF")</f>
        <v/>
      </c>
      <c r="G1365" t="inlineStr">
        <is>
          <t>cmm55w57p0004cuisfrtpqly8</t>
        </is>
      </c>
      <c r="H1365" t="inlineStr">
        <is>
          <t>Beslutsvillkor</t>
        </is>
      </c>
      <c r="I1365" t="inlineStr">
        <is>
          <t>DriftEgenkontroll</t>
        </is>
      </c>
      <c r="J1365" t="inlineStr">
        <is>
          <t>Journalforing</t>
        </is>
      </c>
      <c r="K1365" t="inlineStr">
        <is>
          <t>Vidare anges det i anmälan att provtagning ska utföras före mottagandet av massorna.</t>
        </is>
      </c>
      <c r="L1365" t="inlineStr">
        <is>
          <t>Vidare anges det i anmälan att provtagning ska utföras före mottagandet av massorna.</t>
        </is>
      </c>
      <c r="M1365" t="inlineStr">
        <is>
          <t>SKA</t>
        </is>
      </c>
      <c r="N1365" t="inlineStr"/>
      <c r="O1365" t="inlineStr"/>
      <c r="P1365" t="inlineStr"/>
      <c r="Q1365" t="inlineStr"/>
      <c r="R1365" t="inlineStr">
        <is>
          <t>Lopande drift</t>
        </is>
      </c>
      <c r="S1365" t="inlineStr"/>
      <c r="T1365" t="inlineStr">
        <is>
          <t>613394</t>
        </is>
      </c>
      <c r="U1365" t="inlineStr"/>
      <c r="V1365" t="inlineStr"/>
      <c r="W1365" t="inlineStr">
        <is>
          <t>Nej</t>
        </is>
      </c>
      <c r="X1365" t="inlineStr">
        <is>
          <t>Nej</t>
        </is>
      </c>
      <c r="Y1365" t="inlineStr">
        <is>
          <t>Ja</t>
        </is>
      </c>
      <c r="Z1365" t="inlineStr">
        <is>
          <t>Nej</t>
        </is>
      </c>
      <c r="AA1365" t="n">
        <v>7</v>
      </c>
      <c r="AB1365" t="inlineStr">
        <is>
          <t>Egenkontrollrutiner</t>
        </is>
      </c>
      <c r="AC1365" t="inlineStr">
        <is>
          <t>Egenkontrollprogram</t>
        </is>
      </c>
      <c r="AD1365" t="inlineStr">
        <is>
          <t>Nej</t>
        </is>
      </c>
      <c r="AE1365" t="inlineStr">
        <is>
          <t>Nej</t>
        </is>
      </c>
      <c r="AF1365" t="inlineStr">
        <is>
          <t>Ej behandlad</t>
        </is>
      </c>
      <c r="AG1365" t="inlineStr">
        <is>
          <t>AUTO_GENERERAD. Verifiera citat mot kallfil.</t>
        </is>
      </c>
      <c r="AH1365" t="inlineStr">
        <is>
          <t>MEDIUM</t>
        </is>
      </c>
      <c r="AI1365" t="inlineStr">
        <is>
          <t>AUTO</t>
        </is>
      </c>
      <c r="AJ1365" t="inlineStr">
        <is>
          <t>Nej</t>
        </is>
      </c>
      <c r="AK1365" t="inlineStr"/>
      <c r="AL1365" t="inlineStr"/>
      <c r="AM1365" t="inlineStr"/>
      <c r="AN1365" t="inlineStr"/>
      <c r="AO1365" t="inlineStr">
        <is>
          <t>cmm4yuoyx0232cuqwbrf7i0qf</t>
        </is>
      </c>
      <c r="AP1365" t="inlineStr">
        <is>
          <t>http://localhost:8787/api/admin/requirements/documents/cmm4yuoyx0232cuqwbrf7i0qf/view</t>
        </is>
      </c>
      <c r="AQ1365">
        <f>HYPERLÄNK("http://localhost:8787/api/admin/requirements/documents/cmm4yuoyx0232cuqwbrf7i0qf/view";"Öppna PDF")</f>
        <v/>
      </c>
      <c r="AR1365">
        <f>HYPERLINK("http://localhost:8787/api/admin/requirements/documents/cmm4yuoyx0232cuqwbrf7i0qf/view","Open PDF")</f>
        <v/>
      </c>
      <c r="AS1365" t="inlineStr">
        <is>
          <t>cmm55w57p0004cuisfrtpqly8</t>
        </is>
      </c>
      <c r="AT1365" t="inlineStr">
        <is>
          <t>cmm4xvu980000cuh4vj0usz09</t>
        </is>
      </c>
      <c r="AU1365" t="inlineStr">
        <is>
          <t>Sjöbo</t>
        </is>
      </c>
      <c r="AV1365" t="inlineStr">
        <is>
          <t>Kommun</t>
        </is>
      </c>
      <c r="AW1365" t="inlineStr">
        <is>
          <t>Sjöbo kommun</t>
        </is>
      </c>
      <c r="AX1365" t="inlineStr">
        <is>
          <t>2026-02</t>
        </is>
      </c>
      <c r="AY1365" t="inlineStr">
        <is>
          <t>Beslut</t>
        </is>
      </c>
      <c r="AZ1365" t="inlineStr">
        <is>
          <t>2026-02-03</t>
        </is>
      </c>
      <c r="BA1365" t="inlineStr">
        <is>
          <t>MILSK202515_2026-02-03.pdf</t>
        </is>
      </c>
      <c r="BB1365" t="inlineStr">
        <is>
          <t>Sv: till registrator</t>
        </is>
      </c>
      <c r="BC1365" t="inlineStr">
        <is>
          <t>AUTO</t>
        </is>
      </c>
      <c r="BD1365" t="inlineStr"/>
      <c r="BE1365" t="inlineStr"/>
      <c r="BF1365" t="inlineStr">
        <is>
          <t>AUTO_GENERERAD. Bekrafta metadata mot kallfil.</t>
        </is>
      </c>
      <c r="BG1365">
        <f>HYPERLINK("C:\Users\jimmy\Desktop\Examens arbete\Kod\Ny mapp\remix_-copy-of-miljöbeslut.se-portal\MILSK202515_2026-02-03.pdf", "Öppna PDF")</f>
        <v/>
      </c>
    </row>
    <row r="1366">
      <c r="A1366" t="inlineStr">
        <is>
          <t>KRAV-AUTO-001365</t>
        </is>
      </c>
      <c r="B1366" t="inlineStr">
        <is>
          <t>ADMIN-INDEX-2026-02-27-00000000125C043F57453246863FE664CAFE6A3F0700950291EA24F0614FB6ACEDB12BF0E31D00000000010C0000950291EA24F0614FB6ACEDB12BF0E31D00002087AEA60000</t>
        </is>
      </c>
      <c r="C1366" t="inlineStr">
        <is>
          <t>cmm4yuoyk022qcuqwgzazw7b3</t>
        </is>
      </c>
      <c r="D1366" t="inlineStr">
        <is>
          <t>http://localhost:8787/api/admin/requirements/documents/cmm4yuoyk022qcuqwgzazw7b3/view</t>
        </is>
      </c>
      <c r="E1366">
        <f>HYPERLÄNK("http://localhost:8787/api/admin/requirements/documents/cmm4yuoyk022qcuqwgzazw7b3/view";"Öppna PDF")</f>
        <v/>
      </c>
      <c r="F1366">
        <f>HYPERLINK("http://localhost:8787/api/admin/requirements/documents/cmm4yuoyk022qcuqwgzazw7b3/view","Open PDF")</f>
        <v/>
      </c>
      <c r="G1366" t="inlineStr">
        <is>
          <t>cmm55w57p0004cuisfrtpqly8</t>
        </is>
      </c>
      <c r="H1366" t="inlineStr">
        <is>
          <t>Beslutsvillkor</t>
        </is>
      </c>
      <c r="I1366" t="inlineStr">
        <is>
          <t>Ytkonstruktion</t>
        </is>
      </c>
      <c r="J1366" t="inlineStr">
        <is>
          <t>Tat yta</t>
        </is>
      </c>
      <c r="K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66" t="inlineStr">
        <is>
          <t>SKA</t>
        </is>
      </c>
      <c r="N1366" t="inlineStr"/>
      <c r="O1366" t="inlineStr"/>
      <c r="P1366" t="inlineStr"/>
      <c r="Q1366" t="inlineStr"/>
      <c r="R1366" t="inlineStr">
        <is>
          <t>Vid mellanlagring av avfall</t>
        </is>
      </c>
      <c r="S1366" t="inlineStr"/>
      <c r="T1366" t="inlineStr">
        <is>
          <t>601086</t>
        </is>
      </c>
      <c r="U1366" t="inlineStr"/>
      <c r="V1366" t="inlineStr"/>
      <c r="W1366" t="inlineStr">
        <is>
          <t>Ja</t>
        </is>
      </c>
      <c r="X1366" t="inlineStr">
        <is>
          <t>Nej</t>
        </is>
      </c>
      <c r="Y1366" t="inlineStr">
        <is>
          <t>Nej</t>
        </is>
      </c>
      <c r="Z1366" t="inlineStr">
        <is>
          <t>Nej</t>
        </is>
      </c>
      <c r="AA1366" t="n">
        <v>5</v>
      </c>
      <c r="AB1366" t="inlineStr">
        <is>
          <t>Teknisk beskrivning av platta</t>
        </is>
      </c>
      <c r="AC1366" t="inlineStr">
        <is>
          <t>Teknisk ritning platta</t>
        </is>
      </c>
      <c r="AD1366" t="inlineStr">
        <is>
          <t>Nej</t>
        </is>
      </c>
      <c r="AE1366" t="inlineStr">
        <is>
          <t>Nej</t>
        </is>
      </c>
      <c r="AF1366" t="inlineStr">
        <is>
          <t>Ej behandlad</t>
        </is>
      </c>
      <c r="AG1366" t="inlineStr">
        <is>
          <t>AUTO_GENERERAD. Verifiera citat mot kallfil.</t>
        </is>
      </c>
      <c r="AH1366" t="inlineStr">
        <is>
          <t>MEDIUM</t>
        </is>
      </c>
      <c r="AI1366" t="inlineStr">
        <is>
          <t>AUTO</t>
        </is>
      </c>
      <c r="AJ1366" t="inlineStr">
        <is>
          <t>Nej</t>
        </is>
      </c>
      <c r="AK1366" t="inlineStr"/>
      <c r="AL1366" t="inlineStr"/>
      <c r="AM1366" t="inlineStr"/>
      <c r="AN1366" t="inlineStr"/>
      <c r="AO1366" t="inlineStr">
        <is>
          <t>cmm4yuoyx0232cuqwbrf7i0qf</t>
        </is>
      </c>
      <c r="AP1366" t="inlineStr">
        <is>
          <t>http://localhost:8787/api/admin/requirements/documents/cmm4yuoyx0232cuqwbrf7i0qf/view</t>
        </is>
      </c>
      <c r="AQ1366">
        <f>HYPERLÄNK("http://localhost:8787/api/admin/requirements/documents/cmm4yuoyx0232cuqwbrf7i0qf/view";"Öppna PDF")</f>
        <v/>
      </c>
      <c r="AR1366">
        <f>HYPERLINK("http://localhost:8787/api/admin/requirements/documents/cmm4yuoyx0232cuqwbrf7i0qf/view","Open PDF")</f>
        <v/>
      </c>
      <c r="AS1366" t="inlineStr">
        <is>
          <t>cmm55w57p0004cuisfrtpqly8</t>
        </is>
      </c>
      <c r="AT1366" t="inlineStr">
        <is>
          <t>cmm4xvu980000cuh4vj0usz09</t>
        </is>
      </c>
      <c r="AU1366" t="inlineStr">
        <is>
          <t>Sjöbo</t>
        </is>
      </c>
      <c r="AV1366" t="inlineStr">
        <is>
          <t>Kommun</t>
        </is>
      </c>
      <c r="AW1366" t="inlineStr">
        <is>
          <t>Sjöbo kommun</t>
        </is>
      </c>
      <c r="AX1366" t="inlineStr">
        <is>
          <t>2026-02</t>
        </is>
      </c>
      <c r="AY1366" t="inlineStr">
        <is>
          <t>Beslut</t>
        </is>
      </c>
      <c r="AZ1366" t="inlineStr">
        <is>
          <t>2026-02-03</t>
        </is>
      </c>
      <c r="BA1366" t="inlineStr">
        <is>
          <t>MILSK202515_2026-02-03.pdf</t>
        </is>
      </c>
      <c r="BB1366" t="inlineStr">
        <is>
          <t>Sv: till registrator</t>
        </is>
      </c>
      <c r="BC1366" t="inlineStr">
        <is>
          <t>AUTO</t>
        </is>
      </c>
      <c r="BD1366" t="inlineStr"/>
      <c r="BE1366" t="inlineStr"/>
      <c r="BF1366" t="inlineStr">
        <is>
          <t>AUTO_GENERERAD. Bekrafta metadata mot kallfil.</t>
        </is>
      </c>
      <c r="BG1366">
        <f>HYPERLINK("C:\Users\jimmy\Desktop\Examens arbete\Kod\Ny mapp\remix_-copy-of-miljöbeslut.se-portal\MILSK202515_2026-02-03.pdf", "Öppna PDF")</f>
        <v/>
      </c>
    </row>
    <row r="1367">
      <c r="A1367" t="inlineStr">
        <is>
          <t>KRAV-AUTO-001366</t>
        </is>
      </c>
      <c r="B1367" t="inlineStr">
        <is>
          <t>ADMIN-INDEX-2026-02-27-00000000125C043F57453246863FE664CAFE6A3F0700950291EA24F0614FB6ACEDB12BF0E31D00000000010C0000950291EA24F0614FB6ACEDB12BF0E31D00002087AEA60000</t>
        </is>
      </c>
      <c r="C1367" t="inlineStr">
        <is>
          <t>cmm4yuoyk022qcuqwgzazw7b3</t>
        </is>
      </c>
      <c r="D1367" t="inlineStr">
        <is>
          <t>http://localhost:8787/api/admin/requirements/documents/cmm4yuoyk022qcuqwgzazw7b3/view</t>
        </is>
      </c>
      <c r="E1367">
        <f>HYPERLÄNK("http://localhost:8787/api/admin/requirements/documents/cmm4yuoyk022qcuqwgzazw7b3/view";"Öppna PDF")</f>
        <v/>
      </c>
      <c r="F1367">
        <f>HYPERLINK("http://localhost:8787/api/admin/requirements/documents/cmm4yuoyk022qcuqwgzazw7b3/view","Open PDF")</f>
        <v/>
      </c>
      <c r="G1367" t="inlineStr">
        <is>
          <t>cmm55w57p0004cuisfrtpqly8</t>
        </is>
      </c>
      <c r="H1367" t="inlineStr">
        <is>
          <t>Beslutsvillkor</t>
        </is>
      </c>
      <c r="I1367" t="inlineStr">
        <is>
          <t>MiljopaverkanForsiktighet</t>
        </is>
      </c>
      <c r="J1367" t="inlineStr">
        <is>
          <t>Skyddsatgarder</t>
        </is>
      </c>
      <c r="K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67" t="inlineStr">
        <is>
          <t>SKA</t>
        </is>
      </c>
      <c r="N1367" t="inlineStr"/>
      <c r="O1367" t="inlineStr"/>
      <c r="P1367" t="inlineStr"/>
      <c r="Q1367" t="inlineStr">
        <is>
          <t>Forbud</t>
        </is>
      </c>
      <c r="R1367" t="inlineStr">
        <is>
          <t>Alltid</t>
        </is>
      </c>
      <c r="S1367" t="inlineStr"/>
      <c r="T1367" t="inlineStr">
        <is>
          <t>601086</t>
        </is>
      </c>
      <c r="U1367" t="inlineStr"/>
      <c r="V1367" t="inlineStr"/>
      <c r="W1367" t="inlineStr">
        <is>
          <t>Nej</t>
        </is>
      </c>
      <c r="X1367" t="inlineStr">
        <is>
          <t>Nej</t>
        </is>
      </c>
      <c r="Y1367" t="inlineStr">
        <is>
          <t>Nej</t>
        </is>
      </c>
      <c r="Z1367" t="inlineStr">
        <is>
          <t>Nej</t>
        </is>
      </c>
      <c r="AA1367" t="n">
        <v>10</v>
      </c>
      <c r="AB1367" t="inlineStr">
        <is>
          <t>Miljopaverkan och forsiktighetsmatt</t>
        </is>
      </c>
      <c r="AC1367" t="inlineStr">
        <is>
          <t>Miljo-PM</t>
        </is>
      </c>
      <c r="AD1367" t="inlineStr">
        <is>
          <t>Nej</t>
        </is>
      </c>
      <c r="AE1367" t="inlineStr">
        <is>
          <t>Nej</t>
        </is>
      </c>
      <c r="AF1367" t="inlineStr">
        <is>
          <t>Ej behandlad</t>
        </is>
      </c>
      <c r="AG1367" t="inlineStr">
        <is>
          <t>AUTO_GENERERAD. Verifiera citat mot kallfil.</t>
        </is>
      </c>
      <c r="AH1367" t="inlineStr">
        <is>
          <t>MEDIUM</t>
        </is>
      </c>
      <c r="AI1367" t="inlineStr">
        <is>
          <t>AUTO</t>
        </is>
      </c>
      <c r="AJ1367" t="inlineStr">
        <is>
          <t>Nej</t>
        </is>
      </c>
      <c r="AK1367" t="inlineStr"/>
      <c r="AL1367" t="inlineStr"/>
      <c r="AM1367" t="inlineStr"/>
      <c r="AN1367" t="inlineStr"/>
      <c r="AO1367" t="inlineStr">
        <is>
          <t>cmm4yuoyx0232cuqwbrf7i0qf</t>
        </is>
      </c>
      <c r="AP1367" t="inlineStr">
        <is>
          <t>http://localhost:8787/api/admin/requirements/documents/cmm4yuoyx0232cuqwbrf7i0qf/view</t>
        </is>
      </c>
      <c r="AQ1367">
        <f>HYPERLÄNK("http://localhost:8787/api/admin/requirements/documents/cmm4yuoyx0232cuqwbrf7i0qf/view";"Öppna PDF")</f>
        <v/>
      </c>
      <c r="AR1367">
        <f>HYPERLINK("http://localhost:8787/api/admin/requirements/documents/cmm4yuoyx0232cuqwbrf7i0qf/view","Open PDF")</f>
        <v/>
      </c>
      <c r="AS1367" t="inlineStr">
        <is>
          <t>cmm55w57p0004cuisfrtpqly8</t>
        </is>
      </c>
      <c r="AT1367" t="inlineStr">
        <is>
          <t>cmm4xvu980000cuh4vj0usz09</t>
        </is>
      </c>
      <c r="AU1367" t="inlineStr">
        <is>
          <t>Sjöbo</t>
        </is>
      </c>
      <c r="AV1367" t="inlineStr">
        <is>
          <t>Kommun</t>
        </is>
      </c>
      <c r="AW1367" t="inlineStr">
        <is>
          <t>Sjöbo kommun</t>
        </is>
      </c>
      <c r="AX1367" t="inlineStr">
        <is>
          <t>2026-02</t>
        </is>
      </c>
      <c r="AY1367" t="inlineStr">
        <is>
          <t>Beslut</t>
        </is>
      </c>
      <c r="AZ1367" t="inlineStr">
        <is>
          <t>2026-02-03</t>
        </is>
      </c>
      <c r="BA1367" t="inlineStr">
        <is>
          <t>MILSK202515_2026-02-03.pdf</t>
        </is>
      </c>
      <c r="BB1367" t="inlineStr">
        <is>
          <t>Sv: till registrator</t>
        </is>
      </c>
      <c r="BC1367" t="inlineStr">
        <is>
          <t>AUTO</t>
        </is>
      </c>
      <c r="BD1367" t="inlineStr"/>
      <c r="BE1367" t="inlineStr"/>
      <c r="BF1367" t="inlineStr">
        <is>
          <t>AUTO_GENERERAD. Bekrafta metadata mot kallfil.</t>
        </is>
      </c>
      <c r="BG1367">
        <f>HYPERLINK("C:\Users\jimmy\Desktop\Examens arbete\Kod\Ny mapp\remix_-copy-of-miljöbeslut.se-portal\MILSK202515_2026-02-03.pdf", "Öppna PDF")</f>
        <v/>
      </c>
    </row>
    <row r="1368">
      <c r="A1368" t="inlineStr">
        <is>
          <t>KRAV-AUTO-001367</t>
        </is>
      </c>
      <c r="B1368" t="inlineStr">
        <is>
          <t>ADMIN-INDEX-2026-02-27-00000000125C043F57453246863FE664CAFE6A3F0700950291EA24F0614FB6ACEDB12BF0E31D00000000010C0000950291EA24F0614FB6ACEDB12BF0E31D00002087AEA60000</t>
        </is>
      </c>
      <c r="C1368" t="inlineStr">
        <is>
          <t>cmm4yuoyk022qcuqwgzazw7b3</t>
        </is>
      </c>
      <c r="D1368" t="inlineStr">
        <is>
          <t>http://localhost:8787/api/admin/requirements/documents/cmm4yuoyk022qcuqwgzazw7b3/view</t>
        </is>
      </c>
      <c r="E1368">
        <f>HYPERLÄNK("http://localhost:8787/api/admin/requirements/documents/cmm4yuoyk022qcuqwgzazw7b3/view";"Öppna PDF")</f>
        <v/>
      </c>
      <c r="F1368">
        <f>HYPERLINK("http://localhost:8787/api/admin/requirements/documents/cmm4yuoyk022qcuqwgzazw7b3/view","Open PDF")</f>
        <v/>
      </c>
      <c r="G1368" t="inlineStr">
        <is>
          <t>cmm55w57p0004cuisfrtpqly8</t>
        </is>
      </c>
      <c r="H1368" t="inlineStr">
        <is>
          <t>Beslutsvillkor</t>
        </is>
      </c>
      <c r="I1368" t="inlineStr">
        <is>
          <t>DriftEgenkontroll</t>
        </is>
      </c>
      <c r="J1368" t="inlineStr">
        <is>
          <t>Journalforing</t>
        </is>
      </c>
      <c r="K1368" t="inlineStr">
        <is>
          <t>Avgörande för bedömningen blir då den ursprungskontroll från avfallslämnaren som ska finnas för massorna samt den rutin för mottagningskontroll och provtagning som upprättas inom ramen för egenkontrollen.</t>
        </is>
      </c>
      <c r="L1368" t="inlineStr">
        <is>
          <t>Avgörande för bedömningen blir då den ursprungskontroll från avfallslämnaren som ska finnas för massorna samt den rutin för mottagningskontroll och provtagning som upprättas inom ramen för egenkontrollen.</t>
        </is>
      </c>
      <c r="M1368" t="inlineStr">
        <is>
          <t>SKA</t>
        </is>
      </c>
      <c r="N1368" t="inlineStr"/>
      <c r="O1368" t="inlineStr"/>
      <c r="P1368" t="inlineStr"/>
      <c r="Q1368" t="inlineStr"/>
      <c r="R1368" t="inlineStr">
        <is>
          <t>Lopande drift</t>
        </is>
      </c>
      <c r="S1368" t="inlineStr"/>
      <c r="T1368" t="inlineStr">
        <is>
          <t>601086</t>
        </is>
      </c>
      <c r="U1368" t="inlineStr"/>
      <c r="V1368" t="inlineStr"/>
      <c r="W1368" t="inlineStr">
        <is>
          <t>Nej</t>
        </is>
      </c>
      <c r="X1368" t="inlineStr">
        <is>
          <t>Nej</t>
        </is>
      </c>
      <c r="Y1368" t="inlineStr">
        <is>
          <t>Ja</t>
        </is>
      </c>
      <c r="Z1368" t="inlineStr">
        <is>
          <t>Nej</t>
        </is>
      </c>
      <c r="AA1368" t="n">
        <v>7</v>
      </c>
      <c r="AB1368" t="inlineStr">
        <is>
          <t>Egenkontrollrutiner</t>
        </is>
      </c>
      <c r="AC1368" t="inlineStr">
        <is>
          <t>Egenkontrollprogram</t>
        </is>
      </c>
      <c r="AD1368" t="inlineStr">
        <is>
          <t>Nej</t>
        </is>
      </c>
      <c r="AE1368" t="inlineStr">
        <is>
          <t>Nej</t>
        </is>
      </c>
      <c r="AF1368" t="inlineStr">
        <is>
          <t>Ej behandlad</t>
        </is>
      </c>
      <c r="AG1368" t="inlineStr">
        <is>
          <t>AUTO_GENERERAD. Verifiera citat mot kallfil.</t>
        </is>
      </c>
      <c r="AH1368" t="inlineStr">
        <is>
          <t>MEDIUM</t>
        </is>
      </c>
      <c r="AI1368" t="inlineStr">
        <is>
          <t>AUTO</t>
        </is>
      </c>
      <c r="AJ1368" t="inlineStr">
        <is>
          <t>Nej</t>
        </is>
      </c>
      <c r="AK1368" t="inlineStr"/>
      <c r="AL1368" t="inlineStr"/>
      <c r="AM1368" t="inlineStr"/>
      <c r="AN1368" t="inlineStr"/>
      <c r="AO1368" t="inlineStr">
        <is>
          <t>cmm4yuoyx0232cuqwbrf7i0qf</t>
        </is>
      </c>
      <c r="AP1368" t="inlineStr">
        <is>
          <t>http://localhost:8787/api/admin/requirements/documents/cmm4yuoyx0232cuqwbrf7i0qf/view</t>
        </is>
      </c>
      <c r="AQ1368">
        <f>HYPERLÄNK("http://localhost:8787/api/admin/requirements/documents/cmm4yuoyx0232cuqwbrf7i0qf/view";"Öppna PDF")</f>
        <v/>
      </c>
      <c r="AR1368">
        <f>HYPERLINK("http://localhost:8787/api/admin/requirements/documents/cmm4yuoyx0232cuqwbrf7i0qf/view","Open PDF")</f>
        <v/>
      </c>
      <c r="AS1368" t="inlineStr">
        <is>
          <t>cmm55w57p0004cuisfrtpqly8</t>
        </is>
      </c>
      <c r="AT1368" t="inlineStr">
        <is>
          <t>cmm4xvu980000cuh4vj0usz09</t>
        </is>
      </c>
      <c r="AU1368" t="inlineStr">
        <is>
          <t>Sjöbo</t>
        </is>
      </c>
      <c r="AV1368" t="inlineStr">
        <is>
          <t>Kommun</t>
        </is>
      </c>
      <c r="AW1368" t="inlineStr">
        <is>
          <t>Sjöbo kommun</t>
        </is>
      </c>
      <c r="AX1368" t="inlineStr">
        <is>
          <t>2026-02</t>
        </is>
      </c>
      <c r="AY1368" t="inlineStr">
        <is>
          <t>Beslut</t>
        </is>
      </c>
      <c r="AZ1368" t="inlineStr">
        <is>
          <t>2026-02-03</t>
        </is>
      </c>
      <c r="BA1368" t="inlineStr">
        <is>
          <t>MILSK202515_2026-02-03.pdf</t>
        </is>
      </c>
      <c r="BB1368" t="inlineStr">
        <is>
          <t>Sv: till registrator</t>
        </is>
      </c>
      <c r="BC1368" t="inlineStr">
        <is>
          <t>AUTO</t>
        </is>
      </c>
      <c r="BD1368" t="inlineStr"/>
      <c r="BE1368" t="inlineStr"/>
      <c r="BF1368" t="inlineStr">
        <is>
          <t>AUTO_GENERERAD. Bekrafta metadata mot kallfil.</t>
        </is>
      </c>
      <c r="BG1368">
        <f>HYPERLINK("C:\Users\jimmy\Desktop\Examens arbete\Kod\Ny mapp\remix_-copy-of-miljöbeslut.se-portal\MILSK202515_2026-02-03.pdf", "Öppna PDF")</f>
        <v/>
      </c>
    </row>
    <row r="1369">
      <c r="A1369" t="inlineStr">
        <is>
          <t>KRAV-AUTO-001368</t>
        </is>
      </c>
      <c r="B1369" t="inlineStr">
        <is>
          <t>ADMIN-INDEX-2026-02-27-00000000125C043F57453246863FE664CAFE6A3F0700950291EA24F0614FB6ACEDB12BF0E31D00000000010C0000950291EA24F0614FB6ACEDB12BF0E31D00002087AEB10000</t>
        </is>
      </c>
      <c r="C1369" t="inlineStr">
        <is>
          <t>cmm4yuoyg022ncuqwyg9r5cay</t>
        </is>
      </c>
      <c r="D1369" t="inlineStr">
        <is>
          <t>http://localhost:8787/api/admin/requirements/documents/cmm4yuoyg022ncuqwyg9r5cay/view</t>
        </is>
      </c>
      <c r="E1369">
        <f>HYPERLÄNK("http://localhost:8787/api/admin/requirements/documents/cmm4yuoyg022ncuqwyg9r5cay/view";"Öppna PDF")</f>
        <v/>
      </c>
      <c r="F1369">
        <f>HYPERLINK("http://localhost:8787/api/admin/requirements/documents/cmm4yuoyg022ncuqwyg9r5cay/view","Open PDF")</f>
        <v/>
      </c>
      <c r="G1369" t="inlineStr">
        <is>
          <t>cmm55w57p0004cuisfrtpqly8</t>
        </is>
      </c>
      <c r="H1369" t="inlineStr">
        <is>
          <t>Beslutsvillkor</t>
        </is>
      </c>
      <c r="I1369" t="inlineStr">
        <is>
          <t>Ytkonstruktion</t>
        </is>
      </c>
      <c r="J1369" t="inlineStr">
        <is>
          <t>Tat yta</t>
        </is>
      </c>
      <c r="K1369" t="inlineStr">
        <is>
          <t>Lagring av bränsle, oljor, kemiska produkter ska ske på tät, invallad yta som är beständig mot den kemiska produkt som lagras, samt skyddas mot nederbörd.</t>
        </is>
      </c>
      <c r="L1369" t="inlineStr">
        <is>
          <t>Lagring av bränsle, oljor, kemiska produkter ska ske på tät, invallad yta som är beständig mot den kemiska produkt som lagras, samt skyddas mot nederbörd.</t>
        </is>
      </c>
      <c r="M1369" t="inlineStr">
        <is>
          <t>SKA</t>
        </is>
      </c>
      <c r="N1369" t="inlineStr"/>
      <c r="O1369" t="inlineStr"/>
      <c r="P1369" t="inlineStr"/>
      <c r="Q1369" t="inlineStr"/>
      <c r="R1369" t="inlineStr">
        <is>
          <t>Vid mellanlagring av avfall</t>
        </is>
      </c>
      <c r="S1369" t="inlineStr"/>
      <c r="T1369" t="inlineStr">
        <is>
          <t>957631</t>
        </is>
      </c>
      <c r="U1369" t="inlineStr"/>
      <c r="V1369" t="inlineStr"/>
      <c r="W1369" t="inlineStr">
        <is>
          <t>Ja</t>
        </is>
      </c>
      <c r="X1369" t="inlineStr">
        <is>
          <t>Nej</t>
        </is>
      </c>
      <c r="Y1369" t="inlineStr">
        <is>
          <t>Nej</t>
        </is>
      </c>
      <c r="Z1369" t="inlineStr">
        <is>
          <t>Nej</t>
        </is>
      </c>
      <c r="AA1369" t="n">
        <v>5</v>
      </c>
      <c r="AB1369" t="inlineStr">
        <is>
          <t>Teknisk beskrivning av platta</t>
        </is>
      </c>
      <c r="AC1369" t="inlineStr">
        <is>
          <t>Teknisk ritning platta</t>
        </is>
      </c>
      <c r="AD1369" t="inlineStr">
        <is>
          <t>Nej</t>
        </is>
      </c>
      <c r="AE1369" t="inlineStr">
        <is>
          <t>Nej</t>
        </is>
      </c>
      <c r="AF1369" t="inlineStr">
        <is>
          <t>Ej behandlad</t>
        </is>
      </c>
      <c r="AG1369" t="inlineStr">
        <is>
          <t>AUTO_GENERERAD. Verifiera citat mot kallfil.</t>
        </is>
      </c>
      <c r="AH1369" t="inlineStr">
        <is>
          <t>MEDIUM</t>
        </is>
      </c>
      <c r="AI1369" t="inlineStr">
        <is>
          <t>AUTO</t>
        </is>
      </c>
      <c r="AJ1369" t="inlineStr">
        <is>
          <t>Nej</t>
        </is>
      </c>
      <c r="AK1369" t="inlineStr"/>
      <c r="AL1369" t="inlineStr"/>
      <c r="AM1369" t="inlineStr"/>
      <c r="AN1369" t="inlineStr"/>
      <c r="AO1369" t="inlineStr">
        <is>
          <t>cmm4yuoyg022ncuqwyg9r5cay</t>
        </is>
      </c>
      <c r="AP1369" t="inlineStr">
        <is>
          <t>http://localhost:8787/api/admin/requirements/documents/cmm4yuoyg022ncuqwyg9r5cay/view</t>
        </is>
      </c>
      <c r="AQ1369">
        <f>HYPERLÄNK("http://localhost:8787/api/admin/requirements/documents/cmm4yuoyg022ncuqwyg9r5cay/view";"Öppna PDF")</f>
        <v/>
      </c>
      <c r="AR1369">
        <f>HYPERLINK("http://localhost:8787/api/admin/requirements/documents/cmm4yuoyg022ncuqwyg9r5cay/view","Open PDF")</f>
        <v/>
      </c>
      <c r="AS1369" t="inlineStr">
        <is>
          <t>cmm55w57p0004cuisfrtpqly8</t>
        </is>
      </c>
      <c r="AT1369" t="inlineStr">
        <is>
          <t>cmm4xvu980000cuh4vj0usz09</t>
        </is>
      </c>
      <c r="AU1369" t="inlineStr">
        <is>
          <t>Postadress Enköpings</t>
        </is>
      </c>
      <c r="AV1369" t="inlineStr">
        <is>
          <t>Kommun</t>
        </is>
      </c>
      <c r="AW1369" t="inlineStr">
        <is>
          <t>Postadress Enköpings kommun</t>
        </is>
      </c>
      <c r="AX1369" t="inlineStr">
        <is>
          <t>2026-02</t>
        </is>
      </c>
      <c r="AY1369" t="inlineStr">
        <is>
          <t>Beslut</t>
        </is>
      </c>
      <c r="AZ1369" t="inlineStr">
        <is>
          <t>2026-02-03</t>
        </is>
      </c>
      <c r="BA1369" t="inlineStr">
        <is>
          <t>MIL20252277pdf_976576.pdf</t>
        </is>
      </c>
      <c r="BB1369" t="inlineStr">
        <is>
          <t>Begäran om allmän handling i ärende  MIL.2026.363</t>
        </is>
      </c>
      <c r="BC1369" t="inlineStr">
        <is>
          <t>AUTO</t>
        </is>
      </c>
      <c r="BD1369" t="inlineStr"/>
      <c r="BE1369" t="inlineStr"/>
      <c r="BF1369" t="inlineStr">
        <is>
          <t>AUTO_GENERERAD. Bekrafta metadata mot kallfil.</t>
        </is>
      </c>
      <c r="BG1369">
        <f>HYPERLINK("C:\Users\jimmy\Desktop\Examens arbete\Kod\Ny mapp\remix_-copy-of-miljöbeslut.se-portal\MIL20252277pdf_976576.pdf", "Öppna PDF")</f>
        <v/>
      </c>
    </row>
    <row r="1370">
      <c r="A1370" t="inlineStr">
        <is>
          <t>KRAV-AUTO-001369</t>
        </is>
      </c>
      <c r="B1370" t="inlineStr">
        <is>
          <t>ADMIN-INDEX-2026-02-27-00000000125C043F57453246863FE664CAFE6A3F0700950291EA24F0614FB6ACEDB12BF0E31D00000000010C0000950291EA24F0614FB6ACEDB12BF0E31D00002087AEB10000</t>
        </is>
      </c>
      <c r="C1370" t="inlineStr">
        <is>
          <t>cmm4yuoyg022ncuqwyg9r5cay</t>
        </is>
      </c>
      <c r="D1370" t="inlineStr">
        <is>
          <t>http://localhost:8787/api/admin/requirements/documents/cmm4yuoyg022ncuqwyg9r5cay/view</t>
        </is>
      </c>
      <c r="E1370">
        <f>HYPERLÄNK("http://localhost:8787/api/admin/requirements/documents/cmm4yuoyg022ncuqwyg9r5cay/view";"Öppna PDF")</f>
        <v/>
      </c>
      <c r="F1370">
        <f>HYPERLINK("http://localhost:8787/api/admin/requirements/documents/cmm4yuoyg022ncuqwyg9r5cay/view","Open PDF")</f>
        <v/>
      </c>
      <c r="G1370" t="inlineStr">
        <is>
          <t>cmm55w57p0004cuisfrtpqly8</t>
        </is>
      </c>
      <c r="H1370" t="inlineStr">
        <is>
          <t>Beslutsvillkor</t>
        </is>
      </c>
      <c r="I1370" t="inlineStr">
        <is>
          <t>Riskhantering</t>
        </is>
      </c>
      <c r="J1370" t="inlineStr">
        <is>
          <t>Riskkontroll</t>
        </is>
      </c>
      <c r="K1370" t="inlineStr">
        <is>
          <t>Verksamheten ska bedrivas så att risken för störande damning, lukt och nedskräpning minimeras.</t>
        </is>
      </c>
      <c r="L1370" t="inlineStr">
        <is>
          <t>Verksamheten ska bedrivas så att risken för störande damning, lukt och nedskräpning minimeras.</t>
        </is>
      </c>
      <c r="M1370" t="inlineStr">
        <is>
          <t>SKA</t>
        </is>
      </c>
      <c r="N1370" t="inlineStr"/>
      <c r="O1370" t="inlineStr"/>
      <c r="P1370" t="inlineStr"/>
      <c r="Q1370" t="inlineStr"/>
      <c r="R1370" t="inlineStr">
        <is>
          <t>Vid risk for incident</t>
        </is>
      </c>
      <c r="S1370" t="inlineStr"/>
      <c r="T1370" t="inlineStr">
        <is>
          <t>957631</t>
        </is>
      </c>
      <c r="U1370" t="inlineStr"/>
      <c r="V1370" t="inlineStr"/>
      <c r="W1370" t="inlineStr">
        <is>
          <t>Nej</t>
        </is>
      </c>
      <c r="X1370" t="inlineStr">
        <is>
          <t>Nej</t>
        </is>
      </c>
      <c r="Y1370" t="inlineStr">
        <is>
          <t>Ja</t>
        </is>
      </c>
      <c r="Z1370" t="inlineStr">
        <is>
          <t>Ja</t>
        </is>
      </c>
      <c r="AA1370" t="n">
        <v>8</v>
      </c>
      <c r="AB1370" t="inlineStr">
        <is>
          <t>Riskhantering</t>
        </is>
      </c>
      <c r="AC1370" t="inlineStr">
        <is>
          <t>Risk-PM</t>
        </is>
      </c>
      <c r="AD1370" t="inlineStr">
        <is>
          <t>Nej</t>
        </is>
      </c>
      <c r="AE1370" t="inlineStr">
        <is>
          <t>Nej</t>
        </is>
      </c>
      <c r="AF1370" t="inlineStr">
        <is>
          <t>Ej behandlad</t>
        </is>
      </c>
      <c r="AG1370" t="inlineStr">
        <is>
          <t>AUTO_GENERERAD. Verifiera citat mot kallfil.</t>
        </is>
      </c>
      <c r="AH1370" t="inlineStr">
        <is>
          <t>MEDIUM</t>
        </is>
      </c>
      <c r="AI1370" t="inlineStr">
        <is>
          <t>AUTO</t>
        </is>
      </c>
      <c r="AJ1370" t="inlineStr">
        <is>
          <t>Nej</t>
        </is>
      </c>
      <c r="AK1370" t="inlineStr"/>
      <c r="AL1370" t="inlineStr"/>
      <c r="AM1370" t="inlineStr"/>
      <c r="AN1370" t="inlineStr"/>
      <c r="AO1370" t="inlineStr">
        <is>
          <t>cmm4yuoyg022ncuqwyg9r5cay</t>
        </is>
      </c>
      <c r="AP1370" t="inlineStr">
        <is>
          <t>http://localhost:8787/api/admin/requirements/documents/cmm4yuoyg022ncuqwyg9r5cay/view</t>
        </is>
      </c>
      <c r="AQ1370">
        <f>HYPERLÄNK("http://localhost:8787/api/admin/requirements/documents/cmm4yuoyg022ncuqwyg9r5cay/view";"Öppna PDF")</f>
        <v/>
      </c>
      <c r="AR1370">
        <f>HYPERLINK("http://localhost:8787/api/admin/requirements/documents/cmm4yuoyg022ncuqwyg9r5cay/view","Open PDF")</f>
        <v/>
      </c>
      <c r="AS1370" t="inlineStr">
        <is>
          <t>cmm55w57p0004cuisfrtpqly8</t>
        </is>
      </c>
      <c r="AT1370" t="inlineStr">
        <is>
          <t>cmm4xvu980000cuh4vj0usz09</t>
        </is>
      </c>
      <c r="AU1370" t="inlineStr">
        <is>
          <t>Postadress Enköpings</t>
        </is>
      </c>
      <c r="AV1370" t="inlineStr">
        <is>
          <t>Kommun</t>
        </is>
      </c>
      <c r="AW1370" t="inlineStr">
        <is>
          <t>Postadress Enköpings kommun</t>
        </is>
      </c>
      <c r="AX1370" t="inlineStr">
        <is>
          <t>2026-02</t>
        </is>
      </c>
      <c r="AY1370" t="inlineStr">
        <is>
          <t>Beslut</t>
        </is>
      </c>
      <c r="AZ1370" t="inlineStr">
        <is>
          <t>2026-02-03</t>
        </is>
      </c>
      <c r="BA1370" t="inlineStr">
        <is>
          <t>MIL20252277pdf_976576.pdf</t>
        </is>
      </c>
      <c r="BB1370" t="inlineStr">
        <is>
          <t>Begäran om allmän handling i ärende  MIL.2026.363</t>
        </is>
      </c>
      <c r="BC1370" t="inlineStr">
        <is>
          <t>AUTO</t>
        </is>
      </c>
      <c r="BD1370" t="inlineStr"/>
      <c r="BE1370" t="inlineStr"/>
      <c r="BF1370" t="inlineStr">
        <is>
          <t>AUTO_GENERERAD. Bekrafta metadata mot kallfil.</t>
        </is>
      </c>
      <c r="BG1370">
        <f>HYPERLINK("C:\Users\jimmy\Desktop\Examens arbete\Kod\Ny mapp\remix_-copy-of-miljöbeslut.se-portal\MIL20252277pdf_976576.pdf", "Öppna PDF")</f>
        <v/>
      </c>
    </row>
    <row r="1371">
      <c r="A1371" t="inlineStr">
        <is>
          <t>KRAV-AUTO-001370</t>
        </is>
      </c>
      <c r="B1371" t="inlineStr">
        <is>
          <t>ADMIN-INDEX-2026-02-27-00000000125C043F57453246863FE664CAFE6A3F0700950291EA24F0614FB6ACEDB12BF0E31D00000000010C0000950291EA24F0614FB6ACEDB12BF0E31D00002087AEB10000</t>
        </is>
      </c>
      <c r="C1371" t="inlineStr">
        <is>
          <t>cmm4yuoyd022kcuqwijfyy8sn</t>
        </is>
      </c>
      <c r="D1371" t="inlineStr">
        <is>
          <t>http://localhost:8787/api/admin/requirements/documents/cmm4yuoyd022kcuqwijfyy8sn/view</t>
        </is>
      </c>
      <c r="E1371">
        <f>HYPERLÄNK("http://localhost:8787/api/admin/requirements/documents/cmm4yuoyd022kcuqwijfyy8sn/view";"Öppna PDF")</f>
        <v/>
      </c>
      <c r="F1371">
        <f>HYPERLINK("http://localhost:8787/api/admin/requirements/documents/cmm4yuoyd022kcuqwijfyy8sn/view","Open PDF")</f>
        <v/>
      </c>
      <c r="G1371" t="inlineStr">
        <is>
          <t>cmm55w57p0004cuisfrtpqly8</t>
        </is>
      </c>
      <c r="H1371" t="inlineStr">
        <is>
          <t>Beslutsvillkor</t>
        </is>
      </c>
      <c r="I1371" t="inlineStr">
        <is>
          <t>Ytkonstruktion</t>
        </is>
      </c>
      <c r="J1371" t="inlineStr">
        <is>
          <t>Tat yta</t>
        </is>
      </c>
      <c r="K1371" t="inlineStr">
        <is>
          <t>Lagring av bränsle, oljor, kemiska produkter ska ske på tät, invallad yta som är beständig mot den kemiska produkt som lagras, samt skyddas mot nederbörd.</t>
        </is>
      </c>
      <c r="L1371" t="inlineStr">
        <is>
          <t>Lagring av bränsle, oljor, kemiska produkter ska ske på tät, invallad yta som är beständig mot den kemiska produkt som lagras, samt skyddas mot nederbörd.</t>
        </is>
      </c>
      <c r="M1371" t="inlineStr">
        <is>
          <t>SKA</t>
        </is>
      </c>
      <c r="N1371" t="inlineStr"/>
      <c r="O1371" t="inlineStr"/>
      <c r="P1371" t="inlineStr"/>
      <c r="Q1371" t="inlineStr"/>
      <c r="R1371" t="inlineStr">
        <is>
          <t>Vid mellanlagring av avfall</t>
        </is>
      </c>
      <c r="S1371" t="inlineStr"/>
      <c r="T1371" t="inlineStr">
        <is>
          <t>891262</t>
        </is>
      </c>
      <c r="U1371" t="inlineStr"/>
      <c r="V1371" t="inlineStr"/>
      <c r="W1371" t="inlineStr">
        <is>
          <t>Ja</t>
        </is>
      </c>
      <c r="X1371" t="inlineStr">
        <is>
          <t>Nej</t>
        </is>
      </c>
      <c r="Y1371" t="inlineStr">
        <is>
          <t>Nej</t>
        </is>
      </c>
      <c r="Z1371" t="inlineStr">
        <is>
          <t>Nej</t>
        </is>
      </c>
      <c r="AA1371" t="n">
        <v>5</v>
      </c>
      <c r="AB1371" t="inlineStr">
        <is>
          <t>Teknisk beskrivning av platta</t>
        </is>
      </c>
      <c r="AC1371" t="inlineStr">
        <is>
          <t>Teknisk ritning platta</t>
        </is>
      </c>
      <c r="AD1371" t="inlineStr">
        <is>
          <t>Nej</t>
        </is>
      </c>
      <c r="AE1371" t="inlineStr">
        <is>
          <t>Nej</t>
        </is>
      </c>
      <c r="AF1371" t="inlineStr">
        <is>
          <t>Ej behandlad</t>
        </is>
      </c>
      <c r="AG1371" t="inlineStr">
        <is>
          <t>AUTO_GENERERAD. Verifiera citat mot kallfil.</t>
        </is>
      </c>
      <c r="AH1371" t="inlineStr">
        <is>
          <t>MEDIUM</t>
        </is>
      </c>
      <c r="AI1371" t="inlineStr">
        <is>
          <t>AUTO</t>
        </is>
      </c>
      <c r="AJ1371" t="inlineStr">
        <is>
          <t>Nej</t>
        </is>
      </c>
      <c r="AK1371" t="inlineStr"/>
      <c r="AL1371" t="inlineStr"/>
      <c r="AM1371" t="inlineStr"/>
      <c r="AN1371" t="inlineStr"/>
      <c r="AO1371" t="inlineStr">
        <is>
          <t>cmm4yuoyg022ncuqwyg9r5cay</t>
        </is>
      </c>
      <c r="AP1371" t="inlineStr">
        <is>
          <t>http://localhost:8787/api/admin/requirements/documents/cmm4yuoyg022ncuqwyg9r5cay/view</t>
        </is>
      </c>
      <c r="AQ1371">
        <f>HYPERLÄNK("http://localhost:8787/api/admin/requirements/documents/cmm4yuoyg022ncuqwyg9r5cay/view";"Öppna PDF")</f>
        <v/>
      </c>
      <c r="AR1371">
        <f>HYPERLINK("http://localhost:8787/api/admin/requirements/documents/cmm4yuoyg022ncuqwyg9r5cay/view","Open PDF")</f>
        <v/>
      </c>
      <c r="AS1371" t="inlineStr">
        <is>
          <t>cmm55w57p0004cuisfrtpqly8</t>
        </is>
      </c>
      <c r="AT1371" t="inlineStr">
        <is>
          <t>cmm4xvu980000cuh4vj0usz09</t>
        </is>
      </c>
      <c r="AU1371" t="inlineStr">
        <is>
          <t>Postadress Enköpings</t>
        </is>
      </c>
      <c r="AV1371" t="inlineStr">
        <is>
          <t>Kommun</t>
        </is>
      </c>
      <c r="AW1371" t="inlineStr">
        <is>
          <t>Postadress Enköpings kommun</t>
        </is>
      </c>
      <c r="AX1371" t="inlineStr">
        <is>
          <t>2026-02</t>
        </is>
      </c>
      <c r="AY1371" t="inlineStr">
        <is>
          <t>Beslut</t>
        </is>
      </c>
      <c r="AZ1371" t="inlineStr">
        <is>
          <t>2026-02-03</t>
        </is>
      </c>
      <c r="BA1371" t="inlineStr">
        <is>
          <t>MIL20252277pdf_976576.pdf</t>
        </is>
      </c>
      <c r="BB1371" t="inlineStr">
        <is>
          <t>Begäran om allmän handling i ärende  MIL.2026.363</t>
        </is>
      </c>
      <c r="BC1371" t="inlineStr">
        <is>
          <t>AUTO</t>
        </is>
      </c>
      <c r="BD1371" t="inlineStr"/>
      <c r="BE1371" t="inlineStr"/>
      <c r="BF1371" t="inlineStr">
        <is>
          <t>AUTO_GENERERAD. Bekrafta metadata mot kallfil.</t>
        </is>
      </c>
      <c r="BG1371">
        <f>HYPERLINK("C:\Users\jimmy\Desktop\Examens arbete\Kod\Ny mapp\remix_-copy-of-miljöbeslut.se-portal\MIL20252277pdf_976576.pdf", "Öppna PDF")</f>
        <v/>
      </c>
    </row>
    <row r="1372">
      <c r="A1372" t="inlineStr">
        <is>
          <t>KRAV-AUTO-001371</t>
        </is>
      </c>
      <c r="B1372" t="inlineStr">
        <is>
          <t>ADMIN-INDEX-2026-02-27-00000000125C043F57453246863FE664CAFE6A3F0700950291EA24F0614FB6ACEDB12BF0E31D00000000010C0000950291EA24F0614FB6ACEDB12BF0E31D00002087AEB10000</t>
        </is>
      </c>
      <c r="C1372" t="inlineStr">
        <is>
          <t>cmm4yuoyd022kcuqwijfyy8sn</t>
        </is>
      </c>
      <c r="D1372" t="inlineStr">
        <is>
          <t>http://localhost:8787/api/admin/requirements/documents/cmm4yuoyd022kcuqwijfyy8sn/view</t>
        </is>
      </c>
      <c r="E1372">
        <f>HYPERLÄNK("http://localhost:8787/api/admin/requirements/documents/cmm4yuoyd022kcuqwijfyy8sn/view";"Öppna PDF")</f>
        <v/>
      </c>
      <c r="F1372">
        <f>HYPERLINK("http://localhost:8787/api/admin/requirements/documents/cmm4yuoyd022kcuqwijfyy8sn/view","Open PDF")</f>
        <v/>
      </c>
      <c r="G1372" t="inlineStr">
        <is>
          <t>cmm55w57p0004cuisfrtpqly8</t>
        </is>
      </c>
      <c r="H1372" t="inlineStr">
        <is>
          <t>Beslutsvillkor</t>
        </is>
      </c>
      <c r="I1372" t="inlineStr">
        <is>
          <t>Ytkonstruktion</t>
        </is>
      </c>
      <c r="J1372" t="inlineStr">
        <is>
          <t>Tat yta</t>
        </is>
      </c>
      <c r="K1372" t="inlineStr">
        <is>
          <t>Flytande kemiska produkter och farligt avfall ska förvaras inom invallat område.</t>
        </is>
      </c>
      <c r="L1372" t="inlineStr">
        <is>
          <t>Flytande kemiska produkter och farligt avfall ska förvaras inom invallat område.</t>
        </is>
      </c>
      <c r="M1372" t="inlineStr">
        <is>
          <t>SKA</t>
        </is>
      </c>
      <c r="N1372" t="inlineStr"/>
      <c r="O1372" t="inlineStr"/>
      <c r="P1372" t="inlineStr">
        <is>
          <t>Arlig</t>
        </is>
      </c>
      <c r="Q1372" t="inlineStr"/>
      <c r="R1372" t="inlineStr">
        <is>
          <t>Vid mellanlagring av avfall</t>
        </is>
      </c>
      <c r="S1372" t="inlineStr"/>
      <c r="T1372" t="inlineStr">
        <is>
          <t>891262</t>
        </is>
      </c>
      <c r="U1372" t="inlineStr"/>
      <c r="V1372" t="inlineStr"/>
      <c r="W1372" t="inlineStr">
        <is>
          <t>Ja</t>
        </is>
      </c>
      <c r="X1372" t="inlineStr">
        <is>
          <t>Nej</t>
        </is>
      </c>
      <c r="Y1372" t="inlineStr">
        <is>
          <t>Nej</t>
        </is>
      </c>
      <c r="Z1372" t="inlineStr">
        <is>
          <t>Nej</t>
        </is>
      </c>
      <c r="AA1372" t="n">
        <v>5</v>
      </c>
      <c r="AB1372" t="inlineStr">
        <is>
          <t>Teknisk beskrivning av platta</t>
        </is>
      </c>
      <c r="AC1372" t="inlineStr">
        <is>
          <t>Teknisk ritning platta</t>
        </is>
      </c>
      <c r="AD1372" t="inlineStr">
        <is>
          <t>Nej</t>
        </is>
      </c>
      <c r="AE1372" t="inlineStr">
        <is>
          <t>Nej</t>
        </is>
      </c>
      <c r="AF1372" t="inlineStr">
        <is>
          <t>Ej behandlad</t>
        </is>
      </c>
      <c r="AG1372" t="inlineStr">
        <is>
          <t>AUTO_GENERERAD. Verifiera citat mot kallfil.</t>
        </is>
      </c>
      <c r="AH1372" t="inlineStr">
        <is>
          <t>MEDIUM</t>
        </is>
      </c>
      <c r="AI1372" t="inlineStr">
        <is>
          <t>AUTO</t>
        </is>
      </c>
      <c r="AJ1372" t="inlineStr">
        <is>
          <t>Nej</t>
        </is>
      </c>
      <c r="AK1372" t="inlineStr"/>
      <c r="AL1372" t="inlineStr"/>
      <c r="AM1372" t="inlineStr"/>
      <c r="AN1372" t="inlineStr"/>
      <c r="AO1372" t="inlineStr">
        <is>
          <t>cmm4yuoyg022ncuqwyg9r5cay</t>
        </is>
      </c>
      <c r="AP1372" t="inlineStr">
        <is>
          <t>http://localhost:8787/api/admin/requirements/documents/cmm4yuoyg022ncuqwyg9r5cay/view</t>
        </is>
      </c>
      <c r="AQ1372">
        <f>HYPERLÄNK("http://localhost:8787/api/admin/requirements/documents/cmm4yuoyg022ncuqwyg9r5cay/view";"Öppna PDF")</f>
        <v/>
      </c>
      <c r="AR1372">
        <f>HYPERLINK("http://localhost:8787/api/admin/requirements/documents/cmm4yuoyg022ncuqwyg9r5cay/view","Open PDF")</f>
        <v/>
      </c>
      <c r="AS1372" t="inlineStr">
        <is>
          <t>cmm55w57p0004cuisfrtpqly8</t>
        </is>
      </c>
      <c r="AT1372" t="inlineStr">
        <is>
          <t>cmm4xvu980000cuh4vj0usz09</t>
        </is>
      </c>
      <c r="AU1372" t="inlineStr">
        <is>
          <t>Postadress Enköpings</t>
        </is>
      </c>
      <c r="AV1372" t="inlineStr">
        <is>
          <t>Kommun</t>
        </is>
      </c>
      <c r="AW1372" t="inlineStr">
        <is>
          <t>Postadress Enköpings kommun</t>
        </is>
      </c>
      <c r="AX1372" t="inlineStr">
        <is>
          <t>2026-02</t>
        </is>
      </c>
      <c r="AY1372" t="inlineStr">
        <is>
          <t>Beslut</t>
        </is>
      </c>
      <c r="AZ1372" t="inlineStr">
        <is>
          <t>2026-02-03</t>
        </is>
      </c>
      <c r="BA1372" t="inlineStr">
        <is>
          <t>MIL20252277pdf_976576.pdf</t>
        </is>
      </c>
      <c r="BB1372" t="inlineStr">
        <is>
          <t>Begäran om allmän handling i ärende  MIL.2026.363</t>
        </is>
      </c>
      <c r="BC1372" t="inlineStr">
        <is>
          <t>AUTO</t>
        </is>
      </c>
      <c r="BD1372" t="inlineStr"/>
      <c r="BE1372" t="inlineStr"/>
      <c r="BF1372" t="inlineStr">
        <is>
          <t>AUTO_GENERERAD. Bekrafta metadata mot kallfil.</t>
        </is>
      </c>
      <c r="BG1372">
        <f>HYPERLINK("C:\Users\jimmy\Desktop\Examens arbete\Kod\Ny mapp\remix_-copy-of-miljöbeslut.se-portal\MIL20252277pdf_976576.pdf", "Öppna PDF")</f>
        <v/>
      </c>
    </row>
    <row r="1373">
      <c r="A1373" t="inlineStr">
        <is>
          <t>KRAV-AUTO-001372</t>
        </is>
      </c>
      <c r="B1373" t="inlineStr">
        <is>
          <t>ADMIN-INDEX-2026-02-27-00000000125C043F57453246863FE664CAFE6A3F0700950291EA24F0614FB6ACEDB12BF0E31D00000000010C0000950291EA24F0614FB6ACEDB12BF0E31D00002087AEB10000</t>
        </is>
      </c>
      <c r="C1373" t="inlineStr">
        <is>
          <t>cmm4yuoyd022kcuqwijfyy8sn</t>
        </is>
      </c>
      <c r="D1373" t="inlineStr">
        <is>
          <t>http://localhost:8787/api/admin/requirements/documents/cmm4yuoyd022kcuqwijfyy8sn/view</t>
        </is>
      </c>
      <c r="E1373">
        <f>HYPERLÄNK("http://localhost:8787/api/admin/requirements/documents/cmm4yuoyd022kcuqwijfyy8sn/view";"Öppna PDF")</f>
        <v/>
      </c>
      <c r="F1373">
        <f>HYPERLINK("http://localhost:8787/api/admin/requirements/documents/cmm4yuoyd022kcuqwijfyy8sn/view","Open PDF")</f>
        <v/>
      </c>
      <c r="G1373" t="inlineStr">
        <is>
          <t>cmm55w57p0004cuisfrtpqly8</t>
        </is>
      </c>
      <c r="H1373" t="inlineStr">
        <is>
          <t>Beslutsvillkor</t>
        </is>
      </c>
      <c r="I1373" t="inlineStr">
        <is>
          <t>Ytkonstruktion</t>
        </is>
      </c>
      <c r="J1373" t="inlineStr">
        <is>
          <t>Tat yta</t>
        </is>
      </c>
      <c r="K1373" t="inlineStr">
        <is>
          <t>Invallningar ska dimensioneras så att de rymmer största behållarens volym och minst 10 % av övrig lagrad volym.</t>
        </is>
      </c>
      <c r="L1373" t="inlineStr">
        <is>
          <t>Invallningar ska dimensioneras så att de rymmer största behållarens volym och minst 10 % av övrig lagrad volym.</t>
        </is>
      </c>
      <c r="M1373" t="inlineStr">
        <is>
          <t>SKA</t>
        </is>
      </c>
      <c r="N1373" t="inlineStr"/>
      <c r="O1373" t="inlineStr"/>
      <c r="P1373" t="inlineStr"/>
      <c r="Q1373" t="inlineStr"/>
      <c r="R1373" t="inlineStr">
        <is>
          <t>Vid mellanlagring av avfall</t>
        </is>
      </c>
      <c r="S1373" t="inlineStr"/>
      <c r="T1373" t="inlineStr">
        <is>
          <t>891262</t>
        </is>
      </c>
      <c r="U1373" t="inlineStr"/>
      <c r="V1373" t="inlineStr"/>
      <c r="W1373" t="inlineStr">
        <is>
          <t>Ja</t>
        </is>
      </c>
      <c r="X1373" t="inlineStr">
        <is>
          <t>Nej</t>
        </is>
      </c>
      <c r="Y1373" t="inlineStr">
        <is>
          <t>Nej</t>
        </is>
      </c>
      <c r="Z1373" t="inlineStr">
        <is>
          <t>Nej</t>
        </is>
      </c>
      <c r="AA1373" t="n">
        <v>5</v>
      </c>
      <c r="AB1373" t="inlineStr">
        <is>
          <t>Teknisk beskrivning av platta</t>
        </is>
      </c>
      <c r="AC1373" t="inlineStr">
        <is>
          <t>Teknisk ritning platta</t>
        </is>
      </c>
      <c r="AD1373" t="inlineStr">
        <is>
          <t>Nej</t>
        </is>
      </c>
      <c r="AE1373" t="inlineStr">
        <is>
          <t>Nej</t>
        </is>
      </c>
      <c r="AF1373" t="inlineStr">
        <is>
          <t>Ej behandlad</t>
        </is>
      </c>
      <c r="AG1373" t="inlineStr">
        <is>
          <t>AUTO_GENERERAD. Verifiera citat mot kallfil.</t>
        </is>
      </c>
      <c r="AH1373" t="inlineStr">
        <is>
          <t>MEDIUM</t>
        </is>
      </c>
      <c r="AI1373" t="inlineStr">
        <is>
          <t>AUTO</t>
        </is>
      </c>
      <c r="AJ1373" t="inlineStr">
        <is>
          <t>Nej</t>
        </is>
      </c>
      <c r="AK1373" t="inlineStr"/>
      <c r="AL1373" t="inlineStr"/>
      <c r="AM1373" t="inlineStr"/>
      <c r="AN1373" t="inlineStr"/>
      <c r="AO1373" t="inlineStr">
        <is>
          <t>cmm4yuoyg022ncuqwyg9r5cay</t>
        </is>
      </c>
      <c r="AP1373" t="inlineStr">
        <is>
          <t>http://localhost:8787/api/admin/requirements/documents/cmm4yuoyg022ncuqwyg9r5cay/view</t>
        </is>
      </c>
      <c r="AQ1373">
        <f>HYPERLÄNK("http://localhost:8787/api/admin/requirements/documents/cmm4yuoyg022ncuqwyg9r5cay/view";"Öppna PDF")</f>
        <v/>
      </c>
      <c r="AR1373">
        <f>HYPERLINK("http://localhost:8787/api/admin/requirements/documents/cmm4yuoyg022ncuqwyg9r5cay/view","Open PDF")</f>
        <v/>
      </c>
      <c r="AS1373" t="inlineStr">
        <is>
          <t>cmm55w57p0004cuisfrtpqly8</t>
        </is>
      </c>
      <c r="AT1373" t="inlineStr">
        <is>
          <t>cmm4xvu980000cuh4vj0usz09</t>
        </is>
      </c>
      <c r="AU1373" t="inlineStr">
        <is>
          <t>Postadress Enköpings</t>
        </is>
      </c>
      <c r="AV1373" t="inlineStr">
        <is>
          <t>Kommun</t>
        </is>
      </c>
      <c r="AW1373" t="inlineStr">
        <is>
          <t>Postadress Enköpings kommun</t>
        </is>
      </c>
      <c r="AX1373" t="inlineStr">
        <is>
          <t>2026-02</t>
        </is>
      </c>
      <c r="AY1373" t="inlineStr">
        <is>
          <t>Beslut</t>
        </is>
      </c>
      <c r="AZ1373" t="inlineStr">
        <is>
          <t>2026-02-03</t>
        </is>
      </c>
      <c r="BA1373" t="inlineStr">
        <is>
          <t>MIL20252277pdf_976576.pdf</t>
        </is>
      </c>
      <c r="BB1373" t="inlineStr">
        <is>
          <t>Begäran om allmän handling i ärende  MIL.2026.363</t>
        </is>
      </c>
      <c r="BC1373" t="inlineStr">
        <is>
          <t>AUTO</t>
        </is>
      </c>
      <c r="BD1373" t="inlineStr"/>
      <c r="BE1373" t="inlineStr"/>
      <c r="BF1373" t="inlineStr">
        <is>
          <t>AUTO_GENERERAD. Bekrafta metadata mot kallfil.</t>
        </is>
      </c>
      <c r="BG1373">
        <f>HYPERLINK("C:\Users\jimmy\Desktop\Examens arbete\Kod\Ny mapp\remix_-copy-of-miljöbeslut.se-portal\MIL20252277pdf_976576.pdf", "Öppna PDF")</f>
        <v/>
      </c>
    </row>
    <row r="1374">
      <c r="A1374" t="inlineStr">
        <is>
          <t>KRAV-AUTO-001373</t>
        </is>
      </c>
      <c r="B1374" t="inlineStr">
        <is>
          <t>ADMIN-INDEX-2026-02-27-00000000125C043F57453246863FE664CAFE6A3F0700950291EA24F0614FB6ACEDB12BF0E31D00000000010C0000950291EA24F0614FB6ACEDB12BF0E31D00002087AEB20000</t>
        </is>
      </c>
      <c r="C1374" t="inlineStr">
        <is>
          <t>cmm4yuoyb022hcuqwjk4jods4</t>
        </is>
      </c>
      <c r="D1374" t="inlineStr">
        <is>
          <t>http://localhost:8787/api/admin/requirements/documents/cmm4yuoyb022hcuqwjk4jods4/view</t>
        </is>
      </c>
      <c r="E1374">
        <f>HYPERLÄNK("http://localhost:8787/api/admin/requirements/documents/cmm4yuoyb022hcuqwjk4jods4/view";"Öppna PDF")</f>
        <v/>
      </c>
      <c r="F1374">
        <f>HYPERLINK("http://localhost:8787/api/admin/requirements/documents/cmm4yuoyb022hcuqwjk4jods4/view","Open PDF")</f>
        <v/>
      </c>
      <c r="G1374" t="inlineStr">
        <is>
          <t>cmm55w57p0004cuisfrtpqly8</t>
        </is>
      </c>
      <c r="H1374" t="inlineStr">
        <is>
          <t>Beslutsvillkor</t>
        </is>
      </c>
      <c r="I1374" t="inlineStr">
        <is>
          <t>Ytkonstruktion</t>
        </is>
      </c>
      <c r="J1374" t="inlineStr">
        <is>
          <t>Tat yta</t>
        </is>
      </c>
      <c r="K1374" t="inlineStr">
        <is>
          <t>Lagring av bränsle, oljor, kemiska produkter ska ske på tät, invallad yta som är beständig mot den kemiska produkt som lagras, samt skyddas mot nederbörd.</t>
        </is>
      </c>
      <c r="L1374" t="inlineStr">
        <is>
          <t>Lagring av bränsle, oljor, kemiska produkter ska ske på tät, invallad yta som är beständig mot den kemiska produkt som lagras, samt skyddas mot nederbörd.</t>
        </is>
      </c>
      <c r="M1374" t="inlineStr">
        <is>
          <t>SKA</t>
        </is>
      </c>
      <c r="N1374" t="inlineStr"/>
      <c r="O1374" t="inlineStr"/>
      <c r="P1374" t="inlineStr"/>
      <c r="Q1374" t="inlineStr"/>
      <c r="R1374" t="inlineStr">
        <is>
          <t>Vid mellanlagring av avfall</t>
        </is>
      </c>
      <c r="S1374" t="inlineStr"/>
      <c r="T1374" t="inlineStr">
        <is>
          <t>957631</t>
        </is>
      </c>
      <c r="U1374" t="inlineStr"/>
      <c r="V1374" t="inlineStr"/>
      <c r="W1374" t="inlineStr">
        <is>
          <t>Ja</t>
        </is>
      </c>
      <c r="X1374" t="inlineStr">
        <is>
          <t>Nej</t>
        </is>
      </c>
      <c r="Y1374" t="inlineStr">
        <is>
          <t>Nej</t>
        </is>
      </c>
      <c r="Z1374" t="inlineStr">
        <is>
          <t>Nej</t>
        </is>
      </c>
      <c r="AA1374" t="n">
        <v>5</v>
      </c>
      <c r="AB1374" t="inlineStr">
        <is>
          <t>Teknisk beskrivning av platta</t>
        </is>
      </c>
      <c r="AC1374" t="inlineStr">
        <is>
          <t>Teknisk ritning platta</t>
        </is>
      </c>
      <c r="AD1374" t="inlineStr">
        <is>
          <t>Nej</t>
        </is>
      </c>
      <c r="AE1374" t="inlineStr">
        <is>
          <t>Nej</t>
        </is>
      </c>
      <c r="AF1374" t="inlineStr">
        <is>
          <t>Ej behandlad</t>
        </is>
      </c>
      <c r="AG1374" t="inlineStr">
        <is>
          <t>AUTO_GENERERAD. Verifiera citat mot kallfil.</t>
        </is>
      </c>
      <c r="AH1374" t="inlineStr">
        <is>
          <t>MEDIUM</t>
        </is>
      </c>
      <c r="AI1374" t="inlineStr">
        <is>
          <t>AUTO</t>
        </is>
      </c>
      <c r="AJ1374" t="inlineStr">
        <is>
          <t>Nej</t>
        </is>
      </c>
      <c r="AK1374" t="inlineStr"/>
      <c r="AL1374" t="inlineStr"/>
      <c r="AM1374" t="inlineStr"/>
      <c r="AN1374" t="inlineStr"/>
      <c r="AO1374" t="inlineStr">
        <is>
          <t>cmm4yuoyb022hcuqwjk4jods4</t>
        </is>
      </c>
      <c r="AP1374" t="inlineStr">
        <is>
          <t>http://localhost:8787/api/admin/requirements/documents/cmm4yuoyb022hcuqwjk4jods4/view</t>
        </is>
      </c>
      <c r="AQ1374">
        <f>HYPERLÄNK("http://localhost:8787/api/admin/requirements/documents/cmm4yuoyb022hcuqwjk4jods4/view";"Öppna PDF")</f>
        <v/>
      </c>
      <c r="AR1374">
        <f>HYPERLINK("http://localhost:8787/api/admin/requirements/documents/cmm4yuoyb022hcuqwjk4jods4/view","Open PDF")</f>
        <v/>
      </c>
      <c r="AS1374" t="inlineStr">
        <is>
          <t>cmm55w57p0004cuisfrtpqly8</t>
        </is>
      </c>
      <c r="AT1374" t="inlineStr">
        <is>
          <t>cmm4xvu980000cuh4vj0usz09</t>
        </is>
      </c>
      <c r="AU1374" t="inlineStr">
        <is>
          <t>Postadress Enköpings</t>
        </is>
      </c>
      <c r="AV1374" t="inlineStr">
        <is>
          <t>Kommun</t>
        </is>
      </c>
      <c r="AW1374" t="inlineStr">
        <is>
          <t>Postadress Enköpings kommun</t>
        </is>
      </c>
      <c r="AX1374" t="inlineStr">
        <is>
          <t>2026-02</t>
        </is>
      </c>
      <c r="AY1374" t="inlineStr">
        <is>
          <t>Beslut</t>
        </is>
      </c>
      <c r="AZ1374" t="inlineStr">
        <is>
          <t>2026-02-03</t>
        </is>
      </c>
      <c r="BA1374" t="inlineStr">
        <is>
          <t>MIL20252277pdf_976576.pdf</t>
        </is>
      </c>
      <c r="BB1374" t="inlineStr">
        <is>
          <t>Begäran om allmän handling i ärende  MIL.2026.363</t>
        </is>
      </c>
      <c r="BC1374" t="inlineStr">
        <is>
          <t>AUTO</t>
        </is>
      </c>
      <c r="BD1374" t="inlineStr"/>
      <c r="BE1374" t="inlineStr"/>
      <c r="BF1374" t="inlineStr">
        <is>
          <t>AUTO_GENERERAD. Bekrafta metadata mot kallfil.</t>
        </is>
      </c>
      <c r="BG1374">
        <f>HYPERLINK("C:\Users\jimmy\Desktop\Examens arbete\Kod\Ny mapp\remix_-copy-of-miljöbeslut.se-portal\MIL20252277pdf_976576.pdf", "Öppna PDF")</f>
        <v/>
      </c>
    </row>
    <row r="1375">
      <c r="A1375" t="inlineStr">
        <is>
          <t>KRAV-AUTO-001374</t>
        </is>
      </c>
      <c r="B1375" t="inlineStr">
        <is>
          <t>ADMIN-INDEX-2026-02-27-00000000125C043F57453246863FE664CAFE6A3F0700950291EA24F0614FB6ACEDB12BF0E31D00000000010C0000950291EA24F0614FB6ACEDB12BF0E31D00002087AEB20000</t>
        </is>
      </c>
      <c r="C1375" t="inlineStr">
        <is>
          <t>cmm4yuoyb022hcuqwjk4jods4</t>
        </is>
      </c>
      <c r="D1375" t="inlineStr">
        <is>
          <t>http://localhost:8787/api/admin/requirements/documents/cmm4yuoyb022hcuqwjk4jods4/view</t>
        </is>
      </c>
      <c r="E1375">
        <f>HYPERLÄNK("http://localhost:8787/api/admin/requirements/documents/cmm4yuoyb022hcuqwjk4jods4/view";"Öppna PDF")</f>
        <v/>
      </c>
      <c r="F1375">
        <f>HYPERLINK("http://localhost:8787/api/admin/requirements/documents/cmm4yuoyb022hcuqwjk4jods4/view","Open PDF")</f>
        <v/>
      </c>
      <c r="G1375" t="inlineStr">
        <is>
          <t>cmm55w57p0004cuisfrtpqly8</t>
        </is>
      </c>
      <c r="H1375" t="inlineStr">
        <is>
          <t>Beslutsvillkor</t>
        </is>
      </c>
      <c r="I1375" t="inlineStr">
        <is>
          <t>Riskhantering</t>
        </is>
      </c>
      <c r="J1375" t="inlineStr">
        <is>
          <t>Riskkontroll</t>
        </is>
      </c>
      <c r="K1375" t="inlineStr">
        <is>
          <t>Verksamheten ska bedrivas så att risken för störande damning, lukt och nedskräpning minimeras.</t>
        </is>
      </c>
      <c r="L1375" t="inlineStr">
        <is>
          <t>Verksamheten ska bedrivas så att risken för störande damning, lukt och nedskräpning minimeras.</t>
        </is>
      </c>
      <c r="M1375" t="inlineStr">
        <is>
          <t>SKA</t>
        </is>
      </c>
      <c r="N1375" t="inlineStr"/>
      <c r="O1375" t="inlineStr"/>
      <c r="P1375" t="inlineStr"/>
      <c r="Q1375" t="inlineStr"/>
      <c r="R1375" t="inlineStr">
        <is>
          <t>Vid risk for incident</t>
        </is>
      </c>
      <c r="S1375" t="inlineStr"/>
      <c r="T1375" t="inlineStr">
        <is>
          <t>957631</t>
        </is>
      </c>
      <c r="U1375" t="inlineStr"/>
      <c r="V1375" t="inlineStr"/>
      <c r="W1375" t="inlineStr">
        <is>
          <t>Nej</t>
        </is>
      </c>
      <c r="X1375" t="inlineStr">
        <is>
          <t>Nej</t>
        </is>
      </c>
      <c r="Y1375" t="inlineStr">
        <is>
          <t>Ja</t>
        </is>
      </c>
      <c r="Z1375" t="inlineStr">
        <is>
          <t>Ja</t>
        </is>
      </c>
      <c r="AA1375" t="n">
        <v>8</v>
      </c>
      <c r="AB1375" t="inlineStr">
        <is>
          <t>Riskhantering</t>
        </is>
      </c>
      <c r="AC1375" t="inlineStr">
        <is>
          <t>Risk-PM</t>
        </is>
      </c>
      <c r="AD1375" t="inlineStr">
        <is>
          <t>Nej</t>
        </is>
      </c>
      <c r="AE1375" t="inlineStr">
        <is>
          <t>Nej</t>
        </is>
      </c>
      <c r="AF1375" t="inlineStr">
        <is>
          <t>Ej behandlad</t>
        </is>
      </c>
      <c r="AG1375" t="inlineStr">
        <is>
          <t>AUTO_GENERERAD. Verifiera citat mot kallfil.</t>
        </is>
      </c>
      <c r="AH1375" t="inlineStr">
        <is>
          <t>MEDIUM</t>
        </is>
      </c>
      <c r="AI1375" t="inlineStr">
        <is>
          <t>AUTO</t>
        </is>
      </c>
      <c r="AJ1375" t="inlineStr">
        <is>
          <t>Nej</t>
        </is>
      </c>
      <c r="AK1375" t="inlineStr"/>
      <c r="AL1375" t="inlineStr"/>
      <c r="AM1375" t="inlineStr"/>
      <c r="AN1375" t="inlineStr"/>
      <c r="AO1375" t="inlineStr">
        <is>
          <t>cmm4yuoyb022hcuqwjk4jods4</t>
        </is>
      </c>
      <c r="AP1375" t="inlineStr">
        <is>
          <t>http://localhost:8787/api/admin/requirements/documents/cmm4yuoyb022hcuqwjk4jods4/view</t>
        </is>
      </c>
      <c r="AQ1375">
        <f>HYPERLÄNK("http://localhost:8787/api/admin/requirements/documents/cmm4yuoyb022hcuqwjk4jods4/view";"Öppna PDF")</f>
        <v/>
      </c>
      <c r="AR1375">
        <f>HYPERLINK("http://localhost:8787/api/admin/requirements/documents/cmm4yuoyb022hcuqwjk4jods4/view","Open PDF")</f>
        <v/>
      </c>
      <c r="AS1375" t="inlineStr">
        <is>
          <t>cmm55w57p0004cuisfrtpqly8</t>
        </is>
      </c>
      <c r="AT1375" t="inlineStr">
        <is>
          <t>cmm4xvu980000cuh4vj0usz09</t>
        </is>
      </c>
      <c r="AU1375" t="inlineStr">
        <is>
          <t>Postadress Enköpings</t>
        </is>
      </c>
      <c r="AV1375" t="inlineStr">
        <is>
          <t>Kommun</t>
        </is>
      </c>
      <c r="AW1375" t="inlineStr">
        <is>
          <t>Postadress Enköpings kommun</t>
        </is>
      </c>
      <c r="AX1375" t="inlineStr">
        <is>
          <t>2026-02</t>
        </is>
      </c>
      <c r="AY1375" t="inlineStr">
        <is>
          <t>Beslut</t>
        </is>
      </c>
      <c r="AZ1375" t="inlineStr">
        <is>
          <t>2026-02-03</t>
        </is>
      </c>
      <c r="BA1375" t="inlineStr">
        <is>
          <t>MIL20252277pdf_976576.pdf</t>
        </is>
      </c>
      <c r="BB1375" t="inlineStr">
        <is>
          <t>Begäran om allmän handling i ärende  MIL.2026.363</t>
        </is>
      </c>
      <c r="BC1375" t="inlineStr">
        <is>
          <t>AUTO</t>
        </is>
      </c>
      <c r="BD1375" t="inlineStr"/>
      <c r="BE1375" t="inlineStr"/>
      <c r="BF1375" t="inlineStr">
        <is>
          <t>AUTO_GENERERAD. Bekrafta metadata mot kallfil.</t>
        </is>
      </c>
      <c r="BG1375">
        <f>HYPERLINK("C:\Users\jimmy\Desktop\Examens arbete\Kod\Ny mapp\remix_-copy-of-miljöbeslut.se-portal\MIL20252277pdf_976576.pdf", "Öppna PDF")</f>
        <v/>
      </c>
    </row>
    <row r="1376">
      <c r="A1376" t="inlineStr">
        <is>
          <t>KRAV-AUTO-001375</t>
        </is>
      </c>
      <c r="B1376" t="inlineStr">
        <is>
          <t>ADMIN-INDEX-2026-02-27-00000000125C043F57453246863FE664CAFE6A3F0700950291EA24F0614FB6ACEDB12BF0E31D00000000010C0000950291EA24F0614FB6ACEDB12BF0E31D00002087AEB20000</t>
        </is>
      </c>
      <c r="C1376" t="inlineStr">
        <is>
          <t>cmm4yuoy8022ecuqwprnljkk2</t>
        </is>
      </c>
      <c r="D1376" t="inlineStr">
        <is>
          <t>http://localhost:8787/api/admin/requirements/documents/cmm4yuoy8022ecuqwprnljkk2/view</t>
        </is>
      </c>
      <c r="E1376">
        <f>HYPERLÄNK("http://localhost:8787/api/admin/requirements/documents/cmm4yuoy8022ecuqwprnljkk2/view";"Öppna PDF")</f>
        <v/>
      </c>
      <c r="F1376">
        <f>HYPERLINK("http://localhost:8787/api/admin/requirements/documents/cmm4yuoy8022ecuqwprnljkk2/view","Open PDF")</f>
        <v/>
      </c>
      <c r="G1376" t="inlineStr">
        <is>
          <t>cmm55w57p0004cuisfrtpqly8</t>
        </is>
      </c>
      <c r="H1376" t="inlineStr">
        <is>
          <t>Beslutsvillkor</t>
        </is>
      </c>
      <c r="I1376" t="inlineStr">
        <is>
          <t>Ytkonstruktion</t>
        </is>
      </c>
      <c r="J1376" t="inlineStr">
        <is>
          <t>Tat yta</t>
        </is>
      </c>
      <c r="K1376" t="inlineStr">
        <is>
          <t>Lagring av bränsle, oljor, kemiska produkter ska ske på tät, invallad yta som är beständig mot den kemiska produkt som lagras, samt skyddas mot nederbörd.</t>
        </is>
      </c>
      <c r="L1376" t="inlineStr">
        <is>
          <t>Lagring av bränsle, oljor, kemiska produkter ska ske på tät, invallad yta som är beständig mot den kemiska produkt som lagras, samt skyddas mot nederbörd.</t>
        </is>
      </c>
      <c r="M1376" t="inlineStr">
        <is>
          <t>SKA</t>
        </is>
      </c>
      <c r="N1376" t="inlineStr"/>
      <c r="O1376" t="inlineStr"/>
      <c r="P1376" t="inlineStr"/>
      <c r="Q1376" t="inlineStr"/>
      <c r="R1376" t="inlineStr">
        <is>
          <t>Vid mellanlagring av avfall</t>
        </is>
      </c>
      <c r="S1376" t="inlineStr"/>
      <c r="T1376" t="inlineStr">
        <is>
          <t>891262</t>
        </is>
      </c>
      <c r="U1376" t="inlineStr"/>
      <c r="V1376" t="inlineStr"/>
      <c r="W1376" t="inlineStr">
        <is>
          <t>Ja</t>
        </is>
      </c>
      <c r="X1376" t="inlineStr">
        <is>
          <t>Nej</t>
        </is>
      </c>
      <c r="Y1376" t="inlineStr">
        <is>
          <t>Nej</t>
        </is>
      </c>
      <c r="Z1376" t="inlineStr">
        <is>
          <t>Nej</t>
        </is>
      </c>
      <c r="AA1376" t="n">
        <v>5</v>
      </c>
      <c r="AB1376" t="inlineStr">
        <is>
          <t>Teknisk beskrivning av platta</t>
        </is>
      </c>
      <c r="AC1376" t="inlineStr">
        <is>
          <t>Teknisk ritning platta</t>
        </is>
      </c>
      <c r="AD1376" t="inlineStr">
        <is>
          <t>Nej</t>
        </is>
      </c>
      <c r="AE1376" t="inlineStr">
        <is>
          <t>Nej</t>
        </is>
      </c>
      <c r="AF1376" t="inlineStr">
        <is>
          <t>Ej behandlad</t>
        </is>
      </c>
      <c r="AG1376" t="inlineStr">
        <is>
          <t>AUTO_GENERERAD. Verifiera citat mot kallfil.</t>
        </is>
      </c>
      <c r="AH1376" t="inlineStr">
        <is>
          <t>MEDIUM</t>
        </is>
      </c>
      <c r="AI1376" t="inlineStr">
        <is>
          <t>AUTO</t>
        </is>
      </c>
      <c r="AJ1376" t="inlineStr">
        <is>
          <t>Nej</t>
        </is>
      </c>
      <c r="AK1376" t="inlineStr"/>
      <c r="AL1376" t="inlineStr"/>
      <c r="AM1376" t="inlineStr"/>
      <c r="AN1376" t="inlineStr"/>
      <c r="AO1376" t="inlineStr">
        <is>
          <t>cmm4yuoyb022hcuqwjk4jods4</t>
        </is>
      </c>
      <c r="AP1376" t="inlineStr">
        <is>
          <t>http://localhost:8787/api/admin/requirements/documents/cmm4yuoyb022hcuqwjk4jods4/view</t>
        </is>
      </c>
      <c r="AQ1376">
        <f>HYPERLÄNK("http://localhost:8787/api/admin/requirements/documents/cmm4yuoyb022hcuqwjk4jods4/view";"Öppna PDF")</f>
        <v/>
      </c>
      <c r="AR1376">
        <f>HYPERLINK("http://localhost:8787/api/admin/requirements/documents/cmm4yuoyb022hcuqwjk4jods4/view","Open PDF")</f>
        <v/>
      </c>
      <c r="AS1376" t="inlineStr">
        <is>
          <t>cmm55w57p0004cuisfrtpqly8</t>
        </is>
      </c>
      <c r="AT1376" t="inlineStr">
        <is>
          <t>cmm4xvu980000cuh4vj0usz09</t>
        </is>
      </c>
      <c r="AU1376" t="inlineStr">
        <is>
          <t>Postadress Enköpings</t>
        </is>
      </c>
      <c r="AV1376" t="inlineStr">
        <is>
          <t>Kommun</t>
        </is>
      </c>
      <c r="AW1376" t="inlineStr">
        <is>
          <t>Postadress Enköpings kommun</t>
        </is>
      </c>
      <c r="AX1376" t="inlineStr">
        <is>
          <t>2026-02</t>
        </is>
      </c>
      <c r="AY1376" t="inlineStr">
        <is>
          <t>Beslut</t>
        </is>
      </c>
      <c r="AZ1376" t="inlineStr">
        <is>
          <t>2026-02-03</t>
        </is>
      </c>
      <c r="BA1376" t="inlineStr">
        <is>
          <t>MIL20252277pdf_976576.pdf</t>
        </is>
      </c>
      <c r="BB1376" t="inlineStr">
        <is>
          <t>Begäran om allmän handling i ärende  MIL.2026.363</t>
        </is>
      </c>
      <c r="BC1376" t="inlineStr">
        <is>
          <t>AUTO</t>
        </is>
      </c>
      <c r="BD1376" t="inlineStr"/>
      <c r="BE1376" t="inlineStr"/>
      <c r="BF1376" t="inlineStr">
        <is>
          <t>AUTO_GENERERAD. Bekrafta metadata mot kallfil.</t>
        </is>
      </c>
      <c r="BG1376">
        <f>HYPERLINK("C:\Users\jimmy\Desktop\Examens arbete\Kod\Ny mapp\remix_-copy-of-miljöbeslut.se-portal\MIL20252277pdf_976576.pdf", "Öppna PDF")</f>
        <v/>
      </c>
    </row>
    <row r="1377">
      <c r="A1377" t="inlineStr">
        <is>
          <t>KRAV-AUTO-001376</t>
        </is>
      </c>
      <c r="B1377" t="inlineStr">
        <is>
          <t>ADMIN-INDEX-2026-02-27-00000000125C043F57453246863FE664CAFE6A3F0700950291EA24F0614FB6ACEDB12BF0E31D00000000010C0000950291EA24F0614FB6ACEDB12BF0E31D00002087AEB20000</t>
        </is>
      </c>
      <c r="C1377" t="inlineStr">
        <is>
          <t>cmm4yuoy8022ecuqwprnljkk2</t>
        </is>
      </c>
      <c r="D1377" t="inlineStr">
        <is>
          <t>http://localhost:8787/api/admin/requirements/documents/cmm4yuoy8022ecuqwprnljkk2/view</t>
        </is>
      </c>
      <c r="E1377">
        <f>HYPERLÄNK("http://localhost:8787/api/admin/requirements/documents/cmm4yuoy8022ecuqwprnljkk2/view";"Öppna PDF")</f>
        <v/>
      </c>
      <c r="F1377">
        <f>HYPERLINK("http://localhost:8787/api/admin/requirements/documents/cmm4yuoy8022ecuqwprnljkk2/view","Open PDF")</f>
        <v/>
      </c>
      <c r="G1377" t="inlineStr">
        <is>
          <t>cmm55w57p0004cuisfrtpqly8</t>
        </is>
      </c>
      <c r="H1377" t="inlineStr">
        <is>
          <t>Beslutsvillkor</t>
        </is>
      </c>
      <c r="I1377" t="inlineStr">
        <is>
          <t>Ytkonstruktion</t>
        </is>
      </c>
      <c r="J1377" t="inlineStr">
        <is>
          <t>Tat yta</t>
        </is>
      </c>
      <c r="K1377" t="inlineStr">
        <is>
          <t>Flytande kemiska produkter och farligt avfall ska förvaras inom invallat område.</t>
        </is>
      </c>
      <c r="L1377" t="inlineStr">
        <is>
          <t>Flytande kemiska produkter och farligt avfall ska förvaras inom invallat område.</t>
        </is>
      </c>
      <c r="M1377" t="inlineStr">
        <is>
          <t>SKA</t>
        </is>
      </c>
      <c r="N1377" t="inlineStr"/>
      <c r="O1377" t="inlineStr"/>
      <c r="P1377" t="inlineStr">
        <is>
          <t>Arlig</t>
        </is>
      </c>
      <c r="Q1377" t="inlineStr"/>
      <c r="R1377" t="inlineStr">
        <is>
          <t>Vid mellanlagring av avfall</t>
        </is>
      </c>
      <c r="S1377" t="inlineStr"/>
      <c r="T1377" t="inlineStr">
        <is>
          <t>891262</t>
        </is>
      </c>
      <c r="U1377" t="inlineStr"/>
      <c r="V1377" t="inlineStr"/>
      <c r="W1377" t="inlineStr">
        <is>
          <t>Ja</t>
        </is>
      </c>
      <c r="X1377" t="inlineStr">
        <is>
          <t>Nej</t>
        </is>
      </c>
      <c r="Y1377" t="inlineStr">
        <is>
          <t>Nej</t>
        </is>
      </c>
      <c r="Z1377" t="inlineStr">
        <is>
          <t>Nej</t>
        </is>
      </c>
      <c r="AA1377" t="n">
        <v>5</v>
      </c>
      <c r="AB1377" t="inlineStr">
        <is>
          <t>Teknisk beskrivning av platta</t>
        </is>
      </c>
      <c r="AC1377" t="inlineStr">
        <is>
          <t>Teknisk ritning platta</t>
        </is>
      </c>
      <c r="AD1377" t="inlineStr">
        <is>
          <t>Nej</t>
        </is>
      </c>
      <c r="AE1377" t="inlineStr">
        <is>
          <t>Nej</t>
        </is>
      </c>
      <c r="AF1377" t="inlineStr">
        <is>
          <t>Ej behandlad</t>
        </is>
      </c>
      <c r="AG1377" t="inlineStr">
        <is>
          <t>AUTO_GENERERAD. Verifiera citat mot kallfil.</t>
        </is>
      </c>
      <c r="AH1377" t="inlineStr">
        <is>
          <t>MEDIUM</t>
        </is>
      </c>
      <c r="AI1377" t="inlineStr">
        <is>
          <t>AUTO</t>
        </is>
      </c>
      <c r="AJ1377" t="inlineStr">
        <is>
          <t>Nej</t>
        </is>
      </c>
      <c r="AK1377" t="inlineStr"/>
      <c r="AL1377" t="inlineStr"/>
      <c r="AM1377" t="inlineStr"/>
      <c r="AN1377" t="inlineStr"/>
      <c r="AO1377" t="inlineStr">
        <is>
          <t>cmm4yuoyb022hcuqwjk4jods4</t>
        </is>
      </c>
      <c r="AP1377" t="inlineStr">
        <is>
          <t>http://localhost:8787/api/admin/requirements/documents/cmm4yuoyb022hcuqwjk4jods4/view</t>
        </is>
      </c>
      <c r="AQ1377">
        <f>HYPERLÄNK("http://localhost:8787/api/admin/requirements/documents/cmm4yuoyb022hcuqwjk4jods4/view";"Öppna PDF")</f>
        <v/>
      </c>
      <c r="AR1377">
        <f>HYPERLINK("http://localhost:8787/api/admin/requirements/documents/cmm4yuoyb022hcuqwjk4jods4/view","Open PDF")</f>
        <v/>
      </c>
      <c r="AS1377" t="inlineStr">
        <is>
          <t>cmm55w57p0004cuisfrtpqly8</t>
        </is>
      </c>
      <c r="AT1377" t="inlineStr">
        <is>
          <t>cmm4xvu980000cuh4vj0usz09</t>
        </is>
      </c>
      <c r="AU1377" t="inlineStr">
        <is>
          <t>Postadress Enköpings</t>
        </is>
      </c>
      <c r="AV1377" t="inlineStr">
        <is>
          <t>Kommun</t>
        </is>
      </c>
      <c r="AW1377" t="inlineStr">
        <is>
          <t>Postadress Enköpings kommun</t>
        </is>
      </c>
      <c r="AX1377" t="inlineStr">
        <is>
          <t>2026-02</t>
        </is>
      </c>
      <c r="AY1377" t="inlineStr">
        <is>
          <t>Beslut</t>
        </is>
      </c>
      <c r="AZ1377" t="inlineStr">
        <is>
          <t>2026-02-03</t>
        </is>
      </c>
      <c r="BA1377" t="inlineStr">
        <is>
          <t>MIL20252277pdf_976576.pdf</t>
        </is>
      </c>
      <c r="BB1377" t="inlineStr">
        <is>
          <t>Begäran om allmän handling i ärende  MIL.2026.363</t>
        </is>
      </c>
      <c r="BC1377" t="inlineStr">
        <is>
          <t>AUTO</t>
        </is>
      </c>
      <c r="BD1377" t="inlineStr"/>
      <c r="BE1377" t="inlineStr"/>
      <c r="BF1377" t="inlineStr">
        <is>
          <t>AUTO_GENERERAD. Bekrafta metadata mot kallfil.</t>
        </is>
      </c>
      <c r="BG1377">
        <f>HYPERLINK("C:\Users\jimmy\Desktop\Examens arbete\Kod\Ny mapp\remix_-copy-of-miljöbeslut.se-portal\MIL20252277pdf_976576.pdf", "Öppna PDF")</f>
        <v/>
      </c>
    </row>
    <row r="1378">
      <c r="A1378" t="inlineStr">
        <is>
          <t>KRAV-AUTO-001377</t>
        </is>
      </c>
      <c r="B1378" t="inlineStr">
        <is>
          <t>ADMIN-INDEX-2026-02-27-00000000125C043F57453246863FE664CAFE6A3F0700950291EA24F0614FB6ACEDB12BF0E31D00000000010C0000950291EA24F0614FB6ACEDB12BF0E31D00002087AEB20000</t>
        </is>
      </c>
      <c r="C1378" t="inlineStr">
        <is>
          <t>cmm4yuoy8022ecuqwprnljkk2</t>
        </is>
      </c>
      <c r="D1378" t="inlineStr">
        <is>
          <t>http://localhost:8787/api/admin/requirements/documents/cmm4yuoy8022ecuqwprnljkk2/view</t>
        </is>
      </c>
      <c r="E1378">
        <f>HYPERLÄNK("http://localhost:8787/api/admin/requirements/documents/cmm4yuoy8022ecuqwprnljkk2/view";"Öppna PDF")</f>
        <v/>
      </c>
      <c r="F1378">
        <f>HYPERLINK("http://localhost:8787/api/admin/requirements/documents/cmm4yuoy8022ecuqwprnljkk2/view","Open PDF")</f>
        <v/>
      </c>
      <c r="G1378" t="inlineStr">
        <is>
          <t>cmm55w57p0004cuisfrtpqly8</t>
        </is>
      </c>
      <c r="H1378" t="inlineStr">
        <is>
          <t>Beslutsvillkor</t>
        </is>
      </c>
      <c r="I1378" t="inlineStr">
        <is>
          <t>Ytkonstruktion</t>
        </is>
      </c>
      <c r="J1378" t="inlineStr">
        <is>
          <t>Tat yta</t>
        </is>
      </c>
      <c r="K1378" t="inlineStr">
        <is>
          <t>Invallningar ska dimensioneras så att de rymmer största behållarens volym och minst 10 % av övrig lagrad volym.</t>
        </is>
      </c>
      <c r="L1378" t="inlineStr">
        <is>
          <t>Invallningar ska dimensioneras så att de rymmer största behållarens volym och minst 10 % av övrig lagrad volym.</t>
        </is>
      </c>
      <c r="M1378" t="inlineStr">
        <is>
          <t>SKA</t>
        </is>
      </c>
      <c r="N1378" t="inlineStr"/>
      <c r="O1378" t="inlineStr"/>
      <c r="P1378" t="inlineStr"/>
      <c r="Q1378" t="inlineStr"/>
      <c r="R1378" t="inlineStr">
        <is>
          <t>Vid mellanlagring av avfall</t>
        </is>
      </c>
      <c r="S1378" t="inlineStr"/>
      <c r="T1378" t="inlineStr">
        <is>
          <t>891262</t>
        </is>
      </c>
      <c r="U1378" t="inlineStr"/>
      <c r="V1378" t="inlineStr"/>
      <c r="W1378" t="inlineStr">
        <is>
          <t>Ja</t>
        </is>
      </c>
      <c r="X1378" t="inlineStr">
        <is>
          <t>Nej</t>
        </is>
      </c>
      <c r="Y1378" t="inlineStr">
        <is>
          <t>Nej</t>
        </is>
      </c>
      <c r="Z1378" t="inlineStr">
        <is>
          <t>Nej</t>
        </is>
      </c>
      <c r="AA1378" t="n">
        <v>5</v>
      </c>
      <c r="AB1378" t="inlineStr">
        <is>
          <t>Teknisk beskrivning av platta</t>
        </is>
      </c>
      <c r="AC1378" t="inlineStr">
        <is>
          <t>Teknisk ritning platta</t>
        </is>
      </c>
      <c r="AD1378" t="inlineStr">
        <is>
          <t>Nej</t>
        </is>
      </c>
      <c r="AE1378" t="inlineStr">
        <is>
          <t>Nej</t>
        </is>
      </c>
      <c r="AF1378" t="inlineStr">
        <is>
          <t>Ej behandlad</t>
        </is>
      </c>
      <c r="AG1378" t="inlineStr">
        <is>
          <t>AUTO_GENERERAD. Verifiera citat mot kallfil.</t>
        </is>
      </c>
      <c r="AH1378" t="inlineStr">
        <is>
          <t>MEDIUM</t>
        </is>
      </c>
      <c r="AI1378" t="inlineStr">
        <is>
          <t>AUTO</t>
        </is>
      </c>
      <c r="AJ1378" t="inlineStr">
        <is>
          <t>Nej</t>
        </is>
      </c>
      <c r="AK1378" t="inlineStr"/>
      <c r="AL1378" t="inlineStr"/>
      <c r="AM1378" t="inlineStr"/>
      <c r="AN1378" t="inlineStr"/>
      <c r="AO1378" t="inlineStr">
        <is>
          <t>cmm4yuoyb022hcuqwjk4jods4</t>
        </is>
      </c>
      <c r="AP1378" t="inlineStr">
        <is>
          <t>http://localhost:8787/api/admin/requirements/documents/cmm4yuoyb022hcuqwjk4jods4/view</t>
        </is>
      </c>
      <c r="AQ1378">
        <f>HYPERLÄNK("http://localhost:8787/api/admin/requirements/documents/cmm4yuoyb022hcuqwjk4jods4/view";"Öppna PDF")</f>
        <v/>
      </c>
      <c r="AR1378">
        <f>HYPERLINK("http://localhost:8787/api/admin/requirements/documents/cmm4yuoyb022hcuqwjk4jods4/view","Open PDF")</f>
        <v/>
      </c>
      <c r="AS1378" t="inlineStr">
        <is>
          <t>cmm55w57p0004cuisfrtpqly8</t>
        </is>
      </c>
      <c r="AT1378" t="inlineStr">
        <is>
          <t>cmm4xvu980000cuh4vj0usz09</t>
        </is>
      </c>
      <c r="AU1378" t="inlineStr">
        <is>
          <t>Postadress Enköpings</t>
        </is>
      </c>
      <c r="AV1378" t="inlineStr">
        <is>
          <t>Kommun</t>
        </is>
      </c>
      <c r="AW1378" t="inlineStr">
        <is>
          <t>Postadress Enköpings kommun</t>
        </is>
      </c>
      <c r="AX1378" t="inlineStr">
        <is>
          <t>2026-02</t>
        </is>
      </c>
      <c r="AY1378" t="inlineStr">
        <is>
          <t>Beslut</t>
        </is>
      </c>
      <c r="AZ1378" t="inlineStr">
        <is>
          <t>2026-02-03</t>
        </is>
      </c>
      <c r="BA1378" t="inlineStr">
        <is>
          <t>MIL20252277pdf_976576.pdf</t>
        </is>
      </c>
      <c r="BB1378" t="inlineStr">
        <is>
          <t>Begäran om allmän handling i ärende  MIL.2026.363</t>
        </is>
      </c>
      <c r="BC1378" t="inlineStr">
        <is>
          <t>AUTO</t>
        </is>
      </c>
      <c r="BD1378" t="inlineStr"/>
      <c r="BE1378" t="inlineStr"/>
      <c r="BF1378" t="inlineStr">
        <is>
          <t>AUTO_GENERERAD. Bekrafta metadata mot kallfil.</t>
        </is>
      </c>
      <c r="BG1378">
        <f>HYPERLINK("C:\Users\jimmy\Desktop\Examens arbete\Kod\Ny mapp\remix_-copy-of-miljöbeslut.se-portal\MIL20252277pdf_976576.pdf", "Öppna PDF")</f>
        <v/>
      </c>
    </row>
    <row r="1379">
      <c r="A1379" t="inlineStr">
        <is>
          <t>KRAV-AUTO-001378</t>
        </is>
      </c>
      <c r="B1379" t="inlineStr">
        <is>
          <t>ADMIN-INDEX-2026-02-27-00000000125C043F57453246863FE664CAFE6A3F0700950291EA24F0614FB6ACEDB12BF0E31D00000000010C0000950291EA24F0614FB6ACEDB12BF0E31D00002087AEB30000</t>
        </is>
      </c>
      <c r="C1379" t="inlineStr">
        <is>
          <t>cmm4yuoy5022bcuqw0e9yl7q6</t>
        </is>
      </c>
      <c r="D1379" t="inlineStr">
        <is>
          <t>http://localhost:8787/api/admin/requirements/documents/cmm4yuoy5022bcuqw0e9yl7q6/view</t>
        </is>
      </c>
      <c r="E1379">
        <f>HYPERLÄNK("http://localhost:8787/api/admin/requirements/documents/cmm4yuoy5022bcuqw0e9yl7q6/view";"Öppna PDF")</f>
        <v/>
      </c>
      <c r="F1379">
        <f>HYPERLINK("http://localhost:8787/api/admin/requirements/documents/cmm4yuoy5022bcuqw0e9yl7q6/view","Open PDF")</f>
        <v/>
      </c>
      <c r="G1379" t="inlineStr">
        <is>
          <t>cmm55w57p0004cuisfrtpqly8</t>
        </is>
      </c>
      <c r="H1379" t="inlineStr">
        <is>
          <t>Kompletteringskrav</t>
        </is>
      </c>
      <c r="I1379" t="inlineStr">
        <is>
          <t>Ytkonstruktion</t>
        </is>
      </c>
      <c r="J1379" t="inlineStr">
        <is>
          <t>Tat yta</t>
        </is>
      </c>
      <c r="K1379" t="inlineStr">
        <is>
          <t>Flytande kemiska produkter och flytande farligt avfall ska förvaras invallat.</t>
        </is>
      </c>
      <c r="L1379" t="inlineStr">
        <is>
          <t>Flytande kemiska produkter och flytande farligt avfall ska förvaras invallat.</t>
        </is>
      </c>
      <c r="M1379" t="inlineStr">
        <is>
          <t>SKA</t>
        </is>
      </c>
      <c r="N1379" t="inlineStr">
        <is>
          <t>Miljobalken</t>
        </is>
      </c>
      <c r="O1379" t="inlineStr"/>
      <c r="P1379" t="inlineStr">
        <is>
          <t>Arlig</t>
        </is>
      </c>
      <c r="Q1379" t="inlineStr"/>
      <c r="R1379" t="inlineStr">
        <is>
          <t>Vid mellanlagring av avfall</t>
        </is>
      </c>
      <c r="S1379" t="inlineStr"/>
      <c r="T1379" t="inlineStr">
        <is>
          <t>52 0140</t>
        </is>
      </c>
      <c r="U1379" t="inlineStr"/>
      <c r="V1379" t="inlineStr"/>
      <c r="W1379" t="inlineStr">
        <is>
          <t>Ja</t>
        </is>
      </c>
      <c r="X1379" t="inlineStr">
        <is>
          <t>Nej</t>
        </is>
      </c>
      <c r="Y1379" t="inlineStr">
        <is>
          <t>Nej</t>
        </is>
      </c>
      <c r="Z1379" t="inlineStr">
        <is>
          <t>Nej</t>
        </is>
      </c>
      <c r="AA1379" t="n">
        <v>5</v>
      </c>
      <c r="AB1379" t="inlineStr">
        <is>
          <t>Teknisk beskrivning av platta</t>
        </is>
      </c>
      <c r="AC1379" t="inlineStr">
        <is>
          <t>Teknisk ritning platta</t>
        </is>
      </c>
      <c r="AD1379" t="inlineStr">
        <is>
          <t>Nej</t>
        </is>
      </c>
      <c r="AE1379" t="inlineStr">
        <is>
          <t>Nej</t>
        </is>
      </c>
      <c r="AF1379" t="inlineStr">
        <is>
          <t>Ej behandlad</t>
        </is>
      </c>
      <c r="AG1379" t="inlineStr">
        <is>
          <t>AUTO_GENERERAD. Verifiera citat mot kallfil.</t>
        </is>
      </c>
      <c r="AH1379" t="inlineStr">
        <is>
          <t>HIGH</t>
        </is>
      </c>
      <c r="AI1379" t="inlineStr">
        <is>
          <t>AUTO</t>
        </is>
      </c>
      <c r="AJ1379" t="inlineStr">
        <is>
          <t>Nej</t>
        </is>
      </c>
      <c r="AK1379" t="inlineStr"/>
      <c r="AL1379" t="inlineStr"/>
      <c r="AM1379" t="inlineStr"/>
      <c r="AN1379" t="inlineStr"/>
      <c r="AO1379" t="inlineStr">
        <is>
          <t>cmm4yuoy5022bcuqw0e9yl7q6</t>
        </is>
      </c>
      <c r="AP1379" t="inlineStr">
        <is>
          <t>http://localhost:8787/api/admin/requirements/documents/cmm4yuoy5022bcuqw0e9yl7q6/view</t>
        </is>
      </c>
      <c r="AQ1379">
        <f>HYPERLÄNK("http://localhost:8787/api/admin/requirements/documents/cmm4yuoy5022bcuqw0e9yl7q6/view";"Öppna PDF")</f>
        <v/>
      </c>
      <c r="AR1379">
        <f>HYPERLINK("http://localhost:8787/api/admin/requirements/documents/cmm4yuoy5022bcuqw0e9yl7q6/view","Open PDF")</f>
        <v/>
      </c>
      <c r="AS1379" t="inlineStr">
        <is>
          <t>cmm55w57p0004cuisfrtpqly8</t>
        </is>
      </c>
      <c r="AT1379" t="inlineStr">
        <is>
          <t>cmm4xvu980000cuh4vj0usz09</t>
        </is>
      </c>
      <c r="AU1379" t="inlineStr">
        <is>
          <t>Besöksadress Telefon E-post Webb Tranås</t>
        </is>
      </c>
      <c r="AV1379" t="inlineStr">
        <is>
          <t>Kommun</t>
        </is>
      </c>
      <c r="AW1379" t="inlineStr">
        <is>
          <t>Besöksadress Telefon E-post Webb Tranås kommun</t>
        </is>
      </c>
      <c r="AX1379" t="inlineStr">
        <is>
          <t>2025-02</t>
        </is>
      </c>
      <c r="AY1379" t="inlineStr">
        <is>
          <t>Forelaggande</t>
        </is>
      </c>
      <c r="AZ1379" t="inlineStr">
        <is>
          <t>2026-02-03</t>
        </is>
      </c>
      <c r="BA1379" t="inlineStr">
        <is>
          <t>M-2024-659-Föreläggande enligt miljöbalken(1).pdf</t>
        </is>
      </c>
      <c r="BB1379" t="inlineStr">
        <is>
          <t>handlingar</t>
        </is>
      </c>
      <c r="BC1379" t="inlineStr">
        <is>
          <t>AUTO</t>
        </is>
      </c>
      <c r="BD1379" t="inlineStr"/>
      <c r="BE1379" t="inlineStr"/>
      <c r="BF1379" t="inlineStr">
        <is>
          <t>AUTO_GENERERAD. Bekrafta metadata mot kallfil.</t>
        </is>
      </c>
      <c r="BG1379">
        <f>HYPERLINK("C:\Users\jimmy\Desktop\Examens arbete\Kod\Ny mapp\remix_-copy-of-miljöbeslut.se-portal\M-2024-659-Föreläggande enligt miljöbalken(1).pdf", "Öppna PDF")</f>
        <v/>
      </c>
    </row>
    <row r="1380">
      <c r="A1380" t="inlineStr">
        <is>
          <t>KRAV-AUTO-001379</t>
        </is>
      </c>
      <c r="B1380" t="inlineStr">
        <is>
          <t>ADMIN-INDEX-2026-02-27-00000000125C043F57453246863FE664CAFE6A3F0700950291EA24F0614FB6ACEDB12BF0E31D00000000010C0000950291EA24F0614FB6ACEDB12BF0E31D00002087AEB30000</t>
        </is>
      </c>
      <c r="C1380" t="inlineStr">
        <is>
          <t>cmm4yuoy5022bcuqw0e9yl7q6</t>
        </is>
      </c>
      <c r="D1380" t="inlineStr">
        <is>
          <t>http://localhost:8787/api/admin/requirements/documents/cmm4yuoy5022bcuqw0e9yl7q6/view</t>
        </is>
      </c>
      <c r="E1380">
        <f>HYPERLÄNK("http://localhost:8787/api/admin/requirements/documents/cmm4yuoy5022bcuqw0e9yl7q6/view";"Öppna PDF")</f>
        <v/>
      </c>
      <c r="F1380">
        <f>HYPERLINK("http://localhost:8787/api/admin/requirements/documents/cmm4yuoy5022bcuqw0e9yl7q6/view","Open PDF")</f>
        <v/>
      </c>
      <c r="G1380" t="inlineStr">
        <is>
          <t>cmm55w57p0004cuisfrtpqly8</t>
        </is>
      </c>
      <c r="H1380" t="inlineStr">
        <is>
          <t>Kompletteringskrav</t>
        </is>
      </c>
      <c r="I1380" t="inlineStr">
        <is>
          <t>Ytkonstruktion</t>
        </is>
      </c>
      <c r="J1380" t="inlineStr">
        <is>
          <t>Tat yta</t>
        </is>
      </c>
      <c r="K1380" t="inlineStr">
        <is>
          <t>Hela volymen ska rymmas inom invallningen för att, vid ett ev.</t>
        </is>
      </c>
      <c r="L1380" t="inlineStr">
        <is>
          <t>Hela volymen ska rymmas inom invallningen för att, vid ett ev.</t>
        </is>
      </c>
      <c r="M1380" t="inlineStr">
        <is>
          <t>SKA</t>
        </is>
      </c>
      <c r="N1380" t="inlineStr">
        <is>
          <t>Miljobalken</t>
        </is>
      </c>
      <c r="O1380" t="inlineStr"/>
      <c r="P1380" t="inlineStr"/>
      <c r="Q1380" t="inlineStr"/>
      <c r="R1380" t="inlineStr">
        <is>
          <t>Vid mellanlagring av avfall</t>
        </is>
      </c>
      <c r="S1380" t="inlineStr"/>
      <c r="T1380" t="inlineStr">
        <is>
          <t>52 0140</t>
        </is>
      </c>
      <c r="U1380" t="inlineStr"/>
      <c r="V1380" t="inlineStr"/>
      <c r="W1380" t="inlineStr">
        <is>
          <t>Ja</t>
        </is>
      </c>
      <c r="X1380" t="inlineStr">
        <is>
          <t>Nej</t>
        </is>
      </c>
      <c r="Y1380" t="inlineStr">
        <is>
          <t>Nej</t>
        </is>
      </c>
      <c r="Z1380" t="inlineStr">
        <is>
          <t>Nej</t>
        </is>
      </c>
      <c r="AA1380" t="n">
        <v>5</v>
      </c>
      <c r="AB1380" t="inlineStr">
        <is>
          <t>Teknisk beskrivning av platta</t>
        </is>
      </c>
      <c r="AC1380" t="inlineStr">
        <is>
          <t>Teknisk ritning platta</t>
        </is>
      </c>
      <c r="AD1380" t="inlineStr">
        <is>
          <t>Nej</t>
        </is>
      </c>
      <c r="AE1380" t="inlineStr">
        <is>
          <t>Nej</t>
        </is>
      </c>
      <c r="AF1380" t="inlineStr">
        <is>
          <t>Ej behandlad</t>
        </is>
      </c>
      <c r="AG1380" t="inlineStr">
        <is>
          <t>AUTO_GENERERAD. Verifiera citat mot kallfil.</t>
        </is>
      </c>
      <c r="AH1380" t="inlineStr">
        <is>
          <t>HIGH</t>
        </is>
      </c>
      <c r="AI1380" t="inlineStr">
        <is>
          <t>AUTO</t>
        </is>
      </c>
      <c r="AJ1380" t="inlineStr">
        <is>
          <t>Nej</t>
        </is>
      </c>
      <c r="AK1380" t="inlineStr"/>
      <c r="AL1380" t="inlineStr"/>
      <c r="AM1380" t="inlineStr"/>
      <c r="AN1380" t="inlineStr"/>
      <c r="AO1380" t="inlineStr">
        <is>
          <t>cmm4yuoy5022bcuqw0e9yl7q6</t>
        </is>
      </c>
      <c r="AP1380" t="inlineStr">
        <is>
          <t>http://localhost:8787/api/admin/requirements/documents/cmm4yuoy5022bcuqw0e9yl7q6/view</t>
        </is>
      </c>
      <c r="AQ1380">
        <f>HYPERLÄNK("http://localhost:8787/api/admin/requirements/documents/cmm4yuoy5022bcuqw0e9yl7q6/view";"Öppna PDF")</f>
        <v/>
      </c>
      <c r="AR1380">
        <f>HYPERLINK("http://localhost:8787/api/admin/requirements/documents/cmm4yuoy5022bcuqw0e9yl7q6/view","Open PDF")</f>
        <v/>
      </c>
      <c r="AS1380" t="inlineStr">
        <is>
          <t>cmm55w57p0004cuisfrtpqly8</t>
        </is>
      </c>
      <c r="AT1380" t="inlineStr">
        <is>
          <t>cmm4xvu980000cuh4vj0usz09</t>
        </is>
      </c>
      <c r="AU1380" t="inlineStr">
        <is>
          <t>Besöksadress Telefon E-post Webb Tranås</t>
        </is>
      </c>
      <c r="AV1380" t="inlineStr">
        <is>
          <t>Kommun</t>
        </is>
      </c>
      <c r="AW1380" t="inlineStr">
        <is>
          <t>Besöksadress Telefon E-post Webb Tranås kommun</t>
        </is>
      </c>
      <c r="AX1380" t="inlineStr">
        <is>
          <t>2025-02</t>
        </is>
      </c>
      <c r="AY1380" t="inlineStr">
        <is>
          <t>Forelaggande</t>
        </is>
      </c>
      <c r="AZ1380" t="inlineStr">
        <is>
          <t>2026-02-03</t>
        </is>
      </c>
      <c r="BA1380" t="inlineStr">
        <is>
          <t>M-2024-659-Föreläggande enligt miljöbalken(1).pdf</t>
        </is>
      </c>
      <c r="BB1380" t="inlineStr">
        <is>
          <t>handlingar</t>
        </is>
      </c>
      <c r="BC1380" t="inlineStr">
        <is>
          <t>AUTO</t>
        </is>
      </c>
      <c r="BD1380" t="inlineStr"/>
      <c r="BE1380" t="inlineStr"/>
      <c r="BF1380" t="inlineStr">
        <is>
          <t>AUTO_GENERERAD. Bekrafta metadata mot kallfil.</t>
        </is>
      </c>
      <c r="BG1380">
        <f>HYPERLINK("C:\Users\jimmy\Desktop\Examens arbete\Kod\Ny mapp\remix_-copy-of-miljöbeslut.se-portal\M-2024-659-Föreläggande enligt miljöbalken(1).pdf", "Öppna PDF")</f>
        <v/>
      </c>
    </row>
    <row r="1381">
      <c r="A1381" t="inlineStr">
        <is>
          <t>KRAV-AUTO-001380</t>
        </is>
      </c>
      <c r="B1381" t="inlineStr">
        <is>
          <t>ADMIN-INDEX-2026-02-27-00000000125C043F57453246863FE664CAFE6A3F0700950291EA24F0614FB6ACEDB12BF0E31D00000000010C0000950291EA24F0614FB6ACEDB12BF0E31D00002087AEB30000</t>
        </is>
      </c>
      <c r="C1381" t="inlineStr">
        <is>
          <t>cmm4yuoy5022bcuqw0e9yl7q6</t>
        </is>
      </c>
      <c r="D1381" t="inlineStr">
        <is>
          <t>http://localhost:8787/api/admin/requirements/documents/cmm4yuoy5022bcuqw0e9yl7q6/view</t>
        </is>
      </c>
      <c r="E1381">
        <f>HYPERLÄNK("http://localhost:8787/api/admin/requirements/documents/cmm4yuoy5022bcuqw0e9yl7q6/view";"Öppna PDF")</f>
        <v/>
      </c>
      <c r="F1381">
        <f>HYPERLINK("http://localhost:8787/api/admin/requirements/documents/cmm4yuoy5022bcuqw0e9yl7q6/view","Open PDF")</f>
        <v/>
      </c>
      <c r="G1381" t="inlineStr">
        <is>
          <t>cmm55w57p0004cuisfrtpqly8</t>
        </is>
      </c>
      <c r="H1381" t="inlineStr">
        <is>
          <t>Kompletteringskrav</t>
        </is>
      </c>
      <c r="I1381" t="inlineStr">
        <is>
          <t>Ytkonstruktion</t>
        </is>
      </c>
      <c r="J1381" t="inlineStr">
        <is>
          <t>Tat yta</t>
        </is>
      </c>
      <c r="K1381" t="inlineStr">
        <is>
          <t>Lagring av farligt avfall samt lagring av kemiska produkter ska ske under tak på tät hårdgjord yta.</t>
        </is>
      </c>
      <c r="L1381" t="inlineStr">
        <is>
          <t>Lagring av farligt avfall samt lagring av kemiska produkter ska ske under tak på tät hårdgjord yta.</t>
        </is>
      </c>
      <c r="M1381" t="inlineStr">
        <is>
          <t>SKA</t>
        </is>
      </c>
      <c r="N1381" t="inlineStr">
        <is>
          <t>Miljobalken</t>
        </is>
      </c>
      <c r="O1381" t="inlineStr"/>
      <c r="P1381" t="inlineStr">
        <is>
          <t>Arlig</t>
        </is>
      </c>
      <c r="Q1381" t="inlineStr"/>
      <c r="R1381" t="inlineStr">
        <is>
          <t>Vid mellanlagring av avfall</t>
        </is>
      </c>
      <c r="S1381" t="inlineStr"/>
      <c r="T1381" t="inlineStr">
        <is>
          <t>52 0140</t>
        </is>
      </c>
      <c r="U1381" t="inlineStr"/>
      <c r="V1381" t="inlineStr"/>
      <c r="W1381" t="inlineStr">
        <is>
          <t>Ja</t>
        </is>
      </c>
      <c r="X1381" t="inlineStr">
        <is>
          <t>Nej</t>
        </is>
      </c>
      <c r="Y1381" t="inlineStr">
        <is>
          <t>Nej</t>
        </is>
      </c>
      <c r="Z1381" t="inlineStr">
        <is>
          <t>Nej</t>
        </is>
      </c>
      <c r="AA1381" t="n">
        <v>5</v>
      </c>
      <c r="AB1381" t="inlineStr">
        <is>
          <t>Teknisk beskrivning av platta</t>
        </is>
      </c>
      <c r="AC1381" t="inlineStr">
        <is>
          <t>Teknisk ritning platta</t>
        </is>
      </c>
      <c r="AD1381" t="inlineStr">
        <is>
          <t>Nej</t>
        </is>
      </c>
      <c r="AE1381" t="inlineStr">
        <is>
          <t>Nej</t>
        </is>
      </c>
      <c r="AF1381" t="inlineStr">
        <is>
          <t>Ej behandlad</t>
        </is>
      </c>
      <c r="AG1381" t="inlineStr">
        <is>
          <t>AUTO_GENERERAD. Verifiera citat mot kallfil.</t>
        </is>
      </c>
      <c r="AH1381" t="inlineStr">
        <is>
          <t>HIGH</t>
        </is>
      </c>
      <c r="AI1381" t="inlineStr">
        <is>
          <t>AUTO</t>
        </is>
      </c>
      <c r="AJ1381" t="inlineStr">
        <is>
          <t>Nej</t>
        </is>
      </c>
      <c r="AK1381" t="inlineStr"/>
      <c r="AL1381" t="inlineStr"/>
      <c r="AM1381" t="inlineStr"/>
      <c r="AN1381" t="inlineStr"/>
      <c r="AO1381" t="inlineStr">
        <is>
          <t>cmm4yuoy5022bcuqw0e9yl7q6</t>
        </is>
      </c>
      <c r="AP1381" t="inlineStr">
        <is>
          <t>http://localhost:8787/api/admin/requirements/documents/cmm4yuoy5022bcuqw0e9yl7q6/view</t>
        </is>
      </c>
      <c r="AQ1381">
        <f>HYPERLÄNK("http://localhost:8787/api/admin/requirements/documents/cmm4yuoy5022bcuqw0e9yl7q6/view";"Öppna PDF")</f>
        <v/>
      </c>
      <c r="AR1381">
        <f>HYPERLINK("http://localhost:8787/api/admin/requirements/documents/cmm4yuoy5022bcuqw0e9yl7q6/view","Open PDF")</f>
        <v/>
      </c>
      <c r="AS1381" t="inlineStr">
        <is>
          <t>cmm55w57p0004cuisfrtpqly8</t>
        </is>
      </c>
      <c r="AT1381" t="inlineStr">
        <is>
          <t>cmm4xvu980000cuh4vj0usz09</t>
        </is>
      </c>
      <c r="AU1381" t="inlineStr">
        <is>
          <t>Besöksadress Telefon E-post Webb Tranås</t>
        </is>
      </c>
      <c r="AV1381" t="inlineStr">
        <is>
          <t>Kommun</t>
        </is>
      </c>
      <c r="AW1381" t="inlineStr">
        <is>
          <t>Besöksadress Telefon E-post Webb Tranås kommun</t>
        </is>
      </c>
      <c r="AX1381" t="inlineStr">
        <is>
          <t>2025-02</t>
        </is>
      </c>
      <c r="AY1381" t="inlineStr">
        <is>
          <t>Forelaggande</t>
        </is>
      </c>
      <c r="AZ1381" t="inlineStr">
        <is>
          <t>2026-02-03</t>
        </is>
      </c>
      <c r="BA1381" t="inlineStr">
        <is>
          <t>M-2024-659-Föreläggande enligt miljöbalken(1).pdf</t>
        </is>
      </c>
      <c r="BB1381" t="inlineStr">
        <is>
          <t>handlingar</t>
        </is>
      </c>
      <c r="BC1381" t="inlineStr">
        <is>
          <t>AUTO</t>
        </is>
      </c>
      <c r="BD1381" t="inlineStr"/>
      <c r="BE1381" t="inlineStr"/>
      <c r="BF1381" t="inlineStr">
        <is>
          <t>AUTO_GENERERAD. Bekrafta metadata mot kallfil.</t>
        </is>
      </c>
      <c r="BG1381">
        <f>HYPERLINK("C:\Users\jimmy\Desktop\Examens arbete\Kod\Ny mapp\remix_-copy-of-miljöbeslut.se-portal\M-2024-659-Föreläggande enligt miljöbalken(1).pdf", "Öppna PDF")</f>
        <v/>
      </c>
    </row>
    <row r="1382">
      <c r="A1382" t="inlineStr">
        <is>
          <t>KRAV-AUTO-001381</t>
        </is>
      </c>
      <c r="B1382" t="inlineStr">
        <is>
          <t>ADMIN-INDEX-2026-02-27-00000000125C043F57453246863FE664CAFE6A3F0700950291EA24F0614FB6ACEDB12BF0E31D00000000010C0000950291EA24F0614FB6ACEDB12BF0E31D00002087AEB30000</t>
        </is>
      </c>
      <c r="C1382" t="inlineStr">
        <is>
          <t>cmm4yuoy00225cuqwos2bokkk</t>
        </is>
      </c>
      <c r="D1382" t="inlineStr">
        <is>
          <t>http://localhost:8787/api/admin/requirements/documents/cmm4yuoy00225cuqwos2bokkk/view</t>
        </is>
      </c>
      <c r="E1382">
        <f>HYPERLÄNK("http://localhost:8787/api/admin/requirements/documents/cmm4yuoy00225cuqwos2bokkk/view";"Öppna PDF")</f>
        <v/>
      </c>
      <c r="F1382">
        <f>HYPERLINK("http://localhost:8787/api/admin/requirements/documents/cmm4yuoy00225cuqwos2bokkk/view","Open PDF")</f>
        <v/>
      </c>
      <c r="G1382" t="inlineStr">
        <is>
          <t>cmm55w57p0004cuisfrtpqly8</t>
        </is>
      </c>
      <c r="H1382" t="inlineStr">
        <is>
          <t>Kompletteringskrav</t>
        </is>
      </c>
      <c r="I1382" t="inlineStr">
        <is>
          <t>Ytkonstruktion</t>
        </is>
      </c>
      <c r="J1382" t="inlineStr">
        <is>
          <t>Tat yta</t>
        </is>
      </c>
      <c r="K1382" t="inlineStr">
        <is>
          <t>Flytande kemiska produkter och farligt avfall ska förvaras på tät invallad yta.</t>
        </is>
      </c>
      <c r="L1382" t="inlineStr">
        <is>
          <t>Flytande kemiska produkter och farligt avfall ska förvaras på tät invallad yta.</t>
        </is>
      </c>
      <c r="M1382" t="inlineStr">
        <is>
          <t>SKA</t>
        </is>
      </c>
      <c r="N1382" t="inlineStr">
        <is>
          <t>Miljobalken</t>
        </is>
      </c>
      <c r="O1382" t="inlineStr"/>
      <c r="P1382" t="inlineStr">
        <is>
          <t>Arlig</t>
        </is>
      </c>
      <c r="Q1382" t="inlineStr"/>
      <c r="R1382" t="inlineStr">
        <is>
          <t>Vid mellanlagring av avfall</t>
        </is>
      </c>
      <c r="S1382" t="inlineStr"/>
      <c r="T1382" t="inlineStr">
        <is>
          <t>52 0140</t>
        </is>
      </c>
      <c r="U1382" t="inlineStr"/>
      <c r="V1382" t="inlineStr"/>
      <c r="W1382" t="inlineStr">
        <is>
          <t>Ja</t>
        </is>
      </c>
      <c r="X1382" t="inlineStr">
        <is>
          <t>Nej</t>
        </is>
      </c>
      <c r="Y1382" t="inlineStr">
        <is>
          <t>Nej</t>
        </is>
      </c>
      <c r="Z1382" t="inlineStr">
        <is>
          <t>Nej</t>
        </is>
      </c>
      <c r="AA1382" t="n">
        <v>5</v>
      </c>
      <c r="AB1382" t="inlineStr">
        <is>
          <t>Teknisk beskrivning av platta</t>
        </is>
      </c>
      <c r="AC1382" t="inlineStr">
        <is>
          <t>Teknisk ritning platta</t>
        </is>
      </c>
      <c r="AD1382" t="inlineStr">
        <is>
          <t>Nej</t>
        </is>
      </c>
      <c r="AE1382" t="inlineStr">
        <is>
          <t>Nej</t>
        </is>
      </c>
      <c r="AF1382" t="inlineStr">
        <is>
          <t>Ej behandlad</t>
        </is>
      </c>
      <c r="AG1382" t="inlineStr">
        <is>
          <t>AUTO_GENERERAD. Verifiera citat mot kallfil.</t>
        </is>
      </c>
      <c r="AH1382" t="inlineStr">
        <is>
          <t>HIGH</t>
        </is>
      </c>
      <c r="AI1382" t="inlineStr">
        <is>
          <t>AUTO</t>
        </is>
      </c>
      <c r="AJ1382" t="inlineStr">
        <is>
          <t>Nej</t>
        </is>
      </c>
      <c r="AK1382" t="inlineStr"/>
      <c r="AL1382" t="inlineStr"/>
      <c r="AM1382" t="inlineStr"/>
      <c r="AN1382" t="inlineStr"/>
      <c r="AO1382" t="inlineStr">
        <is>
          <t>cmm4yuoy5022bcuqw0e9yl7q6</t>
        </is>
      </c>
      <c r="AP1382" t="inlineStr">
        <is>
          <t>http://localhost:8787/api/admin/requirements/documents/cmm4yuoy5022bcuqw0e9yl7q6/view</t>
        </is>
      </c>
      <c r="AQ1382">
        <f>HYPERLÄNK("http://localhost:8787/api/admin/requirements/documents/cmm4yuoy5022bcuqw0e9yl7q6/view";"Öppna PDF")</f>
        <v/>
      </c>
      <c r="AR1382">
        <f>HYPERLINK("http://localhost:8787/api/admin/requirements/documents/cmm4yuoy5022bcuqw0e9yl7q6/view","Open PDF")</f>
        <v/>
      </c>
      <c r="AS1382" t="inlineStr">
        <is>
          <t>cmm55w57p0004cuisfrtpqly8</t>
        </is>
      </c>
      <c r="AT1382" t="inlineStr">
        <is>
          <t>cmm4xvu980000cuh4vj0usz09</t>
        </is>
      </c>
      <c r="AU1382" t="inlineStr">
        <is>
          <t>Besöksadress Telefon E-post Webb Tranås</t>
        </is>
      </c>
      <c r="AV1382" t="inlineStr">
        <is>
          <t>Kommun</t>
        </is>
      </c>
      <c r="AW1382" t="inlineStr">
        <is>
          <t>Besöksadress Telefon E-post Webb Tranås kommun</t>
        </is>
      </c>
      <c r="AX1382" t="inlineStr">
        <is>
          <t>2025-02</t>
        </is>
      </c>
      <c r="AY1382" t="inlineStr">
        <is>
          <t>Forelaggande</t>
        </is>
      </c>
      <c r="AZ1382" t="inlineStr">
        <is>
          <t>2026-02-03</t>
        </is>
      </c>
      <c r="BA1382" t="inlineStr">
        <is>
          <t>M-2024-659-Föreläggande enligt miljöbalken(1).pdf</t>
        </is>
      </c>
      <c r="BB1382" t="inlineStr">
        <is>
          <t>handlingar</t>
        </is>
      </c>
      <c r="BC1382" t="inlineStr">
        <is>
          <t>AUTO</t>
        </is>
      </c>
      <c r="BD1382" t="inlineStr"/>
      <c r="BE1382" t="inlineStr"/>
      <c r="BF1382" t="inlineStr">
        <is>
          <t>AUTO_GENERERAD. Bekrafta metadata mot kallfil.</t>
        </is>
      </c>
      <c r="BG1382">
        <f>HYPERLINK("C:\Users\jimmy\Desktop\Examens arbete\Kod\Ny mapp\remix_-copy-of-miljöbeslut.se-portal\M-2024-659-Föreläggande enligt miljöbalken(1).pdf", "Öppna PDF")</f>
        <v/>
      </c>
    </row>
    <row r="1383">
      <c r="A1383" t="inlineStr">
        <is>
          <t>KRAV-AUTO-001382</t>
        </is>
      </c>
      <c r="B1383" t="inlineStr">
        <is>
          <t>ADMIN-INDEX-2026-02-27-00000000125C043F57453246863FE664CAFE6A3F0700950291EA24F0614FB6ACEDB12BF0E31D00000000010C0000950291EA24F0614FB6ACEDB12BF0E31D00002087AEB30000</t>
        </is>
      </c>
      <c r="C1383" t="inlineStr">
        <is>
          <t>cmm4yuoy00225cuqwos2bokkk</t>
        </is>
      </c>
      <c r="D1383" t="inlineStr">
        <is>
          <t>http://localhost:8787/api/admin/requirements/documents/cmm4yuoy00225cuqwos2bokkk/view</t>
        </is>
      </c>
      <c r="E1383">
        <f>HYPERLÄNK("http://localhost:8787/api/admin/requirements/documents/cmm4yuoy00225cuqwos2bokkk/view";"Öppna PDF")</f>
        <v/>
      </c>
      <c r="F1383">
        <f>HYPERLINK("http://localhost:8787/api/admin/requirements/documents/cmm4yuoy00225cuqwos2bokkk/view","Open PDF")</f>
        <v/>
      </c>
      <c r="G1383" t="inlineStr">
        <is>
          <t>cmm55w57p0004cuisfrtpqly8</t>
        </is>
      </c>
      <c r="H1383" t="inlineStr">
        <is>
          <t>Kompletteringskrav</t>
        </is>
      </c>
      <c r="I1383" t="inlineStr">
        <is>
          <t>Riskhantering</t>
        </is>
      </c>
      <c r="J1383" t="inlineStr">
        <is>
          <t>Riskkontroll</t>
        </is>
      </c>
      <c r="K1383" t="inlineStr">
        <is>
          <t>Redan risken för olägenhet räcker för att åtgärder skall vidtas.</t>
        </is>
      </c>
      <c r="L1383" t="inlineStr">
        <is>
          <t>Redan risken för olägenhet räcker för att åtgärder skall vidtas.</t>
        </is>
      </c>
      <c r="M1383" t="inlineStr">
        <is>
          <t>SKA</t>
        </is>
      </c>
      <c r="N1383" t="inlineStr">
        <is>
          <t>Miljobalken</t>
        </is>
      </c>
      <c r="O1383" t="inlineStr"/>
      <c r="P1383" t="inlineStr"/>
      <c r="Q1383" t="inlineStr"/>
      <c r="R1383" t="inlineStr">
        <is>
          <t>Vid risk for incident</t>
        </is>
      </c>
      <c r="S1383" t="inlineStr"/>
      <c r="T1383" t="inlineStr">
        <is>
          <t>52 0140</t>
        </is>
      </c>
      <c r="U1383" t="inlineStr"/>
      <c r="V1383" t="inlineStr"/>
      <c r="W1383" t="inlineStr">
        <is>
          <t>Nej</t>
        </is>
      </c>
      <c r="X1383" t="inlineStr">
        <is>
          <t>Nej</t>
        </is>
      </c>
      <c r="Y1383" t="inlineStr">
        <is>
          <t>Ja</t>
        </is>
      </c>
      <c r="Z1383" t="inlineStr">
        <is>
          <t>Ja</t>
        </is>
      </c>
      <c r="AA1383" t="n">
        <v>8</v>
      </c>
      <c r="AB1383" t="inlineStr">
        <is>
          <t>Riskhantering</t>
        </is>
      </c>
      <c r="AC1383" t="inlineStr">
        <is>
          <t>Risk-PM</t>
        </is>
      </c>
      <c r="AD1383" t="inlineStr">
        <is>
          <t>Nej</t>
        </is>
      </c>
      <c r="AE1383" t="inlineStr">
        <is>
          <t>Nej</t>
        </is>
      </c>
      <c r="AF1383" t="inlineStr">
        <is>
          <t>Ej behandlad</t>
        </is>
      </c>
      <c r="AG1383" t="inlineStr">
        <is>
          <t>AUTO_GENERERAD. Verifiera citat mot kallfil.</t>
        </is>
      </c>
      <c r="AH1383" t="inlineStr">
        <is>
          <t>HIGH</t>
        </is>
      </c>
      <c r="AI1383" t="inlineStr">
        <is>
          <t>AUTO</t>
        </is>
      </c>
      <c r="AJ1383" t="inlineStr">
        <is>
          <t>Nej</t>
        </is>
      </c>
      <c r="AK1383" t="inlineStr"/>
      <c r="AL1383" t="inlineStr"/>
      <c r="AM1383" t="inlineStr"/>
      <c r="AN1383" t="inlineStr"/>
      <c r="AO1383" t="inlineStr">
        <is>
          <t>cmm4yuoy5022bcuqw0e9yl7q6</t>
        </is>
      </c>
      <c r="AP1383" t="inlineStr">
        <is>
          <t>http://localhost:8787/api/admin/requirements/documents/cmm4yuoy5022bcuqw0e9yl7q6/view</t>
        </is>
      </c>
      <c r="AQ1383">
        <f>HYPERLÄNK("http://localhost:8787/api/admin/requirements/documents/cmm4yuoy5022bcuqw0e9yl7q6/view";"Öppna PDF")</f>
        <v/>
      </c>
      <c r="AR1383">
        <f>HYPERLINK("http://localhost:8787/api/admin/requirements/documents/cmm4yuoy5022bcuqw0e9yl7q6/view","Open PDF")</f>
        <v/>
      </c>
      <c r="AS1383" t="inlineStr">
        <is>
          <t>cmm55w57p0004cuisfrtpqly8</t>
        </is>
      </c>
      <c r="AT1383" t="inlineStr">
        <is>
          <t>cmm4xvu980000cuh4vj0usz09</t>
        </is>
      </c>
      <c r="AU1383" t="inlineStr">
        <is>
          <t>Besöksadress Telefon E-post Webb Tranås</t>
        </is>
      </c>
      <c r="AV1383" t="inlineStr">
        <is>
          <t>Kommun</t>
        </is>
      </c>
      <c r="AW1383" t="inlineStr">
        <is>
          <t>Besöksadress Telefon E-post Webb Tranås kommun</t>
        </is>
      </c>
      <c r="AX1383" t="inlineStr">
        <is>
          <t>2025-02</t>
        </is>
      </c>
      <c r="AY1383" t="inlineStr">
        <is>
          <t>Forelaggande</t>
        </is>
      </c>
      <c r="AZ1383" t="inlineStr">
        <is>
          <t>2026-02-03</t>
        </is>
      </c>
      <c r="BA1383" t="inlineStr">
        <is>
          <t>M-2024-659-Föreläggande enligt miljöbalken(1).pdf</t>
        </is>
      </c>
      <c r="BB1383" t="inlineStr">
        <is>
          <t>handlingar</t>
        </is>
      </c>
      <c r="BC1383" t="inlineStr">
        <is>
          <t>AUTO</t>
        </is>
      </c>
      <c r="BD1383" t="inlineStr"/>
      <c r="BE1383" t="inlineStr"/>
      <c r="BF1383" t="inlineStr">
        <is>
          <t>AUTO_GENERERAD. Bekrafta metadata mot kallfil.</t>
        </is>
      </c>
      <c r="BG1383">
        <f>HYPERLINK("C:\Users\jimmy\Desktop\Examens arbete\Kod\Ny mapp\remix_-copy-of-miljöbeslut.se-portal\M-2024-659-Föreläggande enligt miljöbalken(1).pdf", "Öppna PDF")</f>
        <v/>
      </c>
    </row>
    <row r="1384">
      <c r="A1384" t="inlineStr">
        <is>
          <t>KRAV-AUTO-001383</t>
        </is>
      </c>
      <c r="B1384" t="inlineStr">
        <is>
          <t>ADMIN-INDEX-2026-02-27-00000000125C043F57453246863FE664CAFE6A3F0700950291EA24F0614FB6ACEDB12BF0E31D00000000010C0000950291EA24F0614FB6ACEDB12BF0E31D00002087AEB30000</t>
        </is>
      </c>
      <c r="C1384" t="inlineStr">
        <is>
          <t>cmm4yuoy00225cuqwos2bokkk</t>
        </is>
      </c>
      <c r="D1384" t="inlineStr">
        <is>
          <t>http://localhost:8787/api/admin/requirements/documents/cmm4yuoy00225cuqwos2bokkk/view</t>
        </is>
      </c>
      <c r="E1384">
        <f>HYPERLÄNK("http://localhost:8787/api/admin/requirements/documents/cmm4yuoy00225cuqwos2bokkk/view";"Öppna PDF")</f>
        <v/>
      </c>
      <c r="F1384">
        <f>HYPERLINK("http://localhost:8787/api/admin/requirements/documents/cmm4yuoy00225cuqwos2bokkk/view","Open PDF")</f>
        <v/>
      </c>
      <c r="G1384" t="inlineStr">
        <is>
          <t>cmm55w57p0004cuisfrtpqly8</t>
        </is>
      </c>
      <c r="H1384" t="inlineStr">
        <is>
          <t>Kompletteringskrav</t>
        </is>
      </c>
      <c r="I1384" t="inlineStr">
        <is>
          <t>Ytkonstruktion</t>
        </is>
      </c>
      <c r="J1384" t="inlineStr">
        <is>
          <t>Tat yta</t>
        </is>
      </c>
      <c r="K1384" t="inlineStr">
        <is>
          <t>Invallningen ska rymma en volym som motsvarar den största behållarens volym samt minst 10 % av summan av övriga behållares volym.</t>
        </is>
      </c>
      <c r="L1384" t="inlineStr">
        <is>
          <t>Invallningen ska rymma en volym som motsvarar den största behållarens volym samt minst 10 % av summan av övriga behållares volym.</t>
        </is>
      </c>
      <c r="M1384" t="inlineStr">
        <is>
          <t>SKA</t>
        </is>
      </c>
      <c r="N1384" t="inlineStr">
        <is>
          <t>Miljobalken</t>
        </is>
      </c>
      <c r="O1384" t="inlineStr"/>
      <c r="P1384" t="inlineStr"/>
      <c r="Q1384" t="inlineStr"/>
      <c r="R1384" t="inlineStr">
        <is>
          <t>Vid mellanlagring av avfall</t>
        </is>
      </c>
      <c r="S1384" t="inlineStr"/>
      <c r="T1384" t="inlineStr">
        <is>
          <t>52 0140</t>
        </is>
      </c>
      <c r="U1384" t="inlineStr"/>
      <c r="V1384" t="inlineStr"/>
      <c r="W1384" t="inlineStr">
        <is>
          <t>Ja</t>
        </is>
      </c>
      <c r="X1384" t="inlineStr">
        <is>
          <t>Nej</t>
        </is>
      </c>
      <c r="Y1384" t="inlineStr">
        <is>
          <t>Nej</t>
        </is>
      </c>
      <c r="Z1384" t="inlineStr">
        <is>
          <t>Nej</t>
        </is>
      </c>
      <c r="AA1384" t="n">
        <v>5</v>
      </c>
      <c r="AB1384" t="inlineStr">
        <is>
          <t>Teknisk beskrivning av platta</t>
        </is>
      </c>
      <c r="AC1384" t="inlineStr">
        <is>
          <t>Teknisk ritning platta</t>
        </is>
      </c>
      <c r="AD1384" t="inlineStr">
        <is>
          <t>Nej</t>
        </is>
      </c>
      <c r="AE1384" t="inlineStr">
        <is>
          <t>Nej</t>
        </is>
      </c>
      <c r="AF1384" t="inlineStr">
        <is>
          <t>Ej behandlad</t>
        </is>
      </c>
      <c r="AG1384" t="inlineStr">
        <is>
          <t>AUTO_GENERERAD. Verifiera citat mot kallfil.</t>
        </is>
      </c>
      <c r="AH1384" t="inlineStr">
        <is>
          <t>HIGH</t>
        </is>
      </c>
      <c r="AI1384" t="inlineStr">
        <is>
          <t>AUTO</t>
        </is>
      </c>
      <c r="AJ1384" t="inlineStr">
        <is>
          <t>Nej</t>
        </is>
      </c>
      <c r="AK1384" t="inlineStr"/>
      <c r="AL1384" t="inlineStr"/>
      <c r="AM1384" t="inlineStr"/>
      <c r="AN1384" t="inlineStr"/>
      <c r="AO1384" t="inlineStr">
        <is>
          <t>cmm4yuoy5022bcuqw0e9yl7q6</t>
        </is>
      </c>
      <c r="AP1384" t="inlineStr">
        <is>
          <t>http://localhost:8787/api/admin/requirements/documents/cmm4yuoy5022bcuqw0e9yl7q6/view</t>
        </is>
      </c>
      <c r="AQ1384">
        <f>HYPERLÄNK("http://localhost:8787/api/admin/requirements/documents/cmm4yuoy5022bcuqw0e9yl7q6/view";"Öppna PDF")</f>
        <v/>
      </c>
      <c r="AR1384">
        <f>HYPERLINK("http://localhost:8787/api/admin/requirements/documents/cmm4yuoy5022bcuqw0e9yl7q6/view","Open PDF")</f>
        <v/>
      </c>
      <c r="AS1384" t="inlineStr">
        <is>
          <t>cmm55w57p0004cuisfrtpqly8</t>
        </is>
      </c>
      <c r="AT1384" t="inlineStr">
        <is>
          <t>cmm4xvu980000cuh4vj0usz09</t>
        </is>
      </c>
      <c r="AU1384" t="inlineStr">
        <is>
          <t>Besöksadress Telefon E-post Webb Tranås</t>
        </is>
      </c>
      <c r="AV1384" t="inlineStr">
        <is>
          <t>Kommun</t>
        </is>
      </c>
      <c r="AW1384" t="inlineStr">
        <is>
          <t>Besöksadress Telefon E-post Webb Tranås kommun</t>
        </is>
      </c>
      <c r="AX1384" t="inlineStr">
        <is>
          <t>2025-02</t>
        </is>
      </c>
      <c r="AY1384" t="inlineStr">
        <is>
          <t>Forelaggande</t>
        </is>
      </c>
      <c r="AZ1384" t="inlineStr">
        <is>
          <t>2026-02-03</t>
        </is>
      </c>
      <c r="BA1384" t="inlineStr">
        <is>
          <t>M-2024-659-Föreläggande enligt miljöbalken(1).pdf</t>
        </is>
      </c>
      <c r="BB1384" t="inlineStr">
        <is>
          <t>handlingar</t>
        </is>
      </c>
      <c r="BC1384" t="inlineStr">
        <is>
          <t>AUTO</t>
        </is>
      </c>
      <c r="BD1384" t="inlineStr"/>
      <c r="BE1384" t="inlineStr"/>
      <c r="BF1384" t="inlineStr">
        <is>
          <t>AUTO_GENERERAD. Bekrafta metadata mot kallfil.</t>
        </is>
      </c>
      <c r="BG1384">
        <f>HYPERLINK("C:\Users\jimmy\Desktop\Examens arbete\Kod\Ny mapp\remix_-copy-of-miljöbeslut.se-portal\M-2024-659-Föreläggande enligt miljöbalken(1).pdf", "Öppna PDF")</f>
        <v/>
      </c>
    </row>
    <row r="1385">
      <c r="A1385" t="inlineStr">
        <is>
          <t>KRAV-AUTO-001384</t>
        </is>
      </c>
      <c r="B1385" t="inlineStr">
        <is>
          <t>ADMIN-INDEX-2026-02-27-00000000125C043F57453246863FE664CAFE6A3F0700950291EA24F0614FB6ACEDB12BF0E31D00000000010C0000950291EA24F0614FB6ACEDB12BF0E31D00002087AEB30000</t>
        </is>
      </c>
      <c r="C1385" t="inlineStr">
        <is>
          <t>cmm4yuoxr021wcuqwznxdk5x2</t>
        </is>
      </c>
      <c r="D1385" t="inlineStr">
        <is>
          <t>http://localhost:8787/api/admin/requirements/documents/cmm4yuoxr021wcuqwznxdk5x2/view</t>
        </is>
      </c>
      <c r="E1385">
        <f>HYPERLÄNK("http://localhost:8787/api/admin/requirements/documents/cmm4yuoxr021wcuqwznxdk5x2/view";"Öppna PDF")</f>
        <v/>
      </c>
      <c r="F1385">
        <f>HYPERLINK("http://localhost:8787/api/admin/requirements/documents/cmm4yuoxr021wcuqwznxdk5x2/view","Open PDF")</f>
        <v/>
      </c>
      <c r="G1385" t="inlineStr">
        <is>
          <t>cmm55w57p0004cuisfrtpqly8</t>
        </is>
      </c>
      <c r="H1385" t="inlineStr">
        <is>
          <t>Beslutsvillkor</t>
        </is>
      </c>
      <c r="I1385" t="inlineStr">
        <is>
          <t>LagringsvolymTid</t>
        </is>
      </c>
      <c r="J1385" t="inlineStr">
        <is>
          <t>Maxmangd</t>
        </is>
      </c>
      <c r="K1385" t="inlineStr">
        <is>
          <t>mer än 10 ton men högst 30 000 ton och avfallet ska användas för byggnads- eller anläggningsändamål, eller 2.</t>
        </is>
      </c>
      <c r="L1385" t="inlineStr">
        <is>
          <t>mer än 10 ton men högst 30 000 ton och avfallet ska användas för byggnads- eller anläggningsändamål, eller 2.</t>
        </is>
      </c>
      <c r="M1385" t="inlineStr">
        <is>
          <t>SKA</t>
        </is>
      </c>
      <c r="N1385" t="inlineStr"/>
      <c r="O1385" t="inlineStr"/>
      <c r="P1385" t="inlineStr"/>
      <c r="Q1385" t="inlineStr"/>
      <c r="R1385" t="inlineStr">
        <is>
          <t>Alltid</t>
        </is>
      </c>
      <c r="S1385" t="inlineStr"/>
      <c r="T1385" t="inlineStr">
        <is>
          <t>52 0140</t>
        </is>
      </c>
      <c r="U1385" t="n">
        <v>10</v>
      </c>
      <c r="V1385" t="inlineStr"/>
      <c r="W1385" t="inlineStr">
        <is>
          <t>Nej</t>
        </is>
      </c>
      <c r="X1385" t="inlineStr">
        <is>
          <t>Nej</t>
        </is>
      </c>
      <c r="Y1385" t="inlineStr">
        <is>
          <t>Nej</t>
        </is>
      </c>
      <c r="Z1385" t="inlineStr">
        <is>
          <t>Nej</t>
        </is>
      </c>
      <c r="AA1385" t="n">
        <v>4</v>
      </c>
      <c r="AB1385" t="inlineStr">
        <is>
          <t>Avfallsmangder och lagringstid</t>
        </is>
      </c>
      <c r="AC1385" t="inlineStr">
        <is>
          <t>Avfallsforteckning</t>
        </is>
      </c>
      <c r="AD1385" t="inlineStr">
        <is>
          <t>Nej</t>
        </is>
      </c>
      <c r="AE1385" t="inlineStr">
        <is>
          <t>Nej</t>
        </is>
      </c>
      <c r="AF1385" t="inlineStr">
        <is>
          <t>Ej behandlad</t>
        </is>
      </c>
      <c r="AG1385" t="inlineStr">
        <is>
          <t>AUTO_GENERERAD. Verifiera citat mot kallfil.</t>
        </is>
      </c>
      <c r="AH1385" t="inlineStr">
        <is>
          <t>MEDIUM</t>
        </is>
      </c>
      <c r="AI1385" t="inlineStr">
        <is>
          <t>AUTO</t>
        </is>
      </c>
      <c r="AJ1385" t="inlineStr">
        <is>
          <t>Nej</t>
        </is>
      </c>
      <c r="AK1385" t="inlineStr"/>
      <c r="AL1385" t="inlineStr"/>
      <c r="AM1385" t="inlineStr"/>
      <c r="AN1385" t="inlineStr"/>
      <c r="AO1385" t="inlineStr">
        <is>
          <t>cmm4yuoy5022bcuqw0e9yl7q6</t>
        </is>
      </c>
      <c r="AP1385" t="inlineStr">
        <is>
          <t>http://localhost:8787/api/admin/requirements/documents/cmm4yuoy5022bcuqw0e9yl7q6/view</t>
        </is>
      </c>
      <c r="AQ1385">
        <f>HYPERLÄNK("http://localhost:8787/api/admin/requirements/documents/cmm4yuoy5022bcuqw0e9yl7q6/view";"Öppna PDF")</f>
        <v/>
      </c>
      <c r="AR1385">
        <f>HYPERLINK("http://localhost:8787/api/admin/requirements/documents/cmm4yuoy5022bcuqw0e9yl7q6/view","Open PDF")</f>
        <v/>
      </c>
      <c r="AS1385" t="inlineStr">
        <is>
          <t>cmm55w57p0004cuisfrtpqly8</t>
        </is>
      </c>
      <c r="AT1385" t="inlineStr">
        <is>
          <t>cmm4xvu980000cuh4vj0usz09</t>
        </is>
      </c>
      <c r="AU1385" t="inlineStr">
        <is>
          <t>Besöksadress Telefon E-post Webb Tranås</t>
        </is>
      </c>
      <c r="AV1385" t="inlineStr">
        <is>
          <t>Kommun</t>
        </is>
      </c>
      <c r="AW1385" t="inlineStr">
        <is>
          <t>Besöksadress Telefon E-post Webb Tranås kommun</t>
        </is>
      </c>
      <c r="AX1385" t="inlineStr">
        <is>
          <t>2025-02</t>
        </is>
      </c>
      <c r="AY1385" t="inlineStr">
        <is>
          <t>Forelaggande</t>
        </is>
      </c>
      <c r="AZ1385" t="inlineStr">
        <is>
          <t>2026-02-03</t>
        </is>
      </c>
      <c r="BA1385" t="inlineStr">
        <is>
          <t>M-2024-659-Föreläggande enligt miljöbalken(1).pdf</t>
        </is>
      </c>
      <c r="BB1385" t="inlineStr">
        <is>
          <t>handlingar</t>
        </is>
      </c>
      <c r="BC1385" t="inlineStr">
        <is>
          <t>AUTO</t>
        </is>
      </c>
      <c r="BD1385" t="inlineStr"/>
      <c r="BE1385" t="inlineStr"/>
      <c r="BF1385" t="inlineStr">
        <is>
          <t>AUTO_GENERERAD. Bekrafta metadata mot kallfil.</t>
        </is>
      </c>
      <c r="BG1385">
        <f>HYPERLINK("C:\Users\jimmy\Desktop\Examens arbete\Kod\Ny mapp\remix_-copy-of-miljöbeslut.se-portal\M-2024-659-Föreläggande enligt miljöbalken(1).pdf", "Öppna PDF")</f>
        <v/>
      </c>
    </row>
    <row r="1386">
      <c r="A1386" t="inlineStr">
        <is>
          <t>KRAV-AUTO-001385</t>
        </is>
      </c>
      <c r="B1386" t="inlineStr">
        <is>
          <t>ADMIN-INDEX-2026-02-27-00000000125C043F57453246863FE664CAFE6A3F0700950291EA24F0614FB6ACEDB12BF0E31D00000000010C0000950291EA24F0614FB6ACEDB12BF0E31D00002087AEB30000</t>
        </is>
      </c>
      <c r="C1386" t="inlineStr">
        <is>
          <t>cmm4yuoxr021wcuqwznxdk5x2</t>
        </is>
      </c>
      <c r="D1386" t="inlineStr">
        <is>
          <t>http://localhost:8787/api/admin/requirements/documents/cmm4yuoxr021wcuqwznxdk5x2/view</t>
        </is>
      </c>
      <c r="E1386">
        <f>HYPERLÄNK("http://localhost:8787/api/admin/requirements/documents/cmm4yuoxr021wcuqwznxdk5x2/view";"Öppna PDF")</f>
        <v/>
      </c>
      <c r="F1386">
        <f>HYPERLINK("http://localhost:8787/api/admin/requirements/documents/cmm4yuoxr021wcuqwznxdk5x2/view","Open PDF")</f>
        <v/>
      </c>
      <c r="G1386" t="inlineStr">
        <is>
          <t>cmm55w57p0004cuisfrtpqly8</t>
        </is>
      </c>
      <c r="H1386" t="inlineStr">
        <is>
          <t>Beslutsvillkor</t>
        </is>
      </c>
      <c r="I1386" t="inlineStr">
        <is>
          <t>MiljopaverkanForsiktighet</t>
        </is>
      </c>
      <c r="J1386" t="inlineStr">
        <is>
          <t>Skyddsatgarder</t>
        </is>
      </c>
      <c r="K1386" t="inlineStr">
        <is>
          <t>Ni kommer att mellanlagra askan inför spridning på skogsmark.</t>
        </is>
      </c>
      <c r="L1386" t="inlineStr">
        <is>
          <t>Ni kommer att mellanlagra askan inför spridning på skogsmark.</t>
        </is>
      </c>
      <c r="M1386" t="inlineStr">
        <is>
          <t>SKA</t>
        </is>
      </c>
      <c r="N1386" t="inlineStr"/>
      <c r="O1386" t="inlineStr"/>
      <c r="P1386" t="inlineStr"/>
      <c r="Q1386" t="inlineStr"/>
      <c r="R1386" t="inlineStr">
        <is>
          <t>Alltid</t>
        </is>
      </c>
      <c r="S1386" t="inlineStr"/>
      <c r="T1386" t="inlineStr">
        <is>
          <t>52 0140</t>
        </is>
      </c>
      <c r="U1386" t="inlineStr"/>
      <c r="V1386" t="inlineStr"/>
      <c r="W1386" t="inlineStr">
        <is>
          <t>Nej</t>
        </is>
      </c>
      <c r="X1386" t="inlineStr">
        <is>
          <t>Nej</t>
        </is>
      </c>
      <c r="Y1386" t="inlineStr">
        <is>
          <t>Nej</t>
        </is>
      </c>
      <c r="Z1386" t="inlineStr">
        <is>
          <t>Nej</t>
        </is>
      </c>
      <c r="AA1386" t="n">
        <v>10</v>
      </c>
      <c r="AB1386" t="inlineStr">
        <is>
          <t>Miljopaverkan och forsiktighetsmatt</t>
        </is>
      </c>
      <c r="AC1386" t="inlineStr">
        <is>
          <t>Miljo-PM</t>
        </is>
      </c>
      <c r="AD1386" t="inlineStr">
        <is>
          <t>Nej</t>
        </is>
      </c>
      <c r="AE1386" t="inlineStr">
        <is>
          <t>Nej</t>
        </is>
      </c>
      <c r="AF1386" t="inlineStr">
        <is>
          <t>Ej behandlad</t>
        </is>
      </c>
      <c r="AG1386" t="inlineStr">
        <is>
          <t>AUTO_GENERERAD. Verifiera citat mot kallfil.</t>
        </is>
      </c>
      <c r="AH1386" t="inlineStr">
        <is>
          <t>MEDIUM</t>
        </is>
      </c>
      <c r="AI1386" t="inlineStr">
        <is>
          <t>AUTO</t>
        </is>
      </c>
      <c r="AJ1386" t="inlineStr">
        <is>
          <t>Nej</t>
        </is>
      </c>
      <c r="AK1386" t="inlineStr"/>
      <c r="AL1386" t="inlineStr"/>
      <c r="AM1386" t="inlineStr"/>
      <c r="AN1386" t="inlineStr"/>
      <c r="AO1386" t="inlineStr">
        <is>
          <t>cmm4yuoy5022bcuqw0e9yl7q6</t>
        </is>
      </c>
      <c r="AP1386" t="inlineStr">
        <is>
          <t>http://localhost:8787/api/admin/requirements/documents/cmm4yuoy5022bcuqw0e9yl7q6/view</t>
        </is>
      </c>
      <c r="AQ1386">
        <f>HYPERLÄNK("http://localhost:8787/api/admin/requirements/documents/cmm4yuoy5022bcuqw0e9yl7q6/view";"Öppna PDF")</f>
        <v/>
      </c>
      <c r="AR1386">
        <f>HYPERLINK("http://localhost:8787/api/admin/requirements/documents/cmm4yuoy5022bcuqw0e9yl7q6/view","Open PDF")</f>
        <v/>
      </c>
      <c r="AS1386" t="inlineStr">
        <is>
          <t>cmm55w57p0004cuisfrtpqly8</t>
        </is>
      </c>
      <c r="AT1386" t="inlineStr">
        <is>
          <t>cmm4xvu980000cuh4vj0usz09</t>
        </is>
      </c>
      <c r="AU1386" t="inlineStr">
        <is>
          <t>Besöksadress Telefon E-post Webb Tranås</t>
        </is>
      </c>
      <c r="AV1386" t="inlineStr">
        <is>
          <t>Kommun</t>
        </is>
      </c>
      <c r="AW1386" t="inlineStr">
        <is>
          <t>Besöksadress Telefon E-post Webb Tranås kommun</t>
        </is>
      </c>
      <c r="AX1386" t="inlineStr">
        <is>
          <t>2025-02</t>
        </is>
      </c>
      <c r="AY1386" t="inlineStr">
        <is>
          <t>Forelaggande</t>
        </is>
      </c>
      <c r="AZ1386" t="inlineStr">
        <is>
          <t>2026-02-03</t>
        </is>
      </c>
      <c r="BA1386" t="inlineStr">
        <is>
          <t>M-2024-659-Föreläggande enligt miljöbalken(1).pdf</t>
        </is>
      </c>
      <c r="BB1386" t="inlineStr">
        <is>
          <t>handlingar</t>
        </is>
      </c>
      <c r="BC1386" t="inlineStr">
        <is>
          <t>AUTO</t>
        </is>
      </c>
      <c r="BD1386" t="inlineStr"/>
      <c r="BE1386" t="inlineStr"/>
      <c r="BF1386" t="inlineStr">
        <is>
          <t>AUTO_GENERERAD. Bekrafta metadata mot kallfil.</t>
        </is>
      </c>
      <c r="BG1386">
        <f>HYPERLINK("C:\Users\jimmy\Desktop\Examens arbete\Kod\Ny mapp\remix_-copy-of-miljöbeslut.se-portal\M-2024-659-Föreläggande enligt miljöbalken(1).pdf", "Öppna PDF")</f>
        <v/>
      </c>
    </row>
    <row r="1387">
      <c r="A1387" t="inlineStr">
        <is>
          <t>KRAV-AUTO-001386</t>
        </is>
      </c>
      <c r="B1387" t="inlineStr">
        <is>
          <t>ADMIN-INDEX-2026-02-27-00000000125C043F57453246863FE664CAFE6A3F0700950291EA24F0614FB6ACEDB12BF0E31D00000000010C0000950291EA24F0614FB6ACEDB12BF0E31D00002087AEB30000</t>
        </is>
      </c>
      <c r="C1387" t="inlineStr">
        <is>
          <t>cmm4yuoxr021wcuqwznxdk5x2</t>
        </is>
      </c>
      <c r="D1387" t="inlineStr">
        <is>
          <t>http://localhost:8787/api/admin/requirements/documents/cmm4yuoxr021wcuqwznxdk5x2/view</t>
        </is>
      </c>
      <c r="E1387">
        <f>HYPERLÄNK("http://localhost:8787/api/admin/requirements/documents/cmm4yuoxr021wcuqwznxdk5x2/view";"Öppna PDF")</f>
        <v/>
      </c>
      <c r="F1387">
        <f>HYPERLINK("http://localhost:8787/api/admin/requirements/documents/cmm4yuoxr021wcuqwznxdk5x2/view","Open PDF")</f>
        <v/>
      </c>
      <c r="G1387" t="inlineStr">
        <is>
          <t>cmm55w57p0004cuisfrtpqly8</t>
        </is>
      </c>
      <c r="H1387" t="inlineStr">
        <is>
          <t>Beslutsvillkor</t>
        </is>
      </c>
      <c r="I1387" t="inlineStr">
        <is>
          <t>LagringsvolymTid</t>
        </is>
      </c>
      <c r="J1387" t="inlineStr">
        <is>
          <t>Maxmangd</t>
        </is>
      </c>
      <c r="K1387" t="inlineStr">
        <is>
          <t>Anmälan gäller lagring av aska, maximalt 6 000 ton per år och maximalt 4 000 ton vid något enskilt tillfälle.</t>
        </is>
      </c>
      <c r="L1387" t="inlineStr">
        <is>
          <t>Anmälan gäller lagring av aska, maximalt 6 000 ton per år och maximalt 4 000 ton vid något enskilt tillfälle.</t>
        </is>
      </c>
      <c r="M1387" t="inlineStr">
        <is>
          <t>SKA</t>
        </is>
      </c>
      <c r="N1387" t="inlineStr"/>
      <c r="O1387" t="inlineStr"/>
      <c r="P1387" t="inlineStr"/>
      <c r="Q1387" t="inlineStr"/>
      <c r="R1387" t="inlineStr">
        <is>
          <t>Alltid</t>
        </is>
      </c>
      <c r="S1387" t="inlineStr"/>
      <c r="T1387" t="inlineStr">
        <is>
          <t>52 0140</t>
        </is>
      </c>
      <c r="U1387" t="n">
        <v>0</v>
      </c>
      <c r="V1387" t="inlineStr"/>
      <c r="W1387" t="inlineStr">
        <is>
          <t>Nej</t>
        </is>
      </c>
      <c r="X1387" t="inlineStr">
        <is>
          <t>Nej</t>
        </is>
      </c>
      <c r="Y1387" t="inlineStr">
        <is>
          <t>Nej</t>
        </is>
      </c>
      <c r="Z1387" t="inlineStr">
        <is>
          <t>Nej</t>
        </is>
      </c>
      <c r="AA1387" t="n">
        <v>4</v>
      </c>
      <c r="AB1387" t="inlineStr">
        <is>
          <t>Avfallsmangder och lagringstid</t>
        </is>
      </c>
      <c r="AC1387" t="inlineStr">
        <is>
          <t>Avfallsforteckning</t>
        </is>
      </c>
      <c r="AD1387" t="inlineStr">
        <is>
          <t>Nej</t>
        </is>
      </c>
      <c r="AE1387" t="inlineStr">
        <is>
          <t>Nej</t>
        </is>
      </c>
      <c r="AF1387" t="inlineStr">
        <is>
          <t>Ej behandlad</t>
        </is>
      </c>
      <c r="AG1387" t="inlineStr">
        <is>
          <t>AUTO_GENERERAD. Verifiera citat mot kallfil.</t>
        </is>
      </c>
      <c r="AH1387" t="inlineStr">
        <is>
          <t>MEDIUM</t>
        </is>
      </c>
      <c r="AI1387" t="inlineStr">
        <is>
          <t>AUTO</t>
        </is>
      </c>
      <c r="AJ1387" t="inlineStr">
        <is>
          <t>Nej</t>
        </is>
      </c>
      <c r="AK1387" t="inlineStr"/>
      <c r="AL1387" t="inlineStr"/>
      <c r="AM1387" t="inlineStr"/>
      <c r="AN1387" t="inlineStr"/>
      <c r="AO1387" t="inlineStr">
        <is>
          <t>cmm4yuoy5022bcuqw0e9yl7q6</t>
        </is>
      </c>
      <c r="AP1387" t="inlineStr">
        <is>
          <t>http://localhost:8787/api/admin/requirements/documents/cmm4yuoy5022bcuqw0e9yl7q6/view</t>
        </is>
      </c>
      <c r="AQ1387">
        <f>HYPERLÄNK("http://localhost:8787/api/admin/requirements/documents/cmm4yuoy5022bcuqw0e9yl7q6/view";"Öppna PDF")</f>
        <v/>
      </c>
      <c r="AR1387">
        <f>HYPERLINK("http://localhost:8787/api/admin/requirements/documents/cmm4yuoy5022bcuqw0e9yl7q6/view","Open PDF")</f>
        <v/>
      </c>
      <c r="AS1387" t="inlineStr">
        <is>
          <t>cmm55w57p0004cuisfrtpqly8</t>
        </is>
      </c>
      <c r="AT1387" t="inlineStr">
        <is>
          <t>cmm4xvu980000cuh4vj0usz09</t>
        </is>
      </c>
      <c r="AU1387" t="inlineStr">
        <is>
          <t>Besöksadress Telefon E-post Webb Tranås</t>
        </is>
      </c>
      <c r="AV1387" t="inlineStr">
        <is>
          <t>Kommun</t>
        </is>
      </c>
      <c r="AW1387" t="inlineStr">
        <is>
          <t>Besöksadress Telefon E-post Webb Tranås kommun</t>
        </is>
      </c>
      <c r="AX1387" t="inlineStr">
        <is>
          <t>2025-02</t>
        </is>
      </c>
      <c r="AY1387" t="inlineStr">
        <is>
          <t>Forelaggande</t>
        </is>
      </c>
      <c r="AZ1387" t="inlineStr">
        <is>
          <t>2026-02-03</t>
        </is>
      </c>
      <c r="BA1387" t="inlineStr">
        <is>
          <t>M-2024-659-Föreläggande enligt miljöbalken(1).pdf</t>
        </is>
      </c>
      <c r="BB1387" t="inlineStr">
        <is>
          <t>handlingar</t>
        </is>
      </c>
      <c r="BC1387" t="inlineStr">
        <is>
          <t>AUTO</t>
        </is>
      </c>
      <c r="BD1387" t="inlineStr"/>
      <c r="BE1387" t="inlineStr"/>
      <c r="BF1387" t="inlineStr">
        <is>
          <t>AUTO_GENERERAD. Bekrafta metadata mot kallfil.</t>
        </is>
      </c>
      <c r="BG1387">
        <f>HYPERLINK("C:\Users\jimmy\Desktop\Examens arbete\Kod\Ny mapp\remix_-copy-of-miljöbeslut.se-portal\M-2024-659-Föreläggande enligt miljöbalken(1).pdf", "Öppna PDF")</f>
        <v/>
      </c>
    </row>
    <row r="1388">
      <c r="A1388" t="inlineStr">
        <is>
          <t>KRAV-AUTO-001387</t>
        </is>
      </c>
      <c r="B1388" t="inlineStr">
        <is>
          <t>ADMIN-INDEX-2026-02-27-00000000125C043F57453246863FE664CAFE6A3F0700950291EA24F0614FB6ACEDB12BF0E31D00000000010C0000950291EA24F0614FB6ACEDB12BF0E31D00002087AEB30000</t>
        </is>
      </c>
      <c r="C1388" t="inlineStr">
        <is>
          <t>cmm4yuoxe021kcuqwbnlynfah</t>
        </is>
      </c>
      <c r="D1388" t="inlineStr">
        <is>
          <t>http://localhost:8787/api/admin/requirements/documents/cmm4yuoxe021kcuqwbnlynfah/view</t>
        </is>
      </c>
      <c r="E1388">
        <f>HYPERLÄNK("http://localhost:8787/api/admin/requirements/documents/cmm4yuoxe021kcuqwbnlynfah/view";"Öppna PDF")</f>
        <v/>
      </c>
      <c r="F1388">
        <f>HYPERLINK("http://localhost:8787/api/admin/requirements/documents/cmm4yuoxe021kcuqwbnlynfah/view","Open PDF")</f>
        <v/>
      </c>
      <c r="G1388" t="inlineStr">
        <is>
          <t>cmm55w57p0004cuisfrtpqly8</t>
        </is>
      </c>
      <c r="H1388" t="inlineStr">
        <is>
          <t>Beslutsvillkor</t>
        </is>
      </c>
      <c r="I1388" t="inlineStr">
        <is>
          <t>MiljopaverkanForsiktighet</t>
        </is>
      </c>
      <c r="J1388" t="inlineStr">
        <is>
          <t>Skyddsatgarder</t>
        </is>
      </c>
      <c r="K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388" t="inlineStr">
        <is>
          <t>SKA</t>
        </is>
      </c>
      <c r="N1388" t="inlineStr"/>
      <c r="O1388" t="inlineStr"/>
      <c r="P1388" t="inlineStr"/>
      <c r="Q1388" t="inlineStr"/>
      <c r="R1388" t="inlineStr">
        <is>
          <t>Alltid</t>
        </is>
      </c>
      <c r="S1388" t="inlineStr"/>
      <c r="T1388" t="inlineStr"/>
      <c r="U1388" t="inlineStr"/>
      <c r="V1388" t="inlineStr"/>
      <c r="W1388" t="inlineStr">
        <is>
          <t>Nej</t>
        </is>
      </c>
      <c r="X1388" t="inlineStr">
        <is>
          <t>Nej</t>
        </is>
      </c>
      <c r="Y1388" t="inlineStr">
        <is>
          <t>Nej</t>
        </is>
      </c>
      <c r="Z1388" t="inlineStr">
        <is>
          <t>Nej</t>
        </is>
      </c>
      <c r="AA1388" t="n">
        <v>10</v>
      </c>
      <c r="AB1388" t="inlineStr">
        <is>
          <t>Miljopaverkan och forsiktighetsmatt</t>
        </is>
      </c>
      <c r="AC1388" t="inlineStr">
        <is>
          <t>Miljo-PM</t>
        </is>
      </c>
      <c r="AD1388" t="inlineStr">
        <is>
          <t>Nej</t>
        </is>
      </c>
      <c r="AE1388" t="inlineStr">
        <is>
          <t>Nej</t>
        </is>
      </c>
      <c r="AF1388" t="inlineStr">
        <is>
          <t>Ej behandlad</t>
        </is>
      </c>
      <c r="AG1388" t="inlineStr">
        <is>
          <t>AUTO_GENERERAD. Verifiera citat mot kallfil.</t>
        </is>
      </c>
      <c r="AH1388" t="inlineStr">
        <is>
          <t>MEDIUM</t>
        </is>
      </c>
      <c r="AI1388" t="inlineStr">
        <is>
          <t>AUTO</t>
        </is>
      </c>
      <c r="AJ1388" t="inlineStr">
        <is>
          <t>Nej</t>
        </is>
      </c>
      <c r="AK1388" t="inlineStr"/>
      <c r="AL1388" t="inlineStr"/>
      <c r="AM1388" t="inlineStr"/>
      <c r="AN1388" t="inlineStr"/>
      <c r="AO1388" t="inlineStr">
        <is>
          <t>cmm4yuoy5022bcuqw0e9yl7q6</t>
        </is>
      </c>
      <c r="AP1388" t="inlineStr">
        <is>
          <t>http://localhost:8787/api/admin/requirements/documents/cmm4yuoy5022bcuqw0e9yl7q6/view</t>
        </is>
      </c>
      <c r="AQ1388">
        <f>HYPERLÄNK("http://localhost:8787/api/admin/requirements/documents/cmm4yuoy5022bcuqw0e9yl7q6/view";"Öppna PDF")</f>
        <v/>
      </c>
      <c r="AR1388">
        <f>HYPERLINK("http://localhost:8787/api/admin/requirements/documents/cmm4yuoy5022bcuqw0e9yl7q6/view","Open PDF")</f>
        <v/>
      </c>
      <c r="AS1388" t="inlineStr">
        <is>
          <t>cmm55w57p0004cuisfrtpqly8</t>
        </is>
      </c>
      <c r="AT1388" t="inlineStr">
        <is>
          <t>cmm4xvu980000cuh4vj0usz09</t>
        </is>
      </c>
      <c r="AU1388" t="inlineStr">
        <is>
          <t>Besöksadress Telefon E-post Webb Tranås</t>
        </is>
      </c>
      <c r="AV1388" t="inlineStr">
        <is>
          <t>Kommun</t>
        </is>
      </c>
      <c r="AW1388" t="inlineStr">
        <is>
          <t>Besöksadress Telefon E-post Webb Tranås kommun</t>
        </is>
      </c>
      <c r="AX1388" t="inlineStr">
        <is>
          <t>2025-02</t>
        </is>
      </c>
      <c r="AY1388" t="inlineStr">
        <is>
          <t>Forelaggande</t>
        </is>
      </c>
      <c r="AZ1388" t="inlineStr">
        <is>
          <t>2026-02-03</t>
        </is>
      </c>
      <c r="BA1388" t="inlineStr">
        <is>
          <t>M-2024-659-Föreläggande enligt miljöbalken(1).pdf</t>
        </is>
      </c>
      <c r="BB1388" t="inlineStr">
        <is>
          <t>handlingar</t>
        </is>
      </c>
      <c r="BC1388" t="inlineStr">
        <is>
          <t>AUTO</t>
        </is>
      </c>
      <c r="BD1388" t="inlineStr"/>
      <c r="BE1388" t="inlineStr"/>
      <c r="BF1388" t="inlineStr">
        <is>
          <t>AUTO_GENERERAD. Bekrafta metadata mot kallfil.</t>
        </is>
      </c>
      <c r="BG1388">
        <f>HYPERLINK("C:\Users\jimmy\Desktop\Examens arbete\Kod\Ny mapp\remix_-copy-of-miljöbeslut.se-portal\M-2024-659-Föreläggande enligt miljöbalken(1).pdf", "Öppna PDF")</f>
        <v/>
      </c>
    </row>
    <row r="1389">
      <c r="A1389" t="inlineStr">
        <is>
          <t>KRAV-AUTO-001388</t>
        </is>
      </c>
      <c r="B1389" t="inlineStr">
        <is>
          <t>ADMIN-INDEX-2026-02-27-00000000125C043F57453246863FE664CAFE6A3F0700950291EA24F0614FB6ACEDB12BF0E31D00000000010C0000950291EA24F0614FB6ACEDB12BF0E31D00002087AEB30000</t>
        </is>
      </c>
      <c r="C1389" t="inlineStr">
        <is>
          <t>cmm4yuoxe021kcuqwbnlynfah</t>
        </is>
      </c>
      <c r="D1389" t="inlineStr">
        <is>
          <t>http://localhost:8787/api/admin/requirements/documents/cmm4yuoxe021kcuqwbnlynfah/view</t>
        </is>
      </c>
      <c r="E1389">
        <f>HYPERLÄNK("http://localhost:8787/api/admin/requirements/documents/cmm4yuoxe021kcuqwbnlynfah/view";"Öppna PDF")</f>
        <v/>
      </c>
      <c r="F1389">
        <f>HYPERLINK("http://localhost:8787/api/admin/requirements/documents/cmm4yuoxe021kcuqwbnlynfah/view","Open PDF")</f>
        <v/>
      </c>
      <c r="G1389" t="inlineStr">
        <is>
          <t>cmm55w57p0004cuisfrtpqly8</t>
        </is>
      </c>
      <c r="H1389" t="inlineStr">
        <is>
          <t>Beslutsvillkor</t>
        </is>
      </c>
      <c r="I1389" t="inlineStr">
        <is>
          <t>LagringsvolymTid</t>
        </is>
      </c>
      <c r="J1389" t="inlineStr">
        <is>
          <t>Maxmangd</t>
        </is>
      </c>
      <c r="K1389" t="inlineStr">
        <is>
          <t>Hushållnings- och kretsloppsprincipen 5 § Minska mängden avfall, det är hela poängen med företaget, att återvinna fungerande material, biprodukter för att det inte är avfall.</t>
        </is>
      </c>
      <c r="L1389" t="inlineStr">
        <is>
          <t>Hushållnings- och kretsloppsprincipen 5 § Minska mängden avfall, det är hela poängen med företaget, att återvinna fungerande material, biprodukter för att det inte är avfall.</t>
        </is>
      </c>
      <c r="M1389" t="inlineStr">
        <is>
          <t>SKA</t>
        </is>
      </c>
      <c r="N1389" t="inlineStr"/>
      <c r="O1389" t="inlineStr"/>
      <c r="P1389" t="inlineStr"/>
      <c r="Q1389" t="inlineStr"/>
      <c r="R1389" t="inlineStr">
        <is>
          <t>Alltid</t>
        </is>
      </c>
      <c r="S1389" t="inlineStr"/>
      <c r="T1389" t="inlineStr"/>
      <c r="U1389" t="inlineStr"/>
      <c r="V1389" t="inlineStr"/>
      <c r="W1389" t="inlineStr">
        <is>
          <t>Nej</t>
        </is>
      </c>
      <c r="X1389" t="inlineStr">
        <is>
          <t>Nej</t>
        </is>
      </c>
      <c r="Y1389" t="inlineStr">
        <is>
          <t>Nej</t>
        </is>
      </c>
      <c r="Z1389" t="inlineStr">
        <is>
          <t>Nej</t>
        </is>
      </c>
      <c r="AA1389" t="n">
        <v>4</v>
      </c>
      <c r="AB1389" t="inlineStr">
        <is>
          <t>Avfallsmangder och lagringstid</t>
        </is>
      </c>
      <c r="AC1389" t="inlineStr">
        <is>
          <t>Avfallsforteckning</t>
        </is>
      </c>
      <c r="AD1389" t="inlineStr">
        <is>
          <t>Nej</t>
        </is>
      </c>
      <c r="AE1389" t="inlineStr">
        <is>
          <t>Nej</t>
        </is>
      </c>
      <c r="AF1389" t="inlineStr">
        <is>
          <t>Ej behandlad</t>
        </is>
      </c>
      <c r="AG1389" t="inlineStr">
        <is>
          <t>AUTO_GENERERAD. Verifiera citat mot kallfil.</t>
        </is>
      </c>
      <c r="AH1389" t="inlineStr">
        <is>
          <t>MEDIUM</t>
        </is>
      </c>
      <c r="AI1389" t="inlineStr">
        <is>
          <t>AUTO</t>
        </is>
      </c>
      <c r="AJ1389" t="inlineStr">
        <is>
          <t>Nej</t>
        </is>
      </c>
      <c r="AK1389" t="inlineStr"/>
      <c r="AL1389" t="inlineStr"/>
      <c r="AM1389" t="inlineStr"/>
      <c r="AN1389" t="inlineStr"/>
      <c r="AO1389" t="inlineStr">
        <is>
          <t>cmm4yuoy5022bcuqw0e9yl7q6</t>
        </is>
      </c>
      <c r="AP1389" t="inlineStr">
        <is>
          <t>http://localhost:8787/api/admin/requirements/documents/cmm4yuoy5022bcuqw0e9yl7q6/view</t>
        </is>
      </c>
      <c r="AQ1389">
        <f>HYPERLÄNK("http://localhost:8787/api/admin/requirements/documents/cmm4yuoy5022bcuqw0e9yl7q6/view";"Öppna PDF")</f>
        <v/>
      </c>
      <c r="AR1389">
        <f>HYPERLINK("http://localhost:8787/api/admin/requirements/documents/cmm4yuoy5022bcuqw0e9yl7q6/view","Open PDF")</f>
        <v/>
      </c>
      <c r="AS1389" t="inlineStr">
        <is>
          <t>cmm55w57p0004cuisfrtpqly8</t>
        </is>
      </c>
      <c r="AT1389" t="inlineStr">
        <is>
          <t>cmm4xvu980000cuh4vj0usz09</t>
        </is>
      </c>
      <c r="AU1389" t="inlineStr">
        <is>
          <t>Besöksadress Telefon E-post Webb Tranås</t>
        </is>
      </c>
      <c r="AV1389" t="inlineStr">
        <is>
          <t>Kommun</t>
        </is>
      </c>
      <c r="AW1389" t="inlineStr">
        <is>
          <t>Besöksadress Telefon E-post Webb Tranås kommun</t>
        </is>
      </c>
      <c r="AX1389" t="inlineStr">
        <is>
          <t>2025-02</t>
        </is>
      </c>
      <c r="AY1389" t="inlineStr">
        <is>
          <t>Forelaggande</t>
        </is>
      </c>
      <c r="AZ1389" t="inlineStr">
        <is>
          <t>2026-02-03</t>
        </is>
      </c>
      <c r="BA1389" t="inlineStr">
        <is>
          <t>M-2024-659-Föreläggande enligt miljöbalken(1).pdf</t>
        </is>
      </c>
      <c r="BB1389" t="inlineStr">
        <is>
          <t>handlingar</t>
        </is>
      </c>
      <c r="BC1389" t="inlineStr">
        <is>
          <t>AUTO</t>
        </is>
      </c>
      <c r="BD1389" t="inlineStr"/>
      <c r="BE1389" t="inlineStr"/>
      <c r="BF1389" t="inlineStr">
        <is>
          <t>AUTO_GENERERAD. Bekrafta metadata mot kallfil.</t>
        </is>
      </c>
      <c r="BG1389">
        <f>HYPERLINK("C:\Users\jimmy\Desktop\Examens arbete\Kod\Ny mapp\remix_-copy-of-miljöbeslut.se-portal\M-2024-659-Föreläggande enligt miljöbalken(1).pdf", "Öppna PDF")</f>
        <v/>
      </c>
    </row>
    <row r="1390">
      <c r="A1390" t="inlineStr">
        <is>
          <t>KRAV-AUTO-001389</t>
        </is>
      </c>
      <c r="B1390" t="inlineStr">
        <is>
          <t>ADMIN-INDEX-2026-02-27-00000000125C043F57453246863FE664CAFE6A3F0700950291EA24F0614FB6ACEDB12BF0E31D00000000010C0000950291EA24F0614FB6ACEDB12BF0E31D00002087AEB30000</t>
        </is>
      </c>
      <c r="C1390" t="inlineStr">
        <is>
          <t>cmm4yuoxe021kcuqwbnlynfah</t>
        </is>
      </c>
      <c r="D1390" t="inlineStr">
        <is>
          <t>http://localhost:8787/api/admin/requirements/documents/cmm4yuoxe021kcuqwbnlynfah/view</t>
        </is>
      </c>
      <c r="E1390">
        <f>HYPERLÄNK("http://localhost:8787/api/admin/requirements/documents/cmm4yuoxe021kcuqwbnlynfah/view";"Öppna PDF")</f>
        <v/>
      </c>
      <c r="F1390">
        <f>HYPERLINK("http://localhost:8787/api/admin/requirements/documents/cmm4yuoxe021kcuqwbnlynfah/view","Open PDF")</f>
        <v/>
      </c>
      <c r="G1390" t="inlineStr">
        <is>
          <t>cmm55w57p0004cuisfrtpqly8</t>
        </is>
      </c>
      <c r="H1390" t="inlineStr">
        <is>
          <t>Beslutsvillkor</t>
        </is>
      </c>
      <c r="I1390" t="inlineStr">
        <is>
          <t>Riskhantering</t>
        </is>
      </c>
      <c r="J1390" t="inlineStr">
        <is>
          <t>Riskkontroll</t>
        </is>
      </c>
      <c r="K1390" t="inlineStr">
        <is>
          <t>Verktyg vid minsta eventuella risk för skada på människor finns inlåst på området.</t>
        </is>
      </c>
      <c r="L1390" t="inlineStr">
        <is>
          <t>Verktyg vid minsta eventuella risk för skada på människor finns inlåst på området.</t>
        </is>
      </c>
      <c r="M1390" t="inlineStr">
        <is>
          <t>SKA</t>
        </is>
      </c>
      <c r="N1390" t="inlineStr"/>
      <c r="O1390" t="inlineStr"/>
      <c r="P1390" t="inlineStr"/>
      <c r="Q1390" t="inlineStr"/>
      <c r="R1390" t="inlineStr">
        <is>
          <t>Vid risk for incident</t>
        </is>
      </c>
      <c r="S1390" t="inlineStr"/>
      <c r="T1390" t="inlineStr"/>
      <c r="U1390" t="inlineStr"/>
      <c r="V1390" t="inlineStr"/>
      <c r="W1390" t="inlineStr">
        <is>
          <t>Nej</t>
        </is>
      </c>
      <c r="X1390" t="inlineStr">
        <is>
          <t>Nej</t>
        </is>
      </c>
      <c r="Y1390" t="inlineStr">
        <is>
          <t>Ja</t>
        </is>
      </c>
      <c r="Z1390" t="inlineStr">
        <is>
          <t>Ja</t>
        </is>
      </c>
      <c r="AA1390" t="n">
        <v>8</v>
      </c>
      <c r="AB1390" t="inlineStr">
        <is>
          <t>Riskhantering</t>
        </is>
      </c>
      <c r="AC1390" t="inlineStr">
        <is>
          <t>Risk-PM</t>
        </is>
      </c>
      <c r="AD1390" t="inlineStr">
        <is>
          <t>Nej</t>
        </is>
      </c>
      <c r="AE1390" t="inlineStr">
        <is>
          <t>Nej</t>
        </is>
      </c>
      <c r="AF1390" t="inlineStr">
        <is>
          <t>Ej behandlad</t>
        </is>
      </c>
      <c r="AG1390" t="inlineStr">
        <is>
          <t>AUTO_GENERERAD. Verifiera citat mot kallfil.</t>
        </is>
      </c>
      <c r="AH1390" t="inlineStr">
        <is>
          <t>MEDIUM</t>
        </is>
      </c>
      <c r="AI1390" t="inlineStr">
        <is>
          <t>AUTO</t>
        </is>
      </c>
      <c r="AJ1390" t="inlineStr">
        <is>
          <t>Nej</t>
        </is>
      </c>
      <c r="AK1390" t="inlineStr"/>
      <c r="AL1390" t="inlineStr"/>
      <c r="AM1390" t="inlineStr"/>
      <c r="AN1390" t="inlineStr"/>
      <c r="AO1390" t="inlineStr">
        <is>
          <t>cmm4yuoy5022bcuqw0e9yl7q6</t>
        </is>
      </c>
      <c r="AP1390" t="inlineStr">
        <is>
          <t>http://localhost:8787/api/admin/requirements/documents/cmm4yuoy5022bcuqw0e9yl7q6/view</t>
        </is>
      </c>
      <c r="AQ1390">
        <f>HYPERLÄNK("http://localhost:8787/api/admin/requirements/documents/cmm4yuoy5022bcuqw0e9yl7q6/view";"Öppna PDF")</f>
        <v/>
      </c>
      <c r="AR1390">
        <f>HYPERLINK("http://localhost:8787/api/admin/requirements/documents/cmm4yuoy5022bcuqw0e9yl7q6/view","Open PDF")</f>
        <v/>
      </c>
      <c r="AS1390" t="inlineStr">
        <is>
          <t>cmm55w57p0004cuisfrtpqly8</t>
        </is>
      </c>
      <c r="AT1390" t="inlineStr">
        <is>
          <t>cmm4xvu980000cuh4vj0usz09</t>
        </is>
      </c>
      <c r="AU1390" t="inlineStr">
        <is>
          <t>Besöksadress Telefon E-post Webb Tranås</t>
        </is>
      </c>
      <c r="AV1390" t="inlineStr">
        <is>
          <t>Kommun</t>
        </is>
      </c>
      <c r="AW1390" t="inlineStr">
        <is>
          <t>Besöksadress Telefon E-post Webb Tranås kommun</t>
        </is>
      </c>
      <c r="AX1390" t="inlineStr">
        <is>
          <t>2025-02</t>
        </is>
      </c>
      <c r="AY1390" t="inlineStr">
        <is>
          <t>Forelaggande</t>
        </is>
      </c>
      <c r="AZ1390" t="inlineStr">
        <is>
          <t>2026-02-03</t>
        </is>
      </c>
      <c r="BA1390" t="inlineStr">
        <is>
          <t>M-2024-659-Föreläggande enligt miljöbalken(1).pdf</t>
        </is>
      </c>
      <c r="BB1390" t="inlineStr">
        <is>
          <t>handlingar</t>
        </is>
      </c>
      <c r="BC1390" t="inlineStr">
        <is>
          <t>AUTO</t>
        </is>
      </c>
      <c r="BD1390" t="inlineStr"/>
      <c r="BE1390" t="inlineStr"/>
      <c r="BF1390" t="inlineStr">
        <is>
          <t>AUTO_GENERERAD. Bekrafta metadata mot kallfil.</t>
        </is>
      </c>
      <c r="BG1390">
        <f>HYPERLINK("C:\Users\jimmy\Desktop\Examens arbete\Kod\Ny mapp\remix_-copy-of-miljöbeslut.se-portal\M-2024-659-Föreläggande enligt miljöbalken(1).pdf", "Öppna PDF")</f>
        <v/>
      </c>
    </row>
    <row r="1391">
      <c r="A1391" t="inlineStr">
        <is>
          <t>KRAV-AUTO-001390</t>
        </is>
      </c>
      <c r="B1391" t="inlineStr">
        <is>
          <t>ADMIN-INDEX-2026-02-27-00000000125C043F57453246863FE664CAFE6A3F0700950291EA24F0614FB6ACEDB12BF0E31D00000000010C0000950291EA24F0614FB6ACEDB12BF0E31D00002087AEB30000</t>
        </is>
      </c>
      <c r="C1391" t="inlineStr">
        <is>
          <t>cmm4yuox9021ecuqwgith6y72</t>
        </is>
      </c>
      <c r="D1391" t="inlineStr">
        <is>
          <t>http://localhost:8787/api/admin/requirements/documents/cmm4yuox9021ecuqwgith6y72/view</t>
        </is>
      </c>
      <c r="E1391">
        <f>HYPERLÄNK("http://localhost:8787/api/admin/requirements/documents/cmm4yuox9021ecuqwgith6y72/view";"Öppna PDF")</f>
        <v/>
      </c>
      <c r="F1391">
        <f>HYPERLINK("http://localhost:8787/api/admin/requirements/documents/cmm4yuox9021ecuqwgith6y72/view","Open PDF")</f>
        <v/>
      </c>
      <c r="G1391" t="inlineStr">
        <is>
          <t>cmm55w57p0004cuisfrtpqly8</t>
        </is>
      </c>
      <c r="H1391" t="inlineStr">
        <is>
          <t>Informationskrav</t>
        </is>
      </c>
      <c r="I1391" t="inlineStr">
        <is>
          <t>LagringsvolymTid</t>
        </is>
      </c>
      <c r="J1391" t="inlineStr">
        <is>
          <t>Maxmangd</t>
        </is>
      </c>
      <c r="K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 skadeansvaret).</t>
        </is>
      </c>
      <c r="L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t>
        </is>
      </c>
      <c r="M1391" t="inlineStr">
        <is>
          <t>SKA</t>
        </is>
      </c>
      <c r="N1391" t="inlineStr">
        <is>
          <t>Miljobalken</t>
        </is>
      </c>
      <c r="O1391" t="inlineStr"/>
      <c r="P1391" t="inlineStr"/>
      <c r="Q1391" t="inlineStr"/>
      <c r="R1391" t="inlineStr">
        <is>
          <t>Alltid</t>
        </is>
      </c>
      <c r="S1391" t="inlineStr"/>
      <c r="T1391" t="inlineStr">
        <is>
          <t>559370</t>
        </is>
      </c>
      <c r="U1391" t="inlineStr"/>
      <c r="V1391" t="inlineStr"/>
      <c r="W1391" t="inlineStr">
        <is>
          <t>Nej</t>
        </is>
      </c>
      <c r="X1391" t="inlineStr">
        <is>
          <t>Nej</t>
        </is>
      </c>
      <c r="Y1391" t="inlineStr">
        <is>
          <t>Nej</t>
        </is>
      </c>
      <c r="Z1391" t="inlineStr">
        <is>
          <t>Nej</t>
        </is>
      </c>
      <c r="AA1391" t="n">
        <v>4</v>
      </c>
      <c r="AB1391" t="inlineStr">
        <is>
          <t>Avfallsmangder och lagringstid</t>
        </is>
      </c>
      <c r="AC1391" t="inlineStr">
        <is>
          <t>Avfallsforteckning</t>
        </is>
      </c>
      <c r="AD1391" t="inlineStr">
        <is>
          <t>Nej</t>
        </is>
      </c>
      <c r="AE1391" t="inlineStr">
        <is>
          <t>Nej</t>
        </is>
      </c>
      <c r="AF1391" t="inlineStr">
        <is>
          <t>Ej behandlad</t>
        </is>
      </c>
      <c r="AG1391" t="inlineStr">
        <is>
          <t>AUTO_GENERERAD. Verifiera citat mot kallfil.</t>
        </is>
      </c>
      <c r="AH1391" t="inlineStr">
        <is>
          <t>HIGH</t>
        </is>
      </c>
      <c r="AI1391" t="inlineStr">
        <is>
          <t>AUTO</t>
        </is>
      </c>
      <c r="AJ1391" t="inlineStr">
        <is>
          <t>Nej</t>
        </is>
      </c>
      <c r="AK1391" t="inlineStr"/>
      <c r="AL1391" t="inlineStr"/>
      <c r="AM1391" t="inlineStr"/>
      <c r="AN1391" t="inlineStr"/>
      <c r="AO1391" t="inlineStr">
        <is>
          <t>cmm4yuoy5022bcuqw0e9yl7q6</t>
        </is>
      </c>
      <c r="AP1391" t="inlineStr">
        <is>
          <t>http://localhost:8787/api/admin/requirements/documents/cmm4yuoy5022bcuqw0e9yl7q6/view</t>
        </is>
      </c>
      <c r="AQ1391">
        <f>HYPERLÄNK("http://localhost:8787/api/admin/requirements/documents/cmm4yuoy5022bcuqw0e9yl7q6/view";"Öppna PDF")</f>
        <v/>
      </c>
      <c r="AR1391">
        <f>HYPERLINK("http://localhost:8787/api/admin/requirements/documents/cmm4yuoy5022bcuqw0e9yl7q6/view","Open PDF")</f>
        <v/>
      </c>
      <c r="AS1391" t="inlineStr">
        <is>
          <t>cmm55w57p0004cuisfrtpqly8</t>
        </is>
      </c>
      <c r="AT1391" t="inlineStr">
        <is>
          <t>cmm4xvu980000cuh4vj0usz09</t>
        </is>
      </c>
      <c r="AU1391" t="inlineStr">
        <is>
          <t>Besöksadress Telefon E-post Webb Tranås</t>
        </is>
      </c>
      <c r="AV1391" t="inlineStr">
        <is>
          <t>Kommun</t>
        </is>
      </c>
      <c r="AW1391" t="inlineStr">
        <is>
          <t>Besöksadress Telefon E-post Webb Tranås kommun</t>
        </is>
      </c>
      <c r="AX1391" t="inlineStr">
        <is>
          <t>2025-02</t>
        </is>
      </c>
      <c r="AY1391" t="inlineStr">
        <is>
          <t>Forelaggande</t>
        </is>
      </c>
      <c r="AZ1391" t="inlineStr">
        <is>
          <t>2026-02-03</t>
        </is>
      </c>
      <c r="BA1391" t="inlineStr">
        <is>
          <t>M-2024-659-Föreläggande enligt miljöbalken(1).pdf</t>
        </is>
      </c>
      <c r="BB1391" t="inlineStr">
        <is>
          <t>handlingar</t>
        </is>
      </c>
      <c r="BC1391" t="inlineStr">
        <is>
          <t>AUTO</t>
        </is>
      </c>
      <c r="BD1391" t="inlineStr"/>
      <c r="BE1391" t="inlineStr"/>
      <c r="BF1391" t="inlineStr">
        <is>
          <t>AUTO_GENERERAD. Bekrafta metadata mot kallfil.</t>
        </is>
      </c>
      <c r="BG1391">
        <f>HYPERLINK("C:\Users\jimmy\Desktop\Examens arbete\Kod\Ny mapp\remix_-copy-of-miljöbeslut.se-portal\M-2024-659-Föreläggande enligt miljöbalken(1).pdf", "Öppna PDF")</f>
        <v/>
      </c>
    </row>
    <row r="1392">
      <c r="A1392" t="inlineStr">
        <is>
          <t>KRAV-AUTO-001391</t>
        </is>
      </c>
      <c r="B1392" t="inlineStr">
        <is>
          <t>ADMIN-INDEX-2026-02-27-00000000125C043F57453246863FE664CAFE6A3F0700950291EA24F0614FB6ACEDB12BF0E31D00000000010C0000950291EA24F0614FB6ACEDB12BF0E31D00002087AEB40000</t>
        </is>
      </c>
      <c r="C1392" t="inlineStr">
        <is>
          <t>cmm4yuowx0212cuqwgyrim3ri</t>
        </is>
      </c>
      <c r="D1392" t="inlineStr">
        <is>
          <t>http://localhost:8787/api/admin/requirements/documents/cmm4yuowx0212cuqwgyrim3ri/view</t>
        </is>
      </c>
      <c r="E1392">
        <f>HYPERLÄNK("http://localhost:8787/api/admin/requirements/documents/cmm4yuowx0212cuqwgyrim3ri/view";"Öppna PDF")</f>
        <v/>
      </c>
      <c r="F1392">
        <f>HYPERLINK("http://localhost:8787/api/admin/requirements/documents/cmm4yuowx0212cuqwgyrim3ri/view","Open PDF")</f>
        <v/>
      </c>
      <c r="G1392" t="inlineStr">
        <is>
          <t>cmm55w57p0004cuisfrtpqly8</t>
        </is>
      </c>
      <c r="H1392" t="inlineStr">
        <is>
          <t>Kompletteringskrav</t>
        </is>
      </c>
      <c r="I1392" t="inlineStr">
        <is>
          <t>Ytkonstruktion</t>
        </is>
      </c>
      <c r="J1392" t="inlineStr">
        <is>
          <t>Tat yta</t>
        </is>
      </c>
      <c r="K1392" t="inlineStr">
        <is>
          <t>Flytande kemiska produkter och flytande farligt avfall ska förvaras invallat.</t>
        </is>
      </c>
      <c r="L1392" t="inlineStr">
        <is>
          <t>Flytande kemiska produkter och flytande farligt avfall ska förvaras invallat.</t>
        </is>
      </c>
      <c r="M1392" t="inlineStr">
        <is>
          <t>SKA</t>
        </is>
      </c>
      <c r="N1392" t="inlineStr">
        <is>
          <t>Miljobalken</t>
        </is>
      </c>
      <c r="O1392" t="inlineStr"/>
      <c r="P1392" t="inlineStr">
        <is>
          <t>Arlig</t>
        </is>
      </c>
      <c r="Q1392" t="inlineStr"/>
      <c r="R1392" t="inlineStr">
        <is>
          <t>Vid mellanlagring av avfall</t>
        </is>
      </c>
      <c r="S1392" t="inlineStr"/>
      <c r="T1392" t="inlineStr">
        <is>
          <t>52 0140</t>
        </is>
      </c>
      <c r="U1392" t="inlineStr"/>
      <c r="V1392" t="inlineStr"/>
      <c r="W1392" t="inlineStr">
        <is>
          <t>Ja</t>
        </is>
      </c>
      <c r="X1392" t="inlineStr">
        <is>
          <t>Nej</t>
        </is>
      </c>
      <c r="Y1392" t="inlineStr">
        <is>
          <t>Nej</t>
        </is>
      </c>
      <c r="Z1392" t="inlineStr">
        <is>
          <t>Nej</t>
        </is>
      </c>
      <c r="AA1392" t="n">
        <v>5</v>
      </c>
      <c r="AB1392" t="inlineStr">
        <is>
          <t>Teknisk beskrivning av platta</t>
        </is>
      </c>
      <c r="AC1392" t="inlineStr">
        <is>
          <t>Teknisk ritning platta</t>
        </is>
      </c>
      <c r="AD1392" t="inlineStr">
        <is>
          <t>Nej</t>
        </is>
      </c>
      <c r="AE1392" t="inlineStr">
        <is>
          <t>Nej</t>
        </is>
      </c>
      <c r="AF1392" t="inlineStr">
        <is>
          <t>Ej behandlad</t>
        </is>
      </c>
      <c r="AG1392" t="inlineStr">
        <is>
          <t>AUTO_GENERERAD. Verifiera citat mot kallfil.</t>
        </is>
      </c>
      <c r="AH1392" t="inlineStr">
        <is>
          <t>HIGH</t>
        </is>
      </c>
      <c r="AI1392" t="inlineStr">
        <is>
          <t>AUTO</t>
        </is>
      </c>
      <c r="AJ1392" t="inlineStr">
        <is>
          <t>Nej</t>
        </is>
      </c>
      <c r="AK1392" t="inlineStr"/>
      <c r="AL1392" t="inlineStr"/>
      <c r="AM1392" t="inlineStr"/>
      <c r="AN1392" t="inlineStr"/>
      <c r="AO1392" t="inlineStr">
        <is>
          <t>cmm4yuowx0212cuqwgyrim3ri</t>
        </is>
      </c>
      <c r="AP1392" t="inlineStr">
        <is>
          <t>http://localhost:8787/api/admin/requirements/documents/cmm4yuowx0212cuqwgyrim3ri/view</t>
        </is>
      </c>
      <c r="AQ1392">
        <f>HYPERLÄNK("http://localhost:8787/api/admin/requirements/documents/cmm4yuowx0212cuqwgyrim3ri/view";"Öppna PDF")</f>
        <v/>
      </c>
      <c r="AR1392">
        <f>HYPERLINK("http://localhost:8787/api/admin/requirements/documents/cmm4yuowx0212cuqwgyrim3ri/view","Open PDF")</f>
        <v/>
      </c>
      <c r="AS1392" t="inlineStr">
        <is>
          <t>cmm55w57p0004cuisfrtpqly8</t>
        </is>
      </c>
      <c r="AT1392" t="inlineStr">
        <is>
          <t>cmm4xvu980000cuh4vj0usz09</t>
        </is>
      </c>
      <c r="AU1392" t="inlineStr">
        <is>
          <t>Besöksadress Telefon E-post Webb Tranås</t>
        </is>
      </c>
      <c r="AV1392" t="inlineStr">
        <is>
          <t>Kommun</t>
        </is>
      </c>
      <c r="AW1392" t="inlineStr">
        <is>
          <t>Besöksadress Telefon E-post Webb Tranås kommun</t>
        </is>
      </c>
      <c r="AX1392" t="inlineStr">
        <is>
          <t>2025-02</t>
        </is>
      </c>
      <c r="AY1392" t="inlineStr">
        <is>
          <t>Forelaggande</t>
        </is>
      </c>
      <c r="AZ1392" t="inlineStr">
        <is>
          <t>2026-02-03</t>
        </is>
      </c>
      <c r="BA1392" t="inlineStr">
        <is>
          <t>M-2024-659-Föreläggande enligt miljöbalken(1).pdf</t>
        </is>
      </c>
      <c r="BB1392" t="inlineStr">
        <is>
          <t>handlingar</t>
        </is>
      </c>
      <c r="BC1392" t="inlineStr">
        <is>
          <t>AUTO</t>
        </is>
      </c>
      <c r="BD1392" t="inlineStr"/>
      <c r="BE1392" t="inlineStr"/>
      <c r="BF1392" t="inlineStr">
        <is>
          <t>AUTO_GENERERAD. Bekrafta metadata mot kallfil.</t>
        </is>
      </c>
      <c r="BG1392">
        <f>HYPERLINK("C:\Users\jimmy\Desktop\Examens arbete\Kod\Ny mapp\remix_-copy-of-miljöbeslut.se-portal\M-2024-659-Föreläggande enligt miljöbalken(1).pdf", "Öppna PDF")</f>
        <v/>
      </c>
    </row>
    <row r="1393">
      <c r="A1393" t="inlineStr">
        <is>
          <t>KRAV-AUTO-001392</t>
        </is>
      </c>
      <c r="B1393" t="inlineStr">
        <is>
          <t>ADMIN-INDEX-2026-02-27-00000000125C043F57453246863FE664CAFE6A3F0700950291EA24F0614FB6ACEDB12BF0E31D00000000010C0000950291EA24F0614FB6ACEDB12BF0E31D00002087AEB40000</t>
        </is>
      </c>
      <c r="C1393" t="inlineStr">
        <is>
          <t>cmm4yuowx0212cuqwgyrim3ri</t>
        </is>
      </c>
      <c r="D1393" t="inlineStr">
        <is>
          <t>http://localhost:8787/api/admin/requirements/documents/cmm4yuowx0212cuqwgyrim3ri/view</t>
        </is>
      </c>
      <c r="E1393">
        <f>HYPERLÄNK("http://localhost:8787/api/admin/requirements/documents/cmm4yuowx0212cuqwgyrim3ri/view";"Öppna PDF")</f>
        <v/>
      </c>
      <c r="F1393">
        <f>HYPERLINK("http://localhost:8787/api/admin/requirements/documents/cmm4yuowx0212cuqwgyrim3ri/view","Open PDF")</f>
        <v/>
      </c>
      <c r="G1393" t="inlineStr">
        <is>
          <t>cmm55w57p0004cuisfrtpqly8</t>
        </is>
      </c>
      <c r="H1393" t="inlineStr">
        <is>
          <t>Kompletteringskrav</t>
        </is>
      </c>
      <c r="I1393" t="inlineStr">
        <is>
          <t>Ytkonstruktion</t>
        </is>
      </c>
      <c r="J1393" t="inlineStr">
        <is>
          <t>Tat yta</t>
        </is>
      </c>
      <c r="K1393" t="inlineStr">
        <is>
          <t>Hela volymen ska rymmas inom invallningen för att, vid ett ev.</t>
        </is>
      </c>
      <c r="L1393" t="inlineStr">
        <is>
          <t>Hela volymen ska rymmas inom invallningen för att, vid ett ev.</t>
        </is>
      </c>
      <c r="M1393" t="inlineStr">
        <is>
          <t>SKA</t>
        </is>
      </c>
      <c r="N1393" t="inlineStr">
        <is>
          <t>Miljobalken</t>
        </is>
      </c>
      <c r="O1393" t="inlineStr"/>
      <c r="P1393" t="inlineStr"/>
      <c r="Q1393" t="inlineStr"/>
      <c r="R1393" t="inlineStr">
        <is>
          <t>Vid mellanlagring av avfall</t>
        </is>
      </c>
      <c r="S1393" t="inlineStr"/>
      <c r="T1393" t="inlineStr">
        <is>
          <t>52 0140</t>
        </is>
      </c>
      <c r="U1393" t="inlineStr"/>
      <c r="V1393" t="inlineStr"/>
      <c r="W1393" t="inlineStr">
        <is>
          <t>Ja</t>
        </is>
      </c>
      <c r="X1393" t="inlineStr">
        <is>
          <t>Nej</t>
        </is>
      </c>
      <c r="Y1393" t="inlineStr">
        <is>
          <t>Nej</t>
        </is>
      </c>
      <c r="Z1393" t="inlineStr">
        <is>
          <t>Nej</t>
        </is>
      </c>
      <c r="AA1393" t="n">
        <v>5</v>
      </c>
      <c r="AB1393" t="inlineStr">
        <is>
          <t>Teknisk beskrivning av platta</t>
        </is>
      </c>
      <c r="AC1393" t="inlineStr">
        <is>
          <t>Teknisk ritning platta</t>
        </is>
      </c>
      <c r="AD1393" t="inlineStr">
        <is>
          <t>Nej</t>
        </is>
      </c>
      <c r="AE1393" t="inlineStr">
        <is>
          <t>Nej</t>
        </is>
      </c>
      <c r="AF1393" t="inlineStr">
        <is>
          <t>Ej behandlad</t>
        </is>
      </c>
      <c r="AG1393" t="inlineStr">
        <is>
          <t>AUTO_GENERERAD. Verifiera citat mot kallfil.</t>
        </is>
      </c>
      <c r="AH1393" t="inlineStr">
        <is>
          <t>HIGH</t>
        </is>
      </c>
      <c r="AI1393" t="inlineStr">
        <is>
          <t>AUTO</t>
        </is>
      </c>
      <c r="AJ1393" t="inlineStr">
        <is>
          <t>Nej</t>
        </is>
      </c>
      <c r="AK1393" t="inlineStr"/>
      <c r="AL1393" t="inlineStr"/>
      <c r="AM1393" t="inlineStr"/>
      <c r="AN1393" t="inlineStr"/>
      <c r="AO1393" t="inlineStr">
        <is>
          <t>cmm4yuowx0212cuqwgyrim3ri</t>
        </is>
      </c>
      <c r="AP1393" t="inlineStr">
        <is>
          <t>http://localhost:8787/api/admin/requirements/documents/cmm4yuowx0212cuqwgyrim3ri/view</t>
        </is>
      </c>
      <c r="AQ1393">
        <f>HYPERLÄNK("http://localhost:8787/api/admin/requirements/documents/cmm4yuowx0212cuqwgyrim3ri/view";"Öppna PDF")</f>
        <v/>
      </c>
      <c r="AR1393">
        <f>HYPERLINK("http://localhost:8787/api/admin/requirements/documents/cmm4yuowx0212cuqwgyrim3ri/view","Open PDF")</f>
        <v/>
      </c>
      <c r="AS1393" t="inlineStr">
        <is>
          <t>cmm55w57p0004cuisfrtpqly8</t>
        </is>
      </c>
      <c r="AT1393" t="inlineStr">
        <is>
          <t>cmm4xvu980000cuh4vj0usz09</t>
        </is>
      </c>
      <c r="AU1393" t="inlineStr">
        <is>
          <t>Besöksadress Telefon E-post Webb Tranås</t>
        </is>
      </c>
      <c r="AV1393" t="inlineStr">
        <is>
          <t>Kommun</t>
        </is>
      </c>
      <c r="AW1393" t="inlineStr">
        <is>
          <t>Besöksadress Telefon E-post Webb Tranås kommun</t>
        </is>
      </c>
      <c r="AX1393" t="inlineStr">
        <is>
          <t>2025-02</t>
        </is>
      </c>
      <c r="AY1393" t="inlineStr">
        <is>
          <t>Forelaggande</t>
        </is>
      </c>
      <c r="AZ1393" t="inlineStr">
        <is>
          <t>2026-02-03</t>
        </is>
      </c>
      <c r="BA1393" t="inlineStr">
        <is>
          <t>M-2024-659-Föreläggande enligt miljöbalken(1).pdf</t>
        </is>
      </c>
      <c r="BB1393" t="inlineStr">
        <is>
          <t>handlingar</t>
        </is>
      </c>
      <c r="BC1393" t="inlineStr">
        <is>
          <t>AUTO</t>
        </is>
      </c>
      <c r="BD1393" t="inlineStr"/>
      <c r="BE1393" t="inlineStr"/>
      <c r="BF1393" t="inlineStr">
        <is>
          <t>AUTO_GENERERAD. Bekrafta metadata mot kallfil.</t>
        </is>
      </c>
      <c r="BG1393">
        <f>HYPERLINK("C:\Users\jimmy\Desktop\Examens arbete\Kod\Ny mapp\remix_-copy-of-miljöbeslut.se-portal\M-2024-659-Föreläggande enligt miljöbalken(1).pdf", "Öppna PDF")</f>
        <v/>
      </c>
    </row>
    <row r="1394">
      <c r="A1394" t="inlineStr">
        <is>
          <t>KRAV-AUTO-001393</t>
        </is>
      </c>
      <c r="B1394" t="inlineStr">
        <is>
          <t>ADMIN-INDEX-2026-02-27-00000000125C043F57453246863FE664CAFE6A3F0700950291EA24F0614FB6ACEDB12BF0E31D00000000010C0000950291EA24F0614FB6ACEDB12BF0E31D00002087AEB40000</t>
        </is>
      </c>
      <c r="C1394" t="inlineStr">
        <is>
          <t>cmm4yuowx0212cuqwgyrim3ri</t>
        </is>
      </c>
      <c r="D1394" t="inlineStr">
        <is>
          <t>http://localhost:8787/api/admin/requirements/documents/cmm4yuowx0212cuqwgyrim3ri/view</t>
        </is>
      </c>
      <c r="E1394">
        <f>HYPERLÄNK("http://localhost:8787/api/admin/requirements/documents/cmm4yuowx0212cuqwgyrim3ri/view";"Öppna PDF")</f>
        <v/>
      </c>
      <c r="F1394">
        <f>HYPERLINK("http://localhost:8787/api/admin/requirements/documents/cmm4yuowx0212cuqwgyrim3ri/view","Open PDF")</f>
        <v/>
      </c>
      <c r="G1394" t="inlineStr">
        <is>
          <t>cmm55w57p0004cuisfrtpqly8</t>
        </is>
      </c>
      <c r="H1394" t="inlineStr">
        <is>
          <t>Kompletteringskrav</t>
        </is>
      </c>
      <c r="I1394" t="inlineStr">
        <is>
          <t>Ytkonstruktion</t>
        </is>
      </c>
      <c r="J1394" t="inlineStr">
        <is>
          <t>Tat yta</t>
        </is>
      </c>
      <c r="K1394" t="inlineStr">
        <is>
          <t>Lagring av farligt avfall samt lagring av kemiska produkter ska ske under tak på tät hårdgjord yta.</t>
        </is>
      </c>
      <c r="L1394" t="inlineStr">
        <is>
          <t>Lagring av farligt avfall samt lagring av kemiska produkter ska ske under tak på tät hårdgjord yta.</t>
        </is>
      </c>
      <c r="M1394" t="inlineStr">
        <is>
          <t>SKA</t>
        </is>
      </c>
      <c r="N1394" t="inlineStr">
        <is>
          <t>Miljobalken</t>
        </is>
      </c>
      <c r="O1394" t="inlineStr"/>
      <c r="P1394" t="inlineStr">
        <is>
          <t>Arlig</t>
        </is>
      </c>
      <c r="Q1394" t="inlineStr"/>
      <c r="R1394" t="inlineStr">
        <is>
          <t>Vid mellanlagring av avfall</t>
        </is>
      </c>
      <c r="S1394" t="inlineStr"/>
      <c r="T1394" t="inlineStr">
        <is>
          <t>52 0140</t>
        </is>
      </c>
      <c r="U1394" t="inlineStr"/>
      <c r="V1394" t="inlineStr"/>
      <c r="W1394" t="inlineStr">
        <is>
          <t>Ja</t>
        </is>
      </c>
      <c r="X1394" t="inlineStr">
        <is>
          <t>Nej</t>
        </is>
      </c>
      <c r="Y1394" t="inlineStr">
        <is>
          <t>Nej</t>
        </is>
      </c>
      <c r="Z1394" t="inlineStr">
        <is>
          <t>Nej</t>
        </is>
      </c>
      <c r="AA1394" t="n">
        <v>5</v>
      </c>
      <c r="AB1394" t="inlineStr">
        <is>
          <t>Teknisk beskrivning av platta</t>
        </is>
      </c>
      <c r="AC1394" t="inlineStr">
        <is>
          <t>Teknisk ritning platta</t>
        </is>
      </c>
      <c r="AD1394" t="inlineStr">
        <is>
          <t>Nej</t>
        </is>
      </c>
      <c r="AE1394" t="inlineStr">
        <is>
          <t>Nej</t>
        </is>
      </c>
      <c r="AF1394" t="inlineStr">
        <is>
          <t>Ej behandlad</t>
        </is>
      </c>
      <c r="AG1394" t="inlineStr">
        <is>
          <t>AUTO_GENERERAD. Verifiera citat mot kallfil.</t>
        </is>
      </c>
      <c r="AH1394" t="inlineStr">
        <is>
          <t>HIGH</t>
        </is>
      </c>
      <c r="AI1394" t="inlineStr">
        <is>
          <t>AUTO</t>
        </is>
      </c>
      <c r="AJ1394" t="inlineStr">
        <is>
          <t>Nej</t>
        </is>
      </c>
      <c r="AK1394" t="inlineStr"/>
      <c r="AL1394" t="inlineStr"/>
      <c r="AM1394" t="inlineStr"/>
      <c r="AN1394" t="inlineStr"/>
      <c r="AO1394" t="inlineStr">
        <is>
          <t>cmm4yuowx0212cuqwgyrim3ri</t>
        </is>
      </c>
      <c r="AP1394" t="inlineStr">
        <is>
          <t>http://localhost:8787/api/admin/requirements/documents/cmm4yuowx0212cuqwgyrim3ri/view</t>
        </is>
      </c>
      <c r="AQ1394">
        <f>HYPERLÄNK("http://localhost:8787/api/admin/requirements/documents/cmm4yuowx0212cuqwgyrim3ri/view";"Öppna PDF")</f>
        <v/>
      </c>
      <c r="AR1394">
        <f>HYPERLINK("http://localhost:8787/api/admin/requirements/documents/cmm4yuowx0212cuqwgyrim3ri/view","Open PDF")</f>
        <v/>
      </c>
      <c r="AS1394" t="inlineStr">
        <is>
          <t>cmm55w57p0004cuisfrtpqly8</t>
        </is>
      </c>
      <c r="AT1394" t="inlineStr">
        <is>
          <t>cmm4xvu980000cuh4vj0usz09</t>
        </is>
      </c>
      <c r="AU1394" t="inlineStr">
        <is>
          <t>Besöksadress Telefon E-post Webb Tranås</t>
        </is>
      </c>
      <c r="AV1394" t="inlineStr">
        <is>
          <t>Kommun</t>
        </is>
      </c>
      <c r="AW1394" t="inlineStr">
        <is>
          <t>Besöksadress Telefon E-post Webb Tranås kommun</t>
        </is>
      </c>
      <c r="AX1394" t="inlineStr">
        <is>
          <t>2025-02</t>
        </is>
      </c>
      <c r="AY1394" t="inlineStr">
        <is>
          <t>Forelaggande</t>
        </is>
      </c>
      <c r="AZ1394" t="inlineStr">
        <is>
          <t>2026-02-03</t>
        </is>
      </c>
      <c r="BA1394" t="inlineStr">
        <is>
          <t>M-2024-659-Föreläggande enligt miljöbalken(1).pdf</t>
        </is>
      </c>
      <c r="BB1394" t="inlineStr">
        <is>
          <t>handlingar</t>
        </is>
      </c>
      <c r="BC1394" t="inlineStr">
        <is>
          <t>AUTO</t>
        </is>
      </c>
      <c r="BD1394" t="inlineStr"/>
      <c r="BE1394" t="inlineStr"/>
      <c r="BF1394" t="inlineStr">
        <is>
          <t>AUTO_GENERERAD. Bekrafta metadata mot kallfil.</t>
        </is>
      </c>
      <c r="BG1394">
        <f>HYPERLINK("C:\Users\jimmy\Desktop\Examens arbete\Kod\Ny mapp\remix_-copy-of-miljöbeslut.se-portal\M-2024-659-Föreläggande enligt miljöbalken(1).pdf", "Öppna PDF")</f>
        <v/>
      </c>
    </row>
    <row r="1395">
      <c r="A1395" t="inlineStr">
        <is>
          <t>KRAV-AUTO-001394</t>
        </is>
      </c>
      <c r="B1395" t="inlineStr">
        <is>
          <t>ADMIN-INDEX-2026-02-27-00000000125C043F57453246863FE664CAFE6A3F0700950291EA24F0614FB6ACEDB12BF0E31D00000000010C0000950291EA24F0614FB6ACEDB12BF0E31D00002087AEB40000</t>
        </is>
      </c>
      <c r="C1395" t="inlineStr">
        <is>
          <t>cmm4yuowr020wcuqw31dwvy0f</t>
        </is>
      </c>
      <c r="D1395" t="inlineStr">
        <is>
          <t>http://localhost:8787/api/admin/requirements/documents/cmm4yuowr020wcuqw31dwvy0f/view</t>
        </is>
      </c>
      <c r="E1395">
        <f>HYPERLÄNK("http://localhost:8787/api/admin/requirements/documents/cmm4yuowr020wcuqw31dwvy0f/view";"Öppna PDF")</f>
        <v/>
      </c>
      <c r="F1395">
        <f>HYPERLINK("http://localhost:8787/api/admin/requirements/documents/cmm4yuowr020wcuqw31dwvy0f/view","Open PDF")</f>
        <v/>
      </c>
      <c r="G1395" t="inlineStr">
        <is>
          <t>cmm55w57p0004cuisfrtpqly8</t>
        </is>
      </c>
      <c r="H1395" t="inlineStr">
        <is>
          <t>Kompletteringskrav</t>
        </is>
      </c>
      <c r="I1395" t="inlineStr">
        <is>
          <t>Ytkonstruktion</t>
        </is>
      </c>
      <c r="J1395" t="inlineStr">
        <is>
          <t>Tat yta</t>
        </is>
      </c>
      <c r="K1395" t="inlineStr">
        <is>
          <t>Flytande kemiska produkter och farligt avfall ska förvaras på tät invallad yta.</t>
        </is>
      </c>
      <c r="L1395" t="inlineStr">
        <is>
          <t>Flytande kemiska produkter och farligt avfall ska förvaras på tät invallad yta.</t>
        </is>
      </c>
      <c r="M1395" t="inlineStr">
        <is>
          <t>SKA</t>
        </is>
      </c>
      <c r="N1395" t="inlineStr">
        <is>
          <t>Miljobalken</t>
        </is>
      </c>
      <c r="O1395" t="inlineStr"/>
      <c r="P1395" t="inlineStr">
        <is>
          <t>Arlig</t>
        </is>
      </c>
      <c r="Q1395" t="inlineStr"/>
      <c r="R1395" t="inlineStr">
        <is>
          <t>Vid mellanlagring av avfall</t>
        </is>
      </c>
      <c r="S1395" t="inlineStr"/>
      <c r="T1395" t="inlineStr">
        <is>
          <t>52 0140</t>
        </is>
      </c>
      <c r="U1395" t="inlineStr"/>
      <c r="V1395" t="inlineStr"/>
      <c r="W1395" t="inlineStr">
        <is>
          <t>Ja</t>
        </is>
      </c>
      <c r="X1395" t="inlineStr">
        <is>
          <t>Nej</t>
        </is>
      </c>
      <c r="Y1395" t="inlineStr">
        <is>
          <t>Nej</t>
        </is>
      </c>
      <c r="Z1395" t="inlineStr">
        <is>
          <t>Nej</t>
        </is>
      </c>
      <c r="AA1395" t="n">
        <v>5</v>
      </c>
      <c r="AB1395" t="inlineStr">
        <is>
          <t>Teknisk beskrivning av platta</t>
        </is>
      </c>
      <c r="AC1395" t="inlineStr">
        <is>
          <t>Teknisk ritning platta</t>
        </is>
      </c>
      <c r="AD1395" t="inlineStr">
        <is>
          <t>Nej</t>
        </is>
      </c>
      <c r="AE1395" t="inlineStr">
        <is>
          <t>Nej</t>
        </is>
      </c>
      <c r="AF1395" t="inlineStr">
        <is>
          <t>Ej behandlad</t>
        </is>
      </c>
      <c r="AG1395" t="inlineStr">
        <is>
          <t>AUTO_GENERERAD. Verifiera citat mot kallfil.</t>
        </is>
      </c>
      <c r="AH1395" t="inlineStr">
        <is>
          <t>HIGH</t>
        </is>
      </c>
      <c r="AI1395" t="inlineStr">
        <is>
          <t>AUTO</t>
        </is>
      </c>
      <c r="AJ1395" t="inlineStr">
        <is>
          <t>Nej</t>
        </is>
      </c>
      <c r="AK1395" t="inlineStr"/>
      <c r="AL1395" t="inlineStr"/>
      <c r="AM1395" t="inlineStr"/>
      <c r="AN1395" t="inlineStr"/>
      <c r="AO1395" t="inlineStr">
        <is>
          <t>cmm4yuowx0212cuqwgyrim3ri</t>
        </is>
      </c>
      <c r="AP1395" t="inlineStr">
        <is>
          <t>http://localhost:8787/api/admin/requirements/documents/cmm4yuowx0212cuqwgyrim3ri/view</t>
        </is>
      </c>
      <c r="AQ1395">
        <f>HYPERLÄNK("http://localhost:8787/api/admin/requirements/documents/cmm4yuowx0212cuqwgyrim3ri/view";"Öppna PDF")</f>
        <v/>
      </c>
      <c r="AR1395">
        <f>HYPERLINK("http://localhost:8787/api/admin/requirements/documents/cmm4yuowx0212cuqwgyrim3ri/view","Open PDF")</f>
        <v/>
      </c>
      <c r="AS1395" t="inlineStr">
        <is>
          <t>cmm55w57p0004cuisfrtpqly8</t>
        </is>
      </c>
      <c r="AT1395" t="inlineStr">
        <is>
          <t>cmm4xvu980000cuh4vj0usz09</t>
        </is>
      </c>
      <c r="AU1395" t="inlineStr">
        <is>
          <t>Besöksadress Telefon E-post Webb Tranås</t>
        </is>
      </c>
      <c r="AV1395" t="inlineStr">
        <is>
          <t>Kommun</t>
        </is>
      </c>
      <c r="AW1395" t="inlineStr">
        <is>
          <t>Besöksadress Telefon E-post Webb Tranås kommun</t>
        </is>
      </c>
      <c r="AX1395" t="inlineStr">
        <is>
          <t>2025-02</t>
        </is>
      </c>
      <c r="AY1395" t="inlineStr">
        <is>
          <t>Forelaggande</t>
        </is>
      </c>
      <c r="AZ1395" t="inlineStr">
        <is>
          <t>2026-02-03</t>
        </is>
      </c>
      <c r="BA1395" t="inlineStr">
        <is>
          <t>M-2024-659-Föreläggande enligt miljöbalken(1).pdf</t>
        </is>
      </c>
      <c r="BB1395" t="inlineStr">
        <is>
          <t>handlingar</t>
        </is>
      </c>
      <c r="BC1395" t="inlineStr">
        <is>
          <t>AUTO</t>
        </is>
      </c>
      <c r="BD1395" t="inlineStr"/>
      <c r="BE1395" t="inlineStr"/>
      <c r="BF1395" t="inlineStr">
        <is>
          <t>AUTO_GENERERAD. Bekrafta metadata mot kallfil.</t>
        </is>
      </c>
      <c r="BG1395">
        <f>HYPERLINK("C:\Users\jimmy\Desktop\Examens arbete\Kod\Ny mapp\remix_-copy-of-miljöbeslut.se-portal\M-2024-659-Föreläggande enligt miljöbalken(1).pdf", "Öppna PDF")</f>
        <v/>
      </c>
    </row>
    <row r="1396">
      <c r="A1396" t="inlineStr">
        <is>
          <t>KRAV-AUTO-001395</t>
        </is>
      </c>
      <c r="B1396" t="inlineStr">
        <is>
          <t>ADMIN-INDEX-2026-02-27-00000000125C043F57453246863FE664CAFE6A3F0700950291EA24F0614FB6ACEDB12BF0E31D00000000010C0000950291EA24F0614FB6ACEDB12BF0E31D00002087AEB40000</t>
        </is>
      </c>
      <c r="C1396" t="inlineStr">
        <is>
          <t>cmm4yuowr020wcuqw31dwvy0f</t>
        </is>
      </c>
      <c r="D1396" t="inlineStr">
        <is>
          <t>http://localhost:8787/api/admin/requirements/documents/cmm4yuowr020wcuqw31dwvy0f/view</t>
        </is>
      </c>
      <c r="E1396">
        <f>HYPERLÄNK("http://localhost:8787/api/admin/requirements/documents/cmm4yuowr020wcuqw31dwvy0f/view";"Öppna PDF")</f>
        <v/>
      </c>
      <c r="F1396">
        <f>HYPERLINK("http://localhost:8787/api/admin/requirements/documents/cmm4yuowr020wcuqw31dwvy0f/view","Open PDF")</f>
        <v/>
      </c>
      <c r="G1396" t="inlineStr">
        <is>
          <t>cmm55w57p0004cuisfrtpqly8</t>
        </is>
      </c>
      <c r="H1396" t="inlineStr">
        <is>
          <t>Kompletteringskrav</t>
        </is>
      </c>
      <c r="I1396" t="inlineStr">
        <is>
          <t>Riskhantering</t>
        </is>
      </c>
      <c r="J1396" t="inlineStr">
        <is>
          <t>Riskkontroll</t>
        </is>
      </c>
      <c r="K1396" t="inlineStr">
        <is>
          <t>Redan risken för olägenhet räcker för att åtgärder skall vidtas.</t>
        </is>
      </c>
      <c r="L1396" t="inlineStr">
        <is>
          <t>Redan risken för olägenhet räcker för att åtgärder skall vidtas.</t>
        </is>
      </c>
      <c r="M1396" t="inlineStr">
        <is>
          <t>SKA</t>
        </is>
      </c>
      <c r="N1396" t="inlineStr">
        <is>
          <t>Miljobalken</t>
        </is>
      </c>
      <c r="O1396" t="inlineStr"/>
      <c r="P1396" t="inlineStr"/>
      <c r="Q1396" t="inlineStr"/>
      <c r="R1396" t="inlineStr">
        <is>
          <t>Vid risk for incident</t>
        </is>
      </c>
      <c r="S1396" t="inlineStr"/>
      <c r="T1396" t="inlineStr">
        <is>
          <t>52 0140</t>
        </is>
      </c>
      <c r="U1396" t="inlineStr"/>
      <c r="V1396" t="inlineStr"/>
      <c r="W1396" t="inlineStr">
        <is>
          <t>Nej</t>
        </is>
      </c>
      <c r="X1396" t="inlineStr">
        <is>
          <t>Nej</t>
        </is>
      </c>
      <c r="Y1396" t="inlineStr">
        <is>
          <t>Ja</t>
        </is>
      </c>
      <c r="Z1396" t="inlineStr">
        <is>
          <t>Ja</t>
        </is>
      </c>
      <c r="AA1396" t="n">
        <v>8</v>
      </c>
      <c r="AB1396" t="inlineStr">
        <is>
          <t>Riskhantering</t>
        </is>
      </c>
      <c r="AC1396" t="inlineStr">
        <is>
          <t>Risk-PM</t>
        </is>
      </c>
      <c r="AD1396" t="inlineStr">
        <is>
          <t>Nej</t>
        </is>
      </c>
      <c r="AE1396" t="inlineStr">
        <is>
          <t>Nej</t>
        </is>
      </c>
      <c r="AF1396" t="inlineStr">
        <is>
          <t>Ej behandlad</t>
        </is>
      </c>
      <c r="AG1396" t="inlineStr">
        <is>
          <t>AUTO_GENERERAD. Verifiera citat mot kallfil.</t>
        </is>
      </c>
      <c r="AH1396" t="inlineStr">
        <is>
          <t>HIGH</t>
        </is>
      </c>
      <c r="AI1396" t="inlineStr">
        <is>
          <t>AUTO</t>
        </is>
      </c>
      <c r="AJ1396" t="inlineStr">
        <is>
          <t>Nej</t>
        </is>
      </c>
      <c r="AK1396" t="inlineStr"/>
      <c r="AL1396" t="inlineStr"/>
      <c r="AM1396" t="inlineStr"/>
      <c r="AN1396" t="inlineStr"/>
      <c r="AO1396" t="inlineStr">
        <is>
          <t>cmm4yuowx0212cuqwgyrim3ri</t>
        </is>
      </c>
      <c r="AP1396" t="inlineStr">
        <is>
          <t>http://localhost:8787/api/admin/requirements/documents/cmm4yuowx0212cuqwgyrim3ri/view</t>
        </is>
      </c>
      <c r="AQ1396">
        <f>HYPERLÄNK("http://localhost:8787/api/admin/requirements/documents/cmm4yuowx0212cuqwgyrim3ri/view";"Öppna PDF")</f>
        <v/>
      </c>
      <c r="AR1396">
        <f>HYPERLINK("http://localhost:8787/api/admin/requirements/documents/cmm4yuowx0212cuqwgyrim3ri/view","Open PDF")</f>
        <v/>
      </c>
      <c r="AS1396" t="inlineStr">
        <is>
          <t>cmm55w57p0004cuisfrtpqly8</t>
        </is>
      </c>
      <c r="AT1396" t="inlineStr">
        <is>
          <t>cmm4xvu980000cuh4vj0usz09</t>
        </is>
      </c>
      <c r="AU1396" t="inlineStr">
        <is>
          <t>Besöksadress Telefon E-post Webb Tranås</t>
        </is>
      </c>
      <c r="AV1396" t="inlineStr">
        <is>
          <t>Kommun</t>
        </is>
      </c>
      <c r="AW1396" t="inlineStr">
        <is>
          <t>Besöksadress Telefon E-post Webb Tranås kommun</t>
        </is>
      </c>
      <c r="AX1396" t="inlineStr">
        <is>
          <t>2025-02</t>
        </is>
      </c>
      <c r="AY1396" t="inlineStr">
        <is>
          <t>Forelaggande</t>
        </is>
      </c>
      <c r="AZ1396" t="inlineStr">
        <is>
          <t>2026-02-03</t>
        </is>
      </c>
      <c r="BA1396" t="inlineStr">
        <is>
          <t>M-2024-659-Föreläggande enligt miljöbalken(1).pdf</t>
        </is>
      </c>
      <c r="BB1396" t="inlineStr">
        <is>
          <t>handlingar</t>
        </is>
      </c>
      <c r="BC1396" t="inlineStr">
        <is>
          <t>AUTO</t>
        </is>
      </c>
      <c r="BD1396" t="inlineStr"/>
      <c r="BE1396" t="inlineStr"/>
      <c r="BF1396" t="inlineStr">
        <is>
          <t>AUTO_GENERERAD. Bekrafta metadata mot kallfil.</t>
        </is>
      </c>
      <c r="BG1396">
        <f>HYPERLINK("C:\Users\jimmy\Desktop\Examens arbete\Kod\Ny mapp\remix_-copy-of-miljöbeslut.se-portal\M-2024-659-Föreläggande enligt miljöbalken(1).pdf", "Öppna PDF")</f>
        <v/>
      </c>
    </row>
    <row r="1397">
      <c r="A1397" t="inlineStr">
        <is>
          <t>KRAV-AUTO-001396</t>
        </is>
      </c>
      <c r="B1397" t="inlineStr">
        <is>
          <t>ADMIN-INDEX-2026-02-27-00000000125C043F57453246863FE664CAFE6A3F0700950291EA24F0614FB6ACEDB12BF0E31D00000000010C0000950291EA24F0614FB6ACEDB12BF0E31D00002087AEB40000</t>
        </is>
      </c>
      <c r="C1397" t="inlineStr">
        <is>
          <t>cmm4yuowr020wcuqw31dwvy0f</t>
        </is>
      </c>
      <c r="D1397" t="inlineStr">
        <is>
          <t>http://localhost:8787/api/admin/requirements/documents/cmm4yuowr020wcuqw31dwvy0f/view</t>
        </is>
      </c>
      <c r="E1397">
        <f>HYPERLÄNK("http://localhost:8787/api/admin/requirements/documents/cmm4yuowr020wcuqw31dwvy0f/view";"Öppna PDF")</f>
        <v/>
      </c>
      <c r="F1397">
        <f>HYPERLINK("http://localhost:8787/api/admin/requirements/documents/cmm4yuowr020wcuqw31dwvy0f/view","Open PDF")</f>
        <v/>
      </c>
      <c r="G1397" t="inlineStr">
        <is>
          <t>cmm55w57p0004cuisfrtpqly8</t>
        </is>
      </c>
      <c r="H1397" t="inlineStr">
        <is>
          <t>Kompletteringskrav</t>
        </is>
      </c>
      <c r="I1397" t="inlineStr">
        <is>
          <t>Ytkonstruktion</t>
        </is>
      </c>
      <c r="J1397" t="inlineStr">
        <is>
          <t>Tat yta</t>
        </is>
      </c>
      <c r="K1397" t="inlineStr">
        <is>
          <t>Invallningen ska rymma en volym som motsvarar den största behållarens volym samt minst 10 % av summan av övriga behållares volym.</t>
        </is>
      </c>
      <c r="L1397" t="inlineStr">
        <is>
          <t>Invallningen ska rymma en volym som motsvarar den största behållarens volym samt minst 10 % av summan av övriga behållares volym.</t>
        </is>
      </c>
      <c r="M1397" t="inlineStr">
        <is>
          <t>SKA</t>
        </is>
      </c>
      <c r="N1397" t="inlineStr">
        <is>
          <t>Miljobalken</t>
        </is>
      </c>
      <c r="O1397" t="inlineStr"/>
      <c r="P1397" t="inlineStr"/>
      <c r="Q1397" t="inlineStr"/>
      <c r="R1397" t="inlineStr">
        <is>
          <t>Vid mellanlagring av avfall</t>
        </is>
      </c>
      <c r="S1397" t="inlineStr"/>
      <c r="T1397" t="inlineStr">
        <is>
          <t>52 0140</t>
        </is>
      </c>
      <c r="U1397" t="inlineStr"/>
      <c r="V1397" t="inlineStr"/>
      <c r="W1397" t="inlineStr">
        <is>
          <t>Ja</t>
        </is>
      </c>
      <c r="X1397" t="inlineStr">
        <is>
          <t>Nej</t>
        </is>
      </c>
      <c r="Y1397" t="inlineStr">
        <is>
          <t>Nej</t>
        </is>
      </c>
      <c r="Z1397" t="inlineStr">
        <is>
          <t>Nej</t>
        </is>
      </c>
      <c r="AA1397" t="n">
        <v>5</v>
      </c>
      <c r="AB1397" t="inlineStr">
        <is>
          <t>Teknisk beskrivning av platta</t>
        </is>
      </c>
      <c r="AC1397" t="inlineStr">
        <is>
          <t>Teknisk ritning platta</t>
        </is>
      </c>
      <c r="AD1397" t="inlineStr">
        <is>
          <t>Nej</t>
        </is>
      </c>
      <c r="AE1397" t="inlineStr">
        <is>
          <t>Nej</t>
        </is>
      </c>
      <c r="AF1397" t="inlineStr">
        <is>
          <t>Ej behandlad</t>
        </is>
      </c>
      <c r="AG1397" t="inlineStr">
        <is>
          <t>AUTO_GENERERAD. Verifiera citat mot kallfil.</t>
        </is>
      </c>
      <c r="AH1397" t="inlineStr">
        <is>
          <t>HIGH</t>
        </is>
      </c>
      <c r="AI1397" t="inlineStr">
        <is>
          <t>AUTO</t>
        </is>
      </c>
      <c r="AJ1397" t="inlineStr">
        <is>
          <t>Nej</t>
        </is>
      </c>
      <c r="AK1397" t="inlineStr"/>
      <c r="AL1397" t="inlineStr"/>
      <c r="AM1397" t="inlineStr"/>
      <c r="AN1397" t="inlineStr"/>
      <c r="AO1397" t="inlineStr">
        <is>
          <t>cmm4yuowx0212cuqwgyrim3ri</t>
        </is>
      </c>
      <c r="AP1397" t="inlineStr">
        <is>
          <t>http://localhost:8787/api/admin/requirements/documents/cmm4yuowx0212cuqwgyrim3ri/view</t>
        </is>
      </c>
      <c r="AQ1397">
        <f>HYPERLÄNK("http://localhost:8787/api/admin/requirements/documents/cmm4yuowx0212cuqwgyrim3ri/view";"Öppna PDF")</f>
        <v/>
      </c>
      <c r="AR1397">
        <f>HYPERLINK("http://localhost:8787/api/admin/requirements/documents/cmm4yuowx0212cuqwgyrim3ri/view","Open PDF")</f>
        <v/>
      </c>
      <c r="AS1397" t="inlineStr">
        <is>
          <t>cmm55w57p0004cuisfrtpqly8</t>
        </is>
      </c>
      <c r="AT1397" t="inlineStr">
        <is>
          <t>cmm4xvu980000cuh4vj0usz09</t>
        </is>
      </c>
      <c r="AU1397" t="inlineStr">
        <is>
          <t>Besöksadress Telefon E-post Webb Tranås</t>
        </is>
      </c>
      <c r="AV1397" t="inlineStr">
        <is>
          <t>Kommun</t>
        </is>
      </c>
      <c r="AW1397" t="inlineStr">
        <is>
          <t>Besöksadress Telefon E-post Webb Tranås kommun</t>
        </is>
      </c>
      <c r="AX1397" t="inlineStr">
        <is>
          <t>2025-02</t>
        </is>
      </c>
      <c r="AY1397" t="inlineStr">
        <is>
          <t>Forelaggande</t>
        </is>
      </c>
      <c r="AZ1397" t="inlineStr">
        <is>
          <t>2026-02-03</t>
        </is>
      </c>
      <c r="BA1397" t="inlineStr">
        <is>
          <t>M-2024-659-Föreläggande enligt miljöbalken(1).pdf</t>
        </is>
      </c>
      <c r="BB1397" t="inlineStr">
        <is>
          <t>handlingar</t>
        </is>
      </c>
      <c r="BC1397" t="inlineStr">
        <is>
          <t>AUTO</t>
        </is>
      </c>
      <c r="BD1397" t="inlineStr"/>
      <c r="BE1397" t="inlineStr"/>
      <c r="BF1397" t="inlineStr">
        <is>
          <t>AUTO_GENERERAD. Bekrafta metadata mot kallfil.</t>
        </is>
      </c>
      <c r="BG1397">
        <f>HYPERLINK("C:\Users\jimmy\Desktop\Examens arbete\Kod\Ny mapp\remix_-copy-of-miljöbeslut.se-portal\M-2024-659-Föreläggande enligt miljöbalken(1).pdf", "Öppna PDF")</f>
        <v/>
      </c>
    </row>
    <row r="1398">
      <c r="A1398" t="inlineStr">
        <is>
          <t>KRAV-AUTO-001397</t>
        </is>
      </c>
      <c r="B1398" t="inlineStr">
        <is>
          <t>ADMIN-INDEX-2026-02-27-00000000125C043F57453246863FE664CAFE6A3F0700950291EA24F0614FB6ACEDB12BF0E31D00000000010C0000950291EA24F0614FB6ACEDB12BF0E31D00002087AEB40000</t>
        </is>
      </c>
      <c r="C1398" t="inlineStr">
        <is>
          <t>cmm4yuowi020ncuqw6wxm7z4t</t>
        </is>
      </c>
      <c r="D1398" t="inlineStr">
        <is>
          <t>http://localhost:8787/api/admin/requirements/documents/cmm4yuowi020ncuqw6wxm7z4t/view</t>
        </is>
      </c>
      <c r="E1398">
        <f>HYPERLÄNK("http://localhost:8787/api/admin/requirements/documents/cmm4yuowi020ncuqw6wxm7z4t/view";"Öppna PDF")</f>
        <v/>
      </c>
      <c r="F1398">
        <f>HYPERLINK("http://localhost:8787/api/admin/requirements/documents/cmm4yuowi020ncuqw6wxm7z4t/view","Open PDF")</f>
        <v/>
      </c>
      <c r="G1398" t="inlineStr">
        <is>
          <t>cmm55w57p0004cuisfrtpqly8</t>
        </is>
      </c>
      <c r="H1398" t="inlineStr">
        <is>
          <t>Beslutsvillkor</t>
        </is>
      </c>
      <c r="I1398" t="inlineStr">
        <is>
          <t>LagringsvolymTid</t>
        </is>
      </c>
      <c r="J1398" t="inlineStr">
        <is>
          <t>Maxmangd</t>
        </is>
      </c>
      <c r="K1398" t="inlineStr">
        <is>
          <t>mer än 10 ton men högst 30 000 ton och avfallet ska användas för byggnads- eller anläggningsändamål, eller 2.</t>
        </is>
      </c>
      <c r="L1398" t="inlineStr">
        <is>
          <t>mer än 10 ton men högst 30 000 ton och avfallet ska användas för byggnads- eller anläggningsändamål, eller 2.</t>
        </is>
      </c>
      <c r="M1398" t="inlineStr">
        <is>
          <t>SKA</t>
        </is>
      </c>
      <c r="N1398" t="inlineStr"/>
      <c r="O1398" t="inlineStr"/>
      <c r="P1398" t="inlineStr"/>
      <c r="Q1398" t="inlineStr"/>
      <c r="R1398" t="inlineStr">
        <is>
          <t>Alltid</t>
        </is>
      </c>
      <c r="S1398" t="inlineStr"/>
      <c r="T1398" t="inlineStr">
        <is>
          <t>52 0140</t>
        </is>
      </c>
      <c r="U1398" t="n">
        <v>10</v>
      </c>
      <c r="V1398" t="inlineStr"/>
      <c r="W1398" t="inlineStr">
        <is>
          <t>Nej</t>
        </is>
      </c>
      <c r="X1398" t="inlineStr">
        <is>
          <t>Nej</t>
        </is>
      </c>
      <c r="Y1398" t="inlineStr">
        <is>
          <t>Nej</t>
        </is>
      </c>
      <c r="Z1398" t="inlineStr">
        <is>
          <t>Nej</t>
        </is>
      </c>
      <c r="AA1398" t="n">
        <v>4</v>
      </c>
      <c r="AB1398" t="inlineStr">
        <is>
          <t>Avfallsmangder och lagringstid</t>
        </is>
      </c>
      <c r="AC1398" t="inlineStr">
        <is>
          <t>Avfallsforteckning</t>
        </is>
      </c>
      <c r="AD1398" t="inlineStr">
        <is>
          <t>Nej</t>
        </is>
      </c>
      <c r="AE1398" t="inlineStr">
        <is>
          <t>Nej</t>
        </is>
      </c>
      <c r="AF1398" t="inlineStr">
        <is>
          <t>Ej behandlad</t>
        </is>
      </c>
      <c r="AG1398" t="inlineStr">
        <is>
          <t>AUTO_GENERERAD. Verifiera citat mot kallfil.</t>
        </is>
      </c>
      <c r="AH1398" t="inlineStr">
        <is>
          <t>MEDIUM</t>
        </is>
      </c>
      <c r="AI1398" t="inlineStr">
        <is>
          <t>AUTO</t>
        </is>
      </c>
      <c r="AJ1398" t="inlineStr">
        <is>
          <t>Nej</t>
        </is>
      </c>
      <c r="AK1398" t="inlineStr"/>
      <c r="AL1398" t="inlineStr"/>
      <c r="AM1398" t="inlineStr"/>
      <c r="AN1398" t="inlineStr"/>
      <c r="AO1398" t="inlineStr">
        <is>
          <t>cmm4yuowx0212cuqwgyrim3ri</t>
        </is>
      </c>
      <c r="AP1398" t="inlineStr">
        <is>
          <t>http://localhost:8787/api/admin/requirements/documents/cmm4yuowx0212cuqwgyrim3ri/view</t>
        </is>
      </c>
      <c r="AQ1398">
        <f>HYPERLÄNK("http://localhost:8787/api/admin/requirements/documents/cmm4yuowx0212cuqwgyrim3ri/view";"Öppna PDF")</f>
        <v/>
      </c>
      <c r="AR1398">
        <f>HYPERLINK("http://localhost:8787/api/admin/requirements/documents/cmm4yuowx0212cuqwgyrim3ri/view","Open PDF")</f>
        <v/>
      </c>
      <c r="AS1398" t="inlineStr">
        <is>
          <t>cmm55w57p0004cuisfrtpqly8</t>
        </is>
      </c>
      <c r="AT1398" t="inlineStr">
        <is>
          <t>cmm4xvu980000cuh4vj0usz09</t>
        </is>
      </c>
      <c r="AU1398" t="inlineStr">
        <is>
          <t>Besöksadress Telefon E-post Webb Tranås</t>
        </is>
      </c>
      <c r="AV1398" t="inlineStr">
        <is>
          <t>Kommun</t>
        </is>
      </c>
      <c r="AW1398" t="inlineStr">
        <is>
          <t>Besöksadress Telefon E-post Webb Tranås kommun</t>
        </is>
      </c>
      <c r="AX1398" t="inlineStr">
        <is>
          <t>2025-02</t>
        </is>
      </c>
      <c r="AY1398" t="inlineStr">
        <is>
          <t>Forelaggande</t>
        </is>
      </c>
      <c r="AZ1398" t="inlineStr">
        <is>
          <t>2026-02-03</t>
        </is>
      </c>
      <c r="BA1398" t="inlineStr">
        <is>
          <t>M-2024-659-Föreläggande enligt miljöbalken(1).pdf</t>
        </is>
      </c>
      <c r="BB1398" t="inlineStr">
        <is>
          <t>handlingar</t>
        </is>
      </c>
      <c r="BC1398" t="inlineStr">
        <is>
          <t>AUTO</t>
        </is>
      </c>
      <c r="BD1398" t="inlineStr"/>
      <c r="BE1398" t="inlineStr"/>
      <c r="BF1398" t="inlineStr">
        <is>
          <t>AUTO_GENERERAD. Bekrafta metadata mot kallfil.</t>
        </is>
      </c>
      <c r="BG1398">
        <f>HYPERLINK("C:\Users\jimmy\Desktop\Examens arbete\Kod\Ny mapp\remix_-copy-of-miljöbeslut.se-portal\M-2024-659-Föreläggande enligt miljöbalken(1).pdf", "Öppna PDF")</f>
        <v/>
      </c>
    </row>
    <row r="1399">
      <c r="A1399" t="inlineStr">
        <is>
          <t>KRAV-AUTO-001398</t>
        </is>
      </c>
      <c r="B1399" t="inlineStr">
        <is>
          <t>ADMIN-INDEX-2026-02-27-00000000125C043F57453246863FE664CAFE6A3F0700950291EA24F0614FB6ACEDB12BF0E31D00000000010C0000950291EA24F0614FB6ACEDB12BF0E31D00002087AEB40000</t>
        </is>
      </c>
      <c r="C1399" t="inlineStr">
        <is>
          <t>cmm4yuowi020ncuqw6wxm7z4t</t>
        </is>
      </c>
      <c r="D1399" t="inlineStr">
        <is>
          <t>http://localhost:8787/api/admin/requirements/documents/cmm4yuowi020ncuqw6wxm7z4t/view</t>
        </is>
      </c>
      <c r="E1399">
        <f>HYPERLÄNK("http://localhost:8787/api/admin/requirements/documents/cmm4yuowi020ncuqw6wxm7z4t/view";"Öppna PDF")</f>
        <v/>
      </c>
      <c r="F1399">
        <f>HYPERLINK("http://localhost:8787/api/admin/requirements/documents/cmm4yuowi020ncuqw6wxm7z4t/view","Open PDF")</f>
        <v/>
      </c>
      <c r="G1399" t="inlineStr">
        <is>
          <t>cmm55w57p0004cuisfrtpqly8</t>
        </is>
      </c>
      <c r="H1399" t="inlineStr">
        <is>
          <t>Beslutsvillkor</t>
        </is>
      </c>
      <c r="I1399" t="inlineStr">
        <is>
          <t>MiljopaverkanForsiktighet</t>
        </is>
      </c>
      <c r="J1399" t="inlineStr">
        <is>
          <t>Skyddsatgarder</t>
        </is>
      </c>
      <c r="K1399" t="inlineStr">
        <is>
          <t>Ni kommer att mellanlagra askan inför spridning på skogsmark.</t>
        </is>
      </c>
      <c r="L1399" t="inlineStr">
        <is>
          <t>Ni kommer att mellanlagra askan inför spridning på skogsmark.</t>
        </is>
      </c>
      <c r="M1399" t="inlineStr">
        <is>
          <t>SKA</t>
        </is>
      </c>
      <c r="N1399" t="inlineStr"/>
      <c r="O1399" t="inlineStr"/>
      <c r="P1399" t="inlineStr"/>
      <c r="Q1399" t="inlineStr"/>
      <c r="R1399" t="inlineStr">
        <is>
          <t>Alltid</t>
        </is>
      </c>
      <c r="S1399" t="inlineStr"/>
      <c r="T1399" t="inlineStr">
        <is>
          <t>52 0140</t>
        </is>
      </c>
      <c r="U1399" t="inlineStr"/>
      <c r="V1399" t="inlineStr"/>
      <c r="W1399" t="inlineStr">
        <is>
          <t>Nej</t>
        </is>
      </c>
      <c r="X1399" t="inlineStr">
        <is>
          <t>Nej</t>
        </is>
      </c>
      <c r="Y1399" t="inlineStr">
        <is>
          <t>Nej</t>
        </is>
      </c>
      <c r="Z1399" t="inlineStr">
        <is>
          <t>Nej</t>
        </is>
      </c>
      <c r="AA1399" t="n">
        <v>10</v>
      </c>
      <c r="AB1399" t="inlineStr">
        <is>
          <t>Miljopaverkan och forsiktighetsmatt</t>
        </is>
      </c>
      <c r="AC1399" t="inlineStr">
        <is>
          <t>Miljo-PM</t>
        </is>
      </c>
      <c r="AD1399" t="inlineStr">
        <is>
          <t>Nej</t>
        </is>
      </c>
      <c r="AE1399" t="inlineStr">
        <is>
          <t>Nej</t>
        </is>
      </c>
      <c r="AF1399" t="inlineStr">
        <is>
          <t>Ej behandlad</t>
        </is>
      </c>
      <c r="AG1399" t="inlineStr">
        <is>
          <t>AUTO_GENERERAD. Verifiera citat mot kallfil.</t>
        </is>
      </c>
      <c r="AH1399" t="inlineStr">
        <is>
          <t>MEDIUM</t>
        </is>
      </c>
      <c r="AI1399" t="inlineStr">
        <is>
          <t>AUTO</t>
        </is>
      </c>
      <c r="AJ1399" t="inlineStr">
        <is>
          <t>Nej</t>
        </is>
      </c>
      <c r="AK1399" t="inlineStr"/>
      <c r="AL1399" t="inlineStr"/>
      <c r="AM1399" t="inlineStr"/>
      <c r="AN1399" t="inlineStr"/>
      <c r="AO1399" t="inlineStr">
        <is>
          <t>cmm4yuowx0212cuqwgyrim3ri</t>
        </is>
      </c>
      <c r="AP1399" t="inlineStr">
        <is>
          <t>http://localhost:8787/api/admin/requirements/documents/cmm4yuowx0212cuqwgyrim3ri/view</t>
        </is>
      </c>
      <c r="AQ1399">
        <f>HYPERLÄNK("http://localhost:8787/api/admin/requirements/documents/cmm4yuowx0212cuqwgyrim3ri/view";"Öppna PDF")</f>
        <v/>
      </c>
      <c r="AR1399">
        <f>HYPERLINK("http://localhost:8787/api/admin/requirements/documents/cmm4yuowx0212cuqwgyrim3ri/view","Open PDF")</f>
        <v/>
      </c>
      <c r="AS1399" t="inlineStr">
        <is>
          <t>cmm55w57p0004cuisfrtpqly8</t>
        </is>
      </c>
      <c r="AT1399" t="inlineStr">
        <is>
          <t>cmm4xvu980000cuh4vj0usz09</t>
        </is>
      </c>
      <c r="AU1399" t="inlineStr">
        <is>
          <t>Besöksadress Telefon E-post Webb Tranås</t>
        </is>
      </c>
      <c r="AV1399" t="inlineStr">
        <is>
          <t>Kommun</t>
        </is>
      </c>
      <c r="AW1399" t="inlineStr">
        <is>
          <t>Besöksadress Telefon E-post Webb Tranås kommun</t>
        </is>
      </c>
      <c r="AX1399" t="inlineStr">
        <is>
          <t>2025-02</t>
        </is>
      </c>
      <c r="AY1399" t="inlineStr">
        <is>
          <t>Forelaggande</t>
        </is>
      </c>
      <c r="AZ1399" t="inlineStr">
        <is>
          <t>2026-02-03</t>
        </is>
      </c>
      <c r="BA1399" t="inlineStr">
        <is>
          <t>M-2024-659-Föreläggande enligt miljöbalken(1).pdf</t>
        </is>
      </c>
      <c r="BB1399" t="inlineStr">
        <is>
          <t>handlingar</t>
        </is>
      </c>
      <c r="BC1399" t="inlineStr">
        <is>
          <t>AUTO</t>
        </is>
      </c>
      <c r="BD1399" t="inlineStr"/>
      <c r="BE1399" t="inlineStr"/>
      <c r="BF1399" t="inlineStr">
        <is>
          <t>AUTO_GENERERAD. Bekrafta metadata mot kallfil.</t>
        </is>
      </c>
      <c r="BG1399">
        <f>HYPERLINK("C:\Users\jimmy\Desktop\Examens arbete\Kod\Ny mapp\remix_-copy-of-miljöbeslut.se-portal\M-2024-659-Föreläggande enligt miljöbalken(1).pdf", "Öppna PDF")</f>
        <v/>
      </c>
    </row>
    <row r="1400">
      <c r="A1400" t="inlineStr">
        <is>
          <t>KRAV-AUTO-001399</t>
        </is>
      </c>
      <c r="B1400" t="inlineStr">
        <is>
          <t>ADMIN-INDEX-2026-02-27-00000000125C043F57453246863FE664CAFE6A3F0700950291EA24F0614FB6ACEDB12BF0E31D00000000010C0000950291EA24F0614FB6ACEDB12BF0E31D00002087AEB40000</t>
        </is>
      </c>
      <c r="C1400" t="inlineStr">
        <is>
          <t>cmm4yuowi020ncuqw6wxm7z4t</t>
        </is>
      </c>
      <c r="D1400" t="inlineStr">
        <is>
          <t>http://localhost:8787/api/admin/requirements/documents/cmm4yuowi020ncuqw6wxm7z4t/view</t>
        </is>
      </c>
      <c r="E1400">
        <f>HYPERLÄNK("http://localhost:8787/api/admin/requirements/documents/cmm4yuowi020ncuqw6wxm7z4t/view";"Öppna PDF")</f>
        <v/>
      </c>
      <c r="F1400">
        <f>HYPERLINK("http://localhost:8787/api/admin/requirements/documents/cmm4yuowi020ncuqw6wxm7z4t/view","Open PDF")</f>
        <v/>
      </c>
      <c r="G1400" t="inlineStr">
        <is>
          <t>cmm55w57p0004cuisfrtpqly8</t>
        </is>
      </c>
      <c r="H1400" t="inlineStr">
        <is>
          <t>Beslutsvillkor</t>
        </is>
      </c>
      <c r="I1400" t="inlineStr">
        <is>
          <t>LagringsvolymTid</t>
        </is>
      </c>
      <c r="J1400" t="inlineStr">
        <is>
          <t>Maxmangd</t>
        </is>
      </c>
      <c r="K1400" t="inlineStr">
        <is>
          <t>Anmälan gäller lagring av aska, maximalt 6 000 ton per år och maximalt 4 000 ton vid något enskilt tillfälle.</t>
        </is>
      </c>
      <c r="L1400" t="inlineStr">
        <is>
          <t>Anmälan gäller lagring av aska, maximalt 6 000 ton per år och maximalt 4 000 ton vid något enskilt tillfälle.</t>
        </is>
      </c>
      <c r="M1400" t="inlineStr">
        <is>
          <t>SKA</t>
        </is>
      </c>
      <c r="N1400" t="inlineStr"/>
      <c r="O1400" t="inlineStr"/>
      <c r="P1400" t="inlineStr"/>
      <c r="Q1400" t="inlineStr"/>
      <c r="R1400" t="inlineStr">
        <is>
          <t>Alltid</t>
        </is>
      </c>
      <c r="S1400" t="inlineStr"/>
      <c r="T1400" t="inlineStr">
        <is>
          <t>52 0140</t>
        </is>
      </c>
      <c r="U1400" t="n">
        <v>0</v>
      </c>
      <c r="V1400" t="inlineStr"/>
      <c r="W1400" t="inlineStr">
        <is>
          <t>Nej</t>
        </is>
      </c>
      <c r="X1400" t="inlineStr">
        <is>
          <t>Nej</t>
        </is>
      </c>
      <c r="Y1400" t="inlineStr">
        <is>
          <t>Nej</t>
        </is>
      </c>
      <c r="Z1400" t="inlineStr">
        <is>
          <t>Nej</t>
        </is>
      </c>
      <c r="AA1400" t="n">
        <v>4</v>
      </c>
      <c r="AB1400" t="inlineStr">
        <is>
          <t>Avfallsmangder och lagringstid</t>
        </is>
      </c>
      <c r="AC1400" t="inlineStr">
        <is>
          <t>Avfallsforteckning</t>
        </is>
      </c>
      <c r="AD1400" t="inlineStr">
        <is>
          <t>Nej</t>
        </is>
      </c>
      <c r="AE1400" t="inlineStr">
        <is>
          <t>Nej</t>
        </is>
      </c>
      <c r="AF1400" t="inlineStr">
        <is>
          <t>Ej behandlad</t>
        </is>
      </c>
      <c r="AG1400" t="inlineStr">
        <is>
          <t>AUTO_GENERERAD. Verifiera citat mot kallfil.</t>
        </is>
      </c>
      <c r="AH1400" t="inlineStr">
        <is>
          <t>MEDIUM</t>
        </is>
      </c>
      <c r="AI1400" t="inlineStr">
        <is>
          <t>AUTO</t>
        </is>
      </c>
      <c r="AJ1400" t="inlineStr">
        <is>
          <t>Nej</t>
        </is>
      </c>
      <c r="AK1400" t="inlineStr"/>
      <c r="AL1400" t="inlineStr"/>
      <c r="AM1400" t="inlineStr"/>
      <c r="AN1400" t="inlineStr"/>
      <c r="AO1400" t="inlineStr">
        <is>
          <t>cmm4yuowx0212cuqwgyrim3ri</t>
        </is>
      </c>
      <c r="AP1400" t="inlineStr">
        <is>
          <t>http://localhost:8787/api/admin/requirements/documents/cmm4yuowx0212cuqwgyrim3ri/view</t>
        </is>
      </c>
      <c r="AQ1400">
        <f>HYPERLÄNK("http://localhost:8787/api/admin/requirements/documents/cmm4yuowx0212cuqwgyrim3ri/view";"Öppna PDF")</f>
        <v/>
      </c>
      <c r="AR1400">
        <f>HYPERLINK("http://localhost:8787/api/admin/requirements/documents/cmm4yuowx0212cuqwgyrim3ri/view","Open PDF")</f>
        <v/>
      </c>
      <c r="AS1400" t="inlineStr">
        <is>
          <t>cmm55w57p0004cuisfrtpqly8</t>
        </is>
      </c>
      <c r="AT1400" t="inlineStr">
        <is>
          <t>cmm4xvu980000cuh4vj0usz09</t>
        </is>
      </c>
      <c r="AU1400" t="inlineStr">
        <is>
          <t>Besöksadress Telefon E-post Webb Tranås</t>
        </is>
      </c>
      <c r="AV1400" t="inlineStr">
        <is>
          <t>Kommun</t>
        </is>
      </c>
      <c r="AW1400" t="inlineStr">
        <is>
          <t>Besöksadress Telefon E-post Webb Tranås kommun</t>
        </is>
      </c>
      <c r="AX1400" t="inlineStr">
        <is>
          <t>2025-02</t>
        </is>
      </c>
      <c r="AY1400" t="inlineStr">
        <is>
          <t>Forelaggande</t>
        </is>
      </c>
      <c r="AZ1400" t="inlineStr">
        <is>
          <t>2026-02-03</t>
        </is>
      </c>
      <c r="BA1400" t="inlineStr">
        <is>
          <t>M-2024-659-Föreläggande enligt miljöbalken(1).pdf</t>
        </is>
      </c>
      <c r="BB1400" t="inlineStr">
        <is>
          <t>handlingar</t>
        </is>
      </c>
      <c r="BC1400" t="inlineStr">
        <is>
          <t>AUTO</t>
        </is>
      </c>
      <c r="BD1400" t="inlineStr"/>
      <c r="BE1400" t="inlineStr"/>
      <c r="BF1400" t="inlineStr">
        <is>
          <t>AUTO_GENERERAD. Bekrafta metadata mot kallfil.</t>
        </is>
      </c>
      <c r="BG1400">
        <f>HYPERLINK("C:\Users\jimmy\Desktop\Examens arbete\Kod\Ny mapp\remix_-copy-of-miljöbeslut.se-portal\M-2024-659-Föreläggande enligt miljöbalken(1).pdf", "Öppna PDF")</f>
        <v/>
      </c>
    </row>
    <row r="1401">
      <c r="A1401" t="inlineStr">
        <is>
          <t>KRAV-AUTO-001400</t>
        </is>
      </c>
      <c r="B1401" t="inlineStr">
        <is>
          <t>ADMIN-INDEX-2026-02-27-00000000125C043F57453246863FE664CAFE6A3F0700950291EA24F0614FB6ACEDB12BF0E31D00000000010C0000950291EA24F0614FB6ACEDB12BF0E31D00002087AEB40000</t>
        </is>
      </c>
      <c r="C1401" t="inlineStr">
        <is>
          <t>cmm4yuow4020bcuqwnl9l1taq</t>
        </is>
      </c>
      <c r="D1401" t="inlineStr">
        <is>
          <t>http://localhost:8787/api/admin/requirements/documents/cmm4yuow4020bcuqwnl9l1taq/view</t>
        </is>
      </c>
      <c r="E1401">
        <f>HYPERLÄNK("http://localhost:8787/api/admin/requirements/documents/cmm4yuow4020bcuqwnl9l1taq/view";"Öppna PDF")</f>
        <v/>
      </c>
      <c r="F1401">
        <f>HYPERLINK("http://localhost:8787/api/admin/requirements/documents/cmm4yuow4020bcuqwnl9l1taq/view","Open PDF")</f>
        <v/>
      </c>
      <c r="G1401" t="inlineStr">
        <is>
          <t>cmm55w57p0004cuisfrtpqly8</t>
        </is>
      </c>
      <c r="H1401" t="inlineStr">
        <is>
          <t>Beslutsvillkor</t>
        </is>
      </c>
      <c r="I1401" t="inlineStr">
        <is>
          <t>MiljopaverkanForsiktighet</t>
        </is>
      </c>
      <c r="J1401" t="inlineStr">
        <is>
          <t>Skyddsatgarder</t>
        </is>
      </c>
      <c r="K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401" t="inlineStr">
        <is>
          <t>SKA</t>
        </is>
      </c>
      <c r="N1401" t="inlineStr"/>
      <c r="O1401" t="inlineStr"/>
      <c r="P1401" t="inlineStr"/>
      <c r="Q1401" t="inlineStr"/>
      <c r="R1401" t="inlineStr">
        <is>
          <t>Alltid</t>
        </is>
      </c>
      <c r="S1401" t="inlineStr"/>
      <c r="T1401" t="inlineStr"/>
      <c r="U1401" t="inlineStr"/>
      <c r="V1401" t="inlineStr"/>
      <c r="W1401" t="inlineStr">
        <is>
          <t>Nej</t>
        </is>
      </c>
      <c r="X1401" t="inlineStr">
        <is>
          <t>Nej</t>
        </is>
      </c>
      <c r="Y1401" t="inlineStr">
        <is>
          <t>Nej</t>
        </is>
      </c>
      <c r="Z1401" t="inlineStr">
        <is>
          <t>Nej</t>
        </is>
      </c>
      <c r="AA1401" t="n">
        <v>10</v>
      </c>
      <c r="AB1401" t="inlineStr">
        <is>
          <t>Miljopaverkan och forsiktighetsmatt</t>
        </is>
      </c>
      <c r="AC1401" t="inlineStr">
        <is>
          <t>Miljo-PM</t>
        </is>
      </c>
      <c r="AD1401" t="inlineStr">
        <is>
          <t>Nej</t>
        </is>
      </c>
      <c r="AE1401" t="inlineStr">
        <is>
          <t>Nej</t>
        </is>
      </c>
      <c r="AF1401" t="inlineStr">
        <is>
          <t>Ej behandlad</t>
        </is>
      </c>
      <c r="AG1401" t="inlineStr">
        <is>
          <t>AUTO_GENERERAD. Verifiera citat mot kallfil.</t>
        </is>
      </c>
      <c r="AH1401" t="inlineStr">
        <is>
          <t>MEDIUM</t>
        </is>
      </c>
      <c r="AI1401" t="inlineStr">
        <is>
          <t>AUTO</t>
        </is>
      </c>
      <c r="AJ1401" t="inlineStr">
        <is>
          <t>Nej</t>
        </is>
      </c>
      <c r="AK1401" t="inlineStr"/>
      <c r="AL1401" t="inlineStr"/>
      <c r="AM1401" t="inlineStr"/>
      <c r="AN1401" t="inlineStr"/>
      <c r="AO1401" t="inlineStr">
        <is>
          <t>cmm4yuowx0212cuqwgyrim3ri</t>
        </is>
      </c>
      <c r="AP1401" t="inlineStr">
        <is>
          <t>http://localhost:8787/api/admin/requirements/documents/cmm4yuowx0212cuqwgyrim3ri/view</t>
        </is>
      </c>
      <c r="AQ1401">
        <f>HYPERLÄNK("http://localhost:8787/api/admin/requirements/documents/cmm4yuowx0212cuqwgyrim3ri/view";"Öppna PDF")</f>
        <v/>
      </c>
      <c r="AR1401">
        <f>HYPERLINK("http://localhost:8787/api/admin/requirements/documents/cmm4yuowx0212cuqwgyrim3ri/view","Open PDF")</f>
        <v/>
      </c>
      <c r="AS1401" t="inlineStr">
        <is>
          <t>cmm55w57p0004cuisfrtpqly8</t>
        </is>
      </c>
      <c r="AT1401" t="inlineStr">
        <is>
          <t>cmm4xvu980000cuh4vj0usz09</t>
        </is>
      </c>
      <c r="AU1401" t="inlineStr">
        <is>
          <t>Besöksadress Telefon E-post Webb Tranås</t>
        </is>
      </c>
      <c r="AV1401" t="inlineStr">
        <is>
          <t>Kommun</t>
        </is>
      </c>
      <c r="AW1401" t="inlineStr">
        <is>
          <t>Besöksadress Telefon E-post Webb Tranås kommun</t>
        </is>
      </c>
      <c r="AX1401" t="inlineStr">
        <is>
          <t>2025-02</t>
        </is>
      </c>
      <c r="AY1401" t="inlineStr">
        <is>
          <t>Forelaggande</t>
        </is>
      </c>
      <c r="AZ1401" t="inlineStr">
        <is>
          <t>2026-02-03</t>
        </is>
      </c>
      <c r="BA1401" t="inlineStr">
        <is>
          <t>M-2024-659-Föreläggande enligt miljöbalken(1).pdf</t>
        </is>
      </c>
      <c r="BB1401" t="inlineStr">
        <is>
          <t>handlingar</t>
        </is>
      </c>
      <c r="BC1401" t="inlineStr">
        <is>
          <t>AUTO</t>
        </is>
      </c>
      <c r="BD1401" t="inlineStr"/>
      <c r="BE1401" t="inlineStr"/>
      <c r="BF1401" t="inlineStr">
        <is>
          <t>AUTO_GENERERAD. Bekrafta metadata mot kallfil.</t>
        </is>
      </c>
      <c r="BG1401">
        <f>HYPERLINK("C:\Users\jimmy\Desktop\Examens arbete\Kod\Ny mapp\remix_-copy-of-miljöbeslut.se-portal\M-2024-659-Föreläggande enligt miljöbalken(1).pdf", "Öppna PDF")</f>
        <v/>
      </c>
    </row>
    <row r="1402">
      <c r="A1402" t="inlineStr">
        <is>
          <t>KRAV-AUTO-001401</t>
        </is>
      </c>
      <c r="B1402" t="inlineStr">
        <is>
          <t>ADMIN-INDEX-2026-02-27-00000000125C043F57453246863FE664CAFE6A3F0700950291EA24F0614FB6ACEDB12BF0E31D00000000010C0000950291EA24F0614FB6ACEDB12BF0E31D00002087AEB40000</t>
        </is>
      </c>
      <c r="C1402" t="inlineStr">
        <is>
          <t>cmm4yuow4020bcuqwnl9l1taq</t>
        </is>
      </c>
      <c r="D1402" t="inlineStr">
        <is>
          <t>http://localhost:8787/api/admin/requirements/documents/cmm4yuow4020bcuqwnl9l1taq/view</t>
        </is>
      </c>
      <c r="E1402">
        <f>HYPERLÄNK("http://localhost:8787/api/admin/requirements/documents/cmm4yuow4020bcuqwnl9l1taq/view";"Öppna PDF")</f>
        <v/>
      </c>
      <c r="F1402">
        <f>HYPERLINK("http://localhost:8787/api/admin/requirements/documents/cmm4yuow4020bcuqwnl9l1taq/view","Open PDF")</f>
        <v/>
      </c>
      <c r="G1402" t="inlineStr">
        <is>
          <t>cmm55w57p0004cuisfrtpqly8</t>
        </is>
      </c>
      <c r="H1402" t="inlineStr">
        <is>
          <t>Beslutsvillkor</t>
        </is>
      </c>
      <c r="I1402" t="inlineStr">
        <is>
          <t>LagringsvolymTid</t>
        </is>
      </c>
      <c r="J1402" t="inlineStr">
        <is>
          <t>Maxmangd</t>
        </is>
      </c>
      <c r="K1402" t="inlineStr">
        <is>
          <t>Hushållnings- och kretsloppsprincipen 5 § Minska mängden avfall, det är hela poängen med företaget, att återvinna fungerande material, biprodukter för att det inte är avfall.</t>
        </is>
      </c>
      <c r="L1402" t="inlineStr">
        <is>
          <t>Hushållnings- och kretsloppsprincipen 5 § Minska mängden avfall, det är hela poängen med företaget, att återvinna fungerande material, biprodukter för att det inte är avfall.</t>
        </is>
      </c>
      <c r="M1402" t="inlineStr">
        <is>
          <t>SKA</t>
        </is>
      </c>
      <c r="N1402" t="inlineStr"/>
      <c r="O1402" t="inlineStr"/>
      <c r="P1402" t="inlineStr"/>
      <c r="Q1402" t="inlineStr"/>
      <c r="R1402" t="inlineStr">
        <is>
          <t>Alltid</t>
        </is>
      </c>
      <c r="S1402" t="inlineStr"/>
      <c r="T1402" t="inlineStr"/>
      <c r="U1402" t="inlineStr"/>
      <c r="V1402" t="inlineStr"/>
      <c r="W1402" t="inlineStr">
        <is>
          <t>Nej</t>
        </is>
      </c>
      <c r="X1402" t="inlineStr">
        <is>
          <t>Nej</t>
        </is>
      </c>
      <c r="Y1402" t="inlineStr">
        <is>
          <t>Nej</t>
        </is>
      </c>
      <c r="Z1402" t="inlineStr">
        <is>
          <t>Nej</t>
        </is>
      </c>
      <c r="AA1402" t="n">
        <v>4</v>
      </c>
      <c r="AB1402" t="inlineStr">
        <is>
          <t>Avfallsmangder och lagringstid</t>
        </is>
      </c>
      <c r="AC1402" t="inlineStr">
        <is>
          <t>Avfallsforteckning</t>
        </is>
      </c>
      <c r="AD1402" t="inlineStr">
        <is>
          <t>Nej</t>
        </is>
      </c>
      <c r="AE1402" t="inlineStr">
        <is>
          <t>Nej</t>
        </is>
      </c>
      <c r="AF1402" t="inlineStr">
        <is>
          <t>Ej behandlad</t>
        </is>
      </c>
      <c r="AG1402" t="inlineStr">
        <is>
          <t>AUTO_GENERERAD. Verifiera citat mot kallfil.</t>
        </is>
      </c>
      <c r="AH1402" t="inlineStr">
        <is>
          <t>MEDIUM</t>
        </is>
      </c>
      <c r="AI1402" t="inlineStr">
        <is>
          <t>AUTO</t>
        </is>
      </c>
      <c r="AJ1402" t="inlineStr">
        <is>
          <t>Nej</t>
        </is>
      </c>
      <c r="AK1402" t="inlineStr"/>
      <c r="AL1402" t="inlineStr"/>
      <c r="AM1402" t="inlineStr"/>
      <c r="AN1402" t="inlineStr"/>
      <c r="AO1402" t="inlineStr">
        <is>
          <t>cmm4yuowx0212cuqwgyrim3ri</t>
        </is>
      </c>
      <c r="AP1402" t="inlineStr">
        <is>
          <t>http://localhost:8787/api/admin/requirements/documents/cmm4yuowx0212cuqwgyrim3ri/view</t>
        </is>
      </c>
      <c r="AQ1402">
        <f>HYPERLÄNK("http://localhost:8787/api/admin/requirements/documents/cmm4yuowx0212cuqwgyrim3ri/view";"Öppna PDF")</f>
        <v/>
      </c>
      <c r="AR1402">
        <f>HYPERLINK("http://localhost:8787/api/admin/requirements/documents/cmm4yuowx0212cuqwgyrim3ri/view","Open PDF")</f>
        <v/>
      </c>
      <c r="AS1402" t="inlineStr">
        <is>
          <t>cmm55w57p0004cuisfrtpqly8</t>
        </is>
      </c>
      <c r="AT1402" t="inlineStr">
        <is>
          <t>cmm4xvu980000cuh4vj0usz09</t>
        </is>
      </c>
      <c r="AU1402" t="inlineStr">
        <is>
          <t>Besöksadress Telefon E-post Webb Tranås</t>
        </is>
      </c>
      <c r="AV1402" t="inlineStr">
        <is>
          <t>Kommun</t>
        </is>
      </c>
      <c r="AW1402" t="inlineStr">
        <is>
          <t>Besöksadress Telefon E-post Webb Tranås kommun</t>
        </is>
      </c>
      <c r="AX1402" t="inlineStr">
        <is>
          <t>2025-02</t>
        </is>
      </c>
      <c r="AY1402" t="inlineStr">
        <is>
          <t>Forelaggande</t>
        </is>
      </c>
      <c r="AZ1402" t="inlineStr">
        <is>
          <t>2026-02-03</t>
        </is>
      </c>
      <c r="BA1402" t="inlineStr">
        <is>
          <t>M-2024-659-Föreläggande enligt miljöbalken(1).pdf</t>
        </is>
      </c>
      <c r="BB1402" t="inlineStr">
        <is>
          <t>handlingar</t>
        </is>
      </c>
      <c r="BC1402" t="inlineStr">
        <is>
          <t>AUTO</t>
        </is>
      </c>
      <c r="BD1402" t="inlineStr"/>
      <c r="BE1402" t="inlineStr"/>
      <c r="BF1402" t="inlineStr">
        <is>
          <t>AUTO_GENERERAD. Bekrafta metadata mot kallfil.</t>
        </is>
      </c>
      <c r="BG1402">
        <f>HYPERLINK("C:\Users\jimmy\Desktop\Examens arbete\Kod\Ny mapp\remix_-copy-of-miljöbeslut.se-portal\M-2024-659-Föreläggande enligt miljöbalken(1).pdf", "Öppna PDF")</f>
        <v/>
      </c>
    </row>
    <row r="1403">
      <c r="A1403" t="inlineStr">
        <is>
          <t>KRAV-AUTO-001402</t>
        </is>
      </c>
      <c r="B1403" t="inlineStr">
        <is>
          <t>ADMIN-INDEX-2026-02-27-00000000125C043F57453246863FE664CAFE6A3F0700950291EA24F0614FB6ACEDB12BF0E31D00000000010C0000950291EA24F0614FB6ACEDB12BF0E31D00002087AEB40000</t>
        </is>
      </c>
      <c r="C1403" t="inlineStr">
        <is>
          <t>cmm4yuow4020bcuqwnl9l1taq</t>
        </is>
      </c>
      <c r="D1403" t="inlineStr">
        <is>
          <t>http://localhost:8787/api/admin/requirements/documents/cmm4yuow4020bcuqwnl9l1taq/view</t>
        </is>
      </c>
      <c r="E1403">
        <f>HYPERLÄNK("http://localhost:8787/api/admin/requirements/documents/cmm4yuow4020bcuqwnl9l1taq/view";"Öppna PDF")</f>
        <v/>
      </c>
      <c r="F1403">
        <f>HYPERLINK("http://localhost:8787/api/admin/requirements/documents/cmm4yuow4020bcuqwnl9l1taq/view","Open PDF")</f>
        <v/>
      </c>
      <c r="G1403" t="inlineStr">
        <is>
          <t>cmm55w57p0004cuisfrtpqly8</t>
        </is>
      </c>
      <c r="H1403" t="inlineStr">
        <is>
          <t>Beslutsvillkor</t>
        </is>
      </c>
      <c r="I1403" t="inlineStr">
        <is>
          <t>Riskhantering</t>
        </is>
      </c>
      <c r="J1403" t="inlineStr">
        <is>
          <t>Riskkontroll</t>
        </is>
      </c>
      <c r="K1403" t="inlineStr">
        <is>
          <t>Verktyg vid minsta eventuella risk för skada på människor finns inlåst på området.</t>
        </is>
      </c>
      <c r="L1403" t="inlineStr">
        <is>
          <t>Verktyg vid minsta eventuella risk för skada på människor finns inlåst på området.</t>
        </is>
      </c>
      <c r="M1403" t="inlineStr">
        <is>
          <t>SKA</t>
        </is>
      </c>
      <c r="N1403" t="inlineStr"/>
      <c r="O1403" t="inlineStr"/>
      <c r="P1403" t="inlineStr"/>
      <c r="Q1403" t="inlineStr"/>
      <c r="R1403" t="inlineStr">
        <is>
          <t>Vid risk for incident</t>
        </is>
      </c>
      <c r="S1403" t="inlineStr"/>
      <c r="T1403" t="inlineStr"/>
      <c r="U1403" t="inlineStr"/>
      <c r="V1403" t="inlineStr"/>
      <c r="W1403" t="inlineStr">
        <is>
          <t>Nej</t>
        </is>
      </c>
      <c r="X1403" t="inlineStr">
        <is>
          <t>Nej</t>
        </is>
      </c>
      <c r="Y1403" t="inlineStr">
        <is>
          <t>Ja</t>
        </is>
      </c>
      <c r="Z1403" t="inlineStr">
        <is>
          <t>Ja</t>
        </is>
      </c>
      <c r="AA1403" t="n">
        <v>8</v>
      </c>
      <c r="AB1403" t="inlineStr">
        <is>
          <t>Riskhantering</t>
        </is>
      </c>
      <c r="AC1403" t="inlineStr">
        <is>
          <t>Risk-PM</t>
        </is>
      </c>
      <c r="AD1403" t="inlineStr">
        <is>
          <t>Nej</t>
        </is>
      </c>
      <c r="AE1403" t="inlineStr">
        <is>
          <t>Nej</t>
        </is>
      </c>
      <c r="AF1403" t="inlineStr">
        <is>
          <t>Ej behandlad</t>
        </is>
      </c>
      <c r="AG1403" t="inlineStr">
        <is>
          <t>AUTO_GENERERAD. Verifiera citat mot kallfil.</t>
        </is>
      </c>
      <c r="AH1403" t="inlineStr">
        <is>
          <t>MEDIUM</t>
        </is>
      </c>
      <c r="AI1403" t="inlineStr">
        <is>
          <t>AUTO</t>
        </is>
      </c>
      <c r="AJ1403" t="inlineStr">
        <is>
          <t>Nej</t>
        </is>
      </c>
      <c r="AK1403" t="inlineStr"/>
      <c r="AL1403" t="inlineStr"/>
      <c r="AM1403" t="inlineStr"/>
      <c r="AN1403" t="inlineStr"/>
      <c r="AO1403" t="inlineStr">
        <is>
          <t>cmm4yuowx0212cuqwgyrim3ri</t>
        </is>
      </c>
      <c r="AP1403" t="inlineStr">
        <is>
          <t>http://localhost:8787/api/admin/requirements/documents/cmm4yuowx0212cuqwgyrim3ri/view</t>
        </is>
      </c>
      <c r="AQ1403">
        <f>HYPERLÄNK("http://localhost:8787/api/admin/requirements/documents/cmm4yuowx0212cuqwgyrim3ri/view";"Öppna PDF")</f>
        <v/>
      </c>
      <c r="AR1403">
        <f>HYPERLINK("http://localhost:8787/api/admin/requirements/documents/cmm4yuowx0212cuqwgyrim3ri/view","Open PDF")</f>
        <v/>
      </c>
      <c r="AS1403" t="inlineStr">
        <is>
          <t>cmm55w57p0004cuisfrtpqly8</t>
        </is>
      </c>
      <c r="AT1403" t="inlineStr">
        <is>
          <t>cmm4xvu980000cuh4vj0usz09</t>
        </is>
      </c>
      <c r="AU1403" t="inlineStr">
        <is>
          <t>Besöksadress Telefon E-post Webb Tranås</t>
        </is>
      </c>
      <c r="AV1403" t="inlineStr">
        <is>
          <t>Kommun</t>
        </is>
      </c>
      <c r="AW1403" t="inlineStr">
        <is>
          <t>Besöksadress Telefon E-post Webb Tranås kommun</t>
        </is>
      </c>
      <c r="AX1403" t="inlineStr">
        <is>
          <t>2025-02</t>
        </is>
      </c>
      <c r="AY1403" t="inlineStr">
        <is>
          <t>Forelaggande</t>
        </is>
      </c>
      <c r="AZ1403" t="inlineStr">
        <is>
          <t>2026-02-03</t>
        </is>
      </c>
      <c r="BA1403" t="inlineStr">
        <is>
          <t>M-2024-659-Föreläggande enligt miljöbalken(1).pdf</t>
        </is>
      </c>
      <c r="BB1403" t="inlineStr">
        <is>
          <t>handlingar</t>
        </is>
      </c>
      <c r="BC1403" t="inlineStr">
        <is>
          <t>AUTO</t>
        </is>
      </c>
      <c r="BD1403" t="inlineStr"/>
      <c r="BE1403" t="inlineStr"/>
      <c r="BF1403" t="inlineStr">
        <is>
          <t>AUTO_GENERERAD. Bekrafta metadata mot kallfil.</t>
        </is>
      </c>
      <c r="BG1403">
        <f>HYPERLINK("C:\Users\jimmy\Desktop\Examens arbete\Kod\Ny mapp\remix_-copy-of-miljöbeslut.se-portal\M-2024-659-Föreläggande enligt miljöbalken(1).pdf", "Öppna PDF")</f>
        <v/>
      </c>
    </row>
    <row r="1404">
      <c r="A1404" t="inlineStr">
        <is>
          <t>KRAV-AUTO-001403</t>
        </is>
      </c>
      <c r="B1404" t="inlineStr">
        <is>
          <t>ADMIN-INDEX-2026-02-27-00000000125C043F57453246863FE664CAFE6A3F0700950291EA24F0614FB6ACEDB12BF0E31D00000000010C0000950291EA24F0614FB6ACEDB12BF0E31D00002087AEB50000</t>
        </is>
      </c>
      <c r="C1404" t="inlineStr">
        <is>
          <t>cmm4yuovo01ztcuqwjisy9tt7</t>
        </is>
      </c>
      <c r="D1404" t="inlineStr">
        <is>
          <t>http://localhost:8787/api/admin/requirements/documents/cmm4yuovo01ztcuqwjisy9tt7/view</t>
        </is>
      </c>
      <c r="E1404">
        <f>HYPERLÄNK("http://localhost:8787/api/admin/requirements/documents/cmm4yuovo01ztcuqwjisy9tt7/view";"Öppna PDF")</f>
        <v/>
      </c>
      <c r="F1404">
        <f>HYPERLINK("http://localhost:8787/api/admin/requirements/documents/cmm4yuovo01ztcuqwjisy9tt7/view","Open PDF")</f>
        <v/>
      </c>
      <c r="G1404" t="inlineStr">
        <is>
          <t>cmm55w57p0004cuisfrtpqly8</t>
        </is>
      </c>
      <c r="H1404" t="inlineStr">
        <is>
          <t>Beslutsvillkor</t>
        </is>
      </c>
      <c r="I1404" t="inlineStr">
        <is>
          <t>DagvattenLakvatten</t>
        </is>
      </c>
      <c r="J1404" t="inlineStr">
        <is>
          <t>Uppsamling</t>
        </is>
      </c>
      <c r="K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4" t="inlineStr">
        <is>
          <t>SKA</t>
        </is>
      </c>
      <c r="N1404" t="inlineStr">
        <is>
          <t>FMH</t>
        </is>
      </c>
      <c r="O1404" t="inlineStr"/>
      <c r="P1404" t="inlineStr">
        <is>
          <t>Arlig</t>
        </is>
      </c>
      <c r="Q1404" t="inlineStr">
        <is>
          <t>Driftbegransning vid avvikelse</t>
        </is>
      </c>
      <c r="R1404" t="inlineStr">
        <is>
          <t>Vid nederbord och avrinning</t>
        </is>
      </c>
      <c r="S1404" t="inlineStr"/>
      <c r="T1404" t="inlineStr">
        <is>
          <t>212000</t>
        </is>
      </c>
      <c r="U1404" t="inlineStr"/>
      <c r="V1404" t="inlineStr"/>
      <c r="W1404" t="inlineStr">
        <is>
          <t>Nej</t>
        </is>
      </c>
      <c r="X1404" t="inlineStr">
        <is>
          <t>Ja</t>
        </is>
      </c>
      <c r="Y1404" t="inlineStr">
        <is>
          <t>Ja</t>
        </is>
      </c>
      <c r="Z1404" t="inlineStr">
        <is>
          <t>Nej</t>
        </is>
      </c>
      <c r="AA1404" t="n">
        <v>6</v>
      </c>
      <c r="AB1404" t="inlineStr">
        <is>
          <t>Lakvattenhantering</t>
        </is>
      </c>
      <c r="AC1404" t="inlineStr">
        <is>
          <t>Flodesschema dagvatten-lakvatten</t>
        </is>
      </c>
      <c r="AD1404" t="inlineStr">
        <is>
          <t>Nej</t>
        </is>
      </c>
      <c r="AE1404" t="inlineStr">
        <is>
          <t>Nej</t>
        </is>
      </c>
      <c r="AF1404" t="inlineStr">
        <is>
          <t>Ej behandlad</t>
        </is>
      </c>
      <c r="AG1404" t="inlineStr">
        <is>
          <t>AUTO_GENERERAD. Verifiera citat mot kallfil.</t>
        </is>
      </c>
      <c r="AH1404" t="inlineStr">
        <is>
          <t>MEDIUM</t>
        </is>
      </c>
      <c r="AI1404" t="inlineStr">
        <is>
          <t>AUTO</t>
        </is>
      </c>
      <c r="AJ1404" t="inlineStr">
        <is>
          <t>Nej</t>
        </is>
      </c>
      <c r="AK1404" t="inlineStr"/>
      <c r="AL1404" t="inlineStr"/>
      <c r="AM1404" t="inlineStr"/>
      <c r="AN1404" t="inlineStr"/>
      <c r="AO1404" t="inlineStr">
        <is>
          <t>cmm4yuovo01ztcuqwjisy9tt7</t>
        </is>
      </c>
      <c r="AP1404" t="inlineStr">
        <is>
          <t>http://localhost:8787/api/admin/requirements/documents/cmm4yuovo01ztcuqwjisy9tt7/view</t>
        </is>
      </c>
      <c r="AQ1404">
        <f>HYPERLÄNK("http://localhost:8787/api/admin/requirements/documents/cmm4yuovo01ztcuqwjisy9tt7/view";"Öppna PDF")</f>
        <v/>
      </c>
      <c r="AR1404">
        <f>HYPERLINK("http://localhost:8787/api/admin/requirements/documents/cmm4yuovo01ztcuqwjisy9tt7/view","Open PDF")</f>
        <v/>
      </c>
      <c r="AS1404" t="inlineStr">
        <is>
          <t>cmm55w57p0004cuisfrtpqly8</t>
        </is>
      </c>
      <c r="AT1404" t="inlineStr">
        <is>
          <t>cmm4xvu980000cuh4vj0usz09</t>
        </is>
      </c>
      <c r="AU1404" t="inlineStr"/>
      <c r="AV1404" t="inlineStr">
        <is>
          <t>Kommun</t>
        </is>
      </c>
      <c r="AW1404" t="inlineStr"/>
      <c r="AX1404" t="inlineStr">
        <is>
          <t>2026-60</t>
        </is>
      </c>
      <c r="AY1404" t="inlineStr">
        <is>
          <t>Beslut</t>
        </is>
      </c>
      <c r="AZ1404" t="inlineStr">
        <is>
          <t>2026-02-03</t>
        </is>
      </c>
      <c r="BA1404" t="inlineStr">
        <is>
          <t>Beslut 2026-60 - Försiktighetsmått miljöfarlig verksamhet.pdf</t>
        </is>
      </c>
      <c r="BB1404" t="inlineStr">
        <is>
          <t>SV: till registrator *20260202:475*</t>
        </is>
      </c>
      <c r="BC1404" t="inlineStr">
        <is>
          <t>AUTO</t>
        </is>
      </c>
      <c r="BD1404" t="inlineStr"/>
      <c r="BE1404" t="inlineStr"/>
      <c r="BF1404" t="inlineStr">
        <is>
          <t>AUTO_GENERERAD. Bekrafta metadata mot kallfil.</t>
        </is>
      </c>
      <c r="BG1404">
        <f>HYPERLINK("C:\Users\jimmy\Desktop\Examens arbete\Kod\Ny mapp\remix_-copy-of-miljöbeslut.se-portal\Beslut 2026-60 - Försiktighetsmått miljöfarlig verksamhet.pdf", "Öppna PDF")</f>
        <v/>
      </c>
    </row>
    <row r="1405">
      <c r="A1405" t="inlineStr">
        <is>
          <t>KRAV-AUTO-001404</t>
        </is>
      </c>
      <c r="B1405" t="inlineStr">
        <is>
          <t>ADMIN-INDEX-2026-02-27-00000000125C043F57453246863FE664CAFE6A3F0700950291EA24F0614FB6ACEDB12BF0E31D00000000010C0000950291EA24F0614FB6ACEDB12BF0E31D00002087AEB50000</t>
        </is>
      </c>
      <c r="C1405" t="inlineStr">
        <is>
          <t>cmm4yuovo01ztcuqwjisy9tt7</t>
        </is>
      </c>
      <c r="D1405" t="inlineStr">
        <is>
          <t>http://localhost:8787/api/admin/requirements/documents/cmm4yuovo01ztcuqwjisy9tt7/view</t>
        </is>
      </c>
      <c r="E1405">
        <f>HYPERLÄNK("http://localhost:8787/api/admin/requirements/documents/cmm4yuovo01ztcuqwjisy9tt7/view";"Öppna PDF")</f>
        <v/>
      </c>
      <c r="F1405">
        <f>HYPERLINK("http://localhost:8787/api/admin/requirements/documents/cmm4yuovo01ztcuqwjisy9tt7/view","Open PDF")</f>
        <v/>
      </c>
      <c r="G1405" t="inlineStr">
        <is>
          <t>cmm55w57p0004cuisfrtpqly8</t>
        </is>
      </c>
      <c r="H1405" t="inlineStr">
        <is>
          <t>Beslutsvillkor</t>
        </is>
      </c>
      <c r="I1405" t="inlineStr">
        <is>
          <t>DagvattenLakvatten</t>
        </is>
      </c>
      <c r="J1405" t="inlineStr">
        <is>
          <t>Uppsamling</t>
        </is>
      </c>
      <c r="K1405" t="inlineStr">
        <is>
          <t>Förvaringsutrymmet för farligt avfall utomhus ska ha neder- bördsskydd, påkörningsskydd och förvaras utan risk för spill till dagvatten.</t>
        </is>
      </c>
      <c r="L1405" t="inlineStr">
        <is>
          <t>Förvaringsutrymmet för farligt avfall utomhus ska ha neder- bördsskydd, påkörningsskydd och förvaras utan risk för spill till dagvatten.</t>
        </is>
      </c>
      <c r="M1405" t="inlineStr">
        <is>
          <t>SKA</t>
        </is>
      </c>
      <c r="N1405" t="inlineStr">
        <is>
          <t>FMH</t>
        </is>
      </c>
      <c r="O1405" t="inlineStr"/>
      <c r="P1405" t="inlineStr">
        <is>
          <t>Arlig</t>
        </is>
      </c>
      <c r="Q1405" t="inlineStr"/>
      <c r="R1405" t="inlineStr">
        <is>
          <t>Vid nederbord och avrinning</t>
        </is>
      </c>
      <c r="S1405" t="inlineStr"/>
      <c r="T1405" t="inlineStr">
        <is>
          <t>212000</t>
        </is>
      </c>
      <c r="U1405" t="inlineStr"/>
      <c r="V1405" t="inlineStr"/>
      <c r="W1405" t="inlineStr">
        <is>
          <t>Nej</t>
        </is>
      </c>
      <c r="X1405" t="inlineStr">
        <is>
          <t>Ja</t>
        </is>
      </c>
      <c r="Y1405" t="inlineStr">
        <is>
          <t>Ja</t>
        </is>
      </c>
      <c r="Z1405" t="inlineStr">
        <is>
          <t>Nej</t>
        </is>
      </c>
      <c r="AA1405" t="n">
        <v>6</v>
      </c>
      <c r="AB1405" t="inlineStr">
        <is>
          <t>Lakvattenhantering</t>
        </is>
      </c>
      <c r="AC1405" t="inlineStr">
        <is>
          <t>Flodesschema dagvatten-lakvatten</t>
        </is>
      </c>
      <c r="AD1405" t="inlineStr">
        <is>
          <t>Nej</t>
        </is>
      </c>
      <c r="AE1405" t="inlineStr">
        <is>
          <t>Nej</t>
        </is>
      </c>
      <c r="AF1405" t="inlineStr">
        <is>
          <t>Ej behandlad</t>
        </is>
      </c>
      <c r="AG1405" t="inlineStr">
        <is>
          <t>AUTO_GENERERAD. Verifiera citat mot kallfil.</t>
        </is>
      </c>
      <c r="AH1405" t="inlineStr">
        <is>
          <t>MEDIUM</t>
        </is>
      </c>
      <c r="AI1405" t="inlineStr">
        <is>
          <t>AUTO</t>
        </is>
      </c>
      <c r="AJ1405" t="inlineStr">
        <is>
          <t>Nej</t>
        </is>
      </c>
      <c r="AK1405" t="inlineStr"/>
      <c r="AL1405" t="inlineStr"/>
      <c r="AM1405" t="inlineStr"/>
      <c r="AN1405" t="inlineStr"/>
      <c r="AO1405" t="inlineStr">
        <is>
          <t>cmm4yuovo01ztcuqwjisy9tt7</t>
        </is>
      </c>
      <c r="AP1405" t="inlineStr">
        <is>
          <t>http://localhost:8787/api/admin/requirements/documents/cmm4yuovo01ztcuqwjisy9tt7/view</t>
        </is>
      </c>
      <c r="AQ1405">
        <f>HYPERLÄNK("http://localhost:8787/api/admin/requirements/documents/cmm4yuovo01ztcuqwjisy9tt7/view";"Öppna PDF")</f>
        <v/>
      </c>
      <c r="AR1405">
        <f>HYPERLINK("http://localhost:8787/api/admin/requirements/documents/cmm4yuovo01ztcuqwjisy9tt7/view","Open PDF")</f>
        <v/>
      </c>
      <c r="AS1405" t="inlineStr">
        <is>
          <t>cmm55w57p0004cuisfrtpqly8</t>
        </is>
      </c>
      <c r="AT1405" t="inlineStr">
        <is>
          <t>cmm4xvu980000cuh4vj0usz09</t>
        </is>
      </c>
      <c r="AU1405" t="inlineStr"/>
      <c r="AV1405" t="inlineStr">
        <is>
          <t>Kommun</t>
        </is>
      </c>
      <c r="AW1405" t="inlineStr"/>
      <c r="AX1405" t="inlineStr">
        <is>
          <t>2026-60</t>
        </is>
      </c>
      <c r="AY1405" t="inlineStr">
        <is>
          <t>Beslut</t>
        </is>
      </c>
      <c r="AZ1405" t="inlineStr">
        <is>
          <t>2026-02-03</t>
        </is>
      </c>
      <c r="BA1405" t="inlineStr">
        <is>
          <t>Beslut 2026-60 - Försiktighetsmått miljöfarlig verksamhet.pdf</t>
        </is>
      </c>
      <c r="BB1405" t="inlineStr">
        <is>
          <t>SV: till registrator *20260202:475*</t>
        </is>
      </c>
      <c r="BC1405" t="inlineStr">
        <is>
          <t>AUTO</t>
        </is>
      </c>
      <c r="BD1405" t="inlineStr"/>
      <c r="BE1405" t="inlineStr"/>
      <c r="BF1405" t="inlineStr">
        <is>
          <t>AUTO_GENERERAD. Bekrafta metadata mot kallfil.</t>
        </is>
      </c>
      <c r="BG1405">
        <f>HYPERLINK("C:\Users\jimmy\Desktop\Examens arbete\Kod\Ny mapp\remix_-copy-of-miljöbeslut.se-portal\Beslut 2026-60 - Försiktighetsmått miljöfarlig verksamhet.pdf", "Öppna PDF")</f>
        <v/>
      </c>
    </row>
    <row r="1406">
      <c r="A1406" t="inlineStr">
        <is>
          <t>KRAV-AUTO-001405</t>
        </is>
      </c>
      <c r="B1406" t="inlineStr">
        <is>
          <t>ADMIN-INDEX-2026-02-27-00000000125C043F57453246863FE664CAFE6A3F0700950291EA24F0614FB6ACEDB12BF0E31D00000000010C0000950291EA24F0614FB6ACEDB12BF0E31D00002087AEB50000</t>
        </is>
      </c>
      <c r="C1406" t="inlineStr">
        <is>
          <t>cmm4yuovo01ztcuqwjisy9tt7</t>
        </is>
      </c>
      <c r="D1406" t="inlineStr">
        <is>
          <t>http://localhost:8787/api/admin/requirements/documents/cmm4yuovo01ztcuqwjisy9tt7/view</t>
        </is>
      </c>
      <c r="E1406">
        <f>HYPERLÄNK("http://localhost:8787/api/admin/requirements/documents/cmm4yuovo01ztcuqwjisy9tt7/view";"Öppna PDF")</f>
        <v/>
      </c>
      <c r="F1406">
        <f>HYPERLINK("http://localhost:8787/api/admin/requirements/documents/cmm4yuovo01ztcuqwjisy9tt7/view","Open PDF")</f>
        <v/>
      </c>
      <c r="G1406" t="inlineStr">
        <is>
          <t>cmm55w57p0004cuisfrtpqly8</t>
        </is>
      </c>
      <c r="H1406" t="inlineStr">
        <is>
          <t>Beslutsvillkor</t>
        </is>
      </c>
      <c r="I1406" t="inlineStr">
        <is>
          <t>DagvattenLakvatten</t>
        </is>
      </c>
      <c r="J1406" t="inlineStr">
        <is>
          <t>Uppsamling</t>
        </is>
      </c>
      <c r="K1406" t="inlineStr">
        <is>
          <t>Rutinerna ska även inkludera hur uppsamling och omhänder- -- 1 of 8 -- JÄRFÄLLA KOMMUN 2 (8) tagande av släckvatten i händelse av brand ska ske, för att minimera risk för förorening av dagvatten och vattenskyddsområdet.</t>
        </is>
      </c>
      <c r="L1406" t="inlineStr">
        <is>
          <t>Rutinerna ska även inkludera hur uppsamling och omhänder- -- 1 of 8 -- JÄRFÄLLA KOMMUN 2 (8) tagande av släckvatten i händelse av brand ska ske, för att minimera risk för förorening av dagvatten och vattenskyddsområdet.</t>
        </is>
      </c>
      <c r="M1406" t="inlineStr">
        <is>
          <t>SKA</t>
        </is>
      </c>
      <c r="N1406" t="inlineStr">
        <is>
          <t>FMH</t>
        </is>
      </c>
      <c r="O1406" t="inlineStr"/>
      <c r="P1406" t="inlineStr"/>
      <c r="Q1406" t="inlineStr"/>
      <c r="R1406" t="inlineStr">
        <is>
          <t>Vid nederbord och avrinning</t>
        </is>
      </c>
      <c r="S1406" t="inlineStr"/>
      <c r="T1406" t="inlineStr">
        <is>
          <t>212000</t>
        </is>
      </c>
      <c r="U1406" t="inlineStr"/>
      <c r="V1406" t="inlineStr"/>
      <c r="W1406" t="inlineStr">
        <is>
          <t>Nej</t>
        </is>
      </c>
      <c r="X1406" t="inlineStr">
        <is>
          <t>Ja</t>
        </is>
      </c>
      <c r="Y1406" t="inlineStr">
        <is>
          <t>Ja</t>
        </is>
      </c>
      <c r="Z1406" t="inlineStr">
        <is>
          <t>Nej</t>
        </is>
      </c>
      <c r="AA1406" t="n">
        <v>6</v>
      </c>
      <c r="AB1406" t="inlineStr">
        <is>
          <t>Lakvattenhantering</t>
        </is>
      </c>
      <c r="AC1406" t="inlineStr">
        <is>
          <t>Flodesschema dagvatten-lakvatten</t>
        </is>
      </c>
      <c r="AD1406" t="inlineStr">
        <is>
          <t>Nej</t>
        </is>
      </c>
      <c r="AE1406" t="inlineStr">
        <is>
          <t>Nej</t>
        </is>
      </c>
      <c r="AF1406" t="inlineStr">
        <is>
          <t>Ej behandlad</t>
        </is>
      </c>
      <c r="AG1406" t="inlineStr">
        <is>
          <t>AUTO_GENERERAD. Verifiera citat mot kallfil.</t>
        </is>
      </c>
      <c r="AH1406" t="inlineStr">
        <is>
          <t>MEDIUM</t>
        </is>
      </c>
      <c r="AI1406" t="inlineStr">
        <is>
          <t>AUTO</t>
        </is>
      </c>
      <c r="AJ1406" t="inlineStr">
        <is>
          <t>Nej</t>
        </is>
      </c>
      <c r="AK1406" t="inlineStr"/>
      <c r="AL1406" t="inlineStr"/>
      <c r="AM1406" t="inlineStr"/>
      <c r="AN1406" t="inlineStr"/>
      <c r="AO1406" t="inlineStr">
        <is>
          <t>cmm4yuovo01ztcuqwjisy9tt7</t>
        </is>
      </c>
      <c r="AP1406" t="inlineStr">
        <is>
          <t>http://localhost:8787/api/admin/requirements/documents/cmm4yuovo01ztcuqwjisy9tt7/view</t>
        </is>
      </c>
      <c r="AQ1406">
        <f>HYPERLÄNK("http://localhost:8787/api/admin/requirements/documents/cmm4yuovo01ztcuqwjisy9tt7/view";"Öppna PDF")</f>
        <v/>
      </c>
      <c r="AR1406">
        <f>HYPERLINK("http://localhost:8787/api/admin/requirements/documents/cmm4yuovo01ztcuqwjisy9tt7/view","Open PDF")</f>
        <v/>
      </c>
      <c r="AS1406" t="inlineStr">
        <is>
          <t>cmm55w57p0004cuisfrtpqly8</t>
        </is>
      </c>
      <c r="AT1406" t="inlineStr">
        <is>
          <t>cmm4xvu980000cuh4vj0usz09</t>
        </is>
      </c>
      <c r="AU1406" t="inlineStr"/>
      <c r="AV1406" t="inlineStr">
        <is>
          <t>Kommun</t>
        </is>
      </c>
      <c r="AW1406" t="inlineStr"/>
      <c r="AX1406" t="inlineStr">
        <is>
          <t>2026-60</t>
        </is>
      </c>
      <c r="AY1406" t="inlineStr">
        <is>
          <t>Beslut</t>
        </is>
      </c>
      <c r="AZ1406" t="inlineStr">
        <is>
          <t>2026-02-03</t>
        </is>
      </c>
      <c r="BA1406" t="inlineStr">
        <is>
          <t>Beslut 2026-60 - Försiktighetsmått miljöfarlig verksamhet.pdf</t>
        </is>
      </c>
      <c r="BB1406" t="inlineStr">
        <is>
          <t>SV: till registrator *20260202:475*</t>
        </is>
      </c>
      <c r="BC1406" t="inlineStr">
        <is>
          <t>AUTO</t>
        </is>
      </c>
      <c r="BD1406" t="inlineStr"/>
      <c r="BE1406" t="inlineStr"/>
      <c r="BF1406" t="inlineStr">
        <is>
          <t>AUTO_GENERERAD. Bekrafta metadata mot kallfil.</t>
        </is>
      </c>
      <c r="BG1406">
        <f>HYPERLINK("C:\Users\jimmy\Desktop\Examens arbete\Kod\Ny mapp\remix_-copy-of-miljöbeslut.se-portal\Beslut 2026-60 - Försiktighetsmått miljöfarlig verksamhet.pdf", "Öppna PDF")</f>
        <v/>
      </c>
    </row>
    <row r="1407">
      <c r="A1407" t="inlineStr">
        <is>
          <t>KRAV-AUTO-001406</t>
        </is>
      </c>
      <c r="B1407" t="inlineStr">
        <is>
          <t>ADMIN-INDEX-2026-02-27-00000000125C043F57453246863FE664CAFE6A3F0700950291EA24F0614FB6ACEDB12BF0E31D00000000010C0000950291EA24F0614FB6ACEDB12BF0E31D00002087AEB60000</t>
        </is>
      </c>
      <c r="C1407" t="inlineStr">
        <is>
          <t>cmm4yuovl01zqcuqwz5yg68oc</t>
        </is>
      </c>
      <c r="D1407" t="inlineStr">
        <is>
          <t>http://localhost:8787/api/admin/requirements/documents/cmm4yuovl01zqcuqwz5yg68oc/view</t>
        </is>
      </c>
      <c r="E1407">
        <f>HYPERLÄNK("http://localhost:8787/api/admin/requirements/documents/cmm4yuovl01zqcuqwz5yg68oc/view";"Öppna PDF")</f>
        <v/>
      </c>
      <c r="F1407">
        <f>HYPERLINK("http://localhost:8787/api/admin/requirements/documents/cmm4yuovl01zqcuqwz5yg68oc/view","Open PDF")</f>
        <v/>
      </c>
      <c r="G1407" t="inlineStr">
        <is>
          <t>cmm55w57p0004cuisfrtpqly8</t>
        </is>
      </c>
      <c r="H1407" t="inlineStr">
        <is>
          <t>Beslutsvillkor</t>
        </is>
      </c>
      <c r="I1407" t="inlineStr">
        <is>
          <t>DagvattenLakvatten</t>
        </is>
      </c>
      <c r="J1407" t="inlineStr">
        <is>
          <t>Uppsamling</t>
        </is>
      </c>
      <c r="K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7" t="inlineStr">
        <is>
          <t>SKA</t>
        </is>
      </c>
      <c r="N1407" t="inlineStr">
        <is>
          <t>FMH</t>
        </is>
      </c>
      <c r="O1407" t="inlineStr"/>
      <c r="P1407" t="inlineStr">
        <is>
          <t>Arlig</t>
        </is>
      </c>
      <c r="Q1407" t="inlineStr">
        <is>
          <t>Driftbegransning vid avvikelse</t>
        </is>
      </c>
      <c r="R1407" t="inlineStr">
        <is>
          <t>Vid nederbord och avrinning</t>
        </is>
      </c>
      <c r="S1407" t="inlineStr"/>
      <c r="T1407" t="inlineStr">
        <is>
          <t>212000</t>
        </is>
      </c>
      <c r="U1407" t="inlineStr"/>
      <c r="V1407" t="inlineStr"/>
      <c r="W1407" t="inlineStr">
        <is>
          <t>Nej</t>
        </is>
      </c>
      <c r="X1407" t="inlineStr">
        <is>
          <t>Ja</t>
        </is>
      </c>
      <c r="Y1407" t="inlineStr">
        <is>
          <t>Ja</t>
        </is>
      </c>
      <c r="Z1407" t="inlineStr">
        <is>
          <t>Nej</t>
        </is>
      </c>
      <c r="AA1407" t="n">
        <v>6</v>
      </c>
      <c r="AB1407" t="inlineStr">
        <is>
          <t>Lakvattenhantering</t>
        </is>
      </c>
      <c r="AC1407" t="inlineStr">
        <is>
          <t>Flodesschema dagvatten-lakvatten</t>
        </is>
      </c>
      <c r="AD1407" t="inlineStr">
        <is>
          <t>Nej</t>
        </is>
      </c>
      <c r="AE1407" t="inlineStr">
        <is>
          <t>Nej</t>
        </is>
      </c>
      <c r="AF1407" t="inlineStr">
        <is>
          <t>Ej behandlad</t>
        </is>
      </c>
      <c r="AG1407" t="inlineStr">
        <is>
          <t>AUTO_GENERERAD. Verifiera citat mot kallfil.</t>
        </is>
      </c>
      <c r="AH1407" t="inlineStr">
        <is>
          <t>MEDIUM</t>
        </is>
      </c>
      <c r="AI1407" t="inlineStr">
        <is>
          <t>AUTO</t>
        </is>
      </c>
      <c r="AJ1407" t="inlineStr">
        <is>
          <t>Nej</t>
        </is>
      </c>
      <c r="AK1407" t="inlineStr"/>
      <c r="AL1407" t="inlineStr"/>
      <c r="AM1407" t="inlineStr"/>
      <c r="AN1407" t="inlineStr"/>
      <c r="AO1407" t="inlineStr">
        <is>
          <t>cmm4yuovl01zqcuqwz5yg68oc</t>
        </is>
      </c>
      <c r="AP1407" t="inlineStr">
        <is>
          <t>http://localhost:8787/api/admin/requirements/documents/cmm4yuovl01zqcuqwz5yg68oc/view</t>
        </is>
      </c>
      <c r="AQ1407">
        <f>HYPERLÄNK("http://localhost:8787/api/admin/requirements/documents/cmm4yuovl01zqcuqwz5yg68oc/view";"Öppna PDF")</f>
        <v/>
      </c>
      <c r="AR1407">
        <f>HYPERLINK("http://localhost:8787/api/admin/requirements/documents/cmm4yuovl01zqcuqwz5yg68oc/view","Open PDF")</f>
        <v/>
      </c>
      <c r="AS1407" t="inlineStr">
        <is>
          <t>cmm55w57p0004cuisfrtpqly8</t>
        </is>
      </c>
      <c r="AT1407" t="inlineStr">
        <is>
          <t>cmm4xvu980000cuh4vj0usz09</t>
        </is>
      </c>
      <c r="AU1407" t="inlineStr"/>
      <c r="AV1407" t="inlineStr">
        <is>
          <t>Kommun</t>
        </is>
      </c>
      <c r="AW1407" t="inlineStr"/>
      <c r="AX1407" t="inlineStr">
        <is>
          <t>2026-60</t>
        </is>
      </c>
      <c r="AY1407" t="inlineStr">
        <is>
          <t>Beslut</t>
        </is>
      </c>
      <c r="AZ1407" t="inlineStr">
        <is>
          <t>2026-02-03</t>
        </is>
      </c>
      <c r="BA1407" t="inlineStr">
        <is>
          <t>Beslut 2026-60 - Försiktighetsmått miljöfarlig verksamhet.pdf</t>
        </is>
      </c>
      <c r="BB1407" t="inlineStr">
        <is>
          <t>SV: till registrator *20260202:475*</t>
        </is>
      </c>
      <c r="BC1407" t="inlineStr">
        <is>
          <t>AUTO</t>
        </is>
      </c>
      <c r="BD1407" t="inlineStr"/>
      <c r="BE1407" t="inlineStr"/>
      <c r="BF1407" t="inlineStr">
        <is>
          <t>AUTO_GENERERAD. Bekrafta metadata mot kallfil.</t>
        </is>
      </c>
      <c r="BG1407">
        <f>HYPERLINK("C:\Users\jimmy\Desktop\Examens arbete\Kod\Ny mapp\remix_-copy-of-miljöbeslut.se-portal\Beslut 2026-60 - Försiktighetsmått miljöfarlig verksamhet.pdf", "Öppna PDF")</f>
        <v/>
      </c>
    </row>
    <row r="1408">
      <c r="A1408" t="inlineStr">
        <is>
          <t>KRAV-AUTO-001407</t>
        </is>
      </c>
      <c r="B1408" t="inlineStr">
        <is>
          <t>ADMIN-INDEX-2026-02-27-00000000125C043F57453246863FE664CAFE6A3F0700950291EA24F0614FB6ACEDB12BF0E31D00000000010C0000950291EA24F0614FB6ACEDB12BF0E31D00002087AEB60000</t>
        </is>
      </c>
      <c r="C1408" t="inlineStr">
        <is>
          <t>cmm4yuovl01zqcuqwz5yg68oc</t>
        </is>
      </c>
      <c r="D1408" t="inlineStr">
        <is>
          <t>http://localhost:8787/api/admin/requirements/documents/cmm4yuovl01zqcuqwz5yg68oc/view</t>
        </is>
      </c>
      <c r="E1408">
        <f>HYPERLÄNK("http://localhost:8787/api/admin/requirements/documents/cmm4yuovl01zqcuqwz5yg68oc/view";"Öppna PDF")</f>
        <v/>
      </c>
      <c r="F1408">
        <f>HYPERLINK("http://localhost:8787/api/admin/requirements/documents/cmm4yuovl01zqcuqwz5yg68oc/view","Open PDF")</f>
        <v/>
      </c>
      <c r="G1408" t="inlineStr">
        <is>
          <t>cmm55w57p0004cuisfrtpqly8</t>
        </is>
      </c>
      <c r="H1408" t="inlineStr">
        <is>
          <t>Beslutsvillkor</t>
        </is>
      </c>
      <c r="I1408" t="inlineStr">
        <is>
          <t>DagvattenLakvatten</t>
        </is>
      </c>
      <c r="J1408" t="inlineStr">
        <is>
          <t>Uppsamling</t>
        </is>
      </c>
      <c r="K1408" t="inlineStr">
        <is>
          <t>Förvaringsutrymmet för farligt avfall utomhus ska ha neder- bördsskydd, påkörningsskydd och förvaras utan risk för spill till dagvatten.</t>
        </is>
      </c>
      <c r="L1408" t="inlineStr">
        <is>
          <t>Förvaringsutrymmet för farligt avfall utomhus ska ha neder- bördsskydd, påkörningsskydd och förvaras utan risk för spill till dagvatten.</t>
        </is>
      </c>
      <c r="M1408" t="inlineStr">
        <is>
          <t>SKA</t>
        </is>
      </c>
      <c r="N1408" t="inlineStr">
        <is>
          <t>FMH</t>
        </is>
      </c>
      <c r="O1408" t="inlineStr"/>
      <c r="P1408" t="inlineStr">
        <is>
          <t>Arlig</t>
        </is>
      </c>
      <c r="Q1408" t="inlineStr"/>
      <c r="R1408" t="inlineStr">
        <is>
          <t>Vid nederbord och avrinning</t>
        </is>
      </c>
      <c r="S1408" t="inlineStr"/>
      <c r="T1408" t="inlineStr">
        <is>
          <t>212000</t>
        </is>
      </c>
      <c r="U1408" t="inlineStr"/>
      <c r="V1408" t="inlineStr"/>
      <c r="W1408" t="inlineStr">
        <is>
          <t>Nej</t>
        </is>
      </c>
      <c r="X1408" t="inlineStr">
        <is>
          <t>Ja</t>
        </is>
      </c>
      <c r="Y1408" t="inlineStr">
        <is>
          <t>Ja</t>
        </is>
      </c>
      <c r="Z1408" t="inlineStr">
        <is>
          <t>Nej</t>
        </is>
      </c>
      <c r="AA1408" t="n">
        <v>6</v>
      </c>
      <c r="AB1408" t="inlineStr">
        <is>
          <t>Lakvattenhantering</t>
        </is>
      </c>
      <c r="AC1408" t="inlineStr">
        <is>
          <t>Flodesschema dagvatten-lakvatten</t>
        </is>
      </c>
      <c r="AD1408" t="inlineStr">
        <is>
          <t>Nej</t>
        </is>
      </c>
      <c r="AE1408" t="inlineStr">
        <is>
          <t>Nej</t>
        </is>
      </c>
      <c r="AF1408" t="inlineStr">
        <is>
          <t>Ej behandlad</t>
        </is>
      </c>
      <c r="AG1408" t="inlineStr">
        <is>
          <t>AUTO_GENERERAD. Verifiera citat mot kallfil.</t>
        </is>
      </c>
      <c r="AH1408" t="inlineStr">
        <is>
          <t>MEDIUM</t>
        </is>
      </c>
      <c r="AI1408" t="inlineStr">
        <is>
          <t>AUTO</t>
        </is>
      </c>
      <c r="AJ1408" t="inlineStr">
        <is>
          <t>Nej</t>
        </is>
      </c>
      <c r="AK1408" t="inlineStr"/>
      <c r="AL1408" t="inlineStr"/>
      <c r="AM1408" t="inlineStr"/>
      <c r="AN1408" t="inlineStr"/>
      <c r="AO1408" t="inlineStr">
        <is>
          <t>cmm4yuovl01zqcuqwz5yg68oc</t>
        </is>
      </c>
      <c r="AP1408" t="inlineStr">
        <is>
          <t>http://localhost:8787/api/admin/requirements/documents/cmm4yuovl01zqcuqwz5yg68oc/view</t>
        </is>
      </c>
      <c r="AQ1408">
        <f>HYPERLÄNK("http://localhost:8787/api/admin/requirements/documents/cmm4yuovl01zqcuqwz5yg68oc/view";"Öppna PDF")</f>
        <v/>
      </c>
      <c r="AR1408">
        <f>HYPERLINK("http://localhost:8787/api/admin/requirements/documents/cmm4yuovl01zqcuqwz5yg68oc/view","Open PDF")</f>
        <v/>
      </c>
      <c r="AS1408" t="inlineStr">
        <is>
          <t>cmm55w57p0004cuisfrtpqly8</t>
        </is>
      </c>
      <c r="AT1408" t="inlineStr">
        <is>
          <t>cmm4xvu980000cuh4vj0usz09</t>
        </is>
      </c>
      <c r="AU1408" t="inlineStr"/>
      <c r="AV1408" t="inlineStr">
        <is>
          <t>Kommun</t>
        </is>
      </c>
      <c r="AW1408" t="inlineStr"/>
      <c r="AX1408" t="inlineStr">
        <is>
          <t>2026-60</t>
        </is>
      </c>
      <c r="AY1408" t="inlineStr">
        <is>
          <t>Beslut</t>
        </is>
      </c>
      <c r="AZ1408" t="inlineStr">
        <is>
          <t>2026-02-03</t>
        </is>
      </c>
      <c r="BA1408" t="inlineStr">
        <is>
          <t>Beslut 2026-60 - Försiktighetsmått miljöfarlig verksamhet.pdf</t>
        </is>
      </c>
      <c r="BB1408" t="inlineStr">
        <is>
          <t>SV: till registrator *20260202:475*</t>
        </is>
      </c>
      <c r="BC1408" t="inlineStr">
        <is>
          <t>AUTO</t>
        </is>
      </c>
      <c r="BD1408" t="inlineStr"/>
      <c r="BE1408" t="inlineStr"/>
      <c r="BF1408" t="inlineStr">
        <is>
          <t>AUTO_GENERERAD. Bekrafta metadata mot kallfil.</t>
        </is>
      </c>
      <c r="BG1408">
        <f>HYPERLINK("C:\Users\jimmy\Desktop\Examens arbete\Kod\Ny mapp\remix_-copy-of-miljöbeslut.se-portal\Beslut 2026-60 - Försiktighetsmått miljöfarlig verksamhet.pdf", "Öppna PDF")</f>
        <v/>
      </c>
    </row>
    <row r="1409">
      <c r="A1409" t="inlineStr">
        <is>
          <t>KRAV-AUTO-001408</t>
        </is>
      </c>
      <c r="B1409" t="inlineStr">
        <is>
          <t>ADMIN-INDEX-2026-02-27-00000000125C043F57453246863FE664CAFE6A3F0700950291EA24F0614FB6ACEDB12BF0E31D00000000010C0000950291EA24F0614FB6ACEDB12BF0E31D00002087AEB60000</t>
        </is>
      </c>
      <c r="C1409" t="inlineStr">
        <is>
          <t>cmm4yuovl01zqcuqwz5yg68oc</t>
        </is>
      </c>
      <c r="D1409" t="inlineStr">
        <is>
          <t>http://localhost:8787/api/admin/requirements/documents/cmm4yuovl01zqcuqwz5yg68oc/view</t>
        </is>
      </c>
      <c r="E1409">
        <f>HYPERLÄNK("http://localhost:8787/api/admin/requirements/documents/cmm4yuovl01zqcuqwz5yg68oc/view";"Öppna PDF")</f>
        <v/>
      </c>
      <c r="F1409">
        <f>HYPERLINK("http://localhost:8787/api/admin/requirements/documents/cmm4yuovl01zqcuqwz5yg68oc/view","Open PDF")</f>
        <v/>
      </c>
      <c r="G1409" t="inlineStr">
        <is>
          <t>cmm55w57p0004cuisfrtpqly8</t>
        </is>
      </c>
      <c r="H1409" t="inlineStr">
        <is>
          <t>Beslutsvillkor</t>
        </is>
      </c>
      <c r="I1409" t="inlineStr">
        <is>
          <t>DagvattenLakvatten</t>
        </is>
      </c>
      <c r="J1409" t="inlineStr">
        <is>
          <t>Uppsamling</t>
        </is>
      </c>
      <c r="K1409" t="inlineStr">
        <is>
          <t>Rutinerna ska även inkludera hur uppsamling och omhänder- -- 1 of 8 -- JÄRFÄLLA KOMMUN 2 (8) tagande av släckvatten i händelse av brand ska ske, för att minimera risk för förorening av dagvatten och vattenskyddsområdet.</t>
        </is>
      </c>
      <c r="L1409" t="inlineStr">
        <is>
          <t>Rutinerna ska även inkludera hur uppsamling och omhänder- -- 1 of 8 -- JÄRFÄLLA KOMMUN 2 (8) tagande av släckvatten i händelse av brand ska ske, för att minimera risk för förorening av dagvatten och vattenskyddsområdet.</t>
        </is>
      </c>
      <c r="M1409" t="inlineStr">
        <is>
          <t>SKA</t>
        </is>
      </c>
      <c r="N1409" t="inlineStr">
        <is>
          <t>FMH</t>
        </is>
      </c>
      <c r="O1409" t="inlineStr"/>
      <c r="P1409" t="inlineStr"/>
      <c r="Q1409" t="inlineStr"/>
      <c r="R1409" t="inlineStr">
        <is>
          <t>Vid nederbord och avrinning</t>
        </is>
      </c>
      <c r="S1409" t="inlineStr"/>
      <c r="T1409" t="inlineStr">
        <is>
          <t>212000</t>
        </is>
      </c>
      <c r="U1409" t="inlineStr"/>
      <c r="V1409" t="inlineStr"/>
      <c r="W1409" t="inlineStr">
        <is>
          <t>Nej</t>
        </is>
      </c>
      <c r="X1409" t="inlineStr">
        <is>
          <t>Ja</t>
        </is>
      </c>
      <c r="Y1409" t="inlineStr">
        <is>
          <t>Ja</t>
        </is>
      </c>
      <c r="Z1409" t="inlineStr">
        <is>
          <t>Nej</t>
        </is>
      </c>
      <c r="AA1409" t="n">
        <v>6</v>
      </c>
      <c r="AB1409" t="inlineStr">
        <is>
          <t>Lakvattenhantering</t>
        </is>
      </c>
      <c r="AC1409" t="inlineStr">
        <is>
          <t>Flodesschema dagvatten-lakvatten</t>
        </is>
      </c>
      <c r="AD1409" t="inlineStr">
        <is>
          <t>Nej</t>
        </is>
      </c>
      <c r="AE1409" t="inlineStr">
        <is>
          <t>Nej</t>
        </is>
      </c>
      <c r="AF1409" t="inlineStr">
        <is>
          <t>Ej behandlad</t>
        </is>
      </c>
      <c r="AG1409" t="inlineStr">
        <is>
          <t>AUTO_GENERERAD. Verifiera citat mot kallfil.</t>
        </is>
      </c>
      <c r="AH1409" t="inlineStr">
        <is>
          <t>MEDIUM</t>
        </is>
      </c>
      <c r="AI1409" t="inlineStr">
        <is>
          <t>AUTO</t>
        </is>
      </c>
      <c r="AJ1409" t="inlineStr">
        <is>
          <t>Nej</t>
        </is>
      </c>
      <c r="AK1409" t="inlineStr"/>
      <c r="AL1409" t="inlineStr"/>
      <c r="AM1409" t="inlineStr"/>
      <c r="AN1409" t="inlineStr"/>
      <c r="AO1409" t="inlineStr">
        <is>
          <t>cmm4yuovl01zqcuqwz5yg68oc</t>
        </is>
      </c>
      <c r="AP1409" t="inlineStr">
        <is>
          <t>http://localhost:8787/api/admin/requirements/documents/cmm4yuovl01zqcuqwz5yg68oc/view</t>
        </is>
      </c>
      <c r="AQ1409">
        <f>HYPERLÄNK("http://localhost:8787/api/admin/requirements/documents/cmm4yuovl01zqcuqwz5yg68oc/view";"Öppna PDF")</f>
        <v/>
      </c>
      <c r="AR1409">
        <f>HYPERLINK("http://localhost:8787/api/admin/requirements/documents/cmm4yuovl01zqcuqwz5yg68oc/view","Open PDF")</f>
        <v/>
      </c>
      <c r="AS1409" t="inlineStr">
        <is>
          <t>cmm55w57p0004cuisfrtpqly8</t>
        </is>
      </c>
      <c r="AT1409" t="inlineStr">
        <is>
          <t>cmm4xvu980000cuh4vj0usz09</t>
        </is>
      </c>
      <c r="AU1409" t="inlineStr"/>
      <c r="AV1409" t="inlineStr">
        <is>
          <t>Kommun</t>
        </is>
      </c>
      <c r="AW1409" t="inlineStr"/>
      <c r="AX1409" t="inlineStr">
        <is>
          <t>2026-60</t>
        </is>
      </c>
      <c r="AY1409" t="inlineStr">
        <is>
          <t>Beslut</t>
        </is>
      </c>
      <c r="AZ1409" t="inlineStr">
        <is>
          <t>2026-02-03</t>
        </is>
      </c>
      <c r="BA1409" t="inlineStr">
        <is>
          <t>Beslut 2026-60 - Försiktighetsmått miljöfarlig verksamhet.pdf</t>
        </is>
      </c>
      <c r="BB1409" t="inlineStr">
        <is>
          <t>SV: till registrator *20260202:475*</t>
        </is>
      </c>
      <c r="BC1409" t="inlineStr">
        <is>
          <t>AUTO</t>
        </is>
      </c>
      <c r="BD1409" t="inlineStr"/>
      <c r="BE1409" t="inlineStr"/>
      <c r="BF1409" t="inlineStr">
        <is>
          <t>AUTO_GENERERAD. Bekrafta metadata mot kallfil.</t>
        </is>
      </c>
      <c r="BG1409">
        <f>HYPERLINK("C:\Users\jimmy\Desktop\Examens arbete\Kod\Ny mapp\remix_-copy-of-miljöbeslut.se-portal\Beslut 2026-60 - Försiktighetsmått miljöfarlig verksamhet.pdf", "Öppna PDF")</f>
        <v/>
      </c>
    </row>
    <row r="1410">
      <c r="A1410" t="inlineStr">
        <is>
          <t>KRAV-AUTO-001409</t>
        </is>
      </c>
      <c r="B1410" t="inlineStr">
        <is>
          <t>ADMIN-INDEX-2026-02-27-00000000125C043F57453246863FE664CAFE6A3F0700950291EA24F0614FB6ACEDB12BF0E31D00000000010C0000950291EA24F0614FB6ACEDB12BF0E31D00002087AEB70000</t>
        </is>
      </c>
      <c r="C1410" t="inlineStr">
        <is>
          <t>cmm4yuovi01zncuqwwqye503j</t>
        </is>
      </c>
      <c r="D1410" t="inlineStr">
        <is>
          <t>http://localhost:8787/api/admin/requirements/documents/cmm4yuovi01zncuqwwqye503j/view</t>
        </is>
      </c>
      <c r="E1410">
        <f>HYPERLÄNK("http://localhost:8787/api/admin/requirements/documents/cmm4yuovi01zncuqwwqye503j/view";"Öppna PDF")</f>
        <v/>
      </c>
      <c r="F1410">
        <f>HYPERLINK("http://localhost:8787/api/admin/requirements/documents/cmm4yuovi01zncuqwwqye503j/view","Open PDF")</f>
        <v/>
      </c>
      <c r="G1410" t="inlineStr">
        <is>
          <t>cmm55w57p0004cuisfrtpqly8</t>
        </is>
      </c>
      <c r="H1410" t="inlineStr">
        <is>
          <t>Beslutsvillkor</t>
        </is>
      </c>
      <c r="I1410" t="inlineStr">
        <is>
          <t>LagringsvolymTid</t>
        </is>
      </c>
      <c r="J1410" t="inlineStr">
        <is>
          <t>Maxmangd</t>
        </is>
      </c>
      <c r="K1410" t="inlineStr">
        <is>
          <t>I Sverige deponeras den mesta betongkross trots att det ofta är förbjudet enligt EUs direktiv och infört i svenska föreskrifter: “8 § Följande avfall får inte deponeras: punkt 8.</t>
        </is>
      </c>
      <c r="L1410" t="inlineStr">
        <is>
          <t>I Sverige deponeras den mesta betongkross trots att det ofta är förbjudet enligt EUs direktiv och infört i svenska föreskrifter: “8 § Följande avfall får inte deponeras: punkt 8.</t>
        </is>
      </c>
      <c r="M1410" t="inlineStr">
        <is>
          <t>SKA</t>
        </is>
      </c>
      <c r="N1410" t="inlineStr"/>
      <c r="O1410" t="inlineStr"/>
      <c r="P1410" t="inlineStr"/>
      <c r="Q1410" t="inlineStr">
        <is>
          <t>Driftbegransning vid avvikelse</t>
        </is>
      </c>
      <c r="R1410" t="inlineStr">
        <is>
          <t>Alltid</t>
        </is>
      </c>
      <c r="S1410" t="inlineStr"/>
      <c r="T1410" t="inlineStr">
        <is>
          <t>543455</t>
        </is>
      </c>
      <c r="U1410" t="inlineStr"/>
      <c r="V1410" t="inlineStr"/>
      <c r="W1410" t="inlineStr">
        <is>
          <t>Nej</t>
        </is>
      </c>
      <c r="X1410" t="inlineStr">
        <is>
          <t>Nej</t>
        </is>
      </c>
      <c r="Y1410" t="inlineStr">
        <is>
          <t>Nej</t>
        </is>
      </c>
      <c r="Z1410" t="inlineStr">
        <is>
          <t>Nej</t>
        </is>
      </c>
      <c r="AA1410" t="n">
        <v>4</v>
      </c>
      <c r="AB1410" t="inlineStr">
        <is>
          <t>Avfallsmangder och lagringstid</t>
        </is>
      </c>
      <c r="AC1410" t="inlineStr">
        <is>
          <t>Avfallsforteckning</t>
        </is>
      </c>
      <c r="AD1410" t="inlineStr">
        <is>
          <t>Nej</t>
        </is>
      </c>
      <c r="AE1410" t="inlineStr">
        <is>
          <t>Nej</t>
        </is>
      </c>
      <c r="AF1410" t="inlineStr">
        <is>
          <t>Ej behandlad</t>
        </is>
      </c>
      <c r="AG1410" t="inlineStr">
        <is>
          <t>AUTO_GENERERAD. Verifiera citat mot kallfil.</t>
        </is>
      </c>
      <c r="AH1410" t="inlineStr">
        <is>
          <t>MEDIUM</t>
        </is>
      </c>
      <c r="AI1410" t="inlineStr">
        <is>
          <t>AUTO</t>
        </is>
      </c>
      <c r="AJ1410" t="inlineStr">
        <is>
          <t>Nej</t>
        </is>
      </c>
      <c r="AK1410" t="inlineStr"/>
      <c r="AL1410" t="inlineStr"/>
      <c r="AM1410" t="inlineStr"/>
      <c r="AN1410" t="inlineStr"/>
      <c r="AO1410" t="inlineStr">
        <is>
          <t>cmm4yuovi01zncuqwwqye503j</t>
        </is>
      </c>
      <c r="AP1410" t="inlineStr">
        <is>
          <t>http://localhost:8787/api/admin/requirements/documents/cmm4yuovi01zncuqwwqye503j/view</t>
        </is>
      </c>
      <c r="AQ1410">
        <f>HYPERLÄNK("http://localhost:8787/api/admin/requirements/documents/cmm4yuovi01zncuqwwqye503j/view";"Öppna PDF")</f>
        <v/>
      </c>
      <c r="AR1410">
        <f>HYPERLINK("http://localhost:8787/api/admin/requirements/documents/cmm4yuovi01zncuqwwqye503j/view","Open PDF")</f>
        <v/>
      </c>
      <c r="AS1410" t="inlineStr">
        <is>
          <t>cmm55w57p0004cuisfrtpqly8</t>
        </is>
      </c>
      <c r="AT1410" t="inlineStr">
        <is>
          <t>cmm4xvu980000cuh4vj0usz09</t>
        </is>
      </c>
      <c r="AU1410" t="inlineStr">
        <is>
          <t>ndamål Postadress Besöksadress Strängnäs</t>
        </is>
      </c>
      <c r="AV1410" t="inlineStr">
        <is>
          <t>Kommun</t>
        </is>
      </c>
      <c r="AW1410" t="inlineStr">
        <is>
          <t>ndamål Postadress Besöksadress Strängnäs kommun</t>
        </is>
      </c>
      <c r="AX1410" t="inlineStr">
        <is>
          <t>2026-02</t>
        </is>
      </c>
      <c r="AY1410" t="inlineStr">
        <is>
          <t>Beslut</t>
        </is>
      </c>
      <c r="AZ1410" t="inlineStr">
        <is>
          <t>2026-02-03</t>
        </is>
      </c>
      <c r="BA1410" t="inlineStr">
        <is>
          <t>MIL20251443_2026-02-03.pdf</t>
        </is>
      </c>
      <c r="BB1410" t="inlineStr">
        <is>
          <t>VB: [2026KC5853]SBK / Admin SBK / Vidarebefordra/fördela ärende</t>
        </is>
      </c>
      <c r="BC1410" t="inlineStr">
        <is>
          <t>AUTO</t>
        </is>
      </c>
      <c r="BD1410" t="inlineStr"/>
      <c r="BE1410" t="inlineStr"/>
      <c r="BF1410" t="inlineStr">
        <is>
          <t>AUTO_GENERERAD. Bekrafta metadata mot kallfil.</t>
        </is>
      </c>
      <c r="BG1410">
        <f>HYPERLINK("C:\Users\jimmy\Desktop\Examens arbete\Kod\Ny mapp\remix_-copy-of-miljöbeslut.se-portal\MIL20251443_2026-02-03.pdf", "Öppna PDF")</f>
        <v/>
      </c>
    </row>
    <row r="1411">
      <c r="A1411" t="inlineStr">
        <is>
          <t>KRAV-AUTO-001410</t>
        </is>
      </c>
      <c r="B1411" t="inlineStr">
        <is>
          <t>ADMIN-INDEX-2026-02-27-00000000125C043F57453246863FE664CAFE6A3F0700950291EA24F0614FB6ACEDB12BF0E31D00000000010C0000950291EA24F0614FB6ACEDB12BF0E31D00002087AEB70000</t>
        </is>
      </c>
      <c r="C1411" t="inlineStr">
        <is>
          <t>cmm4yuovi01zncuqwwqye503j</t>
        </is>
      </c>
      <c r="D1411" t="inlineStr">
        <is>
          <t>http://localhost:8787/api/admin/requirements/documents/cmm4yuovi01zncuqwwqye503j/view</t>
        </is>
      </c>
      <c r="E1411">
        <f>HYPERLÄNK("http://localhost:8787/api/admin/requirements/documents/cmm4yuovi01zncuqwwqye503j/view";"Öppna PDF")</f>
        <v/>
      </c>
      <c r="F1411">
        <f>HYPERLINK("http://localhost:8787/api/admin/requirements/documents/cmm4yuovi01zncuqwwqye503j/view","Open PDF")</f>
        <v/>
      </c>
      <c r="G1411" t="inlineStr">
        <is>
          <t>cmm55w57p0004cuisfrtpqly8</t>
        </is>
      </c>
      <c r="H1411" t="inlineStr">
        <is>
          <t>Beslutsvillkor</t>
        </is>
      </c>
      <c r="I1411" t="inlineStr">
        <is>
          <t>Ytkonstruktion</t>
        </is>
      </c>
      <c r="J1411" t="inlineStr">
        <is>
          <t>Tat yta</t>
        </is>
      </c>
      <c r="K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11" t="inlineStr">
        <is>
          <t>SKA</t>
        </is>
      </c>
      <c r="N1411" t="inlineStr"/>
      <c r="O1411" t="inlineStr"/>
      <c r="P1411" t="inlineStr"/>
      <c r="Q1411" t="inlineStr"/>
      <c r="R1411" t="inlineStr">
        <is>
          <t>Vid mellanlagring av avfall</t>
        </is>
      </c>
      <c r="S1411" t="inlineStr"/>
      <c r="T1411" t="inlineStr">
        <is>
          <t>543455</t>
        </is>
      </c>
      <c r="U1411" t="inlineStr"/>
      <c r="V1411" t="inlineStr"/>
      <c r="W1411" t="inlineStr">
        <is>
          <t>Ja</t>
        </is>
      </c>
      <c r="X1411" t="inlineStr">
        <is>
          <t>Nej</t>
        </is>
      </c>
      <c r="Y1411" t="inlineStr">
        <is>
          <t>Nej</t>
        </is>
      </c>
      <c r="Z1411" t="inlineStr">
        <is>
          <t>Nej</t>
        </is>
      </c>
      <c r="AA1411" t="n">
        <v>5</v>
      </c>
      <c r="AB1411" t="inlineStr">
        <is>
          <t>Teknisk beskrivning av platta</t>
        </is>
      </c>
      <c r="AC1411" t="inlineStr">
        <is>
          <t>Teknisk ritning platta</t>
        </is>
      </c>
      <c r="AD1411" t="inlineStr">
        <is>
          <t>Nej</t>
        </is>
      </c>
      <c r="AE1411" t="inlineStr">
        <is>
          <t>Nej</t>
        </is>
      </c>
      <c r="AF1411" t="inlineStr">
        <is>
          <t>Ej behandlad</t>
        </is>
      </c>
      <c r="AG1411" t="inlineStr">
        <is>
          <t>AUTO_GENERERAD. Verifiera citat mot kallfil.</t>
        </is>
      </c>
      <c r="AH1411" t="inlineStr">
        <is>
          <t>MEDIUM</t>
        </is>
      </c>
      <c r="AI1411" t="inlineStr">
        <is>
          <t>AUTO</t>
        </is>
      </c>
      <c r="AJ1411" t="inlineStr">
        <is>
          <t>Nej</t>
        </is>
      </c>
      <c r="AK1411" t="inlineStr"/>
      <c r="AL1411" t="inlineStr"/>
      <c r="AM1411" t="inlineStr"/>
      <c r="AN1411" t="inlineStr"/>
      <c r="AO1411" t="inlineStr">
        <is>
          <t>cmm4yuovi01zncuqwwqye503j</t>
        </is>
      </c>
      <c r="AP1411" t="inlineStr">
        <is>
          <t>http://localhost:8787/api/admin/requirements/documents/cmm4yuovi01zncuqwwqye503j/view</t>
        </is>
      </c>
      <c r="AQ1411">
        <f>HYPERLÄNK("http://localhost:8787/api/admin/requirements/documents/cmm4yuovi01zncuqwwqye503j/view";"Öppna PDF")</f>
        <v/>
      </c>
      <c r="AR1411">
        <f>HYPERLINK("http://localhost:8787/api/admin/requirements/documents/cmm4yuovi01zncuqwwqye503j/view","Open PDF")</f>
        <v/>
      </c>
      <c r="AS1411" t="inlineStr">
        <is>
          <t>cmm55w57p0004cuisfrtpqly8</t>
        </is>
      </c>
      <c r="AT1411" t="inlineStr">
        <is>
          <t>cmm4xvu980000cuh4vj0usz09</t>
        </is>
      </c>
      <c r="AU1411" t="inlineStr">
        <is>
          <t>ndamål Postadress Besöksadress Strängnäs</t>
        </is>
      </c>
      <c r="AV1411" t="inlineStr">
        <is>
          <t>Kommun</t>
        </is>
      </c>
      <c r="AW1411" t="inlineStr">
        <is>
          <t>ndamål Postadress Besöksadress Strängnäs kommun</t>
        </is>
      </c>
      <c r="AX1411" t="inlineStr">
        <is>
          <t>2026-02</t>
        </is>
      </c>
      <c r="AY1411" t="inlineStr">
        <is>
          <t>Beslut</t>
        </is>
      </c>
      <c r="AZ1411" t="inlineStr">
        <is>
          <t>2026-02-03</t>
        </is>
      </c>
      <c r="BA1411" t="inlineStr">
        <is>
          <t>MIL20251443_2026-02-03.pdf</t>
        </is>
      </c>
      <c r="BB1411" t="inlineStr">
        <is>
          <t>VB: [2026KC5853]SBK / Admin SBK / Vidarebefordra/fördela ärende</t>
        </is>
      </c>
      <c r="BC1411" t="inlineStr">
        <is>
          <t>AUTO</t>
        </is>
      </c>
      <c r="BD1411" t="inlineStr"/>
      <c r="BE1411" t="inlineStr"/>
      <c r="BF1411" t="inlineStr">
        <is>
          <t>AUTO_GENERERAD. Bekrafta metadata mot kallfil.</t>
        </is>
      </c>
      <c r="BG1411">
        <f>HYPERLINK("C:\Users\jimmy\Desktop\Examens arbete\Kod\Ny mapp\remix_-copy-of-miljöbeslut.se-portal\MIL20251443_2026-02-03.pdf", "Öppna PDF")</f>
        <v/>
      </c>
    </row>
    <row r="1412">
      <c r="A1412" t="inlineStr">
        <is>
          <t>KRAV-AUTO-001411</t>
        </is>
      </c>
      <c r="B1412" t="inlineStr">
        <is>
          <t>ADMIN-INDEX-2026-02-27-00000000125C043F57453246863FE664CAFE6A3F0700950291EA24F0614FB6ACEDB12BF0E31D00000000010C0000950291EA24F0614FB6ACEDB12BF0E31D00002087AEB70000</t>
        </is>
      </c>
      <c r="C1412" t="inlineStr">
        <is>
          <t>cmm4yuovi01zncuqwwqye503j</t>
        </is>
      </c>
      <c r="D1412" t="inlineStr">
        <is>
          <t>http://localhost:8787/api/admin/requirements/documents/cmm4yuovi01zncuqwwqye503j/view</t>
        </is>
      </c>
      <c r="E1412">
        <f>HYPERLÄNK("http://localhost:8787/api/admin/requirements/documents/cmm4yuovi01zncuqwwqye503j/view";"Öppna PDF")</f>
        <v/>
      </c>
      <c r="F1412">
        <f>HYPERLINK("http://localhost:8787/api/admin/requirements/documents/cmm4yuovi01zncuqwwqye503j/view","Open PDF")</f>
        <v/>
      </c>
      <c r="G1412" t="inlineStr">
        <is>
          <t>cmm55w57p0004cuisfrtpqly8</t>
        </is>
      </c>
      <c r="H1412" t="inlineStr">
        <is>
          <t>Beslutsvillkor</t>
        </is>
      </c>
      <c r="I1412" t="inlineStr">
        <is>
          <t>Ytkonstruktion</t>
        </is>
      </c>
      <c r="J1412" t="inlineStr">
        <is>
          <t>Tat yta</t>
        </is>
      </c>
      <c r="K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12" t="inlineStr">
        <is>
          <t>SKA</t>
        </is>
      </c>
      <c r="N1412" t="inlineStr"/>
      <c r="O1412" t="inlineStr">
        <is>
          <t>2024-12-20</t>
        </is>
      </c>
      <c r="P1412" t="inlineStr"/>
      <c r="Q1412" t="inlineStr"/>
      <c r="R1412" t="inlineStr">
        <is>
          <t>Vid mellanlagring av avfall</t>
        </is>
      </c>
      <c r="S1412" t="inlineStr"/>
      <c r="T1412" t="inlineStr">
        <is>
          <t>543455</t>
        </is>
      </c>
      <c r="U1412" t="inlineStr"/>
      <c r="V1412" t="inlineStr"/>
      <c r="W1412" t="inlineStr">
        <is>
          <t>Ja</t>
        </is>
      </c>
      <c r="X1412" t="inlineStr">
        <is>
          <t>Nej</t>
        </is>
      </c>
      <c r="Y1412" t="inlineStr">
        <is>
          <t>Nej</t>
        </is>
      </c>
      <c r="Z1412" t="inlineStr">
        <is>
          <t>Nej</t>
        </is>
      </c>
      <c r="AA1412" t="n">
        <v>5</v>
      </c>
      <c r="AB1412" t="inlineStr">
        <is>
          <t>Teknisk beskrivning av platta</t>
        </is>
      </c>
      <c r="AC1412" t="inlineStr">
        <is>
          <t>Teknisk ritning platta</t>
        </is>
      </c>
      <c r="AD1412" t="inlineStr">
        <is>
          <t>Nej</t>
        </is>
      </c>
      <c r="AE1412" t="inlineStr">
        <is>
          <t>Nej</t>
        </is>
      </c>
      <c r="AF1412" t="inlineStr">
        <is>
          <t>Ej behandlad</t>
        </is>
      </c>
      <c r="AG1412" t="inlineStr">
        <is>
          <t>AUTO_GENERERAD. Verifiera citat mot kallfil.</t>
        </is>
      </c>
      <c r="AH1412" t="inlineStr">
        <is>
          <t>MEDIUM</t>
        </is>
      </c>
      <c r="AI1412" t="inlineStr">
        <is>
          <t>AUTO</t>
        </is>
      </c>
      <c r="AJ1412" t="inlineStr">
        <is>
          <t>Nej</t>
        </is>
      </c>
      <c r="AK1412" t="inlineStr"/>
      <c r="AL1412" t="inlineStr"/>
      <c r="AM1412" t="inlineStr"/>
      <c r="AN1412" t="inlineStr"/>
      <c r="AO1412" t="inlineStr">
        <is>
          <t>cmm4yuovi01zncuqwwqye503j</t>
        </is>
      </c>
      <c r="AP1412" t="inlineStr">
        <is>
          <t>http://localhost:8787/api/admin/requirements/documents/cmm4yuovi01zncuqwwqye503j/view</t>
        </is>
      </c>
      <c r="AQ1412">
        <f>HYPERLÄNK("http://localhost:8787/api/admin/requirements/documents/cmm4yuovi01zncuqwwqye503j/view";"Öppna PDF")</f>
        <v/>
      </c>
      <c r="AR1412">
        <f>HYPERLINK("http://localhost:8787/api/admin/requirements/documents/cmm4yuovi01zncuqwwqye503j/view","Open PDF")</f>
        <v/>
      </c>
      <c r="AS1412" t="inlineStr">
        <is>
          <t>cmm55w57p0004cuisfrtpqly8</t>
        </is>
      </c>
      <c r="AT1412" t="inlineStr">
        <is>
          <t>cmm4xvu980000cuh4vj0usz09</t>
        </is>
      </c>
      <c r="AU1412" t="inlineStr">
        <is>
          <t>ndamål Postadress Besöksadress Strängnäs</t>
        </is>
      </c>
      <c r="AV1412" t="inlineStr">
        <is>
          <t>Kommun</t>
        </is>
      </c>
      <c r="AW1412" t="inlineStr">
        <is>
          <t>ndamål Postadress Besöksadress Strängnäs kommun</t>
        </is>
      </c>
      <c r="AX1412" t="inlineStr">
        <is>
          <t>2026-02</t>
        </is>
      </c>
      <c r="AY1412" t="inlineStr">
        <is>
          <t>Beslut</t>
        </is>
      </c>
      <c r="AZ1412" t="inlineStr">
        <is>
          <t>2026-02-03</t>
        </is>
      </c>
      <c r="BA1412" t="inlineStr">
        <is>
          <t>MIL20251443_2026-02-03.pdf</t>
        </is>
      </c>
      <c r="BB1412" t="inlineStr">
        <is>
          <t>VB: [2026KC5853]SBK / Admin SBK / Vidarebefordra/fördela ärende</t>
        </is>
      </c>
      <c r="BC1412" t="inlineStr">
        <is>
          <t>AUTO</t>
        </is>
      </c>
      <c r="BD1412" t="inlineStr"/>
      <c r="BE1412" t="inlineStr"/>
      <c r="BF1412" t="inlineStr">
        <is>
          <t>AUTO_GENERERAD. Bekrafta metadata mot kallfil.</t>
        </is>
      </c>
      <c r="BG1412">
        <f>HYPERLINK("C:\Users\jimmy\Desktop\Examens arbete\Kod\Ny mapp\remix_-copy-of-miljöbeslut.se-portal\MIL20251443_2026-02-03.pdf", "Öppna PDF")</f>
        <v/>
      </c>
    </row>
    <row r="1413">
      <c r="A1413" t="inlineStr">
        <is>
          <t>KRAV-AUTO-001412</t>
        </is>
      </c>
      <c r="B1413" t="inlineStr">
        <is>
          <t>ADMIN-INDEX-2026-02-27-00000000125C043F57453246863FE664CAFE6A3F0700950291EA24F0614FB6ACEDB12BF0E31D00000000010C0000950291EA24F0614FB6ACEDB12BF0E31D00002087AEB70000</t>
        </is>
      </c>
      <c r="C1413" t="inlineStr">
        <is>
          <t>cmm4yuovf01zkcuqw4fgpfgjm</t>
        </is>
      </c>
      <c r="D1413" t="inlineStr">
        <is>
          <t>http://localhost:8787/api/admin/requirements/documents/cmm4yuovf01zkcuqw4fgpfgjm/view</t>
        </is>
      </c>
      <c r="E1413">
        <f>HYPERLÄNK("http://localhost:8787/api/admin/requirements/documents/cmm4yuovf01zkcuqw4fgpfgjm/view";"Öppna PDF")</f>
        <v/>
      </c>
      <c r="F1413">
        <f>HYPERLINK("http://localhost:8787/api/admin/requirements/documents/cmm4yuovf01zkcuqw4fgpfgjm/view","Open PDF")</f>
        <v/>
      </c>
      <c r="G1413" t="inlineStr">
        <is>
          <t>cmm55w57p0004cuisfrtpqly8</t>
        </is>
      </c>
      <c r="H1413" t="inlineStr">
        <is>
          <t>Beslutsvillkor</t>
        </is>
      </c>
      <c r="I1413" t="inlineStr">
        <is>
          <t>MiljopaverkanForsiktighet</t>
        </is>
      </c>
      <c r="J1413" t="inlineStr">
        <is>
          <t>Skyddsatgarder</t>
        </is>
      </c>
      <c r="K1413" t="inlineStr">
        <is>
          <t>Om en anläggning utformas så att onödigt mycket avfall används kan det vara fråga om bortskaffning av avfall eller deponering av avfall.</t>
        </is>
      </c>
      <c r="L1413" t="inlineStr">
        <is>
          <t>Om en anläggning utformas så att onödigt mycket avfall används kan det vara fråga om bortskaffning av avfall eller deponering av avfall.</t>
        </is>
      </c>
      <c r="M1413" t="inlineStr">
        <is>
          <t>SKA</t>
        </is>
      </c>
      <c r="N1413" t="inlineStr"/>
      <c r="O1413" t="inlineStr"/>
      <c r="P1413" t="inlineStr"/>
      <c r="Q1413" t="inlineStr"/>
      <c r="R1413" t="inlineStr">
        <is>
          <t>Alltid</t>
        </is>
      </c>
      <c r="S1413" t="inlineStr"/>
      <c r="T1413" t="inlineStr">
        <is>
          <t>495874</t>
        </is>
      </c>
      <c r="U1413" t="inlineStr"/>
      <c r="V1413" t="inlineStr"/>
      <c r="W1413" t="inlineStr">
        <is>
          <t>Nej</t>
        </is>
      </c>
      <c r="X1413" t="inlineStr">
        <is>
          <t>Nej</t>
        </is>
      </c>
      <c r="Y1413" t="inlineStr">
        <is>
          <t>Nej</t>
        </is>
      </c>
      <c r="Z1413" t="inlineStr">
        <is>
          <t>Nej</t>
        </is>
      </c>
      <c r="AA1413" t="n">
        <v>10</v>
      </c>
      <c r="AB1413" t="inlineStr">
        <is>
          <t>Miljopaverkan och forsiktighetsmatt</t>
        </is>
      </c>
      <c r="AC1413" t="inlineStr">
        <is>
          <t>Miljo-PM</t>
        </is>
      </c>
      <c r="AD1413" t="inlineStr">
        <is>
          <t>Nej</t>
        </is>
      </c>
      <c r="AE1413" t="inlineStr">
        <is>
          <t>Nej</t>
        </is>
      </c>
      <c r="AF1413" t="inlineStr">
        <is>
          <t>Ej behandlad</t>
        </is>
      </c>
      <c r="AG1413" t="inlineStr">
        <is>
          <t>AUTO_GENERERAD. Verifiera citat mot kallfil.</t>
        </is>
      </c>
      <c r="AH1413" t="inlineStr">
        <is>
          <t>MEDIUM</t>
        </is>
      </c>
      <c r="AI1413" t="inlineStr">
        <is>
          <t>AUTO</t>
        </is>
      </c>
      <c r="AJ1413" t="inlineStr">
        <is>
          <t>Nej</t>
        </is>
      </c>
      <c r="AK1413" t="inlineStr"/>
      <c r="AL1413" t="inlineStr"/>
      <c r="AM1413" t="inlineStr"/>
      <c r="AN1413" t="inlineStr"/>
      <c r="AO1413" t="inlineStr">
        <is>
          <t>cmm4yuovi01zncuqwwqye503j</t>
        </is>
      </c>
      <c r="AP1413" t="inlineStr">
        <is>
          <t>http://localhost:8787/api/admin/requirements/documents/cmm4yuovi01zncuqwwqye503j/view</t>
        </is>
      </c>
      <c r="AQ1413">
        <f>HYPERLÄNK("http://localhost:8787/api/admin/requirements/documents/cmm4yuovi01zncuqwwqye503j/view";"Öppna PDF")</f>
        <v/>
      </c>
      <c r="AR1413">
        <f>HYPERLINK("http://localhost:8787/api/admin/requirements/documents/cmm4yuovi01zncuqwwqye503j/view","Open PDF")</f>
        <v/>
      </c>
      <c r="AS1413" t="inlineStr">
        <is>
          <t>cmm55w57p0004cuisfrtpqly8</t>
        </is>
      </c>
      <c r="AT1413" t="inlineStr">
        <is>
          <t>cmm4xvu980000cuh4vj0usz09</t>
        </is>
      </c>
      <c r="AU1413" t="inlineStr">
        <is>
          <t>ndamål Postadress Besöksadress Strängnäs</t>
        </is>
      </c>
      <c r="AV1413" t="inlineStr">
        <is>
          <t>Kommun</t>
        </is>
      </c>
      <c r="AW1413" t="inlineStr">
        <is>
          <t>ndamål Postadress Besöksadress Strängnäs kommun</t>
        </is>
      </c>
      <c r="AX1413" t="inlineStr">
        <is>
          <t>2026-02</t>
        </is>
      </c>
      <c r="AY1413" t="inlineStr">
        <is>
          <t>Beslut</t>
        </is>
      </c>
      <c r="AZ1413" t="inlineStr">
        <is>
          <t>2026-02-03</t>
        </is>
      </c>
      <c r="BA1413" t="inlineStr">
        <is>
          <t>MIL20251443_2026-02-03.pdf</t>
        </is>
      </c>
      <c r="BB1413" t="inlineStr">
        <is>
          <t>VB: [2026KC5853]SBK / Admin SBK / Vidarebefordra/fördela ärende</t>
        </is>
      </c>
      <c r="BC1413" t="inlineStr">
        <is>
          <t>AUTO</t>
        </is>
      </c>
      <c r="BD1413" t="inlineStr"/>
      <c r="BE1413" t="inlineStr"/>
      <c r="BF1413" t="inlineStr">
        <is>
          <t>AUTO_GENERERAD. Bekrafta metadata mot kallfil.</t>
        </is>
      </c>
      <c r="BG1413">
        <f>HYPERLINK("C:\Users\jimmy\Desktop\Examens arbete\Kod\Ny mapp\remix_-copy-of-miljöbeslut.se-portal\MIL20251443_2026-02-03.pdf", "Öppna PDF")</f>
        <v/>
      </c>
    </row>
    <row r="1414">
      <c r="A1414" t="inlineStr">
        <is>
          <t>KRAV-AUTO-001413</t>
        </is>
      </c>
      <c r="B1414" t="inlineStr">
        <is>
          <t>ADMIN-INDEX-2026-02-27-00000000125C043F57453246863FE664CAFE6A3F0700950291EA24F0614FB6ACEDB12BF0E31D00000000010C0000950291EA24F0614FB6ACEDB12BF0E31D00002087AEB70000</t>
        </is>
      </c>
      <c r="C1414" t="inlineStr">
        <is>
          <t>cmm4yuovf01zkcuqw4fgpfgjm</t>
        </is>
      </c>
      <c r="D1414" t="inlineStr">
        <is>
          <t>http://localhost:8787/api/admin/requirements/documents/cmm4yuovf01zkcuqw4fgpfgjm/view</t>
        </is>
      </c>
      <c r="E1414">
        <f>HYPERLÄNK("http://localhost:8787/api/admin/requirements/documents/cmm4yuovf01zkcuqw4fgpfgjm/view";"Öppna PDF")</f>
        <v/>
      </c>
      <c r="F1414">
        <f>HYPERLINK("http://localhost:8787/api/admin/requirements/documents/cmm4yuovf01zkcuqw4fgpfgjm/view","Open PDF")</f>
        <v/>
      </c>
      <c r="G1414" t="inlineStr">
        <is>
          <t>cmm55w57p0004cuisfrtpqly8</t>
        </is>
      </c>
      <c r="H1414" t="inlineStr">
        <is>
          <t>Beslutsvillkor</t>
        </is>
      </c>
      <c r="I1414" t="inlineStr">
        <is>
          <t>DriftEgenkontroll</t>
        </is>
      </c>
      <c r="J1414" t="inlineStr">
        <is>
          <t>Journalforing</t>
        </is>
      </c>
      <c r="K1414" t="inlineStr">
        <is>
          <t>Person med erfarenhet av miljötekniska undersökningar ska ha utfört provtagningen och analyser ska vara utförda av ackrediterat miljölaboratorium.</t>
        </is>
      </c>
      <c r="L1414" t="inlineStr">
        <is>
          <t>Person med erfarenhet av miljötekniska undersökningar ska ha utfört provtagningen och analyser ska vara utförda av ackrediterat miljölaboratorium.</t>
        </is>
      </c>
      <c r="M1414" t="inlineStr">
        <is>
          <t>SKA</t>
        </is>
      </c>
      <c r="N1414" t="inlineStr"/>
      <c r="O1414" t="inlineStr"/>
      <c r="P1414" t="inlineStr"/>
      <c r="Q1414" t="inlineStr"/>
      <c r="R1414" t="inlineStr">
        <is>
          <t>Lopande drift</t>
        </is>
      </c>
      <c r="S1414" t="inlineStr"/>
      <c r="T1414" t="inlineStr">
        <is>
          <t>495874</t>
        </is>
      </c>
      <c r="U1414" t="inlineStr"/>
      <c r="V1414" t="inlineStr"/>
      <c r="W1414" t="inlineStr">
        <is>
          <t>Nej</t>
        </is>
      </c>
      <c r="X1414" t="inlineStr">
        <is>
          <t>Nej</t>
        </is>
      </c>
      <c r="Y1414" t="inlineStr">
        <is>
          <t>Ja</t>
        </is>
      </c>
      <c r="Z1414" t="inlineStr">
        <is>
          <t>Nej</t>
        </is>
      </c>
      <c r="AA1414" t="n">
        <v>7</v>
      </c>
      <c r="AB1414" t="inlineStr">
        <is>
          <t>Egenkontrollrutiner</t>
        </is>
      </c>
      <c r="AC1414" t="inlineStr">
        <is>
          <t>Egenkontrollprogram</t>
        </is>
      </c>
      <c r="AD1414" t="inlineStr">
        <is>
          <t>Nej</t>
        </is>
      </c>
      <c r="AE1414" t="inlineStr">
        <is>
          <t>Nej</t>
        </is>
      </c>
      <c r="AF1414" t="inlineStr">
        <is>
          <t>Ej behandlad</t>
        </is>
      </c>
      <c r="AG1414" t="inlineStr">
        <is>
          <t>AUTO_GENERERAD. Verifiera citat mot kallfil.</t>
        </is>
      </c>
      <c r="AH1414" t="inlineStr">
        <is>
          <t>MEDIUM</t>
        </is>
      </c>
      <c r="AI1414" t="inlineStr">
        <is>
          <t>AUTO</t>
        </is>
      </c>
      <c r="AJ1414" t="inlineStr">
        <is>
          <t>Nej</t>
        </is>
      </c>
      <c r="AK1414" t="inlineStr"/>
      <c r="AL1414" t="inlineStr"/>
      <c r="AM1414" t="inlineStr"/>
      <c r="AN1414" t="inlineStr"/>
      <c r="AO1414" t="inlineStr">
        <is>
          <t>cmm4yuovi01zncuqwwqye503j</t>
        </is>
      </c>
      <c r="AP1414" t="inlineStr">
        <is>
          <t>http://localhost:8787/api/admin/requirements/documents/cmm4yuovi01zncuqwwqye503j/view</t>
        </is>
      </c>
      <c r="AQ1414">
        <f>HYPERLÄNK("http://localhost:8787/api/admin/requirements/documents/cmm4yuovi01zncuqwwqye503j/view";"Öppna PDF")</f>
        <v/>
      </c>
      <c r="AR1414">
        <f>HYPERLINK("http://localhost:8787/api/admin/requirements/documents/cmm4yuovi01zncuqwwqye503j/view","Open PDF")</f>
        <v/>
      </c>
      <c r="AS1414" t="inlineStr">
        <is>
          <t>cmm55w57p0004cuisfrtpqly8</t>
        </is>
      </c>
      <c r="AT1414" t="inlineStr">
        <is>
          <t>cmm4xvu980000cuh4vj0usz09</t>
        </is>
      </c>
      <c r="AU1414" t="inlineStr">
        <is>
          <t>ndamål Postadress Besöksadress Strängnäs</t>
        </is>
      </c>
      <c r="AV1414" t="inlineStr">
        <is>
          <t>Kommun</t>
        </is>
      </c>
      <c r="AW1414" t="inlineStr">
        <is>
          <t>ndamål Postadress Besöksadress Strängnäs kommun</t>
        </is>
      </c>
      <c r="AX1414" t="inlineStr">
        <is>
          <t>2026-02</t>
        </is>
      </c>
      <c r="AY1414" t="inlineStr">
        <is>
          <t>Beslut</t>
        </is>
      </c>
      <c r="AZ1414" t="inlineStr">
        <is>
          <t>2026-02-03</t>
        </is>
      </c>
      <c r="BA1414" t="inlineStr">
        <is>
          <t>MIL20251443_2026-02-03.pdf</t>
        </is>
      </c>
      <c r="BB1414" t="inlineStr">
        <is>
          <t>VB: [2026KC5853]SBK / Admin SBK / Vidarebefordra/fördela ärende</t>
        </is>
      </c>
      <c r="BC1414" t="inlineStr">
        <is>
          <t>AUTO</t>
        </is>
      </c>
      <c r="BD1414" t="inlineStr"/>
      <c r="BE1414" t="inlineStr"/>
      <c r="BF1414" t="inlineStr">
        <is>
          <t>AUTO_GENERERAD. Bekrafta metadata mot kallfil.</t>
        </is>
      </c>
      <c r="BG1414">
        <f>HYPERLINK("C:\Users\jimmy\Desktop\Examens arbete\Kod\Ny mapp\remix_-copy-of-miljöbeslut.se-portal\MIL20251443_2026-02-03.pdf", "Öppna PDF")</f>
        <v/>
      </c>
    </row>
    <row r="1415">
      <c r="A1415" t="inlineStr">
        <is>
          <t>KRAV-AUTO-001414</t>
        </is>
      </c>
      <c r="B1415" t="inlineStr">
        <is>
          <t>ADMIN-INDEX-2026-02-27-00000000125C043F57453246863FE664CAFE6A3F0700950291EA24F0614FB6ACEDB12BF0E31D00000000010C0000950291EA24F0614FB6ACEDB12BF0E31D00002087AEB70000</t>
        </is>
      </c>
      <c r="C1415" t="inlineStr">
        <is>
          <t>cmm4yuovf01zkcuqw4fgpfgjm</t>
        </is>
      </c>
      <c r="D1415" t="inlineStr">
        <is>
          <t>http://localhost:8787/api/admin/requirements/documents/cmm4yuovf01zkcuqw4fgpfgjm/view</t>
        </is>
      </c>
      <c r="E1415">
        <f>HYPERLÄNK("http://localhost:8787/api/admin/requirements/documents/cmm4yuovf01zkcuqw4fgpfgjm/view";"Öppna PDF")</f>
        <v/>
      </c>
      <c r="F1415">
        <f>HYPERLINK("http://localhost:8787/api/admin/requirements/documents/cmm4yuovf01zkcuqw4fgpfgjm/view","Open PDF")</f>
        <v/>
      </c>
      <c r="G1415" t="inlineStr">
        <is>
          <t>cmm55w57p0004cuisfrtpqly8</t>
        </is>
      </c>
      <c r="H1415" t="inlineStr">
        <is>
          <t>Beslutsvillkor</t>
        </is>
      </c>
      <c r="I1415" t="inlineStr">
        <is>
          <t>Riskhantering</t>
        </is>
      </c>
      <c r="J1415" t="inlineStr">
        <is>
          <t>Riskkontroll</t>
        </is>
      </c>
      <c r="K1415" t="inlineStr">
        <is>
          <t>Alternativt registreras klassad transportvikt, vilket innebär en viss risk att mängden överskattas eftersom alla flak kanske inte kommer att vara maxlastade.</t>
        </is>
      </c>
      <c r="L1415" t="inlineStr">
        <is>
          <t>Alternativt registreras klassad transportvikt, vilket innebär en viss risk att mängden överskattas eftersom alla flak kanske inte kommer att vara maxlastade.</t>
        </is>
      </c>
      <c r="M1415" t="inlineStr">
        <is>
          <t>SKA</t>
        </is>
      </c>
      <c r="N1415" t="inlineStr"/>
      <c r="O1415" t="inlineStr"/>
      <c r="P1415" t="inlineStr"/>
      <c r="Q1415" t="inlineStr"/>
      <c r="R1415" t="inlineStr">
        <is>
          <t>Vid risk for incident</t>
        </is>
      </c>
      <c r="S1415" t="inlineStr"/>
      <c r="T1415" t="inlineStr">
        <is>
          <t>495874</t>
        </is>
      </c>
      <c r="U1415" t="inlineStr"/>
      <c r="V1415" t="inlineStr"/>
      <c r="W1415" t="inlineStr">
        <is>
          <t>Nej</t>
        </is>
      </c>
      <c r="X1415" t="inlineStr">
        <is>
          <t>Nej</t>
        </is>
      </c>
      <c r="Y1415" t="inlineStr">
        <is>
          <t>Ja</t>
        </is>
      </c>
      <c r="Z1415" t="inlineStr">
        <is>
          <t>Ja</t>
        </is>
      </c>
      <c r="AA1415" t="n">
        <v>8</v>
      </c>
      <c r="AB1415" t="inlineStr">
        <is>
          <t>Riskhantering</t>
        </is>
      </c>
      <c r="AC1415" t="inlineStr">
        <is>
          <t>Risk-PM</t>
        </is>
      </c>
      <c r="AD1415" t="inlineStr">
        <is>
          <t>Nej</t>
        </is>
      </c>
      <c r="AE1415" t="inlineStr">
        <is>
          <t>Nej</t>
        </is>
      </c>
      <c r="AF1415" t="inlineStr">
        <is>
          <t>Ej behandlad</t>
        </is>
      </c>
      <c r="AG1415" t="inlineStr">
        <is>
          <t>AUTO_GENERERAD. Verifiera citat mot kallfil.</t>
        </is>
      </c>
      <c r="AH1415" t="inlineStr">
        <is>
          <t>MEDIUM</t>
        </is>
      </c>
      <c r="AI1415" t="inlineStr">
        <is>
          <t>AUTO</t>
        </is>
      </c>
      <c r="AJ1415" t="inlineStr">
        <is>
          <t>Nej</t>
        </is>
      </c>
      <c r="AK1415" t="inlineStr"/>
      <c r="AL1415" t="inlineStr"/>
      <c r="AM1415" t="inlineStr"/>
      <c r="AN1415" t="inlineStr"/>
      <c r="AO1415" t="inlineStr">
        <is>
          <t>cmm4yuovi01zncuqwwqye503j</t>
        </is>
      </c>
      <c r="AP1415" t="inlineStr">
        <is>
          <t>http://localhost:8787/api/admin/requirements/documents/cmm4yuovi01zncuqwwqye503j/view</t>
        </is>
      </c>
      <c r="AQ1415">
        <f>HYPERLÄNK("http://localhost:8787/api/admin/requirements/documents/cmm4yuovi01zncuqwwqye503j/view";"Öppna PDF")</f>
        <v/>
      </c>
      <c r="AR1415">
        <f>HYPERLINK("http://localhost:8787/api/admin/requirements/documents/cmm4yuovi01zncuqwwqye503j/view","Open PDF")</f>
        <v/>
      </c>
      <c r="AS1415" t="inlineStr">
        <is>
          <t>cmm55w57p0004cuisfrtpqly8</t>
        </is>
      </c>
      <c r="AT1415" t="inlineStr">
        <is>
          <t>cmm4xvu980000cuh4vj0usz09</t>
        </is>
      </c>
      <c r="AU1415" t="inlineStr">
        <is>
          <t>ndamål Postadress Besöksadress Strängnäs</t>
        </is>
      </c>
      <c r="AV1415" t="inlineStr">
        <is>
          <t>Kommun</t>
        </is>
      </c>
      <c r="AW1415" t="inlineStr">
        <is>
          <t>ndamål Postadress Besöksadress Strängnäs kommun</t>
        </is>
      </c>
      <c r="AX1415" t="inlineStr">
        <is>
          <t>2026-02</t>
        </is>
      </c>
      <c r="AY1415" t="inlineStr">
        <is>
          <t>Beslut</t>
        </is>
      </c>
      <c r="AZ1415" t="inlineStr">
        <is>
          <t>2026-02-03</t>
        </is>
      </c>
      <c r="BA1415" t="inlineStr">
        <is>
          <t>MIL20251443_2026-02-03.pdf</t>
        </is>
      </c>
      <c r="BB1415" t="inlineStr">
        <is>
          <t>VB: [2026KC5853]SBK / Admin SBK / Vidarebefordra/fördela ärende</t>
        </is>
      </c>
      <c r="BC1415" t="inlineStr">
        <is>
          <t>AUTO</t>
        </is>
      </c>
      <c r="BD1415" t="inlineStr"/>
      <c r="BE1415" t="inlineStr"/>
      <c r="BF1415" t="inlineStr">
        <is>
          <t>AUTO_GENERERAD. Bekrafta metadata mot kallfil.</t>
        </is>
      </c>
      <c r="BG1415">
        <f>HYPERLINK("C:\Users\jimmy\Desktop\Examens arbete\Kod\Ny mapp\remix_-copy-of-miljöbeslut.se-portal\MIL20251443_2026-02-03.pdf", "Öppna PDF")</f>
        <v/>
      </c>
    </row>
    <row r="1416">
      <c r="A1416" t="inlineStr">
        <is>
          <t>KRAV-AUTO-001415</t>
        </is>
      </c>
      <c r="B1416" t="inlineStr">
        <is>
          <t>ADMIN-INDEX-2026-02-27-00000000125C043F57453246863FE664CAFE6A3F0700950291EA24F0614FB6ACEDB12BF0E31D00000000010C0000950291EA24F0614FB6ACEDB12BF0E31D00002087AEB70000</t>
        </is>
      </c>
      <c r="C1416" t="inlineStr">
        <is>
          <t>cmm4yuovc01zhcuqwj6gevkb4</t>
        </is>
      </c>
      <c r="D1416" t="inlineStr">
        <is>
          <t>http://localhost:8787/api/admin/requirements/documents/cmm4yuovc01zhcuqwj6gevkb4/view</t>
        </is>
      </c>
      <c r="E1416">
        <f>HYPERLÄNK("http://localhost:8787/api/admin/requirements/documents/cmm4yuovc01zhcuqwj6gevkb4/view";"Öppna PDF")</f>
        <v/>
      </c>
      <c r="F1416">
        <f>HYPERLINK("http://localhost:8787/api/admin/requirements/documents/cmm4yuovc01zhcuqwj6gevkb4/view","Open PDF")</f>
        <v/>
      </c>
      <c r="G1416" t="inlineStr">
        <is>
          <t>cmm55w57p0004cuisfrtpqly8</t>
        </is>
      </c>
      <c r="H1416" t="inlineStr">
        <is>
          <t>Beslutsvillkor</t>
        </is>
      </c>
      <c r="I1416" t="inlineStr">
        <is>
          <t>DriftEgenkontroll</t>
        </is>
      </c>
      <c r="J1416" t="inlineStr">
        <is>
          <t>Journalforing</t>
        </is>
      </c>
      <c r="K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16" t="inlineStr">
        <is>
          <t>SKA</t>
        </is>
      </c>
      <c r="N1416" t="inlineStr"/>
      <c r="O1416" t="inlineStr">
        <is>
          <t>2025-04-08</t>
        </is>
      </c>
      <c r="P1416" t="inlineStr"/>
      <c r="Q1416" t="inlineStr"/>
      <c r="R1416" t="inlineStr">
        <is>
          <t>Lopande drift</t>
        </is>
      </c>
      <c r="S1416" t="inlineStr"/>
      <c r="T1416" t="inlineStr">
        <is>
          <t>475024</t>
        </is>
      </c>
      <c r="U1416" t="inlineStr"/>
      <c r="V1416" t="inlineStr"/>
      <c r="W1416" t="inlineStr">
        <is>
          <t>Nej</t>
        </is>
      </c>
      <c r="X1416" t="inlineStr">
        <is>
          <t>Nej</t>
        </is>
      </c>
      <c r="Y1416" t="inlineStr">
        <is>
          <t>Ja</t>
        </is>
      </c>
      <c r="Z1416" t="inlineStr">
        <is>
          <t>Nej</t>
        </is>
      </c>
      <c r="AA1416" t="n">
        <v>7</v>
      </c>
      <c r="AB1416" t="inlineStr">
        <is>
          <t>Egenkontrollrutiner</t>
        </is>
      </c>
      <c r="AC1416" t="inlineStr">
        <is>
          <t>Egenkontrollprogram</t>
        </is>
      </c>
      <c r="AD1416" t="inlineStr">
        <is>
          <t>Nej</t>
        </is>
      </c>
      <c r="AE1416" t="inlineStr">
        <is>
          <t>Nej</t>
        </is>
      </c>
      <c r="AF1416" t="inlineStr">
        <is>
          <t>Ej behandlad</t>
        </is>
      </c>
      <c r="AG1416" t="inlineStr">
        <is>
          <t>AUTO_GENERERAD. Verifiera citat mot kallfil.</t>
        </is>
      </c>
      <c r="AH1416" t="inlineStr">
        <is>
          <t>MEDIUM</t>
        </is>
      </c>
      <c r="AI1416" t="inlineStr">
        <is>
          <t>AUTO</t>
        </is>
      </c>
      <c r="AJ1416" t="inlineStr">
        <is>
          <t>Nej</t>
        </is>
      </c>
      <c r="AK1416" t="inlineStr"/>
      <c r="AL1416" t="inlineStr"/>
      <c r="AM1416" t="inlineStr"/>
      <c r="AN1416" t="inlineStr"/>
      <c r="AO1416" t="inlineStr">
        <is>
          <t>cmm4yuovi01zncuqwwqye503j</t>
        </is>
      </c>
      <c r="AP1416" t="inlineStr">
        <is>
          <t>http://localhost:8787/api/admin/requirements/documents/cmm4yuovi01zncuqwwqye503j/view</t>
        </is>
      </c>
      <c r="AQ1416">
        <f>HYPERLÄNK("http://localhost:8787/api/admin/requirements/documents/cmm4yuovi01zncuqwwqye503j/view";"Öppna PDF")</f>
        <v/>
      </c>
      <c r="AR1416">
        <f>HYPERLINK("http://localhost:8787/api/admin/requirements/documents/cmm4yuovi01zncuqwwqye503j/view","Open PDF")</f>
        <v/>
      </c>
      <c r="AS1416" t="inlineStr">
        <is>
          <t>cmm55w57p0004cuisfrtpqly8</t>
        </is>
      </c>
      <c r="AT1416" t="inlineStr">
        <is>
          <t>cmm4xvu980000cuh4vj0usz09</t>
        </is>
      </c>
      <c r="AU1416" t="inlineStr">
        <is>
          <t>ndamål Postadress Besöksadress Strängnäs</t>
        </is>
      </c>
      <c r="AV1416" t="inlineStr">
        <is>
          <t>Kommun</t>
        </is>
      </c>
      <c r="AW1416" t="inlineStr">
        <is>
          <t>ndamål Postadress Besöksadress Strängnäs kommun</t>
        </is>
      </c>
      <c r="AX1416" t="inlineStr">
        <is>
          <t>2026-02</t>
        </is>
      </c>
      <c r="AY1416" t="inlineStr">
        <is>
          <t>Beslut</t>
        </is>
      </c>
      <c r="AZ1416" t="inlineStr">
        <is>
          <t>2026-02-03</t>
        </is>
      </c>
      <c r="BA1416" t="inlineStr">
        <is>
          <t>MIL20251443_2026-02-03.pdf</t>
        </is>
      </c>
      <c r="BB1416" t="inlineStr">
        <is>
          <t>VB: [2026KC5853]SBK / Admin SBK / Vidarebefordra/fördela ärende</t>
        </is>
      </c>
      <c r="BC1416" t="inlineStr">
        <is>
          <t>AUTO</t>
        </is>
      </c>
      <c r="BD1416" t="inlineStr"/>
      <c r="BE1416" t="inlineStr"/>
      <c r="BF1416" t="inlineStr">
        <is>
          <t>AUTO_GENERERAD. Bekrafta metadata mot kallfil.</t>
        </is>
      </c>
      <c r="BG1416">
        <f>HYPERLINK("C:\Users\jimmy\Desktop\Examens arbete\Kod\Ny mapp\remix_-copy-of-miljöbeslut.se-portal\MIL20251443_2026-02-03.pdf", "Öppna PDF")</f>
        <v/>
      </c>
    </row>
    <row r="1417">
      <c r="A1417" t="inlineStr">
        <is>
          <t>KRAV-AUTO-001416</t>
        </is>
      </c>
      <c r="B1417" t="inlineStr">
        <is>
          <t>ADMIN-INDEX-2026-02-27-00000000125C043F57453246863FE664CAFE6A3F0700950291EA24F0614FB6ACEDB12BF0E31D00000000010C0000950291EA24F0614FB6ACEDB12BF0E31D00002087AEB70000</t>
        </is>
      </c>
      <c r="C1417" t="inlineStr">
        <is>
          <t>cmm4yuovc01zhcuqwj6gevkb4</t>
        </is>
      </c>
      <c r="D1417" t="inlineStr">
        <is>
          <t>http://localhost:8787/api/admin/requirements/documents/cmm4yuovc01zhcuqwj6gevkb4/view</t>
        </is>
      </c>
      <c r="E1417">
        <f>HYPERLÄNK("http://localhost:8787/api/admin/requirements/documents/cmm4yuovc01zhcuqwj6gevkb4/view";"Öppna PDF")</f>
        <v/>
      </c>
      <c r="F1417">
        <f>HYPERLINK("http://localhost:8787/api/admin/requirements/documents/cmm4yuovc01zhcuqwj6gevkb4/view","Open PDF")</f>
        <v/>
      </c>
      <c r="G1417" t="inlineStr">
        <is>
          <t>cmm55w57p0004cuisfrtpqly8</t>
        </is>
      </c>
      <c r="H1417" t="inlineStr">
        <is>
          <t>Beslutsvillkor</t>
        </is>
      </c>
      <c r="I1417" t="inlineStr">
        <is>
          <t>DagvattenLakvatten</t>
        </is>
      </c>
      <c r="J1417" t="inlineStr">
        <is>
          <t>Uppsamling</t>
        </is>
      </c>
      <c r="K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17" t="inlineStr">
        <is>
          <t>SKA</t>
        </is>
      </c>
      <c r="N1417" t="inlineStr">
        <is>
          <t>MPF</t>
        </is>
      </c>
      <c r="O1417" t="inlineStr"/>
      <c r="P1417" t="inlineStr">
        <is>
          <t>Arlig</t>
        </is>
      </c>
      <c r="Q1417" t="inlineStr"/>
      <c r="R1417" t="inlineStr">
        <is>
          <t>Vid nederbord och avrinning</t>
        </is>
      </c>
      <c r="S1417" t="inlineStr"/>
      <c r="T1417" t="inlineStr">
        <is>
          <t>475024</t>
        </is>
      </c>
      <c r="U1417" t="inlineStr"/>
      <c r="V1417" t="inlineStr"/>
      <c r="W1417" t="inlineStr">
        <is>
          <t>Nej</t>
        </is>
      </c>
      <c r="X1417" t="inlineStr">
        <is>
          <t>Ja</t>
        </is>
      </c>
      <c r="Y1417" t="inlineStr">
        <is>
          <t>Ja</t>
        </is>
      </c>
      <c r="Z1417" t="inlineStr">
        <is>
          <t>Nej</t>
        </is>
      </c>
      <c r="AA1417" t="n">
        <v>6</v>
      </c>
      <c r="AB1417" t="inlineStr">
        <is>
          <t>Lakvattenhantering</t>
        </is>
      </c>
      <c r="AC1417" t="inlineStr">
        <is>
          <t>Flodesschema dagvatten-lakvatten</t>
        </is>
      </c>
      <c r="AD1417" t="inlineStr">
        <is>
          <t>Nej</t>
        </is>
      </c>
      <c r="AE1417" t="inlineStr">
        <is>
          <t>Nej</t>
        </is>
      </c>
      <c r="AF1417" t="inlineStr">
        <is>
          <t>Ej behandlad</t>
        </is>
      </c>
      <c r="AG1417" t="inlineStr">
        <is>
          <t>AUTO_GENERERAD. Verifiera citat mot kallfil.</t>
        </is>
      </c>
      <c r="AH1417" t="inlineStr">
        <is>
          <t>HIGH</t>
        </is>
      </c>
      <c r="AI1417" t="inlineStr">
        <is>
          <t>AUTO</t>
        </is>
      </c>
      <c r="AJ1417" t="inlineStr">
        <is>
          <t>Nej</t>
        </is>
      </c>
      <c r="AK1417" t="inlineStr"/>
      <c r="AL1417" t="inlineStr"/>
      <c r="AM1417" t="inlineStr"/>
      <c r="AN1417" t="inlineStr"/>
      <c r="AO1417" t="inlineStr">
        <is>
          <t>cmm4yuovi01zncuqwwqye503j</t>
        </is>
      </c>
      <c r="AP1417" t="inlineStr">
        <is>
          <t>http://localhost:8787/api/admin/requirements/documents/cmm4yuovi01zncuqwwqye503j/view</t>
        </is>
      </c>
      <c r="AQ1417">
        <f>HYPERLÄNK("http://localhost:8787/api/admin/requirements/documents/cmm4yuovi01zncuqwwqye503j/view";"Öppna PDF")</f>
        <v/>
      </c>
      <c r="AR1417">
        <f>HYPERLINK("http://localhost:8787/api/admin/requirements/documents/cmm4yuovi01zncuqwwqye503j/view","Open PDF")</f>
        <v/>
      </c>
      <c r="AS1417" t="inlineStr">
        <is>
          <t>cmm55w57p0004cuisfrtpqly8</t>
        </is>
      </c>
      <c r="AT1417" t="inlineStr">
        <is>
          <t>cmm4xvu980000cuh4vj0usz09</t>
        </is>
      </c>
      <c r="AU1417" t="inlineStr">
        <is>
          <t>ndamål Postadress Besöksadress Strängnäs</t>
        </is>
      </c>
      <c r="AV1417" t="inlineStr">
        <is>
          <t>Kommun</t>
        </is>
      </c>
      <c r="AW1417" t="inlineStr">
        <is>
          <t>ndamål Postadress Besöksadress Strängnäs kommun</t>
        </is>
      </c>
      <c r="AX1417" t="inlineStr">
        <is>
          <t>2026-02</t>
        </is>
      </c>
      <c r="AY1417" t="inlineStr">
        <is>
          <t>Beslut</t>
        </is>
      </c>
      <c r="AZ1417" t="inlineStr">
        <is>
          <t>2026-02-03</t>
        </is>
      </c>
      <c r="BA1417" t="inlineStr">
        <is>
          <t>MIL20251443_2026-02-03.pdf</t>
        </is>
      </c>
      <c r="BB1417" t="inlineStr">
        <is>
          <t>VB: [2026KC5853]SBK / Admin SBK / Vidarebefordra/fördela ärende</t>
        </is>
      </c>
      <c r="BC1417" t="inlineStr">
        <is>
          <t>AUTO</t>
        </is>
      </c>
      <c r="BD1417" t="inlineStr"/>
      <c r="BE1417" t="inlineStr"/>
      <c r="BF1417" t="inlineStr">
        <is>
          <t>AUTO_GENERERAD. Bekrafta metadata mot kallfil.</t>
        </is>
      </c>
      <c r="BG1417">
        <f>HYPERLINK("C:\Users\jimmy\Desktop\Examens arbete\Kod\Ny mapp\remix_-copy-of-miljöbeslut.se-portal\MIL20251443_2026-02-03.pdf", "Öppna PDF")</f>
        <v/>
      </c>
    </row>
    <row r="1418">
      <c r="A1418" t="inlineStr">
        <is>
          <t>KRAV-AUTO-001417</t>
        </is>
      </c>
      <c r="B1418" t="inlineStr">
        <is>
          <t>ADMIN-INDEX-2026-02-27-00000000125C043F57453246863FE664CAFE6A3F0700950291EA24F0614FB6ACEDB12BF0E31D00000000010C0000950291EA24F0614FB6ACEDB12BF0E31D00002087AEB70000</t>
        </is>
      </c>
      <c r="C1418" t="inlineStr">
        <is>
          <t>cmm4yuovc01zhcuqwj6gevkb4</t>
        </is>
      </c>
      <c r="D1418" t="inlineStr">
        <is>
          <t>http://localhost:8787/api/admin/requirements/documents/cmm4yuovc01zhcuqwj6gevkb4/view</t>
        </is>
      </c>
      <c r="E1418">
        <f>HYPERLÄNK("http://localhost:8787/api/admin/requirements/documents/cmm4yuovc01zhcuqwj6gevkb4/view";"Öppna PDF")</f>
        <v/>
      </c>
      <c r="F1418">
        <f>HYPERLINK("http://localhost:8787/api/admin/requirements/documents/cmm4yuovc01zhcuqwj6gevkb4/view","Open PDF")</f>
        <v/>
      </c>
      <c r="G1418" t="inlineStr">
        <is>
          <t>cmm55w57p0004cuisfrtpqly8</t>
        </is>
      </c>
      <c r="H1418" t="inlineStr">
        <is>
          <t>Beslutsvillkor</t>
        </is>
      </c>
      <c r="I1418" t="inlineStr">
        <is>
          <t>Riskhantering</t>
        </is>
      </c>
      <c r="J1418" t="inlineStr">
        <is>
          <t>Riskkontroll</t>
        </is>
      </c>
      <c r="K1418" t="inlineStr">
        <is>
          <t>Med tillförda massor ska mjuka vallar förstärkas i två skarpa kurvor för att minska riskerna vid potentiella avkörningar.</t>
        </is>
      </c>
      <c r="L1418" t="inlineStr">
        <is>
          <t>Med tillförda massor ska mjuka vallar förstärkas i två skarpa kurvor för att minska riskerna vid potentiella avkörningar.</t>
        </is>
      </c>
      <c r="M1418" t="inlineStr">
        <is>
          <t>SKA</t>
        </is>
      </c>
      <c r="N1418" t="inlineStr"/>
      <c r="O1418" t="inlineStr"/>
      <c r="P1418" t="inlineStr"/>
      <c r="Q1418" t="inlineStr"/>
      <c r="R1418" t="inlineStr">
        <is>
          <t>Vid risk for incident</t>
        </is>
      </c>
      <c r="S1418" t="inlineStr"/>
      <c r="T1418" t="inlineStr">
        <is>
          <t>475024</t>
        </is>
      </c>
      <c r="U1418" t="inlineStr"/>
      <c r="V1418" t="inlineStr"/>
      <c r="W1418" t="inlineStr">
        <is>
          <t>Nej</t>
        </is>
      </c>
      <c r="X1418" t="inlineStr">
        <is>
          <t>Nej</t>
        </is>
      </c>
      <c r="Y1418" t="inlineStr">
        <is>
          <t>Ja</t>
        </is>
      </c>
      <c r="Z1418" t="inlineStr">
        <is>
          <t>Ja</t>
        </is>
      </c>
      <c r="AA1418" t="n">
        <v>8</v>
      </c>
      <c r="AB1418" t="inlineStr">
        <is>
          <t>Riskhantering</t>
        </is>
      </c>
      <c r="AC1418" t="inlineStr">
        <is>
          <t>Risk-PM</t>
        </is>
      </c>
      <c r="AD1418" t="inlineStr">
        <is>
          <t>Nej</t>
        </is>
      </c>
      <c r="AE1418" t="inlineStr">
        <is>
          <t>Nej</t>
        </is>
      </c>
      <c r="AF1418" t="inlineStr">
        <is>
          <t>Ej behandlad</t>
        </is>
      </c>
      <c r="AG1418" t="inlineStr">
        <is>
          <t>AUTO_GENERERAD. Verifiera citat mot kallfil.</t>
        </is>
      </c>
      <c r="AH1418" t="inlineStr">
        <is>
          <t>MEDIUM</t>
        </is>
      </c>
      <c r="AI1418" t="inlineStr">
        <is>
          <t>AUTO</t>
        </is>
      </c>
      <c r="AJ1418" t="inlineStr">
        <is>
          <t>Nej</t>
        </is>
      </c>
      <c r="AK1418" t="inlineStr"/>
      <c r="AL1418" t="inlineStr"/>
      <c r="AM1418" t="inlineStr"/>
      <c r="AN1418" t="inlineStr"/>
      <c r="AO1418" t="inlineStr">
        <is>
          <t>cmm4yuovi01zncuqwwqye503j</t>
        </is>
      </c>
      <c r="AP1418" t="inlineStr">
        <is>
          <t>http://localhost:8787/api/admin/requirements/documents/cmm4yuovi01zncuqwwqye503j/view</t>
        </is>
      </c>
      <c r="AQ1418">
        <f>HYPERLÄNK("http://localhost:8787/api/admin/requirements/documents/cmm4yuovi01zncuqwwqye503j/view";"Öppna PDF")</f>
        <v/>
      </c>
      <c r="AR1418">
        <f>HYPERLINK("http://localhost:8787/api/admin/requirements/documents/cmm4yuovi01zncuqwwqye503j/view","Open PDF")</f>
        <v/>
      </c>
      <c r="AS1418" t="inlineStr">
        <is>
          <t>cmm55w57p0004cuisfrtpqly8</t>
        </is>
      </c>
      <c r="AT1418" t="inlineStr">
        <is>
          <t>cmm4xvu980000cuh4vj0usz09</t>
        </is>
      </c>
      <c r="AU1418" t="inlineStr">
        <is>
          <t>ndamål Postadress Besöksadress Strängnäs</t>
        </is>
      </c>
      <c r="AV1418" t="inlineStr">
        <is>
          <t>Kommun</t>
        </is>
      </c>
      <c r="AW1418" t="inlineStr">
        <is>
          <t>ndamål Postadress Besöksadress Strängnäs kommun</t>
        </is>
      </c>
      <c r="AX1418" t="inlineStr">
        <is>
          <t>2026-02</t>
        </is>
      </c>
      <c r="AY1418" t="inlineStr">
        <is>
          <t>Beslut</t>
        </is>
      </c>
      <c r="AZ1418" t="inlineStr">
        <is>
          <t>2026-02-03</t>
        </is>
      </c>
      <c r="BA1418" t="inlineStr">
        <is>
          <t>MIL20251443_2026-02-03.pdf</t>
        </is>
      </c>
      <c r="BB1418" t="inlineStr">
        <is>
          <t>VB: [2026KC5853]SBK / Admin SBK / Vidarebefordra/fördela ärende</t>
        </is>
      </c>
      <c r="BC1418" t="inlineStr">
        <is>
          <t>AUTO</t>
        </is>
      </c>
      <c r="BD1418" t="inlineStr"/>
      <c r="BE1418" t="inlineStr"/>
      <c r="BF1418" t="inlineStr">
        <is>
          <t>AUTO_GENERERAD. Bekrafta metadata mot kallfil.</t>
        </is>
      </c>
      <c r="BG1418">
        <f>HYPERLINK("C:\Users\jimmy\Desktop\Examens arbete\Kod\Ny mapp\remix_-copy-of-miljöbeslut.se-portal\MIL20251443_2026-02-03.pdf", "Öppna PDF")</f>
        <v/>
      </c>
    </row>
    <row r="1419">
      <c r="A1419" t="inlineStr">
        <is>
          <t>KRAV-AUTO-001418</t>
        </is>
      </c>
      <c r="B1419" t="inlineStr">
        <is>
          <t>ADMIN-INDEX-2026-02-27-00000000125C043F57453246863FE664CAFE6A3F0700950291EA24F0614FB6ACEDB12BF0E31D00000000010C0000950291EA24F0614FB6ACEDB12BF0E31D00002087AEB80000</t>
        </is>
      </c>
      <c r="C1419" t="inlineStr">
        <is>
          <t>cmm4yuov901zecuqww78ts20e</t>
        </is>
      </c>
      <c r="D1419" t="inlineStr">
        <is>
          <t>http://localhost:8787/api/admin/requirements/documents/cmm4yuov901zecuqww78ts20e/view</t>
        </is>
      </c>
      <c r="E1419">
        <f>HYPERLÄNK("http://localhost:8787/api/admin/requirements/documents/cmm4yuov901zecuqww78ts20e/view";"Öppna PDF")</f>
        <v/>
      </c>
      <c r="F1419">
        <f>HYPERLINK("http://localhost:8787/api/admin/requirements/documents/cmm4yuov901zecuqww78ts20e/view","Open PDF")</f>
        <v/>
      </c>
      <c r="G1419" t="inlineStr">
        <is>
          <t>cmm55w57p0004cuisfrtpqly8</t>
        </is>
      </c>
      <c r="H1419" t="inlineStr">
        <is>
          <t>Beslutsvillkor</t>
        </is>
      </c>
      <c r="I1419" t="inlineStr">
        <is>
          <t>LagringsvolymTid</t>
        </is>
      </c>
      <c r="J1419" t="inlineStr">
        <is>
          <t>Maxmangd</t>
        </is>
      </c>
      <c r="K1419" t="inlineStr">
        <is>
          <t>I Sverige deponeras den mesta betongkross trots att det ofta är förbjudet enligt EUs direktiv och infört i svenska föreskrifter: “8 § Följande avfall får inte deponeras: punkt 8.</t>
        </is>
      </c>
      <c r="L1419" t="inlineStr">
        <is>
          <t>I Sverige deponeras den mesta betongkross trots att det ofta är förbjudet enligt EUs direktiv och infört i svenska föreskrifter: “8 § Följande avfall får inte deponeras: punkt 8.</t>
        </is>
      </c>
      <c r="M1419" t="inlineStr">
        <is>
          <t>SKA</t>
        </is>
      </c>
      <c r="N1419" t="inlineStr"/>
      <c r="O1419" t="inlineStr"/>
      <c r="P1419" t="inlineStr"/>
      <c r="Q1419" t="inlineStr">
        <is>
          <t>Driftbegransning vid avvikelse</t>
        </is>
      </c>
      <c r="R1419" t="inlineStr">
        <is>
          <t>Alltid</t>
        </is>
      </c>
      <c r="S1419" t="inlineStr"/>
      <c r="T1419" t="inlineStr">
        <is>
          <t>543455</t>
        </is>
      </c>
      <c r="U1419" t="inlineStr"/>
      <c r="V1419" t="inlineStr"/>
      <c r="W1419" t="inlineStr">
        <is>
          <t>Nej</t>
        </is>
      </c>
      <c r="X1419" t="inlineStr">
        <is>
          <t>Nej</t>
        </is>
      </c>
      <c r="Y1419" t="inlineStr">
        <is>
          <t>Nej</t>
        </is>
      </c>
      <c r="Z1419" t="inlineStr">
        <is>
          <t>Nej</t>
        </is>
      </c>
      <c r="AA1419" t="n">
        <v>4</v>
      </c>
      <c r="AB1419" t="inlineStr">
        <is>
          <t>Avfallsmangder och lagringstid</t>
        </is>
      </c>
      <c r="AC1419" t="inlineStr">
        <is>
          <t>Avfallsforteckning</t>
        </is>
      </c>
      <c r="AD1419" t="inlineStr">
        <is>
          <t>Nej</t>
        </is>
      </c>
      <c r="AE1419" t="inlineStr">
        <is>
          <t>Nej</t>
        </is>
      </c>
      <c r="AF1419" t="inlineStr">
        <is>
          <t>Ej behandlad</t>
        </is>
      </c>
      <c r="AG1419" t="inlineStr">
        <is>
          <t>AUTO_GENERERAD. Verifiera citat mot kallfil.</t>
        </is>
      </c>
      <c r="AH1419" t="inlineStr">
        <is>
          <t>MEDIUM</t>
        </is>
      </c>
      <c r="AI1419" t="inlineStr">
        <is>
          <t>AUTO</t>
        </is>
      </c>
      <c r="AJ1419" t="inlineStr">
        <is>
          <t>Nej</t>
        </is>
      </c>
      <c r="AK1419" t="inlineStr"/>
      <c r="AL1419" t="inlineStr"/>
      <c r="AM1419" t="inlineStr"/>
      <c r="AN1419" t="inlineStr"/>
      <c r="AO1419" t="inlineStr">
        <is>
          <t>cmm4yuov901zecuqww78ts20e</t>
        </is>
      </c>
      <c r="AP1419" t="inlineStr">
        <is>
          <t>http://localhost:8787/api/admin/requirements/documents/cmm4yuov901zecuqww78ts20e/view</t>
        </is>
      </c>
      <c r="AQ1419">
        <f>HYPERLÄNK("http://localhost:8787/api/admin/requirements/documents/cmm4yuov901zecuqww78ts20e/view";"Öppna PDF")</f>
        <v/>
      </c>
      <c r="AR1419">
        <f>HYPERLINK("http://localhost:8787/api/admin/requirements/documents/cmm4yuov901zecuqww78ts20e/view","Open PDF")</f>
        <v/>
      </c>
      <c r="AS1419" t="inlineStr">
        <is>
          <t>cmm55w57p0004cuisfrtpqly8</t>
        </is>
      </c>
      <c r="AT1419" t="inlineStr">
        <is>
          <t>cmm4xvu980000cuh4vj0usz09</t>
        </is>
      </c>
      <c r="AU1419" t="inlineStr">
        <is>
          <t>ndamål Postadress Besöksadress Strängnäs</t>
        </is>
      </c>
      <c r="AV1419" t="inlineStr">
        <is>
          <t>Kommun</t>
        </is>
      </c>
      <c r="AW1419" t="inlineStr">
        <is>
          <t>ndamål Postadress Besöksadress Strängnäs kommun</t>
        </is>
      </c>
      <c r="AX1419" t="inlineStr">
        <is>
          <t>2026-02</t>
        </is>
      </c>
      <c r="AY1419" t="inlineStr">
        <is>
          <t>Beslut</t>
        </is>
      </c>
      <c r="AZ1419" t="inlineStr">
        <is>
          <t>2026-02-03</t>
        </is>
      </c>
      <c r="BA1419" t="inlineStr">
        <is>
          <t>MIL20251443_2026-02-03.pdf</t>
        </is>
      </c>
      <c r="BB1419" t="inlineStr">
        <is>
          <t>VB: [2026KC5853]SBK / Admin SBK / Vidarebefordra/fördela ärende</t>
        </is>
      </c>
      <c r="BC1419" t="inlineStr">
        <is>
          <t>AUTO</t>
        </is>
      </c>
      <c r="BD1419" t="inlineStr"/>
      <c r="BE1419" t="inlineStr"/>
      <c r="BF1419" t="inlineStr">
        <is>
          <t>AUTO_GENERERAD. Bekrafta metadata mot kallfil.</t>
        </is>
      </c>
      <c r="BG1419">
        <f>HYPERLINK("C:\Users\jimmy\Desktop\Examens arbete\Kod\Ny mapp\remix_-copy-of-miljöbeslut.se-portal\MIL20251443_2026-02-03.pdf", "Öppna PDF")</f>
        <v/>
      </c>
    </row>
    <row r="1420">
      <c r="A1420" t="inlineStr">
        <is>
          <t>KRAV-AUTO-001419</t>
        </is>
      </c>
      <c r="B1420" t="inlineStr">
        <is>
          <t>ADMIN-INDEX-2026-02-27-00000000125C043F57453246863FE664CAFE6A3F0700950291EA24F0614FB6ACEDB12BF0E31D00000000010C0000950291EA24F0614FB6ACEDB12BF0E31D00002087AEB80000</t>
        </is>
      </c>
      <c r="C1420" t="inlineStr">
        <is>
          <t>cmm4yuov901zecuqww78ts20e</t>
        </is>
      </c>
      <c r="D1420" t="inlineStr">
        <is>
          <t>http://localhost:8787/api/admin/requirements/documents/cmm4yuov901zecuqww78ts20e/view</t>
        </is>
      </c>
      <c r="E1420">
        <f>HYPERLÄNK("http://localhost:8787/api/admin/requirements/documents/cmm4yuov901zecuqww78ts20e/view";"Öppna PDF")</f>
        <v/>
      </c>
      <c r="F1420">
        <f>HYPERLINK("http://localhost:8787/api/admin/requirements/documents/cmm4yuov901zecuqww78ts20e/view","Open PDF")</f>
        <v/>
      </c>
      <c r="G1420" t="inlineStr">
        <is>
          <t>cmm55w57p0004cuisfrtpqly8</t>
        </is>
      </c>
      <c r="H1420" t="inlineStr">
        <is>
          <t>Beslutsvillkor</t>
        </is>
      </c>
      <c r="I1420" t="inlineStr">
        <is>
          <t>Ytkonstruktion</t>
        </is>
      </c>
      <c r="J1420" t="inlineStr">
        <is>
          <t>Tat yta</t>
        </is>
      </c>
      <c r="K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20" t="inlineStr">
        <is>
          <t>SKA</t>
        </is>
      </c>
      <c r="N1420" t="inlineStr"/>
      <c r="O1420" t="inlineStr"/>
      <c r="P1420" t="inlineStr"/>
      <c r="Q1420" t="inlineStr"/>
      <c r="R1420" t="inlineStr">
        <is>
          <t>Vid mellanlagring av avfall</t>
        </is>
      </c>
      <c r="S1420" t="inlineStr"/>
      <c r="T1420" t="inlineStr">
        <is>
          <t>543455</t>
        </is>
      </c>
      <c r="U1420" t="inlineStr"/>
      <c r="V1420" t="inlineStr"/>
      <c r="W1420" t="inlineStr">
        <is>
          <t>Ja</t>
        </is>
      </c>
      <c r="X1420" t="inlineStr">
        <is>
          <t>Nej</t>
        </is>
      </c>
      <c r="Y1420" t="inlineStr">
        <is>
          <t>Nej</t>
        </is>
      </c>
      <c r="Z1420" t="inlineStr">
        <is>
          <t>Nej</t>
        </is>
      </c>
      <c r="AA1420" t="n">
        <v>5</v>
      </c>
      <c r="AB1420" t="inlineStr">
        <is>
          <t>Teknisk beskrivning av platta</t>
        </is>
      </c>
      <c r="AC1420" t="inlineStr">
        <is>
          <t>Teknisk ritning platta</t>
        </is>
      </c>
      <c r="AD1420" t="inlineStr">
        <is>
          <t>Nej</t>
        </is>
      </c>
      <c r="AE1420" t="inlineStr">
        <is>
          <t>Nej</t>
        </is>
      </c>
      <c r="AF1420" t="inlineStr">
        <is>
          <t>Ej behandlad</t>
        </is>
      </c>
      <c r="AG1420" t="inlineStr">
        <is>
          <t>AUTO_GENERERAD. Verifiera citat mot kallfil.</t>
        </is>
      </c>
      <c r="AH1420" t="inlineStr">
        <is>
          <t>MEDIUM</t>
        </is>
      </c>
      <c r="AI1420" t="inlineStr">
        <is>
          <t>AUTO</t>
        </is>
      </c>
      <c r="AJ1420" t="inlineStr">
        <is>
          <t>Nej</t>
        </is>
      </c>
      <c r="AK1420" t="inlineStr"/>
      <c r="AL1420" t="inlineStr"/>
      <c r="AM1420" t="inlineStr"/>
      <c r="AN1420" t="inlineStr"/>
      <c r="AO1420" t="inlineStr">
        <is>
          <t>cmm4yuov901zecuqww78ts20e</t>
        </is>
      </c>
      <c r="AP1420" t="inlineStr">
        <is>
          <t>http://localhost:8787/api/admin/requirements/documents/cmm4yuov901zecuqww78ts20e/view</t>
        </is>
      </c>
      <c r="AQ1420">
        <f>HYPERLÄNK("http://localhost:8787/api/admin/requirements/documents/cmm4yuov901zecuqww78ts20e/view";"Öppna PDF")</f>
        <v/>
      </c>
      <c r="AR1420">
        <f>HYPERLINK("http://localhost:8787/api/admin/requirements/documents/cmm4yuov901zecuqww78ts20e/view","Open PDF")</f>
        <v/>
      </c>
      <c r="AS1420" t="inlineStr">
        <is>
          <t>cmm55w57p0004cuisfrtpqly8</t>
        </is>
      </c>
      <c r="AT1420" t="inlineStr">
        <is>
          <t>cmm4xvu980000cuh4vj0usz09</t>
        </is>
      </c>
      <c r="AU1420" t="inlineStr">
        <is>
          <t>ndamål Postadress Besöksadress Strängnäs</t>
        </is>
      </c>
      <c r="AV1420" t="inlineStr">
        <is>
          <t>Kommun</t>
        </is>
      </c>
      <c r="AW1420" t="inlineStr">
        <is>
          <t>ndamål Postadress Besöksadress Strängnäs kommun</t>
        </is>
      </c>
      <c r="AX1420" t="inlineStr">
        <is>
          <t>2026-02</t>
        </is>
      </c>
      <c r="AY1420" t="inlineStr">
        <is>
          <t>Beslut</t>
        </is>
      </c>
      <c r="AZ1420" t="inlineStr">
        <is>
          <t>2026-02-03</t>
        </is>
      </c>
      <c r="BA1420" t="inlineStr">
        <is>
          <t>MIL20251443_2026-02-03.pdf</t>
        </is>
      </c>
      <c r="BB1420" t="inlineStr">
        <is>
          <t>VB: [2026KC5853]SBK / Admin SBK / Vidarebefordra/fördela ärende</t>
        </is>
      </c>
      <c r="BC1420" t="inlineStr">
        <is>
          <t>AUTO</t>
        </is>
      </c>
      <c r="BD1420" t="inlineStr"/>
      <c r="BE1420" t="inlineStr"/>
      <c r="BF1420" t="inlineStr">
        <is>
          <t>AUTO_GENERERAD. Bekrafta metadata mot kallfil.</t>
        </is>
      </c>
      <c r="BG1420">
        <f>HYPERLINK("C:\Users\jimmy\Desktop\Examens arbete\Kod\Ny mapp\remix_-copy-of-miljöbeslut.se-portal\MIL20251443_2026-02-03.pdf", "Öppna PDF")</f>
        <v/>
      </c>
    </row>
    <row r="1421">
      <c r="A1421" t="inlineStr">
        <is>
          <t>KRAV-AUTO-001420</t>
        </is>
      </c>
      <c r="B1421" t="inlineStr">
        <is>
          <t>ADMIN-INDEX-2026-02-27-00000000125C043F57453246863FE664CAFE6A3F0700950291EA24F0614FB6ACEDB12BF0E31D00000000010C0000950291EA24F0614FB6ACEDB12BF0E31D00002087AEB80000</t>
        </is>
      </c>
      <c r="C1421" t="inlineStr">
        <is>
          <t>cmm4yuov901zecuqww78ts20e</t>
        </is>
      </c>
      <c r="D1421" t="inlineStr">
        <is>
          <t>http://localhost:8787/api/admin/requirements/documents/cmm4yuov901zecuqww78ts20e/view</t>
        </is>
      </c>
      <c r="E1421">
        <f>HYPERLÄNK("http://localhost:8787/api/admin/requirements/documents/cmm4yuov901zecuqww78ts20e/view";"Öppna PDF")</f>
        <v/>
      </c>
      <c r="F1421">
        <f>HYPERLINK("http://localhost:8787/api/admin/requirements/documents/cmm4yuov901zecuqww78ts20e/view","Open PDF")</f>
        <v/>
      </c>
      <c r="G1421" t="inlineStr">
        <is>
          <t>cmm55w57p0004cuisfrtpqly8</t>
        </is>
      </c>
      <c r="H1421" t="inlineStr">
        <is>
          <t>Beslutsvillkor</t>
        </is>
      </c>
      <c r="I1421" t="inlineStr">
        <is>
          <t>Ytkonstruktion</t>
        </is>
      </c>
      <c r="J1421" t="inlineStr">
        <is>
          <t>Tat yta</t>
        </is>
      </c>
      <c r="K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21" t="inlineStr">
        <is>
          <t>SKA</t>
        </is>
      </c>
      <c r="N1421" t="inlineStr"/>
      <c r="O1421" t="inlineStr">
        <is>
          <t>2024-12-20</t>
        </is>
      </c>
      <c r="P1421" t="inlineStr"/>
      <c r="Q1421" t="inlineStr"/>
      <c r="R1421" t="inlineStr">
        <is>
          <t>Vid mellanlagring av avfall</t>
        </is>
      </c>
      <c r="S1421" t="inlineStr"/>
      <c r="T1421" t="inlineStr">
        <is>
          <t>543455</t>
        </is>
      </c>
      <c r="U1421" t="inlineStr"/>
      <c r="V1421" t="inlineStr"/>
      <c r="W1421" t="inlineStr">
        <is>
          <t>Ja</t>
        </is>
      </c>
      <c r="X1421" t="inlineStr">
        <is>
          <t>Nej</t>
        </is>
      </c>
      <c r="Y1421" t="inlineStr">
        <is>
          <t>Nej</t>
        </is>
      </c>
      <c r="Z1421" t="inlineStr">
        <is>
          <t>Nej</t>
        </is>
      </c>
      <c r="AA1421" t="n">
        <v>5</v>
      </c>
      <c r="AB1421" t="inlineStr">
        <is>
          <t>Teknisk beskrivning av platta</t>
        </is>
      </c>
      <c r="AC1421" t="inlineStr">
        <is>
          <t>Teknisk ritning platta</t>
        </is>
      </c>
      <c r="AD1421" t="inlineStr">
        <is>
          <t>Nej</t>
        </is>
      </c>
      <c r="AE1421" t="inlineStr">
        <is>
          <t>Nej</t>
        </is>
      </c>
      <c r="AF1421" t="inlineStr">
        <is>
          <t>Ej behandlad</t>
        </is>
      </c>
      <c r="AG1421" t="inlineStr">
        <is>
          <t>AUTO_GENERERAD. Verifiera citat mot kallfil.</t>
        </is>
      </c>
      <c r="AH1421" t="inlineStr">
        <is>
          <t>MEDIUM</t>
        </is>
      </c>
      <c r="AI1421" t="inlineStr">
        <is>
          <t>AUTO</t>
        </is>
      </c>
      <c r="AJ1421" t="inlineStr">
        <is>
          <t>Nej</t>
        </is>
      </c>
      <c r="AK1421" t="inlineStr"/>
      <c r="AL1421" t="inlineStr"/>
      <c r="AM1421" t="inlineStr"/>
      <c r="AN1421" t="inlineStr"/>
      <c r="AO1421" t="inlineStr">
        <is>
          <t>cmm4yuov901zecuqww78ts20e</t>
        </is>
      </c>
      <c r="AP1421" t="inlineStr">
        <is>
          <t>http://localhost:8787/api/admin/requirements/documents/cmm4yuov901zecuqww78ts20e/view</t>
        </is>
      </c>
      <c r="AQ1421">
        <f>HYPERLÄNK("http://localhost:8787/api/admin/requirements/documents/cmm4yuov901zecuqww78ts20e/view";"Öppna PDF")</f>
        <v/>
      </c>
      <c r="AR1421">
        <f>HYPERLINK("http://localhost:8787/api/admin/requirements/documents/cmm4yuov901zecuqww78ts20e/view","Open PDF")</f>
        <v/>
      </c>
      <c r="AS1421" t="inlineStr">
        <is>
          <t>cmm55w57p0004cuisfrtpqly8</t>
        </is>
      </c>
      <c r="AT1421" t="inlineStr">
        <is>
          <t>cmm4xvu980000cuh4vj0usz09</t>
        </is>
      </c>
      <c r="AU1421" t="inlineStr">
        <is>
          <t>ndamål Postadress Besöksadress Strängnäs</t>
        </is>
      </c>
      <c r="AV1421" t="inlineStr">
        <is>
          <t>Kommun</t>
        </is>
      </c>
      <c r="AW1421" t="inlineStr">
        <is>
          <t>ndamål Postadress Besöksadress Strängnäs kommun</t>
        </is>
      </c>
      <c r="AX1421" t="inlineStr">
        <is>
          <t>2026-02</t>
        </is>
      </c>
      <c r="AY1421" t="inlineStr">
        <is>
          <t>Beslut</t>
        </is>
      </c>
      <c r="AZ1421" t="inlineStr">
        <is>
          <t>2026-02-03</t>
        </is>
      </c>
      <c r="BA1421" t="inlineStr">
        <is>
          <t>MIL20251443_2026-02-03.pdf</t>
        </is>
      </c>
      <c r="BB1421" t="inlineStr">
        <is>
          <t>VB: [2026KC5853]SBK / Admin SBK / Vidarebefordra/fördela ärende</t>
        </is>
      </c>
      <c r="BC1421" t="inlineStr">
        <is>
          <t>AUTO</t>
        </is>
      </c>
      <c r="BD1421" t="inlineStr"/>
      <c r="BE1421" t="inlineStr"/>
      <c r="BF1421" t="inlineStr">
        <is>
          <t>AUTO_GENERERAD. Bekrafta metadata mot kallfil.</t>
        </is>
      </c>
      <c r="BG1421">
        <f>HYPERLINK("C:\Users\jimmy\Desktop\Examens arbete\Kod\Ny mapp\remix_-copy-of-miljöbeslut.se-portal\MIL20251443_2026-02-03.pdf", "Öppna PDF")</f>
        <v/>
      </c>
    </row>
    <row r="1422">
      <c r="A1422" t="inlineStr">
        <is>
          <t>KRAV-AUTO-001421</t>
        </is>
      </c>
      <c r="B1422" t="inlineStr">
        <is>
          <t>ADMIN-INDEX-2026-02-27-00000000125C043F57453246863FE664CAFE6A3F0700950291EA24F0614FB6ACEDB12BF0E31D00000000010C0000950291EA24F0614FB6ACEDB12BF0E31D00002087AEB80000</t>
        </is>
      </c>
      <c r="C1422" t="inlineStr">
        <is>
          <t>cmm4yuov601zbcuqwjm4rmhfk</t>
        </is>
      </c>
      <c r="D1422" t="inlineStr">
        <is>
          <t>http://localhost:8787/api/admin/requirements/documents/cmm4yuov601zbcuqwjm4rmhfk/view</t>
        </is>
      </c>
      <c r="E1422">
        <f>HYPERLÄNK("http://localhost:8787/api/admin/requirements/documents/cmm4yuov601zbcuqwjm4rmhfk/view";"Öppna PDF")</f>
        <v/>
      </c>
      <c r="F1422">
        <f>HYPERLINK("http://localhost:8787/api/admin/requirements/documents/cmm4yuov601zbcuqwjm4rmhfk/view","Open PDF")</f>
        <v/>
      </c>
      <c r="G1422" t="inlineStr">
        <is>
          <t>cmm55w57p0004cuisfrtpqly8</t>
        </is>
      </c>
      <c r="H1422" t="inlineStr">
        <is>
          <t>Beslutsvillkor</t>
        </is>
      </c>
      <c r="I1422" t="inlineStr">
        <is>
          <t>MiljopaverkanForsiktighet</t>
        </is>
      </c>
      <c r="J1422" t="inlineStr">
        <is>
          <t>Skyddsatgarder</t>
        </is>
      </c>
      <c r="K1422" t="inlineStr">
        <is>
          <t>Om en anläggning utformas så att onödigt mycket avfall används kan det vara fråga om bortskaffning av avfall eller deponering av avfall.</t>
        </is>
      </c>
      <c r="L1422" t="inlineStr">
        <is>
          <t>Om en anläggning utformas så att onödigt mycket avfall används kan det vara fråga om bortskaffning av avfall eller deponering av avfall.</t>
        </is>
      </c>
      <c r="M1422" t="inlineStr">
        <is>
          <t>SKA</t>
        </is>
      </c>
      <c r="N1422" t="inlineStr"/>
      <c r="O1422" t="inlineStr"/>
      <c r="P1422" t="inlineStr"/>
      <c r="Q1422" t="inlineStr"/>
      <c r="R1422" t="inlineStr">
        <is>
          <t>Alltid</t>
        </is>
      </c>
      <c r="S1422" t="inlineStr"/>
      <c r="T1422" t="inlineStr">
        <is>
          <t>495874</t>
        </is>
      </c>
      <c r="U1422" t="inlineStr"/>
      <c r="V1422" t="inlineStr"/>
      <c r="W1422" t="inlineStr">
        <is>
          <t>Nej</t>
        </is>
      </c>
      <c r="X1422" t="inlineStr">
        <is>
          <t>Nej</t>
        </is>
      </c>
      <c r="Y1422" t="inlineStr">
        <is>
          <t>Nej</t>
        </is>
      </c>
      <c r="Z1422" t="inlineStr">
        <is>
          <t>Nej</t>
        </is>
      </c>
      <c r="AA1422" t="n">
        <v>10</v>
      </c>
      <c r="AB1422" t="inlineStr">
        <is>
          <t>Miljopaverkan och forsiktighetsmatt</t>
        </is>
      </c>
      <c r="AC1422" t="inlineStr">
        <is>
          <t>Miljo-PM</t>
        </is>
      </c>
      <c r="AD1422" t="inlineStr">
        <is>
          <t>Nej</t>
        </is>
      </c>
      <c r="AE1422" t="inlineStr">
        <is>
          <t>Nej</t>
        </is>
      </c>
      <c r="AF1422" t="inlineStr">
        <is>
          <t>Ej behandlad</t>
        </is>
      </c>
      <c r="AG1422" t="inlineStr">
        <is>
          <t>AUTO_GENERERAD. Verifiera citat mot kallfil.</t>
        </is>
      </c>
      <c r="AH1422" t="inlineStr">
        <is>
          <t>MEDIUM</t>
        </is>
      </c>
      <c r="AI1422" t="inlineStr">
        <is>
          <t>AUTO</t>
        </is>
      </c>
      <c r="AJ1422" t="inlineStr">
        <is>
          <t>Nej</t>
        </is>
      </c>
      <c r="AK1422" t="inlineStr"/>
      <c r="AL1422" t="inlineStr"/>
      <c r="AM1422" t="inlineStr"/>
      <c r="AN1422" t="inlineStr"/>
      <c r="AO1422" t="inlineStr">
        <is>
          <t>cmm4yuov901zecuqww78ts20e</t>
        </is>
      </c>
      <c r="AP1422" t="inlineStr">
        <is>
          <t>http://localhost:8787/api/admin/requirements/documents/cmm4yuov901zecuqww78ts20e/view</t>
        </is>
      </c>
      <c r="AQ1422">
        <f>HYPERLÄNK("http://localhost:8787/api/admin/requirements/documents/cmm4yuov901zecuqww78ts20e/view";"Öppna PDF")</f>
        <v/>
      </c>
      <c r="AR1422">
        <f>HYPERLINK("http://localhost:8787/api/admin/requirements/documents/cmm4yuov901zecuqww78ts20e/view","Open PDF")</f>
        <v/>
      </c>
      <c r="AS1422" t="inlineStr">
        <is>
          <t>cmm55w57p0004cuisfrtpqly8</t>
        </is>
      </c>
      <c r="AT1422" t="inlineStr">
        <is>
          <t>cmm4xvu980000cuh4vj0usz09</t>
        </is>
      </c>
      <c r="AU1422" t="inlineStr">
        <is>
          <t>ndamål Postadress Besöksadress Strängnäs</t>
        </is>
      </c>
      <c r="AV1422" t="inlineStr">
        <is>
          <t>Kommun</t>
        </is>
      </c>
      <c r="AW1422" t="inlineStr">
        <is>
          <t>ndamål Postadress Besöksadress Strängnäs kommun</t>
        </is>
      </c>
      <c r="AX1422" t="inlineStr">
        <is>
          <t>2026-02</t>
        </is>
      </c>
      <c r="AY1422" t="inlineStr">
        <is>
          <t>Beslut</t>
        </is>
      </c>
      <c r="AZ1422" t="inlineStr">
        <is>
          <t>2026-02-03</t>
        </is>
      </c>
      <c r="BA1422" t="inlineStr">
        <is>
          <t>MIL20251443_2026-02-03.pdf</t>
        </is>
      </c>
      <c r="BB1422" t="inlineStr">
        <is>
          <t>VB: [2026KC5853]SBK / Admin SBK / Vidarebefordra/fördela ärende</t>
        </is>
      </c>
      <c r="BC1422" t="inlineStr">
        <is>
          <t>AUTO</t>
        </is>
      </c>
      <c r="BD1422" t="inlineStr"/>
      <c r="BE1422" t="inlineStr"/>
      <c r="BF1422" t="inlineStr">
        <is>
          <t>AUTO_GENERERAD. Bekrafta metadata mot kallfil.</t>
        </is>
      </c>
      <c r="BG1422">
        <f>HYPERLINK("C:\Users\jimmy\Desktop\Examens arbete\Kod\Ny mapp\remix_-copy-of-miljöbeslut.se-portal\MIL20251443_2026-02-03.pdf", "Öppna PDF")</f>
        <v/>
      </c>
    </row>
    <row r="1423">
      <c r="A1423" t="inlineStr">
        <is>
          <t>KRAV-AUTO-001422</t>
        </is>
      </c>
      <c r="B1423" t="inlineStr">
        <is>
          <t>ADMIN-INDEX-2026-02-27-00000000125C043F57453246863FE664CAFE6A3F0700950291EA24F0614FB6ACEDB12BF0E31D00000000010C0000950291EA24F0614FB6ACEDB12BF0E31D00002087AEB80000</t>
        </is>
      </c>
      <c r="C1423" t="inlineStr">
        <is>
          <t>cmm4yuov601zbcuqwjm4rmhfk</t>
        </is>
      </c>
      <c r="D1423" t="inlineStr">
        <is>
          <t>http://localhost:8787/api/admin/requirements/documents/cmm4yuov601zbcuqwjm4rmhfk/view</t>
        </is>
      </c>
      <c r="E1423">
        <f>HYPERLÄNK("http://localhost:8787/api/admin/requirements/documents/cmm4yuov601zbcuqwjm4rmhfk/view";"Öppna PDF")</f>
        <v/>
      </c>
      <c r="F1423">
        <f>HYPERLINK("http://localhost:8787/api/admin/requirements/documents/cmm4yuov601zbcuqwjm4rmhfk/view","Open PDF")</f>
        <v/>
      </c>
      <c r="G1423" t="inlineStr">
        <is>
          <t>cmm55w57p0004cuisfrtpqly8</t>
        </is>
      </c>
      <c r="H1423" t="inlineStr">
        <is>
          <t>Beslutsvillkor</t>
        </is>
      </c>
      <c r="I1423" t="inlineStr">
        <is>
          <t>DriftEgenkontroll</t>
        </is>
      </c>
      <c r="J1423" t="inlineStr">
        <is>
          <t>Journalforing</t>
        </is>
      </c>
      <c r="K1423" t="inlineStr">
        <is>
          <t>Person med erfarenhet av miljötekniska undersökningar ska ha utfört provtagningen och analyser ska vara utförda av ackrediterat miljölaboratorium.</t>
        </is>
      </c>
      <c r="L1423" t="inlineStr">
        <is>
          <t>Person med erfarenhet av miljötekniska undersökningar ska ha utfört provtagningen och analyser ska vara utförda av ackrediterat miljölaboratorium.</t>
        </is>
      </c>
      <c r="M1423" t="inlineStr">
        <is>
          <t>SKA</t>
        </is>
      </c>
      <c r="N1423" t="inlineStr"/>
      <c r="O1423" t="inlineStr"/>
      <c r="P1423" t="inlineStr"/>
      <c r="Q1423" t="inlineStr"/>
      <c r="R1423" t="inlineStr">
        <is>
          <t>Lopande drift</t>
        </is>
      </c>
      <c r="S1423" t="inlineStr"/>
      <c r="T1423" t="inlineStr">
        <is>
          <t>495874</t>
        </is>
      </c>
      <c r="U1423" t="inlineStr"/>
      <c r="V1423" t="inlineStr"/>
      <c r="W1423" t="inlineStr">
        <is>
          <t>Nej</t>
        </is>
      </c>
      <c r="X1423" t="inlineStr">
        <is>
          <t>Nej</t>
        </is>
      </c>
      <c r="Y1423" t="inlineStr">
        <is>
          <t>Ja</t>
        </is>
      </c>
      <c r="Z1423" t="inlineStr">
        <is>
          <t>Nej</t>
        </is>
      </c>
      <c r="AA1423" t="n">
        <v>7</v>
      </c>
      <c r="AB1423" t="inlineStr">
        <is>
          <t>Egenkontrollrutiner</t>
        </is>
      </c>
      <c r="AC1423" t="inlineStr">
        <is>
          <t>Egenkontrollprogram</t>
        </is>
      </c>
      <c r="AD1423" t="inlineStr">
        <is>
          <t>Nej</t>
        </is>
      </c>
      <c r="AE1423" t="inlineStr">
        <is>
          <t>Nej</t>
        </is>
      </c>
      <c r="AF1423" t="inlineStr">
        <is>
          <t>Ej behandlad</t>
        </is>
      </c>
      <c r="AG1423" t="inlineStr">
        <is>
          <t>AUTO_GENERERAD. Verifiera citat mot kallfil.</t>
        </is>
      </c>
      <c r="AH1423" t="inlineStr">
        <is>
          <t>MEDIUM</t>
        </is>
      </c>
      <c r="AI1423" t="inlineStr">
        <is>
          <t>AUTO</t>
        </is>
      </c>
      <c r="AJ1423" t="inlineStr">
        <is>
          <t>Nej</t>
        </is>
      </c>
      <c r="AK1423" t="inlineStr"/>
      <c r="AL1423" t="inlineStr"/>
      <c r="AM1423" t="inlineStr"/>
      <c r="AN1423" t="inlineStr"/>
      <c r="AO1423" t="inlineStr">
        <is>
          <t>cmm4yuov901zecuqww78ts20e</t>
        </is>
      </c>
      <c r="AP1423" t="inlineStr">
        <is>
          <t>http://localhost:8787/api/admin/requirements/documents/cmm4yuov901zecuqww78ts20e/view</t>
        </is>
      </c>
      <c r="AQ1423">
        <f>HYPERLÄNK("http://localhost:8787/api/admin/requirements/documents/cmm4yuov901zecuqww78ts20e/view";"Öppna PDF")</f>
        <v/>
      </c>
      <c r="AR1423">
        <f>HYPERLINK("http://localhost:8787/api/admin/requirements/documents/cmm4yuov901zecuqww78ts20e/view","Open PDF")</f>
        <v/>
      </c>
      <c r="AS1423" t="inlineStr">
        <is>
          <t>cmm55w57p0004cuisfrtpqly8</t>
        </is>
      </c>
      <c r="AT1423" t="inlineStr">
        <is>
          <t>cmm4xvu980000cuh4vj0usz09</t>
        </is>
      </c>
      <c r="AU1423" t="inlineStr">
        <is>
          <t>ndamål Postadress Besöksadress Strängnäs</t>
        </is>
      </c>
      <c r="AV1423" t="inlineStr">
        <is>
          <t>Kommun</t>
        </is>
      </c>
      <c r="AW1423" t="inlineStr">
        <is>
          <t>ndamål Postadress Besöksadress Strängnäs kommun</t>
        </is>
      </c>
      <c r="AX1423" t="inlineStr">
        <is>
          <t>2026-02</t>
        </is>
      </c>
      <c r="AY1423" t="inlineStr">
        <is>
          <t>Beslut</t>
        </is>
      </c>
      <c r="AZ1423" t="inlineStr">
        <is>
          <t>2026-02-03</t>
        </is>
      </c>
      <c r="BA1423" t="inlineStr">
        <is>
          <t>MIL20251443_2026-02-03.pdf</t>
        </is>
      </c>
      <c r="BB1423" t="inlineStr">
        <is>
          <t>VB: [2026KC5853]SBK / Admin SBK / Vidarebefordra/fördela ärende</t>
        </is>
      </c>
      <c r="BC1423" t="inlineStr">
        <is>
          <t>AUTO</t>
        </is>
      </c>
      <c r="BD1423" t="inlineStr"/>
      <c r="BE1423" t="inlineStr"/>
      <c r="BF1423" t="inlineStr">
        <is>
          <t>AUTO_GENERERAD. Bekrafta metadata mot kallfil.</t>
        </is>
      </c>
      <c r="BG1423">
        <f>HYPERLINK("C:\Users\jimmy\Desktop\Examens arbete\Kod\Ny mapp\remix_-copy-of-miljöbeslut.se-portal\MIL20251443_2026-02-03.pdf", "Öppna PDF")</f>
        <v/>
      </c>
    </row>
    <row r="1424">
      <c r="A1424" t="inlineStr">
        <is>
          <t>KRAV-AUTO-001423</t>
        </is>
      </c>
      <c r="B1424" t="inlineStr">
        <is>
          <t>ADMIN-INDEX-2026-02-27-00000000125C043F57453246863FE664CAFE6A3F0700950291EA24F0614FB6ACEDB12BF0E31D00000000010C0000950291EA24F0614FB6ACEDB12BF0E31D00002087AEB80000</t>
        </is>
      </c>
      <c r="C1424" t="inlineStr">
        <is>
          <t>cmm4yuov601zbcuqwjm4rmhfk</t>
        </is>
      </c>
      <c r="D1424" t="inlineStr">
        <is>
          <t>http://localhost:8787/api/admin/requirements/documents/cmm4yuov601zbcuqwjm4rmhfk/view</t>
        </is>
      </c>
      <c r="E1424">
        <f>HYPERLÄNK("http://localhost:8787/api/admin/requirements/documents/cmm4yuov601zbcuqwjm4rmhfk/view";"Öppna PDF")</f>
        <v/>
      </c>
      <c r="F1424">
        <f>HYPERLINK("http://localhost:8787/api/admin/requirements/documents/cmm4yuov601zbcuqwjm4rmhfk/view","Open PDF")</f>
        <v/>
      </c>
      <c r="G1424" t="inlineStr">
        <is>
          <t>cmm55w57p0004cuisfrtpqly8</t>
        </is>
      </c>
      <c r="H1424" t="inlineStr">
        <is>
          <t>Beslutsvillkor</t>
        </is>
      </c>
      <c r="I1424" t="inlineStr">
        <is>
          <t>Riskhantering</t>
        </is>
      </c>
      <c r="J1424" t="inlineStr">
        <is>
          <t>Riskkontroll</t>
        </is>
      </c>
      <c r="K1424" t="inlineStr">
        <is>
          <t>Alternativt registreras klassad transportvikt, vilket innebär en viss risk att mängden överskattas eftersom alla flak kanske inte kommer att vara maxlastade.</t>
        </is>
      </c>
      <c r="L1424" t="inlineStr">
        <is>
          <t>Alternativt registreras klassad transportvikt, vilket innebär en viss risk att mängden överskattas eftersom alla flak kanske inte kommer att vara maxlastade.</t>
        </is>
      </c>
      <c r="M1424" t="inlineStr">
        <is>
          <t>SKA</t>
        </is>
      </c>
      <c r="N1424" t="inlineStr"/>
      <c r="O1424" t="inlineStr"/>
      <c r="P1424" t="inlineStr"/>
      <c r="Q1424" t="inlineStr"/>
      <c r="R1424" t="inlineStr">
        <is>
          <t>Vid risk for incident</t>
        </is>
      </c>
      <c r="S1424" t="inlineStr"/>
      <c r="T1424" t="inlineStr">
        <is>
          <t>495874</t>
        </is>
      </c>
      <c r="U1424" t="inlineStr"/>
      <c r="V1424" t="inlineStr"/>
      <c r="W1424" t="inlineStr">
        <is>
          <t>Nej</t>
        </is>
      </c>
      <c r="X1424" t="inlineStr">
        <is>
          <t>Nej</t>
        </is>
      </c>
      <c r="Y1424" t="inlineStr">
        <is>
          <t>Ja</t>
        </is>
      </c>
      <c r="Z1424" t="inlineStr">
        <is>
          <t>Ja</t>
        </is>
      </c>
      <c r="AA1424" t="n">
        <v>8</v>
      </c>
      <c r="AB1424" t="inlineStr">
        <is>
          <t>Riskhantering</t>
        </is>
      </c>
      <c r="AC1424" t="inlineStr">
        <is>
          <t>Risk-PM</t>
        </is>
      </c>
      <c r="AD1424" t="inlineStr">
        <is>
          <t>Nej</t>
        </is>
      </c>
      <c r="AE1424" t="inlineStr">
        <is>
          <t>Nej</t>
        </is>
      </c>
      <c r="AF1424" t="inlineStr">
        <is>
          <t>Ej behandlad</t>
        </is>
      </c>
      <c r="AG1424" t="inlineStr">
        <is>
          <t>AUTO_GENERERAD. Verifiera citat mot kallfil.</t>
        </is>
      </c>
      <c r="AH1424" t="inlineStr">
        <is>
          <t>MEDIUM</t>
        </is>
      </c>
      <c r="AI1424" t="inlineStr">
        <is>
          <t>AUTO</t>
        </is>
      </c>
      <c r="AJ1424" t="inlineStr">
        <is>
          <t>Nej</t>
        </is>
      </c>
      <c r="AK1424" t="inlineStr"/>
      <c r="AL1424" t="inlineStr"/>
      <c r="AM1424" t="inlineStr"/>
      <c r="AN1424" t="inlineStr"/>
      <c r="AO1424" t="inlineStr">
        <is>
          <t>cmm4yuov901zecuqww78ts20e</t>
        </is>
      </c>
      <c r="AP1424" t="inlineStr">
        <is>
          <t>http://localhost:8787/api/admin/requirements/documents/cmm4yuov901zecuqww78ts20e/view</t>
        </is>
      </c>
      <c r="AQ1424">
        <f>HYPERLÄNK("http://localhost:8787/api/admin/requirements/documents/cmm4yuov901zecuqww78ts20e/view";"Öppna PDF")</f>
        <v/>
      </c>
      <c r="AR1424">
        <f>HYPERLINK("http://localhost:8787/api/admin/requirements/documents/cmm4yuov901zecuqww78ts20e/view","Open PDF")</f>
        <v/>
      </c>
      <c r="AS1424" t="inlineStr">
        <is>
          <t>cmm55w57p0004cuisfrtpqly8</t>
        </is>
      </c>
      <c r="AT1424" t="inlineStr">
        <is>
          <t>cmm4xvu980000cuh4vj0usz09</t>
        </is>
      </c>
      <c r="AU1424" t="inlineStr">
        <is>
          <t>ndamål Postadress Besöksadress Strängnäs</t>
        </is>
      </c>
      <c r="AV1424" t="inlineStr">
        <is>
          <t>Kommun</t>
        </is>
      </c>
      <c r="AW1424" t="inlineStr">
        <is>
          <t>ndamål Postadress Besöksadress Strängnäs kommun</t>
        </is>
      </c>
      <c r="AX1424" t="inlineStr">
        <is>
          <t>2026-02</t>
        </is>
      </c>
      <c r="AY1424" t="inlineStr">
        <is>
          <t>Beslut</t>
        </is>
      </c>
      <c r="AZ1424" t="inlineStr">
        <is>
          <t>2026-02-03</t>
        </is>
      </c>
      <c r="BA1424" t="inlineStr">
        <is>
          <t>MIL20251443_2026-02-03.pdf</t>
        </is>
      </c>
      <c r="BB1424" t="inlineStr">
        <is>
          <t>VB: [2026KC5853]SBK / Admin SBK / Vidarebefordra/fördela ärende</t>
        </is>
      </c>
      <c r="BC1424" t="inlineStr">
        <is>
          <t>AUTO</t>
        </is>
      </c>
      <c r="BD1424" t="inlineStr"/>
      <c r="BE1424" t="inlineStr"/>
      <c r="BF1424" t="inlineStr">
        <is>
          <t>AUTO_GENERERAD. Bekrafta metadata mot kallfil.</t>
        </is>
      </c>
      <c r="BG1424">
        <f>HYPERLINK("C:\Users\jimmy\Desktop\Examens arbete\Kod\Ny mapp\remix_-copy-of-miljöbeslut.se-portal\MIL20251443_2026-02-03.pdf", "Öppna PDF")</f>
        <v/>
      </c>
    </row>
    <row r="1425">
      <c r="A1425" t="inlineStr">
        <is>
          <t>KRAV-AUTO-001424</t>
        </is>
      </c>
      <c r="B1425" t="inlineStr">
        <is>
          <t>ADMIN-INDEX-2026-02-27-00000000125C043F57453246863FE664CAFE6A3F0700950291EA24F0614FB6ACEDB12BF0E31D00000000010C0000950291EA24F0614FB6ACEDB12BF0E31D00002087AEB80000</t>
        </is>
      </c>
      <c r="C1425" t="inlineStr">
        <is>
          <t>cmm4yuov301z8cuqwabdpvvzl</t>
        </is>
      </c>
      <c r="D1425" t="inlineStr">
        <is>
          <t>http://localhost:8787/api/admin/requirements/documents/cmm4yuov301z8cuqwabdpvvzl/view</t>
        </is>
      </c>
      <c r="E1425">
        <f>HYPERLÄNK("http://localhost:8787/api/admin/requirements/documents/cmm4yuov301z8cuqwabdpvvzl/view";"Öppna PDF")</f>
        <v/>
      </c>
      <c r="F1425">
        <f>HYPERLINK("http://localhost:8787/api/admin/requirements/documents/cmm4yuov301z8cuqwabdpvvzl/view","Open PDF")</f>
        <v/>
      </c>
      <c r="G1425" t="inlineStr">
        <is>
          <t>cmm55w57p0004cuisfrtpqly8</t>
        </is>
      </c>
      <c r="H1425" t="inlineStr">
        <is>
          <t>Beslutsvillkor</t>
        </is>
      </c>
      <c r="I1425" t="inlineStr">
        <is>
          <t>DriftEgenkontroll</t>
        </is>
      </c>
      <c r="J1425" t="inlineStr">
        <is>
          <t>Journalforing</t>
        </is>
      </c>
      <c r="K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25" t="inlineStr">
        <is>
          <t>SKA</t>
        </is>
      </c>
      <c r="N1425" t="inlineStr"/>
      <c r="O1425" t="inlineStr">
        <is>
          <t>2025-04-08</t>
        </is>
      </c>
      <c r="P1425" t="inlineStr"/>
      <c r="Q1425" t="inlineStr"/>
      <c r="R1425" t="inlineStr">
        <is>
          <t>Lopande drift</t>
        </is>
      </c>
      <c r="S1425" t="inlineStr"/>
      <c r="T1425" t="inlineStr">
        <is>
          <t>475024</t>
        </is>
      </c>
      <c r="U1425" t="inlineStr"/>
      <c r="V1425" t="inlineStr"/>
      <c r="W1425" t="inlineStr">
        <is>
          <t>Nej</t>
        </is>
      </c>
      <c r="X1425" t="inlineStr">
        <is>
          <t>Nej</t>
        </is>
      </c>
      <c r="Y1425" t="inlineStr">
        <is>
          <t>Ja</t>
        </is>
      </c>
      <c r="Z1425" t="inlineStr">
        <is>
          <t>Nej</t>
        </is>
      </c>
      <c r="AA1425" t="n">
        <v>7</v>
      </c>
      <c r="AB1425" t="inlineStr">
        <is>
          <t>Egenkontrollrutiner</t>
        </is>
      </c>
      <c r="AC1425" t="inlineStr">
        <is>
          <t>Egenkontrollprogram</t>
        </is>
      </c>
      <c r="AD1425" t="inlineStr">
        <is>
          <t>Nej</t>
        </is>
      </c>
      <c r="AE1425" t="inlineStr">
        <is>
          <t>Nej</t>
        </is>
      </c>
      <c r="AF1425" t="inlineStr">
        <is>
          <t>Ej behandlad</t>
        </is>
      </c>
      <c r="AG1425" t="inlineStr">
        <is>
          <t>AUTO_GENERERAD. Verifiera citat mot kallfil.</t>
        </is>
      </c>
      <c r="AH1425" t="inlineStr">
        <is>
          <t>MEDIUM</t>
        </is>
      </c>
      <c r="AI1425" t="inlineStr">
        <is>
          <t>AUTO</t>
        </is>
      </c>
      <c r="AJ1425" t="inlineStr">
        <is>
          <t>Nej</t>
        </is>
      </c>
      <c r="AK1425" t="inlineStr"/>
      <c r="AL1425" t="inlineStr"/>
      <c r="AM1425" t="inlineStr"/>
      <c r="AN1425" t="inlineStr"/>
      <c r="AO1425" t="inlineStr">
        <is>
          <t>cmm4yuov901zecuqww78ts20e</t>
        </is>
      </c>
      <c r="AP1425" t="inlineStr">
        <is>
          <t>http://localhost:8787/api/admin/requirements/documents/cmm4yuov901zecuqww78ts20e/view</t>
        </is>
      </c>
      <c r="AQ1425">
        <f>HYPERLÄNK("http://localhost:8787/api/admin/requirements/documents/cmm4yuov901zecuqww78ts20e/view";"Öppna PDF")</f>
        <v/>
      </c>
      <c r="AR1425">
        <f>HYPERLINK("http://localhost:8787/api/admin/requirements/documents/cmm4yuov901zecuqww78ts20e/view","Open PDF")</f>
        <v/>
      </c>
      <c r="AS1425" t="inlineStr">
        <is>
          <t>cmm55w57p0004cuisfrtpqly8</t>
        </is>
      </c>
      <c r="AT1425" t="inlineStr">
        <is>
          <t>cmm4xvu980000cuh4vj0usz09</t>
        </is>
      </c>
      <c r="AU1425" t="inlineStr">
        <is>
          <t>ndamål Postadress Besöksadress Strängnäs</t>
        </is>
      </c>
      <c r="AV1425" t="inlineStr">
        <is>
          <t>Kommun</t>
        </is>
      </c>
      <c r="AW1425" t="inlineStr">
        <is>
          <t>ndamål Postadress Besöksadress Strängnäs kommun</t>
        </is>
      </c>
      <c r="AX1425" t="inlineStr">
        <is>
          <t>2026-02</t>
        </is>
      </c>
      <c r="AY1425" t="inlineStr">
        <is>
          <t>Beslut</t>
        </is>
      </c>
      <c r="AZ1425" t="inlineStr">
        <is>
          <t>2026-02-03</t>
        </is>
      </c>
      <c r="BA1425" t="inlineStr">
        <is>
          <t>MIL20251443_2026-02-03.pdf</t>
        </is>
      </c>
      <c r="BB1425" t="inlineStr">
        <is>
          <t>VB: [2026KC5853]SBK / Admin SBK / Vidarebefordra/fördela ärende</t>
        </is>
      </c>
      <c r="BC1425" t="inlineStr">
        <is>
          <t>AUTO</t>
        </is>
      </c>
      <c r="BD1425" t="inlineStr"/>
      <c r="BE1425" t="inlineStr"/>
      <c r="BF1425" t="inlineStr">
        <is>
          <t>AUTO_GENERERAD. Bekrafta metadata mot kallfil.</t>
        </is>
      </c>
      <c r="BG1425">
        <f>HYPERLINK("C:\Users\jimmy\Desktop\Examens arbete\Kod\Ny mapp\remix_-copy-of-miljöbeslut.se-portal\MIL20251443_2026-02-03.pdf", "Öppna PDF")</f>
        <v/>
      </c>
    </row>
    <row r="1426">
      <c r="A1426" t="inlineStr">
        <is>
          <t>KRAV-AUTO-001425</t>
        </is>
      </c>
      <c r="B1426" t="inlineStr">
        <is>
          <t>ADMIN-INDEX-2026-02-27-00000000125C043F57453246863FE664CAFE6A3F0700950291EA24F0614FB6ACEDB12BF0E31D00000000010C0000950291EA24F0614FB6ACEDB12BF0E31D00002087AEB80000</t>
        </is>
      </c>
      <c r="C1426" t="inlineStr">
        <is>
          <t>cmm4yuov301z8cuqwabdpvvzl</t>
        </is>
      </c>
      <c r="D1426" t="inlineStr">
        <is>
          <t>http://localhost:8787/api/admin/requirements/documents/cmm4yuov301z8cuqwabdpvvzl/view</t>
        </is>
      </c>
      <c r="E1426">
        <f>HYPERLÄNK("http://localhost:8787/api/admin/requirements/documents/cmm4yuov301z8cuqwabdpvvzl/view";"Öppna PDF")</f>
        <v/>
      </c>
      <c r="F1426">
        <f>HYPERLINK("http://localhost:8787/api/admin/requirements/documents/cmm4yuov301z8cuqwabdpvvzl/view","Open PDF")</f>
        <v/>
      </c>
      <c r="G1426" t="inlineStr">
        <is>
          <t>cmm55w57p0004cuisfrtpqly8</t>
        </is>
      </c>
      <c r="H1426" t="inlineStr">
        <is>
          <t>Beslutsvillkor</t>
        </is>
      </c>
      <c r="I1426" t="inlineStr">
        <is>
          <t>DagvattenLakvatten</t>
        </is>
      </c>
      <c r="J1426" t="inlineStr">
        <is>
          <t>Uppsamling</t>
        </is>
      </c>
      <c r="K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26" t="inlineStr">
        <is>
          <t>SKA</t>
        </is>
      </c>
      <c r="N1426" t="inlineStr">
        <is>
          <t>MPF</t>
        </is>
      </c>
      <c r="O1426" t="inlineStr"/>
      <c r="P1426" t="inlineStr">
        <is>
          <t>Arlig</t>
        </is>
      </c>
      <c r="Q1426" t="inlineStr"/>
      <c r="R1426" t="inlineStr">
        <is>
          <t>Vid nederbord och avrinning</t>
        </is>
      </c>
      <c r="S1426" t="inlineStr"/>
      <c r="T1426" t="inlineStr">
        <is>
          <t>475024</t>
        </is>
      </c>
      <c r="U1426" t="inlineStr"/>
      <c r="V1426" t="inlineStr"/>
      <c r="W1426" t="inlineStr">
        <is>
          <t>Nej</t>
        </is>
      </c>
      <c r="X1426" t="inlineStr">
        <is>
          <t>Ja</t>
        </is>
      </c>
      <c r="Y1426" t="inlineStr">
        <is>
          <t>Ja</t>
        </is>
      </c>
      <c r="Z1426" t="inlineStr">
        <is>
          <t>Nej</t>
        </is>
      </c>
      <c r="AA1426" t="n">
        <v>6</v>
      </c>
      <c r="AB1426" t="inlineStr">
        <is>
          <t>Lakvattenhantering</t>
        </is>
      </c>
      <c r="AC1426" t="inlineStr">
        <is>
          <t>Flodesschema dagvatten-lakvatten</t>
        </is>
      </c>
      <c r="AD1426" t="inlineStr">
        <is>
          <t>Nej</t>
        </is>
      </c>
      <c r="AE1426" t="inlineStr">
        <is>
          <t>Nej</t>
        </is>
      </c>
      <c r="AF1426" t="inlineStr">
        <is>
          <t>Ej behandlad</t>
        </is>
      </c>
      <c r="AG1426" t="inlineStr">
        <is>
          <t>AUTO_GENERERAD. Verifiera citat mot kallfil.</t>
        </is>
      </c>
      <c r="AH1426" t="inlineStr">
        <is>
          <t>HIGH</t>
        </is>
      </c>
      <c r="AI1426" t="inlineStr">
        <is>
          <t>AUTO</t>
        </is>
      </c>
      <c r="AJ1426" t="inlineStr">
        <is>
          <t>Nej</t>
        </is>
      </c>
      <c r="AK1426" t="inlineStr"/>
      <c r="AL1426" t="inlineStr"/>
      <c r="AM1426" t="inlineStr"/>
      <c r="AN1426" t="inlineStr"/>
      <c r="AO1426" t="inlineStr">
        <is>
          <t>cmm4yuov901zecuqww78ts20e</t>
        </is>
      </c>
      <c r="AP1426" t="inlineStr">
        <is>
          <t>http://localhost:8787/api/admin/requirements/documents/cmm4yuov901zecuqww78ts20e/view</t>
        </is>
      </c>
      <c r="AQ1426">
        <f>HYPERLÄNK("http://localhost:8787/api/admin/requirements/documents/cmm4yuov901zecuqww78ts20e/view";"Öppna PDF")</f>
        <v/>
      </c>
      <c r="AR1426">
        <f>HYPERLINK("http://localhost:8787/api/admin/requirements/documents/cmm4yuov901zecuqww78ts20e/view","Open PDF")</f>
        <v/>
      </c>
      <c r="AS1426" t="inlineStr">
        <is>
          <t>cmm55w57p0004cuisfrtpqly8</t>
        </is>
      </c>
      <c r="AT1426" t="inlineStr">
        <is>
          <t>cmm4xvu980000cuh4vj0usz09</t>
        </is>
      </c>
      <c r="AU1426" t="inlineStr">
        <is>
          <t>ndamål Postadress Besöksadress Strängnäs</t>
        </is>
      </c>
      <c r="AV1426" t="inlineStr">
        <is>
          <t>Kommun</t>
        </is>
      </c>
      <c r="AW1426" t="inlineStr">
        <is>
          <t>ndamål Postadress Besöksadress Strängnäs kommun</t>
        </is>
      </c>
      <c r="AX1426" t="inlineStr">
        <is>
          <t>2026-02</t>
        </is>
      </c>
      <c r="AY1426" t="inlineStr">
        <is>
          <t>Beslut</t>
        </is>
      </c>
      <c r="AZ1426" t="inlineStr">
        <is>
          <t>2026-02-03</t>
        </is>
      </c>
      <c r="BA1426" t="inlineStr">
        <is>
          <t>MIL20251443_2026-02-03.pdf</t>
        </is>
      </c>
      <c r="BB1426" t="inlineStr">
        <is>
          <t>VB: [2026KC5853]SBK / Admin SBK / Vidarebefordra/fördela ärende</t>
        </is>
      </c>
      <c r="BC1426" t="inlineStr">
        <is>
          <t>AUTO</t>
        </is>
      </c>
      <c r="BD1426" t="inlineStr"/>
      <c r="BE1426" t="inlineStr"/>
      <c r="BF1426" t="inlineStr">
        <is>
          <t>AUTO_GENERERAD. Bekrafta metadata mot kallfil.</t>
        </is>
      </c>
      <c r="BG1426">
        <f>HYPERLINK("C:\Users\jimmy\Desktop\Examens arbete\Kod\Ny mapp\remix_-copy-of-miljöbeslut.se-portal\MIL20251443_2026-02-03.pdf", "Öppna PDF")</f>
        <v/>
      </c>
    </row>
    <row r="1427">
      <c r="A1427" t="inlineStr">
        <is>
          <t>KRAV-AUTO-001426</t>
        </is>
      </c>
      <c r="B1427" t="inlineStr">
        <is>
          <t>ADMIN-INDEX-2026-02-27-00000000125C043F57453246863FE664CAFE6A3F0700950291EA24F0614FB6ACEDB12BF0E31D00000000010C0000950291EA24F0614FB6ACEDB12BF0E31D00002087AEB80000</t>
        </is>
      </c>
      <c r="C1427" t="inlineStr">
        <is>
          <t>cmm4yuov301z8cuqwabdpvvzl</t>
        </is>
      </c>
      <c r="D1427" t="inlineStr">
        <is>
          <t>http://localhost:8787/api/admin/requirements/documents/cmm4yuov301z8cuqwabdpvvzl/view</t>
        </is>
      </c>
      <c r="E1427">
        <f>HYPERLÄNK("http://localhost:8787/api/admin/requirements/documents/cmm4yuov301z8cuqwabdpvvzl/view";"Öppna PDF")</f>
        <v/>
      </c>
      <c r="F1427">
        <f>HYPERLINK("http://localhost:8787/api/admin/requirements/documents/cmm4yuov301z8cuqwabdpvvzl/view","Open PDF")</f>
        <v/>
      </c>
      <c r="G1427" t="inlineStr">
        <is>
          <t>cmm55w57p0004cuisfrtpqly8</t>
        </is>
      </c>
      <c r="H1427" t="inlineStr">
        <is>
          <t>Beslutsvillkor</t>
        </is>
      </c>
      <c r="I1427" t="inlineStr">
        <is>
          <t>Riskhantering</t>
        </is>
      </c>
      <c r="J1427" t="inlineStr">
        <is>
          <t>Riskkontroll</t>
        </is>
      </c>
      <c r="K1427" t="inlineStr">
        <is>
          <t>Med tillförda massor ska mjuka vallar förstärkas i två skarpa kurvor för att minska riskerna vid potentiella avkörningar.</t>
        </is>
      </c>
      <c r="L1427" t="inlineStr">
        <is>
          <t>Med tillförda massor ska mjuka vallar förstärkas i två skarpa kurvor för att minska riskerna vid potentiella avkörningar.</t>
        </is>
      </c>
      <c r="M1427" t="inlineStr">
        <is>
          <t>SKA</t>
        </is>
      </c>
      <c r="N1427" t="inlineStr"/>
      <c r="O1427" t="inlineStr"/>
      <c r="P1427" t="inlineStr"/>
      <c r="Q1427" t="inlineStr"/>
      <c r="R1427" t="inlineStr">
        <is>
          <t>Vid risk for incident</t>
        </is>
      </c>
      <c r="S1427" t="inlineStr"/>
      <c r="T1427" t="inlineStr">
        <is>
          <t>475024</t>
        </is>
      </c>
      <c r="U1427" t="inlineStr"/>
      <c r="V1427" t="inlineStr"/>
      <c r="W1427" t="inlineStr">
        <is>
          <t>Nej</t>
        </is>
      </c>
      <c r="X1427" t="inlineStr">
        <is>
          <t>Nej</t>
        </is>
      </c>
      <c r="Y1427" t="inlineStr">
        <is>
          <t>Ja</t>
        </is>
      </c>
      <c r="Z1427" t="inlineStr">
        <is>
          <t>Ja</t>
        </is>
      </c>
      <c r="AA1427" t="n">
        <v>8</v>
      </c>
      <c r="AB1427" t="inlineStr">
        <is>
          <t>Riskhantering</t>
        </is>
      </c>
      <c r="AC1427" t="inlineStr">
        <is>
          <t>Risk-PM</t>
        </is>
      </c>
      <c r="AD1427" t="inlineStr">
        <is>
          <t>Nej</t>
        </is>
      </c>
      <c r="AE1427" t="inlineStr">
        <is>
          <t>Nej</t>
        </is>
      </c>
      <c r="AF1427" t="inlineStr">
        <is>
          <t>Ej behandlad</t>
        </is>
      </c>
      <c r="AG1427" t="inlineStr">
        <is>
          <t>AUTO_GENERERAD. Verifiera citat mot kallfil.</t>
        </is>
      </c>
      <c r="AH1427" t="inlineStr">
        <is>
          <t>MEDIUM</t>
        </is>
      </c>
      <c r="AI1427" t="inlineStr">
        <is>
          <t>AUTO</t>
        </is>
      </c>
      <c r="AJ1427" t="inlineStr">
        <is>
          <t>Nej</t>
        </is>
      </c>
      <c r="AK1427" t="inlineStr"/>
      <c r="AL1427" t="inlineStr"/>
      <c r="AM1427" t="inlineStr"/>
      <c r="AN1427" t="inlineStr"/>
      <c r="AO1427" t="inlineStr">
        <is>
          <t>cmm4yuov901zecuqww78ts20e</t>
        </is>
      </c>
      <c r="AP1427" t="inlineStr">
        <is>
          <t>http://localhost:8787/api/admin/requirements/documents/cmm4yuov901zecuqww78ts20e/view</t>
        </is>
      </c>
      <c r="AQ1427">
        <f>HYPERLÄNK("http://localhost:8787/api/admin/requirements/documents/cmm4yuov901zecuqww78ts20e/view";"Öppna PDF")</f>
        <v/>
      </c>
      <c r="AR1427">
        <f>HYPERLINK("http://localhost:8787/api/admin/requirements/documents/cmm4yuov901zecuqww78ts20e/view","Open PDF")</f>
        <v/>
      </c>
      <c r="AS1427" t="inlineStr">
        <is>
          <t>cmm55w57p0004cuisfrtpqly8</t>
        </is>
      </c>
      <c r="AT1427" t="inlineStr">
        <is>
          <t>cmm4xvu980000cuh4vj0usz09</t>
        </is>
      </c>
      <c r="AU1427" t="inlineStr">
        <is>
          <t>ndamål Postadress Besöksadress Strängnäs</t>
        </is>
      </c>
      <c r="AV1427" t="inlineStr">
        <is>
          <t>Kommun</t>
        </is>
      </c>
      <c r="AW1427" t="inlineStr">
        <is>
          <t>ndamål Postadress Besöksadress Strängnäs kommun</t>
        </is>
      </c>
      <c r="AX1427" t="inlineStr">
        <is>
          <t>2026-02</t>
        </is>
      </c>
      <c r="AY1427" t="inlineStr">
        <is>
          <t>Beslut</t>
        </is>
      </c>
      <c r="AZ1427" t="inlineStr">
        <is>
          <t>2026-02-03</t>
        </is>
      </c>
      <c r="BA1427" t="inlineStr">
        <is>
          <t>MIL20251443_2026-02-03.pdf</t>
        </is>
      </c>
      <c r="BB1427" t="inlineStr">
        <is>
          <t>VB: [2026KC5853]SBK / Admin SBK / Vidarebefordra/fördela ärende</t>
        </is>
      </c>
      <c r="BC1427" t="inlineStr">
        <is>
          <t>AUTO</t>
        </is>
      </c>
      <c r="BD1427" t="inlineStr"/>
      <c r="BE1427" t="inlineStr"/>
      <c r="BF1427" t="inlineStr">
        <is>
          <t>AUTO_GENERERAD. Bekrafta metadata mot kallfil.</t>
        </is>
      </c>
      <c r="BG1427">
        <f>HYPERLINK("C:\Users\jimmy\Desktop\Examens arbete\Kod\Ny mapp\remix_-copy-of-miljöbeslut.se-portal\MIL20251443_2026-02-03.pdf", "Öppna PDF")</f>
        <v/>
      </c>
    </row>
    <row r="1428">
      <c r="A1428" t="inlineStr">
        <is>
          <t>KRAV-AUTO-001427</t>
        </is>
      </c>
      <c r="B1428" t="inlineStr">
        <is>
          <t>ADMIN-INDEX-2026-02-27-00000000125C043F57453246863FE664CAFE6A3F0700950291EA24F0614FB6ACEDB12BF0E31D00000000010C0000950291EA24F0614FB6ACEDB12BF0E31D00002087AEBB0000</t>
        </is>
      </c>
      <c r="C1428" t="inlineStr">
        <is>
          <t>cmm4yuov001z5cuqwzv54vbz4</t>
        </is>
      </c>
      <c r="D1428" t="inlineStr">
        <is>
          <t>http://localhost:8787/api/admin/requirements/documents/cmm4yuov001z5cuqwzv54vbz4/view</t>
        </is>
      </c>
      <c r="E1428">
        <f>HYPERLÄNK("http://localhost:8787/api/admin/requirements/documents/cmm4yuov001z5cuqwzv54vbz4/view";"Öppna PDF")</f>
        <v/>
      </c>
      <c r="F1428">
        <f>HYPERLINK("http://localhost:8787/api/admin/requirements/documents/cmm4yuov001z5cuqwzv54vbz4/view","Open PDF")</f>
        <v/>
      </c>
      <c r="G1428" t="inlineStr">
        <is>
          <t>cmm55w57p0004cuisfrtpqly8</t>
        </is>
      </c>
      <c r="H1428" t="inlineStr">
        <is>
          <t>Beslutsvillkor</t>
        </is>
      </c>
      <c r="I1428" t="inlineStr">
        <is>
          <t>Riskhantering</t>
        </is>
      </c>
      <c r="J1428" t="inlineStr">
        <is>
          <t>Riskkontroll</t>
        </is>
      </c>
      <c r="K1428" t="inlineStr">
        <is>
          <t>Enligt ansökan har följande skäl angivts: - Det rör sig om lite avfall och att det kan uppstå risker med det stora antalet förpackningar och material vid hantering för personalen.</t>
        </is>
      </c>
      <c r="L1428" t="inlineStr">
        <is>
          <t>Enligt ansökan har följande skäl angivts: - Det rör sig om lite avfall och att det kan uppstå risker med det stora antalet förpackningar och material vid hantering för personalen.</t>
        </is>
      </c>
      <c r="M1428" t="inlineStr">
        <is>
          <t>SKA</t>
        </is>
      </c>
      <c r="N1428" t="inlineStr"/>
      <c r="O1428" t="inlineStr"/>
      <c r="P1428" t="inlineStr"/>
      <c r="Q1428" t="inlineStr"/>
      <c r="R1428" t="inlineStr">
        <is>
          <t>Vid risk for incident</t>
        </is>
      </c>
      <c r="S1428" t="inlineStr"/>
      <c r="T1428" t="inlineStr">
        <is>
          <t>886513</t>
        </is>
      </c>
      <c r="U1428" t="inlineStr"/>
      <c r="V1428" t="inlineStr"/>
      <c r="W1428" t="inlineStr">
        <is>
          <t>Nej</t>
        </is>
      </c>
      <c r="X1428" t="inlineStr">
        <is>
          <t>Nej</t>
        </is>
      </c>
      <c r="Y1428" t="inlineStr">
        <is>
          <t>Ja</t>
        </is>
      </c>
      <c r="Z1428" t="inlineStr">
        <is>
          <t>Ja</t>
        </is>
      </c>
      <c r="AA1428" t="n">
        <v>8</v>
      </c>
      <c r="AB1428" t="inlineStr">
        <is>
          <t>Riskhantering</t>
        </is>
      </c>
      <c r="AC1428" t="inlineStr">
        <is>
          <t>Risk-PM</t>
        </is>
      </c>
      <c r="AD1428" t="inlineStr">
        <is>
          <t>Nej</t>
        </is>
      </c>
      <c r="AE1428" t="inlineStr">
        <is>
          <t>Nej</t>
        </is>
      </c>
      <c r="AF1428" t="inlineStr">
        <is>
          <t>Ej behandlad</t>
        </is>
      </c>
      <c r="AG1428" t="inlineStr">
        <is>
          <t>AUTO_GENERERAD. Verifiera citat mot kallfil.</t>
        </is>
      </c>
      <c r="AH1428" t="inlineStr">
        <is>
          <t>MEDIUM</t>
        </is>
      </c>
      <c r="AI1428" t="inlineStr">
        <is>
          <t>AUTO</t>
        </is>
      </c>
      <c r="AJ1428" t="inlineStr">
        <is>
          <t>Nej</t>
        </is>
      </c>
      <c r="AK1428" t="inlineStr"/>
      <c r="AL1428" t="inlineStr"/>
      <c r="AM1428" t="inlineStr"/>
      <c r="AN1428" t="inlineStr"/>
      <c r="AO1428" t="inlineStr">
        <is>
          <t>cmm4yuov001z5cuqwzv54vbz4</t>
        </is>
      </c>
      <c r="AP1428" t="inlineStr">
        <is>
          <t>http://localhost:8787/api/admin/requirements/documents/cmm4yuov001z5cuqwzv54vbz4/view</t>
        </is>
      </c>
      <c r="AQ1428">
        <f>HYPERLÄNK("http://localhost:8787/api/admin/requirements/documents/cmm4yuov001z5cuqwzv54vbz4/view";"Öppna PDF")</f>
        <v/>
      </c>
      <c r="AR1428">
        <f>HYPERLINK("http://localhost:8787/api/admin/requirements/documents/cmm4yuov001z5cuqwzv54vbz4/view","Open PDF")</f>
        <v/>
      </c>
      <c r="AS1428" t="inlineStr">
        <is>
          <t>cmm55w57p0004cuisfrtpqly8</t>
        </is>
      </c>
      <c r="AT1428" t="inlineStr">
        <is>
          <t>cmm4xvu980000cuh4vj0usz09</t>
        </is>
      </c>
      <c r="AU1428" t="inlineStr"/>
      <c r="AV1428" t="inlineStr">
        <is>
          <t>Kommun</t>
        </is>
      </c>
      <c r="AW1428" t="inlineStr"/>
      <c r="AX1428" t="inlineStr">
        <is>
          <t>2026-02</t>
        </is>
      </c>
      <c r="AY1428" t="inlineStr">
        <is>
          <t>Beslut</t>
        </is>
      </c>
      <c r="AZ1428" t="inlineStr">
        <is>
          <t>2026-02-03</t>
        </is>
      </c>
      <c r="BA1428" t="inlineStr">
        <is>
          <t>MIL2024357pdf_976573.pdf</t>
        </is>
      </c>
      <c r="BB1428" t="inlineStr">
        <is>
          <t>Begäran om allmän handling i ärende  MIL.2026.363</t>
        </is>
      </c>
      <c r="BC1428" t="inlineStr">
        <is>
          <t>AUTO</t>
        </is>
      </c>
      <c r="BD1428" t="inlineStr"/>
      <c r="BE1428" t="inlineStr"/>
      <c r="BF1428" t="inlineStr">
        <is>
          <t>AUTO_GENERERAD. Bekrafta metadata mot kallfil.</t>
        </is>
      </c>
      <c r="BG1428">
        <f>HYPERLINK("C:\Users\jimmy\Desktop\Examens arbete\Kod\Ny mapp\remix_-copy-of-miljöbeslut.se-portal\MIL2024357pdf_976573.pdf", "Öppna PDF")</f>
        <v/>
      </c>
    </row>
    <row r="1429">
      <c r="A1429" t="inlineStr">
        <is>
          <t>KRAV-AUTO-001428</t>
        </is>
      </c>
      <c r="B1429" t="inlineStr">
        <is>
          <t>ADMIN-INDEX-2026-02-27-00000000125C043F57453246863FE664CAFE6A3F0700950291EA24F0614FB6ACEDB12BF0E31D00000000010C0000950291EA24F0614FB6ACEDB12BF0E31D00002087AEBB0000</t>
        </is>
      </c>
      <c r="C1429" t="inlineStr">
        <is>
          <t>cmm4yuov001z5cuqwzv54vbz4</t>
        </is>
      </c>
      <c r="D1429" t="inlineStr">
        <is>
          <t>http://localhost:8787/api/admin/requirements/documents/cmm4yuov001z5cuqwzv54vbz4/view</t>
        </is>
      </c>
      <c r="E1429">
        <f>HYPERLÄNK("http://localhost:8787/api/admin/requirements/documents/cmm4yuov001z5cuqwzv54vbz4/view";"Öppna PDF")</f>
        <v/>
      </c>
      <c r="F1429">
        <f>HYPERLINK("http://localhost:8787/api/admin/requirements/documents/cmm4yuov001z5cuqwzv54vbz4/view","Open PDF")</f>
        <v/>
      </c>
      <c r="G1429" t="inlineStr">
        <is>
          <t>cmm55w57p0004cuisfrtpqly8</t>
        </is>
      </c>
      <c r="H1429" t="inlineStr">
        <is>
          <t>Beslutsvillkor</t>
        </is>
      </c>
      <c r="I1429" t="inlineStr">
        <is>
          <t>Riskhantering</t>
        </is>
      </c>
      <c r="J1429" t="inlineStr">
        <is>
          <t>Riskkontroll</t>
        </is>
      </c>
      <c r="K1429" t="inlineStr">
        <is>
          <t>- Arbetsmiljöskäl och risk för kontamination.</t>
        </is>
      </c>
      <c r="L1429" t="inlineStr">
        <is>
          <t>- Arbetsmiljöskäl och risk för kontamination.</t>
        </is>
      </c>
      <c r="M1429" t="inlineStr">
        <is>
          <t>SKA</t>
        </is>
      </c>
      <c r="N1429" t="inlineStr"/>
      <c r="O1429" t="inlineStr"/>
      <c r="P1429" t="inlineStr"/>
      <c r="Q1429" t="inlineStr"/>
      <c r="R1429" t="inlineStr">
        <is>
          <t>Vid risk for incident</t>
        </is>
      </c>
      <c r="S1429" t="inlineStr"/>
      <c r="T1429" t="inlineStr">
        <is>
          <t>886513</t>
        </is>
      </c>
      <c r="U1429" t="inlineStr"/>
      <c r="V1429" t="inlineStr"/>
      <c r="W1429" t="inlineStr">
        <is>
          <t>Nej</t>
        </is>
      </c>
      <c r="X1429" t="inlineStr">
        <is>
          <t>Nej</t>
        </is>
      </c>
      <c r="Y1429" t="inlineStr">
        <is>
          <t>Ja</t>
        </is>
      </c>
      <c r="Z1429" t="inlineStr">
        <is>
          <t>Ja</t>
        </is>
      </c>
      <c r="AA1429" t="n">
        <v>8</v>
      </c>
      <c r="AB1429" t="inlineStr">
        <is>
          <t>Riskhantering</t>
        </is>
      </c>
      <c r="AC1429" t="inlineStr">
        <is>
          <t>Risk-PM</t>
        </is>
      </c>
      <c r="AD1429" t="inlineStr">
        <is>
          <t>Nej</t>
        </is>
      </c>
      <c r="AE1429" t="inlineStr">
        <is>
          <t>Nej</t>
        </is>
      </c>
      <c r="AF1429" t="inlineStr">
        <is>
          <t>Ej behandlad</t>
        </is>
      </c>
      <c r="AG1429" t="inlineStr">
        <is>
          <t>AUTO_GENERERAD. Verifiera citat mot kallfil.</t>
        </is>
      </c>
      <c r="AH1429" t="inlineStr">
        <is>
          <t>MEDIUM</t>
        </is>
      </c>
      <c r="AI1429" t="inlineStr">
        <is>
          <t>AUTO</t>
        </is>
      </c>
      <c r="AJ1429" t="inlineStr">
        <is>
          <t>Nej</t>
        </is>
      </c>
      <c r="AK1429" t="inlineStr"/>
      <c r="AL1429" t="inlineStr"/>
      <c r="AM1429" t="inlineStr"/>
      <c r="AN1429" t="inlineStr"/>
      <c r="AO1429" t="inlineStr">
        <is>
          <t>cmm4yuov001z5cuqwzv54vbz4</t>
        </is>
      </c>
      <c r="AP1429" t="inlineStr">
        <is>
          <t>http://localhost:8787/api/admin/requirements/documents/cmm4yuov001z5cuqwzv54vbz4/view</t>
        </is>
      </c>
      <c r="AQ1429">
        <f>HYPERLÄNK("http://localhost:8787/api/admin/requirements/documents/cmm4yuov001z5cuqwzv54vbz4/view";"Öppna PDF")</f>
        <v/>
      </c>
      <c r="AR1429">
        <f>HYPERLINK("http://localhost:8787/api/admin/requirements/documents/cmm4yuov001z5cuqwzv54vbz4/view","Open PDF")</f>
        <v/>
      </c>
      <c r="AS1429" t="inlineStr">
        <is>
          <t>cmm55w57p0004cuisfrtpqly8</t>
        </is>
      </c>
      <c r="AT1429" t="inlineStr">
        <is>
          <t>cmm4xvu980000cuh4vj0usz09</t>
        </is>
      </c>
      <c r="AU1429" t="inlineStr"/>
      <c r="AV1429" t="inlineStr">
        <is>
          <t>Kommun</t>
        </is>
      </c>
      <c r="AW1429" t="inlineStr"/>
      <c r="AX1429" t="inlineStr">
        <is>
          <t>2026-02</t>
        </is>
      </c>
      <c r="AY1429" t="inlineStr">
        <is>
          <t>Beslut</t>
        </is>
      </c>
      <c r="AZ1429" t="inlineStr">
        <is>
          <t>2026-02-03</t>
        </is>
      </c>
      <c r="BA1429" t="inlineStr">
        <is>
          <t>MIL2024357pdf_976573.pdf</t>
        </is>
      </c>
      <c r="BB1429" t="inlineStr">
        <is>
          <t>Begäran om allmän handling i ärende  MIL.2026.363</t>
        </is>
      </c>
      <c r="BC1429" t="inlineStr">
        <is>
          <t>AUTO</t>
        </is>
      </c>
      <c r="BD1429" t="inlineStr"/>
      <c r="BE1429" t="inlineStr"/>
      <c r="BF1429" t="inlineStr">
        <is>
          <t>AUTO_GENERERAD. Bekrafta metadata mot kallfil.</t>
        </is>
      </c>
      <c r="BG1429">
        <f>HYPERLINK("C:\Users\jimmy\Desktop\Examens arbete\Kod\Ny mapp\remix_-copy-of-miljöbeslut.se-portal\MIL2024357pdf_976573.pdf", "Öppna PDF")</f>
        <v/>
      </c>
    </row>
    <row r="1430">
      <c r="A1430" t="inlineStr">
        <is>
          <t>KRAV-AUTO-001429</t>
        </is>
      </c>
      <c r="B1430" t="inlineStr">
        <is>
          <t>ADMIN-INDEX-2026-02-27-00000000125C043F57453246863FE664CAFE6A3F0700950291EA24F0614FB6ACEDB12BF0E31D00000000010C0000950291EA24F0614FB6ACEDB12BF0E31D00002087AEBB0000</t>
        </is>
      </c>
      <c r="C1430" t="inlineStr">
        <is>
          <t>cmm4yuov001z5cuqwzv54vbz4</t>
        </is>
      </c>
      <c r="D1430" t="inlineStr">
        <is>
          <t>http://localhost:8787/api/admin/requirements/documents/cmm4yuov001z5cuqwzv54vbz4/view</t>
        </is>
      </c>
      <c r="E1430">
        <f>HYPERLÄNK("http://localhost:8787/api/admin/requirements/documents/cmm4yuov001z5cuqwzv54vbz4/view";"Öppna PDF")</f>
        <v/>
      </c>
      <c r="F1430">
        <f>HYPERLINK("http://localhost:8787/api/admin/requirements/documents/cmm4yuov001z5cuqwzv54vbz4/view","Open PDF")</f>
        <v/>
      </c>
      <c r="G1430" t="inlineStr">
        <is>
          <t>cmm55w57p0004cuisfrtpqly8</t>
        </is>
      </c>
      <c r="H1430" t="inlineStr">
        <is>
          <t>Beslutsvillkor</t>
        </is>
      </c>
      <c r="I1430" t="inlineStr">
        <is>
          <t>MiljopaverkanForsiktighet</t>
        </is>
      </c>
      <c r="J1430" t="inlineStr">
        <is>
          <t>Skyddsatgarder</t>
        </is>
      </c>
      <c r="K1430" t="inlineStr">
        <is>
          <t>Nämnden bedömer att av uppräknade skäl är ingen tillämpningsbar på undantagsreglerna i avfallsförordningen och därmed är inte dispens skäligt att ge.</t>
        </is>
      </c>
      <c r="L1430" t="inlineStr">
        <is>
          <t>Nämnden bedömer att av uppräknade skäl är ingen tillämpningsbar på undantagsreglerna i avfallsförordningen och därmed är inte dispens skäligt att ge.</t>
        </is>
      </c>
      <c r="M1430" t="inlineStr">
        <is>
          <t>SKA</t>
        </is>
      </c>
      <c r="N1430" t="inlineStr"/>
      <c r="O1430" t="inlineStr"/>
      <c r="P1430" t="inlineStr"/>
      <c r="Q1430" t="inlineStr"/>
      <c r="R1430" t="inlineStr">
        <is>
          <t>Alltid</t>
        </is>
      </c>
      <c r="S1430" t="inlineStr"/>
      <c r="T1430" t="inlineStr">
        <is>
          <t>886513</t>
        </is>
      </c>
      <c r="U1430" t="inlineStr"/>
      <c r="V1430" t="inlineStr"/>
      <c r="W1430" t="inlineStr">
        <is>
          <t>Nej</t>
        </is>
      </c>
      <c r="X1430" t="inlineStr">
        <is>
          <t>Nej</t>
        </is>
      </c>
      <c r="Y1430" t="inlineStr">
        <is>
          <t>Nej</t>
        </is>
      </c>
      <c r="Z1430" t="inlineStr">
        <is>
          <t>Nej</t>
        </is>
      </c>
      <c r="AA1430" t="n">
        <v>10</v>
      </c>
      <c r="AB1430" t="inlineStr">
        <is>
          <t>Miljopaverkan och forsiktighetsmatt</t>
        </is>
      </c>
      <c r="AC1430" t="inlineStr">
        <is>
          <t>Miljo-PM</t>
        </is>
      </c>
      <c r="AD1430" t="inlineStr">
        <is>
          <t>Nej</t>
        </is>
      </c>
      <c r="AE1430" t="inlineStr">
        <is>
          <t>Nej</t>
        </is>
      </c>
      <c r="AF1430" t="inlineStr">
        <is>
          <t>Ej behandlad</t>
        </is>
      </c>
      <c r="AG1430" t="inlineStr">
        <is>
          <t>AUTO_GENERERAD. Verifiera citat mot kallfil.</t>
        </is>
      </c>
      <c r="AH1430" t="inlineStr">
        <is>
          <t>MEDIUM</t>
        </is>
      </c>
      <c r="AI1430" t="inlineStr">
        <is>
          <t>AUTO</t>
        </is>
      </c>
      <c r="AJ1430" t="inlineStr">
        <is>
          <t>Nej</t>
        </is>
      </c>
      <c r="AK1430" t="inlineStr"/>
      <c r="AL1430" t="inlineStr"/>
      <c r="AM1430" t="inlineStr"/>
      <c r="AN1430" t="inlineStr"/>
      <c r="AO1430" t="inlineStr">
        <is>
          <t>cmm4yuov001z5cuqwzv54vbz4</t>
        </is>
      </c>
      <c r="AP1430" t="inlineStr">
        <is>
          <t>http://localhost:8787/api/admin/requirements/documents/cmm4yuov001z5cuqwzv54vbz4/view</t>
        </is>
      </c>
      <c r="AQ1430">
        <f>HYPERLÄNK("http://localhost:8787/api/admin/requirements/documents/cmm4yuov001z5cuqwzv54vbz4/view";"Öppna PDF")</f>
        <v/>
      </c>
      <c r="AR1430">
        <f>HYPERLINK("http://localhost:8787/api/admin/requirements/documents/cmm4yuov001z5cuqwzv54vbz4/view","Open PDF")</f>
        <v/>
      </c>
      <c r="AS1430" t="inlineStr">
        <is>
          <t>cmm55w57p0004cuisfrtpqly8</t>
        </is>
      </c>
      <c r="AT1430" t="inlineStr">
        <is>
          <t>cmm4xvu980000cuh4vj0usz09</t>
        </is>
      </c>
      <c r="AU1430" t="inlineStr"/>
      <c r="AV1430" t="inlineStr">
        <is>
          <t>Kommun</t>
        </is>
      </c>
      <c r="AW1430" t="inlineStr"/>
      <c r="AX1430" t="inlineStr">
        <is>
          <t>2026-02</t>
        </is>
      </c>
      <c r="AY1430" t="inlineStr">
        <is>
          <t>Beslut</t>
        </is>
      </c>
      <c r="AZ1430" t="inlineStr">
        <is>
          <t>2026-02-03</t>
        </is>
      </c>
      <c r="BA1430" t="inlineStr">
        <is>
          <t>MIL2024357pdf_976573.pdf</t>
        </is>
      </c>
      <c r="BB1430" t="inlineStr">
        <is>
          <t>Begäran om allmän handling i ärende  MIL.2026.363</t>
        </is>
      </c>
      <c r="BC1430" t="inlineStr">
        <is>
          <t>AUTO</t>
        </is>
      </c>
      <c r="BD1430" t="inlineStr"/>
      <c r="BE1430" t="inlineStr"/>
      <c r="BF1430" t="inlineStr">
        <is>
          <t>AUTO_GENERERAD. Bekrafta metadata mot kallfil.</t>
        </is>
      </c>
      <c r="BG1430">
        <f>HYPERLINK("C:\Users\jimmy\Desktop\Examens arbete\Kod\Ny mapp\remix_-copy-of-miljöbeslut.se-portal\MIL2024357pdf_976573.pdf", "Öppna PDF")</f>
        <v/>
      </c>
    </row>
    <row r="1431">
      <c r="A1431" t="inlineStr">
        <is>
          <t>KRAV-AUTO-001430</t>
        </is>
      </c>
      <c r="B1431" t="inlineStr">
        <is>
          <t>ADMIN-INDEX-2026-02-27-00000000125C043F57453246863FE664CAFE6A3F0700950291EA24F0614FB6ACEDB12BF0E31D00000000010C0000950291EA24F0614FB6ACEDB12BF0E31D00002087AEBB0000</t>
        </is>
      </c>
      <c r="C1431" t="inlineStr">
        <is>
          <t>cmm4yuouy01z2cuqw1fpo8sbe</t>
        </is>
      </c>
      <c r="D1431" t="inlineStr">
        <is>
          <t>http://localhost:8787/api/admin/requirements/documents/cmm4yuouy01z2cuqw1fpo8sbe/view</t>
        </is>
      </c>
      <c r="E1431">
        <f>HYPERLÄNK("http://localhost:8787/api/admin/requirements/documents/cmm4yuouy01z2cuqw1fpo8sbe/view";"Öppna PDF")</f>
        <v/>
      </c>
      <c r="F1431">
        <f>HYPERLINK("http://localhost:8787/api/admin/requirements/documents/cmm4yuouy01z2cuqw1fpo8sbe/view","Open PDF")</f>
        <v/>
      </c>
      <c r="G1431" t="inlineStr">
        <is>
          <t>cmm55w57p0004cuisfrtpqly8</t>
        </is>
      </c>
      <c r="H1431" t="inlineStr">
        <is>
          <t>Beslutsvillkor</t>
        </is>
      </c>
      <c r="I1431" t="inlineStr">
        <is>
          <t>MiljopaverkanForsiktighet</t>
        </is>
      </c>
      <c r="J1431" t="inlineStr">
        <is>
          <t>Skyddsatgarder</t>
        </is>
      </c>
      <c r="K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31" t="inlineStr">
        <is>
          <t>SKA</t>
        </is>
      </c>
      <c r="N1431" t="inlineStr"/>
      <c r="O1431" t="inlineStr">
        <is>
          <t>2025-07-31</t>
        </is>
      </c>
      <c r="P1431" t="inlineStr"/>
      <c r="Q1431" t="inlineStr"/>
      <c r="R1431" t="inlineStr">
        <is>
          <t>Alltid</t>
        </is>
      </c>
      <c r="S1431" t="inlineStr"/>
      <c r="T1431" t="inlineStr">
        <is>
          <t>556727</t>
        </is>
      </c>
      <c r="U1431" t="inlineStr"/>
      <c r="V1431" t="inlineStr"/>
      <c r="W1431" t="inlineStr">
        <is>
          <t>Nej</t>
        </is>
      </c>
      <c r="X1431" t="inlineStr">
        <is>
          <t>Nej</t>
        </is>
      </c>
      <c r="Y1431" t="inlineStr">
        <is>
          <t>Nej</t>
        </is>
      </c>
      <c r="Z1431" t="inlineStr">
        <is>
          <t>Nej</t>
        </is>
      </c>
      <c r="AA1431" t="n">
        <v>10</v>
      </c>
      <c r="AB1431" t="inlineStr">
        <is>
          <t>Miljopaverkan och forsiktighetsmatt</t>
        </is>
      </c>
      <c r="AC1431" t="inlineStr">
        <is>
          <t>Miljo-PM</t>
        </is>
      </c>
      <c r="AD1431" t="inlineStr">
        <is>
          <t>Nej</t>
        </is>
      </c>
      <c r="AE1431" t="inlineStr">
        <is>
          <t>Nej</t>
        </is>
      </c>
      <c r="AF1431" t="inlineStr">
        <is>
          <t>Ej behandlad</t>
        </is>
      </c>
      <c r="AG1431" t="inlineStr">
        <is>
          <t>AUTO_GENERERAD. Verifiera citat mot kallfil.</t>
        </is>
      </c>
      <c r="AH1431" t="inlineStr">
        <is>
          <t>MEDIUM</t>
        </is>
      </c>
      <c r="AI1431" t="inlineStr">
        <is>
          <t>AUTO</t>
        </is>
      </c>
      <c r="AJ1431" t="inlineStr">
        <is>
          <t>Nej</t>
        </is>
      </c>
      <c r="AK1431" t="inlineStr"/>
      <c r="AL1431" t="inlineStr"/>
      <c r="AM1431" t="inlineStr"/>
      <c r="AN1431" t="inlineStr"/>
      <c r="AO1431" t="inlineStr">
        <is>
          <t>cmm4yuov001z5cuqwzv54vbz4</t>
        </is>
      </c>
      <c r="AP1431" t="inlineStr">
        <is>
          <t>http://localhost:8787/api/admin/requirements/documents/cmm4yuov001z5cuqwzv54vbz4/view</t>
        </is>
      </c>
      <c r="AQ1431">
        <f>HYPERLÄNK("http://localhost:8787/api/admin/requirements/documents/cmm4yuov001z5cuqwzv54vbz4/view";"Öppna PDF")</f>
        <v/>
      </c>
      <c r="AR1431">
        <f>HYPERLINK("http://localhost:8787/api/admin/requirements/documents/cmm4yuov001z5cuqwzv54vbz4/view","Open PDF")</f>
        <v/>
      </c>
      <c r="AS1431" t="inlineStr">
        <is>
          <t>cmm55w57p0004cuisfrtpqly8</t>
        </is>
      </c>
      <c r="AT1431" t="inlineStr">
        <is>
          <t>cmm4xvu980000cuh4vj0usz09</t>
        </is>
      </c>
      <c r="AU1431" t="inlineStr"/>
      <c r="AV1431" t="inlineStr">
        <is>
          <t>Kommun</t>
        </is>
      </c>
      <c r="AW1431" t="inlineStr"/>
      <c r="AX1431" t="inlineStr">
        <is>
          <t>2026-02</t>
        </is>
      </c>
      <c r="AY1431" t="inlineStr">
        <is>
          <t>Beslut</t>
        </is>
      </c>
      <c r="AZ1431" t="inlineStr">
        <is>
          <t>2026-02-03</t>
        </is>
      </c>
      <c r="BA1431" t="inlineStr">
        <is>
          <t>MIL2024357pdf_976573.pdf</t>
        </is>
      </c>
      <c r="BB1431" t="inlineStr">
        <is>
          <t>Begäran om allmän handling i ärende  MIL.2026.363</t>
        </is>
      </c>
      <c r="BC1431" t="inlineStr">
        <is>
          <t>AUTO</t>
        </is>
      </c>
      <c r="BD1431" t="inlineStr"/>
      <c r="BE1431" t="inlineStr"/>
      <c r="BF1431" t="inlineStr">
        <is>
          <t>AUTO_GENERERAD. Bekrafta metadata mot kallfil.</t>
        </is>
      </c>
      <c r="BG1431">
        <f>HYPERLINK("C:\Users\jimmy\Desktop\Examens arbete\Kod\Ny mapp\remix_-copy-of-miljöbeslut.se-portal\MIL2024357pdf_976573.pdf", "Öppna PDF")</f>
        <v/>
      </c>
    </row>
    <row r="1432">
      <c r="A1432" t="inlineStr">
        <is>
          <t>KRAV-AUTO-001431</t>
        </is>
      </c>
      <c r="B1432" t="inlineStr">
        <is>
          <t>ADMIN-INDEX-2026-02-27-00000000125C043F57453246863FE664CAFE6A3F0700950291EA24F0614FB6ACEDB12BF0E31D00000000010C0000950291EA24F0614FB6ACEDB12BF0E31D00002087AEBB0000</t>
        </is>
      </c>
      <c r="C1432" t="inlineStr">
        <is>
          <t>cmm4yuouv01yzcuqwfbsvjgvd</t>
        </is>
      </c>
      <c r="D1432" t="inlineStr">
        <is>
          <t>http://localhost:8787/api/admin/requirements/documents/cmm4yuouv01yzcuqwfbsvjgvd/view</t>
        </is>
      </c>
      <c r="E1432">
        <f>HYPERLÄNK("http://localhost:8787/api/admin/requirements/documents/cmm4yuouv01yzcuqwfbsvjgvd/view";"Öppna PDF")</f>
        <v/>
      </c>
      <c r="F1432">
        <f>HYPERLINK("http://localhost:8787/api/admin/requirements/documents/cmm4yuouv01yzcuqwfbsvjgvd/view","Open PDF")</f>
        <v/>
      </c>
      <c r="G1432" t="inlineStr">
        <is>
          <t>cmm55w57p0004cuisfrtpqly8</t>
        </is>
      </c>
      <c r="H1432" t="inlineStr">
        <is>
          <t>Beslutsvillkor</t>
        </is>
      </c>
      <c r="I1432" t="inlineStr">
        <is>
          <t>Riskhantering</t>
        </is>
      </c>
      <c r="J1432" t="inlineStr">
        <is>
          <t>Riskkontroll</t>
        </is>
      </c>
      <c r="K1432" t="inlineStr">
        <is>
          <t>I sina rutiner bör verksamhetsutövaren kuna fördela/lägga upp arbetsupgifter på så sätt att bioavfall inte utgör en risk för olägenhet.</t>
        </is>
      </c>
      <c r="L1432" t="inlineStr">
        <is>
          <t>I sina rutiner bör verksamhetsutövaren kuna fördela/lägga upp arbetsupgifter på så sätt att bioavfall inte utgör en risk för olägenhet.</t>
        </is>
      </c>
      <c r="M1432" t="inlineStr">
        <is>
          <t>BOR</t>
        </is>
      </c>
      <c r="N1432" t="inlineStr"/>
      <c r="O1432" t="inlineStr"/>
      <c r="P1432" t="inlineStr"/>
      <c r="Q1432" t="inlineStr"/>
      <c r="R1432" t="inlineStr">
        <is>
          <t>Vid risk for incident</t>
        </is>
      </c>
      <c r="S1432" t="inlineStr"/>
      <c r="T1432" t="inlineStr">
        <is>
          <t>897918</t>
        </is>
      </c>
      <c r="U1432" t="inlineStr"/>
      <c r="V1432" t="inlineStr"/>
      <c r="W1432" t="inlineStr">
        <is>
          <t>Nej</t>
        </is>
      </c>
      <c r="X1432" t="inlineStr">
        <is>
          <t>Nej</t>
        </is>
      </c>
      <c r="Y1432" t="inlineStr">
        <is>
          <t>Ja</t>
        </is>
      </c>
      <c r="Z1432" t="inlineStr">
        <is>
          <t>Ja</t>
        </is>
      </c>
      <c r="AA1432" t="n">
        <v>8</v>
      </c>
      <c r="AB1432" t="inlineStr">
        <is>
          <t>Riskhantering</t>
        </is>
      </c>
      <c r="AC1432" t="inlineStr">
        <is>
          <t>Risk-PM</t>
        </is>
      </c>
      <c r="AD1432" t="inlineStr">
        <is>
          <t>Nej</t>
        </is>
      </c>
      <c r="AE1432" t="inlineStr">
        <is>
          <t>Nej</t>
        </is>
      </c>
      <c r="AF1432" t="inlineStr">
        <is>
          <t>Ej behandlad</t>
        </is>
      </c>
      <c r="AG1432" t="inlineStr">
        <is>
          <t>AUTO_GENERERAD. Verifiera citat mot kallfil.</t>
        </is>
      </c>
      <c r="AH1432" t="inlineStr">
        <is>
          <t>MEDIUM</t>
        </is>
      </c>
      <c r="AI1432" t="inlineStr">
        <is>
          <t>AUTO</t>
        </is>
      </c>
      <c r="AJ1432" t="inlineStr">
        <is>
          <t>Nej</t>
        </is>
      </c>
      <c r="AK1432" t="inlineStr"/>
      <c r="AL1432" t="inlineStr"/>
      <c r="AM1432" t="inlineStr"/>
      <c r="AN1432" t="inlineStr"/>
      <c r="AO1432" t="inlineStr">
        <is>
          <t>cmm4yuov001z5cuqwzv54vbz4</t>
        </is>
      </c>
      <c r="AP1432" t="inlineStr">
        <is>
          <t>http://localhost:8787/api/admin/requirements/documents/cmm4yuov001z5cuqwzv54vbz4/view</t>
        </is>
      </c>
      <c r="AQ1432">
        <f>HYPERLÄNK("http://localhost:8787/api/admin/requirements/documents/cmm4yuov001z5cuqwzv54vbz4/view";"Öppna PDF")</f>
        <v/>
      </c>
      <c r="AR1432">
        <f>HYPERLINK("http://localhost:8787/api/admin/requirements/documents/cmm4yuov001z5cuqwzv54vbz4/view","Open PDF")</f>
        <v/>
      </c>
      <c r="AS1432" t="inlineStr">
        <is>
          <t>cmm55w57p0004cuisfrtpqly8</t>
        </is>
      </c>
      <c r="AT1432" t="inlineStr">
        <is>
          <t>cmm4xvu980000cuh4vj0usz09</t>
        </is>
      </c>
      <c r="AU1432" t="inlineStr"/>
      <c r="AV1432" t="inlineStr">
        <is>
          <t>Kommun</t>
        </is>
      </c>
      <c r="AW1432" t="inlineStr"/>
      <c r="AX1432" t="inlineStr">
        <is>
          <t>2026-02</t>
        </is>
      </c>
      <c r="AY1432" t="inlineStr">
        <is>
          <t>Beslut</t>
        </is>
      </c>
      <c r="AZ1432" t="inlineStr">
        <is>
          <t>2026-02-03</t>
        </is>
      </c>
      <c r="BA1432" t="inlineStr">
        <is>
          <t>MIL2024357pdf_976573.pdf</t>
        </is>
      </c>
      <c r="BB1432" t="inlineStr">
        <is>
          <t>Begäran om allmän handling i ärende  MIL.2026.363</t>
        </is>
      </c>
      <c r="BC1432" t="inlineStr">
        <is>
          <t>AUTO</t>
        </is>
      </c>
      <c r="BD1432" t="inlineStr"/>
      <c r="BE1432" t="inlineStr"/>
      <c r="BF1432" t="inlineStr">
        <is>
          <t>AUTO_GENERERAD. Bekrafta metadata mot kallfil.</t>
        </is>
      </c>
      <c r="BG1432">
        <f>HYPERLINK("C:\Users\jimmy\Desktop\Examens arbete\Kod\Ny mapp\remix_-copy-of-miljöbeslut.se-portal\MIL2024357pdf_976573.pdf", "Öppna PDF")</f>
        <v/>
      </c>
    </row>
    <row r="1433">
      <c r="A1433" t="inlineStr">
        <is>
          <t>KRAV-AUTO-001432</t>
        </is>
      </c>
      <c r="B1433" t="inlineStr">
        <is>
          <t>ADMIN-INDEX-2026-02-27-00000000125C043F57453246863FE664CAFE6A3F0700950291EA24F0614FB6ACEDB12BF0E31D00000000010C0000950291EA24F0614FB6ACEDB12BF0E31D00002087AEBB0000</t>
        </is>
      </c>
      <c r="C1433" t="inlineStr">
        <is>
          <t>cmm4yuouv01yzcuqwfbsvjgvd</t>
        </is>
      </c>
      <c r="D1433" t="inlineStr">
        <is>
          <t>http://localhost:8787/api/admin/requirements/documents/cmm4yuouv01yzcuqwfbsvjgvd/view</t>
        </is>
      </c>
      <c r="E1433">
        <f>HYPERLÄNK("http://localhost:8787/api/admin/requirements/documents/cmm4yuouv01yzcuqwfbsvjgvd/view";"Öppna PDF")</f>
        <v/>
      </c>
      <c r="F1433">
        <f>HYPERLINK("http://localhost:8787/api/admin/requirements/documents/cmm4yuouv01yzcuqwfbsvjgvd/view","Open PDF")</f>
        <v/>
      </c>
      <c r="G1433" t="inlineStr">
        <is>
          <t>cmm55w57p0004cuisfrtpqly8</t>
        </is>
      </c>
      <c r="H1433" t="inlineStr">
        <is>
          <t>Beslutsvillkor</t>
        </is>
      </c>
      <c r="I1433" t="inlineStr">
        <is>
          <t>Riskhantering</t>
        </is>
      </c>
      <c r="J1433" t="inlineStr">
        <is>
          <t>Riskkontroll</t>
        </is>
      </c>
      <c r="K1433" t="inlineStr">
        <is>
          <t>Vi ansöker om dispens i två år då vi inte har några kylda soprum att kunna förvara det separerade matavfallet i och löper då stor risk för skadedjur.</t>
        </is>
      </c>
      <c r="L1433" t="inlineStr">
        <is>
          <t>Vi ansöker om dispens i två år då vi inte har några kylda soprum att kunna förvara det separerade matavfallet i och löper då stor risk för skadedjur.</t>
        </is>
      </c>
      <c r="M1433" t="inlineStr">
        <is>
          <t>SKA</t>
        </is>
      </c>
      <c r="N1433" t="inlineStr"/>
      <c r="O1433" t="inlineStr"/>
      <c r="P1433" t="inlineStr"/>
      <c r="Q1433" t="inlineStr"/>
      <c r="R1433" t="inlineStr">
        <is>
          <t>Vid risk for incident</t>
        </is>
      </c>
      <c r="S1433" t="inlineStr"/>
      <c r="T1433" t="inlineStr">
        <is>
          <t>897918</t>
        </is>
      </c>
      <c r="U1433" t="inlineStr"/>
      <c r="V1433" t="inlineStr"/>
      <c r="W1433" t="inlineStr">
        <is>
          <t>Nej</t>
        </is>
      </c>
      <c r="X1433" t="inlineStr">
        <is>
          <t>Nej</t>
        </is>
      </c>
      <c r="Y1433" t="inlineStr">
        <is>
          <t>Ja</t>
        </is>
      </c>
      <c r="Z1433" t="inlineStr">
        <is>
          <t>Ja</t>
        </is>
      </c>
      <c r="AA1433" t="n">
        <v>8</v>
      </c>
      <c r="AB1433" t="inlineStr">
        <is>
          <t>Riskhantering</t>
        </is>
      </c>
      <c r="AC1433" t="inlineStr">
        <is>
          <t>Risk-PM</t>
        </is>
      </c>
      <c r="AD1433" t="inlineStr">
        <is>
          <t>Nej</t>
        </is>
      </c>
      <c r="AE1433" t="inlineStr">
        <is>
          <t>Nej</t>
        </is>
      </c>
      <c r="AF1433" t="inlineStr">
        <is>
          <t>Ej behandlad</t>
        </is>
      </c>
      <c r="AG1433" t="inlineStr">
        <is>
          <t>AUTO_GENERERAD. Verifiera citat mot kallfil.</t>
        </is>
      </c>
      <c r="AH1433" t="inlineStr">
        <is>
          <t>MEDIUM</t>
        </is>
      </c>
      <c r="AI1433" t="inlineStr">
        <is>
          <t>AUTO</t>
        </is>
      </c>
      <c r="AJ1433" t="inlineStr">
        <is>
          <t>Nej</t>
        </is>
      </c>
      <c r="AK1433" t="inlineStr"/>
      <c r="AL1433" t="inlineStr"/>
      <c r="AM1433" t="inlineStr"/>
      <c r="AN1433" t="inlineStr"/>
      <c r="AO1433" t="inlineStr">
        <is>
          <t>cmm4yuov001z5cuqwzv54vbz4</t>
        </is>
      </c>
      <c r="AP1433" t="inlineStr">
        <is>
          <t>http://localhost:8787/api/admin/requirements/documents/cmm4yuov001z5cuqwzv54vbz4/view</t>
        </is>
      </c>
      <c r="AQ1433">
        <f>HYPERLÄNK("http://localhost:8787/api/admin/requirements/documents/cmm4yuov001z5cuqwzv54vbz4/view";"Öppna PDF")</f>
        <v/>
      </c>
      <c r="AR1433">
        <f>HYPERLINK("http://localhost:8787/api/admin/requirements/documents/cmm4yuov001z5cuqwzv54vbz4/view","Open PDF")</f>
        <v/>
      </c>
      <c r="AS1433" t="inlineStr">
        <is>
          <t>cmm55w57p0004cuisfrtpqly8</t>
        </is>
      </c>
      <c r="AT1433" t="inlineStr">
        <is>
          <t>cmm4xvu980000cuh4vj0usz09</t>
        </is>
      </c>
      <c r="AU1433" t="inlineStr"/>
      <c r="AV1433" t="inlineStr">
        <is>
          <t>Kommun</t>
        </is>
      </c>
      <c r="AW1433" t="inlineStr"/>
      <c r="AX1433" t="inlineStr">
        <is>
          <t>2026-02</t>
        </is>
      </c>
      <c r="AY1433" t="inlineStr">
        <is>
          <t>Beslut</t>
        </is>
      </c>
      <c r="AZ1433" t="inlineStr">
        <is>
          <t>2026-02-03</t>
        </is>
      </c>
      <c r="BA1433" t="inlineStr">
        <is>
          <t>MIL2024357pdf_976573.pdf</t>
        </is>
      </c>
      <c r="BB1433" t="inlineStr">
        <is>
          <t>Begäran om allmän handling i ärende  MIL.2026.363</t>
        </is>
      </c>
      <c r="BC1433" t="inlineStr">
        <is>
          <t>AUTO</t>
        </is>
      </c>
      <c r="BD1433" t="inlineStr"/>
      <c r="BE1433" t="inlineStr"/>
      <c r="BF1433" t="inlineStr">
        <is>
          <t>AUTO_GENERERAD. Bekrafta metadata mot kallfil.</t>
        </is>
      </c>
      <c r="BG1433">
        <f>HYPERLINK("C:\Users\jimmy\Desktop\Examens arbete\Kod\Ny mapp\remix_-copy-of-miljöbeslut.se-portal\MIL2024357pdf_976573.pdf", "Öppna PDF")</f>
        <v/>
      </c>
    </row>
    <row r="1434">
      <c r="A1434" t="inlineStr">
        <is>
          <t>KRAV-AUTO-001433</t>
        </is>
      </c>
      <c r="B1434" t="inlineStr">
        <is>
          <t>ADMIN-INDEX-2026-02-27-00000000125C043F57453246863FE664CAFE6A3F0700950291EA24F0614FB6ACEDB12BF0E31D00000000010C0000950291EA24F0614FB6ACEDB12BF0E31D00002087AEBB0000</t>
        </is>
      </c>
      <c r="C1434" t="inlineStr">
        <is>
          <t>cmm4yuouv01yzcuqwfbsvjgvd</t>
        </is>
      </c>
      <c r="D1434" t="inlineStr">
        <is>
          <t>http://localhost:8787/api/admin/requirements/documents/cmm4yuouv01yzcuqwfbsvjgvd/view</t>
        </is>
      </c>
      <c r="E1434">
        <f>HYPERLÄNK("http://localhost:8787/api/admin/requirements/documents/cmm4yuouv01yzcuqwfbsvjgvd/view";"Öppna PDF")</f>
        <v/>
      </c>
      <c r="F1434">
        <f>HYPERLINK("http://localhost:8787/api/admin/requirements/documents/cmm4yuouv01yzcuqwfbsvjgvd/view","Open PDF")</f>
        <v/>
      </c>
      <c r="G1434" t="inlineStr">
        <is>
          <t>cmm55w57p0004cuisfrtpqly8</t>
        </is>
      </c>
      <c r="H1434" t="inlineStr">
        <is>
          <t>Beslutsvillkor</t>
        </is>
      </c>
      <c r="I1434" t="inlineStr">
        <is>
          <t>LagringsvolymTid</t>
        </is>
      </c>
      <c r="J1434" t="inlineStr">
        <is>
          <t>Maxmangd</t>
        </is>
      </c>
      <c r="K1434" t="inlineStr">
        <is>
          <t>Nämndens bedömning av ovanstående uppgifter är: Då det rör sig om mindre mängder avfall per vecka och att det inte rör sig om kyl- eller frysvaror så bör inte avfallshanteringen skilja sig så markant från dagens hantering.</t>
        </is>
      </c>
      <c r="L1434" t="inlineStr">
        <is>
          <t>Nämndens bedömning av ovanstående uppgifter är: Då det rör sig om mindre mängder avfall per vecka och att det inte rör sig om kyl- eller frysvaror så bör inte avfallshanteringen skilja sig så markant från dagens hantering.</t>
        </is>
      </c>
      <c r="M1434" t="inlineStr">
        <is>
          <t>BOR</t>
        </is>
      </c>
      <c r="N1434" t="inlineStr"/>
      <c r="O1434" t="inlineStr"/>
      <c r="P1434" t="inlineStr"/>
      <c r="Q1434" t="inlineStr"/>
      <c r="R1434" t="inlineStr">
        <is>
          <t>Alltid</t>
        </is>
      </c>
      <c r="S1434" t="inlineStr"/>
      <c r="T1434" t="inlineStr">
        <is>
          <t>897918</t>
        </is>
      </c>
      <c r="U1434" t="inlineStr"/>
      <c r="V1434" t="inlineStr"/>
      <c r="W1434" t="inlineStr">
        <is>
          <t>Nej</t>
        </is>
      </c>
      <c r="X1434" t="inlineStr">
        <is>
          <t>Nej</t>
        </is>
      </c>
      <c r="Y1434" t="inlineStr">
        <is>
          <t>Nej</t>
        </is>
      </c>
      <c r="Z1434" t="inlineStr">
        <is>
          <t>Nej</t>
        </is>
      </c>
      <c r="AA1434" t="n">
        <v>4</v>
      </c>
      <c r="AB1434" t="inlineStr">
        <is>
          <t>Avfallsmangder och lagringstid</t>
        </is>
      </c>
      <c r="AC1434" t="inlineStr">
        <is>
          <t>Avfallsforteckning</t>
        </is>
      </c>
      <c r="AD1434" t="inlineStr">
        <is>
          <t>Nej</t>
        </is>
      </c>
      <c r="AE1434" t="inlineStr">
        <is>
          <t>Nej</t>
        </is>
      </c>
      <c r="AF1434" t="inlineStr">
        <is>
          <t>Ej behandlad</t>
        </is>
      </c>
      <c r="AG1434" t="inlineStr">
        <is>
          <t>AUTO_GENERERAD. Verifiera citat mot kallfil.</t>
        </is>
      </c>
      <c r="AH1434" t="inlineStr">
        <is>
          <t>MEDIUM</t>
        </is>
      </c>
      <c r="AI1434" t="inlineStr">
        <is>
          <t>AUTO</t>
        </is>
      </c>
      <c r="AJ1434" t="inlineStr">
        <is>
          <t>Nej</t>
        </is>
      </c>
      <c r="AK1434" t="inlineStr"/>
      <c r="AL1434" t="inlineStr"/>
      <c r="AM1434" t="inlineStr"/>
      <c r="AN1434" t="inlineStr"/>
      <c r="AO1434" t="inlineStr">
        <is>
          <t>cmm4yuov001z5cuqwzv54vbz4</t>
        </is>
      </c>
      <c r="AP1434" t="inlineStr">
        <is>
          <t>http://localhost:8787/api/admin/requirements/documents/cmm4yuov001z5cuqwzv54vbz4/view</t>
        </is>
      </c>
      <c r="AQ1434">
        <f>HYPERLÄNK("http://localhost:8787/api/admin/requirements/documents/cmm4yuov001z5cuqwzv54vbz4/view";"Öppna PDF")</f>
        <v/>
      </c>
      <c r="AR1434">
        <f>HYPERLINK("http://localhost:8787/api/admin/requirements/documents/cmm4yuov001z5cuqwzv54vbz4/view","Open PDF")</f>
        <v/>
      </c>
      <c r="AS1434" t="inlineStr">
        <is>
          <t>cmm55w57p0004cuisfrtpqly8</t>
        </is>
      </c>
      <c r="AT1434" t="inlineStr">
        <is>
          <t>cmm4xvu980000cuh4vj0usz09</t>
        </is>
      </c>
      <c r="AU1434" t="inlineStr"/>
      <c r="AV1434" t="inlineStr">
        <is>
          <t>Kommun</t>
        </is>
      </c>
      <c r="AW1434" t="inlineStr"/>
      <c r="AX1434" t="inlineStr">
        <is>
          <t>2026-02</t>
        </is>
      </c>
      <c r="AY1434" t="inlineStr">
        <is>
          <t>Beslut</t>
        </is>
      </c>
      <c r="AZ1434" t="inlineStr">
        <is>
          <t>2026-02-03</t>
        </is>
      </c>
      <c r="BA1434" t="inlineStr">
        <is>
          <t>MIL2024357pdf_976573.pdf</t>
        </is>
      </c>
      <c r="BB1434" t="inlineStr">
        <is>
          <t>Begäran om allmän handling i ärende  MIL.2026.363</t>
        </is>
      </c>
      <c r="BC1434" t="inlineStr">
        <is>
          <t>AUTO</t>
        </is>
      </c>
      <c r="BD1434" t="inlineStr"/>
      <c r="BE1434" t="inlineStr"/>
      <c r="BF1434" t="inlineStr">
        <is>
          <t>AUTO_GENERERAD. Bekrafta metadata mot kallfil.</t>
        </is>
      </c>
      <c r="BG1434">
        <f>HYPERLINK("C:\Users\jimmy\Desktop\Examens arbete\Kod\Ny mapp\remix_-copy-of-miljöbeslut.se-portal\MIL2024357pdf_976573.pdf", "Öppna PDF")</f>
        <v/>
      </c>
    </row>
    <row r="1435">
      <c r="A1435" t="inlineStr">
        <is>
          <t>KRAV-AUTO-001434</t>
        </is>
      </c>
      <c r="B1435" t="inlineStr">
        <is>
          <t>ADMIN-INDEX-2026-02-27-00000000125C043F57453246863FE664CAFE6A3F0700950291EA24F0614FB6ACEDB12BF0E31D00000000010C0000950291EA24F0614FB6ACEDB12BF0E31D00002087AEBB0000</t>
        </is>
      </c>
      <c r="C1435" t="inlineStr">
        <is>
          <t>cmm4yuout01ywcuqw2mhjr8ym</t>
        </is>
      </c>
      <c r="D1435" t="inlineStr">
        <is>
          <t>http://localhost:8787/api/admin/requirements/documents/cmm4yuout01ywcuqw2mhjr8ym/view</t>
        </is>
      </c>
      <c r="E1435">
        <f>HYPERLÄNK("http://localhost:8787/api/admin/requirements/documents/cmm4yuout01ywcuqw2mhjr8ym/view";"Öppna PDF")</f>
        <v/>
      </c>
      <c r="F1435">
        <f>HYPERLINK("http://localhost:8787/api/admin/requirements/documents/cmm4yuout01ywcuqw2mhjr8ym/view","Open PDF")</f>
        <v/>
      </c>
      <c r="G1435" t="inlineStr">
        <is>
          <t>cmm55w57p0004cuisfrtpqly8</t>
        </is>
      </c>
      <c r="H1435" t="inlineStr">
        <is>
          <t>Beslutsvillkor</t>
        </is>
      </c>
      <c r="I1435" t="inlineStr">
        <is>
          <t>Ytkonstruktion</t>
        </is>
      </c>
      <c r="J1435" t="inlineStr">
        <is>
          <t>Tat yta</t>
        </is>
      </c>
      <c r="K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35" t="inlineStr">
        <is>
          <t>SKA</t>
        </is>
      </c>
      <c r="N1435" t="inlineStr"/>
      <c r="O1435" t="inlineStr"/>
      <c r="P1435" t="inlineStr"/>
      <c r="Q1435" t="inlineStr"/>
      <c r="R1435" t="inlineStr">
        <is>
          <t>Vid mellanlagring av avfall</t>
        </is>
      </c>
      <c r="S1435" t="inlineStr"/>
      <c r="T1435" t="inlineStr">
        <is>
          <t>917920</t>
        </is>
      </c>
      <c r="U1435" t="inlineStr"/>
      <c r="V1435" t="inlineStr"/>
      <c r="W1435" t="inlineStr">
        <is>
          <t>Ja</t>
        </is>
      </c>
      <c r="X1435" t="inlineStr">
        <is>
          <t>Nej</t>
        </is>
      </c>
      <c r="Y1435" t="inlineStr">
        <is>
          <t>Nej</t>
        </is>
      </c>
      <c r="Z1435" t="inlineStr">
        <is>
          <t>Nej</t>
        </is>
      </c>
      <c r="AA1435" t="n">
        <v>5</v>
      </c>
      <c r="AB1435" t="inlineStr">
        <is>
          <t>Teknisk beskrivning av platta</t>
        </is>
      </c>
      <c r="AC1435" t="inlineStr">
        <is>
          <t>Teknisk ritning platta</t>
        </is>
      </c>
      <c r="AD1435" t="inlineStr">
        <is>
          <t>Nej</t>
        </is>
      </c>
      <c r="AE1435" t="inlineStr">
        <is>
          <t>Nej</t>
        </is>
      </c>
      <c r="AF1435" t="inlineStr">
        <is>
          <t>Ej behandlad</t>
        </is>
      </c>
      <c r="AG1435" t="inlineStr">
        <is>
          <t>AUTO_GENERERAD. Verifiera citat mot kallfil.</t>
        </is>
      </c>
      <c r="AH1435" t="inlineStr">
        <is>
          <t>MEDIUM</t>
        </is>
      </c>
      <c r="AI1435" t="inlineStr">
        <is>
          <t>AUTO</t>
        </is>
      </c>
      <c r="AJ1435" t="inlineStr">
        <is>
          <t>Nej</t>
        </is>
      </c>
      <c r="AK1435" t="inlineStr"/>
      <c r="AL1435" t="inlineStr"/>
      <c r="AM1435" t="inlineStr"/>
      <c r="AN1435" t="inlineStr"/>
      <c r="AO1435" t="inlineStr">
        <is>
          <t>cmm4yuov001z5cuqwzv54vbz4</t>
        </is>
      </c>
      <c r="AP1435" t="inlineStr">
        <is>
          <t>http://localhost:8787/api/admin/requirements/documents/cmm4yuov001z5cuqwzv54vbz4/view</t>
        </is>
      </c>
      <c r="AQ1435">
        <f>HYPERLÄNK("http://localhost:8787/api/admin/requirements/documents/cmm4yuov001z5cuqwzv54vbz4/view";"Öppna PDF")</f>
        <v/>
      </c>
      <c r="AR1435">
        <f>HYPERLINK("http://localhost:8787/api/admin/requirements/documents/cmm4yuov001z5cuqwzv54vbz4/view","Open PDF")</f>
        <v/>
      </c>
      <c r="AS1435" t="inlineStr">
        <is>
          <t>cmm55w57p0004cuisfrtpqly8</t>
        </is>
      </c>
      <c r="AT1435" t="inlineStr">
        <is>
          <t>cmm4xvu980000cuh4vj0usz09</t>
        </is>
      </c>
      <c r="AU1435" t="inlineStr"/>
      <c r="AV1435" t="inlineStr">
        <is>
          <t>Kommun</t>
        </is>
      </c>
      <c r="AW1435" t="inlineStr"/>
      <c r="AX1435" t="inlineStr">
        <is>
          <t>2026-02</t>
        </is>
      </c>
      <c r="AY1435" t="inlineStr">
        <is>
          <t>Beslut</t>
        </is>
      </c>
      <c r="AZ1435" t="inlineStr">
        <is>
          <t>2026-02-03</t>
        </is>
      </c>
      <c r="BA1435" t="inlineStr">
        <is>
          <t>MIL2024357pdf_976573.pdf</t>
        </is>
      </c>
      <c r="BB1435" t="inlineStr">
        <is>
          <t>Begäran om allmän handling i ärende  MIL.2026.363</t>
        </is>
      </c>
      <c r="BC1435" t="inlineStr">
        <is>
          <t>AUTO</t>
        </is>
      </c>
      <c r="BD1435" t="inlineStr"/>
      <c r="BE1435" t="inlineStr"/>
      <c r="BF1435" t="inlineStr">
        <is>
          <t>AUTO_GENERERAD. Bekrafta metadata mot kallfil.</t>
        </is>
      </c>
      <c r="BG1435">
        <f>HYPERLINK("C:\Users\jimmy\Desktop\Examens arbete\Kod\Ny mapp\remix_-copy-of-miljöbeslut.se-portal\MIL2024357pdf_976573.pdf", "Öppna PDF")</f>
        <v/>
      </c>
    </row>
    <row r="1436">
      <c r="A1436" t="inlineStr">
        <is>
          <t>KRAV-AUTO-001435</t>
        </is>
      </c>
      <c r="B1436" t="inlineStr">
        <is>
          <t>ADMIN-INDEX-2026-02-27-00000000125C043F57453246863FE664CAFE6A3F0700950291EA24F0614FB6ACEDB12BF0E31D00000000010C0000950291EA24F0614FB6ACEDB12BF0E31D00002087AEBB0000</t>
        </is>
      </c>
      <c r="C1436" t="inlineStr">
        <is>
          <t>cmm4yuout01ywcuqw2mhjr8ym</t>
        </is>
      </c>
      <c r="D1436" t="inlineStr">
        <is>
          <t>http://localhost:8787/api/admin/requirements/documents/cmm4yuout01ywcuqw2mhjr8ym/view</t>
        </is>
      </c>
      <c r="E1436">
        <f>HYPERLÄNK("http://localhost:8787/api/admin/requirements/documents/cmm4yuout01ywcuqw2mhjr8ym/view";"Öppna PDF")</f>
        <v/>
      </c>
      <c r="F1436">
        <f>HYPERLINK("http://localhost:8787/api/admin/requirements/documents/cmm4yuout01ywcuqw2mhjr8ym/view","Open PDF")</f>
        <v/>
      </c>
      <c r="G1436" t="inlineStr">
        <is>
          <t>cmm55w57p0004cuisfrtpqly8</t>
        </is>
      </c>
      <c r="H1436" t="inlineStr">
        <is>
          <t>Beslutsvillkor</t>
        </is>
      </c>
      <c r="I1436" t="inlineStr">
        <is>
          <t>Ytkonstruktion</t>
        </is>
      </c>
      <c r="J1436" t="inlineStr">
        <is>
          <t>Tat yta</t>
        </is>
      </c>
      <c r="K1436" t="inlineStr">
        <is>
          <t>2 MOTIVERING FÖR ATT DISPENS SKA BEVILJAS MSLAB, bedriver grossistverksamhet med lager inom den ovan angivna fastigheten och hanterar därför stor mängd biologiskt nedbrytbart livsmedel- och köksavfall i sin verksamhet.</t>
        </is>
      </c>
      <c r="L1436" t="inlineStr">
        <is>
          <t>2 MOTIVERING FÖR ATT DISPENS SKA BEVILJAS MSLAB, bedriver grossistverksamhet med lager inom den ovan angivna fastigheten och hanterar därför stor mängd biologiskt nedbrytbart livsmedel- och köksavfall i sin verksamhet.</t>
        </is>
      </c>
      <c r="M1436" t="inlineStr">
        <is>
          <t>SKA</t>
        </is>
      </c>
      <c r="N1436" t="inlineStr"/>
      <c r="O1436" t="inlineStr"/>
      <c r="P1436" t="inlineStr"/>
      <c r="Q1436" t="inlineStr"/>
      <c r="R1436" t="inlineStr">
        <is>
          <t>Vid mellanlagring av avfall</t>
        </is>
      </c>
      <c r="S1436" t="inlineStr"/>
      <c r="T1436" t="inlineStr">
        <is>
          <t>917920</t>
        </is>
      </c>
      <c r="U1436" t="inlineStr"/>
      <c r="V1436" t="inlineStr"/>
      <c r="W1436" t="inlineStr">
        <is>
          <t>Ja</t>
        </is>
      </c>
      <c r="X1436" t="inlineStr">
        <is>
          <t>Nej</t>
        </is>
      </c>
      <c r="Y1436" t="inlineStr">
        <is>
          <t>Nej</t>
        </is>
      </c>
      <c r="Z1436" t="inlineStr">
        <is>
          <t>Nej</t>
        </is>
      </c>
      <c r="AA1436" t="n">
        <v>5</v>
      </c>
      <c r="AB1436" t="inlineStr">
        <is>
          <t>Teknisk beskrivning av platta</t>
        </is>
      </c>
      <c r="AC1436" t="inlineStr">
        <is>
          <t>Teknisk ritning platta</t>
        </is>
      </c>
      <c r="AD1436" t="inlineStr">
        <is>
          <t>Nej</t>
        </is>
      </c>
      <c r="AE1436" t="inlineStr">
        <is>
          <t>Nej</t>
        </is>
      </c>
      <c r="AF1436" t="inlineStr">
        <is>
          <t>Ej behandlad</t>
        </is>
      </c>
      <c r="AG1436" t="inlineStr">
        <is>
          <t>AUTO_GENERERAD. Verifiera citat mot kallfil.</t>
        </is>
      </c>
      <c r="AH1436" t="inlineStr">
        <is>
          <t>MEDIUM</t>
        </is>
      </c>
      <c r="AI1436" t="inlineStr">
        <is>
          <t>AUTO</t>
        </is>
      </c>
      <c r="AJ1436" t="inlineStr">
        <is>
          <t>Nej</t>
        </is>
      </c>
      <c r="AK1436" t="inlineStr"/>
      <c r="AL1436" t="inlineStr"/>
      <c r="AM1436" t="inlineStr"/>
      <c r="AN1436" t="inlineStr"/>
      <c r="AO1436" t="inlineStr">
        <is>
          <t>cmm4yuov001z5cuqwzv54vbz4</t>
        </is>
      </c>
      <c r="AP1436" t="inlineStr">
        <is>
          <t>http://localhost:8787/api/admin/requirements/documents/cmm4yuov001z5cuqwzv54vbz4/view</t>
        </is>
      </c>
      <c r="AQ1436">
        <f>HYPERLÄNK("http://localhost:8787/api/admin/requirements/documents/cmm4yuov001z5cuqwzv54vbz4/view";"Öppna PDF")</f>
        <v/>
      </c>
      <c r="AR1436">
        <f>HYPERLINK("http://localhost:8787/api/admin/requirements/documents/cmm4yuov001z5cuqwzv54vbz4/view","Open PDF")</f>
        <v/>
      </c>
      <c r="AS1436" t="inlineStr">
        <is>
          <t>cmm55w57p0004cuisfrtpqly8</t>
        </is>
      </c>
      <c r="AT1436" t="inlineStr">
        <is>
          <t>cmm4xvu980000cuh4vj0usz09</t>
        </is>
      </c>
      <c r="AU1436" t="inlineStr"/>
      <c r="AV1436" t="inlineStr">
        <is>
          <t>Kommun</t>
        </is>
      </c>
      <c r="AW1436" t="inlineStr"/>
      <c r="AX1436" t="inlineStr">
        <is>
          <t>2026-02</t>
        </is>
      </c>
      <c r="AY1436" t="inlineStr">
        <is>
          <t>Beslut</t>
        </is>
      </c>
      <c r="AZ1436" t="inlineStr">
        <is>
          <t>2026-02-03</t>
        </is>
      </c>
      <c r="BA1436" t="inlineStr">
        <is>
          <t>MIL2024357pdf_976573.pdf</t>
        </is>
      </c>
      <c r="BB1436" t="inlineStr">
        <is>
          <t>Begäran om allmän handling i ärende  MIL.2026.363</t>
        </is>
      </c>
      <c r="BC1436" t="inlineStr">
        <is>
          <t>AUTO</t>
        </is>
      </c>
      <c r="BD1436" t="inlineStr"/>
      <c r="BE1436" t="inlineStr"/>
      <c r="BF1436" t="inlineStr">
        <is>
          <t>AUTO_GENERERAD. Bekrafta metadata mot kallfil.</t>
        </is>
      </c>
      <c r="BG1436">
        <f>HYPERLINK("C:\Users\jimmy\Desktop\Examens arbete\Kod\Ny mapp\remix_-copy-of-miljöbeslut.se-portal\MIL2024357pdf_976573.pdf", "Öppna PDF")</f>
        <v/>
      </c>
    </row>
    <row r="1437">
      <c r="A1437" t="inlineStr">
        <is>
          <t>KRAV-AUTO-001436</t>
        </is>
      </c>
      <c r="B1437" t="inlineStr">
        <is>
          <t>ADMIN-INDEX-2026-02-27-00000000125C043F57453246863FE664CAFE6A3F0700950291EA24F0614FB6ACEDB12BF0E31D00000000010C0000950291EA24F0614FB6ACEDB12BF0E31D00002087AEBB0000</t>
        </is>
      </c>
      <c r="C1437" t="inlineStr">
        <is>
          <t>cmm4yuout01ywcuqw2mhjr8ym</t>
        </is>
      </c>
      <c r="D1437" t="inlineStr">
        <is>
          <t>http://localhost:8787/api/admin/requirements/documents/cmm4yuout01ywcuqw2mhjr8ym/view</t>
        </is>
      </c>
      <c r="E1437">
        <f>HYPERLÄNK("http://localhost:8787/api/admin/requirements/documents/cmm4yuout01ywcuqw2mhjr8ym/view";"Öppna PDF")</f>
        <v/>
      </c>
      <c r="F1437">
        <f>HYPERLINK("http://localhost:8787/api/admin/requirements/documents/cmm4yuout01ywcuqw2mhjr8ym/view","Open PDF")</f>
        <v/>
      </c>
      <c r="G1437" t="inlineStr">
        <is>
          <t>cmm55w57p0004cuisfrtpqly8</t>
        </is>
      </c>
      <c r="H1437" t="inlineStr">
        <is>
          <t>Beslutsvillkor</t>
        </is>
      </c>
      <c r="I1437" t="inlineStr">
        <is>
          <t>Riskhantering</t>
        </is>
      </c>
      <c r="J1437" t="inlineStr">
        <is>
          <t>Riskkontroll</t>
        </is>
      </c>
      <c r="K1437" t="inlineStr">
        <is>
          <t>En sådan hantering skulle innebära för stora risker dels utifrån ett arbetsmiljöperspektiv, dels utifrån ett livsmedelssäkerhetsperspektiv med bland annat ökad risk för skadedjur och medföljande ohygienisk hantering.</t>
        </is>
      </c>
      <c r="L1437" t="inlineStr">
        <is>
          <t>En sådan hantering skulle innebära för stora risker dels utifrån ett arbetsmiljöperspektiv, dels utifrån ett livsmedelssäkerhetsperspektiv med bland annat ökad risk för skadedjur och medföljande ohygienisk hantering.</t>
        </is>
      </c>
      <c r="M1437" t="inlineStr">
        <is>
          <t>SKA</t>
        </is>
      </c>
      <c r="N1437" t="inlineStr"/>
      <c r="O1437" t="inlineStr"/>
      <c r="P1437" t="inlineStr"/>
      <c r="Q1437" t="inlineStr"/>
      <c r="R1437" t="inlineStr">
        <is>
          <t>Vid risk for incident</t>
        </is>
      </c>
      <c r="S1437" t="inlineStr"/>
      <c r="T1437" t="inlineStr">
        <is>
          <t>917920</t>
        </is>
      </c>
      <c r="U1437" t="inlineStr"/>
      <c r="V1437" t="inlineStr"/>
      <c r="W1437" t="inlineStr">
        <is>
          <t>Nej</t>
        </is>
      </c>
      <c r="X1437" t="inlineStr">
        <is>
          <t>Nej</t>
        </is>
      </c>
      <c r="Y1437" t="inlineStr">
        <is>
          <t>Ja</t>
        </is>
      </c>
      <c r="Z1437" t="inlineStr">
        <is>
          <t>Ja</t>
        </is>
      </c>
      <c r="AA1437" t="n">
        <v>8</v>
      </c>
      <c r="AB1437" t="inlineStr">
        <is>
          <t>Riskhantering</t>
        </is>
      </c>
      <c r="AC1437" t="inlineStr">
        <is>
          <t>Risk-PM</t>
        </is>
      </c>
      <c r="AD1437" t="inlineStr">
        <is>
          <t>Nej</t>
        </is>
      </c>
      <c r="AE1437" t="inlineStr">
        <is>
          <t>Nej</t>
        </is>
      </c>
      <c r="AF1437" t="inlineStr">
        <is>
          <t>Ej behandlad</t>
        </is>
      </c>
      <c r="AG1437" t="inlineStr">
        <is>
          <t>AUTO_GENERERAD. Verifiera citat mot kallfil.</t>
        </is>
      </c>
      <c r="AH1437" t="inlineStr">
        <is>
          <t>MEDIUM</t>
        </is>
      </c>
      <c r="AI1437" t="inlineStr">
        <is>
          <t>AUTO</t>
        </is>
      </c>
      <c r="AJ1437" t="inlineStr">
        <is>
          <t>Nej</t>
        </is>
      </c>
      <c r="AK1437" t="inlineStr"/>
      <c r="AL1437" t="inlineStr"/>
      <c r="AM1437" t="inlineStr"/>
      <c r="AN1437" t="inlineStr"/>
      <c r="AO1437" t="inlineStr">
        <is>
          <t>cmm4yuov001z5cuqwzv54vbz4</t>
        </is>
      </c>
      <c r="AP1437" t="inlineStr">
        <is>
          <t>http://localhost:8787/api/admin/requirements/documents/cmm4yuov001z5cuqwzv54vbz4/view</t>
        </is>
      </c>
      <c r="AQ1437">
        <f>HYPERLÄNK("http://localhost:8787/api/admin/requirements/documents/cmm4yuov001z5cuqwzv54vbz4/view";"Öppna PDF")</f>
        <v/>
      </c>
      <c r="AR1437">
        <f>HYPERLINK("http://localhost:8787/api/admin/requirements/documents/cmm4yuov001z5cuqwzv54vbz4/view","Open PDF")</f>
        <v/>
      </c>
      <c r="AS1437" t="inlineStr">
        <is>
          <t>cmm55w57p0004cuisfrtpqly8</t>
        </is>
      </c>
      <c r="AT1437" t="inlineStr">
        <is>
          <t>cmm4xvu980000cuh4vj0usz09</t>
        </is>
      </c>
      <c r="AU1437" t="inlineStr"/>
      <c r="AV1437" t="inlineStr">
        <is>
          <t>Kommun</t>
        </is>
      </c>
      <c r="AW1437" t="inlineStr"/>
      <c r="AX1437" t="inlineStr">
        <is>
          <t>2026-02</t>
        </is>
      </c>
      <c r="AY1437" t="inlineStr">
        <is>
          <t>Beslut</t>
        </is>
      </c>
      <c r="AZ1437" t="inlineStr">
        <is>
          <t>2026-02-03</t>
        </is>
      </c>
      <c r="BA1437" t="inlineStr">
        <is>
          <t>MIL2024357pdf_976573.pdf</t>
        </is>
      </c>
      <c r="BB1437" t="inlineStr">
        <is>
          <t>Begäran om allmän handling i ärende  MIL.2026.363</t>
        </is>
      </c>
      <c r="BC1437" t="inlineStr">
        <is>
          <t>AUTO</t>
        </is>
      </c>
      <c r="BD1437" t="inlineStr"/>
      <c r="BE1437" t="inlineStr"/>
      <c r="BF1437" t="inlineStr">
        <is>
          <t>AUTO_GENERERAD. Bekrafta metadata mot kallfil.</t>
        </is>
      </c>
      <c r="BG1437">
        <f>HYPERLINK("C:\Users\jimmy\Desktop\Examens arbete\Kod\Ny mapp\remix_-copy-of-miljöbeslut.se-portal\MIL2024357pdf_976573.pdf", "Öppna PDF")</f>
        <v/>
      </c>
    </row>
    <row r="1438">
      <c r="A1438" t="inlineStr">
        <is>
          <t>KRAV-AUTO-001437</t>
        </is>
      </c>
      <c r="B1438" t="inlineStr">
        <is>
          <t>ADMIN-INDEX-2026-02-27-00000000125C043F57453246863FE664CAFE6A3F0700950291EA24F0614FB6ACEDB12BF0E31D00000000010C0000950291EA24F0614FB6ACEDB12BF0E31D00002087AEBC0000</t>
        </is>
      </c>
      <c r="C1438" t="inlineStr">
        <is>
          <t>cmm4yuouk01yncuqwqg6ujm2o</t>
        </is>
      </c>
      <c r="D1438" t="inlineStr">
        <is>
          <t>http://localhost:8787/api/admin/requirements/documents/cmm4yuouk01yncuqwqg6ujm2o/view</t>
        </is>
      </c>
      <c r="E1438">
        <f>HYPERLÄNK("http://localhost:8787/api/admin/requirements/documents/cmm4yuouk01yncuqwqg6ujm2o/view";"Öppna PDF")</f>
        <v/>
      </c>
      <c r="F1438">
        <f>HYPERLINK("http://localhost:8787/api/admin/requirements/documents/cmm4yuouk01yncuqwqg6ujm2o/view","Open PDF")</f>
        <v/>
      </c>
      <c r="G1438" t="inlineStr">
        <is>
          <t>cmm55w57p0004cuisfrtpqly8</t>
        </is>
      </c>
      <c r="H1438" t="inlineStr">
        <is>
          <t>Beslutsvillkor</t>
        </is>
      </c>
      <c r="I1438" t="inlineStr">
        <is>
          <t>Riskhantering</t>
        </is>
      </c>
      <c r="J1438" t="inlineStr">
        <is>
          <t>Riskkontroll</t>
        </is>
      </c>
      <c r="K1438" t="inlineStr">
        <is>
          <t>Enligt ansökan har följande skäl angivts: - Det rör sig om lite avfall och att det kan uppstå risker med det stora antalet förpackningar och material vid hantering för personalen.</t>
        </is>
      </c>
      <c r="L1438" t="inlineStr">
        <is>
          <t>Enligt ansökan har följande skäl angivts: - Det rör sig om lite avfall och att det kan uppstå risker med det stora antalet förpackningar och material vid hantering för personalen.</t>
        </is>
      </c>
      <c r="M1438" t="inlineStr">
        <is>
          <t>SKA</t>
        </is>
      </c>
      <c r="N1438" t="inlineStr"/>
      <c r="O1438" t="inlineStr"/>
      <c r="P1438" t="inlineStr"/>
      <c r="Q1438" t="inlineStr"/>
      <c r="R1438" t="inlineStr">
        <is>
          <t>Vid risk for incident</t>
        </is>
      </c>
      <c r="S1438" t="inlineStr"/>
      <c r="T1438" t="inlineStr">
        <is>
          <t>886513</t>
        </is>
      </c>
      <c r="U1438" t="inlineStr"/>
      <c r="V1438" t="inlineStr"/>
      <c r="W1438" t="inlineStr">
        <is>
          <t>Nej</t>
        </is>
      </c>
      <c r="X1438" t="inlineStr">
        <is>
          <t>Nej</t>
        </is>
      </c>
      <c r="Y1438" t="inlineStr">
        <is>
          <t>Ja</t>
        </is>
      </c>
      <c r="Z1438" t="inlineStr">
        <is>
          <t>Ja</t>
        </is>
      </c>
      <c r="AA1438" t="n">
        <v>8</v>
      </c>
      <c r="AB1438" t="inlineStr">
        <is>
          <t>Riskhantering</t>
        </is>
      </c>
      <c r="AC1438" t="inlineStr">
        <is>
          <t>Risk-PM</t>
        </is>
      </c>
      <c r="AD1438" t="inlineStr">
        <is>
          <t>Nej</t>
        </is>
      </c>
      <c r="AE1438" t="inlineStr">
        <is>
          <t>Nej</t>
        </is>
      </c>
      <c r="AF1438" t="inlineStr">
        <is>
          <t>Ej behandlad</t>
        </is>
      </c>
      <c r="AG1438" t="inlineStr">
        <is>
          <t>AUTO_GENERERAD. Verifiera citat mot kallfil.</t>
        </is>
      </c>
      <c r="AH1438" t="inlineStr">
        <is>
          <t>MEDIUM</t>
        </is>
      </c>
      <c r="AI1438" t="inlineStr">
        <is>
          <t>AUTO</t>
        </is>
      </c>
      <c r="AJ1438" t="inlineStr">
        <is>
          <t>Nej</t>
        </is>
      </c>
      <c r="AK1438" t="inlineStr"/>
      <c r="AL1438" t="inlineStr"/>
      <c r="AM1438" t="inlineStr"/>
      <c r="AN1438" t="inlineStr"/>
      <c r="AO1438" t="inlineStr">
        <is>
          <t>cmm4yuouk01yncuqwqg6ujm2o</t>
        </is>
      </c>
      <c r="AP1438" t="inlineStr">
        <is>
          <t>http://localhost:8787/api/admin/requirements/documents/cmm4yuouk01yncuqwqg6ujm2o/view</t>
        </is>
      </c>
      <c r="AQ1438">
        <f>HYPERLÄNK("http://localhost:8787/api/admin/requirements/documents/cmm4yuouk01yncuqwqg6ujm2o/view";"Öppna PDF")</f>
        <v/>
      </c>
      <c r="AR1438">
        <f>HYPERLINK("http://localhost:8787/api/admin/requirements/documents/cmm4yuouk01yncuqwqg6ujm2o/view","Open PDF")</f>
        <v/>
      </c>
      <c r="AS1438" t="inlineStr">
        <is>
          <t>cmm55w57p0004cuisfrtpqly8</t>
        </is>
      </c>
      <c r="AT1438" t="inlineStr">
        <is>
          <t>cmm4xvu980000cuh4vj0usz09</t>
        </is>
      </c>
      <c r="AU1438" t="inlineStr"/>
      <c r="AV1438" t="inlineStr">
        <is>
          <t>Kommun</t>
        </is>
      </c>
      <c r="AW1438" t="inlineStr"/>
      <c r="AX1438" t="inlineStr">
        <is>
          <t>2026-02</t>
        </is>
      </c>
      <c r="AY1438" t="inlineStr">
        <is>
          <t>Beslut</t>
        </is>
      </c>
      <c r="AZ1438" t="inlineStr">
        <is>
          <t>2026-02-03</t>
        </is>
      </c>
      <c r="BA1438" t="inlineStr">
        <is>
          <t>MIL2024357pdf_976573.pdf</t>
        </is>
      </c>
      <c r="BB1438" t="inlineStr">
        <is>
          <t>Begäran om allmän handling i ärende  MIL.2026.363</t>
        </is>
      </c>
      <c r="BC1438" t="inlineStr">
        <is>
          <t>AUTO</t>
        </is>
      </c>
      <c r="BD1438" t="inlineStr"/>
      <c r="BE1438" t="inlineStr"/>
      <c r="BF1438" t="inlineStr">
        <is>
          <t>AUTO_GENERERAD. Bekrafta metadata mot kallfil.</t>
        </is>
      </c>
      <c r="BG1438">
        <f>HYPERLINK("C:\Users\jimmy\Desktop\Examens arbete\Kod\Ny mapp\remix_-copy-of-miljöbeslut.se-portal\MIL2024357pdf_976573.pdf", "Öppna PDF")</f>
        <v/>
      </c>
    </row>
    <row r="1439">
      <c r="A1439" t="inlineStr">
        <is>
          <t>KRAV-AUTO-001438</t>
        </is>
      </c>
      <c r="B1439" t="inlineStr">
        <is>
          <t>ADMIN-INDEX-2026-02-27-00000000125C043F57453246863FE664CAFE6A3F0700950291EA24F0614FB6ACEDB12BF0E31D00000000010C0000950291EA24F0614FB6ACEDB12BF0E31D00002087AEBC0000</t>
        </is>
      </c>
      <c r="C1439" t="inlineStr">
        <is>
          <t>cmm4yuouk01yncuqwqg6ujm2o</t>
        </is>
      </c>
      <c r="D1439" t="inlineStr">
        <is>
          <t>http://localhost:8787/api/admin/requirements/documents/cmm4yuouk01yncuqwqg6ujm2o/view</t>
        </is>
      </c>
      <c r="E1439">
        <f>HYPERLÄNK("http://localhost:8787/api/admin/requirements/documents/cmm4yuouk01yncuqwqg6ujm2o/view";"Öppna PDF")</f>
        <v/>
      </c>
      <c r="F1439">
        <f>HYPERLINK("http://localhost:8787/api/admin/requirements/documents/cmm4yuouk01yncuqwqg6ujm2o/view","Open PDF")</f>
        <v/>
      </c>
      <c r="G1439" t="inlineStr">
        <is>
          <t>cmm55w57p0004cuisfrtpqly8</t>
        </is>
      </c>
      <c r="H1439" t="inlineStr">
        <is>
          <t>Beslutsvillkor</t>
        </is>
      </c>
      <c r="I1439" t="inlineStr">
        <is>
          <t>Riskhantering</t>
        </is>
      </c>
      <c r="J1439" t="inlineStr">
        <is>
          <t>Riskkontroll</t>
        </is>
      </c>
      <c r="K1439" t="inlineStr">
        <is>
          <t>- Arbetsmiljöskäl och risk för kontamination.</t>
        </is>
      </c>
      <c r="L1439" t="inlineStr">
        <is>
          <t>- Arbetsmiljöskäl och risk för kontamination.</t>
        </is>
      </c>
      <c r="M1439" t="inlineStr">
        <is>
          <t>SKA</t>
        </is>
      </c>
      <c r="N1439" t="inlineStr"/>
      <c r="O1439" t="inlineStr"/>
      <c r="P1439" t="inlineStr"/>
      <c r="Q1439" t="inlineStr"/>
      <c r="R1439" t="inlineStr">
        <is>
          <t>Vid risk for incident</t>
        </is>
      </c>
      <c r="S1439" t="inlineStr"/>
      <c r="T1439" t="inlineStr">
        <is>
          <t>886513</t>
        </is>
      </c>
      <c r="U1439" t="inlineStr"/>
      <c r="V1439" t="inlineStr"/>
      <c r="W1439" t="inlineStr">
        <is>
          <t>Nej</t>
        </is>
      </c>
      <c r="X1439" t="inlineStr">
        <is>
          <t>Nej</t>
        </is>
      </c>
      <c r="Y1439" t="inlineStr">
        <is>
          <t>Ja</t>
        </is>
      </c>
      <c r="Z1439" t="inlineStr">
        <is>
          <t>Ja</t>
        </is>
      </c>
      <c r="AA1439" t="n">
        <v>8</v>
      </c>
      <c r="AB1439" t="inlineStr">
        <is>
          <t>Riskhantering</t>
        </is>
      </c>
      <c r="AC1439" t="inlineStr">
        <is>
          <t>Risk-PM</t>
        </is>
      </c>
      <c r="AD1439" t="inlineStr">
        <is>
          <t>Nej</t>
        </is>
      </c>
      <c r="AE1439" t="inlineStr">
        <is>
          <t>Nej</t>
        </is>
      </c>
      <c r="AF1439" t="inlineStr">
        <is>
          <t>Ej behandlad</t>
        </is>
      </c>
      <c r="AG1439" t="inlineStr">
        <is>
          <t>AUTO_GENERERAD. Verifiera citat mot kallfil.</t>
        </is>
      </c>
      <c r="AH1439" t="inlineStr">
        <is>
          <t>MEDIUM</t>
        </is>
      </c>
      <c r="AI1439" t="inlineStr">
        <is>
          <t>AUTO</t>
        </is>
      </c>
      <c r="AJ1439" t="inlineStr">
        <is>
          <t>Nej</t>
        </is>
      </c>
      <c r="AK1439" t="inlineStr"/>
      <c r="AL1439" t="inlineStr"/>
      <c r="AM1439" t="inlineStr"/>
      <c r="AN1439" t="inlineStr"/>
      <c r="AO1439" t="inlineStr">
        <is>
          <t>cmm4yuouk01yncuqwqg6ujm2o</t>
        </is>
      </c>
      <c r="AP1439" t="inlineStr">
        <is>
          <t>http://localhost:8787/api/admin/requirements/documents/cmm4yuouk01yncuqwqg6ujm2o/view</t>
        </is>
      </c>
      <c r="AQ1439">
        <f>HYPERLÄNK("http://localhost:8787/api/admin/requirements/documents/cmm4yuouk01yncuqwqg6ujm2o/view";"Öppna PDF")</f>
        <v/>
      </c>
      <c r="AR1439">
        <f>HYPERLINK("http://localhost:8787/api/admin/requirements/documents/cmm4yuouk01yncuqwqg6ujm2o/view","Open PDF")</f>
        <v/>
      </c>
      <c r="AS1439" t="inlineStr">
        <is>
          <t>cmm55w57p0004cuisfrtpqly8</t>
        </is>
      </c>
      <c r="AT1439" t="inlineStr">
        <is>
          <t>cmm4xvu980000cuh4vj0usz09</t>
        </is>
      </c>
      <c r="AU1439" t="inlineStr"/>
      <c r="AV1439" t="inlineStr">
        <is>
          <t>Kommun</t>
        </is>
      </c>
      <c r="AW1439" t="inlineStr"/>
      <c r="AX1439" t="inlineStr">
        <is>
          <t>2026-02</t>
        </is>
      </c>
      <c r="AY1439" t="inlineStr">
        <is>
          <t>Beslut</t>
        </is>
      </c>
      <c r="AZ1439" t="inlineStr">
        <is>
          <t>2026-02-03</t>
        </is>
      </c>
      <c r="BA1439" t="inlineStr">
        <is>
          <t>MIL2024357pdf_976573.pdf</t>
        </is>
      </c>
      <c r="BB1439" t="inlineStr">
        <is>
          <t>Begäran om allmän handling i ärende  MIL.2026.363</t>
        </is>
      </c>
      <c r="BC1439" t="inlineStr">
        <is>
          <t>AUTO</t>
        </is>
      </c>
      <c r="BD1439" t="inlineStr"/>
      <c r="BE1439" t="inlineStr"/>
      <c r="BF1439" t="inlineStr">
        <is>
          <t>AUTO_GENERERAD. Bekrafta metadata mot kallfil.</t>
        </is>
      </c>
      <c r="BG1439">
        <f>HYPERLINK("C:\Users\jimmy\Desktop\Examens arbete\Kod\Ny mapp\remix_-copy-of-miljöbeslut.se-portal\MIL2024357pdf_976573.pdf", "Öppna PDF")</f>
        <v/>
      </c>
    </row>
    <row r="1440">
      <c r="A1440" t="inlineStr">
        <is>
          <t>KRAV-AUTO-001439</t>
        </is>
      </c>
      <c r="B1440" t="inlineStr">
        <is>
          <t>ADMIN-INDEX-2026-02-27-00000000125C043F57453246863FE664CAFE6A3F0700950291EA24F0614FB6ACEDB12BF0E31D00000000010C0000950291EA24F0614FB6ACEDB12BF0E31D00002087AEBC0000</t>
        </is>
      </c>
      <c r="C1440" t="inlineStr">
        <is>
          <t>cmm4yuouk01yncuqwqg6ujm2o</t>
        </is>
      </c>
      <c r="D1440" t="inlineStr">
        <is>
          <t>http://localhost:8787/api/admin/requirements/documents/cmm4yuouk01yncuqwqg6ujm2o/view</t>
        </is>
      </c>
      <c r="E1440">
        <f>HYPERLÄNK("http://localhost:8787/api/admin/requirements/documents/cmm4yuouk01yncuqwqg6ujm2o/view";"Öppna PDF")</f>
        <v/>
      </c>
      <c r="F1440">
        <f>HYPERLINK("http://localhost:8787/api/admin/requirements/documents/cmm4yuouk01yncuqwqg6ujm2o/view","Open PDF")</f>
        <v/>
      </c>
      <c r="G1440" t="inlineStr">
        <is>
          <t>cmm55w57p0004cuisfrtpqly8</t>
        </is>
      </c>
      <c r="H1440" t="inlineStr">
        <is>
          <t>Beslutsvillkor</t>
        </is>
      </c>
      <c r="I1440" t="inlineStr">
        <is>
          <t>MiljopaverkanForsiktighet</t>
        </is>
      </c>
      <c r="J1440" t="inlineStr">
        <is>
          <t>Skyddsatgarder</t>
        </is>
      </c>
      <c r="K1440" t="inlineStr">
        <is>
          <t>Nämnden bedömer att av uppräknade skäl är ingen tillämpningsbar på undantagsreglerna i avfallsförordningen och därmed är inte dispens skäligt att ge.</t>
        </is>
      </c>
      <c r="L1440" t="inlineStr">
        <is>
          <t>Nämnden bedömer att av uppräknade skäl är ingen tillämpningsbar på undantagsreglerna i avfallsförordningen och därmed är inte dispens skäligt att ge.</t>
        </is>
      </c>
      <c r="M1440" t="inlineStr">
        <is>
          <t>SKA</t>
        </is>
      </c>
      <c r="N1440" t="inlineStr"/>
      <c r="O1440" t="inlineStr"/>
      <c r="P1440" t="inlineStr"/>
      <c r="Q1440" t="inlineStr"/>
      <c r="R1440" t="inlineStr">
        <is>
          <t>Alltid</t>
        </is>
      </c>
      <c r="S1440" t="inlineStr"/>
      <c r="T1440" t="inlineStr">
        <is>
          <t>886513</t>
        </is>
      </c>
      <c r="U1440" t="inlineStr"/>
      <c r="V1440" t="inlineStr"/>
      <c r="W1440" t="inlineStr">
        <is>
          <t>Nej</t>
        </is>
      </c>
      <c r="X1440" t="inlineStr">
        <is>
          <t>Nej</t>
        </is>
      </c>
      <c r="Y1440" t="inlineStr">
        <is>
          <t>Nej</t>
        </is>
      </c>
      <c r="Z1440" t="inlineStr">
        <is>
          <t>Nej</t>
        </is>
      </c>
      <c r="AA1440" t="n">
        <v>10</v>
      </c>
      <c r="AB1440" t="inlineStr">
        <is>
          <t>Miljopaverkan och forsiktighetsmatt</t>
        </is>
      </c>
      <c r="AC1440" t="inlineStr">
        <is>
          <t>Miljo-PM</t>
        </is>
      </c>
      <c r="AD1440" t="inlineStr">
        <is>
          <t>Nej</t>
        </is>
      </c>
      <c r="AE1440" t="inlineStr">
        <is>
          <t>Nej</t>
        </is>
      </c>
      <c r="AF1440" t="inlineStr">
        <is>
          <t>Ej behandlad</t>
        </is>
      </c>
      <c r="AG1440" t="inlineStr">
        <is>
          <t>AUTO_GENERERAD. Verifiera citat mot kallfil.</t>
        </is>
      </c>
      <c r="AH1440" t="inlineStr">
        <is>
          <t>MEDIUM</t>
        </is>
      </c>
      <c r="AI1440" t="inlineStr">
        <is>
          <t>AUTO</t>
        </is>
      </c>
      <c r="AJ1440" t="inlineStr">
        <is>
          <t>Nej</t>
        </is>
      </c>
      <c r="AK1440" t="inlineStr"/>
      <c r="AL1440" t="inlineStr"/>
      <c r="AM1440" t="inlineStr"/>
      <c r="AN1440" t="inlineStr"/>
      <c r="AO1440" t="inlineStr">
        <is>
          <t>cmm4yuouk01yncuqwqg6ujm2o</t>
        </is>
      </c>
      <c r="AP1440" t="inlineStr">
        <is>
          <t>http://localhost:8787/api/admin/requirements/documents/cmm4yuouk01yncuqwqg6ujm2o/view</t>
        </is>
      </c>
      <c r="AQ1440">
        <f>HYPERLÄNK("http://localhost:8787/api/admin/requirements/documents/cmm4yuouk01yncuqwqg6ujm2o/view";"Öppna PDF")</f>
        <v/>
      </c>
      <c r="AR1440">
        <f>HYPERLINK("http://localhost:8787/api/admin/requirements/documents/cmm4yuouk01yncuqwqg6ujm2o/view","Open PDF")</f>
        <v/>
      </c>
      <c r="AS1440" t="inlineStr">
        <is>
          <t>cmm55w57p0004cuisfrtpqly8</t>
        </is>
      </c>
      <c r="AT1440" t="inlineStr">
        <is>
          <t>cmm4xvu980000cuh4vj0usz09</t>
        </is>
      </c>
      <c r="AU1440" t="inlineStr"/>
      <c r="AV1440" t="inlineStr">
        <is>
          <t>Kommun</t>
        </is>
      </c>
      <c r="AW1440" t="inlineStr"/>
      <c r="AX1440" t="inlineStr">
        <is>
          <t>2026-02</t>
        </is>
      </c>
      <c r="AY1440" t="inlineStr">
        <is>
          <t>Beslut</t>
        </is>
      </c>
      <c r="AZ1440" t="inlineStr">
        <is>
          <t>2026-02-03</t>
        </is>
      </c>
      <c r="BA1440" t="inlineStr">
        <is>
          <t>MIL2024357pdf_976573.pdf</t>
        </is>
      </c>
      <c r="BB1440" t="inlineStr">
        <is>
          <t>Begäran om allmän handling i ärende  MIL.2026.363</t>
        </is>
      </c>
      <c r="BC1440" t="inlineStr">
        <is>
          <t>AUTO</t>
        </is>
      </c>
      <c r="BD1440" t="inlineStr"/>
      <c r="BE1440" t="inlineStr"/>
      <c r="BF1440" t="inlineStr">
        <is>
          <t>AUTO_GENERERAD. Bekrafta metadata mot kallfil.</t>
        </is>
      </c>
      <c r="BG1440">
        <f>HYPERLINK("C:\Users\jimmy\Desktop\Examens arbete\Kod\Ny mapp\remix_-copy-of-miljöbeslut.se-portal\MIL2024357pdf_976573.pdf", "Öppna PDF")</f>
        <v/>
      </c>
    </row>
    <row r="1441">
      <c r="A1441" t="inlineStr">
        <is>
          <t>KRAV-AUTO-001440</t>
        </is>
      </c>
      <c r="B1441" t="inlineStr">
        <is>
          <t>ADMIN-INDEX-2026-02-27-00000000125C043F57453246863FE664CAFE6A3F0700950291EA24F0614FB6ACEDB12BF0E31D00000000010C0000950291EA24F0614FB6ACEDB12BF0E31D00002087AEBC0000</t>
        </is>
      </c>
      <c r="C1441" t="inlineStr">
        <is>
          <t>cmm4yuoui01ykcuqw07yvone2</t>
        </is>
      </c>
      <c r="D1441" t="inlineStr">
        <is>
          <t>http://localhost:8787/api/admin/requirements/documents/cmm4yuoui01ykcuqw07yvone2/view</t>
        </is>
      </c>
      <c r="E1441">
        <f>HYPERLÄNK("http://localhost:8787/api/admin/requirements/documents/cmm4yuoui01ykcuqw07yvone2/view";"Öppna PDF")</f>
        <v/>
      </c>
      <c r="F1441">
        <f>HYPERLINK("http://localhost:8787/api/admin/requirements/documents/cmm4yuoui01ykcuqw07yvone2/view","Open PDF")</f>
        <v/>
      </c>
      <c r="G1441" t="inlineStr">
        <is>
          <t>cmm55w57p0004cuisfrtpqly8</t>
        </is>
      </c>
      <c r="H1441" t="inlineStr">
        <is>
          <t>Beslutsvillkor</t>
        </is>
      </c>
      <c r="I1441" t="inlineStr">
        <is>
          <t>MiljopaverkanForsiktighet</t>
        </is>
      </c>
      <c r="J1441" t="inlineStr">
        <is>
          <t>Skyddsatgarder</t>
        </is>
      </c>
      <c r="K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41" t="inlineStr">
        <is>
          <t>SKA</t>
        </is>
      </c>
      <c r="N1441" t="inlineStr"/>
      <c r="O1441" t="inlineStr">
        <is>
          <t>2025-07-31</t>
        </is>
      </c>
      <c r="P1441" t="inlineStr"/>
      <c r="Q1441" t="inlineStr"/>
      <c r="R1441" t="inlineStr">
        <is>
          <t>Alltid</t>
        </is>
      </c>
      <c r="S1441" t="inlineStr"/>
      <c r="T1441" t="inlineStr">
        <is>
          <t>556727</t>
        </is>
      </c>
      <c r="U1441" t="inlineStr"/>
      <c r="V1441" t="inlineStr"/>
      <c r="W1441" t="inlineStr">
        <is>
          <t>Nej</t>
        </is>
      </c>
      <c r="X1441" t="inlineStr">
        <is>
          <t>Nej</t>
        </is>
      </c>
      <c r="Y1441" t="inlineStr">
        <is>
          <t>Nej</t>
        </is>
      </c>
      <c r="Z1441" t="inlineStr">
        <is>
          <t>Nej</t>
        </is>
      </c>
      <c r="AA1441" t="n">
        <v>10</v>
      </c>
      <c r="AB1441" t="inlineStr">
        <is>
          <t>Miljopaverkan och forsiktighetsmatt</t>
        </is>
      </c>
      <c r="AC1441" t="inlineStr">
        <is>
          <t>Miljo-PM</t>
        </is>
      </c>
      <c r="AD1441" t="inlineStr">
        <is>
          <t>Nej</t>
        </is>
      </c>
      <c r="AE1441" t="inlineStr">
        <is>
          <t>Nej</t>
        </is>
      </c>
      <c r="AF1441" t="inlineStr">
        <is>
          <t>Ej behandlad</t>
        </is>
      </c>
      <c r="AG1441" t="inlineStr">
        <is>
          <t>AUTO_GENERERAD. Verifiera citat mot kallfil.</t>
        </is>
      </c>
      <c r="AH1441" t="inlineStr">
        <is>
          <t>MEDIUM</t>
        </is>
      </c>
      <c r="AI1441" t="inlineStr">
        <is>
          <t>AUTO</t>
        </is>
      </c>
      <c r="AJ1441" t="inlineStr">
        <is>
          <t>Nej</t>
        </is>
      </c>
      <c r="AK1441" t="inlineStr"/>
      <c r="AL1441" t="inlineStr"/>
      <c r="AM1441" t="inlineStr"/>
      <c r="AN1441" t="inlineStr"/>
      <c r="AO1441" t="inlineStr">
        <is>
          <t>cmm4yuouk01yncuqwqg6ujm2o</t>
        </is>
      </c>
      <c r="AP1441" t="inlineStr">
        <is>
          <t>http://localhost:8787/api/admin/requirements/documents/cmm4yuouk01yncuqwqg6ujm2o/view</t>
        </is>
      </c>
      <c r="AQ1441">
        <f>HYPERLÄNK("http://localhost:8787/api/admin/requirements/documents/cmm4yuouk01yncuqwqg6ujm2o/view";"Öppna PDF")</f>
        <v/>
      </c>
      <c r="AR1441">
        <f>HYPERLINK("http://localhost:8787/api/admin/requirements/documents/cmm4yuouk01yncuqwqg6ujm2o/view","Open PDF")</f>
        <v/>
      </c>
      <c r="AS1441" t="inlineStr">
        <is>
          <t>cmm55w57p0004cuisfrtpqly8</t>
        </is>
      </c>
      <c r="AT1441" t="inlineStr">
        <is>
          <t>cmm4xvu980000cuh4vj0usz09</t>
        </is>
      </c>
      <c r="AU1441" t="inlineStr"/>
      <c r="AV1441" t="inlineStr">
        <is>
          <t>Kommun</t>
        </is>
      </c>
      <c r="AW1441" t="inlineStr"/>
      <c r="AX1441" t="inlineStr">
        <is>
          <t>2026-02</t>
        </is>
      </c>
      <c r="AY1441" t="inlineStr">
        <is>
          <t>Beslut</t>
        </is>
      </c>
      <c r="AZ1441" t="inlineStr">
        <is>
          <t>2026-02-03</t>
        </is>
      </c>
      <c r="BA1441" t="inlineStr">
        <is>
          <t>MIL2024357pdf_976573.pdf</t>
        </is>
      </c>
      <c r="BB1441" t="inlineStr">
        <is>
          <t>Begäran om allmän handling i ärende  MIL.2026.363</t>
        </is>
      </c>
      <c r="BC1441" t="inlineStr">
        <is>
          <t>AUTO</t>
        </is>
      </c>
      <c r="BD1441" t="inlineStr"/>
      <c r="BE1441" t="inlineStr"/>
      <c r="BF1441" t="inlineStr">
        <is>
          <t>AUTO_GENERERAD. Bekrafta metadata mot kallfil.</t>
        </is>
      </c>
      <c r="BG1441">
        <f>HYPERLINK("C:\Users\jimmy\Desktop\Examens arbete\Kod\Ny mapp\remix_-copy-of-miljöbeslut.se-portal\MIL2024357pdf_976573.pdf", "Öppna PDF")</f>
        <v/>
      </c>
    </row>
    <row r="1442">
      <c r="A1442" t="inlineStr">
        <is>
          <t>KRAV-AUTO-001441</t>
        </is>
      </c>
      <c r="B1442" t="inlineStr">
        <is>
          <t>ADMIN-INDEX-2026-02-27-00000000125C043F57453246863FE664CAFE6A3F0700950291EA24F0614FB6ACEDB12BF0E31D00000000010C0000950291EA24F0614FB6ACEDB12BF0E31D00002087AEBC0000</t>
        </is>
      </c>
      <c r="C1442" t="inlineStr">
        <is>
          <t>cmm4yuouf01yhcuqwip3wpb26</t>
        </is>
      </c>
      <c r="D1442" t="inlineStr">
        <is>
          <t>http://localhost:8787/api/admin/requirements/documents/cmm4yuouf01yhcuqwip3wpb26/view</t>
        </is>
      </c>
      <c r="E1442">
        <f>HYPERLÄNK("http://localhost:8787/api/admin/requirements/documents/cmm4yuouf01yhcuqwip3wpb26/view";"Öppna PDF")</f>
        <v/>
      </c>
      <c r="F1442">
        <f>HYPERLINK("http://localhost:8787/api/admin/requirements/documents/cmm4yuouf01yhcuqwip3wpb26/view","Open PDF")</f>
        <v/>
      </c>
      <c r="G1442" t="inlineStr">
        <is>
          <t>cmm55w57p0004cuisfrtpqly8</t>
        </is>
      </c>
      <c r="H1442" t="inlineStr">
        <is>
          <t>Beslutsvillkor</t>
        </is>
      </c>
      <c r="I1442" t="inlineStr">
        <is>
          <t>Riskhantering</t>
        </is>
      </c>
      <c r="J1442" t="inlineStr">
        <is>
          <t>Riskkontroll</t>
        </is>
      </c>
      <c r="K1442" t="inlineStr">
        <is>
          <t>I sina rutiner bör verksamhetsutövaren kuna fördela/lägga upp arbetsupgifter på så sätt att bioavfall inte utgör en risk för olägenhet.</t>
        </is>
      </c>
      <c r="L1442" t="inlineStr">
        <is>
          <t>I sina rutiner bör verksamhetsutövaren kuna fördela/lägga upp arbetsupgifter på så sätt att bioavfall inte utgör en risk för olägenhet.</t>
        </is>
      </c>
      <c r="M1442" t="inlineStr">
        <is>
          <t>BOR</t>
        </is>
      </c>
      <c r="N1442" t="inlineStr"/>
      <c r="O1442" t="inlineStr"/>
      <c r="P1442" t="inlineStr"/>
      <c r="Q1442" t="inlineStr"/>
      <c r="R1442" t="inlineStr">
        <is>
          <t>Vid risk for incident</t>
        </is>
      </c>
      <c r="S1442" t="inlineStr"/>
      <c r="T1442" t="inlineStr">
        <is>
          <t>897918</t>
        </is>
      </c>
      <c r="U1442" t="inlineStr"/>
      <c r="V1442" t="inlineStr"/>
      <c r="W1442" t="inlineStr">
        <is>
          <t>Nej</t>
        </is>
      </c>
      <c r="X1442" t="inlineStr">
        <is>
          <t>Nej</t>
        </is>
      </c>
      <c r="Y1442" t="inlineStr">
        <is>
          <t>Ja</t>
        </is>
      </c>
      <c r="Z1442" t="inlineStr">
        <is>
          <t>Ja</t>
        </is>
      </c>
      <c r="AA1442" t="n">
        <v>8</v>
      </c>
      <c r="AB1442" t="inlineStr">
        <is>
          <t>Riskhantering</t>
        </is>
      </c>
      <c r="AC1442" t="inlineStr">
        <is>
          <t>Risk-PM</t>
        </is>
      </c>
      <c r="AD1442" t="inlineStr">
        <is>
          <t>Nej</t>
        </is>
      </c>
      <c r="AE1442" t="inlineStr">
        <is>
          <t>Nej</t>
        </is>
      </c>
      <c r="AF1442" t="inlineStr">
        <is>
          <t>Ej behandlad</t>
        </is>
      </c>
      <c r="AG1442" t="inlineStr">
        <is>
          <t>AUTO_GENERERAD. Verifiera citat mot kallfil.</t>
        </is>
      </c>
      <c r="AH1442" t="inlineStr">
        <is>
          <t>MEDIUM</t>
        </is>
      </c>
      <c r="AI1442" t="inlineStr">
        <is>
          <t>AUTO</t>
        </is>
      </c>
      <c r="AJ1442" t="inlineStr">
        <is>
          <t>Nej</t>
        </is>
      </c>
      <c r="AK1442" t="inlineStr"/>
      <c r="AL1442" t="inlineStr"/>
      <c r="AM1442" t="inlineStr"/>
      <c r="AN1442" t="inlineStr"/>
      <c r="AO1442" t="inlineStr">
        <is>
          <t>cmm4yuouk01yncuqwqg6ujm2o</t>
        </is>
      </c>
      <c r="AP1442" t="inlineStr">
        <is>
          <t>http://localhost:8787/api/admin/requirements/documents/cmm4yuouk01yncuqwqg6ujm2o/view</t>
        </is>
      </c>
      <c r="AQ1442">
        <f>HYPERLÄNK("http://localhost:8787/api/admin/requirements/documents/cmm4yuouk01yncuqwqg6ujm2o/view";"Öppna PDF")</f>
        <v/>
      </c>
      <c r="AR1442">
        <f>HYPERLINK("http://localhost:8787/api/admin/requirements/documents/cmm4yuouk01yncuqwqg6ujm2o/view","Open PDF")</f>
        <v/>
      </c>
      <c r="AS1442" t="inlineStr">
        <is>
          <t>cmm55w57p0004cuisfrtpqly8</t>
        </is>
      </c>
      <c r="AT1442" t="inlineStr">
        <is>
          <t>cmm4xvu980000cuh4vj0usz09</t>
        </is>
      </c>
      <c r="AU1442" t="inlineStr"/>
      <c r="AV1442" t="inlineStr">
        <is>
          <t>Kommun</t>
        </is>
      </c>
      <c r="AW1442" t="inlineStr"/>
      <c r="AX1442" t="inlineStr">
        <is>
          <t>2026-02</t>
        </is>
      </c>
      <c r="AY1442" t="inlineStr">
        <is>
          <t>Beslut</t>
        </is>
      </c>
      <c r="AZ1442" t="inlineStr">
        <is>
          <t>2026-02-03</t>
        </is>
      </c>
      <c r="BA1442" t="inlineStr">
        <is>
          <t>MIL2024357pdf_976573.pdf</t>
        </is>
      </c>
      <c r="BB1442" t="inlineStr">
        <is>
          <t>Begäran om allmän handling i ärende  MIL.2026.363</t>
        </is>
      </c>
      <c r="BC1442" t="inlineStr">
        <is>
          <t>AUTO</t>
        </is>
      </c>
      <c r="BD1442" t="inlineStr"/>
      <c r="BE1442" t="inlineStr"/>
      <c r="BF1442" t="inlineStr">
        <is>
          <t>AUTO_GENERERAD. Bekrafta metadata mot kallfil.</t>
        </is>
      </c>
      <c r="BG1442">
        <f>HYPERLINK("C:\Users\jimmy\Desktop\Examens arbete\Kod\Ny mapp\remix_-copy-of-miljöbeslut.se-portal\MIL2024357pdf_976573.pdf", "Öppna PDF")</f>
        <v/>
      </c>
    </row>
    <row r="1443">
      <c r="A1443" t="inlineStr">
        <is>
          <t>KRAV-AUTO-001442</t>
        </is>
      </c>
      <c r="B1443" t="inlineStr">
        <is>
          <t>ADMIN-INDEX-2026-02-27-00000000125C043F57453246863FE664CAFE6A3F0700950291EA24F0614FB6ACEDB12BF0E31D00000000010C0000950291EA24F0614FB6ACEDB12BF0E31D00002087AEBC0000</t>
        </is>
      </c>
      <c r="C1443" t="inlineStr">
        <is>
          <t>cmm4yuouf01yhcuqwip3wpb26</t>
        </is>
      </c>
      <c r="D1443" t="inlineStr">
        <is>
          <t>http://localhost:8787/api/admin/requirements/documents/cmm4yuouf01yhcuqwip3wpb26/view</t>
        </is>
      </c>
      <c r="E1443">
        <f>HYPERLÄNK("http://localhost:8787/api/admin/requirements/documents/cmm4yuouf01yhcuqwip3wpb26/view";"Öppna PDF")</f>
        <v/>
      </c>
      <c r="F1443">
        <f>HYPERLINK("http://localhost:8787/api/admin/requirements/documents/cmm4yuouf01yhcuqwip3wpb26/view","Open PDF")</f>
        <v/>
      </c>
      <c r="G1443" t="inlineStr">
        <is>
          <t>cmm55w57p0004cuisfrtpqly8</t>
        </is>
      </c>
      <c r="H1443" t="inlineStr">
        <is>
          <t>Beslutsvillkor</t>
        </is>
      </c>
      <c r="I1443" t="inlineStr">
        <is>
          <t>Riskhantering</t>
        </is>
      </c>
      <c r="J1443" t="inlineStr">
        <is>
          <t>Riskkontroll</t>
        </is>
      </c>
      <c r="K1443" t="inlineStr">
        <is>
          <t>Vi ansöker om dispens i två år då vi inte har några kylda soprum att kunna förvara det separerade matavfallet i och löper då stor risk för skadedjur.</t>
        </is>
      </c>
      <c r="L1443" t="inlineStr">
        <is>
          <t>Vi ansöker om dispens i två år då vi inte har några kylda soprum att kunna förvara det separerade matavfallet i och löper då stor risk för skadedjur.</t>
        </is>
      </c>
      <c r="M1443" t="inlineStr">
        <is>
          <t>SKA</t>
        </is>
      </c>
      <c r="N1443" t="inlineStr"/>
      <c r="O1443" t="inlineStr"/>
      <c r="P1443" t="inlineStr"/>
      <c r="Q1443" t="inlineStr"/>
      <c r="R1443" t="inlineStr">
        <is>
          <t>Vid risk for incident</t>
        </is>
      </c>
      <c r="S1443" t="inlineStr"/>
      <c r="T1443" t="inlineStr">
        <is>
          <t>897918</t>
        </is>
      </c>
      <c r="U1443" t="inlineStr"/>
      <c r="V1443" t="inlineStr"/>
      <c r="W1443" t="inlineStr">
        <is>
          <t>Nej</t>
        </is>
      </c>
      <c r="X1443" t="inlineStr">
        <is>
          <t>Nej</t>
        </is>
      </c>
      <c r="Y1443" t="inlineStr">
        <is>
          <t>Ja</t>
        </is>
      </c>
      <c r="Z1443" t="inlineStr">
        <is>
          <t>Ja</t>
        </is>
      </c>
      <c r="AA1443" t="n">
        <v>8</v>
      </c>
      <c r="AB1443" t="inlineStr">
        <is>
          <t>Riskhantering</t>
        </is>
      </c>
      <c r="AC1443" t="inlineStr">
        <is>
          <t>Risk-PM</t>
        </is>
      </c>
      <c r="AD1443" t="inlineStr">
        <is>
          <t>Nej</t>
        </is>
      </c>
      <c r="AE1443" t="inlineStr">
        <is>
          <t>Nej</t>
        </is>
      </c>
      <c r="AF1443" t="inlineStr">
        <is>
          <t>Ej behandlad</t>
        </is>
      </c>
      <c r="AG1443" t="inlineStr">
        <is>
          <t>AUTO_GENERERAD. Verifiera citat mot kallfil.</t>
        </is>
      </c>
      <c r="AH1443" t="inlineStr">
        <is>
          <t>MEDIUM</t>
        </is>
      </c>
      <c r="AI1443" t="inlineStr">
        <is>
          <t>AUTO</t>
        </is>
      </c>
      <c r="AJ1443" t="inlineStr">
        <is>
          <t>Nej</t>
        </is>
      </c>
      <c r="AK1443" t="inlineStr"/>
      <c r="AL1443" t="inlineStr"/>
      <c r="AM1443" t="inlineStr"/>
      <c r="AN1443" t="inlineStr"/>
      <c r="AO1443" t="inlineStr">
        <is>
          <t>cmm4yuouk01yncuqwqg6ujm2o</t>
        </is>
      </c>
      <c r="AP1443" t="inlineStr">
        <is>
          <t>http://localhost:8787/api/admin/requirements/documents/cmm4yuouk01yncuqwqg6ujm2o/view</t>
        </is>
      </c>
      <c r="AQ1443">
        <f>HYPERLÄNK("http://localhost:8787/api/admin/requirements/documents/cmm4yuouk01yncuqwqg6ujm2o/view";"Öppna PDF")</f>
        <v/>
      </c>
      <c r="AR1443">
        <f>HYPERLINK("http://localhost:8787/api/admin/requirements/documents/cmm4yuouk01yncuqwqg6ujm2o/view","Open PDF")</f>
        <v/>
      </c>
      <c r="AS1443" t="inlineStr">
        <is>
          <t>cmm55w57p0004cuisfrtpqly8</t>
        </is>
      </c>
      <c r="AT1443" t="inlineStr">
        <is>
          <t>cmm4xvu980000cuh4vj0usz09</t>
        </is>
      </c>
      <c r="AU1443" t="inlineStr"/>
      <c r="AV1443" t="inlineStr">
        <is>
          <t>Kommun</t>
        </is>
      </c>
      <c r="AW1443" t="inlineStr"/>
      <c r="AX1443" t="inlineStr">
        <is>
          <t>2026-02</t>
        </is>
      </c>
      <c r="AY1443" t="inlineStr">
        <is>
          <t>Beslut</t>
        </is>
      </c>
      <c r="AZ1443" t="inlineStr">
        <is>
          <t>2026-02-03</t>
        </is>
      </c>
      <c r="BA1443" t="inlineStr">
        <is>
          <t>MIL2024357pdf_976573.pdf</t>
        </is>
      </c>
      <c r="BB1443" t="inlineStr">
        <is>
          <t>Begäran om allmän handling i ärende  MIL.2026.363</t>
        </is>
      </c>
      <c r="BC1443" t="inlineStr">
        <is>
          <t>AUTO</t>
        </is>
      </c>
      <c r="BD1443" t="inlineStr"/>
      <c r="BE1443" t="inlineStr"/>
      <c r="BF1443" t="inlineStr">
        <is>
          <t>AUTO_GENERERAD. Bekrafta metadata mot kallfil.</t>
        </is>
      </c>
      <c r="BG1443">
        <f>HYPERLINK("C:\Users\jimmy\Desktop\Examens arbete\Kod\Ny mapp\remix_-copy-of-miljöbeslut.se-portal\MIL2024357pdf_976573.pdf", "Öppna PDF")</f>
        <v/>
      </c>
    </row>
    <row r="1444">
      <c r="A1444" t="inlineStr">
        <is>
          <t>KRAV-AUTO-001443</t>
        </is>
      </c>
      <c r="B1444" t="inlineStr">
        <is>
          <t>ADMIN-INDEX-2026-02-27-00000000125C043F57453246863FE664CAFE6A3F0700950291EA24F0614FB6ACEDB12BF0E31D00000000010C0000950291EA24F0614FB6ACEDB12BF0E31D00002087AEBC0000</t>
        </is>
      </c>
      <c r="C1444" t="inlineStr">
        <is>
          <t>cmm4yuouf01yhcuqwip3wpb26</t>
        </is>
      </c>
      <c r="D1444" t="inlineStr">
        <is>
          <t>http://localhost:8787/api/admin/requirements/documents/cmm4yuouf01yhcuqwip3wpb26/view</t>
        </is>
      </c>
      <c r="E1444">
        <f>HYPERLÄNK("http://localhost:8787/api/admin/requirements/documents/cmm4yuouf01yhcuqwip3wpb26/view";"Öppna PDF")</f>
        <v/>
      </c>
      <c r="F1444">
        <f>HYPERLINK("http://localhost:8787/api/admin/requirements/documents/cmm4yuouf01yhcuqwip3wpb26/view","Open PDF")</f>
        <v/>
      </c>
      <c r="G1444" t="inlineStr">
        <is>
          <t>cmm55w57p0004cuisfrtpqly8</t>
        </is>
      </c>
      <c r="H1444" t="inlineStr">
        <is>
          <t>Beslutsvillkor</t>
        </is>
      </c>
      <c r="I1444" t="inlineStr">
        <is>
          <t>LagringsvolymTid</t>
        </is>
      </c>
      <c r="J1444" t="inlineStr">
        <is>
          <t>Maxmangd</t>
        </is>
      </c>
      <c r="K1444" t="inlineStr">
        <is>
          <t>Nämndens bedömning av ovanstående uppgifter är: Då det rör sig om mindre mängder avfall per vecka och att det inte rör sig om kyl- eller frysvaror så bör inte avfallshanteringen skilja sig så markant från dagens hantering.</t>
        </is>
      </c>
      <c r="L1444" t="inlineStr">
        <is>
          <t>Nämndens bedömning av ovanstående uppgifter är: Då det rör sig om mindre mängder avfall per vecka och att det inte rör sig om kyl- eller frysvaror så bör inte avfallshanteringen skilja sig så markant från dagens hantering.</t>
        </is>
      </c>
      <c r="M1444" t="inlineStr">
        <is>
          <t>BOR</t>
        </is>
      </c>
      <c r="N1444" t="inlineStr"/>
      <c r="O1444" t="inlineStr"/>
      <c r="P1444" t="inlineStr"/>
      <c r="Q1444" t="inlineStr"/>
      <c r="R1444" t="inlineStr">
        <is>
          <t>Alltid</t>
        </is>
      </c>
      <c r="S1444" t="inlineStr"/>
      <c r="T1444" t="inlineStr">
        <is>
          <t>897918</t>
        </is>
      </c>
      <c r="U1444" t="inlineStr"/>
      <c r="V1444" t="inlineStr"/>
      <c r="W1444" t="inlineStr">
        <is>
          <t>Nej</t>
        </is>
      </c>
      <c r="X1444" t="inlineStr">
        <is>
          <t>Nej</t>
        </is>
      </c>
      <c r="Y1444" t="inlineStr">
        <is>
          <t>Nej</t>
        </is>
      </c>
      <c r="Z1444" t="inlineStr">
        <is>
          <t>Nej</t>
        </is>
      </c>
      <c r="AA1444" t="n">
        <v>4</v>
      </c>
      <c r="AB1444" t="inlineStr">
        <is>
          <t>Avfallsmangder och lagringstid</t>
        </is>
      </c>
      <c r="AC1444" t="inlineStr">
        <is>
          <t>Avfallsforteckning</t>
        </is>
      </c>
      <c r="AD1444" t="inlineStr">
        <is>
          <t>Nej</t>
        </is>
      </c>
      <c r="AE1444" t="inlineStr">
        <is>
          <t>Nej</t>
        </is>
      </c>
      <c r="AF1444" t="inlineStr">
        <is>
          <t>Ej behandlad</t>
        </is>
      </c>
      <c r="AG1444" t="inlineStr">
        <is>
          <t>AUTO_GENERERAD. Verifiera citat mot kallfil.</t>
        </is>
      </c>
      <c r="AH1444" t="inlineStr">
        <is>
          <t>MEDIUM</t>
        </is>
      </c>
      <c r="AI1444" t="inlineStr">
        <is>
          <t>AUTO</t>
        </is>
      </c>
      <c r="AJ1444" t="inlineStr">
        <is>
          <t>Nej</t>
        </is>
      </c>
      <c r="AK1444" t="inlineStr"/>
      <c r="AL1444" t="inlineStr"/>
      <c r="AM1444" t="inlineStr"/>
      <c r="AN1444" t="inlineStr"/>
      <c r="AO1444" t="inlineStr">
        <is>
          <t>cmm4yuouk01yncuqwqg6ujm2o</t>
        </is>
      </c>
      <c r="AP1444" t="inlineStr">
        <is>
          <t>http://localhost:8787/api/admin/requirements/documents/cmm4yuouk01yncuqwqg6ujm2o/view</t>
        </is>
      </c>
      <c r="AQ1444">
        <f>HYPERLÄNK("http://localhost:8787/api/admin/requirements/documents/cmm4yuouk01yncuqwqg6ujm2o/view";"Öppna PDF")</f>
        <v/>
      </c>
      <c r="AR1444">
        <f>HYPERLINK("http://localhost:8787/api/admin/requirements/documents/cmm4yuouk01yncuqwqg6ujm2o/view","Open PDF")</f>
        <v/>
      </c>
      <c r="AS1444" t="inlineStr">
        <is>
          <t>cmm55w57p0004cuisfrtpqly8</t>
        </is>
      </c>
      <c r="AT1444" t="inlineStr">
        <is>
          <t>cmm4xvu980000cuh4vj0usz09</t>
        </is>
      </c>
      <c r="AU1444" t="inlineStr"/>
      <c r="AV1444" t="inlineStr">
        <is>
          <t>Kommun</t>
        </is>
      </c>
      <c r="AW1444" t="inlineStr"/>
      <c r="AX1444" t="inlineStr">
        <is>
          <t>2026-02</t>
        </is>
      </c>
      <c r="AY1444" t="inlineStr">
        <is>
          <t>Beslut</t>
        </is>
      </c>
      <c r="AZ1444" t="inlineStr">
        <is>
          <t>2026-02-03</t>
        </is>
      </c>
      <c r="BA1444" t="inlineStr">
        <is>
          <t>MIL2024357pdf_976573.pdf</t>
        </is>
      </c>
      <c r="BB1444" t="inlineStr">
        <is>
          <t>Begäran om allmän handling i ärende  MIL.2026.363</t>
        </is>
      </c>
      <c r="BC1444" t="inlineStr">
        <is>
          <t>AUTO</t>
        </is>
      </c>
      <c r="BD1444" t="inlineStr"/>
      <c r="BE1444" t="inlineStr"/>
      <c r="BF1444" t="inlineStr">
        <is>
          <t>AUTO_GENERERAD. Bekrafta metadata mot kallfil.</t>
        </is>
      </c>
      <c r="BG1444">
        <f>HYPERLINK("C:\Users\jimmy\Desktop\Examens arbete\Kod\Ny mapp\remix_-copy-of-miljöbeslut.se-portal\MIL2024357pdf_976573.pdf", "Öppna PDF")</f>
        <v/>
      </c>
    </row>
    <row r="1445">
      <c r="A1445" t="inlineStr">
        <is>
          <t>KRAV-AUTO-001444</t>
        </is>
      </c>
      <c r="B1445" t="inlineStr">
        <is>
          <t>ADMIN-INDEX-2026-02-27-00000000125C043F57453246863FE664CAFE6A3F0700950291EA24F0614FB6ACEDB12BF0E31D00000000010C0000950291EA24F0614FB6ACEDB12BF0E31D00002087AEBC0000</t>
        </is>
      </c>
      <c r="C1445" t="inlineStr">
        <is>
          <t>cmm4yuouc01yecuqwm9w3vobl</t>
        </is>
      </c>
      <c r="D1445" t="inlineStr">
        <is>
          <t>http://localhost:8787/api/admin/requirements/documents/cmm4yuouc01yecuqwm9w3vobl/view</t>
        </is>
      </c>
      <c r="E1445">
        <f>HYPERLÄNK("http://localhost:8787/api/admin/requirements/documents/cmm4yuouc01yecuqwm9w3vobl/view";"Öppna PDF")</f>
        <v/>
      </c>
      <c r="F1445">
        <f>HYPERLINK("http://localhost:8787/api/admin/requirements/documents/cmm4yuouc01yecuqwm9w3vobl/view","Open PDF")</f>
        <v/>
      </c>
      <c r="G1445" t="inlineStr">
        <is>
          <t>cmm55w57p0004cuisfrtpqly8</t>
        </is>
      </c>
      <c r="H1445" t="inlineStr">
        <is>
          <t>Beslutsvillkor</t>
        </is>
      </c>
      <c r="I1445" t="inlineStr">
        <is>
          <t>Ytkonstruktion</t>
        </is>
      </c>
      <c r="J1445" t="inlineStr">
        <is>
          <t>Tat yta</t>
        </is>
      </c>
      <c r="K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45" t="inlineStr">
        <is>
          <t>SKA</t>
        </is>
      </c>
      <c r="N1445" t="inlineStr"/>
      <c r="O1445" t="inlineStr"/>
      <c r="P1445" t="inlineStr"/>
      <c r="Q1445" t="inlineStr"/>
      <c r="R1445" t="inlineStr">
        <is>
          <t>Vid mellanlagring av avfall</t>
        </is>
      </c>
      <c r="S1445" t="inlineStr"/>
      <c r="T1445" t="inlineStr">
        <is>
          <t>917920</t>
        </is>
      </c>
      <c r="U1445" t="inlineStr"/>
      <c r="V1445" t="inlineStr"/>
      <c r="W1445" t="inlineStr">
        <is>
          <t>Ja</t>
        </is>
      </c>
      <c r="X1445" t="inlineStr">
        <is>
          <t>Nej</t>
        </is>
      </c>
      <c r="Y1445" t="inlineStr">
        <is>
          <t>Nej</t>
        </is>
      </c>
      <c r="Z1445" t="inlineStr">
        <is>
          <t>Nej</t>
        </is>
      </c>
      <c r="AA1445" t="n">
        <v>5</v>
      </c>
      <c r="AB1445" t="inlineStr">
        <is>
          <t>Teknisk beskrivning av platta</t>
        </is>
      </c>
      <c r="AC1445" t="inlineStr">
        <is>
          <t>Teknisk ritning platta</t>
        </is>
      </c>
      <c r="AD1445" t="inlineStr">
        <is>
          <t>Nej</t>
        </is>
      </c>
      <c r="AE1445" t="inlineStr">
        <is>
          <t>Nej</t>
        </is>
      </c>
      <c r="AF1445" t="inlineStr">
        <is>
          <t>Ej behandlad</t>
        </is>
      </c>
      <c r="AG1445" t="inlineStr">
        <is>
          <t>AUTO_GENERERAD. Verifiera citat mot kallfil.</t>
        </is>
      </c>
      <c r="AH1445" t="inlineStr">
        <is>
          <t>MEDIUM</t>
        </is>
      </c>
      <c r="AI1445" t="inlineStr">
        <is>
          <t>AUTO</t>
        </is>
      </c>
      <c r="AJ1445" t="inlineStr">
        <is>
          <t>Nej</t>
        </is>
      </c>
      <c r="AK1445" t="inlineStr"/>
      <c r="AL1445" t="inlineStr"/>
      <c r="AM1445" t="inlineStr"/>
      <c r="AN1445" t="inlineStr"/>
      <c r="AO1445" t="inlineStr">
        <is>
          <t>cmm4yuouk01yncuqwqg6ujm2o</t>
        </is>
      </c>
      <c r="AP1445" t="inlineStr">
        <is>
          <t>http://localhost:8787/api/admin/requirements/documents/cmm4yuouk01yncuqwqg6ujm2o/view</t>
        </is>
      </c>
      <c r="AQ1445">
        <f>HYPERLÄNK("http://localhost:8787/api/admin/requirements/documents/cmm4yuouk01yncuqwqg6ujm2o/view";"Öppna PDF")</f>
        <v/>
      </c>
      <c r="AR1445">
        <f>HYPERLINK("http://localhost:8787/api/admin/requirements/documents/cmm4yuouk01yncuqwqg6ujm2o/view","Open PDF")</f>
        <v/>
      </c>
      <c r="AS1445" t="inlineStr">
        <is>
          <t>cmm55w57p0004cuisfrtpqly8</t>
        </is>
      </c>
      <c r="AT1445" t="inlineStr">
        <is>
          <t>cmm4xvu980000cuh4vj0usz09</t>
        </is>
      </c>
      <c r="AU1445" t="inlineStr"/>
      <c r="AV1445" t="inlineStr">
        <is>
          <t>Kommun</t>
        </is>
      </c>
      <c r="AW1445" t="inlineStr"/>
      <c r="AX1445" t="inlineStr">
        <is>
          <t>2026-02</t>
        </is>
      </c>
      <c r="AY1445" t="inlineStr">
        <is>
          <t>Beslut</t>
        </is>
      </c>
      <c r="AZ1445" t="inlineStr">
        <is>
          <t>2026-02-03</t>
        </is>
      </c>
      <c r="BA1445" t="inlineStr">
        <is>
          <t>MIL2024357pdf_976573.pdf</t>
        </is>
      </c>
      <c r="BB1445" t="inlineStr">
        <is>
          <t>Begäran om allmän handling i ärende  MIL.2026.363</t>
        </is>
      </c>
      <c r="BC1445" t="inlineStr">
        <is>
          <t>AUTO</t>
        </is>
      </c>
      <c r="BD1445" t="inlineStr"/>
      <c r="BE1445" t="inlineStr"/>
      <c r="BF1445" t="inlineStr">
        <is>
          <t>AUTO_GENERERAD. Bekrafta metadata mot kallfil.</t>
        </is>
      </c>
      <c r="BG1445">
        <f>HYPERLINK("C:\Users\jimmy\Desktop\Examens arbete\Kod\Ny mapp\remix_-copy-of-miljöbeslut.se-portal\MIL2024357pdf_976573.pdf", "Öppna PDF")</f>
        <v/>
      </c>
    </row>
    <row r="1446">
      <c r="A1446" t="inlineStr">
        <is>
          <t>KRAV-AUTO-001445</t>
        </is>
      </c>
      <c r="B1446" t="inlineStr">
        <is>
          <t>ADMIN-INDEX-2026-02-27-00000000125C043F57453246863FE664CAFE6A3F0700950291EA24F0614FB6ACEDB12BF0E31D00000000010C0000950291EA24F0614FB6ACEDB12BF0E31D00002087AEBC0000</t>
        </is>
      </c>
      <c r="C1446" t="inlineStr">
        <is>
          <t>cmm4yuouc01yecuqwm9w3vobl</t>
        </is>
      </c>
      <c r="D1446" t="inlineStr">
        <is>
          <t>http://localhost:8787/api/admin/requirements/documents/cmm4yuouc01yecuqwm9w3vobl/view</t>
        </is>
      </c>
      <c r="E1446">
        <f>HYPERLÄNK("http://localhost:8787/api/admin/requirements/documents/cmm4yuouc01yecuqwm9w3vobl/view";"Öppna PDF")</f>
        <v/>
      </c>
      <c r="F1446">
        <f>HYPERLINK("http://localhost:8787/api/admin/requirements/documents/cmm4yuouc01yecuqwm9w3vobl/view","Open PDF")</f>
        <v/>
      </c>
      <c r="G1446" t="inlineStr">
        <is>
          <t>cmm55w57p0004cuisfrtpqly8</t>
        </is>
      </c>
      <c r="H1446" t="inlineStr">
        <is>
          <t>Beslutsvillkor</t>
        </is>
      </c>
      <c r="I1446" t="inlineStr">
        <is>
          <t>Ytkonstruktion</t>
        </is>
      </c>
      <c r="J1446" t="inlineStr">
        <is>
          <t>Tat yta</t>
        </is>
      </c>
      <c r="K1446" t="inlineStr">
        <is>
          <t>2 MOTIVERING FÖR ATT DISPENS SKA BEVILJAS MSLAB, bedriver grossistverksamhet med lager inom den ovan angivna fastigheten och hanterar därför stor mängd biologiskt nedbrytbart livsmedel- och köksavfall i sin verksamhet.</t>
        </is>
      </c>
      <c r="L1446" t="inlineStr">
        <is>
          <t>2 MOTIVERING FÖR ATT DISPENS SKA BEVILJAS MSLAB, bedriver grossistverksamhet med lager inom den ovan angivna fastigheten och hanterar därför stor mängd biologiskt nedbrytbart livsmedel- och köksavfall i sin verksamhet.</t>
        </is>
      </c>
      <c r="M1446" t="inlineStr">
        <is>
          <t>SKA</t>
        </is>
      </c>
      <c r="N1446" t="inlineStr"/>
      <c r="O1446" t="inlineStr"/>
      <c r="P1446" t="inlineStr"/>
      <c r="Q1446" t="inlineStr"/>
      <c r="R1446" t="inlineStr">
        <is>
          <t>Vid mellanlagring av avfall</t>
        </is>
      </c>
      <c r="S1446" t="inlineStr"/>
      <c r="T1446" t="inlineStr">
        <is>
          <t>917920</t>
        </is>
      </c>
      <c r="U1446" t="inlineStr"/>
      <c r="V1446" t="inlineStr"/>
      <c r="W1446" t="inlineStr">
        <is>
          <t>Ja</t>
        </is>
      </c>
      <c r="X1446" t="inlineStr">
        <is>
          <t>Nej</t>
        </is>
      </c>
      <c r="Y1446" t="inlineStr">
        <is>
          <t>Nej</t>
        </is>
      </c>
      <c r="Z1446" t="inlineStr">
        <is>
          <t>Nej</t>
        </is>
      </c>
      <c r="AA1446" t="n">
        <v>5</v>
      </c>
      <c r="AB1446" t="inlineStr">
        <is>
          <t>Teknisk beskrivning av platta</t>
        </is>
      </c>
      <c r="AC1446" t="inlineStr">
        <is>
          <t>Teknisk ritning platta</t>
        </is>
      </c>
      <c r="AD1446" t="inlineStr">
        <is>
          <t>Nej</t>
        </is>
      </c>
      <c r="AE1446" t="inlineStr">
        <is>
          <t>Nej</t>
        </is>
      </c>
      <c r="AF1446" t="inlineStr">
        <is>
          <t>Ej behandlad</t>
        </is>
      </c>
      <c r="AG1446" t="inlineStr">
        <is>
          <t>AUTO_GENERERAD. Verifiera citat mot kallfil.</t>
        </is>
      </c>
      <c r="AH1446" t="inlineStr">
        <is>
          <t>MEDIUM</t>
        </is>
      </c>
      <c r="AI1446" t="inlineStr">
        <is>
          <t>AUTO</t>
        </is>
      </c>
      <c r="AJ1446" t="inlineStr">
        <is>
          <t>Nej</t>
        </is>
      </c>
      <c r="AK1446" t="inlineStr"/>
      <c r="AL1446" t="inlineStr"/>
      <c r="AM1446" t="inlineStr"/>
      <c r="AN1446" t="inlineStr"/>
      <c r="AO1446" t="inlineStr">
        <is>
          <t>cmm4yuouk01yncuqwqg6ujm2o</t>
        </is>
      </c>
      <c r="AP1446" t="inlineStr">
        <is>
          <t>http://localhost:8787/api/admin/requirements/documents/cmm4yuouk01yncuqwqg6ujm2o/view</t>
        </is>
      </c>
      <c r="AQ1446">
        <f>HYPERLÄNK("http://localhost:8787/api/admin/requirements/documents/cmm4yuouk01yncuqwqg6ujm2o/view";"Öppna PDF")</f>
        <v/>
      </c>
      <c r="AR1446">
        <f>HYPERLINK("http://localhost:8787/api/admin/requirements/documents/cmm4yuouk01yncuqwqg6ujm2o/view","Open PDF")</f>
        <v/>
      </c>
      <c r="AS1446" t="inlineStr">
        <is>
          <t>cmm55w57p0004cuisfrtpqly8</t>
        </is>
      </c>
      <c r="AT1446" t="inlineStr">
        <is>
          <t>cmm4xvu980000cuh4vj0usz09</t>
        </is>
      </c>
      <c r="AU1446" t="inlineStr"/>
      <c r="AV1446" t="inlineStr">
        <is>
          <t>Kommun</t>
        </is>
      </c>
      <c r="AW1446" t="inlineStr"/>
      <c r="AX1446" t="inlineStr">
        <is>
          <t>2026-02</t>
        </is>
      </c>
      <c r="AY1446" t="inlineStr">
        <is>
          <t>Beslut</t>
        </is>
      </c>
      <c r="AZ1446" t="inlineStr">
        <is>
          <t>2026-02-03</t>
        </is>
      </c>
      <c r="BA1446" t="inlineStr">
        <is>
          <t>MIL2024357pdf_976573.pdf</t>
        </is>
      </c>
      <c r="BB1446" t="inlineStr">
        <is>
          <t>Begäran om allmän handling i ärende  MIL.2026.363</t>
        </is>
      </c>
      <c r="BC1446" t="inlineStr">
        <is>
          <t>AUTO</t>
        </is>
      </c>
      <c r="BD1446" t="inlineStr"/>
      <c r="BE1446" t="inlineStr"/>
      <c r="BF1446" t="inlineStr">
        <is>
          <t>AUTO_GENERERAD. Bekrafta metadata mot kallfil.</t>
        </is>
      </c>
      <c r="BG1446">
        <f>HYPERLINK("C:\Users\jimmy\Desktop\Examens arbete\Kod\Ny mapp\remix_-copy-of-miljöbeslut.se-portal\MIL2024357pdf_976573.pdf", "Öppna PDF")</f>
        <v/>
      </c>
    </row>
    <row r="1447">
      <c r="A1447" t="inlineStr">
        <is>
          <t>KRAV-AUTO-001446</t>
        </is>
      </c>
      <c r="B1447" t="inlineStr">
        <is>
          <t>ADMIN-INDEX-2026-02-27-00000000125C043F57453246863FE664CAFE6A3F0700950291EA24F0614FB6ACEDB12BF0E31D00000000010C0000950291EA24F0614FB6ACEDB12BF0E31D00002087AEBC0000</t>
        </is>
      </c>
      <c r="C1447" t="inlineStr">
        <is>
          <t>cmm4yuouc01yecuqwm9w3vobl</t>
        </is>
      </c>
      <c r="D1447" t="inlineStr">
        <is>
          <t>http://localhost:8787/api/admin/requirements/documents/cmm4yuouc01yecuqwm9w3vobl/view</t>
        </is>
      </c>
      <c r="E1447">
        <f>HYPERLÄNK("http://localhost:8787/api/admin/requirements/documents/cmm4yuouc01yecuqwm9w3vobl/view";"Öppna PDF")</f>
        <v/>
      </c>
      <c r="F1447">
        <f>HYPERLINK("http://localhost:8787/api/admin/requirements/documents/cmm4yuouc01yecuqwm9w3vobl/view","Open PDF")</f>
        <v/>
      </c>
      <c r="G1447" t="inlineStr">
        <is>
          <t>cmm55w57p0004cuisfrtpqly8</t>
        </is>
      </c>
      <c r="H1447" t="inlineStr">
        <is>
          <t>Beslutsvillkor</t>
        </is>
      </c>
      <c r="I1447" t="inlineStr">
        <is>
          <t>Riskhantering</t>
        </is>
      </c>
      <c r="J1447" t="inlineStr">
        <is>
          <t>Riskkontroll</t>
        </is>
      </c>
      <c r="K1447" t="inlineStr">
        <is>
          <t>En sådan hantering skulle innebära för stora risker dels utifrån ett arbetsmiljöperspektiv, dels utifrån ett livsmedelssäkerhetsperspektiv med bland annat ökad risk för skadedjur och medföljande ohygienisk hantering.</t>
        </is>
      </c>
      <c r="L1447" t="inlineStr">
        <is>
          <t>En sådan hantering skulle innebära för stora risker dels utifrån ett arbetsmiljöperspektiv, dels utifrån ett livsmedelssäkerhetsperspektiv med bland annat ökad risk för skadedjur och medföljande ohygienisk hantering.</t>
        </is>
      </c>
      <c r="M1447" t="inlineStr">
        <is>
          <t>SKA</t>
        </is>
      </c>
      <c r="N1447" t="inlineStr"/>
      <c r="O1447" t="inlineStr"/>
      <c r="P1447" t="inlineStr"/>
      <c r="Q1447" t="inlineStr"/>
      <c r="R1447" t="inlineStr">
        <is>
          <t>Vid risk for incident</t>
        </is>
      </c>
      <c r="S1447" t="inlineStr"/>
      <c r="T1447" t="inlineStr">
        <is>
          <t>917920</t>
        </is>
      </c>
      <c r="U1447" t="inlineStr"/>
      <c r="V1447" t="inlineStr"/>
      <c r="W1447" t="inlineStr">
        <is>
          <t>Nej</t>
        </is>
      </c>
      <c r="X1447" t="inlineStr">
        <is>
          <t>Nej</t>
        </is>
      </c>
      <c r="Y1447" t="inlineStr">
        <is>
          <t>Ja</t>
        </is>
      </c>
      <c r="Z1447" t="inlineStr">
        <is>
          <t>Ja</t>
        </is>
      </c>
      <c r="AA1447" t="n">
        <v>8</v>
      </c>
      <c r="AB1447" t="inlineStr">
        <is>
          <t>Riskhantering</t>
        </is>
      </c>
      <c r="AC1447" t="inlineStr">
        <is>
          <t>Risk-PM</t>
        </is>
      </c>
      <c r="AD1447" t="inlineStr">
        <is>
          <t>Nej</t>
        </is>
      </c>
      <c r="AE1447" t="inlineStr">
        <is>
          <t>Nej</t>
        </is>
      </c>
      <c r="AF1447" t="inlineStr">
        <is>
          <t>Ej behandlad</t>
        </is>
      </c>
      <c r="AG1447" t="inlineStr">
        <is>
          <t>AUTO_GENERERAD. Verifiera citat mot kallfil.</t>
        </is>
      </c>
      <c r="AH1447" t="inlineStr">
        <is>
          <t>MEDIUM</t>
        </is>
      </c>
      <c r="AI1447" t="inlineStr">
        <is>
          <t>AUTO</t>
        </is>
      </c>
      <c r="AJ1447" t="inlineStr">
        <is>
          <t>Nej</t>
        </is>
      </c>
      <c r="AK1447" t="inlineStr"/>
      <c r="AL1447" t="inlineStr"/>
      <c r="AM1447" t="inlineStr"/>
      <c r="AN1447" t="inlineStr"/>
      <c r="AO1447" t="inlineStr">
        <is>
          <t>cmm4yuouk01yncuqwqg6ujm2o</t>
        </is>
      </c>
      <c r="AP1447" t="inlineStr">
        <is>
          <t>http://localhost:8787/api/admin/requirements/documents/cmm4yuouk01yncuqwqg6ujm2o/view</t>
        </is>
      </c>
      <c r="AQ1447">
        <f>HYPERLÄNK("http://localhost:8787/api/admin/requirements/documents/cmm4yuouk01yncuqwqg6ujm2o/view";"Öppna PDF")</f>
        <v/>
      </c>
      <c r="AR1447">
        <f>HYPERLINK("http://localhost:8787/api/admin/requirements/documents/cmm4yuouk01yncuqwqg6ujm2o/view","Open PDF")</f>
        <v/>
      </c>
      <c r="AS1447" t="inlineStr">
        <is>
          <t>cmm55w57p0004cuisfrtpqly8</t>
        </is>
      </c>
      <c r="AT1447" t="inlineStr">
        <is>
          <t>cmm4xvu980000cuh4vj0usz09</t>
        </is>
      </c>
      <c r="AU1447" t="inlineStr"/>
      <c r="AV1447" t="inlineStr">
        <is>
          <t>Kommun</t>
        </is>
      </c>
      <c r="AW1447" t="inlineStr"/>
      <c r="AX1447" t="inlineStr">
        <is>
          <t>2026-02</t>
        </is>
      </c>
      <c r="AY1447" t="inlineStr">
        <is>
          <t>Beslut</t>
        </is>
      </c>
      <c r="AZ1447" t="inlineStr">
        <is>
          <t>2026-02-03</t>
        </is>
      </c>
      <c r="BA1447" t="inlineStr">
        <is>
          <t>MIL2024357pdf_976573.pdf</t>
        </is>
      </c>
      <c r="BB1447" t="inlineStr">
        <is>
          <t>Begäran om allmän handling i ärende  MIL.2026.363</t>
        </is>
      </c>
      <c r="BC1447" t="inlineStr">
        <is>
          <t>AUTO</t>
        </is>
      </c>
      <c r="BD1447" t="inlineStr"/>
      <c r="BE1447" t="inlineStr"/>
      <c r="BF1447" t="inlineStr">
        <is>
          <t>AUTO_GENERERAD. Bekrafta metadata mot kallfil.</t>
        </is>
      </c>
      <c r="BG1447">
        <f>HYPERLINK("C:\Users\jimmy\Desktop\Examens arbete\Kod\Ny mapp\remix_-copy-of-miljöbeslut.se-portal\MIL2024357pdf_976573.pdf", "Öppna PDF")</f>
        <v/>
      </c>
    </row>
    <row r="1448">
      <c r="A1448" t="inlineStr">
        <is>
          <t>KRAV-AUTO-001447</t>
        </is>
      </c>
      <c r="B1448" t="inlineStr">
        <is>
          <t>ADMIN-INDEX-2026-02-27-00000000125C043F57453246863FE664CAFE6A3F0700950291EA24F0614FB6ACEDB12BF0E31D00000000010C0000950291EA24F0614FB6ACEDB12BF0E31D00002087AEC50000</t>
        </is>
      </c>
      <c r="C1448" t="inlineStr">
        <is>
          <t>cmm4yuoty01xzcuqwfs0b9l35</t>
        </is>
      </c>
      <c r="D1448" t="inlineStr">
        <is>
          <t>http://localhost:8787/api/admin/requirements/documents/cmm4yuoty01xzcuqwfs0b9l35/view</t>
        </is>
      </c>
      <c r="E1448">
        <f>HYPERLÄNK("http://localhost:8787/api/admin/requirements/documents/cmm4yuoty01xzcuqwfs0b9l35/view";"Öppna PDF")</f>
        <v/>
      </c>
      <c r="F1448">
        <f>HYPERLINK("http://localhost:8787/api/admin/requirements/documents/cmm4yuoty01xzcuqwfs0b9l35/view","Open PDF")</f>
        <v/>
      </c>
      <c r="G1448" t="inlineStr">
        <is>
          <t>cmm55w57p0004cuisfrtpqly8</t>
        </is>
      </c>
      <c r="H1448" t="inlineStr">
        <is>
          <t>Beslutsvillkor</t>
        </is>
      </c>
      <c r="I1448" t="inlineStr">
        <is>
          <t>DagvattenLakvatten</t>
        </is>
      </c>
      <c r="J1448" t="inlineStr">
        <is>
          <t>Uppsamling</t>
        </is>
      </c>
      <c r="K1448" t="inlineStr">
        <is>
          <t>Provtagningspunkten vid dagvattendammen ska märkas ut så att den syns tydligt.</t>
        </is>
      </c>
      <c r="L1448" t="inlineStr">
        <is>
          <t>Provtagningspunkten vid dagvattendammen ska märkas ut så att den syns tydligt.</t>
        </is>
      </c>
      <c r="M1448" t="inlineStr">
        <is>
          <t>SKA</t>
        </is>
      </c>
      <c r="N1448" t="inlineStr"/>
      <c r="O1448" t="inlineStr"/>
      <c r="P1448" t="inlineStr"/>
      <c r="Q1448" t="inlineStr"/>
      <c r="R1448" t="inlineStr">
        <is>
          <t>Vid nederbord och avrinning</t>
        </is>
      </c>
      <c r="S1448" t="inlineStr"/>
      <c r="T1448" t="inlineStr">
        <is>
          <t>26 70 00</t>
        </is>
      </c>
      <c r="U1448" t="inlineStr"/>
      <c r="V1448" t="inlineStr"/>
      <c r="W1448" t="inlineStr">
        <is>
          <t>Nej</t>
        </is>
      </c>
      <c r="X1448" t="inlineStr">
        <is>
          <t>Ja</t>
        </is>
      </c>
      <c r="Y1448" t="inlineStr">
        <is>
          <t>Ja</t>
        </is>
      </c>
      <c r="Z1448" t="inlineStr">
        <is>
          <t>Nej</t>
        </is>
      </c>
      <c r="AA1448" t="n">
        <v>6</v>
      </c>
      <c r="AB1448" t="inlineStr">
        <is>
          <t>Lakvattenhantering</t>
        </is>
      </c>
      <c r="AC1448" t="inlineStr">
        <is>
          <t>Flodesschema dagvatten-lakvatten</t>
        </is>
      </c>
      <c r="AD1448" t="inlineStr">
        <is>
          <t>Nej</t>
        </is>
      </c>
      <c r="AE1448" t="inlineStr">
        <is>
          <t>Nej</t>
        </is>
      </c>
      <c r="AF1448" t="inlineStr">
        <is>
          <t>Ej behandlad</t>
        </is>
      </c>
      <c r="AG1448" t="inlineStr">
        <is>
          <t>AUTO_GENERERAD. Verifiera citat mot kallfil.</t>
        </is>
      </c>
      <c r="AH1448" t="inlineStr">
        <is>
          <t>MEDIUM</t>
        </is>
      </c>
      <c r="AI1448" t="inlineStr">
        <is>
          <t>AUTO</t>
        </is>
      </c>
      <c r="AJ1448" t="inlineStr">
        <is>
          <t>Nej</t>
        </is>
      </c>
      <c r="AK1448" t="inlineStr"/>
      <c r="AL1448" t="inlineStr"/>
      <c r="AM1448" t="inlineStr"/>
      <c r="AN1448" t="inlineStr"/>
      <c r="AO1448" t="inlineStr">
        <is>
          <t>cmm4yuoty01xzcuqwfs0b9l35</t>
        </is>
      </c>
      <c r="AP1448" t="inlineStr">
        <is>
          <t>http://localhost:8787/api/admin/requirements/documents/cmm4yuoty01xzcuqwfs0b9l35/view</t>
        </is>
      </c>
      <c r="AQ1448">
        <f>HYPERLÄNK("http://localhost:8787/api/admin/requirements/documents/cmm4yuoty01xzcuqwfs0b9l35/view";"Öppna PDF")</f>
        <v/>
      </c>
      <c r="AR1448">
        <f>HYPERLINK("http://localhost:8787/api/admin/requirements/documents/cmm4yuoty01xzcuqwfs0b9l35/view","Open PDF")</f>
        <v/>
      </c>
      <c r="AS1448" t="inlineStr">
        <is>
          <t>cmm55w57p0004cuisfrtpqly8</t>
        </is>
      </c>
      <c r="AT1448" t="inlineStr">
        <is>
          <t>cmm4xvu980000cuh4vj0usz09</t>
        </is>
      </c>
      <c r="AU1448" t="inlineStr">
        <is>
          <t>Hässleholms</t>
        </is>
      </c>
      <c r="AV1448" t="inlineStr">
        <is>
          <t>Kommun</t>
        </is>
      </c>
      <c r="AW1448" t="inlineStr">
        <is>
          <t>Hässleholms kommun</t>
        </is>
      </c>
      <c r="AX1448" t="inlineStr">
        <is>
          <t>2024-11</t>
        </is>
      </c>
      <c r="AY1448" t="inlineStr">
        <is>
          <t>Beslut</t>
        </is>
      </c>
      <c r="AZ1448" t="inlineStr">
        <is>
          <t>2026-02-03</t>
        </is>
      </c>
      <c r="BA1448" t="inlineStr">
        <is>
          <t>Kontrollrapport tillsyn nov 2024.pdf</t>
        </is>
      </c>
      <c r="BB1448" t="inlineStr">
        <is>
          <t>Sv: till registrator</t>
        </is>
      </c>
      <c r="BC1448" t="inlineStr">
        <is>
          <t>AUTO</t>
        </is>
      </c>
      <c r="BD1448" t="inlineStr"/>
      <c r="BE1448" t="inlineStr"/>
      <c r="BF1448" t="inlineStr">
        <is>
          <t>AUTO_GENERERAD. Bekrafta metadata mot kallfil.</t>
        </is>
      </c>
      <c r="BG1448">
        <f>HYPERLINK("C:\Users\jimmy\Desktop\Examens arbete\Kod\Ny mapp\remix_-copy-of-miljöbeslut.se-portal\Kontrollrapport tillsyn nov 2024.pdf", "Öppna PDF")</f>
        <v/>
      </c>
    </row>
    <row r="1449">
      <c r="A1449" t="inlineStr">
        <is>
          <t>KRAV-AUTO-001448</t>
        </is>
      </c>
      <c r="B1449" t="inlineStr">
        <is>
          <t>ADMIN-INDEX-2026-02-27-00000000125C043F57453246863FE664CAFE6A3F0700950291EA24F0614FB6ACEDB12BF0E31D00000000010C0000950291EA24F0614FB6ACEDB12BF0E31D00002087AEC50000</t>
        </is>
      </c>
      <c r="C1449" t="inlineStr">
        <is>
          <t>cmm4yuoty01xzcuqwfs0b9l35</t>
        </is>
      </c>
      <c r="D1449" t="inlineStr">
        <is>
          <t>http://localhost:8787/api/admin/requirements/documents/cmm4yuoty01xzcuqwfs0b9l35/view</t>
        </is>
      </c>
      <c r="E1449">
        <f>HYPERLÄNK("http://localhost:8787/api/admin/requirements/documents/cmm4yuoty01xzcuqwfs0b9l35/view";"Öppna PDF")</f>
        <v/>
      </c>
      <c r="F1449">
        <f>HYPERLINK("http://localhost:8787/api/admin/requirements/documents/cmm4yuoty01xzcuqwfs0b9l35/view","Open PDF")</f>
        <v/>
      </c>
      <c r="G1449" t="inlineStr">
        <is>
          <t>cmm55w57p0004cuisfrtpqly8</t>
        </is>
      </c>
      <c r="H1449" t="inlineStr">
        <is>
          <t>Beslutsvillkor</t>
        </is>
      </c>
      <c r="I1449" t="inlineStr">
        <is>
          <t>LagringsvolymTid</t>
        </is>
      </c>
      <c r="J1449" t="inlineStr">
        <is>
          <t>Maxmangd</t>
        </is>
      </c>
      <c r="K1449" t="inlineStr">
        <is>
          <t>Övrigt Det hade i början på åtet använts 2000 ton jordmaterial till en bullervall vid Röingeskolan.</t>
        </is>
      </c>
      <c r="L1449" t="inlineStr">
        <is>
          <t>Övrigt Det hade i början på åtet använts 2000 ton jordmaterial till en bullervall vid Röingeskolan.</t>
        </is>
      </c>
      <c r="M1449" t="inlineStr">
        <is>
          <t>BOR</t>
        </is>
      </c>
      <c r="N1449" t="inlineStr"/>
      <c r="O1449" t="inlineStr"/>
      <c r="P1449" t="inlineStr"/>
      <c r="Q1449" t="inlineStr"/>
      <c r="R1449" t="inlineStr">
        <is>
          <t>Alltid</t>
        </is>
      </c>
      <c r="S1449" t="inlineStr"/>
      <c r="T1449" t="inlineStr">
        <is>
          <t>26 70 00</t>
        </is>
      </c>
      <c r="U1449" t="n">
        <v>2000</v>
      </c>
      <c r="V1449" t="inlineStr"/>
      <c r="W1449" t="inlineStr">
        <is>
          <t>Nej</t>
        </is>
      </c>
      <c r="X1449" t="inlineStr">
        <is>
          <t>Nej</t>
        </is>
      </c>
      <c r="Y1449" t="inlineStr">
        <is>
          <t>Nej</t>
        </is>
      </c>
      <c r="Z1449" t="inlineStr">
        <is>
          <t>Nej</t>
        </is>
      </c>
      <c r="AA1449" t="n">
        <v>4</v>
      </c>
      <c r="AB1449" t="inlineStr">
        <is>
          <t>Avfallsmangder och lagringstid</t>
        </is>
      </c>
      <c r="AC1449" t="inlineStr">
        <is>
          <t>Avfallsforteckning</t>
        </is>
      </c>
      <c r="AD1449" t="inlineStr">
        <is>
          <t>Nej</t>
        </is>
      </c>
      <c r="AE1449" t="inlineStr">
        <is>
          <t>Nej</t>
        </is>
      </c>
      <c r="AF1449" t="inlineStr">
        <is>
          <t>Ej behandlad</t>
        </is>
      </c>
      <c r="AG1449" t="inlineStr">
        <is>
          <t>AUTO_GENERERAD. Verifiera citat mot kallfil.</t>
        </is>
      </c>
      <c r="AH1449" t="inlineStr">
        <is>
          <t>MEDIUM</t>
        </is>
      </c>
      <c r="AI1449" t="inlineStr">
        <is>
          <t>AUTO</t>
        </is>
      </c>
      <c r="AJ1449" t="inlineStr">
        <is>
          <t>Nej</t>
        </is>
      </c>
      <c r="AK1449" t="inlineStr"/>
      <c r="AL1449" t="inlineStr"/>
      <c r="AM1449" t="inlineStr"/>
      <c r="AN1449" t="inlineStr"/>
      <c r="AO1449" t="inlineStr">
        <is>
          <t>cmm4yuoty01xzcuqwfs0b9l35</t>
        </is>
      </c>
      <c r="AP1449" t="inlineStr">
        <is>
          <t>http://localhost:8787/api/admin/requirements/documents/cmm4yuoty01xzcuqwfs0b9l35/view</t>
        </is>
      </c>
      <c r="AQ1449">
        <f>HYPERLÄNK("http://localhost:8787/api/admin/requirements/documents/cmm4yuoty01xzcuqwfs0b9l35/view";"Öppna PDF")</f>
        <v/>
      </c>
      <c r="AR1449">
        <f>HYPERLINK("http://localhost:8787/api/admin/requirements/documents/cmm4yuoty01xzcuqwfs0b9l35/view","Open PDF")</f>
        <v/>
      </c>
      <c r="AS1449" t="inlineStr">
        <is>
          <t>cmm55w57p0004cuisfrtpqly8</t>
        </is>
      </c>
      <c r="AT1449" t="inlineStr">
        <is>
          <t>cmm4xvu980000cuh4vj0usz09</t>
        </is>
      </c>
      <c r="AU1449" t="inlineStr">
        <is>
          <t>Hässleholms</t>
        </is>
      </c>
      <c r="AV1449" t="inlineStr">
        <is>
          <t>Kommun</t>
        </is>
      </c>
      <c r="AW1449" t="inlineStr">
        <is>
          <t>Hässleholms kommun</t>
        </is>
      </c>
      <c r="AX1449" t="inlineStr">
        <is>
          <t>2024-11</t>
        </is>
      </c>
      <c r="AY1449" t="inlineStr">
        <is>
          <t>Beslut</t>
        </is>
      </c>
      <c r="AZ1449" t="inlineStr">
        <is>
          <t>2026-02-03</t>
        </is>
      </c>
      <c r="BA1449" t="inlineStr">
        <is>
          <t>Kontrollrapport tillsyn nov 2024.pdf</t>
        </is>
      </c>
      <c r="BB1449" t="inlineStr">
        <is>
          <t>Sv: till registrator</t>
        </is>
      </c>
      <c r="BC1449" t="inlineStr">
        <is>
          <t>AUTO</t>
        </is>
      </c>
      <c r="BD1449" t="inlineStr"/>
      <c r="BE1449" t="inlineStr"/>
      <c r="BF1449" t="inlineStr">
        <is>
          <t>AUTO_GENERERAD. Bekrafta metadata mot kallfil.</t>
        </is>
      </c>
      <c r="BG1449">
        <f>HYPERLINK("C:\Users\jimmy\Desktop\Examens arbete\Kod\Ny mapp\remix_-copy-of-miljöbeslut.se-portal\Kontrollrapport tillsyn nov 2024.pdf", "Öppna PDF")</f>
        <v/>
      </c>
    </row>
    <row r="1450">
      <c r="A1450" t="inlineStr">
        <is>
          <t>KRAV-AUTO-001449</t>
        </is>
      </c>
      <c r="B1450" t="inlineStr">
        <is>
          <t>ADMIN-INDEX-2026-02-27-00000000125C043F57453246863FE664CAFE6A3F0700950291EA24F0614FB6ACEDB12BF0E31D00000000010C0000950291EA24F0614FB6ACEDB12BF0E31D00002087AEC50000</t>
        </is>
      </c>
      <c r="C1450" t="inlineStr">
        <is>
          <t>cmm4yuoty01xzcuqwfs0b9l35</t>
        </is>
      </c>
      <c r="D1450" t="inlineStr">
        <is>
          <t>http://localhost:8787/api/admin/requirements/documents/cmm4yuoty01xzcuqwfs0b9l35/view</t>
        </is>
      </c>
      <c r="E1450">
        <f>HYPERLÄNK("http://localhost:8787/api/admin/requirements/documents/cmm4yuoty01xzcuqwfs0b9l35/view";"Öppna PDF")</f>
        <v/>
      </c>
      <c r="F1450">
        <f>HYPERLINK("http://localhost:8787/api/admin/requirements/documents/cmm4yuoty01xzcuqwfs0b9l35/view","Open PDF")</f>
        <v/>
      </c>
      <c r="G1450" t="inlineStr">
        <is>
          <t>cmm55w57p0004cuisfrtpqly8</t>
        </is>
      </c>
      <c r="H1450" t="inlineStr">
        <is>
          <t>Beslutsvillkor</t>
        </is>
      </c>
      <c r="I1450" t="inlineStr">
        <is>
          <t>LagringsvolymTid</t>
        </is>
      </c>
      <c r="J1450" t="inlineStr">
        <is>
          <t>Maxmangd</t>
        </is>
      </c>
      <c r="K1450" t="inlineStr">
        <is>
          <t>Det hade inte varit några problem med höga vattennivåer i dammen eller bäcken, i samband med de stora vattenmängderna i närområdet i början på året.</t>
        </is>
      </c>
      <c r="L1450" t="inlineStr">
        <is>
          <t>Det hade inte varit några problem med höga vattennivåer i dammen eller bäcken, i samband med de stora vattenmängderna i närområdet i början på året.</t>
        </is>
      </c>
      <c r="M1450" t="inlineStr">
        <is>
          <t>BOR</t>
        </is>
      </c>
      <c r="N1450" t="inlineStr"/>
      <c r="O1450" t="inlineStr"/>
      <c r="P1450" t="inlineStr"/>
      <c r="Q1450" t="inlineStr"/>
      <c r="R1450" t="inlineStr">
        <is>
          <t>Alltid</t>
        </is>
      </c>
      <c r="S1450" t="inlineStr"/>
      <c r="T1450" t="inlineStr">
        <is>
          <t>26 70 00</t>
        </is>
      </c>
      <c r="U1450" t="inlineStr"/>
      <c r="V1450" t="inlineStr"/>
      <c r="W1450" t="inlineStr">
        <is>
          <t>Nej</t>
        </is>
      </c>
      <c r="X1450" t="inlineStr">
        <is>
          <t>Nej</t>
        </is>
      </c>
      <c r="Y1450" t="inlineStr">
        <is>
          <t>Nej</t>
        </is>
      </c>
      <c r="Z1450" t="inlineStr">
        <is>
          <t>Nej</t>
        </is>
      </c>
      <c r="AA1450" t="n">
        <v>4</v>
      </c>
      <c r="AB1450" t="inlineStr">
        <is>
          <t>Avfallsmangder och lagringstid</t>
        </is>
      </c>
      <c r="AC1450" t="inlineStr">
        <is>
          <t>Avfallsforteckning</t>
        </is>
      </c>
      <c r="AD1450" t="inlineStr">
        <is>
          <t>Nej</t>
        </is>
      </c>
      <c r="AE1450" t="inlineStr">
        <is>
          <t>Nej</t>
        </is>
      </c>
      <c r="AF1450" t="inlineStr">
        <is>
          <t>Ej behandlad</t>
        </is>
      </c>
      <c r="AG1450" t="inlineStr">
        <is>
          <t>AUTO_GENERERAD. Verifiera citat mot kallfil.</t>
        </is>
      </c>
      <c r="AH1450" t="inlineStr">
        <is>
          <t>MEDIUM</t>
        </is>
      </c>
      <c r="AI1450" t="inlineStr">
        <is>
          <t>AUTO</t>
        </is>
      </c>
      <c r="AJ1450" t="inlineStr">
        <is>
          <t>Nej</t>
        </is>
      </c>
      <c r="AK1450" t="inlineStr"/>
      <c r="AL1450" t="inlineStr"/>
      <c r="AM1450" t="inlineStr"/>
      <c r="AN1450" t="inlineStr"/>
      <c r="AO1450" t="inlineStr">
        <is>
          <t>cmm4yuoty01xzcuqwfs0b9l35</t>
        </is>
      </c>
      <c r="AP1450" t="inlineStr">
        <is>
          <t>http://localhost:8787/api/admin/requirements/documents/cmm4yuoty01xzcuqwfs0b9l35/view</t>
        </is>
      </c>
      <c r="AQ1450">
        <f>HYPERLÄNK("http://localhost:8787/api/admin/requirements/documents/cmm4yuoty01xzcuqwfs0b9l35/view";"Öppna PDF")</f>
        <v/>
      </c>
      <c r="AR1450">
        <f>HYPERLINK("http://localhost:8787/api/admin/requirements/documents/cmm4yuoty01xzcuqwfs0b9l35/view","Open PDF")</f>
        <v/>
      </c>
      <c r="AS1450" t="inlineStr">
        <is>
          <t>cmm55w57p0004cuisfrtpqly8</t>
        </is>
      </c>
      <c r="AT1450" t="inlineStr">
        <is>
          <t>cmm4xvu980000cuh4vj0usz09</t>
        </is>
      </c>
      <c r="AU1450" t="inlineStr">
        <is>
          <t>Hässleholms</t>
        </is>
      </c>
      <c r="AV1450" t="inlineStr">
        <is>
          <t>Kommun</t>
        </is>
      </c>
      <c r="AW1450" t="inlineStr">
        <is>
          <t>Hässleholms kommun</t>
        </is>
      </c>
      <c r="AX1450" t="inlineStr">
        <is>
          <t>2024-11</t>
        </is>
      </c>
      <c r="AY1450" t="inlineStr">
        <is>
          <t>Beslut</t>
        </is>
      </c>
      <c r="AZ1450" t="inlineStr">
        <is>
          <t>2026-02-03</t>
        </is>
      </c>
      <c r="BA1450" t="inlineStr">
        <is>
          <t>Kontrollrapport tillsyn nov 2024.pdf</t>
        </is>
      </c>
      <c r="BB1450" t="inlineStr">
        <is>
          <t>Sv: till registrator</t>
        </is>
      </c>
      <c r="BC1450" t="inlineStr">
        <is>
          <t>AUTO</t>
        </is>
      </c>
      <c r="BD1450" t="inlineStr"/>
      <c r="BE1450" t="inlineStr"/>
      <c r="BF1450" t="inlineStr">
        <is>
          <t>AUTO_GENERERAD. Bekrafta metadata mot kallfil.</t>
        </is>
      </c>
      <c r="BG1450">
        <f>HYPERLINK("C:\Users\jimmy\Desktop\Examens arbete\Kod\Ny mapp\remix_-copy-of-miljöbeslut.se-portal\Kontrollrapport tillsyn nov 2024.pdf", "Öppna PDF")</f>
        <v/>
      </c>
    </row>
    <row r="1451">
      <c r="A1451" t="inlineStr">
        <is>
          <t>KRAV-AUTO-001450</t>
        </is>
      </c>
      <c r="B1451" t="inlineStr">
        <is>
          <t>ADMIN-INDEX-2026-02-27-00000000125C043F57453246863FE664CAFE6A3F0700950291EA24F0614FB6ACEDB12BF0E31D00000000010C0000950291EA24F0614FB6ACEDB12BF0E31D00002087AEC50000</t>
        </is>
      </c>
      <c r="C1451" t="inlineStr">
        <is>
          <t>cmm4yuotq01xtcuqwk0jtkgxu</t>
        </is>
      </c>
      <c r="D1451" t="inlineStr">
        <is>
          <t>http://localhost:8787/api/admin/requirements/documents/cmm4yuotq01xtcuqwk0jtkgxu/view</t>
        </is>
      </c>
      <c r="E1451">
        <f>HYPERLÄNK("http://localhost:8787/api/admin/requirements/documents/cmm4yuotq01xtcuqwk0jtkgxu/view";"Öppna PDF")</f>
        <v/>
      </c>
      <c r="F1451">
        <f>HYPERLINK("http://localhost:8787/api/admin/requirements/documents/cmm4yuotq01xtcuqwk0jtkgxu/view","Open PDF")</f>
        <v/>
      </c>
      <c r="G1451" t="inlineStr">
        <is>
          <t>cmm55w57p0004cuisfrtpqly8</t>
        </is>
      </c>
      <c r="H1451" t="inlineStr">
        <is>
          <t>Beslutsvillkor</t>
        </is>
      </c>
      <c r="I1451" t="inlineStr">
        <is>
          <t>DagvattenLakvatten</t>
        </is>
      </c>
      <c r="J1451" t="inlineStr">
        <is>
          <t>Uppsamling</t>
        </is>
      </c>
      <c r="K1451" t="inlineStr">
        <is>
          <t>DATUM ANSVARIC 2018-09-25 A.OLSSON TORMESTORP 5:16, HÄSSLEHOLMS KOMMUN OMBYGGNAD AV SKJUTBANA DAGVATTENDAMM SKALA RITMINGSNUMMER 1:200/A1 RITNING 1</t>
        </is>
      </c>
      <c r="L1451" t="inlineStr">
        <is>
          <t>DATUM ANSVARIC 2018-09-25 A.OLSSON TORMESTORP 5:16, HÄSSLEHOLMS KOMMUN OMBYGGNAD AV SKJUTBANA DAGVATTENDAMM SKALA RITMINGSNUMMER 1:200/A1 RITNING 1</t>
        </is>
      </c>
      <c r="M1451" t="inlineStr">
        <is>
          <t>SKA</t>
        </is>
      </c>
      <c r="N1451" t="inlineStr"/>
      <c r="O1451" t="inlineStr">
        <is>
          <t>2018-09-25</t>
        </is>
      </c>
      <c r="P1451" t="inlineStr"/>
      <c r="Q1451" t="inlineStr"/>
      <c r="R1451" t="inlineStr">
        <is>
          <t>Vid nederbord och avrinning</t>
        </is>
      </c>
      <c r="S1451" t="inlineStr"/>
      <c r="T1451" t="inlineStr">
        <is>
          <t>30 15 15</t>
        </is>
      </c>
      <c r="U1451" t="inlineStr"/>
      <c r="V1451" t="inlineStr"/>
      <c r="W1451" t="inlineStr">
        <is>
          <t>Nej</t>
        </is>
      </c>
      <c r="X1451" t="inlineStr">
        <is>
          <t>Ja</t>
        </is>
      </c>
      <c r="Y1451" t="inlineStr">
        <is>
          <t>Ja</t>
        </is>
      </c>
      <c r="Z1451" t="inlineStr">
        <is>
          <t>Nej</t>
        </is>
      </c>
      <c r="AA1451" t="n">
        <v>6</v>
      </c>
      <c r="AB1451" t="inlineStr">
        <is>
          <t>Lakvattenhantering</t>
        </is>
      </c>
      <c r="AC1451" t="inlineStr">
        <is>
          <t>Flodesschema dagvatten-lakvatten</t>
        </is>
      </c>
      <c r="AD1451" t="inlineStr">
        <is>
          <t>Nej</t>
        </is>
      </c>
      <c r="AE1451" t="inlineStr">
        <is>
          <t>Nej</t>
        </is>
      </c>
      <c r="AF1451" t="inlineStr">
        <is>
          <t>Ej behandlad</t>
        </is>
      </c>
      <c r="AG1451" t="inlineStr">
        <is>
          <t>AUTO_GENERERAD. Verifiera citat mot kallfil.</t>
        </is>
      </c>
      <c r="AH1451" t="inlineStr">
        <is>
          <t>MEDIUM</t>
        </is>
      </c>
      <c r="AI1451" t="inlineStr">
        <is>
          <t>AUTO</t>
        </is>
      </c>
      <c r="AJ1451" t="inlineStr">
        <is>
          <t>Nej</t>
        </is>
      </c>
      <c r="AK1451" t="inlineStr"/>
      <c r="AL1451" t="inlineStr"/>
      <c r="AM1451" t="inlineStr"/>
      <c r="AN1451" t="inlineStr"/>
      <c r="AO1451" t="inlineStr">
        <is>
          <t>cmm4yuoty01xzcuqwfs0b9l35</t>
        </is>
      </c>
      <c r="AP1451" t="inlineStr">
        <is>
          <t>http://localhost:8787/api/admin/requirements/documents/cmm4yuoty01xzcuqwfs0b9l35/view</t>
        </is>
      </c>
      <c r="AQ1451">
        <f>HYPERLÄNK("http://localhost:8787/api/admin/requirements/documents/cmm4yuoty01xzcuqwfs0b9l35/view";"Öppna PDF")</f>
        <v/>
      </c>
      <c r="AR1451">
        <f>HYPERLINK("http://localhost:8787/api/admin/requirements/documents/cmm4yuoty01xzcuqwfs0b9l35/view","Open PDF")</f>
        <v/>
      </c>
      <c r="AS1451" t="inlineStr">
        <is>
          <t>cmm55w57p0004cuisfrtpqly8</t>
        </is>
      </c>
      <c r="AT1451" t="inlineStr">
        <is>
          <t>cmm4xvu980000cuh4vj0usz09</t>
        </is>
      </c>
      <c r="AU1451" t="inlineStr">
        <is>
          <t>Hässleholms</t>
        </is>
      </c>
      <c r="AV1451" t="inlineStr">
        <is>
          <t>Kommun</t>
        </is>
      </c>
      <c r="AW1451" t="inlineStr">
        <is>
          <t>Hässleholms kommun</t>
        </is>
      </c>
      <c r="AX1451" t="inlineStr">
        <is>
          <t>2024-11</t>
        </is>
      </c>
      <c r="AY1451" t="inlineStr">
        <is>
          <t>Beslut</t>
        </is>
      </c>
      <c r="AZ1451" t="inlineStr">
        <is>
          <t>2026-02-03</t>
        </is>
      </c>
      <c r="BA1451" t="inlineStr">
        <is>
          <t>Kontrollrapport tillsyn nov 2024.pdf</t>
        </is>
      </c>
      <c r="BB1451" t="inlineStr">
        <is>
          <t>Sv: till registrator</t>
        </is>
      </c>
      <c r="BC1451" t="inlineStr">
        <is>
          <t>AUTO</t>
        </is>
      </c>
      <c r="BD1451" t="inlineStr"/>
      <c r="BE1451" t="inlineStr"/>
      <c r="BF1451" t="inlineStr">
        <is>
          <t>AUTO_GENERERAD. Bekrafta metadata mot kallfil.</t>
        </is>
      </c>
      <c r="BG1451">
        <f>HYPERLINK("C:\Users\jimmy\Desktop\Examens arbete\Kod\Ny mapp\remix_-copy-of-miljöbeslut.se-portal\Kontrollrapport tillsyn nov 2024.pdf", "Öppna PDF")</f>
        <v/>
      </c>
    </row>
    <row r="1452">
      <c r="A1452" t="inlineStr">
        <is>
          <t>KRAV-AUTO-001451</t>
        </is>
      </c>
      <c r="B1452" t="inlineStr">
        <is>
          <t>ADMIN-INDEX-2026-02-27-00000000125C043F57453246863FE664CAFE6A3F0700950291EA24F0614FB6ACEDB12BF0E31D00000000010C0000950291EA24F0614FB6ACEDB12BF0E31D00002087AEC50000</t>
        </is>
      </c>
      <c r="C1452" t="inlineStr">
        <is>
          <t>cmm4yuotn01xqcuqw8ihmg815</t>
        </is>
      </c>
      <c r="D1452" t="inlineStr">
        <is>
          <t>http://localhost:8787/api/admin/requirements/documents/cmm4yuotn01xqcuqw8ihmg815/view</t>
        </is>
      </c>
      <c r="E1452">
        <f>HYPERLÄNK("http://localhost:8787/api/admin/requirements/documents/cmm4yuotn01xqcuqw8ihmg815/view";"Öppna PDF")</f>
        <v/>
      </c>
      <c r="F1452">
        <f>HYPERLINK("http://localhost:8787/api/admin/requirements/documents/cmm4yuotn01xqcuqw8ihmg815/view","Open PDF")</f>
        <v/>
      </c>
      <c r="G1452" t="inlineStr">
        <is>
          <t>cmm55w57p0004cuisfrtpqly8</t>
        </is>
      </c>
      <c r="H1452" t="inlineStr">
        <is>
          <t>Beslutsvillkor</t>
        </is>
      </c>
      <c r="I1452" t="inlineStr">
        <is>
          <t>DagvattenLakvatten</t>
        </is>
      </c>
      <c r="J1452" t="inlineStr">
        <is>
          <t>Uppsamling</t>
        </is>
      </c>
      <c r="K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2" t="inlineStr">
        <is>
          <t>SKA</t>
        </is>
      </c>
      <c r="N1452" t="inlineStr"/>
      <c r="O1452" t="inlineStr">
        <is>
          <t>2018-09-25</t>
        </is>
      </c>
      <c r="P1452" t="inlineStr"/>
      <c r="Q1452" t="inlineStr"/>
      <c r="R1452" t="inlineStr">
        <is>
          <t>Vid nederbord och avrinning</t>
        </is>
      </c>
      <c r="S1452" t="inlineStr"/>
      <c r="T1452" t="inlineStr"/>
      <c r="U1452" t="inlineStr"/>
      <c r="V1452" t="inlineStr"/>
      <c r="W1452" t="inlineStr">
        <is>
          <t>Nej</t>
        </is>
      </c>
      <c r="X1452" t="inlineStr">
        <is>
          <t>Ja</t>
        </is>
      </c>
      <c r="Y1452" t="inlineStr">
        <is>
          <t>Ja</t>
        </is>
      </c>
      <c r="Z1452" t="inlineStr">
        <is>
          <t>Nej</t>
        </is>
      </c>
      <c r="AA1452" t="n">
        <v>6</v>
      </c>
      <c r="AB1452" t="inlineStr">
        <is>
          <t>Lakvattenhantering</t>
        </is>
      </c>
      <c r="AC1452" t="inlineStr">
        <is>
          <t>Flodesschema dagvatten-lakvatten</t>
        </is>
      </c>
      <c r="AD1452" t="inlineStr">
        <is>
          <t>Nej</t>
        </is>
      </c>
      <c r="AE1452" t="inlineStr">
        <is>
          <t>Nej</t>
        </is>
      </c>
      <c r="AF1452" t="inlineStr">
        <is>
          <t>Ej behandlad</t>
        </is>
      </c>
      <c r="AG1452" t="inlineStr">
        <is>
          <t>AUTO_GENERERAD. Verifiera citat mot kallfil.</t>
        </is>
      </c>
      <c r="AH1452" t="inlineStr">
        <is>
          <t>MEDIUM</t>
        </is>
      </c>
      <c r="AI1452" t="inlineStr">
        <is>
          <t>AUTO</t>
        </is>
      </c>
      <c r="AJ1452" t="inlineStr">
        <is>
          <t>Nej</t>
        </is>
      </c>
      <c r="AK1452" t="inlineStr"/>
      <c r="AL1452" t="inlineStr"/>
      <c r="AM1452" t="inlineStr"/>
      <c r="AN1452" t="inlineStr"/>
      <c r="AO1452" t="inlineStr">
        <is>
          <t>cmm4yuoty01xzcuqwfs0b9l35</t>
        </is>
      </c>
      <c r="AP1452" t="inlineStr">
        <is>
          <t>http://localhost:8787/api/admin/requirements/documents/cmm4yuoty01xzcuqwfs0b9l35/view</t>
        </is>
      </c>
      <c r="AQ1452">
        <f>HYPERLÄNK("http://localhost:8787/api/admin/requirements/documents/cmm4yuoty01xzcuqwfs0b9l35/view";"Öppna PDF")</f>
        <v/>
      </c>
      <c r="AR1452">
        <f>HYPERLINK("http://localhost:8787/api/admin/requirements/documents/cmm4yuoty01xzcuqwfs0b9l35/view","Open PDF")</f>
        <v/>
      </c>
      <c r="AS1452" t="inlineStr">
        <is>
          <t>cmm55w57p0004cuisfrtpqly8</t>
        </is>
      </c>
      <c r="AT1452" t="inlineStr">
        <is>
          <t>cmm4xvu980000cuh4vj0usz09</t>
        </is>
      </c>
      <c r="AU1452" t="inlineStr">
        <is>
          <t>Hässleholms</t>
        </is>
      </c>
      <c r="AV1452" t="inlineStr">
        <is>
          <t>Kommun</t>
        </is>
      </c>
      <c r="AW1452" t="inlineStr">
        <is>
          <t>Hässleholms kommun</t>
        </is>
      </c>
      <c r="AX1452" t="inlineStr">
        <is>
          <t>2024-11</t>
        </is>
      </c>
      <c r="AY1452" t="inlineStr">
        <is>
          <t>Beslut</t>
        </is>
      </c>
      <c r="AZ1452" t="inlineStr">
        <is>
          <t>2026-02-03</t>
        </is>
      </c>
      <c r="BA1452" t="inlineStr">
        <is>
          <t>Kontrollrapport tillsyn nov 2024.pdf</t>
        </is>
      </c>
      <c r="BB1452" t="inlineStr">
        <is>
          <t>Sv: till registrator</t>
        </is>
      </c>
      <c r="BC1452" t="inlineStr">
        <is>
          <t>AUTO</t>
        </is>
      </c>
      <c r="BD1452" t="inlineStr"/>
      <c r="BE1452" t="inlineStr"/>
      <c r="BF1452" t="inlineStr">
        <is>
          <t>AUTO_GENERERAD. Bekrafta metadata mot kallfil.</t>
        </is>
      </c>
      <c r="BG1452">
        <f>HYPERLINK("C:\Users\jimmy\Desktop\Examens arbete\Kod\Ny mapp\remix_-copy-of-miljöbeslut.se-portal\Kontrollrapport tillsyn nov 2024.pdf", "Öppna PDF")</f>
        <v/>
      </c>
    </row>
    <row r="1453">
      <c r="A1453" t="inlineStr">
        <is>
          <t>KRAV-AUTO-001452</t>
        </is>
      </c>
      <c r="B1453" t="inlineStr">
        <is>
          <t>ADMIN-INDEX-2026-02-27-00000000125C043F57453246863FE664CAFE6A3F0700950291EA24F0614FB6ACEDB12BF0E31D00000000010C0000950291EA24F0614FB6ACEDB12BF0E31D00002087AEC50000</t>
        </is>
      </c>
      <c r="C1453" t="inlineStr">
        <is>
          <t>cmm4yuotk01xncuqwlsvuxdtt</t>
        </is>
      </c>
      <c r="D1453" t="inlineStr">
        <is>
          <t>http://localhost:8787/api/admin/requirements/documents/cmm4yuotk01xncuqwlsvuxdtt/view</t>
        </is>
      </c>
      <c r="E1453">
        <f>HYPERLÄNK("http://localhost:8787/api/admin/requirements/documents/cmm4yuotk01xncuqwlsvuxdtt/view";"Öppna PDF")</f>
        <v/>
      </c>
      <c r="F1453">
        <f>HYPERLINK("http://localhost:8787/api/admin/requirements/documents/cmm4yuotk01xncuqwlsvuxdtt/view","Open PDF")</f>
        <v/>
      </c>
      <c r="G1453" t="inlineStr">
        <is>
          <t>cmm55w57p0004cuisfrtpqly8</t>
        </is>
      </c>
      <c r="H1453" t="inlineStr">
        <is>
          <t>Beslutsvillkor</t>
        </is>
      </c>
      <c r="I1453" t="inlineStr">
        <is>
          <t>DagvattenLakvatten</t>
        </is>
      </c>
      <c r="J1453" t="inlineStr">
        <is>
          <t>Uppsamling</t>
        </is>
      </c>
      <c r="K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3" t="inlineStr">
        <is>
          <t>SKA</t>
        </is>
      </c>
      <c r="N1453" t="inlineStr"/>
      <c r="O1453" t="inlineStr"/>
      <c r="P1453" t="inlineStr">
        <is>
          <t>Arlig</t>
        </is>
      </c>
      <c r="Q1453" t="inlineStr"/>
      <c r="R1453" t="inlineStr">
        <is>
          <t>Vid nederbord och avrinning</t>
        </is>
      </c>
      <c r="S1453" t="inlineStr"/>
      <c r="T1453" t="inlineStr">
        <is>
          <t>200601</t>
        </is>
      </c>
      <c r="U1453" t="inlineStr"/>
      <c r="V1453" t="inlineStr">
        <is>
          <t>5 ar</t>
        </is>
      </c>
      <c r="W1453" t="inlineStr">
        <is>
          <t>Nej</t>
        </is>
      </c>
      <c r="X1453" t="inlineStr">
        <is>
          <t>Ja</t>
        </is>
      </c>
      <c r="Y1453" t="inlineStr">
        <is>
          <t>Ja</t>
        </is>
      </c>
      <c r="Z1453" t="inlineStr">
        <is>
          <t>Nej</t>
        </is>
      </c>
      <c r="AA1453" t="n">
        <v>6</v>
      </c>
      <c r="AB1453" t="inlineStr">
        <is>
          <t>Lakvattenhantering</t>
        </is>
      </c>
      <c r="AC1453" t="inlineStr">
        <is>
          <t>Flodesschema dagvatten-lakvatten</t>
        </is>
      </c>
      <c r="AD1453" t="inlineStr">
        <is>
          <t>Nej</t>
        </is>
      </c>
      <c r="AE1453" t="inlineStr">
        <is>
          <t>Nej</t>
        </is>
      </c>
      <c r="AF1453" t="inlineStr">
        <is>
          <t>Ej behandlad</t>
        </is>
      </c>
      <c r="AG1453" t="inlineStr">
        <is>
          <t>AUTO_GENERERAD. Verifiera citat mot kallfil.</t>
        </is>
      </c>
      <c r="AH1453" t="inlineStr">
        <is>
          <t>LOW</t>
        </is>
      </c>
      <c r="AI1453" t="inlineStr">
        <is>
          <t>AUTO</t>
        </is>
      </c>
      <c r="AJ1453" t="inlineStr">
        <is>
          <t>Nej</t>
        </is>
      </c>
      <c r="AK1453" t="inlineStr"/>
      <c r="AL1453" t="inlineStr"/>
      <c r="AM1453" t="inlineStr"/>
      <c r="AN1453" t="inlineStr"/>
      <c r="AO1453" t="inlineStr">
        <is>
          <t>cmm4yuoty01xzcuqwfs0b9l35</t>
        </is>
      </c>
      <c r="AP1453" t="inlineStr">
        <is>
          <t>http://localhost:8787/api/admin/requirements/documents/cmm4yuoty01xzcuqwfs0b9l35/view</t>
        </is>
      </c>
      <c r="AQ1453">
        <f>HYPERLÄNK("http://localhost:8787/api/admin/requirements/documents/cmm4yuoty01xzcuqwfs0b9l35/view";"Öppna PDF")</f>
        <v/>
      </c>
      <c r="AR1453">
        <f>HYPERLINK("http://localhost:8787/api/admin/requirements/documents/cmm4yuoty01xzcuqwfs0b9l35/view","Open PDF")</f>
        <v/>
      </c>
      <c r="AS1453" t="inlineStr">
        <is>
          <t>cmm55w57p0004cuisfrtpqly8</t>
        </is>
      </c>
      <c r="AT1453" t="inlineStr">
        <is>
          <t>cmm4xvu980000cuh4vj0usz09</t>
        </is>
      </c>
      <c r="AU1453" t="inlineStr">
        <is>
          <t>Hässleholms</t>
        </is>
      </c>
      <c r="AV1453" t="inlineStr">
        <is>
          <t>Kommun</t>
        </is>
      </c>
      <c r="AW1453" t="inlineStr">
        <is>
          <t>Hässleholms kommun</t>
        </is>
      </c>
      <c r="AX1453" t="inlineStr">
        <is>
          <t>2024-11</t>
        </is>
      </c>
      <c r="AY1453" t="inlineStr">
        <is>
          <t>Beslut</t>
        </is>
      </c>
      <c r="AZ1453" t="inlineStr">
        <is>
          <t>2026-02-03</t>
        </is>
      </c>
      <c r="BA1453" t="inlineStr">
        <is>
          <t>Kontrollrapport tillsyn nov 2024.pdf</t>
        </is>
      </c>
      <c r="BB1453" t="inlineStr">
        <is>
          <t>Sv: till registrator</t>
        </is>
      </c>
      <c r="BC1453" t="inlineStr">
        <is>
          <t>AUTO</t>
        </is>
      </c>
      <c r="BD1453" t="inlineStr"/>
      <c r="BE1453" t="inlineStr"/>
      <c r="BF1453" t="inlineStr">
        <is>
          <t>AUTO_GENERERAD. Bekrafta metadata mot kallfil.</t>
        </is>
      </c>
      <c r="BG1453">
        <f>HYPERLINK("C:\Users\jimmy\Desktop\Examens arbete\Kod\Ny mapp\remix_-copy-of-miljöbeslut.se-portal\Kontrollrapport tillsyn nov 2024.pdf", "Öppna PDF")</f>
        <v/>
      </c>
    </row>
    <row r="1454">
      <c r="A1454" t="inlineStr">
        <is>
          <t>KRAV-AUTO-001453</t>
        </is>
      </c>
      <c r="B1454" t="inlineStr">
        <is>
          <t>ADMIN-INDEX-2026-02-27-00000000125C043F57453246863FE664CAFE6A3F0700950291EA24F0614FB6ACEDB12BF0E31D00000000010C0000950291EA24F0614FB6ACEDB12BF0E31D00002087AEC60000</t>
        </is>
      </c>
      <c r="C1454" t="inlineStr">
        <is>
          <t>cmm4yuotb01xhcuqwswxsx8sy</t>
        </is>
      </c>
      <c r="D1454" t="inlineStr">
        <is>
          <t>http://localhost:8787/api/admin/requirements/documents/cmm4yuotb01xhcuqwswxsx8sy/view</t>
        </is>
      </c>
      <c r="E1454">
        <f>HYPERLÄNK("http://localhost:8787/api/admin/requirements/documents/cmm4yuotb01xhcuqwswxsx8sy/view";"Öppna PDF")</f>
        <v/>
      </c>
      <c r="F1454">
        <f>HYPERLINK("http://localhost:8787/api/admin/requirements/documents/cmm4yuotb01xhcuqwswxsx8sy/view","Open PDF")</f>
        <v/>
      </c>
      <c r="G1454" t="inlineStr">
        <is>
          <t>cmm55w57p0004cuisfrtpqly8</t>
        </is>
      </c>
      <c r="H1454" t="inlineStr">
        <is>
          <t>Beslutsvillkor</t>
        </is>
      </c>
      <c r="I1454" t="inlineStr">
        <is>
          <t>DagvattenLakvatten</t>
        </is>
      </c>
      <c r="J1454" t="inlineStr">
        <is>
          <t>Uppsamling</t>
        </is>
      </c>
      <c r="K1454" t="inlineStr">
        <is>
          <t>Provtagningspunkten vid dagvattendammen ska märkas ut så att den syns tydligt.</t>
        </is>
      </c>
      <c r="L1454" t="inlineStr">
        <is>
          <t>Provtagningspunkten vid dagvattendammen ska märkas ut så att den syns tydligt.</t>
        </is>
      </c>
      <c r="M1454" t="inlineStr">
        <is>
          <t>SKA</t>
        </is>
      </c>
      <c r="N1454" t="inlineStr"/>
      <c r="O1454" t="inlineStr"/>
      <c r="P1454" t="inlineStr"/>
      <c r="Q1454" t="inlineStr"/>
      <c r="R1454" t="inlineStr">
        <is>
          <t>Vid nederbord och avrinning</t>
        </is>
      </c>
      <c r="S1454" t="inlineStr"/>
      <c r="T1454" t="inlineStr">
        <is>
          <t>26 70 00</t>
        </is>
      </c>
      <c r="U1454" t="inlineStr"/>
      <c r="V1454" t="inlineStr"/>
      <c r="W1454" t="inlineStr">
        <is>
          <t>Nej</t>
        </is>
      </c>
      <c r="X1454" t="inlineStr">
        <is>
          <t>Ja</t>
        </is>
      </c>
      <c r="Y1454" t="inlineStr">
        <is>
          <t>Ja</t>
        </is>
      </c>
      <c r="Z1454" t="inlineStr">
        <is>
          <t>Nej</t>
        </is>
      </c>
      <c r="AA1454" t="n">
        <v>6</v>
      </c>
      <c r="AB1454" t="inlineStr">
        <is>
          <t>Lakvattenhantering</t>
        </is>
      </c>
      <c r="AC1454" t="inlineStr">
        <is>
          <t>Flodesschema dagvatten-lakvatten</t>
        </is>
      </c>
      <c r="AD1454" t="inlineStr">
        <is>
          <t>Nej</t>
        </is>
      </c>
      <c r="AE1454" t="inlineStr">
        <is>
          <t>Nej</t>
        </is>
      </c>
      <c r="AF1454" t="inlineStr">
        <is>
          <t>Ej behandlad</t>
        </is>
      </c>
      <c r="AG1454" t="inlineStr">
        <is>
          <t>AUTO_GENERERAD. Verifiera citat mot kallfil.</t>
        </is>
      </c>
      <c r="AH1454" t="inlineStr">
        <is>
          <t>MEDIUM</t>
        </is>
      </c>
      <c r="AI1454" t="inlineStr">
        <is>
          <t>AUTO</t>
        </is>
      </c>
      <c r="AJ1454" t="inlineStr">
        <is>
          <t>Nej</t>
        </is>
      </c>
      <c r="AK1454" t="inlineStr"/>
      <c r="AL1454" t="inlineStr"/>
      <c r="AM1454" t="inlineStr"/>
      <c r="AN1454" t="inlineStr"/>
      <c r="AO1454" t="inlineStr">
        <is>
          <t>cmm4yuotb01xhcuqwswxsx8sy</t>
        </is>
      </c>
      <c r="AP1454" t="inlineStr">
        <is>
          <t>http://localhost:8787/api/admin/requirements/documents/cmm4yuotb01xhcuqwswxsx8sy/view</t>
        </is>
      </c>
      <c r="AQ1454">
        <f>HYPERLÄNK("http://localhost:8787/api/admin/requirements/documents/cmm4yuotb01xhcuqwswxsx8sy/view";"Öppna PDF")</f>
        <v/>
      </c>
      <c r="AR1454">
        <f>HYPERLINK("http://localhost:8787/api/admin/requirements/documents/cmm4yuotb01xhcuqwswxsx8sy/view","Open PDF")</f>
        <v/>
      </c>
      <c r="AS1454" t="inlineStr">
        <is>
          <t>cmm55w57p0004cuisfrtpqly8</t>
        </is>
      </c>
      <c r="AT1454" t="inlineStr">
        <is>
          <t>cmm4xvu980000cuh4vj0usz09</t>
        </is>
      </c>
      <c r="AU1454" t="inlineStr">
        <is>
          <t>Hässleholms</t>
        </is>
      </c>
      <c r="AV1454" t="inlineStr">
        <is>
          <t>Kommun</t>
        </is>
      </c>
      <c r="AW1454" t="inlineStr">
        <is>
          <t>Hässleholms kommun</t>
        </is>
      </c>
      <c r="AX1454" t="inlineStr">
        <is>
          <t>2024-11</t>
        </is>
      </c>
      <c r="AY1454" t="inlineStr">
        <is>
          <t>Beslut</t>
        </is>
      </c>
      <c r="AZ1454" t="inlineStr">
        <is>
          <t>2026-02-03</t>
        </is>
      </c>
      <c r="BA1454" t="inlineStr">
        <is>
          <t>Kontrollrapport tillsyn nov 2024.pdf</t>
        </is>
      </c>
      <c r="BB1454" t="inlineStr">
        <is>
          <t>Sv: till registrator</t>
        </is>
      </c>
      <c r="BC1454" t="inlineStr">
        <is>
          <t>AUTO</t>
        </is>
      </c>
      <c r="BD1454" t="inlineStr"/>
      <c r="BE1454" t="inlineStr"/>
      <c r="BF1454" t="inlineStr">
        <is>
          <t>AUTO_GENERERAD. Bekrafta metadata mot kallfil.</t>
        </is>
      </c>
      <c r="BG1454">
        <f>HYPERLINK("C:\Users\jimmy\Desktop\Examens arbete\Kod\Ny mapp\remix_-copy-of-miljöbeslut.se-portal\Kontrollrapport tillsyn nov 2024.pdf", "Öppna PDF")</f>
        <v/>
      </c>
    </row>
    <row r="1455">
      <c r="A1455" t="inlineStr">
        <is>
          <t>KRAV-AUTO-001454</t>
        </is>
      </c>
      <c r="B1455" t="inlineStr">
        <is>
          <t>ADMIN-INDEX-2026-02-27-00000000125C043F57453246863FE664CAFE6A3F0700950291EA24F0614FB6ACEDB12BF0E31D00000000010C0000950291EA24F0614FB6ACEDB12BF0E31D00002087AEC60000</t>
        </is>
      </c>
      <c r="C1455" t="inlineStr">
        <is>
          <t>cmm4yuotb01xhcuqwswxsx8sy</t>
        </is>
      </c>
      <c r="D1455" t="inlineStr">
        <is>
          <t>http://localhost:8787/api/admin/requirements/documents/cmm4yuotb01xhcuqwswxsx8sy/view</t>
        </is>
      </c>
      <c r="E1455">
        <f>HYPERLÄNK("http://localhost:8787/api/admin/requirements/documents/cmm4yuotb01xhcuqwswxsx8sy/view";"Öppna PDF")</f>
        <v/>
      </c>
      <c r="F1455">
        <f>HYPERLINK("http://localhost:8787/api/admin/requirements/documents/cmm4yuotb01xhcuqwswxsx8sy/view","Open PDF")</f>
        <v/>
      </c>
      <c r="G1455" t="inlineStr">
        <is>
          <t>cmm55w57p0004cuisfrtpqly8</t>
        </is>
      </c>
      <c r="H1455" t="inlineStr">
        <is>
          <t>Beslutsvillkor</t>
        </is>
      </c>
      <c r="I1455" t="inlineStr">
        <is>
          <t>LagringsvolymTid</t>
        </is>
      </c>
      <c r="J1455" t="inlineStr">
        <is>
          <t>Maxmangd</t>
        </is>
      </c>
      <c r="K1455" t="inlineStr">
        <is>
          <t>Övrigt Det hade i början på åtet använts 2000 ton jordmaterial till en bullervall vid Röingeskolan.</t>
        </is>
      </c>
      <c r="L1455" t="inlineStr">
        <is>
          <t>Övrigt Det hade i början på åtet använts 2000 ton jordmaterial till en bullervall vid Röingeskolan.</t>
        </is>
      </c>
      <c r="M1455" t="inlineStr">
        <is>
          <t>BOR</t>
        </is>
      </c>
      <c r="N1455" t="inlineStr"/>
      <c r="O1455" t="inlineStr"/>
      <c r="P1455" t="inlineStr"/>
      <c r="Q1455" t="inlineStr"/>
      <c r="R1455" t="inlineStr">
        <is>
          <t>Alltid</t>
        </is>
      </c>
      <c r="S1455" t="inlineStr"/>
      <c r="T1455" t="inlineStr">
        <is>
          <t>26 70 00</t>
        </is>
      </c>
      <c r="U1455" t="n">
        <v>2000</v>
      </c>
      <c r="V1455" t="inlineStr"/>
      <c r="W1455" t="inlineStr">
        <is>
          <t>Nej</t>
        </is>
      </c>
      <c r="X1455" t="inlineStr">
        <is>
          <t>Nej</t>
        </is>
      </c>
      <c r="Y1455" t="inlineStr">
        <is>
          <t>Nej</t>
        </is>
      </c>
      <c r="Z1455" t="inlineStr">
        <is>
          <t>Nej</t>
        </is>
      </c>
      <c r="AA1455" t="n">
        <v>4</v>
      </c>
      <c r="AB1455" t="inlineStr">
        <is>
          <t>Avfallsmangder och lagringstid</t>
        </is>
      </c>
      <c r="AC1455" t="inlineStr">
        <is>
          <t>Avfallsforteckning</t>
        </is>
      </c>
      <c r="AD1455" t="inlineStr">
        <is>
          <t>Nej</t>
        </is>
      </c>
      <c r="AE1455" t="inlineStr">
        <is>
          <t>Nej</t>
        </is>
      </c>
      <c r="AF1455" t="inlineStr">
        <is>
          <t>Ej behandlad</t>
        </is>
      </c>
      <c r="AG1455" t="inlineStr">
        <is>
          <t>AUTO_GENERERAD. Verifiera citat mot kallfil.</t>
        </is>
      </c>
      <c r="AH1455" t="inlineStr">
        <is>
          <t>MEDIUM</t>
        </is>
      </c>
      <c r="AI1455" t="inlineStr">
        <is>
          <t>AUTO</t>
        </is>
      </c>
      <c r="AJ1455" t="inlineStr">
        <is>
          <t>Nej</t>
        </is>
      </c>
      <c r="AK1455" t="inlineStr"/>
      <c r="AL1455" t="inlineStr"/>
      <c r="AM1455" t="inlineStr"/>
      <c r="AN1455" t="inlineStr"/>
      <c r="AO1455" t="inlineStr">
        <is>
          <t>cmm4yuotb01xhcuqwswxsx8sy</t>
        </is>
      </c>
      <c r="AP1455" t="inlineStr">
        <is>
          <t>http://localhost:8787/api/admin/requirements/documents/cmm4yuotb01xhcuqwswxsx8sy/view</t>
        </is>
      </c>
      <c r="AQ1455">
        <f>HYPERLÄNK("http://localhost:8787/api/admin/requirements/documents/cmm4yuotb01xhcuqwswxsx8sy/view";"Öppna PDF")</f>
        <v/>
      </c>
      <c r="AR1455">
        <f>HYPERLINK("http://localhost:8787/api/admin/requirements/documents/cmm4yuotb01xhcuqwswxsx8sy/view","Open PDF")</f>
        <v/>
      </c>
      <c r="AS1455" t="inlineStr">
        <is>
          <t>cmm55w57p0004cuisfrtpqly8</t>
        </is>
      </c>
      <c r="AT1455" t="inlineStr">
        <is>
          <t>cmm4xvu980000cuh4vj0usz09</t>
        </is>
      </c>
      <c r="AU1455" t="inlineStr">
        <is>
          <t>Hässleholms</t>
        </is>
      </c>
      <c r="AV1455" t="inlineStr">
        <is>
          <t>Kommun</t>
        </is>
      </c>
      <c r="AW1455" t="inlineStr">
        <is>
          <t>Hässleholms kommun</t>
        </is>
      </c>
      <c r="AX1455" t="inlineStr">
        <is>
          <t>2024-11</t>
        </is>
      </c>
      <c r="AY1455" t="inlineStr">
        <is>
          <t>Beslut</t>
        </is>
      </c>
      <c r="AZ1455" t="inlineStr">
        <is>
          <t>2026-02-03</t>
        </is>
      </c>
      <c r="BA1455" t="inlineStr">
        <is>
          <t>Kontrollrapport tillsyn nov 2024.pdf</t>
        </is>
      </c>
      <c r="BB1455" t="inlineStr">
        <is>
          <t>Sv: till registrator</t>
        </is>
      </c>
      <c r="BC1455" t="inlineStr">
        <is>
          <t>AUTO</t>
        </is>
      </c>
      <c r="BD1455" t="inlineStr"/>
      <c r="BE1455" t="inlineStr"/>
      <c r="BF1455" t="inlineStr">
        <is>
          <t>AUTO_GENERERAD. Bekrafta metadata mot kallfil.</t>
        </is>
      </c>
      <c r="BG1455">
        <f>HYPERLINK("C:\Users\jimmy\Desktop\Examens arbete\Kod\Ny mapp\remix_-copy-of-miljöbeslut.se-portal\Kontrollrapport tillsyn nov 2024.pdf", "Öppna PDF")</f>
        <v/>
      </c>
    </row>
    <row r="1456">
      <c r="A1456" t="inlineStr">
        <is>
          <t>KRAV-AUTO-001455</t>
        </is>
      </c>
      <c r="B1456" t="inlineStr">
        <is>
          <t>ADMIN-INDEX-2026-02-27-00000000125C043F57453246863FE664CAFE6A3F0700950291EA24F0614FB6ACEDB12BF0E31D00000000010C0000950291EA24F0614FB6ACEDB12BF0E31D00002087AEC60000</t>
        </is>
      </c>
      <c r="C1456" t="inlineStr">
        <is>
          <t>cmm4yuotb01xhcuqwswxsx8sy</t>
        </is>
      </c>
      <c r="D1456" t="inlineStr">
        <is>
          <t>http://localhost:8787/api/admin/requirements/documents/cmm4yuotb01xhcuqwswxsx8sy/view</t>
        </is>
      </c>
      <c r="E1456">
        <f>HYPERLÄNK("http://localhost:8787/api/admin/requirements/documents/cmm4yuotb01xhcuqwswxsx8sy/view";"Öppna PDF")</f>
        <v/>
      </c>
      <c r="F1456">
        <f>HYPERLINK("http://localhost:8787/api/admin/requirements/documents/cmm4yuotb01xhcuqwswxsx8sy/view","Open PDF")</f>
        <v/>
      </c>
      <c r="G1456" t="inlineStr">
        <is>
          <t>cmm55w57p0004cuisfrtpqly8</t>
        </is>
      </c>
      <c r="H1456" t="inlineStr">
        <is>
          <t>Beslutsvillkor</t>
        </is>
      </c>
      <c r="I1456" t="inlineStr">
        <is>
          <t>LagringsvolymTid</t>
        </is>
      </c>
      <c r="J1456" t="inlineStr">
        <is>
          <t>Maxmangd</t>
        </is>
      </c>
      <c r="K1456" t="inlineStr">
        <is>
          <t>Det hade inte varit några problem med höga vattennivåer i dammen eller bäcken, i samband med de stora vattenmängderna i närområdet i början på året.</t>
        </is>
      </c>
      <c r="L1456" t="inlineStr">
        <is>
          <t>Det hade inte varit några problem med höga vattennivåer i dammen eller bäcken, i samband med de stora vattenmängderna i närområdet i början på året.</t>
        </is>
      </c>
      <c r="M1456" t="inlineStr">
        <is>
          <t>BOR</t>
        </is>
      </c>
      <c r="N1456" t="inlineStr"/>
      <c r="O1456" t="inlineStr"/>
      <c r="P1456" t="inlineStr"/>
      <c r="Q1456" t="inlineStr"/>
      <c r="R1456" t="inlineStr">
        <is>
          <t>Alltid</t>
        </is>
      </c>
      <c r="S1456" t="inlineStr"/>
      <c r="T1456" t="inlineStr">
        <is>
          <t>26 70 00</t>
        </is>
      </c>
      <c r="U1456" t="inlineStr"/>
      <c r="V1456" t="inlineStr"/>
      <c r="W1456" t="inlineStr">
        <is>
          <t>Nej</t>
        </is>
      </c>
      <c r="X1456" t="inlineStr">
        <is>
          <t>Nej</t>
        </is>
      </c>
      <c r="Y1456" t="inlineStr">
        <is>
          <t>Nej</t>
        </is>
      </c>
      <c r="Z1456" t="inlineStr">
        <is>
          <t>Nej</t>
        </is>
      </c>
      <c r="AA1456" t="n">
        <v>4</v>
      </c>
      <c r="AB1456" t="inlineStr">
        <is>
          <t>Avfallsmangder och lagringstid</t>
        </is>
      </c>
      <c r="AC1456" t="inlineStr">
        <is>
          <t>Avfallsforteckning</t>
        </is>
      </c>
      <c r="AD1456" t="inlineStr">
        <is>
          <t>Nej</t>
        </is>
      </c>
      <c r="AE1456" t="inlineStr">
        <is>
          <t>Nej</t>
        </is>
      </c>
      <c r="AF1456" t="inlineStr">
        <is>
          <t>Ej behandlad</t>
        </is>
      </c>
      <c r="AG1456" t="inlineStr">
        <is>
          <t>AUTO_GENERERAD. Verifiera citat mot kallfil.</t>
        </is>
      </c>
      <c r="AH1456" t="inlineStr">
        <is>
          <t>MEDIUM</t>
        </is>
      </c>
      <c r="AI1456" t="inlineStr">
        <is>
          <t>AUTO</t>
        </is>
      </c>
      <c r="AJ1456" t="inlineStr">
        <is>
          <t>Nej</t>
        </is>
      </c>
      <c r="AK1456" t="inlineStr"/>
      <c r="AL1456" t="inlineStr"/>
      <c r="AM1456" t="inlineStr"/>
      <c r="AN1456" t="inlineStr"/>
      <c r="AO1456" t="inlineStr">
        <is>
          <t>cmm4yuotb01xhcuqwswxsx8sy</t>
        </is>
      </c>
      <c r="AP1456" t="inlineStr">
        <is>
          <t>http://localhost:8787/api/admin/requirements/documents/cmm4yuotb01xhcuqwswxsx8sy/view</t>
        </is>
      </c>
      <c r="AQ1456">
        <f>HYPERLÄNK("http://localhost:8787/api/admin/requirements/documents/cmm4yuotb01xhcuqwswxsx8sy/view";"Öppna PDF")</f>
        <v/>
      </c>
      <c r="AR1456">
        <f>HYPERLINK("http://localhost:8787/api/admin/requirements/documents/cmm4yuotb01xhcuqwswxsx8sy/view","Open PDF")</f>
        <v/>
      </c>
      <c r="AS1456" t="inlineStr">
        <is>
          <t>cmm55w57p0004cuisfrtpqly8</t>
        </is>
      </c>
      <c r="AT1456" t="inlineStr">
        <is>
          <t>cmm4xvu980000cuh4vj0usz09</t>
        </is>
      </c>
      <c r="AU1456" t="inlineStr">
        <is>
          <t>Hässleholms</t>
        </is>
      </c>
      <c r="AV1456" t="inlineStr">
        <is>
          <t>Kommun</t>
        </is>
      </c>
      <c r="AW1456" t="inlineStr">
        <is>
          <t>Hässleholms kommun</t>
        </is>
      </c>
      <c r="AX1456" t="inlineStr">
        <is>
          <t>2024-11</t>
        </is>
      </c>
      <c r="AY1456" t="inlineStr">
        <is>
          <t>Beslut</t>
        </is>
      </c>
      <c r="AZ1456" t="inlineStr">
        <is>
          <t>2026-02-03</t>
        </is>
      </c>
      <c r="BA1456" t="inlineStr">
        <is>
          <t>Kontrollrapport tillsyn nov 2024.pdf</t>
        </is>
      </c>
      <c r="BB1456" t="inlineStr">
        <is>
          <t>Sv: till registrator</t>
        </is>
      </c>
      <c r="BC1456" t="inlineStr">
        <is>
          <t>AUTO</t>
        </is>
      </c>
      <c r="BD1456" t="inlineStr"/>
      <c r="BE1456" t="inlineStr"/>
      <c r="BF1456" t="inlineStr">
        <is>
          <t>AUTO_GENERERAD. Bekrafta metadata mot kallfil.</t>
        </is>
      </c>
      <c r="BG1456">
        <f>HYPERLINK("C:\Users\jimmy\Desktop\Examens arbete\Kod\Ny mapp\remix_-copy-of-miljöbeslut.se-portal\Kontrollrapport tillsyn nov 2024.pdf", "Öppna PDF")</f>
        <v/>
      </c>
    </row>
    <row r="1457">
      <c r="A1457" t="inlineStr">
        <is>
          <t>KRAV-AUTO-001456</t>
        </is>
      </c>
      <c r="B1457" t="inlineStr">
        <is>
          <t>ADMIN-INDEX-2026-02-27-00000000125C043F57453246863FE664CAFE6A3F0700950291EA24F0614FB6ACEDB12BF0E31D00000000010C0000950291EA24F0614FB6ACEDB12BF0E31D00002087AEC60000</t>
        </is>
      </c>
      <c r="C1457" t="inlineStr">
        <is>
          <t>cmm4yuot601xbcuqw8avy6jsp</t>
        </is>
      </c>
      <c r="D1457" t="inlineStr">
        <is>
          <t>http://localhost:8787/api/admin/requirements/documents/cmm4yuot601xbcuqw8avy6jsp/view</t>
        </is>
      </c>
      <c r="E1457">
        <f>HYPERLÄNK("http://localhost:8787/api/admin/requirements/documents/cmm4yuot601xbcuqw8avy6jsp/view";"Öppna PDF")</f>
        <v/>
      </c>
      <c r="F1457">
        <f>HYPERLINK("http://localhost:8787/api/admin/requirements/documents/cmm4yuot601xbcuqw8avy6jsp/view","Open PDF")</f>
        <v/>
      </c>
      <c r="G1457" t="inlineStr">
        <is>
          <t>cmm55w57p0004cuisfrtpqly8</t>
        </is>
      </c>
      <c r="H1457" t="inlineStr">
        <is>
          <t>Beslutsvillkor</t>
        </is>
      </c>
      <c r="I1457" t="inlineStr">
        <is>
          <t>DagvattenLakvatten</t>
        </is>
      </c>
      <c r="J1457" t="inlineStr">
        <is>
          <t>Uppsamling</t>
        </is>
      </c>
      <c r="K1457" t="inlineStr">
        <is>
          <t>DATUM ANSVARIC 2018-09-25 A.OLSSON TORMESTORP 5:16, HÄSSLEHOLMS KOMMUN OMBYGGNAD AV SKJUTBANA DAGVATTENDAMM SKALA RITMINGSNUMMER 1:200/A1 RITNING 1</t>
        </is>
      </c>
      <c r="L1457" t="inlineStr">
        <is>
          <t>DATUM ANSVARIC 2018-09-25 A.OLSSON TORMESTORP 5:16, HÄSSLEHOLMS KOMMUN OMBYGGNAD AV SKJUTBANA DAGVATTENDAMM SKALA RITMINGSNUMMER 1:200/A1 RITNING 1</t>
        </is>
      </c>
      <c r="M1457" t="inlineStr">
        <is>
          <t>SKA</t>
        </is>
      </c>
      <c r="N1457" t="inlineStr"/>
      <c r="O1457" t="inlineStr">
        <is>
          <t>2018-09-25</t>
        </is>
      </c>
      <c r="P1457" t="inlineStr"/>
      <c r="Q1457" t="inlineStr"/>
      <c r="R1457" t="inlineStr">
        <is>
          <t>Vid nederbord och avrinning</t>
        </is>
      </c>
      <c r="S1457" t="inlineStr"/>
      <c r="T1457" t="inlineStr">
        <is>
          <t>30 15 15</t>
        </is>
      </c>
      <c r="U1457" t="inlineStr"/>
      <c r="V1457" t="inlineStr"/>
      <c r="W1457" t="inlineStr">
        <is>
          <t>Nej</t>
        </is>
      </c>
      <c r="X1457" t="inlineStr">
        <is>
          <t>Ja</t>
        </is>
      </c>
      <c r="Y1457" t="inlineStr">
        <is>
          <t>Ja</t>
        </is>
      </c>
      <c r="Z1457" t="inlineStr">
        <is>
          <t>Nej</t>
        </is>
      </c>
      <c r="AA1457" t="n">
        <v>6</v>
      </c>
      <c r="AB1457" t="inlineStr">
        <is>
          <t>Lakvattenhantering</t>
        </is>
      </c>
      <c r="AC1457" t="inlineStr">
        <is>
          <t>Flodesschema dagvatten-lakvatten</t>
        </is>
      </c>
      <c r="AD1457" t="inlineStr">
        <is>
          <t>Nej</t>
        </is>
      </c>
      <c r="AE1457" t="inlineStr">
        <is>
          <t>Nej</t>
        </is>
      </c>
      <c r="AF1457" t="inlineStr">
        <is>
          <t>Ej behandlad</t>
        </is>
      </c>
      <c r="AG1457" t="inlineStr">
        <is>
          <t>AUTO_GENERERAD. Verifiera citat mot kallfil.</t>
        </is>
      </c>
      <c r="AH1457" t="inlineStr">
        <is>
          <t>MEDIUM</t>
        </is>
      </c>
      <c r="AI1457" t="inlineStr">
        <is>
          <t>AUTO</t>
        </is>
      </c>
      <c r="AJ1457" t="inlineStr">
        <is>
          <t>Nej</t>
        </is>
      </c>
      <c r="AK1457" t="inlineStr"/>
      <c r="AL1457" t="inlineStr"/>
      <c r="AM1457" t="inlineStr"/>
      <c r="AN1457" t="inlineStr"/>
      <c r="AO1457" t="inlineStr">
        <is>
          <t>cmm4yuotb01xhcuqwswxsx8sy</t>
        </is>
      </c>
      <c r="AP1457" t="inlineStr">
        <is>
          <t>http://localhost:8787/api/admin/requirements/documents/cmm4yuotb01xhcuqwswxsx8sy/view</t>
        </is>
      </c>
      <c r="AQ1457">
        <f>HYPERLÄNK("http://localhost:8787/api/admin/requirements/documents/cmm4yuotb01xhcuqwswxsx8sy/view";"Öppna PDF")</f>
        <v/>
      </c>
      <c r="AR1457">
        <f>HYPERLINK("http://localhost:8787/api/admin/requirements/documents/cmm4yuotb01xhcuqwswxsx8sy/view","Open PDF")</f>
        <v/>
      </c>
      <c r="AS1457" t="inlineStr">
        <is>
          <t>cmm55w57p0004cuisfrtpqly8</t>
        </is>
      </c>
      <c r="AT1457" t="inlineStr">
        <is>
          <t>cmm4xvu980000cuh4vj0usz09</t>
        </is>
      </c>
      <c r="AU1457" t="inlineStr">
        <is>
          <t>Hässleholms</t>
        </is>
      </c>
      <c r="AV1457" t="inlineStr">
        <is>
          <t>Kommun</t>
        </is>
      </c>
      <c r="AW1457" t="inlineStr">
        <is>
          <t>Hässleholms kommun</t>
        </is>
      </c>
      <c r="AX1457" t="inlineStr">
        <is>
          <t>2024-11</t>
        </is>
      </c>
      <c r="AY1457" t="inlineStr">
        <is>
          <t>Beslut</t>
        </is>
      </c>
      <c r="AZ1457" t="inlineStr">
        <is>
          <t>2026-02-03</t>
        </is>
      </c>
      <c r="BA1457" t="inlineStr">
        <is>
          <t>Kontrollrapport tillsyn nov 2024.pdf</t>
        </is>
      </c>
      <c r="BB1457" t="inlineStr">
        <is>
          <t>Sv: till registrator</t>
        </is>
      </c>
      <c r="BC1457" t="inlineStr">
        <is>
          <t>AUTO</t>
        </is>
      </c>
      <c r="BD1457" t="inlineStr"/>
      <c r="BE1457" t="inlineStr"/>
      <c r="BF1457" t="inlineStr">
        <is>
          <t>AUTO_GENERERAD. Bekrafta metadata mot kallfil.</t>
        </is>
      </c>
      <c r="BG1457">
        <f>HYPERLINK("C:\Users\jimmy\Desktop\Examens arbete\Kod\Ny mapp\remix_-copy-of-miljöbeslut.se-portal\Kontrollrapport tillsyn nov 2024.pdf", "Öppna PDF")</f>
        <v/>
      </c>
    </row>
    <row r="1458">
      <c r="A1458" t="inlineStr">
        <is>
          <t>KRAV-AUTO-001457</t>
        </is>
      </c>
      <c r="B1458" t="inlineStr">
        <is>
          <t>ADMIN-INDEX-2026-02-27-00000000125C043F57453246863FE664CAFE6A3F0700950291EA24F0614FB6ACEDB12BF0E31D00000000010C0000950291EA24F0614FB6ACEDB12BF0E31D00002087AEC60000</t>
        </is>
      </c>
      <c r="C1458" t="inlineStr">
        <is>
          <t>cmm4yuot301x8cuqw6kknsnhn</t>
        </is>
      </c>
      <c r="D1458" t="inlineStr">
        <is>
          <t>http://localhost:8787/api/admin/requirements/documents/cmm4yuot301x8cuqw6kknsnhn/view</t>
        </is>
      </c>
      <c r="E1458">
        <f>HYPERLÄNK("http://localhost:8787/api/admin/requirements/documents/cmm4yuot301x8cuqw6kknsnhn/view";"Öppna PDF")</f>
        <v/>
      </c>
      <c r="F1458">
        <f>HYPERLINK("http://localhost:8787/api/admin/requirements/documents/cmm4yuot301x8cuqw6kknsnhn/view","Open PDF")</f>
        <v/>
      </c>
      <c r="G1458" t="inlineStr">
        <is>
          <t>cmm55w57p0004cuisfrtpqly8</t>
        </is>
      </c>
      <c r="H1458" t="inlineStr">
        <is>
          <t>Beslutsvillkor</t>
        </is>
      </c>
      <c r="I1458" t="inlineStr">
        <is>
          <t>DagvattenLakvatten</t>
        </is>
      </c>
      <c r="J1458" t="inlineStr">
        <is>
          <t>Uppsamling</t>
        </is>
      </c>
      <c r="K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8" t="inlineStr">
        <is>
          <t>SKA</t>
        </is>
      </c>
      <c r="N1458" t="inlineStr"/>
      <c r="O1458" t="inlineStr">
        <is>
          <t>2018-09-25</t>
        </is>
      </c>
      <c r="P1458" t="inlineStr"/>
      <c r="Q1458" t="inlineStr"/>
      <c r="R1458" t="inlineStr">
        <is>
          <t>Vid nederbord och avrinning</t>
        </is>
      </c>
      <c r="S1458" t="inlineStr"/>
      <c r="T1458" t="inlineStr"/>
      <c r="U1458" t="inlineStr"/>
      <c r="V1458" t="inlineStr"/>
      <c r="W1458" t="inlineStr">
        <is>
          <t>Nej</t>
        </is>
      </c>
      <c r="X1458" t="inlineStr">
        <is>
          <t>Ja</t>
        </is>
      </c>
      <c r="Y1458" t="inlineStr">
        <is>
          <t>Ja</t>
        </is>
      </c>
      <c r="Z1458" t="inlineStr">
        <is>
          <t>Nej</t>
        </is>
      </c>
      <c r="AA1458" t="n">
        <v>6</v>
      </c>
      <c r="AB1458" t="inlineStr">
        <is>
          <t>Lakvattenhantering</t>
        </is>
      </c>
      <c r="AC1458" t="inlineStr">
        <is>
          <t>Flodesschema dagvatten-lakvatten</t>
        </is>
      </c>
      <c r="AD1458" t="inlineStr">
        <is>
          <t>Nej</t>
        </is>
      </c>
      <c r="AE1458" t="inlineStr">
        <is>
          <t>Nej</t>
        </is>
      </c>
      <c r="AF1458" t="inlineStr">
        <is>
          <t>Ej behandlad</t>
        </is>
      </c>
      <c r="AG1458" t="inlineStr">
        <is>
          <t>AUTO_GENERERAD. Verifiera citat mot kallfil.</t>
        </is>
      </c>
      <c r="AH1458" t="inlineStr">
        <is>
          <t>MEDIUM</t>
        </is>
      </c>
      <c r="AI1458" t="inlineStr">
        <is>
          <t>AUTO</t>
        </is>
      </c>
      <c r="AJ1458" t="inlineStr">
        <is>
          <t>Nej</t>
        </is>
      </c>
      <c r="AK1458" t="inlineStr"/>
      <c r="AL1458" t="inlineStr"/>
      <c r="AM1458" t="inlineStr"/>
      <c r="AN1458" t="inlineStr"/>
      <c r="AO1458" t="inlineStr">
        <is>
          <t>cmm4yuotb01xhcuqwswxsx8sy</t>
        </is>
      </c>
      <c r="AP1458" t="inlineStr">
        <is>
          <t>http://localhost:8787/api/admin/requirements/documents/cmm4yuotb01xhcuqwswxsx8sy/view</t>
        </is>
      </c>
      <c r="AQ1458">
        <f>HYPERLÄNK("http://localhost:8787/api/admin/requirements/documents/cmm4yuotb01xhcuqwswxsx8sy/view";"Öppna PDF")</f>
        <v/>
      </c>
      <c r="AR1458">
        <f>HYPERLINK("http://localhost:8787/api/admin/requirements/documents/cmm4yuotb01xhcuqwswxsx8sy/view","Open PDF")</f>
        <v/>
      </c>
      <c r="AS1458" t="inlineStr">
        <is>
          <t>cmm55w57p0004cuisfrtpqly8</t>
        </is>
      </c>
      <c r="AT1458" t="inlineStr">
        <is>
          <t>cmm4xvu980000cuh4vj0usz09</t>
        </is>
      </c>
      <c r="AU1458" t="inlineStr">
        <is>
          <t>Hässleholms</t>
        </is>
      </c>
      <c r="AV1458" t="inlineStr">
        <is>
          <t>Kommun</t>
        </is>
      </c>
      <c r="AW1458" t="inlineStr">
        <is>
          <t>Hässleholms kommun</t>
        </is>
      </c>
      <c r="AX1458" t="inlineStr">
        <is>
          <t>2024-11</t>
        </is>
      </c>
      <c r="AY1458" t="inlineStr">
        <is>
          <t>Beslut</t>
        </is>
      </c>
      <c r="AZ1458" t="inlineStr">
        <is>
          <t>2026-02-03</t>
        </is>
      </c>
      <c r="BA1458" t="inlineStr">
        <is>
          <t>Kontrollrapport tillsyn nov 2024.pdf</t>
        </is>
      </c>
      <c r="BB1458" t="inlineStr">
        <is>
          <t>Sv: till registrator</t>
        </is>
      </c>
      <c r="BC1458" t="inlineStr">
        <is>
          <t>AUTO</t>
        </is>
      </c>
      <c r="BD1458" t="inlineStr"/>
      <c r="BE1458" t="inlineStr"/>
      <c r="BF1458" t="inlineStr">
        <is>
          <t>AUTO_GENERERAD. Bekrafta metadata mot kallfil.</t>
        </is>
      </c>
      <c r="BG1458">
        <f>HYPERLINK("C:\Users\jimmy\Desktop\Examens arbete\Kod\Ny mapp\remix_-copy-of-miljöbeslut.se-portal\Kontrollrapport tillsyn nov 2024.pdf", "Öppna PDF")</f>
        <v/>
      </c>
    </row>
    <row r="1459">
      <c r="A1459" t="inlineStr">
        <is>
          <t>KRAV-AUTO-001458</t>
        </is>
      </c>
      <c r="B1459" t="inlineStr">
        <is>
          <t>ADMIN-INDEX-2026-02-27-00000000125C043F57453246863FE664CAFE6A3F0700950291EA24F0614FB6ACEDB12BF0E31D00000000010C0000950291EA24F0614FB6ACEDB12BF0E31D00002087AEC60000</t>
        </is>
      </c>
      <c r="C1459" t="inlineStr">
        <is>
          <t>cmm4yuot001x5cuqw5z2o96ks</t>
        </is>
      </c>
      <c r="D1459" t="inlineStr">
        <is>
          <t>http://localhost:8787/api/admin/requirements/documents/cmm4yuot001x5cuqw5z2o96ks/view</t>
        </is>
      </c>
      <c r="E1459">
        <f>HYPERLÄNK("http://localhost:8787/api/admin/requirements/documents/cmm4yuot001x5cuqw5z2o96ks/view";"Öppna PDF")</f>
        <v/>
      </c>
      <c r="F1459">
        <f>HYPERLINK("http://localhost:8787/api/admin/requirements/documents/cmm4yuot001x5cuqw5z2o96ks/view","Open PDF")</f>
        <v/>
      </c>
      <c r="G1459" t="inlineStr">
        <is>
          <t>cmm55w57p0004cuisfrtpqly8</t>
        </is>
      </c>
      <c r="H1459" t="inlineStr">
        <is>
          <t>Beslutsvillkor</t>
        </is>
      </c>
      <c r="I1459" t="inlineStr">
        <is>
          <t>DagvattenLakvatten</t>
        </is>
      </c>
      <c r="J1459" t="inlineStr">
        <is>
          <t>Uppsamling</t>
        </is>
      </c>
      <c r="K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9" t="inlineStr">
        <is>
          <t>SKA</t>
        </is>
      </c>
      <c r="N1459" t="inlineStr"/>
      <c r="O1459" t="inlineStr"/>
      <c r="P1459" t="inlineStr">
        <is>
          <t>Arlig</t>
        </is>
      </c>
      <c r="Q1459" t="inlineStr"/>
      <c r="R1459" t="inlineStr">
        <is>
          <t>Vid nederbord och avrinning</t>
        </is>
      </c>
      <c r="S1459" t="inlineStr"/>
      <c r="T1459" t="inlineStr">
        <is>
          <t>200601</t>
        </is>
      </c>
      <c r="U1459" t="inlineStr"/>
      <c r="V1459" t="inlineStr">
        <is>
          <t>5 ar</t>
        </is>
      </c>
      <c r="W1459" t="inlineStr">
        <is>
          <t>Nej</t>
        </is>
      </c>
      <c r="X1459" t="inlineStr">
        <is>
          <t>Ja</t>
        </is>
      </c>
      <c r="Y1459" t="inlineStr">
        <is>
          <t>Ja</t>
        </is>
      </c>
      <c r="Z1459" t="inlineStr">
        <is>
          <t>Nej</t>
        </is>
      </c>
      <c r="AA1459" t="n">
        <v>6</v>
      </c>
      <c r="AB1459" t="inlineStr">
        <is>
          <t>Lakvattenhantering</t>
        </is>
      </c>
      <c r="AC1459" t="inlineStr">
        <is>
          <t>Flodesschema dagvatten-lakvatten</t>
        </is>
      </c>
      <c r="AD1459" t="inlineStr">
        <is>
          <t>Nej</t>
        </is>
      </c>
      <c r="AE1459" t="inlineStr">
        <is>
          <t>Nej</t>
        </is>
      </c>
      <c r="AF1459" t="inlineStr">
        <is>
          <t>Ej behandlad</t>
        </is>
      </c>
      <c r="AG1459" t="inlineStr">
        <is>
          <t>AUTO_GENERERAD. Verifiera citat mot kallfil.</t>
        </is>
      </c>
      <c r="AH1459" t="inlineStr">
        <is>
          <t>LOW</t>
        </is>
      </c>
      <c r="AI1459" t="inlineStr">
        <is>
          <t>AUTO</t>
        </is>
      </c>
      <c r="AJ1459" t="inlineStr">
        <is>
          <t>Nej</t>
        </is>
      </c>
      <c r="AK1459" t="inlineStr"/>
      <c r="AL1459" t="inlineStr"/>
      <c r="AM1459" t="inlineStr"/>
      <c r="AN1459" t="inlineStr"/>
      <c r="AO1459" t="inlineStr">
        <is>
          <t>cmm4yuotb01xhcuqwswxsx8sy</t>
        </is>
      </c>
      <c r="AP1459" t="inlineStr">
        <is>
          <t>http://localhost:8787/api/admin/requirements/documents/cmm4yuotb01xhcuqwswxsx8sy/view</t>
        </is>
      </c>
      <c r="AQ1459">
        <f>HYPERLÄNK("http://localhost:8787/api/admin/requirements/documents/cmm4yuotb01xhcuqwswxsx8sy/view";"Öppna PDF")</f>
        <v/>
      </c>
      <c r="AR1459">
        <f>HYPERLINK("http://localhost:8787/api/admin/requirements/documents/cmm4yuotb01xhcuqwswxsx8sy/view","Open PDF")</f>
        <v/>
      </c>
      <c r="AS1459" t="inlineStr">
        <is>
          <t>cmm55w57p0004cuisfrtpqly8</t>
        </is>
      </c>
      <c r="AT1459" t="inlineStr">
        <is>
          <t>cmm4xvu980000cuh4vj0usz09</t>
        </is>
      </c>
      <c r="AU1459" t="inlineStr">
        <is>
          <t>Hässleholms</t>
        </is>
      </c>
      <c r="AV1459" t="inlineStr">
        <is>
          <t>Kommun</t>
        </is>
      </c>
      <c r="AW1459" t="inlineStr">
        <is>
          <t>Hässleholms kommun</t>
        </is>
      </c>
      <c r="AX1459" t="inlineStr">
        <is>
          <t>2024-11</t>
        </is>
      </c>
      <c r="AY1459" t="inlineStr">
        <is>
          <t>Beslut</t>
        </is>
      </c>
      <c r="AZ1459" t="inlineStr">
        <is>
          <t>2026-02-03</t>
        </is>
      </c>
      <c r="BA1459" t="inlineStr">
        <is>
          <t>Kontrollrapport tillsyn nov 2024.pdf</t>
        </is>
      </c>
      <c r="BB1459" t="inlineStr">
        <is>
          <t>Sv: till registrator</t>
        </is>
      </c>
      <c r="BC1459" t="inlineStr">
        <is>
          <t>AUTO</t>
        </is>
      </c>
      <c r="BD1459" t="inlineStr"/>
      <c r="BE1459" t="inlineStr"/>
      <c r="BF1459" t="inlineStr">
        <is>
          <t>AUTO_GENERERAD. Bekrafta metadata mot kallfil.</t>
        </is>
      </c>
      <c r="BG1459">
        <f>HYPERLINK("C:\Users\jimmy\Desktop\Examens arbete\Kod\Ny mapp\remix_-copy-of-miljöbeslut.se-portal\Kontrollrapport tillsyn nov 2024.pdf", "Öppna PDF")</f>
        <v/>
      </c>
    </row>
    <row r="1460">
      <c r="A1460" t="inlineStr">
        <is>
          <t>KRAV-AUTO-001459</t>
        </is>
      </c>
      <c r="B1460" t="inlineStr">
        <is>
          <t>ADMIN-INDEX-2026-02-27-00000000125C043F57453246863FE664CAFE6A3F0700950291EA24F0614FB6ACEDB12BF0E31D00000000010C0000950291EA24F0614FB6ACEDB12BF0E31D00002087AECD0000</t>
        </is>
      </c>
      <c r="C1460" t="inlineStr">
        <is>
          <t>cmm4yuooy01t8cuqw3m1ag4wq</t>
        </is>
      </c>
      <c r="D1460" t="inlineStr">
        <is>
          <t>http://localhost:8787/api/admin/requirements/documents/cmm4yuooy01t8cuqw3m1ag4wq/view</t>
        </is>
      </c>
      <c r="E1460">
        <f>HYPERLÄNK("http://localhost:8787/api/admin/requirements/documents/cmm4yuooy01t8cuqw3m1ag4wq/view";"Öppna PDF")</f>
        <v/>
      </c>
      <c r="F1460">
        <f>HYPERLINK("http://localhost:8787/api/admin/requirements/documents/cmm4yuooy01t8cuqw3m1ag4wq/view","Open PDF")</f>
        <v/>
      </c>
      <c r="G1460" t="inlineStr">
        <is>
          <t>cmm55w57p0004cuisfrtpqly8</t>
        </is>
      </c>
      <c r="H1460" t="inlineStr">
        <is>
          <t>Informationskrav</t>
        </is>
      </c>
      <c r="I1460" t="inlineStr">
        <is>
          <t>DagvattenLakvatten</t>
        </is>
      </c>
      <c r="J1460" t="inlineStr">
        <is>
          <t>Uppsamling</t>
        </is>
      </c>
      <c r="K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0" t="inlineStr">
        <is>
          <t>SKA</t>
        </is>
      </c>
      <c r="N1460" t="inlineStr"/>
      <c r="O1460" t="inlineStr"/>
      <c r="P1460" t="inlineStr"/>
      <c r="Q1460" t="inlineStr"/>
      <c r="R1460" t="inlineStr">
        <is>
          <t>Vid nederbord och avrinning</t>
        </is>
      </c>
      <c r="S1460" t="inlineStr"/>
      <c r="T1460" t="inlineStr">
        <is>
          <t>212000</t>
        </is>
      </c>
      <c r="U1460" t="inlineStr"/>
      <c r="V1460" t="inlineStr"/>
      <c r="W1460" t="inlineStr">
        <is>
          <t>Nej</t>
        </is>
      </c>
      <c r="X1460" t="inlineStr">
        <is>
          <t>Ja</t>
        </is>
      </c>
      <c r="Y1460" t="inlineStr">
        <is>
          <t>Ja</t>
        </is>
      </c>
      <c r="Z1460" t="inlineStr">
        <is>
          <t>Nej</t>
        </is>
      </c>
      <c r="AA1460" t="n">
        <v>6</v>
      </c>
      <c r="AB1460" t="inlineStr">
        <is>
          <t>Lakvattenhantering</t>
        </is>
      </c>
      <c r="AC1460" t="inlineStr">
        <is>
          <t>Flodesschema dagvatten-lakvatten</t>
        </is>
      </c>
      <c r="AD1460" t="inlineStr">
        <is>
          <t>Nej</t>
        </is>
      </c>
      <c r="AE1460" t="inlineStr">
        <is>
          <t>Nej</t>
        </is>
      </c>
      <c r="AF1460" t="inlineStr">
        <is>
          <t>Ej behandlad</t>
        </is>
      </c>
      <c r="AG1460" t="inlineStr">
        <is>
          <t>AUTO_GENERERAD. Verifiera citat mot kallfil.</t>
        </is>
      </c>
      <c r="AH1460" t="inlineStr">
        <is>
          <t>MEDIUM</t>
        </is>
      </c>
      <c r="AI1460" t="inlineStr">
        <is>
          <t>AUTO</t>
        </is>
      </c>
      <c r="AJ1460" t="inlineStr">
        <is>
          <t>Nej</t>
        </is>
      </c>
      <c r="AK1460" t="inlineStr"/>
      <c r="AL1460" t="inlineStr"/>
      <c r="AM1460" t="inlineStr"/>
      <c r="AN1460" t="inlineStr"/>
      <c r="AO1460" t="inlineStr">
        <is>
          <t>cmm4yuooy01t8cuqw3m1ag4wq</t>
        </is>
      </c>
      <c r="AP1460" t="inlineStr">
        <is>
          <t>http://localhost:8787/api/admin/requirements/documents/cmm4yuooy01t8cuqw3m1ag4wq/view</t>
        </is>
      </c>
      <c r="AQ1460">
        <f>HYPERLÄNK("http://localhost:8787/api/admin/requirements/documents/cmm4yuooy01t8cuqw3m1ag4wq/view";"Öppna PDF")</f>
        <v/>
      </c>
      <c r="AR1460">
        <f>HYPERLINK("http://localhost:8787/api/admin/requirements/documents/cmm4yuooy01t8cuqw3m1ag4wq/view","Open PDF")</f>
        <v/>
      </c>
      <c r="AS1460" t="inlineStr">
        <is>
          <t>cmm55w57p0004cuisfrtpqly8</t>
        </is>
      </c>
      <c r="AT1460" t="inlineStr">
        <is>
          <t>cmm4xvu980000cuh4vj0usz09</t>
        </is>
      </c>
      <c r="AU1460" t="inlineStr">
        <is>
          <t>pdf Karlstads</t>
        </is>
      </c>
      <c r="AV1460" t="inlineStr">
        <is>
          <t>Kommun</t>
        </is>
      </c>
      <c r="AW1460" t="inlineStr">
        <is>
          <t>pdf Karlstads kommun</t>
        </is>
      </c>
      <c r="AX1460" t="inlineStr">
        <is>
          <t>2025-3584</t>
        </is>
      </c>
      <c r="AY1460" t="inlineStr">
        <is>
          <t>Anmalan</t>
        </is>
      </c>
      <c r="AZ1460" t="inlineStr">
        <is>
          <t>2026-02-03</t>
        </is>
      </c>
      <c r="BA1460" t="inlineStr">
        <is>
          <t>Anmälningsbeslut.pdf</t>
        </is>
      </c>
      <c r="BB1460" t="inlineStr">
        <is>
          <t>VB:  Begäran om utlämnande av allmän handling – Anmälningar och beslut rörande mellanlagring av avfall samt anläggning av ytor</t>
        </is>
      </c>
      <c r="BC1460" t="inlineStr">
        <is>
          <t>AUTO</t>
        </is>
      </c>
      <c r="BD1460" t="inlineStr"/>
      <c r="BE1460" t="inlineStr"/>
      <c r="BF1460" t="inlineStr">
        <is>
          <t>AUTO_GENERERAD. Bekrafta metadata mot kallfil.</t>
        </is>
      </c>
      <c r="BG1460">
        <f>HYPERLINK("C:\Users\jimmy\Desktop\Examens arbete\Kod\Ny mapp\remix_-copy-of-miljöbeslut.se-portal\Anmälningsbeslut.pdf", "Öppna PDF")</f>
        <v/>
      </c>
    </row>
    <row r="1461">
      <c r="A1461" t="inlineStr">
        <is>
          <t>KRAV-AUTO-001460</t>
        </is>
      </c>
      <c r="B1461" t="inlineStr">
        <is>
          <t>ADMIN-INDEX-2026-02-27-00000000125C043F57453246863FE664CAFE6A3F0700950291EA24F0614FB6ACEDB12BF0E31D00000000010C0000950291EA24F0614FB6ACEDB12BF0E31D00002087AECD0000</t>
        </is>
      </c>
      <c r="C1461" t="inlineStr">
        <is>
          <t>cmm4yuooy01t8cuqw3m1ag4wq</t>
        </is>
      </c>
      <c r="D1461" t="inlineStr">
        <is>
          <t>http://localhost:8787/api/admin/requirements/documents/cmm4yuooy01t8cuqw3m1ag4wq/view</t>
        </is>
      </c>
      <c r="E1461">
        <f>HYPERLÄNK("http://localhost:8787/api/admin/requirements/documents/cmm4yuooy01t8cuqw3m1ag4wq/view";"Öppna PDF")</f>
        <v/>
      </c>
      <c r="F1461">
        <f>HYPERLINK("http://localhost:8787/api/admin/requirements/documents/cmm4yuooy01t8cuqw3m1ag4wq/view","Open PDF")</f>
        <v/>
      </c>
      <c r="G1461" t="inlineStr">
        <is>
          <t>cmm55w57p0004cuisfrtpqly8</t>
        </is>
      </c>
      <c r="H1461" t="inlineStr">
        <is>
          <t>Informationskrav</t>
        </is>
      </c>
      <c r="I1461" t="inlineStr">
        <is>
          <t>Riskhantering</t>
        </is>
      </c>
      <c r="J1461" t="inlineStr">
        <is>
          <t>Riskkontroll</t>
        </is>
      </c>
      <c r="K1461" t="inlineStr">
        <is>
          <t>Vid risk för damning ska vattenbegjutning ske, alternativt omedelbar täckning av massorna med en tät duk.</t>
        </is>
      </c>
      <c r="L1461" t="inlineStr">
        <is>
          <t>Vid risk för damning ska vattenbegjutning ske, alternativt omedelbar täckning av massorna med en tät duk.</t>
        </is>
      </c>
      <c r="M1461" t="inlineStr">
        <is>
          <t>SKA</t>
        </is>
      </c>
      <c r="N1461" t="inlineStr"/>
      <c r="O1461" t="inlineStr"/>
      <c r="P1461" t="inlineStr"/>
      <c r="Q1461" t="inlineStr"/>
      <c r="R1461" t="inlineStr">
        <is>
          <t>Vid risk for incident</t>
        </is>
      </c>
      <c r="S1461" t="inlineStr"/>
      <c r="T1461" t="inlineStr">
        <is>
          <t>212000</t>
        </is>
      </c>
      <c r="U1461" t="inlineStr"/>
      <c r="V1461" t="inlineStr"/>
      <c r="W1461" t="inlineStr">
        <is>
          <t>Nej</t>
        </is>
      </c>
      <c r="X1461" t="inlineStr">
        <is>
          <t>Nej</t>
        </is>
      </c>
      <c r="Y1461" t="inlineStr">
        <is>
          <t>Ja</t>
        </is>
      </c>
      <c r="Z1461" t="inlineStr">
        <is>
          <t>Ja</t>
        </is>
      </c>
      <c r="AA1461" t="n">
        <v>8</v>
      </c>
      <c r="AB1461" t="inlineStr">
        <is>
          <t>Riskhantering</t>
        </is>
      </c>
      <c r="AC1461" t="inlineStr">
        <is>
          <t>Risk-PM</t>
        </is>
      </c>
      <c r="AD1461" t="inlineStr">
        <is>
          <t>Nej</t>
        </is>
      </c>
      <c r="AE1461" t="inlineStr">
        <is>
          <t>Nej</t>
        </is>
      </c>
      <c r="AF1461" t="inlineStr">
        <is>
          <t>Ej behandlad</t>
        </is>
      </c>
      <c r="AG1461" t="inlineStr">
        <is>
          <t>AUTO_GENERERAD. Verifiera citat mot kallfil.</t>
        </is>
      </c>
      <c r="AH1461" t="inlineStr">
        <is>
          <t>MEDIUM</t>
        </is>
      </c>
      <c r="AI1461" t="inlineStr">
        <is>
          <t>AUTO</t>
        </is>
      </c>
      <c r="AJ1461" t="inlineStr">
        <is>
          <t>Nej</t>
        </is>
      </c>
      <c r="AK1461" t="inlineStr"/>
      <c r="AL1461" t="inlineStr"/>
      <c r="AM1461" t="inlineStr"/>
      <c r="AN1461" t="inlineStr"/>
      <c r="AO1461" t="inlineStr">
        <is>
          <t>cmm4yuooy01t8cuqw3m1ag4wq</t>
        </is>
      </c>
      <c r="AP1461" t="inlineStr">
        <is>
          <t>http://localhost:8787/api/admin/requirements/documents/cmm4yuooy01t8cuqw3m1ag4wq/view</t>
        </is>
      </c>
      <c r="AQ1461">
        <f>HYPERLÄNK("http://localhost:8787/api/admin/requirements/documents/cmm4yuooy01t8cuqw3m1ag4wq/view";"Öppna PDF")</f>
        <v/>
      </c>
      <c r="AR1461">
        <f>HYPERLINK("http://localhost:8787/api/admin/requirements/documents/cmm4yuooy01t8cuqw3m1ag4wq/view","Open PDF")</f>
        <v/>
      </c>
      <c r="AS1461" t="inlineStr">
        <is>
          <t>cmm55w57p0004cuisfrtpqly8</t>
        </is>
      </c>
      <c r="AT1461" t="inlineStr">
        <is>
          <t>cmm4xvu980000cuh4vj0usz09</t>
        </is>
      </c>
      <c r="AU1461" t="inlineStr">
        <is>
          <t>pdf Karlstads</t>
        </is>
      </c>
      <c r="AV1461" t="inlineStr">
        <is>
          <t>Kommun</t>
        </is>
      </c>
      <c r="AW1461" t="inlineStr">
        <is>
          <t>pdf Karlstads kommun</t>
        </is>
      </c>
      <c r="AX1461" t="inlineStr">
        <is>
          <t>2025-3584</t>
        </is>
      </c>
      <c r="AY1461" t="inlineStr">
        <is>
          <t>Anmalan</t>
        </is>
      </c>
      <c r="AZ1461" t="inlineStr">
        <is>
          <t>2026-02-03</t>
        </is>
      </c>
      <c r="BA1461" t="inlineStr">
        <is>
          <t>Anmälningsbeslut.pdf</t>
        </is>
      </c>
      <c r="BB1461" t="inlineStr">
        <is>
          <t>VB:  Begäran om utlämnande av allmän handling – Anmälningar och beslut rörande mellanlagring av avfall samt anläggning av ytor</t>
        </is>
      </c>
      <c r="BC1461" t="inlineStr">
        <is>
          <t>AUTO</t>
        </is>
      </c>
      <c r="BD1461" t="inlineStr"/>
      <c r="BE1461" t="inlineStr"/>
      <c r="BF1461" t="inlineStr">
        <is>
          <t>AUTO_GENERERAD. Bekrafta metadata mot kallfil.</t>
        </is>
      </c>
      <c r="BG1461">
        <f>HYPERLINK("C:\Users\jimmy\Desktop\Examens arbete\Kod\Ny mapp\remix_-copy-of-miljöbeslut.se-portal\Anmälningsbeslut.pdf", "Öppna PDF")</f>
        <v/>
      </c>
    </row>
    <row r="1462">
      <c r="A1462" t="inlineStr">
        <is>
          <t>KRAV-AUTO-001461</t>
        </is>
      </c>
      <c r="B1462" t="inlineStr">
        <is>
          <t>ADMIN-INDEX-2026-02-27-00000000125C043F57453246863FE664CAFE6A3F0700950291EA24F0614FB6ACEDB12BF0E31D00000000010C0000950291EA24F0614FB6ACEDB12BF0E31D00002087AECD0000</t>
        </is>
      </c>
      <c r="C1462" t="inlineStr">
        <is>
          <t>cmm4yuooy01t8cuqw3m1ag4wq</t>
        </is>
      </c>
      <c r="D1462" t="inlineStr">
        <is>
          <t>http://localhost:8787/api/admin/requirements/documents/cmm4yuooy01t8cuqw3m1ag4wq/view</t>
        </is>
      </c>
      <c r="E1462">
        <f>HYPERLÄNK("http://localhost:8787/api/admin/requirements/documents/cmm4yuooy01t8cuqw3m1ag4wq/view";"Öppna PDF")</f>
        <v/>
      </c>
      <c r="F1462">
        <f>HYPERLINK("http://localhost:8787/api/admin/requirements/documents/cmm4yuooy01t8cuqw3m1ag4wq/view","Open PDF")</f>
        <v/>
      </c>
      <c r="G1462" t="inlineStr">
        <is>
          <t>cmm55w57p0004cuisfrtpqly8</t>
        </is>
      </c>
      <c r="H1462" t="inlineStr">
        <is>
          <t>Informationskrav</t>
        </is>
      </c>
      <c r="I1462" t="inlineStr">
        <is>
          <t>Ytkonstruktion</t>
        </is>
      </c>
      <c r="J1462" t="inlineStr">
        <is>
          <t>Tat yta</t>
        </is>
      </c>
      <c r="K1462" t="inlineStr">
        <is>
          <t>Information Tänk på att det avfall som används för uppbyggnaden ska ha den kvalitet som behövs för att få bra bärighet i den konstruktion som ska byggas upp.</t>
        </is>
      </c>
      <c r="L1462" t="inlineStr">
        <is>
          <t>Information Tänk på att det avfall som används för uppbyggnaden ska ha den kvalitet som behövs för att få bra bärighet i den konstruktion som ska byggas upp.</t>
        </is>
      </c>
      <c r="M1462" t="inlineStr">
        <is>
          <t>SKA</t>
        </is>
      </c>
      <c r="N1462" t="inlineStr"/>
      <c r="O1462" t="inlineStr"/>
      <c r="P1462" t="inlineStr"/>
      <c r="Q1462" t="inlineStr"/>
      <c r="R1462" t="inlineStr">
        <is>
          <t>Vid mellanlagring av avfall</t>
        </is>
      </c>
      <c r="S1462" t="inlineStr"/>
      <c r="T1462" t="inlineStr">
        <is>
          <t>212000</t>
        </is>
      </c>
      <c r="U1462" t="inlineStr"/>
      <c r="V1462" t="inlineStr"/>
      <c r="W1462" t="inlineStr">
        <is>
          <t>Ja</t>
        </is>
      </c>
      <c r="X1462" t="inlineStr">
        <is>
          <t>Nej</t>
        </is>
      </c>
      <c r="Y1462" t="inlineStr">
        <is>
          <t>Nej</t>
        </is>
      </c>
      <c r="Z1462" t="inlineStr">
        <is>
          <t>Nej</t>
        </is>
      </c>
      <c r="AA1462" t="n">
        <v>5</v>
      </c>
      <c r="AB1462" t="inlineStr">
        <is>
          <t>Teknisk beskrivning av platta</t>
        </is>
      </c>
      <c r="AC1462" t="inlineStr">
        <is>
          <t>Teknisk ritning platta</t>
        </is>
      </c>
      <c r="AD1462" t="inlineStr">
        <is>
          <t>Nej</t>
        </is>
      </c>
      <c r="AE1462" t="inlineStr">
        <is>
          <t>Nej</t>
        </is>
      </c>
      <c r="AF1462" t="inlineStr">
        <is>
          <t>Ej behandlad</t>
        </is>
      </c>
      <c r="AG1462" t="inlineStr">
        <is>
          <t>AUTO_GENERERAD. Verifiera citat mot kallfil.</t>
        </is>
      </c>
      <c r="AH1462" t="inlineStr">
        <is>
          <t>MEDIUM</t>
        </is>
      </c>
      <c r="AI1462" t="inlineStr">
        <is>
          <t>AUTO</t>
        </is>
      </c>
      <c r="AJ1462" t="inlineStr">
        <is>
          <t>Nej</t>
        </is>
      </c>
      <c r="AK1462" t="inlineStr"/>
      <c r="AL1462" t="inlineStr"/>
      <c r="AM1462" t="inlineStr"/>
      <c r="AN1462" t="inlineStr"/>
      <c r="AO1462" t="inlineStr">
        <is>
          <t>cmm4yuooy01t8cuqw3m1ag4wq</t>
        </is>
      </c>
      <c r="AP1462" t="inlineStr">
        <is>
          <t>http://localhost:8787/api/admin/requirements/documents/cmm4yuooy01t8cuqw3m1ag4wq/view</t>
        </is>
      </c>
      <c r="AQ1462">
        <f>HYPERLÄNK("http://localhost:8787/api/admin/requirements/documents/cmm4yuooy01t8cuqw3m1ag4wq/view";"Öppna PDF")</f>
        <v/>
      </c>
      <c r="AR1462">
        <f>HYPERLINK("http://localhost:8787/api/admin/requirements/documents/cmm4yuooy01t8cuqw3m1ag4wq/view","Open PDF")</f>
        <v/>
      </c>
      <c r="AS1462" t="inlineStr">
        <is>
          <t>cmm55w57p0004cuisfrtpqly8</t>
        </is>
      </c>
      <c r="AT1462" t="inlineStr">
        <is>
          <t>cmm4xvu980000cuh4vj0usz09</t>
        </is>
      </c>
      <c r="AU1462" t="inlineStr">
        <is>
          <t>pdf Karlstads</t>
        </is>
      </c>
      <c r="AV1462" t="inlineStr">
        <is>
          <t>Kommun</t>
        </is>
      </c>
      <c r="AW1462" t="inlineStr">
        <is>
          <t>pdf Karlstads kommun</t>
        </is>
      </c>
      <c r="AX1462" t="inlineStr">
        <is>
          <t>2025-3584</t>
        </is>
      </c>
      <c r="AY1462" t="inlineStr">
        <is>
          <t>Anmalan</t>
        </is>
      </c>
      <c r="AZ1462" t="inlineStr">
        <is>
          <t>2026-02-03</t>
        </is>
      </c>
      <c r="BA1462" t="inlineStr">
        <is>
          <t>Anmälningsbeslut.pdf</t>
        </is>
      </c>
      <c r="BB1462" t="inlineStr">
        <is>
          <t>VB:  Begäran om utlämnande av allmän handling – Anmälningar och beslut rörande mellanlagring av avfall samt anläggning av ytor</t>
        </is>
      </c>
      <c r="BC1462" t="inlineStr">
        <is>
          <t>AUTO</t>
        </is>
      </c>
      <c r="BD1462" t="inlineStr"/>
      <c r="BE1462" t="inlineStr"/>
      <c r="BF1462" t="inlineStr">
        <is>
          <t>AUTO_GENERERAD. Bekrafta metadata mot kallfil.</t>
        </is>
      </c>
      <c r="BG1462">
        <f>HYPERLINK("C:\Users\jimmy\Desktop\Examens arbete\Kod\Ny mapp\remix_-copy-of-miljöbeslut.se-portal\Anmälningsbeslut.pdf", "Öppna PDF")</f>
        <v/>
      </c>
    </row>
    <row r="1463">
      <c r="A1463" t="inlineStr">
        <is>
          <t>KRAV-AUTO-001462</t>
        </is>
      </c>
      <c r="B1463" t="inlineStr">
        <is>
          <t>ADMIN-INDEX-2026-02-27-00000000125C043F57453246863FE664CAFE6A3F0700950291EA24F0614FB6ACEDB12BF0E31D00000000010C0000950291EA24F0614FB6ACEDB12BF0E31D00002087AECD0000</t>
        </is>
      </c>
      <c r="C1463" t="inlineStr">
        <is>
          <t>cmm4yuoov01t5cuqwijmj37wr</t>
        </is>
      </c>
      <c r="D1463" t="inlineStr">
        <is>
          <t>http://localhost:8787/api/admin/requirements/documents/cmm4yuoov01t5cuqwijmj37wr/view</t>
        </is>
      </c>
      <c r="E1463">
        <f>HYPERLÄNK("http://localhost:8787/api/admin/requirements/documents/cmm4yuoov01t5cuqwijmj37wr/view";"Öppna PDF")</f>
        <v/>
      </c>
      <c r="F1463">
        <f>HYPERLINK("http://localhost:8787/api/admin/requirements/documents/cmm4yuoov01t5cuqwijmj37wr/view","Open PDF")</f>
        <v/>
      </c>
      <c r="G1463" t="inlineStr">
        <is>
          <t>cmm55w57p0004cuisfrtpqly8</t>
        </is>
      </c>
      <c r="H1463" t="inlineStr">
        <is>
          <t>Informationskrav</t>
        </is>
      </c>
      <c r="I1463" t="inlineStr">
        <is>
          <t>MiljopaverkanForsiktighet</t>
        </is>
      </c>
      <c r="J1463" t="inlineStr">
        <is>
          <t>Skyddsatgarder</t>
        </is>
      </c>
      <c r="K1463" t="inlineStr">
        <is>
          <t>Beskriv syftet med den nya anläggningen som avfallet ska användas till Syftet med att tippa dem inom fastigheten är att fylla upp för en att anlägga en ridbana på en del av fastigheten Hallanda 1:2.</t>
        </is>
      </c>
      <c r="L1463" t="inlineStr">
        <is>
          <t>Beskriv syftet med den nya anläggningen som avfallet ska användas till Syftet med att tippa dem inom fastigheten är att fylla upp för en att anlägga en ridbana på en del av fastigheten Hallanda 1:2.</t>
        </is>
      </c>
      <c r="M1463" t="inlineStr">
        <is>
          <t>SKA</t>
        </is>
      </c>
      <c r="N1463" t="inlineStr"/>
      <c r="O1463" t="inlineStr"/>
      <c r="P1463" t="inlineStr"/>
      <c r="Q1463" t="inlineStr"/>
      <c r="R1463" t="inlineStr">
        <is>
          <t>Alltid</t>
        </is>
      </c>
      <c r="S1463" t="inlineStr"/>
      <c r="T1463" t="inlineStr">
        <is>
          <t>251107</t>
        </is>
      </c>
      <c r="U1463" t="inlineStr"/>
      <c r="V1463" t="inlineStr"/>
      <c r="W1463" t="inlineStr">
        <is>
          <t>Nej</t>
        </is>
      </c>
      <c r="X1463" t="inlineStr">
        <is>
          <t>Nej</t>
        </is>
      </c>
      <c r="Y1463" t="inlineStr">
        <is>
          <t>Nej</t>
        </is>
      </c>
      <c r="Z1463" t="inlineStr">
        <is>
          <t>Nej</t>
        </is>
      </c>
      <c r="AA1463" t="n">
        <v>10</v>
      </c>
      <c r="AB1463" t="inlineStr">
        <is>
          <t>Miljopaverkan och forsiktighetsmatt</t>
        </is>
      </c>
      <c r="AC1463" t="inlineStr">
        <is>
          <t>Miljo-PM</t>
        </is>
      </c>
      <c r="AD1463" t="inlineStr">
        <is>
          <t>Nej</t>
        </is>
      </c>
      <c r="AE1463" t="inlineStr">
        <is>
          <t>Nej</t>
        </is>
      </c>
      <c r="AF1463" t="inlineStr">
        <is>
          <t>Ej behandlad</t>
        </is>
      </c>
      <c r="AG1463" t="inlineStr">
        <is>
          <t>AUTO_GENERERAD. Verifiera citat mot kallfil.</t>
        </is>
      </c>
      <c r="AH1463" t="inlineStr">
        <is>
          <t>MEDIUM</t>
        </is>
      </c>
      <c r="AI1463" t="inlineStr">
        <is>
          <t>AUTO</t>
        </is>
      </c>
      <c r="AJ1463" t="inlineStr">
        <is>
          <t>Nej</t>
        </is>
      </c>
      <c r="AK1463" t="inlineStr"/>
      <c r="AL1463" t="inlineStr"/>
      <c r="AM1463" t="inlineStr"/>
      <c r="AN1463" t="inlineStr"/>
      <c r="AO1463" t="inlineStr">
        <is>
          <t>cmm4yuooy01t8cuqw3m1ag4wq</t>
        </is>
      </c>
      <c r="AP1463" t="inlineStr">
        <is>
          <t>http://localhost:8787/api/admin/requirements/documents/cmm4yuooy01t8cuqw3m1ag4wq/view</t>
        </is>
      </c>
      <c r="AQ1463">
        <f>HYPERLÄNK("http://localhost:8787/api/admin/requirements/documents/cmm4yuooy01t8cuqw3m1ag4wq/view";"Öppna PDF")</f>
        <v/>
      </c>
      <c r="AR1463">
        <f>HYPERLINK("http://localhost:8787/api/admin/requirements/documents/cmm4yuooy01t8cuqw3m1ag4wq/view","Open PDF")</f>
        <v/>
      </c>
      <c r="AS1463" t="inlineStr">
        <is>
          <t>cmm55w57p0004cuisfrtpqly8</t>
        </is>
      </c>
      <c r="AT1463" t="inlineStr">
        <is>
          <t>cmm4xvu980000cuh4vj0usz09</t>
        </is>
      </c>
      <c r="AU1463" t="inlineStr">
        <is>
          <t>pdf Karlstads</t>
        </is>
      </c>
      <c r="AV1463" t="inlineStr">
        <is>
          <t>Kommun</t>
        </is>
      </c>
      <c r="AW1463" t="inlineStr">
        <is>
          <t>pdf Karlstads kommun</t>
        </is>
      </c>
      <c r="AX1463" t="inlineStr">
        <is>
          <t>2025-3584</t>
        </is>
      </c>
      <c r="AY1463" t="inlineStr">
        <is>
          <t>Anmalan</t>
        </is>
      </c>
      <c r="AZ1463" t="inlineStr">
        <is>
          <t>2026-02-03</t>
        </is>
      </c>
      <c r="BA1463" t="inlineStr">
        <is>
          <t>Anmälningsbeslut.pdf</t>
        </is>
      </c>
      <c r="BB1463" t="inlineStr">
        <is>
          <t>VB:  Begäran om utlämnande av allmän handling – Anmälningar och beslut rörande mellanlagring av avfall samt anläggning av ytor</t>
        </is>
      </c>
      <c r="BC1463" t="inlineStr">
        <is>
          <t>AUTO</t>
        </is>
      </c>
      <c r="BD1463" t="inlineStr"/>
      <c r="BE1463" t="inlineStr"/>
      <c r="BF1463" t="inlineStr">
        <is>
          <t>AUTO_GENERERAD. Bekrafta metadata mot kallfil.</t>
        </is>
      </c>
      <c r="BG1463">
        <f>HYPERLINK("C:\Users\jimmy\Desktop\Examens arbete\Kod\Ny mapp\remix_-copy-of-miljöbeslut.se-portal\Anmälningsbeslut.pdf", "Öppna PDF")</f>
        <v/>
      </c>
    </row>
    <row r="1464">
      <c r="A1464" t="inlineStr">
        <is>
          <t>KRAV-AUTO-001463</t>
        </is>
      </c>
      <c r="B1464" t="inlineStr">
        <is>
          <t>ADMIN-INDEX-2026-02-27-00000000125C043F57453246863FE664CAFE6A3F0700950291EA24F0614FB6ACEDB12BF0E31D00000000010C0000950291EA24F0614FB6ACEDB12BF0E31D00002087AECD0000</t>
        </is>
      </c>
      <c r="C1464" t="inlineStr">
        <is>
          <t>cmm4yuoov01t5cuqwijmj37wr</t>
        </is>
      </c>
      <c r="D1464" t="inlineStr">
        <is>
          <t>http://localhost:8787/api/admin/requirements/documents/cmm4yuoov01t5cuqwijmj37wr/view</t>
        </is>
      </c>
      <c r="E1464">
        <f>HYPERLÄNK("http://localhost:8787/api/admin/requirements/documents/cmm4yuoov01t5cuqwijmj37wr/view";"Öppna PDF")</f>
        <v/>
      </c>
      <c r="F1464">
        <f>HYPERLINK("http://localhost:8787/api/admin/requirements/documents/cmm4yuoov01t5cuqwijmj37wr/view","Open PDF")</f>
        <v/>
      </c>
      <c r="G1464" t="inlineStr">
        <is>
          <t>cmm55w57p0004cuisfrtpqly8</t>
        </is>
      </c>
      <c r="H1464" t="inlineStr">
        <is>
          <t>Informationskrav</t>
        </is>
      </c>
      <c r="I1464" t="inlineStr">
        <is>
          <t>Riskhantering</t>
        </is>
      </c>
      <c r="J1464" t="inlineStr">
        <is>
          <t>Riskkontroll</t>
        </is>
      </c>
      <c r="K1464" t="inlineStr">
        <is>
          <t>Hänsyn ska tas till verksamheten, den plats som verksamheten bedrivs på och andra omständigheter som buller, damning, risk för spill- eller haveri, detaljplan, vattenskyddsområde, naturreservat och invasiva arter.</t>
        </is>
      </c>
      <c r="L1464" t="inlineStr">
        <is>
          <t>Hänsyn ska tas till verksamheten, den plats som verksamheten bedrivs på och andra omständigheter som buller, damning, risk för spill- eller haveri, detaljplan, vattenskyddsområde, naturreservat och invasiva arter.</t>
        </is>
      </c>
      <c r="M1464" t="inlineStr">
        <is>
          <t>SKA</t>
        </is>
      </c>
      <c r="N1464" t="inlineStr"/>
      <c r="O1464" t="inlineStr"/>
      <c r="P1464" t="inlineStr"/>
      <c r="Q1464" t="inlineStr"/>
      <c r="R1464" t="inlineStr">
        <is>
          <t>Vid risk for incident</t>
        </is>
      </c>
      <c r="S1464" t="inlineStr"/>
      <c r="T1464" t="inlineStr">
        <is>
          <t>251107</t>
        </is>
      </c>
      <c r="U1464" t="inlineStr"/>
      <c r="V1464" t="inlineStr"/>
      <c r="W1464" t="inlineStr">
        <is>
          <t>Nej</t>
        </is>
      </c>
      <c r="X1464" t="inlineStr">
        <is>
          <t>Nej</t>
        </is>
      </c>
      <c r="Y1464" t="inlineStr">
        <is>
          <t>Ja</t>
        </is>
      </c>
      <c r="Z1464" t="inlineStr">
        <is>
          <t>Ja</t>
        </is>
      </c>
      <c r="AA1464" t="n">
        <v>8</v>
      </c>
      <c r="AB1464" t="inlineStr">
        <is>
          <t>Riskhantering</t>
        </is>
      </c>
      <c r="AC1464" t="inlineStr">
        <is>
          <t>Risk-PM</t>
        </is>
      </c>
      <c r="AD1464" t="inlineStr">
        <is>
          <t>Nej</t>
        </is>
      </c>
      <c r="AE1464" t="inlineStr">
        <is>
          <t>Nej</t>
        </is>
      </c>
      <c r="AF1464" t="inlineStr">
        <is>
          <t>Ej behandlad</t>
        </is>
      </c>
      <c r="AG1464" t="inlineStr">
        <is>
          <t>AUTO_GENERERAD. Verifiera citat mot kallfil.</t>
        </is>
      </c>
      <c r="AH1464" t="inlineStr">
        <is>
          <t>MEDIUM</t>
        </is>
      </c>
      <c r="AI1464" t="inlineStr">
        <is>
          <t>AUTO</t>
        </is>
      </c>
      <c r="AJ1464" t="inlineStr">
        <is>
          <t>Nej</t>
        </is>
      </c>
      <c r="AK1464" t="inlineStr"/>
      <c r="AL1464" t="inlineStr"/>
      <c r="AM1464" t="inlineStr"/>
      <c r="AN1464" t="inlineStr"/>
      <c r="AO1464" t="inlineStr">
        <is>
          <t>cmm4yuooy01t8cuqw3m1ag4wq</t>
        </is>
      </c>
      <c r="AP1464" t="inlineStr">
        <is>
          <t>http://localhost:8787/api/admin/requirements/documents/cmm4yuooy01t8cuqw3m1ag4wq/view</t>
        </is>
      </c>
      <c r="AQ1464">
        <f>HYPERLÄNK("http://localhost:8787/api/admin/requirements/documents/cmm4yuooy01t8cuqw3m1ag4wq/view";"Öppna PDF")</f>
        <v/>
      </c>
      <c r="AR1464">
        <f>HYPERLINK("http://localhost:8787/api/admin/requirements/documents/cmm4yuooy01t8cuqw3m1ag4wq/view","Open PDF")</f>
        <v/>
      </c>
      <c r="AS1464" t="inlineStr">
        <is>
          <t>cmm55w57p0004cuisfrtpqly8</t>
        </is>
      </c>
      <c r="AT1464" t="inlineStr">
        <is>
          <t>cmm4xvu980000cuh4vj0usz09</t>
        </is>
      </c>
      <c r="AU1464" t="inlineStr">
        <is>
          <t>pdf Karlstads</t>
        </is>
      </c>
      <c r="AV1464" t="inlineStr">
        <is>
          <t>Kommun</t>
        </is>
      </c>
      <c r="AW1464" t="inlineStr">
        <is>
          <t>pdf Karlstads kommun</t>
        </is>
      </c>
      <c r="AX1464" t="inlineStr">
        <is>
          <t>2025-3584</t>
        </is>
      </c>
      <c r="AY1464" t="inlineStr">
        <is>
          <t>Anmalan</t>
        </is>
      </c>
      <c r="AZ1464" t="inlineStr">
        <is>
          <t>2026-02-03</t>
        </is>
      </c>
      <c r="BA1464" t="inlineStr">
        <is>
          <t>Anmälningsbeslut.pdf</t>
        </is>
      </c>
      <c r="BB1464" t="inlineStr">
        <is>
          <t>VB:  Begäran om utlämnande av allmän handling – Anmälningar och beslut rörande mellanlagring av avfall samt anläggning av ytor</t>
        </is>
      </c>
      <c r="BC1464" t="inlineStr">
        <is>
          <t>AUTO</t>
        </is>
      </c>
      <c r="BD1464" t="inlineStr"/>
      <c r="BE1464" t="inlineStr"/>
      <c r="BF1464" t="inlineStr">
        <is>
          <t>AUTO_GENERERAD. Bekrafta metadata mot kallfil.</t>
        </is>
      </c>
      <c r="BG1464">
        <f>HYPERLINK("C:\Users\jimmy\Desktop\Examens arbete\Kod\Ny mapp\remix_-copy-of-miljöbeslut.se-portal\Anmälningsbeslut.pdf", "Öppna PDF")</f>
        <v/>
      </c>
    </row>
    <row r="1465">
      <c r="A1465" t="inlineStr">
        <is>
          <t>KRAV-AUTO-001464</t>
        </is>
      </c>
      <c r="B1465" t="inlineStr">
        <is>
          <t>ADMIN-INDEX-2026-02-27-00000000125C043F57453246863FE664CAFE6A3F0700950291EA24F0614FB6ACEDB12BF0E31D00000000010C0000950291EA24F0614FB6ACEDB12BF0E31D00002087AECD0000</t>
        </is>
      </c>
      <c r="C1465" t="inlineStr">
        <is>
          <t>cmm4yuoov01t5cuqwijmj37wr</t>
        </is>
      </c>
      <c r="D1465" t="inlineStr">
        <is>
          <t>http://localhost:8787/api/admin/requirements/documents/cmm4yuoov01t5cuqwijmj37wr/view</t>
        </is>
      </c>
      <c r="E1465">
        <f>HYPERLÄNK("http://localhost:8787/api/admin/requirements/documents/cmm4yuoov01t5cuqwijmj37wr/view";"Öppna PDF")</f>
        <v/>
      </c>
      <c r="F1465">
        <f>HYPERLINK("http://localhost:8787/api/admin/requirements/documents/cmm4yuoov01t5cuqwijmj37wr/view","Open PDF")</f>
        <v/>
      </c>
      <c r="G1465" t="inlineStr">
        <is>
          <t>cmm55w57p0004cuisfrtpqly8</t>
        </is>
      </c>
      <c r="H1465" t="inlineStr">
        <is>
          <t>Informationskrav</t>
        </is>
      </c>
      <c r="I1465" t="inlineStr">
        <is>
          <t>DagvattenLakvatten</t>
        </is>
      </c>
      <c r="J1465" t="inlineStr">
        <is>
          <t>Uppsamling</t>
        </is>
      </c>
      <c r="K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65" t="inlineStr">
        <is>
          <t>SKA</t>
        </is>
      </c>
      <c r="N1465" t="inlineStr"/>
      <c r="O1465" t="inlineStr">
        <is>
          <t>2025-11-07</t>
        </is>
      </c>
      <c r="P1465" t="inlineStr"/>
      <c r="Q1465" t="inlineStr"/>
      <c r="R1465" t="inlineStr">
        <is>
          <t>Vid nederbord och avrinning</t>
        </is>
      </c>
      <c r="S1465" t="inlineStr"/>
      <c r="T1465" t="inlineStr">
        <is>
          <t>251107</t>
        </is>
      </c>
      <c r="U1465" t="inlineStr"/>
      <c r="V1465" t="inlineStr"/>
      <c r="W1465" t="inlineStr">
        <is>
          <t>Nej</t>
        </is>
      </c>
      <c r="X1465" t="inlineStr">
        <is>
          <t>Ja</t>
        </is>
      </c>
      <c r="Y1465" t="inlineStr">
        <is>
          <t>Ja</t>
        </is>
      </c>
      <c r="Z1465" t="inlineStr">
        <is>
          <t>Nej</t>
        </is>
      </c>
      <c r="AA1465" t="n">
        <v>6</v>
      </c>
      <c r="AB1465" t="inlineStr">
        <is>
          <t>Lakvattenhantering</t>
        </is>
      </c>
      <c r="AC1465" t="inlineStr">
        <is>
          <t>Flodesschema dagvatten-lakvatten</t>
        </is>
      </c>
      <c r="AD1465" t="inlineStr">
        <is>
          <t>Nej</t>
        </is>
      </c>
      <c r="AE1465" t="inlineStr">
        <is>
          <t>Nej</t>
        </is>
      </c>
      <c r="AF1465" t="inlineStr">
        <is>
          <t>Ej behandlad</t>
        </is>
      </c>
      <c r="AG1465" t="inlineStr">
        <is>
          <t>AUTO_GENERERAD. Verifiera citat mot kallfil.</t>
        </is>
      </c>
      <c r="AH1465" t="inlineStr">
        <is>
          <t>MEDIUM</t>
        </is>
      </c>
      <c r="AI1465" t="inlineStr">
        <is>
          <t>AUTO</t>
        </is>
      </c>
      <c r="AJ1465" t="inlineStr">
        <is>
          <t>Nej</t>
        </is>
      </c>
      <c r="AK1465" t="inlineStr"/>
      <c r="AL1465" t="inlineStr"/>
      <c r="AM1465" t="inlineStr"/>
      <c r="AN1465" t="inlineStr"/>
      <c r="AO1465" t="inlineStr">
        <is>
          <t>cmm4yuooy01t8cuqw3m1ag4wq</t>
        </is>
      </c>
      <c r="AP1465" t="inlineStr">
        <is>
          <t>http://localhost:8787/api/admin/requirements/documents/cmm4yuooy01t8cuqw3m1ag4wq/view</t>
        </is>
      </c>
      <c r="AQ1465">
        <f>HYPERLÄNK("http://localhost:8787/api/admin/requirements/documents/cmm4yuooy01t8cuqw3m1ag4wq/view";"Öppna PDF")</f>
        <v/>
      </c>
      <c r="AR1465">
        <f>HYPERLINK("http://localhost:8787/api/admin/requirements/documents/cmm4yuooy01t8cuqw3m1ag4wq/view","Open PDF")</f>
        <v/>
      </c>
      <c r="AS1465" t="inlineStr">
        <is>
          <t>cmm55w57p0004cuisfrtpqly8</t>
        </is>
      </c>
      <c r="AT1465" t="inlineStr">
        <is>
          <t>cmm4xvu980000cuh4vj0usz09</t>
        </is>
      </c>
      <c r="AU1465" t="inlineStr">
        <is>
          <t>pdf Karlstads</t>
        </is>
      </c>
      <c r="AV1465" t="inlineStr">
        <is>
          <t>Kommun</t>
        </is>
      </c>
      <c r="AW1465" t="inlineStr">
        <is>
          <t>pdf Karlstads kommun</t>
        </is>
      </c>
      <c r="AX1465" t="inlineStr">
        <is>
          <t>2025-3584</t>
        </is>
      </c>
      <c r="AY1465" t="inlineStr">
        <is>
          <t>Anmalan</t>
        </is>
      </c>
      <c r="AZ1465" t="inlineStr">
        <is>
          <t>2026-02-03</t>
        </is>
      </c>
      <c r="BA1465" t="inlineStr">
        <is>
          <t>Anmälningsbeslut.pdf</t>
        </is>
      </c>
      <c r="BB1465" t="inlineStr">
        <is>
          <t>VB:  Begäran om utlämnande av allmän handling – Anmälningar och beslut rörande mellanlagring av avfall samt anläggning av ytor</t>
        </is>
      </c>
      <c r="BC1465" t="inlineStr">
        <is>
          <t>AUTO</t>
        </is>
      </c>
      <c r="BD1465" t="inlineStr"/>
      <c r="BE1465" t="inlineStr"/>
      <c r="BF1465" t="inlineStr">
        <is>
          <t>AUTO_GENERERAD. Bekrafta metadata mot kallfil.</t>
        </is>
      </c>
      <c r="BG1465">
        <f>HYPERLINK("C:\Users\jimmy\Desktop\Examens arbete\Kod\Ny mapp\remix_-copy-of-miljöbeslut.se-portal\Anmälningsbeslut.pdf", "Öppna PDF")</f>
        <v/>
      </c>
    </row>
    <row r="1466">
      <c r="A1466" t="inlineStr">
        <is>
          <t>KRAV-AUTO-001465</t>
        </is>
      </c>
      <c r="B1466" t="inlineStr">
        <is>
          <t>ADMIN-INDEX-2026-02-27-00000000125C043F57453246863FE664CAFE6A3F0700950291EA24F0614FB6ACEDB12BF0E31D00000000010C0000950291EA24F0614FB6ACEDB12BF0E31D00002087AECE0000</t>
        </is>
      </c>
      <c r="C1466" t="inlineStr">
        <is>
          <t>cmm4yuooq01szcuqwo9e3tjcp</t>
        </is>
      </c>
      <c r="D1466" t="inlineStr">
        <is>
          <t>http://localhost:8787/api/admin/requirements/documents/cmm4yuooq01szcuqwo9e3tjcp/view</t>
        </is>
      </c>
      <c r="E1466">
        <f>HYPERLÄNK("http://localhost:8787/api/admin/requirements/documents/cmm4yuooq01szcuqwo9e3tjcp/view";"Öppna PDF")</f>
        <v/>
      </c>
      <c r="F1466">
        <f>HYPERLINK("http://localhost:8787/api/admin/requirements/documents/cmm4yuooq01szcuqwo9e3tjcp/view","Open PDF")</f>
        <v/>
      </c>
      <c r="G1466" t="inlineStr">
        <is>
          <t>cmm55w57p0004cuisfrtpqly8</t>
        </is>
      </c>
      <c r="H1466" t="inlineStr">
        <is>
          <t>Informationskrav</t>
        </is>
      </c>
      <c r="I1466" t="inlineStr">
        <is>
          <t>DagvattenLakvatten</t>
        </is>
      </c>
      <c r="J1466" t="inlineStr">
        <is>
          <t>Uppsamling</t>
        </is>
      </c>
      <c r="K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6" t="inlineStr">
        <is>
          <t>SKA</t>
        </is>
      </c>
      <c r="N1466" t="inlineStr"/>
      <c r="O1466" t="inlineStr"/>
      <c r="P1466" t="inlineStr"/>
      <c r="Q1466" t="inlineStr"/>
      <c r="R1466" t="inlineStr">
        <is>
          <t>Vid nederbord och avrinning</t>
        </is>
      </c>
      <c r="S1466" t="inlineStr"/>
      <c r="T1466" t="inlineStr">
        <is>
          <t>212000</t>
        </is>
      </c>
      <c r="U1466" t="inlineStr"/>
      <c r="V1466" t="inlineStr"/>
      <c r="W1466" t="inlineStr">
        <is>
          <t>Nej</t>
        </is>
      </c>
      <c r="X1466" t="inlineStr">
        <is>
          <t>Ja</t>
        </is>
      </c>
      <c r="Y1466" t="inlineStr">
        <is>
          <t>Ja</t>
        </is>
      </c>
      <c r="Z1466" t="inlineStr">
        <is>
          <t>Nej</t>
        </is>
      </c>
      <c r="AA1466" t="n">
        <v>6</v>
      </c>
      <c r="AB1466" t="inlineStr">
        <is>
          <t>Lakvattenhantering</t>
        </is>
      </c>
      <c r="AC1466" t="inlineStr">
        <is>
          <t>Flodesschema dagvatten-lakvatten</t>
        </is>
      </c>
      <c r="AD1466" t="inlineStr">
        <is>
          <t>Nej</t>
        </is>
      </c>
      <c r="AE1466" t="inlineStr">
        <is>
          <t>Nej</t>
        </is>
      </c>
      <c r="AF1466" t="inlineStr">
        <is>
          <t>Ej behandlad</t>
        </is>
      </c>
      <c r="AG1466" t="inlineStr">
        <is>
          <t>AUTO_GENERERAD. Verifiera citat mot kallfil.</t>
        </is>
      </c>
      <c r="AH1466" t="inlineStr">
        <is>
          <t>MEDIUM</t>
        </is>
      </c>
      <c r="AI1466" t="inlineStr">
        <is>
          <t>AUTO</t>
        </is>
      </c>
      <c r="AJ1466" t="inlineStr">
        <is>
          <t>Nej</t>
        </is>
      </c>
      <c r="AK1466" t="inlineStr"/>
      <c r="AL1466" t="inlineStr"/>
      <c r="AM1466" t="inlineStr"/>
      <c r="AN1466" t="inlineStr"/>
      <c r="AO1466" t="inlineStr">
        <is>
          <t>cmm4yuooq01szcuqwo9e3tjcp</t>
        </is>
      </c>
      <c r="AP1466" t="inlineStr">
        <is>
          <t>http://localhost:8787/api/admin/requirements/documents/cmm4yuooq01szcuqwo9e3tjcp/view</t>
        </is>
      </c>
      <c r="AQ1466">
        <f>HYPERLÄNK("http://localhost:8787/api/admin/requirements/documents/cmm4yuooq01szcuqwo9e3tjcp/view";"Öppna PDF")</f>
        <v/>
      </c>
      <c r="AR1466">
        <f>HYPERLINK("http://localhost:8787/api/admin/requirements/documents/cmm4yuooq01szcuqwo9e3tjcp/view","Open PDF")</f>
        <v/>
      </c>
      <c r="AS1466" t="inlineStr">
        <is>
          <t>cmm55w57p0004cuisfrtpqly8</t>
        </is>
      </c>
      <c r="AT1466" t="inlineStr">
        <is>
          <t>cmm4xvu980000cuh4vj0usz09</t>
        </is>
      </c>
      <c r="AU1466" t="inlineStr">
        <is>
          <t>pdf Karlstads</t>
        </is>
      </c>
      <c r="AV1466" t="inlineStr">
        <is>
          <t>Kommun</t>
        </is>
      </c>
      <c r="AW1466" t="inlineStr">
        <is>
          <t>pdf Karlstads kommun</t>
        </is>
      </c>
      <c r="AX1466" t="inlineStr">
        <is>
          <t>2025-3584</t>
        </is>
      </c>
      <c r="AY1466" t="inlineStr">
        <is>
          <t>Anmalan</t>
        </is>
      </c>
      <c r="AZ1466" t="inlineStr">
        <is>
          <t>2026-02-03</t>
        </is>
      </c>
      <c r="BA1466" t="inlineStr">
        <is>
          <t>Anmälningsbeslut.pdf</t>
        </is>
      </c>
      <c r="BB1466" t="inlineStr">
        <is>
          <t>VB:  Begäran om utlämnande av allmän handling – Anmälningar och beslut rörande mellanlagring av avfall samt anläggning av ytor</t>
        </is>
      </c>
      <c r="BC1466" t="inlineStr">
        <is>
          <t>AUTO</t>
        </is>
      </c>
      <c r="BD1466" t="inlineStr"/>
      <c r="BE1466" t="inlineStr"/>
      <c r="BF1466" t="inlineStr">
        <is>
          <t>AUTO_GENERERAD. Bekrafta metadata mot kallfil.</t>
        </is>
      </c>
      <c r="BG1466">
        <f>HYPERLINK("C:\Users\jimmy\Desktop\Examens arbete\Kod\Ny mapp\remix_-copy-of-miljöbeslut.se-portal\Anmälningsbeslut.pdf", "Öppna PDF")</f>
        <v/>
      </c>
    </row>
    <row r="1467">
      <c r="A1467" t="inlineStr">
        <is>
          <t>KRAV-AUTO-001466</t>
        </is>
      </c>
      <c r="B1467" t="inlineStr">
        <is>
          <t>ADMIN-INDEX-2026-02-27-00000000125C043F57453246863FE664CAFE6A3F0700950291EA24F0614FB6ACEDB12BF0E31D00000000010C0000950291EA24F0614FB6ACEDB12BF0E31D00002087AECE0000</t>
        </is>
      </c>
      <c r="C1467" t="inlineStr">
        <is>
          <t>cmm4yuooq01szcuqwo9e3tjcp</t>
        </is>
      </c>
      <c r="D1467" t="inlineStr">
        <is>
          <t>http://localhost:8787/api/admin/requirements/documents/cmm4yuooq01szcuqwo9e3tjcp/view</t>
        </is>
      </c>
      <c r="E1467">
        <f>HYPERLÄNK("http://localhost:8787/api/admin/requirements/documents/cmm4yuooq01szcuqwo9e3tjcp/view";"Öppna PDF")</f>
        <v/>
      </c>
      <c r="F1467">
        <f>HYPERLINK("http://localhost:8787/api/admin/requirements/documents/cmm4yuooq01szcuqwo9e3tjcp/view","Open PDF")</f>
        <v/>
      </c>
      <c r="G1467" t="inlineStr">
        <is>
          <t>cmm55w57p0004cuisfrtpqly8</t>
        </is>
      </c>
      <c r="H1467" t="inlineStr">
        <is>
          <t>Informationskrav</t>
        </is>
      </c>
      <c r="I1467" t="inlineStr">
        <is>
          <t>Riskhantering</t>
        </is>
      </c>
      <c r="J1467" t="inlineStr">
        <is>
          <t>Riskkontroll</t>
        </is>
      </c>
      <c r="K1467" t="inlineStr">
        <is>
          <t>Vid risk för damning ska vattenbegjutning ske, alternativt omedelbar täckning av massorna med en tät duk.</t>
        </is>
      </c>
      <c r="L1467" t="inlineStr">
        <is>
          <t>Vid risk för damning ska vattenbegjutning ske, alternativt omedelbar täckning av massorna med en tät duk.</t>
        </is>
      </c>
      <c r="M1467" t="inlineStr">
        <is>
          <t>SKA</t>
        </is>
      </c>
      <c r="N1467" t="inlineStr"/>
      <c r="O1467" t="inlineStr"/>
      <c r="P1467" t="inlineStr"/>
      <c r="Q1467" t="inlineStr"/>
      <c r="R1467" t="inlineStr">
        <is>
          <t>Vid risk for incident</t>
        </is>
      </c>
      <c r="S1467" t="inlineStr"/>
      <c r="T1467" t="inlineStr">
        <is>
          <t>212000</t>
        </is>
      </c>
      <c r="U1467" t="inlineStr"/>
      <c r="V1467" t="inlineStr"/>
      <c r="W1467" t="inlineStr">
        <is>
          <t>Nej</t>
        </is>
      </c>
      <c r="X1467" t="inlineStr">
        <is>
          <t>Nej</t>
        </is>
      </c>
      <c r="Y1467" t="inlineStr">
        <is>
          <t>Ja</t>
        </is>
      </c>
      <c r="Z1467" t="inlineStr">
        <is>
          <t>Ja</t>
        </is>
      </c>
      <c r="AA1467" t="n">
        <v>8</v>
      </c>
      <c r="AB1467" t="inlineStr">
        <is>
          <t>Riskhantering</t>
        </is>
      </c>
      <c r="AC1467" t="inlineStr">
        <is>
          <t>Risk-PM</t>
        </is>
      </c>
      <c r="AD1467" t="inlineStr">
        <is>
          <t>Nej</t>
        </is>
      </c>
      <c r="AE1467" t="inlineStr">
        <is>
          <t>Nej</t>
        </is>
      </c>
      <c r="AF1467" t="inlineStr">
        <is>
          <t>Ej behandlad</t>
        </is>
      </c>
      <c r="AG1467" t="inlineStr">
        <is>
          <t>AUTO_GENERERAD. Verifiera citat mot kallfil.</t>
        </is>
      </c>
      <c r="AH1467" t="inlineStr">
        <is>
          <t>MEDIUM</t>
        </is>
      </c>
      <c r="AI1467" t="inlineStr">
        <is>
          <t>AUTO</t>
        </is>
      </c>
      <c r="AJ1467" t="inlineStr">
        <is>
          <t>Nej</t>
        </is>
      </c>
      <c r="AK1467" t="inlineStr"/>
      <c r="AL1467" t="inlineStr"/>
      <c r="AM1467" t="inlineStr"/>
      <c r="AN1467" t="inlineStr"/>
      <c r="AO1467" t="inlineStr">
        <is>
          <t>cmm4yuooq01szcuqwo9e3tjcp</t>
        </is>
      </c>
      <c r="AP1467" t="inlineStr">
        <is>
          <t>http://localhost:8787/api/admin/requirements/documents/cmm4yuooq01szcuqwo9e3tjcp/view</t>
        </is>
      </c>
      <c r="AQ1467">
        <f>HYPERLÄNK("http://localhost:8787/api/admin/requirements/documents/cmm4yuooq01szcuqwo9e3tjcp/view";"Öppna PDF")</f>
        <v/>
      </c>
      <c r="AR1467">
        <f>HYPERLINK("http://localhost:8787/api/admin/requirements/documents/cmm4yuooq01szcuqwo9e3tjcp/view","Open PDF")</f>
        <v/>
      </c>
      <c r="AS1467" t="inlineStr">
        <is>
          <t>cmm55w57p0004cuisfrtpqly8</t>
        </is>
      </c>
      <c r="AT1467" t="inlineStr">
        <is>
          <t>cmm4xvu980000cuh4vj0usz09</t>
        </is>
      </c>
      <c r="AU1467" t="inlineStr">
        <is>
          <t>pdf Karlstads</t>
        </is>
      </c>
      <c r="AV1467" t="inlineStr">
        <is>
          <t>Kommun</t>
        </is>
      </c>
      <c r="AW1467" t="inlineStr">
        <is>
          <t>pdf Karlstads kommun</t>
        </is>
      </c>
      <c r="AX1467" t="inlineStr">
        <is>
          <t>2025-3584</t>
        </is>
      </c>
      <c r="AY1467" t="inlineStr">
        <is>
          <t>Anmalan</t>
        </is>
      </c>
      <c r="AZ1467" t="inlineStr">
        <is>
          <t>2026-02-03</t>
        </is>
      </c>
      <c r="BA1467" t="inlineStr">
        <is>
          <t>Anmälningsbeslut.pdf</t>
        </is>
      </c>
      <c r="BB1467" t="inlineStr">
        <is>
          <t>VB:  Begäran om utlämnande av allmän handling – Anmälningar och beslut rörande mellanlagring av avfall samt anläggning av ytor</t>
        </is>
      </c>
      <c r="BC1467" t="inlineStr">
        <is>
          <t>AUTO</t>
        </is>
      </c>
      <c r="BD1467" t="inlineStr"/>
      <c r="BE1467" t="inlineStr"/>
      <c r="BF1467" t="inlineStr">
        <is>
          <t>AUTO_GENERERAD. Bekrafta metadata mot kallfil.</t>
        </is>
      </c>
      <c r="BG1467">
        <f>HYPERLINK("C:\Users\jimmy\Desktop\Examens arbete\Kod\Ny mapp\remix_-copy-of-miljöbeslut.se-portal\Anmälningsbeslut.pdf", "Öppna PDF")</f>
        <v/>
      </c>
    </row>
    <row r="1468">
      <c r="A1468" t="inlineStr">
        <is>
          <t>KRAV-AUTO-001467</t>
        </is>
      </c>
      <c r="B1468" t="inlineStr">
        <is>
          <t>ADMIN-INDEX-2026-02-27-00000000125C043F57453246863FE664CAFE6A3F0700950291EA24F0614FB6ACEDB12BF0E31D00000000010C0000950291EA24F0614FB6ACEDB12BF0E31D00002087AECE0000</t>
        </is>
      </c>
      <c r="C1468" t="inlineStr">
        <is>
          <t>cmm4yuooq01szcuqwo9e3tjcp</t>
        </is>
      </c>
      <c r="D1468" t="inlineStr">
        <is>
          <t>http://localhost:8787/api/admin/requirements/documents/cmm4yuooq01szcuqwo9e3tjcp/view</t>
        </is>
      </c>
      <c r="E1468">
        <f>HYPERLÄNK("http://localhost:8787/api/admin/requirements/documents/cmm4yuooq01szcuqwo9e3tjcp/view";"Öppna PDF")</f>
        <v/>
      </c>
      <c r="F1468">
        <f>HYPERLINK("http://localhost:8787/api/admin/requirements/documents/cmm4yuooq01szcuqwo9e3tjcp/view","Open PDF")</f>
        <v/>
      </c>
      <c r="G1468" t="inlineStr">
        <is>
          <t>cmm55w57p0004cuisfrtpqly8</t>
        </is>
      </c>
      <c r="H1468" t="inlineStr">
        <is>
          <t>Informationskrav</t>
        </is>
      </c>
      <c r="I1468" t="inlineStr">
        <is>
          <t>Ytkonstruktion</t>
        </is>
      </c>
      <c r="J1468" t="inlineStr">
        <is>
          <t>Tat yta</t>
        </is>
      </c>
      <c r="K1468" t="inlineStr">
        <is>
          <t>Information Tänk på att det avfall som används för uppbyggnaden ska ha den kvalitet som behövs för att få bra bärighet i den konstruktion som ska byggas upp.</t>
        </is>
      </c>
      <c r="L1468" t="inlineStr">
        <is>
          <t>Information Tänk på att det avfall som används för uppbyggnaden ska ha den kvalitet som behövs för att få bra bärighet i den konstruktion som ska byggas upp.</t>
        </is>
      </c>
      <c r="M1468" t="inlineStr">
        <is>
          <t>SKA</t>
        </is>
      </c>
      <c r="N1468" t="inlineStr"/>
      <c r="O1468" t="inlineStr"/>
      <c r="P1468" t="inlineStr"/>
      <c r="Q1468" t="inlineStr"/>
      <c r="R1468" t="inlineStr">
        <is>
          <t>Vid mellanlagring av avfall</t>
        </is>
      </c>
      <c r="S1468" t="inlineStr"/>
      <c r="T1468" t="inlineStr">
        <is>
          <t>212000</t>
        </is>
      </c>
      <c r="U1468" t="inlineStr"/>
      <c r="V1468" t="inlineStr"/>
      <c r="W1468" t="inlineStr">
        <is>
          <t>Ja</t>
        </is>
      </c>
      <c r="X1468" t="inlineStr">
        <is>
          <t>Nej</t>
        </is>
      </c>
      <c r="Y1468" t="inlineStr">
        <is>
          <t>Nej</t>
        </is>
      </c>
      <c r="Z1468" t="inlineStr">
        <is>
          <t>Nej</t>
        </is>
      </c>
      <c r="AA1468" t="n">
        <v>5</v>
      </c>
      <c r="AB1468" t="inlineStr">
        <is>
          <t>Teknisk beskrivning av platta</t>
        </is>
      </c>
      <c r="AC1468" t="inlineStr">
        <is>
          <t>Teknisk ritning platta</t>
        </is>
      </c>
      <c r="AD1468" t="inlineStr">
        <is>
          <t>Nej</t>
        </is>
      </c>
      <c r="AE1468" t="inlineStr">
        <is>
          <t>Nej</t>
        </is>
      </c>
      <c r="AF1468" t="inlineStr">
        <is>
          <t>Ej behandlad</t>
        </is>
      </c>
      <c r="AG1468" t="inlineStr">
        <is>
          <t>AUTO_GENERERAD. Verifiera citat mot kallfil.</t>
        </is>
      </c>
      <c r="AH1468" t="inlineStr">
        <is>
          <t>MEDIUM</t>
        </is>
      </c>
      <c r="AI1468" t="inlineStr">
        <is>
          <t>AUTO</t>
        </is>
      </c>
      <c r="AJ1468" t="inlineStr">
        <is>
          <t>Nej</t>
        </is>
      </c>
      <c r="AK1468" t="inlineStr"/>
      <c r="AL1468" t="inlineStr"/>
      <c r="AM1468" t="inlineStr"/>
      <c r="AN1468" t="inlineStr"/>
      <c r="AO1468" t="inlineStr">
        <is>
          <t>cmm4yuooq01szcuqwo9e3tjcp</t>
        </is>
      </c>
      <c r="AP1468" t="inlineStr">
        <is>
          <t>http://localhost:8787/api/admin/requirements/documents/cmm4yuooq01szcuqwo9e3tjcp/view</t>
        </is>
      </c>
      <c r="AQ1468">
        <f>HYPERLÄNK("http://localhost:8787/api/admin/requirements/documents/cmm4yuooq01szcuqwo9e3tjcp/view";"Öppna PDF")</f>
        <v/>
      </c>
      <c r="AR1468">
        <f>HYPERLINK("http://localhost:8787/api/admin/requirements/documents/cmm4yuooq01szcuqwo9e3tjcp/view","Open PDF")</f>
        <v/>
      </c>
      <c r="AS1468" t="inlineStr">
        <is>
          <t>cmm55w57p0004cuisfrtpqly8</t>
        </is>
      </c>
      <c r="AT1468" t="inlineStr">
        <is>
          <t>cmm4xvu980000cuh4vj0usz09</t>
        </is>
      </c>
      <c r="AU1468" t="inlineStr">
        <is>
          <t>pdf Karlstads</t>
        </is>
      </c>
      <c r="AV1468" t="inlineStr">
        <is>
          <t>Kommun</t>
        </is>
      </c>
      <c r="AW1468" t="inlineStr">
        <is>
          <t>pdf Karlstads kommun</t>
        </is>
      </c>
      <c r="AX1468" t="inlineStr">
        <is>
          <t>2025-3584</t>
        </is>
      </c>
      <c r="AY1468" t="inlineStr">
        <is>
          <t>Anmalan</t>
        </is>
      </c>
      <c r="AZ1468" t="inlineStr">
        <is>
          <t>2026-02-03</t>
        </is>
      </c>
      <c r="BA1468" t="inlineStr">
        <is>
          <t>Anmälningsbeslut.pdf</t>
        </is>
      </c>
      <c r="BB1468" t="inlineStr">
        <is>
          <t>VB:  Begäran om utlämnande av allmän handling – Anmälningar och beslut rörande mellanlagring av avfall samt anläggning av ytor</t>
        </is>
      </c>
      <c r="BC1468" t="inlineStr">
        <is>
          <t>AUTO</t>
        </is>
      </c>
      <c r="BD1468" t="inlineStr"/>
      <c r="BE1468" t="inlineStr"/>
      <c r="BF1468" t="inlineStr">
        <is>
          <t>AUTO_GENERERAD. Bekrafta metadata mot kallfil.</t>
        </is>
      </c>
      <c r="BG1468">
        <f>HYPERLINK("C:\Users\jimmy\Desktop\Examens arbete\Kod\Ny mapp\remix_-copy-of-miljöbeslut.se-portal\Anmälningsbeslut.pdf", "Öppna PDF")</f>
        <v/>
      </c>
    </row>
    <row r="1469">
      <c r="A1469" t="inlineStr">
        <is>
          <t>KRAV-AUTO-001468</t>
        </is>
      </c>
      <c r="B1469" t="inlineStr">
        <is>
          <t>ADMIN-INDEX-2026-02-27-00000000125C043F57453246863FE664CAFE6A3F0700950291EA24F0614FB6ACEDB12BF0E31D00000000010C0000950291EA24F0614FB6ACEDB12BF0E31D00002087AECE0000</t>
        </is>
      </c>
      <c r="C1469" t="inlineStr">
        <is>
          <t>cmm4yuoon01swcuqww56b84dt</t>
        </is>
      </c>
      <c r="D1469" t="inlineStr">
        <is>
          <t>http://localhost:8787/api/admin/requirements/documents/cmm4yuoon01swcuqww56b84dt/view</t>
        </is>
      </c>
      <c r="E1469">
        <f>HYPERLÄNK("http://localhost:8787/api/admin/requirements/documents/cmm4yuoon01swcuqww56b84dt/view";"Öppna PDF")</f>
        <v/>
      </c>
      <c r="F1469">
        <f>HYPERLINK("http://localhost:8787/api/admin/requirements/documents/cmm4yuoon01swcuqww56b84dt/view","Open PDF")</f>
        <v/>
      </c>
      <c r="G1469" t="inlineStr">
        <is>
          <t>cmm55w57p0004cuisfrtpqly8</t>
        </is>
      </c>
      <c r="H1469" t="inlineStr">
        <is>
          <t>Informationskrav</t>
        </is>
      </c>
      <c r="I1469" t="inlineStr">
        <is>
          <t>MiljopaverkanForsiktighet</t>
        </is>
      </c>
      <c r="J1469" t="inlineStr">
        <is>
          <t>Skyddsatgarder</t>
        </is>
      </c>
      <c r="K1469" t="inlineStr">
        <is>
          <t>Beskriv syftet med den nya anläggningen som avfallet ska användas till Syftet med att tippa dem inom fastigheten är att fylla upp för en att anlägga en ridbana på en del av fastigheten Hallanda 1:2.</t>
        </is>
      </c>
      <c r="L1469" t="inlineStr">
        <is>
          <t>Beskriv syftet med den nya anläggningen som avfallet ska användas till Syftet med att tippa dem inom fastigheten är att fylla upp för en att anlägga en ridbana på en del av fastigheten Hallanda 1:2.</t>
        </is>
      </c>
      <c r="M1469" t="inlineStr">
        <is>
          <t>SKA</t>
        </is>
      </c>
      <c r="N1469" t="inlineStr"/>
      <c r="O1469" t="inlineStr"/>
      <c r="P1469" t="inlineStr"/>
      <c r="Q1469" t="inlineStr"/>
      <c r="R1469" t="inlineStr">
        <is>
          <t>Alltid</t>
        </is>
      </c>
      <c r="S1469" t="inlineStr"/>
      <c r="T1469" t="inlineStr">
        <is>
          <t>251107</t>
        </is>
      </c>
      <c r="U1469" t="inlineStr"/>
      <c r="V1469" t="inlineStr"/>
      <c r="W1469" t="inlineStr">
        <is>
          <t>Nej</t>
        </is>
      </c>
      <c r="X1469" t="inlineStr">
        <is>
          <t>Nej</t>
        </is>
      </c>
      <c r="Y1469" t="inlineStr">
        <is>
          <t>Nej</t>
        </is>
      </c>
      <c r="Z1469" t="inlineStr">
        <is>
          <t>Nej</t>
        </is>
      </c>
      <c r="AA1469" t="n">
        <v>10</v>
      </c>
      <c r="AB1469" t="inlineStr">
        <is>
          <t>Miljopaverkan och forsiktighetsmatt</t>
        </is>
      </c>
      <c r="AC1469" t="inlineStr">
        <is>
          <t>Miljo-PM</t>
        </is>
      </c>
      <c r="AD1469" t="inlineStr">
        <is>
          <t>Nej</t>
        </is>
      </c>
      <c r="AE1469" t="inlineStr">
        <is>
          <t>Nej</t>
        </is>
      </c>
      <c r="AF1469" t="inlineStr">
        <is>
          <t>Ej behandlad</t>
        </is>
      </c>
      <c r="AG1469" t="inlineStr">
        <is>
          <t>AUTO_GENERERAD. Verifiera citat mot kallfil.</t>
        </is>
      </c>
      <c r="AH1469" t="inlineStr">
        <is>
          <t>MEDIUM</t>
        </is>
      </c>
      <c r="AI1469" t="inlineStr">
        <is>
          <t>AUTO</t>
        </is>
      </c>
      <c r="AJ1469" t="inlineStr">
        <is>
          <t>Nej</t>
        </is>
      </c>
      <c r="AK1469" t="inlineStr"/>
      <c r="AL1469" t="inlineStr"/>
      <c r="AM1469" t="inlineStr"/>
      <c r="AN1469" t="inlineStr"/>
      <c r="AO1469" t="inlineStr">
        <is>
          <t>cmm4yuooq01szcuqwo9e3tjcp</t>
        </is>
      </c>
      <c r="AP1469" t="inlineStr">
        <is>
          <t>http://localhost:8787/api/admin/requirements/documents/cmm4yuooq01szcuqwo9e3tjcp/view</t>
        </is>
      </c>
      <c r="AQ1469">
        <f>HYPERLÄNK("http://localhost:8787/api/admin/requirements/documents/cmm4yuooq01szcuqwo9e3tjcp/view";"Öppna PDF")</f>
        <v/>
      </c>
      <c r="AR1469">
        <f>HYPERLINK("http://localhost:8787/api/admin/requirements/documents/cmm4yuooq01szcuqwo9e3tjcp/view","Open PDF")</f>
        <v/>
      </c>
      <c r="AS1469" t="inlineStr">
        <is>
          <t>cmm55w57p0004cuisfrtpqly8</t>
        </is>
      </c>
      <c r="AT1469" t="inlineStr">
        <is>
          <t>cmm4xvu980000cuh4vj0usz09</t>
        </is>
      </c>
      <c r="AU1469" t="inlineStr">
        <is>
          <t>pdf Karlstads</t>
        </is>
      </c>
      <c r="AV1469" t="inlineStr">
        <is>
          <t>Kommun</t>
        </is>
      </c>
      <c r="AW1469" t="inlineStr">
        <is>
          <t>pdf Karlstads kommun</t>
        </is>
      </c>
      <c r="AX1469" t="inlineStr">
        <is>
          <t>2025-3584</t>
        </is>
      </c>
      <c r="AY1469" t="inlineStr">
        <is>
          <t>Anmalan</t>
        </is>
      </c>
      <c r="AZ1469" t="inlineStr">
        <is>
          <t>2026-02-03</t>
        </is>
      </c>
      <c r="BA1469" t="inlineStr">
        <is>
          <t>Anmälningsbeslut.pdf</t>
        </is>
      </c>
      <c r="BB1469" t="inlineStr">
        <is>
          <t>VB:  Begäran om utlämnande av allmän handling – Anmälningar och beslut rörande mellanlagring av avfall samt anläggning av ytor</t>
        </is>
      </c>
      <c r="BC1469" t="inlineStr">
        <is>
          <t>AUTO</t>
        </is>
      </c>
      <c r="BD1469" t="inlineStr"/>
      <c r="BE1469" t="inlineStr"/>
      <c r="BF1469" t="inlineStr">
        <is>
          <t>AUTO_GENERERAD. Bekrafta metadata mot kallfil.</t>
        </is>
      </c>
      <c r="BG1469">
        <f>HYPERLINK("C:\Users\jimmy\Desktop\Examens arbete\Kod\Ny mapp\remix_-copy-of-miljöbeslut.se-portal\Anmälningsbeslut.pdf", "Öppna PDF")</f>
        <v/>
      </c>
    </row>
    <row r="1470">
      <c r="A1470" t="inlineStr">
        <is>
          <t>KRAV-AUTO-001469</t>
        </is>
      </c>
      <c r="B1470" t="inlineStr">
        <is>
          <t>ADMIN-INDEX-2026-02-27-00000000125C043F57453246863FE664CAFE6A3F0700950291EA24F0614FB6ACEDB12BF0E31D00000000010C0000950291EA24F0614FB6ACEDB12BF0E31D00002087AECE0000</t>
        </is>
      </c>
      <c r="C1470" t="inlineStr">
        <is>
          <t>cmm4yuoon01swcuqww56b84dt</t>
        </is>
      </c>
      <c r="D1470" t="inlineStr">
        <is>
          <t>http://localhost:8787/api/admin/requirements/documents/cmm4yuoon01swcuqww56b84dt/view</t>
        </is>
      </c>
      <c r="E1470">
        <f>HYPERLÄNK("http://localhost:8787/api/admin/requirements/documents/cmm4yuoon01swcuqww56b84dt/view";"Öppna PDF")</f>
        <v/>
      </c>
      <c r="F1470">
        <f>HYPERLINK("http://localhost:8787/api/admin/requirements/documents/cmm4yuoon01swcuqww56b84dt/view","Open PDF")</f>
        <v/>
      </c>
      <c r="G1470" t="inlineStr">
        <is>
          <t>cmm55w57p0004cuisfrtpqly8</t>
        </is>
      </c>
      <c r="H1470" t="inlineStr">
        <is>
          <t>Informationskrav</t>
        </is>
      </c>
      <c r="I1470" t="inlineStr">
        <is>
          <t>Riskhantering</t>
        </is>
      </c>
      <c r="J1470" t="inlineStr">
        <is>
          <t>Riskkontroll</t>
        </is>
      </c>
      <c r="K1470" t="inlineStr">
        <is>
          <t>Hänsyn ska tas till verksamheten, den plats som verksamheten bedrivs på och andra omständigheter som buller, damning, risk för spill- eller haveri, detaljplan, vattenskyddsområde, naturreservat och invasiva arter.</t>
        </is>
      </c>
      <c r="L1470" t="inlineStr">
        <is>
          <t>Hänsyn ska tas till verksamheten, den plats som verksamheten bedrivs på och andra omständigheter som buller, damning, risk för spill- eller haveri, detaljplan, vattenskyddsområde, naturreservat och invasiva arter.</t>
        </is>
      </c>
      <c r="M1470" t="inlineStr">
        <is>
          <t>SKA</t>
        </is>
      </c>
      <c r="N1470" t="inlineStr"/>
      <c r="O1470" t="inlineStr"/>
      <c r="P1470" t="inlineStr"/>
      <c r="Q1470" t="inlineStr"/>
      <c r="R1470" t="inlineStr">
        <is>
          <t>Vid risk for incident</t>
        </is>
      </c>
      <c r="S1470" t="inlineStr"/>
      <c r="T1470" t="inlineStr">
        <is>
          <t>251107</t>
        </is>
      </c>
      <c r="U1470" t="inlineStr"/>
      <c r="V1470" t="inlineStr"/>
      <c r="W1470" t="inlineStr">
        <is>
          <t>Nej</t>
        </is>
      </c>
      <c r="X1470" t="inlineStr">
        <is>
          <t>Nej</t>
        </is>
      </c>
      <c r="Y1470" t="inlineStr">
        <is>
          <t>Ja</t>
        </is>
      </c>
      <c r="Z1470" t="inlineStr">
        <is>
          <t>Ja</t>
        </is>
      </c>
      <c r="AA1470" t="n">
        <v>8</v>
      </c>
      <c r="AB1470" t="inlineStr">
        <is>
          <t>Riskhantering</t>
        </is>
      </c>
      <c r="AC1470" t="inlineStr">
        <is>
          <t>Risk-PM</t>
        </is>
      </c>
      <c r="AD1470" t="inlineStr">
        <is>
          <t>Nej</t>
        </is>
      </c>
      <c r="AE1470" t="inlineStr">
        <is>
          <t>Nej</t>
        </is>
      </c>
      <c r="AF1470" t="inlineStr">
        <is>
          <t>Ej behandlad</t>
        </is>
      </c>
      <c r="AG1470" t="inlineStr">
        <is>
          <t>AUTO_GENERERAD. Verifiera citat mot kallfil.</t>
        </is>
      </c>
      <c r="AH1470" t="inlineStr">
        <is>
          <t>MEDIUM</t>
        </is>
      </c>
      <c r="AI1470" t="inlineStr">
        <is>
          <t>AUTO</t>
        </is>
      </c>
      <c r="AJ1470" t="inlineStr">
        <is>
          <t>Nej</t>
        </is>
      </c>
      <c r="AK1470" t="inlineStr"/>
      <c r="AL1470" t="inlineStr"/>
      <c r="AM1470" t="inlineStr"/>
      <c r="AN1470" t="inlineStr"/>
      <c r="AO1470" t="inlineStr">
        <is>
          <t>cmm4yuooq01szcuqwo9e3tjcp</t>
        </is>
      </c>
      <c r="AP1470" t="inlineStr">
        <is>
          <t>http://localhost:8787/api/admin/requirements/documents/cmm4yuooq01szcuqwo9e3tjcp/view</t>
        </is>
      </c>
      <c r="AQ1470">
        <f>HYPERLÄNK("http://localhost:8787/api/admin/requirements/documents/cmm4yuooq01szcuqwo9e3tjcp/view";"Öppna PDF")</f>
        <v/>
      </c>
      <c r="AR1470">
        <f>HYPERLINK("http://localhost:8787/api/admin/requirements/documents/cmm4yuooq01szcuqwo9e3tjcp/view","Open PDF")</f>
        <v/>
      </c>
      <c r="AS1470" t="inlineStr">
        <is>
          <t>cmm55w57p0004cuisfrtpqly8</t>
        </is>
      </c>
      <c r="AT1470" t="inlineStr">
        <is>
          <t>cmm4xvu980000cuh4vj0usz09</t>
        </is>
      </c>
      <c r="AU1470" t="inlineStr">
        <is>
          <t>pdf Karlstads</t>
        </is>
      </c>
      <c r="AV1470" t="inlineStr">
        <is>
          <t>Kommun</t>
        </is>
      </c>
      <c r="AW1470" t="inlineStr">
        <is>
          <t>pdf Karlstads kommun</t>
        </is>
      </c>
      <c r="AX1470" t="inlineStr">
        <is>
          <t>2025-3584</t>
        </is>
      </c>
      <c r="AY1470" t="inlineStr">
        <is>
          <t>Anmalan</t>
        </is>
      </c>
      <c r="AZ1470" t="inlineStr">
        <is>
          <t>2026-02-03</t>
        </is>
      </c>
      <c r="BA1470" t="inlineStr">
        <is>
          <t>Anmälningsbeslut.pdf</t>
        </is>
      </c>
      <c r="BB1470" t="inlineStr">
        <is>
          <t>VB:  Begäran om utlämnande av allmän handling – Anmälningar och beslut rörande mellanlagring av avfall samt anläggning av ytor</t>
        </is>
      </c>
      <c r="BC1470" t="inlineStr">
        <is>
          <t>AUTO</t>
        </is>
      </c>
      <c r="BD1470" t="inlineStr"/>
      <c r="BE1470" t="inlineStr"/>
      <c r="BF1470" t="inlineStr">
        <is>
          <t>AUTO_GENERERAD. Bekrafta metadata mot kallfil.</t>
        </is>
      </c>
      <c r="BG1470">
        <f>HYPERLINK("C:\Users\jimmy\Desktop\Examens arbete\Kod\Ny mapp\remix_-copy-of-miljöbeslut.se-portal\Anmälningsbeslut.pdf", "Öppna PDF")</f>
        <v/>
      </c>
    </row>
    <row r="1471">
      <c r="A1471" t="inlineStr">
        <is>
          <t>KRAV-AUTO-001470</t>
        </is>
      </c>
      <c r="B1471" t="inlineStr">
        <is>
          <t>ADMIN-INDEX-2026-02-27-00000000125C043F57453246863FE664CAFE6A3F0700950291EA24F0614FB6ACEDB12BF0E31D00000000010C0000950291EA24F0614FB6ACEDB12BF0E31D00002087AECE0000</t>
        </is>
      </c>
      <c r="C1471" t="inlineStr">
        <is>
          <t>cmm4yuoon01swcuqww56b84dt</t>
        </is>
      </c>
      <c r="D1471" t="inlineStr">
        <is>
          <t>http://localhost:8787/api/admin/requirements/documents/cmm4yuoon01swcuqww56b84dt/view</t>
        </is>
      </c>
      <c r="E1471">
        <f>HYPERLÄNK("http://localhost:8787/api/admin/requirements/documents/cmm4yuoon01swcuqww56b84dt/view";"Öppna PDF")</f>
        <v/>
      </c>
      <c r="F1471">
        <f>HYPERLINK("http://localhost:8787/api/admin/requirements/documents/cmm4yuoon01swcuqww56b84dt/view","Open PDF")</f>
        <v/>
      </c>
      <c r="G1471" t="inlineStr">
        <is>
          <t>cmm55w57p0004cuisfrtpqly8</t>
        </is>
      </c>
      <c r="H1471" t="inlineStr">
        <is>
          <t>Informationskrav</t>
        </is>
      </c>
      <c r="I1471" t="inlineStr">
        <is>
          <t>DagvattenLakvatten</t>
        </is>
      </c>
      <c r="J1471" t="inlineStr">
        <is>
          <t>Uppsamling</t>
        </is>
      </c>
      <c r="K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71" t="inlineStr">
        <is>
          <t>SKA</t>
        </is>
      </c>
      <c r="N1471" t="inlineStr"/>
      <c r="O1471" t="inlineStr">
        <is>
          <t>2025-11-07</t>
        </is>
      </c>
      <c r="P1471" t="inlineStr"/>
      <c r="Q1471" t="inlineStr"/>
      <c r="R1471" t="inlineStr">
        <is>
          <t>Vid nederbord och avrinning</t>
        </is>
      </c>
      <c r="S1471" t="inlineStr"/>
      <c r="T1471" t="inlineStr">
        <is>
          <t>251107</t>
        </is>
      </c>
      <c r="U1471" t="inlineStr"/>
      <c r="V1471" t="inlineStr"/>
      <c r="W1471" t="inlineStr">
        <is>
          <t>Nej</t>
        </is>
      </c>
      <c r="X1471" t="inlineStr">
        <is>
          <t>Ja</t>
        </is>
      </c>
      <c r="Y1471" t="inlineStr">
        <is>
          <t>Ja</t>
        </is>
      </c>
      <c r="Z1471" t="inlineStr">
        <is>
          <t>Nej</t>
        </is>
      </c>
      <c r="AA1471" t="n">
        <v>6</v>
      </c>
      <c r="AB1471" t="inlineStr">
        <is>
          <t>Lakvattenhantering</t>
        </is>
      </c>
      <c r="AC1471" t="inlineStr">
        <is>
          <t>Flodesschema dagvatten-lakvatten</t>
        </is>
      </c>
      <c r="AD1471" t="inlineStr">
        <is>
          <t>Nej</t>
        </is>
      </c>
      <c r="AE1471" t="inlineStr">
        <is>
          <t>Nej</t>
        </is>
      </c>
      <c r="AF1471" t="inlineStr">
        <is>
          <t>Ej behandlad</t>
        </is>
      </c>
      <c r="AG1471" t="inlineStr">
        <is>
          <t>AUTO_GENERERAD. Verifiera citat mot kallfil.</t>
        </is>
      </c>
      <c r="AH1471" t="inlineStr">
        <is>
          <t>MEDIUM</t>
        </is>
      </c>
      <c r="AI1471" t="inlineStr">
        <is>
          <t>AUTO</t>
        </is>
      </c>
      <c r="AJ1471" t="inlineStr">
        <is>
          <t>Nej</t>
        </is>
      </c>
      <c r="AK1471" t="inlineStr"/>
      <c r="AL1471" t="inlineStr"/>
      <c r="AM1471" t="inlineStr"/>
      <c r="AN1471" t="inlineStr"/>
      <c r="AO1471" t="inlineStr">
        <is>
          <t>cmm4yuooq01szcuqwo9e3tjcp</t>
        </is>
      </c>
      <c r="AP1471" t="inlineStr">
        <is>
          <t>http://localhost:8787/api/admin/requirements/documents/cmm4yuooq01szcuqwo9e3tjcp/view</t>
        </is>
      </c>
      <c r="AQ1471">
        <f>HYPERLÄNK("http://localhost:8787/api/admin/requirements/documents/cmm4yuooq01szcuqwo9e3tjcp/view";"Öppna PDF")</f>
        <v/>
      </c>
      <c r="AR1471">
        <f>HYPERLINK("http://localhost:8787/api/admin/requirements/documents/cmm4yuooq01szcuqwo9e3tjcp/view","Open PDF")</f>
        <v/>
      </c>
      <c r="AS1471" t="inlineStr">
        <is>
          <t>cmm55w57p0004cuisfrtpqly8</t>
        </is>
      </c>
      <c r="AT1471" t="inlineStr">
        <is>
          <t>cmm4xvu980000cuh4vj0usz09</t>
        </is>
      </c>
      <c r="AU1471" t="inlineStr">
        <is>
          <t>pdf Karlstads</t>
        </is>
      </c>
      <c r="AV1471" t="inlineStr">
        <is>
          <t>Kommun</t>
        </is>
      </c>
      <c r="AW1471" t="inlineStr">
        <is>
          <t>pdf Karlstads kommun</t>
        </is>
      </c>
      <c r="AX1471" t="inlineStr">
        <is>
          <t>2025-3584</t>
        </is>
      </c>
      <c r="AY1471" t="inlineStr">
        <is>
          <t>Anmalan</t>
        </is>
      </c>
      <c r="AZ1471" t="inlineStr">
        <is>
          <t>2026-02-03</t>
        </is>
      </c>
      <c r="BA1471" t="inlineStr">
        <is>
          <t>Anmälningsbeslut.pdf</t>
        </is>
      </c>
      <c r="BB1471" t="inlineStr">
        <is>
          <t>VB:  Begäran om utlämnande av allmän handling – Anmälningar och beslut rörande mellanlagring av avfall samt anläggning av ytor</t>
        </is>
      </c>
      <c r="BC1471" t="inlineStr">
        <is>
          <t>AUTO</t>
        </is>
      </c>
      <c r="BD1471" t="inlineStr"/>
      <c r="BE1471" t="inlineStr"/>
      <c r="BF1471" t="inlineStr">
        <is>
          <t>AUTO_GENERERAD. Bekrafta metadata mot kallfil.</t>
        </is>
      </c>
      <c r="BG1471">
        <f>HYPERLINK("C:\Users\jimmy\Desktop\Examens arbete\Kod\Ny mapp\remix_-copy-of-miljöbeslut.se-portal\Anmälningsbeslut.pdf", "Öppna PDF")</f>
        <v/>
      </c>
    </row>
    <row r="1472">
      <c r="A1472" t="inlineStr">
        <is>
          <t>KRAV-AUTO-001471</t>
        </is>
      </c>
      <c r="B1472" t="inlineStr">
        <is>
          <t>ADMIN-INDEX-2026-02-27-00000000125C043F57453246863FE664CAFE6A3F0700950291EA24F0614FB6ACEDB12BF0E31D00000000010C0000950291EA24F0614FB6ACEDB12BF0E31D00002087AECF0000</t>
        </is>
      </c>
      <c r="C1472" t="inlineStr">
        <is>
          <t>cmm4yuooh01sqcuqwljg8bolr</t>
        </is>
      </c>
      <c r="D1472" t="inlineStr">
        <is>
          <t>http://localhost:8787/api/admin/requirements/documents/cmm4yuooh01sqcuqwljg8bolr/view</t>
        </is>
      </c>
      <c r="E1472">
        <f>HYPERLÄNK("http://localhost:8787/api/admin/requirements/documents/cmm4yuooh01sqcuqwljg8bolr/view";"Öppna PDF")</f>
        <v/>
      </c>
      <c r="F1472">
        <f>HYPERLINK("http://localhost:8787/api/admin/requirements/documents/cmm4yuooh01sqcuqwljg8bolr/view","Open PDF")</f>
        <v/>
      </c>
      <c r="G1472" t="inlineStr">
        <is>
          <t>cmm55w57p0004cuisfrtpqly8</t>
        </is>
      </c>
      <c r="H1472" t="inlineStr">
        <is>
          <t>Beslutsvillkor</t>
        </is>
      </c>
      <c r="I1472" t="inlineStr">
        <is>
          <t>Riskhantering</t>
        </is>
      </c>
      <c r="J1472" t="inlineStr">
        <is>
          <t>Riskkontroll</t>
        </is>
      </c>
      <c r="K1472" t="inlineStr">
        <is>
          <t>Mängden massor uppskattas årligen till ca 10–50 ton och innehåller halter över mindre känslig markanvändning, känslig markanvändning samt mindre ringa risk.</t>
        </is>
      </c>
      <c r="L1472" t="inlineStr">
        <is>
          <t>Mängden massor uppskattas årligen till ca 10–50 ton och innehåller halter över mindre känslig markanvändning, känslig markanvändning samt mindre ringa risk.</t>
        </is>
      </c>
      <c r="M1472" t="inlineStr">
        <is>
          <t>SKA</t>
        </is>
      </c>
      <c r="N1472" t="inlineStr"/>
      <c r="O1472" t="inlineStr"/>
      <c r="P1472" t="inlineStr">
        <is>
          <t>Arlig</t>
        </is>
      </c>
      <c r="Q1472" t="inlineStr"/>
      <c r="R1472" t="inlineStr">
        <is>
          <t>Vid risk for incident</t>
        </is>
      </c>
      <c r="S1472" t="inlineStr"/>
      <c r="T1472" t="inlineStr">
        <is>
          <t>19 11 90</t>
        </is>
      </c>
      <c r="U1472" t="n">
        <v>50</v>
      </c>
      <c r="V1472" t="inlineStr"/>
      <c r="W1472" t="inlineStr">
        <is>
          <t>Nej</t>
        </is>
      </c>
      <c r="X1472" t="inlineStr">
        <is>
          <t>Nej</t>
        </is>
      </c>
      <c r="Y1472" t="inlineStr">
        <is>
          <t>Ja</t>
        </is>
      </c>
      <c r="Z1472" t="inlineStr">
        <is>
          <t>Ja</t>
        </is>
      </c>
      <c r="AA1472" t="n">
        <v>8</v>
      </c>
      <c r="AB1472" t="inlineStr">
        <is>
          <t>Riskhantering</t>
        </is>
      </c>
      <c r="AC1472" t="inlineStr">
        <is>
          <t>Risk-PM</t>
        </is>
      </c>
      <c r="AD1472" t="inlineStr">
        <is>
          <t>Nej</t>
        </is>
      </c>
      <c r="AE1472" t="inlineStr">
        <is>
          <t>Nej</t>
        </is>
      </c>
      <c r="AF1472" t="inlineStr">
        <is>
          <t>Ej behandlad</t>
        </is>
      </c>
      <c r="AG1472" t="inlineStr">
        <is>
          <t>AUTO_GENERERAD. Verifiera citat mot kallfil.</t>
        </is>
      </c>
      <c r="AH1472" t="inlineStr">
        <is>
          <t>MEDIUM</t>
        </is>
      </c>
      <c r="AI1472" t="inlineStr">
        <is>
          <t>AUTO</t>
        </is>
      </c>
      <c r="AJ1472" t="inlineStr">
        <is>
          <t>Nej</t>
        </is>
      </c>
      <c r="AK1472" t="inlineStr"/>
      <c r="AL1472" t="inlineStr"/>
      <c r="AM1472" t="inlineStr"/>
      <c r="AN1472" t="inlineStr"/>
      <c r="AO1472" t="inlineStr">
        <is>
          <t>cmm4yuooh01sqcuqwljg8bolr</t>
        </is>
      </c>
      <c r="AP1472" t="inlineStr">
        <is>
          <t>http://localhost:8787/api/admin/requirements/documents/cmm4yuooh01sqcuqwljg8bolr/view</t>
        </is>
      </c>
      <c r="AQ1472">
        <f>HYPERLÄNK("http://localhost:8787/api/admin/requirements/documents/cmm4yuooh01sqcuqwljg8bolr/view";"Öppna PDF")</f>
        <v/>
      </c>
      <c r="AR1472">
        <f>HYPERLINK("http://localhost:8787/api/admin/requirements/documents/cmm4yuooh01sqcuqwljg8bolr/view","Open PDF")</f>
        <v/>
      </c>
      <c r="AS1472" t="inlineStr">
        <is>
          <t>cmm55w57p0004cuisfrtpqly8</t>
        </is>
      </c>
      <c r="AT1472" t="inlineStr">
        <is>
          <t>cmm4xvu980000cuh4vj0usz09</t>
        </is>
      </c>
      <c r="AU1472" t="inlineStr">
        <is>
          <t>Sundsvalls</t>
        </is>
      </c>
      <c r="AV1472" t="inlineStr">
        <is>
          <t>Kommun</t>
        </is>
      </c>
      <c r="AW1472" t="inlineStr">
        <is>
          <t>Sundsvalls kommun</t>
        </is>
      </c>
      <c r="AX1472" t="inlineStr">
        <is>
          <t>2023-1834</t>
        </is>
      </c>
      <c r="AY1472" t="inlineStr">
        <is>
          <t>Beslut</t>
        </is>
      </c>
      <c r="AZ1472" t="inlineStr">
        <is>
          <t>2026-02-03</t>
        </is>
      </c>
      <c r="BA1472" t="inlineStr">
        <is>
          <t>Generellt beslut.pdf</t>
        </is>
      </c>
      <c r="BB1472" t="inlineStr">
        <is>
          <t>VB: till registrator</t>
        </is>
      </c>
      <c r="BC1472" t="inlineStr">
        <is>
          <t>AUTO</t>
        </is>
      </c>
      <c r="BD1472" t="inlineStr"/>
      <c r="BE1472" t="inlineStr"/>
      <c r="BF1472" t="inlineStr">
        <is>
          <t>AUTO_GENERERAD. Bekrafta metadata mot kallfil.</t>
        </is>
      </c>
      <c r="BG1472">
        <f>HYPERLINK("C:\Users\jimmy\Desktop\Examens arbete\Kod\Ny mapp\remix_-copy-of-miljöbeslut.se-portal\Generellt beslut.pdf", "Öppna PDF")</f>
        <v/>
      </c>
    </row>
    <row r="1473">
      <c r="A1473" t="inlineStr">
        <is>
          <t>KRAV-AUTO-001472</t>
        </is>
      </c>
      <c r="B1473" t="inlineStr">
        <is>
          <t>ADMIN-INDEX-2026-02-27-00000000125C043F57453246863FE664CAFE6A3F0700950291EA24F0614FB6ACEDB12BF0E31D00000000010C0000950291EA24F0614FB6ACEDB12BF0E31D00002087AECF0000</t>
        </is>
      </c>
      <c r="C1473" t="inlineStr">
        <is>
          <t>cmm4yuooh01sqcuqwljg8bolr</t>
        </is>
      </c>
      <c r="D1473" t="inlineStr">
        <is>
          <t>http://localhost:8787/api/admin/requirements/documents/cmm4yuooh01sqcuqwljg8bolr/view</t>
        </is>
      </c>
      <c r="E1473">
        <f>HYPERLÄNK("http://localhost:8787/api/admin/requirements/documents/cmm4yuooh01sqcuqwljg8bolr/view";"Öppna PDF")</f>
        <v/>
      </c>
      <c r="F1473">
        <f>HYPERLINK("http://localhost:8787/api/admin/requirements/documents/cmm4yuooh01sqcuqwljg8bolr/view","Open PDF")</f>
        <v/>
      </c>
      <c r="G1473" t="inlineStr">
        <is>
          <t>cmm55w57p0004cuisfrtpqly8</t>
        </is>
      </c>
      <c r="H1473" t="inlineStr">
        <is>
          <t>Beslutsvillkor</t>
        </is>
      </c>
      <c r="I1473" t="inlineStr">
        <is>
          <t>MiljopaverkanForsiktighet</t>
        </is>
      </c>
      <c r="J1473" t="inlineStr">
        <is>
          <t>Skyddsatgarder</t>
        </is>
      </c>
      <c r="K1473" t="inlineStr">
        <is>
          <t>Det krävs beslut om återvinning av avfall eller ämnen som har liknade egenskaper som grönlutslam, aska och lera, se sid 3 under bemyndigande för tillsynsmyndigheten (tillstånd M 1338–07).</t>
        </is>
      </c>
      <c r="L1473" t="inlineStr">
        <is>
          <t>Det krävs beslut om återvinning av avfall eller ämnen som har liknade egenskaper som grönlutslam, aska och lera, se sid 3 under bemyndigande för tillsynsmyndigheten (tillstånd M 1338–07).</t>
        </is>
      </c>
      <c r="M1473" t="inlineStr">
        <is>
          <t>SKA</t>
        </is>
      </c>
      <c r="N1473" t="inlineStr"/>
      <c r="O1473" t="inlineStr"/>
      <c r="P1473" t="inlineStr"/>
      <c r="Q1473" t="inlineStr"/>
      <c r="R1473" t="inlineStr">
        <is>
          <t>Alltid</t>
        </is>
      </c>
      <c r="S1473" t="inlineStr"/>
      <c r="T1473" t="inlineStr">
        <is>
          <t>19 11 90</t>
        </is>
      </c>
      <c r="U1473" t="inlineStr"/>
      <c r="V1473" t="inlineStr"/>
      <c r="W1473" t="inlineStr">
        <is>
          <t>Nej</t>
        </is>
      </c>
      <c r="X1473" t="inlineStr">
        <is>
          <t>Nej</t>
        </is>
      </c>
      <c r="Y1473" t="inlineStr">
        <is>
          <t>Nej</t>
        </is>
      </c>
      <c r="Z1473" t="inlineStr">
        <is>
          <t>Nej</t>
        </is>
      </c>
      <c r="AA1473" t="n">
        <v>10</v>
      </c>
      <c r="AB1473" t="inlineStr">
        <is>
          <t>Miljopaverkan och forsiktighetsmatt</t>
        </is>
      </c>
      <c r="AC1473" t="inlineStr">
        <is>
          <t>Miljo-PM</t>
        </is>
      </c>
      <c r="AD1473" t="inlineStr">
        <is>
          <t>Nej</t>
        </is>
      </c>
      <c r="AE1473" t="inlineStr">
        <is>
          <t>Nej</t>
        </is>
      </c>
      <c r="AF1473" t="inlineStr">
        <is>
          <t>Ej behandlad</t>
        </is>
      </c>
      <c r="AG1473" t="inlineStr">
        <is>
          <t>AUTO_GENERERAD. Verifiera citat mot kallfil.</t>
        </is>
      </c>
      <c r="AH1473" t="inlineStr">
        <is>
          <t>MEDIUM</t>
        </is>
      </c>
      <c r="AI1473" t="inlineStr">
        <is>
          <t>AUTO</t>
        </is>
      </c>
      <c r="AJ1473" t="inlineStr">
        <is>
          <t>Nej</t>
        </is>
      </c>
      <c r="AK1473" t="inlineStr"/>
      <c r="AL1473" t="inlineStr"/>
      <c r="AM1473" t="inlineStr"/>
      <c r="AN1473" t="inlineStr"/>
      <c r="AO1473" t="inlineStr">
        <is>
          <t>cmm4yuooh01sqcuqwljg8bolr</t>
        </is>
      </c>
      <c r="AP1473" t="inlineStr">
        <is>
          <t>http://localhost:8787/api/admin/requirements/documents/cmm4yuooh01sqcuqwljg8bolr/view</t>
        </is>
      </c>
      <c r="AQ1473">
        <f>HYPERLÄNK("http://localhost:8787/api/admin/requirements/documents/cmm4yuooh01sqcuqwljg8bolr/view";"Öppna PDF")</f>
        <v/>
      </c>
      <c r="AR1473">
        <f>HYPERLINK("http://localhost:8787/api/admin/requirements/documents/cmm4yuooh01sqcuqwljg8bolr/view","Open PDF")</f>
        <v/>
      </c>
      <c r="AS1473" t="inlineStr">
        <is>
          <t>cmm55w57p0004cuisfrtpqly8</t>
        </is>
      </c>
      <c r="AT1473" t="inlineStr">
        <is>
          <t>cmm4xvu980000cuh4vj0usz09</t>
        </is>
      </c>
      <c r="AU1473" t="inlineStr">
        <is>
          <t>Sundsvalls</t>
        </is>
      </c>
      <c r="AV1473" t="inlineStr">
        <is>
          <t>Kommun</t>
        </is>
      </c>
      <c r="AW1473" t="inlineStr">
        <is>
          <t>Sundsvalls kommun</t>
        </is>
      </c>
      <c r="AX1473" t="inlineStr">
        <is>
          <t>2023-1834</t>
        </is>
      </c>
      <c r="AY1473" t="inlineStr">
        <is>
          <t>Beslut</t>
        </is>
      </c>
      <c r="AZ1473" t="inlineStr">
        <is>
          <t>2026-02-03</t>
        </is>
      </c>
      <c r="BA1473" t="inlineStr">
        <is>
          <t>Generellt beslut.pdf</t>
        </is>
      </c>
      <c r="BB1473" t="inlineStr">
        <is>
          <t>VB: till registrator</t>
        </is>
      </c>
      <c r="BC1473" t="inlineStr">
        <is>
          <t>AUTO</t>
        </is>
      </c>
      <c r="BD1473" t="inlineStr"/>
      <c r="BE1473" t="inlineStr"/>
      <c r="BF1473" t="inlineStr">
        <is>
          <t>AUTO_GENERERAD. Bekrafta metadata mot kallfil.</t>
        </is>
      </c>
      <c r="BG1473">
        <f>HYPERLINK("C:\Users\jimmy\Desktop\Examens arbete\Kod\Ny mapp\remix_-copy-of-miljöbeslut.se-portal\Generellt beslut.pdf", "Öppna PDF")</f>
        <v/>
      </c>
    </row>
    <row r="1474">
      <c r="A1474" t="inlineStr">
        <is>
          <t>KRAV-AUTO-001473</t>
        </is>
      </c>
      <c r="B1474" t="inlineStr">
        <is>
          <t>ADMIN-INDEX-2026-02-27-00000000125C043F57453246863FE664CAFE6A3F0700950291EA24F0614FB6ACEDB12BF0E31D00000000010C0000950291EA24F0614FB6ACEDB12BF0E31D00002087AECF0000</t>
        </is>
      </c>
      <c r="C1474" t="inlineStr">
        <is>
          <t>cmm4yuooh01sqcuqwljg8bolr</t>
        </is>
      </c>
      <c r="D1474" t="inlineStr">
        <is>
          <t>http://localhost:8787/api/admin/requirements/documents/cmm4yuooh01sqcuqwljg8bolr/view</t>
        </is>
      </c>
      <c r="E1474">
        <f>HYPERLÄNK("http://localhost:8787/api/admin/requirements/documents/cmm4yuooh01sqcuqwljg8bolr/view";"Öppna PDF")</f>
        <v/>
      </c>
      <c r="F1474">
        <f>HYPERLINK("http://localhost:8787/api/admin/requirements/documents/cmm4yuooh01sqcuqwljg8bolr/view","Open PDF")</f>
        <v/>
      </c>
      <c r="G1474" t="inlineStr">
        <is>
          <t>cmm55w57p0004cuisfrtpqly8</t>
        </is>
      </c>
      <c r="H1474" t="inlineStr">
        <is>
          <t>Beslutsvillkor</t>
        </is>
      </c>
      <c r="I1474" t="inlineStr">
        <is>
          <t>DriftEgenkontroll</t>
        </is>
      </c>
      <c r="J1474" t="inlineStr">
        <is>
          <t>Journalforing</t>
        </is>
      </c>
      <c r="K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74" t="inlineStr">
        <is>
          <t>SKA</t>
        </is>
      </c>
      <c r="N1474" t="inlineStr"/>
      <c r="O1474" t="inlineStr">
        <is>
          <t>2022-07-26</t>
        </is>
      </c>
      <c r="P1474" t="inlineStr"/>
      <c r="Q1474" t="inlineStr"/>
      <c r="R1474" t="inlineStr">
        <is>
          <t>Lopande drift</t>
        </is>
      </c>
      <c r="S1474" t="inlineStr"/>
      <c r="T1474" t="inlineStr">
        <is>
          <t>19 11 90</t>
        </is>
      </c>
      <c r="U1474" t="inlineStr"/>
      <c r="V1474" t="inlineStr"/>
      <c r="W1474" t="inlineStr">
        <is>
          <t>Nej</t>
        </is>
      </c>
      <c r="X1474" t="inlineStr">
        <is>
          <t>Nej</t>
        </is>
      </c>
      <c r="Y1474" t="inlineStr">
        <is>
          <t>Ja</t>
        </is>
      </c>
      <c r="Z1474" t="inlineStr">
        <is>
          <t>Nej</t>
        </is>
      </c>
      <c r="AA1474" t="n">
        <v>7</v>
      </c>
      <c r="AB1474" t="inlineStr">
        <is>
          <t>Egenkontrollrutiner</t>
        </is>
      </c>
      <c r="AC1474" t="inlineStr">
        <is>
          <t>Egenkontrollprogram</t>
        </is>
      </c>
      <c r="AD1474" t="inlineStr">
        <is>
          <t>Nej</t>
        </is>
      </c>
      <c r="AE1474" t="inlineStr">
        <is>
          <t>Nej</t>
        </is>
      </c>
      <c r="AF1474" t="inlineStr">
        <is>
          <t>Ej behandlad</t>
        </is>
      </c>
      <c r="AG1474" t="inlineStr">
        <is>
          <t>AUTO_GENERERAD. Verifiera citat mot kallfil.</t>
        </is>
      </c>
      <c r="AH1474" t="inlineStr">
        <is>
          <t>MEDIUM</t>
        </is>
      </c>
      <c r="AI1474" t="inlineStr">
        <is>
          <t>AUTO</t>
        </is>
      </c>
      <c r="AJ1474" t="inlineStr">
        <is>
          <t>Nej</t>
        </is>
      </c>
      <c r="AK1474" t="inlineStr"/>
      <c r="AL1474" t="inlineStr"/>
      <c r="AM1474" t="inlineStr"/>
      <c r="AN1474" t="inlineStr"/>
      <c r="AO1474" t="inlineStr">
        <is>
          <t>cmm4yuooh01sqcuqwljg8bolr</t>
        </is>
      </c>
      <c r="AP1474" t="inlineStr">
        <is>
          <t>http://localhost:8787/api/admin/requirements/documents/cmm4yuooh01sqcuqwljg8bolr/view</t>
        </is>
      </c>
      <c r="AQ1474">
        <f>HYPERLÄNK("http://localhost:8787/api/admin/requirements/documents/cmm4yuooh01sqcuqwljg8bolr/view";"Öppna PDF")</f>
        <v/>
      </c>
      <c r="AR1474">
        <f>HYPERLINK("http://localhost:8787/api/admin/requirements/documents/cmm4yuooh01sqcuqwljg8bolr/view","Open PDF")</f>
        <v/>
      </c>
      <c r="AS1474" t="inlineStr">
        <is>
          <t>cmm55w57p0004cuisfrtpqly8</t>
        </is>
      </c>
      <c r="AT1474" t="inlineStr">
        <is>
          <t>cmm4xvu980000cuh4vj0usz09</t>
        </is>
      </c>
      <c r="AU1474" t="inlineStr">
        <is>
          <t>Sundsvalls</t>
        </is>
      </c>
      <c r="AV1474" t="inlineStr">
        <is>
          <t>Kommun</t>
        </is>
      </c>
      <c r="AW1474" t="inlineStr">
        <is>
          <t>Sundsvalls kommun</t>
        </is>
      </c>
      <c r="AX1474" t="inlineStr">
        <is>
          <t>2023-1834</t>
        </is>
      </c>
      <c r="AY1474" t="inlineStr">
        <is>
          <t>Beslut</t>
        </is>
      </c>
      <c r="AZ1474" t="inlineStr">
        <is>
          <t>2026-02-03</t>
        </is>
      </c>
      <c r="BA1474" t="inlineStr">
        <is>
          <t>Generellt beslut.pdf</t>
        </is>
      </c>
      <c r="BB1474" t="inlineStr">
        <is>
          <t>VB: till registrator</t>
        </is>
      </c>
      <c r="BC1474" t="inlineStr">
        <is>
          <t>AUTO</t>
        </is>
      </c>
      <c r="BD1474" t="inlineStr"/>
      <c r="BE1474" t="inlineStr"/>
      <c r="BF1474" t="inlineStr">
        <is>
          <t>AUTO_GENERERAD. Bekrafta metadata mot kallfil.</t>
        </is>
      </c>
      <c r="BG1474">
        <f>HYPERLINK("C:\Users\jimmy\Desktop\Examens arbete\Kod\Ny mapp\remix_-copy-of-miljöbeslut.se-portal\Generellt beslut.pdf", "Öppna PDF")</f>
        <v/>
      </c>
    </row>
    <row r="1475">
      <c r="A1475" t="inlineStr">
        <is>
          <t>KRAV-AUTO-001474</t>
        </is>
      </c>
      <c r="B1475" t="inlineStr">
        <is>
          <t>ADMIN-INDEX-2026-02-27-00000000125C043F57453246863FE664CAFE6A3F0700950291EA24F0614FB6ACEDB12BF0E31D00000000010C0000950291EA24F0614FB6ACEDB12BF0E31D00002087AECF0000</t>
        </is>
      </c>
      <c r="C1475" t="inlineStr">
        <is>
          <t>cmm4yuoob01skcuqwvficzbzo</t>
        </is>
      </c>
      <c r="D1475" t="inlineStr">
        <is>
          <t>http://localhost:8787/api/admin/requirements/documents/cmm4yuoob01skcuqwvficzbzo/view</t>
        </is>
      </c>
      <c r="E1475">
        <f>HYPERLÄNK("http://localhost:8787/api/admin/requirements/documents/cmm4yuoob01skcuqwvficzbzo/view";"Öppna PDF")</f>
        <v/>
      </c>
      <c r="F1475">
        <f>HYPERLINK("http://localhost:8787/api/admin/requirements/documents/cmm4yuoob01skcuqwvficzbzo/view","Open PDF")</f>
        <v/>
      </c>
      <c r="G1475" t="inlineStr">
        <is>
          <t>cmm55w57p0004cuisfrtpqly8</t>
        </is>
      </c>
      <c r="H1475" t="inlineStr">
        <is>
          <t>Beslutsvillkor</t>
        </is>
      </c>
      <c r="I1475" t="inlineStr">
        <is>
          <t>DriftEgenkontroll</t>
        </is>
      </c>
      <c r="J1475" t="inlineStr">
        <is>
          <t>Journalforing</t>
        </is>
      </c>
      <c r="K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75" t="inlineStr">
        <is>
          <t>SKA</t>
        </is>
      </c>
      <c r="N1475" t="inlineStr"/>
      <c r="O1475" t="inlineStr"/>
      <c r="P1475" t="inlineStr"/>
      <c r="Q1475" t="inlineStr"/>
      <c r="R1475" t="inlineStr">
        <is>
          <t>Lopande drift</t>
        </is>
      </c>
      <c r="S1475" t="inlineStr"/>
      <c r="T1475" t="inlineStr">
        <is>
          <t>19 11 90</t>
        </is>
      </c>
      <c r="U1475" t="inlineStr"/>
      <c r="V1475" t="inlineStr"/>
      <c r="W1475" t="inlineStr">
        <is>
          <t>Nej</t>
        </is>
      </c>
      <c r="X1475" t="inlineStr">
        <is>
          <t>Nej</t>
        </is>
      </c>
      <c r="Y1475" t="inlineStr">
        <is>
          <t>Ja</t>
        </is>
      </c>
      <c r="Z1475" t="inlineStr">
        <is>
          <t>Nej</t>
        </is>
      </c>
      <c r="AA1475" t="n">
        <v>7</v>
      </c>
      <c r="AB1475" t="inlineStr">
        <is>
          <t>Egenkontrollrutiner</t>
        </is>
      </c>
      <c r="AC1475" t="inlineStr">
        <is>
          <t>Egenkontrollprogram</t>
        </is>
      </c>
      <c r="AD1475" t="inlineStr">
        <is>
          <t>Nej</t>
        </is>
      </c>
      <c r="AE1475" t="inlineStr">
        <is>
          <t>Nej</t>
        </is>
      </c>
      <c r="AF1475" t="inlineStr">
        <is>
          <t>Ej behandlad</t>
        </is>
      </c>
      <c r="AG1475" t="inlineStr">
        <is>
          <t>AUTO_GENERERAD. Verifiera citat mot kallfil.</t>
        </is>
      </c>
      <c r="AH1475" t="inlineStr">
        <is>
          <t>MEDIUM</t>
        </is>
      </c>
      <c r="AI1475" t="inlineStr">
        <is>
          <t>AUTO</t>
        </is>
      </c>
      <c r="AJ1475" t="inlineStr">
        <is>
          <t>Nej</t>
        </is>
      </c>
      <c r="AK1475" t="inlineStr"/>
      <c r="AL1475" t="inlineStr"/>
      <c r="AM1475" t="inlineStr"/>
      <c r="AN1475" t="inlineStr"/>
      <c r="AO1475" t="inlineStr">
        <is>
          <t>cmm4yuooh01sqcuqwljg8bolr</t>
        </is>
      </c>
      <c r="AP1475" t="inlineStr">
        <is>
          <t>http://localhost:8787/api/admin/requirements/documents/cmm4yuooh01sqcuqwljg8bolr/view</t>
        </is>
      </c>
      <c r="AQ1475">
        <f>HYPERLÄNK("http://localhost:8787/api/admin/requirements/documents/cmm4yuooh01sqcuqwljg8bolr/view";"Öppna PDF")</f>
        <v/>
      </c>
      <c r="AR1475">
        <f>HYPERLINK("http://localhost:8787/api/admin/requirements/documents/cmm4yuooh01sqcuqwljg8bolr/view","Open PDF")</f>
        <v/>
      </c>
      <c r="AS1475" t="inlineStr">
        <is>
          <t>cmm55w57p0004cuisfrtpqly8</t>
        </is>
      </c>
      <c r="AT1475" t="inlineStr">
        <is>
          <t>cmm4xvu980000cuh4vj0usz09</t>
        </is>
      </c>
      <c r="AU1475" t="inlineStr">
        <is>
          <t>Sundsvalls</t>
        </is>
      </c>
      <c r="AV1475" t="inlineStr">
        <is>
          <t>Kommun</t>
        </is>
      </c>
      <c r="AW1475" t="inlineStr">
        <is>
          <t>Sundsvalls kommun</t>
        </is>
      </c>
      <c r="AX1475" t="inlineStr">
        <is>
          <t>2023-1834</t>
        </is>
      </c>
      <c r="AY1475" t="inlineStr">
        <is>
          <t>Beslut</t>
        </is>
      </c>
      <c r="AZ1475" t="inlineStr">
        <is>
          <t>2026-02-03</t>
        </is>
      </c>
      <c r="BA1475" t="inlineStr">
        <is>
          <t>Generellt beslut.pdf</t>
        </is>
      </c>
      <c r="BB1475" t="inlineStr">
        <is>
          <t>VB: till registrator</t>
        </is>
      </c>
      <c r="BC1475" t="inlineStr">
        <is>
          <t>AUTO</t>
        </is>
      </c>
      <c r="BD1475" t="inlineStr"/>
      <c r="BE1475" t="inlineStr"/>
      <c r="BF1475" t="inlineStr">
        <is>
          <t>AUTO_GENERERAD. Bekrafta metadata mot kallfil.</t>
        </is>
      </c>
      <c r="BG1475">
        <f>HYPERLINK("C:\Users\jimmy\Desktop\Examens arbete\Kod\Ny mapp\remix_-copy-of-miljöbeslut.se-portal\Generellt beslut.pdf", "Öppna PDF")</f>
        <v/>
      </c>
    </row>
    <row r="1476">
      <c r="A1476" t="inlineStr">
        <is>
          <t>KRAV-AUTO-001475</t>
        </is>
      </c>
      <c r="B1476" t="inlineStr">
        <is>
          <t>ADMIN-INDEX-2026-02-27-00000000125C043F57453246863FE664CAFE6A3F0700950291EA24F0614FB6ACEDB12BF0E31D00000000010C0000950291EA24F0614FB6ACEDB12BF0E31D00002087AECF0000</t>
        </is>
      </c>
      <c r="C1476" t="inlineStr">
        <is>
          <t>cmm4yuoob01skcuqwvficzbzo</t>
        </is>
      </c>
      <c r="D1476" t="inlineStr">
        <is>
          <t>http://localhost:8787/api/admin/requirements/documents/cmm4yuoob01skcuqwvficzbzo/view</t>
        </is>
      </c>
      <c r="E1476">
        <f>HYPERLÄNK("http://localhost:8787/api/admin/requirements/documents/cmm4yuoob01skcuqwvficzbzo/view";"Öppna PDF")</f>
        <v/>
      </c>
      <c r="F1476">
        <f>HYPERLINK("http://localhost:8787/api/admin/requirements/documents/cmm4yuoob01skcuqwvficzbzo/view","Open PDF")</f>
        <v/>
      </c>
      <c r="G1476" t="inlineStr">
        <is>
          <t>cmm55w57p0004cuisfrtpqly8</t>
        </is>
      </c>
      <c r="H1476" t="inlineStr">
        <is>
          <t>Beslutsvillkor</t>
        </is>
      </c>
      <c r="I1476" t="inlineStr">
        <is>
          <t>DagvattenLakvatten</t>
        </is>
      </c>
      <c r="J1476" t="inlineStr">
        <is>
          <t>Uppsamling</t>
        </is>
      </c>
      <c r="K1476" t="inlineStr">
        <is>
          <t>C) Grävning och lastning ska ske på ett sådant sätt att risken för materialflykt och föroreningsspridning till omgivningen förebyggs.</t>
        </is>
      </c>
      <c r="L1476" t="inlineStr">
        <is>
          <t>C) Grävning och lastning ska ske på ett sådant sätt att risken för materialflykt och föroreningsspridning till omgivningen förebyggs.</t>
        </is>
      </c>
      <c r="M1476" t="inlineStr">
        <is>
          <t>SKA</t>
        </is>
      </c>
      <c r="N1476" t="inlineStr"/>
      <c r="O1476" t="inlineStr"/>
      <c r="P1476" t="inlineStr"/>
      <c r="Q1476" t="inlineStr"/>
      <c r="R1476" t="inlineStr">
        <is>
          <t>Vid nederbord och avrinning</t>
        </is>
      </c>
      <c r="S1476" t="inlineStr"/>
      <c r="T1476" t="inlineStr">
        <is>
          <t>19 11 90</t>
        </is>
      </c>
      <c r="U1476" t="inlineStr"/>
      <c r="V1476" t="inlineStr"/>
      <c r="W1476" t="inlineStr">
        <is>
          <t>Nej</t>
        </is>
      </c>
      <c r="X1476" t="inlineStr">
        <is>
          <t>Ja</t>
        </is>
      </c>
      <c r="Y1476" t="inlineStr">
        <is>
          <t>Ja</t>
        </is>
      </c>
      <c r="Z1476" t="inlineStr">
        <is>
          <t>Nej</t>
        </is>
      </c>
      <c r="AA1476" t="n">
        <v>6</v>
      </c>
      <c r="AB1476" t="inlineStr">
        <is>
          <t>Lakvattenhantering</t>
        </is>
      </c>
      <c r="AC1476" t="inlineStr">
        <is>
          <t>Flodesschema dagvatten-lakvatten</t>
        </is>
      </c>
      <c r="AD1476" t="inlineStr">
        <is>
          <t>Nej</t>
        </is>
      </c>
      <c r="AE1476" t="inlineStr">
        <is>
          <t>Nej</t>
        </is>
      </c>
      <c r="AF1476" t="inlineStr">
        <is>
          <t>Ej behandlad</t>
        </is>
      </c>
      <c r="AG1476" t="inlineStr">
        <is>
          <t>AUTO_GENERERAD. Verifiera citat mot kallfil.</t>
        </is>
      </c>
      <c r="AH1476" t="inlineStr">
        <is>
          <t>MEDIUM</t>
        </is>
      </c>
      <c r="AI1476" t="inlineStr">
        <is>
          <t>AUTO</t>
        </is>
      </c>
      <c r="AJ1476" t="inlineStr">
        <is>
          <t>Nej</t>
        </is>
      </c>
      <c r="AK1476" t="inlineStr"/>
      <c r="AL1476" t="inlineStr"/>
      <c r="AM1476" t="inlineStr"/>
      <c r="AN1476" t="inlineStr"/>
      <c r="AO1476" t="inlineStr">
        <is>
          <t>cmm4yuooh01sqcuqwljg8bolr</t>
        </is>
      </c>
      <c r="AP1476" t="inlineStr">
        <is>
          <t>http://localhost:8787/api/admin/requirements/documents/cmm4yuooh01sqcuqwljg8bolr/view</t>
        </is>
      </c>
      <c r="AQ1476">
        <f>HYPERLÄNK("http://localhost:8787/api/admin/requirements/documents/cmm4yuooh01sqcuqwljg8bolr/view";"Öppna PDF")</f>
        <v/>
      </c>
      <c r="AR1476">
        <f>HYPERLINK("http://localhost:8787/api/admin/requirements/documents/cmm4yuooh01sqcuqwljg8bolr/view","Open PDF")</f>
        <v/>
      </c>
      <c r="AS1476" t="inlineStr">
        <is>
          <t>cmm55w57p0004cuisfrtpqly8</t>
        </is>
      </c>
      <c r="AT1476" t="inlineStr">
        <is>
          <t>cmm4xvu980000cuh4vj0usz09</t>
        </is>
      </c>
      <c r="AU1476" t="inlineStr">
        <is>
          <t>Sundsvalls</t>
        </is>
      </c>
      <c r="AV1476" t="inlineStr">
        <is>
          <t>Kommun</t>
        </is>
      </c>
      <c r="AW1476" t="inlineStr">
        <is>
          <t>Sundsvalls kommun</t>
        </is>
      </c>
      <c r="AX1476" t="inlineStr">
        <is>
          <t>2023-1834</t>
        </is>
      </c>
      <c r="AY1476" t="inlineStr">
        <is>
          <t>Beslut</t>
        </is>
      </c>
      <c r="AZ1476" t="inlineStr">
        <is>
          <t>2026-02-03</t>
        </is>
      </c>
      <c r="BA1476" t="inlineStr">
        <is>
          <t>Generellt beslut.pdf</t>
        </is>
      </c>
      <c r="BB1476" t="inlineStr">
        <is>
          <t>VB: till registrator</t>
        </is>
      </c>
      <c r="BC1476" t="inlineStr">
        <is>
          <t>AUTO</t>
        </is>
      </c>
      <c r="BD1476" t="inlineStr"/>
      <c r="BE1476" t="inlineStr"/>
      <c r="BF1476" t="inlineStr">
        <is>
          <t>AUTO_GENERERAD. Bekrafta metadata mot kallfil.</t>
        </is>
      </c>
      <c r="BG1476">
        <f>HYPERLINK("C:\Users\jimmy\Desktop\Examens arbete\Kod\Ny mapp\remix_-copy-of-miljöbeslut.se-portal\Generellt beslut.pdf", "Öppna PDF")</f>
        <v/>
      </c>
    </row>
    <row r="1477">
      <c r="A1477" t="inlineStr">
        <is>
          <t>KRAV-AUTO-001476</t>
        </is>
      </c>
      <c r="B1477" t="inlineStr">
        <is>
          <t>ADMIN-INDEX-2026-02-27-00000000125C043F57453246863FE664CAFE6A3F0700950291EA24F0614FB6ACEDB12BF0E31D00000000010C0000950291EA24F0614FB6ACEDB12BF0E31D00002087AECF0000</t>
        </is>
      </c>
      <c r="C1477" t="inlineStr">
        <is>
          <t>cmm4yuoob01skcuqwvficzbzo</t>
        </is>
      </c>
      <c r="D1477" t="inlineStr">
        <is>
          <t>http://localhost:8787/api/admin/requirements/documents/cmm4yuoob01skcuqwvficzbzo/view</t>
        </is>
      </c>
      <c r="E1477">
        <f>HYPERLÄNK("http://localhost:8787/api/admin/requirements/documents/cmm4yuoob01skcuqwvficzbzo/view";"Öppna PDF")</f>
        <v/>
      </c>
      <c r="F1477">
        <f>HYPERLINK("http://localhost:8787/api/admin/requirements/documents/cmm4yuoob01skcuqwvficzbzo/view","Open PDF")</f>
        <v/>
      </c>
      <c r="G1477" t="inlineStr">
        <is>
          <t>cmm55w57p0004cuisfrtpqly8</t>
        </is>
      </c>
      <c r="H1477" t="inlineStr">
        <is>
          <t>Beslutsvillkor</t>
        </is>
      </c>
      <c r="I1477" t="inlineStr">
        <is>
          <t>Riskhantering</t>
        </is>
      </c>
      <c r="J1477" t="inlineStr">
        <is>
          <t>Riskkontroll</t>
        </is>
      </c>
      <c r="K1477" t="inlineStr">
        <is>
          <t>Om verksamheten ändras Ni ska anmäla till miljönämnden om ni planerar att göra avsteg från det ni redovisat i denna anmälan, om ändringen innebär att det finns risk för att människors hälsa och miljön kan påverkas negativt.</t>
        </is>
      </c>
      <c r="L1477" t="inlineStr">
        <is>
          <t>Om verksamheten ändras Ni ska anmäla till miljönämnden om ni planerar att göra avsteg från det ni redovisat i denna anmälan, om ändringen innebär att det finns risk för att människors hälsa och miljön kan påverkas negativt.</t>
        </is>
      </c>
      <c r="M1477" t="inlineStr">
        <is>
          <t>SKA</t>
        </is>
      </c>
      <c r="N1477" t="inlineStr"/>
      <c r="O1477" t="inlineStr"/>
      <c r="P1477" t="inlineStr"/>
      <c r="Q1477" t="inlineStr"/>
      <c r="R1477" t="inlineStr">
        <is>
          <t>Vid risk for incident</t>
        </is>
      </c>
      <c r="S1477" t="inlineStr"/>
      <c r="T1477" t="inlineStr">
        <is>
          <t>19 11 90</t>
        </is>
      </c>
      <c r="U1477" t="inlineStr"/>
      <c r="V1477" t="inlineStr"/>
      <c r="W1477" t="inlineStr">
        <is>
          <t>Nej</t>
        </is>
      </c>
      <c r="X1477" t="inlineStr">
        <is>
          <t>Nej</t>
        </is>
      </c>
      <c r="Y1477" t="inlineStr">
        <is>
          <t>Ja</t>
        </is>
      </c>
      <c r="Z1477" t="inlineStr">
        <is>
          <t>Ja</t>
        </is>
      </c>
      <c r="AA1477" t="n">
        <v>8</v>
      </c>
      <c r="AB1477" t="inlineStr">
        <is>
          <t>Riskhantering</t>
        </is>
      </c>
      <c r="AC1477" t="inlineStr">
        <is>
          <t>Risk-PM</t>
        </is>
      </c>
      <c r="AD1477" t="inlineStr">
        <is>
          <t>Nej</t>
        </is>
      </c>
      <c r="AE1477" t="inlineStr">
        <is>
          <t>Nej</t>
        </is>
      </c>
      <c r="AF1477" t="inlineStr">
        <is>
          <t>Ej behandlad</t>
        </is>
      </c>
      <c r="AG1477" t="inlineStr">
        <is>
          <t>AUTO_GENERERAD. Verifiera citat mot kallfil.</t>
        </is>
      </c>
      <c r="AH1477" t="inlineStr">
        <is>
          <t>MEDIUM</t>
        </is>
      </c>
      <c r="AI1477" t="inlineStr">
        <is>
          <t>AUTO</t>
        </is>
      </c>
      <c r="AJ1477" t="inlineStr">
        <is>
          <t>Nej</t>
        </is>
      </c>
      <c r="AK1477" t="inlineStr"/>
      <c r="AL1477" t="inlineStr"/>
      <c r="AM1477" t="inlineStr"/>
      <c r="AN1477" t="inlineStr"/>
      <c r="AO1477" t="inlineStr">
        <is>
          <t>cmm4yuooh01sqcuqwljg8bolr</t>
        </is>
      </c>
      <c r="AP1477" t="inlineStr">
        <is>
          <t>http://localhost:8787/api/admin/requirements/documents/cmm4yuooh01sqcuqwljg8bolr/view</t>
        </is>
      </c>
      <c r="AQ1477">
        <f>HYPERLÄNK("http://localhost:8787/api/admin/requirements/documents/cmm4yuooh01sqcuqwljg8bolr/view";"Öppna PDF")</f>
        <v/>
      </c>
      <c r="AR1477">
        <f>HYPERLINK("http://localhost:8787/api/admin/requirements/documents/cmm4yuooh01sqcuqwljg8bolr/view","Open PDF")</f>
        <v/>
      </c>
      <c r="AS1477" t="inlineStr">
        <is>
          <t>cmm55w57p0004cuisfrtpqly8</t>
        </is>
      </c>
      <c r="AT1477" t="inlineStr">
        <is>
          <t>cmm4xvu980000cuh4vj0usz09</t>
        </is>
      </c>
      <c r="AU1477" t="inlineStr">
        <is>
          <t>Sundsvalls</t>
        </is>
      </c>
      <c r="AV1477" t="inlineStr">
        <is>
          <t>Kommun</t>
        </is>
      </c>
      <c r="AW1477" t="inlineStr">
        <is>
          <t>Sundsvalls kommun</t>
        </is>
      </c>
      <c r="AX1477" t="inlineStr">
        <is>
          <t>2023-1834</t>
        </is>
      </c>
      <c r="AY1477" t="inlineStr">
        <is>
          <t>Beslut</t>
        </is>
      </c>
      <c r="AZ1477" t="inlineStr">
        <is>
          <t>2026-02-03</t>
        </is>
      </c>
      <c r="BA1477" t="inlineStr">
        <is>
          <t>Generellt beslut.pdf</t>
        </is>
      </c>
      <c r="BB1477" t="inlineStr">
        <is>
          <t>VB: till registrator</t>
        </is>
      </c>
      <c r="BC1477" t="inlineStr">
        <is>
          <t>AUTO</t>
        </is>
      </c>
      <c r="BD1477" t="inlineStr"/>
      <c r="BE1477" t="inlineStr"/>
      <c r="BF1477" t="inlineStr">
        <is>
          <t>AUTO_GENERERAD. Bekrafta metadata mot kallfil.</t>
        </is>
      </c>
      <c r="BG1477">
        <f>HYPERLINK("C:\Users\jimmy\Desktop\Examens arbete\Kod\Ny mapp\remix_-copy-of-miljöbeslut.se-portal\Generellt beslut.pdf", "Öppna PDF")</f>
        <v/>
      </c>
    </row>
    <row r="1478">
      <c r="A1478" t="inlineStr">
        <is>
          <t>KRAV-AUTO-001477</t>
        </is>
      </c>
      <c r="B1478" t="inlineStr">
        <is>
          <t>ADMIN-INDEX-2026-02-27-00000000125C043F57453246863FE664CAFE6A3F0700950291EA24F0614FB6ACEDB12BF0E31D00000000010C0000950291EA24F0614FB6ACEDB12BF0E31D00002087AED00000</t>
        </is>
      </c>
      <c r="C1478" t="inlineStr">
        <is>
          <t>cmm4yuoo401secuqwmf5enxas</t>
        </is>
      </c>
      <c r="D1478" t="inlineStr">
        <is>
          <t>http://localhost:8787/api/admin/requirements/documents/cmm4yuoo401secuqwmf5enxas/view</t>
        </is>
      </c>
      <c r="E1478">
        <f>HYPERLÄNK("http://localhost:8787/api/admin/requirements/documents/cmm4yuoo401secuqwmf5enxas/view";"Öppna PDF")</f>
        <v/>
      </c>
      <c r="F1478">
        <f>HYPERLINK("http://localhost:8787/api/admin/requirements/documents/cmm4yuoo401secuqwmf5enxas/view","Open PDF")</f>
        <v/>
      </c>
      <c r="G1478" t="inlineStr">
        <is>
          <t>cmm55w57p0004cuisfrtpqly8</t>
        </is>
      </c>
      <c r="H1478" t="inlineStr">
        <is>
          <t>Beslutsvillkor</t>
        </is>
      </c>
      <c r="I1478" t="inlineStr">
        <is>
          <t>Riskhantering</t>
        </is>
      </c>
      <c r="J1478" t="inlineStr">
        <is>
          <t>Riskkontroll</t>
        </is>
      </c>
      <c r="K1478" t="inlineStr">
        <is>
          <t>Mängden massor uppskattas årligen till ca 10–50 ton och innehåller halter över mindre känslig markanvändning, känslig markanvändning samt mindre ringa risk.</t>
        </is>
      </c>
      <c r="L1478" t="inlineStr">
        <is>
          <t>Mängden massor uppskattas årligen till ca 10–50 ton och innehåller halter över mindre känslig markanvändning, känslig markanvändning samt mindre ringa risk.</t>
        </is>
      </c>
      <c r="M1478" t="inlineStr">
        <is>
          <t>SKA</t>
        </is>
      </c>
      <c r="N1478" t="inlineStr"/>
      <c r="O1478" t="inlineStr"/>
      <c r="P1478" t="inlineStr">
        <is>
          <t>Arlig</t>
        </is>
      </c>
      <c r="Q1478" t="inlineStr"/>
      <c r="R1478" t="inlineStr">
        <is>
          <t>Vid risk for incident</t>
        </is>
      </c>
      <c r="S1478" t="inlineStr"/>
      <c r="T1478" t="inlineStr">
        <is>
          <t>19 11 90</t>
        </is>
      </c>
      <c r="U1478" t="n">
        <v>50</v>
      </c>
      <c r="V1478" t="inlineStr"/>
      <c r="W1478" t="inlineStr">
        <is>
          <t>Nej</t>
        </is>
      </c>
      <c r="X1478" t="inlineStr">
        <is>
          <t>Nej</t>
        </is>
      </c>
      <c r="Y1478" t="inlineStr">
        <is>
          <t>Ja</t>
        </is>
      </c>
      <c r="Z1478" t="inlineStr">
        <is>
          <t>Ja</t>
        </is>
      </c>
      <c r="AA1478" t="n">
        <v>8</v>
      </c>
      <c r="AB1478" t="inlineStr">
        <is>
          <t>Riskhantering</t>
        </is>
      </c>
      <c r="AC1478" t="inlineStr">
        <is>
          <t>Risk-PM</t>
        </is>
      </c>
      <c r="AD1478" t="inlineStr">
        <is>
          <t>Nej</t>
        </is>
      </c>
      <c r="AE1478" t="inlineStr">
        <is>
          <t>Nej</t>
        </is>
      </c>
      <c r="AF1478" t="inlineStr">
        <is>
          <t>Ej behandlad</t>
        </is>
      </c>
      <c r="AG1478" t="inlineStr">
        <is>
          <t>AUTO_GENERERAD. Verifiera citat mot kallfil.</t>
        </is>
      </c>
      <c r="AH1478" t="inlineStr">
        <is>
          <t>MEDIUM</t>
        </is>
      </c>
      <c r="AI1478" t="inlineStr">
        <is>
          <t>AUTO</t>
        </is>
      </c>
      <c r="AJ1478" t="inlineStr">
        <is>
          <t>Nej</t>
        </is>
      </c>
      <c r="AK1478" t="inlineStr"/>
      <c r="AL1478" t="inlineStr"/>
      <c r="AM1478" t="inlineStr"/>
      <c r="AN1478" t="inlineStr"/>
      <c r="AO1478" t="inlineStr">
        <is>
          <t>cmm4yuoo401secuqwmf5enxas</t>
        </is>
      </c>
      <c r="AP1478" t="inlineStr">
        <is>
          <t>http://localhost:8787/api/admin/requirements/documents/cmm4yuoo401secuqwmf5enxas/view</t>
        </is>
      </c>
      <c r="AQ1478">
        <f>HYPERLÄNK("http://localhost:8787/api/admin/requirements/documents/cmm4yuoo401secuqwmf5enxas/view";"Öppna PDF")</f>
        <v/>
      </c>
      <c r="AR1478">
        <f>HYPERLINK("http://localhost:8787/api/admin/requirements/documents/cmm4yuoo401secuqwmf5enxas/view","Open PDF")</f>
        <v/>
      </c>
      <c r="AS1478" t="inlineStr">
        <is>
          <t>cmm55w57p0004cuisfrtpqly8</t>
        </is>
      </c>
      <c r="AT1478" t="inlineStr">
        <is>
          <t>cmm4xvu980000cuh4vj0usz09</t>
        </is>
      </c>
      <c r="AU1478" t="inlineStr">
        <is>
          <t>Sundsvalls</t>
        </is>
      </c>
      <c r="AV1478" t="inlineStr">
        <is>
          <t>Kommun</t>
        </is>
      </c>
      <c r="AW1478" t="inlineStr">
        <is>
          <t>Sundsvalls kommun</t>
        </is>
      </c>
      <c r="AX1478" t="inlineStr">
        <is>
          <t>2023-1834</t>
        </is>
      </c>
      <c r="AY1478" t="inlineStr">
        <is>
          <t>Beslut</t>
        </is>
      </c>
      <c r="AZ1478" t="inlineStr">
        <is>
          <t>2026-02-03</t>
        </is>
      </c>
      <c r="BA1478" t="inlineStr">
        <is>
          <t>Generellt beslut.pdf</t>
        </is>
      </c>
      <c r="BB1478" t="inlineStr">
        <is>
          <t>VB: till registrator</t>
        </is>
      </c>
      <c r="BC1478" t="inlineStr">
        <is>
          <t>AUTO</t>
        </is>
      </c>
      <c r="BD1478" t="inlineStr"/>
      <c r="BE1478" t="inlineStr"/>
      <c r="BF1478" t="inlineStr">
        <is>
          <t>AUTO_GENERERAD. Bekrafta metadata mot kallfil.</t>
        </is>
      </c>
      <c r="BG1478">
        <f>HYPERLINK("C:\Users\jimmy\Desktop\Examens arbete\Kod\Ny mapp\remix_-copy-of-miljöbeslut.se-portal\Generellt beslut.pdf", "Öppna PDF")</f>
        <v/>
      </c>
    </row>
    <row r="1479">
      <c r="A1479" t="inlineStr">
        <is>
          <t>KRAV-AUTO-001478</t>
        </is>
      </c>
      <c r="B1479" t="inlineStr">
        <is>
          <t>ADMIN-INDEX-2026-02-27-00000000125C043F57453246863FE664CAFE6A3F0700950291EA24F0614FB6ACEDB12BF0E31D00000000010C0000950291EA24F0614FB6ACEDB12BF0E31D00002087AED00000</t>
        </is>
      </c>
      <c r="C1479" t="inlineStr">
        <is>
          <t>cmm4yuoo401secuqwmf5enxas</t>
        </is>
      </c>
      <c r="D1479" t="inlineStr">
        <is>
          <t>http://localhost:8787/api/admin/requirements/documents/cmm4yuoo401secuqwmf5enxas/view</t>
        </is>
      </c>
      <c r="E1479">
        <f>HYPERLÄNK("http://localhost:8787/api/admin/requirements/documents/cmm4yuoo401secuqwmf5enxas/view";"Öppna PDF")</f>
        <v/>
      </c>
      <c r="F1479">
        <f>HYPERLINK("http://localhost:8787/api/admin/requirements/documents/cmm4yuoo401secuqwmf5enxas/view","Open PDF")</f>
        <v/>
      </c>
      <c r="G1479" t="inlineStr">
        <is>
          <t>cmm55w57p0004cuisfrtpqly8</t>
        </is>
      </c>
      <c r="H1479" t="inlineStr">
        <is>
          <t>Beslutsvillkor</t>
        </is>
      </c>
      <c r="I1479" t="inlineStr">
        <is>
          <t>MiljopaverkanForsiktighet</t>
        </is>
      </c>
      <c r="J1479" t="inlineStr">
        <is>
          <t>Skyddsatgarder</t>
        </is>
      </c>
      <c r="K1479" t="inlineStr">
        <is>
          <t>Det krävs beslut om återvinning av avfall eller ämnen som har liknade egenskaper som grönlutslam, aska och lera, se sid 3 under bemyndigande för tillsynsmyndigheten (tillstånd M 1338–07).</t>
        </is>
      </c>
      <c r="L1479" t="inlineStr">
        <is>
          <t>Det krävs beslut om återvinning av avfall eller ämnen som har liknade egenskaper som grönlutslam, aska och lera, se sid 3 under bemyndigande för tillsynsmyndigheten (tillstånd M 1338–07).</t>
        </is>
      </c>
      <c r="M1479" t="inlineStr">
        <is>
          <t>SKA</t>
        </is>
      </c>
      <c r="N1479" t="inlineStr"/>
      <c r="O1479" t="inlineStr"/>
      <c r="P1479" t="inlineStr"/>
      <c r="Q1479" t="inlineStr"/>
      <c r="R1479" t="inlineStr">
        <is>
          <t>Alltid</t>
        </is>
      </c>
      <c r="S1479" t="inlineStr"/>
      <c r="T1479" t="inlineStr">
        <is>
          <t>19 11 90</t>
        </is>
      </c>
      <c r="U1479" t="inlineStr"/>
      <c r="V1479" t="inlineStr"/>
      <c r="W1479" t="inlineStr">
        <is>
          <t>Nej</t>
        </is>
      </c>
      <c r="X1479" t="inlineStr">
        <is>
          <t>Nej</t>
        </is>
      </c>
      <c r="Y1479" t="inlineStr">
        <is>
          <t>Nej</t>
        </is>
      </c>
      <c r="Z1479" t="inlineStr">
        <is>
          <t>Nej</t>
        </is>
      </c>
      <c r="AA1479" t="n">
        <v>10</v>
      </c>
      <c r="AB1479" t="inlineStr">
        <is>
          <t>Miljopaverkan och forsiktighetsmatt</t>
        </is>
      </c>
      <c r="AC1479" t="inlineStr">
        <is>
          <t>Miljo-PM</t>
        </is>
      </c>
      <c r="AD1479" t="inlineStr">
        <is>
          <t>Nej</t>
        </is>
      </c>
      <c r="AE1479" t="inlineStr">
        <is>
          <t>Nej</t>
        </is>
      </c>
      <c r="AF1479" t="inlineStr">
        <is>
          <t>Ej behandlad</t>
        </is>
      </c>
      <c r="AG1479" t="inlineStr">
        <is>
          <t>AUTO_GENERERAD. Verifiera citat mot kallfil.</t>
        </is>
      </c>
      <c r="AH1479" t="inlineStr">
        <is>
          <t>MEDIUM</t>
        </is>
      </c>
      <c r="AI1479" t="inlineStr">
        <is>
          <t>AUTO</t>
        </is>
      </c>
      <c r="AJ1479" t="inlineStr">
        <is>
          <t>Nej</t>
        </is>
      </c>
      <c r="AK1479" t="inlineStr"/>
      <c r="AL1479" t="inlineStr"/>
      <c r="AM1479" t="inlineStr"/>
      <c r="AN1479" t="inlineStr"/>
      <c r="AO1479" t="inlineStr">
        <is>
          <t>cmm4yuoo401secuqwmf5enxas</t>
        </is>
      </c>
      <c r="AP1479" t="inlineStr">
        <is>
          <t>http://localhost:8787/api/admin/requirements/documents/cmm4yuoo401secuqwmf5enxas/view</t>
        </is>
      </c>
      <c r="AQ1479">
        <f>HYPERLÄNK("http://localhost:8787/api/admin/requirements/documents/cmm4yuoo401secuqwmf5enxas/view";"Öppna PDF")</f>
        <v/>
      </c>
      <c r="AR1479">
        <f>HYPERLINK("http://localhost:8787/api/admin/requirements/documents/cmm4yuoo401secuqwmf5enxas/view","Open PDF")</f>
        <v/>
      </c>
      <c r="AS1479" t="inlineStr">
        <is>
          <t>cmm55w57p0004cuisfrtpqly8</t>
        </is>
      </c>
      <c r="AT1479" t="inlineStr">
        <is>
          <t>cmm4xvu980000cuh4vj0usz09</t>
        </is>
      </c>
      <c r="AU1479" t="inlineStr">
        <is>
          <t>Sundsvalls</t>
        </is>
      </c>
      <c r="AV1479" t="inlineStr">
        <is>
          <t>Kommun</t>
        </is>
      </c>
      <c r="AW1479" t="inlineStr">
        <is>
          <t>Sundsvalls kommun</t>
        </is>
      </c>
      <c r="AX1479" t="inlineStr">
        <is>
          <t>2023-1834</t>
        </is>
      </c>
      <c r="AY1479" t="inlineStr">
        <is>
          <t>Beslut</t>
        </is>
      </c>
      <c r="AZ1479" t="inlineStr">
        <is>
          <t>2026-02-03</t>
        </is>
      </c>
      <c r="BA1479" t="inlineStr">
        <is>
          <t>Generellt beslut.pdf</t>
        </is>
      </c>
      <c r="BB1479" t="inlineStr">
        <is>
          <t>VB: till registrator</t>
        </is>
      </c>
      <c r="BC1479" t="inlineStr">
        <is>
          <t>AUTO</t>
        </is>
      </c>
      <c r="BD1479" t="inlineStr"/>
      <c r="BE1479" t="inlineStr"/>
      <c r="BF1479" t="inlineStr">
        <is>
          <t>AUTO_GENERERAD. Bekrafta metadata mot kallfil.</t>
        </is>
      </c>
      <c r="BG1479">
        <f>HYPERLINK("C:\Users\jimmy\Desktop\Examens arbete\Kod\Ny mapp\remix_-copy-of-miljöbeslut.se-portal\Generellt beslut.pdf", "Öppna PDF")</f>
        <v/>
      </c>
    </row>
    <row r="1480">
      <c r="A1480" t="inlineStr">
        <is>
          <t>KRAV-AUTO-001479</t>
        </is>
      </c>
      <c r="B1480" t="inlineStr">
        <is>
          <t>ADMIN-INDEX-2026-02-27-00000000125C043F57453246863FE664CAFE6A3F0700950291EA24F0614FB6ACEDB12BF0E31D00000000010C0000950291EA24F0614FB6ACEDB12BF0E31D00002087AED00000</t>
        </is>
      </c>
      <c r="C1480" t="inlineStr">
        <is>
          <t>cmm4yuoo401secuqwmf5enxas</t>
        </is>
      </c>
      <c r="D1480" t="inlineStr">
        <is>
          <t>http://localhost:8787/api/admin/requirements/documents/cmm4yuoo401secuqwmf5enxas/view</t>
        </is>
      </c>
      <c r="E1480">
        <f>HYPERLÄNK("http://localhost:8787/api/admin/requirements/documents/cmm4yuoo401secuqwmf5enxas/view";"Öppna PDF")</f>
        <v/>
      </c>
      <c r="F1480">
        <f>HYPERLINK("http://localhost:8787/api/admin/requirements/documents/cmm4yuoo401secuqwmf5enxas/view","Open PDF")</f>
        <v/>
      </c>
      <c r="G1480" t="inlineStr">
        <is>
          <t>cmm55w57p0004cuisfrtpqly8</t>
        </is>
      </c>
      <c r="H1480" t="inlineStr">
        <is>
          <t>Beslutsvillkor</t>
        </is>
      </c>
      <c r="I1480" t="inlineStr">
        <is>
          <t>DriftEgenkontroll</t>
        </is>
      </c>
      <c r="J1480" t="inlineStr">
        <is>
          <t>Journalforing</t>
        </is>
      </c>
      <c r="K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80" t="inlineStr">
        <is>
          <t>SKA</t>
        </is>
      </c>
      <c r="N1480" t="inlineStr"/>
      <c r="O1480" t="inlineStr">
        <is>
          <t>2022-07-26</t>
        </is>
      </c>
      <c r="P1480" t="inlineStr"/>
      <c r="Q1480" t="inlineStr"/>
      <c r="R1480" t="inlineStr">
        <is>
          <t>Lopande drift</t>
        </is>
      </c>
      <c r="S1480" t="inlineStr"/>
      <c r="T1480" t="inlineStr">
        <is>
          <t>19 11 90</t>
        </is>
      </c>
      <c r="U1480" t="inlineStr"/>
      <c r="V1480" t="inlineStr"/>
      <c r="W1480" t="inlineStr">
        <is>
          <t>Nej</t>
        </is>
      </c>
      <c r="X1480" t="inlineStr">
        <is>
          <t>Nej</t>
        </is>
      </c>
      <c r="Y1480" t="inlineStr">
        <is>
          <t>Ja</t>
        </is>
      </c>
      <c r="Z1480" t="inlineStr">
        <is>
          <t>Nej</t>
        </is>
      </c>
      <c r="AA1480" t="n">
        <v>7</v>
      </c>
      <c r="AB1480" t="inlineStr">
        <is>
          <t>Egenkontrollrutiner</t>
        </is>
      </c>
      <c r="AC1480" t="inlineStr">
        <is>
          <t>Egenkontrollprogram</t>
        </is>
      </c>
      <c r="AD1480" t="inlineStr">
        <is>
          <t>Nej</t>
        </is>
      </c>
      <c r="AE1480" t="inlineStr">
        <is>
          <t>Nej</t>
        </is>
      </c>
      <c r="AF1480" t="inlineStr">
        <is>
          <t>Ej behandlad</t>
        </is>
      </c>
      <c r="AG1480" t="inlineStr">
        <is>
          <t>AUTO_GENERERAD. Verifiera citat mot kallfil.</t>
        </is>
      </c>
      <c r="AH1480" t="inlineStr">
        <is>
          <t>MEDIUM</t>
        </is>
      </c>
      <c r="AI1480" t="inlineStr">
        <is>
          <t>AUTO</t>
        </is>
      </c>
      <c r="AJ1480" t="inlineStr">
        <is>
          <t>Nej</t>
        </is>
      </c>
      <c r="AK1480" t="inlineStr"/>
      <c r="AL1480" t="inlineStr"/>
      <c r="AM1480" t="inlineStr"/>
      <c r="AN1480" t="inlineStr"/>
      <c r="AO1480" t="inlineStr">
        <is>
          <t>cmm4yuoo401secuqwmf5enxas</t>
        </is>
      </c>
      <c r="AP1480" t="inlineStr">
        <is>
          <t>http://localhost:8787/api/admin/requirements/documents/cmm4yuoo401secuqwmf5enxas/view</t>
        </is>
      </c>
      <c r="AQ1480">
        <f>HYPERLÄNK("http://localhost:8787/api/admin/requirements/documents/cmm4yuoo401secuqwmf5enxas/view";"Öppna PDF")</f>
        <v/>
      </c>
      <c r="AR1480">
        <f>HYPERLINK("http://localhost:8787/api/admin/requirements/documents/cmm4yuoo401secuqwmf5enxas/view","Open PDF")</f>
        <v/>
      </c>
      <c r="AS1480" t="inlineStr">
        <is>
          <t>cmm55w57p0004cuisfrtpqly8</t>
        </is>
      </c>
      <c r="AT1480" t="inlineStr">
        <is>
          <t>cmm4xvu980000cuh4vj0usz09</t>
        </is>
      </c>
      <c r="AU1480" t="inlineStr">
        <is>
          <t>Sundsvalls</t>
        </is>
      </c>
      <c r="AV1480" t="inlineStr">
        <is>
          <t>Kommun</t>
        </is>
      </c>
      <c r="AW1480" t="inlineStr">
        <is>
          <t>Sundsvalls kommun</t>
        </is>
      </c>
      <c r="AX1480" t="inlineStr">
        <is>
          <t>2023-1834</t>
        </is>
      </c>
      <c r="AY1480" t="inlineStr">
        <is>
          <t>Beslut</t>
        </is>
      </c>
      <c r="AZ1480" t="inlineStr">
        <is>
          <t>2026-02-03</t>
        </is>
      </c>
      <c r="BA1480" t="inlineStr">
        <is>
          <t>Generellt beslut.pdf</t>
        </is>
      </c>
      <c r="BB1480" t="inlineStr">
        <is>
          <t>VB: till registrator</t>
        </is>
      </c>
      <c r="BC1480" t="inlineStr">
        <is>
          <t>AUTO</t>
        </is>
      </c>
      <c r="BD1480" t="inlineStr"/>
      <c r="BE1480" t="inlineStr"/>
      <c r="BF1480" t="inlineStr">
        <is>
          <t>AUTO_GENERERAD. Bekrafta metadata mot kallfil.</t>
        </is>
      </c>
      <c r="BG1480">
        <f>HYPERLINK("C:\Users\jimmy\Desktop\Examens arbete\Kod\Ny mapp\remix_-copy-of-miljöbeslut.se-portal\Generellt beslut.pdf", "Öppna PDF")</f>
        <v/>
      </c>
    </row>
    <row r="1481">
      <c r="A1481" t="inlineStr">
        <is>
          <t>KRAV-AUTO-001480</t>
        </is>
      </c>
      <c r="B1481" t="inlineStr">
        <is>
          <t>ADMIN-INDEX-2026-02-27-00000000125C043F57453246863FE664CAFE6A3F0700950291EA24F0614FB6ACEDB12BF0E31D00000000010C0000950291EA24F0614FB6ACEDB12BF0E31D00002087AED00000</t>
        </is>
      </c>
      <c r="C1481" t="inlineStr">
        <is>
          <t>cmm4yuonz01s8cuqwxfatftf8</t>
        </is>
      </c>
      <c r="D1481" t="inlineStr">
        <is>
          <t>http://localhost:8787/api/admin/requirements/documents/cmm4yuonz01s8cuqwxfatftf8/view</t>
        </is>
      </c>
      <c r="E1481">
        <f>HYPERLÄNK("http://localhost:8787/api/admin/requirements/documents/cmm4yuonz01s8cuqwxfatftf8/view";"Öppna PDF")</f>
        <v/>
      </c>
      <c r="F1481">
        <f>HYPERLINK("http://localhost:8787/api/admin/requirements/documents/cmm4yuonz01s8cuqwxfatftf8/view","Open PDF")</f>
        <v/>
      </c>
      <c r="G1481" t="inlineStr">
        <is>
          <t>cmm55w57p0004cuisfrtpqly8</t>
        </is>
      </c>
      <c r="H1481" t="inlineStr">
        <is>
          <t>Beslutsvillkor</t>
        </is>
      </c>
      <c r="I1481" t="inlineStr">
        <is>
          <t>DriftEgenkontroll</t>
        </is>
      </c>
      <c r="J1481" t="inlineStr">
        <is>
          <t>Journalforing</t>
        </is>
      </c>
      <c r="K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81" t="inlineStr">
        <is>
          <t>SKA</t>
        </is>
      </c>
      <c r="N1481" t="inlineStr"/>
      <c r="O1481" t="inlineStr"/>
      <c r="P1481" t="inlineStr"/>
      <c r="Q1481" t="inlineStr"/>
      <c r="R1481" t="inlineStr">
        <is>
          <t>Lopande drift</t>
        </is>
      </c>
      <c r="S1481" t="inlineStr"/>
      <c r="T1481" t="inlineStr">
        <is>
          <t>19 11 90</t>
        </is>
      </c>
      <c r="U1481" t="inlineStr"/>
      <c r="V1481" t="inlineStr"/>
      <c r="W1481" t="inlineStr">
        <is>
          <t>Nej</t>
        </is>
      </c>
      <c r="X1481" t="inlineStr">
        <is>
          <t>Nej</t>
        </is>
      </c>
      <c r="Y1481" t="inlineStr">
        <is>
          <t>Ja</t>
        </is>
      </c>
      <c r="Z1481" t="inlineStr">
        <is>
          <t>Nej</t>
        </is>
      </c>
      <c r="AA1481" t="n">
        <v>7</v>
      </c>
      <c r="AB1481" t="inlineStr">
        <is>
          <t>Egenkontrollrutiner</t>
        </is>
      </c>
      <c r="AC1481" t="inlineStr">
        <is>
          <t>Egenkontrollprogram</t>
        </is>
      </c>
      <c r="AD1481" t="inlineStr">
        <is>
          <t>Nej</t>
        </is>
      </c>
      <c r="AE1481" t="inlineStr">
        <is>
          <t>Nej</t>
        </is>
      </c>
      <c r="AF1481" t="inlineStr">
        <is>
          <t>Ej behandlad</t>
        </is>
      </c>
      <c r="AG1481" t="inlineStr">
        <is>
          <t>AUTO_GENERERAD. Verifiera citat mot kallfil.</t>
        </is>
      </c>
      <c r="AH1481" t="inlineStr">
        <is>
          <t>MEDIUM</t>
        </is>
      </c>
      <c r="AI1481" t="inlineStr">
        <is>
          <t>AUTO</t>
        </is>
      </c>
      <c r="AJ1481" t="inlineStr">
        <is>
          <t>Nej</t>
        </is>
      </c>
      <c r="AK1481" t="inlineStr"/>
      <c r="AL1481" t="inlineStr"/>
      <c r="AM1481" t="inlineStr"/>
      <c r="AN1481" t="inlineStr"/>
      <c r="AO1481" t="inlineStr">
        <is>
          <t>cmm4yuoo401secuqwmf5enxas</t>
        </is>
      </c>
      <c r="AP1481" t="inlineStr">
        <is>
          <t>http://localhost:8787/api/admin/requirements/documents/cmm4yuoo401secuqwmf5enxas/view</t>
        </is>
      </c>
      <c r="AQ1481">
        <f>HYPERLÄNK("http://localhost:8787/api/admin/requirements/documents/cmm4yuoo401secuqwmf5enxas/view";"Öppna PDF")</f>
        <v/>
      </c>
      <c r="AR1481">
        <f>HYPERLINK("http://localhost:8787/api/admin/requirements/documents/cmm4yuoo401secuqwmf5enxas/view","Open PDF")</f>
        <v/>
      </c>
      <c r="AS1481" t="inlineStr">
        <is>
          <t>cmm55w57p0004cuisfrtpqly8</t>
        </is>
      </c>
      <c r="AT1481" t="inlineStr">
        <is>
          <t>cmm4xvu980000cuh4vj0usz09</t>
        </is>
      </c>
      <c r="AU1481" t="inlineStr">
        <is>
          <t>Sundsvalls</t>
        </is>
      </c>
      <c r="AV1481" t="inlineStr">
        <is>
          <t>Kommun</t>
        </is>
      </c>
      <c r="AW1481" t="inlineStr">
        <is>
          <t>Sundsvalls kommun</t>
        </is>
      </c>
      <c r="AX1481" t="inlineStr">
        <is>
          <t>2023-1834</t>
        </is>
      </c>
      <c r="AY1481" t="inlineStr">
        <is>
          <t>Beslut</t>
        </is>
      </c>
      <c r="AZ1481" t="inlineStr">
        <is>
          <t>2026-02-03</t>
        </is>
      </c>
      <c r="BA1481" t="inlineStr">
        <is>
          <t>Generellt beslut.pdf</t>
        </is>
      </c>
      <c r="BB1481" t="inlineStr">
        <is>
          <t>VB: till registrator</t>
        </is>
      </c>
      <c r="BC1481" t="inlineStr">
        <is>
          <t>AUTO</t>
        </is>
      </c>
      <c r="BD1481" t="inlineStr"/>
      <c r="BE1481" t="inlineStr"/>
      <c r="BF1481" t="inlineStr">
        <is>
          <t>AUTO_GENERERAD. Bekrafta metadata mot kallfil.</t>
        </is>
      </c>
      <c r="BG1481">
        <f>HYPERLINK("C:\Users\jimmy\Desktop\Examens arbete\Kod\Ny mapp\remix_-copy-of-miljöbeslut.se-portal\Generellt beslut.pdf", "Öppna PDF")</f>
        <v/>
      </c>
    </row>
    <row r="1482">
      <c r="A1482" t="inlineStr">
        <is>
          <t>KRAV-AUTO-001481</t>
        </is>
      </c>
      <c r="B1482" t="inlineStr">
        <is>
          <t>ADMIN-INDEX-2026-02-27-00000000125C043F57453246863FE664CAFE6A3F0700950291EA24F0614FB6ACEDB12BF0E31D00000000010C0000950291EA24F0614FB6ACEDB12BF0E31D00002087AED00000</t>
        </is>
      </c>
      <c r="C1482" t="inlineStr">
        <is>
          <t>cmm4yuonz01s8cuqwxfatftf8</t>
        </is>
      </c>
      <c r="D1482" t="inlineStr">
        <is>
          <t>http://localhost:8787/api/admin/requirements/documents/cmm4yuonz01s8cuqwxfatftf8/view</t>
        </is>
      </c>
      <c r="E1482">
        <f>HYPERLÄNK("http://localhost:8787/api/admin/requirements/documents/cmm4yuonz01s8cuqwxfatftf8/view";"Öppna PDF")</f>
        <v/>
      </c>
      <c r="F1482">
        <f>HYPERLINK("http://localhost:8787/api/admin/requirements/documents/cmm4yuonz01s8cuqwxfatftf8/view","Open PDF")</f>
        <v/>
      </c>
      <c r="G1482" t="inlineStr">
        <is>
          <t>cmm55w57p0004cuisfrtpqly8</t>
        </is>
      </c>
      <c r="H1482" t="inlineStr">
        <is>
          <t>Beslutsvillkor</t>
        </is>
      </c>
      <c r="I1482" t="inlineStr">
        <is>
          <t>DagvattenLakvatten</t>
        </is>
      </c>
      <c r="J1482" t="inlineStr">
        <is>
          <t>Uppsamling</t>
        </is>
      </c>
      <c r="K1482" t="inlineStr">
        <is>
          <t>C) Grävning och lastning ska ske på ett sådant sätt att risken för materialflykt och föroreningsspridning till omgivningen förebyggs.</t>
        </is>
      </c>
      <c r="L1482" t="inlineStr">
        <is>
          <t>C) Grävning och lastning ska ske på ett sådant sätt att risken för materialflykt och föroreningsspridning till omgivningen förebyggs.</t>
        </is>
      </c>
      <c r="M1482" t="inlineStr">
        <is>
          <t>SKA</t>
        </is>
      </c>
      <c r="N1482" t="inlineStr"/>
      <c r="O1482" t="inlineStr"/>
      <c r="P1482" t="inlineStr"/>
      <c r="Q1482" t="inlineStr"/>
      <c r="R1482" t="inlineStr">
        <is>
          <t>Vid nederbord och avrinning</t>
        </is>
      </c>
      <c r="S1482" t="inlineStr"/>
      <c r="T1482" t="inlineStr">
        <is>
          <t>19 11 90</t>
        </is>
      </c>
      <c r="U1482" t="inlineStr"/>
      <c r="V1482" t="inlineStr"/>
      <c r="W1482" t="inlineStr">
        <is>
          <t>Nej</t>
        </is>
      </c>
      <c r="X1482" t="inlineStr">
        <is>
          <t>Ja</t>
        </is>
      </c>
      <c r="Y1482" t="inlineStr">
        <is>
          <t>Ja</t>
        </is>
      </c>
      <c r="Z1482" t="inlineStr">
        <is>
          <t>Nej</t>
        </is>
      </c>
      <c r="AA1482" t="n">
        <v>6</v>
      </c>
      <c r="AB1482" t="inlineStr">
        <is>
          <t>Lakvattenhantering</t>
        </is>
      </c>
      <c r="AC1482" t="inlineStr">
        <is>
          <t>Flodesschema dagvatten-lakvatten</t>
        </is>
      </c>
      <c r="AD1482" t="inlineStr">
        <is>
          <t>Nej</t>
        </is>
      </c>
      <c r="AE1482" t="inlineStr">
        <is>
          <t>Nej</t>
        </is>
      </c>
      <c r="AF1482" t="inlineStr">
        <is>
          <t>Ej behandlad</t>
        </is>
      </c>
      <c r="AG1482" t="inlineStr">
        <is>
          <t>AUTO_GENERERAD. Verifiera citat mot kallfil.</t>
        </is>
      </c>
      <c r="AH1482" t="inlineStr">
        <is>
          <t>MEDIUM</t>
        </is>
      </c>
      <c r="AI1482" t="inlineStr">
        <is>
          <t>AUTO</t>
        </is>
      </c>
      <c r="AJ1482" t="inlineStr">
        <is>
          <t>Nej</t>
        </is>
      </c>
      <c r="AK1482" t="inlineStr"/>
      <c r="AL1482" t="inlineStr"/>
      <c r="AM1482" t="inlineStr"/>
      <c r="AN1482" t="inlineStr"/>
      <c r="AO1482" t="inlineStr">
        <is>
          <t>cmm4yuoo401secuqwmf5enxas</t>
        </is>
      </c>
      <c r="AP1482" t="inlineStr">
        <is>
          <t>http://localhost:8787/api/admin/requirements/documents/cmm4yuoo401secuqwmf5enxas/view</t>
        </is>
      </c>
      <c r="AQ1482">
        <f>HYPERLÄNK("http://localhost:8787/api/admin/requirements/documents/cmm4yuoo401secuqwmf5enxas/view";"Öppna PDF")</f>
        <v/>
      </c>
      <c r="AR1482">
        <f>HYPERLINK("http://localhost:8787/api/admin/requirements/documents/cmm4yuoo401secuqwmf5enxas/view","Open PDF")</f>
        <v/>
      </c>
      <c r="AS1482" t="inlineStr">
        <is>
          <t>cmm55w57p0004cuisfrtpqly8</t>
        </is>
      </c>
      <c r="AT1482" t="inlineStr">
        <is>
          <t>cmm4xvu980000cuh4vj0usz09</t>
        </is>
      </c>
      <c r="AU1482" t="inlineStr">
        <is>
          <t>Sundsvalls</t>
        </is>
      </c>
      <c r="AV1482" t="inlineStr">
        <is>
          <t>Kommun</t>
        </is>
      </c>
      <c r="AW1482" t="inlineStr">
        <is>
          <t>Sundsvalls kommun</t>
        </is>
      </c>
      <c r="AX1482" t="inlineStr">
        <is>
          <t>2023-1834</t>
        </is>
      </c>
      <c r="AY1482" t="inlineStr">
        <is>
          <t>Beslut</t>
        </is>
      </c>
      <c r="AZ1482" t="inlineStr">
        <is>
          <t>2026-02-03</t>
        </is>
      </c>
      <c r="BA1482" t="inlineStr">
        <is>
          <t>Generellt beslut.pdf</t>
        </is>
      </c>
      <c r="BB1482" t="inlineStr">
        <is>
          <t>VB: till registrator</t>
        </is>
      </c>
      <c r="BC1482" t="inlineStr">
        <is>
          <t>AUTO</t>
        </is>
      </c>
      <c r="BD1482" t="inlineStr"/>
      <c r="BE1482" t="inlineStr"/>
      <c r="BF1482" t="inlineStr">
        <is>
          <t>AUTO_GENERERAD. Bekrafta metadata mot kallfil.</t>
        </is>
      </c>
      <c r="BG1482">
        <f>HYPERLINK("C:\Users\jimmy\Desktop\Examens arbete\Kod\Ny mapp\remix_-copy-of-miljöbeslut.se-portal\Generellt beslut.pdf", "Öppna PDF")</f>
        <v/>
      </c>
    </row>
    <row r="1483">
      <c r="A1483" t="inlineStr">
        <is>
          <t>KRAV-AUTO-001482</t>
        </is>
      </c>
      <c r="B1483" t="inlineStr">
        <is>
          <t>ADMIN-INDEX-2026-02-27-00000000125C043F57453246863FE664CAFE6A3F0700950291EA24F0614FB6ACEDB12BF0E31D00000000010C0000950291EA24F0614FB6ACEDB12BF0E31D00002087AED00000</t>
        </is>
      </c>
      <c r="C1483" t="inlineStr">
        <is>
          <t>cmm4yuonz01s8cuqwxfatftf8</t>
        </is>
      </c>
      <c r="D1483" t="inlineStr">
        <is>
          <t>http://localhost:8787/api/admin/requirements/documents/cmm4yuonz01s8cuqwxfatftf8/view</t>
        </is>
      </c>
      <c r="E1483">
        <f>HYPERLÄNK("http://localhost:8787/api/admin/requirements/documents/cmm4yuonz01s8cuqwxfatftf8/view";"Öppna PDF")</f>
        <v/>
      </c>
      <c r="F1483">
        <f>HYPERLINK("http://localhost:8787/api/admin/requirements/documents/cmm4yuonz01s8cuqwxfatftf8/view","Open PDF")</f>
        <v/>
      </c>
      <c r="G1483" t="inlineStr">
        <is>
          <t>cmm55w57p0004cuisfrtpqly8</t>
        </is>
      </c>
      <c r="H1483" t="inlineStr">
        <is>
          <t>Beslutsvillkor</t>
        </is>
      </c>
      <c r="I1483" t="inlineStr">
        <is>
          <t>Riskhantering</t>
        </is>
      </c>
      <c r="J1483" t="inlineStr">
        <is>
          <t>Riskkontroll</t>
        </is>
      </c>
      <c r="K1483" t="inlineStr">
        <is>
          <t>Om verksamheten ändras Ni ska anmäla till miljönämnden om ni planerar att göra avsteg från det ni redovisat i denna anmälan, om ändringen innebär att det finns risk för att människors hälsa och miljön kan påverkas negativt.</t>
        </is>
      </c>
      <c r="L1483" t="inlineStr">
        <is>
          <t>Om verksamheten ändras Ni ska anmäla till miljönämnden om ni planerar att göra avsteg från det ni redovisat i denna anmälan, om ändringen innebär att det finns risk för att människors hälsa och miljön kan påverkas negativt.</t>
        </is>
      </c>
      <c r="M1483" t="inlineStr">
        <is>
          <t>SKA</t>
        </is>
      </c>
      <c r="N1483" t="inlineStr"/>
      <c r="O1483" t="inlineStr"/>
      <c r="P1483" t="inlineStr"/>
      <c r="Q1483" t="inlineStr"/>
      <c r="R1483" t="inlineStr">
        <is>
          <t>Vid risk for incident</t>
        </is>
      </c>
      <c r="S1483" t="inlineStr"/>
      <c r="T1483" t="inlineStr">
        <is>
          <t>19 11 90</t>
        </is>
      </c>
      <c r="U1483" t="inlineStr"/>
      <c r="V1483" t="inlineStr"/>
      <c r="W1483" t="inlineStr">
        <is>
          <t>Nej</t>
        </is>
      </c>
      <c r="X1483" t="inlineStr">
        <is>
          <t>Nej</t>
        </is>
      </c>
      <c r="Y1483" t="inlineStr">
        <is>
          <t>Ja</t>
        </is>
      </c>
      <c r="Z1483" t="inlineStr">
        <is>
          <t>Ja</t>
        </is>
      </c>
      <c r="AA1483" t="n">
        <v>8</v>
      </c>
      <c r="AB1483" t="inlineStr">
        <is>
          <t>Riskhantering</t>
        </is>
      </c>
      <c r="AC1483" t="inlineStr">
        <is>
          <t>Risk-PM</t>
        </is>
      </c>
      <c r="AD1483" t="inlineStr">
        <is>
          <t>Nej</t>
        </is>
      </c>
      <c r="AE1483" t="inlineStr">
        <is>
          <t>Nej</t>
        </is>
      </c>
      <c r="AF1483" t="inlineStr">
        <is>
          <t>Ej behandlad</t>
        </is>
      </c>
      <c r="AG1483" t="inlineStr">
        <is>
          <t>AUTO_GENERERAD. Verifiera citat mot kallfil.</t>
        </is>
      </c>
      <c r="AH1483" t="inlineStr">
        <is>
          <t>MEDIUM</t>
        </is>
      </c>
      <c r="AI1483" t="inlineStr">
        <is>
          <t>AUTO</t>
        </is>
      </c>
      <c r="AJ1483" t="inlineStr">
        <is>
          <t>Nej</t>
        </is>
      </c>
      <c r="AK1483" t="inlineStr"/>
      <c r="AL1483" t="inlineStr"/>
      <c r="AM1483" t="inlineStr"/>
      <c r="AN1483" t="inlineStr"/>
      <c r="AO1483" t="inlineStr">
        <is>
          <t>cmm4yuoo401secuqwmf5enxas</t>
        </is>
      </c>
      <c r="AP1483" t="inlineStr">
        <is>
          <t>http://localhost:8787/api/admin/requirements/documents/cmm4yuoo401secuqwmf5enxas/view</t>
        </is>
      </c>
      <c r="AQ1483">
        <f>HYPERLÄNK("http://localhost:8787/api/admin/requirements/documents/cmm4yuoo401secuqwmf5enxas/view";"Öppna PDF")</f>
        <v/>
      </c>
      <c r="AR1483">
        <f>HYPERLINK("http://localhost:8787/api/admin/requirements/documents/cmm4yuoo401secuqwmf5enxas/view","Open PDF")</f>
        <v/>
      </c>
      <c r="AS1483" t="inlineStr">
        <is>
          <t>cmm55w57p0004cuisfrtpqly8</t>
        </is>
      </c>
      <c r="AT1483" t="inlineStr">
        <is>
          <t>cmm4xvu980000cuh4vj0usz09</t>
        </is>
      </c>
      <c r="AU1483" t="inlineStr">
        <is>
          <t>Sundsvalls</t>
        </is>
      </c>
      <c r="AV1483" t="inlineStr">
        <is>
          <t>Kommun</t>
        </is>
      </c>
      <c r="AW1483" t="inlineStr">
        <is>
          <t>Sundsvalls kommun</t>
        </is>
      </c>
      <c r="AX1483" t="inlineStr">
        <is>
          <t>2023-1834</t>
        </is>
      </c>
      <c r="AY1483" t="inlineStr">
        <is>
          <t>Beslut</t>
        </is>
      </c>
      <c r="AZ1483" t="inlineStr">
        <is>
          <t>2026-02-03</t>
        </is>
      </c>
      <c r="BA1483" t="inlineStr">
        <is>
          <t>Generellt beslut.pdf</t>
        </is>
      </c>
      <c r="BB1483" t="inlineStr">
        <is>
          <t>VB: till registrator</t>
        </is>
      </c>
      <c r="BC1483" t="inlineStr">
        <is>
          <t>AUTO</t>
        </is>
      </c>
      <c r="BD1483" t="inlineStr"/>
      <c r="BE1483" t="inlineStr"/>
      <c r="BF1483" t="inlineStr">
        <is>
          <t>AUTO_GENERERAD. Bekrafta metadata mot kallfil.</t>
        </is>
      </c>
      <c r="BG1483">
        <f>HYPERLINK("C:\Users\jimmy\Desktop\Examens arbete\Kod\Ny mapp\remix_-copy-of-miljöbeslut.se-portal\Generellt beslut.pdf", "Öppna PDF")</f>
        <v/>
      </c>
    </row>
    <row r="1484">
      <c r="A1484" t="inlineStr">
        <is>
          <t>KRAV-AUTO-001483</t>
        </is>
      </c>
      <c r="B1484" t="inlineStr">
        <is>
          <t>ADMIN-INDEX-2026-02-27-00000000125C043F57453246863FE664CAFE6A3F0700950291EA24F0614FB6ACEDB12BF0E31D00000000010C0000950291EA24F0614FB6ACEDB12BF0E31D00002087AED10000</t>
        </is>
      </c>
      <c r="C1484" t="inlineStr">
        <is>
          <t>cmm4yuomw01r2cuqwaq7rvqlg</t>
        </is>
      </c>
      <c r="D1484" t="inlineStr">
        <is>
          <t>http://localhost:8787/api/admin/requirements/documents/cmm4yuomw01r2cuqwaq7rvqlg/view</t>
        </is>
      </c>
      <c r="E1484">
        <f>HYPERLÄNK("http://localhost:8787/api/admin/requirements/documents/cmm4yuomw01r2cuqwaq7rvqlg/view";"Öppna PDF")</f>
        <v/>
      </c>
      <c r="F1484">
        <f>HYPERLINK("http://localhost:8787/api/admin/requirements/documents/cmm4yuomw01r2cuqwaq7rvqlg/view","Open PDF")</f>
        <v/>
      </c>
      <c r="G1484" t="inlineStr">
        <is>
          <t>cmm55w57p0004cuisfrtpqly8</t>
        </is>
      </c>
      <c r="H1484" t="inlineStr">
        <is>
          <t>Beslutsvillkor</t>
        </is>
      </c>
      <c r="I1484" t="inlineStr">
        <is>
          <t>Ytkonstruktion</t>
        </is>
      </c>
      <c r="J1484" t="inlineStr">
        <is>
          <t>Tat yta</t>
        </is>
      </c>
      <c r="K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4" t="inlineStr">
        <is>
          <t>SKA</t>
        </is>
      </c>
      <c r="N1484" t="inlineStr"/>
      <c r="O1484" t="inlineStr"/>
      <c r="P1484" t="inlineStr"/>
      <c r="Q1484" t="inlineStr"/>
      <c r="R1484" t="inlineStr">
        <is>
          <t>Vid mellanlagring av avfall</t>
        </is>
      </c>
      <c r="S1484" t="inlineStr"/>
      <c r="T1484" t="inlineStr">
        <is>
          <t>34 20 55</t>
        </is>
      </c>
      <c r="U1484" t="inlineStr"/>
      <c r="V1484" t="inlineStr"/>
      <c r="W1484" t="inlineStr">
        <is>
          <t>Ja</t>
        </is>
      </c>
      <c r="X1484" t="inlineStr">
        <is>
          <t>Nej</t>
        </is>
      </c>
      <c r="Y1484" t="inlineStr">
        <is>
          <t>Nej</t>
        </is>
      </c>
      <c r="Z1484" t="inlineStr">
        <is>
          <t>Nej</t>
        </is>
      </c>
      <c r="AA1484" t="n">
        <v>5</v>
      </c>
      <c r="AB1484" t="inlineStr">
        <is>
          <t>Teknisk beskrivning av platta</t>
        </is>
      </c>
      <c r="AC1484" t="inlineStr">
        <is>
          <t>Teknisk ritning platta</t>
        </is>
      </c>
      <c r="AD1484" t="inlineStr">
        <is>
          <t>Nej</t>
        </is>
      </c>
      <c r="AE1484" t="inlineStr">
        <is>
          <t>Nej</t>
        </is>
      </c>
      <c r="AF1484" t="inlineStr">
        <is>
          <t>Ej behandlad</t>
        </is>
      </c>
      <c r="AG1484" t="inlineStr">
        <is>
          <t>AUTO_GENERERAD. Verifiera citat mot kallfil.</t>
        </is>
      </c>
      <c r="AH1484" t="inlineStr">
        <is>
          <t>MEDIUM</t>
        </is>
      </c>
      <c r="AI1484" t="inlineStr">
        <is>
          <t>AUTO</t>
        </is>
      </c>
      <c r="AJ1484" t="inlineStr">
        <is>
          <t>Nej</t>
        </is>
      </c>
      <c r="AK1484" t="inlineStr"/>
      <c r="AL1484" t="inlineStr"/>
      <c r="AM1484" t="inlineStr"/>
      <c r="AN1484" t="inlineStr"/>
      <c r="AO1484" t="inlineStr">
        <is>
          <t>cmm4yuomw01r2cuqwaq7rvqlg</t>
        </is>
      </c>
      <c r="AP1484" t="inlineStr">
        <is>
          <t>http://localhost:8787/api/admin/requirements/documents/cmm4yuomw01r2cuqwaq7rvqlg/view</t>
        </is>
      </c>
      <c r="AQ1484">
        <f>HYPERLÄNK("http://localhost:8787/api/admin/requirements/documents/cmm4yuomw01r2cuqwaq7rvqlg/view";"Öppna PDF")</f>
        <v/>
      </c>
      <c r="AR1484">
        <f>HYPERLINK("http://localhost:8787/api/admin/requirements/documents/cmm4yuomw01r2cuqwaq7rvqlg/view","Open PDF")</f>
        <v/>
      </c>
      <c r="AS1484" t="inlineStr">
        <is>
          <t>cmm55w57p0004cuisfrtpqly8</t>
        </is>
      </c>
      <c r="AT1484" t="inlineStr">
        <is>
          <t>cmm4xvu980000cuh4vj0usz09</t>
        </is>
      </c>
      <c r="AU1484" t="inlineStr"/>
      <c r="AV1484" t="inlineStr">
        <is>
          <t>Kommun</t>
        </is>
      </c>
      <c r="AW1484" t="inlineStr"/>
      <c r="AX1484" t="inlineStr">
        <is>
          <t>2026-02</t>
        </is>
      </c>
      <c r="AY1484" t="inlineStr">
        <is>
          <t>Beslut</t>
        </is>
      </c>
      <c r="AZ1484" t="inlineStr">
        <is>
          <t>2026-02-03</t>
        </is>
      </c>
      <c r="BA1484" t="inlineStr">
        <is>
          <t>MN-2023-10545-MN-2023-10545.pdf</t>
        </is>
      </c>
      <c r="BB1484" t="inlineStr">
        <is>
          <t>UTL 2026-02-03 mejl 1 - Sv: VB: [EXTERN]: till registrator</t>
        </is>
      </c>
      <c r="BC1484" t="inlineStr">
        <is>
          <t>AUTO</t>
        </is>
      </c>
      <c r="BD1484" t="inlineStr"/>
      <c r="BE1484" t="inlineStr"/>
      <c r="BF1484" t="inlineStr">
        <is>
          <t>AUTO_GENERERAD. Bekrafta metadata mot kallfil.</t>
        </is>
      </c>
      <c r="BG1484">
        <f>HYPERLINK("C:\Users\jimmy\Desktop\Examens arbete\Kod\Ny mapp\remix_-copy-of-miljöbeslut.se-portal\MN-2023-10545-MN-2023-10545.pdf", "Öppna PDF")</f>
        <v/>
      </c>
    </row>
    <row r="1485">
      <c r="A1485" t="inlineStr">
        <is>
          <t>KRAV-AUTO-001484</t>
        </is>
      </c>
      <c r="B1485" t="inlineStr">
        <is>
          <t>ADMIN-INDEX-2026-02-27-00000000125C043F57453246863FE664CAFE6A3F0700950291EA24F0614FB6ACEDB12BF0E31D00000000010C0000950291EA24F0614FB6ACEDB12BF0E31D00002087AED10000</t>
        </is>
      </c>
      <c r="C1485" t="inlineStr">
        <is>
          <t>cmm4yuomw01r2cuqwaq7rvqlg</t>
        </is>
      </c>
      <c r="D1485" t="inlineStr">
        <is>
          <t>http://localhost:8787/api/admin/requirements/documents/cmm4yuomw01r2cuqwaq7rvqlg/view</t>
        </is>
      </c>
      <c r="E1485">
        <f>HYPERLÄNK("http://localhost:8787/api/admin/requirements/documents/cmm4yuomw01r2cuqwaq7rvqlg/view";"Öppna PDF")</f>
        <v/>
      </c>
      <c r="F1485">
        <f>HYPERLINK("http://localhost:8787/api/admin/requirements/documents/cmm4yuomw01r2cuqwaq7rvqlg/view","Open PDF")</f>
        <v/>
      </c>
      <c r="G1485" t="inlineStr">
        <is>
          <t>cmm55w57p0004cuisfrtpqly8</t>
        </is>
      </c>
      <c r="H1485" t="inlineStr">
        <is>
          <t>Beslutsvillkor</t>
        </is>
      </c>
      <c r="I1485" t="inlineStr">
        <is>
          <t>MiljopaverkanForsiktighet</t>
        </is>
      </c>
      <c r="J1485" t="inlineStr">
        <is>
          <t>Skyddsatgarder</t>
        </is>
      </c>
      <c r="K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85" t="inlineStr">
        <is>
          <t>BOR</t>
        </is>
      </c>
      <c r="N1485" t="inlineStr">
        <is>
          <t>Miljobalken, FMH</t>
        </is>
      </c>
      <c r="O1485" t="inlineStr">
        <is>
          <t>2023-10-13</t>
        </is>
      </c>
      <c r="P1485" t="inlineStr">
        <is>
          <t>Arlig</t>
        </is>
      </c>
      <c r="Q1485" t="inlineStr"/>
      <c r="R1485" t="inlineStr">
        <is>
          <t>Alltid</t>
        </is>
      </c>
      <c r="S1485" t="inlineStr"/>
      <c r="T1485" t="inlineStr">
        <is>
          <t>34 20 55</t>
        </is>
      </c>
      <c r="U1485" t="inlineStr"/>
      <c r="V1485" t="inlineStr"/>
      <c r="W1485" t="inlineStr">
        <is>
          <t>Nej</t>
        </is>
      </c>
      <c r="X1485" t="inlineStr">
        <is>
          <t>Nej</t>
        </is>
      </c>
      <c r="Y1485" t="inlineStr">
        <is>
          <t>Nej</t>
        </is>
      </c>
      <c r="Z1485" t="inlineStr">
        <is>
          <t>Nej</t>
        </is>
      </c>
      <c r="AA1485" t="n">
        <v>10</v>
      </c>
      <c r="AB1485" t="inlineStr">
        <is>
          <t>Miljopaverkan och forsiktighetsmatt</t>
        </is>
      </c>
      <c r="AC1485" t="inlineStr">
        <is>
          <t>Miljo-PM</t>
        </is>
      </c>
      <c r="AD1485" t="inlineStr">
        <is>
          <t>Nej</t>
        </is>
      </c>
      <c r="AE1485" t="inlineStr">
        <is>
          <t>Nej</t>
        </is>
      </c>
      <c r="AF1485" t="inlineStr">
        <is>
          <t>Ej behandlad</t>
        </is>
      </c>
      <c r="AG1485" t="inlineStr">
        <is>
          <t>AUTO_GENERERAD. Verifiera citat mot kallfil.</t>
        </is>
      </c>
      <c r="AH1485" t="inlineStr">
        <is>
          <t>MEDIUM</t>
        </is>
      </c>
      <c r="AI1485" t="inlineStr">
        <is>
          <t>AUTO</t>
        </is>
      </c>
      <c r="AJ1485" t="inlineStr">
        <is>
          <t>Nej</t>
        </is>
      </c>
      <c r="AK1485" t="inlineStr"/>
      <c r="AL1485" t="inlineStr"/>
      <c r="AM1485" t="inlineStr"/>
      <c r="AN1485" t="inlineStr"/>
      <c r="AO1485" t="inlineStr">
        <is>
          <t>cmm4yuomw01r2cuqwaq7rvqlg</t>
        </is>
      </c>
      <c r="AP1485" t="inlineStr">
        <is>
          <t>http://localhost:8787/api/admin/requirements/documents/cmm4yuomw01r2cuqwaq7rvqlg/view</t>
        </is>
      </c>
      <c r="AQ1485">
        <f>HYPERLÄNK("http://localhost:8787/api/admin/requirements/documents/cmm4yuomw01r2cuqwaq7rvqlg/view";"Öppna PDF")</f>
        <v/>
      </c>
      <c r="AR1485">
        <f>HYPERLINK("http://localhost:8787/api/admin/requirements/documents/cmm4yuomw01r2cuqwaq7rvqlg/view","Open PDF")</f>
        <v/>
      </c>
      <c r="AS1485" t="inlineStr">
        <is>
          <t>cmm55w57p0004cuisfrtpqly8</t>
        </is>
      </c>
      <c r="AT1485" t="inlineStr">
        <is>
          <t>cmm4xvu980000cuh4vj0usz09</t>
        </is>
      </c>
      <c r="AU1485" t="inlineStr"/>
      <c r="AV1485" t="inlineStr">
        <is>
          <t>Kommun</t>
        </is>
      </c>
      <c r="AW1485" t="inlineStr"/>
      <c r="AX1485" t="inlineStr">
        <is>
          <t>2026-02</t>
        </is>
      </c>
      <c r="AY1485" t="inlineStr">
        <is>
          <t>Beslut</t>
        </is>
      </c>
      <c r="AZ1485" t="inlineStr">
        <is>
          <t>2026-02-03</t>
        </is>
      </c>
      <c r="BA1485" t="inlineStr">
        <is>
          <t>MN-2023-10545-MN-2023-10545.pdf</t>
        </is>
      </c>
      <c r="BB1485" t="inlineStr">
        <is>
          <t>UTL 2026-02-03 mejl 1 - Sv: VB: [EXTERN]: till registrator</t>
        </is>
      </c>
      <c r="BC1485" t="inlineStr">
        <is>
          <t>AUTO</t>
        </is>
      </c>
      <c r="BD1485" t="inlineStr"/>
      <c r="BE1485" t="inlineStr"/>
      <c r="BF1485" t="inlineStr">
        <is>
          <t>AUTO_GENERERAD. Bekrafta metadata mot kallfil.</t>
        </is>
      </c>
      <c r="BG1485">
        <f>HYPERLINK("C:\Users\jimmy\Desktop\Examens arbete\Kod\Ny mapp\remix_-copy-of-miljöbeslut.se-portal\MN-2023-10545-MN-2023-10545.pdf", "Öppna PDF")</f>
        <v/>
      </c>
    </row>
    <row r="1486">
      <c r="A1486" t="inlineStr">
        <is>
          <t>KRAV-AUTO-001485</t>
        </is>
      </c>
      <c r="B1486" t="inlineStr">
        <is>
          <t>ADMIN-INDEX-2026-02-27-00000000125C043F57453246863FE664CAFE6A3F0700950291EA24F0614FB6ACEDB12BF0E31D00000000010C0000950291EA24F0614FB6ACEDB12BF0E31D00002087AED10000</t>
        </is>
      </c>
      <c r="C1486" t="inlineStr">
        <is>
          <t>cmm4yuom501qbcuqw39t9253i</t>
        </is>
      </c>
      <c r="D1486" t="inlineStr">
        <is>
          <t>http://localhost:8787/api/admin/requirements/documents/cmm4yuom501qbcuqw39t9253i/view</t>
        </is>
      </c>
      <c r="E1486">
        <f>HYPERLÄNK("http://localhost:8787/api/admin/requirements/documents/cmm4yuom501qbcuqw39t9253i/view";"Öppna PDF")</f>
        <v/>
      </c>
      <c r="F1486">
        <f>HYPERLINK("http://localhost:8787/api/admin/requirements/documents/cmm4yuom501qbcuqw39t9253i/view","Open PDF")</f>
        <v/>
      </c>
      <c r="G1486" t="inlineStr">
        <is>
          <t>cmm55w57p0004cuisfrtpqly8</t>
        </is>
      </c>
      <c r="H1486" t="inlineStr">
        <is>
          <t>Informationskrav</t>
        </is>
      </c>
      <c r="I1486" t="inlineStr">
        <is>
          <t>LagringsvolymTid</t>
        </is>
      </c>
      <c r="J1486" t="inlineStr">
        <is>
          <t>Maxmangd</t>
        </is>
      </c>
      <c r="K1486" t="inlineStr">
        <is>
          <t>Att möjliggöra återvinning av avfallsmassor med likartade tekniska och miljömässiga egenskaper som jungfruliga massor från täkt bidrar till att minimera mängden uppkomna avfallsmassor och bidrar till en cirkulär omställning av samhället.</t>
        </is>
      </c>
      <c r="L1486" t="inlineStr">
        <is>
          <t>Att möjliggöra återvinning av avfallsmassor med likartade tekniska och miljömässiga egenskaper som jungfruliga massor från täkt bidrar till att minimera mängden uppkomna avfallsmassor och bidrar till en cirkulär omställning av samhället.</t>
        </is>
      </c>
      <c r="M1486" t="inlineStr">
        <is>
          <t>SKA</t>
        </is>
      </c>
      <c r="N1486" t="inlineStr"/>
      <c r="O1486" t="inlineStr"/>
      <c r="P1486" t="inlineStr"/>
      <c r="Q1486" t="inlineStr"/>
      <c r="R1486" t="inlineStr">
        <is>
          <t>Alltid</t>
        </is>
      </c>
      <c r="S1486" t="inlineStr"/>
      <c r="T1486" t="inlineStr"/>
      <c r="U1486" t="inlineStr"/>
      <c r="V1486" t="inlineStr"/>
      <c r="W1486" t="inlineStr">
        <is>
          <t>Nej</t>
        </is>
      </c>
      <c r="X1486" t="inlineStr">
        <is>
          <t>Nej</t>
        </is>
      </c>
      <c r="Y1486" t="inlineStr">
        <is>
          <t>Nej</t>
        </is>
      </c>
      <c r="Z1486" t="inlineStr">
        <is>
          <t>Nej</t>
        </is>
      </c>
      <c r="AA1486" t="n">
        <v>4</v>
      </c>
      <c r="AB1486" t="inlineStr">
        <is>
          <t>Avfallsmangder och lagringstid</t>
        </is>
      </c>
      <c r="AC1486" t="inlineStr">
        <is>
          <t>Avfallsforteckning</t>
        </is>
      </c>
      <c r="AD1486" t="inlineStr">
        <is>
          <t>Nej</t>
        </is>
      </c>
      <c r="AE1486" t="inlineStr">
        <is>
          <t>Nej</t>
        </is>
      </c>
      <c r="AF1486" t="inlineStr">
        <is>
          <t>Ej behandlad</t>
        </is>
      </c>
      <c r="AG1486" t="inlineStr">
        <is>
          <t>AUTO_GENERERAD. Verifiera citat mot kallfil.</t>
        </is>
      </c>
      <c r="AH1486" t="inlineStr">
        <is>
          <t>MEDIUM</t>
        </is>
      </c>
      <c r="AI1486" t="inlineStr">
        <is>
          <t>AUTO</t>
        </is>
      </c>
      <c r="AJ1486" t="inlineStr">
        <is>
          <t>Nej</t>
        </is>
      </c>
      <c r="AK1486" t="inlineStr"/>
      <c r="AL1486" t="inlineStr"/>
      <c r="AM1486" t="inlineStr"/>
      <c r="AN1486" t="inlineStr"/>
      <c r="AO1486" t="inlineStr">
        <is>
          <t>cmm4yuomw01r2cuqwaq7rvqlg</t>
        </is>
      </c>
      <c r="AP1486" t="inlineStr">
        <is>
          <t>http://localhost:8787/api/admin/requirements/documents/cmm4yuomw01r2cuqwaq7rvqlg/view</t>
        </is>
      </c>
      <c r="AQ1486">
        <f>HYPERLÄNK("http://localhost:8787/api/admin/requirements/documents/cmm4yuomw01r2cuqwaq7rvqlg/view";"Öppna PDF")</f>
        <v/>
      </c>
      <c r="AR1486">
        <f>HYPERLINK("http://localhost:8787/api/admin/requirements/documents/cmm4yuomw01r2cuqwaq7rvqlg/view","Open PDF")</f>
        <v/>
      </c>
      <c r="AS1486" t="inlineStr">
        <is>
          <t>cmm55w57p0004cuisfrtpqly8</t>
        </is>
      </c>
      <c r="AT1486" t="inlineStr">
        <is>
          <t>cmm4xvu980000cuh4vj0usz09</t>
        </is>
      </c>
      <c r="AU1486" t="inlineStr"/>
      <c r="AV1486" t="inlineStr">
        <is>
          <t>Kommun</t>
        </is>
      </c>
      <c r="AW1486" t="inlineStr"/>
      <c r="AX1486" t="inlineStr">
        <is>
          <t>2026-02</t>
        </is>
      </c>
      <c r="AY1486" t="inlineStr">
        <is>
          <t>Beslut</t>
        </is>
      </c>
      <c r="AZ1486" t="inlineStr">
        <is>
          <t>2026-02-03</t>
        </is>
      </c>
      <c r="BA1486" t="inlineStr">
        <is>
          <t>MN-2023-10545-MN-2023-10545.pdf</t>
        </is>
      </c>
      <c r="BB1486" t="inlineStr">
        <is>
          <t>UTL 2026-02-03 mejl 1 - Sv: VB: [EXTERN]: till registrator</t>
        </is>
      </c>
      <c r="BC1486" t="inlineStr">
        <is>
          <t>AUTO</t>
        </is>
      </c>
      <c r="BD1486" t="inlineStr"/>
      <c r="BE1486" t="inlineStr"/>
      <c r="BF1486" t="inlineStr">
        <is>
          <t>AUTO_GENERERAD. Bekrafta metadata mot kallfil.</t>
        </is>
      </c>
      <c r="BG1486">
        <f>HYPERLINK("C:\Users\jimmy\Desktop\Examens arbete\Kod\Ny mapp\remix_-copy-of-miljöbeslut.se-portal\MN-2023-10545-MN-2023-10545.pdf", "Öppna PDF")</f>
        <v/>
      </c>
    </row>
    <row r="1487">
      <c r="A1487" t="inlineStr">
        <is>
          <t>KRAV-AUTO-001486</t>
        </is>
      </c>
      <c r="B1487" t="inlineStr">
        <is>
          <t>ADMIN-INDEX-2026-02-27-00000000125C043F57453246863FE664CAFE6A3F0700950291EA24F0614FB6ACEDB12BF0E31D00000000010C0000950291EA24F0614FB6ACEDB12BF0E31D00002087AED10000</t>
        </is>
      </c>
      <c r="C1487" t="inlineStr">
        <is>
          <t>cmm4yuom501qbcuqw39t9253i</t>
        </is>
      </c>
      <c r="D1487" t="inlineStr">
        <is>
          <t>http://localhost:8787/api/admin/requirements/documents/cmm4yuom501qbcuqw39t9253i/view</t>
        </is>
      </c>
      <c r="E1487">
        <f>HYPERLÄNK("http://localhost:8787/api/admin/requirements/documents/cmm4yuom501qbcuqw39t9253i/view";"Öppna PDF")</f>
        <v/>
      </c>
      <c r="F1487">
        <f>HYPERLINK("http://localhost:8787/api/admin/requirements/documents/cmm4yuom501qbcuqw39t9253i/view","Open PDF")</f>
        <v/>
      </c>
      <c r="G1487" t="inlineStr">
        <is>
          <t>cmm55w57p0004cuisfrtpqly8</t>
        </is>
      </c>
      <c r="H1487" t="inlineStr">
        <is>
          <t>Informationskrav</t>
        </is>
      </c>
      <c r="I1487" t="inlineStr">
        <is>
          <t>Ytkonstruktion</t>
        </is>
      </c>
      <c r="J1487" t="inlineStr">
        <is>
          <t>Tat yta</t>
        </is>
      </c>
      <c r="K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87" t="inlineStr">
        <is>
          <t>SKA</t>
        </is>
      </c>
      <c r="N1487" t="inlineStr"/>
      <c r="O1487" t="inlineStr"/>
      <c r="P1487" t="inlineStr"/>
      <c r="Q1487" t="inlineStr"/>
      <c r="R1487" t="inlineStr">
        <is>
          <t>Vid mellanlagring av avfall</t>
        </is>
      </c>
      <c r="S1487" t="inlineStr"/>
      <c r="T1487" t="inlineStr"/>
      <c r="U1487" t="inlineStr"/>
      <c r="V1487" t="inlineStr"/>
      <c r="W1487" t="inlineStr">
        <is>
          <t>Ja</t>
        </is>
      </c>
      <c r="X1487" t="inlineStr">
        <is>
          <t>Nej</t>
        </is>
      </c>
      <c r="Y1487" t="inlineStr">
        <is>
          <t>Nej</t>
        </is>
      </c>
      <c r="Z1487" t="inlineStr">
        <is>
          <t>Nej</t>
        </is>
      </c>
      <c r="AA1487" t="n">
        <v>5</v>
      </c>
      <c r="AB1487" t="inlineStr">
        <is>
          <t>Teknisk beskrivning av platta</t>
        </is>
      </c>
      <c r="AC1487" t="inlineStr">
        <is>
          <t>Teknisk ritning platta</t>
        </is>
      </c>
      <c r="AD1487" t="inlineStr">
        <is>
          <t>Nej</t>
        </is>
      </c>
      <c r="AE1487" t="inlineStr">
        <is>
          <t>Nej</t>
        </is>
      </c>
      <c r="AF1487" t="inlineStr">
        <is>
          <t>Ej behandlad</t>
        </is>
      </c>
      <c r="AG1487" t="inlineStr">
        <is>
          <t>AUTO_GENERERAD. Verifiera citat mot kallfil.</t>
        </is>
      </c>
      <c r="AH1487" t="inlineStr">
        <is>
          <t>MEDIUM</t>
        </is>
      </c>
      <c r="AI1487" t="inlineStr">
        <is>
          <t>AUTO</t>
        </is>
      </c>
      <c r="AJ1487" t="inlineStr">
        <is>
          <t>Nej</t>
        </is>
      </c>
      <c r="AK1487" t="inlineStr"/>
      <c r="AL1487" t="inlineStr"/>
      <c r="AM1487" t="inlineStr"/>
      <c r="AN1487" t="inlineStr"/>
      <c r="AO1487" t="inlineStr">
        <is>
          <t>cmm4yuomw01r2cuqwaq7rvqlg</t>
        </is>
      </c>
      <c r="AP1487" t="inlineStr">
        <is>
          <t>http://localhost:8787/api/admin/requirements/documents/cmm4yuomw01r2cuqwaq7rvqlg/view</t>
        </is>
      </c>
      <c r="AQ1487">
        <f>HYPERLÄNK("http://localhost:8787/api/admin/requirements/documents/cmm4yuomw01r2cuqwaq7rvqlg/view";"Öppna PDF")</f>
        <v/>
      </c>
      <c r="AR1487">
        <f>HYPERLINK("http://localhost:8787/api/admin/requirements/documents/cmm4yuomw01r2cuqwaq7rvqlg/view","Open PDF")</f>
        <v/>
      </c>
      <c r="AS1487" t="inlineStr">
        <is>
          <t>cmm55w57p0004cuisfrtpqly8</t>
        </is>
      </c>
      <c r="AT1487" t="inlineStr">
        <is>
          <t>cmm4xvu980000cuh4vj0usz09</t>
        </is>
      </c>
      <c r="AU1487" t="inlineStr"/>
      <c r="AV1487" t="inlineStr">
        <is>
          <t>Kommun</t>
        </is>
      </c>
      <c r="AW1487" t="inlineStr"/>
      <c r="AX1487" t="inlineStr">
        <is>
          <t>2026-02</t>
        </is>
      </c>
      <c r="AY1487" t="inlineStr">
        <is>
          <t>Beslut</t>
        </is>
      </c>
      <c r="AZ1487" t="inlineStr">
        <is>
          <t>2026-02-03</t>
        </is>
      </c>
      <c r="BA1487" t="inlineStr">
        <is>
          <t>MN-2023-10545-MN-2023-10545.pdf</t>
        </is>
      </c>
      <c r="BB1487" t="inlineStr">
        <is>
          <t>UTL 2026-02-03 mejl 1 - Sv: VB: [EXTERN]: till registrator</t>
        </is>
      </c>
      <c r="BC1487" t="inlineStr">
        <is>
          <t>AUTO</t>
        </is>
      </c>
      <c r="BD1487" t="inlineStr"/>
      <c r="BE1487" t="inlineStr"/>
      <c r="BF1487" t="inlineStr">
        <is>
          <t>AUTO_GENERERAD. Bekrafta metadata mot kallfil.</t>
        </is>
      </c>
      <c r="BG1487">
        <f>HYPERLINK("C:\Users\jimmy\Desktop\Examens arbete\Kod\Ny mapp\remix_-copy-of-miljöbeslut.se-portal\MN-2023-10545-MN-2023-10545.pdf", "Öppna PDF")</f>
        <v/>
      </c>
    </row>
    <row r="1488">
      <c r="A1488" t="inlineStr">
        <is>
          <t>KRAV-AUTO-001487</t>
        </is>
      </c>
      <c r="B1488" t="inlineStr">
        <is>
          <t>ADMIN-INDEX-2026-02-27-00000000125C043F57453246863FE664CAFE6A3F0700950291EA24F0614FB6ACEDB12BF0E31D00000000010C0000950291EA24F0614FB6ACEDB12BF0E31D00002087AED10000</t>
        </is>
      </c>
      <c r="C1488" t="inlineStr">
        <is>
          <t>cmm4yuom501qbcuqw39t9253i</t>
        </is>
      </c>
      <c r="D1488" t="inlineStr">
        <is>
          <t>http://localhost:8787/api/admin/requirements/documents/cmm4yuom501qbcuqw39t9253i/view</t>
        </is>
      </c>
      <c r="E1488">
        <f>HYPERLÄNK("http://localhost:8787/api/admin/requirements/documents/cmm4yuom501qbcuqw39t9253i/view";"Öppna PDF")</f>
        <v/>
      </c>
      <c r="F1488">
        <f>HYPERLINK("http://localhost:8787/api/admin/requirements/documents/cmm4yuom501qbcuqw39t9253i/view","Open PDF")</f>
        <v/>
      </c>
      <c r="G1488" t="inlineStr">
        <is>
          <t>cmm55w57p0004cuisfrtpqly8</t>
        </is>
      </c>
      <c r="H1488" t="inlineStr">
        <is>
          <t>Informationskrav</t>
        </is>
      </c>
      <c r="I1488" t="inlineStr">
        <is>
          <t>LagringsvolymTid</t>
        </is>
      </c>
      <c r="J1488" t="inlineStr">
        <is>
          <t>Maxmangd</t>
        </is>
      </c>
      <c r="K1488" t="inlineStr">
        <is>
          <t>Totalt ska högst 4200 ton massor användas för utfyllnad.</t>
        </is>
      </c>
      <c r="L1488" t="inlineStr">
        <is>
          <t>Totalt ska högst 4200 ton massor användas för utfyllnad.</t>
        </is>
      </c>
      <c r="M1488" t="inlineStr">
        <is>
          <t>SKA</t>
        </is>
      </c>
      <c r="N1488" t="inlineStr"/>
      <c r="O1488" t="inlineStr"/>
      <c r="P1488" t="inlineStr"/>
      <c r="Q1488" t="inlineStr"/>
      <c r="R1488" t="inlineStr">
        <is>
          <t>Alltid</t>
        </is>
      </c>
      <c r="S1488" t="inlineStr"/>
      <c r="T1488" t="inlineStr"/>
      <c r="U1488" t="n">
        <v>4200</v>
      </c>
      <c r="V1488" t="inlineStr"/>
      <c r="W1488" t="inlineStr">
        <is>
          <t>Nej</t>
        </is>
      </c>
      <c r="X1488" t="inlineStr">
        <is>
          <t>Nej</t>
        </is>
      </c>
      <c r="Y1488" t="inlineStr">
        <is>
          <t>Nej</t>
        </is>
      </c>
      <c r="Z1488" t="inlineStr">
        <is>
          <t>Nej</t>
        </is>
      </c>
      <c r="AA1488" t="n">
        <v>4</v>
      </c>
      <c r="AB1488" t="inlineStr">
        <is>
          <t>Avfallsmangder och lagringstid</t>
        </is>
      </c>
      <c r="AC1488" t="inlineStr">
        <is>
          <t>Avfallsforteckning</t>
        </is>
      </c>
      <c r="AD1488" t="inlineStr">
        <is>
          <t>Nej</t>
        </is>
      </c>
      <c r="AE1488" t="inlineStr">
        <is>
          <t>Nej</t>
        </is>
      </c>
      <c r="AF1488" t="inlineStr">
        <is>
          <t>Ej behandlad</t>
        </is>
      </c>
      <c r="AG1488" t="inlineStr">
        <is>
          <t>AUTO_GENERERAD. Verifiera citat mot kallfil.</t>
        </is>
      </c>
      <c r="AH1488" t="inlineStr">
        <is>
          <t>MEDIUM</t>
        </is>
      </c>
      <c r="AI1488" t="inlineStr">
        <is>
          <t>AUTO</t>
        </is>
      </c>
      <c r="AJ1488" t="inlineStr">
        <is>
          <t>Nej</t>
        </is>
      </c>
      <c r="AK1488" t="inlineStr"/>
      <c r="AL1488" t="inlineStr"/>
      <c r="AM1488" t="inlineStr"/>
      <c r="AN1488" t="inlineStr"/>
      <c r="AO1488" t="inlineStr">
        <is>
          <t>cmm4yuomw01r2cuqwaq7rvqlg</t>
        </is>
      </c>
      <c r="AP1488" t="inlineStr">
        <is>
          <t>http://localhost:8787/api/admin/requirements/documents/cmm4yuomw01r2cuqwaq7rvqlg/view</t>
        </is>
      </c>
      <c r="AQ1488">
        <f>HYPERLÄNK("http://localhost:8787/api/admin/requirements/documents/cmm4yuomw01r2cuqwaq7rvqlg/view";"Öppna PDF")</f>
        <v/>
      </c>
      <c r="AR1488">
        <f>HYPERLINK("http://localhost:8787/api/admin/requirements/documents/cmm4yuomw01r2cuqwaq7rvqlg/view","Open PDF")</f>
        <v/>
      </c>
      <c r="AS1488" t="inlineStr">
        <is>
          <t>cmm55w57p0004cuisfrtpqly8</t>
        </is>
      </c>
      <c r="AT1488" t="inlineStr">
        <is>
          <t>cmm4xvu980000cuh4vj0usz09</t>
        </is>
      </c>
      <c r="AU1488" t="inlineStr"/>
      <c r="AV1488" t="inlineStr">
        <is>
          <t>Kommun</t>
        </is>
      </c>
      <c r="AW1488" t="inlineStr"/>
      <c r="AX1488" t="inlineStr">
        <is>
          <t>2026-02</t>
        </is>
      </c>
      <c r="AY1488" t="inlineStr">
        <is>
          <t>Beslut</t>
        </is>
      </c>
      <c r="AZ1488" t="inlineStr">
        <is>
          <t>2026-02-03</t>
        </is>
      </c>
      <c r="BA1488" t="inlineStr">
        <is>
          <t>MN-2023-10545-MN-2023-10545.pdf</t>
        </is>
      </c>
      <c r="BB1488" t="inlineStr">
        <is>
          <t>UTL 2026-02-03 mejl 1 - Sv: VB: [EXTERN]: till registrator</t>
        </is>
      </c>
      <c r="BC1488" t="inlineStr">
        <is>
          <t>AUTO</t>
        </is>
      </c>
      <c r="BD1488" t="inlineStr"/>
      <c r="BE1488" t="inlineStr"/>
      <c r="BF1488" t="inlineStr">
        <is>
          <t>AUTO_GENERERAD. Bekrafta metadata mot kallfil.</t>
        </is>
      </c>
      <c r="BG1488">
        <f>HYPERLINK("C:\Users\jimmy\Desktop\Examens arbete\Kod\Ny mapp\remix_-copy-of-miljöbeslut.se-portal\MN-2023-10545-MN-2023-10545.pdf", "Öppna PDF")</f>
        <v/>
      </c>
    </row>
    <row r="1489">
      <c r="A1489" t="inlineStr">
        <is>
          <t>KRAV-AUTO-001488</t>
        </is>
      </c>
      <c r="B1489" t="inlineStr">
        <is>
          <t>ADMIN-INDEX-2026-02-27-00000000125C043F57453246863FE664CAFE6A3F0700950291EA24F0614FB6ACEDB12BF0E31D00000000010C0000950291EA24F0614FB6ACEDB12BF0E31D00002087AED10000</t>
        </is>
      </c>
      <c r="C1489" t="inlineStr">
        <is>
          <t>cmm4yuolz01q5cuqwadwvl05j</t>
        </is>
      </c>
      <c r="D1489" t="inlineStr">
        <is>
          <t>http://localhost:8787/api/admin/requirements/documents/cmm4yuolz01q5cuqwadwvl05j/view</t>
        </is>
      </c>
      <c r="E1489">
        <f>HYPERLÄNK("http://localhost:8787/api/admin/requirements/documents/cmm4yuolz01q5cuqwadwvl05j/view";"Öppna PDF")</f>
        <v/>
      </c>
      <c r="F1489">
        <f>HYPERLINK("http://localhost:8787/api/admin/requirements/documents/cmm4yuolz01q5cuqwadwvl05j/view","Open PDF")</f>
        <v/>
      </c>
      <c r="G1489" t="inlineStr">
        <is>
          <t>cmm55w57p0004cuisfrtpqly8</t>
        </is>
      </c>
      <c r="H1489" t="inlineStr">
        <is>
          <t>Beslutsvillkor</t>
        </is>
      </c>
      <c r="I1489" t="inlineStr">
        <is>
          <t>Ytkonstruktion</t>
        </is>
      </c>
      <c r="J1489" t="inlineStr">
        <is>
          <t>Tat yta</t>
        </is>
      </c>
      <c r="K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9" t="inlineStr">
        <is>
          <t>SKA</t>
        </is>
      </c>
      <c r="N1489" t="inlineStr"/>
      <c r="O1489" t="inlineStr"/>
      <c r="P1489" t="inlineStr"/>
      <c r="Q1489" t="inlineStr"/>
      <c r="R1489" t="inlineStr">
        <is>
          <t>Vid mellanlagring av avfall</t>
        </is>
      </c>
      <c r="S1489" t="inlineStr"/>
      <c r="T1489" t="inlineStr">
        <is>
          <t>34 20 55</t>
        </is>
      </c>
      <c r="U1489" t="inlineStr"/>
      <c r="V1489" t="inlineStr"/>
      <c r="W1489" t="inlineStr">
        <is>
          <t>Ja</t>
        </is>
      </c>
      <c r="X1489" t="inlineStr">
        <is>
          <t>Nej</t>
        </is>
      </c>
      <c r="Y1489" t="inlineStr">
        <is>
          <t>Nej</t>
        </is>
      </c>
      <c r="Z1489" t="inlineStr">
        <is>
          <t>Nej</t>
        </is>
      </c>
      <c r="AA1489" t="n">
        <v>5</v>
      </c>
      <c r="AB1489" t="inlineStr">
        <is>
          <t>Teknisk beskrivning av platta</t>
        </is>
      </c>
      <c r="AC1489" t="inlineStr">
        <is>
          <t>Teknisk ritning platta</t>
        </is>
      </c>
      <c r="AD1489" t="inlineStr">
        <is>
          <t>Nej</t>
        </is>
      </c>
      <c r="AE1489" t="inlineStr">
        <is>
          <t>Nej</t>
        </is>
      </c>
      <c r="AF1489" t="inlineStr">
        <is>
          <t>Ej behandlad</t>
        </is>
      </c>
      <c r="AG1489" t="inlineStr">
        <is>
          <t>AUTO_GENERERAD. Verifiera citat mot kallfil.</t>
        </is>
      </c>
      <c r="AH1489" t="inlineStr">
        <is>
          <t>MEDIUM</t>
        </is>
      </c>
      <c r="AI1489" t="inlineStr">
        <is>
          <t>AUTO</t>
        </is>
      </c>
      <c r="AJ1489" t="inlineStr">
        <is>
          <t>Nej</t>
        </is>
      </c>
      <c r="AK1489" t="inlineStr"/>
      <c r="AL1489" t="inlineStr"/>
      <c r="AM1489" t="inlineStr"/>
      <c r="AN1489" t="inlineStr"/>
      <c r="AO1489" t="inlineStr">
        <is>
          <t>cmm4yuomw01r2cuqwaq7rvqlg</t>
        </is>
      </c>
      <c r="AP1489" t="inlineStr">
        <is>
          <t>http://localhost:8787/api/admin/requirements/documents/cmm4yuomw01r2cuqwaq7rvqlg/view</t>
        </is>
      </c>
      <c r="AQ1489">
        <f>HYPERLÄNK("http://localhost:8787/api/admin/requirements/documents/cmm4yuomw01r2cuqwaq7rvqlg/view";"Öppna PDF")</f>
        <v/>
      </c>
      <c r="AR1489">
        <f>HYPERLINK("http://localhost:8787/api/admin/requirements/documents/cmm4yuomw01r2cuqwaq7rvqlg/view","Open PDF")</f>
        <v/>
      </c>
      <c r="AS1489" t="inlineStr">
        <is>
          <t>cmm55w57p0004cuisfrtpqly8</t>
        </is>
      </c>
      <c r="AT1489" t="inlineStr">
        <is>
          <t>cmm4xvu980000cuh4vj0usz09</t>
        </is>
      </c>
      <c r="AU1489" t="inlineStr"/>
      <c r="AV1489" t="inlineStr">
        <is>
          <t>Kommun</t>
        </is>
      </c>
      <c r="AW1489" t="inlineStr"/>
      <c r="AX1489" t="inlineStr">
        <is>
          <t>2026-02</t>
        </is>
      </c>
      <c r="AY1489" t="inlineStr">
        <is>
          <t>Beslut</t>
        </is>
      </c>
      <c r="AZ1489" t="inlineStr">
        <is>
          <t>2026-02-03</t>
        </is>
      </c>
      <c r="BA1489" t="inlineStr">
        <is>
          <t>MN-2023-10545-MN-2023-10545.pdf</t>
        </is>
      </c>
      <c r="BB1489" t="inlineStr">
        <is>
          <t>UTL 2026-02-03 mejl 1 - Sv: VB: [EXTERN]: till registrator</t>
        </is>
      </c>
      <c r="BC1489" t="inlineStr">
        <is>
          <t>AUTO</t>
        </is>
      </c>
      <c r="BD1489" t="inlineStr"/>
      <c r="BE1489" t="inlineStr"/>
      <c r="BF1489" t="inlineStr">
        <is>
          <t>AUTO_GENERERAD. Bekrafta metadata mot kallfil.</t>
        </is>
      </c>
      <c r="BG1489">
        <f>HYPERLINK("C:\Users\jimmy\Desktop\Examens arbete\Kod\Ny mapp\remix_-copy-of-miljöbeslut.se-portal\MN-2023-10545-MN-2023-10545.pdf", "Öppna PDF")</f>
        <v/>
      </c>
    </row>
    <row r="1490">
      <c r="A1490" t="inlineStr">
        <is>
          <t>KRAV-AUTO-001489</t>
        </is>
      </c>
      <c r="B1490" t="inlineStr">
        <is>
          <t>ADMIN-INDEX-2026-02-27-00000000125C043F57453246863FE664CAFE6A3F0700950291EA24F0614FB6ACEDB12BF0E31D00000000010C0000950291EA24F0614FB6ACEDB12BF0E31D00002087AED10000</t>
        </is>
      </c>
      <c r="C1490" t="inlineStr">
        <is>
          <t>cmm4yuolz01q5cuqwadwvl05j</t>
        </is>
      </c>
      <c r="D1490" t="inlineStr">
        <is>
          <t>http://localhost:8787/api/admin/requirements/documents/cmm4yuolz01q5cuqwadwvl05j/view</t>
        </is>
      </c>
      <c r="E1490">
        <f>HYPERLÄNK("http://localhost:8787/api/admin/requirements/documents/cmm4yuolz01q5cuqwadwvl05j/view";"Öppna PDF")</f>
        <v/>
      </c>
      <c r="F1490">
        <f>HYPERLINK("http://localhost:8787/api/admin/requirements/documents/cmm4yuolz01q5cuqwadwvl05j/view","Open PDF")</f>
        <v/>
      </c>
      <c r="G1490" t="inlineStr">
        <is>
          <t>cmm55w57p0004cuisfrtpqly8</t>
        </is>
      </c>
      <c r="H1490" t="inlineStr">
        <is>
          <t>Beslutsvillkor</t>
        </is>
      </c>
      <c r="I1490" t="inlineStr">
        <is>
          <t>MiljopaverkanForsiktighet</t>
        </is>
      </c>
      <c r="J1490" t="inlineStr">
        <is>
          <t>Skyddsatgarder</t>
        </is>
      </c>
      <c r="K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490" t="inlineStr">
        <is>
          <t>BOR</t>
        </is>
      </c>
      <c r="N1490" t="inlineStr">
        <is>
          <t>Miljobalken, FMH</t>
        </is>
      </c>
      <c r="O1490" t="inlineStr"/>
      <c r="P1490" t="inlineStr">
        <is>
          <t>Arlig</t>
        </is>
      </c>
      <c r="Q1490" t="inlineStr"/>
      <c r="R1490" t="inlineStr">
        <is>
          <t>Alltid</t>
        </is>
      </c>
      <c r="S1490" t="inlineStr"/>
      <c r="T1490" t="inlineStr">
        <is>
          <t>2023 11</t>
        </is>
      </c>
      <c r="U1490" t="inlineStr"/>
      <c r="V1490" t="inlineStr"/>
      <c r="W1490" t="inlineStr">
        <is>
          <t>Nej</t>
        </is>
      </c>
      <c r="X1490" t="inlineStr">
        <is>
          <t>Nej</t>
        </is>
      </c>
      <c r="Y1490" t="inlineStr">
        <is>
          <t>Nej</t>
        </is>
      </c>
      <c r="Z1490" t="inlineStr">
        <is>
          <t>Nej</t>
        </is>
      </c>
      <c r="AA1490" t="n">
        <v>10</v>
      </c>
      <c r="AB1490" t="inlineStr">
        <is>
          <t>Miljopaverkan och forsiktighetsmatt</t>
        </is>
      </c>
      <c r="AC1490" t="inlineStr">
        <is>
          <t>Miljo-PM</t>
        </is>
      </c>
      <c r="AD1490" t="inlineStr">
        <is>
          <t>Nej</t>
        </is>
      </c>
      <c r="AE1490" t="inlineStr">
        <is>
          <t>Nej</t>
        </is>
      </c>
      <c r="AF1490" t="inlineStr">
        <is>
          <t>Ej behandlad</t>
        </is>
      </c>
      <c r="AG1490" t="inlineStr">
        <is>
          <t>AUTO_GENERERAD. Verifiera citat mot kallfil.</t>
        </is>
      </c>
      <c r="AH1490" t="inlineStr">
        <is>
          <t>MEDIUM</t>
        </is>
      </c>
      <c r="AI1490" t="inlineStr">
        <is>
          <t>AUTO</t>
        </is>
      </c>
      <c r="AJ1490" t="inlineStr">
        <is>
          <t>Nej</t>
        </is>
      </c>
      <c r="AK1490" t="inlineStr"/>
      <c r="AL1490" t="inlineStr"/>
      <c r="AM1490" t="inlineStr"/>
      <c r="AN1490" t="inlineStr"/>
      <c r="AO1490" t="inlineStr">
        <is>
          <t>cmm4yuomw01r2cuqwaq7rvqlg</t>
        </is>
      </c>
      <c r="AP1490" t="inlineStr">
        <is>
          <t>http://localhost:8787/api/admin/requirements/documents/cmm4yuomw01r2cuqwaq7rvqlg/view</t>
        </is>
      </c>
      <c r="AQ1490">
        <f>HYPERLÄNK("http://localhost:8787/api/admin/requirements/documents/cmm4yuomw01r2cuqwaq7rvqlg/view";"Öppna PDF")</f>
        <v/>
      </c>
      <c r="AR1490">
        <f>HYPERLINK("http://localhost:8787/api/admin/requirements/documents/cmm4yuomw01r2cuqwaq7rvqlg/view","Open PDF")</f>
        <v/>
      </c>
      <c r="AS1490" t="inlineStr">
        <is>
          <t>cmm55w57p0004cuisfrtpqly8</t>
        </is>
      </c>
      <c r="AT1490" t="inlineStr">
        <is>
          <t>cmm4xvu980000cuh4vj0usz09</t>
        </is>
      </c>
      <c r="AU1490" t="inlineStr"/>
      <c r="AV1490" t="inlineStr">
        <is>
          <t>Kommun</t>
        </is>
      </c>
      <c r="AW1490" t="inlineStr"/>
      <c r="AX1490" t="inlineStr">
        <is>
          <t>2026-02</t>
        </is>
      </c>
      <c r="AY1490" t="inlineStr">
        <is>
          <t>Beslut</t>
        </is>
      </c>
      <c r="AZ1490" t="inlineStr">
        <is>
          <t>2026-02-03</t>
        </is>
      </c>
      <c r="BA1490" t="inlineStr">
        <is>
          <t>MN-2023-10545-MN-2023-10545.pdf</t>
        </is>
      </c>
      <c r="BB1490" t="inlineStr">
        <is>
          <t>UTL 2026-02-03 mejl 1 - Sv: VB: [EXTERN]: till registrator</t>
        </is>
      </c>
      <c r="BC1490" t="inlineStr">
        <is>
          <t>AUTO</t>
        </is>
      </c>
      <c r="BD1490" t="inlineStr"/>
      <c r="BE1490" t="inlineStr"/>
      <c r="BF1490" t="inlineStr">
        <is>
          <t>AUTO_GENERERAD. Bekrafta metadata mot kallfil.</t>
        </is>
      </c>
      <c r="BG1490">
        <f>HYPERLINK("C:\Users\jimmy\Desktop\Examens arbete\Kod\Ny mapp\remix_-copy-of-miljöbeslut.se-portal\MN-2023-10545-MN-2023-10545.pdf", "Öppna PDF")</f>
        <v/>
      </c>
    </row>
    <row r="1491">
      <c r="A1491" t="inlineStr">
        <is>
          <t>KRAV-AUTO-001490</t>
        </is>
      </c>
      <c r="B1491" t="inlineStr">
        <is>
          <t>ADMIN-INDEX-2026-02-27-00000000125C043F57453246863FE664CAFE6A3F0700950291EA24F0614FB6ACEDB12BF0E31D00000000010C0000950291EA24F0614FB6ACEDB12BF0E31D00002087AED10000</t>
        </is>
      </c>
      <c r="C1491" t="inlineStr">
        <is>
          <t>cmm4yuolo01ptcuqwoji0bp1f</t>
        </is>
      </c>
      <c r="D1491" t="inlineStr">
        <is>
          <t>http://localhost:8787/api/admin/requirements/documents/cmm4yuolo01ptcuqwoji0bp1f/view</t>
        </is>
      </c>
      <c r="E1491">
        <f>HYPERLÄNK("http://localhost:8787/api/admin/requirements/documents/cmm4yuolo01ptcuqwoji0bp1f/view";"Öppna PDF")</f>
        <v/>
      </c>
      <c r="F1491">
        <f>HYPERLINK("http://localhost:8787/api/admin/requirements/documents/cmm4yuolo01ptcuqwoji0bp1f/view","Open PDF")</f>
        <v/>
      </c>
      <c r="G1491" t="inlineStr">
        <is>
          <t>cmm55w57p0004cuisfrtpqly8</t>
        </is>
      </c>
      <c r="H1491" t="inlineStr">
        <is>
          <t>Beslutsvillkor</t>
        </is>
      </c>
      <c r="I1491" t="inlineStr">
        <is>
          <t>Ytkonstruktion</t>
        </is>
      </c>
      <c r="J1491" t="inlineStr">
        <is>
          <t>Tat yta</t>
        </is>
      </c>
      <c r="K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1" t="inlineStr">
        <is>
          <t>SKA</t>
        </is>
      </c>
      <c r="N1491" t="inlineStr"/>
      <c r="O1491" t="inlineStr"/>
      <c r="P1491" t="inlineStr"/>
      <c r="Q1491" t="inlineStr"/>
      <c r="R1491" t="inlineStr">
        <is>
          <t>Vid mellanlagring av avfall</t>
        </is>
      </c>
      <c r="S1491" t="inlineStr"/>
      <c r="T1491" t="inlineStr">
        <is>
          <t>34 20 55</t>
        </is>
      </c>
      <c r="U1491" t="inlineStr"/>
      <c r="V1491" t="inlineStr"/>
      <c r="W1491" t="inlineStr">
        <is>
          <t>Ja</t>
        </is>
      </c>
      <c r="X1491" t="inlineStr">
        <is>
          <t>Nej</t>
        </is>
      </c>
      <c r="Y1491" t="inlineStr">
        <is>
          <t>Nej</t>
        </is>
      </c>
      <c r="Z1491" t="inlineStr">
        <is>
          <t>Nej</t>
        </is>
      </c>
      <c r="AA1491" t="n">
        <v>5</v>
      </c>
      <c r="AB1491" t="inlineStr">
        <is>
          <t>Teknisk beskrivning av platta</t>
        </is>
      </c>
      <c r="AC1491" t="inlineStr">
        <is>
          <t>Teknisk ritning platta</t>
        </is>
      </c>
      <c r="AD1491" t="inlineStr">
        <is>
          <t>Nej</t>
        </is>
      </c>
      <c r="AE1491" t="inlineStr">
        <is>
          <t>Nej</t>
        </is>
      </c>
      <c r="AF1491" t="inlineStr">
        <is>
          <t>Ej behandlad</t>
        </is>
      </c>
      <c r="AG1491" t="inlineStr">
        <is>
          <t>AUTO_GENERERAD. Verifiera citat mot kallfil.</t>
        </is>
      </c>
      <c r="AH1491" t="inlineStr">
        <is>
          <t>MEDIUM</t>
        </is>
      </c>
      <c r="AI1491" t="inlineStr">
        <is>
          <t>AUTO</t>
        </is>
      </c>
      <c r="AJ1491" t="inlineStr">
        <is>
          <t>Nej</t>
        </is>
      </c>
      <c r="AK1491" t="inlineStr"/>
      <c r="AL1491" t="inlineStr"/>
      <c r="AM1491" t="inlineStr"/>
      <c r="AN1491" t="inlineStr"/>
      <c r="AO1491" t="inlineStr">
        <is>
          <t>cmm4yuomw01r2cuqwaq7rvqlg</t>
        </is>
      </c>
      <c r="AP1491" t="inlineStr">
        <is>
          <t>http://localhost:8787/api/admin/requirements/documents/cmm4yuomw01r2cuqwaq7rvqlg/view</t>
        </is>
      </c>
      <c r="AQ1491">
        <f>HYPERLÄNK("http://localhost:8787/api/admin/requirements/documents/cmm4yuomw01r2cuqwaq7rvqlg/view";"Öppna PDF")</f>
        <v/>
      </c>
      <c r="AR1491">
        <f>HYPERLINK("http://localhost:8787/api/admin/requirements/documents/cmm4yuomw01r2cuqwaq7rvqlg/view","Open PDF")</f>
        <v/>
      </c>
      <c r="AS1491" t="inlineStr">
        <is>
          <t>cmm55w57p0004cuisfrtpqly8</t>
        </is>
      </c>
      <c r="AT1491" t="inlineStr">
        <is>
          <t>cmm4xvu980000cuh4vj0usz09</t>
        </is>
      </c>
      <c r="AU1491" t="inlineStr"/>
      <c r="AV1491" t="inlineStr">
        <is>
          <t>Kommun</t>
        </is>
      </c>
      <c r="AW1491" t="inlineStr"/>
      <c r="AX1491" t="inlineStr">
        <is>
          <t>2026-02</t>
        </is>
      </c>
      <c r="AY1491" t="inlineStr">
        <is>
          <t>Beslut</t>
        </is>
      </c>
      <c r="AZ1491" t="inlineStr">
        <is>
          <t>2026-02-03</t>
        </is>
      </c>
      <c r="BA1491" t="inlineStr">
        <is>
          <t>MN-2023-10545-MN-2023-10545.pdf</t>
        </is>
      </c>
      <c r="BB1491" t="inlineStr">
        <is>
          <t>UTL 2026-02-03 mejl 1 - Sv: VB: [EXTERN]: till registrator</t>
        </is>
      </c>
      <c r="BC1491" t="inlineStr">
        <is>
          <t>AUTO</t>
        </is>
      </c>
      <c r="BD1491" t="inlineStr"/>
      <c r="BE1491" t="inlineStr"/>
      <c r="BF1491" t="inlineStr">
        <is>
          <t>AUTO_GENERERAD. Bekrafta metadata mot kallfil.</t>
        </is>
      </c>
      <c r="BG1491">
        <f>HYPERLINK("C:\Users\jimmy\Desktop\Examens arbete\Kod\Ny mapp\remix_-copy-of-miljöbeslut.se-portal\MN-2023-10545-MN-2023-10545.pdf", "Öppna PDF")</f>
        <v/>
      </c>
    </row>
    <row r="1492">
      <c r="A1492" t="inlineStr">
        <is>
          <t>KRAV-AUTO-001491</t>
        </is>
      </c>
      <c r="B1492" t="inlineStr">
        <is>
          <t>ADMIN-INDEX-2026-02-27-00000000125C043F57453246863FE664CAFE6A3F0700950291EA24F0614FB6ACEDB12BF0E31D00000000010C0000950291EA24F0614FB6ACEDB12BF0E31D00002087AED10000</t>
        </is>
      </c>
      <c r="C1492" t="inlineStr">
        <is>
          <t>cmm4yuolo01ptcuqwoji0bp1f</t>
        </is>
      </c>
      <c r="D1492" t="inlineStr">
        <is>
          <t>http://localhost:8787/api/admin/requirements/documents/cmm4yuolo01ptcuqwoji0bp1f/view</t>
        </is>
      </c>
      <c r="E1492">
        <f>HYPERLÄNK("http://localhost:8787/api/admin/requirements/documents/cmm4yuolo01ptcuqwoji0bp1f/view";"Öppna PDF")</f>
        <v/>
      </c>
      <c r="F1492">
        <f>HYPERLINK("http://localhost:8787/api/admin/requirements/documents/cmm4yuolo01ptcuqwoji0bp1f/view","Open PDF")</f>
        <v/>
      </c>
      <c r="G1492" t="inlineStr">
        <is>
          <t>cmm55w57p0004cuisfrtpqly8</t>
        </is>
      </c>
      <c r="H1492" t="inlineStr">
        <is>
          <t>Beslutsvillkor</t>
        </is>
      </c>
      <c r="I1492" t="inlineStr">
        <is>
          <t>DriftEgenkontroll</t>
        </is>
      </c>
      <c r="J1492" t="inlineStr">
        <is>
          <t>Journalforing</t>
        </is>
      </c>
      <c r="K1492" t="inlineStr">
        <is>
          <t>Jag har fått analysprotokoll på jord och jag antar att det är provtagning på jorden som ska bilda vallen på fastigheten.</t>
        </is>
      </c>
      <c r="L1492" t="inlineStr">
        <is>
          <t>Jag har fått analysprotokoll på jord och jag antar att det är provtagning på jorden som ska bilda vallen på fastigheten.</t>
        </is>
      </c>
      <c r="M1492" t="inlineStr">
        <is>
          <t>SKA</t>
        </is>
      </c>
      <c r="N1492" t="inlineStr"/>
      <c r="O1492" t="inlineStr"/>
      <c r="P1492" t="inlineStr"/>
      <c r="Q1492" t="inlineStr"/>
      <c r="R1492" t="inlineStr">
        <is>
          <t>Lopande drift</t>
        </is>
      </c>
      <c r="S1492" t="inlineStr"/>
      <c r="T1492" t="inlineStr">
        <is>
          <t>2023 09</t>
        </is>
      </c>
      <c r="U1492" t="inlineStr"/>
      <c r="V1492" t="inlineStr"/>
      <c r="W1492" t="inlineStr">
        <is>
          <t>Nej</t>
        </is>
      </c>
      <c r="X1492" t="inlineStr">
        <is>
          <t>Nej</t>
        </is>
      </c>
      <c r="Y1492" t="inlineStr">
        <is>
          <t>Ja</t>
        </is>
      </c>
      <c r="Z1492" t="inlineStr">
        <is>
          <t>Nej</t>
        </is>
      </c>
      <c r="AA1492" t="n">
        <v>7</v>
      </c>
      <c r="AB1492" t="inlineStr">
        <is>
          <t>Egenkontrollrutiner</t>
        </is>
      </c>
      <c r="AC1492" t="inlineStr">
        <is>
          <t>Egenkontrollprogram</t>
        </is>
      </c>
      <c r="AD1492" t="inlineStr">
        <is>
          <t>Nej</t>
        </is>
      </c>
      <c r="AE1492" t="inlineStr">
        <is>
          <t>Nej</t>
        </is>
      </c>
      <c r="AF1492" t="inlineStr">
        <is>
          <t>Ej behandlad</t>
        </is>
      </c>
      <c r="AG1492" t="inlineStr">
        <is>
          <t>AUTO_GENERERAD. Verifiera citat mot kallfil.</t>
        </is>
      </c>
      <c r="AH1492" t="inlineStr">
        <is>
          <t>MEDIUM</t>
        </is>
      </c>
      <c r="AI1492" t="inlineStr">
        <is>
          <t>AUTO</t>
        </is>
      </c>
      <c r="AJ1492" t="inlineStr">
        <is>
          <t>Nej</t>
        </is>
      </c>
      <c r="AK1492" t="inlineStr"/>
      <c r="AL1492" t="inlineStr"/>
      <c r="AM1492" t="inlineStr"/>
      <c r="AN1492" t="inlineStr"/>
      <c r="AO1492" t="inlineStr">
        <is>
          <t>cmm4yuomw01r2cuqwaq7rvqlg</t>
        </is>
      </c>
      <c r="AP1492" t="inlineStr">
        <is>
          <t>http://localhost:8787/api/admin/requirements/documents/cmm4yuomw01r2cuqwaq7rvqlg/view</t>
        </is>
      </c>
      <c r="AQ1492">
        <f>HYPERLÄNK("http://localhost:8787/api/admin/requirements/documents/cmm4yuomw01r2cuqwaq7rvqlg/view";"Öppna PDF")</f>
        <v/>
      </c>
      <c r="AR1492">
        <f>HYPERLINK("http://localhost:8787/api/admin/requirements/documents/cmm4yuomw01r2cuqwaq7rvqlg/view","Open PDF")</f>
        <v/>
      </c>
      <c r="AS1492" t="inlineStr">
        <is>
          <t>cmm55w57p0004cuisfrtpqly8</t>
        </is>
      </c>
      <c r="AT1492" t="inlineStr">
        <is>
          <t>cmm4xvu980000cuh4vj0usz09</t>
        </is>
      </c>
      <c r="AU1492" t="inlineStr"/>
      <c r="AV1492" t="inlineStr">
        <is>
          <t>Kommun</t>
        </is>
      </c>
      <c r="AW1492" t="inlineStr"/>
      <c r="AX1492" t="inlineStr">
        <is>
          <t>2026-02</t>
        </is>
      </c>
      <c r="AY1492" t="inlineStr">
        <is>
          <t>Beslut</t>
        </is>
      </c>
      <c r="AZ1492" t="inlineStr">
        <is>
          <t>2026-02-03</t>
        </is>
      </c>
      <c r="BA1492" t="inlineStr">
        <is>
          <t>MN-2023-10545-MN-2023-10545.pdf</t>
        </is>
      </c>
      <c r="BB1492" t="inlineStr">
        <is>
          <t>UTL 2026-02-03 mejl 1 - Sv: VB: [EXTERN]: till registrator</t>
        </is>
      </c>
      <c r="BC1492" t="inlineStr">
        <is>
          <t>AUTO</t>
        </is>
      </c>
      <c r="BD1492" t="inlineStr"/>
      <c r="BE1492" t="inlineStr"/>
      <c r="BF1492" t="inlineStr">
        <is>
          <t>AUTO_GENERERAD. Bekrafta metadata mot kallfil.</t>
        </is>
      </c>
      <c r="BG1492">
        <f>HYPERLINK("C:\Users\jimmy\Desktop\Examens arbete\Kod\Ny mapp\remix_-copy-of-miljöbeslut.se-portal\MN-2023-10545-MN-2023-10545.pdf", "Öppna PDF")</f>
        <v/>
      </c>
    </row>
    <row r="1493">
      <c r="A1493" t="inlineStr">
        <is>
          <t>KRAV-AUTO-001492</t>
        </is>
      </c>
      <c r="B1493" t="inlineStr">
        <is>
          <t>ADMIN-INDEX-2026-02-27-00000000125C043F57453246863FE664CAFE6A3F0700950291EA24F0614FB6ACEDB12BF0E31D00000000010C0000950291EA24F0614FB6ACEDB12BF0E31D00002087AED10000</t>
        </is>
      </c>
      <c r="C1493" t="inlineStr">
        <is>
          <t>cmm4yuolo01ptcuqwoji0bp1f</t>
        </is>
      </c>
      <c r="D1493" t="inlineStr">
        <is>
          <t>http://localhost:8787/api/admin/requirements/documents/cmm4yuolo01ptcuqwoji0bp1f/view</t>
        </is>
      </c>
      <c r="E1493">
        <f>HYPERLÄNK("http://localhost:8787/api/admin/requirements/documents/cmm4yuolo01ptcuqwoji0bp1f/view";"Öppna PDF")</f>
        <v/>
      </c>
      <c r="F1493">
        <f>HYPERLINK("http://localhost:8787/api/admin/requirements/documents/cmm4yuolo01ptcuqwoji0bp1f/view","Open PDF")</f>
        <v/>
      </c>
      <c r="G1493" t="inlineStr">
        <is>
          <t>cmm55w57p0004cuisfrtpqly8</t>
        </is>
      </c>
      <c r="H1493" t="inlineStr">
        <is>
          <t>Beslutsvillkor</t>
        </is>
      </c>
      <c r="I1493" t="inlineStr">
        <is>
          <t>DriftEgenkontroll</t>
        </is>
      </c>
      <c r="J1493" t="inlineStr">
        <is>
          <t>Journalforing</t>
        </is>
      </c>
      <c r="K1493" t="inlineStr">
        <is>
          <t>Vi skulle även behöva ha rapporten på den miljötekniska markundersökningen som är utförd enligt anmälan för att se provpunkternas placering och provtagningsstrategi.</t>
        </is>
      </c>
      <c r="L1493" t="inlineStr">
        <is>
          <t>Vi skulle även behöva ha rapporten på den miljötekniska markundersökningen som är utförd enligt anmälan för att se provpunkternas placering och provtagningsstrategi.</t>
        </is>
      </c>
      <c r="M1493" t="inlineStr">
        <is>
          <t>SKA</t>
        </is>
      </c>
      <c r="N1493" t="inlineStr"/>
      <c r="O1493" t="inlineStr"/>
      <c r="P1493" t="inlineStr"/>
      <c r="Q1493" t="inlineStr"/>
      <c r="R1493" t="inlineStr">
        <is>
          <t>Lopande drift</t>
        </is>
      </c>
      <c r="S1493" t="inlineStr"/>
      <c r="T1493" t="inlineStr">
        <is>
          <t>2023 09</t>
        </is>
      </c>
      <c r="U1493" t="inlineStr"/>
      <c r="V1493" t="inlineStr"/>
      <c r="W1493" t="inlineStr">
        <is>
          <t>Nej</t>
        </is>
      </c>
      <c r="X1493" t="inlineStr">
        <is>
          <t>Nej</t>
        </is>
      </c>
      <c r="Y1493" t="inlineStr">
        <is>
          <t>Ja</t>
        </is>
      </c>
      <c r="Z1493" t="inlineStr">
        <is>
          <t>Nej</t>
        </is>
      </c>
      <c r="AA1493" t="n">
        <v>7</v>
      </c>
      <c r="AB1493" t="inlineStr">
        <is>
          <t>Egenkontrollrutiner</t>
        </is>
      </c>
      <c r="AC1493" t="inlineStr">
        <is>
          <t>Egenkontrollprogram</t>
        </is>
      </c>
      <c r="AD1493" t="inlineStr">
        <is>
          <t>Nej</t>
        </is>
      </c>
      <c r="AE1493" t="inlineStr">
        <is>
          <t>Nej</t>
        </is>
      </c>
      <c r="AF1493" t="inlineStr">
        <is>
          <t>Ej behandlad</t>
        </is>
      </c>
      <c r="AG1493" t="inlineStr">
        <is>
          <t>AUTO_GENERERAD. Verifiera citat mot kallfil.</t>
        </is>
      </c>
      <c r="AH1493" t="inlineStr">
        <is>
          <t>MEDIUM</t>
        </is>
      </c>
      <c r="AI1493" t="inlineStr">
        <is>
          <t>AUTO</t>
        </is>
      </c>
      <c r="AJ1493" t="inlineStr">
        <is>
          <t>Nej</t>
        </is>
      </c>
      <c r="AK1493" t="inlineStr"/>
      <c r="AL1493" t="inlineStr"/>
      <c r="AM1493" t="inlineStr"/>
      <c r="AN1493" t="inlineStr"/>
      <c r="AO1493" t="inlineStr">
        <is>
          <t>cmm4yuomw01r2cuqwaq7rvqlg</t>
        </is>
      </c>
      <c r="AP1493" t="inlineStr">
        <is>
          <t>http://localhost:8787/api/admin/requirements/documents/cmm4yuomw01r2cuqwaq7rvqlg/view</t>
        </is>
      </c>
      <c r="AQ1493">
        <f>HYPERLÄNK("http://localhost:8787/api/admin/requirements/documents/cmm4yuomw01r2cuqwaq7rvqlg/view";"Öppna PDF")</f>
        <v/>
      </c>
      <c r="AR1493">
        <f>HYPERLINK("http://localhost:8787/api/admin/requirements/documents/cmm4yuomw01r2cuqwaq7rvqlg/view","Open PDF")</f>
        <v/>
      </c>
      <c r="AS1493" t="inlineStr">
        <is>
          <t>cmm55w57p0004cuisfrtpqly8</t>
        </is>
      </c>
      <c r="AT1493" t="inlineStr">
        <is>
          <t>cmm4xvu980000cuh4vj0usz09</t>
        </is>
      </c>
      <c r="AU1493" t="inlineStr"/>
      <c r="AV1493" t="inlineStr">
        <is>
          <t>Kommun</t>
        </is>
      </c>
      <c r="AW1493" t="inlineStr"/>
      <c r="AX1493" t="inlineStr">
        <is>
          <t>2026-02</t>
        </is>
      </c>
      <c r="AY1493" t="inlineStr">
        <is>
          <t>Beslut</t>
        </is>
      </c>
      <c r="AZ1493" t="inlineStr">
        <is>
          <t>2026-02-03</t>
        </is>
      </c>
      <c r="BA1493" t="inlineStr">
        <is>
          <t>MN-2023-10545-MN-2023-10545.pdf</t>
        </is>
      </c>
      <c r="BB1493" t="inlineStr">
        <is>
          <t>UTL 2026-02-03 mejl 1 - Sv: VB: [EXTERN]: till registrator</t>
        </is>
      </c>
      <c r="BC1493" t="inlineStr">
        <is>
          <t>AUTO</t>
        </is>
      </c>
      <c r="BD1493" t="inlineStr"/>
      <c r="BE1493" t="inlineStr"/>
      <c r="BF1493" t="inlineStr">
        <is>
          <t>AUTO_GENERERAD. Bekrafta metadata mot kallfil.</t>
        </is>
      </c>
      <c r="BG1493">
        <f>HYPERLINK("C:\Users\jimmy\Desktop\Examens arbete\Kod\Ny mapp\remix_-copy-of-miljöbeslut.se-portal\MN-2023-10545-MN-2023-10545.pdf", "Öppna PDF")</f>
        <v/>
      </c>
    </row>
    <row r="1494">
      <c r="A1494" t="inlineStr">
        <is>
          <t>KRAV-AUTO-001493</t>
        </is>
      </c>
      <c r="B1494" t="inlineStr">
        <is>
          <t>ADMIN-INDEX-2026-02-27-00000000125C043F57453246863FE664CAFE6A3F0700950291EA24F0614FB6ACEDB12BF0E31D00000000010C0000950291EA24F0614FB6ACEDB12BF0E31D00002087AED20000</t>
        </is>
      </c>
      <c r="C1494" t="inlineStr">
        <is>
          <t>cmm4yuoki01okcuqws3skclf1</t>
        </is>
      </c>
      <c r="D1494" t="inlineStr">
        <is>
          <t>http://localhost:8787/api/admin/requirements/documents/cmm4yuoki01okcuqws3skclf1/view</t>
        </is>
      </c>
      <c r="E1494">
        <f>HYPERLÄNK("http://localhost:8787/api/admin/requirements/documents/cmm4yuoki01okcuqws3skclf1/view";"Öppna PDF")</f>
        <v/>
      </c>
      <c r="F1494">
        <f>HYPERLINK("http://localhost:8787/api/admin/requirements/documents/cmm4yuoki01okcuqws3skclf1/view","Open PDF")</f>
        <v/>
      </c>
      <c r="G1494" t="inlineStr">
        <is>
          <t>cmm55w57p0004cuisfrtpqly8</t>
        </is>
      </c>
      <c r="H1494" t="inlineStr">
        <is>
          <t>Beslutsvillkor</t>
        </is>
      </c>
      <c r="I1494" t="inlineStr">
        <is>
          <t>Ytkonstruktion</t>
        </is>
      </c>
      <c r="J1494" t="inlineStr">
        <is>
          <t>Tat yta</t>
        </is>
      </c>
      <c r="K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4" t="inlineStr">
        <is>
          <t>SKA</t>
        </is>
      </c>
      <c r="N1494" t="inlineStr"/>
      <c r="O1494" t="inlineStr"/>
      <c r="P1494" t="inlineStr"/>
      <c r="Q1494" t="inlineStr"/>
      <c r="R1494" t="inlineStr">
        <is>
          <t>Vid mellanlagring av avfall</t>
        </is>
      </c>
      <c r="S1494" t="inlineStr"/>
      <c r="T1494" t="inlineStr">
        <is>
          <t>34 20 55</t>
        </is>
      </c>
      <c r="U1494" t="inlineStr"/>
      <c r="V1494" t="inlineStr"/>
      <c r="W1494" t="inlineStr">
        <is>
          <t>Ja</t>
        </is>
      </c>
      <c r="X1494" t="inlineStr">
        <is>
          <t>Nej</t>
        </is>
      </c>
      <c r="Y1494" t="inlineStr">
        <is>
          <t>Nej</t>
        </is>
      </c>
      <c r="Z1494" t="inlineStr">
        <is>
          <t>Nej</t>
        </is>
      </c>
      <c r="AA1494" t="n">
        <v>5</v>
      </c>
      <c r="AB1494" t="inlineStr">
        <is>
          <t>Teknisk beskrivning av platta</t>
        </is>
      </c>
      <c r="AC1494" t="inlineStr">
        <is>
          <t>Teknisk ritning platta</t>
        </is>
      </c>
      <c r="AD1494" t="inlineStr">
        <is>
          <t>Nej</t>
        </is>
      </c>
      <c r="AE1494" t="inlineStr">
        <is>
          <t>Nej</t>
        </is>
      </c>
      <c r="AF1494" t="inlineStr">
        <is>
          <t>Ej behandlad</t>
        </is>
      </c>
      <c r="AG1494" t="inlineStr">
        <is>
          <t>AUTO_GENERERAD. Verifiera citat mot kallfil.</t>
        </is>
      </c>
      <c r="AH1494" t="inlineStr">
        <is>
          <t>MEDIUM</t>
        </is>
      </c>
      <c r="AI1494" t="inlineStr">
        <is>
          <t>AUTO</t>
        </is>
      </c>
      <c r="AJ1494" t="inlineStr">
        <is>
          <t>Nej</t>
        </is>
      </c>
      <c r="AK1494" t="inlineStr"/>
      <c r="AL1494" t="inlineStr"/>
      <c r="AM1494" t="inlineStr"/>
      <c r="AN1494" t="inlineStr"/>
      <c r="AO1494" t="inlineStr">
        <is>
          <t>cmm4yuoki01okcuqws3skclf1</t>
        </is>
      </c>
      <c r="AP1494" t="inlineStr">
        <is>
          <t>http://localhost:8787/api/admin/requirements/documents/cmm4yuoki01okcuqws3skclf1/view</t>
        </is>
      </c>
      <c r="AQ1494">
        <f>HYPERLÄNK("http://localhost:8787/api/admin/requirements/documents/cmm4yuoki01okcuqws3skclf1/view";"Öppna PDF")</f>
        <v/>
      </c>
      <c r="AR1494">
        <f>HYPERLINK("http://localhost:8787/api/admin/requirements/documents/cmm4yuoki01okcuqws3skclf1/view","Open PDF")</f>
        <v/>
      </c>
      <c r="AS1494" t="inlineStr">
        <is>
          <t>cmm55w57p0004cuisfrtpqly8</t>
        </is>
      </c>
      <c r="AT1494" t="inlineStr">
        <is>
          <t>cmm4xvu980000cuh4vj0usz09</t>
        </is>
      </c>
      <c r="AU1494" t="inlineStr"/>
      <c r="AV1494" t="inlineStr">
        <is>
          <t>Kommun</t>
        </is>
      </c>
      <c r="AW1494" t="inlineStr"/>
      <c r="AX1494" t="inlineStr">
        <is>
          <t>2026-02</t>
        </is>
      </c>
      <c r="AY1494" t="inlineStr">
        <is>
          <t>Beslut</t>
        </is>
      </c>
      <c r="AZ1494" t="inlineStr">
        <is>
          <t>2026-02-03</t>
        </is>
      </c>
      <c r="BA1494" t="inlineStr">
        <is>
          <t>MN-2023-10545-MN-2023-10545.pdf</t>
        </is>
      </c>
      <c r="BB1494" t="inlineStr">
        <is>
          <t>UTL 2026-02-03 mejl 1 - Sv: VB: [EXTERN]: till registrator</t>
        </is>
      </c>
      <c r="BC1494" t="inlineStr">
        <is>
          <t>AUTO</t>
        </is>
      </c>
      <c r="BD1494" t="inlineStr"/>
      <c r="BE1494" t="inlineStr"/>
      <c r="BF1494" t="inlineStr">
        <is>
          <t>AUTO_GENERERAD. Bekrafta metadata mot kallfil.</t>
        </is>
      </c>
      <c r="BG1494">
        <f>HYPERLINK("C:\Users\jimmy\Desktop\Examens arbete\Kod\Ny mapp\remix_-copy-of-miljöbeslut.se-portal\MN-2023-10545-MN-2023-10545.pdf", "Öppna PDF")</f>
        <v/>
      </c>
    </row>
    <row r="1495">
      <c r="A1495" t="inlineStr">
        <is>
          <t>KRAV-AUTO-001494</t>
        </is>
      </c>
      <c r="B1495" t="inlineStr">
        <is>
          <t>ADMIN-INDEX-2026-02-27-00000000125C043F57453246863FE664CAFE6A3F0700950291EA24F0614FB6ACEDB12BF0E31D00000000010C0000950291EA24F0614FB6ACEDB12BF0E31D00002087AED20000</t>
        </is>
      </c>
      <c r="C1495" t="inlineStr">
        <is>
          <t>cmm4yuoki01okcuqws3skclf1</t>
        </is>
      </c>
      <c r="D1495" t="inlineStr">
        <is>
          <t>http://localhost:8787/api/admin/requirements/documents/cmm4yuoki01okcuqws3skclf1/view</t>
        </is>
      </c>
      <c r="E1495">
        <f>HYPERLÄNK("http://localhost:8787/api/admin/requirements/documents/cmm4yuoki01okcuqws3skclf1/view";"Öppna PDF")</f>
        <v/>
      </c>
      <c r="F1495">
        <f>HYPERLINK("http://localhost:8787/api/admin/requirements/documents/cmm4yuoki01okcuqws3skclf1/view","Open PDF")</f>
        <v/>
      </c>
      <c r="G1495" t="inlineStr">
        <is>
          <t>cmm55w57p0004cuisfrtpqly8</t>
        </is>
      </c>
      <c r="H1495" t="inlineStr">
        <is>
          <t>Beslutsvillkor</t>
        </is>
      </c>
      <c r="I1495" t="inlineStr">
        <is>
          <t>MiljopaverkanForsiktighet</t>
        </is>
      </c>
      <c r="J1495" t="inlineStr">
        <is>
          <t>Skyddsatgarder</t>
        </is>
      </c>
      <c r="K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95" t="inlineStr">
        <is>
          <t>BOR</t>
        </is>
      </c>
      <c r="N1495" t="inlineStr">
        <is>
          <t>Miljobalken, FMH</t>
        </is>
      </c>
      <c r="O1495" t="inlineStr">
        <is>
          <t>2023-10-13</t>
        </is>
      </c>
      <c r="P1495" t="inlineStr">
        <is>
          <t>Arlig</t>
        </is>
      </c>
      <c r="Q1495" t="inlineStr"/>
      <c r="R1495" t="inlineStr">
        <is>
          <t>Alltid</t>
        </is>
      </c>
      <c r="S1495" t="inlineStr"/>
      <c r="T1495" t="inlineStr">
        <is>
          <t>34 20 55</t>
        </is>
      </c>
      <c r="U1495" t="inlineStr"/>
      <c r="V1495" t="inlineStr"/>
      <c r="W1495" t="inlineStr">
        <is>
          <t>Nej</t>
        </is>
      </c>
      <c r="X1495" t="inlineStr">
        <is>
          <t>Nej</t>
        </is>
      </c>
      <c r="Y1495" t="inlineStr">
        <is>
          <t>Nej</t>
        </is>
      </c>
      <c r="Z1495" t="inlineStr">
        <is>
          <t>Nej</t>
        </is>
      </c>
      <c r="AA1495" t="n">
        <v>10</v>
      </c>
      <c r="AB1495" t="inlineStr">
        <is>
          <t>Miljopaverkan och forsiktighetsmatt</t>
        </is>
      </c>
      <c r="AC1495" t="inlineStr">
        <is>
          <t>Miljo-PM</t>
        </is>
      </c>
      <c r="AD1495" t="inlineStr">
        <is>
          <t>Nej</t>
        </is>
      </c>
      <c r="AE1495" t="inlineStr">
        <is>
          <t>Nej</t>
        </is>
      </c>
      <c r="AF1495" t="inlineStr">
        <is>
          <t>Ej behandlad</t>
        </is>
      </c>
      <c r="AG1495" t="inlineStr">
        <is>
          <t>AUTO_GENERERAD. Verifiera citat mot kallfil.</t>
        </is>
      </c>
      <c r="AH1495" t="inlineStr">
        <is>
          <t>MEDIUM</t>
        </is>
      </c>
      <c r="AI1495" t="inlineStr">
        <is>
          <t>AUTO</t>
        </is>
      </c>
      <c r="AJ1495" t="inlineStr">
        <is>
          <t>Nej</t>
        </is>
      </c>
      <c r="AK1495" t="inlineStr"/>
      <c r="AL1495" t="inlineStr"/>
      <c r="AM1495" t="inlineStr"/>
      <c r="AN1495" t="inlineStr"/>
      <c r="AO1495" t="inlineStr">
        <is>
          <t>cmm4yuoki01okcuqws3skclf1</t>
        </is>
      </c>
      <c r="AP1495" t="inlineStr">
        <is>
          <t>http://localhost:8787/api/admin/requirements/documents/cmm4yuoki01okcuqws3skclf1/view</t>
        </is>
      </c>
      <c r="AQ1495">
        <f>HYPERLÄNK("http://localhost:8787/api/admin/requirements/documents/cmm4yuoki01okcuqws3skclf1/view";"Öppna PDF")</f>
        <v/>
      </c>
      <c r="AR1495">
        <f>HYPERLINK("http://localhost:8787/api/admin/requirements/documents/cmm4yuoki01okcuqws3skclf1/view","Open PDF")</f>
        <v/>
      </c>
      <c r="AS1495" t="inlineStr">
        <is>
          <t>cmm55w57p0004cuisfrtpqly8</t>
        </is>
      </c>
      <c r="AT1495" t="inlineStr">
        <is>
          <t>cmm4xvu980000cuh4vj0usz09</t>
        </is>
      </c>
      <c r="AU1495" t="inlineStr"/>
      <c r="AV1495" t="inlineStr">
        <is>
          <t>Kommun</t>
        </is>
      </c>
      <c r="AW1495" t="inlineStr"/>
      <c r="AX1495" t="inlineStr">
        <is>
          <t>2026-02</t>
        </is>
      </c>
      <c r="AY1495" t="inlineStr">
        <is>
          <t>Beslut</t>
        </is>
      </c>
      <c r="AZ1495" t="inlineStr">
        <is>
          <t>2026-02-03</t>
        </is>
      </c>
      <c r="BA1495" t="inlineStr">
        <is>
          <t>MN-2023-10545-MN-2023-10545.pdf</t>
        </is>
      </c>
      <c r="BB1495" t="inlineStr">
        <is>
          <t>UTL 2026-02-03 mejl 1 - Sv: VB: [EXTERN]: till registrator</t>
        </is>
      </c>
      <c r="BC1495" t="inlineStr">
        <is>
          <t>AUTO</t>
        </is>
      </c>
      <c r="BD1495" t="inlineStr"/>
      <c r="BE1495" t="inlineStr"/>
      <c r="BF1495" t="inlineStr">
        <is>
          <t>AUTO_GENERERAD. Bekrafta metadata mot kallfil.</t>
        </is>
      </c>
      <c r="BG1495">
        <f>HYPERLINK("C:\Users\jimmy\Desktop\Examens arbete\Kod\Ny mapp\remix_-copy-of-miljöbeslut.se-portal\MN-2023-10545-MN-2023-10545.pdf", "Öppna PDF")</f>
        <v/>
      </c>
    </row>
    <row r="1496">
      <c r="A1496" t="inlineStr">
        <is>
          <t>KRAV-AUTO-001495</t>
        </is>
      </c>
      <c r="B1496" t="inlineStr">
        <is>
          <t>ADMIN-INDEX-2026-02-27-00000000125C043F57453246863FE664CAFE6A3F0700950291EA24F0614FB6ACEDB12BF0E31D00000000010C0000950291EA24F0614FB6ACEDB12BF0E31D00002087AED20000</t>
        </is>
      </c>
      <c r="C1496" t="inlineStr">
        <is>
          <t>cmm4yuojn01ntcuqwwephyh0h</t>
        </is>
      </c>
      <c r="D1496" t="inlineStr">
        <is>
          <t>http://localhost:8787/api/admin/requirements/documents/cmm4yuojn01ntcuqwwephyh0h/view</t>
        </is>
      </c>
      <c r="E1496">
        <f>HYPERLÄNK("http://localhost:8787/api/admin/requirements/documents/cmm4yuojn01ntcuqwwephyh0h/view";"Öppna PDF")</f>
        <v/>
      </c>
      <c r="F1496">
        <f>HYPERLINK("http://localhost:8787/api/admin/requirements/documents/cmm4yuojn01ntcuqwwephyh0h/view","Open PDF")</f>
        <v/>
      </c>
      <c r="G1496" t="inlineStr">
        <is>
          <t>cmm55w57p0004cuisfrtpqly8</t>
        </is>
      </c>
      <c r="H1496" t="inlineStr">
        <is>
          <t>Informationskrav</t>
        </is>
      </c>
      <c r="I1496" t="inlineStr">
        <is>
          <t>LagringsvolymTid</t>
        </is>
      </c>
      <c r="J1496" t="inlineStr">
        <is>
          <t>Maxmangd</t>
        </is>
      </c>
      <c r="K1496" t="inlineStr">
        <is>
          <t>Att möjliggöra återvinning av avfallsmassor med likartade tekniska och miljömässiga egenskaper som jungfruliga massor från täkt bidrar till att minimera mängden uppkomna avfallsmassor och bidrar till en cirkulär omställning av samhället.</t>
        </is>
      </c>
      <c r="L1496" t="inlineStr">
        <is>
          <t>Att möjliggöra återvinning av avfallsmassor med likartade tekniska och miljömässiga egenskaper som jungfruliga massor från täkt bidrar till att minimera mängden uppkomna avfallsmassor och bidrar till en cirkulär omställning av samhället.</t>
        </is>
      </c>
      <c r="M1496" t="inlineStr">
        <is>
          <t>SKA</t>
        </is>
      </c>
      <c r="N1496" t="inlineStr"/>
      <c r="O1496" t="inlineStr"/>
      <c r="P1496" t="inlineStr"/>
      <c r="Q1496" t="inlineStr"/>
      <c r="R1496" t="inlineStr">
        <is>
          <t>Alltid</t>
        </is>
      </c>
      <c r="S1496" t="inlineStr"/>
      <c r="T1496" t="inlineStr"/>
      <c r="U1496" t="inlineStr"/>
      <c r="V1496" t="inlineStr"/>
      <c r="W1496" t="inlineStr">
        <is>
          <t>Nej</t>
        </is>
      </c>
      <c r="X1496" t="inlineStr">
        <is>
          <t>Nej</t>
        </is>
      </c>
      <c r="Y1496" t="inlineStr">
        <is>
          <t>Nej</t>
        </is>
      </c>
      <c r="Z1496" t="inlineStr">
        <is>
          <t>Nej</t>
        </is>
      </c>
      <c r="AA1496" t="n">
        <v>4</v>
      </c>
      <c r="AB1496" t="inlineStr">
        <is>
          <t>Avfallsmangder och lagringstid</t>
        </is>
      </c>
      <c r="AC1496" t="inlineStr">
        <is>
          <t>Avfallsforteckning</t>
        </is>
      </c>
      <c r="AD1496" t="inlineStr">
        <is>
          <t>Nej</t>
        </is>
      </c>
      <c r="AE1496" t="inlineStr">
        <is>
          <t>Nej</t>
        </is>
      </c>
      <c r="AF1496" t="inlineStr">
        <is>
          <t>Ej behandlad</t>
        </is>
      </c>
      <c r="AG1496" t="inlineStr">
        <is>
          <t>AUTO_GENERERAD. Verifiera citat mot kallfil.</t>
        </is>
      </c>
      <c r="AH1496" t="inlineStr">
        <is>
          <t>MEDIUM</t>
        </is>
      </c>
      <c r="AI1496" t="inlineStr">
        <is>
          <t>AUTO</t>
        </is>
      </c>
      <c r="AJ1496" t="inlineStr">
        <is>
          <t>Nej</t>
        </is>
      </c>
      <c r="AK1496" t="inlineStr"/>
      <c r="AL1496" t="inlineStr"/>
      <c r="AM1496" t="inlineStr"/>
      <c r="AN1496" t="inlineStr"/>
      <c r="AO1496" t="inlineStr">
        <is>
          <t>cmm4yuoki01okcuqws3skclf1</t>
        </is>
      </c>
      <c r="AP1496" t="inlineStr">
        <is>
          <t>http://localhost:8787/api/admin/requirements/documents/cmm4yuoki01okcuqws3skclf1/view</t>
        </is>
      </c>
      <c r="AQ1496">
        <f>HYPERLÄNK("http://localhost:8787/api/admin/requirements/documents/cmm4yuoki01okcuqws3skclf1/view";"Öppna PDF")</f>
        <v/>
      </c>
      <c r="AR1496">
        <f>HYPERLINK("http://localhost:8787/api/admin/requirements/documents/cmm4yuoki01okcuqws3skclf1/view","Open PDF")</f>
        <v/>
      </c>
      <c r="AS1496" t="inlineStr">
        <is>
          <t>cmm55w57p0004cuisfrtpqly8</t>
        </is>
      </c>
      <c r="AT1496" t="inlineStr">
        <is>
          <t>cmm4xvu980000cuh4vj0usz09</t>
        </is>
      </c>
      <c r="AU1496" t="inlineStr"/>
      <c r="AV1496" t="inlineStr">
        <is>
          <t>Kommun</t>
        </is>
      </c>
      <c r="AW1496" t="inlineStr"/>
      <c r="AX1496" t="inlineStr">
        <is>
          <t>2026-02</t>
        </is>
      </c>
      <c r="AY1496" t="inlineStr">
        <is>
          <t>Beslut</t>
        </is>
      </c>
      <c r="AZ1496" t="inlineStr">
        <is>
          <t>2026-02-03</t>
        </is>
      </c>
      <c r="BA1496" t="inlineStr">
        <is>
          <t>MN-2023-10545-MN-2023-10545.pdf</t>
        </is>
      </c>
      <c r="BB1496" t="inlineStr">
        <is>
          <t>UTL 2026-02-03 mejl 1 - Sv: VB: [EXTERN]: till registrator</t>
        </is>
      </c>
      <c r="BC1496" t="inlineStr">
        <is>
          <t>AUTO</t>
        </is>
      </c>
      <c r="BD1496" t="inlineStr"/>
      <c r="BE1496" t="inlineStr"/>
      <c r="BF1496" t="inlineStr">
        <is>
          <t>AUTO_GENERERAD. Bekrafta metadata mot kallfil.</t>
        </is>
      </c>
      <c r="BG1496">
        <f>HYPERLINK("C:\Users\jimmy\Desktop\Examens arbete\Kod\Ny mapp\remix_-copy-of-miljöbeslut.se-portal\MN-2023-10545-MN-2023-10545.pdf", "Öppna PDF")</f>
        <v/>
      </c>
    </row>
    <row r="1497">
      <c r="A1497" t="inlineStr">
        <is>
          <t>KRAV-AUTO-001496</t>
        </is>
      </c>
      <c r="B1497" t="inlineStr">
        <is>
          <t>ADMIN-INDEX-2026-02-27-00000000125C043F57453246863FE664CAFE6A3F0700950291EA24F0614FB6ACEDB12BF0E31D00000000010C0000950291EA24F0614FB6ACEDB12BF0E31D00002087AED20000</t>
        </is>
      </c>
      <c r="C1497" t="inlineStr">
        <is>
          <t>cmm4yuojn01ntcuqwwephyh0h</t>
        </is>
      </c>
      <c r="D1497" t="inlineStr">
        <is>
          <t>http://localhost:8787/api/admin/requirements/documents/cmm4yuojn01ntcuqwwephyh0h/view</t>
        </is>
      </c>
      <c r="E1497">
        <f>HYPERLÄNK("http://localhost:8787/api/admin/requirements/documents/cmm4yuojn01ntcuqwwephyh0h/view";"Öppna PDF")</f>
        <v/>
      </c>
      <c r="F1497">
        <f>HYPERLINK("http://localhost:8787/api/admin/requirements/documents/cmm4yuojn01ntcuqwwephyh0h/view","Open PDF")</f>
        <v/>
      </c>
      <c r="G1497" t="inlineStr">
        <is>
          <t>cmm55w57p0004cuisfrtpqly8</t>
        </is>
      </c>
      <c r="H1497" t="inlineStr">
        <is>
          <t>Informationskrav</t>
        </is>
      </c>
      <c r="I1497" t="inlineStr">
        <is>
          <t>Ytkonstruktion</t>
        </is>
      </c>
      <c r="J1497" t="inlineStr">
        <is>
          <t>Tat yta</t>
        </is>
      </c>
      <c r="K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97" t="inlineStr">
        <is>
          <t>SKA</t>
        </is>
      </c>
      <c r="N1497" t="inlineStr"/>
      <c r="O1497" t="inlineStr"/>
      <c r="P1497" t="inlineStr"/>
      <c r="Q1497" t="inlineStr"/>
      <c r="R1497" t="inlineStr">
        <is>
          <t>Vid mellanlagring av avfall</t>
        </is>
      </c>
      <c r="S1497" t="inlineStr"/>
      <c r="T1497" t="inlineStr"/>
      <c r="U1497" t="inlineStr"/>
      <c r="V1497" t="inlineStr"/>
      <c r="W1497" t="inlineStr">
        <is>
          <t>Ja</t>
        </is>
      </c>
      <c r="X1497" t="inlineStr">
        <is>
          <t>Nej</t>
        </is>
      </c>
      <c r="Y1497" t="inlineStr">
        <is>
          <t>Nej</t>
        </is>
      </c>
      <c r="Z1497" t="inlineStr">
        <is>
          <t>Nej</t>
        </is>
      </c>
      <c r="AA1497" t="n">
        <v>5</v>
      </c>
      <c r="AB1497" t="inlineStr">
        <is>
          <t>Teknisk beskrivning av platta</t>
        </is>
      </c>
      <c r="AC1497" t="inlineStr">
        <is>
          <t>Teknisk ritning platta</t>
        </is>
      </c>
      <c r="AD1497" t="inlineStr">
        <is>
          <t>Nej</t>
        </is>
      </c>
      <c r="AE1497" t="inlineStr">
        <is>
          <t>Nej</t>
        </is>
      </c>
      <c r="AF1497" t="inlineStr">
        <is>
          <t>Ej behandlad</t>
        </is>
      </c>
      <c r="AG1497" t="inlineStr">
        <is>
          <t>AUTO_GENERERAD. Verifiera citat mot kallfil.</t>
        </is>
      </c>
      <c r="AH1497" t="inlineStr">
        <is>
          <t>MEDIUM</t>
        </is>
      </c>
      <c r="AI1497" t="inlineStr">
        <is>
          <t>AUTO</t>
        </is>
      </c>
      <c r="AJ1497" t="inlineStr">
        <is>
          <t>Nej</t>
        </is>
      </c>
      <c r="AK1497" t="inlineStr"/>
      <c r="AL1497" t="inlineStr"/>
      <c r="AM1497" t="inlineStr"/>
      <c r="AN1497" t="inlineStr"/>
      <c r="AO1497" t="inlineStr">
        <is>
          <t>cmm4yuoki01okcuqws3skclf1</t>
        </is>
      </c>
      <c r="AP1497" t="inlineStr">
        <is>
          <t>http://localhost:8787/api/admin/requirements/documents/cmm4yuoki01okcuqws3skclf1/view</t>
        </is>
      </c>
      <c r="AQ1497">
        <f>HYPERLÄNK("http://localhost:8787/api/admin/requirements/documents/cmm4yuoki01okcuqws3skclf1/view";"Öppna PDF")</f>
        <v/>
      </c>
      <c r="AR1497">
        <f>HYPERLINK("http://localhost:8787/api/admin/requirements/documents/cmm4yuoki01okcuqws3skclf1/view","Open PDF")</f>
        <v/>
      </c>
      <c r="AS1497" t="inlineStr">
        <is>
          <t>cmm55w57p0004cuisfrtpqly8</t>
        </is>
      </c>
      <c r="AT1497" t="inlineStr">
        <is>
          <t>cmm4xvu980000cuh4vj0usz09</t>
        </is>
      </c>
      <c r="AU1497" t="inlineStr"/>
      <c r="AV1497" t="inlineStr">
        <is>
          <t>Kommun</t>
        </is>
      </c>
      <c r="AW1497" t="inlineStr"/>
      <c r="AX1497" t="inlineStr">
        <is>
          <t>2026-02</t>
        </is>
      </c>
      <c r="AY1497" t="inlineStr">
        <is>
          <t>Beslut</t>
        </is>
      </c>
      <c r="AZ1497" t="inlineStr">
        <is>
          <t>2026-02-03</t>
        </is>
      </c>
      <c r="BA1497" t="inlineStr">
        <is>
          <t>MN-2023-10545-MN-2023-10545.pdf</t>
        </is>
      </c>
      <c r="BB1497" t="inlineStr">
        <is>
          <t>UTL 2026-02-03 mejl 1 - Sv: VB: [EXTERN]: till registrator</t>
        </is>
      </c>
      <c r="BC1497" t="inlineStr">
        <is>
          <t>AUTO</t>
        </is>
      </c>
      <c r="BD1497" t="inlineStr"/>
      <c r="BE1497" t="inlineStr"/>
      <c r="BF1497" t="inlineStr">
        <is>
          <t>AUTO_GENERERAD. Bekrafta metadata mot kallfil.</t>
        </is>
      </c>
      <c r="BG1497">
        <f>HYPERLINK("C:\Users\jimmy\Desktop\Examens arbete\Kod\Ny mapp\remix_-copy-of-miljöbeslut.se-portal\MN-2023-10545-MN-2023-10545.pdf", "Öppna PDF")</f>
        <v/>
      </c>
    </row>
    <row r="1498">
      <c r="A1498" t="inlineStr">
        <is>
          <t>KRAV-AUTO-001497</t>
        </is>
      </c>
      <c r="B1498" t="inlineStr">
        <is>
          <t>ADMIN-INDEX-2026-02-27-00000000125C043F57453246863FE664CAFE6A3F0700950291EA24F0614FB6ACEDB12BF0E31D00000000010C0000950291EA24F0614FB6ACEDB12BF0E31D00002087AED20000</t>
        </is>
      </c>
      <c r="C1498" t="inlineStr">
        <is>
          <t>cmm4yuojn01ntcuqwwephyh0h</t>
        </is>
      </c>
      <c r="D1498" t="inlineStr">
        <is>
          <t>http://localhost:8787/api/admin/requirements/documents/cmm4yuojn01ntcuqwwephyh0h/view</t>
        </is>
      </c>
      <c r="E1498">
        <f>HYPERLÄNK("http://localhost:8787/api/admin/requirements/documents/cmm4yuojn01ntcuqwwephyh0h/view";"Öppna PDF")</f>
        <v/>
      </c>
      <c r="F1498">
        <f>HYPERLINK("http://localhost:8787/api/admin/requirements/documents/cmm4yuojn01ntcuqwwephyh0h/view","Open PDF")</f>
        <v/>
      </c>
      <c r="G1498" t="inlineStr">
        <is>
          <t>cmm55w57p0004cuisfrtpqly8</t>
        </is>
      </c>
      <c r="H1498" t="inlineStr">
        <is>
          <t>Informationskrav</t>
        </is>
      </c>
      <c r="I1498" t="inlineStr">
        <is>
          <t>LagringsvolymTid</t>
        </is>
      </c>
      <c r="J1498" t="inlineStr">
        <is>
          <t>Maxmangd</t>
        </is>
      </c>
      <c r="K1498" t="inlineStr">
        <is>
          <t>Totalt ska högst 4200 ton massor användas för utfyllnad.</t>
        </is>
      </c>
      <c r="L1498" t="inlineStr">
        <is>
          <t>Totalt ska högst 4200 ton massor användas för utfyllnad.</t>
        </is>
      </c>
      <c r="M1498" t="inlineStr">
        <is>
          <t>SKA</t>
        </is>
      </c>
      <c r="N1498" t="inlineStr"/>
      <c r="O1498" t="inlineStr"/>
      <c r="P1498" t="inlineStr"/>
      <c r="Q1498" t="inlineStr"/>
      <c r="R1498" t="inlineStr">
        <is>
          <t>Alltid</t>
        </is>
      </c>
      <c r="S1498" t="inlineStr"/>
      <c r="T1498" t="inlineStr"/>
      <c r="U1498" t="n">
        <v>4200</v>
      </c>
      <c r="V1498" t="inlineStr"/>
      <c r="W1498" t="inlineStr">
        <is>
          <t>Nej</t>
        </is>
      </c>
      <c r="X1498" t="inlineStr">
        <is>
          <t>Nej</t>
        </is>
      </c>
      <c r="Y1498" t="inlineStr">
        <is>
          <t>Nej</t>
        </is>
      </c>
      <c r="Z1498" t="inlineStr">
        <is>
          <t>Nej</t>
        </is>
      </c>
      <c r="AA1498" t="n">
        <v>4</v>
      </c>
      <c r="AB1498" t="inlineStr">
        <is>
          <t>Avfallsmangder och lagringstid</t>
        </is>
      </c>
      <c r="AC1498" t="inlineStr">
        <is>
          <t>Avfallsforteckning</t>
        </is>
      </c>
      <c r="AD1498" t="inlineStr">
        <is>
          <t>Nej</t>
        </is>
      </c>
      <c r="AE1498" t="inlineStr">
        <is>
          <t>Nej</t>
        </is>
      </c>
      <c r="AF1498" t="inlineStr">
        <is>
          <t>Ej behandlad</t>
        </is>
      </c>
      <c r="AG1498" t="inlineStr">
        <is>
          <t>AUTO_GENERERAD. Verifiera citat mot kallfil.</t>
        </is>
      </c>
      <c r="AH1498" t="inlineStr">
        <is>
          <t>MEDIUM</t>
        </is>
      </c>
      <c r="AI1498" t="inlineStr">
        <is>
          <t>AUTO</t>
        </is>
      </c>
      <c r="AJ1498" t="inlineStr">
        <is>
          <t>Nej</t>
        </is>
      </c>
      <c r="AK1498" t="inlineStr"/>
      <c r="AL1498" t="inlineStr"/>
      <c r="AM1498" t="inlineStr"/>
      <c r="AN1498" t="inlineStr"/>
      <c r="AO1498" t="inlineStr">
        <is>
          <t>cmm4yuoki01okcuqws3skclf1</t>
        </is>
      </c>
      <c r="AP1498" t="inlineStr">
        <is>
          <t>http://localhost:8787/api/admin/requirements/documents/cmm4yuoki01okcuqws3skclf1/view</t>
        </is>
      </c>
      <c r="AQ1498">
        <f>HYPERLÄNK("http://localhost:8787/api/admin/requirements/documents/cmm4yuoki01okcuqws3skclf1/view";"Öppna PDF")</f>
        <v/>
      </c>
      <c r="AR1498">
        <f>HYPERLINK("http://localhost:8787/api/admin/requirements/documents/cmm4yuoki01okcuqws3skclf1/view","Open PDF")</f>
        <v/>
      </c>
      <c r="AS1498" t="inlineStr">
        <is>
          <t>cmm55w57p0004cuisfrtpqly8</t>
        </is>
      </c>
      <c r="AT1498" t="inlineStr">
        <is>
          <t>cmm4xvu980000cuh4vj0usz09</t>
        </is>
      </c>
      <c r="AU1498" t="inlineStr"/>
      <c r="AV1498" t="inlineStr">
        <is>
          <t>Kommun</t>
        </is>
      </c>
      <c r="AW1498" t="inlineStr"/>
      <c r="AX1498" t="inlineStr">
        <is>
          <t>2026-02</t>
        </is>
      </c>
      <c r="AY1498" t="inlineStr">
        <is>
          <t>Beslut</t>
        </is>
      </c>
      <c r="AZ1498" t="inlineStr">
        <is>
          <t>2026-02-03</t>
        </is>
      </c>
      <c r="BA1498" t="inlineStr">
        <is>
          <t>MN-2023-10545-MN-2023-10545.pdf</t>
        </is>
      </c>
      <c r="BB1498" t="inlineStr">
        <is>
          <t>UTL 2026-02-03 mejl 1 - Sv: VB: [EXTERN]: till registrator</t>
        </is>
      </c>
      <c r="BC1498" t="inlineStr">
        <is>
          <t>AUTO</t>
        </is>
      </c>
      <c r="BD1498" t="inlineStr"/>
      <c r="BE1498" t="inlineStr"/>
      <c r="BF1498" t="inlineStr">
        <is>
          <t>AUTO_GENERERAD. Bekrafta metadata mot kallfil.</t>
        </is>
      </c>
      <c r="BG1498">
        <f>HYPERLINK("C:\Users\jimmy\Desktop\Examens arbete\Kod\Ny mapp\remix_-copy-of-miljöbeslut.se-portal\MN-2023-10545-MN-2023-10545.pdf", "Öppna PDF")</f>
        <v/>
      </c>
    </row>
    <row r="1499">
      <c r="A1499" t="inlineStr">
        <is>
          <t>KRAV-AUTO-001498</t>
        </is>
      </c>
      <c r="B1499" t="inlineStr">
        <is>
          <t>ADMIN-INDEX-2026-02-27-00000000125C043F57453246863FE664CAFE6A3F0700950291EA24F0614FB6ACEDB12BF0E31D00000000010C0000950291EA24F0614FB6ACEDB12BF0E31D00002087AED20000</t>
        </is>
      </c>
      <c r="C1499" t="inlineStr">
        <is>
          <t>cmm4yuojh01nncuqwu4vi7wro</t>
        </is>
      </c>
      <c r="D1499" t="inlineStr">
        <is>
          <t>http://localhost:8787/api/admin/requirements/documents/cmm4yuojh01nncuqwu4vi7wro/view</t>
        </is>
      </c>
      <c r="E1499">
        <f>HYPERLÄNK("http://localhost:8787/api/admin/requirements/documents/cmm4yuojh01nncuqwu4vi7wro/view";"Öppna PDF")</f>
        <v/>
      </c>
      <c r="F1499">
        <f>HYPERLINK("http://localhost:8787/api/admin/requirements/documents/cmm4yuojh01nncuqwu4vi7wro/view","Open PDF")</f>
        <v/>
      </c>
      <c r="G1499" t="inlineStr">
        <is>
          <t>cmm55w57p0004cuisfrtpqly8</t>
        </is>
      </c>
      <c r="H1499" t="inlineStr">
        <is>
          <t>Beslutsvillkor</t>
        </is>
      </c>
      <c r="I1499" t="inlineStr">
        <is>
          <t>Ytkonstruktion</t>
        </is>
      </c>
      <c r="J1499" t="inlineStr">
        <is>
          <t>Tat yta</t>
        </is>
      </c>
      <c r="K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9" t="inlineStr">
        <is>
          <t>SKA</t>
        </is>
      </c>
      <c r="N1499" t="inlineStr"/>
      <c r="O1499" t="inlineStr"/>
      <c r="P1499" t="inlineStr"/>
      <c r="Q1499" t="inlineStr"/>
      <c r="R1499" t="inlineStr">
        <is>
          <t>Vid mellanlagring av avfall</t>
        </is>
      </c>
      <c r="S1499" t="inlineStr"/>
      <c r="T1499" t="inlineStr">
        <is>
          <t>34 20 55</t>
        </is>
      </c>
      <c r="U1499" t="inlineStr"/>
      <c r="V1499" t="inlineStr"/>
      <c r="W1499" t="inlineStr">
        <is>
          <t>Ja</t>
        </is>
      </c>
      <c r="X1499" t="inlineStr">
        <is>
          <t>Nej</t>
        </is>
      </c>
      <c r="Y1499" t="inlineStr">
        <is>
          <t>Nej</t>
        </is>
      </c>
      <c r="Z1499" t="inlineStr">
        <is>
          <t>Nej</t>
        </is>
      </c>
      <c r="AA1499" t="n">
        <v>5</v>
      </c>
      <c r="AB1499" t="inlineStr">
        <is>
          <t>Teknisk beskrivning av platta</t>
        </is>
      </c>
      <c r="AC1499" t="inlineStr">
        <is>
          <t>Teknisk ritning platta</t>
        </is>
      </c>
      <c r="AD1499" t="inlineStr">
        <is>
          <t>Nej</t>
        </is>
      </c>
      <c r="AE1499" t="inlineStr">
        <is>
          <t>Nej</t>
        </is>
      </c>
      <c r="AF1499" t="inlineStr">
        <is>
          <t>Ej behandlad</t>
        </is>
      </c>
      <c r="AG1499" t="inlineStr">
        <is>
          <t>AUTO_GENERERAD. Verifiera citat mot kallfil.</t>
        </is>
      </c>
      <c r="AH1499" t="inlineStr">
        <is>
          <t>MEDIUM</t>
        </is>
      </c>
      <c r="AI1499" t="inlineStr">
        <is>
          <t>AUTO</t>
        </is>
      </c>
      <c r="AJ1499" t="inlineStr">
        <is>
          <t>Nej</t>
        </is>
      </c>
      <c r="AK1499" t="inlineStr"/>
      <c r="AL1499" t="inlineStr"/>
      <c r="AM1499" t="inlineStr"/>
      <c r="AN1499" t="inlineStr"/>
      <c r="AO1499" t="inlineStr">
        <is>
          <t>cmm4yuoki01okcuqws3skclf1</t>
        </is>
      </c>
      <c r="AP1499" t="inlineStr">
        <is>
          <t>http://localhost:8787/api/admin/requirements/documents/cmm4yuoki01okcuqws3skclf1/view</t>
        </is>
      </c>
      <c r="AQ1499">
        <f>HYPERLÄNK("http://localhost:8787/api/admin/requirements/documents/cmm4yuoki01okcuqws3skclf1/view";"Öppna PDF")</f>
        <v/>
      </c>
      <c r="AR1499">
        <f>HYPERLINK("http://localhost:8787/api/admin/requirements/documents/cmm4yuoki01okcuqws3skclf1/view","Open PDF")</f>
        <v/>
      </c>
      <c r="AS1499" t="inlineStr">
        <is>
          <t>cmm55w57p0004cuisfrtpqly8</t>
        </is>
      </c>
      <c r="AT1499" t="inlineStr">
        <is>
          <t>cmm4xvu980000cuh4vj0usz09</t>
        </is>
      </c>
      <c r="AU1499" t="inlineStr"/>
      <c r="AV1499" t="inlineStr">
        <is>
          <t>Kommun</t>
        </is>
      </c>
      <c r="AW1499" t="inlineStr"/>
      <c r="AX1499" t="inlineStr">
        <is>
          <t>2026-02</t>
        </is>
      </c>
      <c r="AY1499" t="inlineStr">
        <is>
          <t>Beslut</t>
        </is>
      </c>
      <c r="AZ1499" t="inlineStr">
        <is>
          <t>2026-02-03</t>
        </is>
      </c>
      <c r="BA1499" t="inlineStr">
        <is>
          <t>MN-2023-10545-MN-2023-10545.pdf</t>
        </is>
      </c>
      <c r="BB1499" t="inlineStr">
        <is>
          <t>UTL 2026-02-03 mejl 1 - Sv: VB: [EXTERN]: till registrator</t>
        </is>
      </c>
      <c r="BC1499" t="inlineStr">
        <is>
          <t>AUTO</t>
        </is>
      </c>
      <c r="BD1499" t="inlineStr"/>
      <c r="BE1499" t="inlineStr"/>
      <c r="BF1499" t="inlineStr">
        <is>
          <t>AUTO_GENERERAD. Bekrafta metadata mot kallfil.</t>
        </is>
      </c>
      <c r="BG1499">
        <f>HYPERLINK("C:\Users\jimmy\Desktop\Examens arbete\Kod\Ny mapp\remix_-copy-of-miljöbeslut.se-portal\MN-2023-10545-MN-2023-10545.pdf", "Öppna PDF")</f>
        <v/>
      </c>
    </row>
    <row r="1500">
      <c r="A1500" t="inlineStr">
        <is>
          <t>KRAV-AUTO-001499</t>
        </is>
      </c>
      <c r="B1500" t="inlineStr">
        <is>
          <t>ADMIN-INDEX-2026-02-27-00000000125C043F57453246863FE664CAFE6A3F0700950291EA24F0614FB6ACEDB12BF0E31D00000000010C0000950291EA24F0614FB6ACEDB12BF0E31D00002087AED20000</t>
        </is>
      </c>
      <c r="C1500" t="inlineStr">
        <is>
          <t>cmm4yuojh01nncuqwu4vi7wro</t>
        </is>
      </c>
      <c r="D1500" t="inlineStr">
        <is>
          <t>http://localhost:8787/api/admin/requirements/documents/cmm4yuojh01nncuqwu4vi7wro/view</t>
        </is>
      </c>
      <c r="E1500">
        <f>HYPERLÄNK("http://localhost:8787/api/admin/requirements/documents/cmm4yuojh01nncuqwu4vi7wro/view";"Öppna PDF")</f>
        <v/>
      </c>
      <c r="F1500">
        <f>HYPERLINK("http://localhost:8787/api/admin/requirements/documents/cmm4yuojh01nncuqwu4vi7wro/view","Open PDF")</f>
        <v/>
      </c>
      <c r="G1500" t="inlineStr">
        <is>
          <t>cmm55w57p0004cuisfrtpqly8</t>
        </is>
      </c>
      <c r="H1500" t="inlineStr">
        <is>
          <t>Beslutsvillkor</t>
        </is>
      </c>
      <c r="I1500" t="inlineStr">
        <is>
          <t>MiljopaverkanForsiktighet</t>
        </is>
      </c>
      <c r="J1500" t="inlineStr">
        <is>
          <t>Skyddsatgarder</t>
        </is>
      </c>
      <c r="K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500" t="inlineStr">
        <is>
          <t>BOR</t>
        </is>
      </c>
      <c r="N1500" t="inlineStr">
        <is>
          <t>Miljobalken, FMH</t>
        </is>
      </c>
      <c r="O1500" t="inlineStr"/>
      <c r="P1500" t="inlineStr">
        <is>
          <t>Arlig</t>
        </is>
      </c>
      <c r="Q1500" t="inlineStr"/>
      <c r="R1500" t="inlineStr">
        <is>
          <t>Alltid</t>
        </is>
      </c>
      <c r="S1500" t="inlineStr"/>
      <c r="T1500" t="inlineStr">
        <is>
          <t>2023 11</t>
        </is>
      </c>
      <c r="U1500" t="inlineStr"/>
      <c r="V1500" t="inlineStr"/>
      <c r="W1500" t="inlineStr">
        <is>
          <t>Nej</t>
        </is>
      </c>
      <c r="X1500" t="inlineStr">
        <is>
          <t>Nej</t>
        </is>
      </c>
      <c r="Y1500" t="inlineStr">
        <is>
          <t>Nej</t>
        </is>
      </c>
      <c r="Z1500" t="inlineStr">
        <is>
          <t>Nej</t>
        </is>
      </c>
      <c r="AA1500" t="n">
        <v>10</v>
      </c>
      <c r="AB1500" t="inlineStr">
        <is>
          <t>Miljopaverkan och forsiktighetsmatt</t>
        </is>
      </c>
      <c r="AC1500" t="inlineStr">
        <is>
          <t>Miljo-PM</t>
        </is>
      </c>
      <c r="AD1500" t="inlineStr">
        <is>
          <t>Nej</t>
        </is>
      </c>
      <c r="AE1500" t="inlineStr">
        <is>
          <t>Nej</t>
        </is>
      </c>
      <c r="AF1500" t="inlineStr">
        <is>
          <t>Ej behandlad</t>
        </is>
      </c>
      <c r="AG1500" t="inlineStr">
        <is>
          <t>AUTO_GENERERAD. Verifiera citat mot kallfil.</t>
        </is>
      </c>
      <c r="AH1500" t="inlineStr">
        <is>
          <t>MEDIUM</t>
        </is>
      </c>
      <c r="AI1500" t="inlineStr">
        <is>
          <t>AUTO</t>
        </is>
      </c>
      <c r="AJ1500" t="inlineStr">
        <is>
          <t>Nej</t>
        </is>
      </c>
      <c r="AK1500" t="inlineStr"/>
      <c r="AL1500" t="inlineStr"/>
      <c r="AM1500" t="inlineStr"/>
      <c r="AN1500" t="inlineStr"/>
      <c r="AO1500" t="inlineStr">
        <is>
          <t>cmm4yuoki01okcuqws3skclf1</t>
        </is>
      </c>
      <c r="AP1500" t="inlineStr">
        <is>
          <t>http://localhost:8787/api/admin/requirements/documents/cmm4yuoki01okcuqws3skclf1/view</t>
        </is>
      </c>
      <c r="AQ1500">
        <f>HYPERLÄNK("http://localhost:8787/api/admin/requirements/documents/cmm4yuoki01okcuqws3skclf1/view";"Öppna PDF")</f>
        <v/>
      </c>
      <c r="AR1500">
        <f>HYPERLINK("http://localhost:8787/api/admin/requirements/documents/cmm4yuoki01okcuqws3skclf1/view","Open PDF")</f>
        <v/>
      </c>
      <c r="AS1500" t="inlineStr">
        <is>
          <t>cmm55w57p0004cuisfrtpqly8</t>
        </is>
      </c>
      <c r="AT1500" t="inlineStr">
        <is>
          <t>cmm4xvu980000cuh4vj0usz09</t>
        </is>
      </c>
      <c r="AU1500" t="inlineStr"/>
      <c r="AV1500" t="inlineStr">
        <is>
          <t>Kommun</t>
        </is>
      </c>
      <c r="AW1500" t="inlineStr"/>
      <c r="AX1500" t="inlineStr">
        <is>
          <t>2026-02</t>
        </is>
      </c>
      <c r="AY1500" t="inlineStr">
        <is>
          <t>Beslut</t>
        </is>
      </c>
      <c r="AZ1500" t="inlineStr">
        <is>
          <t>2026-02-03</t>
        </is>
      </c>
      <c r="BA1500" t="inlineStr">
        <is>
          <t>MN-2023-10545-MN-2023-10545.pdf</t>
        </is>
      </c>
      <c r="BB1500" t="inlineStr">
        <is>
          <t>UTL 2026-02-03 mejl 1 - Sv: VB: [EXTERN]: till registrator</t>
        </is>
      </c>
      <c r="BC1500" t="inlineStr">
        <is>
          <t>AUTO</t>
        </is>
      </c>
      <c r="BD1500" t="inlineStr"/>
      <c r="BE1500" t="inlineStr"/>
      <c r="BF1500" t="inlineStr">
        <is>
          <t>AUTO_GENERERAD. Bekrafta metadata mot kallfil.</t>
        </is>
      </c>
      <c r="BG1500">
        <f>HYPERLINK("C:\Users\jimmy\Desktop\Examens arbete\Kod\Ny mapp\remix_-copy-of-miljöbeslut.se-portal\MN-2023-10545-MN-2023-10545.pdf", "Öppna PDF")</f>
        <v/>
      </c>
    </row>
    <row r="1501">
      <c r="A1501" t="inlineStr">
        <is>
          <t>KRAV-AUTO-001500</t>
        </is>
      </c>
      <c r="B1501" t="inlineStr">
        <is>
          <t>ADMIN-INDEX-2026-02-27-00000000125C043F57453246863FE664CAFE6A3F0700950291EA24F0614FB6ACEDB12BF0E31D00000000010C0000950291EA24F0614FB6ACEDB12BF0E31D00002087AED20000</t>
        </is>
      </c>
      <c r="C1501" t="inlineStr">
        <is>
          <t>cmm4yuoj501nbcuqwjtrffzcc</t>
        </is>
      </c>
      <c r="D1501" t="inlineStr">
        <is>
          <t>http://localhost:8787/api/admin/requirements/documents/cmm4yuoj501nbcuqwjtrffzcc/view</t>
        </is>
      </c>
      <c r="E1501">
        <f>HYPERLÄNK("http://localhost:8787/api/admin/requirements/documents/cmm4yuoj501nbcuqwjtrffzcc/view";"Öppna PDF")</f>
        <v/>
      </c>
      <c r="F1501">
        <f>HYPERLINK("http://localhost:8787/api/admin/requirements/documents/cmm4yuoj501nbcuqwjtrffzcc/view","Open PDF")</f>
        <v/>
      </c>
      <c r="G1501" t="inlineStr">
        <is>
          <t>cmm55w57p0004cuisfrtpqly8</t>
        </is>
      </c>
      <c r="H1501" t="inlineStr">
        <is>
          <t>Beslutsvillkor</t>
        </is>
      </c>
      <c r="I1501" t="inlineStr">
        <is>
          <t>Ytkonstruktion</t>
        </is>
      </c>
      <c r="J1501" t="inlineStr">
        <is>
          <t>Tat yta</t>
        </is>
      </c>
      <c r="K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501" t="inlineStr">
        <is>
          <t>SKA</t>
        </is>
      </c>
      <c r="N1501" t="inlineStr"/>
      <c r="O1501" t="inlineStr"/>
      <c r="P1501" t="inlineStr"/>
      <c r="Q1501" t="inlineStr"/>
      <c r="R1501" t="inlineStr">
        <is>
          <t>Vid mellanlagring av avfall</t>
        </is>
      </c>
      <c r="S1501" t="inlineStr"/>
      <c r="T1501" t="inlineStr">
        <is>
          <t>34 20 55</t>
        </is>
      </c>
      <c r="U1501" t="inlineStr"/>
      <c r="V1501" t="inlineStr"/>
      <c r="W1501" t="inlineStr">
        <is>
          <t>Ja</t>
        </is>
      </c>
      <c r="X1501" t="inlineStr">
        <is>
          <t>Nej</t>
        </is>
      </c>
      <c r="Y1501" t="inlineStr">
        <is>
          <t>Nej</t>
        </is>
      </c>
      <c r="Z1501" t="inlineStr">
        <is>
          <t>Nej</t>
        </is>
      </c>
      <c r="AA1501" t="n">
        <v>5</v>
      </c>
      <c r="AB1501" t="inlineStr">
        <is>
          <t>Teknisk beskrivning av platta</t>
        </is>
      </c>
      <c r="AC1501" t="inlineStr">
        <is>
          <t>Teknisk ritning platta</t>
        </is>
      </c>
      <c r="AD1501" t="inlineStr">
        <is>
          <t>Nej</t>
        </is>
      </c>
      <c r="AE1501" t="inlineStr">
        <is>
          <t>Nej</t>
        </is>
      </c>
      <c r="AF1501" t="inlineStr">
        <is>
          <t>Ej behandlad</t>
        </is>
      </c>
      <c r="AG1501" t="inlineStr">
        <is>
          <t>AUTO_GENERERAD. Verifiera citat mot kallfil.</t>
        </is>
      </c>
      <c r="AH1501" t="inlineStr">
        <is>
          <t>MEDIUM</t>
        </is>
      </c>
      <c r="AI1501" t="inlineStr">
        <is>
          <t>AUTO</t>
        </is>
      </c>
      <c r="AJ1501" t="inlineStr">
        <is>
          <t>Nej</t>
        </is>
      </c>
      <c r="AK1501" t="inlineStr"/>
      <c r="AL1501" t="inlineStr"/>
      <c r="AM1501" t="inlineStr"/>
      <c r="AN1501" t="inlineStr"/>
      <c r="AO1501" t="inlineStr">
        <is>
          <t>cmm4yuoki01okcuqws3skclf1</t>
        </is>
      </c>
      <c r="AP1501" t="inlineStr">
        <is>
          <t>http://localhost:8787/api/admin/requirements/documents/cmm4yuoki01okcuqws3skclf1/view</t>
        </is>
      </c>
      <c r="AQ1501">
        <f>HYPERLÄNK("http://localhost:8787/api/admin/requirements/documents/cmm4yuoki01okcuqws3skclf1/view";"Öppna PDF")</f>
        <v/>
      </c>
      <c r="AR1501">
        <f>HYPERLINK("http://localhost:8787/api/admin/requirements/documents/cmm4yuoki01okcuqws3skclf1/view","Open PDF")</f>
        <v/>
      </c>
      <c r="AS1501" t="inlineStr">
        <is>
          <t>cmm55w57p0004cuisfrtpqly8</t>
        </is>
      </c>
      <c r="AT1501" t="inlineStr">
        <is>
          <t>cmm4xvu980000cuh4vj0usz09</t>
        </is>
      </c>
      <c r="AU1501" t="inlineStr"/>
      <c r="AV1501" t="inlineStr">
        <is>
          <t>Kommun</t>
        </is>
      </c>
      <c r="AW1501" t="inlineStr"/>
      <c r="AX1501" t="inlineStr">
        <is>
          <t>2026-02</t>
        </is>
      </c>
      <c r="AY1501" t="inlineStr">
        <is>
          <t>Beslut</t>
        </is>
      </c>
      <c r="AZ1501" t="inlineStr">
        <is>
          <t>2026-02-03</t>
        </is>
      </c>
      <c r="BA1501" t="inlineStr">
        <is>
          <t>MN-2023-10545-MN-2023-10545.pdf</t>
        </is>
      </c>
      <c r="BB1501" t="inlineStr">
        <is>
          <t>UTL 2026-02-03 mejl 1 - Sv: VB: [EXTERN]: till registrator</t>
        </is>
      </c>
      <c r="BC1501" t="inlineStr">
        <is>
          <t>AUTO</t>
        </is>
      </c>
      <c r="BD1501" t="inlineStr"/>
      <c r="BE1501" t="inlineStr"/>
      <c r="BF1501" t="inlineStr">
        <is>
          <t>AUTO_GENERERAD. Bekrafta metadata mot kallfil.</t>
        </is>
      </c>
      <c r="BG1501">
        <f>HYPERLINK("C:\Users\jimmy\Desktop\Examens arbete\Kod\Ny mapp\remix_-copy-of-miljöbeslut.se-portal\MN-2023-10545-MN-2023-10545.pdf", "Öppna PDF")</f>
        <v/>
      </c>
    </row>
    <row r="1502">
      <c r="A1502" t="inlineStr">
        <is>
          <t>KRAV-AUTO-001501</t>
        </is>
      </c>
      <c r="B1502" t="inlineStr">
        <is>
          <t>ADMIN-INDEX-2026-02-27-00000000125C043F57453246863FE664CAFE6A3F0700950291EA24F0614FB6ACEDB12BF0E31D00000000010C0000950291EA24F0614FB6ACEDB12BF0E31D00002087AED20000</t>
        </is>
      </c>
      <c r="C1502" t="inlineStr">
        <is>
          <t>cmm4yuoj501nbcuqwjtrffzcc</t>
        </is>
      </c>
      <c r="D1502" t="inlineStr">
        <is>
          <t>http://localhost:8787/api/admin/requirements/documents/cmm4yuoj501nbcuqwjtrffzcc/view</t>
        </is>
      </c>
      <c r="E1502">
        <f>HYPERLÄNK("http://localhost:8787/api/admin/requirements/documents/cmm4yuoj501nbcuqwjtrffzcc/view";"Öppna PDF")</f>
        <v/>
      </c>
      <c r="F1502">
        <f>HYPERLINK("http://localhost:8787/api/admin/requirements/documents/cmm4yuoj501nbcuqwjtrffzcc/view","Open PDF")</f>
        <v/>
      </c>
      <c r="G1502" t="inlineStr">
        <is>
          <t>cmm55w57p0004cuisfrtpqly8</t>
        </is>
      </c>
      <c r="H1502" t="inlineStr">
        <is>
          <t>Beslutsvillkor</t>
        </is>
      </c>
      <c r="I1502" t="inlineStr">
        <is>
          <t>DriftEgenkontroll</t>
        </is>
      </c>
      <c r="J1502" t="inlineStr">
        <is>
          <t>Journalforing</t>
        </is>
      </c>
      <c r="K1502" t="inlineStr">
        <is>
          <t>Jag har fått analysprotokoll på jord och jag antar att det är provtagning på jorden som ska bilda vallen på fastigheten.</t>
        </is>
      </c>
      <c r="L1502" t="inlineStr">
        <is>
          <t>Jag har fått analysprotokoll på jord och jag antar att det är provtagning på jorden som ska bilda vallen på fastigheten.</t>
        </is>
      </c>
      <c r="M1502" t="inlineStr">
        <is>
          <t>SKA</t>
        </is>
      </c>
      <c r="N1502" t="inlineStr"/>
      <c r="O1502" t="inlineStr"/>
      <c r="P1502" t="inlineStr"/>
      <c r="Q1502" t="inlineStr"/>
      <c r="R1502" t="inlineStr">
        <is>
          <t>Lopande drift</t>
        </is>
      </c>
      <c r="S1502" t="inlineStr"/>
      <c r="T1502" t="inlineStr">
        <is>
          <t>2023 09</t>
        </is>
      </c>
      <c r="U1502" t="inlineStr"/>
      <c r="V1502" t="inlineStr"/>
      <c r="W1502" t="inlineStr">
        <is>
          <t>Nej</t>
        </is>
      </c>
      <c r="X1502" t="inlineStr">
        <is>
          <t>Nej</t>
        </is>
      </c>
      <c r="Y1502" t="inlineStr">
        <is>
          <t>Ja</t>
        </is>
      </c>
      <c r="Z1502" t="inlineStr">
        <is>
          <t>Nej</t>
        </is>
      </c>
      <c r="AA1502" t="n">
        <v>7</v>
      </c>
      <c r="AB1502" t="inlineStr">
        <is>
          <t>Egenkontrollrutiner</t>
        </is>
      </c>
      <c r="AC1502" t="inlineStr">
        <is>
          <t>Egenkontrollprogram</t>
        </is>
      </c>
      <c r="AD1502" t="inlineStr">
        <is>
          <t>Nej</t>
        </is>
      </c>
      <c r="AE1502" t="inlineStr">
        <is>
          <t>Nej</t>
        </is>
      </c>
      <c r="AF1502" t="inlineStr">
        <is>
          <t>Ej behandlad</t>
        </is>
      </c>
      <c r="AG1502" t="inlineStr">
        <is>
          <t>AUTO_GENERERAD. Verifiera citat mot kallfil.</t>
        </is>
      </c>
      <c r="AH1502" t="inlineStr">
        <is>
          <t>MEDIUM</t>
        </is>
      </c>
      <c r="AI1502" t="inlineStr">
        <is>
          <t>AUTO</t>
        </is>
      </c>
      <c r="AJ1502" t="inlineStr">
        <is>
          <t>Nej</t>
        </is>
      </c>
      <c r="AK1502" t="inlineStr"/>
      <c r="AL1502" t="inlineStr"/>
      <c r="AM1502" t="inlineStr"/>
      <c r="AN1502" t="inlineStr"/>
      <c r="AO1502" t="inlineStr">
        <is>
          <t>cmm4yuoki01okcuqws3skclf1</t>
        </is>
      </c>
      <c r="AP1502" t="inlineStr">
        <is>
          <t>http://localhost:8787/api/admin/requirements/documents/cmm4yuoki01okcuqws3skclf1/view</t>
        </is>
      </c>
      <c r="AQ1502">
        <f>HYPERLÄNK("http://localhost:8787/api/admin/requirements/documents/cmm4yuoki01okcuqws3skclf1/view";"Öppna PDF")</f>
        <v/>
      </c>
      <c r="AR1502">
        <f>HYPERLINK("http://localhost:8787/api/admin/requirements/documents/cmm4yuoki01okcuqws3skclf1/view","Open PDF")</f>
        <v/>
      </c>
      <c r="AS1502" t="inlineStr">
        <is>
          <t>cmm55w57p0004cuisfrtpqly8</t>
        </is>
      </c>
      <c r="AT1502" t="inlineStr">
        <is>
          <t>cmm4xvu980000cuh4vj0usz09</t>
        </is>
      </c>
      <c r="AU1502" t="inlineStr"/>
      <c r="AV1502" t="inlineStr">
        <is>
          <t>Kommun</t>
        </is>
      </c>
      <c r="AW1502" t="inlineStr"/>
      <c r="AX1502" t="inlineStr">
        <is>
          <t>2026-02</t>
        </is>
      </c>
      <c r="AY1502" t="inlineStr">
        <is>
          <t>Beslut</t>
        </is>
      </c>
      <c r="AZ1502" t="inlineStr">
        <is>
          <t>2026-02-03</t>
        </is>
      </c>
      <c r="BA1502" t="inlineStr">
        <is>
          <t>MN-2023-10545-MN-2023-10545.pdf</t>
        </is>
      </c>
      <c r="BB1502" t="inlineStr">
        <is>
          <t>UTL 2026-02-03 mejl 1 - Sv: VB: [EXTERN]: till registrator</t>
        </is>
      </c>
      <c r="BC1502" t="inlineStr">
        <is>
          <t>AUTO</t>
        </is>
      </c>
      <c r="BD1502" t="inlineStr"/>
      <c r="BE1502" t="inlineStr"/>
      <c r="BF1502" t="inlineStr">
        <is>
          <t>AUTO_GENERERAD. Bekrafta metadata mot kallfil.</t>
        </is>
      </c>
      <c r="BG1502">
        <f>HYPERLINK("C:\Users\jimmy\Desktop\Examens arbete\Kod\Ny mapp\remix_-copy-of-miljöbeslut.se-portal\MN-2023-10545-MN-2023-10545.pdf", "Öppna PDF")</f>
        <v/>
      </c>
    </row>
    <row r="1503">
      <c r="A1503" t="inlineStr">
        <is>
          <t>KRAV-AUTO-001502</t>
        </is>
      </c>
      <c r="B1503" t="inlineStr">
        <is>
          <t>ADMIN-INDEX-2026-02-27-00000000125C043F57453246863FE664CAFE6A3F0700950291EA24F0614FB6ACEDB12BF0E31D00000000010C0000950291EA24F0614FB6ACEDB12BF0E31D00002087AED20000</t>
        </is>
      </c>
      <c r="C1503" t="inlineStr">
        <is>
          <t>cmm4yuoj501nbcuqwjtrffzcc</t>
        </is>
      </c>
      <c r="D1503" t="inlineStr">
        <is>
          <t>http://localhost:8787/api/admin/requirements/documents/cmm4yuoj501nbcuqwjtrffzcc/view</t>
        </is>
      </c>
      <c r="E1503">
        <f>HYPERLÄNK("http://localhost:8787/api/admin/requirements/documents/cmm4yuoj501nbcuqwjtrffzcc/view";"Öppna PDF")</f>
        <v/>
      </c>
      <c r="F1503">
        <f>HYPERLINK("http://localhost:8787/api/admin/requirements/documents/cmm4yuoj501nbcuqwjtrffzcc/view","Open PDF")</f>
        <v/>
      </c>
      <c r="G1503" t="inlineStr">
        <is>
          <t>cmm55w57p0004cuisfrtpqly8</t>
        </is>
      </c>
      <c r="H1503" t="inlineStr">
        <is>
          <t>Beslutsvillkor</t>
        </is>
      </c>
      <c r="I1503" t="inlineStr">
        <is>
          <t>DriftEgenkontroll</t>
        </is>
      </c>
      <c r="J1503" t="inlineStr">
        <is>
          <t>Journalforing</t>
        </is>
      </c>
      <c r="K1503" t="inlineStr">
        <is>
          <t>Vi skulle även behöva ha rapporten på den miljötekniska markundersökningen som är utförd enligt anmälan för att se provpunkternas placering och provtagningsstrategi.</t>
        </is>
      </c>
      <c r="L1503" t="inlineStr">
        <is>
          <t>Vi skulle även behöva ha rapporten på den miljötekniska markundersökningen som är utförd enligt anmälan för att se provpunkternas placering och provtagningsstrategi.</t>
        </is>
      </c>
      <c r="M1503" t="inlineStr">
        <is>
          <t>SKA</t>
        </is>
      </c>
      <c r="N1503" t="inlineStr"/>
      <c r="O1503" t="inlineStr"/>
      <c r="P1503" t="inlineStr"/>
      <c r="Q1503" t="inlineStr"/>
      <c r="R1503" t="inlineStr">
        <is>
          <t>Lopande drift</t>
        </is>
      </c>
      <c r="S1503" t="inlineStr"/>
      <c r="T1503" t="inlineStr">
        <is>
          <t>2023 09</t>
        </is>
      </c>
      <c r="U1503" t="inlineStr"/>
      <c r="V1503" t="inlineStr"/>
      <c r="W1503" t="inlineStr">
        <is>
          <t>Nej</t>
        </is>
      </c>
      <c r="X1503" t="inlineStr">
        <is>
          <t>Nej</t>
        </is>
      </c>
      <c r="Y1503" t="inlineStr">
        <is>
          <t>Ja</t>
        </is>
      </c>
      <c r="Z1503" t="inlineStr">
        <is>
          <t>Nej</t>
        </is>
      </c>
      <c r="AA1503" t="n">
        <v>7</v>
      </c>
      <c r="AB1503" t="inlineStr">
        <is>
          <t>Egenkontrollrutiner</t>
        </is>
      </c>
      <c r="AC1503" t="inlineStr">
        <is>
          <t>Egenkontrollprogram</t>
        </is>
      </c>
      <c r="AD1503" t="inlineStr">
        <is>
          <t>Nej</t>
        </is>
      </c>
      <c r="AE1503" t="inlineStr">
        <is>
          <t>Nej</t>
        </is>
      </c>
      <c r="AF1503" t="inlineStr">
        <is>
          <t>Ej behandlad</t>
        </is>
      </c>
      <c r="AG1503" t="inlineStr">
        <is>
          <t>AUTO_GENERERAD. Verifiera citat mot kallfil.</t>
        </is>
      </c>
      <c r="AH1503" t="inlineStr">
        <is>
          <t>MEDIUM</t>
        </is>
      </c>
      <c r="AI1503" t="inlineStr">
        <is>
          <t>AUTO</t>
        </is>
      </c>
      <c r="AJ1503" t="inlineStr">
        <is>
          <t>Nej</t>
        </is>
      </c>
      <c r="AK1503" t="inlineStr"/>
      <c r="AL1503" t="inlineStr"/>
      <c r="AM1503" t="inlineStr"/>
      <c r="AN1503" t="inlineStr"/>
      <c r="AO1503" t="inlineStr">
        <is>
          <t>cmm4yuoki01okcuqws3skclf1</t>
        </is>
      </c>
      <c r="AP1503" t="inlineStr">
        <is>
          <t>http://localhost:8787/api/admin/requirements/documents/cmm4yuoki01okcuqws3skclf1/view</t>
        </is>
      </c>
      <c r="AQ1503">
        <f>HYPERLÄNK("http://localhost:8787/api/admin/requirements/documents/cmm4yuoki01okcuqws3skclf1/view";"Öppna PDF")</f>
        <v/>
      </c>
      <c r="AR1503">
        <f>HYPERLINK("http://localhost:8787/api/admin/requirements/documents/cmm4yuoki01okcuqws3skclf1/view","Open PDF")</f>
        <v/>
      </c>
      <c r="AS1503" t="inlineStr">
        <is>
          <t>cmm55w57p0004cuisfrtpqly8</t>
        </is>
      </c>
      <c r="AT1503" t="inlineStr">
        <is>
          <t>cmm4xvu980000cuh4vj0usz09</t>
        </is>
      </c>
      <c r="AU1503" t="inlineStr"/>
      <c r="AV1503" t="inlineStr">
        <is>
          <t>Kommun</t>
        </is>
      </c>
      <c r="AW1503" t="inlineStr"/>
      <c r="AX1503" t="inlineStr">
        <is>
          <t>2026-02</t>
        </is>
      </c>
      <c r="AY1503" t="inlineStr">
        <is>
          <t>Beslut</t>
        </is>
      </c>
      <c r="AZ1503" t="inlineStr">
        <is>
          <t>2026-02-03</t>
        </is>
      </c>
      <c r="BA1503" t="inlineStr">
        <is>
          <t>MN-2023-10545-MN-2023-10545.pdf</t>
        </is>
      </c>
      <c r="BB1503" t="inlineStr">
        <is>
          <t>UTL 2026-02-03 mejl 1 - Sv: VB: [EXTERN]: till registrator</t>
        </is>
      </c>
      <c r="BC1503" t="inlineStr">
        <is>
          <t>AUTO</t>
        </is>
      </c>
      <c r="BD1503" t="inlineStr"/>
      <c r="BE1503" t="inlineStr"/>
      <c r="BF1503" t="inlineStr">
        <is>
          <t>AUTO_GENERERAD. Bekrafta metadata mot kallfil.</t>
        </is>
      </c>
      <c r="BG1503">
        <f>HYPERLINK("C:\Users\jimmy\Desktop\Examens arbete\Kod\Ny mapp\remix_-copy-of-miljöbeslut.se-portal\MN-2023-10545-MN-2023-10545.pdf", "Öppna PDF")</f>
        <v/>
      </c>
    </row>
    <row r="1504">
      <c r="A1504" t="inlineStr">
        <is>
          <t>KRAV-AUTO-001503</t>
        </is>
      </c>
      <c r="B1504" t="inlineStr">
        <is>
          <t>ADMIN-INDEX-2026-02-27-00000000125C043F57453246863FE664CAFE6A3F0700950291EA24F0614FB6ACEDB12BF0E31D00000000010C0000950291EA24F0614FB6ACEDB12BF0E31D00002087AED30000</t>
        </is>
      </c>
      <c r="C1504" t="inlineStr">
        <is>
          <t>cmm4yuoiz01n5cuqwvliq6c2p</t>
        </is>
      </c>
      <c r="D1504" t="inlineStr">
        <is>
          <t>http://localhost:8787/api/admin/requirements/documents/cmm4yuoiz01n5cuqwvliq6c2p/view</t>
        </is>
      </c>
      <c r="E1504">
        <f>HYPERLÄNK("http://localhost:8787/api/admin/requirements/documents/cmm4yuoiz01n5cuqwvliq6c2p/view";"Öppna PDF")</f>
        <v/>
      </c>
      <c r="F1504">
        <f>HYPERLINK("http://localhost:8787/api/admin/requirements/documents/cmm4yuoiz01n5cuqwvliq6c2p/view","Open PDF")</f>
        <v/>
      </c>
      <c r="G1504" t="inlineStr">
        <is>
          <t>cmm55w57p0004cuisfrtpqly8</t>
        </is>
      </c>
      <c r="H1504" t="inlineStr">
        <is>
          <t>Beslutsvillkor</t>
        </is>
      </c>
      <c r="I1504" t="inlineStr">
        <is>
          <t>MiljopaverkanForsiktighet</t>
        </is>
      </c>
      <c r="J1504" t="inlineStr">
        <is>
          <t>Skyddsatgarder</t>
        </is>
      </c>
      <c r="K1504" t="inlineStr">
        <is>
          <t>212000-0258 Föreläggande om försiktighetsmått i samband med mellanlagring av icke farligt avfall Verksamhetskod 90.40 enligt 29 kap.</t>
        </is>
      </c>
      <c r="L1504" t="inlineStr">
        <is>
          <t>212000-0258 Föreläggande om försiktighetsmått i samband med mellanlagring av icke farligt avfall Verksamhetskod 90.40 enligt 29 kap.</t>
        </is>
      </c>
      <c r="M1504" t="inlineStr">
        <is>
          <t>INFO</t>
        </is>
      </c>
      <c r="N1504" t="inlineStr"/>
      <c r="O1504" t="inlineStr"/>
      <c r="P1504" t="inlineStr">
        <is>
          <t>Arlig</t>
        </is>
      </c>
      <c r="Q1504" t="inlineStr">
        <is>
          <t>Forelaggande vid brist</t>
        </is>
      </c>
      <c r="R1504" t="inlineStr">
        <is>
          <t>Alltid</t>
        </is>
      </c>
      <c r="S1504" t="inlineStr"/>
      <c r="T1504" t="inlineStr">
        <is>
          <t>212000</t>
        </is>
      </c>
      <c r="U1504" t="inlineStr"/>
      <c r="V1504" t="inlineStr"/>
      <c r="W1504" t="inlineStr">
        <is>
          <t>Nej</t>
        </is>
      </c>
      <c r="X1504" t="inlineStr">
        <is>
          <t>Nej</t>
        </is>
      </c>
      <c r="Y1504" t="inlineStr">
        <is>
          <t>Nej</t>
        </is>
      </c>
      <c r="Z1504" t="inlineStr">
        <is>
          <t>Nej</t>
        </is>
      </c>
      <c r="AA1504" t="n">
        <v>10</v>
      </c>
      <c r="AB1504" t="inlineStr">
        <is>
          <t>Miljopaverkan och forsiktighetsmatt</t>
        </is>
      </c>
      <c r="AC1504" t="inlineStr">
        <is>
          <t>Miljo-PM</t>
        </is>
      </c>
      <c r="AD1504" t="inlineStr">
        <is>
          <t>Nej</t>
        </is>
      </c>
      <c r="AE1504" t="inlineStr">
        <is>
          <t>Nej</t>
        </is>
      </c>
      <c r="AF1504" t="inlineStr">
        <is>
          <t>Ej behandlad</t>
        </is>
      </c>
      <c r="AG1504" t="inlineStr">
        <is>
          <t>AUTO_GENERERAD. Verifiera citat mot kallfil.</t>
        </is>
      </c>
      <c r="AH1504" t="inlineStr">
        <is>
          <t>MEDIUM</t>
        </is>
      </c>
      <c r="AI1504" t="inlineStr">
        <is>
          <t>AUTO</t>
        </is>
      </c>
      <c r="AJ1504" t="inlineStr">
        <is>
          <t>Nej</t>
        </is>
      </c>
      <c r="AK1504" t="inlineStr"/>
      <c r="AL1504" t="inlineStr"/>
      <c r="AM1504" t="inlineStr"/>
      <c r="AN1504" t="inlineStr"/>
      <c r="AO1504" t="inlineStr">
        <is>
          <t>cmm4yuoiz01n5cuqwvliq6c2p</t>
        </is>
      </c>
      <c r="AP1504" t="inlineStr">
        <is>
          <t>http://localhost:8787/api/admin/requirements/documents/cmm4yuoiz01n5cuqwvliq6c2p/view</t>
        </is>
      </c>
      <c r="AQ1504">
        <f>HYPERLÄNK("http://localhost:8787/api/admin/requirements/documents/cmm4yuoiz01n5cuqwvliq6c2p/view";"Öppna PDF")</f>
        <v/>
      </c>
      <c r="AR1504">
        <f>HYPERLINK("http://localhost:8787/api/admin/requirements/documents/cmm4yuoiz01n5cuqwvliq6c2p/view","Open PDF")</f>
        <v/>
      </c>
      <c r="AS1504" t="inlineStr">
        <is>
          <t>cmm55w57p0004cuisfrtpqly8</t>
        </is>
      </c>
      <c r="AT1504" t="inlineStr">
        <is>
          <t>cmm4xvu980000cuh4vj0usz09</t>
        </is>
      </c>
      <c r="AU1504" t="inlineStr"/>
      <c r="AV1504" t="inlineStr">
        <is>
          <t>Kommun</t>
        </is>
      </c>
      <c r="AW1504" t="inlineStr"/>
      <c r="AX1504" t="inlineStr">
        <is>
          <t>2024-11</t>
        </is>
      </c>
      <c r="AY1504" t="inlineStr">
        <is>
          <t>Beslut</t>
        </is>
      </c>
      <c r="AZ1504" t="inlineStr">
        <is>
          <t>2026-02-03</t>
        </is>
      </c>
      <c r="BA1504" t="inlineStr">
        <is>
          <t>2024-11-15 BOM-2024-846-- Beslut om försiktighetsåtgärder.pdf</t>
        </is>
      </c>
      <c r="BB1504" t="inlineStr">
        <is>
          <t>Sv: till registrator</t>
        </is>
      </c>
      <c r="BC1504" t="inlineStr">
        <is>
          <t>AUTO</t>
        </is>
      </c>
      <c r="BD1504" t="inlineStr"/>
      <c r="BE1504" t="inlineStr"/>
      <c r="BF1504" t="inlineStr">
        <is>
          <t>AUTO_GENERERAD. Bekrafta metadata mot kallfil.</t>
        </is>
      </c>
      <c r="BG1504">
        <f>HYPERLINK("C:\Users\jimmy\Desktop\Examens arbete\Kod\Ny mapp\remix_-copy-of-miljöbeslut.se-portal\2024-11-15 BOM-2024-846-- Beslut om försiktighetsåtgärder.pdf", "Öppna PDF")</f>
        <v/>
      </c>
    </row>
    <row r="1505">
      <c r="A1505" t="inlineStr">
        <is>
          <t>KRAV-AUTO-001504</t>
        </is>
      </c>
      <c r="B1505" t="inlineStr">
        <is>
          <t>ADMIN-INDEX-2026-02-27-00000000125C043F57453246863FE664CAFE6A3F0700950291EA24F0614FB6ACEDB12BF0E31D00000000010C0000950291EA24F0614FB6ACEDB12BF0E31D00002087AED30000</t>
        </is>
      </c>
      <c r="C1505" t="inlineStr">
        <is>
          <t>cmm4yuoiz01n5cuqwvliq6c2p</t>
        </is>
      </c>
      <c r="D1505" t="inlineStr">
        <is>
          <t>http://localhost:8787/api/admin/requirements/documents/cmm4yuoiz01n5cuqwvliq6c2p/view</t>
        </is>
      </c>
      <c r="E1505">
        <f>HYPERLÄNK("http://localhost:8787/api/admin/requirements/documents/cmm4yuoiz01n5cuqwvliq6c2p/view";"Öppna PDF")</f>
        <v/>
      </c>
      <c r="F1505">
        <f>HYPERLINK("http://localhost:8787/api/admin/requirements/documents/cmm4yuoiz01n5cuqwvliq6c2p/view","Open PDF")</f>
        <v/>
      </c>
      <c r="G1505" t="inlineStr">
        <is>
          <t>cmm55w57p0004cuisfrtpqly8</t>
        </is>
      </c>
      <c r="H1505" t="inlineStr">
        <is>
          <t>Beslutsvillkor</t>
        </is>
      </c>
      <c r="I1505" t="inlineStr">
        <is>
          <t>LagringsvolymTid</t>
        </is>
      </c>
      <c r="J1505" t="inlineStr">
        <is>
          <t>Maxmangd</t>
        </is>
      </c>
      <c r="K1505" t="inlineStr">
        <is>
          <t>Företaget ska på tillsynsmyndighetens anmodan kunna uppvisa att lagringsmängden inte överstiger 10 000 ton vid ett och samma lagringstillfälle.</t>
        </is>
      </c>
      <c r="L1505" t="inlineStr">
        <is>
          <t>Företaget ska på tillsynsmyndighetens anmodan kunna uppvisa att lagringsmängden inte överstiger 10 000 ton vid ett och samma lagringstillfälle.</t>
        </is>
      </c>
      <c r="M1505" t="inlineStr">
        <is>
          <t>SKA</t>
        </is>
      </c>
      <c r="N1505" t="inlineStr"/>
      <c r="O1505" t="inlineStr"/>
      <c r="P1505" t="inlineStr"/>
      <c r="Q1505" t="inlineStr"/>
      <c r="R1505" t="inlineStr">
        <is>
          <t>Alltid</t>
        </is>
      </c>
      <c r="S1505" t="inlineStr"/>
      <c r="T1505" t="inlineStr">
        <is>
          <t>212000</t>
        </is>
      </c>
      <c r="U1505" t="n">
        <v>0</v>
      </c>
      <c r="V1505" t="inlineStr"/>
      <c r="W1505" t="inlineStr">
        <is>
          <t>Nej</t>
        </is>
      </c>
      <c r="X1505" t="inlineStr">
        <is>
          <t>Nej</t>
        </is>
      </c>
      <c r="Y1505" t="inlineStr">
        <is>
          <t>Nej</t>
        </is>
      </c>
      <c r="Z1505" t="inlineStr">
        <is>
          <t>Nej</t>
        </is>
      </c>
      <c r="AA1505" t="n">
        <v>4</v>
      </c>
      <c r="AB1505" t="inlineStr">
        <is>
          <t>Avfallsmangder och lagringstid</t>
        </is>
      </c>
      <c r="AC1505" t="inlineStr">
        <is>
          <t>Avfallsforteckning</t>
        </is>
      </c>
      <c r="AD1505" t="inlineStr">
        <is>
          <t>Nej</t>
        </is>
      </c>
      <c r="AE1505" t="inlineStr">
        <is>
          <t>Nej</t>
        </is>
      </c>
      <c r="AF1505" t="inlineStr">
        <is>
          <t>Ej behandlad</t>
        </is>
      </c>
      <c r="AG1505" t="inlineStr">
        <is>
          <t>AUTO_GENERERAD. Verifiera citat mot kallfil.</t>
        </is>
      </c>
      <c r="AH1505" t="inlineStr">
        <is>
          <t>MEDIUM</t>
        </is>
      </c>
      <c r="AI1505" t="inlineStr">
        <is>
          <t>AUTO</t>
        </is>
      </c>
      <c r="AJ1505" t="inlineStr">
        <is>
          <t>Nej</t>
        </is>
      </c>
      <c r="AK1505" t="inlineStr"/>
      <c r="AL1505" t="inlineStr"/>
      <c r="AM1505" t="inlineStr"/>
      <c r="AN1505" t="inlineStr"/>
      <c r="AO1505" t="inlineStr">
        <is>
          <t>cmm4yuoiz01n5cuqwvliq6c2p</t>
        </is>
      </c>
      <c r="AP1505" t="inlineStr">
        <is>
          <t>http://localhost:8787/api/admin/requirements/documents/cmm4yuoiz01n5cuqwvliq6c2p/view</t>
        </is>
      </c>
      <c r="AQ1505">
        <f>HYPERLÄNK("http://localhost:8787/api/admin/requirements/documents/cmm4yuoiz01n5cuqwvliq6c2p/view";"Öppna PDF")</f>
        <v/>
      </c>
      <c r="AR1505">
        <f>HYPERLINK("http://localhost:8787/api/admin/requirements/documents/cmm4yuoiz01n5cuqwvliq6c2p/view","Open PDF")</f>
        <v/>
      </c>
      <c r="AS1505" t="inlineStr">
        <is>
          <t>cmm55w57p0004cuisfrtpqly8</t>
        </is>
      </c>
      <c r="AT1505" t="inlineStr">
        <is>
          <t>cmm4xvu980000cuh4vj0usz09</t>
        </is>
      </c>
      <c r="AU1505" t="inlineStr"/>
      <c r="AV1505" t="inlineStr">
        <is>
          <t>Kommun</t>
        </is>
      </c>
      <c r="AW1505" t="inlineStr"/>
      <c r="AX1505" t="inlineStr">
        <is>
          <t>2024-11</t>
        </is>
      </c>
      <c r="AY1505" t="inlineStr">
        <is>
          <t>Beslut</t>
        </is>
      </c>
      <c r="AZ1505" t="inlineStr">
        <is>
          <t>2026-02-03</t>
        </is>
      </c>
      <c r="BA1505" t="inlineStr">
        <is>
          <t>2024-11-15 BOM-2024-846-- Beslut om försiktighetsåtgärder.pdf</t>
        </is>
      </c>
      <c r="BB1505" t="inlineStr">
        <is>
          <t>Sv: till registrator</t>
        </is>
      </c>
      <c r="BC1505" t="inlineStr">
        <is>
          <t>AUTO</t>
        </is>
      </c>
      <c r="BD1505" t="inlineStr"/>
      <c r="BE1505" t="inlineStr"/>
      <c r="BF1505" t="inlineStr">
        <is>
          <t>AUTO_GENERERAD. Bekrafta metadata mot kallfil.</t>
        </is>
      </c>
      <c r="BG1505">
        <f>HYPERLINK("C:\Users\jimmy\Desktop\Examens arbete\Kod\Ny mapp\remix_-copy-of-miljöbeslut.se-portal\2024-11-15 BOM-2024-846-- Beslut om försiktighetsåtgärder.pdf", "Öppna PDF")</f>
        <v/>
      </c>
    </row>
    <row r="1506">
      <c r="A1506" t="inlineStr">
        <is>
          <t>KRAV-AUTO-001505</t>
        </is>
      </c>
      <c r="B1506" t="inlineStr">
        <is>
          <t>ADMIN-INDEX-2026-02-27-00000000125C043F57453246863FE664CAFE6A3F0700950291EA24F0614FB6ACEDB12BF0E31D00000000010C0000950291EA24F0614FB6ACEDB12BF0E31D00002087AED40000</t>
        </is>
      </c>
      <c r="C1506" t="inlineStr">
        <is>
          <t>cmm4yuoiu01mzcuqwgy1q4qtg</t>
        </is>
      </c>
      <c r="D1506" t="inlineStr">
        <is>
          <t>http://localhost:8787/api/admin/requirements/documents/cmm4yuoiu01mzcuqwgy1q4qtg/view</t>
        </is>
      </c>
      <c r="E1506">
        <f>HYPERLÄNK("http://localhost:8787/api/admin/requirements/documents/cmm4yuoiu01mzcuqwgy1q4qtg/view";"Öppna PDF")</f>
        <v/>
      </c>
      <c r="F1506">
        <f>HYPERLINK("http://localhost:8787/api/admin/requirements/documents/cmm4yuoiu01mzcuqwgy1q4qtg/view","Open PDF")</f>
        <v/>
      </c>
      <c r="G1506" t="inlineStr">
        <is>
          <t>cmm55w57p0004cuisfrtpqly8</t>
        </is>
      </c>
      <c r="H1506" t="inlineStr">
        <is>
          <t>Beslutsvillkor</t>
        </is>
      </c>
      <c r="I1506" t="inlineStr">
        <is>
          <t>MiljopaverkanForsiktighet</t>
        </is>
      </c>
      <c r="J1506" t="inlineStr">
        <is>
          <t>Skyddsatgarder</t>
        </is>
      </c>
      <c r="K1506" t="inlineStr">
        <is>
          <t>212000-0258 Föreläggande om försiktighetsmått i samband med mellanlagring av icke farligt avfall Verksamhetskod 90.40 enligt 29 kap.</t>
        </is>
      </c>
      <c r="L1506" t="inlineStr">
        <is>
          <t>212000-0258 Föreläggande om försiktighetsmått i samband med mellanlagring av icke farligt avfall Verksamhetskod 90.40 enligt 29 kap.</t>
        </is>
      </c>
      <c r="M1506" t="inlineStr">
        <is>
          <t>INFO</t>
        </is>
      </c>
      <c r="N1506" t="inlineStr"/>
      <c r="O1506" t="inlineStr"/>
      <c r="P1506" t="inlineStr">
        <is>
          <t>Arlig</t>
        </is>
      </c>
      <c r="Q1506" t="inlineStr">
        <is>
          <t>Forelaggande vid brist</t>
        </is>
      </c>
      <c r="R1506" t="inlineStr">
        <is>
          <t>Alltid</t>
        </is>
      </c>
      <c r="S1506" t="inlineStr"/>
      <c r="T1506" t="inlineStr">
        <is>
          <t>212000</t>
        </is>
      </c>
      <c r="U1506" t="inlineStr"/>
      <c r="V1506" t="inlineStr"/>
      <c r="W1506" t="inlineStr">
        <is>
          <t>Nej</t>
        </is>
      </c>
      <c r="X1506" t="inlineStr">
        <is>
          <t>Nej</t>
        </is>
      </c>
      <c r="Y1506" t="inlineStr">
        <is>
          <t>Nej</t>
        </is>
      </c>
      <c r="Z1506" t="inlineStr">
        <is>
          <t>Nej</t>
        </is>
      </c>
      <c r="AA1506" t="n">
        <v>10</v>
      </c>
      <c r="AB1506" t="inlineStr">
        <is>
          <t>Miljopaverkan och forsiktighetsmatt</t>
        </is>
      </c>
      <c r="AC1506" t="inlineStr">
        <is>
          <t>Miljo-PM</t>
        </is>
      </c>
      <c r="AD1506" t="inlineStr">
        <is>
          <t>Nej</t>
        </is>
      </c>
      <c r="AE1506" t="inlineStr">
        <is>
          <t>Nej</t>
        </is>
      </c>
      <c r="AF1506" t="inlineStr">
        <is>
          <t>Ej behandlad</t>
        </is>
      </c>
      <c r="AG1506" t="inlineStr">
        <is>
          <t>AUTO_GENERERAD. Verifiera citat mot kallfil.</t>
        </is>
      </c>
      <c r="AH1506" t="inlineStr">
        <is>
          <t>MEDIUM</t>
        </is>
      </c>
      <c r="AI1506" t="inlineStr">
        <is>
          <t>AUTO</t>
        </is>
      </c>
      <c r="AJ1506" t="inlineStr">
        <is>
          <t>Nej</t>
        </is>
      </c>
      <c r="AK1506" t="inlineStr"/>
      <c r="AL1506" t="inlineStr"/>
      <c r="AM1506" t="inlineStr"/>
      <c r="AN1506" t="inlineStr"/>
      <c r="AO1506" t="inlineStr">
        <is>
          <t>cmm4yuoiu01mzcuqwgy1q4qtg</t>
        </is>
      </c>
      <c r="AP1506" t="inlineStr">
        <is>
          <t>http://localhost:8787/api/admin/requirements/documents/cmm4yuoiu01mzcuqwgy1q4qtg/view</t>
        </is>
      </c>
      <c r="AQ1506">
        <f>HYPERLÄNK("http://localhost:8787/api/admin/requirements/documents/cmm4yuoiu01mzcuqwgy1q4qtg/view";"Öppna PDF")</f>
        <v/>
      </c>
      <c r="AR1506">
        <f>HYPERLINK("http://localhost:8787/api/admin/requirements/documents/cmm4yuoiu01mzcuqwgy1q4qtg/view","Open PDF")</f>
        <v/>
      </c>
      <c r="AS1506" t="inlineStr">
        <is>
          <t>cmm55w57p0004cuisfrtpqly8</t>
        </is>
      </c>
      <c r="AT1506" t="inlineStr">
        <is>
          <t>cmm4xvu980000cuh4vj0usz09</t>
        </is>
      </c>
      <c r="AU1506" t="inlineStr"/>
      <c r="AV1506" t="inlineStr">
        <is>
          <t>Kommun</t>
        </is>
      </c>
      <c r="AW1506" t="inlineStr"/>
      <c r="AX1506" t="inlineStr">
        <is>
          <t>2024-11</t>
        </is>
      </c>
      <c r="AY1506" t="inlineStr">
        <is>
          <t>Beslut</t>
        </is>
      </c>
      <c r="AZ1506" t="inlineStr">
        <is>
          <t>2026-02-03</t>
        </is>
      </c>
      <c r="BA1506" t="inlineStr">
        <is>
          <t>2024-11-15 BOM-2024-846-- Beslut om försiktighetsåtgärder.pdf</t>
        </is>
      </c>
      <c r="BB1506" t="inlineStr">
        <is>
          <t>Sv: till registrator</t>
        </is>
      </c>
      <c r="BC1506" t="inlineStr">
        <is>
          <t>AUTO</t>
        </is>
      </c>
      <c r="BD1506" t="inlineStr"/>
      <c r="BE1506" t="inlineStr"/>
      <c r="BF1506" t="inlineStr">
        <is>
          <t>AUTO_GENERERAD. Bekrafta metadata mot kallfil.</t>
        </is>
      </c>
      <c r="BG1506">
        <f>HYPERLINK("C:\Users\jimmy\Desktop\Examens arbete\Kod\Ny mapp\remix_-copy-of-miljöbeslut.se-portal\2024-11-15 BOM-2024-846-- Beslut om försiktighetsåtgärder.pdf", "Öppna PDF")</f>
        <v/>
      </c>
    </row>
    <row r="1507">
      <c r="A1507" t="inlineStr">
        <is>
          <t>KRAV-AUTO-001506</t>
        </is>
      </c>
      <c r="B1507" t="inlineStr">
        <is>
          <t>ADMIN-INDEX-2026-02-27-00000000125C043F57453246863FE664CAFE6A3F0700950291EA24F0614FB6ACEDB12BF0E31D00000000010C0000950291EA24F0614FB6ACEDB12BF0E31D00002087AED40000</t>
        </is>
      </c>
      <c r="C1507" t="inlineStr">
        <is>
          <t>cmm4yuoiu01mzcuqwgy1q4qtg</t>
        </is>
      </c>
      <c r="D1507" t="inlineStr">
        <is>
          <t>http://localhost:8787/api/admin/requirements/documents/cmm4yuoiu01mzcuqwgy1q4qtg/view</t>
        </is>
      </c>
      <c r="E1507">
        <f>HYPERLÄNK("http://localhost:8787/api/admin/requirements/documents/cmm4yuoiu01mzcuqwgy1q4qtg/view";"Öppna PDF")</f>
        <v/>
      </c>
      <c r="F1507">
        <f>HYPERLINK("http://localhost:8787/api/admin/requirements/documents/cmm4yuoiu01mzcuqwgy1q4qtg/view","Open PDF")</f>
        <v/>
      </c>
      <c r="G1507" t="inlineStr">
        <is>
          <t>cmm55w57p0004cuisfrtpqly8</t>
        </is>
      </c>
      <c r="H1507" t="inlineStr">
        <is>
          <t>Beslutsvillkor</t>
        </is>
      </c>
      <c r="I1507" t="inlineStr">
        <is>
          <t>LagringsvolymTid</t>
        </is>
      </c>
      <c r="J1507" t="inlineStr">
        <is>
          <t>Maxmangd</t>
        </is>
      </c>
      <c r="K1507" t="inlineStr">
        <is>
          <t>Företaget ska på tillsynsmyndighetens anmodan kunna uppvisa att lagringsmängden inte överstiger 10 000 ton vid ett och samma lagringstillfälle.</t>
        </is>
      </c>
      <c r="L1507" t="inlineStr">
        <is>
          <t>Företaget ska på tillsynsmyndighetens anmodan kunna uppvisa att lagringsmängden inte överstiger 10 000 ton vid ett och samma lagringstillfälle.</t>
        </is>
      </c>
      <c r="M1507" t="inlineStr">
        <is>
          <t>SKA</t>
        </is>
      </c>
      <c r="N1507" t="inlineStr"/>
      <c r="O1507" t="inlineStr"/>
      <c r="P1507" t="inlineStr"/>
      <c r="Q1507" t="inlineStr"/>
      <c r="R1507" t="inlineStr">
        <is>
          <t>Alltid</t>
        </is>
      </c>
      <c r="S1507" t="inlineStr"/>
      <c r="T1507" t="inlineStr">
        <is>
          <t>212000</t>
        </is>
      </c>
      <c r="U1507" t="n">
        <v>0</v>
      </c>
      <c r="V1507" t="inlineStr"/>
      <c r="W1507" t="inlineStr">
        <is>
          <t>Nej</t>
        </is>
      </c>
      <c r="X1507" t="inlineStr">
        <is>
          <t>Nej</t>
        </is>
      </c>
      <c r="Y1507" t="inlineStr">
        <is>
          <t>Nej</t>
        </is>
      </c>
      <c r="Z1507" t="inlineStr">
        <is>
          <t>Nej</t>
        </is>
      </c>
      <c r="AA1507" t="n">
        <v>4</v>
      </c>
      <c r="AB1507" t="inlineStr">
        <is>
          <t>Avfallsmangder och lagringstid</t>
        </is>
      </c>
      <c r="AC1507" t="inlineStr">
        <is>
          <t>Avfallsforteckning</t>
        </is>
      </c>
      <c r="AD1507" t="inlineStr">
        <is>
          <t>Nej</t>
        </is>
      </c>
      <c r="AE1507" t="inlineStr">
        <is>
          <t>Nej</t>
        </is>
      </c>
      <c r="AF1507" t="inlineStr">
        <is>
          <t>Ej behandlad</t>
        </is>
      </c>
      <c r="AG1507" t="inlineStr">
        <is>
          <t>AUTO_GENERERAD. Verifiera citat mot kallfil.</t>
        </is>
      </c>
      <c r="AH1507" t="inlineStr">
        <is>
          <t>MEDIUM</t>
        </is>
      </c>
      <c r="AI1507" t="inlineStr">
        <is>
          <t>AUTO</t>
        </is>
      </c>
      <c r="AJ1507" t="inlineStr">
        <is>
          <t>Nej</t>
        </is>
      </c>
      <c r="AK1507" t="inlineStr"/>
      <c r="AL1507" t="inlineStr"/>
      <c r="AM1507" t="inlineStr"/>
      <c r="AN1507" t="inlineStr"/>
      <c r="AO1507" t="inlineStr">
        <is>
          <t>cmm4yuoiu01mzcuqwgy1q4qtg</t>
        </is>
      </c>
      <c r="AP1507" t="inlineStr">
        <is>
          <t>http://localhost:8787/api/admin/requirements/documents/cmm4yuoiu01mzcuqwgy1q4qtg/view</t>
        </is>
      </c>
      <c r="AQ1507">
        <f>HYPERLÄNK("http://localhost:8787/api/admin/requirements/documents/cmm4yuoiu01mzcuqwgy1q4qtg/view";"Öppna PDF")</f>
        <v/>
      </c>
      <c r="AR1507">
        <f>HYPERLINK("http://localhost:8787/api/admin/requirements/documents/cmm4yuoiu01mzcuqwgy1q4qtg/view","Open PDF")</f>
        <v/>
      </c>
      <c r="AS1507" t="inlineStr">
        <is>
          <t>cmm55w57p0004cuisfrtpqly8</t>
        </is>
      </c>
      <c r="AT1507" t="inlineStr">
        <is>
          <t>cmm4xvu980000cuh4vj0usz09</t>
        </is>
      </c>
      <c r="AU1507" t="inlineStr"/>
      <c r="AV1507" t="inlineStr">
        <is>
          <t>Kommun</t>
        </is>
      </c>
      <c r="AW1507" t="inlineStr"/>
      <c r="AX1507" t="inlineStr">
        <is>
          <t>2024-11</t>
        </is>
      </c>
      <c r="AY1507" t="inlineStr">
        <is>
          <t>Beslut</t>
        </is>
      </c>
      <c r="AZ1507" t="inlineStr">
        <is>
          <t>2026-02-03</t>
        </is>
      </c>
      <c r="BA1507" t="inlineStr">
        <is>
          <t>2024-11-15 BOM-2024-846-- Beslut om försiktighetsåtgärder.pdf</t>
        </is>
      </c>
      <c r="BB1507" t="inlineStr">
        <is>
          <t>Sv: till registrator</t>
        </is>
      </c>
      <c r="BC1507" t="inlineStr">
        <is>
          <t>AUTO</t>
        </is>
      </c>
      <c r="BD1507" t="inlineStr"/>
      <c r="BE1507" t="inlineStr"/>
      <c r="BF1507" t="inlineStr">
        <is>
          <t>AUTO_GENERERAD. Bekrafta metadata mot kallfil.</t>
        </is>
      </c>
      <c r="BG1507">
        <f>HYPERLINK("C:\Users\jimmy\Desktop\Examens arbete\Kod\Ny mapp\remix_-copy-of-miljöbeslut.se-portal\2024-11-15 BOM-2024-846-- Beslut om försiktighetsåtgärder.pdf", "Öppna PDF")</f>
        <v/>
      </c>
    </row>
    <row r="1508">
      <c r="A1508" t="inlineStr">
        <is>
          <t>KRAV-AUTO-001507</t>
        </is>
      </c>
      <c r="B1508" t="inlineStr">
        <is>
          <t>ADMIN-INDEX-2026-02-27-00000000125C043F57453246863FE664CAFE6A3F0700950291EA24F0614FB6ACEDB12BF0E31D00000000010C0000950291EA24F0614FB6ACEDB12BF0E31D00002087AED50000</t>
        </is>
      </c>
      <c r="C1508" t="inlineStr">
        <is>
          <t>cmm4yuoil01mqcuqwng2j726b</t>
        </is>
      </c>
      <c r="D1508" t="inlineStr">
        <is>
          <t>http://localhost:8787/api/admin/requirements/documents/cmm4yuoil01mqcuqwng2j726b/view</t>
        </is>
      </c>
      <c r="E1508">
        <f>HYPERLÄNK("http://localhost:8787/api/admin/requirements/documents/cmm4yuoil01mqcuqwng2j726b/view";"Öppna PDF")</f>
        <v/>
      </c>
      <c r="F1508">
        <f>HYPERLINK("http://localhost:8787/api/admin/requirements/documents/cmm4yuoil01mqcuqwng2j726b/view","Open PDF")</f>
        <v/>
      </c>
      <c r="G1508" t="inlineStr">
        <is>
          <t>cmm55w57p0004cuisfrtpqly8</t>
        </is>
      </c>
      <c r="H1508" t="inlineStr">
        <is>
          <t>Beslutsvillkor</t>
        </is>
      </c>
      <c r="I1508" t="inlineStr">
        <is>
          <t>Riskhantering</t>
        </is>
      </c>
      <c r="J1508" t="inlineStr">
        <is>
          <t>Riskkontroll</t>
        </is>
      </c>
      <c r="K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08" t="inlineStr">
        <is>
          <t>BOR</t>
        </is>
      </c>
      <c r="N1508" t="inlineStr"/>
      <c r="O1508" t="inlineStr"/>
      <c r="P1508" t="inlineStr"/>
      <c r="Q1508" t="inlineStr"/>
      <c r="R1508" t="inlineStr">
        <is>
          <t>Vid risk for incident</t>
        </is>
      </c>
      <c r="S1508" t="inlineStr"/>
      <c r="T1508" t="inlineStr"/>
      <c r="U1508" t="inlineStr"/>
      <c r="V1508" t="inlineStr"/>
      <c r="W1508" t="inlineStr">
        <is>
          <t>Nej</t>
        </is>
      </c>
      <c r="X1508" t="inlineStr">
        <is>
          <t>Nej</t>
        </is>
      </c>
      <c r="Y1508" t="inlineStr">
        <is>
          <t>Ja</t>
        </is>
      </c>
      <c r="Z1508" t="inlineStr">
        <is>
          <t>Ja</t>
        </is>
      </c>
      <c r="AA1508" t="n">
        <v>8</v>
      </c>
      <c r="AB1508" t="inlineStr">
        <is>
          <t>Riskhantering</t>
        </is>
      </c>
      <c r="AC1508" t="inlineStr">
        <is>
          <t>Risk-PM</t>
        </is>
      </c>
      <c r="AD1508" t="inlineStr">
        <is>
          <t>Nej</t>
        </is>
      </c>
      <c r="AE1508" t="inlineStr">
        <is>
          <t>Nej</t>
        </is>
      </c>
      <c r="AF1508" t="inlineStr">
        <is>
          <t>Ej behandlad</t>
        </is>
      </c>
      <c r="AG1508" t="inlineStr">
        <is>
          <t>AUTO_GENERERAD. Verifiera citat mot kallfil.</t>
        </is>
      </c>
      <c r="AH1508" t="inlineStr">
        <is>
          <t>LOW</t>
        </is>
      </c>
      <c r="AI1508" t="inlineStr">
        <is>
          <t>AUTO</t>
        </is>
      </c>
      <c r="AJ1508" t="inlineStr">
        <is>
          <t>Nej</t>
        </is>
      </c>
      <c r="AK1508" t="inlineStr"/>
      <c r="AL1508" t="inlineStr"/>
      <c r="AM1508" t="inlineStr"/>
      <c r="AN1508" t="inlineStr"/>
      <c r="AO1508" t="inlineStr">
        <is>
          <t>cmm4yuoil01mqcuqwng2j726b</t>
        </is>
      </c>
      <c r="AP1508" t="inlineStr">
        <is>
          <t>http://localhost:8787/api/admin/requirements/documents/cmm4yuoil01mqcuqwng2j726b/view</t>
        </is>
      </c>
      <c r="AQ1508">
        <f>HYPERLÄNK("http://localhost:8787/api/admin/requirements/documents/cmm4yuoil01mqcuqwng2j726b/view";"Öppna PDF")</f>
        <v/>
      </c>
      <c r="AR1508">
        <f>HYPERLINK("http://localhost:8787/api/admin/requirements/documents/cmm4yuoil01mqcuqwng2j726b/view","Open PDF")</f>
        <v/>
      </c>
      <c r="AS1508" t="inlineStr">
        <is>
          <t>cmm55w57p0004cuisfrtpqly8</t>
        </is>
      </c>
      <c r="AT1508" t="inlineStr">
        <is>
          <t>cmm4xvu980000cuh4vj0usz09</t>
        </is>
      </c>
      <c r="AU1508" t="inlineStr"/>
      <c r="AV1508" t="inlineStr">
        <is>
          <t>Kommun</t>
        </is>
      </c>
      <c r="AW1508" t="inlineStr"/>
      <c r="AX1508" t="inlineStr"/>
      <c r="AY1508" t="inlineStr">
        <is>
          <t>Beslut</t>
        </is>
      </c>
      <c r="AZ1508" t="inlineStr">
        <is>
          <t>2026-02-03</t>
        </is>
      </c>
      <c r="BA1508" t="inlineStr">
        <is>
          <t>Bilaga1placeringbetongkross_470350.pdf</t>
        </is>
      </c>
      <c r="BB1508" t="inlineStr">
        <is>
          <t>VB: Återvinning av avfall i anläggningsändamål, MIL.2025.932</t>
        </is>
      </c>
      <c r="BC1508" t="inlineStr">
        <is>
          <t>AUTO</t>
        </is>
      </c>
      <c r="BD1508" t="inlineStr"/>
      <c r="BE1508" t="inlineStr"/>
      <c r="BF1508" t="inlineStr">
        <is>
          <t>AUTO_GENERERAD. Bekrafta metadata mot kallfil.</t>
        </is>
      </c>
      <c r="BG1508">
        <f>HYPERLINK("C:\Users\jimmy\Desktop\Examens arbete\Kod\Ny mapp\remix_-copy-of-miljöbeslut.se-portal\Bilaga1placeringbetongkross_470350.pdf", "Öppna PDF")</f>
        <v/>
      </c>
    </row>
    <row r="1509">
      <c r="A1509" t="inlineStr">
        <is>
          <t>KRAV-AUTO-001508</t>
        </is>
      </c>
      <c r="B1509" t="inlineStr">
        <is>
          <t>ADMIN-INDEX-2026-02-27-00000000125C043F57453246863FE664CAFE6A3F0700950291EA24F0614FB6ACEDB12BF0E31D00000000010C0000950291EA24F0614FB6ACEDB12BF0E31D00002087AED50000</t>
        </is>
      </c>
      <c r="C1509" t="inlineStr">
        <is>
          <t>cmm4yuoii01mncuqw7vio8967</t>
        </is>
      </c>
      <c r="D1509" t="inlineStr">
        <is>
          <t>http://localhost:8787/api/admin/requirements/documents/cmm4yuoii01mncuqw7vio8967/view</t>
        </is>
      </c>
      <c r="E1509">
        <f>HYPERLÄNK("http://localhost:8787/api/admin/requirements/documents/cmm4yuoii01mncuqw7vio8967/view";"Öppna PDF")</f>
        <v/>
      </c>
      <c r="F1509">
        <f>HYPERLINK("http://localhost:8787/api/admin/requirements/documents/cmm4yuoii01mncuqw7vio8967/view","Open PDF")</f>
        <v/>
      </c>
      <c r="G1509" t="inlineStr">
        <is>
          <t>cmm55w57p0004cuisfrtpqly8</t>
        </is>
      </c>
      <c r="H1509" t="inlineStr">
        <is>
          <t>Beslutsvillkor</t>
        </is>
      </c>
      <c r="I1509" t="inlineStr">
        <is>
          <t>Ytkonstruktion</t>
        </is>
      </c>
      <c r="J1509" t="inlineStr">
        <is>
          <t>Tat yta</t>
        </is>
      </c>
      <c r="K1509" t="inlineStr">
        <is>
          <t>Betongkrossen ska placeras under betongplatta samt slänts ut åt sidorna.</t>
        </is>
      </c>
      <c r="L1509" t="inlineStr">
        <is>
          <t>Betongkrossen ska placeras under betongplatta samt slänts ut åt sidorna.</t>
        </is>
      </c>
      <c r="M1509" t="inlineStr">
        <is>
          <t>SKA</t>
        </is>
      </c>
      <c r="N1509" t="inlineStr"/>
      <c r="O1509" t="inlineStr"/>
      <c r="P1509" t="inlineStr"/>
      <c r="Q1509" t="inlineStr"/>
      <c r="R1509" t="inlineStr">
        <is>
          <t>Vid mellanlagring av avfall</t>
        </is>
      </c>
      <c r="S1509" t="inlineStr"/>
      <c r="T1509" t="inlineStr">
        <is>
          <t>556050</t>
        </is>
      </c>
      <c r="U1509" t="inlineStr"/>
      <c r="V1509" t="inlineStr"/>
      <c r="W1509" t="inlineStr">
        <is>
          <t>Ja</t>
        </is>
      </c>
      <c r="X1509" t="inlineStr">
        <is>
          <t>Nej</t>
        </is>
      </c>
      <c r="Y1509" t="inlineStr">
        <is>
          <t>Nej</t>
        </is>
      </c>
      <c r="Z1509" t="inlineStr">
        <is>
          <t>Nej</t>
        </is>
      </c>
      <c r="AA1509" t="n">
        <v>5</v>
      </c>
      <c r="AB1509" t="inlineStr">
        <is>
          <t>Teknisk beskrivning av platta</t>
        </is>
      </c>
      <c r="AC1509" t="inlineStr">
        <is>
          <t>Teknisk ritning platta</t>
        </is>
      </c>
      <c r="AD1509" t="inlineStr">
        <is>
          <t>Nej</t>
        </is>
      </c>
      <c r="AE1509" t="inlineStr">
        <is>
          <t>Nej</t>
        </is>
      </c>
      <c r="AF1509" t="inlineStr">
        <is>
          <t>Ej behandlad</t>
        </is>
      </c>
      <c r="AG1509" t="inlineStr">
        <is>
          <t>AUTO_GENERERAD. Verifiera citat mot kallfil.</t>
        </is>
      </c>
      <c r="AH1509" t="inlineStr">
        <is>
          <t>MEDIUM</t>
        </is>
      </c>
      <c r="AI1509" t="inlineStr">
        <is>
          <t>AUTO</t>
        </is>
      </c>
      <c r="AJ1509" t="inlineStr">
        <is>
          <t>Nej</t>
        </is>
      </c>
      <c r="AK1509" t="inlineStr"/>
      <c r="AL1509" t="inlineStr"/>
      <c r="AM1509" t="inlineStr"/>
      <c r="AN1509" t="inlineStr"/>
      <c r="AO1509" t="inlineStr">
        <is>
          <t>cmm4yuoil01mqcuqwng2j726b</t>
        </is>
      </c>
      <c r="AP1509" t="inlineStr">
        <is>
          <t>http://localhost:8787/api/admin/requirements/documents/cmm4yuoil01mqcuqwng2j726b/view</t>
        </is>
      </c>
      <c r="AQ1509">
        <f>HYPERLÄNK("http://localhost:8787/api/admin/requirements/documents/cmm4yuoil01mqcuqwng2j726b/view";"Öppna PDF")</f>
        <v/>
      </c>
      <c r="AR1509">
        <f>HYPERLINK("http://localhost:8787/api/admin/requirements/documents/cmm4yuoil01mqcuqwng2j726b/view","Open PDF")</f>
        <v/>
      </c>
      <c r="AS1509" t="inlineStr">
        <is>
          <t>cmm55w57p0004cuisfrtpqly8</t>
        </is>
      </c>
      <c r="AT1509" t="inlineStr">
        <is>
          <t>cmm4xvu980000cuh4vj0usz09</t>
        </is>
      </c>
      <c r="AU1509" t="inlineStr"/>
      <c r="AV1509" t="inlineStr">
        <is>
          <t>Kommun</t>
        </is>
      </c>
      <c r="AW1509" t="inlineStr"/>
      <c r="AX1509" t="inlineStr"/>
      <c r="AY1509" t="inlineStr">
        <is>
          <t>Beslut</t>
        </is>
      </c>
      <c r="AZ1509" t="inlineStr">
        <is>
          <t>2026-02-03</t>
        </is>
      </c>
      <c r="BA1509" t="inlineStr">
        <is>
          <t>Bilaga1placeringbetongkross_470350.pdf</t>
        </is>
      </c>
      <c r="BB1509" t="inlineStr">
        <is>
          <t>VB: Återvinning av avfall i anläggningsändamål, MIL.2025.932</t>
        </is>
      </c>
      <c r="BC1509" t="inlineStr">
        <is>
          <t>AUTO</t>
        </is>
      </c>
      <c r="BD1509" t="inlineStr"/>
      <c r="BE1509" t="inlineStr"/>
      <c r="BF1509" t="inlineStr">
        <is>
          <t>AUTO_GENERERAD. Bekrafta metadata mot kallfil.</t>
        </is>
      </c>
      <c r="BG1509">
        <f>HYPERLINK("C:\Users\jimmy\Desktop\Examens arbete\Kod\Ny mapp\remix_-copy-of-miljöbeslut.se-portal\Bilaga1placeringbetongkross_470350.pdf", "Öppna PDF")</f>
        <v/>
      </c>
    </row>
    <row r="1510">
      <c r="A1510" t="inlineStr">
        <is>
          <t>KRAV-AUTO-001509</t>
        </is>
      </c>
      <c r="B1510" t="inlineStr">
        <is>
          <t>ADMIN-INDEX-2026-02-27-00000000125C043F57453246863FE664CAFE6A3F0700950291EA24F0614FB6ACEDB12BF0E31D00000000010C0000950291EA24F0614FB6ACEDB12BF0E31D00002087AED50000</t>
        </is>
      </c>
      <c r="C1510" t="inlineStr">
        <is>
          <t>cmm4yuoii01mncuqw7vio8967</t>
        </is>
      </c>
      <c r="D1510" t="inlineStr">
        <is>
          <t>http://localhost:8787/api/admin/requirements/documents/cmm4yuoii01mncuqw7vio8967/view</t>
        </is>
      </c>
      <c r="E1510">
        <f>HYPERLÄNK("http://localhost:8787/api/admin/requirements/documents/cmm4yuoii01mncuqw7vio8967/view";"Öppna PDF")</f>
        <v/>
      </c>
      <c r="F1510">
        <f>HYPERLINK("http://localhost:8787/api/admin/requirements/documents/cmm4yuoii01mncuqw7vio8967/view","Open PDF")</f>
        <v/>
      </c>
      <c r="G1510" t="inlineStr">
        <is>
          <t>cmm55w57p0004cuisfrtpqly8</t>
        </is>
      </c>
      <c r="H1510" t="inlineStr">
        <is>
          <t>Beslutsvillkor</t>
        </is>
      </c>
      <c r="I1510" t="inlineStr">
        <is>
          <t>LagringsvolymTid</t>
        </is>
      </c>
      <c r="J1510" t="inlineStr">
        <is>
          <t>Maxmangd</t>
        </is>
      </c>
      <c r="K1510" t="inlineStr">
        <is>
          <t>Exakta mängder betongkross ska enligt uppgift meddelas vid arbetets slut.</t>
        </is>
      </c>
      <c r="L1510" t="inlineStr">
        <is>
          <t>Exakta mängder betongkross ska enligt uppgift meddelas vid arbetets slut.</t>
        </is>
      </c>
      <c r="M1510" t="inlineStr">
        <is>
          <t>SKA</t>
        </is>
      </c>
      <c r="N1510" t="inlineStr"/>
      <c r="O1510" t="inlineStr"/>
      <c r="P1510" t="inlineStr"/>
      <c r="Q1510" t="inlineStr"/>
      <c r="R1510" t="inlineStr">
        <is>
          <t>Alltid</t>
        </is>
      </c>
      <c r="S1510" t="inlineStr"/>
      <c r="T1510" t="inlineStr">
        <is>
          <t>556050</t>
        </is>
      </c>
      <c r="U1510" t="inlineStr"/>
      <c r="V1510" t="inlineStr"/>
      <c r="W1510" t="inlineStr">
        <is>
          <t>Nej</t>
        </is>
      </c>
      <c r="X1510" t="inlineStr">
        <is>
          <t>Nej</t>
        </is>
      </c>
      <c r="Y1510" t="inlineStr">
        <is>
          <t>Nej</t>
        </is>
      </c>
      <c r="Z1510" t="inlineStr">
        <is>
          <t>Nej</t>
        </is>
      </c>
      <c r="AA1510" t="n">
        <v>4</v>
      </c>
      <c r="AB1510" t="inlineStr">
        <is>
          <t>Avfallsmangder och lagringstid</t>
        </is>
      </c>
      <c r="AC1510" t="inlineStr">
        <is>
          <t>Avfallsforteckning</t>
        </is>
      </c>
      <c r="AD1510" t="inlineStr">
        <is>
          <t>Nej</t>
        </is>
      </c>
      <c r="AE1510" t="inlineStr">
        <is>
          <t>Nej</t>
        </is>
      </c>
      <c r="AF1510" t="inlineStr">
        <is>
          <t>Ej behandlad</t>
        </is>
      </c>
      <c r="AG1510" t="inlineStr">
        <is>
          <t>AUTO_GENERERAD. Verifiera citat mot kallfil.</t>
        </is>
      </c>
      <c r="AH1510" t="inlineStr">
        <is>
          <t>MEDIUM</t>
        </is>
      </c>
      <c r="AI1510" t="inlineStr">
        <is>
          <t>AUTO</t>
        </is>
      </c>
      <c r="AJ1510" t="inlineStr">
        <is>
          <t>Nej</t>
        </is>
      </c>
      <c r="AK1510" t="inlineStr"/>
      <c r="AL1510" t="inlineStr"/>
      <c r="AM1510" t="inlineStr"/>
      <c r="AN1510" t="inlineStr"/>
      <c r="AO1510" t="inlineStr">
        <is>
          <t>cmm4yuoil01mqcuqwng2j726b</t>
        </is>
      </c>
      <c r="AP1510" t="inlineStr">
        <is>
          <t>http://localhost:8787/api/admin/requirements/documents/cmm4yuoil01mqcuqwng2j726b/view</t>
        </is>
      </c>
      <c r="AQ1510">
        <f>HYPERLÄNK("http://localhost:8787/api/admin/requirements/documents/cmm4yuoil01mqcuqwng2j726b/view";"Öppna PDF")</f>
        <v/>
      </c>
      <c r="AR1510">
        <f>HYPERLINK("http://localhost:8787/api/admin/requirements/documents/cmm4yuoil01mqcuqwng2j726b/view","Open PDF")</f>
        <v/>
      </c>
      <c r="AS1510" t="inlineStr">
        <is>
          <t>cmm55w57p0004cuisfrtpqly8</t>
        </is>
      </c>
      <c r="AT1510" t="inlineStr">
        <is>
          <t>cmm4xvu980000cuh4vj0usz09</t>
        </is>
      </c>
      <c r="AU1510" t="inlineStr"/>
      <c r="AV1510" t="inlineStr">
        <is>
          <t>Kommun</t>
        </is>
      </c>
      <c r="AW1510" t="inlineStr"/>
      <c r="AX1510" t="inlineStr"/>
      <c r="AY1510" t="inlineStr">
        <is>
          <t>Beslut</t>
        </is>
      </c>
      <c r="AZ1510" t="inlineStr">
        <is>
          <t>2026-02-03</t>
        </is>
      </c>
      <c r="BA1510" t="inlineStr">
        <is>
          <t>Bilaga1placeringbetongkross_470350.pdf</t>
        </is>
      </c>
      <c r="BB1510" t="inlineStr">
        <is>
          <t>VB: Återvinning av avfall i anläggningsändamål, MIL.2025.932</t>
        </is>
      </c>
      <c r="BC1510" t="inlineStr">
        <is>
          <t>AUTO</t>
        </is>
      </c>
      <c r="BD1510" t="inlineStr"/>
      <c r="BE1510" t="inlineStr"/>
      <c r="BF1510" t="inlineStr">
        <is>
          <t>AUTO_GENERERAD. Bekrafta metadata mot kallfil.</t>
        </is>
      </c>
      <c r="BG1510">
        <f>HYPERLINK("C:\Users\jimmy\Desktop\Examens arbete\Kod\Ny mapp\remix_-copy-of-miljöbeslut.se-portal\Bilaga1placeringbetongkross_470350.pdf", "Öppna PDF")</f>
        <v/>
      </c>
    </row>
    <row r="1511">
      <c r="A1511" t="inlineStr">
        <is>
          <t>KRAV-AUTO-001510</t>
        </is>
      </c>
      <c r="B1511" t="inlineStr">
        <is>
          <t>ADMIN-INDEX-2026-02-27-00000000125C043F57453246863FE664CAFE6A3F0700950291EA24F0614FB6ACEDB12BF0E31D00000000010C0000950291EA24F0614FB6ACEDB12BF0E31D00002087AED50000</t>
        </is>
      </c>
      <c r="C1511" t="inlineStr">
        <is>
          <t>cmm4yuoii01mncuqw7vio8967</t>
        </is>
      </c>
      <c r="D1511" t="inlineStr">
        <is>
          <t>http://localhost:8787/api/admin/requirements/documents/cmm4yuoii01mncuqw7vio8967/view</t>
        </is>
      </c>
      <c r="E1511">
        <f>HYPERLÄNK("http://localhost:8787/api/admin/requirements/documents/cmm4yuoii01mncuqw7vio8967/view";"Öppna PDF")</f>
        <v/>
      </c>
      <c r="F1511">
        <f>HYPERLINK("http://localhost:8787/api/admin/requirements/documents/cmm4yuoii01mncuqw7vio8967/view","Open PDF")</f>
        <v/>
      </c>
      <c r="G1511" t="inlineStr">
        <is>
          <t>cmm55w57p0004cuisfrtpqly8</t>
        </is>
      </c>
      <c r="H1511" t="inlineStr">
        <is>
          <t>Beslutsvillkor</t>
        </is>
      </c>
      <c r="I1511" t="inlineStr">
        <is>
          <t>LagringsvolymTid</t>
        </is>
      </c>
      <c r="J1511" t="inlineStr">
        <is>
          <t>Maxmangd</t>
        </is>
      </c>
      <c r="K1511" t="inlineStr">
        <is>
          <t>På platsen Skvadronen 9 ska den krossade betongen användas som fyllnadsmassor.</t>
        </is>
      </c>
      <c r="L1511" t="inlineStr">
        <is>
          <t>På platsen Skvadronen 9 ska den krossade betongen användas som fyllnadsmassor.</t>
        </is>
      </c>
      <c r="M1511" t="inlineStr">
        <is>
          <t>SKA</t>
        </is>
      </c>
      <c r="N1511" t="inlineStr"/>
      <c r="O1511" t="inlineStr"/>
      <c r="P1511" t="inlineStr"/>
      <c r="Q1511" t="inlineStr"/>
      <c r="R1511" t="inlineStr">
        <is>
          <t>Alltid</t>
        </is>
      </c>
      <c r="S1511" t="inlineStr"/>
      <c r="T1511" t="inlineStr">
        <is>
          <t>556050</t>
        </is>
      </c>
      <c r="U1511" t="inlineStr"/>
      <c r="V1511" t="inlineStr"/>
      <c r="W1511" t="inlineStr">
        <is>
          <t>Nej</t>
        </is>
      </c>
      <c r="X1511" t="inlineStr">
        <is>
          <t>Nej</t>
        </is>
      </c>
      <c r="Y1511" t="inlineStr">
        <is>
          <t>Nej</t>
        </is>
      </c>
      <c r="Z1511" t="inlineStr">
        <is>
          <t>Nej</t>
        </is>
      </c>
      <c r="AA1511" t="n">
        <v>4</v>
      </c>
      <c r="AB1511" t="inlineStr">
        <is>
          <t>Avfallsmangder och lagringstid</t>
        </is>
      </c>
      <c r="AC1511" t="inlineStr">
        <is>
          <t>Avfallsforteckning</t>
        </is>
      </c>
      <c r="AD1511" t="inlineStr">
        <is>
          <t>Nej</t>
        </is>
      </c>
      <c r="AE1511" t="inlineStr">
        <is>
          <t>Nej</t>
        </is>
      </c>
      <c r="AF1511" t="inlineStr">
        <is>
          <t>Ej behandlad</t>
        </is>
      </c>
      <c r="AG1511" t="inlineStr">
        <is>
          <t>AUTO_GENERERAD. Verifiera citat mot kallfil.</t>
        </is>
      </c>
      <c r="AH1511" t="inlineStr">
        <is>
          <t>MEDIUM</t>
        </is>
      </c>
      <c r="AI1511" t="inlineStr">
        <is>
          <t>AUTO</t>
        </is>
      </c>
      <c r="AJ1511" t="inlineStr">
        <is>
          <t>Nej</t>
        </is>
      </c>
      <c r="AK1511" t="inlineStr"/>
      <c r="AL1511" t="inlineStr"/>
      <c r="AM1511" t="inlineStr"/>
      <c r="AN1511" t="inlineStr"/>
      <c r="AO1511" t="inlineStr">
        <is>
          <t>cmm4yuoil01mqcuqwng2j726b</t>
        </is>
      </c>
      <c r="AP1511" t="inlineStr">
        <is>
          <t>http://localhost:8787/api/admin/requirements/documents/cmm4yuoil01mqcuqwng2j726b/view</t>
        </is>
      </c>
      <c r="AQ1511">
        <f>HYPERLÄNK("http://localhost:8787/api/admin/requirements/documents/cmm4yuoil01mqcuqwng2j726b/view";"Öppna PDF")</f>
        <v/>
      </c>
      <c r="AR1511">
        <f>HYPERLINK("http://localhost:8787/api/admin/requirements/documents/cmm4yuoil01mqcuqwng2j726b/view","Open PDF")</f>
        <v/>
      </c>
      <c r="AS1511" t="inlineStr">
        <is>
          <t>cmm55w57p0004cuisfrtpqly8</t>
        </is>
      </c>
      <c r="AT1511" t="inlineStr">
        <is>
          <t>cmm4xvu980000cuh4vj0usz09</t>
        </is>
      </c>
      <c r="AU1511" t="inlineStr"/>
      <c r="AV1511" t="inlineStr">
        <is>
          <t>Kommun</t>
        </is>
      </c>
      <c r="AW1511" t="inlineStr"/>
      <c r="AX1511" t="inlineStr"/>
      <c r="AY1511" t="inlineStr">
        <is>
          <t>Beslut</t>
        </is>
      </c>
      <c r="AZ1511" t="inlineStr">
        <is>
          <t>2026-02-03</t>
        </is>
      </c>
      <c r="BA1511" t="inlineStr">
        <is>
          <t>Bilaga1placeringbetongkross_470350.pdf</t>
        </is>
      </c>
      <c r="BB1511" t="inlineStr">
        <is>
          <t>VB: Återvinning av avfall i anläggningsändamål, MIL.2025.932</t>
        </is>
      </c>
      <c r="BC1511" t="inlineStr">
        <is>
          <t>AUTO</t>
        </is>
      </c>
      <c r="BD1511" t="inlineStr"/>
      <c r="BE1511" t="inlineStr"/>
      <c r="BF1511" t="inlineStr">
        <is>
          <t>AUTO_GENERERAD. Bekrafta metadata mot kallfil.</t>
        </is>
      </c>
      <c r="BG1511">
        <f>HYPERLINK("C:\Users\jimmy\Desktop\Examens arbete\Kod\Ny mapp\remix_-copy-of-miljöbeslut.se-portal\Bilaga1placeringbetongkross_470350.pdf", "Öppna PDF")</f>
        <v/>
      </c>
    </row>
    <row r="1512">
      <c r="A1512" t="inlineStr">
        <is>
          <t>KRAV-AUTO-001511</t>
        </is>
      </c>
      <c r="B1512" t="inlineStr">
        <is>
          <t>ADMIN-INDEX-2026-02-27-00000000125C043F57453246863FE664CAFE6A3F0700950291EA24F0614FB6ACEDB12BF0E31D00000000010C0000950291EA24F0614FB6ACEDB12BF0E31D00002087AED50000</t>
        </is>
      </c>
      <c r="C1512" t="inlineStr">
        <is>
          <t>cmm4yuoig01mkcuqws4zlea8f</t>
        </is>
      </c>
      <c r="D1512" t="inlineStr">
        <is>
          <t>http://localhost:8787/api/admin/requirements/documents/cmm4yuoig01mkcuqws4zlea8f/view</t>
        </is>
      </c>
      <c r="E1512">
        <f>HYPERLÄNK("http://localhost:8787/api/admin/requirements/documents/cmm4yuoig01mkcuqws4zlea8f/view";"Öppna PDF")</f>
        <v/>
      </c>
      <c r="F1512">
        <f>HYPERLINK("http://localhost:8787/api/admin/requirements/documents/cmm4yuoig01mkcuqws4zlea8f/view","Open PDF")</f>
        <v/>
      </c>
      <c r="G1512" t="inlineStr">
        <is>
          <t>cmm55w57p0004cuisfrtpqly8</t>
        </is>
      </c>
      <c r="H1512" t="inlineStr">
        <is>
          <t>Beslutsvillkor</t>
        </is>
      </c>
      <c r="I1512" t="inlineStr">
        <is>
          <t>DagvattenLakvatten</t>
        </is>
      </c>
      <c r="J1512" t="inlineStr">
        <is>
          <t>Uppsamling</t>
        </is>
      </c>
      <c r="K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12" t="inlineStr">
        <is>
          <t>SKA</t>
        </is>
      </c>
      <c r="N1512" t="inlineStr">
        <is>
          <t>Naturvardsverket</t>
        </is>
      </c>
      <c r="O1512" t="inlineStr"/>
      <c r="P1512" t="inlineStr"/>
      <c r="Q1512" t="inlineStr"/>
      <c r="R1512" t="inlineStr">
        <is>
          <t>Vid nederbord och avrinning</t>
        </is>
      </c>
      <c r="S1512" t="inlineStr"/>
      <c r="T1512" t="inlineStr">
        <is>
          <t>556050</t>
        </is>
      </c>
      <c r="U1512" t="inlineStr"/>
      <c r="V1512" t="inlineStr"/>
      <c r="W1512" t="inlineStr">
        <is>
          <t>Nej</t>
        </is>
      </c>
      <c r="X1512" t="inlineStr">
        <is>
          <t>Ja</t>
        </is>
      </c>
      <c r="Y1512" t="inlineStr">
        <is>
          <t>Ja</t>
        </is>
      </c>
      <c r="Z1512" t="inlineStr">
        <is>
          <t>Nej</t>
        </is>
      </c>
      <c r="AA1512" t="n">
        <v>6</v>
      </c>
      <c r="AB1512" t="inlineStr">
        <is>
          <t>Lakvattenhantering</t>
        </is>
      </c>
      <c r="AC1512" t="inlineStr">
        <is>
          <t>Flodesschema dagvatten-lakvatten</t>
        </is>
      </c>
      <c r="AD1512" t="inlineStr">
        <is>
          <t>Nej</t>
        </is>
      </c>
      <c r="AE1512" t="inlineStr">
        <is>
          <t>Nej</t>
        </is>
      </c>
      <c r="AF1512" t="inlineStr">
        <is>
          <t>Ej behandlad</t>
        </is>
      </c>
      <c r="AG1512" t="inlineStr">
        <is>
          <t>AUTO_GENERERAD. Verifiera citat mot kallfil.</t>
        </is>
      </c>
      <c r="AH1512" t="inlineStr">
        <is>
          <t>MEDIUM</t>
        </is>
      </c>
      <c r="AI1512" t="inlineStr">
        <is>
          <t>AUTO</t>
        </is>
      </c>
      <c r="AJ1512" t="inlineStr">
        <is>
          <t>Nej</t>
        </is>
      </c>
      <c r="AK1512" t="inlineStr"/>
      <c r="AL1512" t="inlineStr"/>
      <c r="AM1512" t="inlineStr"/>
      <c r="AN1512" t="inlineStr"/>
      <c r="AO1512" t="inlineStr">
        <is>
          <t>cmm4yuoil01mqcuqwng2j726b</t>
        </is>
      </c>
      <c r="AP1512" t="inlineStr">
        <is>
          <t>http://localhost:8787/api/admin/requirements/documents/cmm4yuoil01mqcuqwng2j726b/view</t>
        </is>
      </c>
      <c r="AQ1512">
        <f>HYPERLÄNK("http://localhost:8787/api/admin/requirements/documents/cmm4yuoil01mqcuqwng2j726b/view";"Öppna PDF")</f>
        <v/>
      </c>
      <c r="AR1512">
        <f>HYPERLINK("http://localhost:8787/api/admin/requirements/documents/cmm4yuoil01mqcuqwng2j726b/view","Open PDF")</f>
        <v/>
      </c>
      <c r="AS1512" t="inlineStr">
        <is>
          <t>cmm55w57p0004cuisfrtpqly8</t>
        </is>
      </c>
      <c r="AT1512" t="inlineStr">
        <is>
          <t>cmm4xvu980000cuh4vj0usz09</t>
        </is>
      </c>
      <c r="AU1512" t="inlineStr"/>
      <c r="AV1512" t="inlineStr">
        <is>
          <t>Kommun</t>
        </is>
      </c>
      <c r="AW1512" t="inlineStr"/>
      <c r="AX1512" t="inlineStr"/>
      <c r="AY1512" t="inlineStr">
        <is>
          <t>Beslut</t>
        </is>
      </c>
      <c r="AZ1512" t="inlineStr">
        <is>
          <t>2026-02-03</t>
        </is>
      </c>
      <c r="BA1512" t="inlineStr">
        <is>
          <t>Bilaga1placeringbetongkross_470350.pdf</t>
        </is>
      </c>
      <c r="BB1512" t="inlineStr">
        <is>
          <t>VB: Återvinning av avfall i anläggningsändamål, MIL.2025.932</t>
        </is>
      </c>
      <c r="BC1512" t="inlineStr">
        <is>
          <t>AUTO</t>
        </is>
      </c>
      <c r="BD1512" t="inlineStr"/>
      <c r="BE1512" t="inlineStr"/>
      <c r="BF1512" t="inlineStr">
        <is>
          <t>AUTO_GENERERAD. Bekrafta metadata mot kallfil.</t>
        </is>
      </c>
      <c r="BG1512">
        <f>HYPERLINK("C:\Users\jimmy\Desktop\Examens arbete\Kod\Ny mapp\remix_-copy-of-miljöbeslut.se-portal\Bilaga1placeringbetongkross_470350.pdf", "Öppna PDF")</f>
        <v/>
      </c>
    </row>
    <row r="1513">
      <c r="A1513" t="inlineStr">
        <is>
          <t>KRAV-AUTO-001512</t>
        </is>
      </c>
      <c r="B1513" t="inlineStr">
        <is>
          <t>ADMIN-INDEX-2026-02-27-00000000125C043F57453246863FE664CAFE6A3F0700950291EA24F0614FB6ACEDB12BF0E31D00000000010C0000950291EA24F0614FB6ACEDB12BF0E31D00002087AED50000</t>
        </is>
      </c>
      <c r="C1513" t="inlineStr">
        <is>
          <t>cmm4yuoig01mkcuqws4zlea8f</t>
        </is>
      </c>
      <c r="D1513" t="inlineStr">
        <is>
          <t>http://localhost:8787/api/admin/requirements/documents/cmm4yuoig01mkcuqws4zlea8f/view</t>
        </is>
      </c>
      <c r="E1513">
        <f>HYPERLÄNK("http://localhost:8787/api/admin/requirements/documents/cmm4yuoig01mkcuqws4zlea8f/view";"Öppna PDF")</f>
        <v/>
      </c>
      <c r="F1513">
        <f>HYPERLINK("http://localhost:8787/api/admin/requirements/documents/cmm4yuoig01mkcuqws4zlea8f/view","Open PDF")</f>
        <v/>
      </c>
      <c r="G1513" t="inlineStr">
        <is>
          <t>cmm55w57p0004cuisfrtpqly8</t>
        </is>
      </c>
      <c r="H1513" t="inlineStr">
        <is>
          <t>Beslutsvillkor</t>
        </is>
      </c>
      <c r="I1513" t="inlineStr">
        <is>
          <t>Ytkonstruktion</t>
        </is>
      </c>
      <c r="J1513" t="inlineStr">
        <is>
          <t>Tat yta</t>
        </is>
      </c>
      <c r="K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13" t="inlineStr">
        <is>
          <t>SKA</t>
        </is>
      </c>
      <c r="N1513" t="inlineStr"/>
      <c r="O1513" t="inlineStr"/>
      <c r="P1513" t="inlineStr"/>
      <c r="Q1513" t="inlineStr"/>
      <c r="R1513" t="inlineStr">
        <is>
          <t>Vid mellanlagring av avfall</t>
        </is>
      </c>
      <c r="S1513" t="inlineStr"/>
      <c r="T1513" t="inlineStr">
        <is>
          <t>556050</t>
        </is>
      </c>
      <c r="U1513" t="inlineStr"/>
      <c r="V1513" t="inlineStr"/>
      <c r="W1513" t="inlineStr">
        <is>
          <t>Ja</t>
        </is>
      </c>
      <c r="X1513" t="inlineStr">
        <is>
          <t>Nej</t>
        </is>
      </c>
      <c r="Y1513" t="inlineStr">
        <is>
          <t>Nej</t>
        </is>
      </c>
      <c r="Z1513" t="inlineStr">
        <is>
          <t>Nej</t>
        </is>
      </c>
      <c r="AA1513" t="n">
        <v>5</v>
      </c>
      <c r="AB1513" t="inlineStr">
        <is>
          <t>Teknisk beskrivning av platta</t>
        </is>
      </c>
      <c r="AC1513" t="inlineStr">
        <is>
          <t>Teknisk ritning platta</t>
        </is>
      </c>
      <c r="AD1513" t="inlineStr">
        <is>
          <t>Nej</t>
        </is>
      </c>
      <c r="AE1513" t="inlineStr">
        <is>
          <t>Nej</t>
        </is>
      </c>
      <c r="AF1513" t="inlineStr">
        <is>
          <t>Ej behandlad</t>
        </is>
      </c>
      <c r="AG1513" t="inlineStr">
        <is>
          <t>AUTO_GENERERAD. Verifiera citat mot kallfil.</t>
        </is>
      </c>
      <c r="AH1513" t="inlineStr">
        <is>
          <t>MEDIUM</t>
        </is>
      </c>
      <c r="AI1513" t="inlineStr">
        <is>
          <t>AUTO</t>
        </is>
      </c>
      <c r="AJ1513" t="inlineStr">
        <is>
          <t>Nej</t>
        </is>
      </c>
      <c r="AK1513" t="inlineStr"/>
      <c r="AL1513" t="inlineStr"/>
      <c r="AM1513" t="inlineStr"/>
      <c r="AN1513" t="inlineStr"/>
      <c r="AO1513" t="inlineStr">
        <is>
          <t>cmm4yuoil01mqcuqwng2j726b</t>
        </is>
      </c>
      <c r="AP1513" t="inlineStr">
        <is>
          <t>http://localhost:8787/api/admin/requirements/documents/cmm4yuoil01mqcuqwng2j726b/view</t>
        </is>
      </c>
      <c r="AQ1513">
        <f>HYPERLÄNK("http://localhost:8787/api/admin/requirements/documents/cmm4yuoil01mqcuqwng2j726b/view";"Öppna PDF")</f>
        <v/>
      </c>
      <c r="AR1513">
        <f>HYPERLINK("http://localhost:8787/api/admin/requirements/documents/cmm4yuoil01mqcuqwng2j726b/view","Open PDF")</f>
        <v/>
      </c>
      <c r="AS1513" t="inlineStr">
        <is>
          <t>cmm55w57p0004cuisfrtpqly8</t>
        </is>
      </c>
      <c r="AT1513" t="inlineStr">
        <is>
          <t>cmm4xvu980000cuh4vj0usz09</t>
        </is>
      </c>
      <c r="AU1513" t="inlineStr"/>
      <c r="AV1513" t="inlineStr">
        <is>
          <t>Kommun</t>
        </is>
      </c>
      <c r="AW1513" t="inlineStr"/>
      <c r="AX1513" t="inlineStr"/>
      <c r="AY1513" t="inlineStr">
        <is>
          <t>Beslut</t>
        </is>
      </c>
      <c r="AZ1513" t="inlineStr">
        <is>
          <t>2026-02-03</t>
        </is>
      </c>
      <c r="BA1513" t="inlineStr">
        <is>
          <t>Bilaga1placeringbetongkross_470350.pdf</t>
        </is>
      </c>
      <c r="BB1513" t="inlineStr">
        <is>
          <t>VB: Återvinning av avfall i anläggningsändamål, MIL.2025.932</t>
        </is>
      </c>
      <c r="BC1513" t="inlineStr">
        <is>
          <t>AUTO</t>
        </is>
      </c>
      <c r="BD1513" t="inlineStr"/>
      <c r="BE1513" t="inlineStr"/>
      <c r="BF1513" t="inlineStr">
        <is>
          <t>AUTO_GENERERAD. Bekrafta metadata mot kallfil.</t>
        </is>
      </c>
      <c r="BG1513">
        <f>HYPERLINK("C:\Users\jimmy\Desktop\Examens arbete\Kod\Ny mapp\remix_-copy-of-miljöbeslut.se-portal\Bilaga1placeringbetongkross_470350.pdf", "Öppna PDF")</f>
        <v/>
      </c>
    </row>
    <row r="1514">
      <c r="A1514" t="inlineStr">
        <is>
          <t>KRAV-AUTO-001513</t>
        </is>
      </c>
      <c r="B1514" t="inlineStr">
        <is>
          <t>ADMIN-INDEX-2026-02-27-00000000125C043F57453246863FE664CAFE6A3F0700950291EA24F0614FB6ACEDB12BF0E31D00000000010C0000950291EA24F0614FB6ACEDB12BF0E31D00002087AED50000</t>
        </is>
      </c>
      <c r="C1514" t="inlineStr">
        <is>
          <t>cmm4yuoig01mkcuqws4zlea8f</t>
        </is>
      </c>
      <c r="D1514" t="inlineStr">
        <is>
          <t>http://localhost:8787/api/admin/requirements/documents/cmm4yuoig01mkcuqws4zlea8f/view</t>
        </is>
      </c>
      <c r="E1514">
        <f>HYPERLÄNK("http://localhost:8787/api/admin/requirements/documents/cmm4yuoig01mkcuqws4zlea8f/view";"Öppna PDF")</f>
        <v/>
      </c>
      <c r="F1514">
        <f>HYPERLINK("http://localhost:8787/api/admin/requirements/documents/cmm4yuoig01mkcuqws4zlea8f/view","Open PDF")</f>
        <v/>
      </c>
      <c r="G1514" t="inlineStr">
        <is>
          <t>cmm55w57p0004cuisfrtpqly8</t>
        </is>
      </c>
      <c r="H1514" t="inlineStr">
        <is>
          <t>Beslutsvillkor</t>
        </is>
      </c>
      <c r="I1514" t="inlineStr">
        <is>
          <t>Riskhantering</t>
        </is>
      </c>
      <c r="J1514" t="inlineStr">
        <is>
          <t>Riskkontroll</t>
        </is>
      </c>
      <c r="K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14" t="inlineStr">
        <is>
          <t>SKA</t>
        </is>
      </c>
      <c r="N1514" t="inlineStr"/>
      <c r="O1514" t="inlineStr">
        <is>
          <t>2007-12-20</t>
        </is>
      </c>
      <c r="P1514" t="inlineStr"/>
      <c r="Q1514" t="inlineStr"/>
      <c r="R1514" t="inlineStr">
        <is>
          <t>Vid risk for incident</t>
        </is>
      </c>
      <c r="S1514" t="inlineStr"/>
      <c r="T1514" t="inlineStr">
        <is>
          <t>41 2007</t>
        </is>
      </c>
      <c r="U1514" t="inlineStr"/>
      <c r="V1514" t="inlineStr"/>
      <c r="W1514" t="inlineStr">
        <is>
          <t>Nej</t>
        </is>
      </c>
      <c r="X1514" t="inlineStr">
        <is>
          <t>Nej</t>
        </is>
      </c>
      <c r="Y1514" t="inlineStr">
        <is>
          <t>Ja</t>
        </is>
      </c>
      <c r="Z1514" t="inlineStr">
        <is>
          <t>Ja</t>
        </is>
      </c>
      <c r="AA1514" t="n">
        <v>8</v>
      </c>
      <c r="AB1514" t="inlineStr">
        <is>
          <t>Riskhantering</t>
        </is>
      </c>
      <c r="AC1514" t="inlineStr">
        <is>
          <t>Risk-PM</t>
        </is>
      </c>
      <c r="AD1514" t="inlineStr">
        <is>
          <t>Nej</t>
        </is>
      </c>
      <c r="AE1514" t="inlineStr">
        <is>
          <t>Nej</t>
        </is>
      </c>
      <c r="AF1514" t="inlineStr">
        <is>
          <t>Ej behandlad</t>
        </is>
      </c>
      <c r="AG1514" t="inlineStr">
        <is>
          <t>AUTO_GENERERAD. Verifiera citat mot kallfil.</t>
        </is>
      </c>
      <c r="AH1514" t="inlineStr">
        <is>
          <t>MEDIUM</t>
        </is>
      </c>
      <c r="AI1514" t="inlineStr">
        <is>
          <t>AUTO</t>
        </is>
      </c>
      <c r="AJ1514" t="inlineStr">
        <is>
          <t>Nej</t>
        </is>
      </c>
      <c r="AK1514" t="inlineStr"/>
      <c r="AL1514" t="inlineStr"/>
      <c r="AM1514" t="inlineStr"/>
      <c r="AN1514" t="inlineStr"/>
      <c r="AO1514" t="inlineStr">
        <is>
          <t>cmm4yuoil01mqcuqwng2j726b</t>
        </is>
      </c>
      <c r="AP1514" t="inlineStr">
        <is>
          <t>http://localhost:8787/api/admin/requirements/documents/cmm4yuoil01mqcuqwng2j726b/view</t>
        </is>
      </c>
      <c r="AQ1514">
        <f>HYPERLÄNK("http://localhost:8787/api/admin/requirements/documents/cmm4yuoil01mqcuqwng2j726b/view";"Öppna PDF")</f>
        <v/>
      </c>
      <c r="AR1514">
        <f>HYPERLINK("http://localhost:8787/api/admin/requirements/documents/cmm4yuoil01mqcuqwng2j726b/view","Open PDF")</f>
        <v/>
      </c>
      <c r="AS1514" t="inlineStr">
        <is>
          <t>cmm55w57p0004cuisfrtpqly8</t>
        </is>
      </c>
      <c r="AT1514" t="inlineStr">
        <is>
          <t>cmm4xvu980000cuh4vj0usz09</t>
        </is>
      </c>
      <c r="AU1514" t="inlineStr"/>
      <c r="AV1514" t="inlineStr">
        <is>
          <t>Kommun</t>
        </is>
      </c>
      <c r="AW1514" t="inlineStr"/>
      <c r="AX1514" t="inlineStr"/>
      <c r="AY1514" t="inlineStr">
        <is>
          <t>Beslut</t>
        </is>
      </c>
      <c r="AZ1514" t="inlineStr">
        <is>
          <t>2026-02-03</t>
        </is>
      </c>
      <c r="BA1514" t="inlineStr">
        <is>
          <t>Bilaga1placeringbetongkross_470350.pdf</t>
        </is>
      </c>
      <c r="BB1514" t="inlineStr">
        <is>
          <t>VB: Återvinning av avfall i anläggningsändamål, MIL.2025.932</t>
        </is>
      </c>
      <c r="BC1514" t="inlineStr">
        <is>
          <t>AUTO</t>
        </is>
      </c>
      <c r="BD1514" t="inlineStr"/>
      <c r="BE1514" t="inlineStr"/>
      <c r="BF1514" t="inlineStr">
        <is>
          <t>AUTO_GENERERAD. Bekrafta metadata mot kallfil.</t>
        </is>
      </c>
      <c r="BG1514">
        <f>HYPERLINK("C:\Users\jimmy\Desktop\Examens arbete\Kod\Ny mapp\remix_-copy-of-miljöbeslut.se-portal\Bilaga1placeringbetongkross_470350.pdf", "Öppna PDF")</f>
        <v/>
      </c>
    </row>
    <row r="1515">
      <c r="A1515" t="inlineStr">
        <is>
          <t>KRAV-AUTO-001514</t>
        </is>
      </c>
      <c r="B1515" t="inlineStr">
        <is>
          <t>ADMIN-INDEX-2026-02-27-00000000125C043F57453246863FE664CAFE6A3F0700950291EA24F0614FB6ACEDB12BF0E31D00000000010C0000950291EA24F0614FB6ACEDB12BF0E31D00002087AED50000</t>
        </is>
      </c>
      <c r="C1515" t="inlineStr">
        <is>
          <t>cmm4yuoid01mhcuqwnaglejdt</t>
        </is>
      </c>
      <c r="D1515" t="inlineStr">
        <is>
          <t>http://localhost:8787/api/admin/requirements/documents/cmm4yuoid01mhcuqwnaglejdt/view</t>
        </is>
      </c>
      <c r="E1515">
        <f>HYPERLÄNK("http://localhost:8787/api/admin/requirements/documents/cmm4yuoid01mhcuqwnaglejdt/view";"Öppna PDF")</f>
        <v/>
      </c>
      <c r="F1515">
        <f>HYPERLINK("http://localhost:8787/api/admin/requirements/documents/cmm4yuoid01mhcuqwnaglejdt/view","Open PDF")</f>
        <v/>
      </c>
      <c r="G1515" t="inlineStr">
        <is>
          <t>cmm55w57p0004cuisfrtpqly8</t>
        </is>
      </c>
      <c r="H1515" t="inlineStr">
        <is>
          <t>Beslutsvillkor</t>
        </is>
      </c>
      <c r="I1515" t="inlineStr">
        <is>
          <t>DriftEgenkontroll</t>
        </is>
      </c>
      <c r="J1515" t="inlineStr">
        <is>
          <t>Journalforing</t>
        </is>
      </c>
      <c r="K1515" t="inlineStr">
        <is>
          <t>Proverna togs med geoteknisk borrbandvagn och jordskruv (liten provtagningskala och stickprov av olika jordarter).</t>
        </is>
      </c>
      <c r="L1515" t="inlineStr">
        <is>
          <t>Proverna togs med geoteknisk borrbandvagn och jordskruv (liten provtagningskala och stickprov av olika jordarter).</t>
        </is>
      </c>
      <c r="M1515" t="inlineStr">
        <is>
          <t>SKA</t>
        </is>
      </c>
      <c r="N1515" t="inlineStr"/>
      <c r="O1515" t="inlineStr"/>
      <c r="P1515" t="inlineStr"/>
      <c r="Q1515" t="inlineStr"/>
      <c r="R1515" t="inlineStr">
        <is>
          <t>Lopande drift</t>
        </is>
      </c>
      <c r="S1515" t="inlineStr"/>
      <c r="T1515" t="inlineStr">
        <is>
          <t>559026</t>
        </is>
      </c>
      <c r="U1515" t="inlineStr"/>
      <c r="V1515" t="inlineStr"/>
      <c r="W1515" t="inlineStr">
        <is>
          <t>Nej</t>
        </is>
      </c>
      <c r="X1515" t="inlineStr">
        <is>
          <t>Nej</t>
        </is>
      </c>
      <c r="Y1515" t="inlineStr">
        <is>
          <t>Ja</t>
        </is>
      </c>
      <c r="Z1515" t="inlineStr">
        <is>
          <t>Nej</t>
        </is>
      </c>
      <c r="AA1515" t="n">
        <v>7</v>
      </c>
      <c r="AB1515" t="inlineStr">
        <is>
          <t>Egenkontrollrutiner</t>
        </is>
      </c>
      <c r="AC1515" t="inlineStr">
        <is>
          <t>Egenkontrollprogram</t>
        </is>
      </c>
      <c r="AD1515" t="inlineStr">
        <is>
          <t>Nej</t>
        </is>
      </c>
      <c r="AE1515" t="inlineStr">
        <is>
          <t>Nej</t>
        </is>
      </c>
      <c r="AF1515" t="inlineStr">
        <is>
          <t>Ej behandlad</t>
        </is>
      </c>
      <c r="AG1515" t="inlineStr">
        <is>
          <t>AUTO_GENERERAD. Verifiera citat mot kallfil.</t>
        </is>
      </c>
      <c r="AH1515" t="inlineStr">
        <is>
          <t>MEDIUM</t>
        </is>
      </c>
      <c r="AI1515" t="inlineStr">
        <is>
          <t>AUTO</t>
        </is>
      </c>
      <c r="AJ1515" t="inlineStr">
        <is>
          <t>Nej</t>
        </is>
      </c>
      <c r="AK1515" t="inlineStr"/>
      <c r="AL1515" t="inlineStr"/>
      <c r="AM1515" t="inlineStr"/>
      <c r="AN1515" t="inlineStr"/>
      <c r="AO1515" t="inlineStr">
        <is>
          <t>cmm4yuoil01mqcuqwng2j726b</t>
        </is>
      </c>
      <c r="AP1515" t="inlineStr">
        <is>
          <t>http://localhost:8787/api/admin/requirements/documents/cmm4yuoil01mqcuqwng2j726b/view</t>
        </is>
      </c>
      <c r="AQ1515">
        <f>HYPERLÄNK("http://localhost:8787/api/admin/requirements/documents/cmm4yuoil01mqcuqwng2j726b/view";"Öppna PDF")</f>
        <v/>
      </c>
      <c r="AR1515">
        <f>HYPERLINK("http://localhost:8787/api/admin/requirements/documents/cmm4yuoil01mqcuqwng2j726b/view","Open PDF")</f>
        <v/>
      </c>
      <c r="AS1515" t="inlineStr">
        <is>
          <t>cmm55w57p0004cuisfrtpqly8</t>
        </is>
      </c>
      <c r="AT1515" t="inlineStr">
        <is>
          <t>cmm4xvu980000cuh4vj0usz09</t>
        </is>
      </c>
      <c r="AU1515" t="inlineStr"/>
      <c r="AV1515" t="inlineStr">
        <is>
          <t>Kommun</t>
        </is>
      </c>
      <c r="AW1515" t="inlineStr"/>
      <c r="AX1515" t="inlineStr"/>
      <c r="AY1515" t="inlineStr">
        <is>
          <t>Beslut</t>
        </is>
      </c>
      <c r="AZ1515" t="inlineStr">
        <is>
          <t>2026-02-03</t>
        </is>
      </c>
      <c r="BA1515" t="inlineStr">
        <is>
          <t>Bilaga1placeringbetongkross_470350.pdf</t>
        </is>
      </c>
      <c r="BB1515" t="inlineStr">
        <is>
          <t>VB: Återvinning av avfall i anläggningsändamål, MIL.2025.932</t>
        </is>
      </c>
      <c r="BC1515" t="inlineStr">
        <is>
          <t>AUTO</t>
        </is>
      </c>
      <c r="BD1515" t="inlineStr"/>
      <c r="BE1515" t="inlineStr"/>
      <c r="BF1515" t="inlineStr">
        <is>
          <t>AUTO_GENERERAD. Bekrafta metadata mot kallfil.</t>
        </is>
      </c>
      <c r="BG1515">
        <f>HYPERLINK("C:\Users\jimmy\Desktop\Examens arbete\Kod\Ny mapp\remix_-copy-of-miljöbeslut.se-portal\Bilaga1placeringbetongkross_470350.pdf", "Öppna PDF")</f>
        <v/>
      </c>
    </row>
    <row r="1516">
      <c r="A1516" t="inlineStr">
        <is>
          <t>KRAV-AUTO-001515</t>
        </is>
      </c>
      <c r="B1516" t="inlineStr">
        <is>
          <t>ADMIN-INDEX-2026-02-27-00000000125C043F57453246863FE664CAFE6A3F0700950291EA24F0614FB6ACEDB12BF0E31D00000000010C0000950291EA24F0614FB6ACEDB12BF0E31D00002087AED50000</t>
        </is>
      </c>
      <c r="C1516" t="inlineStr">
        <is>
          <t>cmm4yuoid01mhcuqwnaglejdt</t>
        </is>
      </c>
      <c r="D1516" t="inlineStr">
        <is>
          <t>http://localhost:8787/api/admin/requirements/documents/cmm4yuoid01mhcuqwnaglejdt/view</t>
        </is>
      </c>
      <c r="E1516">
        <f>HYPERLÄNK("http://localhost:8787/api/admin/requirements/documents/cmm4yuoid01mhcuqwnaglejdt/view";"Öppna PDF")</f>
        <v/>
      </c>
      <c r="F1516">
        <f>HYPERLINK("http://localhost:8787/api/admin/requirements/documents/cmm4yuoid01mhcuqwnaglejdt/view","Open PDF")</f>
        <v/>
      </c>
      <c r="G1516" t="inlineStr">
        <is>
          <t>cmm55w57p0004cuisfrtpqly8</t>
        </is>
      </c>
      <c r="H1516" t="inlineStr">
        <is>
          <t>Beslutsvillkor</t>
        </is>
      </c>
      <c r="I1516" t="inlineStr">
        <is>
          <t>DagvattenLakvatten</t>
        </is>
      </c>
      <c r="J1516" t="inlineStr">
        <is>
          <t>Uppsamling</t>
        </is>
      </c>
      <c r="K1516" t="inlineStr">
        <is>
          <t>Ytor större än 400 m² med högre halter än KM bör bedömas inom bostadsmark och schaktas ur om riskerna bedöms stora (bör göras mot platsspecifikt KM-riktvärde och en skattning av medelhalten av föroreningar inom ytan).</t>
        </is>
      </c>
      <c r="L1516" t="inlineStr">
        <is>
          <t>Ytor större än 400 m² med högre halter än KM bör bedömas inom bostadsmark och schaktas ur om riskerna bedöms stora (bör göras mot platsspecifikt KM-riktvärde och en skattning av medelhalten av föroreningar inom ytan).</t>
        </is>
      </c>
      <c r="M1516" t="inlineStr">
        <is>
          <t>SKA</t>
        </is>
      </c>
      <c r="N1516" t="inlineStr"/>
      <c r="O1516" t="inlineStr"/>
      <c r="P1516" t="inlineStr"/>
      <c r="Q1516" t="inlineStr"/>
      <c r="R1516" t="inlineStr">
        <is>
          <t>Vid nederbord och avrinning</t>
        </is>
      </c>
      <c r="S1516" t="inlineStr"/>
      <c r="T1516" t="inlineStr">
        <is>
          <t>559026</t>
        </is>
      </c>
      <c r="U1516" t="inlineStr"/>
      <c r="V1516" t="inlineStr"/>
      <c r="W1516" t="inlineStr">
        <is>
          <t>Nej</t>
        </is>
      </c>
      <c r="X1516" t="inlineStr">
        <is>
          <t>Ja</t>
        </is>
      </c>
      <c r="Y1516" t="inlineStr">
        <is>
          <t>Ja</t>
        </is>
      </c>
      <c r="Z1516" t="inlineStr">
        <is>
          <t>Nej</t>
        </is>
      </c>
      <c r="AA1516" t="n">
        <v>6</v>
      </c>
      <c r="AB1516" t="inlineStr">
        <is>
          <t>Lakvattenhantering</t>
        </is>
      </c>
      <c r="AC1516" t="inlineStr">
        <is>
          <t>Flodesschema dagvatten-lakvatten</t>
        </is>
      </c>
      <c r="AD1516" t="inlineStr">
        <is>
          <t>Nej</t>
        </is>
      </c>
      <c r="AE1516" t="inlineStr">
        <is>
          <t>Nej</t>
        </is>
      </c>
      <c r="AF1516" t="inlineStr">
        <is>
          <t>Ej behandlad</t>
        </is>
      </c>
      <c r="AG1516" t="inlineStr">
        <is>
          <t>AUTO_GENERERAD. Verifiera citat mot kallfil.</t>
        </is>
      </c>
      <c r="AH1516" t="inlineStr">
        <is>
          <t>MEDIUM</t>
        </is>
      </c>
      <c r="AI1516" t="inlineStr">
        <is>
          <t>AUTO</t>
        </is>
      </c>
      <c r="AJ1516" t="inlineStr">
        <is>
          <t>Nej</t>
        </is>
      </c>
      <c r="AK1516" t="inlineStr"/>
      <c r="AL1516" t="inlineStr"/>
      <c r="AM1516" t="inlineStr"/>
      <c r="AN1516" t="inlineStr"/>
      <c r="AO1516" t="inlineStr">
        <is>
          <t>cmm4yuoil01mqcuqwng2j726b</t>
        </is>
      </c>
      <c r="AP1516" t="inlineStr">
        <is>
          <t>http://localhost:8787/api/admin/requirements/documents/cmm4yuoil01mqcuqwng2j726b/view</t>
        </is>
      </c>
      <c r="AQ1516">
        <f>HYPERLÄNK("http://localhost:8787/api/admin/requirements/documents/cmm4yuoil01mqcuqwng2j726b/view";"Öppna PDF")</f>
        <v/>
      </c>
      <c r="AR1516">
        <f>HYPERLINK("http://localhost:8787/api/admin/requirements/documents/cmm4yuoil01mqcuqwng2j726b/view","Open PDF")</f>
        <v/>
      </c>
      <c r="AS1516" t="inlineStr">
        <is>
          <t>cmm55w57p0004cuisfrtpqly8</t>
        </is>
      </c>
      <c r="AT1516" t="inlineStr">
        <is>
          <t>cmm4xvu980000cuh4vj0usz09</t>
        </is>
      </c>
      <c r="AU1516" t="inlineStr"/>
      <c r="AV1516" t="inlineStr">
        <is>
          <t>Kommun</t>
        </is>
      </c>
      <c r="AW1516" t="inlineStr"/>
      <c r="AX1516" t="inlineStr"/>
      <c r="AY1516" t="inlineStr">
        <is>
          <t>Beslut</t>
        </is>
      </c>
      <c r="AZ1516" t="inlineStr">
        <is>
          <t>2026-02-03</t>
        </is>
      </c>
      <c r="BA1516" t="inlineStr">
        <is>
          <t>Bilaga1placeringbetongkross_470350.pdf</t>
        </is>
      </c>
      <c r="BB1516" t="inlineStr">
        <is>
          <t>VB: Återvinning av avfall i anläggningsändamål, MIL.2025.932</t>
        </is>
      </c>
      <c r="BC1516" t="inlineStr">
        <is>
          <t>AUTO</t>
        </is>
      </c>
      <c r="BD1516" t="inlineStr"/>
      <c r="BE1516" t="inlineStr"/>
      <c r="BF1516" t="inlineStr">
        <is>
          <t>AUTO_GENERERAD. Bekrafta metadata mot kallfil.</t>
        </is>
      </c>
      <c r="BG1516">
        <f>HYPERLINK("C:\Users\jimmy\Desktop\Examens arbete\Kod\Ny mapp\remix_-copy-of-miljöbeslut.se-portal\Bilaga1placeringbetongkross_470350.pdf", "Öppna PDF")</f>
        <v/>
      </c>
    </row>
    <row r="1517">
      <c r="A1517" t="inlineStr">
        <is>
          <t>KRAV-AUTO-001516</t>
        </is>
      </c>
      <c r="B1517" t="inlineStr">
        <is>
          <t>ADMIN-INDEX-2026-02-27-00000000125C043F57453246863FE664CAFE6A3F0700950291EA24F0614FB6ACEDB12BF0E31D00000000010C0000950291EA24F0614FB6ACEDB12BF0E31D00002087AED50000</t>
        </is>
      </c>
      <c r="C1517" t="inlineStr">
        <is>
          <t>cmm4yuoid01mhcuqwnaglejdt</t>
        </is>
      </c>
      <c r="D1517" t="inlineStr">
        <is>
          <t>http://localhost:8787/api/admin/requirements/documents/cmm4yuoid01mhcuqwnaglejdt/view</t>
        </is>
      </c>
      <c r="E1517">
        <f>HYPERLÄNK("http://localhost:8787/api/admin/requirements/documents/cmm4yuoid01mhcuqwnaglejdt/view";"Öppna PDF")</f>
        <v/>
      </c>
      <c r="F1517">
        <f>HYPERLINK("http://localhost:8787/api/admin/requirements/documents/cmm4yuoid01mhcuqwnaglejdt/view","Open PDF")</f>
        <v/>
      </c>
      <c r="G1517" t="inlineStr">
        <is>
          <t>cmm55w57p0004cuisfrtpqly8</t>
        </is>
      </c>
      <c r="H1517" t="inlineStr">
        <is>
          <t>Beslutsvillkor</t>
        </is>
      </c>
      <c r="I1517" t="inlineStr">
        <is>
          <t>DriftEgenkontroll</t>
        </is>
      </c>
      <c r="J1517" t="inlineStr">
        <is>
          <t>Journalforing</t>
        </is>
      </c>
      <c r="K1517" t="inlineStr">
        <is>
          <t>Provtagningen gjordes med stor provtagningsskala (provets representativa volym) som ett inkrementellt samlingsprov för ca 20 m³ fyllningsjord från provgrop.</t>
        </is>
      </c>
      <c r="L1517" t="inlineStr">
        <is>
          <t>Provtagningen gjordes med stor provtagningsskala (provets representativa volym) som ett inkrementellt samlingsprov för ca 20 m³ fyllningsjord från provgrop.</t>
        </is>
      </c>
      <c r="M1517" t="inlineStr">
        <is>
          <t>SKA</t>
        </is>
      </c>
      <c r="N1517" t="inlineStr"/>
      <c r="O1517" t="inlineStr"/>
      <c r="P1517" t="inlineStr"/>
      <c r="Q1517" t="inlineStr"/>
      <c r="R1517" t="inlineStr">
        <is>
          <t>Lopande drift</t>
        </is>
      </c>
      <c r="S1517" t="inlineStr"/>
      <c r="T1517" t="inlineStr">
        <is>
          <t>559026</t>
        </is>
      </c>
      <c r="U1517" t="inlineStr"/>
      <c r="V1517" t="inlineStr"/>
      <c r="W1517" t="inlineStr">
        <is>
          <t>Nej</t>
        </is>
      </c>
      <c r="X1517" t="inlineStr">
        <is>
          <t>Nej</t>
        </is>
      </c>
      <c r="Y1517" t="inlineStr">
        <is>
          <t>Ja</t>
        </is>
      </c>
      <c r="Z1517" t="inlineStr">
        <is>
          <t>Nej</t>
        </is>
      </c>
      <c r="AA1517" t="n">
        <v>7</v>
      </c>
      <c r="AB1517" t="inlineStr">
        <is>
          <t>Egenkontrollrutiner</t>
        </is>
      </c>
      <c r="AC1517" t="inlineStr">
        <is>
          <t>Egenkontrollprogram</t>
        </is>
      </c>
      <c r="AD1517" t="inlineStr">
        <is>
          <t>Nej</t>
        </is>
      </c>
      <c r="AE1517" t="inlineStr">
        <is>
          <t>Nej</t>
        </is>
      </c>
      <c r="AF1517" t="inlineStr">
        <is>
          <t>Ej behandlad</t>
        </is>
      </c>
      <c r="AG1517" t="inlineStr">
        <is>
          <t>AUTO_GENERERAD. Verifiera citat mot kallfil.</t>
        </is>
      </c>
      <c r="AH1517" t="inlineStr">
        <is>
          <t>MEDIUM</t>
        </is>
      </c>
      <c r="AI1517" t="inlineStr">
        <is>
          <t>AUTO</t>
        </is>
      </c>
      <c r="AJ1517" t="inlineStr">
        <is>
          <t>Nej</t>
        </is>
      </c>
      <c r="AK1517" t="inlineStr"/>
      <c r="AL1517" t="inlineStr"/>
      <c r="AM1517" t="inlineStr"/>
      <c r="AN1517" t="inlineStr"/>
      <c r="AO1517" t="inlineStr">
        <is>
          <t>cmm4yuoil01mqcuqwng2j726b</t>
        </is>
      </c>
      <c r="AP1517" t="inlineStr">
        <is>
          <t>http://localhost:8787/api/admin/requirements/documents/cmm4yuoil01mqcuqwng2j726b/view</t>
        </is>
      </c>
      <c r="AQ1517">
        <f>HYPERLÄNK("http://localhost:8787/api/admin/requirements/documents/cmm4yuoil01mqcuqwng2j726b/view";"Öppna PDF")</f>
        <v/>
      </c>
      <c r="AR1517">
        <f>HYPERLINK("http://localhost:8787/api/admin/requirements/documents/cmm4yuoil01mqcuqwng2j726b/view","Open PDF")</f>
        <v/>
      </c>
      <c r="AS1517" t="inlineStr">
        <is>
          <t>cmm55w57p0004cuisfrtpqly8</t>
        </is>
      </c>
      <c r="AT1517" t="inlineStr">
        <is>
          <t>cmm4xvu980000cuh4vj0usz09</t>
        </is>
      </c>
      <c r="AU1517" t="inlineStr"/>
      <c r="AV1517" t="inlineStr">
        <is>
          <t>Kommun</t>
        </is>
      </c>
      <c r="AW1517" t="inlineStr"/>
      <c r="AX1517" t="inlineStr"/>
      <c r="AY1517" t="inlineStr">
        <is>
          <t>Beslut</t>
        </is>
      </c>
      <c r="AZ1517" t="inlineStr">
        <is>
          <t>2026-02-03</t>
        </is>
      </c>
      <c r="BA1517" t="inlineStr">
        <is>
          <t>Bilaga1placeringbetongkross_470350.pdf</t>
        </is>
      </c>
      <c r="BB1517" t="inlineStr">
        <is>
          <t>VB: Återvinning av avfall i anläggningsändamål, MIL.2025.932</t>
        </is>
      </c>
      <c r="BC1517" t="inlineStr">
        <is>
          <t>AUTO</t>
        </is>
      </c>
      <c r="BD1517" t="inlineStr"/>
      <c r="BE1517" t="inlineStr"/>
      <c r="BF1517" t="inlineStr">
        <is>
          <t>AUTO_GENERERAD. Bekrafta metadata mot kallfil.</t>
        </is>
      </c>
      <c r="BG1517">
        <f>HYPERLINK("C:\Users\jimmy\Desktop\Examens arbete\Kod\Ny mapp\remix_-copy-of-miljöbeslut.se-portal\Bilaga1placeringbetongkross_470350.pdf", "Öppna PDF")</f>
        <v/>
      </c>
    </row>
    <row r="1518">
      <c r="A1518" t="inlineStr">
        <is>
          <t>KRAV-AUTO-001517</t>
        </is>
      </c>
      <c r="B1518" t="inlineStr">
        <is>
          <t>ADMIN-INDEX-2026-02-27-00000000125C043F57453246863FE664CAFE6A3F0700950291EA24F0614FB6ACEDB12BF0E31D00000000010C0000950291EA24F0614FB6ACEDB12BF0E31D00002087AED60000</t>
        </is>
      </c>
      <c r="C1518" t="inlineStr">
        <is>
          <t>cmm4yuoi501mbcuqwp6ixqw8o</t>
        </is>
      </c>
      <c r="D1518" t="inlineStr">
        <is>
          <t>http://localhost:8787/api/admin/requirements/documents/cmm4yuoi501mbcuqwp6ixqw8o/view</t>
        </is>
      </c>
      <c r="E1518">
        <f>HYPERLÄNK("http://localhost:8787/api/admin/requirements/documents/cmm4yuoi501mbcuqwp6ixqw8o/view";"Öppna PDF")</f>
        <v/>
      </c>
      <c r="F1518">
        <f>HYPERLINK("http://localhost:8787/api/admin/requirements/documents/cmm4yuoi501mbcuqwp6ixqw8o/view","Open PDF")</f>
        <v/>
      </c>
      <c r="G1518" t="inlineStr">
        <is>
          <t>cmm55w57p0004cuisfrtpqly8</t>
        </is>
      </c>
      <c r="H1518" t="inlineStr">
        <is>
          <t>Beslutsvillkor</t>
        </is>
      </c>
      <c r="I1518" t="inlineStr">
        <is>
          <t>Riskhantering</t>
        </is>
      </c>
      <c r="J1518" t="inlineStr">
        <is>
          <t>Riskkontroll</t>
        </is>
      </c>
      <c r="K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18" t="inlineStr">
        <is>
          <t>BOR</t>
        </is>
      </c>
      <c r="N1518" t="inlineStr"/>
      <c r="O1518" t="inlineStr"/>
      <c r="P1518" t="inlineStr"/>
      <c r="Q1518" t="inlineStr"/>
      <c r="R1518" t="inlineStr">
        <is>
          <t>Vid risk for incident</t>
        </is>
      </c>
      <c r="S1518" t="inlineStr"/>
      <c r="T1518" t="inlineStr"/>
      <c r="U1518" t="inlineStr"/>
      <c r="V1518" t="inlineStr"/>
      <c r="W1518" t="inlineStr">
        <is>
          <t>Nej</t>
        </is>
      </c>
      <c r="X1518" t="inlineStr">
        <is>
          <t>Nej</t>
        </is>
      </c>
      <c r="Y1518" t="inlineStr">
        <is>
          <t>Ja</t>
        </is>
      </c>
      <c r="Z1518" t="inlineStr">
        <is>
          <t>Ja</t>
        </is>
      </c>
      <c r="AA1518" t="n">
        <v>8</v>
      </c>
      <c r="AB1518" t="inlineStr">
        <is>
          <t>Riskhantering</t>
        </is>
      </c>
      <c r="AC1518" t="inlineStr">
        <is>
          <t>Risk-PM</t>
        </is>
      </c>
      <c r="AD1518" t="inlineStr">
        <is>
          <t>Nej</t>
        </is>
      </c>
      <c r="AE1518" t="inlineStr">
        <is>
          <t>Nej</t>
        </is>
      </c>
      <c r="AF1518" t="inlineStr">
        <is>
          <t>Ej behandlad</t>
        </is>
      </c>
      <c r="AG1518" t="inlineStr">
        <is>
          <t>AUTO_GENERERAD. Verifiera citat mot kallfil.</t>
        </is>
      </c>
      <c r="AH1518" t="inlineStr">
        <is>
          <t>LOW</t>
        </is>
      </c>
      <c r="AI1518" t="inlineStr">
        <is>
          <t>AUTO</t>
        </is>
      </c>
      <c r="AJ1518" t="inlineStr">
        <is>
          <t>Nej</t>
        </is>
      </c>
      <c r="AK1518" t="inlineStr"/>
      <c r="AL1518" t="inlineStr"/>
      <c r="AM1518" t="inlineStr"/>
      <c r="AN1518" t="inlineStr"/>
      <c r="AO1518" t="inlineStr">
        <is>
          <t>cmm4yuoi501mbcuqwp6ixqw8o</t>
        </is>
      </c>
      <c r="AP1518" t="inlineStr">
        <is>
          <t>http://localhost:8787/api/admin/requirements/documents/cmm4yuoi501mbcuqwp6ixqw8o/view</t>
        </is>
      </c>
      <c r="AQ1518">
        <f>HYPERLÄNK("http://localhost:8787/api/admin/requirements/documents/cmm4yuoi501mbcuqwp6ixqw8o/view";"Öppna PDF")</f>
        <v/>
      </c>
      <c r="AR1518">
        <f>HYPERLINK("http://localhost:8787/api/admin/requirements/documents/cmm4yuoi501mbcuqwp6ixqw8o/view","Open PDF")</f>
        <v/>
      </c>
      <c r="AS1518" t="inlineStr">
        <is>
          <t>cmm55w57p0004cuisfrtpqly8</t>
        </is>
      </c>
      <c r="AT1518" t="inlineStr">
        <is>
          <t>cmm4xvu980000cuh4vj0usz09</t>
        </is>
      </c>
      <c r="AU1518" t="inlineStr"/>
      <c r="AV1518" t="inlineStr">
        <is>
          <t>Kommun</t>
        </is>
      </c>
      <c r="AW1518" t="inlineStr"/>
      <c r="AX1518" t="inlineStr"/>
      <c r="AY1518" t="inlineStr">
        <is>
          <t>Beslut</t>
        </is>
      </c>
      <c r="AZ1518" t="inlineStr">
        <is>
          <t>2026-02-03</t>
        </is>
      </c>
      <c r="BA1518" t="inlineStr">
        <is>
          <t>Bilaga1placeringbetongkross_470350.pdf</t>
        </is>
      </c>
      <c r="BB1518" t="inlineStr">
        <is>
          <t>VB: Återvinning av avfall i anläggningsändamål, MIL.2025.932</t>
        </is>
      </c>
      <c r="BC1518" t="inlineStr">
        <is>
          <t>AUTO</t>
        </is>
      </c>
      <c r="BD1518" t="inlineStr"/>
      <c r="BE1518" t="inlineStr"/>
      <c r="BF1518" t="inlineStr">
        <is>
          <t>AUTO_GENERERAD. Bekrafta metadata mot kallfil.</t>
        </is>
      </c>
      <c r="BG1518">
        <f>HYPERLINK("C:\Users\jimmy\Desktop\Examens arbete\Kod\Ny mapp\remix_-copy-of-miljöbeslut.se-portal\Bilaga1placeringbetongkross_470350.pdf", "Öppna PDF")</f>
        <v/>
      </c>
    </row>
    <row r="1519">
      <c r="A1519" t="inlineStr">
        <is>
          <t>KRAV-AUTO-001518</t>
        </is>
      </c>
      <c r="B1519" t="inlineStr">
        <is>
          <t>ADMIN-INDEX-2026-02-27-00000000125C043F57453246863FE664CAFE6A3F0700950291EA24F0614FB6ACEDB12BF0E31D00000000010C0000950291EA24F0614FB6ACEDB12BF0E31D00002087AED60000</t>
        </is>
      </c>
      <c r="C1519" t="inlineStr">
        <is>
          <t>cmm4yuoi201m8cuqwhbw7vce4</t>
        </is>
      </c>
      <c r="D1519" t="inlineStr">
        <is>
          <t>http://localhost:8787/api/admin/requirements/documents/cmm4yuoi201m8cuqwhbw7vce4/view</t>
        </is>
      </c>
      <c r="E1519">
        <f>HYPERLÄNK("http://localhost:8787/api/admin/requirements/documents/cmm4yuoi201m8cuqwhbw7vce4/view";"Öppna PDF")</f>
        <v/>
      </c>
      <c r="F1519">
        <f>HYPERLINK("http://localhost:8787/api/admin/requirements/documents/cmm4yuoi201m8cuqwhbw7vce4/view","Open PDF")</f>
        <v/>
      </c>
      <c r="G1519" t="inlineStr">
        <is>
          <t>cmm55w57p0004cuisfrtpqly8</t>
        </is>
      </c>
      <c r="H1519" t="inlineStr">
        <is>
          <t>Beslutsvillkor</t>
        </is>
      </c>
      <c r="I1519" t="inlineStr">
        <is>
          <t>Ytkonstruktion</t>
        </is>
      </c>
      <c r="J1519" t="inlineStr">
        <is>
          <t>Tat yta</t>
        </is>
      </c>
      <c r="K1519" t="inlineStr">
        <is>
          <t>Betongkrossen ska placeras under betongplatta samt slänts ut åt sidorna.</t>
        </is>
      </c>
      <c r="L1519" t="inlineStr">
        <is>
          <t>Betongkrossen ska placeras under betongplatta samt slänts ut åt sidorna.</t>
        </is>
      </c>
      <c r="M1519" t="inlineStr">
        <is>
          <t>SKA</t>
        </is>
      </c>
      <c r="N1519" t="inlineStr"/>
      <c r="O1519" t="inlineStr"/>
      <c r="P1519" t="inlineStr"/>
      <c r="Q1519" t="inlineStr"/>
      <c r="R1519" t="inlineStr">
        <is>
          <t>Vid mellanlagring av avfall</t>
        </is>
      </c>
      <c r="S1519" t="inlineStr"/>
      <c r="T1519" t="inlineStr">
        <is>
          <t>556050</t>
        </is>
      </c>
      <c r="U1519" t="inlineStr"/>
      <c r="V1519" t="inlineStr"/>
      <c r="W1519" t="inlineStr">
        <is>
          <t>Ja</t>
        </is>
      </c>
      <c r="X1519" t="inlineStr">
        <is>
          <t>Nej</t>
        </is>
      </c>
      <c r="Y1519" t="inlineStr">
        <is>
          <t>Nej</t>
        </is>
      </c>
      <c r="Z1519" t="inlineStr">
        <is>
          <t>Nej</t>
        </is>
      </c>
      <c r="AA1519" t="n">
        <v>5</v>
      </c>
      <c r="AB1519" t="inlineStr">
        <is>
          <t>Teknisk beskrivning av platta</t>
        </is>
      </c>
      <c r="AC1519" t="inlineStr">
        <is>
          <t>Teknisk ritning platta</t>
        </is>
      </c>
      <c r="AD1519" t="inlineStr">
        <is>
          <t>Nej</t>
        </is>
      </c>
      <c r="AE1519" t="inlineStr">
        <is>
          <t>Nej</t>
        </is>
      </c>
      <c r="AF1519" t="inlineStr">
        <is>
          <t>Ej behandlad</t>
        </is>
      </c>
      <c r="AG1519" t="inlineStr">
        <is>
          <t>AUTO_GENERERAD. Verifiera citat mot kallfil.</t>
        </is>
      </c>
      <c r="AH1519" t="inlineStr">
        <is>
          <t>MEDIUM</t>
        </is>
      </c>
      <c r="AI1519" t="inlineStr">
        <is>
          <t>AUTO</t>
        </is>
      </c>
      <c r="AJ1519" t="inlineStr">
        <is>
          <t>Nej</t>
        </is>
      </c>
      <c r="AK1519" t="inlineStr"/>
      <c r="AL1519" t="inlineStr"/>
      <c r="AM1519" t="inlineStr"/>
      <c r="AN1519" t="inlineStr"/>
      <c r="AO1519" t="inlineStr">
        <is>
          <t>cmm4yuoi501mbcuqwp6ixqw8o</t>
        </is>
      </c>
      <c r="AP1519" t="inlineStr">
        <is>
          <t>http://localhost:8787/api/admin/requirements/documents/cmm4yuoi501mbcuqwp6ixqw8o/view</t>
        </is>
      </c>
      <c r="AQ1519">
        <f>HYPERLÄNK("http://localhost:8787/api/admin/requirements/documents/cmm4yuoi501mbcuqwp6ixqw8o/view";"Öppna PDF")</f>
        <v/>
      </c>
      <c r="AR1519">
        <f>HYPERLINK("http://localhost:8787/api/admin/requirements/documents/cmm4yuoi501mbcuqwp6ixqw8o/view","Open PDF")</f>
        <v/>
      </c>
      <c r="AS1519" t="inlineStr">
        <is>
          <t>cmm55w57p0004cuisfrtpqly8</t>
        </is>
      </c>
      <c r="AT1519" t="inlineStr">
        <is>
          <t>cmm4xvu980000cuh4vj0usz09</t>
        </is>
      </c>
      <c r="AU1519" t="inlineStr"/>
      <c r="AV1519" t="inlineStr">
        <is>
          <t>Kommun</t>
        </is>
      </c>
      <c r="AW1519" t="inlineStr"/>
      <c r="AX1519" t="inlineStr"/>
      <c r="AY1519" t="inlineStr">
        <is>
          <t>Beslut</t>
        </is>
      </c>
      <c r="AZ1519" t="inlineStr">
        <is>
          <t>2026-02-03</t>
        </is>
      </c>
      <c r="BA1519" t="inlineStr">
        <is>
          <t>Bilaga1placeringbetongkross_470350.pdf</t>
        </is>
      </c>
      <c r="BB1519" t="inlineStr">
        <is>
          <t>VB: Återvinning av avfall i anläggningsändamål, MIL.2025.932</t>
        </is>
      </c>
      <c r="BC1519" t="inlineStr">
        <is>
          <t>AUTO</t>
        </is>
      </c>
      <c r="BD1519" t="inlineStr"/>
      <c r="BE1519" t="inlineStr"/>
      <c r="BF1519" t="inlineStr">
        <is>
          <t>AUTO_GENERERAD. Bekrafta metadata mot kallfil.</t>
        </is>
      </c>
      <c r="BG1519">
        <f>HYPERLINK("C:\Users\jimmy\Desktop\Examens arbete\Kod\Ny mapp\remix_-copy-of-miljöbeslut.se-portal\Bilaga1placeringbetongkross_470350.pdf", "Öppna PDF")</f>
        <v/>
      </c>
    </row>
    <row r="1520">
      <c r="A1520" t="inlineStr">
        <is>
          <t>KRAV-AUTO-001519</t>
        </is>
      </c>
      <c r="B1520" t="inlineStr">
        <is>
          <t>ADMIN-INDEX-2026-02-27-00000000125C043F57453246863FE664CAFE6A3F0700950291EA24F0614FB6ACEDB12BF0E31D00000000010C0000950291EA24F0614FB6ACEDB12BF0E31D00002087AED60000</t>
        </is>
      </c>
      <c r="C1520" t="inlineStr">
        <is>
          <t>cmm4yuoi201m8cuqwhbw7vce4</t>
        </is>
      </c>
      <c r="D1520" t="inlineStr">
        <is>
          <t>http://localhost:8787/api/admin/requirements/documents/cmm4yuoi201m8cuqwhbw7vce4/view</t>
        </is>
      </c>
      <c r="E1520">
        <f>HYPERLÄNK("http://localhost:8787/api/admin/requirements/documents/cmm4yuoi201m8cuqwhbw7vce4/view";"Öppna PDF")</f>
        <v/>
      </c>
      <c r="F1520">
        <f>HYPERLINK("http://localhost:8787/api/admin/requirements/documents/cmm4yuoi201m8cuqwhbw7vce4/view","Open PDF")</f>
        <v/>
      </c>
      <c r="G1520" t="inlineStr">
        <is>
          <t>cmm55w57p0004cuisfrtpqly8</t>
        </is>
      </c>
      <c r="H1520" t="inlineStr">
        <is>
          <t>Beslutsvillkor</t>
        </is>
      </c>
      <c r="I1520" t="inlineStr">
        <is>
          <t>LagringsvolymTid</t>
        </is>
      </c>
      <c r="J1520" t="inlineStr">
        <is>
          <t>Maxmangd</t>
        </is>
      </c>
      <c r="K1520" t="inlineStr">
        <is>
          <t>Exakta mängder betongkross ska enligt uppgift meddelas vid arbetets slut.</t>
        </is>
      </c>
      <c r="L1520" t="inlineStr">
        <is>
          <t>Exakta mängder betongkross ska enligt uppgift meddelas vid arbetets slut.</t>
        </is>
      </c>
      <c r="M1520" t="inlineStr">
        <is>
          <t>SKA</t>
        </is>
      </c>
      <c r="N1520" t="inlineStr"/>
      <c r="O1520" t="inlineStr"/>
      <c r="P1520" t="inlineStr"/>
      <c r="Q1520" t="inlineStr"/>
      <c r="R1520" t="inlineStr">
        <is>
          <t>Alltid</t>
        </is>
      </c>
      <c r="S1520" t="inlineStr"/>
      <c r="T1520" t="inlineStr">
        <is>
          <t>556050</t>
        </is>
      </c>
      <c r="U1520" t="inlineStr"/>
      <c r="V1520" t="inlineStr"/>
      <c r="W1520" t="inlineStr">
        <is>
          <t>Nej</t>
        </is>
      </c>
      <c r="X1520" t="inlineStr">
        <is>
          <t>Nej</t>
        </is>
      </c>
      <c r="Y1520" t="inlineStr">
        <is>
          <t>Nej</t>
        </is>
      </c>
      <c r="Z1520" t="inlineStr">
        <is>
          <t>Nej</t>
        </is>
      </c>
      <c r="AA1520" t="n">
        <v>4</v>
      </c>
      <c r="AB1520" t="inlineStr">
        <is>
          <t>Avfallsmangder och lagringstid</t>
        </is>
      </c>
      <c r="AC1520" t="inlineStr">
        <is>
          <t>Avfallsforteckning</t>
        </is>
      </c>
      <c r="AD1520" t="inlineStr">
        <is>
          <t>Nej</t>
        </is>
      </c>
      <c r="AE1520" t="inlineStr">
        <is>
          <t>Nej</t>
        </is>
      </c>
      <c r="AF1520" t="inlineStr">
        <is>
          <t>Ej behandlad</t>
        </is>
      </c>
      <c r="AG1520" t="inlineStr">
        <is>
          <t>AUTO_GENERERAD. Verifiera citat mot kallfil.</t>
        </is>
      </c>
      <c r="AH1520" t="inlineStr">
        <is>
          <t>MEDIUM</t>
        </is>
      </c>
      <c r="AI1520" t="inlineStr">
        <is>
          <t>AUTO</t>
        </is>
      </c>
      <c r="AJ1520" t="inlineStr">
        <is>
          <t>Nej</t>
        </is>
      </c>
      <c r="AK1520" t="inlineStr"/>
      <c r="AL1520" t="inlineStr"/>
      <c r="AM1520" t="inlineStr"/>
      <c r="AN1520" t="inlineStr"/>
      <c r="AO1520" t="inlineStr">
        <is>
          <t>cmm4yuoi501mbcuqwp6ixqw8o</t>
        </is>
      </c>
      <c r="AP1520" t="inlineStr">
        <is>
          <t>http://localhost:8787/api/admin/requirements/documents/cmm4yuoi501mbcuqwp6ixqw8o/view</t>
        </is>
      </c>
      <c r="AQ1520">
        <f>HYPERLÄNK("http://localhost:8787/api/admin/requirements/documents/cmm4yuoi501mbcuqwp6ixqw8o/view";"Öppna PDF")</f>
        <v/>
      </c>
      <c r="AR1520">
        <f>HYPERLINK("http://localhost:8787/api/admin/requirements/documents/cmm4yuoi501mbcuqwp6ixqw8o/view","Open PDF")</f>
        <v/>
      </c>
      <c r="AS1520" t="inlineStr">
        <is>
          <t>cmm55w57p0004cuisfrtpqly8</t>
        </is>
      </c>
      <c r="AT1520" t="inlineStr">
        <is>
          <t>cmm4xvu980000cuh4vj0usz09</t>
        </is>
      </c>
      <c r="AU1520" t="inlineStr"/>
      <c r="AV1520" t="inlineStr">
        <is>
          <t>Kommun</t>
        </is>
      </c>
      <c r="AW1520" t="inlineStr"/>
      <c r="AX1520" t="inlineStr"/>
      <c r="AY1520" t="inlineStr">
        <is>
          <t>Beslut</t>
        </is>
      </c>
      <c r="AZ1520" t="inlineStr">
        <is>
          <t>2026-02-03</t>
        </is>
      </c>
      <c r="BA1520" t="inlineStr">
        <is>
          <t>Bilaga1placeringbetongkross_470350.pdf</t>
        </is>
      </c>
      <c r="BB1520" t="inlineStr">
        <is>
          <t>VB: Återvinning av avfall i anläggningsändamål, MIL.2025.932</t>
        </is>
      </c>
      <c r="BC1520" t="inlineStr">
        <is>
          <t>AUTO</t>
        </is>
      </c>
      <c r="BD1520" t="inlineStr"/>
      <c r="BE1520" t="inlineStr"/>
      <c r="BF1520" t="inlineStr">
        <is>
          <t>AUTO_GENERERAD. Bekrafta metadata mot kallfil.</t>
        </is>
      </c>
      <c r="BG1520">
        <f>HYPERLINK("C:\Users\jimmy\Desktop\Examens arbete\Kod\Ny mapp\remix_-copy-of-miljöbeslut.se-portal\Bilaga1placeringbetongkross_470350.pdf", "Öppna PDF")</f>
        <v/>
      </c>
    </row>
    <row r="1521">
      <c r="A1521" t="inlineStr">
        <is>
          <t>KRAV-AUTO-001520</t>
        </is>
      </c>
      <c r="B1521" t="inlineStr">
        <is>
          <t>ADMIN-INDEX-2026-02-27-00000000125C043F57453246863FE664CAFE6A3F0700950291EA24F0614FB6ACEDB12BF0E31D00000000010C0000950291EA24F0614FB6ACEDB12BF0E31D00002087AED60000</t>
        </is>
      </c>
      <c r="C1521" t="inlineStr">
        <is>
          <t>cmm4yuoi201m8cuqwhbw7vce4</t>
        </is>
      </c>
      <c r="D1521" t="inlineStr">
        <is>
          <t>http://localhost:8787/api/admin/requirements/documents/cmm4yuoi201m8cuqwhbw7vce4/view</t>
        </is>
      </c>
      <c r="E1521">
        <f>HYPERLÄNK("http://localhost:8787/api/admin/requirements/documents/cmm4yuoi201m8cuqwhbw7vce4/view";"Öppna PDF")</f>
        <v/>
      </c>
      <c r="F1521">
        <f>HYPERLINK("http://localhost:8787/api/admin/requirements/documents/cmm4yuoi201m8cuqwhbw7vce4/view","Open PDF")</f>
        <v/>
      </c>
      <c r="G1521" t="inlineStr">
        <is>
          <t>cmm55w57p0004cuisfrtpqly8</t>
        </is>
      </c>
      <c r="H1521" t="inlineStr">
        <is>
          <t>Beslutsvillkor</t>
        </is>
      </c>
      <c r="I1521" t="inlineStr">
        <is>
          <t>LagringsvolymTid</t>
        </is>
      </c>
      <c r="J1521" t="inlineStr">
        <is>
          <t>Maxmangd</t>
        </is>
      </c>
      <c r="K1521" t="inlineStr">
        <is>
          <t>På platsen Skvadronen 9 ska den krossade betongen användas som fyllnadsmassor.</t>
        </is>
      </c>
      <c r="L1521" t="inlineStr">
        <is>
          <t>På platsen Skvadronen 9 ska den krossade betongen användas som fyllnadsmassor.</t>
        </is>
      </c>
      <c r="M1521" t="inlineStr">
        <is>
          <t>SKA</t>
        </is>
      </c>
      <c r="N1521" t="inlineStr"/>
      <c r="O1521" t="inlineStr"/>
      <c r="P1521" t="inlineStr"/>
      <c r="Q1521" t="inlineStr"/>
      <c r="R1521" t="inlineStr">
        <is>
          <t>Alltid</t>
        </is>
      </c>
      <c r="S1521" t="inlineStr"/>
      <c r="T1521" t="inlineStr">
        <is>
          <t>556050</t>
        </is>
      </c>
      <c r="U1521" t="inlineStr"/>
      <c r="V1521" t="inlineStr"/>
      <c r="W1521" t="inlineStr">
        <is>
          <t>Nej</t>
        </is>
      </c>
      <c r="X1521" t="inlineStr">
        <is>
          <t>Nej</t>
        </is>
      </c>
      <c r="Y1521" t="inlineStr">
        <is>
          <t>Nej</t>
        </is>
      </c>
      <c r="Z1521" t="inlineStr">
        <is>
          <t>Nej</t>
        </is>
      </c>
      <c r="AA1521" t="n">
        <v>4</v>
      </c>
      <c r="AB1521" t="inlineStr">
        <is>
          <t>Avfallsmangder och lagringstid</t>
        </is>
      </c>
      <c r="AC1521" t="inlineStr">
        <is>
          <t>Avfallsforteckning</t>
        </is>
      </c>
      <c r="AD1521" t="inlineStr">
        <is>
          <t>Nej</t>
        </is>
      </c>
      <c r="AE1521" t="inlineStr">
        <is>
          <t>Nej</t>
        </is>
      </c>
      <c r="AF1521" t="inlineStr">
        <is>
          <t>Ej behandlad</t>
        </is>
      </c>
      <c r="AG1521" t="inlineStr">
        <is>
          <t>AUTO_GENERERAD. Verifiera citat mot kallfil.</t>
        </is>
      </c>
      <c r="AH1521" t="inlineStr">
        <is>
          <t>MEDIUM</t>
        </is>
      </c>
      <c r="AI1521" t="inlineStr">
        <is>
          <t>AUTO</t>
        </is>
      </c>
      <c r="AJ1521" t="inlineStr">
        <is>
          <t>Nej</t>
        </is>
      </c>
      <c r="AK1521" t="inlineStr"/>
      <c r="AL1521" t="inlineStr"/>
      <c r="AM1521" t="inlineStr"/>
      <c r="AN1521" t="inlineStr"/>
      <c r="AO1521" t="inlineStr">
        <is>
          <t>cmm4yuoi501mbcuqwp6ixqw8o</t>
        </is>
      </c>
      <c r="AP1521" t="inlineStr">
        <is>
          <t>http://localhost:8787/api/admin/requirements/documents/cmm4yuoi501mbcuqwp6ixqw8o/view</t>
        </is>
      </c>
      <c r="AQ1521">
        <f>HYPERLÄNK("http://localhost:8787/api/admin/requirements/documents/cmm4yuoi501mbcuqwp6ixqw8o/view";"Öppna PDF")</f>
        <v/>
      </c>
      <c r="AR1521">
        <f>HYPERLINK("http://localhost:8787/api/admin/requirements/documents/cmm4yuoi501mbcuqwp6ixqw8o/view","Open PDF")</f>
        <v/>
      </c>
      <c r="AS1521" t="inlineStr">
        <is>
          <t>cmm55w57p0004cuisfrtpqly8</t>
        </is>
      </c>
      <c r="AT1521" t="inlineStr">
        <is>
          <t>cmm4xvu980000cuh4vj0usz09</t>
        </is>
      </c>
      <c r="AU1521" t="inlineStr"/>
      <c r="AV1521" t="inlineStr">
        <is>
          <t>Kommun</t>
        </is>
      </c>
      <c r="AW1521" t="inlineStr"/>
      <c r="AX1521" t="inlineStr"/>
      <c r="AY1521" t="inlineStr">
        <is>
          <t>Beslut</t>
        </is>
      </c>
      <c r="AZ1521" t="inlineStr">
        <is>
          <t>2026-02-03</t>
        </is>
      </c>
      <c r="BA1521" t="inlineStr">
        <is>
          <t>Bilaga1placeringbetongkross_470350.pdf</t>
        </is>
      </c>
      <c r="BB1521" t="inlineStr">
        <is>
          <t>VB: Återvinning av avfall i anläggningsändamål, MIL.2025.932</t>
        </is>
      </c>
      <c r="BC1521" t="inlineStr">
        <is>
          <t>AUTO</t>
        </is>
      </c>
      <c r="BD1521" t="inlineStr"/>
      <c r="BE1521" t="inlineStr"/>
      <c r="BF1521" t="inlineStr">
        <is>
          <t>AUTO_GENERERAD. Bekrafta metadata mot kallfil.</t>
        </is>
      </c>
      <c r="BG1521">
        <f>HYPERLINK("C:\Users\jimmy\Desktop\Examens arbete\Kod\Ny mapp\remix_-copy-of-miljöbeslut.se-portal\Bilaga1placeringbetongkross_470350.pdf", "Öppna PDF")</f>
        <v/>
      </c>
    </row>
    <row r="1522">
      <c r="A1522" t="inlineStr">
        <is>
          <t>KRAV-AUTO-001521</t>
        </is>
      </c>
      <c r="B1522" t="inlineStr">
        <is>
          <t>ADMIN-INDEX-2026-02-27-00000000125C043F57453246863FE664CAFE6A3F0700950291EA24F0614FB6ACEDB12BF0E31D00000000010C0000950291EA24F0614FB6ACEDB12BF0E31D00002087AED60000</t>
        </is>
      </c>
      <c r="C1522" t="inlineStr">
        <is>
          <t>cmm4yuohz01m5cuqwsibff6wi</t>
        </is>
      </c>
      <c r="D1522" t="inlineStr">
        <is>
          <t>http://localhost:8787/api/admin/requirements/documents/cmm4yuohz01m5cuqwsibff6wi/view</t>
        </is>
      </c>
      <c r="E1522">
        <f>HYPERLÄNK("http://localhost:8787/api/admin/requirements/documents/cmm4yuohz01m5cuqwsibff6wi/view";"Öppna PDF")</f>
        <v/>
      </c>
      <c r="F1522">
        <f>HYPERLINK("http://localhost:8787/api/admin/requirements/documents/cmm4yuohz01m5cuqwsibff6wi/view","Open PDF")</f>
        <v/>
      </c>
      <c r="G1522" t="inlineStr">
        <is>
          <t>cmm55w57p0004cuisfrtpqly8</t>
        </is>
      </c>
      <c r="H1522" t="inlineStr">
        <is>
          <t>Beslutsvillkor</t>
        </is>
      </c>
      <c r="I1522" t="inlineStr">
        <is>
          <t>DagvattenLakvatten</t>
        </is>
      </c>
      <c r="J1522" t="inlineStr">
        <is>
          <t>Uppsamling</t>
        </is>
      </c>
      <c r="K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22" t="inlineStr">
        <is>
          <t>SKA</t>
        </is>
      </c>
      <c r="N1522" t="inlineStr">
        <is>
          <t>Naturvardsverket</t>
        </is>
      </c>
      <c r="O1522" t="inlineStr"/>
      <c r="P1522" t="inlineStr"/>
      <c r="Q1522" t="inlineStr"/>
      <c r="R1522" t="inlineStr">
        <is>
          <t>Vid nederbord och avrinning</t>
        </is>
      </c>
      <c r="S1522" t="inlineStr"/>
      <c r="T1522" t="inlineStr">
        <is>
          <t>556050</t>
        </is>
      </c>
      <c r="U1522" t="inlineStr"/>
      <c r="V1522" t="inlineStr"/>
      <c r="W1522" t="inlineStr">
        <is>
          <t>Nej</t>
        </is>
      </c>
      <c r="X1522" t="inlineStr">
        <is>
          <t>Ja</t>
        </is>
      </c>
      <c r="Y1522" t="inlineStr">
        <is>
          <t>Ja</t>
        </is>
      </c>
      <c r="Z1522" t="inlineStr">
        <is>
          <t>Nej</t>
        </is>
      </c>
      <c r="AA1522" t="n">
        <v>6</v>
      </c>
      <c r="AB1522" t="inlineStr">
        <is>
          <t>Lakvattenhantering</t>
        </is>
      </c>
      <c r="AC1522" t="inlineStr">
        <is>
          <t>Flodesschema dagvatten-lakvatten</t>
        </is>
      </c>
      <c r="AD1522" t="inlineStr">
        <is>
          <t>Nej</t>
        </is>
      </c>
      <c r="AE1522" t="inlineStr">
        <is>
          <t>Nej</t>
        </is>
      </c>
      <c r="AF1522" t="inlineStr">
        <is>
          <t>Ej behandlad</t>
        </is>
      </c>
      <c r="AG1522" t="inlineStr">
        <is>
          <t>AUTO_GENERERAD. Verifiera citat mot kallfil.</t>
        </is>
      </c>
      <c r="AH1522" t="inlineStr">
        <is>
          <t>MEDIUM</t>
        </is>
      </c>
      <c r="AI1522" t="inlineStr">
        <is>
          <t>AUTO</t>
        </is>
      </c>
      <c r="AJ1522" t="inlineStr">
        <is>
          <t>Nej</t>
        </is>
      </c>
      <c r="AK1522" t="inlineStr"/>
      <c r="AL1522" t="inlineStr"/>
      <c r="AM1522" t="inlineStr"/>
      <c r="AN1522" t="inlineStr"/>
      <c r="AO1522" t="inlineStr">
        <is>
          <t>cmm4yuoi501mbcuqwp6ixqw8o</t>
        </is>
      </c>
      <c r="AP1522" t="inlineStr">
        <is>
          <t>http://localhost:8787/api/admin/requirements/documents/cmm4yuoi501mbcuqwp6ixqw8o/view</t>
        </is>
      </c>
      <c r="AQ1522">
        <f>HYPERLÄNK("http://localhost:8787/api/admin/requirements/documents/cmm4yuoi501mbcuqwp6ixqw8o/view";"Öppna PDF")</f>
        <v/>
      </c>
      <c r="AR1522">
        <f>HYPERLINK("http://localhost:8787/api/admin/requirements/documents/cmm4yuoi501mbcuqwp6ixqw8o/view","Open PDF")</f>
        <v/>
      </c>
      <c r="AS1522" t="inlineStr">
        <is>
          <t>cmm55w57p0004cuisfrtpqly8</t>
        </is>
      </c>
      <c r="AT1522" t="inlineStr">
        <is>
          <t>cmm4xvu980000cuh4vj0usz09</t>
        </is>
      </c>
      <c r="AU1522" t="inlineStr"/>
      <c r="AV1522" t="inlineStr">
        <is>
          <t>Kommun</t>
        </is>
      </c>
      <c r="AW1522" t="inlineStr"/>
      <c r="AX1522" t="inlineStr"/>
      <c r="AY1522" t="inlineStr">
        <is>
          <t>Beslut</t>
        </is>
      </c>
      <c r="AZ1522" t="inlineStr">
        <is>
          <t>2026-02-03</t>
        </is>
      </c>
      <c r="BA1522" t="inlineStr">
        <is>
          <t>Bilaga1placeringbetongkross_470350.pdf</t>
        </is>
      </c>
      <c r="BB1522" t="inlineStr">
        <is>
          <t>VB: Återvinning av avfall i anläggningsändamål, MIL.2025.932</t>
        </is>
      </c>
      <c r="BC1522" t="inlineStr">
        <is>
          <t>AUTO</t>
        </is>
      </c>
      <c r="BD1522" t="inlineStr"/>
      <c r="BE1522" t="inlineStr"/>
      <c r="BF1522" t="inlineStr">
        <is>
          <t>AUTO_GENERERAD. Bekrafta metadata mot kallfil.</t>
        </is>
      </c>
      <c r="BG1522">
        <f>HYPERLINK("C:\Users\jimmy\Desktop\Examens arbete\Kod\Ny mapp\remix_-copy-of-miljöbeslut.se-portal\Bilaga1placeringbetongkross_470350.pdf", "Öppna PDF")</f>
        <v/>
      </c>
    </row>
    <row r="1523">
      <c r="A1523" t="inlineStr">
        <is>
          <t>KRAV-AUTO-001522</t>
        </is>
      </c>
      <c r="B1523" t="inlineStr">
        <is>
          <t>ADMIN-INDEX-2026-02-27-00000000125C043F57453246863FE664CAFE6A3F0700950291EA24F0614FB6ACEDB12BF0E31D00000000010C0000950291EA24F0614FB6ACEDB12BF0E31D00002087AED60000</t>
        </is>
      </c>
      <c r="C1523" t="inlineStr">
        <is>
          <t>cmm4yuohz01m5cuqwsibff6wi</t>
        </is>
      </c>
      <c r="D1523" t="inlineStr">
        <is>
          <t>http://localhost:8787/api/admin/requirements/documents/cmm4yuohz01m5cuqwsibff6wi/view</t>
        </is>
      </c>
      <c r="E1523">
        <f>HYPERLÄNK("http://localhost:8787/api/admin/requirements/documents/cmm4yuohz01m5cuqwsibff6wi/view";"Öppna PDF")</f>
        <v/>
      </c>
      <c r="F1523">
        <f>HYPERLINK("http://localhost:8787/api/admin/requirements/documents/cmm4yuohz01m5cuqwsibff6wi/view","Open PDF")</f>
        <v/>
      </c>
      <c r="G1523" t="inlineStr">
        <is>
          <t>cmm55w57p0004cuisfrtpqly8</t>
        </is>
      </c>
      <c r="H1523" t="inlineStr">
        <is>
          <t>Beslutsvillkor</t>
        </is>
      </c>
      <c r="I1523" t="inlineStr">
        <is>
          <t>Ytkonstruktion</t>
        </is>
      </c>
      <c r="J1523" t="inlineStr">
        <is>
          <t>Tat yta</t>
        </is>
      </c>
      <c r="K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23" t="inlineStr">
        <is>
          <t>SKA</t>
        </is>
      </c>
      <c r="N1523" t="inlineStr"/>
      <c r="O1523" t="inlineStr"/>
      <c r="P1523" t="inlineStr"/>
      <c r="Q1523" t="inlineStr"/>
      <c r="R1523" t="inlineStr">
        <is>
          <t>Vid mellanlagring av avfall</t>
        </is>
      </c>
      <c r="S1523" t="inlineStr"/>
      <c r="T1523" t="inlineStr">
        <is>
          <t>556050</t>
        </is>
      </c>
      <c r="U1523" t="inlineStr"/>
      <c r="V1523" t="inlineStr"/>
      <c r="W1523" t="inlineStr">
        <is>
          <t>Ja</t>
        </is>
      </c>
      <c r="X1523" t="inlineStr">
        <is>
          <t>Nej</t>
        </is>
      </c>
      <c r="Y1523" t="inlineStr">
        <is>
          <t>Nej</t>
        </is>
      </c>
      <c r="Z1523" t="inlineStr">
        <is>
          <t>Nej</t>
        </is>
      </c>
      <c r="AA1523" t="n">
        <v>5</v>
      </c>
      <c r="AB1523" t="inlineStr">
        <is>
          <t>Teknisk beskrivning av platta</t>
        </is>
      </c>
      <c r="AC1523" t="inlineStr">
        <is>
          <t>Teknisk ritning platta</t>
        </is>
      </c>
      <c r="AD1523" t="inlineStr">
        <is>
          <t>Nej</t>
        </is>
      </c>
      <c r="AE1523" t="inlineStr">
        <is>
          <t>Nej</t>
        </is>
      </c>
      <c r="AF1523" t="inlineStr">
        <is>
          <t>Ej behandlad</t>
        </is>
      </c>
      <c r="AG1523" t="inlineStr">
        <is>
          <t>AUTO_GENERERAD. Verifiera citat mot kallfil.</t>
        </is>
      </c>
      <c r="AH1523" t="inlineStr">
        <is>
          <t>MEDIUM</t>
        </is>
      </c>
      <c r="AI1523" t="inlineStr">
        <is>
          <t>AUTO</t>
        </is>
      </c>
      <c r="AJ1523" t="inlineStr">
        <is>
          <t>Nej</t>
        </is>
      </c>
      <c r="AK1523" t="inlineStr"/>
      <c r="AL1523" t="inlineStr"/>
      <c r="AM1523" t="inlineStr"/>
      <c r="AN1523" t="inlineStr"/>
      <c r="AO1523" t="inlineStr">
        <is>
          <t>cmm4yuoi501mbcuqwp6ixqw8o</t>
        </is>
      </c>
      <c r="AP1523" t="inlineStr">
        <is>
          <t>http://localhost:8787/api/admin/requirements/documents/cmm4yuoi501mbcuqwp6ixqw8o/view</t>
        </is>
      </c>
      <c r="AQ1523">
        <f>HYPERLÄNK("http://localhost:8787/api/admin/requirements/documents/cmm4yuoi501mbcuqwp6ixqw8o/view";"Öppna PDF")</f>
        <v/>
      </c>
      <c r="AR1523">
        <f>HYPERLINK("http://localhost:8787/api/admin/requirements/documents/cmm4yuoi501mbcuqwp6ixqw8o/view","Open PDF")</f>
        <v/>
      </c>
      <c r="AS1523" t="inlineStr">
        <is>
          <t>cmm55w57p0004cuisfrtpqly8</t>
        </is>
      </c>
      <c r="AT1523" t="inlineStr">
        <is>
          <t>cmm4xvu980000cuh4vj0usz09</t>
        </is>
      </c>
      <c r="AU1523" t="inlineStr"/>
      <c r="AV1523" t="inlineStr">
        <is>
          <t>Kommun</t>
        </is>
      </c>
      <c r="AW1523" t="inlineStr"/>
      <c r="AX1523" t="inlineStr"/>
      <c r="AY1523" t="inlineStr">
        <is>
          <t>Beslut</t>
        </is>
      </c>
      <c r="AZ1523" t="inlineStr">
        <is>
          <t>2026-02-03</t>
        </is>
      </c>
      <c r="BA1523" t="inlineStr">
        <is>
          <t>Bilaga1placeringbetongkross_470350.pdf</t>
        </is>
      </c>
      <c r="BB1523" t="inlineStr">
        <is>
          <t>VB: Återvinning av avfall i anläggningsändamål, MIL.2025.932</t>
        </is>
      </c>
      <c r="BC1523" t="inlineStr">
        <is>
          <t>AUTO</t>
        </is>
      </c>
      <c r="BD1523" t="inlineStr"/>
      <c r="BE1523" t="inlineStr"/>
      <c r="BF1523" t="inlineStr">
        <is>
          <t>AUTO_GENERERAD. Bekrafta metadata mot kallfil.</t>
        </is>
      </c>
      <c r="BG1523">
        <f>HYPERLINK("C:\Users\jimmy\Desktop\Examens arbete\Kod\Ny mapp\remix_-copy-of-miljöbeslut.se-portal\Bilaga1placeringbetongkross_470350.pdf", "Öppna PDF")</f>
        <v/>
      </c>
    </row>
    <row r="1524">
      <c r="A1524" t="inlineStr">
        <is>
          <t>KRAV-AUTO-001523</t>
        </is>
      </c>
      <c r="B1524" t="inlineStr">
        <is>
          <t>ADMIN-INDEX-2026-02-27-00000000125C043F57453246863FE664CAFE6A3F0700950291EA24F0614FB6ACEDB12BF0E31D00000000010C0000950291EA24F0614FB6ACEDB12BF0E31D00002087AED60000</t>
        </is>
      </c>
      <c r="C1524" t="inlineStr">
        <is>
          <t>cmm4yuohz01m5cuqwsibff6wi</t>
        </is>
      </c>
      <c r="D1524" t="inlineStr">
        <is>
          <t>http://localhost:8787/api/admin/requirements/documents/cmm4yuohz01m5cuqwsibff6wi/view</t>
        </is>
      </c>
      <c r="E1524">
        <f>HYPERLÄNK("http://localhost:8787/api/admin/requirements/documents/cmm4yuohz01m5cuqwsibff6wi/view";"Öppna PDF")</f>
        <v/>
      </c>
      <c r="F1524">
        <f>HYPERLINK("http://localhost:8787/api/admin/requirements/documents/cmm4yuohz01m5cuqwsibff6wi/view","Open PDF")</f>
        <v/>
      </c>
      <c r="G1524" t="inlineStr">
        <is>
          <t>cmm55w57p0004cuisfrtpqly8</t>
        </is>
      </c>
      <c r="H1524" t="inlineStr">
        <is>
          <t>Beslutsvillkor</t>
        </is>
      </c>
      <c r="I1524" t="inlineStr">
        <is>
          <t>Riskhantering</t>
        </is>
      </c>
      <c r="J1524" t="inlineStr">
        <is>
          <t>Riskkontroll</t>
        </is>
      </c>
      <c r="K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24" t="inlineStr">
        <is>
          <t>SKA</t>
        </is>
      </c>
      <c r="N1524" t="inlineStr"/>
      <c r="O1524" t="inlineStr">
        <is>
          <t>2007-12-20</t>
        </is>
      </c>
      <c r="P1524" t="inlineStr"/>
      <c r="Q1524" t="inlineStr"/>
      <c r="R1524" t="inlineStr">
        <is>
          <t>Vid risk for incident</t>
        </is>
      </c>
      <c r="S1524" t="inlineStr"/>
      <c r="T1524" t="inlineStr">
        <is>
          <t>41 2007</t>
        </is>
      </c>
      <c r="U1524" t="inlineStr"/>
      <c r="V1524" t="inlineStr"/>
      <c r="W1524" t="inlineStr">
        <is>
          <t>Nej</t>
        </is>
      </c>
      <c r="X1524" t="inlineStr">
        <is>
          <t>Nej</t>
        </is>
      </c>
      <c r="Y1524" t="inlineStr">
        <is>
          <t>Ja</t>
        </is>
      </c>
      <c r="Z1524" t="inlineStr">
        <is>
          <t>Ja</t>
        </is>
      </c>
      <c r="AA1524" t="n">
        <v>8</v>
      </c>
      <c r="AB1524" t="inlineStr">
        <is>
          <t>Riskhantering</t>
        </is>
      </c>
      <c r="AC1524" t="inlineStr">
        <is>
          <t>Risk-PM</t>
        </is>
      </c>
      <c r="AD1524" t="inlineStr">
        <is>
          <t>Nej</t>
        </is>
      </c>
      <c r="AE1524" t="inlineStr">
        <is>
          <t>Nej</t>
        </is>
      </c>
      <c r="AF1524" t="inlineStr">
        <is>
          <t>Ej behandlad</t>
        </is>
      </c>
      <c r="AG1524" t="inlineStr">
        <is>
          <t>AUTO_GENERERAD. Verifiera citat mot kallfil.</t>
        </is>
      </c>
      <c r="AH1524" t="inlineStr">
        <is>
          <t>MEDIUM</t>
        </is>
      </c>
      <c r="AI1524" t="inlineStr">
        <is>
          <t>AUTO</t>
        </is>
      </c>
      <c r="AJ1524" t="inlineStr">
        <is>
          <t>Nej</t>
        </is>
      </c>
      <c r="AK1524" t="inlineStr"/>
      <c r="AL1524" t="inlineStr"/>
      <c r="AM1524" t="inlineStr"/>
      <c r="AN1524" t="inlineStr"/>
      <c r="AO1524" t="inlineStr">
        <is>
          <t>cmm4yuoi501mbcuqwp6ixqw8o</t>
        </is>
      </c>
      <c r="AP1524" t="inlineStr">
        <is>
          <t>http://localhost:8787/api/admin/requirements/documents/cmm4yuoi501mbcuqwp6ixqw8o/view</t>
        </is>
      </c>
      <c r="AQ1524">
        <f>HYPERLÄNK("http://localhost:8787/api/admin/requirements/documents/cmm4yuoi501mbcuqwp6ixqw8o/view";"Öppna PDF")</f>
        <v/>
      </c>
      <c r="AR1524">
        <f>HYPERLINK("http://localhost:8787/api/admin/requirements/documents/cmm4yuoi501mbcuqwp6ixqw8o/view","Open PDF")</f>
        <v/>
      </c>
      <c r="AS1524" t="inlineStr">
        <is>
          <t>cmm55w57p0004cuisfrtpqly8</t>
        </is>
      </c>
      <c r="AT1524" t="inlineStr">
        <is>
          <t>cmm4xvu980000cuh4vj0usz09</t>
        </is>
      </c>
      <c r="AU1524" t="inlineStr"/>
      <c r="AV1524" t="inlineStr">
        <is>
          <t>Kommun</t>
        </is>
      </c>
      <c r="AW1524" t="inlineStr"/>
      <c r="AX1524" t="inlineStr"/>
      <c r="AY1524" t="inlineStr">
        <is>
          <t>Beslut</t>
        </is>
      </c>
      <c r="AZ1524" t="inlineStr">
        <is>
          <t>2026-02-03</t>
        </is>
      </c>
      <c r="BA1524" t="inlineStr">
        <is>
          <t>Bilaga1placeringbetongkross_470350.pdf</t>
        </is>
      </c>
      <c r="BB1524" t="inlineStr">
        <is>
          <t>VB: Återvinning av avfall i anläggningsändamål, MIL.2025.932</t>
        </is>
      </c>
      <c r="BC1524" t="inlineStr">
        <is>
          <t>AUTO</t>
        </is>
      </c>
      <c r="BD1524" t="inlineStr"/>
      <c r="BE1524" t="inlineStr"/>
      <c r="BF1524" t="inlineStr">
        <is>
          <t>AUTO_GENERERAD. Bekrafta metadata mot kallfil.</t>
        </is>
      </c>
      <c r="BG1524">
        <f>HYPERLINK("C:\Users\jimmy\Desktop\Examens arbete\Kod\Ny mapp\remix_-copy-of-miljöbeslut.se-portal\Bilaga1placeringbetongkross_470350.pdf", "Öppna PDF")</f>
        <v/>
      </c>
    </row>
    <row r="1525">
      <c r="A1525" t="inlineStr">
        <is>
          <t>KRAV-AUTO-001524</t>
        </is>
      </c>
      <c r="B1525" t="inlineStr">
        <is>
          <t>ADMIN-INDEX-2026-02-27-00000000125C043F57453246863FE664CAFE6A3F0700950291EA24F0614FB6ACEDB12BF0E31D00000000010C0000950291EA24F0614FB6ACEDB12BF0E31D00002087AED60000</t>
        </is>
      </c>
      <c r="C1525" t="inlineStr">
        <is>
          <t>cmm4yuohx01m2cuqwmcdt8xb4</t>
        </is>
      </c>
      <c r="D1525" t="inlineStr">
        <is>
          <t>http://localhost:8787/api/admin/requirements/documents/cmm4yuohx01m2cuqwmcdt8xb4/view</t>
        </is>
      </c>
      <c r="E1525">
        <f>HYPERLÄNK("http://localhost:8787/api/admin/requirements/documents/cmm4yuohx01m2cuqwmcdt8xb4/view";"Öppna PDF")</f>
        <v/>
      </c>
      <c r="F1525">
        <f>HYPERLINK("http://localhost:8787/api/admin/requirements/documents/cmm4yuohx01m2cuqwmcdt8xb4/view","Open PDF")</f>
        <v/>
      </c>
      <c r="G1525" t="inlineStr">
        <is>
          <t>cmm55w57p0004cuisfrtpqly8</t>
        </is>
      </c>
      <c r="H1525" t="inlineStr">
        <is>
          <t>Beslutsvillkor</t>
        </is>
      </c>
      <c r="I1525" t="inlineStr">
        <is>
          <t>DriftEgenkontroll</t>
        </is>
      </c>
      <c r="J1525" t="inlineStr">
        <is>
          <t>Journalforing</t>
        </is>
      </c>
      <c r="K1525" t="inlineStr">
        <is>
          <t>Proverna togs med geoteknisk borrbandvagn och jordskruv (liten provtagningskala och stickprov av olika jordarter).</t>
        </is>
      </c>
      <c r="L1525" t="inlineStr">
        <is>
          <t>Proverna togs med geoteknisk borrbandvagn och jordskruv (liten provtagningskala och stickprov av olika jordarter).</t>
        </is>
      </c>
      <c r="M1525" t="inlineStr">
        <is>
          <t>SKA</t>
        </is>
      </c>
      <c r="N1525" t="inlineStr"/>
      <c r="O1525" t="inlineStr"/>
      <c r="P1525" t="inlineStr"/>
      <c r="Q1525" t="inlineStr"/>
      <c r="R1525" t="inlineStr">
        <is>
          <t>Lopande drift</t>
        </is>
      </c>
      <c r="S1525" t="inlineStr"/>
      <c r="T1525" t="inlineStr">
        <is>
          <t>559026</t>
        </is>
      </c>
      <c r="U1525" t="inlineStr"/>
      <c r="V1525" t="inlineStr"/>
      <c r="W1525" t="inlineStr">
        <is>
          <t>Nej</t>
        </is>
      </c>
      <c r="X1525" t="inlineStr">
        <is>
          <t>Nej</t>
        </is>
      </c>
      <c r="Y1525" t="inlineStr">
        <is>
          <t>Ja</t>
        </is>
      </c>
      <c r="Z1525" t="inlineStr">
        <is>
          <t>Nej</t>
        </is>
      </c>
      <c r="AA1525" t="n">
        <v>7</v>
      </c>
      <c r="AB1525" t="inlineStr">
        <is>
          <t>Egenkontrollrutiner</t>
        </is>
      </c>
      <c r="AC1525" t="inlineStr">
        <is>
          <t>Egenkontrollprogram</t>
        </is>
      </c>
      <c r="AD1525" t="inlineStr">
        <is>
          <t>Nej</t>
        </is>
      </c>
      <c r="AE1525" t="inlineStr">
        <is>
          <t>Nej</t>
        </is>
      </c>
      <c r="AF1525" t="inlineStr">
        <is>
          <t>Ej behandlad</t>
        </is>
      </c>
      <c r="AG1525" t="inlineStr">
        <is>
          <t>AUTO_GENERERAD. Verifiera citat mot kallfil.</t>
        </is>
      </c>
      <c r="AH1525" t="inlineStr">
        <is>
          <t>MEDIUM</t>
        </is>
      </c>
      <c r="AI1525" t="inlineStr">
        <is>
          <t>AUTO</t>
        </is>
      </c>
      <c r="AJ1525" t="inlineStr">
        <is>
          <t>Nej</t>
        </is>
      </c>
      <c r="AK1525" t="inlineStr"/>
      <c r="AL1525" t="inlineStr"/>
      <c r="AM1525" t="inlineStr"/>
      <c r="AN1525" t="inlineStr"/>
      <c r="AO1525" t="inlineStr">
        <is>
          <t>cmm4yuoi501mbcuqwp6ixqw8o</t>
        </is>
      </c>
      <c r="AP1525" t="inlineStr">
        <is>
          <t>http://localhost:8787/api/admin/requirements/documents/cmm4yuoi501mbcuqwp6ixqw8o/view</t>
        </is>
      </c>
      <c r="AQ1525">
        <f>HYPERLÄNK("http://localhost:8787/api/admin/requirements/documents/cmm4yuoi501mbcuqwp6ixqw8o/view";"Öppna PDF")</f>
        <v/>
      </c>
      <c r="AR1525">
        <f>HYPERLINK("http://localhost:8787/api/admin/requirements/documents/cmm4yuoi501mbcuqwp6ixqw8o/view","Open PDF")</f>
        <v/>
      </c>
      <c r="AS1525" t="inlineStr">
        <is>
          <t>cmm55w57p0004cuisfrtpqly8</t>
        </is>
      </c>
      <c r="AT1525" t="inlineStr">
        <is>
          <t>cmm4xvu980000cuh4vj0usz09</t>
        </is>
      </c>
      <c r="AU1525" t="inlineStr"/>
      <c r="AV1525" t="inlineStr">
        <is>
          <t>Kommun</t>
        </is>
      </c>
      <c r="AW1525" t="inlineStr"/>
      <c r="AX1525" t="inlineStr"/>
      <c r="AY1525" t="inlineStr">
        <is>
          <t>Beslut</t>
        </is>
      </c>
      <c r="AZ1525" t="inlineStr">
        <is>
          <t>2026-02-03</t>
        </is>
      </c>
      <c r="BA1525" t="inlineStr">
        <is>
          <t>Bilaga1placeringbetongkross_470350.pdf</t>
        </is>
      </c>
      <c r="BB1525" t="inlineStr">
        <is>
          <t>VB: Återvinning av avfall i anläggningsändamål, MIL.2025.932</t>
        </is>
      </c>
      <c r="BC1525" t="inlineStr">
        <is>
          <t>AUTO</t>
        </is>
      </c>
      <c r="BD1525" t="inlineStr"/>
      <c r="BE1525" t="inlineStr"/>
      <c r="BF1525" t="inlineStr">
        <is>
          <t>AUTO_GENERERAD. Bekrafta metadata mot kallfil.</t>
        </is>
      </c>
      <c r="BG1525">
        <f>HYPERLINK("C:\Users\jimmy\Desktop\Examens arbete\Kod\Ny mapp\remix_-copy-of-miljöbeslut.se-portal\Bilaga1placeringbetongkross_470350.pdf", "Öppna PDF")</f>
        <v/>
      </c>
    </row>
    <row r="1526">
      <c r="A1526" t="inlineStr">
        <is>
          <t>KRAV-AUTO-001525</t>
        </is>
      </c>
      <c r="B1526" t="inlineStr">
        <is>
          <t>ADMIN-INDEX-2026-02-27-00000000125C043F57453246863FE664CAFE6A3F0700950291EA24F0614FB6ACEDB12BF0E31D00000000010C0000950291EA24F0614FB6ACEDB12BF0E31D00002087AED60000</t>
        </is>
      </c>
      <c r="C1526" t="inlineStr">
        <is>
          <t>cmm4yuohx01m2cuqwmcdt8xb4</t>
        </is>
      </c>
      <c r="D1526" t="inlineStr">
        <is>
          <t>http://localhost:8787/api/admin/requirements/documents/cmm4yuohx01m2cuqwmcdt8xb4/view</t>
        </is>
      </c>
      <c r="E1526">
        <f>HYPERLÄNK("http://localhost:8787/api/admin/requirements/documents/cmm4yuohx01m2cuqwmcdt8xb4/view";"Öppna PDF")</f>
        <v/>
      </c>
      <c r="F1526">
        <f>HYPERLINK("http://localhost:8787/api/admin/requirements/documents/cmm4yuohx01m2cuqwmcdt8xb4/view","Open PDF")</f>
        <v/>
      </c>
      <c r="G1526" t="inlineStr">
        <is>
          <t>cmm55w57p0004cuisfrtpqly8</t>
        </is>
      </c>
      <c r="H1526" t="inlineStr">
        <is>
          <t>Beslutsvillkor</t>
        </is>
      </c>
      <c r="I1526" t="inlineStr">
        <is>
          <t>DagvattenLakvatten</t>
        </is>
      </c>
      <c r="J1526" t="inlineStr">
        <is>
          <t>Uppsamling</t>
        </is>
      </c>
      <c r="K1526" t="inlineStr">
        <is>
          <t>Ytor större än 400 m² med högre halter än KM bör bedömas inom bostadsmark och schaktas ur om riskerna bedöms stora (bör göras mot platsspecifikt KM-riktvärde och en skattning av medelhalten av föroreningar inom ytan).</t>
        </is>
      </c>
      <c r="L1526" t="inlineStr">
        <is>
          <t>Ytor större än 400 m² med högre halter än KM bör bedömas inom bostadsmark och schaktas ur om riskerna bedöms stora (bör göras mot platsspecifikt KM-riktvärde och en skattning av medelhalten av föroreningar inom ytan).</t>
        </is>
      </c>
      <c r="M1526" t="inlineStr">
        <is>
          <t>SKA</t>
        </is>
      </c>
      <c r="N1526" t="inlineStr"/>
      <c r="O1526" t="inlineStr"/>
      <c r="P1526" t="inlineStr"/>
      <c r="Q1526" t="inlineStr"/>
      <c r="R1526" t="inlineStr">
        <is>
          <t>Vid nederbord och avrinning</t>
        </is>
      </c>
      <c r="S1526" t="inlineStr"/>
      <c r="T1526" t="inlineStr">
        <is>
          <t>559026</t>
        </is>
      </c>
      <c r="U1526" t="inlineStr"/>
      <c r="V1526" t="inlineStr"/>
      <c r="W1526" t="inlineStr">
        <is>
          <t>Nej</t>
        </is>
      </c>
      <c r="X1526" t="inlineStr">
        <is>
          <t>Ja</t>
        </is>
      </c>
      <c r="Y1526" t="inlineStr">
        <is>
          <t>Ja</t>
        </is>
      </c>
      <c r="Z1526" t="inlineStr">
        <is>
          <t>Nej</t>
        </is>
      </c>
      <c r="AA1526" t="n">
        <v>6</v>
      </c>
      <c r="AB1526" t="inlineStr">
        <is>
          <t>Lakvattenhantering</t>
        </is>
      </c>
      <c r="AC1526" t="inlineStr">
        <is>
          <t>Flodesschema dagvatten-lakvatten</t>
        </is>
      </c>
      <c r="AD1526" t="inlineStr">
        <is>
          <t>Nej</t>
        </is>
      </c>
      <c r="AE1526" t="inlineStr">
        <is>
          <t>Nej</t>
        </is>
      </c>
      <c r="AF1526" t="inlineStr">
        <is>
          <t>Ej behandlad</t>
        </is>
      </c>
      <c r="AG1526" t="inlineStr">
        <is>
          <t>AUTO_GENERERAD. Verifiera citat mot kallfil.</t>
        </is>
      </c>
      <c r="AH1526" t="inlineStr">
        <is>
          <t>MEDIUM</t>
        </is>
      </c>
      <c r="AI1526" t="inlineStr">
        <is>
          <t>AUTO</t>
        </is>
      </c>
      <c r="AJ1526" t="inlineStr">
        <is>
          <t>Nej</t>
        </is>
      </c>
      <c r="AK1526" t="inlineStr"/>
      <c r="AL1526" t="inlineStr"/>
      <c r="AM1526" t="inlineStr"/>
      <c r="AN1526" t="inlineStr"/>
      <c r="AO1526" t="inlineStr">
        <is>
          <t>cmm4yuoi501mbcuqwp6ixqw8o</t>
        </is>
      </c>
      <c r="AP1526" t="inlineStr">
        <is>
          <t>http://localhost:8787/api/admin/requirements/documents/cmm4yuoi501mbcuqwp6ixqw8o/view</t>
        </is>
      </c>
      <c r="AQ1526">
        <f>HYPERLÄNK("http://localhost:8787/api/admin/requirements/documents/cmm4yuoi501mbcuqwp6ixqw8o/view";"Öppna PDF")</f>
        <v/>
      </c>
      <c r="AR1526">
        <f>HYPERLINK("http://localhost:8787/api/admin/requirements/documents/cmm4yuoi501mbcuqwp6ixqw8o/view","Open PDF")</f>
        <v/>
      </c>
      <c r="AS1526" t="inlineStr">
        <is>
          <t>cmm55w57p0004cuisfrtpqly8</t>
        </is>
      </c>
      <c r="AT1526" t="inlineStr">
        <is>
          <t>cmm4xvu980000cuh4vj0usz09</t>
        </is>
      </c>
      <c r="AU1526" t="inlineStr"/>
      <c r="AV1526" t="inlineStr">
        <is>
          <t>Kommun</t>
        </is>
      </c>
      <c r="AW1526" t="inlineStr"/>
      <c r="AX1526" t="inlineStr"/>
      <c r="AY1526" t="inlineStr">
        <is>
          <t>Beslut</t>
        </is>
      </c>
      <c r="AZ1526" t="inlineStr">
        <is>
          <t>2026-02-03</t>
        </is>
      </c>
      <c r="BA1526" t="inlineStr">
        <is>
          <t>Bilaga1placeringbetongkross_470350.pdf</t>
        </is>
      </c>
      <c r="BB1526" t="inlineStr">
        <is>
          <t>VB: Återvinning av avfall i anläggningsändamål, MIL.2025.932</t>
        </is>
      </c>
      <c r="BC1526" t="inlineStr">
        <is>
          <t>AUTO</t>
        </is>
      </c>
      <c r="BD1526" t="inlineStr"/>
      <c r="BE1526" t="inlineStr"/>
      <c r="BF1526" t="inlineStr">
        <is>
          <t>AUTO_GENERERAD. Bekrafta metadata mot kallfil.</t>
        </is>
      </c>
      <c r="BG1526">
        <f>HYPERLINK("C:\Users\jimmy\Desktop\Examens arbete\Kod\Ny mapp\remix_-copy-of-miljöbeslut.se-portal\Bilaga1placeringbetongkross_470350.pdf", "Öppna PDF")</f>
        <v/>
      </c>
    </row>
    <row r="1527">
      <c r="A1527" t="inlineStr">
        <is>
          <t>KRAV-AUTO-001526</t>
        </is>
      </c>
      <c r="B1527" t="inlineStr">
        <is>
          <t>ADMIN-INDEX-2026-02-27-00000000125C043F57453246863FE664CAFE6A3F0700950291EA24F0614FB6ACEDB12BF0E31D00000000010C0000950291EA24F0614FB6ACEDB12BF0E31D00002087AED60000</t>
        </is>
      </c>
      <c r="C1527" t="inlineStr">
        <is>
          <t>cmm4yuohx01m2cuqwmcdt8xb4</t>
        </is>
      </c>
      <c r="D1527" t="inlineStr">
        <is>
          <t>http://localhost:8787/api/admin/requirements/documents/cmm4yuohx01m2cuqwmcdt8xb4/view</t>
        </is>
      </c>
      <c r="E1527">
        <f>HYPERLÄNK("http://localhost:8787/api/admin/requirements/documents/cmm4yuohx01m2cuqwmcdt8xb4/view";"Öppna PDF")</f>
        <v/>
      </c>
      <c r="F1527">
        <f>HYPERLINK("http://localhost:8787/api/admin/requirements/documents/cmm4yuohx01m2cuqwmcdt8xb4/view","Open PDF")</f>
        <v/>
      </c>
      <c r="G1527" t="inlineStr">
        <is>
          <t>cmm55w57p0004cuisfrtpqly8</t>
        </is>
      </c>
      <c r="H1527" t="inlineStr">
        <is>
          <t>Beslutsvillkor</t>
        </is>
      </c>
      <c r="I1527" t="inlineStr">
        <is>
          <t>DriftEgenkontroll</t>
        </is>
      </c>
      <c r="J1527" t="inlineStr">
        <is>
          <t>Journalforing</t>
        </is>
      </c>
      <c r="K1527" t="inlineStr">
        <is>
          <t>Provtagningen gjordes med stor provtagningsskala (provets representativa volym) som ett inkrementellt samlingsprov för ca 20 m³ fyllningsjord från provgrop.</t>
        </is>
      </c>
      <c r="L1527" t="inlineStr">
        <is>
          <t>Provtagningen gjordes med stor provtagningsskala (provets representativa volym) som ett inkrementellt samlingsprov för ca 20 m³ fyllningsjord från provgrop.</t>
        </is>
      </c>
      <c r="M1527" t="inlineStr">
        <is>
          <t>SKA</t>
        </is>
      </c>
      <c r="N1527" t="inlineStr"/>
      <c r="O1527" t="inlineStr"/>
      <c r="P1527" t="inlineStr"/>
      <c r="Q1527" t="inlineStr"/>
      <c r="R1527" t="inlineStr">
        <is>
          <t>Lopande drift</t>
        </is>
      </c>
      <c r="S1527" t="inlineStr"/>
      <c r="T1527" t="inlineStr">
        <is>
          <t>559026</t>
        </is>
      </c>
      <c r="U1527" t="inlineStr"/>
      <c r="V1527" t="inlineStr"/>
      <c r="W1527" t="inlineStr">
        <is>
          <t>Nej</t>
        </is>
      </c>
      <c r="X1527" t="inlineStr">
        <is>
          <t>Nej</t>
        </is>
      </c>
      <c r="Y1527" t="inlineStr">
        <is>
          <t>Ja</t>
        </is>
      </c>
      <c r="Z1527" t="inlineStr">
        <is>
          <t>Nej</t>
        </is>
      </c>
      <c r="AA1527" t="n">
        <v>7</v>
      </c>
      <c r="AB1527" t="inlineStr">
        <is>
          <t>Egenkontrollrutiner</t>
        </is>
      </c>
      <c r="AC1527" t="inlineStr">
        <is>
          <t>Egenkontrollprogram</t>
        </is>
      </c>
      <c r="AD1527" t="inlineStr">
        <is>
          <t>Nej</t>
        </is>
      </c>
      <c r="AE1527" t="inlineStr">
        <is>
          <t>Nej</t>
        </is>
      </c>
      <c r="AF1527" t="inlineStr">
        <is>
          <t>Ej behandlad</t>
        </is>
      </c>
      <c r="AG1527" t="inlineStr">
        <is>
          <t>AUTO_GENERERAD. Verifiera citat mot kallfil.</t>
        </is>
      </c>
      <c r="AH1527" t="inlineStr">
        <is>
          <t>MEDIUM</t>
        </is>
      </c>
      <c r="AI1527" t="inlineStr">
        <is>
          <t>AUTO</t>
        </is>
      </c>
      <c r="AJ1527" t="inlineStr">
        <is>
          <t>Nej</t>
        </is>
      </c>
      <c r="AK1527" t="inlineStr"/>
      <c r="AL1527" t="inlineStr"/>
      <c r="AM1527" t="inlineStr"/>
      <c r="AN1527" t="inlineStr"/>
      <c r="AO1527" t="inlineStr">
        <is>
          <t>cmm4yuoi501mbcuqwp6ixqw8o</t>
        </is>
      </c>
      <c r="AP1527" t="inlineStr">
        <is>
          <t>http://localhost:8787/api/admin/requirements/documents/cmm4yuoi501mbcuqwp6ixqw8o/view</t>
        </is>
      </c>
      <c r="AQ1527">
        <f>HYPERLÄNK("http://localhost:8787/api/admin/requirements/documents/cmm4yuoi501mbcuqwp6ixqw8o/view";"Öppna PDF")</f>
        <v/>
      </c>
      <c r="AR1527">
        <f>HYPERLINK("http://localhost:8787/api/admin/requirements/documents/cmm4yuoi501mbcuqwp6ixqw8o/view","Open PDF")</f>
        <v/>
      </c>
      <c r="AS1527" t="inlineStr">
        <is>
          <t>cmm55w57p0004cuisfrtpqly8</t>
        </is>
      </c>
      <c r="AT1527" t="inlineStr">
        <is>
          <t>cmm4xvu980000cuh4vj0usz09</t>
        </is>
      </c>
      <c r="AU1527" t="inlineStr"/>
      <c r="AV1527" t="inlineStr">
        <is>
          <t>Kommun</t>
        </is>
      </c>
      <c r="AW1527" t="inlineStr"/>
      <c r="AX1527" t="inlineStr"/>
      <c r="AY1527" t="inlineStr">
        <is>
          <t>Beslut</t>
        </is>
      </c>
      <c r="AZ1527" t="inlineStr">
        <is>
          <t>2026-02-03</t>
        </is>
      </c>
      <c r="BA1527" t="inlineStr">
        <is>
          <t>Bilaga1placeringbetongkross_470350.pdf</t>
        </is>
      </c>
      <c r="BB1527" t="inlineStr">
        <is>
          <t>VB: Återvinning av avfall i anläggningsändamål, MIL.2025.932</t>
        </is>
      </c>
      <c r="BC1527" t="inlineStr">
        <is>
          <t>AUTO</t>
        </is>
      </c>
      <c r="BD1527" t="inlineStr"/>
      <c r="BE1527" t="inlineStr"/>
      <c r="BF1527" t="inlineStr">
        <is>
          <t>AUTO_GENERERAD. Bekrafta metadata mot kallfil.</t>
        </is>
      </c>
      <c r="BG1527">
        <f>HYPERLINK("C:\Users\jimmy\Desktop\Examens arbete\Kod\Ny mapp\remix_-copy-of-miljöbeslut.se-portal\Bilaga1placeringbetongkross_470350.pdf", "Öppna PDF")</f>
        <v/>
      </c>
    </row>
    <row r="1528">
      <c r="A1528" t="inlineStr">
        <is>
          <t>KRAV-AUTO-001527</t>
        </is>
      </c>
      <c r="B1528" t="inlineStr">
        <is>
          <t>ADMIN-INDEX-2026-02-27-00000000125C043F57453246863FE664CAFE6A3F0700950291EA24F0614FB6ACEDB12BF0E31D00000000010C0000950291EA24F0614FB6ACEDB12BF0E31D00002087AED70000</t>
        </is>
      </c>
      <c r="C1528" t="inlineStr">
        <is>
          <t>cmm4yuohd01lncuqw4dqbae5z</t>
        </is>
      </c>
      <c r="D1528" t="inlineStr">
        <is>
          <t>http://localhost:8787/api/admin/requirements/documents/cmm4yuohd01lncuqw4dqbae5z/view</t>
        </is>
      </c>
      <c r="E1528">
        <f>HYPERLÄNK("http://localhost:8787/api/admin/requirements/documents/cmm4yuohd01lncuqw4dqbae5z/view";"Öppna PDF")</f>
        <v/>
      </c>
      <c r="F1528">
        <f>HYPERLINK("http://localhost:8787/api/admin/requirements/documents/cmm4yuohd01lncuqw4dqbae5z/view","Open PDF")</f>
        <v/>
      </c>
      <c r="G1528" t="inlineStr">
        <is>
          <t>cmm55w57p0004cuisfrtpqly8</t>
        </is>
      </c>
      <c r="H1528" t="inlineStr">
        <is>
          <t>Beslutsvillkor</t>
        </is>
      </c>
      <c r="I1528" t="inlineStr">
        <is>
          <t>DagvattenLakvatten</t>
        </is>
      </c>
      <c r="J1528" t="inlineStr">
        <is>
          <t>Uppsamling</t>
        </is>
      </c>
      <c r="K1528" t="inlineStr">
        <is>
          <t>Asksläckvatten och lakvatten från aska ska inte släppas orenat som dagvatten eller till spillvattennätet.</t>
        </is>
      </c>
      <c r="L1528" t="inlineStr">
        <is>
          <t>Asksläckvatten och lakvatten från aska ska inte släppas orenat som dagvatten eller till spillvattennätet.</t>
        </is>
      </c>
      <c r="M1528" t="inlineStr">
        <is>
          <t>SKA</t>
        </is>
      </c>
      <c r="N1528" t="inlineStr"/>
      <c r="O1528" t="inlineStr"/>
      <c r="P1528" t="inlineStr"/>
      <c r="Q1528" t="inlineStr"/>
      <c r="R1528" t="inlineStr">
        <is>
          <t>Vid nederbord och avrinning</t>
        </is>
      </c>
      <c r="S1528" t="inlineStr"/>
      <c r="T1528" t="inlineStr">
        <is>
          <t>212000</t>
        </is>
      </c>
      <c r="U1528" t="inlineStr"/>
      <c r="V1528" t="inlineStr"/>
      <c r="W1528" t="inlineStr">
        <is>
          <t>Nej</t>
        </is>
      </c>
      <c r="X1528" t="inlineStr">
        <is>
          <t>Ja</t>
        </is>
      </c>
      <c r="Y1528" t="inlineStr">
        <is>
          <t>Ja</t>
        </is>
      </c>
      <c r="Z1528" t="inlineStr">
        <is>
          <t>Nej</t>
        </is>
      </c>
      <c r="AA1528" t="n">
        <v>6</v>
      </c>
      <c r="AB1528" t="inlineStr">
        <is>
          <t>Lakvattenhantering</t>
        </is>
      </c>
      <c r="AC1528" t="inlineStr">
        <is>
          <t>Flodesschema dagvatten-lakvatten</t>
        </is>
      </c>
      <c r="AD1528" t="inlineStr">
        <is>
          <t>Nej</t>
        </is>
      </c>
      <c r="AE1528" t="inlineStr">
        <is>
          <t>Nej</t>
        </is>
      </c>
      <c r="AF1528" t="inlineStr">
        <is>
          <t>Ej behandlad</t>
        </is>
      </c>
      <c r="AG1528" t="inlineStr">
        <is>
          <t>AUTO_GENERERAD. Verifiera citat mot kallfil.</t>
        </is>
      </c>
      <c r="AH1528" t="inlineStr">
        <is>
          <t>MEDIUM</t>
        </is>
      </c>
      <c r="AI1528" t="inlineStr">
        <is>
          <t>AUTO</t>
        </is>
      </c>
      <c r="AJ1528" t="inlineStr">
        <is>
          <t>Nej</t>
        </is>
      </c>
      <c r="AK1528" t="inlineStr"/>
      <c r="AL1528" t="inlineStr"/>
      <c r="AM1528" t="inlineStr"/>
      <c r="AN1528" t="inlineStr"/>
      <c r="AO1528" t="inlineStr">
        <is>
          <t>cmm4yuohd01lncuqw4dqbae5z</t>
        </is>
      </c>
      <c r="AP1528" t="inlineStr">
        <is>
          <t>http://localhost:8787/api/admin/requirements/documents/cmm4yuohd01lncuqw4dqbae5z/view</t>
        </is>
      </c>
      <c r="AQ1528">
        <f>HYPERLÄNK("http://localhost:8787/api/admin/requirements/documents/cmm4yuohd01lncuqw4dqbae5z/view";"Öppna PDF")</f>
        <v/>
      </c>
      <c r="AR1528">
        <f>HYPERLINK("http://localhost:8787/api/admin/requirements/documents/cmm4yuohd01lncuqw4dqbae5z/view","Open PDF")</f>
        <v/>
      </c>
      <c r="AS1528" t="inlineStr">
        <is>
          <t>cmm55w57p0004cuisfrtpqly8</t>
        </is>
      </c>
      <c r="AT1528" t="inlineStr">
        <is>
          <t>cmm4xvu980000cuh4vj0usz09</t>
        </is>
      </c>
      <c r="AU1528" t="inlineStr">
        <is>
          <t>Post Skara</t>
        </is>
      </c>
      <c r="AV1528" t="inlineStr">
        <is>
          <t>Kommun</t>
        </is>
      </c>
      <c r="AW1528" t="inlineStr">
        <is>
          <t>Post Skara kommun</t>
        </is>
      </c>
      <c r="AX1528" t="inlineStr">
        <is>
          <t>2024-04</t>
        </is>
      </c>
      <c r="AY1528" t="inlineStr">
        <is>
          <t>Beslut</t>
        </is>
      </c>
      <c r="AZ1528" t="inlineStr">
        <is>
          <t>2026-02-03</t>
        </is>
      </c>
      <c r="BA1528" t="inlineStr">
        <is>
          <t>SKSBN-2024-254__2024-04-03_M - Beslut om försiktighetsmått.pdf</t>
        </is>
      </c>
      <c r="BB1528" t="inlineStr">
        <is>
          <t>Efterfrågade handlingar</t>
        </is>
      </c>
      <c r="BC1528" t="inlineStr">
        <is>
          <t>AUTO</t>
        </is>
      </c>
      <c r="BD1528" t="inlineStr"/>
      <c r="BE1528" t="inlineStr"/>
      <c r="BF1528" t="inlineStr">
        <is>
          <t>AUTO_GENERERAD. Bekrafta metadata mot kallfil.</t>
        </is>
      </c>
      <c r="BG1528">
        <f>HYPERLINK("C:\Users\jimmy\Desktop\Examens arbete\Kod\Ny mapp\remix_-copy-of-miljöbeslut.se-portal\SKSBN-2024-254__2024-04-03_M - Beslut om försiktighetsmått.pdf", "Öppna PDF")</f>
        <v/>
      </c>
    </row>
    <row r="1529">
      <c r="A1529" t="inlineStr">
        <is>
          <t>KRAV-AUTO-001528</t>
        </is>
      </c>
      <c r="B1529" t="inlineStr">
        <is>
          <t>ADMIN-INDEX-2026-02-27-00000000125C043F57453246863FE664CAFE6A3F0700950291EA24F0614FB6ACEDB12BF0E31D00000000010C0000950291EA24F0614FB6ACEDB12BF0E31D00002087AED70000</t>
        </is>
      </c>
      <c r="C1529" t="inlineStr">
        <is>
          <t>cmm4yuohd01lncuqw4dqbae5z</t>
        </is>
      </c>
      <c r="D1529" t="inlineStr">
        <is>
          <t>http://localhost:8787/api/admin/requirements/documents/cmm4yuohd01lncuqw4dqbae5z/view</t>
        </is>
      </c>
      <c r="E1529">
        <f>HYPERLÄNK("http://localhost:8787/api/admin/requirements/documents/cmm4yuohd01lncuqw4dqbae5z/view";"Öppna PDF")</f>
        <v/>
      </c>
      <c r="F1529">
        <f>HYPERLINK("http://localhost:8787/api/admin/requirements/documents/cmm4yuohd01lncuqw4dqbae5z/view","Open PDF")</f>
        <v/>
      </c>
      <c r="G1529" t="inlineStr">
        <is>
          <t>cmm55w57p0004cuisfrtpqly8</t>
        </is>
      </c>
      <c r="H1529" t="inlineStr">
        <is>
          <t>Beslutsvillkor</t>
        </is>
      </c>
      <c r="I1529" t="inlineStr">
        <is>
          <t>Ytkonstruktion</t>
        </is>
      </c>
      <c r="J1529" t="inlineStr">
        <is>
          <t>Tat yta</t>
        </is>
      </c>
      <c r="K1529" t="inlineStr">
        <is>
          <t>Vid förvaring utomhus ska invallningen vara skyddad mot nederbörd.</t>
        </is>
      </c>
      <c r="L1529" t="inlineStr">
        <is>
          <t>Vid förvaring utomhus ska invallningen vara skyddad mot nederbörd.</t>
        </is>
      </c>
      <c r="M1529" t="inlineStr">
        <is>
          <t>SKA</t>
        </is>
      </c>
      <c r="N1529" t="inlineStr"/>
      <c r="O1529" t="inlineStr"/>
      <c r="P1529" t="inlineStr"/>
      <c r="Q1529" t="inlineStr"/>
      <c r="R1529" t="inlineStr">
        <is>
          <t>Vid mellanlagring av avfall</t>
        </is>
      </c>
      <c r="S1529" t="inlineStr"/>
      <c r="T1529" t="inlineStr">
        <is>
          <t>212000</t>
        </is>
      </c>
      <c r="U1529" t="inlineStr"/>
      <c r="V1529" t="inlineStr"/>
      <c r="W1529" t="inlineStr">
        <is>
          <t>Ja</t>
        </is>
      </c>
      <c r="X1529" t="inlineStr">
        <is>
          <t>Nej</t>
        </is>
      </c>
      <c r="Y1529" t="inlineStr">
        <is>
          <t>Nej</t>
        </is>
      </c>
      <c r="Z1529" t="inlineStr">
        <is>
          <t>Nej</t>
        </is>
      </c>
      <c r="AA1529" t="n">
        <v>5</v>
      </c>
      <c r="AB1529" t="inlineStr">
        <is>
          <t>Teknisk beskrivning av platta</t>
        </is>
      </c>
      <c r="AC1529" t="inlineStr">
        <is>
          <t>Teknisk ritning platta</t>
        </is>
      </c>
      <c r="AD1529" t="inlineStr">
        <is>
          <t>Nej</t>
        </is>
      </c>
      <c r="AE1529" t="inlineStr">
        <is>
          <t>Nej</t>
        </is>
      </c>
      <c r="AF1529" t="inlineStr">
        <is>
          <t>Ej behandlad</t>
        </is>
      </c>
      <c r="AG1529" t="inlineStr">
        <is>
          <t>AUTO_GENERERAD. Verifiera citat mot kallfil.</t>
        </is>
      </c>
      <c r="AH1529" t="inlineStr">
        <is>
          <t>MEDIUM</t>
        </is>
      </c>
      <c r="AI1529" t="inlineStr">
        <is>
          <t>AUTO</t>
        </is>
      </c>
      <c r="AJ1529" t="inlineStr">
        <is>
          <t>Nej</t>
        </is>
      </c>
      <c r="AK1529" t="inlineStr"/>
      <c r="AL1529" t="inlineStr"/>
      <c r="AM1529" t="inlineStr"/>
      <c r="AN1529" t="inlineStr"/>
      <c r="AO1529" t="inlineStr">
        <is>
          <t>cmm4yuohd01lncuqw4dqbae5z</t>
        </is>
      </c>
      <c r="AP1529" t="inlineStr">
        <is>
          <t>http://localhost:8787/api/admin/requirements/documents/cmm4yuohd01lncuqw4dqbae5z/view</t>
        </is>
      </c>
      <c r="AQ1529">
        <f>HYPERLÄNK("http://localhost:8787/api/admin/requirements/documents/cmm4yuohd01lncuqw4dqbae5z/view";"Öppna PDF")</f>
        <v/>
      </c>
      <c r="AR1529">
        <f>HYPERLINK("http://localhost:8787/api/admin/requirements/documents/cmm4yuohd01lncuqw4dqbae5z/view","Open PDF")</f>
        <v/>
      </c>
      <c r="AS1529" t="inlineStr">
        <is>
          <t>cmm55w57p0004cuisfrtpqly8</t>
        </is>
      </c>
      <c r="AT1529" t="inlineStr">
        <is>
          <t>cmm4xvu980000cuh4vj0usz09</t>
        </is>
      </c>
      <c r="AU1529" t="inlineStr">
        <is>
          <t>Post Skara</t>
        </is>
      </c>
      <c r="AV1529" t="inlineStr">
        <is>
          <t>Kommun</t>
        </is>
      </c>
      <c r="AW1529" t="inlineStr">
        <is>
          <t>Post Skara kommun</t>
        </is>
      </c>
      <c r="AX1529" t="inlineStr">
        <is>
          <t>2024-04</t>
        </is>
      </c>
      <c r="AY1529" t="inlineStr">
        <is>
          <t>Beslut</t>
        </is>
      </c>
      <c r="AZ1529" t="inlineStr">
        <is>
          <t>2026-02-03</t>
        </is>
      </c>
      <c r="BA1529" t="inlineStr">
        <is>
          <t>SKSBN-2024-254__2024-04-03_M - Beslut om försiktighetsmått.pdf</t>
        </is>
      </c>
      <c r="BB1529" t="inlineStr">
        <is>
          <t>Efterfrågade handlingar</t>
        </is>
      </c>
      <c r="BC1529" t="inlineStr">
        <is>
          <t>AUTO</t>
        </is>
      </c>
      <c r="BD1529" t="inlineStr"/>
      <c r="BE1529" t="inlineStr"/>
      <c r="BF1529" t="inlineStr">
        <is>
          <t>AUTO_GENERERAD. Bekrafta metadata mot kallfil.</t>
        </is>
      </c>
      <c r="BG1529">
        <f>HYPERLINK("C:\Users\jimmy\Desktop\Examens arbete\Kod\Ny mapp\remix_-copy-of-miljöbeslut.se-portal\SKSBN-2024-254__2024-04-03_M - Beslut om försiktighetsmått.pdf", "Öppna PDF")</f>
        <v/>
      </c>
    </row>
    <row r="1530">
      <c r="A1530" t="inlineStr">
        <is>
          <t>KRAV-AUTO-001529</t>
        </is>
      </c>
      <c r="B1530" t="inlineStr">
        <is>
          <t>ADMIN-INDEX-2026-02-27-00000000125C043F57453246863FE664CAFE6A3F0700950291EA24F0614FB6ACEDB12BF0E31D00000000010C0000950291EA24F0614FB6ACEDB12BF0E31D00002087AED70000</t>
        </is>
      </c>
      <c r="C1530" t="inlineStr">
        <is>
          <t>cmm4yuohd01lncuqw4dqbae5z</t>
        </is>
      </c>
      <c r="D1530" t="inlineStr">
        <is>
          <t>http://localhost:8787/api/admin/requirements/documents/cmm4yuohd01lncuqw4dqbae5z/view</t>
        </is>
      </c>
      <c r="E1530">
        <f>HYPERLÄNK("http://localhost:8787/api/admin/requirements/documents/cmm4yuohd01lncuqw4dqbae5z/view";"Öppna PDF")</f>
        <v/>
      </c>
      <c r="F1530">
        <f>HYPERLINK("http://localhost:8787/api/admin/requirements/documents/cmm4yuohd01lncuqw4dqbae5z/view","Open PDF")</f>
        <v/>
      </c>
      <c r="G1530" t="inlineStr">
        <is>
          <t>cmm55w57p0004cuisfrtpqly8</t>
        </is>
      </c>
      <c r="H1530" t="inlineStr">
        <is>
          <t>Beslutsvillkor</t>
        </is>
      </c>
      <c r="I1530" t="inlineStr">
        <is>
          <t>DagvattenLakvatten</t>
        </is>
      </c>
      <c r="J1530" t="inlineStr">
        <is>
          <t>Uppsamling</t>
        </is>
      </c>
      <c r="K1530" t="inlineStr">
        <is>
          <t>Krossning av träavfall ska också ske så att rester undviks i dagvattensystemet.</t>
        </is>
      </c>
      <c r="L1530" t="inlineStr">
        <is>
          <t>Krossning av träavfall ska också ske så att rester undviks i dagvattensystemet.</t>
        </is>
      </c>
      <c r="M1530" t="inlineStr">
        <is>
          <t>SKA</t>
        </is>
      </c>
      <c r="N1530" t="inlineStr"/>
      <c r="O1530" t="inlineStr"/>
      <c r="P1530" t="inlineStr"/>
      <c r="Q1530" t="inlineStr"/>
      <c r="R1530" t="inlineStr">
        <is>
          <t>Vid nederbord och avrinning</t>
        </is>
      </c>
      <c r="S1530" t="inlineStr"/>
      <c r="T1530" t="inlineStr">
        <is>
          <t>212000</t>
        </is>
      </c>
      <c r="U1530" t="inlineStr"/>
      <c r="V1530" t="inlineStr"/>
      <c r="W1530" t="inlineStr">
        <is>
          <t>Nej</t>
        </is>
      </c>
      <c r="X1530" t="inlineStr">
        <is>
          <t>Ja</t>
        </is>
      </c>
      <c r="Y1530" t="inlineStr">
        <is>
          <t>Ja</t>
        </is>
      </c>
      <c r="Z1530" t="inlineStr">
        <is>
          <t>Nej</t>
        </is>
      </c>
      <c r="AA1530" t="n">
        <v>6</v>
      </c>
      <c r="AB1530" t="inlineStr">
        <is>
          <t>Lakvattenhantering</t>
        </is>
      </c>
      <c r="AC1530" t="inlineStr">
        <is>
          <t>Flodesschema dagvatten-lakvatten</t>
        </is>
      </c>
      <c r="AD1530" t="inlineStr">
        <is>
          <t>Nej</t>
        </is>
      </c>
      <c r="AE1530" t="inlineStr">
        <is>
          <t>Nej</t>
        </is>
      </c>
      <c r="AF1530" t="inlineStr">
        <is>
          <t>Ej behandlad</t>
        </is>
      </c>
      <c r="AG1530" t="inlineStr">
        <is>
          <t>AUTO_GENERERAD. Verifiera citat mot kallfil.</t>
        </is>
      </c>
      <c r="AH1530" t="inlineStr">
        <is>
          <t>MEDIUM</t>
        </is>
      </c>
      <c r="AI1530" t="inlineStr">
        <is>
          <t>AUTO</t>
        </is>
      </c>
      <c r="AJ1530" t="inlineStr">
        <is>
          <t>Nej</t>
        </is>
      </c>
      <c r="AK1530" t="inlineStr"/>
      <c r="AL1530" t="inlineStr"/>
      <c r="AM1530" t="inlineStr"/>
      <c r="AN1530" t="inlineStr"/>
      <c r="AO1530" t="inlineStr">
        <is>
          <t>cmm4yuohd01lncuqw4dqbae5z</t>
        </is>
      </c>
      <c r="AP1530" t="inlineStr">
        <is>
          <t>http://localhost:8787/api/admin/requirements/documents/cmm4yuohd01lncuqw4dqbae5z/view</t>
        </is>
      </c>
      <c r="AQ1530">
        <f>HYPERLÄNK("http://localhost:8787/api/admin/requirements/documents/cmm4yuohd01lncuqw4dqbae5z/view";"Öppna PDF")</f>
        <v/>
      </c>
      <c r="AR1530">
        <f>HYPERLINK("http://localhost:8787/api/admin/requirements/documents/cmm4yuohd01lncuqw4dqbae5z/view","Open PDF")</f>
        <v/>
      </c>
      <c r="AS1530" t="inlineStr">
        <is>
          <t>cmm55w57p0004cuisfrtpqly8</t>
        </is>
      </c>
      <c r="AT1530" t="inlineStr">
        <is>
          <t>cmm4xvu980000cuh4vj0usz09</t>
        </is>
      </c>
      <c r="AU1530" t="inlineStr">
        <is>
          <t>Post Skara</t>
        </is>
      </c>
      <c r="AV1530" t="inlineStr">
        <is>
          <t>Kommun</t>
        </is>
      </c>
      <c r="AW1530" t="inlineStr">
        <is>
          <t>Post Skara kommun</t>
        </is>
      </c>
      <c r="AX1530" t="inlineStr">
        <is>
          <t>2024-04</t>
        </is>
      </c>
      <c r="AY1530" t="inlineStr">
        <is>
          <t>Beslut</t>
        </is>
      </c>
      <c r="AZ1530" t="inlineStr">
        <is>
          <t>2026-02-03</t>
        </is>
      </c>
      <c r="BA1530" t="inlineStr">
        <is>
          <t>SKSBN-2024-254__2024-04-03_M - Beslut om försiktighetsmått.pdf</t>
        </is>
      </c>
      <c r="BB1530" t="inlineStr">
        <is>
          <t>Efterfrågade handlingar</t>
        </is>
      </c>
      <c r="BC1530" t="inlineStr">
        <is>
          <t>AUTO</t>
        </is>
      </c>
      <c r="BD1530" t="inlineStr"/>
      <c r="BE1530" t="inlineStr"/>
      <c r="BF1530" t="inlineStr">
        <is>
          <t>AUTO_GENERERAD. Bekrafta metadata mot kallfil.</t>
        </is>
      </c>
      <c r="BG1530">
        <f>HYPERLINK("C:\Users\jimmy\Desktop\Examens arbete\Kod\Ny mapp\remix_-copy-of-miljöbeslut.se-portal\SKSBN-2024-254__2024-04-03_M - Beslut om försiktighetsmått.pdf", "Öppna PDF")</f>
        <v/>
      </c>
    </row>
    <row r="1531">
      <c r="A1531" t="inlineStr">
        <is>
          <t>KRAV-AUTO-001530</t>
        </is>
      </c>
      <c r="B1531" t="inlineStr">
        <is>
          <t>ADMIN-INDEX-2026-02-27-00000000125C043F57453246863FE664CAFE6A3F0700950291EA24F0614FB6ACEDB12BF0E31D00000000010C0000950291EA24F0614FB6ACEDB12BF0E31D00002087AED70000</t>
        </is>
      </c>
      <c r="C1531" t="inlineStr">
        <is>
          <t>cmm4yuoha01lkcuqw29wms37e</t>
        </is>
      </c>
      <c r="D1531" t="inlineStr">
        <is>
          <t>http://localhost:8787/api/admin/requirements/documents/cmm4yuoha01lkcuqw29wms37e/view</t>
        </is>
      </c>
      <c r="E1531">
        <f>HYPERLÄNK("http://localhost:8787/api/admin/requirements/documents/cmm4yuoha01lkcuqw29wms37e/view";"Öppna PDF")</f>
        <v/>
      </c>
      <c r="F1531">
        <f>HYPERLINK("http://localhost:8787/api/admin/requirements/documents/cmm4yuoha01lkcuqw29wms37e/view","Open PDF")</f>
        <v/>
      </c>
      <c r="G1531" t="inlineStr">
        <is>
          <t>cmm55w57p0004cuisfrtpqly8</t>
        </is>
      </c>
      <c r="H1531" t="inlineStr">
        <is>
          <t>Informationskrav</t>
        </is>
      </c>
      <c r="I1531" t="inlineStr">
        <is>
          <t>DagvattenLakvatten</t>
        </is>
      </c>
      <c r="J1531" t="inlineStr">
        <is>
          <t>Uppsamling</t>
        </is>
      </c>
      <c r="K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31" t="inlineStr">
        <is>
          <t>SKA</t>
        </is>
      </c>
      <c r="N1531" t="inlineStr">
        <is>
          <t>FMH</t>
        </is>
      </c>
      <c r="O1531" t="inlineStr"/>
      <c r="P1531" t="inlineStr"/>
      <c r="Q1531" t="inlineStr"/>
      <c r="R1531" t="inlineStr">
        <is>
          <t>Vid nederbord och avrinning</t>
        </is>
      </c>
      <c r="S1531" t="inlineStr"/>
      <c r="T1531" t="inlineStr"/>
      <c r="U1531" t="inlineStr"/>
      <c r="V1531" t="inlineStr"/>
      <c r="W1531" t="inlineStr">
        <is>
          <t>Nej</t>
        </is>
      </c>
      <c r="X1531" t="inlineStr">
        <is>
          <t>Ja</t>
        </is>
      </c>
      <c r="Y1531" t="inlineStr">
        <is>
          <t>Ja</t>
        </is>
      </c>
      <c r="Z1531" t="inlineStr">
        <is>
          <t>Nej</t>
        </is>
      </c>
      <c r="AA1531" t="n">
        <v>6</v>
      </c>
      <c r="AB1531" t="inlineStr">
        <is>
          <t>Lakvattenhantering</t>
        </is>
      </c>
      <c r="AC1531" t="inlineStr">
        <is>
          <t>Flodesschema dagvatten-lakvatten</t>
        </is>
      </c>
      <c r="AD1531" t="inlineStr">
        <is>
          <t>Nej</t>
        </is>
      </c>
      <c r="AE1531" t="inlineStr">
        <is>
          <t>Nej</t>
        </is>
      </c>
      <c r="AF1531" t="inlineStr">
        <is>
          <t>Ej behandlad</t>
        </is>
      </c>
      <c r="AG1531" t="inlineStr">
        <is>
          <t>AUTO_GENERERAD. Verifiera citat mot kallfil.</t>
        </is>
      </c>
      <c r="AH1531" t="inlineStr">
        <is>
          <t>HIGH</t>
        </is>
      </c>
      <c r="AI1531" t="inlineStr">
        <is>
          <t>AUTO</t>
        </is>
      </c>
      <c r="AJ1531" t="inlineStr">
        <is>
          <t>Nej</t>
        </is>
      </c>
      <c r="AK1531" t="inlineStr"/>
      <c r="AL1531" t="inlineStr"/>
      <c r="AM1531" t="inlineStr"/>
      <c r="AN1531" t="inlineStr"/>
      <c r="AO1531" t="inlineStr">
        <is>
          <t>cmm4yuohd01lncuqw4dqbae5z</t>
        </is>
      </c>
      <c r="AP1531" t="inlineStr">
        <is>
          <t>http://localhost:8787/api/admin/requirements/documents/cmm4yuohd01lncuqw4dqbae5z/view</t>
        </is>
      </c>
      <c r="AQ1531">
        <f>HYPERLÄNK("http://localhost:8787/api/admin/requirements/documents/cmm4yuohd01lncuqw4dqbae5z/view";"Öppna PDF")</f>
        <v/>
      </c>
      <c r="AR1531">
        <f>HYPERLINK("http://localhost:8787/api/admin/requirements/documents/cmm4yuohd01lncuqw4dqbae5z/view","Open PDF")</f>
        <v/>
      </c>
      <c r="AS1531" t="inlineStr">
        <is>
          <t>cmm55w57p0004cuisfrtpqly8</t>
        </is>
      </c>
      <c r="AT1531" t="inlineStr">
        <is>
          <t>cmm4xvu980000cuh4vj0usz09</t>
        </is>
      </c>
      <c r="AU1531" t="inlineStr">
        <is>
          <t>Post Skara</t>
        </is>
      </c>
      <c r="AV1531" t="inlineStr">
        <is>
          <t>Kommun</t>
        </is>
      </c>
      <c r="AW1531" t="inlineStr">
        <is>
          <t>Post Skara kommun</t>
        </is>
      </c>
      <c r="AX1531" t="inlineStr">
        <is>
          <t>2024-04</t>
        </is>
      </c>
      <c r="AY1531" t="inlineStr">
        <is>
          <t>Beslut</t>
        </is>
      </c>
      <c r="AZ1531" t="inlineStr">
        <is>
          <t>2026-02-03</t>
        </is>
      </c>
      <c r="BA1531" t="inlineStr">
        <is>
          <t>SKSBN-2024-254__2024-04-03_M - Beslut om försiktighetsmått.pdf</t>
        </is>
      </c>
      <c r="BB1531" t="inlineStr">
        <is>
          <t>Efterfrågade handlingar</t>
        </is>
      </c>
      <c r="BC1531" t="inlineStr">
        <is>
          <t>AUTO</t>
        </is>
      </c>
      <c r="BD1531" t="inlineStr"/>
      <c r="BE1531" t="inlineStr"/>
      <c r="BF1531" t="inlineStr">
        <is>
          <t>AUTO_GENERERAD. Bekrafta metadata mot kallfil.</t>
        </is>
      </c>
      <c r="BG1531">
        <f>HYPERLINK("C:\Users\jimmy\Desktop\Examens arbete\Kod\Ny mapp\remix_-copy-of-miljöbeslut.se-portal\SKSBN-2024-254__2024-04-03_M - Beslut om försiktighetsmått.pdf", "Öppna PDF")</f>
        <v/>
      </c>
    </row>
    <row r="1532">
      <c r="A1532" t="inlineStr">
        <is>
          <t>KRAV-AUTO-001531</t>
        </is>
      </c>
      <c r="B1532" t="inlineStr">
        <is>
          <t>ADMIN-INDEX-2026-02-27-00000000125C043F57453246863FE664CAFE6A3F0700950291EA24F0614FB6ACEDB12BF0E31D00000000010C0000950291EA24F0614FB6ACEDB12BF0E31D00002087AED70000</t>
        </is>
      </c>
      <c r="C1532" t="inlineStr">
        <is>
          <t>cmm4yuoha01lkcuqw29wms37e</t>
        </is>
      </c>
      <c r="D1532" t="inlineStr">
        <is>
          <t>http://localhost:8787/api/admin/requirements/documents/cmm4yuoha01lkcuqw29wms37e/view</t>
        </is>
      </c>
      <c r="E1532">
        <f>HYPERLÄNK("http://localhost:8787/api/admin/requirements/documents/cmm4yuoha01lkcuqw29wms37e/view";"Öppna PDF")</f>
        <v/>
      </c>
      <c r="F1532">
        <f>HYPERLINK("http://localhost:8787/api/admin/requirements/documents/cmm4yuoha01lkcuqw29wms37e/view","Open PDF")</f>
        <v/>
      </c>
      <c r="G1532" t="inlineStr">
        <is>
          <t>cmm55w57p0004cuisfrtpqly8</t>
        </is>
      </c>
      <c r="H1532" t="inlineStr">
        <is>
          <t>Informationskrav</t>
        </is>
      </c>
      <c r="I1532" t="inlineStr">
        <is>
          <t>LagringsvolymTid</t>
        </is>
      </c>
      <c r="J1532" t="inlineStr">
        <is>
          <t>Maxmangd</t>
        </is>
      </c>
      <c r="K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2" t="inlineStr">
        <is>
          <t>SKA</t>
        </is>
      </c>
      <c r="N1532" t="inlineStr">
        <is>
          <t>FMH</t>
        </is>
      </c>
      <c r="O1532" t="inlineStr"/>
      <c r="P1532" t="inlineStr">
        <is>
          <t>Arlig</t>
        </is>
      </c>
      <c r="Q1532" t="inlineStr"/>
      <c r="R1532" t="inlineStr">
        <is>
          <t>Alltid</t>
        </is>
      </c>
      <c r="S1532" t="inlineStr"/>
      <c r="T1532" t="inlineStr"/>
      <c r="U1532" t="inlineStr"/>
      <c r="V1532" t="inlineStr"/>
      <c r="W1532" t="inlineStr">
        <is>
          <t>Nej</t>
        </is>
      </c>
      <c r="X1532" t="inlineStr">
        <is>
          <t>Nej</t>
        </is>
      </c>
      <c r="Y1532" t="inlineStr">
        <is>
          <t>Nej</t>
        </is>
      </c>
      <c r="Z1532" t="inlineStr">
        <is>
          <t>Nej</t>
        </is>
      </c>
      <c r="AA1532" t="n">
        <v>4</v>
      </c>
      <c r="AB1532" t="inlineStr">
        <is>
          <t>Avfallsmangder och lagringstid</t>
        </is>
      </c>
      <c r="AC1532" t="inlineStr">
        <is>
          <t>Avfallsforteckning</t>
        </is>
      </c>
      <c r="AD1532" t="inlineStr">
        <is>
          <t>Nej</t>
        </is>
      </c>
      <c r="AE1532" t="inlineStr">
        <is>
          <t>Nej</t>
        </is>
      </c>
      <c r="AF1532" t="inlineStr">
        <is>
          <t>Ej behandlad</t>
        </is>
      </c>
      <c r="AG1532" t="inlineStr">
        <is>
          <t>AUTO_GENERERAD. Verifiera citat mot kallfil.</t>
        </is>
      </c>
      <c r="AH1532" t="inlineStr">
        <is>
          <t>HIGH</t>
        </is>
      </c>
      <c r="AI1532" t="inlineStr">
        <is>
          <t>AUTO</t>
        </is>
      </c>
      <c r="AJ1532" t="inlineStr">
        <is>
          <t>Nej</t>
        </is>
      </c>
      <c r="AK1532" t="inlineStr"/>
      <c r="AL1532" t="inlineStr"/>
      <c r="AM1532" t="inlineStr"/>
      <c r="AN1532" t="inlineStr"/>
      <c r="AO1532" t="inlineStr">
        <is>
          <t>cmm4yuohd01lncuqw4dqbae5z</t>
        </is>
      </c>
      <c r="AP1532" t="inlineStr">
        <is>
          <t>http://localhost:8787/api/admin/requirements/documents/cmm4yuohd01lncuqw4dqbae5z/view</t>
        </is>
      </c>
      <c r="AQ1532">
        <f>HYPERLÄNK("http://localhost:8787/api/admin/requirements/documents/cmm4yuohd01lncuqw4dqbae5z/view";"Öppna PDF")</f>
        <v/>
      </c>
      <c r="AR1532">
        <f>HYPERLINK("http://localhost:8787/api/admin/requirements/documents/cmm4yuohd01lncuqw4dqbae5z/view","Open PDF")</f>
        <v/>
      </c>
      <c r="AS1532" t="inlineStr">
        <is>
          <t>cmm55w57p0004cuisfrtpqly8</t>
        </is>
      </c>
      <c r="AT1532" t="inlineStr">
        <is>
          <t>cmm4xvu980000cuh4vj0usz09</t>
        </is>
      </c>
      <c r="AU1532" t="inlineStr">
        <is>
          <t>Post Skara</t>
        </is>
      </c>
      <c r="AV1532" t="inlineStr">
        <is>
          <t>Kommun</t>
        </is>
      </c>
      <c r="AW1532" t="inlineStr">
        <is>
          <t>Post Skara kommun</t>
        </is>
      </c>
      <c r="AX1532" t="inlineStr">
        <is>
          <t>2024-04</t>
        </is>
      </c>
      <c r="AY1532" t="inlineStr">
        <is>
          <t>Beslut</t>
        </is>
      </c>
      <c r="AZ1532" t="inlineStr">
        <is>
          <t>2026-02-03</t>
        </is>
      </c>
      <c r="BA1532" t="inlineStr">
        <is>
          <t>SKSBN-2024-254__2024-04-03_M - Beslut om försiktighetsmått.pdf</t>
        </is>
      </c>
      <c r="BB1532" t="inlineStr">
        <is>
          <t>Efterfrågade handlingar</t>
        </is>
      </c>
      <c r="BC1532" t="inlineStr">
        <is>
          <t>AUTO</t>
        </is>
      </c>
      <c r="BD1532" t="inlineStr"/>
      <c r="BE1532" t="inlineStr"/>
      <c r="BF1532" t="inlineStr">
        <is>
          <t>AUTO_GENERERAD. Bekrafta metadata mot kallfil.</t>
        </is>
      </c>
      <c r="BG1532">
        <f>HYPERLINK("C:\Users\jimmy\Desktop\Examens arbete\Kod\Ny mapp\remix_-copy-of-miljöbeslut.se-portal\SKSBN-2024-254__2024-04-03_M - Beslut om försiktighetsmått.pdf", "Öppna PDF")</f>
        <v/>
      </c>
    </row>
    <row r="1533">
      <c r="A1533" t="inlineStr">
        <is>
          <t>KRAV-AUTO-001532</t>
        </is>
      </c>
      <c r="B1533" t="inlineStr">
        <is>
          <t>ADMIN-INDEX-2026-02-27-00000000125C043F57453246863FE664CAFE6A3F0700950291EA24F0614FB6ACEDB12BF0E31D00000000010C0000950291EA24F0614FB6ACEDB12BF0E31D00002087AED70000</t>
        </is>
      </c>
      <c r="C1533" t="inlineStr">
        <is>
          <t>cmm4yuoh601lhcuqwxq21xyj9</t>
        </is>
      </c>
      <c r="D1533" t="inlineStr">
        <is>
          <t>http://localhost:8787/api/admin/requirements/documents/cmm4yuoh601lhcuqwxq21xyj9/view</t>
        </is>
      </c>
      <c r="E1533">
        <f>HYPERLÄNK("http://localhost:8787/api/admin/requirements/documents/cmm4yuoh601lhcuqwxq21xyj9/view";"Öppna PDF")</f>
        <v/>
      </c>
      <c r="F1533">
        <f>HYPERLINK("http://localhost:8787/api/admin/requirements/documents/cmm4yuoh601lhcuqwxq21xyj9/view","Open PDF")</f>
        <v/>
      </c>
      <c r="G1533" t="inlineStr">
        <is>
          <t>cmm55w57p0004cuisfrtpqly8</t>
        </is>
      </c>
      <c r="H1533" t="inlineStr">
        <is>
          <t>Beslutsvillkor</t>
        </is>
      </c>
      <c r="I1533" t="inlineStr">
        <is>
          <t>MiljopaverkanForsiktighet</t>
        </is>
      </c>
      <c r="J1533" t="inlineStr">
        <is>
          <t>Skyddsatgarder</t>
        </is>
      </c>
      <c r="K1533" t="inlineStr">
        <is>
          <t>Invasiva växtarter får inte ingå i park- och trädgårdsavfall som ska komposteras.</t>
        </is>
      </c>
      <c r="L1533" t="inlineStr">
        <is>
          <t>Invasiva växtarter får inte ingå i park- och trädgårdsavfall som ska komposteras.</t>
        </is>
      </c>
      <c r="M1533" t="inlineStr">
        <is>
          <t>SKA</t>
        </is>
      </c>
      <c r="N1533" t="inlineStr"/>
      <c r="O1533" t="inlineStr"/>
      <c r="P1533" t="inlineStr"/>
      <c r="Q1533" t="inlineStr">
        <is>
          <t>Driftbegransning vid avvikelse</t>
        </is>
      </c>
      <c r="R1533" t="inlineStr">
        <is>
          <t>Alltid</t>
        </is>
      </c>
      <c r="S1533" t="inlineStr"/>
      <c r="T1533" t="inlineStr">
        <is>
          <t>212000</t>
        </is>
      </c>
      <c r="U1533" t="inlineStr"/>
      <c r="V1533" t="inlineStr"/>
      <c r="W1533" t="inlineStr">
        <is>
          <t>Nej</t>
        </is>
      </c>
      <c r="X1533" t="inlineStr">
        <is>
          <t>Nej</t>
        </is>
      </c>
      <c r="Y1533" t="inlineStr">
        <is>
          <t>Nej</t>
        </is>
      </c>
      <c r="Z1533" t="inlineStr">
        <is>
          <t>Nej</t>
        </is>
      </c>
      <c r="AA1533" t="n">
        <v>10</v>
      </c>
      <c r="AB1533" t="inlineStr">
        <is>
          <t>Miljopaverkan och forsiktighetsmatt</t>
        </is>
      </c>
      <c r="AC1533" t="inlineStr">
        <is>
          <t>Miljo-PM</t>
        </is>
      </c>
      <c r="AD1533" t="inlineStr">
        <is>
          <t>Nej</t>
        </is>
      </c>
      <c r="AE1533" t="inlineStr">
        <is>
          <t>Nej</t>
        </is>
      </c>
      <c r="AF1533" t="inlineStr">
        <is>
          <t>Ej behandlad</t>
        </is>
      </c>
      <c r="AG1533" t="inlineStr">
        <is>
          <t>AUTO_GENERERAD. Verifiera citat mot kallfil.</t>
        </is>
      </c>
      <c r="AH1533" t="inlineStr">
        <is>
          <t>MEDIUM</t>
        </is>
      </c>
      <c r="AI1533" t="inlineStr">
        <is>
          <t>AUTO</t>
        </is>
      </c>
      <c r="AJ1533" t="inlineStr">
        <is>
          <t>Nej</t>
        </is>
      </c>
      <c r="AK1533" t="inlineStr"/>
      <c r="AL1533" t="inlineStr"/>
      <c r="AM1533" t="inlineStr"/>
      <c r="AN1533" t="inlineStr"/>
      <c r="AO1533" t="inlineStr">
        <is>
          <t>cmm4yuohd01lncuqw4dqbae5z</t>
        </is>
      </c>
      <c r="AP1533" t="inlineStr">
        <is>
          <t>http://localhost:8787/api/admin/requirements/documents/cmm4yuohd01lncuqw4dqbae5z/view</t>
        </is>
      </c>
      <c r="AQ1533">
        <f>HYPERLÄNK("http://localhost:8787/api/admin/requirements/documents/cmm4yuohd01lncuqw4dqbae5z/view";"Öppna PDF")</f>
        <v/>
      </c>
      <c r="AR1533">
        <f>HYPERLINK("http://localhost:8787/api/admin/requirements/documents/cmm4yuohd01lncuqw4dqbae5z/view","Open PDF")</f>
        <v/>
      </c>
      <c r="AS1533" t="inlineStr">
        <is>
          <t>cmm55w57p0004cuisfrtpqly8</t>
        </is>
      </c>
      <c r="AT1533" t="inlineStr">
        <is>
          <t>cmm4xvu980000cuh4vj0usz09</t>
        </is>
      </c>
      <c r="AU1533" t="inlineStr">
        <is>
          <t>Post Skara</t>
        </is>
      </c>
      <c r="AV1533" t="inlineStr">
        <is>
          <t>Kommun</t>
        </is>
      </c>
      <c r="AW1533" t="inlineStr">
        <is>
          <t>Post Skara kommun</t>
        </is>
      </c>
      <c r="AX1533" t="inlineStr">
        <is>
          <t>2024-04</t>
        </is>
      </c>
      <c r="AY1533" t="inlineStr">
        <is>
          <t>Beslut</t>
        </is>
      </c>
      <c r="AZ1533" t="inlineStr">
        <is>
          <t>2026-02-03</t>
        </is>
      </c>
      <c r="BA1533" t="inlineStr">
        <is>
          <t>SKSBN-2024-254__2024-04-03_M - Beslut om försiktighetsmått.pdf</t>
        </is>
      </c>
      <c r="BB1533" t="inlineStr">
        <is>
          <t>Efterfrågade handlingar</t>
        </is>
      </c>
      <c r="BC1533" t="inlineStr">
        <is>
          <t>AUTO</t>
        </is>
      </c>
      <c r="BD1533" t="inlineStr"/>
      <c r="BE1533" t="inlineStr"/>
      <c r="BF1533" t="inlineStr">
        <is>
          <t>AUTO_GENERERAD. Bekrafta metadata mot kallfil.</t>
        </is>
      </c>
      <c r="BG1533">
        <f>HYPERLINK("C:\Users\jimmy\Desktop\Examens arbete\Kod\Ny mapp\remix_-copy-of-miljöbeslut.se-portal\SKSBN-2024-254__2024-04-03_M - Beslut om försiktighetsmått.pdf", "Öppna PDF")</f>
        <v/>
      </c>
    </row>
    <row r="1534">
      <c r="A1534" t="inlineStr">
        <is>
          <t>KRAV-AUTO-001533</t>
        </is>
      </c>
      <c r="B1534" t="inlineStr">
        <is>
          <t>ADMIN-INDEX-2026-02-27-00000000125C043F57453246863FE664CAFE6A3F0700950291EA24F0614FB6ACEDB12BF0E31D00000000010C0000950291EA24F0614FB6ACEDB12BF0E31D00002087AED70000</t>
        </is>
      </c>
      <c r="C1534" t="inlineStr">
        <is>
          <t>cmm4yuoh601lhcuqwxq21xyj9</t>
        </is>
      </c>
      <c r="D1534" t="inlineStr">
        <is>
          <t>http://localhost:8787/api/admin/requirements/documents/cmm4yuoh601lhcuqwxq21xyj9/view</t>
        </is>
      </c>
      <c r="E1534">
        <f>HYPERLÄNK("http://localhost:8787/api/admin/requirements/documents/cmm4yuoh601lhcuqwxq21xyj9/view";"Öppna PDF")</f>
        <v/>
      </c>
      <c r="F1534">
        <f>HYPERLINK("http://localhost:8787/api/admin/requirements/documents/cmm4yuoh601lhcuqwxq21xyj9/view","Open PDF")</f>
        <v/>
      </c>
      <c r="G1534" t="inlineStr">
        <is>
          <t>cmm55w57p0004cuisfrtpqly8</t>
        </is>
      </c>
      <c r="H1534" t="inlineStr">
        <is>
          <t>Beslutsvillkor</t>
        </is>
      </c>
      <c r="I1534" t="inlineStr">
        <is>
          <t>LagringsvolymTid</t>
        </is>
      </c>
      <c r="J1534" t="inlineStr">
        <is>
          <t>Maxmangd</t>
        </is>
      </c>
      <c r="K1534" t="inlineStr">
        <is>
          <t>Mängden avloppsslam, flis och bark respektive park- och trädgårdsavfall som används i komposteringen ska finnas dokumenterad.</t>
        </is>
      </c>
      <c r="L1534" t="inlineStr">
        <is>
          <t>Mängden avloppsslam, flis och bark respektive park- och trädgårdsavfall som används i komposteringen ska finnas dokumenterad.</t>
        </is>
      </c>
      <c r="M1534" t="inlineStr">
        <is>
          <t>SKA</t>
        </is>
      </c>
      <c r="N1534" t="inlineStr"/>
      <c r="O1534" t="inlineStr"/>
      <c r="P1534" t="inlineStr"/>
      <c r="Q1534" t="inlineStr"/>
      <c r="R1534" t="inlineStr">
        <is>
          <t>Alltid</t>
        </is>
      </c>
      <c r="S1534" t="inlineStr"/>
      <c r="T1534" t="inlineStr">
        <is>
          <t>212000</t>
        </is>
      </c>
      <c r="U1534" t="inlineStr"/>
      <c r="V1534" t="inlineStr"/>
      <c r="W1534" t="inlineStr">
        <is>
          <t>Nej</t>
        </is>
      </c>
      <c r="X1534" t="inlineStr">
        <is>
          <t>Nej</t>
        </is>
      </c>
      <c r="Y1534" t="inlineStr">
        <is>
          <t>Nej</t>
        </is>
      </c>
      <c r="Z1534" t="inlineStr">
        <is>
          <t>Nej</t>
        </is>
      </c>
      <c r="AA1534" t="n">
        <v>4</v>
      </c>
      <c r="AB1534" t="inlineStr">
        <is>
          <t>Avfallsmangder och lagringstid</t>
        </is>
      </c>
      <c r="AC1534" t="inlineStr">
        <is>
          <t>Avfallsforteckning</t>
        </is>
      </c>
      <c r="AD1534" t="inlineStr">
        <is>
          <t>Nej</t>
        </is>
      </c>
      <c r="AE1534" t="inlineStr">
        <is>
          <t>Nej</t>
        </is>
      </c>
      <c r="AF1534" t="inlineStr">
        <is>
          <t>Ej behandlad</t>
        </is>
      </c>
      <c r="AG1534" t="inlineStr">
        <is>
          <t>AUTO_GENERERAD. Verifiera citat mot kallfil.</t>
        </is>
      </c>
      <c r="AH1534" t="inlineStr">
        <is>
          <t>MEDIUM</t>
        </is>
      </c>
      <c r="AI1534" t="inlineStr">
        <is>
          <t>AUTO</t>
        </is>
      </c>
      <c r="AJ1534" t="inlineStr">
        <is>
          <t>Nej</t>
        </is>
      </c>
      <c r="AK1534" t="inlineStr"/>
      <c r="AL1534" t="inlineStr"/>
      <c r="AM1534" t="inlineStr"/>
      <c r="AN1534" t="inlineStr"/>
      <c r="AO1534" t="inlineStr">
        <is>
          <t>cmm4yuohd01lncuqw4dqbae5z</t>
        </is>
      </c>
      <c r="AP1534" t="inlineStr">
        <is>
          <t>http://localhost:8787/api/admin/requirements/documents/cmm4yuohd01lncuqw4dqbae5z/view</t>
        </is>
      </c>
      <c r="AQ1534">
        <f>HYPERLÄNK("http://localhost:8787/api/admin/requirements/documents/cmm4yuohd01lncuqw4dqbae5z/view";"Öppna PDF")</f>
        <v/>
      </c>
      <c r="AR1534">
        <f>HYPERLINK("http://localhost:8787/api/admin/requirements/documents/cmm4yuohd01lncuqw4dqbae5z/view","Open PDF")</f>
        <v/>
      </c>
      <c r="AS1534" t="inlineStr">
        <is>
          <t>cmm55w57p0004cuisfrtpqly8</t>
        </is>
      </c>
      <c r="AT1534" t="inlineStr">
        <is>
          <t>cmm4xvu980000cuh4vj0usz09</t>
        </is>
      </c>
      <c r="AU1534" t="inlineStr">
        <is>
          <t>Post Skara</t>
        </is>
      </c>
      <c r="AV1534" t="inlineStr">
        <is>
          <t>Kommun</t>
        </is>
      </c>
      <c r="AW1534" t="inlineStr">
        <is>
          <t>Post Skara kommun</t>
        </is>
      </c>
      <c r="AX1534" t="inlineStr">
        <is>
          <t>2024-04</t>
        </is>
      </c>
      <c r="AY1534" t="inlineStr">
        <is>
          <t>Beslut</t>
        </is>
      </c>
      <c r="AZ1534" t="inlineStr">
        <is>
          <t>2026-02-03</t>
        </is>
      </c>
      <c r="BA1534" t="inlineStr">
        <is>
          <t>SKSBN-2024-254__2024-04-03_M - Beslut om försiktighetsmått.pdf</t>
        </is>
      </c>
      <c r="BB1534" t="inlineStr">
        <is>
          <t>Efterfrågade handlingar</t>
        </is>
      </c>
      <c r="BC1534" t="inlineStr">
        <is>
          <t>AUTO</t>
        </is>
      </c>
      <c r="BD1534" t="inlineStr"/>
      <c r="BE1534" t="inlineStr"/>
      <c r="BF1534" t="inlineStr">
        <is>
          <t>AUTO_GENERERAD. Bekrafta metadata mot kallfil.</t>
        </is>
      </c>
      <c r="BG1534">
        <f>HYPERLINK("C:\Users\jimmy\Desktop\Examens arbete\Kod\Ny mapp\remix_-copy-of-miljöbeslut.se-portal\SKSBN-2024-254__2024-04-03_M - Beslut om försiktighetsmått.pdf", "Öppna PDF")</f>
        <v/>
      </c>
    </row>
    <row r="1535">
      <c r="A1535" t="inlineStr">
        <is>
          <t>KRAV-AUTO-001534</t>
        </is>
      </c>
      <c r="B1535" t="inlineStr">
        <is>
          <t>ADMIN-INDEX-2026-02-27-00000000125C043F57453246863FE664CAFE6A3F0700950291EA24F0614FB6ACEDB12BF0E31D00000000010C0000950291EA24F0614FB6ACEDB12BF0E31D00002087AED70000</t>
        </is>
      </c>
      <c r="C1535" t="inlineStr">
        <is>
          <t>cmm4yuoh601lhcuqwxq21xyj9</t>
        </is>
      </c>
      <c r="D1535" t="inlineStr">
        <is>
          <t>http://localhost:8787/api/admin/requirements/documents/cmm4yuoh601lhcuqwxq21xyj9/view</t>
        </is>
      </c>
      <c r="E1535">
        <f>HYPERLÄNK("http://localhost:8787/api/admin/requirements/documents/cmm4yuoh601lhcuqwxq21xyj9/view";"Öppna PDF")</f>
        <v/>
      </c>
      <c r="F1535">
        <f>HYPERLINK("http://localhost:8787/api/admin/requirements/documents/cmm4yuoh601lhcuqwxq21xyj9/view","Open PDF")</f>
        <v/>
      </c>
      <c r="G1535" t="inlineStr">
        <is>
          <t>cmm55w57p0004cuisfrtpqly8</t>
        </is>
      </c>
      <c r="H1535" t="inlineStr">
        <is>
          <t>Beslutsvillkor</t>
        </is>
      </c>
      <c r="I1535" t="inlineStr">
        <is>
          <t>DriftEgenkontroll</t>
        </is>
      </c>
      <c r="J1535" t="inlineStr">
        <is>
          <t>Journalforing</t>
        </is>
      </c>
      <c r="K1535" t="inlineStr">
        <is>
          <t>Merparten av det avloppsslam som tagits in i verksamheten hittills har varit Revaq-certifierat vilket bedöms minska riskerna då slammet är hygieniserat och provtaget leverantören.</t>
        </is>
      </c>
      <c r="L1535" t="inlineStr">
        <is>
          <t>Merparten av det avloppsslam som tagits in i verksamheten hittills har varit Revaq-certifierat vilket bedöms minska riskerna då slammet är hygieniserat och provtaget leverantören.</t>
        </is>
      </c>
      <c r="M1535" t="inlineStr">
        <is>
          <t>SKA</t>
        </is>
      </c>
      <c r="N1535" t="inlineStr"/>
      <c r="O1535" t="inlineStr"/>
      <c r="P1535" t="inlineStr"/>
      <c r="Q1535" t="inlineStr"/>
      <c r="R1535" t="inlineStr">
        <is>
          <t>Lopande drift</t>
        </is>
      </c>
      <c r="S1535" t="inlineStr"/>
      <c r="T1535" t="inlineStr">
        <is>
          <t>212000</t>
        </is>
      </c>
      <c r="U1535" t="inlineStr"/>
      <c r="V1535" t="inlineStr"/>
      <c r="W1535" t="inlineStr">
        <is>
          <t>Nej</t>
        </is>
      </c>
      <c r="X1535" t="inlineStr">
        <is>
          <t>Nej</t>
        </is>
      </c>
      <c r="Y1535" t="inlineStr">
        <is>
          <t>Ja</t>
        </is>
      </c>
      <c r="Z1535" t="inlineStr">
        <is>
          <t>Nej</t>
        </is>
      </c>
      <c r="AA1535" t="n">
        <v>7</v>
      </c>
      <c r="AB1535" t="inlineStr">
        <is>
          <t>Egenkontrollrutiner</t>
        </is>
      </c>
      <c r="AC1535" t="inlineStr">
        <is>
          <t>Egenkontrollprogram</t>
        </is>
      </c>
      <c r="AD1535" t="inlineStr">
        <is>
          <t>Nej</t>
        </is>
      </c>
      <c r="AE1535" t="inlineStr">
        <is>
          <t>Nej</t>
        </is>
      </c>
      <c r="AF1535" t="inlineStr">
        <is>
          <t>Ej behandlad</t>
        </is>
      </c>
      <c r="AG1535" t="inlineStr">
        <is>
          <t>AUTO_GENERERAD. Verifiera citat mot kallfil.</t>
        </is>
      </c>
      <c r="AH1535" t="inlineStr">
        <is>
          <t>MEDIUM</t>
        </is>
      </c>
      <c r="AI1535" t="inlineStr">
        <is>
          <t>AUTO</t>
        </is>
      </c>
      <c r="AJ1535" t="inlineStr">
        <is>
          <t>Nej</t>
        </is>
      </c>
      <c r="AK1535" t="inlineStr"/>
      <c r="AL1535" t="inlineStr"/>
      <c r="AM1535" t="inlineStr"/>
      <c r="AN1535" t="inlineStr"/>
      <c r="AO1535" t="inlineStr">
        <is>
          <t>cmm4yuohd01lncuqw4dqbae5z</t>
        </is>
      </c>
      <c r="AP1535" t="inlineStr">
        <is>
          <t>http://localhost:8787/api/admin/requirements/documents/cmm4yuohd01lncuqw4dqbae5z/view</t>
        </is>
      </c>
      <c r="AQ1535">
        <f>HYPERLÄNK("http://localhost:8787/api/admin/requirements/documents/cmm4yuohd01lncuqw4dqbae5z/view";"Öppna PDF")</f>
        <v/>
      </c>
      <c r="AR1535">
        <f>HYPERLINK("http://localhost:8787/api/admin/requirements/documents/cmm4yuohd01lncuqw4dqbae5z/view","Open PDF")</f>
        <v/>
      </c>
      <c r="AS1535" t="inlineStr">
        <is>
          <t>cmm55w57p0004cuisfrtpqly8</t>
        </is>
      </c>
      <c r="AT1535" t="inlineStr">
        <is>
          <t>cmm4xvu980000cuh4vj0usz09</t>
        </is>
      </c>
      <c r="AU1535" t="inlineStr">
        <is>
          <t>Post Skara</t>
        </is>
      </c>
      <c r="AV1535" t="inlineStr">
        <is>
          <t>Kommun</t>
        </is>
      </c>
      <c r="AW1535" t="inlineStr">
        <is>
          <t>Post Skara kommun</t>
        </is>
      </c>
      <c r="AX1535" t="inlineStr">
        <is>
          <t>2024-04</t>
        </is>
      </c>
      <c r="AY1535" t="inlineStr">
        <is>
          <t>Beslut</t>
        </is>
      </c>
      <c r="AZ1535" t="inlineStr">
        <is>
          <t>2026-02-03</t>
        </is>
      </c>
      <c r="BA1535" t="inlineStr">
        <is>
          <t>SKSBN-2024-254__2024-04-03_M - Beslut om försiktighetsmått.pdf</t>
        </is>
      </c>
      <c r="BB1535" t="inlineStr">
        <is>
          <t>Efterfrågade handlingar</t>
        </is>
      </c>
      <c r="BC1535" t="inlineStr">
        <is>
          <t>AUTO</t>
        </is>
      </c>
      <c r="BD1535" t="inlineStr"/>
      <c r="BE1535" t="inlineStr"/>
      <c r="BF1535" t="inlineStr">
        <is>
          <t>AUTO_GENERERAD. Bekrafta metadata mot kallfil.</t>
        </is>
      </c>
      <c r="BG1535">
        <f>HYPERLINK("C:\Users\jimmy\Desktop\Examens arbete\Kod\Ny mapp\remix_-copy-of-miljöbeslut.se-portal\SKSBN-2024-254__2024-04-03_M - Beslut om försiktighetsmått.pdf", "Öppna PDF")</f>
        <v/>
      </c>
    </row>
    <row r="1536">
      <c r="A1536" t="inlineStr">
        <is>
          <t>KRAV-AUTO-001535</t>
        </is>
      </c>
      <c r="B1536" t="inlineStr">
        <is>
          <t>ADMIN-INDEX-2026-02-27-00000000125C043F57453246863FE664CAFE6A3F0700950291EA24F0614FB6ACEDB12BF0E31D00000000010C0000950291EA24F0614FB6ACEDB12BF0E31D00002087AED70000</t>
        </is>
      </c>
      <c r="C1536" t="inlineStr">
        <is>
          <t>cmm4yuoh201lecuqwwsn0o7r6</t>
        </is>
      </c>
      <c r="D1536" t="inlineStr">
        <is>
          <t>http://localhost:8787/api/admin/requirements/documents/cmm4yuoh201lecuqwwsn0o7r6/view</t>
        </is>
      </c>
      <c r="E1536">
        <f>HYPERLÄNK("http://localhost:8787/api/admin/requirements/documents/cmm4yuoh201lecuqwwsn0o7r6/view";"Öppna PDF")</f>
        <v/>
      </c>
      <c r="F1536">
        <f>HYPERLINK("http://localhost:8787/api/admin/requirements/documents/cmm4yuoh201lecuqwwsn0o7r6/view","Open PDF")</f>
        <v/>
      </c>
      <c r="G1536" t="inlineStr">
        <is>
          <t>cmm55w57p0004cuisfrtpqly8</t>
        </is>
      </c>
      <c r="H1536" t="inlineStr">
        <is>
          <t>Informationskrav</t>
        </is>
      </c>
      <c r="I1536" t="inlineStr">
        <is>
          <t>DagvattenLakvatten</t>
        </is>
      </c>
      <c r="J1536" t="inlineStr">
        <is>
          <t>Uppsamling</t>
        </is>
      </c>
      <c r="K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6" t="inlineStr">
        <is>
          <t>SKA</t>
        </is>
      </c>
      <c r="N1536" t="inlineStr">
        <is>
          <t>FMH</t>
        </is>
      </c>
      <c r="O1536" t="inlineStr"/>
      <c r="P1536" t="inlineStr"/>
      <c r="Q1536" t="inlineStr"/>
      <c r="R1536" t="inlineStr">
        <is>
          <t>Vid nederbord och avrinning</t>
        </is>
      </c>
      <c r="S1536" t="inlineStr"/>
      <c r="T1536" t="inlineStr">
        <is>
          <t>556155</t>
        </is>
      </c>
      <c r="U1536" t="inlineStr"/>
      <c r="V1536" t="inlineStr"/>
      <c r="W1536" t="inlineStr">
        <is>
          <t>Nej</t>
        </is>
      </c>
      <c r="X1536" t="inlineStr">
        <is>
          <t>Ja</t>
        </is>
      </c>
      <c r="Y1536" t="inlineStr">
        <is>
          <t>Ja</t>
        </is>
      </c>
      <c r="Z1536" t="inlineStr">
        <is>
          <t>Nej</t>
        </is>
      </c>
      <c r="AA1536" t="n">
        <v>6</v>
      </c>
      <c r="AB1536" t="inlineStr">
        <is>
          <t>Lakvattenhantering</t>
        </is>
      </c>
      <c r="AC1536" t="inlineStr">
        <is>
          <t>Flodesschema dagvatten-lakvatten</t>
        </is>
      </c>
      <c r="AD1536" t="inlineStr">
        <is>
          <t>Nej</t>
        </is>
      </c>
      <c r="AE1536" t="inlineStr">
        <is>
          <t>Nej</t>
        </is>
      </c>
      <c r="AF1536" t="inlineStr">
        <is>
          <t>Ej behandlad</t>
        </is>
      </c>
      <c r="AG1536" t="inlineStr">
        <is>
          <t>AUTO_GENERERAD. Verifiera citat mot kallfil.</t>
        </is>
      </c>
      <c r="AH1536" t="inlineStr">
        <is>
          <t>MEDIUM</t>
        </is>
      </c>
      <c r="AI1536" t="inlineStr">
        <is>
          <t>AUTO</t>
        </is>
      </c>
      <c r="AJ1536" t="inlineStr">
        <is>
          <t>Nej</t>
        </is>
      </c>
      <c r="AK1536" t="inlineStr"/>
      <c r="AL1536" t="inlineStr"/>
      <c r="AM1536" t="inlineStr"/>
      <c r="AN1536" t="inlineStr"/>
      <c r="AO1536" t="inlineStr">
        <is>
          <t>cmm4yuohd01lncuqw4dqbae5z</t>
        </is>
      </c>
      <c r="AP1536" t="inlineStr">
        <is>
          <t>http://localhost:8787/api/admin/requirements/documents/cmm4yuohd01lncuqw4dqbae5z/view</t>
        </is>
      </c>
      <c r="AQ1536">
        <f>HYPERLÄNK("http://localhost:8787/api/admin/requirements/documents/cmm4yuohd01lncuqw4dqbae5z/view";"Öppna PDF")</f>
        <v/>
      </c>
      <c r="AR1536">
        <f>HYPERLINK("http://localhost:8787/api/admin/requirements/documents/cmm4yuohd01lncuqw4dqbae5z/view","Open PDF")</f>
        <v/>
      </c>
      <c r="AS1536" t="inlineStr">
        <is>
          <t>cmm55w57p0004cuisfrtpqly8</t>
        </is>
      </c>
      <c r="AT1536" t="inlineStr">
        <is>
          <t>cmm4xvu980000cuh4vj0usz09</t>
        </is>
      </c>
      <c r="AU1536" t="inlineStr">
        <is>
          <t>Post Skara</t>
        </is>
      </c>
      <c r="AV1536" t="inlineStr">
        <is>
          <t>Kommun</t>
        </is>
      </c>
      <c r="AW1536" t="inlineStr">
        <is>
          <t>Post Skara kommun</t>
        </is>
      </c>
      <c r="AX1536" t="inlineStr">
        <is>
          <t>2024-04</t>
        </is>
      </c>
      <c r="AY1536" t="inlineStr">
        <is>
          <t>Beslut</t>
        </is>
      </c>
      <c r="AZ1536" t="inlineStr">
        <is>
          <t>2026-02-03</t>
        </is>
      </c>
      <c r="BA1536" t="inlineStr">
        <is>
          <t>SKSBN-2024-254__2024-04-03_M - Beslut om försiktighetsmått.pdf</t>
        </is>
      </c>
      <c r="BB1536" t="inlineStr">
        <is>
          <t>Efterfrågade handlingar</t>
        </is>
      </c>
      <c r="BC1536" t="inlineStr">
        <is>
          <t>AUTO</t>
        </is>
      </c>
      <c r="BD1536" t="inlineStr"/>
      <c r="BE1536" t="inlineStr"/>
      <c r="BF1536" t="inlineStr">
        <is>
          <t>AUTO_GENERERAD. Bekrafta metadata mot kallfil.</t>
        </is>
      </c>
      <c r="BG1536">
        <f>HYPERLINK("C:\Users\jimmy\Desktop\Examens arbete\Kod\Ny mapp\remix_-copy-of-miljöbeslut.se-portal\SKSBN-2024-254__2024-04-03_M - Beslut om försiktighetsmått.pdf", "Öppna PDF")</f>
        <v/>
      </c>
    </row>
    <row r="1537">
      <c r="A1537" t="inlineStr">
        <is>
          <t>KRAV-AUTO-001536</t>
        </is>
      </c>
      <c r="B1537" t="inlineStr">
        <is>
          <t>ADMIN-INDEX-2026-02-27-00000000125C043F57453246863FE664CAFE6A3F0700950291EA24F0614FB6ACEDB12BF0E31D00000000010C0000950291EA24F0614FB6ACEDB12BF0E31D00002087AED70000</t>
        </is>
      </c>
      <c r="C1537" t="inlineStr">
        <is>
          <t>cmm4yuoh201lecuqwwsn0o7r6</t>
        </is>
      </c>
      <c r="D1537" t="inlineStr">
        <is>
          <t>http://localhost:8787/api/admin/requirements/documents/cmm4yuoh201lecuqwwsn0o7r6/view</t>
        </is>
      </c>
      <c r="E1537">
        <f>HYPERLÄNK("http://localhost:8787/api/admin/requirements/documents/cmm4yuoh201lecuqwwsn0o7r6/view";"Öppna PDF")</f>
        <v/>
      </c>
      <c r="F1537">
        <f>HYPERLINK("http://localhost:8787/api/admin/requirements/documents/cmm4yuoh201lecuqwwsn0o7r6/view","Open PDF")</f>
        <v/>
      </c>
      <c r="G1537" t="inlineStr">
        <is>
          <t>cmm55w57p0004cuisfrtpqly8</t>
        </is>
      </c>
      <c r="H1537" t="inlineStr">
        <is>
          <t>Informationskrav</t>
        </is>
      </c>
      <c r="I1537" t="inlineStr">
        <is>
          <t>LagringsvolymTid</t>
        </is>
      </c>
      <c r="J1537" t="inlineStr">
        <is>
          <t>Maxmangd</t>
        </is>
      </c>
      <c r="K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7" t="inlineStr">
        <is>
          <t>SKA</t>
        </is>
      </c>
      <c r="N1537" t="inlineStr">
        <is>
          <t>FMH</t>
        </is>
      </c>
      <c r="O1537" t="inlineStr"/>
      <c r="P1537" t="inlineStr">
        <is>
          <t>Arlig</t>
        </is>
      </c>
      <c r="Q1537" t="inlineStr"/>
      <c r="R1537" t="inlineStr">
        <is>
          <t>Alltid</t>
        </is>
      </c>
      <c r="S1537" t="inlineStr"/>
      <c r="T1537" t="inlineStr">
        <is>
          <t>556155</t>
        </is>
      </c>
      <c r="U1537" t="inlineStr"/>
      <c r="V1537" t="inlineStr"/>
      <c r="W1537" t="inlineStr">
        <is>
          <t>Nej</t>
        </is>
      </c>
      <c r="X1537" t="inlineStr">
        <is>
          <t>Nej</t>
        </is>
      </c>
      <c r="Y1537" t="inlineStr">
        <is>
          <t>Nej</t>
        </is>
      </c>
      <c r="Z1537" t="inlineStr">
        <is>
          <t>Nej</t>
        </is>
      </c>
      <c r="AA1537" t="n">
        <v>4</v>
      </c>
      <c r="AB1537" t="inlineStr">
        <is>
          <t>Avfallsmangder och lagringstid</t>
        </is>
      </c>
      <c r="AC1537" t="inlineStr">
        <is>
          <t>Avfallsforteckning</t>
        </is>
      </c>
      <c r="AD1537" t="inlineStr">
        <is>
          <t>Nej</t>
        </is>
      </c>
      <c r="AE1537" t="inlineStr">
        <is>
          <t>Nej</t>
        </is>
      </c>
      <c r="AF1537" t="inlineStr">
        <is>
          <t>Ej behandlad</t>
        </is>
      </c>
      <c r="AG1537" t="inlineStr">
        <is>
          <t>AUTO_GENERERAD. Verifiera citat mot kallfil.</t>
        </is>
      </c>
      <c r="AH1537" t="inlineStr">
        <is>
          <t>MEDIUM</t>
        </is>
      </c>
      <c r="AI1537" t="inlineStr">
        <is>
          <t>AUTO</t>
        </is>
      </c>
      <c r="AJ1537" t="inlineStr">
        <is>
          <t>Nej</t>
        </is>
      </c>
      <c r="AK1537" t="inlineStr"/>
      <c r="AL1537" t="inlineStr"/>
      <c r="AM1537" t="inlineStr"/>
      <c r="AN1537" t="inlineStr"/>
      <c r="AO1537" t="inlineStr">
        <is>
          <t>cmm4yuohd01lncuqw4dqbae5z</t>
        </is>
      </c>
      <c r="AP1537" t="inlineStr">
        <is>
          <t>http://localhost:8787/api/admin/requirements/documents/cmm4yuohd01lncuqw4dqbae5z/view</t>
        </is>
      </c>
      <c r="AQ1537">
        <f>HYPERLÄNK("http://localhost:8787/api/admin/requirements/documents/cmm4yuohd01lncuqw4dqbae5z/view";"Öppna PDF")</f>
        <v/>
      </c>
      <c r="AR1537">
        <f>HYPERLINK("http://localhost:8787/api/admin/requirements/documents/cmm4yuohd01lncuqw4dqbae5z/view","Open PDF")</f>
        <v/>
      </c>
      <c r="AS1537" t="inlineStr">
        <is>
          <t>cmm55w57p0004cuisfrtpqly8</t>
        </is>
      </c>
      <c r="AT1537" t="inlineStr">
        <is>
          <t>cmm4xvu980000cuh4vj0usz09</t>
        </is>
      </c>
      <c r="AU1537" t="inlineStr">
        <is>
          <t>Post Skara</t>
        </is>
      </c>
      <c r="AV1537" t="inlineStr">
        <is>
          <t>Kommun</t>
        </is>
      </c>
      <c r="AW1537" t="inlineStr">
        <is>
          <t>Post Skara kommun</t>
        </is>
      </c>
      <c r="AX1537" t="inlineStr">
        <is>
          <t>2024-04</t>
        </is>
      </c>
      <c r="AY1537" t="inlineStr">
        <is>
          <t>Beslut</t>
        </is>
      </c>
      <c r="AZ1537" t="inlineStr">
        <is>
          <t>2026-02-03</t>
        </is>
      </c>
      <c r="BA1537" t="inlineStr">
        <is>
          <t>SKSBN-2024-254__2024-04-03_M - Beslut om försiktighetsmått.pdf</t>
        </is>
      </c>
      <c r="BB1537" t="inlineStr">
        <is>
          <t>Efterfrågade handlingar</t>
        </is>
      </c>
      <c r="BC1537" t="inlineStr">
        <is>
          <t>AUTO</t>
        </is>
      </c>
      <c r="BD1537" t="inlineStr"/>
      <c r="BE1537" t="inlineStr"/>
      <c r="BF1537" t="inlineStr">
        <is>
          <t>AUTO_GENERERAD. Bekrafta metadata mot kallfil.</t>
        </is>
      </c>
      <c r="BG1537">
        <f>HYPERLINK("C:\Users\jimmy\Desktop\Examens arbete\Kod\Ny mapp\remix_-copy-of-miljöbeslut.se-portal\SKSBN-2024-254__2024-04-03_M - Beslut om försiktighetsmått.pdf", "Öppna PDF")</f>
        <v/>
      </c>
    </row>
    <row r="1538">
      <c r="A1538" t="inlineStr">
        <is>
          <t>KRAV-AUTO-001537</t>
        </is>
      </c>
      <c r="B1538" t="inlineStr">
        <is>
          <t>ADMIN-INDEX-2026-02-27-00000000125C043F57453246863FE664CAFE6A3F0700950291EA24F0614FB6ACEDB12BF0E31D00000000010C0000950291EA24F0614FB6ACEDB12BF0E31D00002087AED70000</t>
        </is>
      </c>
      <c r="C1538" t="inlineStr">
        <is>
          <t>cmm4yuogy01lbcuqw0ad9zz2p</t>
        </is>
      </c>
      <c r="D1538" t="inlineStr">
        <is>
          <t>http://localhost:8787/api/admin/requirements/documents/cmm4yuogy01lbcuqw0ad9zz2p/view</t>
        </is>
      </c>
      <c r="E1538">
        <f>HYPERLÄNK("http://localhost:8787/api/admin/requirements/documents/cmm4yuogy01lbcuqw0ad9zz2p/view";"Öppna PDF")</f>
        <v/>
      </c>
      <c r="F1538">
        <f>HYPERLINK("http://localhost:8787/api/admin/requirements/documents/cmm4yuogy01lbcuqw0ad9zz2p/view","Open PDF")</f>
        <v/>
      </c>
      <c r="G1538" t="inlineStr">
        <is>
          <t>cmm55w57p0004cuisfrtpqly8</t>
        </is>
      </c>
      <c r="H1538" t="inlineStr">
        <is>
          <t>Beslutsvillkor</t>
        </is>
      </c>
      <c r="I1538" t="inlineStr">
        <is>
          <t>MiljopaverkanForsiktighet</t>
        </is>
      </c>
      <c r="J1538" t="inlineStr">
        <is>
          <t>Skyddsatgarder</t>
        </is>
      </c>
      <c r="K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38" t="inlineStr">
        <is>
          <t>SKA</t>
        </is>
      </c>
      <c r="N1538" t="inlineStr">
        <is>
          <t>FMH</t>
        </is>
      </c>
      <c r="O1538" t="inlineStr">
        <is>
          <t>2024-02-29</t>
        </is>
      </c>
      <c r="P1538" t="inlineStr">
        <is>
          <t>Arlig</t>
        </is>
      </c>
      <c r="Q1538" t="inlineStr">
        <is>
          <t>Forelaggande vid brist</t>
        </is>
      </c>
      <c r="R1538" t="inlineStr">
        <is>
          <t>Alltid</t>
        </is>
      </c>
      <c r="S1538" t="inlineStr"/>
      <c r="T1538" t="inlineStr">
        <is>
          <t>212000</t>
        </is>
      </c>
      <c r="U1538" t="inlineStr"/>
      <c r="V1538" t="inlineStr"/>
      <c r="W1538" t="inlineStr">
        <is>
          <t>Nej</t>
        </is>
      </c>
      <c r="X1538" t="inlineStr">
        <is>
          <t>Nej</t>
        </is>
      </c>
      <c r="Y1538" t="inlineStr">
        <is>
          <t>Nej</t>
        </is>
      </c>
      <c r="Z1538" t="inlineStr">
        <is>
          <t>Nej</t>
        </is>
      </c>
      <c r="AA1538" t="n">
        <v>10</v>
      </c>
      <c r="AB1538" t="inlineStr">
        <is>
          <t>Miljopaverkan och forsiktighetsmatt</t>
        </is>
      </c>
      <c r="AC1538" t="inlineStr">
        <is>
          <t>Miljo-PM</t>
        </is>
      </c>
      <c r="AD1538" t="inlineStr">
        <is>
          <t>Nej</t>
        </is>
      </c>
      <c r="AE1538" t="inlineStr">
        <is>
          <t>Nej</t>
        </is>
      </c>
      <c r="AF1538" t="inlineStr">
        <is>
          <t>Ej behandlad</t>
        </is>
      </c>
      <c r="AG1538" t="inlineStr">
        <is>
          <t>AUTO_GENERERAD. Verifiera citat mot kallfil.</t>
        </is>
      </c>
      <c r="AH1538" t="inlineStr">
        <is>
          <t>HIGH</t>
        </is>
      </c>
      <c r="AI1538" t="inlineStr">
        <is>
          <t>AUTO</t>
        </is>
      </c>
      <c r="AJ1538" t="inlineStr">
        <is>
          <t>Nej</t>
        </is>
      </c>
      <c r="AK1538" t="inlineStr"/>
      <c r="AL1538" t="inlineStr"/>
      <c r="AM1538" t="inlineStr"/>
      <c r="AN1538" t="inlineStr"/>
      <c r="AO1538" t="inlineStr">
        <is>
          <t>cmm4yuohd01lncuqw4dqbae5z</t>
        </is>
      </c>
      <c r="AP1538" t="inlineStr">
        <is>
          <t>http://localhost:8787/api/admin/requirements/documents/cmm4yuohd01lncuqw4dqbae5z/view</t>
        </is>
      </c>
      <c r="AQ1538">
        <f>HYPERLÄNK("http://localhost:8787/api/admin/requirements/documents/cmm4yuohd01lncuqw4dqbae5z/view";"Öppna PDF")</f>
        <v/>
      </c>
      <c r="AR1538">
        <f>HYPERLINK("http://localhost:8787/api/admin/requirements/documents/cmm4yuohd01lncuqw4dqbae5z/view","Open PDF")</f>
        <v/>
      </c>
      <c r="AS1538" t="inlineStr">
        <is>
          <t>cmm55w57p0004cuisfrtpqly8</t>
        </is>
      </c>
      <c r="AT1538" t="inlineStr">
        <is>
          <t>cmm4xvu980000cuh4vj0usz09</t>
        </is>
      </c>
      <c r="AU1538" t="inlineStr">
        <is>
          <t>Post Skara</t>
        </is>
      </c>
      <c r="AV1538" t="inlineStr">
        <is>
          <t>Kommun</t>
        </is>
      </c>
      <c r="AW1538" t="inlineStr">
        <is>
          <t>Post Skara kommun</t>
        </is>
      </c>
      <c r="AX1538" t="inlineStr">
        <is>
          <t>2024-04</t>
        </is>
      </c>
      <c r="AY1538" t="inlineStr">
        <is>
          <t>Beslut</t>
        </is>
      </c>
      <c r="AZ1538" t="inlineStr">
        <is>
          <t>2026-02-03</t>
        </is>
      </c>
      <c r="BA1538" t="inlineStr">
        <is>
          <t>SKSBN-2024-254__2024-04-03_M - Beslut om försiktighetsmått.pdf</t>
        </is>
      </c>
      <c r="BB1538" t="inlineStr">
        <is>
          <t>Efterfrågade handlingar</t>
        </is>
      </c>
      <c r="BC1538" t="inlineStr">
        <is>
          <t>AUTO</t>
        </is>
      </c>
      <c r="BD1538" t="inlineStr"/>
      <c r="BE1538" t="inlineStr"/>
      <c r="BF1538" t="inlineStr">
        <is>
          <t>AUTO_GENERERAD. Bekrafta metadata mot kallfil.</t>
        </is>
      </c>
      <c r="BG1538">
        <f>HYPERLINK("C:\Users\jimmy\Desktop\Examens arbete\Kod\Ny mapp\remix_-copy-of-miljöbeslut.se-portal\SKSBN-2024-254__2024-04-03_M - Beslut om försiktighetsmått.pdf", "Öppna PDF")</f>
        <v/>
      </c>
    </row>
    <row r="1539">
      <c r="A1539" t="inlineStr">
        <is>
          <t>KRAV-AUTO-001538</t>
        </is>
      </c>
      <c r="B1539" t="inlineStr">
        <is>
          <t>ADMIN-INDEX-2026-02-27-00000000125C043F57453246863FE664CAFE6A3F0700950291EA24F0614FB6ACEDB12BF0E31D00000000010C0000950291EA24F0614FB6ACEDB12BF0E31D00002087AED70000</t>
        </is>
      </c>
      <c r="C1539" t="inlineStr">
        <is>
          <t>cmm4yuogt01l8cuqw2m2r910t</t>
        </is>
      </c>
      <c r="D1539" t="inlineStr">
        <is>
          <t>http://localhost:8787/api/admin/requirements/documents/cmm4yuogt01l8cuqw2m2r910t/view</t>
        </is>
      </c>
      <c r="E1539">
        <f>HYPERLÄNK("http://localhost:8787/api/admin/requirements/documents/cmm4yuogt01l8cuqw2m2r910t/view";"Öppna PDF")</f>
        <v/>
      </c>
      <c r="F1539">
        <f>HYPERLINK("http://localhost:8787/api/admin/requirements/documents/cmm4yuogt01l8cuqw2m2r910t/view","Open PDF")</f>
        <v/>
      </c>
      <c r="G1539" t="inlineStr">
        <is>
          <t>cmm55w57p0004cuisfrtpqly8</t>
        </is>
      </c>
      <c r="H1539" t="inlineStr">
        <is>
          <t>Informationskrav</t>
        </is>
      </c>
      <c r="I1539" t="inlineStr">
        <is>
          <t>DagvattenLakvatten</t>
        </is>
      </c>
      <c r="J1539" t="inlineStr">
        <is>
          <t>Uppsamling</t>
        </is>
      </c>
      <c r="K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Ο Situationsplan bifogas Planritning bifogas (obligatorisk vid ny etablering) VA-ritning (obligatorisk om verksamheten har spill-, process och dagvattenutsläpp) Råvaror och kemiska produkter Ange råvaror, kemiska produkter, biotekniska organismer.</t>
        </is>
      </c>
      <c r="L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9" t="inlineStr">
        <is>
          <t>SKA</t>
        </is>
      </c>
      <c r="N1539" t="inlineStr">
        <is>
          <t>FMH</t>
        </is>
      </c>
      <c r="O1539" t="inlineStr"/>
      <c r="P1539" t="inlineStr"/>
      <c r="Q1539" t="inlineStr"/>
      <c r="R1539" t="inlineStr">
        <is>
          <t>Vid nederbord och avrinning</t>
        </is>
      </c>
      <c r="S1539" t="inlineStr"/>
      <c r="T1539" t="inlineStr">
        <is>
          <t>556908</t>
        </is>
      </c>
      <c r="U1539" t="inlineStr"/>
      <c r="V1539" t="inlineStr"/>
      <c r="W1539" t="inlineStr">
        <is>
          <t>Nej</t>
        </is>
      </c>
      <c r="X1539" t="inlineStr">
        <is>
          <t>Ja</t>
        </is>
      </c>
      <c r="Y1539" t="inlineStr">
        <is>
          <t>Ja</t>
        </is>
      </c>
      <c r="Z1539" t="inlineStr">
        <is>
          <t>Nej</t>
        </is>
      </c>
      <c r="AA1539" t="n">
        <v>6</v>
      </c>
      <c r="AB1539" t="inlineStr">
        <is>
          <t>Lakvattenhantering</t>
        </is>
      </c>
      <c r="AC1539" t="inlineStr">
        <is>
          <t>Flodesschema dagvatten-lakvatten</t>
        </is>
      </c>
      <c r="AD1539" t="inlineStr">
        <is>
          <t>Nej</t>
        </is>
      </c>
      <c r="AE1539" t="inlineStr">
        <is>
          <t>Nej</t>
        </is>
      </c>
      <c r="AF1539" t="inlineStr">
        <is>
          <t>Ej behandlad</t>
        </is>
      </c>
      <c r="AG1539" t="inlineStr">
        <is>
          <t>AUTO_GENERERAD. Verifiera citat mot kallfil.</t>
        </is>
      </c>
      <c r="AH1539" t="inlineStr">
        <is>
          <t>HIGH</t>
        </is>
      </c>
      <c r="AI1539" t="inlineStr">
        <is>
          <t>AUTO</t>
        </is>
      </c>
      <c r="AJ1539" t="inlineStr">
        <is>
          <t>Nej</t>
        </is>
      </c>
      <c r="AK1539" t="inlineStr"/>
      <c r="AL1539" t="inlineStr"/>
      <c r="AM1539" t="inlineStr"/>
      <c r="AN1539" t="inlineStr"/>
      <c r="AO1539" t="inlineStr">
        <is>
          <t>cmm4yuohd01lncuqw4dqbae5z</t>
        </is>
      </c>
      <c r="AP1539" t="inlineStr">
        <is>
          <t>http://localhost:8787/api/admin/requirements/documents/cmm4yuohd01lncuqw4dqbae5z/view</t>
        </is>
      </c>
      <c r="AQ1539">
        <f>HYPERLÄNK("http://localhost:8787/api/admin/requirements/documents/cmm4yuohd01lncuqw4dqbae5z/view";"Öppna PDF")</f>
        <v/>
      </c>
      <c r="AR1539">
        <f>HYPERLINK("http://localhost:8787/api/admin/requirements/documents/cmm4yuohd01lncuqw4dqbae5z/view","Open PDF")</f>
        <v/>
      </c>
      <c r="AS1539" t="inlineStr">
        <is>
          <t>cmm55w57p0004cuisfrtpqly8</t>
        </is>
      </c>
      <c r="AT1539" t="inlineStr">
        <is>
          <t>cmm4xvu980000cuh4vj0usz09</t>
        </is>
      </c>
      <c r="AU1539" t="inlineStr">
        <is>
          <t>Post Skara</t>
        </is>
      </c>
      <c r="AV1539" t="inlineStr">
        <is>
          <t>Kommun</t>
        </is>
      </c>
      <c r="AW1539" t="inlineStr">
        <is>
          <t>Post Skara kommun</t>
        </is>
      </c>
      <c r="AX1539" t="inlineStr">
        <is>
          <t>2024-04</t>
        </is>
      </c>
      <c r="AY1539" t="inlineStr">
        <is>
          <t>Beslut</t>
        </is>
      </c>
      <c r="AZ1539" t="inlineStr">
        <is>
          <t>2026-02-03</t>
        </is>
      </c>
      <c r="BA1539" t="inlineStr">
        <is>
          <t>SKSBN-2024-254__2024-04-03_M - Beslut om försiktighetsmått.pdf</t>
        </is>
      </c>
      <c r="BB1539" t="inlineStr">
        <is>
          <t>Efterfrågade handlingar</t>
        </is>
      </c>
      <c r="BC1539" t="inlineStr">
        <is>
          <t>AUTO</t>
        </is>
      </c>
      <c r="BD1539" t="inlineStr"/>
      <c r="BE1539" t="inlineStr"/>
      <c r="BF1539" t="inlineStr">
        <is>
          <t>AUTO_GENERERAD. Bekrafta metadata mot kallfil.</t>
        </is>
      </c>
      <c r="BG1539">
        <f>HYPERLINK("C:\Users\jimmy\Desktop\Examens arbete\Kod\Ny mapp\remix_-copy-of-miljöbeslut.se-portal\SKSBN-2024-254__2024-04-03_M - Beslut om försiktighetsmått.pdf", "Öppna PDF")</f>
        <v/>
      </c>
    </row>
    <row r="1540">
      <c r="A1540" t="inlineStr">
        <is>
          <t>KRAV-AUTO-001539</t>
        </is>
      </c>
      <c r="B1540" t="inlineStr">
        <is>
          <t>ADMIN-INDEX-2026-02-27-00000000125C043F57453246863FE664CAFE6A3F0700950291EA24F0614FB6ACEDB12BF0E31D00000000010C0000950291EA24F0614FB6ACEDB12BF0E31D00002087AED70000</t>
        </is>
      </c>
      <c r="C1540" t="inlineStr">
        <is>
          <t>cmm4yuogt01l8cuqw2m2r910t</t>
        </is>
      </c>
      <c r="D1540" t="inlineStr">
        <is>
          <t>http://localhost:8787/api/admin/requirements/documents/cmm4yuogt01l8cuqw2m2r910t/view</t>
        </is>
      </c>
      <c r="E1540">
        <f>HYPERLÄNK("http://localhost:8787/api/admin/requirements/documents/cmm4yuogt01l8cuqw2m2r910t/view";"Öppna PDF")</f>
        <v/>
      </c>
      <c r="F1540">
        <f>HYPERLINK("http://localhost:8787/api/admin/requirements/documents/cmm4yuogt01l8cuqw2m2r910t/view","Open PDF")</f>
        <v/>
      </c>
      <c r="G1540" t="inlineStr">
        <is>
          <t>cmm55w57p0004cuisfrtpqly8</t>
        </is>
      </c>
      <c r="H1540" t="inlineStr">
        <is>
          <t>Informationskrav</t>
        </is>
      </c>
      <c r="I1540" t="inlineStr">
        <is>
          <t>LagringsvolymTid</t>
        </is>
      </c>
      <c r="J1540" t="inlineStr">
        <is>
          <t>Maxmangd</t>
        </is>
      </c>
      <c r="K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t>
        </is>
      </c>
      <c r="M1540" t="inlineStr">
        <is>
          <t>SKA</t>
        </is>
      </c>
      <c r="N1540" t="inlineStr">
        <is>
          <t>FMH</t>
        </is>
      </c>
      <c r="O1540" t="inlineStr"/>
      <c r="P1540" t="inlineStr">
        <is>
          <t>Arlig</t>
        </is>
      </c>
      <c r="Q1540" t="inlineStr"/>
      <c r="R1540" t="inlineStr">
        <is>
          <t>Alltid</t>
        </is>
      </c>
      <c r="S1540" t="inlineStr"/>
      <c r="T1540" t="inlineStr">
        <is>
          <t>556908</t>
        </is>
      </c>
      <c r="U1540" t="inlineStr"/>
      <c r="V1540" t="inlineStr"/>
      <c r="W1540" t="inlineStr">
        <is>
          <t>Nej</t>
        </is>
      </c>
      <c r="X1540" t="inlineStr">
        <is>
          <t>Nej</t>
        </is>
      </c>
      <c r="Y1540" t="inlineStr">
        <is>
          <t>Nej</t>
        </is>
      </c>
      <c r="Z1540" t="inlineStr">
        <is>
          <t>Nej</t>
        </is>
      </c>
      <c r="AA1540" t="n">
        <v>4</v>
      </c>
      <c r="AB1540" t="inlineStr">
        <is>
          <t>Avfallsmangder och lagringstid</t>
        </is>
      </c>
      <c r="AC1540" t="inlineStr">
        <is>
          <t>Avfallsforteckning</t>
        </is>
      </c>
      <c r="AD1540" t="inlineStr">
        <is>
          <t>Nej</t>
        </is>
      </c>
      <c r="AE1540" t="inlineStr">
        <is>
          <t>Nej</t>
        </is>
      </c>
      <c r="AF1540" t="inlineStr">
        <is>
          <t>Ej behandlad</t>
        </is>
      </c>
      <c r="AG1540" t="inlineStr">
        <is>
          <t>AUTO_GENERERAD. Verifiera citat mot kallfil.</t>
        </is>
      </c>
      <c r="AH1540" t="inlineStr">
        <is>
          <t>HIGH</t>
        </is>
      </c>
      <c r="AI1540" t="inlineStr">
        <is>
          <t>AUTO</t>
        </is>
      </c>
      <c r="AJ1540" t="inlineStr">
        <is>
          <t>Nej</t>
        </is>
      </c>
      <c r="AK1540" t="inlineStr"/>
      <c r="AL1540" t="inlineStr"/>
      <c r="AM1540" t="inlineStr"/>
      <c r="AN1540" t="inlineStr"/>
      <c r="AO1540" t="inlineStr">
        <is>
          <t>cmm4yuohd01lncuqw4dqbae5z</t>
        </is>
      </c>
      <c r="AP1540" t="inlineStr">
        <is>
          <t>http://localhost:8787/api/admin/requirements/documents/cmm4yuohd01lncuqw4dqbae5z/view</t>
        </is>
      </c>
      <c r="AQ1540">
        <f>HYPERLÄNK("http://localhost:8787/api/admin/requirements/documents/cmm4yuohd01lncuqw4dqbae5z/view";"Öppna PDF")</f>
        <v/>
      </c>
      <c r="AR1540">
        <f>HYPERLINK("http://localhost:8787/api/admin/requirements/documents/cmm4yuohd01lncuqw4dqbae5z/view","Open PDF")</f>
        <v/>
      </c>
      <c r="AS1540" t="inlineStr">
        <is>
          <t>cmm55w57p0004cuisfrtpqly8</t>
        </is>
      </c>
      <c r="AT1540" t="inlineStr">
        <is>
          <t>cmm4xvu980000cuh4vj0usz09</t>
        </is>
      </c>
      <c r="AU1540" t="inlineStr">
        <is>
          <t>Post Skara</t>
        </is>
      </c>
      <c r="AV1540" t="inlineStr">
        <is>
          <t>Kommun</t>
        </is>
      </c>
      <c r="AW1540" t="inlineStr">
        <is>
          <t>Post Skara kommun</t>
        </is>
      </c>
      <c r="AX1540" t="inlineStr">
        <is>
          <t>2024-04</t>
        </is>
      </c>
      <c r="AY1540" t="inlineStr">
        <is>
          <t>Beslut</t>
        </is>
      </c>
      <c r="AZ1540" t="inlineStr">
        <is>
          <t>2026-02-03</t>
        </is>
      </c>
      <c r="BA1540" t="inlineStr">
        <is>
          <t>SKSBN-2024-254__2024-04-03_M - Beslut om försiktighetsmått.pdf</t>
        </is>
      </c>
      <c r="BB1540" t="inlineStr">
        <is>
          <t>Efterfrågade handlingar</t>
        </is>
      </c>
      <c r="BC1540" t="inlineStr">
        <is>
          <t>AUTO</t>
        </is>
      </c>
      <c r="BD1540" t="inlineStr"/>
      <c r="BE1540" t="inlineStr"/>
      <c r="BF1540" t="inlineStr">
        <is>
          <t>AUTO_GENERERAD. Bekrafta metadata mot kallfil.</t>
        </is>
      </c>
      <c r="BG1540">
        <f>HYPERLINK("C:\Users\jimmy\Desktop\Examens arbete\Kod\Ny mapp\remix_-copy-of-miljöbeslut.se-portal\SKSBN-2024-254__2024-04-03_M - Beslut om försiktighetsmått.pdf", "Öppna PDF")</f>
        <v/>
      </c>
    </row>
    <row r="1541">
      <c r="A1541" t="inlineStr">
        <is>
          <t>KRAV-AUTO-001540</t>
        </is>
      </c>
      <c r="B1541" t="inlineStr">
        <is>
          <t>ADMIN-INDEX-2026-02-27-00000000125C043F57453246863FE664CAFE6A3F0700950291EA24F0614FB6ACEDB12BF0E31D00000000010C0000950291EA24F0614FB6ACEDB12BF0E31D00002087AED80000</t>
        </is>
      </c>
      <c r="C1541" t="inlineStr">
        <is>
          <t>cmm4yuog701ktcuqwpqy40zq6</t>
        </is>
      </c>
      <c r="D1541" t="inlineStr">
        <is>
          <t>http://localhost:8787/api/admin/requirements/documents/cmm4yuog701ktcuqwpqy40zq6/view</t>
        </is>
      </c>
      <c r="E1541">
        <f>HYPERLÄNK("http://localhost:8787/api/admin/requirements/documents/cmm4yuog701ktcuqwpqy40zq6/view";"Öppna PDF")</f>
        <v/>
      </c>
      <c r="F1541">
        <f>HYPERLINK("http://localhost:8787/api/admin/requirements/documents/cmm4yuog701ktcuqwpqy40zq6/view","Open PDF")</f>
        <v/>
      </c>
      <c r="G1541" t="inlineStr">
        <is>
          <t>cmm55w57p0004cuisfrtpqly8</t>
        </is>
      </c>
      <c r="H1541" t="inlineStr">
        <is>
          <t>Beslutsvillkor</t>
        </is>
      </c>
      <c r="I1541" t="inlineStr">
        <is>
          <t>DagvattenLakvatten</t>
        </is>
      </c>
      <c r="J1541" t="inlineStr">
        <is>
          <t>Uppsamling</t>
        </is>
      </c>
      <c r="K1541" t="inlineStr">
        <is>
          <t>Asksläckvatten och lakvatten från aska ska inte släppas orenat som dagvatten eller till spillvattennätet.</t>
        </is>
      </c>
      <c r="L1541" t="inlineStr">
        <is>
          <t>Asksläckvatten och lakvatten från aska ska inte släppas orenat som dagvatten eller till spillvattennätet.</t>
        </is>
      </c>
      <c r="M1541" t="inlineStr">
        <is>
          <t>SKA</t>
        </is>
      </c>
      <c r="N1541" t="inlineStr"/>
      <c r="O1541" t="inlineStr"/>
      <c r="P1541" t="inlineStr"/>
      <c r="Q1541" t="inlineStr"/>
      <c r="R1541" t="inlineStr">
        <is>
          <t>Vid nederbord och avrinning</t>
        </is>
      </c>
      <c r="S1541" t="inlineStr"/>
      <c r="T1541" t="inlineStr">
        <is>
          <t>212000</t>
        </is>
      </c>
      <c r="U1541" t="inlineStr"/>
      <c r="V1541" t="inlineStr"/>
      <c r="W1541" t="inlineStr">
        <is>
          <t>Nej</t>
        </is>
      </c>
      <c r="X1541" t="inlineStr">
        <is>
          <t>Ja</t>
        </is>
      </c>
      <c r="Y1541" t="inlineStr">
        <is>
          <t>Ja</t>
        </is>
      </c>
      <c r="Z1541" t="inlineStr">
        <is>
          <t>Nej</t>
        </is>
      </c>
      <c r="AA1541" t="n">
        <v>6</v>
      </c>
      <c r="AB1541" t="inlineStr">
        <is>
          <t>Lakvattenhantering</t>
        </is>
      </c>
      <c r="AC1541" t="inlineStr">
        <is>
          <t>Flodesschema dagvatten-lakvatten</t>
        </is>
      </c>
      <c r="AD1541" t="inlineStr">
        <is>
          <t>Nej</t>
        </is>
      </c>
      <c r="AE1541" t="inlineStr">
        <is>
          <t>Nej</t>
        </is>
      </c>
      <c r="AF1541" t="inlineStr">
        <is>
          <t>Ej behandlad</t>
        </is>
      </c>
      <c r="AG1541" t="inlineStr">
        <is>
          <t>AUTO_GENERERAD. Verifiera citat mot kallfil.</t>
        </is>
      </c>
      <c r="AH1541" t="inlineStr">
        <is>
          <t>MEDIUM</t>
        </is>
      </c>
      <c r="AI1541" t="inlineStr">
        <is>
          <t>AUTO</t>
        </is>
      </c>
      <c r="AJ1541" t="inlineStr">
        <is>
          <t>Nej</t>
        </is>
      </c>
      <c r="AK1541" t="inlineStr"/>
      <c r="AL1541" t="inlineStr"/>
      <c r="AM1541" t="inlineStr"/>
      <c r="AN1541" t="inlineStr"/>
      <c r="AO1541" t="inlineStr">
        <is>
          <t>cmm4yuog701ktcuqwpqy40zq6</t>
        </is>
      </c>
      <c r="AP1541" t="inlineStr">
        <is>
          <t>http://localhost:8787/api/admin/requirements/documents/cmm4yuog701ktcuqwpqy40zq6/view</t>
        </is>
      </c>
      <c r="AQ1541">
        <f>HYPERLÄNK("http://localhost:8787/api/admin/requirements/documents/cmm4yuog701ktcuqwpqy40zq6/view";"Öppna PDF")</f>
        <v/>
      </c>
      <c r="AR1541">
        <f>HYPERLINK("http://localhost:8787/api/admin/requirements/documents/cmm4yuog701ktcuqwpqy40zq6/view","Open PDF")</f>
        <v/>
      </c>
      <c r="AS1541" t="inlineStr">
        <is>
          <t>cmm55w57p0004cuisfrtpqly8</t>
        </is>
      </c>
      <c r="AT1541" t="inlineStr">
        <is>
          <t>cmm4xvu980000cuh4vj0usz09</t>
        </is>
      </c>
      <c r="AU1541" t="inlineStr">
        <is>
          <t>Post Skara</t>
        </is>
      </c>
      <c r="AV1541" t="inlineStr">
        <is>
          <t>Kommun</t>
        </is>
      </c>
      <c r="AW1541" t="inlineStr">
        <is>
          <t>Post Skara kommun</t>
        </is>
      </c>
      <c r="AX1541" t="inlineStr">
        <is>
          <t>2024-04</t>
        </is>
      </c>
      <c r="AY1541" t="inlineStr">
        <is>
          <t>Beslut</t>
        </is>
      </c>
      <c r="AZ1541" t="inlineStr">
        <is>
          <t>2026-02-03</t>
        </is>
      </c>
      <c r="BA1541" t="inlineStr">
        <is>
          <t>SKSBN-2024-254__2024-04-03_M - Beslut om försiktighetsmått.pdf</t>
        </is>
      </c>
      <c r="BB1541" t="inlineStr">
        <is>
          <t>Efterfrågade handlingar</t>
        </is>
      </c>
      <c r="BC1541" t="inlineStr">
        <is>
          <t>AUTO</t>
        </is>
      </c>
      <c r="BD1541" t="inlineStr"/>
      <c r="BE1541" t="inlineStr"/>
      <c r="BF1541" t="inlineStr">
        <is>
          <t>AUTO_GENERERAD. Bekrafta metadata mot kallfil.</t>
        </is>
      </c>
      <c r="BG1541">
        <f>HYPERLINK("C:\Users\jimmy\Desktop\Examens arbete\Kod\Ny mapp\remix_-copy-of-miljöbeslut.se-portal\SKSBN-2024-254__2024-04-03_M - Beslut om försiktighetsmått.pdf", "Öppna PDF")</f>
        <v/>
      </c>
    </row>
    <row r="1542">
      <c r="A1542" t="inlineStr">
        <is>
          <t>KRAV-AUTO-001541</t>
        </is>
      </c>
      <c r="B1542" t="inlineStr">
        <is>
          <t>ADMIN-INDEX-2026-02-27-00000000125C043F57453246863FE664CAFE6A3F0700950291EA24F0614FB6ACEDB12BF0E31D00000000010C0000950291EA24F0614FB6ACEDB12BF0E31D00002087AED80000</t>
        </is>
      </c>
      <c r="C1542" t="inlineStr">
        <is>
          <t>cmm4yuog701ktcuqwpqy40zq6</t>
        </is>
      </c>
      <c r="D1542" t="inlineStr">
        <is>
          <t>http://localhost:8787/api/admin/requirements/documents/cmm4yuog701ktcuqwpqy40zq6/view</t>
        </is>
      </c>
      <c r="E1542">
        <f>HYPERLÄNK("http://localhost:8787/api/admin/requirements/documents/cmm4yuog701ktcuqwpqy40zq6/view";"Öppna PDF")</f>
        <v/>
      </c>
      <c r="F1542">
        <f>HYPERLINK("http://localhost:8787/api/admin/requirements/documents/cmm4yuog701ktcuqwpqy40zq6/view","Open PDF")</f>
        <v/>
      </c>
      <c r="G1542" t="inlineStr">
        <is>
          <t>cmm55w57p0004cuisfrtpqly8</t>
        </is>
      </c>
      <c r="H1542" t="inlineStr">
        <is>
          <t>Beslutsvillkor</t>
        </is>
      </c>
      <c r="I1542" t="inlineStr">
        <is>
          <t>Ytkonstruktion</t>
        </is>
      </c>
      <c r="J1542" t="inlineStr">
        <is>
          <t>Tat yta</t>
        </is>
      </c>
      <c r="K1542" t="inlineStr">
        <is>
          <t>Vid förvaring utomhus ska invallningen vara skyddad mot nederbörd.</t>
        </is>
      </c>
      <c r="L1542" t="inlineStr">
        <is>
          <t>Vid förvaring utomhus ska invallningen vara skyddad mot nederbörd.</t>
        </is>
      </c>
      <c r="M1542" t="inlineStr">
        <is>
          <t>SKA</t>
        </is>
      </c>
      <c r="N1542" t="inlineStr"/>
      <c r="O1542" t="inlineStr"/>
      <c r="P1542" t="inlineStr"/>
      <c r="Q1542" t="inlineStr"/>
      <c r="R1542" t="inlineStr">
        <is>
          <t>Vid mellanlagring av avfall</t>
        </is>
      </c>
      <c r="S1542" t="inlineStr"/>
      <c r="T1542" t="inlineStr">
        <is>
          <t>212000</t>
        </is>
      </c>
      <c r="U1542" t="inlineStr"/>
      <c r="V1542" t="inlineStr"/>
      <c r="W1542" t="inlineStr">
        <is>
          <t>Ja</t>
        </is>
      </c>
      <c r="X1542" t="inlineStr">
        <is>
          <t>Nej</t>
        </is>
      </c>
      <c r="Y1542" t="inlineStr">
        <is>
          <t>Nej</t>
        </is>
      </c>
      <c r="Z1542" t="inlineStr">
        <is>
          <t>Nej</t>
        </is>
      </c>
      <c r="AA1542" t="n">
        <v>5</v>
      </c>
      <c r="AB1542" t="inlineStr">
        <is>
          <t>Teknisk beskrivning av platta</t>
        </is>
      </c>
      <c r="AC1542" t="inlineStr">
        <is>
          <t>Teknisk ritning platta</t>
        </is>
      </c>
      <c r="AD1542" t="inlineStr">
        <is>
          <t>Nej</t>
        </is>
      </c>
      <c r="AE1542" t="inlineStr">
        <is>
          <t>Nej</t>
        </is>
      </c>
      <c r="AF1542" t="inlineStr">
        <is>
          <t>Ej behandlad</t>
        </is>
      </c>
      <c r="AG1542" t="inlineStr">
        <is>
          <t>AUTO_GENERERAD. Verifiera citat mot kallfil.</t>
        </is>
      </c>
      <c r="AH1542" t="inlineStr">
        <is>
          <t>MEDIUM</t>
        </is>
      </c>
      <c r="AI1542" t="inlineStr">
        <is>
          <t>AUTO</t>
        </is>
      </c>
      <c r="AJ1542" t="inlineStr">
        <is>
          <t>Nej</t>
        </is>
      </c>
      <c r="AK1542" t="inlineStr"/>
      <c r="AL1542" t="inlineStr"/>
      <c r="AM1542" t="inlineStr"/>
      <c r="AN1542" t="inlineStr"/>
      <c r="AO1542" t="inlineStr">
        <is>
          <t>cmm4yuog701ktcuqwpqy40zq6</t>
        </is>
      </c>
      <c r="AP1542" t="inlineStr">
        <is>
          <t>http://localhost:8787/api/admin/requirements/documents/cmm4yuog701ktcuqwpqy40zq6/view</t>
        </is>
      </c>
      <c r="AQ1542">
        <f>HYPERLÄNK("http://localhost:8787/api/admin/requirements/documents/cmm4yuog701ktcuqwpqy40zq6/view";"Öppna PDF")</f>
        <v/>
      </c>
      <c r="AR1542">
        <f>HYPERLINK("http://localhost:8787/api/admin/requirements/documents/cmm4yuog701ktcuqwpqy40zq6/view","Open PDF")</f>
        <v/>
      </c>
      <c r="AS1542" t="inlineStr">
        <is>
          <t>cmm55w57p0004cuisfrtpqly8</t>
        </is>
      </c>
      <c r="AT1542" t="inlineStr">
        <is>
          <t>cmm4xvu980000cuh4vj0usz09</t>
        </is>
      </c>
      <c r="AU1542" t="inlineStr">
        <is>
          <t>Post Skara</t>
        </is>
      </c>
      <c r="AV1542" t="inlineStr">
        <is>
          <t>Kommun</t>
        </is>
      </c>
      <c r="AW1542" t="inlineStr">
        <is>
          <t>Post Skara kommun</t>
        </is>
      </c>
      <c r="AX1542" t="inlineStr">
        <is>
          <t>2024-04</t>
        </is>
      </c>
      <c r="AY1542" t="inlineStr">
        <is>
          <t>Beslut</t>
        </is>
      </c>
      <c r="AZ1542" t="inlineStr">
        <is>
          <t>2026-02-03</t>
        </is>
      </c>
      <c r="BA1542" t="inlineStr">
        <is>
          <t>SKSBN-2024-254__2024-04-03_M - Beslut om försiktighetsmått.pdf</t>
        </is>
      </c>
      <c r="BB1542" t="inlineStr">
        <is>
          <t>Efterfrågade handlingar</t>
        </is>
      </c>
      <c r="BC1542" t="inlineStr">
        <is>
          <t>AUTO</t>
        </is>
      </c>
      <c r="BD1542" t="inlineStr"/>
      <c r="BE1542" t="inlineStr"/>
      <c r="BF1542" t="inlineStr">
        <is>
          <t>AUTO_GENERERAD. Bekrafta metadata mot kallfil.</t>
        </is>
      </c>
      <c r="BG1542">
        <f>HYPERLINK("C:\Users\jimmy\Desktop\Examens arbete\Kod\Ny mapp\remix_-copy-of-miljöbeslut.se-portal\SKSBN-2024-254__2024-04-03_M - Beslut om försiktighetsmått.pdf", "Öppna PDF")</f>
        <v/>
      </c>
    </row>
    <row r="1543">
      <c r="A1543" t="inlineStr">
        <is>
          <t>KRAV-AUTO-001542</t>
        </is>
      </c>
      <c r="B1543" t="inlineStr">
        <is>
          <t>ADMIN-INDEX-2026-02-27-00000000125C043F57453246863FE664CAFE6A3F0700950291EA24F0614FB6ACEDB12BF0E31D00000000010C0000950291EA24F0614FB6ACEDB12BF0E31D00002087AED80000</t>
        </is>
      </c>
      <c r="C1543" t="inlineStr">
        <is>
          <t>cmm4yuog701ktcuqwpqy40zq6</t>
        </is>
      </c>
      <c r="D1543" t="inlineStr">
        <is>
          <t>http://localhost:8787/api/admin/requirements/documents/cmm4yuog701ktcuqwpqy40zq6/view</t>
        </is>
      </c>
      <c r="E1543">
        <f>HYPERLÄNK("http://localhost:8787/api/admin/requirements/documents/cmm4yuog701ktcuqwpqy40zq6/view";"Öppna PDF")</f>
        <v/>
      </c>
      <c r="F1543">
        <f>HYPERLINK("http://localhost:8787/api/admin/requirements/documents/cmm4yuog701ktcuqwpqy40zq6/view","Open PDF")</f>
        <v/>
      </c>
      <c r="G1543" t="inlineStr">
        <is>
          <t>cmm55w57p0004cuisfrtpqly8</t>
        </is>
      </c>
      <c r="H1543" t="inlineStr">
        <is>
          <t>Beslutsvillkor</t>
        </is>
      </c>
      <c r="I1543" t="inlineStr">
        <is>
          <t>DagvattenLakvatten</t>
        </is>
      </c>
      <c r="J1543" t="inlineStr">
        <is>
          <t>Uppsamling</t>
        </is>
      </c>
      <c r="K1543" t="inlineStr">
        <is>
          <t>Krossning av träavfall ska också ske så att rester undviks i dagvattensystemet.</t>
        </is>
      </c>
      <c r="L1543" t="inlineStr">
        <is>
          <t>Krossning av träavfall ska också ske så att rester undviks i dagvattensystemet.</t>
        </is>
      </c>
      <c r="M1543" t="inlineStr">
        <is>
          <t>SKA</t>
        </is>
      </c>
      <c r="N1543" t="inlineStr"/>
      <c r="O1543" t="inlineStr"/>
      <c r="P1543" t="inlineStr"/>
      <c r="Q1543" t="inlineStr"/>
      <c r="R1543" t="inlineStr">
        <is>
          <t>Vid nederbord och avrinning</t>
        </is>
      </c>
      <c r="S1543" t="inlineStr"/>
      <c r="T1543" t="inlineStr">
        <is>
          <t>212000</t>
        </is>
      </c>
      <c r="U1543" t="inlineStr"/>
      <c r="V1543" t="inlineStr"/>
      <c r="W1543" t="inlineStr">
        <is>
          <t>Nej</t>
        </is>
      </c>
      <c r="X1543" t="inlineStr">
        <is>
          <t>Ja</t>
        </is>
      </c>
      <c r="Y1543" t="inlineStr">
        <is>
          <t>Ja</t>
        </is>
      </c>
      <c r="Z1543" t="inlineStr">
        <is>
          <t>Nej</t>
        </is>
      </c>
      <c r="AA1543" t="n">
        <v>6</v>
      </c>
      <c r="AB1543" t="inlineStr">
        <is>
          <t>Lakvattenhantering</t>
        </is>
      </c>
      <c r="AC1543" t="inlineStr">
        <is>
          <t>Flodesschema dagvatten-lakvatten</t>
        </is>
      </c>
      <c r="AD1543" t="inlineStr">
        <is>
          <t>Nej</t>
        </is>
      </c>
      <c r="AE1543" t="inlineStr">
        <is>
          <t>Nej</t>
        </is>
      </c>
      <c r="AF1543" t="inlineStr">
        <is>
          <t>Ej behandlad</t>
        </is>
      </c>
      <c r="AG1543" t="inlineStr">
        <is>
          <t>AUTO_GENERERAD. Verifiera citat mot kallfil.</t>
        </is>
      </c>
      <c r="AH1543" t="inlineStr">
        <is>
          <t>MEDIUM</t>
        </is>
      </c>
      <c r="AI1543" t="inlineStr">
        <is>
          <t>AUTO</t>
        </is>
      </c>
      <c r="AJ1543" t="inlineStr">
        <is>
          <t>Nej</t>
        </is>
      </c>
      <c r="AK1543" t="inlineStr"/>
      <c r="AL1543" t="inlineStr"/>
      <c r="AM1543" t="inlineStr"/>
      <c r="AN1543" t="inlineStr"/>
      <c r="AO1543" t="inlineStr">
        <is>
          <t>cmm4yuog701ktcuqwpqy40zq6</t>
        </is>
      </c>
      <c r="AP1543" t="inlineStr">
        <is>
          <t>http://localhost:8787/api/admin/requirements/documents/cmm4yuog701ktcuqwpqy40zq6/view</t>
        </is>
      </c>
      <c r="AQ1543">
        <f>HYPERLÄNK("http://localhost:8787/api/admin/requirements/documents/cmm4yuog701ktcuqwpqy40zq6/view";"Öppna PDF")</f>
        <v/>
      </c>
      <c r="AR1543">
        <f>HYPERLINK("http://localhost:8787/api/admin/requirements/documents/cmm4yuog701ktcuqwpqy40zq6/view","Open PDF")</f>
        <v/>
      </c>
      <c r="AS1543" t="inlineStr">
        <is>
          <t>cmm55w57p0004cuisfrtpqly8</t>
        </is>
      </c>
      <c r="AT1543" t="inlineStr">
        <is>
          <t>cmm4xvu980000cuh4vj0usz09</t>
        </is>
      </c>
      <c r="AU1543" t="inlineStr">
        <is>
          <t>Post Skara</t>
        </is>
      </c>
      <c r="AV1543" t="inlineStr">
        <is>
          <t>Kommun</t>
        </is>
      </c>
      <c r="AW1543" t="inlineStr">
        <is>
          <t>Post Skara kommun</t>
        </is>
      </c>
      <c r="AX1543" t="inlineStr">
        <is>
          <t>2024-04</t>
        </is>
      </c>
      <c r="AY1543" t="inlineStr">
        <is>
          <t>Beslut</t>
        </is>
      </c>
      <c r="AZ1543" t="inlineStr">
        <is>
          <t>2026-02-03</t>
        </is>
      </c>
      <c r="BA1543" t="inlineStr">
        <is>
          <t>SKSBN-2024-254__2024-04-03_M - Beslut om försiktighetsmått.pdf</t>
        </is>
      </c>
      <c r="BB1543" t="inlineStr">
        <is>
          <t>Efterfrågade handlingar</t>
        </is>
      </c>
      <c r="BC1543" t="inlineStr">
        <is>
          <t>AUTO</t>
        </is>
      </c>
      <c r="BD1543" t="inlineStr"/>
      <c r="BE1543" t="inlineStr"/>
      <c r="BF1543" t="inlineStr">
        <is>
          <t>AUTO_GENERERAD. Bekrafta metadata mot kallfil.</t>
        </is>
      </c>
      <c r="BG1543">
        <f>HYPERLINK("C:\Users\jimmy\Desktop\Examens arbete\Kod\Ny mapp\remix_-copy-of-miljöbeslut.se-portal\SKSBN-2024-254__2024-04-03_M - Beslut om försiktighetsmått.pdf", "Öppna PDF")</f>
        <v/>
      </c>
    </row>
    <row r="1544">
      <c r="A1544" t="inlineStr">
        <is>
          <t>KRAV-AUTO-001543</t>
        </is>
      </c>
      <c r="B1544" t="inlineStr">
        <is>
          <t>ADMIN-INDEX-2026-02-27-00000000125C043F57453246863FE664CAFE6A3F0700950291EA24F0614FB6ACEDB12BF0E31D00000000010C0000950291EA24F0614FB6ACEDB12BF0E31D00002087AED80000</t>
        </is>
      </c>
      <c r="C1544" t="inlineStr">
        <is>
          <t>cmm4yuog301kqcuqwve60uw0a</t>
        </is>
      </c>
      <c r="D1544" t="inlineStr">
        <is>
          <t>http://localhost:8787/api/admin/requirements/documents/cmm4yuog301kqcuqwve60uw0a/view</t>
        </is>
      </c>
      <c r="E1544">
        <f>HYPERLÄNK("http://localhost:8787/api/admin/requirements/documents/cmm4yuog301kqcuqwve60uw0a/view";"Öppna PDF")</f>
        <v/>
      </c>
      <c r="F1544">
        <f>HYPERLINK("http://localhost:8787/api/admin/requirements/documents/cmm4yuog301kqcuqwve60uw0a/view","Open PDF")</f>
        <v/>
      </c>
      <c r="G1544" t="inlineStr">
        <is>
          <t>cmm55w57p0004cuisfrtpqly8</t>
        </is>
      </c>
      <c r="H1544" t="inlineStr">
        <is>
          <t>Informationskrav</t>
        </is>
      </c>
      <c r="I1544" t="inlineStr">
        <is>
          <t>DagvattenLakvatten</t>
        </is>
      </c>
      <c r="J1544" t="inlineStr">
        <is>
          <t>Uppsamling</t>
        </is>
      </c>
      <c r="K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44" t="inlineStr">
        <is>
          <t>SKA</t>
        </is>
      </c>
      <c r="N1544" t="inlineStr">
        <is>
          <t>FMH</t>
        </is>
      </c>
      <c r="O1544" t="inlineStr"/>
      <c r="P1544" t="inlineStr"/>
      <c r="Q1544" t="inlineStr"/>
      <c r="R1544" t="inlineStr">
        <is>
          <t>Vid nederbord och avrinning</t>
        </is>
      </c>
      <c r="S1544" t="inlineStr"/>
      <c r="T1544" t="inlineStr"/>
      <c r="U1544" t="inlineStr"/>
      <c r="V1544" t="inlineStr"/>
      <c r="W1544" t="inlineStr">
        <is>
          <t>Nej</t>
        </is>
      </c>
      <c r="X1544" t="inlineStr">
        <is>
          <t>Ja</t>
        </is>
      </c>
      <c r="Y1544" t="inlineStr">
        <is>
          <t>Ja</t>
        </is>
      </c>
      <c r="Z1544" t="inlineStr">
        <is>
          <t>Nej</t>
        </is>
      </c>
      <c r="AA1544" t="n">
        <v>6</v>
      </c>
      <c r="AB1544" t="inlineStr">
        <is>
          <t>Lakvattenhantering</t>
        </is>
      </c>
      <c r="AC1544" t="inlineStr">
        <is>
          <t>Flodesschema dagvatten-lakvatten</t>
        </is>
      </c>
      <c r="AD1544" t="inlineStr">
        <is>
          <t>Nej</t>
        </is>
      </c>
      <c r="AE1544" t="inlineStr">
        <is>
          <t>Nej</t>
        </is>
      </c>
      <c r="AF1544" t="inlineStr">
        <is>
          <t>Ej behandlad</t>
        </is>
      </c>
      <c r="AG1544" t="inlineStr">
        <is>
          <t>AUTO_GENERERAD. Verifiera citat mot kallfil.</t>
        </is>
      </c>
      <c r="AH1544" t="inlineStr">
        <is>
          <t>HIGH</t>
        </is>
      </c>
      <c r="AI1544" t="inlineStr">
        <is>
          <t>AUTO</t>
        </is>
      </c>
      <c r="AJ1544" t="inlineStr">
        <is>
          <t>Nej</t>
        </is>
      </c>
      <c r="AK1544" t="inlineStr"/>
      <c r="AL1544" t="inlineStr"/>
      <c r="AM1544" t="inlineStr"/>
      <c r="AN1544" t="inlineStr"/>
      <c r="AO1544" t="inlineStr">
        <is>
          <t>cmm4yuog701ktcuqwpqy40zq6</t>
        </is>
      </c>
      <c r="AP1544" t="inlineStr">
        <is>
          <t>http://localhost:8787/api/admin/requirements/documents/cmm4yuog701ktcuqwpqy40zq6/view</t>
        </is>
      </c>
      <c r="AQ1544">
        <f>HYPERLÄNK("http://localhost:8787/api/admin/requirements/documents/cmm4yuog701ktcuqwpqy40zq6/view";"Öppna PDF")</f>
        <v/>
      </c>
      <c r="AR1544">
        <f>HYPERLINK("http://localhost:8787/api/admin/requirements/documents/cmm4yuog701ktcuqwpqy40zq6/view","Open PDF")</f>
        <v/>
      </c>
      <c r="AS1544" t="inlineStr">
        <is>
          <t>cmm55w57p0004cuisfrtpqly8</t>
        </is>
      </c>
      <c r="AT1544" t="inlineStr">
        <is>
          <t>cmm4xvu980000cuh4vj0usz09</t>
        </is>
      </c>
      <c r="AU1544" t="inlineStr">
        <is>
          <t>Post Skara</t>
        </is>
      </c>
      <c r="AV1544" t="inlineStr">
        <is>
          <t>Kommun</t>
        </is>
      </c>
      <c r="AW1544" t="inlineStr">
        <is>
          <t>Post Skara kommun</t>
        </is>
      </c>
      <c r="AX1544" t="inlineStr">
        <is>
          <t>2024-04</t>
        </is>
      </c>
      <c r="AY1544" t="inlineStr">
        <is>
          <t>Beslut</t>
        </is>
      </c>
      <c r="AZ1544" t="inlineStr">
        <is>
          <t>2026-02-03</t>
        </is>
      </c>
      <c r="BA1544" t="inlineStr">
        <is>
          <t>SKSBN-2024-254__2024-04-03_M - Beslut om försiktighetsmått.pdf</t>
        </is>
      </c>
      <c r="BB1544" t="inlineStr">
        <is>
          <t>Efterfrågade handlingar</t>
        </is>
      </c>
      <c r="BC1544" t="inlineStr">
        <is>
          <t>AUTO</t>
        </is>
      </c>
      <c r="BD1544" t="inlineStr"/>
      <c r="BE1544" t="inlineStr"/>
      <c r="BF1544" t="inlineStr">
        <is>
          <t>AUTO_GENERERAD. Bekrafta metadata mot kallfil.</t>
        </is>
      </c>
      <c r="BG1544">
        <f>HYPERLINK("C:\Users\jimmy\Desktop\Examens arbete\Kod\Ny mapp\remix_-copy-of-miljöbeslut.se-portal\SKSBN-2024-254__2024-04-03_M - Beslut om försiktighetsmått.pdf", "Öppna PDF")</f>
        <v/>
      </c>
    </row>
    <row r="1545">
      <c r="A1545" t="inlineStr">
        <is>
          <t>KRAV-AUTO-001544</t>
        </is>
      </c>
      <c r="B1545" t="inlineStr">
        <is>
          <t>ADMIN-INDEX-2026-02-27-00000000125C043F57453246863FE664CAFE6A3F0700950291EA24F0614FB6ACEDB12BF0E31D00000000010C0000950291EA24F0614FB6ACEDB12BF0E31D00002087AED80000</t>
        </is>
      </c>
      <c r="C1545" t="inlineStr">
        <is>
          <t>cmm4yuog301kqcuqwve60uw0a</t>
        </is>
      </c>
      <c r="D1545" t="inlineStr">
        <is>
          <t>http://localhost:8787/api/admin/requirements/documents/cmm4yuog301kqcuqwve60uw0a/view</t>
        </is>
      </c>
      <c r="E1545">
        <f>HYPERLÄNK("http://localhost:8787/api/admin/requirements/documents/cmm4yuog301kqcuqwve60uw0a/view";"Öppna PDF")</f>
        <v/>
      </c>
      <c r="F1545">
        <f>HYPERLINK("http://localhost:8787/api/admin/requirements/documents/cmm4yuog301kqcuqwve60uw0a/view","Open PDF")</f>
        <v/>
      </c>
      <c r="G1545" t="inlineStr">
        <is>
          <t>cmm55w57p0004cuisfrtpqly8</t>
        </is>
      </c>
      <c r="H1545" t="inlineStr">
        <is>
          <t>Informationskrav</t>
        </is>
      </c>
      <c r="I1545" t="inlineStr">
        <is>
          <t>LagringsvolymTid</t>
        </is>
      </c>
      <c r="J1545" t="inlineStr">
        <is>
          <t>Maxmangd</t>
        </is>
      </c>
      <c r="K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45" t="inlineStr">
        <is>
          <t>SKA</t>
        </is>
      </c>
      <c r="N1545" t="inlineStr">
        <is>
          <t>FMH</t>
        </is>
      </c>
      <c r="O1545" t="inlineStr"/>
      <c r="P1545" t="inlineStr">
        <is>
          <t>Arlig</t>
        </is>
      </c>
      <c r="Q1545" t="inlineStr"/>
      <c r="R1545" t="inlineStr">
        <is>
          <t>Alltid</t>
        </is>
      </c>
      <c r="S1545" t="inlineStr"/>
      <c r="T1545" t="inlineStr"/>
      <c r="U1545" t="inlineStr"/>
      <c r="V1545" t="inlineStr"/>
      <c r="W1545" t="inlineStr">
        <is>
          <t>Nej</t>
        </is>
      </c>
      <c r="X1545" t="inlineStr">
        <is>
          <t>Nej</t>
        </is>
      </c>
      <c r="Y1545" t="inlineStr">
        <is>
          <t>Nej</t>
        </is>
      </c>
      <c r="Z1545" t="inlineStr">
        <is>
          <t>Nej</t>
        </is>
      </c>
      <c r="AA1545" t="n">
        <v>4</v>
      </c>
      <c r="AB1545" t="inlineStr">
        <is>
          <t>Avfallsmangder och lagringstid</t>
        </is>
      </c>
      <c r="AC1545" t="inlineStr">
        <is>
          <t>Avfallsforteckning</t>
        </is>
      </c>
      <c r="AD1545" t="inlineStr">
        <is>
          <t>Nej</t>
        </is>
      </c>
      <c r="AE1545" t="inlineStr">
        <is>
          <t>Nej</t>
        </is>
      </c>
      <c r="AF1545" t="inlineStr">
        <is>
          <t>Ej behandlad</t>
        </is>
      </c>
      <c r="AG1545" t="inlineStr">
        <is>
          <t>AUTO_GENERERAD. Verifiera citat mot kallfil.</t>
        </is>
      </c>
      <c r="AH1545" t="inlineStr">
        <is>
          <t>HIGH</t>
        </is>
      </c>
      <c r="AI1545" t="inlineStr">
        <is>
          <t>AUTO</t>
        </is>
      </c>
      <c r="AJ1545" t="inlineStr">
        <is>
          <t>Nej</t>
        </is>
      </c>
      <c r="AK1545" t="inlineStr"/>
      <c r="AL1545" t="inlineStr"/>
      <c r="AM1545" t="inlineStr"/>
      <c r="AN1545" t="inlineStr"/>
      <c r="AO1545" t="inlineStr">
        <is>
          <t>cmm4yuog701ktcuqwpqy40zq6</t>
        </is>
      </c>
      <c r="AP1545" t="inlineStr">
        <is>
          <t>http://localhost:8787/api/admin/requirements/documents/cmm4yuog701ktcuqwpqy40zq6/view</t>
        </is>
      </c>
      <c r="AQ1545">
        <f>HYPERLÄNK("http://localhost:8787/api/admin/requirements/documents/cmm4yuog701ktcuqwpqy40zq6/view";"Öppna PDF")</f>
        <v/>
      </c>
      <c r="AR1545">
        <f>HYPERLINK("http://localhost:8787/api/admin/requirements/documents/cmm4yuog701ktcuqwpqy40zq6/view","Open PDF")</f>
        <v/>
      </c>
      <c r="AS1545" t="inlineStr">
        <is>
          <t>cmm55w57p0004cuisfrtpqly8</t>
        </is>
      </c>
      <c r="AT1545" t="inlineStr">
        <is>
          <t>cmm4xvu980000cuh4vj0usz09</t>
        </is>
      </c>
      <c r="AU1545" t="inlineStr">
        <is>
          <t>Post Skara</t>
        </is>
      </c>
      <c r="AV1545" t="inlineStr">
        <is>
          <t>Kommun</t>
        </is>
      </c>
      <c r="AW1545" t="inlineStr">
        <is>
          <t>Post Skara kommun</t>
        </is>
      </c>
      <c r="AX1545" t="inlineStr">
        <is>
          <t>2024-04</t>
        </is>
      </c>
      <c r="AY1545" t="inlineStr">
        <is>
          <t>Beslut</t>
        </is>
      </c>
      <c r="AZ1545" t="inlineStr">
        <is>
          <t>2026-02-03</t>
        </is>
      </c>
      <c r="BA1545" t="inlineStr">
        <is>
          <t>SKSBN-2024-254__2024-04-03_M - Beslut om försiktighetsmått.pdf</t>
        </is>
      </c>
      <c r="BB1545" t="inlineStr">
        <is>
          <t>Efterfrågade handlingar</t>
        </is>
      </c>
      <c r="BC1545" t="inlineStr">
        <is>
          <t>AUTO</t>
        </is>
      </c>
      <c r="BD1545" t="inlineStr"/>
      <c r="BE1545" t="inlineStr"/>
      <c r="BF1545" t="inlineStr">
        <is>
          <t>AUTO_GENERERAD. Bekrafta metadata mot kallfil.</t>
        </is>
      </c>
      <c r="BG1545">
        <f>HYPERLINK("C:\Users\jimmy\Desktop\Examens arbete\Kod\Ny mapp\remix_-copy-of-miljöbeslut.se-portal\SKSBN-2024-254__2024-04-03_M - Beslut om försiktighetsmått.pdf", "Öppna PDF")</f>
        <v/>
      </c>
    </row>
    <row r="1546">
      <c r="A1546" t="inlineStr">
        <is>
          <t>KRAV-AUTO-001545</t>
        </is>
      </c>
      <c r="B1546" t="inlineStr">
        <is>
          <t>ADMIN-INDEX-2026-02-27-00000000125C043F57453246863FE664CAFE6A3F0700950291EA24F0614FB6ACEDB12BF0E31D00000000010C0000950291EA24F0614FB6ACEDB12BF0E31D00002087AED80000</t>
        </is>
      </c>
      <c r="C1546" t="inlineStr">
        <is>
          <t>cmm4yuofx01kncuqwocdbeupr</t>
        </is>
      </c>
      <c r="D1546" t="inlineStr">
        <is>
          <t>http://localhost:8787/api/admin/requirements/documents/cmm4yuofx01kncuqwocdbeupr/view</t>
        </is>
      </c>
      <c r="E1546">
        <f>HYPERLÄNK("http://localhost:8787/api/admin/requirements/documents/cmm4yuofx01kncuqwocdbeupr/view";"Öppna PDF")</f>
        <v/>
      </c>
      <c r="F1546">
        <f>HYPERLINK("http://localhost:8787/api/admin/requirements/documents/cmm4yuofx01kncuqwocdbeupr/view","Open PDF")</f>
        <v/>
      </c>
      <c r="G1546" t="inlineStr">
        <is>
          <t>cmm55w57p0004cuisfrtpqly8</t>
        </is>
      </c>
      <c r="H1546" t="inlineStr">
        <is>
          <t>Beslutsvillkor</t>
        </is>
      </c>
      <c r="I1546" t="inlineStr">
        <is>
          <t>MiljopaverkanForsiktighet</t>
        </is>
      </c>
      <c r="J1546" t="inlineStr">
        <is>
          <t>Skyddsatgarder</t>
        </is>
      </c>
      <c r="K1546" t="inlineStr">
        <is>
          <t>Invasiva växtarter får inte ingå i park- och trädgårdsavfall som ska komposteras.</t>
        </is>
      </c>
      <c r="L1546" t="inlineStr">
        <is>
          <t>Invasiva växtarter får inte ingå i park- och trädgårdsavfall som ska komposteras.</t>
        </is>
      </c>
      <c r="M1546" t="inlineStr">
        <is>
          <t>SKA</t>
        </is>
      </c>
      <c r="N1546" t="inlineStr"/>
      <c r="O1546" t="inlineStr"/>
      <c r="P1546" t="inlineStr"/>
      <c r="Q1546" t="inlineStr">
        <is>
          <t>Driftbegransning vid avvikelse</t>
        </is>
      </c>
      <c r="R1546" t="inlineStr">
        <is>
          <t>Alltid</t>
        </is>
      </c>
      <c r="S1546" t="inlineStr"/>
      <c r="T1546" t="inlineStr">
        <is>
          <t>212000</t>
        </is>
      </c>
      <c r="U1546" t="inlineStr"/>
      <c r="V1546" t="inlineStr"/>
      <c r="W1546" t="inlineStr">
        <is>
          <t>Nej</t>
        </is>
      </c>
      <c r="X1546" t="inlineStr">
        <is>
          <t>Nej</t>
        </is>
      </c>
      <c r="Y1546" t="inlineStr">
        <is>
          <t>Nej</t>
        </is>
      </c>
      <c r="Z1546" t="inlineStr">
        <is>
          <t>Nej</t>
        </is>
      </c>
      <c r="AA1546" t="n">
        <v>10</v>
      </c>
      <c r="AB1546" t="inlineStr">
        <is>
          <t>Miljopaverkan och forsiktighetsmatt</t>
        </is>
      </c>
      <c r="AC1546" t="inlineStr">
        <is>
          <t>Miljo-PM</t>
        </is>
      </c>
      <c r="AD1546" t="inlineStr">
        <is>
          <t>Nej</t>
        </is>
      </c>
      <c r="AE1546" t="inlineStr">
        <is>
          <t>Nej</t>
        </is>
      </c>
      <c r="AF1546" t="inlineStr">
        <is>
          <t>Ej behandlad</t>
        </is>
      </c>
      <c r="AG1546" t="inlineStr">
        <is>
          <t>AUTO_GENERERAD. Verifiera citat mot kallfil.</t>
        </is>
      </c>
      <c r="AH1546" t="inlineStr">
        <is>
          <t>MEDIUM</t>
        </is>
      </c>
      <c r="AI1546" t="inlineStr">
        <is>
          <t>AUTO</t>
        </is>
      </c>
      <c r="AJ1546" t="inlineStr">
        <is>
          <t>Nej</t>
        </is>
      </c>
      <c r="AK1546" t="inlineStr"/>
      <c r="AL1546" t="inlineStr"/>
      <c r="AM1546" t="inlineStr"/>
      <c r="AN1546" t="inlineStr"/>
      <c r="AO1546" t="inlineStr">
        <is>
          <t>cmm4yuog701ktcuqwpqy40zq6</t>
        </is>
      </c>
      <c r="AP1546" t="inlineStr">
        <is>
          <t>http://localhost:8787/api/admin/requirements/documents/cmm4yuog701ktcuqwpqy40zq6/view</t>
        </is>
      </c>
      <c r="AQ1546">
        <f>HYPERLÄNK("http://localhost:8787/api/admin/requirements/documents/cmm4yuog701ktcuqwpqy40zq6/view";"Öppna PDF")</f>
        <v/>
      </c>
      <c r="AR1546">
        <f>HYPERLINK("http://localhost:8787/api/admin/requirements/documents/cmm4yuog701ktcuqwpqy40zq6/view","Open PDF")</f>
        <v/>
      </c>
      <c r="AS1546" t="inlineStr">
        <is>
          <t>cmm55w57p0004cuisfrtpqly8</t>
        </is>
      </c>
      <c r="AT1546" t="inlineStr">
        <is>
          <t>cmm4xvu980000cuh4vj0usz09</t>
        </is>
      </c>
      <c r="AU1546" t="inlineStr">
        <is>
          <t>Post Skara</t>
        </is>
      </c>
      <c r="AV1546" t="inlineStr">
        <is>
          <t>Kommun</t>
        </is>
      </c>
      <c r="AW1546" t="inlineStr">
        <is>
          <t>Post Skara kommun</t>
        </is>
      </c>
      <c r="AX1546" t="inlineStr">
        <is>
          <t>2024-04</t>
        </is>
      </c>
      <c r="AY1546" t="inlineStr">
        <is>
          <t>Beslut</t>
        </is>
      </c>
      <c r="AZ1546" t="inlineStr">
        <is>
          <t>2026-02-03</t>
        </is>
      </c>
      <c r="BA1546" t="inlineStr">
        <is>
          <t>SKSBN-2024-254__2024-04-03_M - Beslut om försiktighetsmått.pdf</t>
        </is>
      </c>
      <c r="BB1546" t="inlineStr">
        <is>
          <t>Efterfrågade handlingar</t>
        </is>
      </c>
      <c r="BC1546" t="inlineStr">
        <is>
          <t>AUTO</t>
        </is>
      </c>
      <c r="BD1546" t="inlineStr"/>
      <c r="BE1546" t="inlineStr"/>
      <c r="BF1546" t="inlineStr">
        <is>
          <t>AUTO_GENERERAD. Bekrafta metadata mot kallfil.</t>
        </is>
      </c>
      <c r="BG1546">
        <f>HYPERLINK("C:\Users\jimmy\Desktop\Examens arbete\Kod\Ny mapp\remix_-copy-of-miljöbeslut.se-portal\SKSBN-2024-254__2024-04-03_M - Beslut om försiktighetsmått.pdf", "Öppna PDF")</f>
        <v/>
      </c>
    </row>
    <row r="1547">
      <c r="A1547" t="inlineStr">
        <is>
          <t>KRAV-AUTO-001546</t>
        </is>
      </c>
      <c r="B1547" t="inlineStr">
        <is>
          <t>ADMIN-INDEX-2026-02-27-00000000125C043F57453246863FE664CAFE6A3F0700950291EA24F0614FB6ACEDB12BF0E31D00000000010C0000950291EA24F0614FB6ACEDB12BF0E31D00002087AED80000</t>
        </is>
      </c>
      <c r="C1547" t="inlineStr">
        <is>
          <t>cmm4yuofx01kncuqwocdbeupr</t>
        </is>
      </c>
      <c r="D1547" t="inlineStr">
        <is>
          <t>http://localhost:8787/api/admin/requirements/documents/cmm4yuofx01kncuqwocdbeupr/view</t>
        </is>
      </c>
      <c r="E1547">
        <f>HYPERLÄNK("http://localhost:8787/api/admin/requirements/documents/cmm4yuofx01kncuqwocdbeupr/view";"Öppna PDF")</f>
        <v/>
      </c>
      <c r="F1547">
        <f>HYPERLINK("http://localhost:8787/api/admin/requirements/documents/cmm4yuofx01kncuqwocdbeupr/view","Open PDF")</f>
        <v/>
      </c>
      <c r="G1547" t="inlineStr">
        <is>
          <t>cmm55w57p0004cuisfrtpqly8</t>
        </is>
      </c>
      <c r="H1547" t="inlineStr">
        <is>
          <t>Beslutsvillkor</t>
        </is>
      </c>
      <c r="I1547" t="inlineStr">
        <is>
          <t>LagringsvolymTid</t>
        </is>
      </c>
      <c r="J1547" t="inlineStr">
        <is>
          <t>Maxmangd</t>
        </is>
      </c>
      <c r="K1547" t="inlineStr">
        <is>
          <t>Mängden avloppsslam, flis och bark respektive park- och trädgårdsavfall som används i komposteringen ska finnas dokumenterad.</t>
        </is>
      </c>
      <c r="L1547" t="inlineStr">
        <is>
          <t>Mängden avloppsslam, flis och bark respektive park- och trädgårdsavfall som används i komposteringen ska finnas dokumenterad.</t>
        </is>
      </c>
      <c r="M1547" t="inlineStr">
        <is>
          <t>SKA</t>
        </is>
      </c>
      <c r="N1547" t="inlineStr"/>
      <c r="O1547" t="inlineStr"/>
      <c r="P1547" t="inlineStr"/>
      <c r="Q1547" t="inlineStr"/>
      <c r="R1547" t="inlineStr">
        <is>
          <t>Alltid</t>
        </is>
      </c>
      <c r="S1547" t="inlineStr"/>
      <c r="T1547" t="inlineStr">
        <is>
          <t>212000</t>
        </is>
      </c>
      <c r="U1547" t="inlineStr"/>
      <c r="V1547" t="inlineStr"/>
      <c r="W1547" t="inlineStr">
        <is>
          <t>Nej</t>
        </is>
      </c>
      <c r="X1547" t="inlineStr">
        <is>
          <t>Nej</t>
        </is>
      </c>
      <c r="Y1547" t="inlineStr">
        <is>
          <t>Nej</t>
        </is>
      </c>
      <c r="Z1547" t="inlineStr">
        <is>
          <t>Nej</t>
        </is>
      </c>
      <c r="AA1547" t="n">
        <v>4</v>
      </c>
      <c r="AB1547" t="inlineStr">
        <is>
          <t>Avfallsmangder och lagringstid</t>
        </is>
      </c>
      <c r="AC1547" t="inlineStr">
        <is>
          <t>Avfallsforteckning</t>
        </is>
      </c>
      <c r="AD1547" t="inlineStr">
        <is>
          <t>Nej</t>
        </is>
      </c>
      <c r="AE1547" t="inlineStr">
        <is>
          <t>Nej</t>
        </is>
      </c>
      <c r="AF1547" t="inlineStr">
        <is>
          <t>Ej behandlad</t>
        </is>
      </c>
      <c r="AG1547" t="inlineStr">
        <is>
          <t>AUTO_GENERERAD. Verifiera citat mot kallfil.</t>
        </is>
      </c>
      <c r="AH1547" t="inlineStr">
        <is>
          <t>MEDIUM</t>
        </is>
      </c>
      <c r="AI1547" t="inlineStr">
        <is>
          <t>AUTO</t>
        </is>
      </c>
      <c r="AJ1547" t="inlineStr">
        <is>
          <t>Nej</t>
        </is>
      </c>
      <c r="AK1547" t="inlineStr"/>
      <c r="AL1547" t="inlineStr"/>
      <c r="AM1547" t="inlineStr"/>
      <c r="AN1547" t="inlineStr"/>
      <c r="AO1547" t="inlineStr">
        <is>
          <t>cmm4yuog701ktcuqwpqy40zq6</t>
        </is>
      </c>
      <c r="AP1547" t="inlineStr">
        <is>
          <t>http://localhost:8787/api/admin/requirements/documents/cmm4yuog701ktcuqwpqy40zq6/view</t>
        </is>
      </c>
      <c r="AQ1547">
        <f>HYPERLÄNK("http://localhost:8787/api/admin/requirements/documents/cmm4yuog701ktcuqwpqy40zq6/view";"Öppna PDF")</f>
        <v/>
      </c>
      <c r="AR1547">
        <f>HYPERLINK("http://localhost:8787/api/admin/requirements/documents/cmm4yuog701ktcuqwpqy40zq6/view","Open PDF")</f>
        <v/>
      </c>
      <c r="AS1547" t="inlineStr">
        <is>
          <t>cmm55w57p0004cuisfrtpqly8</t>
        </is>
      </c>
      <c r="AT1547" t="inlineStr">
        <is>
          <t>cmm4xvu980000cuh4vj0usz09</t>
        </is>
      </c>
      <c r="AU1547" t="inlineStr">
        <is>
          <t>Post Skara</t>
        </is>
      </c>
      <c r="AV1547" t="inlineStr">
        <is>
          <t>Kommun</t>
        </is>
      </c>
      <c r="AW1547" t="inlineStr">
        <is>
          <t>Post Skara kommun</t>
        </is>
      </c>
      <c r="AX1547" t="inlineStr">
        <is>
          <t>2024-04</t>
        </is>
      </c>
      <c r="AY1547" t="inlineStr">
        <is>
          <t>Beslut</t>
        </is>
      </c>
      <c r="AZ1547" t="inlineStr">
        <is>
          <t>2026-02-03</t>
        </is>
      </c>
      <c r="BA1547" t="inlineStr">
        <is>
          <t>SKSBN-2024-254__2024-04-03_M - Beslut om försiktighetsmått.pdf</t>
        </is>
      </c>
      <c r="BB1547" t="inlineStr">
        <is>
          <t>Efterfrågade handlingar</t>
        </is>
      </c>
      <c r="BC1547" t="inlineStr">
        <is>
          <t>AUTO</t>
        </is>
      </c>
      <c r="BD1547" t="inlineStr"/>
      <c r="BE1547" t="inlineStr"/>
      <c r="BF1547" t="inlineStr">
        <is>
          <t>AUTO_GENERERAD. Bekrafta metadata mot kallfil.</t>
        </is>
      </c>
      <c r="BG1547">
        <f>HYPERLINK("C:\Users\jimmy\Desktop\Examens arbete\Kod\Ny mapp\remix_-copy-of-miljöbeslut.se-portal\SKSBN-2024-254__2024-04-03_M - Beslut om försiktighetsmått.pdf", "Öppna PDF")</f>
        <v/>
      </c>
    </row>
    <row r="1548">
      <c r="A1548" t="inlineStr">
        <is>
          <t>KRAV-AUTO-001547</t>
        </is>
      </c>
      <c r="B1548" t="inlineStr">
        <is>
          <t>ADMIN-INDEX-2026-02-27-00000000125C043F57453246863FE664CAFE6A3F0700950291EA24F0614FB6ACEDB12BF0E31D00000000010C0000950291EA24F0614FB6ACEDB12BF0E31D00002087AED80000</t>
        </is>
      </c>
      <c r="C1548" t="inlineStr">
        <is>
          <t>cmm4yuofx01kncuqwocdbeupr</t>
        </is>
      </c>
      <c r="D1548" t="inlineStr">
        <is>
          <t>http://localhost:8787/api/admin/requirements/documents/cmm4yuofx01kncuqwocdbeupr/view</t>
        </is>
      </c>
      <c r="E1548">
        <f>HYPERLÄNK("http://localhost:8787/api/admin/requirements/documents/cmm4yuofx01kncuqwocdbeupr/view";"Öppna PDF")</f>
        <v/>
      </c>
      <c r="F1548">
        <f>HYPERLINK("http://localhost:8787/api/admin/requirements/documents/cmm4yuofx01kncuqwocdbeupr/view","Open PDF")</f>
        <v/>
      </c>
      <c r="G1548" t="inlineStr">
        <is>
          <t>cmm55w57p0004cuisfrtpqly8</t>
        </is>
      </c>
      <c r="H1548" t="inlineStr">
        <is>
          <t>Beslutsvillkor</t>
        </is>
      </c>
      <c r="I1548" t="inlineStr">
        <is>
          <t>DriftEgenkontroll</t>
        </is>
      </c>
      <c r="J1548" t="inlineStr">
        <is>
          <t>Journalforing</t>
        </is>
      </c>
      <c r="K1548" t="inlineStr">
        <is>
          <t>Merparten av det avloppsslam som tagits in i verksamheten hittills har varit Revaq-certifierat vilket bedöms minska riskerna då slammet är hygieniserat och provtaget leverantören.</t>
        </is>
      </c>
      <c r="L1548" t="inlineStr">
        <is>
          <t>Merparten av det avloppsslam som tagits in i verksamheten hittills har varit Revaq-certifierat vilket bedöms minska riskerna då slammet är hygieniserat och provtaget leverantören.</t>
        </is>
      </c>
      <c r="M1548" t="inlineStr">
        <is>
          <t>SKA</t>
        </is>
      </c>
      <c r="N1548" t="inlineStr"/>
      <c r="O1548" t="inlineStr"/>
      <c r="P1548" t="inlineStr"/>
      <c r="Q1548" t="inlineStr"/>
      <c r="R1548" t="inlineStr">
        <is>
          <t>Lopande drift</t>
        </is>
      </c>
      <c r="S1548" t="inlineStr"/>
      <c r="T1548" t="inlineStr">
        <is>
          <t>212000</t>
        </is>
      </c>
      <c r="U1548" t="inlineStr"/>
      <c r="V1548" t="inlineStr"/>
      <c r="W1548" t="inlineStr">
        <is>
          <t>Nej</t>
        </is>
      </c>
      <c r="X1548" t="inlineStr">
        <is>
          <t>Nej</t>
        </is>
      </c>
      <c r="Y1548" t="inlineStr">
        <is>
          <t>Ja</t>
        </is>
      </c>
      <c r="Z1548" t="inlineStr">
        <is>
          <t>Nej</t>
        </is>
      </c>
      <c r="AA1548" t="n">
        <v>7</v>
      </c>
      <c r="AB1548" t="inlineStr">
        <is>
          <t>Egenkontrollrutiner</t>
        </is>
      </c>
      <c r="AC1548" t="inlineStr">
        <is>
          <t>Egenkontrollprogram</t>
        </is>
      </c>
      <c r="AD1548" t="inlineStr">
        <is>
          <t>Nej</t>
        </is>
      </c>
      <c r="AE1548" t="inlineStr">
        <is>
          <t>Nej</t>
        </is>
      </c>
      <c r="AF1548" t="inlineStr">
        <is>
          <t>Ej behandlad</t>
        </is>
      </c>
      <c r="AG1548" t="inlineStr">
        <is>
          <t>AUTO_GENERERAD. Verifiera citat mot kallfil.</t>
        </is>
      </c>
      <c r="AH1548" t="inlineStr">
        <is>
          <t>MEDIUM</t>
        </is>
      </c>
      <c r="AI1548" t="inlineStr">
        <is>
          <t>AUTO</t>
        </is>
      </c>
      <c r="AJ1548" t="inlineStr">
        <is>
          <t>Nej</t>
        </is>
      </c>
      <c r="AK1548" t="inlineStr"/>
      <c r="AL1548" t="inlineStr"/>
      <c r="AM1548" t="inlineStr"/>
      <c r="AN1548" t="inlineStr"/>
      <c r="AO1548" t="inlineStr">
        <is>
          <t>cmm4yuog701ktcuqwpqy40zq6</t>
        </is>
      </c>
      <c r="AP1548" t="inlineStr">
        <is>
          <t>http://localhost:8787/api/admin/requirements/documents/cmm4yuog701ktcuqwpqy40zq6/view</t>
        </is>
      </c>
      <c r="AQ1548">
        <f>HYPERLÄNK("http://localhost:8787/api/admin/requirements/documents/cmm4yuog701ktcuqwpqy40zq6/view";"Öppna PDF")</f>
        <v/>
      </c>
      <c r="AR1548">
        <f>HYPERLINK("http://localhost:8787/api/admin/requirements/documents/cmm4yuog701ktcuqwpqy40zq6/view","Open PDF")</f>
        <v/>
      </c>
      <c r="AS1548" t="inlineStr">
        <is>
          <t>cmm55w57p0004cuisfrtpqly8</t>
        </is>
      </c>
      <c r="AT1548" t="inlineStr">
        <is>
          <t>cmm4xvu980000cuh4vj0usz09</t>
        </is>
      </c>
      <c r="AU1548" t="inlineStr">
        <is>
          <t>Post Skara</t>
        </is>
      </c>
      <c r="AV1548" t="inlineStr">
        <is>
          <t>Kommun</t>
        </is>
      </c>
      <c r="AW1548" t="inlineStr">
        <is>
          <t>Post Skara kommun</t>
        </is>
      </c>
      <c r="AX1548" t="inlineStr">
        <is>
          <t>2024-04</t>
        </is>
      </c>
      <c r="AY1548" t="inlineStr">
        <is>
          <t>Beslut</t>
        </is>
      </c>
      <c r="AZ1548" t="inlineStr">
        <is>
          <t>2026-02-03</t>
        </is>
      </c>
      <c r="BA1548" t="inlineStr">
        <is>
          <t>SKSBN-2024-254__2024-04-03_M - Beslut om försiktighetsmått.pdf</t>
        </is>
      </c>
      <c r="BB1548" t="inlineStr">
        <is>
          <t>Efterfrågade handlingar</t>
        </is>
      </c>
      <c r="BC1548" t="inlineStr">
        <is>
          <t>AUTO</t>
        </is>
      </c>
      <c r="BD1548" t="inlineStr"/>
      <c r="BE1548" t="inlineStr"/>
      <c r="BF1548" t="inlineStr">
        <is>
          <t>AUTO_GENERERAD. Bekrafta metadata mot kallfil.</t>
        </is>
      </c>
      <c r="BG1548">
        <f>HYPERLINK("C:\Users\jimmy\Desktop\Examens arbete\Kod\Ny mapp\remix_-copy-of-miljöbeslut.se-portal\SKSBN-2024-254__2024-04-03_M - Beslut om försiktighetsmått.pdf", "Öppna PDF")</f>
        <v/>
      </c>
    </row>
    <row r="1549">
      <c r="A1549" t="inlineStr">
        <is>
          <t>KRAV-AUTO-001548</t>
        </is>
      </c>
      <c r="B1549" t="inlineStr">
        <is>
          <t>ADMIN-INDEX-2026-02-27-00000000125C043F57453246863FE664CAFE6A3F0700950291EA24F0614FB6ACEDB12BF0E31D00000000010C0000950291EA24F0614FB6ACEDB12BF0E31D00002087AED80000</t>
        </is>
      </c>
      <c r="C1549" t="inlineStr">
        <is>
          <t>cmm4yuofs01kkcuqwjvt54l84</t>
        </is>
      </c>
      <c r="D1549" t="inlineStr">
        <is>
          <t>http://localhost:8787/api/admin/requirements/documents/cmm4yuofs01kkcuqwjvt54l84/view</t>
        </is>
      </c>
      <c r="E1549">
        <f>HYPERLÄNK("http://localhost:8787/api/admin/requirements/documents/cmm4yuofs01kkcuqwjvt54l84/view";"Öppna PDF")</f>
        <v/>
      </c>
      <c r="F1549">
        <f>HYPERLINK("http://localhost:8787/api/admin/requirements/documents/cmm4yuofs01kkcuqwjvt54l84/view","Open PDF")</f>
        <v/>
      </c>
      <c r="G1549" t="inlineStr">
        <is>
          <t>cmm55w57p0004cuisfrtpqly8</t>
        </is>
      </c>
      <c r="H1549" t="inlineStr">
        <is>
          <t>Informationskrav</t>
        </is>
      </c>
      <c r="I1549" t="inlineStr">
        <is>
          <t>DagvattenLakvatten</t>
        </is>
      </c>
      <c r="J1549" t="inlineStr">
        <is>
          <t>Uppsamling</t>
        </is>
      </c>
      <c r="K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49" t="inlineStr">
        <is>
          <t>SKA</t>
        </is>
      </c>
      <c r="N1549" t="inlineStr">
        <is>
          <t>FMH</t>
        </is>
      </c>
      <c r="O1549" t="inlineStr"/>
      <c r="P1549" t="inlineStr"/>
      <c r="Q1549" t="inlineStr"/>
      <c r="R1549" t="inlineStr">
        <is>
          <t>Vid nederbord och avrinning</t>
        </is>
      </c>
      <c r="S1549" t="inlineStr"/>
      <c r="T1549" t="inlineStr">
        <is>
          <t>556155</t>
        </is>
      </c>
      <c r="U1549" t="inlineStr"/>
      <c r="V1549" t="inlineStr"/>
      <c r="W1549" t="inlineStr">
        <is>
          <t>Nej</t>
        </is>
      </c>
      <c r="X1549" t="inlineStr">
        <is>
          <t>Ja</t>
        </is>
      </c>
      <c r="Y1549" t="inlineStr">
        <is>
          <t>Ja</t>
        </is>
      </c>
      <c r="Z1549" t="inlineStr">
        <is>
          <t>Nej</t>
        </is>
      </c>
      <c r="AA1549" t="n">
        <v>6</v>
      </c>
      <c r="AB1549" t="inlineStr">
        <is>
          <t>Lakvattenhantering</t>
        </is>
      </c>
      <c r="AC1549" t="inlineStr">
        <is>
          <t>Flodesschema dagvatten-lakvatten</t>
        </is>
      </c>
      <c r="AD1549" t="inlineStr">
        <is>
          <t>Nej</t>
        </is>
      </c>
      <c r="AE1549" t="inlineStr">
        <is>
          <t>Nej</t>
        </is>
      </c>
      <c r="AF1549" t="inlineStr">
        <is>
          <t>Ej behandlad</t>
        </is>
      </c>
      <c r="AG1549" t="inlineStr">
        <is>
          <t>AUTO_GENERERAD. Verifiera citat mot kallfil.</t>
        </is>
      </c>
      <c r="AH1549" t="inlineStr">
        <is>
          <t>MEDIUM</t>
        </is>
      </c>
      <c r="AI1549" t="inlineStr">
        <is>
          <t>AUTO</t>
        </is>
      </c>
      <c r="AJ1549" t="inlineStr">
        <is>
          <t>Nej</t>
        </is>
      </c>
      <c r="AK1549" t="inlineStr"/>
      <c r="AL1549" t="inlineStr"/>
      <c r="AM1549" t="inlineStr"/>
      <c r="AN1549" t="inlineStr"/>
      <c r="AO1549" t="inlineStr">
        <is>
          <t>cmm4yuog701ktcuqwpqy40zq6</t>
        </is>
      </c>
      <c r="AP1549" t="inlineStr">
        <is>
          <t>http://localhost:8787/api/admin/requirements/documents/cmm4yuog701ktcuqwpqy40zq6/view</t>
        </is>
      </c>
      <c r="AQ1549">
        <f>HYPERLÄNK("http://localhost:8787/api/admin/requirements/documents/cmm4yuog701ktcuqwpqy40zq6/view";"Öppna PDF")</f>
        <v/>
      </c>
      <c r="AR1549">
        <f>HYPERLINK("http://localhost:8787/api/admin/requirements/documents/cmm4yuog701ktcuqwpqy40zq6/view","Open PDF")</f>
        <v/>
      </c>
      <c r="AS1549" t="inlineStr">
        <is>
          <t>cmm55w57p0004cuisfrtpqly8</t>
        </is>
      </c>
      <c r="AT1549" t="inlineStr">
        <is>
          <t>cmm4xvu980000cuh4vj0usz09</t>
        </is>
      </c>
      <c r="AU1549" t="inlineStr">
        <is>
          <t>Post Skara</t>
        </is>
      </c>
      <c r="AV1549" t="inlineStr">
        <is>
          <t>Kommun</t>
        </is>
      </c>
      <c r="AW1549" t="inlineStr">
        <is>
          <t>Post Skara kommun</t>
        </is>
      </c>
      <c r="AX1549" t="inlineStr">
        <is>
          <t>2024-04</t>
        </is>
      </c>
      <c r="AY1549" t="inlineStr">
        <is>
          <t>Beslut</t>
        </is>
      </c>
      <c r="AZ1549" t="inlineStr">
        <is>
          <t>2026-02-03</t>
        </is>
      </c>
      <c r="BA1549" t="inlineStr">
        <is>
          <t>SKSBN-2024-254__2024-04-03_M - Beslut om försiktighetsmått.pdf</t>
        </is>
      </c>
      <c r="BB1549" t="inlineStr">
        <is>
          <t>Efterfrågade handlingar</t>
        </is>
      </c>
      <c r="BC1549" t="inlineStr">
        <is>
          <t>AUTO</t>
        </is>
      </c>
      <c r="BD1549" t="inlineStr"/>
      <c r="BE1549" t="inlineStr"/>
      <c r="BF1549" t="inlineStr">
        <is>
          <t>AUTO_GENERERAD. Bekrafta metadata mot kallfil.</t>
        </is>
      </c>
      <c r="BG1549">
        <f>HYPERLINK("C:\Users\jimmy\Desktop\Examens arbete\Kod\Ny mapp\remix_-copy-of-miljöbeslut.se-portal\SKSBN-2024-254__2024-04-03_M - Beslut om försiktighetsmått.pdf", "Öppna PDF")</f>
        <v/>
      </c>
    </row>
    <row r="1550">
      <c r="A1550" t="inlineStr">
        <is>
          <t>KRAV-AUTO-001549</t>
        </is>
      </c>
      <c r="B1550" t="inlineStr">
        <is>
          <t>ADMIN-INDEX-2026-02-27-00000000125C043F57453246863FE664CAFE6A3F0700950291EA24F0614FB6ACEDB12BF0E31D00000000010C0000950291EA24F0614FB6ACEDB12BF0E31D00002087AED80000</t>
        </is>
      </c>
      <c r="C1550" t="inlineStr">
        <is>
          <t>cmm4yuofs01kkcuqwjvt54l84</t>
        </is>
      </c>
      <c r="D1550" t="inlineStr">
        <is>
          <t>http://localhost:8787/api/admin/requirements/documents/cmm4yuofs01kkcuqwjvt54l84/view</t>
        </is>
      </c>
      <c r="E1550">
        <f>HYPERLÄNK("http://localhost:8787/api/admin/requirements/documents/cmm4yuofs01kkcuqwjvt54l84/view";"Öppna PDF")</f>
        <v/>
      </c>
      <c r="F1550">
        <f>HYPERLINK("http://localhost:8787/api/admin/requirements/documents/cmm4yuofs01kkcuqwjvt54l84/view","Open PDF")</f>
        <v/>
      </c>
      <c r="G1550" t="inlineStr">
        <is>
          <t>cmm55w57p0004cuisfrtpqly8</t>
        </is>
      </c>
      <c r="H1550" t="inlineStr">
        <is>
          <t>Informationskrav</t>
        </is>
      </c>
      <c r="I1550" t="inlineStr">
        <is>
          <t>LagringsvolymTid</t>
        </is>
      </c>
      <c r="J1550" t="inlineStr">
        <is>
          <t>Maxmangd</t>
        </is>
      </c>
      <c r="K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0" t="inlineStr">
        <is>
          <t>SKA</t>
        </is>
      </c>
      <c r="N1550" t="inlineStr">
        <is>
          <t>FMH</t>
        </is>
      </c>
      <c r="O1550" t="inlineStr"/>
      <c r="P1550" t="inlineStr">
        <is>
          <t>Arlig</t>
        </is>
      </c>
      <c r="Q1550" t="inlineStr"/>
      <c r="R1550" t="inlineStr">
        <is>
          <t>Alltid</t>
        </is>
      </c>
      <c r="S1550" t="inlineStr"/>
      <c r="T1550" t="inlineStr">
        <is>
          <t>556155</t>
        </is>
      </c>
      <c r="U1550" t="inlineStr"/>
      <c r="V1550" t="inlineStr"/>
      <c r="W1550" t="inlineStr">
        <is>
          <t>Nej</t>
        </is>
      </c>
      <c r="X1550" t="inlineStr">
        <is>
          <t>Nej</t>
        </is>
      </c>
      <c r="Y1550" t="inlineStr">
        <is>
          <t>Nej</t>
        </is>
      </c>
      <c r="Z1550" t="inlineStr">
        <is>
          <t>Nej</t>
        </is>
      </c>
      <c r="AA1550" t="n">
        <v>4</v>
      </c>
      <c r="AB1550" t="inlineStr">
        <is>
          <t>Avfallsmangder och lagringstid</t>
        </is>
      </c>
      <c r="AC1550" t="inlineStr">
        <is>
          <t>Avfallsforteckning</t>
        </is>
      </c>
      <c r="AD1550" t="inlineStr">
        <is>
          <t>Nej</t>
        </is>
      </c>
      <c r="AE1550" t="inlineStr">
        <is>
          <t>Nej</t>
        </is>
      </c>
      <c r="AF1550" t="inlineStr">
        <is>
          <t>Ej behandlad</t>
        </is>
      </c>
      <c r="AG1550" t="inlineStr">
        <is>
          <t>AUTO_GENERERAD. Verifiera citat mot kallfil.</t>
        </is>
      </c>
      <c r="AH1550" t="inlineStr">
        <is>
          <t>MEDIUM</t>
        </is>
      </c>
      <c r="AI1550" t="inlineStr">
        <is>
          <t>AUTO</t>
        </is>
      </c>
      <c r="AJ1550" t="inlineStr">
        <is>
          <t>Nej</t>
        </is>
      </c>
      <c r="AK1550" t="inlineStr"/>
      <c r="AL1550" t="inlineStr"/>
      <c r="AM1550" t="inlineStr"/>
      <c r="AN1550" t="inlineStr"/>
      <c r="AO1550" t="inlineStr">
        <is>
          <t>cmm4yuog701ktcuqwpqy40zq6</t>
        </is>
      </c>
      <c r="AP1550" t="inlineStr">
        <is>
          <t>http://localhost:8787/api/admin/requirements/documents/cmm4yuog701ktcuqwpqy40zq6/view</t>
        </is>
      </c>
      <c r="AQ1550">
        <f>HYPERLÄNK("http://localhost:8787/api/admin/requirements/documents/cmm4yuog701ktcuqwpqy40zq6/view";"Öppna PDF")</f>
        <v/>
      </c>
      <c r="AR1550">
        <f>HYPERLINK("http://localhost:8787/api/admin/requirements/documents/cmm4yuog701ktcuqwpqy40zq6/view","Open PDF")</f>
        <v/>
      </c>
      <c r="AS1550" t="inlineStr">
        <is>
          <t>cmm55w57p0004cuisfrtpqly8</t>
        </is>
      </c>
      <c r="AT1550" t="inlineStr">
        <is>
          <t>cmm4xvu980000cuh4vj0usz09</t>
        </is>
      </c>
      <c r="AU1550" t="inlineStr">
        <is>
          <t>Post Skara</t>
        </is>
      </c>
      <c r="AV1550" t="inlineStr">
        <is>
          <t>Kommun</t>
        </is>
      </c>
      <c r="AW1550" t="inlineStr">
        <is>
          <t>Post Skara kommun</t>
        </is>
      </c>
      <c r="AX1550" t="inlineStr">
        <is>
          <t>2024-04</t>
        </is>
      </c>
      <c r="AY1550" t="inlineStr">
        <is>
          <t>Beslut</t>
        </is>
      </c>
      <c r="AZ1550" t="inlineStr">
        <is>
          <t>2026-02-03</t>
        </is>
      </c>
      <c r="BA1550" t="inlineStr">
        <is>
          <t>SKSBN-2024-254__2024-04-03_M - Beslut om försiktighetsmått.pdf</t>
        </is>
      </c>
      <c r="BB1550" t="inlineStr">
        <is>
          <t>Efterfrågade handlingar</t>
        </is>
      </c>
      <c r="BC1550" t="inlineStr">
        <is>
          <t>AUTO</t>
        </is>
      </c>
      <c r="BD1550" t="inlineStr"/>
      <c r="BE1550" t="inlineStr"/>
      <c r="BF1550" t="inlineStr">
        <is>
          <t>AUTO_GENERERAD. Bekrafta metadata mot kallfil.</t>
        </is>
      </c>
      <c r="BG1550">
        <f>HYPERLINK("C:\Users\jimmy\Desktop\Examens arbete\Kod\Ny mapp\remix_-copy-of-miljöbeslut.se-portal\SKSBN-2024-254__2024-04-03_M - Beslut om försiktighetsmått.pdf", "Öppna PDF")</f>
        <v/>
      </c>
    </row>
    <row r="1551">
      <c r="A1551" t="inlineStr">
        <is>
          <t>KRAV-AUTO-001550</t>
        </is>
      </c>
      <c r="B1551" t="inlineStr">
        <is>
          <t>ADMIN-INDEX-2026-02-27-00000000125C043F57453246863FE664CAFE6A3F0700950291EA24F0614FB6ACEDB12BF0E31D00000000010C0000950291EA24F0614FB6ACEDB12BF0E31D00002087AED80000</t>
        </is>
      </c>
      <c r="C1551" t="inlineStr">
        <is>
          <t>cmm4yuofp01khcuqw8qnla7nk</t>
        </is>
      </c>
      <c r="D1551" t="inlineStr">
        <is>
          <t>http://localhost:8787/api/admin/requirements/documents/cmm4yuofp01khcuqw8qnla7nk/view</t>
        </is>
      </c>
      <c r="E1551">
        <f>HYPERLÄNK("http://localhost:8787/api/admin/requirements/documents/cmm4yuofp01khcuqw8qnla7nk/view";"Öppna PDF")</f>
        <v/>
      </c>
      <c r="F1551">
        <f>HYPERLINK("http://localhost:8787/api/admin/requirements/documents/cmm4yuofp01khcuqw8qnla7nk/view","Open PDF")</f>
        <v/>
      </c>
      <c r="G1551" t="inlineStr">
        <is>
          <t>cmm55w57p0004cuisfrtpqly8</t>
        </is>
      </c>
      <c r="H1551" t="inlineStr">
        <is>
          <t>Beslutsvillkor</t>
        </is>
      </c>
      <c r="I1551" t="inlineStr">
        <is>
          <t>MiljopaverkanForsiktighet</t>
        </is>
      </c>
      <c r="J1551" t="inlineStr">
        <is>
          <t>Skyddsatgarder</t>
        </is>
      </c>
      <c r="K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51" t="inlineStr">
        <is>
          <t>SKA</t>
        </is>
      </c>
      <c r="N1551" t="inlineStr">
        <is>
          <t>FMH</t>
        </is>
      </c>
      <c r="O1551" t="inlineStr">
        <is>
          <t>2024-02-29</t>
        </is>
      </c>
      <c r="P1551" t="inlineStr">
        <is>
          <t>Arlig</t>
        </is>
      </c>
      <c r="Q1551" t="inlineStr">
        <is>
          <t>Forelaggande vid brist</t>
        </is>
      </c>
      <c r="R1551" t="inlineStr">
        <is>
          <t>Alltid</t>
        </is>
      </c>
      <c r="S1551" t="inlineStr"/>
      <c r="T1551" t="inlineStr">
        <is>
          <t>212000</t>
        </is>
      </c>
      <c r="U1551" t="inlineStr"/>
      <c r="V1551" t="inlineStr"/>
      <c r="W1551" t="inlineStr">
        <is>
          <t>Nej</t>
        </is>
      </c>
      <c r="X1551" t="inlineStr">
        <is>
          <t>Nej</t>
        </is>
      </c>
      <c r="Y1551" t="inlineStr">
        <is>
          <t>Nej</t>
        </is>
      </c>
      <c r="Z1551" t="inlineStr">
        <is>
          <t>Nej</t>
        </is>
      </c>
      <c r="AA1551" t="n">
        <v>10</v>
      </c>
      <c r="AB1551" t="inlineStr">
        <is>
          <t>Miljopaverkan och forsiktighetsmatt</t>
        </is>
      </c>
      <c r="AC1551" t="inlineStr">
        <is>
          <t>Miljo-PM</t>
        </is>
      </c>
      <c r="AD1551" t="inlineStr">
        <is>
          <t>Nej</t>
        </is>
      </c>
      <c r="AE1551" t="inlineStr">
        <is>
          <t>Nej</t>
        </is>
      </c>
      <c r="AF1551" t="inlineStr">
        <is>
          <t>Ej behandlad</t>
        </is>
      </c>
      <c r="AG1551" t="inlineStr">
        <is>
          <t>AUTO_GENERERAD. Verifiera citat mot kallfil.</t>
        </is>
      </c>
      <c r="AH1551" t="inlineStr">
        <is>
          <t>HIGH</t>
        </is>
      </c>
      <c r="AI1551" t="inlineStr">
        <is>
          <t>AUTO</t>
        </is>
      </c>
      <c r="AJ1551" t="inlineStr">
        <is>
          <t>Nej</t>
        </is>
      </c>
      <c r="AK1551" t="inlineStr"/>
      <c r="AL1551" t="inlineStr"/>
      <c r="AM1551" t="inlineStr"/>
      <c r="AN1551" t="inlineStr"/>
      <c r="AO1551" t="inlineStr">
        <is>
          <t>cmm4yuog701ktcuqwpqy40zq6</t>
        </is>
      </c>
      <c r="AP1551" t="inlineStr">
        <is>
          <t>http://localhost:8787/api/admin/requirements/documents/cmm4yuog701ktcuqwpqy40zq6/view</t>
        </is>
      </c>
      <c r="AQ1551">
        <f>HYPERLÄNK("http://localhost:8787/api/admin/requirements/documents/cmm4yuog701ktcuqwpqy40zq6/view";"Öppna PDF")</f>
        <v/>
      </c>
      <c r="AR1551">
        <f>HYPERLINK("http://localhost:8787/api/admin/requirements/documents/cmm4yuog701ktcuqwpqy40zq6/view","Open PDF")</f>
        <v/>
      </c>
      <c r="AS1551" t="inlineStr">
        <is>
          <t>cmm55w57p0004cuisfrtpqly8</t>
        </is>
      </c>
      <c r="AT1551" t="inlineStr">
        <is>
          <t>cmm4xvu980000cuh4vj0usz09</t>
        </is>
      </c>
      <c r="AU1551" t="inlineStr">
        <is>
          <t>Post Skara</t>
        </is>
      </c>
      <c r="AV1551" t="inlineStr">
        <is>
          <t>Kommun</t>
        </is>
      </c>
      <c r="AW1551" t="inlineStr">
        <is>
          <t>Post Skara kommun</t>
        </is>
      </c>
      <c r="AX1551" t="inlineStr">
        <is>
          <t>2024-04</t>
        </is>
      </c>
      <c r="AY1551" t="inlineStr">
        <is>
          <t>Beslut</t>
        </is>
      </c>
      <c r="AZ1551" t="inlineStr">
        <is>
          <t>2026-02-03</t>
        </is>
      </c>
      <c r="BA1551" t="inlineStr">
        <is>
          <t>SKSBN-2024-254__2024-04-03_M - Beslut om försiktighetsmått.pdf</t>
        </is>
      </c>
      <c r="BB1551" t="inlineStr">
        <is>
          <t>Efterfrågade handlingar</t>
        </is>
      </c>
      <c r="BC1551" t="inlineStr">
        <is>
          <t>AUTO</t>
        </is>
      </c>
      <c r="BD1551" t="inlineStr"/>
      <c r="BE1551" t="inlineStr"/>
      <c r="BF1551" t="inlineStr">
        <is>
          <t>AUTO_GENERERAD. Bekrafta metadata mot kallfil.</t>
        </is>
      </c>
      <c r="BG1551">
        <f>HYPERLINK("C:\Users\jimmy\Desktop\Examens arbete\Kod\Ny mapp\remix_-copy-of-miljöbeslut.se-portal\SKSBN-2024-254__2024-04-03_M - Beslut om försiktighetsmått.pdf", "Öppna PDF")</f>
        <v/>
      </c>
    </row>
    <row r="1552">
      <c r="A1552" t="inlineStr">
        <is>
          <t>KRAV-AUTO-001551</t>
        </is>
      </c>
      <c r="B1552" t="inlineStr">
        <is>
          <t>ADMIN-INDEX-2026-02-27-00000000125C043F57453246863FE664CAFE6A3F0700950291EA24F0614FB6ACEDB12BF0E31D00000000010C0000950291EA24F0614FB6ACEDB12BF0E31D00002087AED80000</t>
        </is>
      </c>
      <c r="C1552" t="inlineStr">
        <is>
          <t>cmm4yuofl01kecuqwcyf64nqq</t>
        </is>
      </c>
      <c r="D1552" t="inlineStr">
        <is>
          <t>http://localhost:8787/api/admin/requirements/documents/cmm4yuofl01kecuqwcyf64nqq/view</t>
        </is>
      </c>
      <c r="E1552">
        <f>HYPERLÄNK("http://localhost:8787/api/admin/requirements/documents/cmm4yuofl01kecuqwcyf64nqq/view";"Öppna PDF")</f>
        <v/>
      </c>
      <c r="F1552">
        <f>HYPERLINK("http://localhost:8787/api/admin/requirements/documents/cmm4yuofl01kecuqwcyf64nqq/view","Open PDF")</f>
        <v/>
      </c>
      <c r="G1552" t="inlineStr">
        <is>
          <t>cmm55w57p0004cuisfrtpqly8</t>
        </is>
      </c>
      <c r="H1552" t="inlineStr">
        <is>
          <t>Informationskrav</t>
        </is>
      </c>
      <c r="I1552" t="inlineStr">
        <is>
          <t>DagvattenLakvatten</t>
        </is>
      </c>
      <c r="J1552" t="inlineStr">
        <is>
          <t>Uppsamling</t>
        </is>
      </c>
      <c r="K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52" t="inlineStr">
        <is>
          <t>SKA</t>
        </is>
      </c>
      <c r="N1552" t="inlineStr">
        <is>
          <t>FMH</t>
        </is>
      </c>
      <c r="O1552" t="inlineStr"/>
      <c r="P1552" t="inlineStr"/>
      <c r="Q1552" t="inlineStr"/>
      <c r="R1552" t="inlineStr">
        <is>
          <t>Vid nederbord och avrinning</t>
        </is>
      </c>
      <c r="S1552" t="inlineStr"/>
      <c r="T1552" t="inlineStr">
        <is>
          <t>556908</t>
        </is>
      </c>
      <c r="U1552" t="inlineStr"/>
      <c r="V1552" t="inlineStr"/>
      <c r="W1552" t="inlineStr">
        <is>
          <t>Nej</t>
        </is>
      </c>
      <c r="X1552" t="inlineStr">
        <is>
          <t>Ja</t>
        </is>
      </c>
      <c r="Y1552" t="inlineStr">
        <is>
          <t>Ja</t>
        </is>
      </c>
      <c r="Z1552" t="inlineStr">
        <is>
          <t>Nej</t>
        </is>
      </c>
      <c r="AA1552" t="n">
        <v>6</v>
      </c>
      <c r="AB1552" t="inlineStr">
        <is>
          <t>Lakvattenhantering</t>
        </is>
      </c>
      <c r="AC1552" t="inlineStr">
        <is>
          <t>Flodesschema dagvatten-lakvatten</t>
        </is>
      </c>
      <c r="AD1552" t="inlineStr">
        <is>
          <t>Nej</t>
        </is>
      </c>
      <c r="AE1552" t="inlineStr">
        <is>
          <t>Nej</t>
        </is>
      </c>
      <c r="AF1552" t="inlineStr">
        <is>
          <t>Ej behandlad</t>
        </is>
      </c>
      <c r="AG1552" t="inlineStr">
        <is>
          <t>AUTO_GENERERAD. Verifiera citat mot kallfil.</t>
        </is>
      </c>
      <c r="AH1552" t="inlineStr">
        <is>
          <t>HIGH</t>
        </is>
      </c>
      <c r="AI1552" t="inlineStr">
        <is>
          <t>AUTO</t>
        </is>
      </c>
      <c r="AJ1552" t="inlineStr">
        <is>
          <t>Nej</t>
        </is>
      </c>
      <c r="AK1552" t="inlineStr"/>
      <c r="AL1552" t="inlineStr"/>
      <c r="AM1552" t="inlineStr"/>
      <c r="AN1552" t="inlineStr"/>
      <c r="AO1552" t="inlineStr">
        <is>
          <t>cmm4yuog701ktcuqwpqy40zq6</t>
        </is>
      </c>
      <c r="AP1552" t="inlineStr">
        <is>
          <t>http://localhost:8787/api/admin/requirements/documents/cmm4yuog701ktcuqwpqy40zq6/view</t>
        </is>
      </c>
      <c r="AQ1552">
        <f>HYPERLÄNK("http://localhost:8787/api/admin/requirements/documents/cmm4yuog701ktcuqwpqy40zq6/view";"Öppna PDF")</f>
        <v/>
      </c>
      <c r="AR1552">
        <f>HYPERLINK("http://localhost:8787/api/admin/requirements/documents/cmm4yuog701ktcuqwpqy40zq6/view","Open PDF")</f>
        <v/>
      </c>
      <c r="AS1552" t="inlineStr">
        <is>
          <t>cmm55w57p0004cuisfrtpqly8</t>
        </is>
      </c>
      <c r="AT1552" t="inlineStr">
        <is>
          <t>cmm4xvu980000cuh4vj0usz09</t>
        </is>
      </c>
      <c r="AU1552" t="inlineStr">
        <is>
          <t>Post Skara</t>
        </is>
      </c>
      <c r="AV1552" t="inlineStr">
        <is>
          <t>Kommun</t>
        </is>
      </c>
      <c r="AW1552" t="inlineStr">
        <is>
          <t>Post Skara kommun</t>
        </is>
      </c>
      <c r="AX1552" t="inlineStr">
        <is>
          <t>2024-04</t>
        </is>
      </c>
      <c r="AY1552" t="inlineStr">
        <is>
          <t>Beslut</t>
        </is>
      </c>
      <c r="AZ1552" t="inlineStr">
        <is>
          <t>2026-02-03</t>
        </is>
      </c>
      <c r="BA1552" t="inlineStr">
        <is>
          <t>SKSBN-2024-254__2024-04-03_M - Beslut om försiktighetsmått.pdf</t>
        </is>
      </c>
      <c r="BB1552" t="inlineStr">
        <is>
          <t>Efterfrågade handlingar</t>
        </is>
      </c>
      <c r="BC1552" t="inlineStr">
        <is>
          <t>AUTO</t>
        </is>
      </c>
      <c r="BD1552" t="inlineStr"/>
      <c r="BE1552" t="inlineStr"/>
      <c r="BF1552" t="inlineStr">
        <is>
          <t>AUTO_GENERERAD. Bekrafta metadata mot kallfil.</t>
        </is>
      </c>
      <c r="BG1552">
        <f>HYPERLINK("C:\Users\jimmy\Desktop\Examens arbete\Kod\Ny mapp\remix_-copy-of-miljöbeslut.se-portal\SKSBN-2024-254__2024-04-03_M - Beslut om försiktighetsmått.pdf", "Öppna PDF")</f>
        <v/>
      </c>
    </row>
    <row r="1553">
      <c r="A1553" t="inlineStr">
        <is>
          <t>KRAV-AUTO-001552</t>
        </is>
      </c>
      <c r="B1553" t="inlineStr">
        <is>
          <t>ADMIN-INDEX-2026-02-27-00000000125C043F57453246863FE664CAFE6A3F0700950291EA24F0614FB6ACEDB12BF0E31D00000000010C0000950291EA24F0614FB6ACEDB12BF0E31D00002087AED80000</t>
        </is>
      </c>
      <c r="C1553" t="inlineStr">
        <is>
          <t>cmm4yuofl01kecuqwcyf64nqq</t>
        </is>
      </c>
      <c r="D1553" t="inlineStr">
        <is>
          <t>http://localhost:8787/api/admin/requirements/documents/cmm4yuofl01kecuqwcyf64nqq/view</t>
        </is>
      </c>
      <c r="E1553">
        <f>HYPERLÄNK("http://localhost:8787/api/admin/requirements/documents/cmm4yuofl01kecuqwcyf64nqq/view";"Öppna PDF")</f>
        <v/>
      </c>
      <c r="F1553">
        <f>HYPERLINK("http://localhost:8787/api/admin/requirements/documents/cmm4yuofl01kecuqwcyf64nqq/view","Open PDF")</f>
        <v/>
      </c>
      <c r="G1553" t="inlineStr">
        <is>
          <t>cmm55w57p0004cuisfrtpqly8</t>
        </is>
      </c>
      <c r="H1553" t="inlineStr">
        <is>
          <t>Informationskrav</t>
        </is>
      </c>
      <c r="I1553" t="inlineStr">
        <is>
          <t>LagringsvolymTid</t>
        </is>
      </c>
      <c r="J1553" t="inlineStr">
        <is>
          <t>Maxmangd</t>
        </is>
      </c>
      <c r="K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3" t="inlineStr">
        <is>
          <t>SKA</t>
        </is>
      </c>
      <c r="N1553" t="inlineStr">
        <is>
          <t>FMH</t>
        </is>
      </c>
      <c r="O1553" t="inlineStr"/>
      <c r="P1553" t="inlineStr">
        <is>
          <t>Arlig</t>
        </is>
      </c>
      <c r="Q1553" t="inlineStr"/>
      <c r="R1553" t="inlineStr">
        <is>
          <t>Alltid</t>
        </is>
      </c>
      <c r="S1553" t="inlineStr"/>
      <c r="T1553" t="inlineStr">
        <is>
          <t>556908</t>
        </is>
      </c>
      <c r="U1553" t="inlineStr"/>
      <c r="V1553" t="inlineStr"/>
      <c r="W1553" t="inlineStr">
        <is>
          <t>Nej</t>
        </is>
      </c>
      <c r="X1553" t="inlineStr">
        <is>
          <t>Nej</t>
        </is>
      </c>
      <c r="Y1553" t="inlineStr">
        <is>
          <t>Nej</t>
        </is>
      </c>
      <c r="Z1553" t="inlineStr">
        <is>
          <t>Nej</t>
        </is>
      </c>
      <c r="AA1553" t="n">
        <v>4</v>
      </c>
      <c r="AB1553" t="inlineStr">
        <is>
          <t>Avfallsmangder och lagringstid</t>
        </is>
      </c>
      <c r="AC1553" t="inlineStr">
        <is>
          <t>Avfallsforteckning</t>
        </is>
      </c>
      <c r="AD1553" t="inlineStr">
        <is>
          <t>Nej</t>
        </is>
      </c>
      <c r="AE1553" t="inlineStr">
        <is>
          <t>Nej</t>
        </is>
      </c>
      <c r="AF1553" t="inlineStr">
        <is>
          <t>Ej behandlad</t>
        </is>
      </c>
      <c r="AG1553" t="inlineStr">
        <is>
          <t>AUTO_GENERERAD. Verifiera citat mot kallfil.</t>
        </is>
      </c>
      <c r="AH1553" t="inlineStr">
        <is>
          <t>HIGH</t>
        </is>
      </c>
      <c r="AI1553" t="inlineStr">
        <is>
          <t>AUTO</t>
        </is>
      </c>
      <c r="AJ1553" t="inlineStr">
        <is>
          <t>Nej</t>
        </is>
      </c>
      <c r="AK1553" t="inlineStr"/>
      <c r="AL1553" t="inlineStr"/>
      <c r="AM1553" t="inlineStr"/>
      <c r="AN1553" t="inlineStr"/>
      <c r="AO1553" t="inlineStr">
        <is>
          <t>cmm4yuog701ktcuqwpqy40zq6</t>
        </is>
      </c>
      <c r="AP1553" t="inlineStr">
        <is>
          <t>http://localhost:8787/api/admin/requirements/documents/cmm4yuog701ktcuqwpqy40zq6/view</t>
        </is>
      </c>
      <c r="AQ1553">
        <f>HYPERLÄNK("http://localhost:8787/api/admin/requirements/documents/cmm4yuog701ktcuqwpqy40zq6/view";"Öppna PDF")</f>
        <v/>
      </c>
      <c r="AR1553">
        <f>HYPERLINK("http://localhost:8787/api/admin/requirements/documents/cmm4yuog701ktcuqwpqy40zq6/view","Open PDF")</f>
        <v/>
      </c>
      <c r="AS1553" t="inlineStr">
        <is>
          <t>cmm55w57p0004cuisfrtpqly8</t>
        </is>
      </c>
      <c r="AT1553" t="inlineStr">
        <is>
          <t>cmm4xvu980000cuh4vj0usz09</t>
        </is>
      </c>
      <c r="AU1553" t="inlineStr">
        <is>
          <t>Post Skara</t>
        </is>
      </c>
      <c r="AV1553" t="inlineStr">
        <is>
          <t>Kommun</t>
        </is>
      </c>
      <c r="AW1553" t="inlineStr">
        <is>
          <t>Post Skara kommun</t>
        </is>
      </c>
      <c r="AX1553" t="inlineStr">
        <is>
          <t>2024-04</t>
        </is>
      </c>
      <c r="AY1553" t="inlineStr">
        <is>
          <t>Beslut</t>
        </is>
      </c>
      <c r="AZ1553" t="inlineStr">
        <is>
          <t>2026-02-03</t>
        </is>
      </c>
      <c r="BA1553" t="inlineStr">
        <is>
          <t>SKSBN-2024-254__2024-04-03_M - Beslut om försiktighetsmått.pdf</t>
        </is>
      </c>
      <c r="BB1553" t="inlineStr">
        <is>
          <t>Efterfrågade handlingar</t>
        </is>
      </c>
      <c r="BC1553" t="inlineStr">
        <is>
          <t>AUTO</t>
        </is>
      </c>
      <c r="BD1553" t="inlineStr"/>
      <c r="BE1553" t="inlineStr"/>
      <c r="BF1553" t="inlineStr">
        <is>
          <t>AUTO_GENERERAD. Bekrafta metadata mot kallfil.</t>
        </is>
      </c>
      <c r="BG1553">
        <f>HYPERLINK("C:\Users\jimmy\Desktop\Examens arbete\Kod\Ny mapp\remix_-copy-of-miljöbeslut.se-portal\SKSBN-2024-254__2024-04-03_M - Beslut om försiktighetsmått.pdf", "Öppna PDF")</f>
        <v/>
      </c>
    </row>
    <row r="1554">
      <c r="A1554" t="inlineStr">
        <is>
          <t>KRAV-AUTO-001553</t>
        </is>
      </c>
      <c r="B1554" t="inlineStr">
        <is>
          <t>ADMIN-INDEX-2026-02-27-00000000125C043F57453246863FE664CAFE6A3F0700950291EA24F0614FB6ACEDB12BF0E31D00000000010C0000950291EA24F0614FB6ACEDB12BF0E31D00002087AED90000</t>
        </is>
      </c>
      <c r="C1554" t="inlineStr">
        <is>
          <t>cmm4yuofh01kbcuqw6gymbrbx</t>
        </is>
      </c>
      <c r="D1554" t="inlineStr">
        <is>
          <t>http://localhost:8787/api/admin/requirements/documents/cmm4yuofh01kbcuqw6gymbrbx/view</t>
        </is>
      </c>
      <c r="E1554">
        <f>HYPERLÄNK("http://localhost:8787/api/admin/requirements/documents/cmm4yuofh01kbcuqw6gymbrbx/view";"Öppna PDF")</f>
        <v/>
      </c>
      <c r="F1554">
        <f>HYPERLINK("http://localhost:8787/api/admin/requirements/documents/cmm4yuofh01kbcuqw6gymbrbx/view","Open PDF")</f>
        <v/>
      </c>
      <c r="G1554" t="inlineStr">
        <is>
          <t>cmm55w57p0004cuisfrtpqly8</t>
        </is>
      </c>
      <c r="H1554" t="inlineStr">
        <is>
          <t>Beslutsvillkor</t>
        </is>
      </c>
      <c r="I1554" t="inlineStr">
        <is>
          <t>MiljopaverkanForsiktighet</t>
        </is>
      </c>
      <c r="J1554" t="inlineStr">
        <is>
          <t>Skyddsatgarder</t>
        </is>
      </c>
      <c r="K1554" t="inlineStr">
        <is>
          <t>Skamsberget Mellanlagring av Sopsand N Teknisk serni lunison 1:6000</t>
        </is>
      </c>
      <c r="L1554" t="inlineStr">
        <is>
          <t>Skamsberget Mellanlagring av Sopsand N Teknisk serni lunison 1:6000</t>
        </is>
      </c>
      <c r="M1554" t="inlineStr">
        <is>
          <t>SKA</t>
        </is>
      </c>
      <c r="N1554" t="inlineStr"/>
      <c r="O1554" t="inlineStr"/>
      <c r="P1554" t="inlineStr"/>
      <c r="Q1554" t="inlineStr"/>
      <c r="R1554" t="inlineStr">
        <is>
          <t>Alltid</t>
        </is>
      </c>
      <c r="S1554" t="inlineStr"/>
      <c r="T1554" t="inlineStr"/>
      <c r="U1554" t="inlineStr"/>
      <c r="V1554" t="inlineStr"/>
      <c r="W1554" t="inlineStr">
        <is>
          <t>Nej</t>
        </is>
      </c>
      <c r="X1554" t="inlineStr">
        <is>
          <t>Nej</t>
        </is>
      </c>
      <c r="Y1554" t="inlineStr">
        <is>
          <t>Nej</t>
        </is>
      </c>
      <c r="Z1554" t="inlineStr">
        <is>
          <t>Nej</t>
        </is>
      </c>
      <c r="AA1554" t="n">
        <v>10</v>
      </c>
      <c r="AB1554" t="inlineStr">
        <is>
          <t>Miljopaverkan och forsiktighetsmatt</t>
        </is>
      </c>
      <c r="AC1554" t="inlineStr">
        <is>
          <t>Miljo-PM</t>
        </is>
      </c>
      <c r="AD1554" t="inlineStr">
        <is>
          <t>Nej</t>
        </is>
      </c>
      <c r="AE1554" t="inlineStr">
        <is>
          <t>Nej</t>
        </is>
      </c>
      <c r="AF1554" t="inlineStr">
        <is>
          <t>Ej behandlad</t>
        </is>
      </c>
      <c r="AG1554" t="inlineStr">
        <is>
          <t>AUTO_GENERERAD. Verifiera citat mot kallfil.</t>
        </is>
      </c>
      <c r="AH1554" t="inlineStr">
        <is>
          <t>MEDIUM</t>
        </is>
      </c>
      <c r="AI1554" t="inlineStr">
        <is>
          <t>AUTO</t>
        </is>
      </c>
      <c r="AJ1554" t="inlineStr">
        <is>
          <t>Nej</t>
        </is>
      </c>
      <c r="AK1554" t="inlineStr"/>
      <c r="AL1554" t="inlineStr"/>
      <c r="AM1554" t="inlineStr"/>
      <c r="AN1554" t="inlineStr"/>
      <c r="AO1554" t="inlineStr">
        <is>
          <t>cmm4yuofh01kbcuqw6gymbrbx</t>
        </is>
      </c>
      <c r="AP1554" t="inlineStr">
        <is>
          <t>http://localhost:8787/api/admin/requirements/documents/cmm4yuofh01kbcuqw6gymbrbx/view</t>
        </is>
      </c>
      <c r="AQ1554">
        <f>HYPERLÄNK("http://localhost:8787/api/admin/requirements/documents/cmm4yuofh01kbcuqw6gymbrbx/view";"Öppna PDF")</f>
        <v/>
      </c>
      <c r="AR1554">
        <f>HYPERLINK("http://localhost:8787/api/admin/requirements/documents/cmm4yuofh01kbcuqw6gymbrbx/view","Open PDF")</f>
        <v/>
      </c>
      <c r="AS1554" t="inlineStr">
        <is>
          <t>cmm55w57p0004cuisfrtpqly8</t>
        </is>
      </c>
      <c r="AT1554" t="inlineStr">
        <is>
          <t>cmm4xvu980000cuh4vj0usz09</t>
        </is>
      </c>
      <c r="AU1554" t="inlineStr"/>
      <c r="AV1554" t="inlineStr">
        <is>
          <t>Kommun</t>
        </is>
      </c>
      <c r="AW1554" t="inlineStr"/>
      <c r="AX1554" t="inlineStr">
        <is>
          <t>2025-103</t>
        </is>
      </c>
      <c r="AY1554" t="inlineStr">
        <is>
          <t>Beslut</t>
        </is>
      </c>
      <c r="AZ1554" t="inlineStr">
        <is>
          <t>2026-02-03</t>
        </is>
      </c>
      <c r="BA1554" t="inlineStr">
        <is>
          <t>Karta situationsplan..pdf</t>
        </is>
      </c>
      <c r="BB1554" t="inlineStr">
        <is>
          <t>Ärende 2025-103</t>
        </is>
      </c>
      <c r="BC1554" t="inlineStr">
        <is>
          <t>AUTO</t>
        </is>
      </c>
      <c r="BD1554" t="inlineStr"/>
      <c r="BE1554" t="inlineStr"/>
      <c r="BF1554" t="inlineStr">
        <is>
          <t>AUTO_GENERERAD. Bekrafta metadata mot kallfil.</t>
        </is>
      </c>
      <c r="BG1554">
        <f>HYPERLINK("C:\Users\jimmy\Desktop\Examens arbete\Kod\Ny mapp\remix_-copy-of-miljöbeslut.se-portal\Karta situationsplan..pdf", "Öppna PDF")</f>
        <v/>
      </c>
    </row>
    <row r="1555">
      <c r="A1555" t="inlineStr">
        <is>
          <t>KRAV-AUTO-001554</t>
        </is>
      </c>
      <c r="B1555" t="inlineStr">
        <is>
          <t>ADMIN-INDEX-2026-02-27-00000000125C043F57453246863FE664CAFE6A3F0700950291EA24F0614FB6ACEDB12BF0E31D00000000010C0000950291EA24F0614FB6ACEDB12BF0E31D00002087AED90000</t>
        </is>
      </c>
      <c r="C1555" t="inlineStr">
        <is>
          <t>cmm4yuofd01k8cuqwu494b2fs</t>
        </is>
      </c>
      <c r="D1555" t="inlineStr">
        <is>
          <t>http://localhost:8787/api/admin/requirements/documents/cmm4yuofd01k8cuqwu494b2fs/view</t>
        </is>
      </c>
      <c r="E1555">
        <f>HYPERLÄNK("http://localhost:8787/api/admin/requirements/documents/cmm4yuofd01k8cuqwu494b2fs/view";"Öppna PDF")</f>
        <v/>
      </c>
      <c r="F1555">
        <f>HYPERLINK("http://localhost:8787/api/admin/requirements/documents/cmm4yuofd01k8cuqwu494b2fs/view","Open PDF")</f>
        <v/>
      </c>
      <c r="G1555" t="inlineStr">
        <is>
          <t>cmm55w57p0004cuisfrtpqly8</t>
        </is>
      </c>
      <c r="H1555" t="inlineStr">
        <is>
          <t>Informationskrav</t>
        </is>
      </c>
      <c r="I1555" t="inlineStr">
        <is>
          <t>DagvattenLakvatten</t>
        </is>
      </c>
      <c r="J1555" t="inlineStr">
        <is>
          <t>Uppsamling</t>
        </is>
      </c>
      <c r="K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5" t="inlineStr">
        <is>
          <t>SKA</t>
        </is>
      </c>
      <c r="N1555" t="inlineStr">
        <is>
          <t>FMH</t>
        </is>
      </c>
      <c r="O1555" t="inlineStr"/>
      <c r="P1555" t="inlineStr"/>
      <c r="Q1555" t="inlineStr"/>
      <c r="R1555" t="inlineStr">
        <is>
          <t>Vid nederbord och avrinning</t>
        </is>
      </c>
      <c r="S1555" t="inlineStr"/>
      <c r="T1555" t="inlineStr"/>
      <c r="U1555" t="inlineStr"/>
      <c r="V1555" t="inlineStr"/>
      <c r="W1555" t="inlineStr">
        <is>
          <t>Nej</t>
        </is>
      </c>
      <c r="X1555" t="inlineStr">
        <is>
          <t>Ja</t>
        </is>
      </c>
      <c r="Y1555" t="inlineStr">
        <is>
          <t>Ja</t>
        </is>
      </c>
      <c r="Z1555" t="inlineStr">
        <is>
          <t>Nej</t>
        </is>
      </c>
      <c r="AA1555" t="n">
        <v>6</v>
      </c>
      <c r="AB1555" t="inlineStr">
        <is>
          <t>Lakvattenhantering</t>
        </is>
      </c>
      <c r="AC1555" t="inlineStr">
        <is>
          <t>Flodesschema dagvatten-lakvatten</t>
        </is>
      </c>
      <c r="AD1555" t="inlineStr">
        <is>
          <t>Nej</t>
        </is>
      </c>
      <c r="AE1555" t="inlineStr">
        <is>
          <t>Nej</t>
        </is>
      </c>
      <c r="AF1555" t="inlineStr">
        <is>
          <t>Ej behandlad</t>
        </is>
      </c>
      <c r="AG1555" t="inlineStr">
        <is>
          <t>AUTO_GENERERAD. Verifiera citat mot kallfil.</t>
        </is>
      </c>
      <c r="AH1555" t="inlineStr">
        <is>
          <t>HIGH</t>
        </is>
      </c>
      <c r="AI1555" t="inlineStr">
        <is>
          <t>AUTO</t>
        </is>
      </c>
      <c r="AJ1555" t="inlineStr">
        <is>
          <t>Nej</t>
        </is>
      </c>
      <c r="AK1555" t="inlineStr"/>
      <c r="AL1555" t="inlineStr"/>
      <c r="AM1555" t="inlineStr"/>
      <c r="AN1555" t="inlineStr"/>
      <c r="AO1555" t="inlineStr">
        <is>
          <t>cmm4yuofh01kbcuqw6gymbrbx</t>
        </is>
      </c>
      <c r="AP1555" t="inlineStr">
        <is>
          <t>http://localhost:8787/api/admin/requirements/documents/cmm4yuofh01kbcuqw6gymbrbx/view</t>
        </is>
      </c>
      <c r="AQ1555">
        <f>HYPERLÄNK("http://localhost:8787/api/admin/requirements/documents/cmm4yuofh01kbcuqw6gymbrbx/view";"Öppna PDF")</f>
        <v/>
      </c>
      <c r="AR1555">
        <f>HYPERLINK("http://localhost:8787/api/admin/requirements/documents/cmm4yuofh01kbcuqw6gymbrbx/view","Open PDF")</f>
        <v/>
      </c>
      <c r="AS1555" t="inlineStr">
        <is>
          <t>cmm55w57p0004cuisfrtpqly8</t>
        </is>
      </c>
      <c r="AT1555" t="inlineStr">
        <is>
          <t>cmm4xvu980000cuh4vj0usz09</t>
        </is>
      </c>
      <c r="AU1555" t="inlineStr"/>
      <c r="AV1555" t="inlineStr">
        <is>
          <t>Kommun</t>
        </is>
      </c>
      <c r="AW1555" t="inlineStr"/>
      <c r="AX1555" t="inlineStr">
        <is>
          <t>2025-103</t>
        </is>
      </c>
      <c r="AY1555" t="inlineStr">
        <is>
          <t>Beslut</t>
        </is>
      </c>
      <c r="AZ1555" t="inlineStr">
        <is>
          <t>2026-02-03</t>
        </is>
      </c>
      <c r="BA1555" t="inlineStr">
        <is>
          <t>Karta situationsplan..pdf</t>
        </is>
      </c>
      <c r="BB1555" t="inlineStr">
        <is>
          <t>Ärende 2025-103</t>
        </is>
      </c>
      <c r="BC1555" t="inlineStr">
        <is>
          <t>AUTO</t>
        </is>
      </c>
      <c r="BD1555" t="inlineStr"/>
      <c r="BE1555" t="inlineStr"/>
      <c r="BF1555" t="inlineStr">
        <is>
          <t>AUTO_GENERERAD. Bekrafta metadata mot kallfil.</t>
        </is>
      </c>
      <c r="BG1555">
        <f>HYPERLINK("C:\Users\jimmy\Desktop\Examens arbete\Kod\Ny mapp\remix_-copy-of-miljöbeslut.se-portal\Karta situationsplan..pdf", "Öppna PDF")</f>
        <v/>
      </c>
    </row>
    <row r="1556">
      <c r="A1556" t="inlineStr">
        <is>
          <t>KRAV-AUTO-001555</t>
        </is>
      </c>
      <c r="B1556" t="inlineStr">
        <is>
          <t>ADMIN-INDEX-2026-02-27-00000000125C043F57453246863FE664CAFE6A3F0700950291EA24F0614FB6ACEDB12BF0E31D00000000010C0000950291EA24F0614FB6ACEDB12BF0E31D00002087AED90000</t>
        </is>
      </c>
      <c r="C1556" t="inlineStr">
        <is>
          <t>cmm4yuofd01k8cuqwu494b2fs</t>
        </is>
      </c>
      <c r="D1556" t="inlineStr">
        <is>
          <t>http://localhost:8787/api/admin/requirements/documents/cmm4yuofd01k8cuqwu494b2fs/view</t>
        </is>
      </c>
      <c r="E1556">
        <f>HYPERLÄNK("http://localhost:8787/api/admin/requirements/documents/cmm4yuofd01k8cuqwu494b2fs/view";"Öppna PDF")</f>
        <v/>
      </c>
      <c r="F1556">
        <f>HYPERLINK("http://localhost:8787/api/admin/requirements/documents/cmm4yuofd01k8cuqwu494b2fs/view","Open PDF")</f>
        <v/>
      </c>
      <c r="G1556" t="inlineStr">
        <is>
          <t>cmm55w57p0004cuisfrtpqly8</t>
        </is>
      </c>
      <c r="H1556" t="inlineStr">
        <is>
          <t>Informationskrav</t>
        </is>
      </c>
      <c r="I1556" t="inlineStr">
        <is>
          <t>MiljopaverkanForsiktighet</t>
        </is>
      </c>
      <c r="J1556" t="inlineStr">
        <is>
          <t>Skyddsatgarder</t>
        </is>
      </c>
      <c r="K1556" t="inlineStr">
        <is>
          <t>Sanden kommer att mellanlagras vid upplaasplatsen på Skamsberget.</t>
        </is>
      </c>
      <c r="L1556" t="inlineStr">
        <is>
          <t>Sanden kommer att mellanlagras vid upplaasplatsen på Skamsberget.</t>
        </is>
      </c>
      <c r="M1556" t="inlineStr">
        <is>
          <t>SKA</t>
        </is>
      </c>
      <c r="N1556" t="inlineStr">
        <is>
          <t>FMH</t>
        </is>
      </c>
      <c r="O1556" t="inlineStr"/>
      <c r="P1556" t="inlineStr"/>
      <c r="Q1556" t="inlineStr"/>
      <c r="R1556" t="inlineStr">
        <is>
          <t>Alltid</t>
        </is>
      </c>
      <c r="S1556" t="inlineStr"/>
      <c r="T1556" t="inlineStr"/>
      <c r="U1556" t="inlineStr"/>
      <c r="V1556" t="inlineStr"/>
      <c r="W1556" t="inlineStr">
        <is>
          <t>Nej</t>
        </is>
      </c>
      <c r="X1556" t="inlineStr">
        <is>
          <t>Nej</t>
        </is>
      </c>
      <c r="Y1556" t="inlineStr">
        <is>
          <t>Nej</t>
        </is>
      </c>
      <c r="Z1556" t="inlineStr">
        <is>
          <t>Nej</t>
        </is>
      </c>
      <c r="AA1556" t="n">
        <v>10</v>
      </c>
      <c r="AB1556" t="inlineStr">
        <is>
          <t>Miljopaverkan och forsiktighetsmatt</t>
        </is>
      </c>
      <c r="AC1556" t="inlineStr">
        <is>
          <t>Miljo-PM</t>
        </is>
      </c>
      <c r="AD1556" t="inlineStr">
        <is>
          <t>Nej</t>
        </is>
      </c>
      <c r="AE1556" t="inlineStr">
        <is>
          <t>Nej</t>
        </is>
      </c>
      <c r="AF1556" t="inlineStr">
        <is>
          <t>Ej behandlad</t>
        </is>
      </c>
      <c r="AG1556" t="inlineStr">
        <is>
          <t>AUTO_GENERERAD. Verifiera citat mot kallfil.</t>
        </is>
      </c>
      <c r="AH1556" t="inlineStr">
        <is>
          <t>HIGH</t>
        </is>
      </c>
      <c r="AI1556" t="inlineStr">
        <is>
          <t>AUTO</t>
        </is>
      </c>
      <c r="AJ1556" t="inlineStr">
        <is>
          <t>Nej</t>
        </is>
      </c>
      <c r="AK1556" t="inlineStr"/>
      <c r="AL1556" t="inlineStr"/>
      <c r="AM1556" t="inlineStr"/>
      <c r="AN1556" t="inlineStr"/>
      <c r="AO1556" t="inlineStr">
        <is>
          <t>cmm4yuofh01kbcuqw6gymbrbx</t>
        </is>
      </c>
      <c r="AP1556" t="inlineStr">
        <is>
          <t>http://localhost:8787/api/admin/requirements/documents/cmm4yuofh01kbcuqw6gymbrbx/view</t>
        </is>
      </c>
      <c r="AQ1556">
        <f>HYPERLÄNK("http://localhost:8787/api/admin/requirements/documents/cmm4yuofh01kbcuqw6gymbrbx/view";"Öppna PDF")</f>
        <v/>
      </c>
      <c r="AR1556">
        <f>HYPERLINK("http://localhost:8787/api/admin/requirements/documents/cmm4yuofh01kbcuqw6gymbrbx/view","Open PDF")</f>
        <v/>
      </c>
      <c r="AS1556" t="inlineStr">
        <is>
          <t>cmm55w57p0004cuisfrtpqly8</t>
        </is>
      </c>
      <c r="AT1556" t="inlineStr">
        <is>
          <t>cmm4xvu980000cuh4vj0usz09</t>
        </is>
      </c>
      <c r="AU1556" t="inlineStr"/>
      <c r="AV1556" t="inlineStr">
        <is>
          <t>Kommun</t>
        </is>
      </c>
      <c r="AW1556" t="inlineStr"/>
      <c r="AX1556" t="inlineStr">
        <is>
          <t>2025-103</t>
        </is>
      </c>
      <c r="AY1556" t="inlineStr">
        <is>
          <t>Beslut</t>
        </is>
      </c>
      <c r="AZ1556" t="inlineStr">
        <is>
          <t>2026-02-03</t>
        </is>
      </c>
      <c r="BA1556" t="inlineStr">
        <is>
          <t>Karta situationsplan..pdf</t>
        </is>
      </c>
      <c r="BB1556" t="inlineStr">
        <is>
          <t>Ärende 2025-103</t>
        </is>
      </c>
      <c r="BC1556" t="inlineStr">
        <is>
          <t>AUTO</t>
        </is>
      </c>
      <c r="BD1556" t="inlineStr"/>
      <c r="BE1556" t="inlineStr"/>
      <c r="BF1556" t="inlineStr">
        <is>
          <t>AUTO_GENERERAD. Bekrafta metadata mot kallfil.</t>
        </is>
      </c>
      <c r="BG1556">
        <f>HYPERLINK("C:\Users\jimmy\Desktop\Examens arbete\Kod\Ny mapp\remix_-copy-of-miljöbeslut.se-portal\Karta situationsplan..pdf", "Öppna PDF")</f>
        <v/>
      </c>
    </row>
    <row r="1557">
      <c r="A1557" t="inlineStr">
        <is>
          <t>KRAV-AUTO-001556</t>
        </is>
      </c>
      <c r="B1557" t="inlineStr">
        <is>
          <t>ADMIN-INDEX-2026-02-27-00000000125C043F57453246863FE664CAFE6A3F0700950291EA24F0614FB6ACEDB12BF0E31D00000000010C0000950291EA24F0614FB6ACEDB12BF0E31D00002087AED90000</t>
        </is>
      </c>
      <c r="C1557" t="inlineStr">
        <is>
          <t>cmm4yuofd01k8cuqwu494b2fs</t>
        </is>
      </c>
      <c r="D1557" t="inlineStr">
        <is>
          <t>http://localhost:8787/api/admin/requirements/documents/cmm4yuofd01k8cuqwu494b2fs/view</t>
        </is>
      </c>
      <c r="E1557">
        <f>HYPERLÄNK("http://localhost:8787/api/admin/requirements/documents/cmm4yuofd01k8cuqwu494b2fs/view";"Öppna PDF")</f>
        <v/>
      </c>
      <c r="F1557">
        <f>HYPERLINK("http://localhost:8787/api/admin/requirements/documents/cmm4yuofd01k8cuqwu494b2fs/view","Open PDF")</f>
        <v/>
      </c>
      <c r="G1557" t="inlineStr">
        <is>
          <t>cmm55w57p0004cuisfrtpqly8</t>
        </is>
      </c>
      <c r="H1557" t="inlineStr">
        <is>
          <t>Informationskrav</t>
        </is>
      </c>
      <c r="I1557" t="inlineStr">
        <is>
          <t>LagringsvolymTid</t>
        </is>
      </c>
      <c r="J1557" t="inlineStr">
        <is>
          <t>Maxmangd</t>
        </is>
      </c>
      <c r="K1557" t="inlineStr">
        <is>
          <t>Handlar det däremot om ett tillstånd för en värmepumpsanläggning eller en verksamhet, då måste vi spara uppgifterna åtminstone så länge som anläggningen finns kvar.</t>
        </is>
      </c>
      <c r="L1557" t="inlineStr">
        <is>
          <t>Handlar det däremot om ett tillstånd för en värmepumpsanläggning eller en verksamhet, då måste vi spara uppgifterna åtminstone så länge som anläggningen finns kvar.</t>
        </is>
      </c>
      <c r="M1557" t="inlineStr">
        <is>
          <t>SKA</t>
        </is>
      </c>
      <c r="N1557" t="inlineStr">
        <is>
          <t>FMH</t>
        </is>
      </c>
      <c r="O1557" t="inlineStr"/>
      <c r="P1557" t="inlineStr"/>
      <c r="Q1557" t="inlineStr"/>
      <c r="R1557" t="inlineStr">
        <is>
          <t>Alltid</t>
        </is>
      </c>
      <c r="S1557" t="inlineStr"/>
      <c r="T1557" t="inlineStr"/>
      <c r="U1557" t="inlineStr"/>
      <c r="V1557" t="inlineStr"/>
      <c r="W1557" t="inlineStr">
        <is>
          <t>Nej</t>
        </is>
      </c>
      <c r="X1557" t="inlineStr">
        <is>
          <t>Nej</t>
        </is>
      </c>
      <c r="Y1557" t="inlineStr">
        <is>
          <t>Nej</t>
        </is>
      </c>
      <c r="Z1557" t="inlineStr">
        <is>
          <t>Nej</t>
        </is>
      </c>
      <c r="AA1557" t="n">
        <v>4</v>
      </c>
      <c r="AB1557" t="inlineStr">
        <is>
          <t>Avfallsmangder och lagringstid</t>
        </is>
      </c>
      <c r="AC1557" t="inlineStr">
        <is>
          <t>Avfallsforteckning</t>
        </is>
      </c>
      <c r="AD1557" t="inlineStr">
        <is>
          <t>Nej</t>
        </is>
      </c>
      <c r="AE1557" t="inlineStr">
        <is>
          <t>Nej</t>
        </is>
      </c>
      <c r="AF1557" t="inlineStr">
        <is>
          <t>Ej behandlad</t>
        </is>
      </c>
      <c r="AG1557" t="inlineStr">
        <is>
          <t>AUTO_GENERERAD. Verifiera citat mot kallfil.</t>
        </is>
      </c>
      <c r="AH1557" t="inlineStr">
        <is>
          <t>HIGH</t>
        </is>
      </c>
      <c r="AI1557" t="inlineStr">
        <is>
          <t>AUTO</t>
        </is>
      </c>
      <c r="AJ1557" t="inlineStr">
        <is>
          <t>Nej</t>
        </is>
      </c>
      <c r="AK1557" t="inlineStr"/>
      <c r="AL1557" t="inlineStr"/>
      <c r="AM1557" t="inlineStr"/>
      <c r="AN1557" t="inlineStr"/>
      <c r="AO1557" t="inlineStr">
        <is>
          <t>cmm4yuofh01kbcuqw6gymbrbx</t>
        </is>
      </c>
      <c r="AP1557" t="inlineStr">
        <is>
          <t>http://localhost:8787/api/admin/requirements/documents/cmm4yuofh01kbcuqw6gymbrbx/view</t>
        </is>
      </c>
      <c r="AQ1557">
        <f>HYPERLÄNK("http://localhost:8787/api/admin/requirements/documents/cmm4yuofh01kbcuqw6gymbrbx/view";"Öppna PDF")</f>
        <v/>
      </c>
      <c r="AR1557">
        <f>HYPERLINK("http://localhost:8787/api/admin/requirements/documents/cmm4yuofh01kbcuqw6gymbrbx/view","Open PDF")</f>
        <v/>
      </c>
      <c r="AS1557" t="inlineStr">
        <is>
          <t>cmm55w57p0004cuisfrtpqly8</t>
        </is>
      </c>
      <c r="AT1557" t="inlineStr">
        <is>
          <t>cmm4xvu980000cuh4vj0usz09</t>
        </is>
      </c>
      <c r="AU1557" t="inlineStr"/>
      <c r="AV1557" t="inlineStr">
        <is>
          <t>Kommun</t>
        </is>
      </c>
      <c r="AW1557" t="inlineStr"/>
      <c r="AX1557" t="inlineStr">
        <is>
          <t>2025-103</t>
        </is>
      </c>
      <c r="AY1557" t="inlineStr">
        <is>
          <t>Beslut</t>
        </is>
      </c>
      <c r="AZ1557" t="inlineStr">
        <is>
          <t>2026-02-03</t>
        </is>
      </c>
      <c r="BA1557" t="inlineStr">
        <is>
          <t>Karta situationsplan..pdf</t>
        </is>
      </c>
      <c r="BB1557" t="inlineStr">
        <is>
          <t>Ärende 2025-103</t>
        </is>
      </c>
      <c r="BC1557" t="inlineStr">
        <is>
          <t>AUTO</t>
        </is>
      </c>
      <c r="BD1557" t="inlineStr"/>
      <c r="BE1557" t="inlineStr"/>
      <c r="BF1557" t="inlineStr">
        <is>
          <t>AUTO_GENERERAD. Bekrafta metadata mot kallfil.</t>
        </is>
      </c>
      <c r="BG1557">
        <f>HYPERLINK("C:\Users\jimmy\Desktop\Examens arbete\Kod\Ny mapp\remix_-copy-of-miljöbeslut.se-portal\Karta situationsplan..pdf", "Öppna PDF")</f>
        <v/>
      </c>
    </row>
    <row r="1558">
      <c r="A1558" t="inlineStr">
        <is>
          <t>KRAV-AUTO-001557</t>
        </is>
      </c>
      <c r="B1558" t="inlineStr">
        <is>
          <t>ADMIN-INDEX-2026-02-27-00000000125C043F57453246863FE664CAFE6A3F0700950291EA24F0614FB6ACEDB12BF0E31D00000000010C0000950291EA24F0614FB6ACEDB12BF0E31D00002087AEDA0000</t>
        </is>
      </c>
      <c r="C1558" t="inlineStr">
        <is>
          <t>cmm4yuof901k5cuqwyxqsxj4c</t>
        </is>
      </c>
      <c r="D1558" t="inlineStr">
        <is>
          <t>http://localhost:8787/api/admin/requirements/documents/cmm4yuof901k5cuqwyxqsxj4c/view</t>
        </is>
      </c>
      <c r="E1558">
        <f>HYPERLÄNK("http://localhost:8787/api/admin/requirements/documents/cmm4yuof901k5cuqwyxqsxj4c/view";"Öppna PDF")</f>
        <v/>
      </c>
      <c r="F1558">
        <f>HYPERLINK("http://localhost:8787/api/admin/requirements/documents/cmm4yuof901k5cuqwyxqsxj4c/view","Open PDF")</f>
        <v/>
      </c>
      <c r="G1558" t="inlineStr">
        <is>
          <t>cmm55w57p0004cuisfrtpqly8</t>
        </is>
      </c>
      <c r="H1558" t="inlineStr">
        <is>
          <t>Beslutsvillkor</t>
        </is>
      </c>
      <c r="I1558" t="inlineStr">
        <is>
          <t>MiljopaverkanForsiktighet</t>
        </is>
      </c>
      <c r="J1558" t="inlineStr">
        <is>
          <t>Skyddsatgarder</t>
        </is>
      </c>
      <c r="K1558" t="inlineStr">
        <is>
          <t>Skamsberget Mellanlagring av Sopsand N Teknisk serni lunison 1:6000</t>
        </is>
      </c>
      <c r="L1558" t="inlineStr">
        <is>
          <t>Skamsberget Mellanlagring av Sopsand N Teknisk serni lunison 1:6000</t>
        </is>
      </c>
      <c r="M1558" t="inlineStr">
        <is>
          <t>SKA</t>
        </is>
      </c>
      <c r="N1558" t="inlineStr"/>
      <c r="O1558" t="inlineStr"/>
      <c r="P1558" t="inlineStr"/>
      <c r="Q1558" t="inlineStr"/>
      <c r="R1558" t="inlineStr">
        <is>
          <t>Alltid</t>
        </is>
      </c>
      <c r="S1558" t="inlineStr"/>
      <c r="T1558" t="inlineStr"/>
      <c r="U1558" t="inlineStr"/>
      <c r="V1558" t="inlineStr"/>
      <c r="W1558" t="inlineStr">
        <is>
          <t>Nej</t>
        </is>
      </c>
      <c r="X1558" t="inlineStr">
        <is>
          <t>Nej</t>
        </is>
      </c>
      <c r="Y1558" t="inlineStr">
        <is>
          <t>Nej</t>
        </is>
      </c>
      <c r="Z1558" t="inlineStr">
        <is>
          <t>Nej</t>
        </is>
      </c>
      <c r="AA1558" t="n">
        <v>10</v>
      </c>
      <c r="AB1558" t="inlineStr">
        <is>
          <t>Miljopaverkan och forsiktighetsmatt</t>
        </is>
      </c>
      <c r="AC1558" t="inlineStr">
        <is>
          <t>Miljo-PM</t>
        </is>
      </c>
      <c r="AD1558" t="inlineStr">
        <is>
          <t>Nej</t>
        </is>
      </c>
      <c r="AE1558" t="inlineStr">
        <is>
          <t>Nej</t>
        </is>
      </c>
      <c r="AF1558" t="inlineStr">
        <is>
          <t>Ej behandlad</t>
        </is>
      </c>
      <c r="AG1558" t="inlineStr">
        <is>
          <t>AUTO_GENERERAD. Verifiera citat mot kallfil.</t>
        </is>
      </c>
      <c r="AH1558" t="inlineStr">
        <is>
          <t>MEDIUM</t>
        </is>
      </c>
      <c r="AI1558" t="inlineStr">
        <is>
          <t>AUTO</t>
        </is>
      </c>
      <c r="AJ1558" t="inlineStr">
        <is>
          <t>Nej</t>
        </is>
      </c>
      <c r="AK1558" t="inlineStr"/>
      <c r="AL1558" t="inlineStr"/>
      <c r="AM1558" t="inlineStr"/>
      <c r="AN1558" t="inlineStr"/>
      <c r="AO1558" t="inlineStr">
        <is>
          <t>cmm4yuof901k5cuqwyxqsxj4c</t>
        </is>
      </c>
      <c r="AP1558" t="inlineStr">
        <is>
          <t>http://localhost:8787/api/admin/requirements/documents/cmm4yuof901k5cuqwyxqsxj4c/view</t>
        </is>
      </c>
      <c r="AQ1558">
        <f>HYPERLÄNK("http://localhost:8787/api/admin/requirements/documents/cmm4yuof901k5cuqwyxqsxj4c/view";"Öppna PDF")</f>
        <v/>
      </c>
      <c r="AR1558">
        <f>HYPERLINK("http://localhost:8787/api/admin/requirements/documents/cmm4yuof901k5cuqwyxqsxj4c/view","Open PDF")</f>
        <v/>
      </c>
      <c r="AS1558" t="inlineStr">
        <is>
          <t>cmm55w57p0004cuisfrtpqly8</t>
        </is>
      </c>
      <c r="AT1558" t="inlineStr">
        <is>
          <t>cmm4xvu980000cuh4vj0usz09</t>
        </is>
      </c>
      <c r="AU1558" t="inlineStr"/>
      <c r="AV1558" t="inlineStr">
        <is>
          <t>Kommun</t>
        </is>
      </c>
      <c r="AW1558" t="inlineStr"/>
      <c r="AX1558" t="inlineStr">
        <is>
          <t>2025-103</t>
        </is>
      </c>
      <c r="AY1558" t="inlineStr">
        <is>
          <t>Beslut</t>
        </is>
      </c>
      <c r="AZ1558" t="inlineStr">
        <is>
          <t>2026-02-03</t>
        </is>
      </c>
      <c r="BA1558" t="inlineStr">
        <is>
          <t>Karta situationsplan..pdf</t>
        </is>
      </c>
      <c r="BB1558" t="inlineStr">
        <is>
          <t>Ärende 2025-103</t>
        </is>
      </c>
      <c r="BC1558" t="inlineStr">
        <is>
          <t>AUTO</t>
        </is>
      </c>
      <c r="BD1558" t="inlineStr"/>
      <c r="BE1558" t="inlineStr"/>
      <c r="BF1558" t="inlineStr">
        <is>
          <t>AUTO_GENERERAD. Bekrafta metadata mot kallfil.</t>
        </is>
      </c>
      <c r="BG1558">
        <f>HYPERLINK("C:\Users\jimmy\Desktop\Examens arbete\Kod\Ny mapp\remix_-copy-of-miljöbeslut.se-portal\Karta situationsplan..pdf", "Öppna PDF")</f>
        <v/>
      </c>
    </row>
    <row r="1559">
      <c r="A1559" t="inlineStr">
        <is>
          <t>KRAV-AUTO-001558</t>
        </is>
      </c>
      <c r="B1559" t="inlineStr">
        <is>
          <t>ADMIN-INDEX-2026-02-27-00000000125C043F57453246863FE664CAFE6A3F0700950291EA24F0614FB6ACEDB12BF0E31D00000000010C0000950291EA24F0614FB6ACEDB12BF0E31D00002087AEDA0000</t>
        </is>
      </c>
      <c r="C1559" t="inlineStr">
        <is>
          <t>cmm4yuof501k2cuqw6sda273l</t>
        </is>
      </c>
      <c r="D1559" t="inlineStr">
        <is>
          <t>http://localhost:8787/api/admin/requirements/documents/cmm4yuof501k2cuqw6sda273l/view</t>
        </is>
      </c>
      <c r="E1559">
        <f>HYPERLÄNK("http://localhost:8787/api/admin/requirements/documents/cmm4yuof501k2cuqw6sda273l/view";"Öppna PDF")</f>
        <v/>
      </c>
      <c r="F1559">
        <f>HYPERLINK("http://localhost:8787/api/admin/requirements/documents/cmm4yuof501k2cuqw6sda273l/view","Open PDF")</f>
        <v/>
      </c>
      <c r="G1559" t="inlineStr">
        <is>
          <t>cmm55w57p0004cuisfrtpqly8</t>
        </is>
      </c>
      <c r="H1559" t="inlineStr">
        <is>
          <t>Informationskrav</t>
        </is>
      </c>
      <c r="I1559" t="inlineStr">
        <is>
          <t>DagvattenLakvatten</t>
        </is>
      </c>
      <c r="J1559" t="inlineStr">
        <is>
          <t>Uppsamling</t>
        </is>
      </c>
      <c r="K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9" t="inlineStr">
        <is>
          <t>SKA</t>
        </is>
      </c>
      <c r="N1559" t="inlineStr">
        <is>
          <t>FMH</t>
        </is>
      </c>
      <c r="O1559" t="inlineStr"/>
      <c r="P1559" t="inlineStr"/>
      <c r="Q1559" t="inlineStr"/>
      <c r="R1559" t="inlineStr">
        <is>
          <t>Vid nederbord och avrinning</t>
        </is>
      </c>
      <c r="S1559" t="inlineStr"/>
      <c r="T1559" t="inlineStr"/>
      <c r="U1559" t="inlineStr"/>
      <c r="V1559" t="inlineStr"/>
      <c r="W1559" t="inlineStr">
        <is>
          <t>Nej</t>
        </is>
      </c>
      <c r="X1559" t="inlineStr">
        <is>
          <t>Ja</t>
        </is>
      </c>
      <c r="Y1559" t="inlineStr">
        <is>
          <t>Ja</t>
        </is>
      </c>
      <c r="Z1559" t="inlineStr">
        <is>
          <t>Nej</t>
        </is>
      </c>
      <c r="AA1559" t="n">
        <v>6</v>
      </c>
      <c r="AB1559" t="inlineStr">
        <is>
          <t>Lakvattenhantering</t>
        </is>
      </c>
      <c r="AC1559" t="inlineStr">
        <is>
          <t>Flodesschema dagvatten-lakvatten</t>
        </is>
      </c>
      <c r="AD1559" t="inlineStr">
        <is>
          <t>Nej</t>
        </is>
      </c>
      <c r="AE1559" t="inlineStr">
        <is>
          <t>Nej</t>
        </is>
      </c>
      <c r="AF1559" t="inlineStr">
        <is>
          <t>Ej behandlad</t>
        </is>
      </c>
      <c r="AG1559" t="inlineStr">
        <is>
          <t>AUTO_GENERERAD. Verifiera citat mot kallfil.</t>
        </is>
      </c>
      <c r="AH1559" t="inlineStr">
        <is>
          <t>HIGH</t>
        </is>
      </c>
      <c r="AI1559" t="inlineStr">
        <is>
          <t>AUTO</t>
        </is>
      </c>
      <c r="AJ1559" t="inlineStr">
        <is>
          <t>Nej</t>
        </is>
      </c>
      <c r="AK1559" t="inlineStr"/>
      <c r="AL1559" t="inlineStr"/>
      <c r="AM1559" t="inlineStr"/>
      <c r="AN1559" t="inlineStr"/>
      <c r="AO1559" t="inlineStr">
        <is>
          <t>cmm4yuof901k5cuqwyxqsxj4c</t>
        </is>
      </c>
      <c r="AP1559" t="inlineStr">
        <is>
          <t>http://localhost:8787/api/admin/requirements/documents/cmm4yuof901k5cuqwyxqsxj4c/view</t>
        </is>
      </c>
      <c r="AQ1559">
        <f>HYPERLÄNK("http://localhost:8787/api/admin/requirements/documents/cmm4yuof901k5cuqwyxqsxj4c/view";"Öppna PDF")</f>
        <v/>
      </c>
      <c r="AR1559">
        <f>HYPERLINK("http://localhost:8787/api/admin/requirements/documents/cmm4yuof901k5cuqwyxqsxj4c/view","Open PDF")</f>
        <v/>
      </c>
      <c r="AS1559" t="inlineStr">
        <is>
          <t>cmm55w57p0004cuisfrtpqly8</t>
        </is>
      </c>
      <c r="AT1559" t="inlineStr">
        <is>
          <t>cmm4xvu980000cuh4vj0usz09</t>
        </is>
      </c>
      <c r="AU1559" t="inlineStr"/>
      <c r="AV1559" t="inlineStr">
        <is>
          <t>Kommun</t>
        </is>
      </c>
      <c r="AW1559" t="inlineStr"/>
      <c r="AX1559" t="inlineStr">
        <is>
          <t>2025-103</t>
        </is>
      </c>
      <c r="AY1559" t="inlineStr">
        <is>
          <t>Beslut</t>
        </is>
      </c>
      <c r="AZ1559" t="inlineStr">
        <is>
          <t>2026-02-03</t>
        </is>
      </c>
      <c r="BA1559" t="inlineStr">
        <is>
          <t>Karta situationsplan..pdf</t>
        </is>
      </c>
      <c r="BB1559" t="inlineStr">
        <is>
          <t>Ärende 2025-103</t>
        </is>
      </c>
      <c r="BC1559" t="inlineStr">
        <is>
          <t>AUTO</t>
        </is>
      </c>
      <c r="BD1559" t="inlineStr"/>
      <c r="BE1559" t="inlineStr"/>
      <c r="BF1559" t="inlineStr">
        <is>
          <t>AUTO_GENERERAD. Bekrafta metadata mot kallfil.</t>
        </is>
      </c>
      <c r="BG1559">
        <f>HYPERLINK("C:\Users\jimmy\Desktop\Examens arbete\Kod\Ny mapp\remix_-copy-of-miljöbeslut.se-portal\Karta situationsplan..pdf", "Öppna PDF")</f>
        <v/>
      </c>
    </row>
    <row r="1560">
      <c r="A1560" t="inlineStr">
        <is>
          <t>KRAV-AUTO-001559</t>
        </is>
      </c>
      <c r="B1560" t="inlineStr">
        <is>
          <t>ADMIN-INDEX-2026-02-27-00000000125C043F57453246863FE664CAFE6A3F0700950291EA24F0614FB6ACEDB12BF0E31D00000000010C0000950291EA24F0614FB6ACEDB12BF0E31D00002087AEDA0000</t>
        </is>
      </c>
      <c r="C1560" t="inlineStr">
        <is>
          <t>cmm4yuof501k2cuqw6sda273l</t>
        </is>
      </c>
      <c r="D1560" t="inlineStr">
        <is>
          <t>http://localhost:8787/api/admin/requirements/documents/cmm4yuof501k2cuqw6sda273l/view</t>
        </is>
      </c>
      <c r="E1560">
        <f>HYPERLÄNK("http://localhost:8787/api/admin/requirements/documents/cmm4yuof501k2cuqw6sda273l/view";"Öppna PDF")</f>
        <v/>
      </c>
      <c r="F1560">
        <f>HYPERLINK("http://localhost:8787/api/admin/requirements/documents/cmm4yuof501k2cuqw6sda273l/view","Open PDF")</f>
        <v/>
      </c>
      <c r="G1560" t="inlineStr">
        <is>
          <t>cmm55w57p0004cuisfrtpqly8</t>
        </is>
      </c>
      <c r="H1560" t="inlineStr">
        <is>
          <t>Informationskrav</t>
        </is>
      </c>
      <c r="I1560" t="inlineStr">
        <is>
          <t>MiljopaverkanForsiktighet</t>
        </is>
      </c>
      <c r="J1560" t="inlineStr">
        <is>
          <t>Skyddsatgarder</t>
        </is>
      </c>
      <c r="K1560" t="inlineStr">
        <is>
          <t>Sanden kommer att mellanlagras vid upplaasplatsen på Skamsberget.</t>
        </is>
      </c>
      <c r="L1560" t="inlineStr">
        <is>
          <t>Sanden kommer att mellanlagras vid upplaasplatsen på Skamsberget.</t>
        </is>
      </c>
      <c r="M1560" t="inlineStr">
        <is>
          <t>SKA</t>
        </is>
      </c>
      <c r="N1560" t="inlineStr">
        <is>
          <t>FMH</t>
        </is>
      </c>
      <c r="O1560" t="inlineStr"/>
      <c r="P1560" t="inlineStr"/>
      <c r="Q1560" t="inlineStr"/>
      <c r="R1560" t="inlineStr">
        <is>
          <t>Alltid</t>
        </is>
      </c>
      <c r="S1560" t="inlineStr"/>
      <c r="T1560" t="inlineStr"/>
      <c r="U1560" t="inlineStr"/>
      <c r="V1560" t="inlineStr"/>
      <c r="W1560" t="inlineStr">
        <is>
          <t>Nej</t>
        </is>
      </c>
      <c r="X1560" t="inlineStr">
        <is>
          <t>Nej</t>
        </is>
      </c>
      <c r="Y1560" t="inlineStr">
        <is>
          <t>Nej</t>
        </is>
      </c>
      <c r="Z1560" t="inlineStr">
        <is>
          <t>Nej</t>
        </is>
      </c>
      <c r="AA1560" t="n">
        <v>10</v>
      </c>
      <c r="AB1560" t="inlineStr">
        <is>
          <t>Miljopaverkan och forsiktighetsmatt</t>
        </is>
      </c>
      <c r="AC1560" t="inlineStr">
        <is>
          <t>Miljo-PM</t>
        </is>
      </c>
      <c r="AD1560" t="inlineStr">
        <is>
          <t>Nej</t>
        </is>
      </c>
      <c r="AE1560" t="inlineStr">
        <is>
          <t>Nej</t>
        </is>
      </c>
      <c r="AF1560" t="inlineStr">
        <is>
          <t>Ej behandlad</t>
        </is>
      </c>
      <c r="AG1560" t="inlineStr">
        <is>
          <t>AUTO_GENERERAD. Verifiera citat mot kallfil.</t>
        </is>
      </c>
      <c r="AH1560" t="inlineStr">
        <is>
          <t>HIGH</t>
        </is>
      </c>
      <c r="AI1560" t="inlineStr">
        <is>
          <t>AUTO</t>
        </is>
      </c>
      <c r="AJ1560" t="inlineStr">
        <is>
          <t>Nej</t>
        </is>
      </c>
      <c r="AK1560" t="inlineStr"/>
      <c r="AL1560" t="inlineStr"/>
      <c r="AM1560" t="inlineStr"/>
      <c r="AN1560" t="inlineStr"/>
      <c r="AO1560" t="inlineStr">
        <is>
          <t>cmm4yuof901k5cuqwyxqsxj4c</t>
        </is>
      </c>
      <c r="AP1560" t="inlineStr">
        <is>
          <t>http://localhost:8787/api/admin/requirements/documents/cmm4yuof901k5cuqwyxqsxj4c/view</t>
        </is>
      </c>
      <c r="AQ1560">
        <f>HYPERLÄNK("http://localhost:8787/api/admin/requirements/documents/cmm4yuof901k5cuqwyxqsxj4c/view";"Öppna PDF")</f>
        <v/>
      </c>
      <c r="AR1560">
        <f>HYPERLINK("http://localhost:8787/api/admin/requirements/documents/cmm4yuof901k5cuqwyxqsxj4c/view","Open PDF")</f>
        <v/>
      </c>
      <c r="AS1560" t="inlineStr">
        <is>
          <t>cmm55w57p0004cuisfrtpqly8</t>
        </is>
      </c>
      <c r="AT1560" t="inlineStr">
        <is>
          <t>cmm4xvu980000cuh4vj0usz09</t>
        </is>
      </c>
      <c r="AU1560" t="inlineStr"/>
      <c r="AV1560" t="inlineStr">
        <is>
          <t>Kommun</t>
        </is>
      </c>
      <c r="AW1560" t="inlineStr"/>
      <c r="AX1560" t="inlineStr">
        <is>
          <t>2025-103</t>
        </is>
      </c>
      <c r="AY1560" t="inlineStr">
        <is>
          <t>Beslut</t>
        </is>
      </c>
      <c r="AZ1560" t="inlineStr">
        <is>
          <t>2026-02-03</t>
        </is>
      </c>
      <c r="BA1560" t="inlineStr">
        <is>
          <t>Karta situationsplan..pdf</t>
        </is>
      </c>
      <c r="BB1560" t="inlineStr">
        <is>
          <t>Ärende 2025-103</t>
        </is>
      </c>
      <c r="BC1560" t="inlineStr">
        <is>
          <t>AUTO</t>
        </is>
      </c>
      <c r="BD1560" t="inlineStr"/>
      <c r="BE1560" t="inlineStr"/>
      <c r="BF1560" t="inlineStr">
        <is>
          <t>AUTO_GENERERAD. Bekrafta metadata mot kallfil.</t>
        </is>
      </c>
      <c r="BG1560">
        <f>HYPERLINK("C:\Users\jimmy\Desktop\Examens arbete\Kod\Ny mapp\remix_-copy-of-miljöbeslut.se-portal\Karta situationsplan..pdf", "Öppna PDF")</f>
        <v/>
      </c>
    </row>
    <row r="1561">
      <c r="A1561" t="inlineStr">
        <is>
          <t>KRAV-AUTO-001560</t>
        </is>
      </c>
      <c r="B1561" t="inlineStr">
        <is>
          <t>ADMIN-INDEX-2026-02-27-00000000125C043F57453246863FE664CAFE6A3F0700950291EA24F0614FB6ACEDB12BF0E31D00000000010C0000950291EA24F0614FB6ACEDB12BF0E31D00002087AEDA0000</t>
        </is>
      </c>
      <c r="C1561" t="inlineStr">
        <is>
          <t>cmm4yuof501k2cuqw6sda273l</t>
        </is>
      </c>
      <c r="D1561" t="inlineStr">
        <is>
          <t>http://localhost:8787/api/admin/requirements/documents/cmm4yuof501k2cuqw6sda273l/view</t>
        </is>
      </c>
      <c r="E1561">
        <f>HYPERLÄNK("http://localhost:8787/api/admin/requirements/documents/cmm4yuof501k2cuqw6sda273l/view";"Öppna PDF")</f>
        <v/>
      </c>
      <c r="F1561">
        <f>HYPERLINK("http://localhost:8787/api/admin/requirements/documents/cmm4yuof501k2cuqw6sda273l/view","Open PDF")</f>
        <v/>
      </c>
      <c r="G1561" t="inlineStr">
        <is>
          <t>cmm55w57p0004cuisfrtpqly8</t>
        </is>
      </c>
      <c r="H1561" t="inlineStr">
        <is>
          <t>Informationskrav</t>
        </is>
      </c>
      <c r="I1561" t="inlineStr">
        <is>
          <t>LagringsvolymTid</t>
        </is>
      </c>
      <c r="J1561" t="inlineStr">
        <is>
          <t>Maxmangd</t>
        </is>
      </c>
      <c r="K1561" t="inlineStr">
        <is>
          <t>Handlar det däremot om ett tillstånd för en värmepumpsanläggning eller en verksamhet, då måste vi spara uppgifterna åtminstone så länge som anläggningen finns kvar.</t>
        </is>
      </c>
      <c r="L1561" t="inlineStr">
        <is>
          <t>Handlar det däremot om ett tillstånd för en värmepumpsanläggning eller en verksamhet, då måste vi spara uppgifterna åtminstone så länge som anläggningen finns kvar.</t>
        </is>
      </c>
      <c r="M1561" t="inlineStr">
        <is>
          <t>SKA</t>
        </is>
      </c>
      <c r="N1561" t="inlineStr">
        <is>
          <t>FMH</t>
        </is>
      </c>
      <c r="O1561" t="inlineStr"/>
      <c r="P1561" t="inlineStr"/>
      <c r="Q1561" t="inlineStr"/>
      <c r="R1561" t="inlineStr">
        <is>
          <t>Alltid</t>
        </is>
      </c>
      <c r="S1561" t="inlineStr"/>
      <c r="T1561" t="inlineStr"/>
      <c r="U1561" t="inlineStr"/>
      <c r="V1561" t="inlineStr"/>
      <c r="W1561" t="inlineStr">
        <is>
          <t>Nej</t>
        </is>
      </c>
      <c r="X1561" t="inlineStr">
        <is>
          <t>Nej</t>
        </is>
      </c>
      <c r="Y1561" t="inlineStr">
        <is>
          <t>Nej</t>
        </is>
      </c>
      <c r="Z1561" t="inlineStr">
        <is>
          <t>Nej</t>
        </is>
      </c>
      <c r="AA1561" t="n">
        <v>4</v>
      </c>
      <c r="AB1561" t="inlineStr">
        <is>
          <t>Avfallsmangder och lagringstid</t>
        </is>
      </c>
      <c r="AC1561" t="inlineStr">
        <is>
          <t>Avfallsforteckning</t>
        </is>
      </c>
      <c r="AD1561" t="inlineStr">
        <is>
          <t>Nej</t>
        </is>
      </c>
      <c r="AE1561" t="inlineStr">
        <is>
          <t>Nej</t>
        </is>
      </c>
      <c r="AF1561" t="inlineStr">
        <is>
          <t>Ej behandlad</t>
        </is>
      </c>
      <c r="AG1561" t="inlineStr">
        <is>
          <t>AUTO_GENERERAD. Verifiera citat mot kallfil.</t>
        </is>
      </c>
      <c r="AH1561" t="inlineStr">
        <is>
          <t>HIGH</t>
        </is>
      </c>
      <c r="AI1561" t="inlineStr">
        <is>
          <t>AUTO</t>
        </is>
      </c>
      <c r="AJ1561" t="inlineStr">
        <is>
          <t>Nej</t>
        </is>
      </c>
      <c r="AK1561" t="inlineStr"/>
      <c r="AL1561" t="inlineStr"/>
      <c r="AM1561" t="inlineStr"/>
      <c r="AN1561" t="inlineStr"/>
      <c r="AO1561" t="inlineStr">
        <is>
          <t>cmm4yuof901k5cuqwyxqsxj4c</t>
        </is>
      </c>
      <c r="AP1561" t="inlineStr">
        <is>
          <t>http://localhost:8787/api/admin/requirements/documents/cmm4yuof901k5cuqwyxqsxj4c/view</t>
        </is>
      </c>
      <c r="AQ1561">
        <f>HYPERLÄNK("http://localhost:8787/api/admin/requirements/documents/cmm4yuof901k5cuqwyxqsxj4c/view";"Öppna PDF")</f>
        <v/>
      </c>
      <c r="AR1561">
        <f>HYPERLINK("http://localhost:8787/api/admin/requirements/documents/cmm4yuof901k5cuqwyxqsxj4c/view","Open PDF")</f>
        <v/>
      </c>
      <c r="AS1561" t="inlineStr">
        <is>
          <t>cmm55w57p0004cuisfrtpqly8</t>
        </is>
      </c>
      <c r="AT1561" t="inlineStr">
        <is>
          <t>cmm4xvu980000cuh4vj0usz09</t>
        </is>
      </c>
      <c r="AU1561" t="inlineStr"/>
      <c r="AV1561" t="inlineStr">
        <is>
          <t>Kommun</t>
        </is>
      </c>
      <c r="AW1561" t="inlineStr"/>
      <c r="AX1561" t="inlineStr">
        <is>
          <t>2025-103</t>
        </is>
      </c>
      <c r="AY1561" t="inlineStr">
        <is>
          <t>Beslut</t>
        </is>
      </c>
      <c r="AZ1561" t="inlineStr">
        <is>
          <t>2026-02-03</t>
        </is>
      </c>
      <c r="BA1561" t="inlineStr">
        <is>
          <t>Karta situationsplan..pdf</t>
        </is>
      </c>
      <c r="BB1561" t="inlineStr">
        <is>
          <t>Ärende 2025-103</t>
        </is>
      </c>
      <c r="BC1561" t="inlineStr">
        <is>
          <t>AUTO</t>
        </is>
      </c>
      <c r="BD1561" t="inlineStr"/>
      <c r="BE1561" t="inlineStr"/>
      <c r="BF1561" t="inlineStr">
        <is>
          <t>AUTO_GENERERAD. Bekrafta metadata mot kallfil.</t>
        </is>
      </c>
      <c r="BG1561">
        <f>HYPERLINK("C:\Users\jimmy\Desktop\Examens arbete\Kod\Ny mapp\remix_-copy-of-miljöbeslut.se-portal\Karta situationsplan..pdf", "Öppna PDF")</f>
        <v/>
      </c>
    </row>
    <row r="1562">
      <c r="A1562" t="inlineStr">
        <is>
          <t>KRAV-AUTO-001561</t>
        </is>
      </c>
      <c r="B1562" t="inlineStr">
        <is>
          <t>ADMIN-INDEX-2026-02-27-00000000125C043F57453246863FE664CAFE6A3F0700950291EA24F0614FB6ACEDB12BF0E31D00000000010C0000950291EA24F0614FB6ACEDB12BF0E31D00002087AEDF0000</t>
        </is>
      </c>
      <c r="C1562" t="inlineStr">
        <is>
          <t>cmm4yuoez01jzcuqw7lf2nntc</t>
        </is>
      </c>
      <c r="D1562" t="inlineStr">
        <is>
          <t>http://localhost:8787/api/admin/requirements/documents/cmm4yuoez01jzcuqw7lf2nntc/view</t>
        </is>
      </c>
      <c r="E1562">
        <f>HYPERLÄNK("http://localhost:8787/api/admin/requirements/documents/cmm4yuoez01jzcuqw7lf2nntc/view";"Öppna PDF")</f>
        <v/>
      </c>
      <c r="F1562">
        <f>HYPERLINK("http://localhost:8787/api/admin/requirements/documents/cmm4yuoez01jzcuqw7lf2nntc/view","Open PDF")</f>
        <v/>
      </c>
      <c r="G1562" t="inlineStr">
        <is>
          <t>cmm55w57p0004cuisfrtpqly8</t>
        </is>
      </c>
      <c r="H1562" t="inlineStr">
        <is>
          <t>Informationskrav</t>
        </is>
      </c>
      <c r="I1562" t="inlineStr">
        <is>
          <t>DagvattenLakvatten</t>
        </is>
      </c>
      <c r="J1562" t="inlineStr">
        <is>
          <t>Uppsamling</t>
        </is>
      </c>
      <c r="K1562" t="inlineStr">
        <is>
          <t>Jordmassorna som används ska vara provtagna och halterna får inte ha en högre föroreningshalt än Naturvårdsverkets riktvärden för mindre känslig markanvändning (MKM).</t>
        </is>
      </c>
      <c r="L1562" t="inlineStr">
        <is>
          <t>Jordmassorna som används ska vara provtagna och halterna får inte ha en högre föroreningshalt än Naturvårdsverkets riktvärden för mindre känslig markanvändning (MKM).</t>
        </is>
      </c>
      <c r="M1562" t="inlineStr">
        <is>
          <t>SKA</t>
        </is>
      </c>
      <c r="N1562" t="inlineStr">
        <is>
          <t>Naturvardsverket</t>
        </is>
      </c>
      <c r="O1562" t="inlineStr"/>
      <c r="P1562" t="inlineStr"/>
      <c r="Q1562" t="inlineStr">
        <is>
          <t>Driftbegransning vid avvikelse</t>
        </is>
      </c>
      <c r="R1562" t="inlineStr">
        <is>
          <t>Vid nederbord och avrinning</t>
        </is>
      </c>
      <c r="S1562" t="inlineStr"/>
      <c r="T1562" t="inlineStr">
        <is>
          <t>212000</t>
        </is>
      </c>
      <c r="U1562" t="inlineStr"/>
      <c r="V1562" t="inlineStr"/>
      <c r="W1562" t="inlineStr">
        <is>
          <t>Nej</t>
        </is>
      </c>
      <c r="X1562" t="inlineStr">
        <is>
          <t>Ja</t>
        </is>
      </c>
      <c r="Y1562" t="inlineStr">
        <is>
          <t>Ja</t>
        </is>
      </c>
      <c r="Z1562" t="inlineStr">
        <is>
          <t>Nej</t>
        </is>
      </c>
      <c r="AA1562" t="n">
        <v>6</v>
      </c>
      <c r="AB1562" t="inlineStr">
        <is>
          <t>Lakvattenhantering</t>
        </is>
      </c>
      <c r="AC1562" t="inlineStr">
        <is>
          <t>Flodesschema dagvatten-lakvatten</t>
        </is>
      </c>
      <c r="AD1562" t="inlineStr">
        <is>
          <t>Nej</t>
        </is>
      </c>
      <c r="AE1562" t="inlineStr">
        <is>
          <t>Nej</t>
        </is>
      </c>
      <c r="AF1562" t="inlineStr">
        <is>
          <t>Ej behandlad</t>
        </is>
      </c>
      <c r="AG1562" t="inlineStr">
        <is>
          <t>AUTO_GENERERAD. Verifiera citat mot kallfil.</t>
        </is>
      </c>
      <c r="AH1562" t="inlineStr">
        <is>
          <t>HIGH</t>
        </is>
      </c>
      <c r="AI1562" t="inlineStr">
        <is>
          <t>AUTO</t>
        </is>
      </c>
      <c r="AJ1562" t="inlineStr">
        <is>
          <t>Nej</t>
        </is>
      </c>
      <c r="AK1562" t="inlineStr"/>
      <c r="AL1562" t="inlineStr"/>
      <c r="AM1562" t="inlineStr"/>
      <c r="AN1562" t="inlineStr"/>
      <c r="AO1562" t="inlineStr">
        <is>
          <t>cmm4yuoez01jzcuqw7lf2nntc</t>
        </is>
      </c>
      <c r="AP1562" t="inlineStr">
        <is>
          <t>http://localhost:8787/api/admin/requirements/documents/cmm4yuoez01jzcuqw7lf2nntc/view</t>
        </is>
      </c>
      <c r="AQ1562">
        <f>HYPERLÄNK("http://localhost:8787/api/admin/requirements/documents/cmm4yuoez01jzcuqw7lf2nntc/view";"Öppna PDF")</f>
        <v/>
      </c>
      <c r="AR1562">
        <f>HYPERLINK("http://localhost:8787/api/admin/requirements/documents/cmm4yuoez01jzcuqw7lf2nntc/view","Open PDF")</f>
        <v/>
      </c>
      <c r="AS1562" t="inlineStr">
        <is>
          <t>cmm55w57p0004cuisfrtpqly8</t>
        </is>
      </c>
      <c r="AT1562" t="inlineStr">
        <is>
          <t>cmm4xvu980000cuh4vj0usz09</t>
        </is>
      </c>
      <c r="AU1562" t="inlineStr">
        <is>
          <t>pdf Karlstads</t>
        </is>
      </c>
      <c r="AV1562" t="inlineStr">
        <is>
          <t>Kommun</t>
        </is>
      </c>
      <c r="AW1562" t="inlineStr">
        <is>
          <t>pdf Karlstads kommun</t>
        </is>
      </c>
      <c r="AX1562" t="inlineStr">
        <is>
          <t>2024-04</t>
        </is>
      </c>
      <c r="AY1562" t="inlineStr">
        <is>
          <t>Anmalan</t>
        </is>
      </c>
      <c r="AZ1562" t="inlineStr">
        <is>
          <t>2026-02-03</t>
        </is>
      </c>
      <c r="BA1562" t="inlineStr">
        <is>
          <t>Beslut på anmälan Peab Bergmotet.pdf</t>
        </is>
      </c>
      <c r="BB1562" t="inlineStr">
        <is>
          <t>VB:  Begäran om utlämnande av allmän handling – Anmälningar och beslut rörande mellanlagring av avfall samt anläggning av ytor</t>
        </is>
      </c>
      <c r="BC1562" t="inlineStr">
        <is>
          <t>AUTO</t>
        </is>
      </c>
      <c r="BD1562" t="inlineStr"/>
      <c r="BE1562" t="inlineStr"/>
      <c r="BF1562" t="inlineStr">
        <is>
          <t>AUTO_GENERERAD. Bekrafta metadata mot kallfil.</t>
        </is>
      </c>
      <c r="BG1562">
        <f>HYPERLINK("C:\Users\jimmy\Desktop\Examens arbete\Kod\Ny mapp\remix_-copy-of-miljöbeslut.se-portal\Beslut på anmälan Peab Bergmotet.pdf", "Öppna PDF")</f>
        <v/>
      </c>
    </row>
    <row r="1563">
      <c r="A1563" t="inlineStr">
        <is>
          <t>KRAV-AUTO-001562</t>
        </is>
      </c>
      <c r="B1563" t="inlineStr">
        <is>
          <t>ADMIN-INDEX-2026-02-27-00000000125C043F57453246863FE664CAFE6A3F0700950291EA24F0614FB6ACEDB12BF0E31D00000000010C0000950291EA24F0614FB6ACEDB12BF0E31D00002087AEDF0000</t>
        </is>
      </c>
      <c r="C1563" t="inlineStr">
        <is>
          <t>cmm4yuoez01jzcuqw7lf2nntc</t>
        </is>
      </c>
      <c r="D1563" t="inlineStr">
        <is>
          <t>http://localhost:8787/api/admin/requirements/documents/cmm4yuoez01jzcuqw7lf2nntc/view</t>
        </is>
      </c>
      <c r="E1563">
        <f>HYPERLÄNK("http://localhost:8787/api/admin/requirements/documents/cmm4yuoez01jzcuqw7lf2nntc/view";"Öppna PDF")</f>
        <v/>
      </c>
      <c r="F1563">
        <f>HYPERLINK("http://localhost:8787/api/admin/requirements/documents/cmm4yuoez01jzcuqw7lf2nntc/view","Open PDF")</f>
        <v/>
      </c>
      <c r="G1563" t="inlineStr">
        <is>
          <t>cmm55w57p0004cuisfrtpqly8</t>
        </is>
      </c>
      <c r="H1563" t="inlineStr">
        <is>
          <t>Informationskrav</t>
        </is>
      </c>
      <c r="I1563" t="inlineStr">
        <is>
          <t>DriftEgenkontroll</t>
        </is>
      </c>
      <c r="J1563" t="inlineStr">
        <is>
          <t>Journalforing</t>
        </is>
      </c>
      <c r="K1563" t="inlineStr">
        <is>
          <t>Peab har förtydligat syftet samt redovisat provtagningsmetodik och beskrivit inventering av och hur de jobbar för att minska risken för spridning av invasiva främmande arter.</t>
        </is>
      </c>
      <c r="L1563" t="inlineStr">
        <is>
          <t>Peab har förtydligat syftet samt redovisat provtagningsmetodik och beskrivit inventering av och hur de jobbar för att minska risken för spridning av invasiva främmande arter.</t>
        </is>
      </c>
      <c r="M1563" t="inlineStr">
        <is>
          <t>SKA</t>
        </is>
      </c>
      <c r="N1563" t="inlineStr"/>
      <c r="O1563" t="inlineStr"/>
      <c r="P1563" t="inlineStr"/>
      <c r="Q1563" t="inlineStr"/>
      <c r="R1563" t="inlineStr">
        <is>
          <t>Lopande drift</t>
        </is>
      </c>
      <c r="S1563" t="inlineStr"/>
      <c r="T1563" t="inlineStr">
        <is>
          <t>212000</t>
        </is>
      </c>
      <c r="U1563" t="inlineStr"/>
      <c r="V1563" t="inlineStr"/>
      <c r="W1563" t="inlineStr">
        <is>
          <t>Nej</t>
        </is>
      </c>
      <c r="X1563" t="inlineStr">
        <is>
          <t>Nej</t>
        </is>
      </c>
      <c r="Y1563" t="inlineStr">
        <is>
          <t>Ja</t>
        </is>
      </c>
      <c r="Z1563" t="inlineStr">
        <is>
          <t>Nej</t>
        </is>
      </c>
      <c r="AA1563" t="n">
        <v>7</v>
      </c>
      <c r="AB1563" t="inlineStr">
        <is>
          <t>Egenkontrollrutiner</t>
        </is>
      </c>
      <c r="AC1563" t="inlineStr">
        <is>
          <t>Egenkontrollprogram</t>
        </is>
      </c>
      <c r="AD1563" t="inlineStr">
        <is>
          <t>Nej</t>
        </is>
      </c>
      <c r="AE1563" t="inlineStr">
        <is>
          <t>Nej</t>
        </is>
      </c>
      <c r="AF1563" t="inlineStr">
        <is>
          <t>Ej behandlad</t>
        </is>
      </c>
      <c r="AG1563" t="inlineStr">
        <is>
          <t>AUTO_GENERERAD. Verifiera citat mot kallfil.</t>
        </is>
      </c>
      <c r="AH1563" t="inlineStr">
        <is>
          <t>MEDIUM</t>
        </is>
      </c>
      <c r="AI1563" t="inlineStr">
        <is>
          <t>AUTO</t>
        </is>
      </c>
      <c r="AJ1563" t="inlineStr">
        <is>
          <t>Nej</t>
        </is>
      </c>
      <c r="AK1563" t="inlineStr"/>
      <c r="AL1563" t="inlineStr"/>
      <c r="AM1563" t="inlineStr"/>
      <c r="AN1563" t="inlineStr"/>
      <c r="AO1563" t="inlineStr">
        <is>
          <t>cmm4yuoez01jzcuqw7lf2nntc</t>
        </is>
      </c>
      <c r="AP1563" t="inlineStr">
        <is>
          <t>http://localhost:8787/api/admin/requirements/documents/cmm4yuoez01jzcuqw7lf2nntc/view</t>
        </is>
      </c>
      <c r="AQ1563">
        <f>HYPERLÄNK("http://localhost:8787/api/admin/requirements/documents/cmm4yuoez01jzcuqw7lf2nntc/view";"Öppna PDF")</f>
        <v/>
      </c>
      <c r="AR1563">
        <f>HYPERLINK("http://localhost:8787/api/admin/requirements/documents/cmm4yuoez01jzcuqw7lf2nntc/view","Open PDF")</f>
        <v/>
      </c>
      <c r="AS1563" t="inlineStr">
        <is>
          <t>cmm55w57p0004cuisfrtpqly8</t>
        </is>
      </c>
      <c r="AT1563" t="inlineStr">
        <is>
          <t>cmm4xvu980000cuh4vj0usz09</t>
        </is>
      </c>
      <c r="AU1563" t="inlineStr">
        <is>
          <t>pdf Karlstads</t>
        </is>
      </c>
      <c r="AV1563" t="inlineStr">
        <is>
          <t>Kommun</t>
        </is>
      </c>
      <c r="AW1563" t="inlineStr">
        <is>
          <t>pdf Karlstads kommun</t>
        </is>
      </c>
      <c r="AX1563" t="inlineStr">
        <is>
          <t>2024-04</t>
        </is>
      </c>
      <c r="AY1563" t="inlineStr">
        <is>
          <t>Anmalan</t>
        </is>
      </c>
      <c r="AZ1563" t="inlineStr">
        <is>
          <t>2026-02-03</t>
        </is>
      </c>
      <c r="BA1563" t="inlineStr">
        <is>
          <t>Beslut på anmälan Peab Bergmotet.pdf</t>
        </is>
      </c>
      <c r="BB1563" t="inlineStr">
        <is>
          <t>VB:  Begäran om utlämnande av allmän handling – Anmälningar och beslut rörande mellanlagring av avfall samt anläggning av ytor</t>
        </is>
      </c>
      <c r="BC1563" t="inlineStr">
        <is>
          <t>AUTO</t>
        </is>
      </c>
      <c r="BD1563" t="inlineStr"/>
      <c r="BE1563" t="inlineStr"/>
      <c r="BF1563" t="inlineStr">
        <is>
          <t>AUTO_GENERERAD. Bekrafta metadata mot kallfil.</t>
        </is>
      </c>
      <c r="BG1563">
        <f>HYPERLINK("C:\Users\jimmy\Desktop\Examens arbete\Kod\Ny mapp\remix_-copy-of-miljöbeslut.se-portal\Beslut på anmälan Peab Bergmotet.pdf", "Öppna PDF")</f>
        <v/>
      </c>
    </row>
    <row r="1564">
      <c r="A1564" t="inlineStr">
        <is>
          <t>KRAV-AUTO-001563</t>
        </is>
      </c>
      <c r="B1564" t="inlineStr">
        <is>
          <t>ADMIN-INDEX-2026-02-27-00000000125C043F57453246863FE664CAFE6A3F0700950291EA24F0614FB6ACEDB12BF0E31D00000000010C0000950291EA24F0614FB6ACEDB12BF0E31D00002087AEDF0000</t>
        </is>
      </c>
      <c r="C1564" t="inlineStr">
        <is>
          <t>cmm4yuoez01jzcuqw7lf2nntc</t>
        </is>
      </c>
      <c r="D1564" t="inlineStr">
        <is>
          <t>http://localhost:8787/api/admin/requirements/documents/cmm4yuoez01jzcuqw7lf2nntc/view</t>
        </is>
      </c>
      <c r="E1564">
        <f>HYPERLÄNK("http://localhost:8787/api/admin/requirements/documents/cmm4yuoez01jzcuqw7lf2nntc/view";"Öppna PDF")</f>
        <v/>
      </c>
      <c r="F1564">
        <f>HYPERLINK("http://localhost:8787/api/admin/requirements/documents/cmm4yuoez01jzcuqw7lf2nntc/view","Open PDF")</f>
        <v/>
      </c>
      <c r="G1564" t="inlineStr">
        <is>
          <t>cmm55w57p0004cuisfrtpqly8</t>
        </is>
      </c>
      <c r="H1564" t="inlineStr">
        <is>
          <t>Informationskrav</t>
        </is>
      </c>
      <c r="I1564" t="inlineStr">
        <is>
          <t>Riskhantering</t>
        </is>
      </c>
      <c r="J1564" t="inlineStr">
        <is>
          <t>Riskkontroll</t>
        </is>
      </c>
      <c r="K1564" t="inlineStr">
        <is>
          <t>Arbetet ska genomföras på ett sätt som inte medför ökad risk för spridning av invasiva främmande arter.</t>
        </is>
      </c>
      <c r="L1564" t="inlineStr">
        <is>
          <t>Arbetet ska genomföras på ett sätt som inte medför ökad risk för spridning av invasiva främmande arter.</t>
        </is>
      </c>
      <c r="M1564" t="inlineStr">
        <is>
          <t>SKA</t>
        </is>
      </c>
      <c r="N1564" t="inlineStr"/>
      <c r="O1564" t="inlineStr"/>
      <c r="P1564" t="inlineStr"/>
      <c r="Q1564" t="inlineStr"/>
      <c r="R1564" t="inlineStr">
        <is>
          <t>Vid risk for incident</t>
        </is>
      </c>
      <c r="S1564" t="inlineStr"/>
      <c r="T1564" t="inlineStr">
        <is>
          <t>212000</t>
        </is>
      </c>
      <c r="U1564" t="inlineStr"/>
      <c r="V1564" t="inlineStr"/>
      <c r="W1564" t="inlineStr">
        <is>
          <t>Nej</t>
        </is>
      </c>
      <c r="X1564" t="inlineStr">
        <is>
          <t>Nej</t>
        </is>
      </c>
      <c r="Y1564" t="inlineStr">
        <is>
          <t>Ja</t>
        </is>
      </c>
      <c r="Z1564" t="inlineStr">
        <is>
          <t>Ja</t>
        </is>
      </c>
      <c r="AA1564" t="n">
        <v>8</v>
      </c>
      <c r="AB1564" t="inlineStr">
        <is>
          <t>Riskhantering</t>
        </is>
      </c>
      <c r="AC1564" t="inlineStr">
        <is>
          <t>Risk-PM</t>
        </is>
      </c>
      <c r="AD1564" t="inlineStr">
        <is>
          <t>Nej</t>
        </is>
      </c>
      <c r="AE1564" t="inlineStr">
        <is>
          <t>Nej</t>
        </is>
      </c>
      <c r="AF1564" t="inlineStr">
        <is>
          <t>Ej behandlad</t>
        </is>
      </c>
      <c r="AG1564" t="inlineStr">
        <is>
          <t>AUTO_GENERERAD. Verifiera citat mot kallfil.</t>
        </is>
      </c>
      <c r="AH1564" t="inlineStr">
        <is>
          <t>MEDIUM</t>
        </is>
      </c>
      <c r="AI1564" t="inlineStr">
        <is>
          <t>AUTO</t>
        </is>
      </c>
      <c r="AJ1564" t="inlineStr">
        <is>
          <t>Nej</t>
        </is>
      </c>
      <c r="AK1564" t="inlineStr"/>
      <c r="AL1564" t="inlineStr"/>
      <c r="AM1564" t="inlineStr"/>
      <c r="AN1564" t="inlineStr"/>
      <c r="AO1564" t="inlineStr">
        <is>
          <t>cmm4yuoez01jzcuqw7lf2nntc</t>
        </is>
      </c>
      <c r="AP1564" t="inlineStr">
        <is>
          <t>http://localhost:8787/api/admin/requirements/documents/cmm4yuoez01jzcuqw7lf2nntc/view</t>
        </is>
      </c>
      <c r="AQ1564">
        <f>HYPERLÄNK("http://localhost:8787/api/admin/requirements/documents/cmm4yuoez01jzcuqw7lf2nntc/view";"Öppna PDF")</f>
        <v/>
      </c>
      <c r="AR1564">
        <f>HYPERLINK("http://localhost:8787/api/admin/requirements/documents/cmm4yuoez01jzcuqw7lf2nntc/view","Open PDF")</f>
        <v/>
      </c>
      <c r="AS1564" t="inlineStr">
        <is>
          <t>cmm55w57p0004cuisfrtpqly8</t>
        </is>
      </c>
      <c r="AT1564" t="inlineStr">
        <is>
          <t>cmm4xvu980000cuh4vj0usz09</t>
        </is>
      </c>
      <c r="AU1564" t="inlineStr">
        <is>
          <t>pdf Karlstads</t>
        </is>
      </c>
      <c r="AV1564" t="inlineStr">
        <is>
          <t>Kommun</t>
        </is>
      </c>
      <c r="AW1564" t="inlineStr">
        <is>
          <t>pdf Karlstads kommun</t>
        </is>
      </c>
      <c r="AX1564" t="inlineStr">
        <is>
          <t>2024-04</t>
        </is>
      </c>
      <c r="AY1564" t="inlineStr">
        <is>
          <t>Anmalan</t>
        </is>
      </c>
      <c r="AZ1564" t="inlineStr">
        <is>
          <t>2026-02-03</t>
        </is>
      </c>
      <c r="BA1564" t="inlineStr">
        <is>
          <t>Beslut på anmälan Peab Bergmotet.pdf</t>
        </is>
      </c>
      <c r="BB1564" t="inlineStr">
        <is>
          <t>VB:  Begäran om utlämnande av allmän handling – Anmälningar och beslut rörande mellanlagring av avfall samt anläggning av ytor</t>
        </is>
      </c>
      <c r="BC1564" t="inlineStr">
        <is>
          <t>AUTO</t>
        </is>
      </c>
      <c r="BD1564" t="inlineStr"/>
      <c r="BE1564" t="inlineStr"/>
      <c r="BF1564" t="inlineStr">
        <is>
          <t>AUTO_GENERERAD. Bekrafta metadata mot kallfil.</t>
        </is>
      </c>
      <c r="BG1564">
        <f>HYPERLINK("C:\Users\jimmy\Desktop\Examens arbete\Kod\Ny mapp\remix_-copy-of-miljöbeslut.se-portal\Beslut på anmälan Peab Bergmotet.pdf", "Öppna PDF")</f>
        <v/>
      </c>
    </row>
    <row r="1565">
      <c r="A1565" t="inlineStr">
        <is>
          <t>KRAV-AUTO-001564</t>
        </is>
      </c>
      <c r="B1565" t="inlineStr">
        <is>
          <t>ADMIN-INDEX-2026-02-27-00000000125C043F57453246863FE664CAFE6A3F0700950291EA24F0614FB6ACEDB12BF0E31D00000000010C0000950291EA24F0614FB6ACEDB12BF0E31D00002087AEDF0000</t>
        </is>
      </c>
      <c r="C1565" t="inlineStr">
        <is>
          <t>cmm4yuoeu01jwcuqw3asqrn8t</t>
        </is>
      </c>
      <c r="D1565" t="inlineStr">
        <is>
          <t>http://localhost:8787/api/admin/requirements/documents/cmm4yuoeu01jwcuqw3asqrn8t/view</t>
        </is>
      </c>
      <c r="E1565">
        <f>HYPERLÄNK("http://localhost:8787/api/admin/requirements/documents/cmm4yuoeu01jwcuqw3asqrn8t/view";"Öppna PDF")</f>
        <v/>
      </c>
      <c r="F1565">
        <f>HYPERLINK("http://localhost:8787/api/admin/requirements/documents/cmm4yuoeu01jwcuqw3asqrn8t/view","Open PDF")</f>
        <v/>
      </c>
      <c r="G1565" t="inlineStr">
        <is>
          <t>cmm55w57p0004cuisfrtpqly8</t>
        </is>
      </c>
      <c r="H1565" t="inlineStr">
        <is>
          <t>Informationskrav</t>
        </is>
      </c>
      <c r="I1565" t="inlineStr">
        <is>
          <t>DagvattenLakvatten</t>
        </is>
      </c>
      <c r="J1565" t="inlineStr">
        <is>
          <t>Uppsamling</t>
        </is>
      </c>
      <c r="K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65" t="inlineStr">
        <is>
          <t>SKA</t>
        </is>
      </c>
      <c r="N1565" t="inlineStr"/>
      <c r="O1565" t="inlineStr"/>
      <c r="P1565" t="inlineStr"/>
      <c r="Q1565" t="inlineStr"/>
      <c r="R1565" t="inlineStr">
        <is>
          <t>Vid nederbord och avrinning</t>
        </is>
      </c>
      <c r="S1565" t="inlineStr"/>
      <c r="T1565" t="inlineStr">
        <is>
          <t>556568</t>
        </is>
      </c>
      <c r="U1565" t="inlineStr"/>
      <c r="V1565" t="inlineStr"/>
      <c r="W1565" t="inlineStr">
        <is>
          <t>Nej</t>
        </is>
      </c>
      <c r="X1565" t="inlineStr">
        <is>
          <t>Ja</t>
        </is>
      </c>
      <c r="Y1565" t="inlineStr">
        <is>
          <t>Ja</t>
        </is>
      </c>
      <c r="Z1565" t="inlineStr">
        <is>
          <t>Nej</t>
        </is>
      </c>
      <c r="AA1565" t="n">
        <v>6</v>
      </c>
      <c r="AB1565" t="inlineStr">
        <is>
          <t>Lakvattenhantering</t>
        </is>
      </c>
      <c r="AC1565" t="inlineStr">
        <is>
          <t>Flodesschema dagvatten-lakvatten</t>
        </is>
      </c>
      <c r="AD1565" t="inlineStr">
        <is>
          <t>Nej</t>
        </is>
      </c>
      <c r="AE1565" t="inlineStr">
        <is>
          <t>Nej</t>
        </is>
      </c>
      <c r="AF1565" t="inlineStr">
        <is>
          <t>Ej behandlad</t>
        </is>
      </c>
      <c r="AG1565" t="inlineStr">
        <is>
          <t>AUTO_GENERERAD. Verifiera citat mot kallfil.</t>
        </is>
      </c>
      <c r="AH1565" t="inlineStr">
        <is>
          <t>MEDIUM</t>
        </is>
      </c>
      <c r="AI1565" t="inlineStr">
        <is>
          <t>AUTO</t>
        </is>
      </c>
      <c r="AJ1565" t="inlineStr">
        <is>
          <t>Nej</t>
        </is>
      </c>
      <c r="AK1565" t="inlineStr"/>
      <c r="AL1565" t="inlineStr"/>
      <c r="AM1565" t="inlineStr"/>
      <c r="AN1565" t="inlineStr"/>
      <c r="AO1565" t="inlineStr">
        <is>
          <t>cmm4yuoez01jzcuqw7lf2nntc</t>
        </is>
      </c>
      <c r="AP1565" t="inlineStr">
        <is>
          <t>http://localhost:8787/api/admin/requirements/documents/cmm4yuoez01jzcuqw7lf2nntc/view</t>
        </is>
      </c>
      <c r="AQ1565">
        <f>HYPERLÄNK("http://localhost:8787/api/admin/requirements/documents/cmm4yuoez01jzcuqw7lf2nntc/view";"Öppna PDF")</f>
        <v/>
      </c>
      <c r="AR1565">
        <f>HYPERLINK("http://localhost:8787/api/admin/requirements/documents/cmm4yuoez01jzcuqw7lf2nntc/view","Open PDF")</f>
        <v/>
      </c>
      <c r="AS1565" t="inlineStr">
        <is>
          <t>cmm55w57p0004cuisfrtpqly8</t>
        </is>
      </c>
      <c r="AT1565" t="inlineStr">
        <is>
          <t>cmm4xvu980000cuh4vj0usz09</t>
        </is>
      </c>
      <c r="AU1565" t="inlineStr">
        <is>
          <t>pdf Karlstads</t>
        </is>
      </c>
      <c r="AV1565" t="inlineStr">
        <is>
          <t>Kommun</t>
        </is>
      </c>
      <c r="AW1565" t="inlineStr">
        <is>
          <t>pdf Karlstads kommun</t>
        </is>
      </c>
      <c r="AX1565" t="inlineStr">
        <is>
          <t>2024-04</t>
        </is>
      </c>
      <c r="AY1565" t="inlineStr">
        <is>
          <t>Anmalan</t>
        </is>
      </c>
      <c r="AZ1565" t="inlineStr">
        <is>
          <t>2026-02-03</t>
        </is>
      </c>
      <c r="BA1565" t="inlineStr">
        <is>
          <t>Beslut på anmälan Peab Bergmotet.pdf</t>
        </is>
      </c>
      <c r="BB1565" t="inlineStr">
        <is>
          <t>VB:  Begäran om utlämnande av allmän handling – Anmälningar och beslut rörande mellanlagring av avfall samt anläggning av ytor</t>
        </is>
      </c>
      <c r="BC1565" t="inlineStr">
        <is>
          <t>AUTO</t>
        </is>
      </c>
      <c r="BD1565" t="inlineStr"/>
      <c r="BE1565" t="inlineStr"/>
      <c r="BF1565" t="inlineStr">
        <is>
          <t>AUTO_GENERERAD. Bekrafta metadata mot kallfil.</t>
        </is>
      </c>
      <c r="BG1565">
        <f>HYPERLINK("C:\Users\jimmy\Desktop\Examens arbete\Kod\Ny mapp\remix_-copy-of-miljöbeslut.se-portal\Beslut på anmälan Peab Bergmotet.pdf", "Öppna PDF")</f>
        <v/>
      </c>
    </row>
    <row r="1566">
      <c r="A1566" t="inlineStr">
        <is>
          <t>KRAV-AUTO-001565</t>
        </is>
      </c>
      <c r="B1566" t="inlineStr">
        <is>
          <t>ADMIN-INDEX-2026-02-27-00000000125C043F57453246863FE664CAFE6A3F0700950291EA24F0614FB6ACEDB12BF0E31D00000000010C0000950291EA24F0614FB6ACEDB12BF0E31D00002087AEDF0000</t>
        </is>
      </c>
      <c r="C1566" t="inlineStr">
        <is>
          <t>cmm4yuoeu01jwcuqw3asqrn8t</t>
        </is>
      </c>
      <c r="D1566" t="inlineStr">
        <is>
          <t>http://localhost:8787/api/admin/requirements/documents/cmm4yuoeu01jwcuqw3asqrn8t/view</t>
        </is>
      </c>
      <c r="E1566">
        <f>HYPERLÄNK("http://localhost:8787/api/admin/requirements/documents/cmm4yuoeu01jwcuqw3asqrn8t/view";"Öppna PDF")</f>
        <v/>
      </c>
      <c r="F1566">
        <f>HYPERLINK("http://localhost:8787/api/admin/requirements/documents/cmm4yuoeu01jwcuqw3asqrn8t/view","Open PDF")</f>
        <v/>
      </c>
      <c r="G1566" t="inlineStr">
        <is>
          <t>cmm55w57p0004cuisfrtpqly8</t>
        </is>
      </c>
      <c r="H1566" t="inlineStr">
        <is>
          <t>Informationskrav</t>
        </is>
      </c>
      <c r="I1566" t="inlineStr">
        <is>
          <t>MiljopaverkanForsiktighet</t>
        </is>
      </c>
      <c r="J1566" t="inlineStr">
        <is>
          <t>Skyddsatgarder</t>
        </is>
      </c>
      <c r="K1566" t="inlineStr">
        <is>
          <t>Beskrivning av avfallet/massor som ska användas Typ av avfall (ange EWC-kod) 17 05 04 Avfallets ursprung (tex.</t>
        </is>
      </c>
      <c r="L1566" t="inlineStr">
        <is>
          <t>Beskrivning av avfallet/massor som ska användas Typ av avfall (ange EWC-kod) 17 05 04 Avfallets ursprung (tex.</t>
        </is>
      </c>
      <c r="M1566" t="inlineStr">
        <is>
          <t>SKA</t>
        </is>
      </c>
      <c r="N1566" t="inlineStr"/>
      <c r="O1566" t="inlineStr"/>
      <c r="P1566" t="inlineStr"/>
      <c r="Q1566" t="inlineStr"/>
      <c r="R1566" t="inlineStr">
        <is>
          <t>Alltid</t>
        </is>
      </c>
      <c r="S1566" t="inlineStr"/>
      <c r="T1566" t="inlineStr">
        <is>
          <t>17 05 04</t>
        </is>
      </c>
      <c r="U1566" t="inlineStr"/>
      <c r="V1566" t="inlineStr"/>
      <c r="W1566" t="inlineStr">
        <is>
          <t>Nej</t>
        </is>
      </c>
      <c r="X1566" t="inlineStr">
        <is>
          <t>Nej</t>
        </is>
      </c>
      <c r="Y1566" t="inlineStr">
        <is>
          <t>Nej</t>
        </is>
      </c>
      <c r="Z1566" t="inlineStr">
        <is>
          <t>Nej</t>
        </is>
      </c>
      <c r="AA1566" t="n">
        <v>10</v>
      </c>
      <c r="AB1566" t="inlineStr">
        <is>
          <t>Miljopaverkan och forsiktighetsmatt</t>
        </is>
      </c>
      <c r="AC1566" t="inlineStr">
        <is>
          <t>Miljo-PM</t>
        </is>
      </c>
      <c r="AD1566" t="inlineStr">
        <is>
          <t>Nej</t>
        </is>
      </c>
      <c r="AE1566" t="inlineStr">
        <is>
          <t>Nej</t>
        </is>
      </c>
      <c r="AF1566" t="inlineStr">
        <is>
          <t>Ej behandlad</t>
        </is>
      </c>
      <c r="AG1566" t="inlineStr">
        <is>
          <t>AUTO_GENERERAD. Verifiera citat mot kallfil.</t>
        </is>
      </c>
      <c r="AH1566" t="inlineStr">
        <is>
          <t>MEDIUM</t>
        </is>
      </c>
      <c r="AI1566" t="inlineStr">
        <is>
          <t>AUTO</t>
        </is>
      </c>
      <c r="AJ1566" t="inlineStr">
        <is>
          <t>Nej</t>
        </is>
      </c>
      <c r="AK1566" t="inlineStr"/>
      <c r="AL1566" t="inlineStr"/>
      <c r="AM1566" t="inlineStr"/>
      <c r="AN1566" t="inlineStr"/>
      <c r="AO1566" t="inlineStr">
        <is>
          <t>cmm4yuoez01jzcuqw7lf2nntc</t>
        </is>
      </c>
      <c r="AP1566" t="inlineStr">
        <is>
          <t>http://localhost:8787/api/admin/requirements/documents/cmm4yuoez01jzcuqw7lf2nntc/view</t>
        </is>
      </c>
      <c r="AQ1566">
        <f>HYPERLÄNK("http://localhost:8787/api/admin/requirements/documents/cmm4yuoez01jzcuqw7lf2nntc/view";"Öppna PDF")</f>
        <v/>
      </c>
      <c r="AR1566">
        <f>HYPERLINK("http://localhost:8787/api/admin/requirements/documents/cmm4yuoez01jzcuqw7lf2nntc/view","Open PDF")</f>
        <v/>
      </c>
      <c r="AS1566" t="inlineStr">
        <is>
          <t>cmm55w57p0004cuisfrtpqly8</t>
        </is>
      </c>
      <c r="AT1566" t="inlineStr">
        <is>
          <t>cmm4xvu980000cuh4vj0usz09</t>
        </is>
      </c>
      <c r="AU1566" t="inlineStr">
        <is>
          <t>pdf Karlstads</t>
        </is>
      </c>
      <c r="AV1566" t="inlineStr">
        <is>
          <t>Kommun</t>
        </is>
      </c>
      <c r="AW1566" t="inlineStr">
        <is>
          <t>pdf Karlstads kommun</t>
        </is>
      </c>
      <c r="AX1566" t="inlineStr">
        <is>
          <t>2024-04</t>
        </is>
      </c>
      <c r="AY1566" t="inlineStr">
        <is>
          <t>Anmalan</t>
        </is>
      </c>
      <c r="AZ1566" t="inlineStr">
        <is>
          <t>2026-02-03</t>
        </is>
      </c>
      <c r="BA1566" t="inlineStr">
        <is>
          <t>Beslut på anmälan Peab Bergmotet.pdf</t>
        </is>
      </c>
      <c r="BB1566" t="inlineStr">
        <is>
          <t>VB:  Begäran om utlämnande av allmän handling – Anmälningar och beslut rörande mellanlagring av avfall samt anläggning av ytor</t>
        </is>
      </c>
      <c r="BC1566" t="inlineStr">
        <is>
          <t>AUTO</t>
        </is>
      </c>
      <c r="BD1566" t="inlineStr"/>
      <c r="BE1566" t="inlineStr"/>
      <c r="BF1566" t="inlineStr">
        <is>
          <t>AUTO_GENERERAD. Bekrafta metadata mot kallfil.</t>
        </is>
      </c>
      <c r="BG1566">
        <f>HYPERLINK("C:\Users\jimmy\Desktop\Examens arbete\Kod\Ny mapp\remix_-copy-of-miljöbeslut.se-portal\Beslut på anmälan Peab Bergmotet.pdf", "Öppna PDF")</f>
        <v/>
      </c>
    </row>
    <row r="1567">
      <c r="A1567" t="inlineStr">
        <is>
          <t>KRAV-AUTO-001566</t>
        </is>
      </c>
      <c r="B1567" t="inlineStr">
        <is>
          <t>ADMIN-INDEX-2026-02-27-00000000125C043F57453246863FE664CAFE6A3F0700950291EA24F0614FB6ACEDB12BF0E31D00000000010C0000950291EA24F0614FB6ACEDB12BF0E31D00002087AEDF0000</t>
        </is>
      </c>
      <c r="C1567" t="inlineStr">
        <is>
          <t>cmm4yuoeu01jwcuqw3asqrn8t</t>
        </is>
      </c>
      <c r="D1567" t="inlineStr">
        <is>
          <t>http://localhost:8787/api/admin/requirements/documents/cmm4yuoeu01jwcuqw3asqrn8t/view</t>
        </is>
      </c>
      <c r="E1567">
        <f>HYPERLÄNK("http://localhost:8787/api/admin/requirements/documents/cmm4yuoeu01jwcuqw3asqrn8t/view";"Öppna PDF")</f>
        <v/>
      </c>
      <c r="F1567">
        <f>HYPERLINK("http://localhost:8787/api/admin/requirements/documents/cmm4yuoeu01jwcuqw3asqrn8t/view","Open PDF")</f>
        <v/>
      </c>
      <c r="G1567" t="inlineStr">
        <is>
          <t>cmm55w57p0004cuisfrtpqly8</t>
        </is>
      </c>
      <c r="H1567" t="inlineStr">
        <is>
          <t>Informationskrav</t>
        </is>
      </c>
      <c r="I1567" t="inlineStr">
        <is>
          <t>Riskhantering</t>
        </is>
      </c>
      <c r="J1567" t="inlineStr">
        <is>
          <t>Riskkontroll</t>
        </is>
      </c>
      <c r="K1567" t="inlineStr">
        <is>
          <t>För att minska risk vid avåkningar formas även flacka slänter mot vägen så att fordon hindras från att komma ut i motsatt körriktning.</t>
        </is>
      </c>
      <c r="L1567" t="inlineStr">
        <is>
          <t>För att minska risk vid avåkningar formas även flacka slänter mot vägen så att fordon hindras från att komma ut i motsatt körriktning.</t>
        </is>
      </c>
      <c r="M1567" t="inlineStr">
        <is>
          <t>SKA</t>
        </is>
      </c>
      <c r="N1567" t="inlineStr"/>
      <c r="O1567" t="inlineStr"/>
      <c r="P1567" t="inlineStr"/>
      <c r="Q1567" t="inlineStr"/>
      <c r="R1567" t="inlineStr">
        <is>
          <t>Vid risk for incident</t>
        </is>
      </c>
      <c r="S1567" t="inlineStr"/>
      <c r="T1567" t="inlineStr">
        <is>
          <t>556568</t>
        </is>
      </c>
      <c r="U1567" t="inlineStr"/>
      <c r="V1567" t="inlineStr"/>
      <c r="W1567" t="inlineStr">
        <is>
          <t>Nej</t>
        </is>
      </c>
      <c r="X1567" t="inlineStr">
        <is>
          <t>Nej</t>
        </is>
      </c>
      <c r="Y1567" t="inlineStr">
        <is>
          <t>Ja</t>
        </is>
      </c>
      <c r="Z1567" t="inlineStr">
        <is>
          <t>Ja</t>
        </is>
      </c>
      <c r="AA1567" t="n">
        <v>8</v>
      </c>
      <c r="AB1567" t="inlineStr">
        <is>
          <t>Riskhantering</t>
        </is>
      </c>
      <c r="AC1567" t="inlineStr">
        <is>
          <t>Risk-PM</t>
        </is>
      </c>
      <c r="AD1567" t="inlineStr">
        <is>
          <t>Nej</t>
        </is>
      </c>
      <c r="AE1567" t="inlineStr">
        <is>
          <t>Nej</t>
        </is>
      </c>
      <c r="AF1567" t="inlineStr">
        <is>
          <t>Ej behandlad</t>
        </is>
      </c>
      <c r="AG1567" t="inlineStr">
        <is>
          <t>AUTO_GENERERAD. Verifiera citat mot kallfil.</t>
        </is>
      </c>
      <c r="AH1567" t="inlineStr">
        <is>
          <t>MEDIUM</t>
        </is>
      </c>
      <c r="AI1567" t="inlineStr">
        <is>
          <t>AUTO</t>
        </is>
      </c>
      <c r="AJ1567" t="inlineStr">
        <is>
          <t>Nej</t>
        </is>
      </c>
      <c r="AK1567" t="inlineStr"/>
      <c r="AL1567" t="inlineStr"/>
      <c r="AM1567" t="inlineStr"/>
      <c r="AN1567" t="inlineStr"/>
      <c r="AO1567" t="inlineStr">
        <is>
          <t>cmm4yuoez01jzcuqw7lf2nntc</t>
        </is>
      </c>
      <c r="AP1567" t="inlineStr">
        <is>
          <t>http://localhost:8787/api/admin/requirements/documents/cmm4yuoez01jzcuqw7lf2nntc/view</t>
        </is>
      </c>
      <c r="AQ1567">
        <f>HYPERLÄNK("http://localhost:8787/api/admin/requirements/documents/cmm4yuoez01jzcuqw7lf2nntc/view";"Öppna PDF")</f>
        <v/>
      </c>
      <c r="AR1567">
        <f>HYPERLINK("http://localhost:8787/api/admin/requirements/documents/cmm4yuoez01jzcuqw7lf2nntc/view","Open PDF")</f>
        <v/>
      </c>
      <c r="AS1567" t="inlineStr">
        <is>
          <t>cmm55w57p0004cuisfrtpqly8</t>
        </is>
      </c>
      <c r="AT1567" t="inlineStr">
        <is>
          <t>cmm4xvu980000cuh4vj0usz09</t>
        </is>
      </c>
      <c r="AU1567" t="inlineStr">
        <is>
          <t>pdf Karlstads</t>
        </is>
      </c>
      <c r="AV1567" t="inlineStr">
        <is>
          <t>Kommun</t>
        </is>
      </c>
      <c r="AW1567" t="inlineStr">
        <is>
          <t>pdf Karlstads kommun</t>
        </is>
      </c>
      <c r="AX1567" t="inlineStr">
        <is>
          <t>2024-04</t>
        </is>
      </c>
      <c r="AY1567" t="inlineStr">
        <is>
          <t>Anmalan</t>
        </is>
      </c>
      <c r="AZ1567" t="inlineStr">
        <is>
          <t>2026-02-03</t>
        </is>
      </c>
      <c r="BA1567" t="inlineStr">
        <is>
          <t>Beslut på anmälan Peab Bergmotet.pdf</t>
        </is>
      </c>
      <c r="BB1567" t="inlineStr">
        <is>
          <t>VB:  Begäran om utlämnande av allmän handling – Anmälningar och beslut rörande mellanlagring av avfall samt anläggning av ytor</t>
        </is>
      </c>
      <c r="BC1567" t="inlineStr">
        <is>
          <t>AUTO</t>
        </is>
      </c>
      <c r="BD1567" t="inlineStr"/>
      <c r="BE1567" t="inlineStr"/>
      <c r="BF1567" t="inlineStr">
        <is>
          <t>AUTO_GENERERAD. Bekrafta metadata mot kallfil.</t>
        </is>
      </c>
      <c r="BG1567">
        <f>HYPERLINK("C:\Users\jimmy\Desktop\Examens arbete\Kod\Ny mapp\remix_-copy-of-miljöbeslut.se-portal\Beslut på anmälan Peab Bergmotet.pdf", "Öppna PDF")</f>
        <v/>
      </c>
    </row>
    <row r="1568">
      <c r="A1568" t="inlineStr">
        <is>
          <t>KRAV-AUTO-001567</t>
        </is>
      </c>
      <c r="B1568" t="inlineStr">
        <is>
          <t>ADMIN-INDEX-2026-02-27-00000000125C043F57453246863FE664CAFE6A3F0700950291EA24F0614FB6ACEDB12BF0E31D00000000010C0000950291EA24F0614FB6ACEDB12BF0E31D00002087AEE00000</t>
        </is>
      </c>
      <c r="C1568" t="inlineStr">
        <is>
          <t>cmm4yuoeq01jtcuqwvlf8cqjg</t>
        </is>
      </c>
      <c r="D1568" t="inlineStr">
        <is>
          <t>http://localhost:8787/api/admin/requirements/documents/cmm4yuoeq01jtcuqwvlf8cqjg/view</t>
        </is>
      </c>
      <c r="E1568">
        <f>HYPERLÄNK("http://localhost:8787/api/admin/requirements/documents/cmm4yuoeq01jtcuqwvlf8cqjg/view";"Öppna PDF")</f>
        <v/>
      </c>
      <c r="F1568">
        <f>HYPERLINK("http://localhost:8787/api/admin/requirements/documents/cmm4yuoeq01jtcuqwvlf8cqjg/view","Open PDF")</f>
        <v/>
      </c>
      <c r="G1568" t="inlineStr">
        <is>
          <t>cmm55w57p0004cuisfrtpqly8</t>
        </is>
      </c>
      <c r="H1568" t="inlineStr">
        <is>
          <t>Informationskrav</t>
        </is>
      </c>
      <c r="I1568" t="inlineStr">
        <is>
          <t>DagvattenLakvatten</t>
        </is>
      </c>
      <c r="J1568" t="inlineStr">
        <is>
          <t>Uppsamling</t>
        </is>
      </c>
      <c r="K1568" t="inlineStr">
        <is>
          <t>Jordmassorna som används ska vara provtagna och halterna får inte ha en högre föroreningshalt än Naturvårdsverkets riktvärden för mindre känslig markanvändning (MKM).</t>
        </is>
      </c>
      <c r="L1568" t="inlineStr">
        <is>
          <t>Jordmassorna som används ska vara provtagna och halterna får inte ha en högre föroreningshalt än Naturvårdsverkets riktvärden för mindre känslig markanvändning (MKM).</t>
        </is>
      </c>
      <c r="M1568" t="inlineStr">
        <is>
          <t>SKA</t>
        </is>
      </c>
      <c r="N1568" t="inlineStr">
        <is>
          <t>Naturvardsverket</t>
        </is>
      </c>
      <c r="O1568" t="inlineStr"/>
      <c r="P1568" t="inlineStr"/>
      <c r="Q1568" t="inlineStr">
        <is>
          <t>Driftbegransning vid avvikelse</t>
        </is>
      </c>
      <c r="R1568" t="inlineStr">
        <is>
          <t>Vid nederbord och avrinning</t>
        </is>
      </c>
      <c r="S1568" t="inlineStr"/>
      <c r="T1568" t="inlineStr">
        <is>
          <t>212000</t>
        </is>
      </c>
      <c r="U1568" t="inlineStr"/>
      <c r="V1568" t="inlineStr"/>
      <c r="W1568" t="inlineStr">
        <is>
          <t>Nej</t>
        </is>
      </c>
      <c r="X1568" t="inlineStr">
        <is>
          <t>Ja</t>
        </is>
      </c>
      <c r="Y1568" t="inlineStr">
        <is>
          <t>Ja</t>
        </is>
      </c>
      <c r="Z1568" t="inlineStr">
        <is>
          <t>Nej</t>
        </is>
      </c>
      <c r="AA1568" t="n">
        <v>6</v>
      </c>
      <c r="AB1568" t="inlineStr">
        <is>
          <t>Lakvattenhantering</t>
        </is>
      </c>
      <c r="AC1568" t="inlineStr">
        <is>
          <t>Flodesschema dagvatten-lakvatten</t>
        </is>
      </c>
      <c r="AD1568" t="inlineStr">
        <is>
          <t>Nej</t>
        </is>
      </c>
      <c r="AE1568" t="inlineStr">
        <is>
          <t>Nej</t>
        </is>
      </c>
      <c r="AF1568" t="inlineStr">
        <is>
          <t>Ej behandlad</t>
        </is>
      </c>
      <c r="AG1568" t="inlineStr">
        <is>
          <t>AUTO_GENERERAD. Verifiera citat mot kallfil.</t>
        </is>
      </c>
      <c r="AH1568" t="inlineStr">
        <is>
          <t>HIGH</t>
        </is>
      </c>
      <c r="AI1568" t="inlineStr">
        <is>
          <t>AUTO</t>
        </is>
      </c>
      <c r="AJ1568" t="inlineStr">
        <is>
          <t>Nej</t>
        </is>
      </c>
      <c r="AK1568" t="inlineStr"/>
      <c r="AL1568" t="inlineStr"/>
      <c r="AM1568" t="inlineStr"/>
      <c r="AN1568" t="inlineStr"/>
      <c r="AO1568" t="inlineStr">
        <is>
          <t>cmm4yuoeq01jtcuqwvlf8cqjg</t>
        </is>
      </c>
      <c r="AP1568" t="inlineStr">
        <is>
          <t>http://localhost:8787/api/admin/requirements/documents/cmm4yuoeq01jtcuqwvlf8cqjg/view</t>
        </is>
      </c>
      <c r="AQ1568">
        <f>HYPERLÄNK("http://localhost:8787/api/admin/requirements/documents/cmm4yuoeq01jtcuqwvlf8cqjg/view";"Öppna PDF")</f>
        <v/>
      </c>
      <c r="AR1568">
        <f>HYPERLINK("http://localhost:8787/api/admin/requirements/documents/cmm4yuoeq01jtcuqwvlf8cqjg/view","Open PDF")</f>
        <v/>
      </c>
      <c r="AS1568" t="inlineStr">
        <is>
          <t>cmm55w57p0004cuisfrtpqly8</t>
        </is>
      </c>
      <c r="AT1568" t="inlineStr">
        <is>
          <t>cmm4xvu980000cuh4vj0usz09</t>
        </is>
      </c>
      <c r="AU1568" t="inlineStr">
        <is>
          <t>pdf Karlstads</t>
        </is>
      </c>
      <c r="AV1568" t="inlineStr">
        <is>
          <t>Kommun</t>
        </is>
      </c>
      <c r="AW1568" t="inlineStr">
        <is>
          <t>pdf Karlstads kommun</t>
        </is>
      </c>
      <c r="AX1568" t="inlineStr">
        <is>
          <t>2024-04</t>
        </is>
      </c>
      <c r="AY1568" t="inlineStr">
        <is>
          <t>Anmalan</t>
        </is>
      </c>
      <c r="AZ1568" t="inlineStr">
        <is>
          <t>2026-02-03</t>
        </is>
      </c>
      <c r="BA1568" t="inlineStr">
        <is>
          <t>Beslut på anmälan Peab Bergmotet.pdf</t>
        </is>
      </c>
      <c r="BB1568" t="inlineStr">
        <is>
          <t>VB:  Begäran om utlämnande av allmän handling – Anmälningar och beslut rörande mellanlagring av avfall samt anläggning av ytor</t>
        </is>
      </c>
      <c r="BC1568" t="inlineStr">
        <is>
          <t>AUTO</t>
        </is>
      </c>
      <c r="BD1568" t="inlineStr"/>
      <c r="BE1568" t="inlineStr"/>
      <c r="BF1568" t="inlineStr">
        <is>
          <t>AUTO_GENERERAD. Bekrafta metadata mot kallfil.</t>
        </is>
      </c>
      <c r="BG1568">
        <f>HYPERLINK("C:\Users\jimmy\Desktop\Examens arbete\Kod\Ny mapp\remix_-copy-of-miljöbeslut.se-portal\Beslut på anmälan Peab Bergmotet.pdf", "Öppna PDF")</f>
        <v/>
      </c>
    </row>
    <row r="1569">
      <c r="A1569" t="inlineStr">
        <is>
          <t>KRAV-AUTO-001568</t>
        </is>
      </c>
      <c r="B1569" t="inlineStr">
        <is>
          <t>ADMIN-INDEX-2026-02-27-00000000125C043F57453246863FE664CAFE6A3F0700950291EA24F0614FB6ACEDB12BF0E31D00000000010C0000950291EA24F0614FB6ACEDB12BF0E31D00002087AEE00000</t>
        </is>
      </c>
      <c r="C1569" t="inlineStr">
        <is>
          <t>cmm4yuoeq01jtcuqwvlf8cqjg</t>
        </is>
      </c>
      <c r="D1569" t="inlineStr">
        <is>
          <t>http://localhost:8787/api/admin/requirements/documents/cmm4yuoeq01jtcuqwvlf8cqjg/view</t>
        </is>
      </c>
      <c r="E1569">
        <f>HYPERLÄNK("http://localhost:8787/api/admin/requirements/documents/cmm4yuoeq01jtcuqwvlf8cqjg/view";"Öppna PDF")</f>
        <v/>
      </c>
      <c r="F1569">
        <f>HYPERLINK("http://localhost:8787/api/admin/requirements/documents/cmm4yuoeq01jtcuqwvlf8cqjg/view","Open PDF")</f>
        <v/>
      </c>
      <c r="G1569" t="inlineStr">
        <is>
          <t>cmm55w57p0004cuisfrtpqly8</t>
        </is>
      </c>
      <c r="H1569" t="inlineStr">
        <is>
          <t>Informationskrav</t>
        </is>
      </c>
      <c r="I1569" t="inlineStr">
        <is>
          <t>DriftEgenkontroll</t>
        </is>
      </c>
      <c r="J1569" t="inlineStr">
        <is>
          <t>Journalforing</t>
        </is>
      </c>
      <c r="K1569" t="inlineStr">
        <is>
          <t>Peab har förtydligat syftet samt redovisat provtagningsmetodik och beskrivit inventering av och hur de jobbar för att minska risken för spridning av invasiva främmande arter.</t>
        </is>
      </c>
      <c r="L1569" t="inlineStr">
        <is>
          <t>Peab har förtydligat syftet samt redovisat provtagningsmetodik och beskrivit inventering av och hur de jobbar för att minska risken för spridning av invasiva främmande arter.</t>
        </is>
      </c>
      <c r="M1569" t="inlineStr">
        <is>
          <t>SKA</t>
        </is>
      </c>
      <c r="N1569" t="inlineStr"/>
      <c r="O1569" t="inlineStr"/>
      <c r="P1569" t="inlineStr"/>
      <c r="Q1569" t="inlineStr"/>
      <c r="R1569" t="inlineStr">
        <is>
          <t>Lopande drift</t>
        </is>
      </c>
      <c r="S1569" t="inlineStr"/>
      <c r="T1569" t="inlineStr">
        <is>
          <t>212000</t>
        </is>
      </c>
      <c r="U1569" t="inlineStr"/>
      <c r="V1569" t="inlineStr"/>
      <c r="W1569" t="inlineStr">
        <is>
          <t>Nej</t>
        </is>
      </c>
      <c r="X1569" t="inlineStr">
        <is>
          <t>Nej</t>
        </is>
      </c>
      <c r="Y1569" t="inlineStr">
        <is>
          <t>Ja</t>
        </is>
      </c>
      <c r="Z1569" t="inlineStr">
        <is>
          <t>Nej</t>
        </is>
      </c>
      <c r="AA1569" t="n">
        <v>7</v>
      </c>
      <c r="AB1569" t="inlineStr">
        <is>
          <t>Egenkontrollrutiner</t>
        </is>
      </c>
      <c r="AC1569" t="inlineStr">
        <is>
          <t>Egenkontrollprogram</t>
        </is>
      </c>
      <c r="AD1569" t="inlineStr">
        <is>
          <t>Nej</t>
        </is>
      </c>
      <c r="AE1569" t="inlineStr">
        <is>
          <t>Nej</t>
        </is>
      </c>
      <c r="AF1569" t="inlineStr">
        <is>
          <t>Ej behandlad</t>
        </is>
      </c>
      <c r="AG1569" t="inlineStr">
        <is>
          <t>AUTO_GENERERAD. Verifiera citat mot kallfil.</t>
        </is>
      </c>
      <c r="AH1569" t="inlineStr">
        <is>
          <t>MEDIUM</t>
        </is>
      </c>
      <c r="AI1569" t="inlineStr">
        <is>
          <t>AUTO</t>
        </is>
      </c>
      <c r="AJ1569" t="inlineStr">
        <is>
          <t>Nej</t>
        </is>
      </c>
      <c r="AK1569" t="inlineStr"/>
      <c r="AL1569" t="inlineStr"/>
      <c r="AM1569" t="inlineStr"/>
      <c r="AN1569" t="inlineStr"/>
      <c r="AO1569" t="inlineStr">
        <is>
          <t>cmm4yuoeq01jtcuqwvlf8cqjg</t>
        </is>
      </c>
      <c r="AP1569" t="inlineStr">
        <is>
          <t>http://localhost:8787/api/admin/requirements/documents/cmm4yuoeq01jtcuqwvlf8cqjg/view</t>
        </is>
      </c>
      <c r="AQ1569">
        <f>HYPERLÄNK("http://localhost:8787/api/admin/requirements/documents/cmm4yuoeq01jtcuqwvlf8cqjg/view";"Öppna PDF")</f>
        <v/>
      </c>
      <c r="AR1569">
        <f>HYPERLINK("http://localhost:8787/api/admin/requirements/documents/cmm4yuoeq01jtcuqwvlf8cqjg/view","Open PDF")</f>
        <v/>
      </c>
      <c r="AS1569" t="inlineStr">
        <is>
          <t>cmm55w57p0004cuisfrtpqly8</t>
        </is>
      </c>
      <c r="AT1569" t="inlineStr">
        <is>
          <t>cmm4xvu980000cuh4vj0usz09</t>
        </is>
      </c>
      <c r="AU1569" t="inlineStr">
        <is>
          <t>pdf Karlstads</t>
        </is>
      </c>
      <c r="AV1569" t="inlineStr">
        <is>
          <t>Kommun</t>
        </is>
      </c>
      <c r="AW1569" t="inlineStr">
        <is>
          <t>pdf Karlstads kommun</t>
        </is>
      </c>
      <c r="AX1569" t="inlineStr">
        <is>
          <t>2024-04</t>
        </is>
      </c>
      <c r="AY1569" t="inlineStr">
        <is>
          <t>Anmalan</t>
        </is>
      </c>
      <c r="AZ1569" t="inlineStr">
        <is>
          <t>2026-02-03</t>
        </is>
      </c>
      <c r="BA1569" t="inlineStr">
        <is>
          <t>Beslut på anmälan Peab Bergmotet.pdf</t>
        </is>
      </c>
      <c r="BB1569" t="inlineStr">
        <is>
          <t>VB:  Begäran om utlämnande av allmän handling – Anmälningar och beslut rörande mellanlagring av avfall samt anläggning av ytor</t>
        </is>
      </c>
      <c r="BC1569" t="inlineStr">
        <is>
          <t>AUTO</t>
        </is>
      </c>
      <c r="BD1569" t="inlineStr"/>
      <c r="BE1569" t="inlineStr"/>
      <c r="BF1569" t="inlineStr">
        <is>
          <t>AUTO_GENERERAD. Bekrafta metadata mot kallfil.</t>
        </is>
      </c>
      <c r="BG1569">
        <f>HYPERLINK("C:\Users\jimmy\Desktop\Examens arbete\Kod\Ny mapp\remix_-copy-of-miljöbeslut.se-portal\Beslut på anmälan Peab Bergmotet.pdf", "Öppna PDF")</f>
        <v/>
      </c>
    </row>
    <row r="1570">
      <c r="A1570" t="inlineStr">
        <is>
          <t>KRAV-AUTO-001569</t>
        </is>
      </c>
      <c r="B1570" t="inlineStr">
        <is>
          <t>ADMIN-INDEX-2026-02-27-00000000125C043F57453246863FE664CAFE6A3F0700950291EA24F0614FB6ACEDB12BF0E31D00000000010C0000950291EA24F0614FB6ACEDB12BF0E31D00002087AEE00000</t>
        </is>
      </c>
      <c r="C1570" t="inlineStr">
        <is>
          <t>cmm4yuoeq01jtcuqwvlf8cqjg</t>
        </is>
      </c>
      <c r="D1570" t="inlineStr">
        <is>
          <t>http://localhost:8787/api/admin/requirements/documents/cmm4yuoeq01jtcuqwvlf8cqjg/view</t>
        </is>
      </c>
      <c r="E1570">
        <f>HYPERLÄNK("http://localhost:8787/api/admin/requirements/documents/cmm4yuoeq01jtcuqwvlf8cqjg/view";"Öppna PDF")</f>
        <v/>
      </c>
      <c r="F1570">
        <f>HYPERLINK("http://localhost:8787/api/admin/requirements/documents/cmm4yuoeq01jtcuqwvlf8cqjg/view","Open PDF")</f>
        <v/>
      </c>
      <c r="G1570" t="inlineStr">
        <is>
          <t>cmm55w57p0004cuisfrtpqly8</t>
        </is>
      </c>
      <c r="H1570" t="inlineStr">
        <is>
          <t>Informationskrav</t>
        </is>
      </c>
      <c r="I1570" t="inlineStr">
        <is>
          <t>Riskhantering</t>
        </is>
      </c>
      <c r="J1570" t="inlineStr">
        <is>
          <t>Riskkontroll</t>
        </is>
      </c>
      <c r="K1570" t="inlineStr">
        <is>
          <t>Arbetet ska genomföras på ett sätt som inte medför ökad risk för spridning av invasiva främmande arter.</t>
        </is>
      </c>
      <c r="L1570" t="inlineStr">
        <is>
          <t>Arbetet ska genomföras på ett sätt som inte medför ökad risk för spridning av invasiva främmande arter.</t>
        </is>
      </c>
      <c r="M1570" t="inlineStr">
        <is>
          <t>SKA</t>
        </is>
      </c>
      <c r="N1570" t="inlineStr"/>
      <c r="O1570" t="inlineStr"/>
      <c r="P1570" t="inlineStr"/>
      <c r="Q1570" t="inlineStr"/>
      <c r="R1570" t="inlineStr">
        <is>
          <t>Vid risk for incident</t>
        </is>
      </c>
      <c r="S1570" t="inlineStr"/>
      <c r="T1570" t="inlineStr">
        <is>
          <t>212000</t>
        </is>
      </c>
      <c r="U1570" t="inlineStr"/>
      <c r="V1570" t="inlineStr"/>
      <c r="W1570" t="inlineStr">
        <is>
          <t>Nej</t>
        </is>
      </c>
      <c r="X1570" t="inlineStr">
        <is>
          <t>Nej</t>
        </is>
      </c>
      <c r="Y1570" t="inlineStr">
        <is>
          <t>Ja</t>
        </is>
      </c>
      <c r="Z1570" t="inlineStr">
        <is>
          <t>Ja</t>
        </is>
      </c>
      <c r="AA1570" t="n">
        <v>8</v>
      </c>
      <c r="AB1570" t="inlineStr">
        <is>
          <t>Riskhantering</t>
        </is>
      </c>
      <c r="AC1570" t="inlineStr">
        <is>
          <t>Risk-PM</t>
        </is>
      </c>
      <c r="AD1570" t="inlineStr">
        <is>
          <t>Nej</t>
        </is>
      </c>
      <c r="AE1570" t="inlineStr">
        <is>
          <t>Nej</t>
        </is>
      </c>
      <c r="AF1570" t="inlineStr">
        <is>
          <t>Ej behandlad</t>
        </is>
      </c>
      <c r="AG1570" t="inlineStr">
        <is>
          <t>AUTO_GENERERAD. Verifiera citat mot kallfil.</t>
        </is>
      </c>
      <c r="AH1570" t="inlineStr">
        <is>
          <t>MEDIUM</t>
        </is>
      </c>
      <c r="AI1570" t="inlineStr">
        <is>
          <t>AUTO</t>
        </is>
      </c>
      <c r="AJ1570" t="inlineStr">
        <is>
          <t>Nej</t>
        </is>
      </c>
      <c r="AK1570" t="inlineStr"/>
      <c r="AL1570" t="inlineStr"/>
      <c r="AM1570" t="inlineStr"/>
      <c r="AN1570" t="inlineStr"/>
      <c r="AO1570" t="inlineStr">
        <is>
          <t>cmm4yuoeq01jtcuqwvlf8cqjg</t>
        </is>
      </c>
      <c r="AP1570" t="inlineStr">
        <is>
          <t>http://localhost:8787/api/admin/requirements/documents/cmm4yuoeq01jtcuqwvlf8cqjg/view</t>
        </is>
      </c>
      <c r="AQ1570">
        <f>HYPERLÄNK("http://localhost:8787/api/admin/requirements/documents/cmm4yuoeq01jtcuqwvlf8cqjg/view";"Öppna PDF")</f>
        <v/>
      </c>
      <c r="AR1570">
        <f>HYPERLINK("http://localhost:8787/api/admin/requirements/documents/cmm4yuoeq01jtcuqwvlf8cqjg/view","Open PDF")</f>
        <v/>
      </c>
      <c r="AS1570" t="inlineStr">
        <is>
          <t>cmm55w57p0004cuisfrtpqly8</t>
        </is>
      </c>
      <c r="AT1570" t="inlineStr">
        <is>
          <t>cmm4xvu980000cuh4vj0usz09</t>
        </is>
      </c>
      <c r="AU1570" t="inlineStr">
        <is>
          <t>pdf Karlstads</t>
        </is>
      </c>
      <c r="AV1570" t="inlineStr">
        <is>
          <t>Kommun</t>
        </is>
      </c>
      <c r="AW1570" t="inlineStr">
        <is>
          <t>pdf Karlstads kommun</t>
        </is>
      </c>
      <c r="AX1570" t="inlineStr">
        <is>
          <t>2024-04</t>
        </is>
      </c>
      <c r="AY1570" t="inlineStr">
        <is>
          <t>Anmalan</t>
        </is>
      </c>
      <c r="AZ1570" t="inlineStr">
        <is>
          <t>2026-02-03</t>
        </is>
      </c>
      <c r="BA1570" t="inlineStr">
        <is>
          <t>Beslut på anmälan Peab Bergmotet.pdf</t>
        </is>
      </c>
      <c r="BB1570" t="inlineStr">
        <is>
          <t>VB:  Begäran om utlämnande av allmän handling – Anmälningar och beslut rörande mellanlagring av avfall samt anläggning av ytor</t>
        </is>
      </c>
      <c r="BC1570" t="inlineStr">
        <is>
          <t>AUTO</t>
        </is>
      </c>
      <c r="BD1570" t="inlineStr"/>
      <c r="BE1570" t="inlineStr"/>
      <c r="BF1570" t="inlineStr">
        <is>
          <t>AUTO_GENERERAD. Bekrafta metadata mot kallfil.</t>
        </is>
      </c>
      <c r="BG1570">
        <f>HYPERLINK("C:\Users\jimmy\Desktop\Examens arbete\Kod\Ny mapp\remix_-copy-of-miljöbeslut.se-portal\Beslut på anmälan Peab Bergmotet.pdf", "Öppna PDF")</f>
        <v/>
      </c>
    </row>
    <row r="1571">
      <c r="A1571" t="inlineStr">
        <is>
          <t>KRAV-AUTO-001570</t>
        </is>
      </c>
      <c r="B1571" t="inlineStr">
        <is>
          <t>ADMIN-INDEX-2026-02-27-00000000125C043F57453246863FE664CAFE6A3F0700950291EA24F0614FB6ACEDB12BF0E31D00000000010C0000950291EA24F0614FB6ACEDB12BF0E31D00002087AEE00000</t>
        </is>
      </c>
      <c r="C1571" t="inlineStr">
        <is>
          <t>cmm4yuoel01jqcuqwqbcyfhs6</t>
        </is>
      </c>
      <c r="D1571" t="inlineStr">
        <is>
          <t>http://localhost:8787/api/admin/requirements/documents/cmm4yuoel01jqcuqwqbcyfhs6/view</t>
        </is>
      </c>
      <c r="E1571">
        <f>HYPERLÄNK("http://localhost:8787/api/admin/requirements/documents/cmm4yuoel01jqcuqwqbcyfhs6/view";"Öppna PDF")</f>
        <v/>
      </c>
      <c r="F1571">
        <f>HYPERLINK("http://localhost:8787/api/admin/requirements/documents/cmm4yuoel01jqcuqwqbcyfhs6/view","Open PDF")</f>
        <v/>
      </c>
      <c r="G1571" t="inlineStr">
        <is>
          <t>cmm55w57p0004cuisfrtpqly8</t>
        </is>
      </c>
      <c r="H1571" t="inlineStr">
        <is>
          <t>Informationskrav</t>
        </is>
      </c>
      <c r="I1571" t="inlineStr">
        <is>
          <t>DagvattenLakvatten</t>
        </is>
      </c>
      <c r="J1571" t="inlineStr">
        <is>
          <t>Uppsamling</t>
        </is>
      </c>
      <c r="K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71" t="inlineStr">
        <is>
          <t>SKA</t>
        </is>
      </c>
      <c r="N1571" t="inlineStr"/>
      <c r="O1571" t="inlineStr"/>
      <c r="P1571" t="inlineStr"/>
      <c r="Q1571" t="inlineStr"/>
      <c r="R1571" t="inlineStr">
        <is>
          <t>Vid nederbord och avrinning</t>
        </is>
      </c>
      <c r="S1571" t="inlineStr"/>
      <c r="T1571" t="inlineStr">
        <is>
          <t>556568</t>
        </is>
      </c>
      <c r="U1571" t="inlineStr"/>
      <c r="V1571" t="inlineStr"/>
      <c r="W1571" t="inlineStr">
        <is>
          <t>Nej</t>
        </is>
      </c>
      <c r="X1571" t="inlineStr">
        <is>
          <t>Ja</t>
        </is>
      </c>
      <c r="Y1571" t="inlineStr">
        <is>
          <t>Ja</t>
        </is>
      </c>
      <c r="Z1571" t="inlineStr">
        <is>
          <t>Nej</t>
        </is>
      </c>
      <c r="AA1571" t="n">
        <v>6</v>
      </c>
      <c r="AB1571" t="inlineStr">
        <is>
          <t>Lakvattenhantering</t>
        </is>
      </c>
      <c r="AC1571" t="inlineStr">
        <is>
          <t>Flodesschema dagvatten-lakvatten</t>
        </is>
      </c>
      <c r="AD1571" t="inlineStr">
        <is>
          <t>Nej</t>
        </is>
      </c>
      <c r="AE1571" t="inlineStr">
        <is>
          <t>Nej</t>
        </is>
      </c>
      <c r="AF1571" t="inlineStr">
        <is>
          <t>Ej behandlad</t>
        </is>
      </c>
      <c r="AG1571" t="inlineStr">
        <is>
          <t>AUTO_GENERERAD. Verifiera citat mot kallfil.</t>
        </is>
      </c>
      <c r="AH1571" t="inlineStr">
        <is>
          <t>MEDIUM</t>
        </is>
      </c>
      <c r="AI1571" t="inlineStr">
        <is>
          <t>AUTO</t>
        </is>
      </c>
      <c r="AJ1571" t="inlineStr">
        <is>
          <t>Nej</t>
        </is>
      </c>
      <c r="AK1571" t="inlineStr"/>
      <c r="AL1571" t="inlineStr"/>
      <c r="AM1571" t="inlineStr"/>
      <c r="AN1571" t="inlineStr"/>
      <c r="AO1571" t="inlineStr">
        <is>
          <t>cmm4yuoeq01jtcuqwvlf8cqjg</t>
        </is>
      </c>
      <c r="AP1571" t="inlineStr">
        <is>
          <t>http://localhost:8787/api/admin/requirements/documents/cmm4yuoeq01jtcuqwvlf8cqjg/view</t>
        </is>
      </c>
      <c r="AQ1571">
        <f>HYPERLÄNK("http://localhost:8787/api/admin/requirements/documents/cmm4yuoeq01jtcuqwvlf8cqjg/view";"Öppna PDF")</f>
        <v/>
      </c>
      <c r="AR1571">
        <f>HYPERLINK("http://localhost:8787/api/admin/requirements/documents/cmm4yuoeq01jtcuqwvlf8cqjg/view","Open PDF")</f>
        <v/>
      </c>
      <c r="AS1571" t="inlineStr">
        <is>
          <t>cmm55w57p0004cuisfrtpqly8</t>
        </is>
      </c>
      <c r="AT1571" t="inlineStr">
        <is>
          <t>cmm4xvu980000cuh4vj0usz09</t>
        </is>
      </c>
      <c r="AU1571" t="inlineStr">
        <is>
          <t>pdf Karlstads</t>
        </is>
      </c>
      <c r="AV1571" t="inlineStr">
        <is>
          <t>Kommun</t>
        </is>
      </c>
      <c r="AW1571" t="inlineStr">
        <is>
          <t>pdf Karlstads kommun</t>
        </is>
      </c>
      <c r="AX1571" t="inlineStr">
        <is>
          <t>2024-04</t>
        </is>
      </c>
      <c r="AY1571" t="inlineStr">
        <is>
          <t>Anmalan</t>
        </is>
      </c>
      <c r="AZ1571" t="inlineStr">
        <is>
          <t>2026-02-03</t>
        </is>
      </c>
      <c r="BA1571" t="inlineStr">
        <is>
          <t>Beslut på anmälan Peab Bergmotet.pdf</t>
        </is>
      </c>
      <c r="BB1571" t="inlineStr">
        <is>
          <t>VB:  Begäran om utlämnande av allmän handling – Anmälningar och beslut rörande mellanlagring av avfall samt anläggning av ytor</t>
        </is>
      </c>
      <c r="BC1571" t="inlineStr">
        <is>
          <t>AUTO</t>
        </is>
      </c>
      <c r="BD1571" t="inlineStr"/>
      <c r="BE1571" t="inlineStr"/>
      <c r="BF1571" t="inlineStr">
        <is>
          <t>AUTO_GENERERAD. Bekrafta metadata mot kallfil.</t>
        </is>
      </c>
      <c r="BG1571">
        <f>HYPERLINK("C:\Users\jimmy\Desktop\Examens arbete\Kod\Ny mapp\remix_-copy-of-miljöbeslut.se-portal\Beslut på anmälan Peab Bergmotet.pdf", "Öppna PDF")</f>
        <v/>
      </c>
    </row>
    <row r="1572">
      <c r="A1572" t="inlineStr">
        <is>
          <t>KRAV-AUTO-001571</t>
        </is>
      </c>
      <c r="B1572" t="inlineStr">
        <is>
          <t>ADMIN-INDEX-2026-02-27-00000000125C043F57453246863FE664CAFE6A3F0700950291EA24F0614FB6ACEDB12BF0E31D00000000010C0000950291EA24F0614FB6ACEDB12BF0E31D00002087AEE00000</t>
        </is>
      </c>
      <c r="C1572" t="inlineStr">
        <is>
          <t>cmm4yuoel01jqcuqwqbcyfhs6</t>
        </is>
      </c>
      <c r="D1572" t="inlineStr">
        <is>
          <t>http://localhost:8787/api/admin/requirements/documents/cmm4yuoel01jqcuqwqbcyfhs6/view</t>
        </is>
      </c>
      <c r="E1572">
        <f>HYPERLÄNK("http://localhost:8787/api/admin/requirements/documents/cmm4yuoel01jqcuqwqbcyfhs6/view";"Öppna PDF")</f>
        <v/>
      </c>
      <c r="F1572">
        <f>HYPERLINK("http://localhost:8787/api/admin/requirements/documents/cmm4yuoel01jqcuqwqbcyfhs6/view","Open PDF")</f>
        <v/>
      </c>
      <c r="G1572" t="inlineStr">
        <is>
          <t>cmm55w57p0004cuisfrtpqly8</t>
        </is>
      </c>
      <c r="H1572" t="inlineStr">
        <is>
          <t>Informationskrav</t>
        </is>
      </c>
      <c r="I1572" t="inlineStr">
        <is>
          <t>MiljopaverkanForsiktighet</t>
        </is>
      </c>
      <c r="J1572" t="inlineStr">
        <is>
          <t>Skyddsatgarder</t>
        </is>
      </c>
      <c r="K1572" t="inlineStr">
        <is>
          <t>Beskrivning av avfallet/massor som ska användas Typ av avfall (ange EWC-kod) 17 05 04 Avfallets ursprung (tex.</t>
        </is>
      </c>
      <c r="L1572" t="inlineStr">
        <is>
          <t>Beskrivning av avfallet/massor som ska användas Typ av avfall (ange EWC-kod) 17 05 04 Avfallets ursprung (tex.</t>
        </is>
      </c>
      <c r="M1572" t="inlineStr">
        <is>
          <t>SKA</t>
        </is>
      </c>
      <c r="N1572" t="inlineStr"/>
      <c r="O1572" t="inlineStr"/>
      <c r="P1572" t="inlineStr"/>
      <c r="Q1572" t="inlineStr"/>
      <c r="R1572" t="inlineStr">
        <is>
          <t>Alltid</t>
        </is>
      </c>
      <c r="S1572" t="inlineStr"/>
      <c r="T1572" t="inlineStr">
        <is>
          <t>17 05 04</t>
        </is>
      </c>
      <c r="U1572" t="inlineStr"/>
      <c r="V1572" t="inlineStr"/>
      <c r="W1572" t="inlineStr">
        <is>
          <t>Nej</t>
        </is>
      </c>
      <c r="X1572" t="inlineStr">
        <is>
          <t>Nej</t>
        </is>
      </c>
      <c r="Y1572" t="inlineStr">
        <is>
          <t>Nej</t>
        </is>
      </c>
      <c r="Z1572" t="inlineStr">
        <is>
          <t>Nej</t>
        </is>
      </c>
      <c r="AA1572" t="n">
        <v>10</v>
      </c>
      <c r="AB1572" t="inlineStr">
        <is>
          <t>Miljopaverkan och forsiktighetsmatt</t>
        </is>
      </c>
      <c r="AC1572" t="inlineStr">
        <is>
          <t>Miljo-PM</t>
        </is>
      </c>
      <c r="AD1572" t="inlineStr">
        <is>
          <t>Nej</t>
        </is>
      </c>
      <c r="AE1572" t="inlineStr">
        <is>
          <t>Nej</t>
        </is>
      </c>
      <c r="AF1572" t="inlineStr">
        <is>
          <t>Ej behandlad</t>
        </is>
      </c>
      <c r="AG1572" t="inlineStr">
        <is>
          <t>AUTO_GENERERAD. Verifiera citat mot kallfil.</t>
        </is>
      </c>
      <c r="AH1572" t="inlineStr">
        <is>
          <t>MEDIUM</t>
        </is>
      </c>
      <c r="AI1572" t="inlineStr">
        <is>
          <t>AUTO</t>
        </is>
      </c>
      <c r="AJ1572" t="inlineStr">
        <is>
          <t>Nej</t>
        </is>
      </c>
      <c r="AK1572" t="inlineStr"/>
      <c r="AL1572" t="inlineStr"/>
      <c r="AM1572" t="inlineStr"/>
      <c r="AN1572" t="inlineStr"/>
      <c r="AO1572" t="inlineStr">
        <is>
          <t>cmm4yuoeq01jtcuqwvlf8cqjg</t>
        </is>
      </c>
      <c r="AP1572" t="inlineStr">
        <is>
          <t>http://localhost:8787/api/admin/requirements/documents/cmm4yuoeq01jtcuqwvlf8cqjg/view</t>
        </is>
      </c>
      <c r="AQ1572">
        <f>HYPERLÄNK("http://localhost:8787/api/admin/requirements/documents/cmm4yuoeq01jtcuqwvlf8cqjg/view";"Öppna PDF")</f>
        <v/>
      </c>
      <c r="AR1572">
        <f>HYPERLINK("http://localhost:8787/api/admin/requirements/documents/cmm4yuoeq01jtcuqwvlf8cqjg/view","Open PDF")</f>
        <v/>
      </c>
      <c r="AS1572" t="inlineStr">
        <is>
          <t>cmm55w57p0004cuisfrtpqly8</t>
        </is>
      </c>
      <c r="AT1572" t="inlineStr">
        <is>
          <t>cmm4xvu980000cuh4vj0usz09</t>
        </is>
      </c>
      <c r="AU1572" t="inlineStr">
        <is>
          <t>pdf Karlstads</t>
        </is>
      </c>
      <c r="AV1572" t="inlineStr">
        <is>
          <t>Kommun</t>
        </is>
      </c>
      <c r="AW1572" t="inlineStr">
        <is>
          <t>pdf Karlstads kommun</t>
        </is>
      </c>
      <c r="AX1572" t="inlineStr">
        <is>
          <t>2024-04</t>
        </is>
      </c>
      <c r="AY1572" t="inlineStr">
        <is>
          <t>Anmalan</t>
        </is>
      </c>
      <c r="AZ1572" t="inlineStr">
        <is>
          <t>2026-02-03</t>
        </is>
      </c>
      <c r="BA1572" t="inlineStr">
        <is>
          <t>Beslut på anmälan Peab Bergmotet.pdf</t>
        </is>
      </c>
      <c r="BB1572" t="inlineStr">
        <is>
          <t>VB:  Begäran om utlämnande av allmän handling – Anmälningar och beslut rörande mellanlagring av avfall samt anläggning av ytor</t>
        </is>
      </c>
      <c r="BC1572" t="inlineStr">
        <is>
          <t>AUTO</t>
        </is>
      </c>
      <c r="BD1572" t="inlineStr"/>
      <c r="BE1572" t="inlineStr"/>
      <c r="BF1572" t="inlineStr">
        <is>
          <t>AUTO_GENERERAD. Bekrafta metadata mot kallfil.</t>
        </is>
      </c>
      <c r="BG1572">
        <f>HYPERLINK("C:\Users\jimmy\Desktop\Examens arbete\Kod\Ny mapp\remix_-copy-of-miljöbeslut.se-portal\Beslut på anmälan Peab Bergmotet.pdf", "Öppna PDF")</f>
        <v/>
      </c>
    </row>
    <row r="1573">
      <c r="A1573" t="inlineStr">
        <is>
          <t>KRAV-AUTO-001572</t>
        </is>
      </c>
      <c r="B1573" t="inlineStr">
        <is>
          <t>ADMIN-INDEX-2026-02-27-00000000125C043F57453246863FE664CAFE6A3F0700950291EA24F0614FB6ACEDB12BF0E31D00000000010C0000950291EA24F0614FB6ACEDB12BF0E31D00002087AEE00000</t>
        </is>
      </c>
      <c r="C1573" t="inlineStr">
        <is>
          <t>cmm4yuoel01jqcuqwqbcyfhs6</t>
        </is>
      </c>
      <c r="D1573" t="inlineStr">
        <is>
          <t>http://localhost:8787/api/admin/requirements/documents/cmm4yuoel01jqcuqwqbcyfhs6/view</t>
        </is>
      </c>
      <c r="E1573">
        <f>HYPERLÄNK("http://localhost:8787/api/admin/requirements/documents/cmm4yuoel01jqcuqwqbcyfhs6/view";"Öppna PDF")</f>
        <v/>
      </c>
      <c r="F1573">
        <f>HYPERLINK("http://localhost:8787/api/admin/requirements/documents/cmm4yuoel01jqcuqwqbcyfhs6/view","Open PDF")</f>
        <v/>
      </c>
      <c r="G1573" t="inlineStr">
        <is>
          <t>cmm55w57p0004cuisfrtpqly8</t>
        </is>
      </c>
      <c r="H1573" t="inlineStr">
        <is>
          <t>Informationskrav</t>
        </is>
      </c>
      <c r="I1573" t="inlineStr">
        <is>
          <t>Riskhantering</t>
        </is>
      </c>
      <c r="J1573" t="inlineStr">
        <is>
          <t>Riskkontroll</t>
        </is>
      </c>
      <c r="K1573" t="inlineStr">
        <is>
          <t>För att minska risk vid avåkningar formas även flacka slänter mot vägen så att fordon hindras från att komma ut i motsatt körriktning.</t>
        </is>
      </c>
      <c r="L1573" t="inlineStr">
        <is>
          <t>För att minska risk vid avåkningar formas även flacka slänter mot vägen så att fordon hindras från att komma ut i motsatt körriktning.</t>
        </is>
      </c>
      <c r="M1573" t="inlineStr">
        <is>
          <t>SKA</t>
        </is>
      </c>
      <c r="N1573" t="inlineStr"/>
      <c r="O1573" t="inlineStr"/>
      <c r="P1573" t="inlineStr"/>
      <c r="Q1573" t="inlineStr"/>
      <c r="R1573" t="inlineStr">
        <is>
          <t>Vid risk for incident</t>
        </is>
      </c>
      <c r="S1573" t="inlineStr"/>
      <c r="T1573" t="inlineStr">
        <is>
          <t>556568</t>
        </is>
      </c>
      <c r="U1573" t="inlineStr"/>
      <c r="V1573" t="inlineStr"/>
      <c r="W1573" t="inlineStr">
        <is>
          <t>Nej</t>
        </is>
      </c>
      <c r="X1573" t="inlineStr">
        <is>
          <t>Nej</t>
        </is>
      </c>
      <c r="Y1573" t="inlineStr">
        <is>
          <t>Ja</t>
        </is>
      </c>
      <c r="Z1573" t="inlineStr">
        <is>
          <t>Ja</t>
        </is>
      </c>
      <c r="AA1573" t="n">
        <v>8</v>
      </c>
      <c r="AB1573" t="inlineStr">
        <is>
          <t>Riskhantering</t>
        </is>
      </c>
      <c r="AC1573" t="inlineStr">
        <is>
          <t>Risk-PM</t>
        </is>
      </c>
      <c r="AD1573" t="inlineStr">
        <is>
          <t>Nej</t>
        </is>
      </c>
      <c r="AE1573" t="inlineStr">
        <is>
          <t>Nej</t>
        </is>
      </c>
      <c r="AF1573" t="inlineStr">
        <is>
          <t>Ej behandlad</t>
        </is>
      </c>
      <c r="AG1573" t="inlineStr">
        <is>
          <t>AUTO_GENERERAD. Verifiera citat mot kallfil.</t>
        </is>
      </c>
      <c r="AH1573" t="inlineStr">
        <is>
          <t>MEDIUM</t>
        </is>
      </c>
      <c r="AI1573" t="inlineStr">
        <is>
          <t>AUTO</t>
        </is>
      </c>
      <c r="AJ1573" t="inlineStr">
        <is>
          <t>Nej</t>
        </is>
      </c>
      <c r="AK1573" t="inlineStr"/>
      <c r="AL1573" t="inlineStr"/>
      <c r="AM1573" t="inlineStr"/>
      <c r="AN1573" t="inlineStr"/>
      <c r="AO1573" t="inlineStr">
        <is>
          <t>cmm4yuoeq01jtcuqwvlf8cqjg</t>
        </is>
      </c>
      <c r="AP1573" t="inlineStr">
        <is>
          <t>http://localhost:8787/api/admin/requirements/documents/cmm4yuoeq01jtcuqwvlf8cqjg/view</t>
        </is>
      </c>
      <c r="AQ1573">
        <f>HYPERLÄNK("http://localhost:8787/api/admin/requirements/documents/cmm4yuoeq01jtcuqwvlf8cqjg/view";"Öppna PDF")</f>
        <v/>
      </c>
      <c r="AR1573">
        <f>HYPERLINK("http://localhost:8787/api/admin/requirements/documents/cmm4yuoeq01jtcuqwvlf8cqjg/view","Open PDF")</f>
        <v/>
      </c>
      <c r="AS1573" t="inlineStr">
        <is>
          <t>cmm55w57p0004cuisfrtpqly8</t>
        </is>
      </c>
      <c r="AT1573" t="inlineStr">
        <is>
          <t>cmm4xvu980000cuh4vj0usz09</t>
        </is>
      </c>
      <c r="AU1573" t="inlineStr">
        <is>
          <t>pdf Karlstads</t>
        </is>
      </c>
      <c r="AV1573" t="inlineStr">
        <is>
          <t>Kommun</t>
        </is>
      </c>
      <c r="AW1573" t="inlineStr">
        <is>
          <t>pdf Karlstads kommun</t>
        </is>
      </c>
      <c r="AX1573" t="inlineStr">
        <is>
          <t>2024-04</t>
        </is>
      </c>
      <c r="AY1573" t="inlineStr">
        <is>
          <t>Anmalan</t>
        </is>
      </c>
      <c r="AZ1573" t="inlineStr">
        <is>
          <t>2026-02-03</t>
        </is>
      </c>
      <c r="BA1573" t="inlineStr">
        <is>
          <t>Beslut på anmälan Peab Bergmotet.pdf</t>
        </is>
      </c>
      <c r="BB1573" t="inlineStr">
        <is>
          <t>VB:  Begäran om utlämnande av allmän handling – Anmälningar och beslut rörande mellanlagring av avfall samt anläggning av ytor</t>
        </is>
      </c>
      <c r="BC1573" t="inlineStr">
        <is>
          <t>AUTO</t>
        </is>
      </c>
      <c r="BD1573" t="inlineStr"/>
      <c r="BE1573" t="inlineStr"/>
      <c r="BF1573" t="inlineStr">
        <is>
          <t>AUTO_GENERERAD. Bekrafta metadata mot kallfil.</t>
        </is>
      </c>
      <c r="BG1573">
        <f>HYPERLINK("C:\Users\jimmy\Desktop\Examens arbete\Kod\Ny mapp\remix_-copy-of-miljöbeslut.se-portal\Beslut på anmälan Peab Bergmotet.pdf", "Öppna PDF")</f>
        <v/>
      </c>
    </row>
    <row r="1574">
      <c r="A1574" t="inlineStr">
        <is>
          <t>KRAV-AUTO-001573</t>
        </is>
      </c>
      <c r="B1574" t="inlineStr">
        <is>
          <t>ADMIN-INDEX-2026-02-27-00000000125C043F57453246863FE664CAFE6A3F0700950291EA24F0614FB6ACEDB12BF0E31D00000000010C0000950291EA24F0614FB6ACEDB12BF0E31D00002087AEE10000</t>
        </is>
      </c>
      <c r="C1574" t="inlineStr">
        <is>
          <t>cmm4yuoed01jkcuqwf4yc627n</t>
        </is>
      </c>
      <c r="D1574" t="inlineStr">
        <is>
          <t>http://localhost:8787/api/admin/requirements/documents/cmm4yuoed01jkcuqwf4yc627n/view</t>
        </is>
      </c>
      <c r="E1574">
        <f>HYPERLÄNK("http://localhost:8787/api/admin/requirements/documents/cmm4yuoed01jkcuqwf4yc627n/view";"Öppna PDF")</f>
        <v/>
      </c>
      <c r="F1574">
        <f>HYPERLINK("http://localhost:8787/api/admin/requirements/documents/cmm4yuoed01jkcuqwf4yc627n/view","Open PDF")</f>
        <v/>
      </c>
      <c r="G1574" t="inlineStr">
        <is>
          <t>cmm55w57p0004cuisfrtpqly8</t>
        </is>
      </c>
      <c r="H1574" t="inlineStr">
        <is>
          <t>Beslutsvillkor</t>
        </is>
      </c>
      <c r="I1574" t="inlineStr">
        <is>
          <t>DagvattenLakvatten</t>
        </is>
      </c>
      <c r="J1574" t="inlineStr">
        <is>
          <t>Uppsamling</t>
        </is>
      </c>
      <c r="K1574" t="inlineStr">
        <is>
          <t>Uppdat änser för uppfyllda krite Order Prov Riktlinjer/gränsvärden Alifatiska föreningar Aromatiska föreningar Utvärdering av uttagna borrkärnor betongbjälklag ÖR Skolan mot KM och MKM enligt Naturvårdsverkets rapport 5976, 2009 rev.</t>
        </is>
      </c>
      <c r="L1574" t="inlineStr">
        <is>
          <t>Uppdat änser för uppfyllda krite Order Prov Riktlinjer/gränsvärden Alifatiska föreningar Aromatiska föreningar Utvärdering av uttagna borrkärnor betongbjälklag ÖR Skolan mot KM och MKM enligt Naturvårdsverkets rapport 5976, 2009 rev.</t>
        </is>
      </c>
      <c r="M1574" t="inlineStr">
        <is>
          <t>SKA</t>
        </is>
      </c>
      <c r="N1574" t="inlineStr">
        <is>
          <t>Naturvardsverket</t>
        </is>
      </c>
      <c r="O1574" t="inlineStr"/>
      <c r="P1574" t="inlineStr"/>
      <c r="Q1574" t="inlineStr"/>
      <c r="R1574" t="inlineStr">
        <is>
          <t>Vid nederbord och avrinning</t>
        </is>
      </c>
      <c r="S1574" t="inlineStr"/>
      <c r="T1574" t="inlineStr">
        <is>
          <t>250110</t>
        </is>
      </c>
      <c r="U1574" t="inlineStr"/>
      <c r="V1574" t="inlineStr"/>
      <c r="W1574" t="inlineStr">
        <is>
          <t>Nej</t>
        </is>
      </c>
      <c r="X1574" t="inlineStr">
        <is>
          <t>Ja</t>
        </is>
      </c>
      <c r="Y1574" t="inlineStr">
        <is>
          <t>Ja</t>
        </is>
      </c>
      <c r="Z1574" t="inlineStr">
        <is>
          <t>Nej</t>
        </is>
      </c>
      <c r="AA1574" t="n">
        <v>6</v>
      </c>
      <c r="AB1574" t="inlineStr">
        <is>
          <t>Lakvattenhantering</t>
        </is>
      </c>
      <c r="AC1574" t="inlineStr">
        <is>
          <t>Flodesschema dagvatten-lakvatten</t>
        </is>
      </c>
      <c r="AD1574" t="inlineStr">
        <is>
          <t>Nej</t>
        </is>
      </c>
      <c r="AE1574" t="inlineStr">
        <is>
          <t>Nej</t>
        </is>
      </c>
      <c r="AF1574" t="inlineStr">
        <is>
          <t>Ej behandlad</t>
        </is>
      </c>
      <c r="AG1574" t="inlineStr">
        <is>
          <t>AUTO_GENERERAD. Verifiera citat mot kallfil.</t>
        </is>
      </c>
      <c r="AH1574" t="inlineStr">
        <is>
          <t>MEDIUM</t>
        </is>
      </c>
      <c r="AI1574" t="inlineStr">
        <is>
          <t>AUTO</t>
        </is>
      </c>
      <c r="AJ1574" t="inlineStr">
        <is>
          <t>Nej</t>
        </is>
      </c>
      <c r="AK1574" t="inlineStr"/>
      <c r="AL1574" t="inlineStr"/>
      <c r="AM1574" t="inlineStr"/>
      <c r="AN1574" t="inlineStr"/>
      <c r="AO1574" t="inlineStr">
        <is>
          <t>cmm4yuoed01jkcuqwf4yc627n</t>
        </is>
      </c>
      <c r="AP1574" t="inlineStr">
        <is>
          <t>http://localhost:8787/api/admin/requirements/documents/cmm4yuoed01jkcuqwf4yc627n/view</t>
        </is>
      </c>
      <c r="AQ1574">
        <f>HYPERLÄNK("http://localhost:8787/api/admin/requirements/documents/cmm4yuoed01jkcuqwf4yc627n/view";"Öppna PDF")</f>
        <v/>
      </c>
      <c r="AR1574">
        <f>HYPERLINK("http://localhost:8787/api/admin/requirements/documents/cmm4yuoed01jkcuqwf4yc627n/view","Open PDF")</f>
        <v/>
      </c>
      <c r="AS1574" t="inlineStr">
        <is>
          <t>cmm55w57p0004cuisfrtpqly8</t>
        </is>
      </c>
      <c r="AT1574" t="inlineStr">
        <is>
          <t>cmm4xvu980000cuh4vj0usz09</t>
        </is>
      </c>
      <c r="AU1574" t="inlineStr"/>
      <c r="AV1574" t="inlineStr">
        <is>
          <t>Kommun</t>
        </is>
      </c>
      <c r="AW1574" t="inlineStr"/>
      <c r="AX1574" t="inlineStr">
        <is>
          <t>2025-01</t>
        </is>
      </c>
      <c r="AY1574" t="inlineStr">
        <is>
          <t>Beslut</t>
        </is>
      </c>
      <c r="AZ1574" t="inlineStr">
        <is>
          <t>2026-02-03</t>
        </is>
      </c>
      <c r="BA1574" t="inlineStr">
        <is>
          <t>BeslutRapportPMbetongprovOrSkolan250110_446250.pdf</t>
        </is>
      </c>
      <c r="BB1574" t="inlineStr">
        <is>
          <t>Återvinning av avfall i anläggningsändamål, MIL.2025.263</t>
        </is>
      </c>
      <c r="BC1574" t="inlineStr">
        <is>
          <t>AUTO</t>
        </is>
      </c>
      <c r="BD1574" t="inlineStr"/>
      <c r="BE1574" t="inlineStr"/>
      <c r="BF1574" t="inlineStr">
        <is>
          <t>AUTO_GENERERAD. Bekrafta metadata mot kallfil.</t>
        </is>
      </c>
      <c r="BG1574">
        <f>HYPERLINK("C:\Users\jimmy\Desktop\Examens arbete\Kod\Ny mapp\remix_-copy-of-miljöbeslut.se-portal\BeslutRapportPMbetongprovOrSkolan250110_446250.pdf", "Öppna PDF")</f>
        <v/>
      </c>
    </row>
    <row r="1575">
      <c r="A1575" t="inlineStr">
        <is>
          <t>KRAV-AUTO-001574</t>
        </is>
      </c>
      <c r="B1575" t="inlineStr">
        <is>
          <t>ADMIN-INDEX-2026-02-27-00000000125C043F57453246863FE664CAFE6A3F0700950291EA24F0614FB6ACEDB12BF0E31D00000000010C0000950291EA24F0614FB6ACEDB12BF0E31D00002087AEE10000</t>
        </is>
      </c>
      <c r="C1575" t="inlineStr">
        <is>
          <t>cmm4yuoed01jkcuqwf4yc627n</t>
        </is>
      </c>
      <c r="D1575" t="inlineStr">
        <is>
          <t>http://localhost:8787/api/admin/requirements/documents/cmm4yuoed01jkcuqwf4yc627n/view</t>
        </is>
      </c>
      <c r="E1575">
        <f>HYPERLÄNK("http://localhost:8787/api/admin/requirements/documents/cmm4yuoed01jkcuqwf4yc627n/view";"Öppna PDF")</f>
        <v/>
      </c>
      <c r="F1575">
        <f>HYPERLINK("http://localhost:8787/api/admin/requirements/documents/cmm4yuoed01jkcuqwf4yc627n/view","Open PDF")</f>
        <v/>
      </c>
      <c r="G1575" t="inlineStr">
        <is>
          <t>cmm55w57p0004cuisfrtpqly8</t>
        </is>
      </c>
      <c r="H1575" t="inlineStr">
        <is>
          <t>Beslutsvillkor</t>
        </is>
      </c>
      <c r="I1575" t="inlineStr">
        <is>
          <t>DriftEgenkontroll</t>
        </is>
      </c>
      <c r="J1575" t="inlineStr">
        <is>
          <t>Journalforing</t>
        </is>
      </c>
      <c r="K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75" t="inlineStr">
        <is>
          <t>SKA</t>
        </is>
      </c>
      <c r="N1575" t="inlineStr"/>
      <c r="O1575" t="inlineStr">
        <is>
          <t>2024-12-11</t>
        </is>
      </c>
      <c r="P1575" t="inlineStr"/>
      <c r="Q1575" t="inlineStr"/>
      <c r="R1575" t="inlineStr">
        <is>
          <t>Lopande drift</t>
        </is>
      </c>
      <c r="S1575" t="inlineStr"/>
      <c r="T1575" t="inlineStr">
        <is>
          <t>250110</t>
        </is>
      </c>
      <c r="U1575" t="inlineStr"/>
      <c r="V1575" t="inlineStr"/>
      <c r="W1575" t="inlineStr">
        <is>
          <t>Nej</t>
        </is>
      </c>
      <c r="X1575" t="inlineStr">
        <is>
          <t>Nej</t>
        </is>
      </c>
      <c r="Y1575" t="inlineStr">
        <is>
          <t>Ja</t>
        </is>
      </c>
      <c r="Z1575" t="inlineStr">
        <is>
          <t>Nej</t>
        </is>
      </c>
      <c r="AA1575" t="n">
        <v>7</v>
      </c>
      <c r="AB1575" t="inlineStr">
        <is>
          <t>Egenkontrollrutiner</t>
        </is>
      </c>
      <c r="AC1575" t="inlineStr">
        <is>
          <t>Egenkontrollprogram</t>
        </is>
      </c>
      <c r="AD1575" t="inlineStr">
        <is>
          <t>Nej</t>
        </is>
      </c>
      <c r="AE1575" t="inlineStr">
        <is>
          <t>Nej</t>
        </is>
      </c>
      <c r="AF1575" t="inlineStr">
        <is>
          <t>Ej behandlad</t>
        </is>
      </c>
      <c r="AG1575" t="inlineStr">
        <is>
          <t>AUTO_GENERERAD. Verifiera citat mot kallfil.</t>
        </is>
      </c>
      <c r="AH1575" t="inlineStr">
        <is>
          <t>MEDIUM</t>
        </is>
      </c>
      <c r="AI1575" t="inlineStr">
        <is>
          <t>AUTO</t>
        </is>
      </c>
      <c r="AJ1575" t="inlineStr">
        <is>
          <t>Nej</t>
        </is>
      </c>
      <c r="AK1575" t="inlineStr"/>
      <c r="AL1575" t="inlineStr"/>
      <c r="AM1575" t="inlineStr"/>
      <c r="AN1575" t="inlineStr"/>
      <c r="AO1575" t="inlineStr">
        <is>
          <t>cmm4yuoed01jkcuqwf4yc627n</t>
        </is>
      </c>
      <c r="AP1575" t="inlineStr">
        <is>
          <t>http://localhost:8787/api/admin/requirements/documents/cmm4yuoed01jkcuqwf4yc627n/view</t>
        </is>
      </c>
      <c r="AQ1575">
        <f>HYPERLÄNK("http://localhost:8787/api/admin/requirements/documents/cmm4yuoed01jkcuqwf4yc627n/view";"Öppna PDF")</f>
        <v/>
      </c>
      <c r="AR1575">
        <f>HYPERLINK("http://localhost:8787/api/admin/requirements/documents/cmm4yuoed01jkcuqwf4yc627n/view","Open PDF")</f>
        <v/>
      </c>
      <c r="AS1575" t="inlineStr">
        <is>
          <t>cmm55w57p0004cuisfrtpqly8</t>
        </is>
      </c>
      <c r="AT1575" t="inlineStr">
        <is>
          <t>cmm4xvu980000cuh4vj0usz09</t>
        </is>
      </c>
      <c r="AU1575" t="inlineStr"/>
      <c r="AV1575" t="inlineStr">
        <is>
          <t>Kommun</t>
        </is>
      </c>
      <c r="AW1575" t="inlineStr"/>
      <c r="AX1575" t="inlineStr">
        <is>
          <t>2025-01</t>
        </is>
      </c>
      <c r="AY1575" t="inlineStr">
        <is>
          <t>Beslut</t>
        </is>
      </c>
      <c r="AZ1575" t="inlineStr">
        <is>
          <t>2026-02-03</t>
        </is>
      </c>
      <c r="BA1575" t="inlineStr">
        <is>
          <t>BeslutRapportPMbetongprovOrSkolan250110_446250.pdf</t>
        </is>
      </c>
      <c r="BB1575" t="inlineStr">
        <is>
          <t>Återvinning av avfall i anläggningsändamål, MIL.2025.263</t>
        </is>
      </c>
      <c r="BC1575" t="inlineStr">
        <is>
          <t>AUTO</t>
        </is>
      </c>
      <c r="BD1575" t="inlineStr"/>
      <c r="BE1575" t="inlineStr"/>
      <c r="BF1575" t="inlineStr">
        <is>
          <t>AUTO_GENERERAD. Bekrafta metadata mot kallfil.</t>
        </is>
      </c>
      <c r="BG1575">
        <f>HYPERLINK("C:\Users\jimmy\Desktop\Examens arbete\Kod\Ny mapp\remix_-copy-of-miljöbeslut.se-portal\BeslutRapportPMbetongprovOrSkolan250110_446250.pdf", "Öppna PDF")</f>
        <v/>
      </c>
    </row>
    <row r="1576">
      <c r="A1576" t="inlineStr">
        <is>
          <t>KRAV-AUTO-001575</t>
        </is>
      </c>
      <c r="B1576" t="inlineStr">
        <is>
          <t>ADMIN-INDEX-2026-02-27-00000000125C043F57453246863FE664CAFE6A3F0700950291EA24F0614FB6ACEDB12BF0E31D00000000010C0000950291EA24F0614FB6ACEDB12BF0E31D00002087AEE10000</t>
        </is>
      </c>
      <c r="C1576" t="inlineStr">
        <is>
          <t>cmm4yuoed01jkcuqwf4yc627n</t>
        </is>
      </c>
      <c r="D1576" t="inlineStr">
        <is>
          <t>http://localhost:8787/api/admin/requirements/documents/cmm4yuoed01jkcuqwf4yc627n/view</t>
        </is>
      </c>
      <c r="E1576">
        <f>HYPERLÄNK("http://localhost:8787/api/admin/requirements/documents/cmm4yuoed01jkcuqwf4yc627n/view";"Öppna PDF")</f>
        <v/>
      </c>
      <c r="F1576">
        <f>HYPERLINK("http://localhost:8787/api/admin/requirements/documents/cmm4yuoed01jkcuqwf4yc627n/view","Open PDF")</f>
        <v/>
      </c>
      <c r="G1576" t="inlineStr">
        <is>
          <t>cmm55w57p0004cuisfrtpqly8</t>
        </is>
      </c>
      <c r="H1576" t="inlineStr">
        <is>
          <t>Beslutsvillkor</t>
        </is>
      </c>
      <c r="I1576" t="inlineStr">
        <is>
          <t>DriftEgenkontroll</t>
        </is>
      </c>
      <c r="J1576" t="inlineStr">
        <is>
          <t>Journalforing</t>
        </is>
      </c>
      <c r="K1576" t="inlineStr">
        <is>
          <t>Prover bör därför skickas direkt till laboratoriet efter provtagning.</t>
        </is>
      </c>
      <c r="L1576" t="inlineStr">
        <is>
          <t>Prover bör därför skickas direkt till laboratoriet efter provtagning.</t>
        </is>
      </c>
      <c r="M1576" t="inlineStr">
        <is>
          <t>BOR</t>
        </is>
      </c>
      <c r="N1576" t="inlineStr"/>
      <c r="O1576" t="inlineStr"/>
      <c r="P1576" t="inlineStr"/>
      <c r="Q1576" t="inlineStr"/>
      <c r="R1576" t="inlineStr">
        <is>
          <t>Lopande drift</t>
        </is>
      </c>
      <c r="S1576" t="inlineStr"/>
      <c r="T1576" t="inlineStr">
        <is>
          <t>250110</t>
        </is>
      </c>
      <c r="U1576" t="inlineStr"/>
      <c r="V1576" t="inlineStr"/>
      <c r="W1576" t="inlineStr">
        <is>
          <t>Nej</t>
        </is>
      </c>
      <c r="X1576" t="inlineStr">
        <is>
          <t>Nej</t>
        </is>
      </c>
      <c r="Y1576" t="inlineStr">
        <is>
          <t>Ja</t>
        </is>
      </c>
      <c r="Z1576" t="inlineStr">
        <is>
          <t>Nej</t>
        </is>
      </c>
      <c r="AA1576" t="n">
        <v>7</v>
      </c>
      <c r="AB1576" t="inlineStr">
        <is>
          <t>Egenkontrollrutiner</t>
        </is>
      </c>
      <c r="AC1576" t="inlineStr">
        <is>
          <t>Egenkontrollprogram</t>
        </is>
      </c>
      <c r="AD1576" t="inlineStr">
        <is>
          <t>Nej</t>
        </is>
      </c>
      <c r="AE1576" t="inlineStr">
        <is>
          <t>Nej</t>
        </is>
      </c>
      <c r="AF1576" t="inlineStr">
        <is>
          <t>Ej behandlad</t>
        </is>
      </c>
      <c r="AG1576" t="inlineStr">
        <is>
          <t>AUTO_GENERERAD. Verifiera citat mot kallfil.</t>
        </is>
      </c>
      <c r="AH1576" t="inlineStr">
        <is>
          <t>MEDIUM</t>
        </is>
      </c>
      <c r="AI1576" t="inlineStr">
        <is>
          <t>AUTO</t>
        </is>
      </c>
      <c r="AJ1576" t="inlineStr">
        <is>
          <t>Nej</t>
        </is>
      </c>
      <c r="AK1576" t="inlineStr"/>
      <c r="AL1576" t="inlineStr"/>
      <c r="AM1576" t="inlineStr"/>
      <c r="AN1576" t="inlineStr"/>
      <c r="AO1576" t="inlineStr">
        <is>
          <t>cmm4yuoed01jkcuqwf4yc627n</t>
        </is>
      </c>
      <c r="AP1576" t="inlineStr">
        <is>
          <t>http://localhost:8787/api/admin/requirements/documents/cmm4yuoed01jkcuqwf4yc627n/view</t>
        </is>
      </c>
      <c r="AQ1576">
        <f>HYPERLÄNK("http://localhost:8787/api/admin/requirements/documents/cmm4yuoed01jkcuqwf4yc627n/view";"Öppna PDF")</f>
        <v/>
      </c>
      <c r="AR1576">
        <f>HYPERLINK("http://localhost:8787/api/admin/requirements/documents/cmm4yuoed01jkcuqwf4yc627n/view","Open PDF")</f>
        <v/>
      </c>
      <c r="AS1576" t="inlineStr">
        <is>
          <t>cmm55w57p0004cuisfrtpqly8</t>
        </is>
      </c>
      <c r="AT1576" t="inlineStr">
        <is>
          <t>cmm4xvu980000cuh4vj0usz09</t>
        </is>
      </c>
      <c r="AU1576" t="inlineStr"/>
      <c r="AV1576" t="inlineStr">
        <is>
          <t>Kommun</t>
        </is>
      </c>
      <c r="AW1576" t="inlineStr"/>
      <c r="AX1576" t="inlineStr">
        <is>
          <t>2025-01</t>
        </is>
      </c>
      <c r="AY1576" t="inlineStr">
        <is>
          <t>Beslut</t>
        </is>
      </c>
      <c r="AZ1576" t="inlineStr">
        <is>
          <t>2026-02-03</t>
        </is>
      </c>
      <c r="BA1576" t="inlineStr">
        <is>
          <t>BeslutRapportPMbetongprovOrSkolan250110_446250.pdf</t>
        </is>
      </c>
      <c r="BB1576" t="inlineStr">
        <is>
          <t>Återvinning av avfall i anläggningsändamål, MIL.2025.263</t>
        </is>
      </c>
      <c r="BC1576" t="inlineStr">
        <is>
          <t>AUTO</t>
        </is>
      </c>
      <c r="BD1576" t="inlineStr"/>
      <c r="BE1576" t="inlineStr"/>
      <c r="BF1576" t="inlineStr">
        <is>
          <t>AUTO_GENERERAD. Bekrafta metadata mot kallfil.</t>
        </is>
      </c>
      <c r="BG1576">
        <f>HYPERLINK("C:\Users\jimmy\Desktop\Examens arbete\Kod\Ny mapp\remix_-copy-of-miljöbeslut.se-portal\BeslutRapportPMbetongprovOrSkolan250110_446250.pdf", "Öppna PDF")</f>
        <v/>
      </c>
    </row>
    <row r="1577">
      <c r="A1577" t="inlineStr">
        <is>
          <t>KRAV-AUTO-001576</t>
        </is>
      </c>
      <c r="B1577" t="inlineStr">
        <is>
          <t>ADMIN-INDEX-2026-02-27-00000000125C043F57453246863FE664CAFE6A3F0700950291EA24F0614FB6ACEDB12BF0E31D00000000010C0000950291EA24F0614FB6ACEDB12BF0E31D00002087AEE10000</t>
        </is>
      </c>
      <c r="C1577" t="inlineStr">
        <is>
          <t>cmm4yuoe901jhcuqwe3fw9ccq</t>
        </is>
      </c>
      <c r="D1577" t="inlineStr">
        <is>
          <t>http://localhost:8787/api/admin/requirements/documents/cmm4yuoe901jhcuqwe3fw9ccq/view</t>
        </is>
      </c>
      <c r="E1577">
        <f>HYPERLÄNK("http://localhost:8787/api/admin/requirements/documents/cmm4yuoe901jhcuqwe3fw9ccq/view";"Öppna PDF")</f>
        <v/>
      </c>
      <c r="F1577">
        <f>HYPERLINK("http://localhost:8787/api/admin/requirements/documents/cmm4yuoe901jhcuqwe3fw9ccq/view","Open PDF")</f>
        <v/>
      </c>
      <c r="G1577" t="inlineStr">
        <is>
          <t>cmm55w57p0004cuisfrtpqly8</t>
        </is>
      </c>
      <c r="H1577" t="inlineStr">
        <is>
          <t>Kompletteringskrav</t>
        </is>
      </c>
      <c r="I1577" t="inlineStr">
        <is>
          <t>LagringsvolymTid</t>
        </is>
      </c>
      <c r="J1577" t="inlineStr">
        <is>
          <t>Maxmangd</t>
        </is>
      </c>
      <c r="K1577" t="inlineStr">
        <is>
          <t>Den krossade betongen ska användas som fyllnadsmassor inom fastigheten på plats redovisad i Bilaga 2 -Område fyllning.</t>
        </is>
      </c>
      <c r="L1577" t="inlineStr">
        <is>
          <t>Den krossade betongen ska användas som fyllnadsmassor inom fastigheten på plats redovisad i Bilaga 2 -Område fyllning.</t>
        </is>
      </c>
      <c r="M1577" t="inlineStr">
        <is>
          <t>SKA</t>
        </is>
      </c>
      <c r="N1577" t="inlineStr"/>
      <c r="O1577" t="inlineStr"/>
      <c r="P1577" t="inlineStr"/>
      <c r="Q1577" t="inlineStr"/>
      <c r="R1577" t="inlineStr">
        <is>
          <t>Alltid</t>
        </is>
      </c>
      <c r="S1577" t="inlineStr"/>
      <c r="T1577" t="inlineStr">
        <is>
          <t>212000</t>
        </is>
      </c>
      <c r="U1577" t="inlineStr"/>
      <c r="V1577" t="inlineStr"/>
      <c r="W1577" t="inlineStr">
        <is>
          <t>Nej</t>
        </is>
      </c>
      <c r="X1577" t="inlineStr">
        <is>
          <t>Nej</t>
        </is>
      </c>
      <c r="Y1577" t="inlineStr">
        <is>
          <t>Nej</t>
        </is>
      </c>
      <c r="Z1577" t="inlineStr">
        <is>
          <t>Nej</t>
        </is>
      </c>
      <c r="AA1577" t="n">
        <v>4</v>
      </c>
      <c r="AB1577" t="inlineStr">
        <is>
          <t>Avfallsmangder och lagringstid</t>
        </is>
      </c>
      <c r="AC1577" t="inlineStr">
        <is>
          <t>Avfallsforteckning</t>
        </is>
      </c>
      <c r="AD1577" t="inlineStr">
        <is>
          <t>Nej</t>
        </is>
      </c>
      <c r="AE1577" t="inlineStr">
        <is>
          <t>Nej</t>
        </is>
      </c>
      <c r="AF1577" t="inlineStr">
        <is>
          <t>Ej behandlad</t>
        </is>
      </c>
      <c r="AG1577" t="inlineStr">
        <is>
          <t>AUTO_GENERERAD. Verifiera citat mot kallfil.</t>
        </is>
      </c>
      <c r="AH1577" t="inlineStr">
        <is>
          <t>MEDIUM</t>
        </is>
      </c>
      <c r="AI1577" t="inlineStr">
        <is>
          <t>AUTO</t>
        </is>
      </c>
      <c r="AJ1577" t="inlineStr">
        <is>
          <t>Nej</t>
        </is>
      </c>
      <c r="AK1577" t="inlineStr"/>
      <c r="AL1577" t="inlineStr"/>
      <c r="AM1577" t="inlineStr"/>
      <c r="AN1577" t="inlineStr"/>
      <c r="AO1577" t="inlineStr">
        <is>
          <t>cmm4yuoed01jkcuqwf4yc627n</t>
        </is>
      </c>
      <c r="AP1577" t="inlineStr">
        <is>
          <t>http://localhost:8787/api/admin/requirements/documents/cmm4yuoed01jkcuqwf4yc627n/view</t>
        </is>
      </c>
      <c r="AQ1577">
        <f>HYPERLÄNK("http://localhost:8787/api/admin/requirements/documents/cmm4yuoed01jkcuqwf4yc627n/view";"Öppna PDF")</f>
        <v/>
      </c>
      <c r="AR1577">
        <f>HYPERLINK("http://localhost:8787/api/admin/requirements/documents/cmm4yuoed01jkcuqwf4yc627n/view","Open PDF")</f>
        <v/>
      </c>
      <c r="AS1577" t="inlineStr">
        <is>
          <t>cmm55w57p0004cuisfrtpqly8</t>
        </is>
      </c>
      <c r="AT1577" t="inlineStr">
        <is>
          <t>cmm4xvu980000cuh4vj0usz09</t>
        </is>
      </c>
      <c r="AU1577" t="inlineStr"/>
      <c r="AV1577" t="inlineStr">
        <is>
          <t>Kommun</t>
        </is>
      </c>
      <c r="AW1577" t="inlineStr"/>
      <c r="AX1577" t="inlineStr">
        <is>
          <t>2025-01</t>
        </is>
      </c>
      <c r="AY1577" t="inlineStr">
        <is>
          <t>Beslut</t>
        </is>
      </c>
      <c r="AZ1577" t="inlineStr">
        <is>
          <t>2026-02-03</t>
        </is>
      </c>
      <c r="BA1577" t="inlineStr">
        <is>
          <t>BeslutRapportPMbetongprovOrSkolan250110_446250.pdf</t>
        </is>
      </c>
      <c r="BB1577" t="inlineStr">
        <is>
          <t>Återvinning av avfall i anläggningsändamål, MIL.2025.263</t>
        </is>
      </c>
      <c r="BC1577" t="inlineStr">
        <is>
          <t>AUTO</t>
        </is>
      </c>
      <c r="BD1577" t="inlineStr"/>
      <c r="BE1577" t="inlineStr"/>
      <c r="BF1577" t="inlineStr">
        <is>
          <t>AUTO_GENERERAD. Bekrafta metadata mot kallfil.</t>
        </is>
      </c>
      <c r="BG1577">
        <f>HYPERLINK("C:\Users\jimmy\Desktop\Examens arbete\Kod\Ny mapp\remix_-copy-of-miljöbeslut.se-portal\BeslutRapportPMbetongprovOrSkolan250110_446250.pdf", "Öppna PDF")</f>
        <v/>
      </c>
    </row>
    <row r="1578">
      <c r="A1578" t="inlineStr">
        <is>
          <t>KRAV-AUTO-001577</t>
        </is>
      </c>
      <c r="B1578" t="inlineStr">
        <is>
          <t>ADMIN-INDEX-2026-02-27-00000000125C043F57453246863FE664CAFE6A3F0700950291EA24F0614FB6ACEDB12BF0E31D00000000010C0000950291EA24F0614FB6ACEDB12BF0E31D00002087AEE10000</t>
        </is>
      </c>
      <c r="C1578" t="inlineStr">
        <is>
          <t>cmm4yuoe901jhcuqwe3fw9ccq</t>
        </is>
      </c>
      <c r="D1578" t="inlineStr">
        <is>
          <t>http://localhost:8787/api/admin/requirements/documents/cmm4yuoe901jhcuqwe3fw9ccq/view</t>
        </is>
      </c>
      <c r="E1578">
        <f>HYPERLÄNK("http://localhost:8787/api/admin/requirements/documents/cmm4yuoe901jhcuqwe3fw9ccq/view";"Öppna PDF")</f>
        <v/>
      </c>
      <c r="F1578">
        <f>HYPERLINK("http://localhost:8787/api/admin/requirements/documents/cmm4yuoe901jhcuqwe3fw9ccq/view","Open PDF")</f>
        <v/>
      </c>
      <c r="G1578" t="inlineStr">
        <is>
          <t>cmm55w57p0004cuisfrtpqly8</t>
        </is>
      </c>
      <c r="H1578" t="inlineStr">
        <is>
          <t>Kompletteringskrav</t>
        </is>
      </c>
      <c r="I1578" t="inlineStr">
        <is>
          <t>LagringsvolymTid</t>
        </is>
      </c>
      <c r="J1578" t="inlineStr">
        <is>
          <t>Maxmangd</t>
        </is>
      </c>
      <c r="K1578" t="inlineStr">
        <is>
          <t>Miljöenheten bedömer det nödvändigt med ett föreläggande om skyddsåtgärder och försiktighetsmått och en tydlig anvisning från verksamheten var återvunnen betongkross placeras.</t>
        </is>
      </c>
      <c r="L1578" t="inlineStr">
        <is>
          <t>Miljöenheten bedömer det nödvändigt med ett föreläggande om skyddsåtgärder och försiktighetsmått och en tydlig anvisning från verksamheten var återvunnen betongkross placeras.</t>
        </is>
      </c>
      <c r="M1578" t="inlineStr">
        <is>
          <t>INFO</t>
        </is>
      </c>
      <c r="N1578" t="inlineStr"/>
      <c r="O1578" t="inlineStr"/>
      <c r="P1578" t="inlineStr"/>
      <c r="Q1578" t="inlineStr">
        <is>
          <t>Forelaggande vid brist</t>
        </is>
      </c>
      <c r="R1578" t="inlineStr">
        <is>
          <t>Alltid</t>
        </is>
      </c>
      <c r="S1578" t="inlineStr"/>
      <c r="T1578" t="inlineStr">
        <is>
          <t>212000</t>
        </is>
      </c>
      <c r="U1578" t="inlineStr"/>
      <c r="V1578" t="inlineStr"/>
      <c r="W1578" t="inlineStr">
        <is>
          <t>Nej</t>
        </is>
      </c>
      <c r="X1578" t="inlineStr">
        <is>
          <t>Nej</t>
        </is>
      </c>
      <c r="Y1578" t="inlineStr">
        <is>
          <t>Nej</t>
        </is>
      </c>
      <c r="Z1578" t="inlineStr">
        <is>
          <t>Nej</t>
        </is>
      </c>
      <c r="AA1578" t="n">
        <v>4</v>
      </c>
      <c r="AB1578" t="inlineStr">
        <is>
          <t>Avfallsmangder och lagringstid</t>
        </is>
      </c>
      <c r="AC1578" t="inlineStr">
        <is>
          <t>Avfallsforteckning</t>
        </is>
      </c>
      <c r="AD1578" t="inlineStr">
        <is>
          <t>Nej</t>
        </is>
      </c>
      <c r="AE1578" t="inlineStr">
        <is>
          <t>Nej</t>
        </is>
      </c>
      <c r="AF1578" t="inlineStr">
        <is>
          <t>Ej behandlad</t>
        </is>
      </c>
      <c r="AG1578" t="inlineStr">
        <is>
          <t>AUTO_GENERERAD. Verifiera citat mot kallfil.</t>
        </is>
      </c>
      <c r="AH1578" t="inlineStr">
        <is>
          <t>MEDIUM</t>
        </is>
      </c>
      <c r="AI1578" t="inlineStr">
        <is>
          <t>AUTO</t>
        </is>
      </c>
      <c r="AJ1578" t="inlineStr">
        <is>
          <t>Nej</t>
        </is>
      </c>
      <c r="AK1578" t="inlineStr"/>
      <c r="AL1578" t="inlineStr"/>
      <c r="AM1578" t="inlineStr"/>
      <c r="AN1578" t="inlineStr"/>
      <c r="AO1578" t="inlineStr">
        <is>
          <t>cmm4yuoed01jkcuqwf4yc627n</t>
        </is>
      </c>
      <c r="AP1578" t="inlineStr">
        <is>
          <t>http://localhost:8787/api/admin/requirements/documents/cmm4yuoed01jkcuqwf4yc627n/view</t>
        </is>
      </c>
      <c r="AQ1578">
        <f>HYPERLÄNK("http://localhost:8787/api/admin/requirements/documents/cmm4yuoed01jkcuqwf4yc627n/view";"Öppna PDF")</f>
        <v/>
      </c>
      <c r="AR1578">
        <f>HYPERLINK("http://localhost:8787/api/admin/requirements/documents/cmm4yuoed01jkcuqwf4yc627n/view","Open PDF")</f>
        <v/>
      </c>
      <c r="AS1578" t="inlineStr">
        <is>
          <t>cmm55w57p0004cuisfrtpqly8</t>
        </is>
      </c>
      <c r="AT1578" t="inlineStr">
        <is>
          <t>cmm4xvu980000cuh4vj0usz09</t>
        </is>
      </c>
      <c r="AU1578" t="inlineStr"/>
      <c r="AV1578" t="inlineStr">
        <is>
          <t>Kommun</t>
        </is>
      </c>
      <c r="AW1578" t="inlineStr"/>
      <c r="AX1578" t="inlineStr">
        <is>
          <t>2025-01</t>
        </is>
      </c>
      <c r="AY1578" t="inlineStr">
        <is>
          <t>Beslut</t>
        </is>
      </c>
      <c r="AZ1578" t="inlineStr">
        <is>
          <t>2026-02-03</t>
        </is>
      </c>
      <c r="BA1578" t="inlineStr">
        <is>
          <t>BeslutRapportPMbetongprovOrSkolan250110_446250.pdf</t>
        </is>
      </c>
      <c r="BB1578" t="inlineStr">
        <is>
          <t>Återvinning av avfall i anläggningsändamål, MIL.2025.263</t>
        </is>
      </c>
      <c r="BC1578" t="inlineStr">
        <is>
          <t>AUTO</t>
        </is>
      </c>
      <c r="BD1578" t="inlineStr"/>
      <c r="BE1578" t="inlineStr"/>
      <c r="BF1578" t="inlineStr">
        <is>
          <t>AUTO_GENERERAD. Bekrafta metadata mot kallfil.</t>
        </is>
      </c>
      <c r="BG1578">
        <f>HYPERLINK("C:\Users\jimmy\Desktop\Examens arbete\Kod\Ny mapp\remix_-copy-of-miljöbeslut.se-portal\BeslutRapportPMbetongprovOrSkolan250110_446250.pdf", "Öppna PDF")</f>
        <v/>
      </c>
    </row>
    <row r="1579">
      <c r="A1579" t="inlineStr">
        <is>
          <t>KRAV-AUTO-001578</t>
        </is>
      </c>
      <c r="B1579" t="inlineStr">
        <is>
          <t>ADMIN-INDEX-2026-02-27-00000000125C043F57453246863FE664CAFE6A3F0700950291EA24F0614FB6ACEDB12BF0E31D00000000010C0000950291EA24F0614FB6ACEDB12BF0E31D00002087AEE10000</t>
        </is>
      </c>
      <c r="C1579" t="inlineStr">
        <is>
          <t>cmm4yuoe401jecuqwc8omznr3</t>
        </is>
      </c>
      <c r="D1579" t="inlineStr">
        <is>
          <t>http://localhost:8787/api/admin/requirements/documents/cmm4yuoe401jecuqwc8omznr3/view</t>
        </is>
      </c>
      <c r="E1579">
        <f>HYPERLÄNK("http://localhost:8787/api/admin/requirements/documents/cmm4yuoe401jecuqwc8omznr3/view";"Öppna PDF")</f>
        <v/>
      </c>
      <c r="F1579">
        <f>HYPERLINK("http://localhost:8787/api/admin/requirements/documents/cmm4yuoe401jecuqwc8omznr3/view","Open PDF")</f>
        <v/>
      </c>
      <c r="G1579" t="inlineStr">
        <is>
          <t>cmm55w57p0004cuisfrtpqly8</t>
        </is>
      </c>
      <c r="H1579" t="inlineStr">
        <is>
          <t>Informationskrav</t>
        </is>
      </c>
      <c r="I1579" t="inlineStr">
        <is>
          <t>DagvattenLakvatten</t>
        </is>
      </c>
      <c r="J1579" t="inlineStr">
        <is>
          <t>Uppsamling</t>
        </is>
      </c>
      <c r="K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79" t="inlineStr">
        <is>
          <t>SKA</t>
        </is>
      </c>
      <c r="N1579" t="inlineStr"/>
      <c r="O1579" t="inlineStr"/>
      <c r="P1579" t="inlineStr"/>
      <c r="Q1579" t="inlineStr"/>
      <c r="R1579" t="inlineStr">
        <is>
          <t>Vid nederbord och avrinning</t>
        </is>
      </c>
      <c r="S1579" t="inlineStr"/>
      <c r="T1579" t="inlineStr"/>
      <c r="U1579" t="inlineStr"/>
      <c r="V1579" t="inlineStr"/>
      <c r="W1579" t="inlineStr">
        <is>
          <t>Nej</t>
        </is>
      </c>
      <c r="X1579" t="inlineStr">
        <is>
          <t>Ja</t>
        </is>
      </c>
      <c r="Y1579" t="inlineStr">
        <is>
          <t>Ja</t>
        </is>
      </c>
      <c r="Z1579" t="inlineStr">
        <is>
          <t>Nej</t>
        </is>
      </c>
      <c r="AA1579" t="n">
        <v>6</v>
      </c>
      <c r="AB1579" t="inlineStr">
        <is>
          <t>Lakvattenhantering</t>
        </is>
      </c>
      <c r="AC1579" t="inlineStr">
        <is>
          <t>Flodesschema dagvatten-lakvatten</t>
        </is>
      </c>
      <c r="AD1579" t="inlineStr">
        <is>
          <t>Nej</t>
        </is>
      </c>
      <c r="AE1579" t="inlineStr">
        <is>
          <t>Nej</t>
        </is>
      </c>
      <c r="AF1579" t="inlineStr">
        <is>
          <t>Ej behandlad</t>
        </is>
      </c>
      <c r="AG1579" t="inlineStr">
        <is>
          <t>AUTO_GENERERAD. Verifiera citat mot kallfil.</t>
        </is>
      </c>
      <c r="AH1579" t="inlineStr">
        <is>
          <t>MEDIUM</t>
        </is>
      </c>
      <c r="AI1579" t="inlineStr">
        <is>
          <t>AUTO</t>
        </is>
      </c>
      <c r="AJ1579" t="inlineStr">
        <is>
          <t>Nej</t>
        </is>
      </c>
      <c r="AK1579" t="inlineStr"/>
      <c r="AL1579" t="inlineStr"/>
      <c r="AM1579" t="inlineStr"/>
      <c r="AN1579" t="inlineStr"/>
      <c r="AO1579" t="inlineStr">
        <is>
          <t>cmm4yuoed01jkcuqwf4yc627n</t>
        </is>
      </c>
      <c r="AP1579" t="inlineStr">
        <is>
          <t>http://localhost:8787/api/admin/requirements/documents/cmm4yuoed01jkcuqwf4yc627n/view</t>
        </is>
      </c>
      <c r="AQ1579">
        <f>HYPERLÄNK("http://localhost:8787/api/admin/requirements/documents/cmm4yuoed01jkcuqwf4yc627n/view";"Öppna PDF")</f>
        <v/>
      </c>
      <c r="AR1579">
        <f>HYPERLINK("http://localhost:8787/api/admin/requirements/documents/cmm4yuoed01jkcuqwf4yc627n/view","Open PDF")</f>
        <v/>
      </c>
      <c r="AS1579" t="inlineStr">
        <is>
          <t>cmm55w57p0004cuisfrtpqly8</t>
        </is>
      </c>
      <c r="AT1579" t="inlineStr">
        <is>
          <t>cmm4xvu980000cuh4vj0usz09</t>
        </is>
      </c>
      <c r="AU1579" t="inlineStr"/>
      <c r="AV1579" t="inlineStr">
        <is>
          <t>Kommun</t>
        </is>
      </c>
      <c r="AW1579" t="inlineStr"/>
      <c r="AX1579" t="inlineStr">
        <is>
          <t>2025-01</t>
        </is>
      </c>
      <c r="AY1579" t="inlineStr">
        <is>
          <t>Beslut</t>
        </is>
      </c>
      <c r="AZ1579" t="inlineStr">
        <is>
          <t>2026-02-03</t>
        </is>
      </c>
      <c r="BA1579" t="inlineStr">
        <is>
          <t>BeslutRapportPMbetongprovOrSkolan250110_446250.pdf</t>
        </is>
      </c>
      <c r="BB1579" t="inlineStr">
        <is>
          <t>Återvinning av avfall i anläggningsändamål, MIL.2025.263</t>
        </is>
      </c>
      <c r="BC1579" t="inlineStr">
        <is>
          <t>AUTO</t>
        </is>
      </c>
      <c r="BD1579" t="inlineStr"/>
      <c r="BE1579" t="inlineStr"/>
      <c r="BF1579" t="inlineStr">
        <is>
          <t>AUTO_GENERERAD. Bekrafta metadata mot kallfil.</t>
        </is>
      </c>
      <c r="BG1579">
        <f>HYPERLINK("C:\Users\jimmy\Desktop\Examens arbete\Kod\Ny mapp\remix_-copy-of-miljöbeslut.se-portal\BeslutRapportPMbetongprovOrSkolan250110_446250.pdf", "Öppna PDF")</f>
        <v/>
      </c>
    </row>
    <row r="1580">
      <c r="A1580" t="inlineStr">
        <is>
          <t>KRAV-AUTO-001579</t>
        </is>
      </c>
      <c r="B1580" t="inlineStr">
        <is>
          <t>ADMIN-INDEX-2026-02-27-00000000125C043F57453246863FE664CAFE6A3F0700950291EA24F0614FB6ACEDB12BF0E31D00000000010C0000950291EA24F0614FB6ACEDB12BF0E31D00002087AEE10000</t>
        </is>
      </c>
      <c r="C1580" t="inlineStr">
        <is>
          <t>cmm4yuoe401jecuqwc8omznr3</t>
        </is>
      </c>
      <c r="D1580" t="inlineStr">
        <is>
          <t>http://localhost:8787/api/admin/requirements/documents/cmm4yuoe401jecuqwc8omznr3/view</t>
        </is>
      </c>
      <c r="E1580">
        <f>HYPERLÄNK("http://localhost:8787/api/admin/requirements/documents/cmm4yuoe401jecuqwc8omznr3/view";"Öppna PDF")</f>
        <v/>
      </c>
      <c r="F1580">
        <f>HYPERLINK("http://localhost:8787/api/admin/requirements/documents/cmm4yuoe401jecuqwc8omznr3/view","Open PDF")</f>
        <v/>
      </c>
      <c r="G1580" t="inlineStr">
        <is>
          <t>cmm55w57p0004cuisfrtpqly8</t>
        </is>
      </c>
      <c r="H1580" t="inlineStr">
        <is>
          <t>Informationskrav</t>
        </is>
      </c>
      <c r="I1580" t="inlineStr">
        <is>
          <t>MiljopaverkanForsiktighet</t>
        </is>
      </c>
      <c r="J1580" t="inlineStr">
        <is>
          <t>Skyddsatgarder</t>
        </is>
      </c>
      <c r="K1580" t="inlineStr">
        <is>
          <t>Anmälare (den som ska återvinna avfallet) Namn Utdelningsadress Faktureringsadress Referens Org.nr/personnr Kontaktperson E-postadress Telefon 3.</t>
        </is>
      </c>
      <c r="L1580" t="inlineStr">
        <is>
          <t>Anmälare (den som ska återvinna avfallet) Namn Utdelningsadress Faktureringsadress Referens Org.nr/personnr Kontaktperson E-postadress Telefon 3.</t>
        </is>
      </c>
      <c r="M1580" t="inlineStr">
        <is>
          <t>SKA</t>
        </is>
      </c>
      <c r="N1580" t="inlineStr"/>
      <c r="O1580" t="inlineStr"/>
      <c r="P1580" t="inlineStr"/>
      <c r="Q1580" t="inlineStr"/>
      <c r="R1580" t="inlineStr">
        <is>
          <t>Alltid</t>
        </is>
      </c>
      <c r="S1580" t="inlineStr"/>
      <c r="T1580" t="inlineStr"/>
      <c r="U1580" t="inlineStr"/>
      <c r="V1580" t="inlineStr"/>
      <c r="W1580" t="inlineStr">
        <is>
          <t>Nej</t>
        </is>
      </c>
      <c r="X1580" t="inlineStr">
        <is>
          <t>Nej</t>
        </is>
      </c>
      <c r="Y1580" t="inlineStr">
        <is>
          <t>Nej</t>
        </is>
      </c>
      <c r="Z1580" t="inlineStr">
        <is>
          <t>Nej</t>
        </is>
      </c>
      <c r="AA1580" t="n">
        <v>10</v>
      </c>
      <c r="AB1580" t="inlineStr">
        <is>
          <t>Miljopaverkan och forsiktighetsmatt</t>
        </is>
      </c>
      <c r="AC1580" t="inlineStr">
        <is>
          <t>Miljo-PM</t>
        </is>
      </c>
      <c r="AD1580" t="inlineStr">
        <is>
          <t>Nej</t>
        </is>
      </c>
      <c r="AE1580" t="inlineStr">
        <is>
          <t>Nej</t>
        </is>
      </c>
      <c r="AF1580" t="inlineStr">
        <is>
          <t>Ej behandlad</t>
        </is>
      </c>
      <c r="AG1580" t="inlineStr">
        <is>
          <t>AUTO_GENERERAD. Verifiera citat mot kallfil.</t>
        </is>
      </c>
      <c r="AH1580" t="inlineStr">
        <is>
          <t>MEDIUM</t>
        </is>
      </c>
      <c r="AI1580" t="inlineStr">
        <is>
          <t>AUTO</t>
        </is>
      </c>
      <c r="AJ1580" t="inlineStr">
        <is>
          <t>Nej</t>
        </is>
      </c>
      <c r="AK1580" t="inlineStr"/>
      <c r="AL1580" t="inlineStr"/>
      <c r="AM1580" t="inlineStr"/>
      <c r="AN1580" t="inlineStr"/>
      <c r="AO1580" t="inlineStr">
        <is>
          <t>cmm4yuoed01jkcuqwf4yc627n</t>
        </is>
      </c>
      <c r="AP1580" t="inlineStr">
        <is>
          <t>http://localhost:8787/api/admin/requirements/documents/cmm4yuoed01jkcuqwf4yc627n/view</t>
        </is>
      </c>
      <c r="AQ1580">
        <f>HYPERLÄNK("http://localhost:8787/api/admin/requirements/documents/cmm4yuoed01jkcuqwf4yc627n/view";"Öppna PDF")</f>
        <v/>
      </c>
      <c r="AR1580">
        <f>HYPERLINK("http://localhost:8787/api/admin/requirements/documents/cmm4yuoed01jkcuqwf4yc627n/view","Open PDF")</f>
        <v/>
      </c>
      <c r="AS1580" t="inlineStr">
        <is>
          <t>cmm55w57p0004cuisfrtpqly8</t>
        </is>
      </c>
      <c r="AT1580" t="inlineStr">
        <is>
          <t>cmm4xvu980000cuh4vj0usz09</t>
        </is>
      </c>
      <c r="AU1580" t="inlineStr"/>
      <c r="AV1580" t="inlineStr">
        <is>
          <t>Kommun</t>
        </is>
      </c>
      <c r="AW1580" t="inlineStr"/>
      <c r="AX1580" t="inlineStr">
        <is>
          <t>2025-01</t>
        </is>
      </c>
      <c r="AY1580" t="inlineStr">
        <is>
          <t>Beslut</t>
        </is>
      </c>
      <c r="AZ1580" t="inlineStr">
        <is>
          <t>2026-02-03</t>
        </is>
      </c>
      <c r="BA1580" t="inlineStr">
        <is>
          <t>BeslutRapportPMbetongprovOrSkolan250110_446250.pdf</t>
        </is>
      </c>
      <c r="BB1580" t="inlineStr">
        <is>
          <t>Återvinning av avfall i anläggningsändamål, MIL.2025.263</t>
        </is>
      </c>
      <c r="BC1580" t="inlineStr">
        <is>
          <t>AUTO</t>
        </is>
      </c>
      <c r="BD1580" t="inlineStr"/>
      <c r="BE1580" t="inlineStr"/>
      <c r="BF1580" t="inlineStr">
        <is>
          <t>AUTO_GENERERAD. Bekrafta metadata mot kallfil.</t>
        </is>
      </c>
      <c r="BG1580">
        <f>HYPERLINK("C:\Users\jimmy\Desktop\Examens arbete\Kod\Ny mapp\remix_-copy-of-miljöbeslut.se-portal\BeslutRapportPMbetongprovOrSkolan250110_446250.pdf", "Öppna PDF")</f>
        <v/>
      </c>
    </row>
    <row r="1581">
      <c r="A1581" t="inlineStr">
        <is>
          <t>KRAV-AUTO-001580</t>
        </is>
      </c>
      <c r="B1581" t="inlineStr">
        <is>
          <t>ADMIN-INDEX-2026-02-27-00000000125C043F57453246863FE664CAFE6A3F0700950291EA24F0614FB6ACEDB12BF0E31D00000000010C0000950291EA24F0614FB6ACEDB12BF0E31D00002087AEE10000</t>
        </is>
      </c>
      <c r="C1581" t="inlineStr">
        <is>
          <t>cmm4yuoe401jecuqwc8omznr3</t>
        </is>
      </c>
      <c r="D1581" t="inlineStr">
        <is>
          <t>http://localhost:8787/api/admin/requirements/documents/cmm4yuoe401jecuqwc8omznr3/view</t>
        </is>
      </c>
      <c r="E1581">
        <f>HYPERLÄNK("http://localhost:8787/api/admin/requirements/documents/cmm4yuoe401jecuqwc8omznr3/view";"Öppna PDF")</f>
        <v/>
      </c>
      <c r="F1581">
        <f>HYPERLINK("http://localhost:8787/api/admin/requirements/documents/cmm4yuoe401jecuqwc8omznr3/view","Open PDF")</f>
        <v/>
      </c>
      <c r="G1581" t="inlineStr">
        <is>
          <t>cmm55w57p0004cuisfrtpqly8</t>
        </is>
      </c>
      <c r="H1581" t="inlineStr">
        <is>
          <t>Informationskrav</t>
        </is>
      </c>
      <c r="I1581" t="inlineStr">
        <is>
          <t>LokaliseringPlats</t>
        </is>
      </c>
      <c r="J1581" t="inlineStr">
        <is>
          <t>Skyddsobjekt</t>
        </is>
      </c>
      <c r="K1581" t="inlineStr">
        <is>
          <t>Fastighet där avfallet ska återvinnas Fastighetsbeteckning Fastighetens adress (Visa på karta var fastigheten ligger) Fastighetsägare Org.nr/personnr Kontaktperson Telefon Ägare av ev.</t>
        </is>
      </c>
      <c r="L1581" t="inlineStr">
        <is>
          <t>Fastighet där avfallet ska återvinnas Fastighetsbeteckning Fastighetens adress (Visa på karta var fastigheten ligger) Fastighetsägare Org.nr/personnr Kontaktperson Telefon Ägare av ev.</t>
        </is>
      </c>
      <c r="M1581" t="inlineStr">
        <is>
          <t>SKA</t>
        </is>
      </c>
      <c r="N1581" t="inlineStr"/>
      <c r="O1581" t="inlineStr"/>
      <c r="P1581" t="inlineStr"/>
      <c r="Q1581" t="inlineStr"/>
      <c r="R1581" t="inlineStr">
        <is>
          <t>Fore beslut</t>
        </is>
      </c>
      <c r="S1581" t="inlineStr"/>
      <c r="T1581" t="inlineStr"/>
      <c r="U1581" t="inlineStr"/>
      <c r="V1581" t="inlineStr"/>
      <c r="W1581" t="inlineStr">
        <is>
          <t>Nej</t>
        </is>
      </c>
      <c r="X1581" t="inlineStr">
        <is>
          <t>Nej</t>
        </is>
      </c>
      <c r="Y1581" t="inlineStr">
        <is>
          <t>Nej</t>
        </is>
      </c>
      <c r="Z1581" t="inlineStr">
        <is>
          <t>Nej</t>
        </is>
      </c>
      <c r="AA1581" t="n">
        <v>3</v>
      </c>
      <c r="AB1581" t="inlineStr">
        <is>
          <t>Platsforutsattningar</t>
        </is>
      </c>
      <c r="AC1581" t="inlineStr">
        <is>
          <t>Situationsplan</t>
        </is>
      </c>
      <c r="AD1581" t="inlineStr">
        <is>
          <t>Nej</t>
        </is>
      </c>
      <c r="AE1581" t="inlineStr">
        <is>
          <t>Nej</t>
        </is>
      </c>
      <c r="AF1581" t="inlineStr">
        <is>
          <t>Ej behandlad</t>
        </is>
      </c>
      <c r="AG1581" t="inlineStr">
        <is>
          <t>AUTO_GENERERAD. Verifiera citat mot kallfil.</t>
        </is>
      </c>
      <c r="AH1581" t="inlineStr">
        <is>
          <t>MEDIUM</t>
        </is>
      </c>
      <c r="AI1581" t="inlineStr">
        <is>
          <t>AUTO</t>
        </is>
      </c>
      <c r="AJ1581" t="inlineStr">
        <is>
          <t>Nej</t>
        </is>
      </c>
      <c r="AK1581" t="inlineStr"/>
      <c r="AL1581" t="inlineStr"/>
      <c r="AM1581" t="inlineStr"/>
      <c r="AN1581" t="inlineStr"/>
      <c r="AO1581" t="inlineStr">
        <is>
          <t>cmm4yuoed01jkcuqwf4yc627n</t>
        </is>
      </c>
      <c r="AP1581" t="inlineStr">
        <is>
          <t>http://localhost:8787/api/admin/requirements/documents/cmm4yuoed01jkcuqwf4yc627n/view</t>
        </is>
      </c>
      <c r="AQ1581">
        <f>HYPERLÄNK("http://localhost:8787/api/admin/requirements/documents/cmm4yuoed01jkcuqwf4yc627n/view";"Öppna PDF")</f>
        <v/>
      </c>
      <c r="AR1581">
        <f>HYPERLINK("http://localhost:8787/api/admin/requirements/documents/cmm4yuoed01jkcuqwf4yc627n/view","Open PDF")</f>
        <v/>
      </c>
      <c r="AS1581" t="inlineStr">
        <is>
          <t>cmm55w57p0004cuisfrtpqly8</t>
        </is>
      </c>
      <c r="AT1581" t="inlineStr">
        <is>
          <t>cmm4xvu980000cuh4vj0usz09</t>
        </is>
      </c>
      <c r="AU1581" t="inlineStr"/>
      <c r="AV1581" t="inlineStr">
        <is>
          <t>Kommun</t>
        </is>
      </c>
      <c r="AW1581" t="inlineStr"/>
      <c r="AX1581" t="inlineStr">
        <is>
          <t>2025-01</t>
        </is>
      </c>
      <c r="AY1581" t="inlineStr">
        <is>
          <t>Beslut</t>
        </is>
      </c>
      <c r="AZ1581" t="inlineStr">
        <is>
          <t>2026-02-03</t>
        </is>
      </c>
      <c r="BA1581" t="inlineStr">
        <is>
          <t>BeslutRapportPMbetongprovOrSkolan250110_446250.pdf</t>
        </is>
      </c>
      <c r="BB1581" t="inlineStr">
        <is>
          <t>Återvinning av avfall i anläggningsändamål, MIL.2025.263</t>
        </is>
      </c>
      <c r="BC1581" t="inlineStr">
        <is>
          <t>AUTO</t>
        </is>
      </c>
      <c r="BD1581" t="inlineStr"/>
      <c r="BE1581" t="inlineStr"/>
      <c r="BF1581" t="inlineStr">
        <is>
          <t>AUTO_GENERERAD. Bekrafta metadata mot kallfil.</t>
        </is>
      </c>
      <c r="BG1581">
        <f>HYPERLINK("C:\Users\jimmy\Desktop\Examens arbete\Kod\Ny mapp\remix_-copy-of-miljöbeslut.se-portal\BeslutRapportPMbetongprovOrSkolan250110_446250.pdf", "Öppna PDF")</f>
        <v/>
      </c>
    </row>
    <row r="1582">
      <c r="A1582" t="inlineStr">
        <is>
          <t>KRAV-AUTO-001581</t>
        </is>
      </c>
      <c r="B1582" t="inlineStr">
        <is>
          <t>ADMIN-INDEX-2026-02-27-00000000125C043F57453246863FE664CAFE6A3F0700950291EA24F0614FB6ACEDB12BF0E31D00000000010C0000950291EA24F0614FB6ACEDB12BF0E31D00002087AEE20000</t>
        </is>
      </c>
      <c r="C1582" t="inlineStr">
        <is>
          <t>cmm4yuodt01j5cuqwh07bezpo</t>
        </is>
      </c>
      <c r="D1582" t="inlineStr">
        <is>
          <t>http://localhost:8787/api/admin/requirements/documents/cmm4yuodt01j5cuqwh07bezpo/view</t>
        </is>
      </c>
      <c r="E1582">
        <f>HYPERLÄNK("http://localhost:8787/api/admin/requirements/documents/cmm4yuodt01j5cuqwh07bezpo/view";"Öppna PDF")</f>
        <v/>
      </c>
      <c r="F1582">
        <f>HYPERLINK("http://localhost:8787/api/admin/requirements/documents/cmm4yuodt01j5cuqwh07bezpo/view","Open PDF")</f>
        <v/>
      </c>
      <c r="G1582" t="inlineStr">
        <is>
          <t>cmm55w57p0004cuisfrtpqly8</t>
        </is>
      </c>
      <c r="H1582" t="inlineStr">
        <is>
          <t>Beslutsvillkor</t>
        </is>
      </c>
      <c r="I1582" t="inlineStr">
        <is>
          <t>DagvattenLakvatten</t>
        </is>
      </c>
      <c r="J1582" t="inlineStr">
        <is>
          <t>Uppsamling</t>
        </is>
      </c>
      <c r="K1582" t="inlineStr">
        <is>
          <t>Uppdat änser för uppfyllda krite Order Prov Riktlinjer/gränsvärden Alifatiska föreningar Aromatiska föreningar Utvärdering av uttagna borrkärnor betongbjälklag ÖR Skolan mot KM och MKM enligt Naturvårdsverkets rapport 5976, 2009 rev.</t>
        </is>
      </c>
      <c r="L1582" t="inlineStr">
        <is>
          <t>Uppdat änser för uppfyllda krite Order Prov Riktlinjer/gränsvärden Alifatiska föreningar Aromatiska föreningar Utvärdering av uttagna borrkärnor betongbjälklag ÖR Skolan mot KM och MKM enligt Naturvårdsverkets rapport 5976, 2009 rev.</t>
        </is>
      </c>
      <c r="M1582" t="inlineStr">
        <is>
          <t>SKA</t>
        </is>
      </c>
      <c r="N1582" t="inlineStr">
        <is>
          <t>Naturvardsverket</t>
        </is>
      </c>
      <c r="O1582" t="inlineStr"/>
      <c r="P1582" t="inlineStr"/>
      <c r="Q1582" t="inlineStr"/>
      <c r="R1582" t="inlineStr">
        <is>
          <t>Vid nederbord och avrinning</t>
        </is>
      </c>
      <c r="S1582" t="inlineStr"/>
      <c r="T1582" t="inlineStr">
        <is>
          <t>250110</t>
        </is>
      </c>
      <c r="U1582" t="inlineStr"/>
      <c r="V1582" t="inlineStr"/>
      <c r="W1582" t="inlineStr">
        <is>
          <t>Nej</t>
        </is>
      </c>
      <c r="X1582" t="inlineStr">
        <is>
          <t>Ja</t>
        </is>
      </c>
      <c r="Y1582" t="inlineStr">
        <is>
          <t>Ja</t>
        </is>
      </c>
      <c r="Z1582" t="inlineStr">
        <is>
          <t>Nej</t>
        </is>
      </c>
      <c r="AA1582" t="n">
        <v>6</v>
      </c>
      <c r="AB1582" t="inlineStr">
        <is>
          <t>Lakvattenhantering</t>
        </is>
      </c>
      <c r="AC1582" t="inlineStr">
        <is>
          <t>Flodesschema dagvatten-lakvatten</t>
        </is>
      </c>
      <c r="AD1582" t="inlineStr">
        <is>
          <t>Nej</t>
        </is>
      </c>
      <c r="AE1582" t="inlineStr">
        <is>
          <t>Nej</t>
        </is>
      </c>
      <c r="AF1582" t="inlineStr">
        <is>
          <t>Ej behandlad</t>
        </is>
      </c>
      <c r="AG1582" t="inlineStr">
        <is>
          <t>AUTO_GENERERAD. Verifiera citat mot kallfil.</t>
        </is>
      </c>
      <c r="AH1582" t="inlineStr">
        <is>
          <t>MEDIUM</t>
        </is>
      </c>
      <c r="AI1582" t="inlineStr">
        <is>
          <t>AUTO</t>
        </is>
      </c>
      <c r="AJ1582" t="inlineStr">
        <is>
          <t>Nej</t>
        </is>
      </c>
      <c r="AK1582" t="inlineStr"/>
      <c r="AL1582" t="inlineStr"/>
      <c r="AM1582" t="inlineStr"/>
      <c r="AN1582" t="inlineStr"/>
      <c r="AO1582" t="inlineStr">
        <is>
          <t>cmm4yuodt01j5cuqwh07bezpo</t>
        </is>
      </c>
      <c r="AP1582" t="inlineStr">
        <is>
          <t>http://localhost:8787/api/admin/requirements/documents/cmm4yuodt01j5cuqwh07bezpo/view</t>
        </is>
      </c>
      <c r="AQ1582">
        <f>HYPERLÄNK("http://localhost:8787/api/admin/requirements/documents/cmm4yuodt01j5cuqwh07bezpo/view";"Öppna PDF")</f>
        <v/>
      </c>
      <c r="AR1582">
        <f>HYPERLINK("http://localhost:8787/api/admin/requirements/documents/cmm4yuodt01j5cuqwh07bezpo/view","Open PDF")</f>
        <v/>
      </c>
      <c r="AS1582" t="inlineStr">
        <is>
          <t>cmm55w57p0004cuisfrtpqly8</t>
        </is>
      </c>
      <c r="AT1582" t="inlineStr">
        <is>
          <t>cmm4xvu980000cuh4vj0usz09</t>
        </is>
      </c>
      <c r="AU1582" t="inlineStr"/>
      <c r="AV1582" t="inlineStr">
        <is>
          <t>Kommun</t>
        </is>
      </c>
      <c r="AW1582" t="inlineStr"/>
      <c r="AX1582" t="inlineStr">
        <is>
          <t>2025-01</t>
        </is>
      </c>
      <c r="AY1582" t="inlineStr">
        <is>
          <t>Beslut</t>
        </is>
      </c>
      <c r="AZ1582" t="inlineStr">
        <is>
          <t>2026-02-03</t>
        </is>
      </c>
      <c r="BA1582" t="inlineStr">
        <is>
          <t>BeslutRapportPMbetongprovOrSkolan250110_446250.pdf</t>
        </is>
      </c>
      <c r="BB1582" t="inlineStr">
        <is>
          <t>Återvinning av avfall i anläggningsändamål, MIL.2025.263</t>
        </is>
      </c>
      <c r="BC1582" t="inlineStr">
        <is>
          <t>AUTO</t>
        </is>
      </c>
      <c r="BD1582" t="inlineStr"/>
      <c r="BE1582" t="inlineStr"/>
      <c r="BF1582" t="inlineStr">
        <is>
          <t>AUTO_GENERERAD. Bekrafta metadata mot kallfil.</t>
        </is>
      </c>
      <c r="BG1582">
        <f>HYPERLINK("C:\Users\jimmy\Desktop\Examens arbete\Kod\Ny mapp\remix_-copy-of-miljöbeslut.se-portal\BeslutRapportPMbetongprovOrSkolan250110_446250.pdf", "Öppna PDF")</f>
        <v/>
      </c>
    </row>
    <row r="1583">
      <c r="A1583" t="inlineStr">
        <is>
          <t>KRAV-AUTO-001582</t>
        </is>
      </c>
      <c r="B1583" t="inlineStr">
        <is>
          <t>ADMIN-INDEX-2026-02-27-00000000125C043F57453246863FE664CAFE6A3F0700950291EA24F0614FB6ACEDB12BF0E31D00000000010C0000950291EA24F0614FB6ACEDB12BF0E31D00002087AEE20000</t>
        </is>
      </c>
      <c r="C1583" t="inlineStr">
        <is>
          <t>cmm4yuodt01j5cuqwh07bezpo</t>
        </is>
      </c>
      <c r="D1583" t="inlineStr">
        <is>
          <t>http://localhost:8787/api/admin/requirements/documents/cmm4yuodt01j5cuqwh07bezpo/view</t>
        </is>
      </c>
      <c r="E1583">
        <f>HYPERLÄNK("http://localhost:8787/api/admin/requirements/documents/cmm4yuodt01j5cuqwh07bezpo/view";"Öppna PDF")</f>
        <v/>
      </c>
      <c r="F1583">
        <f>HYPERLINK("http://localhost:8787/api/admin/requirements/documents/cmm4yuodt01j5cuqwh07bezpo/view","Open PDF")</f>
        <v/>
      </c>
      <c r="G1583" t="inlineStr">
        <is>
          <t>cmm55w57p0004cuisfrtpqly8</t>
        </is>
      </c>
      <c r="H1583" t="inlineStr">
        <is>
          <t>Beslutsvillkor</t>
        </is>
      </c>
      <c r="I1583" t="inlineStr">
        <is>
          <t>DriftEgenkontroll</t>
        </is>
      </c>
      <c r="J1583" t="inlineStr">
        <is>
          <t>Journalforing</t>
        </is>
      </c>
      <c r="K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83" t="inlineStr">
        <is>
          <t>SKA</t>
        </is>
      </c>
      <c r="N1583" t="inlineStr"/>
      <c r="O1583" t="inlineStr">
        <is>
          <t>2024-12-11</t>
        </is>
      </c>
      <c r="P1583" t="inlineStr"/>
      <c r="Q1583" t="inlineStr"/>
      <c r="R1583" t="inlineStr">
        <is>
          <t>Lopande drift</t>
        </is>
      </c>
      <c r="S1583" t="inlineStr"/>
      <c r="T1583" t="inlineStr">
        <is>
          <t>250110</t>
        </is>
      </c>
      <c r="U1583" t="inlineStr"/>
      <c r="V1583" t="inlineStr"/>
      <c r="W1583" t="inlineStr">
        <is>
          <t>Nej</t>
        </is>
      </c>
      <c r="X1583" t="inlineStr">
        <is>
          <t>Nej</t>
        </is>
      </c>
      <c r="Y1583" t="inlineStr">
        <is>
          <t>Ja</t>
        </is>
      </c>
      <c r="Z1583" t="inlineStr">
        <is>
          <t>Nej</t>
        </is>
      </c>
      <c r="AA1583" t="n">
        <v>7</v>
      </c>
      <c r="AB1583" t="inlineStr">
        <is>
          <t>Egenkontrollrutiner</t>
        </is>
      </c>
      <c r="AC1583" t="inlineStr">
        <is>
          <t>Egenkontrollprogram</t>
        </is>
      </c>
      <c r="AD1583" t="inlineStr">
        <is>
          <t>Nej</t>
        </is>
      </c>
      <c r="AE1583" t="inlineStr">
        <is>
          <t>Nej</t>
        </is>
      </c>
      <c r="AF1583" t="inlineStr">
        <is>
          <t>Ej behandlad</t>
        </is>
      </c>
      <c r="AG1583" t="inlineStr">
        <is>
          <t>AUTO_GENERERAD. Verifiera citat mot kallfil.</t>
        </is>
      </c>
      <c r="AH1583" t="inlineStr">
        <is>
          <t>MEDIUM</t>
        </is>
      </c>
      <c r="AI1583" t="inlineStr">
        <is>
          <t>AUTO</t>
        </is>
      </c>
      <c r="AJ1583" t="inlineStr">
        <is>
          <t>Nej</t>
        </is>
      </c>
      <c r="AK1583" t="inlineStr"/>
      <c r="AL1583" t="inlineStr"/>
      <c r="AM1583" t="inlineStr"/>
      <c r="AN1583" t="inlineStr"/>
      <c r="AO1583" t="inlineStr">
        <is>
          <t>cmm4yuodt01j5cuqwh07bezpo</t>
        </is>
      </c>
      <c r="AP1583" t="inlineStr">
        <is>
          <t>http://localhost:8787/api/admin/requirements/documents/cmm4yuodt01j5cuqwh07bezpo/view</t>
        </is>
      </c>
      <c r="AQ1583">
        <f>HYPERLÄNK("http://localhost:8787/api/admin/requirements/documents/cmm4yuodt01j5cuqwh07bezpo/view";"Öppna PDF")</f>
        <v/>
      </c>
      <c r="AR1583">
        <f>HYPERLINK("http://localhost:8787/api/admin/requirements/documents/cmm4yuodt01j5cuqwh07bezpo/view","Open PDF")</f>
        <v/>
      </c>
      <c r="AS1583" t="inlineStr">
        <is>
          <t>cmm55w57p0004cuisfrtpqly8</t>
        </is>
      </c>
      <c r="AT1583" t="inlineStr">
        <is>
          <t>cmm4xvu980000cuh4vj0usz09</t>
        </is>
      </c>
      <c r="AU1583" t="inlineStr"/>
      <c r="AV1583" t="inlineStr">
        <is>
          <t>Kommun</t>
        </is>
      </c>
      <c r="AW1583" t="inlineStr"/>
      <c r="AX1583" t="inlineStr">
        <is>
          <t>2025-01</t>
        </is>
      </c>
      <c r="AY1583" t="inlineStr">
        <is>
          <t>Beslut</t>
        </is>
      </c>
      <c r="AZ1583" t="inlineStr">
        <is>
          <t>2026-02-03</t>
        </is>
      </c>
      <c r="BA1583" t="inlineStr">
        <is>
          <t>BeslutRapportPMbetongprovOrSkolan250110_446250.pdf</t>
        </is>
      </c>
      <c r="BB1583" t="inlineStr">
        <is>
          <t>Återvinning av avfall i anläggningsändamål, MIL.2025.263</t>
        </is>
      </c>
      <c r="BC1583" t="inlineStr">
        <is>
          <t>AUTO</t>
        </is>
      </c>
      <c r="BD1583" t="inlineStr"/>
      <c r="BE1583" t="inlineStr"/>
      <c r="BF1583" t="inlineStr">
        <is>
          <t>AUTO_GENERERAD. Bekrafta metadata mot kallfil.</t>
        </is>
      </c>
      <c r="BG1583">
        <f>HYPERLINK("C:\Users\jimmy\Desktop\Examens arbete\Kod\Ny mapp\remix_-copy-of-miljöbeslut.se-portal\BeslutRapportPMbetongprovOrSkolan250110_446250.pdf", "Öppna PDF")</f>
        <v/>
      </c>
    </row>
    <row r="1584">
      <c r="A1584" t="inlineStr">
        <is>
          <t>KRAV-AUTO-001583</t>
        </is>
      </c>
      <c r="B1584" t="inlineStr">
        <is>
          <t>ADMIN-INDEX-2026-02-27-00000000125C043F57453246863FE664CAFE6A3F0700950291EA24F0614FB6ACEDB12BF0E31D00000000010C0000950291EA24F0614FB6ACEDB12BF0E31D00002087AEE20000</t>
        </is>
      </c>
      <c r="C1584" t="inlineStr">
        <is>
          <t>cmm4yuodt01j5cuqwh07bezpo</t>
        </is>
      </c>
      <c r="D1584" t="inlineStr">
        <is>
          <t>http://localhost:8787/api/admin/requirements/documents/cmm4yuodt01j5cuqwh07bezpo/view</t>
        </is>
      </c>
      <c r="E1584">
        <f>HYPERLÄNK("http://localhost:8787/api/admin/requirements/documents/cmm4yuodt01j5cuqwh07bezpo/view";"Öppna PDF")</f>
        <v/>
      </c>
      <c r="F1584">
        <f>HYPERLINK("http://localhost:8787/api/admin/requirements/documents/cmm4yuodt01j5cuqwh07bezpo/view","Open PDF")</f>
        <v/>
      </c>
      <c r="G1584" t="inlineStr">
        <is>
          <t>cmm55w57p0004cuisfrtpqly8</t>
        </is>
      </c>
      <c r="H1584" t="inlineStr">
        <is>
          <t>Beslutsvillkor</t>
        </is>
      </c>
      <c r="I1584" t="inlineStr">
        <is>
          <t>DriftEgenkontroll</t>
        </is>
      </c>
      <c r="J1584" t="inlineStr">
        <is>
          <t>Journalforing</t>
        </is>
      </c>
      <c r="K1584" t="inlineStr">
        <is>
          <t>Prover bör därför skickas direkt till laboratoriet efter provtagning.</t>
        </is>
      </c>
      <c r="L1584" t="inlineStr">
        <is>
          <t>Prover bör därför skickas direkt till laboratoriet efter provtagning.</t>
        </is>
      </c>
      <c r="M1584" t="inlineStr">
        <is>
          <t>BOR</t>
        </is>
      </c>
      <c r="N1584" t="inlineStr"/>
      <c r="O1584" t="inlineStr"/>
      <c r="P1584" t="inlineStr"/>
      <c r="Q1584" t="inlineStr"/>
      <c r="R1584" t="inlineStr">
        <is>
          <t>Lopande drift</t>
        </is>
      </c>
      <c r="S1584" t="inlineStr"/>
      <c r="T1584" t="inlineStr">
        <is>
          <t>250110</t>
        </is>
      </c>
      <c r="U1584" t="inlineStr"/>
      <c r="V1584" t="inlineStr"/>
      <c r="W1584" t="inlineStr">
        <is>
          <t>Nej</t>
        </is>
      </c>
      <c r="X1584" t="inlineStr">
        <is>
          <t>Nej</t>
        </is>
      </c>
      <c r="Y1584" t="inlineStr">
        <is>
          <t>Ja</t>
        </is>
      </c>
      <c r="Z1584" t="inlineStr">
        <is>
          <t>Nej</t>
        </is>
      </c>
      <c r="AA1584" t="n">
        <v>7</v>
      </c>
      <c r="AB1584" t="inlineStr">
        <is>
          <t>Egenkontrollrutiner</t>
        </is>
      </c>
      <c r="AC1584" t="inlineStr">
        <is>
          <t>Egenkontrollprogram</t>
        </is>
      </c>
      <c r="AD1584" t="inlineStr">
        <is>
          <t>Nej</t>
        </is>
      </c>
      <c r="AE1584" t="inlineStr">
        <is>
          <t>Nej</t>
        </is>
      </c>
      <c r="AF1584" t="inlineStr">
        <is>
          <t>Ej behandlad</t>
        </is>
      </c>
      <c r="AG1584" t="inlineStr">
        <is>
          <t>AUTO_GENERERAD. Verifiera citat mot kallfil.</t>
        </is>
      </c>
      <c r="AH1584" t="inlineStr">
        <is>
          <t>MEDIUM</t>
        </is>
      </c>
      <c r="AI1584" t="inlineStr">
        <is>
          <t>AUTO</t>
        </is>
      </c>
      <c r="AJ1584" t="inlineStr">
        <is>
          <t>Nej</t>
        </is>
      </c>
      <c r="AK1584" t="inlineStr"/>
      <c r="AL1584" t="inlineStr"/>
      <c r="AM1584" t="inlineStr"/>
      <c r="AN1584" t="inlineStr"/>
      <c r="AO1584" t="inlineStr">
        <is>
          <t>cmm4yuodt01j5cuqwh07bezpo</t>
        </is>
      </c>
      <c r="AP1584" t="inlineStr">
        <is>
          <t>http://localhost:8787/api/admin/requirements/documents/cmm4yuodt01j5cuqwh07bezpo/view</t>
        </is>
      </c>
      <c r="AQ1584">
        <f>HYPERLÄNK("http://localhost:8787/api/admin/requirements/documents/cmm4yuodt01j5cuqwh07bezpo/view";"Öppna PDF")</f>
        <v/>
      </c>
      <c r="AR1584">
        <f>HYPERLINK("http://localhost:8787/api/admin/requirements/documents/cmm4yuodt01j5cuqwh07bezpo/view","Open PDF")</f>
        <v/>
      </c>
      <c r="AS1584" t="inlineStr">
        <is>
          <t>cmm55w57p0004cuisfrtpqly8</t>
        </is>
      </c>
      <c r="AT1584" t="inlineStr">
        <is>
          <t>cmm4xvu980000cuh4vj0usz09</t>
        </is>
      </c>
      <c r="AU1584" t="inlineStr"/>
      <c r="AV1584" t="inlineStr">
        <is>
          <t>Kommun</t>
        </is>
      </c>
      <c r="AW1584" t="inlineStr"/>
      <c r="AX1584" t="inlineStr">
        <is>
          <t>2025-01</t>
        </is>
      </c>
      <c r="AY1584" t="inlineStr">
        <is>
          <t>Beslut</t>
        </is>
      </c>
      <c r="AZ1584" t="inlineStr">
        <is>
          <t>2026-02-03</t>
        </is>
      </c>
      <c r="BA1584" t="inlineStr">
        <is>
          <t>BeslutRapportPMbetongprovOrSkolan250110_446250.pdf</t>
        </is>
      </c>
      <c r="BB1584" t="inlineStr">
        <is>
          <t>Återvinning av avfall i anläggningsändamål, MIL.2025.263</t>
        </is>
      </c>
      <c r="BC1584" t="inlineStr">
        <is>
          <t>AUTO</t>
        </is>
      </c>
      <c r="BD1584" t="inlineStr"/>
      <c r="BE1584" t="inlineStr"/>
      <c r="BF1584" t="inlineStr">
        <is>
          <t>AUTO_GENERERAD. Bekrafta metadata mot kallfil.</t>
        </is>
      </c>
      <c r="BG1584">
        <f>HYPERLINK("C:\Users\jimmy\Desktop\Examens arbete\Kod\Ny mapp\remix_-copy-of-miljöbeslut.se-portal\BeslutRapportPMbetongprovOrSkolan250110_446250.pdf", "Öppna PDF")</f>
        <v/>
      </c>
    </row>
    <row r="1585">
      <c r="A1585" t="inlineStr">
        <is>
          <t>KRAV-AUTO-001584</t>
        </is>
      </c>
      <c r="B1585" t="inlineStr">
        <is>
          <t>ADMIN-INDEX-2026-02-27-00000000125C043F57453246863FE664CAFE6A3F0700950291EA24F0614FB6ACEDB12BF0E31D00000000010C0000950291EA24F0614FB6ACEDB12BF0E31D00002087AEE20000</t>
        </is>
      </c>
      <c r="C1585" t="inlineStr">
        <is>
          <t>cmm4yuodp01j2cuqwxkc4e23w</t>
        </is>
      </c>
      <c r="D1585" t="inlineStr">
        <is>
          <t>http://localhost:8787/api/admin/requirements/documents/cmm4yuodp01j2cuqwxkc4e23w/view</t>
        </is>
      </c>
      <c r="E1585">
        <f>HYPERLÄNK("http://localhost:8787/api/admin/requirements/documents/cmm4yuodp01j2cuqwxkc4e23w/view";"Öppna PDF")</f>
        <v/>
      </c>
      <c r="F1585">
        <f>HYPERLINK("http://localhost:8787/api/admin/requirements/documents/cmm4yuodp01j2cuqwxkc4e23w/view","Open PDF")</f>
        <v/>
      </c>
      <c r="G1585" t="inlineStr">
        <is>
          <t>cmm55w57p0004cuisfrtpqly8</t>
        </is>
      </c>
      <c r="H1585" t="inlineStr">
        <is>
          <t>Kompletteringskrav</t>
        </is>
      </c>
      <c r="I1585" t="inlineStr">
        <is>
          <t>LagringsvolymTid</t>
        </is>
      </c>
      <c r="J1585" t="inlineStr">
        <is>
          <t>Maxmangd</t>
        </is>
      </c>
      <c r="K1585" t="inlineStr">
        <is>
          <t>Den krossade betongen ska användas som fyllnadsmassor inom fastigheten på plats redovisad i Bilaga 2 -Område fyllning.</t>
        </is>
      </c>
      <c r="L1585" t="inlineStr">
        <is>
          <t>Den krossade betongen ska användas som fyllnadsmassor inom fastigheten på plats redovisad i Bilaga 2 -Område fyllning.</t>
        </is>
      </c>
      <c r="M1585" t="inlineStr">
        <is>
          <t>SKA</t>
        </is>
      </c>
      <c r="N1585" t="inlineStr"/>
      <c r="O1585" t="inlineStr"/>
      <c r="P1585" t="inlineStr"/>
      <c r="Q1585" t="inlineStr"/>
      <c r="R1585" t="inlineStr">
        <is>
          <t>Alltid</t>
        </is>
      </c>
      <c r="S1585" t="inlineStr"/>
      <c r="T1585" t="inlineStr">
        <is>
          <t>212000</t>
        </is>
      </c>
      <c r="U1585" t="inlineStr"/>
      <c r="V1585" t="inlineStr"/>
      <c r="W1585" t="inlineStr">
        <is>
          <t>Nej</t>
        </is>
      </c>
      <c r="X1585" t="inlineStr">
        <is>
          <t>Nej</t>
        </is>
      </c>
      <c r="Y1585" t="inlineStr">
        <is>
          <t>Nej</t>
        </is>
      </c>
      <c r="Z1585" t="inlineStr">
        <is>
          <t>Nej</t>
        </is>
      </c>
      <c r="AA1585" t="n">
        <v>4</v>
      </c>
      <c r="AB1585" t="inlineStr">
        <is>
          <t>Avfallsmangder och lagringstid</t>
        </is>
      </c>
      <c r="AC1585" t="inlineStr">
        <is>
          <t>Avfallsforteckning</t>
        </is>
      </c>
      <c r="AD1585" t="inlineStr">
        <is>
          <t>Nej</t>
        </is>
      </c>
      <c r="AE1585" t="inlineStr">
        <is>
          <t>Nej</t>
        </is>
      </c>
      <c r="AF1585" t="inlineStr">
        <is>
          <t>Ej behandlad</t>
        </is>
      </c>
      <c r="AG1585" t="inlineStr">
        <is>
          <t>AUTO_GENERERAD. Verifiera citat mot kallfil.</t>
        </is>
      </c>
      <c r="AH1585" t="inlineStr">
        <is>
          <t>MEDIUM</t>
        </is>
      </c>
      <c r="AI1585" t="inlineStr">
        <is>
          <t>AUTO</t>
        </is>
      </c>
      <c r="AJ1585" t="inlineStr">
        <is>
          <t>Nej</t>
        </is>
      </c>
      <c r="AK1585" t="inlineStr"/>
      <c r="AL1585" t="inlineStr"/>
      <c r="AM1585" t="inlineStr"/>
      <c r="AN1585" t="inlineStr"/>
      <c r="AO1585" t="inlineStr">
        <is>
          <t>cmm4yuodt01j5cuqwh07bezpo</t>
        </is>
      </c>
      <c r="AP1585" t="inlineStr">
        <is>
          <t>http://localhost:8787/api/admin/requirements/documents/cmm4yuodt01j5cuqwh07bezpo/view</t>
        </is>
      </c>
      <c r="AQ1585">
        <f>HYPERLÄNK("http://localhost:8787/api/admin/requirements/documents/cmm4yuodt01j5cuqwh07bezpo/view";"Öppna PDF")</f>
        <v/>
      </c>
      <c r="AR1585">
        <f>HYPERLINK("http://localhost:8787/api/admin/requirements/documents/cmm4yuodt01j5cuqwh07bezpo/view","Open PDF")</f>
        <v/>
      </c>
      <c r="AS1585" t="inlineStr">
        <is>
          <t>cmm55w57p0004cuisfrtpqly8</t>
        </is>
      </c>
      <c r="AT1585" t="inlineStr">
        <is>
          <t>cmm4xvu980000cuh4vj0usz09</t>
        </is>
      </c>
      <c r="AU1585" t="inlineStr"/>
      <c r="AV1585" t="inlineStr">
        <is>
          <t>Kommun</t>
        </is>
      </c>
      <c r="AW1585" t="inlineStr"/>
      <c r="AX1585" t="inlineStr">
        <is>
          <t>2025-01</t>
        </is>
      </c>
      <c r="AY1585" t="inlineStr">
        <is>
          <t>Beslut</t>
        </is>
      </c>
      <c r="AZ1585" t="inlineStr">
        <is>
          <t>2026-02-03</t>
        </is>
      </c>
      <c r="BA1585" t="inlineStr">
        <is>
          <t>BeslutRapportPMbetongprovOrSkolan250110_446250.pdf</t>
        </is>
      </c>
      <c r="BB1585" t="inlineStr">
        <is>
          <t>Återvinning av avfall i anläggningsändamål, MIL.2025.263</t>
        </is>
      </c>
      <c r="BC1585" t="inlineStr">
        <is>
          <t>AUTO</t>
        </is>
      </c>
      <c r="BD1585" t="inlineStr"/>
      <c r="BE1585" t="inlineStr"/>
      <c r="BF1585" t="inlineStr">
        <is>
          <t>AUTO_GENERERAD. Bekrafta metadata mot kallfil.</t>
        </is>
      </c>
      <c r="BG1585">
        <f>HYPERLINK("C:\Users\jimmy\Desktop\Examens arbete\Kod\Ny mapp\remix_-copy-of-miljöbeslut.se-portal\BeslutRapportPMbetongprovOrSkolan250110_446250.pdf", "Öppna PDF")</f>
        <v/>
      </c>
    </row>
    <row r="1586">
      <c r="A1586" t="inlineStr">
        <is>
          <t>KRAV-AUTO-001585</t>
        </is>
      </c>
      <c r="B1586" t="inlineStr">
        <is>
          <t>ADMIN-INDEX-2026-02-27-00000000125C043F57453246863FE664CAFE6A3F0700950291EA24F0614FB6ACEDB12BF0E31D00000000010C0000950291EA24F0614FB6ACEDB12BF0E31D00002087AEE20000</t>
        </is>
      </c>
      <c r="C1586" t="inlineStr">
        <is>
          <t>cmm4yuodp01j2cuqwxkc4e23w</t>
        </is>
      </c>
      <c r="D1586" t="inlineStr">
        <is>
          <t>http://localhost:8787/api/admin/requirements/documents/cmm4yuodp01j2cuqwxkc4e23w/view</t>
        </is>
      </c>
      <c r="E1586">
        <f>HYPERLÄNK("http://localhost:8787/api/admin/requirements/documents/cmm4yuodp01j2cuqwxkc4e23w/view";"Öppna PDF")</f>
        <v/>
      </c>
      <c r="F1586">
        <f>HYPERLINK("http://localhost:8787/api/admin/requirements/documents/cmm4yuodp01j2cuqwxkc4e23w/view","Open PDF")</f>
        <v/>
      </c>
      <c r="G1586" t="inlineStr">
        <is>
          <t>cmm55w57p0004cuisfrtpqly8</t>
        </is>
      </c>
      <c r="H1586" t="inlineStr">
        <is>
          <t>Kompletteringskrav</t>
        </is>
      </c>
      <c r="I1586" t="inlineStr">
        <is>
          <t>LagringsvolymTid</t>
        </is>
      </c>
      <c r="J1586" t="inlineStr">
        <is>
          <t>Maxmangd</t>
        </is>
      </c>
      <c r="K1586" t="inlineStr">
        <is>
          <t>Miljöenheten bedömer det nödvändigt med ett föreläggande om skyddsåtgärder och försiktighetsmått och en tydlig anvisning från verksamheten var återvunnen betongkross placeras.</t>
        </is>
      </c>
      <c r="L1586" t="inlineStr">
        <is>
          <t>Miljöenheten bedömer det nödvändigt med ett föreläggande om skyddsåtgärder och försiktighetsmått och en tydlig anvisning från verksamheten var återvunnen betongkross placeras.</t>
        </is>
      </c>
      <c r="M1586" t="inlineStr">
        <is>
          <t>INFO</t>
        </is>
      </c>
      <c r="N1586" t="inlineStr"/>
      <c r="O1586" t="inlineStr"/>
      <c r="P1586" t="inlineStr"/>
      <c r="Q1586" t="inlineStr">
        <is>
          <t>Forelaggande vid brist</t>
        </is>
      </c>
      <c r="R1586" t="inlineStr">
        <is>
          <t>Alltid</t>
        </is>
      </c>
      <c r="S1586" t="inlineStr"/>
      <c r="T1586" t="inlineStr">
        <is>
          <t>212000</t>
        </is>
      </c>
      <c r="U1586" t="inlineStr"/>
      <c r="V1586" t="inlineStr"/>
      <c r="W1586" t="inlineStr">
        <is>
          <t>Nej</t>
        </is>
      </c>
      <c r="X1586" t="inlineStr">
        <is>
          <t>Nej</t>
        </is>
      </c>
      <c r="Y1586" t="inlineStr">
        <is>
          <t>Nej</t>
        </is>
      </c>
      <c r="Z1586" t="inlineStr">
        <is>
          <t>Nej</t>
        </is>
      </c>
      <c r="AA1586" t="n">
        <v>4</v>
      </c>
      <c r="AB1586" t="inlineStr">
        <is>
          <t>Avfallsmangder och lagringstid</t>
        </is>
      </c>
      <c r="AC1586" t="inlineStr">
        <is>
          <t>Avfallsforteckning</t>
        </is>
      </c>
      <c r="AD1586" t="inlineStr">
        <is>
          <t>Nej</t>
        </is>
      </c>
      <c r="AE1586" t="inlineStr">
        <is>
          <t>Nej</t>
        </is>
      </c>
      <c r="AF1586" t="inlineStr">
        <is>
          <t>Ej behandlad</t>
        </is>
      </c>
      <c r="AG1586" t="inlineStr">
        <is>
          <t>AUTO_GENERERAD. Verifiera citat mot kallfil.</t>
        </is>
      </c>
      <c r="AH1586" t="inlineStr">
        <is>
          <t>MEDIUM</t>
        </is>
      </c>
      <c r="AI1586" t="inlineStr">
        <is>
          <t>AUTO</t>
        </is>
      </c>
      <c r="AJ1586" t="inlineStr">
        <is>
          <t>Nej</t>
        </is>
      </c>
      <c r="AK1586" t="inlineStr"/>
      <c r="AL1586" t="inlineStr"/>
      <c r="AM1586" t="inlineStr"/>
      <c r="AN1586" t="inlineStr"/>
      <c r="AO1586" t="inlineStr">
        <is>
          <t>cmm4yuodt01j5cuqwh07bezpo</t>
        </is>
      </c>
      <c r="AP1586" t="inlineStr">
        <is>
          <t>http://localhost:8787/api/admin/requirements/documents/cmm4yuodt01j5cuqwh07bezpo/view</t>
        </is>
      </c>
      <c r="AQ1586">
        <f>HYPERLÄNK("http://localhost:8787/api/admin/requirements/documents/cmm4yuodt01j5cuqwh07bezpo/view";"Öppna PDF")</f>
        <v/>
      </c>
      <c r="AR1586">
        <f>HYPERLINK("http://localhost:8787/api/admin/requirements/documents/cmm4yuodt01j5cuqwh07bezpo/view","Open PDF")</f>
        <v/>
      </c>
      <c r="AS1586" t="inlineStr">
        <is>
          <t>cmm55w57p0004cuisfrtpqly8</t>
        </is>
      </c>
      <c r="AT1586" t="inlineStr">
        <is>
          <t>cmm4xvu980000cuh4vj0usz09</t>
        </is>
      </c>
      <c r="AU1586" t="inlineStr"/>
      <c r="AV1586" t="inlineStr">
        <is>
          <t>Kommun</t>
        </is>
      </c>
      <c r="AW1586" t="inlineStr"/>
      <c r="AX1586" t="inlineStr">
        <is>
          <t>2025-01</t>
        </is>
      </c>
      <c r="AY1586" t="inlineStr">
        <is>
          <t>Beslut</t>
        </is>
      </c>
      <c r="AZ1586" t="inlineStr">
        <is>
          <t>2026-02-03</t>
        </is>
      </c>
      <c r="BA1586" t="inlineStr">
        <is>
          <t>BeslutRapportPMbetongprovOrSkolan250110_446250.pdf</t>
        </is>
      </c>
      <c r="BB1586" t="inlineStr">
        <is>
          <t>Återvinning av avfall i anläggningsändamål, MIL.2025.263</t>
        </is>
      </c>
      <c r="BC1586" t="inlineStr">
        <is>
          <t>AUTO</t>
        </is>
      </c>
      <c r="BD1586" t="inlineStr"/>
      <c r="BE1586" t="inlineStr"/>
      <c r="BF1586" t="inlineStr">
        <is>
          <t>AUTO_GENERERAD. Bekrafta metadata mot kallfil.</t>
        </is>
      </c>
      <c r="BG1586">
        <f>HYPERLINK("C:\Users\jimmy\Desktop\Examens arbete\Kod\Ny mapp\remix_-copy-of-miljöbeslut.se-portal\BeslutRapportPMbetongprovOrSkolan250110_446250.pdf", "Öppna PDF")</f>
        <v/>
      </c>
    </row>
    <row r="1587">
      <c r="A1587" t="inlineStr">
        <is>
          <t>KRAV-AUTO-001586</t>
        </is>
      </c>
      <c r="B1587" t="inlineStr">
        <is>
          <t>ADMIN-INDEX-2026-02-27-00000000125C043F57453246863FE664CAFE6A3F0700950291EA24F0614FB6ACEDB12BF0E31D00000000010C0000950291EA24F0614FB6ACEDB12BF0E31D00002087AEE20000</t>
        </is>
      </c>
      <c r="C1587" t="inlineStr">
        <is>
          <t>cmm4yuodk01izcuqwc0nvkion</t>
        </is>
      </c>
      <c r="D1587" t="inlineStr">
        <is>
          <t>http://localhost:8787/api/admin/requirements/documents/cmm4yuodk01izcuqwc0nvkion/view</t>
        </is>
      </c>
      <c r="E1587">
        <f>HYPERLÄNK("http://localhost:8787/api/admin/requirements/documents/cmm4yuodk01izcuqwc0nvkion/view";"Öppna PDF")</f>
        <v/>
      </c>
      <c r="F1587">
        <f>HYPERLINK("http://localhost:8787/api/admin/requirements/documents/cmm4yuodk01izcuqwc0nvkion/view","Open PDF")</f>
        <v/>
      </c>
      <c r="G1587" t="inlineStr">
        <is>
          <t>cmm55w57p0004cuisfrtpqly8</t>
        </is>
      </c>
      <c r="H1587" t="inlineStr">
        <is>
          <t>Informationskrav</t>
        </is>
      </c>
      <c r="I1587" t="inlineStr">
        <is>
          <t>DagvattenLakvatten</t>
        </is>
      </c>
      <c r="J1587" t="inlineStr">
        <is>
          <t>Uppsamling</t>
        </is>
      </c>
      <c r="K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87" t="inlineStr">
        <is>
          <t>SKA</t>
        </is>
      </c>
      <c r="N1587" t="inlineStr"/>
      <c r="O1587" t="inlineStr"/>
      <c r="P1587" t="inlineStr"/>
      <c r="Q1587" t="inlineStr"/>
      <c r="R1587" t="inlineStr">
        <is>
          <t>Vid nederbord och avrinning</t>
        </is>
      </c>
      <c r="S1587" t="inlineStr"/>
      <c r="T1587" t="inlineStr"/>
      <c r="U1587" t="inlineStr"/>
      <c r="V1587" t="inlineStr"/>
      <c r="W1587" t="inlineStr">
        <is>
          <t>Nej</t>
        </is>
      </c>
      <c r="X1587" t="inlineStr">
        <is>
          <t>Ja</t>
        </is>
      </c>
      <c r="Y1587" t="inlineStr">
        <is>
          <t>Ja</t>
        </is>
      </c>
      <c r="Z1587" t="inlineStr">
        <is>
          <t>Nej</t>
        </is>
      </c>
      <c r="AA1587" t="n">
        <v>6</v>
      </c>
      <c r="AB1587" t="inlineStr">
        <is>
          <t>Lakvattenhantering</t>
        </is>
      </c>
      <c r="AC1587" t="inlineStr">
        <is>
          <t>Flodesschema dagvatten-lakvatten</t>
        </is>
      </c>
      <c r="AD1587" t="inlineStr">
        <is>
          <t>Nej</t>
        </is>
      </c>
      <c r="AE1587" t="inlineStr">
        <is>
          <t>Nej</t>
        </is>
      </c>
      <c r="AF1587" t="inlineStr">
        <is>
          <t>Ej behandlad</t>
        </is>
      </c>
      <c r="AG1587" t="inlineStr">
        <is>
          <t>AUTO_GENERERAD. Verifiera citat mot kallfil.</t>
        </is>
      </c>
      <c r="AH1587" t="inlineStr">
        <is>
          <t>MEDIUM</t>
        </is>
      </c>
      <c r="AI1587" t="inlineStr">
        <is>
          <t>AUTO</t>
        </is>
      </c>
      <c r="AJ1587" t="inlineStr">
        <is>
          <t>Nej</t>
        </is>
      </c>
      <c r="AK1587" t="inlineStr"/>
      <c r="AL1587" t="inlineStr"/>
      <c r="AM1587" t="inlineStr"/>
      <c r="AN1587" t="inlineStr"/>
      <c r="AO1587" t="inlineStr">
        <is>
          <t>cmm4yuodt01j5cuqwh07bezpo</t>
        </is>
      </c>
      <c r="AP1587" t="inlineStr">
        <is>
          <t>http://localhost:8787/api/admin/requirements/documents/cmm4yuodt01j5cuqwh07bezpo/view</t>
        </is>
      </c>
      <c r="AQ1587">
        <f>HYPERLÄNK("http://localhost:8787/api/admin/requirements/documents/cmm4yuodt01j5cuqwh07bezpo/view";"Öppna PDF")</f>
        <v/>
      </c>
      <c r="AR1587">
        <f>HYPERLINK("http://localhost:8787/api/admin/requirements/documents/cmm4yuodt01j5cuqwh07bezpo/view","Open PDF")</f>
        <v/>
      </c>
      <c r="AS1587" t="inlineStr">
        <is>
          <t>cmm55w57p0004cuisfrtpqly8</t>
        </is>
      </c>
      <c r="AT1587" t="inlineStr">
        <is>
          <t>cmm4xvu980000cuh4vj0usz09</t>
        </is>
      </c>
      <c r="AU1587" t="inlineStr"/>
      <c r="AV1587" t="inlineStr">
        <is>
          <t>Kommun</t>
        </is>
      </c>
      <c r="AW1587" t="inlineStr"/>
      <c r="AX1587" t="inlineStr">
        <is>
          <t>2025-01</t>
        </is>
      </c>
      <c r="AY1587" t="inlineStr">
        <is>
          <t>Beslut</t>
        </is>
      </c>
      <c r="AZ1587" t="inlineStr">
        <is>
          <t>2026-02-03</t>
        </is>
      </c>
      <c r="BA1587" t="inlineStr">
        <is>
          <t>BeslutRapportPMbetongprovOrSkolan250110_446250.pdf</t>
        </is>
      </c>
      <c r="BB1587" t="inlineStr">
        <is>
          <t>Återvinning av avfall i anläggningsändamål, MIL.2025.263</t>
        </is>
      </c>
      <c r="BC1587" t="inlineStr">
        <is>
          <t>AUTO</t>
        </is>
      </c>
      <c r="BD1587" t="inlineStr"/>
      <c r="BE1587" t="inlineStr"/>
      <c r="BF1587" t="inlineStr">
        <is>
          <t>AUTO_GENERERAD. Bekrafta metadata mot kallfil.</t>
        </is>
      </c>
      <c r="BG1587">
        <f>HYPERLINK("C:\Users\jimmy\Desktop\Examens arbete\Kod\Ny mapp\remix_-copy-of-miljöbeslut.se-portal\BeslutRapportPMbetongprovOrSkolan250110_446250.pdf", "Öppna PDF")</f>
        <v/>
      </c>
    </row>
    <row r="1588">
      <c r="A1588" t="inlineStr">
        <is>
          <t>KRAV-AUTO-001587</t>
        </is>
      </c>
      <c r="B1588" t="inlineStr">
        <is>
          <t>ADMIN-INDEX-2026-02-27-00000000125C043F57453246863FE664CAFE6A3F0700950291EA24F0614FB6ACEDB12BF0E31D00000000010C0000950291EA24F0614FB6ACEDB12BF0E31D00002087AEE20000</t>
        </is>
      </c>
      <c r="C1588" t="inlineStr">
        <is>
          <t>cmm4yuodk01izcuqwc0nvkion</t>
        </is>
      </c>
      <c r="D1588" t="inlineStr">
        <is>
          <t>http://localhost:8787/api/admin/requirements/documents/cmm4yuodk01izcuqwc0nvkion/view</t>
        </is>
      </c>
      <c r="E1588">
        <f>HYPERLÄNK("http://localhost:8787/api/admin/requirements/documents/cmm4yuodk01izcuqwc0nvkion/view";"Öppna PDF")</f>
        <v/>
      </c>
      <c r="F1588">
        <f>HYPERLINK("http://localhost:8787/api/admin/requirements/documents/cmm4yuodk01izcuqwc0nvkion/view","Open PDF")</f>
        <v/>
      </c>
      <c r="G1588" t="inlineStr">
        <is>
          <t>cmm55w57p0004cuisfrtpqly8</t>
        </is>
      </c>
      <c r="H1588" t="inlineStr">
        <is>
          <t>Informationskrav</t>
        </is>
      </c>
      <c r="I1588" t="inlineStr">
        <is>
          <t>MiljopaverkanForsiktighet</t>
        </is>
      </c>
      <c r="J1588" t="inlineStr">
        <is>
          <t>Skyddsatgarder</t>
        </is>
      </c>
      <c r="K1588" t="inlineStr">
        <is>
          <t>Anmälare (den som ska återvinna avfallet) Namn Utdelningsadress Faktureringsadress Referens Org.nr/personnr Kontaktperson E-postadress Telefon 3.</t>
        </is>
      </c>
      <c r="L1588" t="inlineStr">
        <is>
          <t>Anmälare (den som ska återvinna avfallet) Namn Utdelningsadress Faktureringsadress Referens Org.nr/personnr Kontaktperson E-postadress Telefon 3.</t>
        </is>
      </c>
      <c r="M1588" t="inlineStr">
        <is>
          <t>SKA</t>
        </is>
      </c>
      <c r="N1588" t="inlineStr"/>
      <c r="O1588" t="inlineStr"/>
      <c r="P1588" t="inlineStr"/>
      <c r="Q1588" t="inlineStr"/>
      <c r="R1588" t="inlineStr">
        <is>
          <t>Alltid</t>
        </is>
      </c>
      <c r="S1588" t="inlineStr"/>
      <c r="T1588" t="inlineStr"/>
      <c r="U1588" t="inlineStr"/>
      <c r="V1588" t="inlineStr"/>
      <c r="W1588" t="inlineStr">
        <is>
          <t>Nej</t>
        </is>
      </c>
      <c r="X1588" t="inlineStr">
        <is>
          <t>Nej</t>
        </is>
      </c>
      <c r="Y1588" t="inlineStr">
        <is>
          <t>Nej</t>
        </is>
      </c>
      <c r="Z1588" t="inlineStr">
        <is>
          <t>Nej</t>
        </is>
      </c>
      <c r="AA1588" t="n">
        <v>10</v>
      </c>
      <c r="AB1588" t="inlineStr">
        <is>
          <t>Miljopaverkan och forsiktighetsmatt</t>
        </is>
      </c>
      <c r="AC1588" t="inlineStr">
        <is>
          <t>Miljo-PM</t>
        </is>
      </c>
      <c r="AD1588" t="inlineStr">
        <is>
          <t>Nej</t>
        </is>
      </c>
      <c r="AE1588" t="inlineStr">
        <is>
          <t>Nej</t>
        </is>
      </c>
      <c r="AF1588" t="inlineStr">
        <is>
          <t>Ej behandlad</t>
        </is>
      </c>
      <c r="AG1588" t="inlineStr">
        <is>
          <t>AUTO_GENERERAD. Verifiera citat mot kallfil.</t>
        </is>
      </c>
      <c r="AH1588" t="inlineStr">
        <is>
          <t>MEDIUM</t>
        </is>
      </c>
      <c r="AI1588" t="inlineStr">
        <is>
          <t>AUTO</t>
        </is>
      </c>
      <c r="AJ1588" t="inlineStr">
        <is>
          <t>Nej</t>
        </is>
      </c>
      <c r="AK1588" t="inlineStr"/>
      <c r="AL1588" t="inlineStr"/>
      <c r="AM1588" t="inlineStr"/>
      <c r="AN1588" t="inlineStr"/>
      <c r="AO1588" t="inlineStr">
        <is>
          <t>cmm4yuodt01j5cuqwh07bezpo</t>
        </is>
      </c>
      <c r="AP1588" t="inlineStr">
        <is>
          <t>http://localhost:8787/api/admin/requirements/documents/cmm4yuodt01j5cuqwh07bezpo/view</t>
        </is>
      </c>
      <c r="AQ1588">
        <f>HYPERLÄNK("http://localhost:8787/api/admin/requirements/documents/cmm4yuodt01j5cuqwh07bezpo/view";"Öppna PDF")</f>
        <v/>
      </c>
      <c r="AR1588">
        <f>HYPERLINK("http://localhost:8787/api/admin/requirements/documents/cmm4yuodt01j5cuqwh07bezpo/view","Open PDF")</f>
        <v/>
      </c>
      <c r="AS1588" t="inlineStr">
        <is>
          <t>cmm55w57p0004cuisfrtpqly8</t>
        </is>
      </c>
      <c r="AT1588" t="inlineStr">
        <is>
          <t>cmm4xvu980000cuh4vj0usz09</t>
        </is>
      </c>
      <c r="AU1588" t="inlineStr"/>
      <c r="AV1588" t="inlineStr">
        <is>
          <t>Kommun</t>
        </is>
      </c>
      <c r="AW1588" t="inlineStr"/>
      <c r="AX1588" t="inlineStr">
        <is>
          <t>2025-01</t>
        </is>
      </c>
      <c r="AY1588" t="inlineStr">
        <is>
          <t>Beslut</t>
        </is>
      </c>
      <c r="AZ1588" t="inlineStr">
        <is>
          <t>2026-02-03</t>
        </is>
      </c>
      <c r="BA1588" t="inlineStr">
        <is>
          <t>BeslutRapportPMbetongprovOrSkolan250110_446250.pdf</t>
        </is>
      </c>
      <c r="BB1588" t="inlineStr">
        <is>
          <t>Återvinning av avfall i anläggningsändamål, MIL.2025.263</t>
        </is>
      </c>
      <c r="BC1588" t="inlineStr">
        <is>
          <t>AUTO</t>
        </is>
      </c>
      <c r="BD1588" t="inlineStr"/>
      <c r="BE1588" t="inlineStr"/>
      <c r="BF1588" t="inlineStr">
        <is>
          <t>AUTO_GENERERAD. Bekrafta metadata mot kallfil.</t>
        </is>
      </c>
      <c r="BG1588">
        <f>HYPERLINK("C:\Users\jimmy\Desktop\Examens arbete\Kod\Ny mapp\remix_-copy-of-miljöbeslut.se-portal\BeslutRapportPMbetongprovOrSkolan250110_446250.pdf", "Öppna PDF")</f>
        <v/>
      </c>
    </row>
    <row r="1589">
      <c r="A1589" t="inlineStr">
        <is>
          <t>KRAV-AUTO-001588</t>
        </is>
      </c>
      <c r="B1589" t="inlineStr">
        <is>
          <t>ADMIN-INDEX-2026-02-27-00000000125C043F57453246863FE664CAFE6A3F0700950291EA24F0614FB6ACEDB12BF0E31D00000000010C0000950291EA24F0614FB6ACEDB12BF0E31D00002087AEE20000</t>
        </is>
      </c>
      <c r="C1589" t="inlineStr">
        <is>
          <t>cmm4yuodk01izcuqwc0nvkion</t>
        </is>
      </c>
      <c r="D1589" t="inlineStr">
        <is>
          <t>http://localhost:8787/api/admin/requirements/documents/cmm4yuodk01izcuqwc0nvkion/view</t>
        </is>
      </c>
      <c r="E1589">
        <f>HYPERLÄNK("http://localhost:8787/api/admin/requirements/documents/cmm4yuodk01izcuqwc0nvkion/view";"Öppna PDF")</f>
        <v/>
      </c>
      <c r="F1589">
        <f>HYPERLINK("http://localhost:8787/api/admin/requirements/documents/cmm4yuodk01izcuqwc0nvkion/view","Open PDF")</f>
        <v/>
      </c>
      <c r="G1589" t="inlineStr">
        <is>
          <t>cmm55w57p0004cuisfrtpqly8</t>
        </is>
      </c>
      <c r="H1589" t="inlineStr">
        <is>
          <t>Informationskrav</t>
        </is>
      </c>
      <c r="I1589" t="inlineStr">
        <is>
          <t>LokaliseringPlats</t>
        </is>
      </c>
      <c r="J1589" t="inlineStr">
        <is>
          <t>Skyddsobjekt</t>
        </is>
      </c>
      <c r="K1589" t="inlineStr">
        <is>
          <t>Fastighet där avfallet ska återvinnas Fastighetsbeteckning Fastighetens adress (Visa på karta var fastigheten ligger) Fastighetsägare Org.nr/personnr Kontaktperson Telefon Ägare av ev.</t>
        </is>
      </c>
      <c r="L1589" t="inlineStr">
        <is>
          <t>Fastighet där avfallet ska återvinnas Fastighetsbeteckning Fastighetens adress (Visa på karta var fastigheten ligger) Fastighetsägare Org.nr/personnr Kontaktperson Telefon Ägare av ev.</t>
        </is>
      </c>
      <c r="M1589" t="inlineStr">
        <is>
          <t>SKA</t>
        </is>
      </c>
      <c r="N1589" t="inlineStr"/>
      <c r="O1589" t="inlineStr"/>
      <c r="P1589" t="inlineStr"/>
      <c r="Q1589" t="inlineStr"/>
      <c r="R1589" t="inlineStr">
        <is>
          <t>Fore beslut</t>
        </is>
      </c>
      <c r="S1589" t="inlineStr"/>
      <c r="T1589" t="inlineStr"/>
      <c r="U1589" t="inlineStr"/>
      <c r="V1589" t="inlineStr"/>
      <c r="W1589" t="inlineStr">
        <is>
          <t>Nej</t>
        </is>
      </c>
      <c r="X1589" t="inlineStr">
        <is>
          <t>Nej</t>
        </is>
      </c>
      <c r="Y1589" t="inlineStr">
        <is>
          <t>Nej</t>
        </is>
      </c>
      <c r="Z1589" t="inlineStr">
        <is>
          <t>Nej</t>
        </is>
      </c>
      <c r="AA1589" t="n">
        <v>3</v>
      </c>
      <c r="AB1589" t="inlineStr">
        <is>
          <t>Platsforutsattningar</t>
        </is>
      </c>
      <c r="AC1589" t="inlineStr">
        <is>
          <t>Situationsplan</t>
        </is>
      </c>
      <c r="AD1589" t="inlineStr">
        <is>
          <t>Nej</t>
        </is>
      </c>
      <c r="AE1589" t="inlineStr">
        <is>
          <t>Nej</t>
        </is>
      </c>
      <c r="AF1589" t="inlineStr">
        <is>
          <t>Ej behandlad</t>
        </is>
      </c>
      <c r="AG1589" t="inlineStr">
        <is>
          <t>AUTO_GENERERAD. Verifiera citat mot kallfil.</t>
        </is>
      </c>
      <c r="AH1589" t="inlineStr">
        <is>
          <t>MEDIUM</t>
        </is>
      </c>
      <c r="AI1589" t="inlineStr">
        <is>
          <t>AUTO</t>
        </is>
      </c>
      <c r="AJ1589" t="inlineStr">
        <is>
          <t>Nej</t>
        </is>
      </c>
      <c r="AK1589" t="inlineStr"/>
      <c r="AL1589" t="inlineStr"/>
      <c r="AM1589" t="inlineStr"/>
      <c r="AN1589" t="inlineStr"/>
      <c r="AO1589" t="inlineStr">
        <is>
          <t>cmm4yuodt01j5cuqwh07bezpo</t>
        </is>
      </c>
      <c r="AP1589" t="inlineStr">
        <is>
          <t>http://localhost:8787/api/admin/requirements/documents/cmm4yuodt01j5cuqwh07bezpo/view</t>
        </is>
      </c>
      <c r="AQ1589">
        <f>HYPERLÄNK("http://localhost:8787/api/admin/requirements/documents/cmm4yuodt01j5cuqwh07bezpo/view";"Öppna PDF")</f>
        <v/>
      </c>
      <c r="AR1589">
        <f>HYPERLINK("http://localhost:8787/api/admin/requirements/documents/cmm4yuodt01j5cuqwh07bezpo/view","Open PDF")</f>
        <v/>
      </c>
      <c r="AS1589" t="inlineStr">
        <is>
          <t>cmm55w57p0004cuisfrtpqly8</t>
        </is>
      </c>
      <c r="AT1589" t="inlineStr">
        <is>
          <t>cmm4xvu980000cuh4vj0usz09</t>
        </is>
      </c>
      <c r="AU1589" t="inlineStr"/>
      <c r="AV1589" t="inlineStr">
        <is>
          <t>Kommun</t>
        </is>
      </c>
      <c r="AW1589" t="inlineStr"/>
      <c r="AX1589" t="inlineStr">
        <is>
          <t>2025-01</t>
        </is>
      </c>
      <c r="AY1589" t="inlineStr">
        <is>
          <t>Beslut</t>
        </is>
      </c>
      <c r="AZ1589" t="inlineStr">
        <is>
          <t>2026-02-03</t>
        </is>
      </c>
      <c r="BA1589" t="inlineStr">
        <is>
          <t>BeslutRapportPMbetongprovOrSkolan250110_446250.pdf</t>
        </is>
      </c>
      <c r="BB1589" t="inlineStr">
        <is>
          <t>Återvinning av avfall i anläggningsändamål, MIL.2025.263</t>
        </is>
      </c>
      <c r="BC1589" t="inlineStr">
        <is>
          <t>AUTO</t>
        </is>
      </c>
      <c r="BD1589" t="inlineStr"/>
      <c r="BE1589" t="inlineStr"/>
      <c r="BF1589" t="inlineStr">
        <is>
          <t>AUTO_GENERERAD. Bekrafta metadata mot kallfil.</t>
        </is>
      </c>
      <c r="BG1589">
        <f>HYPERLINK("C:\Users\jimmy\Desktop\Examens arbete\Kod\Ny mapp\remix_-copy-of-miljöbeslut.se-portal\BeslutRapportPMbetongprovOrSkolan250110_446250.pdf", "Öppna PDF")</f>
        <v/>
      </c>
    </row>
    <row r="1590">
      <c r="A1590" t="inlineStr">
        <is>
          <t>KRAV-AUTO-001589</t>
        </is>
      </c>
      <c r="B1590" t="inlineStr">
        <is>
          <t>ADMIN-INDEX-2026-02-27-00000000125C043F57453246863FE664CAFE6A3F0700950291EA24F0614FB6ACEDB12BF0E31D00000000010C0000950291EA24F0614FB6ACEDB12BF0E31D00002087AEE30000</t>
        </is>
      </c>
      <c r="C1590" t="inlineStr">
        <is>
          <t>cmm4yuodd01itcuqwsu3925ep</t>
        </is>
      </c>
      <c r="D1590" t="inlineStr">
        <is>
          <t>http://localhost:8787/api/admin/requirements/documents/cmm4yuodd01itcuqwsu3925ep/view</t>
        </is>
      </c>
      <c r="E1590">
        <f>HYPERLÄNK("http://localhost:8787/api/admin/requirements/documents/cmm4yuodd01itcuqwsu3925ep/view";"Öppna PDF")</f>
        <v/>
      </c>
      <c r="F1590">
        <f>HYPERLINK("http://localhost:8787/api/admin/requirements/documents/cmm4yuodd01itcuqwsu3925ep/view","Open PDF")</f>
        <v/>
      </c>
      <c r="G1590" t="inlineStr">
        <is>
          <t>cmm55w57p0004cuisfrtpqly8</t>
        </is>
      </c>
      <c r="H1590" t="inlineStr">
        <is>
          <t>Beslutsvillkor</t>
        </is>
      </c>
      <c r="I1590" t="inlineStr">
        <is>
          <t>MiljopaverkanForsiktighet</t>
        </is>
      </c>
      <c r="J1590" t="inlineStr">
        <is>
          <t>Skyddsatgarder</t>
        </is>
      </c>
      <c r="K1590" t="inlineStr">
        <is>
          <t>Anmälan gäller användning av 3000 m3 skärsandsavfall från verksamhetens egen verksamhet som utfyllnad i mark vid anläggande av grusplan på fastigheten Grönalid 1:22.</t>
        </is>
      </c>
      <c r="L1590" t="inlineStr">
        <is>
          <t>Anmälan gäller användning av 3000 m3 skärsandsavfall från verksamhetens egen verksamhet som utfyllnad i mark vid anläggande av grusplan på fastigheten Grönalid 1:22.</t>
        </is>
      </c>
      <c r="M1590" t="inlineStr">
        <is>
          <t>SKA</t>
        </is>
      </c>
      <c r="N1590" t="inlineStr"/>
      <c r="O1590" t="inlineStr"/>
      <c r="P1590" t="inlineStr"/>
      <c r="Q1590" t="inlineStr"/>
      <c r="R1590" t="inlineStr">
        <is>
          <t>Alltid</t>
        </is>
      </c>
      <c r="S1590" t="inlineStr"/>
      <c r="T1590" t="inlineStr">
        <is>
          <t>120117</t>
        </is>
      </c>
      <c r="U1590" t="inlineStr"/>
      <c r="V1590" t="inlineStr"/>
      <c r="W1590" t="inlineStr">
        <is>
          <t>Nej</t>
        </is>
      </c>
      <c r="X1590" t="inlineStr">
        <is>
          <t>Nej</t>
        </is>
      </c>
      <c r="Y1590" t="inlineStr">
        <is>
          <t>Nej</t>
        </is>
      </c>
      <c r="Z1590" t="inlineStr">
        <is>
          <t>Nej</t>
        </is>
      </c>
      <c r="AA1590" t="n">
        <v>10</v>
      </c>
      <c r="AB1590" t="inlineStr">
        <is>
          <t>Miljopaverkan och forsiktighetsmatt</t>
        </is>
      </c>
      <c r="AC1590" t="inlineStr">
        <is>
          <t>Miljo-PM</t>
        </is>
      </c>
      <c r="AD1590" t="inlineStr">
        <is>
          <t>Nej</t>
        </is>
      </c>
      <c r="AE1590" t="inlineStr">
        <is>
          <t>Nej</t>
        </is>
      </c>
      <c r="AF1590" t="inlineStr">
        <is>
          <t>Ej behandlad</t>
        </is>
      </c>
      <c r="AG1590" t="inlineStr">
        <is>
          <t>AUTO_GENERERAD. Verifiera citat mot kallfil.</t>
        </is>
      </c>
      <c r="AH1590" t="inlineStr">
        <is>
          <t>MEDIUM</t>
        </is>
      </c>
      <c r="AI1590" t="inlineStr">
        <is>
          <t>AUTO</t>
        </is>
      </c>
      <c r="AJ1590" t="inlineStr">
        <is>
          <t>Nej</t>
        </is>
      </c>
      <c r="AK1590" t="inlineStr"/>
      <c r="AL1590" t="inlineStr"/>
      <c r="AM1590" t="inlineStr"/>
      <c r="AN1590" t="inlineStr"/>
      <c r="AO1590" t="inlineStr">
        <is>
          <t>cmm4yuodd01itcuqwsu3925ep</t>
        </is>
      </c>
      <c r="AP1590" t="inlineStr">
        <is>
          <t>http://localhost:8787/api/admin/requirements/documents/cmm4yuodd01itcuqwsu3925ep/view</t>
        </is>
      </c>
      <c r="AQ1590">
        <f>HYPERLÄNK("http://localhost:8787/api/admin/requirements/documents/cmm4yuodd01itcuqwsu3925ep/view";"Öppna PDF")</f>
        <v/>
      </c>
      <c r="AR1590">
        <f>HYPERLINK("http://localhost:8787/api/admin/requirements/documents/cmm4yuodd01itcuqwsu3925ep/view","Open PDF")</f>
        <v/>
      </c>
      <c r="AS1590" t="inlineStr">
        <is>
          <t>cmm55w57p0004cuisfrtpqly8</t>
        </is>
      </c>
      <c r="AT1590" t="inlineStr">
        <is>
          <t>cmm4xvu980000cuh4vj0usz09</t>
        </is>
      </c>
      <c r="AU1590" t="inlineStr"/>
      <c r="AV1590" t="inlineStr">
        <is>
          <t>Kommun</t>
        </is>
      </c>
      <c r="AW1590" t="inlineStr"/>
      <c r="AX1590" t="inlineStr">
        <is>
          <t>2024-66</t>
        </is>
      </c>
      <c r="AY1590" t="inlineStr">
        <is>
          <t>Beslut</t>
        </is>
      </c>
      <c r="AZ1590" t="inlineStr">
        <is>
          <t>2026-02-03</t>
        </is>
      </c>
      <c r="BA1590" t="inlineStr">
        <is>
          <t>Beslut om användning av avfall för anläggningsändamål.pdf</t>
        </is>
      </c>
      <c r="BB1590" t="inlineStr">
        <is>
          <t>Ärende  2024-66</t>
        </is>
      </c>
      <c r="BC1590" t="inlineStr">
        <is>
          <t>AUTO</t>
        </is>
      </c>
      <c r="BD1590" t="inlineStr"/>
      <c r="BE1590" t="inlineStr"/>
      <c r="BF1590" t="inlineStr">
        <is>
          <t>AUTO_GENERERAD. Bekrafta metadata mot kallfil.</t>
        </is>
      </c>
      <c r="BG1590">
        <f>HYPERLINK("C:\Users\jimmy\Desktop\Examens arbete\Kod\Ny mapp\remix_-copy-of-miljöbeslut.se-portal\Beslut om användning av avfall för anläggningsändamål.pdf", "Öppna PDF")</f>
        <v/>
      </c>
    </row>
    <row r="1591">
      <c r="A1591" t="inlineStr">
        <is>
          <t>KRAV-AUTO-001590</t>
        </is>
      </c>
      <c r="B1591" t="inlineStr">
        <is>
          <t>ADMIN-INDEX-2026-02-27-00000000125C043F57453246863FE664CAFE6A3F0700950291EA24F0614FB6ACEDB12BF0E31D00000000010C0000950291EA24F0614FB6ACEDB12BF0E31D00002087AEE30000</t>
        </is>
      </c>
      <c r="C1591" t="inlineStr">
        <is>
          <t>cmm4yuocy01ihcuqwaaopchez</t>
        </is>
      </c>
      <c r="D1591" t="inlineStr">
        <is>
          <t>http://localhost:8787/api/admin/requirements/documents/cmm4yuocy01ihcuqwaaopchez/view</t>
        </is>
      </c>
      <c r="E1591">
        <f>HYPERLÄNK("http://localhost:8787/api/admin/requirements/documents/cmm4yuocy01ihcuqwaaopchez/view";"Öppna PDF")</f>
        <v/>
      </c>
      <c r="F1591">
        <f>HYPERLINK("http://localhost:8787/api/admin/requirements/documents/cmm4yuocy01ihcuqwaaopchez/view","Open PDF")</f>
        <v/>
      </c>
      <c r="G1591" t="inlineStr">
        <is>
          <t>cmm55w57p0004cuisfrtpqly8</t>
        </is>
      </c>
      <c r="H1591" t="inlineStr">
        <is>
          <t>Beslutsvillkor</t>
        </is>
      </c>
      <c r="I1591" t="inlineStr">
        <is>
          <t>DriftEgenkontroll</t>
        </is>
      </c>
      <c r="J1591" t="inlineStr">
        <is>
          <t>Journalforing</t>
        </is>
      </c>
      <c r="K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1" t="inlineStr">
        <is>
          <t>SKA</t>
        </is>
      </c>
      <c r="N1591" t="inlineStr"/>
      <c r="O1591" t="inlineStr">
        <is>
          <t>2016-04-05</t>
        </is>
      </c>
      <c r="P1591" t="inlineStr"/>
      <c r="Q1591" t="inlineStr"/>
      <c r="R1591" t="inlineStr">
        <is>
          <t>Lopande drift</t>
        </is>
      </c>
      <c r="S1591" t="inlineStr"/>
      <c r="T1591" t="inlineStr">
        <is>
          <t>25 49 00</t>
        </is>
      </c>
      <c r="U1591" t="inlineStr"/>
      <c r="V1591" t="inlineStr"/>
      <c r="W1591" t="inlineStr">
        <is>
          <t>Nej</t>
        </is>
      </c>
      <c r="X1591" t="inlineStr">
        <is>
          <t>Nej</t>
        </is>
      </c>
      <c r="Y1591" t="inlineStr">
        <is>
          <t>Ja</t>
        </is>
      </c>
      <c r="Z1591" t="inlineStr">
        <is>
          <t>Nej</t>
        </is>
      </c>
      <c r="AA1591" t="n">
        <v>7</v>
      </c>
      <c r="AB1591" t="inlineStr">
        <is>
          <t>Egenkontrollrutiner</t>
        </is>
      </c>
      <c r="AC1591" t="inlineStr">
        <is>
          <t>Egenkontrollprogram</t>
        </is>
      </c>
      <c r="AD1591" t="inlineStr">
        <is>
          <t>Nej</t>
        </is>
      </c>
      <c r="AE1591" t="inlineStr">
        <is>
          <t>Nej</t>
        </is>
      </c>
      <c r="AF1591" t="inlineStr">
        <is>
          <t>Ej behandlad</t>
        </is>
      </c>
      <c r="AG1591" t="inlineStr">
        <is>
          <t>AUTO_GENERERAD. Verifiera citat mot kallfil.</t>
        </is>
      </c>
      <c r="AH1591" t="inlineStr">
        <is>
          <t>MEDIUM</t>
        </is>
      </c>
      <c r="AI1591" t="inlineStr">
        <is>
          <t>AUTO</t>
        </is>
      </c>
      <c r="AJ1591" t="inlineStr">
        <is>
          <t>Nej</t>
        </is>
      </c>
      <c r="AK1591" t="inlineStr"/>
      <c r="AL1591" t="inlineStr"/>
      <c r="AM1591" t="inlineStr"/>
      <c r="AN1591" t="inlineStr"/>
      <c r="AO1591" t="inlineStr">
        <is>
          <t>cmm4yuodd01itcuqwsu3925ep</t>
        </is>
      </c>
      <c r="AP1591" t="inlineStr">
        <is>
          <t>http://localhost:8787/api/admin/requirements/documents/cmm4yuodd01itcuqwsu3925ep/view</t>
        </is>
      </c>
      <c r="AQ1591">
        <f>HYPERLÄNK("http://localhost:8787/api/admin/requirements/documents/cmm4yuodd01itcuqwsu3925ep/view";"Öppna PDF")</f>
        <v/>
      </c>
      <c r="AR1591">
        <f>HYPERLINK("http://localhost:8787/api/admin/requirements/documents/cmm4yuodd01itcuqwsu3925ep/view","Open PDF")</f>
        <v/>
      </c>
      <c r="AS1591" t="inlineStr">
        <is>
          <t>cmm55w57p0004cuisfrtpqly8</t>
        </is>
      </c>
      <c r="AT1591" t="inlineStr">
        <is>
          <t>cmm4xvu980000cuh4vj0usz09</t>
        </is>
      </c>
      <c r="AU1591" t="inlineStr"/>
      <c r="AV1591" t="inlineStr">
        <is>
          <t>Kommun</t>
        </is>
      </c>
      <c r="AW1591" t="inlineStr"/>
      <c r="AX1591" t="inlineStr">
        <is>
          <t>2024-66</t>
        </is>
      </c>
      <c r="AY1591" t="inlineStr">
        <is>
          <t>Beslut</t>
        </is>
      </c>
      <c r="AZ1591" t="inlineStr">
        <is>
          <t>2026-02-03</t>
        </is>
      </c>
      <c r="BA1591" t="inlineStr">
        <is>
          <t>Beslut om användning av avfall för anläggningsändamål.pdf</t>
        </is>
      </c>
      <c r="BB1591" t="inlineStr">
        <is>
          <t>Ärende  2024-66</t>
        </is>
      </c>
      <c r="BC1591" t="inlineStr">
        <is>
          <t>AUTO</t>
        </is>
      </c>
      <c r="BD1591" t="inlineStr"/>
      <c r="BE1591" t="inlineStr"/>
      <c r="BF1591" t="inlineStr">
        <is>
          <t>AUTO_GENERERAD. Bekrafta metadata mot kallfil.</t>
        </is>
      </c>
      <c r="BG1591">
        <f>HYPERLINK("C:\Users\jimmy\Desktop\Examens arbete\Kod\Ny mapp\remix_-copy-of-miljöbeslut.se-portal\Beslut om användning av avfall för anläggningsändamål.pdf", "Öppna PDF")</f>
        <v/>
      </c>
    </row>
    <row r="1592">
      <c r="A1592" t="inlineStr">
        <is>
          <t>KRAV-AUTO-001591</t>
        </is>
      </c>
      <c r="B1592" t="inlineStr">
        <is>
          <t>ADMIN-INDEX-2026-02-27-00000000125C043F57453246863FE664CAFE6A3F0700950291EA24F0614FB6ACEDB12BF0E31D00000000010C0000950291EA24F0614FB6ACEDB12BF0E31D00002087AEE30000</t>
        </is>
      </c>
      <c r="C1592" t="inlineStr">
        <is>
          <t>cmm4yuocv01iecuqw7lrwa1ec</t>
        </is>
      </c>
      <c r="D1592" t="inlineStr">
        <is>
          <t>http://localhost:8787/api/admin/requirements/documents/cmm4yuocv01iecuqw7lrwa1ec/view</t>
        </is>
      </c>
      <c r="E1592">
        <f>HYPERLÄNK("http://localhost:8787/api/admin/requirements/documents/cmm4yuocv01iecuqw7lrwa1ec/view";"Öppna PDF")</f>
        <v/>
      </c>
      <c r="F1592">
        <f>HYPERLINK("http://localhost:8787/api/admin/requirements/documents/cmm4yuocv01iecuqw7lrwa1ec/view","Open PDF")</f>
        <v/>
      </c>
      <c r="G1592" t="inlineStr">
        <is>
          <t>cmm55w57p0004cuisfrtpqly8</t>
        </is>
      </c>
      <c r="H1592" t="inlineStr">
        <is>
          <t>Beslutsvillkor</t>
        </is>
      </c>
      <c r="I1592" t="inlineStr">
        <is>
          <t>MiljopaverkanForsiktighet</t>
        </is>
      </c>
      <c r="J1592" t="inlineStr">
        <is>
          <t>Skyddsatgarder</t>
        </is>
      </c>
      <c r="K1592" t="inlineStr">
        <is>
          <t>säkerhetsåtgärder som måste vidtas vid deponering av avfallet Ingen åtgärd krävs 12.</t>
        </is>
      </c>
      <c r="L1592" t="inlineStr">
        <is>
          <t>säkerhetsåtgärder som måste vidtas vid deponering av avfallet Ingen åtgärd krävs 12.</t>
        </is>
      </c>
      <c r="M1592" t="inlineStr">
        <is>
          <t>SKA</t>
        </is>
      </c>
      <c r="N1592" t="inlineStr"/>
      <c r="O1592" t="inlineStr"/>
      <c r="P1592" t="inlineStr"/>
      <c r="Q1592" t="inlineStr"/>
      <c r="R1592" t="inlineStr">
        <is>
          <t>Alltid</t>
        </is>
      </c>
      <c r="S1592" t="inlineStr"/>
      <c r="T1592" t="inlineStr">
        <is>
          <t>594996</t>
        </is>
      </c>
      <c r="U1592" t="inlineStr"/>
      <c r="V1592" t="inlineStr"/>
      <c r="W1592" t="inlineStr">
        <is>
          <t>Nej</t>
        </is>
      </c>
      <c r="X1592" t="inlineStr">
        <is>
          <t>Nej</t>
        </is>
      </c>
      <c r="Y1592" t="inlineStr">
        <is>
          <t>Nej</t>
        </is>
      </c>
      <c r="Z1592" t="inlineStr">
        <is>
          <t>Nej</t>
        </is>
      </c>
      <c r="AA1592" t="n">
        <v>10</v>
      </c>
      <c r="AB1592" t="inlineStr">
        <is>
          <t>Miljopaverkan och forsiktighetsmatt</t>
        </is>
      </c>
      <c r="AC1592" t="inlineStr">
        <is>
          <t>Miljo-PM</t>
        </is>
      </c>
      <c r="AD1592" t="inlineStr">
        <is>
          <t>Nej</t>
        </is>
      </c>
      <c r="AE1592" t="inlineStr">
        <is>
          <t>Nej</t>
        </is>
      </c>
      <c r="AF1592" t="inlineStr">
        <is>
          <t>Ej behandlad</t>
        </is>
      </c>
      <c r="AG1592" t="inlineStr">
        <is>
          <t>AUTO_GENERERAD. Verifiera citat mot kallfil.</t>
        </is>
      </c>
      <c r="AH1592" t="inlineStr">
        <is>
          <t>MEDIUM</t>
        </is>
      </c>
      <c r="AI1592" t="inlineStr">
        <is>
          <t>AUTO</t>
        </is>
      </c>
      <c r="AJ1592" t="inlineStr">
        <is>
          <t>Nej</t>
        </is>
      </c>
      <c r="AK1592" t="inlineStr"/>
      <c r="AL1592" t="inlineStr"/>
      <c r="AM1592" t="inlineStr"/>
      <c r="AN1592" t="inlineStr"/>
      <c r="AO1592" t="inlineStr">
        <is>
          <t>cmm4yuodd01itcuqwsu3925ep</t>
        </is>
      </c>
      <c r="AP1592" t="inlineStr">
        <is>
          <t>http://localhost:8787/api/admin/requirements/documents/cmm4yuodd01itcuqwsu3925ep/view</t>
        </is>
      </c>
      <c r="AQ1592">
        <f>HYPERLÄNK("http://localhost:8787/api/admin/requirements/documents/cmm4yuodd01itcuqwsu3925ep/view";"Öppna PDF")</f>
        <v/>
      </c>
      <c r="AR1592">
        <f>HYPERLINK("http://localhost:8787/api/admin/requirements/documents/cmm4yuodd01itcuqwsu3925ep/view","Open PDF")</f>
        <v/>
      </c>
      <c r="AS1592" t="inlineStr">
        <is>
          <t>cmm55w57p0004cuisfrtpqly8</t>
        </is>
      </c>
      <c r="AT1592" t="inlineStr">
        <is>
          <t>cmm4xvu980000cuh4vj0usz09</t>
        </is>
      </c>
      <c r="AU1592" t="inlineStr"/>
      <c r="AV1592" t="inlineStr">
        <is>
          <t>Kommun</t>
        </is>
      </c>
      <c r="AW1592" t="inlineStr"/>
      <c r="AX1592" t="inlineStr">
        <is>
          <t>2024-66</t>
        </is>
      </c>
      <c r="AY1592" t="inlineStr">
        <is>
          <t>Beslut</t>
        </is>
      </c>
      <c r="AZ1592" t="inlineStr">
        <is>
          <t>2026-02-03</t>
        </is>
      </c>
      <c r="BA1592" t="inlineStr">
        <is>
          <t>Beslut om användning av avfall för anläggningsändamål.pdf</t>
        </is>
      </c>
      <c r="BB1592" t="inlineStr">
        <is>
          <t>Ärende  2024-66</t>
        </is>
      </c>
      <c r="BC1592" t="inlineStr">
        <is>
          <t>AUTO</t>
        </is>
      </c>
      <c r="BD1592" t="inlineStr"/>
      <c r="BE1592" t="inlineStr"/>
      <c r="BF1592" t="inlineStr">
        <is>
          <t>AUTO_GENERERAD. Bekrafta metadata mot kallfil.</t>
        </is>
      </c>
      <c r="BG1592">
        <f>HYPERLINK("C:\Users\jimmy\Desktop\Examens arbete\Kod\Ny mapp\remix_-copy-of-miljöbeslut.se-portal\Beslut om användning av avfall för anläggningsändamål.pdf", "Öppna PDF")</f>
        <v/>
      </c>
    </row>
    <row r="1593">
      <c r="A1593" t="inlineStr">
        <is>
          <t>KRAV-AUTO-001592</t>
        </is>
      </c>
      <c r="B1593" t="inlineStr">
        <is>
          <t>ADMIN-INDEX-2026-02-27-00000000125C043F57453246863FE664CAFE6A3F0700950291EA24F0614FB6ACEDB12BF0E31D00000000010C0000950291EA24F0614FB6ACEDB12BF0E31D00002087AEE30000</t>
        </is>
      </c>
      <c r="C1593" t="inlineStr">
        <is>
          <t>cmm4yuocv01iecuqw7lrwa1ec</t>
        </is>
      </c>
      <c r="D1593" t="inlineStr">
        <is>
          <t>http://localhost:8787/api/admin/requirements/documents/cmm4yuocv01iecuqw7lrwa1ec/view</t>
        </is>
      </c>
      <c r="E1593">
        <f>HYPERLÄNK("http://localhost:8787/api/admin/requirements/documents/cmm4yuocv01iecuqw7lrwa1ec/view";"Öppna PDF")</f>
        <v/>
      </c>
      <c r="F1593">
        <f>HYPERLINK("http://localhost:8787/api/admin/requirements/documents/cmm4yuocv01iecuqw7lrwa1ec/view","Open PDF")</f>
        <v/>
      </c>
      <c r="G1593" t="inlineStr">
        <is>
          <t>cmm55w57p0004cuisfrtpqly8</t>
        </is>
      </c>
      <c r="H1593" t="inlineStr">
        <is>
          <t>Beslutsvillkor</t>
        </is>
      </c>
      <c r="I1593" t="inlineStr">
        <is>
          <t>MiljopaverkanForsiktighet</t>
        </is>
      </c>
      <c r="J1593" t="inlineStr">
        <is>
          <t>Skyddsatgarder</t>
        </is>
      </c>
      <c r="K1593" t="inlineStr">
        <is>
          <t>Avfallets ursprung (bransch) Abrasiv Vattenskärning 4.</t>
        </is>
      </c>
      <c r="L1593" t="inlineStr">
        <is>
          <t>Avfallets ursprung (bransch) Abrasiv Vattenskärning 4.</t>
        </is>
      </c>
      <c r="M1593" t="inlineStr">
        <is>
          <t>SKA</t>
        </is>
      </c>
      <c r="N1593" t="inlineStr"/>
      <c r="O1593" t="inlineStr"/>
      <c r="P1593" t="inlineStr"/>
      <c r="Q1593" t="inlineStr"/>
      <c r="R1593" t="inlineStr">
        <is>
          <t>Alltid</t>
        </is>
      </c>
      <c r="S1593" t="inlineStr"/>
      <c r="T1593" t="inlineStr">
        <is>
          <t>594996</t>
        </is>
      </c>
      <c r="U1593" t="inlineStr"/>
      <c r="V1593" t="inlineStr"/>
      <c r="W1593" t="inlineStr">
        <is>
          <t>Nej</t>
        </is>
      </c>
      <c r="X1593" t="inlineStr">
        <is>
          <t>Nej</t>
        </is>
      </c>
      <c r="Y1593" t="inlineStr">
        <is>
          <t>Nej</t>
        </is>
      </c>
      <c r="Z1593" t="inlineStr">
        <is>
          <t>Nej</t>
        </is>
      </c>
      <c r="AA1593" t="n">
        <v>10</v>
      </c>
      <c r="AB1593" t="inlineStr">
        <is>
          <t>Miljopaverkan och forsiktighetsmatt</t>
        </is>
      </c>
      <c r="AC1593" t="inlineStr">
        <is>
          <t>Miljo-PM</t>
        </is>
      </c>
      <c r="AD1593" t="inlineStr">
        <is>
          <t>Nej</t>
        </is>
      </c>
      <c r="AE1593" t="inlineStr">
        <is>
          <t>Nej</t>
        </is>
      </c>
      <c r="AF1593" t="inlineStr">
        <is>
          <t>Ej behandlad</t>
        </is>
      </c>
      <c r="AG1593" t="inlineStr">
        <is>
          <t>AUTO_GENERERAD. Verifiera citat mot kallfil.</t>
        </is>
      </c>
      <c r="AH1593" t="inlineStr">
        <is>
          <t>MEDIUM</t>
        </is>
      </c>
      <c r="AI1593" t="inlineStr">
        <is>
          <t>AUTO</t>
        </is>
      </c>
      <c r="AJ1593" t="inlineStr">
        <is>
          <t>Nej</t>
        </is>
      </c>
      <c r="AK1593" t="inlineStr"/>
      <c r="AL1593" t="inlineStr"/>
      <c r="AM1593" t="inlineStr"/>
      <c r="AN1593" t="inlineStr"/>
      <c r="AO1593" t="inlineStr">
        <is>
          <t>cmm4yuodd01itcuqwsu3925ep</t>
        </is>
      </c>
      <c r="AP1593" t="inlineStr">
        <is>
          <t>http://localhost:8787/api/admin/requirements/documents/cmm4yuodd01itcuqwsu3925ep/view</t>
        </is>
      </c>
      <c r="AQ1593">
        <f>HYPERLÄNK("http://localhost:8787/api/admin/requirements/documents/cmm4yuodd01itcuqwsu3925ep/view";"Öppna PDF")</f>
        <v/>
      </c>
      <c r="AR1593">
        <f>HYPERLINK("http://localhost:8787/api/admin/requirements/documents/cmm4yuodd01itcuqwsu3925ep/view","Open PDF")</f>
        <v/>
      </c>
      <c r="AS1593" t="inlineStr">
        <is>
          <t>cmm55w57p0004cuisfrtpqly8</t>
        </is>
      </c>
      <c r="AT1593" t="inlineStr">
        <is>
          <t>cmm4xvu980000cuh4vj0usz09</t>
        </is>
      </c>
      <c r="AU1593" t="inlineStr"/>
      <c r="AV1593" t="inlineStr">
        <is>
          <t>Kommun</t>
        </is>
      </c>
      <c r="AW1593" t="inlineStr"/>
      <c r="AX1593" t="inlineStr">
        <is>
          <t>2024-66</t>
        </is>
      </c>
      <c r="AY1593" t="inlineStr">
        <is>
          <t>Beslut</t>
        </is>
      </c>
      <c r="AZ1593" t="inlineStr">
        <is>
          <t>2026-02-03</t>
        </is>
      </c>
      <c r="BA1593" t="inlineStr">
        <is>
          <t>Beslut om användning av avfall för anläggningsändamål.pdf</t>
        </is>
      </c>
      <c r="BB1593" t="inlineStr">
        <is>
          <t>Ärende  2024-66</t>
        </is>
      </c>
      <c r="BC1593" t="inlineStr">
        <is>
          <t>AUTO</t>
        </is>
      </c>
      <c r="BD1593" t="inlineStr"/>
      <c r="BE1593" t="inlineStr"/>
      <c r="BF1593" t="inlineStr">
        <is>
          <t>AUTO_GENERERAD. Bekrafta metadata mot kallfil.</t>
        </is>
      </c>
      <c r="BG1593">
        <f>HYPERLINK("C:\Users\jimmy\Desktop\Examens arbete\Kod\Ny mapp\remix_-copy-of-miljöbeslut.se-portal\Beslut om användning av avfall för anläggningsändamål.pdf", "Öppna PDF")</f>
        <v/>
      </c>
    </row>
    <row r="1594">
      <c r="A1594" t="inlineStr">
        <is>
          <t>KRAV-AUTO-001593</t>
        </is>
      </c>
      <c r="B1594" t="inlineStr">
        <is>
          <t>ADMIN-INDEX-2026-02-27-00000000125C043F57453246863FE664CAFE6A3F0700950291EA24F0614FB6ACEDB12BF0E31D00000000010C0000950291EA24F0614FB6ACEDB12BF0E31D00002087AEE30000</t>
        </is>
      </c>
      <c r="C1594" t="inlineStr">
        <is>
          <t>cmm4yuocv01iecuqw7lrwa1ec</t>
        </is>
      </c>
      <c r="D1594" t="inlineStr">
        <is>
          <t>http://localhost:8787/api/admin/requirements/documents/cmm4yuocv01iecuqw7lrwa1ec/view</t>
        </is>
      </c>
      <c r="E1594">
        <f>HYPERLÄNK("http://localhost:8787/api/admin/requirements/documents/cmm4yuocv01iecuqw7lrwa1ec/view";"Öppna PDF")</f>
        <v/>
      </c>
      <c r="F1594">
        <f>HYPERLINK("http://localhost:8787/api/admin/requirements/documents/cmm4yuocv01iecuqw7lrwa1ec/view","Open PDF")</f>
        <v/>
      </c>
      <c r="G1594" t="inlineStr">
        <is>
          <t>cmm55w57p0004cuisfrtpqly8</t>
        </is>
      </c>
      <c r="H1594" t="inlineStr">
        <is>
          <t>Beslutsvillkor</t>
        </is>
      </c>
      <c r="I1594" t="inlineStr">
        <is>
          <t>MiljopaverkanForsiktighet</t>
        </is>
      </c>
      <c r="J1594" t="inlineStr">
        <is>
          <t>Skyddsatgarder</t>
        </is>
      </c>
      <c r="K1594" t="inlineStr">
        <is>
          <t>Variation i avfallets sammansättning samt de karakteristiska egenskapernas variation Metallhalten varierar mellan 1-5% 14.</t>
        </is>
      </c>
      <c r="L1594" t="inlineStr">
        <is>
          <t>Variation i avfallets sammansättning samt de karakteristiska egenskapernas variation Metallhalten varierar mellan 1-5% 14.</t>
        </is>
      </c>
      <c r="M1594" t="inlineStr">
        <is>
          <t>SKA</t>
        </is>
      </c>
      <c r="N1594" t="inlineStr"/>
      <c r="O1594" t="inlineStr"/>
      <c r="P1594" t="inlineStr"/>
      <c r="Q1594" t="inlineStr"/>
      <c r="R1594" t="inlineStr">
        <is>
          <t>Alltid</t>
        </is>
      </c>
      <c r="S1594" t="inlineStr"/>
      <c r="T1594" t="inlineStr">
        <is>
          <t>594996</t>
        </is>
      </c>
      <c r="U1594" t="inlineStr"/>
      <c r="V1594" t="inlineStr"/>
      <c r="W1594" t="inlineStr">
        <is>
          <t>Nej</t>
        </is>
      </c>
      <c r="X1594" t="inlineStr">
        <is>
          <t>Nej</t>
        </is>
      </c>
      <c r="Y1594" t="inlineStr">
        <is>
          <t>Nej</t>
        </is>
      </c>
      <c r="Z1594" t="inlineStr">
        <is>
          <t>Nej</t>
        </is>
      </c>
      <c r="AA1594" t="n">
        <v>10</v>
      </c>
      <c r="AB1594" t="inlineStr">
        <is>
          <t>Miljopaverkan och forsiktighetsmatt</t>
        </is>
      </c>
      <c r="AC1594" t="inlineStr">
        <is>
          <t>Miljo-PM</t>
        </is>
      </c>
      <c r="AD1594" t="inlineStr">
        <is>
          <t>Nej</t>
        </is>
      </c>
      <c r="AE1594" t="inlineStr">
        <is>
          <t>Nej</t>
        </is>
      </c>
      <c r="AF1594" t="inlineStr">
        <is>
          <t>Ej behandlad</t>
        </is>
      </c>
      <c r="AG1594" t="inlineStr">
        <is>
          <t>AUTO_GENERERAD. Verifiera citat mot kallfil.</t>
        </is>
      </c>
      <c r="AH1594" t="inlineStr">
        <is>
          <t>MEDIUM</t>
        </is>
      </c>
      <c r="AI1594" t="inlineStr">
        <is>
          <t>AUTO</t>
        </is>
      </c>
      <c r="AJ1594" t="inlineStr">
        <is>
          <t>Nej</t>
        </is>
      </c>
      <c r="AK1594" t="inlineStr"/>
      <c r="AL1594" t="inlineStr"/>
      <c r="AM1594" t="inlineStr"/>
      <c r="AN1594" t="inlineStr"/>
      <c r="AO1594" t="inlineStr">
        <is>
          <t>cmm4yuodd01itcuqwsu3925ep</t>
        </is>
      </c>
      <c r="AP1594" t="inlineStr">
        <is>
          <t>http://localhost:8787/api/admin/requirements/documents/cmm4yuodd01itcuqwsu3925ep/view</t>
        </is>
      </c>
      <c r="AQ1594">
        <f>HYPERLÄNK("http://localhost:8787/api/admin/requirements/documents/cmm4yuodd01itcuqwsu3925ep/view";"Öppna PDF")</f>
        <v/>
      </c>
      <c r="AR1594">
        <f>HYPERLINK("http://localhost:8787/api/admin/requirements/documents/cmm4yuodd01itcuqwsu3925ep/view","Open PDF")</f>
        <v/>
      </c>
      <c r="AS1594" t="inlineStr">
        <is>
          <t>cmm55w57p0004cuisfrtpqly8</t>
        </is>
      </c>
      <c r="AT1594" t="inlineStr">
        <is>
          <t>cmm4xvu980000cuh4vj0usz09</t>
        </is>
      </c>
      <c r="AU1594" t="inlineStr"/>
      <c r="AV1594" t="inlineStr">
        <is>
          <t>Kommun</t>
        </is>
      </c>
      <c r="AW1594" t="inlineStr"/>
      <c r="AX1594" t="inlineStr">
        <is>
          <t>2024-66</t>
        </is>
      </c>
      <c r="AY1594" t="inlineStr">
        <is>
          <t>Beslut</t>
        </is>
      </c>
      <c r="AZ1594" t="inlineStr">
        <is>
          <t>2026-02-03</t>
        </is>
      </c>
      <c r="BA1594" t="inlineStr">
        <is>
          <t>Beslut om användning av avfall för anläggningsändamål.pdf</t>
        </is>
      </c>
      <c r="BB1594" t="inlineStr">
        <is>
          <t>Ärende  2024-66</t>
        </is>
      </c>
      <c r="BC1594" t="inlineStr">
        <is>
          <t>AUTO</t>
        </is>
      </c>
      <c r="BD1594" t="inlineStr"/>
      <c r="BE1594" t="inlineStr"/>
      <c r="BF1594" t="inlineStr">
        <is>
          <t>AUTO_GENERERAD. Bekrafta metadata mot kallfil.</t>
        </is>
      </c>
      <c r="BG1594">
        <f>HYPERLINK("C:\Users\jimmy\Desktop\Examens arbete\Kod\Ny mapp\remix_-copy-of-miljöbeslut.se-portal\Beslut om användning av avfall för anläggningsändamål.pdf", "Öppna PDF")</f>
        <v/>
      </c>
    </row>
    <row r="1595">
      <c r="A1595" t="inlineStr">
        <is>
          <t>KRAV-AUTO-001594</t>
        </is>
      </c>
      <c r="B1595" t="inlineStr">
        <is>
          <t>ADMIN-INDEX-2026-02-27-00000000125C043F57453246863FE664CAFE6A3F0700950291EA24F0614FB6ACEDB12BF0E31D00000000010C0000950291EA24F0614FB6ACEDB12BF0E31D00002087AEE30000</t>
        </is>
      </c>
      <c r="C1595" t="inlineStr">
        <is>
          <t>cmm4yuocn01i8cuqww9qa6x9t</t>
        </is>
      </c>
      <c r="D1595" t="inlineStr">
        <is>
          <t>http://localhost:8787/api/admin/requirements/documents/cmm4yuocn01i8cuqww9qa6x9t/view</t>
        </is>
      </c>
      <c r="E1595">
        <f>HYPERLÄNK("http://localhost:8787/api/admin/requirements/documents/cmm4yuocn01i8cuqww9qa6x9t/view";"Öppna PDF")</f>
        <v/>
      </c>
      <c r="F1595">
        <f>HYPERLINK("http://localhost:8787/api/admin/requirements/documents/cmm4yuocn01i8cuqww9qa6x9t/view","Open PDF")</f>
        <v/>
      </c>
      <c r="G1595" t="inlineStr">
        <is>
          <t>cmm55w57p0004cuisfrtpqly8</t>
        </is>
      </c>
      <c r="H1595" t="inlineStr">
        <is>
          <t>Informationskrav</t>
        </is>
      </c>
      <c r="I1595" t="inlineStr">
        <is>
          <t>DagvattenLakvatten</t>
        </is>
      </c>
      <c r="J1595" t="inlineStr">
        <is>
          <t>Uppsamling</t>
        </is>
      </c>
      <c r="K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t>
        </is>
      </c>
      <c r="M1595" t="inlineStr">
        <is>
          <t>SKA</t>
        </is>
      </c>
      <c r="N1595" t="inlineStr">
        <is>
          <t>Miljobalken</t>
        </is>
      </c>
      <c r="O1595" t="inlineStr">
        <is>
          <t>2024-03-08</t>
        </is>
      </c>
      <c r="P1595" t="inlineStr">
        <is>
          <t>Arlig</t>
        </is>
      </c>
      <c r="Q1595" t="inlineStr"/>
      <c r="R1595" t="inlineStr">
        <is>
          <t>Vid nederbord och avrinning</t>
        </is>
      </c>
      <c r="S1595" t="inlineStr"/>
      <c r="T1595" t="inlineStr">
        <is>
          <t>120117</t>
        </is>
      </c>
      <c r="U1595" t="inlineStr"/>
      <c r="V1595" t="inlineStr"/>
      <c r="W1595" t="inlineStr">
        <is>
          <t>Nej</t>
        </is>
      </c>
      <c r="X1595" t="inlineStr">
        <is>
          <t>Ja</t>
        </is>
      </c>
      <c r="Y1595" t="inlineStr">
        <is>
          <t>Ja</t>
        </is>
      </c>
      <c r="Z1595" t="inlineStr">
        <is>
          <t>Nej</t>
        </is>
      </c>
      <c r="AA1595" t="n">
        <v>6</v>
      </c>
      <c r="AB1595" t="inlineStr">
        <is>
          <t>Lakvattenhantering</t>
        </is>
      </c>
      <c r="AC1595" t="inlineStr">
        <is>
          <t>Flodesschema dagvatten-lakvatten</t>
        </is>
      </c>
      <c r="AD1595" t="inlineStr">
        <is>
          <t>Nej</t>
        </is>
      </c>
      <c r="AE1595" t="inlineStr">
        <is>
          <t>Nej</t>
        </is>
      </c>
      <c r="AF1595" t="inlineStr">
        <is>
          <t>Ej behandlad</t>
        </is>
      </c>
      <c r="AG1595" t="inlineStr">
        <is>
          <t>AUTO_GENERERAD. Verifiera citat mot kallfil.</t>
        </is>
      </c>
      <c r="AH1595" t="inlineStr">
        <is>
          <t>HIGH</t>
        </is>
      </c>
      <c r="AI1595" t="inlineStr">
        <is>
          <t>AUTO</t>
        </is>
      </c>
      <c r="AJ1595" t="inlineStr">
        <is>
          <t>Nej</t>
        </is>
      </c>
      <c r="AK1595" t="inlineStr"/>
      <c r="AL1595" t="inlineStr"/>
      <c r="AM1595" t="inlineStr"/>
      <c r="AN1595" t="inlineStr"/>
      <c r="AO1595" t="inlineStr">
        <is>
          <t>cmm4yuodd01itcuqwsu3925ep</t>
        </is>
      </c>
      <c r="AP1595" t="inlineStr">
        <is>
          <t>http://localhost:8787/api/admin/requirements/documents/cmm4yuodd01itcuqwsu3925ep/view</t>
        </is>
      </c>
      <c r="AQ1595">
        <f>HYPERLÄNK("http://localhost:8787/api/admin/requirements/documents/cmm4yuodd01itcuqwsu3925ep/view";"Öppna PDF")</f>
        <v/>
      </c>
      <c r="AR1595">
        <f>HYPERLINK("http://localhost:8787/api/admin/requirements/documents/cmm4yuodd01itcuqwsu3925ep/view","Open PDF")</f>
        <v/>
      </c>
      <c r="AS1595" t="inlineStr">
        <is>
          <t>cmm55w57p0004cuisfrtpqly8</t>
        </is>
      </c>
      <c r="AT1595" t="inlineStr">
        <is>
          <t>cmm4xvu980000cuh4vj0usz09</t>
        </is>
      </c>
      <c r="AU1595" t="inlineStr"/>
      <c r="AV1595" t="inlineStr">
        <is>
          <t>Kommun</t>
        </is>
      </c>
      <c r="AW1595" t="inlineStr"/>
      <c r="AX1595" t="inlineStr">
        <is>
          <t>2024-66</t>
        </is>
      </c>
      <c r="AY1595" t="inlineStr">
        <is>
          <t>Beslut</t>
        </is>
      </c>
      <c r="AZ1595" t="inlineStr">
        <is>
          <t>2026-02-03</t>
        </is>
      </c>
      <c r="BA1595" t="inlineStr">
        <is>
          <t>Beslut om användning av avfall för anläggningsändamål.pdf</t>
        </is>
      </c>
      <c r="BB1595" t="inlineStr">
        <is>
          <t>Ärende  2024-66</t>
        </is>
      </c>
      <c r="BC1595" t="inlineStr">
        <is>
          <t>AUTO</t>
        </is>
      </c>
      <c r="BD1595" t="inlineStr"/>
      <c r="BE1595" t="inlineStr"/>
      <c r="BF1595" t="inlineStr">
        <is>
          <t>AUTO_GENERERAD. Bekrafta metadata mot kallfil.</t>
        </is>
      </c>
      <c r="BG1595">
        <f>HYPERLINK("C:\Users\jimmy\Desktop\Examens arbete\Kod\Ny mapp\remix_-copy-of-miljöbeslut.se-portal\Beslut om användning av avfall för anläggningsändamål.pdf", "Öppna PDF")</f>
        <v/>
      </c>
    </row>
    <row r="1596">
      <c r="A1596" t="inlineStr">
        <is>
          <t>KRAV-AUTO-001595</t>
        </is>
      </c>
      <c r="B1596" t="inlineStr">
        <is>
          <t>ADMIN-INDEX-2026-02-27-00000000125C043F57453246863FE664CAFE6A3F0700950291EA24F0614FB6ACEDB12BF0E31D00000000010C0000950291EA24F0614FB6ACEDB12BF0E31D00002087AEE40000</t>
        </is>
      </c>
      <c r="C1596" t="inlineStr">
        <is>
          <t>cmm4yuock01i5cuqwjn9rp4vs</t>
        </is>
      </c>
      <c r="D1596" t="inlineStr">
        <is>
          <t>http://localhost:8787/api/admin/requirements/documents/cmm4yuock01i5cuqwjn9rp4vs/view</t>
        </is>
      </c>
      <c r="E1596">
        <f>HYPERLÄNK("http://localhost:8787/api/admin/requirements/documents/cmm4yuock01i5cuqwjn9rp4vs/view";"Öppna PDF")</f>
        <v/>
      </c>
      <c r="F1596">
        <f>HYPERLINK("http://localhost:8787/api/admin/requirements/documents/cmm4yuock01i5cuqwjn9rp4vs/view","Open PDF")</f>
        <v/>
      </c>
      <c r="G1596" t="inlineStr">
        <is>
          <t>cmm55w57p0004cuisfrtpqly8</t>
        </is>
      </c>
      <c r="H1596" t="inlineStr">
        <is>
          <t>Beslutsvillkor</t>
        </is>
      </c>
      <c r="I1596" t="inlineStr">
        <is>
          <t>MiljopaverkanForsiktighet</t>
        </is>
      </c>
      <c r="J1596" t="inlineStr">
        <is>
          <t>Skyddsatgarder</t>
        </is>
      </c>
      <c r="K1596" t="inlineStr">
        <is>
          <t>Anmälan gäller användning av 3000 m3 skärsandsavfall från verksamhetens egen verksamhet som utfyllnad i mark vid anläggande av grusplan på fastigheten Grönalid 1:22.</t>
        </is>
      </c>
      <c r="L1596" t="inlineStr">
        <is>
          <t>Anmälan gäller användning av 3000 m3 skärsandsavfall från verksamhetens egen verksamhet som utfyllnad i mark vid anläggande av grusplan på fastigheten Grönalid 1:22.</t>
        </is>
      </c>
      <c r="M1596" t="inlineStr">
        <is>
          <t>SKA</t>
        </is>
      </c>
      <c r="N1596" t="inlineStr"/>
      <c r="O1596" t="inlineStr"/>
      <c r="P1596" t="inlineStr"/>
      <c r="Q1596" t="inlineStr"/>
      <c r="R1596" t="inlineStr">
        <is>
          <t>Alltid</t>
        </is>
      </c>
      <c r="S1596" t="inlineStr"/>
      <c r="T1596" t="inlineStr">
        <is>
          <t>120117</t>
        </is>
      </c>
      <c r="U1596" t="inlineStr"/>
      <c r="V1596" t="inlineStr"/>
      <c r="W1596" t="inlineStr">
        <is>
          <t>Nej</t>
        </is>
      </c>
      <c r="X1596" t="inlineStr">
        <is>
          <t>Nej</t>
        </is>
      </c>
      <c r="Y1596" t="inlineStr">
        <is>
          <t>Nej</t>
        </is>
      </c>
      <c r="Z1596" t="inlineStr">
        <is>
          <t>Nej</t>
        </is>
      </c>
      <c r="AA1596" t="n">
        <v>10</v>
      </c>
      <c r="AB1596" t="inlineStr">
        <is>
          <t>Miljopaverkan och forsiktighetsmatt</t>
        </is>
      </c>
      <c r="AC1596" t="inlineStr">
        <is>
          <t>Miljo-PM</t>
        </is>
      </c>
      <c r="AD1596" t="inlineStr">
        <is>
          <t>Nej</t>
        </is>
      </c>
      <c r="AE1596" t="inlineStr">
        <is>
          <t>Nej</t>
        </is>
      </c>
      <c r="AF1596" t="inlineStr">
        <is>
          <t>Ej behandlad</t>
        </is>
      </c>
      <c r="AG1596" t="inlineStr">
        <is>
          <t>AUTO_GENERERAD. Verifiera citat mot kallfil.</t>
        </is>
      </c>
      <c r="AH1596" t="inlineStr">
        <is>
          <t>MEDIUM</t>
        </is>
      </c>
      <c r="AI1596" t="inlineStr">
        <is>
          <t>AUTO</t>
        </is>
      </c>
      <c r="AJ1596" t="inlineStr">
        <is>
          <t>Nej</t>
        </is>
      </c>
      <c r="AK1596" t="inlineStr"/>
      <c r="AL1596" t="inlineStr"/>
      <c r="AM1596" t="inlineStr"/>
      <c r="AN1596" t="inlineStr"/>
      <c r="AO1596" t="inlineStr">
        <is>
          <t>cmm4yuock01i5cuqwjn9rp4vs</t>
        </is>
      </c>
      <c r="AP1596" t="inlineStr">
        <is>
          <t>http://localhost:8787/api/admin/requirements/documents/cmm4yuock01i5cuqwjn9rp4vs/view</t>
        </is>
      </c>
      <c r="AQ1596">
        <f>HYPERLÄNK("http://localhost:8787/api/admin/requirements/documents/cmm4yuock01i5cuqwjn9rp4vs/view";"Öppna PDF")</f>
        <v/>
      </c>
      <c r="AR1596">
        <f>HYPERLINK("http://localhost:8787/api/admin/requirements/documents/cmm4yuock01i5cuqwjn9rp4vs/view","Open PDF")</f>
        <v/>
      </c>
      <c r="AS1596" t="inlineStr">
        <is>
          <t>cmm55w57p0004cuisfrtpqly8</t>
        </is>
      </c>
      <c r="AT1596" t="inlineStr">
        <is>
          <t>cmm4xvu980000cuh4vj0usz09</t>
        </is>
      </c>
      <c r="AU1596" t="inlineStr"/>
      <c r="AV1596" t="inlineStr">
        <is>
          <t>Kommun</t>
        </is>
      </c>
      <c r="AW1596" t="inlineStr"/>
      <c r="AX1596" t="inlineStr">
        <is>
          <t>2024-66</t>
        </is>
      </c>
      <c r="AY1596" t="inlineStr">
        <is>
          <t>Beslut</t>
        </is>
      </c>
      <c r="AZ1596" t="inlineStr">
        <is>
          <t>2026-02-03</t>
        </is>
      </c>
      <c r="BA1596" t="inlineStr">
        <is>
          <t>Beslut om användning av avfall för anläggningsändamål.pdf</t>
        </is>
      </c>
      <c r="BB1596" t="inlineStr">
        <is>
          <t>Ärende  2024-66</t>
        </is>
      </c>
      <c r="BC1596" t="inlineStr">
        <is>
          <t>AUTO</t>
        </is>
      </c>
      <c r="BD1596" t="inlineStr"/>
      <c r="BE1596" t="inlineStr"/>
      <c r="BF1596" t="inlineStr">
        <is>
          <t>AUTO_GENERERAD. Bekrafta metadata mot kallfil.</t>
        </is>
      </c>
      <c r="BG1596">
        <f>HYPERLINK("C:\Users\jimmy\Desktop\Examens arbete\Kod\Ny mapp\remix_-copy-of-miljöbeslut.se-portal\Beslut om användning av avfall för anläggningsändamål.pdf", "Öppna PDF")</f>
        <v/>
      </c>
    </row>
    <row r="1597">
      <c r="A1597" t="inlineStr">
        <is>
          <t>KRAV-AUTO-001596</t>
        </is>
      </c>
      <c r="B1597" t="inlineStr">
        <is>
          <t>ADMIN-INDEX-2026-02-27-00000000125C043F57453246863FE664CAFE6A3F0700950291EA24F0614FB6ACEDB12BF0E31D00000000010C0000950291EA24F0614FB6ACEDB12BF0E31D00002087AEE40000</t>
        </is>
      </c>
      <c r="C1597" t="inlineStr">
        <is>
          <t>cmm4yuoc801htcuqwejdp0pk8</t>
        </is>
      </c>
      <c r="D1597" t="inlineStr">
        <is>
          <t>http://localhost:8787/api/admin/requirements/documents/cmm4yuoc801htcuqwejdp0pk8/view</t>
        </is>
      </c>
      <c r="E1597">
        <f>HYPERLÄNK("http://localhost:8787/api/admin/requirements/documents/cmm4yuoc801htcuqwejdp0pk8/view";"Öppna PDF")</f>
        <v/>
      </c>
      <c r="F1597">
        <f>HYPERLINK("http://localhost:8787/api/admin/requirements/documents/cmm4yuoc801htcuqwejdp0pk8/view","Open PDF")</f>
        <v/>
      </c>
      <c r="G1597" t="inlineStr">
        <is>
          <t>cmm55w57p0004cuisfrtpqly8</t>
        </is>
      </c>
      <c r="H1597" t="inlineStr">
        <is>
          <t>Beslutsvillkor</t>
        </is>
      </c>
      <c r="I1597" t="inlineStr">
        <is>
          <t>DriftEgenkontroll</t>
        </is>
      </c>
      <c r="J1597" t="inlineStr">
        <is>
          <t>Journalforing</t>
        </is>
      </c>
      <c r="K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7" t="inlineStr">
        <is>
          <t>SKA</t>
        </is>
      </c>
      <c r="N1597" t="inlineStr"/>
      <c r="O1597" t="inlineStr">
        <is>
          <t>2016-04-05</t>
        </is>
      </c>
      <c r="P1597" t="inlineStr"/>
      <c r="Q1597" t="inlineStr"/>
      <c r="R1597" t="inlineStr">
        <is>
          <t>Lopande drift</t>
        </is>
      </c>
      <c r="S1597" t="inlineStr"/>
      <c r="T1597" t="inlineStr">
        <is>
          <t>25 49 00</t>
        </is>
      </c>
      <c r="U1597" t="inlineStr"/>
      <c r="V1597" t="inlineStr"/>
      <c r="W1597" t="inlineStr">
        <is>
          <t>Nej</t>
        </is>
      </c>
      <c r="X1597" t="inlineStr">
        <is>
          <t>Nej</t>
        </is>
      </c>
      <c r="Y1597" t="inlineStr">
        <is>
          <t>Ja</t>
        </is>
      </c>
      <c r="Z1597" t="inlineStr">
        <is>
          <t>Nej</t>
        </is>
      </c>
      <c r="AA1597" t="n">
        <v>7</v>
      </c>
      <c r="AB1597" t="inlineStr">
        <is>
          <t>Egenkontrollrutiner</t>
        </is>
      </c>
      <c r="AC1597" t="inlineStr">
        <is>
          <t>Egenkontrollprogram</t>
        </is>
      </c>
      <c r="AD1597" t="inlineStr">
        <is>
          <t>Nej</t>
        </is>
      </c>
      <c r="AE1597" t="inlineStr">
        <is>
          <t>Nej</t>
        </is>
      </c>
      <c r="AF1597" t="inlineStr">
        <is>
          <t>Ej behandlad</t>
        </is>
      </c>
      <c r="AG1597" t="inlineStr">
        <is>
          <t>AUTO_GENERERAD. Verifiera citat mot kallfil.</t>
        </is>
      </c>
      <c r="AH1597" t="inlineStr">
        <is>
          <t>MEDIUM</t>
        </is>
      </c>
      <c r="AI1597" t="inlineStr">
        <is>
          <t>AUTO</t>
        </is>
      </c>
      <c r="AJ1597" t="inlineStr">
        <is>
          <t>Nej</t>
        </is>
      </c>
      <c r="AK1597" t="inlineStr"/>
      <c r="AL1597" t="inlineStr"/>
      <c r="AM1597" t="inlineStr"/>
      <c r="AN1597" t="inlineStr"/>
      <c r="AO1597" t="inlineStr">
        <is>
          <t>cmm4yuock01i5cuqwjn9rp4vs</t>
        </is>
      </c>
      <c r="AP1597" t="inlineStr">
        <is>
          <t>http://localhost:8787/api/admin/requirements/documents/cmm4yuock01i5cuqwjn9rp4vs/view</t>
        </is>
      </c>
      <c r="AQ1597">
        <f>HYPERLÄNK("http://localhost:8787/api/admin/requirements/documents/cmm4yuock01i5cuqwjn9rp4vs/view";"Öppna PDF")</f>
        <v/>
      </c>
      <c r="AR1597">
        <f>HYPERLINK("http://localhost:8787/api/admin/requirements/documents/cmm4yuock01i5cuqwjn9rp4vs/view","Open PDF")</f>
        <v/>
      </c>
      <c r="AS1597" t="inlineStr">
        <is>
          <t>cmm55w57p0004cuisfrtpqly8</t>
        </is>
      </c>
      <c r="AT1597" t="inlineStr">
        <is>
          <t>cmm4xvu980000cuh4vj0usz09</t>
        </is>
      </c>
      <c r="AU1597" t="inlineStr"/>
      <c r="AV1597" t="inlineStr">
        <is>
          <t>Kommun</t>
        </is>
      </c>
      <c r="AW1597" t="inlineStr"/>
      <c r="AX1597" t="inlineStr">
        <is>
          <t>2024-66</t>
        </is>
      </c>
      <c r="AY1597" t="inlineStr">
        <is>
          <t>Beslut</t>
        </is>
      </c>
      <c r="AZ1597" t="inlineStr">
        <is>
          <t>2026-02-03</t>
        </is>
      </c>
      <c r="BA1597" t="inlineStr">
        <is>
          <t>Beslut om användning av avfall för anläggningsändamål.pdf</t>
        </is>
      </c>
      <c r="BB1597" t="inlineStr">
        <is>
          <t>Ärende  2024-66</t>
        </is>
      </c>
      <c r="BC1597" t="inlineStr">
        <is>
          <t>AUTO</t>
        </is>
      </c>
      <c r="BD1597" t="inlineStr"/>
      <c r="BE1597" t="inlineStr"/>
      <c r="BF1597" t="inlineStr">
        <is>
          <t>AUTO_GENERERAD. Bekrafta metadata mot kallfil.</t>
        </is>
      </c>
      <c r="BG1597">
        <f>HYPERLINK("C:\Users\jimmy\Desktop\Examens arbete\Kod\Ny mapp\remix_-copy-of-miljöbeslut.se-portal\Beslut om användning av avfall för anläggningsändamål.pdf", "Öppna PDF")</f>
        <v/>
      </c>
    </row>
    <row r="1598">
      <c r="A1598" t="inlineStr">
        <is>
          <t>KRAV-AUTO-001597</t>
        </is>
      </c>
      <c r="B1598" t="inlineStr">
        <is>
          <t>ADMIN-INDEX-2026-02-27-00000000125C043F57453246863FE664CAFE6A3F0700950291EA24F0614FB6ACEDB12BF0E31D00000000010C0000950291EA24F0614FB6ACEDB12BF0E31D00002087AEE40000</t>
        </is>
      </c>
      <c r="C1598" t="inlineStr">
        <is>
          <t>cmm4yuoc401hqcuqwqsfjcius</t>
        </is>
      </c>
      <c r="D1598" t="inlineStr">
        <is>
          <t>http://localhost:8787/api/admin/requirements/documents/cmm4yuoc401hqcuqwqsfjcius/view</t>
        </is>
      </c>
      <c r="E1598">
        <f>HYPERLÄNK("http://localhost:8787/api/admin/requirements/documents/cmm4yuoc401hqcuqwqsfjcius/view";"Öppna PDF")</f>
        <v/>
      </c>
      <c r="F1598">
        <f>HYPERLINK("http://localhost:8787/api/admin/requirements/documents/cmm4yuoc401hqcuqwqsfjcius/view","Open PDF")</f>
        <v/>
      </c>
      <c r="G1598" t="inlineStr">
        <is>
          <t>cmm55w57p0004cuisfrtpqly8</t>
        </is>
      </c>
      <c r="H1598" t="inlineStr">
        <is>
          <t>Beslutsvillkor</t>
        </is>
      </c>
      <c r="I1598" t="inlineStr">
        <is>
          <t>MiljopaverkanForsiktighet</t>
        </is>
      </c>
      <c r="J1598" t="inlineStr">
        <is>
          <t>Skyddsatgarder</t>
        </is>
      </c>
      <c r="K1598" t="inlineStr">
        <is>
          <t>säkerhetsåtgärder som måste vidtas vid deponering av avfallet Ingen åtgärd krävs 12.</t>
        </is>
      </c>
      <c r="L1598" t="inlineStr">
        <is>
          <t>säkerhetsåtgärder som måste vidtas vid deponering av avfallet Ingen åtgärd krävs 12.</t>
        </is>
      </c>
      <c r="M1598" t="inlineStr">
        <is>
          <t>SKA</t>
        </is>
      </c>
      <c r="N1598" t="inlineStr"/>
      <c r="O1598" t="inlineStr"/>
      <c r="P1598" t="inlineStr"/>
      <c r="Q1598" t="inlineStr"/>
      <c r="R1598" t="inlineStr">
        <is>
          <t>Alltid</t>
        </is>
      </c>
      <c r="S1598" t="inlineStr"/>
      <c r="T1598" t="inlineStr">
        <is>
          <t>594996</t>
        </is>
      </c>
      <c r="U1598" t="inlineStr"/>
      <c r="V1598" t="inlineStr"/>
      <c r="W1598" t="inlineStr">
        <is>
          <t>Nej</t>
        </is>
      </c>
      <c r="X1598" t="inlineStr">
        <is>
          <t>Nej</t>
        </is>
      </c>
      <c r="Y1598" t="inlineStr">
        <is>
          <t>Nej</t>
        </is>
      </c>
      <c r="Z1598" t="inlineStr">
        <is>
          <t>Nej</t>
        </is>
      </c>
      <c r="AA1598" t="n">
        <v>10</v>
      </c>
      <c r="AB1598" t="inlineStr">
        <is>
          <t>Miljopaverkan och forsiktighetsmatt</t>
        </is>
      </c>
      <c r="AC1598" t="inlineStr">
        <is>
          <t>Miljo-PM</t>
        </is>
      </c>
      <c r="AD1598" t="inlineStr">
        <is>
          <t>Nej</t>
        </is>
      </c>
      <c r="AE1598" t="inlineStr">
        <is>
          <t>Nej</t>
        </is>
      </c>
      <c r="AF1598" t="inlineStr">
        <is>
          <t>Ej behandlad</t>
        </is>
      </c>
      <c r="AG1598" t="inlineStr">
        <is>
          <t>AUTO_GENERERAD. Verifiera citat mot kallfil.</t>
        </is>
      </c>
      <c r="AH1598" t="inlineStr">
        <is>
          <t>MEDIUM</t>
        </is>
      </c>
      <c r="AI1598" t="inlineStr">
        <is>
          <t>AUTO</t>
        </is>
      </c>
      <c r="AJ1598" t="inlineStr">
        <is>
          <t>Nej</t>
        </is>
      </c>
      <c r="AK1598" t="inlineStr"/>
      <c r="AL1598" t="inlineStr"/>
      <c r="AM1598" t="inlineStr"/>
      <c r="AN1598" t="inlineStr"/>
      <c r="AO1598" t="inlineStr">
        <is>
          <t>cmm4yuock01i5cuqwjn9rp4vs</t>
        </is>
      </c>
      <c r="AP1598" t="inlineStr">
        <is>
          <t>http://localhost:8787/api/admin/requirements/documents/cmm4yuock01i5cuqwjn9rp4vs/view</t>
        </is>
      </c>
      <c r="AQ1598">
        <f>HYPERLÄNK("http://localhost:8787/api/admin/requirements/documents/cmm4yuock01i5cuqwjn9rp4vs/view";"Öppna PDF")</f>
        <v/>
      </c>
      <c r="AR1598">
        <f>HYPERLINK("http://localhost:8787/api/admin/requirements/documents/cmm4yuock01i5cuqwjn9rp4vs/view","Open PDF")</f>
        <v/>
      </c>
      <c r="AS1598" t="inlineStr">
        <is>
          <t>cmm55w57p0004cuisfrtpqly8</t>
        </is>
      </c>
      <c r="AT1598" t="inlineStr">
        <is>
          <t>cmm4xvu980000cuh4vj0usz09</t>
        </is>
      </c>
      <c r="AU1598" t="inlineStr"/>
      <c r="AV1598" t="inlineStr">
        <is>
          <t>Kommun</t>
        </is>
      </c>
      <c r="AW1598" t="inlineStr"/>
      <c r="AX1598" t="inlineStr">
        <is>
          <t>2024-66</t>
        </is>
      </c>
      <c r="AY1598" t="inlineStr">
        <is>
          <t>Beslut</t>
        </is>
      </c>
      <c r="AZ1598" t="inlineStr">
        <is>
          <t>2026-02-03</t>
        </is>
      </c>
      <c r="BA1598" t="inlineStr">
        <is>
          <t>Beslut om användning av avfall för anläggningsändamål.pdf</t>
        </is>
      </c>
      <c r="BB1598" t="inlineStr">
        <is>
          <t>Ärende  2024-66</t>
        </is>
      </c>
      <c r="BC1598" t="inlineStr">
        <is>
          <t>AUTO</t>
        </is>
      </c>
      <c r="BD1598" t="inlineStr"/>
      <c r="BE1598" t="inlineStr"/>
      <c r="BF1598" t="inlineStr">
        <is>
          <t>AUTO_GENERERAD. Bekrafta metadata mot kallfil.</t>
        </is>
      </c>
      <c r="BG1598">
        <f>HYPERLINK("C:\Users\jimmy\Desktop\Examens arbete\Kod\Ny mapp\remix_-copy-of-miljöbeslut.se-portal\Beslut om användning av avfall för anläggningsändamål.pdf", "Öppna PDF")</f>
        <v/>
      </c>
    </row>
    <row r="1599">
      <c r="A1599" t="inlineStr">
        <is>
          <t>KRAV-AUTO-001598</t>
        </is>
      </c>
      <c r="B1599" t="inlineStr">
        <is>
          <t>ADMIN-INDEX-2026-02-27-00000000125C043F57453246863FE664CAFE6A3F0700950291EA24F0614FB6ACEDB12BF0E31D00000000010C0000950291EA24F0614FB6ACEDB12BF0E31D00002087AEE40000</t>
        </is>
      </c>
      <c r="C1599" t="inlineStr">
        <is>
          <t>cmm4yuoc401hqcuqwqsfjcius</t>
        </is>
      </c>
      <c r="D1599" t="inlineStr">
        <is>
          <t>http://localhost:8787/api/admin/requirements/documents/cmm4yuoc401hqcuqwqsfjcius/view</t>
        </is>
      </c>
      <c r="E1599">
        <f>HYPERLÄNK("http://localhost:8787/api/admin/requirements/documents/cmm4yuoc401hqcuqwqsfjcius/view";"Öppna PDF")</f>
        <v/>
      </c>
      <c r="F1599">
        <f>HYPERLINK("http://localhost:8787/api/admin/requirements/documents/cmm4yuoc401hqcuqwqsfjcius/view","Open PDF")</f>
        <v/>
      </c>
      <c r="G1599" t="inlineStr">
        <is>
          <t>cmm55w57p0004cuisfrtpqly8</t>
        </is>
      </c>
      <c r="H1599" t="inlineStr">
        <is>
          <t>Beslutsvillkor</t>
        </is>
      </c>
      <c r="I1599" t="inlineStr">
        <is>
          <t>MiljopaverkanForsiktighet</t>
        </is>
      </c>
      <c r="J1599" t="inlineStr">
        <is>
          <t>Skyddsatgarder</t>
        </is>
      </c>
      <c r="K1599" t="inlineStr">
        <is>
          <t>Avfallets ursprung (bransch) Abrasiv Vattenskärning 4.</t>
        </is>
      </c>
      <c r="L1599" t="inlineStr">
        <is>
          <t>Avfallets ursprung (bransch) Abrasiv Vattenskärning 4.</t>
        </is>
      </c>
      <c r="M1599" t="inlineStr">
        <is>
          <t>SKA</t>
        </is>
      </c>
      <c r="N1599" t="inlineStr"/>
      <c r="O1599" t="inlineStr"/>
      <c r="P1599" t="inlineStr"/>
      <c r="Q1599" t="inlineStr"/>
      <c r="R1599" t="inlineStr">
        <is>
          <t>Alltid</t>
        </is>
      </c>
      <c r="S1599" t="inlineStr"/>
      <c r="T1599" t="inlineStr">
        <is>
          <t>594996</t>
        </is>
      </c>
      <c r="U1599" t="inlineStr"/>
      <c r="V1599" t="inlineStr"/>
      <c r="W1599" t="inlineStr">
        <is>
          <t>Nej</t>
        </is>
      </c>
      <c r="X1599" t="inlineStr">
        <is>
          <t>Nej</t>
        </is>
      </c>
      <c r="Y1599" t="inlineStr">
        <is>
          <t>Nej</t>
        </is>
      </c>
      <c r="Z1599" t="inlineStr">
        <is>
          <t>Nej</t>
        </is>
      </c>
      <c r="AA1599" t="n">
        <v>10</v>
      </c>
      <c r="AB1599" t="inlineStr">
        <is>
          <t>Miljopaverkan och forsiktighetsmatt</t>
        </is>
      </c>
      <c r="AC1599" t="inlineStr">
        <is>
          <t>Miljo-PM</t>
        </is>
      </c>
      <c r="AD1599" t="inlineStr">
        <is>
          <t>Nej</t>
        </is>
      </c>
      <c r="AE1599" t="inlineStr">
        <is>
          <t>Nej</t>
        </is>
      </c>
      <c r="AF1599" t="inlineStr">
        <is>
          <t>Ej behandlad</t>
        </is>
      </c>
      <c r="AG1599" t="inlineStr">
        <is>
          <t>AUTO_GENERERAD. Verifiera citat mot kallfil.</t>
        </is>
      </c>
      <c r="AH1599" t="inlineStr">
        <is>
          <t>MEDIUM</t>
        </is>
      </c>
      <c r="AI1599" t="inlineStr">
        <is>
          <t>AUTO</t>
        </is>
      </c>
      <c r="AJ1599" t="inlineStr">
        <is>
          <t>Nej</t>
        </is>
      </c>
      <c r="AK1599" t="inlineStr"/>
      <c r="AL1599" t="inlineStr"/>
      <c r="AM1599" t="inlineStr"/>
      <c r="AN1599" t="inlineStr"/>
      <c r="AO1599" t="inlineStr">
        <is>
          <t>cmm4yuock01i5cuqwjn9rp4vs</t>
        </is>
      </c>
      <c r="AP1599" t="inlineStr">
        <is>
          <t>http://localhost:8787/api/admin/requirements/documents/cmm4yuock01i5cuqwjn9rp4vs/view</t>
        </is>
      </c>
      <c r="AQ1599">
        <f>HYPERLÄNK("http://localhost:8787/api/admin/requirements/documents/cmm4yuock01i5cuqwjn9rp4vs/view";"Öppna PDF")</f>
        <v/>
      </c>
      <c r="AR1599">
        <f>HYPERLINK("http://localhost:8787/api/admin/requirements/documents/cmm4yuock01i5cuqwjn9rp4vs/view","Open PDF")</f>
        <v/>
      </c>
      <c r="AS1599" t="inlineStr">
        <is>
          <t>cmm55w57p0004cuisfrtpqly8</t>
        </is>
      </c>
      <c r="AT1599" t="inlineStr">
        <is>
          <t>cmm4xvu980000cuh4vj0usz09</t>
        </is>
      </c>
      <c r="AU1599" t="inlineStr"/>
      <c r="AV1599" t="inlineStr">
        <is>
          <t>Kommun</t>
        </is>
      </c>
      <c r="AW1599" t="inlineStr"/>
      <c r="AX1599" t="inlineStr">
        <is>
          <t>2024-66</t>
        </is>
      </c>
      <c r="AY1599" t="inlineStr">
        <is>
          <t>Beslut</t>
        </is>
      </c>
      <c r="AZ1599" t="inlineStr">
        <is>
          <t>2026-02-03</t>
        </is>
      </c>
      <c r="BA1599" t="inlineStr">
        <is>
          <t>Beslut om användning av avfall för anläggningsändamål.pdf</t>
        </is>
      </c>
      <c r="BB1599" t="inlineStr">
        <is>
          <t>Ärende  2024-66</t>
        </is>
      </c>
      <c r="BC1599" t="inlineStr">
        <is>
          <t>AUTO</t>
        </is>
      </c>
      <c r="BD1599" t="inlineStr"/>
      <c r="BE1599" t="inlineStr"/>
      <c r="BF1599" t="inlineStr">
        <is>
          <t>AUTO_GENERERAD. Bekrafta metadata mot kallfil.</t>
        </is>
      </c>
      <c r="BG1599">
        <f>HYPERLINK("C:\Users\jimmy\Desktop\Examens arbete\Kod\Ny mapp\remix_-copy-of-miljöbeslut.se-portal\Beslut om användning av avfall för anläggningsändamål.pdf", "Öppna PDF")</f>
        <v/>
      </c>
    </row>
    <row r="1600">
      <c r="A1600" t="inlineStr">
        <is>
          <t>KRAV-AUTO-001599</t>
        </is>
      </c>
      <c r="B1600" t="inlineStr">
        <is>
          <t>ADMIN-INDEX-2026-02-27-00000000125C043F57453246863FE664CAFE6A3F0700950291EA24F0614FB6ACEDB12BF0E31D00000000010C0000950291EA24F0614FB6ACEDB12BF0E31D00002087AEE40000</t>
        </is>
      </c>
      <c r="C1600" t="inlineStr">
        <is>
          <t>cmm4yuoc401hqcuqwqsfjcius</t>
        </is>
      </c>
      <c r="D1600" t="inlineStr">
        <is>
          <t>http://localhost:8787/api/admin/requirements/documents/cmm4yuoc401hqcuqwqsfjcius/view</t>
        </is>
      </c>
      <c r="E1600">
        <f>HYPERLÄNK("http://localhost:8787/api/admin/requirements/documents/cmm4yuoc401hqcuqwqsfjcius/view";"Öppna PDF")</f>
        <v/>
      </c>
      <c r="F1600">
        <f>HYPERLINK("http://localhost:8787/api/admin/requirements/documents/cmm4yuoc401hqcuqwqsfjcius/view","Open PDF")</f>
        <v/>
      </c>
      <c r="G1600" t="inlineStr">
        <is>
          <t>cmm55w57p0004cuisfrtpqly8</t>
        </is>
      </c>
      <c r="H1600" t="inlineStr">
        <is>
          <t>Beslutsvillkor</t>
        </is>
      </c>
      <c r="I1600" t="inlineStr">
        <is>
          <t>MiljopaverkanForsiktighet</t>
        </is>
      </c>
      <c r="J1600" t="inlineStr">
        <is>
          <t>Skyddsatgarder</t>
        </is>
      </c>
      <c r="K1600" t="inlineStr">
        <is>
          <t>Variation i avfallets sammansättning samt de karakteristiska egenskapernas variation Metallhalten varierar mellan 1-5% 14.</t>
        </is>
      </c>
      <c r="L1600" t="inlineStr">
        <is>
          <t>Variation i avfallets sammansättning samt de karakteristiska egenskapernas variation Metallhalten varierar mellan 1-5% 14.</t>
        </is>
      </c>
      <c r="M1600" t="inlineStr">
        <is>
          <t>SKA</t>
        </is>
      </c>
      <c r="N1600" t="inlineStr"/>
      <c r="O1600" t="inlineStr"/>
      <c r="P1600" t="inlineStr"/>
      <c r="Q1600" t="inlineStr"/>
      <c r="R1600" t="inlineStr">
        <is>
          <t>Alltid</t>
        </is>
      </c>
      <c r="S1600" t="inlineStr"/>
      <c r="T1600" t="inlineStr">
        <is>
          <t>594996</t>
        </is>
      </c>
      <c r="U1600" t="inlineStr"/>
      <c r="V1600" t="inlineStr"/>
      <c r="W1600" t="inlineStr">
        <is>
          <t>Nej</t>
        </is>
      </c>
      <c r="X1600" t="inlineStr">
        <is>
          <t>Nej</t>
        </is>
      </c>
      <c r="Y1600" t="inlineStr">
        <is>
          <t>Nej</t>
        </is>
      </c>
      <c r="Z1600" t="inlineStr">
        <is>
          <t>Nej</t>
        </is>
      </c>
      <c r="AA1600" t="n">
        <v>10</v>
      </c>
      <c r="AB1600" t="inlineStr">
        <is>
          <t>Miljopaverkan och forsiktighetsmatt</t>
        </is>
      </c>
      <c r="AC1600" t="inlineStr">
        <is>
          <t>Miljo-PM</t>
        </is>
      </c>
      <c r="AD1600" t="inlineStr">
        <is>
          <t>Nej</t>
        </is>
      </c>
      <c r="AE1600" t="inlineStr">
        <is>
          <t>Nej</t>
        </is>
      </c>
      <c r="AF1600" t="inlineStr">
        <is>
          <t>Ej behandlad</t>
        </is>
      </c>
      <c r="AG1600" t="inlineStr">
        <is>
          <t>AUTO_GENERERAD. Verifiera citat mot kallfil.</t>
        </is>
      </c>
      <c r="AH1600" t="inlineStr">
        <is>
          <t>MEDIUM</t>
        </is>
      </c>
      <c r="AI1600" t="inlineStr">
        <is>
          <t>AUTO</t>
        </is>
      </c>
      <c r="AJ1600" t="inlineStr">
        <is>
          <t>Nej</t>
        </is>
      </c>
      <c r="AK1600" t="inlineStr"/>
      <c r="AL1600" t="inlineStr"/>
      <c r="AM1600" t="inlineStr"/>
      <c r="AN1600" t="inlineStr"/>
      <c r="AO1600" t="inlineStr">
        <is>
          <t>cmm4yuock01i5cuqwjn9rp4vs</t>
        </is>
      </c>
      <c r="AP1600" t="inlineStr">
        <is>
          <t>http://localhost:8787/api/admin/requirements/documents/cmm4yuock01i5cuqwjn9rp4vs/view</t>
        </is>
      </c>
      <c r="AQ1600">
        <f>HYPERLÄNK("http://localhost:8787/api/admin/requirements/documents/cmm4yuock01i5cuqwjn9rp4vs/view";"Öppna PDF")</f>
        <v/>
      </c>
      <c r="AR1600">
        <f>HYPERLINK("http://localhost:8787/api/admin/requirements/documents/cmm4yuock01i5cuqwjn9rp4vs/view","Open PDF")</f>
        <v/>
      </c>
      <c r="AS1600" t="inlineStr">
        <is>
          <t>cmm55w57p0004cuisfrtpqly8</t>
        </is>
      </c>
      <c r="AT1600" t="inlineStr">
        <is>
          <t>cmm4xvu980000cuh4vj0usz09</t>
        </is>
      </c>
      <c r="AU1600" t="inlineStr"/>
      <c r="AV1600" t="inlineStr">
        <is>
          <t>Kommun</t>
        </is>
      </c>
      <c r="AW1600" t="inlineStr"/>
      <c r="AX1600" t="inlineStr">
        <is>
          <t>2024-66</t>
        </is>
      </c>
      <c r="AY1600" t="inlineStr">
        <is>
          <t>Beslut</t>
        </is>
      </c>
      <c r="AZ1600" t="inlineStr">
        <is>
          <t>2026-02-03</t>
        </is>
      </c>
      <c r="BA1600" t="inlineStr">
        <is>
          <t>Beslut om användning av avfall för anläggningsändamål.pdf</t>
        </is>
      </c>
      <c r="BB1600" t="inlineStr">
        <is>
          <t>Ärende  2024-66</t>
        </is>
      </c>
      <c r="BC1600" t="inlineStr">
        <is>
          <t>AUTO</t>
        </is>
      </c>
      <c r="BD1600" t="inlineStr"/>
      <c r="BE1600" t="inlineStr"/>
      <c r="BF1600" t="inlineStr">
        <is>
          <t>AUTO_GENERERAD. Bekrafta metadata mot kallfil.</t>
        </is>
      </c>
      <c r="BG1600">
        <f>HYPERLINK("C:\Users\jimmy\Desktop\Examens arbete\Kod\Ny mapp\remix_-copy-of-miljöbeslut.se-portal\Beslut om användning av avfall för anläggningsändamål.pdf", "Öppna PDF")</f>
        <v/>
      </c>
    </row>
    <row r="1601">
      <c r="A1601" t="inlineStr">
        <is>
          <t>KRAV-AUTO-001600</t>
        </is>
      </c>
      <c r="B1601" t="inlineStr">
        <is>
          <t>ADMIN-INDEX-2026-02-27-00000000125C043F57453246863FE664CAFE6A3F0700950291EA24F0614FB6ACEDB12BF0E31D00000000010C0000950291EA24F0614FB6ACEDB12BF0E31D00002087AEE40000</t>
        </is>
      </c>
      <c r="C1601" t="inlineStr">
        <is>
          <t>cmm4yuobw01hkcuqwmy92j787</t>
        </is>
      </c>
      <c r="D1601" t="inlineStr">
        <is>
          <t>http://localhost:8787/api/admin/requirements/documents/cmm4yuobw01hkcuqwmy92j787/view</t>
        </is>
      </c>
      <c r="E1601">
        <f>HYPERLÄNK("http://localhost:8787/api/admin/requirements/documents/cmm4yuobw01hkcuqwmy92j787/view";"Öppna PDF")</f>
        <v/>
      </c>
      <c r="F1601">
        <f>HYPERLINK("http://localhost:8787/api/admin/requirements/documents/cmm4yuobw01hkcuqwmy92j787/view","Open PDF")</f>
        <v/>
      </c>
      <c r="G1601" t="inlineStr">
        <is>
          <t>cmm55w57p0004cuisfrtpqly8</t>
        </is>
      </c>
      <c r="H1601" t="inlineStr">
        <is>
          <t>Informationskrav</t>
        </is>
      </c>
      <c r="I1601" t="inlineStr">
        <is>
          <t>DagvattenLakvatten</t>
        </is>
      </c>
      <c r="J1601" t="inlineStr">
        <is>
          <t>Uppsamling</t>
        </is>
      </c>
      <c r="K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t>
        </is>
      </c>
      <c r="M1601" t="inlineStr">
        <is>
          <t>SKA</t>
        </is>
      </c>
      <c r="N1601" t="inlineStr">
        <is>
          <t>Miljobalken</t>
        </is>
      </c>
      <c r="O1601" t="inlineStr">
        <is>
          <t>2024-03-08</t>
        </is>
      </c>
      <c r="P1601" t="inlineStr">
        <is>
          <t>Arlig</t>
        </is>
      </c>
      <c r="Q1601" t="inlineStr"/>
      <c r="R1601" t="inlineStr">
        <is>
          <t>Vid nederbord och avrinning</t>
        </is>
      </c>
      <c r="S1601" t="inlineStr"/>
      <c r="T1601" t="inlineStr">
        <is>
          <t>120117</t>
        </is>
      </c>
      <c r="U1601" t="inlineStr"/>
      <c r="V1601" t="inlineStr"/>
      <c r="W1601" t="inlineStr">
        <is>
          <t>Nej</t>
        </is>
      </c>
      <c r="X1601" t="inlineStr">
        <is>
          <t>Ja</t>
        </is>
      </c>
      <c r="Y1601" t="inlineStr">
        <is>
          <t>Ja</t>
        </is>
      </c>
      <c r="Z1601" t="inlineStr">
        <is>
          <t>Nej</t>
        </is>
      </c>
      <c r="AA1601" t="n">
        <v>6</v>
      </c>
      <c r="AB1601" t="inlineStr">
        <is>
          <t>Lakvattenhantering</t>
        </is>
      </c>
      <c r="AC1601" t="inlineStr">
        <is>
          <t>Flodesschema dagvatten-lakvatten</t>
        </is>
      </c>
      <c r="AD1601" t="inlineStr">
        <is>
          <t>Nej</t>
        </is>
      </c>
      <c r="AE1601" t="inlineStr">
        <is>
          <t>Nej</t>
        </is>
      </c>
      <c r="AF1601" t="inlineStr">
        <is>
          <t>Ej behandlad</t>
        </is>
      </c>
      <c r="AG1601" t="inlineStr">
        <is>
          <t>AUTO_GENERERAD. Verifiera citat mot kallfil.</t>
        </is>
      </c>
      <c r="AH1601" t="inlineStr">
        <is>
          <t>HIGH</t>
        </is>
      </c>
      <c r="AI1601" t="inlineStr">
        <is>
          <t>AUTO</t>
        </is>
      </c>
      <c r="AJ1601" t="inlineStr">
        <is>
          <t>Nej</t>
        </is>
      </c>
      <c r="AK1601" t="inlineStr"/>
      <c r="AL1601" t="inlineStr"/>
      <c r="AM1601" t="inlineStr"/>
      <c r="AN1601" t="inlineStr"/>
      <c r="AO1601" t="inlineStr">
        <is>
          <t>cmm4yuock01i5cuqwjn9rp4vs</t>
        </is>
      </c>
      <c r="AP1601" t="inlineStr">
        <is>
          <t>http://localhost:8787/api/admin/requirements/documents/cmm4yuock01i5cuqwjn9rp4vs/view</t>
        </is>
      </c>
      <c r="AQ1601">
        <f>HYPERLÄNK("http://localhost:8787/api/admin/requirements/documents/cmm4yuock01i5cuqwjn9rp4vs/view";"Öppna PDF")</f>
        <v/>
      </c>
      <c r="AR1601">
        <f>HYPERLINK("http://localhost:8787/api/admin/requirements/documents/cmm4yuock01i5cuqwjn9rp4vs/view","Open PDF")</f>
        <v/>
      </c>
      <c r="AS1601" t="inlineStr">
        <is>
          <t>cmm55w57p0004cuisfrtpqly8</t>
        </is>
      </c>
      <c r="AT1601" t="inlineStr">
        <is>
          <t>cmm4xvu980000cuh4vj0usz09</t>
        </is>
      </c>
      <c r="AU1601" t="inlineStr"/>
      <c r="AV1601" t="inlineStr">
        <is>
          <t>Kommun</t>
        </is>
      </c>
      <c r="AW1601" t="inlineStr"/>
      <c r="AX1601" t="inlineStr">
        <is>
          <t>2024-66</t>
        </is>
      </c>
      <c r="AY1601" t="inlineStr">
        <is>
          <t>Beslut</t>
        </is>
      </c>
      <c r="AZ1601" t="inlineStr">
        <is>
          <t>2026-02-03</t>
        </is>
      </c>
      <c r="BA1601" t="inlineStr">
        <is>
          <t>Beslut om användning av avfall för anläggningsändamål.pdf</t>
        </is>
      </c>
      <c r="BB1601" t="inlineStr">
        <is>
          <t>Ärende  2024-66</t>
        </is>
      </c>
      <c r="BC1601" t="inlineStr">
        <is>
          <t>AUTO</t>
        </is>
      </c>
      <c r="BD1601" t="inlineStr"/>
      <c r="BE1601" t="inlineStr"/>
      <c r="BF1601" t="inlineStr">
        <is>
          <t>AUTO_GENERERAD. Bekrafta metadata mot kallfil.</t>
        </is>
      </c>
      <c r="BG1601">
        <f>HYPERLINK("C:\Users\jimmy\Desktop\Examens arbete\Kod\Ny mapp\remix_-copy-of-miljöbeslut.se-portal\Beslut om användning av avfall för anläggningsändamål.pdf", "Öppna PDF")</f>
        <v/>
      </c>
    </row>
    <row r="1602">
      <c r="A1602" t="inlineStr">
        <is>
          <t>KRAV-AUTO-001601</t>
        </is>
      </c>
      <c r="B1602" t="inlineStr">
        <is>
          <t>ADMIN-INDEX-2026-02-27-00000000125C043F57453246863FE664CAFE6A3F0700950291EA24F0614FB6ACEDB12BF0E31D00000000010C0000950291EA24F0614FB6ACEDB12BF0E31D00002087AEE70000</t>
        </is>
      </c>
      <c r="C1602" t="inlineStr">
        <is>
          <t>cmm4yuobl01hbcuqwnu8ceke4</t>
        </is>
      </c>
      <c r="D1602" t="inlineStr">
        <is>
          <t>http://localhost:8787/api/admin/requirements/documents/cmm4yuobl01hbcuqwnu8ceke4/view</t>
        </is>
      </c>
      <c r="E1602">
        <f>HYPERLÄNK("http://localhost:8787/api/admin/requirements/documents/cmm4yuobl01hbcuqwnu8ceke4/view";"Öppna PDF")</f>
        <v/>
      </c>
      <c r="F1602">
        <f>HYPERLINK("http://localhost:8787/api/admin/requirements/documents/cmm4yuobl01hbcuqwnu8ceke4/view","Open PDF")</f>
        <v/>
      </c>
      <c r="G1602" t="inlineStr">
        <is>
          <t>cmm55w57p0004cuisfrtpqly8</t>
        </is>
      </c>
      <c r="H1602" t="inlineStr">
        <is>
          <t>Informationskrav</t>
        </is>
      </c>
      <c r="I1602" t="inlineStr">
        <is>
          <t>DagvattenLakvatten</t>
        </is>
      </c>
      <c r="J1602" t="inlineStr">
        <is>
          <t>Uppsamling</t>
        </is>
      </c>
      <c r="K1602" t="inlineStr">
        <is>
          <t>Ange flöden, utsläppspunkter och uppskattade föroreningsmängder.</t>
        </is>
      </c>
      <c r="L1602" t="inlineStr">
        <is>
          <t>Ange flöden, utsläppspunkter och uppskattade föroreningsmängder.</t>
        </is>
      </c>
      <c r="M1602" t="inlineStr">
        <is>
          <t>SKA</t>
        </is>
      </c>
      <c r="N1602" t="inlineStr">
        <is>
          <t>FMH</t>
        </is>
      </c>
      <c r="O1602" t="inlineStr"/>
      <c r="P1602" t="inlineStr"/>
      <c r="Q1602" t="inlineStr"/>
      <c r="R1602" t="inlineStr">
        <is>
          <t>Vid nederbord och avrinning</t>
        </is>
      </c>
      <c r="S1602" t="inlineStr"/>
      <c r="T1602" t="inlineStr">
        <is>
          <t>556213</t>
        </is>
      </c>
      <c r="U1602" t="inlineStr"/>
      <c r="V1602" t="inlineStr"/>
      <c r="W1602" t="inlineStr">
        <is>
          <t>Nej</t>
        </is>
      </c>
      <c r="X1602" t="inlineStr">
        <is>
          <t>Ja</t>
        </is>
      </c>
      <c r="Y1602" t="inlineStr">
        <is>
          <t>Ja</t>
        </is>
      </c>
      <c r="Z1602" t="inlineStr">
        <is>
          <t>Nej</t>
        </is>
      </c>
      <c r="AA1602" t="n">
        <v>6</v>
      </c>
      <c r="AB1602" t="inlineStr">
        <is>
          <t>Lakvattenhantering</t>
        </is>
      </c>
      <c r="AC1602" t="inlineStr">
        <is>
          <t>Flodesschema dagvatten-lakvatten</t>
        </is>
      </c>
      <c r="AD1602" t="inlineStr">
        <is>
          <t>Nej</t>
        </is>
      </c>
      <c r="AE1602" t="inlineStr">
        <is>
          <t>Nej</t>
        </is>
      </c>
      <c r="AF1602" t="inlineStr">
        <is>
          <t>Ej behandlad</t>
        </is>
      </c>
      <c r="AG1602" t="inlineStr">
        <is>
          <t>AUTO_GENERERAD. Verifiera citat mot kallfil.</t>
        </is>
      </c>
      <c r="AH1602" t="inlineStr">
        <is>
          <t>MEDIUM</t>
        </is>
      </c>
      <c r="AI1602" t="inlineStr">
        <is>
          <t>AUTO</t>
        </is>
      </c>
      <c r="AJ1602" t="inlineStr">
        <is>
          <t>Nej</t>
        </is>
      </c>
      <c r="AK1602" t="inlineStr"/>
      <c r="AL1602" t="inlineStr"/>
      <c r="AM1602" t="inlineStr"/>
      <c r="AN1602" t="inlineStr"/>
      <c r="AO1602" t="inlineStr">
        <is>
          <t>cmm4yuobl01hbcuqwnu8ceke4</t>
        </is>
      </c>
      <c r="AP1602" t="inlineStr">
        <is>
          <t>http://localhost:8787/api/admin/requirements/documents/cmm4yuobl01hbcuqwnu8ceke4/view</t>
        </is>
      </c>
      <c r="AQ1602">
        <f>HYPERLÄNK("http://localhost:8787/api/admin/requirements/documents/cmm4yuobl01hbcuqwnu8ceke4/view";"Öppna PDF")</f>
        <v/>
      </c>
      <c r="AR1602">
        <f>HYPERLINK("http://localhost:8787/api/admin/requirements/documents/cmm4yuobl01hbcuqwnu8ceke4/view","Open PDF")</f>
        <v/>
      </c>
      <c r="AS1602" t="inlineStr">
        <is>
          <t>cmm55w57p0004cuisfrtpqly8</t>
        </is>
      </c>
      <c r="AT1602" t="inlineStr">
        <is>
          <t>cmm4xvu980000cuh4vj0usz09</t>
        </is>
      </c>
      <c r="AU1602" t="inlineStr"/>
      <c r="AV1602" t="inlineStr">
        <is>
          <t>Kommun</t>
        </is>
      </c>
      <c r="AW1602" t="inlineStr"/>
      <c r="AX1602" t="inlineStr">
        <is>
          <t>2023-06</t>
        </is>
      </c>
      <c r="AY1602" t="inlineStr">
        <is>
          <t>Anmalan</t>
        </is>
      </c>
      <c r="AZ1602" t="inlineStr">
        <is>
          <t>2026-02-03</t>
        </is>
      </c>
      <c r="BA1602" t="inlineStr">
        <is>
          <t>Miljöfarlig verksamhet - anmälan - 5762.pdf</t>
        </is>
      </c>
      <c r="BB1602" t="inlineStr">
        <is>
          <t>Avfallsanläggning Aneby</t>
        </is>
      </c>
      <c r="BC1602" t="inlineStr">
        <is>
          <t>AUTO</t>
        </is>
      </c>
      <c r="BD1602" t="inlineStr"/>
      <c r="BE1602" t="inlineStr"/>
      <c r="BF1602" t="inlineStr">
        <is>
          <t>AUTO_GENERERAD. Bekrafta metadata mot kallfil.</t>
        </is>
      </c>
      <c r="BG1602">
        <f>HYPERLINK("C:\Users\jimmy\Desktop\Examens arbete\Kod\Ny mapp\remix_-copy-of-miljöbeslut.se-portal\Miljöfarlig verksamhet - anmälan - 5762.pdf", "Öppna PDF")</f>
        <v/>
      </c>
    </row>
    <row r="1603">
      <c r="A1603" t="inlineStr">
        <is>
          <t>KRAV-AUTO-001602</t>
        </is>
      </c>
      <c r="B1603" t="inlineStr">
        <is>
          <t>ADMIN-INDEX-2026-02-27-00000000125C043F57453246863FE664CAFE6A3F0700950291EA24F0614FB6ACEDB12BF0E31D00000000010C0000950291EA24F0614FB6ACEDB12BF0E31D00002087AEE70000</t>
        </is>
      </c>
      <c r="C1603" t="inlineStr">
        <is>
          <t>cmm4yuobl01hbcuqwnu8ceke4</t>
        </is>
      </c>
      <c r="D1603" t="inlineStr">
        <is>
          <t>http://localhost:8787/api/admin/requirements/documents/cmm4yuobl01hbcuqwnu8ceke4/view</t>
        </is>
      </c>
      <c r="E1603">
        <f>HYPERLÄNK("http://localhost:8787/api/admin/requirements/documents/cmm4yuobl01hbcuqwnu8ceke4/view";"Öppna PDF")</f>
        <v/>
      </c>
      <c r="F1603">
        <f>HYPERLINK("http://localhost:8787/api/admin/requirements/documents/cmm4yuobl01hbcuqwnu8ceke4/view","Open PDF")</f>
        <v/>
      </c>
      <c r="G1603" t="inlineStr">
        <is>
          <t>cmm55w57p0004cuisfrtpqly8</t>
        </is>
      </c>
      <c r="H1603" t="inlineStr">
        <is>
          <t>Informationskrav</t>
        </is>
      </c>
      <c r="I1603" t="inlineStr">
        <is>
          <t>DagvattenLakvatten</t>
        </is>
      </c>
      <c r="J1603" t="inlineStr">
        <is>
          <t>Uppsamling</t>
        </is>
      </c>
      <c r="K1603" t="inlineStr">
        <is>
          <t>Ange luftflöden, utsläppspunkter och uppskattade föroreningsmängder.</t>
        </is>
      </c>
      <c r="L1603" t="inlineStr">
        <is>
          <t>Ange luftflöden, utsläppspunkter och uppskattade föroreningsmängder.</t>
        </is>
      </c>
      <c r="M1603" t="inlineStr">
        <is>
          <t>SKA</t>
        </is>
      </c>
      <c r="N1603" t="inlineStr">
        <is>
          <t>FMH</t>
        </is>
      </c>
      <c r="O1603" t="inlineStr"/>
      <c r="P1603" t="inlineStr"/>
      <c r="Q1603" t="inlineStr"/>
      <c r="R1603" t="inlineStr">
        <is>
          <t>Vid nederbord och avrinning</t>
        </is>
      </c>
      <c r="S1603" t="inlineStr"/>
      <c r="T1603" t="inlineStr">
        <is>
          <t>556213</t>
        </is>
      </c>
      <c r="U1603" t="inlineStr"/>
      <c r="V1603" t="inlineStr"/>
      <c r="W1603" t="inlineStr">
        <is>
          <t>Nej</t>
        </is>
      </c>
      <c r="X1603" t="inlineStr">
        <is>
          <t>Ja</t>
        </is>
      </c>
      <c r="Y1603" t="inlineStr">
        <is>
          <t>Ja</t>
        </is>
      </c>
      <c r="Z1603" t="inlineStr">
        <is>
          <t>Nej</t>
        </is>
      </c>
      <c r="AA1603" t="n">
        <v>6</v>
      </c>
      <c r="AB1603" t="inlineStr">
        <is>
          <t>Lakvattenhantering</t>
        </is>
      </c>
      <c r="AC1603" t="inlineStr">
        <is>
          <t>Flodesschema dagvatten-lakvatten</t>
        </is>
      </c>
      <c r="AD1603" t="inlineStr">
        <is>
          <t>Nej</t>
        </is>
      </c>
      <c r="AE1603" t="inlineStr">
        <is>
          <t>Nej</t>
        </is>
      </c>
      <c r="AF1603" t="inlineStr">
        <is>
          <t>Ej behandlad</t>
        </is>
      </c>
      <c r="AG1603" t="inlineStr">
        <is>
          <t>AUTO_GENERERAD. Verifiera citat mot kallfil.</t>
        </is>
      </c>
      <c r="AH1603" t="inlineStr">
        <is>
          <t>MEDIUM</t>
        </is>
      </c>
      <c r="AI1603" t="inlineStr">
        <is>
          <t>AUTO</t>
        </is>
      </c>
      <c r="AJ1603" t="inlineStr">
        <is>
          <t>Nej</t>
        </is>
      </c>
      <c r="AK1603" t="inlineStr"/>
      <c r="AL1603" t="inlineStr"/>
      <c r="AM1603" t="inlineStr"/>
      <c r="AN1603" t="inlineStr"/>
      <c r="AO1603" t="inlineStr">
        <is>
          <t>cmm4yuobl01hbcuqwnu8ceke4</t>
        </is>
      </c>
      <c r="AP1603" t="inlineStr">
        <is>
          <t>http://localhost:8787/api/admin/requirements/documents/cmm4yuobl01hbcuqwnu8ceke4/view</t>
        </is>
      </c>
      <c r="AQ1603">
        <f>HYPERLÄNK("http://localhost:8787/api/admin/requirements/documents/cmm4yuobl01hbcuqwnu8ceke4/view";"Öppna PDF")</f>
        <v/>
      </c>
      <c r="AR1603">
        <f>HYPERLINK("http://localhost:8787/api/admin/requirements/documents/cmm4yuobl01hbcuqwnu8ceke4/view","Open PDF")</f>
        <v/>
      </c>
      <c r="AS1603" t="inlineStr">
        <is>
          <t>cmm55w57p0004cuisfrtpqly8</t>
        </is>
      </c>
      <c r="AT1603" t="inlineStr">
        <is>
          <t>cmm4xvu980000cuh4vj0usz09</t>
        </is>
      </c>
      <c r="AU1603" t="inlineStr"/>
      <c r="AV1603" t="inlineStr">
        <is>
          <t>Kommun</t>
        </is>
      </c>
      <c r="AW1603" t="inlineStr"/>
      <c r="AX1603" t="inlineStr">
        <is>
          <t>2023-06</t>
        </is>
      </c>
      <c r="AY1603" t="inlineStr">
        <is>
          <t>Anmalan</t>
        </is>
      </c>
      <c r="AZ1603" t="inlineStr">
        <is>
          <t>2026-02-03</t>
        </is>
      </c>
      <c r="BA1603" t="inlineStr">
        <is>
          <t>Miljöfarlig verksamhet - anmälan - 5762.pdf</t>
        </is>
      </c>
      <c r="BB1603" t="inlineStr">
        <is>
          <t>Avfallsanläggning Aneby</t>
        </is>
      </c>
      <c r="BC1603" t="inlineStr">
        <is>
          <t>AUTO</t>
        </is>
      </c>
      <c r="BD1603" t="inlineStr"/>
      <c r="BE1603" t="inlineStr"/>
      <c r="BF1603" t="inlineStr">
        <is>
          <t>AUTO_GENERERAD. Bekrafta metadata mot kallfil.</t>
        </is>
      </c>
      <c r="BG1603">
        <f>HYPERLINK("C:\Users\jimmy\Desktop\Examens arbete\Kod\Ny mapp\remix_-copy-of-miljöbeslut.se-portal\Miljöfarlig verksamhet - anmälan - 5762.pdf", "Öppna PDF")</f>
        <v/>
      </c>
    </row>
    <row r="1604">
      <c r="A1604" t="inlineStr">
        <is>
          <t>KRAV-AUTO-001603</t>
        </is>
      </c>
      <c r="B1604" t="inlineStr">
        <is>
          <t>ADMIN-INDEX-2026-02-27-00000000125C043F57453246863FE664CAFE6A3F0700950291EA24F0614FB6ACEDB12BF0E31D00000000010C0000950291EA24F0614FB6ACEDB12BF0E31D00002087AEE70000</t>
        </is>
      </c>
      <c r="C1604" t="inlineStr">
        <is>
          <t>cmm4yuobl01hbcuqwnu8ceke4</t>
        </is>
      </c>
      <c r="D1604" t="inlineStr">
        <is>
          <t>http://localhost:8787/api/admin/requirements/documents/cmm4yuobl01hbcuqwnu8ceke4/view</t>
        </is>
      </c>
      <c r="E1604">
        <f>HYPERLÄNK("http://localhost:8787/api/admin/requirements/documents/cmm4yuobl01hbcuqwnu8ceke4/view";"Öppna PDF")</f>
        <v/>
      </c>
      <c r="F1604">
        <f>HYPERLINK("http://localhost:8787/api/admin/requirements/documents/cmm4yuobl01hbcuqwnu8ceke4/view","Open PDF")</f>
        <v/>
      </c>
      <c r="G1604" t="inlineStr">
        <is>
          <t>cmm55w57p0004cuisfrtpqly8</t>
        </is>
      </c>
      <c r="H1604" t="inlineStr">
        <is>
          <t>Informationskrav</t>
        </is>
      </c>
      <c r="I1604" t="inlineStr">
        <is>
          <t>DriftEgenkontroll</t>
        </is>
      </c>
      <c r="J1604" t="inlineStr">
        <is>
          <t>Journalforing</t>
        </is>
      </c>
      <c r="K1604" t="inlineStr">
        <is>
          <t>Ingår i egenkontrollprogrammet Beskriv hur kunskapskravet uppfylls enligt 19 §, 26 kap.</t>
        </is>
      </c>
      <c r="L1604" t="inlineStr">
        <is>
          <t>Ingår i egenkontrollprogrammet Beskriv hur kunskapskravet uppfylls enligt 19 §, 26 kap.</t>
        </is>
      </c>
      <c r="M1604" t="inlineStr">
        <is>
          <t>SKA</t>
        </is>
      </c>
      <c r="N1604" t="inlineStr">
        <is>
          <t>FMH</t>
        </is>
      </c>
      <c r="O1604" t="inlineStr"/>
      <c r="P1604" t="inlineStr"/>
      <c r="Q1604" t="inlineStr"/>
      <c r="R1604" t="inlineStr">
        <is>
          <t>Lopande drift</t>
        </is>
      </c>
      <c r="S1604" t="inlineStr"/>
      <c r="T1604" t="inlineStr">
        <is>
          <t>556213</t>
        </is>
      </c>
      <c r="U1604" t="inlineStr"/>
      <c r="V1604" t="inlineStr"/>
      <c r="W1604" t="inlineStr">
        <is>
          <t>Nej</t>
        </is>
      </c>
      <c r="X1604" t="inlineStr">
        <is>
          <t>Nej</t>
        </is>
      </c>
      <c r="Y1604" t="inlineStr">
        <is>
          <t>Ja</t>
        </is>
      </c>
      <c r="Z1604" t="inlineStr">
        <is>
          <t>Nej</t>
        </is>
      </c>
      <c r="AA1604" t="n">
        <v>7</v>
      </c>
      <c r="AB1604" t="inlineStr">
        <is>
          <t>Egenkontrollrutiner</t>
        </is>
      </c>
      <c r="AC1604" t="inlineStr">
        <is>
          <t>Egenkontrollprogram</t>
        </is>
      </c>
      <c r="AD1604" t="inlineStr">
        <is>
          <t>Nej</t>
        </is>
      </c>
      <c r="AE1604" t="inlineStr">
        <is>
          <t>Nej</t>
        </is>
      </c>
      <c r="AF1604" t="inlineStr">
        <is>
          <t>Ej behandlad</t>
        </is>
      </c>
      <c r="AG1604" t="inlineStr">
        <is>
          <t>AUTO_GENERERAD. Verifiera citat mot kallfil.</t>
        </is>
      </c>
      <c r="AH1604" t="inlineStr">
        <is>
          <t>MEDIUM</t>
        </is>
      </c>
      <c r="AI1604" t="inlineStr">
        <is>
          <t>AUTO</t>
        </is>
      </c>
      <c r="AJ1604" t="inlineStr">
        <is>
          <t>Nej</t>
        </is>
      </c>
      <c r="AK1604" t="inlineStr"/>
      <c r="AL1604" t="inlineStr"/>
      <c r="AM1604" t="inlineStr"/>
      <c r="AN1604" t="inlineStr"/>
      <c r="AO1604" t="inlineStr">
        <is>
          <t>cmm4yuobl01hbcuqwnu8ceke4</t>
        </is>
      </c>
      <c r="AP1604" t="inlineStr">
        <is>
          <t>http://localhost:8787/api/admin/requirements/documents/cmm4yuobl01hbcuqwnu8ceke4/view</t>
        </is>
      </c>
      <c r="AQ1604">
        <f>HYPERLÄNK("http://localhost:8787/api/admin/requirements/documents/cmm4yuobl01hbcuqwnu8ceke4/view";"Öppna PDF")</f>
        <v/>
      </c>
      <c r="AR1604">
        <f>HYPERLINK("http://localhost:8787/api/admin/requirements/documents/cmm4yuobl01hbcuqwnu8ceke4/view","Open PDF")</f>
        <v/>
      </c>
      <c r="AS1604" t="inlineStr">
        <is>
          <t>cmm55w57p0004cuisfrtpqly8</t>
        </is>
      </c>
      <c r="AT1604" t="inlineStr">
        <is>
          <t>cmm4xvu980000cuh4vj0usz09</t>
        </is>
      </c>
      <c r="AU1604" t="inlineStr"/>
      <c r="AV1604" t="inlineStr">
        <is>
          <t>Kommun</t>
        </is>
      </c>
      <c r="AW1604" t="inlineStr"/>
      <c r="AX1604" t="inlineStr">
        <is>
          <t>2023-06</t>
        </is>
      </c>
      <c r="AY1604" t="inlineStr">
        <is>
          <t>Anmalan</t>
        </is>
      </c>
      <c r="AZ1604" t="inlineStr">
        <is>
          <t>2026-02-03</t>
        </is>
      </c>
      <c r="BA1604" t="inlineStr">
        <is>
          <t>Miljöfarlig verksamhet - anmälan - 5762.pdf</t>
        </is>
      </c>
      <c r="BB1604" t="inlineStr">
        <is>
          <t>Avfallsanläggning Aneby</t>
        </is>
      </c>
      <c r="BC1604" t="inlineStr">
        <is>
          <t>AUTO</t>
        </is>
      </c>
      <c r="BD1604" t="inlineStr"/>
      <c r="BE1604" t="inlineStr"/>
      <c r="BF1604" t="inlineStr">
        <is>
          <t>AUTO_GENERERAD. Bekrafta metadata mot kallfil.</t>
        </is>
      </c>
      <c r="BG1604">
        <f>HYPERLINK("C:\Users\jimmy\Desktop\Examens arbete\Kod\Ny mapp\remix_-copy-of-miljöbeslut.se-portal\Miljöfarlig verksamhet - anmälan - 5762.pdf", "Öppna PDF")</f>
        <v/>
      </c>
    </row>
    <row r="1605">
      <c r="A1605" t="inlineStr">
        <is>
          <t>KRAV-AUTO-001604</t>
        </is>
      </c>
      <c r="B1605" t="inlineStr">
        <is>
          <t>ADMIN-INDEX-2026-02-27-00000000125C043F57453246863FE664CAFE6A3F0700950291EA24F0614FB6ACEDB12BF0E31D00000000010C0000950291EA24F0614FB6ACEDB12BF0E31D00002087AEE70000</t>
        </is>
      </c>
      <c r="C1605" t="inlineStr">
        <is>
          <t>cmm4yuobf01h5cuqwlv57827w</t>
        </is>
      </c>
      <c r="D1605" t="inlineStr">
        <is>
          <t>http://localhost:8787/api/admin/requirements/documents/cmm4yuobf01h5cuqwlv57827w/view</t>
        </is>
      </c>
      <c r="E1605">
        <f>HYPERLÄNK("http://localhost:8787/api/admin/requirements/documents/cmm4yuobf01h5cuqwlv57827w/view";"Öppna PDF")</f>
        <v/>
      </c>
      <c r="F1605">
        <f>HYPERLINK("http://localhost:8787/api/admin/requirements/documents/cmm4yuobf01h5cuqwlv57827w/view","Open PDF")</f>
        <v/>
      </c>
      <c r="G1605" t="inlineStr">
        <is>
          <t>cmm55w57p0004cuisfrtpqly8</t>
        </is>
      </c>
      <c r="H1605" t="inlineStr">
        <is>
          <t>Kompletteringskrav</t>
        </is>
      </c>
      <c r="I1605" t="inlineStr">
        <is>
          <t>DriftEgenkontroll</t>
        </is>
      </c>
      <c r="J1605" t="inlineStr">
        <is>
          <t>Journalforing</t>
        </is>
      </c>
      <c r="K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05" t="inlineStr">
        <is>
          <t>SKA</t>
        </is>
      </c>
      <c r="N1605" t="inlineStr"/>
      <c r="O1605" t="inlineStr">
        <is>
          <t>senast den 31 mars varje kalenderar i</t>
        </is>
      </c>
      <c r="P1605" t="inlineStr">
        <is>
          <t>Arlig</t>
        </is>
      </c>
      <c r="Q1605" t="inlineStr"/>
      <c r="R1605" t="inlineStr">
        <is>
          <t>Lopande drift</t>
        </is>
      </c>
      <c r="S1605" t="inlineStr"/>
      <c r="T1605" t="inlineStr">
        <is>
          <t>556213</t>
        </is>
      </c>
      <c r="U1605" t="inlineStr"/>
      <c r="V1605" t="inlineStr"/>
      <c r="W1605" t="inlineStr">
        <is>
          <t>Nej</t>
        </is>
      </c>
      <c r="X1605" t="inlineStr">
        <is>
          <t>Nej</t>
        </is>
      </c>
      <c r="Y1605" t="inlineStr">
        <is>
          <t>Ja</t>
        </is>
      </c>
      <c r="Z1605" t="inlineStr">
        <is>
          <t>Nej</t>
        </is>
      </c>
      <c r="AA1605" t="n">
        <v>7</v>
      </c>
      <c r="AB1605" t="inlineStr">
        <is>
          <t>Egenkontrollrutiner</t>
        </is>
      </c>
      <c r="AC1605" t="inlineStr">
        <is>
          <t>Egenkontrollprogram</t>
        </is>
      </c>
      <c r="AD1605" t="inlineStr">
        <is>
          <t>Nej</t>
        </is>
      </c>
      <c r="AE1605" t="inlineStr">
        <is>
          <t>Nej</t>
        </is>
      </c>
      <c r="AF1605" t="inlineStr">
        <is>
          <t>Ej behandlad</t>
        </is>
      </c>
      <c r="AG1605" t="inlineStr">
        <is>
          <t>AUTO_GENERERAD. Verifiera citat mot kallfil.</t>
        </is>
      </c>
      <c r="AH1605" t="inlineStr">
        <is>
          <t>MEDIUM</t>
        </is>
      </c>
      <c r="AI1605" t="inlineStr">
        <is>
          <t>AUTO</t>
        </is>
      </c>
      <c r="AJ1605" t="inlineStr">
        <is>
          <t>Nej</t>
        </is>
      </c>
      <c r="AK1605" t="inlineStr"/>
      <c r="AL1605" t="inlineStr"/>
      <c r="AM1605" t="inlineStr"/>
      <c r="AN1605" t="inlineStr"/>
      <c r="AO1605" t="inlineStr">
        <is>
          <t>cmm4yuobl01hbcuqwnu8ceke4</t>
        </is>
      </c>
      <c r="AP1605" t="inlineStr">
        <is>
          <t>http://localhost:8787/api/admin/requirements/documents/cmm4yuobl01hbcuqwnu8ceke4/view</t>
        </is>
      </c>
      <c r="AQ1605">
        <f>HYPERLÄNK("http://localhost:8787/api/admin/requirements/documents/cmm4yuobl01hbcuqwnu8ceke4/view";"Öppna PDF")</f>
        <v/>
      </c>
      <c r="AR1605">
        <f>HYPERLINK("http://localhost:8787/api/admin/requirements/documents/cmm4yuobl01hbcuqwnu8ceke4/view","Open PDF")</f>
        <v/>
      </c>
      <c r="AS1605" t="inlineStr">
        <is>
          <t>cmm55w57p0004cuisfrtpqly8</t>
        </is>
      </c>
      <c r="AT1605" t="inlineStr">
        <is>
          <t>cmm4xvu980000cuh4vj0usz09</t>
        </is>
      </c>
      <c r="AU1605" t="inlineStr"/>
      <c r="AV1605" t="inlineStr">
        <is>
          <t>Kommun</t>
        </is>
      </c>
      <c r="AW1605" t="inlineStr"/>
      <c r="AX1605" t="inlineStr">
        <is>
          <t>2023-06</t>
        </is>
      </c>
      <c r="AY1605" t="inlineStr">
        <is>
          <t>Anmalan</t>
        </is>
      </c>
      <c r="AZ1605" t="inlineStr">
        <is>
          <t>2026-02-03</t>
        </is>
      </c>
      <c r="BA1605" t="inlineStr">
        <is>
          <t>Miljöfarlig verksamhet - anmälan - 5762.pdf</t>
        </is>
      </c>
      <c r="BB1605" t="inlineStr">
        <is>
          <t>Avfallsanläggning Aneby</t>
        </is>
      </c>
      <c r="BC1605" t="inlineStr">
        <is>
          <t>AUTO</t>
        </is>
      </c>
      <c r="BD1605" t="inlineStr"/>
      <c r="BE1605" t="inlineStr"/>
      <c r="BF1605" t="inlineStr">
        <is>
          <t>AUTO_GENERERAD. Bekrafta metadata mot kallfil.</t>
        </is>
      </c>
      <c r="BG1605">
        <f>HYPERLINK("C:\Users\jimmy\Desktop\Examens arbete\Kod\Ny mapp\remix_-copy-of-miljöbeslut.se-portal\Miljöfarlig verksamhet - anmälan - 5762.pdf", "Öppna PDF")</f>
        <v/>
      </c>
    </row>
    <row r="1606">
      <c r="A1606" t="inlineStr">
        <is>
          <t>KRAV-AUTO-001605</t>
        </is>
      </c>
      <c r="B1606" t="inlineStr">
        <is>
          <t>ADMIN-INDEX-2026-02-27-00000000125C043F57453246863FE664CAFE6A3F0700950291EA24F0614FB6ACEDB12BF0E31D00000000010C0000950291EA24F0614FB6ACEDB12BF0E31D00002087AEE70000</t>
        </is>
      </c>
      <c r="C1606" t="inlineStr">
        <is>
          <t>cmm4yuobf01h5cuqwlv57827w</t>
        </is>
      </c>
      <c r="D1606" t="inlineStr">
        <is>
          <t>http://localhost:8787/api/admin/requirements/documents/cmm4yuobf01h5cuqwlv57827w/view</t>
        </is>
      </c>
      <c r="E1606">
        <f>HYPERLÄNK("http://localhost:8787/api/admin/requirements/documents/cmm4yuobf01h5cuqwlv57827w/view";"Öppna PDF")</f>
        <v/>
      </c>
      <c r="F1606">
        <f>HYPERLINK("http://localhost:8787/api/admin/requirements/documents/cmm4yuobf01h5cuqwlv57827w/view","Open PDF")</f>
        <v/>
      </c>
      <c r="G1606" t="inlineStr">
        <is>
          <t>cmm55w57p0004cuisfrtpqly8</t>
        </is>
      </c>
      <c r="H1606" t="inlineStr">
        <is>
          <t>Kompletteringskrav</t>
        </is>
      </c>
      <c r="I1606" t="inlineStr">
        <is>
          <t>Ytkonstruktion</t>
        </is>
      </c>
      <c r="J1606" t="inlineStr">
        <is>
          <t>Tat yta</t>
        </is>
      </c>
      <c r="K1606" t="inlineStr">
        <is>
          <t>- För vätskeformiga produkter gäller att de ska invallas.</t>
        </is>
      </c>
      <c r="L1606" t="inlineStr">
        <is>
          <t>- För vätskeformiga produkter gäller att de ska invallas.</t>
        </is>
      </c>
      <c r="M1606" t="inlineStr">
        <is>
          <t>SKA</t>
        </is>
      </c>
      <c r="N1606" t="inlineStr"/>
      <c r="O1606" t="inlineStr"/>
      <c r="P1606" t="inlineStr"/>
      <c r="Q1606" t="inlineStr"/>
      <c r="R1606" t="inlineStr">
        <is>
          <t>Vid mellanlagring av avfall</t>
        </is>
      </c>
      <c r="S1606" t="inlineStr"/>
      <c r="T1606" t="inlineStr">
        <is>
          <t>556213</t>
        </is>
      </c>
      <c r="U1606" t="inlineStr"/>
      <c r="V1606" t="inlineStr"/>
      <c r="W1606" t="inlineStr">
        <is>
          <t>Ja</t>
        </is>
      </c>
      <c r="X1606" t="inlineStr">
        <is>
          <t>Nej</t>
        </is>
      </c>
      <c r="Y1606" t="inlineStr">
        <is>
          <t>Nej</t>
        </is>
      </c>
      <c r="Z1606" t="inlineStr">
        <is>
          <t>Nej</t>
        </is>
      </c>
      <c r="AA1606" t="n">
        <v>5</v>
      </c>
      <c r="AB1606" t="inlineStr">
        <is>
          <t>Teknisk beskrivning av platta</t>
        </is>
      </c>
      <c r="AC1606" t="inlineStr">
        <is>
          <t>Teknisk ritning platta</t>
        </is>
      </c>
      <c r="AD1606" t="inlineStr">
        <is>
          <t>Nej</t>
        </is>
      </c>
      <c r="AE1606" t="inlineStr">
        <is>
          <t>Nej</t>
        </is>
      </c>
      <c r="AF1606" t="inlineStr">
        <is>
          <t>Ej behandlad</t>
        </is>
      </c>
      <c r="AG1606" t="inlineStr">
        <is>
          <t>AUTO_GENERERAD. Verifiera citat mot kallfil.</t>
        </is>
      </c>
      <c r="AH1606" t="inlineStr">
        <is>
          <t>MEDIUM</t>
        </is>
      </c>
      <c r="AI1606" t="inlineStr">
        <is>
          <t>AUTO</t>
        </is>
      </c>
      <c r="AJ1606" t="inlineStr">
        <is>
          <t>Nej</t>
        </is>
      </c>
      <c r="AK1606" t="inlineStr"/>
      <c r="AL1606" t="inlineStr"/>
      <c r="AM1606" t="inlineStr"/>
      <c r="AN1606" t="inlineStr"/>
      <c r="AO1606" t="inlineStr">
        <is>
          <t>cmm4yuobl01hbcuqwnu8ceke4</t>
        </is>
      </c>
      <c r="AP1606" t="inlineStr">
        <is>
          <t>http://localhost:8787/api/admin/requirements/documents/cmm4yuobl01hbcuqwnu8ceke4/view</t>
        </is>
      </c>
      <c r="AQ1606">
        <f>HYPERLÄNK("http://localhost:8787/api/admin/requirements/documents/cmm4yuobl01hbcuqwnu8ceke4/view";"Öppna PDF")</f>
        <v/>
      </c>
      <c r="AR1606">
        <f>HYPERLINK("http://localhost:8787/api/admin/requirements/documents/cmm4yuobl01hbcuqwnu8ceke4/view","Open PDF")</f>
        <v/>
      </c>
      <c r="AS1606" t="inlineStr">
        <is>
          <t>cmm55w57p0004cuisfrtpqly8</t>
        </is>
      </c>
      <c r="AT1606" t="inlineStr">
        <is>
          <t>cmm4xvu980000cuh4vj0usz09</t>
        </is>
      </c>
      <c r="AU1606" t="inlineStr"/>
      <c r="AV1606" t="inlineStr">
        <is>
          <t>Kommun</t>
        </is>
      </c>
      <c r="AW1606" t="inlineStr"/>
      <c r="AX1606" t="inlineStr">
        <is>
          <t>2023-06</t>
        </is>
      </c>
      <c r="AY1606" t="inlineStr">
        <is>
          <t>Anmalan</t>
        </is>
      </c>
      <c r="AZ1606" t="inlineStr">
        <is>
          <t>2026-02-03</t>
        </is>
      </c>
      <c r="BA1606" t="inlineStr">
        <is>
          <t>Miljöfarlig verksamhet - anmälan - 5762.pdf</t>
        </is>
      </c>
      <c r="BB1606" t="inlineStr">
        <is>
          <t>Avfallsanläggning Aneby</t>
        </is>
      </c>
      <c r="BC1606" t="inlineStr">
        <is>
          <t>AUTO</t>
        </is>
      </c>
      <c r="BD1606" t="inlineStr"/>
      <c r="BE1606" t="inlineStr"/>
      <c r="BF1606" t="inlineStr">
        <is>
          <t>AUTO_GENERERAD. Bekrafta metadata mot kallfil.</t>
        </is>
      </c>
      <c r="BG1606">
        <f>HYPERLINK("C:\Users\jimmy\Desktop\Examens arbete\Kod\Ny mapp\remix_-copy-of-miljöbeslut.se-portal\Miljöfarlig verksamhet - anmälan - 5762.pdf", "Öppna PDF")</f>
        <v/>
      </c>
    </row>
    <row r="1607">
      <c r="A1607" t="inlineStr">
        <is>
          <t>KRAV-AUTO-001606</t>
        </is>
      </c>
      <c r="B1607" t="inlineStr">
        <is>
          <t>ADMIN-INDEX-2026-02-27-00000000125C043F57453246863FE664CAFE6A3F0700950291EA24F0614FB6ACEDB12BF0E31D00000000010C0000950291EA24F0614FB6ACEDB12BF0E31D00002087AEE70000</t>
        </is>
      </c>
      <c r="C1607" t="inlineStr">
        <is>
          <t>cmm4yuobf01h5cuqwlv57827w</t>
        </is>
      </c>
      <c r="D1607" t="inlineStr">
        <is>
          <t>http://localhost:8787/api/admin/requirements/documents/cmm4yuobf01h5cuqwlv57827w/view</t>
        </is>
      </c>
      <c r="E1607">
        <f>HYPERLÄNK("http://localhost:8787/api/admin/requirements/documents/cmm4yuobf01h5cuqwlv57827w/view";"Öppna PDF")</f>
        <v/>
      </c>
      <c r="F1607">
        <f>HYPERLINK("http://localhost:8787/api/admin/requirements/documents/cmm4yuobf01h5cuqwlv57827w/view","Open PDF")</f>
        <v/>
      </c>
      <c r="G1607" t="inlineStr">
        <is>
          <t>cmm55w57p0004cuisfrtpqly8</t>
        </is>
      </c>
      <c r="H1607" t="inlineStr">
        <is>
          <t>Kompletteringskrav</t>
        </is>
      </c>
      <c r="I1607" t="inlineStr">
        <is>
          <t>Ytkonstruktion</t>
        </is>
      </c>
      <c r="J1607" t="inlineStr">
        <is>
          <t>Tat yta</t>
        </is>
      </c>
      <c r="K1607" t="inlineStr">
        <is>
          <t>- Om förvaring sker utomhus ska invallningen förses med skärmtak eller liknande anordning för skydd mot regnvatten.</t>
        </is>
      </c>
      <c r="L1607" t="inlineStr">
        <is>
          <t>- Om förvaring sker utomhus ska invallningen förses med skärmtak eller liknande anordning för skydd mot regnvatten.</t>
        </is>
      </c>
      <c r="M1607" t="inlineStr">
        <is>
          <t>SKA</t>
        </is>
      </c>
      <c r="N1607" t="inlineStr"/>
      <c r="O1607" t="inlineStr"/>
      <c r="P1607" t="inlineStr"/>
      <c r="Q1607" t="inlineStr"/>
      <c r="R1607" t="inlineStr">
        <is>
          <t>Vid mellanlagring av avfall</t>
        </is>
      </c>
      <c r="S1607" t="inlineStr"/>
      <c r="T1607" t="inlineStr">
        <is>
          <t>556213</t>
        </is>
      </c>
      <c r="U1607" t="inlineStr"/>
      <c r="V1607" t="inlineStr"/>
      <c r="W1607" t="inlineStr">
        <is>
          <t>Ja</t>
        </is>
      </c>
      <c r="X1607" t="inlineStr">
        <is>
          <t>Nej</t>
        </is>
      </c>
      <c r="Y1607" t="inlineStr">
        <is>
          <t>Nej</t>
        </is>
      </c>
      <c r="Z1607" t="inlineStr">
        <is>
          <t>Nej</t>
        </is>
      </c>
      <c r="AA1607" t="n">
        <v>5</v>
      </c>
      <c r="AB1607" t="inlineStr">
        <is>
          <t>Teknisk beskrivning av platta</t>
        </is>
      </c>
      <c r="AC1607" t="inlineStr">
        <is>
          <t>Teknisk ritning platta</t>
        </is>
      </c>
      <c r="AD1607" t="inlineStr">
        <is>
          <t>Nej</t>
        </is>
      </c>
      <c r="AE1607" t="inlineStr">
        <is>
          <t>Nej</t>
        </is>
      </c>
      <c r="AF1607" t="inlineStr">
        <is>
          <t>Ej behandlad</t>
        </is>
      </c>
      <c r="AG1607" t="inlineStr">
        <is>
          <t>AUTO_GENERERAD. Verifiera citat mot kallfil.</t>
        </is>
      </c>
      <c r="AH1607" t="inlineStr">
        <is>
          <t>MEDIUM</t>
        </is>
      </c>
      <c r="AI1607" t="inlineStr">
        <is>
          <t>AUTO</t>
        </is>
      </c>
      <c r="AJ1607" t="inlineStr">
        <is>
          <t>Nej</t>
        </is>
      </c>
      <c r="AK1607" t="inlineStr"/>
      <c r="AL1607" t="inlineStr"/>
      <c r="AM1607" t="inlineStr"/>
      <c r="AN1607" t="inlineStr"/>
      <c r="AO1607" t="inlineStr">
        <is>
          <t>cmm4yuobl01hbcuqwnu8ceke4</t>
        </is>
      </c>
      <c r="AP1607" t="inlineStr">
        <is>
          <t>http://localhost:8787/api/admin/requirements/documents/cmm4yuobl01hbcuqwnu8ceke4/view</t>
        </is>
      </c>
      <c r="AQ1607">
        <f>HYPERLÄNK("http://localhost:8787/api/admin/requirements/documents/cmm4yuobl01hbcuqwnu8ceke4/view";"Öppna PDF")</f>
        <v/>
      </c>
      <c r="AR1607">
        <f>HYPERLINK("http://localhost:8787/api/admin/requirements/documents/cmm4yuobl01hbcuqwnu8ceke4/view","Open PDF")</f>
        <v/>
      </c>
      <c r="AS1607" t="inlineStr">
        <is>
          <t>cmm55w57p0004cuisfrtpqly8</t>
        </is>
      </c>
      <c r="AT1607" t="inlineStr">
        <is>
          <t>cmm4xvu980000cuh4vj0usz09</t>
        </is>
      </c>
      <c r="AU1607" t="inlineStr"/>
      <c r="AV1607" t="inlineStr">
        <is>
          <t>Kommun</t>
        </is>
      </c>
      <c r="AW1607" t="inlineStr"/>
      <c r="AX1607" t="inlineStr">
        <is>
          <t>2023-06</t>
        </is>
      </c>
      <c r="AY1607" t="inlineStr">
        <is>
          <t>Anmalan</t>
        </is>
      </c>
      <c r="AZ1607" t="inlineStr">
        <is>
          <t>2026-02-03</t>
        </is>
      </c>
      <c r="BA1607" t="inlineStr">
        <is>
          <t>Miljöfarlig verksamhet - anmälan - 5762.pdf</t>
        </is>
      </c>
      <c r="BB1607" t="inlineStr">
        <is>
          <t>Avfallsanläggning Aneby</t>
        </is>
      </c>
      <c r="BC1607" t="inlineStr">
        <is>
          <t>AUTO</t>
        </is>
      </c>
      <c r="BD1607" t="inlineStr"/>
      <c r="BE1607" t="inlineStr"/>
      <c r="BF1607" t="inlineStr">
        <is>
          <t>AUTO_GENERERAD. Bekrafta metadata mot kallfil.</t>
        </is>
      </c>
      <c r="BG1607">
        <f>HYPERLINK("C:\Users\jimmy\Desktop\Examens arbete\Kod\Ny mapp\remix_-copy-of-miljöbeslut.se-portal\Miljöfarlig verksamhet - anmälan - 5762.pdf", "Öppna PDF")</f>
        <v/>
      </c>
    </row>
    <row r="1608">
      <c r="A1608" t="inlineStr">
        <is>
          <t>KRAV-AUTO-001607</t>
        </is>
      </c>
      <c r="B1608" t="inlineStr">
        <is>
          <t>ADMIN-INDEX-2026-02-27-00000000125C043F57453246863FE664CAFE6A3F0700950291EA24F0614FB6ACEDB12BF0E31D00000000010C0000950291EA24F0614FB6ACEDB12BF0E31D00002087AEE80000</t>
        </is>
      </c>
      <c r="C1608" t="inlineStr">
        <is>
          <t>cmm4yuobc01h2cuqwfb2borl6</t>
        </is>
      </c>
      <c r="D1608" t="inlineStr">
        <is>
          <t>http://localhost:8787/api/admin/requirements/documents/cmm4yuobc01h2cuqwfb2borl6/view</t>
        </is>
      </c>
      <c r="E1608">
        <f>HYPERLÄNK("http://localhost:8787/api/admin/requirements/documents/cmm4yuobc01h2cuqwfb2borl6/view";"Öppna PDF")</f>
        <v/>
      </c>
      <c r="F1608">
        <f>HYPERLINK("http://localhost:8787/api/admin/requirements/documents/cmm4yuobc01h2cuqwfb2borl6/view","Open PDF")</f>
        <v/>
      </c>
      <c r="G1608" t="inlineStr">
        <is>
          <t>cmm55w57p0004cuisfrtpqly8</t>
        </is>
      </c>
      <c r="H1608" t="inlineStr">
        <is>
          <t>Informationskrav</t>
        </is>
      </c>
      <c r="I1608" t="inlineStr">
        <is>
          <t>DagvattenLakvatten</t>
        </is>
      </c>
      <c r="J1608" t="inlineStr">
        <is>
          <t>Uppsamling</t>
        </is>
      </c>
      <c r="K1608" t="inlineStr">
        <is>
          <t>Ange flöden, utsläppspunkter och uppskattade föroreningsmängder.</t>
        </is>
      </c>
      <c r="L1608" t="inlineStr">
        <is>
          <t>Ange flöden, utsläppspunkter och uppskattade föroreningsmängder.</t>
        </is>
      </c>
      <c r="M1608" t="inlineStr">
        <is>
          <t>SKA</t>
        </is>
      </c>
      <c r="N1608" t="inlineStr">
        <is>
          <t>FMH</t>
        </is>
      </c>
      <c r="O1608" t="inlineStr"/>
      <c r="P1608" t="inlineStr"/>
      <c r="Q1608" t="inlineStr"/>
      <c r="R1608" t="inlineStr">
        <is>
          <t>Vid nederbord och avrinning</t>
        </is>
      </c>
      <c r="S1608" t="inlineStr"/>
      <c r="T1608" t="inlineStr">
        <is>
          <t>556213</t>
        </is>
      </c>
      <c r="U1608" t="inlineStr"/>
      <c r="V1608" t="inlineStr"/>
      <c r="W1608" t="inlineStr">
        <is>
          <t>Nej</t>
        </is>
      </c>
      <c r="X1608" t="inlineStr">
        <is>
          <t>Ja</t>
        </is>
      </c>
      <c r="Y1608" t="inlineStr">
        <is>
          <t>Ja</t>
        </is>
      </c>
      <c r="Z1608" t="inlineStr">
        <is>
          <t>Nej</t>
        </is>
      </c>
      <c r="AA1608" t="n">
        <v>6</v>
      </c>
      <c r="AB1608" t="inlineStr">
        <is>
          <t>Lakvattenhantering</t>
        </is>
      </c>
      <c r="AC1608" t="inlineStr">
        <is>
          <t>Flodesschema dagvatten-lakvatten</t>
        </is>
      </c>
      <c r="AD1608" t="inlineStr">
        <is>
          <t>Nej</t>
        </is>
      </c>
      <c r="AE1608" t="inlineStr">
        <is>
          <t>Nej</t>
        </is>
      </c>
      <c r="AF1608" t="inlineStr">
        <is>
          <t>Ej behandlad</t>
        </is>
      </c>
      <c r="AG1608" t="inlineStr">
        <is>
          <t>AUTO_GENERERAD. Verifiera citat mot kallfil.</t>
        </is>
      </c>
      <c r="AH1608" t="inlineStr">
        <is>
          <t>MEDIUM</t>
        </is>
      </c>
      <c r="AI1608" t="inlineStr">
        <is>
          <t>AUTO</t>
        </is>
      </c>
      <c r="AJ1608" t="inlineStr">
        <is>
          <t>Nej</t>
        </is>
      </c>
      <c r="AK1608" t="inlineStr"/>
      <c r="AL1608" t="inlineStr"/>
      <c r="AM1608" t="inlineStr"/>
      <c r="AN1608" t="inlineStr"/>
      <c r="AO1608" t="inlineStr">
        <is>
          <t>cmm4yuobc01h2cuqwfb2borl6</t>
        </is>
      </c>
      <c r="AP1608" t="inlineStr">
        <is>
          <t>http://localhost:8787/api/admin/requirements/documents/cmm4yuobc01h2cuqwfb2borl6/view</t>
        </is>
      </c>
      <c r="AQ1608">
        <f>HYPERLÄNK("http://localhost:8787/api/admin/requirements/documents/cmm4yuobc01h2cuqwfb2borl6/view";"Öppna PDF")</f>
        <v/>
      </c>
      <c r="AR1608">
        <f>HYPERLINK("http://localhost:8787/api/admin/requirements/documents/cmm4yuobc01h2cuqwfb2borl6/view","Open PDF")</f>
        <v/>
      </c>
      <c r="AS1608" t="inlineStr">
        <is>
          <t>cmm55w57p0004cuisfrtpqly8</t>
        </is>
      </c>
      <c r="AT1608" t="inlineStr">
        <is>
          <t>cmm4xvu980000cuh4vj0usz09</t>
        </is>
      </c>
      <c r="AU1608" t="inlineStr"/>
      <c r="AV1608" t="inlineStr">
        <is>
          <t>Kommun</t>
        </is>
      </c>
      <c r="AW1608" t="inlineStr"/>
      <c r="AX1608" t="inlineStr">
        <is>
          <t>2023-06</t>
        </is>
      </c>
      <c r="AY1608" t="inlineStr">
        <is>
          <t>Anmalan</t>
        </is>
      </c>
      <c r="AZ1608" t="inlineStr">
        <is>
          <t>2026-02-03</t>
        </is>
      </c>
      <c r="BA1608" t="inlineStr">
        <is>
          <t>Miljöfarlig verksamhet - anmälan - 5762.pdf</t>
        </is>
      </c>
      <c r="BB1608" t="inlineStr">
        <is>
          <t>Avfallsanläggning Aneby</t>
        </is>
      </c>
      <c r="BC1608" t="inlineStr">
        <is>
          <t>AUTO</t>
        </is>
      </c>
      <c r="BD1608" t="inlineStr"/>
      <c r="BE1608" t="inlineStr"/>
      <c r="BF1608" t="inlineStr">
        <is>
          <t>AUTO_GENERERAD. Bekrafta metadata mot kallfil.</t>
        </is>
      </c>
      <c r="BG1608">
        <f>HYPERLINK("C:\Users\jimmy\Desktop\Examens arbete\Kod\Ny mapp\remix_-copy-of-miljöbeslut.se-portal\Miljöfarlig verksamhet - anmälan - 5762.pdf", "Öppna PDF")</f>
        <v/>
      </c>
    </row>
    <row r="1609">
      <c r="A1609" t="inlineStr">
        <is>
          <t>KRAV-AUTO-001608</t>
        </is>
      </c>
      <c r="B1609" t="inlineStr">
        <is>
          <t>ADMIN-INDEX-2026-02-27-00000000125C043F57453246863FE664CAFE6A3F0700950291EA24F0614FB6ACEDB12BF0E31D00000000010C0000950291EA24F0614FB6ACEDB12BF0E31D00002087AEE80000</t>
        </is>
      </c>
      <c r="C1609" t="inlineStr">
        <is>
          <t>cmm4yuobc01h2cuqwfb2borl6</t>
        </is>
      </c>
      <c r="D1609" t="inlineStr">
        <is>
          <t>http://localhost:8787/api/admin/requirements/documents/cmm4yuobc01h2cuqwfb2borl6/view</t>
        </is>
      </c>
      <c r="E1609">
        <f>HYPERLÄNK("http://localhost:8787/api/admin/requirements/documents/cmm4yuobc01h2cuqwfb2borl6/view";"Öppna PDF")</f>
        <v/>
      </c>
      <c r="F1609">
        <f>HYPERLINK("http://localhost:8787/api/admin/requirements/documents/cmm4yuobc01h2cuqwfb2borl6/view","Open PDF")</f>
        <v/>
      </c>
      <c r="G1609" t="inlineStr">
        <is>
          <t>cmm55w57p0004cuisfrtpqly8</t>
        </is>
      </c>
      <c r="H1609" t="inlineStr">
        <is>
          <t>Informationskrav</t>
        </is>
      </c>
      <c r="I1609" t="inlineStr">
        <is>
          <t>DagvattenLakvatten</t>
        </is>
      </c>
      <c r="J1609" t="inlineStr">
        <is>
          <t>Uppsamling</t>
        </is>
      </c>
      <c r="K1609" t="inlineStr">
        <is>
          <t>Ange luftflöden, utsläppspunkter och uppskattade föroreningsmängder.</t>
        </is>
      </c>
      <c r="L1609" t="inlineStr">
        <is>
          <t>Ange luftflöden, utsläppspunkter och uppskattade föroreningsmängder.</t>
        </is>
      </c>
      <c r="M1609" t="inlineStr">
        <is>
          <t>SKA</t>
        </is>
      </c>
      <c r="N1609" t="inlineStr">
        <is>
          <t>FMH</t>
        </is>
      </c>
      <c r="O1609" t="inlineStr"/>
      <c r="P1609" t="inlineStr"/>
      <c r="Q1609" t="inlineStr"/>
      <c r="R1609" t="inlineStr">
        <is>
          <t>Vid nederbord och avrinning</t>
        </is>
      </c>
      <c r="S1609" t="inlineStr"/>
      <c r="T1609" t="inlineStr">
        <is>
          <t>556213</t>
        </is>
      </c>
      <c r="U1609" t="inlineStr"/>
      <c r="V1609" t="inlineStr"/>
      <c r="W1609" t="inlineStr">
        <is>
          <t>Nej</t>
        </is>
      </c>
      <c r="X1609" t="inlineStr">
        <is>
          <t>Ja</t>
        </is>
      </c>
      <c r="Y1609" t="inlineStr">
        <is>
          <t>Ja</t>
        </is>
      </c>
      <c r="Z1609" t="inlineStr">
        <is>
          <t>Nej</t>
        </is>
      </c>
      <c r="AA1609" t="n">
        <v>6</v>
      </c>
      <c r="AB1609" t="inlineStr">
        <is>
          <t>Lakvattenhantering</t>
        </is>
      </c>
      <c r="AC1609" t="inlineStr">
        <is>
          <t>Flodesschema dagvatten-lakvatten</t>
        </is>
      </c>
      <c r="AD1609" t="inlineStr">
        <is>
          <t>Nej</t>
        </is>
      </c>
      <c r="AE1609" t="inlineStr">
        <is>
          <t>Nej</t>
        </is>
      </c>
      <c r="AF1609" t="inlineStr">
        <is>
          <t>Ej behandlad</t>
        </is>
      </c>
      <c r="AG1609" t="inlineStr">
        <is>
          <t>AUTO_GENERERAD. Verifiera citat mot kallfil.</t>
        </is>
      </c>
      <c r="AH1609" t="inlineStr">
        <is>
          <t>MEDIUM</t>
        </is>
      </c>
      <c r="AI1609" t="inlineStr">
        <is>
          <t>AUTO</t>
        </is>
      </c>
      <c r="AJ1609" t="inlineStr">
        <is>
          <t>Nej</t>
        </is>
      </c>
      <c r="AK1609" t="inlineStr"/>
      <c r="AL1609" t="inlineStr"/>
      <c r="AM1609" t="inlineStr"/>
      <c r="AN1609" t="inlineStr"/>
      <c r="AO1609" t="inlineStr">
        <is>
          <t>cmm4yuobc01h2cuqwfb2borl6</t>
        </is>
      </c>
      <c r="AP1609" t="inlineStr">
        <is>
          <t>http://localhost:8787/api/admin/requirements/documents/cmm4yuobc01h2cuqwfb2borl6/view</t>
        </is>
      </c>
      <c r="AQ1609">
        <f>HYPERLÄNK("http://localhost:8787/api/admin/requirements/documents/cmm4yuobc01h2cuqwfb2borl6/view";"Öppna PDF")</f>
        <v/>
      </c>
      <c r="AR1609">
        <f>HYPERLINK("http://localhost:8787/api/admin/requirements/documents/cmm4yuobc01h2cuqwfb2borl6/view","Open PDF")</f>
        <v/>
      </c>
      <c r="AS1609" t="inlineStr">
        <is>
          <t>cmm55w57p0004cuisfrtpqly8</t>
        </is>
      </c>
      <c r="AT1609" t="inlineStr">
        <is>
          <t>cmm4xvu980000cuh4vj0usz09</t>
        </is>
      </c>
      <c r="AU1609" t="inlineStr"/>
      <c r="AV1609" t="inlineStr">
        <is>
          <t>Kommun</t>
        </is>
      </c>
      <c r="AW1609" t="inlineStr"/>
      <c r="AX1609" t="inlineStr">
        <is>
          <t>2023-06</t>
        </is>
      </c>
      <c r="AY1609" t="inlineStr">
        <is>
          <t>Anmalan</t>
        </is>
      </c>
      <c r="AZ1609" t="inlineStr">
        <is>
          <t>2026-02-03</t>
        </is>
      </c>
      <c r="BA1609" t="inlineStr">
        <is>
          <t>Miljöfarlig verksamhet - anmälan - 5762.pdf</t>
        </is>
      </c>
      <c r="BB1609" t="inlineStr">
        <is>
          <t>Avfallsanläggning Aneby</t>
        </is>
      </c>
      <c r="BC1609" t="inlineStr">
        <is>
          <t>AUTO</t>
        </is>
      </c>
      <c r="BD1609" t="inlineStr"/>
      <c r="BE1609" t="inlineStr"/>
      <c r="BF1609" t="inlineStr">
        <is>
          <t>AUTO_GENERERAD. Bekrafta metadata mot kallfil.</t>
        </is>
      </c>
      <c r="BG1609">
        <f>HYPERLINK("C:\Users\jimmy\Desktop\Examens arbete\Kod\Ny mapp\remix_-copy-of-miljöbeslut.se-portal\Miljöfarlig verksamhet - anmälan - 5762.pdf", "Öppna PDF")</f>
        <v/>
      </c>
    </row>
    <row r="1610">
      <c r="A1610" t="inlineStr">
        <is>
          <t>KRAV-AUTO-001609</t>
        </is>
      </c>
      <c r="B1610" t="inlineStr">
        <is>
          <t>ADMIN-INDEX-2026-02-27-00000000125C043F57453246863FE664CAFE6A3F0700950291EA24F0614FB6ACEDB12BF0E31D00000000010C0000950291EA24F0614FB6ACEDB12BF0E31D00002087AEE80000</t>
        </is>
      </c>
      <c r="C1610" t="inlineStr">
        <is>
          <t>cmm4yuobc01h2cuqwfb2borl6</t>
        </is>
      </c>
      <c r="D1610" t="inlineStr">
        <is>
          <t>http://localhost:8787/api/admin/requirements/documents/cmm4yuobc01h2cuqwfb2borl6/view</t>
        </is>
      </c>
      <c r="E1610">
        <f>HYPERLÄNK("http://localhost:8787/api/admin/requirements/documents/cmm4yuobc01h2cuqwfb2borl6/view";"Öppna PDF")</f>
        <v/>
      </c>
      <c r="F1610">
        <f>HYPERLINK("http://localhost:8787/api/admin/requirements/documents/cmm4yuobc01h2cuqwfb2borl6/view","Open PDF")</f>
        <v/>
      </c>
      <c r="G1610" t="inlineStr">
        <is>
          <t>cmm55w57p0004cuisfrtpqly8</t>
        </is>
      </c>
      <c r="H1610" t="inlineStr">
        <is>
          <t>Informationskrav</t>
        </is>
      </c>
      <c r="I1610" t="inlineStr">
        <is>
          <t>DriftEgenkontroll</t>
        </is>
      </c>
      <c r="J1610" t="inlineStr">
        <is>
          <t>Journalforing</t>
        </is>
      </c>
      <c r="K1610" t="inlineStr">
        <is>
          <t>Ingår i egenkontrollprogrammet Beskriv hur kunskapskravet uppfylls enligt 19 §, 26 kap.</t>
        </is>
      </c>
      <c r="L1610" t="inlineStr">
        <is>
          <t>Ingår i egenkontrollprogrammet Beskriv hur kunskapskravet uppfylls enligt 19 §, 26 kap.</t>
        </is>
      </c>
      <c r="M1610" t="inlineStr">
        <is>
          <t>SKA</t>
        </is>
      </c>
      <c r="N1610" t="inlineStr">
        <is>
          <t>FMH</t>
        </is>
      </c>
      <c r="O1610" t="inlineStr"/>
      <c r="P1610" t="inlineStr"/>
      <c r="Q1610" t="inlineStr"/>
      <c r="R1610" t="inlineStr">
        <is>
          <t>Lopande drift</t>
        </is>
      </c>
      <c r="S1610" t="inlineStr"/>
      <c r="T1610" t="inlineStr">
        <is>
          <t>556213</t>
        </is>
      </c>
      <c r="U1610" t="inlineStr"/>
      <c r="V1610" t="inlineStr"/>
      <c r="W1610" t="inlineStr">
        <is>
          <t>Nej</t>
        </is>
      </c>
      <c r="X1610" t="inlineStr">
        <is>
          <t>Nej</t>
        </is>
      </c>
      <c r="Y1610" t="inlineStr">
        <is>
          <t>Ja</t>
        </is>
      </c>
      <c r="Z1610" t="inlineStr">
        <is>
          <t>Nej</t>
        </is>
      </c>
      <c r="AA1610" t="n">
        <v>7</v>
      </c>
      <c r="AB1610" t="inlineStr">
        <is>
          <t>Egenkontrollrutiner</t>
        </is>
      </c>
      <c r="AC1610" t="inlineStr">
        <is>
          <t>Egenkontrollprogram</t>
        </is>
      </c>
      <c r="AD1610" t="inlineStr">
        <is>
          <t>Nej</t>
        </is>
      </c>
      <c r="AE1610" t="inlineStr">
        <is>
          <t>Nej</t>
        </is>
      </c>
      <c r="AF1610" t="inlineStr">
        <is>
          <t>Ej behandlad</t>
        </is>
      </c>
      <c r="AG1610" t="inlineStr">
        <is>
          <t>AUTO_GENERERAD. Verifiera citat mot kallfil.</t>
        </is>
      </c>
      <c r="AH1610" t="inlineStr">
        <is>
          <t>MEDIUM</t>
        </is>
      </c>
      <c r="AI1610" t="inlineStr">
        <is>
          <t>AUTO</t>
        </is>
      </c>
      <c r="AJ1610" t="inlineStr">
        <is>
          <t>Nej</t>
        </is>
      </c>
      <c r="AK1610" t="inlineStr"/>
      <c r="AL1610" t="inlineStr"/>
      <c r="AM1610" t="inlineStr"/>
      <c r="AN1610" t="inlineStr"/>
      <c r="AO1610" t="inlineStr">
        <is>
          <t>cmm4yuobc01h2cuqwfb2borl6</t>
        </is>
      </c>
      <c r="AP1610" t="inlineStr">
        <is>
          <t>http://localhost:8787/api/admin/requirements/documents/cmm4yuobc01h2cuqwfb2borl6/view</t>
        </is>
      </c>
      <c r="AQ1610">
        <f>HYPERLÄNK("http://localhost:8787/api/admin/requirements/documents/cmm4yuobc01h2cuqwfb2borl6/view";"Öppna PDF")</f>
        <v/>
      </c>
      <c r="AR1610">
        <f>HYPERLINK("http://localhost:8787/api/admin/requirements/documents/cmm4yuobc01h2cuqwfb2borl6/view","Open PDF")</f>
        <v/>
      </c>
      <c r="AS1610" t="inlineStr">
        <is>
          <t>cmm55w57p0004cuisfrtpqly8</t>
        </is>
      </c>
      <c r="AT1610" t="inlineStr">
        <is>
          <t>cmm4xvu980000cuh4vj0usz09</t>
        </is>
      </c>
      <c r="AU1610" t="inlineStr"/>
      <c r="AV1610" t="inlineStr">
        <is>
          <t>Kommun</t>
        </is>
      </c>
      <c r="AW1610" t="inlineStr"/>
      <c r="AX1610" t="inlineStr">
        <is>
          <t>2023-06</t>
        </is>
      </c>
      <c r="AY1610" t="inlineStr">
        <is>
          <t>Anmalan</t>
        </is>
      </c>
      <c r="AZ1610" t="inlineStr">
        <is>
          <t>2026-02-03</t>
        </is>
      </c>
      <c r="BA1610" t="inlineStr">
        <is>
          <t>Miljöfarlig verksamhet - anmälan - 5762.pdf</t>
        </is>
      </c>
      <c r="BB1610" t="inlineStr">
        <is>
          <t>Avfallsanläggning Aneby</t>
        </is>
      </c>
      <c r="BC1610" t="inlineStr">
        <is>
          <t>AUTO</t>
        </is>
      </c>
      <c r="BD1610" t="inlineStr"/>
      <c r="BE1610" t="inlineStr"/>
      <c r="BF1610" t="inlineStr">
        <is>
          <t>AUTO_GENERERAD. Bekrafta metadata mot kallfil.</t>
        </is>
      </c>
      <c r="BG1610">
        <f>HYPERLINK("C:\Users\jimmy\Desktop\Examens arbete\Kod\Ny mapp\remix_-copy-of-miljöbeslut.se-portal\Miljöfarlig verksamhet - anmälan - 5762.pdf", "Öppna PDF")</f>
        <v/>
      </c>
    </row>
    <row r="1611">
      <c r="A1611" t="inlineStr">
        <is>
          <t>KRAV-AUTO-001610</t>
        </is>
      </c>
      <c r="B1611" t="inlineStr">
        <is>
          <t>ADMIN-INDEX-2026-02-27-00000000125C043F57453246863FE664CAFE6A3F0700950291EA24F0614FB6ACEDB12BF0E31D00000000010C0000950291EA24F0614FB6ACEDB12BF0E31D00002087AEE80000</t>
        </is>
      </c>
      <c r="C1611" t="inlineStr">
        <is>
          <t>cmm4yuob401gwcuqwo8m1ffbi</t>
        </is>
      </c>
      <c r="D1611" t="inlineStr">
        <is>
          <t>http://localhost:8787/api/admin/requirements/documents/cmm4yuob401gwcuqwo8m1ffbi/view</t>
        </is>
      </c>
      <c r="E1611">
        <f>HYPERLÄNK("http://localhost:8787/api/admin/requirements/documents/cmm4yuob401gwcuqwo8m1ffbi/view";"Öppna PDF")</f>
        <v/>
      </c>
      <c r="F1611">
        <f>HYPERLINK("http://localhost:8787/api/admin/requirements/documents/cmm4yuob401gwcuqwo8m1ffbi/view","Open PDF")</f>
        <v/>
      </c>
      <c r="G1611" t="inlineStr">
        <is>
          <t>cmm55w57p0004cuisfrtpqly8</t>
        </is>
      </c>
      <c r="H1611" t="inlineStr">
        <is>
          <t>Kompletteringskrav</t>
        </is>
      </c>
      <c r="I1611" t="inlineStr">
        <is>
          <t>DriftEgenkontroll</t>
        </is>
      </c>
      <c r="J1611" t="inlineStr">
        <is>
          <t>Journalforing</t>
        </is>
      </c>
      <c r="K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11" t="inlineStr">
        <is>
          <t>SKA</t>
        </is>
      </c>
      <c r="N1611" t="inlineStr"/>
      <c r="O1611" t="inlineStr">
        <is>
          <t>senast den 31 mars varje kalenderar i</t>
        </is>
      </c>
      <c r="P1611" t="inlineStr">
        <is>
          <t>Arlig</t>
        </is>
      </c>
      <c r="Q1611" t="inlineStr"/>
      <c r="R1611" t="inlineStr">
        <is>
          <t>Lopande drift</t>
        </is>
      </c>
      <c r="S1611" t="inlineStr"/>
      <c r="T1611" t="inlineStr">
        <is>
          <t>556213</t>
        </is>
      </c>
      <c r="U1611" t="inlineStr"/>
      <c r="V1611" t="inlineStr"/>
      <c r="W1611" t="inlineStr">
        <is>
          <t>Nej</t>
        </is>
      </c>
      <c r="X1611" t="inlineStr">
        <is>
          <t>Nej</t>
        </is>
      </c>
      <c r="Y1611" t="inlineStr">
        <is>
          <t>Ja</t>
        </is>
      </c>
      <c r="Z1611" t="inlineStr">
        <is>
          <t>Nej</t>
        </is>
      </c>
      <c r="AA1611" t="n">
        <v>7</v>
      </c>
      <c r="AB1611" t="inlineStr">
        <is>
          <t>Egenkontrollrutiner</t>
        </is>
      </c>
      <c r="AC1611" t="inlineStr">
        <is>
          <t>Egenkontrollprogram</t>
        </is>
      </c>
      <c r="AD1611" t="inlineStr">
        <is>
          <t>Nej</t>
        </is>
      </c>
      <c r="AE1611" t="inlineStr">
        <is>
          <t>Nej</t>
        </is>
      </c>
      <c r="AF1611" t="inlineStr">
        <is>
          <t>Ej behandlad</t>
        </is>
      </c>
      <c r="AG1611" t="inlineStr">
        <is>
          <t>AUTO_GENERERAD. Verifiera citat mot kallfil.</t>
        </is>
      </c>
      <c r="AH1611" t="inlineStr">
        <is>
          <t>MEDIUM</t>
        </is>
      </c>
      <c r="AI1611" t="inlineStr">
        <is>
          <t>AUTO</t>
        </is>
      </c>
      <c r="AJ1611" t="inlineStr">
        <is>
          <t>Nej</t>
        </is>
      </c>
      <c r="AK1611" t="inlineStr"/>
      <c r="AL1611" t="inlineStr"/>
      <c r="AM1611" t="inlineStr"/>
      <c r="AN1611" t="inlineStr"/>
      <c r="AO1611" t="inlineStr">
        <is>
          <t>cmm4yuobc01h2cuqwfb2borl6</t>
        </is>
      </c>
      <c r="AP1611" t="inlineStr">
        <is>
          <t>http://localhost:8787/api/admin/requirements/documents/cmm4yuobc01h2cuqwfb2borl6/view</t>
        </is>
      </c>
      <c r="AQ1611">
        <f>HYPERLÄNK("http://localhost:8787/api/admin/requirements/documents/cmm4yuobc01h2cuqwfb2borl6/view";"Öppna PDF")</f>
        <v/>
      </c>
      <c r="AR1611">
        <f>HYPERLINK("http://localhost:8787/api/admin/requirements/documents/cmm4yuobc01h2cuqwfb2borl6/view","Open PDF")</f>
        <v/>
      </c>
      <c r="AS1611" t="inlineStr">
        <is>
          <t>cmm55w57p0004cuisfrtpqly8</t>
        </is>
      </c>
      <c r="AT1611" t="inlineStr">
        <is>
          <t>cmm4xvu980000cuh4vj0usz09</t>
        </is>
      </c>
      <c r="AU1611" t="inlineStr"/>
      <c r="AV1611" t="inlineStr">
        <is>
          <t>Kommun</t>
        </is>
      </c>
      <c r="AW1611" t="inlineStr"/>
      <c r="AX1611" t="inlineStr">
        <is>
          <t>2023-06</t>
        </is>
      </c>
      <c r="AY1611" t="inlineStr">
        <is>
          <t>Anmalan</t>
        </is>
      </c>
      <c r="AZ1611" t="inlineStr">
        <is>
          <t>2026-02-03</t>
        </is>
      </c>
      <c r="BA1611" t="inlineStr">
        <is>
          <t>Miljöfarlig verksamhet - anmälan - 5762.pdf</t>
        </is>
      </c>
      <c r="BB1611" t="inlineStr">
        <is>
          <t>Avfallsanläggning Aneby</t>
        </is>
      </c>
      <c r="BC1611" t="inlineStr">
        <is>
          <t>AUTO</t>
        </is>
      </c>
      <c r="BD1611" t="inlineStr"/>
      <c r="BE1611" t="inlineStr"/>
      <c r="BF1611" t="inlineStr">
        <is>
          <t>AUTO_GENERERAD. Bekrafta metadata mot kallfil.</t>
        </is>
      </c>
      <c r="BG1611">
        <f>HYPERLINK("C:\Users\jimmy\Desktop\Examens arbete\Kod\Ny mapp\remix_-copy-of-miljöbeslut.se-portal\Miljöfarlig verksamhet - anmälan - 5762.pdf", "Öppna PDF")</f>
        <v/>
      </c>
    </row>
    <row r="1612">
      <c r="A1612" t="inlineStr">
        <is>
          <t>KRAV-AUTO-001611</t>
        </is>
      </c>
      <c r="B1612" t="inlineStr">
        <is>
          <t>ADMIN-INDEX-2026-02-27-00000000125C043F57453246863FE664CAFE6A3F0700950291EA24F0614FB6ACEDB12BF0E31D00000000010C0000950291EA24F0614FB6ACEDB12BF0E31D00002087AEE80000</t>
        </is>
      </c>
      <c r="C1612" t="inlineStr">
        <is>
          <t>cmm4yuob401gwcuqwo8m1ffbi</t>
        </is>
      </c>
      <c r="D1612" t="inlineStr">
        <is>
          <t>http://localhost:8787/api/admin/requirements/documents/cmm4yuob401gwcuqwo8m1ffbi/view</t>
        </is>
      </c>
      <c r="E1612">
        <f>HYPERLÄNK("http://localhost:8787/api/admin/requirements/documents/cmm4yuob401gwcuqwo8m1ffbi/view";"Öppna PDF")</f>
        <v/>
      </c>
      <c r="F1612">
        <f>HYPERLINK("http://localhost:8787/api/admin/requirements/documents/cmm4yuob401gwcuqwo8m1ffbi/view","Open PDF")</f>
        <v/>
      </c>
      <c r="G1612" t="inlineStr">
        <is>
          <t>cmm55w57p0004cuisfrtpqly8</t>
        </is>
      </c>
      <c r="H1612" t="inlineStr">
        <is>
          <t>Kompletteringskrav</t>
        </is>
      </c>
      <c r="I1612" t="inlineStr">
        <is>
          <t>Ytkonstruktion</t>
        </is>
      </c>
      <c r="J1612" t="inlineStr">
        <is>
          <t>Tat yta</t>
        </is>
      </c>
      <c r="K1612" t="inlineStr">
        <is>
          <t>- För vätskeformiga produkter gäller att de ska invallas.</t>
        </is>
      </c>
      <c r="L1612" t="inlineStr">
        <is>
          <t>- För vätskeformiga produkter gäller att de ska invallas.</t>
        </is>
      </c>
      <c r="M1612" t="inlineStr">
        <is>
          <t>SKA</t>
        </is>
      </c>
      <c r="N1612" t="inlineStr"/>
      <c r="O1612" t="inlineStr"/>
      <c r="P1612" t="inlineStr"/>
      <c r="Q1612" t="inlineStr"/>
      <c r="R1612" t="inlineStr">
        <is>
          <t>Vid mellanlagring av avfall</t>
        </is>
      </c>
      <c r="S1612" t="inlineStr"/>
      <c r="T1612" t="inlineStr">
        <is>
          <t>556213</t>
        </is>
      </c>
      <c r="U1612" t="inlineStr"/>
      <c r="V1612" t="inlineStr"/>
      <c r="W1612" t="inlineStr">
        <is>
          <t>Ja</t>
        </is>
      </c>
      <c r="X1612" t="inlineStr">
        <is>
          <t>Nej</t>
        </is>
      </c>
      <c r="Y1612" t="inlineStr">
        <is>
          <t>Nej</t>
        </is>
      </c>
      <c r="Z1612" t="inlineStr">
        <is>
          <t>Nej</t>
        </is>
      </c>
      <c r="AA1612" t="n">
        <v>5</v>
      </c>
      <c r="AB1612" t="inlineStr">
        <is>
          <t>Teknisk beskrivning av platta</t>
        </is>
      </c>
      <c r="AC1612" t="inlineStr">
        <is>
          <t>Teknisk ritning platta</t>
        </is>
      </c>
      <c r="AD1612" t="inlineStr">
        <is>
          <t>Nej</t>
        </is>
      </c>
      <c r="AE1612" t="inlineStr">
        <is>
          <t>Nej</t>
        </is>
      </c>
      <c r="AF1612" t="inlineStr">
        <is>
          <t>Ej behandlad</t>
        </is>
      </c>
      <c r="AG1612" t="inlineStr">
        <is>
          <t>AUTO_GENERERAD. Verifiera citat mot kallfil.</t>
        </is>
      </c>
      <c r="AH1612" t="inlineStr">
        <is>
          <t>MEDIUM</t>
        </is>
      </c>
      <c r="AI1612" t="inlineStr">
        <is>
          <t>AUTO</t>
        </is>
      </c>
      <c r="AJ1612" t="inlineStr">
        <is>
          <t>Nej</t>
        </is>
      </c>
      <c r="AK1612" t="inlineStr"/>
      <c r="AL1612" t="inlineStr"/>
      <c r="AM1612" t="inlineStr"/>
      <c r="AN1612" t="inlineStr"/>
      <c r="AO1612" t="inlineStr">
        <is>
          <t>cmm4yuobc01h2cuqwfb2borl6</t>
        </is>
      </c>
      <c r="AP1612" t="inlineStr">
        <is>
          <t>http://localhost:8787/api/admin/requirements/documents/cmm4yuobc01h2cuqwfb2borl6/view</t>
        </is>
      </c>
      <c r="AQ1612">
        <f>HYPERLÄNK("http://localhost:8787/api/admin/requirements/documents/cmm4yuobc01h2cuqwfb2borl6/view";"Öppna PDF")</f>
        <v/>
      </c>
      <c r="AR1612">
        <f>HYPERLINK("http://localhost:8787/api/admin/requirements/documents/cmm4yuobc01h2cuqwfb2borl6/view","Open PDF")</f>
        <v/>
      </c>
      <c r="AS1612" t="inlineStr">
        <is>
          <t>cmm55w57p0004cuisfrtpqly8</t>
        </is>
      </c>
      <c r="AT1612" t="inlineStr">
        <is>
          <t>cmm4xvu980000cuh4vj0usz09</t>
        </is>
      </c>
      <c r="AU1612" t="inlineStr"/>
      <c r="AV1612" t="inlineStr">
        <is>
          <t>Kommun</t>
        </is>
      </c>
      <c r="AW1612" t="inlineStr"/>
      <c r="AX1612" t="inlineStr">
        <is>
          <t>2023-06</t>
        </is>
      </c>
      <c r="AY1612" t="inlineStr">
        <is>
          <t>Anmalan</t>
        </is>
      </c>
      <c r="AZ1612" t="inlineStr">
        <is>
          <t>2026-02-03</t>
        </is>
      </c>
      <c r="BA1612" t="inlineStr">
        <is>
          <t>Miljöfarlig verksamhet - anmälan - 5762.pdf</t>
        </is>
      </c>
      <c r="BB1612" t="inlineStr">
        <is>
          <t>Avfallsanläggning Aneby</t>
        </is>
      </c>
      <c r="BC1612" t="inlineStr">
        <is>
          <t>AUTO</t>
        </is>
      </c>
      <c r="BD1612" t="inlineStr"/>
      <c r="BE1612" t="inlineStr"/>
      <c r="BF1612" t="inlineStr">
        <is>
          <t>AUTO_GENERERAD. Bekrafta metadata mot kallfil.</t>
        </is>
      </c>
      <c r="BG1612">
        <f>HYPERLINK("C:\Users\jimmy\Desktop\Examens arbete\Kod\Ny mapp\remix_-copy-of-miljöbeslut.se-portal\Miljöfarlig verksamhet - anmälan - 5762.pdf", "Öppna PDF")</f>
        <v/>
      </c>
    </row>
    <row r="1613">
      <c r="A1613" t="inlineStr">
        <is>
          <t>KRAV-AUTO-001612</t>
        </is>
      </c>
      <c r="B1613" t="inlineStr">
        <is>
          <t>ADMIN-INDEX-2026-02-27-00000000125C043F57453246863FE664CAFE6A3F0700950291EA24F0614FB6ACEDB12BF0E31D00000000010C0000950291EA24F0614FB6ACEDB12BF0E31D00002087AEE80000</t>
        </is>
      </c>
      <c r="C1613" t="inlineStr">
        <is>
          <t>cmm4yuob401gwcuqwo8m1ffbi</t>
        </is>
      </c>
      <c r="D1613" t="inlineStr">
        <is>
          <t>http://localhost:8787/api/admin/requirements/documents/cmm4yuob401gwcuqwo8m1ffbi/view</t>
        </is>
      </c>
      <c r="E1613">
        <f>HYPERLÄNK("http://localhost:8787/api/admin/requirements/documents/cmm4yuob401gwcuqwo8m1ffbi/view";"Öppna PDF")</f>
        <v/>
      </c>
      <c r="F1613">
        <f>HYPERLINK("http://localhost:8787/api/admin/requirements/documents/cmm4yuob401gwcuqwo8m1ffbi/view","Open PDF")</f>
        <v/>
      </c>
      <c r="G1613" t="inlineStr">
        <is>
          <t>cmm55w57p0004cuisfrtpqly8</t>
        </is>
      </c>
      <c r="H1613" t="inlineStr">
        <is>
          <t>Kompletteringskrav</t>
        </is>
      </c>
      <c r="I1613" t="inlineStr">
        <is>
          <t>Ytkonstruktion</t>
        </is>
      </c>
      <c r="J1613" t="inlineStr">
        <is>
          <t>Tat yta</t>
        </is>
      </c>
      <c r="K1613" t="inlineStr">
        <is>
          <t>- Om förvaring sker utomhus ska invallningen förses med skärmtak eller liknande anordning för skydd mot regnvatten.</t>
        </is>
      </c>
      <c r="L1613" t="inlineStr">
        <is>
          <t>- Om förvaring sker utomhus ska invallningen förses med skärmtak eller liknande anordning för skydd mot regnvatten.</t>
        </is>
      </c>
      <c r="M1613" t="inlineStr">
        <is>
          <t>SKA</t>
        </is>
      </c>
      <c r="N1613" t="inlineStr"/>
      <c r="O1613" t="inlineStr"/>
      <c r="P1613" t="inlineStr"/>
      <c r="Q1613" t="inlineStr"/>
      <c r="R1613" t="inlineStr">
        <is>
          <t>Vid mellanlagring av avfall</t>
        </is>
      </c>
      <c r="S1613" t="inlineStr"/>
      <c r="T1613" t="inlineStr">
        <is>
          <t>556213</t>
        </is>
      </c>
      <c r="U1613" t="inlineStr"/>
      <c r="V1613" t="inlineStr"/>
      <c r="W1613" t="inlineStr">
        <is>
          <t>Ja</t>
        </is>
      </c>
      <c r="X1613" t="inlineStr">
        <is>
          <t>Nej</t>
        </is>
      </c>
      <c r="Y1613" t="inlineStr">
        <is>
          <t>Nej</t>
        </is>
      </c>
      <c r="Z1613" t="inlineStr">
        <is>
          <t>Nej</t>
        </is>
      </c>
      <c r="AA1613" t="n">
        <v>5</v>
      </c>
      <c r="AB1613" t="inlineStr">
        <is>
          <t>Teknisk beskrivning av platta</t>
        </is>
      </c>
      <c r="AC1613" t="inlineStr">
        <is>
          <t>Teknisk ritning platta</t>
        </is>
      </c>
      <c r="AD1613" t="inlineStr">
        <is>
          <t>Nej</t>
        </is>
      </c>
      <c r="AE1613" t="inlineStr">
        <is>
          <t>Nej</t>
        </is>
      </c>
      <c r="AF1613" t="inlineStr">
        <is>
          <t>Ej behandlad</t>
        </is>
      </c>
      <c r="AG1613" t="inlineStr">
        <is>
          <t>AUTO_GENERERAD. Verifiera citat mot kallfil.</t>
        </is>
      </c>
      <c r="AH1613" t="inlineStr">
        <is>
          <t>MEDIUM</t>
        </is>
      </c>
      <c r="AI1613" t="inlineStr">
        <is>
          <t>AUTO</t>
        </is>
      </c>
      <c r="AJ1613" t="inlineStr">
        <is>
          <t>Nej</t>
        </is>
      </c>
      <c r="AK1613" t="inlineStr"/>
      <c r="AL1613" t="inlineStr"/>
      <c r="AM1613" t="inlineStr"/>
      <c r="AN1613" t="inlineStr"/>
      <c r="AO1613" t="inlineStr">
        <is>
          <t>cmm4yuobc01h2cuqwfb2borl6</t>
        </is>
      </c>
      <c r="AP1613" t="inlineStr">
        <is>
          <t>http://localhost:8787/api/admin/requirements/documents/cmm4yuobc01h2cuqwfb2borl6/view</t>
        </is>
      </c>
      <c r="AQ1613">
        <f>HYPERLÄNK("http://localhost:8787/api/admin/requirements/documents/cmm4yuobc01h2cuqwfb2borl6/view";"Öppna PDF")</f>
        <v/>
      </c>
      <c r="AR1613">
        <f>HYPERLINK("http://localhost:8787/api/admin/requirements/documents/cmm4yuobc01h2cuqwfb2borl6/view","Open PDF")</f>
        <v/>
      </c>
      <c r="AS1613" t="inlineStr">
        <is>
          <t>cmm55w57p0004cuisfrtpqly8</t>
        </is>
      </c>
      <c r="AT1613" t="inlineStr">
        <is>
          <t>cmm4xvu980000cuh4vj0usz09</t>
        </is>
      </c>
      <c r="AU1613" t="inlineStr"/>
      <c r="AV1613" t="inlineStr">
        <is>
          <t>Kommun</t>
        </is>
      </c>
      <c r="AW1613" t="inlineStr"/>
      <c r="AX1613" t="inlineStr">
        <is>
          <t>2023-06</t>
        </is>
      </c>
      <c r="AY1613" t="inlineStr">
        <is>
          <t>Anmalan</t>
        </is>
      </c>
      <c r="AZ1613" t="inlineStr">
        <is>
          <t>2026-02-03</t>
        </is>
      </c>
      <c r="BA1613" t="inlineStr">
        <is>
          <t>Miljöfarlig verksamhet - anmälan - 5762.pdf</t>
        </is>
      </c>
      <c r="BB1613" t="inlineStr">
        <is>
          <t>Avfallsanläggning Aneby</t>
        </is>
      </c>
      <c r="BC1613" t="inlineStr">
        <is>
          <t>AUTO</t>
        </is>
      </c>
      <c r="BD1613" t="inlineStr"/>
      <c r="BE1613" t="inlineStr"/>
      <c r="BF1613" t="inlineStr">
        <is>
          <t>AUTO_GENERERAD. Bekrafta metadata mot kallfil.</t>
        </is>
      </c>
      <c r="BG1613">
        <f>HYPERLINK("C:\Users\jimmy\Desktop\Examens arbete\Kod\Ny mapp\remix_-copy-of-miljöbeslut.se-portal\Miljöfarlig verksamhet - anmälan - 5762.pdf", "Öppna PDF")</f>
        <v/>
      </c>
    </row>
    <row r="1614">
      <c r="A1614" t="inlineStr">
        <is>
          <t>KRAV-AUTO-001613</t>
        </is>
      </c>
      <c r="B1614" t="inlineStr">
        <is>
          <t>ADMIN-INDEX-2026-02-27-00000000125C043F57453246863FE664CAFE6A3F0700950291EA24F0614FB6ACEDB12BF0E31D00000000010C0000950291EA24F0614FB6ACEDB12BF0E31D00002087AEEB0000</t>
        </is>
      </c>
      <c r="C1614" t="inlineStr">
        <is>
          <t>cmm4yuoa601g2cuqw3hskdi0g</t>
        </is>
      </c>
      <c r="D1614" t="inlineStr">
        <is>
          <t>http://localhost:8787/api/admin/requirements/documents/cmm4yuoa601g2cuqw3hskdi0g/view</t>
        </is>
      </c>
      <c r="E1614">
        <f>HYPERLÄNK("http://localhost:8787/api/admin/requirements/documents/cmm4yuoa601g2cuqw3hskdi0g/view";"Öppna PDF")</f>
        <v/>
      </c>
      <c r="F1614">
        <f>HYPERLINK("http://localhost:8787/api/admin/requirements/documents/cmm4yuoa601g2cuqw3hskdi0g/view","Open PDF")</f>
        <v/>
      </c>
      <c r="G1614" t="inlineStr">
        <is>
          <t>cmm55w57p0004cuisfrtpqly8</t>
        </is>
      </c>
      <c r="H1614" t="inlineStr">
        <is>
          <t>Beslutsvillkor</t>
        </is>
      </c>
      <c r="I1614" t="inlineStr">
        <is>
          <t>DriftEgenkontroll</t>
        </is>
      </c>
      <c r="J1614" t="inlineStr">
        <is>
          <t>Journalforing</t>
        </is>
      </c>
      <c r="K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4" t="inlineStr">
        <is>
          <t>BOR</t>
        </is>
      </c>
      <c r="N1614" t="inlineStr"/>
      <c r="O1614" t="inlineStr">
        <is>
          <t>2024-03-07</t>
        </is>
      </c>
      <c r="P1614" t="inlineStr"/>
      <c r="Q1614" t="inlineStr"/>
      <c r="R1614" t="inlineStr">
        <is>
          <t>Lopande drift</t>
        </is>
      </c>
      <c r="S1614" t="inlineStr"/>
      <c r="T1614" t="inlineStr">
        <is>
          <t>12 2024</t>
        </is>
      </c>
      <c r="U1614" t="inlineStr"/>
      <c r="V1614" t="inlineStr"/>
      <c r="W1614" t="inlineStr">
        <is>
          <t>Nej</t>
        </is>
      </c>
      <c r="X1614" t="inlineStr">
        <is>
          <t>Nej</t>
        </is>
      </c>
      <c r="Y1614" t="inlineStr">
        <is>
          <t>Ja</t>
        </is>
      </c>
      <c r="Z1614" t="inlineStr">
        <is>
          <t>Nej</t>
        </is>
      </c>
      <c r="AA1614" t="n">
        <v>7</v>
      </c>
      <c r="AB1614" t="inlineStr">
        <is>
          <t>Egenkontrollrutiner</t>
        </is>
      </c>
      <c r="AC1614" t="inlineStr">
        <is>
          <t>Egenkontrollprogram</t>
        </is>
      </c>
      <c r="AD1614" t="inlineStr">
        <is>
          <t>Nej</t>
        </is>
      </c>
      <c r="AE1614" t="inlineStr">
        <is>
          <t>Nej</t>
        </is>
      </c>
      <c r="AF1614" t="inlineStr">
        <is>
          <t>Ej behandlad</t>
        </is>
      </c>
      <c r="AG1614" t="inlineStr">
        <is>
          <t>AUTO_GENERERAD. Verifiera citat mot kallfil.</t>
        </is>
      </c>
      <c r="AH1614" t="inlineStr">
        <is>
          <t>MEDIUM</t>
        </is>
      </c>
      <c r="AI1614" t="inlineStr">
        <is>
          <t>AUTO</t>
        </is>
      </c>
      <c r="AJ1614" t="inlineStr">
        <is>
          <t>Nej</t>
        </is>
      </c>
      <c r="AK1614" t="inlineStr"/>
      <c r="AL1614" t="inlineStr"/>
      <c r="AM1614" t="inlineStr"/>
      <c r="AN1614" t="inlineStr"/>
      <c r="AO1614" t="inlineStr">
        <is>
          <t>cmm4yuoa601g2cuqw3hskdi0g</t>
        </is>
      </c>
      <c r="AP1614" t="inlineStr">
        <is>
          <t>http://localhost:8787/api/admin/requirements/documents/cmm4yuoa601g2cuqw3hskdi0g/view</t>
        </is>
      </c>
      <c r="AQ1614">
        <f>HYPERLÄNK("http://localhost:8787/api/admin/requirements/documents/cmm4yuoa601g2cuqw3hskdi0g/view";"Öppna PDF")</f>
        <v/>
      </c>
      <c r="AR1614">
        <f>HYPERLINK("http://localhost:8787/api/admin/requirements/documents/cmm4yuoa601g2cuqw3hskdi0g/view","Open PDF")</f>
        <v/>
      </c>
      <c r="AS1614" t="inlineStr">
        <is>
          <t>cmm55w57p0004cuisfrtpqly8</t>
        </is>
      </c>
      <c r="AT1614" t="inlineStr">
        <is>
          <t>cmm4xvu980000cuh4vj0usz09</t>
        </is>
      </c>
      <c r="AU1614" t="inlineStr"/>
      <c r="AV1614" t="inlineStr">
        <is>
          <t>Kommun</t>
        </is>
      </c>
      <c r="AW1614" t="inlineStr"/>
      <c r="AX1614" t="inlineStr">
        <is>
          <t>2024-03</t>
        </is>
      </c>
      <c r="AY1614" t="inlineStr">
        <is>
          <t>Beslut</t>
        </is>
      </c>
      <c r="AZ1614" t="inlineStr">
        <is>
          <t>2026-02-03</t>
        </is>
      </c>
      <c r="BA1614" t="inlineStr">
        <is>
          <t>VAMBN-2024-557_3_2024-05-29_analys betong.pdf</t>
        </is>
      </c>
      <c r="BB1614" t="inlineStr">
        <is>
          <t>Sv: till registrator [2026kc6014]</t>
        </is>
      </c>
      <c r="BC1614" t="inlineStr">
        <is>
          <t>AUTO</t>
        </is>
      </c>
      <c r="BD1614" t="inlineStr"/>
      <c r="BE1614" t="inlineStr"/>
      <c r="BF1614" t="inlineStr">
        <is>
          <t>AUTO_GENERERAD. Bekrafta metadata mot kallfil.</t>
        </is>
      </c>
      <c r="BG1614">
        <f>HYPERLINK("C:\Users\jimmy\Desktop\Examens arbete\Kod\Ny mapp\remix_-copy-of-miljöbeslut.se-portal\VAMBN-2024-557_3_2024-05-29_analys betong.pdf", "Öppna PDF")</f>
        <v/>
      </c>
    </row>
    <row r="1615">
      <c r="A1615" t="inlineStr">
        <is>
          <t>KRAV-AUTO-001614</t>
        </is>
      </c>
      <c r="B1615" t="inlineStr">
        <is>
          <t>ADMIN-INDEX-2026-02-27-00000000125C043F57453246863FE664CAFE6A3F0700950291EA24F0614FB6ACEDB12BF0E31D00000000010C0000950291EA24F0614FB6ACEDB12BF0E31D00002087AEEB0000</t>
        </is>
      </c>
      <c r="C1615" t="inlineStr">
        <is>
          <t>cmm4yuoa601g2cuqw3hskdi0g</t>
        </is>
      </c>
      <c r="D1615" t="inlineStr">
        <is>
          <t>http://localhost:8787/api/admin/requirements/documents/cmm4yuoa601g2cuqw3hskdi0g/view</t>
        </is>
      </c>
      <c r="E1615">
        <f>HYPERLÄNK("http://localhost:8787/api/admin/requirements/documents/cmm4yuoa601g2cuqw3hskdi0g/view";"Öppna PDF")</f>
        <v/>
      </c>
      <c r="F1615">
        <f>HYPERLINK("http://localhost:8787/api/admin/requirements/documents/cmm4yuoa601g2cuqw3hskdi0g/view","Open PDF")</f>
        <v/>
      </c>
      <c r="G1615" t="inlineStr">
        <is>
          <t>cmm55w57p0004cuisfrtpqly8</t>
        </is>
      </c>
      <c r="H1615" t="inlineStr">
        <is>
          <t>Beslutsvillkor</t>
        </is>
      </c>
      <c r="I1615" t="inlineStr">
        <is>
          <t>MiljopaverkanForsiktighet</t>
        </is>
      </c>
      <c r="J1615" t="inlineStr">
        <is>
          <t>Skyddsatgarder</t>
        </is>
      </c>
      <c r="K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5" t="inlineStr">
        <is>
          <t>SKA</t>
        </is>
      </c>
      <c r="N1615" t="inlineStr"/>
      <c r="O1615" t="inlineStr"/>
      <c r="P1615" t="inlineStr">
        <is>
          <t>Arlig</t>
        </is>
      </c>
      <c r="Q1615" t="inlineStr"/>
      <c r="R1615" t="inlineStr">
        <is>
          <t>Alltid</t>
        </is>
      </c>
      <c r="S1615" t="inlineStr"/>
      <c r="T1615" t="inlineStr">
        <is>
          <t>044341</t>
        </is>
      </c>
      <c r="U1615" t="inlineStr"/>
      <c r="V1615" t="inlineStr">
        <is>
          <t>8051 ar</t>
        </is>
      </c>
      <c r="W1615" t="inlineStr">
        <is>
          <t>Nej</t>
        </is>
      </c>
      <c r="X1615" t="inlineStr">
        <is>
          <t>Nej</t>
        </is>
      </c>
      <c r="Y1615" t="inlineStr">
        <is>
          <t>Nej</t>
        </is>
      </c>
      <c r="Z1615" t="inlineStr">
        <is>
          <t>Nej</t>
        </is>
      </c>
      <c r="AA1615" t="n">
        <v>10</v>
      </c>
      <c r="AB1615" t="inlineStr">
        <is>
          <t>Miljopaverkan och forsiktighetsmatt</t>
        </is>
      </c>
      <c r="AC1615" t="inlineStr">
        <is>
          <t>Miljo-PM</t>
        </is>
      </c>
      <c r="AD1615" t="inlineStr">
        <is>
          <t>Nej</t>
        </is>
      </c>
      <c r="AE1615" t="inlineStr">
        <is>
          <t>Nej</t>
        </is>
      </c>
      <c r="AF1615" t="inlineStr">
        <is>
          <t>Ej behandlad</t>
        </is>
      </c>
      <c r="AG1615" t="inlineStr">
        <is>
          <t>AUTO_GENERERAD. Verifiera citat mot kallfil.</t>
        </is>
      </c>
      <c r="AH1615" t="inlineStr">
        <is>
          <t>MEDIUM</t>
        </is>
      </c>
      <c r="AI1615" t="inlineStr">
        <is>
          <t>AUTO</t>
        </is>
      </c>
      <c r="AJ1615" t="inlineStr">
        <is>
          <t>Nej</t>
        </is>
      </c>
      <c r="AK1615" t="inlineStr"/>
      <c r="AL1615" t="inlineStr"/>
      <c r="AM1615" t="inlineStr"/>
      <c r="AN1615" t="inlineStr"/>
      <c r="AO1615" t="inlineStr">
        <is>
          <t>cmm4yuoa601g2cuqw3hskdi0g</t>
        </is>
      </c>
      <c r="AP1615" t="inlineStr">
        <is>
          <t>http://localhost:8787/api/admin/requirements/documents/cmm4yuoa601g2cuqw3hskdi0g/view</t>
        </is>
      </c>
      <c r="AQ1615">
        <f>HYPERLÄNK("http://localhost:8787/api/admin/requirements/documents/cmm4yuoa601g2cuqw3hskdi0g/view";"Öppna PDF")</f>
        <v/>
      </c>
      <c r="AR1615">
        <f>HYPERLINK("http://localhost:8787/api/admin/requirements/documents/cmm4yuoa601g2cuqw3hskdi0g/view","Open PDF")</f>
        <v/>
      </c>
      <c r="AS1615" t="inlineStr">
        <is>
          <t>cmm55w57p0004cuisfrtpqly8</t>
        </is>
      </c>
      <c r="AT1615" t="inlineStr">
        <is>
          <t>cmm4xvu980000cuh4vj0usz09</t>
        </is>
      </c>
      <c r="AU1615" t="inlineStr"/>
      <c r="AV1615" t="inlineStr">
        <is>
          <t>Kommun</t>
        </is>
      </c>
      <c r="AW1615" t="inlineStr"/>
      <c r="AX1615" t="inlineStr">
        <is>
          <t>2024-03</t>
        </is>
      </c>
      <c r="AY1615" t="inlineStr">
        <is>
          <t>Beslut</t>
        </is>
      </c>
      <c r="AZ1615" t="inlineStr">
        <is>
          <t>2026-02-03</t>
        </is>
      </c>
      <c r="BA1615" t="inlineStr">
        <is>
          <t>VAMBN-2024-557_3_2024-05-29_analys betong.pdf</t>
        </is>
      </c>
      <c r="BB1615" t="inlineStr">
        <is>
          <t>Sv: till registrator [2026kc6014]</t>
        </is>
      </c>
      <c r="BC1615" t="inlineStr">
        <is>
          <t>AUTO</t>
        </is>
      </c>
      <c r="BD1615" t="inlineStr"/>
      <c r="BE1615" t="inlineStr"/>
      <c r="BF1615" t="inlineStr">
        <is>
          <t>AUTO_GENERERAD. Bekrafta metadata mot kallfil.</t>
        </is>
      </c>
      <c r="BG1615">
        <f>HYPERLINK("C:\Users\jimmy\Desktop\Examens arbete\Kod\Ny mapp\remix_-copy-of-miljöbeslut.se-portal\VAMBN-2024-557_3_2024-05-29_analys betong.pdf", "Öppna PDF")</f>
        <v/>
      </c>
    </row>
    <row r="1616">
      <c r="A1616" t="inlineStr">
        <is>
          <t>KRAV-AUTO-001615</t>
        </is>
      </c>
      <c r="B1616" t="inlineStr">
        <is>
          <t>ADMIN-INDEX-2026-02-27-00000000125C043F57453246863FE664CAFE6A3F0700950291EA24F0614FB6ACEDB12BF0E31D00000000010C0000950291EA24F0614FB6ACEDB12BF0E31D00002087AEEC0000</t>
        </is>
      </c>
      <c r="C1616" t="inlineStr">
        <is>
          <t>cmm4yuo8k01ewcuqw3o4xzf0h</t>
        </is>
      </c>
      <c r="D1616" t="inlineStr">
        <is>
          <t>http://localhost:8787/api/admin/requirements/documents/cmm4yuo8k01ewcuqw3o4xzf0h/view</t>
        </is>
      </c>
      <c r="E1616">
        <f>HYPERLÄNK("http://localhost:8787/api/admin/requirements/documents/cmm4yuo8k01ewcuqw3o4xzf0h/view";"Öppna PDF")</f>
        <v/>
      </c>
      <c r="F1616">
        <f>HYPERLINK("http://localhost:8787/api/admin/requirements/documents/cmm4yuo8k01ewcuqw3o4xzf0h/view","Open PDF")</f>
        <v/>
      </c>
      <c r="G1616" t="inlineStr">
        <is>
          <t>cmm55w57p0004cuisfrtpqly8</t>
        </is>
      </c>
      <c r="H1616" t="inlineStr">
        <is>
          <t>Beslutsvillkor</t>
        </is>
      </c>
      <c r="I1616" t="inlineStr">
        <is>
          <t>DriftEgenkontroll</t>
        </is>
      </c>
      <c r="J1616" t="inlineStr">
        <is>
          <t>Journalforing</t>
        </is>
      </c>
      <c r="K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6" t="inlineStr">
        <is>
          <t>BOR</t>
        </is>
      </c>
      <c r="N1616" t="inlineStr"/>
      <c r="O1616" t="inlineStr">
        <is>
          <t>2024-03-07</t>
        </is>
      </c>
      <c r="P1616" t="inlineStr"/>
      <c r="Q1616" t="inlineStr"/>
      <c r="R1616" t="inlineStr">
        <is>
          <t>Lopande drift</t>
        </is>
      </c>
      <c r="S1616" t="inlineStr"/>
      <c r="T1616" t="inlineStr">
        <is>
          <t>12 2024</t>
        </is>
      </c>
      <c r="U1616" t="inlineStr"/>
      <c r="V1616" t="inlineStr"/>
      <c r="W1616" t="inlineStr">
        <is>
          <t>Nej</t>
        </is>
      </c>
      <c r="X1616" t="inlineStr">
        <is>
          <t>Nej</t>
        </is>
      </c>
      <c r="Y1616" t="inlineStr">
        <is>
          <t>Ja</t>
        </is>
      </c>
      <c r="Z1616" t="inlineStr">
        <is>
          <t>Nej</t>
        </is>
      </c>
      <c r="AA1616" t="n">
        <v>7</v>
      </c>
      <c r="AB1616" t="inlineStr">
        <is>
          <t>Egenkontrollrutiner</t>
        </is>
      </c>
      <c r="AC1616" t="inlineStr">
        <is>
          <t>Egenkontrollprogram</t>
        </is>
      </c>
      <c r="AD1616" t="inlineStr">
        <is>
          <t>Nej</t>
        </is>
      </c>
      <c r="AE1616" t="inlineStr">
        <is>
          <t>Nej</t>
        </is>
      </c>
      <c r="AF1616" t="inlineStr">
        <is>
          <t>Ej behandlad</t>
        </is>
      </c>
      <c r="AG1616" t="inlineStr">
        <is>
          <t>AUTO_GENERERAD. Verifiera citat mot kallfil.</t>
        </is>
      </c>
      <c r="AH1616" t="inlineStr">
        <is>
          <t>MEDIUM</t>
        </is>
      </c>
      <c r="AI1616" t="inlineStr">
        <is>
          <t>AUTO</t>
        </is>
      </c>
      <c r="AJ1616" t="inlineStr">
        <is>
          <t>Nej</t>
        </is>
      </c>
      <c r="AK1616" t="inlineStr"/>
      <c r="AL1616" t="inlineStr"/>
      <c r="AM1616" t="inlineStr"/>
      <c r="AN1616" t="inlineStr"/>
      <c r="AO1616" t="inlineStr">
        <is>
          <t>cmm4yuo8k01ewcuqw3o4xzf0h</t>
        </is>
      </c>
      <c r="AP1616" t="inlineStr">
        <is>
          <t>http://localhost:8787/api/admin/requirements/documents/cmm4yuo8k01ewcuqw3o4xzf0h/view</t>
        </is>
      </c>
      <c r="AQ1616">
        <f>HYPERLÄNK("http://localhost:8787/api/admin/requirements/documents/cmm4yuo8k01ewcuqw3o4xzf0h/view";"Öppna PDF")</f>
        <v/>
      </c>
      <c r="AR1616">
        <f>HYPERLINK("http://localhost:8787/api/admin/requirements/documents/cmm4yuo8k01ewcuqw3o4xzf0h/view","Open PDF")</f>
        <v/>
      </c>
      <c r="AS1616" t="inlineStr">
        <is>
          <t>cmm55w57p0004cuisfrtpqly8</t>
        </is>
      </c>
      <c r="AT1616" t="inlineStr">
        <is>
          <t>cmm4xvu980000cuh4vj0usz09</t>
        </is>
      </c>
      <c r="AU1616" t="inlineStr"/>
      <c r="AV1616" t="inlineStr">
        <is>
          <t>Kommun</t>
        </is>
      </c>
      <c r="AW1616" t="inlineStr"/>
      <c r="AX1616" t="inlineStr">
        <is>
          <t>2024-03</t>
        </is>
      </c>
      <c r="AY1616" t="inlineStr">
        <is>
          <t>Beslut</t>
        </is>
      </c>
      <c r="AZ1616" t="inlineStr">
        <is>
          <t>2026-02-03</t>
        </is>
      </c>
      <c r="BA1616" t="inlineStr">
        <is>
          <t>VAMBN-2024-557_3_2024-05-29_analys betong.pdf</t>
        </is>
      </c>
      <c r="BB1616" t="inlineStr">
        <is>
          <t>Sv: till registrator [2026kc6014]</t>
        </is>
      </c>
      <c r="BC1616" t="inlineStr">
        <is>
          <t>AUTO</t>
        </is>
      </c>
      <c r="BD1616" t="inlineStr"/>
      <c r="BE1616" t="inlineStr"/>
      <c r="BF1616" t="inlineStr">
        <is>
          <t>AUTO_GENERERAD. Bekrafta metadata mot kallfil.</t>
        </is>
      </c>
      <c r="BG1616">
        <f>HYPERLINK("C:\Users\jimmy\Desktop\Examens arbete\Kod\Ny mapp\remix_-copy-of-miljöbeslut.se-portal\VAMBN-2024-557_3_2024-05-29_analys betong.pdf", "Öppna PDF")</f>
        <v/>
      </c>
    </row>
    <row r="1617">
      <c r="A1617" t="inlineStr">
        <is>
          <t>KRAV-AUTO-001616</t>
        </is>
      </c>
      <c r="B1617" t="inlineStr">
        <is>
          <t>ADMIN-INDEX-2026-02-27-00000000125C043F57453246863FE664CAFE6A3F0700950291EA24F0614FB6ACEDB12BF0E31D00000000010C0000950291EA24F0614FB6ACEDB12BF0E31D00002087AEEC0000</t>
        </is>
      </c>
      <c r="C1617" t="inlineStr">
        <is>
          <t>cmm4yuo8k01ewcuqw3o4xzf0h</t>
        </is>
      </c>
      <c r="D1617" t="inlineStr">
        <is>
          <t>http://localhost:8787/api/admin/requirements/documents/cmm4yuo8k01ewcuqw3o4xzf0h/view</t>
        </is>
      </c>
      <c r="E1617">
        <f>HYPERLÄNK("http://localhost:8787/api/admin/requirements/documents/cmm4yuo8k01ewcuqw3o4xzf0h/view";"Öppna PDF")</f>
        <v/>
      </c>
      <c r="F1617">
        <f>HYPERLINK("http://localhost:8787/api/admin/requirements/documents/cmm4yuo8k01ewcuqw3o4xzf0h/view","Open PDF")</f>
        <v/>
      </c>
      <c r="G1617" t="inlineStr">
        <is>
          <t>cmm55w57p0004cuisfrtpqly8</t>
        </is>
      </c>
      <c r="H1617" t="inlineStr">
        <is>
          <t>Beslutsvillkor</t>
        </is>
      </c>
      <c r="I1617" t="inlineStr">
        <is>
          <t>MiljopaverkanForsiktighet</t>
        </is>
      </c>
      <c r="J1617" t="inlineStr">
        <is>
          <t>Skyddsatgarder</t>
        </is>
      </c>
      <c r="K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7" t="inlineStr">
        <is>
          <t>SKA</t>
        </is>
      </c>
      <c r="N1617" t="inlineStr"/>
      <c r="O1617" t="inlineStr"/>
      <c r="P1617" t="inlineStr">
        <is>
          <t>Arlig</t>
        </is>
      </c>
      <c r="Q1617" t="inlineStr"/>
      <c r="R1617" t="inlineStr">
        <is>
          <t>Alltid</t>
        </is>
      </c>
      <c r="S1617" t="inlineStr"/>
      <c r="T1617" t="inlineStr">
        <is>
          <t>044341</t>
        </is>
      </c>
      <c r="U1617" t="inlineStr"/>
      <c r="V1617" t="inlineStr">
        <is>
          <t>8051 ar</t>
        </is>
      </c>
      <c r="W1617" t="inlineStr">
        <is>
          <t>Nej</t>
        </is>
      </c>
      <c r="X1617" t="inlineStr">
        <is>
          <t>Nej</t>
        </is>
      </c>
      <c r="Y1617" t="inlineStr">
        <is>
          <t>Nej</t>
        </is>
      </c>
      <c r="Z1617" t="inlineStr">
        <is>
          <t>Nej</t>
        </is>
      </c>
      <c r="AA1617" t="n">
        <v>10</v>
      </c>
      <c r="AB1617" t="inlineStr">
        <is>
          <t>Miljopaverkan och forsiktighetsmatt</t>
        </is>
      </c>
      <c r="AC1617" t="inlineStr">
        <is>
          <t>Miljo-PM</t>
        </is>
      </c>
      <c r="AD1617" t="inlineStr">
        <is>
          <t>Nej</t>
        </is>
      </c>
      <c r="AE1617" t="inlineStr">
        <is>
          <t>Nej</t>
        </is>
      </c>
      <c r="AF1617" t="inlineStr">
        <is>
          <t>Ej behandlad</t>
        </is>
      </c>
      <c r="AG1617" t="inlineStr">
        <is>
          <t>AUTO_GENERERAD. Verifiera citat mot kallfil.</t>
        </is>
      </c>
      <c r="AH1617" t="inlineStr">
        <is>
          <t>MEDIUM</t>
        </is>
      </c>
      <c r="AI1617" t="inlineStr">
        <is>
          <t>AUTO</t>
        </is>
      </c>
      <c r="AJ1617" t="inlineStr">
        <is>
          <t>Nej</t>
        </is>
      </c>
      <c r="AK1617" t="inlineStr"/>
      <c r="AL1617" t="inlineStr"/>
      <c r="AM1617" t="inlineStr"/>
      <c r="AN1617" t="inlineStr"/>
      <c r="AO1617" t="inlineStr">
        <is>
          <t>cmm4yuo8k01ewcuqw3o4xzf0h</t>
        </is>
      </c>
      <c r="AP1617" t="inlineStr">
        <is>
          <t>http://localhost:8787/api/admin/requirements/documents/cmm4yuo8k01ewcuqw3o4xzf0h/view</t>
        </is>
      </c>
      <c r="AQ1617">
        <f>HYPERLÄNK("http://localhost:8787/api/admin/requirements/documents/cmm4yuo8k01ewcuqw3o4xzf0h/view";"Öppna PDF")</f>
        <v/>
      </c>
      <c r="AR1617">
        <f>HYPERLINK("http://localhost:8787/api/admin/requirements/documents/cmm4yuo8k01ewcuqw3o4xzf0h/view","Open PDF")</f>
        <v/>
      </c>
      <c r="AS1617" t="inlineStr">
        <is>
          <t>cmm55w57p0004cuisfrtpqly8</t>
        </is>
      </c>
      <c r="AT1617" t="inlineStr">
        <is>
          <t>cmm4xvu980000cuh4vj0usz09</t>
        </is>
      </c>
      <c r="AU1617" t="inlineStr"/>
      <c r="AV1617" t="inlineStr">
        <is>
          <t>Kommun</t>
        </is>
      </c>
      <c r="AW1617" t="inlineStr"/>
      <c r="AX1617" t="inlineStr">
        <is>
          <t>2024-03</t>
        </is>
      </c>
      <c r="AY1617" t="inlineStr">
        <is>
          <t>Beslut</t>
        </is>
      </c>
      <c r="AZ1617" t="inlineStr">
        <is>
          <t>2026-02-03</t>
        </is>
      </c>
      <c r="BA1617" t="inlineStr">
        <is>
          <t>VAMBN-2024-557_3_2024-05-29_analys betong.pdf</t>
        </is>
      </c>
      <c r="BB1617" t="inlineStr">
        <is>
          <t>Sv: till registrator [2026kc6014]</t>
        </is>
      </c>
      <c r="BC1617" t="inlineStr">
        <is>
          <t>AUTO</t>
        </is>
      </c>
      <c r="BD1617" t="inlineStr"/>
      <c r="BE1617" t="inlineStr"/>
      <c r="BF1617" t="inlineStr">
        <is>
          <t>AUTO_GENERERAD. Bekrafta metadata mot kallfil.</t>
        </is>
      </c>
      <c r="BG1617">
        <f>HYPERLINK("C:\Users\jimmy\Desktop\Examens arbete\Kod\Ny mapp\remix_-copy-of-miljöbeslut.se-portal\VAMBN-2024-557_3_2024-05-29_analys betong.pdf", "Öppna PDF")</f>
        <v/>
      </c>
    </row>
    <row r="1618">
      <c r="A1618" t="inlineStr">
        <is>
          <t>KRAV-AUTO-001617</t>
        </is>
      </c>
      <c r="B1618" t="inlineStr">
        <is>
          <t>ADMIN-INDEX-2026-02-27-00000000125C043F57453246863FE664CAFE6A3F0700950291EA24F0614FB6ACEDB12BF0E31D00000000010C0000950291EA24F0614FB6ACEDB12BF0E31D00002087AEED0000</t>
        </is>
      </c>
      <c r="C1618" t="inlineStr">
        <is>
          <t>cmm4yuo7z01ehcuqwtcvxztnd</t>
        </is>
      </c>
      <c r="D1618" t="inlineStr">
        <is>
          <t>http://localhost:8787/api/admin/requirements/documents/cmm4yuo7z01ehcuqwtcvxztnd/view</t>
        </is>
      </c>
      <c r="E1618">
        <f>HYPERLÄNK("http://localhost:8787/api/admin/requirements/documents/cmm4yuo7z01ehcuqwtcvxztnd/view";"Öppna PDF")</f>
        <v/>
      </c>
      <c r="F1618">
        <f>HYPERLINK("http://localhost:8787/api/admin/requirements/documents/cmm4yuo7z01ehcuqwtcvxztnd/view","Open PDF")</f>
        <v/>
      </c>
      <c r="G1618" t="inlineStr">
        <is>
          <t>cmm55w57p0004cuisfrtpqly8</t>
        </is>
      </c>
      <c r="H1618" t="inlineStr">
        <is>
          <t>Informationskrav</t>
        </is>
      </c>
      <c r="I1618" t="inlineStr">
        <is>
          <t>MiljopaverkanForsiktighet</t>
        </is>
      </c>
      <c r="J1618" t="inlineStr">
        <is>
          <t>Skyddsatgarder</t>
        </is>
      </c>
      <c r="K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18" t="inlineStr">
        <is>
          <t>BOR</t>
        </is>
      </c>
      <c r="N1618" t="inlineStr"/>
      <c r="O1618" t="inlineStr">
        <is>
          <t>2025-06-27</t>
        </is>
      </c>
      <c r="P1618" t="inlineStr">
        <is>
          <t>Arlig</t>
        </is>
      </c>
      <c r="Q1618" t="inlineStr">
        <is>
          <t>Forbud</t>
        </is>
      </c>
      <c r="R1618" t="inlineStr">
        <is>
          <t>Alltid</t>
        </is>
      </c>
      <c r="S1618" t="inlineStr"/>
      <c r="T1618" t="inlineStr"/>
      <c r="U1618" t="inlineStr"/>
      <c r="V1618" t="inlineStr"/>
      <c r="W1618" t="inlineStr">
        <is>
          <t>Nej</t>
        </is>
      </c>
      <c r="X1618" t="inlineStr">
        <is>
          <t>Nej</t>
        </is>
      </c>
      <c r="Y1618" t="inlineStr">
        <is>
          <t>Nej</t>
        </is>
      </c>
      <c r="Z1618" t="inlineStr">
        <is>
          <t>Nej</t>
        </is>
      </c>
      <c r="AA1618" t="n">
        <v>10</v>
      </c>
      <c r="AB1618" t="inlineStr">
        <is>
          <t>Miljopaverkan och forsiktighetsmatt</t>
        </is>
      </c>
      <c r="AC1618" t="inlineStr">
        <is>
          <t>Miljo-PM</t>
        </is>
      </c>
      <c r="AD1618" t="inlineStr">
        <is>
          <t>Nej</t>
        </is>
      </c>
      <c r="AE1618" t="inlineStr">
        <is>
          <t>Nej</t>
        </is>
      </c>
      <c r="AF1618" t="inlineStr">
        <is>
          <t>Ej behandlad</t>
        </is>
      </c>
      <c r="AG1618" t="inlineStr">
        <is>
          <t>AUTO_GENERERAD. Verifiera citat mot kallfil.</t>
        </is>
      </c>
      <c r="AH1618" t="inlineStr">
        <is>
          <t>MEDIUM</t>
        </is>
      </c>
      <c r="AI1618" t="inlineStr">
        <is>
          <t>AUTO</t>
        </is>
      </c>
      <c r="AJ1618" t="inlineStr">
        <is>
          <t>Nej</t>
        </is>
      </c>
      <c r="AK1618" t="inlineStr"/>
      <c r="AL1618" t="inlineStr"/>
      <c r="AM1618" t="inlineStr"/>
      <c r="AN1618" t="inlineStr"/>
      <c r="AO1618" t="inlineStr">
        <is>
          <t>cmm4yuo7z01ehcuqwtcvxztnd</t>
        </is>
      </c>
      <c r="AP1618" t="inlineStr">
        <is>
          <t>http://localhost:8787/api/admin/requirements/documents/cmm4yuo7z01ehcuqwtcvxztnd/view</t>
        </is>
      </c>
      <c r="AQ1618">
        <f>HYPERLÄNK("http://localhost:8787/api/admin/requirements/documents/cmm4yuo7z01ehcuqwtcvxztnd/view";"Öppna PDF")</f>
        <v/>
      </c>
      <c r="AR1618">
        <f>HYPERLINK("http://localhost:8787/api/admin/requirements/documents/cmm4yuo7z01ehcuqwtcvxztnd/view","Open PDF")</f>
        <v/>
      </c>
      <c r="AS1618" t="inlineStr">
        <is>
          <t>cmm55w57p0004cuisfrtpqly8</t>
        </is>
      </c>
      <c r="AT1618" t="inlineStr">
        <is>
          <t>cmm4xvu980000cuh4vj0usz09</t>
        </is>
      </c>
      <c r="AU1618" t="inlineStr"/>
      <c r="AV1618" t="inlineStr">
        <is>
          <t>Kommun</t>
        </is>
      </c>
      <c r="AW1618" t="inlineStr"/>
      <c r="AX1618" t="inlineStr">
        <is>
          <t>2025-06</t>
        </is>
      </c>
      <c r="AY1618" t="inlineStr">
        <is>
          <t>Anmalan</t>
        </is>
      </c>
      <c r="AZ1618" t="inlineStr">
        <is>
          <t>2026-02-03</t>
        </is>
      </c>
      <c r="BA1618" t="inlineStr">
        <is>
          <t>BeslutMiljohandlaggareDB440FB_456087.pdf</t>
        </is>
      </c>
      <c r="BB1618" t="inlineStr">
        <is>
          <t>Anmälan om lagring av avfall,  MIL.2025.531</t>
        </is>
      </c>
      <c r="BC1618" t="inlineStr">
        <is>
          <t>AUTO</t>
        </is>
      </c>
      <c r="BD1618" t="inlineStr"/>
      <c r="BE1618" t="inlineStr"/>
      <c r="BF1618" t="inlineStr">
        <is>
          <t>AUTO_GENERERAD. Bekrafta metadata mot kallfil.</t>
        </is>
      </c>
      <c r="BG1618">
        <f>HYPERLINK("C:\Users\jimmy\Desktop\Examens arbete\Kod\Ny mapp\remix_-copy-of-miljöbeslut.se-portal\BeslutMiljohandlaggareDB440FB_456087.pdf", "Öppna PDF")</f>
        <v/>
      </c>
    </row>
    <row r="1619">
      <c r="A1619" t="inlineStr">
        <is>
          <t>KRAV-AUTO-001618</t>
        </is>
      </c>
      <c r="B1619" t="inlineStr">
        <is>
          <t>ADMIN-INDEX-2026-02-27-00000000125C043F57453246863FE664CAFE6A3F0700950291EA24F0614FB6ACEDB12BF0E31D00000000010C0000950291EA24F0614FB6ACEDB12BF0E31D00002087AEED0000</t>
        </is>
      </c>
      <c r="C1619" t="inlineStr">
        <is>
          <t>cmm4yuo7z01ehcuqwtcvxztnd</t>
        </is>
      </c>
      <c r="D1619" t="inlineStr">
        <is>
          <t>http://localhost:8787/api/admin/requirements/documents/cmm4yuo7z01ehcuqwtcvxztnd/view</t>
        </is>
      </c>
      <c r="E1619">
        <f>HYPERLÄNK("http://localhost:8787/api/admin/requirements/documents/cmm4yuo7z01ehcuqwtcvxztnd/view";"Öppna PDF")</f>
        <v/>
      </c>
      <c r="F1619">
        <f>HYPERLINK("http://localhost:8787/api/admin/requirements/documents/cmm4yuo7z01ehcuqwtcvxztnd/view","Open PDF")</f>
        <v/>
      </c>
      <c r="G1619" t="inlineStr">
        <is>
          <t>cmm55w57p0004cuisfrtpqly8</t>
        </is>
      </c>
      <c r="H1619" t="inlineStr">
        <is>
          <t>Informationskrav</t>
        </is>
      </c>
      <c r="I1619" t="inlineStr">
        <is>
          <t>MiljopaverkanForsiktighet</t>
        </is>
      </c>
      <c r="J1619" t="inlineStr">
        <is>
          <t>Skyddsatgarder</t>
        </is>
      </c>
      <c r="K1619" t="inlineStr">
        <is>
          <t>Rutinen ska inkludera både torra samt blöta avfallsmassor.</t>
        </is>
      </c>
      <c r="L1619" t="inlineStr">
        <is>
          <t>Rutinen ska inkludera både torra samt blöta avfallsmassor.</t>
        </is>
      </c>
      <c r="M1619" t="inlineStr">
        <is>
          <t>SKA</t>
        </is>
      </c>
      <c r="N1619" t="inlineStr"/>
      <c r="O1619" t="inlineStr"/>
      <c r="P1619" t="inlineStr"/>
      <c r="Q1619" t="inlineStr"/>
      <c r="R1619" t="inlineStr">
        <is>
          <t>Alltid</t>
        </is>
      </c>
      <c r="S1619" t="inlineStr"/>
      <c r="T1619" t="inlineStr"/>
      <c r="U1619" t="inlineStr"/>
      <c r="V1619" t="inlineStr"/>
      <c r="W1619" t="inlineStr">
        <is>
          <t>Nej</t>
        </is>
      </c>
      <c r="X1619" t="inlineStr">
        <is>
          <t>Nej</t>
        </is>
      </c>
      <c r="Y1619" t="inlineStr">
        <is>
          <t>Nej</t>
        </is>
      </c>
      <c r="Z1619" t="inlineStr">
        <is>
          <t>Nej</t>
        </is>
      </c>
      <c r="AA1619" t="n">
        <v>10</v>
      </c>
      <c r="AB1619" t="inlineStr">
        <is>
          <t>Miljopaverkan och forsiktighetsmatt</t>
        </is>
      </c>
      <c r="AC1619" t="inlineStr">
        <is>
          <t>Miljo-PM</t>
        </is>
      </c>
      <c r="AD1619" t="inlineStr">
        <is>
          <t>Nej</t>
        </is>
      </c>
      <c r="AE1619" t="inlineStr">
        <is>
          <t>Nej</t>
        </is>
      </c>
      <c r="AF1619" t="inlineStr">
        <is>
          <t>Ej behandlad</t>
        </is>
      </c>
      <c r="AG1619" t="inlineStr">
        <is>
          <t>AUTO_GENERERAD. Verifiera citat mot kallfil.</t>
        </is>
      </c>
      <c r="AH1619" t="inlineStr">
        <is>
          <t>MEDIUM</t>
        </is>
      </c>
      <c r="AI1619" t="inlineStr">
        <is>
          <t>AUTO</t>
        </is>
      </c>
      <c r="AJ1619" t="inlineStr">
        <is>
          <t>Nej</t>
        </is>
      </c>
      <c r="AK1619" t="inlineStr"/>
      <c r="AL1619" t="inlineStr"/>
      <c r="AM1619" t="inlineStr"/>
      <c r="AN1619" t="inlineStr"/>
      <c r="AO1619" t="inlineStr">
        <is>
          <t>cmm4yuo7z01ehcuqwtcvxztnd</t>
        </is>
      </c>
      <c r="AP1619" t="inlineStr">
        <is>
          <t>http://localhost:8787/api/admin/requirements/documents/cmm4yuo7z01ehcuqwtcvxztnd/view</t>
        </is>
      </c>
      <c r="AQ1619">
        <f>HYPERLÄNK("http://localhost:8787/api/admin/requirements/documents/cmm4yuo7z01ehcuqwtcvxztnd/view";"Öppna PDF")</f>
        <v/>
      </c>
      <c r="AR1619">
        <f>HYPERLINK("http://localhost:8787/api/admin/requirements/documents/cmm4yuo7z01ehcuqwtcvxztnd/view","Open PDF")</f>
        <v/>
      </c>
      <c r="AS1619" t="inlineStr">
        <is>
          <t>cmm55w57p0004cuisfrtpqly8</t>
        </is>
      </c>
      <c r="AT1619" t="inlineStr">
        <is>
          <t>cmm4xvu980000cuh4vj0usz09</t>
        </is>
      </c>
      <c r="AU1619" t="inlineStr"/>
      <c r="AV1619" t="inlineStr">
        <is>
          <t>Kommun</t>
        </is>
      </c>
      <c r="AW1619" t="inlineStr"/>
      <c r="AX1619" t="inlineStr">
        <is>
          <t>2025-06</t>
        </is>
      </c>
      <c r="AY1619" t="inlineStr">
        <is>
          <t>Anmalan</t>
        </is>
      </c>
      <c r="AZ1619" t="inlineStr">
        <is>
          <t>2026-02-03</t>
        </is>
      </c>
      <c r="BA1619" t="inlineStr">
        <is>
          <t>BeslutMiljohandlaggareDB440FB_456087.pdf</t>
        </is>
      </c>
      <c r="BB1619" t="inlineStr">
        <is>
          <t>Anmälan om lagring av avfall,  MIL.2025.531</t>
        </is>
      </c>
      <c r="BC1619" t="inlineStr">
        <is>
          <t>AUTO</t>
        </is>
      </c>
      <c r="BD1619" t="inlineStr"/>
      <c r="BE1619" t="inlineStr"/>
      <c r="BF1619" t="inlineStr">
        <is>
          <t>AUTO_GENERERAD. Bekrafta metadata mot kallfil.</t>
        </is>
      </c>
      <c r="BG1619">
        <f>HYPERLINK("C:\Users\jimmy\Desktop\Examens arbete\Kod\Ny mapp\remix_-copy-of-miljöbeslut.se-portal\BeslutMiljohandlaggareDB440FB_456087.pdf", "Öppna PDF")</f>
        <v/>
      </c>
    </row>
    <row r="1620">
      <c r="A1620" t="inlineStr">
        <is>
          <t>KRAV-AUTO-001619</t>
        </is>
      </c>
      <c r="B1620" t="inlineStr">
        <is>
          <t>ADMIN-INDEX-2026-02-27-00000000125C043F57453246863FE664CAFE6A3F0700950291EA24F0614FB6ACEDB12BF0E31D00000000010C0000950291EA24F0614FB6ACEDB12BF0E31D00002087AEED0000</t>
        </is>
      </c>
      <c r="C1620" t="inlineStr">
        <is>
          <t>cmm4yuo7z01ehcuqwtcvxztnd</t>
        </is>
      </c>
      <c r="D1620" t="inlineStr">
        <is>
          <t>http://localhost:8787/api/admin/requirements/documents/cmm4yuo7z01ehcuqwtcvxztnd/view</t>
        </is>
      </c>
      <c r="E1620">
        <f>HYPERLÄNK("http://localhost:8787/api/admin/requirements/documents/cmm4yuo7z01ehcuqwtcvxztnd/view";"Öppna PDF")</f>
        <v/>
      </c>
      <c r="F1620">
        <f>HYPERLINK("http://localhost:8787/api/admin/requirements/documents/cmm4yuo7z01ehcuqwtcvxztnd/view","Open PDF")</f>
        <v/>
      </c>
      <c r="G1620" t="inlineStr">
        <is>
          <t>cmm55w57p0004cuisfrtpqly8</t>
        </is>
      </c>
      <c r="H1620" t="inlineStr">
        <is>
          <t>Informationskrav</t>
        </is>
      </c>
      <c r="I1620" t="inlineStr">
        <is>
          <t>MiljopaverkanForsiktighet</t>
        </is>
      </c>
      <c r="J1620" t="inlineStr">
        <is>
          <t>Skyddsatgarder</t>
        </is>
      </c>
      <c r="K1620" t="inlineStr">
        <is>
          <t>Förbud att påbörja lagring av icke-farligt avfall enligt anmälan inkommen den 22 maj 2025.</t>
        </is>
      </c>
      <c r="L1620" t="inlineStr">
        <is>
          <t>Förbud att påbörja lagring av icke-farligt avfall enligt anmälan inkommen den 22 maj 2025.</t>
        </is>
      </c>
      <c r="M1620" t="inlineStr">
        <is>
          <t>BOR</t>
        </is>
      </c>
      <c r="N1620" t="inlineStr"/>
      <c r="O1620" t="inlineStr"/>
      <c r="P1620" t="inlineStr">
        <is>
          <t>Arlig</t>
        </is>
      </c>
      <c r="Q1620" t="inlineStr">
        <is>
          <t>Forbud</t>
        </is>
      </c>
      <c r="R1620" t="inlineStr">
        <is>
          <t>Alltid</t>
        </is>
      </c>
      <c r="S1620" t="inlineStr"/>
      <c r="T1620" t="inlineStr"/>
      <c r="U1620" t="inlineStr"/>
      <c r="V1620" t="inlineStr"/>
      <c r="W1620" t="inlineStr">
        <is>
          <t>Nej</t>
        </is>
      </c>
      <c r="X1620" t="inlineStr">
        <is>
          <t>Nej</t>
        </is>
      </c>
      <c r="Y1620" t="inlineStr">
        <is>
          <t>Nej</t>
        </is>
      </c>
      <c r="Z1620" t="inlineStr">
        <is>
          <t>Nej</t>
        </is>
      </c>
      <c r="AA1620" t="n">
        <v>10</v>
      </c>
      <c r="AB1620" t="inlineStr">
        <is>
          <t>Miljopaverkan och forsiktighetsmatt</t>
        </is>
      </c>
      <c r="AC1620" t="inlineStr">
        <is>
          <t>Miljo-PM</t>
        </is>
      </c>
      <c r="AD1620" t="inlineStr">
        <is>
          <t>Nej</t>
        </is>
      </c>
      <c r="AE1620" t="inlineStr">
        <is>
          <t>Nej</t>
        </is>
      </c>
      <c r="AF1620" t="inlineStr">
        <is>
          <t>Ej behandlad</t>
        </is>
      </c>
      <c r="AG1620" t="inlineStr">
        <is>
          <t>AUTO_GENERERAD. Verifiera citat mot kallfil.</t>
        </is>
      </c>
      <c r="AH1620" t="inlineStr">
        <is>
          <t>MEDIUM</t>
        </is>
      </c>
      <c r="AI1620" t="inlineStr">
        <is>
          <t>AUTO</t>
        </is>
      </c>
      <c r="AJ1620" t="inlineStr">
        <is>
          <t>Nej</t>
        </is>
      </c>
      <c r="AK1620" t="inlineStr"/>
      <c r="AL1620" t="inlineStr"/>
      <c r="AM1620" t="inlineStr"/>
      <c r="AN1620" t="inlineStr"/>
      <c r="AO1620" t="inlineStr">
        <is>
          <t>cmm4yuo7z01ehcuqwtcvxztnd</t>
        </is>
      </c>
      <c r="AP1620" t="inlineStr">
        <is>
          <t>http://localhost:8787/api/admin/requirements/documents/cmm4yuo7z01ehcuqwtcvxztnd/view</t>
        </is>
      </c>
      <c r="AQ1620">
        <f>HYPERLÄNK("http://localhost:8787/api/admin/requirements/documents/cmm4yuo7z01ehcuqwtcvxztnd/view";"Öppna PDF")</f>
        <v/>
      </c>
      <c r="AR1620">
        <f>HYPERLINK("http://localhost:8787/api/admin/requirements/documents/cmm4yuo7z01ehcuqwtcvxztnd/view","Open PDF")</f>
        <v/>
      </c>
      <c r="AS1620" t="inlineStr">
        <is>
          <t>cmm55w57p0004cuisfrtpqly8</t>
        </is>
      </c>
      <c r="AT1620" t="inlineStr">
        <is>
          <t>cmm4xvu980000cuh4vj0usz09</t>
        </is>
      </c>
      <c r="AU1620" t="inlineStr"/>
      <c r="AV1620" t="inlineStr">
        <is>
          <t>Kommun</t>
        </is>
      </c>
      <c r="AW1620" t="inlineStr"/>
      <c r="AX1620" t="inlineStr">
        <is>
          <t>2025-06</t>
        </is>
      </c>
      <c r="AY1620" t="inlineStr">
        <is>
          <t>Anmalan</t>
        </is>
      </c>
      <c r="AZ1620" t="inlineStr">
        <is>
          <t>2026-02-03</t>
        </is>
      </c>
      <c r="BA1620" t="inlineStr">
        <is>
          <t>BeslutMiljohandlaggareDB440FB_456087.pdf</t>
        </is>
      </c>
      <c r="BB1620" t="inlineStr">
        <is>
          <t>Anmälan om lagring av avfall,  MIL.2025.531</t>
        </is>
      </c>
      <c r="BC1620" t="inlineStr">
        <is>
          <t>AUTO</t>
        </is>
      </c>
      <c r="BD1620" t="inlineStr"/>
      <c r="BE1620" t="inlineStr"/>
      <c r="BF1620" t="inlineStr">
        <is>
          <t>AUTO_GENERERAD. Bekrafta metadata mot kallfil.</t>
        </is>
      </c>
      <c r="BG1620">
        <f>HYPERLINK("C:\Users\jimmy\Desktop\Examens arbete\Kod\Ny mapp\remix_-copy-of-miljöbeslut.se-portal\BeslutMiljohandlaggareDB440FB_456087.pdf", "Öppna PDF")</f>
        <v/>
      </c>
    </row>
    <row r="1621">
      <c r="A1621" t="inlineStr">
        <is>
          <t>KRAV-AUTO-001620</t>
        </is>
      </c>
      <c r="B1621" t="inlineStr">
        <is>
          <t>ADMIN-INDEX-2026-02-27-00000000125C043F57453246863FE664CAFE6A3F0700950291EA24F0614FB6ACEDB12BF0E31D00000000010C0000950291EA24F0614FB6ACEDB12BF0E31D00002087AEED0000</t>
        </is>
      </c>
      <c r="C1621" t="inlineStr">
        <is>
          <t>cmm4yuo7v01eecuqw7f4ej7ko</t>
        </is>
      </c>
      <c r="D1621" t="inlineStr">
        <is>
          <t>http://localhost:8787/api/admin/requirements/documents/cmm4yuo7v01eecuqw7f4ej7ko/view</t>
        </is>
      </c>
      <c r="E1621">
        <f>HYPERLÄNK("http://localhost:8787/api/admin/requirements/documents/cmm4yuo7v01eecuqw7f4ej7ko/view";"Öppna PDF")</f>
        <v/>
      </c>
      <c r="F1621">
        <f>HYPERLINK("http://localhost:8787/api/admin/requirements/documents/cmm4yuo7v01eecuqw7f4ej7ko/view","Open PDF")</f>
        <v/>
      </c>
      <c r="G1621" t="inlineStr">
        <is>
          <t>cmm55w57p0004cuisfrtpqly8</t>
        </is>
      </c>
      <c r="H1621" t="inlineStr">
        <is>
          <t>Informationskrav</t>
        </is>
      </c>
      <c r="I1621" t="inlineStr">
        <is>
          <t>Riskhantering</t>
        </is>
      </c>
      <c r="J1621" t="inlineStr">
        <is>
          <t>Riskkontroll</t>
        </is>
      </c>
      <c r="K1621" t="inlineStr">
        <is>
          <t>Du behöver hålla dig informerade om och även se till att personal som hanterar avfallet har de nödvändiga kunskaper om vilka risker, skyddsåtgärder och regler som gäller för transporten.</t>
        </is>
      </c>
      <c r="L1621" t="inlineStr">
        <is>
          <t>Du behöver hålla dig informerade om och även se till att personal som hanterar avfallet har de nödvändiga kunskaper om vilka risker, skyddsåtgärder och regler som gäller för transporten.</t>
        </is>
      </c>
      <c r="M1621" t="inlineStr">
        <is>
          <t>SKA</t>
        </is>
      </c>
      <c r="N1621" t="inlineStr"/>
      <c r="O1621" t="inlineStr"/>
      <c r="P1621" t="inlineStr"/>
      <c r="Q1621" t="inlineStr"/>
      <c r="R1621" t="inlineStr">
        <is>
          <t>Vid risk for incident</t>
        </is>
      </c>
      <c r="S1621" t="inlineStr"/>
      <c r="T1621" t="inlineStr">
        <is>
          <t>556135</t>
        </is>
      </c>
      <c r="U1621" t="inlineStr"/>
      <c r="V1621" t="inlineStr"/>
      <c r="W1621" t="inlineStr">
        <is>
          <t>Nej</t>
        </is>
      </c>
      <c r="X1621" t="inlineStr">
        <is>
          <t>Nej</t>
        </is>
      </c>
      <c r="Y1621" t="inlineStr">
        <is>
          <t>Ja</t>
        </is>
      </c>
      <c r="Z1621" t="inlineStr">
        <is>
          <t>Ja</t>
        </is>
      </c>
      <c r="AA1621" t="n">
        <v>8</v>
      </c>
      <c r="AB1621" t="inlineStr">
        <is>
          <t>Riskhantering</t>
        </is>
      </c>
      <c r="AC1621" t="inlineStr">
        <is>
          <t>Risk-PM</t>
        </is>
      </c>
      <c r="AD1621" t="inlineStr">
        <is>
          <t>Nej</t>
        </is>
      </c>
      <c r="AE1621" t="inlineStr">
        <is>
          <t>Nej</t>
        </is>
      </c>
      <c r="AF1621" t="inlineStr">
        <is>
          <t>Ej behandlad</t>
        </is>
      </c>
      <c r="AG1621" t="inlineStr">
        <is>
          <t>AUTO_GENERERAD. Verifiera citat mot kallfil.</t>
        </is>
      </c>
      <c r="AH1621" t="inlineStr">
        <is>
          <t>MEDIUM</t>
        </is>
      </c>
      <c r="AI1621" t="inlineStr">
        <is>
          <t>AUTO</t>
        </is>
      </c>
      <c r="AJ1621" t="inlineStr">
        <is>
          <t>Nej</t>
        </is>
      </c>
      <c r="AK1621" t="inlineStr"/>
      <c r="AL1621" t="inlineStr"/>
      <c r="AM1621" t="inlineStr"/>
      <c r="AN1621" t="inlineStr"/>
      <c r="AO1621" t="inlineStr">
        <is>
          <t>cmm4yuo7z01ehcuqwtcvxztnd</t>
        </is>
      </c>
      <c r="AP1621" t="inlineStr">
        <is>
          <t>http://localhost:8787/api/admin/requirements/documents/cmm4yuo7z01ehcuqwtcvxztnd/view</t>
        </is>
      </c>
      <c r="AQ1621">
        <f>HYPERLÄNK("http://localhost:8787/api/admin/requirements/documents/cmm4yuo7z01ehcuqwtcvxztnd/view";"Öppna PDF")</f>
        <v/>
      </c>
      <c r="AR1621">
        <f>HYPERLINK("http://localhost:8787/api/admin/requirements/documents/cmm4yuo7z01ehcuqwtcvxztnd/view","Open PDF")</f>
        <v/>
      </c>
      <c r="AS1621" t="inlineStr">
        <is>
          <t>cmm55w57p0004cuisfrtpqly8</t>
        </is>
      </c>
      <c r="AT1621" t="inlineStr">
        <is>
          <t>cmm4xvu980000cuh4vj0usz09</t>
        </is>
      </c>
      <c r="AU1621" t="inlineStr"/>
      <c r="AV1621" t="inlineStr">
        <is>
          <t>Kommun</t>
        </is>
      </c>
      <c r="AW1621" t="inlineStr"/>
      <c r="AX1621" t="inlineStr">
        <is>
          <t>2025-06</t>
        </is>
      </c>
      <c r="AY1621" t="inlineStr">
        <is>
          <t>Anmalan</t>
        </is>
      </c>
      <c r="AZ1621" t="inlineStr">
        <is>
          <t>2026-02-03</t>
        </is>
      </c>
      <c r="BA1621" t="inlineStr">
        <is>
          <t>BeslutMiljohandlaggareDB440FB_456087.pdf</t>
        </is>
      </c>
      <c r="BB1621" t="inlineStr">
        <is>
          <t>Anmälan om lagring av avfall,  MIL.2025.531</t>
        </is>
      </c>
      <c r="BC1621" t="inlineStr">
        <is>
          <t>AUTO</t>
        </is>
      </c>
      <c r="BD1621" t="inlineStr"/>
      <c r="BE1621" t="inlineStr"/>
      <c r="BF1621" t="inlineStr">
        <is>
          <t>AUTO_GENERERAD. Bekrafta metadata mot kallfil.</t>
        </is>
      </c>
      <c r="BG1621">
        <f>HYPERLINK("C:\Users\jimmy\Desktop\Examens arbete\Kod\Ny mapp\remix_-copy-of-miljöbeslut.se-portal\BeslutMiljohandlaggareDB440FB_456087.pdf", "Öppna PDF")</f>
        <v/>
      </c>
    </row>
    <row r="1622">
      <c r="A1622" t="inlineStr">
        <is>
          <t>KRAV-AUTO-001621</t>
        </is>
      </c>
      <c r="B1622" t="inlineStr">
        <is>
          <t>ADMIN-INDEX-2026-02-27-00000000125C043F57453246863FE664CAFE6A3F0700950291EA24F0614FB6ACEDB12BF0E31D00000000010C0000950291EA24F0614FB6ACEDB12BF0E31D00002087AEED0000</t>
        </is>
      </c>
      <c r="C1622" t="inlineStr">
        <is>
          <t>cmm4yuo7v01eecuqw7f4ej7ko</t>
        </is>
      </c>
      <c r="D1622" t="inlineStr">
        <is>
          <t>http://localhost:8787/api/admin/requirements/documents/cmm4yuo7v01eecuqw7f4ej7ko/view</t>
        </is>
      </c>
      <c r="E1622">
        <f>HYPERLÄNK("http://localhost:8787/api/admin/requirements/documents/cmm4yuo7v01eecuqw7f4ej7ko/view";"Öppna PDF")</f>
        <v/>
      </c>
      <c r="F1622">
        <f>HYPERLINK("http://localhost:8787/api/admin/requirements/documents/cmm4yuo7v01eecuqw7f4ej7ko/view","Open PDF")</f>
        <v/>
      </c>
      <c r="G1622" t="inlineStr">
        <is>
          <t>cmm55w57p0004cuisfrtpqly8</t>
        </is>
      </c>
      <c r="H1622" t="inlineStr">
        <is>
          <t>Informationskrav</t>
        </is>
      </c>
      <c r="I1622" t="inlineStr">
        <is>
          <t>Riskhantering</t>
        </is>
      </c>
      <c r="J1622" t="inlineStr">
        <is>
          <t>Riskkontroll</t>
        </is>
      </c>
      <c r="K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2" t="inlineStr">
        <is>
          <t>SKA</t>
        </is>
      </c>
      <c r="N1622" t="inlineStr"/>
      <c r="O1622" t="inlineStr"/>
      <c r="P1622" t="inlineStr">
        <is>
          <t>Arlig</t>
        </is>
      </c>
      <c r="Q1622" t="inlineStr"/>
      <c r="R1622" t="inlineStr">
        <is>
          <t>Vid risk for incident</t>
        </is>
      </c>
      <c r="S1622" t="inlineStr"/>
      <c r="T1622" t="inlineStr">
        <is>
          <t>556135</t>
        </is>
      </c>
      <c r="U1622" t="inlineStr"/>
      <c r="V1622" t="inlineStr"/>
      <c r="W1622" t="inlineStr">
        <is>
          <t>Nej</t>
        </is>
      </c>
      <c r="X1622" t="inlineStr">
        <is>
          <t>Nej</t>
        </is>
      </c>
      <c r="Y1622" t="inlineStr">
        <is>
          <t>Ja</t>
        </is>
      </c>
      <c r="Z1622" t="inlineStr">
        <is>
          <t>Ja</t>
        </is>
      </c>
      <c r="AA1622" t="n">
        <v>8</v>
      </c>
      <c r="AB1622" t="inlineStr">
        <is>
          <t>Riskhantering</t>
        </is>
      </c>
      <c r="AC1622" t="inlineStr">
        <is>
          <t>Risk-PM</t>
        </is>
      </c>
      <c r="AD1622" t="inlineStr">
        <is>
          <t>Nej</t>
        </is>
      </c>
      <c r="AE1622" t="inlineStr">
        <is>
          <t>Nej</t>
        </is>
      </c>
      <c r="AF1622" t="inlineStr">
        <is>
          <t>Ej behandlad</t>
        </is>
      </c>
      <c r="AG1622" t="inlineStr">
        <is>
          <t>AUTO_GENERERAD. Verifiera citat mot kallfil.</t>
        </is>
      </c>
      <c r="AH1622" t="inlineStr">
        <is>
          <t>MEDIUM</t>
        </is>
      </c>
      <c r="AI1622" t="inlineStr">
        <is>
          <t>AUTO</t>
        </is>
      </c>
      <c r="AJ1622" t="inlineStr">
        <is>
          <t>Nej</t>
        </is>
      </c>
      <c r="AK1622" t="inlineStr"/>
      <c r="AL1622" t="inlineStr"/>
      <c r="AM1622" t="inlineStr"/>
      <c r="AN1622" t="inlineStr"/>
      <c r="AO1622" t="inlineStr">
        <is>
          <t>cmm4yuo7z01ehcuqwtcvxztnd</t>
        </is>
      </c>
      <c r="AP1622" t="inlineStr">
        <is>
          <t>http://localhost:8787/api/admin/requirements/documents/cmm4yuo7z01ehcuqwtcvxztnd/view</t>
        </is>
      </c>
      <c r="AQ1622">
        <f>HYPERLÄNK("http://localhost:8787/api/admin/requirements/documents/cmm4yuo7z01ehcuqwtcvxztnd/view";"Öppna PDF")</f>
        <v/>
      </c>
      <c r="AR1622">
        <f>HYPERLINK("http://localhost:8787/api/admin/requirements/documents/cmm4yuo7z01ehcuqwtcvxztnd/view","Open PDF")</f>
        <v/>
      </c>
      <c r="AS1622" t="inlineStr">
        <is>
          <t>cmm55w57p0004cuisfrtpqly8</t>
        </is>
      </c>
      <c r="AT1622" t="inlineStr">
        <is>
          <t>cmm4xvu980000cuh4vj0usz09</t>
        </is>
      </c>
      <c r="AU1622" t="inlineStr"/>
      <c r="AV1622" t="inlineStr">
        <is>
          <t>Kommun</t>
        </is>
      </c>
      <c r="AW1622" t="inlineStr"/>
      <c r="AX1622" t="inlineStr">
        <is>
          <t>2025-06</t>
        </is>
      </c>
      <c r="AY1622" t="inlineStr">
        <is>
          <t>Anmalan</t>
        </is>
      </c>
      <c r="AZ1622" t="inlineStr">
        <is>
          <t>2026-02-03</t>
        </is>
      </c>
      <c r="BA1622" t="inlineStr">
        <is>
          <t>BeslutMiljohandlaggareDB440FB_456087.pdf</t>
        </is>
      </c>
      <c r="BB1622" t="inlineStr">
        <is>
          <t>Anmälan om lagring av avfall,  MIL.2025.531</t>
        </is>
      </c>
      <c r="BC1622" t="inlineStr">
        <is>
          <t>AUTO</t>
        </is>
      </c>
      <c r="BD1622" t="inlineStr"/>
      <c r="BE1622" t="inlineStr"/>
      <c r="BF1622" t="inlineStr">
        <is>
          <t>AUTO_GENERERAD. Bekrafta metadata mot kallfil.</t>
        </is>
      </c>
      <c r="BG1622">
        <f>HYPERLINK("C:\Users\jimmy\Desktop\Examens arbete\Kod\Ny mapp\remix_-copy-of-miljöbeslut.se-portal\BeslutMiljohandlaggareDB440FB_456087.pdf", "Öppna PDF")</f>
        <v/>
      </c>
    </row>
    <row r="1623">
      <c r="A1623" t="inlineStr">
        <is>
          <t>KRAV-AUTO-001622</t>
        </is>
      </c>
      <c r="B1623" t="inlineStr">
        <is>
          <t>ADMIN-INDEX-2026-02-27-00000000125C043F57453246863FE664CAFE6A3F0700950291EA24F0614FB6ACEDB12BF0E31D00000000010C0000950291EA24F0614FB6ACEDB12BF0E31D00002087AEED0000</t>
        </is>
      </c>
      <c r="C1623" t="inlineStr">
        <is>
          <t>cmm4yuo7v01eecuqw7f4ej7ko</t>
        </is>
      </c>
      <c r="D1623" t="inlineStr">
        <is>
          <t>http://localhost:8787/api/admin/requirements/documents/cmm4yuo7v01eecuqw7f4ej7ko/view</t>
        </is>
      </c>
      <c r="E1623">
        <f>HYPERLÄNK("http://localhost:8787/api/admin/requirements/documents/cmm4yuo7v01eecuqw7f4ej7ko/view";"Öppna PDF")</f>
        <v/>
      </c>
      <c r="F1623">
        <f>HYPERLINK("http://localhost:8787/api/admin/requirements/documents/cmm4yuo7v01eecuqw7f4ej7ko/view","Open PDF")</f>
        <v/>
      </c>
      <c r="G1623" t="inlineStr">
        <is>
          <t>cmm55w57p0004cuisfrtpqly8</t>
        </is>
      </c>
      <c r="H1623" t="inlineStr">
        <is>
          <t>Informationskrav</t>
        </is>
      </c>
      <c r="I1623" t="inlineStr">
        <is>
          <t>TransportLogistik</t>
        </is>
      </c>
      <c r="J1623" t="inlineStr">
        <is>
          <t>Transportvagar</t>
        </is>
      </c>
      <c r="K1623" t="inlineStr">
        <is>
          <t>Villkor för transport av farligt avfall 8.</t>
        </is>
      </c>
      <c r="L1623" t="inlineStr">
        <is>
          <t>Villkor för transport av farligt avfall 8.</t>
        </is>
      </c>
      <c r="M1623" t="inlineStr">
        <is>
          <t>INFO</t>
        </is>
      </c>
      <c r="N1623" t="inlineStr"/>
      <c r="O1623" t="inlineStr"/>
      <c r="P1623" t="inlineStr">
        <is>
          <t>Arlig</t>
        </is>
      </c>
      <c r="Q1623" t="inlineStr"/>
      <c r="R1623" t="inlineStr">
        <is>
          <t>Vid transporter</t>
        </is>
      </c>
      <c r="S1623" t="inlineStr"/>
      <c r="T1623" t="inlineStr">
        <is>
          <t>556135</t>
        </is>
      </c>
      <c r="U1623" t="inlineStr"/>
      <c r="V1623" t="inlineStr"/>
      <c r="W1623" t="inlineStr">
        <is>
          <t>Nej</t>
        </is>
      </c>
      <c r="X1623" t="inlineStr">
        <is>
          <t>Nej</t>
        </is>
      </c>
      <c r="Y1623" t="inlineStr">
        <is>
          <t>Nej</t>
        </is>
      </c>
      <c r="Z1623" t="inlineStr">
        <is>
          <t>Ja</t>
        </is>
      </c>
      <c r="AA1623" t="n">
        <v>9</v>
      </c>
      <c r="AB1623" t="inlineStr">
        <is>
          <t>Transporter och logistik</t>
        </is>
      </c>
      <c r="AC1623" t="inlineStr">
        <is>
          <t>Trafikplan</t>
        </is>
      </c>
      <c r="AD1623" t="inlineStr">
        <is>
          <t>Nej</t>
        </is>
      </c>
      <c r="AE1623" t="inlineStr">
        <is>
          <t>Nej</t>
        </is>
      </c>
      <c r="AF1623" t="inlineStr">
        <is>
          <t>Ej behandlad</t>
        </is>
      </c>
      <c r="AG1623" t="inlineStr">
        <is>
          <t>AUTO_GENERERAD. Verifiera citat mot kallfil.</t>
        </is>
      </c>
      <c r="AH1623" t="inlineStr">
        <is>
          <t>MEDIUM</t>
        </is>
      </c>
      <c r="AI1623" t="inlineStr">
        <is>
          <t>AUTO</t>
        </is>
      </c>
      <c r="AJ1623" t="inlineStr">
        <is>
          <t>Nej</t>
        </is>
      </c>
      <c r="AK1623" t="inlineStr"/>
      <c r="AL1623" t="inlineStr"/>
      <c r="AM1623" t="inlineStr"/>
      <c r="AN1623" t="inlineStr"/>
      <c r="AO1623" t="inlineStr">
        <is>
          <t>cmm4yuo7z01ehcuqwtcvxztnd</t>
        </is>
      </c>
      <c r="AP1623" t="inlineStr">
        <is>
          <t>http://localhost:8787/api/admin/requirements/documents/cmm4yuo7z01ehcuqwtcvxztnd/view</t>
        </is>
      </c>
      <c r="AQ1623">
        <f>HYPERLÄNK("http://localhost:8787/api/admin/requirements/documents/cmm4yuo7z01ehcuqwtcvxztnd/view";"Öppna PDF")</f>
        <v/>
      </c>
      <c r="AR1623">
        <f>HYPERLINK("http://localhost:8787/api/admin/requirements/documents/cmm4yuo7z01ehcuqwtcvxztnd/view","Open PDF")</f>
        <v/>
      </c>
      <c r="AS1623" t="inlineStr">
        <is>
          <t>cmm55w57p0004cuisfrtpqly8</t>
        </is>
      </c>
      <c r="AT1623" t="inlineStr">
        <is>
          <t>cmm4xvu980000cuh4vj0usz09</t>
        </is>
      </c>
      <c r="AU1623" t="inlineStr"/>
      <c r="AV1623" t="inlineStr">
        <is>
          <t>Kommun</t>
        </is>
      </c>
      <c r="AW1623" t="inlineStr"/>
      <c r="AX1623" t="inlineStr">
        <is>
          <t>2025-06</t>
        </is>
      </c>
      <c r="AY1623" t="inlineStr">
        <is>
          <t>Anmalan</t>
        </is>
      </c>
      <c r="AZ1623" t="inlineStr">
        <is>
          <t>2026-02-03</t>
        </is>
      </c>
      <c r="BA1623" t="inlineStr">
        <is>
          <t>BeslutMiljohandlaggareDB440FB_456087.pdf</t>
        </is>
      </c>
      <c r="BB1623" t="inlineStr">
        <is>
          <t>Anmälan om lagring av avfall,  MIL.2025.531</t>
        </is>
      </c>
      <c r="BC1623" t="inlineStr">
        <is>
          <t>AUTO</t>
        </is>
      </c>
      <c r="BD1623" t="inlineStr"/>
      <c r="BE1623" t="inlineStr"/>
      <c r="BF1623" t="inlineStr">
        <is>
          <t>AUTO_GENERERAD. Bekrafta metadata mot kallfil.</t>
        </is>
      </c>
      <c r="BG1623">
        <f>HYPERLINK("C:\Users\jimmy\Desktop\Examens arbete\Kod\Ny mapp\remix_-copy-of-miljöbeslut.se-portal\BeslutMiljohandlaggareDB440FB_456087.pdf", "Öppna PDF")</f>
        <v/>
      </c>
    </row>
    <row r="1624">
      <c r="A1624" t="inlineStr">
        <is>
          <t>KRAV-AUTO-001623</t>
        </is>
      </c>
      <c r="B1624" t="inlineStr">
        <is>
          <t>ADMIN-INDEX-2026-02-27-00000000125C043F57453246863FE664CAFE6A3F0700950291EA24F0614FB6ACEDB12BF0E31D00000000010C0000950291EA24F0614FB6ACEDB12BF0E31D00002087AEED0000</t>
        </is>
      </c>
      <c r="C1624" t="inlineStr">
        <is>
          <t>cmm4yuo7r01ebcuqwcnld1tk2</t>
        </is>
      </c>
      <c r="D1624" t="inlineStr">
        <is>
          <t>http://localhost:8787/api/admin/requirements/documents/cmm4yuo7r01ebcuqwcnld1tk2/view</t>
        </is>
      </c>
      <c r="E1624">
        <f>HYPERLÄNK("http://localhost:8787/api/admin/requirements/documents/cmm4yuo7r01ebcuqwcnld1tk2/view";"Öppna PDF")</f>
        <v/>
      </c>
      <c r="F1624">
        <f>HYPERLINK("http://localhost:8787/api/admin/requirements/documents/cmm4yuo7r01ebcuqwcnld1tk2/view","Open PDF")</f>
        <v/>
      </c>
      <c r="G1624" t="inlineStr">
        <is>
          <t>cmm55w57p0004cuisfrtpqly8</t>
        </is>
      </c>
      <c r="H1624" t="inlineStr">
        <is>
          <t>Informationskrav</t>
        </is>
      </c>
      <c r="I1624" t="inlineStr">
        <is>
          <t>Riskhantering</t>
        </is>
      </c>
      <c r="J1624" t="inlineStr">
        <is>
          <t>Riskkontroll</t>
        </is>
      </c>
      <c r="K1624" t="inlineStr">
        <is>
          <t>Ni ska hålla er informerade om och se till att personal som hanterar avfall, har nödvändiga kunskaper om vilka risker, skyddsåtgärder och regler som gäller för transporten.</t>
        </is>
      </c>
      <c r="L1624" t="inlineStr">
        <is>
          <t>Ni ska hålla er informerade om och se till att personal som hanterar avfall, har nödvändiga kunskaper om vilka risker, skyddsåtgärder och regler som gäller för transporten.</t>
        </is>
      </c>
      <c r="M1624" t="inlineStr">
        <is>
          <t>SKA</t>
        </is>
      </c>
      <c r="N1624" t="inlineStr"/>
      <c r="O1624" t="inlineStr"/>
      <c r="P1624" t="inlineStr"/>
      <c r="Q1624" t="inlineStr"/>
      <c r="R1624" t="inlineStr">
        <is>
          <t>Vid risk for incident</t>
        </is>
      </c>
      <c r="S1624" t="inlineStr"/>
      <c r="T1624" t="inlineStr">
        <is>
          <t>559251</t>
        </is>
      </c>
      <c r="U1624" t="inlineStr"/>
      <c r="V1624" t="inlineStr"/>
      <c r="W1624" t="inlineStr">
        <is>
          <t>Nej</t>
        </is>
      </c>
      <c r="X1624" t="inlineStr">
        <is>
          <t>Nej</t>
        </is>
      </c>
      <c r="Y1624" t="inlineStr">
        <is>
          <t>Ja</t>
        </is>
      </c>
      <c r="Z1624" t="inlineStr">
        <is>
          <t>Ja</t>
        </is>
      </c>
      <c r="AA1624" t="n">
        <v>8</v>
      </c>
      <c r="AB1624" t="inlineStr">
        <is>
          <t>Riskhantering</t>
        </is>
      </c>
      <c r="AC1624" t="inlineStr">
        <is>
          <t>Risk-PM</t>
        </is>
      </c>
      <c r="AD1624" t="inlineStr">
        <is>
          <t>Nej</t>
        </is>
      </c>
      <c r="AE1624" t="inlineStr">
        <is>
          <t>Nej</t>
        </is>
      </c>
      <c r="AF1624" t="inlineStr">
        <is>
          <t>Ej behandlad</t>
        </is>
      </c>
      <c r="AG1624" t="inlineStr">
        <is>
          <t>AUTO_GENERERAD. Verifiera citat mot kallfil.</t>
        </is>
      </c>
      <c r="AH1624" t="inlineStr">
        <is>
          <t>MEDIUM</t>
        </is>
      </c>
      <c r="AI1624" t="inlineStr">
        <is>
          <t>AUTO</t>
        </is>
      </c>
      <c r="AJ1624" t="inlineStr">
        <is>
          <t>Nej</t>
        </is>
      </c>
      <c r="AK1624" t="inlineStr"/>
      <c r="AL1624" t="inlineStr"/>
      <c r="AM1624" t="inlineStr"/>
      <c r="AN1624" t="inlineStr"/>
      <c r="AO1624" t="inlineStr">
        <is>
          <t>cmm4yuo7z01ehcuqwtcvxztnd</t>
        </is>
      </c>
      <c r="AP1624" t="inlineStr">
        <is>
          <t>http://localhost:8787/api/admin/requirements/documents/cmm4yuo7z01ehcuqwtcvxztnd/view</t>
        </is>
      </c>
      <c r="AQ1624">
        <f>HYPERLÄNK("http://localhost:8787/api/admin/requirements/documents/cmm4yuo7z01ehcuqwtcvxztnd/view";"Öppna PDF")</f>
        <v/>
      </c>
      <c r="AR1624">
        <f>HYPERLINK("http://localhost:8787/api/admin/requirements/documents/cmm4yuo7z01ehcuqwtcvxztnd/view","Open PDF")</f>
        <v/>
      </c>
      <c r="AS1624" t="inlineStr">
        <is>
          <t>cmm55w57p0004cuisfrtpqly8</t>
        </is>
      </c>
      <c r="AT1624" t="inlineStr">
        <is>
          <t>cmm4xvu980000cuh4vj0usz09</t>
        </is>
      </c>
      <c r="AU1624" t="inlineStr"/>
      <c r="AV1624" t="inlineStr">
        <is>
          <t>Kommun</t>
        </is>
      </c>
      <c r="AW1624" t="inlineStr"/>
      <c r="AX1624" t="inlineStr">
        <is>
          <t>2025-06</t>
        </is>
      </c>
      <c r="AY1624" t="inlineStr">
        <is>
          <t>Anmalan</t>
        </is>
      </c>
      <c r="AZ1624" t="inlineStr">
        <is>
          <t>2026-02-03</t>
        </is>
      </c>
      <c r="BA1624" t="inlineStr">
        <is>
          <t>BeslutMiljohandlaggareDB440FB_456087.pdf</t>
        </is>
      </c>
      <c r="BB1624" t="inlineStr">
        <is>
          <t>Anmälan om lagring av avfall,  MIL.2025.531</t>
        </is>
      </c>
      <c r="BC1624" t="inlineStr">
        <is>
          <t>AUTO</t>
        </is>
      </c>
      <c r="BD1624" t="inlineStr"/>
      <c r="BE1624" t="inlineStr"/>
      <c r="BF1624" t="inlineStr">
        <is>
          <t>AUTO_GENERERAD. Bekrafta metadata mot kallfil.</t>
        </is>
      </c>
      <c r="BG1624">
        <f>HYPERLINK("C:\Users\jimmy\Desktop\Examens arbete\Kod\Ny mapp\remix_-copy-of-miljöbeslut.se-portal\BeslutMiljohandlaggareDB440FB_456087.pdf", "Öppna PDF")</f>
        <v/>
      </c>
    </row>
    <row r="1625">
      <c r="A1625" t="inlineStr">
        <is>
          <t>KRAV-AUTO-001624</t>
        </is>
      </c>
      <c r="B1625" t="inlineStr">
        <is>
          <t>ADMIN-INDEX-2026-02-27-00000000125C043F57453246863FE664CAFE6A3F0700950291EA24F0614FB6ACEDB12BF0E31D00000000010C0000950291EA24F0614FB6ACEDB12BF0E31D00002087AEED0000</t>
        </is>
      </c>
      <c r="C1625" t="inlineStr">
        <is>
          <t>cmm4yuo7r01ebcuqwcnld1tk2</t>
        </is>
      </c>
      <c r="D1625" t="inlineStr">
        <is>
          <t>http://localhost:8787/api/admin/requirements/documents/cmm4yuo7r01ebcuqwcnld1tk2/view</t>
        </is>
      </c>
      <c r="E1625">
        <f>HYPERLÄNK("http://localhost:8787/api/admin/requirements/documents/cmm4yuo7r01ebcuqwcnld1tk2/view";"Öppna PDF")</f>
        <v/>
      </c>
      <c r="F1625">
        <f>HYPERLINK("http://localhost:8787/api/admin/requirements/documents/cmm4yuo7r01ebcuqwcnld1tk2/view","Open PDF")</f>
        <v/>
      </c>
      <c r="G1625" t="inlineStr">
        <is>
          <t>cmm55w57p0004cuisfrtpqly8</t>
        </is>
      </c>
      <c r="H1625" t="inlineStr">
        <is>
          <t>Informationskrav</t>
        </is>
      </c>
      <c r="I1625" t="inlineStr">
        <is>
          <t>TransportLogistik</t>
        </is>
      </c>
      <c r="J1625" t="inlineStr">
        <is>
          <t>Transportvagar</t>
        </is>
      </c>
      <c r="K1625" t="inlineStr">
        <is>
          <t>Ni ska se till att alla fordon som avses användas till transport av avfall är trafikförsäkrade.</t>
        </is>
      </c>
      <c r="L1625" t="inlineStr">
        <is>
          <t>Ni ska se till att alla fordon som avses användas till transport av avfall är trafikförsäkrade.</t>
        </is>
      </c>
      <c r="M1625" t="inlineStr">
        <is>
          <t>SKA</t>
        </is>
      </c>
      <c r="N1625" t="inlineStr"/>
      <c r="O1625" t="inlineStr"/>
      <c r="P1625" t="inlineStr"/>
      <c r="Q1625" t="inlineStr"/>
      <c r="R1625" t="inlineStr">
        <is>
          <t>Vid transporter</t>
        </is>
      </c>
      <c r="S1625" t="inlineStr"/>
      <c r="T1625" t="inlineStr">
        <is>
          <t>559251</t>
        </is>
      </c>
      <c r="U1625" t="inlineStr"/>
      <c r="V1625" t="inlineStr"/>
      <c r="W1625" t="inlineStr">
        <is>
          <t>Nej</t>
        </is>
      </c>
      <c r="X1625" t="inlineStr">
        <is>
          <t>Nej</t>
        </is>
      </c>
      <c r="Y1625" t="inlineStr">
        <is>
          <t>Nej</t>
        </is>
      </c>
      <c r="Z1625" t="inlineStr">
        <is>
          <t>Ja</t>
        </is>
      </c>
      <c r="AA1625" t="n">
        <v>9</v>
      </c>
      <c r="AB1625" t="inlineStr">
        <is>
          <t>Transporter och logistik</t>
        </is>
      </c>
      <c r="AC1625" t="inlineStr">
        <is>
          <t>Trafikplan</t>
        </is>
      </c>
      <c r="AD1625" t="inlineStr">
        <is>
          <t>Nej</t>
        </is>
      </c>
      <c r="AE1625" t="inlineStr">
        <is>
          <t>Nej</t>
        </is>
      </c>
      <c r="AF1625" t="inlineStr">
        <is>
          <t>Ej behandlad</t>
        </is>
      </c>
      <c r="AG1625" t="inlineStr">
        <is>
          <t>AUTO_GENERERAD. Verifiera citat mot kallfil.</t>
        </is>
      </c>
      <c r="AH1625" t="inlineStr">
        <is>
          <t>MEDIUM</t>
        </is>
      </c>
      <c r="AI1625" t="inlineStr">
        <is>
          <t>AUTO</t>
        </is>
      </c>
      <c r="AJ1625" t="inlineStr">
        <is>
          <t>Nej</t>
        </is>
      </c>
      <c r="AK1625" t="inlineStr"/>
      <c r="AL1625" t="inlineStr"/>
      <c r="AM1625" t="inlineStr"/>
      <c r="AN1625" t="inlineStr"/>
      <c r="AO1625" t="inlineStr">
        <is>
          <t>cmm4yuo7z01ehcuqwtcvxztnd</t>
        </is>
      </c>
      <c r="AP1625" t="inlineStr">
        <is>
          <t>http://localhost:8787/api/admin/requirements/documents/cmm4yuo7z01ehcuqwtcvxztnd/view</t>
        </is>
      </c>
      <c r="AQ1625">
        <f>HYPERLÄNK("http://localhost:8787/api/admin/requirements/documents/cmm4yuo7z01ehcuqwtcvxztnd/view";"Öppna PDF")</f>
        <v/>
      </c>
      <c r="AR1625">
        <f>HYPERLINK("http://localhost:8787/api/admin/requirements/documents/cmm4yuo7z01ehcuqwtcvxztnd/view","Open PDF")</f>
        <v/>
      </c>
      <c r="AS1625" t="inlineStr">
        <is>
          <t>cmm55w57p0004cuisfrtpqly8</t>
        </is>
      </c>
      <c r="AT1625" t="inlineStr">
        <is>
          <t>cmm4xvu980000cuh4vj0usz09</t>
        </is>
      </c>
      <c r="AU1625" t="inlineStr"/>
      <c r="AV1625" t="inlineStr">
        <is>
          <t>Kommun</t>
        </is>
      </c>
      <c r="AW1625" t="inlineStr"/>
      <c r="AX1625" t="inlineStr">
        <is>
          <t>2025-06</t>
        </is>
      </c>
      <c r="AY1625" t="inlineStr">
        <is>
          <t>Anmalan</t>
        </is>
      </c>
      <c r="AZ1625" t="inlineStr">
        <is>
          <t>2026-02-03</t>
        </is>
      </c>
      <c r="BA1625" t="inlineStr">
        <is>
          <t>BeslutMiljohandlaggareDB440FB_456087.pdf</t>
        </is>
      </c>
      <c r="BB1625" t="inlineStr">
        <is>
          <t>Anmälan om lagring av avfall,  MIL.2025.531</t>
        </is>
      </c>
      <c r="BC1625" t="inlineStr">
        <is>
          <t>AUTO</t>
        </is>
      </c>
      <c r="BD1625" t="inlineStr"/>
      <c r="BE1625" t="inlineStr"/>
      <c r="BF1625" t="inlineStr">
        <is>
          <t>AUTO_GENERERAD. Bekrafta metadata mot kallfil.</t>
        </is>
      </c>
      <c r="BG1625">
        <f>HYPERLINK("C:\Users\jimmy\Desktop\Examens arbete\Kod\Ny mapp\remix_-copy-of-miljöbeslut.se-portal\BeslutMiljohandlaggareDB440FB_456087.pdf", "Öppna PDF")</f>
        <v/>
      </c>
    </row>
    <row r="1626">
      <c r="A1626" t="inlineStr">
        <is>
          <t>KRAV-AUTO-001625</t>
        </is>
      </c>
      <c r="B1626" t="inlineStr">
        <is>
          <t>ADMIN-INDEX-2026-02-27-00000000125C043F57453246863FE664CAFE6A3F0700950291EA24F0614FB6ACEDB12BF0E31D00000000010C0000950291EA24F0614FB6ACEDB12BF0E31D00002087AEED0000</t>
        </is>
      </c>
      <c r="C1626" t="inlineStr">
        <is>
          <t>cmm4yuo7r01ebcuqwcnld1tk2</t>
        </is>
      </c>
      <c r="D1626" t="inlineStr">
        <is>
          <t>http://localhost:8787/api/admin/requirements/documents/cmm4yuo7r01ebcuqwcnld1tk2/view</t>
        </is>
      </c>
      <c r="E1626">
        <f>HYPERLÄNK("http://localhost:8787/api/admin/requirements/documents/cmm4yuo7r01ebcuqwcnld1tk2/view";"Öppna PDF")</f>
        <v/>
      </c>
      <c r="F1626">
        <f>HYPERLINK("http://localhost:8787/api/admin/requirements/documents/cmm4yuo7r01ebcuqwcnld1tk2/view","Open PDF")</f>
        <v/>
      </c>
      <c r="G1626" t="inlineStr">
        <is>
          <t>cmm55w57p0004cuisfrtpqly8</t>
        </is>
      </c>
      <c r="H1626" t="inlineStr">
        <is>
          <t>Informationskrav</t>
        </is>
      </c>
      <c r="I1626" t="inlineStr">
        <is>
          <t>TransportLogistik</t>
        </is>
      </c>
      <c r="J1626" t="inlineStr">
        <is>
          <t>Transportvagar</t>
        </is>
      </c>
      <c r="K1626" t="inlineStr">
        <is>
          <t>Kopia av detta tillstånd ska kunna nås från varje fordon som transporterar avfall enligt detta tillstånd.</t>
        </is>
      </c>
      <c r="L1626" t="inlineStr">
        <is>
          <t>Kopia av detta tillstånd ska kunna nås från varje fordon som transporterar avfall enligt detta tillstånd.</t>
        </is>
      </c>
      <c r="M1626" t="inlineStr">
        <is>
          <t>SKA</t>
        </is>
      </c>
      <c r="N1626" t="inlineStr"/>
      <c r="O1626" t="inlineStr"/>
      <c r="P1626" t="inlineStr"/>
      <c r="Q1626" t="inlineStr"/>
      <c r="R1626" t="inlineStr">
        <is>
          <t>Vid transporter</t>
        </is>
      </c>
      <c r="S1626" t="inlineStr"/>
      <c r="T1626" t="inlineStr">
        <is>
          <t>559251</t>
        </is>
      </c>
      <c r="U1626" t="inlineStr"/>
      <c r="V1626" t="inlineStr"/>
      <c r="W1626" t="inlineStr">
        <is>
          <t>Nej</t>
        </is>
      </c>
      <c r="X1626" t="inlineStr">
        <is>
          <t>Nej</t>
        </is>
      </c>
      <c r="Y1626" t="inlineStr">
        <is>
          <t>Nej</t>
        </is>
      </c>
      <c r="Z1626" t="inlineStr">
        <is>
          <t>Ja</t>
        </is>
      </c>
      <c r="AA1626" t="n">
        <v>9</v>
      </c>
      <c r="AB1626" t="inlineStr">
        <is>
          <t>Transporter och logistik</t>
        </is>
      </c>
      <c r="AC1626" t="inlineStr">
        <is>
          <t>Trafikplan</t>
        </is>
      </c>
      <c r="AD1626" t="inlineStr">
        <is>
          <t>Nej</t>
        </is>
      </c>
      <c r="AE1626" t="inlineStr">
        <is>
          <t>Nej</t>
        </is>
      </c>
      <c r="AF1626" t="inlineStr">
        <is>
          <t>Ej behandlad</t>
        </is>
      </c>
      <c r="AG1626" t="inlineStr">
        <is>
          <t>AUTO_GENERERAD. Verifiera citat mot kallfil.</t>
        </is>
      </c>
      <c r="AH1626" t="inlineStr">
        <is>
          <t>MEDIUM</t>
        </is>
      </c>
      <c r="AI1626" t="inlineStr">
        <is>
          <t>AUTO</t>
        </is>
      </c>
      <c r="AJ1626" t="inlineStr">
        <is>
          <t>Nej</t>
        </is>
      </c>
      <c r="AK1626" t="inlineStr"/>
      <c r="AL1626" t="inlineStr"/>
      <c r="AM1626" t="inlineStr"/>
      <c r="AN1626" t="inlineStr"/>
      <c r="AO1626" t="inlineStr">
        <is>
          <t>cmm4yuo7z01ehcuqwtcvxztnd</t>
        </is>
      </c>
      <c r="AP1626" t="inlineStr">
        <is>
          <t>http://localhost:8787/api/admin/requirements/documents/cmm4yuo7z01ehcuqwtcvxztnd/view</t>
        </is>
      </c>
      <c r="AQ1626">
        <f>HYPERLÄNK("http://localhost:8787/api/admin/requirements/documents/cmm4yuo7z01ehcuqwtcvxztnd/view";"Öppna PDF")</f>
        <v/>
      </c>
      <c r="AR1626">
        <f>HYPERLINK("http://localhost:8787/api/admin/requirements/documents/cmm4yuo7z01ehcuqwtcvxztnd/view","Open PDF")</f>
        <v/>
      </c>
      <c r="AS1626" t="inlineStr">
        <is>
          <t>cmm55w57p0004cuisfrtpqly8</t>
        </is>
      </c>
      <c r="AT1626" t="inlineStr">
        <is>
          <t>cmm4xvu980000cuh4vj0usz09</t>
        </is>
      </c>
      <c r="AU1626" t="inlineStr"/>
      <c r="AV1626" t="inlineStr">
        <is>
          <t>Kommun</t>
        </is>
      </c>
      <c r="AW1626" t="inlineStr"/>
      <c r="AX1626" t="inlineStr">
        <is>
          <t>2025-06</t>
        </is>
      </c>
      <c r="AY1626" t="inlineStr">
        <is>
          <t>Anmalan</t>
        </is>
      </c>
      <c r="AZ1626" t="inlineStr">
        <is>
          <t>2026-02-03</t>
        </is>
      </c>
      <c r="BA1626" t="inlineStr">
        <is>
          <t>BeslutMiljohandlaggareDB440FB_456087.pdf</t>
        </is>
      </c>
      <c r="BB1626" t="inlineStr">
        <is>
          <t>Anmälan om lagring av avfall,  MIL.2025.531</t>
        </is>
      </c>
      <c r="BC1626" t="inlineStr">
        <is>
          <t>AUTO</t>
        </is>
      </c>
      <c r="BD1626" t="inlineStr"/>
      <c r="BE1626" t="inlineStr"/>
      <c r="BF1626" t="inlineStr">
        <is>
          <t>AUTO_GENERERAD. Bekrafta metadata mot kallfil.</t>
        </is>
      </c>
      <c r="BG1626">
        <f>HYPERLINK("C:\Users\jimmy\Desktop\Examens arbete\Kod\Ny mapp\remix_-copy-of-miljöbeslut.se-portal\BeslutMiljohandlaggareDB440FB_456087.pdf", "Öppna PDF")</f>
        <v/>
      </c>
    </row>
    <row r="1627">
      <c r="A1627" t="inlineStr">
        <is>
          <t>KRAV-AUTO-001626</t>
        </is>
      </c>
      <c r="B1627" t="inlineStr">
        <is>
          <t>ADMIN-INDEX-2026-02-27-00000000125C043F57453246863FE664CAFE6A3F0700950291EA24F0614FB6ACEDB12BF0E31D00000000010C0000950291EA24F0614FB6ACEDB12BF0E31D00002087AEED0000</t>
        </is>
      </c>
      <c r="C1627" t="inlineStr">
        <is>
          <t>cmm4yuo7n01e8cuqwucwu5ijm</t>
        </is>
      </c>
      <c r="D1627" t="inlineStr">
        <is>
          <t>http://localhost:8787/api/admin/requirements/documents/cmm4yuo7n01e8cuqwucwu5ijm/view</t>
        </is>
      </c>
      <c r="E1627">
        <f>HYPERLÄNK("http://localhost:8787/api/admin/requirements/documents/cmm4yuo7n01e8cuqwucwu5ijm/view";"Öppna PDF")</f>
        <v/>
      </c>
      <c r="F1627">
        <f>HYPERLINK("http://localhost:8787/api/admin/requirements/documents/cmm4yuo7n01e8cuqwucwu5ijm/view","Open PDF")</f>
        <v/>
      </c>
      <c r="G1627" t="inlineStr">
        <is>
          <t>cmm55w57p0004cuisfrtpqly8</t>
        </is>
      </c>
      <c r="H1627" t="inlineStr">
        <is>
          <t>Informationskrav</t>
        </is>
      </c>
      <c r="I1627" t="inlineStr">
        <is>
          <t>Riskhantering</t>
        </is>
      </c>
      <c r="J1627" t="inlineStr">
        <is>
          <t>Riskkontroll</t>
        </is>
      </c>
      <c r="K1627" t="inlineStr">
        <is>
          <t>Ni behöver hålla er informerade om och även se till att personal som hanterar avfallet har de nödvändiga kunskaper om vilka risker, skyddsåtgärder och regler som gäller för transporten.</t>
        </is>
      </c>
      <c r="L1627" t="inlineStr">
        <is>
          <t>Ni behöver hålla er informerade om och även se till att personal som hanterar avfallet har de nödvändiga kunskaper om vilka risker, skyddsåtgärder och regler som gäller för transporten.</t>
        </is>
      </c>
      <c r="M1627" t="inlineStr">
        <is>
          <t>SKA</t>
        </is>
      </c>
      <c r="N1627" t="inlineStr"/>
      <c r="O1627" t="inlineStr"/>
      <c r="P1627" t="inlineStr"/>
      <c r="Q1627" t="inlineStr"/>
      <c r="R1627" t="inlineStr">
        <is>
          <t>Vid risk for incident</t>
        </is>
      </c>
      <c r="S1627" t="inlineStr"/>
      <c r="T1627" t="inlineStr">
        <is>
          <t>556069</t>
        </is>
      </c>
      <c r="U1627" t="inlineStr"/>
      <c r="V1627" t="inlineStr"/>
      <c r="W1627" t="inlineStr">
        <is>
          <t>Nej</t>
        </is>
      </c>
      <c r="X1627" t="inlineStr">
        <is>
          <t>Nej</t>
        </is>
      </c>
      <c r="Y1627" t="inlineStr">
        <is>
          <t>Ja</t>
        </is>
      </c>
      <c r="Z1627" t="inlineStr">
        <is>
          <t>Ja</t>
        </is>
      </c>
      <c r="AA1627" t="n">
        <v>8</v>
      </c>
      <c r="AB1627" t="inlineStr">
        <is>
          <t>Riskhantering</t>
        </is>
      </c>
      <c r="AC1627" t="inlineStr">
        <is>
          <t>Risk-PM</t>
        </is>
      </c>
      <c r="AD1627" t="inlineStr">
        <is>
          <t>Nej</t>
        </is>
      </c>
      <c r="AE1627" t="inlineStr">
        <is>
          <t>Nej</t>
        </is>
      </c>
      <c r="AF1627" t="inlineStr">
        <is>
          <t>Ej behandlad</t>
        </is>
      </c>
      <c r="AG1627" t="inlineStr">
        <is>
          <t>AUTO_GENERERAD. Verifiera citat mot kallfil.</t>
        </is>
      </c>
      <c r="AH1627" t="inlineStr">
        <is>
          <t>MEDIUM</t>
        </is>
      </c>
      <c r="AI1627" t="inlineStr">
        <is>
          <t>AUTO</t>
        </is>
      </c>
      <c r="AJ1627" t="inlineStr">
        <is>
          <t>Nej</t>
        </is>
      </c>
      <c r="AK1627" t="inlineStr"/>
      <c r="AL1627" t="inlineStr"/>
      <c r="AM1627" t="inlineStr"/>
      <c r="AN1627" t="inlineStr"/>
      <c r="AO1627" t="inlineStr">
        <is>
          <t>cmm4yuo7z01ehcuqwtcvxztnd</t>
        </is>
      </c>
      <c r="AP1627" t="inlineStr">
        <is>
          <t>http://localhost:8787/api/admin/requirements/documents/cmm4yuo7z01ehcuqwtcvxztnd/view</t>
        </is>
      </c>
      <c r="AQ1627">
        <f>HYPERLÄNK("http://localhost:8787/api/admin/requirements/documents/cmm4yuo7z01ehcuqwtcvxztnd/view";"Öppna PDF")</f>
        <v/>
      </c>
      <c r="AR1627">
        <f>HYPERLINK("http://localhost:8787/api/admin/requirements/documents/cmm4yuo7z01ehcuqwtcvxztnd/view","Open PDF")</f>
        <v/>
      </c>
      <c r="AS1627" t="inlineStr">
        <is>
          <t>cmm55w57p0004cuisfrtpqly8</t>
        </is>
      </c>
      <c r="AT1627" t="inlineStr">
        <is>
          <t>cmm4xvu980000cuh4vj0usz09</t>
        </is>
      </c>
      <c r="AU1627" t="inlineStr"/>
      <c r="AV1627" t="inlineStr">
        <is>
          <t>Kommun</t>
        </is>
      </c>
      <c r="AW1627" t="inlineStr"/>
      <c r="AX1627" t="inlineStr">
        <is>
          <t>2025-06</t>
        </is>
      </c>
      <c r="AY1627" t="inlineStr">
        <is>
          <t>Anmalan</t>
        </is>
      </c>
      <c r="AZ1627" t="inlineStr">
        <is>
          <t>2026-02-03</t>
        </is>
      </c>
      <c r="BA1627" t="inlineStr">
        <is>
          <t>BeslutMiljohandlaggareDB440FB_456087.pdf</t>
        </is>
      </c>
      <c r="BB1627" t="inlineStr">
        <is>
          <t>Anmälan om lagring av avfall,  MIL.2025.531</t>
        </is>
      </c>
      <c r="BC1627" t="inlineStr">
        <is>
          <t>AUTO</t>
        </is>
      </c>
      <c r="BD1627" t="inlineStr"/>
      <c r="BE1627" t="inlineStr"/>
      <c r="BF1627" t="inlineStr">
        <is>
          <t>AUTO_GENERERAD. Bekrafta metadata mot kallfil.</t>
        </is>
      </c>
      <c r="BG1627">
        <f>HYPERLINK("C:\Users\jimmy\Desktop\Examens arbete\Kod\Ny mapp\remix_-copy-of-miljöbeslut.se-portal\BeslutMiljohandlaggareDB440FB_456087.pdf", "Öppna PDF")</f>
        <v/>
      </c>
    </row>
    <row r="1628">
      <c r="A1628" t="inlineStr">
        <is>
          <t>KRAV-AUTO-001627</t>
        </is>
      </c>
      <c r="B1628" t="inlineStr">
        <is>
          <t>ADMIN-INDEX-2026-02-27-00000000125C043F57453246863FE664CAFE6A3F0700950291EA24F0614FB6ACEDB12BF0E31D00000000010C0000950291EA24F0614FB6ACEDB12BF0E31D00002087AEED0000</t>
        </is>
      </c>
      <c r="C1628" t="inlineStr">
        <is>
          <t>cmm4yuo7n01e8cuqwucwu5ijm</t>
        </is>
      </c>
      <c r="D1628" t="inlineStr">
        <is>
          <t>http://localhost:8787/api/admin/requirements/documents/cmm4yuo7n01e8cuqwucwu5ijm/view</t>
        </is>
      </c>
      <c r="E1628">
        <f>HYPERLÄNK("http://localhost:8787/api/admin/requirements/documents/cmm4yuo7n01e8cuqwucwu5ijm/view";"Öppna PDF")</f>
        <v/>
      </c>
      <c r="F1628">
        <f>HYPERLINK("http://localhost:8787/api/admin/requirements/documents/cmm4yuo7n01e8cuqwucwu5ijm/view","Open PDF")</f>
        <v/>
      </c>
      <c r="G1628" t="inlineStr">
        <is>
          <t>cmm55w57p0004cuisfrtpqly8</t>
        </is>
      </c>
      <c r="H1628" t="inlineStr">
        <is>
          <t>Informationskrav</t>
        </is>
      </c>
      <c r="I1628" t="inlineStr">
        <is>
          <t>Riskhantering</t>
        </is>
      </c>
      <c r="J1628" t="inlineStr">
        <is>
          <t>Riskkontroll</t>
        </is>
      </c>
      <c r="K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8" t="inlineStr">
        <is>
          <t>SKA</t>
        </is>
      </c>
      <c r="N1628" t="inlineStr"/>
      <c r="O1628" t="inlineStr"/>
      <c r="P1628" t="inlineStr">
        <is>
          <t>Arlig</t>
        </is>
      </c>
      <c r="Q1628" t="inlineStr"/>
      <c r="R1628" t="inlineStr">
        <is>
          <t>Vid risk for incident</t>
        </is>
      </c>
      <c r="S1628" t="inlineStr"/>
      <c r="T1628" t="inlineStr">
        <is>
          <t>556069</t>
        </is>
      </c>
      <c r="U1628" t="inlineStr"/>
      <c r="V1628" t="inlineStr"/>
      <c r="W1628" t="inlineStr">
        <is>
          <t>Nej</t>
        </is>
      </c>
      <c r="X1628" t="inlineStr">
        <is>
          <t>Nej</t>
        </is>
      </c>
      <c r="Y1628" t="inlineStr">
        <is>
          <t>Ja</t>
        </is>
      </c>
      <c r="Z1628" t="inlineStr">
        <is>
          <t>Ja</t>
        </is>
      </c>
      <c r="AA1628" t="n">
        <v>8</v>
      </c>
      <c r="AB1628" t="inlineStr">
        <is>
          <t>Riskhantering</t>
        </is>
      </c>
      <c r="AC1628" t="inlineStr">
        <is>
          <t>Risk-PM</t>
        </is>
      </c>
      <c r="AD1628" t="inlineStr">
        <is>
          <t>Nej</t>
        </is>
      </c>
      <c r="AE1628" t="inlineStr">
        <is>
          <t>Nej</t>
        </is>
      </c>
      <c r="AF1628" t="inlineStr">
        <is>
          <t>Ej behandlad</t>
        </is>
      </c>
      <c r="AG1628" t="inlineStr">
        <is>
          <t>AUTO_GENERERAD. Verifiera citat mot kallfil.</t>
        </is>
      </c>
      <c r="AH1628" t="inlineStr">
        <is>
          <t>MEDIUM</t>
        </is>
      </c>
      <c r="AI1628" t="inlineStr">
        <is>
          <t>AUTO</t>
        </is>
      </c>
      <c r="AJ1628" t="inlineStr">
        <is>
          <t>Nej</t>
        </is>
      </c>
      <c r="AK1628" t="inlineStr"/>
      <c r="AL1628" t="inlineStr"/>
      <c r="AM1628" t="inlineStr"/>
      <c r="AN1628" t="inlineStr"/>
      <c r="AO1628" t="inlineStr">
        <is>
          <t>cmm4yuo7z01ehcuqwtcvxztnd</t>
        </is>
      </c>
      <c r="AP1628" t="inlineStr">
        <is>
          <t>http://localhost:8787/api/admin/requirements/documents/cmm4yuo7z01ehcuqwtcvxztnd/view</t>
        </is>
      </c>
      <c r="AQ1628">
        <f>HYPERLÄNK("http://localhost:8787/api/admin/requirements/documents/cmm4yuo7z01ehcuqwtcvxztnd/view";"Öppna PDF")</f>
        <v/>
      </c>
      <c r="AR1628">
        <f>HYPERLINK("http://localhost:8787/api/admin/requirements/documents/cmm4yuo7z01ehcuqwtcvxztnd/view","Open PDF")</f>
        <v/>
      </c>
      <c r="AS1628" t="inlineStr">
        <is>
          <t>cmm55w57p0004cuisfrtpqly8</t>
        </is>
      </c>
      <c r="AT1628" t="inlineStr">
        <is>
          <t>cmm4xvu980000cuh4vj0usz09</t>
        </is>
      </c>
      <c r="AU1628" t="inlineStr"/>
      <c r="AV1628" t="inlineStr">
        <is>
          <t>Kommun</t>
        </is>
      </c>
      <c r="AW1628" t="inlineStr"/>
      <c r="AX1628" t="inlineStr">
        <is>
          <t>2025-06</t>
        </is>
      </c>
      <c r="AY1628" t="inlineStr">
        <is>
          <t>Anmalan</t>
        </is>
      </c>
      <c r="AZ1628" t="inlineStr">
        <is>
          <t>2026-02-03</t>
        </is>
      </c>
      <c r="BA1628" t="inlineStr">
        <is>
          <t>BeslutMiljohandlaggareDB440FB_456087.pdf</t>
        </is>
      </c>
      <c r="BB1628" t="inlineStr">
        <is>
          <t>Anmälan om lagring av avfall,  MIL.2025.531</t>
        </is>
      </c>
      <c r="BC1628" t="inlineStr">
        <is>
          <t>AUTO</t>
        </is>
      </c>
      <c r="BD1628" t="inlineStr"/>
      <c r="BE1628" t="inlineStr"/>
      <c r="BF1628" t="inlineStr">
        <is>
          <t>AUTO_GENERERAD. Bekrafta metadata mot kallfil.</t>
        </is>
      </c>
      <c r="BG1628">
        <f>HYPERLINK("C:\Users\jimmy\Desktop\Examens arbete\Kod\Ny mapp\remix_-copy-of-miljöbeslut.se-portal\BeslutMiljohandlaggareDB440FB_456087.pdf", "Öppna PDF")</f>
        <v/>
      </c>
    </row>
    <row r="1629">
      <c r="A1629" t="inlineStr">
        <is>
          <t>KRAV-AUTO-001628</t>
        </is>
      </c>
      <c r="B1629" t="inlineStr">
        <is>
          <t>ADMIN-INDEX-2026-02-27-00000000125C043F57453246863FE664CAFE6A3F0700950291EA24F0614FB6ACEDB12BF0E31D00000000010C0000950291EA24F0614FB6ACEDB12BF0E31D00002087AEED0000</t>
        </is>
      </c>
      <c r="C1629" t="inlineStr">
        <is>
          <t>cmm4yuo7n01e8cuqwucwu5ijm</t>
        </is>
      </c>
      <c r="D1629" t="inlineStr">
        <is>
          <t>http://localhost:8787/api/admin/requirements/documents/cmm4yuo7n01e8cuqwucwu5ijm/view</t>
        </is>
      </c>
      <c r="E1629">
        <f>HYPERLÄNK("http://localhost:8787/api/admin/requirements/documents/cmm4yuo7n01e8cuqwucwu5ijm/view";"Öppna PDF")</f>
        <v/>
      </c>
      <c r="F1629">
        <f>HYPERLINK("http://localhost:8787/api/admin/requirements/documents/cmm4yuo7n01e8cuqwucwu5ijm/view","Open PDF")</f>
        <v/>
      </c>
      <c r="G1629" t="inlineStr">
        <is>
          <t>cmm55w57p0004cuisfrtpqly8</t>
        </is>
      </c>
      <c r="H1629" t="inlineStr">
        <is>
          <t>Informationskrav</t>
        </is>
      </c>
      <c r="I1629" t="inlineStr">
        <is>
          <t>TransportLogistik</t>
        </is>
      </c>
      <c r="J1629" t="inlineStr">
        <is>
          <t>Transportvagar</t>
        </is>
      </c>
      <c r="K1629" t="inlineStr">
        <is>
          <t>Villkor för transport av farligt avfall 8.</t>
        </is>
      </c>
      <c r="L1629" t="inlineStr">
        <is>
          <t>Villkor för transport av farligt avfall 8.</t>
        </is>
      </c>
      <c r="M1629" t="inlineStr">
        <is>
          <t>INFO</t>
        </is>
      </c>
      <c r="N1629" t="inlineStr"/>
      <c r="O1629" t="inlineStr"/>
      <c r="P1629" t="inlineStr">
        <is>
          <t>Arlig</t>
        </is>
      </c>
      <c r="Q1629" t="inlineStr"/>
      <c r="R1629" t="inlineStr">
        <is>
          <t>Vid transporter</t>
        </is>
      </c>
      <c r="S1629" t="inlineStr"/>
      <c r="T1629" t="inlineStr">
        <is>
          <t>556069</t>
        </is>
      </c>
      <c r="U1629" t="inlineStr"/>
      <c r="V1629" t="inlineStr"/>
      <c r="W1629" t="inlineStr">
        <is>
          <t>Nej</t>
        </is>
      </c>
      <c r="X1629" t="inlineStr">
        <is>
          <t>Nej</t>
        </is>
      </c>
      <c r="Y1629" t="inlineStr">
        <is>
          <t>Nej</t>
        </is>
      </c>
      <c r="Z1629" t="inlineStr">
        <is>
          <t>Ja</t>
        </is>
      </c>
      <c r="AA1629" t="n">
        <v>9</v>
      </c>
      <c r="AB1629" t="inlineStr">
        <is>
          <t>Transporter och logistik</t>
        </is>
      </c>
      <c r="AC1629" t="inlineStr">
        <is>
          <t>Trafikplan</t>
        </is>
      </c>
      <c r="AD1629" t="inlineStr">
        <is>
          <t>Nej</t>
        </is>
      </c>
      <c r="AE1629" t="inlineStr">
        <is>
          <t>Nej</t>
        </is>
      </c>
      <c r="AF1629" t="inlineStr">
        <is>
          <t>Ej behandlad</t>
        </is>
      </c>
      <c r="AG1629" t="inlineStr">
        <is>
          <t>AUTO_GENERERAD. Verifiera citat mot kallfil.</t>
        </is>
      </c>
      <c r="AH1629" t="inlineStr">
        <is>
          <t>MEDIUM</t>
        </is>
      </c>
      <c r="AI1629" t="inlineStr">
        <is>
          <t>AUTO</t>
        </is>
      </c>
      <c r="AJ1629" t="inlineStr">
        <is>
          <t>Nej</t>
        </is>
      </c>
      <c r="AK1629" t="inlineStr"/>
      <c r="AL1629" t="inlineStr"/>
      <c r="AM1629" t="inlineStr"/>
      <c r="AN1629" t="inlineStr"/>
      <c r="AO1629" t="inlineStr">
        <is>
          <t>cmm4yuo7z01ehcuqwtcvxztnd</t>
        </is>
      </c>
      <c r="AP1629" t="inlineStr">
        <is>
          <t>http://localhost:8787/api/admin/requirements/documents/cmm4yuo7z01ehcuqwtcvxztnd/view</t>
        </is>
      </c>
      <c r="AQ1629">
        <f>HYPERLÄNK("http://localhost:8787/api/admin/requirements/documents/cmm4yuo7z01ehcuqwtcvxztnd/view";"Öppna PDF")</f>
        <v/>
      </c>
      <c r="AR1629">
        <f>HYPERLINK("http://localhost:8787/api/admin/requirements/documents/cmm4yuo7z01ehcuqwtcvxztnd/view","Open PDF")</f>
        <v/>
      </c>
      <c r="AS1629" t="inlineStr">
        <is>
          <t>cmm55w57p0004cuisfrtpqly8</t>
        </is>
      </c>
      <c r="AT1629" t="inlineStr">
        <is>
          <t>cmm4xvu980000cuh4vj0usz09</t>
        </is>
      </c>
      <c r="AU1629" t="inlineStr"/>
      <c r="AV1629" t="inlineStr">
        <is>
          <t>Kommun</t>
        </is>
      </c>
      <c r="AW1629" t="inlineStr"/>
      <c r="AX1629" t="inlineStr">
        <is>
          <t>2025-06</t>
        </is>
      </c>
      <c r="AY1629" t="inlineStr">
        <is>
          <t>Anmalan</t>
        </is>
      </c>
      <c r="AZ1629" t="inlineStr">
        <is>
          <t>2026-02-03</t>
        </is>
      </c>
      <c r="BA1629" t="inlineStr">
        <is>
          <t>BeslutMiljohandlaggareDB440FB_456087.pdf</t>
        </is>
      </c>
      <c r="BB1629" t="inlineStr">
        <is>
          <t>Anmälan om lagring av avfall,  MIL.2025.531</t>
        </is>
      </c>
      <c r="BC1629" t="inlineStr">
        <is>
          <t>AUTO</t>
        </is>
      </c>
      <c r="BD1629" t="inlineStr"/>
      <c r="BE1629" t="inlineStr"/>
      <c r="BF1629" t="inlineStr">
        <is>
          <t>AUTO_GENERERAD. Bekrafta metadata mot kallfil.</t>
        </is>
      </c>
      <c r="BG1629">
        <f>HYPERLINK("C:\Users\jimmy\Desktop\Examens arbete\Kod\Ny mapp\remix_-copy-of-miljöbeslut.se-portal\BeslutMiljohandlaggareDB440FB_456087.pdf", "Öppna PDF")</f>
        <v/>
      </c>
    </row>
    <row r="1630">
      <c r="A1630" t="inlineStr">
        <is>
          <t>KRAV-AUTO-001629</t>
        </is>
      </c>
      <c r="B1630" t="inlineStr">
        <is>
          <t>ADMIN-INDEX-2026-02-27-00000000125C043F57453246863FE664CAFE6A3F0700950291EA24F0614FB6ACEDB12BF0E31D00000000010C0000950291EA24F0614FB6ACEDB12BF0E31D00002087AEED0000</t>
        </is>
      </c>
      <c r="C1630" t="inlineStr">
        <is>
          <t>cmm4yuo7j01e5cuqwxkv66cu8</t>
        </is>
      </c>
      <c r="D1630" t="inlineStr">
        <is>
          <t>http://localhost:8787/api/admin/requirements/documents/cmm4yuo7j01e5cuqwxkv66cu8/view</t>
        </is>
      </c>
      <c r="E1630">
        <f>HYPERLÄNK("http://localhost:8787/api/admin/requirements/documents/cmm4yuo7j01e5cuqwxkv66cu8/view";"Öppna PDF")</f>
        <v/>
      </c>
      <c r="F1630">
        <f>HYPERLINK("http://localhost:8787/api/admin/requirements/documents/cmm4yuo7j01e5cuqwxkv66cu8/view","Open PDF")</f>
        <v/>
      </c>
      <c r="G1630" t="inlineStr">
        <is>
          <t>cmm55w57p0004cuisfrtpqly8</t>
        </is>
      </c>
      <c r="H1630" t="inlineStr">
        <is>
          <t>Informationskrav</t>
        </is>
      </c>
      <c r="I1630" t="inlineStr">
        <is>
          <t>DagvattenLakvatten</t>
        </is>
      </c>
      <c r="J1630" t="inlineStr">
        <is>
          <t>Uppsamling</t>
        </is>
      </c>
      <c r="K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30" t="inlineStr">
        <is>
          <t>BOR</t>
        </is>
      </c>
      <c r="N1630" t="inlineStr"/>
      <c r="O1630" t="inlineStr"/>
      <c r="P1630" t="inlineStr"/>
      <c r="Q1630" t="inlineStr"/>
      <c r="R1630" t="inlineStr">
        <is>
          <t>Vid nederbord och avrinning</t>
        </is>
      </c>
      <c r="S1630" t="inlineStr"/>
      <c r="T1630" t="inlineStr">
        <is>
          <t>556764</t>
        </is>
      </c>
      <c r="U1630" t="inlineStr"/>
      <c r="V1630" t="inlineStr"/>
      <c r="W1630" t="inlineStr">
        <is>
          <t>Nej</t>
        </is>
      </c>
      <c r="X1630" t="inlineStr">
        <is>
          <t>Ja</t>
        </is>
      </c>
      <c r="Y1630" t="inlineStr">
        <is>
          <t>Ja</t>
        </is>
      </c>
      <c r="Z1630" t="inlineStr">
        <is>
          <t>Nej</t>
        </is>
      </c>
      <c r="AA1630" t="n">
        <v>6</v>
      </c>
      <c r="AB1630" t="inlineStr">
        <is>
          <t>Lakvattenhantering</t>
        </is>
      </c>
      <c r="AC1630" t="inlineStr">
        <is>
          <t>Flodesschema dagvatten-lakvatten</t>
        </is>
      </c>
      <c r="AD1630" t="inlineStr">
        <is>
          <t>Nej</t>
        </is>
      </c>
      <c r="AE1630" t="inlineStr">
        <is>
          <t>Nej</t>
        </is>
      </c>
      <c r="AF1630" t="inlineStr">
        <is>
          <t>Ej behandlad</t>
        </is>
      </c>
      <c r="AG1630" t="inlineStr">
        <is>
          <t>AUTO_GENERERAD. Verifiera citat mot kallfil.</t>
        </is>
      </c>
      <c r="AH1630" t="inlineStr">
        <is>
          <t>MEDIUM</t>
        </is>
      </c>
      <c r="AI1630" t="inlineStr">
        <is>
          <t>AUTO</t>
        </is>
      </c>
      <c r="AJ1630" t="inlineStr">
        <is>
          <t>Nej</t>
        </is>
      </c>
      <c r="AK1630" t="inlineStr"/>
      <c r="AL1630" t="inlineStr"/>
      <c r="AM1630" t="inlineStr"/>
      <c r="AN1630" t="inlineStr"/>
      <c r="AO1630" t="inlineStr">
        <is>
          <t>cmm4yuo7z01ehcuqwtcvxztnd</t>
        </is>
      </c>
      <c r="AP1630" t="inlineStr">
        <is>
          <t>http://localhost:8787/api/admin/requirements/documents/cmm4yuo7z01ehcuqwtcvxztnd/view</t>
        </is>
      </c>
      <c r="AQ1630">
        <f>HYPERLÄNK("http://localhost:8787/api/admin/requirements/documents/cmm4yuo7z01ehcuqwtcvxztnd/view";"Öppna PDF")</f>
        <v/>
      </c>
      <c r="AR1630">
        <f>HYPERLINK("http://localhost:8787/api/admin/requirements/documents/cmm4yuo7z01ehcuqwtcvxztnd/view","Open PDF")</f>
        <v/>
      </c>
      <c r="AS1630" t="inlineStr">
        <is>
          <t>cmm55w57p0004cuisfrtpqly8</t>
        </is>
      </c>
      <c r="AT1630" t="inlineStr">
        <is>
          <t>cmm4xvu980000cuh4vj0usz09</t>
        </is>
      </c>
      <c r="AU1630" t="inlineStr"/>
      <c r="AV1630" t="inlineStr">
        <is>
          <t>Kommun</t>
        </is>
      </c>
      <c r="AW1630" t="inlineStr"/>
      <c r="AX1630" t="inlineStr">
        <is>
          <t>2025-06</t>
        </is>
      </c>
      <c r="AY1630" t="inlineStr">
        <is>
          <t>Anmalan</t>
        </is>
      </c>
      <c r="AZ1630" t="inlineStr">
        <is>
          <t>2026-02-03</t>
        </is>
      </c>
      <c r="BA1630" t="inlineStr">
        <is>
          <t>BeslutMiljohandlaggareDB440FB_456087.pdf</t>
        </is>
      </c>
      <c r="BB1630" t="inlineStr">
        <is>
          <t>Anmälan om lagring av avfall,  MIL.2025.531</t>
        </is>
      </c>
      <c r="BC1630" t="inlineStr">
        <is>
          <t>AUTO</t>
        </is>
      </c>
      <c r="BD1630" t="inlineStr"/>
      <c r="BE1630" t="inlineStr"/>
      <c r="BF1630" t="inlineStr">
        <is>
          <t>AUTO_GENERERAD. Bekrafta metadata mot kallfil.</t>
        </is>
      </c>
      <c r="BG1630">
        <f>HYPERLINK("C:\Users\jimmy\Desktop\Examens arbete\Kod\Ny mapp\remix_-copy-of-miljöbeslut.se-portal\BeslutMiljohandlaggareDB440FB_456087.pdf", "Öppna PDF")</f>
        <v/>
      </c>
    </row>
    <row r="1631">
      <c r="A1631" t="inlineStr">
        <is>
          <t>KRAV-AUTO-001630</t>
        </is>
      </c>
      <c r="B1631" t="inlineStr">
        <is>
          <t>ADMIN-INDEX-2026-02-27-00000000125C043F57453246863FE664CAFE6A3F0700950291EA24F0614FB6ACEDB12BF0E31D00000000010C0000950291EA24F0614FB6ACEDB12BF0E31D00002087AEED0000</t>
        </is>
      </c>
      <c r="C1631" t="inlineStr">
        <is>
          <t>cmm4yuo7j01e5cuqwxkv66cu8</t>
        </is>
      </c>
      <c r="D1631" t="inlineStr">
        <is>
          <t>http://localhost:8787/api/admin/requirements/documents/cmm4yuo7j01e5cuqwxkv66cu8/view</t>
        </is>
      </c>
      <c r="E1631">
        <f>HYPERLÄNK("http://localhost:8787/api/admin/requirements/documents/cmm4yuo7j01e5cuqwxkv66cu8/view";"Öppna PDF")</f>
        <v/>
      </c>
      <c r="F1631">
        <f>HYPERLINK("http://localhost:8787/api/admin/requirements/documents/cmm4yuo7j01e5cuqwxkv66cu8/view","Open PDF")</f>
        <v/>
      </c>
      <c r="G1631" t="inlineStr">
        <is>
          <t>cmm55w57p0004cuisfrtpqly8</t>
        </is>
      </c>
      <c r="H1631" t="inlineStr">
        <is>
          <t>Informationskrav</t>
        </is>
      </c>
      <c r="I1631" t="inlineStr">
        <is>
          <t>DagvattenLakvatten</t>
        </is>
      </c>
      <c r="J1631" t="inlineStr">
        <is>
          <t>Uppsamling</t>
        </is>
      </c>
      <c r="K1631" t="inlineStr">
        <is>
          <t>Är lakvattendammen torrlagd ska orsak identifieras och läckage åtgärdas innan upplagsplats får användas.</t>
        </is>
      </c>
      <c r="L1631" t="inlineStr">
        <is>
          <t>Är lakvattendammen torrlagd ska orsak identifieras och läckage åtgärdas innan upplagsplats får användas.</t>
        </is>
      </c>
      <c r="M1631" t="inlineStr">
        <is>
          <t>SKA</t>
        </is>
      </c>
      <c r="N1631" t="inlineStr"/>
      <c r="O1631" t="inlineStr"/>
      <c r="P1631" t="inlineStr"/>
      <c r="Q1631" t="inlineStr"/>
      <c r="R1631" t="inlineStr">
        <is>
          <t>Vid nederbord och avrinning</t>
        </is>
      </c>
      <c r="S1631" t="inlineStr"/>
      <c r="T1631" t="inlineStr">
        <is>
          <t>556764</t>
        </is>
      </c>
      <c r="U1631" t="inlineStr"/>
      <c r="V1631" t="inlineStr"/>
      <c r="W1631" t="inlineStr">
        <is>
          <t>Nej</t>
        </is>
      </c>
      <c r="X1631" t="inlineStr">
        <is>
          <t>Ja</t>
        </is>
      </c>
      <c r="Y1631" t="inlineStr">
        <is>
          <t>Ja</t>
        </is>
      </c>
      <c r="Z1631" t="inlineStr">
        <is>
          <t>Nej</t>
        </is>
      </c>
      <c r="AA1631" t="n">
        <v>6</v>
      </c>
      <c r="AB1631" t="inlineStr">
        <is>
          <t>Lakvattenhantering</t>
        </is>
      </c>
      <c r="AC1631" t="inlineStr">
        <is>
          <t>Flodesschema dagvatten-lakvatten</t>
        </is>
      </c>
      <c r="AD1631" t="inlineStr">
        <is>
          <t>Nej</t>
        </is>
      </c>
      <c r="AE1631" t="inlineStr">
        <is>
          <t>Nej</t>
        </is>
      </c>
      <c r="AF1631" t="inlineStr">
        <is>
          <t>Ej behandlad</t>
        </is>
      </c>
      <c r="AG1631" t="inlineStr">
        <is>
          <t>AUTO_GENERERAD. Verifiera citat mot kallfil.</t>
        </is>
      </c>
      <c r="AH1631" t="inlineStr">
        <is>
          <t>MEDIUM</t>
        </is>
      </c>
      <c r="AI1631" t="inlineStr">
        <is>
          <t>AUTO</t>
        </is>
      </c>
      <c r="AJ1631" t="inlineStr">
        <is>
          <t>Nej</t>
        </is>
      </c>
      <c r="AK1631" t="inlineStr"/>
      <c r="AL1631" t="inlineStr"/>
      <c r="AM1631" t="inlineStr"/>
      <c r="AN1631" t="inlineStr"/>
      <c r="AO1631" t="inlineStr">
        <is>
          <t>cmm4yuo7z01ehcuqwtcvxztnd</t>
        </is>
      </c>
      <c r="AP1631" t="inlineStr">
        <is>
          <t>http://localhost:8787/api/admin/requirements/documents/cmm4yuo7z01ehcuqwtcvxztnd/view</t>
        </is>
      </c>
      <c r="AQ1631">
        <f>HYPERLÄNK("http://localhost:8787/api/admin/requirements/documents/cmm4yuo7z01ehcuqwtcvxztnd/view";"Öppna PDF")</f>
        <v/>
      </c>
      <c r="AR1631">
        <f>HYPERLINK("http://localhost:8787/api/admin/requirements/documents/cmm4yuo7z01ehcuqwtcvxztnd/view","Open PDF")</f>
        <v/>
      </c>
      <c r="AS1631" t="inlineStr">
        <is>
          <t>cmm55w57p0004cuisfrtpqly8</t>
        </is>
      </c>
      <c r="AT1631" t="inlineStr">
        <is>
          <t>cmm4xvu980000cuh4vj0usz09</t>
        </is>
      </c>
      <c r="AU1631" t="inlineStr"/>
      <c r="AV1631" t="inlineStr">
        <is>
          <t>Kommun</t>
        </is>
      </c>
      <c r="AW1631" t="inlineStr"/>
      <c r="AX1631" t="inlineStr">
        <is>
          <t>2025-06</t>
        </is>
      </c>
      <c r="AY1631" t="inlineStr">
        <is>
          <t>Anmalan</t>
        </is>
      </c>
      <c r="AZ1631" t="inlineStr">
        <is>
          <t>2026-02-03</t>
        </is>
      </c>
      <c r="BA1631" t="inlineStr">
        <is>
          <t>BeslutMiljohandlaggareDB440FB_456087.pdf</t>
        </is>
      </c>
      <c r="BB1631" t="inlineStr">
        <is>
          <t>Anmälan om lagring av avfall,  MIL.2025.531</t>
        </is>
      </c>
      <c r="BC1631" t="inlineStr">
        <is>
          <t>AUTO</t>
        </is>
      </c>
      <c r="BD1631" t="inlineStr"/>
      <c r="BE1631" t="inlineStr"/>
      <c r="BF1631" t="inlineStr">
        <is>
          <t>AUTO_GENERERAD. Bekrafta metadata mot kallfil.</t>
        </is>
      </c>
      <c r="BG1631">
        <f>HYPERLINK("C:\Users\jimmy\Desktop\Examens arbete\Kod\Ny mapp\remix_-copy-of-miljöbeslut.se-portal\BeslutMiljohandlaggareDB440FB_456087.pdf", "Öppna PDF")</f>
        <v/>
      </c>
    </row>
    <row r="1632">
      <c r="A1632" t="inlineStr">
        <is>
          <t>KRAV-AUTO-001631</t>
        </is>
      </c>
      <c r="B1632" t="inlineStr">
        <is>
          <t>ADMIN-INDEX-2026-02-27-00000000125C043F57453246863FE664CAFE6A3F0700950291EA24F0614FB6ACEDB12BF0E31D00000000010C0000950291EA24F0614FB6ACEDB12BF0E31D00002087AEED0000</t>
        </is>
      </c>
      <c r="C1632" t="inlineStr">
        <is>
          <t>cmm4yuo7j01e5cuqwxkv66cu8</t>
        </is>
      </c>
      <c r="D1632" t="inlineStr">
        <is>
          <t>http://localhost:8787/api/admin/requirements/documents/cmm4yuo7j01e5cuqwxkv66cu8/view</t>
        </is>
      </c>
      <c r="E1632">
        <f>HYPERLÄNK("http://localhost:8787/api/admin/requirements/documents/cmm4yuo7j01e5cuqwxkv66cu8/view";"Öppna PDF")</f>
        <v/>
      </c>
      <c r="F1632">
        <f>HYPERLINK("http://localhost:8787/api/admin/requirements/documents/cmm4yuo7j01e5cuqwxkv66cu8/view","Open PDF")</f>
        <v/>
      </c>
      <c r="G1632" t="inlineStr">
        <is>
          <t>cmm55w57p0004cuisfrtpqly8</t>
        </is>
      </c>
      <c r="H1632" t="inlineStr">
        <is>
          <t>Informationskrav</t>
        </is>
      </c>
      <c r="I1632" t="inlineStr">
        <is>
          <t>DagvattenLakvatten</t>
        </is>
      </c>
      <c r="J1632" t="inlineStr">
        <is>
          <t>Uppsamling</t>
        </is>
      </c>
      <c r="K1632" t="inlineStr">
        <is>
          <t>Är vattennivån på röd nivå i lakvattendammen, enligt markeringspinne, ska dammen tömmas: 1) till spillvattensystem efter godkänd kvalitet på upplagsmassor 2) till deponi/destruering, beroende på vilket ämne som påträffats i jordmassorna.</t>
        </is>
      </c>
      <c r="L1632" t="inlineStr">
        <is>
          <t>Är vattennivån på röd nivå i lakvattendammen, enligt markeringspinne, ska dammen tömmas: 1) till spillvattensystem efter godkänd kvalitet på upplagsmassor 2) till deponi/destruering, beroende på vilket ämne som påträffats i jordmassorna.</t>
        </is>
      </c>
      <c r="M1632" t="inlineStr">
        <is>
          <t>SKA</t>
        </is>
      </c>
      <c r="N1632" t="inlineStr"/>
      <c r="O1632" t="inlineStr"/>
      <c r="P1632" t="inlineStr"/>
      <c r="Q1632" t="inlineStr"/>
      <c r="R1632" t="inlineStr">
        <is>
          <t>Vid nederbord och avrinning</t>
        </is>
      </c>
      <c r="S1632" t="inlineStr"/>
      <c r="T1632" t="inlineStr">
        <is>
          <t>556764</t>
        </is>
      </c>
      <c r="U1632" t="inlineStr"/>
      <c r="V1632" t="inlineStr"/>
      <c r="W1632" t="inlineStr">
        <is>
          <t>Nej</t>
        </is>
      </c>
      <c r="X1632" t="inlineStr">
        <is>
          <t>Ja</t>
        </is>
      </c>
      <c r="Y1632" t="inlineStr">
        <is>
          <t>Ja</t>
        </is>
      </c>
      <c r="Z1632" t="inlineStr">
        <is>
          <t>Nej</t>
        </is>
      </c>
      <c r="AA1632" t="n">
        <v>6</v>
      </c>
      <c r="AB1632" t="inlineStr">
        <is>
          <t>Lakvattenhantering</t>
        </is>
      </c>
      <c r="AC1632" t="inlineStr">
        <is>
          <t>Flodesschema dagvatten-lakvatten</t>
        </is>
      </c>
      <c r="AD1632" t="inlineStr">
        <is>
          <t>Nej</t>
        </is>
      </c>
      <c r="AE1632" t="inlineStr">
        <is>
          <t>Nej</t>
        </is>
      </c>
      <c r="AF1632" t="inlineStr">
        <is>
          <t>Ej behandlad</t>
        </is>
      </c>
      <c r="AG1632" t="inlineStr">
        <is>
          <t>AUTO_GENERERAD. Verifiera citat mot kallfil.</t>
        </is>
      </c>
      <c r="AH1632" t="inlineStr">
        <is>
          <t>MEDIUM</t>
        </is>
      </c>
      <c r="AI1632" t="inlineStr">
        <is>
          <t>AUTO</t>
        </is>
      </c>
      <c r="AJ1632" t="inlineStr">
        <is>
          <t>Nej</t>
        </is>
      </c>
      <c r="AK1632" t="inlineStr"/>
      <c r="AL1632" t="inlineStr"/>
      <c r="AM1632" t="inlineStr"/>
      <c r="AN1632" t="inlineStr"/>
      <c r="AO1632" t="inlineStr">
        <is>
          <t>cmm4yuo7z01ehcuqwtcvxztnd</t>
        </is>
      </c>
      <c r="AP1632" t="inlineStr">
        <is>
          <t>http://localhost:8787/api/admin/requirements/documents/cmm4yuo7z01ehcuqwtcvxztnd/view</t>
        </is>
      </c>
      <c r="AQ1632">
        <f>HYPERLÄNK("http://localhost:8787/api/admin/requirements/documents/cmm4yuo7z01ehcuqwtcvxztnd/view";"Öppna PDF")</f>
        <v/>
      </c>
      <c r="AR1632">
        <f>HYPERLINK("http://localhost:8787/api/admin/requirements/documents/cmm4yuo7z01ehcuqwtcvxztnd/view","Open PDF")</f>
        <v/>
      </c>
      <c r="AS1632" t="inlineStr">
        <is>
          <t>cmm55w57p0004cuisfrtpqly8</t>
        </is>
      </c>
      <c r="AT1632" t="inlineStr">
        <is>
          <t>cmm4xvu980000cuh4vj0usz09</t>
        </is>
      </c>
      <c r="AU1632" t="inlineStr"/>
      <c r="AV1632" t="inlineStr">
        <is>
          <t>Kommun</t>
        </is>
      </c>
      <c r="AW1632" t="inlineStr"/>
      <c r="AX1632" t="inlineStr">
        <is>
          <t>2025-06</t>
        </is>
      </c>
      <c r="AY1632" t="inlineStr">
        <is>
          <t>Anmalan</t>
        </is>
      </c>
      <c r="AZ1632" t="inlineStr">
        <is>
          <t>2026-02-03</t>
        </is>
      </c>
      <c r="BA1632" t="inlineStr">
        <is>
          <t>BeslutMiljohandlaggareDB440FB_456087.pdf</t>
        </is>
      </c>
      <c r="BB1632" t="inlineStr">
        <is>
          <t>Anmälan om lagring av avfall,  MIL.2025.531</t>
        </is>
      </c>
      <c r="BC1632" t="inlineStr">
        <is>
          <t>AUTO</t>
        </is>
      </c>
      <c r="BD1632" t="inlineStr"/>
      <c r="BE1632" t="inlineStr"/>
      <c r="BF1632" t="inlineStr">
        <is>
          <t>AUTO_GENERERAD. Bekrafta metadata mot kallfil.</t>
        </is>
      </c>
      <c r="BG1632">
        <f>HYPERLINK("C:\Users\jimmy\Desktop\Examens arbete\Kod\Ny mapp\remix_-copy-of-miljöbeslut.se-portal\BeslutMiljohandlaggareDB440FB_456087.pdf", "Öppna PDF")</f>
        <v/>
      </c>
    </row>
    <row r="1633">
      <c r="A1633" t="inlineStr">
        <is>
          <t>KRAV-AUTO-001632</t>
        </is>
      </c>
      <c r="B1633" t="inlineStr">
        <is>
          <t>ADMIN-INDEX-2026-02-27-00000000125C043F57453246863FE664CAFE6A3F0700950291EA24F0614FB6ACEDB12BF0E31D00000000010C0000950291EA24F0614FB6ACEDB12BF0E31D00002087AEED0000</t>
        </is>
      </c>
      <c r="C1633" t="inlineStr">
        <is>
          <t>cmm4yuo7c01dzcuqw91z7xcdk</t>
        </is>
      </c>
      <c r="D1633" t="inlineStr">
        <is>
          <t>http://localhost:8787/api/admin/requirements/documents/cmm4yuo7c01dzcuqw91z7xcdk/view</t>
        </is>
      </c>
      <c r="E1633">
        <f>HYPERLÄNK("http://localhost:8787/api/admin/requirements/documents/cmm4yuo7c01dzcuqw91z7xcdk/view";"Öppna PDF")</f>
        <v/>
      </c>
      <c r="F1633">
        <f>HYPERLINK("http://localhost:8787/api/admin/requirements/documents/cmm4yuo7c01dzcuqw91z7xcdk/view","Open PDF")</f>
        <v/>
      </c>
      <c r="G1633" t="inlineStr">
        <is>
          <t>cmm55w57p0004cuisfrtpqly8</t>
        </is>
      </c>
      <c r="H1633" t="inlineStr">
        <is>
          <t>Informationskrav</t>
        </is>
      </c>
      <c r="I1633" t="inlineStr">
        <is>
          <t>Riskhantering</t>
        </is>
      </c>
      <c r="J1633" t="inlineStr">
        <is>
          <t>Riskkontroll</t>
        </is>
      </c>
      <c r="K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33" t="inlineStr">
        <is>
          <t>SKA</t>
        </is>
      </c>
      <c r="N1633" t="inlineStr">
        <is>
          <t>FMH</t>
        </is>
      </c>
      <c r="O1633" t="inlineStr"/>
      <c r="P1633" t="inlineStr">
        <is>
          <t>Arlig</t>
        </is>
      </c>
      <c r="Q1633" t="inlineStr"/>
      <c r="R1633" t="inlineStr">
        <is>
          <t>Vid risk for incident</t>
        </is>
      </c>
      <c r="S1633" t="inlineStr"/>
      <c r="T1633" t="inlineStr">
        <is>
          <t>556764</t>
        </is>
      </c>
      <c r="U1633" t="n">
        <v>5</v>
      </c>
      <c r="V1633" t="inlineStr"/>
      <c r="W1633" t="inlineStr">
        <is>
          <t>Nej</t>
        </is>
      </c>
      <c r="X1633" t="inlineStr">
        <is>
          <t>Nej</t>
        </is>
      </c>
      <c r="Y1633" t="inlineStr">
        <is>
          <t>Ja</t>
        </is>
      </c>
      <c r="Z1633" t="inlineStr">
        <is>
          <t>Ja</t>
        </is>
      </c>
      <c r="AA1633" t="n">
        <v>8</v>
      </c>
      <c r="AB1633" t="inlineStr">
        <is>
          <t>Riskhantering</t>
        </is>
      </c>
      <c r="AC1633" t="inlineStr">
        <is>
          <t>Risk-PM</t>
        </is>
      </c>
      <c r="AD1633" t="inlineStr">
        <is>
          <t>Nej</t>
        </is>
      </c>
      <c r="AE1633" t="inlineStr">
        <is>
          <t>Nej</t>
        </is>
      </c>
      <c r="AF1633" t="inlineStr">
        <is>
          <t>Ej behandlad</t>
        </is>
      </c>
      <c r="AG1633" t="inlineStr">
        <is>
          <t>AUTO_GENERERAD. Verifiera citat mot kallfil.</t>
        </is>
      </c>
      <c r="AH1633" t="inlineStr">
        <is>
          <t>MEDIUM</t>
        </is>
      </c>
      <c r="AI1633" t="inlineStr">
        <is>
          <t>AUTO</t>
        </is>
      </c>
      <c r="AJ1633" t="inlineStr">
        <is>
          <t>Nej</t>
        </is>
      </c>
      <c r="AK1633" t="inlineStr"/>
      <c r="AL1633" t="inlineStr"/>
      <c r="AM1633" t="inlineStr"/>
      <c r="AN1633" t="inlineStr"/>
      <c r="AO1633" t="inlineStr">
        <is>
          <t>cmm4yuo7z01ehcuqwtcvxztnd</t>
        </is>
      </c>
      <c r="AP1633" t="inlineStr">
        <is>
          <t>http://localhost:8787/api/admin/requirements/documents/cmm4yuo7z01ehcuqwtcvxztnd/view</t>
        </is>
      </c>
      <c r="AQ1633">
        <f>HYPERLÄNK("http://localhost:8787/api/admin/requirements/documents/cmm4yuo7z01ehcuqwtcvxztnd/view";"Öppna PDF")</f>
        <v/>
      </c>
      <c r="AR1633">
        <f>HYPERLINK("http://localhost:8787/api/admin/requirements/documents/cmm4yuo7z01ehcuqwtcvxztnd/view","Open PDF")</f>
        <v/>
      </c>
      <c r="AS1633" t="inlineStr">
        <is>
          <t>cmm55w57p0004cuisfrtpqly8</t>
        </is>
      </c>
      <c r="AT1633" t="inlineStr">
        <is>
          <t>cmm4xvu980000cuh4vj0usz09</t>
        </is>
      </c>
      <c r="AU1633" t="inlineStr"/>
      <c r="AV1633" t="inlineStr">
        <is>
          <t>Kommun</t>
        </is>
      </c>
      <c r="AW1633" t="inlineStr"/>
      <c r="AX1633" t="inlineStr">
        <is>
          <t>2025-06</t>
        </is>
      </c>
      <c r="AY1633" t="inlineStr">
        <is>
          <t>Anmalan</t>
        </is>
      </c>
      <c r="AZ1633" t="inlineStr">
        <is>
          <t>2026-02-03</t>
        </is>
      </c>
      <c r="BA1633" t="inlineStr">
        <is>
          <t>BeslutMiljohandlaggareDB440FB_456087.pdf</t>
        </is>
      </c>
      <c r="BB1633" t="inlineStr">
        <is>
          <t>Anmälan om lagring av avfall,  MIL.2025.531</t>
        </is>
      </c>
      <c r="BC1633" t="inlineStr">
        <is>
          <t>AUTO</t>
        </is>
      </c>
      <c r="BD1633" t="inlineStr"/>
      <c r="BE1633" t="inlineStr"/>
      <c r="BF1633" t="inlineStr">
        <is>
          <t>AUTO_GENERERAD. Bekrafta metadata mot kallfil.</t>
        </is>
      </c>
      <c r="BG1633">
        <f>HYPERLINK("C:\Users\jimmy\Desktop\Examens arbete\Kod\Ny mapp\remix_-copy-of-miljöbeslut.se-portal\BeslutMiljohandlaggareDB440FB_456087.pdf", "Öppna PDF")</f>
        <v/>
      </c>
    </row>
    <row r="1634">
      <c r="A1634" t="inlineStr">
        <is>
          <t>KRAV-AUTO-001633</t>
        </is>
      </c>
      <c r="B1634" t="inlineStr">
        <is>
          <t>ADMIN-INDEX-2026-02-27-00000000125C043F57453246863FE664CAFE6A3F0700950291EA24F0614FB6ACEDB12BF0E31D00000000010C0000950291EA24F0614FB6ACEDB12BF0E31D00002087AEED0000</t>
        </is>
      </c>
      <c r="C1634" t="inlineStr">
        <is>
          <t>cmm4yuo7c01dzcuqw91z7xcdk</t>
        </is>
      </c>
      <c r="D1634" t="inlineStr">
        <is>
          <t>http://localhost:8787/api/admin/requirements/documents/cmm4yuo7c01dzcuqw91z7xcdk/view</t>
        </is>
      </c>
      <c r="E1634">
        <f>HYPERLÄNK("http://localhost:8787/api/admin/requirements/documents/cmm4yuo7c01dzcuqw91z7xcdk/view";"Öppna PDF")</f>
        <v/>
      </c>
      <c r="F1634">
        <f>HYPERLINK("http://localhost:8787/api/admin/requirements/documents/cmm4yuo7c01dzcuqw91z7xcdk/view","Open PDF")</f>
        <v/>
      </c>
      <c r="G1634" t="inlineStr">
        <is>
          <t>cmm55w57p0004cuisfrtpqly8</t>
        </is>
      </c>
      <c r="H1634" t="inlineStr">
        <is>
          <t>Informationskrav</t>
        </is>
      </c>
      <c r="I1634" t="inlineStr">
        <is>
          <t>DagvattenLakvatten</t>
        </is>
      </c>
      <c r="J1634" t="inlineStr">
        <is>
          <t>Uppsamling</t>
        </is>
      </c>
      <c r="K1634" t="inlineStr">
        <is>
          <t>Vid behovs sugs uppsamlat lakvatten och sediment upp till sugbil och transporteras bort av Savabs upphandlade entreprenör Foria.</t>
        </is>
      </c>
      <c r="L1634" t="inlineStr">
        <is>
          <t>Vid behovs sugs uppsamlat lakvatten och sediment upp till sugbil och transporteras bort av Savabs upphandlade entreprenör Foria.</t>
        </is>
      </c>
      <c r="M1634" t="inlineStr">
        <is>
          <t>BOR</t>
        </is>
      </c>
      <c r="N1634" t="inlineStr"/>
      <c r="O1634" t="inlineStr"/>
      <c r="P1634" t="inlineStr"/>
      <c r="Q1634" t="inlineStr"/>
      <c r="R1634" t="inlineStr">
        <is>
          <t>Vid nederbord och avrinning</t>
        </is>
      </c>
      <c r="S1634" t="inlineStr"/>
      <c r="T1634" t="inlineStr">
        <is>
          <t>556764</t>
        </is>
      </c>
      <c r="U1634" t="inlineStr"/>
      <c r="V1634" t="inlineStr"/>
      <c r="W1634" t="inlineStr">
        <is>
          <t>Nej</t>
        </is>
      </c>
      <c r="X1634" t="inlineStr">
        <is>
          <t>Ja</t>
        </is>
      </c>
      <c r="Y1634" t="inlineStr">
        <is>
          <t>Ja</t>
        </is>
      </c>
      <c r="Z1634" t="inlineStr">
        <is>
          <t>Nej</t>
        </is>
      </c>
      <c r="AA1634" t="n">
        <v>6</v>
      </c>
      <c r="AB1634" t="inlineStr">
        <is>
          <t>Lakvattenhantering</t>
        </is>
      </c>
      <c r="AC1634" t="inlineStr">
        <is>
          <t>Flodesschema dagvatten-lakvatten</t>
        </is>
      </c>
      <c r="AD1634" t="inlineStr">
        <is>
          <t>Nej</t>
        </is>
      </c>
      <c r="AE1634" t="inlineStr">
        <is>
          <t>Nej</t>
        </is>
      </c>
      <c r="AF1634" t="inlineStr">
        <is>
          <t>Ej behandlad</t>
        </is>
      </c>
      <c r="AG1634" t="inlineStr">
        <is>
          <t>AUTO_GENERERAD. Verifiera citat mot kallfil.</t>
        </is>
      </c>
      <c r="AH1634" t="inlineStr">
        <is>
          <t>MEDIUM</t>
        </is>
      </c>
      <c r="AI1634" t="inlineStr">
        <is>
          <t>AUTO</t>
        </is>
      </c>
      <c r="AJ1634" t="inlineStr">
        <is>
          <t>Nej</t>
        </is>
      </c>
      <c r="AK1634" t="inlineStr"/>
      <c r="AL1634" t="inlineStr"/>
      <c r="AM1634" t="inlineStr"/>
      <c r="AN1634" t="inlineStr"/>
      <c r="AO1634" t="inlineStr">
        <is>
          <t>cmm4yuo7z01ehcuqwtcvxztnd</t>
        </is>
      </c>
      <c r="AP1634" t="inlineStr">
        <is>
          <t>http://localhost:8787/api/admin/requirements/documents/cmm4yuo7z01ehcuqwtcvxztnd/view</t>
        </is>
      </c>
      <c r="AQ1634">
        <f>HYPERLÄNK("http://localhost:8787/api/admin/requirements/documents/cmm4yuo7z01ehcuqwtcvxztnd/view";"Öppna PDF")</f>
        <v/>
      </c>
      <c r="AR1634">
        <f>HYPERLINK("http://localhost:8787/api/admin/requirements/documents/cmm4yuo7z01ehcuqwtcvxztnd/view","Open PDF")</f>
        <v/>
      </c>
      <c r="AS1634" t="inlineStr">
        <is>
          <t>cmm55w57p0004cuisfrtpqly8</t>
        </is>
      </c>
      <c r="AT1634" t="inlineStr">
        <is>
          <t>cmm4xvu980000cuh4vj0usz09</t>
        </is>
      </c>
      <c r="AU1634" t="inlineStr"/>
      <c r="AV1634" t="inlineStr">
        <is>
          <t>Kommun</t>
        </is>
      </c>
      <c r="AW1634" t="inlineStr"/>
      <c r="AX1634" t="inlineStr">
        <is>
          <t>2025-06</t>
        </is>
      </c>
      <c r="AY1634" t="inlineStr">
        <is>
          <t>Anmalan</t>
        </is>
      </c>
      <c r="AZ1634" t="inlineStr">
        <is>
          <t>2026-02-03</t>
        </is>
      </c>
      <c r="BA1634" t="inlineStr">
        <is>
          <t>BeslutMiljohandlaggareDB440FB_456087.pdf</t>
        </is>
      </c>
      <c r="BB1634" t="inlineStr">
        <is>
          <t>Anmälan om lagring av avfall,  MIL.2025.531</t>
        </is>
      </c>
      <c r="BC1634" t="inlineStr">
        <is>
          <t>AUTO</t>
        </is>
      </c>
      <c r="BD1634" t="inlineStr"/>
      <c r="BE1634" t="inlineStr"/>
      <c r="BF1634" t="inlineStr">
        <is>
          <t>AUTO_GENERERAD. Bekrafta metadata mot kallfil.</t>
        </is>
      </c>
      <c r="BG1634">
        <f>HYPERLINK("C:\Users\jimmy\Desktop\Examens arbete\Kod\Ny mapp\remix_-copy-of-miljöbeslut.se-portal\BeslutMiljohandlaggareDB440FB_456087.pdf", "Öppna PDF")</f>
        <v/>
      </c>
    </row>
    <row r="1635">
      <c r="A1635" t="inlineStr">
        <is>
          <t>KRAV-AUTO-001634</t>
        </is>
      </c>
      <c r="B1635" t="inlineStr">
        <is>
          <t>ADMIN-INDEX-2026-02-27-00000000125C043F57453246863FE664CAFE6A3F0700950291EA24F0614FB6ACEDB12BF0E31D00000000010C0000950291EA24F0614FB6ACEDB12BF0E31D00002087AEED0000</t>
        </is>
      </c>
      <c r="C1635" t="inlineStr">
        <is>
          <t>cmm4yuo7c01dzcuqw91z7xcdk</t>
        </is>
      </c>
      <c r="D1635" t="inlineStr">
        <is>
          <t>http://localhost:8787/api/admin/requirements/documents/cmm4yuo7c01dzcuqw91z7xcdk/view</t>
        </is>
      </c>
      <c r="E1635">
        <f>HYPERLÄNK("http://localhost:8787/api/admin/requirements/documents/cmm4yuo7c01dzcuqw91z7xcdk/view";"Öppna PDF")</f>
        <v/>
      </c>
      <c r="F1635">
        <f>HYPERLINK("http://localhost:8787/api/admin/requirements/documents/cmm4yuo7c01dzcuqw91z7xcdk/view","Open PDF")</f>
        <v/>
      </c>
      <c r="G1635" t="inlineStr">
        <is>
          <t>cmm55w57p0004cuisfrtpqly8</t>
        </is>
      </c>
      <c r="H1635" t="inlineStr">
        <is>
          <t>Informationskrav</t>
        </is>
      </c>
      <c r="I1635" t="inlineStr">
        <is>
          <t>TransportLogistik</t>
        </is>
      </c>
      <c r="J1635" t="inlineStr">
        <is>
          <t>Transportvagar</t>
        </is>
      </c>
      <c r="K1635" t="inlineStr">
        <is>
          <t>(Om farligt avfall krävs att transportör innehar transporttillstånd från länsstyrelsen förtransport av farligt avfall.) Schaktmassorna transporteras bort av Savabs upphandlade entreprenör, vilket i nuläget är Spectra.</t>
        </is>
      </c>
      <c r="L1635" t="inlineStr">
        <is>
          <t>(Om farligt avfall krävs att transportör innehar transporttillstånd från länsstyrelsen förtransport av farligt avfall.) Schaktmassorna transporteras bort av Savabs upphandlade entreprenör, vilket i nuläget är Spectra.</t>
        </is>
      </c>
      <c r="M1635" t="inlineStr">
        <is>
          <t>SKA</t>
        </is>
      </c>
      <c r="N1635" t="inlineStr"/>
      <c r="O1635" t="inlineStr"/>
      <c r="P1635" t="inlineStr">
        <is>
          <t>Arlig</t>
        </is>
      </c>
      <c r="Q1635" t="inlineStr"/>
      <c r="R1635" t="inlineStr">
        <is>
          <t>Vid transporter</t>
        </is>
      </c>
      <c r="S1635" t="inlineStr"/>
      <c r="T1635" t="inlineStr">
        <is>
          <t>556764</t>
        </is>
      </c>
      <c r="U1635" t="inlineStr"/>
      <c r="V1635" t="inlineStr"/>
      <c r="W1635" t="inlineStr">
        <is>
          <t>Nej</t>
        </is>
      </c>
      <c r="X1635" t="inlineStr">
        <is>
          <t>Nej</t>
        </is>
      </c>
      <c r="Y1635" t="inlineStr">
        <is>
          <t>Nej</t>
        </is>
      </c>
      <c r="Z1635" t="inlineStr">
        <is>
          <t>Ja</t>
        </is>
      </c>
      <c r="AA1635" t="n">
        <v>9</v>
      </c>
      <c r="AB1635" t="inlineStr">
        <is>
          <t>Transporter och logistik</t>
        </is>
      </c>
      <c r="AC1635" t="inlineStr">
        <is>
          <t>Trafikplan</t>
        </is>
      </c>
      <c r="AD1635" t="inlineStr">
        <is>
          <t>Nej</t>
        </is>
      </c>
      <c r="AE1635" t="inlineStr">
        <is>
          <t>Nej</t>
        </is>
      </c>
      <c r="AF1635" t="inlineStr">
        <is>
          <t>Ej behandlad</t>
        </is>
      </c>
      <c r="AG1635" t="inlineStr">
        <is>
          <t>AUTO_GENERERAD. Verifiera citat mot kallfil.</t>
        </is>
      </c>
      <c r="AH1635" t="inlineStr">
        <is>
          <t>MEDIUM</t>
        </is>
      </c>
      <c r="AI1635" t="inlineStr">
        <is>
          <t>AUTO</t>
        </is>
      </c>
      <c r="AJ1635" t="inlineStr">
        <is>
          <t>Nej</t>
        </is>
      </c>
      <c r="AK1635" t="inlineStr"/>
      <c r="AL1635" t="inlineStr"/>
      <c r="AM1635" t="inlineStr"/>
      <c r="AN1635" t="inlineStr"/>
      <c r="AO1635" t="inlineStr">
        <is>
          <t>cmm4yuo7z01ehcuqwtcvxztnd</t>
        </is>
      </c>
      <c r="AP1635" t="inlineStr">
        <is>
          <t>http://localhost:8787/api/admin/requirements/documents/cmm4yuo7z01ehcuqwtcvxztnd/view</t>
        </is>
      </c>
      <c r="AQ1635">
        <f>HYPERLÄNK("http://localhost:8787/api/admin/requirements/documents/cmm4yuo7z01ehcuqwtcvxztnd/view";"Öppna PDF")</f>
        <v/>
      </c>
      <c r="AR1635">
        <f>HYPERLINK("http://localhost:8787/api/admin/requirements/documents/cmm4yuo7z01ehcuqwtcvxztnd/view","Open PDF")</f>
        <v/>
      </c>
      <c r="AS1635" t="inlineStr">
        <is>
          <t>cmm55w57p0004cuisfrtpqly8</t>
        </is>
      </c>
      <c r="AT1635" t="inlineStr">
        <is>
          <t>cmm4xvu980000cuh4vj0usz09</t>
        </is>
      </c>
      <c r="AU1635" t="inlineStr"/>
      <c r="AV1635" t="inlineStr">
        <is>
          <t>Kommun</t>
        </is>
      </c>
      <c r="AW1635" t="inlineStr"/>
      <c r="AX1635" t="inlineStr">
        <is>
          <t>2025-06</t>
        </is>
      </c>
      <c r="AY1635" t="inlineStr">
        <is>
          <t>Anmalan</t>
        </is>
      </c>
      <c r="AZ1635" t="inlineStr">
        <is>
          <t>2026-02-03</t>
        </is>
      </c>
      <c r="BA1635" t="inlineStr">
        <is>
          <t>BeslutMiljohandlaggareDB440FB_456087.pdf</t>
        </is>
      </c>
      <c r="BB1635" t="inlineStr">
        <is>
          <t>Anmälan om lagring av avfall,  MIL.2025.531</t>
        </is>
      </c>
      <c r="BC1635" t="inlineStr">
        <is>
          <t>AUTO</t>
        </is>
      </c>
      <c r="BD1635" t="inlineStr"/>
      <c r="BE1635" t="inlineStr"/>
      <c r="BF1635" t="inlineStr">
        <is>
          <t>AUTO_GENERERAD. Bekrafta metadata mot kallfil.</t>
        </is>
      </c>
      <c r="BG1635">
        <f>HYPERLINK("C:\Users\jimmy\Desktop\Examens arbete\Kod\Ny mapp\remix_-copy-of-miljöbeslut.se-portal\BeslutMiljohandlaggareDB440FB_456087.pdf", "Öppna PDF")</f>
        <v/>
      </c>
    </row>
    <row r="1636">
      <c r="A1636" t="inlineStr">
        <is>
          <t>KRAV-AUTO-001635</t>
        </is>
      </c>
      <c r="B1636" t="inlineStr">
        <is>
          <t>ADMIN-INDEX-2026-02-27-00000000125C043F57453246863FE664CAFE6A3F0700950291EA24F0614FB6ACEDB12BF0E31D00000000010C0000950291EA24F0614FB6ACEDB12BF0E31D00002087AEEE0000</t>
        </is>
      </c>
      <c r="C1636" t="inlineStr">
        <is>
          <t>cmm4yuo7901dwcuqwvikd7d0j</t>
        </is>
      </c>
      <c r="D1636" t="inlineStr">
        <is>
          <t>http://localhost:8787/api/admin/requirements/documents/cmm4yuo7901dwcuqwvikd7d0j/view</t>
        </is>
      </c>
      <c r="E1636">
        <f>HYPERLÄNK("http://localhost:8787/api/admin/requirements/documents/cmm4yuo7901dwcuqwvikd7d0j/view";"Öppna PDF")</f>
        <v/>
      </c>
      <c r="F1636">
        <f>HYPERLINK("http://localhost:8787/api/admin/requirements/documents/cmm4yuo7901dwcuqwvikd7d0j/view","Open PDF")</f>
        <v/>
      </c>
      <c r="G1636" t="inlineStr">
        <is>
          <t>cmm55w57p0004cuisfrtpqly8</t>
        </is>
      </c>
      <c r="H1636" t="inlineStr">
        <is>
          <t>Informationskrav</t>
        </is>
      </c>
      <c r="I1636" t="inlineStr">
        <is>
          <t>MiljopaverkanForsiktighet</t>
        </is>
      </c>
      <c r="J1636" t="inlineStr">
        <is>
          <t>Skyddsatgarder</t>
        </is>
      </c>
      <c r="K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36" t="inlineStr">
        <is>
          <t>BOR</t>
        </is>
      </c>
      <c r="N1636" t="inlineStr"/>
      <c r="O1636" t="inlineStr">
        <is>
          <t>2025-06-27</t>
        </is>
      </c>
      <c r="P1636" t="inlineStr">
        <is>
          <t>Arlig</t>
        </is>
      </c>
      <c r="Q1636" t="inlineStr">
        <is>
          <t>Forbud</t>
        </is>
      </c>
      <c r="R1636" t="inlineStr">
        <is>
          <t>Alltid</t>
        </is>
      </c>
      <c r="S1636" t="inlineStr"/>
      <c r="T1636" t="inlineStr"/>
      <c r="U1636" t="inlineStr"/>
      <c r="V1636" t="inlineStr"/>
      <c r="W1636" t="inlineStr">
        <is>
          <t>Nej</t>
        </is>
      </c>
      <c r="X1636" t="inlineStr">
        <is>
          <t>Nej</t>
        </is>
      </c>
      <c r="Y1636" t="inlineStr">
        <is>
          <t>Nej</t>
        </is>
      </c>
      <c r="Z1636" t="inlineStr">
        <is>
          <t>Nej</t>
        </is>
      </c>
      <c r="AA1636" t="n">
        <v>10</v>
      </c>
      <c r="AB1636" t="inlineStr">
        <is>
          <t>Miljopaverkan och forsiktighetsmatt</t>
        </is>
      </c>
      <c r="AC1636" t="inlineStr">
        <is>
          <t>Miljo-PM</t>
        </is>
      </c>
      <c r="AD1636" t="inlineStr">
        <is>
          <t>Nej</t>
        </is>
      </c>
      <c r="AE1636" t="inlineStr">
        <is>
          <t>Nej</t>
        </is>
      </c>
      <c r="AF1636" t="inlineStr">
        <is>
          <t>Ej behandlad</t>
        </is>
      </c>
      <c r="AG1636" t="inlineStr">
        <is>
          <t>AUTO_GENERERAD. Verifiera citat mot kallfil.</t>
        </is>
      </c>
      <c r="AH1636" t="inlineStr">
        <is>
          <t>MEDIUM</t>
        </is>
      </c>
      <c r="AI1636" t="inlineStr">
        <is>
          <t>AUTO</t>
        </is>
      </c>
      <c r="AJ1636" t="inlineStr">
        <is>
          <t>Nej</t>
        </is>
      </c>
      <c r="AK1636" t="inlineStr"/>
      <c r="AL1636" t="inlineStr"/>
      <c r="AM1636" t="inlineStr"/>
      <c r="AN1636" t="inlineStr"/>
      <c r="AO1636" t="inlineStr">
        <is>
          <t>cmm4yuo7901dwcuqwvikd7d0j</t>
        </is>
      </c>
      <c r="AP1636" t="inlineStr">
        <is>
          <t>http://localhost:8787/api/admin/requirements/documents/cmm4yuo7901dwcuqwvikd7d0j/view</t>
        </is>
      </c>
      <c r="AQ1636">
        <f>HYPERLÄNK("http://localhost:8787/api/admin/requirements/documents/cmm4yuo7901dwcuqwvikd7d0j/view";"Öppna PDF")</f>
        <v/>
      </c>
      <c r="AR1636">
        <f>HYPERLINK("http://localhost:8787/api/admin/requirements/documents/cmm4yuo7901dwcuqwvikd7d0j/view","Open PDF")</f>
        <v/>
      </c>
      <c r="AS1636" t="inlineStr">
        <is>
          <t>cmm55w57p0004cuisfrtpqly8</t>
        </is>
      </c>
      <c r="AT1636" t="inlineStr">
        <is>
          <t>cmm4xvu980000cuh4vj0usz09</t>
        </is>
      </c>
      <c r="AU1636" t="inlineStr"/>
      <c r="AV1636" t="inlineStr">
        <is>
          <t>Kommun</t>
        </is>
      </c>
      <c r="AW1636" t="inlineStr"/>
      <c r="AX1636" t="inlineStr">
        <is>
          <t>2025-06</t>
        </is>
      </c>
      <c r="AY1636" t="inlineStr">
        <is>
          <t>Anmalan</t>
        </is>
      </c>
      <c r="AZ1636" t="inlineStr">
        <is>
          <t>2026-02-03</t>
        </is>
      </c>
      <c r="BA1636" t="inlineStr">
        <is>
          <t>BeslutMiljohandlaggareDB440FB_456087.pdf</t>
        </is>
      </c>
      <c r="BB1636" t="inlineStr">
        <is>
          <t>Anmälan om lagring av avfall,  MIL.2025.531</t>
        </is>
      </c>
      <c r="BC1636" t="inlineStr">
        <is>
          <t>AUTO</t>
        </is>
      </c>
      <c r="BD1636" t="inlineStr"/>
      <c r="BE1636" t="inlineStr"/>
      <c r="BF1636" t="inlineStr">
        <is>
          <t>AUTO_GENERERAD. Bekrafta metadata mot kallfil.</t>
        </is>
      </c>
      <c r="BG1636">
        <f>HYPERLINK("C:\Users\jimmy\Desktop\Examens arbete\Kod\Ny mapp\remix_-copy-of-miljöbeslut.se-portal\BeslutMiljohandlaggareDB440FB_456087.pdf", "Öppna PDF")</f>
        <v/>
      </c>
    </row>
    <row r="1637">
      <c r="A1637" t="inlineStr">
        <is>
          <t>KRAV-AUTO-001636</t>
        </is>
      </c>
      <c r="B1637" t="inlineStr">
        <is>
          <t>ADMIN-INDEX-2026-02-27-00000000125C043F57453246863FE664CAFE6A3F0700950291EA24F0614FB6ACEDB12BF0E31D00000000010C0000950291EA24F0614FB6ACEDB12BF0E31D00002087AEEE0000</t>
        </is>
      </c>
      <c r="C1637" t="inlineStr">
        <is>
          <t>cmm4yuo7901dwcuqwvikd7d0j</t>
        </is>
      </c>
      <c r="D1637" t="inlineStr">
        <is>
          <t>http://localhost:8787/api/admin/requirements/documents/cmm4yuo7901dwcuqwvikd7d0j/view</t>
        </is>
      </c>
      <c r="E1637">
        <f>HYPERLÄNK("http://localhost:8787/api/admin/requirements/documents/cmm4yuo7901dwcuqwvikd7d0j/view";"Öppna PDF")</f>
        <v/>
      </c>
      <c r="F1637">
        <f>HYPERLINK("http://localhost:8787/api/admin/requirements/documents/cmm4yuo7901dwcuqwvikd7d0j/view","Open PDF")</f>
        <v/>
      </c>
      <c r="G1637" t="inlineStr">
        <is>
          <t>cmm55w57p0004cuisfrtpqly8</t>
        </is>
      </c>
      <c r="H1637" t="inlineStr">
        <is>
          <t>Informationskrav</t>
        </is>
      </c>
      <c r="I1637" t="inlineStr">
        <is>
          <t>MiljopaverkanForsiktighet</t>
        </is>
      </c>
      <c r="J1637" t="inlineStr">
        <is>
          <t>Skyddsatgarder</t>
        </is>
      </c>
      <c r="K1637" t="inlineStr">
        <is>
          <t>Rutinen ska inkludera både torra samt blöta avfallsmassor.</t>
        </is>
      </c>
      <c r="L1637" t="inlineStr">
        <is>
          <t>Rutinen ska inkludera både torra samt blöta avfallsmassor.</t>
        </is>
      </c>
      <c r="M1637" t="inlineStr">
        <is>
          <t>SKA</t>
        </is>
      </c>
      <c r="N1637" t="inlineStr"/>
      <c r="O1637" t="inlineStr"/>
      <c r="P1637" t="inlineStr"/>
      <c r="Q1637" t="inlineStr"/>
      <c r="R1637" t="inlineStr">
        <is>
          <t>Alltid</t>
        </is>
      </c>
      <c r="S1637" t="inlineStr"/>
      <c r="T1637" t="inlineStr"/>
      <c r="U1637" t="inlineStr"/>
      <c r="V1637" t="inlineStr"/>
      <c r="W1637" t="inlineStr">
        <is>
          <t>Nej</t>
        </is>
      </c>
      <c r="X1637" t="inlineStr">
        <is>
          <t>Nej</t>
        </is>
      </c>
      <c r="Y1637" t="inlineStr">
        <is>
          <t>Nej</t>
        </is>
      </c>
      <c r="Z1637" t="inlineStr">
        <is>
          <t>Nej</t>
        </is>
      </c>
      <c r="AA1637" t="n">
        <v>10</v>
      </c>
      <c r="AB1637" t="inlineStr">
        <is>
          <t>Miljopaverkan och forsiktighetsmatt</t>
        </is>
      </c>
      <c r="AC1637" t="inlineStr">
        <is>
          <t>Miljo-PM</t>
        </is>
      </c>
      <c r="AD1637" t="inlineStr">
        <is>
          <t>Nej</t>
        </is>
      </c>
      <c r="AE1637" t="inlineStr">
        <is>
          <t>Nej</t>
        </is>
      </c>
      <c r="AF1637" t="inlineStr">
        <is>
          <t>Ej behandlad</t>
        </is>
      </c>
      <c r="AG1637" t="inlineStr">
        <is>
          <t>AUTO_GENERERAD. Verifiera citat mot kallfil.</t>
        </is>
      </c>
      <c r="AH1637" t="inlineStr">
        <is>
          <t>MEDIUM</t>
        </is>
      </c>
      <c r="AI1637" t="inlineStr">
        <is>
          <t>AUTO</t>
        </is>
      </c>
      <c r="AJ1637" t="inlineStr">
        <is>
          <t>Nej</t>
        </is>
      </c>
      <c r="AK1637" t="inlineStr"/>
      <c r="AL1637" t="inlineStr"/>
      <c r="AM1637" t="inlineStr"/>
      <c r="AN1637" t="inlineStr"/>
      <c r="AO1637" t="inlineStr">
        <is>
          <t>cmm4yuo7901dwcuqwvikd7d0j</t>
        </is>
      </c>
      <c r="AP1637" t="inlineStr">
        <is>
          <t>http://localhost:8787/api/admin/requirements/documents/cmm4yuo7901dwcuqwvikd7d0j/view</t>
        </is>
      </c>
      <c r="AQ1637">
        <f>HYPERLÄNK("http://localhost:8787/api/admin/requirements/documents/cmm4yuo7901dwcuqwvikd7d0j/view";"Öppna PDF")</f>
        <v/>
      </c>
      <c r="AR1637">
        <f>HYPERLINK("http://localhost:8787/api/admin/requirements/documents/cmm4yuo7901dwcuqwvikd7d0j/view","Open PDF")</f>
        <v/>
      </c>
      <c r="AS1637" t="inlineStr">
        <is>
          <t>cmm55w57p0004cuisfrtpqly8</t>
        </is>
      </c>
      <c r="AT1637" t="inlineStr">
        <is>
          <t>cmm4xvu980000cuh4vj0usz09</t>
        </is>
      </c>
      <c r="AU1637" t="inlineStr"/>
      <c r="AV1637" t="inlineStr">
        <is>
          <t>Kommun</t>
        </is>
      </c>
      <c r="AW1637" t="inlineStr"/>
      <c r="AX1637" t="inlineStr">
        <is>
          <t>2025-06</t>
        </is>
      </c>
      <c r="AY1637" t="inlineStr">
        <is>
          <t>Anmalan</t>
        </is>
      </c>
      <c r="AZ1637" t="inlineStr">
        <is>
          <t>2026-02-03</t>
        </is>
      </c>
      <c r="BA1637" t="inlineStr">
        <is>
          <t>BeslutMiljohandlaggareDB440FB_456087.pdf</t>
        </is>
      </c>
      <c r="BB1637" t="inlineStr">
        <is>
          <t>Anmälan om lagring av avfall,  MIL.2025.531</t>
        </is>
      </c>
      <c r="BC1637" t="inlineStr">
        <is>
          <t>AUTO</t>
        </is>
      </c>
      <c r="BD1637" t="inlineStr"/>
      <c r="BE1637" t="inlineStr"/>
      <c r="BF1637" t="inlineStr">
        <is>
          <t>AUTO_GENERERAD. Bekrafta metadata mot kallfil.</t>
        </is>
      </c>
      <c r="BG1637">
        <f>HYPERLINK("C:\Users\jimmy\Desktop\Examens arbete\Kod\Ny mapp\remix_-copy-of-miljöbeslut.se-portal\BeslutMiljohandlaggareDB440FB_456087.pdf", "Öppna PDF")</f>
        <v/>
      </c>
    </row>
    <row r="1638">
      <c r="A1638" t="inlineStr">
        <is>
          <t>KRAV-AUTO-001637</t>
        </is>
      </c>
      <c r="B1638" t="inlineStr">
        <is>
          <t>ADMIN-INDEX-2026-02-27-00000000125C043F57453246863FE664CAFE6A3F0700950291EA24F0614FB6ACEDB12BF0E31D00000000010C0000950291EA24F0614FB6ACEDB12BF0E31D00002087AEEE0000</t>
        </is>
      </c>
      <c r="C1638" t="inlineStr">
        <is>
          <t>cmm4yuo7901dwcuqwvikd7d0j</t>
        </is>
      </c>
      <c r="D1638" t="inlineStr">
        <is>
          <t>http://localhost:8787/api/admin/requirements/documents/cmm4yuo7901dwcuqwvikd7d0j/view</t>
        </is>
      </c>
      <c r="E1638">
        <f>HYPERLÄNK("http://localhost:8787/api/admin/requirements/documents/cmm4yuo7901dwcuqwvikd7d0j/view";"Öppna PDF")</f>
        <v/>
      </c>
      <c r="F1638">
        <f>HYPERLINK("http://localhost:8787/api/admin/requirements/documents/cmm4yuo7901dwcuqwvikd7d0j/view","Open PDF")</f>
        <v/>
      </c>
      <c r="G1638" t="inlineStr">
        <is>
          <t>cmm55w57p0004cuisfrtpqly8</t>
        </is>
      </c>
      <c r="H1638" t="inlineStr">
        <is>
          <t>Informationskrav</t>
        </is>
      </c>
      <c r="I1638" t="inlineStr">
        <is>
          <t>MiljopaverkanForsiktighet</t>
        </is>
      </c>
      <c r="J1638" t="inlineStr">
        <is>
          <t>Skyddsatgarder</t>
        </is>
      </c>
      <c r="K1638" t="inlineStr">
        <is>
          <t>Förbud att påbörja lagring av icke-farligt avfall enligt anmälan inkommen den 22 maj 2025.</t>
        </is>
      </c>
      <c r="L1638" t="inlineStr">
        <is>
          <t>Förbud att påbörja lagring av icke-farligt avfall enligt anmälan inkommen den 22 maj 2025.</t>
        </is>
      </c>
      <c r="M1638" t="inlineStr">
        <is>
          <t>BOR</t>
        </is>
      </c>
      <c r="N1638" t="inlineStr"/>
      <c r="O1638" t="inlineStr"/>
      <c r="P1638" t="inlineStr">
        <is>
          <t>Arlig</t>
        </is>
      </c>
      <c r="Q1638" t="inlineStr">
        <is>
          <t>Forbud</t>
        </is>
      </c>
      <c r="R1638" t="inlineStr">
        <is>
          <t>Alltid</t>
        </is>
      </c>
      <c r="S1638" t="inlineStr"/>
      <c r="T1638" t="inlineStr"/>
      <c r="U1638" t="inlineStr"/>
      <c r="V1638" t="inlineStr"/>
      <c r="W1638" t="inlineStr">
        <is>
          <t>Nej</t>
        </is>
      </c>
      <c r="X1638" t="inlineStr">
        <is>
          <t>Nej</t>
        </is>
      </c>
      <c r="Y1638" t="inlineStr">
        <is>
          <t>Nej</t>
        </is>
      </c>
      <c r="Z1638" t="inlineStr">
        <is>
          <t>Nej</t>
        </is>
      </c>
      <c r="AA1638" t="n">
        <v>10</v>
      </c>
      <c r="AB1638" t="inlineStr">
        <is>
          <t>Miljopaverkan och forsiktighetsmatt</t>
        </is>
      </c>
      <c r="AC1638" t="inlineStr">
        <is>
          <t>Miljo-PM</t>
        </is>
      </c>
      <c r="AD1638" t="inlineStr">
        <is>
          <t>Nej</t>
        </is>
      </c>
      <c r="AE1638" t="inlineStr">
        <is>
          <t>Nej</t>
        </is>
      </c>
      <c r="AF1638" t="inlineStr">
        <is>
          <t>Ej behandlad</t>
        </is>
      </c>
      <c r="AG1638" t="inlineStr">
        <is>
          <t>AUTO_GENERERAD. Verifiera citat mot kallfil.</t>
        </is>
      </c>
      <c r="AH1638" t="inlineStr">
        <is>
          <t>MEDIUM</t>
        </is>
      </c>
      <c r="AI1638" t="inlineStr">
        <is>
          <t>AUTO</t>
        </is>
      </c>
      <c r="AJ1638" t="inlineStr">
        <is>
          <t>Nej</t>
        </is>
      </c>
      <c r="AK1638" t="inlineStr"/>
      <c r="AL1638" t="inlineStr"/>
      <c r="AM1638" t="inlineStr"/>
      <c r="AN1638" t="inlineStr"/>
      <c r="AO1638" t="inlineStr">
        <is>
          <t>cmm4yuo7901dwcuqwvikd7d0j</t>
        </is>
      </c>
      <c r="AP1638" t="inlineStr">
        <is>
          <t>http://localhost:8787/api/admin/requirements/documents/cmm4yuo7901dwcuqwvikd7d0j/view</t>
        </is>
      </c>
      <c r="AQ1638">
        <f>HYPERLÄNK("http://localhost:8787/api/admin/requirements/documents/cmm4yuo7901dwcuqwvikd7d0j/view";"Öppna PDF")</f>
        <v/>
      </c>
      <c r="AR1638">
        <f>HYPERLINK("http://localhost:8787/api/admin/requirements/documents/cmm4yuo7901dwcuqwvikd7d0j/view","Open PDF")</f>
        <v/>
      </c>
      <c r="AS1638" t="inlineStr">
        <is>
          <t>cmm55w57p0004cuisfrtpqly8</t>
        </is>
      </c>
      <c r="AT1638" t="inlineStr">
        <is>
          <t>cmm4xvu980000cuh4vj0usz09</t>
        </is>
      </c>
      <c r="AU1638" t="inlineStr"/>
      <c r="AV1638" t="inlineStr">
        <is>
          <t>Kommun</t>
        </is>
      </c>
      <c r="AW1638" t="inlineStr"/>
      <c r="AX1638" t="inlineStr">
        <is>
          <t>2025-06</t>
        </is>
      </c>
      <c r="AY1638" t="inlineStr">
        <is>
          <t>Anmalan</t>
        </is>
      </c>
      <c r="AZ1638" t="inlineStr">
        <is>
          <t>2026-02-03</t>
        </is>
      </c>
      <c r="BA1638" t="inlineStr">
        <is>
          <t>BeslutMiljohandlaggareDB440FB_456087.pdf</t>
        </is>
      </c>
      <c r="BB1638" t="inlineStr">
        <is>
          <t>Anmälan om lagring av avfall,  MIL.2025.531</t>
        </is>
      </c>
      <c r="BC1638" t="inlineStr">
        <is>
          <t>AUTO</t>
        </is>
      </c>
      <c r="BD1638" t="inlineStr"/>
      <c r="BE1638" t="inlineStr"/>
      <c r="BF1638" t="inlineStr">
        <is>
          <t>AUTO_GENERERAD. Bekrafta metadata mot kallfil.</t>
        </is>
      </c>
      <c r="BG1638">
        <f>HYPERLINK("C:\Users\jimmy\Desktop\Examens arbete\Kod\Ny mapp\remix_-copy-of-miljöbeslut.se-portal\BeslutMiljohandlaggareDB440FB_456087.pdf", "Öppna PDF")</f>
        <v/>
      </c>
    </row>
    <row r="1639">
      <c r="A1639" t="inlineStr">
        <is>
          <t>KRAV-AUTO-001638</t>
        </is>
      </c>
      <c r="B1639" t="inlineStr">
        <is>
          <t>ADMIN-INDEX-2026-02-27-00000000125C043F57453246863FE664CAFE6A3F0700950291EA24F0614FB6ACEDB12BF0E31D00000000010C0000950291EA24F0614FB6ACEDB12BF0E31D00002087AEEE0000</t>
        </is>
      </c>
      <c r="C1639" t="inlineStr">
        <is>
          <t>cmm4yuo7401dtcuqwa1kucbi3</t>
        </is>
      </c>
      <c r="D1639" t="inlineStr">
        <is>
          <t>http://localhost:8787/api/admin/requirements/documents/cmm4yuo7401dtcuqwa1kucbi3/view</t>
        </is>
      </c>
      <c r="E1639">
        <f>HYPERLÄNK("http://localhost:8787/api/admin/requirements/documents/cmm4yuo7401dtcuqwa1kucbi3/view";"Öppna PDF")</f>
        <v/>
      </c>
      <c r="F1639">
        <f>HYPERLINK("http://localhost:8787/api/admin/requirements/documents/cmm4yuo7401dtcuqwa1kucbi3/view","Open PDF")</f>
        <v/>
      </c>
      <c r="G1639" t="inlineStr">
        <is>
          <t>cmm55w57p0004cuisfrtpqly8</t>
        </is>
      </c>
      <c r="H1639" t="inlineStr">
        <is>
          <t>Informationskrav</t>
        </is>
      </c>
      <c r="I1639" t="inlineStr">
        <is>
          <t>Riskhantering</t>
        </is>
      </c>
      <c r="J1639" t="inlineStr">
        <is>
          <t>Riskkontroll</t>
        </is>
      </c>
      <c r="K1639" t="inlineStr">
        <is>
          <t>Du behöver hålla dig informerade om och även se till att personal som hanterar avfallet har de nödvändiga kunskaper om vilka risker, skyddsåtgärder och regler som gäller för transporten.</t>
        </is>
      </c>
      <c r="L1639" t="inlineStr">
        <is>
          <t>Du behöver hålla dig informerade om och även se till att personal som hanterar avfallet har de nödvändiga kunskaper om vilka risker, skyddsåtgärder och regler som gäller för transporten.</t>
        </is>
      </c>
      <c r="M1639" t="inlineStr">
        <is>
          <t>SKA</t>
        </is>
      </c>
      <c r="N1639" t="inlineStr"/>
      <c r="O1639" t="inlineStr"/>
      <c r="P1639" t="inlineStr"/>
      <c r="Q1639" t="inlineStr"/>
      <c r="R1639" t="inlineStr">
        <is>
          <t>Vid risk for incident</t>
        </is>
      </c>
      <c r="S1639" t="inlineStr"/>
      <c r="T1639" t="inlineStr">
        <is>
          <t>556135</t>
        </is>
      </c>
      <c r="U1639" t="inlineStr"/>
      <c r="V1639" t="inlineStr"/>
      <c r="W1639" t="inlineStr">
        <is>
          <t>Nej</t>
        </is>
      </c>
      <c r="X1639" t="inlineStr">
        <is>
          <t>Nej</t>
        </is>
      </c>
      <c r="Y1639" t="inlineStr">
        <is>
          <t>Ja</t>
        </is>
      </c>
      <c r="Z1639" t="inlineStr">
        <is>
          <t>Ja</t>
        </is>
      </c>
      <c r="AA1639" t="n">
        <v>8</v>
      </c>
      <c r="AB1639" t="inlineStr">
        <is>
          <t>Riskhantering</t>
        </is>
      </c>
      <c r="AC1639" t="inlineStr">
        <is>
          <t>Risk-PM</t>
        </is>
      </c>
      <c r="AD1639" t="inlineStr">
        <is>
          <t>Nej</t>
        </is>
      </c>
      <c r="AE1639" t="inlineStr">
        <is>
          <t>Nej</t>
        </is>
      </c>
      <c r="AF1639" t="inlineStr">
        <is>
          <t>Ej behandlad</t>
        </is>
      </c>
      <c r="AG1639" t="inlineStr">
        <is>
          <t>AUTO_GENERERAD. Verifiera citat mot kallfil.</t>
        </is>
      </c>
      <c r="AH1639" t="inlineStr">
        <is>
          <t>MEDIUM</t>
        </is>
      </c>
      <c r="AI1639" t="inlineStr">
        <is>
          <t>AUTO</t>
        </is>
      </c>
      <c r="AJ1639" t="inlineStr">
        <is>
          <t>Nej</t>
        </is>
      </c>
      <c r="AK1639" t="inlineStr"/>
      <c r="AL1639" t="inlineStr"/>
      <c r="AM1639" t="inlineStr"/>
      <c r="AN1639" t="inlineStr"/>
      <c r="AO1639" t="inlineStr">
        <is>
          <t>cmm4yuo7901dwcuqwvikd7d0j</t>
        </is>
      </c>
      <c r="AP1639" t="inlineStr">
        <is>
          <t>http://localhost:8787/api/admin/requirements/documents/cmm4yuo7901dwcuqwvikd7d0j/view</t>
        </is>
      </c>
      <c r="AQ1639">
        <f>HYPERLÄNK("http://localhost:8787/api/admin/requirements/documents/cmm4yuo7901dwcuqwvikd7d0j/view";"Öppna PDF")</f>
        <v/>
      </c>
      <c r="AR1639">
        <f>HYPERLINK("http://localhost:8787/api/admin/requirements/documents/cmm4yuo7901dwcuqwvikd7d0j/view","Open PDF")</f>
        <v/>
      </c>
      <c r="AS1639" t="inlineStr">
        <is>
          <t>cmm55w57p0004cuisfrtpqly8</t>
        </is>
      </c>
      <c r="AT1639" t="inlineStr">
        <is>
          <t>cmm4xvu980000cuh4vj0usz09</t>
        </is>
      </c>
      <c r="AU1639" t="inlineStr"/>
      <c r="AV1639" t="inlineStr">
        <is>
          <t>Kommun</t>
        </is>
      </c>
      <c r="AW1639" t="inlineStr"/>
      <c r="AX1639" t="inlineStr">
        <is>
          <t>2025-06</t>
        </is>
      </c>
      <c r="AY1639" t="inlineStr">
        <is>
          <t>Anmalan</t>
        </is>
      </c>
      <c r="AZ1639" t="inlineStr">
        <is>
          <t>2026-02-03</t>
        </is>
      </c>
      <c r="BA1639" t="inlineStr">
        <is>
          <t>BeslutMiljohandlaggareDB440FB_456087.pdf</t>
        </is>
      </c>
      <c r="BB1639" t="inlineStr">
        <is>
          <t>Anmälan om lagring av avfall,  MIL.2025.531</t>
        </is>
      </c>
      <c r="BC1639" t="inlineStr">
        <is>
          <t>AUTO</t>
        </is>
      </c>
      <c r="BD1639" t="inlineStr"/>
      <c r="BE1639" t="inlineStr"/>
      <c r="BF1639" t="inlineStr">
        <is>
          <t>AUTO_GENERERAD. Bekrafta metadata mot kallfil.</t>
        </is>
      </c>
      <c r="BG1639">
        <f>HYPERLINK("C:\Users\jimmy\Desktop\Examens arbete\Kod\Ny mapp\remix_-copy-of-miljöbeslut.se-portal\BeslutMiljohandlaggareDB440FB_456087.pdf", "Öppna PDF")</f>
        <v/>
      </c>
    </row>
    <row r="1640">
      <c r="A1640" t="inlineStr">
        <is>
          <t>KRAV-AUTO-001639</t>
        </is>
      </c>
      <c r="B1640" t="inlineStr">
        <is>
          <t>ADMIN-INDEX-2026-02-27-00000000125C043F57453246863FE664CAFE6A3F0700950291EA24F0614FB6ACEDB12BF0E31D00000000010C0000950291EA24F0614FB6ACEDB12BF0E31D00002087AEEE0000</t>
        </is>
      </c>
      <c r="C1640" t="inlineStr">
        <is>
          <t>cmm4yuo7401dtcuqwa1kucbi3</t>
        </is>
      </c>
      <c r="D1640" t="inlineStr">
        <is>
          <t>http://localhost:8787/api/admin/requirements/documents/cmm4yuo7401dtcuqwa1kucbi3/view</t>
        </is>
      </c>
      <c r="E1640">
        <f>HYPERLÄNK("http://localhost:8787/api/admin/requirements/documents/cmm4yuo7401dtcuqwa1kucbi3/view";"Öppna PDF")</f>
        <v/>
      </c>
      <c r="F1640">
        <f>HYPERLINK("http://localhost:8787/api/admin/requirements/documents/cmm4yuo7401dtcuqwa1kucbi3/view","Open PDF")</f>
        <v/>
      </c>
      <c r="G1640" t="inlineStr">
        <is>
          <t>cmm55w57p0004cuisfrtpqly8</t>
        </is>
      </c>
      <c r="H1640" t="inlineStr">
        <is>
          <t>Informationskrav</t>
        </is>
      </c>
      <c r="I1640" t="inlineStr">
        <is>
          <t>Riskhantering</t>
        </is>
      </c>
      <c r="J1640" t="inlineStr">
        <is>
          <t>Riskkontroll</t>
        </is>
      </c>
      <c r="K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0" t="inlineStr">
        <is>
          <t>SKA</t>
        </is>
      </c>
      <c r="N1640" t="inlineStr"/>
      <c r="O1640" t="inlineStr"/>
      <c r="P1640" t="inlineStr">
        <is>
          <t>Arlig</t>
        </is>
      </c>
      <c r="Q1640" t="inlineStr"/>
      <c r="R1640" t="inlineStr">
        <is>
          <t>Vid risk for incident</t>
        </is>
      </c>
      <c r="S1640" t="inlineStr"/>
      <c r="T1640" t="inlineStr">
        <is>
          <t>556135</t>
        </is>
      </c>
      <c r="U1640" t="inlineStr"/>
      <c r="V1640" t="inlineStr"/>
      <c r="W1640" t="inlineStr">
        <is>
          <t>Nej</t>
        </is>
      </c>
      <c r="X1640" t="inlineStr">
        <is>
          <t>Nej</t>
        </is>
      </c>
      <c r="Y1640" t="inlineStr">
        <is>
          <t>Ja</t>
        </is>
      </c>
      <c r="Z1640" t="inlineStr">
        <is>
          <t>Ja</t>
        </is>
      </c>
      <c r="AA1640" t="n">
        <v>8</v>
      </c>
      <c r="AB1640" t="inlineStr">
        <is>
          <t>Riskhantering</t>
        </is>
      </c>
      <c r="AC1640" t="inlineStr">
        <is>
          <t>Risk-PM</t>
        </is>
      </c>
      <c r="AD1640" t="inlineStr">
        <is>
          <t>Nej</t>
        </is>
      </c>
      <c r="AE1640" t="inlineStr">
        <is>
          <t>Nej</t>
        </is>
      </c>
      <c r="AF1640" t="inlineStr">
        <is>
          <t>Ej behandlad</t>
        </is>
      </c>
      <c r="AG1640" t="inlineStr">
        <is>
          <t>AUTO_GENERERAD. Verifiera citat mot kallfil.</t>
        </is>
      </c>
      <c r="AH1640" t="inlineStr">
        <is>
          <t>MEDIUM</t>
        </is>
      </c>
      <c r="AI1640" t="inlineStr">
        <is>
          <t>AUTO</t>
        </is>
      </c>
      <c r="AJ1640" t="inlineStr">
        <is>
          <t>Nej</t>
        </is>
      </c>
      <c r="AK1640" t="inlineStr"/>
      <c r="AL1640" t="inlineStr"/>
      <c r="AM1640" t="inlineStr"/>
      <c r="AN1640" t="inlineStr"/>
      <c r="AO1640" t="inlineStr">
        <is>
          <t>cmm4yuo7901dwcuqwvikd7d0j</t>
        </is>
      </c>
      <c r="AP1640" t="inlineStr">
        <is>
          <t>http://localhost:8787/api/admin/requirements/documents/cmm4yuo7901dwcuqwvikd7d0j/view</t>
        </is>
      </c>
      <c r="AQ1640">
        <f>HYPERLÄNK("http://localhost:8787/api/admin/requirements/documents/cmm4yuo7901dwcuqwvikd7d0j/view";"Öppna PDF")</f>
        <v/>
      </c>
      <c r="AR1640">
        <f>HYPERLINK("http://localhost:8787/api/admin/requirements/documents/cmm4yuo7901dwcuqwvikd7d0j/view","Open PDF")</f>
        <v/>
      </c>
      <c r="AS1640" t="inlineStr">
        <is>
          <t>cmm55w57p0004cuisfrtpqly8</t>
        </is>
      </c>
      <c r="AT1640" t="inlineStr">
        <is>
          <t>cmm4xvu980000cuh4vj0usz09</t>
        </is>
      </c>
      <c r="AU1640" t="inlineStr"/>
      <c r="AV1640" t="inlineStr">
        <is>
          <t>Kommun</t>
        </is>
      </c>
      <c r="AW1640" t="inlineStr"/>
      <c r="AX1640" t="inlineStr">
        <is>
          <t>2025-06</t>
        </is>
      </c>
      <c r="AY1640" t="inlineStr">
        <is>
          <t>Anmalan</t>
        </is>
      </c>
      <c r="AZ1640" t="inlineStr">
        <is>
          <t>2026-02-03</t>
        </is>
      </c>
      <c r="BA1640" t="inlineStr">
        <is>
          <t>BeslutMiljohandlaggareDB440FB_456087.pdf</t>
        </is>
      </c>
      <c r="BB1640" t="inlineStr">
        <is>
          <t>Anmälan om lagring av avfall,  MIL.2025.531</t>
        </is>
      </c>
      <c r="BC1640" t="inlineStr">
        <is>
          <t>AUTO</t>
        </is>
      </c>
      <c r="BD1640" t="inlineStr"/>
      <c r="BE1640" t="inlineStr"/>
      <c r="BF1640" t="inlineStr">
        <is>
          <t>AUTO_GENERERAD. Bekrafta metadata mot kallfil.</t>
        </is>
      </c>
      <c r="BG1640">
        <f>HYPERLINK("C:\Users\jimmy\Desktop\Examens arbete\Kod\Ny mapp\remix_-copy-of-miljöbeslut.se-portal\BeslutMiljohandlaggareDB440FB_456087.pdf", "Öppna PDF")</f>
        <v/>
      </c>
    </row>
    <row r="1641">
      <c r="A1641" t="inlineStr">
        <is>
          <t>KRAV-AUTO-001640</t>
        </is>
      </c>
      <c r="B1641" t="inlineStr">
        <is>
          <t>ADMIN-INDEX-2026-02-27-00000000125C043F57453246863FE664CAFE6A3F0700950291EA24F0614FB6ACEDB12BF0E31D00000000010C0000950291EA24F0614FB6ACEDB12BF0E31D00002087AEEE0000</t>
        </is>
      </c>
      <c r="C1641" t="inlineStr">
        <is>
          <t>cmm4yuo7401dtcuqwa1kucbi3</t>
        </is>
      </c>
      <c r="D1641" t="inlineStr">
        <is>
          <t>http://localhost:8787/api/admin/requirements/documents/cmm4yuo7401dtcuqwa1kucbi3/view</t>
        </is>
      </c>
      <c r="E1641">
        <f>HYPERLÄNK("http://localhost:8787/api/admin/requirements/documents/cmm4yuo7401dtcuqwa1kucbi3/view";"Öppna PDF")</f>
        <v/>
      </c>
      <c r="F1641">
        <f>HYPERLINK("http://localhost:8787/api/admin/requirements/documents/cmm4yuo7401dtcuqwa1kucbi3/view","Open PDF")</f>
        <v/>
      </c>
      <c r="G1641" t="inlineStr">
        <is>
          <t>cmm55w57p0004cuisfrtpqly8</t>
        </is>
      </c>
      <c r="H1641" t="inlineStr">
        <is>
          <t>Informationskrav</t>
        </is>
      </c>
      <c r="I1641" t="inlineStr">
        <is>
          <t>TransportLogistik</t>
        </is>
      </c>
      <c r="J1641" t="inlineStr">
        <is>
          <t>Transportvagar</t>
        </is>
      </c>
      <c r="K1641" t="inlineStr">
        <is>
          <t>Villkor för transport av farligt avfall 8.</t>
        </is>
      </c>
      <c r="L1641" t="inlineStr">
        <is>
          <t>Villkor för transport av farligt avfall 8.</t>
        </is>
      </c>
      <c r="M1641" t="inlineStr">
        <is>
          <t>INFO</t>
        </is>
      </c>
      <c r="N1641" t="inlineStr"/>
      <c r="O1641" t="inlineStr"/>
      <c r="P1641" t="inlineStr">
        <is>
          <t>Arlig</t>
        </is>
      </c>
      <c r="Q1641" t="inlineStr"/>
      <c r="R1641" t="inlineStr">
        <is>
          <t>Vid transporter</t>
        </is>
      </c>
      <c r="S1641" t="inlineStr"/>
      <c r="T1641" t="inlineStr">
        <is>
          <t>556135</t>
        </is>
      </c>
      <c r="U1641" t="inlineStr"/>
      <c r="V1641" t="inlineStr"/>
      <c r="W1641" t="inlineStr">
        <is>
          <t>Nej</t>
        </is>
      </c>
      <c r="X1641" t="inlineStr">
        <is>
          <t>Nej</t>
        </is>
      </c>
      <c r="Y1641" t="inlineStr">
        <is>
          <t>Nej</t>
        </is>
      </c>
      <c r="Z1641" t="inlineStr">
        <is>
          <t>Ja</t>
        </is>
      </c>
      <c r="AA1641" t="n">
        <v>9</v>
      </c>
      <c r="AB1641" t="inlineStr">
        <is>
          <t>Transporter och logistik</t>
        </is>
      </c>
      <c r="AC1641" t="inlineStr">
        <is>
          <t>Trafikplan</t>
        </is>
      </c>
      <c r="AD1641" t="inlineStr">
        <is>
          <t>Nej</t>
        </is>
      </c>
      <c r="AE1641" t="inlineStr">
        <is>
          <t>Nej</t>
        </is>
      </c>
      <c r="AF1641" t="inlineStr">
        <is>
          <t>Ej behandlad</t>
        </is>
      </c>
      <c r="AG1641" t="inlineStr">
        <is>
          <t>AUTO_GENERERAD. Verifiera citat mot kallfil.</t>
        </is>
      </c>
      <c r="AH1641" t="inlineStr">
        <is>
          <t>MEDIUM</t>
        </is>
      </c>
      <c r="AI1641" t="inlineStr">
        <is>
          <t>AUTO</t>
        </is>
      </c>
      <c r="AJ1641" t="inlineStr">
        <is>
          <t>Nej</t>
        </is>
      </c>
      <c r="AK1641" t="inlineStr"/>
      <c r="AL1641" t="inlineStr"/>
      <c r="AM1641" t="inlineStr"/>
      <c r="AN1641" t="inlineStr"/>
      <c r="AO1641" t="inlineStr">
        <is>
          <t>cmm4yuo7901dwcuqwvikd7d0j</t>
        </is>
      </c>
      <c r="AP1641" t="inlineStr">
        <is>
          <t>http://localhost:8787/api/admin/requirements/documents/cmm4yuo7901dwcuqwvikd7d0j/view</t>
        </is>
      </c>
      <c r="AQ1641">
        <f>HYPERLÄNK("http://localhost:8787/api/admin/requirements/documents/cmm4yuo7901dwcuqwvikd7d0j/view";"Öppna PDF")</f>
        <v/>
      </c>
      <c r="AR1641">
        <f>HYPERLINK("http://localhost:8787/api/admin/requirements/documents/cmm4yuo7901dwcuqwvikd7d0j/view","Open PDF")</f>
        <v/>
      </c>
      <c r="AS1641" t="inlineStr">
        <is>
          <t>cmm55w57p0004cuisfrtpqly8</t>
        </is>
      </c>
      <c r="AT1641" t="inlineStr">
        <is>
          <t>cmm4xvu980000cuh4vj0usz09</t>
        </is>
      </c>
      <c r="AU1641" t="inlineStr"/>
      <c r="AV1641" t="inlineStr">
        <is>
          <t>Kommun</t>
        </is>
      </c>
      <c r="AW1641" t="inlineStr"/>
      <c r="AX1641" t="inlineStr">
        <is>
          <t>2025-06</t>
        </is>
      </c>
      <c r="AY1641" t="inlineStr">
        <is>
          <t>Anmalan</t>
        </is>
      </c>
      <c r="AZ1641" t="inlineStr">
        <is>
          <t>2026-02-03</t>
        </is>
      </c>
      <c r="BA1641" t="inlineStr">
        <is>
          <t>BeslutMiljohandlaggareDB440FB_456087.pdf</t>
        </is>
      </c>
      <c r="BB1641" t="inlineStr">
        <is>
          <t>Anmälan om lagring av avfall,  MIL.2025.531</t>
        </is>
      </c>
      <c r="BC1641" t="inlineStr">
        <is>
          <t>AUTO</t>
        </is>
      </c>
      <c r="BD1641" t="inlineStr"/>
      <c r="BE1641" t="inlineStr"/>
      <c r="BF1641" t="inlineStr">
        <is>
          <t>AUTO_GENERERAD. Bekrafta metadata mot kallfil.</t>
        </is>
      </c>
      <c r="BG1641">
        <f>HYPERLINK("C:\Users\jimmy\Desktop\Examens arbete\Kod\Ny mapp\remix_-copy-of-miljöbeslut.se-portal\BeslutMiljohandlaggareDB440FB_456087.pdf", "Öppna PDF")</f>
        <v/>
      </c>
    </row>
    <row r="1642">
      <c r="A1642" t="inlineStr">
        <is>
          <t>KRAV-AUTO-001641</t>
        </is>
      </c>
      <c r="B1642" t="inlineStr">
        <is>
          <t>ADMIN-INDEX-2026-02-27-00000000125C043F57453246863FE664CAFE6A3F0700950291EA24F0614FB6ACEDB12BF0E31D00000000010C0000950291EA24F0614FB6ACEDB12BF0E31D00002087AEEE0000</t>
        </is>
      </c>
      <c r="C1642" t="inlineStr">
        <is>
          <t>cmm4yuo7001dqcuqwvizenob6</t>
        </is>
      </c>
      <c r="D1642" t="inlineStr">
        <is>
          <t>http://localhost:8787/api/admin/requirements/documents/cmm4yuo7001dqcuqwvizenob6/view</t>
        </is>
      </c>
      <c r="E1642">
        <f>HYPERLÄNK("http://localhost:8787/api/admin/requirements/documents/cmm4yuo7001dqcuqwvizenob6/view";"Öppna PDF")</f>
        <v/>
      </c>
      <c r="F1642">
        <f>HYPERLINK("http://localhost:8787/api/admin/requirements/documents/cmm4yuo7001dqcuqwvizenob6/view","Open PDF")</f>
        <v/>
      </c>
      <c r="G1642" t="inlineStr">
        <is>
          <t>cmm55w57p0004cuisfrtpqly8</t>
        </is>
      </c>
      <c r="H1642" t="inlineStr">
        <is>
          <t>Informationskrav</t>
        </is>
      </c>
      <c r="I1642" t="inlineStr">
        <is>
          <t>Riskhantering</t>
        </is>
      </c>
      <c r="J1642" t="inlineStr">
        <is>
          <t>Riskkontroll</t>
        </is>
      </c>
      <c r="K1642" t="inlineStr">
        <is>
          <t>Ni ska hålla er informerade om och se till att personal som hanterar avfall, har nödvändiga kunskaper om vilka risker, skyddsåtgärder och regler som gäller för transporten.</t>
        </is>
      </c>
      <c r="L1642" t="inlineStr">
        <is>
          <t>Ni ska hålla er informerade om och se till att personal som hanterar avfall, har nödvändiga kunskaper om vilka risker, skyddsåtgärder och regler som gäller för transporten.</t>
        </is>
      </c>
      <c r="M1642" t="inlineStr">
        <is>
          <t>SKA</t>
        </is>
      </c>
      <c r="N1642" t="inlineStr"/>
      <c r="O1642" t="inlineStr"/>
      <c r="P1642" t="inlineStr"/>
      <c r="Q1642" t="inlineStr"/>
      <c r="R1642" t="inlineStr">
        <is>
          <t>Vid risk for incident</t>
        </is>
      </c>
      <c r="S1642" t="inlineStr"/>
      <c r="T1642" t="inlineStr">
        <is>
          <t>559251</t>
        </is>
      </c>
      <c r="U1642" t="inlineStr"/>
      <c r="V1642" t="inlineStr"/>
      <c r="W1642" t="inlineStr">
        <is>
          <t>Nej</t>
        </is>
      </c>
      <c r="X1642" t="inlineStr">
        <is>
          <t>Nej</t>
        </is>
      </c>
      <c r="Y1642" t="inlineStr">
        <is>
          <t>Ja</t>
        </is>
      </c>
      <c r="Z1642" t="inlineStr">
        <is>
          <t>Ja</t>
        </is>
      </c>
      <c r="AA1642" t="n">
        <v>8</v>
      </c>
      <c r="AB1642" t="inlineStr">
        <is>
          <t>Riskhantering</t>
        </is>
      </c>
      <c r="AC1642" t="inlineStr">
        <is>
          <t>Risk-PM</t>
        </is>
      </c>
      <c r="AD1642" t="inlineStr">
        <is>
          <t>Nej</t>
        </is>
      </c>
      <c r="AE1642" t="inlineStr">
        <is>
          <t>Nej</t>
        </is>
      </c>
      <c r="AF1642" t="inlineStr">
        <is>
          <t>Ej behandlad</t>
        </is>
      </c>
      <c r="AG1642" t="inlineStr">
        <is>
          <t>AUTO_GENERERAD. Verifiera citat mot kallfil.</t>
        </is>
      </c>
      <c r="AH1642" t="inlineStr">
        <is>
          <t>MEDIUM</t>
        </is>
      </c>
      <c r="AI1642" t="inlineStr">
        <is>
          <t>AUTO</t>
        </is>
      </c>
      <c r="AJ1642" t="inlineStr">
        <is>
          <t>Nej</t>
        </is>
      </c>
      <c r="AK1642" t="inlineStr"/>
      <c r="AL1642" t="inlineStr"/>
      <c r="AM1642" t="inlineStr"/>
      <c r="AN1642" t="inlineStr"/>
      <c r="AO1642" t="inlineStr">
        <is>
          <t>cmm4yuo7901dwcuqwvikd7d0j</t>
        </is>
      </c>
      <c r="AP1642" t="inlineStr">
        <is>
          <t>http://localhost:8787/api/admin/requirements/documents/cmm4yuo7901dwcuqwvikd7d0j/view</t>
        </is>
      </c>
      <c r="AQ1642">
        <f>HYPERLÄNK("http://localhost:8787/api/admin/requirements/documents/cmm4yuo7901dwcuqwvikd7d0j/view";"Öppna PDF")</f>
        <v/>
      </c>
      <c r="AR1642">
        <f>HYPERLINK("http://localhost:8787/api/admin/requirements/documents/cmm4yuo7901dwcuqwvikd7d0j/view","Open PDF")</f>
        <v/>
      </c>
      <c r="AS1642" t="inlineStr">
        <is>
          <t>cmm55w57p0004cuisfrtpqly8</t>
        </is>
      </c>
      <c r="AT1642" t="inlineStr">
        <is>
          <t>cmm4xvu980000cuh4vj0usz09</t>
        </is>
      </c>
      <c r="AU1642" t="inlineStr"/>
      <c r="AV1642" t="inlineStr">
        <is>
          <t>Kommun</t>
        </is>
      </c>
      <c r="AW1642" t="inlineStr"/>
      <c r="AX1642" t="inlineStr">
        <is>
          <t>2025-06</t>
        </is>
      </c>
      <c r="AY1642" t="inlineStr">
        <is>
          <t>Anmalan</t>
        </is>
      </c>
      <c r="AZ1642" t="inlineStr">
        <is>
          <t>2026-02-03</t>
        </is>
      </c>
      <c r="BA1642" t="inlineStr">
        <is>
          <t>BeslutMiljohandlaggareDB440FB_456087.pdf</t>
        </is>
      </c>
      <c r="BB1642" t="inlineStr">
        <is>
          <t>Anmälan om lagring av avfall,  MIL.2025.531</t>
        </is>
      </c>
      <c r="BC1642" t="inlineStr">
        <is>
          <t>AUTO</t>
        </is>
      </c>
      <c r="BD1642" t="inlineStr"/>
      <c r="BE1642" t="inlineStr"/>
      <c r="BF1642" t="inlineStr">
        <is>
          <t>AUTO_GENERERAD. Bekrafta metadata mot kallfil.</t>
        </is>
      </c>
      <c r="BG1642">
        <f>HYPERLINK("C:\Users\jimmy\Desktop\Examens arbete\Kod\Ny mapp\remix_-copy-of-miljöbeslut.se-portal\BeslutMiljohandlaggareDB440FB_456087.pdf", "Öppna PDF")</f>
        <v/>
      </c>
    </row>
    <row r="1643">
      <c r="A1643" t="inlineStr">
        <is>
          <t>KRAV-AUTO-001642</t>
        </is>
      </c>
      <c r="B1643" t="inlineStr">
        <is>
          <t>ADMIN-INDEX-2026-02-27-00000000125C043F57453246863FE664CAFE6A3F0700950291EA24F0614FB6ACEDB12BF0E31D00000000010C0000950291EA24F0614FB6ACEDB12BF0E31D00002087AEEE0000</t>
        </is>
      </c>
      <c r="C1643" t="inlineStr">
        <is>
          <t>cmm4yuo7001dqcuqwvizenob6</t>
        </is>
      </c>
      <c r="D1643" t="inlineStr">
        <is>
          <t>http://localhost:8787/api/admin/requirements/documents/cmm4yuo7001dqcuqwvizenob6/view</t>
        </is>
      </c>
      <c r="E1643">
        <f>HYPERLÄNK("http://localhost:8787/api/admin/requirements/documents/cmm4yuo7001dqcuqwvizenob6/view";"Öppna PDF")</f>
        <v/>
      </c>
      <c r="F1643">
        <f>HYPERLINK("http://localhost:8787/api/admin/requirements/documents/cmm4yuo7001dqcuqwvizenob6/view","Open PDF")</f>
        <v/>
      </c>
      <c r="G1643" t="inlineStr">
        <is>
          <t>cmm55w57p0004cuisfrtpqly8</t>
        </is>
      </c>
      <c r="H1643" t="inlineStr">
        <is>
          <t>Informationskrav</t>
        </is>
      </c>
      <c r="I1643" t="inlineStr">
        <is>
          <t>TransportLogistik</t>
        </is>
      </c>
      <c r="J1643" t="inlineStr">
        <is>
          <t>Transportvagar</t>
        </is>
      </c>
      <c r="K1643" t="inlineStr">
        <is>
          <t>Ni ska se till att alla fordon som avses användas till transport av avfall är trafikförsäkrade.</t>
        </is>
      </c>
      <c r="L1643" t="inlineStr">
        <is>
          <t>Ni ska se till att alla fordon som avses användas till transport av avfall är trafikförsäkrade.</t>
        </is>
      </c>
      <c r="M1643" t="inlineStr">
        <is>
          <t>SKA</t>
        </is>
      </c>
      <c r="N1643" t="inlineStr"/>
      <c r="O1643" t="inlineStr"/>
      <c r="P1643" t="inlineStr"/>
      <c r="Q1643" t="inlineStr"/>
      <c r="R1643" t="inlineStr">
        <is>
          <t>Vid transporter</t>
        </is>
      </c>
      <c r="S1643" t="inlineStr"/>
      <c r="T1643" t="inlineStr">
        <is>
          <t>559251</t>
        </is>
      </c>
      <c r="U1643" t="inlineStr"/>
      <c r="V1643" t="inlineStr"/>
      <c r="W1643" t="inlineStr">
        <is>
          <t>Nej</t>
        </is>
      </c>
      <c r="X1643" t="inlineStr">
        <is>
          <t>Nej</t>
        </is>
      </c>
      <c r="Y1643" t="inlineStr">
        <is>
          <t>Nej</t>
        </is>
      </c>
      <c r="Z1643" t="inlineStr">
        <is>
          <t>Ja</t>
        </is>
      </c>
      <c r="AA1643" t="n">
        <v>9</v>
      </c>
      <c r="AB1643" t="inlineStr">
        <is>
          <t>Transporter och logistik</t>
        </is>
      </c>
      <c r="AC1643" t="inlineStr">
        <is>
          <t>Trafikplan</t>
        </is>
      </c>
      <c r="AD1643" t="inlineStr">
        <is>
          <t>Nej</t>
        </is>
      </c>
      <c r="AE1643" t="inlineStr">
        <is>
          <t>Nej</t>
        </is>
      </c>
      <c r="AF1643" t="inlineStr">
        <is>
          <t>Ej behandlad</t>
        </is>
      </c>
      <c r="AG1643" t="inlineStr">
        <is>
          <t>AUTO_GENERERAD. Verifiera citat mot kallfil.</t>
        </is>
      </c>
      <c r="AH1643" t="inlineStr">
        <is>
          <t>MEDIUM</t>
        </is>
      </c>
      <c r="AI1643" t="inlineStr">
        <is>
          <t>AUTO</t>
        </is>
      </c>
      <c r="AJ1643" t="inlineStr">
        <is>
          <t>Nej</t>
        </is>
      </c>
      <c r="AK1643" t="inlineStr"/>
      <c r="AL1643" t="inlineStr"/>
      <c r="AM1643" t="inlineStr"/>
      <c r="AN1643" t="inlineStr"/>
      <c r="AO1643" t="inlineStr">
        <is>
          <t>cmm4yuo7901dwcuqwvikd7d0j</t>
        </is>
      </c>
      <c r="AP1643" t="inlineStr">
        <is>
          <t>http://localhost:8787/api/admin/requirements/documents/cmm4yuo7901dwcuqwvikd7d0j/view</t>
        </is>
      </c>
      <c r="AQ1643">
        <f>HYPERLÄNK("http://localhost:8787/api/admin/requirements/documents/cmm4yuo7901dwcuqwvikd7d0j/view";"Öppna PDF")</f>
        <v/>
      </c>
      <c r="AR1643">
        <f>HYPERLINK("http://localhost:8787/api/admin/requirements/documents/cmm4yuo7901dwcuqwvikd7d0j/view","Open PDF")</f>
        <v/>
      </c>
      <c r="AS1643" t="inlineStr">
        <is>
          <t>cmm55w57p0004cuisfrtpqly8</t>
        </is>
      </c>
      <c r="AT1643" t="inlineStr">
        <is>
          <t>cmm4xvu980000cuh4vj0usz09</t>
        </is>
      </c>
      <c r="AU1643" t="inlineStr"/>
      <c r="AV1643" t="inlineStr">
        <is>
          <t>Kommun</t>
        </is>
      </c>
      <c r="AW1643" t="inlineStr"/>
      <c r="AX1643" t="inlineStr">
        <is>
          <t>2025-06</t>
        </is>
      </c>
      <c r="AY1643" t="inlineStr">
        <is>
          <t>Anmalan</t>
        </is>
      </c>
      <c r="AZ1643" t="inlineStr">
        <is>
          <t>2026-02-03</t>
        </is>
      </c>
      <c r="BA1643" t="inlineStr">
        <is>
          <t>BeslutMiljohandlaggareDB440FB_456087.pdf</t>
        </is>
      </c>
      <c r="BB1643" t="inlineStr">
        <is>
          <t>Anmälan om lagring av avfall,  MIL.2025.531</t>
        </is>
      </c>
      <c r="BC1643" t="inlineStr">
        <is>
          <t>AUTO</t>
        </is>
      </c>
      <c r="BD1643" t="inlineStr"/>
      <c r="BE1643" t="inlineStr"/>
      <c r="BF1643" t="inlineStr">
        <is>
          <t>AUTO_GENERERAD. Bekrafta metadata mot kallfil.</t>
        </is>
      </c>
      <c r="BG1643">
        <f>HYPERLINK("C:\Users\jimmy\Desktop\Examens arbete\Kod\Ny mapp\remix_-copy-of-miljöbeslut.se-portal\BeslutMiljohandlaggareDB440FB_456087.pdf", "Öppna PDF")</f>
        <v/>
      </c>
    </row>
    <row r="1644">
      <c r="A1644" t="inlineStr">
        <is>
          <t>KRAV-AUTO-001643</t>
        </is>
      </c>
      <c r="B1644" t="inlineStr">
        <is>
          <t>ADMIN-INDEX-2026-02-27-00000000125C043F57453246863FE664CAFE6A3F0700950291EA24F0614FB6ACEDB12BF0E31D00000000010C0000950291EA24F0614FB6ACEDB12BF0E31D00002087AEEE0000</t>
        </is>
      </c>
      <c r="C1644" t="inlineStr">
        <is>
          <t>cmm4yuo7001dqcuqwvizenob6</t>
        </is>
      </c>
      <c r="D1644" t="inlineStr">
        <is>
          <t>http://localhost:8787/api/admin/requirements/documents/cmm4yuo7001dqcuqwvizenob6/view</t>
        </is>
      </c>
      <c r="E1644">
        <f>HYPERLÄNK("http://localhost:8787/api/admin/requirements/documents/cmm4yuo7001dqcuqwvizenob6/view";"Öppna PDF")</f>
        <v/>
      </c>
      <c r="F1644">
        <f>HYPERLINK("http://localhost:8787/api/admin/requirements/documents/cmm4yuo7001dqcuqwvizenob6/view","Open PDF")</f>
        <v/>
      </c>
      <c r="G1644" t="inlineStr">
        <is>
          <t>cmm55w57p0004cuisfrtpqly8</t>
        </is>
      </c>
      <c r="H1644" t="inlineStr">
        <is>
          <t>Informationskrav</t>
        </is>
      </c>
      <c r="I1644" t="inlineStr">
        <is>
          <t>TransportLogistik</t>
        </is>
      </c>
      <c r="J1644" t="inlineStr">
        <is>
          <t>Transportvagar</t>
        </is>
      </c>
      <c r="K1644" t="inlineStr">
        <is>
          <t>Kopia av detta tillstånd ska kunna nås från varje fordon som transporterar avfall enligt detta tillstånd.</t>
        </is>
      </c>
      <c r="L1644" t="inlineStr">
        <is>
          <t>Kopia av detta tillstånd ska kunna nås från varje fordon som transporterar avfall enligt detta tillstånd.</t>
        </is>
      </c>
      <c r="M1644" t="inlineStr">
        <is>
          <t>SKA</t>
        </is>
      </c>
      <c r="N1644" t="inlineStr"/>
      <c r="O1644" t="inlineStr"/>
      <c r="P1644" t="inlineStr"/>
      <c r="Q1644" t="inlineStr"/>
      <c r="R1644" t="inlineStr">
        <is>
          <t>Vid transporter</t>
        </is>
      </c>
      <c r="S1644" t="inlineStr"/>
      <c r="T1644" t="inlineStr">
        <is>
          <t>559251</t>
        </is>
      </c>
      <c r="U1644" t="inlineStr"/>
      <c r="V1644" t="inlineStr"/>
      <c r="W1644" t="inlineStr">
        <is>
          <t>Nej</t>
        </is>
      </c>
      <c r="X1644" t="inlineStr">
        <is>
          <t>Nej</t>
        </is>
      </c>
      <c r="Y1644" t="inlineStr">
        <is>
          <t>Nej</t>
        </is>
      </c>
      <c r="Z1644" t="inlineStr">
        <is>
          <t>Ja</t>
        </is>
      </c>
      <c r="AA1644" t="n">
        <v>9</v>
      </c>
      <c r="AB1644" t="inlineStr">
        <is>
          <t>Transporter och logistik</t>
        </is>
      </c>
      <c r="AC1644" t="inlineStr">
        <is>
          <t>Trafikplan</t>
        </is>
      </c>
      <c r="AD1644" t="inlineStr">
        <is>
          <t>Nej</t>
        </is>
      </c>
      <c r="AE1644" t="inlineStr">
        <is>
          <t>Nej</t>
        </is>
      </c>
      <c r="AF1644" t="inlineStr">
        <is>
          <t>Ej behandlad</t>
        </is>
      </c>
      <c r="AG1644" t="inlineStr">
        <is>
          <t>AUTO_GENERERAD. Verifiera citat mot kallfil.</t>
        </is>
      </c>
      <c r="AH1644" t="inlineStr">
        <is>
          <t>MEDIUM</t>
        </is>
      </c>
      <c r="AI1644" t="inlineStr">
        <is>
          <t>AUTO</t>
        </is>
      </c>
      <c r="AJ1644" t="inlineStr">
        <is>
          <t>Nej</t>
        </is>
      </c>
      <c r="AK1644" t="inlineStr"/>
      <c r="AL1644" t="inlineStr"/>
      <c r="AM1644" t="inlineStr"/>
      <c r="AN1644" t="inlineStr"/>
      <c r="AO1644" t="inlineStr">
        <is>
          <t>cmm4yuo7901dwcuqwvikd7d0j</t>
        </is>
      </c>
      <c r="AP1644" t="inlineStr">
        <is>
          <t>http://localhost:8787/api/admin/requirements/documents/cmm4yuo7901dwcuqwvikd7d0j/view</t>
        </is>
      </c>
      <c r="AQ1644">
        <f>HYPERLÄNK("http://localhost:8787/api/admin/requirements/documents/cmm4yuo7901dwcuqwvikd7d0j/view";"Öppna PDF")</f>
        <v/>
      </c>
      <c r="AR1644">
        <f>HYPERLINK("http://localhost:8787/api/admin/requirements/documents/cmm4yuo7901dwcuqwvikd7d0j/view","Open PDF")</f>
        <v/>
      </c>
      <c r="AS1644" t="inlineStr">
        <is>
          <t>cmm55w57p0004cuisfrtpqly8</t>
        </is>
      </c>
      <c r="AT1644" t="inlineStr">
        <is>
          <t>cmm4xvu980000cuh4vj0usz09</t>
        </is>
      </c>
      <c r="AU1644" t="inlineStr"/>
      <c r="AV1644" t="inlineStr">
        <is>
          <t>Kommun</t>
        </is>
      </c>
      <c r="AW1644" t="inlineStr"/>
      <c r="AX1644" t="inlineStr">
        <is>
          <t>2025-06</t>
        </is>
      </c>
      <c r="AY1644" t="inlineStr">
        <is>
          <t>Anmalan</t>
        </is>
      </c>
      <c r="AZ1644" t="inlineStr">
        <is>
          <t>2026-02-03</t>
        </is>
      </c>
      <c r="BA1644" t="inlineStr">
        <is>
          <t>BeslutMiljohandlaggareDB440FB_456087.pdf</t>
        </is>
      </c>
      <c r="BB1644" t="inlineStr">
        <is>
          <t>Anmälan om lagring av avfall,  MIL.2025.531</t>
        </is>
      </c>
      <c r="BC1644" t="inlineStr">
        <is>
          <t>AUTO</t>
        </is>
      </c>
      <c r="BD1644" t="inlineStr"/>
      <c r="BE1644" t="inlineStr"/>
      <c r="BF1644" t="inlineStr">
        <is>
          <t>AUTO_GENERERAD. Bekrafta metadata mot kallfil.</t>
        </is>
      </c>
      <c r="BG1644">
        <f>HYPERLINK("C:\Users\jimmy\Desktop\Examens arbete\Kod\Ny mapp\remix_-copy-of-miljöbeslut.se-portal\BeslutMiljohandlaggareDB440FB_456087.pdf", "Öppna PDF")</f>
        <v/>
      </c>
    </row>
    <row r="1645">
      <c r="A1645" t="inlineStr">
        <is>
          <t>KRAV-AUTO-001644</t>
        </is>
      </c>
      <c r="B1645" t="inlineStr">
        <is>
          <t>ADMIN-INDEX-2026-02-27-00000000125C043F57453246863FE664CAFE6A3F0700950291EA24F0614FB6ACEDB12BF0E31D00000000010C0000950291EA24F0614FB6ACEDB12BF0E31D00002087AEEE0000</t>
        </is>
      </c>
      <c r="C1645" t="inlineStr">
        <is>
          <t>cmm4yuo6x01dncuqwimm138qy</t>
        </is>
      </c>
      <c r="D1645" t="inlineStr">
        <is>
          <t>http://localhost:8787/api/admin/requirements/documents/cmm4yuo6x01dncuqwimm138qy/view</t>
        </is>
      </c>
      <c r="E1645">
        <f>HYPERLÄNK("http://localhost:8787/api/admin/requirements/documents/cmm4yuo6x01dncuqwimm138qy/view";"Öppna PDF")</f>
        <v/>
      </c>
      <c r="F1645">
        <f>HYPERLINK("http://localhost:8787/api/admin/requirements/documents/cmm4yuo6x01dncuqwimm138qy/view","Open PDF")</f>
        <v/>
      </c>
      <c r="G1645" t="inlineStr">
        <is>
          <t>cmm55w57p0004cuisfrtpqly8</t>
        </is>
      </c>
      <c r="H1645" t="inlineStr">
        <is>
          <t>Informationskrav</t>
        </is>
      </c>
      <c r="I1645" t="inlineStr">
        <is>
          <t>Riskhantering</t>
        </is>
      </c>
      <c r="J1645" t="inlineStr">
        <is>
          <t>Riskkontroll</t>
        </is>
      </c>
      <c r="K1645" t="inlineStr">
        <is>
          <t>Ni behöver hålla er informerade om och även se till att personal som hanterar avfallet har de nödvändiga kunskaper om vilka risker, skyddsåtgärder och regler som gäller för transporten.</t>
        </is>
      </c>
      <c r="L1645" t="inlineStr">
        <is>
          <t>Ni behöver hålla er informerade om och även se till att personal som hanterar avfallet har de nödvändiga kunskaper om vilka risker, skyddsåtgärder och regler som gäller för transporten.</t>
        </is>
      </c>
      <c r="M1645" t="inlineStr">
        <is>
          <t>SKA</t>
        </is>
      </c>
      <c r="N1645" t="inlineStr"/>
      <c r="O1645" t="inlineStr"/>
      <c r="P1645" t="inlineStr"/>
      <c r="Q1645" t="inlineStr"/>
      <c r="R1645" t="inlineStr">
        <is>
          <t>Vid risk for incident</t>
        </is>
      </c>
      <c r="S1645" t="inlineStr"/>
      <c r="T1645" t="inlineStr">
        <is>
          <t>556069</t>
        </is>
      </c>
      <c r="U1645" t="inlineStr"/>
      <c r="V1645" t="inlineStr"/>
      <c r="W1645" t="inlineStr">
        <is>
          <t>Nej</t>
        </is>
      </c>
      <c r="X1645" t="inlineStr">
        <is>
          <t>Nej</t>
        </is>
      </c>
      <c r="Y1645" t="inlineStr">
        <is>
          <t>Ja</t>
        </is>
      </c>
      <c r="Z1645" t="inlineStr">
        <is>
          <t>Ja</t>
        </is>
      </c>
      <c r="AA1645" t="n">
        <v>8</v>
      </c>
      <c r="AB1645" t="inlineStr">
        <is>
          <t>Riskhantering</t>
        </is>
      </c>
      <c r="AC1645" t="inlineStr">
        <is>
          <t>Risk-PM</t>
        </is>
      </c>
      <c r="AD1645" t="inlineStr">
        <is>
          <t>Nej</t>
        </is>
      </c>
      <c r="AE1645" t="inlineStr">
        <is>
          <t>Nej</t>
        </is>
      </c>
      <c r="AF1645" t="inlineStr">
        <is>
          <t>Ej behandlad</t>
        </is>
      </c>
      <c r="AG1645" t="inlineStr">
        <is>
          <t>AUTO_GENERERAD. Verifiera citat mot kallfil.</t>
        </is>
      </c>
      <c r="AH1645" t="inlineStr">
        <is>
          <t>MEDIUM</t>
        </is>
      </c>
      <c r="AI1645" t="inlineStr">
        <is>
          <t>AUTO</t>
        </is>
      </c>
      <c r="AJ1645" t="inlineStr">
        <is>
          <t>Nej</t>
        </is>
      </c>
      <c r="AK1645" t="inlineStr"/>
      <c r="AL1645" t="inlineStr"/>
      <c r="AM1645" t="inlineStr"/>
      <c r="AN1645" t="inlineStr"/>
      <c r="AO1645" t="inlineStr">
        <is>
          <t>cmm4yuo7901dwcuqwvikd7d0j</t>
        </is>
      </c>
      <c r="AP1645" t="inlineStr">
        <is>
          <t>http://localhost:8787/api/admin/requirements/documents/cmm4yuo7901dwcuqwvikd7d0j/view</t>
        </is>
      </c>
      <c r="AQ1645">
        <f>HYPERLÄNK("http://localhost:8787/api/admin/requirements/documents/cmm4yuo7901dwcuqwvikd7d0j/view";"Öppna PDF")</f>
        <v/>
      </c>
      <c r="AR1645">
        <f>HYPERLINK("http://localhost:8787/api/admin/requirements/documents/cmm4yuo7901dwcuqwvikd7d0j/view","Open PDF")</f>
        <v/>
      </c>
      <c r="AS1645" t="inlineStr">
        <is>
          <t>cmm55w57p0004cuisfrtpqly8</t>
        </is>
      </c>
      <c r="AT1645" t="inlineStr">
        <is>
          <t>cmm4xvu980000cuh4vj0usz09</t>
        </is>
      </c>
      <c r="AU1645" t="inlineStr"/>
      <c r="AV1645" t="inlineStr">
        <is>
          <t>Kommun</t>
        </is>
      </c>
      <c r="AW1645" t="inlineStr"/>
      <c r="AX1645" t="inlineStr">
        <is>
          <t>2025-06</t>
        </is>
      </c>
      <c r="AY1645" t="inlineStr">
        <is>
          <t>Anmalan</t>
        </is>
      </c>
      <c r="AZ1645" t="inlineStr">
        <is>
          <t>2026-02-03</t>
        </is>
      </c>
      <c r="BA1645" t="inlineStr">
        <is>
          <t>BeslutMiljohandlaggareDB440FB_456087.pdf</t>
        </is>
      </c>
      <c r="BB1645" t="inlineStr">
        <is>
          <t>Anmälan om lagring av avfall,  MIL.2025.531</t>
        </is>
      </c>
      <c r="BC1645" t="inlineStr">
        <is>
          <t>AUTO</t>
        </is>
      </c>
      <c r="BD1645" t="inlineStr"/>
      <c r="BE1645" t="inlineStr"/>
      <c r="BF1645" t="inlineStr">
        <is>
          <t>AUTO_GENERERAD. Bekrafta metadata mot kallfil.</t>
        </is>
      </c>
      <c r="BG1645">
        <f>HYPERLINK("C:\Users\jimmy\Desktop\Examens arbete\Kod\Ny mapp\remix_-copy-of-miljöbeslut.se-portal\BeslutMiljohandlaggareDB440FB_456087.pdf", "Öppna PDF")</f>
        <v/>
      </c>
    </row>
    <row r="1646">
      <c r="A1646" t="inlineStr">
        <is>
          <t>KRAV-AUTO-001645</t>
        </is>
      </c>
      <c r="B1646" t="inlineStr">
        <is>
          <t>ADMIN-INDEX-2026-02-27-00000000125C043F57453246863FE664CAFE6A3F0700950291EA24F0614FB6ACEDB12BF0E31D00000000010C0000950291EA24F0614FB6ACEDB12BF0E31D00002087AEEE0000</t>
        </is>
      </c>
      <c r="C1646" t="inlineStr">
        <is>
          <t>cmm4yuo6x01dncuqwimm138qy</t>
        </is>
      </c>
      <c r="D1646" t="inlineStr">
        <is>
          <t>http://localhost:8787/api/admin/requirements/documents/cmm4yuo6x01dncuqwimm138qy/view</t>
        </is>
      </c>
      <c r="E1646">
        <f>HYPERLÄNK("http://localhost:8787/api/admin/requirements/documents/cmm4yuo6x01dncuqwimm138qy/view";"Öppna PDF")</f>
        <v/>
      </c>
      <c r="F1646">
        <f>HYPERLINK("http://localhost:8787/api/admin/requirements/documents/cmm4yuo6x01dncuqwimm138qy/view","Open PDF")</f>
        <v/>
      </c>
      <c r="G1646" t="inlineStr">
        <is>
          <t>cmm55w57p0004cuisfrtpqly8</t>
        </is>
      </c>
      <c r="H1646" t="inlineStr">
        <is>
          <t>Informationskrav</t>
        </is>
      </c>
      <c r="I1646" t="inlineStr">
        <is>
          <t>Riskhantering</t>
        </is>
      </c>
      <c r="J1646" t="inlineStr">
        <is>
          <t>Riskkontroll</t>
        </is>
      </c>
      <c r="K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6" t="inlineStr">
        <is>
          <t>SKA</t>
        </is>
      </c>
      <c r="N1646" t="inlineStr"/>
      <c r="O1646" t="inlineStr"/>
      <c r="P1646" t="inlineStr">
        <is>
          <t>Arlig</t>
        </is>
      </c>
      <c r="Q1646" t="inlineStr"/>
      <c r="R1646" t="inlineStr">
        <is>
          <t>Vid risk for incident</t>
        </is>
      </c>
      <c r="S1646" t="inlineStr"/>
      <c r="T1646" t="inlineStr">
        <is>
          <t>556069</t>
        </is>
      </c>
      <c r="U1646" t="inlineStr"/>
      <c r="V1646" t="inlineStr"/>
      <c r="W1646" t="inlineStr">
        <is>
          <t>Nej</t>
        </is>
      </c>
      <c r="X1646" t="inlineStr">
        <is>
          <t>Nej</t>
        </is>
      </c>
      <c r="Y1646" t="inlineStr">
        <is>
          <t>Ja</t>
        </is>
      </c>
      <c r="Z1646" t="inlineStr">
        <is>
          <t>Ja</t>
        </is>
      </c>
      <c r="AA1646" t="n">
        <v>8</v>
      </c>
      <c r="AB1646" t="inlineStr">
        <is>
          <t>Riskhantering</t>
        </is>
      </c>
      <c r="AC1646" t="inlineStr">
        <is>
          <t>Risk-PM</t>
        </is>
      </c>
      <c r="AD1646" t="inlineStr">
        <is>
          <t>Nej</t>
        </is>
      </c>
      <c r="AE1646" t="inlineStr">
        <is>
          <t>Nej</t>
        </is>
      </c>
      <c r="AF1646" t="inlineStr">
        <is>
          <t>Ej behandlad</t>
        </is>
      </c>
      <c r="AG1646" t="inlineStr">
        <is>
          <t>AUTO_GENERERAD. Verifiera citat mot kallfil.</t>
        </is>
      </c>
      <c r="AH1646" t="inlineStr">
        <is>
          <t>MEDIUM</t>
        </is>
      </c>
      <c r="AI1646" t="inlineStr">
        <is>
          <t>AUTO</t>
        </is>
      </c>
      <c r="AJ1646" t="inlineStr">
        <is>
          <t>Nej</t>
        </is>
      </c>
      <c r="AK1646" t="inlineStr"/>
      <c r="AL1646" t="inlineStr"/>
      <c r="AM1646" t="inlineStr"/>
      <c r="AN1646" t="inlineStr"/>
      <c r="AO1646" t="inlineStr">
        <is>
          <t>cmm4yuo7901dwcuqwvikd7d0j</t>
        </is>
      </c>
      <c r="AP1646" t="inlineStr">
        <is>
          <t>http://localhost:8787/api/admin/requirements/documents/cmm4yuo7901dwcuqwvikd7d0j/view</t>
        </is>
      </c>
      <c r="AQ1646">
        <f>HYPERLÄNK("http://localhost:8787/api/admin/requirements/documents/cmm4yuo7901dwcuqwvikd7d0j/view";"Öppna PDF")</f>
        <v/>
      </c>
      <c r="AR1646">
        <f>HYPERLINK("http://localhost:8787/api/admin/requirements/documents/cmm4yuo7901dwcuqwvikd7d0j/view","Open PDF")</f>
        <v/>
      </c>
      <c r="AS1646" t="inlineStr">
        <is>
          <t>cmm55w57p0004cuisfrtpqly8</t>
        </is>
      </c>
      <c r="AT1646" t="inlineStr">
        <is>
          <t>cmm4xvu980000cuh4vj0usz09</t>
        </is>
      </c>
      <c r="AU1646" t="inlineStr"/>
      <c r="AV1646" t="inlineStr">
        <is>
          <t>Kommun</t>
        </is>
      </c>
      <c r="AW1646" t="inlineStr"/>
      <c r="AX1646" t="inlineStr">
        <is>
          <t>2025-06</t>
        </is>
      </c>
      <c r="AY1646" t="inlineStr">
        <is>
          <t>Anmalan</t>
        </is>
      </c>
      <c r="AZ1646" t="inlineStr">
        <is>
          <t>2026-02-03</t>
        </is>
      </c>
      <c r="BA1646" t="inlineStr">
        <is>
          <t>BeslutMiljohandlaggareDB440FB_456087.pdf</t>
        </is>
      </c>
      <c r="BB1646" t="inlineStr">
        <is>
          <t>Anmälan om lagring av avfall,  MIL.2025.531</t>
        </is>
      </c>
      <c r="BC1646" t="inlineStr">
        <is>
          <t>AUTO</t>
        </is>
      </c>
      <c r="BD1646" t="inlineStr"/>
      <c r="BE1646" t="inlineStr"/>
      <c r="BF1646" t="inlineStr">
        <is>
          <t>AUTO_GENERERAD. Bekrafta metadata mot kallfil.</t>
        </is>
      </c>
      <c r="BG1646">
        <f>HYPERLINK("C:\Users\jimmy\Desktop\Examens arbete\Kod\Ny mapp\remix_-copy-of-miljöbeslut.se-portal\BeslutMiljohandlaggareDB440FB_456087.pdf", "Öppna PDF")</f>
        <v/>
      </c>
    </row>
    <row r="1647">
      <c r="A1647" t="inlineStr">
        <is>
          <t>KRAV-AUTO-001646</t>
        </is>
      </c>
      <c r="B1647" t="inlineStr">
        <is>
          <t>ADMIN-INDEX-2026-02-27-00000000125C043F57453246863FE664CAFE6A3F0700950291EA24F0614FB6ACEDB12BF0E31D00000000010C0000950291EA24F0614FB6ACEDB12BF0E31D00002087AEEE0000</t>
        </is>
      </c>
      <c r="C1647" t="inlineStr">
        <is>
          <t>cmm4yuo6x01dncuqwimm138qy</t>
        </is>
      </c>
      <c r="D1647" t="inlineStr">
        <is>
          <t>http://localhost:8787/api/admin/requirements/documents/cmm4yuo6x01dncuqwimm138qy/view</t>
        </is>
      </c>
      <c r="E1647">
        <f>HYPERLÄNK("http://localhost:8787/api/admin/requirements/documents/cmm4yuo6x01dncuqwimm138qy/view";"Öppna PDF")</f>
        <v/>
      </c>
      <c r="F1647">
        <f>HYPERLINK("http://localhost:8787/api/admin/requirements/documents/cmm4yuo6x01dncuqwimm138qy/view","Open PDF")</f>
        <v/>
      </c>
      <c r="G1647" t="inlineStr">
        <is>
          <t>cmm55w57p0004cuisfrtpqly8</t>
        </is>
      </c>
      <c r="H1647" t="inlineStr">
        <is>
          <t>Informationskrav</t>
        </is>
      </c>
      <c r="I1647" t="inlineStr">
        <is>
          <t>TransportLogistik</t>
        </is>
      </c>
      <c r="J1647" t="inlineStr">
        <is>
          <t>Transportvagar</t>
        </is>
      </c>
      <c r="K1647" t="inlineStr">
        <is>
          <t>Villkor för transport av farligt avfall 8.</t>
        </is>
      </c>
      <c r="L1647" t="inlineStr">
        <is>
          <t>Villkor för transport av farligt avfall 8.</t>
        </is>
      </c>
      <c r="M1647" t="inlineStr">
        <is>
          <t>INFO</t>
        </is>
      </c>
      <c r="N1647" t="inlineStr"/>
      <c r="O1647" t="inlineStr"/>
      <c r="P1647" t="inlineStr">
        <is>
          <t>Arlig</t>
        </is>
      </c>
      <c r="Q1647" t="inlineStr"/>
      <c r="R1647" t="inlineStr">
        <is>
          <t>Vid transporter</t>
        </is>
      </c>
      <c r="S1647" t="inlineStr"/>
      <c r="T1647" t="inlineStr">
        <is>
          <t>556069</t>
        </is>
      </c>
      <c r="U1647" t="inlineStr"/>
      <c r="V1647" t="inlineStr"/>
      <c r="W1647" t="inlineStr">
        <is>
          <t>Nej</t>
        </is>
      </c>
      <c r="X1647" t="inlineStr">
        <is>
          <t>Nej</t>
        </is>
      </c>
      <c r="Y1647" t="inlineStr">
        <is>
          <t>Nej</t>
        </is>
      </c>
      <c r="Z1647" t="inlineStr">
        <is>
          <t>Ja</t>
        </is>
      </c>
      <c r="AA1647" t="n">
        <v>9</v>
      </c>
      <c r="AB1647" t="inlineStr">
        <is>
          <t>Transporter och logistik</t>
        </is>
      </c>
      <c r="AC1647" t="inlineStr">
        <is>
          <t>Trafikplan</t>
        </is>
      </c>
      <c r="AD1647" t="inlineStr">
        <is>
          <t>Nej</t>
        </is>
      </c>
      <c r="AE1647" t="inlineStr">
        <is>
          <t>Nej</t>
        </is>
      </c>
      <c r="AF1647" t="inlineStr">
        <is>
          <t>Ej behandlad</t>
        </is>
      </c>
      <c r="AG1647" t="inlineStr">
        <is>
          <t>AUTO_GENERERAD. Verifiera citat mot kallfil.</t>
        </is>
      </c>
      <c r="AH1647" t="inlineStr">
        <is>
          <t>MEDIUM</t>
        </is>
      </c>
      <c r="AI1647" t="inlineStr">
        <is>
          <t>AUTO</t>
        </is>
      </c>
      <c r="AJ1647" t="inlineStr">
        <is>
          <t>Nej</t>
        </is>
      </c>
      <c r="AK1647" t="inlineStr"/>
      <c r="AL1647" t="inlineStr"/>
      <c r="AM1647" t="inlineStr"/>
      <c r="AN1647" t="inlineStr"/>
      <c r="AO1647" t="inlineStr">
        <is>
          <t>cmm4yuo7901dwcuqwvikd7d0j</t>
        </is>
      </c>
      <c r="AP1647" t="inlineStr">
        <is>
          <t>http://localhost:8787/api/admin/requirements/documents/cmm4yuo7901dwcuqwvikd7d0j/view</t>
        </is>
      </c>
      <c r="AQ1647">
        <f>HYPERLÄNK("http://localhost:8787/api/admin/requirements/documents/cmm4yuo7901dwcuqwvikd7d0j/view";"Öppna PDF")</f>
        <v/>
      </c>
      <c r="AR1647">
        <f>HYPERLINK("http://localhost:8787/api/admin/requirements/documents/cmm4yuo7901dwcuqwvikd7d0j/view","Open PDF")</f>
        <v/>
      </c>
      <c r="AS1647" t="inlineStr">
        <is>
          <t>cmm55w57p0004cuisfrtpqly8</t>
        </is>
      </c>
      <c r="AT1647" t="inlineStr">
        <is>
          <t>cmm4xvu980000cuh4vj0usz09</t>
        </is>
      </c>
      <c r="AU1647" t="inlineStr"/>
      <c r="AV1647" t="inlineStr">
        <is>
          <t>Kommun</t>
        </is>
      </c>
      <c r="AW1647" t="inlineStr"/>
      <c r="AX1647" t="inlineStr">
        <is>
          <t>2025-06</t>
        </is>
      </c>
      <c r="AY1647" t="inlineStr">
        <is>
          <t>Anmalan</t>
        </is>
      </c>
      <c r="AZ1647" t="inlineStr">
        <is>
          <t>2026-02-03</t>
        </is>
      </c>
      <c r="BA1647" t="inlineStr">
        <is>
          <t>BeslutMiljohandlaggareDB440FB_456087.pdf</t>
        </is>
      </c>
      <c r="BB1647" t="inlineStr">
        <is>
          <t>Anmälan om lagring av avfall,  MIL.2025.531</t>
        </is>
      </c>
      <c r="BC1647" t="inlineStr">
        <is>
          <t>AUTO</t>
        </is>
      </c>
      <c r="BD1647" t="inlineStr"/>
      <c r="BE1647" t="inlineStr"/>
      <c r="BF1647" t="inlineStr">
        <is>
          <t>AUTO_GENERERAD. Bekrafta metadata mot kallfil.</t>
        </is>
      </c>
      <c r="BG1647">
        <f>HYPERLINK("C:\Users\jimmy\Desktop\Examens arbete\Kod\Ny mapp\remix_-copy-of-miljöbeslut.se-portal\BeslutMiljohandlaggareDB440FB_456087.pdf", "Öppna PDF")</f>
        <v/>
      </c>
    </row>
    <row r="1648">
      <c r="A1648" t="inlineStr">
        <is>
          <t>KRAV-AUTO-001647</t>
        </is>
      </c>
      <c r="B1648" t="inlineStr">
        <is>
          <t>ADMIN-INDEX-2026-02-27-00000000125C043F57453246863FE664CAFE6A3F0700950291EA24F0614FB6ACEDB12BF0E31D00000000010C0000950291EA24F0614FB6ACEDB12BF0E31D00002087AEEE0000</t>
        </is>
      </c>
      <c r="C1648" t="inlineStr">
        <is>
          <t>cmm4yuo6s01dkcuqwrdu2a83h</t>
        </is>
      </c>
      <c r="D1648" t="inlineStr">
        <is>
          <t>http://localhost:8787/api/admin/requirements/documents/cmm4yuo6s01dkcuqwrdu2a83h/view</t>
        </is>
      </c>
      <c r="E1648">
        <f>HYPERLÄNK("http://localhost:8787/api/admin/requirements/documents/cmm4yuo6s01dkcuqwrdu2a83h/view";"Öppna PDF")</f>
        <v/>
      </c>
      <c r="F1648">
        <f>HYPERLINK("http://localhost:8787/api/admin/requirements/documents/cmm4yuo6s01dkcuqwrdu2a83h/view","Open PDF")</f>
        <v/>
      </c>
      <c r="G1648" t="inlineStr">
        <is>
          <t>cmm55w57p0004cuisfrtpqly8</t>
        </is>
      </c>
      <c r="H1648" t="inlineStr">
        <is>
          <t>Informationskrav</t>
        </is>
      </c>
      <c r="I1648" t="inlineStr">
        <is>
          <t>DagvattenLakvatten</t>
        </is>
      </c>
      <c r="J1648" t="inlineStr">
        <is>
          <t>Uppsamling</t>
        </is>
      </c>
      <c r="K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48" t="inlineStr">
        <is>
          <t>BOR</t>
        </is>
      </c>
      <c r="N1648" t="inlineStr"/>
      <c r="O1648" t="inlineStr"/>
      <c r="P1648" t="inlineStr"/>
      <c r="Q1648" t="inlineStr"/>
      <c r="R1648" t="inlineStr">
        <is>
          <t>Vid nederbord och avrinning</t>
        </is>
      </c>
      <c r="S1648" t="inlineStr"/>
      <c r="T1648" t="inlineStr">
        <is>
          <t>556764</t>
        </is>
      </c>
      <c r="U1648" t="inlineStr"/>
      <c r="V1648" t="inlineStr"/>
      <c r="W1648" t="inlineStr">
        <is>
          <t>Nej</t>
        </is>
      </c>
      <c r="X1648" t="inlineStr">
        <is>
          <t>Ja</t>
        </is>
      </c>
      <c r="Y1648" t="inlineStr">
        <is>
          <t>Ja</t>
        </is>
      </c>
      <c r="Z1648" t="inlineStr">
        <is>
          <t>Nej</t>
        </is>
      </c>
      <c r="AA1648" t="n">
        <v>6</v>
      </c>
      <c r="AB1648" t="inlineStr">
        <is>
          <t>Lakvattenhantering</t>
        </is>
      </c>
      <c r="AC1648" t="inlineStr">
        <is>
          <t>Flodesschema dagvatten-lakvatten</t>
        </is>
      </c>
      <c r="AD1648" t="inlineStr">
        <is>
          <t>Nej</t>
        </is>
      </c>
      <c r="AE1648" t="inlineStr">
        <is>
          <t>Nej</t>
        </is>
      </c>
      <c r="AF1648" t="inlineStr">
        <is>
          <t>Ej behandlad</t>
        </is>
      </c>
      <c r="AG1648" t="inlineStr">
        <is>
          <t>AUTO_GENERERAD. Verifiera citat mot kallfil.</t>
        </is>
      </c>
      <c r="AH1648" t="inlineStr">
        <is>
          <t>MEDIUM</t>
        </is>
      </c>
      <c r="AI1648" t="inlineStr">
        <is>
          <t>AUTO</t>
        </is>
      </c>
      <c r="AJ1648" t="inlineStr">
        <is>
          <t>Nej</t>
        </is>
      </c>
      <c r="AK1648" t="inlineStr"/>
      <c r="AL1648" t="inlineStr"/>
      <c r="AM1648" t="inlineStr"/>
      <c r="AN1648" t="inlineStr"/>
      <c r="AO1648" t="inlineStr">
        <is>
          <t>cmm4yuo7901dwcuqwvikd7d0j</t>
        </is>
      </c>
      <c r="AP1648" t="inlineStr">
        <is>
          <t>http://localhost:8787/api/admin/requirements/documents/cmm4yuo7901dwcuqwvikd7d0j/view</t>
        </is>
      </c>
      <c r="AQ1648">
        <f>HYPERLÄNK("http://localhost:8787/api/admin/requirements/documents/cmm4yuo7901dwcuqwvikd7d0j/view";"Öppna PDF")</f>
        <v/>
      </c>
      <c r="AR1648">
        <f>HYPERLINK("http://localhost:8787/api/admin/requirements/documents/cmm4yuo7901dwcuqwvikd7d0j/view","Open PDF")</f>
        <v/>
      </c>
      <c r="AS1648" t="inlineStr">
        <is>
          <t>cmm55w57p0004cuisfrtpqly8</t>
        </is>
      </c>
      <c r="AT1648" t="inlineStr">
        <is>
          <t>cmm4xvu980000cuh4vj0usz09</t>
        </is>
      </c>
      <c r="AU1648" t="inlineStr"/>
      <c r="AV1648" t="inlineStr">
        <is>
          <t>Kommun</t>
        </is>
      </c>
      <c r="AW1648" t="inlineStr"/>
      <c r="AX1648" t="inlineStr">
        <is>
          <t>2025-06</t>
        </is>
      </c>
      <c r="AY1648" t="inlineStr">
        <is>
          <t>Anmalan</t>
        </is>
      </c>
      <c r="AZ1648" t="inlineStr">
        <is>
          <t>2026-02-03</t>
        </is>
      </c>
      <c r="BA1648" t="inlineStr">
        <is>
          <t>BeslutMiljohandlaggareDB440FB_456087.pdf</t>
        </is>
      </c>
      <c r="BB1648" t="inlineStr">
        <is>
          <t>Anmälan om lagring av avfall,  MIL.2025.531</t>
        </is>
      </c>
      <c r="BC1648" t="inlineStr">
        <is>
          <t>AUTO</t>
        </is>
      </c>
      <c r="BD1648" t="inlineStr"/>
      <c r="BE1648" t="inlineStr"/>
      <c r="BF1648" t="inlineStr">
        <is>
          <t>AUTO_GENERERAD. Bekrafta metadata mot kallfil.</t>
        </is>
      </c>
      <c r="BG1648">
        <f>HYPERLINK("C:\Users\jimmy\Desktop\Examens arbete\Kod\Ny mapp\remix_-copy-of-miljöbeslut.se-portal\BeslutMiljohandlaggareDB440FB_456087.pdf", "Öppna PDF")</f>
        <v/>
      </c>
    </row>
    <row r="1649">
      <c r="A1649" t="inlineStr">
        <is>
          <t>KRAV-AUTO-001648</t>
        </is>
      </c>
      <c r="B1649" t="inlineStr">
        <is>
          <t>ADMIN-INDEX-2026-02-27-00000000125C043F57453246863FE664CAFE6A3F0700950291EA24F0614FB6ACEDB12BF0E31D00000000010C0000950291EA24F0614FB6ACEDB12BF0E31D00002087AEEE0000</t>
        </is>
      </c>
      <c r="C1649" t="inlineStr">
        <is>
          <t>cmm4yuo6s01dkcuqwrdu2a83h</t>
        </is>
      </c>
      <c r="D1649" t="inlineStr">
        <is>
          <t>http://localhost:8787/api/admin/requirements/documents/cmm4yuo6s01dkcuqwrdu2a83h/view</t>
        </is>
      </c>
      <c r="E1649">
        <f>HYPERLÄNK("http://localhost:8787/api/admin/requirements/documents/cmm4yuo6s01dkcuqwrdu2a83h/view";"Öppna PDF")</f>
        <v/>
      </c>
      <c r="F1649">
        <f>HYPERLINK("http://localhost:8787/api/admin/requirements/documents/cmm4yuo6s01dkcuqwrdu2a83h/view","Open PDF")</f>
        <v/>
      </c>
      <c r="G1649" t="inlineStr">
        <is>
          <t>cmm55w57p0004cuisfrtpqly8</t>
        </is>
      </c>
      <c r="H1649" t="inlineStr">
        <is>
          <t>Informationskrav</t>
        </is>
      </c>
      <c r="I1649" t="inlineStr">
        <is>
          <t>DagvattenLakvatten</t>
        </is>
      </c>
      <c r="J1649" t="inlineStr">
        <is>
          <t>Uppsamling</t>
        </is>
      </c>
      <c r="K1649" t="inlineStr">
        <is>
          <t>Är lakvattendammen torrlagd ska orsak identifieras och läckage åtgärdas innan upplagsplats får användas.</t>
        </is>
      </c>
      <c r="L1649" t="inlineStr">
        <is>
          <t>Är lakvattendammen torrlagd ska orsak identifieras och läckage åtgärdas innan upplagsplats får användas.</t>
        </is>
      </c>
      <c r="M1649" t="inlineStr">
        <is>
          <t>SKA</t>
        </is>
      </c>
      <c r="N1649" t="inlineStr"/>
      <c r="O1649" t="inlineStr"/>
      <c r="P1649" t="inlineStr"/>
      <c r="Q1649" t="inlineStr"/>
      <c r="R1649" t="inlineStr">
        <is>
          <t>Vid nederbord och avrinning</t>
        </is>
      </c>
      <c r="S1649" t="inlineStr"/>
      <c r="T1649" t="inlineStr">
        <is>
          <t>556764</t>
        </is>
      </c>
      <c r="U1649" t="inlineStr"/>
      <c r="V1649" t="inlineStr"/>
      <c r="W1649" t="inlineStr">
        <is>
          <t>Nej</t>
        </is>
      </c>
      <c r="X1649" t="inlineStr">
        <is>
          <t>Ja</t>
        </is>
      </c>
      <c r="Y1649" t="inlineStr">
        <is>
          <t>Ja</t>
        </is>
      </c>
      <c r="Z1649" t="inlineStr">
        <is>
          <t>Nej</t>
        </is>
      </c>
      <c r="AA1649" t="n">
        <v>6</v>
      </c>
      <c r="AB1649" t="inlineStr">
        <is>
          <t>Lakvattenhantering</t>
        </is>
      </c>
      <c r="AC1649" t="inlineStr">
        <is>
          <t>Flodesschema dagvatten-lakvatten</t>
        </is>
      </c>
      <c r="AD1649" t="inlineStr">
        <is>
          <t>Nej</t>
        </is>
      </c>
      <c r="AE1649" t="inlineStr">
        <is>
          <t>Nej</t>
        </is>
      </c>
      <c r="AF1649" t="inlineStr">
        <is>
          <t>Ej behandlad</t>
        </is>
      </c>
      <c r="AG1649" t="inlineStr">
        <is>
          <t>AUTO_GENERERAD. Verifiera citat mot kallfil.</t>
        </is>
      </c>
      <c r="AH1649" t="inlineStr">
        <is>
          <t>MEDIUM</t>
        </is>
      </c>
      <c r="AI1649" t="inlineStr">
        <is>
          <t>AUTO</t>
        </is>
      </c>
      <c r="AJ1649" t="inlineStr">
        <is>
          <t>Nej</t>
        </is>
      </c>
      <c r="AK1649" t="inlineStr"/>
      <c r="AL1649" t="inlineStr"/>
      <c r="AM1649" t="inlineStr"/>
      <c r="AN1649" t="inlineStr"/>
      <c r="AO1649" t="inlineStr">
        <is>
          <t>cmm4yuo7901dwcuqwvikd7d0j</t>
        </is>
      </c>
      <c r="AP1649" t="inlineStr">
        <is>
          <t>http://localhost:8787/api/admin/requirements/documents/cmm4yuo7901dwcuqwvikd7d0j/view</t>
        </is>
      </c>
      <c r="AQ1649">
        <f>HYPERLÄNK("http://localhost:8787/api/admin/requirements/documents/cmm4yuo7901dwcuqwvikd7d0j/view";"Öppna PDF")</f>
        <v/>
      </c>
      <c r="AR1649">
        <f>HYPERLINK("http://localhost:8787/api/admin/requirements/documents/cmm4yuo7901dwcuqwvikd7d0j/view","Open PDF")</f>
        <v/>
      </c>
      <c r="AS1649" t="inlineStr">
        <is>
          <t>cmm55w57p0004cuisfrtpqly8</t>
        </is>
      </c>
      <c r="AT1649" t="inlineStr">
        <is>
          <t>cmm4xvu980000cuh4vj0usz09</t>
        </is>
      </c>
      <c r="AU1649" t="inlineStr"/>
      <c r="AV1649" t="inlineStr">
        <is>
          <t>Kommun</t>
        </is>
      </c>
      <c r="AW1649" t="inlineStr"/>
      <c r="AX1649" t="inlineStr">
        <is>
          <t>2025-06</t>
        </is>
      </c>
      <c r="AY1649" t="inlineStr">
        <is>
          <t>Anmalan</t>
        </is>
      </c>
      <c r="AZ1649" t="inlineStr">
        <is>
          <t>2026-02-03</t>
        </is>
      </c>
      <c r="BA1649" t="inlineStr">
        <is>
          <t>BeslutMiljohandlaggareDB440FB_456087.pdf</t>
        </is>
      </c>
      <c r="BB1649" t="inlineStr">
        <is>
          <t>Anmälan om lagring av avfall,  MIL.2025.531</t>
        </is>
      </c>
      <c r="BC1649" t="inlineStr">
        <is>
          <t>AUTO</t>
        </is>
      </c>
      <c r="BD1649" t="inlineStr"/>
      <c r="BE1649" t="inlineStr"/>
      <c r="BF1649" t="inlineStr">
        <is>
          <t>AUTO_GENERERAD. Bekrafta metadata mot kallfil.</t>
        </is>
      </c>
      <c r="BG1649">
        <f>HYPERLINK("C:\Users\jimmy\Desktop\Examens arbete\Kod\Ny mapp\remix_-copy-of-miljöbeslut.se-portal\BeslutMiljohandlaggareDB440FB_456087.pdf", "Öppna PDF")</f>
        <v/>
      </c>
    </row>
    <row r="1650">
      <c r="A1650" t="inlineStr">
        <is>
          <t>KRAV-AUTO-001649</t>
        </is>
      </c>
      <c r="B1650" t="inlineStr">
        <is>
          <t>ADMIN-INDEX-2026-02-27-00000000125C043F57453246863FE664CAFE6A3F0700950291EA24F0614FB6ACEDB12BF0E31D00000000010C0000950291EA24F0614FB6ACEDB12BF0E31D00002087AEEE0000</t>
        </is>
      </c>
      <c r="C1650" t="inlineStr">
        <is>
          <t>cmm4yuo6s01dkcuqwrdu2a83h</t>
        </is>
      </c>
      <c r="D1650" t="inlineStr">
        <is>
          <t>http://localhost:8787/api/admin/requirements/documents/cmm4yuo6s01dkcuqwrdu2a83h/view</t>
        </is>
      </c>
      <c r="E1650">
        <f>HYPERLÄNK("http://localhost:8787/api/admin/requirements/documents/cmm4yuo6s01dkcuqwrdu2a83h/view";"Öppna PDF")</f>
        <v/>
      </c>
      <c r="F1650">
        <f>HYPERLINK("http://localhost:8787/api/admin/requirements/documents/cmm4yuo6s01dkcuqwrdu2a83h/view","Open PDF")</f>
        <v/>
      </c>
      <c r="G1650" t="inlineStr">
        <is>
          <t>cmm55w57p0004cuisfrtpqly8</t>
        </is>
      </c>
      <c r="H1650" t="inlineStr">
        <is>
          <t>Informationskrav</t>
        </is>
      </c>
      <c r="I1650" t="inlineStr">
        <is>
          <t>DagvattenLakvatten</t>
        </is>
      </c>
      <c r="J1650" t="inlineStr">
        <is>
          <t>Uppsamling</t>
        </is>
      </c>
      <c r="K1650" t="inlineStr">
        <is>
          <t>Är vattennivån på röd nivå i lakvattendammen, enligt markeringspinne, ska dammen tömmas: 1) till spillvattensystem efter godkänd kvalitet på upplagsmassor 2) till deponi/destruering, beroende på vilket ämne som påträffats i jordmassorna.</t>
        </is>
      </c>
      <c r="L1650" t="inlineStr">
        <is>
          <t>Är vattennivån på röd nivå i lakvattendammen, enligt markeringspinne, ska dammen tömmas: 1) till spillvattensystem efter godkänd kvalitet på upplagsmassor 2) till deponi/destruering, beroende på vilket ämne som påträffats i jordmassorna.</t>
        </is>
      </c>
      <c r="M1650" t="inlineStr">
        <is>
          <t>SKA</t>
        </is>
      </c>
      <c r="N1650" t="inlineStr"/>
      <c r="O1650" t="inlineStr"/>
      <c r="P1650" t="inlineStr"/>
      <c r="Q1650" t="inlineStr"/>
      <c r="R1650" t="inlineStr">
        <is>
          <t>Vid nederbord och avrinning</t>
        </is>
      </c>
      <c r="S1650" t="inlineStr"/>
      <c r="T1650" t="inlineStr">
        <is>
          <t>556764</t>
        </is>
      </c>
      <c r="U1650" t="inlineStr"/>
      <c r="V1650" t="inlineStr"/>
      <c r="W1650" t="inlineStr">
        <is>
          <t>Nej</t>
        </is>
      </c>
      <c r="X1650" t="inlineStr">
        <is>
          <t>Ja</t>
        </is>
      </c>
      <c r="Y1650" t="inlineStr">
        <is>
          <t>Ja</t>
        </is>
      </c>
      <c r="Z1650" t="inlineStr">
        <is>
          <t>Nej</t>
        </is>
      </c>
      <c r="AA1650" t="n">
        <v>6</v>
      </c>
      <c r="AB1650" t="inlineStr">
        <is>
          <t>Lakvattenhantering</t>
        </is>
      </c>
      <c r="AC1650" t="inlineStr">
        <is>
          <t>Flodesschema dagvatten-lakvatten</t>
        </is>
      </c>
      <c r="AD1650" t="inlineStr">
        <is>
          <t>Nej</t>
        </is>
      </c>
      <c r="AE1650" t="inlineStr">
        <is>
          <t>Nej</t>
        </is>
      </c>
      <c r="AF1650" t="inlineStr">
        <is>
          <t>Ej behandlad</t>
        </is>
      </c>
      <c r="AG1650" t="inlineStr">
        <is>
          <t>AUTO_GENERERAD. Verifiera citat mot kallfil.</t>
        </is>
      </c>
      <c r="AH1650" t="inlineStr">
        <is>
          <t>MEDIUM</t>
        </is>
      </c>
      <c r="AI1650" t="inlineStr">
        <is>
          <t>AUTO</t>
        </is>
      </c>
      <c r="AJ1650" t="inlineStr">
        <is>
          <t>Nej</t>
        </is>
      </c>
      <c r="AK1650" t="inlineStr"/>
      <c r="AL1650" t="inlineStr"/>
      <c r="AM1650" t="inlineStr"/>
      <c r="AN1650" t="inlineStr"/>
      <c r="AO1650" t="inlineStr">
        <is>
          <t>cmm4yuo7901dwcuqwvikd7d0j</t>
        </is>
      </c>
      <c r="AP1650" t="inlineStr">
        <is>
          <t>http://localhost:8787/api/admin/requirements/documents/cmm4yuo7901dwcuqwvikd7d0j/view</t>
        </is>
      </c>
      <c r="AQ1650">
        <f>HYPERLÄNK("http://localhost:8787/api/admin/requirements/documents/cmm4yuo7901dwcuqwvikd7d0j/view";"Öppna PDF")</f>
        <v/>
      </c>
      <c r="AR1650">
        <f>HYPERLINK("http://localhost:8787/api/admin/requirements/documents/cmm4yuo7901dwcuqwvikd7d0j/view","Open PDF")</f>
        <v/>
      </c>
      <c r="AS1650" t="inlineStr">
        <is>
          <t>cmm55w57p0004cuisfrtpqly8</t>
        </is>
      </c>
      <c r="AT1650" t="inlineStr">
        <is>
          <t>cmm4xvu980000cuh4vj0usz09</t>
        </is>
      </c>
      <c r="AU1650" t="inlineStr"/>
      <c r="AV1650" t="inlineStr">
        <is>
          <t>Kommun</t>
        </is>
      </c>
      <c r="AW1650" t="inlineStr"/>
      <c r="AX1650" t="inlineStr">
        <is>
          <t>2025-06</t>
        </is>
      </c>
      <c r="AY1650" t="inlineStr">
        <is>
          <t>Anmalan</t>
        </is>
      </c>
      <c r="AZ1650" t="inlineStr">
        <is>
          <t>2026-02-03</t>
        </is>
      </c>
      <c r="BA1650" t="inlineStr">
        <is>
          <t>BeslutMiljohandlaggareDB440FB_456087.pdf</t>
        </is>
      </c>
      <c r="BB1650" t="inlineStr">
        <is>
          <t>Anmälan om lagring av avfall,  MIL.2025.531</t>
        </is>
      </c>
      <c r="BC1650" t="inlineStr">
        <is>
          <t>AUTO</t>
        </is>
      </c>
      <c r="BD1650" t="inlineStr"/>
      <c r="BE1650" t="inlineStr"/>
      <c r="BF1650" t="inlineStr">
        <is>
          <t>AUTO_GENERERAD. Bekrafta metadata mot kallfil.</t>
        </is>
      </c>
      <c r="BG1650">
        <f>HYPERLINK("C:\Users\jimmy\Desktop\Examens arbete\Kod\Ny mapp\remix_-copy-of-miljöbeslut.se-portal\BeslutMiljohandlaggareDB440FB_456087.pdf", "Öppna PDF")</f>
        <v/>
      </c>
    </row>
    <row r="1651">
      <c r="A1651" t="inlineStr">
        <is>
          <t>KRAV-AUTO-001650</t>
        </is>
      </c>
      <c r="B1651" t="inlineStr">
        <is>
          <t>ADMIN-INDEX-2026-02-27-00000000125C043F57453246863FE664CAFE6A3F0700950291EA24F0614FB6ACEDB12BF0E31D00000000010C0000950291EA24F0614FB6ACEDB12BF0E31D00002087AEEE0000</t>
        </is>
      </c>
      <c r="C1651" t="inlineStr">
        <is>
          <t>cmm4yuo6k01decuqwmupkvn6i</t>
        </is>
      </c>
      <c r="D1651" t="inlineStr">
        <is>
          <t>http://localhost:8787/api/admin/requirements/documents/cmm4yuo6k01decuqwmupkvn6i/view</t>
        </is>
      </c>
      <c r="E1651">
        <f>HYPERLÄNK("http://localhost:8787/api/admin/requirements/documents/cmm4yuo6k01decuqwmupkvn6i/view";"Öppna PDF")</f>
        <v/>
      </c>
      <c r="F1651">
        <f>HYPERLINK("http://localhost:8787/api/admin/requirements/documents/cmm4yuo6k01decuqwmupkvn6i/view","Open PDF")</f>
        <v/>
      </c>
      <c r="G1651" t="inlineStr">
        <is>
          <t>cmm55w57p0004cuisfrtpqly8</t>
        </is>
      </c>
      <c r="H1651" t="inlineStr">
        <is>
          <t>Informationskrav</t>
        </is>
      </c>
      <c r="I1651" t="inlineStr">
        <is>
          <t>Riskhantering</t>
        </is>
      </c>
      <c r="J1651" t="inlineStr">
        <is>
          <t>Riskkontroll</t>
        </is>
      </c>
      <c r="K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51" t="inlineStr">
        <is>
          <t>SKA</t>
        </is>
      </c>
      <c r="N1651" t="inlineStr">
        <is>
          <t>FMH</t>
        </is>
      </c>
      <c r="O1651" t="inlineStr"/>
      <c r="P1651" t="inlineStr">
        <is>
          <t>Arlig</t>
        </is>
      </c>
      <c r="Q1651" t="inlineStr"/>
      <c r="R1651" t="inlineStr">
        <is>
          <t>Vid risk for incident</t>
        </is>
      </c>
      <c r="S1651" t="inlineStr"/>
      <c r="T1651" t="inlineStr">
        <is>
          <t>556764</t>
        </is>
      </c>
      <c r="U1651" t="n">
        <v>5</v>
      </c>
      <c r="V1651" t="inlineStr"/>
      <c r="W1651" t="inlineStr">
        <is>
          <t>Nej</t>
        </is>
      </c>
      <c r="X1651" t="inlineStr">
        <is>
          <t>Nej</t>
        </is>
      </c>
      <c r="Y1651" t="inlineStr">
        <is>
          <t>Ja</t>
        </is>
      </c>
      <c r="Z1651" t="inlineStr">
        <is>
          <t>Ja</t>
        </is>
      </c>
      <c r="AA1651" t="n">
        <v>8</v>
      </c>
      <c r="AB1651" t="inlineStr">
        <is>
          <t>Riskhantering</t>
        </is>
      </c>
      <c r="AC1651" t="inlineStr">
        <is>
          <t>Risk-PM</t>
        </is>
      </c>
      <c r="AD1651" t="inlineStr">
        <is>
          <t>Nej</t>
        </is>
      </c>
      <c r="AE1651" t="inlineStr">
        <is>
          <t>Nej</t>
        </is>
      </c>
      <c r="AF1651" t="inlineStr">
        <is>
          <t>Ej behandlad</t>
        </is>
      </c>
      <c r="AG1651" t="inlineStr">
        <is>
          <t>AUTO_GENERERAD. Verifiera citat mot kallfil.</t>
        </is>
      </c>
      <c r="AH1651" t="inlineStr">
        <is>
          <t>MEDIUM</t>
        </is>
      </c>
      <c r="AI1651" t="inlineStr">
        <is>
          <t>AUTO</t>
        </is>
      </c>
      <c r="AJ1651" t="inlineStr">
        <is>
          <t>Nej</t>
        </is>
      </c>
      <c r="AK1651" t="inlineStr"/>
      <c r="AL1651" t="inlineStr"/>
      <c r="AM1651" t="inlineStr"/>
      <c r="AN1651" t="inlineStr"/>
      <c r="AO1651" t="inlineStr">
        <is>
          <t>cmm4yuo7901dwcuqwvikd7d0j</t>
        </is>
      </c>
      <c r="AP1651" t="inlineStr">
        <is>
          <t>http://localhost:8787/api/admin/requirements/documents/cmm4yuo7901dwcuqwvikd7d0j/view</t>
        </is>
      </c>
      <c r="AQ1651">
        <f>HYPERLÄNK("http://localhost:8787/api/admin/requirements/documents/cmm4yuo7901dwcuqwvikd7d0j/view";"Öppna PDF")</f>
        <v/>
      </c>
      <c r="AR1651">
        <f>HYPERLINK("http://localhost:8787/api/admin/requirements/documents/cmm4yuo7901dwcuqwvikd7d0j/view","Open PDF")</f>
        <v/>
      </c>
      <c r="AS1651" t="inlineStr">
        <is>
          <t>cmm55w57p0004cuisfrtpqly8</t>
        </is>
      </c>
      <c r="AT1651" t="inlineStr">
        <is>
          <t>cmm4xvu980000cuh4vj0usz09</t>
        </is>
      </c>
      <c r="AU1651" t="inlineStr"/>
      <c r="AV1651" t="inlineStr">
        <is>
          <t>Kommun</t>
        </is>
      </c>
      <c r="AW1651" t="inlineStr"/>
      <c r="AX1651" t="inlineStr">
        <is>
          <t>2025-06</t>
        </is>
      </c>
      <c r="AY1651" t="inlineStr">
        <is>
          <t>Anmalan</t>
        </is>
      </c>
      <c r="AZ1651" t="inlineStr">
        <is>
          <t>2026-02-03</t>
        </is>
      </c>
      <c r="BA1651" t="inlineStr">
        <is>
          <t>BeslutMiljohandlaggareDB440FB_456087.pdf</t>
        </is>
      </c>
      <c r="BB1651" t="inlineStr">
        <is>
          <t>Anmälan om lagring av avfall,  MIL.2025.531</t>
        </is>
      </c>
      <c r="BC1651" t="inlineStr">
        <is>
          <t>AUTO</t>
        </is>
      </c>
      <c r="BD1651" t="inlineStr"/>
      <c r="BE1651" t="inlineStr"/>
      <c r="BF1651" t="inlineStr">
        <is>
          <t>AUTO_GENERERAD. Bekrafta metadata mot kallfil.</t>
        </is>
      </c>
      <c r="BG1651">
        <f>HYPERLINK("C:\Users\jimmy\Desktop\Examens arbete\Kod\Ny mapp\remix_-copy-of-miljöbeslut.se-portal\BeslutMiljohandlaggareDB440FB_456087.pdf", "Öppna PDF")</f>
        <v/>
      </c>
    </row>
    <row r="1652">
      <c r="A1652" t="inlineStr">
        <is>
          <t>KRAV-AUTO-001651</t>
        </is>
      </c>
      <c r="B1652" t="inlineStr">
        <is>
          <t>ADMIN-INDEX-2026-02-27-00000000125C043F57453246863FE664CAFE6A3F0700950291EA24F0614FB6ACEDB12BF0E31D00000000010C0000950291EA24F0614FB6ACEDB12BF0E31D00002087AEEE0000</t>
        </is>
      </c>
      <c r="C1652" t="inlineStr">
        <is>
          <t>cmm4yuo6k01decuqwmupkvn6i</t>
        </is>
      </c>
      <c r="D1652" t="inlineStr">
        <is>
          <t>http://localhost:8787/api/admin/requirements/documents/cmm4yuo6k01decuqwmupkvn6i/view</t>
        </is>
      </c>
      <c r="E1652">
        <f>HYPERLÄNK("http://localhost:8787/api/admin/requirements/documents/cmm4yuo6k01decuqwmupkvn6i/view";"Öppna PDF")</f>
        <v/>
      </c>
      <c r="F1652">
        <f>HYPERLINK("http://localhost:8787/api/admin/requirements/documents/cmm4yuo6k01decuqwmupkvn6i/view","Open PDF")</f>
        <v/>
      </c>
      <c r="G1652" t="inlineStr">
        <is>
          <t>cmm55w57p0004cuisfrtpqly8</t>
        </is>
      </c>
      <c r="H1652" t="inlineStr">
        <is>
          <t>Informationskrav</t>
        </is>
      </c>
      <c r="I1652" t="inlineStr">
        <is>
          <t>DagvattenLakvatten</t>
        </is>
      </c>
      <c r="J1652" t="inlineStr">
        <is>
          <t>Uppsamling</t>
        </is>
      </c>
      <c r="K1652" t="inlineStr">
        <is>
          <t>Vid behovs sugs uppsamlat lakvatten och sediment upp till sugbil och transporteras bort av Savabs upphandlade entreprenör Foria.</t>
        </is>
      </c>
      <c r="L1652" t="inlineStr">
        <is>
          <t>Vid behovs sugs uppsamlat lakvatten och sediment upp till sugbil och transporteras bort av Savabs upphandlade entreprenör Foria.</t>
        </is>
      </c>
      <c r="M1652" t="inlineStr">
        <is>
          <t>BOR</t>
        </is>
      </c>
      <c r="N1652" t="inlineStr"/>
      <c r="O1652" t="inlineStr"/>
      <c r="P1652" t="inlineStr"/>
      <c r="Q1652" t="inlineStr"/>
      <c r="R1652" t="inlineStr">
        <is>
          <t>Vid nederbord och avrinning</t>
        </is>
      </c>
      <c r="S1652" t="inlineStr"/>
      <c r="T1652" t="inlineStr">
        <is>
          <t>556764</t>
        </is>
      </c>
      <c r="U1652" t="inlineStr"/>
      <c r="V1652" t="inlineStr"/>
      <c r="W1652" t="inlineStr">
        <is>
          <t>Nej</t>
        </is>
      </c>
      <c r="X1652" t="inlineStr">
        <is>
          <t>Ja</t>
        </is>
      </c>
      <c r="Y1652" t="inlineStr">
        <is>
          <t>Ja</t>
        </is>
      </c>
      <c r="Z1652" t="inlineStr">
        <is>
          <t>Nej</t>
        </is>
      </c>
      <c r="AA1652" t="n">
        <v>6</v>
      </c>
      <c r="AB1652" t="inlineStr">
        <is>
          <t>Lakvattenhantering</t>
        </is>
      </c>
      <c r="AC1652" t="inlineStr">
        <is>
          <t>Flodesschema dagvatten-lakvatten</t>
        </is>
      </c>
      <c r="AD1652" t="inlineStr">
        <is>
          <t>Nej</t>
        </is>
      </c>
      <c r="AE1652" t="inlineStr">
        <is>
          <t>Nej</t>
        </is>
      </c>
      <c r="AF1652" t="inlineStr">
        <is>
          <t>Ej behandlad</t>
        </is>
      </c>
      <c r="AG1652" t="inlineStr">
        <is>
          <t>AUTO_GENERERAD. Verifiera citat mot kallfil.</t>
        </is>
      </c>
      <c r="AH1652" t="inlineStr">
        <is>
          <t>MEDIUM</t>
        </is>
      </c>
      <c r="AI1652" t="inlineStr">
        <is>
          <t>AUTO</t>
        </is>
      </c>
      <c r="AJ1652" t="inlineStr">
        <is>
          <t>Nej</t>
        </is>
      </c>
      <c r="AK1652" t="inlineStr"/>
      <c r="AL1652" t="inlineStr"/>
      <c r="AM1652" t="inlineStr"/>
      <c r="AN1652" t="inlineStr"/>
      <c r="AO1652" t="inlineStr">
        <is>
          <t>cmm4yuo7901dwcuqwvikd7d0j</t>
        </is>
      </c>
      <c r="AP1652" t="inlineStr">
        <is>
          <t>http://localhost:8787/api/admin/requirements/documents/cmm4yuo7901dwcuqwvikd7d0j/view</t>
        </is>
      </c>
      <c r="AQ1652">
        <f>HYPERLÄNK("http://localhost:8787/api/admin/requirements/documents/cmm4yuo7901dwcuqwvikd7d0j/view";"Öppna PDF")</f>
        <v/>
      </c>
      <c r="AR1652">
        <f>HYPERLINK("http://localhost:8787/api/admin/requirements/documents/cmm4yuo7901dwcuqwvikd7d0j/view","Open PDF")</f>
        <v/>
      </c>
      <c r="AS1652" t="inlineStr">
        <is>
          <t>cmm55w57p0004cuisfrtpqly8</t>
        </is>
      </c>
      <c r="AT1652" t="inlineStr">
        <is>
          <t>cmm4xvu980000cuh4vj0usz09</t>
        </is>
      </c>
      <c r="AU1652" t="inlineStr"/>
      <c r="AV1652" t="inlineStr">
        <is>
          <t>Kommun</t>
        </is>
      </c>
      <c r="AW1652" t="inlineStr"/>
      <c r="AX1652" t="inlineStr">
        <is>
          <t>2025-06</t>
        </is>
      </c>
      <c r="AY1652" t="inlineStr">
        <is>
          <t>Anmalan</t>
        </is>
      </c>
      <c r="AZ1652" t="inlineStr">
        <is>
          <t>2026-02-03</t>
        </is>
      </c>
      <c r="BA1652" t="inlineStr">
        <is>
          <t>BeslutMiljohandlaggareDB440FB_456087.pdf</t>
        </is>
      </c>
      <c r="BB1652" t="inlineStr">
        <is>
          <t>Anmälan om lagring av avfall,  MIL.2025.531</t>
        </is>
      </c>
      <c r="BC1652" t="inlineStr">
        <is>
          <t>AUTO</t>
        </is>
      </c>
      <c r="BD1652" t="inlineStr"/>
      <c r="BE1652" t="inlineStr"/>
      <c r="BF1652" t="inlineStr">
        <is>
          <t>AUTO_GENERERAD. Bekrafta metadata mot kallfil.</t>
        </is>
      </c>
      <c r="BG1652">
        <f>HYPERLINK("C:\Users\jimmy\Desktop\Examens arbete\Kod\Ny mapp\remix_-copy-of-miljöbeslut.se-portal\BeslutMiljohandlaggareDB440FB_456087.pdf", "Öppna PDF")</f>
        <v/>
      </c>
    </row>
    <row r="1653">
      <c r="A1653" t="inlineStr">
        <is>
          <t>KRAV-AUTO-001652</t>
        </is>
      </c>
      <c r="B1653" t="inlineStr">
        <is>
          <t>ADMIN-INDEX-2026-02-27-00000000125C043F57453246863FE664CAFE6A3F0700950291EA24F0614FB6ACEDB12BF0E31D00000000010C0000950291EA24F0614FB6ACEDB12BF0E31D00002087AEEE0000</t>
        </is>
      </c>
      <c r="C1653" t="inlineStr">
        <is>
          <t>cmm4yuo6k01decuqwmupkvn6i</t>
        </is>
      </c>
      <c r="D1653" t="inlineStr">
        <is>
          <t>http://localhost:8787/api/admin/requirements/documents/cmm4yuo6k01decuqwmupkvn6i/view</t>
        </is>
      </c>
      <c r="E1653">
        <f>HYPERLÄNK("http://localhost:8787/api/admin/requirements/documents/cmm4yuo6k01decuqwmupkvn6i/view";"Öppna PDF")</f>
        <v/>
      </c>
      <c r="F1653">
        <f>HYPERLINK("http://localhost:8787/api/admin/requirements/documents/cmm4yuo6k01decuqwmupkvn6i/view","Open PDF")</f>
        <v/>
      </c>
      <c r="G1653" t="inlineStr">
        <is>
          <t>cmm55w57p0004cuisfrtpqly8</t>
        </is>
      </c>
      <c r="H1653" t="inlineStr">
        <is>
          <t>Informationskrav</t>
        </is>
      </c>
      <c r="I1653" t="inlineStr">
        <is>
          <t>TransportLogistik</t>
        </is>
      </c>
      <c r="J1653" t="inlineStr">
        <is>
          <t>Transportvagar</t>
        </is>
      </c>
      <c r="K1653" t="inlineStr">
        <is>
          <t>(Om farligt avfall krävs att transportör innehar transporttillstånd från länsstyrelsen förtransport av farligt avfall.) Schaktmassorna transporteras bort av Savabs upphandlade entreprenör, vilket i nuläget är Spectra.</t>
        </is>
      </c>
      <c r="L1653" t="inlineStr">
        <is>
          <t>(Om farligt avfall krävs att transportör innehar transporttillstånd från länsstyrelsen förtransport av farligt avfall.) Schaktmassorna transporteras bort av Savabs upphandlade entreprenör, vilket i nuläget är Spectra.</t>
        </is>
      </c>
      <c r="M1653" t="inlineStr">
        <is>
          <t>SKA</t>
        </is>
      </c>
      <c r="N1653" t="inlineStr"/>
      <c r="O1653" t="inlineStr"/>
      <c r="P1653" t="inlineStr">
        <is>
          <t>Arlig</t>
        </is>
      </c>
      <c r="Q1653" t="inlineStr"/>
      <c r="R1653" t="inlineStr">
        <is>
          <t>Vid transporter</t>
        </is>
      </c>
      <c r="S1653" t="inlineStr"/>
      <c r="T1653" t="inlineStr">
        <is>
          <t>556764</t>
        </is>
      </c>
      <c r="U1653" t="inlineStr"/>
      <c r="V1653" t="inlineStr"/>
      <c r="W1653" t="inlineStr">
        <is>
          <t>Nej</t>
        </is>
      </c>
      <c r="X1653" t="inlineStr">
        <is>
          <t>Nej</t>
        </is>
      </c>
      <c r="Y1653" t="inlineStr">
        <is>
          <t>Nej</t>
        </is>
      </c>
      <c r="Z1653" t="inlineStr">
        <is>
          <t>Ja</t>
        </is>
      </c>
      <c r="AA1653" t="n">
        <v>9</v>
      </c>
      <c r="AB1653" t="inlineStr">
        <is>
          <t>Transporter och logistik</t>
        </is>
      </c>
      <c r="AC1653" t="inlineStr">
        <is>
          <t>Trafikplan</t>
        </is>
      </c>
      <c r="AD1653" t="inlineStr">
        <is>
          <t>Nej</t>
        </is>
      </c>
      <c r="AE1653" t="inlineStr">
        <is>
          <t>Nej</t>
        </is>
      </c>
      <c r="AF1653" t="inlineStr">
        <is>
          <t>Ej behandlad</t>
        </is>
      </c>
      <c r="AG1653" t="inlineStr">
        <is>
          <t>AUTO_GENERERAD. Verifiera citat mot kallfil.</t>
        </is>
      </c>
      <c r="AH1653" t="inlineStr">
        <is>
          <t>MEDIUM</t>
        </is>
      </c>
      <c r="AI1653" t="inlineStr">
        <is>
          <t>AUTO</t>
        </is>
      </c>
      <c r="AJ1653" t="inlineStr">
        <is>
          <t>Nej</t>
        </is>
      </c>
      <c r="AK1653" t="inlineStr"/>
      <c r="AL1653" t="inlineStr"/>
      <c r="AM1653" t="inlineStr"/>
      <c r="AN1653" t="inlineStr"/>
      <c r="AO1653" t="inlineStr">
        <is>
          <t>cmm4yuo7901dwcuqwvikd7d0j</t>
        </is>
      </c>
      <c r="AP1653" t="inlineStr">
        <is>
          <t>http://localhost:8787/api/admin/requirements/documents/cmm4yuo7901dwcuqwvikd7d0j/view</t>
        </is>
      </c>
      <c r="AQ1653">
        <f>HYPERLÄNK("http://localhost:8787/api/admin/requirements/documents/cmm4yuo7901dwcuqwvikd7d0j/view";"Öppna PDF")</f>
        <v/>
      </c>
      <c r="AR1653">
        <f>HYPERLINK("http://localhost:8787/api/admin/requirements/documents/cmm4yuo7901dwcuqwvikd7d0j/view","Open PDF")</f>
        <v/>
      </c>
      <c r="AS1653" t="inlineStr">
        <is>
          <t>cmm55w57p0004cuisfrtpqly8</t>
        </is>
      </c>
      <c r="AT1653" t="inlineStr">
        <is>
          <t>cmm4xvu980000cuh4vj0usz09</t>
        </is>
      </c>
      <c r="AU1653" t="inlineStr"/>
      <c r="AV1653" t="inlineStr">
        <is>
          <t>Kommun</t>
        </is>
      </c>
      <c r="AW1653" t="inlineStr"/>
      <c r="AX1653" t="inlineStr">
        <is>
          <t>2025-06</t>
        </is>
      </c>
      <c r="AY1653" t="inlineStr">
        <is>
          <t>Anmalan</t>
        </is>
      </c>
      <c r="AZ1653" t="inlineStr">
        <is>
          <t>2026-02-03</t>
        </is>
      </c>
      <c r="BA1653" t="inlineStr">
        <is>
          <t>BeslutMiljohandlaggareDB440FB_456087.pdf</t>
        </is>
      </c>
      <c r="BB1653" t="inlineStr">
        <is>
          <t>Anmälan om lagring av avfall,  MIL.2025.531</t>
        </is>
      </c>
      <c r="BC1653" t="inlineStr">
        <is>
          <t>AUTO</t>
        </is>
      </c>
      <c r="BD1653" t="inlineStr"/>
      <c r="BE1653" t="inlineStr"/>
      <c r="BF1653" t="inlineStr">
        <is>
          <t>AUTO_GENERERAD. Bekrafta metadata mot kallfil.</t>
        </is>
      </c>
      <c r="BG1653">
        <f>HYPERLINK("C:\Users\jimmy\Desktop\Examens arbete\Kod\Ny mapp\remix_-copy-of-miljöbeslut.se-portal\BeslutMiljohandlaggareDB440FB_456087.pdf", "Öppna PDF")</f>
        <v/>
      </c>
    </row>
    <row r="1654">
      <c r="A1654" t="inlineStr">
        <is>
          <t>KRAV-AUTO-001653</t>
        </is>
      </c>
      <c r="B1654" t="inlineStr">
        <is>
          <t>ADMIN-INDEX-2026-02-27-00000000125C043F57453246863FE664CAFE6A3F0700950291EA24F0614FB6ACEDB12BF0E31D00000000010C0000950291EA24F0614FB6ACEDB12BF0E31D00002087AEEF0000</t>
        </is>
      </c>
      <c r="C1654" t="inlineStr">
        <is>
          <t>cmm4yuo6g01dbcuqwz2t0dw7t</t>
        </is>
      </c>
      <c r="D1654" t="inlineStr">
        <is>
          <t>http://localhost:8787/api/admin/requirements/documents/cmm4yuo6g01dbcuqwz2t0dw7t/view</t>
        </is>
      </c>
      <c r="E1654">
        <f>HYPERLÄNK("http://localhost:8787/api/admin/requirements/documents/cmm4yuo6g01dbcuqwz2t0dw7t/view";"Öppna PDF")</f>
        <v/>
      </c>
      <c r="F1654">
        <f>HYPERLINK("http://localhost:8787/api/admin/requirements/documents/cmm4yuo6g01dbcuqwz2t0dw7t/view","Open PDF")</f>
        <v/>
      </c>
      <c r="G1654" t="inlineStr">
        <is>
          <t>cmm55w57p0004cuisfrtpqly8</t>
        </is>
      </c>
      <c r="H1654" t="inlineStr">
        <is>
          <t>Beslutsvillkor</t>
        </is>
      </c>
      <c r="I1654" t="inlineStr">
        <is>
          <t>LagringsvolymTid</t>
        </is>
      </c>
      <c r="J1654" t="inlineStr">
        <is>
          <t>Maxmangd</t>
        </is>
      </c>
      <c r="K1654" t="inlineStr">
        <is>
          <t>Beräkning på mängd massor blir då följande: • Massor som bedöms uppfylla KM uppskattas till ca 3569 m3 (lera ca 1-2m), icke-farligt avfall.</t>
        </is>
      </c>
      <c r="L1654" t="inlineStr">
        <is>
          <t>Beräkning på mängd massor blir då följande: • Massor som bedöms uppfylla KM uppskattas till ca 3569 m3 (lera ca 1-2m), icke-farligt avfall.</t>
        </is>
      </c>
      <c r="M1654" t="inlineStr">
        <is>
          <t>SKA</t>
        </is>
      </c>
      <c r="N1654" t="inlineStr"/>
      <c r="O1654" t="inlineStr"/>
      <c r="P1654" t="inlineStr">
        <is>
          <t>Arlig</t>
        </is>
      </c>
      <c r="Q1654" t="inlineStr"/>
      <c r="R1654" t="inlineStr">
        <is>
          <t>Alltid</t>
        </is>
      </c>
      <c r="S1654" t="inlineStr"/>
      <c r="T1654" t="inlineStr">
        <is>
          <t>87 27 39</t>
        </is>
      </c>
      <c r="U1654" t="inlineStr"/>
      <c r="V1654" t="inlineStr"/>
      <c r="W1654" t="inlineStr">
        <is>
          <t>Nej</t>
        </is>
      </c>
      <c r="X1654" t="inlineStr">
        <is>
          <t>Nej</t>
        </is>
      </c>
      <c r="Y1654" t="inlineStr">
        <is>
          <t>Nej</t>
        </is>
      </c>
      <c r="Z1654" t="inlineStr">
        <is>
          <t>Nej</t>
        </is>
      </c>
      <c r="AA1654" t="n">
        <v>4</v>
      </c>
      <c r="AB1654" t="inlineStr">
        <is>
          <t>Avfallsmangder och lagringstid</t>
        </is>
      </c>
      <c r="AC1654" t="inlineStr">
        <is>
          <t>Avfallsforteckning</t>
        </is>
      </c>
      <c r="AD1654" t="inlineStr">
        <is>
          <t>Nej</t>
        </is>
      </c>
      <c r="AE1654" t="inlineStr">
        <is>
          <t>Nej</t>
        </is>
      </c>
      <c r="AF1654" t="inlineStr">
        <is>
          <t>Ej behandlad</t>
        </is>
      </c>
      <c r="AG1654" t="inlineStr">
        <is>
          <t>AUTO_GENERERAD. Verifiera citat mot kallfil.</t>
        </is>
      </c>
      <c r="AH1654" t="inlineStr">
        <is>
          <t>MEDIUM</t>
        </is>
      </c>
      <c r="AI1654" t="inlineStr">
        <is>
          <t>AUTO</t>
        </is>
      </c>
      <c r="AJ1654" t="inlineStr">
        <is>
          <t>Nej</t>
        </is>
      </c>
      <c r="AK1654" t="inlineStr"/>
      <c r="AL1654" t="inlineStr"/>
      <c r="AM1654" t="inlineStr"/>
      <c r="AN1654" t="inlineStr"/>
      <c r="AO1654" t="inlineStr">
        <is>
          <t>cmm4yuo6g01dbcuqwz2t0dw7t</t>
        </is>
      </c>
      <c r="AP1654" t="inlineStr">
        <is>
          <t>http://localhost:8787/api/admin/requirements/documents/cmm4yuo6g01dbcuqwz2t0dw7t/view</t>
        </is>
      </c>
      <c r="AQ1654">
        <f>HYPERLÄNK("http://localhost:8787/api/admin/requirements/documents/cmm4yuo6g01dbcuqwz2t0dw7t/view";"Öppna PDF")</f>
        <v/>
      </c>
      <c r="AR1654">
        <f>HYPERLINK("http://localhost:8787/api/admin/requirements/documents/cmm4yuo6g01dbcuqwz2t0dw7t/view","Open PDF")</f>
        <v/>
      </c>
      <c r="AS1654" t="inlineStr">
        <is>
          <t>cmm55w57p0004cuisfrtpqly8</t>
        </is>
      </c>
      <c r="AT1654" t="inlineStr">
        <is>
          <t>cmm4xvu980000cuh4vj0usz09</t>
        </is>
      </c>
      <c r="AU1654" t="inlineStr">
        <is>
          <t>Sundbybergs</t>
        </is>
      </c>
      <c r="AV1654" t="inlineStr">
        <is>
          <t>Kommun</t>
        </is>
      </c>
      <c r="AW1654" t="inlineStr">
        <is>
          <t>Sundbybergs kommun</t>
        </is>
      </c>
      <c r="AX1654" t="inlineStr">
        <is>
          <t>2025-06</t>
        </is>
      </c>
      <c r="AY1654" t="inlineStr">
        <is>
          <t>Beslut</t>
        </is>
      </c>
      <c r="AZ1654" t="inlineStr">
        <is>
          <t>2026-02-03</t>
        </is>
      </c>
      <c r="BA1654" t="inlineStr">
        <is>
          <t>Masshanteringsplan v3 MIL.2025.564.pdf</t>
        </is>
      </c>
      <c r="BB1654" t="inlineStr">
        <is>
          <t>Sv: till registrator</t>
        </is>
      </c>
      <c r="BC1654" t="inlineStr">
        <is>
          <t>AUTO</t>
        </is>
      </c>
      <c r="BD1654" t="inlineStr"/>
      <c r="BE1654" t="inlineStr"/>
      <c r="BF1654" t="inlineStr">
        <is>
          <t>AUTO_GENERERAD. Bekrafta metadata mot kallfil.</t>
        </is>
      </c>
      <c r="BG1654">
        <f>HYPERLINK("C:\Users\jimmy\Desktop\Examens arbete\Kod\Ny mapp\remix_-copy-of-miljöbeslut.se-portal\Masshanteringsplan v3 MIL.2025.564.pdf", "Öppna PDF")</f>
        <v/>
      </c>
    </row>
    <row r="1655">
      <c r="A1655" t="inlineStr">
        <is>
          <t>KRAV-AUTO-001654</t>
        </is>
      </c>
      <c r="B1655" t="inlineStr">
        <is>
          <t>ADMIN-INDEX-2026-02-27-00000000125C043F57453246863FE664CAFE6A3F0700950291EA24F0614FB6ACEDB12BF0E31D00000000010C0000950291EA24F0614FB6ACEDB12BF0E31D00002087AEEF0000</t>
        </is>
      </c>
      <c r="C1655" t="inlineStr">
        <is>
          <t>cmm4yuo6g01dbcuqwz2t0dw7t</t>
        </is>
      </c>
      <c r="D1655" t="inlineStr">
        <is>
          <t>http://localhost:8787/api/admin/requirements/documents/cmm4yuo6g01dbcuqwz2t0dw7t/view</t>
        </is>
      </c>
      <c r="E1655">
        <f>HYPERLÄNK("http://localhost:8787/api/admin/requirements/documents/cmm4yuo6g01dbcuqwz2t0dw7t/view";"Öppna PDF")</f>
        <v/>
      </c>
      <c r="F1655">
        <f>HYPERLINK("http://localhost:8787/api/admin/requirements/documents/cmm4yuo6g01dbcuqwz2t0dw7t/view","Open PDF")</f>
        <v/>
      </c>
      <c r="G1655" t="inlineStr">
        <is>
          <t>cmm55w57p0004cuisfrtpqly8</t>
        </is>
      </c>
      <c r="H1655" t="inlineStr">
        <is>
          <t>Beslutsvillkor</t>
        </is>
      </c>
      <c r="I1655" t="inlineStr">
        <is>
          <t>DriftEgenkontroll</t>
        </is>
      </c>
      <c r="J1655" t="inlineStr">
        <is>
          <t>Journalforing</t>
        </is>
      </c>
      <c r="K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55" t="inlineStr">
        <is>
          <t>SKA</t>
        </is>
      </c>
      <c r="N1655" t="inlineStr"/>
      <c r="O1655" t="inlineStr">
        <is>
          <t>2025-06-03</t>
        </is>
      </c>
      <c r="P1655" t="inlineStr"/>
      <c r="Q1655" t="inlineStr"/>
      <c r="R1655" t="inlineStr">
        <is>
          <t>Lopande drift</t>
        </is>
      </c>
      <c r="S1655" t="inlineStr"/>
      <c r="T1655" t="inlineStr">
        <is>
          <t>87 27 39</t>
        </is>
      </c>
      <c r="U1655" t="inlineStr"/>
      <c r="V1655" t="inlineStr"/>
      <c r="W1655" t="inlineStr">
        <is>
          <t>Nej</t>
        </is>
      </c>
      <c r="X1655" t="inlineStr">
        <is>
          <t>Nej</t>
        </is>
      </c>
      <c r="Y1655" t="inlineStr">
        <is>
          <t>Ja</t>
        </is>
      </c>
      <c r="Z1655" t="inlineStr">
        <is>
          <t>Nej</t>
        </is>
      </c>
      <c r="AA1655" t="n">
        <v>7</v>
      </c>
      <c r="AB1655" t="inlineStr">
        <is>
          <t>Egenkontrollrutiner</t>
        </is>
      </c>
      <c r="AC1655" t="inlineStr">
        <is>
          <t>Egenkontrollprogram</t>
        </is>
      </c>
      <c r="AD1655" t="inlineStr">
        <is>
          <t>Nej</t>
        </is>
      </c>
      <c r="AE1655" t="inlineStr">
        <is>
          <t>Nej</t>
        </is>
      </c>
      <c r="AF1655" t="inlineStr">
        <is>
          <t>Ej behandlad</t>
        </is>
      </c>
      <c r="AG1655" t="inlineStr">
        <is>
          <t>AUTO_GENERERAD. Verifiera citat mot kallfil.</t>
        </is>
      </c>
      <c r="AH1655" t="inlineStr">
        <is>
          <t>MEDIUM</t>
        </is>
      </c>
      <c r="AI1655" t="inlineStr">
        <is>
          <t>AUTO</t>
        </is>
      </c>
      <c r="AJ1655" t="inlineStr">
        <is>
          <t>Nej</t>
        </is>
      </c>
      <c r="AK1655" t="inlineStr"/>
      <c r="AL1655" t="inlineStr"/>
      <c r="AM1655" t="inlineStr"/>
      <c r="AN1655" t="inlineStr"/>
      <c r="AO1655" t="inlineStr">
        <is>
          <t>cmm4yuo6g01dbcuqwz2t0dw7t</t>
        </is>
      </c>
      <c r="AP1655" t="inlineStr">
        <is>
          <t>http://localhost:8787/api/admin/requirements/documents/cmm4yuo6g01dbcuqwz2t0dw7t/view</t>
        </is>
      </c>
      <c r="AQ1655">
        <f>HYPERLÄNK("http://localhost:8787/api/admin/requirements/documents/cmm4yuo6g01dbcuqwz2t0dw7t/view";"Öppna PDF")</f>
        <v/>
      </c>
      <c r="AR1655">
        <f>HYPERLINK("http://localhost:8787/api/admin/requirements/documents/cmm4yuo6g01dbcuqwz2t0dw7t/view","Open PDF")</f>
        <v/>
      </c>
      <c r="AS1655" t="inlineStr">
        <is>
          <t>cmm55w57p0004cuisfrtpqly8</t>
        </is>
      </c>
      <c r="AT1655" t="inlineStr">
        <is>
          <t>cmm4xvu980000cuh4vj0usz09</t>
        </is>
      </c>
      <c r="AU1655" t="inlineStr">
        <is>
          <t>Sundbybergs</t>
        </is>
      </c>
      <c r="AV1655" t="inlineStr">
        <is>
          <t>Kommun</t>
        </is>
      </c>
      <c r="AW1655" t="inlineStr">
        <is>
          <t>Sundbybergs kommun</t>
        </is>
      </c>
      <c r="AX1655" t="inlineStr">
        <is>
          <t>2025-06</t>
        </is>
      </c>
      <c r="AY1655" t="inlineStr">
        <is>
          <t>Beslut</t>
        </is>
      </c>
      <c r="AZ1655" t="inlineStr">
        <is>
          <t>2026-02-03</t>
        </is>
      </c>
      <c r="BA1655" t="inlineStr">
        <is>
          <t>Masshanteringsplan v3 MIL.2025.564.pdf</t>
        </is>
      </c>
      <c r="BB1655" t="inlineStr">
        <is>
          <t>Sv: till registrator</t>
        </is>
      </c>
      <c r="BC1655" t="inlineStr">
        <is>
          <t>AUTO</t>
        </is>
      </c>
      <c r="BD1655" t="inlineStr"/>
      <c r="BE1655" t="inlineStr"/>
      <c r="BF1655" t="inlineStr">
        <is>
          <t>AUTO_GENERERAD. Bekrafta metadata mot kallfil.</t>
        </is>
      </c>
      <c r="BG1655">
        <f>HYPERLINK("C:\Users\jimmy\Desktop\Examens arbete\Kod\Ny mapp\remix_-copy-of-miljöbeslut.se-portal\Masshanteringsplan v3 MIL.2025.564.pdf", "Öppna PDF")</f>
        <v/>
      </c>
    </row>
    <row r="1656">
      <c r="A1656" t="inlineStr">
        <is>
          <t>KRAV-AUTO-001655</t>
        </is>
      </c>
      <c r="B1656" t="inlineStr">
        <is>
          <t>ADMIN-INDEX-2026-02-27-00000000125C043F57453246863FE664CAFE6A3F0700950291EA24F0614FB6ACEDB12BF0E31D00000000010C0000950291EA24F0614FB6ACEDB12BF0E31D00002087AEEF0000</t>
        </is>
      </c>
      <c r="C1656" t="inlineStr">
        <is>
          <t>cmm4yuo6g01dbcuqwz2t0dw7t</t>
        </is>
      </c>
      <c r="D1656" t="inlineStr">
        <is>
          <t>http://localhost:8787/api/admin/requirements/documents/cmm4yuo6g01dbcuqwz2t0dw7t/view</t>
        </is>
      </c>
      <c r="E1656">
        <f>HYPERLÄNK("http://localhost:8787/api/admin/requirements/documents/cmm4yuo6g01dbcuqwz2t0dw7t/view";"Öppna PDF")</f>
        <v/>
      </c>
      <c r="F1656">
        <f>HYPERLINK("http://localhost:8787/api/admin/requirements/documents/cmm4yuo6g01dbcuqwz2t0dw7t/view","Open PDF")</f>
        <v/>
      </c>
      <c r="G1656" t="inlineStr">
        <is>
          <t>cmm55w57p0004cuisfrtpqly8</t>
        </is>
      </c>
      <c r="H1656" t="inlineStr">
        <is>
          <t>Beslutsvillkor</t>
        </is>
      </c>
      <c r="I1656" t="inlineStr">
        <is>
          <t>MiljopaverkanForsiktighet</t>
        </is>
      </c>
      <c r="J1656" t="inlineStr">
        <is>
          <t>Skyddsatgarder</t>
        </is>
      </c>
      <c r="K1656" t="inlineStr">
        <is>
          <t>• Massor som bedöms uppfylla KM uppskattas till ca 3230 m3 (fyllnadsmassor 0-1m), inert avfall.</t>
        </is>
      </c>
      <c r="L1656" t="inlineStr">
        <is>
          <t>• Massor som bedöms uppfylla KM uppskattas till ca 3230 m3 (fyllnadsmassor 0-1m), inert avfall.</t>
        </is>
      </c>
      <c r="M1656" t="inlineStr">
        <is>
          <t>SKA</t>
        </is>
      </c>
      <c r="N1656" t="inlineStr"/>
      <c r="O1656" t="inlineStr"/>
      <c r="P1656" t="inlineStr"/>
      <c r="Q1656" t="inlineStr"/>
      <c r="R1656" t="inlineStr">
        <is>
          <t>Alltid</t>
        </is>
      </c>
      <c r="S1656" t="inlineStr"/>
      <c r="T1656" t="inlineStr">
        <is>
          <t>87 27 39</t>
        </is>
      </c>
      <c r="U1656" t="inlineStr"/>
      <c r="V1656" t="inlineStr"/>
      <c r="W1656" t="inlineStr">
        <is>
          <t>Nej</t>
        </is>
      </c>
      <c r="X1656" t="inlineStr">
        <is>
          <t>Nej</t>
        </is>
      </c>
      <c r="Y1656" t="inlineStr">
        <is>
          <t>Nej</t>
        </is>
      </c>
      <c r="Z1656" t="inlineStr">
        <is>
          <t>Nej</t>
        </is>
      </c>
      <c r="AA1656" t="n">
        <v>10</v>
      </c>
      <c r="AB1656" t="inlineStr">
        <is>
          <t>Miljopaverkan och forsiktighetsmatt</t>
        </is>
      </c>
      <c r="AC1656" t="inlineStr">
        <is>
          <t>Miljo-PM</t>
        </is>
      </c>
      <c r="AD1656" t="inlineStr">
        <is>
          <t>Nej</t>
        </is>
      </c>
      <c r="AE1656" t="inlineStr">
        <is>
          <t>Nej</t>
        </is>
      </c>
      <c r="AF1656" t="inlineStr">
        <is>
          <t>Ej behandlad</t>
        </is>
      </c>
      <c r="AG1656" t="inlineStr">
        <is>
          <t>AUTO_GENERERAD. Verifiera citat mot kallfil.</t>
        </is>
      </c>
      <c r="AH1656" t="inlineStr">
        <is>
          <t>MEDIUM</t>
        </is>
      </c>
      <c r="AI1656" t="inlineStr">
        <is>
          <t>AUTO</t>
        </is>
      </c>
      <c r="AJ1656" t="inlineStr">
        <is>
          <t>Nej</t>
        </is>
      </c>
      <c r="AK1656" t="inlineStr"/>
      <c r="AL1656" t="inlineStr"/>
      <c r="AM1656" t="inlineStr"/>
      <c r="AN1656" t="inlineStr"/>
      <c r="AO1656" t="inlineStr">
        <is>
          <t>cmm4yuo6g01dbcuqwz2t0dw7t</t>
        </is>
      </c>
      <c r="AP1656" t="inlineStr">
        <is>
          <t>http://localhost:8787/api/admin/requirements/documents/cmm4yuo6g01dbcuqwz2t0dw7t/view</t>
        </is>
      </c>
      <c r="AQ1656">
        <f>HYPERLÄNK("http://localhost:8787/api/admin/requirements/documents/cmm4yuo6g01dbcuqwz2t0dw7t/view";"Öppna PDF")</f>
        <v/>
      </c>
      <c r="AR1656">
        <f>HYPERLINK("http://localhost:8787/api/admin/requirements/documents/cmm4yuo6g01dbcuqwz2t0dw7t/view","Open PDF")</f>
        <v/>
      </c>
      <c r="AS1656" t="inlineStr">
        <is>
          <t>cmm55w57p0004cuisfrtpqly8</t>
        </is>
      </c>
      <c r="AT1656" t="inlineStr">
        <is>
          <t>cmm4xvu980000cuh4vj0usz09</t>
        </is>
      </c>
      <c r="AU1656" t="inlineStr">
        <is>
          <t>Sundbybergs</t>
        </is>
      </c>
      <c r="AV1656" t="inlineStr">
        <is>
          <t>Kommun</t>
        </is>
      </c>
      <c r="AW1656" t="inlineStr">
        <is>
          <t>Sundbybergs kommun</t>
        </is>
      </c>
      <c r="AX1656" t="inlineStr">
        <is>
          <t>2025-06</t>
        </is>
      </c>
      <c r="AY1656" t="inlineStr">
        <is>
          <t>Beslut</t>
        </is>
      </c>
      <c r="AZ1656" t="inlineStr">
        <is>
          <t>2026-02-03</t>
        </is>
      </c>
      <c r="BA1656" t="inlineStr">
        <is>
          <t>Masshanteringsplan v3 MIL.2025.564.pdf</t>
        </is>
      </c>
      <c r="BB1656" t="inlineStr">
        <is>
          <t>Sv: till registrator</t>
        </is>
      </c>
      <c r="BC1656" t="inlineStr">
        <is>
          <t>AUTO</t>
        </is>
      </c>
      <c r="BD1656" t="inlineStr"/>
      <c r="BE1656" t="inlineStr"/>
      <c r="BF1656" t="inlineStr">
        <is>
          <t>AUTO_GENERERAD. Bekrafta metadata mot kallfil.</t>
        </is>
      </c>
      <c r="BG1656">
        <f>HYPERLINK("C:\Users\jimmy\Desktop\Examens arbete\Kod\Ny mapp\remix_-copy-of-miljöbeslut.se-portal\Masshanteringsplan v3 MIL.2025.564.pdf", "Öppna PDF")</f>
        <v/>
      </c>
    </row>
    <row r="1657">
      <c r="A1657" t="inlineStr">
        <is>
          <t>KRAV-AUTO-001656</t>
        </is>
      </c>
      <c r="B1657" t="inlineStr">
        <is>
          <t>ADMIN-INDEX-2026-02-27-00000000125C043F57453246863FE664CAFE6A3F0700950291EA24F0614FB6ACEDB12BF0E31D00000000010C0000950291EA24F0614FB6ACEDB12BF0E31D00002087AEEF0000</t>
        </is>
      </c>
      <c r="C1657" t="inlineStr">
        <is>
          <t>cmm4yuo6c01d8cuqw19oz0flx</t>
        </is>
      </c>
      <c r="D1657" t="inlineStr">
        <is>
          <t>http://localhost:8787/api/admin/requirements/documents/cmm4yuo6c01d8cuqw19oz0flx/view</t>
        </is>
      </c>
      <c r="E1657">
        <f>HYPERLÄNK("http://localhost:8787/api/admin/requirements/documents/cmm4yuo6c01d8cuqw19oz0flx/view";"Öppna PDF")</f>
        <v/>
      </c>
      <c r="F1657">
        <f>HYPERLINK("http://localhost:8787/api/admin/requirements/documents/cmm4yuo6c01d8cuqw19oz0flx/view","Open PDF")</f>
        <v/>
      </c>
      <c r="G1657" t="inlineStr">
        <is>
          <t>cmm55w57p0004cuisfrtpqly8</t>
        </is>
      </c>
      <c r="H1657" t="inlineStr">
        <is>
          <t>Beslutsvillkor</t>
        </is>
      </c>
      <c r="I1657" t="inlineStr">
        <is>
          <t>DagvattenLakvatten</t>
        </is>
      </c>
      <c r="J1657" t="inlineStr">
        <is>
          <t>Uppsamling</t>
        </is>
      </c>
      <c r="K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57" t="inlineStr">
        <is>
          <t>SKA</t>
        </is>
      </c>
      <c r="N1657" t="inlineStr"/>
      <c r="O1657" t="inlineStr">
        <is>
          <t>2024-06-12</t>
        </is>
      </c>
      <c r="P1657" t="inlineStr"/>
      <c r="Q1657" t="inlineStr"/>
      <c r="R1657" t="inlineStr">
        <is>
          <t>Vid nederbord och avrinning</t>
        </is>
      </c>
      <c r="S1657" t="inlineStr"/>
      <c r="T1657" t="inlineStr">
        <is>
          <t>212000</t>
        </is>
      </c>
      <c r="U1657" t="inlineStr"/>
      <c r="V1657" t="inlineStr"/>
      <c r="W1657" t="inlineStr">
        <is>
          <t>Nej</t>
        </is>
      </c>
      <c r="X1657" t="inlineStr">
        <is>
          <t>Ja</t>
        </is>
      </c>
      <c r="Y1657" t="inlineStr">
        <is>
          <t>Ja</t>
        </is>
      </c>
      <c r="Z1657" t="inlineStr">
        <is>
          <t>Nej</t>
        </is>
      </c>
      <c r="AA1657" t="n">
        <v>6</v>
      </c>
      <c r="AB1657" t="inlineStr">
        <is>
          <t>Lakvattenhantering</t>
        </is>
      </c>
      <c r="AC1657" t="inlineStr">
        <is>
          <t>Flodesschema dagvatten-lakvatten</t>
        </is>
      </c>
      <c r="AD1657" t="inlineStr">
        <is>
          <t>Nej</t>
        </is>
      </c>
      <c r="AE1657" t="inlineStr">
        <is>
          <t>Nej</t>
        </is>
      </c>
      <c r="AF1657" t="inlineStr">
        <is>
          <t>Ej behandlad</t>
        </is>
      </c>
      <c r="AG1657" t="inlineStr">
        <is>
          <t>AUTO_GENERERAD. Verifiera citat mot kallfil.</t>
        </is>
      </c>
      <c r="AH1657" t="inlineStr">
        <is>
          <t>MEDIUM</t>
        </is>
      </c>
      <c r="AI1657" t="inlineStr">
        <is>
          <t>AUTO</t>
        </is>
      </c>
      <c r="AJ1657" t="inlineStr">
        <is>
          <t>Nej</t>
        </is>
      </c>
      <c r="AK1657" t="inlineStr"/>
      <c r="AL1657" t="inlineStr"/>
      <c r="AM1657" t="inlineStr"/>
      <c r="AN1657" t="inlineStr"/>
      <c r="AO1657" t="inlineStr">
        <is>
          <t>cmm4yuo6g01dbcuqwz2t0dw7t</t>
        </is>
      </c>
      <c r="AP1657" t="inlineStr">
        <is>
          <t>http://localhost:8787/api/admin/requirements/documents/cmm4yuo6g01dbcuqwz2t0dw7t/view</t>
        </is>
      </c>
      <c r="AQ1657">
        <f>HYPERLÄNK("http://localhost:8787/api/admin/requirements/documents/cmm4yuo6g01dbcuqwz2t0dw7t/view";"Öppna PDF")</f>
        <v/>
      </c>
      <c r="AR1657">
        <f>HYPERLINK("http://localhost:8787/api/admin/requirements/documents/cmm4yuo6g01dbcuqwz2t0dw7t/view","Open PDF")</f>
        <v/>
      </c>
      <c r="AS1657" t="inlineStr">
        <is>
          <t>cmm55w57p0004cuisfrtpqly8</t>
        </is>
      </c>
      <c r="AT1657" t="inlineStr">
        <is>
          <t>cmm4xvu980000cuh4vj0usz09</t>
        </is>
      </c>
      <c r="AU1657" t="inlineStr">
        <is>
          <t>Sundbybergs</t>
        </is>
      </c>
      <c r="AV1657" t="inlineStr">
        <is>
          <t>Kommun</t>
        </is>
      </c>
      <c r="AW1657" t="inlineStr">
        <is>
          <t>Sundbybergs kommun</t>
        </is>
      </c>
      <c r="AX1657" t="inlineStr">
        <is>
          <t>2025-06</t>
        </is>
      </c>
      <c r="AY1657" t="inlineStr">
        <is>
          <t>Beslut</t>
        </is>
      </c>
      <c r="AZ1657" t="inlineStr">
        <is>
          <t>2026-02-03</t>
        </is>
      </c>
      <c r="BA1657" t="inlineStr">
        <is>
          <t>Masshanteringsplan v3 MIL.2025.564.pdf</t>
        </is>
      </c>
      <c r="BB1657" t="inlineStr">
        <is>
          <t>Sv: till registrator</t>
        </is>
      </c>
      <c r="BC1657" t="inlineStr">
        <is>
          <t>AUTO</t>
        </is>
      </c>
      <c r="BD1657" t="inlineStr"/>
      <c r="BE1657" t="inlineStr"/>
      <c r="BF1657" t="inlineStr">
        <is>
          <t>AUTO_GENERERAD. Bekrafta metadata mot kallfil.</t>
        </is>
      </c>
      <c r="BG1657">
        <f>HYPERLINK("C:\Users\jimmy\Desktop\Examens arbete\Kod\Ny mapp\remix_-copy-of-miljöbeslut.se-portal\Masshanteringsplan v3 MIL.2025.564.pdf", "Öppna PDF")</f>
        <v/>
      </c>
    </row>
    <row r="1658">
      <c r="A1658" t="inlineStr">
        <is>
          <t>KRAV-AUTO-001657</t>
        </is>
      </c>
      <c r="B1658" t="inlineStr">
        <is>
          <t>ADMIN-INDEX-2026-02-27-00000000125C043F57453246863FE664CAFE6A3F0700950291EA24F0614FB6ACEDB12BF0E31D00000000010C0000950291EA24F0614FB6ACEDB12BF0E31D00002087AEEF0000</t>
        </is>
      </c>
      <c r="C1658" t="inlineStr">
        <is>
          <t>cmm4yuo6c01d8cuqw19oz0flx</t>
        </is>
      </c>
      <c r="D1658" t="inlineStr">
        <is>
          <t>http://localhost:8787/api/admin/requirements/documents/cmm4yuo6c01d8cuqw19oz0flx/view</t>
        </is>
      </c>
      <c r="E1658">
        <f>HYPERLÄNK("http://localhost:8787/api/admin/requirements/documents/cmm4yuo6c01d8cuqw19oz0flx/view";"Öppna PDF")</f>
        <v/>
      </c>
      <c r="F1658">
        <f>HYPERLINK("http://localhost:8787/api/admin/requirements/documents/cmm4yuo6c01d8cuqw19oz0flx/view","Open PDF")</f>
        <v/>
      </c>
      <c r="G1658" t="inlineStr">
        <is>
          <t>cmm55w57p0004cuisfrtpqly8</t>
        </is>
      </c>
      <c r="H1658" t="inlineStr">
        <is>
          <t>Beslutsvillkor</t>
        </is>
      </c>
      <c r="I1658" t="inlineStr">
        <is>
          <t>LagringsvolymTid</t>
        </is>
      </c>
      <c r="J1658" t="inlineStr">
        <is>
          <t>Maxmangd</t>
        </is>
      </c>
      <c r="K1658" t="inlineStr">
        <is>
          <t>Farligt avfall som är anmälningspliktigt är elavfall på en uppskattad mängd av 5 ton vid ett och samma tillfälle.</t>
        </is>
      </c>
      <c r="L1658" t="inlineStr">
        <is>
          <t>Farligt avfall som är anmälningspliktigt är elavfall på en uppskattad mängd av 5 ton vid ett och samma tillfälle.</t>
        </is>
      </c>
      <c r="M1658" t="inlineStr">
        <is>
          <t>SKA</t>
        </is>
      </c>
      <c r="N1658" t="inlineStr"/>
      <c r="O1658" t="inlineStr"/>
      <c r="P1658" t="inlineStr">
        <is>
          <t>Arlig</t>
        </is>
      </c>
      <c r="Q1658" t="inlineStr"/>
      <c r="R1658" t="inlineStr">
        <is>
          <t>Alltid</t>
        </is>
      </c>
      <c r="S1658" t="inlineStr"/>
      <c r="T1658" t="inlineStr">
        <is>
          <t>212000</t>
        </is>
      </c>
      <c r="U1658" t="n">
        <v>5</v>
      </c>
      <c r="V1658" t="inlineStr"/>
      <c r="W1658" t="inlineStr">
        <is>
          <t>Nej</t>
        </is>
      </c>
      <c r="X1658" t="inlineStr">
        <is>
          <t>Nej</t>
        </is>
      </c>
      <c r="Y1658" t="inlineStr">
        <is>
          <t>Nej</t>
        </is>
      </c>
      <c r="Z1658" t="inlineStr">
        <is>
          <t>Nej</t>
        </is>
      </c>
      <c r="AA1658" t="n">
        <v>4</v>
      </c>
      <c r="AB1658" t="inlineStr">
        <is>
          <t>Avfallsmangder och lagringstid</t>
        </is>
      </c>
      <c r="AC1658" t="inlineStr">
        <is>
          <t>Avfallsforteckning</t>
        </is>
      </c>
      <c r="AD1658" t="inlineStr">
        <is>
          <t>Nej</t>
        </is>
      </c>
      <c r="AE1658" t="inlineStr">
        <is>
          <t>Nej</t>
        </is>
      </c>
      <c r="AF1658" t="inlineStr">
        <is>
          <t>Ej behandlad</t>
        </is>
      </c>
      <c r="AG1658" t="inlineStr">
        <is>
          <t>AUTO_GENERERAD. Verifiera citat mot kallfil.</t>
        </is>
      </c>
      <c r="AH1658" t="inlineStr">
        <is>
          <t>MEDIUM</t>
        </is>
      </c>
      <c r="AI1658" t="inlineStr">
        <is>
          <t>AUTO</t>
        </is>
      </c>
      <c r="AJ1658" t="inlineStr">
        <is>
          <t>Nej</t>
        </is>
      </c>
      <c r="AK1658" t="inlineStr"/>
      <c r="AL1658" t="inlineStr"/>
      <c r="AM1658" t="inlineStr"/>
      <c r="AN1658" t="inlineStr"/>
      <c r="AO1658" t="inlineStr">
        <is>
          <t>cmm4yuo6g01dbcuqwz2t0dw7t</t>
        </is>
      </c>
      <c r="AP1658" t="inlineStr">
        <is>
          <t>http://localhost:8787/api/admin/requirements/documents/cmm4yuo6g01dbcuqwz2t0dw7t/view</t>
        </is>
      </c>
      <c r="AQ1658">
        <f>HYPERLÄNK("http://localhost:8787/api/admin/requirements/documents/cmm4yuo6g01dbcuqwz2t0dw7t/view";"Öppna PDF")</f>
        <v/>
      </c>
      <c r="AR1658">
        <f>HYPERLINK("http://localhost:8787/api/admin/requirements/documents/cmm4yuo6g01dbcuqwz2t0dw7t/view","Open PDF")</f>
        <v/>
      </c>
      <c r="AS1658" t="inlineStr">
        <is>
          <t>cmm55w57p0004cuisfrtpqly8</t>
        </is>
      </c>
      <c r="AT1658" t="inlineStr">
        <is>
          <t>cmm4xvu980000cuh4vj0usz09</t>
        </is>
      </c>
      <c r="AU1658" t="inlineStr">
        <is>
          <t>Sundbybergs</t>
        </is>
      </c>
      <c r="AV1658" t="inlineStr">
        <is>
          <t>Kommun</t>
        </is>
      </c>
      <c r="AW1658" t="inlineStr">
        <is>
          <t>Sundbybergs kommun</t>
        </is>
      </c>
      <c r="AX1658" t="inlineStr">
        <is>
          <t>2025-06</t>
        </is>
      </c>
      <c r="AY1658" t="inlineStr">
        <is>
          <t>Beslut</t>
        </is>
      </c>
      <c r="AZ1658" t="inlineStr">
        <is>
          <t>2026-02-03</t>
        </is>
      </c>
      <c r="BA1658" t="inlineStr">
        <is>
          <t>Masshanteringsplan v3 MIL.2025.564.pdf</t>
        </is>
      </c>
      <c r="BB1658" t="inlineStr">
        <is>
          <t>Sv: till registrator</t>
        </is>
      </c>
      <c r="BC1658" t="inlineStr">
        <is>
          <t>AUTO</t>
        </is>
      </c>
      <c r="BD1658" t="inlineStr"/>
      <c r="BE1658" t="inlineStr"/>
      <c r="BF1658" t="inlineStr">
        <is>
          <t>AUTO_GENERERAD. Bekrafta metadata mot kallfil.</t>
        </is>
      </c>
      <c r="BG1658">
        <f>HYPERLINK("C:\Users\jimmy\Desktop\Examens arbete\Kod\Ny mapp\remix_-copy-of-miljöbeslut.se-portal\Masshanteringsplan v3 MIL.2025.564.pdf", "Öppna PDF")</f>
        <v/>
      </c>
    </row>
    <row r="1659">
      <c r="A1659" t="inlineStr">
        <is>
          <t>KRAV-AUTO-001658</t>
        </is>
      </c>
      <c r="B1659" t="inlineStr">
        <is>
          <t>ADMIN-INDEX-2026-02-27-00000000125C043F57453246863FE664CAFE6A3F0700950291EA24F0614FB6ACEDB12BF0E31D00000000010C0000950291EA24F0614FB6ACEDB12BF0E31D00002087AEEF0000</t>
        </is>
      </c>
      <c r="C1659" t="inlineStr">
        <is>
          <t>cmm4yuo6c01d8cuqw19oz0flx</t>
        </is>
      </c>
      <c r="D1659" t="inlineStr">
        <is>
          <t>http://localhost:8787/api/admin/requirements/documents/cmm4yuo6c01d8cuqw19oz0flx/view</t>
        </is>
      </c>
      <c r="E1659">
        <f>HYPERLÄNK("http://localhost:8787/api/admin/requirements/documents/cmm4yuo6c01d8cuqw19oz0flx/view";"Öppna PDF")</f>
        <v/>
      </c>
      <c r="F1659">
        <f>HYPERLINK("http://localhost:8787/api/admin/requirements/documents/cmm4yuo6c01d8cuqw19oz0flx/view","Open PDF")</f>
        <v/>
      </c>
      <c r="G1659" t="inlineStr">
        <is>
          <t>cmm55w57p0004cuisfrtpqly8</t>
        </is>
      </c>
      <c r="H1659" t="inlineStr">
        <is>
          <t>Beslutsvillkor</t>
        </is>
      </c>
      <c r="I1659" t="inlineStr">
        <is>
          <t>Riskhantering</t>
        </is>
      </c>
      <c r="J1659" t="inlineStr">
        <is>
          <t>Riskkontroll</t>
        </is>
      </c>
      <c r="K1659" t="inlineStr">
        <is>
          <t>mer än 1 ton men högst 50 ton och utgörs av elektriska eller elektroniska produkter, 4.</t>
        </is>
      </c>
      <c r="L1659" t="inlineStr">
        <is>
          <t>mer än 1 ton men högst 50 ton och utgörs av elektriska eller elektroniska produkter, 4.</t>
        </is>
      </c>
      <c r="M1659" t="inlineStr">
        <is>
          <t>SKA</t>
        </is>
      </c>
      <c r="N1659" t="inlineStr"/>
      <c r="O1659" t="inlineStr"/>
      <c r="P1659" t="inlineStr"/>
      <c r="Q1659" t="inlineStr"/>
      <c r="R1659" t="inlineStr">
        <is>
          <t>Vid risk for incident</t>
        </is>
      </c>
      <c r="S1659" t="inlineStr"/>
      <c r="T1659" t="inlineStr">
        <is>
          <t>212000</t>
        </is>
      </c>
      <c r="U1659" t="n">
        <v>1</v>
      </c>
      <c r="V1659" t="inlineStr"/>
      <c r="W1659" t="inlineStr">
        <is>
          <t>Nej</t>
        </is>
      </c>
      <c r="X1659" t="inlineStr">
        <is>
          <t>Nej</t>
        </is>
      </c>
      <c r="Y1659" t="inlineStr">
        <is>
          <t>Ja</t>
        </is>
      </c>
      <c r="Z1659" t="inlineStr">
        <is>
          <t>Ja</t>
        </is>
      </c>
      <c r="AA1659" t="n">
        <v>8</v>
      </c>
      <c r="AB1659" t="inlineStr">
        <is>
          <t>Riskhantering</t>
        </is>
      </c>
      <c r="AC1659" t="inlineStr">
        <is>
          <t>Risk-PM</t>
        </is>
      </c>
      <c r="AD1659" t="inlineStr">
        <is>
          <t>Nej</t>
        </is>
      </c>
      <c r="AE1659" t="inlineStr">
        <is>
          <t>Nej</t>
        </is>
      </c>
      <c r="AF1659" t="inlineStr">
        <is>
          <t>Ej behandlad</t>
        </is>
      </c>
      <c r="AG1659" t="inlineStr">
        <is>
          <t>AUTO_GENERERAD. Verifiera citat mot kallfil.</t>
        </is>
      </c>
      <c r="AH1659" t="inlineStr">
        <is>
          <t>MEDIUM</t>
        </is>
      </c>
      <c r="AI1659" t="inlineStr">
        <is>
          <t>AUTO</t>
        </is>
      </c>
      <c r="AJ1659" t="inlineStr">
        <is>
          <t>Nej</t>
        </is>
      </c>
      <c r="AK1659" t="inlineStr"/>
      <c r="AL1659" t="inlineStr"/>
      <c r="AM1659" t="inlineStr"/>
      <c r="AN1659" t="inlineStr"/>
      <c r="AO1659" t="inlineStr">
        <is>
          <t>cmm4yuo6g01dbcuqwz2t0dw7t</t>
        </is>
      </c>
      <c r="AP1659" t="inlineStr">
        <is>
          <t>http://localhost:8787/api/admin/requirements/documents/cmm4yuo6g01dbcuqwz2t0dw7t/view</t>
        </is>
      </c>
      <c r="AQ1659">
        <f>HYPERLÄNK("http://localhost:8787/api/admin/requirements/documents/cmm4yuo6g01dbcuqwz2t0dw7t/view";"Öppna PDF")</f>
        <v/>
      </c>
      <c r="AR1659">
        <f>HYPERLINK("http://localhost:8787/api/admin/requirements/documents/cmm4yuo6g01dbcuqwz2t0dw7t/view","Open PDF")</f>
        <v/>
      </c>
      <c r="AS1659" t="inlineStr">
        <is>
          <t>cmm55w57p0004cuisfrtpqly8</t>
        </is>
      </c>
      <c r="AT1659" t="inlineStr">
        <is>
          <t>cmm4xvu980000cuh4vj0usz09</t>
        </is>
      </c>
      <c r="AU1659" t="inlineStr">
        <is>
          <t>Sundbybergs</t>
        </is>
      </c>
      <c r="AV1659" t="inlineStr">
        <is>
          <t>Kommun</t>
        </is>
      </c>
      <c r="AW1659" t="inlineStr">
        <is>
          <t>Sundbybergs kommun</t>
        </is>
      </c>
      <c r="AX1659" t="inlineStr">
        <is>
          <t>2025-06</t>
        </is>
      </c>
      <c r="AY1659" t="inlineStr">
        <is>
          <t>Beslut</t>
        </is>
      </c>
      <c r="AZ1659" t="inlineStr">
        <is>
          <t>2026-02-03</t>
        </is>
      </c>
      <c r="BA1659" t="inlineStr">
        <is>
          <t>Masshanteringsplan v3 MIL.2025.564.pdf</t>
        </is>
      </c>
      <c r="BB1659" t="inlineStr">
        <is>
          <t>Sv: till registrator</t>
        </is>
      </c>
      <c r="BC1659" t="inlineStr">
        <is>
          <t>AUTO</t>
        </is>
      </c>
      <c r="BD1659" t="inlineStr"/>
      <c r="BE1659" t="inlineStr"/>
      <c r="BF1659" t="inlineStr">
        <is>
          <t>AUTO_GENERERAD. Bekrafta metadata mot kallfil.</t>
        </is>
      </c>
      <c r="BG1659">
        <f>HYPERLINK("C:\Users\jimmy\Desktop\Examens arbete\Kod\Ny mapp\remix_-copy-of-miljöbeslut.se-portal\Masshanteringsplan v3 MIL.2025.564.pdf", "Öppna PDF")</f>
        <v/>
      </c>
    </row>
    <row r="1660">
      <c r="A1660" t="inlineStr">
        <is>
          <t>KRAV-AUTO-001659</t>
        </is>
      </c>
      <c r="B1660" t="inlineStr">
        <is>
          <t>ADMIN-INDEX-2026-02-27-00000000125C043F57453246863FE664CAFE6A3F0700950291EA24F0614FB6ACEDB12BF0E31D00000000010C0000950291EA24F0614FB6ACEDB12BF0E31D00002087AEEF0000</t>
        </is>
      </c>
      <c r="C1660" t="inlineStr">
        <is>
          <t>cmm4yuo6901d5cuqw8413hq9s</t>
        </is>
      </c>
      <c r="D1660" t="inlineStr">
        <is>
          <t>http://localhost:8787/api/admin/requirements/documents/cmm4yuo6901d5cuqw8413hq9s/view</t>
        </is>
      </c>
      <c r="E1660">
        <f>HYPERLÄNK("http://localhost:8787/api/admin/requirements/documents/cmm4yuo6901d5cuqw8413hq9s/view";"Öppna PDF")</f>
        <v/>
      </c>
      <c r="F1660">
        <f>HYPERLINK("http://localhost:8787/api/admin/requirements/documents/cmm4yuo6901d5cuqw8413hq9s/view","Open PDF")</f>
        <v/>
      </c>
      <c r="G1660" t="inlineStr">
        <is>
          <t>cmm55w57p0004cuisfrtpqly8</t>
        </is>
      </c>
      <c r="H1660" t="inlineStr">
        <is>
          <t>Beslutsvillkor</t>
        </is>
      </c>
      <c r="I1660" t="inlineStr">
        <is>
          <t>MiljopaverkanForsiktighet</t>
        </is>
      </c>
      <c r="J1660" t="inlineStr">
        <is>
          <t>Skyddsatgarder</t>
        </is>
      </c>
      <c r="K1660" t="inlineStr">
        <is>
          <t>Massor får inte lagras till den bullervall som ska byggas i området för Västra Ursvik, då det är en egen process att få använda avfallsmassor i anläggningsändamål.</t>
        </is>
      </c>
      <c r="L1660" t="inlineStr">
        <is>
          <t>Massor får inte lagras till den bullervall som ska byggas i området för Västra Ursvik, då det är en egen process att få använda avfallsmassor i anläggningsändamål.</t>
        </is>
      </c>
      <c r="M1660" t="inlineStr">
        <is>
          <t>SKA</t>
        </is>
      </c>
      <c r="N1660" t="inlineStr"/>
      <c r="O1660" t="inlineStr"/>
      <c r="P1660" t="inlineStr"/>
      <c r="Q1660" t="inlineStr">
        <is>
          <t>Driftbegransning vid avvikelse</t>
        </is>
      </c>
      <c r="R1660" t="inlineStr">
        <is>
          <t>Alltid</t>
        </is>
      </c>
      <c r="S1660" t="inlineStr"/>
      <c r="T1660" t="inlineStr">
        <is>
          <t>556484</t>
        </is>
      </c>
      <c r="U1660" t="inlineStr"/>
      <c r="V1660" t="inlineStr"/>
      <c r="W1660" t="inlineStr">
        <is>
          <t>Nej</t>
        </is>
      </c>
      <c r="X1660" t="inlineStr">
        <is>
          <t>Nej</t>
        </is>
      </c>
      <c r="Y1660" t="inlineStr">
        <is>
          <t>Nej</t>
        </is>
      </c>
      <c r="Z1660" t="inlineStr">
        <is>
          <t>Nej</t>
        </is>
      </c>
      <c r="AA1660" t="n">
        <v>10</v>
      </c>
      <c r="AB1660" t="inlineStr">
        <is>
          <t>Miljopaverkan och forsiktighetsmatt</t>
        </is>
      </c>
      <c r="AC1660" t="inlineStr">
        <is>
          <t>Miljo-PM</t>
        </is>
      </c>
      <c r="AD1660" t="inlineStr">
        <is>
          <t>Nej</t>
        </is>
      </c>
      <c r="AE1660" t="inlineStr">
        <is>
          <t>Nej</t>
        </is>
      </c>
      <c r="AF1660" t="inlineStr">
        <is>
          <t>Ej behandlad</t>
        </is>
      </c>
      <c r="AG1660" t="inlineStr">
        <is>
          <t>AUTO_GENERERAD. Verifiera citat mot kallfil.</t>
        </is>
      </c>
      <c r="AH1660" t="inlineStr">
        <is>
          <t>MEDIUM</t>
        </is>
      </c>
      <c r="AI1660" t="inlineStr">
        <is>
          <t>AUTO</t>
        </is>
      </c>
      <c r="AJ1660" t="inlineStr">
        <is>
          <t>Nej</t>
        </is>
      </c>
      <c r="AK1660" t="inlineStr"/>
      <c r="AL1660" t="inlineStr"/>
      <c r="AM1660" t="inlineStr"/>
      <c r="AN1660" t="inlineStr"/>
      <c r="AO1660" t="inlineStr">
        <is>
          <t>cmm4yuo6g01dbcuqwz2t0dw7t</t>
        </is>
      </c>
      <c r="AP1660" t="inlineStr">
        <is>
          <t>http://localhost:8787/api/admin/requirements/documents/cmm4yuo6g01dbcuqwz2t0dw7t/view</t>
        </is>
      </c>
      <c r="AQ1660">
        <f>HYPERLÄNK("http://localhost:8787/api/admin/requirements/documents/cmm4yuo6g01dbcuqwz2t0dw7t/view";"Öppna PDF")</f>
        <v/>
      </c>
      <c r="AR1660">
        <f>HYPERLINK("http://localhost:8787/api/admin/requirements/documents/cmm4yuo6g01dbcuqwz2t0dw7t/view","Open PDF")</f>
        <v/>
      </c>
      <c r="AS1660" t="inlineStr">
        <is>
          <t>cmm55w57p0004cuisfrtpqly8</t>
        </is>
      </c>
      <c r="AT1660" t="inlineStr">
        <is>
          <t>cmm4xvu980000cuh4vj0usz09</t>
        </is>
      </c>
      <c r="AU1660" t="inlineStr">
        <is>
          <t>Sundbybergs</t>
        </is>
      </c>
      <c r="AV1660" t="inlineStr">
        <is>
          <t>Kommun</t>
        </is>
      </c>
      <c r="AW1660" t="inlineStr">
        <is>
          <t>Sundbybergs kommun</t>
        </is>
      </c>
      <c r="AX1660" t="inlineStr">
        <is>
          <t>2025-06</t>
        </is>
      </c>
      <c r="AY1660" t="inlineStr">
        <is>
          <t>Beslut</t>
        </is>
      </c>
      <c r="AZ1660" t="inlineStr">
        <is>
          <t>2026-02-03</t>
        </is>
      </c>
      <c r="BA1660" t="inlineStr">
        <is>
          <t>Masshanteringsplan v3 MIL.2025.564.pdf</t>
        </is>
      </c>
      <c r="BB1660" t="inlineStr">
        <is>
          <t>Sv: till registrator</t>
        </is>
      </c>
      <c r="BC1660" t="inlineStr">
        <is>
          <t>AUTO</t>
        </is>
      </c>
      <c r="BD1660" t="inlineStr"/>
      <c r="BE1660" t="inlineStr"/>
      <c r="BF1660" t="inlineStr">
        <is>
          <t>AUTO_GENERERAD. Bekrafta metadata mot kallfil.</t>
        </is>
      </c>
      <c r="BG1660">
        <f>HYPERLINK("C:\Users\jimmy\Desktop\Examens arbete\Kod\Ny mapp\remix_-copy-of-miljöbeslut.se-portal\Masshanteringsplan v3 MIL.2025.564.pdf", "Öppna PDF")</f>
        <v/>
      </c>
    </row>
    <row r="1661">
      <c r="A1661" t="inlineStr">
        <is>
          <t>KRAV-AUTO-001660</t>
        </is>
      </c>
      <c r="B1661" t="inlineStr">
        <is>
          <t>ADMIN-INDEX-2026-02-27-00000000125C043F57453246863FE664CAFE6A3F0700950291EA24F0614FB6ACEDB12BF0E31D00000000010C0000950291EA24F0614FB6ACEDB12BF0E31D00002087AEEF0000</t>
        </is>
      </c>
      <c r="C1661" t="inlineStr">
        <is>
          <t>cmm4yuo6901d5cuqw8413hq9s</t>
        </is>
      </c>
      <c r="D1661" t="inlineStr">
        <is>
          <t>http://localhost:8787/api/admin/requirements/documents/cmm4yuo6901d5cuqw8413hq9s/view</t>
        </is>
      </c>
      <c r="E1661">
        <f>HYPERLÄNK("http://localhost:8787/api/admin/requirements/documents/cmm4yuo6901d5cuqw8413hq9s/view";"Öppna PDF")</f>
        <v/>
      </c>
      <c r="F1661">
        <f>HYPERLINK("http://localhost:8787/api/admin/requirements/documents/cmm4yuo6901d5cuqw8413hq9s/view","Open PDF")</f>
        <v/>
      </c>
      <c r="G1661" t="inlineStr">
        <is>
          <t>cmm55w57p0004cuisfrtpqly8</t>
        </is>
      </c>
      <c r="H1661" t="inlineStr">
        <is>
          <t>Beslutsvillkor</t>
        </is>
      </c>
      <c r="I1661" t="inlineStr">
        <is>
          <t>DriftEgenkontroll</t>
        </is>
      </c>
      <c r="J1661" t="inlineStr">
        <is>
          <t>Journalforing</t>
        </is>
      </c>
      <c r="K1661" t="inlineStr">
        <is>
          <t>Kompetens för att ta prover krävs för att säkerställa en relevant provtagning som kan användas som underlag för avfallslagringen.</t>
        </is>
      </c>
      <c r="L1661" t="inlineStr">
        <is>
          <t>Kompetens för att ta prover krävs för att säkerställa en relevant provtagning som kan användas som underlag för avfallslagringen.</t>
        </is>
      </c>
      <c r="M1661" t="inlineStr">
        <is>
          <t>SKA</t>
        </is>
      </c>
      <c r="N1661" t="inlineStr"/>
      <c r="O1661" t="inlineStr"/>
      <c r="P1661" t="inlineStr"/>
      <c r="Q1661" t="inlineStr"/>
      <c r="R1661" t="inlineStr">
        <is>
          <t>Lopande drift</t>
        </is>
      </c>
      <c r="S1661" t="inlineStr"/>
      <c r="T1661" t="inlineStr">
        <is>
          <t>556484</t>
        </is>
      </c>
      <c r="U1661" t="inlineStr"/>
      <c r="V1661" t="inlineStr"/>
      <c r="W1661" t="inlineStr">
        <is>
          <t>Nej</t>
        </is>
      </c>
      <c r="X1661" t="inlineStr">
        <is>
          <t>Nej</t>
        </is>
      </c>
      <c r="Y1661" t="inlineStr">
        <is>
          <t>Ja</t>
        </is>
      </c>
      <c r="Z1661" t="inlineStr">
        <is>
          <t>Nej</t>
        </is>
      </c>
      <c r="AA1661" t="n">
        <v>7</v>
      </c>
      <c r="AB1661" t="inlineStr">
        <is>
          <t>Egenkontrollrutiner</t>
        </is>
      </c>
      <c r="AC1661" t="inlineStr">
        <is>
          <t>Egenkontrollprogram</t>
        </is>
      </c>
      <c r="AD1661" t="inlineStr">
        <is>
          <t>Nej</t>
        </is>
      </c>
      <c r="AE1661" t="inlineStr">
        <is>
          <t>Nej</t>
        </is>
      </c>
      <c r="AF1661" t="inlineStr">
        <is>
          <t>Ej behandlad</t>
        </is>
      </c>
      <c r="AG1661" t="inlineStr">
        <is>
          <t>AUTO_GENERERAD. Verifiera citat mot kallfil.</t>
        </is>
      </c>
      <c r="AH1661" t="inlineStr">
        <is>
          <t>MEDIUM</t>
        </is>
      </c>
      <c r="AI1661" t="inlineStr">
        <is>
          <t>AUTO</t>
        </is>
      </c>
      <c r="AJ1661" t="inlineStr">
        <is>
          <t>Nej</t>
        </is>
      </c>
      <c r="AK1661" t="inlineStr"/>
      <c r="AL1661" t="inlineStr"/>
      <c r="AM1661" t="inlineStr"/>
      <c r="AN1661" t="inlineStr"/>
      <c r="AO1661" t="inlineStr">
        <is>
          <t>cmm4yuo6g01dbcuqwz2t0dw7t</t>
        </is>
      </c>
      <c r="AP1661" t="inlineStr">
        <is>
          <t>http://localhost:8787/api/admin/requirements/documents/cmm4yuo6g01dbcuqwz2t0dw7t/view</t>
        </is>
      </c>
      <c r="AQ1661">
        <f>HYPERLÄNK("http://localhost:8787/api/admin/requirements/documents/cmm4yuo6g01dbcuqwz2t0dw7t/view";"Öppna PDF")</f>
        <v/>
      </c>
      <c r="AR1661">
        <f>HYPERLINK("http://localhost:8787/api/admin/requirements/documents/cmm4yuo6g01dbcuqwz2t0dw7t/view","Open PDF")</f>
        <v/>
      </c>
      <c r="AS1661" t="inlineStr">
        <is>
          <t>cmm55w57p0004cuisfrtpqly8</t>
        </is>
      </c>
      <c r="AT1661" t="inlineStr">
        <is>
          <t>cmm4xvu980000cuh4vj0usz09</t>
        </is>
      </c>
      <c r="AU1661" t="inlineStr">
        <is>
          <t>Sundbybergs</t>
        </is>
      </c>
      <c r="AV1661" t="inlineStr">
        <is>
          <t>Kommun</t>
        </is>
      </c>
      <c r="AW1661" t="inlineStr">
        <is>
          <t>Sundbybergs kommun</t>
        </is>
      </c>
      <c r="AX1661" t="inlineStr">
        <is>
          <t>2025-06</t>
        </is>
      </c>
      <c r="AY1661" t="inlineStr">
        <is>
          <t>Beslut</t>
        </is>
      </c>
      <c r="AZ1661" t="inlineStr">
        <is>
          <t>2026-02-03</t>
        </is>
      </c>
      <c r="BA1661" t="inlineStr">
        <is>
          <t>Masshanteringsplan v3 MIL.2025.564.pdf</t>
        </is>
      </c>
      <c r="BB1661" t="inlineStr">
        <is>
          <t>Sv: till registrator</t>
        </is>
      </c>
      <c r="BC1661" t="inlineStr">
        <is>
          <t>AUTO</t>
        </is>
      </c>
      <c r="BD1661" t="inlineStr"/>
      <c r="BE1661" t="inlineStr"/>
      <c r="BF1661" t="inlineStr">
        <is>
          <t>AUTO_GENERERAD. Bekrafta metadata mot kallfil.</t>
        </is>
      </c>
      <c r="BG1661">
        <f>HYPERLINK("C:\Users\jimmy\Desktop\Examens arbete\Kod\Ny mapp\remix_-copy-of-miljöbeslut.se-portal\Masshanteringsplan v3 MIL.2025.564.pdf", "Öppna PDF")</f>
        <v/>
      </c>
    </row>
    <row r="1662">
      <c r="A1662" t="inlineStr">
        <is>
          <t>KRAV-AUTO-001661</t>
        </is>
      </c>
      <c r="B1662" t="inlineStr">
        <is>
          <t>ADMIN-INDEX-2026-02-27-00000000125C043F57453246863FE664CAFE6A3F0700950291EA24F0614FB6ACEDB12BF0E31D00000000010C0000950291EA24F0614FB6ACEDB12BF0E31D00002087AEEF0000</t>
        </is>
      </c>
      <c r="C1662" t="inlineStr">
        <is>
          <t>cmm4yuo6901d5cuqw8413hq9s</t>
        </is>
      </c>
      <c r="D1662" t="inlineStr">
        <is>
          <t>http://localhost:8787/api/admin/requirements/documents/cmm4yuo6901d5cuqw8413hq9s/view</t>
        </is>
      </c>
      <c r="E1662">
        <f>HYPERLÄNK("http://localhost:8787/api/admin/requirements/documents/cmm4yuo6901d5cuqw8413hq9s/view";"Öppna PDF")</f>
        <v/>
      </c>
      <c r="F1662">
        <f>HYPERLINK("http://localhost:8787/api/admin/requirements/documents/cmm4yuo6901d5cuqw8413hq9s/view","Open PDF")</f>
        <v/>
      </c>
      <c r="G1662" t="inlineStr">
        <is>
          <t>cmm55w57p0004cuisfrtpqly8</t>
        </is>
      </c>
      <c r="H1662" t="inlineStr">
        <is>
          <t>Beslutsvillkor</t>
        </is>
      </c>
      <c r="I1662" t="inlineStr">
        <is>
          <t>MiljopaverkanForsiktighet</t>
        </is>
      </c>
      <c r="J1662" t="inlineStr">
        <is>
          <t>Skyddsatgarder</t>
        </is>
      </c>
      <c r="K1662" t="inlineStr">
        <is>
          <t>Marken under avfallsmassorna ska vara täckt med markduk.</t>
        </is>
      </c>
      <c r="L1662" t="inlineStr">
        <is>
          <t>Marken under avfallsmassorna ska vara täckt med markduk.</t>
        </is>
      </c>
      <c r="M1662" t="inlineStr">
        <is>
          <t>SKA</t>
        </is>
      </c>
      <c r="N1662" t="inlineStr"/>
      <c r="O1662" t="inlineStr"/>
      <c r="P1662" t="inlineStr"/>
      <c r="Q1662" t="inlineStr"/>
      <c r="R1662" t="inlineStr">
        <is>
          <t>Alltid</t>
        </is>
      </c>
      <c r="S1662" t="inlineStr"/>
      <c r="T1662" t="inlineStr">
        <is>
          <t>556484</t>
        </is>
      </c>
      <c r="U1662" t="inlineStr"/>
      <c r="V1662" t="inlineStr"/>
      <c r="W1662" t="inlineStr">
        <is>
          <t>Nej</t>
        </is>
      </c>
      <c r="X1662" t="inlineStr">
        <is>
          <t>Nej</t>
        </is>
      </c>
      <c r="Y1662" t="inlineStr">
        <is>
          <t>Nej</t>
        </is>
      </c>
      <c r="Z1662" t="inlineStr">
        <is>
          <t>Nej</t>
        </is>
      </c>
      <c r="AA1662" t="n">
        <v>10</v>
      </c>
      <c r="AB1662" t="inlineStr">
        <is>
          <t>Miljopaverkan och forsiktighetsmatt</t>
        </is>
      </c>
      <c r="AC1662" t="inlineStr">
        <is>
          <t>Miljo-PM</t>
        </is>
      </c>
      <c r="AD1662" t="inlineStr">
        <is>
          <t>Nej</t>
        </is>
      </c>
      <c r="AE1662" t="inlineStr">
        <is>
          <t>Nej</t>
        </is>
      </c>
      <c r="AF1662" t="inlineStr">
        <is>
          <t>Ej behandlad</t>
        </is>
      </c>
      <c r="AG1662" t="inlineStr">
        <is>
          <t>AUTO_GENERERAD. Verifiera citat mot kallfil.</t>
        </is>
      </c>
      <c r="AH1662" t="inlineStr">
        <is>
          <t>MEDIUM</t>
        </is>
      </c>
      <c r="AI1662" t="inlineStr">
        <is>
          <t>AUTO</t>
        </is>
      </c>
      <c r="AJ1662" t="inlineStr">
        <is>
          <t>Nej</t>
        </is>
      </c>
      <c r="AK1662" t="inlineStr"/>
      <c r="AL1662" t="inlineStr"/>
      <c r="AM1662" t="inlineStr"/>
      <c r="AN1662" t="inlineStr"/>
      <c r="AO1662" t="inlineStr">
        <is>
          <t>cmm4yuo6g01dbcuqwz2t0dw7t</t>
        </is>
      </c>
      <c r="AP1662" t="inlineStr">
        <is>
          <t>http://localhost:8787/api/admin/requirements/documents/cmm4yuo6g01dbcuqwz2t0dw7t/view</t>
        </is>
      </c>
      <c r="AQ1662">
        <f>HYPERLÄNK("http://localhost:8787/api/admin/requirements/documents/cmm4yuo6g01dbcuqwz2t0dw7t/view";"Öppna PDF")</f>
        <v/>
      </c>
      <c r="AR1662">
        <f>HYPERLINK("http://localhost:8787/api/admin/requirements/documents/cmm4yuo6g01dbcuqwz2t0dw7t/view","Open PDF")</f>
        <v/>
      </c>
      <c r="AS1662" t="inlineStr">
        <is>
          <t>cmm55w57p0004cuisfrtpqly8</t>
        </is>
      </c>
      <c r="AT1662" t="inlineStr">
        <is>
          <t>cmm4xvu980000cuh4vj0usz09</t>
        </is>
      </c>
      <c r="AU1662" t="inlineStr">
        <is>
          <t>Sundbybergs</t>
        </is>
      </c>
      <c r="AV1662" t="inlineStr">
        <is>
          <t>Kommun</t>
        </is>
      </c>
      <c r="AW1662" t="inlineStr">
        <is>
          <t>Sundbybergs kommun</t>
        </is>
      </c>
      <c r="AX1662" t="inlineStr">
        <is>
          <t>2025-06</t>
        </is>
      </c>
      <c r="AY1662" t="inlineStr">
        <is>
          <t>Beslut</t>
        </is>
      </c>
      <c r="AZ1662" t="inlineStr">
        <is>
          <t>2026-02-03</t>
        </is>
      </c>
      <c r="BA1662" t="inlineStr">
        <is>
          <t>Masshanteringsplan v3 MIL.2025.564.pdf</t>
        </is>
      </c>
      <c r="BB1662" t="inlineStr">
        <is>
          <t>Sv: till registrator</t>
        </is>
      </c>
      <c r="BC1662" t="inlineStr">
        <is>
          <t>AUTO</t>
        </is>
      </c>
      <c r="BD1662" t="inlineStr"/>
      <c r="BE1662" t="inlineStr"/>
      <c r="BF1662" t="inlineStr">
        <is>
          <t>AUTO_GENERERAD. Bekrafta metadata mot kallfil.</t>
        </is>
      </c>
      <c r="BG1662">
        <f>HYPERLINK("C:\Users\jimmy\Desktop\Examens arbete\Kod\Ny mapp\remix_-copy-of-miljöbeslut.se-portal\Masshanteringsplan v3 MIL.2025.564.pdf", "Öppna PDF")</f>
        <v/>
      </c>
    </row>
    <row r="1663">
      <c r="A1663" t="inlineStr">
        <is>
          <t>KRAV-AUTO-001662</t>
        </is>
      </c>
      <c r="B1663" t="inlineStr">
        <is>
          <t>ADMIN-INDEX-2026-02-27-00000000125C043F57453246863FE664CAFE6A3F0700950291EA24F0614FB6ACEDB12BF0E31D00000000010C0000950291EA24F0614FB6ACEDB12BF0E31D00002087AEEF0000</t>
        </is>
      </c>
      <c r="C1663" t="inlineStr">
        <is>
          <t>cmm4yuo6401d2cuqwlac1bxce</t>
        </is>
      </c>
      <c r="D1663" t="inlineStr">
        <is>
          <t>http://localhost:8787/api/admin/requirements/documents/cmm4yuo6401d2cuqwlac1bxce/view</t>
        </is>
      </c>
      <c r="E1663">
        <f>HYPERLÄNK("http://localhost:8787/api/admin/requirements/documents/cmm4yuo6401d2cuqwlac1bxce/view";"Öppna PDF")</f>
        <v/>
      </c>
      <c r="F1663">
        <f>HYPERLINK("http://localhost:8787/api/admin/requirements/documents/cmm4yuo6401d2cuqwlac1bxce/view","Open PDF")</f>
        <v/>
      </c>
      <c r="G1663" t="inlineStr">
        <is>
          <t>cmm55w57p0004cuisfrtpqly8</t>
        </is>
      </c>
      <c r="H1663" t="inlineStr">
        <is>
          <t>Informationskrav</t>
        </is>
      </c>
      <c r="I1663" t="inlineStr">
        <is>
          <t>Riskhantering</t>
        </is>
      </c>
      <c r="J1663" t="inlineStr">
        <is>
          <t>Riskkontroll</t>
        </is>
      </c>
      <c r="K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63" t="inlineStr">
        <is>
          <t>SKA</t>
        </is>
      </c>
      <c r="N1663" t="inlineStr">
        <is>
          <t>FMH</t>
        </is>
      </c>
      <c r="O1663" t="inlineStr"/>
      <c r="P1663" t="inlineStr">
        <is>
          <t>Arlig</t>
        </is>
      </c>
      <c r="Q1663" t="inlineStr"/>
      <c r="R1663" t="inlineStr">
        <is>
          <t>Vid risk for incident</t>
        </is>
      </c>
      <c r="S1663" t="inlineStr"/>
      <c r="T1663" t="inlineStr"/>
      <c r="U1663" t="n">
        <v>5</v>
      </c>
      <c r="V1663" t="inlineStr"/>
      <c r="W1663" t="inlineStr">
        <is>
          <t>Nej</t>
        </is>
      </c>
      <c r="X1663" t="inlineStr">
        <is>
          <t>Nej</t>
        </is>
      </c>
      <c r="Y1663" t="inlineStr">
        <is>
          <t>Ja</t>
        </is>
      </c>
      <c r="Z1663" t="inlineStr">
        <is>
          <t>Ja</t>
        </is>
      </c>
      <c r="AA1663" t="n">
        <v>8</v>
      </c>
      <c r="AB1663" t="inlineStr">
        <is>
          <t>Riskhantering</t>
        </is>
      </c>
      <c r="AC1663" t="inlineStr">
        <is>
          <t>Risk-PM</t>
        </is>
      </c>
      <c r="AD1663" t="inlineStr">
        <is>
          <t>Nej</t>
        </is>
      </c>
      <c r="AE1663" t="inlineStr">
        <is>
          <t>Nej</t>
        </is>
      </c>
      <c r="AF1663" t="inlineStr">
        <is>
          <t>Ej behandlad</t>
        </is>
      </c>
      <c r="AG1663" t="inlineStr">
        <is>
          <t>AUTO_GENERERAD. Verifiera citat mot kallfil.</t>
        </is>
      </c>
      <c r="AH1663" t="inlineStr">
        <is>
          <t>MEDIUM</t>
        </is>
      </c>
      <c r="AI1663" t="inlineStr">
        <is>
          <t>AUTO</t>
        </is>
      </c>
      <c r="AJ1663" t="inlineStr">
        <is>
          <t>Nej</t>
        </is>
      </c>
      <c r="AK1663" t="inlineStr"/>
      <c r="AL1663" t="inlineStr"/>
      <c r="AM1663" t="inlineStr"/>
      <c r="AN1663" t="inlineStr"/>
      <c r="AO1663" t="inlineStr">
        <is>
          <t>cmm4yuo6g01dbcuqwz2t0dw7t</t>
        </is>
      </c>
      <c r="AP1663" t="inlineStr">
        <is>
          <t>http://localhost:8787/api/admin/requirements/documents/cmm4yuo6g01dbcuqwz2t0dw7t/view</t>
        </is>
      </c>
      <c r="AQ1663">
        <f>HYPERLÄNK("http://localhost:8787/api/admin/requirements/documents/cmm4yuo6g01dbcuqwz2t0dw7t/view";"Öppna PDF")</f>
        <v/>
      </c>
      <c r="AR1663">
        <f>HYPERLINK("http://localhost:8787/api/admin/requirements/documents/cmm4yuo6g01dbcuqwz2t0dw7t/view","Open PDF")</f>
        <v/>
      </c>
      <c r="AS1663" t="inlineStr">
        <is>
          <t>cmm55w57p0004cuisfrtpqly8</t>
        </is>
      </c>
      <c r="AT1663" t="inlineStr">
        <is>
          <t>cmm4xvu980000cuh4vj0usz09</t>
        </is>
      </c>
      <c r="AU1663" t="inlineStr">
        <is>
          <t>Sundbybergs</t>
        </is>
      </c>
      <c r="AV1663" t="inlineStr">
        <is>
          <t>Kommun</t>
        </is>
      </c>
      <c r="AW1663" t="inlineStr">
        <is>
          <t>Sundbybergs kommun</t>
        </is>
      </c>
      <c r="AX1663" t="inlineStr">
        <is>
          <t>2025-06</t>
        </is>
      </c>
      <c r="AY1663" t="inlineStr">
        <is>
          <t>Beslut</t>
        </is>
      </c>
      <c r="AZ1663" t="inlineStr">
        <is>
          <t>2026-02-03</t>
        </is>
      </c>
      <c r="BA1663" t="inlineStr">
        <is>
          <t>Masshanteringsplan v3 MIL.2025.564.pdf</t>
        </is>
      </c>
      <c r="BB1663" t="inlineStr">
        <is>
          <t>Sv: till registrator</t>
        </is>
      </c>
      <c r="BC1663" t="inlineStr">
        <is>
          <t>AUTO</t>
        </is>
      </c>
      <c r="BD1663" t="inlineStr"/>
      <c r="BE1663" t="inlineStr"/>
      <c r="BF1663" t="inlineStr">
        <is>
          <t>AUTO_GENERERAD. Bekrafta metadata mot kallfil.</t>
        </is>
      </c>
      <c r="BG1663">
        <f>HYPERLINK("C:\Users\jimmy\Desktop\Examens arbete\Kod\Ny mapp\remix_-copy-of-miljöbeslut.se-portal\Masshanteringsplan v3 MIL.2025.564.pdf", "Öppna PDF")</f>
        <v/>
      </c>
    </row>
    <row r="1664">
      <c r="A1664" t="inlineStr">
        <is>
          <t>KRAV-AUTO-001663</t>
        </is>
      </c>
      <c r="B1664" t="inlineStr">
        <is>
          <t>ADMIN-INDEX-2026-02-27-00000000125C043F57453246863FE664CAFE6A3F0700950291EA24F0614FB6ACEDB12BF0E31D00000000010C0000950291EA24F0614FB6ACEDB12BF0E31D00002087AEEF0000</t>
        </is>
      </c>
      <c r="C1664" t="inlineStr">
        <is>
          <t>cmm4yuo6401d2cuqwlac1bxce</t>
        </is>
      </c>
      <c r="D1664" t="inlineStr">
        <is>
          <t>http://localhost:8787/api/admin/requirements/documents/cmm4yuo6401d2cuqwlac1bxce/view</t>
        </is>
      </c>
      <c r="E1664">
        <f>HYPERLÄNK("http://localhost:8787/api/admin/requirements/documents/cmm4yuo6401d2cuqwlac1bxce/view";"Öppna PDF")</f>
        <v/>
      </c>
      <c r="F1664">
        <f>HYPERLINK("http://localhost:8787/api/admin/requirements/documents/cmm4yuo6401d2cuqwlac1bxce/view","Open PDF")</f>
        <v/>
      </c>
      <c r="G1664" t="inlineStr">
        <is>
          <t>cmm55w57p0004cuisfrtpqly8</t>
        </is>
      </c>
      <c r="H1664" t="inlineStr">
        <is>
          <t>Informationskrav</t>
        </is>
      </c>
      <c r="I1664" t="inlineStr">
        <is>
          <t>LagringsvolymTid</t>
        </is>
      </c>
      <c r="J1664" t="inlineStr">
        <is>
          <t>Maxmangd</t>
        </is>
      </c>
      <c r="K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4" t="inlineStr">
        <is>
          <t>SKA</t>
        </is>
      </c>
      <c r="N1664" t="inlineStr"/>
      <c r="O1664" t="inlineStr"/>
      <c r="P1664" t="inlineStr">
        <is>
          <t>Arlig</t>
        </is>
      </c>
      <c r="Q1664" t="inlineStr"/>
      <c r="R1664" t="inlineStr">
        <is>
          <t>Alltid</t>
        </is>
      </c>
      <c r="S1664" t="inlineStr"/>
      <c r="T1664" t="inlineStr"/>
      <c r="U1664" t="n">
        <v>10</v>
      </c>
      <c r="V1664" t="inlineStr"/>
      <c r="W1664" t="inlineStr">
        <is>
          <t>Nej</t>
        </is>
      </c>
      <c r="X1664" t="inlineStr">
        <is>
          <t>Nej</t>
        </is>
      </c>
      <c r="Y1664" t="inlineStr">
        <is>
          <t>Nej</t>
        </is>
      </c>
      <c r="Z1664" t="inlineStr">
        <is>
          <t>Nej</t>
        </is>
      </c>
      <c r="AA1664" t="n">
        <v>4</v>
      </c>
      <c r="AB1664" t="inlineStr">
        <is>
          <t>Avfallsmangder och lagringstid</t>
        </is>
      </c>
      <c r="AC1664" t="inlineStr">
        <is>
          <t>Avfallsforteckning</t>
        </is>
      </c>
      <c r="AD1664" t="inlineStr">
        <is>
          <t>Nej</t>
        </is>
      </c>
      <c r="AE1664" t="inlineStr">
        <is>
          <t>Nej</t>
        </is>
      </c>
      <c r="AF1664" t="inlineStr">
        <is>
          <t>Ej behandlad</t>
        </is>
      </c>
      <c r="AG1664" t="inlineStr">
        <is>
          <t>AUTO_GENERERAD. Verifiera citat mot kallfil.</t>
        </is>
      </c>
      <c r="AH1664" t="inlineStr">
        <is>
          <t>MEDIUM</t>
        </is>
      </c>
      <c r="AI1664" t="inlineStr">
        <is>
          <t>AUTO</t>
        </is>
      </c>
      <c r="AJ1664" t="inlineStr">
        <is>
          <t>Nej</t>
        </is>
      </c>
      <c r="AK1664" t="inlineStr"/>
      <c r="AL1664" t="inlineStr"/>
      <c r="AM1664" t="inlineStr"/>
      <c r="AN1664" t="inlineStr"/>
      <c r="AO1664" t="inlineStr">
        <is>
          <t>cmm4yuo6g01dbcuqwz2t0dw7t</t>
        </is>
      </c>
      <c r="AP1664" t="inlineStr">
        <is>
          <t>http://localhost:8787/api/admin/requirements/documents/cmm4yuo6g01dbcuqwz2t0dw7t/view</t>
        </is>
      </c>
      <c r="AQ1664">
        <f>HYPERLÄNK("http://localhost:8787/api/admin/requirements/documents/cmm4yuo6g01dbcuqwz2t0dw7t/view";"Öppna PDF")</f>
        <v/>
      </c>
      <c r="AR1664">
        <f>HYPERLINK("http://localhost:8787/api/admin/requirements/documents/cmm4yuo6g01dbcuqwz2t0dw7t/view","Open PDF")</f>
        <v/>
      </c>
      <c r="AS1664" t="inlineStr">
        <is>
          <t>cmm55w57p0004cuisfrtpqly8</t>
        </is>
      </c>
      <c r="AT1664" t="inlineStr">
        <is>
          <t>cmm4xvu980000cuh4vj0usz09</t>
        </is>
      </c>
      <c r="AU1664" t="inlineStr">
        <is>
          <t>Sundbybergs</t>
        </is>
      </c>
      <c r="AV1664" t="inlineStr">
        <is>
          <t>Kommun</t>
        </is>
      </c>
      <c r="AW1664" t="inlineStr">
        <is>
          <t>Sundbybergs kommun</t>
        </is>
      </c>
      <c r="AX1664" t="inlineStr">
        <is>
          <t>2025-06</t>
        </is>
      </c>
      <c r="AY1664" t="inlineStr">
        <is>
          <t>Beslut</t>
        </is>
      </c>
      <c r="AZ1664" t="inlineStr">
        <is>
          <t>2026-02-03</t>
        </is>
      </c>
      <c r="BA1664" t="inlineStr">
        <is>
          <t>Masshanteringsplan v3 MIL.2025.564.pdf</t>
        </is>
      </c>
      <c r="BB1664" t="inlineStr">
        <is>
          <t>Sv: till registrator</t>
        </is>
      </c>
      <c r="BC1664" t="inlineStr">
        <is>
          <t>AUTO</t>
        </is>
      </c>
      <c r="BD1664" t="inlineStr"/>
      <c r="BE1664" t="inlineStr"/>
      <c r="BF1664" t="inlineStr">
        <is>
          <t>AUTO_GENERERAD. Bekrafta metadata mot kallfil.</t>
        </is>
      </c>
      <c r="BG1664">
        <f>HYPERLINK("C:\Users\jimmy\Desktop\Examens arbete\Kod\Ny mapp\remix_-copy-of-miljöbeslut.se-portal\Masshanteringsplan v3 MIL.2025.564.pdf", "Öppna PDF")</f>
        <v/>
      </c>
    </row>
    <row r="1665">
      <c r="A1665" t="inlineStr">
        <is>
          <t>KRAV-AUTO-001664</t>
        </is>
      </c>
      <c r="B1665" t="inlineStr">
        <is>
          <t>ADMIN-INDEX-2026-02-27-00000000125C043F57453246863FE664CAFE6A3F0700950291EA24F0614FB6ACEDB12BF0E31D00000000010C0000950291EA24F0614FB6ACEDB12BF0E31D00002087AEEF0000</t>
        </is>
      </c>
      <c r="C1665" t="inlineStr">
        <is>
          <t>cmm4yuo6401d2cuqwlac1bxce</t>
        </is>
      </c>
      <c r="D1665" t="inlineStr">
        <is>
          <t>http://localhost:8787/api/admin/requirements/documents/cmm4yuo6401d2cuqwlac1bxce/view</t>
        </is>
      </c>
      <c r="E1665">
        <f>HYPERLÄNK("http://localhost:8787/api/admin/requirements/documents/cmm4yuo6401d2cuqwlac1bxce/view";"Öppna PDF")</f>
        <v/>
      </c>
      <c r="F1665">
        <f>HYPERLINK("http://localhost:8787/api/admin/requirements/documents/cmm4yuo6401d2cuqwlac1bxce/view","Open PDF")</f>
        <v/>
      </c>
      <c r="G1665" t="inlineStr">
        <is>
          <t>cmm55w57p0004cuisfrtpqly8</t>
        </is>
      </c>
      <c r="H1665" t="inlineStr">
        <is>
          <t>Informationskrav</t>
        </is>
      </c>
      <c r="I1665" t="inlineStr">
        <is>
          <t>LagringsvolymTid</t>
        </is>
      </c>
      <c r="J1665" t="inlineStr">
        <is>
          <t>Maxmangd</t>
        </is>
      </c>
      <c r="K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65" t="inlineStr">
        <is>
          <t>SKA</t>
        </is>
      </c>
      <c r="N1665" t="inlineStr"/>
      <c r="O1665" t="inlineStr"/>
      <c r="P1665" t="inlineStr">
        <is>
          <t>Arlig</t>
        </is>
      </c>
      <c r="Q1665" t="inlineStr"/>
      <c r="R1665" t="inlineStr">
        <is>
          <t>Alltid</t>
        </is>
      </c>
      <c r="S1665" t="inlineStr"/>
      <c r="T1665" t="inlineStr"/>
      <c r="U1665" t="n">
        <v>0</v>
      </c>
      <c r="V1665" t="inlineStr"/>
      <c r="W1665" t="inlineStr">
        <is>
          <t>Nej</t>
        </is>
      </c>
      <c r="X1665" t="inlineStr">
        <is>
          <t>Nej</t>
        </is>
      </c>
      <c r="Y1665" t="inlineStr">
        <is>
          <t>Nej</t>
        </is>
      </c>
      <c r="Z1665" t="inlineStr">
        <is>
          <t>Nej</t>
        </is>
      </c>
      <c r="AA1665" t="n">
        <v>4</v>
      </c>
      <c r="AB1665" t="inlineStr">
        <is>
          <t>Avfallsmangder och lagringstid</t>
        </is>
      </c>
      <c r="AC1665" t="inlineStr">
        <is>
          <t>Avfallsforteckning</t>
        </is>
      </c>
      <c r="AD1665" t="inlineStr">
        <is>
          <t>Nej</t>
        </is>
      </c>
      <c r="AE1665" t="inlineStr">
        <is>
          <t>Nej</t>
        </is>
      </c>
      <c r="AF1665" t="inlineStr">
        <is>
          <t>Ej behandlad</t>
        </is>
      </c>
      <c r="AG1665" t="inlineStr">
        <is>
          <t>AUTO_GENERERAD. Verifiera citat mot kallfil.</t>
        </is>
      </c>
      <c r="AH1665" t="inlineStr">
        <is>
          <t>MEDIUM</t>
        </is>
      </c>
      <c r="AI1665" t="inlineStr">
        <is>
          <t>AUTO</t>
        </is>
      </c>
      <c r="AJ1665" t="inlineStr">
        <is>
          <t>Nej</t>
        </is>
      </c>
      <c r="AK1665" t="inlineStr"/>
      <c r="AL1665" t="inlineStr"/>
      <c r="AM1665" t="inlineStr"/>
      <c r="AN1665" t="inlineStr"/>
      <c r="AO1665" t="inlineStr">
        <is>
          <t>cmm4yuo6g01dbcuqwz2t0dw7t</t>
        </is>
      </c>
      <c r="AP1665" t="inlineStr">
        <is>
          <t>http://localhost:8787/api/admin/requirements/documents/cmm4yuo6g01dbcuqwz2t0dw7t/view</t>
        </is>
      </c>
      <c r="AQ1665">
        <f>HYPERLÄNK("http://localhost:8787/api/admin/requirements/documents/cmm4yuo6g01dbcuqwz2t0dw7t/view";"Öppna PDF")</f>
        <v/>
      </c>
      <c r="AR1665">
        <f>HYPERLINK("http://localhost:8787/api/admin/requirements/documents/cmm4yuo6g01dbcuqwz2t0dw7t/view","Open PDF")</f>
        <v/>
      </c>
      <c r="AS1665" t="inlineStr">
        <is>
          <t>cmm55w57p0004cuisfrtpqly8</t>
        </is>
      </c>
      <c r="AT1665" t="inlineStr">
        <is>
          <t>cmm4xvu980000cuh4vj0usz09</t>
        </is>
      </c>
      <c r="AU1665" t="inlineStr">
        <is>
          <t>Sundbybergs</t>
        </is>
      </c>
      <c r="AV1665" t="inlineStr">
        <is>
          <t>Kommun</t>
        </is>
      </c>
      <c r="AW1665" t="inlineStr">
        <is>
          <t>Sundbybergs kommun</t>
        </is>
      </c>
      <c r="AX1665" t="inlineStr">
        <is>
          <t>2025-06</t>
        </is>
      </c>
      <c r="AY1665" t="inlineStr">
        <is>
          <t>Beslut</t>
        </is>
      </c>
      <c r="AZ1665" t="inlineStr">
        <is>
          <t>2026-02-03</t>
        </is>
      </c>
      <c r="BA1665" t="inlineStr">
        <is>
          <t>Masshanteringsplan v3 MIL.2025.564.pdf</t>
        </is>
      </c>
      <c r="BB1665" t="inlineStr">
        <is>
          <t>Sv: till registrator</t>
        </is>
      </c>
      <c r="BC1665" t="inlineStr">
        <is>
          <t>AUTO</t>
        </is>
      </c>
      <c r="BD1665" t="inlineStr"/>
      <c r="BE1665" t="inlineStr"/>
      <c r="BF1665" t="inlineStr">
        <is>
          <t>AUTO_GENERERAD. Bekrafta metadata mot kallfil.</t>
        </is>
      </c>
      <c r="BG1665">
        <f>HYPERLINK("C:\Users\jimmy\Desktop\Examens arbete\Kod\Ny mapp\remix_-copy-of-miljöbeslut.se-portal\Masshanteringsplan v3 MIL.2025.564.pdf", "Öppna PDF")</f>
        <v/>
      </c>
    </row>
    <row r="1666">
      <c r="A1666" t="inlineStr">
        <is>
          <t>KRAV-AUTO-001665</t>
        </is>
      </c>
      <c r="B1666" t="inlineStr">
        <is>
          <t>ADMIN-INDEX-2026-02-27-00000000125C043F57453246863FE664CAFE6A3F0700950291EA24F0614FB6ACEDB12BF0E31D00000000010C0000950291EA24F0614FB6ACEDB12BF0E31D00002087AEEF0000</t>
        </is>
      </c>
      <c r="C1666" t="inlineStr">
        <is>
          <t>cmm4yuo5z01czcuqwu97fap0g</t>
        </is>
      </c>
      <c r="D1666" t="inlineStr">
        <is>
          <t>http://localhost:8787/api/admin/requirements/documents/cmm4yuo5z01czcuqwu97fap0g/view</t>
        </is>
      </c>
      <c r="E1666">
        <f>HYPERLÄNK("http://localhost:8787/api/admin/requirements/documents/cmm4yuo5z01czcuqwu97fap0g/view";"Öppna PDF")</f>
        <v/>
      </c>
      <c r="F1666">
        <f>HYPERLINK("http://localhost:8787/api/admin/requirements/documents/cmm4yuo5z01czcuqwu97fap0g/view","Open PDF")</f>
        <v/>
      </c>
      <c r="G1666" t="inlineStr">
        <is>
          <t>cmm55w57p0004cuisfrtpqly8</t>
        </is>
      </c>
      <c r="H1666" t="inlineStr">
        <is>
          <t>Informationskrav</t>
        </is>
      </c>
      <c r="I1666" t="inlineStr">
        <is>
          <t>LagringsvolymTid</t>
        </is>
      </c>
      <c r="J1666" t="inlineStr">
        <is>
          <t>Maxmangd</t>
        </is>
      </c>
      <c r="K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6" t="inlineStr">
        <is>
          <t>SKA</t>
        </is>
      </c>
      <c r="N1666" t="inlineStr"/>
      <c r="O1666" t="inlineStr"/>
      <c r="P1666" t="inlineStr">
        <is>
          <t>Arlig</t>
        </is>
      </c>
      <c r="Q1666" t="inlineStr"/>
      <c r="R1666" t="inlineStr">
        <is>
          <t>Alltid</t>
        </is>
      </c>
      <c r="S1666" t="inlineStr"/>
      <c r="T1666" t="inlineStr"/>
      <c r="U1666" t="n">
        <v>10</v>
      </c>
      <c r="V1666" t="inlineStr"/>
      <c r="W1666" t="inlineStr">
        <is>
          <t>Nej</t>
        </is>
      </c>
      <c r="X1666" t="inlineStr">
        <is>
          <t>Nej</t>
        </is>
      </c>
      <c r="Y1666" t="inlineStr">
        <is>
          <t>Nej</t>
        </is>
      </c>
      <c r="Z1666" t="inlineStr">
        <is>
          <t>Nej</t>
        </is>
      </c>
      <c r="AA1666" t="n">
        <v>4</v>
      </c>
      <c r="AB1666" t="inlineStr">
        <is>
          <t>Avfallsmangder och lagringstid</t>
        </is>
      </c>
      <c r="AC1666" t="inlineStr">
        <is>
          <t>Avfallsforteckning</t>
        </is>
      </c>
      <c r="AD1666" t="inlineStr">
        <is>
          <t>Nej</t>
        </is>
      </c>
      <c r="AE1666" t="inlineStr">
        <is>
          <t>Nej</t>
        </is>
      </c>
      <c r="AF1666" t="inlineStr">
        <is>
          <t>Ej behandlad</t>
        </is>
      </c>
      <c r="AG1666" t="inlineStr">
        <is>
          <t>AUTO_GENERERAD. Verifiera citat mot kallfil.</t>
        </is>
      </c>
      <c r="AH1666" t="inlineStr">
        <is>
          <t>MEDIUM</t>
        </is>
      </c>
      <c r="AI1666" t="inlineStr">
        <is>
          <t>AUTO</t>
        </is>
      </c>
      <c r="AJ1666" t="inlineStr">
        <is>
          <t>Nej</t>
        </is>
      </c>
      <c r="AK1666" t="inlineStr"/>
      <c r="AL1666" t="inlineStr"/>
      <c r="AM1666" t="inlineStr"/>
      <c r="AN1666" t="inlineStr"/>
      <c r="AO1666" t="inlineStr">
        <is>
          <t>cmm4yuo6g01dbcuqwz2t0dw7t</t>
        </is>
      </c>
      <c r="AP1666" t="inlineStr">
        <is>
          <t>http://localhost:8787/api/admin/requirements/documents/cmm4yuo6g01dbcuqwz2t0dw7t/view</t>
        </is>
      </c>
      <c r="AQ1666">
        <f>HYPERLÄNK("http://localhost:8787/api/admin/requirements/documents/cmm4yuo6g01dbcuqwz2t0dw7t/view";"Öppna PDF")</f>
        <v/>
      </c>
      <c r="AR1666">
        <f>HYPERLINK("http://localhost:8787/api/admin/requirements/documents/cmm4yuo6g01dbcuqwz2t0dw7t/view","Open PDF")</f>
        <v/>
      </c>
      <c r="AS1666" t="inlineStr">
        <is>
          <t>cmm55w57p0004cuisfrtpqly8</t>
        </is>
      </c>
      <c r="AT1666" t="inlineStr">
        <is>
          <t>cmm4xvu980000cuh4vj0usz09</t>
        </is>
      </c>
      <c r="AU1666" t="inlineStr">
        <is>
          <t>Sundbybergs</t>
        </is>
      </c>
      <c r="AV1666" t="inlineStr">
        <is>
          <t>Kommun</t>
        </is>
      </c>
      <c r="AW1666" t="inlineStr">
        <is>
          <t>Sundbybergs kommun</t>
        </is>
      </c>
      <c r="AX1666" t="inlineStr">
        <is>
          <t>2025-06</t>
        </is>
      </c>
      <c r="AY1666" t="inlineStr">
        <is>
          <t>Beslut</t>
        </is>
      </c>
      <c r="AZ1666" t="inlineStr">
        <is>
          <t>2026-02-03</t>
        </is>
      </c>
      <c r="BA1666" t="inlineStr">
        <is>
          <t>Masshanteringsplan v3 MIL.2025.564.pdf</t>
        </is>
      </c>
      <c r="BB1666" t="inlineStr">
        <is>
          <t>Sv: till registrator</t>
        </is>
      </c>
      <c r="BC1666" t="inlineStr">
        <is>
          <t>AUTO</t>
        </is>
      </c>
      <c r="BD1666" t="inlineStr"/>
      <c r="BE1666" t="inlineStr"/>
      <c r="BF1666" t="inlineStr">
        <is>
          <t>AUTO_GENERERAD. Bekrafta metadata mot kallfil.</t>
        </is>
      </c>
      <c r="BG1666">
        <f>HYPERLINK("C:\Users\jimmy\Desktop\Examens arbete\Kod\Ny mapp\remix_-copy-of-miljöbeslut.se-portal\Masshanteringsplan v3 MIL.2025.564.pdf", "Öppna PDF")</f>
        <v/>
      </c>
    </row>
    <row r="1667">
      <c r="A1667" t="inlineStr">
        <is>
          <t>KRAV-AUTO-001666</t>
        </is>
      </c>
      <c r="B1667" t="inlineStr">
        <is>
          <t>ADMIN-INDEX-2026-02-27-00000000125C043F57453246863FE664CAFE6A3F0700950291EA24F0614FB6ACEDB12BF0E31D00000000010C0000950291EA24F0614FB6ACEDB12BF0E31D00002087AEEF0000</t>
        </is>
      </c>
      <c r="C1667" t="inlineStr">
        <is>
          <t>cmm4yuo5z01czcuqwu97fap0g</t>
        </is>
      </c>
      <c r="D1667" t="inlineStr">
        <is>
          <t>http://localhost:8787/api/admin/requirements/documents/cmm4yuo5z01czcuqwu97fap0g/view</t>
        </is>
      </c>
      <c r="E1667">
        <f>HYPERLÄNK("http://localhost:8787/api/admin/requirements/documents/cmm4yuo5z01czcuqwu97fap0g/view";"Öppna PDF")</f>
        <v/>
      </c>
      <c r="F1667">
        <f>HYPERLINK("http://localhost:8787/api/admin/requirements/documents/cmm4yuo5z01czcuqwu97fap0g/view","Open PDF")</f>
        <v/>
      </c>
      <c r="G1667" t="inlineStr">
        <is>
          <t>cmm55w57p0004cuisfrtpqly8</t>
        </is>
      </c>
      <c r="H1667" t="inlineStr">
        <is>
          <t>Informationskrav</t>
        </is>
      </c>
      <c r="I1667" t="inlineStr">
        <is>
          <t>LagringsvolymTid</t>
        </is>
      </c>
      <c r="J1667" t="inlineStr">
        <is>
          <t>Maxmangd</t>
        </is>
      </c>
      <c r="K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67" t="inlineStr">
        <is>
          <t>SKA</t>
        </is>
      </c>
      <c r="N1667" t="inlineStr"/>
      <c r="O1667" t="inlineStr"/>
      <c r="P1667" t="inlineStr">
        <is>
          <t>Arlig</t>
        </is>
      </c>
      <c r="Q1667" t="inlineStr"/>
      <c r="R1667" t="inlineStr">
        <is>
          <t>Alltid</t>
        </is>
      </c>
      <c r="S1667" t="inlineStr"/>
      <c r="T1667" t="inlineStr"/>
      <c r="U1667" t="n">
        <v>0</v>
      </c>
      <c r="V1667" t="inlineStr"/>
      <c r="W1667" t="inlineStr">
        <is>
          <t>Nej</t>
        </is>
      </c>
      <c r="X1667" t="inlineStr">
        <is>
          <t>Nej</t>
        </is>
      </c>
      <c r="Y1667" t="inlineStr">
        <is>
          <t>Nej</t>
        </is>
      </c>
      <c r="Z1667" t="inlineStr">
        <is>
          <t>Nej</t>
        </is>
      </c>
      <c r="AA1667" t="n">
        <v>4</v>
      </c>
      <c r="AB1667" t="inlineStr">
        <is>
          <t>Avfallsmangder och lagringstid</t>
        </is>
      </c>
      <c r="AC1667" t="inlineStr">
        <is>
          <t>Avfallsforteckning</t>
        </is>
      </c>
      <c r="AD1667" t="inlineStr">
        <is>
          <t>Nej</t>
        </is>
      </c>
      <c r="AE1667" t="inlineStr">
        <is>
          <t>Nej</t>
        </is>
      </c>
      <c r="AF1667" t="inlineStr">
        <is>
          <t>Ej behandlad</t>
        </is>
      </c>
      <c r="AG1667" t="inlineStr">
        <is>
          <t>AUTO_GENERERAD. Verifiera citat mot kallfil.</t>
        </is>
      </c>
      <c r="AH1667" t="inlineStr">
        <is>
          <t>MEDIUM</t>
        </is>
      </c>
      <c r="AI1667" t="inlineStr">
        <is>
          <t>AUTO</t>
        </is>
      </c>
      <c r="AJ1667" t="inlineStr">
        <is>
          <t>Nej</t>
        </is>
      </c>
      <c r="AK1667" t="inlineStr"/>
      <c r="AL1667" t="inlineStr"/>
      <c r="AM1667" t="inlineStr"/>
      <c r="AN1667" t="inlineStr"/>
      <c r="AO1667" t="inlineStr">
        <is>
          <t>cmm4yuo6g01dbcuqwz2t0dw7t</t>
        </is>
      </c>
      <c r="AP1667" t="inlineStr">
        <is>
          <t>http://localhost:8787/api/admin/requirements/documents/cmm4yuo6g01dbcuqwz2t0dw7t/view</t>
        </is>
      </c>
      <c r="AQ1667">
        <f>HYPERLÄNK("http://localhost:8787/api/admin/requirements/documents/cmm4yuo6g01dbcuqwz2t0dw7t/view";"Öppna PDF")</f>
        <v/>
      </c>
      <c r="AR1667">
        <f>HYPERLINK("http://localhost:8787/api/admin/requirements/documents/cmm4yuo6g01dbcuqwz2t0dw7t/view","Open PDF")</f>
        <v/>
      </c>
      <c r="AS1667" t="inlineStr">
        <is>
          <t>cmm55w57p0004cuisfrtpqly8</t>
        </is>
      </c>
      <c r="AT1667" t="inlineStr">
        <is>
          <t>cmm4xvu980000cuh4vj0usz09</t>
        </is>
      </c>
      <c r="AU1667" t="inlineStr">
        <is>
          <t>Sundbybergs</t>
        </is>
      </c>
      <c r="AV1667" t="inlineStr">
        <is>
          <t>Kommun</t>
        </is>
      </c>
      <c r="AW1667" t="inlineStr">
        <is>
          <t>Sundbybergs kommun</t>
        </is>
      </c>
      <c r="AX1667" t="inlineStr">
        <is>
          <t>2025-06</t>
        </is>
      </c>
      <c r="AY1667" t="inlineStr">
        <is>
          <t>Beslut</t>
        </is>
      </c>
      <c r="AZ1667" t="inlineStr">
        <is>
          <t>2026-02-03</t>
        </is>
      </c>
      <c r="BA1667" t="inlineStr">
        <is>
          <t>Masshanteringsplan v3 MIL.2025.564.pdf</t>
        </is>
      </c>
      <c r="BB1667" t="inlineStr">
        <is>
          <t>Sv: till registrator</t>
        </is>
      </c>
      <c r="BC1667" t="inlineStr">
        <is>
          <t>AUTO</t>
        </is>
      </c>
      <c r="BD1667" t="inlineStr"/>
      <c r="BE1667" t="inlineStr"/>
      <c r="BF1667" t="inlineStr">
        <is>
          <t>AUTO_GENERERAD. Bekrafta metadata mot kallfil.</t>
        </is>
      </c>
      <c r="BG1667">
        <f>HYPERLINK("C:\Users\jimmy\Desktop\Examens arbete\Kod\Ny mapp\remix_-copy-of-miljöbeslut.se-portal\Masshanteringsplan v3 MIL.2025.564.pdf", "Öppna PDF")</f>
        <v/>
      </c>
    </row>
    <row r="1668">
      <c r="A1668" t="inlineStr">
        <is>
          <t>KRAV-AUTO-001667</t>
        </is>
      </c>
      <c r="B1668" t="inlineStr">
        <is>
          <t>ADMIN-INDEX-2026-02-27-00000000125C043F57453246863FE664CAFE6A3F0700950291EA24F0614FB6ACEDB12BF0E31D00000000010C0000950291EA24F0614FB6ACEDB12BF0E31D00002087AEEF0000</t>
        </is>
      </c>
      <c r="C1668" t="inlineStr">
        <is>
          <t>cmm4yuo5z01czcuqwu97fap0g</t>
        </is>
      </c>
      <c r="D1668" t="inlineStr">
        <is>
          <t>http://localhost:8787/api/admin/requirements/documents/cmm4yuo5z01czcuqwu97fap0g/view</t>
        </is>
      </c>
      <c r="E1668">
        <f>HYPERLÄNK("http://localhost:8787/api/admin/requirements/documents/cmm4yuo5z01czcuqwu97fap0g/view";"Öppna PDF")</f>
        <v/>
      </c>
      <c r="F1668">
        <f>HYPERLINK("http://localhost:8787/api/admin/requirements/documents/cmm4yuo5z01czcuqwu97fap0g/view","Open PDF")</f>
        <v/>
      </c>
      <c r="G1668" t="inlineStr">
        <is>
          <t>cmm55w57p0004cuisfrtpqly8</t>
        </is>
      </c>
      <c r="H1668" t="inlineStr">
        <is>
          <t>Informationskrav</t>
        </is>
      </c>
      <c r="I1668" t="inlineStr">
        <is>
          <t>TransportLogistik</t>
        </is>
      </c>
      <c r="J1668" t="inlineStr">
        <is>
          <t>Transportvagar</t>
        </is>
      </c>
      <c r="K1668" t="inlineStr">
        <is>
          <t>(Om farligt avfall krävs att transportör innehar transporttillstånd från länsstyrelsen förtransport av farligt avfall.) Sundbybergs stad och entreprenör.</t>
        </is>
      </c>
      <c r="L1668" t="inlineStr">
        <is>
          <t>(Om farligt avfall krävs att transportör innehar transporttillstånd från länsstyrelsen förtransport av farligt avfall.) Sundbybergs stad och entreprenör.</t>
        </is>
      </c>
      <c r="M1668" t="inlineStr">
        <is>
          <t>SKA</t>
        </is>
      </c>
      <c r="N1668" t="inlineStr"/>
      <c r="O1668" t="inlineStr"/>
      <c r="P1668" t="inlineStr">
        <is>
          <t>Arlig</t>
        </is>
      </c>
      <c r="Q1668" t="inlineStr"/>
      <c r="R1668" t="inlineStr">
        <is>
          <t>Vid transporter</t>
        </is>
      </c>
      <c r="S1668" t="inlineStr"/>
      <c r="T1668" t="inlineStr"/>
      <c r="U1668" t="inlineStr"/>
      <c r="V1668" t="inlineStr"/>
      <c r="W1668" t="inlineStr">
        <is>
          <t>Nej</t>
        </is>
      </c>
      <c r="X1668" t="inlineStr">
        <is>
          <t>Nej</t>
        </is>
      </c>
      <c r="Y1668" t="inlineStr">
        <is>
          <t>Nej</t>
        </is>
      </c>
      <c r="Z1668" t="inlineStr">
        <is>
          <t>Ja</t>
        </is>
      </c>
      <c r="AA1668" t="n">
        <v>9</v>
      </c>
      <c r="AB1668" t="inlineStr">
        <is>
          <t>Transporter och logistik</t>
        </is>
      </c>
      <c r="AC1668" t="inlineStr">
        <is>
          <t>Trafikplan</t>
        </is>
      </c>
      <c r="AD1668" t="inlineStr">
        <is>
          <t>Nej</t>
        </is>
      </c>
      <c r="AE1668" t="inlineStr">
        <is>
          <t>Nej</t>
        </is>
      </c>
      <c r="AF1668" t="inlineStr">
        <is>
          <t>Ej behandlad</t>
        </is>
      </c>
      <c r="AG1668" t="inlineStr">
        <is>
          <t>AUTO_GENERERAD. Verifiera citat mot kallfil.</t>
        </is>
      </c>
      <c r="AH1668" t="inlineStr">
        <is>
          <t>MEDIUM</t>
        </is>
      </c>
      <c r="AI1668" t="inlineStr">
        <is>
          <t>AUTO</t>
        </is>
      </c>
      <c r="AJ1668" t="inlineStr">
        <is>
          <t>Nej</t>
        </is>
      </c>
      <c r="AK1668" t="inlineStr"/>
      <c r="AL1668" t="inlineStr"/>
      <c r="AM1668" t="inlineStr"/>
      <c r="AN1668" t="inlineStr"/>
      <c r="AO1668" t="inlineStr">
        <is>
          <t>cmm4yuo6g01dbcuqwz2t0dw7t</t>
        </is>
      </c>
      <c r="AP1668" t="inlineStr">
        <is>
          <t>http://localhost:8787/api/admin/requirements/documents/cmm4yuo6g01dbcuqwz2t0dw7t/view</t>
        </is>
      </c>
      <c r="AQ1668">
        <f>HYPERLÄNK("http://localhost:8787/api/admin/requirements/documents/cmm4yuo6g01dbcuqwz2t0dw7t/view";"Öppna PDF")</f>
        <v/>
      </c>
      <c r="AR1668">
        <f>HYPERLINK("http://localhost:8787/api/admin/requirements/documents/cmm4yuo6g01dbcuqwz2t0dw7t/view","Open PDF")</f>
        <v/>
      </c>
      <c r="AS1668" t="inlineStr">
        <is>
          <t>cmm55w57p0004cuisfrtpqly8</t>
        </is>
      </c>
      <c r="AT1668" t="inlineStr">
        <is>
          <t>cmm4xvu980000cuh4vj0usz09</t>
        </is>
      </c>
      <c r="AU1668" t="inlineStr">
        <is>
          <t>Sundbybergs</t>
        </is>
      </c>
      <c r="AV1668" t="inlineStr">
        <is>
          <t>Kommun</t>
        </is>
      </c>
      <c r="AW1668" t="inlineStr">
        <is>
          <t>Sundbybergs kommun</t>
        </is>
      </c>
      <c r="AX1668" t="inlineStr">
        <is>
          <t>2025-06</t>
        </is>
      </c>
      <c r="AY1668" t="inlineStr">
        <is>
          <t>Beslut</t>
        </is>
      </c>
      <c r="AZ1668" t="inlineStr">
        <is>
          <t>2026-02-03</t>
        </is>
      </c>
      <c r="BA1668" t="inlineStr">
        <is>
          <t>Masshanteringsplan v3 MIL.2025.564.pdf</t>
        </is>
      </c>
      <c r="BB1668" t="inlineStr">
        <is>
          <t>Sv: till registrator</t>
        </is>
      </c>
      <c r="BC1668" t="inlineStr">
        <is>
          <t>AUTO</t>
        </is>
      </c>
      <c r="BD1668" t="inlineStr"/>
      <c r="BE1668" t="inlineStr"/>
      <c r="BF1668" t="inlineStr">
        <is>
          <t>AUTO_GENERERAD. Bekrafta metadata mot kallfil.</t>
        </is>
      </c>
      <c r="BG1668">
        <f>HYPERLINK("C:\Users\jimmy\Desktop\Examens arbete\Kod\Ny mapp\remix_-copy-of-miljöbeslut.se-portal\Masshanteringsplan v3 MIL.2025.564.pdf", "Öppna PDF")</f>
        <v/>
      </c>
    </row>
    <row r="1669">
      <c r="A1669" t="inlineStr">
        <is>
          <t>KRAV-AUTO-001668</t>
        </is>
      </c>
      <c r="B1669" t="inlineStr">
        <is>
          <t>ADMIN-INDEX-2026-02-27-00000000125C043F57453246863FE664CAFE6A3F0700950291EA24F0614FB6ACEDB12BF0E31D00000000010C0000950291EA24F0614FB6ACEDB12BF0E31D00002087AEEF0000</t>
        </is>
      </c>
      <c r="C1669" t="inlineStr">
        <is>
          <t>cmm4yuo5s01cwcuqw5gzg06fx</t>
        </is>
      </c>
      <c r="D1669" t="inlineStr">
        <is>
          <t>http://localhost:8787/api/admin/requirements/documents/cmm4yuo5s01cwcuqw5gzg06fx/view</t>
        </is>
      </c>
      <c r="E1669">
        <f>HYPERLÄNK("http://localhost:8787/api/admin/requirements/documents/cmm4yuo5s01cwcuqw5gzg06fx/view";"Öppna PDF")</f>
        <v/>
      </c>
      <c r="F1669">
        <f>HYPERLINK("http://localhost:8787/api/admin/requirements/documents/cmm4yuo5s01cwcuqw5gzg06fx/view","Open PDF")</f>
        <v/>
      </c>
      <c r="G1669" t="inlineStr">
        <is>
          <t>cmm55w57p0004cuisfrtpqly8</t>
        </is>
      </c>
      <c r="H1669" t="inlineStr">
        <is>
          <t>Kompletteringskrav</t>
        </is>
      </c>
      <c r="I1669" t="inlineStr">
        <is>
          <t>DagvattenLakvatten</t>
        </is>
      </c>
      <c r="J1669" t="inlineStr">
        <is>
          <t>Uppsamling</t>
        </is>
      </c>
      <c r="K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L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M1669" t="inlineStr">
        <is>
          <t>SKA</t>
        </is>
      </c>
      <c r="N1669" t="inlineStr"/>
      <c r="O1669" t="inlineStr"/>
      <c r="P1669" t="inlineStr">
        <is>
          <t>Arlig</t>
        </is>
      </c>
      <c r="Q1669" t="inlineStr"/>
      <c r="R1669" t="inlineStr">
        <is>
          <t>Vid nederbord och avrinning</t>
        </is>
      </c>
      <c r="S1669" t="inlineStr"/>
      <c r="T1669" t="inlineStr">
        <is>
          <t>2024 09</t>
        </is>
      </c>
      <c r="U1669" t="inlineStr"/>
      <c r="V1669" t="inlineStr"/>
      <c r="W1669" t="inlineStr">
        <is>
          <t>Nej</t>
        </is>
      </c>
      <c r="X1669" t="inlineStr">
        <is>
          <t>Ja</t>
        </is>
      </c>
      <c r="Y1669" t="inlineStr">
        <is>
          <t>Ja</t>
        </is>
      </c>
      <c r="Z1669" t="inlineStr">
        <is>
          <t>Nej</t>
        </is>
      </c>
      <c r="AA1669" t="n">
        <v>6</v>
      </c>
      <c r="AB1669" t="inlineStr">
        <is>
          <t>Lakvattenhantering</t>
        </is>
      </c>
      <c r="AC1669" t="inlineStr">
        <is>
          <t>Flodesschema dagvatten-lakvatten</t>
        </is>
      </c>
      <c r="AD1669" t="inlineStr">
        <is>
          <t>Nej</t>
        </is>
      </c>
      <c r="AE1669" t="inlineStr">
        <is>
          <t>Nej</t>
        </is>
      </c>
      <c r="AF1669" t="inlineStr">
        <is>
          <t>Ej behandlad</t>
        </is>
      </c>
      <c r="AG1669" t="inlineStr">
        <is>
          <t>AUTO_GENERERAD. Verifiera citat mot kallfil.</t>
        </is>
      </c>
      <c r="AH1669" t="inlineStr">
        <is>
          <t>MEDIUM</t>
        </is>
      </c>
      <c r="AI1669" t="inlineStr">
        <is>
          <t>AUTO</t>
        </is>
      </c>
      <c r="AJ1669" t="inlineStr">
        <is>
          <t>Nej</t>
        </is>
      </c>
      <c r="AK1669" t="inlineStr"/>
      <c r="AL1669" t="inlineStr"/>
      <c r="AM1669" t="inlineStr"/>
      <c r="AN1669" t="inlineStr"/>
      <c r="AO1669" t="inlineStr">
        <is>
          <t>cmm4yuo6g01dbcuqwz2t0dw7t</t>
        </is>
      </c>
      <c r="AP1669" t="inlineStr">
        <is>
          <t>http://localhost:8787/api/admin/requirements/documents/cmm4yuo6g01dbcuqwz2t0dw7t/view</t>
        </is>
      </c>
      <c r="AQ1669">
        <f>HYPERLÄNK("http://localhost:8787/api/admin/requirements/documents/cmm4yuo6g01dbcuqwz2t0dw7t/view";"Öppna PDF")</f>
        <v/>
      </c>
      <c r="AR1669">
        <f>HYPERLINK("http://localhost:8787/api/admin/requirements/documents/cmm4yuo6g01dbcuqwz2t0dw7t/view","Open PDF")</f>
        <v/>
      </c>
      <c r="AS1669" t="inlineStr">
        <is>
          <t>cmm55w57p0004cuisfrtpqly8</t>
        </is>
      </c>
      <c r="AT1669" t="inlineStr">
        <is>
          <t>cmm4xvu980000cuh4vj0usz09</t>
        </is>
      </c>
      <c r="AU1669" t="inlineStr">
        <is>
          <t>Sundbybergs</t>
        </is>
      </c>
      <c r="AV1669" t="inlineStr">
        <is>
          <t>Kommun</t>
        </is>
      </c>
      <c r="AW1669" t="inlineStr">
        <is>
          <t>Sundbybergs kommun</t>
        </is>
      </c>
      <c r="AX1669" t="inlineStr">
        <is>
          <t>2025-06</t>
        </is>
      </c>
      <c r="AY1669" t="inlineStr">
        <is>
          <t>Beslut</t>
        </is>
      </c>
      <c r="AZ1669" t="inlineStr">
        <is>
          <t>2026-02-03</t>
        </is>
      </c>
      <c r="BA1669" t="inlineStr">
        <is>
          <t>Masshanteringsplan v3 MIL.2025.564.pdf</t>
        </is>
      </c>
      <c r="BB1669" t="inlineStr">
        <is>
          <t>Sv: till registrator</t>
        </is>
      </c>
      <c r="BC1669" t="inlineStr">
        <is>
          <t>AUTO</t>
        </is>
      </c>
      <c r="BD1669" t="inlineStr"/>
      <c r="BE1669" t="inlineStr"/>
      <c r="BF1669" t="inlineStr">
        <is>
          <t>AUTO_GENERERAD. Bekrafta metadata mot kallfil.</t>
        </is>
      </c>
      <c r="BG1669">
        <f>HYPERLINK("C:\Users\jimmy\Desktop\Examens arbete\Kod\Ny mapp\remix_-copy-of-miljöbeslut.se-portal\Masshanteringsplan v3 MIL.2025.564.pdf", "Öppna PDF")</f>
        <v/>
      </c>
    </row>
    <row r="1670">
      <c r="A1670" t="inlineStr">
        <is>
          <t>KRAV-AUTO-001669</t>
        </is>
      </c>
      <c r="B1670" t="inlineStr">
        <is>
          <t>ADMIN-INDEX-2026-02-27-00000000125C043F57453246863FE664CAFE6A3F0700950291EA24F0614FB6ACEDB12BF0E31D00000000010C0000950291EA24F0614FB6ACEDB12BF0E31D00002087AEEF0000</t>
        </is>
      </c>
      <c r="C1670" t="inlineStr">
        <is>
          <t>cmm4yuo5s01cwcuqw5gzg06fx</t>
        </is>
      </c>
      <c r="D1670" t="inlineStr">
        <is>
          <t>http://localhost:8787/api/admin/requirements/documents/cmm4yuo5s01cwcuqw5gzg06fx/view</t>
        </is>
      </c>
      <c r="E1670">
        <f>HYPERLÄNK("http://localhost:8787/api/admin/requirements/documents/cmm4yuo5s01cwcuqw5gzg06fx/view";"Öppna PDF")</f>
        <v/>
      </c>
      <c r="F1670">
        <f>HYPERLINK("http://localhost:8787/api/admin/requirements/documents/cmm4yuo5s01cwcuqw5gzg06fx/view","Open PDF")</f>
        <v/>
      </c>
      <c r="G1670" t="inlineStr">
        <is>
          <t>cmm55w57p0004cuisfrtpqly8</t>
        </is>
      </c>
      <c r="H1670" t="inlineStr">
        <is>
          <t>Kompletteringskrav</t>
        </is>
      </c>
      <c r="I1670" t="inlineStr">
        <is>
          <t>Riskhantering</t>
        </is>
      </c>
      <c r="J1670" t="inlineStr">
        <is>
          <t>Riskkontroll</t>
        </is>
      </c>
      <c r="K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L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M1670" t="inlineStr">
        <is>
          <t>SKA</t>
        </is>
      </c>
      <c r="N1670" t="inlineStr"/>
      <c r="O1670" t="inlineStr"/>
      <c r="P1670" t="inlineStr"/>
      <c r="Q1670" t="inlineStr"/>
      <c r="R1670" t="inlineStr">
        <is>
          <t>Vid risk for incident</t>
        </is>
      </c>
      <c r="S1670" t="inlineStr"/>
      <c r="T1670" t="inlineStr">
        <is>
          <t>2024 09</t>
        </is>
      </c>
      <c r="U1670" t="inlineStr"/>
      <c r="V1670" t="inlineStr"/>
      <c r="W1670" t="inlineStr">
        <is>
          <t>Nej</t>
        </is>
      </c>
      <c r="X1670" t="inlineStr">
        <is>
          <t>Nej</t>
        </is>
      </c>
      <c r="Y1670" t="inlineStr">
        <is>
          <t>Ja</t>
        </is>
      </c>
      <c r="Z1670" t="inlineStr">
        <is>
          <t>Ja</t>
        </is>
      </c>
      <c r="AA1670" t="n">
        <v>8</v>
      </c>
      <c r="AB1670" t="inlineStr">
        <is>
          <t>Riskhantering</t>
        </is>
      </c>
      <c r="AC1670" t="inlineStr">
        <is>
          <t>Risk-PM</t>
        </is>
      </c>
      <c r="AD1670" t="inlineStr">
        <is>
          <t>Nej</t>
        </is>
      </c>
      <c r="AE1670" t="inlineStr">
        <is>
          <t>Nej</t>
        </is>
      </c>
      <c r="AF1670" t="inlineStr">
        <is>
          <t>Ej behandlad</t>
        </is>
      </c>
      <c r="AG1670" t="inlineStr">
        <is>
          <t>AUTO_GENERERAD. Verifiera citat mot kallfil.</t>
        </is>
      </c>
      <c r="AH1670" t="inlineStr">
        <is>
          <t>MEDIUM</t>
        </is>
      </c>
      <c r="AI1670" t="inlineStr">
        <is>
          <t>AUTO</t>
        </is>
      </c>
      <c r="AJ1670" t="inlineStr">
        <is>
          <t>Nej</t>
        </is>
      </c>
      <c r="AK1670" t="inlineStr"/>
      <c r="AL1670" t="inlineStr"/>
      <c r="AM1670" t="inlineStr"/>
      <c r="AN1670" t="inlineStr"/>
      <c r="AO1670" t="inlineStr">
        <is>
          <t>cmm4yuo6g01dbcuqwz2t0dw7t</t>
        </is>
      </c>
      <c r="AP1670" t="inlineStr">
        <is>
          <t>http://localhost:8787/api/admin/requirements/documents/cmm4yuo6g01dbcuqwz2t0dw7t/view</t>
        </is>
      </c>
      <c r="AQ1670">
        <f>HYPERLÄNK("http://localhost:8787/api/admin/requirements/documents/cmm4yuo6g01dbcuqwz2t0dw7t/view";"Öppna PDF")</f>
        <v/>
      </c>
      <c r="AR1670">
        <f>HYPERLINK("http://localhost:8787/api/admin/requirements/documents/cmm4yuo6g01dbcuqwz2t0dw7t/view","Open PDF")</f>
        <v/>
      </c>
      <c r="AS1670" t="inlineStr">
        <is>
          <t>cmm55w57p0004cuisfrtpqly8</t>
        </is>
      </c>
      <c r="AT1670" t="inlineStr">
        <is>
          <t>cmm4xvu980000cuh4vj0usz09</t>
        </is>
      </c>
      <c r="AU1670" t="inlineStr">
        <is>
          <t>Sundbybergs</t>
        </is>
      </c>
      <c r="AV1670" t="inlineStr">
        <is>
          <t>Kommun</t>
        </is>
      </c>
      <c r="AW1670" t="inlineStr">
        <is>
          <t>Sundbybergs kommun</t>
        </is>
      </c>
      <c r="AX1670" t="inlineStr">
        <is>
          <t>2025-06</t>
        </is>
      </c>
      <c r="AY1670" t="inlineStr">
        <is>
          <t>Beslut</t>
        </is>
      </c>
      <c r="AZ1670" t="inlineStr">
        <is>
          <t>2026-02-03</t>
        </is>
      </c>
      <c r="BA1670" t="inlineStr">
        <is>
          <t>Masshanteringsplan v3 MIL.2025.564.pdf</t>
        </is>
      </c>
      <c r="BB1670" t="inlineStr">
        <is>
          <t>Sv: till registrator</t>
        </is>
      </c>
      <c r="BC1670" t="inlineStr">
        <is>
          <t>AUTO</t>
        </is>
      </c>
      <c r="BD1670" t="inlineStr"/>
      <c r="BE1670" t="inlineStr"/>
      <c r="BF1670" t="inlineStr">
        <is>
          <t>AUTO_GENERERAD. Bekrafta metadata mot kallfil.</t>
        </is>
      </c>
      <c r="BG1670">
        <f>HYPERLINK("C:\Users\jimmy\Desktop\Examens arbete\Kod\Ny mapp\remix_-copy-of-miljöbeslut.se-portal\Masshanteringsplan v3 MIL.2025.564.pdf", "Öppna PDF")</f>
        <v/>
      </c>
    </row>
    <row r="1671">
      <c r="A1671" t="inlineStr">
        <is>
          <t>KRAV-AUTO-001670</t>
        </is>
      </c>
      <c r="B1671" t="inlineStr">
        <is>
          <t>ADMIN-INDEX-2026-02-27-00000000125C043F57453246863FE664CAFE6A3F0700950291EA24F0614FB6ACEDB12BF0E31D00000000010C0000950291EA24F0614FB6ACEDB12BF0E31D00002087AEF00000</t>
        </is>
      </c>
      <c r="C1671" t="inlineStr">
        <is>
          <t>cmm4yuo5o01ctcuqwke7dio7y</t>
        </is>
      </c>
      <c r="D1671" t="inlineStr">
        <is>
          <t>http://localhost:8787/api/admin/requirements/documents/cmm4yuo5o01ctcuqwke7dio7y/view</t>
        </is>
      </c>
      <c r="E1671">
        <f>HYPERLÄNK("http://localhost:8787/api/admin/requirements/documents/cmm4yuo5o01ctcuqwke7dio7y/view";"Öppna PDF")</f>
        <v/>
      </c>
      <c r="F1671">
        <f>HYPERLINK("http://localhost:8787/api/admin/requirements/documents/cmm4yuo5o01ctcuqwke7dio7y/view","Open PDF")</f>
        <v/>
      </c>
      <c r="G1671" t="inlineStr">
        <is>
          <t>cmm55w57p0004cuisfrtpqly8</t>
        </is>
      </c>
      <c r="H1671" t="inlineStr">
        <is>
          <t>Beslutsvillkor</t>
        </is>
      </c>
      <c r="I1671" t="inlineStr">
        <is>
          <t>LagringsvolymTid</t>
        </is>
      </c>
      <c r="J1671" t="inlineStr">
        <is>
          <t>Maxmangd</t>
        </is>
      </c>
      <c r="K1671" t="inlineStr">
        <is>
          <t>Beräkning på mängd massor blir då följande: • Massor som bedöms uppfylla KM uppskattas till ca 3569 m3 (lera ca 1-2m), icke-farligt avfall.</t>
        </is>
      </c>
      <c r="L1671" t="inlineStr">
        <is>
          <t>Beräkning på mängd massor blir då följande: • Massor som bedöms uppfylla KM uppskattas till ca 3569 m3 (lera ca 1-2m), icke-farligt avfall.</t>
        </is>
      </c>
      <c r="M1671" t="inlineStr">
        <is>
          <t>SKA</t>
        </is>
      </c>
      <c r="N1671" t="inlineStr"/>
      <c r="O1671" t="inlineStr"/>
      <c r="P1671" t="inlineStr">
        <is>
          <t>Arlig</t>
        </is>
      </c>
      <c r="Q1671" t="inlineStr"/>
      <c r="R1671" t="inlineStr">
        <is>
          <t>Alltid</t>
        </is>
      </c>
      <c r="S1671" t="inlineStr"/>
      <c r="T1671" t="inlineStr">
        <is>
          <t>87 27 39</t>
        </is>
      </c>
      <c r="U1671" t="inlineStr"/>
      <c r="V1671" t="inlineStr"/>
      <c r="W1671" t="inlineStr">
        <is>
          <t>Nej</t>
        </is>
      </c>
      <c r="X1671" t="inlineStr">
        <is>
          <t>Nej</t>
        </is>
      </c>
      <c r="Y1671" t="inlineStr">
        <is>
          <t>Nej</t>
        </is>
      </c>
      <c r="Z1671" t="inlineStr">
        <is>
          <t>Nej</t>
        </is>
      </c>
      <c r="AA1671" t="n">
        <v>4</v>
      </c>
      <c r="AB1671" t="inlineStr">
        <is>
          <t>Avfallsmangder och lagringstid</t>
        </is>
      </c>
      <c r="AC1671" t="inlineStr">
        <is>
          <t>Avfallsforteckning</t>
        </is>
      </c>
      <c r="AD1671" t="inlineStr">
        <is>
          <t>Nej</t>
        </is>
      </c>
      <c r="AE1671" t="inlineStr">
        <is>
          <t>Nej</t>
        </is>
      </c>
      <c r="AF1671" t="inlineStr">
        <is>
          <t>Ej behandlad</t>
        </is>
      </c>
      <c r="AG1671" t="inlineStr">
        <is>
          <t>AUTO_GENERERAD. Verifiera citat mot kallfil.</t>
        </is>
      </c>
      <c r="AH1671" t="inlineStr">
        <is>
          <t>MEDIUM</t>
        </is>
      </c>
      <c r="AI1671" t="inlineStr">
        <is>
          <t>AUTO</t>
        </is>
      </c>
      <c r="AJ1671" t="inlineStr">
        <is>
          <t>Nej</t>
        </is>
      </c>
      <c r="AK1671" t="inlineStr"/>
      <c r="AL1671" t="inlineStr"/>
      <c r="AM1671" t="inlineStr"/>
      <c r="AN1671" t="inlineStr"/>
      <c r="AO1671" t="inlineStr">
        <is>
          <t>cmm4yuo5o01ctcuqwke7dio7y</t>
        </is>
      </c>
      <c r="AP1671" t="inlineStr">
        <is>
          <t>http://localhost:8787/api/admin/requirements/documents/cmm4yuo5o01ctcuqwke7dio7y/view</t>
        </is>
      </c>
      <c r="AQ1671">
        <f>HYPERLÄNK("http://localhost:8787/api/admin/requirements/documents/cmm4yuo5o01ctcuqwke7dio7y/view";"Öppna PDF")</f>
        <v/>
      </c>
      <c r="AR1671">
        <f>HYPERLINK("http://localhost:8787/api/admin/requirements/documents/cmm4yuo5o01ctcuqwke7dio7y/view","Open PDF")</f>
        <v/>
      </c>
      <c r="AS1671" t="inlineStr">
        <is>
          <t>cmm55w57p0004cuisfrtpqly8</t>
        </is>
      </c>
      <c r="AT1671" t="inlineStr">
        <is>
          <t>cmm4xvu980000cuh4vj0usz09</t>
        </is>
      </c>
      <c r="AU1671" t="inlineStr">
        <is>
          <t>Sundbybergs</t>
        </is>
      </c>
      <c r="AV1671" t="inlineStr">
        <is>
          <t>Kommun</t>
        </is>
      </c>
      <c r="AW1671" t="inlineStr">
        <is>
          <t>Sundbybergs kommun</t>
        </is>
      </c>
      <c r="AX1671" t="inlineStr">
        <is>
          <t>2025-06</t>
        </is>
      </c>
      <c r="AY1671" t="inlineStr">
        <is>
          <t>Beslut</t>
        </is>
      </c>
      <c r="AZ1671" t="inlineStr">
        <is>
          <t>2026-02-03</t>
        </is>
      </c>
      <c r="BA1671" t="inlineStr">
        <is>
          <t>Masshanteringsplan v3 MIL.2025.564.pdf</t>
        </is>
      </c>
      <c r="BB1671" t="inlineStr">
        <is>
          <t>Sv: till registrator</t>
        </is>
      </c>
      <c r="BC1671" t="inlineStr">
        <is>
          <t>AUTO</t>
        </is>
      </c>
      <c r="BD1671" t="inlineStr"/>
      <c r="BE1671" t="inlineStr"/>
      <c r="BF1671" t="inlineStr">
        <is>
          <t>AUTO_GENERERAD. Bekrafta metadata mot kallfil.</t>
        </is>
      </c>
      <c r="BG1671">
        <f>HYPERLINK("C:\Users\jimmy\Desktop\Examens arbete\Kod\Ny mapp\remix_-copy-of-miljöbeslut.se-portal\Masshanteringsplan v3 MIL.2025.564.pdf", "Öppna PDF")</f>
        <v/>
      </c>
    </row>
    <row r="1672">
      <c r="A1672" t="inlineStr">
        <is>
          <t>KRAV-AUTO-001671</t>
        </is>
      </c>
      <c r="B1672" t="inlineStr">
        <is>
          <t>ADMIN-INDEX-2026-02-27-00000000125C043F57453246863FE664CAFE6A3F0700950291EA24F0614FB6ACEDB12BF0E31D00000000010C0000950291EA24F0614FB6ACEDB12BF0E31D00002087AEF00000</t>
        </is>
      </c>
      <c r="C1672" t="inlineStr">
        <is>
          <t>cmm4yuo5o01ctcuqwke7dio7y</t>
        </is>
      </c>
      <c r="D1672" t="inlineStr">
        <is>
          <t>http://localhost:8787/api/admin/requirements/documents/cmm4yuo5o01ctcuqwke7dio7y/view</t>
        </is>
      </c>
      <c r="E1672">
        <f>HYPERLÄNK("http://localhost:8787/api/admin/requirements/documents/cmm4yuo5o01ctcuqwke7dio7y/view";"Öppna PDF")</f>
        <v/>
      </c>
      <c r="F1672">
        <f>HYPERLINK("http://localhost:8787/api/admin/requirements/documents/cmm4yuo5o01ctcuqwke7dio7y/view","Open PDF")</f>
        <v/>
      </c>
      <c r="G1672" t="inlineStr">
        <is>
          <t>cmm55w57p0004cuisfrtpqly8</t>
        </is>
      </c>
      <c r="H1672" t="inlineStr">
        <is>
          <t>Beslutsvillkor</t>
        </is>
      </c>
      <c r="I1672" t="inlineStr">
        <is>
          <t>DriftEgenkontroll</t>
        </is>
      </c>
      <c r="J1672" t="inlineStr">
        <is>
          <t>Journalforing</t>
        </is>
      </c>
      <c r="K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72" t="inlineStr">
        <is>
          <t>SKA</t>
        </is>
      </c>
      <c r="N1672" t="inlineStr"/>
      <c r="O1672" t="inlineStr">
        <is>
          <t>2025-06-03</t>
        </is>
      </c>
      <c r="P1672" t="inlineStr"/>
      <c r="Q1672" t="inlineStr"/>
      <c r="R1672" t="inlineStr">
        <is>
          <t>Lopande drift</t>
        </is>
      </c>
      <c r="S1672" t="inlineStr"/>
      <c r="T1672" t="inlineStr">
        <is>
          <t>87 27 39</t>
        </is>
      </c>
      <c r="U1672" t="inlineStr"/>
      <c r="V1672" t="inlineStr"/>
      <c r="W1672" t="inlineStr">
        <is>
          <t>Nej</t>
        </is>
      </c>
      <c r="X1672" t="inlineStr">
        <is>
          <t>Nej</t>
        </is>
      </c>
      <c r="Y1672" t="inlineStr">
        <is>
          <t>Ja</t>
        </is>
      </c>
      <c r="Z1672" t="inlineStr">
        <is>
          <t>Nej</t>
        </is>
      </c>
      <c r="AA1672" t="n">
        <v>7</v>
      </c>
      <c r="AB1672" t="inlineStr">
        <is>
          <t>Egenkontrollrutiner</t>
        </is>
      </c>
      <c r="AC1672" t="inlineStr">
        <is>
          <t>Egenkontrollprogram</t>
        </is>
      </c>
      <c r="AD1672" t="inlineStr">
        <is>
          <t>Nej</t>
        </is>
      </c>
      <c r="AE1672" t="inlineStr">
        <is>
          <t>Nej</t>
        </is>
      </c>
      <c r="AF1672" t="inlineStr">
        <is>
          <t>Ej behandlad</t>
        </is>
      </c>
      <c r="AG1672" t="inlineStr">
        <is>
          <t>AUTO_GENERERAD. Verifiera citat mot kallfil.</t>
        </is>
      </c>
      <c r="AH1672" t="inlineStr">
        <is>
          <t>MEDIUM</t>
        </is>
      </c>
      <c r="AI1672" t="inlineStr">
        <is>
          <t>AUTO</t>
        </is>
      </c>
      <c r="AJ1672" t="inlineStr">
        <is>
          <t>Nej</t>
        </is>
      </c>
      <c r="AK1672" t="inlineStr"/>
      <c r="AL1672" t="inlineStr"/>
      <c r="AM1672" t="inlineStr"/>
      <c r="AN1672" t="inlineStr"/>
      <c r="AO1672" t="inlineStr">
        <is>
          <t>cmm4yuo5o01ctcuqwke7dio7y</t>
        </is>
      </c>
      <c r="AP1672" t="inlineStr">
        <is>
          <t>http://localhost:8787/api/admin/requirements/documents/cmm4yuo5o01ctcuqwke7dio7y/view</t>
        </is>
      </c>
      <c r="AQ1672">
        <f>HYPERLÄNK("http://localhost:8787/api/admin/requirements/documents/cmm4yuo5o01ctcuqwke7dio7y/view";"Öppna PDF")</f>
        <v/>
      </c>
      <c r="AR1672">
        <f>HYPERLINK("http://localhost:8787/api/admin/requirements/documents/cmm4yuo5o01ctcuqwke7dio7y/view","Open PDF")</f>
        <v/>
      </c>
      <c r="AS1672" t="inlineStr">
        <is>
          <t>cmm55w57p0004cuisfrtpqly8</t>
        </is>
      </c>
      <c r="AT1672" t="inlineStr">
        <is>
          <t>cmm4xvu980000cuh4vj0usz09</t>
        </is>
      </c>
      <c r="AU1672" t="inlineStr">
        <is>
          <t>Sundbybergs</t>
        </is>
      </c>
      <c r="AV1672" t="inlineStr">
        <is>
          <t>Kommun</t>
        </is>
      </c>
      <c r="AW1672" t="inlineStr">
        <is>
          <t>Sundbybergs kommun</t>
        </is>
      </c>
      <c r="AX1672" t="inlineStr">
        <is>
          <t>2025-06</t>
        </is>
      </c>
      <c r="AY1672" t="inlineStr">
        <is>
          <t>Beslut</t>
        </is>
      </c>
      <c r="AZ1672" t="inlineStr">
        <is>
          <t>2026-02-03</t>
        </is>
      </c>
      <c r="BA1672" t="inlineStr">
        <is>
          <t>Masshanteringsplan v3 MIL.2025.564.pdf</t>
        </is>
      </c>
      <c r="BB1672" t="inlineStr">
        <is>
          <t>Sv: till registrator</t>
        </is>
      </c>
      <c r="BC1672" t="inlineStr">
        <is>
          <t>AUTO</t>
        </is>
      </c>
      <c r="BD1672" t="inlineStr"/>
      <c r="BE1672" t="inlineStr"/>
      <c r="BF1672" t="inlineStr">
        <is>
          <t>AUTO_GENERERAD. Bekrafta metadata mot kallfil.</t>
        </is>
      </c>
      <c r="BG1672">
        <f>HYPERLINK("C:\Users\jimmy\Desktop\Examens arbete\Kod\Ny mapp\remix_-copy-of-miljöbeslut.se-portal\Masshanteringsplan v3 MIL.2025.564.pdf", "Öppna PDF")</f>
        <v/>
      </c>
    </row>
    <row r="1673">
      <c r="A1673" t="inlineStr">
        <is>
          <t>KRAV-AUTO-001672</t>
        </is>
      </c>
      <c r="B1673" t="inlineStr">
        <is>
          <t>ADMIN-INDEX-2026-02-27-00000000125C043F57453246863FE664CAFE6A3F0700950291EA24F0614FB6ACEDB12BF0E31D00000000010C0000950291EA24F0614FB6ACEDB12BF0E31D00002087AEF00000</t>
        </is>
      </c>
      <c r="C1673" t="inlineStr">
        <is>
          <t>cmm4yuo5o01ctcuqwke7dio7y</t>
        </is>
      </c>
      <c r="D1673" t="inlineStr">
        <is>
          <t>http://localhost:8787/api/admin/requirements/documents/cmm4yuo5o01ctcuqwke7dio7y/view</t>
        </is>
      </c>
      <c r="E1673">
        <f>HYPERLÄNK("http://localhost:8787/api/admin/requirements/documents/cmm4yuo5o01ctcuqwke7dio7y/view";"Öppna PDF")</f>
        <v/>
      </c>
      <c r="F1673">
        <f>HYPERLINK("http://localhost:8787/api/admin/requirements/documents/cmm4yuo5o01ctcuqwke7dio7y/view","Open PDF")</f>
        <v/>
      </c>
      <c r="G1673" t="inlineStr">
        <is>
          <t>cmm55w57p0004cuisfrtpqly8</t>
        </is>
      </c>
      <c r="H1673" t="inlineStr">
        <is>
          <t>Beslutsvillkor</t>
        </is>
      </c>
      <c r="I1673" t="inlineStr">
        <is>
          <t>MiljopaverkanForsiktighet</t>
        </is>
      </c>
      <c r="J1673" t="inlineStr">
        <is>
          <t>Skyddsatgarder</t>
        </is>
      </c>
      <c r="K1673" t="inlineStr">
        <is>
          <t>• Massor som bedöms uppfylla KM uppskattas till ca 3230 m3 (fyllnadsmassor 0-1m), inert avfall.</t>
        </is>
      </c>
      <c r="L1673" t="inlineStr">
        <is>
          <t>• Massor som bedöms uppfylla KM uppskattas till ca 3230 m3 (fyllnadsmassor 0-1m), inert avfall.</t>
        </is>
      </c>
      <c r="M1673" t="inlineStr">
        <is>
          <t>SKA</t>
        </is>
      </c>
      <c r="N1673" t="inlineStr"/>
      <c r="O1673" t="inlineStr"/>
      <c r="P1673" t="inlineStr"/>
      <c r="Q1673" t="inlineStr"/>
      <c r="R1673" t="inlineStr">
        <is>
          <t>Alltid</t>
        </is>
      </c>
      <c r="S1673" t="inlineStr"/>
      <c r="T1673" t="inlineStr">
        <is>
          <t>87 27 39</t>
        </is>
      </c>
      <c r="U1673" t="inlineStr"/>
      <c r="V1673" t="inlineStr"/>
      <c r="W1673" t="inlineStr">
        <is>
          <t>Nej</t>
        </is>
      </c>
      <c r="X1673" t="inlineStr">
        <is>
          <t>Nej</t>
        </is>
      </c>
      <c r="Y1673" t="inlineStr">
        <is>
          <t>Nej</t>
        </is>
      </c>
      <c r="Z1673" t="inlineStr">
        <is>
          <t>Nej</t>
        </is>
      </c>
      <c r="AA1673" t="n">
        <v>10</v>
      </c>
      <c r="AB1673" t="inlineStr">
        <is>
          <t>Miljopaverkan och forsiktighetsmatt</t>
        </is>
      </c>
      <c r="AC1673" t="inlineStr">
        <is>
          <t>Miljo-PM</t>
        </is>
      </c>
      <c r="AD1673" t="inlineStr">
        <is>
          <t>Nej</t>
        </is>
      </c>
      <c r="AE1673" t="inlineStr">
        <is>
          <t>Nej</t>
        </is>
      </c>
      <c r="AF1673" t="inlineStr">
        <is>
          <t>Ej behandlad</t>
        </is>
      </c>
      <c r="AG1673" t="inlineStr">
        <is>
          <t>AUTO_GENERERAD. Verifiera citat mot kallfil.</t>
        </is>
      </c>
      <c r="AH1673" t="inlineStr">
        <is>
          <t>MEDIUM</t>
        </is>
      </c>
      <c r="AI1673" t="inlineStr">
        <is>
          <t>AUTO</t>
        </is>
      </c>
      <c r="AJ1673" t="inlineStr">
        <is>
          <t>Nej</t>
        </is>
      </c>
      <c r="AK1673" t="inlineStr"/>
      <c r="AL1673" t="inlineStr"/>
      <c r="AM1673" t="inlineStr"/>
      <c r="AN1673" t="inlineStr"/>
      <c r="AO1673" t="inlineStr">
        <is>
          <t>cmm4yuo5o01ctcuqwke7dio7y</t>
        </is>
      </c>
      <c r="AP1673" t="inlineStr">
        <is>
          <t>http://localhost:8787/api/admin/requirements/documents/cmm4yuo5o01ctcuqwke7dio7y/view</t>
        </is>
      </c>
      <c r="AQ1673">
        <f>HYPERLÄNK("http://localhost:8787/api/admin/requirements/documents/cmm4yuo5o01ctcuqwke7dio7y/view";"Öppna PDF")</f>
        <v/>
      </c>
      <c r="AR1673">
        <f>HYPERLINK("http://localhost:8787/api/admin/requirements/documents/cmm4yuo5o01ctcuqwke7dio7y/view","Open PDF")</f>
        <v/>
      </c>
      <c r="AS1673" t="inlineStr">
        <is>
          <t>cmm55w57p0004cuisfrtpqly8</t>
        </is>
      </c>
      <c r="AT1673" t="inlineStr">
        <is>
          <t>cmm4xvu980000cuh4vj0usz09</t>
        </is>
      </c>
      <c r="AU1673" t="inlineStr">
        <is>
          <t>Sundbybergs</t>
        </is>
      </c>
      <c r="AV1673" t="inlineStr">
        <is>
          <t>Kommun</t>
        </is>
      </c>
      <c r="AW1673" t="inlineStr">
        <is>
          <t>Sundbybergs kommun</t>
        </is>
      </c>
      <c r="AX1673" t="inlineStr">
        <is>
          <t>2025-06</t>
        </is>
      </c>
      <c r="AY1673" t="inlineStr">
        <is>
          <t>Beslut</t>
        </is>
      </c>
      <c r="AZ1673" t="inlineStr">
        <is>
          <t>2026-02-03</t>
        </is>
      </c>
      <c r="BA1673" t="inlineStr">
        <is>
          <t>Masshanteringsplan v3 MIL.2025.564.pdf</t>
        </is>
      </c>
      <c r="BB1673" t="inlineStr">
        <is>
          <t>Sv: till registrator</t>
        </is>
      </c>
      <c r="BC1673" t="inlineStr">
        <is>
          <t>AUTO</t>
        </is>
      </c>
      <c r="BD1673" t="inlineStr"/>
      <c r="BE1673" t="inlineStr"/>
      <c r="BF1673" t="inlineStr">
        <is>
          <t>AUTO_GENERERAD. Bekrafta metadata mot kallfil.</t>
        </is>
      </c>
      <c r="BG1673">
        <f>HYPERLINK("C:\Users\jimmy\Desktop\Examens arbete\Kod\Ny mapp\remix_-copy-of-miljöbeslut.se-portal\Masshanteringsplan v3 MIL.2025.564.pdf", "Öppna PDF")</f>
        <v/>
      </c>
    </row>
    <row r="1674">
      <c r="A1674" t="inlineStr">
        <is>
          <t>KRAV-AUTO-001673</t>
        </is>
      </c>
      <c r="B1674" t="inlineStr">
        <is>
          <t>ADMIN-INDEX-2026-02-27-00000000125C043F57453246863FE664CAFE6A3F0700950291EA24F0614FB6ACEDB12BF0E31D00000000010C0000950291EA24F0614FB6ACEDB12BF0E31D00002087AEF00000</t>
        </is>
      </c>
      <c r="C1674" t="inlineStr">
        <is>
          <t>cmm4yuo5l01cqcuqwlfzto513</t>
        </is>
      </c>
      <c r="D1674" t="inlineStr">
        <is>
          <t>http://localhost:8787/api/admin/requirements/documents/cmm4yuo5l01cqcuqwlfzto513/view</t>
        </is>
      </c>
      <c r="E1674">
        <f>HYPERLÄNK("http://localhost:8787/api/admin/requirements/documents/cmm4yuo5l01cqcuqwlfzto513/view";"Öppna PDF")</f>
        <v/>
      </c>
      <c r="F1674">
        <f>HYPERLINK("http://localhost:8787/api/admin/requirements/documents/cmm4yuo5l01cqcuqwlfzto513/view","Open PDF")</f>
        <v/>
      </c>
      <c r="G1674" t="inlineStr">
        <is>
          <t>cmm55w57p0004cuisfrtpqly8</t>
        </is>
      </c>
      <c r="H1674" t="inlineStr">
        <is>
          <t>Beslutsvillkor</t>
        </is>
      </c>
      <c r="I1674" t="inlineStr">
        <is>
          <t>DagvattenLakvatten</t>
        </is>
      </c>
      <c r="J1674" t="inlineStr">
        <is>
          <t>Uppsamling</t>
        </is>
      </c>
      <c r="K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74" t="inlineStr">
        <is>
          <t>SKA</t>
        </is>
      </c>
      <c r="N1674" t="inlineStr"/>
      <c r="O1674" t="inlineStr">
        <is>
          <t>2024-06-12</t>
        </is>
      </c>
      <c r="P1674" t="inlineStr"/>
      <c r="Q1674" t="inlineStr"/>
      <c r="R1674" t="inlineStr">
        <is>
          <t>Vid nederbord och avrinning</t>
        </is>
      </c>
      <c r="S1674" t="inlineStr"/>
      <c r="T1674" t="inlineStr">
        <is>
          <t>212000</t>
        </is>
      </c>
      <c r="U1674" t="inlineStr"/>
      <c r="V1674" t="inlineStr"/>
      <c r="W1674" t="inlineStr">
        <is>
          <t>Nej</t>
        </is>
      </c>
      <c r="X1674" t="inlineStr">
        <is>
          <t>Ja</t>
        </is>
      </c>
      <c r="Y1674" t="inlineStr">
        <is>
          <t>Ja</t>
        </is>
      </c>
      <c r="Z1674" t="inlineStr">
        <is>
          <t>Nej</t>
        </is>
      </c>
      <c r="AA1674" t="n">
        <v>6</v>
      </c>
      <c r="AB1674" t="inlineStr">
        <is>
          <t>Lakvattenhantering</t>
        </is>
      </c>
      <c r="AC1674" t="inlineStr">
        <is>
          <t>Flodesschema dagvatten-lakvatten</t>
        </is>
      </c>
      <c r="AD1674" t="inlineStr">
        <is>
          <t>Nej</t>
        </is>
      </c>
      <c r="AE1674" t="inlineStr">
        <is>
          <t>Nej</t>
        </is>
      </c>
      <c r="AF1674" t="inlineStr">
        <is>
          <t>Ej behandlad</t>
        </is>
      </c>
      <c r="AG1674" t="inlineStr">
        <is>
          <t>AUTO_GENERERAD. Verifiera citat mot kallfil.</t>
        </is>
      </c>
      <c r="AH1674" t="inlineStr">
        <is>
          <t>MEDIUM</t>
        </is>
      </c>
      <c r="AI1674" t="inlineStr">
        <is>
          <t>AUTO</t>
        </is>
      </c>
      <c r="AJ1674" t="inlineStr">
        <is>
          <t>Nej</t>
        </is>
      </c>
      <c r="AK1674" t="inlineStr"/>
      <c r="AL1674" t="inlineStr"/>
      <c r="AM1674" t="inlineStr"/>
      <c r="AN1674" t="inlineStr"/>
      <c r="AO1674" t="inlineStr">
        <is>
          <t>cmm4yuo5o01ctcuqwke7dio7y</t>
        </is>
      </c>
      <c r="AP1674" t="inlineStr">
        <is>
          <t>http://localhost:8787/api/admin/requirements/documents/cmm4yuo5o01ctcuqwke7dio7y/view</t>
        </is>
      </c>
      <c r="AQ1674">
        <f>HYPERLÄNK("http://localhost:8787/api/admin/requirements/documents/cmm4yuo5o01ctcuqwke7dio7y/view";"Öppna PDF")</f>
        <v/>
      </c>
      <c r="AR1674">
        <f>HYPERLINK("http://localhost:8787/api/admin/requirements/documents/cmm4yuo5o01ctcuqwke7dio7y/view","Open PDF")</f>
        <v/>
      </c>
      <c r="AS1674" t="inlineStr">
        <is>
          <t>cmm55w57p0004cuisfrtpqly8</t>
        </is>
      </c>
      <c r="AT1674" t="inlineStr">
        <is>
          <t>cmm4xvu980000cuh4vj0usz09</t>
        </is>
      </c>
      <c r="AU1674" t="inlineStr">
        <is>
          <t>Sundbybergs</t>
        </is>
      </c>
      <c r="AV1674" t="inlineStr">
        <is>
          <t>Kommun</t>
        </is>
      </c>
      <c r="AW1674" t="inlineStr">
        <is>
          <t>Sundbybergs kommun</t>
        </is>
      </c>
      <c r="AX1674" t="inlineStr">
        <is>
          <t>2025-06</t>
        </is>
      </c>
      <c r="AY1674" t="inlineStr">
        <is>
          <t>Beslut</t>
        </is>
      </c>
      <c r="AZ1674" t="inlineStr">
        <is>
          <t>2026-02-03</t>
        </is>
      </c>
      <c r="BA1674" t="inlineStr">
        <is>
          <t>Masshanteringsplan v3 MIL.2025.564.pdf</t>
        </is>
      </c>
      <c r="BB1674" t="inlineStr">
        <is>
          <t>Sv: till registrator</t>
        </is>
      </c>
      <c r="BC1674" t="inlineStr">
        <is>
          <t>AUTO</t>
        </is>
      </c>
      <c r="BD1674" t="inlineStr"/>
      <c r="BE1674" t="inlineStr"/>
      <c r="BF1674" t="inlineStr">
        <is>
          <t>AUTO_GENERERAD. Bekrafta metadata mot kallfil.</t>
        </is>
      </c>
      <c r="BG1674">
        <f>HYPERLINK("C:\Users\jimmy\Desktop\Examens arbete\Kod\Ny mapp\remix_-copy-of-miljöbeslut.se-portal\Masshanteringsplan v3 MIL.2025.564.pdf", "Öppna PDF")</f>
        <v/>
      </c>
    </row>
    <row r="1675">
      <c r="A1675" t="inlineStr">
        <is>
          <t>KRAV-AUTO-001674</t>
        </is>
      </c>
      <c r="B1675" t="inlineStr">
        <is>
          <t>ADMIN-INDEX-2026-02-27-00000000125C043F57453246863FE664CAFE6A3F0700950291EA24F0614FB6ACEDB12BF0E31D00000000010C0000950291EA24F0614FB6ACEDB12BF0E31D00002087AEF00000</t>
        </is>
      </c>
      <c r="C1675" t="inlineStr">
        <is>
          <t>cmm4yuo5l01cqcuqwlfzto513</t>
        </is>
      </c>
      <c r="D1675" t="inlineStr">
        <is>
          <t>http://localhost:8787/api/admin/requirements/documents/cmm4yuo5l01cqcuqwlfzto513/view</t>
        </is>
      </c>
      <c r="E1675">
        <f>HYPERLÄNK("http://localhost:8787/api/admin/requirements/documents/cmm4yuo5l01cqcuqwlfzto513/view";"Öppna PDF")</f>
        <v/>
      </c>
      <c r="F1675">
        <f>HYPERLINK("http://localhost:8787/api/admin/requirements/documents/cmm4yuo5l01cqcuqwlfzto513/view","Open PDF")</f>
        <v/>
      </c>
      <c r="G1675" t="inlineStr">
        <is>
          <t>cmm55w57p0004cuisfrtpqly8</t>
        </is>
      </c>
      <c r="H1675" t="inlineStr">
        <is>
          <t>Beslutsvillkor</t>
        </is>
      </c>
      <c r="I1675" t="inlineStr">
        <is>
          <t>LagringsvolymTid</t>
        </is>
      </c>
      <c r="J1675" t="inlineStr">
        <is>
          <t>Maxmangd</t>
        </is>
      </c>
      <c r="K1675" t="inlineStr">
        <is>
          <t>Farligt avfall som är anmälningspliktigt är elavfall på en uppskattad mängd av 5 ton vid ett och samma tillfälle.</t>
        </is>
      </c>
      <c r="L1675" t="inlineStr">
        <is>
          <t>Farligt avfall som är anmälningspliktigt är elavfall på en uppskattad mängd av 5 ton vid ett och samma tillfälle.</t>
        </is>
      </c>
      <c r="M1675" t="inlineStr">
        <is>
          <t>SKA</t>
        </is>
      </c>
      <c r="N1675" t="inlineStr"/>
      <c r="O1675" t="inlineStr"/>
      <c r="P1675" t="inlineStr">
        <is>
          <t>Arlig</t>
        </is>
      </c>
      <c r="Q1675" t="inlineStr"/>
      <c r="R1675" t="inlineStr">
        <is>
          <t>Alltid</t>
        </is>
      </c>
      <c r="S1675" t="inlineStr"/>
      <c r="T1675" t="inlineStr">
        <is>
          <t>212000</t>
        </is>
      </c>
      <c r="U1675" t="n">
        <v>5</v>
      </c>
      <c r="V1675" t="inlineStr"/>
      <c r="W1675" t="inlineStr">
        <is>
          <t>Nej</t>
        </is>
      </c>
      <c r="X1675" t="inlineStr">
        <is>
          <t>Nej</t>
        </is>
      </c>
      <c r="Y1675" t="inlineStr">
        <is>
          <t>Nej</t>
        </is>
      </c>
      <c r="Z1675" t="inlineStr">
        <is>
          <t>Nej</t>
        </is>
      </c>
      <c r="AA1675" t="n">
        <v>4</v>
      </c>
      <c r="AB1675" t="inlineStr">
        <is>
          <t>Avfallsmangder och lagringstid</t>
        </is>
      </c>
      <c r="AC1675" t="inlineStr">
        <is>
          <t>Avfallsforteckning</t>
        </is>
      </c>
      <c r="AD1675" t="inlineStr">
        <is>
          <t>Nej</t>
        </is>
      </c>
      <c r="AE1675" t="inlineStr">
        <is>
          <t>Nej</t>
        </is>
      </c>
      <c r="AF1675" t="inlineStr">
        <is>
          <t>Ej behandlad</t>
        </is>
      </c>
      <c r="AG1675" t="inlineStr">
        <is>
          <t>AUTO_GENERERAD. Verifiera citat mot kallfil.</t>
        </is>
      </c>
      <c r="AH1675" t="inlineStr">
        <is>
          <t>MEDIUM</t>
        </is>
      </c>
      <c r="AI1675" t="inlineStr">
        <is>
          <t>AUTO</t>
        </is>
      </c>
      <c r="AJ1675" t="inlineStr">
        <is>
          <t>Nej</t>
        </is>
      </c>
      <c r="AK1675" t="inlineStr"/>
      <c r="AL1675" t="inlineStr"/>
      <c r="AM1675" t="inlineStr"/>
      <c r="AN1675" t="inlineStr"/>
      <c r="AO1675" t="inlineStr">
        <is>
          <t>cmm4yuo5o01ctcuqwke7dio7y</t>
        </is>
      </c>
      <c r="AP1675" t="inlineStr">
        <is>
          <t>http://localhost:8787/api/admin/requirements/documents/cmm4yuo5o01ctcuqwke7dio7y/view</t>
        </is>
      </c>
      <c r="AQ1675">
        <f>HYPERLÄNK("http://localhost:8787/api/admin/requirements/documents/cmm4yuo5o01ctcuqwke7dio7y/view";"Öppna PDF")</f>
        <v/>
      </c>
      <c r="AR1675">
        <f>HYPERLINK("http://localhost:8787/api/admin/requirements/documents/cmm4yuo5o01ctcuqwke7dio7y/view","Open PDF")</f>
        <v/>
      </c>
      <c r="AS1675" t="inlineStr">
        <is>
          <t>cmm55w57p0004cuisfrtpqly8</t>
        </is>
      </c>
      <c r="AT1675" t="inlineStr">
        <is>
          <t>cmm4xvu980000cuh4vj0usz09</t>
        </is>
      </c>
      <c r="AU1675" t="inlineStr">
        <is>
          <t>Sundbybergs</t>
        </is>
      </c>
      <c r="AV1675" t="inlineStr">
        <is>
          <t>Kommun</t>
        </is>
      </c>
      <c r="AW1675" t="inlineStr">
        <is>
          <t>Sundbybergs kommun</t>
        </is>
      </c>
      <c r="AX1675" t="inlineStr">
        <is>
          <t>2025-06</t>
        </is>
      </c>
      <c r="AY1675" t="inlineStr">
        <is>
          <t>Beslut</t>
        </is>
      </c>
      <c r="AZ1675" t="inlineStr">
        <is>
          <t>2026-02-03</t>
        </is>
      </c>
      <c r="BA1675" t="inlineStr">
        <is>
          <t>Masshanteringsplan v3 MIL.2025.564.pdf</t>
        </is>
      </c>
      <c r="BB1675" t="inlineStr">
        <is>
          <t>Sv: till registrator</t>
        </is>
      </c>
      <c r="BC1675" t="inlineStr">
        <is>
          <t>AUTO</t>
        </is>
      </c>
      <c r="BD1675" t="inlineStr"/>
      <c r="BE1675" t="inlineStr"/>
      <c r="BF1675" t="inlineStr">
        <is>
          <t>AUTO_GENERERAD. Bekrafta metadata mot kallfil.</t>
        </is>
      </c>
      <c r="BG1675">
        <f>HYPERLINK("C:\Users\jimmy\Desktop\Examens arbete\Kod\Ny mapp\remix_-copy-of-miljöbeslut.se-portal\Masshanteringsplan v3 MIL.2025.564.pdf", "Öppna PDF")</f>
        <v/>
      </c>
    </row>
    <row r="1676">
      <c r="A1676" t="inlineStr">
        <is>
          <t>KRAV-AUTO-001675</t>
        </is>
      </c>
      <c r="B1676" t="inlineStr">
        <is>
          <t>ADMIN-INDEX-2026-02-27-00000000125C043F57453246863FE664CAFE6A3F0700950291EA24F0614FB6ACEDB12BF0E31D00000000010C0000950291EA24F0614FB6ACEDB12BF0E31D00002087AEF00000</t>
        </is>
      </c>
      <c r="C1676" t="inlineStr">
        <is>
          <t>cmm4yuo5l01cqcuqwlfzto513</t>
        </is>
      </c>
      <c r="D1676" t="inlineStr">
        <is>
          <t>http://localhost:8787/api/admin/requirements/documents/cmm4yuo5l01cqcuqwlfzto513/view</t>
        </is>
      </c>
      <c r="E1676">
        <f>HYPERLÄNK("http://localhost:8787/api/admin/requirements/documents/cmm4yuo5l01cqcuqwlfzto513/view";"Öppna PDF")</f>
        <v/>
      </c>
      <c r="F1676">
        <f>HYPERLINK("http://localhost:8787/api/admin/requirements/documents/cmm4yuo5l01cqcuqwlfzto513/view","Open PDF")</f>
        <v/>
      </c>
      <c r="G1676" t="inlineStr">
        <is>
          <t>cmm55w57p0004cuisfrtpqly8</t>
        </is>
      </c>
      <c r="H1676" t="inlineStr">
        <is>
          <t>Beslutsvillkor</t>
        </is>
      </c>
      <c r="I1676" t="inlineStr">
        <is>
          <t>Riskhantering</t>
        </is>
      </c>
      <c r="J1676" t="inlineStr">
        <is>
          <t>Riskkontroll</t>
        </is>
      </c>
      <c r="K1676" t="inlineStr">
        <is>
          <t>mer än 1 ton men högst 50 ton och utgörs av elektriska eller elektroniska produkter, 4.</t>
        </is>
      </c>
      <c r="L1676" t="inlineStr">
        <is>
          <t>mer än 1 ton men högst 50 ton och utgörs av elektriska eller elektroniska produkter, 4.</t>
        </is>
      </c>
      <c r="M1676" t="inlineStr">
        <is>
          <t>SKA</t>
        </is>
      </c>
      <c r="N1676" t="inlineStr"/>
      <c r="O1676" t="inlineStr"/>
      <c r="P1676" t="inlineStr"/>
      <c r="Q1676" t="inlineStr"/>
      <c r="R1676" t="inlineStr">
        <is>
          <t>Vid risk for incident</t>
        </is>
      </c>
      <c r="S1676" t="inlineStr"/>
      <c r="T1676" t="inlineStr">
        <is>
          <t>212000</t>
        </is>
      </c>
      <c r="U1676" t="n">
        <v>1</v>
      </c>
      <c r="V1676" t="inlineStr"/>
      <c r="W1676" t="inlineStr">
        <is>
          <t>Nej</t>
        </is>
      </c>
      <c r="X1676" t="inlineStr">
        <is>
          <t>Nej</t>
        </is>
      </c>
      <c r="Y1676" t="inlineStr">
        <is>
          <t>Ja</t>
        </is>
      </c>
      <c r="Z1676" t="inlineStr">
        <is>
          <t>Ja</t>
        </is>
      </c>
      <c r="AA1676" t="n">
        <v>8</v>
      </c>
      <c r="AB1676" t="inlineStr">
        <is>
          <t>Riskhantering</t>
        </is>
      </c>
      <c r="AC1676" t="inlineStr">
        <is>
          <t>Risk-PM</t>
        </is>
      </c>
      <c r="AD1676" t="inlineStr">
        <is>
          <t>Nej</t>
        </is>
      </c>
      <c r="AE1676" t="inlineStr">
        <is>
          <t>Nej</t>
        </is>
      </c>
      <c r="AF1676" t="inlineStr">
        <is>
          <t>Ej behandlad</t>
        </is>
      </c>
      <c r="AG1676" t="inlineStr">
        <is>
          <t>AUTO_GENERERAD. Verifiera citat mot kallfil.</t>
        </is>
      </c>
      <c r="AH1676" t="inlineStr">
        <is>
          <t>MEDIUM</t>
        </is>
      </c>
      <c r="AI1676" t="inlineStr">
        <is>
          <t>AUTO</t>
        </is>
      </c>
      <c r="AJ1676" t="inlineStr">
        <is>
          <t>Nej</t>
        </is>
      </c>
      <c r="AK1676" t="inlineStr"/>
      <c r="AL1676" t="inlineStr"/>
      <c r="AM1676" t="inlineStr"/>
      <c r="AN1676" t="inlineStr"/>
      <c r="AO1676" t="inlineStr">
        <is>
          <t>cmm4yuo5o01ctcuqwke7dio7y</t>
        </is>
      </c>
      <c r="AP1676" t="inlineStr">
        <is>
          <t>http://localhost:8787/api/admin/requirements/documents/cmm4yuo5o01ctcuqwke7dio7y/view</t>
        </is>
      </c>
      <c r="AQ1676">
        <f>HYPERLÄNK("http://localhost:8787/api/admin/requirements/documents/cmm4yuo5o01ctcuqwke7dio7y/view";"Öppna PDF")</f>
        <v/>
      </c>
      <c r="AR1676">
        <f>HYPERLINK("http://localhost:8787/api/admin/requirements/documents/cmm4yuo5o01ctcuqwke7dio7y/view","Open PDF")</f>
        <v/>
      </c>
      <c r="AS1676" t="inlineStr">
        <is>
          <t>cmm55w57p0004cuisfrtpqly8</t>
        </is>
      </c>
      <c r="AT1676" t="inlineStr">
        <is>
          <t>cmm4xvu980000cuh4vj0usz09</t>
        </is>
      </c>
      <c r="AU1676" t="inlineStr">
        <is>
          <t>Sundbybergs</t>
        </is>
      </c>
      <c r="AV1676" t="inlineStr">
        <is>
          <t>Kommun</t>
        </is>
      </c>
      <c r="AW1676" t="inlineStr">
        <is>
          <t>Sundbybergs kommun</t>
        </is>
      </c>
      <c r="AX1676" t="inlineStr">
        <is>
          <t>2025-06</t>
        </is>
      </c>
      <c r="AY1676" t="inlineStr">
        <is>
          <t>Beslut</t>
        </is>
      </c>
      <c r="AZ1676" t="inlineStr">
        <is>
          <t>2026-02-03</t>
        </is>
      </c>
      <c r="BA1676" t="inlineStr">
        <is>
          <t>Masshanteringsplan v3 MIL.2025.564.pdf</t>
        </is>
      </c>
      <c r="BB1676" t="inlineStr">
        <is>
          <t>Sv: till registrator</t>
        </is>
      </c>
      <c r="BC1676" t="inlineStr">
        <is>
          <t>AUTO</t>
        </is>
      </c>
      <c r="BD1676" t="inlineStr"/>
      <c r="BE1676" t="inlineStr"/>
      <c r="BF1676" t="inlineStr">
        <is>
          <t>AUTO_GENERERAD. Bekrafta metadata mot kallfil.</t>
        </is>
      </c>
      <c r="BG1676">
        <f>HYPERLINK("C:\Users\jimmy\Desktop\Examens arbete\Kod\Ny mapp\remix_-copy-of-miljöbeslut.se-portal\Masshanteringsplan v3 MIL.2025.564.pdf", "Öppna PDF")</f>
        <v/>
      </c>
    </row>
    <row r="1677">
      <c r="A1677" t="inlineStr">
        <is>
          <t>KRAV-AUTO-001676</t>
        </is>
      </c>
      <c r="B1677" t="inlineStr">
        <is>
          <t>ADMIN-INDEX-2026-02-27-00000000125C043F57453246863FE664CAFE6A3F0700950291EA24F0614FB6ACEDB12BF0E31D00000000010C0000950291EA24F0614FB6ACEDB12BF0E31D00002087AEF00000</t>
        </is>
      </c>
      <c r="C1677" t="inlineStr">
        <is>
          <t>cmm4yuo5i01cncuqwxovnljgt</t>
        </is>
      </c>
      <c r="D1677" t="inlineStr">
        <is>
          <t>http://localhost:8787/api/admin/requirements/documents/cmm4yuo5i01cncuqwxovnljgt/view</t>
        </is>
      </c>
      <c r="E1677">
        <f>HYPERLÄNK("http://localhost:8787/api/admin/requirements/documents/cmm4yuo5i01cncuqwxovnljgt/view";"Öppna PDF")</f>
        <v/>
      </c>
      <c r="F1677">
        <f>HYPERLINK("http://localhost:8787/api/admin/requirements/documents/cmm4yuo5i01cncuqwxovnljgt/view","Open PDF")</f>
        <v/>
      </c>
      <c r="G1677" t="inlineStr">
        <is>
          <t>cmm55w57p0004cuisfrtpqly8</t>
        </is>
      </c>
      <c r="H1677" t="inlineStr">
        <is>
          <t>Beslutsvillkor</t>
        </is>
      </c>
      <c r="I1677" t="inlineStr">
        <is>
          <t>MiljopaverkanForsiktighet</t>
        </is>
      </c>
      <c r="J1677" t="inlineStr">
        <is>
          <t>Skyddsatgarder</t>
        </is>
      </c>
      <c r="K1677" t="inlineStr">
        <is>
          <t>Massor får inte lagras till den bullervall som ska byggas i området för Västra Ursvik, då det är en egen process att få använda avfallsmassor i anläggningsändamål.</t>
        </is>
      </c>
      <c r="L1677" t="inlineStr">
        <is>
          <t>Massor får inte lagras till den bullervall som ska byggas i området för Västra Ursvik, då det är en egen process att få använda avfallsmassor i anläggningsändamål.</t>
        </is>
      </c>
      <c r="M1677" t="inlineStr">
        <is>
          <t>SKA</t>
        </is>
      </c>
      <c r="N1677" t="inlineStr"/>
      <c r="O1677" t="inlineStr"/>
      <c r="P1677" t="inlineStr"/>
      <c r="Q1677" t="inlineStr">
        <is>
          <t>Driftbegransning vid avvikelse</t>
        </is>
      </c>
      <c r="R1677" t="inlineStr">
        <is>
          <t>Alltid</t>
        </is>
      </c>
      <c r="S1677" t="inlineStr"/>
      <c r="T1677" t="inlineStr">
        <is>
          <t>556484</t>
        </is>
      </c>
      <c r="U1677" t="inlineStr"/>
      <c r="V1677" t="inlineStr"/>
      <c r="W1677" t="inlineStr">
        <is>
          <t>Nej</t>
        </is>
      </c>
      <c r="X1677" t="inlineStr">
        <is>
          <t>Nej</t>
        </is>
      </c>
      <c r="Y1677" t="inlineStr">
        <is>
          <t>Nej</t>
        </is>
      </c>
      <c r="Z1677" t="inlineStr">
        <is>
          <t>Nej</t>
        </is>
      </c>
      <c r="AA1677" t="n">
        <v>10</v>
      </c>
      <c r="AB1677" t="inlineStr">
        <is>
          <t>Miljopaverkan och forsiktighetsmatt</t>
        </is>
      </c>
      <c r="AC1677" t="inlineStr">
        <is>
          <t>Miljo-PM</t>
        </is>
      </c>
      <c r="AD1677" t="inlineStr">
        <is>
          <t>Nej</t>
        </is>
      </c>
      <c r="AE1677" t="inlineStr">
        <is>
          <t>Nej</t>
        </is>
      </c>
      <c r="AF1677" t="inlineStr">
        <is>
          <t>Ej behandlad</t>
        </is>
      </c>
      <c r="AG1677" t="inlineStr">
        <is>
          <t>AUTO_GENERERAD. Verifiera citat mot kallfil.</t>
        </is>
      </c>
      <c r="AH1677" t="inlineStr">
        <is>
          <t>MEDIUM</t>
        </is>
      </c>
      <c r="AI1677" t="inlineStr">
        <is>
          <t>AUTO</t>
        </is>
      </c>
      <c r="AJ1677" t="inlineStr">
        <is>
          <t>Nej</t>
        </is>
      </c>
      <c r="AK1677" t="inlineStr"/>
      <c r="AL1677" t="inlineStr"/>
      <c r="AM1677" t="inlineStr"/>
      <c r="AN1677" t="inlineStr"/>
      <c r="AO1677" t="inlineStr">
        <is>
          <t>cmm4yuo5o01ctcuqwke7dio7y</t>
        </is>
      </c>
      <c r="AP1677" t="inlineStr">
        <is>
          <t>http://localhost:8787/api/admin/requirements/documents/cmm4yuo5o01ctcuqwke7dio7y/view</t>
        </is>
      </c>
      <c r="AQ1677">
        <f>HYPERLÄNK("http://localhost:8787/api/admin/requirements/documents/cmm4yuo5o01ctcuqwke7dio7y/view";"Öppna PDF")</f>
        <v/>
      </c>
      <c r="AR1677">
        <f>HYPERLINK("http://localhost:8787/api/admin/requirements/documents/cmm4yuo5o01ctcuqwke7dio7y/view","Open PDF")</f>
        <v/>
      </c>
      <c r="AS1677" t="inlineStr">
        <is>
          <t>cmm55w57p0004cuisfrtpqly8</t>
        </is>
      </c>
      <c r="AT1677" t="inlineStr">
        <is>
          <t>cmm4xvu980000cuh4vj0usz09</t>
        </is>
      </c>
      <c r="AU1677" t="inlineStr">
        <is>
          <t>Sundbybergs</t>
        </is>
      </c>
      <c r="AV1677" t="inlineStr">
        <is>
          <t>Kommun</t>
        </is>
      </c>
      <c r="AW1677" t="inlineStr">
        <is>
          <t>Sundbybergs kommun</t>
        </is>
      </c>
      <c r="AX1677" t="inlineStr">
        <is>
          <t>2025-06</t>
        </is>
      </c>
      <c r="AY1677" t="inlineStr">
        <is>
          <t>Beslut</t>
        </is>
      </c>
      <c r="AZ1677" t="inlineStr">
        <is>
          <t>2026-02-03</t>
        </is>
      </c>
      <c r="BA1677" t="inlineStr">
        <is>
          <t>Masshanteringsplan v3 MIL.2025.564.pdf</t>
        </is>
      </c>
      <c r="BB1677" t="inlineStr">
        <is>
          <t>Sv: till registrator</t>
        </is>
      </c>
      <c r="BC1677" t="inlineStr">
        <is>
          <t>AUTO</t>
        </is>
      </c>
      <c r="BD1677" t="inlineStr"/>
      <c r="BE1677" t="inlineStr"/>
      <c r="BF1677" t="inlineStr">
        <is>
          <t>AUTO_GENERERAD. Bekrafta metadata mot kallfil.</t>
        </is>
      </c>
      <c r="BG1677">
        <f>HYPERLINK("C:\Users\jimmy\Desktop\Examens arbete\Kod\Ny mapp\remix_-copy-of-miljöbeslut.se-portal\Masshanteringsplan v3 MIL.2025.564.pdf", "Öppna PDF")</f>
        <v/>
      </c>
    </row>
    <row r="1678">
      <c r="A1678" t="inlineStr">
        <is>
          <t>KRAV-AUTO-001677</t>
        </is>
      </c>
      <c r="B1678" t="inlineStr">
        <is>
          <t>ADMIN-INDEX-2026-02-27-00000000125C043F57453246863FE664CAFE6A3F0700950291EA24F0614FB6ACEDB12BF0E31D00000000010C0000950291EA24F0614FB6ACEDB12BF0E31D00002087AEF00000</t>
        </is>
      </c>
      <c r="C1678" t="inlineStr">
        <is>
          <t>cmm4yuo5i01cncuqwxovnljgt</t>
        </is>
      </c>
      <c r="D1678" t="inlineStr">
        <is>
          <t>http://localhost:8787/api/admin/requirements/documents/cmm4yuo5i01cncuqwxovnljgt/view</t>
        </is>
      </c>
      <c r="E1678">
        <f>HYPERLÄNK("http://localhost:8787/api/admin/requirements/documents/cmm4yuo5i01cncuqwxovnljgt/view";"Öppna PDF")</f>
        <v/>
      </c>
      <c r="F1678">
        <f>HYPERLINK("http://localhost:8787/api/admin/requirements/documents/cmm4yuo5i01cncuqwxovnljgt/view","Open PDF")</f>
        <v/>
      </c>
      <c r="G1678" t="inlineStr">
        <is>
          <t>cmm55w57p0004cuisfrtpqly8</t>
        </is>
      </c>
      <c r="H1678" t="inlineStr">
        <is>
          <t>Beslutsvillkor</t>
        </is>
      </c>
      <c r="I1678" t="inlineStr">
        <is>
          <t>DriftEgenkontroll</t>
        </is>
      </c>
      <c r="J1678" t="inlineStr">
        <is>
          <t>Journalforing</t>
        </is>
      </c>
      <c r="K1678" t="inlineStr">
        <is>
          <t>Kompetens för att ta prover krävs för att säkerställa en relevant provtagning som kan användas som underlag för avfallslagringen.</t>
        </is>
      </c>
      <c r="L1678" t="inlineStr">
        <is>
          <t>Kompetens för att ta prover krävs för att säkerställa en relevant provtagning som kan användas som underlag för avfallslagringen.</t>
        </is>
      </c>
      <c r="M1678" t="inlineStr">
        <is>
          <t>SKA</t>
        </is>
      </c>
      <c r="N1678" t="inlineStr"/>
      <c r="O1678" t="inlineStr"/>
      <c r="P1678" t="inlineStr"/>
      <c r="Q1678" t="inlineStr"/>
      <c r="R1678" t="inlineStr">
        <is>
          <t>Lopande drift</t>
        </is>
      </c>
      <c r="S1678" t="inlineStr"/>
      <c r="T1678" t="inlineStr">
        <is>
          <t>556484</t>
        </is>
      </c>
      <c r="U1678" t="inlineStr"/>
      <c r="V1678" t="inlineStr"/>
      <c r="W1678" t="inlineStr">
        <is>
          <t>Nej</t>
        </is>
      </c>
      <c r="X1678" t="inlineStr">
        <is>
          <t>Nej</t>
        </is>
      </c>
      <c r="Y1678" t="inlineStr">
        <is>
          <t>Ja</t>
        </is>
      </c>
      <c r="Z1678" t="inlineStr">
        <is>
          <t>Nej</t>
        </is>
      </c>
      <c r="AA1678" t="n">
        <v>7</v>
      </c>
      <c r="AB1678" t="inlineStr">
        <is>
          <t>Egenkontrollrutiner</t>
        </is>
      </c>
      <c r="AC1678" t="inlineStr">
        <is>
          <t>Egenkontrollprogram</t>
        </is>
      </c>
      <c r="AD1678" t="inlineStr">
        <is>
          <t>Nej</t>
        </is>
      </c>
      <c r="AE1678" t="inlineStr">
        <is>
          <t>Nej</t>
        </is>
      </c>
      <c r="AF1678" t="inlineStr">
        <is>
          <t>Ej behandlad</t>
        </is>
      </c>
      <c r="AG1678" t="inlineStr">
        <is>
          <t>AUTO_GENERERAD. Verifiera citat mot kallfil.</t>
        </is>
      </c>
      <c r="AH1678" t="inlineStr">
        <is>
          <t>MEDIUM</t>
        </is>
      </c>
      <c r="AI1678" t="inlineStr">
        <is>
          <t>AUTO</t>
        </is>
      </c>
      <c r="AJ1678" t="inlineStr">
        <is>
          <t>Nej</t>
        </is>
      </c>
      <c r="AK1678" t="inlineStr"/>
      <c r="AL1678" t="inlineStr"/>
      <c r="AM1678" t="inlineStr"/>
      <c r="AN1678" t="inlineStr"/>
      <c r="AO1678" t="inlineStr">
        <is>
          <t>cmm4yuo5o01ctcuqwke7dio7y</t>
        </is>
      </c>
      <c r="AP1678" t="inlineStr">
        <is>
          <t>http://localhost:8787/api/admin/requirements/documents/cmm4yuo5o01ctcuqwke7dio7y/view</t>
        </is>
      </c>
      <c r="AQ1678">
        <f>HYPERLÄNK("http://localhost:8787/api/admin/requirements/documents/cmm4yuo5o01ctcuqwke7dio7y/view";"Öppna PDF")</f>
        <v/>
      </c>
      <c r="AR1678">
        <f>HYPERLINK("http://localhost:8787/api/admin/requirements/documents/cmm4yuo5o01ctcuqwke7dio7y/view","Open PDF")</f>
        <v/>
      </c>
      <c r="AS1678" t="inlineStr">
        <is>
          <t>cmm55w57p0004cuisfrtpqly8</t>
        </is>
      </c>
      <c r="AT1678" t="inlineStr">
        <is>
          <t>cmm4xvu980000cuh4vj0usz09</t>
        </is>
      </c>
      <c r="AU1678" t="inlineStr">
        <is>
          <t>Sundbybergs</t>
        </is>
      </c>
      <c r="AV1678" t="inlineStr">
        <is>
          <t>Kommun</t>
        </is>
      </c>
      <c r="AW1678" t="inlineStr">
        <is>
          <t>Sundbybergs kommun</t>
        </is>
      </c>
      <c r="AX1678" t="inlineStr">
        <is>
          <t>2025-06</t>
        </is>
      </c>
      <c r="AY1678" t="inlineStr">
        <is>
          <t>Beslut</t>
        </is>
      </c>
      <c r="AZ1678" t="inlineStr">
        <is>
          <t>2026-02-03</t>
        </is>
      </c>
      <c r="BA1678" t="inlineStr">
        <is>
          <t>Masshanteringsplan v3 MIL.2025.564.pdf</t>
        </is>
      </c>
      <c r="BB1678" t="inlineStr">
        <is>
          <t>Sv: till registrator</t>
        </is>
      </c>
      <c r="BC1678" t="inlineStr">
        <is>
          <t>AUTO</t>
        </is>
      </c>
      <c r="BD1678" t="inlineStr"/>
      <c r="BE1678" t="inlineStr"/>
      <c r="BF1678" t="inlineStr">
        <is>
          <t>AUTO_GENERERAD. Bekrafta metadata mot kallfil.</t>
        </is>
      </c>
      <c r="BG1678">
        <f>HYPERLINK("C:\Users\jimmy\Desktop\Examens arbete\Kod\Ny mapp\remix_-copy-of-miljöbeslut.se-portal\Masshanteringsplan v3 MIL.2025.564.pdf", "Öppna PDF")</f>
        <v/>
      </c>
    </row>
    <row r="1679">
      <c r="A1679" t="inlineStr">
        <is>
          <t>KRAV-AUTO-001678</t>
        </is>
      </c>
      <c r="B1679" t="inlineStr">
        <is>
          <t>ADMIN-INDEX-2026-02-27-00000000125C043F57453246863FE664CAFE6A3F0700950291EA24F0614FB6ACEDB12BF0E31D00000000010C0000950291EA24F0614FB6ACEDB12BF0E31D00002087AEF00000</t>
        </is>
      </c>
      <c r="C1679" t="inlineStr">
        <is>
          <t>cmm4yuo5i01cncuqwxovnljgt</t>
        </is>
      </c>
      <c r="D1679" t="inlineStr">
        <is>
          <t>http://localhost:8787/api/admin/requirements/documents/cmm4yuo5i01cncuqwxovnljgt/view</t>
        </is>
      </c>
      <c r="E1679">
        <f>HYPERLÄNK("http://localhost:8787/api/admin/requirements/documents/cmm4yuo5i01cncuqwxovnljgt/view";"Öppna PDF")</f>
        <v/>
      </c>
      <c r="F1679">
        <f>HYPERLINK("http://localhost:8787/api/admin/requirements/documents/cmm4yuo5i01cncuqwxovnljgt/view","Open PDF")</f>
        <v/>
      </c>
      <c r="G1679" t="inlineStr">
        <is>
          <t>cmm55w57p0004cuisfrtpqly8</t>
        </is>
      </c>
      <c r="H1679" t="inlineStr">
        <is>
          <t>Beslutsvillkor</t>
        </is>
      </c>
      <c r="I1679" t="inlineStr">
        <is>
          <t>MiljopaverkanForsiktighet</t>
        </is>
      </c>
      <c r="J1679" t="inlineStr">
        <is>
          <t>Skyddsatgarder</t>
        </is>
      </c>
      <c r="K1679" t="inlineStr">
        <is>
          <t>Marken under avfallsmassorna ska vara täckt med markduk.</t>
        </is>
      </c>
      <c r="L1679" t="inlineStr">
        <is>
          <t>Marken under avfallsmassorna ska vara täckt med markduk.</t>
        </is>
      </c>
      <c r="M1679" t="inlineStr">
        <is>
          <t>SKA</t>
        </is>
      </c>
      <c r="N1679" t="inlineStr"/>
      <c r="O1679" t="inlineStr"/>
      <c r="P1679" t="inlineStr"/>
      <c r="Q1679" t="inlineStr"/>
      <c r="R1679" t="inlineStr">
        <is>
          <t>Alltid</t>
        </is>
      </c>
      <c r="S1679" t="inlineStr"/>
      <c r="T1679" t="inlineStr">
        <is>
          <t>556484</t>
        </is>
      </c>
      <c r="U1679" t="inlineStr"/>
      <c r="V1679" t="inlineStr"/>
      <c r="W1679" t="inlineStr">
        <is>
          <t>Nej</t>
        </is>
      </c>
      <c r="X1679" t="inlineStr">
        <is>
          <t>Nej</t>
        </is>
      </c>
      <c r="Y1679" t="inlineStr">
        <is>
          <t>Nej</t>
        </is>
      </c>
      <c r="Z1679" t="inlineStr">
        <is>
          <t>Nej</t>
        </is>
      </c>
      <c r="AA1679" t="n">
        <v>10</v>
      </c>
      <c r="AB1679" t="inlineStr">
        <is>
          <t>Miljopaverkan och forsiktighetsmatt</t>
        </is>
      </c>
      <c r="AC1679" t="inlineStr">
        <is>
          <t>Miljo-PM</t>
        </is>
      </c>
      <c r="AD1679" t="inlineStr">
        <is>
          <t>Nej</t>
        </is>
      </c>
      <c r="AE1679" t="inlineStr">
        <is>
          <t>Nej</t>
        </is>
      </c>
      <c r="AF1679" t="inlineStr">
        <is>
          <t>Ej behandlad</t>
        </is>
      </c>
      <c r="AG1679" t="inlineStr">
        <is>
          <t>AUTO_GENERERAD. Verifiera citat mot kallfil.</t>
        </is>
      </c>
      <c r="AH1679" t="inlineStr">
        <is>
          <t>MEDIUM</t>
        </is>
      </c>
      <c r="AI1679" t="inlineStr">
        <is>
          <t>AUTO</t>
        </is>
      </c>
      <c r="AJ1679" t="inlineStr">
        <is>
          <t>Nej</t>
        </is>
      </c>
      <c r="AK1679" t="inlineStr"/>
      <c r="AL1679" t="inlineStr"/>
      <c r="AM1679" t="inlineStr"/>
      <c r="AN1679" t="inlineStr"/>
      <c r="AO1679" t="inlineStr">
        <is>
          <t>cmm4yuo5o01ctcuqwke7dio7y</t>
        </is>
      </c>
      <c r="AP1679" t="inlineStr">
        <is>
          <t>http://localhost:8787/api/admin/requirements/documents/cmm4yuo5o01ctcuqwke7dio7y/view</t>
        </is>
      </c>
      <c r="AQ1679">
        <f>HYPERLÄNK("http://localhost:8787/api/admin/requirements/documents/cmm4yuo5o01ctcuqwke7dio7y/view";"Öppna PDF")</f>
        <v/>
      </c>
      <c r="AR1679">
        <f>HYPERLINK("http://localhost:8787/api/admin/requirements/documents/cmm4yuo5o01ctcuqwke7dio7y/view","Open PDF")</f>
        <v/>
      </c>
      <c r="AS1679" t="inlineStr">
        <is>
          <t>cmm55w57p0004cuisfrtpqly8</t>
        </is>
      </c>
      <c r="AT1679" t="inlineStr">
        <is>
          <t>cmm4xvu980000cuh4vj0usz09</t>
        </is>
      </c>
      <c r="AU1679" t="inlineStr">
        <is>
          <t>Sundbybergs</t>
        </is>
      </c>
      <c r="AV1679" t="inlineStr">
        <is>
          <t>Kommun</t>
        </is>
      </c>
      <c r="AW1679" t="inlineStr">
        <is>
          <t>Sundbybergs kommun</t>
        </is>
      </c>
      <c r="AX1679" t="inlineStr">
        <is>
          <t>2025-06</t>
        </is>
      </c>
      <c r="AY1679" t="inlineStr">
        <is>
          <t>Beslut</t>
        </is>
      </c>
      <c r="AZ1679" t="inlineStr">
        <is>
          <t>2026-02-03</t>
        </is>
      </c>
      <c r="BA1679" t="inlineStr">
        <is>
          <t>Masshanteringsplan v3 MIL.2025.564.pdf</t>
        </is>
      </c>
      <c r="BB1679" t="inlineStr">
        <is>
          <t>Sv: till registrator</t>
        </is>
      </c>
      <c r="BC1679" t="inlineStr">
        <is>
          <t>AUTO</t>
        </is>
      </c>
      <c r="BD1679" t="inlineStr"/>
      <c r="BE1679" t="inlineStr"/>
      <c r="BF1679" t="inlineStr">
        <is>
          <t>AUTO_GENERERAD. Bekrafta metadata mot kallfil.</t>
        </is>
      </c>
      <c r="BG1679">
        <f>HYPERLINK("C:\Users\jimmy\Desktop\Examens arbete\Kod\Ny mapp\remix_-copy-of-miljöbeslut.se-portal\Masshanteringsplan v3 MIL.2025.564.pdf", "Öppna PDF")</f>
        <v/>
      </c>
    </row>
    <row r="1680">
      <c r="A1680" t="inlineStr">
        <is>
          <t>KRAV-AUTO-001679</t>
        </is>
      </c>
      <c r="B1680" t="inlineStr">
        <is>
          <t>ADMIN-INDEX-2026-02-27-00000000125C043F57453246863FE664CAFE6A3F0700950291EA24F0614FB6ACEDB12BF0E31D00000000010C0000950291EA24F0614FB6ACEDB12BF0E31D00002087AEF00000</t>
        </is>
      </c>
      <c r="C1680" t="inlineStr">
        <is>
          <t>cmm4yuo5f01ckcuqwh95jxj7q</t>
        </is>
      </c>
      <c r="D1680" t="inlineStr">
        <is>
          <t>http://localhost:8787/api/admin/requirements/documents/cmm4yuo5f01ckcuqwh95jxj7q/view</t>
        </is>
      </c>
      <c r="E1680">
        <f>HYPERLÄNK("http://localhost:8787/api/admin/requirements/documents/cmm4yuo5f01ckcuqwh95jxj7q/view";"Öppna PDF")</f>
        <v/>
      </c>
      <c r="F1680">
        <f>HYPERLINK("http://localhost:8787/api/admin/requirements/documents/cmm4yuo5f01ckcuqwh95jxj7q/view","Open PDF")</f>
        <v/>
      </c>
      <c r="G1680" t="inlineStr">
        <is>
          <t>cmm55w57p0004cuisfrtpqly8</t>
        </is>
      </c>
      <c r="H1680" t="inlineStr">
        <is>
          <t>Informationskrav</t>
        </is>
      </c>
      <c r="I1680" t="inlineStr">
        <is>
          <t>Riskhantering</t>
        </is>
      </c>
      <c r="J1680" t="inlineStr">
        <is>
          <t>Riskkontroll</t>
        </is>
      </c>
      <c r="K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80" t="inlineStr">
        <is>
          <t>SKA</t>
        </is>
      </c>
      <c r="N1680" t="inlineStr">
        <is>
          <t>FMH</t>
        </is>
      </c>
      <c r="O1680" t="inlineStr"/>
      <c r="P1680" t="inlineStr">
        <is>
          <t>Arlig</t>
        </is>
      </c>
      <c r="Q1680" t="inlineStr"/>
      <c r="R1680" t="inlineStr">
        <is>
          <t>Vid risk for incident</t>
        </is>
      </c>
      <c r="S1680" t="inlineStr"/>
      <c r="T1680" t="inlineStr"/>
      <c r="U1680" t="n">
        <v>5</v>
      </c>
      <c r="V1680" t="inlineStr"/>
      <c r="W1680" t="inlineStr">
        <is>
          <t>Nej</t>
        </is>
      </c>
      <c r="X1680" t="inlineStr">
        <is>
          <t>Nej</t>
        </is>
      </c>
      <c r="Y1680" t="inlineStr">
        <is>
          <t>Ja</t>
        </is>
      </c>
      <c r="Z1680" t="inlineStr">
        <is>
          <t>Ja</t>
        </is>
      </c>
      <c r="AA1680" t="n">
        <v>8</v>
      </c>
      <c r="AB1680" t="inlineStr">
        <is>
          <t>Riskhantering</t>
        </is>
      </c>
      <c r="AC1680" t="inlineStr">
        <is>
          <t>Risk-PM</t>
        </is>
      </c>
      <c r="AD1680" t="inlineStr">
        <is>
          <t>Nej</t>
        </is>
      </c>
      <c r="AE1680" t="inlineStr">
        <is>
          <t>Nej</t>
        </is>
      </c>
      <c r="AF1680" t="inlineStr">
        <is>
          <t>Ej behandlad</t>
        </is>
      </c>
      <c r="AG1680" t="inlineStr">
        <is>
          <t>AUTO_GENERERAD. Verifiera citat mot kallfil.</t>
        </is>
      </c>
      <c r="AH1680" t="inlineStr">
        <is>
          <t>MEDIUM</t>
        </is>
      </c>
      <c r="AI1680" t="inlineStr">
        <is>
          <t>AUTO</t>
        </is>
      </c>
      <c r="AJ1680" t="inlineStr">
        <is>
          <t>Nej</t>
        </is>
      </c>
      <c r="AK1680" t="inlineStr"/>
      <c r="AL1680" t="inlineStr"/>
      <c r="AM1680" t="inlineStr"/>
      <c r="AN1680" t="inlineStr"/>
      <c r="AO1680" t="inlineStr">
        <is>
          <t>cmm4yuo5o01ctcuqwke7dio7y</t>
        </is>
      </c>
      <c r="AP1680" t="inlineStr">
        <is>
          <t>http://localhost:8787/api/admin/requirements/documents/cmm4yuo5o01ctcuqwke7dio7y/view</t>
        </is>
      </c>
      <c r="AQ1680">
        <f>HYPERLÄNK("http://localhost:8787/api/admin/requirements/documents/cmm4yuo5o01ctcuqwke7dio7y/view";"Öppna PDF")</f>
        <v/>
      </c>
      <c r="AR1680">
        <f>HYPERLINK("http://localhost:8787/api/admin/requirements/documents/cmm4yuo5o01ctcuqwke7dio7y/view","Open PDF")</f>
        <v/>
      </c>
      <c r="AS1680" t="inlineStr">
        <is>
          <t>cmm55w57p0004cuisfrtpqly8</t>
        </is>
      </c>
      <c r="AT1680" t="inlineStr">
        <is>
          <t>cmm4xvu980000cuh4vj0usz09</t>
        </is>
      </c>
      <c r="AU1680" t="inlineStr">
        <is>
          <t>Sundbybergs</t>
        </is>
      </c>
      <c r="AV1680" t="inlineStr">
        <is>
          <t>Kommun</t>
        </is>
      </c>
      <c r="AW1680" t="inlineStr">
        <is>
          <t>Sundbybergs kommun</t>
        </is>
      </c>
      <c r="AX1680" t="inlineStr">
        <is>
          <t>2025-06</t>
        </is>
      </c>
      <c r="AY1680" t="inlineStr">
        <is>
          <t>Beslut</t>
        </is>
      </c>
      <c r="AZ1680" t="inlineStr">
        <is>
          <t>2026-02-03</t>
        </is>
      </c>
      <c r="BA1680" t="inlineStr">
        <is>
          <t>Masshanteringsplan v3 MIL.2025.564.pdf</t>
        </is>
      </c>
      <c r="BB1680" t="inlineStr">
        <is>
          <t>Sv: till registrator</t>
        </is>
      </c>
      <c r="BC1680" t="inlineStr">
        <is>
          <t>AUTO</t>
        </is>
      </c>
      <c r="BD1680" t="inlineStr"/>
      <c r="BE1680" t="inlineStr"/>
      <c r="BF1680" t="inlineStr">
        <is>
          <t>AUTO_GENERERAD. Bekrafta metadata mot kallfil.</t>
        </is>
      </c>
      <c r="BG1680">
        <f>HYPERLINK("C:\Users\jimmy\Desktop\Examens arbete\Kod\Ny mapp\remix_-copy-of-miljöbeslut.se-portal\Masshanteringsplan v3 MIL.2025.564.pdf", "Öppna PDF")</f>
        <v/>
      </c>
    </row>
    <row r="1681">
      <c r="A1681" t="inlineStr">
        <is>
          <t>KRAV-AUTO-001680</t>
        </is>
      </c>
      <c r="B1681" t="inlineStr">
        <is>
          <t>ADMIN-INDEX-2026-02-27-00000000125C043F57453246863FE664CAFE6A3F0700950291EA24F0614FB6ACEDB12BF0E31D00000000010C0000950291EA24F0614FB6ACEDB12BF0E31D00002087AEF00000</t>
        </is>
      </c>
      <c r="C1681" t="inlineStr">
        <is>
          <t>cmm4yuo5f01ckcuqwh95jxj7q</t>
        </is>
      </c>
      <c r="D1681" t="inlineStr">
        <is>
          <t>http://localhost:8787/api/admin/requirements/documents/cmm4yuo5f01ckcuqwh95jxj7q/view</t>
        </is>
      </c>
      <c r="E1681">
        <f>HYPERLÄNK("http://localhost:8787/api/admin/requirements/documents/cmm4yuo5f01ckcuqwh95jxj7q/view";"Öppna PDF")</f>
        <v/>
      </c>
      <c r="F1681">
        <f>HYPERLINK("http://localhost:8787/api/admin/requirements/documents/cmm4yuo5f01ckcuqwh95jxj7q/view","Open PDF")</f>
        <v/>
      </c>
      <c r="G1681" t="inlineStr">
        <is>
          <t>cmm55w57p0004cuisfrtpqly8</t>
        </is>
      </c>
      <c r="H1681" t="inlineStr">
        <is>
          <t>Informationskrav</t>
        </is>
      </c>
      <c r="I1681" t="inlineStr">
        <is>
          <t>LagringsvolymTid</t>
        </is>
      </c>
      <c r="J1681" t="inlineStr">
        <is>
          <t>Maxmangd</t>
        </is>
      </c>
      <c r="K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1" t="inlineStr">
        <is>
          <t>SKA</t>
        </is>
      </c>
      <c r="N1681" t="inlineStr"/>
      <c r="O1681" t="inlineStr"/>
      <c r="P1681" t="inlineStr">
        <is>
          <t>Arlig</t>
        </is>
      </c>
      <c r="Q1681" t="inlineStr"/>
      <c r="R1681" t="inlineStr">
        <is>
          <t>Alltid</t>
        </is>
      </c>
      <c r="S1681" t="inlineStr"/>
      <c r="T1681" t="inlineStr"/>
      <c r="U1681" t="n">
        <v>10</v>
      </c>
      <c r="V1681" t="inlineStr"/>
      <c r="W1681" t="inlineStr">
        <is>
          <t>Nej</t>
        </is>
      </c>
      <c r="X1681" t="inlineStr">
        <is>
          <t>Nej</t>
        </is>
      </c>
      <c r="Y1681" t="inlineStr">
        <is>
          <t>Nej</t>
        </is>
      </c>
      <c r="Z1681" t="inlineStr">
        <is>
          <t>Nej</t>
        </is>
      </c>
      <c r="AA1681" t="n">
        <v>4</v>
      </c>
      <c r="AB1681" t="inlineStr">
        <is>
          <t>Avfallsmangder och lagringstid</t>
        </is>
      </c>
      <c r="AC1681" t="inlineStr">
        <is>
          <t>Avfallsforteckning</t>
        </is>
      </c>
      <c r="AD1681" t="inlineStr">
        <is>
          <t>Nej</t>
        </is>
      </c>
      <c r="AE1681" t="inlineStr">
        <is>
          <t>Nej</t>
        </is>
      </c>
      <c r="AF1681" t="inlineStr">
        <is>
          <t>Ej behandlad</t>
        </is>
      </c>
      <c r="AG1681" t="inlineStr">
        <is>
          <t>AUTO_GENERERAD. Verifiera citat mot kallfil.</t>
        </is>
      </c>
      <c r="AH1681" t="inlineStr">
        <is>
          <t>MEDIUM</t>
        </is>
      </c>
      <c r="AI1681" t="inlineStr">
        <is>
          <t>AUTO</t>
        </is>
      </c>
      <c r="AJ1681" t="inlineStr">
        <is>
          <t>Nej</t>
        </is>
      </c>
      <c r="AK1681" t="inlineStr"/>
      <c r="AL1681" t="inlineStr"/>
      <c r="AM1681" t="inlineStr"/>
      <c r="AN1681" t="inlineStr"/>
      <c r="AO1681" t="inlineStr">
        <is>
          <t>cmm4yuo5o01ctcuqwke7dio7y</t>
        </is>
      </c>
      <c r="AP1681" t="inlineStr">
        <is>
          <t>http://localhost:8787/api/admin/requirements/documents/cmm4yuo5o01ctcuqwke7dio7y/view</t>
        </is>
      </c>
      <c r="AQ1681">
        <f>HYPERLÄNK("http://localhost:8787/api/admin/requirements/documents/cmm4yuo5o01ctcuqwke7dio7y/view";"Öppna PDF")</f>
        <v/>
      </c>
      <c r="AR1681">
        <f>HYPERLINK("http://localhost:8787/api/admin/requirements/documents/cmm4yuo5o01ctcuqwke7dio7y/view","Open PDF")</f>
        <v/>
      </c>
      <c r="AS1681" t="inlineStr">
        <is>
          <t>cmm55w57p0004cuisfrtpqly8</t>
        </is>
      </c>
      <c r="AT1681" t="inlineStr">
        <is>
          <t>cmm4xvu980000cuh4vj0usz09</t>
        </is>
      </c>
      <c r="AU1681" t="inlineStr">
        <is>
          <t>Sundbybergs</t>
        </is>
      </c>
      <c r="AV1681" t="inlineStr">
        <is>
          <t>Kommun</t>
        </is>
      </c>
      <c r="AW1681" t="inlineStr">
        <is>
          <t>Sundbybergs kommun</t>
        </is>
      </c>
      <c r="AX1681" t="inlineStr">
        <is>
          <t>2025-06</t>
        </is>
      </c>
      <c r="AY1681" t="inlineStr">
        <is>
          <t>Beslut</t>
        </is>
      </c>
      <c r="AZ1681" t="inlineStr">
        <is>
          <t>2026-02-03</t>
        </is>
      </c>
      <c r="BA1681" t="inlineStr">
        <is>
          <t>Masshanteringsplan v3 MIL.2025.564.pdf</t>
        </is>
      </c>
      <c r="BB1681" t="inlineStr">
        <is>
          <t>Sv: till registrator</t>
        </is>
      </c>
      <c r="BC1681" t="inlineStr">
        <is>
          <t>AUTO</t>
        </is>
      </c>
      <c r="BD1681" t="inlineStr"/>
      <c r="BE1681" t="inlineStr"/>
      <c r="BF1681" t="inlineStr">
        <is>
          <t>AUTO_GENERERAD. Bekrafta metadata mot kallfil.</t>
        </is>
      </c>
      <c r="BG1681">
        <f>HYPERLINK("C:\Users\jimmy\Desktop\Examens arbete\Kod\Ny mapp\remix_-copy-of-miljöbeslut.se-portal\Masshanteringsplan v3 MIL.2025.564.pdf", "Öppna PDF")</f>
        <v/>
      </c>
    </row>
    <row r="1682">
      <c r="A1682" t="inlineStr">
        <is>
          <t>KRAV-AUTO-001681</t>
        </is>
      </c>
      <c r="B1682" t="inlineStr">
        <is>
          <t>ADMIN-INDEX-2026-02-27-00000000125C043F57453246863FE664CAFE6A3F0700950291EA24F0614FB6ACEDB12BF0E31D00000000010C0000950291EA24F0614FB6ACEDB12BF0E31D00002087AEF00000</t>
        </is>
      </c>
      <c r="C1682" t="inlineStr">
        <is>
          <t>cmm4yuo5f01ckcuqwh95jxj7q</t>
        </is>
      </c>
      <c r="D1682" t="inlineStr">
        <is>
          <t>http://localhost:8787/api/admin/requirements/documents/cmm4yuo5f01ckcuqwh95jxj7q/view</t>
        </is>
      </c>
      <c r="E1682">
        <f>HYPERLÄNK("http://localhost:8787/api/admin/requirements/documents/cmm4yuo5f01ckcuqwh95jxj7q/view";"Öppna PDF")</f>
        <v/>
      </c>
      <c r="F1682">
        <f>HYPERLINK("http://localhost:8787/api/admin/requirements/documents/cmm4yuo5f01ckcuqwh95jxj7q/view","Open PDF")</f>
        <v/>
      </c>
      <c r="G1682" t="inlineStr">
        <is>
          <t>cmm55w57p0004cuisfrtpqly8</t>
        </is>
      </c>
      <c r="H1682" t="inlineStr">
        <is>
          <t>Informationskrav</t>
        </is>
      </c>
      <c r="I1682" t="inlineStr">
        <is>
          <t>LagringsvolymTid</t>
        </is>
      </c>
      <c r="J1682" t="inlineStr">
        <is>
          <t>Maxmangd</t>
        </is>
      </c>
      <c r="K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82" t="inlineStr">
        <is>
          <t>SKA</t>
        </is>
      </c>
      <c r="N1682" t="inlineStr"/>
      <c r="O1682" t="inlineStr"/>
      <c r="P1682" t="inlineStr">
        <is>
          <t>Arlig</t>
        </is>
      </c>
      <c r="Q1682" t="inlineStr"/>
      <c r="R1682" t="inlineStr">
        <is>
          <t>Alltid</t>
        </is>
      </c>
      <c r="S1682" t="inlineStr"/>
      <c r="T1682" t="inlineStr"/>
      <c r="U1682" t="n">
        <v>0</v>
      </c>
      <c r="V1682" t="inlineStr"/>
      <c r="W1682" t="inlineStr">
        <is>
          <t>Nej</t>
        </is>
      </c>
      <c r="X1682" t="inlineStr">
        <is>
          <t>Nej</t>
        </is>
      </c>
      <c r="Y1682" t="inlineStr">
        <is>
          <t>Nej</t>
        </is>
      </c>
      <c r="Z1682" t="inlineStr">
        <is>
          <t>Nej</t>
        </is>
      </c>
      <c r="AA1682" t="n">
        <v>4</v>
      </c>
      <c r="AB1682" t="inlineStr">
        <is>
          <t>Avfallsmangder och lagringstid</t>
        </is>
      </c>
      <c r="AC1682" t="inlineStr">
        <is>
          <t>Avfallsforteckning</t>
        </is>
      </c>
      <c r="AD1682" t="inlineStr">
        <is>
          <t>Nej</t>
        </is>
      </c>
      <c r="AE1682" t="inlineStr">
        <is>
          <t>Nej</t>
        </is>
      </c>
      <c r="AF1682" t="inlineStr">
        <is>
          <t>Ej behandlad</t>
        </is>
      </c>
      <c r="AG1682" t="inlineStr">
        <is>
          <t>AUTO_GENERERAD. Verifiera citat mot kallfil.</t>
        </is>
      </c>
      <c r="AH1682" t="inlineStr">
        <is>
          <t>MEDIUM</t>
        </is>
      </c>
      <c r="AI1682" t="inlineStr">
        <is>
          <t>AUTO</t>
        </is>
      </c>
      <c r="AJ1682" t="inlineStr">
        <is>
          <t>Nej</t>
        </is>
      </c>
      <c r="AK1682" t="inlineStr"/>
      <c r="AL1682" t="inlineStr"/>
      <c r="AM1682" t="inlineStr"/>
      <c r="AN1682" t="inlineStr"/>
      <c r="AO1682" t="inlineStr">
        <is>
          <t>cmm4yuo5o01ctcuqwke7dio7y</t>
        </is>
      </c>
      <c r="AP1682" t="inlineStr">
        <is>
          <t>http://localhost:8787/api/admin/requirements/documents/cmm4yuo5o01ctcuqwke7dio7y/view</t>
        </is>
      </c>
      <c r="AQ1682">
        <f>HYPERLÄNK("http://localhost:8787/api/admin/requirements/documents/cmm4yuo5o01ctcuqwke7dio7y/view";"Öppna PDF")</f>
        <v/>
      </c>
      <c r="AR1682">
        <f>HYPERLINK("http://localhost:8787/api/admin/requirements/documents/cmm4yuo5o01ctcuqwke7dio7y/view","Open PDF")</f>
        <v/>
      </c>
      <c r="AS1682" t="inlineStr">
        <is>
          <t>cmm55w57p0004cuisfrtpqly8</t>
        </is>
      </c>
      <c r="AT1682" t="inlineStr">
        <is>
          <t>cmm4xvu980000cuh4vj0usz09</t>
        </is>
      </c>
      <c r="AU1682" t="inlineStr">
        <is>
          <t>Sundbybergs</t>
        </is>
      </c>
      <c r="AV1682" t="inlineStr">
        <is>
          <t>Kommun</t>
        </is>
      </c>
      <c r="AW1682" t="inlineStr">
        <is>
          <t>Sundbybergs kommun</t>
        </is>
      </c>
      <c r="AX1682" t="inlineStr">
        <is>
          <t>2025-06</t>
        </is>
      </c>
      <c r="AY1682" t="inlineStr">
        <is>
          <t>Beslut</t>
        </is>
      </c>
      <c r="AZ1682" t="inlineStr">
        <is>
          <t>2026-02-03</t>
        </is>
      </c>
      <c r="BA1682" t="inlineStr">
        <is>
          <t>Masshanteringsplan v3 MIL.2025.564.pdf</t>
        </is>
      </c>
      <c r="BB1682" t="inlineStr">
        <is>
          <t>Sv: till registrator</t>
        </is>
      </c>
      <c r="BC1682" t="inlineStr">
        <is>
          <t>AUTO</t>
        </is>
      </c>
      <c r="BD1682" t="inlineStr"/>
      <c r="BE1682" t="inlineStr"/>
      <c r="BF1682" t="inlineStr">
        <is>
          <t>AUTO_GENERERAD. Bekrafta metadata mot kallfil.</t>
        </is>
      </c>
      <c r="BG1682">
        <f>HYPERLINK("C:\Users\jimmy\Desktop\Examens arbete\Kod\Ny mapp\remix_-copy-of-miljöbeslut.se-portal\Masshanteringsplan v3 MIL.2025.564.pdf", "Öppna PDF")</f>
        <v/>
      </c>
    </row>
    <row r="1683">
      <c r="A1683" t="inlineStr">
        <is>
          <t>KRAV-AUTO-001682</t>
        </is>
      </c>
      <c r="B1683" t="inlineStr">
        <is>
          <t>ADMIN-INDEX-2026-02-27-00000000125C043F57453246863FE664CAFE6A3F0700950291EA24F0614FB6ACEDB12BF0E31D00000000010C0000950291EA24F0614FB6ACEDB12BF0E31D00002087AEF00000</t>
        </is>
      </c>
      <c r="C1683" t="inlineStr">
        <is>
          <t>cmm4yuo5d01chcuqwiogbg4pn</t>
        </is>
      </c>
      <c r="D1683" t="inlineStr">
        <is>
          <t>http://localhost:8787/api/admin/requirements/documents/cmm4yuo5d01chcuqwiogbg4pn/view</t>
        </is>
      </c>
      <c r="E1683">
        <f>HYPERLÄNK("http://localhost:8787/api/admin/requirements/documents/cmm4yuo5d01chcuqwiogbg4pn/view";"Öppna PDF")</f>
        <v/>
      </c>
      <c r="F1683">
        <f>HYPERLINK("http://localhost:8787/api/admin/requirements/documents/cmm4yuo5d01chcuqwiogbg4pn/view","Open PDF")</f>
        <v/>
      </c>
      <c r="G1683" t="inlineStr">
        <is>
          <t>cmm55w57p0004cuisfrtpqly8</t>
        </is>
      </c>
      <c r="H1683" t="inlineStr">
        <is>
          <t>Informationskrav</t>
        </is>
      </c>
      <c r="I1683" t="inlineStr">
        <is>
          <t>LagringsvolymTid</t>
        </is>
      </c>
      <c r="J1683" t="inlineStr">
        <is>
          <t>Maxmangd</t>
        </is>
      </c>
      <c r="K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3" t="inlineStr">
        <is>
          <t>SKA</t>
        </is>
      </c>
      <c r="N1683" t="inlineStr"/>
      <c r="O1683" t="inlineStr"/>
      <c r="P1683" t="inlineStr">
        <is>
          <t>Arlig</t>
        </is>
      </c>
      <c r="Q1683" t="inlineStr"/>
      <c r="R1683" t="inlineStr">
        <is>
          <t>Alltid</t>
        </is>
      </c>
      <c r="S1683" t="inlineStr"/>
      <c r="T1683" t="inlineStr"/>
      <c r="U1683" t="n">
        <v>10</v>
      </c>
      <c r="V1683" t="inlineStr"/>
      <c r="W1683" t="inlineStr">
        <is>
          <t>Nej</t>
        </is>
      </c>
      <c r="X1683" t="inlineStr">
        <is>
          <t>Nej</t>
        </is>
      </c>
      <c r="Y1683" t="inlineStr">
        <is>
          <t>Nej</t>
        </is>
      </c>
      <c r="Z1683" t="inlineStr">
        <is>
          <t>Nej</t>
        </is>
      </c>
      <c r="AA1683" t="n">
        <v>4</v>
      </c>
      <c r="AB1683" t="inlineStr">
        <is>
          <t>Avfallsmangder och lagringstid</t>
        </is>
      </c>
      <c r="AC1683" t="inlineStr">
        <is>
          <t>Avfallsforteckning</t>
        </is>
      </c>
      <c r="AD1683" t="inlineStr">
        <is>
          <t>Nej</t>
        </is>
      </c>
      <c r="AE1683" t="inlineStr">
        <is>
          <t>Nej</t>
        </is>
      </c>
      <c r="AF1683" t="inlineStr">
        <is>
          <t>Ej behandlad</t>
        </is>
      </c>
      <c r="AG1683" t="inlineStr">
        <is>
          <t>AUTO_GENERERAD. Verifiera citat mot kallfil.</t>
        </is>
      </c>
      <c r="AH1683" t="inlineStr">
        <is>
          <t>MEDIUM</t>
        </is>
      </c>
      <c r="AI1683" t="inlineStr">
        <is>
          <t>AUTO</t>
        </is>
      </c>
      <c r="AJ1683" t="inlineStr">
        <is>
          <t>Nej</t>
        </is>
      </c>
      <c r="AK1683" t="inlineStr"/>
      <c r="AL1683" t="inlineStr"/>
      <c r="AM1683" t="inlineStr"/>
      <c r="AN1683" t="inlineStr"/>
      <c r="AO1683" t="inlineStr">
        <is>
          <t>cmm4yuo5o01ctcuqwke7dio7y</t>
        </is>
      </c>
      <c r="AP1683" t="inlineStr">
        <is>
          <t>http://localhost:8787/api/admin/requirements/documents/cmm4yuo5o01ctcuqwke7dio7y/view</t>
        </is>
      </c>
      <c r="AQ1683">
        <f>HYPERLÄNK("http://localhost:8787/api/admin/requirements/documents/cmm4yuo5o01ctcuqwke7dio7y/view";"Öppna PDF")</f>
        <v/>
      </c>
      <c r="AR1683">
        <f>HYPERLINK("http://localhost:8787/api/admin/requirements/documents/cmm4yuo5o01ctcuqwke7dio7y/view","Open PDF")</f>
        <v/>
      </c>
      <c r="AS1683" t="inlineStr">
        <is>
          <t>cmm55w57p0004cuisfrtpqly8</t>
        </is>
      </c>
      <c r="AT1683" t="inlineStr">
        <is>
          <t>cmm4xvu980000cuh4vj0usz09</t>
        </is>
      </c>
      <c r="AU1683" t="inlineStr">
        <is>
          <t>Sundbybergs</t>
        </is>
      </c>
      <c r="AV1683" t="inlineStr">
        <is>
          <t>Kommun</t>
        </is>
      </c>
      <c r="AW1683" t="inlineStr">
        <is>
          <t>Sundbybergs kommun</t>
        </is>
      </c>
      <c r="AX1683" t="inlineStr">
        <is>
          <t>2025-06</t>
        </is>
      </c>
      <c r="AY1683" t="inlineStr">
        <is>
          <t>Beslut</t>
        </is>
      </c>
      <c r="AZ1683" t="inlineStr">
        <is>
          <t>2026-02-03</t>
        </is>
      </c>
      <c r="BA1683" t="inlineStr">
        <is>
          <t>Masshanteringsplan v3 MIL.2025.564.pdf</t>
        </is>
      </c>
      <c r="BB1683" t="inlineStr">
        <is>
          <t>Sv: till registrator</t>
        </is>
      </c>
      <c r="BC1683" t="inlineStr">
        <is>
          <t>AUTO</t>
        </is>
      </c>
      <c r="BD1683" t="inlineStr"/>
      <c r="BE1683" t="inlineStr"/>
      <c r="BF1683" t="inlineStr">
        <is>
          <t>AUTO_GENERERAD. Bekrafta metadata mot kallfil.</t>
        </is>
      </c>
      <c r="BG1683">
        <f>HYPERLINK("C:\Users\jimmy\Desktop\Examens arbete\Kod\Ny mapp\remix_-copy-of-miljöbeslut.se-portal\Masshanteringsplan v3 MIL.2025.564.pdf", "Öppna PDF")</f>
        <v/>
      </c>
    </row>
    <row r="1684">
      <c r="A1684" t="inlineStr">
        <is>
          <t>KRAV-AUTO-001683</t>
        </is>
      </c>
      <c r="B1684" t="inlineStr">
        <is>
          <t>ADMIN-INDEX-2026-02-27-00000000125C043F57453246863FE664CAFE6A3F0700950291EA24F0614FB6ACEDB12BF0E31D00000000010C0000950291EA24F0614FB6ACEDB12BF0E31D00002087AEF00000</t>
        </is>
      </c>
      <c r="C1684" t="inlineStr">
        <is>
          <t>cmm4yuo5d01chcuqwiogbg4pn</t>
        </is>
      </c>
      <c r="D1684" t="inlineStr">
        <is>
          <t>http://localhost:8787/api/admin/requirements/documents/cmm4yuo5d01chcuqwiogbg4pn/view</t>
        </is>
      </c>
      <c r="E1684">
        <f>HYPERLÄNK("http://localhost:8787/api/admin/requirements/documents/cmm4yuo5d01chcuqwiogbg4pn/view";"Öppna PDF")</f>
        <v/>
      </c>
      <c r="F1684">
        <f>HYPERLINK("http://localhost:8787/api/admin/requirements/documents/cmm4yuo5d01chcuqwiogbg4pn/view","Open PDF")</f>
        <v/>
      </c>
      <c r="G1684" t="inlineStr">
        <is>
          <t>cmm55w57p0004cuisfrtpqly8</t>
        </is>
      </c>
      <c r="H1684" t="inlineStr">
        <is>
          <t>Informationskrav</t>
        </is>
      </c>
      <c r="I1684" t="inlineStr">
        <is>
          <t>LagringsvolymTid</t>
        </is>
      </c>
      <c r="J1684" t="inlineStr">
        <is>
          <t>Maxmangd</t>
        </is>
      </c>
      <c r="K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84" t="inlineStr">
        <is>
          <t>SKA</t>
        </is>
      </c>
      <c r="N1684" t="inlineStr"/>
      <c r="O1684" t="inlineStr"/>
      <c r="P1684" t="inlineStr">
        <is>
          <t>Arlig</t>
        </is>
      </c>
      <c r="Q1684" t="inlineStr"/>
      <c r="R1684" t="inlineStr">
        <is>
          <t>Alltid</t>
        </is>
      </c>
      <c r="S1684" t="inlineStr"/>
      <c r="T1684" t="inlineStr"/>
      <c r="U1684" t="n">
        <v>0</v>
      </c>
      <c r="V1684" t="inlineStr"/>
      <c r="W1684" t="inlineStr">
        <is>
          <t>Nej</t>
        </is>
      </c>
      <c r="X1684" t="inlineStr">
        <is>
          <t>Nej</t>
        </is>
      </c>
      <c r="Y1684" t="inlineStr">
        <is>
          <t>Nej</t>
        </is>
      </c>
      <c r="Z1684" t="inlineStr">
        <is>
          <t>Nej</t>
        </is>
      </c>
      <c r="AA1684" t="n">
        <v>4</v>
      </c>
      <c r="AB1684" t="inlineStr">
        <is>
          <t>Avfallsmangder och lagringstid</t>
        </is>
      </c>
      <c r="AC1684" t="inlineStr">
        <is>
          <t>Avfallsforteckning</t>
        </is>
      </c>
      <c r="AD1684" t="inlineStr">
        <is>
          <t>Nej</t>
        </is>
      </c>
      <c r="AE1684" t="inlineStr">
        <is>
          <t>Nej</t>
        </is>
      </c>
      <c r="AF1684" t="inlineStr">
        <is>
          <t>Ej behandlad</t>
        </is>
      </c>
      <c r="AG1684" t="inlineStr">
        <is>
          <t>AUTO_GENERERAD. Verifiera citat mot kallfil.</t>
        </is>
      </c>
      <c r="AH1684" t="inlineStr">
        <is>
          <t>MEDIUM</t>
        </is>
      </c>
      <c r="AI1684" t="inlineStr">
        <is>
          <t>AUTO</t>
        </is>
      </c>
      <c r="AJ1684" t="inlineStr">
        <is>
          <t>Nej</t>
        </is>
      </c>
      <c r="AK1684" t="inlineStr"/>
      <c r="AL1684" t="inlineStr"/>
      <c r="AM1684" t="inlineStr"/>
      <c r="AN1684" t="inlineStr"/>
      <c r="AO1684" t="inlineStr">
        <is>
          <t>cmm4yuo5o01ctcuqwke7dio7y</t>
        </is>
      </c>
      <c r="AP1684" t="inlineStr">
        <is>
          <t>http://localhost:8787/api/admin/requirements/documents/cmm4yuo5o01ctcuqwke7dio7y/view</t>
        </is>
      </c>
      <c r="AQ1684">
        <f>HYPERLÄNK("http://localhost:8787/api/admin/requirements/documents/cmm4yuo5o01ctcuqwke7dio7y/view";"Öppna PDF")</f>
        <v/>
      </c>
      <c r="AR1684">
        <f>HYPERLINK("http://localhost:8787/api/admin/requirements/documents/cmm4yuo5o01ctcuqwke7dio7y/view","Open PDF")</f>
        <v/>
      </c>
      <c r="AS1684" t="inlineStr">
        <is>
          <t>cmm55w57p0004cuisfrtpqly8</t>
        </is>
      </c>
      <c r="AT1684" t="inlineStr">
        <is>
          <t>cmm4xvu980000cuh4vj0usz09</t>
        </is>
      </c>
      <c r="AU1684" t="inlineStr">
        <is>
          <t>Sundbybergs</t>
        </is>
      </c>
      <c r="AV1684" t="inlineStr">
        <is>
          <t>Kommun</t>
        </is>
      </c>
      <c r="AW1684" t="inlineStr">
        <is>
          <t>Sundbybergs kommun</t>
        </is>
      </c>
      <c r="AX1684" t="inlineStr">
        <is>
          <t>2025-06</t>
        </is>
      </c>
      <c r="AY1684" t="inlineStr">
        <is>
          <t>Beslut</t>
        </is>
      </c>
      <c r="AZ1684" t="inlineStr">
        <is>
          <t>2026-02-03</t>
        </is>
      </c>
      <c r="BA1684" t="inlineStr">
        <is>
          <t>Masshanteringsplan v3 MIL.2025.564.pdf</t>
        </is>
      </c>
      <c r="BB1684" t="inlineStr">
        <is>
          <t>Sv: till registrator</t>
        </is>
      </c>
      <c r="BC1684" t="inlineStr">
        <is>
          <t>AUTO</t>
        </is>
      </c>
      <c r="BD1684" t="inlineStr"/>
      <c r="BE1684" t="inlineStr"/>
      <c r="BF1684" t="inlineStr">
        <is>
          <t>AUTO_GENERERAD. Bekrafta metadata mot kallfil.</t>
        </is>
      </c>
      <c r="BG1684">
        <f>HYPERLINK("C:\Users\jimmy\Desktop\Examens arbete\Kod\Ny mapp\remix_-copy-of-miljöbeslut.se-portal\Masshanteringsplan v3 MIL.2025.564.pdf", "Öppna PDF")</f>
        <v/>
      </c>
    </row>
    <row r="1685">
      <c r="A1685" t="inlineStr">
        <is>
          <t>KRAV-AUTO-001684</t>
        </is>
      </c>
      <c r="B1685" t="inlineStr">
        <is>
          <t>ADMIN-INDEX-2026-02-27-00000000125C043F57453246863FE664CAFE6A3F0700950291EA24F0614FB6ACEDB12BF0E31D00000000010C0000950291EA24F0614FB6ACEDB12BF0E31D00002087AEF00000</t>
        </is>
      </c>
      <c r="C1685" t="inlineStr">
        <is>
          <t>cmm4yuo5d01chcuqwiogbg4pn</t>
        </is>
      </c>
      <c r="D1685" t="inlineStr">
        <is>
          <t>http://localhost:8787/api/admin/requirements/documents/cmm4yuo5d01chcuqwiogbg4pn/view</t>
        </is>
      </c>
      <c r="E1685">
        <f>HYPERLÄNK("http://localhost:8787/api/admin/requirements/documents/cmm4yuo5d01chcuqwiogbg4pn/view";"Öppna PDF")</f>
        <v/>
      </c>
      <c r="F1685">
        <f>HYPERLINK("http://localhost:8787/api/admin/requirements/documents/cmm4yuo5d01chcuqwiogbg4pn/view","Open PDF")</f>
        <v/>
      </c>
      <c r="G1685" t="inlineStr">
        <is>
          <t>cmm55w57p0004cuisfrtpqly8</t>
        </is>
      </c>
      <c r="H1685" t="inlineStr">
        <is>
          <t>Informationskrav</t>
        </is>
      </c>
      <c r="I1685" t="inlineStr">
        <is>
          <t>TransportLogistik</t>
        </is>
      </c>
      <c r="J1685" t="inlineStr">
        <is>
          <t>Transportvagar</t>
        </is>
      </c>
      <c r="K1685" t="inlineStr">
        <is>
          <t>(Om farligt avfall krävs att transportör innehar transporttillstånd från länsstyrelsen förtransport av farligt avfall.) Sundbybergs stad och entreprenör.</t>
        </is>
      </c>
      <c r="L1685" t="inlineStr">
        <is>
          <t>(Om farligt avfall krävs att transportör innehar transporttillstånd från länsstyrelsen förtransport av farligt avfall.) Sundbybergs stad och entreprenör.</t>
        </is>
      </c>
      <c r="M1685" t="inlineStr">
        <is>
          <t>SKA</t>
        </is>
      </c>
      <c r="N1685" t="inlineStr"/>
      <c r="O1685" t="inlineStr"/>
      <c r="P1685" t="inlineStr">
        <is>
          <t>Arlig</t>
        </is>
      </c>
      <c r="Q1685" t="inlineStr"/>
      <c r="R1685" t="inlineStr">
        <is>
          <t>Vid transporter</t>
        </is>
      </c>
      <c r="S1685" t="inlineStr"/>
      <c r="T1685" t="inlineStr"/>
      <c r="U1685" t="inlineStr"/>
      <c r="V1685" t="inlineStr"/>
      <c r="W1685" t="inlineStr">
        <is>
          <t>Nej</t>
        </is>
      </c>
      <c r="X1685" t="inlineStr">
        <is>
          <t>Nej</t>
        </is>
      </c>
      <c r="Y1685" t="inlineStr">
        <is>
          <t>Nej</t>
        </is>
      </c>
      <c r="Z1685" t="inlineStr">
        <is>
          <t>Ja</t>
        </is>
      </c>
      <c r="AA1685" t="n">
        <v>9</v>
      </c>
      <c r="AB1685" t="inlineStr">
        <is>
          <t>Transporter och logistik</t>
        </is>
      </c>
      <c r="AC1685" t="inlineStr">
        <is>
          <t>Trafikplan</t>
        </is>
      </c>
      <c r="AD1685" t="inlineStr">
        <is>
          <t>Nej</t>
        </is>
      </c>
      <c r="AE1685" t="inlineStr">
        <is>
          <t>Nej</t>
        </is>
      </c>
      <c r="AF1685" t="inlineStr">
        <is>
          <t>Ej behandlad</t>
        </is>
      </c>
      <c r="AG1685" t="inlineStr">
        <is>
          <t>AUTO_GENERERAD. Verifiera citat mot kallfil.</t>
        </is>
      </c>
      <c r="AH1685" t="inlineStr">
        <is>
          <t>MEDIUM</t>
        </is>
      </c>
      <c r="AI1685" t="inlineStr">
        <is>
          <t>AUTO</t>
        </is>
      </c>
      <c r="AJ1685" t="inlineStr">
        <is>
          <t>Nej</t>
        </is>
      </c>
      <c r="AK1685" t="inlineStr"/>
      <c r="AL1685" t="inlineStr"/>
      <c r="AM1685" t="inlineStr"/>
      <c r="AN1685" t="inlineStr"/>
      <c r="AO1685" t="inlineStr">
        <is>
          <t>cmm4yuo5o01ctcuqwke7dio7y</t>
        </is>
      </c>
      <c r="AP1685" t="inlineStr">
        <is>
          <t>http://localhost:8787/api/admin/requirements/documents/cmm4yuo5o01ctcuqwke7dio7y/view</t>
        </is>
      </c>
      <c r="AQ1685">
        <f>HYPERLÄNK("http://localhost:8787/api/admin/requirements/documents/cmm4yuo5o01ctcuqwke7dio7y/view";"Öppna PDF")</f>
        <v/>
      </c>
      <c r="AR1685">
        <f>HYPERLINK("http://localhost:8787/api/admin/requirements/documents/cmm4yuo5o01ctcuqwke7dio7y/view","Open PDF")</f>
        <v/>
      </c>
      <c r="AS1685" t="inlineStr">
        <is>
          <t>cmm55w57p0004cuisfrtpqly8</t>
        </is>
      </c>
      <c r="AT1685" t="inlineStr">
        <is>
          <t>cmm4xvu980000cuh4vj0usz09</t>
        </is>
      </c>
      <c r="AU1685" t="inlineStr">
        <is>
          <t>Sundbybergs</t>
        </is>
      </c>
      <c r="AV1685" t="inlineStr">
        <is>
          <t>Kommun</t>
        </is>
      </c>
      <c r="AW1685" t="inlineStr">
        <is>
          <t>Sundbybergs kommun</t>
        </is>
      </c>
      <c r="AX1685" t="inlineStr">
        <is>
          <t>2025-06</t>
        </is>
      </c>
      <c r="AY1685" t="inlineStr">
        <is>
          <t>Beslut</t>
        </is>
      </c>
      <c r="AZ1685" t="inlineStr">
        <is>
          <t>2026-02-03</t>
        </is>
      </c>
      <c r="BA1685" t="inlineStr">
        <is>
          <t>Masshanteringsplan v3 MIL.2025.564.pdf</t>
        </is>
      </c>
      <c r="BB1685" t="inlineStr">
        <is>
          <t>Sv: till registrator</t>
        </is>
      </c>
      <c r="BC1685" t="inlineStr">
        <is>
          <t>AUTO</t>
        </is>
      </c>
      <c r="BD1685" t="inlineStr"/>
      <c r="BE1685" t="inlineStr"/>
      <c r="BF1685" t="inlineStr">
        <is>
          <t>AUTO_GENERERAD. Bekrafta metadata mot kallfil.</t>
        </is>
      </c>
      <c r="BG1685">
        <f>HYPERLINK("C:\Users\jimmy\Desktop\Examens arbete\Kod\Ny mapp\remix_-copy-of-miljöbeslut.se-portal\Masshanteringsplan v3 MIL.2025.564.pdf", "Öppna PDF")</f>
        <v/>
      </c>
    </row>
    <row r="1686">
      <c r="A1686" t="inlineStr">
        <is>
          <t>KRAV-AUTO-001685</t>
        </is>
      </c>
      <c r="B1686" t="inlineStr">
        <is>
          <t>ADMIN-INDEX-2026-02-27-00000000125C043F57453246863FE664CAFE6A3F0700950291EA24F0614FB6ACEDB12BF0E31D00000000010C0000950291EA24F0614FB6ACEDB12BF0E31D00002087AEF00000</t>
        </is>
      </c>
      <c r="C1686" t="inlineStr">
        <is>
          <t>cmm4yuo5901cecuqw4wfxoy74</t>
        </is>
      </c>
      <c r="D1686" t="inlineStr">
        <is>
          <t>http://localhost:8787/api/admin/requirements/documents/cmm4yuo5901cecuqw4wfxoy74/view</t>
        </is>
      </c>
      <c r="E1686">
        <f>HYPERLÄNK("http://localhost:8787/api/admin/requirements/documents/cmm4yuo5901cecuqw4wfxoy74/view";"Öppna PDF")</f>
        <v/>
      </c>
      <c r="F1686">
        <f>HYPERLINK("http://localhost:8787/api/admin/requirements/documents/cmm4yuo5901cecuqw4wfxoy74/view","Open PDF")</f>
        <v/>
      </c>
      <c r="G1686" t="inlineStr">
        <is>
          <t>cmm55w57p0004cuisfrtpqly8</t>
        </is>
      </c>
      <c r="H1686" t="inlineStr">
        <is>
          <t>Kompletteringskrav</t>
        </is>
      </c>
      <c r="I1686" t="inlineStr">
        <is>
          <t>DagvattenLakvatten</t>
        </is>
      </c>
      <c r="J1686" t="inlineStr">
        <is>
          <t>Uppsamling</t>
        </is>
      </c>
      <c r="K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L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M1686" t="inlineStr">
        <is>
          <t>SKA</t>
        </is>
      </c>
      <c r="N1686" t="inlineStr"/>
      <c r="O1686" t="inlineStr"/>
      <c r="P1686" t="inlineStr">
        <is>
          <t>Arlig</t>
        </is>
      </c>
      <c r="Q1686" t="inlineStr"/>
      <c r="R1686" t="inlineStr">
        <is>
          <t>Vid nederbord och avrinning</t>
        </is>
      </c>
      <c r="S1686" t="inlineStr"/>
      <c r="T1686" t="inlineStr">
        <is>
          <t>2024 09</t>
        </is>
      </c>
      <c r="U1686" t="inlineStr"/>
      <c r="V1686" t="inlineStr"/>
      <c r="W1686" t="inlineStr">
        <is>
          <t>Nej</t>
        </is>
      </c>
      <c r="X1686" t="inlineStr">
        <is>
          <t>Ja</t>
        </is>
      </c>
      <c r="Y1686" t="inlineStr">
        <is>
          <t>Ja</t>
        </is>
      </c>
      <c r="Z1686" t="inlineStr">
        <is>
          <t>Nej</t>
        </is>
      </c>
      <c r="AA1686" t="n">
        <v>6</v>
      </c>
      <c r="AB1686" t="inlineStr">
        <is>
          <t>Lakvattenhantering</t>
        </is>
      </c>
      <c r="AC1686" t="inlineStr">
        <is>
          <t>Flodesschema dagvatten-lakvatten</t>
        </is>
      </c>
      <c r="AD1686" t="inlineStr">
        <is>
          <t>Nej</t>
        </is>
      </c>
      <c r="AE1686" t="inlineStr">
        <is>
          <t>Nej</t>
        </is>
      </c>
      <c r="AF1686" t="inlineStr">
        <is>
          <t>Ej behandlad</t>
        </is>
      </c>
      <c r="AG1686" t="inlineStr">
        <is>
          <t>AUTO_GENERERAD. Verifiera citat mot kallfil.</t>
        </is>
      </c>
      <c r="AH1686" t="inlineStr">
        <is>
          <t>MEDIUM</t>
        </is>
      </c>
      <c r="AI1686" t="inlineStr">
        <is>
          <t>AUTO</t>
        </is>
      </c>
      <c r="AJ1686" t="inlineStr">
        <is>
          <t>Nej</t>
        </is>
      </c>
      <c r="AK1686" t="inlineStr"/>
      <c r="AL1686" t="inlineStr"/>
      <c r="AM1686" t="inlineStr"/>
      <c r="AN1686" t="inlineStr"/>
      <c r="AO1686" t="inlineStr">
        <is>
          <t>cmm4yuo5o01ctcuqwke7dio7y</t>
        </is>
      </c>
      <c r="AP1686" t="inlineStr">
        <is>
          <t>http://localhost:8787/api/admin/requirements/documents/cmm4yuo5o01ctcuqwke7dio7y/view</t>
        </is>
      </c>
      <c r="AQ1686">
        <f>HYPERLÄNK("http://localhost:8787/api/admin/requirements/documents/cmm4yuo5o01ctcuqwke7dio7y/view";"Öppna PDF")</f>
        <v/>
      </c>
      <c r="AR1686">
        <f>HYPERLINK("http://localhost:8787/api/admin/requirements/documents/cmm4yuo5o01ctcuqwke7dio7y/view","Open PDF")</f>
        <v/>
      </c>
      <c r="AS1686" t="inlineStr">
        <is>
          <t>cmm55w57p0004cuisfrtpqly8</t>
        </is>
      </c>
      <c r="AT1686" t="inlineStr">
        <is>
          <t>cmm4xvu980000cuh4vj0usz09</t>
        </is>
      </c>
      <c r="AU1686" t="inlineStr">
        <is>
          <t>Sundbybergs</t>
        </is>
      </c>
      <c r="AV1686" t="inlineStr">
        <is>
          <t>Kommun</t>
        </is>
      </c>
      <c r="AW1686" t="inlineStr">
        <is>
          <t>Sundbybergs kommun</t>
        </is>
      </c>
      <c r="AX1686" t="inlineStr">
        <is>
          <t>2025-06</t>
        </is>
      </c>
      <c r="AY1686" t="inlineStr">
        <is>
          <t>Beslut</t>
        </is>
      </c>
      <c r="AZ1686" t="inlineStr">
        <is>
          <t>2026-02-03</t>
        </is>
      </c>
      <c r="BA1686" t="inlineStr">
        <is>
          <t>Masshanteringsplan v3 MIL.2025.564.pdf</t>
        </is>
      </c>
      <c r="BB1686" t="inlineStr">
        <is>
          <t>Sv: till registrator</t>
        </is>
      </c>
      <c r="BC1686" t="inlineStr">
        <is>
          <t>AUTO</t>
        </is>
      </c>
      <c r="BD1686" t="inlineStr"/>
      <c r="BE1686" t="inlineStr"/>
      <c r="BF1686" t="inlineStr">
        <is>
          <t>AUTO_GENERERAD. Bekrafta metadata mot kallfil.</t>
        </is>
      </c>
      <c r="BG1686">
        <f>HYPERLINK("C:\Users\jimmy\Desktop\Examens arbete\Kod\Ny mapp\remix_-copy-of-miljöbeslut.se-portal\Masshanteringsplan v3 MIL.2025.564.pdf", "Öppna PDF")</f>
        <v/>
      </c>
    </row>
    <row r="1687">
      <c r="A1687" t="inlineStr">
        <is>
          <t>KRAV-AUTO-001686</t>
        </is>
      </c>
      <c r="B1687" t="inlineStr">
        <is>
          <t>ADMIN-INDEX-2026-02-27-00000000125C043F57453246863FE664CAFE6A3F0700950291EA24F0614FB6ACEDB12BF0E31D00000000010C0000950291EA24F0614FB6ACEDB12BF0E31D00002087AEF00000</t>
        </is>
      </c>
      <c r="C1687" t="inlineStr">
        <is>
          <t>cmm4yuo5901cecuqw4wfxoy74</t>
        </is>
      </c>
      <c r="D1687" t="inlineStr">
        <is>
          <t>http://localhost:8787/api/admin/requirements/documents/cmm4yuo5901cecuqw4wfxoy74/view</t>
        </is>
      </c>
      <c r="E1687">
        <f>HYPERLÄNK("http://localhost:8787/api/admin/requirements/documents/cmm4yuo5901cecuqw4wfxoy74/view";"Öppna PDF")</f>
        <v/>
      </c>
      <c r="F1687">
        <f>HYPERLINK("http://localhost:8787/api/admin/requirements/documents/cmm4yuo5901cecuqw4wfxoy74/view","Open PDF")</f>
        <v/>
      </c>
      <c r="G1687" t="inlineStr">
        <is>
          <t>cmm55w57p0004cuisfrtpqly8</t>
        </is>
      </c>
      <c r="H1687" t="inlineStr">
        <is>
          <t>Kompletteringskrav</t>
        </is>
      </c>
      <c r="I1687" t="inlineStr">
        <is>
          <t>Riskhantering</t>
        </is>
      </c>
      <c r="J1687" t="inlineStr">
        <is>
          <t>Riskkontroll</t>
        </is>
      </c>
      <c r="K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L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M1687" t="inlineStr">
        <is>
          <t>SKA</t>
        </is>
      </c>
      <c r="N1687" t="inlineStr"/>
      <c r="O1687" t="inlineStr"/>
      <c r="P1687" t="inlineStr"/>
      <c r="Q1687" t="inlineStr"/>
      <c r="R1687" t="inlineStr">
        <is>
          <t>Vid risk for incident</t>
        </is>
      </c>
      <c r="S1687" t="inlineStr"/>
      <c r="T1687" t="inlineStr">
        <is>
          <t>2024 09</t>
        </is>
      </c>
      <c r="U1687" t="inlineStr"/>
      <c r="V1687" t="inlineStr"/>
      <c r="W1687" t="inlineStr">
        <is>
          <t>Nej</t>
        </is>
      </c>
      <c r="X1687" t="inlineStr">
        <is>
          <t>Nej</t>
        </is>
      </c>
      <c r="Y1687" t="inlineStr">
        <is>
          <t>Ja</t>
        </is>
      </c>
      <c r="Z1687" t="inlineStr">
        <is>
          <t>Ja</t>
        </is>
      </c>
      <c r="AA1687" t="n">
        <v>8</v>
      </c>
      <c r="AB1687" t="inlineStr">
        <is>
          <t>Riskhantering</t>
        </is>
      </c>
      <c r="AC1687" t="inlineStr">
        <is>
          <t>Risk-PM</t>
        </is>
      </c>
      <c r="AD1687" t="inlineStr">
        <is>
          <t>Nej</t>
        </is>
      </c>
      <c r="AE1687" t="inlineStr">
        <is>
          <t>Nej</t>
        </is>
      </c>
      <c r="AF1687" t="inlineStr">
        <is>
          <t>Ej behandlad</t>
        </is>
      </c>
      <c r="AG1687" t="inlineStr">
        <is>
          <t>AUTO_GENERERAD. Verifiera citat mot kallfil.</t>
        </is>
      </c>
      <c r="AH1687" t="inlineStr">
        <is>
          <t>MEDIUM</t>
        </is>
      </c>
      <c r="AI1687" t="inlineStr">
        <is>
          <t>AUTO</t>
        </is>
      </c>
      <c r="AJ1687" t="inlineStr">
        <is>
          <t>Nej</t>
        </is>
      </c>
      <c r="AK1687" t="inlineStr"/>
      <c r="AL1687" t="inlineStr"/>
      <c r="AM1687" t="inlineStr"/>
      <c r="AN1687" t="inlineStr"/>
      <c r="AO1687" t="inlineStr">
        <is>
          <t>cmm4yuo5o01ctcuqwke7dio7y</t>
        </is>
      </c>
      <c r="AP1687" t="inlineStr">
        <is>
          <t>http://localhost:8787/api/admin/requirements/documents/cmm4yuo5o01ctcuqwke7dio7y/view</t>
        </is>
      </c>
      <c r="AQ1687">
        <f>HYPERLÄNK("http://localhost:8787/api/admin/requirements/documents/cmm4yuo5o01ctcuqwke7dio7y/view";"Öppna PDF")</f>
        <v/>
      </c>
      <c r="AR1687">
        <f>HYPERLINK("http://localhost:8787/api/admin/requirements/documents/cmm4yuo5o01ctcuqwke7dio7y/view","Open PDF")</f>
        <v/>
      </c>
      <c r="AS1687" t="inlineStr">
        <is>
          <t>cmm55w57p0004cuisfrtpqly8</t>
        </is>
      </c>
      <c r="AT1687" t="inlineStr">
        <is>
          <t>cmm4xvu980000cuh4vj0usz09</t>
        </is>
      </c>
      <c r="AU1687" t="inlineStr">
        <is>
          <t>Sundbybergs</t>
        </is>
      </c>
      <c r="AV1687" t="inlineStr">
        <is>
          <t>Kommun</t>
        </is>
      </c>
      <c r="AW1687" t="inlineStr">
        <is>
          <t>Sundbybergs kommun</t>
        </is>
      </c>
      <c r="AX1687" t="inlineStr">
        <is>
          <t>2025-06</t>
        </is>
      </c>
      <c r="AY1687" t="inlineStr">
        <is>
          <t>Beslut</t>
        </is>
      </c>
      <c r="AZ1687" t="inlineStr">
        <is>
          <t>2026-02-03</t>
        </is>
      </c>
      <c r="BA1687" t="inlineStr">
        <is>
          <t>Masshanteringsplan v3 MIL.2025.564.pdf</t>
        </is>
      </c>
      <c r="BB1687" t="inlineStr">
        <is>
          <t>Sv: till registrator</t>
        </is>
      </c>
      <c r="BC1687" t="inlineStr">
        <is>
          <t>AUTO</t>
        </is>
      </c>
      <c r="BD1687" t="inlineStr"/>
      <c r="BE1687" t="inlineStr"/>
      <c r="BF1687" t="inlineStr">
        <is>
          <t>AUTO_GENERERAD. Bekrafta metadata mot kallfil.</t>
        </is>
      </c>
      <c r="BG1687">
        <f>HYPERLINK("C:\Users\jimmy\Desktop\Examens arbete\Kod\Ny mapp\remix_-copy-of-miljöbeslut.se-portal\Masshanteringsplan v3 MIL.2025.564.pdf", "Öppna PDF")</f>
        <v/>
      </c>
    </row>
    <row r="1688">
      <c r="A1688" t="inlineStr">
        <is>
          <t>KRAV-AUTO-001687</t>
        </is>
      </c>
      <c r="B1688" t="inlineStr">
        <is>
          <t>ADMIN-INDEX-2026-02-27-00000000125C043F57453246863FE664CAFE6A3F0700950291EA24F0614FB6ACEDB12BF0E31D00000000010C0000950291EA24F0614FB6ACEDB12BF0E31D00002087AEF10000</t>
        </is>
      </c>
      <c r="C1688" t="inlineStr">
        <is>
          <t>cmm4yuo5601cbcuqwam1x6ve1</t>
        </is>
      </c>
      <c r="D1688" t="inlineStr">
        <is>
          <t>http://localhost:8787/api/admin/requirements/documents/cmm4yuo5601cbcuqwam1x6ve1/view</t>
        </is>
      </c>
      <c r="E1688">
        <f>HYPERLÄNK("http://localhost:8787/api/admin/requirements/documents/cmm4yuo5601cbcuqwam1x6ve1/view";"Öppna PDF")</f>
        <v/>
      </c>
      <c r="F1688">
        <f>HYPERLINK("http://localhost:8787/api/admin/requirements/documents/cmm4yuo5601cbcuqwam1x6ve1/view","Open PDF")</f>
        <v/>
      </c>
      <c r="G1688" t="inlineStr">
        <is>
          <t>cmm55w57p0004cuisfrtpqly8</t>
        </is>
      </c>
      <c r="H1688" t="inlineStr">
        <is>
          <t>Beslutsvillkor</t>
        </is>
      </c>
      <c r="I1688" t="inlineStr">
        <is>
          <t>LagringsvolymTid</t>
        </is>
      </c>
      <c r="J1688" t="inlineStr">
        <is>
          <t>Maxmangd</t>
        </is>
      </c>
      <c r="K1688" t="inlineStr">
        <is>
          <t>Totala mängden massor som ska återvinnas är ca 1 400 ton.</t>
        </is>
      </c>
      <c r="L1688" t="inlineStr">
        <is>
          <t>Totala mängden massor som ska återvinnas är ca 1 400 ton.</t>
        </is>
      </c>
      <c r="M1688" t="inlineStr">
        <is>
          <t>SKA</t>
        </is>
      </c>
      <c r="N1688" t="inlineStr"/>
      <c r="O1688" t="inlineStr"/>
      <c r="P1688" t="inlineStr"/>
      <c r="Q1688" t="inlineStr"/>
      <c r="R1688" t="inlineStr">
        <is>
          <t>Alltid</t>
        </is>
      </c>
      <c r="S1688" t="inlineStr"/>
      <c r="T1688" t="inlineStr">
        <is>
          <t>212000</t>
        </is>
      </c>
      <c r="U1688" t="n">
        <v>400</v>
      </c>
      <c r="V1688" t="inlineStr"/>
      <c r="W1688" t="inlineStr">
        <is>
          <t>Nej</t>
        </is>
      </c>
      <c r="X1688" t="inlineStr">
        <is>
          <t>Nej</t>
        </is>
      </c>
      <c r="Y1688" t="inlineStr">
        <is>
          <t>Nej</t>
        </is>
      </c>
      <c r="Z1688" t="inlineStr">
        <is>
          <t>Nej</t>
        </is>
      </c>
      <c r="AA1688" t="n">
        <v>4</v>
      </c>
      <c r="AB1688" t="inlineStr">
        <is>
          <t>Avfallsmangder och lagringstid</t>
        </is>
      </c>
      <c r="AC1688" t="inlineStr">
        <is>
          <t>Avfallsforteckning</t>
        </is>
      </c>
      <c r="AD1688" t="inlineStr">
        <is>
          <t>Nej</t>
        </is>
      </c>
      <c r="AE1688" t="inlineStr">
        <is>
          <t>Nej</t>
        </is>
      </c>
      <c r="AF1688" t="inlineStr">
        <is>
          <t>Ej behandlad</t>
        </is>
      </c>
      <c r="AG1688" t="inlineStr">
        <is>
          <t>AUTO_GENERERAD. Verifiera citat mot kallfil.</t>
        </is>
      </c>
      <c r="AH1688" t="inlineStr">
        <is>
          <t>MEDIUM</t>
        </is>
      </c>
      <c r="AI1688" t="inlineStr">
        <is>
          <t>AUTO</t>
        </is>
      </c>
      <c r="AJ1688" t="inlineStr">
        <is>
          <t>Nej</t>
        </is>
      </c>
      <c r="AK1688" t="inlineStr"/>
      <c r="AL1688" t="inlineStr"/>
      <c r="AM1688" t="inlineStr"/>
      <c r="AN1688" t="inlineStr"/>
      <c r="AO1688" t="inlineStr">
        <is>
          <t>cmm4yuo5601cbcuqwam1x6ve1</t>
        </is>
      </c>
      <c r="AP1688" t="inlineStr">
        <is>
          <t>http://localhost:8787/api/admin/requirements/documents/cmm4yuo5601cbcuqwam1x6ve1/view</t>
        </is>
      </c>
      <c r="AQ1688">
        <f>HYPERLÄNK("http://localhost:8787/api/admin/requirements/documents/cmm4yuo5601cbcuqwam1x6ve1/view";"Öppna PDF")</f>
        <v/>
      </c>
      <c r="AR1688">
        <f>HYPERLINK("http://localhost:8787/api/admin/requirements/documents/cmm4yuo5601cbcuqwam1x6ve1/view","Open PDF")</f>
        <v/>
      </c>
      <c r="AS1688" t="inlineStr">
        <is>
          <t>cmm55w57p0004cuisfrtpqly8</t>
        </is>
      </c>
      <c r="AT1688" t="inlineStr">
        <is>
          <t>cmm4xvu980000cuh4vj0usz09</t>
        </is>
      </c>
      <c r="AU1688" t="inlineStr">
        <is>
          <t>se Säters</t>
        </is>
      </c>
      <c r="AV1688" t="inlineStr">
        <is>
          <t>Kommun</t>
        </is>
      </c>
      <c r="AW1688" t="inlineStr">
        <is>
          <t>se Säters kommun</t>
        </is>
      </c>
      <c r="AX1688" t="inlineStr">
        <is>
          <t>0225-55</t>
        </is>
      </c>
      <c r="AY1688" t="inlineStr">
        <is>
          <t>Beslut</t>
        </is>
      </c>
      <c r="AZ1688" t="inlineStr">
        <is>
          <t>2026-02-03</t>
        </is>
      </c>
      <c r="BA1688" t="inlineStr">
        <is>
          <t>2025-05-05 Beslut (dnr 2025-191).pdf</t>
        </is>
      </c>
      <c r="BB1688" t="inlineStr">
        <is>
          <t>Sv: till registrator - Begäran av allmän handling</t>
        </is>
      </c>
      <c r="BC1688" t="inlineStr">
        <is>
          <t>AUTO</t>
        </is>
      </c>
      <c r="BD1688" t="inlineStr"/>
      <c r="BE1688" t="inlineStr"/>
      <c r="BF1688" t="inlineStr">
        <is>
          <t>AUTO_GENERERAD. Bekrafta metadata mot kallfil.</t>
        </is>
      </c>
      <c r="BG1688">
        <f>HYPERLINK("C:\Users\jimmy\Desktop\Examens arbete\Kod\Ny mapp\remix_-copy-of-miljöbeslut.se-portal\2025-05-05 Beslut (dnr 2025-191).pdf", "Öppna PDF")</f>
        <v/>
      </c>
    </row>
    <row r="1689">
      <c r="A1689" t="inlineStr">
        <is>
          <t>KRAV-AUTO-001688</t>
        </is>
      </c>
      <c r="B1689" t="inlineStr">
        <is>
          <t>ADMIN-INDEX-2026-02-27-00000000125C043F57453246863FE664CAFE6A3F0700950291EA24F0614FB6ACEDB12BF0E31D00000000010C0000950291EA24F0614FB6ACEDB12BF0E31D00002087AEF10000</t>
        </is>
      </c>
      <c r="C1689" t="inlineStr">
        <is>
          <t>cmm4yuo5601cbcuqwam1x6ve1</t>
        </is>
      </c>
      <c r="D1689" t="inlineStr">
        <is>
          <t>http://localhost:8787/api/admin/requirements/documents/cmm4yuo5601cbcuqwam1x6ve1/view</t>
        </is>
      </c>
      <c r="E1689">
        <f>HYPERLÄNK("http://localhost:8787/api/admin/requirements/documents/cmm4yuo5601cbcuqwam1x6ve1/view";"Öppna PDF")</f>
        <v/>
      </c>
      <c r="F1689">
        <f>HYPERLINK("http://localhost:8787/api/admin/requirements/documents/cmm4yuo5601cbcuqwam1x6ve1/view","Open PDF")</f>
        <v/>
      </c>
      <c r="G1689" t="inlineStr">
        <is>
          <t>cmm55w57p0004cuisfrtpqly8</t>
        </is>
      </c>
      <c r="H1689" t="inlineStr">
        <is>
          <t>Beslutsvillkor</t>
        </is>
      </c>
      <c r="I1689" t="inlineStr">
        <is>
          <t>Ytkonstruktion</t>
        </is>
      </c>
      <c r="J1689" t="inlineStr">
        <is>
          <t>Tat yta</t>
        </is>
      </c>
      <c r="K1689" t="inlineStr">
        <is>
          <t>För godkända massor planeras åternyttjande som fyllnadsmassor under parkerings- och gångstråksytor, där ytorna hårdgörs och på så sätt kan fungera som en inkapslingsfunktionen och skyddsåtgärd för att minska risken för spridning.</t>
        </is>
      </c>
      <c r="L1689" t="inlineStr">
        <is>
          <t>För godkända massor planeras åternyttjande som fyllnadsmassor under parkerings- och gångstråksytor, där ytorna hårdgörs och på så sätt kan fungera som en inkapslingsfunktionen och skyddsåtgärd för att minska risken för spridning.</t>
        </is>
      </c>
      <c r="M1689" t="inlineStr">
        <is>
          <t>SKA</t>
        </is>
      </c>
      <c r="N1689" t="inlineStr"/>
      <c r="O1689" t="inlineStr"/>
      <c r="P1689" t="inlineStr"/>
      <c r="Q1689" t="inlineStr"/>
      <c r="R1689" t="inlineStr">
        <is>
          <t>Vid mellanlagring av avfall</t>
        </is>
      </c>
      <c r="S1689" t="inlineStr"/>
      <c r="T1689" t="inlineStr">
        <is>
          <t>212000</t>
        </is>
      </c>
      <c r="U1689" t="inlineStr"/>
      <c r="V1689" t="inlineStr"/>
      <c r="W1689" t="inlineStr">
        <is>
          <t>Ja</t>
        </is>
      </c>
      <c r="X1689" t="inlineStr">
        <is>
          <t>Nej</t>
        </is>
      </c>
      <c r="Y1689" t="inlineStr">
        <is>
          <t>Nej</t>
        </is>
      </c>
      <c r="Z1689" t="inlineStr">
        <is>
          <t>Nej</t>
        </is>
      </c>
      <c r="AA1689" t="n">
        <v>5</v>
      </c>
      <c r="AB1689" t="inlineStr">
        <is>
          <t>Teknisk beskrivning av platta</t>
        </is>
      </c>
      <c r="AC1689" t="inlineStr">
        <is>
          <t>Teknisk ritning platta</t>
        </is>
      </c>
      <c r="AD1689" t="inlineStr">
        <is>
          <t>Nej</t>
        </is>
      </c>
      <c r="AE1689" t="inlineStr">
        <is>
          <t>Nej</t>
        </is>
      </c>
      <c r="AF1689" t="inlineStr">
        <is>
          <t>Ej behandlad</t>
        </is>
      </c>
      <c r="AG1689" t="inlineStr">
        <is>
          <t>AUTO_GENERERAD. Verifiera citat mot kallfil.</t>
        </is>
      </c>
      <c r="AH1689" t="inlineStr">
        <is>
          <t>MEDIUM</t>
        </is>
      </c>
      <c r="AI1689" t="inlineStr">
        <is>
          <t>AUTO</t>
        </is>
      </c>
      <c r="AJ1689" t="inlineStr">
        <is>
          <t>Nej</t>
        </is>
      </c>
      <c r="AK1689" t="inlineStr"/>
      <c r="AL1689" t="inlineStr"/>
      <c r="AM1689" t="inlineStr"/>
      <c r="AN1689" t="inlineStr"/>
      <c r="AO1689" t="inlineStr">
        <is>
          <t>cmm4yuo5601cbcuqwam1x6ve1</t>
        </is>
      </c>
      <c r="AP1689" t="inlineStr">
        <is>
          <t>http://localhost:8787/api/admin/requirements/documents/cmm4yuo5601cbcuqwam1x6ve1/view</t>
        </is>
      </c>
      <c r="AQ1689">
        <f>HYPERLÄNK("http://localhost:8787/api/admin/requirements/documents/cmm4yuo5601cbcuqwam1x6ve1/view";"Öppna PDF")</f>
        <v/>
      </c>
      <c r="AR1689">
        <f>HYPERLINK("http://localhost:8787/api/admin/requirements/documents/cmm4yuo5601cbcuqwam1x6ve1/view","Open PDF")</f>
        <v/>
      </c>
      <c r="AS1689" t="inlineStr">
        <is>
          <t>cmm55w57p0004cuisfrtpqly8</t>
        </is>
      </c>
      <c r="AT1689" t="inlineStr">
        <is>
          <t>cmm4xvu980000cuh4vj0usz09</t>
        </is>
      </c>
      <c r="AU1689" t="inlineStr">
        <is>
          <t>se Säters</t>
        </is>
      </c>
      <c r="AV1689" t="inlineStr">
        <is>
          <t>Kommun</t>
        </is>
      </c>
      <c r="AW1689" t="inlineStr">
        <is>
          <t>se Säters kommun</t>
        </is>
      </c>
      <c r="AX1689" t="inlineStr">
        <is>
          <t>0225-55</t>
        </is>
      </c>
      <c r="AY1689" t="inlineStr">
        <is>
          <t>Beslut</t>
        </is>
      </c>
      <c r="AZ1689" t="inlineStr">
        <is>
          <t>2026-02-03</t>
        </is>
      </c>
      <c r="BA1689" t="inlineStr">
        <is>
          <t>2025-05-05 Beslut (dnr 2025-191).pdf</t>
        </is>
      </c>
      <c r="BB1689" t="inlineStr">
        <is>
          <t>Sv: till registrator - Begäran av allmän handling</t>
        </is>
      </c>
      <c r="BC1689" t="inlineStr">
        <is>
          <t>AUTO</t>
        </is>
      </c>
      <c r="BD1689" t="inlineStr"/>
      <c r="BE1689" t="inlineStr"/>
      <c r="BF1689" t="inlineStr">
        <is>
          <t>AUTO_GENERERAD. Bekrafta metadata mot kallfil.</t>
        </is>
      </c>
      <c r="BG1689">
        <f>HYPERLINK("C:\Users\jimmy\Desktop\Examens arbete\Kod\Ny mapp\remix_-copy-of-miljöbeslut.se-portal\2025-05-05 Beslut (dnr 2025-191).pdf", "Öppna PDF")</f>
        <v/>
      </c>
    </row>
    <row r="1690">
      <c r="A1690" t="inlineStr">
        <is>
          <t>KRAV-AUTO-001689</t>
        </is>
      </c>
      <c r="B1690" t="inlineStr">
        <is>
          <t>ADMIN-INDEX-2026-02-27-00000000125C043F57453246863FE664CAFE6A3F0700950291EA24F0614FB6ACEDB12BF0E31D00000000010C0000950291EA24F0614FB6ACEDB12BF0E31D00002087AEF10000</t>
        </is>
      </c>
      <c r="C1690" t="inlineStr">
        <is>
          <t>cmm4yuo4d01bncuqwuhj4mrwg</t>
        </is>
      </c>
      <c r="D1690" t="inlineStr">
        <is>
          <t>http://localhost:8787/api/admin/requirements/documents/cmm4yuo4d01bncuqwuhj4mrwg/view</t>
        </is>
      </c>
      <c r="E1690">
        <f>HYPERLÄNK("http://localhost:8787/api/admin/requirements/documents/cmm4yuo4d01bncuqwuhj4mrwg/view";"Öppna PDF")</f>
        <v/>
      </c>
      <c r="F1690">
        <f>HYPERLINK("http://localhost:8787/api/admin/requirements/documents/cmm4yuo4d01bncuqwuhj4mrwg/view","Open PDF")</f>
        <v/>
      </c>
      <c r="G1690" t="inlineStr">
        <is>
          <t>cmm55w57p0004cuisfrtpqly8</t>
        </is>
      </c>
      <c r="H1690" t="inlineStr">
        <is>
          <t>Beslutsvillkor</t>
        </is>
      </c>
      <c r="I1690" t="inlineStr">
        <is>
          <t>DriftEgenkontroll</t>
        </is>
      </c>
      <c r="J1690" t="inlineStr">
        <is>
          <t>Journalforing</t>
        </is>
      </c>
      <c r="K1690" t="inlineStr">
        <is>
          <t>Resultat för jordprovtagning Säterdalen, Säter Mars 2025 ** Totalhalter uppfyller krav för MRR, laktest krävs för att avgöra om samtliga krav för MRR uppfylls.</t>
        </is>
      </c>
      <c r="L1690" t="inlineStr">
        <is>
          <t>Resultat för jordprovtagning Säterdalen, Säter Mars 2025 ** Totalhalter uppfyller krav för MRR, laktest krävs för att avgöra om samtliga krav för MRR uppfylls.</t>
        </is>
      </c>
      <c r="M1690" t="inlineStr">
        <is>
          <t>SKA</t>
        </is>
      </c>
      <c r="N1690" t="inlineStr"/>
      <c r="O1690" t="inlineStr"/>
      <c r="P1690" t="inlineStr"/>
      <c r="Q1690" t="inlineStr"/>
      <c r="R1690" t="inlineStr">
        <is>
          <t>Lopande drift</t>
        </is>
      </c>
      <c r="S1690" t="inlineStr"/>
      <c r="T1690" t="inlineStr">
        <is>
          <t>15 80 80</t>
        </is>
      </c>
      <c r="U1690" t="inlineStr"/>
      <c r="V1690" t="inlineStr"/>
      <c r="W1690" t="inlineStr">
        <is>
          <t>Nej</t>
        </is>
      </c>
      <c r="X1690" t="inlineStr">
        <is>
          <t>Nej</t>
        </is>
      </c>
      <c r="Y1690" t="inlineStr">
        <is>
          <t>Ja</t>
        </is>
      </c>
      <c r="Z1690" t="inlineStr">
        <is>
          <t>Nej</t>
        </is>
      </c>
      <c r="AA1690" t="n">
        <v>7</v>
      </c>
      <c r="AB1690" t="inlineStr">
        <is>
          <t>Egenkontrollrutiner</t>
        </is>
      </c>
      <c r="AC1690" t="inlineStr">
        <is>
          <t>Egenkontrollprogram</t>
        </is>
      </c>
      <c r="AD1690" t="inlineStr">
        <is>
          <t>Nej</t>
        </is>
      </c>
      <c r="AE1690" t="inlineStr">
        <is>
          <t>Nej</t>
        </is>
      </c>
      <c r="AF1690" t="inlineStr">
        <is>
          <t>Ej behandlad</t>
        </is>
      </c>
      <c r="AG1690" t="inlineStr">
        <is>
          <t>AUTO_GENERERAD. Verifiera citat mot kallfil.</t>
        </is>
      </c>
      <c r="AH1690" t="inlineStr">
        <is>
          <t>LOW</t>
        </is>
      </c>
      <c r="AI1690" t="inlineStr">
        <is>
          <t>AUTO</t>
        </is>
      </c>
      <c r="AJ1690" t="inlineStr">
        <is>
          <t>Nej</t>
        </is>
      </c>
      <c r="AK1690" t="inlineStr"/>
      <c r="AL1690" t="inlineStr"/>
      <c r="AM1690" t="inlineStr"/>
      <c r="AN1690" t="inlineStr"/>
      <c r="AO1690" t="inlineStr">
        <is>
          <t>cmm4yuo5601cbcuqwam1x6ve1</t>
        </is>
      </c>
      <c r="AP1690" t="inlineStr">
        <is>
          <t>http://localhost:8787/api/admin/requirements/documents/cmm4yuo5601cbcuqwam1x6ve1/view</t>
        </is>
      </c>
      <c r="AQ1690">
        <f>HYPERLÄNK("http://localhost:8787/api/admin/requirements/documents/cmm4yuo5601cbcuqwam1x6ve1/view";"Öppna PDF")</f>
        <v/>
      </c>
      <c r="AR1690">
        <f>HYPERLINK("http://localhost:8787/api/admin/requirements/documents/cmm4yuo5601cbcuqwam1x6ve1/view","Open PDF")</f>
        <v/>
      </c>
      <c r="AS1690" t="inlineStr">
        <is>
          <t>cmm55w57p0004cuisfrtpqly8</t>
        </is>
      </c>
      <c r="AT1690" t="inlineStr">
        <is>
          <t>cmm4xvu980000cuh4vj0usz09</t>
        </is>
      </c>
      <c r="AU1690" t="inlineStr">
        <is>
          <t>se Säters</t>
        </is>
      </c>
      <c r="AV1690" t="inlineStr">
        <is>
          <t>Kommun</t>
        </is>
      </c>
      <c r="AW1690" t="inlineStr">
        <is>
          <t>se Säters kommun</t>
        </is>
      </c>
      <c r="AX1690" t="inlineStr">
        <is>
          <t>0225-55</t>
        </is>
      </c>
      <c r="AY1690" t="inlineStr">
        <is>
          <t>Beslut</t>
        </is>
      </c>
      <c r="AZ1690" t="inlineStr">
        <is>
          <t>2026-02-03</t>
        </is>
      </c>
      <c r="BA1690" t="inlineStr">
        <is>
          <t>2025-05-05 Beslut (dnr 2025-191).pdf</t>
        </is>
      </c>
      <c r="BB1690" t="inlineStr">
        <is>
          <t>Sv: till registrator - Begäran av allmän handling</t>
        </is>
      </c>
      <c r="BC1690" t="inlineStr">
        <is>
          <t>AUTO</t>
        </is>
      </c>
      <c r="BD1690" t="inlineStr"/>
      <c r="BE1690" t="inlineStr"/>
      <c r="BF1690" t="inlineStr">
        <is>
          <t>AUTO_GENERERAD. Bekrafta metadata mot kallfil.</t>
        </is>
      </c>
      <c r="BG1690">
        <f>HYPERLINK("C:\Users\jimmy\Desktop\Examens arbete\Kod\Ny mapp\remix_-copy-of-miljöbeslut.se-portal\2025-05-05 Beslut (dnr 2025-191).pdf", "Öppna PDF")</f>
        <v/>
      </c>
    </row>
    <row r="1691">
      <c r="A1691" t="inlineStr">
        <is>
          <t>KRAV-AUTO-001690</t>
        </is>
      </c>
      <c r="B1691" t="inlineStr">
        <is>
          <t>ADMIN-INDEX-2026-02-27-00000000125C043F57453246863FE664CAFE6A3F0700950291EA24F0614FB6ACEDB12BF0E31D00000000010C0000950291EA24F0614FB6ACEDB12BF0E31D00002087AEF20000</t>
        </is>
      </c>
      <c r="C1691" t="inlineStr">
        <is>
          <t>cmm4yuo4a01bkcuqwn0oorufq</t>
        </is>
      </c>
      <c r="D1691" t="inlineStr">
        <is>
          <t>http://localhost:8787/api/admin/requirements/documents/cmm4yuo4a01bkcuqwn0oorufq/view</t>
        </is>
      </c>
      <c r="E1691">
        <f>HYPERLÄNK("http://localhost:8787/api/admin/requirements/documents/cmm4yuo4a01bkcuqwn0oorufq/view";"Öppna PDF")</f>
        <v/>
      </c>
      <c r="F1691">
        <f>HYPERLINK("http://localhost:8787/api/admin/requirements/documents/cmm4yuo4a01bkcuqwn0oorufq/view","Open PDF")</f>
        <v/>
      </c>
      <c r="G1691" t="inlineStr">
        <is>
          <t>cmm55w57p0004cuisfrtpqly8</t>
        </is>
      </c>
      <c r="H1691" t="inlineStr">
        <is>
          <t>Beslutsvillkor</t>
        </is>
      </c>
      <c r="I1691" t="inlineStr">
        <is>
          <t>LagringsvolymTid</t>
        </is>
      </c>
      <c r="J1691" t="inlineStr">
        <is>
          <t>Maxmangd</t>
        </is>
      </c>
      <c r="K1691" t="inlineStr">
        <is>
          <t>Totala mängden massor som ska återvinnas är ca 1 400 ton.</t>
        </is>
      </c>
      <c r="L1691" t="inlineStr">
        <is>
          <t>Totala mängden massor som ska återvinnas är ca 1 400 ton.</t>
        </is>
      </c>
      <c r="M1691" t="inlineStr">
        <is>
          <t>SKA</t>
        </is>
      </c>
      <c r="N1691" t="inlineStr"/>
      <c r="O1691" t="inlineStr"/>
      <c r="P1691" t="inlineStr"/>
      <c r="Q1691" t="inlineStr"/>
      <c r="R1691" t="inlineStr">
        <is>
          <t>Alltid</t>
        </is>
      </c>
      <c r="S1691" t="inlineStr"/>
      <c r="T1691" t="inlineStr">
        <is>
          <t>212000</t>
        </is>
      </c>
      <c r="U1691" t="n">
        <v>400</v>
      </c>
      <c r="V1691" t="inlineStr"/>
      <c r="W1691" t="inlineStr">
        <is>
          <t>Nej</t>
        </is>
      </c>
      <c r="X1691" t="inlineStr">
        <is>
          <t>Nej</t>
        </is>
      </c>
      <c r="Y1691" t="inlineStr">
        <is>
          <t>Nej</t>
        </is>
      </c>
      <c r="Z1691" t="inlineStr">
        <is>
          <t>Nej</t>
        </is>
      </c>
      <c r="AA1691" t="n">
        <v>4</v>
      </c>
      <c r="AB1691" t="inlineStr">
        <is>
          <t>Avfallsmangder och lagringstid</t>
        </is>
      </c>
      <c r="AC1691" t="inlineStr">
        <is>
          <t>Avfallsforteckning</t>
        </is>
      </c>
      <c r="AD1691" t="inlineStr">
        <is>
          <t>Nej</t>
        </is>
      </c>
      <c r="AE1691" t="inlineStr">
        <is>
          <t>Nej</t>
        </is>
      </c>
      <c r="AF1691" t="inlineStr">
        <is>
          <t>Ej behandlad</t>
        </is>
      </c>
      <c r="AG1691" t="inlineStr">
        <is>
          <t>AUTO_GENERERAD. Verifiera citat mot kallfil.</t>
        </is>
      </c>
      <c r="AH1691" t="inlineStr">
        <is>
          <t>MEDIUM</t>
        </is>
      </c>
      <c r="AI1691" t="inlineStr">
        <is>
          <t>AUTO</t>
        </is>
      </c>
      <c r="AJ1691" t="inlineStr">
        <is>
          <t>Nej</t>
        </is>
      </c>
      <c r="AK1691" t="inlineStr"/>
      <c r="AL1691" t="inlineStr"/>
      <c r="AM1691" t="inlineStr"/>
      <c r="AN1691" t="inlineStr"/>
      <c r="AO1691" t="inlineStr">
        <is>
          <t>cmm4yuo4a01bkcuqwn0oorufq</t>
        </is>
      </c>
      <c r="AP1691" t="inlineStr">
        <is>
          <t>http://localhost:8787/api/admin/requirements/documents/cmm4yuo4a01bkcuqwn0oorufq/view</t>
        </is>
      </c>
      <c r="AQ1691">
        <f>HYPERLÄNK("http://localhost:8787/api/admin/requirements/documents/cmm4yuo4a01bkcuqwn0oorufq/view";"Öppna PDF")</f>
        <v/>
      </c>
      <c r="AR1691">
        <f>HYPERLINK("http://localhost:8787/api/admin/requirements/documents/cmm4yuo4a01bkcuqwn0oorufq/view","Open PDF")</f>
        <v/>
      </c>
      <c r="AS1691" t="inlineStr">
        <is>
          <t>cmm55w57p0004cuisfrtpqly8</t>
        </is>
      </c>
      <c r="AT1691" t="inlineStr">
        <is>
          <t>cmm4xvu980000cuh4vj0usz09</t>
        </is>
      </c>
      <c r="AU1691" t="inlineStr">
        <is>
          <t>se Säters</t>
        </is>
      </c>
      <c r="AV1691" t="inlineStr">
        <is>
          <t>Kommun</t>
        </is>
      </c>
      <c r="AW1691" t="inlineStr">
        <is>
          <t>se Säters kommun</t>
        </is>
      </c>
      <c r="AX1691" t="inlineStr">
        <is>
          <t>0225-55</t>
        </is>
      </c>
      <c r="AY1691" t="inlineStr">
        <is>
          <t>Beslut</t>
        </is>
      </c>
      <c r="AZ1691" t="inlineStr">
        <is>
          <t>2026-02-03</t>
        </is>
      </c>
      <c r="BA1691" t="inlineStr">
        <is>
          <t>2025-05-05 Beslut (dnr 2025-191).pdf</t>
        </is>
      </c>
      <c r="BB1691" t="inlineStr">
        <is>
          <t>Sv: till registrator - Begäran av allmän handling</t>
        </is>
      </c>
      <c r="BC1691" t="inlineStr">
        <is>
          <t>AUTO</t>
        </is>
      </c>
      <c r="BD1691" t="inlineStr"/>
      <c r="BE1691" t="inlineStr"/>
      <c r="BF1691" t="inlineStr">
        <is>
          <t>AUTO_GENERERAD. Bekrafta metadata mot kallfil.</t>
        </is>
      </c>
      <c r="BG1691">
        <f>HYPERLINK("C:\Users\jimmy\Desktop\Examens arbete\Kod\Ny mapp\remix_-copy-of-miljöbeslut.se-portal\2025-05-05 Beslut (dnr 2025-191).pdf", "Öppna PDF")</f>
        <v/>
      </c>
    </row>
    <row r="1692">
      <c r="A1692" t="inlineStr">
        <is>
          <t>KRAV-AUTO-001691</t>
        </is>
      </c>
      <c r="B1692" t="inlineStr">
        <is>
          <t>ADMIN-INDEX-2026-02-27-00000000125C043F57453246863FE664CAFE6A3F0700950291EA24F0614FB6ACEDB12BF0E31D00000000010C0000950291EA24F0614FB6ACEDB12BF0E31D00002087AEF20000</t>
        </is>
      </c>
      <c r="C1692" t="inlineStr">
        <is>
          <t>cmm4yuo4a01bkcuqwn0oorufq</t>
        </is>
      </c>
      <c r="D1692" t="inlineStr">
        <is>
          <t>http://localhost:8787/api/admin/requirements/documents/cmm4yuo4a01bkcuqwn0oorufq/view</t>
        </is>
      </c>
      <c r="E1692">
        <f>HYPERLÄNK("http://localhost:8787/api/admin/requirements/documents/cmm4yuo4a01bkcuqwn0oorufq/view";"Öppna PDF")</f>
        <v/>
      </c>
      <c r="F1692">
        <f>HYPERLINK("http://localhost:8787/api/admin/requirements/documents/cmm4yuo4a01bkcuqwn0oorufq/view","Open PDF")</f>
        <v/>
      </c>
      <c r="G1692" t="inlineStr">
        <is>
          <t>cmm55w57p0004cuisfrtpqly8</t>
        </is>
      </c>
      <c r="H1692" t="inlineStr">
        <is>
          <t>Beslutsvillkor</t>
        </is>
      </c>
      <c r="I1692" t="inlineStr">
        <is>
          <t>Ytkonstruktion</t>
        </is>
      </c>
      <c r="J1692" t="inlineStr">
        <is>
          <t>Tat yta</t>
        </is>
      </c>
      <c r="K1692" t="inlineStr">
        <is>
          <t>För godkända massor planeras åternyttjande som fyllnadsmassor under parkerings- och gångstråksytor, där ytorna hårdgörs och på så sätt kan fungera som en inkapslingsfunktionen och skyddsåtgärd för att minska risken för spridning.</t>
        </is>
      </c>
      <c r="L1692" t="inlineStr">
        <is>
          <t>För godkända massor planeras åternyttjande som fyllnadsmassor under parkerings- och gångstråksytor, där ytorna hårdgörs och på så sätt kan fungera som en inkapslingsfunktionen och skyddsåtgärd för att minska risken för spridning.</t>
        </is>
      </c>
      <c r="M1692" t="inlineStr">
        <is>
          <t>SKA</t>
        </is>
      </c>
      <c r="N1692" t="inlineStr"/>
      <c r="O1692" t="inlineStr"/>
      <c r="P1692" t="inlineStr"/>
      <c r="Q1692" t="inlineStr"/>
      <c r="R1692" t="inlineStr">
        <is>
          <t>Vid mellanlagring av avfall</t>
        </is>
      </c>
      <c r="S1692" t="inlineStr"/>
      <c r="T1692" t="inlineStr">
        <is>
          <t>212000</t>
        </is>
      </c>
      <c r="U1692" t="inlineStr"/>
      <c r="V1692" t="inlineStr"/>
      <c r="W1692" t="inlineStr">
        <is>
          <t>Ja</t>
        </is>
      </c>
      <c r="X1692" t="inlineStr">
        <is>
          <t>Nej</t>
        </is>
      </c>
      <c r="Y1692" t="inlineStr">
        <is>
          <t>Nej</t>
        </is>
      </c>
      <c r="Z1692" t="inlineStr">
        <is>
          <t>Nej</t>
        </is>
      </c>
      <c r="AA1692" t="n">
        <v>5</v>
      </c>
      <c r="AB1692" t="inlineStr">
        <is>
          <t>Teknisk beskrivning av platta</t>
        </is>
      </c>
      <c r="AC1692" t="inlineStr">
        <is>
          <t>Teknisk ritning platta</t>
        </is>
      </c>
      <c r="AD1692" t="inlineStr">
        <is>
          <t>Nej</t>
        </is>
      </c>
      <c r="AE1692" t="inlineStr">
        <is>
          <t>Nej</t>
        </is>
      </c>
      <c r="AF1692" t="inlineStr">
        <is>
          <t>Ej behandlad</t>
        </is>
      </c>
      <c r="AG1692" t="inlineStr">
        <is>
          <t>AUTO_GENERERAD. Verifiera citat mot kallfil.</t>
        </is>
      </c>
      <c r="AH1692" t="inlineStr">
        <is>
          <t>MEDIUM</t>
        </is>
      </c>
      <c r="AI1692" t="inlineStr">
        <is>
          <t>AUTO</t>
        </is>
      </c>
      <c r="AJ1692" t="inlineStr">
        <is>
          <t>Nej</t>
        </is>
      </c>
      <c r="AK1692" t="inlineStr"/>
      <c r="AL1692" t="inlineStr"/>
      <c r="AM1692" t="inlineStr"/>
      <c r="AN1692" t="inlineStr"/>
      <c r="AO1692" t="inlineStr">
        <is>
          <t>cmm4yuo4a01bkcuqwn0oorufq</t>
        </is>
      </c>
      <c r="AP1692" t="inlineStr">
        <is>
          <t>http://localhost:8787/api/admin/requirements/documents/cmm4yuo4a01bkcuqwn0oorufq/view</t>
        </is>
      </c>
      <c r="AQ1692">
        <f>HYPERLÄNK("http://localhost:8787/api/admin/requirements/documents/cmm4yuo4a01bkcuqwn0oorufq/view";"Öppna PDF")</f>
        <v/>
      </c>
      <c r="AR1692">
        <f>HYPERLINK("http://localhost:8787/api/admin/requirements/documents/cmm4yuo4a01bkcuqwn0oorufq/view","Open PDF")</f>
        <v/>
      </c>
      <c r="AS1692" t="inlineStr">
        <is>
          <t>cmm55w57p0004cuisfrtpqly8</t>
        </is>
      </c>
      <c r="AT1692" t="inlineStr">
        <is>
          <t>cmm4xvu980000cuh4vj0usz09</t>
        </is>
      </c>
      <c r="AU1692" t="inlineStr">
        <is>
          <t>se Säters</t>
        </is>
      </c>
      <c r="AV1692" t="inlineStr">
        <is>
          <t>Kommun</t>
        </is>
      </c>
      <c r="AW1692" t="inlineStr">
        <is>
          <t>se Säters kommun</t>
        </is>
      </c>
      <c r="AX1692" t="inlineStr">
        <is>
          <t>0225-55</t>
        </is>
      </c>
      <c r="AY1692" t="inlineStr">
        <is>
          <t>Beslut</t>
        </is>
      </c>
      <c r="AZ1692" t="inlineStr">
        <is>
          <t>2026-02-03</t>
        </is>
      </c>
      <c r="BA1692" t="inlineStr">
        <is>
          <t>2025-05-05 Beslut (dnr 2025-191).pdf</t>
        </is>
      </c>
      <c r="BB1692" t="inlineStr">
        <is>
          <t>Sv: till registrator - Begäran av allmän handling</t>
        </is>
      </c>
      <c r="BC1692" t="inlineStr">
        <is>
          <t>AUTO</t>
        </is>
      </c>
      <c r="BD1692" t="inlineStr"/>
      <c r="BE1692" t="inlineStr"/>
      <c r="BF1692" t="inlineStr">
        <is>
          <t>AUTO_GENERERAD. Bekrafta metadata mot kallfil.</t>
        </is>
      </c>
      <c r="BG1692">
        <f>HYPERLINK("C:\Users\jimmy\Desktop\Examens arbete\Kod\Ny mapp\remix_-copy-of-miljöbeslut.se-portal\2025-05-05 Beslut (dnr 2025-191).pdf", "Öppna PDF")</f>
        <v/>
      </c>
    </row>
    <row r="1693">
      <c r="A1693" t="inlineStr">
        <is>
          <t>KRAV-AUTO-001692</t>
        </is>
      </c>
      <c r="B1693" t="inlineStr">
        <is>
          <t>ADMIN-INDEX-2026-02-27-00000000125C043F57453246863FE664CAFE6A3F0700950291EA24F0614FB6ACEDB12BF0E31D00000000010C0000950291EA24F0614FB6ACEDB12BF0E31D00002087AEF20000</t>
        </is>
      </c>
      <c r="C1693" t="inlineStr">
        <is>
          <t>cmm4yuo3i01awcuqwc1jygab4</t>
        </is>
      </c>
      <c r="D1693" t="inlineStr">
        <is>
          <t>http://localhost:8787/api/admin/requirements/documents/cmm4yuo3i01awcuqwc1jygab4/view</t>
        </is>
      </c>
      <c r="E1693">
        <f>HYPERLÄNK("http://localhost:8787/api/admin/requirements/documents/cmm4yuo3i01awcuqwc1jygab4/view";"Öppna PDF")</f>
        <v/>
      </c>
      <c r="F1693">
        <f>HYPERLINK("http://localhost:8787/api/admin/requirements/documents/cmm4yuo3i01awcuqwc1jygab4/view","Open PDF")</f>
        <v/>
      </c>
      <c r="G1693" t="inlineStr">
        <is>
          <t>cmm55w57p0004cuisfrtpqly8</t>
        </is>
      </c>
      <c r="H1693" t="inlineStr">
        <is>
          <t>Beslutsvillkor</t>
        </is>
      </c>
      <c r="I1693" t="inlineStr">
        <is>
          <t>DriftEgenkontroll</t>
        </is>
      </c>
      <c r="J1693" t="inlineStr">
        <is>
          <t>Journalforing</t>
        </is>
      </c>
      <c r="K1693" t="inlineStr">
        <is>
          <t>Resultat för jordprovtagning Säterdalen, Säter Mars 2025 ** Totalhalter uppfyller krav för MRR, laktest krävs för att avgöra om samtliga krav för MRR uppfylls.</t>
        </is>
      </c>
      <c r="L1693" t="inlineStr">
        <is>
          <t>Resultat för jordprovtagning Säterdalen, Säter Mars 2025 ** Totalhalter uppfyller krav för MRR, laktest krävs för att avgöra om samtliga krav för MRR uppfylls.</t>
        </is>
      </c>
      <c r="M1693" t="inlineStr">
        <is>
          <t>SKA</t>
        </is>
      </c>
      <c r="N1693" t="inlineStr"/>
      <c r="O1693" t="inlineStr"/>
      <c r="P1693" t="inlineStr"/>
      <c r="Q1693" t="inlineStr"/>
      <c r="R1693" t="inlineStr">
        <is>
          <t>Lopande drift</t>
        </is>
      </c>
      <c r="S1693" t="inlineStr"/>
      <c r="T1693" t="inlineStr">
        <is>
          <t>15 80 80</t>
        </is>
      </c>
      <c r="U1693" t="inlineStr"/>
      <c r="V1693" t="inlineStr"/>
      <c r="W1693" t="inlineStr">
        <is>
          <t>Nej</t>
        </is>
      </c>
      <c r="X1693" t="inlineStr">
        <is>
          <t>Nej</t>
        </is>
      </c>
      <c r="Y1693" t="inlineStr">
        <is>
          <t>Ja</t>
        </is>
      </c>
      <c r="Z1693" t="inlineStr">
        <is>
          <t>Nej</t>
        </is>
      </c>
      <c r="AA1693" t="n">
        <v>7</v>
      </c>
      <c r="AB1693" t="inlineStr">
        <is>
          <t>Egenkontrollrutiner</t>
        </is>
      </c>
      <c r="AC1693" t="inlineStr">
        <is>
          <t>Egenkontrollprogram</t>
        </is>
      </c>
      <c r="AD1693" t="inlineStr">
        <is>
          <t>Nej</t>
        </is>
      </c>
      <c r="AE1693" t="inlineStr">
        <is>
          <t>Nej</t>
        </is>
      </c>
      <c r="AF1693" t="inlineStr">
        <is>
          <t>Ej behandlad</t>
        </is>
      </c>
      <c r="AG1693" t="inlineStr">
        <is>
          <t>AUTO_GENERERAD. Verifiera citat mot kallfil.</t>
        </is>
      </c>
      <c r="AH1693" t="inlineStr">
        <is>
          <t>LOW</t>
        </is>
      </c>
      <c r="AI1693" t="inlineStr">
        <is>
          <t>AUTO</t>
        </is>
      </c>
      <c r="AJ1693" t="inlineStr">
        <is>
          <t>Nej</t>
        </is>
      </c>
      <c r="AK1693" t="inlineStr"/>
      <c r="AL1693" t="inlineStr"/>
      <c r="AM1693" t="inlineStr"/>
      <c r="AN1693" t="inlineStr"/>
      <c r="AO1693" t="inlineStr">
        <is>
          <t>cmm4yuo4a01bkcuqwn0oorufq</t>
        </is>
      </c>
      <c r="AP1693" t="inlineStr">
        <is>
          <t>http://localhost:8787/api/admin/requirements/documents/cmm4yuo4a01bkcuqwn0oorufq/view</t>
        </is>
      </c>
      <c r="AQ1693">
        <f>HYPERLÄNK("http://localhost:8787/api/admin/requirements/documents/cmm4yuo4a01bkcuqwn0oorufq/view";"Öppna PDF")</f>
        <v/>
      </c>
      <c r="AR1693">
        <f>HYPERLINK("http://localhost:8787/api/admin/requirements/documents/cmm4yuo4a01bkcuqwn0oorufq/view","Open PDF")</f>
        <v/>
      </c>
      <c r="AS1693" t="inlineStr">
        <is>
          <t>cmm55w57p0004cuisfrtpqly8</t>
        </is>
      </c>
      <c r="AT1693" t="inlineStr">
        <is>
          <t>cmm4xvu980000cuh4vj0usz09</t>
        </is>
      </c>
      <c r="AU1693" t="inlineStr">
        <is>
          <t>se Säters</t>
        </is>
      </c>
      <c r="AV1693" t="inlineStr">
        <is>
          <t>Kommun</t>
        </is>
      </c>
      <c r="AW1693" t="inlineStr">
        <is>
          <t>se Säters kommun</t>
        </is>
      </c>
      <c r="AX1693" t="inlineStr">
        <is>
          <t>0225-55</t>
        </is>
      </c>
      <c r="AY1693" t="inlineStr">
        <is>
          <t>Beslut</t>
        </is>
      </c>
      <c r="AZ1693" t="inlineStr">
        <is>
          <t>2026-02-03</t>
        </is>
      </c>
      <c r="BA1693" t="inlineStr">
        <is>
          <t>2025-05-05 Beslut (dnr 2025-191).pdf</t>
        </is>
      </c>
      <c r="BB1693" t="inlineStr">
        <is>
          <t>Sv: till registrator - Begäran av allmän handling</t>
        </is>
      </c>
      <c r="BC1693" t="inlineStr">
        <is>
          <t>AUTO</t>
        </is>
      </c>
      <c r="BD1693" t="inlineStr"/>
      <c r="BE1693" t="inlineStr"/>
      <c r="BF1693" t="inlineStr">
        <is>
          <t>AUTO_GENERERAD. Bekrafta metadata mot kallfil.</t>
        </is>
      </c>
      <c r="BG1693">
        <f>HYPERLINK("C:\Users\jimmy\Desktop\Examens arbete\Kod\Ny mapp\remix_-copy-of-miljöbeslut.se-portal\2025-05-05 Beslut (dnr 2025-191).pdf", "Öppna PDF")</f>
        <v/>
      </c>
    </row>
    <row r="1694">
      <c r="A1694" t="inlineStr">
        <is>
          <t>KRAV-AUTO-001693</t>
        </is>
      </c>
      <c r="B1694" t="inlineStr">
        <is>
          <t>ADMIN-INDEX-2026-02-27-00000000125C043F57453246863FE664CAFE6A3F0700950291EA24F0614FB6ACEDB12BF0E31D00000000010C0000950291EA24F0614FB6ACEDB12BF0E31D00002087AEF30000</t>
        </is>
      </c>
      <c r="C1694" t="inlineStr">
        <is>
          <t>cmm4yuo3f01atcuqwn97e7vzm</t>
        </is>
      </c>
      <c r="D1694" t="inlineStr">
        <is>
          <t>http://localhost:8787/api/admin/requirements/documents/cmm4yuo3f01atcuqwn97e7vzm/view</t>
        </is>
      </c>
      <c r="E1694">
        <f>HYPERLÄNK("http://localhost:8787/api/admin/requirements/documents/cmm4yuo3f01atcuqwn97e7vzm/view";"Öppna PDF")</f>
        <v/>
      </c>
      <c r="F1694">
        <f>HYPERLINK("http://localhost:8787/api/admin/requirements/documents/cmm4yuo3f01atcuqwn97e7vzm/view","Open PDF")</f>
        <v/>
      </c>
      <c r="G1694" t="inlineStr">
        <is>
          <t>cmm55w57p0004cuisfrtpqly8</t>
        </is>
      </c>
      <c r="H1694" t="inlineStr">
        <is>
          <t>Beslutsvillkor</t>
        </is>
      </c>
      <c r="I1694" t="inlineStr">
        <is>
          <t>Ytkonstruktion</t>
        </is>
      </c>
      <c r="J1694" t="inlineStr">
        <is>
          <t>Tat yta</t>
        </is>
      </c>
      <c r="K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694" t="inlineStr">
        <is>
          <t>BOR</t>
        </is>
      </c>
      <c r="N1694" t="inlineStr"/>
      <c r="O1694" t="inlineStr"/>
      <c r="P1694" t="inlineStr"/>
      <c r="Q1694" t="inlineStr"/>
      <c r="R1694" t="inlineStr">
        <is>
          <t>Vid mellanlagring av avfall</t>
        </is>
      </c>
      <c r="S1694" t="inlineStr"/>
      <c r="T1694" t="inlineStr">
        <is>
          <t>924702</t>
        </is>
      </c>
      <c r="U1694" t="inlineStr"/>
      <c r="V1694" t="inlineStr"/>
      <c r="W1694" t="inlineStr">
        <is>
          <t>Ja</t>
        </is>
      </c>
      <c r="X1694" t="inlineStr">
        <is>
          <t>Nej</t>
        </is>
      </c>
      <c r="Y1694" t="inlineStr">
        <is>
          <t>Nej</t>
        </is>
      </c>
      <c r="Z1694" t="inlineStr">
        <is>
          <t>Nej</t>
        </is>
      </c>
      <c r="AA1694" t="n">
        <v>5</v>
      </c>
      <c r="AB1694" t="inlineStr">
        <is>
          <t>Teknisk beskrivning av platta</t>
        </is>
      </c>
      <c r="AC1694" t="inlineStr">
        <is>
          <t>Teknisk ritning platta</t>
        </is>
      </c>
      <c r="AD1694" t="inlineStr">
        <is>
          <t>Nej</t>
        </is>
      </c>
      <c r="AE1694" t="inlineStr">
        <is>
          <t>Nej</t>
        </is>
      </c>
      <c r="AF1694" t="inlineStr">
        <is>
          <t>Ej behandlad</t>
        </is>
      </c>
      <c r="AG1694" t="inlineStr">
        <is>
          <t>AUTO_GENERERAD. Verifiera citat mot kallfil.</t>
        </is>
      </c>
      <c r="AH1694" t="inlineStr">
        <is>
          <t>MEDIUM</t>
        </is>
      </c>
      <c r="AI1694" t="inlineStr">
        <is>
          <t>AUTO</t>
        </is>
      </c>
      <c r="AJ1694" t="inlineStr">
        <is>
          <t>Nej</t>
        </is>
      </c>
      <c r="AK1694" t="inlineStr"/>
      <c r="AL1694" t="inlineStr"/>
      <c r="AM1694" t="inlineStr"/>
      <c r="AN1694" t="inlineStr"/>
      <c r="AO1694" t="inlineStr">
        <is>
          <t>cmm4yuo3f01atcuqwn97e7vzm</t>
        </is>
      </c>
      <c r="AP1694" t="inlineStr">
        <is>
          <t>http://localhost:8787/api/admin/requirements/documents/cmm4yuo3f01atcuqwn97e7vzm/view</t>
        </is>
      </c>
      <c r="AQ1694">
        <f>HYPERLÄNK("http://localhost:8787/api/admin/requirements/documents/cmm4yuo3f01atcuqwn97e7vzm/view";"Öppna PDF")</f>
        <v/>
      </c>
      <c r="AR1694">
        <f>HYPERLINK("http://localhost:8787/api/admin/requirements/documents/cmm4yuo3f01atcuqwn97e7vzm/view","Open PDF")</f>
        <v/>
      </c>
      <c r="AS1694" t="inlineStr">
        <is>
          <t>cmm55w57p0004cuisfrtpqly8</t>
        </is>
      </c>
      <c r="AT1694" t="inlineStr">
        <is>
          <t>cmm4xvu980000cuh4vj0usz09</t>
        </is>
      </c>
      <c r="AU1694" t="inlineStr">
        <is>
          <t>nummer Webbadress Enköpings</t>
        </is>
      </c>
      <c r="AV1694" t="inlineStr">
        <is>
          <t>Kommun</t>
        </is>
      </c>
      <c r="AW1694" t="inlineStr">
        <is>
          <t>nummer Webbadress Enköpings kommun</t>
        </is>
      </c>
      <c r="AX1694" t="inlineStr">
        <is>
          <t>2026-02</t>
        </is>
      </c>
      <c r="AY1694" t="inlineStr">
        <is>
          <t>Beslut</t>
        </is>
      </c>
      <c r="AZ1694" t="inlineStr">
        <is>
          <t>2026-02-03</t>
        </is>
      </c>
      <c r="BA1694" t="inlineStr">
        <is>
          <t>MIL20242313pdf_976561.pdf</t>
        </is>
      </c>
      <c r="BB1694" t="inlineStr">
        <is>
          <t>Begäran om allmän handling i ärende  MIL.2026.363</t>
        </is>
      </c>
      <c r="BC1694" t="inlineStr">
        <is>
          <t>AUTO</t>
        </is>
      </c>
      <c r="BD1694" t="inlineStr"/>
      <c r="BE1694" t="inlineStr"/>
      <c r="BF1694" t="inlineStr">
        <is>
          <t>AUTO_GENERERAD. Bekrafta metadata mot kallfil.</t>
        </is>
      </c>
      <c r="BG1694">
        <f>HYPERLINK("C:\Users\jimmy\Desktop\Examens arbete\Kod\Ny mapp\remix_-copy-of-miljöbeslut.se-portal\MIL20242313pdf_976561.pdf", "Öppna PDF")</f>
        <v/>
      </c>
    </row>
    <row r="1695">
      <c r="A1695" t="inlineStr">
        <is>
          <t>KRAV-AUTO-001694</t>
        </is>
      </c>
      <c r="B1695" t="inlineStr">
        <is>
          <t>ADMIN-INDEX-2026-02-27-00000000125C043F57453246863FE664CAFE6A3F0700950291EA24F0614FB6ACEDB12BF0E31D00000000010C0000950291EA24F0614FB6ACEDB12BF0E31D00002087AEF30000</t>
        </is>
      </c>
      <c r="C1695" t="inlineStr">
        <is>
          <t>cmm4yuo3b01aqcuqwdeamtd2e</t>
        </is>
      </c>
      <c r="D1695" t="inlineStr">
        <is>
          <t>http://localhost:8787/api/admin/requirements/documents/cmm4yuo3b01aqcuqwdeamtd2e/view</t>
        </is>
      </c>
      <c r="E1695">
        <f>HYPERLÄNK("http://localhost:8787/api/admin/requirements/documents/cmm4yuo3b01aqcuqwdeamtd2e/view";"Öppna PDF")</f>
        <v/>
      </c>
      <c r="F1695">
        <f>HYPERLINK("http://localhost:8787/api/admin/requirements/documents/cmm4yuo3b01aqcuqwdeamtd2e/view","Open PDF")</f>
        <v/>
      </c>
      <c r="G1695" t="inlineStr">
        <is>
          <t>cmm55w57p0004cuisfrtpqly8</t>
        </is>
      </c>
      <c r="H1695" t="inlineStr">
        <is>
          <t>Beslutsvillkor</t>
        </is>
      </c>
      <c r="I1695" t="inlineStr">
        <is>
          <t>Ytkonstruktion</t>
        </is>
      </c>
      <c r="J1695" t="inlineStr">
        <is>
          <t>Tat yta</t>
        </is>
      </c>
      <c r="K1695" t="inlineStr">
        <is>
          <t>Själva slamplattan byggs upp av betongstöd för att hägna in slammet och för att skapa ett mothåll när det ska lastas ut.</t>
        </is>
      </c>
      <c r="L1695" t="inlineStr">
        <is>
          <t>Själva slamplattan byggs upp av betongstöd för att hägna in slammet och för att skapa ett mothåll när det ska lastas ut.</t>
        </is>
      </c>
      <c r="M1695" t="inlineStr">
        <is>
          <t>SKA</t>
        </is>
      </c>
      <c r="N1695" t="inlineStr"/>
      <c r="O1695" t="inlineStr"/>
      <c r="P1695" t="inlineStr"/>
      <c r="Q1695" t="inlineStr"/>
      <c r="R1695" t="inlineStr">
        <is>
          <t>Vid mellanlagring av avfall</t>
        </is>
      </c>
      <c r="S1695" t="inlineStr"/>
      <c r="T1695" t="inlineStr">
        <is>
          <t>919880</t>
        </is>
      </c>
      <c r="U1695" t="inlineStr"/>
      <c r="V1695" t="inlineStr"/>
      <c r="W1695" t="inlineStr">
        <is>
          <t>Ja</t>
        </is>
      </c>
      <c r="X1695" t="inlineStr">
        <is>
          <t>Nej</t>
        </is>
      </c>
      <c r="Y1695" t="inlineStr">
        <is>
          <t>Nej</t>
        </is>
      </c>
      <c r="Z1695" t="inlineStr">
        <is>
          <t>Nej</t>
        </is>
      </c>
      <c r="AA1695" t="n">
        <v>5</v>
      </c>
      <c r="AB1695" t="inlineStr">
        <is>
          <t>Teknisk beskrivning av platta</t>
        </is>
      </c>
      <c r="AC1695" t="inlineStr">
        <is>
          <t>Teknisk ritning platta</t>
        </is>
      </c>
      <c r="AD1695" t="inlineStr">
        <is>
          <t>Nej</t>
        </is>
      </c>
      <c r="AE1695" t="inlineStr">
        <is>
          <t>Nej</t>
        </is>
      </c>
      <c r="AF1695" t="inlineStr">
        <is>
          <t>Ej behandlad</t>
        </is>
      </c>
      <c r="AG1695" t="inlineStr">
        <is>
          <t>AUTO_GENERERAD. Verifiera citat mot kallfil.</t>
        </is>
      </c>
      <c r="AH1695" t="inlineStr">
        <is>
          <t>MEDIUM</t>
        </is>
      </c>
      <c r="AI1695" t="inlineStr">
        <is>
          <t>AUTO</t>
        </is>
      </c>
      <c r="AJ1695" t="inlineStr">
        <is>
          <t>Nej</t>
        </is>
      </c>
      <c r="AK1695" t="inlineStr"/>
      <c r="AL1695" t="inlineStr"/>
      <c r="AM1695" t="inlineStr"/>
      <c r="AN1695" t="inlineStr"/>
      <c r="AO1695" t="inlineStr">
        <is>
          <t>cmm4yuo3f01atcuqwn97e7vzm</t>
        </is>
      </c>
      <c r="AP1695" t="inlineStr">
        <is>
          <t>http://localhost:8787/api/admin/requirements/documents/cmm4yuo3f01atcuqwn97e7vzm/view</t>
        </is>
      </c>
      <c r="AQ1695">
        <f>HYPERLÄNK("http://localhost:8787/api/admin/requirements/documents/cmm4yuo3f01atcuqwn97e7vzm/view";"Öppna PDF")</f>
        <v/>
      </c>
      <c r="AR1695">
        <f>HYPERLINK("http://localhost:8787/api/admin/requirements/documents/cmm4yuo3f01atcuqwn97e7vzm/view","Open PDF")</f>
        <v/>
      </c>
      <c r="AS1695" t="inlineStr">
        <is>
          <t>cmm55w57p0004cuisfrtpqly8</t>
        </is>
      </c>
      <c r="AT1695" t="inlineStr">
        <is>
          <t>cmm4xvu980000cuh4vj0usz09</t>
        </is>
      </c>
      <c r="AU1695" t="inlineStr">
        <is>
          <t>nummer Webbadress Enköpings</t>
        </is>
      </c>
      <c r="AV1695" t="inlineStr">
        <is>
          <t>Kommun</t>
        </is>
      </c>
      <c r="AW1695" t="inlineStr">
        <is>
          <t>nummer Webbadress Enköpings kommun</t>
        </is>
      </c>
      <c r="AX1695" t="inlineStr">
        <is>
          <t>2026-02</t>
        </is>
      </c>
      <c r="AY1695" t="inlineStr">
        <is>
          <t>Beslut</t>
        </is>
      </c>
      <c r="AZ1695" t="inlineStr">
        <is>
          <t>2026-02-03</t>
        </is>
      </c>
      <c r="BA1695" t="inlineStr">
        <is>
          <t>MIL20242313pdf_976561.pdf</t>
        </is>
      </c>
      <c r="BB1695" t="inlineStr">
        <is>
          <t>Begäran om allmän handling i ärende  MIL.2026.363</t>
        </is>
      </c>
      <c r="BC1695" t="inlineStr">
        <is>
          <t>AUTO</t>
        </is>
      </c>
      <c r="BD1695" t="inlineStr"/>
      <c r="BE1695" t="inlineStr"/>
      <c r="BF1695" t="inlineStr">
        <is>
          <t>AUTO_GENERERAD. Bekrafta metadata mot kallfil.</t>
        </is>
      </c>
      <c r="BG1695">
        <f>HYPERLINK("C:\Users\jimmy\Desktop\Examens arbete\Kod\Ny mapp\remix_-copy-of-miljöbeslut.se-portal\MIL20242313pdf_976561.pdf", "Öppna PDF")</f>
        <v/>
      </c>
    </row>
    <row r="1696">
      <c r="A1696" t="inlineStr">
        <is>
          <t>KRAV-AUTO-001695</t>
        </is>
      </c>
      <c r="B1696" t="inlineStr">
        <is>
          <t>ADMIN-INDEX-2026-02-27-00000000125C043F57453246863FE664CAFE6A3F0700950291EA24F0614FB6ACEDB12BF0E31D00000000010C0000950291EA24F0614FB6ACEDB12BF0E31D00002087AEF30000</t>
        </is>
      </c>
      <c r="C1696" t="inlineStr">
        <is>
          <t>cmm4yuo3b01aqcuqwdeamtd2e</t>
        </is>
      </c>
      <c r="D1696" t="inlineStr">
        <is>
          <t>http://localhost:8787/api/admin/requirements/documents/cmm4yuo3b01aqcuqwdeamtd2e/view</t>
        </is>
      </c>
      <c r="E1696">
        <f>HYPERLÄNK("http://localhost:8787/api/admin/requirements/documents/cmm4yuo3b01aqcuqwdeamtd2e/view";"Öppna PDF")</f>
        <v/>
      </c>
      <c r="F1696">
        <f>HYPERLINK("http://localhost:8787/api/admin/requirements/documents/cmm4yuo3b01aqcuqwdeamtd2e/view","Open PDF")</f>
        <v/>
      </c>
      <c r="G1696" t="inlineStr">
        <is>
          <t>cmm55w57p0004cuisfrtpqly8</t>
        </is>
      </c>
      <c r="H1696" t="inlineStr">
        <is>
          <t>Beslutsvillkor</t>
        </is>
      </c>
      <c r="I1696" t="inlineStr">
        <is>
          <t>Ytkonstruktion</t>
        </is>
      </c>
      <c r="J1696" t="inlineStr">
        <is>
          <t>Tat yta</t>
        </is>
      </c>
      <c r="K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696" t="inlineStr">
        <is>
          <t>INFO</t>
        </is>
      </c>
      <c r="N1696" t="inlineStr"/>
      <c r="O1696" t="inlineStr">
        <is>
          <t>2024-11-19</t>
        </is>
      </c>
      <c r="P1696" t="inlineStr"/>
      <c r="Q1696" t="inlineStr">
        <is>
          <t>Forelaggande vid brist</t>
        </is>
      </c>
      <c r="R1696" t="inlineStr">
        <is>
          <t>Vid mellanlagring av avfall</t>
        </is>
      </c>
      <c r="S1696" t="inlineStr"/>
      <c r="T1696" t="inlineStr">
        <is>
          <t>921240</t>
        </is>
      </c>
      <c r="U1696" t="inlineStr"/>
      <c r="V1696" t="inlineStr"/>
      <c r="W1696" t="inlineStr">
        <is>
          <t>Ja</t>
        </is>
      </c>
      <c r="X1696" t="inlineStr">
        <is>
          <t>Nej</t>
        </is>
      </c>
      <c r="Y1696" t="inlineStr">
        <is>
          <t>Nej</t>
        </is>
      </c>
      <c r="Z1696" t="inlineStr">
        <is>
          <t>Nej</t>
        </is>
      </c>
      <c r="AA1696" t="n">
        <v>5</v>
      </c>
      <c r="AB1696" t="inlineStr">
        <is>
          <t>Teknisk beskrivning av platta</t>
        </is>
      </c>
      <c r="AC1696" t="inlineStr">
        <is>
          <t>Teknisk ritning platta</t>
        </is>
      </c>
      <c r="AD1696" t="inlineStr">
        <is>
          <t>Nej</t>
        </is>
      </c>
      <c r="AE1696" t="inlineStr">
        <is>
          <t>Nej</t>
        </is>
      </c>
      <c r="AF1696" t="inlineStr">
        <is>
          <t>Ej behandlad</t>
        </is>
      </c>
      <c r="AG1696" t="inlineStr">
        <is>
          <t>AUTO_GENERERAD. Verifiera citat mot kallfil.</t>
        </is>
      </c>
      <c r="AH1696" t="inlineStr">
        <is>
          <t>MEDIUM</t>
        </is>
      </c>
      <c r="AI1696" t="inlineStr">
        <is>
          <t>AUTO</t>
        </is>
      </c>
      <c r="AJ1696" t="inlineStr">
        <is>
          <t>Nej</t>
        </is>
      </c>
      <c r="AK1696" t="inlineStr"/>
      <c r="AL1696" t="inlineStr"/>
      <c r="AM1696" t="inlineStr"/>
      <c r="AN1696" t="inlineStr"/>
      <c r="AO1696" t="inlineStr">
        <is>
          <t>cmm4yuo3f01atcuqwn97e7vzm</t>
        </is>
      </c>
      <c r="AP1696" t="inlineStr">
        <is>
          <t>http://localhost:8787/api/admin/requirements/documents/cmm4yuo3f01atcuqwn97e7vzm/view</t>
        </is>
      </c>
      <c r="AQ1696">
        <f>HYPERLÄNK("http://localhost:8787/api/admin/requirements/documents/cmm4yuo3f01atcuqwn97e7vzm/view";"Öppna PDF")</f>
        <v/>
      </c>
      <c r="AR1696">
        <f>HYPERLINK("http://localhost:8787/api/admin/requirements/documents/cmm4yuo3f01atcuqwn97e7vzm/view","Open PDF")</f>
        <v/>
      </c>
      <c r="AS1696" t="inlineStr">
        <is>
          <t>cmm55w57p0004cuisfrtpqly8</t>
        </is>
      </c>
      <c r="AT1696" t="inlineStr">
        <is>
          <t>cmm4xvu980000cuh4vj0usz09</t>
        </is>
      </c>
      <c r="AU1696" t="inlineStr">
        <is>
          <t>nummer Webbadress Enköpings</t>
        </is>
      </c>
      <c r="AV1696" t="inlineStr">
        <is>
          <t>Kommun</t>
        </is>
      </c>
      <c r="AW1696" t="inlineStr">
        <is>
          <t>nummer Webbadress Enköpings kommun</t>
        </is>
      </c>
      <c r="AX1696" t="inlineStr">
        <is>
          <t>2026-02</t>
        </is>
      </c>
      <c r="AY1696" t="inlineStr">
        <is>
          <t>Beslut</t>
        </is>
      </c>
      <c r="AZ1696" t="inlineStr">
        <is>
          <t>2026-02-03</t>
        </is>
      </c>
      <c r="BA1696" t="inlineStr">
        <is>
          <t>MIL20242313pdf_976561.pdf</t>
        </is>
      </c>
      <c r="BB1696" t="inlineStr">
        <is>
          <t>Begäran om allmän handling i ärende  MIL.2026.363</t>
        </is>
      </c>
      <c r="BC1696" t="inlineStr">
        <is>
          <t>AUTO</t>
        </is>
      </c>
      <c r="BD1696" t="inlineStr"/>
      <c r="BE1696" t="inlineStr"/>
      <c r="BF1696" t="inlineStr">
        <is>
          <t>AUTO_GENERERAD. Bekrafta metadata mot kallfil.</t>
        </is>
      </c>
      <c r="BG1696">
        <f>HYPERLINK("C:\Users\jimmy\Desktop\Examens arbete\Kod\Ny mapp\remix_-copy-of-miljöbeslut.se-portal\MIL20242313pdf_976561.pdf", "Öppna PDF")</f>
        <v/>
      </c>
    </row>
    <row r="1697">
      <c r="A1697" t="inlineStr">
        <is>
          <t>KRAV-AUTO-001696</t>
        </is>
      </c>
      <c r="B1697" t="inlineStr">
        <is>
          <t>ADMIN-INDEX-2026-02-27-00000000125C043F57453246863FE664CAFE6A3F0700950291EA24F0614FB6ACEDB12BF0E31D00000000010C0000950291EA24F0614FB6ACEDB12BF0E31D00002087AEF30000</t>
        </is>
      </c>
      <c r="C1697" t="inlineStr">
        <is>
          <t>cmm4yuo3b01aqcuqwdeamtd2e</t>
        </is>
      </c>
      <c r="D1697" t="inlineStr">
        <is>
          <t>http://localhost:8787/api/admin/requirements/documents/cmm4yuo3b01aqcuqwdeamtd2e/view</t>
        </is>
      </c>
      <c r="E1697">
        <f>HYPERLÄNK("http://localhost:8787/api/admin/requirements/documents/cmm4yuo3b01aqcuqwdeamtd2e/view";"Öppna PDF")</f>
        <v/>
      </c>
      <c r="F1697">
        <f>HYPERLINK("http://localhost:8787/api/admin/requirements/documents/cmm4yuo3b01aqcuqwdeamtd2e/view","Open PDF")</f>
        <v/>
      </c>
      <c r="G1697" t="inlineStr">
        <is>
          <t>cmm55w57p0004cuisfrtpqly8</t>
        </is>
      </c>
      <c r="H1697" t="inlineStr">
        <is>
          <t>Beslutsvillkor</t>
        </is>
      </c>
      <c r="I1697" t="inlineStr">
        <is>
          <t>Ytkonstruktion</t>
        </is>
      </c>
      <c r="J1697" t="inlineStr">
        <is>
          <t>Tat yta</t>
        </is>
      </c>
      <c r="K1697" t="inlineStr">
        <is>
          <t>Jag är lite osäker om det behövs anmälas eftersom slam i sig kan innehålla högre halter än vad KM-jord gör och att landskapsbilden redan påverkats i samband med byggandet av slamplattan.</t>
        </is>
      </c>
      <c r="L1697" t="inlineStr">
        <is>
          <t>Jag är lite osäker om det behövs anmälas eftersom slam i sig kan innehålla högre halter än vad KM-jord gör och att landskapsbilden redan påverkats i samband med byggandet av slamplattan.</t>
        </is>
      </c>
      <c r="M1697" t="inlineStr">
        <is>
          <t>SKA</t>
        </is>
      </c>
      <c r="N1697" t="inlineStr"/>
      <c r="O1697" t="inlineStr"/>
      <c r="P1697" t="inlineStr"/>
      <c r="Q1697" t="inlineStr"/>
      <c r="R1697" t="inlineStr">
        <is>
          <t>Vid mellanlagring av avfall</t>
        </is>
      </c>
      <c r="S1697" t="inlineStr"/>
      <c r="T1697" t="inlineStr">
        <is>
          <t>919880</t>
        </is>
      </c>
      <c r="U1697" t="inlineStr"/>
      <c r="V1697" t="inlineStr"/>
      <c r="W1697" t="inlineStr">
        <is>
          <t>Ja</t>
        </is>
      </c>
      <c r="X1697" t="inlineStr">
        <is>
          <t>Nej</t>
        </is>
      </c>
      <c r="Y1697" t="inlineStr">
        <is>
          <t>Nej</t>
        </is>
      </c>
      <c r="Z1697" t="inlineStr">
        <is>
          <t>Nej</t>
        </is>
      </c>
      <c r="AA1697" t="n">
        <v>5</v>
      </c>
      <c r="AB1697" t="inlineStr">
        <is>
          <t>Teknisk beskrivning av platta</t>
        </is>
      </c>
      <c r="AC1697" t="inlineStr">
        <is>
          <t>Teknisk ritning platta</t>
        </is>
      </c>
      <c r="AD1697" t="inlineStr">
        <is>
          <t>Nej</t>
        </is>
      </c>
      <c r="AE1697" t="inlineStr">
        <is>
          <t>Nej</t>
        </is>
      </c>
      <c r="AF1697" t="inlineStr">
        <is>
          <t>Ej behandlad</t>
        </is>
      </c>
      <c r="AG1697" t="inlineStr">
        <is>
          <t>AUTO_GENERERAD. Verifiera citat mot kallfil.</t>
        </is>
      </c>
      <c r="AH1697" t="inlineStr">
        <is>
          <t>MEDIUM</t>
        </is>
      </c>
      <c r="AI1697" t="inlineStr">
        <is>
          <t>AUTO</t>
        </is>
      </c>
      <c r="AJ1697" t="inlineStr">
        <is>
          <t>Nej</t>
        </is>
      </c>
      <c r="AK1697" t="inlineStr"/>
      <c r="AL1697" t="inlineStr"/>
      <c r="AM1697" t="inlineStr"/>
      <c r="AN1697" t="inlineStr"/>
      <c r="AO1697" t="inlineStr">
        <is>
          <t>cmm4yuo3f01atcuqwn97e7vzm</t>
        </is>
      </c>
      <c r="AP1697" t="inlineStr">
        <is>
          <t>http://localhost:8787/api/admin/requirements/documents/cmm4yuo3f01atcuqwn97e7vzm/view</t>
        </is>
      </c>
      <c r="AQ1697">
        <f>HYPERLÄNK("http://localhost:8787/api/admin/requirements/documents/cmm4yuo3f01atcuqwn97e7vzm/view";"Öppna PDF")</f>
        <v/>
      </c>
      <c r="AR1697">
        <f>HYPERLINK("http://localhost:8787/api/admin/requirements/documents/cmm4yuo3f01atcuqwn97e7vzm/view","Open PDF")</f>
        <v/>
      </c>
      <c r="AS1697" t="inlineStr">
        <is>
          <t>cmm55w57p0004cuisfrtpqly8</t>
        </is>
      </c>
      <c r="AT1697" t="inlineStr">
        <is>
          <t>cmm4xvu980000cuh4vj0usz09</t>
        </is>
      </c>
      <c r="AU1697" t="inlineStr">
        <is>
          <t>nummer Webbadress Enköpings</t>
        </is>
      </c>
      <c r="AV1697" t="inlineStr">
        <is>
          <t>Kommun</t>
        </is>
      </c>
      <c r="AW1697" t="inlineStr">
        <is>
          <t>nummer Webbadress Enköpings kommun</t>
        </is>
      </c>
      <c r="AX1697" t="inlineStr">
        <is>
          <t>2026-02</t>
        </is>
      </c>
      <c r="AY1697" t="inlineStr">
        <is>
          <t>Beslut</t>
        </is>
      </c>
      <c r="AZ1697" t="inlineStr">
        <is>
          <t>2026-02-03</t>
        </is>
      </c>
      <c r="BA1697" t="inlineStr">
        <is>
          <t>MIL20242313pdf_976561.pdf</t>
        </is>
      </c>
      <c r="BB1697" t="inlineStr">
        <is>
          <t>Begäran om allmän handling i ärende  MIL.2026.363</t>
        </is>
      </c>
      <c r="BC1697" t="inlineStr">
        <is>
          <t>AUTO</t>
        </is>
      </c>
      <c r="BD1697" t="inlineStr"/>
      <c r="BE1697" t="inlineStr"/>
      <c r="BF1697" t="inlineStr">
        <is>
          <t>AUTO_GENERERAD. Bekrafta metadata mot kallfil.</t>
        </is>
      </c>
      <c r="BG1697">
        <f>HYPERLINK("C:\Users\jimmy\Desktop\Examens arbete\Kod\Ny mapp\remix_-copy-of-miljöbeslut.se-portal\MIL20242313pdf_976561.pdf", "Öppna PDF")</f>
        <v/>
      </c>
    </row>
    <row r="1698">
      <c r="A1698" t="inlineStr">
        <is>
          <t>KRAV-AUTO-001697</t>
        </is>
      </c>
      <c r="B1698" t="inlineStr">
        <is>
          <t>ADMIN-INDEX-2026-02-27-00000000125C043F57453246863FE664CAFE6A3F0700950291EA24F0614FB6ACEDB12BF0E31D00000000010C0000950291EA24F0614FB6ACEDB12BF0E31D00002087AEF30000</t>
        </is>
      </c>
      <c r="C1698" t="inlineStr">
        <is>
          <t>cmm4yuo3801ancuqw1jpsw25j</t>
        </is>
      </c>
      <c r="D1698" t="inlineStr">
        <is>
          <t>http://localhost:8787/api/admin/requirements/documents/cmm4yuo3801ancuqw1jpsw25j/view</t>
        </is>
      </c>
      <c r="E1698">
        <f>HYPERLÄNK("http://localhost:8787/api/admin/requirements/documents/cmm4yuo3801ancuqw1jpsw25j/view";"Öppna PDF")</f>
        <v/>
      </c>
      <c r="F1698">
        <f>HYPERLINK("http://localhost:8787/api/admin/requirements/documents/cmm4yuo3801ancuqw1jpsw25j/view","Open PDF")</f>
        <v/>
      </c>
      <c r="G1698" t="inlineStr">
        <is>
          <t>cmm55w57p0004cuisfrtpqly8</t>
        </is>
      </c>
      <c r="H1698" t="inlineStr">
        <is>
          <t>Beslutsvillkor</t>
        </is>
      </c>
      <c r="I1698" t="inlineStr">
        <is>
          <t>DriftEgenkontroll</t>
        </is>
      </c>
      <c r="J1698" t="inlineStr">
        <is>
          <t>Journalforing</t>
        </is>
      </c>
      <c r="K1698" t="inlineStr">
        <is>
          <t>Då betongen genom provtagning har visats innehålla krom 6 anser nämnden att det är lämpligt att föreskriva villkor för att undvika spridning av detta.</t>
        </is>
      </c>
      <c r="L1698" t="inlineStr">
        <is>
          <t>Då betongen genom provtagning har visats innehålla krom 6 anser nämnden att det är lämpligt att föreskriva villkor för att undvika spridning av detta.</t>
        </is>
      </c>
      <c r="M1698" t="inlineStr">
        <is>
          <t>INFO</t>
        </is>
      </c>
      <c r="N1698" t="inlineStr"/>
      <c r="O1698" t="inlineStr"/>
      <c r="P1698" t="inlineStr"/>
      <c r="Q1698" t="inlineStr"/>
      <c r="R1698" t="inlineStr">
        <is>
          <t>Lopande drift</t>
        </is>
      </c>
      <c r="S1698" t="inlineStr"/>
      <c r="T1698" t="inlineStr">
        <is>
          <t>916630</t>
        </is>
      </c>
      <c r="U1698" t="inlineStr"/>
      <c r="V1698" t="inlineStr"/>
      <c r="W1698" t="inlineStr">
        <is>
          <t>Nej</t>
        </is>
      </c>
      <c r="X1698" t="inlineStr">
        <is>
          <t>Nej</t>
        </is>
      </c>
      <c r="Y1698" t="inlineStr">
        <is>
          <t>Ja</t>
        </is>
      </c>
      <c r="Z1698" t="inlineStr">
        <is>
          <t>Nej</t>
        </is>
      </c>
      <c r="AA1698" t="n">
        <v>7</v>
      </c>
      <c r="AB1698" t="inlineStr">
        <is>
          <t>Egenkontrollrutiner</t>
        </is>
      </c>
      <c r="AC1698" t="inlineStr">
        <is>
          <t>Egenkontrollprogram</t>
        </is>
      </c>
      <c r="AD1698" t="inlineStr">
        <is>
          <t>Nej</t>
        </is>
      </c>
      <c r="AE1698" t="inlineStr">
        <is>
          <t>Nej</t>
        </is>
      </c>
      <c r="AF1698" t="inlineStr">
        <is>
          <t>Ej behandlad</t>
        </is>
      </c>
      <c r="AG1698" t="inlineStr">
        <is>
          <t>AUTO_GENERERAD. Verifiera citat mot kallfil.</t>
        </is>
      </c>
      <c r="AH1698" t="inlineStr">
        <is>
          <t>MEDIUM</t>
        </is>
      </c>
      <c r="AI1698" t="inlineStr">
        <is>
          <t>AUTO</t>
        </is>
      </c>
      <c r="AJ1698" t="inlineStr">
        <is>
          <t>Nej</t>
        </is>
      </c>
      <c r="AK1698" t="inlineStr"/>
      <c r="AL1698" t="inlineStr"/>
      <c r="AM1698" t="inlineStr"/>
      <c r="AN1698" t="inlineStr"/>
      <c r="AO1698" t="inlineStr">
        <is>
          <t>cmm4yuo3f01atcuqwn97e7vzm</t>
        </is>
      </c>
      <c r="AP1698" t="inlineStr">
        <is>
          <t>http://localhost:8787/api/admin/requirements/documents/cmm4yuo3f01atcuqwn97e7vzm/view</t>
        </is>
      </c>
      <c r="AQ1698">
        <f>HYPERLÄNK("http://localhost:8787/api/admin/requirements/documents/cmm4yuo3f01atcuqwn97e7vzm/view";"Öppna PDF")</f>
        <v/>
      </c>
      <c r="AR1698">
        <f>HYPERLINK("http://localhost:8787/api/admin/requirements/documents/cmm4yuo3f01atcuqwn97e7vzm/view","Open PDF")</f>
        <v/>
      </c>
      <c r="AS1698" t="inlineStr">
        <is>
          <t>cmm55w57p0004cuisfrtpqly8</t>
        </is>
      </c>
      <c r="AT1698" t="inlineStr">
        <is>
          <t>cmm4xvu980000cuh4vj0usz09</t>
        </is>
      </c>
      <c r="AU1698" t="inlineStr">
        <is>
          <t>nummer Webbadress Enköpings</t>
        </is>
      </c>
      <c r="AV1698" t="inlineStr">
        <is>
          <t>Kommun</t>
        </is>
      </c>
      <c r="AW1698" t="inlineStr">
        <is>
          <t>nummer Webbadress Enköpings kommun</t>
        </is>
      </c>
      <c r="AX1698" t="inlineStr">
        <is>
          <t>2026-02</t>
        </is>
      </c>
      <c r="AY1698" t="inlineStr">
        <is>
          <t>Beslut</t>
        </is>
      </c>
      <c r="AZ1698" t="inlineStr">
        <is>
          <t>2026-02-03</t>
        </is>
      </c>
      <c r="BA1698" t="inlineStr">
        <is>
          <t>MIL20242313pdf_976561.pdf</t>
        </is>
      </c>
      <c r="BB1698" t="inlineStr">
        <is>
          <t>Begäran om allmän handling i ärende  MIL.2026.363</t>
        </is>
      </c>
      <c r="BC1698" t="inlineStr">
        <is>
          <t>AUTO</t>
        </is>
      </c>
      <c r="BD1698" t="inlineStr"/>
      <c r="BE1698" t="inlineStr"/>
      <c r="BF1698" t="inlineStr">
        <is>
          <t>AUTO_GENERERAD. Bekrafta metadata mot kallfil.</t>
        </is>
      </c>
      <c r="BG1698">
        <f>HYPERLINK("C:\Users\jimmy\Desktop\Examens arbete\Kod\Ny mapp\remix_-copy-of-miljöbeslut.se-portal\MIL20242313pdf_976561.pdf", "Öppna PDF")</f>
        <v/>
      </c>
    </row>
    <row r="1699">
      <c r="A1699" t="inlineStr">
        <is>
          <t>KRAV-AUTO-001698</t>
        </is>
      </c>
      <c r="B1699" t="inlineStr">
        <is>
          <t>ADMIN-INDEX-2026-02-27-00000000125C043F57453246863FE664CAFE6A3F0700950291EA24F0614FB6ACEDB12BF0E31D00000000010C0000950291EA24F0614FB6ACEDB12BF0E31D00002087AEF30000</t>
        </is>
      </c>
      <c r="C1699" t="inlineStr">
        <is>
          <t>cmm4yuo3801ancuqw1jpsw25j</t>
        </is>
      </c>
      <c r="D1699" t="inlineStr">
        <is>
          <t>http://localhost:8787/api/admin/requirements/documents/cmm4yuo3801ancuqw1jpsw25j/view</t>
        </is>
      </c>
      <c r="E1699">
        <f>HYPERLÄNK("http://localhost:8787/api/admin/requirements/documents/cmm4yuo3801ancuqw1jpsw25j/view";"Öppna PDF")</f>
        <v/>
      </c>
      <c r="F1699">
        <f>HYPERLINK("http://localhost:8787/api/admin/requirements/documents/cmm4yuo3801ancuqw1jpsw25j/view","Open PDF")</f>
        <v/>
      </c>
      <c r="G1699" t="inlineStr">
        <is>
          <t>cmm55w57p0004cuisfrtpqly8</t>
        </is>
      </c>
      <c r="H1699" t="inlineStr">
        <is>
          <t>Beslutsvillkor</t>
        </is>
      </c>
      <c r="I1699" t="inlineStr">
        <is>
          <t>Riskhantering</t>
        </is>
      </c>
      <c r="J1699" t="inlineStr">
        <is>
          <t>Riskkontroll</t>
        </is>
      </c>
      <c r="K1699" t="inlineStr">
        <is>
          <t>Verksameten ska genomföra lämpliga förebyggande åtgärder så som exempelvis icke genomsläpplig markduk, för att säkerställa att betongkrosset inte utör en risk för olägenhet för människors hälsa och miljön genom ex.</t>
        </is>
      </c>
      <c r="L1699" t="inlineStr">
        <is>
          <t>Verksameten ska genomföra lämpliga förebyggande åtgärder så som exempelvis icke genomsläpplig markduk, för att säkerställa att betongkrosset inte utör en risk för olägenhet för människors hälsa och miljön genom ex.</t>
        </is>
      </c>
      <c r="M1699" t="inlineStr">
        <is>
          <t>SKA</t>
        </is>
      </c>
      <c r="N1699" t="inlineStr"/>
      <c r="O1699" t="inlineStr"/>
      <c r="P1699" t="inlineStr"/>
      <c r="Q1699" t="inlineStr"/>
      <c r="R1699" t="inlineStr">
        <is>
          <t>Vid risk for incident</t>
        </is>
      </c>
      <c r="S1699" t="inlineStr"/>
      <c r="T1699" t="inlineStr">
        <is>
          <t>916630</t>
        </is>
      </c>
      <c r="U1699" t="inlineStr"/>
      <c r="V1699" t="inlineStr"/>
      <c r="W1699" t="inlineStr">
        <is>
          <t>Nej</t>
        </is>
      </c>
      <c r="X1699" t="inlineStr">
        <is>
          <t>Nej</t>
        </is>
      </c>
      <c r="Y1699" t="inlineStr">
        <is>
          <t>Ja</t>
        </is>
      </c>
      <c r="Z1699" t="inlineStr">
        <is>
          <t>Ja</t>
        </is>
      </c>
      <c r="AA1699" t="n">
        <v>8</v>
      </c>
      <c r="AB1699" t="inlineStr">
        <is>
          <t>Riskhantering</t>
        </is>
      </c>
      <c r="AC1699" t="inlineStr">
        <is>
          <t>Risk-PM</t>
        </is>
      </c>
      <c r="AD1699" t="inlineStr">
        <is>
          <t>Nej</t>
        </is>
      </c>
      <c r="AE1699" t="inlineStr">
        <is>
          <t>Nej</t>
        </is>
      </c>
      <c r="AF1699" t="inlineStr">
        <is>
          <t>Ej behandlad</t>
        </is>
      </c>
      <c r="AG1699" t="inlineStr">
        <is>
          <t>AUTO_GENERERAD. Verifiera citat mot kallfil.</t>
        </is>
      </c>
      <c r="AH1699" t="inlineStr">
        <is>
          <t>MEDIUM</t>
        </is>
      </c>
      <c r="AI1699" t="inlineStr">
        <is>
          <t>AUTO</t>
        </is>
      </c>
      <c r="AJ1699" t="inlineStr">
        <is>
          <t>Nej</t>
        </is>
      </c>
      <c r="AK1699" t="inlineStr"/>
      <c r="AL1699" t="inlineStr"/>
      <c r="AM1699" t="inlineStr"/>
      <c r="AN1699" t="inlineStr"/>
      <c r="AO1699" t="inlineStr">
        <is>
          <t>cmm4yuo3f01atcuqwn97e7vzm</t>
        </is>
      </c>
      <c r="AP1699" t="inlineStr">
        <is>
          <t>http://localhost:8787/api/admin/requirements/documents/cmm4yuo3f01atcuqwn97e7vzm/view</t>
        </is>
      </c>
      <c r="AQ1699">
        <f>HYPERLÄNK("http://localhost:8787/api/admin/requirements/documents/cmm4yuo3f01atcuqwn97e7vzm/view";"Öppna PDF")</f>
        <v/>
      </c>
      <c r="AR1699">
        <f>HYPERLINK("http://localhost:8787/api/admin/requirements/documents/cmm4yuo3f01atcuqwn97e7vzm/view","Open PDF")</f>
        <v/>
      </c>
      <c r="AS1699" t="inlineStr">
        <is>
          <t>cmm55w57p0004cuisfrtpqly8</t>
        </is>
      </c>
      <c r="AT1699" t="inlineStr">
        <is>
          <t>cmm4xvu980000cuh4vj0usz09</t>
        </is>
      </c>
      <c r="AU1699" t="inlineStr">
        <is>
          <t>nummer Webbadress Enköpings</t>
        </is>
      </c>
      <c r="AV1699" t="inlineStr">
        <is>
          <t>Kommun</t>
        </is>
      </c>
      <c r="AW1699" t="inlineStr">
        <is>
          <t>nummer Webbadress Enköpings kommun</t>
        </is>
      </c>
      <c r="AX1699" t="inlineStr">
        <is>
          <t>2026-02</t>
        </is>
      </c>
      <c r="AY1699" t="inlineStr">
        <is>
          <t>Beslut</t>
        </is>
      </c>
      <c r="AZ1699" t="inlineStr">
        <is>
          <t>2026-02-03</t>
        </is>
      </c>
      <c r="BA1699" t="inlineStr">
        <is>
          <t>MIL20242313pdf_976561.pdf</t>
        </is>
      </c>
      <c r="BB1699" t="inlineStr">
        <is>
          <t>Begäran om allmän handling i ärende  MIL.2026.363</t>
        </is>
      </c>
      <c r="BC1699" t="inlineStr">
        <is>
          <t>AUTO</t>
        </is>
      </c>
      <c r="BD1699" t="inlineStr"/>
      <c r="BE1699" t="inlineStr"/>
      <c r="BF1699" t="inlineStr">
        <is>
          <t>AUTO_GENERERAD. Bekrafta metadata mot kallfil.</t>
        </is>
      </c>
      <c r="BG1699">
        <f>HYPERLINK("C:\Users\jimmy\Desktop\Examens arbete\Kod\Ny mapp\remix_-copy-of-miljöbeslut.se-portal\MIL20242313pdf_976561.pdf", "Öppna PDF")</f>
        <v/>
      </c>
    </row>
    <row r="1700">
      <c r="A1700" t="inlineStr">
        <is>
          <t>KRAV-AUTO-001699</t>
        </is>
      </c>
      <c r="B1700" t="inlineStr">
        <is>
          <t>ADMIN-INDEX-2026-02-27-00000000125C043F57453246863FE664CAFE6A3F0700950291EA24F0614FB6ACEDB12BF0E31D00000000010C0000950291EA24F0614FB6ACEDB12BF0E31D00002087AEF30000</t>
        </is>
      </c>
      <c r="C1700" t="inlineStr">
        <is>
          <t>cmm4yuo3801ancuqw1jpsw25j</t>
        </is>
      </c>
      <c r="D1700" t="inlineStr">
        <is>
          <t>http://localhost:8787/api/admin/requirements/documents/cmm4yuo3801ancuqw1jpsw25j/view</t>
        </is>
      </c>
      <c r="E1700">
        <f>HYPERLÄNK("http://localhost:8787/api/admin/requirements/documents/cmm4yuo3801ancuqw1jpsw25j/view";"Öppna PDF")</f>
        <v/>
      </c>
      <c r="F1700">
        <f>HYPERLINK("http://localhost:8787/api/admin/requirements/documents/cmm4yuo3801ancuqw1jpsw25j/view","Open PDF")</f>
        <v/>
      </c>
      <c r="G1700" t="inlineStr">
        <is>
          <t>cmm55w57p0004cuisfrtpqly8</t>
        </is>
      </c>
      <c r="H1700" t="inlineStr">
        <is>
          <t>Beslutsvillkor</t>
        </is>
      </c>
      <c r="I1700" t="inlineStr">
        <is>
          <t>DriftEgenkontroll</t>
        </is>
      </c>
      <c r="J1700" t="inlineStr">
        <is>
          <t>Journalforing</t>
        </is>
      </c>
      <c r="K1700" t="inlineStr">
        <is>
          <t>Använda massor ska vara dem som provtagits samt medskitckats anmälan.</t>
        </is>
      </c>
      <c r="L1700" t="inlineStr">
        <is>
          <t>Använda massor ska vara dem som provtagits samt medskitckats anmälan.</t>
        </is>
      </c>
      <c r="M1700" t="inlineStr">
        <is>
          <t>SKA</t>
        </is>
      </c>
      <c r="N1700" t="inlineStr"/>
      <c r="O1700" t="inlineStr"/>
      <c r="P1700" t="inlineStr"/>
      <c r="Q1700" t="inlineStr"/>
      <c r="R1700" t="inlineStr">
        <is>
          <t>Lopande drift</t>
        </is>
      </c>
      <c r="S1700" t="inlineStr"/>
      <c r="T1700" t="inlineStr">
        <is>
          <t>916630</t>
        </is>
      </c>
      <c r="U1700" t="inlineStr"/>
      <c r="V1700" t="inlineStr"/>
      <c r="W1700" t="inlineStr">
        <is>
          <t>Nej</t>
        </is>
      </c>
      <c r="X1700" t="inlineStr">
        <is>
          <t>Nej</t>
        </is>
      </c>
      <c r="Y1700" t="inlineStr">
        <is>
          <t>Ja</t>
        </is>
      </c>
      <c r="Z1700" t="inlineStr">
        <is>
          <t>Nej</t>
        </is>
      </c>
      <c r="AA1700" t="n">
        <v>7</v>
      </c>
      <c r="AB1700" t="inlineStr">
        <is>
          <t>Egenkontrollrutiner</t>
        </is>
      </c>
      <c r="AC1700" t="inlineStr">
        <is>
          <t>Egenkontrollprogram</t>
        </is>
      </c>
      <c r="AD1700" t="inlineStr">
        <is>
          <t>Nej</t>
        </is>
      </c>
      <c r="AE1700" t="inlineStr">
        <is>
          <t>Nej</t>
        </is>
      </c>
      <c r="AF1700" t="inlineStr">
        <is>
          <t>Ej behandlad</t>
        </is>
      </c>
      <c r="AG1700" t="inlineStr">
        <is>
          <t>AUTO_GENERERAD. Verifiera citat mot kallfil.</t>
        </is>
      </c>
      <c r="AH1700" t="inlineStr">
        <is>
          <t>MEDIUM</t>
        </is>
      </c>
      <c r="AI1700" t="inlineStr">
        <is>
          <t>AUTO</t>
        </is>
      </c>
      <c r="AJ1700" t="inlineStr">
        <is>
          <t>Nej</t>
        </is>
      </c>
      <c r="AK1700" t="inlineStr"/>
      <c r="AL1700" t="inlineStr"/>
      <c r="AM1700" t="inlineStr"/>
      <c r="AN1700" t="inlineStr"/>
      <c r="AO1700" t="inlineStr">
        <is>
          <t>cmm4yuo3f01atcuqwn97e7vzm</t>
        </is>
      </c>
      <c r="AP1700" t="inlineStr">
        <is>
          <t>http://localhost:8787/api/admin/requirements/documents/cmm4yuo3f01atcuqwn97e7vzm/view</t>
        </is>
      </c>
      <c r="AQ1700">
        <f>HYPERLÄNK("http://localhost:8787/api/admin/requirements/documents/cmm4yuo3f01atcuqwn97e7vzm/view";"Öppna PDF")</f>
        <v/>
      </c>
      <c r="AR1700">
        <f>HYPERLINK("http://localhost:8787/api/admin/requirements/documents/cmm4yuo3f01atcuqwn97e7vzm/view","Open PDF")</f>
        <v/>
      </c>
      <c r="AS1700" t="inlineStr">
        <is>
          <t>cmm55w57p0004cuisfrtpqly8</t>
        </is>
      </c>
      <c r="AT1700" t="inlineStr">
        <is>
          <t>cmm4xvu980000cuh4vj0usz09</t>
        </is>
      </c>
      <c r="AU1700" t="inlineStr">
        <is>
          <t>nummer Webbadress Enköpings</t>
        </is>
      </c>
      <c r="AV1700" t="inlineStr">
        <is>
          <t>Kommun</t>
        </is>
      </c>
      <c r="AW1700" t="inlineStr">
        <is>
          <t>nummer Webbadress Enköpings kommun</t>
        </is>
      </c>
      <c r="AX1700" t="inlineStr">
        <is>
          <t>2026-02</t>
        </is>
      </c>
      <c r="AY1700" t="inlineStr">
        <is>
          <t>Beslut</t>
        </is>
      </c>
      <c r="AZ1700" t="inlineStr">
        <is>
          <t>2026-02-03</t>
        </is>
      </c>
      <c r="BA1700" t="inlineStr">
        <is>
          <t>MIL20242313pdf_976561.pdf</t>
        </is>
      </c>
      <c r="BB1700" t="inlineStr">
        <is>
          <t>Begäran om allmän handling i ärende  MIL.2026.363</t>
        </is>
      </c>
      <c r="BC1700" t="inlineStr">
        <is>
          <t>AUTO</t>
        </is>
      </c>
      <c r="BD1700" t="inlineStr"/>
      <c r="BE1700" t="inlineStr"/>
      <c r="BF1700" t="inlineStr">
        <is>
          <t>AUTO_GENERERAD. Bekrafta metadata mot kallfil.</t>
        </is>
      </c>
      <c r="BG1700">
        <f>HYPERLINK("C:\Users\jimmy\Desktop\Examens arbete\Kod\Ny mapp\remix_-copy-of-miljöbeslut.se-portal\MIL20242313pdf_976561.pdf", "Öppna PDF")</f>
        <v/>
      </c>
    </row>
    <row r="1701">
      <c r="A1701" t="inlineStr">
        <is>
          <t>KRAV-AUTO-001700</t>
        </is>
      </c>
      <c r="B1701" t="inlineStr">
        <is>
          <t>ADMIN-INDEX-2026-02-27-00000000125C043F57453246863FE664CAFE6A3F0700950291EA24F0614FB6ACEDB12BF0E31D00000000010C0000950291EA24F0614FB6ACEDB12BF0E31D00002087AEF30000</t>
        </is>
      </c>
      <c r="C1701" t="inlineStr">
        <is>
          <t>cmm4yuo3401akcuqw33yc4t72</t>
        </is>
      </c>
      <c r="D1701" t="inlineStr">
        <is>
          <t>http://localhost:8787/api/admin/requirements/documents/cmm4yuo3401akcuqw33yc4t72/view</t>
        </is>
      </c>
      <c r="E1701">
        <f>HYPERLÄNK("http://localhost:8787/api/admin/requirements/documents/cmm4yuo3401akcuqw33yc4t72/view";"Öppna PDF")</f>
        <v/>
      </c>
      <c r="F1701">
        <f>HYPERLINK("http://localhost:8787/api/admin/requirements/documents/cmm4yuo3401akcuqw33yc4t72/view","Open PDF")</f>
        <v/>
      </c>
      <c r="G1701" t="inlineStr">
        <is>
          <t>cmm55w57p0004cuisfrtpqly8</t>
        </is>
      </c>
      <c r="H1701" t="inlineStr">
        <is>
          <t>Beslutsvillkor</t>
        </is>
      </c>
      <c r="I1701" t="inlineStr">
        <is>
          <t>DriftEgenkontroll</t>
        </is>
      </c>
      <c r="J1701" t="inlineStr">
        <is>
          <t>Journalforing</t>
        </is>
      </c>
      <c r="K1701" t="inlineStr">
        <is>
          <t>Massor ska innan mottagande ha provtagits och jämföras mot Naturvårdsverkets Mindre än ringa risk (MRR).</t>
        </is>
      </c>
      <c r="L1701" t="inlineStr">
        <is>
          <t>Massor ska innan mottagande ha provtagits och jämföras mot Naturvårdsverkets Mindre än ringa risk (MRR).</t>
        </is>
      </c>
      <c r="M1701" t="inlineStr">
        <is>
          <t>SKA</t>
        </is>
      </c>
      <c r="N1701" t="inlineStr">
        <is>
          <t>Naturvardsverket</t>
        </is>
      </c>
      <c r="O1701" t="inlineStr"/>
      <c r="P1701" t="inlineStr"/>
      <c r="Q1701" t="inlineStr"/>
      <c r="R1701" t="inlineStr">
        <is>
          <t>Lopande drift</t>
        </is>
      </c>
      <c r="S1701" t="inlineStr"/>
      <c r="T1701" t="inlineStr">
        <is>
          <t>915403</t>
        </is>
      </c>
      <c r="U1701" t="inlineStr"/>
      <c r="V1701" t="inlineStr"/>
      <c r="W1701" t="inlineStr">
        <is>
          <t>Nej</t>
        </is>
      </c>
      <c r="X1701" t="inlineStr">
        <is>
          <t>Nej</t>
        </is>
      </c>
      <c r="Y1701" t="inlineStr">
        <is>
          <t>Ja</t>
        </is>
      </c>
      <c r="Z1701" t="inlineStr">
        <is>
          <t>Nej</t>
        </is>
      </c>
      <c r="AA1701" t="n">
        <v>7</v>
      </c>
      <c r="AB1701" t="inlineStr">
        <is>
          <t>Egenkontrollrutiner</t>
        </is>
      </c>
      <c r="AC1701" t="inlineStr">
        <is>
          <t>Egenkontrollprogram</t>
        </is>
      </c>
      <c r="AD1701" t="inlineStr">
        <is>
          <t>Nej</t>
        </is>
      </c>
      <c r="AE1701" t="inlineStr">
        <is>
          <t>Nej</t>
        </is>
      </c>
      <c r="AF1701" t="inlineStr">
        <is>
          <t>Ej behandlad</t>
        </is>
      </c>
      <c r="AG1701" t="inlineStr">
        <is>
          <t>AUTO_GENERERAD. Verifiera citat mot kallfil.</t>
        </is>
      </c>
      <c r="AH1701" t="inlineStr">
        <is>
          <t>MEDIUM</t>
        </is>
      </c>
      <c r="AI1701" t="inlineStr">
        <is>
          <t>AUTO</t>
        </is>
      </c>
      <c r="AJ1701" t="inlineStr">
        <is>
          <t>Nej</t>
        </is>
      </c>
      <c r="AK1701" t="inlineStr"/>
      <c r="AL1701" t="inlineStr"/>
      <c r="AM1701" t="inlineStr"/>
      <c r="AN1701" t="inlineStr"/>
      <c r="AO1701" t="inlineStr">
        <is>
          <t>cmm4yuo3f01atcuqwn97e7vzm</t>
        </is>
      </c>
      <c r="AP1701" t="inlineStr">
        <is>
          <t>http://localhost:8787/api/admin/requirements/documents/cmm4yuo3f01atcuqwn97e7vzm/view</t>
        </is>
      </c>
      <c r="AQ1701">
        <f>HYPERLÄNK("http://localhost:8787/api/admin/requirements/documents/cmm4yuo3f01atcuqwn97e7vzm/view";"Öppna PDF")</f>
        <v/>
      </c>
      <c r="AR1701">
        <f>HYPERLINK("http://localhost:8787/api/admin/requirements/documents/cmm4yuo3f01atcuqwn97e7vzm/view","Open PDF")</f>
        <v/>
      </c>
      <c r="AS1701" t="inlineStr">
        <is>
          <t>cmm55w57p0004cuisfrtpqly8</t>
        </is>
      </c>
      <c r="AT1701" t="inlineStr">
        <is>
          <t>cmm4xvu980000cuh4vj0usz09</t>
        </is>
      </c>
      <c r="AU1701" t="inlineStr">
        <is>
          <t>nummer Webbadress Enköpings</t>
        </is>
      </c>
      <c r="AV1701" t="inlineStr">
        <is>
          <t>Kommun</t>
        </is>
      </c>
      <c r="AW1701" t="inlineStr">
        <is>
          <t>nummer Webbadress Enköpings kommun</t>
        </is>
      </c>
      <c r="AX1701" t="inlineStr">
        <is>
          <t>2026-02</t>
        </is>
      </c>
      <c r="AY1701" t="inlineStr">
        <is>
          <t>Beslut</t>
        </is>
      </c>
      <c r="AZ1701" t="inlineStr">
        <is>
          <t>2026-02-03</t>
        </is>
      </c>
      <c r="BA1701" t="inlineStr">
        <is>
          <t>MIL20242313pdf_976561.pdf</t>
        </is>
      </c>
      <c r="BB1701" t="inlineStr">
        <is>
          <t>Begäran om allmän handling i ärende  MIL.2026.363</t>
        </is>
      </c>
      <c r="BC1701" t="inlineStr">
        <is>
          <t>AUTO</t>
        </is>
      </c>
      <c r="BD1701" t="inlineStr"/>
      <c r="BE1701" t="inlineStr"/>
      <c r="BF1701" t="inlineStr">
        <is>
          <t>AUTO_GENERERAD. Bekrafta metadata mot kallfil.</t>
        </is>
      </c>
      <c r="BG1701">
        <f>HYPERLINK("C:\Users\jimmy\Desktop\Examens arbete\Kod\Ny mapp\remix_-copy-of-miljöbeslut.se-portal\MIL20242313pdf_976561.pdf", "Öppna PDF")</f>
        <v/>
      </c>
    </row>
    <row r="1702">
      <c r="A1702" t="inlineStr">
        <is>
          <t>KRAV-AUTO-001701</t>
        </is>
      </c>
      <c r="B1702" t="inlineStr">
        <is>
          <t>ADMIN-INDEX-2026-02-27-00000000125C043F57453246863FE664CAFE6A3F0700950291EA24F0614FB6ACEDB12BF0E31D00000000010C0000950291EA24F0614FB6ACEDB12BF0E31D00002087AEF30000</t>
        </is>
      </c>
      <c r="C1702" t="inlineStr">
        <is>
          <t>cmm4yuo3401akcuqw33yc4t72</t>
        </is>
      </c>
      <c r="D1702" t="inlineStr">
        <is>
          <t>http://localhost:8787/api/admin/requirements/documents/cmm4yuo3401akcuqw33yc4t72/view</t>
        </is>
      </c>
      <c r="E1702">
        <f>HYPERLÄNK("http://localhost:8787/api/admin/requirements/documents/cmm4yuo3401akcuqw33yc4t72/view";"Öppna PDF")</f>
        <v/>
      </c>
      <c r="F1702">
        <f>HYPERLINK("http://localhost:8787/api/admin/requirements/documents/cmm4yuo3401akcuqw33yc4t72/view","Open PDF")</f>
        <v/>
      </c>
      <c r="G1702" t="inlineStr">
        <is>
          <t>cmm55w57p0004cuisfrtpqly8</t>
        </is>
      </c>
      <c r="H1702" t="inlineStr">
        <is>
          <t>Beslutsvillkor</t>
        </is>
      </c>
      <c r="I1702" t="inlineStr">
        <is>
          <t>Riskhantering</t>
        </is>
      </c>
      <c r="J1702" t="inlineStr">
        <is>
          <t>Riskkontroll</t>
        </is>
      </c>
      <c r="K1702" t="inlineStr">
        <is>
          <t>Verksamhetsutövaren ahr anmält användande av avfall för anläggningsändamål vilket innebär att Naturårdesverket mindre än ringa risk (MRR) ska tillämpas.</t>
        </is>
      </c>
      <c r="L1702" t="inlineStr">
        <is>
          <t>Verksamhetsutövaren ahr anmält användande av avfall för anläggningsändamål vilket innebär att Naturårdesverket mindre än ringa risk (MRR) ska tillämpas.</t>
        </is>
      </c>
      <c r="M1702" t="inlineStr">
        <is>
          <t>SKA</t>
        </is>
      </c>
      <c r="N1702" t="inlineStr"/>
      <c r="O1702" t="inlineStr"/>
      <c r="P1702" t="inlineStr"/>
      <c r="Q1702" t="inlineStr"/>
      <c r="R1702" t="inlineStr">
        <is>
          <t>Vid risk for incident</t>
        </is>
      </c>
      <c r="S1702" t="inlineStr"/>
      <c r="T1702" t="inlineStr">
        <is>
          <t>915403</t>
        </is>
      </c>
      <c r="U1702" t="inlineStr"/>
      <c r="V1702" t="inlineStr"/>
      <c r="W1702" t="inlineStr">
        <is>
          <t>Nej</t>
        </is>
      </c>
      <c r="X1702" t="inlineStr">
        <is>
          <t>Nej</t>
        </is>
      </c>
      <c r="Y1702" t="inlineStr">
        <is>
          <t>Ja</t>
        </is>
      </c>
      <c r="Z1702" t="inlineStr">
        <is>
          <t>Ja</t>
        </is>
      </c>
      <c r="AA1702" t="n">
        <v>8</v>
      </c>
      <c r="AB1702" t="inlineStr">
        <is>
          <t>Riskhantering</t>
        </is>
      </c>
      <c r="AC1702" t="inlineStr">
        <is>
          <t>Risk-PM</t>
        </is>
      </c>
      <c r="AD1702" t="inlineStr">
        <is>
          <t>Nej</t>
        </is>
      </c>
      <c r="AE1702" t="inlineStr">
        <is>
          <t>Nej</t>
        </is>
      </c>
      <c r="AF1702" t="inlineStr">
        <is>
          <t>Ej behandlad</t>
        </is>
      </c>
      <c r="AG1702" t="inlineStr">
        <is>
          <t>AUTO_GENERERAD. Verifiera citat mot kallfil.</t>
        </is>
      </c>
      <c r="AH1702" t="inlineStr">
        <is>
          <t>MEDIUM</t>
        </is>
      </c>
      <c r="AI1702" t="inlineStr">
        <is>
          <t>AUTO</t>
        </is>
      </c>
      <c r="AJ1702" t="inlineStr">
        <is>
          <t>Nej</t>
        </is>
      </c>
      <c r="AK1702" t="inlineStr"/>
      <c r="AL1702" t="inlineStr"/>
      <c r="AM1702" t="inlineStr"/>
      <c r="AN1702" t="inlineStr"/>
      <c r="AO1702" t="inlineStr">
        <is>
          <t>cmm4yuo3f01atcuqwn97e7vzm</t>
        </is>
      </c>
      <c r="AP1702" t="inlineStr">
        <is>
          <t>http://localhost:8787/api/admin/requirements/documents/cmm4yuo3f01atcuqwn97e7vzm/view</t>
        </is>
      </c>
      <c r="AQ1702">
        <f>HYPERLÄNK("http://localhost:8787/api/admin/requirements/documents/cmm4yuo3f01atcuqwn97e7vzm/view";"Öppna PDF")</f>
        <v/>
      </c>
      <c r="AR1702">
        <f>HYPERLINK("http://localhost:8787/api/admin/requirements/documents/cmm4yuo3f01atcuqwn97e7vzm/view","Open PDF")</f>
        <v/>
      </c>
      <c r="AS1702" t="inlineStr">
        <is>
          <t>cmm55w57p0004cuisfrtpqly8</t>
        </is>
      </c>
      <c r="AT1702" t="inlineStr">
        <is>
          <t>cmm4xvu980000cuh4vj0usz09</t>
        </is>
      </c>
      <c r="AU1702" t="inlineStr">
        <is>
          <t>nummer Webbadress Enköpings</t>
        </is>
      </c>
      <c r="AV1702" t="inlineStr">
        <is>
          <t>Kommun</t>
        </is>
      </c>
      <c r="AW1702" t="inlineStr">
        <is>
          <t>nummer Webbadress Enköpings kommun</t>
        </is>
      </c>
      <c r="AX1702" t="inlineStr">
        <is>
          <t>2026-02</t>
        </is>
      </c>
      <c r="AY1702" t="inlineStr">
        <is>
          <t>Beslut</t>
        </is>
      </c>
      <c r="AZ1702" t="inlineStr">
        <is>
          <t>2026-02-03</t>
        </is>
      </c>
      <c r="BA1702" t="inlineStr">
        <is>
          <t>MIL20242313pdf_976561.pdf</t>
        </is>
      </c>
      <c r="BB1702" t="inlineStr">
        <is>
          <t>Begäran om allmän handling i ärende  MIL.2026.363</t>
        </is>
      </c>
      <c r="BC1702" t="inlineStr">
        <is>
          <t>AUTO</t>
        </is>
      </c>
      <c r="BD1702" t="inlineStr"/>
      <c r="BE1702" t="inlineStr"/>
      <c r="BF1702" t="inlineStr">
        <is>
          <t>AUTO_GENERERAD. Bekrafta metadata mot kallfil.</t>
        </is>
      </c>
      <c r="BG1702">
        <f>HYPERLINK("C:\Users\jimmy\Desktop\Examens arbete\Kod\Ny mapp\remix_-copy-of-miljöbeslut.se-portal\MIL20242313pdf_976561.pdf", "Öppna PDF")</f>
        <v/>
      </c>
    </row>
    <row r="1703">
      <c r="A1703" t="inlineStr">
        <is>
          <t>KRAV-AUTO-001702</t>
        </is>
      </c>
      <c r="B1703" t="inlineStr">
        <is>
          <t>ADMIN-INDEX-2026-02-27-00000000125C043F57453246863FE664CAFE6A3F0700950291EA24F0614FB6ACEDB12BF0E31D00000000010C0000950291EA24F0614FB6ACEDB12BF0E31D00002087AEF30000</t>
        </is>
      </c>
      <c r="C1703" t="inlineStr">
        <is>
          <t>cmm4yuo3401akcuqw33yc4t72</t>
        </is>
      </c>
      <c r="D1703" t="inlineStr">
        <is>
          <t>http://localhost:8787/api/admin/requirements/documents/cmm4yuo3401akcuqw33yc4t72/view</t>
        </is>
      </c>
      <c r="E1703">
        <f>HYPERLÄNK("http://localhost:8787/api/admin/requirements/documents/cmm4yuo3401akcuqw33yc4t72/view";"Öppna PDF")</f>
        <v/>
      </c>
      <c r="F1703">
        <f>HYPERLINK("http://localhost:8787/api/admin/requirements/documents/cmm4yuo3401akcuqw33yc4t72/view","Open PDF")</f>
        <v/>
      </c>
      <c r="G1703" t="inlineStr">
        <is>
          <t>cmm55w57p0004cuisfrtpqly8</t>
        </is>
      </c>
      <c r="H1703" t="inlineStr">
        <is>
          <t>Beslutsvillkor</t>
        </is>
      </c>
      <c r="I1703" t="inlineStr">
        <is>
          <t>Ytkonstruktion</t>
        </is>
      </c>
      <c r="J1703" t="inlineStr">
        <is>
          <t>Tat yta</t>
        </is>
      </c>
      <c r="K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03" t="inlineStr">
        <is>
          <t>SKA</t>
        </is>
      </c>
      <c r="N1703" t="inlineStr"/>
      <c r="O1703" t="inlineStr"/>
      <c r="P1703" t="inlineStr"/>
      <c r="Q1703" t="inlineStr"/>
      <c r="R1703" t="inlineStr">
        <is>
          <t>Vid mellanlagring av avfall</t>
        </is>
      </c>
      <c r="S1703" t="inlineStr"/>
      <c r="T1703" t="inlineStr">
        <is>
          <t>915403</t>
        </is>
      </c>
      <c r="U1703" t="inlineStr"/>
      <c r="V1703" t="inlineStr"/>
      <c r="W1703" t="inlineStr">
        <is>
          <t>Ja</t>
        </is>
      </c>
      <c r="X1703" t="inlineStr">
        <is>
          <t>Nej</t>
        </is>
      </c>
      <c r="Y1703" t="inlineStr">
        <is>
          <t>Nej</t>
        </is>
      </c>
      <c r="Z1703" t="inlineStr">
        <is>
          <t>Nej</t>
        </is>
      </c>
      <c r="AA1703" t="n">
        <v>5</v>
      </c>
      <c r="AB1703" t="inlineStr">
        <is>
          <t>Teknisk beskrivning av platta</t>
        </is>
      </c>
      <c r="AC1703" t="inlineStr">
        <is>
          <t>Teknisk ritning platta</t>
        </is>
      </c>
      <c r="AD1703" t="inlineStr">
        <is>
          <t>Nej</t>
        </is>
      </c>
      <c r="AE1703" t="inlineStr">
        <is>
          <t>Nej</t>
        </is>
      </c>
      <c r="AF1703" t="inlineStr">
        <is>
          <t>Ej behandlad</t>
        </is>
      </c>
      <c r="AG1703" t="inlineStr">
        <is>
          <t>AUTO_GENERERAD. Verifiera citat mot kallfil.</t>
        </is>
      </c>
      <c r="AH1703" t="inlineStr">
        <is>
          <t>MEDIUM</t>
        </is>
      </c>
      <c r="AI1703" t="inlineStr">
        <is>
          <t>AUTO</t>
        </is>
      </c>
      <c r="AJ1703" t="inlineStr">
        <is>
          <t>Nej</t>
        </is>
      </c>
      <c r="AK1703" t="inlineStr"/>
      <c r="AL1703" t="inlineStr"/>
      <c r="AM1703" t="inlineStr"/>
      <c r="AN1703" t="inlineStr"/>
      <c r="AO1703" t="inlineStr">
        <is>
          <t>cmm4yuo3f01atcuqwn97e7vzm</t>
        </is>
      </c>
      <c r="AP1703" t="inlineStr">
        <is>
          <t>http://localhost:8787/api/admin/requirements/documents/cmm4yuo3f01atcuqwn97e7vzm/view</t>
        </is>
      </c>
      <c r="AQ1703">
        <f>HYPERLÄNK("http://localhost:8787/api/admin/requirements/documents/cmm4yuo3f01atcuqwn97e7vzm/view";"Öppna PDF")</f>
        <v/>
      </c>
      <c r="AR1703">
        <f>HYPERLINK("http://localhost:8787/api/admin/requirements/documents/cmm4yuo3f01atcuqwn97e7vzm/view","Open PDF")</f>
        <v/>
      </c>
      <c r="AS1703" t="inlineStr">
        <is>
          <t>cmm55w57p0004cuisfrtpqly8</t>
        </is>
      </c>
      <c r="AT1703" t="inlineStr">
        <is>
          <t>cmm4xvu980000cuh4vj0usz09</t>
        </is>
      </c>
      <c r="AU1703" t="inlineStr">
        <is>
          <t>nummer Webbadress Enköpings</t>
        </is>
      </c>
      <c r="AV1703" t="inlineStr">
        <is>
          <t>Kommun</t>
        </is>
      </c>
      <c r="AW1703" t="inlineStr">
        <is>
          <t>nummer Webbadress Enköpings kommun</t>
        </is>
      </c>
      <c r="AX1703" t="inlineStr">
        <is>
          <t>2026-02</t>
        </is>
      </c>
      <c r="AY1703" t="inlineStr">
        <is>
          <t>Beslut</t>
        </is>
      </c>
      <c r="AZ1703" t="inlineStr">
        <is>
          <t>2026-02-03</t>
        </is>
      </c>
      <c r="BA1703" t="inlineStr">
        <is>
          <t>MIL20242313pdf_976561.pdf</t>
        </is>
      </c>
      <c r="BB1703" t="inlineStr">
        <is>
          <t>Begäran om allmän handling i ärende  MIL.2026.363</t>
        </is>
      </c>
      <c r="BC1703" t="inlineStr">
        <is>
          <t>AUTO</t>
        </is>
      </c>
      <c r="BD1703" t="inlineStr"/>
      <c r="BE1703" t="inlineStr"/>
      <c r="BF1703" t="inlineStr">
        <is>
          <t>AUTO_GENERERAD. Bekrafta metadata mot kallfil.</t>
        </is>
      </c>
      <c r="BG1703">
        <f>HYPERLINK("C:\Users\jimmy\Desktop\Examens arbete\Kod\Ny mapp\remix_-copy-of-miljöbeslut.se-portal\MIL20242313pdf_976561.pdf", "Öppna PDF")</f>
        <v/>
      </c>
    </row>
    <row r="1704">
      <c r="A1704" t="inlineStr">
        <is>
          <t>KRAV-AUTO-001703</t>
        </is>
      </c>
      <c r="B1704" t="inlineStr">
        <is>
          <t>ADMIN-INDEX-2026-02-27-00000000125C043F57453246863FE664CAFE6A3F0700950291EA24F0614FB6ACEDB12BF0E31D00000000010C0000950291EA24F0614FB6ACEDB12BF0E31D00002087AEF30000</t>
        </is>
      </c>
      <c r="C1704" t="inlineStr">
        <is>
          <t>cmm4yuo2z01ahcuqwg8rl0h1f</t>
        </is>
      </c>
      <c r="D1704" t="inlineStr">
        <is>
          <t>http://localhost:8787/api/admin/requirements/documents/cmm4yuo2z01ahcuqwg8rl0h1f/view</t>
        </is>
      </c>
      <c r="E1704">
        <f>HYPERLÄNK("http://localhost:8787/api/admin/requirements/documents/cmm4yuo2z01ahcuqwg8rl0h1f/view";"Öppna PDF")</f>
        <v/>
      </c>
      <c r="F1704">
        <f>HYPERLINK("http://localhost:8787/api/admin/requirements/documents/cmm4yuo2z01ahcuqwg8rl0h1f/view","Open PDF")</f>
        <v/>
      </c>
      <c r="G1704" t="inlineStr">
        <is>
          <t>cmm55w57p0004cuisfrtpqly8</t>
        </is>
      </c>
      <c r="H1704" t="inlineStr">
        <is>
          <t>Beslutsvillkor</t>
        </is>
      </c>
      <c r="I1704" t="inlineStr">
        <is>
          <t>LagringsvolymTid</t>
        </is>
      </c>
      <c r="J1704" t="inlineStr">
        <is>
          <t>Maxmangd</t>
        </is>
      </c>
      <c r="K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04" t="inlineStr">
        <is>
          <t>SKA</t>
        </is>
      </c>
      <c r="N1704" t="inlineStr"/>
      <c r="O1704" t="inlineStr"/>
      <c r="P1704" t="inlineStr"/>
      <c r="Q1704" t="inlineStr"/>
      <c r="R1704" t="inlineStr">
        <is>
          <t>Alltid</t>
        </is>
      </c>
      <c r="S1704" t="inlineStr"/>
      <c r="T1704" t="inlineStr">
        <is>
          <t>62 50 00</t>
        </is>
      </c>
      <c r="U1704" t="inlineStr"/>
      <c r="V1704" t="inlineStr"/>
      <c r="W1704" t="inlineStr">
        <is>
          <t>Nej</t>
        </is>
      </c>
      <c r="X1704" t="inlineStr">
        <is>
          <t>Nej</t>
        </is>
      </c>
      <c r="Y1704" t="inlineStr">
        <is>
          <t>Nej</t>
        </is>
      </c>
      <c r="Z1704" t="inlineStr">
        <is>
          <t>Nej</t>
        </is>
      </c>
      <c r="AA1704" t="n">
        <v>4</v>
      </c>
      <c r="AB1704" t="inlineStr">
        <is>
          <t>Avfallsmangder och lagringstid</t>
        </is>
      </c>
      <c r="AC1704" t="inlineStr">
        <is>
          <t>Avfallsforteckning</t>
        </is>
      </c>
      <c r="AD1704" t="inlineStr">
        <is>
          <t>Nej</t>
        </is>
      </c>
      <c r="AE1704" t="inlineStr">
        <is>
          <t>Nej</t>
        </is>
      </c>
      <c r="AF1704" t="inlineStr">
        <is>
          <t>Ej behandlad</t>
        </is>
      </c>
      <c r="AG1704" t="inlineStr">
        <is>
          <t>AUTO_GENERERAD. Verifiera citat mot kallfil.</t>
        </is>
      </c>
      <c r="AH1704" t="inlineStr">
        <is>
          <t>MEDIUM</t>
        </is>
      </c>
      <c r="AI1704" t="inlineStr">
        <is>
          <t>AUTO</t>
        </is>
      </c>
      <c r="AJ1704" t="inlineStr">
        <is>
          <t>Nej</t>
        </is>
      </c>
      <c r="AK1704" t="inlineStr"/>
      <c r="AL1704" t="inlineStr"/>
      <c r="AM1704" t="inlineStr"/>
      <c r="AN1704" t="inlineStr"/>
      <c r="AO1704" t="inlineStr">
        <is>
          <t>cmm4yuo3f01atcuqwn97e7vzm</t>
        </is>
      </c>
      <c r="AP1704" t="inlineStr">
        <is>
          <t>http://localhost:8787/api/admin/requirements/documents/cmm4yuo3f01atcuqwn97e7vzm/view</t>
        </is>
      </c>
      <c r="AQ1704">
        <f>HYPERLÄNK("http://localhost:8787/api/admin/requirements/documents/cmm4yuo3f01atcuqwn97e7vzm/view";"Öppna PDF")</f>
        <v/>
      </c>
      <c r="AR1704">
        <f>HYPERLINK("http://localhost:8787/api/admin/requirements/documents/cmm4yuo3f01atcuqwn97e7vzm/view","Open PDF")</f>
        <v/>
      </c>
      <c r="AS1704" t="inlineStr">
        <is>
          <t>cmm55w57p0004cuisfrtpqly8</t>
        </is>
      </c>
      <c r="AT1704" t="inlineStr">
        <is>
          <t>cmm4xvu980000cuh4vj0usz09</t>
        </is>
      </c>
      <c r="AU1704" t="inlineStr">
        <is>
          <t>nummer Webbadress Enköpings</t>
        </is>
      </c>
      <c r="AV1704" t="inlineStr">
        <is>
          <t>Kommun</t>
        </is>
      </c>
      <c r="AW1704" t="inlineStr">
        <is>
          <t>nummer Webbadress Enköpings kommun</t>
        </is>
      </c>
      <c r="AX1704" t="inlineStr">
        <is>
          <t>2026-02</t>
        </is>
      </c>
      <c r="AY1704" t="inlineStr">
        <is>
          <t>Beslut</t>
        </is>
      </c>
      <c r="AZ1704" t="inlineStr">
        <is>
          <t>2026-02-03</t>
        </is>
      </c>
      <c r="BA1704" t="inlineStr">
        <is>
          <t>MIL20242313pdf_976561.pdf</t>
        </is>
      </c>
      <c r="BB1704" t="inlineStr">
        <is>
          <t>Begäran om allmän handling i ärende  MIL.2026.363</t>
        </is>
      </c>
      <c r="BC1704" t="inlineStr">
        <is>
          <t>AUTO</t>
        </is>
      </c>
      <c r="BD1704" t="inlineStr"/>
      <c r="BE1704" t="inlineStr"/>
      <c r="BF1704" t="inlineStr">
        <is>
          <t>AUTO_GENERERAD. Bekrafta metadata mot kallfil.</t>
        </is>
      </c>
      <c r="BG1704">
        <f>HYPERLINK("C:\Users\jimmy\Desktop\Examens arbete\Kod\Ny mapp\remix_-copy-of-miljöbeslut.se-portal\MIL20242313pdf_976561.pdf", "Öppna PDF")</f>
        <v/>
      </c>
    </row>
    <row r="1705">
      <c r="A1705" t="inlineStr">
        <is>
          <t>KRAV-AUTO-001704</t>
        </is>
      </c>
      <c r="B1705" t="inlineStr">
        <is>
          <t>ADMIN-INDEX-2026-02-27-00000000125C043F57453246863FE664CAFE6A3F0700950291EA24F0614FB6ACEDB12BF0E31D00000000010C0000950291EA24F0614FB6ACEDB12BF0E31D00002087AEF30000</t>
        </is>
      </c>
      <c r="C1705" t="inlineStr">
        <is>
          <t>cmm4yuo2z01ahcuqwg8rl0h1f</t>
        </is>
      </c>
      <c r="D1705" t="inlineStr">
        <is>
          <t>http://localhost:8787/api/admin/requirements/documents/cmm4yuo2z01ahcuqwg8rl0h1f/view</t>
        </is>
      </c>
      <c r="E1705">
        <f>HYPERLÄNK("http://localhost:8787/api/admin/requirements/documents/cmm4yuo2z01ahcuqwg8rl0h1f/view";"Öppna PDF")</f>
        <v/>
      </c>
      <c r="F1705">
        <f>HYPERLINK("http://localhost:8787/api/admin/requirements/documents/cmm4yuo2z01ahcuqwg8rl0h1f/view","Open PDF")</f>
        <v/>
      </c>
      <c r="G1705" t="inlineStr">
        <is>
          <t>cmm55w57p0004cuisfrtpqly8</t>
        </is>
      </c>
      <c r="H1705" t="inlineStr">
        <is>
          <t>Beslutsvillkor</t>
        </is>
      </c>
      <c r="I1705" t="inlineStr">
        <is>
          <t>MiljopaverkanForsiktighet</t>
        </is>
      </c>
      <c r="J1705" t="inlineStr">
        <is>
          <t>Skyddsatgarder</t>
        </is>
      </c>
      <c r="K1705" t="inlineStr">
        <is>
          <t>Vad ska avfallet användas till?</t>
        </is>
      </c>
      <c r="L1705" t="inlineStr">
        <is>
          <t>Vad ska avfallet användas till?</t>
        </is>
      </c>
      <c r="M1705" t="inlineStr">
        <is>
          <t>SKA</t>
        </is>
      </c>
      <c r="N1705" t="inlineStr"/>
      <c r="O1705" t="inlineStr"/>
      <c r="P1705" t="inlineStr"/>
      <c r="Q1705" t="inlineStr"/>
      <c r="R1705" t="inlineStr">
        <is>
          <t>Alltid</t>
        </is>
      </c>
      <c r="S1705" t="inlineStr"/>
      <c r="T1705" t="inlineStr">
        <is>
          <t>950170</t>
        </is>
      </c>
      <c r="U1705" t="inlineStr"/>
      <c r="V1705" t="inlineStr"/>
      <c r="W1705" t="inlineStr">
        <is>
          <t>Nej</t>
        </is>
      </c>
      <c r="X1705" t="inlineStr">
        <is>
          <t>Nej</t>
        </is>
      </c>
      <c r="Y1705" t="inlineStr">
        <is>
          <t>Nej</t>
        </is>
      </c>
      <c r="Z1705" t="inlineStr">
        <is>
          <t>Nej</t>
        </is>
      </c>
      <c r="AA1705" t="n">
        <v>10</v>
      </c>
      <c r="AB1705" t="inlineStr">
        <is>
          <t>Miljopaverkan och forsiktighetsmatt</t>
        </is>
      </c>
      <c r="AC1705" t="inlineStr">
        <is>
          <t>Miljo-PM</t>
        </is>
      </c>
      <c r="AD1705" t="inlineStr">
        <is>
          <t>Nej</t>
        </is>
      </c>
      <c r="AE1705" t="inlineStr">
        <is>
          <t>Nej</t>
        </is>
      </c>
      <c r="AF1705" t="inlineStr">
        <is>
          <t>Ej behandlad</t>
        </is>
      </c>
      <c r="AG1705" t="inlineStr">
        <is>
          <t>AUTO_GENERERAD. Verifiera citat mot kallfil.</t>
        </is>
      </c>
      <c r="AH1705" t="inlineStr">
        <is>
          <t>LOW</t>
        </is>
      </c>
      <c r="AI1705" t="inlineStr">
        <is>
          <t>AUTO</t>
        </is>
      </c>
      <c r="AJ1705" t="inlineStr">
        <is>
          <t>Nej</t>
        </is>
      </c>
      <c r="AK1705" t="inlineStr"/>
      <c r="AL1705" t="inlineStr"/>
      <c r="AM1705" t="inlineStr"/>
      <c r="AN1705" t="inlineStr"/>
      <c r="AO1705" t="inlineStr">
        <is>
          <t>cmm4yuo3f01atcuqwn97e7vzm</t>
        </is>
      </c>
      <c r="AP1705" t="inlineStr">
        <is>
          <t>http://localhost:8787/api/admin/requirements/documents/cmm4yuo3f01atcuqwn97e7vzm/view</t>
        </is>
      </c>
      <c r="AQ1705">
        <f>HYPERLÄNK("http://localhost:8787/api/admin/requirements/documents/cmm4yuo3f01atcuqwn97e7vzm/view";"Öppna PDF")</f>
        <v/>
      </c>
      <c r="AR1705">
        <f>HYPERLINK("http://localhost:8787/api/admin/requirements/documents/cmm4yuo3f01atcuqwn97e7vzm/view","Open PDF")</f>
        <v/>
      </c>
      <c r="AS1705" t="inlineStr">
        <is>
          <t>cmm55w57p0004cuisfrtpqly8</t>
        </is>
      </c>
      <c r="AT1705" t="inlineStr">
        <is>
          <t>cmm4xvu980000cuh4vj0usz09</t>
        </is>
      </c>
      <c r="AU1705" t="inlineStr">
        <is>
          <t>nummer Webbadress Enköpings</t>
        </is>
      </c>
      <c r="AV1705" t="inlineStr">
        <is>
          <t>Kommun</t>
        </is>
      </c>
      <c r="AW1705" t="inlineStr">
        <is>
          <t>nummer Webbadress Enköpings kommun</t>
        </is>
      </c>
      <c r="AX1705" t="inlineStr">
        <is>
          <t>2026-02</t>
        </is>
      </c>
      <c r="AY1705" t="inlineStr">
        <is>
          <t>Beslut</t>
        </is>
      </c>
      <c r="AZ1705" t="inlineStr">
        <is>
          <t>2026-02-03</t>
        </is>
      </c>
      <c r="BA1705" t="inlineStr">
        <is>
          <t>MIL20242313pdf_976561.pdf</t>
        </is>
      </c>
      <c r="BB1705" t="inlineStr">
        <is>
          <t>Begäran om allmän handling i ärende  MIL.2026.363</t>
        </is>
      </c>
      <c r="BC1705" t="inlineStr">
        <is>
          <t>AUTO</t>
        </is>
      </c>
      <c r="BD1705" t="inlineStr"/>
      <c r="BE1705" t="inlineStr"/>
      <c r="BF1705" t="inlineStr">
        <is>
          <t>AUTO_GENERERAD. Bekrafta metadata mot kallfil.</t>
        </is>
      </c>
      <c r="BG1705">
        <f>HYPERLINK("C:\Users\jimmy\Desktop\Examens arbete\Kod\Ny mapp\remix_-copy-of-miljöbeslut.se-portal\MIL20242313pdf_976561.pdf", "Öppna PDF")</f>
        <v/>
      </c>
    </row>
    <row r="1706">
      <c r="A1706" t="inlineStr">
        <is>
          <t>KRAV-AUTO-001705</t>
        </is>
      </c>
      <c r="B1706" t="inlineStr">
        <is>
          <t>ADMIN-INDEX-2026-02-27-00000000125C043F57453246863FE664CAFE6A3F0700950291EA24F0614FB6ACEDB12BF0E31D00000000010C0000950291EA24F0614FB6ACEDB12BF0E31D00002087AEF30000</t>
        </is>
      </c>
      <c r="C1706" t="inlineStr">
        <is>
          <t>cmm4yuo2z01ahcuqwg8rl0h1f</t>
        </is>
      </c>
      <c r="D1706" t="inlineStr">
        <is>
          <t>http://localhost:8787/api/admin/requirements/documents/cmm4yuo2z01ahcuqwg8rl0h1f/view</t>
        </is>
      </c>
      <c r="E1706">
        <f>HYPERLÄNK("http://localhost:8787/api/admin/requirements/documents/cmm4yuo2z01ahcuqwg8rl0h1f/view";"Öppna PDF")</f>
        <v/>
      </c>
      <c r="F1706">
        <f>HYPERLINK("http://localhost:8787/api/admin/requirements/documents/cmm4yuo2z01ahcuqwg8rl0h1f/view","Open PDF")</f>
        <v/>
      </c>
      <c r="G1706" t="inlineStr">
        <is>
          <t>cmm55w57p0004cuisfrtpqly8</t>
        </is>
      </c>
      <c r="H1706" t="inlineStr">
        <is>
          <t>Beslutsvillkor</t>
        </is>
      </c>
      <c r="I1706" t="inlineStr">
        <is>
          <t>TransportLogistik</t>
        </is>
      </c>
      <c r="J1706" t="inlineStr">
        <is>
          <t>Transportvagar</t>
        </is>
      </c>
      <c r="K1706" t="inlineStr">
        <is>
          <t>Vem ska transportera avfallet och hur ska transporten gå till?</t>
        </is>
      </c>
      <c r="L1706" t="inlineStr">
        <is>
          <t>Vem ska transportera avfallet och hur ska transporten gå till?</t>
        </is>
      </c>
      <c r="M1706" t="inlineStr">
        <is>
          <t>SKA</t>
        </is>
      </c>
      <c r="N1706" t="inlineStr"/>
      <c r="O1706" t="inlineStr"/>
      <c r="P1706" t="inlineStr"/>
      <c r="Q1706" t="inlineStr"/>
      <c r="R1706" t="inlineStr">
        <is>
          <t>Vid transporter</t>
        </is>
      </c>
      <c r="S1706" t="inlineStr"/>
      <c r="T1706" t="inlineStr">
        <is>
          <t>950170</t>
        </is>
      </c>
      <c r="U1706" t="inlineStr"/>
      <c r="V1706" t="inlineStr"/>
      <c r="W1706" t="inlineStr">
        <is>
          <t>Nej</t>
        </is>
      </c>
      <c r="X1706" t="inlineStr">
        <is>
          <t>Nej</t>
        </is>
      </c>
      <c r="Y1706" t="inlineStr">
        <is>
          <t>Nej</t>
        </is>
      </c>
      <c r="Z1706" t="inlineStr">
        <is>
          <t>Ja</t>
        </is>
      </c>
      <c r="AA1706" t="n">
        <v>9</v>
      </c>
      <c r="AB1706" t="inlineStr">
        <is>
          <t>Transporter och logistik</t>
        </is>
      </c>
      <c r="AC1706" t="inlineStr">
        <is>
          <t>Trafikplan</t>
        </is>
      </c>
      <c r="AD1706" t="inlineStr">
        <is>
          <t>Nej</t>
        </is>
      </c>
      <c r="AE1706" t="inlineStr">
        <is>
          <t>Nej</t>
        </is>
      </c>
      <c r="AF1706" t="inlineStr">
        <is>
          <t>Ej behandlad</t>
        </is>
      </c>
      <c r="AG1706" t="inlineStr">
        <is>
          <t>AUTO_GENERERAD. Verifiera citat mot kallfil.</t>
        </is>
      </c>
      <c r="AH1706" t="inlineStr">
        <is>
          <t>MEDIUM</t>
        </is>
      </c>
      <c r="AI1706" t="inlineStr">
        <is>
          <t>AUTO</t>
        </is>
      </c>
      <c r="AJ1706" t="inlineStr">
        <is>
          <t>Nej</t>
        </is>
      </c>
      <c r="AK1706" t="inlineStr"/>
      <c r="AL1706" t="inlineStr"/>
      <c r="AM1706" t="inlineStr"/>
      <c r="AN1706" t="inlineStr"/>
      <c r="AO1706" t="inlineStr">
        <is>
          <t>cmm4yuo3f01atcuqwn97e7vzm</t>
        </is>
      </c>
      <c r="AP1706" t="inlineStr">
        <is>
          <t>http://localhost:8787/api/admin/requirements/documents/cmm4yuo3f01atcuqwn97e7vzm/view</t>
        </is>
      </c>
      <c r="AQ1706">
        <f>HYPERLÄNK("http://localhost:8787/api/admin/requirements/documents/cmm4yuo3f01atcuqwn97e7vzm/view";"Öppna PDF")</f>
        <v/>
      </c>
      <c r="AR1706">
        <f>HYPERLINK("http://localhost:8787/api/admin/requirements/documents/cmm4yuo3f01atcuqwn97e7vzm/view","Open PDF")</f>
        <v/>
      </c>
      <c r="AS1706" t="inlineStr">
        <is>
          <t>cmm55w57p0004cuisfrtpqly8</t>
        </is>
      </c>
      <c r="AT1706" t="inlineStr">
        <is>
          <t>cmm4xvu980000cuh4vj0usz09</t>
        </is>
      </c>
      <c r="AU1706" t="inlineStr">
        <is>
          <t>nummer Webbadress Enköpings</t>
        </is>
      </c>
      <c r="AV1706" t="inlineStr">
        <is>
          <t>Kommun</t>
        </is>
      </c>
      <c r="AW1706" t="inlineStr">
        <is>
          <t>nummer Webbadress Enköpings kommun</t>
        </is>
      </c>
      <c r="AX1706" t="inlineStr">
        <is>
          <t>2026-02</t>
        </is>
      </c>
      <c r="AY1706" t="inlineStr">
        <is>
          <t>Beslut</t>
        </is>
      </c>
      <c r="AZ1706" t="inlineStr">
        <is>
          <t>2026-02-03</t>
        </is>
      </c>
      <c r="BA1706" t="inlineStr">
        <is>
          <t>MIL20242313pdf_976561.pdf</t>
        </is>
      </c>
      <c r="BB1706" t="inlineStr">
        <is>
          <t>Begäran om allmän handling i ärende  MIL.2026.363</t>
        </is>
      </c>
      <c r="BC1706" t="inlineStr">
        <is>
          <t>AUTO</t>
        </is>
      </c>
      <c r="BD1706" t="inlineStr"/>
      <c r="BE1706" t="inlineStr"/>
      <c r="BF1706" t="inlineStr">
        <is>
          <t>AUTO_GENERERAD. Bekrafta metadata mot kallfil.</t>
        </is>
      </c>
      <c r="BG1706">
        <f>HYPERLINK("C:\Users\jimmy\Desktop\Examens arbete\Kod\Ny mapp\remix_-copy-of-miljöbeslut.se-portal\MIL20242313pdf_976561.pdf", "Öppna PDF")</f>
        <v/>
      </c>
    </row>
    <row r="1707">
      <c r="A1707" t="inlineStr">
        <is>
          <t>KRAV-AUTO-001706</t>
        </is>
      </c>
      <c r="B1707" t="inlineStr">
        <is>
          <t>ADMIN-INDEX-2026-02-27-00000000125C043F57453246863FE664CAFE6A3F0700950291EA24F0614FB6ACEDB12BF0E31D00000000010C0000950291EA24F0614FB6ACEDB12BF0E31D00002087AEF40000</t>
        </is>
      </c>
      <c r="C1707" t="inlineStr">
        <is>
          <t>cmm4yuo2v01aecuqwrs33d0lp</t>
        </is>
      </c>
      <c r="D1707" t="inlineStr">
        <is>
          <t>http://localhost:8787/api/admin/requirements/documents/cmm4yuo2v01aecuqwrs33d0lp/view</t>
        </is>
      </c>
      <c r="E1707">
        <f>HYPERLÄNK("http://localhost:8787/api/admin/requirements/documents/cmm4yuo2v01aecuqwrs33d0lp/view";"Öppna PDF")</f>
        <v/>
      </c>
      <c r="F1707">
        <f>HYPERLINK("http://localhost:8787/api/admin/requirements/documents/cmm4yuo2v01aecuqwrs33d0lp/view","Open PDF")</f>
        <v/>
      </c>
      <c r="G1707" t="inlineStr">
        <is>
          <t>cmm55w57p0004cuisfrtpqly8</t>
        </is>
      </c>
      <c r="H1707" t="inlineStr">
        <is>
          <t>Beslutsvillkor</t>
        </is>
      </c>
      <c r="I1707" t="inlineStr">
        <is>
          <t>Ytkonstruktion</t>
        </is>
      </c>
      <c r="J1707" t="inlineStr">
        <is>
          <t>Tat yta</t>
        </is>
      </c>
      <c r="K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707" t="inlineStr">
        <is>
          <t>BOR</t>
        </is>
      </c>
      <c r="N1707" t="inlineStr"/>
      <c r="O1707" t="inlineStr"/>
      <c r="P1707" t="inlineStr"/>
      <c r="Q1707" t="inlineStr"/>
      <c r="R1707" t="inlineStr">
        <is>
          <t>Vid mellanlagring av avfall</t>
        </is>
      </c>
      <c r="S1707" t="inlineStr"/>
      <c r="T1707" t="inlineStr">
        <is>
          <t>924702</t>
        </is>
      </c>
      <c r="U1707" t="inlineStr"/>
      <c r="V1707" t="inlineStr"/>
      <c r="W1707" t="inlineStr">
        <is>
          <t>Ja</t>
        </is>
      </c>
      <c r="X1707" t="inlineStr">
        <is>
          <t>Nej</t>
        </is>
      </c>
      <c r="Y1707" t="inlineStr">
        <is>
          <t>Nej</t>
        </is>
      </c>
      <c r="Z1707" t="inlineStr">
        <is>
          <t>Nej</t>
        </is>
      </c>
      <c r="AA1707" t="n">
        <v>5</v>
      </c>
      <c r="AB1707" t="inlineStr">
        <is>
          <t>Teknisk beskrivning av platta</t>
        </is>
      </c>
      <c r="AC1707" t="inlineStr">
        <is>
          <t>Teknisk ritning platta</t>
        </is>
      </c>
      <c r="AD1707" t="inlineStr">
        <is>
          <t>Nej</t>
        </is>
      </c>
      <c r="AE1707" t="inlineStr">
        <is>
          <t>Nej</t>
        </is>
      </c>
      <c r="AF1707" t="inlineStr">
        <is>
          <t>Ej behandlad</t>
        </is>
      </c>
      <c r="AG1707" t="inlineStr">
        <is>
          <t>AUTO_GENERERAD. Verifiera citat mot kallfil.</t>
        </is>
      </c>
      <c r="AH1707" t="inlineStr">
        <is>
          <t>MEDIUM</t>
        </is>
      </c>
      <c r="AI1707" t="inlineStr">
        <is>
          <t>AUTO</t>
        </is>
      </c>
      <c r="AJ1707" t="inlineStr">
        <is>
          <t>Nej</t>
        </is>
      </c>
      <c r="AK1707" t="inlineStr"/>
      <c r="AL1707" t="inlineStr"/>
      <c r="AM1707" t="inlineStr"/>
      <c r="AN1707" t="inlineStr"/>
      <c r="AO1707" t="inlineStr">
        <is>
          <t>cmm4yuo2v01aecuqwrs33d0lp</t>
        </is>
      </c>
      <c r="AP1707" t="inlineStr">
        <is>
          <t>http://localhost:8787/api/admin/requirements/documents/cmm4yuo2v01aecuqwrs33d0lp/view</t>
        </is>
      </c>
      <c r="AQ1707">
        <f>HYPERLÄNK("http://localhost:8787/api/admin/requirements/documents/cmm4yuo2v01aecuqwrs33d0lp/view";"Öppna PDF")</f>
        <v/>
      </c>
      <c r="AR1707">
        <f>HYPERLINK("http://localhost:8787/api/admin/requirements/documents/cmm4yuo2v01aecuqwrs33d0lp/view","Open PDF")</f>
        <v/>
      </c>
      <c r="AS1707" t="inlineStr">
        <is>
          <t>cmm55w57p0004cuisfrtpqly8</t>
        </is>
      </c>
      <c r="AT1707" t="inlineStr">
        <is>
          <t>cmm4xvu980000cuh4vj0usz09</t>
        </is>
      </c>
      <c r="AU1707" t="inlineStr">
        <is>
          <t>nummer Webbadress Enköpings</t>
        </is>
      </c>
      <c r="AV1707" t="inlineStr">
        <is>
          <t>Kommun</t>
        </is>
      </c>
      <c r="AW1707" t="inlineStr">
        <is>
          <t>nummer Webbadress Enköpings kommun</t>
        </is>
      </c>
      <c r="AX1707" t="inlineStr">
        <is>
          <t>2026-02</t>
        </is>
      </c>
      <c r="AY1707" t="inlineStr">
        <is>
          <t>Beslut</t>
        </is>
      </c>
      <c r="AZ1707" t="inlineStr">
        <is>
          <t>2026-02-03</t>
        </is>
      </c>
      <c r="BA1707" t="inlineStr">
        <is>
          <t>MIL20242313pdf_976561.pdf</t>
        </is>
      </c>
      <c r="BB1707" t="inlineStr">
        <is>
          <t>Begäran om allmän handling i ärende  MIL.2026.363</t>
        </is>
      </c>
      <c r="BC1707" t="inlineStr">
        <is>
          <t>AUTO</t>
        </is>
      </c>
      <c r="BD1707" t="inlineStr"/>
      <c r="BE1707" t="inlineStr"/>
      <c r="BF1707" t="inlineStr">
        <is>
          <t>AUTO_GENERERAD. Bekrafta metadata mot kallfil.</t>
        </is>
      </c>
      <c r="BG1707">
        <f>HYPERLINK("C:\Users\jimmy\Desktop\Examens arbete\Kod\Ny mapp\remix_-copy-of-miljöbeslut.se-portal\MIL20242313pdf_976561.pdf", "Öppna PDF")</f>
        <v/>
      </c>
    </row>
    <row r="1708">
      <c r="A1708" t="inlineStr">
        <is>
          <t>KRAV-AUTO-001707</t>
        </is>
      </c>
      <c r="B1708" t="inlineStr">
        <is>
          <t>ADMIN-INDEX-2026-02-27-00000000125C043F57453246863FE664CAFE6A3F0700950291EA24F0614FB6ACEDB12BF0E31D00000000010C0000950291EA24F0614FB6ACEDB12BF0E31D00002087AEF40000</t>
        </is>
      </c>
      <c r="C1708" t="inlineStr">
        <is>
          <t>cmm4yuo2s01abcuqwhfm5f6re</t>
        </is>
      </c>
      <c r="D1708" t="inlineStr">
        <is>
          <t>http://localhost:8787/api/admin/requirements/documents/cmm4yuo2s01abcuqwhfm5f6re/view</t>
        </is>
      </c>
      <c r="E1708">
        <f>HYPERLÄNK("http://localhost:8787/api/admin/requirements/documents/cmm4yuo2s01abcuqwhfm5f6re/view";"Öppna PDF")</f>
        <v/>
      </c>
      <c r="F1708">
        <f>HYPERLINK("http://localhost:8787/api/admin/requirements/documents/cmm4yuo2s01abcuqwhfm5f6re/view","Open PDF")</f>
        <v/>
      </c>
      <c r="G1708" t="inlineStr">
        <is>
          <t>cmm55w57p0004cuisfrtpqly8</t>
        </is>
      </c>
      <c r="H1708" t="inlineStr">
        <is>
          <t>Beslutsvillkor</t>
        </is>
      </c>
      <c r="I1708" t="inlineStr">
        <is>
          <t>Ytkonstruktion</t>
        </is>
      </c>
      <c r="J1708" t="inlineStr">
        <is>
          <t>Tat yta</t>
        </is>
      </c>
      <c r="K1708" t="inlineStr">
        <is>
          <t>Själva slamplattan byggs upp av betongstöd för att hägna in slammet och för att skapa ett mothåll när det ska lastas ut.</t>
        </is>
      </c>
      <c r="L1708" t="inlineStr">
        <is>
          <t>Själva slamplattan byggs upp av betongstöd för att hägna in slammet och för att skapa ett mothåll när det ska lastas ut.</t>
        </is>
      </c>
      <c r="M1708" t="inlineStr">
        <is>
          <t>SKA</t>
        </is>
      </c>
      <c r="N1708" t="inlineStr"/>
      <c r="O1708" t="inlineStr"/>
      <c r="P1708" t="inlineStr"/>
      <c r="Q1708" t="inlineStr"/>
      <c r="R1708" t="inlineStr">
        <is>
          <t>Vid mellanlagring av avfall</t>
        </is>
      </c>
      <c r="S1708" t="inlineStr"/>
      <c r="T1708" t="inlineStr">
        <is>
          <t>919880</t>
        </is>
      </c>
      <c r="U1708" t="inlineStr"/>
      <c r="V1708" t="inlineStr"/>
      <c r="W1708" t="inlineStr">
        <is>
          <t>Ja</t>
        </is>
      </c>
      <c r="X1708" t="inlineStr">
        <is>
          <t>Nej</t>
        </is>
      </c>
      <c r="Y1708" t="inlineStr">
        <is>
          <t>Nej</t>
        </is>
      </c>
      <c r="Z1708" t="inlineStr">
        <is>
          <t>Nej</t>
        </is>
      </c>
      <c r="AA1708" t="n">
        <v>5</v>
      </c>
      <c r="AB1708" t="inlineStr">
        <is>
          <t>Teknisk beskrivning av platta</t>
        </is>
      </c>
      <c r="AC1708" t="inlineStr">
        <is>
          <t>Teknisk ritning platta</t>
        </is>
      </c>
      <c r="AD1708" t="inlineStr">
        <is>
          <t>Nej</t>
        </is>
      </c>
      <c r="AE1708" t="inlineStr">
        <is>
          <t>Nej</t>
        </is>
      </c>
      <c r="AF1708" t="inlineStr">
        <is>
          <t>Ej behandlad</t>
        </is>
      </c>
      <c r="AG1708" t="inlineStr">
        <is>
          <t>AUTO_GENERERAD. Verifiera citat mot kallfil.</t>
        </is>
      </c>
      <c r="AH1708" t="inlineStr">
        <is>
          <t>MEDIUM</t>
        </is>
      </c>
      <c r="AI1708" t="inlineStr">
        <is>
          <t>AUTO</t>
        </is>
      </c>
      <c r="AJ1708" t="inlineStr">
        <is>
          <t>Nej</t>
        </is>
      </c>
      <c r="AK1708" t="inlineStr"/>
      <c r="AL1708" t="inlineStr"/>
      <c r="AM1708" t="inlineStr"/>
      <c r="AN1708" t="inlineStr"/>
      <c r="AO1708" t="inlineStr">
        <is>
          <t>cmm4yuo2v01aecuqwrs33d0lp</t>
        </is>
      </c>
      <c r="AP1708" t="inlineStr">
        <is>
          <t>http://localhost:8787/api/admin/requirements/documents/cmm4yuo2v01aecuqwrs33d0lp/view</t>
        </is>
      </c>
      <c r="AQ1708">
        <f>HYPERLÄNK("http://localhost:8787/api/admin/requirements/documents/cmm4yuo2v01aecuqwrs33d0lp/view";"Öppna PDF")</f>
        <v/>
      </c>
      <c r="AR1708">
        <f>HYPERLINK("http://localhost:8787/api/admin/requirements/documents/cmm4yuo2v01aecuqwrs33d0lp/view","Open PDF")</f>
        <v/>
      </c>
      <c r="AS1708" t="inlineStr">
        <is>
          <t>cmm55w57p0004cuisfrtpqly8</t>
        </is>
      </c>
      <c r="AT1708" t="inlineStr">
        <is>
          <t>cmm4xvu980000cuh4vj0usz09</t>
        </is>
      </c>
      <c r="AU1708" t="inlineStr">
        <is>
          <t>nummer Webbadress Enköpings</t>
        </is>
      </c>
      <c r="AV1708" t="inlineStr">
        <is>
          <t>Kommun</t>
        </is>
      </c>
      <c r="AW1708" t="inlineStr">
        <is>
          <t>nummer Webbadress Enköpings kommun</t>
        </is>
      </c>
      <c r="AX1708" t="inlineStr">
        <is>
          <t>2026-02</t>
        </is>
      </c>
      <c r="AY1708" t="inlineStr">
        <is>
          <t>Beslut</t>
        </is>
      </c>
      <c r="AZ1708" t="inlineStr">
        <is>
          <t>2026-02-03</t>
        </is>
      </c>
      <c r="BA1708" t="inlineStr">
        <is>
          <t>MIL20242313pdf_976561.pdf</t>
        </is>
      </c>
      <c r="BB1708" t="inlineStr">
        <is>
          <t>Begäran om allmän handling i ärende  MIL.2026.363</t>
        </is>
      </c>
      <c r="BC1708" t="inlineStr">
        <is>
          <t>AUTO</t>
        </is>
      </c>
      <c r="BD1708" t="inlineStr"/>
      <c r="BE1708" t="inlineStr"/>
      <c r="BF1708" t="inlineStr">
        <is>
          <t>AUTO_GENERERAD. Bekrafta metadata mot kallfil.</t>
        </is>
      </c>
      <c r="BG1708">
        <f>HYPERLINK("C:\Users\jimmy\Desktop\Examens arbete\Kod\Ny mapp\remix_-copy-of-miljöbeslut.se-portal\MIL20242313pdf_976561.pdf", "Öppna PDF")</f>
        <v/>
      </c>
    </row>
    <row r="1709">
      <c r="A1709" t="inlineStr">
        <is>
          <t>KRAV-AUTO-001708</t>
        </is>
      </c>
      <c r="B1709" t="inlineStr">
        <is>
          <t>ADMIN-INDEX-2026-02-27-00000000125C043F57453246863FE664CAFE6A3F0700950291EA24F0614FB6ACEDB12BF0E31D00000000010C0000950291EA24F0614FB6ACEDB12BF0E31D00002087AEF40000</t>
        </is>
      </c>
      <c r="C1709" t="inlineStr">
        <is>
          <t>cmm4yuo2s01abcuqwhfm5f6re</t>
        </is>
      </c>
      <c r="D1709" t="inlineStr">
        <is>
          <t>http://localhost:8787/api/admin/requirements/documents/cmm4yuo2s01abcuqwhfm5f6re/view</t>
        </is>
      </c>
      <c r="E1709">
        <f>HYPERLÄNK("http://localhost:8787/api/admin/requirements/documents/cmm4yuo2s01abcuqwhfm5f6re/view";"Öppna PDF")</f>
        <v/>
      </c>
      <c r="F1709">
        <f>HYPERLINK("http://localhost:8787/api/admin/requirements/documents/cmm4yuo2s01abcuqwhfm5f6re/view","Open PDF")</f>
        <v/>
      </c>
      <c r="G1709" t="inlineStr">
        <is>
          <t>cmm55w57p0004cuisfrtpqly8</t>
        </is>
      </c>
      <c r="H1709" t="inlineStr">
        <is>
          <t>Beslutsvillkor</t>
        </is>
      </c>
      <c r="I1709" t="inlineStr">
        <is>
          <t>Ytkonstruktion</t>
        </is>
      </c>
      <c r="J1709" t="inlineStr">
        <is>
          <t>Tat yta</t>
        </is>
      </c>
      <c r="K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709" t="inlineStr">
        <is>
          <t>INFO</t>
        </is>
      </c>
      <c r="N1709" t="inlineStr"/>
      <c r="O1709" t="inlineStr">
        <is>
          <t>2024-11-19</t>
        </is>
      </c>
      <c r="P1709" t="inlineStr"/>
      <c r="Q1709" t="inlineStr">
        <is>
          <t>Forelaggande vid brist</t>
        </is>
      </c>
      <c r="R1709" t="inlineStr">
        <is>
          <t>Vid mellanlagring av avfall</t>
        </is>
      </c>
      <c r="S1709" t="inlineStr"/>
      <c r="T1709" t="inlineStr">
        <is>
          <t>921240</t>
        </is>
      </c>
      <c r="U1709" t="inlineStr"/>
      <c r="V1709" t="inlineStr"/>
      <c r="W1709" t="inlineStr">
        <is>
          <t>Ja</t>
        </is>
      </c>
      <c r="X1709" t="inlineStr">
        <is>
          <t>Nej</t>
        </is>
      </c>
      <c r="Y1709" t="inlineStr">
        <is>
          <t>Nej</t>
        </is>
      </c>
      <c r="Z1709" t="inlineStr">
        <is>
          <t>Nej</t>
        </is>
      </c>
      <c r="AA1709" t="n">
        <v>5</v>
      </c>
      <c r="AB1709" t="inlineStr">
        <is>
          <t>Teknisk beskrivning av platta</t>
        </is>
      </c>
      <c r="AC1709" t="inlineStr">
        <is>
          <t>Teknisk ritning platta</t>
        </is>
      </c>
      <c r="AD1709" t="inlineStr">
        <is>
          <t>Nej</t>
        </is>
      </c>
      <c r="AE1709" t="inlineStr">
        <is>
          <t>Nej</t>
        </is>
      </c>
      <c r="AF1709" t="inlineStr">
        <is>
          <t>Ej behandlad</t>
        </is>
      </c>
      <c r="AG1709" t="inlineStr">
        <is>
          <t>AUTO_GENERERAD. Verifiera citat mot kallfil.</t>
        </is>
      </c>
      <c r="AH1709" t="inlineStr">
        <is>
          <t>MEDIUM</t>
        </is>
      </c>
      <c r="AI1709" t="inlineStr">
        <is>
          <t>AUTO</t>
        </is>
      </c>
      <c r="AJ1709" t="inlineStr">
        <is>
          <t>Nej</t>
        </is>
      </c>
      <c r="AK1709" t="inlineStr"/>
      <c r="AL1709" t="inlineStr"/>
      <c r="AM1709" t="inlineStr"/>
      <c r="AN1709" t="inlineStr"/>
      <c r="AO1709" t="inlineStr">
        <is>
          <t>cmm4yuo2v01aecuqwrs33d0lp</t>
        </is>
      </c>
      <c r="AP1709" t="inlineStr">
        <is>
          <t>http://localhost:8787/api/admin/requirements/documents/cmm4yuo2v01aecuqwrs33d0lp/view</t>
        </is>
      </c>
      <c r="AQ1709">
        <f>HYPERLÄNK("http://localhost:8787/api/admin/requirements/documents/cmm4yuo2v01aecuqwrs33d0lp/view";"Öppna PDF")</f>
        <v/>
      </c>
      <c r="AR1709">
        <f>HYPERLINK("http://localhost:8787/api/admin/requirements/documents/cmm4yuo2v01aecuqwrs33d0lp/view","Open PDF")</f>
        <v/>
      </c>
      <c r="AS1709" t="inlineStr">
        <is>
          <t>cmm55w57p0004cuisfrtpqly8</t>
        </is>
      </c>
      <c r="AT1709" t="inlineStr">
        <is>
          <t>cmm4xvu980000cuh4vj0usz09</t>
        </is>
      </c>
      <c r="AU1709" t="inlineStr">
        <is>
          <t>nummer Webbadress Enköpings</t>
        </is>
      </c>
      <c r="AV1709" t="inlineStr">
        <is>
          <t>Kommun</t>
        </is>
      </c>
      <c r="AW1709" t="inlineStr">
        <is>
          <t>nummer Webbadress Enköpings kommun</t>
        </is>
      </c>
      <c r="AX1709" t="inlineStr">
        <is>
          <t>2026-02</t>
        </is>
      </c>
      <c r="AY1709" t="inlineStr">
        <is>
          <t>Beslut</t>
        </is>
      </c>
      <c r="AZ1709" t="inlineStr">
        <is>
          <t>2026-02-03</t>
        </is>
      </c>
      <c r="BA1709" t="inlineStr">
        <is>
          <t>MIL20242313pdf_976561.pdf</t>
        </is>
      </c>
      <c r="BB1709" t="inlineStr">
        <is>
          <t>Begäran om allmän handling i ärende  MIL.2026.363</t>
        </is>
      </c>
      <c r="BC1709" t="inlineStr">
        <is>
          <t>AUTO</t>
        </is>
      </c>
      <c r="BD1709" t="inlineStr"/>
      <c r="BE1709" t="inlineStr"/>
      <c r="BF1709" t="inlineStr">
        <is>
          <t>AUTO_GENERERAD. Bekrafta metadata mot kallfil.</t>
        </is>
      </c>
      <c r="BG1709">
        <f>HYPERLINK("C:\Users\jimmy\Desktop\Examens arbete\Kod\Ny mapp\remix_-copy-of-miljöbeslut.se-portal\MIL20242313pdf_976561.pdf", "Öppna PDF")</f>
        <v/>
      </c>
    </row>
    <row r="1710">
      <c r="A1710" t="inlineStr">
        <is>
          <t>KRAV-AUTO-001709</t>
        </is>
      </c>
      <c r="B1710" t="inlineStr">
        <is>
          <t>ADMIN-INDEX-2026-02-27-00000000125C043F57453246863FE664CAFE6A3F0700950291EA24F0614FB6ACEDB12BF0E31D00000000010C0000950291EA24F0614FB6ACEDB12BF0E31D00002087AEF40000</t>
        </is>
      </c>
      <c r="C1710" t="inlineStr">
        <is>
          <t>cmm4yuo2s01abcuqwhfm5f6re</t>
        </is>
      </c>
      <c r="D1710" t="inlineStr">
        <is>
          <t>http://localhost:8787/api/admin/requirements/documents/cmm4yuo2s01abcuqwhfm5f6re/view</t>
        </is>
      </c>
      <c r="E1710">
        <f>HYPERLÄNK("http://localhost:8787/api/admin/requirements/documents/cmm4yuo2s01abcuqwhfm5f6re/view";"Öppna PDF")</f>
        <v/>
      </c>
      <c r="F1710">
        <f>HYPERLINK("http://localhost:8787/api/admin/requirements/documents/cmm4yuo2s01abcuqwhfm5f6re/view","Open PDF")</f>
        <v/>
      </c>
      <c r="G1710" t="inlineStr">
        <is>
          <t>cmm55w57p0004cuisfrtpqly8</t>
        </is>
      </c>
      <c r="H1710" t="inlineStr">
        <is>
          <t>Beslutsvillkor</t>
        </is>
      </c>
      <c r="I1710" t="inlineStr">
        <is>
          <t>Ytkonstruktion</t>
        </is>
      </c>
      <c r="J1710" t="inlineStr">
        <is>
          <t>Tat yta</t>
        </is>
      </c>
      <c r="K1710" t="inlineStr">
        <is>
          <t>Jag är lite osäker om det behövs anmälas eftersom slam i sig kan innehålla högre halter än vad KM-jord gör och att landskapsbilden redan påverkats i samband med byggandet av slamplattan.</t>
        </is>
      </c>
      <c r="L1710" t="inlineStr">
        <is>
          <t>Jag är lite osäker om det behövs anmälas eftersom slam i sig kan innehålla högre halter än vad KM-jord gör och att landskapsbilden redan påverkats i samband med byggandet av slamplattan.</t>
        </is>
      </c>
      <c r="M1710" t="inlineStr">
        <is>
          <t>SKA</t>
        </is>
      </c>
      <c r="N1710" t="inlineStr"/>
      <c r="O1710" t="inlineStr"/>
      <c r="P1710" t="inlineStr"/>
      <c r="Q1710" t="inlineStr"/>
      <c r="R1710" t="inlineStr">
        <is>
          <t>Vid mellanlagring av avfall</t>
        </is>
      </c>
      <c r="S1710" t="inlineStr"/>
      <c r="T1710" t="inlineStr">
        <is>
          <t>919880</t>
        </is>
      </c>
      <c r="U1710" t="inlineStr"/>
      <c r="V1710" t="inlineStr"/>
      <c r="W1710" t="inlineStr">
        <is>
          <t>Ja</t>
        </is>
      </c>
      <c r="X1710" t="inlineStr">
        <is>
          <t>Nej</t>
        </is>
      </c>
      <c r="Y1710" t="inlineStr">
        <is>
          <t>Nej</t>
        </is>
      </c>
      <c r="Z1710" t="inlineStr">
        <is>
          <t>Nej</t>
        </is>
      </c>
      <c r="AA1710" t="n">
        <v>5</v>
      </c>
      <c r="AB1710" t="inlineStr">
        <is>
          <t>Teknisk beskrivning av platta</t>
        </is>
      </c>
      <c r="AC1710" t="inlineStr">
        <is>
          <t>Teknisk ritning platta</t>
        </is>
      </c>
      <c r="AD1710" t="inlineStr">
        <is>
          <t>Nej</t>
        </is>
      </c>
      <c r="AE1710" t="inlineStr">
        <is>
          <t>Nej</t>
        </is>
      </c>
      <c r="AF1710" t="inlineStr">
        <is>
          <t>Ej behandlad</t>
        </is>
      </c>
      <c r="AG1710" t="inlineStr">
        <is>
          <t>AUTO_GENERERAD. Verifiera citat mot kallfil.</t>
        </is>
      </c>
      <c r="AH1710" t="inlineStr">
        <is>
          <t>MEDIUM</t>
        </is>
      </c>
      <c r="AI1710" t="inlineStr">
        <is>
          <t>AUTO</t>
        </is>
      </c>
      <c r="AJ1710" t="inlineStr">
        <is>
          <t>Nej</t>
        </is>
      </c>
      <c r="AK1710" t="inlineStr"/>
      <c r="AL1710" t="inlineStr"/>
      <c r="AM1710" t="inlineStr"/>
      <c r="AN1710" t="inlineStr"/>
      <c r="AO1710" t="inlineStr">
        <is>
          <t>cmm4yuo2v01aecuqwrs33d0lp</t>
        </is>
      </c>
      <c r="AP1710" t="inlineStr">
        <is>
          <t>http://localhost:8787/api/admin/requirements/documents/cmm4yuo2v01aecuqwrs33d0lp/view</t>
        </is>
      </c>
      <c r="AQ1710">
        <f>HYPERLÄNK("http://localhost:8787/api/admin/requirements/documents/cmm4yuo2v01aecuqwrs33d0lp/view";"Öppna PDF")</f>
        <v/>
      </c>
      <c r="AR1710">
        <f>HYPERLINK("http://localhost:8787/api/admin/requirements/documents/cmm4yuo2v01aecuqwrs33d0lp/view","Open PDF")</f>
        <v/>
      </c>
      <c r="AS1710" t="inlineStr">
        <is>
          <t>cmm55w57p0004cuisfrtpqly8</t>
        </is>
      </c>
      <c r="AT1710" t="inlineStr">
        <is>
          <t>cmm4xvu980000cuh4vj0usz09</t>
        </is>
      </c>
      <c r="AU1710" t="inlineStr">
        <is>
          <t>nummer Webbadress Enköpings</t>
        </is>
      </c>
      <c r="AV1710" t="inlineStr">
        <is>
          <t>Kommun</t>
        </is>
      </c>
      <c r="AW1710" t="inlineStr">
        <is>
          <t>nummer Webbadress Enköpings kommun</t>
        </is>
      </c>
      <c r="AX1710" t="inlineStr">
        <is>
          <t>2026-02</t>
        </is>
      </c>
      <c r="AY1710" t="inlineStr">
        <is>
          <t>Beslut</t>
        </is>
      </c>
      <c r="AZ1710" t="inlineStr">
        <is>
          <t>2026-02-03</t>
        </is>
      </c>
      <c r="BA1710" t="inlineStr">
        <is>
          <t>MIL20242313pdf_976561.pdf</t>
        </is>
      </c>
      <c r="BB1710" t="inlineStr">
        <is>
          <t>Begäran om allmän handling i ärende  MIL.2026.363</t>
        </is>
      </c>
      <c r="BC1710" t="inlineStr">
        <is>
          <t>AUTO</t>
        </is>
      </c>
      <c r="BD1710" t="inlineStr"/>
      <c r="BE1710" t="inlineStr"/>
      <c r="BF1710" t="inlineStr">
        <is>
          <t>AUTO_GENERERAD. Bekrafta metadata mot kallfil.</t>
        </is>
      </c>
      <c r="BG1710">
        <f>HYPERLINK("C:\Users\jimmy\Desktop\Examens arbete\Kod\Ny mapp\remix_-copy-of-miljöbeslut.se-portal\MIL20242313pdf_976561.pdf", "Öppna PDF")</f>
        <v/>
      </c>
    </row>
    <row r="1711">
      <c r="A1711" t="inlineStr">
        <is>
          <t>KRAV-AUTO-001710</t>
        </is>
      </c>
      <c r="B1711" t="inlineStr">
        <is>
          <t>ADMIN-INDEX-2026-02-27-00000000125C043F57453246863FE664CAFE6A3F0700950291EA24F0614FB6ACEDB12BF0E31D00000000010C0000950291EA24F0614FB6ACEDB12BF0E31D00002087AEF40000</t>
        </is>
      </c>
      <c r="C1711" t="inlineStr">
        <is>
          <t>cmm4yuo2p01a8cuqwkzuu666j</t>
        </is>
      </c>
      <c r="D1711" t="inlineStr">
        <is>
          <t>http://localhost:8787/api/admin/requirements/documents/cmm4yuo2p01a8cuqwkzuu666j/view</t>
        </is>
      </c>
      <c r="E1711">
        <f>HYPERLÄNK("http://localhost:8787/api/admin/requirements/documents/cmm4yuo2p01a8cuqwkzuu666j/view";"Öppna PDF")</f>
        <v/>
      </c>
      <c r="F1711">
        <f>HYPERLINK("http://localhost:8787/api/admin/requirements/documents/cmm4yuo2p01a8cuqwkzuu666j/view","Open PDF")</f>
        <v/>
      </c>
      <c r="G1711" t="inlineStr">
        <is>
          <t>cmm55w57p0004cuisfrtpqly8</t>
        </is>
      </c>
      <c r="H1711" t="inlineStr">
        <is>
          <t>Beslutsvillkor</t>
        </is>
      </c>
      <c r="I1711" t="inlineStr">
        <is>
          <t>DriftEgenkontroll</t>
        </is>
      </c>
      <c r="J1711" t="inlineStr">
        <is>
          <t>Journalforing</t>
        </is>
      </c>
      <c r="K1711" t="inlineStr">
        <is>
          <t>Då betongen genom provtagning har visats innehålla krom 6 anser nämnden att det är lämpligt att föreskriva villkor för att undvika spridning av detta.</t>
        </is>
      </c>
      <c r="L1711" t="inlineStr">
        <is>
          <t>Då betongen genom provtagning har visats innehålla krom 6 anser nämnden att det är lämpligt att föreskriva villkor för att undvika spridning av detta.</t>
        </is>
      </c>
      <c r="M1711" t="inlineStr">
        <is>
          <t>INFO</t>
        </is>
      </c>
      <c r="N1711" t="inlineStr"/>
      <c r="O1711" t="inlineStr"/>
      <c r="P1711" t="inlineStr"/>
      <c r="Q1711" t="inlineStr"/>
      <c r="R1711" t="inlineStr">
        <is>
          <t>Lopande drift</t>
        </is>
      </c>
      <c r="S1711" t="inlineStr"/>
      <c r="T1711" t="inlineStr">
        <is>
          <t>916630</t>
        </is>
      </c>
      <c r="U1711" t="inlineStr"/>
      <c r="V1711" t="inlineStr"/>
      <c r="W1711" t="inlineStr">
        <is>
          <t>Nej</t>
        </is>
      </c>
      <c r="X1711" t="inlineStr">
        <is>
          <t>Nej</t>
        </is>
      </c>
      <c r="Y1711" t="inlineStr">
        <is>
          <t>Ja</t>
        </is>
      </c>
      <c r="Z1711" t="inlineStr">
        <is>
          <t>Nej</t>
        </is>
      </c>
      <c r="AA1711" t="n">
        <v>7</v>
      </c>
      <c r="AB1711" t="inlineStr">
        <is>
          <t>Egenkontrollrutiner</t>
        </is>
      </c>
      <c r="AC1711" t="inlineStr">
        <is>
          <t>Egenkontrollprogram</t>
        </is>
      </c>
      <c r="AD1711" t="inlineStr">
        <is>
          <t>Nej</t>
        </is>
      </c>
      <c r="AE1711" t="inlineStr">
        <is>
          <t>Nej</t>
        </is>
      </c>
      <c r="AF1711" t="inlineStr">
        <is>
          <t>Ej behandlad</t>
        </is>
      </c>
      <c r="AG1711" t="inlineStr">
        <is>
          <t>AUTO_GENERERAD. Verifiera citat mot kallfil.</t>
        </is>
      </c>
      <c r="AH1711" t="inlineStr">
        <is>
          <t>MEDIUM</t>
        </is>
      </c>
      <c r="AI1711" t="inlineStr">
        <is>
          <t>AUTO</t>
        </is>
      </c>
      <c r="AJ1711" t="inlineStr">
        <is>
          <t>Nej</t>
        </is>
      </c>
      <c r="AK1711" t="inlineStr"/>
      <c r="AL1711" t="inlineStr"/>
      <c r="AM1711" t="inlineStr"/>
      <c r="AN1711" t="inlineStr"/>
      <c r="AO1711" t="inlineStr">
        <is>
          <t>cmm4yuo2v01aecuqwrs33d0lp</t>
        </is>
      </c>
      <c r="AP1711" t="inlineStr">
        <is>
          <t>http://localhost:8787/api/admin/requirements/documents/cmm4yuo2v01aecuqwrs33d0lp/view</t>
        </is>
      </c>
      <c r="AQ1711">
        <f>HYPERLÄNK("http://localhost:8787/api/admin/requirements/documents/cmm4yuo2v01aecuqwrs33d0lp/view";"Öppna PDF")</f>
        <v/>
      </c>
      <c r="AR1711">
        <f>HYPERLINK("http://localhost:8787/api/admin/requirements/documents/cmm4yuo2v01aecuqwrs33d0lp/view","Open PDF")</f>
        <v/>
      </c>
      <c r="AS1711" t="inlineStr">
        <is>
          <t>cmm55w57p0004cuisfrtpqly8</t>
        </is>
      </c>
      <c r="AT1711" t="inlineStr">
        <is>
          <t>cmm4xvu980000cuh4vj0usz09</t>
        </is>
      </c>
      <c r="AU1711" t="inlineStr">
        <is>
          <t>nummer Webbadress Enköpings</t>
        </is>
      </c>
      <c r="AV1711" t="inlineStr">
        <is>
          <t>Kommun</t>
        </is>
      </c>
      <c r="AW1711" t="inlineStr">
        <is>
          <t>nummer Webbadress Enköpings kommun</t>
        </is>
      </c>
      <c r="AX1711" t="inlineStr">
        <is>
          <t>2026-02</t>
        </is>
      </c>
      <c r="AY1711" t="inlineStr">
        <is>
          <t>Beslut</t>
        </is>
      </c>
      <c r="AZ1711" t="inlineStr">
        <is>
          <t>2026-02-03</t>
        </is>
      </c>
      <c r="BA1711" t="inlineStr">
        <is>
          <t>MIL20242313pdf_976561.pdf</t>
        </is>
      </c>
      <c r="BB1711" t="inlineStr">
        <is>
          <t>Begäran om allmän handling i ärende  MIL.2026.363</t>
        </is>
      </c>
      <c r="BC1711" t="inlineStr">
        <is>
          <t>AUTO</t>
        </is>
      </c>
      <c r="BD1711" t="inlineStr"/>
      <c r="BE1711" t="inlineStr"/>
      <c r="BF1711" t="inlineStr">
        <is>
          <t>AUTO_GENERERAD. Bekrafta metadata mot kallfil.</t>
        </is>
      </c>
      <c r="BG1711">
        <f>HYPERLINK("C:\Users\jimmy\Desktop\Examens arbete\Kod\Ny mapp\remix_-copy-of-miljöbeslut.se-portal\MIL20242313pdf_976561.pdf", "Öppna PDF")</f>
        <v/>
      </c>
    </row>
    <row r="1712">
      <c r="A1712" t="inlineStr">
        <is>
          <t>KRAV-AUTO-001711</t>
        </is>
      </c>
      <c r="B1712" t="inlineStr">
        <is>
          <t>ADMIN-INDEX-2026-02-27-00000000125C043F57453246863FE664CAFE6A3F0700950291EA24F0614FB6ACEDB12BF0E31D00000000010C0000950291EA24F0614FB6ACEDB12BF0E31D00002087AEF40000</t>
        </is>
      </c>
      <c r="C1712" t="inlineStr">
        <is>
          <t>cmm4yuo2p01a8cuqwkzuu666j</t>
        </is>
      </c>
      <c r="D1712" t="inlineStr">
        <is>
          <t>http://localhost:8787/api/admin/requirements/documents/cmm4yuo2p01a8cuqwkzuu666j/view</t>
        </is>
      </c>
      <c r="E1712">
        <f>HYPERLÄNK("http://localhost:8787/api/admin/requirements/documents/cmm4yuo2p01a8cuqwkzuu666j/view";"Öppna PDF")</f>
        <v/>
      </c>
      <c r="F1712">
        <f>HYPERLINK("http://localhost:8787/api/admin/requirements/documents/cmm4yuo2p01a8cuqwkzuu666j/view","Open PDF")</f>
        <v/>
      </c>
      <c r="G1712" t="inlineStr">
        <is>
          <t>cmm55w57p0004cuisfrtpqly8</t>
        </is>
      </c>
      <c r="H1712" t="inlineStr">
        <is>
          <t>Beslutsvillkor</t>
        </is>
      </c>
      <c r="I1712" t="inlineStr">
        <is>
          <t>Riskhantering</t>
        </is>
      </c>
      <c r="J1712" t="inlineStr">
        <is>
          <t>Riskkontroll</t>
        </is>
      </c>
      <c r="K1712" t="inlineStr">
        <is>
          <t>Verksameten ska genomföra lämpliga förebyggande åtgärder så som exempelvis icke genomsläpplig markduk, för att säkerställa att betongkrosset inte utör en risk för olägenhet för människors hälsa och miljön genom ex.</t>
        </is>
      </c>
      <c r="L1712" t="inlineStr">
        <is>
          <t>Verksameten ska genomföra lämpliga förebyggande åtgärder så som exempelvis icke genomsläpplig markduk, för att säkerställa att betongkrosset inte utör en risk för olägenhet för människors hälsa och miljön genom ex.</t>
        </is>
      </c>
      <c r="M1712" t="inlineStr">
        <is>
          <t>SKA</t>
        </is>
      </c>
      <c r="N1712" t="inlineStr"/>
      <c r="O1712" t="inlineStr"/>
      <c r="P1712" t="inlineStr"/>
      <c r="Q1712" t="inlineStr"/>
      <c r="R1712" t="inlineStr">
        <is>
          <t>Vid risk for incident</t>
        </is>
      </c>
      <c r="S1712" t="inlineStr"/>
      <c r="T1712" t="inlineStr">
        <is>
          <t>916630</t>
        </is>
      </c>
      <c r="U1712" t="inlineStr"/>
      <c r="V1712" t="inlineStr"/>
      <c r="W1712" t="inlineStr">
        <is>
          <t>Nej</t>
        </is>
      </c>
      <c r="X1712" t="inlineStr">
        <is>
          <t>Nej</t>
        </is>
      </c>
      <c r="Y1712" t="inlineStr">
        <is>
          <t>Ja</t>
        </is>
      </c>
      <c r="Z1712" t="inlineStr">
        <is>
          <t>Ja</t>
        </is>
      </c>
      <c r="AA1712" t="n">
        <v>8</v>
      </c>
      <c r="AB1712" t="inlineStr">
        <is>
          <t>Riskhantering</t>
        </is>
      </c>
      <c r="AC1712" t="inlineStr">
        <is>
          <t>Risk-PM</t>
        </is>
      </c>
      <c r="AD1712" t="inlineStr">
        <is>
          <t>Nej</t>
        </is>
      </c>
      <c r="AE1712" t="inlineStr">
        <is>
          <t>Nej</t>
        </is>
      </c>
      <c r="AF1712" t="inlineStr">
        <is>
          <t>Ej behandlad</t>
        </is>
      </c>
      <c r="AG1712" t="inlineStr">
        <is>
          <t>AUTO_GENERERAD. Verifiera citat mot kallfil.</t>
        </is>
      </c>
      <c r="AH1712" t="inlineStr">
        <is>
          <t>MEDIUM</t>
        </is>
      </c>
      <c r="AI1712" t="inlineStr">
        <is>
          <t>AUTO</t>
        </is>
      </c>
      <c r="AJ1712" t="inlineStr">
        <is>
          <t>Nej</t>
        </is>
      </c>
      <c r="AK1712" t="inlineStr"/>
      <c r="AL1712" t="inlineStr"/>
      <c r="AM1712" t="inlineStr"/>
      <c r="AN1712" t="inlineStr"/>
      <c r="AO1712" t="inlineStr">
        <is>
          <t>cmm4yuo2v01aecuqwrs33d0lp</t>
        </is>
      </c>
      <c r="AP1712" t="inlineStr">
        <is>
          <t>http://localhost:8787/api/admin/requirements/documents/cmm4yuo2v01aecuqwrs33d0lp/view</t>
        </is>
      </c>
      <c r="AQ1712">
        <f>HYPERLÄNK("http://localhost:8787/api/admin/requirements/documents/cmm4yuo2v01aecuqwrs33d0lp/view";"Öppna PDF")</f>
        <v/>
      </c>
      <c r="AR1712">
        <f>HYPERLINK("http://localhost:8787/api/admin/requirements/documents/cmm4yuo2v01aecuqwrs33d0lp/view","Open PDF")</f>
        <v/>
      </c>
      <c r="AS1712" t="inlineStr">
        <is>
          <t>cmm55w57p0004cuisfrtpqly8</t>
        </is>
      </c>
      <c r="AT1712" t="inlineStr">
        <is>
          <t>cmm4xvu980000cuh4vj0usz09</t>
        </is>
      </c>
      <c r="AU1712" t="inlineStr">
        <is>
          <t>nummer Webbadress Enköpings</t>
        </is>
      </c>
      <c r="AV1712" t="inlineStr">
        <is>
          <t>Kommun</t>
        </is>
      </c>
      <c r="AW1712" t="inlineStr">
        <is>
          <t>nummer Webbadress Enköpings kommun</t>
        </is>
      </c>
      <c r="AX1712" t="inlineStr">
        <is>
          <t>2026-02</t>
        </is>
      </c>
      <c r="AY1712" t="inlineStr">
        <is>
          <t>Beslut</t>
        </is>
      </c>
      <c r="AZ1712" t="inlineStr">
        <is>
          <t>2026-02-03</t>
        </is>
      </c>
      <c r="BA1712" t="inlineStr">
        <is>
          <t>MIL20242313pdf_976561.pdf</t>
        </is>
      </c>
      <c r="BB1712" t="inlineStr">
        <is>
          <t>Begäran om allmän handling i ärende  MIL.2026.363</t>
        </is>
      </c>
      <c r="BC1712" t="inlineStr">
        <is>
          <t>AUTO</t>
        </is>
      </c>
      <c r="BD1712" t="inlineStr"/>
      <c r="BE1712" t="inlineStr"/>
      <c r="BF1712" t="inlineStr">
        <is>
          <t>AUTO_GENERERAD. Bekrafta metadata mot kallfil.</t>
        </is>
      </c>
      <c r="BG1712">
        <f>HYPERLINK("C:\Users\jimmy\Desktop\Examens arbete\Kod\Ny mapp\remix_-copy-of-miljöbeslut.se-portal\MIL20242313pdf_976561.pdf", "Öppna PDF")</f>
        <v/>
      </c>
    </row>
    <row r="1713">
      <c r="A1713" t="inlineStr">
        <is>
          <t>KRAV-AUTO-001712</t>
        </is>
      </c>
      <c r="B1713" t="inlineStr">
        <is>
          <t>ADMIN-INDEX-2026-02-27-00000000125C043F57453246863FE664CAFE6A3F0700950291EA24F0614FB6ACEDB12BF0E31D00000000010C0000950291EA24F0614FB6ACEDB12BF0E31D00002087AEF40000</t>
        </is>
      </c>
      <c r="C1713" t="inlineStr">
        <is>
          <t>cmm4yuo2p01a8cuqwkzuu666j</t>
        </is>
      </c>
      <c r="D1713" t="inlineStr">
        <is>
          <t>http://localhost:8787/api/admin/requirements/documents/cmm4yuo2p01a8cuqwkzuu666j/view</t>
        </is>
      </c>
      <c r="E1713">
        <f>HYPERLÄNK("http://localhost:8787/api/admin/requirements/documents/cmm4yuo2p01a8cuqwkzuu666j/view";"Öppna PDF")</f>
        <v/>
      </c>
      <c r="F1713">
        <f>HYPERLINK("http://localhost:8787/api/admin/requirements/documents/cmm4yuo2p01a8cuqwkzuu666j/view","Open PDF")</f>
        <v/>
      </c>
      <c r="G1713" t="inlineStr">
        <is>
          <t>cmm55w57p0004cuisfrtpqly8</t>
        </is>
      </c>
      <c r="H1713" t="inlineStr">
        <is>
          <t>Beslutsvillkor</t>
        </is>
      </c>
      <c r="I1713" t="inlineStr">
        <is>
          <t>DriftEgenkontroll</t>
        </is>
      </c>
      <c r="J1713" t="inlineStr">
        <is>
          <t>Journalforing</t>
        </is>
      </c>
      <c r="K1713" t="inlineStr">
        <is>
          <t>Använda massor ska vara dem som provtagits samt medskitckats anmälan.</t>
        </is>
      </c>
      <c r="L1713" t="inlineStr">
        <is>
          <t>Använda massor ska vara dem som provtagits samt medskitckats anmälan.</t>
        </is>
      </c>
      <c r="M1713" t="inlineStr">
        <is>
          <t>SKA</t>
        </is>
      </c>
      <c r="N1713" t="inlineStr"/>
      <c r="O1713" t="inlineStr"/>
      <c r="P1713" t="inlineStr"/>
      <c r="Q1713" t="inlineStr"/>
      <c r="R1713" t="inlineStr">
        <is>
          <t>Lopande drift</t>
        </is>
      </c>
      <c r="S1713" t="inlineStr"/>
      <c r="T1713" t="inlineStr">
        <is>
          <t>916630</t>
        </is>
      </c>
      <c r="U1713" t="inlineStr"/>
      <c r="V1713" t="inlineStr"/>
      <c r="W1713" t="inlineStr">
        <is>
          <t>Nej</t>
        </is>
      </c>
      <c r="X1713" t="inlineStr">
        <is>
          <t>Nej</t>
        </is>
      </c>
      <c r="Y1713" t="inlineStr">
        <is>
          <t>Ja</t>
        </is>
      </c>
      <c r="Z1713" t="inlineStr">
        <is>
          <t>Nej</t>
        </is>
      </c>
      <c r="AA1713" t="n">
        <v>7</v>
      </c>
      <c r="AB1713" t="inlineStr">
        <is>
          <t>Egenkontrollrutiner</t>
        </is>
      </c>
      <c r="AC1713" t="inlineStr">
        <is>
          <t>Egenkontrollprogram</t>
        </is>
      </c>
      <c r="AD1713" t="inlineStr">
        <is>
          <t>Nej</t>
        </is>
      </c>
      <c r="AE1713" t="inlineStr">
        <is>
          <t>Nej</t>
        </is>
      </c>
      <c r="AF1713" t="inlineStr">
        <is>
          <t>Ej behandlad</t>
        </is>
      </c>
      <c r="AG1713" t="inlineStr">
        <is>
          <t>AUTO_GENERERAD. Verifiera citat mot kallfil.</t>
        </is>
      </c>
      <c r="AH1713" t="inlineStr">
        <is>
          <t>MEDIUM</t>
        </is>
      </c>
      <c r="AI1713" t="inlineStr">
        <is>
          <t>AUTO</t>
        </is>
      </c>
      <c r="AJ1713" t="inlineStr">
        <is>
          <t>Nej</t>
        </is>
      </c>
      <c r="AK1713" t="inlineStr"/>
      <c r="AL1713" t="inlineStr"/>
      <c r="AM1713" t="inlineStr"/>
      <c r="AN1713" t="inlineStr"/>
      <c r="AO1713" t="inlineStr">
        <is>
          <t>cmm4yuo2v01aecuqwrs33d0lp</t>
        </is>
      </c>
      <c r="AP1713" t="inlineStr">
        <is>
          <t>http://localhost:8787/api/admin/requirements/documents/cmm4yuo2v01aecuqwrs33d0lp/view</t>
        </is>
      </c>
      <c r="AQ1713">
        <f>HYPERLÄNK("http://localhost:8787/api/admin/requirements/documents/cmm4yuo2v01aecuqwrs33d0lp/view";"Öppna PDF")</f>
        <v/>
      </c>
      <c r="AR1713">
        <f>HYPERLINK("http://localhost:8787/api/admin/requirements/documents/cmm4yuo2v01aecuqwrs33d0lp/view","Open PDF")</f>
        <v/>
      </c>
      <c r="AS1713" t="inlineStr">
        <is>
          <t>cmm55w57p0004cuisfrtpqly8</t>
        </is>
      </c>
      <c r="AT1713" t="inlineStr">
        <is>
          <t>cmm4xvu980000cuh4vj0usz09</t>
        </is>
      </c>
      <c r="AU1713" t="inlineStr">
        <is>
          <t>nummer Webbadress Enköpings</t>
        </is>
      </c>
      <c r="AV1713" t="inlineStr">
        <is>
          <t>Kommun</t>
        </is>
      </c>
      <c r="AW1713" t="inlineStr">
        <is>
          <t>nummer Webbadress Enköpings kommun</t>
        </is>
      </c>
      <c r="AX1713" t="inlineStr">
        <is>
          <t>2026-02</t>
        </is>
      </c>
      <c r="AY1713" t="inlineStr">
        <is>
          <t>Beslut</t>
        </is>
      </c>
      <c r="AZ1713" t="inlineStr">
        <is>
          <t>2026-02-03</t>
        </is>
      </c>
      <c r="BA1713" t="inlineStr">
        <is>
          <t>MIL20242313pdf_976561.pdf</t>
        </is>
      </c>
      <c r="BB1713" t="inlineStr">
        <is>
          <t>Begäran om allmän handling i ärende  MIL.2026.363</t>
        </is>
      </c>
      <c r="BC1713" t="inlineStr">
        <is>
          <t>AUTO</t>
        </is>
      </c>
      <c r="BD1713" t="inlineStr"/>
      <c r="BE1713" t="inlineStr"/>
      <c r="BF1713" t="inlineStr">
        <is>
          <t>AUTO_GENERERAD. Bekrafta metadata mot kallfil.</t>
        </is>
      </c>
      <c r="BG1713">
        <f>HYPERLINK("C:\Users\jimmy\Desktop\Examens arbete\Kod\Ny mapp\remix_-copy-of-miljöbeslut.se-portal\MIL20242313pdf_976561.pdf", "Öppna PDF")</f>
        <v/>
      </c>
    </row>
    <row r="1714">
      <c r="A1714" t="inlineStr">
        <is>
          <t>KRAV-AUTO-001713</t>
        </is>
      </c>
      <c r="B1714" t="inlineStr">
        <is>
          <t>ADMIN-INDEX-2026-02-27-00000000125C043F57453246863FE664CAFE6A3F0700950291EA24F0614FB6ACEDB12BF0E31D00000000010C0000950291EA24F0614FB6ACEDB12BF0E31D00002087AEF40000</t>
        </is>
      </c>
      <c r="C1714" t="inlineStr">
        <is>
          <t>cmm4yuo2l01a5cuqw9njrl6ru</t>
        </is>
      </c>
      <c r="D1714" t="inlineStr">
        <is>
          <t>http://localhost:8787/api/admin/requirements/documents/cmm4yuo2l01a5cuqw9njrl6ru/view</t>
        </is>
      </c>
      <c r="E1714">
        <f>HYPERLÄNK("http://localhost:8787/api/admin/requirements/documents/cmm4yuo2l01a5cuqw9njrl6ru/view";"Öppna PDF")</f>
        <v/>
      </c>
      <c r="F1714">
        <f>HYPERLINK("http://localhost:8787/api/admin/requirements/documents/cmm4yuo2l01a5cuqw9njrl6ru/view","Open PDF")</f>
        <v/>
      </c>
      <c r="G1714" t="inlineStr">
        <is>
          <t>cmm55w57p0004cuisfrtpqly8</t>
        </is>
      </c>
      <c r="H1714" t="inlineStr">
        <is>
          <t>Beslutsvillkor</t>
        </is>
      </c>
      <c r="I1714" t="inlineStr">
        <is>
          <t>DriftEgenkontroll</t>
        </is>
      </c>
      <c r="J1714" t="inlineStr">
        <is>
          <t>Journalforing</t>
        </is>
      </c>
      <c r="K1714" t="inlineStr">
        <is>
          <t>Massor ska innan mottagande ha provtagits och jämföras mot Naturvårdsverkets Mindre än ringa risk (MRR).</t>
        </is>
      </c>
      <c r="L1714" t="inlineStr">
        <is>
          <t>Massor ska innan mottagande ha provtagits och jämföras mot Naturvårdsverkets Mindre än ringa risk (MRR).</t>
        </is>
      </c>
      <c r="M1714" t="inlineStr">
        <is>
          <t>SKA</t>
        </is>
      </c>
      <c r="N1714" t="inlineStr">
        <is>
          <t>Naturvardsverket</t>
        </is>
      </c>
      <c r="O1714" t="inlineStr"/>
      <c r="P1714" t="inlineStr"/>
      <c r="Q1714" t="inlineStr"/>
      <c r="R1714" t="inlineStr">
        <is>
          <t>Lopande drift</t>
        </is>
      </c>
      <c r="S1714" t="inlineStr"/>
      <c r="T1714" t="inlineStr">
        <is>
          <t>915403</t>
        </is>
      </c>
      <c r="U1714" t="inlineStr"/>
      <c r="V1714" t="inlineStr"/>
      <c r="W1714" t="inlineStr">
        <is>
          <t>Nej</t>
        </is>
      </c>
      <c r="X1714" t="inlineStr">
        <is>
          <t>Nej</t>
        </is>
      </c>
      <c r="Y1714" t="inlineStr">
        <is>
          <t>Ja</t>
        </is>
      </c>
      <c r="Z1714" t="inlineStr">
        <is>
          <t>Nej</t>
        </is>
      </c>
      <c r="AA1714" t="n">
        <v>7</v>
      </c>
      <c r="AB1714" t="inlineStr">
        <is>
          <t>Egenkontrollrutiner</t>
        </is>
      </c>
      <c r="AC1714" t="inlineStr">
        <is>
          <t>Egenkontrollprogram</t>
        </is>
      </c>
      <c r="AD1714" t="inlineStr">
        <is>
          <t>Nej</t>
        </is>
      </c>
      <c r="AE1714" t="inlineStr">
        <is>
          <t>Nej</t>
        </is>
      </c>
      <c r="AF1714" t="inlineStr">
        <is>
          <t>Ej behandlad</t>
        </is>
      </c>
      <c r="AG1714" t="inlineStr">
        <is>
          <t>AUTO_GENERERAD. Verifiera citat mot kallfil.</t>
        </is>
      </c>
      <c r="AH1714" t="inlineStr">
        <is>
          <t>MEDIUM</t>
        </is>
      </c>
      <c r="AI1714" t="inlineStr">
        <is>
          <t>AUTO</t>
        </is>
      </c>
      <c r="AJ1714" t="inlineStr">
        <is>
          <t>Nej</t>
        </is>
      </c>
      <c r="AK1714" t="inlineStr"/>
      <c r="AL1714" t="inlineStr"/>
      <c r="AM1714" t="inlineStr"/>
      <c r="AN1714" t="inlineStr"/>
      <c r="AO1714" t="inlineStr">
        <is>
          <t>cmm4yuo2v01aecuqwrs33d0lp</t>
        </is>
      </c>
      <c r="AP1714" t="inlineStr">
        <is>
          <t>http://localhost:8787/api/admin/requirements/documents/cmm4yuo2v01aecuqwrs33d0lp/view</t>
        </is>
      </c>
      <c r="AQ1714">
        <f>HYPERLÄNK("http://localhost:8787/api/admin/requirements/documents/cmm4yuo2v01aecuqwrs33d0lp/view";"Öppna PDF")</f>
        <v/>
      </c>
      <c r="AR1714">
        <f>HYPERLINK("http://localhost:8787/api/admin/requirements/documents/cmm4yuo2v01aecuqwrs33d0lp/view","Open PDF")</f>
        <v/>
      </c>
      <c r="AS1714" t="inlineStr">
        <is>
          <t>cmm55w57p0004cuisfrtpqly8</t>
        </is>
      </c>
      <c r="AT1714" t="inlineStr">
        <is>
          <t>cmm4xvu980000cuh4vj0usz09</t>
        </is>
      </c>
      <c r="AU1714" t="inlineStr">
        <is>
          <t>nummer Webbadress Enköpings</t>
        </is>
      </c>
      <c r="AV1714" t="inlineStr">
        <is>
          <t>Kommun</t>
        </is>
      </c>
      <c r="AW1714" t="inlineStr">
        <is>
          <t>nummer Webbadress Enköpings kommun</t>
        </is>
      </c>
      <c r="AX1714" t="inlineStr">
        <is>
          <t>2026-02</t>
        </is>
      </c>
      <c r="AY1714" t="inlineStr">
        <is>
          <t>Beslut</t>
        </is>
      </c>
      <c r="AZ1714" t="inlineStr">
        <is>
          <t>2026-02-03</t>
        </is>
      </c>
      <c r="BA1714" t="inlineStr">
        <is>
          <t>MIL20242313pdf_976561.pdf</t>
        </is>
      </c>
      <c r="BB1714" t="inlineStr">
        <is>
          <t>Begäran om allmän handling i ärende  MIL.2026.363</t>
        </is>
      </c>
      <c r="BC1714" t="inlineStr">
        <is>
          <t>AUTO</t>
        </is>
      </c>
      <c r="BD1714" t="inlineStr"/>
      <c r="BE1714" t="inlineStr"/>
      <c r="BF1714" t="inlineStr">
        <is>
          <t>AUTO_GENERERAD. Bekrafta metadata mot kallfil.</t>
        </is>
      </c>
      <c r="BG1714">
        <f>HYPERLINK("C:\Users\jimmy\Desktop\Examens arbete\Kod\Ny mapp\remix_-copy-of-miljöbeslut.se-portal\MIL20242313pdf_976561.pdf", "Öppna PDF")</f>
        <v/>
      </c>
    </row>
    <row r="1715">
      <c r="A1715" t="inlineStr">
        <is>
          <t>KRAV-AUTO-001714</t>
        </is>
      </c>
      <c r="B1715" t="inlineStr">
        <is>
          <t>ADMIN-INDEX-2026-02-27-00000000125C043F57453246863FE664CAFE6A3F0700950291EA24F0614FB6ACEDB12BF0E31D00000000010C0000950291EA24F0614FB6ACEDB12BF0E31D00002087AEF40000</t>
        </is>
      </c>
      <c r="C1715" t="inlineStr">
        <is>
          <t>cmm4yuo2l01a5cuqw9njrl6ru</t>
        </is>
      </c>
      <c r="D1715" t="inlineStr">
        <is>
          <t>http://localhost:8787/api/admin/requirements/documents/cmm4yuo2l01a5cuqw9njrl6ru/view</t>
        </is>
      </c>
      <c r="E1715">
        <f>HYPERLÄNK("http://localhost:8787/api/admin/requirements/documents/cmm4yuo2l01a5cuqw9njrl6ru/view";"Öppna PDF")</f>
        <v/>
      </c>
      <c r="F1715">
        <f>HYPERLINK("http://localhost:8787/api/admin/requirements/documents/cmm4yuo2l01a5cuqw9njrl6ru/view","Open PDF")</f>
        <v/>
      </c>
      <c r="G1715" t="inlineStr">
        <is>
          <t>cmm55w57p0004cuisfrtpqly8</t>
        </is>
      </c>
      <c r="H1715" t="inlineStr">
        <is>
          <t>Beslutsvillkor</t>
        </is>
      </c>
      <c r="I1715" t="inlineStr">
        <is>
          <t>Riskhantering</t>
        </is>
      </c>
      <c r="J1715" t="inlineStr">
        <is>
          <t>Riskkontroll</t>
        </is>
      </c>
      <c r="K1715" t="inlineStr">
        <is>
          <t>Verksamhetsutövaren ahr anmält användande av avfall för anläggningsändamål vilket innebär att Naturårdesverket mindre än ringa risk (MRR) ska tillämpas.</t>
        </is>
      </c>
      <c r="L1715" t="inlineStr">
        <is>
          <t>Verksamhetsutövaren ahr anmält användande av avfall för anläggningsändamål vilket innebär att Naturårdesverket mindre än ringa risk (MRR) ska tillämpas.</t>
        </is>
      </c>
      <c r="M1715" t="inlineStr">
        <is>
          <t>SKA</t>
        </is>
      </c>
      <c r="N1715" t="inlineStr"/>
      <c r="O1715" t="inlineStr"/>
      <c r="P1715" t="inlineStr"/>
      <c r="Q1715" t="inlineStr"/>
      <c r="R1715" t="inlineStr">
        <is>
          <t>Vid risk for incident</t>
        </is>
      </c>
      <c r="S1715" t="inlineStr"/>
      <c r="T1715" t="inlineStr">
        <is>
          <t>915403</t>
        </is>
      </c>
      <c r="U1715" t="inlineStr"/>
      <c r="V1715" t="inlineStr"/>
      <c r="W1715" t="inlineStr">
        <is>
          <t>Nej</t>
        </is>
      </c>
      <c r="X1715" t="inlineStr">
        <is>
          <t>Nej</t>
        </is>
      </c>
      <c r="Y1715" t="inlineStr">
        <is>
          <t>Ja</t>
        </is>
      </c>
      <c r="Z1715" t="inlineStr">
        <is>
          <t>Ja</t>
        </is>
      </c>
      <c r="AA1715" t="n">
        <v>8</v>
      </c>
      <c r="AB1715" t="inlineStr">
        <is>
          <t>Riskhantering</t>
        </is>
      </c>
      <c r="AC1715" t="inlineStr">
        <is>
          <t>Risk-PM</t>
        </is>
      </c>
      <c r="AD1715" t="inlineStr">
        <is>
          <t>Nej</t>
        </is>
      </c>
      <c r="AE1715" t="inlineStr">
        <is>
          <t>Nej</t>
        </is>
      </c>
      <c r="AF1715" t="inlineStr">
        <is>
          <t>Ej behandlad</t>
        </is>
      </c>
      <c r="AG1715" t="inlineStr">
        <is>
          <t>AUTO_GENERERAD. Verifiera citat mot kallfil.</t>
        </is>
      </c>
      <c r="AH1715" t="inlineStr">
        <is>
          <t>MEDIUM</t>
        </is>
      </c>
      <c r="AI1715" t="inlineStr">
        <is>
          <t>AUTO</t>
        </is>
      </c>
      <c r="AJ1715" t="inlineStr">
        <is>
          <t>Nej</t>
        </is>
      </c>
      <c r="AK1715" t="inlineStr"/>
      <c r="AL1715" t="inlineStr"/>
      <c r="AM1715" t="inlineStr"/>
      <c r="AN1715" t="inlineStr"/>
      <c r="AO1715" t="inlineStr">
        <is>
          <t>cmm4yuo2v01aecuqwrs33d0lp</t>
        </is>
      </c>
      <c r="AP1715" t="inlineStr">
        <is>
          <t>http://localhost:8787/api/admin/requirements/documents/cmm4yuo2v01aecuqwrs33d0lp/view</t>
        </is>
      </c>
      <c r="AQ1715">
        <f>HYPERLÄNK("http://localhost:8787/api/admin/requirements/documents/cmm4yuo2v01aecuqwrs33d0lp/view";"Öppna PDF")</f>
        <v/>
      </c>
      <c r="AR1715">
        <f>HYPERLINK("http://localhost:8787/api/admin/requirements/documents/cmm4yuo2v01aecuqwrs33d0lp/view","Open PDF")</f>
        <v/>
      </c>
      <c r="AS1715" t="inlineStr">
        <is>
          <t>cmm55w57p0004cuisfrtpqly8</t>
        </is>
      </c>
      <c r="AT1715" t="inlineStr">
        <is>
          <t>cmm4xvu980000cuh4vj0usz09</t>
        </is>
      </c>
      <c r="AU1715" t="inlineStr">
        <is>
          <t>nummer Webbadress Enköpings</t>
        </is>
      </c>
      <c r="AV1715" t="inlineStr">
        <is>
          <t>Kommun</t>
        </is>
      </c>
      <c r="AW1715" t="inlineStr">
        <is>
          <t>nummer Webbadress Enköpings kommun</t>
        </is>
      </c>
      <c r="AX1715" t="inlineStr">
        <is>
          <t>2026-02</t>
        </is>
      </c>
      <c r="AY1715" t="inlineStr">
        <is>
          <t>Beslut</t>
        </is>
      </c>
      <c r="AZ1715" t="inlineStr">
        <is>
          <t>2026-02-03</t>
        </is>
      </c>
      <c r="BA1715" t="inlineStr">
        <is>
          <t>MIL20242313pdf_976561.pdf</t>
        </is>
      </c>
      <c r="BB1715" t="inlineStr">
        <is>
          <t>Begäran om allmän handling i ärende  MIL.2026.363</t>
        </is>
      </c>
      <c r="BC1715" t="inlineStr">
        <is>
          <t>AUTO</t>
        </is>
      </c>
      <c r="BD1715" t="inlineStr"/>
      <c r="BE1715" t="inlineStr"/>
      <c r="BF1715" t="inlineStr">
        <is>
          <t>AUTO_GENERERAD. Bekrafta metadata mot kallfil.</t>
        </is>
      </c>
      <c r="BG1715">
        <f>HYPERLINK("C:\Users\jimmy\Desktop\Examens arbete\Kod\Ny mapp\remix_-copy-of-miljöbeslut.se-portal\MIL20242313pdf_976561.pdf", "Öppna PDF")</f>
        <v/>
      </c>
    </row>
    <row r="1716">
      <c r="A1716" t="inlineStr">
        <is>
          <t>KRAV-AUTO-001715</t>
        </is>
      </c>
      <c r="B1716" t="inlineStr">
        <is>
          <t>ADMIN-INDEX-2026-02-27-00000000125C043F57453246863FE664CAFE6A3F0700950291EA24F0614FB6ACEDB12BF0E31D00000000010C0000950291EA24F0614FB6ACEDB12BF0E31D00002087AEF40000</t>
        </is>
      </c>
      <c r="C1716" t="inlineStr">
        <is>
          <t>cmm4yuo2l01a5cuqw9njrl6ru</t>
        </is>
      </c>
      <c r="D1716" t="inlineStr">
        <is>
          <t>http://localhost:8787/api/admin/requirements/documents/cmm4yuo2l01a5cuqw9njrl6ru/view</t>
        </is>
      </c>
      <c r="E1716">
        <f>HYPERLÄNK("http://localhost:8787/api/admin/requirements/documents/cmm4yuo2l01a5cuqw9njrl6ru/view";"Öppna PDF")</f>
        <v/>
      </c>
      <c r="F1716">
        <f>HYPERLINK("http://localhost:8787/api/admin/requirements/documents/cmm4yuo2l01a5cuqw9njrl6ru/view","Open PDF")</f>
        <v/>
      </c>
      <c r="G1716" t="inlineStr">
        <is>
          <t>cmm55w57p0004cuisfrtpqly8</t>
        </is>
      </c>
      <c r="H1716" t="inlineStr">
        <is>
          <t>Beslutsvillkor</t>
        </is>
      </c>
      <c r="I1716" t="inlineStr">
        <is>
          <t>Ytkonstruktion</t>
        </is>
      </c>
      <c r="J1716" t="inlineStr">
        <is>
          <t>Tat yta</t>
        </is>
      </c>
      <c r="K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16" t="inlineStr">
        <is>
          <t>SKA</t>
        </is>
      </c>
      <c r="N1716" t="inlineStr"/>
      <c r="O1716" t="inlineStr"/>
      <c r="P1716" t="inlineStr"/>
      <c r="Q1716" t="inlineStr"/>
      <c r="R1716" t="inlineStr">
        <is>
          <t>Vid mellanlagring av avfall</t>
        </is>
      </c>
      <c r="S1716" t="inlineStr"/>
      <c r="T1716" t="inlineStr">
        <is>
          <t>915403</t>
        </is>
      </c>
      <c r="U1716" t="inlineStr"/>
      <c r="V1716" t="inlineStr"/>
      <c r="W1716" t="inlineStr">
        <is>
          <t>Ja</t>
        </is>
      </c>
      <c r="X1716" t="inlineStr">
        <is>
          <t>Nej</t>
        </is>
      </c>
      <c r="Y1716" t="inlineStr">
        <is>
          <t>Nej</t>
        </is>
      </c>
      <c r="Z1716" t="inlineStr">
        <is>
          <t>Nej</t>
        </is>
      </c>
      <c r="AA1716" t="n">
        <v>5</v>
      </c>
      <c r="AB1716" t="inlineStr">
        <is>
          <t>Teknisk beskrivning av platta</t>
        </is>
      </c>
      <c r="AC1716" t="inlineStr">
        <is>
          <t>Teknisk ritning platta</t>
        </is>
      </c>
      <c r="AD1716" t="inlineStr">
        <is>
          <t>Nej</t>
        </is>
      </c>
      <c r="AE1716" t="inlineStr">
        <is>
          <t>Nej</t>
        </is>
      </c>
      <c r="AF1716" t="inlineStr">
        <is>
          <t>Ej behandlad</t>
        </is>
      </c>
      <c r="AG1716" t="inlineStr">
        <is>
          <t>AUTO_GENERERAD. Verifiera citat mot kallfil.</t>
        </is>
      </c>
      <c r="AH1716" t="inlineStr">
        <is>
          <t>MEDIUM</t>
        </is>
      </c>
      <c r="AI1716" t="inlineStr">
        <is>
          <t>AUTO</t>
        </is>
      </c>
      <c r="AJ1716" t="inlineStr">
        <is>
          <t>Nej</t>
        </is>
      </c>
      <c r="AK1716" t="inlineStr"/>
      <c r="AL1716" t="inlineStr"/>
      <c r="AM1716" t="inlineStr"/>
      <c r="AN1716" t="inlineStr"/>
      <c r="AO1716" t="inlineStr">
        <is>
          <t>cmm4yuo2v01aecuqwrs33d0lp</t>
        </is>
      </c>
      <c r="AP1716" t="inlineStr">
        <is>
          <t>http://localhost:8787/api/admin/requirements/documents/cmm4yuo2v01aecuqwrs33d0lp/view</t>
        </is>
      </c>
      <c r="AQ1716">
        <f>HYPERLÄNK("http://localhost:8787/api/admin/requirements/documents/cmm4yuo2v01aecuqwrs33d0lp/view";"Öppna PDF")</f>
        <v/>
      </c>
      <c r="AR1716">
        <f>HYPERLINK("http://localhost:8787/api/admin/requirements/documents/cmm4yuo2v01aecuqwrs33d0lp/view","Open PDF")</f>
        <v/>
      </c>
      <c r="AS1716" t="inlineStr">
        <is>
          <t>cmm55w57p0004cuisfrtpqly8</t>
        </is>
      </c>
      <c r="AT1716" t="inlineStr">
        <is>
          <t>cmm4xvu980000cuh4vj0usz09</t>
        </is>
      </c>
      <c r="AU1716" t="inlineStr">
        <is>
          <t>nummer Webbadress Enköpings</t>
        </is>
      </c>
      <c r="AV1716" t="inlineStr">
        <is>
          <t>Kommun</t>
        </is>
      </c>
      <c r="AW1716" t="inlineStr">
        <is>
          <t>nummer Webbadress Enköpings kommun</t>
        </is>
      </c>
      <c r="AX1716" t="inlineStr">
        <is>
          <t>2026-02</t>
        </is>
      </c>
      <c r="AY1716" t="inlineStr">
        <is>
          <t>Beslut</t>
        </is>
      </c>
      <c r="AZ1716" t="inlineStr">
        <is>
          <t>2026-02-03</t>
        </is>
      </c>
      <c r="BA1716" t="inlineStr">
        <is>
          <t>MIL20242313pdf_976561.pdf</t>
        </is>
      </c>
      <c r="BB1716" t="inlineStr">
        <is>
          <t>Begäran om allmän handling i ärende  MIL.2026.363</t>
        </is>
      </c>
      <c r="BC1716" t="inlineStr">
        <is>
          <t>AUTO</t>
        </is>
      </c>
      <c r="BD1716" t="inlineStr"/>
      <c r="BE1716" t="inlineStr"/>
      <c r="BF1716" t="inlineStr">
        <is>
          <t>AUTO_GENERERAD. Bekrafta metadata mot kallfil.</t>
        </is>
      </c>
      <c r="BG1716">
        <f>HYPERLINK("C:\Users\jimmy\Desktop\Examens arbete\Kod\Ny mapp\remix_-copy-of-miljöbeslut.se-portal\MIL20242313pdf_976561.pdf", "Öppna PDF")</f>
        <v/>
      </c>
    </row>
    <row r="1717">
      <c r="A1717" t="inlineStr">
        <is>
          <t>KRAV-AUTO-001716</t>
        </is>
      </c>
      <c r="B1717" t="inlineStr">
        <is>
          <t>ADMIN-INDEX-2026-02-27-00000000125C043F57453246863FE664CAFE6A3F0700950291EA24F0614FB6ACEDB12BF0E31D00000000010C0000950291EA24F0614FB6ACEDB12BF0E31D00002087AEF40000</t>
        </is>
      </c>
      <c r="C1717" t="inlineStr">
        <is>
          <t>cmm4yuo2i01a2cuqw719jt1sh</t>
        </is>
      </c>
      <c r="D1717" t="inlineStr">
        <is>
          <t>http://localhost:8787/api/admin/requirements/documents/cmm4yuo2i01a2cuqw719jt1sh/view</t>
        </is>
      </c>
      <c r="E1717">
        <f>HYPERLÄNK("http://localhost:8787/api/admin/requirements/documents/cmm4yuo2i01a2cuqw719jt1sh/view";"Öppna PDF")</f>
        <v/>
      </c>
      <c r="F1717">
        <f>HYPERLINK("http://localhost:8787/api/admin/requirements/documents/cmm4yuo2i01a2cuqw719jt1sh/view","Open PDF")</f>
        <v/>
      </c>
      <c r="G1717" t="inlineStr">
        <is>
          <t>cmm55w57p0004cuisfrtpqly8</t>
        </is>
      </c>
      <c r="H1717" t="inlineStr">
        <is>
          <t>Beslutsvillkor</t>
        </is>
      </c>
      <c r="I1717" t="inlineStr">
        <is>
          <t>LagringsvolymTid</t>
        </is>
      </c>
      <c r="J1717" t="inlineStr">
        <is>
          <t>Maxmangd</t>
        </is>
      </c>
      <c r="K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17" t="inlineStr">
        <is>
          <t>SKA</t>
        </is>
      </c>
      <c r="N1717" t="inlineStr"/>
      <c r="O1717" t="inlineStr"/>
      <c r="P1717" t="inlineStr"/>
      <c r="Q1717" t="inlineStr"/>
      <c r="R1717" t="inlineStr">
        <is>
          <t>Alltid</t>
        </is>
      </c>
      <c r="S1717" t="inlineStr"/>
      <c r="T1717" t="inlineStr">
        <is>
          <t>62 50 00</t>
        </is>
      </c>
      <c r="U1717" t="inlineStr"/>
      <c r="V1717" t="inlineStr"/>
      <c r="W1717" t="inlineStr">
        <is>
          <t>Nej</t>
        </is>
      </c>
      <c r="X1717" t="inlineStr">
        <is>
          <t>Nej</t>
        </is>
      </c>
      <c r="Y1717" t="inlineStr">
        <is>
          <t>Nej</t>
        </is>
      </c>
      <c r="Z1717" t="inlineStr">
        <is>
          <t>Nej</t>
        </is>
      </c>
      <c r="AA1717" t="n">
        <v>4</v>
      </c>
      <c r="AB1717" t="inlineStr">
        <is>
          <t>Avfallsmangder och lagringstid</t>
        </is>
      </c>
      <c r="AC1717" t="inlineStr">
        <is>
          <t>Avfallsforteckning</t>
        </is>
      </c>
      <c r="AD1717" t="inlineStr">
        <is>
          <t>Nej</t>
        </is>
      </c>
      <c r="AE1717" t="inlineStr">
        <is>
          <t>Nej</t>
        </is>
      </c>
      <c r="AF1717" t="inlineStr">
        <is>
          <t>Ej behandlad</t>
        </is>
      </c>
      <c r="AG1717" t="inlineStr">
        <is>
          <t>AUTO_GENERERAD. Verifiera citat mot kallfil.</t>
        </is>
      </c>
      <c r="AH1717" t="inlineStr">
        <is>
          <t>MEDIUM</t>
        </is>
      </c>
      <c r="AI1717" t="inlineStr">
        <is>
          <t>AUTO</t>
        </is>
      </c>
      <c r="AJ1717" t="inlineStr">
        <is>
          <t>Nej</t>
        </is>
      </c>
      <c r="AK1717" t="inlineStr"/>
      <c r="AL1717" t="inlineStr"/>
      <c r="AM1717" t="inlineStr"/>
      <c r="AN1717" t="inlineStr"/>
      <c r="AO1717" t="inlineStr">
        <is>
          <t>cmm4yuo2v01aecuqwrs33d0lp</t>
        </is>
      </c>
      <c r="AP1717" t="inlineStr">
        <is>
          <t>http://localhost:8787/api/admin/requirements/documents/cmm4yuo2v01aecuqwrs33d0lp/view</t>
        </is>
      </c>
      <c r="AQ1717">
        <f>HYPERLÄNK("http://localhost:8787/api/admin/requirements/documents/cmm4yuo2v01aecuqwrs33d0lp/view";"Öppna PDF")</f>
        <v/>
      </c>
      <c r="AR1717">
        <f>HYPERLINK("http://localhost:8787/api/admin/requirements/documents/cmm4yuo2v01aecuqwrs33d0lp/view","Open PDF")</f>
        <v/>
      </c>
      <c r="AS1717" t="inlineStr">
        <is>
          <t>cmm55w57p0004cuisfrtpqly8</t>
        </is>
      </c>
      <c r="AT1717" t="inlineStr">
        <is>
          <t>cmm4xvu980000cuh4vj0usz09</t>
        </is>
      </c>
      <c r="AU1717" t="inlineStr">
        <is>
          <t>nummer Webbadress Enköpings</t>
        </is>
      </c>
      <c r="AV1717" t="inlineStr">
        <is>
          <t>Kommun</t>
        </is>
      </c>
      <c r="AW1717" t="inlineStr">
        <is>
          <t>nummer Webbadress Enköpings kommun</t>
        </is>
      </c>
      <c r="AX1717" t="inlineStr">
        <is>
          <t>2026-02</t>
        </is>
      </c>
      <c r="AY1717" t="inlineStr">
        <is>
          <t>Beslut</t>
        </is>
      </c>
      <c r="AZ1717" t="inlineStr">
        <is>
          <t>2026-02-03</t>
        </is>
      </c>
      <c r="BA1717" t="inlineStr">
        <is>
          <t>MIL20242313pdf_976561.pdf</t>
        </is>
      </c>
      <c r="BB1717" t="inlineStr">
        <is>
          <t>Begäran om allmän handling i ärende  MIL.2026.363</t>
        </is>
      </c>
      <c r="BC1717" t="inlineStr">
        <is>
          <t>AUTO</t>
        </is>
      </c>
      <c r="BD1717" t="inlineStr"/>
      <c r="BE1717" t="inlineStr"/>
      <c r="BF1717" t="inlineStr">
        <is>
          <t>AUTO_GENERERAD. Bekrafta metadata mot kallfil.</t>
        </is>
      </c>
      <c r="BG1717">
        <f>HYPERLINK("C:\Users\jimmy\Desktop\Examens arbete\Kod\Ny mapp\remix_-copy-of-miljöbeslut.se-portal\MIL20242313pdf_976561.pdf", "Öppna PDF")</f>
        <v/>
      </c>
    </row>
    <row r="1718">
      <c r="A1718" t="inlineStr">
        <is>
          <t>KRAV-AUTO-001717</t>
        </is>
      </c>
      <c r="B1718" t="inlineStr">
        <is>
          <t>ADMIN-INDEX-2026-02-27-00000000125C043F57453246863FE664CAFE6A3F0700950291EA24F0614FB6ACEDB12BF0E31D00000000010C0000950291EA24F0614FB6ACEDB12BF0E31D00002087AEF40000</t>
        </is>
      </c>
      <c r="C1718" t="inlineStr">
        <is>
          <t>cmm4yuo2i01a2cuqw719jt1sh</t>
        </is>
      </c>
      <c r="D1718" t="inlineStr">
        <is>
          <t>http://localhost:8787/api/admin/requirements/documents/cmm4yuo2i01a2cuqw719jt1sh/view</t>
        </is>
      </c>
      <c r="E1718">
        <f>HYPERLÄNK("http://localhost:8787/api/admin/requirements/documents/cmm4yuo2i01a2cuqw719jt1sh/view";"Öppna PDF")</f>
        <v/>
      </c>
      <c r="F1718">
        <f>HYPERLINK("http://localhost:8787/api/admin/requirements/documents/cmm4yuo2i01a2cuqw719jt1sh/view","Open PDF")</f>
        <v/>
      </c>
      <c r="G1718" t="inlineStr">
        <is>
          <t>cmm55w57p0004cuisfrtpqly8</t>
        </is>
      </c>
      <c r="H1718" t="inlineStr">
        <is>
          <t>Beslutsvillkor</t>
        </is>
      </c>
      <c r="I1718" t="inlineStr">
        <is>
          <t>MiljopaverkanForsiktighet</t>
        </is>
      </c>
      <c r="J1718" t="inlineStr">
        <is>
          <t>Skyddsatgarder</t>
        </is>
      </c>
      <c r="K1718" t="inlineStr">
        <is>
          <t>Vad ska avfallet användas till?</t>
        </is>
      </c>
      <c r="L1718" t="inlineStr">
        <is>
          <t>Vad ska avfallet användas till?</t>
        </is>
      </c>
      <c r="M1718" t="inlineStr">
        <is>
          <t>SKA</t>
        </is>
      </c>
      <c r="N1718" t="inlineStr"/>
      <c r="O1718" t="inlineStr"/>
      <c r="P1718" t="inlineStr"/>
      <c r="Q1718" t="inlineStr"/>
      <c r="R1718" t="inlineStr">
        <is>
          <t>Alltid</t>
        </is>
      </c>
      <c r="S1718" t="inlineStr"/>
      <c r="T1718" t="inlineStr">
        <is>
          <t>950170</t>
        </is>
      </c>
      <c r="U1718" t="inlineStr"/>
      <c r="V1718" t="inlineStr"/>
      <c r="W1718" t="inlineStr">
        <is>
          <t>Nej</t>
        </is>
      </c>
      <c r="X1718" t="inlineStr">
        <is>
          <t>Nej</t>
        </is>
      </c>
      <c r="Y1718" t="inlineStr">
        <is>
          <t>Nej</t>
        </is>
      </c>
      <c r="Z1718" t="inlineStr">
        <is>
          <t>Nej</t>
        </is>
      </c>
      <c r="AA1718" t="n">
        <v>10</v>
      </c>
      <c r="AB1718" t="inlineStr">
        <is>
          <t>Miljopaverkan och forsiktighetsmatt</t>
        </is>
      </c>
      <c r="AC1718" t="inlineStr">
        <is>
          <t>Miljo-PM</t>
        </is>
      </c>
      <c r="AD1718" t="inlineStr">
        <is>
          <t>Nej</t>
        </is>
      </c>
      <c r="AE1718" t="inlineStr">
        <is>
          <t>Nej</t>
        </is>
      </c>
      <c r="AF1718" t="inlineStr">
        <is>
          <t>Ej behandlad</t>
        </is>
      </c>
      <c r="AG1718" t="inlineStr">
        <is>
          <t>AUTO_GENERERAD. Verifiera citat mot kallfil.</t>
        </is>
      </c>
      <c r="AH1718" t="inlineStr">
        <is>
          <t>LOW</t>
        </is>
      </c>
      <c r="AI1718" t="inlineStr">
        <is>
          <t>AUTO</t>
        </is>
      </c>
      <c r="AJ1718" t="inlineStr">
        <is>
          <t>Nej</t>
        </is>
      </c>
      <c r="AK1718" t="inlineStr"/>
      <c r="AL1718" t="inlineStr"/>
      <c r="AM1718" t="inlineStr"/>
      <c r="AN1718" t="inlineStr"/>
      <c r="AO1718" t="inlineStr">
        <is>
          <t>cmm4yuo2v01aecuqwrs33d0lp</t>
        </is>
      </c>
      <c r="AP1718" t="inlineStr">
        <is>
          <t>http://localhost:8787/api/admin/requirements/documents/cmm4yuo2v01aecuqwrs33d0lp/view</t>
        </is>
      </c>
      <c r="AQ1718">
        <f>HYPERLÄNK("http://localhost:8787/api/admin/requirements/documents/cmm4yuo2v01aecuqwrs33d0lp/view";"Öppna PDF")</f>
        <v/>
      </c>
      <c r="AR1718">
        <f>HYPERLINK("http://localhost:8787/api/admin/requirements/documents/cmm4yuo2v01aecuqwrs33d0lp/view","Open PDF")</f>
        <v/>
      </c>
      <c r="AS1718" t="inlineStr">
        <is>
          <t>cmm55w57p0004cuisfrtpqly8</t>
        </is>
      </c>
      <c r="AT1718" t="inlineStr">
        <is>
          <t>cmm4xvu980000cuh4vj0usz09</t>
        </is>
      </c>
      <c r="AU1718" t="inlineStr">
        <is>
          <t>nummer Webbadress Enköpings</t>
        </is>
      </c>
      <c r="AV1718" t="inlineStr">
        <is>
          <t>Kommun</t>
        </is>
      </c>
      <c r="AW1718" t="inlineStr">
        <is>
          <t>nummer Webbadress Enköpings kommun</t>
        </is>
      </c>
      <c r="AX1718" t="inlineStr">
        <is>
          <t>2026-02</t>
        </is>
      </c>
      <c r="AY1718" t="inlineStr">
        <is>
          <t>Beslut</t>
        </is>
      </c>
      <c r="AZ1718" t="inlineStr">
        <is>
          <t>2026-02-03</t>
        </is>
      </c>
      <c r="BA1718" t="inlineStr">
        <is>
          <t>MIL20242313pdf_976561.pdf</t>
        </is>
      </c>
      <c r="BB1718" t="inlineStr">
        <is>
          <t>Begäran om allmän handling i ärende  MIL.2026.363</t>
        </is>
      </c>
      <c r="BC1718" t="inlineStr">
        <is>
          <t>AUTO</t>
        </is>
      </c>
      <c r="BD1718" t="inlineStr"/>
      <c r="BE1718" t="inlineStr"/>
      <c r="BF1718" t="inlineStr">
        <is>
          <t>AUTO_GENERERAD. Bekrafta metadata mot kallfil.</t>
        </is>
      </c>
      <c r="BG1718">
        <f>HYPERLINK("C:\Users\jimmy\Desktop\Examens arbete\Kod\Ny mapp\remix_-copy-of-miljöbeslut.se-portal\MIL20242313pdf_976561.pdf", "Öppna PDF")</f>
        <v/>
      </c>
    </row>
    <row r="1719">
      <c r="A1719" t="inlineStr">
        <is>
          <t>KRAV-AUTO-001718</t>
        </is>
      </c>
      <c r="B1719" t="inlineStr">
        <is>
          <t>ADMIN-INDEX-2026-02-27-00000000125C043F57453246863FE664CAFE6A3F0700950291EA24F0614FB6ACEDB12BF0E31D00000000010C0000950291EA24F0614FB6ACEDB12BF0E31D00002087AEF40000</t>
        </is>
      </c>
      <c r="C1719" t="inlineStr">
        <is>
          <t>cmm4yuo2i01a2cuqw719jt1sh</t>
        </is>
      </c>
      <c r="D1719" t="inlineStr">
        <is>
          <t>http://localhost:8787/api/admin/requirements/documents/cmm4yuo2i01a2cuqw719jt1sh/view</t>
        </is>
      </c>
      <c r="E1719">
        <f>HYPERLÄNK("http://localhost:8787/api/admin/requirements/documents/cmm4yuo2i01a2cuqw719jt1sh/view";"Öppna PDF")</f>
        <v/>
      </c>
      <c r="F1719">
        <f>HYPERLINK("http://localhost:8787/api/admin/requirements/documents/cmm4yuo2i01a2cuqw719jt1sh/view","Open PDF")</f>
        <v/>
      </c>
      <c r="G1719" t="inlineStr">
        <is>
          <t>cmm55w57p0004cuisfrtpqly8</t>
        </is>
      </c>
      <c r="H1719" t="inlineStr">
        <is>
          <t>Beslutsvillkor</t>
        </is>
      </c>
      <c r="I1719" t="inlineStr">
        <is>
          <t>TransportLogistik</t>
        </is>
      </c>
      <c r="J1719" t="inlineStr">
        <is>
          <t>Transportvagar</t>
        </is>
      </c>
      <c r="K1719" t="inlineStr">
        <is>
          <t>Vem ska transportera avfallet och hur ska transporten gå till?</t>
        </is>
      </c>
      <c r="L1719" t="inlineStr">
        <is>
          <t>Vem ska transportera avfallet och hur ska transporten gå till?</t>
        </is>
      </c>
      <c r="M1719" t="inlineStr">
        <is>
          <t>SKA</t>
        </is>
      </c>
      <c r="N1719" t="inlineStr"/>
      <c r="O1719" t="inlineStr"/>
      <c r="P1719" t="inlineStr"/>
      <c r="Q1719" t="inlineStr"/>
      <c r="R1719" t="inlineStr">
        <is>
          <t>Vid transporter</t>
        </is>
      </c>
      <c r="S1719" t="inlineStr"/>
      <c r="T1719" t="inlineStr">
        <is>
          <t>950170</t>
        </is>
      </c>
      <c r="U1719" t="inlineStr"/>
      <c r="V1719" t="inlineStr"/>
      <c r="W1719" t="inlineStr">
        <is>
          <t>Nej</t>
        </is>
      </c>
      <c r="X1719" t="inlineStr">
        <is>
          <t>Nej</t>
        </is>
      </c>
      <c r="Y1719" t="inlineStr">
        <is>
          <t>Nej</t>
        </is>
      </c>
      <c r="Z1719" t="inlineStr">
        <is>
          <t>Ja</t>
        </is>
      </c>
      <c r="AA1719" t="n">
        <v>9</v>
      </c>
      <c r="AB1719" t="inlineStr">
        <is>
          <t>Transporter och logistik</t>
        </is>
      </c>
      <c r="AC1719" t="inlineStr">
        <is>
          <t>Trafikplan</t>
        </is>
      </c>
      <c r="AD1719" t="inlineStr">
        <is>
          <t>Nej</t>
        </is>
      </c>
      <c r="AE1719" t="inlineStr">
        <is>
          <t>Nej</t>
        </is>
      </c>
      <c r="AF1719" t="inlineStr">
        <is>
          <t>Ej behandlad</t>
        </is>
      </c>
      <c r="AG1719" t="inlineStr">
        <is>
          <t>AUTO_GENERERAD. Verifiera citat mot kallfil.</t>
        </is>
      </c>
      <c r="AH1719" t="inlineStr">
        <is>
          <t>MEDIUM</t>
        </is>
      </c>
      <c r="AI1719" t="inlineStr">
        <is>
          <t>AUTO</t>
        </is>
      </c>
      <c r="AJ1719" t="inlineStr">
        <is>
          <t>Nej</t>
        </is>
      </c>
      <c r="AK1719" t="inlineStr"/>
      <c r="AL1719" t="inlineStr"/>
      <c r="AM1719" t="inlineStr"/>
      <c r="AN1719" t="inlineStr"/>
      <c r="AO1719" t="inlineStr">
        <is>
          <t>cmm4yuo2v01aecuqwrs33d0lp</t>
        </is>
      </c>
      <c r="AP1719" t="inlineStr">
        <is>
          <t>http://localhost:8787/api/admin/requirements/documents/cmm4yuo2v01aecuqwrs33d0lp/view</t>
        </is>
      </c>
      <c r="AQ1719">
        <f>HYPERLÄNK("http://localhost:8787/api/admin/requirements/documents/cmm4yuo2v01aecuqwrs33d0lp/view";"Öppna PDF")</f>
        <v/>
      </c>
      <c r="AR1719">
        <f>HYPERLINK("http://localhost:8787/api/admin/requirements/documents/cmm4yuo2v01aecuqwrs33d0lp/view","Open PDF")</f>
        <v/>
      </c>
      <c r="AS1719" t="inlineStr">
        <is>
          <t>cmm55w57p0004cuisfrtpqly8</t>
        </is>
      </c>
      <c r="AT1719" t="inlineStr">
        <is>
          <t>cmm4xvu980000cuh4vj0usz09</t>
        </is>
      </c>
      <c r="AU1719" t="inlineStr">
        <is>
          <t>nummer Webbadress Enköpings</t>
        </is>
      </c>
      <c r="AV1719" t="inlineStr">
        <is>
          <t>Kommun</t>
        </is>
      </c>
      <c r="AW1719" t="inlineStr">
        <is>
          <t>nummer Webbadress Enköpings kommun</t>
        </is>
      </c>
      <c r="AX1719" t="inlineStr">
        <is>
          <t>2026-02</t>
        </is>
      </c>
      <c r="AY1719" t="inlineStr">
        <is>
          <t>Beslut</t>
        </is>
      </c>
      <c r="AZ1719" t="inlineStr">
        <is>
          <t>2026-02-03</t>
        </is>
      </c>
      <c r="BA1719" t="inlineStr">
        <is>
          <t>MIL20242313pdf_976561.pdf</t>
        </is>
      </c>
      <c r="BB1719" t="inlineStr">
        <is>
          <t>Begäran om allmän handling i ärende  MIL.2026.363</t>
        </is>
      </c>
      <c r="BC1719" t="inlineStr">
        <is>
          <t>AUTO</t>
        </is>
      </c>
      <c r="BD1719" t="inlineStr"/>
      <c r="BE1719" t="inlineStr"/>
      <c r="BF1719" t="inlineStr">
        <is>
          <t>AUTO_GENERERAD. Bekrafta metadata mot kallfil.</t>
        </is>
      </c>
      <c r="BG1719">
        <f>HYPERLINK("C:\Users\jimmy\Desktop\Examens arbete\Kod\Ny mapp\remix_-copy-of-miljöbeslut.se-portal\MIL20242313pdf_976561.pdf", "Öppna PDF")</f>
        <v/>
      </c>
    </row>
    <row r="1720">
      <c r="A1720" t="inlineStr">
        <is>
          <t>KRAV-AUTO-001719</t>
        </is>
      </c>
      <c r="B1720" t="inlineStr">
        <is>
          <t>ADMIN-INDEX-2026-02-27-00000000125C043F57453246863FE664CAFE6A3F0700950291EA24F0614FB6ACEDB12BF0E31D00000000010C0000950291EA24F0614FB6ACEDB12BF0E31D00002087AEF50000</t>
        </is>
      </c>
      <c r="C1720" t="inlineStr">
        <is>
          <t>cmm4yuo2e019zcuqw2jcty2mf</t>
        </is>
      </c>
      <c r="D1720" t="inlineStr">
        <is>
          <t>http://localhost:8787/api/admin/requirements/documents/cmm4yuo2e019zcuqw2jcty2mf/view</t>
        </is>
      </c>
      <c r="E1720">
        <f>HYPERLÄNK("http://localhost:8787/api/admin/requirements/documents/cmm4yuo2e019zcuqw2jcty2mf/view";"Öppna PDF")</f>
        <v/>
      </c>
      <c r="F1720">
        <f>HYPERLINK("http://localhost:8787/api/admin/requirements/documents/cmm4yuo2e019zcuqw2jcty2mf/view","Open PDF")</f>
        <v/>
      </c>
      <c r="G1720" t="inlineStr">
        <is>
          <t>cmm55w57p0004cuisfrtpqly8</t>
        </is>
      </c>
      <c r="H1720" t="inlineStr">
        <is>
          <t>Beslutsvillkor</t>
        </is>
      </c>
      <c r="I1720" t="inlineStr">
        <is>
          <t>DagvattenLakvatten</t>
        </is>
      </c>
      <c r="J1720" t="inlineStr">
        <is>
          <t>Uppsamling</t>
        </is>
      </c>
      <c r="K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0" t="inlineStr">
        <is>
          <t>SKA</t>
        </is>
      </c>
      <c r="N1720" t="inlineStr">
        <is>
          <t>Naturvardsverket</t>
        </is>
      </c>
      <c r="O1720" t="inlineStr"/>
      <c r="P1720" t="inlineStr">
        <is>
          <t>Arlig</t>
        </is>
      </c>
      <c r="Q1720" t="inlineStr"/>
      <c r="R1720" t="inlineStr">
        <is>
          <t>Vid nederbord och avrinning</t>
        </is>
      </c>
      <c r="S1720" t="inlineStr"/>
      <c r="T1720" t="inlineStr">
        <is>
          <t>888215</t>
        </is>
      </c>
      <c r="U1720" t="inlineStr"/>
      <c r="V1720" t="inlineStr"/>
      <c r="W1720" t="inlineStr">
        <is>
          <t>Nej</t>
        </is>
      </c>
      <c r="X1720" t="inlineStr">
        <is>
          <t>Ja</t>
        </is>
      </c>
      <c r="Y1720" t="inlineStr">
        <is>
          <t>Ja</t>
        </is>
      </c>
      <c r="Z1720" t="inlineStr">
        <is>
          <t>Nej</t>
        </is>
      </c>
      <c r="AA1720" t="n">
        <v>6</v>
      </c>
      <c r="AB1720" t="inlineStr">
        <is>
          <t>Lakvattenhantering</t>
        </is>
      </c>
      <c r="AC1720" t="inlineStr">
        <is>
          <t>Flodesschema dagvatten-lakvatten</t>
        </is>
      </c>
      <c r="AD1720" t="inlineStr">
        <is>
          <t>Nej</t>
        </is>
      </c>
      <c r="AE1720" t="inlineStr">
        <is>
          <t>Nej</t>
        </is>
      </c>
      <c r="AF1720" t="inlineStr">
        <is>
          <t>Ej behandlad</t>
        </is>
      </c>
      <c r="AG1720" t="inlineStr">
        <is>
          <t>AUTO_GENERERAD. Verifiera citat mot kallfil.</t>
        </is>
      </c>
      <c r="AH1720" t="inlineStr">
        <is>
          <t>HIGH</t>
        </is>
      </c>
      <c r="AI1720" t="inlineStr">
        <is>
          <t>AUTO</t>
        </is>
      </c>
      <c r="AJ1720" t="inlineStr">
        <is>
          <t>Nej</t>
        </is>
      </c>
      <c r="AK1720" t="inlineStr"/>
      <c r="AL1720" t="inlineStr"/>
      <c r="AM1720" t="inlineStr"/>
      <c r="AN1720" t="inlineStr"/>
      <c r="AO1720" t="inlineStr">
        <is>
          <t>cmm4yuo2e019zcuqw2jcty2mf</t>
        </is>
      </c>
      <c r="AP1720" t="inlineStr">
        <is>
          <t>http://localhost:8787/api/admin/requirements/documents/cmm4yuo2e019zcuqw2jcty2mf/view</t>
        </is>
      </c>
      <c r="AQ1720">
        <f>HYPERLÄNK("http://localhost:8787/api/admin/requirements/documents/cmm4yuo2e019zcuqw2jcty2mf/view";"Öppna PDF")</f>
        <v/>
      </c>
      <c r="AR1720">
        <f>HYPERLINK("http://localhost:8787/api/admin/requirements/documents/cmm4yuo2e019zcuqw2jcty2mf/view","Open PDF")</f>
        <v/>
      </c>
      <c r="AS1720" t="inlineStr">
        <is>
          <t>cmm55w57p0004cuisfrtpqly8</t>
        </is>
      </c>
      <c r="AT1720" t="inlineStr">
        <is>
          <t>cmm4xvu980000cuh4vj0usz09</t>
        </is>
      </c>
      <c r="AU1720" t="inlineStr">
        <is>
          <t>nummer Webbadress Enköpings</t>
        </is>
      </c>
      <c r="AV1720" t="inlineStr">
        <is>
          <t>Kommun</t>
        </is>
      </c>
      <c r="AW1720" t="inlineStr">
        <is>
          <t>nummer Webbadress Enköpings kommun</t>
        </is>
      </c>
      <c r="AX1720" t="inlineStr">
        <is>
          <t>2026-02</t>
        </is>
      </c>
      <c r="AY1720" t="inlineStr">
        <is>
          <t>Beslut</t>
        </is>
      </c>
      <c r="AZ1720" t="inlineStr">
        <is>
          <t>2026-02-03</t>
        </is>
      </c>
      <c r="BA1720" t="inlineStr">
        <is>
          <t>MIL2024526pdf_976554.pdf</t>
        </is>
      </c>
      <c r="BB1720" t="inlineStr">
        <is>
          <t>Begäran om allmän handling i ärende  MIL.2026.363</t>
        </is>
      </c>
      <c r="BC1720" t="inlineStr">
        <is>
          <t>AUTO</t>
        </is>
      </c>
      <c r="BD1720" t="inlineStr"/>
      <c r="BE1720" t="inlineStr"/>
      <c r="BF1720" t="inlineStr">
        <is>
          <t>AUTO_GENERERAD. Bekrafta metadata mot kallfil.</t>
        </is>
      </c>
      <c r="BG1720">
        <f>HYPERLINK("C:\Users\jimmy\Desktop\Examens arbete\Kod\Ny mapp\remix_-copy-of-miljöbeslut.se-portal\MIL2024526pdf_976554.pdf", "Öppna PDF")</f>
        <v/>
      </c>
    </row>
    <row r="1721">
      <c r="A1721" t="inlineStr">
        <is>
          <t>KRAV-AUTO-001720</t>
        </is>
      </c>
      <c r="B1721" t="inlineStr">
        <is>
          <t>ADMIN-INDEX-2026-02-27-00000000125C043F57453246863FE664CAFE6A3F0700950291EA24F0614FB6ACEDB12BF0E31D00000000010C0000950291EA24F0614FB6ACEDB12BF0E31D00002087AEF50000</t>
        </is>
      </c>
      <c r="C1721" t="inlineStr">
        <is>
          <t>cmm4yuo2e019zcuqw2jcty2mf</t>
        </is>
      </c>
      <c r="D1721" t="inlineStr">
        <is>
          <t>http://localhost:8787/api/admin/requirements/documents/cmm4yuo2e019zcuqw2jcty2mf/view</t>
        </is>
      </c>
      <c r="E1721">
        <f>HYPERLÄNK("http://localhost:8787/api/admin/requirements/documents/cmm4yuo2e019zcuqw2jcty2mf/view";"Öppna PDF")</f>
        <v/>
      </c>
      <c r="F1721">
        <f>HYPERLINK("http://localhost:8787/api/admin/requirements/documents/cmm4yuo2e019zcuqw2jcty2mf/view","Open PDF")</f>
        <v/>
      </c>
      <c r="G1721" t="inlineStr">
        <is>
          <t>cmm55w57p0004cuisfrtpqly8</t>
        </is>
      </c>
      <c r="H1721" t="inlineStr">
        <is>
          <t>Beslutsvillkor</t>
        </is>
      </c>
      <c r="I1721" t="inlineStr">
        <is>
          <t>MiljopaverkanForsiktighet</t>
        </is>
      </c>
      <c r="J1721" t="inlineStr">
        <is>
          <t>Skyddsatgarder</t>
        </is>
      </c>
      <c r="K1721" t="inlineStr">
        <is>
          <t>Om en anläggning utformas så att onödigt mycket avfall används och avfallet inte fyller någon funktion kan det vara fråga om bortskaffning av avfall.</t>
        </is>
      </c>
      <c r="L1721" t="inlineStr">
        <is>
          <t>Om en anläggning utformas så att onödigt mycket avfall används och avfallet inte fyller någon funktion kan det vara fråga om bortskaffning av avfall.</t>
        </is>
      </c>
      <c r="M1721" t="inlineStr">
        <is>
          <t>SKA</t>
        </is>
      </c>
      <c r="N1721" t="inlineStr"/>
      <c r="O1721" t="inlineStr"/>
      <c r="P1721" t="inlineStr"/>
      <c r="Q1721" t="inlineStr"/>
      <c r="R1721" t="inlineStr">
        <is>
          <t>Alltid</t>
        </is>
      </c>
      <c r="S1721" t="inlineStr"/>
      <c r="T1721" t="inlineStr">
        <is>
          <t>888215</t>
        </is>
      </c>
      <c r="U1721" t="inlineStr"/>
      <c r="V1721" t="inlineStr"/>
      <c r="W1721" t="inlineStr">
        <is>
          <t>Nej</t>
        </is>
      </c>
      <c r="X1721" t="inlineStr">
        <is>
          <t>Nej</t>
        </is>
      </c>
      <c r="Y1721" t="inlineStr">
        <is>
          <t>Nej</t>
        </is>
      </c>
      <c r="Z1721" t="inlineStr">
        <is>
          <t>Nej</t>
        </is>
      </c>
      <c r="AA1721" t="n">
        <v>10</v>
      </c>
      <c r="AB1721" t="inlineStr">
        <is>
          <t>Miljopaverkan och forsiktighetsmatt</t>
        </is>
      </c>
      <c r="AC1721" t="inlineStr">
        <is>
          <t>Miljo-PM</t>
        </is>
      </c>
      <c r="AD1721" t="inlineStr">
        <is>
          <t>Nej</t>
        </is>
      </c>
      <c r="AE1721" t="inlineStr">
        <is>
          <t>Nej</t>
        </is>
      </c>
      <c r="AF1721" t="inlineStr">
        <is>
          <t>Ej behandlad</t>
        </is>
      </c>
      <c r="AG1721" t="inlineStr">
        <is>
          <t>AUTO_GENERERAD. Verifiera citat mot kallfil.</t>
        </is>
      </c>
      <c r="AH1721" t="inlineStr">
        <is>
          <t>MEDIUM</t>
        </is>
      </c>
      <c r="AI1721" t="inlineStr">
        <is>
          <t>AUTO</t>
        </is>
      </c>
      <c r="AJ1721" t="inlineStr">
        <is>
          <t>Nej</t>
        </is>
      </c>
      <c r="AK1721" t="inlineStr"/>
      <c r="AL1721" t="inlineStr"/>
      <c r="AM1721" t="inlineStr"/>
      <c r="AN1721" t="inlineStr"/>
      <c r="AO1721" t="inlineStr">
        <is>
          <t>cmm4yuo2e019zcuqw2jcty2mf</t>
        </is>
      </c>
      <c r="AP1721" t="inlineStr">
        <is>
          <t>http://localhost:8787/api/admin/requirements/documents/cmm4yuo2e019zcuqw2jcty2mf/view</t>
        </is>
      </c>
      <c r="AQ1721">
        <f>HYPERLÄNK("http://localhost:8787/api/admin/requirements/documents/cmm4yuo2e019zcuqw2jcty2mf/view";"Öppna PDF")</f>
        <v/>
      </c>
      <c r="AR1721">
        <f>HYPERLINK("http://localhost:8787/api/admin/requirements/documents/cmm4yuo2e019zcuqw2jcty2mf/view","Open PDF")</f>
        <v/>
      </c>
      <c r="AS1721" t="inlineStr">
        <is>
          <t>cmm55w57p0004cuisfrtpqly8</t>
        </is>
      </c>
      <c r="AT1721" t="inlineStr">
        <is>
          <t>cmm4xvu980000cuh4vj0usz09</t>
        </is>
      </c>
      <c r="AU1721" t="inlineStr">
        <is>
          <t>nummer Webbadress Enköpings</t>
        </is>
      </c>
      <c r="AV1721" t="inlineStr">
        <is>
          <t>Kommun</t>
        </is>
      </c>
      <c r="AW1721" t="inlineStr">
        <is>
          <t>nummer Webbadress Enköpings kommun</t>
        </is>
      </c>
      <c r="AX1721" t="inlineStr">
        <is>
          <t>2026-02</t>
        </is>
      </c>
      <c r="AY1721" t="inlineStr">
        <is>
          <t>Beslut</t>
        </is>
      </c>
      <c r="AZ1721" t="inlineStr">
        <is>
          <t>2026-02-03</t>
        </is>
      </c>
      <c r="BA1721" t="inlineStr">
        <is>
          <t>MIL2024526pdf_976554.pdf</t>
        </is>
      </c>
      <c r="BB1721" t="inlineStr">
        <is>
          <t>Begäran om allmän handling i ärende  MIL.2026.363</t>
        </is>
      </c>
      <c r="BC1721" t="inlineStr">
        <is>
          <t>AUTO</t>
        </is>
      </c>
      <c r="BD1721" t="inlineStr"/>
      <c r="BE1721" t="inlineStr"/>
      <c r="BF1721" t="inlineStr">
        <is>
          <t>AUTO_GENERERAD. Bekrafta metadata mot kallfil.</t>
        </is>
      </c>
      <c r="BG1721">
        <f>HYPERLINK("C:\Users\jimmy\Desktop\Examens arbete\Kod\Ny mapp\remix_-copy-of-miljöbeslut.se-portal\MIL2024526pdf_976554.pdf", "Öppna PDF")</f>
        <v/>
      </c>
    </row>
    <row r="1722">
      <c r="A1722" t="inlineStr">
        <is>
          <t>KRAV-AUTO-001721</t>
        </is>
      </c>
      <c r="B1722" t="inlineStr">
        <is>
          <t>ADMIN-INDEX-2026-02-27-00000000125C043F57453246863FE664CAFE6A3F0700950291EA24F0614FB6ACEDB12BF0E31D00000000010C0000950291EA24F0614FB6ACEDB12BF0E31D00002087AEF50000</t>
        </is>
      </c>
      <c r="C1722" t="inlineStr">
        <is>
          <t>cmm4yuo2e019zcuqw2jcty2mf</t>
        </is>
      </c>
      <c r="D1722" t="inlineStr">
        <is>
          <t>http://localhost:8787/api/admin/requirements/documents/cmm4yuo2e019zcuqw2jcty2mf/view</t>
        </is>
      </c>
      <c r="E1722">
        <f>HYPERLÄNK("http://localhost:8787/api/admin/requirements/documents/cmm4yuo2e019zcuqw2jcty2mf/view";"Öppna PDF")</f>
        <v/>
      </c>
      <c r="F1722">
        <f>HYPERLINK("http://localhost:8787/api/admin/requirements/documents/cmm4yuo2e019zcuqw2jcty2mf/view","Open PDF")</f>
        <v/>
      </c>
      <c r="G1722" t="inlineStr">
        <is>
          <t>cmm55w57p0004cuisfrtpqly8</t>
        </is>
      </c>
      <c r="H1722" t="inlineStr">
        <is>
          <t>Beslutsvillkor</t>
        </is>
      </c>
      <c r="I1722" t="inlineStr">
        <is>
          <t>DagvattenLakvatten</t>
        </is>
      </c>
      <c r="J1722" t="inlineStr">
        <is>
          <t>Uppsamling</t>
        </is>
      </c>
      <c r="K1722" t="inlineStr">
        <is>
          <t>Kemiska produkter och farligt avfall ska förvaras väl uppmärkta och på sådant sätt att risk för förorening av mark och vatten inte föreligger.</t>
        </is>
      </c>
      <c r="L1722" t="inlineStr">
        <is>
          <t>Kemiska produkter och farligt avfall ska förvaras väl uppmärkta och på sådant sätt att risk för förorening av mark och vatten inte föreligger.</t>
        </is>
      </c>
      <c r="M1722" t="inlineStr">
        <is>
          <t>SKA</t>
        </is>
      </c>
      <c r="N1722" t="inlineStr"/>
      <c r="O1722" t="inlineStr"/>
      <c r="P1722" t="inlineStr">
        <is>
          <t>Arlig</t>
        </is>
      </c>
      <c r="Q1722" t="inlineStr"/>
      <c r="R1722" t="inlineStr">
        <is>
          <t>Vid nederbord och avrinning</t>
        </is>
      </c>
      <c r="S1722" t="inlineStr"/>
      <c r="T1722" t="inlineStr">
        <is>
          <t>888215</t>
        </is>
      </c>
      <c r="U1722" t="inlineStr"/>
      <c r="V1722" t="inlineStr"/>
      <c r="W1722" t="inlineStr">
        <is>
          <t>Nej</t>
        </is>
      </c>
      <c r="X1722" t="inlineStr">
        <is>
          <t>Ja</t>
        </is>
      </c>
      <c r="Y1722" t="inlineStr">
        <is>
          <t>Ja</t>
        </is>
      </c>
      <c r="Z1722" t="inlineStr">
        <is>
          <t>Nej</t>
        </is>
      </c>
      <c r="AA1722" t="n">
        <v>6</v>
      </c>
      <c r="AB1722" t="inlineStr">
        <is>
          <t>Lakvattenhantering</t>
        </is>
      </c>
      <c r="AC1722" t="inlineStr">
        <is>
          <t>Flodesschema dagvatten-lakvatten</t>
        </is>
      </c>
      <c r="AD1722" t="inlineStr">
        <is>
          <t>Nej</t>
        </is>
      </c>
      <c r="AE1722" t="inlineStr">
        <is>
          <t>Nej</t>
        </is>
      </c>
      <c r="AF1722" t="inlineStr">
        <is>
          <t>Ej behandlad</t>
        </is>
      </c>
      <c r="AG1722" t="inlineStr">
        <is>
          <t>AUTO_GENERERAD. Verifiera citat mot kallfil.</t>
        </is>
      </c>
      <c r="AH1722" t="inlineStr">
        <is>
          <t>MEDIUM</t>
        </is>
      </c>
      <c r="AI1722" t="inlineStr">
        <is>
          <t>AUTO</t>
        </is>
      </c>
      <c r="AJ1722" t="inlineStr">
        <is>
          <t>Nej</t>
        </is>
      </c>
      <c r="AK1722" t="inlineStr"/>
      <c r="AL1722" t="inlineStr"/>
      <c r="AM1722" t="inlineStr"/>
      <c r="AN1722" t="inlineStr"/>
      <c r="AO1722" t="inlineStr">
        <is>
          <t>cmm4yuo2e019zcuqw2jcty2mf</t>
        </is>
      </c>
      <c r="AP1722" t="inlineStr">
        <is>
          <t>http://localhost:8787/api/admin/requirements/documents/cmm4yuo2e019zcuqw2jcty2mf/view</t>
        </is>
      </c>
      <c r="AQ1722">
        <f>HYPERLÄNK("http://localhost:8787/api/admin/requirements/documents/cmm4yuo2e019zcuqw2jcty2mf/view";"Öppna PDF")</f>
        <v/>
      </c>
      <c r="AR1722">
        <f>HYPERLINK("http://localhost:8787/api/admin/requirements/documents/cmm4yuo2e019zcuqw2jcty2mf/view","Open PDF")</f>
        <v/>
      </c>
      <c r="AS1722" t="inlineStr">
        <is>
          <t>cmm55w57p0004cuisfrtpqly8</t>
        </is>
      </c>
      <c r="AT1722" t="inlineStr">
        <is>
          <t>cmm4xvu980000cuh4vj0usz09</t>
        </is>
      </c>
      <c r="AU1722" t="inlineStr">
        <is>
          <t>nummer Webbadress Enköpings</t>
        </is>
      </c>
      <c r="AV1722" t="inlineStr">
        <is>
          <t>Kommun</t>
        </is>
      </c>
      <c r="AW1722" t="inlineStr">
        <is>
          <t>nummer Webbadress Enköpings kommun</t>
        </is>
      </c>
      <c r="AX1722" t="inlineStr">
        <is>
          <t>2026-02</t>
        </is>
      </c>
      <c r="AY1722" t="inlineStr">
        <is>
          <t>Beslut</t>
        </is>
      </c>
      <c r="AZ1722" t="inlineStr">
        <is>
          <t>2026-02-03</t>
        </is>
      </c>
      <c r="BA1722" t="inlineStr">
        <is>
          <t>MIL2024526pdf_976554.pdf</t>
        </is>
      </c>
      <c r="BB1722" t="inlineStr">
        <is>
          <t>Begäran om allmän handling i ärende  MIL.2026.363</t>
        </is>
      </c>
      <c r="BC1722" t="inlineStr">
        <is>
          <t>AUTO</t>
        </is>
      </c>
      <c r="BD1722" t="inlineStr"/>
      <c r="BE1722" t="inlineStr"/>
      <c r="BF1722" t="inlineStr">
        <is>
          <t>AUTO_GENERERAD. Bekrafta metadata mot kallfil.</t>
        </is>
      </c>
      <c r="BG1722">
        <f>HYPERLINK("C:\Users\jimmy\Desktop\Examens arbete\Kod\Ny mapp\remix_-copy-of-miljöbeslut.se-portal\MIL2024526pdf_976554.pdf", "Öppna PDF")</f>
        <v/>
      </c>
    </row>
    <row r="1723">
      <c r="A1723" t="inlineStr">
        <is>
          <t>KRAV-AUTO-001722</t>
        </is>
      </c>
      <c r="B1723" t="inlineStr">
        <is>
          <t>ADMIN-INDEX-2026-02-27-00000000125C043F57453246863FE664CAFE6A3F0700950291EA24F0614FB6ACEDB12BF0E31D00000000010C0000950291EA24F0614FB6ACEDB12BF0E31D00002087AEF50000</t>
        </is>
      </c>
      <c r="C1723" t="inlineStr">
        <is>
          <t>cmm4yuo2b019wcuqwqx0j3nbg</t>
        </is>
      </c>
      <c r="D1723" t="inlineStr">
        <is>
          <t>http://localhost:8787/api/admin/requirements/documents/cmm4yuo2b019wcuqwqx0j3nbg/view</t>
        </is>
      </c>
      <c r="E1723">
        <f>HYPERLÄNK("http://localhost:8787/api/admin/requirements/documents/cmm4yuo2b019wcuqwqx0j3nbg/view";"Öppna PDF")</f>
        <v/>
      </c>
      <c r="F1723">
        <f>HYPERLINK("http://localhost:8787/api/admin/requirements/documents/cmm4yuo2b019wcuqwqx0j3nbg/view","Open PDF")</f>
        <v/>
      </c>
      <c r="G1723" t="inlineStr">
        <is>
          <t>cmm55w57p0004cuisfrtpqly8</t>
        </is>
      </c>
      <c r="H1723" t="inlineStr">
        <is>
          <t>Beslutsvillkor</t>
        </is>
      </c>
      <c r="I1723" t="inlineStr">
        <is>
          <t>Ytkonstruktion</t>
        </is>
      </c>
      <c r="J1723" t="inlineStr">
        <is>
          <t>Tat yta</t>
        </is>
      </c>
      <c r="K1723" t="inlineStr">
        <is>
          <t>Lagring av bränsle, oljor, kemiska produkter ska ske på tät, invallad yta som är beständig mot den kemiska produkt som lagras, samt skyddas mot nederbörd.</t>
        </is>
      </c>
      <c r="L1723" t="inlineStr">
        <is>
          <t>Lagring av bränsle, oljor, kemiska produkter ska ske på tät, invallad yta som är beständig mot den kemiska produkt som lagras, samt skyddas mot nederbörd.</t>
        </is>
      </c>
      <c r="M1723" t="inlineStr">
        <is>
          <t>SKA</t>
        </is>
      </c>
      <c r="N1723" t="inlineStr"/>
      <c r="O1723" t="inlineStr"/>
      <c r="P1723" t="inlineStr"/>
      <c r="Q1723" t="inlineStr"/>
      <c r="R1723" t="inlineStr">
        <is>
          <t>Vid mellanlagring av avfall</t>
        </is>
      </c>
      <c r="S1723" t="inlineStr"/>
      <c r="T1723" t="inlineStr">
        <is>
          <t>886107</t>
        </is>
      </c>
      <c r="U1723" t="inlineStr"/>
      <c r="V1723" t="inlineStr"/>
      <c r="W1723" t="inlineStr">
        <is>
          <t>Ja</t>
        </is>
      </c>
      <c r="X1723" t="inlineStr">
        <is>
          <t>Nej</t>
        </is>
      </c>
      <c r="Y1723" t="inlineStr">
        <is>
          <t>Nej</t>
        </is>
      </c>
      <c r="Z1723" t="inlineStr">
        <is>
          <t>Nej</t>
        </is>
      </c>
      <c r="AA1723" t="n">
        <v>5</v>
      </c>
      <c r="AB1723" t="inlineStr">
        <is>
          <t>Teknisk beskrivning av platta</t>
        </is>
      </c>
      <c r="AC1723" t="inlineStr">
        <is>
          <t>Teknisk ritning platta</t>
        </is>
      </c>
      <c r="AD1723" t="inlineStr">
        <is>
          <t>Nej</t>
        </is>
      </c>
      <c r="AE1723" t="inlineStr">
        <is>
          <t>Nej</t>
        </is>
      </c>
      <c r="AF1723" t="inlineStr">
        <is>
          <t>Ej behandlad</t>
        </is>
      </c>
      <c r="AG1723" t="inlineStr">
        <is>
          <t>AUTO_GENERERAD. Verifiera citat mot kallfil.</t>
        </is>
      </c>
      <c r="AH1723" t="inlineStr">
        <is>
          <t>MEDIUM</t>
        </is>
      </c>
      <c r="AI1723" t="inlineStr">
        <is>
          <t>AUTO</t>
        </is>
      </c>
      <c r="AJ1723" t="inlineStr">
        <is>
          <t>Nej</t>
        </is>
      </c>
      <c r="AK1723" t="inlineStr"/>
      <c r="AL1723" t="inlineStr"/>
      <c r="AM1723" t="inlineStr"/>
      <c r="AN1723" t="inlineStr"/>
      <c r="AO1723" t="inlineStr">
        <is>
          <t>cmm4yuo2e019zcuqw2jcty2mf</t>
        </is>
      </c>
      <c r="AP1723" t="inlineStr">
        <is>
          <t>http://localhost:8787/api/admin/requirements/documents/cmm4yuo2e019zcuqw2jcty2mf/view</t>
        </is>
      </c>
      <c r="AQ1723">
        <f>HYPERLÄNK("http://localhost:8787/api/admin/requirements/documents/cmm4yuo2e019zcuqw2jcty2mf/view";"Öppna PDF")</f>
        <v/>
      </c>
      <c r="AR1723">
        <f>HYPERLINK("http://localhost:8787/api/admin/requirements/documents/cmm4yuo2e019zcuqw2jcty2mf/view","Open PDF")</f>
        <v/>
      </c>
      <c r="AS1723" t="inlineStr">
        <is>
          <t>cmm55w57p0004cuisfrtpqly8</t>
        </is>
      </c>
      <c r="AT1723" t="inlineStr">
        <is>
          <t>cmm4xvu980000cuh4vj0usz09</t>
        </is>
      </c>
      <c r="AU1723" t="inlineStr">
        <is>
          <t>nummer Webbadress Enköpings</t>
        </is>
      </c>
      <c r="AV1723" t="inlineStr">
        <is>
          <t>Kommun</t>
        </is>
      </c>
      <c r="AW1723" t="inlineStr">
        <is>
          <t>nummer Webbadress Enköpings kommun</t>
        </is>
      </c>
      <c r="AX1723" t="inlineStr">
        <is>
          <t>2026-02</t>
        </is>
      </c>
      <c r="AY1723" t="inlineStr">
        <is>
          <t>Beslut</t>
        </is>
      </c>
      <c r="AZ1723" t="inlineStr">
        <is>
          <t>2026-02-03</t>
        </is>
      </c>
      <c r="BA1723" t="inlineStr">
        <is>
          <t>MIL2024526pdf_976554.pdf</t>
        </is>
      </c>
      <c r="BB1723" t="inlineStr">
        <is>
          <t>Begäran om allmän handling i ärende  MIL.2026.363</t>
        </is>
      </c>
      <c r="BC1723" t="inlineStr">
        <is>
          <t>AUTO</t>
        </is>
      </c>
      <c r="BD1723" t="inlineStr"/>
      <c r="BE1723" t="inlineStr"/>
      <c r="BF1723" t="inlineStr">
        <is>
          <t>AUTO_GENERERAD. Bekrafta metadata mot kallfil.</t>
        </is>
      </c>
      <c r="BG1723">
        <f>HYPERLINK("C:\Users\jimmy\Desktop\Examens arbete\Kod\Ny mapp\remix_-copy-of-miljöbeslut.se-portal\MIL2024526pdf_976554.pdf", "Öppna PDF")</f>
        <v/>
      </c>
    </row>
    <row r="1724">
      <c r="A1724" t="inlineStr">
        <is>
          <t>KRAV-AUTO-001723</t>
        </is>
      </c>
      <c r="B1724" t="inlineStr">
        <is>
          <t>ADMIN-INDEX-2026-02-27-00000000125C043F57453246863FE664CAFE6A3F0700950291EA24F0614FB6ACEDB12BF0E31D00000000010C0000950291EA24F0614FB6ACEDB12BF0E31D00002087AEF50000</t>
        </is>
      </c>
      <c r="C1724" t="inlineStr">
        <is>
          <t>cmm4yuo2b019wcuqwqx0j3nbg</t>
        </is>
      </c>
      <c r="D1724" t="inlineStr">
        <is>
          <t>http://localhost:8787/api/admin/requirements/documents/cmm4yuo2b019wcuqwqx0j3nbg/view</t>
        </is>
      </c>
      <c r="E1724">
        <f>HYPERLÄNK("http://localhost:8787/api/admin/requirements/documents/cmm4yuo2b019wcuqwqx0j3nbg/view";"Öppna PDF")</f>
        <v/>
      </c>
      <c r="F1724">
        <f>HYPERLINK("http://localhost:8787/api/admin/requirements/documents/cmm4yuo2b019wcuqwqx0j3nbg/view","Open PDF")</f>
        <v/>
      </c>
      <c r="G1724" t="inlineStr">
        <is>
          <t>cmm55w57p0004cuisfrtpqly8</t>
        </is>
      </c>
      <c r="H1724" t="inlineStr">
        <is>
          <t>Beslutsvillkor</t>
        </is>
      </c>
      <c r="I1724" t="inlineStr">
        <is>
          <t>DagvattenLakvatten</t>
        </is>
      </c>
      <c r="J1724" t="inlineStr">
        <is>
          <t>Uppsamling</t>
        </is>
      </c>
      <c r="K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4" t="inlineStr">
        <is>
          <t>SKA</t>
        </is>
      </c>
      <c r="N1724" t="inlineStr">
        <is>
          <t>Naturvardsverket</t>
        </is>
      </c>
      <c r="O1724" t="inlineStr"/>
      <c r="P1724" t="inlineStr">
        <is>
          <t>Arlig</t>
        </is>
      </c>
      <c r="Q1724" t="inlineStr"/>
      <c r="R1724" t="inlineStr">
        <is>
          <t>Vid nederbord och avrinning</t>
        </is>
      </c>
      <c r="S1724" t="inlineStr"/>
      <c r="T1724" t="inlineStr">
        <is>
          <t>886107</t>
        </is>
      </c>
      <c r="U1724" t="inlineStr"/>
      <c r="V1724" t="inlineStr"/>
      <c r="W1724" t="inlineStr">
        <is>
          <t>Nej</t>
        </is>
      </c>
      <c r="X1724" t="inlineStr">
        <is>
          <t>Ja</t>
        </is>
      </c>
      <c r="Y1724" t="inlineStr">
        <is>
          <t>Ja</t>
        </is>
      </c>
      <c r="Z1724" t="inlineStr">
        <is>
          <t>Nej</t>
        </is>
      </c>
      <c r="AA1724" t="n">
        <v>6</v>
      </c>
      <c r="AB1724" t="inlineStr">
        <is>
          <t>Lakvattenhantering</t>
        </is>
      </c>
      <c r="AC1724" t="inlineStr">
        <is>
          <t>Flodesschema dagvatten-lakvatten</t>
        </is>
      </c>
      <c r="AD1724" t="inlineStr">
        <is>
          <t>Nej</t>
        </is>
      </c>
      <c r="AE1724" t="inlineStr">
        <is>
          <t>Nej</t>
        </is>
      </c>
      <c r="AF1724" t="inlineStr">
        <is>
          <t>Ej behandlad</t>
        </is>
      </c>
      <c r="AG1724" t="inlineStr">
        <is>
          <t>AUTO_GENERERAD. Verifiera citat mot kallfil.</t>
        </is>
      </c>
      <c r="AH1724" t="inlineStr">
        <is>
          <t>HIGH</t>
        </is>
      </c>
      <c r="AI1724" t="inlineStr">
        <is>
          <t>AUTO</t>
        </is>
      </c>
      <c r="AJ1724" t="inlineStr">
        <is>
          <t>Nej</t>
        </is>
      </c>
      <c r="AK1724" t="inlineStr"/>
      <c r="AL1724" t="inlineStr"/>
      <c r="AM1724" t="inlineStr"/>
      <c r="AN1724" t="inlineStr"/>
      <c r="AO1724" t="inlineStr">
        <is>
          <t>cmm4yuo2e019zcuqw2jcty2mf</t>
        </is>
      </c>
      <c r="AP1724" t="inlineStr">
        <is>
          <t>http://localhost:8787/api/admin/requirements/documents/cmm4yuo2e019zcuqw2jcty2mf/view</t>
        </is>
      </c>
      <c r="AQ1724">
        <f>HYPERLÄNK("http://localhost:8787/api/admin/requirements/documents/cmm4yuo2e019zcuqw2jcty2mf/view";"Öppna PDF")</f>
        <v/>
      </c>
      <c r="AR1724">
        <f>HYPERLINK("http://localhost:8787/api/admin/requirements/documents/cmm4yuo2e019zcuqw2jcty2mf/view","Open PDF")</f>
        <v/>
      </c>
      <c r="AS1724" t="inlineStr">
        <is>
          <t>cmm55w57p0004cuisfrtpqly8</t>
        </is>
      </c>
      <c r="AT1724" t="inlineStr">
        <is>
          <t>cmm4xvu980000cuh4vj0usz09</t>
        </is>
      </c>
      <c r="AU1724" t="inlineStr">
        <is>
          <t>nummer Webbadress Enköpings</t>
        </is>
      </c>
      <c r="AV1724" t="inlineStr">
        <is>
          <t>Kommun</t>
        </is>
      </c>
      <c r="AW1724" t="inlineStr">
        <is>
          <t>nummer Webbadress Enköpings kommun</t>
        </is>
      </c>
      <c r="AX1724" t="inlineStr">
        <is>
          <t>2026-02</t>
        </is>
      </c>
      <c r="AY1724" t="inlineStr">
        <is>
          <t>Beslut</t>
        </is>
      </c>
      <c r="AZ1724" t="inlineStr">
        <is>
          <t>2026-02-03</t>
        </is>
      </c>
      <c r="BA1724" t="inlineStr">
        <is>
          <t>MIL2024526pdf_976554.pdf</t>
        </is>
      </c>
      <c r="BB1724" t="inlineStr">
        <is>
          <t>Begäran om allmän handling i ärende  MIL.2026.363</t>
        </is>
      </c>
      <c r="BC1724" t="inlineStr">
        <is>
          <t>AUTO</t>
        </is>
      </c>
      <c r="BD1724" t="inlineStr"/>
      <c r="BE1724" t="inlineStr"/>
      <c r="BF1724" t="inlineStr">
        <is>
          <t>AUTO_GENERERAD. Bekrafta metadata mot kallfil.</t>
        </is>
      </c>
      <c r="BG1724">
        <f>HYPERLINK("C:\Users\jimmy\Desktop\Examens arbete\Kod\Ny mapp\remix_-copy-of-miljöbeslut.se-portal\MIL2024526pdf_976554.pdf", "Öppna PDF")</f>
        <v/>
      </c>
    </row>
    <row r="1725">
      <c r="A1725" t="inlineStr">
        <is>
          <t>KRAV-AUTO-001724</t>
        </is>
      </c>
      <c r="B1725" t="inlineStr">
        <is>
          <t>ADMIN-INDEX-2026-02-27-00000000125C043F57453246863FE664CAFE6A3F0700950291EA24F0614FB6ACEDB12BF0E31D00000000010C0000950291EA24F0614FB6ACEDB12BF0E31D00002087AEF50000</t>
        </is>
      </c>
      <c r="C1725" t="inlineStr">
        <is>
          <t>cmm4yuo2b019wcuqwqx0j3nbg</t>
        </is>
      </c>
      <c r="D1725" t="inlineStr">
        <is>
          <t>http://localhost:8787/api/admin/requirements/documents/cmm4yuo2b019wcuqwqx0j3nbg/view</t>
        </is>
      </c>
      <c r="E1725">
        <f>HYPERLÄNK("http://localhost:8787/api/admin/requirements/documents/cmm4yuo2b019wcuqwqx0j3nbg/view";"Öppna PDF")</f>
        <v/>
      </c>
      <c r="F1725">
        <f>HYPERLINK("http://localhost:8787/api/admin/requirements/documents/cmm4yuo2b019wcuqwqx0j3nbg/view","Open PDF")</f>
        <v/>
      </c>
      <c r="G1725" t="inlineStr">
        <is>
          <t>cmm55w57p0004cuisfrtpqly8</t>
        </is>
      </c>
      <c r="H1725" t="inlineStr">
        <is>
          <t>Beslutsvillkor</t>
        </is>
      </c>
      <c r="I1725" t="inlineStr">
        <is>
          <t>Ytkonstruktion</t>
        </is>
      </c>
      <c r="J1725" t="inlineStr">
        <is>
          <t>Tat yta</t>
        </is>
      </c>
      <c r="K1725" t="inlineStr">
        <is>
          <t>Invallningar ska dimensioneras så att de rymmer största behållarens volym och minst 10 % av övrig lagrad volym.</t>
        </is>
      </c>
      <c r="L1725" t="inlineStr">
        <is>
          <t>Invallningar ska dimensioneras så att de rymmer största behållarens volym och minst 10 % av övrig lagrad volym.</t>
        </is>
      </c>
      <c r="M1725" t="inlineStr">
        <is>
          <t>SKA</t>
        </is>
      </c>
      <c r="N1725" t="inlineStr"/>
      <c r="O1725" t="inlineStr"/>
      <c r="P1725" t="inlineStr"/>
      <c r="Q1725" t="inlineStr"/>
      <c r="R1725" t="inlineStr">
        <is>
          <t>Vid mellanlagring av avfall</t>
        </is>
      </c>
      <c r="S1725" t="inlineStr"/>
      <c r="T1725" t="inlineStr">
        <is>
          <t>886107</t>
        </is>
      </c>
      <c r="U1725" t="inlineStr"/>
      <c r="V1725" t="inlineStr"/>
      <c r="W1725" t="inlineStr">
        <is>
          <t>Ja</t>
        </is>
      </c>
      <c r="X1725" t="inlineStr">
        <is>
          <t>Nej</t>
        </is>
      </c>
      <c r="Y1725" t="inlineStr">
        <is>
          <t>Nej</t>
        </is>
      </c>
      <c r="Z1725" t="inlineStr">
        <is>
          <t>Nej</t>
        </is>
      </c>
      <c r="AA1725" t="n">
        <v>5</v>
      </c>
      <c r="AB1725" t="inlineStr">
        <is>
          <t>Teknisk beskrivning av platta</t>
        </is>
      </c>
      <c r="AC1725" t="inlineStr">
        <is>
          <t>Teknisk ritning platta</t>
        </is>
      </c>
      <c r="AD1725" t="inlineStr">
        <is>
          <t>Nej</t>
        </is>
      </c>
      <c r="AE1725" t="inlineStr">
        <is>
          <t>Nej</t>
        </is>
      </c>
      <c r="AF1725" t="inlineStr">
        <is>
          <t>Ej behandlad</t>
        </is>
      </c>
      <c r="AG1725" t="inlineStr">
        <is>
          <t>AUTO_GENERERAD. Verifiera citat mot kallfil.</t>
        </is>
      </c>
      <c r="AH1725" t="inlineStr">
        <is>
          <t>MEDIUM</t>
        </is>
      </c>
      <c r="AI1725" t="inlineStr">
        <is>
          <t>AUTO</t>
        </is>
      </c>
      <c r="AJ1725" t="inlineStr">
        <is>
          <t>Nej</t>
        </is>
      </c>
      <c r="AK1725" t="inlineStr"/>
      <c r="AL1725" t="inlineStr"/>
      <c r="AM1725" t="inlineStr"/>
      <c r="AN1725" t="inlineStr"/>
      <c r="AO1725" t="inlineStr">
        <is>
          <t>cmm4yuo2e019zcuqw2jcty2mf</t>
        </is>
      </c>
      <c r="AP1725" t="inlineStr">
        <is>
          <t>http://localhost:8787/api/admin/requirements/documents/cmm4yuo2e019zcuqw2jcty2mf/view</t>
        </is>
      </c>
      <c r="AQ1725">
        <f>HYPERLÄNK("http://localhost:8787/api/admin/requirements/documents/cmm4yuo2e019zcuqw2jcty2mf/view";"Öppna PDF")</f>
        <v/>
      </c>
      <c r="AR1725">
        <f>HYPERLINK("http://localhost:8787/api/admin/requirements/documents/cmm4yuo2e019zcuqw2jcty2mf/view","Open PDF")</f>
        <v/>
      </c>
      <c r="AS1725" t="inlineStr">
        <is>
          <t>cmm55w57p0004cuisfrtpqly8</t>
        </is>
      </c>
      <c r="AT1725" t="inlineStr">
        <is>
          <t>cmm4xvu980000cuh4vj0usz09</t>
        </is>
      </c>
      <c r="AU1725" t="inlineStr">
        <is>
          <t>nummer Webbadress Enköpings</t>
        </is>
      </c>
      <c r="AV1725" t="inlineStr">
        <is>
          <t>Kommun</t>
        </is>
      </c>
      <c r="AW1725" t="inlineStr">
        <is>
          <t>nummer Webbadress Enköpings kommun</t>
        </is>
      </c>
      <c r="AX1725" t="inlineStr">
        <is>
          <t>2026-02</t>
        </is>
      </c>
      <c r="AY1725" t="inlineStr">
        <is>
          <t>Beslut</t>
        </is>
      </c>
      <c r="AZ1725" t="inlineStr">
        <is>
          <t>2026-02-03</t>
        </is>
      </c>
      <c r="BA1725" t="inlineStr">
        <is>
          <t>MIL2024526pdf_976554.pdf</t>
        </is>
      </c>
      <c r="BB1725" t="inlineStr">
        <is>
          <t>Begäran om allmän handling i ärende  MIL.2026.363</t>
        </is>
      </c>
      <c r="BC1725" t="inlineStr">
        <is>
          <t>AUTO</t>
        </is>
      </c>
      <c r="BD1725" t="inlineStr"/>
      <c r="BE1725" t="inlineStr"/>
      <c r="BF1725" t="inlineStr">
        <is>
          <t>AUTO_GENERERAD. Bekrafta metadata mot kallfil.</t>
        </is>
      </c>
      <c r="BG1725">
        <f>HYPERLINK("C:\Users\jimmy\Desktop\Examens arbete\Kod\Ny mapp\remix_-copy-of-miljöbeslut.se-portal\MIL2024526pdf_976554.pdf", "Öppna PDF")</f>
        <v/>
      </c>
    </row>
    <row r="1726">
      <c r="A1726" t="inlineStr">
        <is>
          <t>KRAV-AUTO-001725</t>
        </is>
      </c>
      <c r="B1726" t="inlineStr">
        <is>
          <t>ADMIN-INDEX-2026-02-27-00000000125C043F57453246863FE664CAFE6A3F0700950291EA24F0614FB6ACEDB12BF0E31D00000000010C0000950291EA24F0614FB6ACEDB12BF0E31D00002087AEF50000</t>
        </is>
      </c>
      <c r="C1726" t="inlineStr">
        <is>
          <t>cmm4yuo28019tcuqwjr9lxh3o</t>
        </is>
      </c>
      <c r="D1726" t="inlineStr">
        <is>
          <t>http://localhost:8787/api/admin/requirements/documents/cmm4yuo28019tcuqwjr9lxh3o/view</t>
        </is>
      </c>
      <c r="E1726">
        <f>HYPERLÄNK("http://localhost:8787/api/admin/requirements/documents/cmm4yuo28019tcuqwjr9lxh3o/view";"Öppna PDF")</f>
        <v/>
      </c>
      <c r="F1726">
        <f>HYPERLINK("http://localhost:8787/api/admin/requirements/documents/cmm4yuo28019tcuqwjr9lxh3o/view","Open PDF")</f>
        <v/>
      </c>
      <c r="G1726" t="inlineStr">
        <is>
          <t>cmm55w57p0004cuisfrtpqly8</t>
        </is>
      </c>
      <c r="H1726" t="inlineStr">
        <is>
          <t>Beslutsvillkor</t>
        </is>
      </c>
      <c r="I1726" t="inlineStr">
        <is>
          <t>DagvattenLakvatten</t>
        </is>
      </c>
      <c r="J1726" t="inlineStr">
        <is>
          <t>Uppsamling</t>
        </is>
      </c>
      <c r="K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6" t="inlineStr">
        <is>
          <t>SKA</t>
        </is>
      </c>
      <c r="N1726" t="inlineStr">
        <is>
          <t>Naturvardsverket</t>
        </is>
      </c>
      <c r="O1726" t="inlineStr"/>
      <c r="P1726" t="inlineStr">
        <is>
          <t>Arlig</t>
        </is>
      </c>
      <c r="Q1726" t="inlineStr"/>
      <c r="R1726" t="inlineStr">
        <is>
          <t>Vid nederbord och avrinning</t>
        </is>
      </c>
      <c r="S1726" t="inlineStr"/>
      <c r="T1726" t="inlineStr">
        <is>
          <t>884627</t>
        </is>
      </c>
      <c r="U1726" t="inlineStr"/>
      <c r="V1726" t="inlineStr"/>
      <c r="W1726" t="inlineStr">
        <is>
          <t>Nej</t>
        </is>
      </c>
      <c r="X1726" t="inlineStr">
        <is>
          <t>Ja</t>
        </is>
      </c>
      <c r="Y1726" t="inlineStr">
        <is>
          <t>Ja</t>
        </is>
      </c>
      <c r="Z1726" t="inlineStr">
        <is>
          <t>Nej</t>
        </is>
      </c>
      <c r="AA1726" t="n">
        <v>6</v>
      </c>
      <c r="AB1726" t="inlineStr">
        <is>
          <t>Lakvattenhantering</t>
        </is>
      </c>
      <c r="AC1726" t="inlineStr">
        <is>
          <t>Flodesschema dagvatten-lakvatten</t>
        </is>
      </c>
      <c r="AD1726" t="inlineStr">
        <is>
          <t>Nej</t>
        </is>
      </c>
      <c r="AE1726" t="inlineStr">
        <is>
          <t>Nej</t>
        </is>
      </c>
      <c r="AF1726" t="inlineStr">
        <is>
          <t>Ej behandlad</t>
        </is>
      </c>
      <c r="AG1726" t="inlineStr">
        <is>
          <t>AUTO_GENERERAD. Verifiera citat mot kallfil.</t>
        </is>
      </c>
      <c r="AH1726" t="inlineStr">
        <is>
          <t>HIGH</t>
        </is>
      </c>
      <c r="AI1726" t="inlineStr">
        <is>
          <t>AUTO</t>
        </is>
      </c>
      <c r="AJ1726" t="inlineStr">
        <is>
          <t>Nej</t>
        </is>
      </c>
      <c r="AK1726" t="inlineStr"/>
      <c r="AL1726" t="inlineStr"/>
      <c r="AM1726" t="inlineStr"/>
      <c r="AN1726" t="inlineStr"/>
      <c r="AO1726" t="inlineStr">
        <is>
          <t>cmm4yuo2e019zcuqw2jcty2mf</t>
        </is>
      </c>
      <c r="AP1726" t="inlineStr">
        <is>
          <t>http://localhost:8787/api/admin/requirements/documents/cmm4yuo2e019zcuqw2jcty2mf/view</t>
        </is>
      </c>
      <c r="AQ1726">
        <f>HYPERLÄNK("http://localhost:8787/api/admin/requirements/documents/cmm4yuo2e019zcuqw2jcty2mf/view";"Öppna PDF")</f>
        <v/>
      </c>
      <c r="AR1726">
        <f>HYPERLINK("http://localhost:8787/api/admin/requirements/documents/cmm4yuo2e019zcuqw2jcty2mf/view","Open PDF")</f>
        <v/>
      </c>
      <c r="AS1726" t="inlineStr">
        <is>
          <t>cmm55w57p0004cuisfrtpqly8</t>
        </is>
      </c>
      <c r="AT1726" t="inlineStr">
        <is>
          <t>cmm4xvu980000cuh4vj0usz09</t>
        </is>
      </c>
      <c r="AU1726" t="inlineStr">
        <is>
          <t>nummer Webbadress Enköpings</t>
        </is>
      </c>
      <c r="AV1726" t="inlineStr">
        <is>
          <t>Kommun</t>
        </is>
      </c>
      <c r="AW1726" t="inlineStr">
        <is>
          <t>nummer Webbadress Enköpings kommun</t>
        </is>
      </c>
      <c r="AX1726" t="inlineStr">
        <is>
          <t>2026-02</t>
        </is>
      </c>
      <c r="AY1726" t="inlineStr">
        <is>
          <t>Beslut</t>
        </is>
      </c>
      <c r="AZ1726" t="inlineStr">
        <is>
          <t>2026-02-03</t>
        </is>
      </c>
      <c r="BA1726" t="inlineStr">
        <is>
          <t>MIL2024526pdf_976554.pdf</t>
        </is>
      </c>
      <c r="BB1726" t="inlineStr">
        <is>
          <t>Begäran om allmän handling i ärende  MIL.2026.363</t>
        </is>
      </c>
      <c r="BC1726" t="inlineStr">
        <is>
          <t>AUTO</t>
        </is>
      </c>
      <c r="BD1726" t="inlineStr"/>
      <c r="BE1726" t="inlineStr"/>
      <c r="BF1726" t="inlineStr">
        <is>
          <t>AUTO_GENERERAD. Bekrafta metadata mot kallfil.</t>
        </is>
      </c>
      <c r="BG1726">
        <f>HYPERLINK("C:\Users\jimmy\Desktop\Examens arbete\Kod\Ny mapp\remix_-copy-of-miljöbeslut.se-portal\MIL2024526pdf_976554.pdf", "Öppna PDF")</f>
        <v/>
      </c>
    </row>
    <row r="1727">
      <c r="A1727" t="inlineStr">
        <is>
          <t>KRAV-AUTO-001726</t>
        </is>
      </c>
      <c r="B1727" t="inlineStr">
        <is>
          <t>ADMIN-INDEX-2026-02-27-00000000125C043F57453246863FE664CAFE6A3F0700950291EA24F0614FB6ACEDB12BF0E31D00000000010C0000950291EA24F0614FB6ACEDB12BF0E31D00002087AEF50000</t>
        </is>
      </c>
      <c r="C1727" t="inlineStr">
        <is>
          <t>cmm4yuo28019tcuqwjr9lxh3o</t>
        </is>
      </c>
      <c r="D1727" t="inlineStr">
        <is>
          <t>http://localhost:8787/api/admin/requirements/documents/cmm4yuo28019tcuqwjr9lxh3o/view</t>
        </is>
      </c>
      <c r="E1727">
        <f>HYPERLÄNK("http://localhost:8787/api/admin/requirements/documents/cmm4yuo28019tcuqwjr9lxh3o/view";"Öppna PDF")</f>
        <v/>
      </c>
      <c r="F1727">
        <f>HYPERLINK("http://localhost:8787/api/admin/requirements/documents/cmm4yuo28019tcuqwjr9lxh3o/view","Open PDF")</f>
        <v/>
      </c>
      <c r="G1727" t="inlineStr">
        <is>
          <t>cmm55w57p0004cuisfrtpqly8</t>
        </is>
      </c>
      <c r="H1727" t="inlineStr">
        <is>
          <t>Beslutsvillkor</t>
        </is>
      </c>
      <c r="I1727" t="inlineStr">
        <is>
          <t>Ytkonstruktion</t>
        </is>
      </c>
      <c r="J1727" t="inlineStr">
        <is>
          <t>Tat yta</t>
        </is>
      </c>
      <c r="K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27" t="inlineStr">
        <is>
          <t>SKA</t>
        </is>
      </c>
      <c r="N1727" t="inlineStr"/>
      <c r="O1727" t="inlineStr">
        <is>
          <t>2024-06-14</t>
        </is>
      </c>
      <c r="P1727" t="inlineStr"/>
      <c r="Q1727" t="inlineStr"/>
      <c r="R1727" t="inlineStr">
        <is>
          <t>Vid mellanlagring av avfall</t>
        </is>
      </c>
      <c r="S1727" t="inlineStr"/>
      <c r="T1727" t="inlineStr">
        <is>
          <t>62 57 75</t>
        </is>
      </c>
      <c r="U1727" t="inlineStr"/>
      <c r="V1727" t="inlineStr"/>
      <c r="W1727" t="inlineStr">
        <is>
          <t>Ja</t>
        </is>
      </c>
      <c r="X1727" t="inlineStr">
        <is>
          <t>Nej</t>
        </is>
      </c>
      <c r="Y1727" t="inlineStr">
        <is>
          <t>Nej</t>
        </is>
      </c>
      <c r="Z1727" t="inlineStr">
        <is>
          <t>Nej</t>
        </is>
      </c>
      <c r="AA1727" t="n">
        <v>5</v>
      </c>
      <c r="AB1727" t="inlineStr">
        <is>
          <t>Teknisk beskrivning av platta</t>
        </is>
      </c>
      <c r="AC1727" t="inlineStr">
        <is>
          <t>Teknisk ritning platta</t>
        </is>
      </c>
      <c r="AD1727" t="inlineStr">
        <is>
          <t>Nej</t>
        </is>
      </c>
      <c r="AE1727" t="inlineStr">
        <is>
          <t>Nej</t>
        </is>
      </c>
      <c r="AF1727" t="inlineStr">
        <is>
          <t>Ej behandlad</t>
        </is>
      </c>
      <c r="AG1727" t="inlineStr">
        <is>
          <t>AUTO_GENERERAD. Verifiera citat mot kallfil.</t>
        </is>
      </c>
      <c r="AH1727" t="inlineStr">
        <is>
          <t>MEDIUM</t>
        </is>
      </c>
      <c r="AI1727" t="inlineStr">
        <is>
          <t>AUTO</t>
        </is>
      </c>
      <c r="AJ1727" t="inlineStr">
        <is>
          <t>Nej</t>
        </is>
      </c>
      <c r="AK1727" t="inlineStr"/>
      <c r="AL1727" t="inlineStr"/>
      <c r="AM1727" t="inlineStr"/>
      <c r="AN1727" t="inlineStr"/>
      <c r="AO1727" t="inlineStr">
        <is>
          <t>cmm4yuo2e019zcuqw2jcty2mf</t>
        </is>
      </c>
      <c r="AP1727" t="inlineStr">
        <is>
          <t>http://localhost:8787/api/admin/requirements/documents/cmm4yuo2e019zcuqw2jcty2mf/view</t>
        </is>
      </c>
      <c r="AQ1727">
        <f>HYPERLÄNK("http://localhost:8787/api/admin/requirements/documents/cmm4yuo2e019zcuqw2jcty2mf/view";"Öppna PDF")</f>
        <v/>
      </c>
      <c r="AR1727">
        <f>HYPERLINK("http://localhost:8787/api/admin/requirements/documents/cmm4yuo2e019zcuqw2jcty2mf/view","Open PDF")</f>
        <v/>
      </c>
      <c r="AS1727" t="inlineStr">
        <is>
          <t>cmm55w57p0004cuisfrtpqly8</t>
        </is>
      </c>
      <c r="AT1727" t="inlineStr">
        <is>
          <t>cmm4xvu980000cuh4vj0usz09</t>
        </is>
      </c>
      <c r="AU1727" t="inlineStr">
        <is>
          <t>nummer Webbadress Enköpings</t>
        </is>
      </c>
      <c r="AV1727" t="inlineStr">
        <is>
          <t>Kommun</t>
        </is>
      </c>
      <c r="AW1727" t="inlineStr">
        <is>
          <t>nummer Webbadress Enköpings kommun</t>
        </is>
      </c>
      <c r="AX1727" t="inlineStr">
        <is>
          <t>2026-02</t>
        </is>
      </c>
      <c r="AY1727" t="inlineStr">
        <is>
          <t>Beslut</t>
        </is>
      </c>
      <c r="AZ1727" t="inlineStr">
        <is>
          <t>2026-02-03</t>
        </is>
      </c>
      <c r="BA1727" t="inlineStr">
        <is>
          <t>MIL2024526pdf_976554.pdf</t>
        </is>
      </c>
      <c r="BB1727" t="inlineStr">
        <is>
          <t>Begäran om allmän handling i ärende  MIL.2026.363</t>
        </is>
      </c>
      <c r="BC1727" t="inlineStr">
        <is>
          <t>AUTO</t>
        </is>
      </c>
      <c r="BD1727" t="inlineStr"/>
      <c r="BE1727" t="inlineStr"/>
      <c r="BF1727" t="inlineStr">
        <is>
          <t>AUTO_GENERERAD. Bekrafta metadata mot kallfil.</t>
        </is>
      </c>
      <c r="BG1727">
        <f>HYPERLINK("C:\Users\jimmy\Desktop\Examens arbete\Kod\Ny mapp\remix_-copy-of-miljöbeslut.se-portal\MIL2024526pdf_976554.pdf", "Öppna PDF")</f>
        <v/>
      </c>
    </row>
    <row r="1728">
      <c r="A1728" t="inlineStr">
        <is>
          <t>KRAV-AUTO-001727</t>
        </is>
      </c>
      <c r="B1728" t="inlineStr">
        <is>
          <t>ADMIN-INDEX-2026-02-27-00000000125C043F57453246863FE664CAFE6A3F0700950291EA24F0614FB6ACEDB12BF0E31D00000000010C0000950291EA24F0614FB6ACEDB12BF0E31D00002087AEF50000</t>
        </is>
      </c>
      <c r="C1728" t="inlineStr">
        <is>
          <t>cmm4yuo28019tcuqwjr9lxh3o</t>
        </is>
      </c>
      <c r="D1728" t="inlineStr">
        <is>
          <t>http://localhost:8787/api/admin/requirements/documents/cmm4yuo28019tcuqwjr9lxh3o/view</t>
        </is>
      </c>
      <c r="E1728">
        <f>HYPERLÄNK("http://localhost:8787/api/admin/requirements/documents/cmm4yuo28019tcuqwjr9lxh3o/view";"Öppna PDF")</f>
        <v/>
      </c>
      <c r="F1728">
        <f>HYPERLINK("http://localhost:8787/api/admin/requirements/documents/cmm4yuo28019tcuqwjr9lxh3o/view","Open PDF")</f>
        <v/>
      </c>
      <c r="G1728" t="inlineStr">
        <is>
          <t>cmm55w57p0004cuisfrtpqly8</t>
        </is>
      </c>
      <c r="H1728" t="inlineStr">
        <is>
          <t>Beslutsvillkor</t>
        </is>
      </c>
      <c r="I1728" t="inlineStr">
        <is>
          <t>Ytkonstruktion</t>
        </is>
      </c>
      <c r="J1728" t="inlineStr">
        <is>
          <t>Tat yta</t>
        </is>
      </c>
      <c r="K1728" t="inlineStr">
        <is>
          <t>Invallningar ska dimensioneras så att de rymmer största behållarens volym och minst 10 % av övrig lagrad volym.</t>
        </is>
      </c>
      <c r="L1728" t="inlineStr">
        <is>
          <t>Invallningar ska dimensioneras så att de rymmer största behållarens volym och minst 10 % av övrig lagrad volym.</t>
        </is>
      </c>
      <c r="M1728" t="inlineStr">
        <is>
          <t>SKA</t>
        </is>
      </c>
      <c r="N1728" t="inlineStr"/>
      <c r="O1728" t="inlineStr"/>
      <c r="P1728" t="inlineStr"/>
      <c r="Q1728" t="inlineStr"/>
      <c r="R1728" t="inlineStr">
        <is>
          <t>Vid mellanlagring av avfall</t>
        </is>
      </c>
      <c r="S1728" t="inlineStr"/>
      <c r="T1728" t="inlineStr">
        <is>
          <t>884627</t>
        </is>
      </c>
      <c r="U1728" t="inlineStr"/>
      <c r="V1728" t="inlineStr"/>
      <c r="W1728" t="inlineStr">
        <is>
          <t>Ja</t>
        </is>
      </c>
      <c r="X1728" t="inlineStr">
        <is>
          <t>Nej</t>
        </is>
      </c>
      <c r="Y1728" t="inlineStr">
        <is>
          <t>Nej</t>
        </is>
      </c>
      <c r="Z1728" t="inlineStr">
        <is>
          <t>Nej</t>
        </is>
      </c>
      <c r="AA1728" t="n">
        <v>5</v>
      </c>
      <c r="AB1728" t="inlineStr">
        <is>
          <t>Teknisk beskrivning av platta</t>
        </is>
      </c>
      <c r="AC1728" t="inlineStr">
        <is>
          <t>Teknisk ritning platta</t>
        </is>
      </c>
      <c r="AD1728" t="inlineStr">
        <is>
          <t>Nej</t>
        </is>
      </c>
      <c r="AE1728" t="inlineStr">
        <is>
          <t>Nej</t>
        </is>
      </c>
      <c r="AF1728" t="inlineStr">
        <is>
          <t>Ej behandlad</t>
        </is>
      </c>
      <c r="AG1728" t="inlineStr">
        <is>
          <t>AUTO_GENERERAD. Verifiera citat mot kallfil.</t>
        </is>
      </c>
      <c r="AH1728" t="inlineStr">
        <is>
          <t>MEDIUM</t>
        </is>
      </c>
      <c r="AI1728" t="inlineStr">
        <is>
          <t>AUTO</t>
        </is>
      </c>
      <c r="AJ1728" t="inlineStr">
        <is>
          <t>Nej</t>
        </is>
      </c>
      <c r="AK1728" t="inlineStr"/>
      <c r="AL1728" t="inlineStr"/>
      <c r="AM1728" t="inlineStr"/>
      <c r="AN1728" t="inlineStr"/>
      <c r="AO1728" t="inlineStr">
        <is>
          <t>cmm4yuo2e019zcuqw2jcty2mf</t>
        </is>
      </c>
      <c r="AP1728" t="inlineStr">
        <is>
          <t>http://localhost:8787/api/admin/requirements/documents/cmm4yuo2e019zcuqw2jcty2mf/view</t>
        </is>
      </c>
      <c r="AQ1728">
        <f>HYPERLÄNK("http://localhost:8787/api/admin/requirements/documents/cmm4yuo2e019zcuqw2jcty2mf/view";"Öppna PDF")</f>
        <v/>
      </c>
      <c r="AR1728">
        <f>HYPERLINK("http://localhost:8787/api/admin/requirements/documents/cmm4yuo2e019zcuqw2jcty2mf/view","Open PDF")</f>
        <v/>
      </c>
      <c r="AS1728" t="inlineStr">
        <is>
          <t>cmm55w57p0004cuisfrtpqly8</t>
        </is>
      </c>
      <c r="AT1728" t="inlineStr">
        <is>
          <t>cmm4xvu980000cuh4vj0usz09</t>
        </is>
      </c>
      <c r="AU1728" t="inlineStr">
        <is>
          <t>nummer Webbadress Enköpings</t>
        </is>
      </c>
      <c r="AV1728" t="inlineStr">
        <is>
          <t>Kommun</t>
        </is>
      </c>
      <c r="AW1728" t="inlineStr">
        <is>
          <t>nummer Webbadress Enköpings kommun</t>
        </is>
      </c>
      <c r="AX1728" t="inlineStr">
        <is>
          <t>2026-02</t>
        </is>
      </c>
      <c r="AY1728" t="inlineStr">
        <is>
          <t>Beslut</t>
        </is>
      </c>
      <c r="AZ1728" t="inlineStr">
        <is>
          <t>2026-02-03</t>
        </is>
      </c>
      <c r="BA1728" t="inlineStr">
        <is>
          <t>MIL2024526pdf_976554.pdf</t>
        </is>
      </c>
      <c r="BB1728" t="inlineStr">
        <is>
          <t>Begäran om allmän handling i ärende  MIL.2026.363</t>
        </is>
      </c>
      <c r="BC1728" t="inlineStr">
        <is>
          <t>AUTO</t>
        </is>
      </c>
      <c r="BD1728" t="inlineStr"/>
      <c r="BE1728" t="inlineStr"/>
      <c r="BF1728" t="inlineStr">
        <is>
          <t>AUTO_GENERERAD. Bekrafta metadata mot kallfil.</t>
        </is>
      </c>
      <c r="BG1728">
        <f>HYPERLINK("C:\Users\jimmy\Desktop\Examens arbete\Kod\Ny mapp\remix_-copy-of-miljöbeslut.se-portal\MIL2024526pdf_976554.pdf", "Öppna PDF")</f>
        <v/>
      </c>
    </row>
    <row r="1729">
      <c r="A1729" t="inlineStr">
        <is>
          <t>KRAV-AUTO-001728</t>
        </is>
      </c>
      <c r="B1729" t="inlineStr">
        <is>
          <t>ADMIN-INDEX-2026-02-27-00000000125C043F57453246863FE664CAFE6A3F0700950291EA24F0614FB6ACEDB12BF0E31D00000000010C0000950291EA24F0614FB6ACEDB12BF0E31D00002087AEF50000</t>
        </is>
      </c>
      <c r="C1729" t="inlineStr">
        <is>
          <t>cmm4yuo25019qcuqwga2gm8tx</t>
        </is>
      </c>
      <c r="D1729" t="inlineStr">
        <is>
          <t>http://localhost:8787/api/admin/requirements/documents/cmm4yuo25019qcuqwga2gm8tx/view</t>
        </is>
      </c>
      <c r="E1729">
        <f>HYPERLÄNK("http://localhost:8787/api/admin/requirements/documents/cmm4yuo25019qcuqwga2gm8tx/view";"Öppna PDF")</f>
        <v/>
      </c>
      <c r="F1729">
        <f>HYPERLINK("http://localhost:8787/api/admin/requirements/documents/cmm4yuo25019qcuqwga2gm8tx/view","Open PDF")</f>
        <v/>
      </c>
      <c r="G1729" t="inlineStr">
        <is>
          <t>cmm55w57p0004cuisfrtpqly8</t>
        </is>
      </c>
      <c r="H1729" t="inlineStr">
        <is>
          <t>Beslutsvillkor</t>
        </is>
      </c>
      <c r="I1729" t="inlineStr">
        <is>
          <t>Ytkonstruktion</t>
        </is>
      </c>
      <c r="J1729" t="inlineStr">
        <is>
          <t>Tat yta</t>
        </is>
      </c>
      <c r="K1729" t="inlineStr">
        <is>
          <t>Lagring av bränsle, oljor, kemiska produkter ska ske på tät, invallad yta som är beständig mot den kemiska produkt som lagras, samt skyddas mot nederbörd.</t>
        </is>
      </c>
      <c r="L1729" t="inlineStr">
        <is>
          <t>Lagring av bränsle, oljor, kemiska produkter ska ske på tät, invallad yta som är beständig mot den kemiska produkt som lagras, samt skyddas mot nederbörd.</t>
        </is>
      </c>
      <c r="M1729" t="inlineStr">
        <is>
          <t>SKA</t>
        </is>
      </c>
      <c r="N1729" t="inlineStr"/>
      <c r="O1729" t="inlineStr"/>
      <c r="P1729" t="inlineStr"/>
      <c r="Q1729" t="inlineStr"/>
      <c r="R1729" t="inlineStr">
        <is>
          <t>Vid mellanlagring av avfall</t>
        </is>
      </c>
      <c r="S1729" t="inlineStr"/>
      <c r="T1729" t="inlineStr">
        <is>
          <t>888375</t>
        </is>
      </c>
      <c r="U1729" t="inlineStr"/>
      <c r="V1729" t="inlineStr"/>
      <c r="W1729" t="inlineStr">
        <is>
          <t>Ja</t>
        </is>
      </c>
      <c r="X1729" t="inlineStr">
        <is>
          <t>Nej</t>
        </is>
      </c>
      <c r="Y1729" t="inlineStr">
        <is>
          <t>Nej</t>
        </is>
      </c>
      <c r="Z1729" t="inlineStr">
        <is>
          <t>Nej</t>
        </is>
      </c>
      <c r="AA1729" t="n">
        <v>5</v>
      </c>
      <c r="AB1729" t="inlineStr">
        <is>
          <t>Teknisk beskrivning av platta</t>
        </is>
      </c>
      <c r="AC1729" t="inlineStr">
        <is>
          <t>Teknisk ritning platta</t>
        </is>
      </c>
      <c r="AD1729" t="inlineStr">
        <is>
          <t>Nej</t>
        </is>
      </c>
      <c r="AE1729" t="inlineStr">
        <is>
          <t>Nej</t>
        </is>
      </c>
      <c r="AF1729" t="inlineStr">
        <is>
          <t>Ej behandlad</t>
        </is>
      </c>
      <c r="AG1729" t="inlineStr">
        <is>
          <t>AUTO_GENERERAD. Verifiera citat mot kallfil.</t>
        </is>
      </c>
      <c r="AH1729" t="inlineStr">
        <is>
          <t>MEDIUM</t>
        </is>
      </c>
      <c r="AI1729" t="inlineStr">
        <is>
          <t>AUTO</t>
        </is>
      </c>
      <c r="AJ1729" t="inlineStr">
        <is>
          <t>Nej</t>
        </is>
      </c>
      <c r="AK1729" t="inlineStr"/>
      <c r="AL1729" t="inlineStr"/>
      <c r="AM1729" t="inlineStr"/>
      <c r="AN1729" t="inlineStr"/>
      <c r="AO1729" t="inlineStr">
        <is>
          <t>cmm4yuo2e019zcuqw2jcty2mf</t>
        </is>
      </c>
      <c r="AP1729" t="inlineStr">
        <is>
          <t>http://localhost:8787/api/admin/requirements/documents/cmm4yuo2e019zcuqw2jcty2mf/view</t>
        </is>
      </c>
      <c r="AQ1729">
        <f>HYPERLÄNK("http://localhost:8787/api/admin/requirements/documents/cmm4yuo2e019zcuqw2jcty2mf/view";"Öppna PDF")</f>
        <v/>
      </c>
      <c r="AR1729">
        <f>HYPERLINK("http://localhost:8787/api/admin/requirements/documents/cmm4yuo2e019zcuqw2jcty2mf/view","Open PDF")</f>
        <v/>
      </c>
      <c r="AS1729" t="inlineStr">
        <is>
          <t>cmm55w57p0004cuisfrtpqly8</t>
        </is>
      </c>
      <c r="AT1729" t="inlineStr">
        <is>
          <t>cmm4xvu980000cuh4vj0usz09</t>
        </is>
      </c>
      <c r="AU1729" t="inlineStr">
        <is>
          <t>nummer Webbadress Enköpings</t>
        </is>
      </c>
      <c r="AV1729" t="inlineStr">
        <is>
          <t>Kommun</t>
        </is>
      </c>
      <c r="AW1729" t="inlineStr">
        <is>
          <t>nummer Webbadress Enköpings kommun</t>
        </is>
      </c>
      <c r="AX1729" t="inlineStr">
        <is>
          <t>2026-02</t>
        </is>
      </c>
      <c r="AY1729" t="inlineStr">
        <is>
          <t>Beslut</t>
        </is>
      </c>
      <c r="AZ1729" t="inlineStr">
        <is>
          <t>2026-02-03</t>
        </is>
      </c>
      <c r="BA1729" t="inlineStr">
        <is>
          <t>MIL2024526pdf_976554.pdf</t>
        </is>
      </c>
      <c r="BB1729" t="inlineStr">
        <is>
          <t>Begäran om allmän handling i ärende  MIL.2026.363</t>
        </is>
      </c>
      <c r="BC1729" t="inlineStr">
        <is>
          <t>AUTO</t>
        </is>
      </c>
      <c r="BD1729" t="inlineStr"/>
      <c r="BE1729" t="inlineStr"/>
      <c r="BF1729" t="inlineStr">
        <is>
          <t>AUTO_GENERERAD. Bekrafta metadata mot kallfil.</t>
        </is>
      </c>
      <c r="BG1729">
        <f>HYPERLINK("C:\Users\jimmy\Desktop\Examens arbete\Kod\Ny mapp\remix_-copy-of-miljöbeslut.se-portal\MIL2024526pdf_976554.pdf", "Öppna PDF")</f>
        <v/>
      </c>
    </row>
    <row r="1730">
      <c r="A1730" t="inlineStr">
        <is>
          <t>KRAV-AUTO-001729</t>
        </is>
      </c>
      <c r="B1730" t="inlineStr">
        <is>
          <t>ADMIN-INDEX-2026-02-27-00000000125C043F57453246863FE664CAFE6A3F0700950291EA24F0614FB6ACEDB12BF0E31D00000000010C0000950291EA24F0614FB6ACEDB12BF0E31D00002087AEF50000</t>
        </is>
      </c>
      <c r="C1730" t="inlineStr">
        <is>
          <t>cmm4yuo25019qcuqwga2gm8tx</t>
        </is>
      </c>
      <c r="D1730" t="inlineStr">
        <is>
          <t>http://localhost:8787/api/admin/requirements/documents/cmm4yuo25019qcuqwga2gm8tx/view</t>
        </is>
      </c>
      <c r="E1730">
        <f>HYPERLÄNK("http://localhost:8787/api/admin/requirements/documents/cmm4yuo25019qcuqwga2gm8tx/view";"Öppna PDF")</f>
        <v/>
      </c>
      <c r="F1730">
        <f>HYPERLINK("http://localhost:8787/api/admin/requirements/documents/cmm4yuo25019qcuqwga2gm8tx/view","Open PDF")</f>
        <v/>
      </c>
      <c r="G1730" t="inlineStr">
        <is>
          <t>cmm55w57p0004cuisfrtpqly8</t>
        </is>
      </c>
      <c r="H1730" t="inlineStr">
        <is>
          <t>Beslutsvillkor</t>
        </is>
      </c>
      <c r="I1730" t="inlineStr">
        <is>
          <t>DagvattenLakvatten</t>
        </is>
      </c>
      <c r="J1730" t="inlineStr">
        <is>
          <t>Uppsamling</t>
        </is>
      </c>
      <c r="K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0" t="inlineStr">
        <is>
          <t>SKA</t>
        </is>
      </c>
      <c r="N1730" t="inlineStr">
        <is>
          <t>Naturvardsverket</t>
        </is>
      </c>
      <c r="O1730" t="inlineStr"/>
      <c r="P1730" t="inlineStr">
        <is>
          <t>Arlig</t>
        </is>
      </c>
      <c r="Q1730" t="inlineStr"/>
      <c r="R1730" t="inlineStr">
        <is>
          <t>Vid nederbord och avrinning</t>
        </is>
      </c>
      <c r="S1730" t="inlineStr"/>
      <c r="T1730" t="inlineStr">
        <is>
          <t>888375</t>
        </is>
      </c>
      <c r="U1730" t="inlineStr"/>
      <c r="V1730" t="inlineStr"/>
      <c r="W1730" t="inlineStr">
        <is>
          <t>Nej</t>
        </is>
      </c>
      <c r="X1730" t="inlineStr">
        <is>
          <t>Ja</t>
        </is>
      </c>
      <c r="Y1730" t="inlineStr">
        <is>
          <t>Ja</t>
        </is>
      </c>
      <c r="Z1730" t="inlineStr">
        <is>
          <t>Nej</t>
        </is>
      </c>
      <c r="AA1730" t="n">
        <v>6</v>
      </c>
      <c r="AB1730" t="inlineStr">
        <is>
          <t>Lakvattenhantering</t>
        </is>
      </c>
      <c r="AC1730" t="inlineStr">
        <is>
          <t>Flodesschema dagvatten-lakvatten</t>
        </is>
      </c>
      <c r="AD1730" t="inlineStr">
        <is>
          <t>Nej</t>
        </is>
      </c>
      <c r="AE1730" t="inlineStr">
        <is>
          <t>Nej</t>
        </is>
      </c>
      <c r="AF1730" t="inlineStr">
        <is>
          <t>Ej behandlad</t>
        </is>
      </c>
      <c r="AG1730" t="inlineStr">
        <is>
          <t>AUTO_GENERERAD. Verifiera citat mot kallfil.</t>
        </is>
      </c>
      <c r="AH1730" t="inlineStr">
        <is>
          <t>HIGH</t>
        </is>
      </c>
      <c r="AI1730" t="inlineStr">
        <is>
          <t>AUTO</t>
        </is>
      </c>
      <c r="AJ1730" t="inlineStr">
        <is>
          <t>Nej</t>
        </is>
      </c>
      <c r="AK1730" t="inlineStr"/>
      <c r="AL1730" t="inlineStr"/>
      <c r="AM1730" t="inlineStr"/>
      <c r="AN1730" t="inlineStr"/>
      <c r="AO1730" t="inlineStr">
        <is>
          <t>cmm4yuo2e019zcuqw2jcty2mf</t>
        </is>
      </c>
      <c r="AP1730" t="inlineStr">
        <is>
          <t>http://localhost:8787/api/admin/requirements/documents/cmm4yuo2e019zcuqw2jcty2mf/view</t>
        </is>
      </c>
      <c r="AQ1730">
        <f>HYPERLÄNK("http://localhost:8787/api/admin/requirements/documents/cmm4yuo2e019zcuqw2jcty2mf/view";"Öppna PDF")</f>
        <v/>
      </c>
      <c r="AR1730">
        <f>HYPERLINK("http://localhost:8787/api/admin/requirements/documents/cmm4yuo2e019zcuqw2jcty2mf/view","Open PDF")</f>
        <v/>
      </c>
      <c r="AS1730" t="inlineStr">
        <is>
          <t>cmm55w57p0004cuisfrtpqly8</t>
        </is>
      </c>
      <c r="AT1730" t="inlineStr">
        <is>
          <t>cmm4xvu980000cuh4vj0usz09</t>
        </is>
      </c>
      <c r="AU1730" t="inlineStr">
        <is>
          <t>nummer Webbadress Enköpings</t>
        </is>
      </c>
      <c r="AV1730" t="inlineStr">
        <is>
          <t>Kommun</t>
        </is>
      </c>
      <c r="AW1730" t="inlineStr">
        <is>
          <t>nummer Webbadress Enköpings kommun</t>
        </is>
      </c>
      <c r="AX1730" t="inlineStr">
        <is>
          <t>2026-02</t>
        </is>
      </c>
      <c r="AY1730" t="inlineStr">
        <is>
          <t>Beslut</t>
        </is>
      </c>
      <c r="AZ1730" t="inlineStr">
        <is>
          <t>2026-02-03</t>
        </is>
      </c>
      <c r="BA1730" t="inlineStr">
        <is>
          <t>MIL2024526pdf_976554.pdf</t>
        </is>
      </c>
      <c r="BB1730" t="inlineStr">
        <is>
          <t>Begäran om allmän handling i ärende  MIL.2026.363</t>
        </is>
      </c>
      <c r="BC1730" t="inlineStr">
        <is>
          <t>AUTO</t>
        </is>
      </c>
      <c r="BD1730" t="inlineStr"/>
      <c r="BE1730" t="inlineStr"/>
      <c r="BF1730" t="inlineStr">
        <is>
          <t>AUTO_GENERERAD. Bekrafta metadata mot kallfil.</t>
        </is>
      </c>
      <c r="BG1730">
        <f>HYPERLINK("C:\Users\jimmy\Desktop\Examens arbete\Kod\Ny mapp\remix_-copy-of-miljöbeslut.se-portal\MIL2024526pdf_976554.pdf", "Öppna PDF")</f>
        <v/>
      </c>
    </row>
    <row r="1731">
      <c r="A1731" t="inlineStr">
        <is>
          <t>KRAV-AUTO-001730</t>
        </is>
      </c>
      <c r="B1731" t="inlineStr">
        <is>
          <t>ADMIN-INDEX-2026-02-27-00000000125C043F57453246863FE664CAFE6A3F0700950291EA24F0614FB6ACEDB12BF0E31D00000000010C0000950291EA24F0614FB6ACEDB12BF0E31D00002087AEF50000</t>
        </is>
      </c>
      <c r="C1731" t="inlineStr">
        <is>
          <t>cmm4yuo25019qcuqwga2gm8tx</t>
        </is>
      </c>
      <c r="D1731" t="inlineStr">
        <is>
          <t>http://localhost:8787/api/admin/requirements/documents/cmm4yuo25019qcuqwga2gm8tx/view</t>
        </is>
      </c>
      <c r="E1731">
        <f>HYPERLÄNK("http://localhost:8787/api/admin/requirements/documents/cmm4yuo25019qcuqwga2gm8tx/view";"Öppna PDF")</f>
        <v/>
      </c>
      <c r="F1731">
        <f>HYPERLINK("http://localhost:8787/api/admin/requirements/documents/cmm4yuo25019qcuqwga2gm8tx/view","Open PDF")</f>
        <v/>
      </c>
      <c r="G1731" t="inlineStr">
        <is>
          <t>cmm55w57p0004cuisfrtpqly8</t>
        </is>
      </c>
      <c r="H1731" t="inlineStr">
        <is>
          <t>Beslutsvillkor</t>
        </is>
      </c>
      <c r="I1731" t="inlineStr">
        <is>
          <t>Ytkonstruktion</t>
        </is>
      </c>
      <c r="J1731" t="inlineStr">
        <is>
          <t>Tat yta</t>
        </is>
      </c>
      <c r="K1731" t="inlineStr">
        <is>
          <t>Invallningar ska dimensioneras så att de rymmer största behållarens volym och minst 10 % av övrig lagrad volym.</t>
        </is>
      </c>
      <c r="L1731" t="inlineStr">
        <is>
          <t>Invallningar ska dimensioneras så att de rymmer största behållarens volym och minst 10 % av övrig lagrad volym.</t>
        </is>
      </c>
      <c r="M1731" t="inlineStr">
        <is>
          <t>SKA</t>
        </is>
      </c>
      <c r="N1731" t="inlineStr"/>
      <c r="O1731" t="inlineStr"/>
      <c r="P1731" t="inlineStr"/>
      <c r="Q1731" t="inlineStr"/>
      <c r="R1731" t="inlineStr">
        <is>
          <t>Vid mellanlagring av avfall</t>
        </is>
      </c>
      <c r="S1731" t="inlineStr"/>
      <c r="T1731" t="inlineStr">
        <is>
          <t>888375</t>
        </is>
      </c>
      <c r="U1731" t="inlineStr"/>
      <c r="V1731" t="inlineStr"/>
      <c r="W1731" t="inlineStr">
        <is>
          <t>Ja</t>
        </is>
      </c>
      <c r="X1731" t="inlineStr">
        <is>
          <t>Nej</t>
        </is>
      </c>
      <c r="Y1731" t="inlineStr">
        <is>
          <t>Nej</t>
        </is>
      </c>
      <c r="Z1731" t="inlineStr">
        <is>
          <t>Nej</t>
        </is>
      </c>
      <c r="AA1731" t="n">
        <v>5</v>
      </c>
      <c r="AB1731" t="inlineStr">
        <is>
          <t>Teknisk beskrivning av platta</t>
        </is>
      </c>
      <c r="AC1731" t="inlineStr">
        <is>
          <t>Teknisk ritning platta</t>
        </is>
      </c>
      <c r="AD1731" t="inlineStr">
        <is>
          <t>Nej</t>
        </is>
      </c>
      <c r="AE1731" t="inlineStr">
        <is>
          <t>Nej</t>
        </is>
      </c>
      <c r="AF1731" t="inlineStr">
        <is>
          <t>Ej behandlad</t>
        </is>
      </c>
      <c r="AG1731" t="inlineStr">
        <is>
          <t>AUTO_GENERERAD. Verifiera citat mot kallfil.</t>
        </is>
      </c>
      <c r="AH1731" t="inlineStr">
        <is>
          <t>MEDIUM</t>
        </is>
      </c>
      <c r="AI1731" t="inlineStr">
        <is>
          <t>AUTO</t>
        </is>
      </c>
      <c r="AJ1731" t="inlineStr">
        <is>
          <t>Nej</t>
        </is>
      </c>
      <c r="AK1731" t="inlineStr"/>
      <c r="AL1731" t="inlineStr"/>
      <c r="AM1731" t="inlineStr"/>
      <c r="AN1731" t="inlineStr"/>
      <c r="AO1731" t="inlineStr">
        <is>
          <t>cmm4yuo2e019zcuqw2jcty2mf</t>
        </is>
      </c>
      <c r="AP1731" t="inlineStr">
        <is>
          <t>http://localhost:8787/api/admin/requirements/documents/cmm4yuo2e019zcuqw2jcty2mf/view</t>
        </is>
      </c>
      <c r="AQ1731">
        <f>HYPERLÄNK("http://localhost:8787/api/admin/requirements/documents/cmm4yuo2e019zcuqw2jcty2mf/view";"Öppna PDF")</f>
        <v/>
      </c>
      <c r="AR1731">
        <f>HYPERLINK("http://localhost:8787/api/admin/requirements/documents/cmm4yuo2e019zcuqw2jcty2mf/view","Open PDF")</f>
        <v/>
      </c>
      <c r="AS1731" t="inlineStr">
        <is>
          <t>cmm55w57p0004cuisfrtpqly8</t>
        </is>
      </c>
      <c r="AT1731" t="inlineStr">
        <is>
          <t>cmm4xvu980000cuh4vj0usz09</t>
        </is>
      </c>
      <c r="AU1731" t="inlineStr">
        <is>
          <t>nummer Webbadress Enköpings</t>
        </is>
      </c>
      <c r="AV1731" t="inlineStr">
        <is>
          <t>Kommun</t>
        </is>
      </c>
      <c r="AW1731" t="inlineStr">
        <is>
          <t>nummer Webbadress Enköpings kommun</t>
        </is>
      </c>
      <c r="AX1731" t="inlineStr">
        <is>
          <t>2026-02</t>
        </is>
      </c>
      <c r="AY1731" t="inlineStr">
        <is>
          <t>Beslut</t>
        </is>
      </c>
      <c r="AZ1731" t="inlineStr">
        <is>
          <t>2026-02-03</t>
        </is>
      </c>
      <c r="BA1731" t="inlineStr">
        <is>
          <t>MIL2024526pdf_976554.pdf</t>
        </is>
      </c>
      <c r="BB1731" t="inlineStr">
        <is>
          <t>Begäran om allmän handling i ärende  MIL.2026.363</t>
        </is>
      </c>
      <c r="BC1731" t="inlineStr">
        <is>
          <t>AUTO</t>
        </is>
      </c>
      <c r="BD1731" t="inlineStr"/>
      <c r="BE1731" t="inlineStr"/>
      <c r="BF1731" t="inlineStr">
        <is>
          <t>AUTO_GENERERAD. Bekrafta metadata mot kallfil.</t>
        </is>
      </c>
      <c r="BG1731">
        <f>HYPERLINK("C:\Users\jimmy\Desktop\Examens arbete\Kod\Ny mapp\remix_-copy-of-miljöbeslut.se-portal\MIL2024526pdf_976554.pdf", "Öppna PDF")</f>
        <v/>
      </c>
    </row>
    <row r="1732">
      <c r="A1732" t="inlineStr">
        <is>
          <t>KRAV-AUTO-001731</t>
        </is>
      </c>
      <c r="B1732" t="inlineStr">
        <is>
          <t>ADMIN-INDEX-2026-02-27-00000000125C043F57453246863FE664CAFE6A3F0700950291EA24F0614FB6ACEDB12BF0E31D00000000010C0000950291EA24F0614FB6ACEDB12BF0E31D00002087AEF60000</t>
        </is>
      </c>
      <c r="C1732" t="inlineStr">
        <is>
          <t>cmm4yuo22019ncuqwfc19cfnc</t>
        </is>
      </c>
      <c r="D1732" t="inlineStr">
        <is>
          <t>http://localhost:8787/api/admin/requirements/documents/cmm4yuo22019ncuqwfc19cfnc/view</t>
        </is>
      </c>
      <c r="E1732">
        <f>HYPERLÄNK("http://localhost:8787/api/admin/requirements/documents/cmm4yuo22019ncuqwfc19cfnc/view";"Öppna PDF")</f>
        <v/>
      </c>
      <c r="F1732">
        <f>HYPERLINK("http://localhost:8787/api/admin/requirements/documents/cmm4yuo22019ncuqwfc19cfnc/view","Open PDF")</f>
        <v/>
      </c>
      <c r="G1732" t="inlineStr">
        <is>
          <t>cmm55w57p0004cuisfrtpqly8</t>
        </is>
      </c>
      <c r="H1732" t="inlineStr">
        <is>
          <t>Beslutsvillkor</t>
        </is>
      </c>
      <c r="I1732" t="inlineStr">
        <is>
          <t>DagvattenLakvatten</t>
        </is>
      </c>
      <c r="J1732" t="inlineStr">
        <is>
          <t>Uppsamling</t>
        </is>
      </c>
      <c r="K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2" t="inlineStr">
        <is>
          <t>SKA</t>
        </is>
      </c>
      <c r="N1732" t="inlineStr">
        <is>
          <t>Naturvardsverket</t>
        </is>
      </c>
      <c r="O1732" t="inlineStr"/>
      <c r="P1732" t="inlineStr">
        <is>
          <t>Arlig</t>
        </is>
      </c>
      <c r="Q1732" t="inlineStr"/>
      <c r="R1732" t="inlineStr">
        <is>
          <t>Vid nederbord och avrinning</t>
        </is>
      </c>
      <c r="S1732" t="inlineStr"/>
      <c r="T1732" t="inlineStr">
        <is>
          <t>888215</t>
        </is>
      </c>
      <c r="U1732" t="inlineStr"/>
      <c r="V1732" t="inlineStr"/>
      <c r="W1732" t="inlineStr">
        <is>
          <t>Nej</t>
        </is>
      </c>
      <c r="X1732" t="inlineStr">
        <is>
          <t>Ja</t>
        </is>
      </c>
      <c r="Y1732" t="inlineStr">
        <is>
          <t>Ja</t>
        </is>
      </c>
      <c r="Z1732" t="inlineStr">
        <is>
          <t>Nej</t>
        </is>
      </c>
      <c r="AA1732" t="n">
        <v>6</v>
      </c>
      <c r="AB1732" t="inlineStr">
        <is>
          <t>Lakvattenhantering</t>
        </is>
      </c>
      <c r="AC1732" t="inlineStr">
        <is>
          <t>Flodesschema dagvatten-lakvatten</t>
        </is>
      </c>
      <c r="AD1732" t="inlineStr">
        <is>
          <t>Nej</t>
        </is>
      </c>
      <c r="AE1732" t="inlineStr">
        <is>
          <t>Nej</t>
        </is>
      </c>
      <c r="AF1732" t="inlineStr">
        <is>
          <t>Ej behandlad</t>
        </is>
      </c>
      <c r="AG1732" t="inlineStr">
        <is>
          <t>AUTO_GENERERAD. Verifiera citat mot kallfil.</t>
        </is>
      </c>
      <c r="AH1732" t="inlineStr">
        <is>
          <t>HIGH</t>
        </is>
      </c>
      <c r="AI1732" t="inlineStr">
        <is>
          <t>AUTO</t>
        </is>
      </c>
      <c r="AJ1732" t="inlineStr">
        <is>
          <t>Nej</t>
        </is>
      </c>
      <c r="AK1732" t="inlineStr"/>
      <c r="AL1732" t="inlineStr"/>
      <c r="AM1732" t="inlineStr"/>
      <c r="AN1732" t="inlineStr"/>
      <c r="AO1732" t="inlineStr">
        <is>
          <t>cmm4yuo22019ncuqwfc19cfnc</t>
        </is>
      </c>
      <c r="AP1732" t="inlineStr">
        <is>
          <t>http://localhost:8787/api/admin/requirements/documents/cmm4yuo22019ncuqwfc19cfnc/view</t>
        </is>
      </c>
      <c r="AQ1732">
        <f>HYPERLÄNK("http://localhost:8787/api/admin/requirements/documents/cmm4yuo22019ncuqwfc19cfnc/view";"Öppna PDF")</f>
        <v/>
      </c>
      <c r="AR1732">
        <f>HYPERLINK("http://localhost:8787/api/admin/requirements/documents/cmm4yuo22019ncuqwfc19cfnc/view","Open PDF")</f>
        <v/>
      </c>
      <c r="AS1732" t="inlineStr">
        <is>
          <t>cmm55w57p0004cuisfrtpqly8</t>
        </is>
      </c>
      <c r="AT1732" t="inlineStr">
        <is>
          <t>cmm4xvu980000cuh4vj0usz09</t>
        </is>
      </c>
      <c r="AU1732" t="inlineStr">
        <is>
          <t>nummer Webbadress Enköpings</t>
        </is>
      </c>
      <c r="AV1732" t="inlineStr">
        <is>
          <t>Kommun</t>
        </is>
      </c>
      <c r="AW1732" t="inlineStr">
        <is>
          <t>nummer Webbadress Enköpings kommun</t>
        </is>
      </c>
      <c r="AX1732" t="inlineStr">
        <is>
          <t>2026-02</t>
        </is>
      </c>
      <c r="AY1732" t="inlineStr">
        <is>
          <t>Beslut</t>
        </is>
      </c>
      <c r="AZ1732" t="inlineStr">
        <is>
          <t>2026-02-03</t>
        </is>
      </c>
      <c r="BA1732" t="inlineStr">
        <is>
          <t>MIL2024526pdf_976554.pdf</t>
        </is>
      </c>
      <c r="BB1732" t="inlineStr">
        <is>
          <t>Begäran om allmän handling i ärende  MIL.2026.363</t>
        </is>
      </c>
      <c r="BC1732" t="inlineStr">
        <is>
          <t>AUTO</t>
        </is>
      </c>
      <c r="BD1732" t="inlineStr"/>
      <c r="BE1732" t="inlineStr"/>
      <c r="BF1732" t="inlineStr">
        <is>
          <t>AUTO_GENERERAD. Bekrafta metadata mot kallfil.</t>
        </is>
      </c>
      <c r="BG1732">
        <f>HYPERLINK("C:\Users\jimmy\Desktop\Examens arbete\Kod\Ny mapp\remix_-copy-of-miljöbeslut.se-portal\MIL2024526pdf_976554.pdf", "Öppna PDF")</f>
        <v/>
      </c>
    </row>
    <row r="1733">
      <c r="A1733" t="inlineStr">
        <is>
          <t>KRAV-AUTO-001732</t>
        </is>
      </c>
      <c r="B1733" t="inlineStr">
        <is>
          <t>ADMIN-INDEX-2026-02-27-00000000125C043F57453246863FE664CAFE6A3F0700950291EA24F0614FB6ACEDB12BF0E31D00000000010C0000950291EA24F0614FB6ACEDB12BF0E31D00002087AEF60000</t>
        </is>
      </c>
      <c r="C1733" t="inlineStr">
        <is>
          <t>cmm4yuo22019ncuqwfc19cfnc</t>
        </is>
      </c>
      <c r="D1733" t="inlineStr">
        <is>
          <t>http://localhost:8787/api/admin/requirements/documents/cmm4yuo22019ncuqwfc19cfnc/view</t>
        </is>
      </c>
      <c r="E1733">
        <f>HYPERLÄNK("http://localhost:8787/api/admin/requirements/documents/cmm4yuo22019ncuqwfc19cfnc/view";"Öppna PDF")</f>
        <v/>
      </c>
      <c r="F1733">
        <f>HYPERLINK("http://localhost:8787/api/admin/requirements/documents/cmm4yuo22019ncuqwfc19cfnc/view","Open PDF")</f>
        <v/>
      </c>
      <c r="G1733" t="inlineStr">
        <is>
          <t>cmm55w57p0004cuisfrtpqly8</t>
        </is>
      </c>
      <c r="H1733" t="inlineStr">
        <is>
          <t>Beslutsvillkor</t>
        </is>
      </c>
      <c r="I1733" t="inlineStr">
        <is>
          <t>MiljopaverkanForsiktighet</t>
        </is>
      </c>
      <c r="J1733" t="inlineStr">
        <is>
          <t>Skyddsatgarder</t>
        </is>
      </c>
      <c r="K1733" t="inlineStr">
        <is>
          <t>Om en anläggning utformas så att onödigt mycket avfall används och avfallet inte fyller någon funktion kan det vara fråga om bortskaffning av avfall.</t>
        </is>
      </c>
      <c r="L1733" t="inlineStr">
        <is>
          <t>Om en anläggning utformas så att onödigt mycket avfall används och avfallet inte fyller någon funktion kan det vara fråga om bortskaffning av avfall.</t>
        </is>
      </c>
      <c r="M1733" t="inlineStr">
        <is>
          <t>SKA</t>
        </is>
      </c>
      <c r="N1733" t="inlineStr"/>
      <c r="O1733" t="inlineStr"/>
      <c r="P1733" t="inlineStr"/>
      <c r="Q1733" t="inlineStr"/>
      <c r="R1733" t="inlineStr">
        <is>
          <t>Alltid</t>
        </is>
      </c>
      <c r="S1733" t="inlineStr"/>
      <c r="T1733" t="inlineStr">
        <is>
          <t>888215</t>
        </is>
      </c>
      <c r="U1733" t="inlineStr"/>
      <c r="V1733" t="inlineStr"/>
      <c r="W1733" t="inlineStr">
        <is>
          <t>Nej</t>
        </is>
      </c>
      <c r="X1733" t="inlineStr">
        <is>
          <t>Nej</t>
        </is>
      </c>
      <c r="Y1733" t="inlineStr">
        <is>
          <t>Nej</t>
        </is>
      </c>
      <c r="Z1733" t="inlineStr">
        <is>
          <t>Nej</t>
        </is>
      </c>
      <c r="AA1733" t="n">
        <v>10</v>
      </c>
      <c r="AB1733" t="inlineStr">
        <is>
          <t>Miljopaverkan och forsiktighetsmatt</t>
        </is>
      </c>
      <c r="AC1733" t="inlineStr">
        <is>
          <t>Miljo-PM</t>
        </is>
      </c>
      <c r="AD1733" t="inlineStr">
        <is>
          <t>Nej</t>
        </is>
      </c>
      <c r="AE1733" t="inlineStr">
        <is>
          <t>Nej</t>
        </is>
      </c>
      <c r="AF1733" t="inlineStr">
        <is>
          <t>Ej behandlad</t>
        </is>
      </c>
      <c r="AG1733" t="inlineStr">
        <is>
          <t>AUTO_GENERERAD. Verifiera citat mot kallfil.</t>
        </is>
      </c>
      <c r="AH1733" t="inlineStr">
        <is>
          <t>MEDIUM</t>
        </is>
      </c>
      <c r="AI1733" t="inlineStr">
        <is>
          <t>AUTO</t>
        </is>
      </c>
      <c r="AJ1733" t="inlineStr">
        <is>
          <t>Nej</t>
        </is>
      </c>
      <c r="AK1733" t="inlineStr"/>
      <c r="AL1733" t="inlineStr"/>
      <c r="AM1733" t="inlineStr"/>
      <c r="AN1733" t="inlineStr"/>
      <c r="AO1733" t="inlineStr">
        <is>
          <t>cmm4yuo22019ncuqwfc19cfnc</t>
        </is>
      </c>
      <c r="AP1733" t="inlineStr">
        <is>
          <t>http://localhost:8787/api/admin/requirements/documents/cmm4yuo22019ncuqwfc19cfnc/view</t>
        </is>
      </c>
      <c r="AQ1733">
        <f>HYPERLÄNK("http://localhost:8787/api/admin/requirements/documents/cmm4yuo22019ncuqwfc19cfnc/view";"Öppna PDF")</f>
        <v/>
      </c>
      <c r="AR1733">
        <f>HYPERLINK("http://localhost:8787/api/admin/requirements/documents/cmm4yuo22019ncuqwfc19cfnc/view","Open PDF")</f>
        <v/>
      </c>
      <c r="AS1733" t="inlineStr">
        <is>
          <t>cmm55w57p0004cuisfrtpqly8</t>
        </is>
      </c>
      <c r="AT1733" t="inlineStr">
        <is>
          <t>cmm4xvu980000cuh4vj0usz09</t>
        </is>
      </c>
      <c r="AU1733" t="inlineStr">
        <is>
          <t>nummer Webbadress Enköpings</t>
        </is>
      </c>
      <c r="AV1733" t="inlineStr">
        <is>
          <t>Kommun</t>
        </is>
      </c>
      <c r="AW1733" t="inlineStr">
        <is>
          <t>nummer Webbadress Enköpings kommun</t>
        </is>
      </c>
      <c r="AX1733" t="inlineStr">
        <is>
          <t>2026-02</t>
        </is>
      </c>
      <c r="AY1733" t="inlineStr">
        <is>
          <t>Beslut</t>
        </is>
      </c>
      <c r="AZ1733" t="inlineStr">
        <is>
          <t>2026-02-03</t>
        </is>
      </c>
      <c r="BA1733" t="inlineStr">
        <is>
          <t>MIL2024526pdf_976554.pdf</t>
        </is>
      </c>
      <c r="BB1733" t="inlineStr">
        <is>
          <t>Begäran om allmän handling i ärende  MIL.2026.363</t>
        </is>
      </c>
      <c r="BC1733" t="inlineStr">
        <is>
          <t>AUTO</t>
        </is>
      </c>
      <c r="BD1733" t="inlineStr"/>
      <c r="BE1733" t="inlineStr"/>
      <c r="BF1733" t="inlineStr">
        <is>
          <t>AUTO_GENERERAD. Bekrafta metadata mot kallfil.</t>
        </is>
      </c>
      <c r="BG1733">
        <f>HYPERLINK("C:\Users\jimmy\Desktop\Examens arbete\Kod\Ny mapp\remix_-copy-of-miljöbeslut.se-portal\MIL2024526pdf_976554.pdf", "Öppna PDF")</f>
        <v/>
      </c>
    </row>
    <row r="1734">
      <c r="A1734" t="inlineStr">
        <is>
          <t>KRAV-AUTO-001733</t>
        </is>
      </c>
      <c r="B1734" t="inlineStr">
        <is>
          <t>ADMIN-INDEX-2026-02-27-00000000125C043F57453246863FE664CAFE6A3F0700950291EA24F0614FB6ACEDB12BF0E31D00000000010C0000950291EA24F0614FB6ACEDB12BF0E31D00002087AEF60000</t>
        </is>
      </c>
      <c r="C1734" t="inlineStr">
        <is>
          <t>cmm4yuo22019ncuqwfc19cfnc</t>
        </is>
      </c>
      <c r="D1734" t="inlineStr">
        <is>
          <t>http://localhost:8787/api/admin/requirements/documents/cmm4yuo22019ncuqwfc19cfnc/view</t>
        </is>
      </c>
      <c r="E1734">
        <f>HYPERLÄNK("http://localhost:8787/api/admin/requirements/documents/cmm4yuo22019ncuqwfc19cfnc/view";"Öppna PDF")</f>
        <v/>
      </c>
      <c r="F1734">
        <f>HYPERLINK("http://localhost:8787/api/admin/requirements/documents/cmm4yuo22019ncuqwfc19cfnc/view","Open PDF")</f>
        <v/>
      </c>
      <c r="G1734" t="inlineStr">
        <is>
          <t>cmm55w57p0004cuisfrtpqly8</t>
        </is>
      </c>
      <c r="H1734" t="inlineStr">
        <is>
          <t>Beslutsvillkor</t>
        </is>
      </c>
      <c r="I1734" t="inlineStr">
        <is>
          <t>DagvattenLakvatten</t>
        </is>
      </c>
      <c r="J1734" t="inlineStr">
        <is>
          <t>Uppsamling</t>
        </is>
      </c>
      <c r="K1734" t="inlineStr">
        <is>
          <t>Kemiska produkter och farligt avfall ska förvaras väl uppmärkta och på sådant sätt att risk för förorening av mark och vatten inte föreligger.</t>
        </is>
      </c>
      <c r="L1734" t="inlineStr">
        <is>
          <t>Kemiska produkter och farligt avfall ska förvaras väl uppmärkta och på sådant sätt att risk för förorening av mark och vatten inte föreligger.</t>
        </is>
      </c>
      <c r="M1734" t="inlineStr">
        <is>
          <t>SKA</t>
        </is>
      </c>
      <c r="N1734" t="inlineStr"/>
      <c r="O1734" t="inlineStr"/>
      <c r="P1734" t="inlineStr">
        <is>
          <t>Arlig</t>
        </is>
      </c>
      <c r="Q1734" t="inlineStr"/>
      <c r="R1734" t="inlineStr">
        <is>
          <t>Vid nederbord och avrinning</t>
        </is>
      </c>
      <c r="S1734" t="inlineStr"/>
      <c r="T1734" t="inlineStr">
        <is>
          <t>888215</t>
        </is>
      </c>
      <c r="U1734" t="inlineStr"/>
      <c r="V1734" t="inlineStr"/>
      <c r="W1734" t="inlineStr">
        <is>
          <t>Nej</t>
        </is>
      </c>
      <c r="X1734" t="inlineStr">
        <is>
          <t>Ja</t>
        </is>
      </c>
      <c r="Y1734" t="inlineStr">
        <is>
          <t>Ja</t>
        </is>
      </c>
      <c r="Z1734" t="inlineStr">
        <is>
          <t>Nej</t>
        </is>
      </c>
      <c r="AA1734" t="n">
        <v>6</v>
      </c>
      <c r="AB1734" t="inlineStr">
        <is>
          <t>Lakvattenhantering</t>
        </is>
      </c>
      <c r="AC1734" t="inlineStr">
        <is>
          <t>Flodesschema dagvatten-lakvatten</t>
        </is>
      </c>
      <c r="AD1734" t="inlineStr">
        <is>
          <t>Nej</t>
        </is>
      </c>
      <c r="AE1734" t="inlineStr">
        <is>
          <t>Nej</t>
        </is>
      </c>
      <c r="AF1734" t="inlineStr">
        <is>
          <t>Ej behandlad</t>
        </is>
      </c>
      <c r="AG1734" t="inlineStr">
        <is>
          <t>AUTO_GENERERAD. Verifiera citat mot kallfil.</t>
        </is>
      </c>
      <c r="AH1734" t="inlineStr">
        <is>
          <t>MEDIUM</t>
        </is>
      </c>
      <c r="AI1734" t="inlineStr">
        <is>
          <t>AUTO</t>
        </is>
      </c>
      <c r="AJ1734" t="inlineStr">
        <is>
          <t>Nej</t>
        </is>
      </c>
      <c r="AK1734" t="inlineStr"/>
      <c r="AL1734" t="inlineStr"/>
      <c r="AM1734" t="inlineStr"/>
      <c r="AN1734" t="inlineStr"/>
      <c r="AO1734" t="inlineStr">
        <is>
          <t>cmm4yuo22019ncuqwfc19cfnc</t>
        </is>
      </c>
      <c r="AP1734" t="inlineStr">
        <is>
          <t>http://localhost:8787/api/admin/requirements/documents/cmm4yuo22019ncuqwfc19cfnc/view</t>
        </is>
      </c>
      <c r="AQ1734">
        <f>HYPERLÄNK("http://localhost:8787/api/admin/requirements/documents/cmm4yuo22019ncuqwfc19cfnc/view";"Öppna PDF")</f>
        <v/>
      </c>
      <c r="AR1734">
        <f>HYPERLINK("http://localhost:8787/api/admin/requirements/documents/cmm4yuo22019ncuqwfc19cfnc/view","Open PDF")</f>
        <v/>
      </c>
      <c r="AS1734" t="inlineStr">
        <is>
          <t>cmm55w57p0004cuisfrtpqly8</t>
        </is>
      </c>
      <c r="AT1734" t="inlineStr">
        <is>
          <t>cmm4xvu980000cuh4vj0usz09</t>
        </is>
      </c>
      <c r="AU1734" t="inlineStr">
        <is>
          <t>nummer Webbadress Enköpings</t>
        </is>
      </c>
      <c r="AV1734" t="inlineStr">
        <is>
          <t>Kommun</t>
        </is>
      </c>
      <c r="AW1734" t="inlineStr">
        <is>
          <t>nummer Webbadress Enköpings kommun</t>
        </is>
      </c>
      <c r="AX1734" t="inlineStr">
        <is>
          <t>2026-02</t>
        </is>
      </c>
      <c r="AY1734" t="inlineStr">
        <is>
          <t>Beslut</t>
        </is>
      </c>
      <c r="AZ1734" t="inlineStr">
        <is>
          <t>2026-02-03</t>
        </is>
      </c>
      <c r="BA1734" t="inlineStr">
        <is>
          <t>MIL2024526pdf_976554.pdf</t>
        </is>
      </c>
      <c r="BB1734" t="inlineStr">
        <is>
          <t>Begäran om allmän handling i ärende  MIL.2026.363</t>
        </is>
      </c>
      <c r="BC1734" t="inlineStr">
        <is>
          <t>AUTO</t>
        </is>
      </c>
      <c r="BD1734" t="inlineStr"/>
      <c r="BE1734" t="inlineStr"/>
      <c r="BF1734" t="inlineStr">
        <is>
          <t>AUTO_GENERERAD. Bekrafta metadata mot kallfil.</t>
        </is>
      </c>
      <c r="BG1734">
        <f>HYPERLINK("C:\Users\jimmy\Desktop\Examens arbete\Kod\Ny mapp\remix_-copy-of-miljöbeslut.se-portal\MIL2024526pdf_976554.pdf", "Öppna PDF")</f>
        <v/>
      </c>
    </row>
    <row r="1735">
      <c r="A1735" t="inlineStr">
        <is>
          <t>KRAV-AUTO-001734</t>
        </is>
      </c>
      <c r="B1735" t="inlineStr">
        <is>
          <t>ADMIN-INDEX-2026-02-27-00000000125C043F57453246863FE664CAFE6A3F0700950291EA24F0614FB6ACEDB12BF0E31D00000000010C0000950291EA24F0614FB6ACEDB12BF0E31D00002087AEF60000</t>
        </is>
      </c>
      <c r="C1735" t="inlineStr">
        <is>
          <t>cmm4yuo20019kcuqw9y5hjrdw</t>
        </is>
      </c>
      <c r="D1735" t="inlineStr">
        <is>
          <t>http://localhost:8787/api/admin/requirements/documents/cmm4yuo20019kcuqw9y5hjrdw/view</t>
        </is>
      </c>
      <c r="E1735">
        <f>HYPERLÄNK("http://localhost:8787/api/admin/requirements/documents/cmm4yuo20019kcuqw9y5hjrdw/view";"Öppna PDF")</f>
        <v/>
      </c>
      <c r="F1735">
        <f>HYPERLINK("http://localhost:8787/api/admin/requirements/documents/cmm4yuo20019kcuqw9y5hjrdw/view","Open PDF")</f>
        <v/>
      </c>
      <c r="G1735" t="inlineStr">
        <is>
          <t>cmm55w57p0004cuisfrtpqly8</t>
        </is>
      </c>
      <c r="H1735" t="inlineStr">
        <is>
          <t>Beslutsvillkor</t>
        </is>
      </c>
      <c r="I1735" t="inlineStr">
        <is>
          <t>Ytkonstruktion</t>
        </is>
      </c>
      <c r="J1735" t="inlineStr">
        <is>
          <t>Tat yta</t>
        </is>
      </c>
      <c r="K1735" t="inlineStr">
        <is>
          <t>Lagring av bränsle, oljor, kemiska produkter ska ske på tät, invallad yta som är beständig mot den kemiska produkt som lagras, samt skyddas mot nederbörd.</t>
        </is>
      </c>
      <c r="L1735" t="inlineStr">
        <is>
          <t>Lagring av bränsle, oljor, kemiska produkter ska ske på tät, invallad yta som är beständig mot den kemiska produkt som lagras, samt skyddas mot nederbörd.</t>
        </is>
      </c>
      <c r="M1735" t="inlineStr">
        <is>
          <t>SKA</t>
        </is>
      </c>
      <c r="N1735" t="inlineStr"/>
      <c r="O1735" t="inlineStr"/>
      <c r="P1735" t="inlineStr"/>
      <c r="Q1735" t="inlineStr"/>
      <c r="R1735" t="inlineStr">
        <is>
          <t>Vid mellanlagring av avfall</t>
        </is>
      </c>
      <c r="S1735" t="inlineStr"/>
      <c r="T1735" t="inlineStr">
        <is>
          <t>886107</t>
        </is>
      </c>
      <c r="U1735" t="inlineStr"/>
      <c r="V1735" t="inlineStr"/>
      <c r="W1735" t="inlineStr">
        <is>
          <t>Ja</t>
        </is>
      </c>
      <c r="X1735" t="inlineStr">
        <is>
          <t>Nej</t>
        </is>
      </c>
      <c r="Y1735" t="inlineStr">
        <is>
          <t>Nej</t>
        </is>
      </c>
      <c r="Z1735" t="inlineStr">
        <is>
          <t>Nej</t>
        </is>
      </c>
      <c r="AA1735" t="n">
        <v>5</v>
      </c>
      <c r="AB1735" t="inlineStr">
        <is>
          <t>Teknisk beskrivning av platta</t>
        </is>
      </c>
      <c r="AC1735" t="inlineStr">
        <is>
          <t>Teknisk ritning platta</t>
        </is>
      </c>
      <c r="AD1735" t="inlineStr">
        <is>
          <t>Nej</t>
        </is>
      </c>
      <c r="AE1735" t="inlineStr">
        <is>
          <t>Nej</t>
        </is>
      </c>
      <c r="AF1735" t="inlineStr">
        <is>
          <t>Ej behandlad</t>
        </is>
      </c>
      <c r="AG1735" t="inlineStr">
        <is>
          <t>AUTO_GENERERAD. Verifiera citat mot kallfil.</t>
        </is>
      </c>
      <c r="AH1735" t="inlineStr">
        <is>
          <t>MEDIUM</t>
        </is>
      </c>
      <c r="AI1735" t="inlineStr">
        <is>
          <t>AUTO</t>
        </is>
      </c>
      <c r="AJ1735" t="inlineStr">
        <is>
          <t>Nej</t>
        </is>
      </c>
      <c r="AK1735" t="inlineStr"/>
      <c r="AL1735" t="inlineStr"/>
      <c r="AM1735" t="inlineStr"/>
      <c r="AN1735" t="inlineStr"/>
      <c r="AO1735" t="inlineStr">
        <is>
          <t>cmm4yuo22019ncuqwfc19cfnc</t>
        </is>
      </c>
      <c r="AP1735" t="inlineStr">
        <is>
          <t>http://localhost:8787/api/admin/requirements/documents/cmm4yuo22019ncuqwfc19cfnc/view</t>
        </is>
      </c>
      <c r="AQ1735">
        <f>HYPERLÄNK("http://localhost:8787/api/admin/requirements/documents/cmm4yuo22019ncuqwfc19cfnc/view";"Öppna PDF")</f>
        <v/>
      </c>
      <c r="AR1735">
        <f>HYPERLINK("http://localhost:8787/api/admin/requirements/documents/cmm4yuo22019ncuqwfc19cfnc/view","Open PDF")</f>
        <v/>
      </c>
      <c r="AS1735" t="inlineStr">
        <is>
          <t>cmm55w57p0004cuisfrtpqly8</t>
        </is>
      </c>
      <c r="AT1735" t="inlineStr">
        <is>
          <t>cmm4xvu980000cuh4vj0usz09</t>
        </is>
      </c>
      <c r="AU1735" t="inlineStr">
        <is>
          <t>nummer Webbadress Enköpings</t>
        </is>
      </c>
      <c r="AV1735" t="inlineStr">
        <is>
          <t>Kommun</t>
        </is>
      </c>
      <c r="AW1735" t="inlineStr">
        <is>
          <t>nummer Webbadress Enköpings kommun</t>
        </is>
      </c>
      <c r="AX1735" t="inlineStr">
        <is>
          <t>2026-02</t>
        </is>
      </c>
      <c r="AY1735" t="inlineStr">
        <is>
          <t>Beslut</t>
        </is>
      </c>
      <c r="AZ1735" t="inlineStr">
        <is>
          <t>2026-02-03</t>
        </is>
      </c>
      <c r="BA1735" t="inlineStr">
        <is>
          <t>MIL2024526pdf_976554.pdf</t>
        </is>
      </c>
      <c r="BB1735" t="inlineStr">
        <is>
          <t>Begäran om allmän handling i ärende  MIL.2026.363</t>
        </is>
      </c>
      <c r="BC1735" t="inlineStr">
        <is>
          <t>AUTO</t>
        </is>
      </c>
      <c r="BD1735" t="inlineStr"/>
      <c r="BE1735" t="inlineStr"/>
      <c r="BF1735" t="inlineStr">
        <is>
          <t>AUTO_GENERERAD. Bekrafta metadata mot kallfil.</t>
        </is>
      </c>
      <c r="BG1735">
        <f>HYPERLINK("C:\Users\jimmy\Desktop\Examens arbete\Kod\Ny mapp\remix_-copy-of-miljöbeslut.se-portal\MIL2024526pdf_976554.pdf", "Öppna PDF")</f>
        <v/>
      </c>
    </row>
    <row r="1736">
      <c r="A1736" t="inlineStr">
        <is>
          <t>KRAV-AUTO-001735</t>
        </is>
      </c>
      <c r="B1736" t="inlineStr">
        <is>
          <t>ADMIN-INDEX-2026-02-27-00000000125C043F57453246863FE664CAFE6A3F0700950291EA24F0614FB6ACEDB12BF0E31D00000000010C0000950291EA24F0614FB6ACEDB12BF0E31D00002087AEF60000</t>
        </is>
      </c>
      <c r="C1736" t="inlineStr">
        <is>
          <t>cmm4yuo20019kcuqw9y5hjrdw</t>
        </is>
      </c>
      <c r="D1736" t="inlineStr">
        <is>
          <t>http://localhost:8787/api/admin/requirements/documents/cmm4yuo20019kcuqw9y5hjrdw/view</t>
        </is>
      </c>
      <c r="E1736">
        <f>HYPERLÄNK("http://localhost:8787/api/admin/requirements/documents/cmm4yuo20019kcuqw9y5hjrdw/view";"Öppna PDF")</f>
        <v/>
      </c>
      <c r="F1736">
        <f>HYPERLINK("http://localhost:8787/api/admin/requirements/documents/cmm4yuo20019kcuqw9y5hjrdw/view","Open PDF")</f>
        <v/>
      </c>
      <c r="G1736" t="inlineStr">
        <is>
          <t>cmm55w57p0004cuisfrtpqly8</t>
        </is>
      </c>
      <c r="H1736" t="inlineStr">
        <is>
          <t>Beslutsvillkor</t>
        </is>
      </c>
      <c r="I1736" t="inlineStr">
        <is>
          <t>DagvattenLakvatten</t>
        </is>
      </c>
      <c r="J1736" t="inlineStr">
        <is>
          <t>Uppsamling</t>
        </is>
      </c>
      <c r="K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6" t="inlineStr">
        <is>
          <t>SKA</t>
        </is>
      </c>
      <c r="N1736" t="inlineStr">
        <is>
          <t>Naturvardsverket</t>
        </is>
      </c>
      <c r="O1736" t="inlineStr"/>
      <c r="P1736" t="inlineStr">
        <is>
          <t>Arlig</t>
        </is>
      </c>
      <c r="Q1736" t="inlineStr"/>
      <c r="R1736" t="inlineStr">
        <is>
          <t>Vid nederbord och avrinning</t>
        </is>
      </c>
      <c r="S1736" t="inlineStr"/>
      <c r="T1736" t="inlineStr">
        <is>
          <t>886107</t>
        </is>
      </c>
      <c r="U1736" t="inlineStr"/>
      <c r="V1736" t="inlineStr"/>
      <c r="W1736" t="inlineStr">
        <is>
          <t>Nej</t>
        </is>
      </c>
      <c r="X1736" t="inlineStr">
        <is>
          <t>Ja</t>
        </is>
      </c>
      <c r="Y1736" t="inlineStr">
        <is>
          <t>Ja</t>
        </is>
      </c>
      <c r="Z1736" t="inlineStr">
        <is>
          <t>Nej</t>
        </is>
      </c>
      <c r="AA1736" t="n">
        <v>6</v>
      </c>
      <c r="AB1736" t="inlineStr">
        <is>
          <t>Lakvattenhantering</t>
        </is>
      </c>
      <c r="AC1736" t="inlineStr">
        <is>
          <t>Flodesschema dagvatten-lakvatten</t>
        </is>
      </c>
      <c r="AD1736" t="inlineStr">
        <is>
          <t>Nej</t>
        </is>
      </c>
      <c r="AE1736" t="inlineStr">
        <is>
          <t>Nej</t>
        </is>
      </c>
      <c r="AF1736" t="inlineStr">
        <is>
          <t>Ej behandlad</t>
        </is>
      </c>
      <c r="AG1736" t="inlineStr">
        <is>
          <t>AUTO_GENERERAD. Verifiera citat mot kallfil.</t>
        </is>
      </c>
      <c r="AH1736" t="inlineStr">
        <is>
          <t>HIGH</t>
        </is>
      </c>
      <c r="AI1736" t="inlineStr">
        <is>
          <t>AUTO</t>
        </is>
      </c>
      <c r="AJ1736" t="inlineStr">
        <is>
          <t>Nej</t>
        </is>
      </c>
      <c r="AK1736" t="inlineStr"/>
      <c r="AL1736" t="inlineStr"/>
      <c r="AM1736" t="inlineStr"/>
      <c r="AN1736" t="inlineStr"/>
      <c r="AO1736" t="inlineStr">
        <is>
          <t>cmm4yuo22019ncuqwfc19cfnc</t>
        </is>
      </c>
      <c r="AP1736" t="inlineStr">
        <is>
          <t>http://localhost:8787/api/admin/requirements/documents/cmm4yuo22019ncuqwfc19cfnc/view</t>
        </is>
      </c>
      <c r="AQ1736">
        <f>HYPERLÄNK("http://localhost:8787/api/admin/requirements/documents/cmm4yuo22019ncuqwfc19cfnc/view";"Öppna PDF")</f>
        <v/>
      </c>
      <c r="AR1736">
        <f>HYPERLINK("http://localhost:8787/api/admin/requirements/documents/cmm4yuo22019ncuqwfc19cfnc/view","Open PDF")</f>
        <v/>
      </c>
      <c r="AS1736" t="inlineStr">
        <is>
          <t>cmm55w57p0004cuisfrtpqly8</t>
        </is>
      </c>
      <c r="AT1736" t="inlineStr">
        <is>
          <t>cmm4xvu980000cuh4vj0usz09</t>
        </is>
      </c>
      <c r="AU1736" t="inlineStr">
        <is>
          <t>nummer Webbadress Enköpings</t>
        </is>
      </c>
      <c r="AV1736" t="inlineStr">
        <is>
          <t>Kommun</t>
        </is>
      </c>
      <c r="AW1736" t="inlineStr">
        <is>
          <t>nummer Webbadress Enköpings kommun</t>
        </is>
      </c>
      <c r="AX1736" t="inlineStr">
        <is>
          <t>2026-02</t>
        </is>
      </c>
      <c r="AY1736" t="inlineStr">
        <is>
          <t>Beslut</t>
        </is>
      </c>
      <c r="AZ1736" t="inlineStr">
        <is>
          <t>2026-02-03</t>
        </is>
      </c>
      <c r="BA1736" t="inlineStr">
        <is>
          <t>MIL2024526pdf_976554.pdf</t>
        </is>
      </c>
      <c r="BB1736" t="inlineStr">
        <is>
          <t>Begäran om allmän handling i ärende  MIL.2026.363</t>
        </is>
      </c>
      <c r="BC1736" t="inlineStr">
        <is>
          <t>AUTO</t>
        </is>
      </c>
      <c r="BD1736" t="inlineStr"/>
      <c r="BE1736" t="inlineStr"/>
      <c r="BF1736" t="inlineStr">
        <is>
          <t>AUTO_GENERERAD. Bekrafta metadata mot kallfil.</t>
        </is>
      </c>
      <c r="BG1736">
        <f>HYPERLINK("C:\Users\jimmy\Desktop\Examens arbete\Kod\Ny mapp\remix_-copy-of-miljöbeslut.se-portal\MIL2024526pdf_976554.pdf", "Öppna PDF")</f>
        <v/>
      </c>
    </row>
    <row r="1737">
      <c r="A1737" t="inlineStr">
        <is>
          <t>KRAV-AUTO-001736</t>
        </is>
      </c>
      <c r="B1737" t="inlineStr">
        <is>
          <t>ADMIN-INDEX-2026-02-27-00000000125C043F57453246863FE664CAFE6A3F0700950291EA24F0614FB6ACEDB12BF0E31D00000000010C0000950291EA24F0614FB6ACEDB12BF0E31D00002087AEF60000</t>
        </is>
      </c>
      <c r="C1737" t="inlineStr">
        <is>
          <t>cmm4yuo20019kcuqw9y5hjrdw</t>
        </is>
      </c>
      <c r="D1737" t="inlineStr">
        <is>
          <t>http://localhost:8787/api/admin/requirements/documents/cmm4yuo20019kcuqw9y5hjrdw/view</t>
        </is>
      </c>
      <c r="E1737">
        <f>HYPERLÄNK("http://localhost:8787/api/admin/requirements/documents/cmm4yuo20019kcuqw9y5hjrdw/view";"Öppna PDF")</f>
        <v/>
      </c>
      <c r="F1737">
        <f>HYPERLINK("http://localhost:8787/api/admin/requirements/documents/cmm4yuo20019kcuqw9y5hjrdw/view","Open PDF")</f>
        <v/>
      </c>
      <c r="G1737" t="inlineStr">
        <is>
          <t>cmm55w57p0004cuisfrtpqly8</t>
        </is>
      </c>
      <c r="H1737" t="inlineStr">
        <is>
          <t>Beslutsvillkor</t>
        </is>
      </c>
      <c r="I1737" t="inlineStr">
        <is>
          <t>Ytkonstruktion</t>
        </is>
      </c>
      <c r="J1737" t="inlineStr">
        <is>
          <t>Tat yta</t>
        </is>
      </c>
      <c r="K1737" t="inlineStr">
        <is>
          <t>Invallningar ska dimensioneras så att de rymmer största behållarens volym och minst 10 % av övrig lagrad volym.</t>
        </is>
      </c>
      <c r="L1737" t="inlineStr">
        <is>
          <t>Invallningar ska dimensioneras så att de rymmer största behållarens volym och minst 10 % av övrig lagrad volym.</t>
        </is>
      </c>
      <c r="M1737" t="inlineStr">
        <is>
          <t>SKA</t>
        </is>
      </c>
      <c r="N1737" t="inlineStr"/>
      <c r="O1737" t="inlineStr"/>
      <c r="P1737" t="inlineStr"/>
      <c r="Q1737" t="inlineStr"/>
      <c r="R1737" t="inlineStr">
        <is>
          <t>Vid mellanlagring av avfall</t>
        </is>
      </c>
      <c r="S1737" t="inlineStr"/>
      <c r="T1737" t="inlineStr">
        <is>
          <t>886107</t>
        </is>
      </c>
      <c r="U1737" t="inlineStr"/>
      <c r="V1737" t="inlineStr"/>
      <c r="W1737" t="inlineStr">
        <is>
          <t>Ja</t>
        </is>
      </c>
      <c r="X1737" t="inlineStr">
        <is>
          <t>Nej</t>
        </is>
      </c>
      <c r="Y1737" t="inlineStr">
        <is>
          <t>Nej</t>
        </is>
      </c>
      <c r="Z1737" t="inlineStr">
        <is>
          <t>Nej</t>
        </is>
      </c>
      <c r="AA1737" t="n">
        <v>5</v>
      </c>
      <c r="AB1737" t="inlineStr">
        <is>
          <t>Teknisk beskrivning av platta</t>
        </is>
      </c>
      <c r="AC1737" t="inlineStr">
        <is>
          <t>Teknisk ritning platta</t>
        </is>
      </c>
      <c r="AD1737" t="inlineStr">
        <is>
          <t>Nej</t>
        </is>
      </c>
      <c r="AE1737" t="inlineStr">
        <is>
          <t>Nej</t>
        </is>
      </c>
      <c r="AF1737" t="inlineStr">
        <is>
          <t>Ej behandlad</t>
        </is>
      </c>
      <c r="AG1737" t="inlineStr">
        <is>
          <t>AUTO_GENERERAD. Verifiera citat mot kallfil.</t>
        </is>
      </c>
      <c r="AH1737" t="inlineStr">
        <is>
          <t>MEDIUM</t>
        </is>
      </c>
      <c r="AI1737" t="inlineStr">
        <is>
          <t>AUTO</t>
        </is>
      </c>
      <c r="AJ1737" t="inlineStr">
        <is>
          <t>Nej</t>
        </is>
      </c>
      <c r="AK1737" t="inlineStr"/>
      <c r="AL1737" t="inlineStr"/>
      <c r="AM1737" t="inlineStr"/>
      <c r="AN1737" t="inlineStr"/>
      <c r="AO1737" t="inlineStr">
        <is>
          <t>cmm4yuo22019ncuqwfc19cfnc</t>
        </is>
      </c>
      <c r="AP1737" t="inlineStr">
        <is>
          <t>http://localhost:8787/api/admin/requirements/documents/cmm4yuo22019ncuqwfc19cfnc/view</t>
        </is>
      </c>
      <c r="AQ1737">
        <f>HYPERLÄNK("http://localhost:8787/api/admin/requirements/documents/cmm4yuo22019ncuqwfc19cfnc/view";"Öppna PDF")</f>
        <v/>
      </c>
      <c r="AR1737">
        <f>HYPERLINK("http://localhost:8787/api/admin/requirements/documents/cmm4yuo22019ncuqwfc19cfnc/view","Open PDF")</f>
        <v/>
      </c>
      <c r="AS1737" t="inlineStr">
        <is>
          <t>cmm55w57p0004cuisfrtpqly8</t>
        </is>
      </c>
      <c r="AT1737" t="inlineStr">
        <is>
          <t>cmm4xvu980000cuh4vj0usz09</t>
        </is>
      </c>
      <c r="AU1737" t="inlineStr">
        <is>
          <t>nummer Webbadress Enköpings</t>
        </is>
      </c>
      <c r="AV1737" t="inlineStr">
        <is>
          <t>Kommun</t>
        </is>
      </c>
      <c r="AW1737" t="inlineStr">
        <is>
          <t>nummer Webbadress Enköpings kommun</t>
        </is>
      </c>
      <c r="AX1737" t="inlineStr">
        <is>
          <t>2026-02</t>
        </is>
      </c>
      <c r="AY1737" t="inlineStr">
        <is>
          <t>Beslut</t>
        </is>
      </c>
      <c r="AZ1737" t="inlineStr">
        <is>
          <t>2026-02-03</t>
        </is>
      </c>
      <c r="BA1737" t="inlineStr">
        <is>
          <t>MIL2024526pdf_976554.pdf</t>
        </is>
      </c>
      <c r="BB1737" t="inlineStr">
        <is>
          <t>Begäran om allmän handling i ärende  MIL.2026.363</t>
        </is>
      </c>
      <c r="BC1737" t="inlineStr">
        <is>
          <t>AUTO</t>
        </is>
      </c>
      <c r="BD1737" t="inlineStr"/>
      <c r="BE1737" t="inlineStr"/>
      <c r="BF1737" t="inlineStr">
        <is>
          <t>AUTO_GENERERAD. Bekrafta metadata mot kallfil.</t>
        </is>
      </c>
      <c r="BG1737">
        <f>HYPERLINK("C:\Users\jimmy\Desktop\Examens arbete\Kod\Ny mapp\remix_-copy-of-miljöbeslut.se-portal\MIL2024526pdf_976554.pdf", "Öppna PDF")</f>
        <v/>
      </c>
    </row>
    <row r="1738">
      <c r="A1738" t="inlineStr">
        <is>
          <t>KRAV-AUTO-001737</t>
        </is>
      </c>
      <c r="B1738" t="inlineStr">
        <is>
          <t>ADMIN-INDEX-2026-02-27-00000000125C043F57453246863FE664CAFE6A3F0700950291EA24F0614FB6ACEDB12BF0E31D00000000010C0000950291EA24F0614FB6ACEDB12BF0E31D00002087AEF60000</t>
        </is>
      </c>
      <c r="C1738" t="inlineStr">
        <is>
          <t>cmm4yuo1x019hcuqwxcrforrg</t>
        </is>
      </c>
      <c r="D1738" t="inlineStr">
        <is>
          <t>http://localhost:8787/api/admin/requirements/documents/cmm4yuo1x019hcuqwxcrforrg/view</t>
        </is>
      </c>
      <c r="E1738">
        <f>HYPERLÄNK("http://localhost:8787/api/admin/requirements/documents/cmm4yuo1x019hcuqwxcrforrg/view";"Öppna PDF")</f>
        <v/>
      </c>
      <c r="F1738">
        <f>HYPERLINK("http://localhost:8787/api/admin/requirements/documents/cmm4yuo1x019hcuqwxcrforrg/view","Open PDF")</f>
        <v/>
      </c>
      <c r="G1738" t="inlineStr">
        <is>
          <t>cmm55w57p0004cuisfrtpqly8</t>
        </is>
      </c>
      <c r="H1738" t="inlineStr">
        <is>
          <t>Beslutsvillkor</t>
        </is>
      </c>
      <c r="I1738" t="inlineStr">
        <is>
          <t>DagvattenLakvatten</t>
        </is>
      </c>
      <c r="J1738" t="inlineStr">
        <is>
          <t>Uppsamling</t>
        </is>
      </c>
      <c r="K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8" t="inlineStr">
        <is>
          <t>SKA</t>
        </is>
      </c>
      <c r="N1738" t="inlineStr">
        <is>
          <t>Naturvardsverket</t>
        </is>
      </c>
      <c r="O1738" t="inlineStr"/>
      <c r="P1738" t="inlineStr">
        <is>
          <t>Arlig</t>
        </is>
      </c>
      <c r="Q1738" t="inlineStr"/>
      <c r="R1738" t="inlineStr">
        <is>
          <t>Vid nederbord och avrinning</t>
        </is>
      </c>
      <c r="S1738" t="inlineStr"/>
      <c r="T1738" t="inlineStr">
        <is>
          <t>884627</t>
        </is>
      </c>
      <c r="U1738" t="inlineStr"/>
      <c r="V1738" t="inlineStr"/>
      <c r="W1738" t="inlineStr">
        <is>
          <t>Nej</t>
        </is>
      </c>
      <c r="X1738" t="inlineStr">
        <is>
          <t>Ja</t>
        </is>
      </c>
      <c r="Y1738" t="inlineStr">
        <is>
          <t>Ja</t>
        </is>
      </c>
      <c r="Z1738" t="inlineStr">
        <is>
          <t>Nej</t>
        </is>
      </c>
      <c r="AA1738" t="n">
        <v>6</v>
      </c>
      <c r="AB1738" t="inlineStr">
        <is>
          <t>Lakvattenhantering</t>
        </is>
      </c>
      <c r="AC1738" t="inlineStr">
        <is>
          <t>Flodesschema dagvatten-lakvatten</t>
        </is>
      </c>
      <c r="AD1738" t="inlineStr">
        <is>
          <t>Nej</t>
        </is>
      </c>
      <c r="AE1738" t="inlineStr">
        <is>
          <t>Nej</t>
        </is>
      </c>
      <c r="AF1738" t="inlineStr">
        <is>
          <t>Ej behandlad</t>
        </is>
      </c>
      <c r="AG1738" t="inlineStr">
        <is>
          <t>AUTO_GENERERAD. Verifiera citat mot kallfil.</t>
        </is>
      </c>
      <c r="AH1738" t="inlineStr">
        <is>
          <t>HIGH</t>
        </is>
      </c>
      <c r="AI1738" t="inlineStr">
        <is>
          <t>AUTO</t>
        </is>
      </c>
      <c r="AJ1738" t="inlineStr">
        <is>
          <t>Nej</t>
        </is>
      </c>
      <c r="AK1738" t="inlineStr"/>
      <c r="AL1738" t="inlineStr"/>
      <c r="AM1738" t="inlineStr"/>
      <c r="AN1738" t="inlineStr"/>
      <c r="AO1738" t="inlineStr">
        <is>
          <t>cmm4yuo22019ncuqwfc19cfnc</t>
        </is>
      </c>
      <c r="AP1738" t="inlineStr">
        <is>
          <t>http://localhost:8787/api/admin/requirements/documents/cmm4yuo22019ncuqwfc19cfnc/view</t>
        </is>
      </c>
      <c r="AQ1738">
        <f>HYPERLÄNK("http://localhost:8787/api/admin/requirements/documents/cmm4yuo22019ncuqwfc19cfnc/view";"Öppna PDF")</f>
        <v/>
      </c>
      <c r="AR1738">
        <f>HYPERLINK("http://localhost:8787/api/admin/requirements/documents/cmm4yuo22019ncuqwfc19cfnc/view","Open PDF")</f>
        <v/>
      </c>
      <c r="AS1738" t="inlineStr">
        <is>
          <t>cmm55w57p0004cuisfrtpqly8</t>
        </is>
      </c>
      <c r="AT1738" t="inlineStr">
        <is>
          <t>cmm4xvu980000cuh4vj0usz09</t>
        </is>
      </c>
      <c r="AU1738" t="inlineStr">
        <is>
          <t>nummer Webbadress Enköpings</t>
        </is>
      </c>
      <c r="AV1738" t="inlineStr">
        <is>
          <t>Kommun</t>
        </is>
      </c>
      <c r="AW1738" t="inlineStr">
        <is>
          <t>nummer Webbadress Enköpings kommun</t>
        </is>
      </c>
      <c r="AX1738" t="inlineStr">
        <is>
          <t>2026-02</t>
        </is>
      </c>
      <c r="AY1738" t="inlineStr">
        <is>
          <t>Beslut</t>
        </is>
      </c>
      <c r="AZ1738" t="inlineStr">
        <is>
          <t>2026-02-03</t>
        </is>
      </c>
      <c r="BA1738" t="inlineStr">
        <is>
          <t>MIL2024526pdf_976554.pdf</t>
        </is>
      </c>
      <c r="BB1738" t="inlineStr">
        <is>
          <t>Begäran om allmän handling i ärende  MIL.2026.363</t>
        </is>
      </c>
      <c r="BC1738" t="inlineStr">
        <is>
          <t>AUTO</t>
        </is>
      </c>
      <c r="BD1738" t="inlineStr"/>
      <c r="BE1738" t="inlineStr"/>
      <c r="BF1738" t="inlineStr">
        <is>
          <t>AUTO_GENERERAD. Bekrafta metadata mot kallfil.</t>
        </is>
      </c>
      <c r="BG1738">
        <f>HYPERLINK("C:\Users\jimmy\Desktop\Examens arbete\Kod\Ny mapp\remix_-copy-of-miljöbeslut.se-portal\MIL2024526pdf_976554.pdf", "Öppna PDF")</f>
        <v/>
      </c>
    </row>
    <row r="1739">
      <c r="A1739" t="inlineStr">
        <is>
          <t>KRAV-AUTO-001738</t>
        </is>
      </c>
      <c r="B1739" t="inlineStr">
        <is>
          <t>ADMIN-INDEX-2026-02-27-00000000125C043F57453246863FE664CAFE6A3F0700950291EA24F0614FB6ACEDB12BF0E31D00000000010C0000950291EA24F0614FB6ACEDB12BF0E31D00002087AEF60000</t>
        </is>
      </c>
      <c r="C1739" t="inlineStr">
        <is>
          <t>cmm4yuo1x019hcuqwxcrforrg</t>
        </is>
      </c>
      <c r="D1739" t="inlineStr">
        <is>
          <t>http://localhost:8787/api/admin/requirements/documents/cmm4yuo1x019hcuqwxcrforrg/view</t>
        </is>
      </c>
      <c r="E1739">
        <f>HYPERLÄNK("http://localhost:8787/api/admin/requirements/documents/cmm4yuo1x019hcuqwxcrforrg/view";"Öppna PDF")</f>
        <v/>
      </c>
      <c r="F1739">
        <f>HYPERLINK("http://localhost:8787/api/admin/requirements/documents/cmm4yuo1x019hcuqwxcrforrg/view","Open PDF")</f>
        <v/>
      </c>
      <c r="G1739" t="inlineStr">
        <is>
          <t>cmm55w57p0004cuisfrtpqly8</t>
        </is>
      </c>
      <c r="H1739" t="inlineStr">
        <is>
          <t>Beslutsvillkor</t>
        </is>
      </c>
      <c r="I1739" t="inlineStr">
        <is>
          <t>Ytkonstruktion</t>
        </is>
      </c>
      <c r="J1739" t="inlineStr">
        <is>
          <t>Tat yta</t>
        </is>
      </c>
      <c r="K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39" t="inlineStr">
        <is>
          <t>SKA</t>
        </is>
      </c>
      <c r="N1739" t="inlineStr"/>
      <c r="O1739" t="inlineStr">
        <is>
          <t>2024-06-14</t>
        </is>
      </c>
      <c r="P1739" t="inlineStr"/>
      <c r="Q1739" t="inlineStr"/>
      <c r="R1739" t="inlineStr">
        <is>
          <t>Vid mellanlagring av avfall</t>
        </is>
      </c>
      <c r="S1739" t="inlineStr"/>
      <c r="T1739" t="inlineStr">
        <is>
          <t>62 57 75</t>
        </is>
      </c>
      <c r="U1739" t="inlineStr"/>
      <c r="V1739" t="inlineStr"/>
      <c r="W1739" t="inlineStr">
        <is>
          <t>Ja</t>
        </is>
      </c>
      <c r="X1739" t="inlineStr">
        <is>
          <t>Nej</t>
        </is>
      </c>
      <c r="Y1739" t="inlineStr">
        <is>
          <t>Nej</t>
        </is>
      </c>
      <c r="Z1739" t="inlineStr">
        <is>
          <t>Nej</t>
        </is>
      </c>
      <c r="AA1739" t="n">
        <v>5</v>
      </c>
      <c r="AB1739" t="inlineStr">
        <is>
          <t>Teknisk beskrivning av platta</t>
        </is>
      </c>
      <c r="AC1739" t="inlineStr">
        <is>
          <t>Teknisk ritning platta</t>
        </is>
      </c>
      <c r="AD1739" t="inlineStr">
        <is>
          <t>Nej</t>
        </is>
      </c>
      <c r="AE1739" t="inlineStr">
        <is>
          <t>Nej</t>
        </is>
      </c>
      <c r="AF1739" t="inlineStr">
        <is>
          <t>Ej behandlad</t>
        </is>
      </c>
      <c r="AG1739" t="inlineStr">
        <is>
          <t>AUTO_GENERERAD. Verifiera citat mot kallfil.</t>
        </is>
      </c>
      <c r="AH1739" t="inlineStr">
        <is>
          <t>MEDIUM</t>
        </is>
      </c>
      <c r="AI1739" t="inlineStr">
        <is>
          <t>AUTO</t>
        </is>
      </c>
      <c r="AJ1739" t="inlineStr">
        <is>
          <t>Nej</t>
        </is>
      </c>
      <c r="AK1739" t="inlineStr"/>
      <c r="AL1739" t="inlineStr"/>
      <c r="AM1739" t="inlineStr"/>
      <c r="AN1739" t="inlineStr"/>
      <c r="AO1739" t="inlineStr">
        <is>
          <t>cmm4yuo22019ncuqwfc19cfnc</t>
        </is>
      </c>
      <c r="AP1739" t="inlineStr">
        <is>
          <t>http://localhost:8787/api/admin/requirements/documents/cmm4yuo22019ncuqwfc19cfnc/view</t>
        </is>
      </c>
      <c r="AQ1739">
        <f>HYPERLÄNK("http://localhost:8787/api/admin/requirements/documents/cmm4yuo22019ncuqwfc19cfnc/view";"Öppna PDF")</f>
        <v/>
      </c>
      <c r="AR1739">
        <f>HYPERLINK("http://localhost:8787/api/admin/requirements/documents/cmm4yuo22019ncuqwfc19cfnc/view","Open PDF")</f>
        <v/>
      </c>
      <c r="AS1739" t="inlineStr">
        <is>
          <t>cmm55w57p0004cuisfrtpqly8</t>
        </is>
      </c>
      <c r="AT1739" t="inlineStr">
        <is>
          <t>cmm4xvu980000cuh4vj0usz09</t>
        </is>
      </c>
      <c r="AU1739" t="inlineStr">
        <is>
          <t>nummer Webbadress Enköpings</t>
        </is>
      </c>
      <c r="AV1739" t="inlineStr">
        <is>
          <t>Kommun</t>
        </is>
      </c>
      <c r="AW1739" t="inlineStr">
        <is>
          <t>nummer Webbadress Enköpings kommun</t>
        </is>
      </c>
      <c r="AX1739" t="inlineStr">
        <is>
          <t>2026-02</t>
        </is>
      </c>
      <c r="AY1739" t="inlineStr">
        <is>
          <t>Beslut</t>
        </is>
      </c>
      <c r="AZ1739" t="inlineStr">
        <is>
          <t>2026-02-03</t>
        </is>
      </c>
      <c r="BA1739" t="inlineStr">
        <is>
          <t>MIL2024526pdf_976554.pdf</t>
        </is>
      </c>
      <c r="BB1739" t="inlineStr">
        <is>
          <t>Begäran om allmän handling i ärende  MIL.2026.363</t>
        </is>
      </c>
      <c r="BC1739" t="inlineStr">
        <is>
          <t>AUTO</t>
        </is>
      </c>
      <c r="BD1739" t="inlineStr"/>
      <c r="BE1739" t="inlineStr"/>
      <c r="BF1739" t="inlineStr">
        <is>
          <t>AUTO_GENERERAD. Bekrafta metadata mot kallfil.</t>
        </is>
      </c>
      <c r="BG1739">
        <f>HYPERLINK("C:\Users\jimmy\Desktop\Examens arbete\Kod\Ny mapp\remix_-copy-of-miljöbeslut.se-portal\MIL2024526pdf_976554.pdf", "Öppna PDF")</f>
        <v/>
      </c>
    </row>
    <row r="1740">
      <c r="A1740" t="inlineStr">
        <is>
          <t>KRAV-AUTO-001739</t>
        </is>
      </c>
      <c r="B1740" t="inlineStr">
        <is>
          <t>ADMIN-INDEX-2026-02-27-00000000125C043F57453246863FE664CAFE6A3F0700950291EA24F0614FB6ACEDB12BF0E31D00000000010C0000950291EA24F0614FB6ACEDB12BF0E31D00002087AEF60000</t>
        </is>
      </c>
      <c r="C1740" t="inlineStr">
        <is>
          <t>cmm4yuo1x019hcuqwxcrforrg</t>
        </is>
      </c>
      <c r="D1740" t="inlineStr">
        <is>
          <t>http://localhost:8787/api/admin/requirements/documents/cmm4yuo1x019hcuqwxcrforrg/view</t>
        </is>
      </c>
      <c r="E1740">
        <f>HYPERLÄNK("http://localhost:8787/api/admin/requirements/documents/cmm4yuo1x019hcuqwxcrforrg/view";"Öppna PDF")</f>
        <v/>
      </c>
      <c r="F1740">
        <f>HYPERLINK("http://localhost:8787/api/admin/requirements/documents/cmm4yuo1x019hcuqwxcrforrg/view","Open PDF")</f>
        <v/>
      </c>
      <c r="G1740" t="inlineStr">
        <is>
          <t>cmm55w57p0004cuisfrtpqly8</t>
        </is>
      </c>
      <c r="H1740" t="inlineStr">
        <is>
          <t>Beslutsvillkor</t>
        </is>
      </c>
      <c r="I1740" t="inlineStr">
        <is>
          <t>Ytkonstruktion</t>
        </is>
      </c>
      <c r="J1740" t="inlineStr">
        <is>
          <t>Tat yta</t>
        </is>
      </c>
      <c r="K1740" t="inlineStr">
        <is>
          <t>Invallningar ska dimensioneras så att de rymmer största behållarens volym och minst 10 % av övrig lagrad volym.</t>
        </is>
      </c>
      <c r="L1740" t="inlineStr">
        <is>
          <t>Invallningar ska dimensioneras så att de rymmer största behållarens volym och minst 10 % av övrig lagrad volym.</t>
        </is>
      </c>
      <c r="M1740" t="inlineStr">
        <is>
          <t>SKA</t>
        </is>
      </c>
      <c r="N1740" t="inlineStr"/>
      <c r="O1740" t="inlineStr"/>
      <c r="P1740" t="inlineStr"/>
      <c r="Q1740" t="inlineStr"/>
      <c r="R1740" t="inlineStr">
        <is>
          <t>Vid mellanlagring av avfall</t>
        </is>
      </c>
      <c r="S1740" t="inlineStr"/>
      <c r="T1740" t="inlineStr">
        <is>
          <t>884627</t>
        </is>
      </c>
      <c r="U1740" t="inlineStr"/>
      <c r="V1740" t="inlineStr"/>
      <c r="W1740" t="inlineStr">
        <is>
          <t>Ja</t>
        </is>
      </c>
      <c r="X1740" t="inlineStr">
        <is>
          <t>Nej</t>
        </is>
      </c>
      <c r="Y1740" t="inlineStr">
        <is>
          <t>Nej</t>
        </is>
      </c>
      <c r="Z1740" t="inlineStr">
        <is>
          <t>Nej</t>
        </is>
      </c>
      <c r="AA1740" t="n">
        <v>5</v>
      </c>
      <c r="AB1740" t="inlineStr">
        <is>
          <t>Teknisk beskrivning av platta</t>
        </is>
      </c>
      <c r="AC1740" t="inlineStr">
        <is>
          <t>Teknisk ritning platta</t>
        </is>
      </c>
      <c r="AD1740" t="inlineStr">
        <is>
          <t>Nej</t>
        </is>
      </c>
      <c r="AE1740" t="inlineStr">
        <is>
          <t>Nej</t>
        </is>
      </c>
      <c r="AF1740" t="inlineStr">
        <is>
          <t>Ej behandlad</t>
        </is>
      </c>
      <c r="AG1740" t="inlineStr">
        <is>
          <t>AUTO_GENERERAD. Verifiera citat mot kallfil.</t>
        </is>
      </c>
      <c r="AH1740" t="inlineStr">
        <is>
          <t>MEDIUM</t>
        </is>
      </c>
      <c r="AI1740" t="inlineStr">
        <is>
          <t>AUTO</t>
        </is>
      </c>
      <c r="AJ1740" t="inlineStr">
        <is>
          <t>Nej</t>
        </is>
      </c>
      <c r="AK1740" t="inlineStr"/>
      <c r="AL1740" t="inlineStr"/>
      <c r="AM1740" t="inlineStr"/>
      <c r="AN1740" t="inlineStr"/>
      <c r="AO1740" t="inlineStr">
        <is>
          <t>cmm4yuo22019ncuqwfc19cfnc</t>
        </is>
      </c>
      <c r="AP1740" t="inlineStr">
        <is>
          <t>http://localhost:8787/api/admin/requirements/documents/cmm4yuo22019ncuqwfc19cfnc/view</t>
        </is>
      </c>
      <c r="AQ1740">
        <f>HYPERLÄNK("http://localhost:8787/api/admin/requirements/documents/cmm4yuo22019ncuqwfc19cfnc/view";"Öppna PDF")</f>
        <v/>
      </c>
      <c r="AR1740">
        <f>HYPERLINK("http://localhost:8787/api/admin/requirements/documents/cmm4yuo22019ncuqwfc19cfnc/view","Open PDF")</f>
        <v/>
      </c>
      <c r="AS1740" t="inlineStr">
        <is>
          <t>cmm55w57p0004cuisfrtpqly8</t>
        </is>
      </c>
      <c r="AT1740" t="inlineStr">
        <is>
          <t>cmm4xvu980000cuh4vj0usz09</t>
        </is>
      </c>
      <c r="AU1740" t="inlineStr">
        <is>
          <t>nummer Webbadress Enköpings</t>
        </is>
      </c>
      <c r="AV1740" t="inlineStr">
        <is>
          <t>Kommun</t>
        </is>
      </c>
      <c r="AW1740" t="inlineStr">
        <is>
          <t>nummer Webbadress Enköpings kommun</t>
        </is>
      </c>
      <c r="AX1740" t="inlineStr">
        <is>
          <t>2026-02</t>
        </is>
      </c>
      <c r="AY1740" t="inlineStr">
        <is>
          <t>Beslut</t>
        </is>
      </c>
      <c r="AZ1740" t="inlineStr">
        <is>
          <t>2026-02-03</t>
        </is>
      </c>
      <c r="BA1740" t="inlineStr">
        <is>
          <t>MIL2024526pdf_976554.pdf</t>
        </is>
      </c>
      <c r="BB1740" t="inlineStr">
        <is>
          <t>Begäran om allmän handling i ärende  MIL.2026.363</t>
        </is>
      </c>
      <c r="BC1740" t="inlineStr">
        <is>
          <t>AUTO</t>
        </is>
      </c>
      <c r="BD1740" t="inlineStr"/>
      <c r="BE1740" t="inlineStr"/>
      <c r="BF1740" t="inlineStr">
        <is>
          <t>AUTO_GENERERAD. Bekrafta metadata mot kallfil.</t>
        </is>
      </c>
      <c r="BG1740">
        <f>HYPERLINK("C:\Users\jimmy\Desktop\Examens arbete\Kod\Ny mapp\remix_-copy-of-miljöbeslut.se-portal\MIL2024526pdf_976554.pdf", "Öppna PDF")</f>
        <v/>
      </c>
    </row>
    <row r="1741">
      <c r="A1741" t="inlineStr">
        <is>
          <t>KRAV-AUTO-001740</t>
        </is>
      </c>
      <c r="B1741" t="inlineStr">
        <is>
          <t>ADMIN-INDEX-2026-02-27-00000000125C043F57453246863FE664CAFE6A3F0700950291EA24F0614FB6ACEDB12BF0E31D00000000010C0000950291EA24F0614FB6ACEDB12BF0E31D00002087AEF60000</t>
        </is>
      </c>
      <c r="C1741" t="inlineStr">
        <is>
          <t>cmm4yuo1t019ecuqw7yipqkgc</t>
        </is>
      </c>
      <c r="D1741" t="inlineStr">
        <is>
          <t>http://localhost:8787/api/admin/requirements/documents/cmm4yuo1t019ecuqw7yipqkgc/view</t>
        </is>
      </c>
      <c r="E1741">
        <f>HYPERLÄNK("http://localhost:8787/api/admin/requirements/documents/cmm4yuo1t019ecuqw7yipqkgc/view";"Öppna PDF")</f>
        <v/>
      </c>
      <c r="F1741">
        <f>HYPERLINK("http://localhost:8787/api/admin/requirements/documents/cmm4yuo1t019ecuqw7yipqkgc/view","Open PDF")</f>
        <v/>
      </c>
      <c r="G1741" t="inlineStr">
        <is>
          <t>cmm55w57p0004cuisfrtpqly8</t>
        </is>
      </c>
      <c r="H1741" t="inlineStr">
        <is>
          <t>Beslutsvillkor</t>
        </is>
      </c>
      <c r="I1741" t="inlineStr">
        <is>
          <t>Ytkonstruktion</t>
        </is>
      </c>
      <c r="J1741" t="inlineStr">
        <is>
          <t>Tat yta</t>
        </is>
      </c>
      <c r="K1741" t="inlineStr">
        <is>
          <t>Lagring av bränsle, oljor, kemiska produkter ska ske på tät, invallad yta som är beständig mot den kemiska produkt som lagras, samt skyddas mot nederbörd.</t>
        </is>
      </c>
      <c r="L1741" t="inlineStr">
        <is>
          <t>Lagring av bränsle, oljor, kemiska produkter ska ske på tät, invallad yta som är beständig mot den kemiska produkt som lagras, samt skyddas mot nederbörd.</t>
        </is>
      </c>
      <c r="M1741" t="inlineStr">
        <is>
          <t>SKA</t>
        </is>
      </c>
      <c r="N1741" t="inlineStr"/>
      <c r="O1741" t="inlineStr"/>
      <c r="P1741" t="inlineStr"/>
      <c r="Q1741" t="inlineStr"/>
      <c r="R1741" t="inlineStr">
        <is>
          <t>Vid mellanlagring av avfall</t>
        </is>
      </c>
      <c r="S1741" t="inlineStr"/>
      <c r="T1741" t="inlineStr">
        <is>
          <t>888375</t>
        </is>
      </c>
      <c r="U1741" t="inlineStr"/>
      <c r="V1741" t="inlineStr"/>
      <c r="W1741" t="inlineStr">
        <is>
          <t>Ja</t>
        </is>
      </c>
      <c r="X1741" t="inlineStr">
        <is>
          <t>Nej</t>
        </is>
      </c>
      <c r="Y1741" t="inlineStr">
        <is>
          <t>Nej</t>
        </is>
      </c>
      <c r="Z1741" t="inlineStr">
        <is>
          <t>Nej</t>
        </is>
      </c>
      <c r="AA1741" t="n">
        <v>5</v>
      </c>
      <c r="AB1741" t="inlineStr">
        <is>
          <t>Teknisk beskrivning av platta</t>
        </is>
      </c>
      <c r="AC1741" t="inlineStr">
        <is>
          <t>Teknisk ritning platta</t>
        </is>
      </c>
      <c r="AD1741" t="inlineStr">
        <is>
          <t>Nej</t>
        </is>
      </c>
      <c r="AE1741" t="inlineStr">
        <is>
          <t>Nej</t>
        </is>
      </c>
      <c r="AF1741" t="inlineStr">
        <is>
          <t>Ej behandlad</t>
        </is>
      </c>
      <c r="AG1741" t="inlineStr">
        <is>
          <t>AUTO_GENERERAD. Verifiera citat mot kallfil.</t>
        </is>
      </c>
      <c r="AH1741" t="inlineStr">
        <is>
          <t>MEDIUM</t>
        </is>
      </c>
      <c r="AI1741" t="inlineStr">
        <is>
          <t>AUTO</t>
        </is>
      </c>
      <c r="AJ1741" t="inlineStr">
        <is>
          <t>Nej</t>
        </is>
      </c>
      <c r="AK1741" t="inlineStr"/>
      <c r="AL1741" t="inlineStr"/>
      <c r="AM1741" t="inlineStr"/>
      <c r="AN1741" t="inlineStr"/>
      <c r="AO1741" t="inlineStr">
        <is>
          <t>cmm4yuo22019ncuqwfc19cfnc</t>
        </is>
      </c>
      <c r="AP1741" t="inlineStr">
        <is>
          <t>http://localhost:8787/api/admin/requirements/documents/cmm4yuo22019ncuqwfc19cfnc/view</t>
        </is>
      </c>
      <c r="AQ1741">
        <f>HYPERLÄNK("http://localhost:8787/api/admin/requirements/documents/cmm4yuo22019ncuqwfc19cfnc/view";"Öppna PDF")</f>
        <v/>
      </c>
      <c r="AR1741">
        <f>HYPERLINK("http://localhost:8787/api/admin/requirements/documents/cmm4yuo22019ncuqwfc19cfnc/view","Open PDF")</f>
        <v/>
      </c>
      <c r="AS1741" t="inlineStr">
        <is>
          <t>cmm55w57p0004cuisfrtpqly8</t>
        </is>
      </c>
      <c r="AT1741" t="inlineStr">
        <is>
          <t>cmm4xvu980000cuh4vj0usz09</t>
        </is>
      </c>
      <c r="AU1741" t="inlineStr">
        <is>
          <t>nummer Webbadress Enköpings</t>
        </is>
      </c>
      <c r="AV1741" t="inlineStr">
        <is>
          <t>Kommun</t>
        </is>
      </c>
      <c r="AW1741" t="inlineStr">
        <is>
          <t>nummer Webbadress Enköpings kommun</t>
        </is>
      </c>
      <c r="AX1741" t="inlineStr">
        <is>
          <t>2026-02</t>
        </is>
      </c>
      <c r="AY1741" t="inlineStr">
        <is>
          <t>Beslut</t>
        </is>
      </c>
      <c r="AZ1741" t="inlineStr">
        <is>
          <t>2026-02-03</t>
        </is>
      </c>
      <c r="BA1741" t="inlineStr">
        <is>
          <t>MIL2024526pdf_976554.pdf</t>
        </is>
      </c>
      <c r="BB1741" t="inlineStr">
        <is>
          <t>Begäran om allmän handling i ärende  MIL.2026.363</t>
        </is>
      </c>
      <c r="BC1741" t="inlineStr">
        <is>
          <t>AUTO</t>
        </is>
      </c>
      <c r="BD1741" t="inlineStr"/>
      <c r="BE1741" t="inlineStr"/>
      <c r="BF1741" t="inlineStr">
        <is>
          <t>AUTO_GENERERAD. Bekrafta metadata mot kallfil.</t>
        </is>
      </c>
      <c r="BG1741">
        <f>HYPERLINK("C:\Users\jimmy\Desktop\Examens arbete\Kod\Ny mapp\remix_-copy-of-miljöbeslut.se-portal\MIL2024526pdf_976554.pdf", "Öppna PDF")</f>
        <v/>
      </c>
    </row>
    <row r="1742">
      <c r="A1742" t="inlineStr">
        <is>
          <t>KRAV-AUTO-001741</t>
        </is>
      </c>
      <c r="B1742" t="inlineStr">
        <is>
          <t>ADMIN-INDEX-2026-02-27-00000000125C043F57453246863FE664CAFE6A3F0700950291EA24F0614FB6ACEDB12BF0E31D00000000010C0000950291EA24F0614FB6ACEDB12BF0E31D00002087AEF60000</t>
        </is>
      </c>
      <c r="C1742" t="inlineStr">
        <is>
          <t>cmm4yuo1t019ecuqw7yipqkgc</t>
        </is>
      </c>
      <c r="D1742" t="inlineStr">
        <is>
          <t>http://localhost:8787/api/admin/requirements/documents/cmm4yuo1t019ecuqw7yipqkgc/view</t>
        </is>
      </c>
      <c r="E1742">
        <f>HYPERLÄNK("http://localhost:8787/api/admin/requirements/documents/cmm4yuo1t019ecuqw7yipqkgc/view";"Öppna PDF")</f>
        <v/>
      </c>
      <c r="F1742">
        <f>HYPERLINK("http://localhost:8787/api/admin/requirements/documents/cmm4yuo1t019ecuqw7yipqkgc/view","Open PDF")</f>
        <v/>
      </c>
      <c r="G1742" t="inlineStr">
        <is>
          <t>cmm55w57p0004cuisfrtpqly8</t>
        </is>
      </c>
      <c r="H1742" t="inlineStr">
        <is>
          <t>Beslutsvillkor</t>
        </is>
      </c>
      <c r="I1742" t="inlineStr">
        <is>
          <t>DagvattenLakvatten</t>
        </is>
      </c>
      <c r="J1742" t="inlineStr">
        <is>
          <t>Uppsamling</t>
        </is>
      </c>
      <c r="K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42" t="inlineStr">
        <is>
          <t>SKA</t>
        </is>
      </c>
      <c r="N1742" t="inlineStr">
        <is>
          <t>Naturvardsverket</t>
        </is>
      </c>
      <c r="O1742" t="inlineStr"/>
      <c r="P1742" t="inlineStr">
        <is>
          <t>Arlig</t>
        </is>
      </c>
      <c r="Q1742" t="inlineStr"/>
      <c r="R1742" t="inlineStr">
        <is>
          <t>Vid nederbord och avrinning</t>
        </is>
      </c>
      <c r="S1742" t="inlineStr"/>
      <c r="T1742" t="inlineStr">
        <is>
          <t>888375</t>
        </is>
      </c>
      <c r="U1742" t="inlineStr"/>
      <c r="V1742" t="inlineStr"/>
      <c r="W1742" t="inlineStr">
        <is>
          <t>Nej</t>
        </is>
      </c>
      <c r="X1742" t="inlineStr">
        <is>
          <t>Ja</t>
        </is>
      </c>
      <c r="Y1742" t="inlineStr">
        <is>
          <t>Ja</t>
        </is>
      </c>
      <c r="Z1742" t="inlineStr">
        <is>
          <t>Nej</t>
        </is>
      </c>
      <c r="AA1742" t="n">
        <v>6</v>
      </c>
      <c r="AB1742" t="inlineStr">
        <is>
          <t>Lakvattenhantering</t>
        </is>
      </c>
      <c r="AC1742" t="inlineStr">
        <is>
          <t>Flodesschema dagvatten-lakvatten</t>
        </is>
      </c>
      <c r="AD1742" t="inlineStr">
        <is>
          <t>Nej</t>
        </is>
      </c>
      <c r="AE1742" t="inlineStr">
        <is>
          <t>Nej</t>
        </is>
      </c>
      <c r="AF1742" t="inlineStr">
        <is>
          <t>Ej behandlad</t>
        </is>
      </c>
      <c r="AG1742" t="inlineStr">
        <is>
          <t>AUTO_GENERERAD. Verifiera citat mot kallfil.</t>
        </is>
      </c>
      <c r="AH1742" t="inlineStr">
        <is>
          <t>HIGH</t>
        </is>
      </c>
      <c r="AI1742" t="inlineStr">
        <is>
          <t>AUTO</t>
        </is>
      </c>
      <c r="AJ1742" t="inlineStr">
        <is>
          <t>Nej</t>
        </is>
      </c>
      <c r="AK1742" t="inlineStr"/>
      <c r="AL1742" t="inlineStr"/>
      <c r="AM1742" t="inlineStr"/>
      <c r="AN1742" t="inlineStr"/>
      <c r="AO1742" t="inlineStr">
        <is>
          <t>cmm4yuo22019ncuqwfc19cfnc</t>
        </is>
      </c>
      <c r="AP1742" t="inlineStr">
        <is>
          <t>http://localhost:8787/api/admin/requirements/documents/cmm4yuo22019ncuqwfc19cfnc/view</t>
        </is>
      </c>
      <c r="AQ1742">
        <f>HYPERLÄNK("http://localhost:8787/api/admin/requirements/documents/cmm4yuo22019ncuqwfc19cfnc/view";"Öppna PDF")</f>
        <v/>
      </c>
      <c r="AR1742">
        <f>HYPERLINK("http://localhost:8787/api/admin/requirements/documents/cmm4yuo22019ncuqwfc19cfnc/view","Open PDF")</f>
        <v/>
      </c>
      <c r="AS1742" t="inlineStr">
        <is>
          <t>cmm55w57p0004cuisfrtpqly8</t>
        </is>
      </c>
      <c r="AT1742" t="inlineStr">
        <is>
          <t>cmm4xvu980000cuh4vj0usz09</t>
        </is>
      </c>
      <c r="AU1742" t="inlineStr">
        <is>
          <t>nummer Webbadress Enköpings</t>
        </is>
      </c>
      <c r="AV1742" t="inlineStr">
        <is>
          <t>Kommun</t>
        </is>
      </c>
      <c r="AW1742" t="inlineStr">
        <is>
          <t>nummer Webbadress Enköpings kommun</t>
        </is>
      </c>
      <c r="AX1742" t="inlineStr">
        <is>
          <t>2026-02</t>
        </is>
      </c>
      <c r="AY1742" t="inlineStr">
        <is>
          <t>Beslut</t>
        </is>
      </c>
      <c r="AZ1742" t="inlineStr">
        <is>
          <t>2026-02-03</t>
        </is>
      </c>
      <c r="BA1742" t="inlineStr">
        <is>
          <t>MIL2024526pdf_976554.pdf</t>
        </is>
      </c>
      <c r="BB1742" t="inlineStr">
        <is>
          <t>Begäran om allmän handling i ärende  MIL.2026.363</t>
        </is>
      </c>
      <c r="BC1742" t="inlineStr">
        <is>
          <t>AUTO</t>
        </is>
      </c>
      <c r="BD1742" t="inlineStr"/>
      <c r="BE1742" t="inlineStr"/>
      <c r="BF1742" t="inlineStr">
        <is>
          <t>AUTO_GENERERAD. Bekrafta metadata mot kallfil.</t>
        </is>
      </c>
      <c r="BG1742">
        <f>HYPERLINK("C:\Users\jimmy\Desktop\Examens arbete\Kod\Ny mapp\remix_-copy-of-miljöbeslut.se-portal\MIL2024526pdf_976554.pdf", "Öppna PDF")</f>
        <v/>
      </c>
    </row>
    <row r="1743">
      <c r="A1743" t="inlineStr">
        <is>
          <t>KRAV-AUTO-001742</t>
        </is>
      </c>
      <c r="B1743" t="inlineStr">
        <is>
          <t>ADMIN-INDEX-2026-02-27-00000000125C043F57453246863FE664CAFE6A3F0700950291EA24F0614FB6ACEDB12BF0E31D00000000010C0000950291EA24F0614FB6ACEDB12BF0E31D00002087AEF60000</t>
        </is>
      </c>
      <c r="C1743" t="inlineStr">
        <is>
          <t>cmm4yuo1t019ecuqw7yipqkgc</t>
        </is>
      </c>
      <c r="D1743" t="inlineStr">
        <is>
          <t>http://localhost:8787/api/admin/requirements/documents/cmm4yuo1t019ecuqw7yipqkgc/view</t>
        </is>
      </c>
      <c r="E1743">
        <f>HYPERLÄNK("http://localhost:8787/api/admin/requirements/documents/cmm4yuo1t019ecuqw7yipqkgc/view";"Öppna PDF")</f>
        <v/>
      </c>
      <c r="F1743">
        <f>HYPERLINK("http://localhost:8787/api/admin/requirements/documents/cmm4yuo1t019ecuqw7yipqkgc/view","Open PDF")</f>
        <v/>
      </c>
      <c r="G1743" t="inlineStr">
        <is>
          <t>cmm55w57p0004cuisfrtpqly8</t>
        </is>
      </c>
      <c r="H1743" t="inlineStr">
        <is>
          <t>Beslutsvillkor</t>
        </is>
      </c>
      <c r="I1743" t="inlineStr">
        <is>
          <t>Ytkonstruktion</t>
        </is>
      </c>
      <c r="J1743" t="inlineStr">
        <is>
          <t>Tat yta</t>
        </is>
      </c>
      <c r="K1743" t="inlineStr">
        <is>
          <t>Invallningar ska dimensioneras så att de rymmer största behållarens volym och minst 10 % av övrig lagrad volym.</t>
        </is>
      </c>
      <c r="L1743" t="inlineStr">
        <is>
          <t>Invallningar ska dimensioneras så att de rymmer största behållarens volym och minst 10 % av övrig lagrad volym.</t>
        </is>
      </c>
      <c r="M1743" t="inlineStr">
        <is>
          <t>SKA</t>
        </is>
      </c>
      <c r="N1743" t="inlineStr"/>
      <c r="O1743" t="inlineStr"/>
      <c r="P1743" t="inlineStr"/>
      <c r="Q1743" t="inlineStr"/>
      <c r="R1743" t="inlineStr">
        <is>
          <t>Vid mellanlagring av avfall</t>
        </is>
      </c>
      <c r="S1743" t="inlineStr"/>
      <c r="T1743" t="inlineStr">
        <is>
          <t>888375</t>
        </is>
      </c>
      <c r="U1743" t="inlineStr"/>
      <c r="V1743" t="inlineStr"/>
      <c r="W1743" t="inlineStr">
        <is>
          <t>Ja</t>
        </is>
      </c>
      <c r="X1743" t="inlineStr">
        <is>
          <t>Nej</t>
        </is>
      </c>
      <c r="Y1743" t="inlineStr">
        <is>
          <t>Nej</t>
        </is>
      </c>
      <c r="Z1743" t="inlineStr">
        <is>
          <t>Nej</t>
        </is>
      </c>
      <c r="AA1743" t="n">
        <v>5</v>
      </c>
      <c r="AB1743" t="inlineStr">
        <is>
          <t>Teknisk beskrivning av platta</t>
        </is>
      </c>
      <c r="AC1743" t="inlineStr">
        <is>
          <t>Teknisk ritning platta</t>
        </is>
      </c>
      <c r="AD1743" t="inlineStr">
        <is>
          <t>Nej</t>
        </is>
      </c>
      <c r="AE1743" t="inlineStr">
        <is>
          <t>Nej</t>
        </is>
      </c>
      <c r="AF1743" t="inlineStr">
        <is>
          <t>Ej behandlad</t>
        </is>
      </c>
      <c r="AG1743" t="inlineStr">
        <is>
          <t>AUTO_GENERERAD. Verifiera citat mot kallfil.</t>
        </is>
      </c>
      <c r="AH1743" t="inlineStr">
        <is>
          <t>MEDIUM</t>
        </is>
      </c>
      <c r="AI1743" t="inlineStr">
        <is>
          <t>AUTO</t>
        </is>
      </c>
      <c r="AJ1743" t="inlineStr">
        <is>
          <t>Nej</t>
        </is>
      </c>
      <c r="AK1743" t="inlineStr"/>
      <c r="AL1743" t="inlineStr"/>
      <c r="AM1743" t="inlineStr"/>
      <c r="AN1743" t="inlineStr"/>
      <c r="AO1743" t="inlineStr">
        <is>
          <t>cmm4yuo22019ncuqwfc19cfnc</t>
        </is>
      </c>
      <c r="AP1743" t="inlineStr">
        <is>
          <t>http://localhost:8787/api/admin/requirements/documents/cmm4yuo22019ncuqwfc19cfnc/view</t>
        </is>
      </c>
      <c r="AQ1743">
        <f>HYPERLÄNK("http://localhost:8787/api/admin/requirements/documents/cmm4yuo22019ncuqwfc19cfnc/view";"Öppna PDF")</f>
        <v/>
      </c>
      <c r="AR1743">
        <f>HYPERLINK("http://localhost:8787/api/admin/requirements/documents/cmm4yuo22019ncuqwfc19cfnc/view","Open PDF")</f>
        <v/>
      </c>
      <c r="AS1743" t="inlineStr">
        <is>
          <t>cmm55w57p0004cuisfrtpqly8</t>
        </is>
      </c>
      <c r="AT1743" t="inlineStr">
        <is>
          <t>cmm4xvu980000cuh4vj0usz09</t>
        </is>
      </c>
      <c r="AU1743" t="inlineStr">
        <is>
          <t>nummer Webbadress Enköpings</t>
        </is>
      </c>
      <c r="AV1743" t="inlineStr">
        <is>
          <t>Kommun</t>
        </is>
      </c>
      <c r="AW1743" t="inlineStr">
        <is>
          <t>nummer Webbadress Enköpings kommun</t>
        </is>
      </c>
      <c r="AX1743" t="inlineStr">
        <is>
          <t>2026-02</t>
        </is>
      </c>
      <c r="AY1743" t="inlineStr">
        <is>
          <t>Beslut</t>
        </is>
      </c>
      <c r="AZ1743" t="inlineStr">
        <is>
          <t>2026-02-03</t>
        </is>
      </c>
      <c r="BA1743" t="inlineStr">
        <is>
          <t>MIL2024526pdf_976554.pdf</t>
        </is>
      </c>
      <c r="BB1743" t="inlineStr">
        <is>
          <t>Begäran om allmän handling i ärende  MIL.2026.363</t>
        </is>
      </c>
      <c r="BC1743" t="inlineStr">
        <is>
          <t>AUTO</t>
        </is>
      </c>
      <c r="BD1743" t="inlineStr"/>
      <c r="BE1743" t="inlineStr"/>
      <c r="BF1743" t="inlineStr">
        <is>
          <t>AUTO_GENERERAD. Bekrafta metadata mot kallfil.</t>
        </is>
      </c>
      <c r="BG1743">
        <f>HYPERLINK("C:\Users\jimmy\Desktop\Examens arbete\Kod\Ny mapp\remix_-copy-of-miljöbeslut.se-portal\MIL2024526pdf_976554.pdf", "Öppna PDF")</f>
        <v/>
      </c>
    </row>
    <row r="1744">
      <c r="A1744" t="inlineStr">
        <is>
          <t>KRAV-AUTO-001743</t>
        </is>
      </c>
      <c r="B1744" t="inlineStr">
        <is>
          <t>ADMIN-INDEX-2026-02-27-00000000125C043F57453246863FE664CAFE6A3F0700950291EA24F0614FB6ACEDB12BF0E31D00000000010C0000950291EA24F0614FB6ACEDB12BF0E31D00002087AEF70000</t>
        </is>
      </c>
      <c r="C1744" t="inlineStr">
        <is>
          <t>cmm4yuo1l0198cuqwfklwg66t</t>
        </is>
      </c>
      <c r="D1744" t="inlineStr">
        <is>
          <t>http://localhost:8787/api/admin/requirements/documents/cmm4yuo1l0198cuqwfklwg66t/view</t>
        </is>
      </c>
      <c r="E1744">
        <f>HYPERLÄNK("http://localhost:8787/api/admin/requirements/documents/cmm4yuo1l0198cuqwfklwg66t/view";"Öppna PDF")</f>
        <v/>
      </c>
      <c r="F1744">
        <f>HYPERLINK("http://localhost:8787/api/admin/requirements/documents/cmm4yuo1l0198cuqwfklwg66t/view","Open PDF")</f>
        <v/>
      </c>
      <c r="G1744" t="inlineStr">
        <is>
          <t>cmm55w57p0004cuisfrtpqly8</t>
        </is>
      </c>
      <c r="H1744" t="inlineStr">
        <is>
          <t>Informationskrav</t>
        </is>
      </c>
      <c r="I1744" t="inlineStr">
        <is>
          <t>DriftEgenkontroll</t>
        </is>
      </c>
      <c r="J1744" t="inlineStr">
        <is>
          <t>Journalforing</t>
        </is>
      </c>
      <c r="K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44" t="inlineStr">
        <is>
          <t>SKA</t>
        </is>
      </c>
      <c r="N1744" t="inlineStr"/>
      <c r="O1744" t="inlineStr"/>
      <c r="P1744" t="inlineStr"/>
      <c r="Q1744" t="inlineStr"/>
      <c r="R1744" t="inlineStr">
        <is>
          <t>Lopande drift</t>
        </is>
      </c>
      <c r="S1744" t="inlineStr"/>
      <c r="T1744" t="inlineStr"/>
      <c r="U1744" t="inlineStr"/>
      <c r="V1744" t="inlineStr"/>
      <c r="W1744" t="inlineStr">
        <is>
          <t>Nej</t>
        </is>
      </c>
      <c r="X1744" t="inlineStr">
        <is>
          <t>Nej</t>
        </is>
      </c>
      <c r="Y1744" t="inlineStr">
        <is>
          <t>Ja</t>
        </is>
      </c>
      <c r="Z1744" t="inlineStr">
        <is>
          <t>Nej</t>
        </is>
      </c>
      <c r="AA1744" t="n">
        <v>7</v>
      </c>
      <c r="AB1744" t="inlineStr">
        <is>
          <t>Egenkontrollrutiner</t>
        </is>
      </c>
      <c r="AC1744" t="inlineStr">
        <is>
          <t>Egenkontrollprogram</t>
        </is>
      </c>
      <c r="AD1744" t="inlineStr">
        <is>
          <t>Nej</t>
        </is>
      </c>
      <c r="AE1744" t="inlineStr">
        <is>
          <t>Nej</t>
        </is>
      </c>
      <c r="AF1744" t="inlineStr">
        <is>
          <t>Ej behandlad</t>
        </is>
      </c>
      <c r="AG1744" t="inlineStr">
        <is>
          <t>AUTO_GENERERAD. Verifiera citat mot kallfil.</t>
        </is>
      </c>
      <c r="AH1744" t="inlineStr">
        <is>
          <t>MEDIUM</t>
        </is>
      </c>
      <c r="AI1744" t="inlineStr">
        <is>
          <t>AUTO</t>
        </is>
      </c>
      <c r="AJ1744" t="inlineStr">
        <is>
          <t>Nej</t>
        </is>
      </c>
      <c r="AK1744" t="inlineStr"/>
      <c r="AL1744" t="inlineStr"/>
      <c r="AM1744" t="inlineStr"/>
      <c r="AN1744" t="inlineStr"/>
      <c r="AO1744" t="inlineStr">
        <is>
          <t>cmm4yuo1l0198cuqwfklwg66t</t>
        </is>
      </c>
      <c r="AP1744" t="inlineStr">
        <is>
          <t>http://localhost:8787/api/admin/requirements/documents/cmm4yuo1l0198cuqwfklwg66t/view</t>
        </is>
      </c>
      <c r="AQ1744">
        <f>HYPERLÄNK("http://localhost:8787/api/admin/requirements/documents/cmm4yuo1l0198cuqwfklwg66t/view";"Öppna PDF")</f>
        <v/>
      </c>
      <c r="AR1744">
        <f>HYPERLINK("http://localhost:8787/api/admin/requirements/documents/cmm4yuo1l0198cuqwfklwg66t/view","Open PDF")</f>
        <v/>
      </c>
      <c r="AS1744" t="inlineStr">
        <is>
          <t>cmm55w57p0004cuisfrtpqly8</t>
        </is>
      </c>
      <c r="AT1744" t="inlineStr">
        <is>
          <t>cmm4xvu980000cuh4vj0usz09</t>
        </is>
      </c>
      <c r="AU1744" t="inlineStr"/>
      <c r="AV1744" t="inlineStr">
        <is>
          <t>Kommun</t>
        </is>
      </c>
      <c r="AW1744" t="inlineStr"/>
      <c r="AX1744" t="inlineStr">
        <is>
          <t>2004:62</t>
        </is>
      </c>
      <c r="AY1744" t="inlineStr">
        <is>
          <t>Anmalan</t>
        </is>
      </c>
      <c r="AZ1744" t="inlineStr">
        <is>
          <t>2026-02-03</t>
        </is>
      </c>
      <c r="BA1744" t="inlineStr">
        <is>
          <t>2025-12-01 Anmälan (dnr 2025-515).pdf</t>
        </is>
      </c>
      <c r="BB1744" t="inlineStr">
        <is>
          <t>Sv: till registrator - Begäran av allmän handling</t>
        </is>
      </c>
      <c r="BC1744" t="inlineStr">
        <is>
          <t>AUTO</t>
        </is>
      </c>
      <c r="BD1744" t="inlineStr"/>
      <c r="BE1744" t="inlineStr"/>
      <c r="BF1744" t="inlineStr">
        <is>
          <t>AUTO_GENERERAD. Bekrafta metadata mot kallfil.</t>
        </is>
      </c>
      <c r="BG1744">
        <f>HYPERLINK("C:\Users\jimmy\Desktop\Examens arbete\Kod\Ny mapp\remix_-copy-of-miljöbeslut.se-portal\2025-12-01 Anmälan (dnr 2025-515).pdf", "Öppna PDF")</f>
        <v/>
      </c>
    </row>
    <row r="1745">
      <c r="A1745" t="inlineStr">
        <is>
          <t>KRAV-AUTO-001744</t>
        </is>
      </c>
      <c r="B1745" t="inlineStr">
        <is>
          <t>ADMIN-INDEX-2026-02-27-00000000125C043F57453246863FE664CAFE6A3F0700950291EA24F0614FB6ACEDB12BF0E31D00000000010C0000950291EA24F0614FB6ACEDB12BF0E31D00002087AEF70000</t>
        </is>
      </c>
      <c r="C1745" t="inlineStr">
        <is>
          <t>cmm4yuo1l0198cuqwfklwg66t</t>
        </is>
      </c>
      <c r="D1745" t="inlineStr">
        <is>
          <t>http://localhost:8787/api/admin/requirements/documents/cmm4yuo1l0198cuqwfklwg66t/view</t>
        </is>
      </c>
      <c r="E1745">
        <f>HYPERLÄNK("http://localhost:8787/api/admin/requirements/documents/cmm4yuo1l0198cuqwfklwg66t/view";"Öppna PDF")</f>
        <v/>
      </c>
      <c r="F1745">
        <f>HYPERLINK("http://localhost:8787/api/admin/requirements/documents/cmm4yuo1l0198cuqwfklwg66t/view","Open PDF")</f>
        <v/>
      </c>
      <c r="G1745" t="inlineStr">
        <is>
          <t>cmm55w57p0004cuisfrtpqly8</t>
        </is>
      </c>
      <c r="H1745" t="inlineStr">
        <is>
          <t>Informationskrav</t>
        </is>
      </c>
      <c r="I1745" t="inlineStr">
        <is>
          <t>DriftEgenkontroll</t>
        </is>
      </c>
      <c r="J1745" t="inlineStr">
        <is>
          <t>Journalforing</t>
        </is>
      </c>
      <c r="K1745" t="inlineStr">
        <is>
          <t>Jordprovtagningskarta bifogas.</t>
        </is>
      </c>
      <c r="L1745" t="inlineStr">
        <is>
          <t>Jordprovtagningskarta bifogas.</t>
        </is>
      </c>
      <c r="M1745" t="inlineStr">
        <is>
          <t>SKA</t>
        </is>
      </c>
      <c r="N1745" t="inlineStr"/>
      <c r="O1745" t="inlineStr"/>
      <c r="P1745" t="inlineStr"/>
      <c r="Q1745" t="inlineStr"/>
      <c r="R1745" t="inlineStr">
        <is>
          <t>Lopande drift</t>
        </is>
      </c>
      <c r="S1745" t="inlineStr"/>
      <c r="T1745" t="inlineStr"/>
      <c r="U1745" t="inlineStr"/>
      <c r="V1745" t="inlineStr"/>
      <c r="W1745" t="inlineStr">
        <is>
          <t>Nej</t>
        </is>
      </c>
      <c r="X1745" t="inlineStr">
        <is>
          <t>Nej</t>
        </is>
      </c>
      <c r="Y1745" t="inlineStr">
        <is>
          <t>Ja</t>
        </is>
      </c>
      <c r="Z1745" t="inlineStr">
        <is>
          <t>Nej</t>
        </is>
      </c>
      <c r="AA1745" t="n">
        <v>7</v>
      </c>
      <c r="AB1745" t="inlineStr">
        <is>
          <t>Egenkontrollrutiner</t>
        </is>
      </c>
      <c r="AC1745" t="inlineStr">
        <is>
          <t>Egenkontrollprogram</t>
        </is>
      </c>
      <c r="AD1745" t="inlineStr">
        <is>
          <t>Nej</t>
        </is>
      </c>
      <c r="AE1745" t="inlineStr">
        <is>
          <t>Nej</t>
        </is>
      </c>
      <c r="AF1745" t="inlineStr">
        <is>
          <t>Ej behandlad</t>
        </is>
      </c>
      <c r="AG1745" t="inlineStr">
        <is>
          <t>AUTO_GENERERAD. Verifiera citat mot kallfil.</t>
        </is>
      </c>
      <c r="AH1745" t="inlineStr">
        <is>
          <t>LOW</t>
        </is>
      </c>
      <c r="AI1745" t="inlineStr">
        <is>
          <t>AUTO</t>
        </is>
      </c>
      <c r="AJ1745" t="inlineStr">
        <is>
          <t>Nej</t>
        </is>
      </c>
      <c r="AK1745" t="inlineStr"/>
      <c r="AL1745" t="inlineStr"/>
      <c r="AM1745" t="inlineStr"/>
      <c r="AN1745" t="inlineStr"/>
      <c r="AO1745" t="inlineStr">
        <is>
          <t>cmm4yuo1l0198cuqwfklwg66t</t>
        </is>
      </c>
      <c r="AP1745" t="inlineStr">
        <is>
          <t>http://localhost:8787/api/admin/requirements/documents/cmm4yuo1l0198cuqwfklwg66t/view</t>
        </is>
      </c>
      <c r="AQ1745">
        <f>HYPERLÄNK("http://localhost:8787/api/admin/requirements/documents/cmm4yuo1l0198cuqwfklwg66t/view";"Öppna PDF")</f>
        <v/>
      </c>
      <c r="AR1745">
        <f>HYPERLINK("http://localhost:8787/api/admin/requirements/documents/cmm4yuo1l0198cuqwfklwg66t/view","Open PDF")</f>
        <v/>
      </c>
      <c r="AS1745" t="inlineStr">
        <is>
          <t>cmm55w57p0004cuisfrtpqly8</t>
        </is>
      </c>
      <c r="AT1745" t="inlineStr">
        <is>
          <t>cmm4xvu980000cuh4vj0usz09</t>
        </is>
      </c>
      <c r="AU1745" t="inlineStr"/>
      <c r="AV1745" t="inlineStr">
        <is>
          <t>Kommun</t>
        </is>
      </c>
      <c r="AW1745" t="inlineStr"/>
      <c r="AX1745" t="inlineStr">
        <is>
          <t>2004:62</t>
        </is>
      </c>
      <c r="AY1745" t="inlineStr">
        <is>
          <t>Anmalan</t>
        </is>
      </c>
      <c r="AZ1745" t="inlineStr">
        <is>
          <t>2026-02-03</t>
        </is>
      </c>
      <c r="BA1745" t="inlineStr">
        <is>
          <t>2025-12-01 Anmälan (dnr 2025-515).pdf</t>
        </is>
      </c>
      <c r="BB1745" t="inlineStr">
        <is>
          <t>Sv: till registrator - Begäran av allmän handling</t>
        </is>
      </c>
      <c r="BC1745" t="inlineStr">
        <is>
          <t>AUTO</t>
        </is>
      </c>
      <c r="BD1745" t="inlineStr"/>
      <c r="BE1745" t="inlineStr"/>
      <c r="BF1745" t="inlineStr">
        <is>
          <t>AUTO_GENERERAD. Bekrafta metadata mot kallfil.</t>
        </is>
      </c>
      <c r="BG1745">
        <f>HYPERLINK("C:\Users\jimmy\Desktop\Examens arbete\Kod\Ny mapp\remix_-copy-of-miljöbeslut.se-portal\2025-12-01 Anmälan (dnr 2025-515).pdf", "Öppna PDF")</f>
        <v/>
      </c>
    </row>
    <row r="1746">
      <c r="A1746" t="inlineStr">
        <is>
          <t>KRAV-AUTO-001745</t>
        </is>
      </c>
      <c r="B1746" t="inlineStr">
        <is>
          <t>ADMIN-INDEX-2026-02-27-00000000125C043F57453246863FE664CAFE6A3F0700950291EA24F0614FB6ACEDB12BF0E31D00000000010C0000950291EA24F0614FB6ACEDB12BF0E31D00002087AEF70000</t>
        </is>
      </c>
      <c r="C1746" t="inlineStr">
        <is>
          <t>cmm4yuo1l0198cuqwfklwg66t</t>
        </is>
      </c>
      <c r="D1746" t="inlineStr">
        <is>
          <t>http://localhost:8787/api/admin/requirements/documents/cmm4yuo1l0198cuqwfklwg66t/view</t>
        </is>
      </c>
      <c r="E1746">
        <f>HYPERLÄNK("http://localhost:8787/api/admin/requirements/documents/cmm4yuo1l0198cuqwfklwg66t/view";"Öppna PDF")</f>
        <v/>
      </c>
      <c r="F1746">
        <f>HYPERLINK("http://localhost:8787/api/admin/requirements/documents/cmm4yuo1l0198cuqwfklwg66t/view","Open PDF")</f>
        <v/>
      </c>
      <c r="G1746" t="inlineStr">
        <is>
          <t>cmm55w57p0004cuisfrtpqly8</t>
        </is>
      </c>
      <c r="H1746" t="inlineStr">
        <is>
          <t>Informationskrav</t>
        </is>
      </c>
      <c r="I1746" t="inlineStr">
        <is>
          <t>Ytkonstruktion</t>
        </is>
      </c>
      <c r="J1746" t="inlineStr">
        <is>
          <t>Tat yta</t>
        </is>
      </c>
      <c r="K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46" t="inlineStr">
        <is>
          <t>SKA</t>
        </is>
      </c>
      <c r="N1746" t="inlineStr"/>
      <c r="O1746" t="inlineStr"/>
      <c r="P1746" t="inlineStr"/>
      <c r="Q1746" t="inlineStr"/>
      <c r="R1746" t="inlineStr">
        <is>
          <t>Vid mellanlagring av avfall</t>
        </is>
      </c>
      <c r="S1746" t="inlineStr"/>
      <c r="T1746" t="inlineStr"/>
      <c r="U1746" t="inlineStr"/>
      <c r="V1746" t="inlineStr"/>
      <c r="W1746" t="inlineStr">
        <is>
          <t>Ja</t>
        </is>
      </c>
      <c r="X1746" t="inlineStr">
        <is>
          <t>Nej</t>
        </is>
      </c>
      <c r="Y1746" t="inlineStr">
        <is>
          <t>Nej</t>
        </is>
      </c>
      <c r="Z1746" t="inlineStr">
        <is>
          <t>Nej</t>
        </is>
      </c>
      <c r="AA1746" t="n">
        <v>5</v>
      </c>
      <c r="AB1746" t="inlineStr">
        <is>
          <t>Teknisk beskrivning av platta</t>
        </is>
      </c>
      <c r="AC1746" t="inlineStr">
        <is>
          <t>Teknisk ritning platta</t>
        </is>
      </c>
      <c r="AD1746" t="inlineStr">
        <is>
          <t>Nej</t>
        </is>
      </c>
      <c r="AE1746" t="inlineStr">
        <is>
          <t>Nej</t>
        </is>
      </c>
      <c r="AF1746" t="inlineStr">
        <is>
          <t>Ej behandlad</t>
        </is>
      </c>
      <c r="AG1746" t="inlineStr">
        <is>
          <t>AUTO_GENERERAD. Verifiera citat mot kallfil.</t>
        </is>
      </c>
      <c r="AH1746" t="inlineStr">
        <is>
          <t>MEDIUM</t>
        </is>
      </c>
      <c r="AI1746" t="inlineStr">
        <is>
          <t>AUTO</t>
        </is>
      </c>
      <c r="AJ1746" t="inlineStr">
        <is>
          <t>Nej</t>
        </is>
      </c>
      <c r="AK1746" t="inlineStr"/>
      <c r="AL1746" t="inlineStr"/>
      <c r="AM1746" t="inlineStr"/>
      <c r="AN1746" t="inlineStr"/>
      <c r="AO1746" t="inlineStr">
        <is>
          <t>cmm4yuo1l0198cuqwfklwg66t</t>
        </is>
      </c>
      <c r="AP1746" t="inlineStr">
        <is>
          <t>http://localhost:8787/api/admin/requirements/documents/cmm4yuo1l0198cuqwfklwg66t/view</t>
        </is>
      </c>
      <c r="AQ1746">
        <f>HYPERLÄNK("http://localhost:8787/api/admin/requirements/documents/cmm4yuo1l0198cuqwfklwg66t/view";"Öppna PDF")</f>
        <v/>
      </c>
      <c r="AR1746">
        <f>HYPERLINK("http://localhost:8787/api/admin/requirements/documents/cmm4yuo1l0198cuqwfklwg66t/view","Open PDF")</f>
        <v/>
      </c>
      <c r="AS1746" t="inlineStr">
        <is>
          <t>cmm55w57p0004cuisfrtpqly8</t>
        </is>
      </c>
      <c r="AT1746" t="inlineStr">
        <is>
          <t>cmm4xvu980000cuh4vj0usz09</t>
        </is>
      </c>
      <c r="AU1746" t="inlineStr"/>
      <c r="AV1746" t="inlineStr">
        <is>
          <t>Kommun</t>
        </is>
      </c>
      <c r="AW1746" t="inlineStr"/>
      <c r="AX1746" t="inlineStr">
        <is>
          <t>2004:62</t>
        </is>
      </c>
      <c r="AY1746" t="inlineStr">
        <is>
          <t>Anmalan</t>
        </is>
      </c>
      <c r="AZ1746" t="inlineStr">
        <is>
          <t>2026-02-03</t>
        </is>
      </c>
      <c r="BA1746" t="inlineStr">
        <is>
          <t>2025-12-01 Anmälan (dnr 2025-515).pdf</t>
        </is>
      </c>
      <c r="BB1746" t="inlineStr">
        <is>
          <t>Sv: till registrator - Begäran av allmän handling</t>
        </is>
      </c>
      <c r="BC1746" t="inlineStr">
        <is>
          <t>AUTO</t>
        </is>
      </c>
      <c r="BD1746" t="inlineStr"/>
      <c r="BE1746" t="inlineStr"/>
      <c r="BF1746" t="inlineStr">
        <is>
          <t>AUTO_GENERERAD. Bekrafta metadata mot kallfil.</t>
        </is>
      </c>
      <c r="BG1746">
        <f>HYPERLINK("C:\Users\jimmy\Desktop\Examens arbete\Kod\Ny mapp\remix_-copy-of-miljöbeslut.se-portal\2025-12-01 Anmälan (dnr 2025-515).pdf", "Öppna PDF")</f>
        <v/>
      </c>
    </row>
    <row r="1747">
      <c r="A1747" t="inlineStr">
        <is>
          <t>KRAV-AUTO-001746</t>
        </is>
      </c>
      <c r="B1747" t="inlineStr">
        <is>
          <t>ADMIN-INDEX-2026-02-27-00000000125C043F57453246863FE664CAFE6A3F0700950291EA24F0614FB6ACEDB12BF0E31D00000000010C0000950291EA24F0614FB6ACEDB12BF0E31D00002087AEF70000</t>
        </is>
      </c>
      <c r="C1747" t="inlineStr">
        <is>
          <t>cmm4yuo1e0192cuqwwvml9v2v</t>
        </is>
      </c>
      <c r="D1747" t="inlineStr">
        <is>
          <t>http://localhost:8787/api/admin/requirements/documents/cmm4yuo1e0192cuqwwvml9v2v/view</t>
        </is>
      </c>
      <c r="E1747">
        <f>HYPERLÄNK("http://localhost:8787/api/admin/requirements/documents/cmm4yuo1e0192cuqwwvml9v2v/view";"Öppna PDF")</f>
        <v/>
      </c>
      <c r="F1747">
        <f>HYPERLINK("http://localhost:8787/api/admin/requirements/documents/cmm4yuo1e0192cuqwwvml9v2v/view","Open PDF")</f>
        <v/>
      </c>
      <c r="G1747" t="inlineStr">
        <is>
          <t>cmm55w57p0004cuisfrtpqly8</t>
        </is>
      </c>
      <c r="H1747" t="inlineStr">
        <is>
          <t>Beslutsvillkor</t>
        </is>
      </c>
      <c r="I1747" t="inlineStr">
        <is>
          <t>Riskhantering</t>
        </is>
      </c>
      <c r="J1747" t="inlineStr">
        <is>
          <t>Riskkontroll</t>
        </is>
      </c>
      <c r="K1747" t="inlineStr">
        <is>
          <t>Resultatet av undersökningar och bedömningar skall dokumenteras.” Riskbedömningen, Bilaga 1, innehåller information som beskriver;</t>
        </is>
      </c>
      <c r="L1747" t="inlineStr">
        <is>
          <t>Resultatet av undersökningar och bedömningar skall dokumenteras.” Riskbedömningen, Bilaga 1, innehåller information som beskriver;</t>
        </is>
      </c>
      <c r="M1747" t="inlineStr">
        <is>
          <t>SKA</t>
        </is>
      </c>
      <c r="N1747" t="inlineStr"/>
      <c r="O1747" t="inlineStr"/>
      <c r="P1747" t="inlineStr"/>
      <c r="Q1747" t="inlineStr"/>
      <c r="R1747" t="inlineStr">
        <is>
          <t>Vid risk for incident</t>
        </is>
      </c>
      <c r="S1747" t="inlineStr"/>
      <c r="T1747" t="inlineStr">
        <is>
          <t>559131</t>
        </is>
      </c>
      <c r="U1747" t="inlineStr"/>
      <c r="V1747" t="inlineStr"/>
      <c r="W1747" t="inlineStr">
        <is>
          <t>Nej</t>
        </is>
      </c>
      <c r="X1747" t="inlineStr">
        <is>
          <t>Nej</t>
        </is>
      </c>
      <c r="Y1747" t="inlineStr">
        <is>
          <t>Ja</t>
        </is>
      </c>
      <c r="Z1747" t="inlineStr">
        <is>
          <t>Ja</t>
        </is>
      </c>
      <c r="AA1747" t="n">
        <v>8</v>
      </c>
      <c r="AB1747" t="inlineStr">
        <is>
          <t>Riskhantering</t>
        </is>
      </c>
      <c r="AC1747" t="inlineStr">
        <is>
          <t>Risk-PM</t>
        </is>
      </c>
      <c r="AD1747" t="inlineStr">
        <is>
          <t>Nej</t>
        </is>
      </c>
      <c r="AE1747" t="inlineStr">
        <is>
          <t>Nej</t>
        </is>
      </c>
      <c r="AF1747" t="inlineStr">
        <is>
          <t>Ej behandlad</t>
        </is>
      </c>
      <c r="AG1747" t="inlineStr">
        <is>
          <t>AUTO_GENERERAD. Verifiera citat mot kallfil.</t>
        </is>
      </c>
      <c r="AH1747" t="inlineStr">
        <is>
          <t>MEDIUM</t>
        </is>
      </c>
      <c r="AI1747" t="inlineStr">
        <is>
          <t>AUTO</t>
        </is>
      </c>
      <c r="AJ1747" t="inlineStr">
        <is>
          <t>Nej</t>
        </is>
      </c>
      <c r="AK1747" t="inlineStr"/>
      <c r="AL1747" t="inlineStr"/>
      <c r="AM1747" t="inlineStr"/>
      <c r="AN1747" t="inlineStr"/>
      <c r="AO1747" t="inlineStr">
        <is>
          <t>cmm4yuo1l0198cuqwfklwg66t</t>
        </is>
      </c>
      <c r="AP1747" t="inlineStr">
        <is>
          <t>http://localhost:8787/api/admin/requirements/documents/cmm4yuo1l0198cuqwfklwg66t/view</t>
        </is>
      </c>
      <c r="AQ1747">
        <f>HYPERLÄNK("http://localhost:8787/api/admin/requirements/documents/cmm4yuo1l0198cuqwfklwg66t/view";"Öppna PDF")</f>
        <v/>
      </c>
      <c r="AR1747">
        <f>HYPERLINK("http://localhost:8787/api/admin/requirements/documents/cmm4yuo1l0198cuqwfklwg66t/view","Open PDF")</f>
        <v/>
      </c>
      <c r="AS1747" t="inlineStr">
        <is>
          <t>cmm55w57p0004cuisfrtpqly8</t>
        </is>
      </c>
      <c r="AT1747" t="inlineStr">
        <is>
          <t>cmm4xvu980000cuh4vj0usz09</t>
        </is>
      </c>
      <c r="AU1747" t="inlineStr"/>
      <c r="AV1747" t="inlineStr">
        <is>
          <t>Kommun</t>
        </is>
      </c>
      <c r="AW1747" t="inlineStr"/>
      <c r="AX1747" t="inlineStr">
        <is>
          <t>2004:62</t>
        </is>
      </c>
      <c r="AY1747" t="inlineStr">
        <is>
          <t>Anmalan</t>
        </is>
      </c>
      <c r="AZ1747" t="inlineStr">
        <is>
          <t>2026-02-03</t>
        </is>
      </c>
      <c r="BA1747" t="inlineStr">
        <is>
          <t>2025-12-01 Anmälan (dnr 2025-515).pdf</t>
        </is>
      </c>
      <c r="BB1747" t="inlineStr">
        <is>
          <t>Sv: till registrator - Begäran av allmän handling</t>
        </is>
      </c>
      <c r="BC1747" t="inlineStr">
        <is>
          <t>AUTO</t>
        </is>
      </c>
      <c r="BD1747" t="inlineStr"/>
      <c r="BE1747" t="inlineStr"/>
      <c r="BF1747" t="inlineStr">
        <is>
          <t>AUTO_GENERERAD. Bekrafta metadata mot kallfil.</t>
        </is>
      </c>
      <c r="BG1747">
        <f>HYPERLINK("C:\Users\jimmy\Desktop\Examens arbete\Kod\Ny mapp\remix_-copy-of-miljöbeslut.se-portal\2025-12-01 Anmälan (dnr 2025-515).pdf", "Öppna PDF")</f>
        <v/>
      </c>
    </row>
    <row r="1748">
      <c r="A1748" t="inlineStr">
        <is>
          <t>KRAV-AUTO-001747</t>
        </is>
      </c>
      <c r="B1748" t="inlineStr">
        <is>
          <t>ADMIN-INDEX-2026-02-27-00000000125C043F57453246863FE664CAFE6A3F0700950291EA24F0614FB6ACEDB12BF0E31D00000000010C0000950291EA24F0614FB6ACEDB12BF0E31D00002087AEF70000</t>
        </is>
      </c>
      <c r="C1748" t="inlineStr">
        <is>
          <t>cmm4yuo1e0192cuqwwvml9v2v</t>
        </is>
      </c>
      <c r="D1748" t="inlineStr">
        <is>
          <t>http://localhost:8787/api/admin/requirements/documents/cmm4yuo1e0192cuqwwvml9v2v/view</t>
        </is>
      </c>
      <c r="E1748">
        <f>HYPERLÄNK("http://localhost:8787/api/admin/requirements/documents/cmm4yuo1e0192cuqwwvml9v2v/view";"Öppna PDF")</f>
        <v/>
      </c>
      <c r="F1748">
        <f>HYPERLINK("http://localhost:8787/api/admin/requirements/documents/cmm4yuo1e0192cuqwwvml9v2v/view","Open PDF")</f>
        <v/>
      </c>
      <c r="G1748" t="inlineStr">
        <is>
          <t>cmm55w57p0004cuisfrtpqly8</t>
        </is>
      </c>
      <c r="H1748" t="inlineStr">
        <is>
          <t>Beslutsvillkor</t>
        </is>
      </c>
      <c r="I1748" t="inlineStr">
        <is>
          <t>Riskhantering</t>
        </is>
      </c>
      <c r="J1748" t="inlineStr">
        <is>
          <t>Riskkontroll</t>
        </is>
      </c>
      <c r="K1748" t="inlineStr">
        <is>
          <t>6 §, 1 stycke Enligt 6 §, första stycket: ”Verksamhetsutövaren skall fortlöpande och systematiskt undersöka och bedöma riskerna med verksamheten från hälso- och miljösynpunkt.</t>
        </is>
      </c>
      <c r="L1748" t="inlineStr">
        <is>
          <t>6 §, 1 stycke Enligt 6 §, första stycket: ”Verksamhetsutövaren skall fortlöpande och systematiskt undersöka och bedöma riskerna med verksamheten från hälso- och miljösynpunkt.</t>
        </is>
      </c>
      <c r="M1748" t="inlineStr">
        <is>
          <t>SKA</t>
        </is>
      </c>
      <c r="N1748" t="inlineStr"/>
      <c r="O1748" t="inlineStr"/>
      <c r="P1748" t="inlineStr">
        <is>
          <t>Lopande</t>
        </is>
      </c>
      <c r="Q1748" t="inlineStr"/>
      <c r="R1748" t="inlineStr">
        <is>
          <t>Vid risk for incident</t>
        </is>
      </c>
      <c r="S1748" t="inlineStr"/>
      <c r="T1748" t="inlineStr">
        <is>
          <t>559131</t>
        </is>
      </c>
      <c r="U1748" t="inlineStr"/>
      <c r="V1748" t="inlineStr"/>
      <c r="W1748" t="inlineStr">
        <is>
          <t>Nej</t>
        </is>
      </c>
      <c r="X1748" t="inlineStr">
        <is>
          <t>Nej</t>
        </is>
      </c>
      <c r="Y1748" t="inlineStr">
        <is>
          <t>Ja</t>
        </is>
      </c>
      <c r="Z1748" t="inlineStr">
        <is>
          <t>Ja</t>
        </is>
      </c>
      <c r="AA1748" t="n">
        <v>8</v>
      </c>
      <c r="AB1748" t="inlineStr">
        <is>
          <t>Riskhantering</t>
        </is>
      </c>
      <c r="AC1748" t="inlineStr">
        <is>
          <t>Risk-PM</t>
        </is>
      </c>
      <c r="AD1748" t="inlineStr">
        <is>
          <t>Nej</t>
        </is>
      </c>
      <c r="AE1748" t="inlineStr">
        <is>
          <t>Nej</t>
        </is>
      </c>
      <c r="AF1748" t="inlineStr">
        <is>
          <t>Ej behandlad</t>
        </is>
      </c>
      <c r="AG1748" t="inlineStr">
        <is>
          <t>AUTO_GENERERAD. Verifiera citat mot kallfil.</t>
        </is>
      </c>
      <c r="AH1748" t="inlineStr">
        <is>
          <t>MEDIUM</t>
        </is>
      </c>
      <c r="AI1748" t="inlineStr">
        <is>
          <t>AUTO</t>
        </is>
      </c>
      <c r="AJ1748" t="inlineStr">
        <is>
          <t>Nej</t>
        </is>
      </c>
      <c r="AK1748" t="inlineStr"/>
      <c r="AL1748" t="inlineStr"/>
      <c r="AM1748" t="inlineStr"/>
      <c r="AN1748" t="inlineStr"/>
      <c r="AO1748" t="inlineStr">
        <is>
          <t>cmm4yuo1l0198cuqwfklwg66t</t>
        </is>
      </c>
      <c r="AP1748" t="inlineStr">
        <is>
          <t>http://localhost:8787/api/admin/requirements/documents/cmm4yuo1l0198cuqwfklwg66t/view</t>
        </is>
      </c>
      <c r="AQ1748">
        <f>HYPERLÄNK("http://localhost:8787/api/admin/requirements/documents/cmm4yuo1l0198cuqwfklwg66t/view";"Öppna PDF")</f>
        <v/>
      </c>
      <c r="AR1748">
        <f>HYPERLINK("http://localhost:8787/api/admin/requirements/documents/cmm4yuo1l0198cuqwfklwg66t/view","Open PDF")</f>
        <v/>
      </c>
      <c r="AS1748" t="inlineStr">
        <is>
          <t>cmm55w57p0004cuisfrtpqly8</t>
        </is>
      </c>
      <c r="AT1748" t="inlineStr">
        <is>
          <t>cmm4xvu980000cuh4vj0usz09</t>
        </is>
      </c>
      <c r="AU1748" t="inlineStr"/>
      <c r="AV1748" t="inlineStr">
        <is>
          <t>Kommun</t>
        </is>
      </c>
      <c r="AW1748" t="inlineStr"/>
      <c r="AX1748" t="inlineStr">
        <is>
          <t>2004:62</t>
        </is>
      </c>
      <c r="AY1748" t="inlineStr">
        <is>
          <t>Anmalan</t>
        </is>
      </c>
      <c r="AZ1748" t="inlineStr">
        <is>
          <t>2026-02-03</t>
        </is>
      </c>
      <c r="BA1748" t="inlineStr">
        <is>
          <t>2025-12-01 Anmälan (dnr 2025-515).pdf</t>
        </is>
      </c>
      <c r="BB1748" t="inlineStr">
        <is>
          <t>Sv: till registrator - Begäran av allmän handling</t>
        </is>
      </c>
      <c r="BC1748" t="inlineStr">
        <is>
          <t>AUTO</t>
        </is>
      </c>
      <c r="BD1748" t="inlineStr"/>
      <c r="BE1748" t="inlineStr"/>
      <c r="BF1748" t="inlineStr">
        <is>
          <t>AUTO_GENERERAD. Bekrafta metadata mot kallfil.</t>
        </is>
      </c>
      <c r="BG1748">
        <f>HYPERLINK("C:\Users\jimmy\Desktop\Examens arbete\Kod\Ny mapp\remix_-copy-of-miljöbeslut.se-portal\2025-12-01 Anmälan (dnr 2025-515).pdf", "Öppna PDF")</f>
        <v/>
      </c>
    </row>
    <row r="1749">
      <c r="A1749" t="inlineStr">
        <is>
          <t>KRAV-AUTO-001748</t>
        </is>
      </c>
      <c r="B1749" t="inlineStr">
        <is>
          <t>ADMIN-INDEX-2026-02-27-00000000125C043F57453246863FE664CAFE6A3F0700950291EA24F0614FB6ACEDB12BF0E31D00000000010C0000950291EA24F0614FB6ACEDB12BF0E31D00002087AEF70000</t>
        </is>
      </c>
      <c r="C1749" t="inlineStr">
        <is>
          <t>cmm4yuo1e0192cuqwwvml9v2v</t>
        </is>
      </c>
      <c r="D1749" t="inlineStr">
        <is>
          <t>http://localhost:8787/api/admin/requirements/documents/cmm4yuo1e0192cuqwwvml9v2v/view</t>
        </is>
      </c>
      <c r="E1749">
        <f>HYPERLÄNK("http://localhost:8787/api/admin/requirements/documents/cmm4yuo1e0192cuqwwvml9v2v/view";"Öppna PDF")</f>
        <v/>
      </c>
      <c r="F1749">
        <f>HYPERLINK("http://localhost:8787/api/admin/requirements/documents/cmm4yuo1e0192cuqwwvml9v2v/view","Open PDF")</f>
        <v/>
      </c>
      <c r="G1749" t="inlineStr">
        <is>
          <t>cmm55w57p0004cuisfrtpqly8</t>
        </is>
      </c>
      <c r="H1749" t="inlineStr">
        <is>
          <t>Beslutsvillkor</t>
        </is>
      </c>
      <c r="I1749" t="inlineStr">
        <is>
          <t>Riskhantering</t>
        </is>
      </c>
      <c r="J1749" t="inlineStr">
        <is>
          <t>Riskkontroll</t>
        </is>
      </c>
      <c r="K1749" t="inlineStr">
        <is>
          <t>7 § Enligt 7 §: ”Verksamhetsutövaren skall förteckna de kemiska produkter samt biotekniska organismer som hanteras inom verksamheten och som kan innebära risker från hälso- eller miljösynpunkt.</t>
        </is>
      </c>
      <c r="L1749" t="inlineStr">
        <is>
          <t>7 § Enligt 7 §: ”Verksamhetsutövaren skall förteckna de kemiska produkter samt biotekniska organismer som hanteras inom verksamheten och som kan innebära risker från hälso- eller miljösynpunkt.</t>
        </is>
      </c>
      <c r="M1749" t="inlineStr">
        <is>
          <t>SKA</t>
        </is>
      </c>
      <c r="N1749" t="inlineStr"/>
      <c r="O1749" t="inlineStr"/>
      <c r="P1749" t="inlineStr"/>
      <c r="Q1749" t="inlineStr"/>
      <c r="R1749" t="inlineStr">
        <is>
          <t>Vid risk for incident</t>
        </is>
      </c>
      <c r="S1749" t="inlineStr"/>
      <c r="T1749" t="inlineStr">
        <is>
          <t>559131</t>
        </is>
      </c>
      <c r="U1749" t="inlineStr"/>
      <c r="V1749" t="inlineStr"/>
      <c r="W1749" t="inlineStr">
        <is>
          <t>Nej</t>
        </is>
      </c>
      <c r="X1749" t="inlineStr">
        <is>
          <t>Nej</t>
        </is>
      </c>
      <c r="Y1749" t="inlineStr">
        <is>
          <t>Ja</t>
        </is>
      </c>
      <c r="Z1749" t="inlineStr">
        <is>
          <t>Ja</t>
        </is>
      </c>
      <c r="AA1749" t="n">
        <v>8</v>
      </c>
      <c r="AB1749" t="inlineStr">
        <is>
          <t>Riskhantering</t>
        </is>
      </c>
      <c r="AC1749" t="inlineStr">
        <is>
          <t>Risk-PM</t>
        </is>
      </c>
      <c r="AD1749" t="inlineStr">
        <is>
          <t>Nej</t>
        </is>
      </c>
      <c r="AE1749" t="inlineStr">
        <is>
          <t>Nej</t>
        </is>
      </c>
      <c r="AF1749" t="inlineStr">
        <is>
          <t>Ej behandlad</t>
        </is>
      </c>
      <c r="AG1749" t="inlineStr">
        <is>
          <t>AUTO_GENERERAD. Verifiera citat mot kallfil.</t>
        </is>
      </c>
      <c r="AH1749" t="inlineStr">
        <is>
          <t>MEDIUM</t>
        </is>
      </c>
      <c r="AI1749" t="inlineStr">
        <is>
          <t>AUTO</t>
        </is>
      </c>
      <c r="AJ1749" t="inlineStr">
        <is>
          <t>Nej</t>
        </is>
      </c>
      <c r="AK1749" t="inlineStr"/>
      <c r="AL1749" t="inlineStr"/>
      <c r="AM1749" t="inlineStr"/>
      <c r="AN1749" t="inlineStr"/>
      <c r="AO1749" t="inlineStr">
        <is>
          <t>cmm4yuo1l0198cuqwfklwg66t</t>
        </is>
      </c>
      <c r="AP1749" t="inlineStr">
        <is>
          <t>http://localhost:8787/api/admin/requirements/documents/cmm4yuo1l0198cuqwfklwg66t/view</t>
        </is>
      </c>
      <c r="AQ1749">
        <f>HYPERLÄNK("http://localhost:8787/api/admin/requirements/documents/cmm4yuo1l0198cuqwfklwg66t/view";"Öppna PDF")</f>
        <v/>
      </c>
      <c r="AR1749">
        <f>HYPERLINK("http://localhost:8787/api/admin/requirements/documents/cmm4yuo1l0198cuqwfklwg66t/view","Open PDF")</f>
        <v/>
      </c>
      <c r="AS1749" t="inlineStr">
        <is>
          <t>cmm55w57p0004cuisfrtpqly8</t>
        </is>
      </c>
      <c r="AT1749" t="inlineStr">
        <is>
          <t>cmm4xvu980000cuh4vj0usz09</t>
        </is>
      </c>
      <c r="AU1749" t="inlineStr"/>
      <c r="AV1749" t="inlineStr">
        <is>
          <t>Kommun</t>
        </is>
      </c>
      <c r="AW1749" t="inlineStr"/>
      <c r="AX1749" t="inlineStr">
        <is>
          <t>2004:62</t>
        </is>
      </c>
      <c r="AY1749" t="inlineStr">
        <is>
          <t>Anmalan</t>
        </is>
      </c>
      <c r="AZ1749" t="inlineStr">
        <is>
          <t>2026-02-03</t>
        </is>
      </c>
      <c r="BA1749" t="inlineStr">
        <is>
          <t>2025-12-01 Anmälan (dnr 2025-515).pdf</t>
        </is>
      </c>
      <c r="BB1749" t="inlineStr">
        <is>
          <t>Sv: till registrator - Begäran av allmän handling</t>
        </is>
      </c>
      <c r="BC1749" t="inlineStr">
        <is>
          <t>AUTO</t>
        </is>
      </c>
      <c r="BD1749" t="inlineStr"/>
      <c r="BE1749" t="inlineStr"/>
      <c r="BF1749" t="inlineStr">
        <is>
          <t>AUTO_GENERERAD. Bekrafta metadata mot kallfil.</t>
        </is>
      </c>
      <c r="BG1749">
        <f>HYPERLINK("C:\Users\jimmy\Desktop\Examens arbete\Kod\Ny mapp\remix_-copy-of-miljöbeslut.se-portal\2025-12-01 Anmälan (dnr 2025-515).pdf", "Öppna PDF")</f>
        <v/>
      </c>
    </row>
    <row r="1750">
      <c r="A1750" t="inlineStr">
        <is>
          <t>KRAV-AUTO-001749</t>
        </is>
      </c>
      <c r="B1750" t="inlineStr">
        <is>
          <t>ADMIN-INDEX-2026-02-27-00000000125C043F57453246863FE664CAFE6A3F0700950291EA24F0614FB6ACEDB12BF0E31D00000000010C0000950291EA24F0614FB6ACEDB12BF0E31D00002087AEF70000</t>
        </is>
      </c>
      <c r="C1750" t="inlineStr">
        <is>
          <t>cmm4yuo1b018zcuqw7873nhek</t>
        </is>
      </c>
      <c r="D1750" t="inlineStr">
        <is>
          <t>http://localhost:8787/api/admin/requirements/documents/cmm4yuo1b018zcuqw7873nhek/view</t>
        </is>
      </c>
      <c r="E1750">
        <f>HYPERLÄNK("http://localhost:8787/api/admin/requirements/documents/cmm4yuo1b018zcuqw7873nhek/view";"Öppna PDF")</f>
        <v/>
      </c>
      <c r="F1750">
        <f>HYPERLINK("http://localhost:8787/api/admin/requirements/documents/cmm4yuo1b018zcuqw7873nhek/view","Open PDF")</f>
        <v/>
      </c>
      <c r="G1750" t="inlineStr">
        <is>
          <t>cmm55w57p0004cuisfrtpqly8</t>
        </is>
      </c>
      <c r="H1750" t="inlineStr">
        <is>
          <t>Beslutsvillkor</t>
        </is>
      </c>
      <c r="I1750" t="inlineStr">
        <is>
          <t>Riskhantering</t>
        </is>
      </c>
      <c r="J1750" t="inlineStr">
        <is>
          <t>Riskkontroll</t>
        </is>
      </c>
      <c r="K1750" t="inlineStr">
        <is>
          <t>Utrustning Kontroll- period Ansvarig Senast kontrollerad Avvikelse Kontroll av lagringsplatsen Lagring ska ske så att risk för läckage av näringsämnen minimeras En gång per halvår Kundansvari g XXXX-XX-XX ?</t>
        </is>
      </c>
      <c r="L1750" t="inlineStr">
        <is>
          <t>Utrustning Kontroll- period Ansvarig Senast kontrollerad Avvikelse Kontroll av lagringsplatsen Lagring ska ske så att risk för läckage av näringsämnen minimeras En gång per halvår Kundansvari g XXXX-XX-XX ?</t>
        </is>
      </c>
      <c r="M1750" t="inlineStr">
        <is>
          <t>SKA</t>
        </is>
      </c>
      <c r="N1750" t="inlineStr"/>
      <c r="O1750" t="inlineStr">
        <is>
          <t>senast kontrollerad avvikelse kontrol</t>
        </is>
      </c>
      <c r="P1750" t="inlineStr"/>
      <c r="Q1750" t="inlineStr"/>
      <c r="R1750" t="inlineStr">
        <is>
          <t>Vid risk for incident</t>
        </is>
      </c>
      <c r="S1750" t="inlineStr"/>
      <c r="T1750" t="inlineStr"/>
      <c r="U1750" t="inlineStr"/>
      <c r="V1750" t="inlineStr"/>
      <c r="W1750" t="inlineStr">
        <is>
          <t>Nej</t>
        </is>
      </c>
      <c r="X1750" t="inlineStr">
        <is>
          <t>Nej</t>
        </is>
      </c>
      <c r="Y1750" t="inlineStr">
        <is>
          <t>Ja</t>
        </is>
      </c>
      <c r="Z1750" t="inlineStr">
        <is>
          <t>Ja</t>
        </is>
      </c>
      <c r="AA1750" t="n">
        <v>8</v>
      </c>
      <c r="AB1750" t="inlineStr">
        <is>
          <t>Riskhantering</t>
        </is>
      </c>
      <c r="AC1750" t="inlineStr">
        <is>
          <t>Risk-PM</t>
        </is>
      </c>
      <c r="AD1750" t="inlineStr">
        <is>
          <t>Nej</t>
        </is>
      </c>
      <c r="AE1750" t="inlineStr">
        <is>
          <t>Nej</t>
        </is>
      </c>
      <c r="AF1750" t="inlineStr">
        <is>
          <t>Ej behandlad</t>
        </is>
      </c>
      <c r="AG1750" t="inlineStr">
        <is>
          <t>AUTO_GENERERAD. Verifiera citat mot kallfil.</t>
        </is>
      </c>
      <c r="AH1750" t="inlineStr">
        <is>
          <t>MEDIUM</t>
        </is>
      </c>
      <c r="AI1750" t="inlineStr">
        <is>
          <t>AUTO</t>
        </is>
      </c>
      <c r="AJ1750" t="inlineStr">
        <is>
          <t>Nej</t>
        </is>
      </c>
      <c r="AK1750" t="inlineStr"/>
      <c r="AL1750" t="inlineStr"/>
      <c r="AM1750" t="inlineStr"/>
      <c r="AN1750" t="inlineStr"/>
      <c r="AO1750" t="inlineStr">
        <is>
          <t>cmm4yuo1l0198cuqwfklwg66t</t>
        </is>
      </c>
      <c r="AP1750" t="inlineStr">
        <is>
          <t>http://localhost:8787/api/admin/requirements/documents/cmm4yuo1l0198cuqwfklwg66t/view</t>
        </is>
      </c>
      <c r="AQ1750">
        <f>HYPERLÄNK("http://localhost:8787/api/admin/requirements/documents/cmm4yuo1l0198cuqwfklwg66t/view";"Öppna PDF")</f>
        <v/>
      </c>
      <c r="AR1750">
        <f>HYPERLINK("http://localhost:8787/api/admin/requirements/documents/cmm4yuo1l0198cuqwfklwg66t/view","Open PDF")</f>
        <v/>
      </c>
      <c r="AS1750" t="inlineStr">
        <is>
          <t>cmm55w57p0004cuisfrtpqly8</t>
        </is>
      </c>
      <c r="AT1750" t="inlineStr">
        <is>
          <t>cmm4xvu980000cuh4vj0usz09</t>
        </is>
      </c>
      <c r="AU1750" t="inlineStr"/>
      <c r="AV1750" t="inlineStr">
        <is>
          <t>Kommun</t>
        </is>
      </c>
      <c r="AW1750" t="inlineStr"/>
      <c r="AX1750" t="inlineStr">
        <is>
          <t>2004:62</t>
        </is>
      </c>
      <c r="AY1750" t="inlineStr">
        <is>
          <t>Anmalan</t>
        </is>
      </c>
      <c r="AZ1750" t="inlineStr">
        <is>
          <t>2026-02-03</t>
        </is>
      </c>
      <c r="BA1750" t="inlineStr">
        <is>
          <t>2025-12-01 Anmälan (dnr 2025-515).pdf</t>
        </is>
      </c>
      <c r="BB1750" t="inlineStr">
        <is>
          <t>Sv: till registrator - Begäran av allmän handling</t>
        </is>
      </c>
      <c r="BC1750" t="inlineStr">
        <is>
          <t>AUTO</t>
        </is>
      </c>
      <c r="BD1750" t="inlineStr"/>
      <c r="BE1750" t="inlineStr"/>
      <c r="BF1750" t="inlineStr">
        <is>
          <t>AUTO_GENERERAD. Bekrafta metadata mot kallfil.</t>
        </is>
      </c>
      <c r="BG1750">
        <f>HYPERLINK("C:\Users\jimmy\Desktop\Examens arbete\Kod\Ny mapp\remix_-copy-of-miljöbeslut.se-portal\2025-12-01 Anmälan (dnr 2025-515).pdf", "Öppna PDF")</f>
        <v/>
      </c>
    </row>
    <row r="1751">
      <c r="A1751" t="inlineStr">
        <is>
          <t>KRAV-AUTO-001750</t>
        </is>
      </c>
      <c r="B1751" t="inlineStr">
        <is>
          <t>ADMIN-INDEX-2026-02-27-00000000125C043F57453246863FE664CAFE6A3F0700950291EA24F0614FB6ACEDB12BF0E31D00000000010C0000950291EA24F0614FB6ACEDB12BF0E31D00002087AEF70000</t>
        </is>
      </c>
      <c r="C1751" t="inlineStr">
        <is>
          <t>cmm4yuo0v018kcuqw0ffl1d8h</t>
        </is>
      </c>
      <c r="D1751" t="inlineStr">
        <is>
          <t>http://localhost:8787/api/admin/requirements/documents/cmm4yuo0v018kcuqw0ffl1d8h/view</t>
        </is>
      </c>
      <c r="E1751">
        <f>HYPERLÄNK("http://localhost:8787/api/admin/requirements/documents/cmm4yuo0v018kcuqw0ffl1d8h/view";"Öppna PDF")</f>
        <v/>
      </c>
      <c r="F1751">
        <f>HYPERLINK("http://localhost:8787/api/admin/requirements/documents/cmm4yuo0v018kcuqw0ffl1d8h/view","Open PDF")</f>
        <v/>
      </c>
      <c r="G1751" t="inlineStr">
        <is>
          <t>cmm55w57p0004cuisfrtpqly8</t>
        </is>
      </c>
      <c r="H1751" t="inlineStr">
        <is>
          <t>Beslutsvillkor</t>
        </is>
      </c>
      <c r="I1751" t="inlineStr">
        <is>
          <t>Riskhantering</t>
        </is>
      </c>
      <c r="J1751" t="inlineStr">
        <is>
          <t>Riskkontroll</t>
        </is>
      </c>
      <c r="K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51" t="inlineStr">
        <is>
          <t>SKA</t>
        </is>
      </c>
      <c r="N1751" t="inlineStr">
        <is>
          <t>Miljobalken</t>
        </is>
      </c>
      <c r="O1751" t="inlineStr"/>
      <c r="P1751" t="inlineStr"/>
      <c r="Q1751" t="inlineStr"/>
      <c r="R1751" t="inlineStr">
        <is>
          <t>Vid risk for incident</t>
        </is>
      </c>
      <c r="S1751" t="inlineStr"/>
      <c r="T1751" t="inlineStr"/>
      <c r="U1751" t="inlineStr"/>
      <c r="V1751" t="inlineStr"/>
      <c r="W1751" t="inlineStr">
        <is>
          <t>Nej</t>
        </is>
      </c>
      <c r="X1751" t="inlineStr">
        <is>
          <t>Nej</t>
        </is>
      </c>
      <c r="Y1751" t="inlineStr">
        <is>
          <t>Ja</t>
        </is>
      </c>
      <c r="Z1751" t="inlineStr">
        <is>
          <t>Ja</t>
        </is>
      </c>
      <c r="AA1751" t="n">
        <v>8</v>
      </c>
      <c r="AB1751" t="inlineStr">
        <is>
          <t>Riskhantering</t>
        </is>
      </c>
      <c r="AC1751" t="inlineStr">
        <is>
          <t>Risk-PM</t>
        </is>
      </c>
      <c r="AD1751" t="inlineStr">
        <is>
          <t>Nej</t>
        </is>
      </c>
      <c r="AE1751" t="inlineStr">
        <is>
          <t>Nej</t>
        </is>
      </c>
      <c r="AF1751" t="inlineStr">
        <is>
          <t>Ej behandlad</t>
        </is>
      </c>
      <c r="AG1751" t="inlineStr">
        <is>
          <t>AUTO_GENERERAD. Verifiera citat mot kallfil.</t>
        </is>
      </c>
      <c r="AH1751" t="inlineStr">
        <is>
          <t>HIGH</t>
        </is>
      </c>
      <c r="AI1751" t="inlineStr">
        <is>
          <t>AUTO</t>
        </is>
      </c>
      <c r="AJ1751" t="inlineStr">
        <is>
          <t>Nej</t>
        </is>
      </c>
      <c r="AK1751" t="inlineStr"/>
      <c r="AL1751" t="inlineStr"/>
      <c r="AM1751" t="inlineStr"/>
      <c r="AN1751" t="inlineStr"/>
      <c r="AO1751" t="inlineStr">
        <is>
          <t>cmm4yuo1l0198cuqwfklwg66t</t>
        </is>
      </c>
      <c r="AP1751" t="inlineStr">
        <is>
          <t>http://localhost:8787/api/admin/requirements/documents/cmm4yuo1l0198cuqwfklwg66t/view</t>
        </is>
      </c>
      <c r="AQ1751">
        <f>HYPERLÄNK("http://localhost:8787/api/admin/requirements/documents/cmm4yuo1l0198cuqwfklwg66t/view";"Öppna PDF")</f>
        <v/>
      </c>
      <c r="AR1751">
        <f>HYPERLINK("http://localhost:8787/api/admin/requirements/documents/cmm4yuo1l0198cuqwfklwg66t/view","Open PDF")</f>
        <v/>
      </c>
      <c r="AS1751" t="inlineStr">
        <is>
          <t>cmm55w57p0004cuisfrtpqly8</t>
        </is>
      </c>
      <c r="AT1751" t="inlineStr">
        <is>
          <t>cmm4xvu980000cuh4vj0usz09</t>
        </is>
      </c>
      <c r="AU1751" t="inlineStr"/>
      <c r="AV1751" t="inlineStr">
        <is>
          <t>Kommun</t>
        </is>
      </c>
      <c r="AW1751" t="inlineStr"/>
      <c r="AX1751" t="inlineStr">
        <is>
          <t>2004:62</t>
        </is>
      </c>
      <c r="AY1751" t="inlineStr">
        <is>
          <t>Anmalan</t>
        </is>
      </c>
      <c r="AZ1751" t="inlineStr">
        <is>
          <t>2026-02-03</t>
        </is>
      </c>
      <c r="BA1751" t="inlineStr">
        <is>
          <t>2025-12-01 Anmälan (dnr 2025-515).pdf</t>
        </is>
      </c>
      <c r="BB1751" t="inlineStr">
        <is>
          <t>Sv: till registrator - Begäran av allmän handling</t>
        </is>
      </c>
      <c r="BC1751" t="inlineStr">
        <is>
          <t>AUTO</t>
        </is>
      </c>
      <c r="BD1751" t="inlineStr"/>
      <c r="BE1751" t="inlineStr"/>
      <c r="BF1751" t="inlineStr">
        <is>
          <t>AUTO_GENERERAD. Bekrafta metadata mot kallfil.</t>
        </is>
      </c>
      <c r="BG1751">
        <f>HYPERLINK("C:\Users\jimmy\Desktop\Examens arbete\Kod\Ny mapp\remix_-copy-of-miljöbeslut.se-portal\2025-12-01 Anmälan (dnr 2025-515).pdf", "Öppna PDF")</f>
        <v/>
      </c>
    </row>
    <row r="1752">
      <c r="A1752" t="inlineStr">
        <is>
          <t>KRAV-AUTO-001751</t>
        </is>
      </c>
      <c r="B1752" t="inlineStr">
        <is>
          <t>ADMIN-INDEX-2026-02-27-00000000125C043F57453246863FE664CAFE6A3F0700950291EA24F0614FB6ACEDB12BF0E31D00000000010C0000950291EA24F0614FB6ACEDB12BF0E31D00002087AEF70000</t>
        </is>
      </c>
      <c r="C1752" t="inlineStr">
        <is>
          <t>cmm4yuo0v018kcuqw0ffl1d8h</t>
        </is>
      </c>
      <c r="D1752" t="inlineStr">
        <is>
          <t>http://localhost:8787/api/admin/requirements/documents/cmm4yuo0v018kcuqw0ffl1d8h/view</t>
        </is>
      </c>
      <c r="E1752">
        <f>HYPERLÄNK("http://localhost:8787/api/admin/requirements/documents/cmm4yuo0v018kcuqw0ffl1d8h/view";"Öppna PDF")</f>
        <v/>
      </c>
      <c r="F1752">
        <f>HYPERLINK("http://localhost:8787/api/admin/requirements/documents/cmm4yuo0v018kcuqw0ffl1d8h/view","Open PDF")</f>
        <v/>
      </c>
      <c r="G1752" t="inlineStr">
        <is>
          <t>cmm55w57p0004cuisfrtpqly8</t>
        </is>
      </c>
      <c r="H1752" t="inlineStr">
        <is>
          <t>Beslutsvillkor</t>
        </is>
      </c>
      <c r="I1752" t="inlineStr">
        <is>
          <t>DriftEgenkontroll</t>
        </is>
      </c>
      <c r="J1752" t="inlineStr">
        <is>
          <t>Journalforing</t>
        </is>
      </c>
      <c r="K1752" t="inlineStr">
        <is>
          <t>Jordprovtagning har gjorts på den åkermark som spridning ska ske.</t>
        </is>
      </c>
      <c r="L1752" t="inlineStr">
        <is>
          <t>Jordprovtagning har gjorts på den åkermark som spridning ska ske.</t>
        </is>
      </c>
      <c r="M1752" t="inlineStr">
        <is>
          <t>SKA</t>
        </is>
      </c>
      <c r="N1752" t="inlineStr"/>
      <c r="O1752" t="inlineStr"/>
      <c r="P1752" t="inlineStr"/>
      <c r="Q1752" t="inlineStr"/>
      <c r="R1752" t="inlineStr">
        <is>
          <t>Lopande drift</t>
        </is>
      </c>
      <c r="S1752" t="inlineStr"/>
      <c r="T1752" t="inlineStr"/>
      <c r="U1752" t="inlineStr"/>
      <c r="V1752" t="inlineStr"/>
      <c r="W1752" t="inlineStr">
        <is>
          <t>Nej</t>
        </is>
      </c>
      <c r="X1752" t="inlineStr">
        <is>
          <t>Nej</t>
        </is>
      </c>
      <c r="Y1752" t="inlineStr">
        <is>
          <t>Ja</t>
        </is>
      </c>
      <c r="Z1752" t="inlineStr">
        <is>
          <t>Nej</t>
        </is>
      </c>
      <c r="AA1752" t="n">
        <v>7</v>
      </c>
      <c r="AB1752" t="inlineStr">
        <is>
          <t>Egenkontrollrutiner</t>
        </is>
      </c>
      <c r="AC1752" t="inlineStr">
        <is>
          <t>Egenkontrollprogram</t>
        </is>
      </c>
      <c r="AD1752" t="inlineStr">
        <is>
          <t>Nej</t>
        </is>
      </c>
      <c r="AE1752" t="inlineStr">
        <is>
          <t>Nej</t>
        </is>
      </c>
      <c r="AF1752" t="inlineStr">
        <is>
          <t>Ej behandlad</t>
        </is>
      </c>
      <c r="AG1752" t="inlineStr">
        <is>
          <t>AUTO_GENERERAD. Verifiera citat mot kallfil.</t>
        </is>
      </c>
      <c r="AH1752" t="inlineStr">
        <is>
          <t>MEDIUM</t>
        </is>
      </c>
      <c r="AI1752" t="inlineStr">
        <is>
          <t>AUTO</t>
        </is>
      </c>
      <c r="AJ1752" t="inlineStr">
        <is>
          <t>Nej</t>
        </is>
      </c>
      <c r="AK1752" t="inlineStr"/>
      <c r="AL1752" t="inlineStr"/>
      <c r="AM1752" t="inlineStr"/>
      <c r="AN1752" t="inlineStr"/>
      <c r="AO1752" t="inlineStr">
        <is>
          <t>cmm4yuo1l0198cuqwfklwg66t</t>
        </is>
      </c>
      <c r="AP1752" t="inlineStr">
        <is>
          <t>http://localhost:8787/api/admin/requirements/documents/cmm4yuo1l0198cuqwfklwg66t/view</t>
        </is>
      </c>
      <c r="AQ1752">
        <f>HYPERLÄNK("http://localhost:8787/api/admin/requirements/documents/cmm4yuo1l0198cuqwfklwg66t/view";"Öppna PDF")</f>
        <v/>
      </c>
      <c r="AR1752">
        <f>HYPERLINK("http://localhost:8787/api/admin/requirements/documents/cmm4yuo1l0198cuqwfklwg66t/view","Open PDF")</f>
        <v/>
      </c>
      <c r="AS1752" t="inlineStr">
        <is>
          <t>cmm55w57p0004cuisfrtpqly8</t>
        </is>
      </c>
      <c r="AT1752" t="inlineStr">
        <is>
          <t>cmm4xvu980000cuh4vj0usz09</t>
        </is>
      </c>
      <c r="AU1752" t="inlineStr"/>
      <c r="AV1752" t="inlineStr">
        <is>
          <t>Kommun</t>
        </is>
      </c>
      <c r="AW1752" t="inlineStr"/>
      <c r="AX1752" t="inlineStr">
        <is>
          <t>2004:62</t>
        </is>
      </c>
      <c r="AY1752" t="inlineStr">
        <is>
          <t>Anmalan</t>
        </is>
      </c>
      <c r="AZ1752" t="inlineStr">
        <is>
          <t>2026-02-03</t>
        </is>
      </c>
      <c r="BA1752" t="inlineStr">
        <is>
          <t>2025-12-01 Anmälan (dnr 2025-515).pdf</t>
        </is>
      </c>
      <c r="BB1752" t="inlineStr">
        <is>
          <t>Sv: till registrator - Begäran av allmän handling</t>
        </is>
      </c>
      <c r="BC1752" t="inlineStr">
        <is>
          <t>AUTO</t>
        </is>
      </c>
      <c r="BD1752" t="inlineStr"/>
      <c r="BE1752" t="inlineStr"/>
      <c r="BF1752" t="inlineStr">
        <is>
          <t>AUTO_GENERERAD. Bekrafta metadata mot kallfil.</t>
        </is>
      </c>
      <c r="BG1752">
        <f>HYPERLINK("C:\Users\jimmy\Desktop\Examens arbete\Kod\Ny mapp\remix_-copy-of-miljöbeslut.se-portal\2025-12-01 Anmälan (dnr 2025-515).pdf", "Öppna PDF")</f>
        <v/>
      </c>
    </row>
    <row r="1753">
      <c r="A1753" t="inlineStr">
        <is>
          <t>KRAV-AUTO-001752</t>
        </is>
      </c>
      <c r="B1753" t="inlineStr">
        <is>
          <t>ADMIN-INDEX-2026-02-27-00000000125C043F57453246863FE664CAFE6A3F0700950291EA24F0614FB6ACEDB12BF0E31D00000000010C0000950291EA24F0614FB6ACEDB12BF0E31D00002087AEF70000</t>
        </is>
      </c>
      <c r="C1753" t="inlineStr">
        <is>
          <t>cmm4yuo0v018kcuqw0ffl1d8h</t>
        </is>
      </c>
      <c r="D1753" t="inlineStr">
        <is>
          <t>http://localhost:8787/api/admin/requirements/documents/cmm4yuo0v018kcuqw0ffl1d8h/view</t>
        </is>
      </c>
      <c r="E1753">
        <f>HYPERLÄNK("http://localhost:8787/api/admin/requirements/documents/cmm4yuo0v018kcuqw0ffl1d8h/view";"Öppna PDF")</f>
        <v/>
      </c>
      <c r="F1753">
        <f>HYPERLINK("http://localhost:8787/api/admin/requirements/documents/cmm4yuo0v018kcuqw0ffl1d8h/view","Open PDF")</f>
        <v/>
      </c>
      <c r="G1753" t="inlineStr">
        <is>
          <t>cmm55w57p0004cuisfrtpqly8</t>
        </is>
      </c>
      <c r="H1753" t="inlineStr">
        <is>
          <t>Beslutsvillkor</t>
        </is>
      </c>
      <c r="I1753" t="inlineStr">
        <is>
          <t>LagringsvolymTid</t>
        </is>
      </c>
      <c r="J1753" t="inlineStr">
        <is>
          <t>Maxmangd</t>
        </is>
      </c>
      <c r="K1753" t="inlineStr">
        <is>
          <t>Om det är problematiska förhållanden kommer det 260 ton som ska spridas under hösten att läggas upp under sensommar/hösten när det är goda förutsättningar.</t>
        </is>
      </c>
      <c r="L1753" t="inlineStr">
        <is>
          <t>Om det är problematiska förhållanden kommer det 260 ton som ska spridas under hösten att läggas upp under sensommar/hösten när det är goda förutsättningar.</t>
        </is>
      </c>
      <c r="M1753" t="inlineStr">
        <is>
          <t>SKA</t>
        </is>
      </c>
      <c r="N1753" t="inlineStr"/>
      <c r="O1753" t="inlineStr"/>
      <c r="P1753" t="inlineStr"/>
      <c r="Q1753" t="inlineStr"/>
      <c r="R1753" t="inlineStr">
        <is>
          <t>Alltid</t>
        </is>
      </c>
      <c r="S1753" t="inlineStr"/>
      <c r="T1753" t="inlineStr"/>
      <c r="U1753" t="n">
        <v>260</v>
      </c>
      <c r="V1753" t="inlineStr"/>
      <c r="W1753" t="inlineStr">
        <is>
          <t>Nej</t>
        </is>
      </c>
      <c r="X1753" t="inlineStr">
        <is>
          <t>Nej</t>
        </is>
      </c>
      <c r="Y1753" t="inlineStr">
        <is>
          <t>Nej</t>
        </is>
      </c>
      <c r="Z1753" t="inlineStr">
        <is>
          <t>Nej</t>
        </is>
      </c>
      <c r="AA1753" t="n">
        <v>4</v>
      </c>
      <c r="AB1753" t="inlineStr">
        <is>
          <t>Avfallsmangder och lagringstid</t>
        </is>
      </c>
      <c r="AC1753" t="inlineStr">
        <is>
          <t>Avfallsforteckning</t>
        </is>
      </c>
      <c r="AD1753" t="inlineStr">
        <is>
          <t>Nej</t>
        </is>
      </c>
      <c r="AE1753" t="inlineStr">
        <is>
          <t>Nej</t>
        </is>
      </c>
      <c r="AF1753" t="inlineStr">
        <is>
          <t>Ej behandlad</t>
        </is>
      </c>
      <c r="AG1753" t="inlineStr">
        <is>
          <t>AUTO_GENERERAD. Verifiera citat mot kallfil.</t>
        </is>
      </c>
      <c r="AH1753" t="inlineStr">
        <is>
          <t>MEDIUM</t>
        </is>
      </c>
      <c r="AI1753" t="inlineStr">
        <is>
          <t>AUTO</t>
        </is>
      </c>
      <c r="AJ1753" t="inlineStr">
        <is>
          <t>Nej</t>
        </is>
      </c>
      <c r="AK1753" t="inlineStr"/>
      <c r="AL1753" t="inlineStr"/>
      <c r="AM1753" t="inlineStr"/>
      <c r="AN1753" t="inlineStr"/>
      <c r="AO1753" t="inlineStr">
        <is>
          <t>cmm4yuo1l0198cuqwfklwg66t</t>
        </is>
      </c>
      <c r="AP1753" t="inlineStr">
        <is>
          <t>http://localhost:8787/api/admin/requirements/documents/cmm4yuo1l0198cuqwfklwg66t/view</t>
        </is>
      </c>
      <c r="AQ1753">
        <f>HYPERLÄNK("http://localhost:8787/api/admin/requirements/documents/cmm4yuo1l0198cuqwfklwg66t/view";"Öppna PDF")</f>
        <v/>
      </c>
      <c r="AR1753">
        <f>HYPERLINK("http://localhost:8787/api/admin/requirements/documents/cmm4yuo1l0198cuqwfklwg66t/view","Open PDF")</f>
        <v/>
      </c>
      <c r="AS1753" t="inlineStr">
        <is>
          <t>cmm55w57p0004cuisfrtpqly8</t>
        </is>
      </c>
      <c r="AT1753" t="inlineStr">
        <is>
          <t>cmm4xvu980000cuh4vj0usz09</t>
        </is>
      </c>
      <c r="AU1753" t="inlineStr"/>
      <c r="AV1753" t="inlineStr">
        <is>
          <t>Kommun</t>
        </is>
      </c>
      <c r="AW1753" t="inlineStr"/>
      <c r="AX1753" t="inlineStr">
        <is>
          <t>2004:62</t>
        </is>
      </c>
      <c r="AY1753" t="inlineStr">
        <is>
          <t>Anmalan</t>
        </is>
      </c>
      <c r="AZ1753" t="inlineStr">
        <is>
          <t>2026-02-03</t>
        </is>
      </c>
      <c r="BA1753" t="inlineStr">
        <is>
          <t>2025-12-01 Anmälan (dnr 2025-515).pdf</t>
        </is>
      </c>
      <c r="BB1753" t="inlineStr">
        <is>
          <t>Sv: till registrator - Begäran av allmän handling</t>
        </is>
      </c>
      <c r="BC1753" t="inlineStr">
        <is>
          <t>AUTO</t>
        </is>
      </c>
      <c r="BD1753" t="inlineStr"/>
      <c r="BE1753" t="inlineStr"/>
      <c r="BF1753" t="inlineStr">
        <is>
          <t>AUTO_GENERERAD. Bekrafta metadata mot kallfil.</t>
        </is>
      </c>
      <c r="BG1753">
        <f>HYPERLINK("C:\Users\jimmy\Desktop\Examens arbete\Kod\Ny mapp\remix_-copy-of-miljöbeslut.se-portal\2025-12-01 Anmälan (dnr 2025-515).pdf", "Öppna PDF")</f>
        <v/>
      </c>
    </row>
    <row r="1754">
      <c r="A1754" t="inlineStr">
        <is>
          <t>KRAV-AUTO-001753</t>
        </is>
      </c>
      <c r="B1754" t="inlineStr">
        <is>
          <t>ADMIN-INDEX-2026-02-27-00000000125C043F57453246863FE664CAFE6A3F0700950291EA24F0614FB6ACEDB12BF0E31D00000000010C0000950291EA24F0614FB6ACEDB12BF0E31D00002087AEF80000</t>
        </is>
      </c>
      <c r="C1754" t="inlineStr">
        <is>
          <t>cmm4yuo0n018ecuqwgykqcb0s</t>
        </is>
      </c>
      <c r="D1754" t="inlineStr">
        <is>
          <t>http://localhost:8787/api/admin/requirements/documents/cmm4yuo0n018ecuqwgykqcb0s/view</t>
        </is>
      </c>
      <c r="E1754">
        <f>HYPERLÄNK("http://localhost:8787/api/admin/requirements/documents/cmm4yuo0n018ecuqwgykqcb0s/view";"Öppna PDF")</f>
        <v/>
      </c>
      <c r="F1754">
        <f>HYPERLINK("http://localhost:8787/api/admin/requirements/documents/cmm4yuo0n018ecuqwgykqcb0s/view","Open PDF")</f>
        <v/>
      </c>
      <c r="G1754" t="inlineStr">
        <is>
          <t>cmm55w57p0004cuisfrtpqly8</t>
        </is>
      </c>
      <c r="H1754" t="inlineStr">
        <is>
          <t>Informationskrav</t>
        </is>
      </c>
      <c r="I1754" t="inlineStr">
        <is>
          <t>DriftEgenkontroll</t>
        </is>
      </c>
      <c r="J1754" t="inlineStr">
        <is>
          <t>Journalforing</t>
        </is>
      </c>
      <c r="K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54" t="inlineStr">
        <is>
          <t>SKA</t>
        </is>
      </c>
      <c r="N1754" t="inlineStr"/>
      <c r="O1754" t="inlineStr"/>
      <c r="P1754" t="inlineStr"/>
      <c r="Q1754" t="inlineStr"/>
      <c r="R1754" t="inlineStr">
        <is>
          <t>Lopande drift</t>
        </is>
      </c>
      <c r="S1754" t="inlineStr"/>
      <c r="T1754" t="inlineStr"/>
      <c r="U1754" t="inlineStr"/>
      <c r="V1754" t="inlineStr"/>
      <c r="W1754" t="inlineStr">
        <is>
          <t>Nej</t>
        </is>
      </c>
      <c r="X1754" t="inlineStr">
        <is>
          <t>Nej</t>
        </is>
      </c>
      <c r="Y1754" t="inlineStr">
        <is>
          <t>Ja</t>
        </is>
      </c>
      <c r="Z1754" t="inlineStr">
        <is>
          <t>Nej</t>
        </is>
      </c>
      <c r="AA1754" t="n">
        <v>7</v>
      </c>
      <c r="AB1754" t="inlineStr">
        <is>
          <t>Egenkontrollrutiner</t>
        </is>
      </c>
      <c r="AC1754" t="inlineStr">
        <is>
          <t>Egenkontrollprogram</t>
        </is>
      </c>
      <c r="AD1754" t="inlineStr">
        <is>
          <t>Nej</t>
        </is>
      </c>
      <c r="AE1754" t="inlineStr">
        <is>
          <t>Nej</t>
        </is>
      </c>
      <c r="AF1754" t="inlineStr">
        <is>
          <t>Ej behandlad</t>
        </is>
      </c>
      <c r="AG1754" t="inlineStr">
        <is>
          <t>AUTO_GENERERAD. Verifiera citat mot kallfil.</t>
        </is>
      </c>
      <c r="AH1754" t="inlineStr">
        <is>
          <t>MEDIUM</t>
        </is>
      </c>
      <c r="AI1754" t="inlineStr">
        <is>
          <t>AUTO</t>
        </is>
      </c>
      <c r="AJ1754" t="inlineStr">
        <is>
          <t>Nej</t>
        </is>
      </c>
      <c r="AK1754" t="inlineStr"/>
      <c r="AL1754" t="inlineStr"/>
      <c r="AM1754" t="inlineStr"/>
      <c r="AN1754" t="inlineStr"/>
      <c r="AO1754" t="inlineStr">
        <is>
          <t>cmm4yuo0n018ecuqwgykqcb0s</t>
        </is>
      </c>
      <c r="AP1754" t="inlineStr">
        <is>
          <t>http://localhost:8787/api/admin/requirements/documents/cmm4yuo0n018ecuqwgykqcb0s/view</t>
        </is>
      </c>
      <c r="AQ1754">
        <f>HYPERLÄNK("http://localhost:8787/api/admin/requirements/documents/cmm4yuo0n018ecuqwgykqcb0s/view";"Öppna PDF")</f>
        <v/>
      </c>
      <c r="AR1754">
        <f>HYPERLINK("http://localhost:8787/api/admin/requirements/documents/cmm4yuo0n018ecuqwgykqcb0s/view","Open PDF")</f>
        <v/>
      </c>
      <c r="AS1754" t="inlineStr">
        <is>
          <t>cmm55w57p0004cuisfrtpqly8</t>
        </is>
      </c>
      <c r="AT1754" t="inlineStr">
        <is>
          <t>cmm4xvu980000cuh4vj0usz09</t>
        </is>
      </c>
      <c r="AU1754" t="inlineStr"/>
      <c r="AV1754" t="inlineStr">
        <is>
          <t>Kommun</t>
        </is>
      </c>
      <c r="AW1754" t="inlineStr"/>
      <c r="AX1754" t="inlineStr">
        <is>
          <t>2004:62</t>
        </is>
      </c>
      <c r="AY1754" t="inlineStr">
        <is>
          <t>Anmalan</t>
        </is>
      </c>
      <c r="AZ1754" t="inlineStr">
        <is>
          <t>2026-02-03</t>
        </is>
      </c>
      <c r="BA1754" t="inlineStr">
        <is>
          <t>2025-12-01 Anmälan (dnr 2025-515).pdf</t>
        </is>
      </c>
      <c r="BB1754" t="inlineStr">
        <is>
          <t>Sv: till registrator - Begäran av allmän handling</t>
        </is>
      </c>
      <c r="BC1754" t="inlineStr">
        <is>
          <t>AUTO</t>
        </is>
      </c>
      <c r="BD1754" t="inlineStr"/>
      <c r="BE1754" t="inlineStr"/>
      <c r="BF1754" t="inlineStr">
        <is>
          <t>AUTO_GENERERAD. Bekrafta metadata mot kallfil.</t>
        </is>
      </c>
      <c r="BG1754">
        <f>HYPERLINK("C:\Users\jimmy\Desktop\Examens arbete\Kod\Ny mapp\remix_-copy-of-miljöbeslut.se-portal\2025-12-01 Anmälan (dnr 2025-515).pdf", "Öppna PDF")</f>
        <v/>
      </c>
    </row>
    <row r="1755">
      <c r="A1755" t="inlineStr">
        <is>
          <t>KRAV-AUTO-001754</t>
        </is>
      </c>
      <c r="B1755" t="inlineStr">
        <is>
          <t>ADMIN-INDEX-2026-02-27-00000000125C043F57453246863FE664CAFE6A3F0700950291EA24F0614FB6ACEDB12BF0E31D00000000010C0000950291EA24F0614FB6ACEDB12BF0E31D00002087AEF80000</t>
        </is>
      </c>
      <c r="C1755" t="inlineStr">
        <is>
          <t>cmm4yuo0n018ecuqwgykqcb0s</t>
        </is>
      </c>
      <c r="D1755" t="inlineStr">
        <is>
          <t>http://localhost:8787/api/admin/requirements/documents/cmm4yuo0n018ecuqwgykqcb0s/view</t>
        </is>
      </c>
      <c r="E1755">
        <f>HYPERLÄNK("http://localhost:8787/api/admin/requirements/documents/cmm4yuo0n018ecuqwgykqcb0s/view";"Öppna PDF")</f>
        <v/>
      </c>
      <c r="F1755">
        <f>HYPERLINK("http://localhost:8787/api/admin/requirements/documents/cmm4yuo0n018ecuqwgykqcb0s/view","Open PDF")</f>
        <v/>
      </c>
      <c r="G1755" t="inlineStr">
        <is>
          <t>cmm55w57p0004cuisfrtpqly8</t>
        </is>
      </c>
      <c r="H1755" t="inlineStr">
        <is>
          <t>Informationskrav</t>
        </is>
      </c>
      <c r="I1755" t="inlineStr">
        <is>
          <t>DriftEgenkontroll</t>
        </is>
      </c>
      <c r="J1755" t="inlineStr">
        <is>
          <t>Journalforing</t>
        </is>
      </c>
      <c r="K1755" t="inlineStr">
        <is>
          <t>Jordprovtagningskarta bifogas.</t>
        </is>
      </c>
      <c r="L1755" t="inlineStr">
        <is>
          <t>Jordprovtagningskarta bifogas.</t>
        </is>
      </c>
      <c r="M1755" t="inlineStr">
        <is>
          <t>SKA</t>
        </is>
      </c>
      <c r="N1755" t="inlineStr"/>
      <c r="O1755" t="inlineStr"/>
      <c r="P1755" t="inlineStr"/>
      <c r="Q1755" t="inlineStr"/>
      <c r="R1755" t="inlineStr">
        <is>
          <t>Lopande drift</t>
        </is>
      </c>
      <c r="S1755" t="inlineStr"/>
      <c r="T1755" t="inlineStr"/>
      <c r="U1755" t="inlineStr"/>
      <c r="V1755" t="inlineStr"/>
      <c r="W1755" t="inlineStr">
        <is>
          <t>Nej</t>
        </is>
      </c>
      <c r="X1755" t="inlineStr">
        <is>
          <t>Nej</t>
        </is>
      </c>
      <c r="Y1755" t="inlineStr">
        <is>
          <t>Ja</t>
        </is>
      </c>
      <c r="Z1755" t="inlineStr">
        <is>
          <t>Nej</t>
        </is>
      </c>
      <c r="AA1755" t="n">
        <v>7</v>
      </c>
      <c r="AB1755" t="inlineStr">
        <is>
          <t>Egenkontrollrutiner</t>
        </is>
      </c>
      <c r="AC1755" t="inlineStr">
        <is>
          <t>Egenkontrollprogram</t>
        </is>
      </c>
      <c r="AD1755" t="inlineStr">
        <is>
          <t>Nej</t>
        </is>
      </c>
      <c r="AE1755" t="inlineStr">
        <is>
          <t>Nej</t>
        </is>
      </c>
      <c r="AF1755" t="inlineStr">
        <is>
          <t>Ej behandlad</t>
        </is>
      </c>
      <c r="AG1755" t="inlineStr">
        <is>
          <t>AUTO_GENERERAD. Verifiera citat mot kallfil.</t>
        </is>
      </c>
      <c r="AH1755" t="inlineStr">
        <is>
          <t>LOW</t>
        </is>
      </c>
      <c r="AI1755" t="inlineStr">
        <is>
          <t>AUTO</t>
        </is>
      </c>
      <c r="AJ1755" t="inlineStr">
        <is>
          <t>Nej</t>
        </is>
      </c>
      <c r="AK1755" t="inlineStr"/>
      <c r="AL1755" t="inlineStr"/>
      <c r="AM1755" t="inlineStr"/>
      <c r="AN1755" t="inlineStr"/>
      <c r="AO1755" t="inlineStr">
        <is>
          <t>cmm4yuo0n018ecuqwgykqcb0s</t>
        </is>
      </c>
      <c r="AP1755" t="inlineStr">
        <is>
          <t>http://localhost:8787/api/admin/requirements/documents/cmm4yuo0n018ecuqwgykqcb0s/view</t>
        </is>
      </c>
      <c r="AQ1755">
        <f>HYPERLÄNK("http://localhost:8787/api/admin/requirements/documents/cmm4yuo0n018ecuqwgykqcb0s/view";"Öppna PDF")</f>
        <v/>
      </c>
      <c r="AR1755">
        <f>HYPERLINK("http://localhost:8787/api/admin/requirements/documents/cmm4yuo0n018ecuqwgykqcb0s/view","Open PDF")</f>
        <v/>
      </c>
      <c r="AS1755" t="inlineStr">
        <is>
          <t>cmm55w57p0004cuisfrtpqly8</t>
        </is>
      </c>
      <c r="AT1755" t="inlineStr">
        <is>
          <t>cmm4xvu980000cuh4vj0usz09</t>
        </is>
      </c>
      <c r="AU1755" t="inlineStr"/>
      <c r="AV1755" t="inlineStr">
        <is>
          <t>Kommun</t>
        </is>
      </c>
      <c r="AW1755" t="inlineStr"/>
      <c r="AX1755" t="inlineStr">
        <is>
          <t>2004:62</t>
        </is>
      </c>
      <c r="AY1755" t="inlineStr">
        <is>
          <t>Anmalan</t>
        </is>
      </c>
      <c r="AZ1755" t="inlineStr">
        <is>
          <t>2026-02-03</t>
        </is>
      </c>
      <c r="BA1755" t="inlineStr">
        <is>
          <t>2025-12-01 Anmälan (dnr 2025-515).pdf</t>
        </is>
      </c>
      <c r="BB1755" t="inlineStr">
        <is>
          <t>Sv: till registrator - Begäran av allmän handling</t>
        </is>
      </c>
      <c r="BC1755" t="inlineStr">
        <is>
          <t>AUTO</t>
        </is>
      </c>
      <c r="BD1755" t="inlineStr"/>
      <c r="BE1755" t="inlineStr"/>
      <c r="BF1755" t="inlineStr">
        <is>
          <t>AUTO_GENERERAD. Bekrafta metadata mot kallfil.</t>
        </is>
      </c>
      <c r="BG1755">
        <f>HYPERLINK("C:\Users\jimmy\Desktop\Examens arbete\Kod\Ny mapp\remix_-copy-of-miljöbeslut.se-portal\2025-12-01 Anmälan (dnr 2025-515).pdf", "Öppna PDF")</f>
        <v/>
      </c>
    </row>
    <row r="1756">
      <c r="A1756" t="inlineStr">
        <is>
          <t>KRAV-AUTO-001755</t>
        </is>
      </c>
      <c r="B1756" t="inlineStr">
        <is>
          <t>ADMIN-INDEX-2026-02-27-00000000125C043F57453246863FE664CAFE6A3F0700950291EA24F0614FB6ACEDB12BF0E31D00000000010C0000950291EA24F0614FB6ACEDB12BF0E31D00002087AEF80000</t>
        </is>
      </c>
      <c r="C1756" t="inlineStr">
        <is>
          <t>cmm4yuo0n018ecuqwgykqcb0s</t>
        </is>
      </c>
      <c r="D1756" t="inlineStr">
        <is>
          <t>http://localhost:8787/api/admin/requirements/documents/cmm4yuo0n018ecuqwgykqcb0s/view</t>
        </is>
      </c>
      <c r="E1756">
        <f>HYPERLÄNK("http://localhost:8787/api/admin/requirements/documents/cmm4yuo0n018ecuqwgykqcb0s/view";"Öppna PDF")</f>
        <v/>
      </c>
      <c r="F1756">
        <f>HYPERLINK("http://localhost:8787/api/admin/requirements/documents/cmm4yuo0n018ecuqwgykqcb0s/view","Open PDF")</f>
        <v/>
      </c>
      <c r="G1756" t="inlineStr">
        <is>
          <t>cmm55w57p0004cuisfrtpqly8</t>
        </is>
      </c>
      <c r="H1756" t="inlineStr">
        <is>
          <t>Informationskrav</t>
        </is>
      </c>
      <c r="I1756" t="inlineStr">
        <is>
          <t>Ytkonstruktion</t>
        </is>
      </c>
      <c r="J1756" t="inlineStr">
        <is>
          <t>Tat yta</t>
        </is>
      </c>
      <c r="K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56" t="inlineStr">
        <is>
          <t>SKA</t>
        </is>
      </c>
      <c r="N1756" t="inlineStr"/>
      <c r="O1756" t="inlineStr"/>
      <c r="P1756" t="inlineStr"/>
      <c r="Q1756" t="inlineStr"/>
      <c r="R1756" t="inlineStr">
        <is>
          <t>Vid mellanlagring av avfall</t>
        </is>
      </c>
      <c r="S1756" t="inlineStr"/>
      <c r="T1756" t="inlineStr"/>
      <c r="U1756" t="inlineStr"/>
      <c r="V1756" t="inlineStr"/>
      <c r="W1756" t="inlineStr">
        <is>
          <t>Ja</t>
        </is>
      </c>
      <c r="X1756" t="inlineStr">
        <is>
          <t>Nej</t>
        </is>
      </c>
      <c r="Y1756" t="inlineStr">
        <is>
          <t>Nej</t>
        </is>
      </c>
      <c r="Z1756" t="inlineStr">
        <is>
          <t>Nej</t>
        </is>
      </c>
      <c r="AA1756" t="n">
        <v>5</v>
      </c>
      <c r="AB1756" t="inlineStr">
        <is>
          <t>Teknisk beskrivning av platta</t>
        </is>
      </c>
      <c r="AC1756" t="inlineStr">
        <is>
          <t>Teknisk ritning platta</t>
        </is>
      </c>
      <c r="AD1756" t="inlineStr">
        <is>
          <t>Nej</t>
        </is>
      </c>
      <c r="AE1756" t="inlineStr">
        <is>
          <t>Nej</t>
        </is>
      </c>
      <c r="AF1756" t="inlineStr">
        <is>
          <t>Ej behandlad</t>
        </is>
      </c>
      <c r="AG1756" t="inlineStr">
        <is>
          <t>AUTO_GENERERAD. Verifiera citat mot kallfil.</t>
        </is>
      </c>
      <c r="AH1756" t="inlineStr">
        <is>
          <t>MEDIUM</t>
        </is>
      </c>
      <c r="AI1756" t="inlineStr">
        <is>
          <t>AUTO</t>
        </is>
      </c>
      <c r="AJ1756" t="inlineStr">
        <is>
          <t>Nej</t>
        </is>
      </c>
      <c r="AK1756" t="inlineStr"/>
      <c r="AL1756" t="inlineStr"/>
      <c r="AM1756" t="inlineStr"/>
      <c r="AN1756" t="inlineStr"/>
      <c r="AO1756" t="inlineStr">
        <is>
          <t>cmm4yuo0n018ecuqwgykqcb0s</t>
        </is>
      </c>
      <c r="AP1756" t="inlineStr">
        <is>
          <t>http://localhost:8787/api/admin/requirements/documents/cmm4yuo0n018ecuqwgykqcb0s/view</t>
        </is>
      </c>
      <c r="AQ1756">
        <f>HYPERLÄNK("http://localhost:8787/api/admin/requirements/documents/cmm4yuo0n018ecuqwgykqcb0s/view";"Öppna PDF")</f>
        <v/>
      </c>
      <c r="AR1756">
        <f>HYPERLINK("http://localhost:8787/api/admin/requirements/documents/cmm4yuo0n018ecuqwgykqcb0s/view","Open PDF")</f>
        <v/>
      </c>
      <c r="AS1756" t="inlineStr">
        <is>
          <t>cmm55w57p0004cuisfrtpqly8</t>
        </is>
      </c>
      <c r="AT1756" t="inlineStr">
        <is>
          <t>cmm4xvu980000cuh4vj0usz09</t>
        </is>
      </c>
      <c r="AU1756" t="inlineStr"/>
      <c r="AV1756" t="inlineStr">
        <is>
          <t>Kommun</t>
        </is>
      </c>
      <c r="AW1756" t="inlineStr"/>
      <c r="AX1756" t="inlineStr">
        <is>
          <t>2004:62</t>
        </is>
      </c>
      <c r="AY1756" t="inlineStr">
        <is>
          <t>Anmalan</t>
        </is>
      </c>
      <c r="AZ1756" t="inlineStr">
        <is>
          <t>2026-02-03</t>
        </is>
      </c>
      <c r="BA1756" t="inlineStr">
        <is>
          <t>2025-12-01 Anmälan (dnr 2025-515).pdf</t>
        </is>
      </c>
      <c r="BB1756" t="inlineStr">
        <is>
          <t>Sv: till registrator - Begäran av allmän handling</t>
        </is>
      </c>
      <c r="BC1756" t="inlineStr">
        <is>
          <t>AUTO</t>
        </is>
      </c>
      <c r="BD1756" t="inlineStr"/>
      <c r="BE1756" t="inlineStr"/>
      <c r="BF1756" t="inlineStr">
        <is>
          <t>AUTO_GENERERAD. Bekrafta metadata mot kallfil.</t>
        </is>
      </c>
      <c r="BG1756">
        <f>HYPERLINK("C:\Users\jimmy\Desktop\Examens arbete\Kod\Ny mapp\remix_-copy-of-miljöbeslut.se-portal\2025-12-01 Anmälan (dnr 2025-515).pdf", "Öppna PDF")</f>
        <v/>
      </c>
    </row>
    <row r="1757">
      <c r="A1757" t="inlineStr">
        <is>
          <t>KRAV-AUTO-001756</t>
        </is>
      </c>
      <c r="B1757" t="inlineStr">
        <is>
          <t>ADMIN-INDEX-2026-02-27-00000000125C043F57453246863FE664CAFE6A3F0700950291EA24F0614FB6ACEDB12BF0E31D00000000010C0000950291EA24F0614FB6ACEDB12BF0E31D00002087AEF80000</t>
        </is>
      </c>
      <c r="C1757" t="inlineStr">
        <is>
          <t>cmm4yuo0g0188cuqwh77h9gny</t>
        </is>
      </c>
      <c r="D1757" t="inlineStr">
        <is>
          <t>http://localhost:8787/api/admin/requirements/documents/cmm4yuo0g0188cuqwh77h9gny/view</t>
        </is>
      </c>
      <c r="E1757">
        <f>HYPERLÄNK("http://localhost:8787/api/admin/requirements/documents/cmm4yuo0g0188cuqwh77h9gny/view";"Öppna PDF")</f>
        <v/>
      </c>
      <c r="F1757">
        <f>HYPERLINK("http://localhost:8787/api/admin/requirements/documents/cmm4yuo0g0188cuqwh77h9gny/view","Open PDF")</f>
        <v/>
      </c>
      <c r="G1757" t="inlineStr">
        <is>
          <t>cmm55w57p0004cuisfrtpqly8</t>
        </is>
      </c>
      <c r="H1757" t="inlineStr">
        <is>
          <t>Beslutsvillkor</t>
        </is>
      </c>
      <c r="I1757" t="inlineStr">
        <is>
          <t>Riskhantering</t>
        </is>
      </c>
      <c r="J1757" t="inlineStr">
        <is>
          <t>Riskkontroll</t>
        </is>
      </c>
      <c r="K1757" t="inlineStr">
        <is>
          <t>Resultatet av undersökningar och bedömningar skall dokumenteras.” Riskbedömningen, Bilaga 1, innehåller information som beskriver;</t>
        </is>
      </c>
      <c r="L1757" t="inlineStr">
        <is>
          <t>Resultatet av undersökningar och bedömningar skall dokumenteras.” Riskbedömningen, Bilaga 1, innehåller information som beskriver;</t>
        </is>
      </c>
      <c r="M1757" t="inlineStr">
        <is>
          <t>SKA</t>
        </is>
      </c>
      <c r="N1757" t="inlineStr"/>
      <c r="O1757" t="inlineStr"/>
      <c r="P1757" t="inlineStr"/>
      <c r="Q1757" t="inlineStr"/>
      <c r="R1757" t="inlineStr">
        <is>
          <t>Vid risk for incident</t>
        </is>
      </c>
      <c r="S1757" t="inlineStr"/>
      <c r="T1757" t="inlineStr">
        <is>
          <t>559131</t>
        </is>
      </c>
      <c r="U1757" t="inlineStr"/>
      <c r="V1757" t="inlineStr"/>
      <c r="W1757" t="inlineStr">
        <is>
          <t>Nej</t>
        </is>
      </c>
      <c r="X1757" t="inlineStr">
        <is>
          <t>Nej</t>
        </is>
      </c>
      <c r="Y1757" t="inlineStr">
        <is>
          <t>Ja</t>
        </is>
      </c>
      <c r="Z1757" t="inlineStr">
        <is>
          <t>Ja</t>
        </is>
      </c>
      <c r="AA1757" t="n">
        <v>8</v>
      </c>
      <c r="AB1757" t="inlineStr">
        <is>
          <t>Riskhantering</t>
        </is>
      </c>
      <c r="AC1757" t="inlineStr">
        <is>
          <t>Risk-PM</t>
        </is>
      </c>
      <c r="AD1757" t="inlineStr">
        <is>
          <t>Nej</t>
        </is>
      </c>
      <c r="AE1757" t="inlineStr">
        <is>
          <t>Nej</t>
        </is>
      </c>
      <c r="AF1757" t="inlineStr">
        <is>
          <t>Ej behandlad</t>
        </is>
      </c>
      <c r="AG1757" t="inlineStr">
        <is>
          <t>AUTO_GENERERAD. Verifiera citat mot kallfil.</t>
        </is>
      </c>
      <c r="AH1757" t="inlineStr">
        <is>
          <t>MEDIUM</t>
        </is>
      </c>
      <c r="AI1757" t="inlineStr">
        <is>
          <t>AUTO</t>
        </is>
      </c>
      <c r="AJ1757" t="inlineStr">
        <is>
          <t>Nej</t>
        </is>
      </c>
      <c r="AK1757" t="inlineStr"/>
      <c r="AL1757" t="inlineStr"/>
      <c r="AM1757" t="inlineStr"/>
      <c r="AN1757" t="inlineStr"/>
      <c r="AO1757" t="inlineStr">
        <is>
          <t>cmm4yuo0n018ecuqwgykqcb0s</t>
        </is>
      </c>
      <c r="AP1757" t="inlineStr">
        <is>
          <t>http://localhost:8787/api/admin/requirements/documents/cmm4yuo0n018ecuqwgykqcb0s/view</t>
        </is>
      </c>
      <c r="AQ1757">
        <f>HYPERLÄNK("http://localhost:8787/api/admin/requirements/documents/cmm4yuo0n018ecuqwgykqcb0s/view";"Öppna PDF")</f>
        <v/>
      </c>
      <c r="AR1757">
        <f>HYPERLINK("http://localhost:8787/api/admin/requirements/documents/cmm4yuo0n018ecuqwgykqcb0s/view","Open PDF")</f>
        <v/>
      </c>
      <c r="AS1757" t="inlineStr">
        <is>
          <t>cmm55w57p0004cuisfrtpqly8</t>
        </is>
      </c>
      <c r="AT1757" t="inlineStr">
        <is>
          <t>cmm4xvu980000cuh4vj0usz09</t>
        </is>
      </c>
      <c r="AU1757" t="inlineStr"/>
      <c r="AV1757" t="inlineStr">
        <is>
          <t>Kommun</t>
        </is>
      </c>
      <c r="AW1757" t="inlineStr"/>
      <c r="AX1757" t="inlineStr">
        <is>
          <t>2004:62</t>
        </is>
      </c>
      <c r="AY1757" t="inlineStr">
        <is>
          <t>Anmalan</t>
        </is>
      </c>
      <c r="AZ1757" t="inlineStr">
        <is>
          <t>2026-02-03</t>
        </is>
      </c>
      <c r="BA1757" t="inlineStr">
        <is>
          <t>2025-12-01 Anmälan (dnr 2025-515).pdf</t>
        </is>
      </c>
      <c r="BB1757" t="inlineStr">
        <is>
          <t>Sv: till registrator - Begäran av allmän handling</t>
        </is>
      </c>
      <c r="BC1757" t="inlineStr">
        <is>
          <t>AUTO</t>
        </is>
      </c>
      <c r="BD1757" t="inlineStr"/>
      <c r="BE1757" t="inlineStr"/>
      <c r="BF1757" t="inlineStr">
        <is>
          <t>AUTO_GENERERAD. Bekrafta metadata mot kallfil.</t>
        </is>
      </c>
      <c r="BG1757">
        <f>HYPERLINK("C:\Users\jimmy\Desktop\Examens arbete\Kod\Ny mapp\remix_-copy-of-miljöbeslut.se-portal\2025-12-01 Anmälan (dnr 2025-515).pdf", "Öppna PDF")</f>
        <v/>
      </c>
    </row>
    <row r="1758">
      <c r="A1758" t="inlineStr">
        <is>
          <t>KRAV-AUTO-001757</t>
        </is>
      </c>
      <c r="B1758" t="inlineStr">
        <is>
          <t>ADMIN-INDEX-2026-02-27-00000000125C043F57453246863FE664CAFE6A3F0700950291EA24F0614FB6ACEDB12BF0E31D00000000010C0000950291EA24F0614FB6ACEDB12BF0E31D00002087AEF80000</t>
        </is>
      </c>
      <c r="C1758" t="inlineStr">
        <is>
          <t>cmm4yuo0g0188cuqwh77h9gny</t>
        </is>
      </c>
      <c r="D1758" t="inlineStr">
        <is>
          <t>http://localhost:8787/api/admin/requirements/documents/cmm4yuo0g0188cuqwh77h9gny/view</t>
        </is>
      </c>
      <c r="E1758">
        <f>HYPERLÄNK("http://localhost:8787/api/admin/requirements/documents/cmm4yuo0g0188cuqwh77h9gny/view";"Öppna PDF")</f>
        <v/>
      </c>
      <c r="F1758">
        <f>HYPERLINK("http://localhost:8787/api/admin/requirements/documents/cmm4yuo0g0188cuqwh77h9gny/view","Open PDF")</f>
        <v/>
      </c>
      <c r="G1758" t="inlineStr">
        <is>
          <t>cmm55w57p0004cuisfrtpqly8</t>
        </is>
      </c>
      <c r="H1758" t="inlineStr">
        <is>
          <t>Beslutsvillkor</t>
        </is>
      </c>
      <c r="I1758" t="inlineStr">
        <is>
          <t>Riskhantering</t>
        </is>
      </c>
      <c r="J1758" t="inlineStr">
        <is>
          <t>Riskkontroll</t>
        </is>
      </c>
      <c r="K1758" t="inlineStr">
        <is>
          <t>6 §, 1 stycke Enligt 6 §, första stycket: ”Verksamhetsutövaren skall fortlöpande och systematiskt undersöka och bedöma riskerna med verksamheten från hälso- och miljösynpunkt.</t>
        </is>
      </c>
      <c r="L1758" t="inlineStr">
        <is>
          <t>6 §, 1 stycke Enligt 6 §, första stycket: ”Verksamhetsutövaren skall fortlöpande och systematiskt undersöka och bedöma riskerna med verksamheten från hälso- och miljösynpunkt.</t>
        </is>
      </c>
      <c r="M1758" t="inlineStr">
        <is>
          <t>SKA</t>
        </is>
      </c>
      <c r="N1758" t="inlineStr"/>
      <c r="O1758" t="inlineStr"/>
      <c r="P1758" t="inlineStr">
        <is>
          <t>Lopande</t>
        </is>
      </c>
      <c r="Q1758" t="inlineStr"/>
      <c r="R1758" t="inlineStr">
        <is>
          <t>Vid risk for incident</t>
        </is>
      </c>
      <c r="S1758" t="inlineStr"/>
      <c r="T1758" t="inlineStr">
        <is>
          <t>559131</t>
        </is>
      </c>
      <c r="U1758" t="inlineStr"/>
      <c r="V1758" t="inlineStr"/>
      <c r="W1758" t="inlineStr">
        <is>
          <t>Nej</t>
        </is>
      </c>
      <c r="X1758" t="inlineStr">
        <is>
          <t>Nej</t>
        </is>
      </c>
      <c r="Y1758" t="inlineStr">
        <is>
          <t>Ja</t>
        </is>
      </c>
      <c r="Z1758" t="inlineStr">
        <is>
          <t>Ja</t>
        </is>
      </c>
      <c r="AA1758" t="n">
        <v>8</v>
      </c>
      <c r="AB1758" t="inlineStr">
        <is>
          <t>Riskhantering</t>
        </is>
      </c>
      <c r="AC1758" t="inlineStr">
        <is>
          <t>Risk-PM</t>
        </is>
      </c>
      <c r="AD1758" t="inlineStr">
        <is>
          <t>Nej</t>
        </is>
      </c>
      <c r="AE1758" t="inlineStr">
        <is>
          <t>Nej</t>
        </is>
      </c>
      <c r="AF1758" t="inlineStr">
        <is>
          <t>Ej behandlad</t>
        </is>
      </c>
      <c r="AG1758" t="inlineStr">
        <is>
          <t>AUTO_GENERERAD. Verifiera citat mot kallfil.</t>
        </is>
      </c>
      <c r="AH1758" t="inlineStr">
        <is>
          <t>MEDIUM</t>
        </is>
      </c>
      <c r="AI1758" t="inlineStr">
        <is>
          <t>AUTO</t>
        </is>
      </c>
      <c r="AJ1758" t="inlineStr">
        <is>
          <t>Nej</t>
        </is>
      </c>
      <c r="AK1758" t="inlineStr"/>
      <c r="AL1758" t="inlineStr"/>
      <c r="AM1758" t="inlineStr"/>
      <c r="AN1758" t="inlineStr"/>
      <c r="AO1758" t="inlineStr">
        <is>
          <t>cmm4yuo0n018ecuqwgykqcb0s</t>
        </is>
      </c>
      <c r="AP1758" t="inlineStr">
        <is>
          <t>http://localhost:8787/api/admin/requirements/documents/cmm4yuo0n018ecuqwgykqcb0s/view</t>
        </is>
      </c>
      <c r="AQ1758">
        <f>HYPERLÄNK("http://localhost:8787/api/admin/requirements/documents/cmm4yuo0n018ecuqwgykqcb0s/view";"Öppna PDF")</f>
        <v/>
      </c>
      <c r="AR1758">
        <f>HYPERLINK("http://localhost:8787/api/admin/requirements/documents/cmm4yuo0n018ecuqwgykqcb0s/view","Open PDF")</f>
        <v/>
      </c>
      <c r="AS1758" t="inlineStr">
        <is>
          <t>cmm55w57p0004cuisfrtpqly8</t>
        </is>
      </c>
      <c r="AT1758" t="inlineStr">
        <is>
          <t>cmm4xvu980000cuh4vj0usz09</t>
        </is>
      </c>
      <c r="AU1758" t="inlineStr"/>
      <c r="AV1758" t="inlineStr">
        <is>
          <t>Kommun</t>
        </is>
      </c>
      <c r="AW1758" t="inlineStr"/>
      <c r="AX1758" t="inlineStr">
        <is>
          <t>2004:62</t>
        </is>
      </c>
      <c r="AY1758" t="inlineStr">
        <is>
          <t>Anmalan</t>
        </is>
      </c>
      <c r="AZ1758" t="inlineStr">
        <is>
          <t>2026-02-03</t>
        </is>
      </c>
      <c r="BA1758" t="inlineStr">
        <is>
          <t>2025-12-01 Anmälan (dnr 2025-515).pdf</t>
        </is>
      </c>
      <c r="BB1758" t="inlineStr">
        <is>
          <t>Sv: till registrator - Begäran av allmän handling</t>
        </is>
      </c>
      <c r="BC1758" t="inlineStr">
        <is>
          <t>AUTO</t>
        </is>
      </c>
      <c r="BD1758" t="inlineStr"/>
      <c r="BE1758" t="inlineStr"/>
      <c r="BF1758" t="inlineStr">
        <is>
          <t>AUTO_GENERERAD. Bekrafta metadata mot kallfil.</t>
        </is>
      </c>
      <c r="BG1758">
        <f>HYPERLINK("C:\Users\jimmy\Desktop\Examens arbete\Kod\Ny mapp\remix_-copy-of-miljöbeslut.se-portal\2025-12-01 Anmälan (dnr 2025-515).pdf", "Öppna PDF")</f>
        <v/>
      </c>
    </row>
    <row r="1759">
      <c r="A1759" t="inlineStr">
        <is>
          <t>KRAV-AUTO-001758</t>
        </is>
      </c>
      <c r="B1759" t="inlineStr">
        <is>
          <t>ADMIN-INDEX-2026-02-27-00000000125C043F57453246863FE664CAFE6A3F0700950291EA24F0614FB6ACEDB12BF0E31D00000000010C0000950291EA24F0614FB6ACEDB12BF0E31D00002087AEF80000</t>
        </is>
      </c>
      <c r="C1759" t="inlineStr">
        <is>
          <t>cmm4yuo0g0188cuqwh77h9gny</t>
        </is>
      </c>
      <c r="D1759" t="inlineStr">
        <is>
          <t>http://localhost:8787/api/admin/requirements/documents/cmm4yuo0g0188cuqwh77h9gny/view</t>
        </is>
      </c>
      <c r="E1759">
        <f>HYPERLÄNK("http://localhost:8787/api/admin/requirements/documents/cmm4yuo0g0188cuqwh77h9gny/view";"Öppna PDF")</f>
        <v/>
      </c>
      <c r="F1759">
        <f>HYPERLINK("http://localhost:8787/api/admin/requirements/documents/cmm4yuo0g0188cuqwh77h9gny/view","Open PDF")</f>
        <v/>
      </c>
      <c r="G1759" t="inlineStr">
        <is>
          <t>cmm55w57p0004cuisfrtpqly8</t>
        </is>
      </c>
      <c r="H1759" t="inlineStr">
        <is>
          <t>Beslutsvillkor</t>
        </is>
      </c>
      <c r="I1759" t="inlineStr">
        <is>
          <t>Riskhantering</t>
        </is>
      </c>
      <c r="J1759" t="inlineStr">
        <is>
          <t>Riskkontroll</t>
        </is>
      </c>
      <c r="K1759" t="inlineStr">
        <is>
          <t>7 § Enligt 7 §: ”Verksamhetsutövaren skall förteckna de kemiska produkter samt biotekniska organismer som hanteras inom verksamheten och som kan innebära risker från hälso- eller miljösynpunkt.</t>
        </is>
      </c>
      <c r="L1759" t="inlineStr">
        <is>
          <t>7 § Enligt 7 §: ”Verksamhetsutövaren skall förteckna de kemiska produkter samt biotekniska organismer som hanteras inom verksamheten och som kan innebära risker från hälso- eller miljösynpunkt.</t>
        </is>
      </c>
      <c r="M1759" t="inlineStr">
        <is>
          <t>SKA</t>
        </is>
      </c>
      <c r="N1759" t="inlineStr"/>
      <c r="O1759" t="inlineStr"/>
      <c r="P1759" t="inlineStr"/>
      <c r="Q1759" t="inlineStr"/>
      <c r="R1759" t="inlineStr">
        <is>
          <t>Vid risk for incident</t>
        </is>
      </c>
      <c r="S1759" t="inlineStr"/>
      <c r="T1759" t="inlineStr">
        <is>
          <t>559131</t>
        </is>
      </c>
      <c r="U1759" t="inlineStr"/>
      <c r="V1759" t="inlineStr"/>
      <c r="W1759" t="inlineStr">
        <is>
          <t>Nej</t>
        </is>
      </c>
      <c r="X1759" t="inlineStr">
        <is>
          <t>Nej</t>
        </is>
      </c>
      <c r="Y1759" t="inlineStr">
        <is>
          <t>Ja</t>
        </is>
      </c>
      <c r="Z1759" t="inlineStr">
        <is>
          <t>Ja</t>
        </is>
      </c>
      <c r="AA1759" t="n">
        <v>8</v>
      </c>
      <c r="AB1759" t="inlineStr">
        <is>
          <t>Riskhantering</t>
        </is>
      </c>
      <c r="AC1759" t="inlineStr">
        <is>
          <t>Risk-PM</t>
        </is>
      </c>
      <c r="AD1759" t="inlineStr">
        <is>
          <t>Nej</t>
        </is>
      </c>
      <c r="AE1759" t="inlineStr">
        <is>
          <t>Nej</t>
        </is>
      </c>
      <c r="AF1759" t="inlineStr">
        <is>
          <t>Ej behandlad</t>
        </is>
      </c>
      <c r="AG1759" t="inlineStr">
        <is>
          <t>AUTO_GENERERAD. Verifiera citat mot kallfil.</t>
        </is>
      </c>
      <c r="AH1759" t="inlineStr">
        <is>
          <t>MEDIUM</t>
        </is>
      </c>
      <c r="AI1759" t="inlineStr">
        <is>
          <t>AUTO</t>
        </is>
      </c>
      <c r="AJ1759" t="inlineStr">
        <is>
          <t>Nej</t>
        </is>
      </c>
      <c r="AK1759" t="inlineStr"/>
      <c r="AL1759" t="inlineStr"/>
      <c r="AM1759" t="inlineStr"/>
      <c r="AN1759" t="inlineStr"/>
      <c r="AO1759" t="inlineStr">
        <is>
          <t>cmm4yuo0n018ecuqwgykqcb0s</t>
        </is>
      </c>
      <c r="AP1759" t="inlineStr">
        <is>
          <t>http://localhost:8787/api/admin/requirements/documents/cmm4yuo0n018ecuqwgykqcb0s/view</t>
        </is>
      </c>
      <c r="AQ1759">
        <f>HYPERLÄNK("http://localhost:8787/api/admin/requirements/documents/cmm4yuo0n018ecuqwgykqcb0s/view";"Öppna PDF")</f>
        <v/>
      </c>
      <c r="AR1759">
        <f>HYPERLINK("http://localhost:8787/api/admin/requirements/documents/cmm4yuo0n018ecuqwgykqcb0s/view","Open PDF")</f>
        <v/>
      </c>
      <c r="AS1759" t="inlineStr">
        <is>
          <t>cmm55w57p0004cuisfrtpqly8</t>
        </is>
      </c>
      <c r="AT1759" t="inlineStr">
        <is>
          <t>cmm4xvu980000cuh4vj0usz09</t>
        </is>
      </c>
      <c r="AU1759" t="inlineStr"/>
      <c r="AV1759" t="inlineStr">
        <is>
          <t>Kommun</t>
        </is>
      </c>
      <c r="AW1759" t="inlineStr"/>
      <c r="AX1759" t="inlineStr">
        <is>
          <t>2004:62</t>
        </is>
      </c>
      <c r="AY1759" t="inlineStr">
        <is>
          <t>Anmalan</t>
        </is>
      </c>
      <c r="AZ1759" t="inlineStr">
        <is>
          <t>2026-02-03</t>
        </is>
      </c>
      <c r="BA1759" t="inlineStr">
        <is>
          <t>2025-12-01 Anmälan (dnr 2025-515).pdf</t>
        </is>
      </c>
      <c r="BB1759" t="inlineStr">
        <is>
          <t>Sv: till registrator - Begäran av allmän handling</t>
        </is>
      </c>
      <c r="BC1759" t="inlineStr">
        <is>
          <t>AUTO</t>
        </is>
      </c>
      <c r="BD1759" t="inlineStr"/>
      <c r="BE1759" t="inlineStr"/>
      <c r="BF1759" t="inlineStr">
        <is>
          <t>AUTO_GENERERAD. Bekrafta metadata mot kallfil.</t>
        </is>
      </c>
      <c r="BG1759">
        <f>HYPERLINK("C:\Users\jimmy\Desktop\Examens arbete\Kod\Ny mapp\remix_-copy-of-miljöbeslut.se-portal\2025-12-01 Anmälan (dnr 2025-515).pdf", "Öppna PDF")</f>
        <v/>
      </c>
    </row>
    <row r="1760">
      <c r="A1760" t="inlineStr">
        <is>
          <t>KRAV-AUTO-001759</t>
        </is>
      </c>
      <c r="B1760" t="inlineStr">
        <is>
          <t>ADMIN-INDEX-2026-02-27-00000000125C043F57453246863FE664CAFE6A3F0700950291EA24F0614FB6ACEDB12BF0E31D00000000010C0000950291EA24F0614FB6ACEDB12BF0E31D00002087AEF80000</t>
        </is>
      </c>
      <c r="C1760" t="inlineStr">
        <is>
          <t>cmm4yuo0d0185cuqw6nugyji9</t>
        </is>
      </c>
      <c r="D1760" t="inlineStr">
        <is>
          <t>http://localhost:8787/api/admin/requirements/documents/cmm4yuo0d0185cuqw6nugyji9/view</t>
        </is>
      </c>
      <c r="E1760">
        <f>HYPERLÄNK("http://localhost:8787/api/admin/requirements/documents/cmm4yuo0d0185cuqw6nugyji9/view";"Öppna PDF")</f>
        <v/>
      </c>
      <c r="F1760">
        <f>HYPERLINK("http://localhost:8787/api/admin/requirements/documents/cmm4yuo0d0185cuqw6nugyji9/view","Open PDF")</f>
        <v/>
      </c>
      <c r="G1760" t="inlineStr">
        <is>
          <t>cmm55w57p0004cuisfrtpqly8</t>
        </is>
      </c>
      <c r="H1760" t="inlineStr">
        <is>
          <t>Beslutsvillkor</t>
        </is>
      </c>
      <c r="I1760" t="inlineStr">
        <is>
          <t>Riskhantering</t>
        </is>
      </c>
      <c r="J1760" t="inlineStr">
        <is>
          <t>Riskkontroll</t>
        </is>
      </c>
      <c r="K1760" t="inlineStr">
        <is>
          <t>Utrustning Kontroll- period Ansvarig Senast kontrollerad Avvikelse Kontroll av lagringsplatsen Lagring ska ske så att risk för läckage av näringsämnen minimeras En gång per halvår Kundansvari g XXXX-XX-XX ?</t>
        </is>
      </c>
      <c r="L1760" t="inlineStr">
        <is>
          <t>Utrustning Kontroll- period Ansvarig Senast kontrollerad Avvikelse Kontroll av lagringsplatsen Lagring ska ske så att risk för läckage av näringsämnen minimeras En gång per halvår Kundansvari g XXXX-XX-XX ?</t>
        </is>
      </c>
      <c r="M1760" t="inlineStr">
        <is>
          <t>SKA</t>
        </is>
      </c>
      <c r="N1760" t="inlineStr"/>
      <c r="O1760" t="inlineStr">
        <is>
          <t>senast kontrollerad avvikelse kontrol</t>
        </is>
      </c>
      <c r="P1760" t="inlineStr"/>
      <c r="Q1760" t="inlineStr"/>
      <c r="R1760" t="inlineStr">
        <is>
          <t>Vid risk for incident</t>
        </is>
      </c>
      <c r="S1760" t="inlineStr"/>
      <c r="T1760" t="inlineStr"/>
      <c r="U1760" t="inlineStr"/>
      <c r="V1760" t="inlineStr"/>
      <c r="W1760" t="inlineStr">
        <is>
          <t>Nej</t>
        </is>
      </c>
      <c r="X1760" t="inlineStr">
        <is>
          <t>Nej</t>
        </is>
      </c>
      <c r="Y1760" t="inlineStr">
        <is>
          <t>Ja</t>
        </is>
      </c>
      <c r="Z1760" t="inlineStr">
        <is>
          <t>Ja</t>
        </is>
      </c>
      <c r="AA1760" t="n">
        <v>8</v>
      </c>
      <c r="AB1760" t="inlineStr">
        <is>
          <t>Riskhantering</t>
        </is>
      </c>
      <c r="AC1760" t="inlineStr">
        <is>
          <t>Risk-PM</t>
        </is>
      </c>
      <c r="AD1760" t="inlineStr">
        <is>
          <t>Nej</t>
        </is>
      </c>
      <c r="AE1760" t="inlineStr">
        <is>
          <t>Nej</t>
        </is>
      </c>
      <c r="AF1760" t="inlineStr">
        <is>
          <t>Ej behandlad</t>
        </is>
      </c>
      <c r="AG1760" t="inlineStr">
        <is>
          <t>AUTO_GENERERAD. Verifiera citat mot kallfil.</t>
        </is>
      </c>
      <c r="AH1760" t="inlineStr">
        <is>
          <t>MEDIUM</t>
        </is>
      </c>
      <c r="AI1760" t="inlineStr">
        <is>
          <t>AUTO</t>
        </is>
      </c>
      <c r="AJ1760" t="inlineStr">
        <is>
          <t>Nej</t>
        </is>
      </c>
      <c r="AK1760" t="inlineStr"/>
      <c r="AL1760" t="inlineStr"/>
      <c r="AM1760" t="inlineStr"/>
      <c r="AN1760" t="inlineStr"/>
      <c r="AO1760" t="inlineStr">
        <is>
          <t>cmm4yuo0n018ecuqwgykqcb0s</t>
        </is>
      </c>
      <c r="AP1760" t="inlineStr">
        <is>
          <t>http://localhost:8787/api/admin/requirements/documents/cmm4yuo0n018ecuqwgykqcb0s/view</t>
        </is>
      </c>
      <c r="AQ1760">
        <f>HYPERLÄNK("http://localhost:8787/api/admin/requirements/documents/cmm4yuo0n018ecuqwgykqcb0s/view";"Öppna PDF")</f>
        <v/>
      </c>
      <c r="AR1760">
        <f>HYPERLINK("http://localhost:8787/api/admin/requirements/documents/cmm4yuo0n018ecuqwgykqcb0s/view","Open PDF")</f>
        <v/>
      </c>
      <c r="AS1760" t="inlineStr">
        <is>
          <t>cmm55w57p0004cuisfrtpqly8</t>
        </is>
      </c>
      <c r="AT1760" t="inlineStr">
        <is>
          <t>cmm4xvu980000cuh4vj0usz09</t>
        </is>
      </c>
      <c r="AU1760" t="inlineStr"/>
      <c r="AV1760" t="inlineStr">
        <is>
          <t>Kommun</t>
        </is>
      </c>
      <c r="AW1760" t="inlineStr"/>
      <c r="AX1760" t="inlineStr">
        <is>
          <t>2004:62</t>
        </is>
      </c>
      <c r="AY1760" t="inlineStr">
        <is>
          <t>Anmalan</t>
        </is>
      </c>
      <c r="AZ1760" t="inlineStr">
        <is>
          <t>2026-02-03</t>
        </is>
      </c>
      <c r="BA1760" t="inlineStr">
        <is>
          <t>2025-12-01 Anmälan (dnr 2025-515).pdf</t>
        </is>
      </c>
      <c r="BB1760" t="inlineStr">
        <is>
          <t>Sv: till registrator - Begäran av allmän handling</t>
        </is>
      </c>
      <c r="BC1760" t="inlineStr">
        <is>
          <t>AUTO</t>
        </is>
      </c>
      <c r="BD1760" t="inlineStr"/>
      <c r="BE1760" t="inlineStr"/>
      <c r="BF1760" t="inlineStr">
        <is>
          <t>AUTO_GENERERAD. Bekrafta metadata mot kallfil.</t>
        </is>
      </c>
      <c r="BG1760">
        <f>HYPERLINK("C:\Users\jimmy\Desktop\Examens arbete\Kod\Ny mapp\remix_-copy-of-miljöbeslut.se-portal\2025-12-01 Anmälan (dnr 2025-515).pdf", "Öppna PDF")</f>
        <v/>
      </c>
    </row>
    <row r="1761">
      <c r="A1761" t="inlineStr">
        <is>
          <t>KRAV-AUTO-001760</t>
        </is>
      </c>
      <c r="B1761" t="inlineStr">
        <is>
          <t>ADMIN-INDEX-2026-02-27-00000000125C043F57453246863FE664CAFE6A3F0700950291EA24F0614FB6ACEDB12BF0E31D00000000010C0000950291EA24F0614FB6ACEDB12BF0E31D00002087AEF80000</t>
        </is>
      </c>
      <c r="C1761" t="inlineStr">
        <is>
          <t>cmm4yunzu017qcuqwyrj6lr3a</t>
        </is>
      </c>
      <c r="D1761" t="inlineStr">
        <is>
          <t>http://localhost:8787/api/admin/requirements/documents/cmm4yunzu017qcuqwyrj6lr3a/view</t>
        </is>
      </c>
      <c r="E1761">
        <f>HYPERLÄNK("http://localhost:8787/api/admin/requirements/documents/cmm4yunzu017qcuqwyrj6lr3a/view";"Öppna PDF")</f>
        <v/>
      </c>
      <c r="F1761">
        <f>HYPERLINK("http://localhost:8787/api/admin/requirements/documents/cmm4yunzu017qcuqwyrj6lr3a/view","Open PDF")</f>
        <v/>
      </c>
      <c r="G1761" t="inlineStr">
        <is>
          <t>cmm55w57p0004cuisfrtpqly8</t>
        </is>
      </c>
      <c r="H1761" t="inlineStr">
        <is>
          <t>Beslutsvillkor</t>
        </is>
      </c>
      <c r="I1761" t="inlineStr">
        <is>
          <t>Riskhantering</t>
        </is>
      </c>
      <c r="J1761" t="inlineStr">
        <is>
          <t>Riskkontroll</t>
        </is>
      </c>
      <c r="K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61" t="inlineStr">
        <is>
          <t>SKA</t>
        </is>
      </c>
      <c r="N1761" t="inlineStr">
        <is>
          <t>Miljobalken</t>
        </is>
      </c>
      <c r="O1761" t="inlineStr"/>
      <c r="P1761" t="inlineStr"/>
      <c r="Q1761" t="inlineStr"/>
      <c r="R1761" t="inlineStr">
        <is>
          <t>Vid risk for incident</t>
        </is>
      </c>
      <c r="S1761" t="inlineStr"/>
      <c r="T1761" t="inlineStr"/>
      <c r="U1761" t="inlineStr"/>
      <c r="V1761" t="inlineStr"/>
      <c r="W1761" t="inlineStr">
        <is>
          <t>Nej</t>
        </is>
      </c>
      <c r="X1761" t="inlineStr">
        <is>
          <t>Nej</t>
        </is>
      </c>
      <c r="Y1761" t="inlineStr">
        <is>
          <t>Ja</t>
        </is>
      </c>
      <c r="Z1761" t="inlineStr">
        <is>
          <t>Ja</t>
        </is>
      </c>
      <c r="AA1761" t="n">
        <v>8</v>
      </c>
      <c r="AB1761" t="inlineStr">
        <is>
          <t>Riskhantering</t>
        </is>
      </c>
      <c r="AC1761" t="inlineStr">
        <is>
          <t>Risk-PM</t>
        </is>
      </c>
      <c r="AD1761" t="inlineStr">
        <is>
          <t>Nej</t>
        </is>
      </c>
      <c r="AE1761" t="inlineStr">
        <is>
          <t>Nej</t>
        </is>
      </c>
      <c r="AF1761" t="inlineStr">
        <is>
          <t>Ej behandlad</t>
        </is>
      </c>
      <c r="AG1761" t="inlineStr">
        <is>
          <t>AUTO_GENERERAD. Verifiera citat mot kallfil.</t>
        </is>
      </c>
      <c r="AH1761" t="inlineStr">
        <is>
          <t>HIGH</t>
        </is>
      </c>
      <c r="AI1761" t="inlineStr">
        <is>
          <t>AUTO</t>
        </is>
      </c>
      <c r="AJ1761" t="inlineStr">
        <is>
          <t>Nej</t>
        </is>
      </c>
      <c r="AK1761" t="inlineStr"/>
      <c r="AL1761" t="inlineStr"/>
      <c r="AM1761" t="inlineStr"/>
      <c r="AN1761" t="inlineStr"/>
      <c r="AO1761" t="inlineStr">
        <is>
          <t>cmm4yuo0n018ecuqwgykqcb0s</t>
        </is>
      </c>
      <c r="AP1761" t="inlineStr">
        <is>
          <t>http://localhost:8787/api/admin/requirements/documents/cmm4yuo0n018ecuqwgykqcb0s/view</t>
        </is>
      </c>
      <c r="AQ1761">
        <f>HYPERLÄNK("http://localhost:8787/api/admin/requirements/documents/cmm4yuo0n018ecuqwgykqcb0s/view";"Öppna PDF")</f>
        <v/>
      </c>
      <c r="AR1761">
        <f>HYPERLINK("http://localhost:8787/api/admin/requirements/documents/cmm4yuo0n018ecuqwgykqcb0s/view","Open PDF")</f>
        <v/>
      </c>
      <c r="AS1761" t="inlineStr">
        <is>
          <t>cmm55w57p0004cuisfrtpqly8</t>
        </is>
      </c>
      <c r="AT1761" t="inlineStr">
        <is>
          <t>cmm4xvu980000cuh4vj0usz09</t>
        </is>
      </c>
      <c r="AU1761" t="inlineStr"/>
      <c r="AV1761" t="inlineStr">
        <is>
          <t>Kommun</t>
        </is>
      </c>
      <c r="AW1761" t="inlineStr"/>
      <c r="AX1761" t="inlineStr">
        <is>
          <t>2004:62</t>
        </is>
      </c>
      <c r="AY1761" t="inlineStr">
        <is>
          <t>Anmalan</t>
        </is>
      </c>
      <c r="AZ1761" t="inlineStr">
        <is>
          <t>2026-02-03</t>
        </is>
      </c>
      <c r="BA1761" t="inlineStr">
        <is>
          <t>2025-12-01 Anmälan (dnr 2025-515).pdf</t>
        </is>
      </c>
      <c r="BB1761" t="inlineStr">
        <is>
          <t>Sv: till registrator - Begäran av allmän handling</t>
        </is>
      </c>
      <c r="BC1761" t="inlineStr">
        <is>
          <t>AUTO</t>
        </is>
      </c>
      <c r="BD1761" t="inlineStr"/>
      <c r="BE1761" t="inlineStr"/>
      <c r="BF1761" t="inlineStr">
        <is>
          <t>AUTO_GENERERAD. Bekrafta metadata mot kallfil.</t>
        </is>
      </c>
      <c r="BG1761">
        <f>HYPERLINK("C:\Users\jimmy\Desktop\Examens arbete\Kod\Ny mapp\remix_-copy-of-miljöbeslut.se-portal\2025-12-01 Anmälan (dnr 2025-515).pdf", "Öppna PDF")</f>
        <v/>
      </c>
    </row>
    <row r="1762">
      <c r="A1762" t="inlineStr">
        <is>
          <t>KRAV-AUTO-001761</t>
        </is>
      </c>
      <c r="B1762" t="inlineStr">
        <is>
          <t>ADMIN-INDEX-2026-02-27-00000000125C043F57453246863FE664CAFE6A3F0700950291EA24F0614FB6ACEDB12BF0E31D00000000010C0000950291EA24F0614FB6ACEDB12BF0E31D00002087AEF80000</t>
        </is>
      </c>
      <c r="C1762" t="inlineStr">
        <is>
          <t>cmm4yunzu017qcuqwyrj6lr3a</t>
        </is>
      </c>
      <c r="D1762" t="inlineStr">
        <is>
          <t>http://localhost:8787/api/admin/requirements/documents/cmm4yunzu017qcuqwyrj6lr3a/view</t>
        </is>
      </c>
      <c r="E1762">
        <f>HYPERLÄNK("http://localhost:8787/api/admin/requirements/documents/cmm4yunzu017qcuqwyrj6lr3a/view";"Öppna PDF")</f>
        <v/>
      </c>
      <c r="F1762">
        <f>HYPERLINK("http://localhost:8787/api/admin/requirements/documents/cmm4yunzu017qcuqwyrj6lr3a/view","Open PDF")</f>
        <v/>
      </c>
      <c r="G1762" t="inlineStr">
        <is>
          <t>cmm55w57p0004cuisfrtpqly8</t>
        </is>
      </c>
      <c r="H1762" t="inlineStr">
        <is>
          <t>Beslutsvillkor</t>
        </is>
      </c>
      <c r="I1762" t="inlineStr">
        <is>
          <t>DriftEgenkontroll</t>
        </is>
      </c>
      <c r="J1762" t="inlineStr">
        <is>
          <t>Journalforing</t>
        </is>
      </c>
      <c r="K1762" t="inlineStr">
        <is>
          <t>Jordprovtagning har gjorts på den åkermark som spridning ska ske.</t>
        </is>
      </c>
      <c r="L1762" t="inlineStr">
        <is>
          <t>Jordprovtagning har gjorts på den åkermark som spridning ska ske.</t>
        </is>
      </c>
      <c r="M1762" t="inlineStr">
        <is>
          <t>SKA</t>
        </is>
      </c>
      <c r="N1762" t="inlineStr"/>
      <c r="O1762" t="inlineStr"/>
      <c r="P1762" t="inlineStr"/>
      <c r="Q1762" t="inlineStr"/>
      <c r="R1762" t="inlineStr">
        <is>
          <t>Lopande drift</t>
        </is>
      </c>
      <c r="S1762" t="inlineStr"/>
      <c r="T1762" t="inlineStr"/>
      <c r="U1762" t="inlineStr"/>
      <c r="V1762" t="inlineStr"/>
      <c r="W1762" t="inlineStr">
        <is>
          <t>Nej</t>
        </is>
      </c>
      <c r="X1762" t="inlineStr">
        <is>
          <t>Nej</t>
        </is>
      </c>
      <c r="Y1762" t="inlineStr">
        <is>
          <t>Ja</t>
        </is>
      </c>
      <c r="Z1762" t="inlineStr">
        <is>
          <t>Nej</t>
        </is>
      </c>
      <c r="AA1762" t="n">
        <v>7</v>
      </c>
      <c r="AB1762" t="inlineStr">
        <is>
          <t>Egenkontrollrutiner</t>
        </is>
      </c>
      <c r="AC1762" t="inlineStr">
        <is>
          <t>Egenkontrollprogram</t>
        </is>
      </c>
      <c r="AD1762" t="inlineStr">
        <is>
          <t>Nej</t>
        </is>
      </c>
      <c r="AE1762" t="inlineStr">
        <is>
          <t>Nej</t>
        </is>
      </c>
      <c r="AF1762" t="inlineStr">
        <is>
          <t>Ej behandlad</t>
        </is>
      </c>
      <c r="AG1762" t="inlineStr">
        <is>
          <t>AUTO_GENERERAD. Verifiera citat mot kallfil.</t>
        </is>
      </c>
      <c r="AH1762" t="inlineStr">
        <is>
          <t>MEDIUM</t>
        </is>
      </c>
      <c r="AI1762" t="inlineStr">
        <is>
          <t>AUTO</t>
        </is>
      </c>
      <c r="AJ1762" t="inlineStr">
        <is>
          <t>Nej</t>
        </is>
      </c>
      <c r="AK1762" t="inlineStr"/>
      <c r="AL1762" t="inlineStr"/>
      <c r="AM1762" t="inlineStr"/>
      <c r="AN1762" t="inlineStr"/>
      <c r="AO1762" t="inlineStr">
        <is>
          <t>cmm4yuo0n018ecuqwgykqcb0s</t>
        </is>
      </c>
      <c r="AP1762" t="inlineStr">
        <is>
          <t>http://localhost:8787/api/admin/requirements/documents/cmm4yuo0n018ecuqwgykqcb0s/view</t>
        </is>
      </c>
      <c r="AQ1762">
        <f>HYPERLÄNK("http://localhost:8787/api/admin/requirements/documents/cmm4yuo0n018ecuqwgykqcb0s/view";"Öppna PDF")</f>
        <v/>
      </c>
      <c r="AR1762">
        <f>HYPERLINK("http://localhost:8787/api/admin/requirements/documents/cmm4yuo0n018ecuqwgykqcb0s/view","Open PDF")</f>
        <v/>
      </c>
      <c r="AS1762" t="inlineStr">
        <is>
          <t>cmm55w57p0004cuisfrtpqly8</t>
        </is>
      </c>
      <c r="AT1762" t="inlineStr">
        <is>
          <t>cmm4xvu980000cuh4vj0usz09</t>
        </is>
      </c>
      <c r="AU1762" t="inlineStr"/>
      <c r="AV1762" t="inlineStr">
        <is>
          <t>Kommun</t>
        </is>
      </c>
      <c r="AW1762" t="inlineStr"/>
      <c r="AX1762" t="inlineStr">
        <is>
          <t>2004:62</t>
        </is>
      </c>
      <c r="AY1762" t="inlineStr">
        <is>
          <t>Anmalan</t>
        </is>
      </c>
      <c r="AZ1762" t="inlineStr">
        <is>
          <t>2026-02-03</t>
        </is>
      </c>
      <c r="BA1762" t="inlineStr">
        <is>
          <t>2025-12-01 Anmälan (dnr 2025-515).pdf</t>
        </is>
      </c>
      <c r="BB1762" t="inlineStr">
        <is>
          <t>Sv: till registrator - Begäran av allmän handling</t>
        </is>
      </c>
      <c r="BC1762" t="inlineStr">
        <is>
          <t>AUTO</t>
        </is>
      </c>
      <c r="BD1762" t="inlineStr"/>
      <c r="BE1762" t="inlineStr"/>
      <c r="BF1762" t="inlineStr">
        <is>
          <t>AUTO_GENERERAD. Bekrafta metadata mot kallfil.</t>
        </is>
      </c>
      <c r="BG1762">
        <f>HYPERLINK("C:\Users\jimmy\Desktop\Examens arbete\Kod\Ny mapp\remix_-copy-of-miljöbeslut.se-portal\2025-12-01 Anmälan (dnr 2025-515).pdf", "Öppna PDF")</f>
        <v/>
      </c>
    </row>
    <row r="1763">
      <c r="A1763" t="inlineStr">
        <is>
          <t>KRAV-AUTO-001762</t>
        </is>
      </c>
      <c r="B1763" t="inlineStr">
        <is>
          <t>ADMIN-INDEX-2026-02-27-00000000125C043F57453246863FE664CAFE6A3F0700950291EA24F0614FB6ACEDB12BF0E31D00000000010C0000950291EA24F0614FB6ACEDB12BF0E31D00002087AEF80000</t>
        </is>
      </c>
      <c r="C1763" t="inlineStr">
        <is>
          <t>cmm4yunzu017qcuqwyrj6lr3a</t>
        </is>
      </c>
      <c r="D1763" t="inlineStr">
        <is>
          <t>http://localhost:8787/api/admin/requirements/documents/cmm4yunzu017qcuqwyrj6lr3a/view</t>
        </is>
      </c>
      <c r="E1763">
        <f>HYPERLÄNK("http://localhost:8787/api/admin/requirements/documents/cmm4yunzu017qcuqwyrj6lr3a/view";"Öppna PDF")</f>
        <v/>
      </c>
      <c r="F1763">
        <f>HYPERLINK("http://localhost:8787/api/admin/requirements/documents/cmm4yunzu017qcuqwyrj6lr3a/view","Open PDF")</f>
        <v/>
      </c>
      <c r="G1763" t="inlineStr">
        <is>
          <t>cmm55w57p0004cuisfrtpqly8</t>
        </is>
      </c>
      <c r="H1763" t="inlineStr">
        <is>
          <t>Beslutsvillkor</t>
        </is>
      </c>
      <c r="I1763" t="inlineStr">
        <is>
          <t>LagringsvolymTid</t>
        </is>
      </c>
      <c r="J1763" t="inlineStr">
        <is>
          <t>Maxmangd</t>
        </is>
      </c>
      <c r="K1763" t="inlineStr">
        <is>
          <t>Om det är problematiska förhållanden kommer det 260 ton som ska spridas under hösten att läggas upp under sensommar/hösten när det är goda förutsättningar.</t>
        </is>
      </c>
      <c r="L1763" t="inlineStr">
        <is>
          <t>Om det är problematiska förhållanden kommer det 260 ton som ska spridas under hösten att läggas upp under sensommar/hösten när det är goda förutsättningar.</t>
        </is>
      </c>
      <c r="M1763" t="inlineStr">
        <is>
          <t>SKA</t>
        </is>
      </c>
      <c r="N1763" t="inlineStr"/>
      <c r="O1763" t="inlineStr"/>
      <c r="P1763" t="inlineStr"/>
      <c r="Q1763" t="inlineStr"/>
      <c r="R1763" t="inlineStr">
        <is>
          <t>Alltid</t>
        </is>
      </c>
      <c r="S1763" t="inlineStr"/>
      <c r="T1763" t="inlineStr"/>
      <c r="U1763" t="n">
        <v>260</v>
      </c>
      <c r="V1763" t="inlineStr"/>
      <c r="W1763" t="inlineStr">
        <is>
          <t>Nej</t>
        </is>
      </c>
      <c r="X1763" t="inlineStr">
        <is>
          <t>Nej</t>
        </is>
      </c>
      <c r="Y1763" t="inlineStr">
        <is>
          <t>Nej</t>
        </is>
      </c>
      <c r="Z1763" t="inlineStr">
        <is>
          <t>Nej</t>
        </is>
      </c>
      <c r="AA1763" t="n">
        <v>4</v>
      </c>
      <c r="AB1763" t="inlineStr">
        <is>
          <t>Avfallsmangder och lagringstid</t>
        </is>
      </c>
      <c r="AC1763" t="inlineStr">
        <is>
          <t>Avfallsforteckning</t>
        </is>
      </c>
      <c r="AD1763" t="inlineStr">
        <is>
          <t>Nej</t>
        </is>
      </c>
      <c r="AE1763" t="inlineStr">
        <is>
          <t>Nej</t>
        </is>
      </c>
      <c r="AF1763" t="inlineStr">
        <is>
          <t>Ej behandlad</t>
        </is>
      </c>
      <c r="AG1763" t="inlineStr">
        <is>
          <t>AUTO_GENERERAD. Verifiera citat mot kallfil.</t>
        </is>
      </c>
      <c r="AH1763" t="inlineStr">
        <is>
          <t>MEDIUM</t>
        </is>
      </c>
      <c r="AI1763" t="inlineStr">
        <is>
          <t>AUTO</t>
        </is>
      </c>
      <c r="AJ1763" t="inlineStr">
        <is>
          <t>Nej</t>
        </is>
      </c>
      <c r="AK1763" t="inlineStr"/>
      <c r="AL1763" t="inlineStr"/>
      <c r="AM1763" t="inlineStr"/>
      <c r="AN1763" t="inlineStr"/>
      <c r="AO1763" t="inlineStr">
        <is>
          <t>cmm4yuo0n018ecuqwgykqcb0s</t>
        </is>
      </c>
      <c r="AP1763" t="inlineStr">
        <is>
          <t>http://localhost:8787/api/admin/requirements/documents/cmm4yuo0n018ecuqwgykqcb0s/view</t>
        </is>
      </c>
      <c r="AQ1763">
        <f>HYPERLÄNK("http://localhost:8787/api/admin/requirements/documents/cmm4yuo0n018ecuqwgykqcb0s/view";"Öppna PDF")</f>
        <v/>
      </c>
      <c r="AR1763">
        <f>HYPERLINK("http://localhost:8787/api/admin/requirements/documents/cmm4yuo0n018ecuqwgykqcb0s/view","Open PDF")</f>
        <v/>
      </c>
      <c r="AS1763" t="inlineStr">
        <is>
          <t>cmm55w57p0004cuisfrtpqly8</t>
        </is>
      </c>
      <c r="AT1763" t="inlineStr">
        <is>
          <t>cmm4xvu980000cuh4vj0usz09</t>
        </is>
      </c>
      <c r="AU1763" t="inlineStr"/>
      <c r="AV1763" t="inlineStr">
        <is>
          <t>Kommun</t>
        </is>
      </c>
      <c r="AW1763" t="inlineStr"/>
      <c r="AX1763" t="inlineStr">
        <is>
          <t>2004:62</t>
        </is>
      </c>
      <c r="AY1763" t="inlineStr">
        <is>
          <t>Anmalan</t>
        </is>
      </c>
      <c r="AZ1763" t="inlineStr">
        <is>
          <t>2026-02-03</t>
        </is>
      </c>
      <c r="BA1763" t="inlineStr">
        <is>
          <t>2025-12-01 Anmälan (dnr 2025-515).pdf</t>
        </is>
      </c>
      <c r="BB1763" t="inlineStr">
        <is>
          <t>Sv: till registrator - Begäran av allmän handling</t>
        </is>
      </c>
      <c r="BC1763" t="inlineStr">
        <is>
          <t>AUTO</t>
        </is>
      </c>
      <c r="BD1763" t="inlineStr"/>
      <c r="BE1763" t="inlineStr"/>
      <c r="BF1763" t="inlineStr">
        <is>
          <t>AUTO_GENERERAD. Bekrafta metadata mot kallfil.</t>
        </is>
      </c>
      <c r="BG1763">
        <f>HYPERLINK("C:\Users\jimmy\Desktop\Examens arbete\Kod\Ny mapp\remix_-copy-of-miljöbeslut.se-portal\2025-12-01 Anmälan (dnr 2025-515).pdf", "Öppna PDF")</f>
        <v/>
      </c>
    </row>
    <row r="1764">
      <c r="A1764" t="inlineStr">
        <is>
          <t>KRAV-AUTO-001763</t>
        </is>
      </c>
      <c r="B1764" t="inlineStr">
        <is>
          <t>ADMIN-INDEX-2026-02-27-00000000125C043F57453246863FE664CAFE6A3F0700950291EA24F0614FB6ACEDB12BF0E31D00000000010C0000950291EA24F0614FB6ACEDB12BF0E31D00002087AEF90000</t>
        </is>
      </c>
      <c r="C1764" t="inlineStr">
        <is>
          <t>cmm4yunzq017ncuqwppmobksj</t>
        </is>
      </c>
      <c r="D1764" t="inlineStr">
        <is>
          <t>http://localhost:8787/api/admin/requirements/documents/cmm4yunzq017ncuqwppmobksj/view</t>
        </is>
      </c>
      <c r="E1764">
        <f>HYPERLÄNK("http://localhost:8787/api/admin/requirements/documents/cmm4yunzq017ncuqwppmobksj/view";"Öppna PDF")</f>
        <v/>
      </c>
      <c r="F1764">
        <f>HYPERLINK("http://localhost:8787/api/admin/requirements/documents/cmm4yunzq017ncuqwppmobksj/view","Open PDF")</f>
        <v/>
      </c>
      <c r="G1764" t="inlineStr">
        <is>
          <t>cmm55w57p0004cuisfrtpqly8</t>
        </is>
      </c>
      <c r="H1764" t="inlineStr">
        <is>
          <t>Beslutsvillkor</t>
        </is>
      </c>
      <c r="I1764" t="inlineStr">
        <is>
          <t>LagringsvolymTid</t>
        </is>
      </c>
      <c r="J1764" t="inlineStr">
        <is>
          <t>Maxmangd</t>
        </is>
      </c>
      <c r="K1764" t="inlineStr">
        <is>
          <t>Potentiella handlingar som kan skapas med rutinbetonade åtgärder har kommunen en skyldighet skapa och lämna ut.</t>
        </is>
      </c>
      <c r="L1764" t="inlineStr">
        <is>
          <t>Potentiella handlingar som kan skapas med rutinbetonade åtgärder har kommunen en skyldighet skapa och lämna ut.</t>
        </is>
      </c>
      <c r="M1764" t="inlineStr">
        <is>
          <t>SKA</t>
        </is>
      </c>
      <c r="N1764" t="inlineStr"/>
      <c r="O1764" t="inlineStr"/>
      <c r="P1764" t="inlineStr"/>
      <c r="Q1764" t="inlineStr"/>
      <c r="R1764" t="inlineStr">
        <is>
          <t>Alltid</t>
        </is>
      </c>
      <c r="S1764" t="inlineStr"/>
      <c r="T1764" t="inlineStr"/>
      <c r="U1764" t="inlineStr"/>
      <c r="V1764" t="inlineStr"/>
      <c r="W1764" t="inlineStr">
        <is>
          <t>Nej</t>
        </is>
      </c>
      <c r="X1764" t="inlineStr">
        <is>
          <t>Nej</t>
        </is>
      </c>
      <c r="Y1764" t="inlineStr">
        <is>
          <t>Nej</t>
        </is>
      </c>
      <c r="Z1764" t="inlineStr">
        <is>
          <t>Nej</t>
        </is>
      </c>
      <c r="AA1764" t="n">
        <v>4</v>
      </c>
      <c r="AB1764" t="inlineStr">
        <is>
          <t>Avfallsmangder och lagringstid</t>
        </is>
      </c>
      <c r="AC1764" t="inlineStr">
        <is>
          <t>Avfallsforteckning</t>
        </is>
      </c>
      <c r="AD1764" t="inlineStr">
        <is>
          <t>Nej</t>
        </is>
      </c>
      <c r="AE1764" t="inlineStr">
        <is>
          <t>Nej</t>
        </is>
      </c>
      <c r="AF1764" t="inlineStr">
        <is>
          <t>Ej behandlad</t>
        </is>
      </c>
      <c r="AG1764" t="inlineStr">
        <is>
          <t>AUTO_GENERERAD. Verifiera citat mot kallfil.</t>
        </is>
      </c>
      <c r="AH1764" t="inlineStr">
        <is>
          <t>MEDIUM</t>
        </is>
      </c>
      <c r="AI1764" t="inlineStr">
        <is>
          <t>AUTO</t>
        </is>
      </c>
      <c r="AJ1764" t="inlineStr">
        <is>
          <t>Nej</t>
        </is>
      </c>
      <c r="AK1764" t="inlineStr"/>
      <c r="AL1764" t="inlineStr"/>
      <c r="AM1764" t="inlineStr"/>
      <c r="AN1764" t="inlineStr"/>
      <c r="AO1764" t="inlineStr">
        <is>
          <t>cmm4yunzq017ncuqwppmobksj</t>
        </is>
      </c>
      <c r="AP1764" t="inlineStr">
        <is>
          <t>http://localhost:8787/api/admin/requirements/documents/cmm4yunzq017ncuqwppmobksj/view</t>
        </is>
      </c>
      <c r="AQ1764">
        <f>HYPERLÄNK("http://localhost:8787/api/admin/requirements/documents/cmm4yunzq017ncuqwppmobksj/view";"Öppna PDF")</f>
        <v/>
      </c>
      <c r="AR1764">
        <f>HYPERLINK("http://localhost:8787/api/admin/requirements/documents/cmm4yunzq017ncuqwppmobksj/view","Open PDF")</f>
        <v/>
      </c>
      <c r="AS1764" t="inlineStr">
        <is>
          <t>cmm55w57p0004cuisfrtpqly8</t>
        </is>
      </c>
      <c r="AT1764" t="inlineStr">
        <is>
          <t>cmm4xvu980000cuh4vj0usz09</t>
        </is>
      </c>
      <c r="AU1764" t="inlineStr"/>
      <c r="AV1764" t="inlineStr">
        <is>
          <t>Kommun</t>
        </is>
      </c>
      <c r="AW1764" t="inlineStr"/>
      <c r="AX1764" t="inlineStr">
        <is>
          <t>2022/1163</t>
        </is>
      </c>
      <c r="AY1764" t="inlineStr">
        <is>
          <t>Beslut</t>
        </is>
      </c>
      <c r="AZ1764" t="inlineStr">
        <is>
          <t>2026-02-03</t>
        </is>
      </c>
      <c r="BA1764" t="inlineStr">
        <is>
          <t>Avgiftstaxa.pdf</t>
        </is>
      </c>
      <c r="BB1764" t="inlineStr">
        <is>
          <t>Utlämnande av allmänna handlingar</t>
        </is>
      </c>
      <c r="BC1764" t="inlineStr">
        <is>
          <t>AUTO</t>
        </is>
      </c>
      <c r="BD1764" t="inlineStr"/>
      <c r="BE1764" t="inlineStr"/>
      <c r="BF1764" t="inlineStr">
        <is>
          <t>AUTO_GENERERAD. Bekrafta metadata mot kallfil.</t>
        </is>
      </c>
      <c r="BG1764">
        <f>HYPERLINK("C:\Users\jimmy\Desktop\Examens arbete\Kod\Ny mapp\remix_-copy-of-miljöbeslut.se-portal\Avgiftstaxa.pdf", "Öppna PDF")</f>
        <v/>
      </c>
    </row>
    <row r="1765">
      <c r="A1765" t="inlineStr">
        <is>
          <t>KRAV-AUTO-001764</t>
        </is>
      </c>
      <c r="B1765" t="inlineStr">
        <is>
          <t>ADMIN-INDEX-2026-02-27-00000000125C043F57453246863FE664CAFE6A3F0700950291EA24F0614FB6ACEDB12BF0E31D00000000010C0000950291EA24F0614FB6ACEDB12BF0E31D00002087AEFA0000</t>
        </is>
      </c>
      <c r="C1765" t="inlineStr">
        <is>
          <t>cmm4yunzn017kcuqw4gxt3o5h</t>
        </is>
      </c>
      <c r="D1765" t="inlineStr">
        <is>
          <t>http://localhost:8787/api/admin/requirements/documents/cmm4yunzn017kcuqw4gxt3o5h/view</t>
        </is>
      </c>
      <c r="E1765">
        <f>HYPERLÄNK("http://localhost:8787/api/admin/requirements/documents/cmm4yunzn017kcuqw4gxt3o5h/view";"Öppna PDF")</f>
        <v/>
      </c>
      <c r="F1765">
        <f>HYPERLINK("http://localhost:8787/api/admin/requirements/documents/cmm4yunzn017kcuqw4gxt3o5h/view","Open PDF")</f>
        <v/>
      </c>
      <c r="G1765" t="inlineStr">
        <is>
          <t>cmm55w57p0004cuisfrtpqly8</t>
        </is>
      </c>
      <c r="H1765" t="inlineStr">
        <is>
          <t>Beslutsvillkor</t>
        </is>
      </c>
      <c r="I1765" t="inlineStr">
        <is>
          <t>LagringsvolymTid</t>
        </is>
      </c>
      <c r="J1765" t="inlineStr">
        <is>
          <t>Maxmangd</t>
        </is>
      </c>
      <c r="K1765" t="inlineStr">
        <is>
          <t>Potentiella handlingar som kan skapas med rutinbetonade åtgärder har kommunen en skyldighet skapa och lämna ut.</t>
        </is>
      </c>
      <c r="L1765" t="inlineStr">
        <is>
          <t>Potentiella handlingar som kan skapas med rutinbetonade åtgärder har kommunen en skyldighet skapa och lämna ut.</t>
        </is>
      </c>
      <c r="M1765" t="inlineStr">
        <is>
          <t>SKA</t>
        </is>
      </c>
      <c r="N1765" t="inlineStr"/>
      <c r="O1765" t="inlineStr"/>
      <c r="P1765" t="inlineStr"/>
      <c r="Q1765" t="inlineStr"/>
      <c r="R1765" t="inlineStr">
        <is>
          <t>Alltid</t>
        </is>
      </c>
      <c r="S1765" t="inlineStr"/>
      <c r="T1765" t="inlineStr"/>
      <c r="U1765" t="inlineStr"/>
      <c r="V1765" t="inlineStr"/>
      <c r="W1765" t="inlineStr">
        <is>
          <t>Nej</t>
        </is>
      </c>
      <c r="X1765" t="inlineStr">
        <is>
          <t>Nej</t>
        </is>
      </c>
      <c r="Y1765" t="inlineStr">
        <is>
          <t>Nej</t>
        </is>
      </c>
      <c r="Z1765" t="inlineStr">
        <is>
          <t>Nej</t>
        </is>
      </c>
      <c r="AA1765" t="n">
        <v>4</v>
      </c>
      <c r="AB1765" t="inlineStr">
        <is>
          <t>Avfallsmangder och lagringstid</t>
        </is>
      </c>
      <c r="AC1765" t="inlineStr">
        <is>
          <t>Avfallsforteckning</t>
        </is>
      </c>
      <c r="AD1765" t="inlineStr">
        <is>
          <t>Nej</t>
        </is>
      </c>
      <c r="AE1765" t="inlineStr">
        <is>
          <t>Nej</t>
        </is>
      </c>
      <c r="AF1765" t="inlineStr">
        <is>
          <t>Ej behandlad</t>
        </is>
      </c>
      <c r="AG1765" t="inlineStr">
        <is>
          <t>AUTO_GENERERAD. Verifiera citat mot kallfil.</t>
        </is>
      </c>
      <c r="AH1765" t="inlineStr">
        <is>
          <t>MEDIUM</t>
        </is>
      </c>
      <c r="AI1765" t="inlineStr">
        <is>
          <t>AUTO</t>
        </is>
      </c>
      <c r="AJ1765" t="inlineStr">
        <is>
          <t>Nej</t>
        </is>
      </c>
      <c r="AK1765" t="inlineStr"/>
      <c r="AL1765" t="inlineStr"/>
      <c r="AM1765" t="inlineStr"/>
      <c r="AN1765" t="inlineStr"/>
      <c r="AO1765" t="inlineStr">
        <is>
          <t>cmm4yunzn017kcuqw4gxt3o5h</t>
        </is>
      </c>
      <c r="AP1765" t="inlineStr">
        <is>
          <t>http://localhost:8787/api/admin/requirements/documents/cmm4yunzn017kcuqw4gxt3o5h/view</t>
        </is>
      </c>
      <c r="AQ1765">
        <f>HYPERLÄNK("http://localhost:8787/api/admin/requirements/documents/cmm4yunzn017kcuqw4gxt3o5h/view";"Öppna PDF")</f>
        <v/>
      </c>
      <c r="AR1765">
        <f>HYPERLINK("http://localhost:8787/api/admin/requirements/documents/cmm4yunzn017kcuqw4gxt3o5h/view","Open PDF")</f>
        <v/>
      </c>
      <c r="AS1765" t="inlineStr">
        <is>
          <t>cmm55w57p0004cuisfrtpqly8</t>
        </is>
      </c>
      <c r="AT1765" t="inlineStr">
        <is>
          <t>cmm4xvu980000cuh4vj0usz09</t>
        </is>
      </c>
      <c r="AU1765" t="inlineStr"/>
      <c r="AV1765" t="inlineStr">
        <is>
          <t>Kommun</t>
        </is>
      </c>
      <c r="AW1765" t="inlineStr"/>
      <c r="AX1765" t="inlineStr">
        <is>
          <t>2022/1163</t>
        </is>
      </c>
      <c r="AY1765" t="inlineStr">
        <is>
          <t>Beslut</t>
        </is>
      </c>
      <c r="AZ1765" t="inlineStr">
        <is>
          <t>2026-02-03</t>
        </is>
      </c>
      <c r="BA1765" t="inlineStr">
        <is>
          <t>Avgiftstaxa.pdf</t>
        </is>
      </c>
      <c r="BB1765" t="inlineStr">
        <is>
          <t>Utlämnande av allmänna handlingar</t>
        </is>
      </c>
      <c r="BC1765" t="inlineStr">
        <is>
          <t>AUTO</t>
        </is>
      </c>
      <c r="BD1765" t="inlineStr"/>
      <c r="BE1765" t="inlineStr"/>
      <c r="BF1765" t="inlineStr">
        <is>
          <t>AUTO_GENERERAD. Bekrafta metadata mot kallfil.</t>
        </is>
      </c>
      <c r="BG1765">
        <f>HYPERLINK("C:\Users\jimmy\Desktop\Examens arbete\Kod\Ny mapp\remix_-copy-of-miljöbeslut.se-portal\Avgiftstaxa.pdf", "Öppna PDF")</f>
        <v/>
      </c>
    </row>
    <row r="1766">
      <c r="A1766" t="inlineStr">
        <is>
          <t>KRAV-AUTO-001765</t>
        </is>
      </c>
      <c r="B1766" t="inlineStr">
        <is>
          <t>ADMIN-INDEX-2026-02-27-00000000125C043F57453246863FE664CAFE6A3F0700950291EA24F0614FB6ACEDB12BF0E31D00000000010C0000950291EA24F0614FB6ACEDB12BF0E31D00002087AEFB0000</t>
        </is>
      </c>
      <c r="C1766" t="inlineStr">
        <is>
          <t>cmm4yunzk017hcuqw4gd878mw</t>
        </is>
      </c>
      <c r="D1766" t="inlineStr">
        <is>
          <t>http://localhost:8787/api/admin/requirements/documents/cmm4yunzk017hcuqw4gd878mw/view</t>
        </is>
      </c>
      <c r="E1766">
        <f>HYPERLÄNK("http://localhost:8787/api/admin/requirements/documents/cmm4yunzk017hcuqw4gd878mw/view";"Öppna PDF")</f>
        <v/>
      </c>
      <c r="F1766">
        <f>HYPERLINK("http://localhost:8787/api/admin/requirements/documents/cmm4yunzk017hcuqw4gd878mw/view","Open PDF")</f>
        <v/>
      </c>
      <c r="G1766" t="inlineStr">
        <is>
          <t>cmm55w57p0004cuisfrtpqly8</t>
        </is>
      </c>
      <c r="H1766" t="inlineStr">
        <is>
          <t>Beslutsvillkor</t>
        </is>
      </c>
      <c r="I1766" t="inlineStr">
        <is>
          <t>MiljopaverkanForsiktighet</t>
        </is>
      </c>
      <c r="J1766" t="inlineStr">
        <is>
          <t>Skyddsatgarder</t>
        </is>
      </c>
      <c r="K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66" t="inlineStr">
        <is>
          <t>SKA</t>
        </is>
      </c>
      <c r="N1766" t="inlineStr">
        <is>
          <t>FMH</t>
        </is>
      </c>
      <c r="O1766" t="inlineStr">
        <is>
          <t>2025-03-03</t>
        </is>
      </c>
      <c r="P1766" t="inlineStr">
        <is>
          <t>Arlig</t>
        </is>
      </c>
      <c r="Q1766" t="inlineStr"/>
      <c r="R1766" t="inlineStr">
        <is>
          <t>Alltid</t>
        </is>
      </c>
      <c r="S1766" t="inlineStr"/>
      <c r="T1766" t="inlineStr">
        <is>
          <t>212000</t>
        </is>
      </c>
      <c r="U1766" t="inlineStr"/>
      <c r="V1766" t="inlineStr"/>
      <c r="W1766" t="inlineStr">
        <is>
          <t>Nej</t>
        </is>
      </c>
      <c r="X1766" t="inlineStr">
        <is>
          <t>Nej</t>
        </is>
      </c>
      <c r="Y1766" t="inlineStr">
        <is>
          <t>Nej</t>
        </is>
      </c>
      <c r="Z1766" t="inlineStr">
        <is>
          <t>Nej</t>
        </is>
      </c>
      <c r="AA1766" t="n">
        <v>10</v>
      </c>
      <c r="AB1766" t="inlineStr">
        <is>
          <t>Miljopaverkan och forsiktighetsmatt</t>
        </is>
      </c>
      <c r="AC1766" t="inlineStr">
        <is>
          <t>Miljo-PM</t>
        </is>
      </c>
      <c r="AD1766" t="inlineStr">
        <is>
          <t>Nej</t>
        </is>
      </c>
      <c r="AE1766" t="inlineStr">
        <is>
          <t>Nej</t>
        </is>
      </c>
      <c r="AF1766" t="inlineStr">
        <is>
          <t>Ej behandlad</t>
        </is>
      </c>
      <c r="AG1766" t="inlineStr">
        <is>
          <t>AUTO_GENERERAD. Verifiera citat mot kallfil.</t>
        </is>
      </c>
      <c r="AH1766" t="inlineStr">
        <is>
          <t>HIGH</t>
        </is>
      </c>
      <c r="AI1766" t="inlineStr">
        <is>
          <t>AUTO</t>
        </is>
      </c>
      <c r="AJ1766" t="inlineStr">
        <is>
          <t>Nej</t>
        </is>
      </c>
      <c r="AK1766" t="inlineStr"/>
      <c r="AL1766" t="inlineStr"/>
      <c r="AM1766" t="inlineStr"/>
      <c r="AN1766" t="inlineStr"/>
      <c r="AO1766" t="inlineStr">
        <is>
          <t>cmm4yunzk017hcuqw4gd878mw</t>
        </is>
      </c>
      <c r="AP1766" t="inlineStr">
        <is>
          <t>http://localhost:8787/api/admin/requirements/documents/cmm4yunzk017hcuqw4gd878mw/view</t>
        </is>
      </c>
      <c r="AQ1766">
        <f>HYPERLÄNK("http://localhost:8787/api/admin/requirements/documents/cmm4yunzk017hcuqw4gd878mw/view";"Öppna PDF")</f>
        <v/>
      </c>
      <c r="AR1766">
        <f>HYPERLINK("http://localhost:8787/api/admin/requirements/documents/cmm4yunzk017hcuqw4gd878mw/view","Open PDF")</f>
        <v/>
      </c>
      <c r="AS1766" t="inlineStr">
        <is>
          <t>cmm55w57p0004cuisfrtpqly8</t>
        </is>
      </c>
      <c r="AT1766" t="inlineStr">
        <is>
          <t>cmm4xvu980000cuh4vj0usz09</t>
        </is>
      </c>
      <c r="AU1766" t="inlineStr">
        <is>
          <t>Samhällsbyggnadsnämnden Beslut Gnesta</t>
        </is>
      </c>
      <c r="AV1766" t="inlineStr">
        <is>
          <t>Kommun</t>
        </is>
      </c>
      <c r="AW1766" t="inlineStr">
        <is>
          <t>Samhällsbyggnadsnämnden Beslut Gnesta kommun</t>
        </is>
      </c>
      <c r="AX1766" t="inlineStr">
        <is>
          <t>2025-02</t>
        </is>
      </c>
      <c r="AY1766" t="inlineStr">
        <is>
          <t>Beslut</t>
        </is>
      </c>
      <c r="AZ1766" t="inlineStr">
        <is>
          <t>2026-02-03</t>
        </is>
      </c>
      <c r="BA1766" t="inlineStr">
        <is>
          <t>MIL2024149_2026-02-03.pdf</t>
        </is>
      </c>
      <c r="BB1766" t="inlineStr">
        <is>
          <t>VB: Mejl från kommunens gemensamma mejlkorg [2026GT3137]</t>
        </is>
      </c>
      <c r="BC1766" t="inlineStr">
        <is>
          <t>AUTO</t>
        </is>
      </c>
      <c r="BD1766" t="inlineStr"/>
      <c r="BE1766" t="inlineStr"/>
      <c r="BF1766" t="inlineStr">
        <is>
          <t>AUTO_GENERERAD. Bekrafta metadata mot kallfil.</t>
        </is>
      </c>
      <c r="BG1766">
        <f>HYPERLINK("C:\Users\jimmy\Desktop\Examens arbete\Kod\Ny mapp\remix_-copy-of-miljöbeslut.se-portal\MIL2024149_2026-02-03.pdf", "Öppna PDF")</f>
        <v/>
      </c>
    </row>
    <row r="1767">
      <c r="A1767" t="inlineStr">
        <is>
          <t>KRAV-AUTO-001766</t>
        </is>
      </c>
      <c r="B1767" t="inlineStr">
        <is>
          <t>ADMIN-INDEX-2026-02-27-00000000125C043F57453246863FE664CAFE6A3F0700950291EA24F0614FB6ACEDB12BF0E31D00000000010C0000950291EA24F0614FB6ACEDB12BF0E31D00002087AEFB0000</t>
        </is>
      </c>
      <c r="C1767" t="inlineStr">
        <is>
          <t>cmm4yunzk017hcuqw4gd878mw</t>
        </is>
      </c>
      <c r="D1767" t="inlineStr">
        <is>
          <t>http://localhost:8787/api/admin/requirements/documents/cmm4yunzk017hcuqw4gd878mw/view</t>
        </is>
      </c>
      <c r="E1767">
        <f>HYPERLÄNK("http://localhost:8787/api/admin/requirements/documents/cmm4yunzk017hcuqw4gd878mw/view";"Öppna PDF")</f>
        <v/>
      </c>
      <c r="F1767">
        <f>HYPERLINK("http://localhost:8787/api/admin/requirements/documents/cmm4yunzk017hcuqw4gd878mw/view","Open PDF")</f>
        <v/>
      </c>
      <c r="G1767" t="inlineStr">
        <is>
          <t>cmm55w57p0004cuisfrtpqly8</t>
        </is>
      </c>
      <c r="H1767" t="inlineStr">
        <is>
          <t>Beslutsvillkor</t>
        </is>
      </c>
      <c r="I1767" t="inlineStr">
        <is>
          <t>DriftEgenkontroll</t>
        </is>
      </c>
      <c r="J1767" t="inlineStr">
        <is>
          <t>Journalforing</t>
        </is>
      </c>
      <c r="K1767" t="inlineStr">
        <is>
          <t>Det befintliga kontrollprogrammet måste uppdateras för att stämma överens med de försiktighetsmått som ställs i detta föreläggande.</t>
        </is>
      </c>
      <c r="L1767" t="inlineStr">
        <is>
          <t>Det befintliga kontrollprogrammet måste uppdateras för att stämma överens med de försiktighetsmått som ställs i detta föreläggande.</t>
        </is>
      </c>
      <c r="M1767" t="inlineStr">
        <is>
          <t>SKA</t>
        </is>
      </c>
      <c r="N1767" t="inlineStr"/>
      <c r="O1767" t="inlineStr"/>
      <c r="P1767" t="inlineStr"/>
      <c r="Q1767" t="inlineStr">
        <is>
          <t>Forelaggande vid brist</t>
        </is>
      </c>
      <c r="R1767" t="inlineStr">
        <is>
          <t>Lopande drift</t>
        </is>
      </c>
      <c r="S1767" t="inlineStr"/>
      <c r="T1767" t="inlineStr">
        <is>
          <t>212000</t>
        </is>
      </c>
      <c r="U1767" t="inlineStr"/>
      <c r="V1767" t="inlineStr"/>
      <c r="W1767" t="inlineStr">
        <is>
          <t>Nej</t>
        </is>
      </c>
      <c r="X1767" t="inlineStr">
        <is>
          <t>Nej</t>
        </is>
      </c>
      <c r="Y1767" t="inlineStr">
        <is>
          <t>Ja</t>
        </is>
      </c>
      <c r="Z1767" t="inlineStr">
        <is>
          <t>Nej</t>
        </is>
      </c>
      <c r="AA1767" t="n">
        <v>7</v>
      </c>
      <c r="AB1767" t="inlineStr">
        <is>
          <t>Egenkontrollrutiner</t>
        </is>
      </c>
      <c r="AC1767" t="inlineStr">
        <is>
          <t>Egenkontrollprogram</t>
        </is>
      </c>
      <c r="AD1767" t="inlineStr">
        <is>
          <t>Nej</t>
        </is>
      </c>
      <c r="AE1767" t="inlineStr">
        <is>
          <t>Nej</t>
        </is>
      </c>
      <c r="AF1767" t="inlineStr">
        <is>
          <t>Ej behandlad</t>
        </is>
      </c>
      <c r="AG1767" t="inlineStr">
        <is>
          <t>AUTO_GENERERAD. Verifiera citat mot kallfil.</t>
        </is>
      </c>
      <c r="AH1767" t="inlineStr">
        <is>
          <t>MEDIUM</t>
        </is>
      </c>
      <c r="AI1767" t="inlineStr">
        <is>
          <t>AUTO</t>
        </is>
      </c>
      <c r="AJ1767" t="inlineStr">
        <is>
          <t>Nej</t>
        </is>
      </c>
      <c r="AK1767" t="inlineStr"/>
      <c r="AL1767" t="inlineStr"/>
      <c r="AM1767" t="inlineStr"/>
      <c r="AN1767" t="inlineStr"/>
      <c r="AO1767" t="inlineStr">
        <is>
          <t>cmm4yunzk017hcuqw4gd878mw</t>
        </is>
      </c>
      <c r="AP1767" t="inlineStr">
        <is>
          <t>http://localhost:8787/api/admin/requirements/documents/cmm4yunzk017hcuqw4gd878mw/view</t>
        </is>
      </c>
      <c r="AQ1767">
        <f>HYPERLÄNK("http://localhost:8787/api/admin/requirements/documents/cmm4yunzk017hcuqw4gd878mw/view";"Öppna PDF")</f>
        <v/>
      </c>
      <c r="AR1767">
        <f>HYPERLINK("http://localhost:8787/api/admin/requirements/documents/cmm4yunzk017hcuqw4gd878mw/view","Open PDF")</f>
        <v/>
      </c>
      <c r="AS1767" t="inlineStr">
        <is>
          <t>cmm55w57p0004cuisfrtpqly8</t>
        </is>
      </c>
      <c r="AT1767" t="inlineStr">
        <is>
          <t>cmm4xvu980000cuh4vj0usz09</t>
        </is>
      </c>
      <c r="AU1767" t="inlineStr">
        <is>
          <t>Samhällsbyggnadsnämnden Beslut Gnesta</t>
        </is>
      </c>
      <c r="AV1767" t="inlineStr">
        <is>
          <t>Kommun</t>
        </is>
      </c>
      <c r="AW1767" t="inlineStr">
        <is>
          <t>Samhällsbyggnadsnämnden Beslut Gnesta kommun</t>
        </is>
      </c>
      <c r="AX1767" t="inlineStr">
        <is>
          <t>2025-02</t>
        </is>
      </c>
      <c r="AY1767" t="inlineStr">
        <is>
          <t>Beslut</t>
        </is>
      </c>
      <c r="AZ1767" t="inlineStr">
        <is>
          <t>2026-02-03</t>
        </is>
      </c>
      <c r="BA1767" t="inlineStr">
        <is>
          <t>MIL2024149_2026-02-03.pdf</t>
        </is>
      </c>
      <c r="BB1767" t="inlineStr">
        <is>
          <t>VB: Mejl från kommunens gemensamma mejlkorg [2026GT3137]</t>
        </is>
      </c>
      <c r="BC1767" t="inlineStr">
        <is>
          <t>AUTO</t>
        </is>
      </c>
      <c r="BD1767" t="inlineStr"/>
      <c r="BE1767" t="inlineStr"/>
      <c r="BF1767" t="inlineStr">
        <is>
          <t>AUTO_GENERERAD. Bekrafta metadata mot kallfil.</t>
        </is>
      </c>
      <c r="BG1767">
        <f>HYPERLINK("C:\Users\jimmy\Desktop\Examens arbete\Kod\Ny mapp\remix_-copy-of-miljöbeslut.se-portal\MIL2024149_2026-02-03.pdf", "Öppna PDF")</f>
        <v/>
      </c>
    </row>
    <row r="1768">
      <c r="A1768" t="inlineStr">
        <is>
          <t>KRAV-AUTO-001767</t>
        </is>
      </c>
      <c r="B1768" t="inlineStr">
        <is>
          <t>ADMIN-INDEX-2026-02-27-00000000125C043F57453246863FE664CAFE6A3F0700950291EA24F0614FB6ACEDB12BF0E31D00000000010C0000950291EA24F0614FB6ACEDB12BF0E31D00002087AEFB0000</t>
        </is>
      </c>
      <c r="C1768" t="inlineStr">
        <is>
          <t>cmm4yunzk017hcuqw4gd878mw</t>
        </is>
      </c>
      <c r="D1768" t="inlineStr">
        <is>
          <t>http://localhost:8787/api/admin/requirements/documents/cmm4yunzk017hcuqw4gd878mw/view</t>
        </is>
      </c>
      <c r="E1768">
        <f>HYPERLÄNK("http://localhost:8787/api/admin/requirements/documents/cmm4yunzk017hcuqw4gd878mw/view";"Öppna PDF")</f>
        <v/>
      </c>
      <c r="F1768">
        <f>HYPERLINK("http://localhost:8787/api/admin/requirements/documents/cmm4yunzk017hcuqw4gd878mw/view","Open PDF")</f>
        <v/>
      </c>
      <c r="G1768" t="inlineStr">
        <is>
          <t>cmm55w57p0004cuisfrtpqly8</t>
        </is>
      </c>
      <c r="H1768" t="inlineStr">
        <is>
          <t>Beslutsvillkor</t>
        </is>
      </c>
      <c r="I1768" t="inlineStr">
        <is>
          <t>Ytkonstruktion</t>
        </is>
      </c>
      <c r="J1768" t="inlineStr">
        <is>
          <t>Tat yta</t>
        </is>
      </c>
      <c r="K1768" t="inlineStr">
        <is>
          <t>Det mellanlagrade avfallet som lagras utomhus ska enbart placeras och samlas ovanpå den hårdgjord ytan som finns.</t>
        </is>
      </c>
      <c r="L1768" t="inlineStr">
        <is>
          <t>Det mellanlagrade avfallet som lagras utomhus ska enbart placeras och samlas ovanpå den hårdgjord ytan som finns.</t>
        </is>
      </c>
      <c r="M1768" t="inlineStr">
        <is>
          <t>SKA</t>
        </is>
      </c>
      <c r="N1768" t="inlineStr"/>
      <c r="O1768" t="inlineStr"/>
      <c r="P1768" t="inlineStr"/>
      <c r="Q1768" t="inlineStr"/>
      <c r="R1768" t="inlineStr">
        <is>
          <t>Vid mellanlagring av avfall</t>
        </is>
      </c>
      <c r="S1768" t="inlineStr"/>
      <c r="T1768" t="inlineStr">
        <is>
          <t>212000</t>
        </is>
      </c>
      <c r="U1768" t="inlineStr"/>
      <c r="V1768" t="inlineStr"/>
      <c r="W1768" t="inlineStr">
        <is>
          <t>Ja</t>
        </is>
      </c>
      <c r="X1768" t="inlineStr">
        <is>
          <t>Nej</t>
        </is>
      </c>
      <c r="Y1768" t="inlineStr">
        <is>
          <t>Nej</t>
        </is>
      </c>
      <c r="Z1768" t="inlineStr">
        <is>
          <t>Nej</t>
        </is>
      </c>
      <c r="AA1768" t="n">
        <v>5</v>
      </c>
      <c r="AB1768" t="inlineStr">
        <is>
          <t>Teknisk beskrivning av platta</t>
        </is>
      </c>
      <c r="AC1768" t="inlineStr">
        <is>
          <t>Teknisk ritning platta</t>
        </is>
      </c>
      <c r="AD1768" t="inlineStr">
        <is>
          <t>Nej</t>
        </is>
      </c>
      <c r="AE1768" t="inlineStr">
        <is>
          <t>Nej</t>
        </is>
      </c>
      <c r="AF1768" t="inlineStr">
        <is>
          <t>Ej behandlad</t>
        </is>
      </c>
      <c r="AG1768" t="inlineStr">
        <is>
          <t>AUTO_GENERERAD. Verifiera citat mot kallfil.</t>
        </is>
      </c>
      <c r="AH1768" t="inlineStr">
        <is>
          <t>MEDIUM</t>
        </is>
      </c>
      <c r="AI1768" t="inlineStr">
        <is>
          <t>AUTO</t>
        </is>
      </c>
      <c r="AJ1768" t="inlineStr">
        <is>
          <t>Nej</t>
        </is>
      </c>
      <c r="AK1768" t="inlineStr"/>
      <c r="AL1768" t="inlineStr"/>
      <c r="AM1768" t="inlineStr"/>
      <c r="AN1768" t="inlineStr"/>
      <c r="AO1768" t="inlineStr">
        <is>
          <t>cmm4yunzk017hcuqw4gd878mw</t>
        </is>
      </c>
      <c r="AP1768" t="inlineStr">
        <is>
          <t>http://localhost:8787/api/admin/requirements/documents/cmm4yunzk017hcuqw4gd878mw/view</t>
        </is>
      </c>
      <c r="AQ1768">
        <f>HYPERLÄNK("http://localhost:8787/api/admin/requirements/documents/cmm4yunzk017hcuqw4gd878mw/view";"Öppna PDF")</f>
        <v/>
      </c>
      <c r="AR1768">
        <f>HYPERLINK("http://localhost:8787/api/admin/requirements/documents/cmm4yunzk017hcuqw4gd878mw/view","Open PDF")</f>
        <v/>
      </c>
      <c r="AS1768" t="inlineStr">
        <is>
          <t>cmm55w57p0004cuisfrtpqly8</t>
        </is>
      </c>
      <c r="AT1768" t="inlineStr">
        <is>
          <t>cmm4xvu980000cuh4vj0usz09</t>
        </is>
      </c>
      <c r="AU1768" t="inlineStr">
        <is>
          <t>Samhällsbyggnadsnämnden Beslut Gnesta</t>
        </is>
      </c>
      <c r="AV1768" t="inlineStr">
        <is>
          <t>Kommun</t>
        </is>
      </c>
      <c r="AW1768" t="inlineStr">
        <is>
          <t>Samhällsbyggnadsnämnden Beslut Gnesta kommun</t>
        </is>
      </c>
      <c r="AX1768" t="inlineStr">
        <is>
          <t>2025-02</t>
        </is>
      </c>
      <c r="AY1768" t="inlineStr">
        <is>
          <t>Beslut</t>
        </is>
      </c>
      <c r="AZ1768" t="inlineStr">
        <is>
          <t>2026-02-03</t>
        </is>
      </c>
      <c r="BA1768" t="inlineStr">
        <is>
          <t>MIL2024149_2026-02-03.pdf</t>
        </is>
      </c>
      <c r="BB1768" t="inlineStr">
        <is>
          <t>VB: Mejl från kommunens gemensamma mejlkorg [2026GT3137]</t>
        </is>
      </c>
      <c r="BC1768" t="inlineStr">
        <is>
          <t>AUTO</t>
        </is>
      </c>
      <c r="BD1768" t="inlineStr"/>
      <c r="BE1768" t="inlineStr"/>
      <c r="BF1768" t="inlineStr">
        <is>
          <t>AUTO_GENERERAD. Bekrafta metadata mot kallfil.</t>
        </is>
      </c>
      <c r="BG1768">
        <f>HYPERLINK("C:\Users\jimmy\Desktop\Examens arbete\Kod\Ny mapp\remix_-copy-of-miljöbeslut.se-portal\MIL2024149_2026-02-03.pdf", "Öppna PDF")</f>
        <v/>
      </c>
    </row>
    <row r="1769">
      <c r="A1769" t="inlineStr">
        <is>
          <t>KRAV-AUTO-001768</t>
        </is>
      </c>
      <c r="B1769" t="inlineStr">
        <is>
          <t>ADMIN-INDEX-2026-02-27-00000000125C043F57453246863FE664CAFE6A3F0700950291EA24F0614FB6ACEDB12BF0E31D00000000010C0000950291EA24F0614FB6ACEDB12BF0E31D00002087AEFB0000</t>
        </is>
      </c>
      <c r="C1769" t="inlineStr">
        <is>
          <t>cmm4yunzh017ecuqwshzu14mr</t>
        </is>
      </c>
      <c r="D1769" t="inlineStr">
        <is>
          <t>http://localhost:8787/api/admin/requirements/documents/cmm4yunzh017ecuqwshzu14mr/view</t>
        </is>
      </c>
      <c r="E1769">
        <f>HYPERLÄNK("http://localhost:8787/api/admin/requirements/documents/cmm4yunzh017ecuqwshzu14mr/view";"Öppna PDF")</f>
        <v/>
      </c>
      <c r="F1769">
        <f>HYPERLINK("http://localhost:8787/api/admin/requirements/documents/cmm4yunzh017ecuqwshzu14mr/view","Open PDF")</f>
        <v/>
      </c>
      <c r="G1769" t="inlineStr">
        <is>
          <t>cmm55w57p0004cuisfrtpqly8</t>
        </is>
      </c>
      <c r="H1769" t="inlineStr">
        <is>
          <t>Beslutsvillkor</t>
        </is>
      </c>
      <c r="I1769" t="inlineStr">
        <is>
          <t>DriftEgenkontroll</t>
        </is>
      </c>
      <c r="J1769" t="inlineStr">
        <is>
          <t>Journalforing</t>
        </is>
      </c>
      <c r="K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69" t="inlineStr">
        <is>
          <t>SKA</t>
        </is>
      </c>
      <c r="N1769" t="inlineStr"/>
      <c r="O1769" t="inlineStr">
        <is>
          <t>2025-03-17</t>
        </is>
      </c>
      <c r="P1769" t="inlineStr"/>
      <c r="Q1769" t="inlineStr"/>
      <c r="R1769" t="inlineStr">
        <is>
          <t>Lopande drift</t>
        </is>
      </c>
      <c r="S1769" t="inlineStr"/>
      <c r="T1769" t="inlineStr">
        <is>
          <t>559481</t>
        </is>
      </c>
      <c r="U1769" t="inlineStr"/>
      <c r="V1769" t="inlineStr"/>
      <c r="W1769" t="inlineStr">
        <is>
          <t>Nej</t>
        </is>
      </c>
      <c r="X1769" t="inlineStr">
        <is>
          <t>Nej</t>
        </is>
      </c>
      <c r="Y1769" t="inlineStr">
        <is>
          <t>Ja</t>
        </is>
      </c>
      <c r="Z1769" t="inlineStr">
        <is>
          <t>Nej</t>
        </is>
      </c>
      <c r="AA1769" t="n">
        <v>7</v>
      </c>
      <c r="AB1769" t="inlineStr">
        <is>
          <t>Egenkontrollrutiner</t>
        </is>
      </c>
      <c r="AC1769" t="inlineStr">
        <is>
          <t>Egenkontrollprogram</t>
        </is>
      </c>
      <c r="AD1769" t="inlineStr">
        <is>
          <t>Nej</t>
        </is>
      </c>
      <c r="AE1769" t="inlineStr">
        <is>
          <t>Nej</t>
        </is>
      </c>
      <c r="AF1769" t="inlineStr">
        <is>
          <t>Ej behandlad</t>
        </is>
      </c>
      <c r="AG1769" t="inlineStr">
        <is>
          <t>AUTO_GENERERAD. Verifiera citat mot kallfil.</t>
        </is>
      </c>
      <c r="AH1769" t="inlineStr">
        <is>
          <t>MEDIUM</t>
        </is>
      </c>
      <c r="AI1769" t="inlineStr">
        <is>
          <t>AUTO</t>
        </is>
      </c>
      <c r="AJ1769" t="inlineStr">
        <is>
          <t>Nej</t>
        </is>
      </c>
      <c r="AK1769" t="inlineStr"/>
      <c r="AL1769" t="inlineStr"/>
      <c r="AM1769" t="inlineStr"/>
      <c r="AN1769" t="inlineStr"/>
      <c r="AO1769" t="inlineStr">
        <is>
          <t>cmm4yunzk017hcuqw4gd878mw</t>
        </is>
      </c>
      <c r="AP1769" t="inlineStr">
        <is>
          <t>http://localhost:8787/api/admin/requirements/documents/cmm4yunzk017hcuqw4gd878mw/view</t>
        </is>
      </c>
      <c r="AQ1769">
        <f>HYPERLÄNK("http://localhost:8787/api/admin/requirements/documents/cmm4yunzk017hcuqw4gd878mw/view";"Öppna PDF")</f>
        <v/>
      </c>
      <c r="AR1769">
        <f>HYPERLINK("http://localhost:8787/api/admin/requirements/documents/cmm4yunzk017hcuqw4gd878mw/view","Open PDF")</f>
        <v/>
      </c>
      <c r="AS1769" t="inlineStr">
        <is>
          <t>cmm55w57p0004cuisfrtpqly8</t>
        </is>
      </c>
      <c r="AT1769" t="inlineStr">
        <is>
          <t>cmm4xvu980000cuh4vj0usz09</t>
        </is>
      </c>
      <c r="AU1769" t="inlineStr">
        <is>
          <t>Samhällsbyggnadsnämnden Beslut Gnesta</t>
        </is>
      </c>
      <c r="AV1769" t="inlineStr">
        <is>
          <t>Kommun</t>
        </is>
      </c>
      <c r="AW1769" t="inlineStr">
        <is>
          <t>Samhällsbyggnadsnämnden Beslut Gnesta kommun</t>
        </is>
      </c>
      <c r="AX1769" t="inlineStr">
        <is>
          <t>2025-02</t>
        </is>
      </c>
      <c r="AY1769" t="inlineStr">
        <is>
          <t>Beslut</t>
        </is>
      </c>
      <c r="AZ1769" t="inlineStr">
        <is>
          <t>2026-02-03</t>
        </is>
      </c>
      <c r="BA1769" t="inlineStr">
        <is>
          <t>MIL2024149_2026-02-03.pdf</t>
        </is>
      </c>
      <c r="BB1769" t="inlineStr">
        <is>
          <t>VB: Mejl från kommunens gemensamma mejlkorg [2026GT3137]</t>
        </is>
      </c>
      <c r="BC1769" t="inlineStr">
        <is>
          <t>AUTO</t>
        </is>
      </c>
      <c r="BD1769" t="inlineStr"/>
      <c r="BE1769" t="inlineStr"/>
      <c r="BF1769" t="inlineStr">
        <is>
          <t>AUTO_GENERERAD. Bekrafta metadata mot kallfil.</t>
        </is>
      </c>
      <c r="BG1769">
        <f>HYPERLINK("C:\Users\jimmy\Desktop\Examens arbete\Kod\Ny mapp\remix_-copy-of-miljöbeslut.se-portal\MIL2024149_2026-02-03.pdf", "Öppna PDF")</f>
        <v/>
      </c>
    </row>
    <row r="1770">
      <c r="A1770" t="inlineStr">
        <is>
          <t>KRAV-AUTO-001769</t>
        </is>
      </c>
      <c r="B1770" t="inlineStr">
        <is>
          <t>ADMIN-INDEX-2026-02-27-00000000125C043F57453246863FE664CAFE6A3F0700950291EA24F0614FB6ACEDB12BF0E31D00000000010C0000950291EA24F0614FB6ACEDB12BF0E31D00002087AEFB0000</t>
        </is>
      </c>
      <c r="C1770" t="inlineStr">
        <is>
          <t>cmm4yunzh017ecuqwshzu14mr</t>
        </is>
      </c>
      <c r="D1770" t="inlineStr">
        <is>
          <t>http://localhost:8787/api/admin/requirements/documents/cmm4yunzh017ecuqwshzu14mr/view</t>
        </is>
      </c>
      <c r="E1770">
        <f>HYPERLÄNK("http://localhost:8787/api/admin/requirements/documents/cmm4yunzh017ecuqwshzu14mr/view";"Öppna PDF")</f>
        <v/>
      </c>
      <c r="F1770">
        <f>HYPERLINK("http://localhost:8787/api/admin/requirements/documents/cmm4yunzh017ecuqwshzu14mr/view","Open PDF")</f>
        <v/>
      </c>
      <c r="G1770" t="inlineStr">
        <is>
          <t>cmm55w57p0004cuisfrtpqly8</t>
        </is>
      </c>
      <c r="H1770" t="inlineStr">
        <is>
          <t>Beslutsvillkor</t>
        </is>
      </c>
      <c r="I1770" t="inlineStr">
        <is>
          <t>MiljopaverkanForsiktighet</t>
        </is>
      </c>
      <c r="J1770" t="inlineStr">
        <is>
          <t>Skyddsatgarder</t>
        </is>
      </c>
      <c r="K1770" t="inlineStr">
        <is>
          <t>Utredningen är en del av en ansökan om drift av en verksamhet för hantering av befintligt bergavfall, sluttäcka en gammal tipp samt utföra landskapsförändring.</t>
        </is>
      </c>
      <c r="L1770" t="inlineStr">
        <is>
          <t>Utredningen är en del av en ansökan om drift av en verksamhet för hantering av befintligt bergavfall, sluttäcka en gammal tipp samt utföra landskapsförändring.</t>
        </is>
      </c>
      <c r="M1770" t="inlineStr">
        <is>
          <t>SKA</t>
        </is>
      </c>
      <c r="N1770" t="inlineStr"/>
      <c r="O1770" t="inlineStr"/>
      <c r="P1770" t="inlineStr"/>
      <c r="Q1770" t="inlineStr"/>
      <c r="R1770" t="inlineStr">
        <is>
          <t>Alltid</t>
        </is>
      </c>
      <c r="S1770" t="inlineStr"/>
      <c r="T1770" t="inlineStr">
        <is>
          <t>559481</t>
        </is>
      </c>
      <c r="U1770" t="inlineStr"/>
      <c r="V1770" t="inlineStr"/>
      <c r="W1770" t="inlineStr">
        <is>
          <t>Nej</t>
        </is>
      </c>
      <c r="X1770" t="inlineStr">
        <is>
          <t>Nej</t>
        </is>
      </c>
      <c r="Y1770" t="inlineStr">
        <is>
          <t>Nej</t>
        </is>
      </c>
      <c r="Z1770" t="inlineStr">
        <is>
          <t>Nej</t>
        </is>
      </c>
      <c r="AA1770" t="n">
        <v>10</v>
      </c>
      <c r="AB1770" t="inlineStr">
        <is>
          <t>Miljopaverkan och forsiktighetsmatt</t>
        </is>
      </c>
      <c r="AC1770" t="inlineStr">
        <is>
          <t>Miljo-PM</t>
        </is>
      </c>
      <c r="AD1770" t="inlineStr">
        <is>
          <t>Nej</t>
        </is>
      </c>
      <c r="AE1770" t="inlineStr">
        <is>
          <t>Nej</t>
        </is>
      </c>
      <c r="AF1770" t="inlineStr">
        <is>
          <t>Ej behandlad</t>
        </is>
      </c>
      <c r="AG1770" t="inlineStr">
        <is>
          <t>AUTO_GENERERAD. Verifiera citat mot kallfil.</t>
        </is>
      </c>
      <c r="AH1770" t="inlineStr">
        <is>
          <t>MEDIUM</t>
        </is>
      </c>
      <c r="AI1770" t="inlineStr">
        <is>
          <t>AUTO</t>
        </is>
      </c>
      <c r="AJ1770" t="inlineStr">
        <is>
          <t>Nej</t>
        </is>
      </c>
      <c r="AK1770" t="inlineStr"/>
      <c r="AL1770" t="inlineStr"/>
      <c r="AM1770" t="inlineStr"/>
      <c r="AN1770" t="inlineStr"/>
      <c r="AO1770" t="inlineStr">
        <is>
          <t>cmm4yunzk017hcuqw4gd878mw</t>
        </is>
      </c>
      <c r="AP1770" t="inlineStr">
        <is>
          <t>http://localhost:8787/api/admin/requirements/documents/cmm4yunzk017hcuqw4gd878mw/view</t>
        </is>
      </c>
      <c r="AQ1770">
        <f>HYPERLÄNK("http://localhost:8787/api/admin/requirements/documents/cmm4yunzk017hcuqw4gd878mw/view";"Öppna PDF")</f>
        <v/>
      </c>
      <c r="AR1770">
        <f>HYPERLINK("http://localhost:8787/api/admin/requirements/documents/cmm4yunzk017hcuqw4gd878mw/view","Open PDF")</f>
        <v/>
      </c>
      <c r="AS1770" t="inlineStr">
        <is>
          <t>cmm55w57p0004cuisfrtpqly8</t>
        </is>
      </c>
      <c r="AT1770" t="inlineStr">
        <is>
          <t>cmm4xvu980000cuh4vj0usz09</t>
        </is>
      </c>
      <c r="AU1770" t="inlineStr">
        <is>
          <t>Samhällsbyggnadsnämnden Beslut Gnesta</t>
        </is>
      </c>
      <c r="AV1770" t="inlineStr">
        <is>
          <t>Kommun</t>
        </is>
      </c>
      <c r="AW1770" t="inlineStr">
        <is>
          <t>Samhällsbyggnadsnämnden Beslut Gnesta kommun</t>
        </is>
      </c>
      <c r="AX1770" t="inlineStr">
        <is>
          <t>2025-02</t>
        </is>
      </c>
      <c r="AY1770" t="inlineStr">
        <is>
          <t>Beslut</t>
        </is>
      </c>
      <c r="AZ1770" t="inlineStr">
        <is>
          <t>2026-02-03</t>
        </is>
      </c>
      <c r="BA1770" t="inlineStr">
        <is>
          <t>MIL2024149_2026-02-03.pdf</t>
        </is>
      </c>
      <c r="BB1770" t="inlineStr">
        <is>
          <t>VB: Mejl från kommunens gemensamma mejlkorg [2026GT3137]</t>
        </is>
      </c>
      <c r="BC1770" t="inlineStr">
        <is>
          <t>AUTO</t>
        </is>
      </c>
      <c r="BD1770" t="inlineStr"/>
      <c r="BE1770" t="inlineStr"/>
      <c r="BF1770" t="inlineStr">
        <is>
          <t>AUTO_GENERERAD. Bekrafta metadata mot kallfil.</t>
        </is>
      </c>
      <c r="BG1770">
        <f>HYPERLINK("C:\Users\jimmy\Desktop\Examens arbete\Kod\Ny mapp\remix_-copy-of-miljöbeslut.se-portal\MIL2024149_2026-02-03.pdf", "Öppna PDF")</f>
        <v/>
      </c>
    </row>
    <row r="1771">
      <c r="A1771" t="inlineStr">
        <is>
          <t>KRAV-AUTO-001770</t>
        </is>
      </c>
      <c r="B1771" t="inlineStr">
        <is>
          <t>ADMIN-INDEX-2026-02-27-00000000125C043F57453246863FE664CAFE6A3F0700950291EA24F0614FB6ACEDB12BF0E31D00000000010C0000950291EA24F0614FB6ACEDB12BF0E31D00002087AEFB0000</t>
        </is>
      </c>
      <c r="C1771" t="inlineStr">
        <is>
          <t>cmm4yunzh017ecuqwshzu14mr</t>
        </is>
      </c>
      <c r="D1771" t="inlineStr">
        <is>
          <t>http://localhost:8787/api/admin/requirements/documents/cmm4yunzh017ecuqwshzu14mr/view</t>
        </is>
      </c>
      <c r="E1771">
        <f>HYPERLÄNK("http://localhost:8787/api/admin/requirements/documents/cmm4yunzh017ecuqwshzu14mr/view";"Öppna PDF")</f>
        <v/>
      </c>
      <c r="F1771">
        <f>HYPERLINK("http://localhost:8787/api/admin/requirements/documents/cmm4yunzh017ecuqwshzu14mr/view","Open PDF")</f>
        <v/>
      </c>
      <c r="G1771" t="inlineStr">
        <is>
          <t>cmm55w57p0004cuisfrtpqly8</t>
        </is>
      </c>
      <c r="H1771" t="inlineStr">
        <is>
          <t>Beslutsvillkor</t>
        </is>
      </c>
      <c r="I1771" t="inlineStr">
        <is>
          <t>LagringsvolymTid</t>
        </is>
      </c>
      <c r="J1771" t="inlineStr">
        <is>
          <t>Maxmangd</t>
        </is>
      </c>
      <c r="K1771" t="inlineStr">
        <is>
          <t>Rättslig grund för behandlingen En arbetsuppgift i samband med myndighetsutövning ska kunna utföras Lagringstid Bevaras Övrigt om lagringstid Läs mer om behandling av personuppgifter under Personuppgifter i menyn ovan.</t>
        </is>
      </c>
      <c r="L1771" t="inlineStr">
        <is>
          <t>Rättslig grund för behandlingen En arbetsuppgift i samband med myndighetsutövning ska kunna utföras Lagringstid Bevaras Övrigt om lagringstid Läs mer om behandling av personuppgifter under Personuppgifter i menyn ovan.</t>
        </is>
      </c>
      <c r="M1771" t="inlineStr">
        <is>
          <t>SKA</t>
        </is>
      </c>
      <c r="N1771" t="inlineStr"/>
      <c r="O1771" t="inlineStr"/>
      <c r="P1771" t="inlineStr"/>
      <c r="Q1771" t="inlineStr"/>
      <c r="R1771" t="inlineStr">
        <is>
          <t>Alltid</t>
        </is>
      </c>
      <c r="S1771" t="inlineStr"/>
      <c r="T1771" t="inlineStr">
        <is>
          <t>559481</t>
        </is>
      </c>
      <c r="U1771" t="inlineStr"/>
      <c r="V1771" t="inlineStr"/>
      <c r="W1771" t="inlineStr">
        <is>
          <t>Nej</t>
        </is>
      </c>
      <c r="X1771" t="inlineStr">
        <is>
          <t>Nej</t>
        </is>
      </c>
      <c r="Y1771" t="inlineStr">
        <is>
          <t>Nej</t>
        </is>
      </c>
      <c r="Z1771" t="inlineStr">
        <is>
          <t>Nej</t>
        </is>
      </c>
      <c r="AA1771" t="n">
        <v>4</v>
      </c>
      <c r="AB1771" t="inlineStr">
        <is>
          <t>Avfallsmangder och lagringstid</t>
        </is>
      </c>
      <c r="AC1771" t="inlineStr">
        <is>
          <t>Avfallsforteckning</t>
        </is>
      </c>
      <c r="AD1771" t="inlineStr">
        <is>
          <t>Nej</t>
        </is>
      </c>
      <c r="AE1771" t="inlineStr">
        <is>
          <t>Nej</t>
        </is>
      </c>
      <c r="AF1771" t="inlineStr">
        <is>
          <t>Ej behandlad</t>
        </is>
      </c>
      <c r="AG1771" t="inlineStr">
        <is>
          <t>AUTO_GENERERAD. Verifiera citat mot kallfil.</t>
        </is>
      </c>
      <c r="AH1771" t="inlineStr">
        <is>
          <t>MEDIUM</t>
        </is>
      </c>
      <c r="AI1771" t="inlineStr">
        <is>
          <t>AUTO</t>
        </is>
      </c>
      <c r="AJ1771" t="inlineStr">
        <is>
          <t>Nej</t>
        </is>
      </c>
      <c r="AK1771" t="inlineStr"/>
      <c r="AL1771" t="inlineStr"/>
      <c r="AM1771" t="inlineStr"/>
      <c r="AN1771" t="inlineStr"/>
      <c r="AO1771" t="inlineStr">
        <is>
          <t>cmm4yunzk017hcuqw4gd878mw</t>
        </is>
      </c>
      <c r="AP1771" t="inlineStr">
        <is>
          <t>http://localhost:8787/api/admin/requirements/documents/cmm4yunzk017hcuqw4gd878mw/view</t>
        </is>
      </c>
      <c r="AQ1771">
        <f>HYPERLÄNK("http://localhost:8787/api/admin/requirements/documents/cmm4yunzk017hcuqw4gd878mw/view";"Öppna PDF")</f>
        <v/>
      </c>
      <c r="AR1771">
        <f>HYPERLINK("http://localhost:8787/api/admin/requirements/documents/cmm4yunzk017hcuqw4gd878mw/view","Open PDF")</f>
        <v/>
      </c>
      <c r="AS1771" t="inlineStr">
        <is>
          <t>cmm55w57p0004cuisfrtpqly8</t>
        </is>
      </c>
      <c r="AT1771" t="inlineStr">
        <is>
          <t>cmm4xvu980000cuh4vj0usz09</t>
        </is>
      </c>
      <c r="AU1771" t="inlineStr">
        <is>
          <t>Samhällsbyggnadsnämnden Beslut Gnesta</t>
        </is>
      </c>
      <c r="AV1771" t="inlineStr">
        <is>
          <t>Kommun</t>
        </is>
      </c>
      <c r="AW1771" t="inlineStr">
        <is>
          <t>Samhällsbyggnadsnämnden Beslut Gnesta kommun</t>
        </is>
      </c>
      <c r="AX1771" t="inlineStr">
        <is>
          <t>2025-02</t>
        </is>
      </c>
      <c r="AY1771" t="inlineStr">
        <is>
          <t>Beslut</t>
        </is>
      </c>
      <c r="AZ1771" t="inlineStr">
        <is>
          <t>2026-02-03</t>
        </is>
      </c>
      <c r="BA1771" t="inlineStr">
        <is>
          <t>MIL2024149_2026-02-03.pdf</t>
        </is>
      </c>
      <c r="BB1771" t="inlineStr">
        <is>
          <t>VB: Mejl från kommunens gemensamma mejlkorg [2026GT3137]</t>
        </is>
      </c>
      <c r="BC1771" t="inlineStr">
        <is>
          <t>AUTO</t>
        </is>
      </c>
      <c r="BD1771" t="inlineStr"/>
      <c r="BE1771" t="inlineStr"/>
      <c r="BF1771" t="inlineStr">
        <is>
          <t>AUTO_GENERERAD. Bekrafta metadata mot kallfil.</t>
        </is>
      </c>
      <c r="BG1771">
        <f>HYPERLINK("C:\Users\jimmy\Desktop\Examens arbete\Kod\Ny mapp\remix_-copy-of-miljöbeslut.se-portal\MIL2024149_2026-02-03.pdf", "Öppna PDF")</f>
        <v/>
      </c>
    </row>
    <row r="1772">
      <c r="A1772" t="inlineStr">
        <is>
          <t>KRAV-AUTO-001771</t>
        </is>
      </c>
      <c r="B1772" t="inlineStr">
        <is>
          <t>ADMIN-INDEX-2026-02-27-00000000125C043F57453246863FE664CAFE6A3F0700950291EA24F0614FB6ACEDB12BF0E31D00000000010C0000950291EA24F0614FB6ACEDB12BF0E31D00002087AEFC0000</t>
        </is>
      </c>
      <c r="C1772" t="inlineStr">
        <is>
          <t>cmm4yunze017bcuqwnizar72s</t>
        </is>
      </c>
      <c r="D1772" t="inlineStr">
        <is>
          <t>http://localhost:8787/api/admin/requirements/documents/cmm4yunze017bcuqwnizar72s/view</t>
        </is>
      </c>
      <c r="E1772">
        <f>HYPERLÄNK("http://localhost:8787/api/admin/requirements/documents/cmm4yunze017bcuqwnizar72s/view";"Öppna PDF")</f>
        <v/>
      </c>
      <c r="F1772">
        <f>HYPERLINK("http://localhost:8787/api/admin/requirements/documents/cmm4yunze017bcuqwnizar72s/view","Open PDF")</f>
        <v/>
      </c>
      <c r="G1772" t="inlineStr">
        <is>
          <t>cmm55w57p0004cuisfrtpqly8</t>
        </is>
      </c>
      <c r="H1772" t="inlineStr">
        <is>
          <t>Beslutsvillkor</t>
        </is>
      </c>
      <c r="I1772" t="inlineStr">
        <is>
          <t>MiljopaverkanForsiktighet</t>
        </is>
      </c>
      <c r="J1772" t="inlineStr">
        <is>
          <t>Skyddsatgarder</t>
        </is>
      </c>
      <c r="K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72" t="inlineStr">
        <is>
          <t>SKA</t>
        </is>
      </c>
      <c r="N1772" t="inlineStr">
        <is>
          <t>FMH</t>
        </is>
      </c>
      <c r="O1772" t="inlineStr">
        <is>
          <t>2025-03-03</t>
        </is>
      </c>
      <c r="P1772" t="inlineStr">
        <is>
          <t>Arlig</t>
        </is>
      </c>
      <c r="Q1772" t="inlineStr"/>
      <c r="R1772" t="inlineStr">
        <is>
          <t>Alltid</t>
        </is>
      </c>
      <c r="S1772" t="inlineStr"/>
      <c r="T1772" t="inlineStr">
        <is>
          <t>212000</t>
        </is>
      </c>
      <c r="U1772" t="inlineStr"/>
      <c r="V1772" t="inlineStr"/>
      <c r="W1772" t="inlineStr">
        <is>
          <t>Nej</t>
        </is>
      </c>
      <c r="X1772" t="inlineStr">
        <is>
          <t>Nej</t>
        </is>
      </c>
      <c r="Y1772" t="inlineStr">
        <is>
          <t>Nej</t>
        </is>
      </c>
      <c r="Z1772" t="inlineStr">
        <is>
          <t>Nej</t>
        </is>
      </c>
      <c r="AA1772" t="n">
        <v>10</v>
      </c>
      <c r="AB1772" t="inlineStr">
        <is>
          <t>Miljopaverkan och forsiktighetsmatt</t>
        </is>
      </c>
      <c r="AC1772" t="inlineStr">
        <is>
          <t>Miljo-PM</t>
        </is>
      </c>
      <c r="AD1772" t="inlineStr">
        <is>
          <t>Nej</t>
        </is>
      </c>
      <c r="AE1772" t="inlineStr">
        <is>
          <t>Nej</t>
        </is>
      </c>
      <c r="AF1772" t="inlineStr">
        <is>
          <t>Ej behandlad</t>
        </is>
      </c>
      <c r="AG1772" t="inlineStr">
        <is>
          <t>AUTO_GENERERAD. Verifiera citat mot kallfil.</t>
        </is>
      </c>
      <c r="AH1772" t="inlineStr">
        <is>
          <t>HIGH</t>
        </is>
      </c>
      <c r="AI1772" t="inlineStr">
        <is>
          <t>AUTO</t>
        </is>
      </c>
      <c r="AJ1772" t="inlineStr">
        <is>
          <t>Nej</t>
        </is>
      </c>
      <c r="AK1772" t="inlineStr"/>
      <c r="AL1772" t="inlineStr"/>
      <c r="AM1772" t="inlineStr"/>
      <c r="AN1772" t="inlineStr"/>
      <c r="AO1772" t="inlineStr">
        <is>
          <t>cmm4yunze017bcuqwnizar72s</t>
        </is>
      </c>
      <c r="AP1772" t="inlineStr">
        <is>
          <t>http://localhost:8787/api/admin/requirements/documents/cmm4yunze017bcuqwnizar72s/view</t>
        </is>
      </c>
      <c r="AQ1772">
        <f>HYPERLÄNK("http://localhost:8787/api/admin/requirements/documents/cmm4yunze017bcuqwnizar72s/view";"Öppna PDF")</f>
        <v/>
      </c>
      <c r="AR1772">
        <f>HYPERLINK("http://localhost:8787/api/admin/requirements/documents/cmm4yunze017bcuqwnizar72s/view","Open PDF")</f>
        <v/>
      </c>
      <c r="AS1772" t="inlineStr">
        <is>
          <t>cmm55w57p0004cuisfrtpqly8</t>
        </is>
      </c>
      <c r="AT1772" t="inlineStr">
        <is>
          <t>cmm4xvu980000cuh4vj0usz09</t>
        </is>
      </c>
      <c r="AU1772" t="inlineStr">
        <is>
          <t>Samhällsbyggnadsnämnden Beslut Gnesta</t>
        </is>
      </c>
      <c r="AV1772" t="inlineStr">
        <is>
          <t>Kommun</t>
        </is>
      </c>
      <c r="AW1772" t="inlineStr">
        <is>
          <t>Samhällsbyggnadsnämnden Beslut Gnesta kommun</t>
        </is>
      </c>
      <c r="AX1772" t="inlineStr">
        <is>
          <t>2025-02</t>
        </is>
      </c>
      <c r="AY1772" t="inlineStr">
        <is>
          <t>Beslut</t>
        </is>
      </c>
      <c r="AZ1772" t="inlineStr">
        <is>
          <t>2026-02-03</t>
        </is>
      </c>
      <c r="BA1772" t="inlineStr">
        <is>
          <t>MIL2024149_2026-02-03.pdf</t>
        </is>
      </c>
      <c r="BB1772" t="inlineStr">
        <is>
          <t>VB: Mejl från kommunens gemensamma mejlkorg [2026GT3137]</t>
        </is>
      </c>
      <c r="BC1772" t="inlineStr">
        <is>
          <t>AUTO</t>
        </is>
      </c>
      <c r="BD1772" t="inlineStr"/>
      <c r="BE1772" t="inlineStr"/>
      <c r="BF1772" t="inlineStr">
        <is>
          <t>AUTO_GENERERAD. Bekrafta metadata mot kallfil.</t>
        </is>
      </c>
      <c r="BG1772">
        <f>HYPERLINK("C:\Users\jimmy\Desktop\Examens arbete\Kod\Ny mapp\remix_-copy-of-miljöbeslut.se-portal\MIL2024149_2026-02-03.pdf", "Öppna PDF")</f>
        <v/>
      </c>
    </row>
    <row r="1773">
      <c r="A1773" t="inlineStr">
        <is>
          <t>KRAV-AUTO-001772</t>
        </is>
      </c>
      <c r="B1773" t="inlineStr">
        <is>
          <t>ADMIN-INDEX-2026-02-27-00000000125C043F57453246863FE664CAFE6A3F0700950291EA24F0614FB6ACEDB12BF0E31D00000000010C0000950291EA24F0614FB6ACEDB12BF0E31D00002087AEFC0000</t>
        </is>
      </c>
      <c r="C1773" t="inlineStr">
        <is>
          <t>cmm4yunze017bcuqwnizar72s</t>
        </is>
      </c>
      <c r="D1773" t="inlineStr">
        <is>
          <t>http://localhost:8787/api/admin/requirements/documents/cmm4yunze017bcuqwnizar72s/view</t>
        </is>
      </c>
      <c r="E1773">
        <f>HYPERLÄNK("http://localhost:8787/api/admin/requirements/documents/cmm4yunze017bcuqwnizar72s/view";"Öppna PDF")</f>
        <v/>
      </c>
      <c r="F1773">
        <f>HYPERLINK("http://localhost:8787/api/admin/requirements/documents/cmm4yunze017bcuqwnizar72s/view","Open PDF")</f>
        <v/>
      </c>
      <c r="G1773" t="inlineStr">
        <is>
          <t>cmm55w57p0004cuisfrtpqly8</t>
        </is>
      </c>
      <c r="H1773" t="inlineStr">
        <is>
          <t>Beslutsvillkor</t>
        </is>
      </c>
      <c r="I1773" t="inlineStr">
        <is>
          <t>DriftEgenkontroll</t>
        </is>
      </c>
      <c r="J1773" t="inlineStr">
        <is>
          <t>Journalforing</t>
        </is>
      </c>
      <c r="K1773" t="inlineStr">
        <is>
          <t>Det befintliga kontrollprogrammet måste uppdateras för att stämma överens med de försiktighetsmått som ställs i detta föreläggande.</t>
        </is>
      </c>
      <c r="L1773" t="inlineStr">
        <is>
          <t>Det befintliga kontrollprogrammet måste uppdateras för att stämma överens med de försiktighetsmått som ställs i detta föreläggande.</t>
        </is>
      </c>
      <c r="M1773" t="inlineStr">
        <is>
          <t>SKA</t>
        </is>
      </c>
      <c r="N1773" t="inlineStr"/>
      <c r="O1773" t="inlineStr"/>
      <c r="P1773" t="inlineStr"/>
      <c r="Q1773" t="inlineStr">
        <is>
          <t>Forelaggande vid brist</t>
        </is>
      </c>
      <c r="R1773" t="inlineStr">
        <is>
          <t>Lopande drift</t>
        </is>
      </c>
      <c r="S1773" t="inlineStr"/>
      <c r="T1773" t="inlineStr">
        <is>
          <t>212000</t>
        </is>
      </c>
      <c r="U1773" t="inlineStr"/>
      <c r="V1773" t="inlineStr"/>
      <c r="W1773" t="inlineStr">
        <is>
          <t>Nej</t>
        </is>
      </c>
      <c r="X1773" t="inlineStr">
        <is>
          <t>Nej</t>
        </is>
      </c>
      <c r="Y1773" t="inlineStr">
        <is>
          <t>Ja</t>
        </is>
      </c>
      <c r="Z1773" t="inlineStr">
        <is>
          <t>Nej</t>
        </is>
      </c>
      <c r="AA1773" t="n">
        <v>7</v>
      </c>
      <c r="AB1773" t="inlineStr">
        <is>
          <t>Egenkontrollrutiner</t>
        </is>
      </c>
      <c r="AC1773" t="inlineStr">
        <is>
          <t>Egenkontrollprogram</t>
        </is>
      </c>
      <c r="AD1773" t="inlineStr">
        <is>
          <t>Nej</t>
        </is>
      </c>
      <c r="AE1773" t="inlineStr">
        <is>
          <t>Nej</t>
        </is>
      </c>
      <c r="AF1773" t="inlineStr">
        <is>
          <t>Ej behandlad</t>
        </is>
      </c>
      <c r="AG1773" t="inlineStr">
        <is>
          <t>AUTO_GENERERAD. Verifiera citat mot kallfil.</t>
        </is>
      </c>
      <c r="AH1773" t="inlineStr">
        <is>
          <t>MEDIUM</t>
        </is>
      </c>
      <c r="AI1773" t="inlineStr">
        <is>
          <t>AUTO</t>
        </is>
      </c>
      <c r="AJ1773" t="inlineStr">
        <is>
          <t>Nej</t>
        </is>
      </c>
      <c r="AK1773" t="inlineStr"/>
      <c r="AL1773" t="inlineStr"/>
      <c r="AM1773" t="inlineStr"/>
      <c r="AN1773" t="inlineStr"/>
      <c r="AO1773" t="inlineStr">
        <is>
          <t>cmm4yunze017bcuqwnizar72s</t>
        </is>
      </c>
      <c r="AP1773" t="inlineStr">
        <is>
          <t>http://localhost:8787/api/admin/requirements/documents/cmm4yunze017bcuqwnizar72s/view</t>
        </is>
      </c>
      <c r="AQ1773">
        <f>HYPERLÄNK("http://localhost:8787/api/admin/requirements/documents/cmm4yunze017bcuqwnizar72s/view";"Öppna PDF")</f>
        <v/>
      </c>
      <c r="AR1773">
        <f>HYPERLINK("http://localhost:8787/api/admin/requirements/documents/cmm4yunze017bcuqwnizar72s/view","Open PDF")</f>
        <v/>
      </c>
      <c r="AS1773" t="inlineStr">
        <is>
          <t>cmm55w57p0004cuisfrtpqly8</t>
        </is>
      </c>
      <c r="AT1773" t="inlineStr">
        <is>
          <t>cmm4xvu980000cuh4vj0usz09</t>
        </is>
      </c>
      <c r="AU1773" t="inlineStr">
        <is>
          <t>Samhällsbyggnadsnämnden Beslut Gnesta</t>
        </is>
      </c>
      <c r="AV1773" t="inlineStr">
        <is>
          <t>Kommun</t>
        </is>
      </c>
      <c r="AW1773" t="inlineStr">
        <is>
          <t>Samhällsbyggnadsnämnden Beslut Gnesta kommun</t>
        </is>
      </c>
      <c r="AX1773" t="inlineStr">
        <is>
          <t>2025-02</t>
        </is>
      </c>
      <c r="AY1773" t="inlineStr">
        <is>
          <t>Beslut</t>
        </is>
      </c>
      <c r="AZ1773" t="inlineStr">
        <is>
          <t>2026-02-03</t>
        </is>
      </c>
      <c r="BA1773" t="inlineStr">
        <is>
          <t>MIL2024149_2026-02-03.pdf</t>
        </is>
      </c>
      <c r="BB1773" t="inlineStr">
        <is>
          <t>VB: Mejl från kommunens gemensamma mejlkorg [2026GT3137]</t>
        </is>
      </c>
      <c r="BC1773" t="inlineStr">
        <is>
          <t>AUTO</t>
        </is>
      </c>
      <c r="BD1773" t="inlineStr"/>
      <c r="BE1773" t="inlineStr"/>
      <c r="BF1773" t="inlineStr">
        <is>
          <t>AUTO_GENERERAD. Bekrafta metadata mot kallfil.</t>
        </is>
      </c>
      <c r="BG1773">
        <f>HYPERLINK("C:\Users\jimmy\Desktop\Examens arbete\Kod\Ny mapp\remix_-copy-of-miljöbeslut.se-portal\MIL2024149_2026-02-03.pdf", "Öppna PDF")</f>
        <v/>
      </c>
    </row>
    <row r="1774">
      <c r="A1774" t="inlineStr">
        <is>
          <t>KRAV-AUTO-001773</t>
        </is>
      </c>
      <c r="B1774" t="inlineStr">
        <is>
          <t>ADMIN-INDEX-2026-02-27-00000000125C043F57453246863FE664CAFE6A3F0700950291EA24F0614FB6ACEDB12BF0E31D00000000010C0000950291EA24F0614FB6ACEDB12BF0E31D00002087AEFC0000</t>
        </is>
      </c>
      <c r="C1774" t="inlineStr">
        <is>
          <t>cmm4yunze017bcuqwnizar72s</t>
        </is>
      </c>
      <c r="D1774" t="inlineStr">
        <is>
          <t>http://localhost:8787/api/admin/requirements/documents/cmm4yunze017bcuqwnizar72s/view</t>
        </is>
      </c>
      <c r="E1774">
        <f>HYPERLÄNK("http://localhost:8787/api/admin/requirements/documents/cmm4yunze017bcuqwnizar72s/view";"Öppna PDF")</f>
        <v/>
      </c>
      <c r="F1774">
        <f>HYPERLINK("http://localhost:8787/api/admin/requirements/documents/cmm4yunze017bcuqwnizar72s/view","Open PDF")</f>
        <v/>
      </c>
      <c r="G1774" t="inlineStr">
        <is>
          <t>cmm55w57p0004cuisfrtpqly8</t>
        </is>
      </c>
      <c r="H1774" t="inlineStr">
        <is>
          <t>Beslutsvillkor</t>
        </is>
      </c>
      <c r="I1774" t="inlineStr">
        <is>
          <t>Ytkonstruktion</t>
        </is>
      </c>
      <c r="J1774" t="inlineStr">
        <is>
          <t>Tat yta</t>
        </is>
      </c>
      <c r="K1774" t="inlineStr">
        <is>
          <t>Det mellanlagrade avfallet som lagras utomhus ska enbart placeras och samlas ovanpå den hårdgjord ytan som finns.</t>
        </is>
      </c>
      <c r="L1774" t="inlineStr">
        <is>
          <t>Det mellanlagrade avfallet som lagras utomhus ska enbart placeras och samlas ovanpå den hårdgjord ytan som finns.</t>
        </is>
      </c>
      <c r="M1774" t="inlineStr">
        <is>
          <t>SKA</t>
        </is>
      </c>
      <c r="N1774" t="inlineStr"/>
      <c r="O1774" t="inlineStr"/>
      <c r="P1774" t="inlineStr"/>
      <c r="Q1774" t="inlineStr"/>
      <c r="R1774" t="inlineStr">
        <is>
          <t>Vid mellanlagring av avfall</t>
        </is>
      </c>
      <c r="S1774" t="inlineStr"/>
      <c r="T1774" t="inlineStr">
        <is>
          <t>212000</t>
        </is>
      </c>
      <c r="U1774" t="inlineStr"/>
      <c r="V1774" t="inlineStr"/>
      <c r="W1774" t="inlineStr">
        <is>
          <t>Ja</t>
        </is>
      </c>
      <c r="X1774" t="inlineStr">
        <is>
          <t>Nej</t>
        </is>
      </c>
      <c r="Y1774" t="inlineStr">
        <is>
          <t>Nej</t>
        </is>
      </c>
      <c r="Z1774" t="inlineStr">
        <is>
          <t>Nej</t>
        </is>
      </c>
      <c r="AA1774" t="n">
        <v>5</v>
      </c>
      <c r="AB1774" t="inlineStr">
        <is>
          <t>Teknisk beskrivning av platta</t>
        </is>
      </c>
      <c r="AC1774" t="inlineStr">
        <is>
          <t>Teknisk ritning platta</t>
        </is>
      </c>
      <c r="AD1774" t="inlineStr">
        <is>
          <t>Nej</t>
        </is>
      </c>
      <c r="AE1774" t="inlineStr">
        <is>
          <t>Nej</t>
        </is>
      </c>
      <c r="AF1774" t="inlineStr">
        <is>
          <t>Ej behandlad</t>
        </is>
      </c>
      <c r="AG1774" t="inlineStr">
        <is>
          <t>AUTO_GENERERAD. Verifiera citat mot kallfil.</t>
        </is>
      </c>
      <c r="AH1774" t="inlineStr">
        <is>
          <t>MEDIUM</t>
        </is>
      </c>
      <c r="AI1774" t="inlineStr">
        <is>
          <t>AUTO</t>
        </is>
      </c>
      <c r="AJ1774" t="inlineStr">
        <is>
          <t>Nej</t>
        </is>
      </c>
      <c r="AK1774" t="inlineStr"/>
      <c r="AL1774" t="inlineStr"/>
      <c r="AM1774" t="inlineStr"/>
      <c r="AN1774" t="inlineStr"/>
      <c r="AO1774" t="inlineStr">
        <is>
          <t>cmm4yunze017bcuqwnizar72s</t>
        </is>
      </c>
      <c r="AP1774" t="inlineStr">
        <is>
          <t>http://localhost:8787/api/admin/requirements/documents/cmm4yunze017bcuqwnizar72s/view</t>
        </is>
      </c>
      <c r="AQ1774">
        <f>HYPERLÄNK("http://localhost:8787/api/admin/requirements/documents/cmm4yunze017bcuqwnizar72s/view";"Öppna PDF")</f>
        <v/>
      </c>
      <c r="AR1774">
        <f>HYPERLINK("http://localhost:8787/api/admin/requirements/documents/cmm4yunze017bcuqwnizar72s/view","Open PDF")</f>
        <v/>
      </c>
      <c r="AS1774" t="inlineStr">
        <is>
          <t>cmm55w57p0004cuisfrtpqly8</t>
        </is>
      </c>
      <c r="AT1774" t="inlineStr">
        <is>
          <t>cmm4xvu980000cuh4vj0usz09</t>
        </is>
      </c>
      <c r="AU1774" t="inlineStr">
        <is>
          <t>Samhällsbyggnadsnämnden Beslut Gnesta</t>
        </is>
      </c>
      <c r="AV1774" t="inlineStr">
        <is>
          <t>Kommun</t>
        </is>
      </c>
      <c r="AW1774" t="inlineStr">
        <is>
          <t>Samhällsbyggnadsnämnden Beslut Gnesta kommun</t>
        </is>
      </c>
      <c r="AX1774" t="inlineStr">
        <is>
          <t>2025-02</t>
        </is>
      </c>
      <c r="AY1774" t="inlineStr">
        <is>
          <t>Beslut</t>
        </is>
      </c>
      <c r="AZ1774" t="inlineStr">
        <is>
          <t>2026-02-03</t>
        </is>
      </c>
      <c r="BA1774" t="inlineStr">
        <is>
          <t>MIL2024149_2026-02-03.pdf</t>
        </is>
      </c>
      <c r="BB1774" t="inlineStr">
        <is>
          <t>VB: Mejl från kommunens gemensamma mejlkorg [2026GT3137]</t>
        </is>
      </c>
      <c r="BC1774" t="inlineStr">
        <is>
          <t>AUTO</t>
        </is>
      </c>
      <c r="BD1774" t="inlineStr"/>
      <c r="BE1774" t="inlineStr"/>
      <c r="BF1774" t="inlineStr">
        <is>
          <t>AUTO_GENERERAD. Bekrafta metadata mot kallfil.</t>
        </is>
      </c>
      <c r="BG1774">
        <f>HYPERLINK("C:\Users\jimmy\Desktop\Examens arbete\Kod\Ny mapp\remix_-copy-of-miljöbeslut.se-portal\MIL2024149_2026-02-03.pdf", "Öppna PDF")</f>
        <v/>
      </c>
    </row>
    <row r="1775">
      <c r="A1775" t="inlineStr">
        <is>
          <t>KRAV-AUTO-001774</t>
        </is>
      </c>
      <c r="B1775" t="inlineStr">
        <is>
          <t>ADMIN-INDEX-2026-02-27-00000000125C043F57453246863FE664CAFE6A3F0700950291EA24F0614FB6ACEDB12BF0E31D00000000010C0000950291EA24F0614FB6ACEDB12BF0E31D00002087AEFC0000</t>
        </is>
      </c>
      <c r="C1775" t="inlineStr">
        <is>
          <t>cmm4yunza0178cuqwujf9gm1r</t>
        </is>
      </c>
      <c r="D1775" t="inlineStr">
        <is>
          <t>http://localhost:8787/api/admin/requirements/documents/cmm4yunza0178cuqwujf9gm1r/view</t>
        </is>
      </c>
      <c r="E1775">
        <f>HYPERLÄNK("http://localhost:8787/api/admin/requirements/documents/cmm4yunza0178cuqwujf9gm1r/view";"Öppna PDF")</f>
        <v/>
      </c>
      <c r="F1775">
        <f>HYPERLINK("http://localhost:8787/api/admin/requirements/documents/cmm4yunza0178cuqwujf9gm1r/view","Open PDF")</f>
        <v/>
      </c>
      <c r="G1775" t="inlineStr">
        <is>
          <t>cmm55w57p0004cuisfrtpqly8</t>
        </is>
      </c>
      <c r="H1775" t="inlineStr">
        <is>
          <t>Beslutsvillkor</t>
        </is>
      </c>
      <c r="I1775" t="inlineStr">
        <is>
          <t>DriftEgenkontroll</t>
        </is>
      </c>
      <c r="J1775" t="inlineStr">
        <is>
          <t>Journalforing</t>
        </is>
      </c>
      <c r="K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75" t="inlineStr">
        <is>
          <t>SKA</t>
        </is>
      </c>
      <c r="N1775" t="inlineStr"/>
      <c r="O1775" t="inlineStr">
        <is>
          <t>2025-03-17</t>
        </is>
      </c>
      <c r="P1775" t="inlineStr"/>
      <c r="Q1775" t="inlineStr"/>
      <c r="R1775" t="inlineStr">
        <is>
          <t>Lopande drift</t>
        </is>
      </c>
      <c r="S1775" t="inlineStr"/>
      <c r="T1775" t="inlineStr">
        <is>
          <t>559481</t>
        </is>
      </c>
      <c r="U1775" t="inlineStr"/>
      <c r="V1775" t="inlineStr"/>
      <c r="W1775" t="inlineStr">
        <is>
          <t>Nej</t>
        </is>
      </c>
      <c r="X1775" t="inlineStr">
        <is>
          <t>Nej</t>
        </is>
      </c>
      <c r="Y1775" t="inlineStr">
        <is>
          <t>Ja</t>
        </is>
      </c>
      <c r="Z1775" t="inlineStr">
        <is>
          <t>Nej</t>
        </is>
      </c>
      <c r="AA1775" t="n">
        <v>7</v>
      </c>
      <c r="AB1775" t="inlineStr">
        <is>
          <t>Egenkontrollrutiner</t>
        </is>
      </c>
      <c r="AC1775" t="inlineStr">
        <is>
          <t>Egenkontrollprogram</t>
        </is>
      </c>
      <c r="AD1775" t="inlineStr">
        <is>
          <t>Nej</t>
        </is>
      </c>
      <c r="AE1775" t="inlineStr">
        <is>
          <t>Nej</t>
        </is>
      </c>
      <c r="AF1775" t="inlineStr">
        <is>
          <t>Ej behandlad</t>
        </is>
      </c>
      <c r="AG1775" t="inlineStr">
        <is>
          <t>AUTO_GENERERAD. Verifiera citat mot kallfil.</t>
        </is>
      </c>
      <c r="AH1775" t="inlineStr">
        <is>
          <t>MEDIUM</t>
        </is>
      </c>
      <c r="AI1775" t="inlineStr">
        <is>
          <t>AUTO</t>
        </is>
      </c>
      <c r="AJ1775" t="inlineStr">
        <is>
          <t>Nej</t>
        </is>
      </c>
      <c r="AK1775" t="inlineStr"/>
      <c r="AL1775" t="inlineStr"/>
      <c r="AM1775" t="inlineStr"/>
      <c r="AN1775" t="inlineStr"/>
      <c r="AO1775" t="inlineStr">
        <is>
          <t>cmm4yunze017bcuqwnizar72s</t>
        </is>
      </c>
      <c r="AP1775" t="inlineStr">
        <is>
          <t>http://localhost:8787/api/admin/requirements/documents/cmm4yunze017bcuqwnizar72s/view</t>
        </is>
      </c>
      <c r="AQ1775">
        <f>HYPERLÄNK("http://localhost:8787/api/admin/requirements/documents/cmm4yunze017bcuqwnizar72s/view";"Öppna PDF")</f>
        <v/>
      </c>
      <c r="AR1775">
        <f>HYPERLINK("http://localhost:8787/api/admin/requirements/documents/cmm4yunze017bcuqwnizar72s/view","Open PDF")</f>
        <v/>
      </c>
      <c r="AS1775" t="inlineStr">
        <is>
          <t>cmm55w57p0004cuisfrtpqly8</t>
        </is>
      </c>
      <c r="AT1775" t="inlineStr">
        <is>
          <t>cmm4xvu980000cuh4vj0usz09</t>
        </is>
      </c>
      <c r="AU1775" t="inlineStr">
        <is>
          <t>Samhällsbyggnadsnämnden Beslut Gnesta</t>
        </is>
      </c>
      <c r="AV1775" t="inlineStr">
        <is>
          <t>Kommun</t>
        </is>
      </c>
      <c r="AW1775" t="inlineStr">
        <is>
          <t>Samhällsbyggnadsnämnden Beslut Gnesta kommun</t>
        </is>
      </c>
      <c r="AX1775" t="inlineStr">
        <is>
          <t>2025-02</t>
        </is>
      </c>
      <c r="AY1775" t="inlineStr">
        <is>
          <t>Beslut</t>
        </is>
      </c>
      <c r="AZ1775" t="inlineStr">
        <is>
          <t>2026-02-03</t>
        </is>
      </c>
      <c r="BA1775" t="inlineStr">
        <is>
          <t>MIL2024149_2026-02-03.pdf</t>
        </is>
      </c>
      <c r="BB1775" t="inlineStr">
        <is>
          <t>VB: Mejl från kommunens gemensamma mejlkorg [2026GT3137]</t>
        </is>
      </c>
      <c r="BC1775" t="inlineStr">
        <is>
          <t>AUTO</t>
        </is>
      </c>
      <c r="BD1775" t="inlineStr"/>
      <c r="BE1775" t="inlineStr"/>
      <c r="BF1775" t="inlineStr">
        <is>
          <t>AUTO_GENERERAD. Bekrafta metadata mot kallfil.</t>
        </is>
      </c>
      <c r="BG1775">
        <f>HYPERLINK("C:\Users\jimmy\Desktop\Examens arbete\Kod\Ny mapp\remix_-copy-of-miljöbeslut.se-portal\MIL2024149_2026-02-03.pdf", "Öppna PDF")</f>
        <v/>
      </c>
    </row>
    <row r="1776">
      <c r="A1776" t="inlineStr">
        <is>
          <t>KRAV-AUTO-001775</t>
        </is>
      </c>
      <c r="B1776" t="inlineStr">
        <is>
          <t>ADMIN-INDEX-2026-02-27-00000000125C043F57453246863FE664CAFE6A3F0700950291EA24F0614FB6ACEDB12BF0E31D00000000010C0000950291EA24F0614FB6ACEDB12BF0E31D00002087AEFC0000</t>
        </is>
      </c>
      <c r="C1776" t="inlineStr">
        <is>
          <t>cmm4yunza0178cuqwujf9gm1r</t>
        </is>
      </c>
      <c r="D1776" t="inlineStr">
        <is>
          <t>http://localhost:8787/api/admin/requirements/documents/cmm4yunza0178cuqwujf9gm1r/view</t>
        </is>
      </c>
      <c r="E1776">
        <f>HYPERLÄNK("http://localhost:8787/api/admin/requirements/documents/cmm4yunza0178cuqwujf9gm1r/view";"Öppna PDF")</f>
        <v/>
      </c>
      <c r="F1776">
        <f>HYPERLINK("http://localhost:8787/api/admin/requirements/documents/cmm4yunza0178cuqwujf9gm1r/view","Open PDF")</f>
        <v/>
      </c>
      <c r="G1776" t="inlineStr">
        <is>
          <t>cmm55w57p0004cuisfrtpqly8</t>
        </is>
      </c>
      <c r="H1776" t="inlineStr">
        <is>
          <t>Beslutsvillkor</t>
        </is>
      </c>
      <c r="I1776" t="inlineStr">
        <is>
          <t>MiljopaverkanForsiktighet</t>
        </is>
      </c>
      <c r="J1776" t="inlineStr">
        <is>
          <t>Skyddsatgarder</t>
        </is>
      </c>
      <c r="K1776" t="inlineStr">
        <is>
          <t>Utredningen är en del av en ansökan om drift av en verksamhet för hantering av befintligt bergavfall, sluttäcka en gammal tipp samt utföra landskapsförändring.</t>
        </is>
      </c>
      <c r="L1776" t="inlineStr">
        <is>
          <t>Utredningen är en del av en ansökan om drift av en verksamhet för hantering av befintligt bergavfall, sluttäcka en gammal tipp samt utföra landskapsförändring.</t>
        </is>
      </c>
      <c r="M1776" t="inlineStr">
        <is>
          <t>SKA</t>
        </is>
      </c>
      <c r="N1776" t="inlineStr"/>
      <c r="O1776" t="inlineStr"/>
      <c r="P1776" t="inlineStr"/>
      <c r="Q1776" t="inlineStr"/>
      <c r="R1776" t="inlineStr">
        <is>
          <t>Alltid</t>
        </is>
      </c>
      <c r="S1776" t="inlineStr"/>
      <c r="T1776" t="inlineStr">
        <is>
          <t>559481</t>
        </is>
      </c>
      <c r="U1776" t="inlineStr"/>
      <c r="V1776" t="inlineStr"/>
      <c r="W1776" t="inlineStr">
        <is>
          <t>Nej</t>
        </is>
      </c>
      <c r="X1776" t="inlineStr">
        <is>
          <t>Nej</t>
        </is>
      </c>
      <c r="Y1776" t="inlineStr">
        <is>
          <t>Nej</t>
        </is>
      </c>
      <c r="Z1776" t="inlineStr">
        <is>
          <t>Nej</t>
        </is>
      </c>
      <c r="AA1776" t="n">
        <v>10</v>
      </c>
      <c r="AB1776" t="inlineStr">
        <is>
          <t>Miljopaverkan och forsiktighetsmatt</t>
        </is>
      </c>
      <c r="AC1776" t="inlineStr">
        <is>
          <t>Miljo-PM</t>
        </is>
      </c>
      <c r="AD1776" t="inlineStr">
        <is>
          <t>Nej</t>
        </is>
      </c>
      <c r="AE1776" t="inlineStr">
        <is>
          <t>Nej</t>
        </is>
      </c>
      <c r="AF1776" t="inlineStr">
        <is>
          <t>Ej behandlad</t>
        </is>
      </c>
      <c r="AG1776" t="inlineStr">
        <is>
          <t>AUTO_GENERERAD. Verifiera citat mot kallfil.</t>
        </is>
      </c>
      <c r="AH1776" t="inlineStr">
        <is>
          <t>MEDIUM</t>
        </is>
      </c>
      <c r="AI1776" t="inlineStr">
        <is>
          <t>AUTO</t>
        </is>
      </c>
      <c r="AJ1776" t="inlineStr">
        <is>
          <t>Nej</t>
        </is>
      </c>
      <c r="AK1776" t="inlineStr"/>
      <c r="AL1776" t="inlineStr"/>
      <c r="AM1776" t="inlineStr"/>
      <c r="AN1776" t="inlineStr"/>
      <c r="AO1776" t="inlineStr">
        <is>
          <t>cmm4yunze017bcuqwnizar72s</t>
        </is>
      </c>
      <c r="AP1776" t="inlineStr">
        <is>
          <t>http://localhost:8787/api/admin/requirements/documents/cmm4yunze017bcuqwnizar72s/view</t>
        </is>
      </c>
      <c r="AQ1776">
        <f>HYPERLÄNK("http://localhost:8787/api/admin/requirements/documents/cmm4yunze017bcuqwnizar72s/view";"Öppna PDF")</f>
        <v/>
      </c>
      <c r="AR1776">
        <f>HYPERLINK("http://localhost:8787/api/admin/requirements/documents/cmm4yunze017bcuqwnizar72s/view","Open PDF")</f>
        <v/>
      </c>
      <c r="AS1776" t="inlineStr">
        <is>
          <t>cmm55w57p0004cuisfrtpqly8</t>
        </is>
      </c>
      <c r="AT1776" t="inlineStr">
        <is>
          <t>cmm4xvu980000cuh4vj0usz09</t>
        </is>
      </c>
      <c r="AU1776" t="inlineStr">
        <is>
          <t>Samhällsbyggnadsnämnden Beslut Gnesta</t>
        </is>
      </c>
      <c r="AV1776" t="inlineStr">
        <is>
          <t>Kommun</t>
        </is>
      </c>
      <c r="AW1776" t="inlineStr">
        <is>
          <t>Samhällsbyggnadsnämnden Beslut Gnesta kommun</t>
        </is>
      </c>
      <c r="AX1776" t="inlineStr">
        <is>
          <t>2025-02</t>
        </is>
      </c>
      <c r="AY1776" t="inlineStr">
        <is>
          <t>Beslut</t>
        </is>
      </c>
      <c r="AZ1776" t="inlineStr">
        <is>
          <t>2026-02-03</t>
        </is>
      </c>
      <c r="BA1776" t="inlineStr">
        <is>
          <t>MIL2024149_2026-02-03.pdf</t>
        </is>
      </c>
      <c r="BB1776" t="inlineStr">
        <is>
          <t>VB: Mejl från kommunens gemensamma mejlkorg [2026GT3137]</t>
        </is>
      </c>
      <c r="BC1776" t="inlineStr">
        <is>
          <t>AUTO</t>
        </is>
      </c>
      <c r="BD1776" t="inlineStr"/>
      <c r="BE1776" t="inlineStr"/>
      <c r="BF1776" t="inlineStr">
        <is>
          <t>AUTO_GENERERAD. Bekrafta metadata mot kallfil.</t>
        </is>
      </c>
      <c r="BG1776">
        <f>HYPERLINK("C:\Users\jimmy\Desktop\Examens arbete\Kod\Ny mapp\remix_-copy-of-miljöbeslut.se-portal\MIL2024149_2026-02-03.pdf", "Öppna PDF")</f>
        <v/>
      </c>
    </row>
    <row r="1777">
      <c r="A1777" t="inlineStr">
        <is>
          <t>KRAV-AUTO-001776</t>
        </is>
      </c>
      <c r="B1777" t="inlineStr">
        <is>
          <t>ADMIN-INDEX-2026-02-27-00000000125C043F57453246863FE664CAFE6A3F0700950291EA24F0614FB6ACEDB12BF0E31D00000000010C0000950291EA24F0614FB6ACEDB12BF0E31D00002087AEFC0000</t>
        </is>
      </c>
      <c r="C1777" t="inlineStr">
        <is>
          <t>cmm4yunza0178cuqwujf9gm1r</t>
        </is>
      </c>
      <c r="D1777" t="inlineStr">
        <is>
          <t>http://localhost:8787/api/admin/requirements/documents/cmm4yunza0178cuqwujf9gm1r/view</t>
        </is>
      </c>
      <c r="E1777">
        <f>HYPERLÄNK("http://localhost:8787/api/admin/requirements/documents/cmm4yunza0178cuqwujf9gm1r/view";"Öppna PDF")</f>
        <v/>
      </c>
      <c r="F1777">
        <f>HYPERLINK("http://localhost:8787/api/admin/requirements/documents/cmm4yunza0178cuqwujf9gm1r/view","Open PDF")</f>
        <v/>
      </c>
      <c r="G1777" t="inlineStr">
        <is>
          <t>cmm55w57p0004cuisfrtpqly8</t>
        </is>
      </c>
      <c r="H1777" t="inlineStr">
        <is>
          <t>Beslutsvillkor</t>
        </is>
      </c>
      <c r="I1777" t="inlineStr">
        <is>
          <t>LagringsvolymTid</t>
        </is>
      </c>
      <c r="J1777" t="inlineStr">
        <is>
          <t>Maxmangd</t>
        </is>
      </c>
      <c r="K1777" t="inlineStr">
        <is>
          <t>Rättslig grund för behandlingen En arbetsuppgift i samband med myndighetsutövning ska kunna utföras Lagringstid Bevaras Övrigt om lagringstid Läs mer om behandling av personuppgifter under Personuppgifter i menyn ovan.</t>
        </is>
      </c>
      <c r="L1777" t="inlineStr">
        <is>
          <t>Rättslig grund för behandlingen En arbetsuppgift i samband med myndighetsutövning ska kunna utföras Lagringstid Bevaras Övrigt om lagringstid Läs mer om behandling av personuppgifter under Personuppgifter i menyn ovan.</t>
        </is>
      </c>
      <c r="M1777" t="inlineStr">
        <is>
          <t>SKA</t>
        </is>
      </c>
      <c r="N1777" t="inlineStr"/>
      <c r="O1777" t="inlineStr"/>
      <c r="P1777" t="inlineStr"/>
      <c r="Q1777" t="inlineStr"/>
      <c r="R1777" t="inlineStr">
        <is>
          <t>Alltid</t>
        </is>
      </c>
      <c r="S1777" t="inlineStr"/>
      <c r="T1777" t="inlineStr">
        <is>
          <t>559481</t>
        </is>
      </c>
      <c r="U1777" t="inlineStr"/>
      <c r="V1777" t="inlineStr"/>
      <c r="W1777" t="inlineStr">
        <is>
          <t>Nej</t>
        </is>
      </c>
      <c r="X1777" t="inlineStr">
        <is>
          <t>Nej</t>
        </is>
      </c>
      <c r="Y1777" t="inlineStr">
        <is>
          <t>Nej</t>
        </is>
      </c>
      <c r="Z1777" t="inlineStr">
        <is>
          <t>Nej</t>
        </is>
      </c>
      <c r="AA1777" t="n">
        <v>4</v>
      </c>
      <c r="AB1777" t="inlineStr">
        <is>
          <t>Avfallsmangder och lagringstid</t>
        </is>
      </c>
      <c r="AC1777" t="inlineStr">
        <is>
          <t>Avfallsforteckning</t>
        </is>
      </c>
      <c r="AD1777" t="inlineStr">
        <is>
          <t>Nej</t>
        </is>
      </c>
      <c r="AE1777" t="inlineStr">
        <is>
          <t>Nej</t>
        </is>
      </c>
      <c r="AF1777" t="inlineStr">
        <is>
          <t>Ej behandlad</t>
        </is>
      </c>
      <c r="AG1777" t="inlineStr">
        <is>
          <t>AUTO_GENERERAD. Verifiera citat mot kallfil.</t>
        </is>
      </c>
      <c r="AH1777" t="inlineStr">
        <is>
          <t>MEDIUM</t>
        </is>
      </c>
      <c r="AI1777" t="inlineStr">
        <is>
          <t>AUTO</t>
        </is>
      </c>
      <c r="AJ1777" t="inlineStr">
        <is>
          <t>Nej</t>
        </is>
      </c>
      <c r="AK1777" t="inlineStr"/>
      <c r="AL1777" t="inlineStr"/>
      <c r="AM1777" t="inlineStr"/>
      <c r="AN1777" t="inlineStr"/>
      <c r="AO1777" t="inlineStr">
        <is>
          <t>cmm4yunze017bcuqwnizar72s</t>
        </is>
      </c>
      <c r="AP1777" t="inlineStr">
        <is>
          <t>http://localhost:8787/api/admin/requirements/documents/cmm4yunze017bcuqwnizar72s/view</t>
        </is>
      </c>
      <c r="AQ1777">
        <f>HYPERLÄNK("http://localhost:8787/api/admin/requirements/documents/cmm4yunze017bcuqwnizar72s/view";"Öppna PDF")</f>
        <v/>
      </c>
      <c r="AR1777">
        <f>HYPERLINK("http://localhost:8787/api/admin/requirements/documents/cmm4yunze017bcuqwnizar72s/view","Open PDF")</f>
        <v/>
      </c>
      <c r="AS1777" t="inlineStr">
        <is>
          <t>cmm55w57p0004cuisfrtpqly8</t>
        </is>
      </c>
      <c r="AT1777" t="inlineStr">
        <is>
          <t>cmm4xvu980000cuh4vj0usz09</t>
        </is>
      </c>
      <c r="AU1777" t="inlineStr">
        <is>
          <t>Samhällsbyggnadsnämnden Beslut Gnesta</t>
        </is>
      </c>
      <c r="AV1777" t="inlineStr">
        <is>
          <t>Kommun</t>
        </is>
      </c>
      <c r="AW1777" t="inlineStr">
        <is>
          <t>Samhällsbyggnadsnämnden Beslut Gnesta kommun</t>
        </is>
      </c>
      <c r="AX1777" t="inlineStr">
        <is>
          <t>2025-02</t>
        </is>
      </c>
      <c r="AY1777" t="inlineStr">
        <is>
          <t>Beslut</t>
        </is>
      </c>
      <c r="AZ1777" t="inlineStr">
        <is>
          <t>2026-02-03</t>
        </is>
      </c>
      <c r="BA1777" t="inlineStr">
        <is>
          <t>MIL2024149_2026-02-03.pdf</t>
        </is>
      </c>
      <c r="BB1777" t="inlineStr">
        <is>
          <t>VB: Mejl från kommunens gemensamma mejlkorg [2026GT3137]</t>
        </is>
      </c>
      <c r="BC1777" t="inlineStr">
        <is>
          <t>AUTO</t>
        </is>
      </c>
      <c r="BD1777" t="inlineStr"/>
      <c r="BE1777" t="inlineStr"/>
      <c r="BF1777" t="inlineStr">
        <is>
          <t>AUTO_GENERERAD. Bekrafta metadata mot kallfil.</t>
        </is>
      </c>
      <c r="BG1777">
        <f>HYPERLINK("C:\Users\jimmy\Desktop\Examens arbete\Kod\Ny mapp\remix_-copy-of-miljöbeslut.se-portal\MIL2024149_2026-02-03.pdf", "Öppna PDF")</f>
        <v/>
      </c>
    </row>
    <row r="1778">
      <c r="A1778" t="inlineStr">
        <is>
          <t>KRAV-AUTO-001777</t>
        </is>
      </c>
      <c r="B1778" t="inlineStr">
        <is>
          <t>ADMIN-INDEX-2026-02-27-00000000125C043F57453246863FE664CAFE6A3F0700950291EA24F0614FB6ACEDB12BF0E31D00000000010C0000950291EA24F0614FB6ACEDB12BF0E31D00002087AF050000</t>
        </is>
      </c>
      <c r="C1778" t="inlineStr">
        <is>
          <t>cmm4yunz0016zcuqw452huqhy</t>
        </is>
      </c>
      <c r="D1778" t="inlineStr">
        <is>
          <t>http://localhost:8787/api/admin/requirements/documents/cmm4yunz0016zcuqw452huqhy/view</t>
        </is>
      </c>
      <c r="E1778">
        <f>HYPERLÄNK("http://localhost:8787/api/admin/requirements/documents/cmm4yunz0016zcuqw452huqhy/view";"Öppna PDF")</f>
        <v/>
      </c>
      <c r="F1778">
        <f>HYPERLINK("http://localhost:8787/api/admin/requirements/documents/cmm4yunz0016zcuqw452huqhy/view","Open PDF")</f>
        <v/>
      </c>
      <c r="G1778" t="inlineStr">
        <is>
          <t>cmm55w57p0004cuisfrtpqly8</t>
        </is>
      </c>
      <c r="H1778" t="inlineStr">
        <is>
          <t>Beslutsvillkor</t>
        </is>
      </c>
      <c r="I1778" t="inlineStr">
        <is>
          <t>LagringsvolymTid</t>
        </is>
      </c>
      <c r="J1778" t="inlineStr">
        <is>
          <t>Maxmangd</t>
        </is>
      </c>
      <c r="K1778" t="inlineStr">
        <is>
          <t>mer än 10 ton men högst 30 000 ton och avfallet ska användas för byggnads- eller anläggningsändamål, eller 2.</t>
        </is>
      </c>
      <c r="L1778" t="inlineStr">
        <is>
          <t>mer än 10 ton men högst 30 000 ton och avfallet ska användas för byggnads- eller anläggningsändamål, eller 2.</t>
        </is>
      </c>
      <c r="M1778" t="inlineStr">
        <is>
          <t>SKA</t>
        </is>
      </c>
      <c r="N1778" t="inlineStr"/>
      <c r="O1778" t="inlineStr"/>
      <c r="P1778" t="inlineStr"/>
      <c r="Q1778" t="inlineStr"/>
      <c r="R1778" t="inlineStr">
        <is>
          <t>Alltid</t>
        </is>
      </c>
      <c r="S1778" t="inlineStr"/>
      <c r="T1778" t="inlineStr">
        <is>
          <t>52 80 00</t>
        </is>
      </c>
      <c r="U1778" t="n">
        <v>10</v>
      </c>
      <c r="V1778" t="inlineStr"/>
      <c r="W1778" t="inlineStr">
        <is>
          <t>Nej</t>
        </is>
      </c>
      <c r="X1778" t="inlineStr">
        <is>
          <t>Nej</t>
        </is>
      </c>
      <c r="Y1778" t="inlineStr">
        <is>
          <t>Nej</t>
        </is>
      </c>
      <c r="Z1778" t="inlineStr">
        <is>
          <t>Nej</t>
        </is>
      </c>
      <c r="AA1778" t="n">
        <v>4</v>
      </c>
      <c r="AB1778" t="inlineStr">
        <is>
          <t>Avfallsmangder och lagringstid</t>
        </is>
      </c>
      <c r="AC1778" t="inlineStr">
        <is>
          <t>Avfallsforteckning</t>
        </is>
      </c>
      <c r="AD1778" t="inlineStr">
        <is>
          <t>Nej</t>
        </is>
      </c>
      <c r="AE1778" t="inlineStr">
        <is>
          <t>Nej</t>
        </is>
      </c>
      <c r="AF1778" t="inlineStr">
        <is>
          <t>Ej behandlad</t>
        </is>
      </c>
      <c r="AG1778" t="inlineStr">
        <is>
          <t>AUTO_GENERERAD. Verifiera citat mot kallfil.</t>
        </is>
      </c>
      <c r="AH1778" t="inlineStr">
        <is>
          <t>MEDIUM</t>
        </is>
      </c>
      <c r="AI1778" t="inlineStr">
        <is>
          <t>AUTO</t>
        </is>
      </c>
      <c r="AJ1778" t="inlineStr">
        <is>
          <t>Nej</t>
        </is>
      </c>
      <c r="AK1778" t="inlineStr"/>
      <c r="AL1778" t="inlineStr"/>
      <c r="AM1778" t="inlineStr"/>
      <c r="AN1778" t="inlineStr"/>
      <c r="AO1778" t="inlineStr">
        <is>
          <t>cmm4yunz0016zcuqw452huqhy</t>
        </is>
      </c>
      <c r="AP1778" t="inlineStr">
        <is>
          <t>http://localhost:8787/api/admin/requirements/documents/cmm4yunz0016zcuqw452huqhy/view</t>
        </is>
      </c>
      <c r="AQ1778">
        <f>HYPERLÄNK("http://localhost:8787/api/admin/requirements/documents/cmm4yunz0016zcuqw452huqhy/view";"Öppna PDF")</f>
        <v/>
      </c>
      <c r="AR1778">
        <f>HYPERLINK("http://localhost:8787/api/admin/requirements/documents/cmm4yunz0016zcuqw452huqhy/view","Open PDF")</f>
        <v/>
      </c>
      <c r="AS1778" t="inlineStr">
        <is>
          <t>cmm55w57p0004cuisfrtpqly8</t>
        </is>
      </c>
      <c r="AT1778" t="inlineStr">
        <is>
          <t>cmm4xvu980000cuh4vj0usz09</t>
        </is>
      </c>
      <c r="AU1778" t="inlineStr">
        <is>
          <t>i Osby</t>
        </is>
      </c>
      <c r="AV1778" t="inlineStr">
        <is>
          <t>Kommun</t>
        </is>
      </c>
      <c r="AW1778" t="inlineStr">
        <is>
          <t>i Osby kommun</t>
        </is>
      </c>
      <c r="AX1778" t="inlineStr">
        <is>
          <t>0479-52</t>
        </is>
      </c>
      <c r="AY1778" t="inlineStr">
        <is>
          <t>Beslut</t>
        </is>
      </c>
      <c r="AZ1778" t="inlineStr">
        <is>
          <t>2026-02-03</t>
        </is>
      </c>
      <c r="BA1778" t="inlineStr">
        <is>
          <t>Ramen_4_beslut.pdf</t>
        </is>
      </c>
      <c r="BB1778" t="inlineStr">
        <is>
          <t>Sv: till registrator</t>
        </is>
      </c>
      <c r="BC1778" t="inlineStr">
        <is>
          <t>AUTO</t>
        </is>
      </c>
      <c r="BD1778" t="inlineStr"/>
      <c r="BE1778" t="inlineStr"/>
      <c r="BF1778" t="inlineStr">
        <is>
          <t>AUTO_GENERERAD. Bekrafta metadata mot kallfil.</t>
        </is>
      </c>
      <c r="BG1778">
        <f>HYPERLINK("C:\Users\jimmy\Desktop\Examens arbete\Kod\Ny mapp\remix_-copy-of-miljöbeslut.se-portal\Ramen_4_beslut.pdf", "Öppna PDF")</f>
        <v/>
      </c>
    </row>
    <row r="1779">
      <c r="A1779" t="inlineStr">
        <is>
          <t>KRAV-AUTO-001778</t>
        </is>
      </c>
      <c r="B1779" t="inlineStr">
        <is>
          <t>ADMIN-INDEX-2026-02-27-00000000125C043F57453246863FE664CAFE6A3F0700950291EA24F0614FB6ACEDB12BF0E31D00000000010C0000950291EA24F0614FB6ACEDB12BF0E31D00002087AF050000</t>
        </is>
      </c>
      <c r="C1779" t="inlineStr">
        <is>
          <t>cmm4yunyx016wcuqwzfkp2cmj</t>
        </is>
      </c>
      <c r="D1779" t="inlineStr">
        <is>
          <t>http://localhost:8787/api/admin/requirements/documents/cmm4yunyx016wcuqwzfkp2cmj/view</t>
        </is>
      </c>
      <c r="E1779">
        <f>HYPERLÄNK("http://localhost:8787/api/admin/requirements/documents/cmm4yunyx016wcuqwzfkp2cmj/view";"Öppna PDF")</f>
        <v/>
      </c>
      <c r="F1779">
        <f>HYPERLINK("http://localhost:8787/api/admin/requirements/documents/cmm4yunyx016wcuqwzfkp2cmj/view","Open PDF")</f>
        <v/>
      </c>
      <c r="G1779" t="inlineStr">
        <is>
          <t>cmm55w57p0004cuisfrtpqly8</t>
        </is>
      </c>
      <c r="H1779" t="inlineStr">
        <is>
          <t>Beslutsvillkor</t>
        </is>
      </c>
      <c r="I1779" t="inlineStr">
        <is>
          <t>DagvattenLakvatten</t>
        </is>
      </c>
      <c r="J1779" t="inlineStr">
        <is>
          <t>Uppsamling</t>
        </is>
      </c>
      <c r="K1779" t="inlineStr">
        <is>
          <t> Visar provtagningen att de är förorenat så skall massorna transporteras till godkänd anläggning  Schakt och vegetationsmassor som uppkommer där vi inte misstänker någon förorening behöver ej prov tas.</t>
        </is>
      </c>
      <c r="L1779" t="inlineStr">
        <is>
          <t> Visar provtagningen att de är förorenat så skall massorna transporteras till godkänd anläggning  Schakt och vegetationsmassor som uppkommer där vi inte misstänker någon förorening behöver ej prov tas.</t>
        </is>
      </c>
      <c r="M1779" t="inlineStr">
        <is>
          <t>SKA</t>
        </is>
      </c>
      <c r="N1779" t="inlineStr"/>
      <c r="O1779" t="inlineStr"/>
      <c r="P1779" t="inlineStr"/>
      <c r="Q1779" t="inlineStr"/>
      <c r="R1779" t="inlineStr">
        <is>
          <t>Vid nederbord och avrinning</t>
        </is>
      </c>
      <c r="S1779" t="inlineStr"/>
      <c r="T1779" t="inlineStr"/>
      <c r="U1779" t="inlineStr"/>
      <c r="V1779" t="inlineStr"/>
      <c r="W1779" t="inlineStr">
        <is>
          <t>Nej</t>
        </is>
      </c>
      <c r="X1779" t="inlineStr">
        <is>
          <t>Ja</t>
        </is>
      </c>
      <c r="Y1779" t="inlineStr">
        <is>
          <t>Ja</t>
        </is>
      </c>
      <c r="Z1779" t="inlineStr">
        <is>
          <t>Nej</t>
        </is>
      </c>
      <c r="AA1779" t="n">
        <v>6</v>
      </c>
      <c r="AB1779" t="inlineStr">
        <is>
          <t>Lakvattenhantering</t>
        </is>
      </c>
      <c r="AC1779" t="inlineStr">
        <is>
          <t>Flodesschema dagvatten-lakvatten</t>
        </is>
      </c>
      <c r="AD1779" t="inlineStr">
        <is>
          <t>Nej</t>
        </is>
      </c>
      <c r="AE1779" t="inlineStr">
        <is>
          <t>Nej</t>
        </is>
      </c>
      <c r="AF1779" t="inlineStr">
        <is>
          <t>Ej behandlad</t>
        </is>
      </c>
      <c r="AG1779" t="inlineStr">
        <is>
          <t>AUTO_GENERERAD. Verifiera citat mot kallfil.</t>
        </is>
      </c>
      <c r="AH1779" t="inlineStr">
        <is>
          <t>MEDIUM</t>
        </is>
      </c>
      <c r="AI1779" t="inlineStr">
        <is>
          <t>AUTO</t>
        </is>
      </c>
      <c r="AJ1779" t="inlineStr">
        <is>
          <t>Nej</t>
        </is>
      </c>
      <c r="AK1779" t="inlineStr"/>
      <c r="AL1779" t="inlineStr"/>
      <c r="AM1779" t="inlineStr"/>
      <c r="AN1779" t="inlineStr"/>
      <c r="AO1779" t="inlineStr">
        <is>
          <t>cmm4yunz0016zcuqw452huqhy</t>
        </is>
      </c>
      <c r="AP1779" t="inlineStr">
        <is>
          <t>http://localhost:8787/api/admin/requirements/documents/cmm4yunz0016zcuqw452huqhy/view</t>
        </is>
      </c>
      <c r="AQ1779">
        <f>HYPERLÄNK("http://localhost:8787/api/admin/requirements/documents/cmm4yunz0016zcuqw452huqhy/view";"Öppna PDF")</f>
        <v/>
      </c>
      <c r="AR1779">
        <f>HYPERLINK("http://localhost:8787/api/admin/requirements/documents/cmm4yunz0016zcuqw452huqhy/view","Open PDF")</f>
        <v/>
      </c>
      <c r="AS1779" t="inlineStr">
        <is>
          <t>cmm55w57p0004cuisfrtpqly8</t>
        </is>
      </c>
      <c r="AT1779" t="inlineStr">
        <is>
          <t>cmm4xvu980000cuh4vj0usz09</t>
        </is>
      </c>
      <c r="AU1779" t="inlineStr">
        <is>
          <t>i Osby</t>
        </is>
      </c>
      <c r="AV1779" t="inlineStr">
        <is>
          <t>Kommun</t>
        </is>
      </c>
      <c r="AW1779" t="inlineStr">
        <is>
          <t>i Osby kommun</t>
        </is>
      </c>
      <c r="AX1779" t="inlineStr">
        <is>
          <t>0479-52</t>
        </is>
      </c>
      <c r="AY1779" t="inlineStr">
        <is>
          <t>Beslut</t>
        </is>
      </c>
      <c r="AZ1779" t="inlineStr">
        <is>
          <t>2026-02-03</t>
        </is>
      </c>
      <c r="BA1779" t="inlineStr">
        <is>
          <t>Ramen_4_beslut.pdf</t>
        </is>
      </c>
      <c r="BB1779" t="inlineStr">
        <is>
          <t>Sv: till registrator</t>
        </is>
      </c>
      <c r="BC1779" t="inlineStr">
        <is>
          <t>AUTO</t>
        </is>
      </c>
      <c r="BD1779" t="inlineStr"/>
      <c r="BE1779" t="inlineStr"/>
      <c r="BF1779" t="inlineStr">
        <is>
          <t>AUTO_GENERERAD. Bekrafta metadata mot kallfil.</t>
        </is>
      </c>
      <c r="BG1779">
        <f>HYPERLINK("C:\Users\jimmy\Desktop\Examens arbete\Kod\Ny mapp\remix_-copy-of-miljöbeslut.se-portal\Ramen_4_beslut.pdf", "Öppna PDF")</f>
        <v/>
      </c>
    </row>
    <row r="1780">
      <c r="A1780" t="inlineStr">
        <is>
          <t>KRAV-AUTO-001779</t>
        </is>
      </c>
      <c r="B1780" t="inlineStr">
        <is>
          <t>ADMIN-INDEX-2026-02-27-00000000125C043F57453246863FE664CAFE6A3F0700950291EA24F0614FB6ACEDB12BF0E31D00000000010C0000950291EA24F0614FB6ACEDB12BF0E31D00002087AF050000</t>
        </is>
      </c>
      <c r="C1780" t="inlineStr">
        <is>
          <t>cmm4yunyx016wcuqwzfkp2cmj</t>
        </is>
      </c>
      <c r="D1780" t="inlineStr">
        <is>
          <t>http://localhost:8787/api/admin/requirements/documents/cmm4yunyx016wcuqwzfkp2cmj/view</t>
        </is>
      </c>
      <c r="E1780">
        <f>HYPERLÄNK("http://localhost:8787/api/admin/requirements/documents/cmm4yunyx016wcuqwzfkp2cmj/view";"Öppna PDF")</f>
        <v/>
      </c>
      <c r="F1780">
        <f>HYPERLINK("http://localhost:8787/api/admin/requirements/documents/cmm4yunyx016wcuqwzfkp2cmj/view","Open PDF")</f>
        <v/>
      </c>
      <c r="G1780" t="inlineStr">
        <is>
          <t>cmm55w57p0004cuisfrtpqly8</t>
        </is>
      </c>
      <c r="H1780" t="inlineStr">
        <is>
          <t>Beslutsvillkor</t>
        </is>
      </c>
      <c r="I1780" t="inlineStr">
        <is>
          <t>DagvattenLakvatten</t>
        </is>
      </c>
      <c r="J1780" t="inlineStr">
        <is>
          <t>Uppsamling</t>
        </is>
      </c>
      <c r="K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80" t="inlineStr">
        <is>
          <t>SKA</t>
        </is>
      </c>
      <c r="N1780" t="inlineStr"/>
      <c r="O1780" t="inlineStr"/>
      <c r="P1780" t="inlineStr"/>
      <c r="Q1780" t="inlineStr"/>
      <c r="R1780" t="inlineStr">
        <is>
          <t>Vid nederbord och avrinning</t>
        </is>
      </c>
      <c r="S1780" t="inlineStr"/>
      <c r="T1780" t="inlineStr"/>
      <c r="U1780" t="inlineStr"/>
      <c r="V1780" t="inlineStr"/>
      <c r="W1780" t="inlineStr">
        <is>
          <t>Nej</t>
        </is>
      </c>
      <c r="X1780" t="inlineStr">
        <is>
          <t>Ja</t>
        </is>
      </c>
      <c r="Y1780" t="inlineStr">
        <is>
          <t>Ja</t>
        </is>
      </c>
      <c r="Z1780" t="inlineStr">
        <is>
          <t>Nej</t>
        </is>
      </c>
      <c r="AA1780" t="n">
        <v>6</v>
      </c>
      <c r="AB1780" t="inlineStr">
        <is>
          <t>Lakvattenhantering</t>
        </is>
      </c>
      <c r="AC1780" t="inlineStr">
        <is>
          <t>Flodesschema dagvatten-lakvatten</t>
        </is>
      </c>
      <c r="AD1780" t="inlineStr">
        <is>
          <t>Nej</t>
        </is>
      </c>
      <c r="AE1780" t="inlineStr">
        <is>
          <t>Nej</t>
        </is>
      </c>
      <c r="AF1780" t="inlineStr">
        <is>
          <t>Ej behandlad</t>
        </is>
      </c>
      <c r="AG1780" t="inlineStr">
        <is>
          <t>AUTO_GENERERAD. Verifiera citat mot kallfil.</t>
        </is>
      </c>
      <c r="AH1780" t="inlineStr">
        <is>
          <t>MEDIUM</t>
        </is>
      </c>
      <c r="AI1780" t="inlineStr">
        <is>
          <t>AUTO</t>
        </is>
      </c>
      <c r="AJ1780" t="inlineStr">
        <is>
          <t>Nej</t>
        </is>
      </c>
      <c r="AK1780" t="inlineStr"/>
      <c r="AL1780" t="inlineStr"/>
      <c r="AM1780" t="inlineStr"/>
      <c r="AN1780" t="inlineStr"/>
      <c r="AO1780" t="inlineStr">
        <is>
          <t>cmm4yunz0016zcuqw452huqhy</t>
        </is>
      </c>
      <c r="AP1780" t="inlineStr">
        <is>
          <t>http://localhost:8787/api/admin/requirements/documents/cmm4yunz0016zcuqw452huqhy/view</t>
        </is>
      </c>
      <c r="AQ1780">
        <f>HYPERLÄNK("http://localhost:8787/api/admin/requirements/documents/cmm4yunz0016zcuqw452huqhy/view";"Öppna PDF")</f>
        <v/>
      </c>
      <c r="AR1780">
        <f>HYPERLINK("http://localhost:8787/api/admin/requirements/documents/cmm4yunz0016zcuqw452huqhy/view","Open PDF")</f>
        <v/>
      </c>
      <c r="AS1780" t="inlineStr">
        <is>
          <t>cmm55w57p0004cuisfrtpqly8</t>
        </is>
      </c>
      <c r="AT1780" t="inlineStr">
        <is>
          <t>cmm4xvu980000cuh4vj0usz09</t>
        </is>
      </c>
      <c r="AU1780" t="inlineStr">
        <is>
          <t>i Osby</t>
        </is>
      </c>
      <c r="AV1780" t="inlineStr">
        <is>
          <t>Kommun</t>
        </is>
      </c>
      <c r="AW1780" t="inlineStr">
        <is>
          <t>i Osby kommun</t>
        </is>
      </c>
      <c r="AX1780" t="inlineStr">
        <is>
          <t>0479-52</t>
        </is>
      </c>
      <c r="AY1780" t="inlineStr">
        <is>
          <t>Beslut</t>
        </is>
      </c>
      <c r="AZ1780" t="inlineStr">
        <is>
          <t>2026-02-03</t>
        </is>
      </c>
      <c r="BA1780" t="inlineStr">
        <is>
          <t>Ramen_4_beslut.pdf</t>
        </is>
      </c>
      <c r="BB1780" t="inlineStr">
        <is>
          <t>Sv: till registrator</t>
        </is>
      </c>
      <c r="BC1780" t="inlineStr">
        <is>
          <t>AUTO</t>
        </is>
      </c>
      <c r="BD1780" t="inlineStr"/>
      <c r="BE1780" t="inlineStr"/>
      <c r="BF1780" t="inlineStr">
        <is>
          <t>AUTO_GENERERAD. Bekrafta metadata mot kallfil.</t>
        </is>
      </c>
      <c r="BG1780">
        <f>HYPERLINK("C:\Users\jimmy\Desktop\Examens arbete\Kod\Ny mapp\remix_-copy-of-miljöbeslut.se-portal\Ramen_4_beslut.pdf", "Öppna PDF")</f>
        <v/>
      </c>
    </row>
    <row r="1781">
      <c r="A1781" t="inlineStr">
        <is>
          <t>KRAV-AUTO-001780</t>
        </is>
      </c>
      <c r="B1781" t="inlineStr">
        <is>
          <t>ADMIN-INDEX-2026-02-27-00000000125C043F57453246863FE664CAFE6A3F0700950291EA24F0614FB6ACEDB12BF0E31D00000000010C0000950291EA24F0614FB6ACEDB12BF0E31D00002087AF050000</t>
        </is>
      </c>
      <c r="C1781" t="inlineStr">
        <is>
          <t>cmm4yunyt016tcuqwjhddtkb3</t>
        </is>
      </c>
      <c r="D1781" t="inlineStr">
        <is>
          <t>http://localhost:8787/api/admin/requirements/documents/cmm4yunyt016tcuqwjhddtkb3/view</t>
        </is>
      </c>
      <c r="E1781">
        <f>HYPERLÄNK("http://localhost:8787/api/admin/requirements/documents/cmm4yunyt016tcuqwjhddtkb3/view";"Öppna PDF")</f>
        <v/>
      </c>
      <c r="F1781">
        <f>HYPERLINK("http://localhost:8787/api/admin/requirements/documents/cmm4yunyt016tcuqwjhddtkb3/view","Open PDF")</f>
        <v/>
      </c>
      <c r="G1781" t="inlineStr">
        <is>
          <t>cmm55w57p0004cuisfrtpqly8</t>
        </is>
      </c>
      <c r="H1781" t="inlineStr">
        <is>
          <t>Informationskrav</t>
        </is>
      </c>
      <c r="I1781" t="inlineStr">
        <is>
          <t>DagvattenLakvatten</t>
        </is>
      </c>
      <c r="J1781" t="inlineStr">
        <is>
          <t>Uppsamling</t>
        </is>
      </c>
      <c r="K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781" t="inlineStr">
        <is>
          <t>SKA</t>
        </is>
      </c>
      <c r="N1781" t="inlineStr">
        <is>
          <t>Miljobalken</t>
        </is>
      </c>
      <c r="O1781" t="inlineStr"/>
      <c r="P1781" t="inlineStr"/>
      <c r="Q1781" t="inlineStr"/>
      <c r="R1781" t="inlineStr">
        <is>
          <t>Vid nederbord och avrinning</t>
        </is>
      </c>
      <c r="S1781" t="inlineStr"/>
      <c r="T1781" t="inlineStr">
        <is>
          <t>815204</t>
        </is>
      </c>
      <c r="U1781" t="inlineStr"/>
      <c r="V1781" t="inlineStr"/>
      <c r="W1781" t="inlineStr">
        <is>
          <t>Nej</t>
        </is>
      </c>
      <c r="X1781" t="inlineStr">
        <is>
          <t>Ja</t>
        </is>
      </c>
      <c r="Y1781" t="inlineStr">
        <is>
          <t>Ja</t>
        </is>
      </c>
      <c r="Z1781" t="inlineStr">
        <is>
          <t>Nej</t>
        </is>
      </c>
      <c r="AA1781" t="n">
        <v>6</v>
      </c>
      <c r="AB1781" t="inlineStr">
        <is>
          <t>Lakvattenhantering</t>
        </is>
      </c>
      <c r="AC1781" t="inlineStr">
        <is>
          <t>Flodesschema dagvatten-lakvatten</t>
        </is>
      </c>
      <c r="AD1781" t="inlineStr">
        <is>
          <t>Nej</t>
        </is>
      </c>
      <c r="AE1781" t="inlineStr">
        <is>
          <t>Nej</t>
        </is>
      </c>
      <c r="AF1781" t="inlineStr">
        <is>
          <t>Ej behandlad</t>
        </is>
      </c>
      <c r="AG1781" t="inlineStr">
        <is>
          <t>AUTO_GENERERAD. Verifiera citat mot kallfil.</t>
        </is>
      </c>
      <c r="AH1781" t="inlineStr">
        <is>
          <t>HIGH</t>
        </is>
      </c>
      <c r="AI1781" t="inlineStr">
        <is>
          <t>AUTO</t>
        </is>
      </c>
      <c r="AJ1781" t="inlineStr">
        <is>
          <t>Nej</t>
        </is>
      </c>
      <c r="AK1781" t="inlineStr"/>
      <c r="AL1781" t="inlineStr"/>
      <c r="AM1781" t="inlineStr"/>
      <c r="AN1781" t="inlineStr"/>
      <c r="AO1781" t="inlineStr">
        <is>
          <t>cmm4yunz0016zcuqw452huqhy</t>
        </is>
      </c>
      <c r="AP1781" t="inlineStr">
        <is>
          <t>http://localhost:8787/api/admin/requirements/documents/cmm4yunz0016zcuqw452huqhy/view</t>
        </is>
      </c>
      <c r="AQ1781">
        <f>HYPERLÄNK("http://localhost:8787/api/admin/requirements/documents/cmm4yunz0016zcuqw452huqhy/view";"Öppna PDF")</f>
        <v/>
      </c>
      <c r="AR1781">
        <f>HYPERLINK("http://localhost:8787/api/admin/requirements/documents/cmm4yunz0016zcuqw452huqhy/view","Open PDF")</f>
        <v/>
      </c>
      <c r="AS1781" t="inlineStr">
        <is>
          <t>cmm55w57p0004cuisfrtpqly8</t>
        </is>
      </c>
      <c r="AT1781" t="inlineStr">
        <is>
          <t>cmm4xvu980000cuh4vj0usz09</t>
        </is>
      </c>
      <c r="AU1781" t="inlineStr">
        <is>
          <t>i Osby</t>
        </is>
      </c>
      <c r="AV1781" t="inlineStr">
        <is>
          <t>Kommun</t>
        </is>
      </c>
      <c r="AW1781" t="inlineStr">
        <is>
          <t>i Osby kommun</t>
        </is>
      </c>
      <c r="AX1781" t="inlineStr">
        <is>
          <t>0479-52</t>
        </is>
      </c>
      <c r="AY1781" t="inlineStr">
        <is>
          <t>Beslut</t>
        </is>
      </c>
      <c r="AZ1781" t="inlineStr">
        <is>
          <t>2026-02-03</t>
        </is>
      </c>
      <c r="BA1781" t="inlineStr">
        <is>
          <t>Ramen_4_beslut.pdf</t>
        </is>
      </c>
      <c r="BB1781" t="inlineStr">
        <is>
          <t>Sv: till registrator</t>
        </is>
      </c>
      <c r="BC1781" t="inlineStr">
        <is>
          <t>AUTO</t>
        </is>
      </c>
      <c r="BD1781" t="inlineStr"/>
      <c r="BE1781" t="inlineStr"/>
      <c r="BF1781" t="inlineStr">
        <is>
          <t>AUTO_GENERERAD. Bekrafta metadata mot kallfil.</t>
        </is>
      </c>
      <c r="BG1781">
        <f>HYPERLINK("C:\Users\jimmy\Desktop\Examens arbete\Kod\Ny mapp\remix_-copy-of-miljöbeslut.se-portal\Ramen_4_beslut.pdf", "Öppna PDF")</f>
        <v/>
      </c>
    </row>
    <row r="1782">
      <c r="A1782" t="inlineStr">
        <is>
          <t>KRAV-AUTO-001781</t>
        </is>
      </c>
      <c r="B1782" t="inlineStr">
        <is>
          <t>ADMIN-INDEX-2026-02-27-00000000125C043F57453246863FE664CAFE6A3F0700950291EA24F0614FB6ACEDB12BF0E31D00000000010C0000950291EA24F0614FB6ACEDB12BF0E31D00002087AF050000</t>
        </is>
      </c>
      <c r="C1782" t="inlineStr">
        <is>
          <t>cmm4yunyq016qcuqwepc6wg20</t>
        </is>
      </c>
      <c r="D1782" t="inlineStr">
        <is>
          <t>http://localhost:8787/api/admin/requirements/documents/cmm4yunyq016qcuqwepc6wg20/view</t>
        </is>
      </c>
      <c r="E1782">
        <f>HYPERLÄNK("http://localhost:8787/api/admin/requirements/documents/cmm4yunyq016qcuqwepc6wg20/view";"Öppna PDF")</f>
        <v/>
      </c>
      <c r="F1782">
        <f>HYPERLINK("http://localhost:8787/api/admin/requirements/documents/cmm4yunyq016qcuqwepc6wg20/view","Open PDF")</f>
        <v/>
      </c>
      <c r="G1782" t="inlineStr">
        <is>
          <t>cmm55w57p0004cuisfrtpqly8</t>
        </is>
      </c>
      <c r="H1782" t="inlineStr">
        <is>
          <t>Beslutsvillkor</t>
        </is>
      </c>
      <c r="I1782" t="inlineStr">
        <is>
          <t>MiljopaverkanForsiktighet</t>
        </is>
      </c>
      <c r="J1782" t="inlineStr">
        <is>
          <t>Skyddsatgarder</t>
        </is>
      </c>
      <c r="K1782" t="inlineStr">
        <is>
          <t>Miljö- och byggnadsnämndens handläggning innebär primärt en bedömning kring om åtgärden som är beskriven i anmälan utgör återvinning eller bortskaffning av avfall.</t>
        </is>
      </c>
      <c r="L1782" t="inlineStr">
        <is>
          <t>Miljö- och byggnadsnämndens handläggning innebär primärt en bedömning kring om åtgärden som är beskriven i anmälan utgör återvinning eller bortskaffning av avfall.</t>
        </is>
      </c>
      <c r="M1782" t="inlineStr">
        <is>
          <t>SKA</t>
        </is>
      </c>
      <c r="N1782" t="inlineStr"/>
      <c r="O1782" t="inlineStr"/>
      <c r="P1782" t="inlineStr"/>
      <c r="Q1782" t="inlineStr"/>
      <c r="R1782" t="inlineStr">
        <is>
          <t>Alltid</t>
        </is>
      </c>
      <c r="S1782" t="inlineStr"/>
      <c r="T1782" t="inlineStr">
        <is>
          <t>52 80 00</t>
        </is>
      </c>
      <c r="U1782" t="inlineStr"/>
      <c r="V1782" t="inlineStr"/>
      <c r="W1782" t="inlineStr">
        <is>
          <t>Nej</t>
        </is>
      </c>
      <c r="X1782" t="inlineStr">
        <is>
          <t>Nej</t>
        </is>
      </c>
      <c r="Y1782" t="inlineStr">
        <is>
          <t>Nej</t>
        </is>
      </c>
      <c r="Z1782" t="inlineStr">
        <is>
          <t>Nej</t>
        </is>
      </c>
      <c r="AA1782" t="n">
        <v>10</v>
      </c>
      <c r="AB1782" t="inlineStr">
        <is>
          <t>Miljopaverkan och forsiktighetsmatt</t>
        </is>
      </c>
      <c r="AC1782" t="inlineStr">
        <is>
          <t>Miljo-PM</t>
        </is>
      </c>
      <c r="AD1782" t="inlineStr">
        <is>
          <t>Nej</t>
        </is>
      </c>
      <c r="AE1782" t="inlineStr">
        <is>
          <t>Nej</t>
        </is>
      </c>
      <c r="AF1782" t="inlineStr">
        <is>
          <t>Ej behandlad</t>
        </is>
      </c>
      <c r="AG1782" t="inlineStr">
        <is>
          <t>AUTO_GENERERAD. Verifiera citat mot kallfil.</t>
        </is>
      </c>
      <c r="AH1782" t="inlineStr">
        <is>
          <t>MEDIUM</t>
        </is>
      </c>
      <c r="AI1782" t="inlineStr">
        <is>
          <t>AUTO</t>
        </is>
      </c>
      <c r="AJ1782" t="inlineStr">
        <is>
          <t>Nej</t>
        </is>
      </c>
      <c r="AK1782" t="inlineStr"/>
      <c r="AL1782" t="inlineStr"/>
      <c r="AM1782" t="inlineStr"/>
      <c r="AN1782" t="inlineStr"/>
      <c r="AO1782" t="inlineStr">
        <is>
          <t>cmm4yunz0016zcuqw452huqhy</t>
        </is>
      </c>
      <c r="AP1782" t="inlineStr">
        <is>
          <t>http://localhost:8787/api/admin/requirements/documents/cmm4yunz0016zcuqw452huqhy/view</t>
        </is>
      </c>
      <c r="AQ1782">
        <f>HYPERLÄNK("http://localhost:8787/api/admin/requirements/documents/cmm4yunz0016zcuqw452huqhy/view";"Öppna PDF")</f>
        <v/>
      </c>
      <c r="AR1782">
        <f>HYPERLINK("http://localhost:8787/api/admin/requirements/documents/cmm4yunz0016zcuqw452huqhy/view","Open PDF")</f>
        <v/>
      </c>
      <c r="AS1782" t="inlineStr">
        <is>
          <t>cmm55w57p0004cuisfrtpqly8</t>
        </is>
      </c>
      <c r="AT1782" t="inlineStr">
        <is>
          <t>cmm4xvu980000cuh4vj0usz09</t>
        </is>
      </c>
      <c r="AU1782" t="inlineStr">
        <is>
          <t>i Osby</t>
        </is>
      </c>
      <c r="AV1782" t="inlineStr">
        <is>
          <t>Kommun</t>
        </is>
      </c>
      <c r="AW1782" t="inlineStr">
        <is>
          <t>i Osby kommun</t>
        </is>
      </c>
      <c r="AX1782" t="inlineStr">
        <is>
          <t>0479-52</t>
        </is>
      </c>
      <c r="AY1782" t="inlineStr">
        <is>
          <t>Beslut</t>
        </is>
      </c>
      <c r="AZ1782" t="inlineStr">
        <is>
          <t>2026-02-03</t>
        </is>
      </c>
      <c r="BA1782" t="inlineStr">
        <is>
          <t>Ramen_4_beslut.pdf</t>
        </is>
      </c>
      <c r="BB1782" t="inlineStr">
        <is>
          <t>Sv: till registrator</t>
        </is>
      </c>
      <c r="BC1782" t="inlineStr">
        <is>
          <t>AUTO</t>
        </is>
      </c>
      <c r="BD1782" t="inlineStr"/>
      <c r="BE1782" t="inlineStr"/>
      <c r="BF1782" t="inlineStr">
        <is>
          <t>AUTO_GENERERAD. Bekrafta metadata mot kallfil.</t>
        </is>
      </c>
      <c r="BG1782">
        <f>HYPERLINK("C:\Users\jimmy\Desktop\Examens arbete\Kod\Ny mapp\remix_-copy-of-miljöbeslut.se-portal\Ramen_4_beslut.pdf", "Öppna PDF")</f>
        <v/>
      </c>
    </row>
    <row r="1783">
      <c r="A1783" t="inlineStr">
        <is>
          <t>KRAV-AUTO-001782</t>
        </is>
      </c>
      <c r="B1783" t="inlineStr">
        <is>
          <t>ADMIN-INDEX-2026-02-27-00000000125C043F57453246863FE664CAFE6A3F0700950291EA24F0614FB6ACEDB12BF0E31D00000000010C0000950291EA24F0614FB6ACEDB12BF0E31D00002087AF050000</t>
        </is>
      </c>
      <c r="C1783" t="inlineStr">
        <is>
          <t>cmm4yunyq016qcuqwepc6wg20</t>
        </is>
      </c>
      <c r="D1783" t="inlineStr">
        <is>
          <t>http://localhost:8787/api/admin/requirements/documents/cmm4yunyq016qcuqwepc6wg20/view</t>
        </is>
      </c>
      <c r="E1783">
        <f>HYPERLÄNK("http://localhost:8787/api/admin/requirements/documents/cmm4yunyq016qcuqwepc6wg20/view";"Öppna PDF")</f>
        <v/>
      </c>
      <c r="F1783">
        <f>HYPERLINK("http://localhost:8787/api/admin/requirements/documents/cmm4yunyq016qcuqwepc6wg20/view","Open PDF")</f>
        <v/>
      </c>
      <c r="G1783" t="inlineStr">
        <is>
          <t>cmm55w57p0004cuisfrtpqly8</t>
        </is>
      </c>
      <c r="H1783" t="inlineStr">
        <is>
          <t>Beslutsvillkor</t>
        </is>
      </c>
      <c r="I1783" t="inlineStr">
        <is>
          <t>MiljopaverkanForsiktighet</t>
        </is>
      </c>
      <c r="J1783" t="inlineStr">
        <is>
          <t>Skyddsatgarder</t>
        </is>
      </c>
      <c r="K1783" t="inlineStr">
        <is>
          <t>Avfallet ska utgöras av jord utan inslag för ovidkommande fast avfall.</t>
        </is>
      </c>
      <c r="L1783" t="inlineStr">
        <is>
          <t>Avfallet ska utgöras av jord utan inslag för ovidkommande fast avfall.</t>
        </is>
      </c>
      <c r="M1783" t="inlineStr">
        <is>
          <t>SKA</t>
        </is>
      </c>
      <c r="N1783" t="inlineStr"/>
      <c r="O1783" t="inlineStr"/>
      <c r="P1783" t="inlineStr"/>
      <c r="Q1783" t="inlineStr"/>
      <c r="R1783" t="inlineStr">
        <is>
          <t>Alltid</t>
        </is>
      </c>
      <c r="S1783" t="inlineStr"/>
      <c r="T1783" t="inlineStr">
        <is>
          <t>52 80 00</t>
        </is>
      </c>
      <c r="U1783" t="inlineStr"/>
      <c r="V1783" t="inlineStr"/>
      <c r="W1783" t="inlineStr">
        <is>
          <t>Nej</t>
        </is>
      </c>
      <c r="X1783" t="inlineStr">
        <is>
          <t>Nej</t>
        </is>
      </c>
      <c r="Y1783" t="inlineStr">
        <is>
          <t>Nej</t>
        </is>
      </c>
      <c r="Z1783" t="inlineStr">
        <is>
          <t>Nej</t>
        </is>
      </c>
      <c r="AA1783" t="n">
        <v>10</v>
      </c>
      <c r="AB1783" t="inlineStr">
        <is>
          <t>Miljopaverkan och forsiktighetsmatt</t>
        </is>
      </c>
      <c r="AC1783" t="inlineStr">
        <is>
          <t>Miljo-PM</t>
        </is>
      </c>
      <c r="AD1783" t="inlineStr">
        <is>
          <t>Nej</t>
        </is>
      </c>
      <c r="AE1783" t="inlineStr">
        <is>
          <t>Nej</t>
        </is>
      </c>
      <c r="AF1783" t="inlineStr">
        <is>
          <t>Ej behandlad</t>
        </is>
      </c>
      <c r="AG1783" t="inlineStr">
        <is>
          <t>AUTO_GENERERAD. Verifiera citat mot kallfil.</t>
        </is>
      </c>
      <c r="AH1783" t="inlineStr">
        <is>
          <t>MEDIUM</t>
        </is>
      </c>
      <c r="AI1783" t="inlineStr">
        <is>
          <t>AUTO</t>
        </is>
      </c>
      <c r="AJ1783" t="inlineStr">
        <is>
          <t>Nej</t>
        </is>
      </c>
      <c r="AK1783" t="inlineStr"/>
      <c r="AL1783" t="inlineStr"/>
      <c r="AM1783" t="inlineStr"/>
      <c r="AN1783" t="inlineStr"/>
      <c r="AO1783" t="inlineStr">
        <is>
          <t>cmm4yunz0016zcuqw452huqhy</t>
        </is>
      </c>
      <c r="AP1783" t="inlineStr">
        <is>
          <t>http://localhost:8787/api/admin/requirements/documents/cmm4yunz0016zcuqw452huqhy/view</t>
        </is>
      </c>
      <c r="AQ1783">
        <f>HYPERLÄNK("http://localhost:8787/api/admin/requirements/documents/cmm4yunz0016zcuqw452huqhy/view";"Öppna PDF")</f>
        <v/>
      </c>
      <c r="AR1783">
        <f>HYPERLINK("http://localhost:8787/api/admin/requirements/documents/cmm4yunz0016zcuqw452huqhy/view","Open PDF")</f>
        <v/>
      </c>
      <c r="AS1783" t="inlineStr">
        <is>
          <t>cmm55w57p0004cuisfrtpqly8</t>
        </is>
      </c>
      <c r="AT1783" t="inlineStr">
        <is>
          <t>cmm4xvu980000cuh4vj0usz09</t>
        </is>
      </c>
      <c r="AU1783" t="inlineStr">
        <is>
          <t>i Osby</t>
        </is>
      </c>
      <c r="AV1783" t="inlineStr">
        <is>
          <t>Kommun</t>
        </is>
      </c>
      <c r="AW1783" t="inlineStr">
        <is>
          <t>i Osby kommun</t>
        </is>
      </c>
      <c r="AX1783" t="inlineStr">
        <is>
          <t>0479-52</t>
        </is>
      </c>
      <c r="AY1783" t="inlineStr">
        <is>
          <t>Beslut</t>
        </is>
      </c>
      <c r="AZ1783" t="inlineStr">
        <is>
          <t>2026-02-03</t>
        </is>
      </c>
      <c r="BA1783" t="inlineStr">
        <is>
          <t>Ramen_4_beslut.pdf</t>
        </is>
      </c>
      <c r="BB1783" t="inlineStr">
        <is>
          <t>Sv: till registrator</t>
        </is>
      </c>
      <c r="BC1783" t="inlineStr">
        <is>
          <t>AUTO</t>
        </is>
      </c>
      <c r="BD1783" t="inlineStr"/>
      <c r="BE1783" t="inlineStr"/>
      <c r="BF1783" t="inlineStr">
        <is>
          <t>AUTO_GENERERAD. Bekrafta metadata mot kallfil.</t>
        </is>
      </c>
      <c r="BG1783">
        <f>HYPERLINK("C:\Users\jimmy\Desktop\Examens arbete\Kod\Ny mapp\remix_-copy-of-miljöbeslut.se-portal\Ramen_4_beslut.pdf", "Öppna PDF")</f>
        <v/>
      </c>
    </row>
    <row r="1784">
      <c r="A1784" t="inlineStr">
        <is>
          <t>KRAV-AUTO-001783</t>
        </is>
      </c>
      <c r="B1784" t="inlineStr">
        <is>
          <t>ADMIN-INDEX-2026-02-27-00000000125C043F57453246863FE664CAFE6A3F0700950291EA24F0614FB6ACEDB12BF0E31D00000000010C0000950291EA24F0614FB6ACEDB12BF0E31D00002087AF050000</t>
        </is>
      </c>
      <c r="C1784" t="inlineStr">
        <is>
          <t>cmm4yunyq016qcuqwepc6wg20</t>
        </is>
      </c>
      <c r="D1784" t="inlineStr">
        <is>
          <t>http://localhost:8787/api/admin/requirements/documents/cmm4yunyq016qcuqwepc6wg20/view</t>
        </is>
      </c>
      <c r="E1784">
        <f>HYPERLÄNK("http://localhost:8787/api/admin/requirements/documents/cmm4yunyq016qcuqwepc6wg20/view";"Öppna PDF")</f>
        <v/>
      </c>
      <c r="F1784">
        <f>HYPERLINK("http://localhost:8787/api/admin/requirements/documents/cmm4yunyq016qcuqwepc6wg20/view","Open PDF")</f>
        <v/>
      </c>
      <c r="G1784" t="inlineStr">
        <is>
          <t>cmm55w57p0004cuisfrtpqly8</t>
        </is>
      </c>
      <c r="H1784" t="inlineStr">
        <is>
          <t>Beslutsvillkor</t>
        </is>
      </c>
      <c r="I1784" t="inlineStr">
        <is>
          <t>MiljopaverkanForsiktighet</t>
        </is>
      </c>
      <c r="J1784" t="inlineStr">
        <is>
          <t>Skyddsatgarder</t>
        </is>
      </c>
      <c r="K1784" t="inlineStr">
        <is>
          <t>Avfallet ska vara analyserat, klassats och kontrolleras när det kommer till fastigheten.</t>
        </is>
      </c>
      <c r="L1784" t="inlineStr">
        <is>
          <t>Avfallet ska vara analyserat, klassats och kontrolleras när det kommer till fastigheten.</t>
        </is>
      </c>
      <c r="M1784" t="inlineStr">
        <is>
          <t>SKA</t>
        </is>
      </c>
      <c r="N1784" t="inlineStr"/>
      <c r="O1784" t="inlineStr"/>
      <c r="P1784" t="inlineStr"/>
      <c r="Q1784" t="inlineStr"/>
      <c r="R1784" t="inlineStr">
        <is>
          <t>Alltid</t>
        </is>
      </c>
      <c r="S1784" t="inlineStr"/>
      <c r="T1784" t="inlineStr">
        <is>
          <t>52 80 00</t>
        </is>
      </c>
      <c r="U1784" t="inlineStr"/>
      <c r="V1784" t="inlineStr"/>
      <c r="W1784" t="inlineStr">
        <is>
          <t>Nej</t>
        </is>
      </c>
      <c r="X1784" t="inlineStr">
        <is>
          <t>Nej</t>
        </is>
      </c>
      <c r="Y1784" t="inlineStr">
        <is>
          <t>Nej</t>
        </is>
      </c>
      <c r="Z1784" t="inlineStr">
        <is>
          <t>Nej</t>
        </is>
      </c>
      <c r="AA1784" t="n">
        <v>10</v>
      </c>
      <c r="AB1784" t="inlineStr">
        <is>
          <t>Miljopaverkan och forsiktighetsmatt</t>
        </is>
      </c>
      <c r="AC1784" t="inlineStr">
        <is>
          <t>Miljo-PM</t>
        </is>
      </c>
      <c r="AD1784" t="inlineStr">
        <is>
          <t>Nej</t>
        </is>
      </c>
      <c r="AE1784" t="inlineStr">
        <is>
          <t>Nej</t>
        </is>
      </c>
      <c r="AF1784" t="inlineStr">
        <is>
          <t>Ej behandlad</t>
        </is>
      </c>
      <c r="AG1784" t="inlineStr">
        <is>
          <t>AUTO_GENERERAD. Verifiera citat mot kallfil.</t>
        </is>
      </c>
      <c r="AH1784" t="inlineStr">
        <is>
          <t>MEDIUM</t>
        </is>
      </c>
      <c r="AI1784" t="inlineStr">
        <is>
          <t>AUTO</t>
        </is>
      </c>
      <c r="AJ1784" t="inlineStr">
        <is>
          <t>Nej</t>
        </is>
      </c>
      <c r="AK1784" t="inlineStr"/>
      <c r="AL1784" t="inlineStr"/>
      <c r="AM1784" t="inlineStr"/>
      <c r="AN1784" t="inlineStr"/>
      <c r="AO1784" t="inlineStr">
        <is>
          <t>cmm4yunz0016zcuqw452huqhy</t>
        </is>
      </c>
      <c r="AP1784" t="inlineStr">
        <is>
          <t>http://localhost:8787/api/admin/requirements/documents/cmm4yunz0016zcuqw452huqhy/view</t>
        </is>
      </c>
      <c r="AQ1784">
        <f>HYPERLÄNK("http://localhost:8787/api/admin/requirements/documents/cmm4yunz0016zcuqw452huqhy/view";"Öppna PDF")</f>
        <v/>
      </c>
      <c r="AR1784">
        <f>HYPERLINK("http://localhost:8787/api/admin/requirements/documents/cmm4yunz0016zcuqw452huqhy/view","Open PDF")</f>
        <v/>
      </c>
      <c r="AS1784" t="inlineStr">
        <is>
          <t>cmm55w57p0004cuisfrtpqly8</t>
        </is>
      </c>
      <c r="AT1784" t="inlineStr">
        <is>
          <t>cmm4xvu980000cuh4vj0usz09</t>
        </is>
      </c>
      <c r="AU1784" t="inlineStr">
        <is>
          <t>i Osby</t>
        </is>
      </c>
      <c r="AV1784" t="inlineStr">
        <is>
          <t>Kommun</t>
        </is>
      </c>
      <c r="AW1784" t="inlineStr">
        <is>
          <t>i Osby kommun</t>
        </is>
      </c>
      <c r="AX1784" t="inlineStr">
        <is>
          <t>0479-52</t>
        </is>
      </c>
      <c r="AY1784" t="inlineStr">
        <is>
          <t>Beslut</t>
        </is>
      </c>
      <c r="AZ1784" t="inlineStr">
        <is>
          <t>2026-02-03</t>
        </is>
      </c>
      <c r="BA1784" t="inlineStr">
        <is>
          <t>Ramen_4_beslut.pdf</t>
        </is>
      </c>
      <c r="BB1784" t="inlineStr">
        <is>
          <t>Sv: till registrator</t>
        </is>
      </c>
      <c r="BC1784" t="inlineStr">
        <is>
          <t>AUTO</t>
        </is>
      </c>
      <c r="BD1784" t="inlineStr"/>
      <c r="BE1784" t="inlineStr"/>
      <c r="BF1784" t="inlineStr">
        <is>
          <t>AUTO_GENERERAD. Bekrafta metadata mot kallfil.</t>
        </is>
      </c>
      <c r="BG1784">
        <f>HYPERLINK("C:\Users\jimmy\Desktop\Examens arbete\Kod\Ny mapp\remix_-copy-of-miljöbeslut.se-portal\Ramen_4_beslut.pdf", "Öppna PDF")</f>
        <v/>
      </c>
    </row>
    <row r="1785">
      <c r="A1785" t="inlineStr">
        <is>
          <t>KRAV-AUTO-001784</t>
        </is>
      </c>
      <c r="B1785" t="inlineStr">
        <is>
          <t>ADMIN-INDEX-2026-02-27-00000000125C043F57453246863FE664CAFE6A3F0700950291EA24F0614FB6ACEDB12BF0E31D00000000010C0000950291EA24F0614FB6ACEDB12BF0E31D00002087AF050000</t>
        </is>
      </c>
      <c r="C1785" t="inlineStr">
        <is>
          <t>cmm4yunym016ncuqwppnn2dk5</t>
        </is>
      </c>
      <c r="D1785" t="inlineStr">
        <is>
          <t>http://localhost:8787/api/admin/requirements/documents/cmm4yunym016ncuqwppnn2dk5/view</t>
        </is>
      </c>
      <c r="E1785">
        <f>HYPERLÄNK("http://localhost:8787/api/admin/requirements/documents/cmm4yunym016ncuqwppnn2dk5/view";"Öppna PDF")</f>
        <v/>
      </c>
      <c r="F1785">
        <f>HYPERLINK("http://localhost:8787/api/admin/requirements/documents/cmm4yunym016ncuqwppnn2dk5/view","Open PDF")</f>
        <v/>
      </c>
      <c r="G1785" t="inlineStr">
        <is>
          <t>cmm55w57p0004cuisfrtpqly8</t>
        </is>
      </c>
      <c r="H1785" t="inlineStr">
        <is>
          <t>Beslutsvillkor</t>
        </is>
      </c>
      <c r="I1785" t="inlineStr">
        <is>
          <t>Riskhantering</t>
        </is>
      </c>
      <c r="J1785" t="inlineStr">
        <is>
          <t>Riskkontroll</t>
        </is>
      </c>
      <c r="K1785" t="inlineStr">
        <is>
          <t>På historisk flygbild från år 2000 kan ses att området där vallen ska anläggas idag består av igenvuxen industrimark, se Figur 1.</t>
        </is>
      </c>
      <c r="L1785" t="inlineStr">
        <is>
          <t>På historisk flygbild från år 2000 kan ses att området där vallen ska anläggas idag består av igenvuxen industrimark, se Figur 1.</t>
        </is>
      </c>
      <c r="M1785" t="inlineStr">
        <is>
          <t>SKA</t>
        </is>
      </c>
      <c r="N1785" t="inlineStr"/>
      <c r="O1785" t="inlineStr"/>
      <c r="P1785" t="inlineStr"/>
      <c r="Q1785" t="inlineStr"/>
      <c r="R1785" t="inlineStr">
        <is>
          <t>Vid risk for incident</t>
        </is>
      </c>
      <c r="S1785" t="inlineStr"/>
      <c r="T1785" t="inlineStr">
        <is>
          <t>556798</t>
        </is>
      </c>
      <c r="U1785" t="inlineStr"/>
      <c r="V1785" t="inlineStr"/>
      <c r="W1785" t="inlineStr">
        <is>
          <t>Nej</t>
        </is>
      </c>
      <c r="X1785" t="inlineStr">
        <is>
          <t>Nej</t>
        </is>
      </c>
      <c r="Y1785" t="inlineStr">
        <is>
          <t>Ja</t>
        </is>
      </c>
      <c r="Z1785" t="inlineStr">
        <is>
          <t>Ja</t>
        </is>
      </c>
      <c r="AA1785" t="n">
        <v>8</v>
      </c>
      <c r="AB1785" t="inlineStr">
        <is>
          <t>Riskhantering</t>
        </is>
      </c>
      <c r="AC1785" t="inlineStr">
        <is>
          <t>Risk-PM</t>
        </is>
      </c>
      <c r="AD1785" t="inlineStr">
        <is>
          <t>Nej</t>
        </is>
      </c>
      <c r="AE1785" t="inlineStr">
        <is>
          <t>Nej</t>
        </is>
      </c>
      <c r="AF1785" t="inlineStr">
        <is>
          <t>Ej behandlad</t>
        </is>
      </c>
      <c r="AG1785" t="inlineStr">
        <is>
          <t>AUTO_GENERERAD. Verifiera citat mot kallfil.</t>
        </is>
      </c>
      <c r="AH1785" t="inlineStr">
        <is>
          <t>MEDIUM</t>
        </is>
      </c>
      <c r="AI1785" t="inlineStr">
        <is>
          <t>AUTO</t>
        </is>
      </c>
      <c r="AJ1785" t="inlineStr">
        <is>
          <t>Nej</t>
        </is>
      </c>
      <c r="AK1785" t="inlineStr"/>
      <c r="AL1785" t="inlineStr"/>
      <c r="AM1785" t="inlineStr"/>
      <c r="AN1785" t="inlineStr"/>
      <c r="AO1785" t="inlineStr">
        <is>
          <t>cmm4yunz0016zcuqw452huqhy</t>
        </is>
      </c>
      <c r="AP1785" t="inlineStr">
        <is>
          <t>http://localhost:8787/api/admin/requirements/documents/cmm4yunz0016zcuqw452huqhy/view</t>
        </is>
      </c>
      <c r="AQ1785">
        <f>HYPERLÄNK("http://localhost:8787/api/admin/requirements/documents/cmm4yunz0016zcuqw452huqhy/view";"Öppna PDF")</f>
        <v/>
      </c>
      <c r="AR1785">
        <f>HYPERLINK("http://localhost:8787/api/admin/requirements/documents/cmm4yunz0016zcuqw452huqhy/view","Open PDF")</f>
        <v/>
      </c>
      <c r="AS1785" t="inlineStr">
        <is>
          <t>cmm55w57p0004cuisfrtpqly8</t>
        </is>
      </c>
      <c r="AT1785" t="inlineStr">
        <is>
          <t>cmm4xvu980000cuh4vj0usz09</t>
        </is>
      </c>
      <c r="AU1785" t="inlineStr">
        <is>
          <t>i Osby</t>
        </is>
      </c>
      <c r="AV1785" t="inlineStr">
        <is>
          <t>Kommun</t>
        </is>
      </c>
      <c r="AW1785" t="inlineStr">
        <is>
          <t>i Osby kommun</t>
        </is>
      </c>
      <c r="AX1785" t="inlineStr">
        <is>
          <t>0479-52</t>
        </is>
      </c>
      <c r="AY1785" t="inlineStr">
        <is>
          <t>Beslut</t>
        </is>
      </c>
      <c r="AZ1785" t="inlineStr">
        <is>
          <t>2026-02-03</t>
        </is>
      </c>
      <c r="BA1785" t="inlineStr">
        <is>
          <t>Ramen_4_beslut.pdf</t>
        </is>
      </c>
      <c r="BB1785" t="inlineStr">
        <is>
          <t>Sv: till registrator</t>
        </is>
      </c>
      <c r="BC1785" t="inlineStr">
        <is>
          <t>AUTO</t>
        </is>
      </c>
      <c r="BD1785" t="inlineStr"/>
      <c r="BE1785" t="inlineStr"/>
      <c r="BF1785" t="inlineStr">
        <is>
          <t>AUTO_GENERERAD. Bekrafta metadata mot kallfil.</t>
        </is>
      </c>
      <c r="BG1785">
        <f>HYPERLINK("C:\Users\jimmy\Desktop\Examens arbete\Kod\Ny mapp\remix_-copy-of-miljöbeslut.se-portal\Ramen_4_beslut.pdf", "Öppna PDF")</f>
        <v/>
      </c>
    </row>
    <row r="1786">
      <c r="A1786" t="inlineStr">
        <is>
          <t>KRAV-AUTO-001785</t>
        </is>
      </c>
      <c r="B1786" t="inlineStr">
        <is>
          <t>ADMIN-INDEX-2026-02-27-00000000125C043F57453246863FE664CAFE6A3F0700950291EA24F0614FB6ACEDB12BF0E31D00000000010C0000950291EA24F0614FB6ACEDB12BF0E31D00002087AF050000</t>
        </is>
      </c>
      <c r="C1786" t="inlineStr">
        <is>
          <t>cmm4yunym016ncuqwppnn2dk5</t>
        </is>
      </c>
      <c r="D1786" t="inlineStr">
        <is>
          <t>http://localhost:8787/api/admin/requirements/documents/cmm4yunym016ncuqwppnn2dk5/view</t>
        </is>
      </c>
      <c r="E1786">
        <f>HYPERLÄNK("http://localhost:8787/api/admin/requirements/documents/cmm4yunym016ncuqwppnn2dk5/view";"Öppna PDF")</f>
        <v/>
      </c>
      <c r="F1786">
        <f>HYPERLINK("http://localhost:8787/api/admin/requirements/documents/cmm4yunym016ncuqwppnn2dk5/view","Open PDF")</f>
        <v/>
      </c>
      <c r="G1786" t="inlineStr">
        <is>
          <t>cmm55w57p0004cuisfrtpqly8</t>
        </is>
      </c>
      <c r="H1786" t="inlineStr">
        <is>
          <t>Beslutsvillkor</t>
        </is>
      </c>
      <c r="I1786" t="inlineStr">
        <is>
          <t>DriftEgenkontroll</t>
        </is>
      </c>
      <c r="J1786" t="inlineStr">
        <is>
          <t>Journalforing</t>
        </is>
      </c>
      <c r="K1786" t="inlineStr">
        <is>
          <t>Om vallen ska anläggas på skogsmark, i enlighet med bifogat situationsplan, kan ni visa att marken har använts för industriändamål tidigare och planeras provtagning av marken för att undersöka bakgrundshalter?</t>
        </is>
      </c>
      <c r="L1786" t="inlineStr">
        <is>
          <t>Om vallen ska anläggas på skogsmark, i enlighet med bifogat situationsplan, kan ni visa att marken har använts för industriändamål tidigare och planeras provtagning av marken för att undersöka bakgrundshalter?</t>
        </is>
      </c>
      <c r="M1786" t="inlineStr">
        <is>
          <t>SKA</t>
        </is>
      </c>
      <c r="N1786" t="inlineStr"/>
      <c r="O1786" t="inlineStr"/>
      <c r="P1786" t="inlineStr"/>
      <c r="Q1786" t="inlineStr"/>
      <c r="R1786" t="inlineStr">
        <is>
          <t>Lopande drift</t>
        </is>
      </c>
      <c r="S1786" t="inlineStr"/>
      <c r="T1786" t="inlineStr">
        <is>
          <t>556798</t>
        </is>
      </c>
      <c r="U1786" t="inlineStr"/>
      <c r="V1786" t="inlineStr"/>
      <c r="W1786" t="inlineStr">
        <is>
          <t>Nej</t>
        </is>
      </c>
      <c r="X1786" t="inlineStr">
        <is>
          <t>Nej</t>
        </is>
      </c>
      <c r="Y1786" t="inlineStr">
        <is>
          <t>Ja</t>
        </is>
      </c>
      <c r="Z1786" t="inlineStr">
        <is>
          <t>Nej</t>
        </is>
      </c>
      <c r="AA1786" t="n">
        <v>7</v>
      </c>
      <c r="AB1786" t="inlineStr">
        <is>
          <t>Egenkontrollrutiner</t>
        </is>
      </c>
      <c r="AC1786" t="inlineStr">
        <is>
          <t>Egenkontrollprogram</t>
        </is>
      </c>
      <c r="AD1786" t="inlineStr">
        <is>
          <t>Nej</t>
        </is>
      </c>
      <c r="AE1786" t="inlineStr">
        <is>
          <t>Nej</t>
        </is>
      </c>
      <c r="AF1786" t="inlineStr">
        <is>
          <t>Ej behandlad</t>
        </is>
      </c>
      <c r="AG1786" t="inlineStr">
        <is>
          <t>AUTO_GENERERAD. Verifiera citat mot kallfil.</t>
        </is>
      </c>
      <c r="AH1786" t="inlineStr">
        <is>
          <t>MEDIUM</t>
        </is>
      </c>
      <c r="AI1786" t="inlineStr">
        <is>
          <t>AUTO</t>
        </is>
      </c>
      <c r="AJ1786" t="inlineStr">
        <is>
          <t>Nej</t>
        </is>
      </c>
      <c r="AK1786" t="inlineStr"/>
      <c r="AL1786" t="inlineStr"/>
      <c r="AM1786" t="inlineStr"/>
      <c r="AN1786" t="inlineStr"/>
      <c r="AO1786" t="inlineStr">
        <is>
          <t>cmm4yunz0016zcuqw452huqhy</t>
        </is>
      </c>
      <c r="AP1786" t="inlineStr">
        <is>
          <t>http://localhost:8787/api/admin/requirements/documents/cmm4yunz0016zcuqw452huqhy/view</t>
        </is>
      </c>
      <c r="AQ1786">
        <f>HYPERLÄNK("http://localhost:8787/api/admin/requirements/documents/cmm4yunz0016zcuqw452huqhy/view";"Öppna PDF")</f>
        <v/>
      </c>
      <c r="AR1786">
        <f>HYPERLINK("http://localhost:8787/api/admin/requirements/documents/cmm4yunz0016zcuqw452huqhy/view","Open PDF")</f>
        <v/>
      </c>
      <c r="AS1786" t="inlineStr">
        <is>
          <t>cmm55w57p0004cuisfrtpqly8</t>
        </is>
      </c>
      <c r="AT1786" t="inlineStr">
        <is>
          <t>cmm4xvu980000cuh4vj0usz09</t>
        </is>
      </c>
      <c r="AU1786" t="inlineStr">
        <is>
          <t>i Osby</t>
        </is>
      </c>
      <c r="AV1786" t="inlineStr">
        <is>
          <t>Kommun</t>
        </is>
      </c>
      <c r="AW1786" t="inlineStr">
        <is>
          <t>i Osby kommun</t>
        </is>
      </c>
      <c r="AX1786" t="inlineStr">
        <is>
          <t>0479-52</t>
        </is>
      </c>
      <c r="AY1786" t="inlineStr">
        <is>
          <t>Beslut</t>
        </is>
      </c>
      <c r="AZ1786" t="inlineStr">
        <is>
          <t>2026-02-03</t>
        </is>
      </c>
      <c r="BA1786" t="inlineStr">
        <is>
          <t>Ramen_4_beslut.pdf</t>
        </is>
      </c>
      <c r="BB1786" t="inlineStr">
        <is>
          <t>Sv: till registrator</t>
        </is>
      </c>
      <c r="BC1786" t="inlineStr">
        <is>
          <t>AUTO</t>
        </is>
      </c>
      <c r="BD1786" t="inlineStr"/>
      <c r="BE1786" t="inlineStr"/>
      <c r="BF1786" t="inlineStr">
        <is>
          <t>AUTO_GENERERAD. Bekrafta metadata mot kallfil.</t>
        </is>
      </c>
      <c r="BG1786">
        <f>HYPERLINK("C:\Users\jimmy\Desktop\Examens arbete\Kod\Ny mapp\remix_-copy-of-miljöbeslut.se-portal\Ramen_4_beslut.pdf", "Öppna PDF")</f>
        <v/>
      </c>
    </row>
    <row r="1787">
      <c r="A1787" t="inlineStr">
        <is>
          <t>KRAV-AUTO-001786</t>
        </is>
      </c>
      <c r="B1787" t="inlineStr">
        <is>
          <t>ADMIN-INDEX-2026-02-27-00000000125C043F57453246863FE664CAFE6A3F0700950291EA24F0614FB6ACEDB12BF0E31D00000000010C0000950291EA24F0614FB6ACEDB12BF0E31D00002087AF050000</t>
        </is>
      </c>
      <c r="C1787" t="inlineStr">
        <is>
          <t>cmm4yunyc016ecuqw7unvnr1o</t>
        </is>
      </c>
      <c r="D1787" t="inlineStr">
        <is>
          <t>http://localhost:8787/api/admin/requirements/documents/cmm4yunyc016ecuqw7unvnr1o/view</t>
        </is>
      </c>
      <c r="E1787">
        <f>HYPERLÄNK("http://localhost:8787/api/admin/requirements/documents/cmm4yunyc016ecuqw7unvnr1o/view";"Öppna PDF")</f>
        <v/>
      </c>
      <c r="F1787">
        <f>HYPERLINK("http://localhost:8787/api/admin/requirements/documents/cmm4yunyc016ecuqw7unvnr1o/view","Open PDF")</f>
        <v/>
      </c>
      <c r="G1787" t="inlineStr">
        <is>
          <t>cmm55w57p0004cuisfrtpqly8</t>
        </is>
      </c>
      <c r="H1787" t="inlineStr">
        <is>
          <t>Informationskrav</t>
        </is>
      </c>
      <c r="I1787" t="inlineStr">
        <is>
          <t>MiljopaverkanForsiktighet</t>
        </is>
      </c>
      <c r="J1787" t="inlineStr">
        <is>
          <t>Skyddsatgarder</t>
        </is>
      </c>
      <c r="K1787" t="inlineStr">
        <is>
          <t>Hur ska avfallet användas?</t>
        </is>
      </c>
      <c r="L1787" t="inlineStr">
        <is>
          <t>Hur ska avfallet användas?</t>
        </is>
      </c>
      <c r="M1787" t="inlineStr">
        <is>
          <t>SKA</t>
        </is>
      </c>
      <c r="N1787" t="inlineStr"/>
      <c r="O1787" t="inlineStr"/>
      <c r="P1787" t="inlineStr"/>
      <c r="Q1787" t="inlineStr"/>
      <c r="R1787" t="inlineStr">
        <is>
          <t>Alltid</t>
        </is>
      </c>
      <c r="S1787" t="inlineStr"/>
      <c r="T1787" t="inlineStr">
        <is>
          <t>815204</t>
        </is>
      </c>
      <c r="U1787" t="inlineStr"/>
      <c r="V1787" t="inlineStr"/>
      <c r="W1787" t="inlineStr">
        <is>
          <t>Nej</t>
        </is>
      </c>
      <c r="X1787" t="inlineStr">
        <is>
          <t>Nej</t>
        </is>
      </c>
      <c r="Y1787" t="inlineStr">
        <is>
          <t>Nej</t>
        </is>
      </c>
      <c r="Z1787" t="inlineStr">
        <is>
          <t>Nej</t>
        </is>
      </c>
      <c r="AA1787" t="n">
        <v>10</v>
      </c>
      <c r="AB1787" t="inlineStr">
        <is>
          <t>Miljopaverkan och forsiktighetsmatt</t>
        </is>
      </c>
      <c r="AC1787" t="inlineStr">
        <is>
          <t>Miljo-PM</t>
        </is>
      </c>
      <c r="AD1787" t="inlineStr">
        <is>
          <t>Nej</t>
        </is>
      </c>
      <c r="AE1787" t="inlineStr">
        <is>
          <t>Nej</t>
        </is>
      </c>
      <c r="AF1787" t="inlineStr">
        <is>
          <t>Ej behandlad</t>
        </is>
      </c>
      <c r="AG1787" t="inlineStr">
        <is>
          <t>AUTO_GENERERAD. Verifiera citat mot kallfil.</t>
        </is>
      </c>
      <c r="AH1787" t="inlineStr">
        <is>
          <t>LOW</t>
        </is>
      </c>
      <c r="AI1787" t="inlineStr">
        <is>
          <t>AUTO</t>
        </is>
      </c>
      <c r="AJ1787" t="inlineStr">
        <is>
          <t>Nej</t>
        </is>
      </c>
      <c r="AK1787" t="inlineStr"/>
      <c r="AL1787" t="inlineStr"/>
      <c r="AM1787" t="inlineStr"/>
      <c r="AN1787" t="inlineStr"/>
      <c r="AO1787" t="inlineStr">
        <is>
          <t>cmm4yunz0016zcuqw452huqhy</t>
        </is>
      </c>
      <c r="AP1787" t="inlineStr">
        <is>
          <t>http://localhost:8787/api/admin/requirements/documents/cmm4yunz0016zcuqw452huqhy/view</t>
        </is>
      </c>
      <c r="AQ1787">
        <f>HYPERLÄNK("http://localhost:8787/api/admin/requirements/documents/cmm4yunz0016zcuqw452huqhy/view";"Öppna PDF")</f>
        <v/>
      </c>
      <c r="AR1787">
        <f>HYPERLINK("http://localhost:8787/api/admin/requirements/documents/cmm4yunz0016zcuqw452huqhy/view","Open PDF")</f>
        <v/>
      </c>
      <c r="AS1787" t="inlineStr">
        <is>
          <t>cmm55w57p0004cuisfrtpqly8</t>
        </is>
      </c>
      <c r="AT1787" t="inlineStr">
        <is>
          <t>cmm4xvu980000cuh4vj0usz09</t>
        </is>
      </c>
      <c r="AU1787" t="inlineStr">
        <is>
          <t>i Osby</t>
        </is>
      </c>
      <c r="AV1787" t="inlineStr">
        <is>
          <t>Kommun</t>
        </is>
      </c>
      <c r="AW1787" t="inlineStr">
        <is>
          <t>i Osby kommun</t>
        </is>
      </c>
      <c r="AX1787" t="inlineStr">
        <is>
          <t>0479-52</t>
        </is>
      </c>
      <c r="AY1787" t="inlineStr">
        <is>
          <t>Beslut</t>
        </is>
      </c>
      <c r="AZ1787" t="inlineStr">
        <is>
          <t>2026-02-03</t>
        </is>
      </c>
      <c r="BA1787" t="inlineStr">
        <is>
          <t>Ramen_4_beslut.pdf</t>
        </is>
      </c>
      <c r="BB1787" t="inlineStr">
        <is>
          <t>Sv: till registrator</t>
        </is>
      </c>
      <c r="BC1787" t="inlineStr">
        <is>
          <t>AUTO</t>
        </is>
      </c>
      <c r="BD1787" t="inlineStr"/>
      <c r="BE1787" t="inlineStr"/>
      <c r="BF1787" t="inlineStr">
        <is>
          <t>AUTO_GENERERAD. Bekrafta metadata mot kallfil.</t>
        </is>
      </c>
      <c r="BG1787">
        <f>HYPERLINK("C:\Users\jimmy\Desktop\Examens arbete\Kod\Ny mapp\remix_-copy-of-miljöbeslut.se-portal\Ramen_4_beslut.pdf", "Öppna PDF")</f>
        <v/>
      </c>
    </row>
    <row r="1788">
      <c r="A1788" t="inlineStr">
        <is>
          <t>KRAV-AUTO-001787</t>
        </is>
      </c>
      <c r="B1788" t="inlineStr">
        <is>
          <t>ADMIN-INDEX-2026-02-27-00000000125C043F57453246863FE664CAFE6A3F0700950291EA24F0614FB6ACEDB12BF0E31D00000000010C0000950291EA24F0614FB6ACEDB12BF0E31D00002087AF050000</t>
        </is>
      </c>
      <c r="C1788" t="inlineStr">
        <is>
          <t>cmm4yunyc016ecuqw7unvnr1o</t>
        </is>
      </c>
      <c r="D1788" t="inlineStr">
        <is>
          <t>http://localhost:8787/api/admin/requirements/documents/cmm4yunyc016ecuqw7unvnr1o/view</t>
        </is>
      </c>
      <c r="E1788">
        <f>HYPERLÄNK("http://localhost:8787/api/admin/requirements/documents/cmm4yunyc016ecuqw7unvnr1o/view";"Öppna PDF")</f>
        <v/>
      </c>
      <c r="F1788">
        <f>HYPERLINK("http://localhost:8787/api/admin/requirements/documents/cmm4yunyc016ecuqw7unvnr1o/view","Open PDF")</f>
        <v/>
      </c>
      <c r="G1788" t="inlineStr">
        <is>
          <t>cmm55w57p0004cuisfrtpqly8</t>
        </is>
      </c>
      <c r="H1788" t="inlineStr">
        <is>
          <t>Informationskrav</t>
        </is>
      </c>
      <c r="I1788" t="inlineStr">
        <is>
          <t>DriftEgenkontroll</t>
        </is>
      </c>
      <c r="J1788" t="inlineStr">
        <is>
          <t>Journalforing</t>
        </is>
      </c>
      <c r="K1788" t="inlineStr">
        <is>
          <t>Ja, bifoga provtagnings-/analysresultat X Nej, beskriv varför det inte är gjort Allt material som ska tillföras kommer att tas prover på och redovisas löpande.</t>
        </is>
      </c>
      <c r="L1788" t="inlineStr">
        <is>
          <t>Ja, bifoga provtagnings-/analysresultat X Nej, beskriv varför det inte är gjort Allt material som ska tillföras kommer att tas prover på och redovisas löpande.</t>
        </is>
      </c>
      <c r="M1788" t="inlineStr">
        <is>
          <t>SKA</t>
        </is>
      </c>
      <c r="N1788" t="inlineStr"/>
      <c r="O1788" t="inlineStr"/>
      <c r="P1788" t="inlineStr">
        <is>
          <t>Lopande</t>
        </is>
      </c>
      <c r="Q1788" t="inlineStr"/>
      <c r="R1788" t="inlineStr">
        <is>
          <t>Lopande drift</t>
        </is>
      </c>
      <c r="S1788" t="inlineStr"/>
      <c r="T1788" t="inlineStr">
        <is>
          <t>815204</t>
        </is>
      </c>
      <c r="U1788" t="inlineStr"/>
      <c r="V1788" t="inlineStr"/>
      <c r="W1788" t="inlineStr">
        <is>
          <t>Nej</t>
        </is>
      </c>
      <c r="X1788" t="inlineStr">
        <is>
          <t>Nej</t>
        </is>
      </c>
      <c r="Y1788" t="inlineStr">
        <is>
          <t>Ja</t>
        </is>
      </c>
      <c r="Z1788" t="inlineStr">
        <is>
          <t>Nej</t>
        </is>
      </c>
      <c r="AA1788" t="n">
        <v>7</v>
      </c>
      <c r="AB1788" t="inlineStr">
        <is>
          <t>Egenkontrollrutiner</t>
        </is>
      </c>
      <c r="AC1788" t="inlineStr">
        <is>
          <t>Egenkontrollprogram</t>
        </is>
      </c>
      <c r="AD1788" t="inlineStr">
        <is>
          <t>Nej</t>
        </is>
      </c>
      <c r="AE1788" t="inlineStr">
        <is>
          <t>Nej</t>
        </is>
      </c>
      <c r="AF1788" t="inlineStr">
        <is>
          <t>Ej behandlad</t>
        </is>
      </c>
      <c r="AG1788" t="inlineStr">
        <is>
          <t>AUTO_GENERERAD. Verifiera citat mot kallfil.</t>
        </is>
      </c>
      <c r="AH1788" t="inlineStr">
        <is>
          <t>MEDIUM</t>
        </is>
      </c>
      <c r="AI1788" t="inlineStr">
        <is>
          <t>AUTO</t>
        </is>
      </c>
      <c r="AJ1788" t="inlineStr">
        <is>
          <t>Nej</t>
        </is>
      </c>
      <c r="AK1788" t="inlineStr"/>
      <c r="AL1788" t="inlineStr"/>
      <c r="AM1788" t="inlineStr"/>
      <c r="AN1788" t="inlineStr"/>
      <c r="AO1788" t="inlineStr">
        <is>
          <t>cmm4yunz0016zcuqw452huqhy</t>
        </is>
      </c>
      <c r="AP1788" t="inlineStr">
        <is>
          <t>http://localhost:8787/api/admin/requirements/documents/cmm4yunz0016zcuqw452huqhy/view</t>
        </is>
      </c>
      <c r="AQ1788">
        <f>HYPERLÄNK("http://localhost:8787/api/admin/requirements/documents/cmm4yunz0016zcuqw452huqhy/view";"Öppna PDF")</f>
        <v/>
      </c>
      <c r="AR1788">
        <f>HYPERLINK("http://localhost:8787/api/admin/requirements/documents/cmm4yunz0016zcuqw452huqhy/view","Open PDF")</f>
        <v/>
      </c>
      <c r="AS1788" t="inlineStr">
        <is>
          <t>cmm55w57p0004cuisfrtpqly8</t>
        </is>
      </c>
      <c r="AT1788" t="inlineStr">
        <is>
          <t>cmm4xvu980000cuh4vj0usz09</t>
        </is>
      </c>
      <c r="AU1788" t="inlineStr">
        <is>
          <t>i Osby</t>
        </is>
      </c>
      <c r="AV1788" t="inlineStr">
        <is>
          <t>Kommun</t>
        </is>
      </c>
      <c r="AW1788" t="inlineStr">
        <is>
          <t>i Osby kommun</t>
        </is>
      </c>
      <c r="AX1788" t="inlineStr">
        <is>
          <t>0479-52</t>
        </is>
      </c>
      <c r="AY1788" t="inlineStr">
        <is>
          <t>Beslut</t>
        </is>
      </c>
      <c r="AZ1788" t="inlineStr">
        <is>
          <t>2026-02-03</t>
        </is>
      </c>
      <c r="BA1788" t="inlineStr">
        <is>
          <t>Ramen_4_beslut.pdf</t>
        </is>
      </c>
      <c r="BB1788" t="inlineStr">
        <is>
          <t>Sv: till registrator</t>
        </is>
      </c>
      <c r="BC1788" t="inlineStr">
        <is>
          <t>AUTO</t>
        </is>
      </c>
      <c r="BD1788" t="inlineStr"/>
      <c r="BE1788" t="inlineStr"/>
      <c r="BF1788" t="inlineStr">
        <is>
          <t>AUTO_GENERERAD. Bekrafta metadata mot kallfil.</t>
        </is>
      </c>
      <c r="BG1788">
        <f>HYPERLINK("C:\Users\jimmy\Desktop\Examens arbete\Kod\Ny mapp\remix_-copy-of-miljöbeslut.se-portal\Ramen_4_beslut.pdf", "Öppna PDF")</f>
        <v/>
      </c>
    </row>
    <row r="1789">
      <c r="A1789" t="inlineStr">
        <is>
          <t>KRAV-AUTO-001788</t>
        </is>
      </c>
      <c r="B1789" t="inlineStr">
        <is>
          <t>ADMIN-INDEX-2026-02-27-00000000125C043F57453246863FE664CAFE6A3F0700950291EA24F0614FB6ACEDB12BF0E31D00000000010C0000950291EA24F0614FB6ACEDB12BF0E31D00002087AF050000</t>
        </is>
      </c>
      <c r="C1789" t="inlineStr">
        <is>
          <t>cmm4yunyc016ecuqw7unvnr1o</t>
        </is>
      </c>
      <c r="D1789" t="inlineStr">
        <is>
          <t>http://localhost:8787/api/admin/requirements/documents/cmm4yunyc016ecuqw7unvnr1o/view</t>
        </is>
      </c>
      <c r="E1789">
        <f>HYPERLÄNK("http://localhost:8787/api/admin/requirements/documents/cmm4yunyc016ecuqw7unvnr1o/view";"Öppna PDF")</f>
        <v/>
      </c>
      <c r="F1789">
        <f>HYPERLINK("http://localhost:8787/api/admin/requirements/documents/cmm4yunyc016ecuqw7unvnr1o/view","Open PDF")</f>
        <v/>
      </c>
      <c r="G1789" t="inlineStr">
        <is>
          <t>cmm55w57p0004cuisfrtpqly8</t>
        </is>
      </c>
      <c r="H1789" t="inlineStr">
        <is>
          <t>Informationskrav</t>
        </is>
      </c>
      <c r="I1789" t="inlineStr">
        <is>
          <t>Riskhantering</t>
        </is>
      </c>
      <c r="J1789" t="inlineStr">
        <is>
          <t>Riskkontroll</t>
        </is>
      </c>
      <c r="K1789" t="inlineStr">
        <is>
          <t>Då det idag förekommer både flisning av energived samt krossning av returträ uppstår bitvís hög ljudnivå och en del damm, Med en bullervall så minskar risken för buller till dom intill liggande villorna.</t>
        </is>
      </c>
      <c r="L1789" t="inlineStr">
        <is>
          <t>Då det idag förekommer både flisning av energived samt krossning av returträ uppstår bitvís hög ljudnivå och en del damm, Med en bullervall så minskar risken för buller till dom intill liggande villorna.</t>
        </is>
      </c>
      <c r="M1789" t="inlineStr">
        <is>
          <t>SKA</t>
        </is>
      </c>
      <c r="N1789" t="inlineStr"/>
      <c r="O1789" t="inlineStr"/>
      <c r="P1789" t="inlineStr"/>
      <c r="Q1789" t="inlineStr"/>
      <c r="R1789" t="inlineStr">
        <is>
          <t>Vid risk for incident</t>
        </is>
      </c>
      <c r="S1789" t="inlineStr"/>
      <c r="T1789" t="inlineStr">
        <is>
          <t>815204</t>
        </is>
      </c>
      <c r="U1789" t="inlineStr"/>
      <c r="V1789" t="inlineStr"/>
      <c r="W1789" t="inlineStr">
        <is>
          <t>Nej</t>
        </is>
      </c>
      <c r="X1789" t="inlineStr">
        <is>
          <t>Nej</t>
        </is>
      </c>
      <c r="Y1789" t="inlineStr">
        <is>
          <t>Ja</t>
        </is>
      </c>
      <c r="Z1789" t="inlineStr">
        <is>
          <t>Ja</t>
        </is>
      </c>
      <c r="AA1789" t="n">
        <v>8</v>
      </c>
      <c r="AB1789" t="inlineStr">
        <is>
          <t>Riskhantering</t>
        </is>
      </c>
      <c r="AC1789" t="inlineStr">
        <is>
          <t>Risk-PM</t>
        </is>
      </c>
      <c r="AD1789" t="inlineStr">
        <is>
          <t>Nej</t>
        </is>
      </c>
      <c r="AE1789" t="inlineStr">
        <is>
          <t>Nej</t>
        </is>
      </c>
      <c r="AF1789" t="inlineStr">
        <is>
          <t>Ej behandlad</t>
        </is>
      </c>
      <c r="AG1789" t="inlineStr">
        <is>
          <t>AUTO_GENERERAD. Verifiera citat mot kallfil.</t>
        </is>
      </c>
      <c r="AH1789" t="inlineStr">
        <is>
          <t>MEDIUM</t>
        </is>
      </c>
      <c r="AI1789" t="inlineStr">
        <is>
          <t>AUTO</t>
        </is>
      </c>
      <c r="AJ1789" t="inlineStr">
        <is>
          <t>Nej</t>
        </is>
      </c>
      <c r="AK1789" t="inlineStr"/>
      <c r="AL1789" t="inlineStr"/>
      <c r="AM1789" t="inlineStr"/>
      <c r="AN1789" t="inlineStr"/>
      <c r="AO1789" t="inlineStr">
        <is>
          <t>cmm4yunz0016zcuqw452huqhy</t>
        </is>
      </c>
      <c r="AP1789" t="inlineStr">
        <is>
          <t>http://localhost:8787/api/admin/requirements/documents/cmm4yunz0016zcuqw452huqhy/view</t>
        </is>
      </c>
      <c r="AQ1789">
        <f>HYPERLÄNK("http://localhost:8787/api/admin/requirements/documents/cmm4yunz0016zcuqw452huqhy/view";"Öppna PDF")</f>
        <v/>
      </c>
      <c r="AR1789">
        <f>HYPERLINK("http://localhost:8787/api/admin/requirements/documents/cmm4yunz0016zcuqw452huqhy/view","Open PDF")</f>
        <v/>
      </c>
      <c r="AS1789" t="inlineStr">
        <is>
          <t>cmm55w57p0004cuisfrtpqly8</t>
        </is>
      </c>
      <c r="AT1789" t="inlineStr">
        <is>
          <t>cmm4xvu980000cuh4vj0usz09</t>
        </is>
      </c>
      <c r="AU1789" t="inlineStr">
        <is>
          <t>i Osby</t>
        </is>
      </c>
      <c r="AV1789" t="inlineStr">
        <is>
          <t>Kommun</t>
        </is>
      </c>
      <c r="AW1789" t="inlineStr">
        <is>
          <t>i Osby kommun</t>
        </is>
      </c>
      <c r="AX1789" t="inlineStr">
        <is>
          <t>0479-52</t>
        </is>
      </c>
      <c r="AY1789" t="inlineStr">
        <is>
          <t>Beslut</t>
        </is>
      </c>
      <c r="AZ1789" t="inlineStr">
        <is>
          <t>2026-02-03</t>
        </is>
      </c>
      <c r="BA1789" t="inlineStr">
        <is>
          <t>Ramen_4_beslut.pdf</t>
        </is>
      </c>
      <c r="BB1789" t="inlineStr">
        <is>
          <t>Sv: till registrator</t>
        </is>
      </c>
      <c r="BC1789" t="inlineStr">
        <is>
          <t>AUTO</t>
        </is>
      </c>
      <c r="BD1789" t="inlineStr"/>
      <c r="BE1789" t="inlineStr"/>
      <c r="BF1789" t="inlineStr">
        <is>
          <t>AUTO_GENERERAD. Bekrafta metadata mot kallfil.</t>
        </is>
      </c>
      <c r="BG1789">
        <f>HYPERLINK("C:\Users\jimmy\Desktop\Examens arbete\Kod\Ny mapp\remix_-copy-of-miljöbeslut.se-portal\Ramen_4_beslut.pdf", "Öppna PDF")</f>
        <v/>
      </c>
    </row>
    <row r="1790">
      <c r="A1790" t="inlineStr">
        <is>
          <t>KRAV-AUTO-001789</t>
        </is>
      </c>
      <c r="B1790" t="inlineStr">
        <is>
          <t>ADMIN-INDEX-2026-02-27-00000000125C043F57453246863FE664CAFE6A3F0700950291EA24F0614FB6ACEDB12BF0E31D00000000010C0000950291EA24F0614FB6ACEDB12BF0E31D00002087AF050000</t>
        </is>
      </c>
      <c r="C1790" t="inlineStr">
        <is>
          <t>cmm4yuny9016bcuqw9n8fnq3g</t>
        </is>
      </c>
      <c r="D1790" t="inlineStr">
        <is>
          <t>http://localhost:8787/api/admin/requirements/documents/cmm4yuny9016bcuqw9n8fnq3g/view</t>
        </is>
      </c>
      <c r="E1790">
        <f>HYPERLÄNK("http://localhost:8787/api/admin/requirements/documents/cmm4yuny9016bcuqw9n8fnq3g/view";"Öppna PDF")</f>
        <v/>
      </c>
      <c r="F1790">
        <f>HYPERLINK("http://localhost:8787/api/admin/requirements/documents/cmm4yuny9016bcuqw9n8fnq3g/view","Open PDF")</f>
        <v/>
      </c>
      <c r="G1790" t="inlineStr">
        <is>
          <t>cmm55w57p0004cuisfrtpqly8</t>
        </is>
      </c>
      <c r="H1790" t="inlineStr">
        <is>
          <t>Beslutsvillkor</t>
        </is>
      </c>
      <c r="I1790" t="inlineStr">
        <is>
          <t>DagvattenLakvatten</t>
        </is>
      </c>
      <c r="J1790" t="inlineStr">
        <is>
          <t>Uppsamling</t>
        </is>
      </c>
      <c r="K1790" t="inlineStr">
        <is>
          <t>Provtagning på utgående dagvatten ska kunna utföras vid behov.</t>
        </is>
      </c>
      <c r="L1790" t="inlineStr">
        <is>
          <t>Provtagning på utgående dagvatten ska kunna utföras vid behov.</t>
        </is>
      </c>
      <c r="M1790" t="inlineStr">
        <is>
          <t>SKA</t>
        </is>
      </c>
      <c r="N1790" t="inlineStr"/>
      <c r="O1790" t="inlineStr"/>
      <c r="P1790" t="inlineStr"/>
      <c r="Q1790" t="inlineStr"/>
      <c r="R1790" t="inlineStr">
        <is>
          <t>Vid nederbord och avrinning</t>
        </is>
      </c>
      <c r="S1790" t="inlineStr"/>
      <c r="T1790" t="inlineStr">
        <is>
          <t>21 2025</t>
        </is>
      </c>
      <c r="U1790" t="inlineStr"/>
      <c r="V1790" t="inlineStr"/>
      <c r="W1790" t="inlineStr">
        <is>
          <t>Nej</t>
        </is>
      </c>
      <c r="X1790" t="inlineStr">
        <is>
          <t>Ja</t>
        </is>
      </c>
      <c r="Y1790" t="inlineStr">
        <is>
          <t>Ja</t>
        </is>
      </c>
      <c r="Z1790" t="inlineStr">
        <is>
          <t>Nej</t>
        </is>
      </c>
      <c r="AA1790" t="n">
        <v>6</v>
      </c>
      <c r="AB1790" t="inlineStr">
        <is>
          <t>Lakvattenhantering</t>
        </is>
      </c>
      <c r="AC1790" t="inlineStr">
        <is>
          <t>Flodesschema dagvatten-lakvatten</t>
        </is>
      </c>
      <c r="AD1790" t="inlineStr">
        <is>
          <t>Nej</t>
        </is>
      </c>
      <c r="AE1790" t="inlineStr">
        <is>
          <t>Nej</t>
        </is>
      </c>
      <c r="AF1790" t="inlineStr">
        <is>
          <t>Ej behandlad</t>
        </is>
      </c>
      <c r="AG1790" t="inlineStr">
        <is>
          <t>AUTO_GENERERAD. Verifiera citat mot kallfil.</t>
        </is>
      </c>
      <c r="AH1790" t="inlineStr">
        <is>
          <t>MEDIUM</t>
        </is>
      </c>
      <c r="AI1790" t="inlineStr">
        <is>
          <t>AUTO</t>
        </is>
      </c>
      <c r="AJ1790" t="inlineStr">
        <is>
          <t>Nej</t>
        </is>
      </c>
      <c r="AK1790" t="inlineStr"/>
      <c r="AL1790" t="inlineStr"/>
      <c r="AM1790" t="inlineStr"/>
      <c r="AN1790" t="inlineStr"/>
      <c r="AO1790" t="inlineStr">
        <is>
          <t>cmm4yunz0016zcuqw452huqhy</t>
        </is>
      </c>
      <c r="AP1790" t="inlineStr">
        <is>
          <t>http://localhost:8787/api/admin/requirements/documents/cmm4yunz0016zcuqw452huqhy/view</t>
        </is>
      </c>
      <c r="AQ1790">
        <f>HYPERLÄNK("http://localhost:8787/api/admin/requirements/documents/cmm4yunz0016zcuqw452huqhy/view";"Öppna PDF")</f>
        <v/>
      </c>
      <c r="AR1790">
        <f>HYPERLINK("http://localhost:8787/api/admin/requirements/documents/cmm4yunz0016zcuqw452huqhy/view","Open PDF")</f>
        <v/>
      </c>
      <c r="AS1790" t="inlineStr">
        <is>
          <t>cmm55w57p0004cuisfrtpqly8</t>
        </is>
      </c>
      <c r="AT1790" t="inlineStr">
        <is>
          <t>cmm4xvu980000cuh4vj0usz09</t>
        </is>
      </c>
      <c r="AU1790" t="inlineStr">
        <is>
          <t>i Osby</t>
        </is>
      </c>
      <c r="AV1790" t="inlineStr">
        <is>
          <t>Kommun</t>
        </is>
      </c>
      <c r="AW1790" t="inlineStr">
        <is>
          <t>i Osby kommun</t>
        </is>
      </c>
      <c r="AX1790" t="inlineStr">
        <is>
          <t>0479-52</t>
        </is>
      </c>
      <c r="AY1790" t="inlineStr">
        <is>
          <t>Beslut</t>
        </is>
      </c>
      <c r="AZ1790" t="inlineStr">
        <is>
          <t>2026-02-03</t>
        </is>
      </c>
      <c r="BA1790" t="inlineStr">
        <is>
          <t>Ramen_4_beslut.pdf</t>
        </is>
      </c>
      <c r="BB1790" t="inlineStr">
        <is>
          <t>Sv: till registrator</t>
        </is>
      </c>
      <c r="BC1790" t="inlineStr">
        <is>
          <t>AUTO</t>
        </is>
      </c>
      <c r="BD1790" t="inlineStr"/>
      <c r="BE1790" t="inlineStr"/>
      <c r="BF1790" t="inlineStr">
        <is>
          <t>AUTO_GENERERAD. Bekrafta metadata mot kallfil.</t>
        </is>
      </c>
      <c r="BG1790">
        <f>HYPERLINK("C:\Users\jimmy\Desktop\Examens arbete\Kod\Ny mapp\remix_-copy-of-miljöbeslut.se-portal\Ramen_4_beslut.pdf", "Öppna PDF")</f>
        <v/>
      </c>
    </row>
    <row r="1791">
      <c r="A1791" t="inlineStr">
        <is>
          <t>KRAV-AUTO-001790</t>
        </is>
      </c>
      <c r="B1791" t="inlineStr">
        <is>
          <t>ADMIN-INDEX-2026-02-27-00000000125C043F57453246863FE664CAFE6A3F0700950291EA24F0614FB6ACEDB12BF0E31D00000000010C0000950291EA24F0614FB6ACEDB12BF0E31D00002087AF050000</t>
        </is>
      </c>
      <c r="C1791" t="inlineStr">
        <is>
          <t>cmm4yuny9016bcuqw9n8fnq3g</t>
        </is>
      </c>
      <c r="D1791" t="inlineStr">
        <is>
          <t>http://localhost:8787/api/admin/requirements/documents/cmm4yuny9016bcuqw9n8fnq3g/view</t>
        </is>
      </c>
      <c r="E1791">
        <f>HYPERLÄNK("http://localhost:8787/api/admin/requirements/documents/cmm4yuny9016bcuqw9n8fnq3g/view";"Öppna PDF")</f>
        <v/>
      </c>
      <c r="F1791">
        <f>HYPERLINK("http://localhost:8787/api/admin/requirements/documents/cmm4yuny9016bcuqw9n8fnq3g/view","Open PDF")</f>
        <v/>
      </c>
      <c r="G1791" t="inlineStr">
        <is>
          <t>cmm55w57p0004cuisfrtpqly8</t>
        </is>
      </c>
      <c r="H1791" t="inlineStr">
        <is>
          <t>Beslutsvillkor</t>
        </is>
      </c>
      <c r="I1791" t="inlineStr">
        <is>
          <t>Ytkonstruktion</t>
        </is>
      </c>
      <c r="J1791" t="inlineStr">
        <is>
          <t>Tat yta</t>
        </is>
      </c>
      <c r="K1791" t="inlineStr">
        <is>
          <t>Kemikaliespill ska förebyggas och det ska finnas tillräckligt med invallning vid förvaring av kemikalier samt ska det finnas tillräckligt med tillgång till absorbenter, exempelvis absorberingsmedel.</t>
        </is>
      </c>
      <c r="L1791" t="inlineStr">
        <is>
          <t>Kemikaliespill ska förebyggas och det ska finnas tillräckligt med invallning vid förvaring av kemikalier samt ska det finnas tillräckligt med tillgång till absorbenter, exempelvis absorberingsmedel.</t>
        </is>
      </c>
      <c r="M1791" t="inlineStr">
        <is>
          <t>SKA</t>
        </is>
      </c>
      <c r="N1791" t="inlineStr"/>
      <c r="O1791" t="inlineStr"/>
      <c r="P1791" t="inlineStr"/>
      <c r="Q1791" t="inlineStr"/>
      <c r="R1791" t="inlineStr">
        <is>
          <t>Vid mellanlagring av avfall</t>
        </is>
      </c>
      <c r="S1791" t="inlineStr"/>
      <c r="T1791" t="inlineStr">
        <is>
          <t>21 2025</t>
        </is>
      </c>
      <c r="U1791" t="inlineStr"/>
      <c r="V1791" t="inlineStr"/>
      <c r="W1791" t="inlineStr">
        <is>
          <t>Ja</t>
        </is>
      </c>
      <c r="X1791" t="inlineStr">
        <is>
          <t>Nej</t>
        </is>
      </c>
      <c r="Y1791" t="inlineStr">
        <is>
          <t>Nej</t>
        </is>
      </c>
      <c r="Z1791" t="inlineStr">
        <is>
          <t>Nej</t>
        </is>
      </c>
      <c r="AA1791" t="n">
        <v>5</v>
      </c>
      <c r="AB1791" t="inlineStr">
        <is>
          <t>Teknisk beskrivning av platta</t>
        </is>
      </c>
      <c r="AC1791" t="inlineStr">
        <is>
          <t>Teknisk ritning platta</t>
        </is>
      </c>
      <c r="AD1791" t="inlineStr">
        <is>
          <t>Nej</t>
        </is>
      </c>
      <c r="AE1791" t="inlineStr">
        <is>
          <t>Nej</t>
        </is>
      </c>
      <c r="AF1791" t="inlineStr">
        <is>
          <t>Ej behandlad</t>
        </is>
      </c>
      <c r="AG1791" t="inlineStr">
        <is>
          <t>AUTO_GENERERAD. Verifiera citat mot kallfil.</t>
        </is>
      </c>
      <c r="AH1791" t="inlineStr">
        <is>
          <t>MEDIUM</t>
        </is>
      </c>
      <c r="AI1791" t="inlineStr">
        <is>
          <t>AUTO</t>
        </is>
      </c>
      <c r="AJ1791" t="inlineStr">
        <is>
          <t>Nej</t>
        </is>
      </c>
      <c r="AK1791" t="inlineStr"/>
      <c r="AL1791" t="inlineStr"/>
      <c r="AM1791" t="inlineStr"/>
      <c r="AN1791" t="inlineStr"/>
      <c r="AO1791" t="inlineStr">
        <is>
          <t>cmm4yunz0016zcuqw452huqhy</t>
        </is>
      </c>
      <c r="AP1791" t="inlineStr">
        <is>
          <t>http://localhost:8787/api/admin/requirements/documents/cmm4yunz0016zcuqw452huqhy/view</t>
        </is>
      </c>
      <c r="AQ1791">
        <f>HYPERLÄNK("http://localhost:8787/api/admin/requirements/documents/cmm4yunz0016zcuqw452huqhy/view";"Öppna PDF")</f>
        <v/>
      </c>
      <c r="AR1791">
        <f>HYPERLINK("http://localhost:8787/api/admin/requirements/documents/cmm4yunz0016zcuqw452huqhy/view","Open PDF")</f>
        <v/>
      </c>
      <c r="AS1791" t="inlineStr">
        <is>
          <t>cmm55w57p0004cuisfrtpqly8</t>
        </is>
      </c>
      <c r="AT1791" t="inlineStr">
        <is>
          <t>cmm4xvu980000cuh4vj0usz09</t>
        </is>
      </c>
      <c r="AU1791" t="inlineStr">
        <is>
          <t>i Osby</t>
        </is>
      </c>
      <c r="AV1791" t="inlineStr">
        <is>
          <t>Kommun</t>
        </is>
      </c>
      <c r="AW1791" t="inlineStr">
        <is>
          <t>i Osby kommun</t>
        </is>
      </c>
      <c r="AX1791" t="inlineStr">
        <is>
          <t>0479-52</t>
        </is>
      </c>
      <c r="AY1791" t="inlineStr">
        <is>
          <t>Beslut</t>
        </is>
      </c>
      <c r="AZ1791" t="inlineStr">
        <is>
          <t>2026-02-03</t>
        </is>
      </c>
      <c r="BA1791" t="inlineStr">
        <is>
          <t>Ramen_4_beslut.pdf</t>
        </is>
      </c>
      <c r="BB1791" t="inlineStr">
        <is>
          <t>Sv: till registrator</t>
        </is>
      </c>
      <c r="BC1791" t="inlineStr">
        <is>
          <t>AUTO</t>
        </is>
      </c>
      <c r="BD1791" t="inlineStr"/>
      <c r="BE1791" t="inlineStr"/>
      <c r="BF1791" t="inlineStr">
        <is>
          <t>AUTO_GENERERAD. Bekrafta metadata mot kallfil.</t>
        </is>
      </c>
      <c r="BG1791">
        <f>HYPERLINK("C:\Users\jimmy\Desktop\Examens arbete\Kod\Ny mapp\remix_-copy-of-miljöbeslut.se-portal\Ramen_4_beslut.pdf", "Öppna PDF")</f>
        <v/>
      </c>
    </row>
    <row r="1792">
      <c r="A1792" t="inlineStr">
        <is>
          <t>KRAV-AUTO-001791</t>
        </is>
      </c>
      <c r="B1792" t="inlineStr">
        <is>
          <t>ADMIN-INDEX-2026-02-27-00000000125C043F57453246863FE664CAFE6A3F0700950291EA24F0614FB6ACEDB12BF0E31D00000000010C0000950291EA24F0614FB6ACEDB12BF0E31D00002087AF050000</t>
        </is>
      </c>
      <c r="C1792" t="inlineStr">
        <is>
          <t>cmm4yuny9016bcuqw9n8fnq3g</t>
        </is>
      </c>
      <c r="D1792" t="inlineStr">
        <is>
          <t>http://localhost:8787/api/admin/requirements/documents/cmm4yuny9016bcuqw9n8fnq3g/view</t>
        </is>
      </c>
      <c r="E1792">
        <f>HYPERLÄNK("http://localhost:8787/api/admin/requirements/documents/cmm4yuny9016bcuqw9n8fnq3g/view";"Öppna PDF")</f>
        <v/>
      </c>
      <c r="F1792">
        <f>HYPERLINK("http://localhost:8787/api/admin/requirements/documents/cmm4yuny9016bcuqw9n8fnq3g/view","Open PDF")</f>
        <v/>
      </c>
      <c r="G1792" t="inlineStr">
        <is>
          <t>cmm55w57p0004cuisfrtpqly8</t>
        </is>
      </c>
      <c r="H1792" t="inlineStr">
        <is>
          <t>Beslutsvillkor</t>
        </is>
      </c>
      <c r="I1792" t="inlineStr">
        <is>
          <t>Ytkonstruktion</t>
        </is>
      </c>
      <c r="J1792" t="inlineStr">
        <is>
          <t>Tat yta</t>
        </is>
      </c>
      <c r="K1792" t="inlineStr">
        <is>
          <t>Ytor som produkterna/avfallet förvaras på ska ha tätt underlag, antingen av tät betong eller asfalt anpassad för ändamålet eller liknande material.</t>
        </is>
      </c>
      <c r="L1792" t="inlineStr">
        <is>
          <t>Ytor som produkterna/avfallet förvaras på ska ha tätt underlag, antingen av tät betong eller asfalt anpassad för ändamålet eller liknande material.</t>
        </is>
      </c>
      <c r="M1792" t="inlineStr">
        <is>
          <t>SKA</t>
        </is>
      </c>
      <c r="N1792" t="inlineStr"/>
      <c r="O1792" t="inlineStr"/>
      <c r="P1792" t="inlineStr"/>
      <c r="Q1792" t="inlineStr"/>
      <c r="R1792" t="inlineStr">
        <is>
          <t>Vid mellanlagring av avfall</t>
        </is>
      </c>
      <c r="S1792" t="inlineStr"/>
      <c r="T1792" t="inlineStr">
        <is>
          <t>21 2025</t>
        </is>
      </c>
      <c r="U1792" t="inlineStr"/>
      <c r="V1792" t="inlineStr"/>
      <c r="W1792" t="inlineStr">
        <is>
          <t>Ja</t>
        </is>
      </c>
      <c r="X1792" t="inlineStr">
        <is>
          <t>Nej</t>
        </is>
      </c>
      <c r="Y1792" t="inlineStr">
        <is>
          <t>Nej</t>
        </is>
      </c>
      <c r="Z1792" t="inlineStr">
        <is>
          <t>Nej</t>
        </is>
      </c>
      <c r="AA1792" t="n">
        <v>5</v>
      </c>
      <c r="AB1792" t="inlineStr">
        <is>
          <t>Teknisk beskrivning av platta</t>
        </is>
      </c>
      <c r="AC1792" t="inlineStr">
        <is>
          <t>Teknisk ritning platta</t>
        </is>
      </c>
      <c r="AD1792" t="inlineStr">
        <is>
          <t>Nej</t>
        </is>
      </c>
      <c r="AE1792" t="inlineStr">
        <is>
          <t>Nej</t>
        </is>
      </c>
      <c r="AF1792" t="inlineStr">
        <is>
          <t>Ej behandlad</t>
        </is>
      </c>
      <c r="AG1792" t="inlineStr">
        <is>
          <t>AUTO_GENERERAD. Verifiera citat mot kallfil.</t>
        </is>
      </c>
      <c r="AH1792" t="inlineStr">
        <is>
          <t>MEDIUM</t>
        </is>
      </c>
      <c r="AI1792" t="inlineStr">
        <is>
          <t>AUTO</t>
        </is>
      </c>
      <c r="AJ1792" t="inlineStr">
        <is>
          <t>Nej</t>
        </is>
      </c>
      <c r="AK1792" t="inlineStr"/>
      <c r="AL1792" t="inlineStr"/>
      <c r="AM1792" t="inlineStr"/>
      <c r="AN1792" t="inlineStr"/>
      <c r="AO1792" t="inlineStr">
        <is>
          <t>cmm4yunz0016zcuqw452huqhy</t>
        </is>
      </c>
      <c r="AP1792" t="inlineStr">
        <is>
          <t>http://localhost:8787/api/admin/requirements/documents/cmm4yunz0016zcuqw452huqhy/view</t>
        </is>
      </c>
      <c r="AQ1792">
        <f>HYPERLÄNK("http://localhost:8787/api/admin/requirements/documents/cmm4yunz0016zcuqw452huqhy/view";"Öppna PDF")</f>
        <v/>
      </c>
      <c r="AR1792">
        <f>HYPERLINK("http://localhost:8787/api/admin/requirements/documents/cmm4yunz0016zcuqw452huqhy/view","Open PDF")</f>
        <v/>
      </c>
      <c r="AS1792" t="inlineStr">
        <is>
          <t>cmm55w57p0004cuisfrtpqly8</t>
        </is>
      </c>
      <c r="AT1792" t="inlineStr">
        <is>
          <t>cmm4xvu980000cuh4vj0usz09</t>
        </is>
      </c>
      <c r="AU1792" t="inlineStr">
        <is>
          <t>i Osby</t>
        </is>
      </c>
      <c r="AV1792" t="inlineStr">
        <is>
          <t>Kommun</t>
        </is>
      </c>
      <c r="AW1792" t="inlineStr">
        <is>
          <t>i Osby kommun</t>
        </is>
      </c>
      <c r="AX1792" t="inlineStr">
        <is>
          <t>0479-52</t>
        </is>
      </c>
      <c r="AY1792" t="inlineStr">
        <is>
          <t>Beslut</t>
        </is>
      </c>
      <c r="AZ1792" t="inlineStr">
        <is>
          <t>2026-02-03</t>
        </is>
      </c>
      <c r="BA1792" t="inlineStr">
        <is>
          <t>Ramen_4_beslut.pdf</t>
        </is>
      </c>
      <c r="BB1792" t="inlineStr">
        <is>
          <t>Sv: till registrator</t>
        </is>
      </c>
      <c r="BC1792" t="inlineStr">
        <is>
          <t>AUTO</t>
        </is>
      </c>
      <c r="BD1792" t="inlineStr"/>
      <c r="BE1792" t="inlineStr"/>
      <c r="BF1792" t="inlineStr">
        <is>
          <t>AUTO_GENERERAD. Bekrafta metadata mot kallfil.</t>
        </is>
      </c>
      <c r="BG1792">
        <f>HYPERLINK("C:\Users\jimmy\Desktop\Examens arbete\Kod\Ny mapp\remix_-copy-of-miljöbeslut.se-portal\Ramen_4_beslut.pdf", "Öppna PDF")</f>
        <v/>
      </c>
    </row>
    <row r="1793">
      <c r="A1793" t="inlineStr">
        <is>
          <t>KRAV-AUTO-001792</t>
        </is>
      </c>
      <c r="B1793" t="inlineStr">
        <is>
          <t>ADMIN-INDEX-2026-02-27-00000000125C043F57453246863FE664CAFE6A3F0700950291EA24F0614FB6ACEDB12BF0E31D00000000010C0000950291EA24F0614FB6ACEDB12BF0E31D00002087AF050000</t>
        </is>
      </c>
      <c r="C1793" t="inlineStr">
        <is>
          <t>cmm4yuny60168cuqwfx46bzvv</t>
        </is>
      </c>
      <c r="D1793" t="inlineStr">
        <is>
          <t>http://localhost:8787/api/admin/requirements/documents/cmm4yuny60168cuqwfx46bzvv/view</t>
        </is>
      </c>
      <c r="E1793">
        <f>HYPERLÄNK("http://localhost:8787/api/admin/requirements/documents/cmm4yuny60168cuqwfx46bzvv/view";"Öppna PDF")</f>
        <v/>
      </c>
      <c r="F1793">
        <f>HYPERLINK("http://localhost:8787/api/admin/requirements/documents/cmm4yuny60168cuqwfx46bzvv/view","Open PDF")</f>
        <v/>
      </c>
      <c r="G1793" t="inlineStr">
        <is>
          <t>cmm55w57p0004cuisfrtpqly8</t>
        </is>
      </c>
      <c r="H1793" t="inlineStr">
        <is>
          <t>Informationskrav</t>
        </is>
      </c>
      <c r="I1793" t="inlineStr">
        <is>
          <t>Riskhantering</t>
        </is>
      </c>
      <c r="J1793" t="inlineStr">
        <is>
          <t>Riskkontroll</t>
        </is>
      </c>
      <c r="K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793" t="inlineStr">
        <is>
          <t>BOR</t>
        </is>
      </c>
      <c r="N1793" t="inlineStr"/>
      <c r="O1793" t="inlineStr">
        <is>
          <t>2025-11-03</t>
        </is>
      </c>
      <c r="P1793" t="inlineStr">
        <is>
          <t>Arlig</t>
        </is>
      </c>
      <c r="Q1793" t="inlineStr"/>
      <c r="R1793" t="inlineStr">
        <is>
          <t>Vid risk for incident</t>
        </is>
      </c>
      <c r="S1793" t="inlineStr"/>
      <c r="T1793" t="inlineStr">
        <is>
          <t>15 01 11</t>
        </is>
      </c>
      <c r="U1793" t="inlineStr"/>
      <c r="V1793" t="inlineStr"/>
      <c r="W1793" t="inlineStr">
        <is>
          <t>Nej</t>
        </is>
      </c>
      <c r="X1793" t="inlineStr">
        <is>
          <t>Nej</t>
        </is>
      </c>
      <c r="Y1793" t="inlineStr">
        <is>
          <t>Ja</t>
        </is>
      </c>
      <c r="Z1793" t="inlineStr">
        <is>
          <t>Ja</t>
        </is>
      </c>
      <c r="AA1793" t="n">
        <v>8</v>
      </c>
      <c r="AB1793" t="inlineStr">
        <is>
          <t>Riskhantering</t>
        </is>
      </c>
      <c r="AC1793" t="inlineStr">
        <is>
          <t>Risk-PM</t>
        </is>
      </c>
      <c r="AD1793" t="inlineStr">
        <is>
          <t>Nej</t>
        </is>
      </c>
      <c r="AE1793" t="inlineStr">
        <is>
          <t>Nej</t>
        </is>
      </c>
      <c r="AF1793" t="inlineStr">
        <is>
          <t>Ej behandlad</t>
        </is>
      </c>
      <c r="AG1793" t="inlineStr">
        <is>
          <t>AUTO_GENERERAD. Verifiera citat mot kallfil.</t>
        </is>
      </c>
      <c r="AH1793" t="inlineStr">
        <is>
          <t>MEDIUM</t>
        </is>
      </c>
      <c r="AI1793" t="inlineStr">
        <is>
          <t>AUTO</t>
        </is>
      </c>
      <c r="AJ1793" t="inlineStr">
        <is>
          <t>Nej</t>
        </is>
      </c>
      <c r="AK1793" t="inlineStr"/>
      <c r="AL1793" t="inlineStr"/>
      <c r="AM1793" t="inlineStr"/>
      <c r="AN1793" t="inlineStr"/>
      <c r="AO1793" t="inlineStr">
        <is>
          <t>cmm4yunz0016zcuqw452huqhy</t>
        </is>
      </c>
      <c r="AP1793" t="inlineStr">
        <is>
          <t>http://localhost:8787/api/admin/requirements/documents/cmm4yunz0016zcuqw452huqhy/view</t>
        </is>
      </c>
      <c r="AQ1793">
        <f>HYPERLÄNK("http://localhost:8787/api/admin/requirements/documents/cmm4yunz0016zcuqw452huqhy/view";"Öppna PDF")</f>
        <v/>
      </c>
      <c r="AR1793">
        <f>HYPERLINK("http://localhost:8787/api/admin/requirements/documents/cmm4yunz0016zcuqw452huqhy/view","Open PDF")</f>
        <v/>
      </c>
      <c r="AS1793" t="inlineStr">
        <is>
          <t>cmm55w57p0004cuisfrtpqly8</t>
        </is>
      </c>
      <c r="AT1793" t="inlineStr">
        <is>
          <t>cmm4xvu980000cuh4vj0usz09</t>
        </is>
      </c>
      <c r="AU1793" t="inlineStr">
        <is>
          <t>i Osby</t>
        </is>
      </c>
      <c r="AV1793" t="inlineStr">
        <is>
          <t>Kommun</t>
        </is>
      </c>
      <c r="AW1793" t="inlineStr">
        <is>
          <t>i Osby kommun</t>
        </is>
      </c>
      <c r="AX1793" t="inlineStr">
        <is>
          <t>0479-52</t>
        </is>
      </c>
      <c r="AY1793" t="inlineStr">
        <is>
          <t>Beslut</t>
        </is>
      </c>
      <c r="AZ1793" t="inlineStr">
        <is>
          <t>2026-02-03</t>
        </is>
      </c>
      <c r="BA1793" t="inlineStr">
        <is>
          <t>Ramen_4_beslut.pdf</t>
        </is>
      </c>
      <c r="BB1793" t="inlineStr">
        <is>
          <t>Sv: till registrator</t>
        </is>
      </c>
      <c r="BC1793" t="inlineStr">
        <is>
          <t>AUTO</t>
        </is>
      </c>
      <c r="BD1793" t="inlineStr"/>
      <c r="BE1793" t="inlineStr"/>
      <c r="BF1793" t="inlineStr">
        <is>
          <t>AUTO_GENERERAD. Bekrafta metadata mot kallfil.</t>
        </is>
      </c>
      <c r="BG1793">
        <f>HYPERLINK("C:\Users\jimmy\Desktop\Examens arbete\Kod\Ny mapp\remix_-copy-of-miljöbeslut.se-portal\Ramen_4_beslut.pdf", "Öppna PDF")</f>
        <v/>
      </c>
    </row>
    <row r="1794">
      <c r="A1794" t="inlineStr">
        <is>
          <t>KRAV-AUTO-001793</t>
        </is>
      </c>
      <c r="B1794" t="inlineStr">
        <is>
          <t>ADMIN-INDEX-2026-02-27-00000000125C043F57453246863FE664CAFE6A3F0700950291EA24F0614FB6ACEDB12BF0E31D00000000010C0000950291EA24F0614FB6ACEDB12BF0E31D00002087AF050000</t>
        </is>
      </c>
      <c r="C1794" t="inlineStr">
        <is>
          <t>cmm4yuny40165cuqwy1azz6kc</t>
        </is>
      </c>
      <c r="D1794" t="inlineStr">
        <is>
          <t>http://localhost:8787/api/admin/requirements/documents/cmm4yuny40165cuqwy1azz6kc/view</t>
        </is>
      </c>
      <c r="E1794">
        <f>HYPERLÄNK("http://localhost:8787/api/admin/requirements/documents/cmm4yuny40165cuqwy1azz6kc/view";"Öppna PDF")</f>
        <v/>
      </c>
      <c r="F1794">
        <f>HYPERLINK("http://localhost:8787/api/admin/requirements/documents/cmm4yuny40165cuqwy1azz6kc/view","Open PDF")</f>
        <v/>
      </c>
      <c r="G1794" t="inlineStr">
        <is>
          <t>cmm55w57p0004cuisfrtpqly8</t>
        </is>
      </c>
      <c r="H1794" t="inlineStr">
        <is>
          <t>Informationskrav</t>
        </is>
      </c>
      <c r="I1794" t="inlineStr">
        <is>
          <t>Riskhantering</t>
        </is>
      </c>
      <c r="J1794" t="inlineStr">
        <is>
          <t>Riskkontroll</t>
        </is>
      </c>
      <c r="K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794" t="inlineStr">
        <is>
          <t>SKA</t>
        </is>
      </c>
      <c r="N1794" t="inlineStr"/>
      <c r="O1794" t="inlineStr"/>
      <c r="P1794" t="inlineStr">
        <is>
          <t>Arlig</t>
        </is>
      </c>
      <c r="Q1794" t="inlineStr"/>
      <c r="R1794" t="inlineStr">
        <is>
          <t>Vid risk for incident</t>
        </is>
      </c>
      <c r="S1794" t="inlineStr"/>
      <c r="T1794" t="inlineStr">
        <is>
          <t>556770</t>
        </is>
      </c>
      <c r="U1794" t="n">
        <v>30</v>
      </c>
      <c r="V1794" t="inlineStr"/>
      <c r="W1794" t="inlineStr">
        <is>
          <t>Nej</t>
        </is>
      </c>
      <c r="X1794" t="inlineStr">
        <is>
          <t>Nej</t>
        </is>
      </c>
      <c r="Y1794" t="inlineStr">
        <is>
          <t>Ja</t>
        </is>
      </c>
      <c r="Z1794" t="inlineStr">
        <is>
          <t>Ja</t>
        </is>
      </c>
      <c r="AA1794" t="n">
        <v>8</v>
      </c>
      <c r="AB1794" t="inlineStr">
        <is>
          <t>Riskhantering</t>
        </is>
      </c>
      <c r="AC1794" t="inlineStr">
        <is>
          <t>Risk-PM</t>
        </is>
      </c>
      <c r="AD1794" t="inlineStr">
        <is>
          <t>Nej</t>
        </is>
      </c>
      <c r="AE1794" t="inlineStr">
        <is>
          <t>Nej</t>
        </is>
      </c>
      <c r="AF1794" t="inlineStr">
        <is>
          <t>Ej behandlad</t>
        </is>
      </c>
      <c r="AG1794" t="inlineStr">
        <is>
          <t>AUTO_GENERERAD. Verifiera citat mot kallfil.</t>
        </is>
      </c>
      <c r="AH1794" t="inlineStr">
        <is>
          <t>MEDIUM</t>
        </is>
      </c>
      <c r="AI1794" t="inlineStr">
        <is>
          <t>AUTO</t>
        </is>
      </c>
      <c r="AJ1794" t="inlineStr">
        <is>
          <t>Nej</t>
        </is>
      </c>
      <c r="AK1794" t="inlineStr"/>
      <c r="AL1794" t="inlineStr"/>
      <c r="AM1794" t="inlineStr"/>
      <c r="AN1794" t="inlineStr"/>
      <c r="AO1794" t="inlineStr">
        <is>
          <t>cmm4yunz0016zcuqw452huqhy</t>
        </is>
      </c>
      <c r="AP1794" t="inlineStr">
        <is>
          <t>http://localhost:8787/api/admin/requirements/documents/cmm4yunz0016zcuqw452huqhy/view</t>
        </is>
      </c>
      <c r="AQ1794">
        <f>HYPERLÄNK("http://localhost:8787/api/admin/requirements/documents/cmm4yunz0016zcuqw452huqhy/view";"Öppna PDF")</f>
        <v/>
      </c>
      <c r="AR1794">
        <f>HYPERLINK("http://localhost:8787/api/admin/requirements/documents/cmm4yunz0016zcuqw452huqhy/view","Open PDF")</f>
        <v/>
      </c>
      <c r="AS1794" t="inlineStr">
        <is>
          <t>cmm55w57p0004cuisfrtpqly8</t>
        </is>
      </c>
      <c r="AT1794" t="inlineStr">
        <is>
          <t>cmm4xvu980000cuh4vj0usz09</t>
        </is>
      </c>
      <c r="AU1794" t="inlineStr">
        <is>
          <t>i Osby</t>
        </is>
      </c>
      <c r="AV1794" t="inlineStr">
        <is>
          <t>Kommun</t>
        </is>
      </c>
      <c r="AW1794" t="inlineStr">
        <is>
          <t>i Osby kommun</t>
        </is>
      </c>
      <c r="AX1794" t="inlineStr">
        <is>
          <t>0479-52</t>
        </is>
      </c>
      <c r="AY1794" t="inlineStr">
        <is>
          <t>Beslut</t>
        </is>
      </c>
      <c r="AZ1794" t="inlineStr">
        <is>
          <t>2026-02-03</t>
        </is>
      </c>
      <c r="BA1794" t="inlineStr">
        <is>
          <t>Ramen_4_beslut.pdf</t>
        </is>
      </c>
      <c r="BB1794" t="inlineStr">
        <is>
          <t>Sv: till registrator</t>
        </is>
      </c>
      <c r="BC1794" t="inlineStr">
        <is>
          <t>AUTO</t>
        </is>
      </c>
      <c r="BD1794" t="inlineStr"/>
      <c r="BE1794" t="inlineStr"/>
      <c r="BF1794" t="inlineStr">
        <is>
          <t>AUTO_GENERERAD. Bekrafta metadata mot kallfil.</t>
        </is>
      </c>
      <c r="BG1794">
        <f>HYPERLINK("C:\Users\jimmy\Desktop\Examens arbete\Kod\Ny mapp\remix_-copy-of-miljöbeslut.se-portal\Ramen_4_beslut.pdf", "Öppna PDF")</f>
        <v/>
      </c>
    </row>
    <row r="1795">
      <c r="A1795" t="inlineStr">
        <is>
          <t>KRAV-AUTO-001794</t>
        </is>
      </c>
      <c r="B1795" t="inlineStr">
        <is>
          <t>ADMIN-INDEX-2026-02-27-00000000125C043F57453246863FE664CAFE6A3F0700950291EA24F0614FB6ACEDB12BF0E31D00000000010C0000950291EA24F0614FB6ACEDB12BF0E31D00002087AF050000</t>
        </is>
      </c>
      <c r="C1795" t="inlineStr">
        <is>
          <t>cmm4yuny40165cuqwy1azz6kc</t>
        </is>
      </c>
      <c r="D1795" t="inlineStr">
        <is>
          <t>http://localhost:8787/api/admin/requirements/documents/cmm4yuny40165cuqwy1azz6kc/view</t>
        </is>
      </c>
      <c r="E1795">
        <f>HYPERLÄNK("http://localhost:8787/api/admin/requirements/documents/cmm4yuny40165cuqwy1azz6kc/view";"Öppna PDF")</f>
        <v/>
      </c>
      <c r="F1795">
        <f>HYPERLINK("http://localhost:8787/api/admin/requirements/documents/cmm4yuny40165cuqwy1azz6kc/view","Open PDF")</f>
        <v/>
      </c>
      <c r="G1795" t="inlineStr">
        <is>
          <t>cmm55w57p0004cuisfrtpqly8</t>
        </is>
      </c>
      <c r="H1795" t="inlineStr">
        <is>
          <t>Informationskrav</t>
        </is>
      </c>
      <c r="I1795" t="inlineStr">
        <is>
          <t>Ytkonstruktion</t>
        </is>
      </c>
      <c r="J1795" t="inlineStr">
        <is>
          <t>Tat yta</t>
        </is>
      </c>
      <c r="K1795" t="inlineStr">
        <is>
          <t>Alla flytande kemiska produkter kommer att förvaras invallat och väderskyddat.</t>
        </is>
      </c>
      <c r="L1795" t="inlineStr">
        <is>
          <t>Alla flytande kemiska produkter kommer att förvaras invallat och väderskyddat.</t>
        </is>
      </c>
      <c r="M1795" t="inlineStr">
        <is>
          <t>SKA</t>
        </is>
      </c>
      <c r="N1795" t="inlineStr"/>
      <c r="O1795" t="inlineStr"/>
      <c r="P1795" t="inlineStr"/>
      <c r="Q1795" t="inlineStr"/>
      <c r="R1795" t="inlineStr">
        <is>
          <t>Vid mellanlagring av avfall</t>
        </is>
      </c>
      <c r="S1795" t="inlineStr"/>
      <c r="T1795" t="inlineStr">
        <is>
          <t>556770</t>
        </is>
      </c>
      <c r="U1795" t="inlineStr"/>
      <c r="V1795" t="inlineStr"/>
      <c r="W1795" t="inlineStr">
        <is>
          <t>Ja</t>
        </is>
      </c>
      <c r="X1795" t="inlineStr">
        <is>
          <t>Nej</t>
        </is>
      </c>
      <c r="Y1795" t="inlineStr">
        <is>
          <t>Nej</t>
        </is>
      </c>
      <c r="Z1795" t="inlineStr">
        <is>
          <t>Nej</t>
        </is>
      </c>
      <c r="AA1795" t="n">
        <v>5</v>
      </c>
      <c r="AB1795" t="inlineStr">
        <is>
          <t>Teknisk beskrivning av platta</t>
        </is>
      </c>
      <c r="AC1795" t="inlineStr">
        <is>
          <t>Teknisk ritning platta</t>
        </is>
      </c>
      <c r="AD1795" t="inlineStr">
        <is>
          <t>Nej</t>
        </is>
      </c>
      <c r="AE1795" t="inlineStr">
        <is>
          <t>Nej</t>
        </is>
      </c>
      <c r="AF1795" t="inlineStr">
        <is>
          <t>Ej behandlad</t>
        </is>
      </c>
      <c r="AG1795" t="inlineStr">
        <is>
          <t>AUTO_GENERERAD. Verifiera citat mot kallfil.</t>
        </is>
      </c>
      <c r="AH1795" t="inlineStr">
        <is>
          <t>MEDIUM</t>
        </is>
      </c>
      <c r="AI1795" t="inlineStr">
        <is>
          <t>AUTO</t>
        </is>
      </c>
      <c r="AJ1795" t="inlineStr">
        <is>
          <t>Nej</t>
        </is>
      </c>
      <c r="AK1795" t="inlineStr"/>
      <c r="AL1795" t="inlineStr"/>
      <c r="AM1795" t="inlineStr"/>
      <c r="AN1795" t="inlineStr"/>
      <c r="AO1795" t="inlineStr">
        <is>
          <t>cmm4yunz0016zcuqw452huqhy</t>
        </is>
      </c>
      <c r="AP1795" t="inlineStr">
        <is>
          <t>http://localhost:8787/api/admin/requirements/documents/cmm4yunz0016zcuqw452huqhy/view</t>
        </is>
      </c>
      <c r="AQ1795">
        <f>HYPERLÄNK("http://localhost:8787/api/admin/requirements/documents/cmm4yunz0016zcuqw452huqhy/view";"Öppna PDF")</f>
        <v/>
      </c>
      <c r="AR1795">
        <f>HYPERLINK("http://localhost:8787/api/admin/requirements/documents/cmm4yunz0016zcuqw452huqhy/view","Open PDF")</f>
        <v/>
      </c>
      <c r="AS1795" t="inlineStr">
        <is>
          <t>cmm55w57p0004cuisfrtpqly8</t>
        </is>
      </c>
      <c r="AT1795" t="inlineStr">
        <is>
          <t>cmm4xvu980000cuh4vj0usz09</t>
        </is>
      </c>
      <c r="AU1795" t="inlineStr">
        <is>
          <t>i Osby</t>
        </is>
      </c>
      <c r="AV1795" t="inlineStr">
        <is>
          <t>Kommun</t>
        </is>
      </c>
      <c r="AW1795" t="inlineStr">
        <is>
          <t>i Osby kommun</t>
        </is>
      </c>
      <c r="AX1795" t="inlineStr">
        <is>
          <t>0479-52</t>
        </is>
      </c>
      <c r="AY1795" t="inlineStr">
        <is>
          <t>Beslut</t>
        </is>
      </c>
      <c r="AZ1795" t="inlineStr">
        <is>
          <t>2026-02-03</t>
        </is>
      </c>
      <c r="BA1795" t="inlineStr">
        <is>
          <t>Ramen_4_beslut.pdf</t>
        </is>
      </c>
      <c r="BB1795" t="inlineStr">
        <is>
          <t>Sv: till registrator</t>
        </is>
      </c>
      <c r="BC1795" t="inlineStr">
        <is>
          <t>AUTO</t>
        </is>
      </c>
      <c r="BD1795" t="inlineStr"/>
      <c r="BE1795" t="inlineStr"/>
      <c r="BF1795" t="inlineStr">
        <is>
          <t>AUTO_GENERERAD. Bekrafta metadata mot kallfil.</t>
        </is>
      </c>
      <c r="BG1795">
        <f>HYPERLINK("C:\Users\jimmy\Desktop\Examens arbete\Kod\Ny mapp\remix_-copy-of-miljöbeslut.se-portal\Ramen_4_beslut.pdf", "Öppna PDF")</f>
        <v/>
      </c>
    </row>
    <row r="1796">
      <c r="A1796" t="inlineStr">
        <is>
          <t>KRAV-AUTO-001795</t>
        </is>
      </c>
      <c r="B1796" t="inlineStr">
        <is>
          <t>ADMIN-INDEX-2026-02-27-00000000125C043F57453246863FE664CAFE6A3F0700950291EA24F0614FB6ACEDB12BF0E31D00000000010C0000950291EA24F0614FB6ACEDB12BF0E31D00002087AF050000</t>
        </is>
      </c>
      <c r="C1796" t="inlineStr">
        <is>
          <t>cmm4yuny40165cuqwy1azz6kc</t>
        </is>
      </c>
      <c r="D1796" t="inlineStr">
        <is>
          <t>http://localhost:8787/api/admin/requirements/documents/cmm4yuny40165cuqwy1azz6kc/view</t>
        </is>
      </c>
      <c r="E1796">
        <f>HYPERLÄNK("http://localhost:8787/api/admin/requirements/documents/cmm4yuny40165cuqwy1azz6kc/view";"Öppna PDF")</f>
        <v/>
      </c>
      <c r="F1796">
        <f>HYPERLINK("http://localhost:8787/api/admin/requirements/documents/cmm4yuny40165cuqwy1azz6kc/view","Open PDF")</f>
        <v/>
      </c>
      <c r="G1796" t="inlineStr">
        <is>
          <t>cmm55w57p0004cuisfrtpqly8</t>
        </is>
      </c>
      <c r="H1796" t="inlineStr">
        <is>
          <t>Informationskrav</t>
        </is>
      </c>
      <c r="I1796" t="inlineStr">
        <is>
          <t>DagvattenLakvatten</t>
        </is>
      </c>
      <c r="J1796" t="inlineStr">
        <is>
          <t>Uppsamling</t>
        </is>
      </c>
      <c r="K1796" t="inlineStr">
        <is>
          <t>En stor del av vattnet kommer att dunsta bort men överflödigt vatten kommer att samlas i en golvbrunn och ledas till dagvattendammen.</t>
        </is>
      </c>
      <c r="L1796" t="inlineStr">
        <is>
          <t>En stor del av vattnet kommer att dunsta bort men överflödigt vatten kommer att samlas i en golvbrunn och ledas till dagvattendammen.</t>
        </is>
      </c>
      <c r="M1796" t="inlineStr">
        <is>
          <t>BOR</t>
        </is>
      </c>
      <c r="N1796" t="inlineStr"/>
      <c r="O1796" t="inlineStr"/>
      <c r="P1796" t="inlineStr"/>
      <c r="Q1796" t="inlineStr"/>
      <c r="R1796" t="inlineStr">
        <is>
          <t>Vid nederbord och avrinning</t>
        </is>
      </c>
      <c r="S1796" t="inlineStr"/>
      <c r="T1796" t="inlineStr">
        <is>
          <t>556770</t>
        </is>
      </c>
      <c r="U1796" t="inlineStr"/>
      <c r="V1796" t="inlineStr"/>
      <c r="W1796" t="inlineStr">
        <is>
          <t>Nej</t>
        </is>
      </c>
      <c r="X1796" t="inlineStr">
        <is>
          <t>Ja</t>
        </is>
      </c>
      <c r="Y1796" t="inlineStr">
        <is>
          <t>Ja</t>
        </is>
      </c>
      <c r="Z1796" t="inlineStr">
        <is>
          <t>Nej</t>
        </is>
      </c>
      <c r="AA1796" t="n">
        <v>6</v>
      </c>
      <c r="AB1796" t="inlineStr">
        <is>
          <t>Lakvattenhantering</t>
        </is>
      </c>
      <c r="AC1796" t="inlineStr">
        <is>
          <t>Flodesschema dagvatten-lakvatten</t>
        </is>
      </c>
      <c r="AD1796" t="inlineStr">
        <is>
          <t>Nej</t>
        </is>
      </c>
      <c r="AE1796" t="inlineStr">
        <is>
          <t>Nej</t>
        </is>
      </c>
      <c r="AF1796" t="inlineStr">
        <is>
          <t>Ej behandlad</t>
        </is>
      </c>
      <c r="AG1796" t="inlineStr">
        <is>
          <t>AUTO_GENERERAD. Verifiera citat mot kallfil.</t>
        </is>
      </c>
      <c r="AH1796" t="inlineStr">
        <is>
          <t>MEDIUM</t>
        </is>
      </c>
      <c r="AI1796" t="inlineStr">
        <is>
          <t>AUTO</t>
        </is>
      </c>
      <c r="AJ1796" t="inlineStr">
        <is>
          <t>Nej</t>
        </is>
      </c>
      <c r="AK1796" t="inlineStr"/>
      <c r="AL1796" t="inlineStr"/>
      <c r="AM1796" t="inlineStr"/>
      <c r="AN1796" t="inlineStr"/>
      <c r="AO1796" t="inlineStr">
        <is>
          <t>cmm4yunz0016zcuqw452huqhy</t>
        </is>
      </c>
      <c r="AP1796" t="inlineStr">
        <is>
          <t>http://localhost:8787/api/admin/requirements/documents/cmm4yunz0016zcuqw452huqhy/view</t>
        </is>
      </c>
      <c r="AQ1796">
        <f>HYPERLÄNK("http://localhost:8787/api/admin/requirements/documents/cmm4yunz0016zcuqw452huqhy/view";"Öppna PDF")</f>
        <v/>
      </c>
      <c r="AR1796">
        <f>HYPERLINK("http://localhost:8787/api/admin/requirements/documents/cmm4yunz0016zcuqw452huqhy/view","Open PDF")</f>
        <v/>
      </c>
      <c r="AS1796" t="inlineStr">
        <is>
          <t>cmm55w57p0004cuisfrtpqly8</t>
        </is>
      </c>
      <c r="AT1796" t="inlineStr">
        <is>
          <t>cmm4xvu980000cuh4vj0usz09</t>
        </is>
      </c>
      <c r="AU1796" t="inlineStr">
        <is>
          <t>i Osby</t>
        </is>
      </c>
      <c r="AV1796" t="inlineStr">
        <is>
          <t>Kommun</t>
        </is>
      </c>
      <c r="AW1796" t="inlineStr">
        <is>
          <t>i Osby kommun</t>
        </is>
      </c>
      <c r="AX1796" t="inlineStr">
        <is>
          <t>0479-52</t>
        </is>
      </c>
      <c r="AY1796" t="inlineStr">
        <is>
          <t>Beslut</t>
        </is>
      </c>
      <c r="AZ1796" t="inlineStr">
        <is>
          <t>2026-02-03</t>
        </is>
      </c>
      <c r="BA1796" t="inlineStr">
        <is>
          <t>Ramen_4_beslut.pdf</t>
        </is>
      </c>
      <c r="BB1796" t="inlineStr">
        <is>
          <t>Sv: till registrator</t>
        </is>
      </c>
      <c r="BC1796" t="inlineStr">
        <is>
          <t>AUTO</t>
        </is>
      </c>
      <c r="BD1796" t="inlineStr"/>
      <c r="BE1796" t="inlineStr"/>
      <c r="BF1796" t="inlineStr">
        <is>
          <t>AUTO_GENERERAD. Bekrafta metadata mot kallfil.</t>
        </is>
      </c>
      <c r="BG1796">
        <f>HYPERLINK("C:\Users\jimmy\Desktop\Examens arbete\Kod\Ny mapp\remix_-copy-of-miljöbeslut.se-portal\Ramen_4_beslut.pdf", "Öppna PDF")</f>
        <v/>
      </c>
    </row>
    <row r="1797">
      <c r="A1797" t="inlineStr">
        <is>
          <t>KRAV-AUTO-001796</t>
        </is>
      </c>
      <c r="B1797" t="inlineStr">
        <is>
          <t>ADMIN-INDEX-2026-02-27-00000000125C043F57453246863FE664CAFE6A3F0700950291EA24F0614FB6ACEDB12BF0E31D00000000010C0000950291EA24F0614FB6ACEDB12BF0E31D00002087AF060000</t>
        </is>
      </c>
      <c r="C1797" t="inlineStr">
        <is>
          <t>cmm4yuny10162cuqwmghj3oaq</t>
        </is>
      </c>
      <c r="D1797" t="inlineStr">
        <is>
          <t>http://localhost:8787/api/admin/requirements/documents/cmm4yuny10162cuqwmghj3oaq/view</t>
        </is>
      </c>
      <c r="E1797">
        <f>HYPERLÄNK("http://localhost:8787/api/admin/requirements/documents/cmm4yuny10162cuqwmghj3oaq/view";"Öppna PDF")</f>
        <v/>
      </c>
      <c r="F1797">
        <f>HYPERLINK("http://localhost:8787/api/admin/requirements/documents/cmm4yuny10162cuqwmghj3oaq/view","Open PDF")</f>
        <v/>
      </c>
      <c r="G1797" t="inlineStr">
        <is>
          <t>cmm55w57p0004cuisfrtpqly8</t>
        </is>
      </c>
      <c r="H1797" t="inlineStr">
        <is>
          <t>Beslutsvillkor</t>
        </is>
      </c>
      <c r="I1797" t="inlineStr">
        <is>
          <t>LagringsvolymTid</t>
        </is>
      </c>
      <c r="J1797" t="inlineStr">
        <is>
          <t>Maxmangd</t>
        </is>
      </c>
      <c r="K1797" t="inlineStr">
        <is>
          <t>mer än 10 ton men högst 30 000 ton och avfallet ska användas för byggnads- eller anläggningsändamål, eller 2.</t>
        </is>
      </c>
      <c r="L1797" t="inlineStr">
        <is>
          <t>mer än 10 ton men högst 30 000 ton och avfallet ska användas för byggnads- eller anläggningsändamål, eller 2.</t>
        </is>
      </c>
      <c r="M1797" t="inlineStr">
        <is>
          <t>SKA</t>
        </is>
      </c>
      <c r="N1797" t="inlineStr"/>
      <c r="O1797" t="inlineStr"/>
      <c r="P1797" t="inlineStr"/>
      <c r="Q1797" t="inlineStr"/>
      <c r="R1797" t="inlineStr">
        <is>
          <t>Alltid</t>
        </is>
      </c>
      <c r="S1797" t="inlineStr"/>
      <c r="T1797" t="inlineStr">
        <is>
          <t>52 80 00</t>
        </is>
      </c>
      <c r="U1797" t="n">
        <v>10</v>
      </c>
      <c r="V1797" t="inlineStr"/>
      <c r="W1797" t="inlineStr">
        <is>
          <t>Nej</t>
        </is>
      </c>
      <c r="X1797" t="inlineStr">
        <is>
          <t>Nej</t>
        </is>
      </c>
      <c r="Y1797" t="inlineStr">
        <is>
          <t>Nej</t>
        </is>
      </c>
      <c r="Z1797" t="inlineStr">
        <is>
          <t>Nej</t>
        </is>
      </c>
      <c r="AA1797" t="n">
        <v>4</v>
      </c>
      <c r="AB1797" t="inlineStr">
        <is>
          <t>Avfallsmangder och lagringstid</t>
        </is>
      </c>
      <c r="AC1797" t="inlineStr">
        <is>
          <t>Avfallsforteckning</t>
        </is>
      </c>
      <c r="AD1797" t="inlineStr">
        <is>
          <t>Nej</t>
        </is>
      </c>
      <c r="AE1797" t="inlineStr">
        <is>
          <t>Nej</t>
        </is>
      </c>
      <c r="AF1797" t="inlineStr">
        <is>
          <t>Ej behandlad</t>
        </is>
      </c>
      <c r="AG1797" t="inlineStr">
        <is>
          <t>AUTO_GENERERAD. Verifiera citat mot kallfil.</t>
        </is>
      </c>
      <c r="AH1797" t="inlineStr">
        <is>
          <t>MEDIUM</t>
        </is>
      </c>
      <c r="AI1797" t="inlineStr">
        <is>
          <t>AUTO</t>
        </is>
      </c>
      <c r="AJ1797" t="inlineStr">
        <is>
          <t>Nej</t>
        </is>
      </c>
      <c r="AK1797" t="inlineStr"/>
      <c r="AL1797" t="inlineStr"/>
      <c r="AM1797" t="inlineStr"/>
      <c r="AN1797" t="inlineStr"/>
      <c r="AO1797" t="inlineStr">
        <is>
          <t>cmm4yuny10162cuqwmghj3oaq</t>
        </is>
      </c>
      <c r="AP1797" t="inlineStr">
        <is>
          <t>http://localhost:8787/api/admin/requirements/documents/cmm4yuny10162cuqwmghj3oaq/view</t>
        </is>
      </c>
      <c r="AQ1797">
        <f>HYPERLÄNK("http://localhost:8787/api/admin/requirements/documents/cmm4yuny10162cuqwmghj3oaq/view";"Öppna PDF")</f>
        <v/>
      </c>
      <c r="AR1797">
        <f>HYPERLINK("http://localhost:8787/api/admin/requirements/documents/cmm4yuny10162cuqwmghj3oaq/view","Open PDF")</f>
        <v/>
      </c>
      <c r="AS1797" t="inlineStr">
        <is>
          <t>cmm55w57p0004cuisfrtpqly8</t>
        </is>
      </c>
      <c r="AT1797" t="inlineStr">
        <is>
          <t>cmm4xvu980000cuh4vj0usz09</t>
        </is>
      </c>
      <c r="AU1797" t="inlineStr">
        <is>
          <t>i Osby</t>
        </is>
      </c>
      <c r="AV1797" t="inlineStr">
        <is>
          <t>Kommun</t>
        </is>
      </c>
      <c r="AW1797" t="inlineStr">
        <is>
          <t>i Osby kommun</t>
        </is>
      </c>
      <c r="AX1797" t="inlineStr">
        <is>
          <t>0479-52</t>
        </is>
      </c>
      <c r="AY1797" t="inlineStr">
        <is>
          <t>Beslut</t>
        </is>
      </c>
      <c r="AZ1797" t="inlineStr">
        <is>
          <t>2026-02-03</t>
        </is>
      </c>
      <c r="BA1797" t="inlineStr">
        <is>
          <t>Ramen_4_beslut.pdf</t>
        </is>
      </c>
      <c r="BB1797" t="inlineStr">
        <is>
          <t>Sv: till registrator</t>
        </is>
      </c>
      <c r="BC1797" t="inlineStr">
        <is>
          <t>AUTO</t>
        </is>
      </c>
      <c r="BD1797" t="inlineStr"/>
      <c r="BE1797" t="inlineStr"/>
      <c r="BF1797" t="inlineStr">
        <is>
          <t>AUTO_GENERERAD. Bekrafta metadata mot kallfil.</t>
        </is>
      </c>
      <c r="BG1797">
        <f>HYPERLINK("C:\Users\jimmy\Desktop\Examens arbete\Kod\Ny mapp\remix_-copy-of-miljöbeslut.se-portal\Ramen_4_beslut.pdf", "Öppna PDF")</f>
        <v/>
      </c>
    </row>
    <row r="1798">
      <c r="A1798" t="inlineStr">
        <is>
          <t>KRAV-AUTO-001797</t>
        </is>
      </c>
      <c r="B1798" t="inlineStr">
        <is>
          <t>ADMIN-INDEX-2026-02-27-00000000125C043F57453246863FE664CAFE6A3F0700950291EA24F0614FB6ACEDB12BF0E31D00000000010C0000950291EA24F0614FB6ACEDB12BF0E31D00002087AF060000</t>
        </is>
      </c>
      <c r="C1798" t="inlineStr">
        <is>
          <t>cmm4yunxz015zcuqwq8ans012</t>
        </is>
      </c>
      <c r="D1798" t="inlineStr">
        <is>
          <t>http://localhost:8787/api/admin/requirements/documents/cmm4yunxz015zcuqwq8ans012/view</t>
        </is>
      </c>
      <c r="E1798">
        <f>HYPERLÄNK("http://localhost:8787/api/admin/requirements/documents/cmm4yunxz015zcuqwq8ans012/view";"Öppna PDF")</f>
        <v/>
      </c>
      <c r="F1798">
        <f>HYPERLINK("http://localhost:8787/api/admin/requirements/documents/cmm4yunxz015zcuqwq8ans012/view","Open PDF")</f>
        <v/>
      </c>
      <c r="G1798" t="inlineStr">
        <is>
          <t>cmm55w57p0004cuisfrtpqly8</t>
        </is>
      </c>
      <c r="H1798" t="inlineStr">
        <is>
          <t>Beslutsvillkor</t>
        </is>
      </c>
      <c r="I1798" t="inlineStr">
        <is>
          <t>DagvattenLakvatten</t>
        </is>
      </c>
      <c r="J1798" t="inlineStr">
        <is>
          <t>Uppsamling</t>
        </is>
      </c>
      <c r="K1798" t="inlineStr">
        <is>
          <t> Visar provtagningen att de är förorenat så skall massorna transporteras till godkänd anläggning  Schakt och vegetationsmassor som uppkommer där vi inte misstänker någon förorening behöver ej prov tas.</t>
        </is>
      </c>
      <c r="L1798" t="inlineStr">
        <is>
          <t> Visar provtagningen att de är förorenat så skall massorna transporteras till godkänd anläggning  Schakt och vegetationsmassor som uppkommer där vi inte misstänker någon förorening behöver ej prov tas.</t>
        </is>
      </c>
      <c r="M1798" t="inlineStr">
        <is>
          <t>SKA</t>
        </is>
      </c>
      <c r="N1798" t="inlineStr"/>
      <c r="O1798" t="inlineStr"/>
      <c r="P1798" t="inlineStr"/>
      <c r="Q1798" t="inlineStr"/>
      <c r="R1798" t="inlineStr">
        <is>
          <t>Vid nederbord och avrinning</t>
        </is>
      </c>
      <c r="S1798" t="inlineStr"/>
      <c r="T1798" t="inlineStr"/>
      <c r="U1798" t="inlineStr"/>
      <c r="V1798" t="inlineStr"/>
      <c r="W1798" t="inlineStr">
        <is>
          <t>Nej</t>
        </is>
      </c>
      <c r="X1798" t="inlineStr">
        <is>
          <t>Ja</t>
        </is>
      </c>
      <c r="Y1798" t="inlineStr">
        <is>
          <t>Ja</t>
        </is>
      </c>
      <c r="Z1798" t="inlineStr">
        <is>
          <t>Nej</t>
        </is>
      </c>
      <c r="AA1798" t="n">
        <v>6</v>
      </c>
      <c r="AB1798" t="inlineStr">
        <is>
          <t>Lakvattenhantering</t>
        </is>
      </c>
      <c r="AC1798" t="inlineStr">
        <is>
          <t>Flodesschema dagvatten-lakvatten</t>
        </is>
      </c>
      <c r="AD1798" t="inlineStr">
        <is>
          <t>Nej</t>
        </is>
      </c>
      <c r="AE1798" t="inlineStr">
        <is>
          <t>Nej</t>
        </is>
      </c>
      <c r="AF1798" t="inlineStr">
        <is>
          <t>Ej behandlad</t>
        </is>
      </c>
      <c r="AG1798" t="inlineStr">
        <is>
          <t>AUTO_GENERERAD. Verifiera citat mot kallfil.</t>
        </is>
      </c>
      <c r="AH1798" t="inlineStr">
        <is>
          <t>MEDIUM</t>
        </is>
      </c>
      <c r="AI1798" t="inlineStr">
        <is>
          <t>AUTO</t>
        </is>
      </c>
      <c r="AJ1798" t="inlineStr">
        <is>
          <t>Nej</t>
        </is>
      </c>
      <c r="AK1798" t="inlineStr"/>
      <c r="AL1798" t="inlineStr"/>
      <c r="AM1798" t="inlineStr"/>
      <c r="AN1798" t="inlineStr"/>
      <c r="AO1798" t="inlineStr">
        <is>
          <t>cmm4yuny10162cuqwmghj3oaq</t>
        </is>
      </c>
      <c r="AP1798" t="inlineStr">
        <is>
          <t>http://localhost:8787/api/admin/requirements/documents/cmm4yuny10162cuqwmghj3oaq/view</t>
        </is>
      </c>
      <c r="AQ1798">
        <f>HYPERLÄNK("http://localhost:8787/api/admin/requirements/documents/cmm4yuny10162cuqwmghj3oaq/view";"Öppna PDF")</f>
        <v/>
      </c>
      <c r="AR1798">
        <f>HYPERLINK("http://localhost:8787/api/admin/requirements/documents/cmm4yuny10162cuqwmghj3oaq/view","Open PDF")</f>
        <v/>
      </c>
      <c r="AS1798" t="inlineStr">
        <is>
          <t>cmm55w57p0004cuisfrtpqly8</t>
        </is>
      </c>
      <c r="AT1798" t="inlineStr">
        <is>
          <t>cmm4xvu980000cuh4vj0usz09</t>
        </is>
      </c>
      <c r="AU1798" t="inlineStr">
        <is>
          <t>i Osby</t>
        </is>
      </c>
      <c r="AV1798" t="inlineStr">
        <is>
          <t>Kommun</t>
        </is>
      </c>
      <c r="AW1798" t="inlineStr">
        <is>
          <t>i Osby kommun</t>
        </is>
      </c>
      <c r="AX1798" t="inlineStr">
        <is>
          <t>0479-52</t>
        </is>
      </c>
      <c r="AY1798" t="inlineStr">
        <is>
          <t>Beslut</t>
        </is>
      </c>
      <c r="AZ1798" t="inlineStr">
        <is>
          <t>2026-02-03</t>
        </is>
      </c>
      <c r="BA1798" t="inlineStr">
        <is>
          <t>Ramen_4_beslut.pdf</t>
        </is>
      </c>
      <c r="BB1798" t="inlineStr">
        <is>
          <t>Sv: till registrator</t>
        </is>
      </c>
      <c r="BC1798" t="inlineStr">
        <is>
          <t>AUTO</t>
        </is>
      </c>
      <c r="BD1798" t="inlineStr"/>
      <c r="BE1798" t="inlineStr"/>
      <c r="BF1798" t="inlineStr">
        <is>
          <t>AUTO_GENERERAD. Bekrafta metadata mot kallfil.</t>
        </is>
      </c>
      <c r="BG1798">
        <f>HYPERLINK("C:\Users\jimmy\Desktop\Examens arbete\Kod\Ny mapp\remix_-copy-of-miljöbeslut.se-portal\Ramen_4_beslut.pdf", "Öppna PDF")</f>
        <v/>
      </c>
    </row>
    <row r="1799">
      <c r="A1799" t="inlineStr">
        <is>
          <t>KRAV-AUTO-001798</t>
        </is>
      </c>
      <c r="B1799" t="inlineStr">
        <is>
          <t>ADMIN-INDEX-2026-02-27-00000000125C043F57453246863FE664CAFE6A3F0700950291EA24F0614FB6ACEDB12BF0E31D00000000010C0000950291EA24F0614FB6ACEDB12BF0E31D00002087AF060000</t>
        </is>
      </c>
      <c r="C1799" t="inlineStr">
        <is>
          <t>cmm4yunxz015zcuqwq8ans012</t>
        </is>
      </c>
      <c r="D1799" t="inlineStr">
        <is>
          <t>http://localhost:8787/api/admin/requirements/documents/cmm4yunxz015zcuqwq8ans012/view</t>
        </is>
      </c>
      <c r="E1799">
        <f>HYPERLÄNK("http://localhost:8787/api/admin/requirements/documents/cmm4yunxz015zcuqwq8ans012/view";"Öppna PDF")</f>
        <v/>
      </c>
      <c r="F1799">
        <f>HYPERLINK("http://localhost:8787/api/admin/requirements/documents/cmm4yunxz015zcuqwq8ans012/view","Open PDF")</f>
        <v/>
      </c>
      <c r="G1799" t="inlineStr">
        <is>
          <t>cmm55w57p0004cuisfrtpqly8</t>
        </is>
      </c>
      <c r="H1799" t="inlineStr">
        <is>
          <t>Beslutsvillkor</t>
        </is>
      </c>
      <c r="I1799" t="inlineStr">
        <is>
          <t>DagvattenLakvatten</t>
        </is>
      </c>
      <c r="J1799" t="inlineStr">
        <is>
          <t>Uppsamling</t>
        </is>
      </c>
      <c r="K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99" t="inlineStr">
        <is>
          <t>SKA</t>
        </is>
      </c>
      <c r="N1799" t="inlineStr"/>
      <c r="O1799" t="inlineStr"/>
      <c r="P1799" t="inlineStr"/>
      <c r="Q1799" t="inlineStr"/>
      <c r="R1799" t="inlineStr">
        <is>
          <t>Vid nederbord och avrinning</t>
        </is>
      </c>
      <c r="S1799" t="inlineStr"/>
      <c r="T1799" t="inlineStr"/>
      <c r="U1799" t="inlineStr"/>
      <c r="V1799" t="inlineStr"/>
      <c r="W1799" t="inlineStr">
        <is>
          <t>Nej</t>
        </is>
      </c>
      <c r="X1799" t="inlineStr">
        <is>
          <t>Ja</t>
        </is>
      </c>
      <c r="Y1799" t="inlineStr">
        <is>
          <t>Ja</t>
        </is>
      </c>
      <c r="Z1799" t="inlineStr">
        <is>
          <t>Nej</t>
        </is>
      </c>
      <c r="AA1799" t="n">
        <v>6</v>
      </c>
      <c r="AB1799" t="inlineStr">
        <is>
          <t>Lakvattenhantering</t>
        </is>
      </c>
      <c r="AC1799" t="inlineStr">
        <is>
          <t>Flodesschema dagvatten-lakvatten</t>
        </is>
      </c>
      <c r="AD1799" t="inlineStr">
        <is>
          <t>Nej</t>
        </is>
      </c>
      <c r="AE1799" t="inlineStr">
        <is>
          <t>Nej</t>
        </is>
      </c>
      <c r="AF1799" t="inlineStr">
        <is>
          <t>Ej behandlad</t>
        </is>
      </c>
      <c r="AG1799" t="inlineStr">
        <is>
          <t>AUTO_GENERERAD. Verifiera citat mot kallfil.</t>
        </is>
      </c>
      <c r="AH1799" t="inlineStr">
        <is>
          <t>MEDIUM</t>
        </is>
      </c>
      <c r="AI1799" t="inlineStr">
        <is>
          <t>AUTO</t>
        </is>
      </c>
      <c r="AJ1799" t="inlineStr">
        <is>
          <t>Nej</t>
        </is>
      </c>
      <c r="AK1799" t="inlineStr"/>
      <c r="AL1799" t="inlineStr"/>
      <c r="AM1799" t="inlineStr"/>
      <c r="AN1799" t="inlineStr"/>
      <c r="AO1799" t="inlineStr">
        <is>
          <t>cmm4yuny10162cuqwmghj3oaq</t>
        </is>
      </c>
      <c r="AP1799" t="inlineStr">
        <is>
          <t>http://localhost:8787/api/admin/requirements/documents/cmm4yuny10162cuqwmghj3oaq/view</t>
        </is>
      </c>
      <c r="AQ1799">
        <f>HYPERLÄNK("http://localhost:8787/api/admin/requirements/documents/cmm4yuny10162cuqwmghj3oaq/view";"Öppna PDF")</f>
        <v/>
      </c>
      <c r="AR1799">
        <f>HYPERLINK("http://localhost:8787/api/admin/requirements/documents/cmm4yuny10162cuqwmghj3oaq/view","Open PDF")</f>
        <v/>
      </c>
      <c r="AS1799" t="inlineStr">
        <is>
          <t>cmm55w57p0004cuisfrtpqly8</t>
        </is>
      </c>
      <c r="AT1799" t="inlineStr">
        <is>
          <t>cmm4xvu980000cuh4vj0usz09</t>
        </is>
      </c>
      <c r="AU1799" t="inlineStr">
        <is>
          <t>i Osby</t>
        </is>
      </c>
      <c r="AV1799" t="inlineStr">
        <is>
          <t>Kommun</t>
        </is>
      </c>
      <c r="AW1799" t="inlineStr">
        <is>
          <t>i Osby kommun</t>
        </is>
      </c>
      <c r="AX1799" t="inlineStr">
        <is>
          <t>0479-52</t>
        </is>
      </c>
      <c r="AY1799" t="inlineStr">
        <is>
          <t>Beslut</t>
        </is>
      </c>
      <c r="AZ1799" t="inlineStr">
        <is>
          <t>2026-02-03</t>
        </is>
      </c>
      <c r="BA1799" t="inlineStr">
        <is>
          <t>Ramen_4_beslut.pdf</t>
        </is>
      </c>
      <c r="BB1799" t="inlineStr">
        <is>
          <t>Sv: till registrator</t>
        </is>
      </c>
      <c r="BC1799" t="inlineStr">
        <is>
          <t>AUTO</t>
        </is>
      </c>
      <c r="BD1799" t="inlineStr"/>
      <c r="BE1799" t="inlineStr"/>
      <c r="BF1799" t="inlineStr">
        <is>
          <t>AUTO_GENERERAD. Bekrafta metadata mot kallfil.</t>
        </is>
      </c>
      <c r="BG1799">
        <f>HYPERLINK("C:\Users\jimmy\Desktop\Examens arbete\Kod\Ny mapp\remix_-copy-of-miljöbeslut.se-portal\Ramen_4_beslut.pdf", "Öppna PDF")</f>
        <v/>
      </c>
    </row>
    <row r="1800">
      <c r="A1800" t="inlineStr">
        <is>
          <t>KRAV-AUTO-001799</t>
        </is>
      </c>
      <c r="B1800" t="inlineStr">
        <is>
          <t>ADMIN-INDEX-2026-02-27-00000000125C043F57453246863FE664CAFE6A3F0700950291EA24F0614FB6ACEDB12BF0E31D00000000010C0000950291EA24F0614FB6ACEDB12BF0E31D00002087AF060000</t>
        </is>
      </c>
      <c r="C1800" t="inlineStr">
        <is>
          <t>cmm4yunxv015wcuqwtbcey1ic</t>
        </is>
      </c>
      <c r="D1800" t="inlineStr">
        <is>
          <t>http://localhost:8787/api/admin/requirements/documents/cmm4yunxv015wcuqwtbcey1ic/view</t>
        </is>
      </c>
      <c r="E1800">
        <f>HYPERLÄNK("http://localhost:8787/api/admin/requirements/documents/cmm4yunxv015wcuqwtbcey1ic/view";"Öppna PDF")</f>
        <v/>
      </c>
      <c r="F1800">
        <f>HYPERLINK("http://localhost:8787/api/admin/requirements/documents/cmm4yunxv015wcuqwtbcey1ic/view","Open PDF")</f>
        <v/>
      </c>
      <c r="G1800" t="inlineStr">
        <is>
          <t>cmm55w57p0004cuisfrtpqly8</t>
        </is>
      </c>
      <c r="H1800" t="inlineStr">
        <is>
          <t>Informationskrav</t>
        </is>
      </c>
      <c r="I1800" t="inlineStr">
        <is>
          <t>DagvattenLakvatten</t>
        </is>
      </c>
      <c r="J1800" t="inlineStr">
        <is>
          <t>Uppsamling</t>
        </is>
      </c>
      <c r="K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800" t="inlineStr">
        <is>
          <t>SKA</t>
        </is>
      </c>
      <c r="N1800" t="inlineStr">
        <is>
          <t>Miljobalken</t>
        </is>
      </c>
      <c r="O1800" t="inlineStr"/>
      <c r="P1800" t="inlineStr"/>
      <c r="Q1800" t="inlineStr"/>
      <c r="R1800" t="inlineStr">
        <is>
          <t>Vid nederbord och avrinning</t>
        </is>
      </c>
      <c r="S1800" t="inlineStr"/>
      <c r="T1800" t="inlineStr">
        <is>
          <t>815204</t>
        </is>
      </c>
      <c r="U1800" t="inlineStr"/>
      <c r="V1800" t="inlineStr"/>
      <c r="W1800" t="inlineStr">
        <is>
          <t>Nej</t>
        </is>
      </c>
      <c r="X1800" t="inlineStr">
        <is>
          <t>Ja</t>
        </is>
      </c>
      <c r="Y1800" t="inlineStr">
        <is>
          <t>Ja</t>
        </is>
      </c>
      <c r="Z1800" t="inlineStr">
        <is>
          <t>Nej</t>
        </is>
      </c>
      <c r="AA1800" t="n">
        <v>6</v>
      </c>
      <c r="AB1800" t="inlineStr">
        <is>
          <t>Lakvattenhantering</t>
        </is>
      </c>
      <c r="AC1800" t="inlineStr">
        <is>
          <t>Flodesschema dagvatten-lakvatten</t>
        </is>
      </c>
      <c r="AD1800" t="inlineStr">
        <is>
          <t>Nej</t>
        </is>
      </c>
      <c r="AE1800" t="inlineStr">
        <is>
          <t>Nej</t>
        </is>
      </c>
      <c r="AF1800" t="inlineStr">
        <is>
          <t>Ej behandlad</t>
        </is>
      </c>
      <c r="AG1800" t="inlineStr">
        <is>
          <t>AUTO_GENERERAD. Verifiera citat mot kallfil.</t>
        </is>
      </c>
      <c r="AH1800" t="inlineStr">
        <is>
          <t>HIGH</t>
        </is>
      </c>
      <c r="AI1800" t="inlineStr">
        <is>
          <t>AUTO</t>
        </is>
      </c>
      <c r="AJ1800" t="inlineStr">
        <is>
          <t>Nej</t>
        </is>
      </c>
      <c r="AK1800" t="inlineStr"/>
      <c r="AL1800" t="inlineStr"/>
      <c r="AM1800" t="inlineStr"/>
      <c r="AN1800" t="inlineStr"/>
      <c r="AO1800" t="inlineStr">
        <is>
          <t>cmm4yuny10162cuqwmghj3oaq</t>
        </is>
      </c>
      <c r="AP1800" t="inlineStr">
        <is>
          <t>http://localhost:8787/api/admin/requirements/documents/cmm4yuny10162cuqwmghj3oaq/view</t>
        </is>
      </c>
      <c r="AQ1800">
        <f>HYPERLÄNK("http://localhost:8787/api/admin/requirements/documents/cmm4yuny10162cuqwmghj3oaq/view";"Öppna PDF")</f>
        <v/>
      </c>
      <c r="AR1800">
        <f>HYPERLINK("http://localhost:8787/api/admin/requirements/documents/cmm4yuny10162cuqwmghj3oaq/view","Open PDF")</f>
        <v/>
      </c>
      <c r="AS1800" t="inlineStr">
        <is>
          <t>cmm55w57p0004cuisfrtpqly8</t>
        </is>
      </c>
      <c r="AT1800" t="inlineStr">
        <is>
          <t>cmm4xvu980000cuh4vj0usz09</t>
        </is>
      </c>
      <c r="AU1800" t="inlineStr">
        <is>
          <t>i Osby</t>
        </is>
      </c>
      <c r="AV1800" t="inlineStr">
        <is>
          <t>Kommun</t>
        </is>
      </c>
      <c r="AW1800" t="inlineStr">
        <is>
          <t>i Osby kommun</t>
        </is>
      </c>
      <c r="AX1800" t="inlineStr">
        <is>
          <t>0479-52</t>
        </is>
      </c>
      <c r="AY1800" t="inlineStr">
        <is>
          <t>Beslut</t>
        </is>
      </c>
      <c r="AZ1800" t="inlineStr">
        <is>
          <t>2026-02-03</t>
        </is>
      </c>
      <c r="BA1800" t="inlineStr">
        <is>
          <t>Ramen_4_beslut.pdf</t>
        </is>
      </c>
      <c r="BB1800" t="inlineStr">
        <is>
          <t>Sv: till registrator</t>
        </is>
      </c>
      <c r="BC1800" t="inlineStr">
        <is>
          <t>AUTO</t>
        </is>
      </c>
      <c r="BD1800" t="inlineStr"/>
      <c r="BE1800" t="inlineStr"/>
      <c r="BF1800" t="inlineStr">
        <is>
          <t>AUTO_GENERERAD. Bekrafta metadata mot kallfil.</t>
        </is>
      </c>
      <c r="BG1800">
        <f>HYPERLINK("C:\Users\jimmy\Desktop\Examens arbete\Kod\Ny mapp\remix_-copy-of-miljöbeslut.se-portal\Ramen_4_beslut.pdf", "Öppna PDF")</f>
        <v/>
      </c>
    </row>
    <row r="1801">
      <c r="A1801" t="inlineStr">
        <is>
          <t>KRAV-AUTO-001800</t>
        </is>
      </c>
      <c r="B1801" t="inlineStr">
        <is>
          <t>ADMIN-INDEX-2026-02-27-00000000125C043F57453246863FE664CAFE6A3F0700950291EA24F0614FB6ACEDB12BF0E31D00000000010C0000950291EA24F0614FB6ACEDB12BF0E31D00002087AF060000</t>
        </is>
      </c>
      <c r="C1801" t="inlineStr">
        <is>
          <t>cmm4yunxs015tcuqw3qioep4h</t>
        </is>
      </c>
      <c r="D1801" t="inlineStr">
        <is>
          <t>http://localhost:8787/api/admin/requirements/documents/cmm4yunxs015tcuqw3qioep4h/view</t>
        </is>
      </c>
      <c r="E1801">
        <f>HYPERLÄNK("http://localhost:8787/api/admin/requirements/documents/cmm4yunxs015tcuqw3qioep4h/view";"Öppna PDF")</f>
        <v/>
      </c>
      <c r="F1801">
        <f>HYPERLINK("http://localhost:8787/api/admin/requirements/documents/cmm4yunxs015tcuqw3qioep4h/view","Open PDF")</f>
        <v/>
      </c>
      <c r="G1801" t="inlineStr">
        <is>
          <t>cmm55w57p0004cuisfrtpqly8</t>
        </is>
      </c>
      <c r="H1801" t="inlineStr">
        <is>
          <t>Beslutsvillkor</t>
        </is>
      </c>
      <c r="I1801" t="inlineStr">
        <is>
          <t>MiljopaverkanForsiktighet</t>
        </is>
      </c>
      <c r="J1801" t="inlineStr">
        <is>
          <t>Skyddsatgarder</t>
        </is>
      </c>
      <c r="K1801" t="inlineStr">
        <is>
          <t>Miljö- och byggnadsnämndens handläggning innebär primärt en bedömning kring om åtgärden som är beskriven i anmälan utgör återvinning eller bortskaffning av avfall.</t>
        </is>
      </c>
      <c r="L1801" t="inlineStr">
        <is>
          <t>Miljö- och byggnadsnämndens handläggning innebär primärt en bedömning kring om åtgärden som är beskriven i anmälan utgör återvinning eller bortskaffning av avfall.</t>
        </is>
      </c>
      <c r="M1801" t="inlineStr">
        <is>
          <t>SKA</t>
        </is>
      </c>
      <c r="N1801" t="inlineStr"/>
      <c r="O1801" t="inlineStr"/>
      <c r="P1801" t="inlineStr"/>
      <c r="Q1801" t="inlineStr"/>
      <c r="R1801" t="inlineStr">
        <is>
          <t>Alltid</t>
        </is>
      </c>
      <c r="S1801" t="inlineStr"/>
      <c r="T1801" t="inlineStr">
        <is>
          <t>52 80 00</t>
        </is>
      </c>
      <c r="U1801" t="inlineStr"/>
      <c r="V1801" t="inlineStr"/>
      <c r="W1801" t="inlineStr">
        <is>
          <t>Nej</t>
        </is>
      </c>
      <c r="X1801" t="inlineStr">
        <is>
          <t>Nej</t>
        </is>
      </c>
      <c r="Y1801" t="inlineStr">
        <is>
          <t>Nej</t>
        </is>
      </c>
      <c r="Z1801" t="inlineStr">
        <is>
          <t>Nej</t>
        </is>
      </c>
      <c r="AA1801" t="n">
        <v>10</v>
      </c>
      <c r="AB1801" t="inlineStr">
        <is>
          <t>Miljopaverkan och forsiktighetsmatt</t>
        </is>
      </c>
      <c r="AC1801" t="inlineStr">
        <is>
          <t>Miljo-PM</t>
        </is>
      </c>
      <c r="AD1801" t="inlineStr">
        <is>
          <t>Nej</t>
        </is>
      </c>
      <c r="AE1801" t="inlineStr">
        <is>
          <t>Nej</t>
        </is>
      </c>
      <c r="AF1801" t="inlineStr">
        <is>
          <t>Ej behandlad</t>
        </is>
      </c>
      <c r="AG1801" t="inlineStr">
        <is>
          <t>AUTO_GENERERAD. Verifiera citat mot kallfil.</t>
        </is>
      </c>
      <c r="AH1801" t="inlineStr">
        <is>
          <t>MEDIUM</t>
        </is>
      </c>
      <c r="AI1801" t="inlineStr">
        <is>
          <t>AUTO</t>
        </is>
      </c>
      <c r="AJ1801" t="inlineStr">
        <is>
          <t>Nej</t>
        </is>
      </c>
      <c r="AK1801" t="inlineStr"/>
      <c r="AL1801" t="inlineStr"/>
      <c r="AM1801" t="inlineStr"/>
      <c r="AN1801" t="inlineStr"/>
      <c r="AO1801" t="inlineStr">
        <is>
          <t>cmm4yuny10162cuqwmghj3oaq</t>
        </is>
      </c>
      <c r="AP1801" t="inlineStr">
        <is>
          <t>http://localhost:8787/api/admin/requirements/documents/cmm4yuny10162cuqwmghj3oaq/view</t>
        </is>
      </c>
      <c r="AQ1801">
        <f>HYPERLÄNK("http://localhost:8787/api/admin/requirements/documents/cmm4yuny10162cuqwmghj3oaq/view";"Öppna PDF")</f>
        <v/>
      </c>
      <c r="AR1801">
        <f>HYPERLINK("http://localhost:8787/api/admin/requirements/documents/cmm4yuny10162cuqwmghj3oaq/view","Open PDF")</f>
        <v/>
      </c>
      <c r="AS1801" t="inlineStr">
        <is>
          <t>cmm55w57p0004cuisfrtpqly8</t>
        </is>
      </c>
      <c r="AT1801" t="inlineStr">
        <is>
          <t>cmm4xvu980000cuh4vj0usz09</t>
        </is>
      </c>
      <c r="AU1801" t="inlineStr">
        <is>
          <t>i Osby</t>
        </is>
      </c>
      <c r="AV1801" t="inlineStr">
        <is>
          <t>Kommun</t>
        </is>
      </c>
      <c r="AW1801" t="inlineStr">
        <is>
          <t>i Osby kommun</t>
        </is>
      </c>
      <c r="AX1801" t="inlineStr">
        <is>
          <t>0479-52</t>
        </is>
      </c>
      <c r="AY1801" t="inlineStr">
        <is>
          <t>Beslut</t>
        </is>
      </c>
      <c r="AZ1801" t="inlineStr">
        <is>
          <t>2026-02-03</t>
        </is>
      </c>
      <c r="BA1801" t="inlineStr">
        <is>
          <t>Ramen_4_beslut.pdf</t>
        </is>
      </c>
      <c r="BB1801" t="inlineStr">
        <is>
          <t>Sv: till registrator</t>
        </is>
      </c>
      <c r="BC1801" t="inlineStr">
        <is>
          <t>AUTO</t>
        </is>
      </c>
      <c r="BD1801" t="inlineStr"/>
      <c r="BE1801" t="inlineStr"/>
      <c r="BF1801" t="inlineStr">
        <is>
          <t>AUTO_GENERERAD. Bekrafta metadata mot kallfil.</t>
        </is>
      </c>
      <c r="BG1801">
        <f>HYPERLINK("C:\Users\jimmy\Desktop\Examens arbete\Kod\Ny mapp\remix_-copy-of-miljöbeslut.se-portal\Ramen_4_beslut.pdf", "Öppna PDF")</f>
        <v/>
      </c>
    </row>
    <row r="1802">
      <c r="A1802" t="inlineStr">
        <is>
          <t>KRAV-AUTO-001801</t>
        </is>
      </c>
      <c r="B1802" t="inlineStr">
        <is>
          <t>ADMIN-INDEX-2026-02-27-00000000125C043F57453246863FE664CAFE6A3F0700950291EA24F0614FB6ACEDB12BF0E31D00000000010C0000950291EA24F0614FB6ACEDB12BF0E31D00002087AF060000</t>
        </is>
      </c>
      <c r="C1802" t="inlineStr">
        <is>
          <t>cmm4yunxs015tcuqw3qioep4h</t>
        </is>
      </c>
      <c r="D1802" t="inlineStr">
        <is>
          <t>http://localhost:8787/api/admin/requirements/documents/cmm4yunxs015tcuqw3qioep4h/view</t>
        </is>
      </c>
      <c r="E1802">
        <f>HYPERLÄNK("http://localhost:8787/api/admin/requirements/documents/cmm4yunxs015tcuqw3qioep4h/view";"Öppna PDF")</f>
        <v/>
      </c>
      <c r="F1802">
        <f>HYPERLINK("http://localhost:8787/api/admin/requirements/documents/cmm4yunxs015tcuqw3qioep4h/view","Open PDF")</f>
        <v/>
      </c>
      <c r="G1802" t="inlineStr">
        <is>
          <t>cmm55w57p0004cuisfrtpqly8</t>
        </is>
      </c>
      <c r="H1802" t="inlineStr">
        <is>
          <t>Beslutsvillkor</t>
        </is>
      </c>
      <c r="I1802" t="inlineStr">
        <is>
          <t>MiljopaverkanForsiktighet</t>
        </is>
      </c>
      <c r="J1802" t="inlineStr">
        <is>
          <t>Skyddsatgarder</t>
        </is>
      </c>
      <c r="K1802" t="inlineStr">
        <is>
          <t>Avfallet ska utgöras av jord utan inslag för ovidkommande fast avfall.</t>
        </is>
      </c>
      <c r="L1802" t="inlineStr">
        <is>
          <t>Avfallet ska utgöras av jord utan inslag för ovidkommande fast avfall.</t>
        </is>
      </c>
      <c r="M1802" t="inlineStr">
        <is>
          <t>SKA</t>
        </is>
      </c>
      <c r="N1802" t="inlineStr"/>
      <c r="O1802" t="inlineStr"/>
      <c r="P1802" t="inlineStr"/>
      <c r="Q1802" t="inlineStr"/>
      <c r="R1802" t="inlineStr">
        <is>
          <t>Alltid</t>
        </is>
      </c>
      <c r="S1802" t="inlineStr"/>
      <c r="T1802" t="inlineStr">
        <is>
          <t>52 80 00</t>
        </is>
      </c>
      <c r="U1802" t="inlineStr"/>
      <c r="V1802" t="inlineStr"/>
      <c r="W1802" t="inlineStr">
        <is>
          <t>Nej</t>
        </is>
      </c>
      <c r="X1802" t="inlineStr">
        <is>
          <t>Nej</t>
        </is>
      </c>
      <c r="Y1802" t="inlineStr">
        <is>
          <t>Nej</t>
        </is>
      </c>
      <c r="Z1802" t="inlineStr">
        <is>
          <t>Nej</t>
        </is>
      </c>
      <c r="AA1802" t="n">
        <v>10</v>
      </c>
      <c r="AB1802" t="inlineStr">
        <is>
          <t>Miljopaverkan och forsiktighetsmatt</t>
        </is>
      </c>
      <c r="AC1802" t="inlineStr">
        <is>
          <t>Miljo-PM</t>
        </is>
      </c>
      <c r="AD1802" t="inlineStr">
        <is>
          <t>Nej</t>
        </is>
      </c>
      <c r="AE1802" t="inlineStr">
        <is>
          <t>Nej</t>
        </is>
      </c>
      <c r="AF1802" t="inlineStr">
        <is>
          <t>Ej behandlad</t>
        </is>
      </c>
      <c r="AG1802" t="inlineStr">
        <is>
          <t>AUTO_GENERERAD. Verifiera citat mot kallfil.</t>
        </is>
      </c>
      <c r="AH1802" t="inlineStr">
        <is>
          <t>MEDIUM</t>
        </is>
      </c>
      <c r="AI1802" t="inlineStr">
        <is>
          <t>AUTO</t>
        </is>
      </c>
      <c r="AJ1802" t="inlineStr">
        <is>
          <t>Nej</t>
        </is>
      </c>
      <c r="AK1802" t="inlineStr"/>
      <c r="AL1802" t="inlineStr"/>
      <c r="AM1802" t="inlineStr"/>
      <c r="AN1802" t="inlineStr"/>
      <c r="AO1802" t="inlineStr">
        <is>
          <t>cmm4yuny10162cuqwmghj3oaq</t>
        </is>
      </c>
      <c r="AP1802" t="inlineStr">
        <is>
          <t>http://localhost:8787/api/admin/requirements/documents/cmm4yuny10162cuqwmghj3oaq/view</t>
        </is>
      </c>
      <c r="AQ1802">
        <f>HYPERLÄNK("http://localhost:8787/api/admin/requirements/documents/cmm4yuny10162cuqwmghj3oaq/view";"Öppna PDF")</f>
        <v/>
      </c>
      <c r="AR1802">
        <f>HYPERLINK("http://localhost:8787/api/admin/requirements/documents/cmm4yuny10162cuqwmghj3oaq/view","Open PDF")</f>
        <v/>
      </c>
      <c r="AS1802" t="inlineStr">
        <is>
          <t>cmm55w57p0004cuisfrtpqly8</t>
        </is>
      </c>
      <c r="AT1802" t="inlineStr">
        <is>
          <t>cmm4xvu980000cuh4vj0usz09</t>
        </is>
      </c>
      <c r="AU1802" t="inlineStr">
        <is>
          <t>i Osby</t>
        </is>
      </c>
      <c r="AV1802" t="inlineStr">
        <is>
          <t>Kommun</t>
        </is>
      </c>
      <c r="AW1802" t="inlineStr">
        <is>
          <t>i Osby kommun</t>
        </is>
      </c>
      <c r="AX1802" t="inlineStr">
        <is>
          <t>0479-52</t>
        </is>
      </c>
      <c r="AY1802" t="inlineStr">
        <is>
          <t>Beslut</t>
        </is>
      </c>
      <c r="AZ1802" t="inlineStr">
        <is>
          <t>2026-02-03</t>
        </is>
      </c>
      <c r="BA1802" t="inlineStr">
        <is>
          <t>Ramen_4_beslut.pdf</t>
        </is>
      </c>
      <c r="BB1802" t="inlineStr">
        <is>
          <t>Sv: till registrator</t>
        </is>
      </c>
      <c r="BC1802" t="inlineStr">
        <is>
          <t>AUTO</t>
        </is>
      </c>
      <c r="BD1802" t="inlineStr"/>
      <c r="BE1802" t="inlineStr"/>
      <c r="BF1802" t="inlineStr">
        <is>
          <t>AUTO_GENERERAD. Bekrafta metadata mot kallfil.</t>
        </is>
      </c>
      <c r="BG1802">
        <f>HYPERLINK("C:\Users\jimmy\Desktop\Examens arbete\Kod\Ny mapp\remix_-copy-of-miljöbeslut.se-portal\Ramen_4_beslut.pdf", "Öppna PDF")</f>
        <v/>
      </c>
    </row>
    <row r="1803">
      <c r="A1803" t="inlineStr">
        <is>
          <t>KRAV-AUTO-001802</t>
        </is>
      </c>
      <c r="B1803" t="inlineStr">
        <is>
          <t>ADMIN-INDEX-2026-02-27-00000000125C043F57453246863FE664CAFE6A3F0700950291EA24F0614FB6ACEDB12BF0E31D00000000010C0000950291EA24F0614FB6ACEDB12BF0E31D00002087AF060000</t>
        </is>
      </c>
      <c r="C1803" t="inlineStr">
        <is>
          <t>cmm4yunxs015tcuqw3qioep4h</t>
        </is>
      </c>
      <c r="D1803" t="inlineStr">
        <is>
          <t>http://localhost:8787/api/admin/requirements/documents/cmm4yunxs015tcuqw3qioep4h/view</t>
        </is>
      </c>
      <c r="E1803">
        <f>HYPERLÄNK("http://localhost:8787/api/admin/requirements/documents/cmm4yunxs015tcuqw3qioep4h/view";"Öppna PDF")</f>
        <v/>
      </c>
      <c r="F1803">
        <f>HYPERLINK("http://localhost:8787/api/admin/requirements/documents/cmm4yunxs015tcuqw3qioep4h/view","Open PDF")</f>
        <v/>
      </c>
      <c r="G1803" t="inlineStr">
        <is>
          <t>cmm55w57p0004cuisfrtpqly8</t>
        </is>
      </c>
      <c r="H1803" t="inlineStr">
        <is>
          <t>Beslutsvillkor</t>
        </is>
      </c>
      <c r="I1803" t="inlineStr">
        <is>
          <t>MiljopaverkanForsiktighet</t>
        </is>
      </c>
      <c r="J1803" t="inlineStr">
        <is>
          <t>Skyddsatgarder</t>
        </is>
      </c>
      <c r="K1803" t="inlineStr">
        <is>
          <t>Avfallet ska vara analyserat, klassats och kontrolleras när det kommer till fastigheten.</t>
        </is>
      </c>
      <c r="L1803" t="inlineStr">
        <is>
          <t>Avfallet ska vara analyserat, klassats och kontrolleras när det kommer till fastigheten.</t>
        </is>
      </c>
      <c r="M1803" t="inlineStr">
        <is>
          <t>SKA</t>
        </is>
      </c>
      <c r="N1803" t="inlineStr"/>
      <c r="O1803" t="inlineStr"/>
      <c r="P1803" t="inlineStr"/>
      <c r="Q1803" t="inlineStr"/>
      <c r="R1803" t="inlineStr">
        <is>
          <t>Alltid</t>
        </is>
      </c>
      <c r="S1803" t="inlineStr"/>
      <c r="T1803" t="inlineStr">
        <is>
          <t>52 80 00</t>
        </is>
      </c>
      <c r="U1803" t="inlineStr"/>
      <c r="V1803" t="inlineStr"/>
      <c r="W1803" t="inlineStr">
        <is>
          <t>Nej</t>
        </is>
      </c>
      <c r="X1803" t="inlineStr">
        <is>
          <t>Nej</t>
        </is>
      </c>
      <c r="Y1803" t="inlineStr">
        <is>
          <t>Nej</t>
        </is>
      </c>
      <c r="Z1803" t="inlineStr">
        <is>
          <t>Nej</t>
        </is>
      </c>
      <c r="AA1803" t="n">
        <v>10</v>
      </c>
      <c r="AB1803" t="inlineStr">
        <is>
          <t>Miljopaverkan och forsiktighetsmatt</t>
        </is>
      </c>
      <c r="AC1803" t="inlineStr">
        <is>
          <t>Miljo-PM</t>
        </is>
      </c>
      <c r="AD1803" t="inlineStr">
        <is>
          <t>Nej</t>
        </is>
      </c>
      <c r="AE1803" t="inlineStr">
        <is>
          <t>Nej</t>
        </is>
      </c>
      <c r="AF1803" t="inlineStr">
        <is>
          <t>Ej behandlad</t>
        </is>
      </c>
      <c r="AG1803" t="inlineStr">
        <is>
          <t>AUTO_GENERERAD. Verifiera citat mot kallfil.</t>
        </is>
      </c>
      <c r="AH1803" t="inlineStr">
        <is>
          <t>MEDIUM</t>
        </is>
      </c>
      <c r="AI1803" t="inlineStr">
        <is>
          <t>AUTO</t>
        </is>
      </c>
      <c r="AJ1803" t="inlineStr">
        <is>
          <t>Nej</t>
        </is>
      </c>
      <c r="AK1803" t="inlineStr"/>
      <c r="AL1803" t="inlineStr"/>
      <c r="AM1803" t="inlineStr"/>
      <c r="AN1803" t="inlineStr"/>
      <c r="AO1803" t="inlineStr">
        <is>
          <t>cmm4yuny10162cuqwmghj3oaq</t>
        </is>
      </c>
      <c r="AP1803" t="inlineStr">
        <is>
          <t>http://localhost:8787/api/admin/requirements/documents/cmm4yuny10162cuqwmghj3oaq/view</t>
        </is>
      </c>
      <c r="AQ1803">
        <f>HYPERLÄNK("http://localhost:8787/api/admin/requirements/documents/cmm4yuny10162cuqwmghj3oaq/view";"Öppna PDF")</f>
        <v/>
      </c>
      <c r="AR1803">
        <f>HYPERLINK("http://localhost:8787/api/admin/requirements/documents/cmm4yuny10162cuqwmghj3oaq/view","Open PDF")</f>
        <v/>
      </c>
      <c r="AS1803" t="inlineStr">
        <is>
          <t>cmm55w57p0004cuisfrtpqly8</t>
        </is>
      </c>
      <c r="AT1803" t="inlineStr">
        <is>
          <t>cmm4xvu980000cuh4vj0usz09</t>
        </is>
      </c>
      <c r="AU1803" t="inlineStr">
        <is>
          <t>i Osby</t>
        </is>
      </c>
      <c r="AV1803" t="inlineStr">
        <is>
          <t>Kommun</t>
        </is>
      </c>
      <c r="AW1803" t="inlineStr">
        <is>
          <t>i Osby kommun</t>
        </is>
      </c>
      <c r="AX1803" t="inlineStr">
        <is>
          <t>0479-52</t>
        </is>
      </c>
      <c r="AY1803" t="inlineStr">
        <is>
          <t>Beslut</t>
        </is>
      </c>
      <c r="AZ1803" t="inlineStr">
        <is>
          <t>2026-02-03</t>
        </is>
      </c>
      <c r="BA1803" t="inlineStr">
        <is>
          <t>Ramen_4_beslut.pdf</t>
        </is>
      </c>
      <c r="BB1803" t="inlineStr">
        <is>
          <t>Sv: till registrator</t>
        </is>
      </c>
      <c r="BC1803" t="inlineStr">
        <is>
          <t>AUTO</t>
        </is>
      </c>
      <c r="BD1803" t="inlineStr"/>
      <c r="BE1803" t="inlineStr"/>
      <c r="BF1803" t="inlineStr">
        <is>
          <t>AUTO_GENERERAD. Bekrafta metadata mot kallfil.</t>
        </is>
      </c>
      <c r="BG1803">
        <f>HYPERLINK("C:\Users\jimmy\Desktop\Examens arbete\Kod\Ny mapp\remix_-copy-of-miljöbeslut.se-portal\Ramen_4_beslut.pdf", "Öppna PDF")</f>
        <v/>
      </c>
    </row>
    <row r="1804">
      <c r="A1804" t="inlineStr">
        <is>
          <t>KRAV-AUTO-001803</t>
        </is>
      </c>
      <c r="B1804" t="inlineStr">
        <is>
          <t>ADMIN-INDEX-2026-02-27-00000000125C043F57453246863FE664CAFE6A3F0700950291EA24F0614FB6ACEDB12BF0E31D00000000010C0000950291EA24F0614FB6ACEDB12BF0E31D00002087AF060000</t>
        </is>
      </c>
      <c r="C1804" t="inlineStr">
        <is>
          <t>cmm4yunxp015qcuqwpj2jzrzk</t>
        </is>
      </c>
      <c r="D1804" t="inlineStr">
        <is>
          <t>http://localhost:8787/api/admin/requirements/documents/cmm4yunxp015qcuqwpj2jzrzk/view</t>
        </is>
      </c>
      <c r="E1804">
        <f>HYPERLÄNK("http://localhost:8787/api/admin/requirements/documents/cmm4yunxp015qcuqwpj2jzrzk/view";"Öppna PDF")</f>
        <v/>
      </c>
      <c r="F1804">
        <f>HYPERLINK("http://localhost:8787/api/admin/requirements/documents/cmm4yunxp015qcuqwpj2jzrzk/view","Open PDF")</f>
        <v/>
      </c>
      <c r="G1804" t="inlineStr">
        <is>
          <t>cmm55w57p0004cuisfrtpqly8</t>
        </is>
      </c>
      <c r="H1804" t="inlineStr">
        <is>
          <t>Beslutsvillkor</t>
        </is>
      </c>
      <c r="I1804" t="inlineStr">
        <is>
          <t>Riskhantering</t>
        </is>
      </c>
      <c r="J1804" t="inlineStr">
        <is>
          <t>Riskkontroll</t>
        </is>
      </c>
      <c r="K1804" t="inlineStr">
        <is>
          <t>På historisk flygbild från år 2000 kan ses att området där vallen ska anläggas idag består av igenvuxen industrimark, se Figur 1.</t>
        </is>
      </c>
      <c r="L1804" t="inlineStr">
        <is>
          <t>På historisk flygbild från år 2000 kan ses att området där vallen ska anläggas idag består av igenvuxen industrimark, se Figur 1.</t>
        </is>
      </c>
      <c r="M1804" t="inlineStr">
        <is>
          <t>SKA</t>
        </is>
      </c>
      <c r="N1804" t="inlineStr"/>
      <c r="O1804" t="inlineStr"/>
      <c r="P1804" t="inlineStr"/>
      <c r="Q1804" t="inlineStr"/>
      <c r="R1804" t="inlineStr">
        <is>
          <t>Vid risk for incident</t>
        </is>
      </c>
      <c r="S1804" t="inlineStr"/>
      <c r="T1804" t="inlineStr">
        <is>
          <t>556798</t>
        </is>
      </c>
      <c r="U1804" t="inlineStr"/>
      <c r="V1804" t="inlineStr"/>
      <c r="W1804" t="inlineStr">
        <is>
          <t>Nej</t>
        </is>
      </c>
      <c r="X1804" t="inlineStr">
        <is>
          <t>Nej</t>
        </is>
      </c>
      <c r="Y1804" t="inlineStr">
        <is>
          <t>Ja</t>
        </is>
      </c>
      <c r="Z1804" t="inlineStr">
        <is>
          <t>Ja</t>
        </is>
      </c>
      <c r="AA1804" t="n">
        <v>8</v>
      </c>
      <c r="AB1804" t="inlineStr">
        <is>
          <t>Riskhantering</t>
        </is>
      </c>
      <c r="AC1804" t="inlineStr">
        <is>
          <t>Risk-PM</t>
        </is>
      </c>
      <c r="AD1804" t="inlineStr">
        <is>
          <t>Nej</t>
        </is>
      </c>
      <c r="AE1804" t="inlineStr">
        <is>
          <t>Nej</t>
        </is>
      </c>
      <c r="AF1804" t="inlineStr">
        <is>
          <t>Ej behandlad</t>
        </is>
      </c>
      <c r="AG1804" t="inlineStr">
        <is>
          <t>AUTO_GENERERAD. Verifiera citat mot kallfil.</t>
        </is>
      </c>
      <c r="AH1804" t="inlineStr">
        <is>
          <t>MEDIUM</t>
        </is>
      </c>
      <c r="AI1804" t="inlineStr">
        <is>
          <t>AUTO</t>
        </is>
      </c>
      <c r="AJ1804" t="inlineStr">
        <is>
          <t>Nej</t>
        </is>
      </c>
      <c r="AK1804" t="inlineStr"/>
      <c r="AL1804" t="inlineStr"/>
      <c r="AM1804" t="inlineStr"/>
      <c r="AN1804" t="inlineStr"/>
      <c r="AO1804" t="inlineStr">
        <is>
          <t>cmm4yuny10162cuqwmghj3oaq</t>
        </is>
      </c>
      <c r="AP1804" t="inlineStr">
        <is>
          <t>http://localhost:8787/api/admin/requirements/documents/cmm4yuny10162cuqwmghj3oaq/view</t>
        </is>
      </c>
      <c r="AQ1804">
        <f>HYPERLÄNK("http://localhost:8787/api/admin/requirements/documents/cmm4yuny10162cuqwmghj3oaq/view";"Öppna PDF")</f>
        <v/>
      </c>
      <c r="AR1804">
        <f>HYPERLINK("http://localhost:8787/api/admin/requirements/documents/cmm4yuny10162cuqwmghj3oaq/view","Open PDF")</f>
        <v/>
      </c>
      <c r="AS1804" t="inlineStr">
        <is>
          <t>cmm55w57p0004cuisfrtpqly8</t>
        </is>
      </c>
      <c r="AT1804" t="inlineStr">
        <is>
          <t>cmm4xvu980000cuh4vj0usz09</t>
        </is>
      </c>
      <c r="AU1804" t="inlineStr">
        <is>
          <t>i Osby</t>
        </is>
      </c>
      <c r="AV1804" t="inlineStr">
        <is>
          <t>Kommun</t>
        </is>
      </c>
      <c r="AW1804" t="inlineStr">
        <is>
          <t>i Osby kommun</t>
        </is>
      </c>
      <c r="AX1804" t="inlineStr">
        <is>
          <t>0479-52</t>
        </is>
      </c>
      <c r="AY1804" t="inlineStr">
        <is>
          <t>Beslut</t>
        </is>
      </c>
      <c r="AZ1804" t="inlineStr">
        <is>
          <t>2026-02-03</t>
        </is>
      </c>
      <c r="BA1804" t="inlineStr">
        <is>
          <t>Ramen_4_beslut.pdf</t>
        </is>
      </c>
      <c r="BB1804" t="inlineStr">
        <is>
          <t>Sv: till registrator</t>
        </is>
      </c>
      <c r="BC1804" t="inlineStr">
        <is>
          <t>AUTO</t>
        </is>
      </c>
      <c r="BD1804" t="inlineStr"/>
      <c r="BE1804" t="inlineStr"/>
      <c r="BF1804" t="inlineStr">
        <is>
          <t>AUTO_GENERERAD. Bekrafta metadata mot kallfil.</t>
        </is>
      </c>
      <c r="BG1804">
        <f>HYPERLINK("C:\Users\jimmy\Desktop\Examens arbete\Kod\Ny mapp\remix_-copy-of-miljöbeslut.se-portal\Ramen_4_beslut.pdf", "Öppna PDF")</f>
        <v/>
      </c>
    </row>
    <row r="1805">
      <c r="A1805" t="inlineStr">
        <is>
          <t>KRAV-AUTO-001804</t>
        </is>
      </c>
      <c r="B1805" t="inlineStr">
        <is>
          <t>ADMIN-INDEX-2026-02-27-00000000125C043F57453246863FE664CAFE6A3F0700950291EA24F0614FB6ACEDB12BF0E31D00000000010C0000950291EA24F0614FB6ACEDB12BF0E31D00002087AF060000</t>
        </is>
      </c>
      <c r="C1805" t="inlineStr">
        <is>
          <t>cmm4yunxp015qcuqwpj2jzrzk</t>
        </is>
      </c>
      <c r="D1805" t="inlineStr">
        <is>
          <t>http://localhost:8787/api/admin/requirements/documents/cmm4yunxp015qcuqwpj2jzrzk/view</t>
        </is>
      </c>
      <c r="E1805">
        <f>HYPERLÄNK("http://localhost:8787/api/admin/requirements/documents/cmm4yunxp015qcuqwpj2jzrzk/view";"Öppna PDF")</f>
        <v/>
      </c>
      <c r="F1805">
        <f>HYPERLINK("http://localhost:8787/api/admin/requirements/documents/cmm4yunxp015qcuqwpj2jzrzk/view","Open PDF")</f>
        <v/>
      </c>
      <c r="G1805" t="inlineStr">
        <is>
          <t>cmm55w57p0004cuisfrtpqly8</t>
        </is>
      </c>
      <c r="H1805" t="inlineStr">
        <is>
          <t>Beslutsvillkor</t>
        </is>
      </c>
      <c r="I1805" t="inlineStr">
        <is>
          <t>DriftEgenkontroll</t>
        </is>
      </c>
      <c r="J1805" t="inlineStr">
        <is>
          <t>Journalforing</t>
        </is>
      </c>
      <c r="K1805" t="inlineStr">
        <is>
          <t>Om vallen ska anläggas på skogsmark, i enlighet med bifogat situationsplan, kan ni visa att marken har använts för industriändamål tidigare och planeras provtagning av marken för att undersöka bakgrundshalter?</t>
        </is>
      </c>
      <c r="L1805" t="inlineStr">
        <is>
          <t>Om vallen ska anläggas på skogsmark, i enlighet med bifogat situationsplan, kan ni visa att marken har använts för industriändamål tidigare och planeras provtagning av marken för att undersöka bakgrundshalter?</t>
        </is>
      </c>
      <c r="M1805" t="inlineStr">
        <is>
          <t>SKA</t>
        </is>
      </c>
      <c r="N1805" t="inlineStr"/>
      <c r="O1805" t="inlineStr"/>
      <c r="P1805" t="inlineStr"/>
      <c r="Q1805" t="inlineStr"/>
      <c r="R1805" t="inlineStr">
        <is>
          <t>Lopande drift</t>
        </is>
      </c>
      <c r="S1805" t="inlineStr"/>
      <c r="T1805" t="inlineStr">
        <is>
          <t>556798</t>
        </is>
      </c>
      <c r="U1805" t="inlineStr"/>
      <c r="V1805" t="inlineStr"/>
      <c r="W1805" t="inlineStr">
        <is>
          <t>Nej</t>
        </is>
      </c>
      <c r="X1805" t="inlineStr">
        <is>
          <t>Nej</t>
        </is>
      </c>
      <c r="Y1805" t="inlineStr">
        <is>
          <t>Ja</t>
        </is>
      </c>
      <c r="Z1805" t="inlineStr">
        <is>
          <t>Nej</t>
        </is>
      </c>
      <c r="AA1805" t="n">
        <v>7</v>
      </c>
      <c r="AB1805" t="inlineStr">
        <is>
          <t>Egenkontrollrutiner</t>
        </is>
      </c>
      <c r="AC1805" t="inlineStr">
        <is>
          <t>Egenkontrollprogram</t>
        </is>
      </c>
      <c r="AD1805" t="inlineStr">
        <is>
          <t>Nej</t>
        </is>
      </c>
      <c r="AE1805" t="inlineStr">
        <is>
          <t>Nej</t>
        </is>
      </c>
      <c r="AF1805" t="inlineStr">
        <is>
          <t>Ej behandlad</t>
        </is>
      </c>
      <c r="AG1805" t="inlineStr">
        <is>
          <t>AUTO_GENERERAD. Verifiera citat mot kallfil.</t>
        </is>
      </c>
      <c r="AH1805" t="inlineStr">
        <is>
          <t>MEDIUM</t>
        </is>
      </c>
      <c r="AI1805" t="inlineStr">
        <is>
          <t>AUTO</t>
        </is>
      </c>
      <c r="AJ1805" t="inlineStr">
        <is>
          <t>Nej</t>
        </is>
      </c>
      <c r="AK1805" t="inlineStr"/>
      <c r="AL1805" t="inlineStr"/>
      <c r="AM1805" t="inlineStr"/>
      <c r="AN1805" t="inlineStr"/>
      <c r="AO1805" t="inlineStr">
        <is>
          <t>cmm4yuny10162cuqwmghj3oaq</t>
        </is>
      </c>
      <c r="AP1805" t="inlineStr">
        <is>
          <t>http://localhost:8787/api/admin/requirements/documents/cmm4yuny10162cuqwmghj3oaq/view</t>
        </is>
      </c>
      <c r="AQ1805">
        <f>HYPERLÄNK("http://localhost:8787/api/admin/requirements/documents/cmm4yuny10162cuqwmghj3oaq/view";"Öppna PDF")</f>
        <v/>
      </c>
      <c r="AR1805">
        <f>HYPERLINK("http://localhost:8787/api/admin/requirements/documents/cmm4yuny10162cuqwmghj3oaq/view","Open PDF")</f>
        <v/>
      </c>
      <c r="AS1805" t="inlineStr">
        <is>
          <t>cmm55w57p0004cuisfrtpqly8</t>
        </is>
      </c>
      <c r="AT1805" t="inlineStr">
        <is>
          <t>cmm4xvu980000cuh4vj0usz09</t>
        </is>
      </c>
      <c r="AU1805" t="inlineStr">
        <is>
          <t>i Osby</t>
        </is>
      </c>
      <c r="AV1805" t="inlineStr">
        <is>
          <t>Kommun</t>
        </is>
      </c>
      <c r="AW1805" t="inlineStr">
        <is>
          <t>i Osby kommun</t>
        </is>
      </c>
      <c r="AX1805" t="inlineStr">
        <is>
          <t>0479-52</t>
        </is>
      </c>
      <c r="AY1805" t="inlineStr">
        <is>
          <t>Beslut</t>
        </is>
      </c>
      <c r="AZ1805" t="inlineStr">
        <is>
          <t>2026-02-03</t>
        </is>
      </c>
      <c r="BA1805" t="inlineStr">
        <is>
          <t>Ramen_4_beslut.pdf</t>
        </is>
      </c>
      <c r="BB1805" t="inlineStr">
        <is>
          <t>Sv: till registrator</t>
        </is>
      </c>
      <c r="BC1805" t="inlineStr">
        <is>
          <t>AUTO</t>
        </is>
      </c>
      <c r="BD1805" t="inlineStr"/>
      <c r="BE1805" t="inlineStr"/>
      <c r="BF1805" t="inlineStr">
        <is>
          <t>AUTO_GENERERAD. Bekrafta metadata mot kallfil.</t>
        </is>
      </c>
      <c r="BG1805">
        <f>HYPERLINK("C:\Users\jimmy\Desktop\Examens arbete\Kod\Ny mapp\remix_-copy-of-miljöbeslut.se-portal\Ramen_4_beslut.pdf", "Öppna PDF")</f>
        <v/>
      </c>
    </row>
    <row r="1806">
      <c r="A1806" t="inlineStr">
        <is>
          <t>KRAV-AUTO-001805</t>
        </is>
      </c>
      <c r="B1806" t="inlineStr">
        <is>
          <t>ADMIN-INDEX-2026-02-27-00000000125C043F57453246863FE664CAFE6A3F0700950291EA24F0614FB6ACEDB12BF0E31D00000000010C0000950291EA24F0614FB6ACEDB12BF0E31D00002087AF060000</t>
        </is>
      </c>
      <c r="C1806" t="inlineStr">
        <is>
          <t>cmm4yunxg015hcuqwwpr6maf1</t>
        </is>
      </c>
      <c r="D1806" t="inlineStr">
        <is>
          <t>http://localhost:8787/api/admin/requirements/documents/cmm4yunxg015hcuqwwpr6maf1/view</t>
        </is>
      </c>
      <c r="E1806">
        <f>HYPERLÄNK("http://localhost:8787/api/admin/requirements/documents/cmm4yunxg015hcuqwwpr6maf1/view";"Öppna PDF")</f>
        <v/>
      </c>
      <c r="F1806">
        <f>HYPERLINK("http://localhost:8787/api/admin/requirements/documents/cmm4yunxg015hcuqwwpr6maf1/view","Open PDF")</f>
        <v/>
      </c>
      <c r="G1806" t="inlineStr">
        <is>
          <t>cmm55w57p0004cuisfrtpqly8</t>
        </is>
      </c>
      <c r="H1806" t="inlineStr">
        <is>
          <t>Informationskrav</t>
        </is>
      </c>
      <c r="I1806" t="inlineStr">
        <is>
          <t>MiljopaverkanForsiktighet</t>
        </is>
      </c>
      <c r="J1806" t="inlineStr">
        <is>
          <t>Skyddsatgarder</t>
        </is>
      </c>
      <c r="K1806" t="inlineStr">
        <is>
          <t>Hur ska avfallet användas?</t>
        </is>
      </c>
      <c r="L1806" t="inlineStr">
        <is>
          <t>Hur ska avfallet användas?</t>
        </is>
      </c>
      <c r="M1806" t="inlineStr">
        <is>
          <t>SKA</t>
        </is>
      </c>
      <c r="N1806" t="inlineStr"/>
      <c r="O1806" t="inlineStr"/>
      <c r="P1806" t="inlineStr"/>
      <c r="Q1806" t="inlineStr"/>
      <c r="R1806" t="inlineStr">
        <is>
          <t>Alltid</t>
        </is>
      </c>
      <c r="S1806" t="inlineStr"/>
      <c r="T1806" t="inlineStr">
        <is>
          <t>815204</t>
        </is>
      </c>
      <c r="U1806" t="inlineStr"/>
      <c r="V1806" t="inlineStr"/>
      <c r="W1806" t="inlineStr">
        <is>
          <t>Nej</t>
        </is>
      </c>
      <c r="X1806" t="inlineStr">
        <is>
          <t>Nej</t>
        </is>
      </c>
      <c r="Y1806" t="inlineStr">
        <is>
          <t>Nej</t>
        </is>
      </c>
      <c r="Z1806" t="inlineStr">
        <is>
          <t>Nej</t>
        </is>
      </c>
      <c r="AA1806" t="n">
        <v>10</v>
      </c>
      <c r="AB1806" t="inlineStr">
        <is>
          <t>Miljopaverkan och forsiktighetsmatt</t>
        </is>
      </c>
      <c r="AC1806" t="inlineStr">
        <is>
          <t>Miljo-PM</t>
        </is>
      </c>
      <c r="AD1806" t="inlineStr">
        <is>
          <t>Nej</t>
        </is>
      </c>
      <c r="AE1806" t="inlineStr">
        <is>
          <t>Nej</t>
        </is>
      </c>
      <c r="AF1806" t="inlineStr">
        <is>
          <t>Ej behandlad</t>
        </is>
      </c>
      <c r="AG1806" t="inlineStr">
        <is>
          <t>AUTO_GENERERAD. Verifiera citat mot kallfil.</t>
        </is>
      </c>
      <c r="AH1806" t="inlineStr">
        <is>
          <t>LOW</t>
        </is>
      </c>
      <c r="AI1806" t="inlineStr">
        <is>
          <t>AUTO</t>
        </is>
      </c>
      <c r="AJ1806" t="inlineStr">
        <is>
          <t>Nej</t>
        </is>
      </c>
      <c r="AK1806" t="inlineStr"/>
      <c r="AL1806" t="inlineStr"/>
      <c r="AM1806" t="inlineStr"/>
      <c r="AN1806" t="inlineStr"/>
      <c r="AO1806" t="inlineStr">
        <is>
          <t>cmm4yuny10162cuqwmghj3oaq</t>
        </is>
      </c>
      <c r="AP1806" t="inlineStr">
        <is>
          <t>http://localhost:8787/api/admin/requirements/documents/cmm4yuny10162cuqwmghj3oaq/view</t>
        </is>
      </c>
      <c r="AQ1806">
        <f>HYPERLÄNK("http://localhost:8787/api/admin/requirements/documents/cmm4yuny10162cuqwmghj3oaq/view";"Öppna PDF")</f>
        <v/>
      </c>
      <c r="AR1806">
        <f>HYPERLINK("http://localhost:8787/api/admin/requirements/documents/cmm4yuny10162cuqwmghj3oaq/view","Open PDF")</f>
        <v/>
      </c>
      <c r="AS1806" t="inlineStr">
        <is>
          <t>cmm55w57p0004cuisfrtpqly8</t>
        </is>
      </c>
      <c r="AT1806" t="inlineStr">
        <is>
          <t>cmm4xvu980000cuh4vj0usz09</t>
        </is>
      </c>
      <c r="AU1806" t="inlineStr">
        <is>
          <t>i Osby</t>
        </is>
      </c>
      <c r="AV1806" t="inlineStr">
        <is>
          <t>Kommun</t>
        </is>
      </c>
      <c r="AW1806" t="inlineStr">
        <is>
          <t>i Osby kommun</t>
        </is>
      </c>
      <c r="AX1806" t="inlineStr">
        <is>
          <t>0479-52</t>
        </is>
      </c>
      <c r="AY1806" t="inlineStr">
        <is>
          <t>Beslut</t>
        </is>
      </c>
      <c r="AZ1806" t="inlineStr">
        <is>
          <t>2026-02-03</t>
        </is>
      </c>
      <c r="BA1806" t="inlineStr">
        <is>
          <t>Ramen_4_beslut.pdf</t>
        </is>
      </c>
      <c r="BB1806" t="inlineStr">
        <is>
          <t>Sv: till registrator</t>
        </is>
      </c>
      <c r="BC1806" t="inlineStr">
        <is>
          <t>AUTO</t>
        </is>
      </c>
      <c r="BD1806" t="inlineStr"/>
      <c r="BE1806" t="inlineStr"/>
      <c r="BF1806" t="inlineStr">
        <is>
          <t>AUTO_GENERERAD. Bekrafta metadata mot kallfil.</t>
        </is>
      </c>
      <c r="BG1806">
        <f>HYPERLINK("C:\Users\jimmy\Desktop\Examens arbete\Kod\Ny mapp\remix_-copy-of-miljöbeslut.se-portal\Ramen_4_beslut.pdf", "Öppna PDF")</f>
        <v/>
      </c>
    </row>
    <row r="1807">
      <c r="A1807" t="inlineStr">
        <is>
          <t>KRAV-AUTO-001806</t>
        </is>
      </c>
      <c r="B1807" t="inlineStr">
        <is>
          <t>ADMIN-INDEX-2026-02-27-00000000125C043F57453246863FE664CAFE6A3F0700950291EA24F0614FB6ACEDB12BF0E31D00000000010C0000950291EA24F0614FB6ACEDB12BF0E31D00002087AF060000</t>
        </is>
      </c>
      <c r="C1807" t="inlineStr">
        <is>
          <t>cmm4yunxg015hcuqwwpr6maf1</t>
        </is>
      </c>
      <c r="D1807" t="inlineStr">
        <is>
          <t>http://localhost:8787/api/admin/requirements/documents/cmm4yunxg015hcuqwwpr6maf1/view</t>
        </is>
      </c>
      <c r="E1807">
        <f>HYPERLÄNK("http://localhost:8787/api/admin/requirements/documents/cmm4yunxg015hcuqwwpr6maf1/view";"Öppna PDF")</f>
        <v/>
      </c>
      <c r="F1807">
        <f>HYPERLINK("http://localhost:8787/api/admin/requirements/documents/cmm4yunxg015hcuqwwpr6maf1/view","Open PDF")</f>
        <v/>
      </c>
      <c r="G1807" t="inlineStr">
        <is>
          <t>cmm55w57p0004cuisfrtpqly8</t>
        </is>
      </c>
      <c r="H1807" t="inlineStr">
        <is>
          <t>Informationskrav</t>
        </is>
      </c>
      <c r="I1807" t="inlineStr">
        <is>
          <t>DriftEgenkontroll</t>
        </is>
      </c>
      <c r="J1807" t="inlineStr">
        <is>
          <t>Journalforing</t>
        </is>
      </c>
      <c r="K1807" t="inlineStr">
        <is>
          <t>Ja, bifoga provtagnings-/analysresultat X Nej, beskriv varför det inte är gjort Allt material som ska tillföras kommer att tas prover på och redovisas löpande.</t>
        </is>
      </c>
      <c r="L1807" t="inlineStr">
        <is>
          <t>Ja, bifoga provtagnings-/analysresultat X Nej, beskriv varför det inte är gjort Allt material som ska tillföras kommer att tas prover på och redovisas löpande.</t>
        </is>
      </c>
      <c r="M1807" t="inlineStr">
        <is>
          <t>SKA</t>
        </is>
      </c>
      <c r="N1807" t="inlineStr"/>
      <c r="O1807" t="inlineStr"/>
      <c r="P1807" t="inlineStr">
        <is>
          <t>Lopande</t>
        </is>
      </c>
      <c r="Q1807" t="inlineStr"/>
      <c r="R1807" t="inlineStr">
        <is>
          <t>Lopande drift</t>
        </is>
      </c>
      <c r="S1807" t="inlineStr"/>
      <c r="T1807" t="inlineStr">
        <is>
          <t>815204</t>
        </is>
      </c>
      <c r="U1807" t="inlineStr"/>
      <c r="V1807" t="inlineStr"/>
      <c r="W1807" t="inlineStr">
        <is>
          <t>Nej</t>
        </is>
      </c>
      <c r="X1807" t="inlineStr">
        <is>
          <t>Nej</t>
        </is>
      </c>
      <c r="Y1807" t="inlineStr">
        <is>
          <t>Ja</t>
        </is>
      </c>
      <c r="Z1807" t="inlineStr">
        <is>
          <t>Nej</t>
        </is>
      </c>
      <c r="AA1807" t="n">
        <v>7</v>
      </c>
      <c r="AB1807" t="inlineStr">
        <is>
          <t>Egenkontrollrutiner</t>
        </is>
      </c>
      <c r="AC1807" t="inlineStr">
        <is>
          <t>Egenkontrollprogram</t>
        </is>
      </c>
      <c r="AD1807" t="inlineStr">
        <is>
          <t>Nej</t>
        </is>
      </c>
      <c r="AE1807" t="inlineStr">
        <is>
          <t>Nej</t>
        </is>
      </c>
      <c r="AF1807" t="inlineStr">
        <is>
          <t>Ej behandlad</t>
        </is>
      </c>
      <c r="AG1807" t="inlineStr">
        <is>
          <t>AUTO_GENERERAD. Verifiera citat mot kallfil.</t>
        </is>
      </c>
      <c r="AH1807" t="inlineStr">
        <is>
          <t>MEDIUM</t>
        </is>
      </c>
      <c r="AI1807" t="inlineStr">
        <is>
          <t>AUTO</t>
        </is>
      </c>
      <c r="AJ1807" t="inlineStr">
        <is>
          <t>Nej</t>
        </is>
      </c>
      <c r="AK1807" t="inlineStr"/>
      <c r="AL1807" t="inlineStr"/>
      <c r="AM1807" t="inlineStr"/>
      <c r="AN1807" t="inlineStr"/>
      <c r="AO1807" t="inlineStr">
        <is>
          <t>cmm4yuny10162cuqwmghj3oaq</t>
        </is>
      </c>
      <c r="AP1807" t="inlineStr">
        <is>
          <t>http://localhost:8787/api/admin/requirements/documents/cmm4yuny10162cuqwmghj3oaq/view</t>
        </is>
      </c>
      <c r="AQ1807">
        <f>HYPERLÄNK("http://localhost:8787/api/admin/requirements/documents/cmm4yuny10162cuqwmghj3oaq/view";"Öppna PDF")</f>
        <v/>
      </c>
      <c r="AR1807">
        <f>HYPERLINK("http://localhost:8787/api/admin/requirements/documents/cmm4yuny10162cuqwmghj3oaq/view","Open PDF")</f>
        <v/>
      </c>
      <c r="AS1807" t="inlineStr">
        <is>
          <t>cmm55w57p0004cuisfrtpqly8</t>
        </is>
      </c>
      <c r="AT1807" t="inlineStr">
        <is>
          <t>cmm4xvu980000cuh4vj0usz09</t>
        </is>
      </c>
      <c r="AU1807" t="inlineStr">
        <is>
          <t>i Osby</t>
        </is>
      </c>
      <c r="AV1807" t="inlineStr">
        <is>
          <t>Kommun</t>
        </is>
      </c>
      <c r="AW1807" t="inlineStr">
        <is>
          <t>i Osby kommun</t>
        </is>
      </c>
      <c r="AX1807" t="inlineStr">
        <is>
          <t>0479-52</t>
        </is>
      </c>
      <c r="AY1807" t="inlineStr">
        <is>
          <t>Beslut</t>
        </is>
      </c>
      <c r="AZ1807" t="inlineStr">
        <is>
          <t>2026-02-03</t>
        </is>
      </c>
      <c r="BA1807" t="inlineStr">
        <is>
          <t>Ramen_4_beslut.pdf</t>
        </is>
      </c>
      <c r="BB1807" t="inlineStr">
        <is>
          <t>Sv: till registrator</t>
        </is>
      </c>
      <c r="BC1807" t="inlineStr">
        <is>
          <t>AUTO</t>
        </is>
      </c>
      <c r="BD1807" t="inlineStr"/>
      <c r="BE1807" t="inlineStr"/>
      <c r="BF1807" t="inlineStr">
        <is>
          <t>AUTO_GENERERAD. Bekrafta metadata mot kallfil.</t>
        </is>
      </c>
      <c r="BG1807">
        <f>HYPERLINK("C:\Users\jimmy\Desktop\Examens arbete\Kod\Ny mapp\remix_-copy-of-miljöbeslut.se-portal\Ramen_4_beslut.pdf", "Öppna PDF")</f>
        <v/>
      </c>
    </row>
    <row r="1808">
      <c r="A1808" t="inlineStr">
        <is>
          <t>KRAV-AUTO-001807</t>
        </is>
      </c>
      <c r="B1808" t="inlineStr">
        <is>
          <t>ADMIN-INDEX-2026-02-27-00000000125C043F57453246863FE664CAFE6A3F0700950291EA24F0614FB6ACEDB12BF0E31D00000000010C0000950291EA24F0614FB6ACEDB12BF0E31D00002087AF060000</t>
        </is>
      </c>
      <c r="C1808" t="inlineStr">
        <is>
          <t>cmm4yunxg015hcuqwwpr6maf1</t>
        </is>
      </c>
      <c r="D1808" t="inlineStr">
        <is>
          <t>http://localhost:8787/api/admin/requirements/documents/cmm4yunxg015hcuqwwpr6maf1/view</t>
        </is>
      </c>
      <c r="E1808">
        <f>HYPERLÄNK("http://localhost:8787/api/admin/requirements/documents/cmm4yunxg015hcuqwwpr6maf1/view";"Öppna PDF")</f>
        <v/>
      </c>
      <c r="F1808">
        <f>HYPERLINK("http://localhost:8787/api/admin/requirements/documents/cmm4yunxg015hcuqwwpr6maf1/view","Open PDF")</f>
        <v/>
      </c>
      <c r="G1808" t="inlineStr">
        <is>
          <t>cmm55w57p0004cuisfrtpqly8</t>
        </is>
      </c>
      <c r="H1808" t="inlineStr">
        <is>
          <t>Informationskrav</t>
        </is>
      </c>
      <c r="I1808" t="inlineStr">
        <is>
          <t>Riskhantering</t>
        </is>
      </c>
      <c r="J1808" t="inlineStr">
        <is>
          <t>Riskkontroll</t>
        </is>
      </c>
      <c r="K1808" t="inlineStr">
        <is>
          <t>Då det idag förekommer både flisning av energived samt krossning av returträ uppstår bitvís hög ljudnivå och en del damm, Med en bullervall så minskar risken för buller till dom intill liggande villorna.</t>
        </is>
      </c>
      <c r="L1808" t="inlineStr">
        <is>
          <t>Då det idag förekommer både flisning av energived samt krossning av returträ uppstår bitvís hög ljudnivå och en del damm, Med en bullervall så minskar risken för buller till dom intill liggande villorna.</t>
        </is>
      </c>
      <c r="M1808" t="inlineStr">
        <is>
          <t>SKA</t>
        </is>
      </c>
      <c r="N1808" t="inlineStr"/>
      <c r="O1808" t="inlineStr"/>
      <c r="P1808" t="inlineStr"/>
      <c r="Q1808" t="inlineStr"/>
      <c r="R1808" t="inlineStr">
        <is>
          <t>Vid risk for incident</t>
        </is>
      </c>
      <c r="S1808" t="inlineStr"/>
      <c r="T1808" t="inlineStr">
        <is>
          <t>815204</t>
        </is>
      </c>
      <c r="U1808" t="inlineStr"/>
      <c r="V1808" t="inlineStr"/>
      <c r="W1808" t="inlineStr">
        <is>
          <t>Nej</t>
        </is>
      </c>
      <c r="X1808" t="inlineStr">
        <is>
          <t>Nej</t>
        </is>
      </c>
      <c r="Y1808" t="inlineStr">
        <is>
          <t>Ja</t>
        </is>
      </c>
      <c r="Z1808" t="inlineStr">
        <is>
          <t>Ja</t>
        </is>
      </c>
      <c r="AA1808" t="n">
        <v>8</v>
      </c>
      <c r="AB1808" t="inlineStr">
        <is>
          <t>Riskhantering</t>
        </is>
      </c>
      <c r="AC1808" t="inlineStr">
        <is>
          <t>Risk-PM</t>
        </is>
      </c>
      <c r="AD1808" t="inlineStr">
        <is>
          <t>Nej</t>
        </is>
      </c>
      <c r="AE1808" t="inlineStr">
        <is>
          <t>Nej</t>
        </is>
      </c>
      <c r="AF1808" t="inlineStr">
        <is>
          <t>Ej behandlad</t>
        </is>
      </c>
      <c r="AG1808" t="inlineStr">
        <is>
          <t>AUTO_GENERERAD. Verifiera citat mot kallfil.</t>
        </is>
      </c>
      <c r="AH1808" t="inlineStr">
        <is>
          <t>MEDIUM</t>
        </is>
      </c>
      <c r="AI1808" t="inlineStr">
        <is>
          <t>AUTO</t>
        </is>
      </c>
      <c r="AJ1808" t="inlineStr">
        <is>
          <t>Nej</t>
        </is>
      </c>
      <c r="AK1808" t="inlineStr"/>
      <c r="AL1808" t="inlineStr"/>
      <c r="AM1808" t="inlineStr"/>
      <c r="AN1808" t="inlineStr"/>
      <c r="AO1808" t="inlineStr">
        <is>
          <t>cmm4yuny10162cuqwmghj3oaq</t>
        </is>
      </c>
      <c r="AP1808" t="inlineStr">
        <is>
          <t>http://localhost:8787/api/admin/requirements/documents/cmm4yuny10162cuqwmghj3oaq/view</t>
        </is>
      </c>
      <c r="AQ1808">
        <f>HYPERLÄNK("http://localhost:8787/api/admin/requirements/documents/cmm4yuny10162cuqwmghj3oaq/view";"Öppna PDF")</f>
        <v/>
      </c>
      <c r="AR1808">
        <f>HYPERLINK("http://localhost:8787/api/admin/requirements/documents/cmm4yuny10162cuqwmghj3oaq/view","Open PDF")</f>
        <v/>
      </c>
      <c r="AS1808" t="inlineStr">
        <is>
          <t>cmm55w57p0004cuisfrtpqly8</t>
        </is>
      </c>
      <c r="AT1808" t="inlineStr">
        <is>
          <t>cmm4xvu980000cuh4vj0usz09</t>
        </is>
      </c>
      <c r="AU1808" t="inlineStr">
        <is>
          <t>i Osby</t>
        </is>
      </c>
      <c r="AV1808" t="inlineStr">
        <is>
          <t>Kommun</t>
        </is>
      </c>
      <c r="AW1808" t="inlineStr">
        <is>
          <t>i Osby kommun</t>
        </is>
      </c>
      <c r="AX1808" t="inlineStr">
        <is>
          <t>0479-52</t>
        </is>
      </c>
      <c r="AY1808" t="inlineStr">
        <is>
          <t>Beslut</t>
        </is>
      </c>
      <c r="AZ1808" t="inlineStr">
        <is>
          <t>2026-02-03</t>
        </is>
      </c>
      <c r="BA1808" t="inlineStr">
        <is>
          <t>Ramen_4_beslut.pdf</t>
        </is>
      </c>
      <c r="BB1808" t="inlineStr">
        <is>
          <t>Sv: till registrator</t>
        </is>
      </c>
      <c r="BC1808" t="inlineStr">
        <is>
          <t>AUTO</t>
        </is>
      </c>
      <c r="BD1808" t="inlineStr"/>
      <c r="BE1808" t="inlineStr"/>
      <c r="BF1808" t="inlineStr">
        <is>
          <t>AUTO_GENERERAD. Bekrafta metadata mot kallfil.</t>
        </is>
      </c>
      <c r="BG1808">
        <f>HYPERLINK("C:\Users\jimmy\Desktop\Examens arbete\Kod\Ny mapp\remix_-copy-of-miljöbeslut.se-portal\Ramen_4_beslut.pdf", "Öppna PDF")</f>
        <v/>
      </c>
    </row>
    <row r="1809">
      <c r="A1809" t="inlineStr">
        <is>
          <t>KRAV-AUTO-001808</t>
        </is>
      </c>
      <c r="B1809" t="inlineStr">
        <is>
          <t>ADMIN-INDEX-2026-02-27-00000000125C043F57453246863FE664CAFE6A3F0700950291EA24F0614FB6ACEDB12BF0E31D00000000010C0000950291EA24F0614FB6ACEDB12BF0E31D00002087AF060000</t>
        </is>
      </c>
      <c r="C1809" t="inlineStr">
        <is>
          <t>cmm4yunxd015ecuqwctznxn62</t>
        </is>
      </c>
      <c r="D1809" t="inlineStr">
        <is>
          <t>http://localhost:8787/api/admin/requirements/documents/cmm4yunxd015ecuqwctznxn62/view</t>
        </is>
      </c>
      <c r="E1809">
        <f>HYPERLÄNK("http://localhost:8787/api/admin/requirements/documents/cmm4yunxd015ecuqwctznxn62/view";"Öppna PDF")</f>
        <v/>
      </c>
      <c r="F1809">
        <f>HYPERLINK("http://localhost:8787/api/admin/requirements/documents/cmm4yunxd015ecuqwctznxn62/view","Open PDF")</f>
        <v/>
      </c>
      <c r="G1809" t="inlineStr">
        <is>
          <t>cmm55w57p0004cuisfrtpqly8</t>
        </is>
      </c>
      <c r="H1809" t="inlineStr">
        <is>
          <t>Beslutsvillkor</t>
        </is>
      </c>
      <c r="I1809" t="inlineStr">
        <is>
          <t>DagvattenLakvatten</t>
        </is>
      </c>
      <c r="J1809" t="inlineStr">
        <is>
          <t>Uppsamling</t>
        </is>
      </c>
      <c r="K1809" t="inlineStr">
        <is>
          <t>Provtagning på utgående dagvatten ska kunna utföras vid behov.</t>
        </is>
      </c>
      <c r="L1809" t="inlineStr">
        <is>
          <t>Provtagning på utgående dagvatten ska kunna utföras vid behov.</t>
        </is>
      </c>
      <c r="M1809" t="inlineStr">
        <is>
          <t>SKA</t>
        </is>
      </c>
      <c r="N1809" t="inlineStr"/>
      <c r="O1809" t="inlineStr"/>
      <c r="P1809" t="inlineStr"/>
      <c r="Q1809" t="inlineStr"/>
      <c r="R1809" t="inlineStr">
        <is>
          <t>Vid nederbord och avrinning</t>
        </is>
      </c>
      <c r="S1809" t="inlineStr"/>
      <c r="T1809" t="inlineStr">
        <is>
          <t>21 2025</t>
        </is>
      </c>
      <c r="U1809" t="inlineStr"/>
      <c r="V1809" t="inlineStr"/>
      <c r="W1809" t="inlineStr">
        <is>
          <t>Nej</t>
        </is>
      </c>
      <c r="X1809" t="inlineStr">
        <is>
          <t>Ja</t>
        </is>
      </c>
      <c r="Y1809" t="inlineStr">
        <is>
          <t>Ja</t>
        </is>
      </c>
      <c r="Z1809" t="inlineStr">
        <is>
          <t>Nej</t>
        </is>
      </c>
      <c r="AA1809" t="n">
        <v>6</v>
      </c>
      <c r="AB1809" t="inlineStr">
        <is>
          <t>Lakvattenhantering</t>
        </is>
      </c>
      <c r="AC1809" t="inlineStr">
        <is>
          <t>Flodesschema dagvatten-lakvatten</t>
        </is>
      </c>
      <c r="AD1809" t="inlineStr">
        <is>
          <t>Nej</t>
        </is>
      </c>
      <c r="AE1809" t="inlineStr">
        <is>
          <t>Nej</t>
        </is>
      </c>
      <c r="AF1809" t="inlineStr">
        <is>
          <t>Ej behandlad</t>
        </is>
      </c>
      <c r="AG1809" t="inlineStr">
        <is>
          <t>AUTO_GENERERAD. Verifiera citat mot kallfil.</t>
        </is>
      </c>
      <c r="AH1809" t="inlineStr">
        <is>
          <t>MEDIUM</t>
        </is>
      </c>
      <c r="AI1809" t="inlineStr">
        <is>
          <t>AUTO</t>
        </is>
      </c>
      <c r="AJ1809" t="inlineStr">
        <is>
          <t>Nej</t>
        </is>
      </c>
      <c r="AK1809" t="inlineStr"/>
      <c r="AL1809" t="inlineStr"/>
      <c r="AM1809" t="inlineStr"/>
      <c r="AN1809" t="inlineStr"/>
      <c r="AO1809" t="inlineStr">
        <is>
          <t>cmm4yuny10162cuqwmghj3oaq</t>
        </is>
      </c>
      <c r="AP1809" t="inlineStr">
        <is>
          <t>http://localhost:8787/api/admin/requirements/documents/cmm4yuny10162cuqwmghj3oaq/view</t>
        </is>
      </c>
      <c r="AQ1809">
        <f>HYPERLÄNK("http://localhost:8787/api/admin/requirements/documents/cmm4yuny10162cuqwmghj3oaq/view";"Öppna PDF")</f>
        <v/>
      </c>
      <c r="AR1809">
        <f>HYPERLINK("http://localhost:8787/api/admin/requirements/documents/cmm4yuny10162cuqwmghj3oaq/view","Open PDF")</f>
        <v/>
      </c>
      <c r="AS1809" t="inlineStr">
        <is>
          <t>cmm55w57p0004cuisfrtpqly8</t>
        </is>
      </c>
      <c r="AT1809" t="inlineStr">
        <is>
          <t>cmm4xvu980000cuh4vj0usz09</t>
        </is>
      </c>
      <c r="AU1809" t="inlineStr">
        <is>
          <t>i Osby</t>
        </is>
      </c>
      <c r="AV1809" t="inlineStr">
        <is>
          <t>Kommun</t>
        </is>
      </c>
      <c r="AW1809" t="inlineStr">
        <is>
          <t>i Osby kommun</t>
        </is>
      </c>
      <c r="AX1809" t="inlineStr">
        <is>
          <t>0479-52</t>
        </is>
      </c>
      <c r="AY1809" t="inlineStr">
        <is>
          <t>Beslut</t>
        </is>
      </c>
      <c r="AZ1809" t="inlineStr">
        <is>
          <t>2026-02-03</t>
        </is>
      </c>
      <c r="BA1809" t="inlineStr">
        <is>
          <t>Ramen_4_beslut.pdf</t>
        </is>
      </c>
      <c r="BB1809" t="inlineStr">
        <is>
          <t>Sv: till registrator</t>
        </is>
      </c>
      <c r="BC1809" t="inlineStr">
        <is>
          <t>AUTO</t>
        </is>
      </c>
      <c r="BD1809" t="inlineStr"/>
      <c r="BE1809" t="inlineStr"/>
      <c r="BF1809" t="inlineStr">
        <is>
          <t>AUTO_GENERERAD. Bekrafta metadata mot kallfil.</t>
        </is>
      </c>
      <c r="BG1809">
        <f>HYPERLINK("C:\Users\jimmy\Desktop\Examens arbete\Kod\Ny mapp\remix_-copy-of-miljöbeslut.se-portal\Ramen_4_beslut.pdf", "Öppna PDF")</f>
        <v/>
      </c>
    </row>
    <row r="1810">
      <c r="A1810" t="inlineStr">
        <is>
          <t>KRAV-AUTO-001809</t>
        </is>
      </c>
      <c r="B1810" t="inlineStr">
        <is>
          <t>ADMIN-INDEX-2026-02-27-00000000125C043F57453246863FE664CAFE6A3F0700950291EA24F0614FB6ACEDB12BF0E31D00000000010C0000950291EA24F0614FB6ACEDB12BF0E31D00002087AF060000</t>
        </is>
      </c>
      <c r="C1810" t="inlineStr">
        <is>
          <t>cmm4yunxd015ecuqwctznxn62</t>
        </is>
      </c>
      <c r="D1810" t="inlineStr">
        <is>
          <t>http://localhost:8787/api/admin/requirements/documents/cmm4yunxd015ecuqwctznxn62/view</t>
        </is>
      </c>
      <c r="E1810">
        <f>HYPERLÄNK("http://localhost:8787/api/admin/requirements/documents/cmm4yunxd015ecuqwctznxn62/view";"Öppna PDF")</f>
        <v/>
      </c>
      <c r="F1810">
        <f>HYPERLINK("http://localhost:8787/api/admin/requirements/documents/cmm4yunxd015ecuqwctznxn62/view","Open PDF")</f>
        <v/>
      </c>
      <c r="G1810" t="inlineStr">
        <is>
          <t>cmm55w57p0004cuisfrtpqly8</t>
        </is>
      </c>
      <c r="H1810" t="inlineStr">
        <is>
          <t>Beslutsvillkor</t>
        </is>
      </c>
      <c r="I1810" t="inlineStr">
        <is>
          <t>Ytkonstruktion</t>
        </is>
      </c>
      <c r="J1810" t="inlineStr">
        <is>
          <t>Tat yta</t>
        </is>
      </c>
      <c r="K1810" t="inlineStr">
        <is>
          <t>Kemikaliespill ska förebyggas och det ska finnas tillräckligt med invallning vid förvaring av kemikalier samt ska det finnas tillräckligt med tillgång till absorbenter, exempelvis absorberingsmedel.</t>
        </is>
      </c>
      <c r="L1810" t="inlineStr">
        <is>
          <t>Kemikaliespill ska förebyggas och det ska finnas tillräckligt med invallning vid förvaring av kemikalier samt ska det finnas tillräckligt med tillgång till absorbenter, exempelvis absorberingsmedel.</t>
        </is>
      </c>
      <c r="M1810" t="inlineStr">
        <is>
          <t>SKA</t>
        </is>
      </c>
      <c r="N1810" t="inlineStr"/>
      <c r="O1810" t="inlineStr"/>
      <c r="P1810" t="inlineStr"/>
      <c r="Q1810" t="inlineStr"/>
      <c r="R1810" t="inlineStr">
        <is>
          <t>Vid mellanlagring av avfall</t>
        </is>
      </c>
      <c r="S1810" t="inlineStr"/>
      <c r="T1810" t="inlineStr">
        <is>
          <t>21 2025</t>
        </is>
      </c>
      <c r="U1810" t="inlineStr"/>
      <c r="V1810" t="inlineStr"/>
      <c r="W1810" t="inlineStr">
        <is>
          <t>Ja</t>
        </is>
      </c>
      <c r="X1810" t="inlineStr">
        <is>
          <t>Nej</t>
        </is>
      </c>
      <c r="Y1810" t="inlineStr">
        <is>
          <t>Nej</t>
        </is>
      </c>
      <c r="Z1810" t="inlineStr">
        <is>
          <t>Nej</t>
        </is>
      </c>
      <c r="AA1810" t="n">
        <v>5</v>
      </c>
      <c r="AB1810" t="inlineStr">
        <is>
          <t>Teknisk beskrivning av platta</t>
        </is>
      </c>
      <c r="AC1810" t="inlineStr">
        <is>
          <t>Teknisk ritning platta</t>
        </is>
      </c>
      <c r="AD1810" t="inlineStr">
        <is>
          <t>Nej</t>
        </is>
      </c>
      <c r="AE1810" t="inlineStr">
        <is>
          <t>Nej</t>
        </is>
      </c>
      <c r="AF1810" t="inlineStr">
        <is>
          <t>Ej behandlad</t>
        </is>
      </c>
      <c r="AG1810" t="inlineStr">
        <is>
          <t>AUTO_GENERERAD. Verifiera citat mot kallfil.</t>
        </is>
      </c>
      <c r="AH1810" t="inlineStr">
        <is>
          <t>MEDIUM</t>
        </is>
      </c>
      <c r="AI1810" t="inlineStr">
        <is>
          <t>AUTO</t>
        </is>
      </c>
      <c r="AJ1810" t="inlineStr">
        <is>
          <t>Nej</t>
        </is>
      </c>
      <c r="AK1810" t="inlineStr"/>
      <c r="AL1810" t="inlineStr"/>
      <c r="AM1810" t="inlineStr"/>
      <c r="AN1810" t="inlineStr"/>
      <c r="AO1810" t="inlineStr">
        <is>
          <t>cmm4yuny10162cuqwmghj3oaq</t>
        </is>
      </c>
      <c r="AP1810" t="inlineStr">
        <is>
          <t>http://localhost:8787/api/admin/requirements/documents/cmm4yuny10162cuqwmghj3oaq/view</t>
        </is>
      </c>
      <c r="AQ1810">
        <f>HYPERLÄNK("http://localhost:8787/api/admin/requirements/documents/cmm4yuny10162cuqwmghj3oaq/view";"Öppna PDF")</f>
        <v/>
      </c>
      <c r="AR1810">
        <f>HYPERLINK("http://localhost:8787/api/admin/requirements/documents/cmm4yuny10162cuqwmghj3oaq/view","Open PDF")</f>
        <v/>
      </c>
      <c r="AS1810" t="inlineStr">
        <is>
          <t>cmm55w57p0004cuisfrtpqly8</t>
        </is>
      </c>
      <c r="AT1810" t="inlineStr">
        <is>
          <t>cmm4xvu980000cuh4vj0usz09</t>
        </is>
      </c>
      <c r="AU1810" t="inlineStr">
        <is>
          <t>i Osby</t>
        </is>
      </c>
      <c r="AV1810" t="inlineStr">
        <is>
          <t>Kommun</t>
        </is>
      </c>
      <c r="AW1810" t="inlineStr">
        <is>
          <t>i Osby kommun</t>
        </is>
      </c>
      <c r="AX1810" t="inlineStr">
        <is>
          <t>0479-52</t>
        </is>
      </c>
      <c r="AY1810" t="inlineStr">
        <is>
          <t>Beslut</t>
        </is>
      </c>
      <c r="AZ1810" t="inlineStr">
        <is>
          <t>2026-02-03</t>
        </is>
      </c>
      <c r="BA1810" t="inlineStr">
        <is>
          <t>Ramen_4_beslut.pdf</t>
        </is>
      </c>
      <c r="BB1810" t="inlineStr">
        <is>
          <t>Sv: till registrator</t>
        </is>
      </c>
      <c r="BC1810" t="inlineStr">
        <is>
          <t>AUTO</t>
        </is>
      </c>
      <c r="BD1810" t="inlineStr"/>
      <c r="BE1810" t="inlineStr"/>
      <c r="BF1810" t="inlineStr">
        <is>
          <t>AUTO_GENERERAD. Bekrafta metadata mot kallfil.</t>
        </is>
      </c>
      <c r="BG1810">
        <f>HYPERLINK("C:\Users\jimmy\Desktop\Examens arbete\Kod\Ny mapp\remix_-copy-of-miljöbeslut.se-portal\Ramen_4_beslut.pdf", "Öppna PDF")</f>
        <v/>
      </c>
    </row>
    <row r="1811">
      <c r="A1811" t="inlineStr">
        <is>
          <t>KRAV-AUTO-001810</t>
        </is>
      </c>
      <c r="B1811" t="inlineStr">
        <is>
          <t>ADMIN-INDEX-2026-02-27-00000000125C043F57453246863FE664CAFE6A3F0700950291EA24F0614FB6ACEDB12BF0E31D00000000010C0000950291EA24F0614FB6ACEDB12BF0E31D00002087AF060000</t>
        </is>
      </c>
      <c r="C1811" t="inlineStr">
        <is>
          <t>cmm4yunxd015ecuqwctznxn62</t>
        </is>
      </c>
      <c r="D1811" t="inlineStr">
        <is>
          <t>http://localhost:8787/api/admin/requirements/documents/cmm4yunxd015ecuqwctznxn62/view</t>
        </is>
      </c>
      <c r="E1811">
        <f>HYPERLÄNK("http://localhost:8787/api/admin/requirements/documents/cmm4yunxd015ecuqwctznxn62/view";"Öppna PDF")</f>
        <v/>
      </c>
      <c r="F1811">
        <f>HYPERLINK("http://localhost:8787/api/admin/requirements/documents/cmm4yunxd015ecuqwctznxn62/view","Open PDF")</f>
        <v/>
      </c>
      <c r="G1811" t="inlineStr">
        <is>
          <t>cmm55w57p0004cuisfrtpqly8</t>
        </is>
      </c>
      <c r="H1811" t="inlineStr">
        <is>
          <t>Beslutsvillkor</t>
        </is>
      </c>
      <c r="I1811" t="inlineStr">
        <is>
          <t>Ytkonstruktion</t>
        </is>
      </c>
      <c r="J1811" t="inlineStr">
        <is>
          <t>Tat yta</t>
        </is>
      </c>
      <c r="K1811" t="inlineStr">
        <is>
          <t>Ytor som produkterna/avfallet förvaras på ska ha tätt underlag, antingen av tät betong eller asfalt anpassad för ändamålet eller liknande material.</t>
        </is>
      </c>
      <c r="L1811" t="inlineStr">
        <is>
          <t>Ytor som produkterna/avfallet förvaras på ska ha tätt underlag, antingen av tät betong eller asfalt anpassad för ändamålet eller liknande material.</t>
        </is>
      </c>
      <c r="M1811" t="inlineStr">
        <is>
          <t>SKA</t>
        </is>
      </c>
      <c r="N1811" t="inlineStr"/>
      <c r="O1811" t="inlineStr"/>
      <c r="P1811" t="inlineStr"/>
      <c r="Q1811" t="inlineStr"/>
      <c r="R1811" t="inlineStr">
        <is>
          <t>Vid mellanlagring av avfall</t>
        </is>
      </c>
      <c r="S1811" t="inlineStr"/>
      <c r="T1811" t="inlineStr">
        <is>
          <t>21 2025</t>
        </is>
      </c>
      <c r="U1811" t="inlineStr"/>
      <c r="V1811" t="inlineStr"/>
      <c r="W1811" t="inlineStr">
        <is>
          <t>Ja</t>
        </is>
      </c>
      <c r="X1811" t="inlineStr">
        <is>
          <t>Nej</t>
        </is>
      </c>
      <c r="Y1811" t="inlineStr">
        <is>
          <t>Nej</t>
        </is>
      </c>
      <c r="Z1811" t="inlineStr">
        <is>
          <t>Nej</t>
        </is>
      </c>
      <c r="AA1811" t="n">
        <v>5</v>
      </c>
      <c r="AB1811" t="inlineStr">
        <is>
          <t>Teknisk beskrivning av platta</t>
        </is>
      </c>
      <c r="AC1811" t="inlineStr">
        <is>
          <t>Teknisk ritning platta</t>
        </is>
      </c>
      <c r="AD1811" t="inlineStr">
        <is>
          <t>Nej</t>
        </is>
      </c>
      <c r="AE1811" t="inlineStr">
        <is>
          <t>Nej</t>
        </is>
      </c>
      <c r="AF1811" t="inlineStr">
        <is>
          <t>Ej behandlad</t>
        </is>
      </c>
      <c r="AG1811" t="inlineStr">
        <is>
          <t>AUTO_GENERERAD. Verifiera citat mot kallfil.</t>
        </is>
      </c>
      <c r="AH1811" t="inlineStr">
        <is>
          <t>MEDIUM</t>
        </is>
      </c>
      <c r="AI1811" t="inlineStr">
        <is>
          <t>AUTO</t>
        </is>
      </c>
      <c r="AJ1811" t="inlineStr">
        <is>
          <t>Nej</t>
        </is>
      </c>
      <c r="AK1811" t="inlineStr"/>
      <c r="AL1811" t="inlineStr"/>
      <c r="AM1811" t="inlineStr"/>
      <c r="AN1811" t="inlineStr"/>
      <c r="AO1811" t="inlineStr">
        <is>
          <t>cmm4yuny10162cuqwmghj3oaq</t>
        </is>
      </c>
      <c r="AP1811" t="inlineStr">
        <is>
          <t>http://localhost:8787/api/admin/requirements/documents/cmm4yuny10162cuqwmghj3oaq/view</t>
        </is>
      </c>
      <c r="AQ1811">
        <f>HYPERLÄNK("http://localhost:8787/api/admin/requirements/documents/cmm4yuny10162cuqwmghj3oaq/view";"Öppna PDF")</f>
        <v/>
      </c>
      <c r="AR1811">
        <f>HYPERLINK("http://localhost:8787/api/admin/requirements/documents/cmm4yuny10162cuqwmghj3oaq/view","Open PDF")</f>
        <v/>
      </c>
      <c r="AS1811" t="inlineStr">
        <is>
          <t>cmm55w57p0004cuisfrtpqly8</t>
        </is>
      </c>
      <c r="AT1811" t="inlineStr">
        <is>
          <t>cmm4xvu980000cuh4vj0usz09</t>
        </is>
      </c>
      <c r="AU1811" t="inlineStr">
        <is>
          <t>i Osby</t>
        </is>
      </c>
      <c r="AV1811" t="inlineStr">
        <is>
          <t>Kommun</t>
        </is>
      </c>
      <c r="AW1811" t="inlineStr">
        <is>
          <t>i Osby kommun</t>
        </is>
      </c>
      <c r="AX1811" t="inlineStr">
        <is>
          <t>0479-52</t>
        </is>
      </c>
      <c r="AY1811" t="inlineStr">
        <is>
          <t>Beslut</t>
        </is>
      </c>
      <c r="AZ1811" t="inlineStr">
        <is>
          <t>2026-02-03</t>
        </is>
      </c>
      <c r="BA1811" t="inlineStr">
        <is>
          <t>Ramen_4_beslut.pdf</t>
        </is>
      </c>
      <c r="BB1811" t="inlineStr">
        <is>
          <t>Sv: till registrator</t>
        </is>
      </c>
      <c r="BC1811" t="inlineStr">
        <is>
          <t>AUTO</t>
        </is>
      </c>
      <c r="BD1811" t="inlineStr"/>
      <c r="BE1811" t="inlineStr"/>
      <c r="BF1811" t="inlineStr">
        <is>
          <t>AUTO_GENERERAD. Bekrafta metadata mot kallfil.</t>
        </is>
      </c>
      <c r="BG1811">
        <f>HYPERLINK("C:\Users\jimmy\Desktop\Examens arbete\Kod\Ny mapp\remix_-copy-of-miljöbeslut.se-portal\Ramen_4_beslut.pdf", "Öppna PDF")</f>
        <v/>
      </c>
    </row>
    <row r="1812">
      <c r="A1812" t="inlineStr">
        <is>
          <t>KRAV-AUTO-001811</t>
        </is>
      </c>
      <c r="B1812" t="inlineStr">
        <is>
          <t>ADMIN-INDEX-2026-02-27-00000000125C043F57453246863FE664CAFE6A3F0700950291EA24F0614FB6ACEDB12BF0E31D00000000010C0000950291EA24F0614FB6ACEDB12BF0E31D00002087AF060000</t>
        </is>
      </c>
      <c r="C1812" t="inlineStr">
        <is>
          <t>cmm4yunxa015bcuqwn4yokmhr</t>
        </is>
      </c>
      <c r="D1812" t="inlineStr">
        <is>
          <t>http://localhost:8787/api/admin/requirements/documents/cmm4yunxa015bcuqwn4yokmhr/view</t>
        </is>
      </c>
      <c r="E1812">
        <f>HYPERLÄNK("http://localhost:8787/api/admin/requirements/documents/cmm4yunxa015bcuqwn4yokmhr/view";"Öppna PDF")</f>
        <v/>
      </c>
      <c r="F1812">
        <f>HYPERLINK("http://localhost:8787/api/admin/requirements/documents/cmm4yunxa015bcuqwn4yokmhr/view","Open PDF")</f>
        <v/>
      </c>
      <c r="G1812" t="inlineStr">
        <is>
          <t>cmm55w57p0004cuisfrtpqly8</t>
        </is>
      </c>
      <c r="H1812" t="inlineStr">
        <is>
          <t>Informationskrav</t>
        </is>
      </c>
      <c r="I1812" t="inlineStr">
        <is>
          <t>Riskhantering</t>
        </is>
      </c>
      <c r="J1812" t="inlineStr">
        <is>
          <t>Riskkontroll</t>
        </is>
      </c>
      <c r="K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812" t="inlineStr">
        <is>
          <t>BOR</t>
        </is>
      </c>
      <c r="N1812" t="inlineStr"/>
      <c r="O1812" t="inlineStr">
        <is>
          <t>2025-11-03</t>
        </is>
      </c>
      <c r="P1812" t="inlineStr">
        <is>
          <t>Arlig</t>
        </is>
      </c>
      <c r="Q1812" t="inlineStr"/>
      <c r="R1812" t="inlineStr">
        <is>
          <t>Vid risk for incident</t>
        </is>
      </c>
      <c r="S1812" t="inlineStr"/>
      <c r="T1812" t="inlineStr">
        <is>
          <t>15 01 11</t>
        </is>
      </c>
      <c r="U1812" t="inlineStr"/>
      <c r="V1812" t="inlineStr"/>
      <c r="W1812" t="inlineStr">
        <is>
          <t>Nej</t>
        </is>
      </c>
      <c r="X1812" t="inlineStr">
        <is>
          <t>Nej</t>
        </is>
      </c>
      <c r="Y1812" t="inlineStr">
        <is>
          <t>Ja</t>
        </is>
      </c>
      <c r="Z1812" t="inlineStr">
        <is>
          <t>Ja</t>
        </is>
      </c>
      <c r="AA1812" t="n">
        <v>8</v>
      </c>
      <c r="AB1812" t="inlineStr">
        <is>
          <t>Riskhantering</t>
        </is>
      </c>
      <c r="AC1812" t="inlineStr">
        <is>
          <t>Risk-PM</t>
        </is>
      </c>
      <c r="AD1812" t="inlineStr">
        <is>
          <t>Nej</t>
        </is>
      </c>
      <c r="AE1812" t="inlineStr">
        <is>
          <t>Nej</t>
        </is>
      </c>
      <c r="AF1812" t="inlineStr">
        <is>
          <t>Ej behandlad</t>
        </is>
      </c>
      <c r="AG1812" t="inlineStr">
        <is>
          <t>AUTO_GENERERAD. Verifiera citat mot kallfil.</t>
        </is>
      </c>
      <c r="AH1812" t="inlineStr">
        <is>
          <t>MEDIUM</t>
        </is>
      </c>
      <c r="AI1812" t="inlineStr">
        <is>
          <t>AUTO</t>
        </is>
      </c>
      <c r="AJ1812" t="inlineStr">
        <is>
          <t>Nej</t>
        </is>
      </c>
      <c r="AK1812" t="inlineStr"/>
      <c r="AL1812" t="inlineStr"/>
      <c r="AM1812" t="inlineStr"/>
      <c r="AN1812" t="inlineStr"/>
      <c r="AO1812" t="inlineStr">
        <is>
          <t>cmm4yuny10162cuqwmghj3oaq</t>
        </is>
      </c>
      <c r="AP1812" t="inlineStr">
        <is>
          <t>http://localhost:8787/api/admin/requirements/documents/cmm4yuny10162cuqwmghj3oaq/view</t>
        </is>
      </c>
      <c r="AQ1812">
        <f>HYPERLÄNK("http://localhost:8787/api/admin/requirements/documents/cmm4yuny10162cuqwmghj3oaq/view";"Öppna PDF")</f>
        <v/>
      </c>
      <c r="AR1812">
        <f>HYPERLINK("http://localhost:8787/api/admin/requirements/documents/cmm4yuny10162cuqwmghj3oaq/view","Open PDF")</f>
        <v/>
      </c>
      <c r="AS1812" t="inlineStr">
        <is>
          <t>cmm55w57p0004cuisfrtpqly8</t>
        </is>
      </c>
      <c r="AT1812" t="inlineStr">
        <is>
          <t>cmm4xvu980000cuh4vj0usz09</t>
        </is>
      </c>
      <c r="AU1812" t="inlineStr">
        <is>
          <t>i Osby</t>
        </is>
      </c>
      <c r="AV1812" t="inlineStr">
        <is>
          <t>Kommun</t>
        </is>
      </c>
      <c r="AW1812" t="inlineStr">
        <is>
          <t>i Osby kommun</t>
        </is>
      </c>
      <c r="AX1812" t="inlineStr">
        <is>
          <t>0479-52</t>
        </is>
      </c>
      <c r="AY1812" t="inlineStr">
        <is>
          <t>Beslut</t>
        </is>
      </c>
      <c r="AZ1812" t="inlineStr">
        <is>
          <t>2026-02-03</t>
        </is>
      </c>
      <c r="BA1812" t="inlineStr">
        <is>
          <t>Ramen_4_beslut.pdf</t>
        </is>
      </c>
      <c r="BB1812" t="inlineStr">
        <is>
          <t>Sv: till registrator</t>
        </is>
      </c>
      <c r="BC1812" t="inlineStr">
        <is>
          <t>AUTO</t>
        </is>
      </c>
      <c r="BD1812" t="inlineStr"/>
      <c r="BE1812" t="inlineStr"/>
      <c r="BF1812" t="inlineStr">
        <is>
          <t>AUTO_GENERERAD. Bekrafta metadata mot kallfil.</t>
        </is>
      </c>
      <c r="BG1812">
        <f>HYPERLINK("C:\Users\jimmy\Desktop\Examens arbete\Kod\Ny mapp\remix_-copy-of-miljöbeslut.se-portal\Ramen_4_beslut.pdf", "Öppna PDF")</f>
        <v/>
      </c>
    </row>
    <row r="1813">
      <c r="A1813" t="inlineStr">
        <is>
          <t>KRAV-AUTO-001812</t>
        </is>
      </c>
      <c r="B1813" t="inlineStr">
        <is>
          <t>ADMIN-INDEX-2026-02-27-00000000125C043F57453246863FE664CAFE6A3F0700950291EA24F0614FB6ACEDB12BF0E31D00000000010C0000950291EA24F0614FB6ACEDB12BF0E31D00002087AF060000</t>
        </is>
      </c>
      <c r="C1813" t="inlineStr">
        <is>
          <t>cmm4yunx80158cuqwhvf4esip</t>
        </is>
      </c>
      <c r="D1813" t="inlineStr">
        <is>
          <t>http://localhost:8787/api/admin/requirements/documents/cmm4yunx80158cuqwhvf4esip/view</t>
        </is>
      </c>
      <c r="E1813">
        <f>HYPERLÄNK("http://localhost:8787/api/admin/requirements/documents/cmm4yunx80158cuqwhvf4esip/view";"Öppna PDF")</f>
        <v/>
      </c>
      <c r="F1813">
        <f>HYPERLINK("http://localhost:8787/api/admin/requirements/documents/cmm4yunx80158cuqwhvf4esip/view","Open PDF")</f>
        <v/>
      </c>
      <c r="G1813" t="inlineStr">
        <is>
          <t>cmm55w57p0004cuisfrtpqly8</t>
        </is>
      </c>
      <c r="H1813" t="inlineStr">
        <is>
          <t>Informationskrav</t>
        </is>
      </c>
      <c r="I1813" t="inlineStr">
        <is>
          <t>Riskhantering</t>
        </is>
      </c>
      <c r="J1813" t="inlineStr">
        <is>
          <t>Riskkontroll</t>
        </is>
      </c>
      <c r="K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813" t="inlineStr">
        <is>
          <t>SKA</t>
        </is>
      </c>
      <c r="N1813" t="inlineStr"/>
      <c r="O1813" t="inlineStr"/>
      <c r="P1813" t="inlineStr">
        <is>
          <t>Arlig</t>
        </is>
      </c>
      <c r="Q1813" t="inlineStr"/>
      <c r="R1813" t="inlineStr">
        <is>
          <t>Vid risk for incident</t>
        </is>
      </c>
      <c r="S1813" t="inlineStr"/>
      <c r="T1813" t="inlineStr">
        <is>
          <t>556770</t>
        </is>
      </c>
      <c r="U1813" t="n">
        <v>30</v>
      </c>
      <c r="V1813" t="inlineStr"/>
      <c r="W1813" t="inlineStr">
        <is>
          <t>Nej</t>
        </is>
      </c>
      <c r="X1813" t="inlineStr">
        <is>
          <t>Nej</t>
        </is>
      </c>
      <c r="Y1813" t="inlineStr">
        <is>
          <t>Ja</t>
        </is>
      </c>
      <c r="Z1813" t="inlineStr">
        <is>
          <t>Ja</t>
        </is>
      </c>
      <c r="AA1813" t="n">
        <v>8</v>
      </c>
      <c r="AB1813" t="inlineStr">
        <is>
          <t>Riskhantering</t>
        </is>
      </c>
      <c r="AC1813" t="inlineStr">
        <is>
          <t>Risk-PM</t>
        </is>
      </c>
      <c r="AD1813" t="inlineStr">
        <is>
          <t>Nej</t>
        </is>
      </c>
      <c r="AE1813" t="inlineStr">
        <is>
          <t>Nej</t>
        </is>
      </c>
      <c r="AF1813" t="inlineStr">
        <is>
          <t>Ej behandlad</t>
        </is>
      </c>
      <c r="AG1813" t="inlineStr">
        <is>
          <t>AUTO_GENERERAD. Verifiera citat mot kallfil.</t>
        </is>
      </c>
      <c r="AH1813" t="inlineStr">
        <is>
          <t>MEDIUM</t>
        </is>
      </c>
      <c r="AI1813" t="inlineStr">
        <is>
          <t>AUTO</t>
        </is>
      </c>
      <c r="AJ1813" t="inlineStr">
        <is>
          <t>Nej</t>
        </is>
      </c>
      <c r="AK1813" t="inlineStr"/>
      <c r="AL1813" t="inlineStr"/>
      <c r="AM1813" t="inlineStr"/>
      <c r="AN1813" t="inlineStr"/>
      <c r="AO1813" t="inlineStr">
        <is>
          <t>cmm4yuny10162cuqwmghj3oaq</t>
        </is>
      </c>
      <c r="AP1813" t="inlineStr">
        <is>
          <t>http://localhost:8787/api/admin/requirements/documents/cmm4yuny10162cuqwmghj3oaq/view</t>
        </is>
      </c>
      <c r="AQ1813">
        <f>HYPERLÄNK("http://localhost:8787/api/admin/requirements/documents/cmm4yuny10162cuqwmghj3oaq/view";"Öppna PDF")</f>
        <v/>
      </c>
      <c r="AR1813">
        <f>HYPERLINK("http://localhost:8787/api/admin/requirements/documents/cmm4yuny10162cuqwmghj3oaq/view","Open PDF")</f>
        <v/>
      </c>
      <c r="AS1813" t="inlineStr">
        <is>
          <t>cmm55w57p0004cuisfrtpqly8</t>
        </is>
      </c>
      <c r="AT1813" t="inlineStr">
        <is>
          <t>cmm4xvu980000cuh4vj0usz09</t>
        </is>
      </c>
      <c r="AU1813" t="inlineStr">
        <is>
          <t>i Osby</t>
        </is>
      </c>
      <c r="AV1813" t="inlineStr">
        <is>
          <t>Kommun</t>
        </is>
      </c>
      <c r="AW1813" t="inlineStr">
        <is>
          <t>i Osby kommun</t>
        </is>
      </c>
      <c r="AX1813" t="inlineStr">
        <is>
          <t>0479-52</t>
        </is>
      </c>
      <c r="AY1813" t="inlineStr">
        <is>
          <t>Beslut</t>
        </is>
      </c>
      <c r="AZ1813" t="inlineStr">
        <is>
          <t>2026-02-03</t>
        </is>
      </c>
      <c r="BA1813" t="inlineStr">
        <is>
          <t>Ramen_4_beslut.pdf</t>
        </is>
      </c>
      <c r="BB1813" t="inlineStr">
        <is>
          <t>Sv: till registrator</t>
        </is>
      </c>
      <c r="BC1813" t="inlineStr">
        <is>
          <t>AUTO</t>
        </is>
      </c>
      <c r="BD1813" t="inlineStr"/>
      <c r="BE1813" t="inlineStr"/>
      <c r="BF1813" t="inlineStr">
        <is>
          <t>AUTO_GENERERAD. Bekrafta metadata mot kallfil.</t>
        </is>
      </c>
      <c r="BG1813">
        <f>HYPERLINK("C:\Users\jimmy\Desktop\Examens arbete\Kod\Ny mapp\remix_-copy-of-miljöbeslut.se-portal\Ramen_4_beslut.pdf", "Öppna PDF")</f>
        <v/>
      </c>
    </row>
    <row r="1814">
      <c r="A1814" t="inlineStr">
        <is>
          <t>KRAV-AUTO-001813</t>
        </is>
      </c>
      <c r="B1814" t="inlineStr">
        <is>
          <t>ADMIN-INDEX-2026-02-27-00000000125C043F57453246863FE664CAFE6A3F0700950291EA24F0614FB6ACEDB12BF0E31D00000000010C0000950291EA24F0614FB6ACEDB12BF0E31D00002087AF060000</t>
        </is>
      </c>
      <c r="C1814" t="inlineStr">
        <is>
          <t>cmm4yunx80158cuqwhvf4esip</t>
        </is>
      </c>
      <c r="D1814" t="inlineStr">
        <is>
          <t>http://localhost:8787/api/admin/requirements/documents/cmm4yunx80158cuqwhvf4esip/view</t>
        </is>
      </c>
      <c r="E1814">
        <f>HYPERLÄNK("http://localhost:8787/api/admin/requirements/documents/cmm4yunx80158cuqwhvf4esip/view";"Öppna PDF")</f>
        <v/>
      </c>
      <c r="F1814">
        <f>HYPERLINK("http://localhost:8787/api/admin/requirements/documents/cmm4yunx80158cuqwhvf4esip/view","Open PDF")</f>
        <v/>
      </c>
      <c r="G1814" t="inlineStr">
        <is>
          <t>cmm55w57p0004cuisfrtpqly8</t>
        </is>
      </c>
      <c r="H1814" t="inlineStr">
        <is>
          <t>Informationskrav</t>
        </is>
      </c>
      <c r="I1814" t="inlineStr">
        <is>
          <t>Ytkonstruktion</t>
        </is>
      </c>
      <c r="J1814" t="inlineStr">
        <is>
          <t>Tat yta</t>
        </is>
      </c>
      <c r="K1814" t="inlineStr">
        <is>
          <t>Alla flytande kemiska produkter kommer att förvaras invallat och väderskyddat.</t>
        </is>
      </c>
      <c r="L1814" t="inlineStr">
        <is>
          <t>Alla flytande kemiska produkter kommer att förvaras invallat och väderskyddat.</t>
        </is>
      </c>
      <c r="M1814" t="inlineStr">
        <is>
          <t>SKA</t>
        </is>
      </c>
      <c r="N1814" t="inlineStr"/>
      <c r="O1814" t="inlineStr"/>
      <c r="P1814" t="inlineStr"/>
      <c r="Q1814" t="inlineStr"/>
      <c r="R1814" t="inlineStr">
        <is>
          <t>Vid mellanlagring av avfall</t>
        </is>
      </c>
      <c r="S1814" t="inlineStr"/>
      <c r="T1814" t="inlineStr">
        <is>
          <t>556770</t>
        </is>
      </c>
      <c r="U1814" t="inlineStr"/>
      <c r="V1814" t="inlineStr"/>
      <c r="W1814" t="inlineStr">
        <is>
          <t>Ja</t>
        </is>
      </c>
      <c r="X1814" t="inlineStr">
        <is>
          <t>Nej</t>
        </is>
      </c>
      <c r="Y1814" t="inlineStr">
        <is>
          <t>Nej</t>
        </is>
      </c>
      <c r="Z1814" t="inlineStr">
        <is>
          <t>Nej</t>
        </is>
      </c>
      <c r="AA1814" t="n">
        <v>5</v>
      </c>
      <c r="AB1814" t="inlineStr">
        <is>
          <t>Teknisk beskrivning av platta</t>
        </is>
      </c>
      <c r="AC1814" t="inlineStr">
        <is>
          <t>Teknisk ritning platta</t>
        </is>
      </c>
      <c r="AD1814" t="inlineStr">
        <is>
          <t>Nej</t>
        </is>
      </c>
      <c r="AE1814" t="inlineStr">
        <is>
          <t>Nej</t>
        </is>
      </c>
      <c r="AF1814" t="inlineStr">
        <is>
          <t>Ej behandlad</t>
        </is>
      </c>
      <c r="AG1814" t="inlineStr">
        <is>
          <t>AUTO_GENERERAD. Verifiera citat mot kallfil.</t>
        </is>
      </c>
      <c r="AH1814" t="inlineStr">
        <is>
          <t>MEDIUM</t>
        </is>
      </c>
      <c r="AI1814" t="inlineStr">
        <is>
          <t>AUTO</t>
        </is>
      </c>
      <c r="AJ1814" t="inlineStr">
        <is>
          <t>Nej</t>
        </is>
      </c>
      <c r="AK1814" t="inlineStr"/>
      <c r="AL1814" t="inlineStr"/>
      <c r="AM1814" t="inlineStr"/>
      <c r="AN1814" t="inlineStr"/>
      <c r="AO1814" t="inlineStr">
        <is>
          <t>cmm4yuny10162cuqwmghj3oaq</t>
        </is>
      </c>
      <c r="AP1814" t="inlineStr">
        <is>
          <t>http://localhost:8787/api/admin/requirements/documents/cmm4yuny10162cuqwmghj3oaq/view</t>
        </is>
      </c>
      <c r="AQ1814">
        <f>HYPERLÄNK("http://localhost:8787/api/admin/requirements/documents/cmm4yuny10162cuqwmghj3oaq/view";"Öppna PDF")</f>
        <v/>
      </c>
      <c r="AR1814">
        <f>HYPERLINK("http://localhost:8787/api/admin/requirements/documents/cmm4yuny10162cuqwmghj3oaq/view","Open PDF")</f>
        <v/>
      </c>
      <c r="AS1814" t="inlineStr">
        <is>
          <t>cmm55w57p0004cuisfrtpqly8</t>
        </is>
      </c>
      <c r="AT1814" t="inlineStr">
        <is>
          <t>cmm4xvu980000cuh4vj0usz09</t>
        </is>
      </c>
      <c r="AU1814" t="inlineStr">
        <is>
          <t>i Osby</t>
        </is>
      </c>
      <c r="AV1814" t="inlineStr">
        <is>
          <t>Kommun</t>
        </is>
      </c>
      <c r="AW1814" t="inlineStr">
        <is>
          <t>i Osby kommun</t>
        </is>
      </c>
      <c r="AX1814" t="inlineStr">
        <is>
          <t>0479-52</t>
        </is>
      </c>
      <c r="AY1814" t="inlineStr">
        <is>
          <t>Beslut</t>
        </is>
      </c>
      <c r="AZ1814" t="inlineStr">
        <is>
          <t>2026-02-03</t>
        </is>
      </c>
      <c r="BA1814" t="inlineStr">
        <is>
          <t>Ramen_4_beslut.pdf</t>
        </is>
      </c>
      <c r="BB1814" t="inlineStr">
        <is>
          <t>Sv: till registrator</t>
        </is>
      </c>
      <c r="BC1814" t="inlineStr">
        <is>
          <t>AUTO</t>
        </is>
      </c>
      <c r="BD1814" t="inlineStr"/>
      <c r="BE1814" t="inlineStr"/>
      <c r="BF1814" t="inlineStr">
        <is>
          <t>AUTO_GENERERAD. Bekrafta metadata mot kallfil.</t>
        </is>
      </c>
      <c r="BG1814">
        <f>HYPERLINK("C:\Users\jimmy\Desktop\Examens arbete\Kod\Ny mapp\remix_-copy-of-miljöbeslut.se-portal\Ramen_4_beslut.pdf", "Öppna PDF")</f>
        <v/>
      </c>
    </row>
    <row r="1815">
      <c r="A1815" t="inlineStr">
        <is>
          <t>KRAV-AUTO-001814</t>
        </is>
      </c>
      <c r="B1815" t="inlineStr">
        <is>
          <t>ADMIN-INDEX-2026-02-27-00000000125C043F57453246863FE664CAFE6A3F0700950291EA24F0614FB6ACEDB12BF0E31D00000000010C0000950291EA24F0614FB6ACEDB12BF0E31D00002087AF060000</t>
        </is>
      </c>
      <c r="C1815" t="inlineStr">
        <is>
          <t>cmm4yunx80158cuqwhvf4esip</t>
        </is>
      </c>
      <c r="D1815" t="inlineStr">
        <is>
          <t>http://localhost:8787/api/admin/requirements/documents/cmm4yunx80158cuqwhvf4esip/view</t>
        </is>
      </c>
      <c r="E1815">
        <f>HYPERLÄNK("http://localhost:8787/api/admin/requirements/documents/cmm4yunx80158cuqwhvf4esip/view";"Öppna PDF")</f>
        <v/>
      </c>
      <c r="F1815">
        <f>HYPERLINK("http://localhost:8787/api/admin/requirements/documents/cmm4yunx80158cuqwhvf4esip/view","Open PDF")</f>
        <v/>
      </c>
      <c r="G1815" t="inlineStr">
        <is>
          <t>cmm55w57p0004cuisfrtpqly8</t>
        </is>
      </c>
      <c r="H1815" t="inlineStr">
        <is>
          <t>Informationskrav</t>
        </is>
      </c>
      <c r="I1815" t="inlineStr">
        <is>
          <t>DagvattenLakvatten</t>
        </is>
      </c>
      <c r="J1815" t="inlineStr">
        <is>
          <t>Uppsamling</t>
        </is>
      </c>
      <c r="K1815" t="inlineStr">
        <is>
          <t>En stor del av vattnet kommer att dunsta bort men överflödigt vatten kommer att samlas i en golvbrunn och ledas till dagvattendammen.</t>
        </is>
      </c>
      <c r="L1815" t="inlineStr">
        <is>
          <t>En stor del av vattnet kommer att dunsta bort men överflödigt vatten kommer att samlas i en golvbrunn och ledas till dagvattendammen.</t>
        </is>
      </c>
      <c r="M1815" t="inlineStr">
        <is>
          <t>BOR</t>
        </is>
      </c>
      <c r="N1815" t="inlineStr"/>
      <c r="O1815" t="inlineStr"/>
      <c r="P1815" t="inlineStr"/>
      <c r="Q1815" t="inlineStr"/>
      <c r="R1815" t="inlineStr">
        <is>
          <t>Vid nederbord och avrinning</t>
        </is>
      </c>
      <c r="S1815" t="inlineStr"/>
      <c r="T1815" t="inlineStr">
        <is>
          <t>556770</t>
        </is>
      </c>
      <c r="U1815" t="inlineStr"/>
      <c r="V1815" t="inlineStr"/>
      <c r="W1815" t="inlineStr">
        <is>
          <t>Nej</t>
        </is>
      </c>
      <c r="X1815" t="inlineStr">
        <is>
          <t>Ja</t>
        </is>
      </c>
      <c r="Y1815" t="inlineStr">
        <is>
          <t>Ja</t>
        </is>
      </c>
      <c r="Z1815" t="inlineStr">
        <is>
          <t>Nej</t>
        </is>
      </c>
      <c r="AA1815" t="n">
        <v>6</v>
      </c>
      <c r="AB1815" t="inlineStr">
        <is>
          <t>Lakvattenhantering</t>
        </is>
      </c>
      <c r="AC1815" t="inlineStr">
        <is>
          <t>Flodesschema dagvatten-lakvatten</t>
        </is>
      </c>
      <c r="AD1815" t="inlineStr">
        <is>
          <t>Nej</t>
        </is>
      </c>
      <c r="AE1815" t="inlineStr">
        <is>
          <t>Nej</t>
        </is>
      </c>
      <c r="AF1815" t="inlineStr">
        <is>
          <t>Ej behandlad</t>
        </is>
      </c>
      <c r="AG1815" t="inlineStr">
        <is>
          <t>AUTO_GENERERAD. Verifiera citat mot kallfil.</t>
        </is>
      </c>
      <c r="AH1815" t="inlineStr">
        <is>
          <t>MEDIUM</t>
        </is>
      </c>
      <c r="AI1815" t="inlineStr">
        <is>
          <t>AUTO</t>
        </is>
      </c>
      <c r="AJ1815" t="inlineStr">
        <is>
          <t>Nej</t>
        </is>
      </c>
      <c r="AK1815" t="inlineStr"/>
      <c r="AL1815" t="inlineStr"/>
      <c r="AM1815" t="inlineStr"/>
      <c r="AN1815" t="inlineStr"/>
      <c r="AO1815" t="inlineStr">
        <is>
          <t>cmm4yuny10162cuqwmghj3oaq</t>
        </is>
      </c>
      <c r="AP1815" t="inlineStr">
        <is>
          <t>http://localhost:8787/api/admin/requirements/documents/cmm4yuny10162cuqwmghj3oaq/view</t>
        </is>
      </c>
      <c r="AQ1815">
        <f>HYPERLÄNK("http://localhost:8787/api/admin/requirements/documents/cmm4yuny10162cuqwmghj3oaq/view";"Öppna PDF")</f>
        <v/>
      </c>
      <c r="AR1815">
        <f>HYPERLINK("http://localhost:8787/api/admin/requirements/documents/cmm4yuny10162cuqwmghj3oaq/view","Open PDF")</f>
        <v/>
      </c>
      <c r="AS1815" t="inlineStr">
        <is>
          <t>cmm55w57p0004cuisfrtpqly8</t>
        </is>
      </c>
      <c r="AT1815" t="inlineStr">
        <is>
          <t>cmm4xvu980000cuh4vj0usz09</t>
        </is>
      </c>
      <c r="AU1815" t="inlineStr">
        <is>
          <t>i Osby</t>
        </is>
      </c>
      <c r="AV1815" t="inlineStr">
        <is>
          <t>Kommun</t>
        </is>
      </c>
      <c r="AW1815" t="inlineStr">
        <is>
          <t>i Osby kommun</t>
        </is>
      </c>
      <c r="AX1815" t="inlineStr">
        <is>
          <t>0479-52</t>
        </is>
      </c>
      <c r="AY1815" t="inlineStr">
        <is>
          <t>Beslut</t>
        </is>
      </c>
      <c r="AZ1815" t="inlineStr">
        <is>
          <t>2026-02-03</t>
        </is>
      </c>
      <c r="BA1815" t="inlineStr">
        <is>
          <t>Ramen_4_beslut.pdf</t>
        </is>
      </c>
      <c r="BB1815" t="inlineStr">
        <is>
          <t>Sv: till registrator</t>
        </is>
      </c>
      <c r="BC1815" t="inlineStr">
        <is>
          <t>AUTO</t>
        </is>
      </c>
      <c r="BD1815" t="inlineStr"/>
      <c r="BE1815" t="inlineStr"/>
      <c r="BF1815" t="inlineStr">
        <is>
          <t>AUTO_GENERERAD. Bekrafta metadata mot kallfil.</t>
        </is>
      </c>
      <c r="BG1815">
        <f>HYPERLINK("C:\Users\jimmy\Desktop\Examens arbete\Kod\Ny mapp\remix_-copy-of-miljöbeslut.se-portal\Ramen_4_beslut.pdf", "Öppna PDF")</f>
        <v/>
      </c>
    </row>
    <row r="1816">
      <c r="A1816" t="inlineStr">
        <is>
          <t>KRAV-AUTO-001815</t>
        </is>
      </c>
      <c r="B1816" t="inlineStr">
        <is>
          <t>ADMIN-INDEX-2026-02-27-00000000125C043F57453246863FE664CAFE6A3F0700950291EA24F0614FB6ACEDB12BF0E31D00000000010C0000950291EA24F0614FB6ACEDB12BF0E31D00002087AF070000</t>
        </is>
      </c>
      <c r="C1816" t="inlineStr">
        <is>
          <t>cmm4yunww014wcuqwr4qcrzmq</t>
        </is>
      </c>
      <c r="D1816" t="inlineStr">
        <is>
          <t>http://localhost:8787/api/admin/requirements/documents/cmm4yunww014wcuqwr4qcrzmq/view</t>
        </is>
      </c>
      <c r="E1816">
        <f>HYPERLÄNK("http://localhost:8787/api/admin/requirements/documents/cmm4yunww014wcuqwr4qcrzmq/view";"Öppna PDF")</f>
        <v/>
      </c>
      <c r="F1816">
        <f>HYPERLINK("http://localhost:8787/api/admin/requirements/documents/cmm4yunww014wcuqwr4qcrzmq/view","Open PDF")</f>
        <v/>
      </c>
      <c r="G1816" t="inlineStr">
        <is>
          <t>cmm55w57p0004cuisfrtpqly8</t>
        </is>
      </c>
      <c r="H1816" t="inlineStr">
        <is>
          <t>Informationskrav</t>
        </is>
      </c>
      <c r="I1816" t="inlineStr">
        <is>
          <t>Ytkonstruktion</t>
        </is>
      </c>
      <c r="J1816" t="inlineStr">
        <is>
          <t>Tat yta</t>
        </is>
      </c>
      <c r="K1816" t="inlineStr">
        <is>
          <t>Flytande farligt avfall ska förvaras invallat och nederbördsskyddat.</t>
        </is>
      </c>
      <c r="L1816" t="inlineStr">
        <is>
          <t>Flytande farligt avfall ska förvaras invallat och nederbördsskyddat.</t>
        </is>
      </c>
      <c r="M1816" t="inlineStr">
        <is>
          <t>SKA</t>
        </is>
      </c>
      <c r="N1816" t="inlineStr"/>
      <c r="O1816" t="inlineStr"/>
      <c r="P1816" t="inlineStr">
        <is>
          <t>Arlig</t>
        </is>
      </c>
      <c r="Q1816" t="inlineStr"/>
      <c r="R1816" t="inlineStr">
        <is>
          <t>Vid mellanlagring av avfall</t>
        </is>
      </c>
      <c r="S1816" t="inlineStr"/>
      <c r="T1816" t="inlineStr">
        <is>
          <t>32 12 89</t>
        </is>
      </c>
      <c r="U1816" t="inlineStr"/>
      <c r="V1816" t="inlineStr"/>
      <c r="W1816" t="inlineStr">
        <is>
          <t>Ja</t>
        </is>
      </c>
      <c r="X1816" t="inlineStr">
        <is>
          <t>Nej</t>
        </is>
      </c>
      <c r="Y1816" t="inlineStr">
        <is>
          <t>Nej</t>
        </is>
      </c>
      <c r="Z1816" t="inlineStr">
        <is>
          <t>Nej</t>
        </is>
      </c>
      <c r="AA1816" t="n">
        <v>5</v>
      </c>
      <c r="AB1816" t="inlineStr">
        <is>
          <t>Teknisk beskrivning av platta</t>
        </is>
      </c>
      <c r="AC1816" t="inlineStr">
        <is>
          <t>Teknisk ritning platta</t>
        </is>
      </c>
      <c r="AD1816" t="inlineStr">
        <is>
          <t>Nej</t>
        </is>
      </c>
      <c r="AE1816" t="inlineStr">
        <is>
          <t>Nej</t>
        </is>
      </c>
      <c r="AF1816" t="inlineStr">
        <is>
          <t>Ej behandlad</t>
        </is>
      </c>
      <c r="AG1816" t="inlineStr">
        <is>
          <t>AUTO_GENERERAD. Verifiera citat mot kallfil.</t>
        </is>
      </c>
      <c r="AH1816" t="inlineStr">
        <is>
          <t>MEDIUM</t>
        </is>
      </c>
      <c r="AI1816" t="inlineStr">
        <is>
          <t>AUTO</t>
        </is>
      </c>
      <c r="AJ1816" t="inlineStr">
        <is>
          <t>Nej</t>
        </is>
      </c>
      <c r="AK1816" t="inlineStr"/>
      <c r="AL1816" t="inlineStr"/>
      <c r="AM1816" t="inlineStr"/>
      <c r="AN1816" t="inlineStr"/>
      <c r="AO1816" t="inlineStr">
        <is>
          <t>cmm4yunww014wcuqwr4qcrzmq</t>
        </is>
      </c>
      <c r="AP1816" t="inlineStr">
        <is>
          <t>http://localhost:8787/api/admin/requirements/documents/cmm4yunww014wcuqwr4qcrzmq/view</t>
        </is>
      </c>
      <c r="AQ1816">
        <f>HYPERLÄNK("http://localhost:8787/api/admin/requirements/documents/cmm4yunww014wcuqwr4qcrzmq/view";"Öppna PDF")</f>
        <v/>
      </c>
      <c r="AR1816">
        <f>HYPERLINK("http://localhost:8787/api/admin/requirements/documents/cmm4yunww014wcuqwr4qcrzmq/view","Open PDF")</f>
        <v/>
      </c>
      <c r="AS1816" t="inlineStr">
        <is>
          <t>cmm55w57p0004cuisfrtpqly8</t>
        </is>
      </c>
      <c r="AT1816" t="inlineStr">
        <is>
          <t>cmm4xvu980000cuh4vj0usz09</t>
        </is>
      </c>
      <c r="AU1816" t="inlineStr">
        <is>
          <t>i Karlskrona</t>
        </is>
      </c>
      <c r="AV1816" t="inlineStr">
        <is>
          <t>Kommun</t>
        </is>
      </c>
      <c r="AW1816" t="inlineStr">
        <is>
          <t>i Karlskrona kommun</t>
        </is>
      </c>
      <c r="AX1816" t="inlineStr">
        <is>
          <t>0455-32</t>
        </is>
      </c>
      <c r="AY1816" t="inlineStr">
        <is>
          <t>Anmalan</t>
        </is>
      </c>
      <c r="AZ1816" t="inlineStr">
        <is>
          <t>2026-02-03</t>
        </is>
      </c>
      <c r="BA1816" t="inlineStr">
        <is>
          <t>MSN-2024-1016_2024-03-06_MSN-2022-4871_2023-02-16_Beslut_(2).pdf</t>
        </is>
      </c>
      <c r="BB1816" t="inlineStr">
        <is>
          <t>Handlingar rörande anmälningspliktiga verksamheter (C verksamheter)</t>
        </is>
      </c>
      <c r="BC1816" t="inlineStr">
        <is>
          <t>AUTO</t>
        </is>
      </c>
      <c r="BD1816" t="inlineStr"/>
      <c r="BE1816" t="inlineStr"/>
      <c r="BF1816" t="inlineStr">
        <is>
          <t>AUTO_GENERERAD. Bekrafta metadata mot kallfil.</t>
        </is>
      </c>
      <c r="BG1816">
        <f>HYPERLINK("C:\Users\jimmy\Desktop\Examens arbete\Kod\Ny mapp\remix_-copy-of-miljöbeslut.se-portal\MSN-2024-1016_2024-03-06_MSN-2022-4871_2023-02-16_Beslut_(2).pdf", "Öppna PDF")</f>
        <v/>
      </c>
    </row>
    <row r="1817">
      <c r="A1817" t="inlineStr">
        <is>
          <t>KRAV-AUTO-001816</t>
        </is>
      </c>
      <c r="B1817" t="inlineStr">
        <is>
          <t>ADMIN-INDEX-2026-02-27-00000000125C043F57453246863FE664CAFE6A3F0700950291EA24F0614FB6ACEDB12BF0E31D00000000010C0000950291EA24F0614FB6ACEDB12BF0E31D00002087AF070000</t>
        </is>
      </c>
      <c r="C1817" t="inlineStr">
        <is>
          <t>cmm4yunww014wcuqwr4qcrzmq</t>
        </is>
      </c>
      <c r="D1817" t="inlineStr">
        <is>
          <t>http://localhost:8787/api/admin/requirements/documents/cmm4yunww014wcuqwr4qcrzmq/view</t>
        </is>
      </c>
      <c r="E1817">
        <f>HYPERLÄNK("http://localhost:8787/api/admin/requirements/documents/cmm4yunww014wcuqwr4qcrzmq/view";"Öppna PDF")</f>
        <v/>
      </c>
      <c r="F1817">
        <f>HYPERLINK("http://localhost:8787/api/admin/requirements/documents/cmm4yunww014wcuqwr4qcrzmq/view","Open PDF")</f>
        <v/>
      </c>
      <c r="G1817" t="inlineStr">
        <is>
          <t>cmm55w57p0004cuisfrtpqly8</t>
        </is>
      </c>
      <c r="H1817" t="inlineStr">
        <is>
          <t>Informationskrav</t>
        </is>
      </c>
      <c r="I1817" t="inlineStr">
        <is>
          <t>DagvattenLakvatten</t>
        </is>
      </c>
      <c r="J1817" t="inlineStr">
        <is>
          <t>Uppsamling</t>
        </is>
      </c>
      <c r="K1817" t="inlineStr">
        <is>
          <t>Kommunen förelägger SkrotSmart AB att inkomma med en provtagningsplan som beskriver provtagning på utgående dagvatten och analys av dagvattnets innehåll av metaller inom 6 månader efter att verksamheten har tagits i drift.</t>
        </is>
      </c>
      <c r="L1817" t="inlineStr">
        <is>
          <t>Kommunen förelägger SkrotSmart AB att inkomma med en provtagningsplan som beskriver provtagning på utgående dagvatten och analys av dagvattnets innehåll av metaller inom 6 månader efter att verksamheten har tagits i drift.</t>
        </is>
      </c>
      <c r="M1817" t="inlineStr">
        <is>
          <t>INFO</t>
        </is>
      </c>
      <c r="N1817" t="inlineStr"/>
      <c r="O1817" t="inlineStr">
        <is>
          <t>inom 6 manader</t>
        </is>
      </c>
      <c r="P1817" t="inlineStr">
        <is>
          <t>Manadskontroll</t>
        </is>
      </c>
      <c r="Q1817" t="inlineStr">
        <is>
          <t>Forelaggande vid brist</t>
        </is>
      </c>
      <c r="R1817" t="inlineStr">
        <is>
          <t>Vid nederbord och avrinning</t>
        </is>
      </c>
      <c r="S1817" t="inlineStr"/>
      <c r="T1817" t="inlineStr">
        <is>
          <t>32 12 89</t>
        </is>
      </c>
      <c r="U1817" t="inlineStr"/>
      <c r="V1817" t="inlineStr">
        <is>
          <t>6 manader</t>
        </is>
      </c>
      <c r="W1817" t="inlineStr">
        <is>
          <t>Nej</t>
        </is>
      </c>
      <c r="X1817" t="inlineStr">
        <is>
          <t>Ja</t>
        </is>
      </c>
      <c r="Y1817" t="inlineStr">
        <is>
          <t>Ja</t>
        </is>
      </c>
      <c r="Z1817" t="inlineStr">
        <is>
          <t>Nej</t>
        </is>
      </c>
      <c r="AA1817" t="n">
        <v>6</v>
      </c>
      <c r="AB1817" t="inlineStr">
        <is>
          <t>Lakvattenhantering</t>
        </is>
      </c>
      <c r="AC1817" t="inlineStr">
        <is>
          <t>Flodesschema dagvatten-lakvatten</t>
        </is>
      </c>
      <c r="AD1817" t="inlineStr">
        <is>
          <t>Nej</t>
        </is>
      </c>
      <c r="AE1817" t="inlineStr">
        <is>
          <t>Nej</t>
        </is>
      </c>
      <c r="AF1817" t="inlineStr">
        <is>
          <t>Ej behandlad</t>
        </is>
      </c>
      <c r="AG1817" t="inlineStr">
        <is>
          <t>AUTO_GENERERAD. Verifiera citat mot kallfil.</t>
        </is>
      </c>
      <c r="AH1817" t="inlineStr">
        <is>
          <t>MEDIUM</t>
        </is>
      </c>
      <c r="AI1817" t="inlineStr">
        <is>
          <t>AUTO</t>
        </is>
      </c>
      <c r="AJ1817" t="inlineStr">
        <is>
          <t>Nej</t>
        </is>
      </c>
      <c r="AK1817" t="inlineStr"/>
      <c r="AL1817" t="inlineStr"/>
      <c r="AM1817" t="inlineStr"/>
      <c r="AN1817" t="inlineStr"/>
      <c r="AO1817" t="inlineStr">
        <is>
          <t>cmm4yunww014wcuqwr4qcrzmq</t>
        </is>
      </c>
      <c r="AP1817" t="inlineStr">
        <is>
          <t>http://localhost:8787/api/admin/requirements/documents/cmm4yunww014wcuqwr4qcrzmq/view</t>
        </is>
      </c>
      <c r="AQ1817">
        <f>HYPERLÄNK("http://localhost:8787/api/admin/requirements/documents/cmm4yunww014wcuqwr4qcrzmq/view";"Öppna PDF")</f>
        <v/>
      </c>
      <c r="AR1817">
        <f>HYPERLINK("http://localhost:8787/api/admin/requirements/documents/cmm4yunww014wcuqwr4qcrzmq/view","Open PDF")</f>
        <v/>
      </c>
      <c r="AS1817" t="inlineStr">
        <is>
          <t>cmm55w57p0004cuisfrtpqly8</t>
        </is>
      </c>
      <c r="AT1817" t="inlineStr">
        <is>
          <t>cmm4xvu980000cuh4vj0usz09</t>
        </is>
      </c>
      <c r="AU1817" t="inlineStr">
        <is>
          <t>i Karlskrona</t>
        </is>
      </c>
      <c r="AV1817" t="inlineStr">
        <is>
          <t>Kommun</t>
        </is>
      </c>
      <c r="AW1817" t="inlineStr">
        <is>
          <t>i Karlskrona kommun</t>
        </is>
      </c>
      <c r="AX1817" t="inlineStr">
        <is>
          <t>0455-32</t>
        </is>
      </c>
      <c r="AY1817" t="inlineStr">
        <is>
          <t>Anmalan</t>
        </is>
      </c>
      <c r="AZ1817" t="inlineStr">
        <is>
          <t>2026-02-03</t>
        </is>
      </c>
      <c r="BA1817" t="inlineStr">
        <is>
          <t>MSN-2024-1016_2024-03-06_MSN-2022-4871_2023-02-16_Beslut_(2).pdf</t>
        </is>
      </c>
      <c r="BB1817" t="inlineStr">
        <is>
          <t>Handlingar rörande anmälningspliktiga verksamheter (C verksamheter)</t>
        </is>
      </c>
      <c r="BC1817" t="inlineStr">
        <is>
          <t>AUTO</t>
        </is>
      </c>
      <c r="BD1817" t="inlineStr"/>
      <c r="BE1817" t="inlineStr"/>
      <c r="BF1817" t="inlineStr">
        <is>
          <t>AUTO_GENERERAD. Bekrafta metadata mot kallfil.</t>
        </is>
      </c>
      <c r="BG1817">
        <f>HYPERLINK("C:\Users\jimmy\Desktop\Examens arbete\Kod\Ny mapp\remix_-copy-of-miljöbeslut.se-portal\MSN-2024-1016_2024-03-06_MSN-2022-4871_2023-02-16_Beslut_(2).pdf", "Öppna PDF")</f>
        <v/>
      </c>
    </row>
    <row r="1818">
      <c r="A1818" t="inlineStr">
        <is>
          <t>KRAV-AUTO-001817</t>
        </is>
      </c>
      <c r="B1818" t="inlineStr">
        <is>
          <t>ADMIN-INDEX-2026-02-27-00000000125C043F57453246863FE664CAFE6A3F0700950291EA24F0614FB6ACEDB12BF0E31D00000000010C0000950291EA24F0614FB6ACEDB12BF0E31D00002087AF070000</t>
        </is>
      </c>
      <c r="C1818" t="inlineStr">
        <is>
          <t>cmm4yunww014wcuqwr4qcrzmq</t>
        </is>
      </c>
      <c r="D1818" t="inlineStr">
        <is>
          <t>http://localhost:8787/api/admin/requirements/documents/cmm4yunww014wcuqwr4qcrzmq/view</t>
        </is>
      </c>
      <c r="E1818">
        <f>HYPERLÄNK("http://localhost:8787/api/admin/requirements/documents/cmm4yunww014wcuqwr4qcrzmq/view";"Öppna PDF")</f>
        <v/>
      </c>
      <c r="F1818">
        <f>HYPERLINK("http://localhost:8787/api/admin/requirements/documents/cmm4yunww014wcuqwr4qcrzmq/view","Open PDF")</f>
        <v/>
      </c>
      <c r="G1818" t="inlineStr">
        <is>
          <t>cmm55w57p0004cuisfrtpqly8</t>
        </is>
      </c>
      <c r="H1818" t="inlineStr">
        <is>
          <t>Informationskrav</t>
        </is>
      </c>
      <c r="I1818" t="inlineStr">
        <is>
          <t>DagvattenLakvatten</t>
        </is>
      </c>
      <c r="J1818" t="inlineStr">
        <is>
          <t>Uppsamling</t>
        </is>
      </c>
      <c r="K1818" t="inlineStr">
        <is>
          <t>Inom 6 månader efter verksamheten har satt igång ska verksamhetsutövaren inkomma till tillsynsmyndigheten med en provtagningsplan som beskriver provtagning och analys av dagvattnets innehåll av metaller på utgående dagvatten.</t>
        </is>
      </c>
      <c r="L1818" t="inlineStr">
        <is>
          <t>Inom 6 månader efter verksamheten har satt igång ska verksamhetsutövaren inkomma till tillsynsmyndigheten med en provtagningsplan som beskriver provtagning och analys av dagvattnets innehåll av metaller på utgående dagvatten.</t>
        </is>
      </c>
      <c r="M1818" t="inlineStr">
        <is>
          <t>SKA</t>
        </is>
      </c>
      <c r="N1818" t="inlineStr"/>
      <c r="O1818" t="inlineStr">
        <is>
          <t>inom 6 manader</t>
        </is>
      </c>
      <c r="P1818" t="inlineStr">
        <is>
          <t>Manadskontroll</t>
        </is>
      </c>
      <c r="Q1818" t="inlineStr"/>
      <c r="R1818" t="inlineStr">
        <is>
          <t>Vid nederbord och avrinning</t>
        </is>
      </c>
      <c r="S1818" t="inlineStr"/>
      <c r="T1818" t="inlineStr">
        <is>
          <t>32 12 89</t>
        </is>
      </c>
      <c r="U1818" t="inlineStr"/>
      <c r="V1818" t="inlineStr">
        <is>
          <t>6 manader</t>
        </is>
      </c>
      <c r="W1818" t="inlineStr">
        <is>
          <t>Nej</t>
        </is>
      </c>
      <c r="X1818" t="inlineStr">
        <is>
          <t>Ja</t>
        </is>
      </c>
      <c r="Y1818" t="inlineStr">
        <is>
          <t>Ja</t>
        </is>
      </c>
      <c r="Z1818" t="inlineStr">
        <is>
          <t>Nej</t>
        </is>
      </c>
      <c r="AA1818" t="n">
        <v>6</v>
      </c>
      <c r="AB1818" t="inlineStr">
        <is>
          <t>Lakvattenhantering</t>
        </is>
      </c>
      <c r="AC1818" t="inlineStr">
        <is>
          <t>Flodesschema dagvatten-lakvatten</t>
        </is>
      </c>
      <c r="AD1818" t="inlineStr">
        <is>
          <t>Nej</t>
        </is>
      </c>
      <c r="AE1818" t="inlineStr">
        <is>
          <t>Nej</t>
        </is>
      </c>
      <c r="AF1818" t="inlineStr">
        <is>
          <t>Ej behandlad</t>
        </is>
      </c>
      <c r="AG1818" t="inlineStr">
        <is>
          <t>AUTO_GENERERAD. Verifiera citat mot kallfil.</t>
        </is>
      </c>
      <c r="AH1818" t="inlineStr">
        <is>
          <t>MEDIUM</t>
        </is>
      </c>
      <c r="AI1818" t="inlineStr">
        <is>
          <t>AUTO</t>
        </is>
      </c>
      <c r="AJ1818" t="inlineStr">
        <is>
          <t>Nej</t>
        </is>
      </c>
      <c r="AK1818" t="inlineStr"/>
      <c r="AL1818" t="inlineStr"/>
      <c r="AM1818" t="inlineStr"/>
      <c r="AN1818" t="inlineStr"/>
      <c r="AO1818" t="inlineStr">
        <is>
          <t>cmm4yunww014wcuqwr4qcrzmq</t>
        </is>
      </c>
      <c r="AP1818" t="inlineStr">
        <is>
          <t>http://localhost:8787/api/admin/requirements/documents/cmm4yunww014wcuqwr4qcrzmq/view</t>
        </is>
      </c>
      <c r="AQ1818">
        <f>HYPERLÄNK("http://localhost:8787/api/admin/requirements/documents/cmm4yunww014wcuqwr4qcrzmq/view";"Öppna PDF")</f>
        <v/>
      </c>
      <c r="AR1818">
        <f>HYPERLINK("http://localhost:8787/api/admin/requirements/documents/cmm4yunww014wcuqwr4qcrzmq/view","Open PDF")</f>
        <v/>
      </c>
      <c r="AS1818" t="inlineStr">
        <is>
          <t>cmm55w57p0004cuisfrtpqly8</t>
        </is>
      </c>
      <c r="AT1818" t="inlineStr">
        <is>
          <t>cmm4xvu980000cuh4vj0usz09</t>
        </is>
      </c>
      <c r="AU1818" t="inlineStr">
        <is>
          <t>i Karlskrona</t>
        </is>
      </c>
      <c r="AV1818" t="inlineStr">
        <is>
          <t>Kommun</t>
        </is>
      </c>
      <c r="AW1818" t="inlineStr">
        <is>
          <t>i Karlskrona kommun</t>
        </is>
      </c>
      <c r="AX1818" t="inlineStr">
        <is>
          <t>0455-32</t>
        </is>
      </c>
      <c r="AY1818" t="inlineStr">
        <is>
          <t>Anmalan</t>
        </is>
      </c>
      <c r="AZ1818" t="inlineStr">
        <is>
          <t>2026-02-03</t>
        </is>
      </c>
      <c r="BA1818" t="inlineStr">
        <is>
          <t>MSN-2024-1016_2024-03-06_MSN-2022-4871_2023-02-16_Beslut_(2).pdf</t>
        </is>
      </c>
      <c r="BB1818" t="inlineStr">
        <is>
          <t>Handlingar rörande anmälningspliktiga verksamheter (C verksamheter)</t>
        </is>
      </c>
      <c r="BC1818" t="inlineStr">
        <is>
          <t>AUTO</t>
        </is>
      </c>
      <c r="BD1818" t="inlineStr"/>
      <c r="BE1818" t="inlineStr"/>
      <c r="BF1818" t="inlineStr">
        <is>
          <t>AUTO_GENERERAD. Bekrafta metadata mot kallfil.</t>
        </is>
      </c>
      <c r="BG1818">
        <f>HYPERLINK("C:\Users\jimmy\Desktop\Examens arbete\Kod\Ny mapp\remix_-copy-of-miljöbeslut.se-portal\MSN-2024-1016_2024-03-06_MSN-2022-4871_2023-02-16_Beslut_(2).pdf", "Öppna PDF")</f>
        <v/>
      </c>
    </row>
    <row r="1819">
      <c r="A1819" t="inlineStr">
        <is>
          <t>KRAV-AUTO-001818</t>
        </is>
      </c>
      <c r="B1819" t="inlineStr">
        <is>
          <t>ADMIN-INDEX-2026-02-27-00000000125C043F57453246863FE664CAFE6A3F0700950291EA24F0614FB6ACEDB12BF0E31D00000000010C0000950291EA24F0614FB6ACEDB12BF0E31D00002087AF070000</t>
        </is>
      </c>
      <c r="C1819" t="inlineStr">
        <is>
          <t>cmm4yunwq014qcuqw3a108s1f</t>
        </is>
      </c>
      <c r="D1819" t="inlineStr">
        <is>
          <t>http://localhost:8787/api/admin/requirements/documents/cmm4yunwq014qcuqw3a108s1f/view</t>
        </is>
      </c>
      <c r="E1819">
        <f>HYPERLÄNK("http://localhost:8787/api/admin/requirements/documents/cmm4yunwq014qcuqw3a108s1f/view";"Öppna PDF")</f>
        <v/>
      </c>
      <c r="F1819">
        <f>HYPERLINK("http://localhost:8787/api/admin/requirements/documents/cmm4yunwq014qcuqw3a108s1f/view","Open PDF")</f>
        <v/>
      </c>
      <c r="G1819" t="inlineStr">
        <is>
          <t>cmm55w57p0004cuisfrtpqly8</t>
        </is>
      </c>
      <c r="H1819" t="inlineStr">
        <is>
          <t>Informationskrav</t>
        </is>
      </c>
      <c r="I1819" t="inlineStr">
        <is>
          <t>Ytkonstruktion</t>
        </is>
      </c>
      <c r="J1819" t="inlineStr">
        <is>
          <t>Tat yta</t>
        </is>
      </c>
      <c r="K1819" t="inlineStr">
        <is>
          <t>Förvaring av flytande kemiska produkter och flytande farligt avfall ska ske på en yta som är ogenomsläpplig för de aktuella ämnena, invallad och nederbördsskyddad samt skyddad mot påkörning.</t>
        </is>
      </c>
      <c r="L1819" t="inlineStr">
        <is>
          <t>Förvaring av flytande kemiska produkter och flytande farligt avfall ska ske på en yta som är ogenomsläpplig för de aktuella ämnena, invallad och nederbördsskyddad samt skyddad mot påkörning.</t>
        </is>
      </c>
      <c r="M1819" t="inlineStr">
        <is>
          <t>SKA</t>
        </is>
      </c>
      <c r="N1819" t="inlineStr"/>
      <c r="O1819" t="inlineStr"/>
      <c r="P1819" t="inlineStr">
        <is>
          <t>Arlig</t>
        </is>
      </c>
      <c r="Q1819" t="inlineStr"/>
      <c r="R1819" t="inlineStr">
        <is>
          <t>Vid mellanlagring av avfall</t>
        </is>
      </c>
      <c r="S1819" t="inlineStr"/>
      <c r="T1819" t="inlineStr">
        <is>
          <t>303610</t>
        </is>
      </c>
      <c r="U1819" t="inlineStr"/>
      <c r="V1819" t="inlineStr"/>
      <c r="W1819" t="inlineStr">
        <is>
          <t>Ja</t>
        </is>
      </c>
      <c r="X1819" t="inlineStr">
        <is>
          <t>Nej</t>
        </is>
      </c>
      <c r="Y1819" t="inlineStr">
        <is>
          <t>Nej</t>
        </is>
      </c>
      <c r="Z1819" t="inlineStr">
        <is>
          <t>Nej</t>
        </is>
      </c>
      <c r="AA1819" t="n">
        <v>5</v>
      </c>
      <c r="AB1819" t="inlineStr">
        <is>
          <t>Teknisk beskrivning av platta</t>
        </is>
      </c>
      <c r="AC1819" t="inlineStr">
        <is>
          <t>Teknisk ritning platta</t>
        </is>
      </c>
      <c r="AD1819" t="inlineStr">
        <is>
          <t>Nej</t>
        </is>
      </c>
      <c r="AE1819" t="inlineStr">
        <is>
          <t>Nej</t>
        </is>
      </c>
      <c r="AF1819" t="inlineStr">
        <is>
          <t>Ej behandlad</t>
        </is>
      </c>
      <c r="AG1819" t="inlineStr">
        <is>
          <t>AUTO_GENERERAD. Verifiera citat mot kallfil.</t>
        </is>
      </c>
      <c r="AH1819" t="inlineStr">
        <is>
          <t>MEDIUM</t>
        </is>
      </c>
      <c r="AI1819" t="inlineStr">
        <is>
          <t>AUTO</t>
        </is>
      </c>
      <c r="AJ1819" t="inlineStr">
        <is>
          <t>Nej</t>
        </is>
      </c>
      <c r="AK1819" t="inlineStr"/>
      <c r="AL1819" t="inlineStr"/>
      <c r="AM1819" t="inlineStr"/>
      <c r="AN1819" t="inlineStr"/>
      <c r="AO1819" t="inlineStr">
        <is>
          <t>cmm4yunww014wcuqwr4qcrzmq</t>
        </is>
      </c>
      <c r="AP1819" t="inlineStr">
        <is>
          <t>http://localhost:8787/api/admin/requirements/documents/cmm4yunww014wcuqwr4qcrzmq/view</t>
        </is>
      </c>
      <c r="AQ1819">
        <f>HYPERLÄNK("http://localhost:8787/api/admin/requirements/documents/cmm4yunww014wcuqwr4qcrzmq/view";"Öppna PDF")</f>
        <v/>
      </c>
      <c r="AR1819">
        <f>HYPERLINK("http://localhost:8787/api/admin/requirements/documents/cmm4yunww014wcuqwr4qcrzmq/view","Open PDF")</f>
        <v/>
      </c>
      <c r="AS1819" t="inlineStr">
        <is>
          <t>cmm55w57p0004cuisfrtpqly8</t>
        </is>
      </c>
      <c r="AT1819" t="inlineStr">
        <is>
          <t>cmm4xvu980000cuh4vj0usz09</t>
        </is>
      </c>
      <c r="AU1819" t="inlineStr">
        <is>
          <t>i Karlskrona</t>
        </is>
      </c>
      <c r="AV1819" t="inlineStr">
        <is>
          <t>Kommun</t>
        </is>
      </c>
      <c r="AW1819" t="inlineStr">
        <is>
          <t>i Karlskrona kommun</t>
        </is>
      </c>
      <c r="AX1819" t="inlineStr">
        <is>
          <t>0455-32</t>
        </is>
      </c>
      <c r="AY1819" t="inlineStr">
        <is>
          <t>Anmalan</t>
        </is>
      </c>
      <c r="AZ1819" t="inlineStr">
        <is>
          <t>2026-02-03</t>
        </is>
      </c>
      <c r="BA1819" t="inlineStr">
        <is>
          <t>MSN-2024-1016_2024-03-06_MSN-2022-4871_2023-02-16_Beslut_(2).pdf</t>
        </is>
      </c>
      <c r="BB1819" t="inlineStr">
        <is>
          <t>Handlingar rörande anmälningspliktiga verksamheter (C verksamheter)</t>
        </is>
      </c>
      <c r="BC1819" t="inlineStr">
        <is>
          <t>AUTO</t>
        </is>
      </c>
      <c r="BD1819" t="inlineStr"/>
      <c r="BE1819" t="inlineStr"/>
      <c r="BF1819" t="inlineStr">
        <is>
          <t>AUTO_GENERERAD. Bekrafta metadata mot kallfil.</t>
        </is>
      </c>
      <c r="BG1819">
        <f>HYPERLINK("C:\Users\jimmy\Desktop\Examens arbete\Kod\Ny mapp\remix_-copy-of-miljöbeslut.se-portal\MSN-2024-1016_2024-03-06_MSN-2022-4871_2023-02-16_Beslut_(2).pdf", "Öppna PDF")</f>
        <v/>
      </c>
    </row>
    <row r="1820">
      <c r="A1820" t="inlineStr">
        <is>
          <t>KRAV-AUTO-001819</t>
        </is>
      </c>
      <c r="B1820" t="inlineStr">
        <is>
          <t>ADMIN-INDEX-2026-02-27-00000000125C043F57453246863FE664CAFE6A3F0700950291EA24F0614FB6ACEDB12BF0E31D00000000010C0000950291EA24F0614FB6ACEDB12BF0E31D00002087AF070000</t>
        </is>
      </c>
      <c r="C1820" t="inlineStr">
        <is>
          <t>cmm4yunwq014qcuqw3a108s1f</t>
        </is>
      </c>
      <c r="D1820" t="inlineStr">
        <is>
          <t>http://localhost:8787/api/admin/requirements/documents/cmm4yunwq014qcuqw3a108s1f/view</t>
        </is>
      </c>
      <c r="E1820">
        <f>HYPERLÄNK("http://localhost:8787/api/admin/requirements/documents/cmm4yunwq014qcuqw3a108s1f/view";"Öppna PDF")</f>
        <v/>
      </c>
      <c r="F1820">
        <f>HYPERLINK("http://localhost:8787/api/admin/requirements/documents/cmm4yunwq014qcuqw3a108s1f/view","Open PDF")</f>
        <v/>
      </c>
      <c r="G1820" t="inlineStr">
        <is>
          <t>cmm55w57p0004cuisfrtpqly8</t>
        </is>
      </c>
      <c r="H1820" t="inlineStr">
        <is>
          <t>Informationskrav</t>
        </is>
      </c>
      <c r="I1820" t="inlineStr">
        <is>
          <t>Ytkonstruktion</t>
        </is>
      </c>
      <c r="J1820" t="inlineStr">
        <is>
          <t>Tat yta</t>
        </is>
      </c>
      <c r="K1820" t="inlineStr">
        <is>
          <t>Förvaringen av flytande farligt avfall och -- 11 of 15 -- Öppen information flytande kemikalier ska ske på en yta som är ogenomsläpplig och invallad samt skyddad mot påkörning.</t>
        </is>
      </c>
      <c r="L1820" t="inlineStr">
        <is>
          <t>Förvaringen av flytande farligt avfall och -- 11 of 15 -- Öppen information flytande kemikalier ska ske på en yta som är ogenomsläpplig och invallad samt skyddad mot påkörning.</t>
        </is>
      </c>
      <c r="M1820" t="inlineStr">
        <is>
          <t>SKA</t>
        </is>
      </c>
      <c r="N1820" t="inlineStr"/>
      <c r="O1820" t="inlineStr"/>
      <c r="P1820" t="inlineStr">
        <is>
          <t>Arlig</t>
        </is>
      </c>
      <c r="Q1820" t="inlineStr"/>
      <c r="R1820" t="inlineStr">
        <is>
          <t>Vid mellanlagring av avfall</t>
        </is>
      </c>
      <c r="S1820" t="inlineStr"/>
      <c r="T1820" t="inlineStr">
        <is>
          <t>303610</t>
        </is>
      </c>
      <c r="U1820" t="inlineStr"/>
      <c r="V1820" t="inlineStr"/>
      <c r="W1820" t="inlineStr">
        <is>
          <t>Ja</t>
        </is>
      </c>
      <c r="X1820" t="inlineStr">
        <is>
          <t>Nej</t>
        </is>
      </c>
      <c r="Y1820" t="inlineStr">
        <is>
          <t>Nej</t>
        </is>
      </c>
      <c r="Z1820" t="inlineStr">
        <is>
          <t>Nej</t>
        </is>
      </c>
      <c r="AA1820" t="n">
        <v>5</v>
      </c>
      <c r="AB1820" t="inlineStr">
        <is>
          <t>Teknisk beskrivning av platta</t>
        </is>
      </c>
      <c r="AC1820" t="inlineStr">
        <is>
          <t>Teknisk ritning platta</t>
        </is>
      </c>
      <c r="AD1820" t="inlineStr">
        <is>
          <t>Nej</t>
        </is>
      </c>
      <c r="AE1820" t="inlineStr">
        <is>
          <t>Nej</t>
        </is>
      </c>
      <c r="AF1820" t="inlineStr">
        <is>
          <t>Ej behandlad</t>
        </is>
      </c>
      <c r="AG1820" t="inlineStr">
        <is>
          <t>AUTO_GENERERAD. Verifiera citat mot kallfil.</t>
        </is>
      </c>
      <c r="AH1820" t="inlineStr">
        <is>
          <t>MEDIUM</t>
        </is>
      </c>
      <c r="AI1820" t="inlineStr">
        <is>
          <t>AUTO</t>
        </is>
      </c>
      <c r="AJ1820" t="inlineStr">
        <is>
          <t>Nej</t>
        </is>
      </c>
      <c r="AK1820" t="inlineStr"/>
      <c r="AL1820" t="inlineStr"/>
      <c r="AM1820" t="inlineStr"/>
      <c r="AN1820" t="inlineStr"/>
      <c r="AO1820" t="inlineStr">
        <is>
          <t>cmm4yunww014wcuqwr4qcrzmq</t>
        </is>
      </c>
      <c r="AP1820" t="inlineStr">
        <is>
          <t>http://localhost:8787/api/admin/requirements/documents/cmm4yunww014wcuqwr4qcrzmq/view</t>
        </is>
      </c>
      <c r="AQ1820">
        <f>HYPERLÄNK("http://localhost:8787/api/admin/requirements/documents/cmm4yunww014wcuqwr4qcrzmq/view";"Öppna PDF")</f>
        <v/>
      </c>
      <c r="AR1820">
        <f>HYPERLINK("http://localhost:8787/api/admin/requirements/documents/cmm4yunww014wcuqwr4qcrzmq/view","Open PDF")</f>
        <v/>
      </c>
      <c r="AS1820" t="inlineStr">
        <is>
          <t>cmm55w57p0004cuisfrtpqly8</t>
        </is>
      </c>
      <c r="AT1820" t="inlineStr">
        <is>
          <t>cmm4xvu980000cuh4vj0usz09</t>
        </is>
      </c>
      <c r="AU1820" t="inlineStr">
        <is>
          <t>i Karlskrona</t>
        </is>
      </c>
      <c r="AV1820" t="inlineStr">
        <is>
          <t>Kommun</t>
        </is>
      </c>
      <c r="AW1820" t="inlineStr">
        <is>
          <t>i Karlskrona kommun</t>
        </is>
      </c>
      <c r="AX1820" t="inlineStr">
        <is>
          <t>0455-32</t>
        </is>
      </c>
      <c r="AY1820" t="inlineStr">
        <is>
          <t>Anmalan</t>
        </is>
      </c>
      <c r="AZ1820" t="inlineStr">
        <is>
          <t>2026-02-03</t>
        </is>
      </c>
      <c r="BA1820" t="inlineStr">
        <is>
          <t>MSN-2024-1016_2024-03-06_MSN-2022-4871_2023-02-16_Beslut_(2).pdf</t>
        </is>
      </c>
      <c r="BB1820" t="inlineStr">
        <is>
          <t>Handlingar rörande anmälningspliktiga verksamheter (C verksamheter)</t>
        </is>
      </c>
      <c r="BC1820" t="inlineStr">
        <is>
          <t>AUTO</t>
        </is>
      </c>
      <c r="BD1820" t="inlineStr"/>
      <c r="BE1820" t="inlineStr"/>
      <c r="BF1820" t="inlineStr">
        <is>
          <t>AUTO_GENERERAD. Bekrafta metadata mot kallfil.</t>
        </is>
      </c>
      <c r="BG1820">
        <f>HYPERLINK("C:\Users\jimmy\Desktop\Examens arbete\Kod\Ny mapp\remix_-copy-of-miljöbeslut.se-portal\MSN-2024-1016_2024-03-06_MSN-2022-4871_2023-02-16_Beslut_(2).pdf", "Öppna PDF")</f>
        <v/>
      </c>
    </row>
    <row r="1821">
      <c r="A1821" t="inlineStr">
        <is>
          <t>KRAV-AUTO-001820</t>
        </is>
      </c>
      <c r="B1821" t="inlineStr">
        <is>
          <t>ADMIN-INDEX-2026-02-27-00000000125C043F57453246863FE664CAFE6A3F0700950291EA24F0614FB6ACEDB12BF0E31D00000000010C0000950291EA24F0614FB6ACEDB12BF0E31D00002087AF070000</t>
        </is>
      </c>
      <c r="C1821" t="inlineStr">
        <is>
          <t>cmm4yunwq014qcuqw3a108s1f</t>
        </is>
      </c>
      <c r="D1821" t="inlineStr">
        <is>
          <t>http://localhost:8787/api/admin/requirements/documents/cmm4yunwq014qcuqw3a108s1f/view</t>
        </is>
      </c>
      <c r="E1821">
        <f>HYPERLÄNK("http://localhost:8787/api/admin/requirements/documents/cmm4yunwq014qcuqw3a108s1f/view";"Öppna PDF")</f>
        <v/>
      </c>
      <c r="F1821">
        <f>HYPERLINK("http://localhost:8787/api/admin/requirements/documents/cmm4yunwq014qcuqw3a108s1f/view","Open PDF")</f>
        <v/>
      </c>
      <c r="G1821" t="inlineStr">
        <is>
          <t>cmm55w57p0004cuisfrtpqly8</t>
        </is>
      </c>
      <c r="H1821" t="inlineStr">
        <is>
          <t>Informationskrav</t>
        </is>
      </c>
      <c r="I1821" t="inlineStr">
        <is>
          <t>DagvattenLakvatten</t>
        </is>
      </c>
      <c r="J1821" t="inlineStr">
        <is>
          <t>Uppsamling</t>
        </is>
      </c>
      <c r="K1821" t="inlineStr">
        <is>
          <t>Vatten som avleds till dagvattensystemet från hårdgjorda ytor, där avfall lagras och hanteras eller där fordon står uppställda ska passera en oljeavskiljare innan det lämnar anläggningen.</t>
        </is>
      </c>
      <c r="L1821" t="inlineStr">
        <is>
          <t>Vatten som avleds till dagvattensystemet från hårdgjorda ytor, där avfall lagras och hanteras eller där fordon står uppställda ska passera en oljeavskiljare innan det lämnar anläggningen.</t>
        </is>
      </c>
      <c r="M1821" t="inlineStr">
        <is>
          <t>SKA</t>
        </is>
      </c>
      <c r="N1821" t="inlineStr"/>
      <c r="O1821" t="inlineStr"/>
      <c r="P1821" t="inlineStr"/>
      <c r="Q1821" t="inlineStr"/>
      <c r="R1821" t="inlineStr">
        <is>
          <t>Vid nederbord och avrinning</t>
        </is>
      </c>
      <c r="S1821" t="inlineStr"/>
      <c r="T1821" t="inlineStr">
        <is>
          <t>303610</t>
        </is>
      </c>
      <c r="U1821" t="inlineStr"/>
      <c r="V1821" t="inlineStr"/>
      <c r="W1821" t="inlineStr">
        <is>
          <t>Nej</t>
        </is>
      </c>
      <c r="X1821" t="inlineStr">
        <is>
          <t>Ja</t>
        </is>
      </c>
      <c r="Y1821" t="inlineStr">
        <is>
          <t>Ja</t>
        </is>
      </c>
      <c r="Z1821" t="inlineStr">
        <is>
          <t>Nej</t>
        </is>
      </c>
      <c r="AA1821" t="n">
        <v>6</v>
      </c>
      <c r="AB1821" t="inlineStr">
        <is>
          <t>Lakvattenhantering</t>
        </is>
      </c>
      <c r="AC1821" t="inlineStr">
        <is>
          <t>Flodesschema dagvatten-lakvatten</t>
        </is>
      </c>
      <c r="AD1821" t="inlineStr">
        <is>
          <t>Nej</t>
        </is>
      </c>
      <c r="AE1821" t="inlineStr">
        <is>
          <t>Nej</t>
        </is>
      </c>
      <c r="AF1821" t="inlineStr">
        <is>
          <t>Ej behandlad</t>
        </is>
      </c>
      <c r="AG1821" t="inlineStr">
        <is>
          <t>AUTO_GENERERAD. Verifiera citat mot kallfil.</t>
        </is>
      </c>
      <c r="AH1821" t="inlineStr">
        <is>
          <t>MEDIUM</t>
        </is>
      </c>
      <c r="AI1821" t="inlineStr">
        <is>
          <t>AUTO</t>
        </is>
      </c>
      <c r="AJ1821" t="inlineStr">
        <is>
          <t>Nej</t>
        </is>
      </c>
      <c r="AK1821" t="inlineStr"/>
      <c r="AL1821" t="inlineStr"/>
      <c r="AM1821" t="inlineStr"/>
      <c r="AN1821" t="inlineStr"/>
      <c r="AO1821" t="inlineStr">
        <is>
          <t>cmm4yunww014wcuqwr4qcrzmq</t>
        </is>
      </c>
      <c r="AP1821" t="inlineStr">
        <is>
          <t>http://localhost:8787/api/admin/requirements/documents/cmm4yunww014wcuqwr4qcrzmq/view</t>
        </is>
      </c>
      <c r="AQ1821">
        <f>HYPERLÄNK("http://localhost:8787/api/admin/requirements/documents/cmm4yunww014wcuqwr4qcrzmq/view";"Öppna PDF")</f>
        <v/>
      </c>
      <c r="AR1821">
        <f>HYPERLINK("http://localhost:8787/api/admin/requirements/documents/cmm4yunww014wcuqwr4qcrzmq/view","Open PDF")</f>
        <v/>
      </c>
      <c r="AS1821" t="inlineStr">
        <is>
          <t>cmm55w57p0004cuisfrtpqly8</t>
        </is>
      </c>
      <c r="AT1821" t="inlineStr">
        <is>
          <t>cmm4xvu980000cuh4vj0usz09</t>
        </is>
      </c>
      <c r="AU1821" t="inlineStr">
        <is>
          <t>i Karlskrona</t>
        </is>
      </c>
      <c r="AV1821" t="inlineStr">
        <is>
          <t>Kommun</t>
        </is>
      </c>
      <c r="AW1821" t="inlineStr">
        <is>
          <t>i Karlskrona kommun</t>
        </is>
      </c>
      <c r="AX1821" t="inlineStr">
        <is>
          <t>0455-32</t>
        </is>
      </c>
      <c r="AY1821" t="inlineStr">
        <is>
          <t>Anmalan</t>
        </is>
      </c>
      <c r="AZ1821" t="inlineStr">
        <is>
          <t>2026-02-03</t>
        </is>
      </c>
      <c r="BA1821" t="inlineStr">
        <is>
          <t>MSN-2024-1016_2024-03-06_MSN-2022-4871_2023-02-16_Beslut_(2).pdf</t>
        </is>
      </c>
      <c r="BB1821" t="inlineStr">
        <is>
          <t>Handlingar rörande anmälningspliktiga verksamheter (C verksamheter)</t>
        </is>
      </c>
      <c r="BC1821" t="inlineStr">
        <is>
          <t>AUTO</t>
        </is>
      </c>
      <c r="BD1821" t="inlineStr"/>
      <c r="BE1821" t="inlineStr"/>
      <c r="BF1821" t="inlineStr">
        <is>
          <t>AUTO_GENERERAD. Bekrafta metadata mot kallfil.</t>
        </is>
      </c>
      <c r="BG1821">
        <f>HYPERLINK("C:\Users\jimmy\Desktop\Examens arbete\Kod\Ny mapp\remix_-copy-of-miljöbeslut.se-portal\MSN-2024-1016_2024-03-06_MSN-2022-4871_2023-02-16_Beslut_(2).pdf", "Öppna PDF")</f>
        <v/>
      </c>
    </row>
    <row r="1822">
      <c r="A1822" t="inlineStr">
        <is>
          <t>KRAV-AUTO-001821</t>
        </is>
      </c>
      <c r="B1822" t="inlineStr">
        <is>
          <t>ADMIN-INDEX-2026-02-27-00000000125C043F57453246863FE664CAFE6A3F0700950291EA24F0614FB6ACEDB12BF0E31D00000000010C0000950291EA24F0614FB6ACEDB12BF0E31D00002087AF070000</t>
        </is>
      </c>
      <c r="C1822" t="inlineStr">
        <is>
          <t>cmm4yunwk014kcuqwazj6wl12</t>
        </is>
      </c>
      <c r="D1822" t="inlineStr">
        <is>
          <t>http://localhost:8787/api/admin/requirements/documents/cmm4yunwk014kcuqwazj6wl12/view</t>
        </is>
      </c>
      <c r="E1822">
        <f>HYPERLÄNK("http://localhost:8787/api/admin/requirements/documents/cmm4yunwk014kcuqwazj6wl12/view";"Öppna PDF")</f>
        <v/>
      </c>
      <c r="F1822">
        <f>HYPERLINK("http://localhost:8787/api/admin/requirements/documents/cmm4yunwk014kcuqwazj6wl12/view","Open PDF")</f>
        <v/>
      </c>
      <c r="G1822" t="inlineStr">
        <is>
          <t>cmm55w57p0004cuisfrtpqly8</t>
        </is>
      </c>
      <c r="H1822" t="inlineStr">
        <is>
          <t>Informationskrav</t>
        </is>
      </c>
      <c r="I1822" t="inlineStr">
        <is>
          <t>Ytkonstruktion</t>
        </is>
      </c>
      <c r="J1822" t="inlineStr">
        <is>
          <t>Tat yta</t>
        </is>
      </c>
      <c r="K1822" t="inlineStr">
        <is>
          <t>Flytande farligt avfall och kemiska produkter ska förvaras invallat och nederbördsskyddat.</t>
        </is>
      </c>
      <c r="L1822" t="inlineStr">
        <is>
          <t>Flytande farligt avfall och kemiska produkter ska förvaras invallat och nederbördsskyddat.</t>
        </is>
      </c>
      <c r="M1822" t="inlineStr">
        <is>
          <t>SKA</t>
        </is>
      </c>
      <c r="N1822" t="inlineStr"/>
      <c r="O1822" t="inlineStr"/>
      <c r="P1822" t="inlineStr">
        <is>
          <t>Arlig</t>
        </is>
      </c>
      <c r="Q1822" t="inlineStr"/>
      <c r="R1822" t="inlineStr">
        <is>
          <t>Vid mellanlagring av avfall</t>
        </is>
      </c>
      <c r="S1822" t="inlineStr"/>
      <c r="T1822" t="inlineStr">
        <is>
          <t>30 30 80</t>
        </is>
      </c>
      <c r="U1822" t="inlineStr"/>
      <c r="V1822" t="inlineStr"/>
      <c r="W1822" t="inlineStr">
        <is>
          <t>Ja</t>
        </is>
      </c>
      <c r="X1822" t="inlineStr">
        <is>
          <t>Nej</t>
        </is>
      </c>
      <c r="Y1822" t="inlineStr">
        <is>
          <t>Nej</t>
        </is>
      </c>
      <c r="Z1822" t="inlineStr">
        <is>
          <t>Nej</t>
        </is>
      </c>
      <c r="AA1822" t="n">
        <v>5</v>
      </c>
      <c r="AB1822" t="inlineStr">
        <is>
          <t>Teknisk beskrivning av platta</t>
        </is>
      </c>
      <c r="AC1822" t="inlineStr">
        <is>
          <t>Teknisk ritning platta</t>
        </is>
      </c>
      <c r="AD1822" t="inlineStr">
        <is>
          <t>Nej</t>
        </is>
      </c>
      <c r="AE1822" t="inlineStr">
        <is>
          <t>Nej</t>
        </is>
      </c>
      <c r="AF1822" t="inlineStr">
        <is>
          <t>Ej behandlad</t>
        </is>
      </c>
      <c r="AG1822" t="inlineStr">
        <is>
          <t>AUTO_GENERERAD. Verifiera citat mot kallfil.</t>
        </is>
      </c>
      <c r="AH1822" t="inlineStr">
        <is>
          <t>MEDIUM</t>
        </is>
      </c>
      <c r="AI1822" t="inlineStr">
        <is>
          <t>AUTO</t>
        </is>
      </c>
      <c r="AJ1822" t="inlineStr">
        <is>
          <t>Nej</t>
        </is>
      </c>
      <c r="AK1822" t="inlineStr"/>
      <c r="AL1822" t="inlineStr"/>
      <c r="AM1822" t="inlineStr"/>
      <c r="AN1822" t="inlineStr"/>
      <c r="AO1822" t="inlineStr">
        <is>
          <t>cmm4yunww014wcuqwr4qcrzmq</t>
        </is>
      </c>
      <c r="AP1822" t="inlineStr">
        <is>
          <t>http://localhost:8787/api/admin/requirements/documents/cmm4yunww014wcuqwr4qcrzmq/view</t>
        </is>
      </c>
      <c r="AQ1822">
        <f>HYPERLÄNK("http://localhost:8787/api/admin/requirements/documents/cmm4yunww014wcuqwr4qcrzmq/view";"Öppna PDF")</f>
        <v/>
      </c>
      <c r="AR1822">
        <f>HYPERLINK("http://localhost:8787/api/admin/requirements/documents/cmm4yunww014wcuqwr4qcrzmq/view","Open PDF")</f>
        <v/>
      </c>
      <c r="AS1822" t="inlineStr">
        <is>
          <t>cmm55w57p0004cuisfrtpqly8</t>
        </is>
      </c>
      <c r="AT1822" t="inlineStr">
        <is>
          <t>cmm4xvu980000cuh4vj0usz09</t>
        </is>
      </c>
      <c r="AU1822" t="inlineStr">
        <is>
          <t>i Karlskrona</t>
        </is>
      </c>
      <c r="AV1822" t="inlineStr">
        <is>
          <t>Kommun</t>
        </is>
      </c>
      <c r="AW1822" t="inlineStr">
        <is>
          <t>i Karlskrona kommun</t>
        </is>
      </c>
      <c r="AX1822" t="inlineStr">
        <is>
          <t>0455-32</t>
        </is>
      </c>
      <c r="AY1822" t="inlineStr">
        <is>
          <t>Anmalan</t>
        </is>
      </c>
      <c r="AZ1822" t="inlineStr">
        <is>
          <t>2026-02-03</t>
        </is>
      </c>
      <c r="BA1822" t="inlineStr">
        <is>
          <t>MSN-2024-1016_2024-03-06_MSN-2022-4871_2023-02-16_Beslut_(2).pdf</t>
        </is>
      </c>
      <c r="BB1822" t="inlineStr">
        <is>
          <t>Handlingar rörande anmälningspliktiga verksamheter (C verksamheter)</t>
        </is>
      </c>
      <c r="BC1822" t="inlineStr">
        <is>
          <t>AUTO</t>
        </is>
      </c>
      <c r="BD1822" t="inlineStr"/>
      <c r="BE1822" t="inlineStr"/>
      <c r="BF1822" t="inlineStr">
        <is>
          <t>AUTO_GENERERAD. Bekrafta metadata mot kallfil.</t>
        </is>
      </c>
      <c r="BG1822">
        <f>HYPERLINK("C:\Users\jimmy\Desktop\Examens arbete\Kod\Ny mapp\remix_-copy-of-miljöbeslut.se-portal\MSN-2024-1016_2024-03-06_MSN-2022-4871_2023-02-16_Beslut_(2).pdf", "Öppna PDF")</f>
        <v/>
      </c>
    </row>
    <row r="1823">
      <c r="A1823" t="inlineStr">
        <is>
          <t>KRAV-AUTO-001822</t>
        </is>
      </c>
      <c r="B1823" t="inlineStr">
        <is>
          <t>ADMIN-INDEX-2026-02-27-00000000125C043F57453246863FE664CAFE6A3F0700950291EA24F0614FB6ACEDB12BF0E31D00000000010C0000950291EA24F0614FB6ACEDB12BF0E31D00002087AF070000</t>
        </is>
      </c>
      <c r="C1823" t="inlineStr">
        <is>
          <t>cmm4yunwk014kcuqwazj6wl12</t>
        </is>
      </c>
      <c r="D1823" t="inlineStr">
        <is>
          <t>http://localhost:8787/api/admin/requirements/documents/cmm4yunwk014kcuqwazj6wl12/view</t>
        </is>
      </c>
      <c r="E1823">
        <f>HYPERLÄNK("http://localhost:8787/api/admin/requirements/documents/cmm4yunwk014kcuqwazj6wl12/view";"Öppna PDF")</f>
        <v/>
      </c>
      <c r="F1823">
        <f>HYPERLINK("http://localhost:8787/api/admin/requirements/documents/cmm4yunwk014kcuqwazj6wl12/view","Open PDF")</f>
        <v/>
      </c>
      <c r="G1823" t="inlineStr">
        <is>
          <t>cmm55w57p0004cuisfrtpqly8</t>
        </is>
      </c>
      <c r="H1823" t="inlineStr">
        <is>
          <t>Informationskrav</t>
        </is>
      </c>
      <c r="I1823" t="inlineStr">
        <is>
          <t>DagvattenLakvatten</t>
        </is>
      </c>
      <c r="J1823" t="inlineStr">
        <is>
          <t>Uppsamling</t>
        </is>
      </c>
      <c r="K1823" t="inlineStr">
        <is>
          <t>Nämnden förelägger Skrotfrag AB att inkomma med en provtagningsplan som beskriver provtagning på utgående dagvatten och analys av dagvattnets innehåll av PAH:er och metaller inom 6 månader efter att verksamheten har tagits i drift.</t>
        </is>
      </c>
      <c r="L1823" t="inlineStr">
        <is>
          <t>Nämnden förelägger Skrotfrag AB att inkomma med en provtagningsplan som beskriver provtagning på utgående dagvatten och analys av dagvattnets innehåll av PAH:er och metaller inom 6 månader efter att verksamheten har tagits i drift.</t>
        </is>
      </c>
      <c r="M1823" t="inlineStr">
        <is>
          <t>INFO</t>
        </is>
      </c>
      <c r="N1823" t="inlineStr"/>
      <c r="O1823" t="inlineStr">
        <is>
          <t>inom 6 manader</t>
        </is>
      </c>
      <c r="P1823" t="inlineStr">
        <is>
          <t>Manadskontroll</t>
        </is>
      </c>
      <c r="Q1823" t="inlineStr">
        <is>
          <t>Forelaggande vid brist</t>
        </is>
      </c>
      <c r="R1823" t="inlineStr">
        <is>
          <t>Vid nederbord och avrinning</t>
        </is>
      </c>
      <c r="S1823" t="inlineStr"/>
      <c r="T1823" t="inlineStr">
        <is>
          <t>30 30 80</t>
        </is>
      </c>
      <c r="U1823" t="inlineStr"/>
      <c r="V1823" t="inlineStr">
        <is>
          <t>6 manader</t>
        </is>
      </c>
      <c r="W1823" t="inlineStr">
        <is>
          <t>Nej</t>
        </is>
      </c>
      <c r="X1823" t="inlineStr">
        <is>
          <t>Ja</t>
        </is>
      </c>
      <c r="Y1823" t="inlineStr">
        <is>
          <t>Ja</t>
        </is>
      </c>
      <c r="Z1823" t="inlineStr">
        <is>
          <t>Nej</t>
        </is>
      </c>
      <c r="AA1823" t="n">
        <v>6</v>
      </c>
      <c r="AB1823" t="inlineStr">
        <is>
          <t>Lakvattenhantering</t>
        </is>
      </c>
      <c r="AC1823" t="inlineStr">
        <is>
          <t>Flodesschema dagvatten-lakvatten</t>
        </is>
      </c>
      <c r="AD1823" t="inlineStr">
        <is>
          <t>Nej</t>
        </is>
      </c>
      <c r="AE1823" t="inlineStr">
        <is>
          <t>Nej</t>
        </is>
      </c>
      <c r="AF1823" t="inlineStr">
        <is>
          <t>Ej behandlad</t>
        </is>
      </c>
      <c r="AG1823" t="inlineStr">
        <is>
          <t>AUTO_GENERERAD. Verifiera citat mot kallfil.</t>
        </is>
      </c>
      <c r="AH1823" t="inlineStr">
        <is>
          <t>MEDIUM</t>
        </is>
      </c>
      <c r="AI1823" t="inlineStr">
        <is>
          <t>AUTO</t>
        </is>
      </c>
      <c r="AJ1823" t="inlineStr">
        <is>
          <t>Nej</t>
        </is>
      </c>
      <c r="AK1823" t="inlineStr"/>
      <c r="AL1823" t="inlineStr"/>
      <c r="AM1823" t="inlineStr"/>
      <c r="AN1823" t="inlineStr"/>
      <c r="AO1823" t="inlineStr">
        <is>
          <t>cmm4yunww014wcuqwr4qcrzmq</t>
        </is>
      </c>
      <c r="AP1823" t="inlineStr">
        <is>
          <t>http://localhost:8787/api/admin/requirements/documents/cmm4yunww014wcuqwr4qcrzmq/view</t>
        </is>
      </c>
      <c r="AQ1823">
        <f>HYPERLÄNK("http://localhost:8787/api/admin/requirements/documents/cmm4yunww014wcuqwr4qcrzmq/view";"Öppna PDF")</f>
        <v/>
      </c>
      <c r="AR1823">
        <f>HYPERLINK("http://localhost:8787/api/admin/requirements/documents/cmm4yunww014wcuqwr4qcrzmq/view","Open PDF")</f>
        <v/>
      </c>
      <c r="AS1823" t="inlineStr">
        <is>
          <t>cmm55w57p0004cuisfrtpqly8</t>
        </is>
      </c>
      <c r="AT1823" t="inlineStr">
        <is>
          <t>cmm4xvu980000cuh4vj0usz09</t>
        </is>
      </c>
      <c r="AU1823" t="inlineStr">
        <is>
          <t>i Karlskrona</t>
        </is>
      </c>
      <c r="AV1823" t="inlineStr">
        <is>
          <t>Kommun</t>
        </is>
      </c>
      <c r="AW1823" t="inlineStr">
        <is>
          <t>i Karlskrona kommun</t>
        </is>
      </c>
      <c r="AX1823" t="inlineStr">
        <is>
          <t>0455-32</t>
        </is>
      </c>
      <c r="AY1823" t="inlineStr">
        <is>
          <t>Anmalan</t>
        </is>
      </c>
      <c r="AZ1823" t="inlineStr">
        <is>
          <t>2026-02-03</t>
        </is>
      </c>
      <c r="BA1823" t="inlineStr">
        <is>
          <t>MSN-2024-1016_2024-03-06_MSN-2022-4871_2023-02-16_Beslut_(2).pdf</t>
        </is>
      </c>
      <c r="BB1823" t="inlineStr">
        <is>
          <t>Handlingar rörande anmälningspliktiga verksamheter (C verksamheter)</t>
        </is>
      </c>
      <c r="BC1823" t="inlineStr">
        <is>
          <t>AUTO</t>
        </is>
      </c>
      <c r="BD1823" t="inlineStr"/>
      <c r="BE1823" t="inlineStr"/>
      <c r="BF1823" t="inlineStr">
        <is>
          <t>AUTO_GENERERAD. Bekrafta metadata mot kallfil.</t>
        </is>
      </c>
      <c r="BG1823">
        <f>HYPERLINK("C:\Users\jimmy\Desktop\Examens arbete\Kod\Ny mapp\remix_-copy-of-miljöbeslut.se-portal\MSN-2024-1016_2024-03-06_MSN-2022-4871_2023-02-16_Beslut_(2).pdf", "Öppna PDF")</f>
        <v/>
      </c>
    </row>
    <row r="1824">
      <c r="A1824" t="inlineStr">
        <is>
          <t>KRAV-AUTO-001823</t>
        </is>
      </c>
      <c r="B1824" t="inlineStr">
        <is>
          <t>ADMIN-INDEX-2026-02-27-00000000125C043F57453246863FE664CAFE6A3F0700950291EA24F0614FB6ACEDB12BF0E31D00000000010C0000950291EA24F0614FB6ACEDB12BF0E31D00002087AF070000</t>
        </is>
      </c>
      <c r="C1824" t="inlineStr">
        <is>
          <t>cmm4yunwk014kcuqwazj6wl12</t>
        </is>
      </c>
      <c r="D1824" t="inlineStr">
        <is>
          <t>http://localhost:8787/api/admin/requirements/documents/cmm4yunwk014kcuqwazj6wl12/view</t>
        </is>
      </c>
      <c r="E1824">
        <f>HYPERLÄNK("http://localhost:8787/api/admin/requirements/documents/cmm4yunwk014kcuqwazj6wl12/view";"Öppna PDF")</f>
        <v/>
      </c>
      <c r="F1824">
        <f>HYPERLINK("http://localhost:8787/api/admin/requirements/documents/cmm4yunwk014kcuqwazj6wl12/view","Open PDF")</f>
        <v/>
      </c>
      <c r="G1824" t="inlineStr">
        <is>
          <t>cmm55w57p0004cuisfrtpqly8</t>
        </is>
      </c>
      <c r="H1824" t="inlineStr">
        <is>
          <t>Informationskrav</t>
        </is>
      </c>
      <c r="I1824" t="inlineStr">
        <is>
          <t>DagvattenLakvatten</t>
        </is>
      </c>
      <c r="J1824" t="inlineStr">
        <is>
          <t>Uppsamling</t>
        </is>
      </c>
      <c r="K1824" t="inlineStr">
        <is>
          <t>Inom 6 månader efter verksamheten har satt igång ska verksamhetsutövaren inkomma till tillsynsmyndigheten med en provtagningsplan som beskriver provtagning och analys av dagvattnets innehåll av PAH och metaller på utgående dagvatten.</t>
        </is>
      </c>
      <c r="L1824" t="inlineStr">
        <is>
          <t>Inom 6 månader efter verksamheten har satt igång ska verksamhetsutövaren inkomma till tillsynsmyndigheten med en provtagningsplan som beskriver provtagning och analys av dagvattnets innehåll av PAH och metaller på utgående dagvatten.</t>
        </is>
      </c>
      <c r="M1824" t="inlineStr">
        <is>
          <t>SKA</t>
        </is>
      </c>
      <c r="N1824" t="inlineStr"/>
      <c r="O1824" t="inlineStr">
        <is>
          <t>inom 6 manader</t>
        </is>
      </c>
      <c r="P1824" t="inlineStr">
        <is>
          <t>Manadskontroll</t>
        </is>
      </c>
      <c r="Q1824" t="inlineStr"/>
      <c r="R1824" t="inlineStr">
        <is>
          <t>Vid nederbord och avrinning</t>
        </is>
      </c>
      <c r="S1824" t="inlineStr"/>
      <c r="T1824" t="inlineStr">
        <is>
          <t>30 30 80</t>
        </is>
      </c>
      <c r="U1824" t="inlineStr"/>
      <c r="V1824" t="inlineStr">
        <is>
          <t>6 manader</t>
        </is>
      </c>
      <c r="W1824" t="inlineStr">
        <is>
          <t>Nej</t>
        </is>
      </c>
      <c r="X1824" t="inlineStr">
        <is>
          <t>Ja</t>
        </is>
      </c>
      <c r="Y1824" t="inlineStr">
        <is>
          <t>Ja</t>
        </is>
      </c>
      <c r="Z1824" t="inlineStr">
        <is>
          <t>Nej</t>
        </is>
      </c>
      <c r="AA1824" t="n">
        <v>6</v>
      </c>
      <c r="AB1824" t="inlineStr">
        <is>
          <t>Lakvattenhantering</t>
        </is>
      </c>
      <c r="AC1824" t="inlineStr">
        <is>
          <t>Flodesschema dagvatten-lakvatten</t>
        </is>
      </c>
      <c r="AD1824" t="inlineStr">
        <is>
          <t>Nej</t>
        </is>
      </c>
      <c r="AE1824" t="inlineStr">
        <is>
          <t>Nej</t>
        </is>
      </c>
      <c r="AF1824" t="inlineStr">
        <is>
          <t>Ej behandlad</t>
        </is>
      </c>
      <c r="AG1824" t="inlineStr">
        <is>
          <t>AUTO_GENERERAD. Verifiera citat mot kallfil.</t>
        </is>
      </c>
      <c r="AH1824" t="inlineStr">
        <is>
          <t>MEDIUM</t>
        </is>
      </c>
      <c r="AI1824" t="inlineStr">
        <is>
          <t>AUTO</t>
        </is>
      </c>
      <c r="AJ1824" t="inlineStr">
        <is>
          <t>Nej</t>
        </is>
      </c>
      <c r="AK1824" t="inlineStr"/>
      <c r="AL1824" t="inlineStr"/>
      <c r="AM1824" t="inlineStr"/>
      <c r="AN1824" t="inlineStr"/>
      <c r="AO1824" t="inlineStr">
        <is>
          <t>cmm4yunww014wcuqwr4qcrzmq</t>
        </is>
      </c>
      <c r="AP1824" t="inlineStr">
        <is>
          <t>http://localhost:8787/api/admin/requirements/documents/cmm4yunww014wcuqwr4qcrzmq/view</t>
        </is>
      </c>
      <c r="AQ1824">
        <f>HYPERLÄNK("http://localhost:8787/api/admin/requirements/documents/cmm4yunww014wcuqwr4qcrzmq/view";"Öppna PDF")</f>
        <v/>
      </c>
      <c r="AR1824">
        <f>HYPERLINK("http://localhost:8787/api/admin/requirements/documents/cmm4yunww014wcuqwr4qcrzmq/view","Open PDF")</f>
        <v/>
      </c>
      <c r="AS1824" t="inlineStr">
        <is>
          <t>cmm55w57p0004cuisfrtpqly8</t>
        </is>
      </c>
      <c r="AT1824" t="inlineStr">
        <is>
          <t>cmm4xvu980000cuh4vj0usz09</t>
        </is>
      </c>
      <c r="AU1824" t="inlineStr">
        <is>
          <t>i Karlskrona</t>
        </is>
      </c>
      <c r="AV1824" t="inlineStr">
        <is>
          <t>Kommun</t>
        </is>
      </c>
      <c r="AW1824" t="inlineStr">
        <is>
          <t>i Karlskrona kommun</t>
        </is>
      </c>
      <c r="AX1824" t="inlineStr">
        <is>
          <t>0455-32</t>
        </is>
      </c>
      <c r="AY1824" t="inlineStr">
        <is>
          <t>Anmalan</t>
        </is>
      </c>
      <c r="AZ1824" t="inlineStr">
        <is>
          <t>2026-02-03</t>
        </is>
      </c>
      <c r="BA1824" t="inlineStr">
        <is>
          <t>MSN-2024-1016_2024-03-06_MSN-2022-4871_2023-02-16_Beslut_(2).pdf</t>
        </is>
      </c>
      <c r="BB1824" t="inlineStr">
        <is>
          <t>Handlingar rörande anmälningspliktiga verksamheter (C verksamheter)</t>
        </is>
      </c>
      <c r="BC1824" t="inlineStr">
        <is>
          <t>AUTO</t>
        </is>
      </c>
      <c r="BD1824" t="inlineStr"/>
      <c r="BE1824" t="inlineStr"/>
      <c r="BF1824" t="inlineStr">
        <is>
          <t>AUTO_GENERERAD. Bekrafta metadata mot kallfil.</t>
        </is>
      </c>
      <c r="BG1824">
        <f>HYPERLINK("C:\Users\jimmy\Desktop\Examens arbete\Kod\Ny mapp\remix_-copy-of-miljöbeslut.se-portal\MSN-2024-1016_2024-03-06_MSN-2022-4871_2023-02-16_Beslut_(2).pdf", "Öppna PDF")</f>
        <v/>
      </c>
    </row>
    <row r="1825">
      <c r="A1825" t="inlineStr">
        <is>
          <t>KRAV-AUTO-001824</t>
        </is>
      </c>
      <c r="B1825" t="inlineStr">
        <is>
          <t>ADMIN-INDEX-2026-02-27-00000000125C043F57453246863FE664CAFE6A3F0700950291EA24F0614FB6ACEDB12BF0E31D00000000010C0000950291EA24F0614FB6ACEDB12BF0E31D00002087AF080000</t>
        </is>
      </c>
      <c r="C1825" t="inlineStr">
        <is>
          <t>cmm4yunvp013kcuqwu71ju9j0</t>
        </is>
      </c>
      <c r="D1825" t="inlineStr">
        <is>
          <t>http://localhost:8787/api/admin/requirements/documents/cmm4yunvp013kcuqwu71ju9j0/view</t>
        </is>
      </c>
      <c r="E1825">
        <f>HYPERLÄNK("http://localhost:8787/api/admin/requirements/documents/cmm4yunvp013kcuqwu71ju9j0/view";"Öppna PDF")</f>
        <v/>
      </c>
      <c r="F1825">
        <f>HYPERLINK("http://localhost:8787/api/admin/requirements/documents/cmm4yunvp013kcuqwu71ju9j0/view","Open PDF")</f>
        <v/>
      </c>
      <c r="G1825" t="inlineStr">
        <is>
          <t>cmm55w57p0004cuisfrtpqly8</t>
        </is>
      </c>
      <c r="H1825" t="inlineStr">
        <is>
          <t>Informationskrav</t>
        </is>
      </c>
      <c r="I1825" t="inlineStr">
        <is>
          <t>Ytkonstruktion</t>
        </is>
      </c>
      <c r="J1825" t="inlineStr">
        <is>
          <t>Tat yta</t>
        </is>
      </c>
      <c r="K1825" t="inlineStr">
        <is>
          <t>Flytande farligt avfall ska förvaras invallat och nederbördsskyddat.</t>
        </is>
      </c>
      <c r="L1825" t="inlineStr">
        <is>
          <t>Flytande farligt avfall ska förvaras invallat och nederbördsskyddat.</t>
        </is>
      </c>
      <c r="M1825" t="inlineStr">
        <is>
          <t>SKA</t>
        </is>
      </c>
      <c r="N1825" t="inlineStr"/>
      <c r="O1825" t="inlineStr"/>
      <c r="P1825" t="inlineStr">
        <is>
          <t>Arlig</t>
        </is>
      </c>
      <c r="Q1825" t="inlineStr"/>
      <c r="R1825" t="inlineStr">
        <is>
          <t>Vid mellanlagring av avfall</t>
        </is>
      </c>
      <c r="S1825" t="inlineStr"/>
      <c r="T1825" t="inlineStr">
        <is>
          <t>32 12 89</t>
        </is>
      </c>
      <c r="U1825" t="inlineStr"/>
      <c r="V1825" t="inlineStr"/>
      <c r="W1825" t="inlineStr">
        <is>
          <t>Ja</t>
        </is>
      </c>
      <c r="X1825" t="inlineStr">
        <is>
          <t>Nej</t>
        </is>
      </c>
      <c r="Y1825" t="inlineStr">
        <is>
          <t>Nej</t>
        </is>
      </c>
      <c r="Z1825" t="inlineStr">
        <is>
          <t>Nej</t>
        </is>
      </c>
      <c r="AA1825" t="n">
        <v>5</v>
      </c>
      <c r="AB1825" t="inlineStr">
        <is>
          <t>Teknisk beskrivning av platta</t>
        </is>
      </c>
      <c r="AC1825" t="inlineStr">
        <is>
          <t>Teknisk ritning platta</t>
        </is>
      </c>
      <c r="AD1825" t="inlineStr">
        <is>
          <t>Nej</t>
        </is>
      </c>
      <c r="AE1825" t="inlineStr">
        <is>
          <t>Nej</t>
        </is>
      </c>
      <c r="AF1825" t="inlineStr">
        <is>
          <t>Ej behandlad</t>
        </is>
      </c>
      <c r="AG1825" t="inlineStr">
        <is>
          <t>AUTO_GENERERAD. Verifiera citat mot kallfil.</t>
        </is>
      </c>
      <c r="AH1825" t="inlineStr">
        <is>
          <t>MEDIUM</t>
        </is>
      </c>
      <c r="AI1825" t="inlineStr">
        <is>
          <t>AUTO</t>
        </is>
      </c>
      <c r="AJ1825" t="inlineStr">
        <is>
          <t>Nej</t>
        </is>
      </c>
      <c r="AK1825" t="inlineStr"/>
      <c r="AL1825" t="inlineStr"/>
      <c r="AM1825" t="inlineStr"/>
      <c r="AN1825" t="inlineStr"/>
      <c r="AO1825" t="inlineStr">
        <is>
          <t>cmm4yunvp013kcuqwu71ju9j0</t>
        </is>
      </c>
      <c r="AP1825" t="inlineStr">
        <is>
          <t>http://localhost:8787/api/admin/requirements/documents/cmm4yunvp013kcuqwu71ju9j0/view</t>
        </is>
      </c>
      <c r="AQ1825">
        <f>HYPERLÄNK("http://localhost:8787/api/admin/requirements/documents/cmm4yunvp013kcuqwu71ju9j0/view";"Öppna PDF")</f>
        <v/>
      </c>
      <c r="AR1825">
        <f>HYPERLINK("http://localhost:8787/api/admin/requirements/documents/cmm4yunvp013kcuqwu71ju9j0/view","Open PDF")</f>
        <v/>
      </c>
      <c r="AS1825" t="inlineStr">
        <is>
          <t>cmm55w57p0004cuisfrtpqly8</t>
        </is>
      </c>
      <c r="AT1825" t="inlineStr">
        <is>
          <t>cmm4xvu980000cuh4vj0usz09</t>
        </is>
      </c>
      <c r="AU1825" t="inlineStr">
        <is>
          <t>i Karlskrona</t>
        </is>
      </c>
      <c r="AV1825" t="inlineStr">
        <is>
          <t>Kommun</t>
        </is>
      </c>
      <c r="AW1825" t="inlineStr">
        <is>
          <t>i Karlskrona kommun</t>
        </is>
      </c>
      <c r="AX1825" t="inlineStr">
        <is>
          <t>0455-32</t>
        </is>
      </c>
      <c r="AY1825" t="inlineStr">
        <is>
          <t>Anmalan</t>
        </is>
      </c>
      <c r="AZ1825" t="inlineStr">
        <is>
          <t>2026-02-03</t>
        </is>
      </c>
      <c r="BA1825" t="inlineStr">
        <is>
          <t>MSN-2024-1016_2024-03-06_MSN-2022-4871_2023-02-16_Beslut_(2).pdf</t>
        </is>
      </c>
      <c r="BB1825" t="inlineStr">
        <is>
          <t>Handlingar rörande anmälningspliktiga verksamheter (C verksamheter)</t>
        </is>
      </c>
      <c r="BC1825" t="inlineStr">
        <is>
          <t>AUTO</t>
        </is>
      </c>
      <c r="BD1825" t="inlineStr"/>
      <c r="BE1825" t="inlineStr"/>
      <c r="BF1825" t="inlineStr">
        <is>
          <t>AUTO_GENERERAD. Bekrafta metadata mot kallfil.</t>
        </is>
      </c>
      <c r="BG1825">
        <f>HYPERLINK("C:\Users\jimmy\Desktop\Examens arbete\Kod\Ny mapp\remix_-copy-of-miljöbeslut.se-portal\MSN-2024-1016_2024-03-06_MSN-2022-4871_2023-02-16_Beslut_(2).pdf", "Öppna PDF")</f>
        <v/>
      </c>
    </row>
    <row r="1826">
      <c r="A1826" t="inlineStr">
        <is>
          <t>KRAV-AUTO-001825</t>
        </is>
      </c>
      <c r="B1826" t="inlineStr">
        <is>
          <t>ADMIN-INDEX-2026-02-27-00000000125C043F57453246863FE664CAFE6A3F0700950291EA24F0614FB6ACEDB12BF0E31D00000000010C0000950291EA24F0614FB6ACEDB12BF0E31D00002087AF080000</t>
        </is>
      </c>
      <c r="C1826" t="inlineStr">
        <is>
          <t>cmm4yunvp013kcuqwu71ju9j0</t>
        </is>
      </c>
      <c r="D1826" t="inlineStr">
        <is>
          <t>http://localhost:8787/api/admin/requirements/documents/cmm4yunvp013kcuqwu71ju9j0/view</t>
        </is>
      </c>
      <c r="E1826">
        <f>HYPERLÄNK("http://localhost:8787/api/admin/requirements/documents/cmm4yunvp013kcuqwu71ju9j0/view";"Öppna PDF")</f>
        <v/>
      </c>
      <c r="F1826">
        <f>HYPERLINK("http://localhost:8787/api/admin/requirements/documents/cmm4yunvp013kcuqwu71ju9j0/view","Open PDF")</f>
        <v/>
      </c>
      <c r="G1826" t="inlineStr">
        <is>
          <t>cmm55w57p0004cuisfrtpqly8</t>
        </is>
      </c>
      <c r="H1826" t="inlineStr">
        <is>
          <t>Informationskrav</t>
        </is>
      </c>
      <c r="I1826" t="inlineStr">
        <is>
          <t>DagvattenLakvatten</t>
        </is>
      </c>
      <c r="J1826" t="inlineStr">
        <is>
          <t>Uppsamling</t>
        </is>
      </c>
      <c r="K1826" t="inlineStr">
        <is>
          <t>Kommunen förelägger SkrotSmart AB att inkomma med en provtagningsplan som beskriver provtagning på utgående dagvatten och analys av dagvattnets innehåll av metaller inom 6 månader efter att verksamheten har tagits i drift.</t>
        </is>
      </c>
      <c r="L1826" t="inlineStr">
        <is>
          <t>Kommunen förelägger SkrotSmart AB att inkomma med en provtagningsplan som beskriver provtagning på utgående dagvatten och analys av dagvattnets innehåll av metaller inom 6 månader efter att verksamheten har tagits i drift.</t>
        </is>
      </c>
      <c r="M1826" t="inlineStr">
        <is>
          <t>INFO</t>
        </is>
      </c>
      <c r="N1826" t="inlineStr"/>
      <c r="O1826" t="inlineStr">
        <is>
          <t>inom 6 manader</t>
        </is>
      </c>
      <c r="P1826" t="inlineStr">
        <is>
          <t>Manadskontroll</t>
        </is>
      </c>
      <c r="Q1826" t="inlineStr">
        <is>
          <t>Forelaggande vid brist</t>
        </is>
      </c>
      <c r="R1826" t="inlineStr">
        <is>
          <t>Vid nederbord och avrinning</t>
        </is>
      </c>
      <c r="S1826" t="inlineStr"/>
      <c r="T1826" t="inlineStr">
        <is>
          <t>32 12 89</t>
        </is>
      </c>
      <c r="U1826" t="inlineStr"/>
      <c r="V1826" t="inlineStr">
        <is>
          <t>6 manader</t>
        </is>
      </c>
      <c r="W1826" t="inlineStr">
        <is>
          <t>Nej</t>
        </is>
      </c>
      <c r="X1826" t="inlineStr">
        <is>
          <t>Ja</t>
        </is>
      </c>
      <c r="Y1826" t="inlineStr">
        <is>
          <t>Ja</t>
        </is>
      </c>
      <c r="Z1826" t="inlineStr">
        <is>
          <t>Nej</t>
        </is>
      </c>
      <c r="AA1826" t="n">
        <v>6</v>
      </c>
      <c r="AB1826" t="inlineStr">
        <is>
          <t>Lakvattenhantering</t>
        </is>
      </c>
      <c r="AC1826" t="inlineStr">
        <is>
          <t>Flodesschema dagvatten-lakvatten</t>
        </is>
      </c>
      <c r="AD1826" t="inlineStr">
        <is>
          <t>Nej</t>
        </is>
      </c>
      <c r="AE1826" t="inlineStr">
        <is>
          <t>Nej</t>
        </is>
      </c>
      <c r="AF1826" t="inlineStr">
        <is>
          <t>Ej behandlad</t>
        </is>
      </c>
      <c r="AG1826" t="inlineStr">
        <is>
          <t>AUTO_GENERERAD. Verifiera citat mot kallfil.</t>
        </is>
      </c>
      <c r="AH1826" t="inlineStr">
        <is>
          <t>MEDIUM</t>
        </is>
      </c>
      <c r="AI1826" t="inlineStr">
        <is>
          <t>AUTO</t>
        </is>
      </c>
      <c r="AJ1826" t="inlineStr">
        <is>
          <t>Nej</t>
        </is>
      </c>
      <c r="AK1826" t="inlineStr"/>
      <c r="AL1826" t="inlineStr"/>
      <c r="AM1826" t="inlineStr"/>
      <c r="AN1826" t="inlineStr"/>
      <c r="AO1826" t="inlineStr">
        <is>
          <t>cmm4yunvp013kcuqwu71ju9j0</t>
        </is>
      </c>
      <c r="AP1826" t="inlineStr">
        <is>
          <t>http://localhost:8787/api/admin/requirements/documents/cmm4yunvp013kcuqwu71ju9j0/view</t>
        </is>
      </c>
      <c r="AQ1826">
        <f>HYPERLÄNK("http://localhost:8787/api/admin/requirements/documents/cmm4yunvp013kcuqwu71ju9j0/view";"Öppna PDF")</f>
        <v/>
      </c>
      <c r="AR1826">
        <f>HYPERLINK("http://localhost:8787/api/admin/requirements/documents/cmm4yunvp013kcuqwu71ju9j0/view","Open PDF")</f>
        <v/>
      </c>
      <c r="AS1826" t="inlineStr">
        <is>
          <t>cmm55w57p0004cuisfrtpqly8</t>
        </is>
      </c>
      <c r="AT1826" t="inlineStr">
        <is>
          <t>cmm4xvu980000cuh4vj0usz09</t>
        </is>
      </c>
      <c r="AU1826" t="inlineStr">
        <is>
          <t>i Karlskrona</t>
        </is>
      </c>
      <c r="AV1826" t="inlineStr">
        <is>
          <t>Kommun</t>
        </is>
      </c>
      <c r="AW1826" t="inlineStr">
        <is>
          <t>i Karlskrona kommun</t>
        </is>
      </c>
      <c r="AX1826" t="inlineStr">
        <is>
          <t>0455-32</t>
        </is>
      </c>
      <c r="AY1826" t="inlineStr">
        <is>
          <t>Anmalan</t>
        </is>
      </c>
      <c r="AZ1826" t="inlineStr">
        <is>
          <t>2026-02-03</t>
        </is>
      </c>
      <c r="BA1826" t="inlineStr">
        <is>
          <t>MSN-2024-1016_2024-03-06_MSN-2022-4871_2023-02-16_Beslut_(2).pdf</t>
        </is>
      </c>
      <c r="BB1826" t="inlineStr">
        <is>
          <t>Handlingar rörande anmälningspliktiga verksamheter (C verksamheter)</t>
        </is>
      </c>
      <c r="BC1826" t="inlineStr">
        <is>
          <t>AUTO</t>
        </is>
      </c>
      <c r="BD1826" t="inlineStr"/>
      <c r="BE1826" t="inlineStr"/>
      <c r="BF1826" t="inlineStr">
        <is>
          <t>AUTO_GENERERAD. Bekrafta metadata mot kallfil.</t>
        </is>
      </c>
      <c r="BG1826">
        <f>HYPERLINK("C:\Users\jimmy\Desktop\Examens arbete\Kod\Ny mapp\remix_-copy-of-miljöbeslut.se-portal\MSN-2024-1016_2024-03-06_MSN-2022-4871_2023-02-16_Beslut_(2).pdf", "Öppna PDF")</f>
        <v/>
      </c>
    </row>
    <row r="1827">
      <c r="A1827" t="inlineStr">
        <is>
          <t>KRAV-AUTO-001826</t>
        </is>
      </c>
      <c r="B1827" t="inlineStr">
        <is>
          <t>ADMIN-INDEX-2026-02-27-00000000125C043F57453246863FE664CAFE6A3F0700950291EA24F0614FB6ACEDB12BF0E31D00000000010C0000950291EA24F0614FB6ACEDB12BF0E31D00002087AF080000</t>
        </is>
      </c>
      <c r="C1827" t="inlineStr">
        <is>
          <t>cmm4yunvp013kcuqwu71ju9j0</t>
        </is>
      </c>
      <c r="D1827" t="inlineStr">
        <is>
          <t>http://localhost:8787/api/admin/requirements/documents/cmm4yunvp013kcuqwu71ju9j0/view</t>
        </is>
      </c>
      <c r="E1827">
        <f>HYPERLÄNK("http://localhost:8787/api/admin/requirements/documents/cmm4yunvp013kcuqwu71ju9j0/view";"Öppna PDF")</f>
        <v/>
      </c>
      <c r="F1827">
        <f>HYPERLINK("http://localhost:8787/api/admin/requirements/documents/cmm4yunvp013kcuqwu71ju9j0/view","Open PDF")</f>
        <v/>
      </c>
      <c r="G1827" t="inlineStr">
        <is>
          <t>cmm55w57p0004cuisfrtpqly8</t>
        </is>
      </c>
      <c r="H1827" t="inlineStr">
        <is>
          <t>Informationskrav</t>
        </is>
      </c>
      <c r="I1827" t="inlineStr">
        <is>
          <t>DagvattenLakvatten</t>
        </is>
      </c>
      <c r="J1827" t="inlineStr">
        <is>
          <t>Uppsamling</t>
        </is>
      </c>
      <c r="K1827" t="inlineStr">
        <is>
          <t>Inom 6 månader efter verksamheten har satt igång ska verksamhetsutövaren inkomma till tillsynsmyndigheten med en provtagningsplan som beskriver provtagning och analys av dagvattnets innehåll av metaller på utgående dagvatten.</t>
        </is>
      </c>
      <c r="L1827" t="inlineStr">
        <is>
          <t>Inom 6 månader efter verksamheten har satt igång ska verksamhetsutövaren inkomma till tillsynsmyndigheten med en provtagningsplan som beskriver provtagning och analys av dagvattnets innehåll av metaller på utgående dagvatten.</t>
        </is>
      </c>
      <c r="M1827" t="inlineStr">
        <is>
          <t>SKA</t>
        </is>
      </c>
      <c r="N1827" t="inlineStr"/>
      <c r="O1827" t="inlineStr">
        <is>
          <t>inom 6 manader</t>
        </is>
      </c>
      <c r="P1827" t="inlineStr">
        <is>
          <t>Manadskontroll</t>
        </is>
      </c>
      <c r="Q1827" t="inlineStr"/>
      <c r="R1827" t="inlineStr">
        <is>
          <t>Vid nederbord och avrinning</t>
        </is>
      </c>
      <c r="S1827" t="inlineStr"/>
      <c r="T1827" t="inlineStr">
        <is>
          <t>32 12 89</t>
        </is>
      </c>
      <c r="U1827" t="inlineStr"/>
      <c r="V1827" t="inlineStr">
        <is>
          <t>6 manader</t>
        </is>
      </c>
      <c r="W1827" t="inlineStr">
        <is>
          <t>Nej</t>
        </is>
      </c>
      <c r="X1827" t="inlineStr">
        <is>
          <t>Ja</t>
        </is>
      </c>
      <c r="Y1827" t="inlineStr">
        <is>
          <t>Ja</t>
        </is>
      </c>
      <c r="Z1827" t="inlineStr">
        <is>
          <t>Nej</t>
        </is>
      </c>
      <c r="AA1827" t="n">
        <v>6</v>
      </c>
      <c r="AB1827" t="inlineStr">
        <is>
          <t>Lakvattenhantering</t>
        </is>
      </c>
      <c r="AC1827" t="inlineStr">
        <is>
          <t>Flodesschema dagvatten-lakvatten</t>
        </is>
      </c>
      <c r="AD1827" t="inlineStr">
        <is>
          <t>Nej</t>
        </is>
      </c>
      <c r="AE1827" t="inlineStr">
        <is>
          <t>Nej</t>
        </is>
      </c>
      <c r="AF1827" t="inlineStr">
        <is>
          <t>Ej behandlad</t>
        </is>
      </c>
      <c r="AG1827" t="inlineStr">
        <is>
          <t>AUTO_GENERERAD. Verifiera citat mot kallfil.</t>
        </is>
      </c>
      <c r="AH1827" t="inlineStr">
        <is>
          <t>MEDIUM</t>
        </is>
      </c>
      <c r="AI1827" t="inlineStr">
        <is>
          <t>AUTO</t>
        </is>
      </c>
      <c r="AJ1827" t="inlineStr">
        <is>
          <t>Nej</t>
        </is>
      </c>
      <c r="AK1827" t="inlineStr"/>
      <c r="AL1827" t="inlineStr"/>
      <c r="AM1827" t="inlineStr"/>
      <c r="AN1827" t="inlineStr"/>
      <c r="AO1827" t="inlineStr">
        <is>
          <t>cmm4yunvp013kcuqwu71ju9j0</t>
        </is>
      </c>
      <c r="AP1827" t="inlineStr">
        <is>
          <t>http://localhost:8787/api/admin/requirements/documents/cmm4yunvp013kcuqwu71ju9j0/view</t>
        </is>
      </c>
      <c r="AQ1827">
        <f>HYPERLÄNK("http://localhost:8787/api/admin/requirements/documents/cmm4yunvp013kcuqwu71ju9j0/view";"Öppna PDF")</f>
        <v/>
      </c>
      <c r="AR1827">
        <f>HYPERLINK("http://localhost:8787/api/admin/requirements/documents/cmm4yunvp013kcuqwu71ju9j0/view","Open PDF")</f>
        <v/>
      </c>
      <c r="AS1827" t="inlineStr">
        <is>
          <t>cmm55w57p0004cuisfrtpqly8</t>
        </is>
      </c>
      <c r="AT1827" t="inlineStr">
        <is>
          <t>cmm4xvu980000cuh4vj0usz09</t>
        </is>
      </c>
      <c r="AU1827" t="inlineStr">
        <is>
          <t>i Karlskrona</t>
        </is>
      </c>
      <c r="AV1827" t="inlineStr">
        <is>
          <t>Kommun</t>
        </is>
      </c>
      <c r="AW1827" t="inlineStr">
        <is>
          <t>i Karlskrona kommun</t>
        </is>
      </c>
      <c r="AX1827" t="inlineStr">
        <is>
          <t>0455-32</t>
        </is>
      </c>
      <c r="AY1827" t="inlineStr">
        <is>
          <t>Anmalan</t>
        </is>
      </c>
      <c r="AZ1827" t="inlineStr">
        <is>
          <t>2026-02-03</t>
        </is>
      </c>
      <c r="BA1827" t="inlineStr">
        <is>
          <t>MSN-2024-1016_2024-03-06_MSN-2022-4871_2023-02-16_Beslut_(2).pdf</t>
        </is>
      </c>
      <c r="BB1827" t="inlineStr">
        <is>
          <t>Handlingar rörande anmälningspliktiga verksamheter (C verksamheter)</t>
        </is>
      </c>
      <c r="BC1827" t="inlineStr">
        <is>
          <t>AUTO</t>
        </is>
      </c>
      <c r="BD1827" t="inlineStr"/>
      <c r="BE1827" t="inlineStr"/>
      <c r="BF1827" t="inlineStr">
        <is>
          <t>AUTO_GENERERAD. Bekrafta metadata mot kallfil.</t>
        </is>
      </c>
      <c r="BG1827">
        <f>HYPERLINK("C:\Users\jimmy\Desktop\Examens arbete\Kod\Ny mapp\remix_-copy-of-miljöbeslut.se-portal\MSN-2024-1016_2024-03-06_MSN-2022-4871_2023-02-16_Beslut_(2).pdf", "Öppna PDF")</f>
        <v/>
      </c>
    </row>
    <row r="1828">
      <c r="A1828" t="inlineStr">
        <is>
          <t>KRAV-AUTO-001827</t>
        </is>
      </c>
      <c r="B1828" t="inlineStr">
        <is>
          <t>ADMIN-INDEX-2026-02-27-00000000125C043F57453246863FE664CAFE6A3F0700950291EA24F0614FB6ACEDB12BF0E31D00000000010C0000950291EA24F0614FB6ACEDB12BF0E31D00002087AF080000</t>
        </is>
      </c>
      <c r="C1828" t="inlineStr">
        <is>
          <t>cmm4yunvj013ecuqw2onfjva0</t>
        </is>
      </c>
      <c r="D1828" t="inlineStr">
        <is>
          <t>http://localhost:8787/api/admin/requirements/documents/cmm4yunvj013ecuqw2onfjva0/view</t>
        </is>
      </c>
      <c r="E1828">
        <f>HYPERLÄNK("http://localhost:8787/api/admin/requirements/documents/cmm4yunvj013ecuqw2onfjva0/view";"Öppna PDF")</f>
        <v/>
      </c>
      <c r="F1828">
        <f>HYPERLINK("http://localhost:8787/api/admin/requirements/documents/cmm4yunvj013ecuqw2onfjva0/view","Open PDF")</f>
        <v/>
      </c>
      <c r="G1828" t="inlineStr">
        <is>
          <t>cmm55w57p0004cuisfrtpqly8</t>
        </is>
      </c>
      <c r="H1828" t="inlineStr">
        <is>
          <t>Informationskrav</t>
        </is>
      </c>
      <c r="I1828" t="inlineStr">
        <is>
          <t>Ytkonstruktion</t>
        </is>
      </c>
      <c r="J1828" t="inlineStr">
        <is>
          <t>Tat yta</t>
        </is>
      </c>
      <c r="K1828" t="inlineStr">
        <is>
          <t>Förvaring av flytande kemiska produkter och flytande farligt avfall ska ske på en yta som är ogenomsläpplig för de aktuella ämnena, invallad och nederbördsskyddad samt skyddad mot påkörning.</t>
        </is>
      </c>
      <c r="L1828" t="inlineStr">
        <is>
          <t>Förvaring av flytande kemiska produkter och flytande farligt avfall ska ske på en yta som är ogenomsläpplig för de aktuella ämnena, invallad och nederbördsskyddad samt skyddad mot påkörning.</t>
        </is>
      </c>
      <c r="M1828" t="inlineStr">
        <is>
          <t>SKA</t>
        </is>
      </c>
      <c r="N1828" t="inlineStr"/>
      <c r="O1828" t="inlineStr"/>
      <c r="P1828" t="inlineStr">
        <is>
          <t>Arlig</t>
        </is>
      </c>
      <c r="Q1828" t="inlineStr"/>
      <c r="R1828" t="inlineStr">
        <is>
          <t>Vid mellanlagring av avfall</t>
        </is>
      </c>
      <c r="S1828" t="inlineStr"/>
      <c r="T1828" t="inlineStr">
        <is>
          <t>303610</t>
        </is>
      </c>
      <c r="U1828" t="inlineStr"/>
      <c r="V1828" t="inlineStr"/>
      <c r="W1828" t="inlineStr">
        <is>
          <t>Ja</t>
        </is>
      </c>
      <c r="X1828" t="inlineStr">
        <is>
          <t>Nej</t>
        </is>
      </c>
      <c r="Y1828" t="inlineStr">
        <is>
          <t>Nej</t>
        </is>
      </c>
      <c r="Z1828" t="inlineStr">
        <is>
          <t>Nej</t>
        </is>
      </c>
      <c r="AA1828" t="n">
        <v>5</v>
      </c>
      <c r="AB1828" t="inlineStr">
        <is>
          <t>Teknisk beskrivning av platta</t>
        </is>
      </c>
      <c r="AC1828" t="inlineStr">
        <is>
          <t>Teknisk ritning platta</t>
        </is>
      </c>
      <c r="AD1828" t="inlineStr">
        <is>
          <t>Nej</t>
        </is>
      </c>
      <c r="AE1828" t="inlineStr">
        <is>
          <t>Nej</t>
        </is>
      </c>
      <c r="AF1828" t="inlineStr">
        <is>
          <t>Ej behandlad</t>
        </is>
      </c>
      <c r="AG1828" t="inlineStr">
        <is>
          <t>AUTO_GENERERAD. Verifiera citat mot kallfil.</t>
        </is>
      </c>
      <c r="AH1828" t="inlineStr">
        <is>
          <t>MEDIUM</t>
        </is>
      </c>
      <c r="AI1828" t="inlineStr">
        <is>
          <t>AUTO</t>
        </is>
      </c>
      <c r="AJ1828" t="inlineStr">
        <is>
          <t>Nej</t>
        </is>
      </c>
      <c r="AK1828" t="inlineStr"/>
      <c r="AL1828" t="inlineStr"/>
      <c r="AM1828" t="inlineStr"/>
      <c r="AN1828" t="inlineStr"/>
      <c r="AO1828" t="inlineStr">
        <is>
          <t>cmm4yunvp013kcuqwu71ju9j0</t>
        </is>
      </c>
      <c r="AP1828" t="inlineStr">
        <is>
          <t>http://localhost:8787/api/admin/requirements/documents/cmm4yunvp013kcuqwu71ju9j0/view</t>
        </is>
      </c>
      <c r="AQ1828">
        <f>HYPERLÄNK("http://localhost:8787/api/admin/requirements/documents/cmm4yunvp013kcuqwu71ju9j0/view";"Öppna PDF")</f>
        <v/>
      </c>
      <c r="AR1828">
        <f>HYPERLINK("http://localhost:8787/api/admin/requirements/documents/cmm4yunvp013kcuqwu71ju9j0/view","Open PDF")</f>
        <v/>
      </c>
      <c r="AS1828" t="inlineStr">
        <is>
          <t>cmm55w57p0004cuisfrtpqly8</t>
        </is>
      </c>
      <c r="AT1828" t="inlineStr">
        <is>
          <t>cmm4xvu980000cuh4vj0usz09</t>
        </is>
      </c>
      <c r="AU1828" t="inlineStr">
        <is>
          <t>i Karlskrona</t>
        </is>
      </c>
      <c r="AV1828" t="inlineStr">
        <is>
          <t>Kommun</t>
        </is>
      </c>
      <c r="AW1828" t="inlineStr">
        <is>
          <t>i Karlskrona kommun</t>
        </is>
      </c>
      <c r="AX1828" t="inlineStr">
        <is>
          <t>0455-32</t>
        </is>
      </c>
      <c r="AY1828" t="inlineStr">
        <is>
          <t>Anmalan</t>
        </is>
      </c>
      <c r="AZ1828" t="inlineStr">
        <is>
          <t>2026-02-03</t>
        </is>
      </c>
      <c r="BA1828" t="inlineStr">
        <is>
          <t>MSN-2024-1016_2024-03-06_MSN-2022-4871_2023-02-16_Beslut_(2).pdf</t>
        </is>
      </c>
      <c r="BB1828" t="inlineStr">
        <is>
          <t>Handlingar rörande anmälningspliktiga verksamheter (C verksamheter)</t>
        </is>
      </c>
      <c r="BC1828" t="inlineStr">
        <is>
          <t>AUTO</t>
        </is>
      </c>
      <c r="BD1828" t="inlineStr"/>
      <c r="BE1828" t="inlineStr"/>
      <c r="BF1828" t="inlineStr">
        <is>
          <t>AUTO_GENERERAD. Bekrafta metadata mot kallfil.</t>
        </is>
      </c>
      <c r="BG1828">
        <f>HYPERLINK("C:\Users\jimmy\Desktop\Examens arbete\Kod\Ny mapp\remix_-copy-of-miljöbeslut.se-portal\MSN-2024-1016_2024-03-06_MSN-2022-4871_2023-02-16_Beslut_(2).pdf", "Öppna PDF")</f>
        <v/>
      </c>
    </row>
    <row r="1829">
      <c r="A1829" t="inlineStr">
        <is>
          <t>KRAV-AUTO-001828</t>
        </is>
      </c>
      <c r="B1829" t="inlineStr">
        <is>
          <t>ADMIN-INDEX-2026-02-27-00000000125C043F57453246863FE664CAFE6A3F0700950291EA24F0614FB6ACEDB12BF0E31D00000000010C0000950291EA24F0614FB6ACEDB12BF0E31D00002087AF080000</t>
        </is>
      </c>
      <c r="C1829" t="inlineStr">
        <is>
          <t>cmm4yunvj013ecuqw2onfjva0</t>
        </is>
      </c>
      <c r="D1829" t="inlineStr">
        <is>
          <t>http://localhost:8787/api/admin/requirements/documents/cmm4yunvj013ecuqw2onfjva0/view</t>
        </is>
      </c>
      <c r="E1829">
        <f>HYPERLÄNK("http://localhost:8787/api/admin/requirements/documents/cmm4yunvj013ecuqw2onfjva0/view";"Öppna PDF")</f>
        <v/>
      </c>
      <c r="F1829">
        <f>HYPERLINK("http://localhost:8787/api/admin/requirements/documents/cmm4yunvj013ecuqw2onfjva0/view","Open PDF")</f>
        <v/>
      </c>
      <c r="G1829" t="inlineStr">
        <is>
          <t>cmm55w57p0004cuisfrtpqly8</t>
        </is>
      </c>
      <c r="H1829" t="inlineStr">
        <is>
          <t>Informationskrav</t>
        </is>
      </c>
      <c r="I1829" t="inlineStr">
        <is>
          <t>Ytkonstruktion</t>
        </is>
      </c>
      <c r="J1829" t="inlineStr">
        <is>
          <t>Tat yta</t>
        </is>
      </c>
      <c r="K1829" t="inlineStr">
        <is>
          <t>Förvaringen av flytande farligt avfall och -- 11 of 15 -- Öppen information flytande kemikalier ska ske på en yta som är ogenomsläpplig och invallad samt skyddad mot påkörning.</t>
        </is>
      </c>
      <c r="L1829" t="inlineStr">
        <is>
          <t>Förvaringen av flytande farligt avfall och -- 11 of 15 -- Öppen information flytande kemikalier ska ske på en yta som är ogenomsläpplig och invallad samt skyddad mot påkörning.</t>
        </is>
      </c>
      <c r="M1829" t="inlineStr">
        <is>
          <t>SKA</t>
        </is>
      </c>
      <c r="N1829" t="inlineStr"/>
      <c r="O1829" t="inlineStr"/>
      <c r="P1829" t="inlineStr">
        <is>
          <t>Arlig</t>
        </is>
      </c>
      <c r="Q1829" t="inlineStr"/>
      <c r="R1829" t="inlineStr">
        <is>
          <t>Vid mellanlagring av avfall</t>
        </is>
      </c>
      <c r="S1829" t="inlineStr"/>
      <c r="T1829" t="inlineStr">
        <is>
          <t>303610</t>
        </is>
      </c>
      <c r="U1829" t="inlineStr"/>
      <c r="V1829" t="inlineStr"/>
      <c r="W1829" t="inlineStr">
        <is>
          <t>Ja</t>
        </is>
      </c>
      <c r="X1829" t="inlineStr">
        <is>
          <t>Nej</t>
        </is>
      </c>
      <c r="Y1829" t="inlineStr">
        <is>
          <t>Nej</t>
        </is>
      </c>
      <c r="Z1829" t="inlineStr">
        <is>
          <t>Nej</t>
        </is>
      </c>
      <c r="AA1829" t="n">
        <v>5</v>
      </c>
      <c r="AB1829" t="inlineStr">
        <is>
          <t>Teknisk beskrivning av platta</t>
        </is>
      </c>
      <c r="AC1829" t="inlineStr">
        <is>
          <t>Teknisk ritning platta</t>
        </is>
      </c>
      <c r="AD1829" t="inlineStr">
        <is>
          <t>Nej</t>
        </is>
      </c>
      <c r="AE1829" t="inlineStr">
        <is>
          <t>Nej</t>
        </is>
      </c>
      <c r="AF1829" t="inlineStr">
        <is>
          <t>Ej behandlad</t>
        </is>
      </c>
      <c r="AG1829" t="inlineStr">
        <is>
          <t>AUTO_GENERERAD. Verifiera citat mot kallfil.</t>
        </is>
      </c>
      <c r="AH1829" t="inlineStr">
        <is>
          <t>MEDIUM</t>
        </is>
      </c>
      <c r="AI1829" t="inlineStr">
        <is>
          <t>AUTO</t>
        </is>
      </c>
      <c r="AJ1829" t="inlineStr">
        <is>
          <t>Nej</t>
        </is>
      </c>
      <c r="AK1829" t="inlineStr"/>
      <c r="AL1829" t="inlineStr"/>
      <c r="AM1829" t="inlineStr"/>
      <c r="AN1829" t="inlineStr"/>
      <c r="AO1829" t="inlineStr">
        <is>
          <t>cmm4yunvp013kcuqwu71ju9j0</t>
        </is>
      </c>
      <c r="AP1829" t="inlineStr">
        <is>
          <t>http://localhost:8787/api/admin/requirements/documents/cmm4yunvp013kcuqwu71ju9j0/view</t>
        </is>
      </c>
      <c r="AQ1829">
        <f>HYPERLÄNK("http://localhost:8787/api/admin/requirements/documents/cmm4yunvp013kcuqwu71ju9j0/view";"Öppna PDF")</f>
        <v/>
      </c>
      <c r="AR1829">
        <f>HYPERLINK("http://localhost:8787/api/admin/requirements/documents/cmm4yunvp013kcuqwu71ju9j0/view","Open PDF")</f>
        <v/>
      </c>
      <c r="AS1829" t="inlineStr">
        <is>
          <t>cmm55w57p0004cuisfrtpqly8</t>
        </is>
      </c>
      <c r="AT1829" t="inlineStr">
        <is>
          <t>cmm4xvu980000cuh4vj0usz09</t>
        </is>
      </c>
      <c r="AU1829" t="inlineStr">
        <is>
          <t>i Karlskrona</t>
        </is>
      </c>
      <c r="AV1829" t="inlineStr">
        <is>
          <t>Kommun</t>
        </is>
      </c>
      <c r="AW1829" t="inlineStr">
        <is>
          <t>i Karlskrona kommun</t>
        </is>
      </c>
      <c r="AX1829" t="inlineStr">
        <is>
          <t>0455-32</t>
        </is>
      </c>
      <c r="AY1829" t="inlineStr">
        <is>
          <t>Anmalan</t>
        </is>
      </c>
      <c r="AZ1829" t="inlineStr">
        <is>
          <t>2026-02-03</t>
        </is>
      </c>
      <c r="BA1829" t="inlineStr">
        <is>
          <t>MSN-2024-1016_2024-03-06_MSN-2022-4871_2023-02-16_Beslut_(2).pdf</t>
        </is>
      </c>
      <c r="BB1829" t="inlineStr">
        <is>
          <t>Handlingar rörande anmälningspliktiga verksamheter (C verksamheter)</t>
        </is>
      </c>
      <c r="BC1829" t="inlineStr">
        <is>
          <t>AUTO</t>
        </is>
      </c>
      <c r="BD1829" t="inlineStr"/>
      <c r="BE1829" t="inlineStr"/>
      <c r="BF1829" t="inlineStr">
        <is>
          <t>AUTO_GENERERAD. Bekrafta metadata mot kallfil.</t>
        </is>
      </c>
      <c r="BG1829">
        <f>HYPERLINK("C:\Users\jimmy\Desktop\Examens arbete\Kod\Ny mapp\remix_-copy-of-miljöbeslut.se-portal\MSN-2024-1016_2024-03-06_MSN-2022-4871_2023-02-16_Beslut_(2).pdf", "Öppna PDF")</f>
        <v/>
      </c>
    </row>
    <row r="1830">
      <c r="A1830" t="inlineStr">
        <is>
          <t>KRAV-AUTO-001829</t>
        </is>
      </c>
      <c r="B1830" t="inlineStr">
        <is>
          <t>ADMIN-INDEX-2026-02-27-00000000125C043F57453246863FE664CAFE6A3F0700950291EA24F0614FB6ACEDB12BF0E31D00000000010C0000950291EA24F0614FB6ACEDB12BF0E31D00002087AF080000</t>
        </is>
      </c>
      <c r="C1830" t="inlineStr">
        <is>
          <t>cmm4yunvj013ecuqw2onfjva0</t>
        </is>
      </c>
      <c r="D1830" t="inlineStr">
        <is>
          <t>http://localhost:8787/api/admin/requirements/documents/cmm4yunvj013ecuqw2onfjva0/view</t>
        </is>
      </c>
      <c r="E1830">
        <f>HYPERLÄNK("http://localhost:8787/api/admin/requirements/documents/cmm4yunvj013ecuqw2onfjva0/view";"Öppna PDF")</f>
        <v/>
      </c>
      <c r="F1830">
        <f>HYPERLINK("http://localhost:8787/api/admin/requirements/documents/cmm4yunvj013ecuqw2onfjva0/view","Open PDF")</f>
        <v/>
      </c>
      <c r="G1830" t="inlineStr">
        <is>
          <t>cmm55w57p0004cuisfrtpqly8</t>
        </is>
      </c>
      <c r="H1830" t="inlineStr">
        <is>
          <t>Informationskrav</t>
        </is>
      </c>
      <c r="I1830" t="inlineStr">
        <is>
          <t>DagvattenLakvatten</t>
        </is>
      </c>
      <c r="J1830" t="inlineStr">
        <is>
          <t>Uppsamling</t>
        </is>
      </c>
      <c r="K1830" t="inlineStr">
        <is>
          <t>Vatten som avleds till dagvattensystemet från hårdgjorda ytor, där avfall lagras och hanteras eller där fordon står uppställda ska passera en oljeavskiljare innan det lämnar anläggningen.</t>
        </is>
      </c>
      <c r="L1830" t="inlineStr">
        <is>
          <t>Vatten som avleds till dagvattensystemet från hårdgjorda ytor, där avfall lagras och hanteras eller där fordon står uppställda ska passera en oljeavskiljare innan det lämnar anläggningen.</t>
        </is>
      </c>
      <c r="M1830" t="inlineStr">
        <is>
          <t>SKA</t>
        </is>
      </c>
      <c r="N1830" t="inlineStr"/>
      <c r="O1830" t="inlineStr"/>
      <c r="P1830" t="inlineStr"/>
      <c r="Q1830" t="inlineStr"/>
      <c r="R1830" t="inlineStr">
        <is>
          <t>Vid nederbord och avrinning</t>
        </is>
      </c>
      <c r="S1830" t="inlineStr"/>
      <c r="T1830" t="inlineStr">
        <is>
          <t>303610</t>
        </is>
      </c>
      <c r="U1830" t="inlineStr"/>
      <c r="V1830" t="inlineStr"/>
      <c r="W1830" t="inlineStr">
        <is>
          <t>Nej</t>
        </is>
      </c>
      <c r="X1830" t="inlineStr">
        <is>
          <t>Ja</t>
        </is>
      </c>
      <c r="Y1830" t="inlineStr">
        <is>
          <t>Ja</t>
        </is>
      </c>
      <c r="Z1830" t="inlineStr">
        <is>
          <t>Nej</t>
        </is>
      </c>
      <c r="AA1830" t="n">
        <v>6</v>
      </c>
      <c r="AB1830" t="inlineStr">
        <is>
          <t>Lakvattenhantering</t>
        </is>
      </c>
      <c r="AC1830" t="inlineStr">
        <is>
          <t>Flodesschema dagvatten-lakvatten</t>
        </is>
      </c>
      <c r="AD1830" t="inlineStr">
        <is>
          <t>Nej</t>
        </is>
      </c>
      <c r="AE1830" t="inlineStr">
        <is>
          <t>Nej</t>
        </is>
      </c>
      <c r="AF1830" t="inlineStr">
        <is>
          <t>Ej behandlad</t>
        </is>
      </c>
      <c r="AG1830" t="inlineStr">
        <is>
          <t>AUTO_GENERERAD. Verifiera citat mot kallfil.</t>
        </is>
      </c>
      <c r="AH1830" t="inlineStr">
        <is>
          <t>MEDIUM</t>
        </is>
      </c>
      <c r="AI1830" t="inlineStr">
        <is>
          <t>AUTO</t>
        </is>
      </c>
      <c r="AJ1830" t="inlineStr">
        <is>
          <t>Nej</t>
        </is>
      </c>
      <c r="AK1830" t="inlineStr"/>
      <c r="AL1830" t="inlineStr"/>
      <c r="AM1830" t="inlineStr"/>
      <c r="AN1830" t="inlineStr"/>
      <c r="AO1830" t="inlineStr">
        <is>
          <t>cmm4yunvp013kcuqwu71ju9j0</t>
        </is>
      </c>
      <c r="AP1830" t="inlineStr">
        <is>
          <t>http://localhost:8787/api/admin/requirements/documents/cmm4yunvp013kcuqwu71ju9j0/view</t>
        </is>
      </c>
      <c r="AQ1830">
        <f>HYPERLÄNK("http://localhost:8787/api/admin/requirements/documents/cmm4yunvp013kcuqwu71ju9j0/view";"Öppna PDF")</f>
        <v/>
      </c>
      <c r="AR1830">
        <f>HYPERLINK("http://localhost:8787/api/admin/requirements/documents/cmm4yunvp013kcuqwu71ju9j0/view","Open PDF")</f>
        <v/>
      </c>
      <c r="AS1830" t="inlineStr">
        <is>
          <t>cmm55w57p0004cuisfrtpqly8</t>
        </is>
      </c>
      <c r="AT1830" t="inlineStr">
        <is>
          <t>cmm4xvu980000cuh4vj0usz09</t>
        </is>
      </c>
      <c r="AU1830" t="inlineStr">
        <is>
          <t>i Karlskrona</t>
        </is>
      </c>
      <c r="AV1830" t="inlineStr">
        <is>
          <t>Kommun</t>
        </is>
      </c>
      <c r="AW1830" t="inlineStr">
        <is>
          <t>i Karlskrona kommun</t>
        </is>
      </c>
      <c r="AX1830" t="inlineStr">
        <is>
          <t>0455-32</t>
        </is>
      </c>
      <c r="AY1830" t="inlineStr">
        <is>
          <t>Anmalan</t>
        </is>
      </c>
      <c r="AZ1830" t="inlineStr">
        <is>
          <t>2026-02-03</t>
        </is>
      </c>
      <c r="BA1830" t="inlineStr">
        <is>
          <t>MSN-2024-1016_2024-03-06_MSN-2022-4871_2023-02-16_Beslut_(2).pdf</t>
        </is>
      </c>
      <c r="BB1830" t="inlineStr">
        <is>
          <t>Handlingar rörande anmälningspliktiga verksamheter (C verksamheter)</t>
        </is>
      </c>
      <c r="BC1830" t="inlineStr">
        <is>
          <t>AUTO</t>
        </is>
      </c>
      <c r="BD1830" t="inlineStr"/>
      <c r="BE1830" t="inlineStr"/>
      <c r="BF1830" t="inlineStr">
        <is>
          <t>AUTO_GENERERAD. Bekrafta metadata mot kallfil.</t>
        </is>
      </c>
      <c r="BG1830">
        <f>HYPERLINK("C:\Users\jimmy\Desktop\Examens arbete\Kod\Ny mapp\remix_-copy-of-miljöbeslut.se-portal\MSN-2024-1016_2024-03-06_MSN-2022-4871_2023-02-16_Beslut_(2).pdf", "Öppna PDF")</f>
        <v/>
      </c>
    </row>
    <row r="1831">
      <c r="A1831" t="inlineStr">
        <is>
          <t>KRAV-AUTO-001830</t>
        </is>
      </c>
      <c r="B1831" t="inlineStr">
        <is>
          <t>ADMIN-INDEX-2026-02-27-00000000125C043F57453246863FE664CAFE6A3F0700950291EA24F0614FB6ACEDB12BF0E31D00000000010C0000950291EA24F0614FB6ACEDB12BF0E31D00002087AF080000</t>
        </is>
      </c>
      <c r="C1831" t="inlineStr">
        <is>
          <t>cmm4yunvd0138cuqwzh9atl9b</t>
        </is>
      </c>
      <c r="D1831" t="inlineStr">
        <is>
          <t>http://localhost:8787/api/admin/requirements/documents/cmm4yunvd0138cuqwzh9atl9b/view</t>
        </is>
      </c>
      <c r="E1831">
        <f>HYPERLÄNK("http://localhost:8787/api/admin/requirements/documents/cmm4yunvd0138cuqwzh9atl9b/view";"Öppna PDF")</f>
        <v/>
      </c>
      <c r="F1831">
        <f>HYPERLINK("http://localhost:8787/api/admin/requirements/documents/cmm4yunvd0138cuqwzh9atl9b/view","Open PDF")</f>
        <v/>
      </c>
      <c r="G1831" t="inlineStr">
        <is>
          <t>cmm55w57p0004cuisfrtpqly8</t>
        </is>
      </c>
      <c r="H1831" t="inlineStr">
        <is>
          <t>Informationskrav</t>
        </is>
      </c>
      <c r="I1831" t="inlineStr">
        <is>
          <t>Ytkonstruktion</t>
        </is>
      </c>
      <c r="J1831" t="inlineStr">
        <is>
          <t>Tat yta</t>
        </is>
      </c>
      <c r="K1831" t="inlineStr">
        <is>
          <t>Flytande farligt avfall och kemiska produkter ska förvaras invallat och nederbördsskyddat.</t>
        </is>
      </c>
      <c r="L1831" t="inlineStr">
        <is>
          <t>Flytande farligt avfall och kemiska produkter ska förvaras invallat och nederbördsskyddat.</t>
        </is>
      </c>
      <c r="M1831" t="inlineStr">
        <is>
          <t>SKA</t>
        </is>
      </c>
      <c r="N1831" t="inlineStr"/>
      <c r="O1831" t="inlineStr"/>
      <c r="P1831" t="inlineStr">
        <is>
          <t>Arlig</t>
        </is>
      </c>
      <c r="Q1831" t="inlineStr"/>
      <c r="R1831" t="inlineStr">
        <is>
          <t>Vid mellanlagring av avfall</t>
        </is>
      </c>
      <c r="S1831" t="inlineStr"/>
      <c r="T1831" t="inlineStr">
        <is>
          <t>30 30 80</t>
        </is>
      </c>
      <c r="U1831" t="inlineStr"/>
      <c r="V1831" t="inlineStr"/>
      <c r="W1831" t="inlineStr">
        <is>
          <t>Ja</t>
        </is>
      </c>
      <c r="X1831" t="inlineStr">
        <is>
          <t>Nej</t>
        </is>
      </c>
      <c r="Y1831" t="inlineStr">
        <is>
          <t>Nej</t>
        </is>
      </c>
      <c r="Z1831" t="inlineStr">
        <is>
          <t>Nej</t>
        </is>
      </c>
      <c r="AA1831" t="n">
        <v>5</v>
      </c>
      <c r="AB1831" t="inlineStr">
        <is>
          <t>Teknisk beskrivning av platta</t>
        </is>
      </c>
      <c r="AC1831" t="inlineStr">
        <is>
          <t>Teknisk ritning platta</t>
        </is>
      </c>
      <c r="AD1831" t="inlineStr">
        <is>
          <t>Nej</t>
        </is>
      </c>
      <c r="AE1831" t="inlineStr">
        <is>
          <t>Nej</t>
        </is>
      </c>
      <c r="AF1831" t="inlineStr">
        <is>
          <t>Ej behandlad</t>
        </is>
      </c>
      <c r="AG1831" t="inlineStr">
        <is>
          <t>AUTO_GENERERAD. Verifiera citat mot kallfil.</t>
        </is>
      </c>
      <c r="AH1831" t="inlineStr">
        <is>
          <t>MEDIUM</t>
        </is>
      </c>
      <c r="AI1831" t="inlineStr">
        <is>
          <t>AUTO</t>
        </is>
      </c>
      <c r="AJ1831" t="inlineStr">
        <is>
          <t>Nej</t>
        </is>
      </c>
      <c r="AK1831" t="inlineStr"/>
      <c r="AL1831" t="inlineStr"/>
      <c r="AM1831" t="inlineStr"/>
      <c r="AN1831" t="inlineStr"/>
      <c r="AO1831" t="inlineStr">
        <is>
          <t>cmm4yunvp013kcuqwu71ju9j0</t>
        </is>
      </c>
      <c r="AP1831" t="inlineStr">
        <is>
          <t>http://localhost:8787/api/admin/requirements/documents/cmm4yunvp013kcuqwu71ju9j0/view</t>
        </is>
      </c>
      <c r="AQ1831">
        <f>HYPERLÄNK("http://localhost:8787/api/admin/requirements/documents/cmm4yunvp013kcuqwu71ju9j0/view";"Öppna PDF")</f>
        <v/>
      </c>
      <c r="AR1831">
        <f>HYPERLINK("http://localhost:8787/api/admin/requirements/documents/cmm4yunvp013kcuqwu71ju9j0/view","Open PDF")</f>
        <v/>
      </c>
      <c r="AS1831" t="inlineStr">
        <is>
          <t>cmm55w57p0004cuisfrtpqly8</t>
        </is>
      </c>
      <c r="AT1831" t="inlineStr">
        <is>
          <t>cmm4xvu980000cuh4vj0usz09</t>
        </is>
      </c>
      <c r="AU1831" t="inlineStr">
        <is>
          <t>i Karlskrona</t>
        </is>
      </c>
      <c r="AV1831" t="inlineStr">
        <is>
          <t>Kommun</t>
        </is>
      </c>
      <c r="AW1831" t="inlineStr">
        <is>
          <t>i Karlskrona kommun</t>
        </is>
      </c>
      <c r="AX1831" t="inlineStr">
        <is>
          <t>0455-32</t>
        </is>
      </c>
      <c r="AY1831" t="inlineStr">
        <is>
          <t>Anmalan</t>
        </is>
      </c>
      <c r="AZ1831" t="inlineStr">
        <is>
          <t>2026-02-03</t>
        </is>
      </c>
      <c r="BA1831" t="inlineStr">
        <is>
          <t>MSN-2024-1016_2024-03-06_MSN-2022-4871_2023-02-16_Beslut_(2).pdf</t>
        </is>
      </c>
      <c r="BB1831" t="inlineStr">
        <is>
          <t>Handlingar rörande anmälningspliktiga verksamheter (C verksamheter)</t>
        </is>
      </c>
      <c r="BC1831" t="inlineStr">
        <is>
          <t>AUTO</t>
        </is>
      </c>
      <c r="BD1831" t="inlineStr"/>
      <c r="BE1831" t="inlineStr"/>
      <c r="BF1831" t="inlineStr">
        <is>
          <t>AUTO_GENERERAD. Bekrafta metadata mot kallfil.</t>
        </is>
      </c>
      <c r="BG1831">
        <f>HYPERLINK("C:\Users\jimmy\Desktop\Examens arbete\Kod\Ny mapp\remix_-copy-of-miljöbeslut.se-portal\MSN-2024-1016_2024-03-06_MSN-2022-4871_2023-02-16_Beslut_(2).pdf", "Öppna PDF")</f>
        <v/>
      </c>
    </row>
    <row r="1832">
      <c r="A1832" t="inlineStr">
        <is>
          <t>KRAV-AUTO-001831</t>
        </is>
      </c>
      <c r="B1832" t="inlineStr">
        <is>
          <t>ADMIN-INDEX-2026-02-27-00000000125C043F57453246863FE664CAFE6A3F0700950291EA24F0614FB6ACEDB12BF0E31D00000000010C0000950291EA24F0614FB6ACEDB12BF0E31D00002087AF080000</t>
        </is>
      </c>
      <c r="C1832" t="inlineStr">
        <is>
          <t>cmm4yunvd0138cuqwzh9atl9b</t>
        </is>
      </c>
      <c r="D1832" t="inlineStr">
        <is>
          <t>http://localhost:8787/api/admin/requirements/documents/cmm4yunvd0138cuqwzh9atl9b/view</t>
        </is>
      </c>
      <c r="E1832">
        <f>HYPERLÄNK("http://localhost:8787/api/admin/requirements/documents/cmm4yunvd0138cuqwzh9atl9b/view";"Öppna PDF")</f>
        <v/>
      </c>
      <c r="F1832">
        <f>HYPERLINK("http://localhost:8787/api/admin/requirements/documents/cmm4yunvd0138cuqwzh9atl9b/view","Open PDF")</f>
        <v/>
      </c>
      <c r="G1832" t="inlineStr">
        <is>
          <t>cmm55w57p0004cuisfrtpqly8</t>
        </is>
      </c>
      <c r="H1832" t="inlineStr">
        <is>
          <t>Informationskrav</t>
        </is>
      </c>
      <c r="I1832" t="inlineStr">
        <is>
          <t>DagvattenLakvatten</t>
        </is>
      </c>
      <c r="J1832" t="inlineStr">
        <is>
          <t>Uppsamling</t>
        </is>
      </c>
      <c r="K1832" t="inlineStr">
        <is>
          <t>Nämnden förelägger Skrotfrag AB att inkomma med en provtagningsplan som beskriver provtagning på utgående dagvatten och analys av dagvattnets innehåll av PAH:er och metaller inom 6 månader efter att verksamheten har tagits i drift.</t>
        </is>
      </c>
      <c r="L1832" t="inlineStr">
        <is>
          <t>Nämnden förelägger Skrotfrag AB att inkomma med en provtagningsplan som beskriver provtagning på utgående dagvatten och analys av dagvattnets innehåll av PAH:er och metaller inom 6 månader efter att verksamheten har tagits i drift.</t>
        </is>
      </c>
      <c r="M1832" t="inlineStr">
        <is>
          <t>INFO</t>
        </is>
      </c>
      <c r="N1832" t="inlineStr"/>
      <c r="O1832" t="inlineStr">
        <is>
          <t>inom 6 manader</t>
        </is>
      </c>
      <c r="P1832" t="inlineStr">
        <is>
          <t>Manadskontroll</t>
        </is>
      </c>
      <c r="Q1832" t="inlineStr">
        <is>
          <t>Forelaggande vid brist</t>
        </is>
      </c>
      <c r="R1832" t="inlineStr">
        <is>
          <t>Vid nederbord och avrinning</t>
        </is>
      </c>
      <c r="S1832" t="inlineStr"/>
      <c r="T1832" t="inlineStr">
        <is>
          <t>30 30 80</t>
        </is>
      </c>
      <c r="U1832" t="inlineStr"/>
      <c r="V1832" t="inlineStr">
        <is>
          <t>6 manader</t>
        </is>
      </c>
      <c r="W1832" t="inlineStr">
        <is>
          <t>Nej</t>
        </is>
      </c>
      <c r="X1832" t="inlineStr">
        <is>
          <t>Ja</t>
        </is>
      </c>
      <c r="Y1832" t="inlineStr">
        <is>
          <t>Ja</t>
        </is>
      </c>
      <c r="Z1832" t="inlineStr">
        <is>
          <t>Nej</t>
        </is>
      </c>
      <c r="AA1832" t="n">
        <v>6</v>
      </c>
      <c r="AB1832" t="inlineStr">
        <is>
          <t>Lakvattenhantering</t>
        </is>
      </c>
      <c r="AC1832" t="inlineStr">
        <is>
          <t>Flodesschema dagvatten-lakvatten</t>
        </is>
      </c>
      <c r="AD1832" t="inlineStr">
        <is>
          <t>Nej</t>
        </is>
      </c>
      <c r="AE1832" t="inlineStr">
        <is>
          <t>Nej</t>
        </is>
      </c>
      <c r="AF1832" t="inlineStr">
        <is>
          <t>Ej behandlad</t>
        </is>
      </c>
      <c r="AG1832" t="inlineStr">
        <is>
          <t>AUTO_GENERERAD. Verifiera citat mot kallfil.</t>
        </is>
      </c>
      <c r="AH1832" t="inlineStr">
        <is>
          <t>MEDIUM</t>
        </is>
      </c>
      <c r="AI1832" t="inlineStr">
        <is>
          <t>AUTO</t>
        </is>
      </c>
      <c r="AJ1832" t="inlineStr">
        <is>
          <t>Nej</t>
        </is>
      </c>
      <c r="AK1832" t="inlineStr"/>
      <c r="AL1832" t="inlineStr"/>
      <c r="AM1832" t="inlineStr"/>
      <c r="AN1832" t="inlineStr"/>
      <c r="AO1832" t="inlineStr">
        <is>
          <t>cmm4yunvp013kcuqwu71ju9j0</t>
        </is>
      </c>
      <c r="AP1832" t="inlineStr">
        <is>
          <t>http://localhost:8787/api/admin/requirements/documents/cmm4yunvp013kcuqwu71ju9j0/view</t>
        </is>
      </c>
      <c r="AQ1832">
        <f>HYPERLÄNK("http://localhost:8787/api/admin/requirements/documents/cmm4yunvp013kcuqwu71ju9j0/view";"Öppna PDF")</f>
        <v/>
      </c>
      <c r="AR1832">
        <f>HYPERLINK("http://localhost:8787/api/admin/requirements/documents/cmm4yunvp013kcuqwu71ju9j0/view","Open PDF")</f>
        <v/>
      </c>
      <c r="AS1832" t="inlineStr">
        <is>
          <t>cmm55w57p0004cuisfrtpqly8</t>
        </is>
      </c>
      <c r="AT1832" t="inlineStr">
        <is>
          <t>cmm4xvu980000cuh4vj0usz09</t>
        </is>
      </c>
      <c r="AU1832" t="inlineStr">
        <is>
          <t>i Karlskrona</t>
        </is>
      </c>
      <c r="AV1832" t="inlineStr">
        <is>
          <t>Kommun</t>
        </is>
      </c>
      <c r="AW1832" t="inlineStr">
        <is>
          <t>i Karlskrona kommun</t>
        </is>
      </c>
      <c r="AX1832" t="inlineStr">
        <is>
          <t>0455-32</t>
        </is>
      </c>
      <c r="AY1832" t="inlineStr">
        <is>
          <t>Anmalan</t>
        </is>
      </c>
      <c r="AZ1832" t="inlineStr">
        <is>
          <t>2026-02-03</t>
        </is>
      </c>
      <c r="BA1832" t="inlineStr">
        <is>
          <t>MSN-2024-1016_2024-03-06_MSN-2022-4871_2023-02-16_Beslut_(2).pdf</t>
        </is>
      </c>
      <c r="BB1832" t="inlineStr">
        <is>
          <t>Handlingar rörande anmälningspliktiga verksamheter (C verksamheter)</t>
        </is>
      </c>
      <c r="BC1832" t="inlineStr">
        <is>
          <t>AUTO</t>
        </is>
      </c>
      <c r="BD1832" t="inlineStr"/>
      <c r="BE1832" t="inlineStr"/>
      <c r="BF1832" t="inlineStr">
        <is>
          <t>AUTO_GENERERAD. Bekrafta metadata mot kallfil.</t>
        </is>
      </c>
      <c r="BG1832">
        <f>HYPERLINK("C:\Users\jimmy\Desktop\Examens arbete\Kod\Ny mapp\remix_-copy-of-miljöbeslut.se-portal\MSN-2024-1016_2024-03-06_MSN-2022-4871_2023-02-16_Beslut_(2).pdf", "Öppna PDF")</f>
        <v/>
      </c>
    </row>
    <row r="1833">
      <c r="A1833" t="inlineStr">
        <is>
          <t>KRAV-AUTO-001832</t>
        </is>
      </c>
      <c r="B1833" t="inlineStr">
        <is>
          <t>ADMIN-INDEX-2026-02-27-00000000125C043F57453246863FE664CAFE6A3F0700950291EA24F0614FB6ACEDB12BF0E31D00000000010C0000950291EA24F0614FB6ACEDB12BF0E31D00002087AF080000</t>
        </is>
      </c>
      <c r="C1833" t="inlineStr">
        <is>
          <t>cmm4yunvd0138cuqwzh9atl9b</t>
        </is>
      </c>
      <c r="D1833" t="inlineStr">
        <is>
          <t>http://localhost:8787/api/admin/requirements/documents/cmm4yunvd0138cuqwzh9atl9b/view</t>
        </is>
      </c>
      <c r="E1833">
        <f>HYPERLÄNK("http://localhost:8787/api/admin/requirements/documents/cmm4yunvd0138cuqwzh9atl9b/view";"Öppna PDF")</f>
        <v/>
      </c>
      <c r="F1833">
        <f>HYPERLINK("http://localhost:8787/api/admin/requirements/documents/cmm4yunvd0138cuqwzh9atl9b/view","Open PDF")</f>
        <v/>
      </c>
      <c r="G1833" t="inlineStr">
        <is>
          <t>cmm55w57p0004cuisfrtpqly8</t>
        </is>
      </c>
      <c r="H1833" t="inlineStr">
        <is>
          <t>Informationskrav</t>
        </is>
      </c>
      <c r="I1833" t="inlineStr">
        <is>
          <t>DagvattenLakvatten</t>
        </is>
      </c>
      <c r="J1833" t="inlineStr">
        <is>
          <t>Uppsamling</t>
        </is>
      </c>
      <c r="K1833" t="inlineStr">
        <is>
          <t>Inom 6 månader efter verksamheten har satt igång ska verksamhetsutövaren inkomma till tillsynsmyndigheten med en provtagningsplan som beskriver provtagning och analys av dagvattnets innehåll av PAH och metaller på utgående dagvatten.</t>
        </is>
      </c>
      <c r="L1833" t="inlineStr">
        <is>
          <t>Inom 6 månader efter verksamheten har satt igång ska verksamhetsutövaren inkomma till tillsynsmyndigheten med en provtagningsplan som beskriver provtagning och analys av dagvattnets innehåll av PAH och metaller på utgående dagvatten.</t>
        </is>
      </c>
      <c r="M1833" t="inlineStr">
        <is>
          <t>SKA</t>
        </is>
      </c>
      <c r="N1833" t="inlineStr"/>
      <c r="O1833" t="inlineStr">
        <is>
          <t>inom 6 manader</t>
        </is>
      </c>
      <c r="P1833" t="inlineStr">
        <is>
          <t>Manadskontroll</t>
        </is>
      </c>
      <c r="Q1833" t="inlineStr"/>
      <c r="R1833" t="inlineStr">
        <is>
          <t>Vid nederbord och avrinning</t>
        </is>
      </c>
      <c r="S1833" t="inlineStr"/>
      <c r="T1833" t="inlineStr">
        <is>
          <t>30 30 80</t>
        </is>
      </c>
      <c r="U1833" t="inlineStr"/>
      <c r="V1833" t="inlineStr">
        <is>
          <t>6 manader</t>
        </is>
      </c>
      <c r="W1833" t="inlineStr">
        <is>
          <t>Nej</t>
        </is>
      </c>
      <c r="X1833" t="inlineStr">
        <is>
          <t>Ja</t>
        </is>
      </c>
      <c r="Y1833" t="inlineStr">
        <is>
          <t>Ja</t>
        </is>
      </c>
      <c r="Z1833" t="inlineStr">
        <is>
          <t>Nej</t>
        </is>
      </c>
      <c r="AA1833" t="n">
        <v>6</v>
      </c>
      <c r="AB1833" t="inlineStr">
        <is>
          <t>Lakvattenhantering</t>
        </is>
      </c>
      <c r="AC1833" t="inlineStr">
        <is>
          <t>Flodesschema dagvatten-lakvatten</t>
        </is>
      </c>
      <c r="AD1833" t="inlineStr">
        <is>
          <t>Nej</t>
        </is>
      </c>
      <c r="AE1833" t="inlineStr">
        <is>
          <t>Nej</t>
        </is>
      </c>
      <c r="AF1833" t="inlineStr">
        <is>
          <t>Ej behandlad</t>
        </is>
      </c>
      <c r="AG1833" t="inlineStr">
        <is>
          <t>AUTO_GENERERAD. Verifiera citat mot kallfil.</t>
        </is>
      </c>
      <c r="AH1833" t="inlineStr">
        <is>
          <t>MEDIUM</t>
        </is>
      </c>
      <c r="AI1833" t="inlineStr">
        <is>
          <t>AUTO</t>
        </is>
      </c>
      <c r="AJ1833" t="inlineStr">
        <is>
          <t>Nej</t>
        </is>
      </c>
      <c r="AK1833" t="inlineStr"/>
      <c r="AL1833" t="inlineStr"/>
      <c r="AM1833" t="inlineStr"/>
      <c r="AN1833" t="inlineStr"/>
      <c r="AO1833" t="inlineStr">
        <is>
          <t>cmm4yunvp013kcuqwu71ju9j0</t>
        </is>
      </c>
      <c r="AP1833" t="inlineStr">
        <is>
          <t>http://localhost:8787/api/admin/requirements/documents/cmm4yunvp013kcuqwu71ju9j0/view</t>
        </is>
      </c>
      <c r="AQ1833">
        <f>HYPERLÄNK("http://localhost:8787/api/admin/requirements/documents/cmm4yunvp013kcuqwu71ju9j0/view";"Öppna PDF")</f>
        <v/>
      </c>
      <c r="AR1833">
        <f>HYPERLINK("http://localhost:8787/api/admin/requirements/documents/cmm4yunvp013kcuqwu71ju9j0/view","Open PDF")</f>
        <v/>
      </c>
      <c r="AS1833" t="inlineStr">
        <is>
          <t>cmm55w57p0004cuisfrtpqly8</t>
        </is>
      </c>
      <c r="AT1833" t="inlineStr">
        <is>
          <t>cmm4xvu980000cuh4vj0usz09</t>
        </is>
      </c>
      <c r="AU1833" t="inlineStr">
        <is>
          <t>i Karlskrona</t>
        </is>
      </c>
      <c r="AV1833" t="inlineStr">
        <is>
          <t>Kommun</t>
        </is>
      </c>
      <c r="AW1833" t="inlineStr">
        <is>
          <t>i Karlskrona kommun</t>
        </is>
      </c>
      <c r="AX1833" t="inlineStr">
        <is>
          <t>0455-32</t>
        </is>
      </c>
      <c r="AY1833" t="inlineStr">
        <is>
          <t>Anmalan</t>
        </is>
      </c>
      <c r="AZ1833" t="inlineStr">
        <is>
          <t>2026-02-03</t>
        </is>
      </c>
      <c r="BA1833" t="inlineStr">
        <is>
          <t>MSN-2024-1016_2024-03-06_MSN-2022-4871_2023-02-16_Beslut_(2).pdf</t>
        </is>
      </c>
      <c r="BB1833" t="inlineStr">
        <is>
          <t>Handlingar rörande anmälningspliktiga verksamheter (C verksamheter)</t>
        </is>
      </c>
      <c r="BC1833" t="inlineStr">
        <is>
          <t>AUTO</t>
        </is>
      </c>
      <c r="BD1833" t="inlineStr"/>
      <c r="BE1833" t="inlineStr"/>
      <c r="BF1833" t="inlineStr">
        <is>
          <t>AUTO_GENERERAD. Bekrafta metadata mot kallfil.</t>
        </is>
      </c>
      <c r="BG1833">
        <f>HYPERLINK("C:\Users\jimmy\Desktop\Examens arbete\Kod\Ny mapp\remix_-copy-of-miljöbeslut.se-portal\MSN-2024-1016_2024-03-06_MSN-2022-4871_2023-02-16_Beslut_(2).pdf", "Öppna PDF")</f>
        <v/>
      </c>
    </row>
    <row r="1834">
      <c r="A1834" t="inlineStr">
        <is>
          <t>KRAV-AUTO-001833</t>
        </is>
      </c>
      <c r="B1834" t="inlineStr">
        <is>
          <t>ADMIN-INDEX-2026-02-27-00000000125C043F57453246863FE664CAFE6A3F0700950291EA24F0614FB6ACEDB12BF0E31D00000000010C0000950291EA24F0614FB6ACEDB12BF0E31D00002087AF090000</t>
        </is>
      </c>
      <c r="C1834" t="inlineStr">
        <is>
          <t>cmm4yunuo012hcuqwci7zdqkj</t>
        </is>
      </c>
      <c r="D1834" t="inlineStr">
        <is>
          <t>http://localhost:8787/api/admin/requirements/documents/cmm4yunuo012hcuqwci7zdqkj/view</t>
        </is>
      </c>
      <c r="E1834">
        <f>HYPERLÄNK("http://localhost:8787/api/admin/requirements/documents/cmm4yunuo012hcuqwci7zdqkj/view";"Öppna PDF")</f>
        <v/>
      </c>
      <c r="F1834">
        <f>HYPERLINK("http://localhost:8787/api/admin/requirements/documents/cmm4yunuo012hcuqwci7zdqkj/view","Open PDF")</f>
        <v/>
      </c>
      <c r="G1834" t="inlineStr">
        <is>
          <t>cmm55w57p0004cuisfrtpqly8</t>
        </is>
      </c>
      <c r="H1834" t="inlineStr">
        <is>
          <t>Kompletteringskrav</t>
        </is>
      </c>
      <c r="I1834" t="inlineStr">
        <is>
          <t>Riskhantering</t>
        </is>
      </c>
      <c r="J1834" t="inlineStr">
        <is>
          <t>Riskkontroll</t>
        </is>
      </c>
      <c r="K1834" t="inlineStr">
        <is>
          <t>Och vad händer vid snösmältning eller regn, det borde vara stor risk att mängder av krossat material förs ut till Klingerfjärden.</t>
        </is>
      </c>
      <c r="L1834" t="inlineStr">
        <is>
          <t>Och vad händer vid snösmältning eller regn, det borde vara stor risk att mängder av krossat material förs ut till Klingerfjärden.</t>
        </is>
      </c>
      <c r="M1834" t="inlineStr">
        <is>
          <t>BOR</t>
        </is>
      </c>
      <c r="N1834" t="inlineStr"/>
      <c r="O1834" t="inlineStr"/>
      <c r="P1834" t="inlineStr"/>
      <c r="Q1834" t="inlineStr"/>
      <c r="R1834" t="inlineStr">
        <is>
          <t>Vid risk for incident</t>
        </is>
      </c>
      <c r="S1834" t="inlineStr"/>
      <c r="T1834" t="inlineStr">
        <is>
          <t>2025 16</t>
        </is>
      </c>
      <c r="U1834" t="inlineStr"/>
      <c r="V1834" t="inlineStr"/>
      <c r="W1834" t="inlineStr">
        <is>
          <t>Nej</t>
        </is>
      </c>
      <c r="X1834" t="inlineStr">
        <is>
          <t>Nej</t>
        </is>
      </c>
      <c r="Y1834" t="inlineStr">
        <is>
          <t>Ja</t>
        </is>
      </c>
      <c r="Z1834" t="inlineStr">
        <is>
          <t>Ja</t>
        </is>
      </c>
      <c r="AA1834" t="n">
        <v>8</v>
      </c>
      <c r="AB1834" t="inlineStr">
        <is>
          <t>Riskhantering</t>
        </is>
      </c>
      <c r="AC1834" t="inlineStr">
        <is>
          <t>Risk-PM</t>
        </is>
      </c>
      <c r="AD1834" t="inlineStr">
        <is>
          <t>Nej</t>
        </is>
      </c>
      <c r="AE1834" t="inlineStr">
        <is>
          <t>Nej</t>
        </is>
      </c>
      <c r="AF1834" t="inlineStr">
        <is>
          <t>Ej behandlad</t>
        </is>
      </c>
      <c r="AG1834" t="inlineStr">
        <is>
          <t>AUTO_GENERERAD. Verifiera citat mot kallfil.</t>
        </is>
      </c>
      <c r="AH1834" t="inlineStr">
        <is>
          <t>MEDIUM</t>
        </is>
      </c>
      <c r="AI1834" t="inlineStr">
        <is>
          <t>AUTO</t>
        </is>
      </c>
      <c r="AJ1834" t="inlineStr">
        <is>
          <t>Nej</t>
        </is>
      </c>
      <c r="AK1834" t="inlineStr"/>
      <c r="AL1834" t="inlineStr"/>
      <c r="AM1834" t="inlineStr"/>
      <c r="AN1834" t="inlineStr"/>
      <c r="AO1834" t="inlineStr">
        <is>
          <t>cmm4yunuo012hcuqwci7zdqkj</t>
        </is>
      </c>
      <c r="AP1834" t="inlineStr">
        <is>
          <t>http://localhost:8787/api/admin/requirements/documents/cmm4yunuo012hcuqwci7zdqkj/view</t>
        </is>
      </c>
      <c r="AQ1834">
        <f>HYPERLÄNK("http://localhost:8787/api/admin/requirements/documents/cmm4yunuo012hcuqwci7zdqkj/view";"Öppna PDF")</f>
        <v/>
      </c>
      <c r="AR1834">
        <f>HYPERLINK("http://localhost:8787/api/admin/requirements/documents/cmm4yunuo012hcuqwci7zdqkj/view","Open PDF")</f>
        <v/>
      </c>
      <c r="AS1834" t="inlineStr">
        <is>
          <t>cmm55w57p0004cuisfrtpqly8</t>
        </is>
      </c>
      <c r="AT1834" t="inlineStr">
        <is>
          <t>cmm4xvu980000cuh4vj0usz09</t>
        </is>
      </c>
      <c r="AU1834" t="inlineStr"/>
      <c r="AV1834" t="inlineStr">
        <is>
          <t>Kommun</t>
        </is>
      </c>
      <c r="AW1834" t="inlineStr"/>
      <c r="AX1834" t="inlineStr">
        <is>
          <t>2025-02</t>
        </is>
      </c>
      <c r="AY1834" t="inlineStr">
        <is>
          <t>Komplettering</t>
        </is>
      </c>
      <c r="AZ1834" t="inlineStr">
        <is>
          <t>2026-02-03</t>
        </is>
      </c>
      <c r="BA1834" t="inlineStr">
        <is>
          <t>E-post med kompletterande svar från Swerock.pdf</t>
        </is>
      </c>
      <c r="BB1834" t="inlineStr">
        <is>
          <t>Sv: till registrator</t>
        </is>
      </c>
      <c r="BC1834" t="inlineStr">
        <is>
          <t>AUTO</t>
        </is>
      </c>
      <c r="BD1834" t="inlineStr"/>
      <c r="BE1834" t="inlineStr"/>
      <c r="BF1834" t="inlineStr">
        <is>
          <t>AUTO_GENERERAD. Bekrafta metadata mot kallfil.</t>
        </is>
      </c>
      <c r="BG1834">
        <f>HYPERLINK("C:\Users\jimmy\Desktop\Examens arbete\Kod\Ny mapp\remix_-copy-of-miljöbeslut.se-portal\E-post med kompletterande svar från Swerock.pdf", "Öppna PDF")</f>
        <v/>
      </c>
    </row>
    <row r="1835">
      <c r="A1835" t="inlineStr">
        <is>
          <t>KRAV-AUTO-001834</t>
        </is>
      </c>
      <c r="B1835" t="inlineStr">
        <is>
          <t>ADMIN-INDEX-2026-02-27-00000000125C043F57453246863FE664CAFE6A3F0700950291EA24F0614FB6ACEDB12BF0E31D00000000010C0000950291EA24F0614FB6ACEDB12BF0E31D00002087AF090000</t>
        </is>
      </c>
      <c r="C1835" t="inlineStr">
        <is>
          <t>cmm4yunuo012hcuqwci7zdqkj</t>
        </is>
      </c>
      <c r="D1835" t="inlineStr">
        <is>
          <t>http://localhost:8787/api/admin/requirements/documents/cmm4yunuo012hcuqwci7zdqkj/view</t>
        </is>
      </c>
      <c r="E1835">
        <f>HYPERLÄNK("http://localhost:8787/api/admin/requirements/documents/cmm4yunuo012hcuqwci7zdqkj/view";"Öppna PDF")</f>
        <v/>
      </c>
      <c r="F1835">
        <f>HYPERLINK("http://localhost:8787/api/admin/requirements/documents/cmm4yunuo012hcuqwci7zdqkj/view","Open PDF")</f>
        <v/>
      </c>
      <c r="G1835" t="inlineStr">
        <is>
          <t>cmm55w57p0004cuisfrtpqly8</t>
        </is>
      </c>
      <c r="H1835" t="inlineStr">
        <is>
          <t>Kompletteringskrav</t>
        </is>
      </c>
      <c r="I1835" t="inlineStr">
        <is>
          <t>Riskhantering</t>
        </is>
      </c>
      <c r="J1835" t="inlineStr">
        <is>
          <t>Riskkontroll</t>
        </is>
      </c>
      <c r="K1835" t="inlineStr">
        <is>
          <t>Och vad händer vid snösmältning eller regn, det -- 2 of 3 -- borde vara stor risk att mängder av krossat material förs ut till Klingerfjärden.</t>
        </is>
      </c>
      <c r="L1835" t="inlineStr">
        <is>
          <t>Och vad händer vid snösmältning eller regn, det -- 2 of 3 -- borde vara stor risk att mängder av krossat material förs ut till Klingerfjärden.</t>
        </is>
      </c>
      <c r="M1835" t="inlineStr">
        <is>
          <t>BOR</t>
        </is>
      </c>
      <c r="N1835" t="inlineStr"/>
      <c r="O1835" t="inlineStr"/>
      <c r="P1835" t="inlineStr"/>
      <c r="Q1835" t="inlineStr"/>
      <c r="R1835" t="inlineStr">
        <is>
          <t>Vid risk for incident</t>
        </is>
      </c>
      <c r="S1835" t="inlineStr"/>
      <c r="T1835" t="inlineStr">
        <is>
          <t>2025 16</t>
        </is>
      </c>
      <c r="U1835" t="inlineStr"/>
      <c r="V1835" t="inlineStr"/>
      <c r="W1835" t="inlineStr">
        <is>
          <t>Nej</t>
        </is>
      </c>
      <c r="X1835" t="inlineStr">
        <is>
          <t>Nej</t>
        </is>
      </c>
      <c r="Y1835" t="inlineStr">
        <is>
          <t>Ja</t>
        </is>
      </c>
      <c r="Z1835" t="inlineStr">
        <is>
          <t>Ja</t>
        </is>
      </c>
      <c r="AA1835" t="n">
        <v>8</v>
      </c>
      <c r="AB1835" t="inlineStr">
        <is>
          <t>Riskhantering</t>
        </is>
      </c>
      <c r="AC1835" t="inlineStr">
        <is>
          <t>Risk-PM</t>
        </is>
      </c>
      <c r="AD1835" t="inlineStr">
        <is>
          <t>Nej</t>
        </is>
      </c>
      <c r="AE1835" t="inlineStr">
        <is>
          <t>Nej</t>
        </is>
      </c>
      <c r="AF1835" t="inlineStr">
        <is>
          <t>Ej behandlad</t>
        </is>
      </c>
      <c r="AG1835" t="inlineStr">
        <is>
          <t>AUTO_GENERERAD. Verifiera citat mot kallfil.</t>
        </is>
      </c>
      <c r="AH1835" t="inlineStr">
        <is>
          <t>MEDIUM</t>
        </is>
      </c>
      <c r="AI1835" t="inlineStr">
        <is>
          <t>AUTO</t>
        </is>
      </c>
      <c r="AJ1835" t="inlineStr">
        <is>
          <t>Nej</t>
        </is>
      </c>
      <c r="AK1835" t="inlineStr"/>
      <c r="AL1835" t="inlineStr"/>
      <c r="AM1835" t="inlineStr"/>
      <c r="AN1835" t="inlineStr"/>
      <c r="AO1835" t="inlineStr">
        <is>
          <t>cmm4yunuo012hcuqwci7zdqkj</t>
        </is>
      </c>
      <c r="AP1835" t="inlineStr">
        <is>
          <t>http://localhost:8787/api/admin/requirements/documents/cmm4yunuo012hcuqwci7zdqkj/view</t>
        </is>
      </c>
      <c r="AQ1835">
        <f>HYPERLÄNK("http://localhost:8787/api/admin/requirements/documents/cmm4yunuo012hcuqwci7zdqkj/view";"Öppna PDF")</f>
        <v/>
      </c>
      <c r="AR1835">
        <f>HYPERLINK("http://localhost:8787/api/admin/requirements/documents/cmm4yunuo012hcuqwci7zdqkj/view","Open PDF")</f>
        <v/>
      </c>
      <c r="AS1835" t="inlineStr">
        <is>
          <t>cmm55w57p0004cuisfrtpqly8</t>
        </is>
      </c>
      <c r="AT1835" t="inlineStr">
        <is>
          <t>cmm4xvu980000cuh4vj0usz09</t>
        </is>
      </c>
      <c r="AU1835" t="inlineStr"/>
      <c r="AV1835" t="inlineStr">
        <is>
          <t>Kommun</t>
        </is>
      </c>
      <c r="AW1835" t="inlineStr"/>
      <c r="AX1835" t="inlineStr">
        <is>
          <t>2025-02</t>
        </is>
      </c>
      <c r="AY1835" t="inlineStr">
        <is>
          <t>Komplettering</t>
        </is>
      </c>
      <c r="AZ1835" t="inlineStr">
        <is>
          <t>2026-02-03</t>
        </is>
      </c>
      <c r="BA1835" t="inlineStr">
        <is>
          <t>E-post med kompletterande svar från Swerock.pdf</t>
        </is>
      </c>
      <c r="BB1835" t="inlineStr">
        <is>
          <t>Sv: till registrator</t>
        </is>
      </c>
      <c r="BC1835" t="inlineStr">
        <is>
          <t>AUTO</t>
        </is>
      </c>
      <c r="BD1835" t="inlineStr"/>
      <c r="BE1835" t="inlineStr"/>
      <c r="BF1835" t="inlineStr">
        <is>
          <t>AUTO_GENERERAD. Bekrafta metadata mot kallfil.</t>
        </is>
      </c>
      <c r="BG1835">
        <f>HYPERLINK("C:\Users\jimmy\Desktop\Examens arbete\Kod\Ny mapp\remix_-copy-of-miljöbeslut.se-portal\E-post med kompletterande svar från Swerock.pdf", "Öppna PDF")</f>
        <v/>
      </c>
    </row>
    <row r="1836">
      <c r="A1836" t="inlineStr">
        <is>
          <t>KRAV-AUTO-001835</t>
        </is>
      </c>
      <c r="B1836" t="inlineStr">
        <is>
          <t>ADMIN-INDEX-2026-02-27-00000000125C043F57453246863FE664CAFE6A3F0700950291EA24F0614FB6ACEDB12BF0E31D00000000010C0000950291EA24F0614FB6ACEDB12BF0E31D00002087AF090000</t>
        </is>
      </c>
      <c r="C1836" t="inlineStr">
        <is>
          <t>cmm4yunuo012hcuqwci7zdqkj</t>
        </is>
      </c>
      <c r="D1836" t="inlineStr">
        <is>
          <t>http://localhost:8787/api/admin/requirements/documents/cmm4yunuo012hcuqwci7zdqkj/view</t>
        </is>
      </c>
      <c r="E1836">
        <f>HYPERLÄNK("http://localhost:8787/api/admin/requirements/documents/cmm4yunuo012hcuqwci7zdqkj/view";"Öppna PDF")</f>
        <v/>
      </c>
      <c r="F1836">
        <f>HYPERLINK("http://localhost:8787/api/admin/requirements/documents/cmm4yunuo012hcuqwci7zdqkj/view","Open PDF")</f>
        <v/>
      </c>
      <c r="G1836" t="inlineStr">
        <is>
          <t>cmm55w57p0004cuisfrtpqly8</t>
        </is>
      </c>
      <c r="H1836" t="inlineStr">
        <is>
          <t>Kompletteringskrav</t>
        </is>
      </c>
      <c r="I1836" t="inlineStr">
        <is>
          <t>LagringsvolymTid</t>
        </is>
      </c>
      <c r="J1836" t="inlineStr">
        <is>
          <t>Maxmangd</t>
        </is>
      </c>
      <c r="K1836" t="inlineStr">
        <is>
          <t>Om det ligger betong i diket kommer det städas bort, då städas det.</t>
        </is>
      </c>
      <c r="L1836" t="inlineStr">
        <is>
          <t>Om det ligger betong i diket kommer det städas bort, då städas det.</t>
        </is>
      </c>
      <c r="M1836" t="inlineStr">
        <is>
          <t>BOR</t>
        </is>
      </c>
      <c r="N1836" t="inlineStr"/>
      <c r="O1836" t="inlineStr"/>
      <c r="P1836" t="inlineStr"/>
      <c r="Q1836" t="inlineStr"/>
      <c r="R1836" t="inlineStr">
        <is>
          <t>Alltid</t>
        </is>
      </c>
      <c r="S1836" t="inlineStr"/>
      <c r="T1836" t="inlineStr">
        <is>
          <t>2025 16</t>
        </is>
      </c>
      <c r="U1836" t="inlineStr"/>
      <c r="V1836" t="inlineStr"/>
      <c r="W1836" t="inlineStr">
        <is>
          <t>Nej</t>
        </is>
      </c>
      <c r="X1836" t="inlineStr">
        <is>
          <t>Nej</t>
        </is>
      </c>
      <c r="Y1836" t="inlineStr">
        <is>
          <t>Nej</t>
        </is>
      </c>
      <c r="Z1836" t="inlineStr">
        <is>
          <t>Nej</t>
        </is>
      </c>
      <c r="AA1836" t="n">
        <v>4</v>
      </c>
      <c r="AB1836" t="inlineStr">
        <is>
          <t>Avfallsmangder och lagringstid</t>
        </is>
      </c>
      <c r="AC1836" t="inlineStr">
        <is>
          <t>Avfallsforteckning</t>
        </is>
      </c>
      <c r="AD1836" t="inlineStr">
        <is>
          <t>Nej</t>
        </is>
      </c>
      <c r="AE1836" t="inlineStr">
        <is>
          <t>Nej</t>
        </is>
      </c>
      <c r="AF1836" t="inlineStr">
        <is>
          <t>Ej behandlad</t>
        </is>
      </c>
      <c r="AG1836" t="inlineStr">
        <is>
          <t>AUTO_GENERERAD. Verifiera citat mot kallfil.</t>
        </is>
      </c>
      <c r="AH1836" t="inlineStr">
        <is>
          <t>MEDIUM</t>
        </is>
      </c>
      <c r="AI1836" t="inlineStr">
        <is>
          <t>AUTO</t>
        </is>
      </c>
      <c r="AJ1836" t="inlineStr">
        <is>
          <t>Nej</t>
        </is>
      </c>
      <c r="AK1836" t="inlineStr"/>
      <c r="AL1836" t="inlineStr"/>
      <c r="AM1836" t="inlineStr"/>
      <c r="AN1836" t="inlineStr"/>
      <c r="AO1836" t="inlineStr">
        <is>
          <t>cmm4yunuo012hcuqwci7zdqkj</t>
        </is>
      </c>
      <c r="AP1836" t="inlineStr">
        <is>
          <t>http://localhost:8787/api/admin/requirements/documents/cmm4yunuo012hcuqwci7zdqkj/view</t>
        </is>
      </c>
      <c r="AQ1836">
        <f>HYPERLÄNK("http://localhost:8787/api/admin/requirements/documents/cmm4yunuo012hcuqwci7zdqkj/view";"Öppna PDF")</f>
        <v/>
      </c>
      <c r="AR1836">
        <f>HYPERLINK("http://localhost:8787/api/admin/requirements/documents/cmm4yunuo012hcuqwci7zdqkj/view","Open PDF")</f>
        <v/>
      </c>
      <c r="AS1836" t="inlineStr">
        <is>
          <t>cmm55w57p0004cuisfrtpqly8</t>
        </is>
      </c>
      <c r="AT1836" t="inlineStr">
        <is>
          <t>cmm4xvu980000cuh4vj0usz09</t>
        </is>
      </c>
      <c r="AU1836" t="inlineStr"/>
      <c r="AV1836" t="inlineStr">
        <is>
          <t>Kommun</t>
        </is>
      </c>
      <c r="AW1836" t="inlineStr"/>
      <c r="AX1836" t="inlineStr">
        <is>
          <t>2025-02</t>
        </is>
      </c>
      <c r="AY1836" t="inlineStr">
        <is>
          <t>Komplettering</t>
        </is>
      </c>
      <c r="AZ1836" t="inlineStr">
        <is>
          <t>2026-02-03</t>
        </is>
      </c>
      <c r="BA1836" t="inlineStr">
        <is>
          <t>E-post med kompletterande svar från Swerock.pdf</t>
        </is>
      </c>
      <c r="BB1836" t="inlineStr">
        <is>
          <t>Sv: till registrator</t>
        </is>
      </c>
      <c r="BC1836" t="inlineStr">
        <is>
          <t>AUTO</t>
        </is>
      </c>
      <c r="BD1836" t="inlineStr"/>
      <c r="BE1836" t="inlineStr"/>
      <c r="BF1836" t="inlineStr">
        <is>
          <t>AUTO_GENERERAD. Bekrafta metadata mot kallfil.</t>
        </is>
      </c>
      <c r="BG1836">
        <f>HYPERLINK("C:\Users\jimmy\Desktop\Examens arbete\Kod\Ny mapp\remix_-copy-of-miljöbeslut.se-portal\E-post med kompletterande svar från Swerock.pdf", "Öppna PDF")</f>
        <v/>
      </c>
    </row>
    <row r="1837">
      <c r="A1837" t="inlineStr">
        <is>
          <t>KRAV-AUTO-001836</t>
        </is>
      </c>
      <c r="B1837" t="inlineStr">
        <is>
          <t>ADMIN-INDEX-2026-02-27-00000000125C043F57453246863FE664CAFE6A3F0700950291EA24F0614FB6ACEDB12BF0E31D00000000010C0000950291EA24F0614FB6ACEDB12BF0E31D00002087AF090000</t>
        </is>
      </c>
      <c r="C1837" t="inlineStr">
        <is>
          <t>cmm4yunul012ecuqwkuq9l2l4</t>
        </is>
      </c>
      <c r="D1837" t="inlineStr">
        <is>
          <t>http://localhost:8787/api/admin/requirements/documents/cmm4yunul012ecuqwkuq9l2l4/view</t>
        </is>
      </c>
      <c r="E1837">
        <f>HYPERLÄNK("http://localhost:8787/api/admin/requirements/documents/cmm4yunul012ecuqwkuq9l2l4/view";"Öppna PDF")</f>
        <v/>
      </c>
      <c r="F1837">
        <f>HYPERLINK("http://localhost:8787/api/admin/requirements/documents/cmm4yunul012ecuqwkuq9l2l4/view","Open PDF")</f>
        <v/>
      </c>
      <c r="G1837" t="inlineStr">
        <is>
          <t>cmm55w57p0004cuisfrtpqly8</t>
        </is>
      </c>
      <c r="H1837" t="inlineStr">
        <is>
          <t>Kompletteringskrav</t>
        </is>
      </c>
      <c r="I1837" t="inlineStr">
        <is>
          <t>Riskhantering</t>
        </is>
      </c>
      <c r="J1837" t="inlineStr">
        <is>
          <t>Riskkontroll</t>
        </is>
      </c>
      <c r="K1837" t="inlineStr">
        <is>
          <t>Och vad händer vid snösmältning eller regn, det borde vara stor risk att mängder av krossat material förs ut till Klingerfjärden.</t>
        </is>
      </c>
      <c r="L1837" t="inlineStr">
        <is>
          <t>Och vad händer vid snösmältning eller regn, det borde vara stor risk att mängder av krossat material förs ut till Klingerfjärden.</t>
        </is>
      </c>
      <c r="M1837" t="inlineStr">
        <is>
          <t>BOR</t>
        </is>
      </c>
      <c r="N1837" t="inlineStr"/>
      <c r="O1837" t="inlineStr"/>
      <c r="P1837" t="inlineStr"/>
      <c r="Q1837" t="inlineStr"/>
      <c r="R1837" t="inlineStr">
        <is>
          <t>Vid risk for incident</t>
        </is>
      </c>
      <c r="S1837" t="inlineStr"/>
      <c r="T1837" t="inlineStr"/>
      <c r="U1837" t="inlineStr"/>
      <c r="V1837" t="inlineStr"/>
      <c r="W1837" t="inlineStr">
        <is>
          <t>Nej</t>
        </is>
      </c>
      <c r="X1837" t="inlineStr">
        <is>
          <t>Nej</t>
        </is>
      </c>
      <c r="Y1837" t="inlineStr">
        <is>
          <t>Ja</t>
        </is>
      </c>
      <c r="Z1837" t="inlineStr">
        <is>
          <t>Ja</t>
        </is>
      </c>
      <c r="AA1837" t="n">
        <v>8</v>
      </c>
      <c r="AB1837" t="inlineStr">
        <is>
          <t>Riskhantering</t>
        </is>
      </c>
      <c r="AC1837" t="inlineStr">
        <is>
          <t>Risk-PM</t>
        </is>
      </c>
      <c r="AD1837" t="inlineStr">
        <is>
          <t>Nej</t>
        </is>
      </c>
      <c r="AE1837" t="inlineStr">
        <is>
          <t>Nej</t>
        </is>
      </c>
      <c r="AF1837" t="inlineStr">
        <is>
          <t>Ej behandlad</t>
        </is>
      </c>
      <c r="AG1837" t="inlineStr">
        <is>
          <t>AUTO_GENERERAD. Verifiera citat mot kallfil.</t>
        </is>
      </c>
      <c r="AH1837" t="inlineStr">
        <is>
          <t>MEDIUM</t>
        </is>
      </c>
      <c r="AI1837" t="inlineStr">
        <is>
          <t>AUTO</t>
        </is>
      </c>
      <c r="AJ1837" t="inlineStr">
        <is>
          <t>Nej</t>
        </is>
      </c>
      <c r="AK1837" t="inlineStr"/>
      <c r="AL1837" t="inlineStr"/>
      <c r="AM1837" t="inlineStr"/>
      <c r="AN1837" t="inlineStr"/>
      <c r="AO1837" t="inlineStr">
        <is>
          <t>cmm4yunuo012hcuqwci7zdqkj</t>
        </is>
      </c>
      <c r="AP1837" t="inlineStr">
        <is>
          <t>http://localhost:8787/api/admin/requirements/documents/cmm4yunuo012hcuqwci7zdqkj/view</t>
        </is>
      </c>
      <c r="AQ1837">
        <f>HYPERLÄNK("http://localhost:8787/api/admin/requirements/documents/cmm4yunuo012hcuqwci7zdqkj/view";"Öppna PDF")</f>
        <v/>
      </c>
      <c r="AR1837">
        <f>HYPERLINK("http://localhost:8787/api/admin/requirements/documents/cmm4yunuo012hcuqwci7zdqkj/view","Open PDF")</f>
        <v/>
      </c>
      <c r="AS1837" t="inlineStr">
        <is>
          <t>cmm55w57p0004cuisfrtpqly8</t>
        </is>
      </c>
      <c r="AT1837" t="inlineStr">
        <is>
          <t>cmm4xvu980000cuh4vj0usz09</t>
        </is>
      </c>
      <c r="AU1837" t="inlineStr"/>
      <c r="AV1837" t="inlineStr">
        <is>
          <t>Kommun</t>
        </is>
      </c>
      <c r="AW1837" t="inlineStr"/>
      <c r="AX1837" t="inlineStr">
        <is>
          <t>2025-02</t>
        </is>
      </c>
      <c r="AY1837" t="inlineStr">
        <is>
          <t>Komplettering</t>
        </is>
      </c>
      <c r="AZ1837" t="inlineStr">
        <is>
          <t>2026-02-03</t>
        </is>
      </c>
      <c r="BA1837" t="inlineStr">
        <is>
          <t>E-post med kompletterande svar från Swerock.pdf</t>
        </is>
      </c>
      <c r="BB1837" t="inlineStr">
        <is>
          <t>Sv: till registrator</t>
        </is>
      </c>
      <c r="BC1837" t="inlineStr">
        <is>
          <t>AUTO</t>
        </is>
      </c>
      <c r="BD1837" t="inlineStr"/>
      <c r="BE1837" t="inlineStr"/>
      <c r="BF1837" t="inlineStr">
        <is>
          <t>AUTO_GENERERAD. Bekrafta metadata mot kallfil.</t>
        </is>
      </c>
      <c r="BG1837">
        <f>HYPERLINK("C:\Users\jimmy\Desktop\Examens arbete\Kod\Ny mapp\remix_-copy-of-miljöbeslut.se-portal\E-post med kompletterande svar från Swerock.pdf", "Öppna PDF")</f>
        <v/>
      </c>
    </row>
    <row r="1838">
      <c r="A1838" t="inlineStr">
        <is>
          <t>KRAV-AUTO-001837</t>
        </is>
      </c>
      <c r="B1838" t="inlineStr">
        <is>
          <t>ADMIN-INDEX-2026-02-27-00000000125C043F57453246863FE664CAFE6A3F0700950291EA24F0614FB6ACEDB12BF0E31D00000000010C0000950291EA24F0614FB6ACEDB12BF0E31D00002087AF090000</t>
        </is>
      </c>
      <c r="C1838" t="inlineStr">
        <is>
          <t>cmm4yunul012ecuqwkuq9l2l4</t>
        </is>
      </c>
      <c r="D1838" t="inlineStr">
        <is>
          <t>http://localhost:8787/api/admin/requirements/documents/cmm4yunul012ecuqwkuq9l2l4/view</t>
        </is>
      </c>
      <c r="E1838">
        <f>HYPERLÄNK("http://localhost:8787/api/admin/requirements/documents/cmm4yunul012ecuqwkuq9l2l4/view";"Öppna PDF")</f>
        <v/>
      </c>
      <c r="F1838">
        <f>HYPERLINK("http://localhost:8787/api/admin/requirements/documents/cmm4yunul012ecuqwkuq9l2l4/view","Open PDF")</f>
        <v/>
      </c>
      <c r="G1838" t="inlineStr">
        <is>
          <t>cmm55w57p0004cuisfrtpqly8</t>
        </is>
      </c>
      <c r="H1838" t="inlineStr">
        <is>
          <t>Kompletteringskrav</t>
        </is>
      </c>
      <c r="I1838" t="inlineStr">
        <is>
          <t>LagringsvolymTid</t>
        </is>
      </c>
      <c r="J1838" t="inlineStr">
        <is>
          <t>Maxmangd</t>
        </is>
      </c>
      <c r="K1838" t="inlineStr">
        <is>
          <t>Om det ligger betong i diket kommer det städas bort, då städas det.</t>
        </is>
      </c>
      <c r="L1838" t="inlineStr">
        <is>
          <t>Om det ligger betong i diket kommer det städas bort, då städas det.</t>
        </is>
      </c>
      <c r="M1838" t="inlineStr">
        <is>
          <t>BOR</t>
        </is>
      </c>
      <c r="N1838" t="inlineStr"/>
      <c r="O1838" t="inlineStr"/>
      <c r="P1838" t="inlineStr"/>
      <c r="Q1838" t="inlineStr"/>
      <c r="R1838" t="inlineStr">
        <is>
          <t>Alltid</t>
        </is>
      </c>
      <c r="S1838" t="inlineStr"/>
      <c r="T1838" t="inlineStr"/>
      <c r="U1838" t="inlineStr"/>
      <c r="V1838" t="inlineStr"/>
      <c r="W1838" t="inlineStr">
        <is>
          <t>Nej</t>
        </is>
      </c>
      <c r="X1838" t="inlineStr">
        <is>
          <t>Nej</t>
        </is>
      </c>
      <c r="Y1838" t="inlineStr">
        <is>
          <t>Nej</t>
        </is>
      </c>
      <c r="Z1838" t="inlineStr">
        <is>
          <t>Nej</t>
        </is>
      </c>
      <c r="AA1838" t="n">
        <v>4</v>
      </c>
      <c r="AB1838" t="inlineStr">
        <is>
          <t>Avfallsmangder och lagringstid</t>
        </is>
      </c>
      <c r="AC1838" t="inlineStr">
        <is>
          <t>Avfallsforteckning</t>
        </is>
      </c>
      <c r="AD1838" t="inlineStr">
        <is>
          <t>Nej</t>
        </is>
      </c>
      <c r="AE1838" t="inlineStr">
        <is>
          <t>Nej</t>
        </is>
      </c>
      <c r="AF1838" t="inlineStr">
        <is>
          <t>Ej behandlad</t>
        </is>
      </c>
      <c r="AG1838" t="inlineStr">
        <is>
          <t>AUTO_GENERERAD. Verifiera citat mot kallfil.</t>
        </is>
      </c>
      <c r="AH1838" t="inlineStr">
        <is>
          <t>MEDIUM</t>
        </is>
      </c>
      <c r="AI1838" t="inlineStr">
        <is>
          <t>AUTO</t>
        </is>
      </c>
      <c r="AJ1838" t="inlineStr">
        <is>
          <t>Nej</t>
        </is>
      </c>
      <c r="AK1838" t="inlineStr"/>
      <c r="AL1838" t="inlineStr"/>
      <c r="AM1838" t="inlineStr"/>
      <c r="AN1838" t="inlineStr"/>
      <c r="AO1838" t="inlineStr">
        <is>
          <t>cmm4yunuo012hcuqwci7zdqkj</t>
        </is>
      </c>
      <c r="AP1838" t="inlineStr">
        <is>
          <t>http://localhost:8787/api/admin/requirements/documents/cmm4yunuo012hcuqwci7zdqkj/view</t>
        </is>
      </c>
      <c r="AQ1838">
        <f>HYPERLÄNK("http://localhost:8787/api/admin/requirements/documents/cmm4yunuo012hcuqwci7zdqkj/view";"Öppna PDF")</f>
        <v/>
      </c>
      <c r="AR1838">
        <f>HYPERLINK("http://localhost:8787/api/admin/requirements/documents/cmm4yunuo012hcuqwci7zdqkj/view","Open PDF")</f>
        <v/>
      </c>
      <c r="AS1838" t="inlineStr">
        <is>
          <t>cmm55w57p0004cuisfrtpqly8</t>
        </is>
      </c>
      <c r="AT1838" t="inlineStr">
        <is>
          <t>cmm4xvu980000cuh4vj0usz09</t>
        </is>
      </c>
      <c r="AU1838" t="inlineStr"/>
      <c r="AV1838" t="inlineStr">
        <is>
          <t>Kommun</t>
        </is>
      </c>
      <c r="AW1838" t="inlineStr"/>
      <c r="AX1838" t="inlineStr">
        <is>
          <t>2025-02</t>
        </is>
      </c>
      <c r="AY1838" t="inlineStr">
        <is>
          <t>Komplettering</t>
        </is>
      </c>
      <c r="AZ1838" t="inlineStr">
        <is>
          <t>2026-02-03</t>
        </is>
      </c>
      <c r="BA1838" t="inlineStr">
        <is>
          <t>E-post med kompletterande svar från Swerock.pdf</t>
        </is>
      </c>
      <c r="BB1838" t="inlineStr">
        <is>
          <t>Sv: till registrator</t>
        </is>
      </c>
      <c r="BC1838" t="inlineStr">
        <is>
          <t>AUTO</t>
        </is>
      </c>
      <c r="BD1838" t="inlineStr"/>
      <c r="BE1838" t="inlineStr"/>
      <c r="BF1838" t="inlineStr">
        <is>
          <t>AUTO_GENERERAD. Bekrafta metadata mot kallfil.</t>
        </is>
      </c>
      <c r="BG1838">
        <f>HYPERLINK("C:\Users\jimmy\Desktop\Examens arbete\Kod\Ny mapp\remix_-copy-of-miljöbeslut.se-portal\E-post med kompletterande svar från Swerock.pdf", "Öppna PDF")</f>
        <v/>
      </c>
    </row>
    <row r="1839">
      <c r="A1839" t="inlineStr">
        <is>
          <t>KRAV-AUTO-001838</t>
        </is>
      </c>
      <c r="B1839" t="inlineStr">
        <is>
          <t>ADMIN-INDEX-2026-02-27-00000000125C043F57453246863FE664CAFE6A3F0700950291EA24F0614FB6ACEDB12BF0E31D00000000010C0000950291EA24F0614FB6ACEDB12BF0E31D00002087AF090000</t>
        </is>
      </c>
      <c r="C1839" t="inlineStr">
        <is>
          <t>cmm4yunul012ecuqwkuq9l2l4</t>
        </is>
      </c>
      <c r="D1839" t="inlineStr">
        <is>
          <t>http://localhost:8787/api/admin/requirements/documents/cmm4yunul012ecuqwkuq9l2l4/view</t>
        </is>
      </c>
      <c r="E1839">
        <f>HYPERLÄNK("http://localhost:8787/api/admin/requirements/documents/cmm4yunul012ecuqwkuq9l2l4/view";"Öppna PDF")</f>
        <v/>
      </c>
      <c r="F1839">
        <f>HYPERLINK("http://localhost:8787/api/admin/requirements/documents/cmm4yunul012ecuqwkuq9l2l4/view","Open PDF")</f>
        <v/>
      </c>
      <c r="G1839" t="inlineStr">
        <is>
          <t>cmm55w57p0004cuisfrtpqly8</t>
        </is>
      </c>
      <c r="H1839" t="inlineStr">
        <is>
          <t>Kompletteringskrav</t>
        </is>
      </c>
      <c r="I1839" t="inlineStr">
        <is>
          <t>LagringsvolymTid</t>
        </is>
      </c>
      <c r="J1839" t="inlineStr">
        <is>
          <t>Maxmangd</t>
        </is>
      </c>
      <c r="K1839" t="inlineStr">
        <is>
          <t>Om du menar metaller i betongen (armering och rälkämmor) så separeras dessa bort med magnet under krossning 2.</t>
        </is>
      </c>
      <c r="L1839" t="inlineStr">
        <is>
          <t>Om du menar metaller i betongen (armering och rälkämmor) så separeras dessa bort med magnet under krossning 2.</t>
        </is>
      </c>
      <c r="M1839" t="inlineStr">
        <is>
          <t>BOR</t>
        </is>
      </c>
      <c r="N1839" t="inlineStr"/>
      <c r="O1839" t="inlineStr"/>
      <c r="P1839" t="inlineStr"/>
      <c r="Q1839" t="inlineStr"/>
      <c r="R1839" t="inlineStr">
        <is>
          <t>Alltid</t>
        </is>
      </c>
      <c r="S1839" t="inlineStr"/>
      <c r="T1839" t="inlineStr"/>
      <c r="U1839" t="inlineStr"/>
      <c r="V1839" t="inlineStr"/>
      <c r="W1839" t="inlineStr">
        <is>
          <t>Nej</t>
        </is>
      </c>
      <c r="X1839" t="inlineStr">
        <is>
          <t>Nej</t>
        </is>
      </c>
      <c r="Y1839" t="inlineStr">
        <is>
          <t>Nej</t>
        </is>
      </c>
      <c r="Z1839" t="inlineStr">
        <is>
          <t>Nej</t>
        </is>
      </c>
      <c r="AA1839" t="n">
        <v>4</v>
      </c>
      <c r="AB1839" t="inlineStr">
        <is>
          <t>Avfallsmangder och lagringstid</t>
        </is>
      </c>
      <c r="AC1839" t="inlineStr">
        <is>
          <t>Avfallsforteckning</t>
        </is>
      </c>
      <c r="AD1839" t="inlineStr">
        <is>
          <t>Nej</t>
        </is>
      </c>
      <c r="AE1839" t="inlineStr">
        <is>
          <t>Nej</t>
        </is>
      </c>
      <c r="AF1839" t="inlineStr">
        <is>
          <t>Ej behandlad</t>
        </is>
      </c>
      <c r="AG1839" t="inlineStr">
        <is>
          <t>AUTO_GENERERAD. Verifiera citat mot kallfil.</t>
        </is>
      </c>
      <c r="AH1839" t="inlineStr">
        <is>
          <t>MEDIUM</t>
        </is>
      </c>
      <c r="AI1839" t="inlineStr">
        <is>
          <t>AUTO</t>
        </is>
      </c>
      <c r="AJ1839" t="inlineStr">
        <is>
          <t>Nej</t>
        </is>
      </c>
      <c r="AK1839" t="inlineStr"/>
      <c r="AL1839" t="inlineStr"/>
      <c r="AM1839" t="inlineStr"/>
      <c r="AN1839" t="inlineStr"/>
      <c r="AO1839" t="inlineStr">
        <is>
          <t>cmm4yunuo012hcuqwci7zdqkj</t>
        </is>
      </c>
      <c r="AP1839" t="inlineStr">
        <is>
          <t>http://localhost:8787/api/admin/requirements/documents/cmm4yunuo012hcuqwci7zdqkj/view</t>
        </is>
      </c>
      <c r="AQ1839">
        <f>HYPERLÄNK("http://localhost:8787/api/admin/requirements/documents/cmm4yunuo012hcuqwci7zdqkj/view";"Öppna PDF")</f>
        <v/>
      </c>
      <c r="AR1839">
        <f>HYPERLINK("http://localhost:8787/api/admin/requirements/documents/cmm4yunuo012hcuqwci7zdqkj/view","Open PDF")</f>
        <v/>
      </c>
      <c r="AS1839" t="inlineStr">
        <is>
          <t>cmm55w57p0004cuisfrtpqly8</t>
        </is>
      </c>
      <c r="AT1839" t="inlineStr">
        <is>
          <t>cmm4xvu980000cuh4vj0usz09</t>
        </is>
      </c>
      <c r="AU1839" t="inlineStr"/>
      <c r="AV1839" t="inlineStr">
        <is>
          <t>Kommun</t>
        </is>
      </c>
      <c r="AW1839" t="inlineStr"/>
      <c r="AX1839" t="inlineStr">
        <is>
          <t>2025-02</t>
        </is>
      </c>
      <c r="AY1839" t="inlineStr">
        <is>
          <t>Komplettering</t>
        </is>
      </c>
      <c r="AZ1839" t="inlineStr">
        <is>
          <t>2026-02-03</t>
        </is>
      </c>
      <c r="BA1839" t="inlineStr">
        <is>
          <t>E-post med kompletterande svar från Swerock.pdf</t>
        </is>
      </c>
      <c r="BB1839" t="inlineStr">
        <is>
          <t>Sv: till registrator</t>
        </is>
      </c>
      <c r="BC1839" t="inlineStr">
        <is>
          <t>AUTO</t>
        </is>
      </c>
      <c r="BD1839" t="inlineStr"/>
      <c r="BE1839" t="inlineStr"/>
      <c r="BF1839" t="inlineStr">
        <is>
          <t>AUTO_GENERERAD. Bekrafta metadata mot kallfil.</t>
        </is>
      </c>
      <c r="BG1839">
        <f>HYPERLINK("C:\Users\jimmy\Desktop\Examens arbete\Kod\Ny mapp\remix_-copy-of-miljöbeslut.se-portal\E-post med kompletterande svar från Swerock.pdf", "Öppna PDF")</f>
        <v/>
      </c>
    </row>
    <row r="1840">
      <c r="A1840" t="inlineStr">
        <is>
          <t>KRAV-AUTO-001839</t>
        </is>
      </c>
      <c r="B1840" t="inlineStr">
        <is>
          <t>ADMIN-INDEX-2026-02-27-00000000125C043F57453246863FE664CAFE6A3F0700950291EA24F0614FB6ACEDB12BF0E31D00000000010C0000950291EA24F0614FB6ACEDB12BF0E31D00002087AF090000</t>
        </is>
      </c>
      <c r="C1840" t="inlineStr">
        <is>
          <t>cmm4yunui012bcuqwob7626te</t>
        </is>
      </c>
      <c r="D1840" t="inlineStr">
        <is>
          <t>http://localhost:8787/api/admin/requirements/documents/cmm4yunui012bcuqwob7626te/view</t>
        </is>
      </c>
      <c r="E1840">
        <f>HYPERLÄNK("http://localhost:8787/api/admin/requirements/documents/cmm4yunui012bcuqwob7626te/view";"Öppna PDF")</f>
        <v/>
      </c>
      <c r="F1840">
        <f>HYPERLINK("http://localhost:8787/api/admin/requirements/documents/cmm4yunui012bcuqwob7626te/view","Open PDF")</f>
        <v/>
      </c>
      <c r="G1840" t="inlineStr">
        <is>
          <t>cmm55w57p0004cuisfrtpqly8</t>
        </is>
      </c>
      <c r="H1840" t="inlineStr">
        <is>
          <t>Kompletteringskrav</t>
        </is>
      </c>
      <c r="I1840" t="inlineStr">
        <is>
          <t>LagringsvolymTid</t>
        </is>
      </c>
      <c r="J1840" t="inlineStr">
        <is>
          <t>Maxmangd</t>
        </is>
      </c>
      <c r="K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40" t="inlineStr">
        <is>
          <t>BOR</t>
        </is>
      </c>
      <c r="N1840" t="inlineStr"/>
      <c r="O1840" t="inlineStr">
        <is>
          <t>2025-01-29</t>
        </is>
      </c>
      <c r="P1840" t="inlineStr"/>
      <c r="Q1840" t="inlineStr">
        <is>
          <t>Forelaggande vid brist</t>
        </is>
      </c>
      <c r="R1840" t="inlineStr">
        <is>
          <t>Alltid</t>
        </is>
      </c>
      <c r="S1840" t="inlineStr"/>
      <c r="T1840" t="inlineStr">
        <is>
          <t>556081</t>
        </is>
      </c>
      <c r="U1840" t="inlineStr"/>
      <c r="V1840" t="inlineStr"/>
      <c r="W1840" t="inlineStr">
        <is>
          <t>Nej</t>
        </is>
      </c>
      <c r="X1840" t="inlineStr">
        <is>
          <t>Nej</t>
        </is>
      </c>
      <c r="Y1840" t="inlineStr">
        <is>
          <t>Nej</t>
        </is>
      </c>
      <c r="Z1840" t="inlineStr">
        <is>
          <t>Nej</t>
        </is>
      </c>
      <c r="AA1840" t="n">
        <v>4</v>
      </c>
      <c r="AB1840" t="inlineStr">
        <is>
          <t>Avfallsmangder och lagringstid</t>
        </is>
      </c>
      <c r="AC1840" t="inlineStr">
        <is>
          <t>Avfallsforteckning</t>
        </is>
      </c>
      <c r="AD1840" t="inlineStr">
        <is>
          <t>Nej</t>
        </is>
      </c>
      <c r="AE1840" t="inlineStr">
        <is>
          <t>Nej</t>
        </is>
      </c>
      <c r="AF1840" t="inlineStr">
        <is>
          <t>Ej behandlad</t>
        </is>
      </c>
      <c r="AG1840" t="inlineStr">
        <is>
          <t>AUTO_GENERERAD. Verifiera citat mot kallfil.</t>
        </is>
      </c>
      <c r="AH1840" t="inlineStr">
        <is>
          <t>MEDIUM</t>
        </is>
      </c>
      <c r="AI1840" t="inlineStr">
        <is>
          <t>AUTO</t>
        </is>
      </c>
      <c r="AJ1840" t="inlineStr">
        <is>
          <t>Nej</t>
        </is>
      </c>
      <c r="AK1840" t="inlineStr"/>
      <c r="AL1840" t="inlineStr"/>
      <c r="AM1840" t="inlineStr"/>
      <c r="AN1840" t="inlineStr"/>
      <c r="AO1840" t="inlineStr">
        <is>
          <t>cmm4yunuo012hcuqwci7zdqkj</t>
        </is>
      </c>
      <c r="AP1840" t="inlineStr">
        <is>
          <t>http://localhost:8787/api/admin/requirements/documents/cmm4yunuo012hcuqwci7zdqkj/view</t>
        </is>
      </c>
      <c r="AQ1840">
        <f>HYPERLÄNK("http://localhost:8787/api/admin/requirements/documents/cmm4yunuo012hcuqwci7zdqkj/view";"Öppna PDF")</f>
        <v/>
      </c>
      <c r="AR1840">
        <f>HYPERLINK("http://localhost:8787/api/admin/requirements/documents/cmm4yunuo012hcuqwci7zdqkj/view","Open PDF")</f>
        <v/>
      </c>
      <c r="AS1840" t="inlineStr">
        <is>
          <t>cmm55w57p0004cuisfrtpqly8</t>
        </is>
      </c>
      <c r="AT1840" t="inlineStr">
        <is>
          <t>cmm4xvu980000cuh4vj0usz09</t>
        </is>
      </c>
      <c r="AU1840" t="inlineStr"/>
      <c r="AV1840" t="inlineStr">
        <is>
          <t>Kommun</t>
        </is>
      </c>
      <c r="AW1840" t="inlineStr"/>
      <c r="AX1840" t="inlineStr">
        <is>
          <t>2025-02</t>
        </is>
      </c>
      <c r="AY1840" t="inlineStr">
        <is>
          <t>Komplettering</t>
        </is>
      </c>
      <c r="AZ1840" t="inlineStr">
        <is>
          <t>2026-02-03</t>
        </is>
      </c>
      <c r="BA1840" t="inlineStr">
        <is>
          <t>E-post med kompletterande svar från Swerock.pdf</t>
        </is>
      </c>
      <c r="BB1840" t="inlineStr">
        <is>
          <t>Sv: till registrator</t>
        </is>
      </c>
      <c r="BC1840" t="inlineStr">
        <is>
          <t>AUTO</t>
        </is>
      </c>
      <c r="BD1840" t="inlineStr"/>
      <c r="BE1840" t="inlineStr"/>
      <c r="BF1840" t="inlineStr">
        <is>
          <t>AUTO_GENERERAD. Bekrafta metadata mot kallfil.</t>
        </is>
      </c>
      <c r="BG1840">
        <f>HYPERLINK("C:\Users\jimmy\Desktop\Examens arbete\Kod\Ny mapp\remix_-copy-of-miljöbeslut.se-portal\E-post med kompletterande svar från Swerock.pdf", "Öppna PDF")</f>
        <v/>
      </c>
    </row>
    <row r="1841">
      <c r="A1841" t="inlineStr">
        <is>
          <t>KRAV-AUTO-001840</t>
        </is>
      </c>
      <c r="B1841" t="inlineStr">
        <is>
          <t>ADMIN-INDEX-2026-02-27-00000000125C043F57453246863FE664CAFE6A3F0700950291EA24F0614FB6ACEDB12BF0E31D00000000010C0000950291EA24F0614FB6ACEDB12BF0E31D00002087AF090000</t>
        </is>
      </c>
      <c r="C1841" t="inlineStr">
        <is>
          <t>cmm4yunui012bcuqwob7626te</t>
        </is>
      </c>
      <c r="D1841" t="inlineStr">
        <is>
          <t>http://localhost:8787/api/admin/requirements/documents/cmm4yunui012bcuqwob7626te/view</t>
        </is>
      </c>
      <c r="E1841">
        <f>HYPERLÄNK("http://localhost:8787/api/admin/requirements/documents/cmm4yunui012bcuqwob7626te/view";"Öppna PDF")</f>
        <v/>
      </c>
      <c r="F1841">
        <f>HYPERLINK("http://localhost:8787/api/admin/requirements/documents/cmm4yunui012bcuqwob7626te/view","Open PDF")</f>
        <v/>
      </c>
      <c r="G1841" t="inlineStr">
        <is>
          <t>cmm55w57p0004cuisfrtpqly8</t>
        </is>
      </c>
      <c r="H1841" t="inlineStr">
        <is>
          <t>Kompletteringskrav</t>
        </is>
      </c>
      <c r="I1841" t="inlineStr">
        <is>
          <t>LagringsvolymTid</t>
        </is>
      </c>
      <c r="J1841" t="inlineStr">
        <is>
          <t>Maxmangd</t>
        </is>
      </c>
      <c r="K1841" t="inlineStr">
        <is>
          <t>Avfall eller produkt Redovisa om avfallet (betongkross) efter den mekaniska behandlingen ses som avfall eller produkt.</t>
        </is>
      </c>
      <c r="L1841" t="inlineStr">
        <is>
          <t>Avfall eller produkt Redovisa om avfallet (betongkross) efter den mekaniska behandlingen ses som avfall eller produkt.</t>
        </is>
      </c>
      <c r="M1841" t="inlineStr">
        <is>
          <t>SKA</t>
        </is>
      </c>
      <c r="N1841" t="inlineStr"/>
      <c r="O1841" t="inlineStr"/>
      <c r="P1841" t="inlineStr"/>
      <c r="Q1841" t="inlineStr"/>
      <c r="R1841" t="inlineStr">
        <is>
          <t>Alltid</t>
        </is>
      </c>
      <c r="S1841" t="inlineStr"/>
      <c r="T1841" t="inlineStr">
        <is>
          <t>556081</t>
        </is>
      </c>
      <c r="U1841" t="inlineStr"/>
      <c r="V1841" t="inlineStr"/>
      <c r="W1841" t="inlineStr">
        <is>
          <t>Nej</t>
        </is>
      </c>
      <c r="X1841" t="inlineStr">
        <is>
          <t>Nej</t>
        </is>
      </c>
      <c r="Y1841" t="inlineStr">
        <is>
          <t>Nej</t>
        </is>
      </c>
      <c r="Z1841" t="inlineStr">
        <is>
          <t>Nej</t>
        </is>
      </c>
      <c r="AA1841" t="n">
        <v>4</v>
      </c>
      <c r="AB1841" t="inlineStr">
        <is>
          <t>Avfallsmangder och lagringstid</t>
        </is>
      </c>
      <c r="AC1841" t="inlineStr">
        <is>
          <t>Avfallsforteckning</t>
        </is>
      </c>
      <c r="AD1841" t="inlineStr">
        <is>
          <t>Nej</t>
        </is>
      </c>
      <c r="AE1841" t="inlineStr">
        <is>
          <t>Nej</t>
        </is>
      </c>
      <c r="AF1841" t="inlineStr">
        <is>
          <t>Ej behandlad</t>
        </is>
      </c>
      <c r="AG1841" t="inlineStr">
        <is>
          <t>AUTO_GENERERAD. Verifiera citat mot kallfil.</t>
        </is>
      </c>
      <c r="AH1841" t="inlineStr">
        <is>
          <t>MEDIUM</t>
        </is>
      </c>
      <c r="AI1841" t="inlineStr">
        <is>
          <t>AUTO</t>
        </is>
      </c>
      <c r="AJ1841" t="inlineStr">
        <is>
          <t>Nej</t>
        </is>
      </c>
      <c r="AK1841" t="inlineStr"/>
      <c r="AL1841" t="inlineStr"/>
      <c r="AM1841" t="inlineStr"/>
      <c r="AN1841" t="inlineStr"/>
      <c r="AO1841" t="inlineStr">
        <is>
          <t>cmm4yunuo012hcuqwci7zdqkj</t>
        </is>
      </c>
      <c r="AP1841" t="inlineStr">
        <is>
          <t>http://localhost:8787/api/admin/requirements/documents/cmm4yunuo012hcuqwci7zdqkj/view</t>
        </is>
      </c>
      <c r="AQ1841">
        <f>HYPERLÄNK("http://localhost:8787/api/admin/requirements/documents/cmm4yunuo012hcuqwci7zdqkj/view";"Öppna PDF")</f>
        <v/>
      </c>
      <c r="AR1841">
        <f>HYPERLINK("http://localhost:8787/api/admin/requirements/documents/cmm4yunuo012hcuqwci7zdqkj/view","Open PDF")</f>
        <v/>
      </c>
      <c r="AS1841" t="inlineStr">
        <is>
          <t>cmm55w57p0004cuisfrtpqly8</t>
        </is>
      </c>
      <c r="AT1841" t="inlineStr">
        <is>
          <t>cmm4xvu980000cuh4vj0usz09</t>
        </is>
      </c>
      <c r="AU1841" t="inlineStr"/>
      <c r="AV1841" t="inlineStr">
        <is>
          <t>Kommun</t>
        </is>
      </c>
      <c r="AW1841" t="inlineStr"/>
      <c r="AX1841" t="inlineStr">
        <is>
          <t>2025-02</t>
        </is>
      </c>
      <c r="AY1841" t="inlineStr">
        <is>
          <t>Komplettering</t>
        </is>
      </c>
      <c r="AZ1841" t="inlineStr">
        <is>
          <t>2026-02-03</t>
        </is>
      </c>
      <c r="BA1841" t="inlineStr">
        <is>
          <t>E-post med kompletterande svar från Swerock.pdf</t>
        </is>
      </c>
      <c r="BB1841" t="inlineStr">
        <is>
          <t>Sv: till registrator</t>
        </is>
      </c>
      <c r="BC1841" t="inlineStr">
        <is>
          <t>AUTO</t>
        </is>
      </c>
      <c r="BD1841" t="inlineStr"/>
      <c r="BE1841" t="inlineStr"/>
      <c r="BF1841" t="inlineStr">
        <is>
          <t>AUTO_GENERERAD. Bekrafta metadata mot kallfil.</t>
        </is>
      </c>
      <c r="BG1841">
        <f>HYPERLINK("C:\Users\jimmy\Desktop\Examens arbete\Kod\Ny mapp\remix_-copy-of-miljöbeslut.se-portal\E-post med kompletterande svar från Swerock.pdf", "Öppna PDF")</f>
        <v/>
      </c>
    </row>
    <row r="1842">
      <c r="A1842" t="inlineStr">
        <is>
          <t>KRAV-AUTO-001841</t>
        </is>
      </c>
      <c r="B1842" t="inlineStr">
        <is>
          <t>ADMIN-INDEX-2026-02-27-00000000125C043F57453246863FE664CAFE6A3F0700950291EA24F0614FB6ACEDB12BF0E31D00000000010C0000950291EA24F0614FB6ACEDB12BF0E31D00002087AF090000</t>
        </is>
      </c>
      <c r="C1842" t="inlineStr">
        <is>
          <t>cmm4yunui012bcuqwob7626te</t>
        </is>
      </c>
      <c r="D1842" t="inlineStr">
        <is>
          <t>http://localhost:8787/api/admin/requirements/documents/cmm4yunui012bcuqwob7626te/view</t>
        </is>
      </c>
      <c r="E1842">
        <f>HYPERLÄNK("http://localhost:8787/api/admin/requirements/documents/cmm4yunui012bcuqwob7626te/view";"Öppna PDF")</f>
        <v/>
      </c>
      <c r="F1842">
        <f>HYPERLINK("http://localhost:8787/api/admin/requirements/documents/cmm4yunui012bcuqwob7626te/view","Open PDF")</f>
        <v/>
      </c>
      <c r="G1842" t="inlineStr">
        <is>
          <t>cmm55w57p0004cuisfrtpqly8</t>
        </is>
      </c>
      <c r="H1842" t="inlineStr">
        <is>
          <t>Kompletteringskrav</t>
        </is>
      </c>
      <c r="I1842" t="inlineStr">
        <is>
          <t>LagringsvolymTid</t>
        </is>
      </c>
      <c r="J1842" t="inlineStr">
        <is>
          <t>Maxmangd</t>
        </is>
      </c>
      <c r="K1842" t="inlineStr">
        <is>
          <t>ange hämtställe, avfallskod och mängd, se https://swerock.se/kontakt/mottagningsblankett/ Innan avlämning av sliprarna får transportören information om var inom anläggningen avlämning ska ske.</t>
        </is>
      </c>
      <c r="L1842" t="inlineStr">
        <is>
          <t>ange hämtställe, avfallskod och mängd, se https://swerock.se/kontakt/mottagningsblankett/ Innan avlämning av sliprarna får transportören information om var inom anläggningen avlämning ska ske.</t>
        </is>
      </c>
      <c r="M1842" t="inlineStr">
        <is>
          <t>SKA</t>
        </is>
      </c>
      <c r="N1842" t="inlineStr"/>
      <c r="O1842" t="inlineStr"/>
      <c r="P1842" t="inlineStr"/>
      <c r="Q1842" t="inlineStr"/>
      <c r="R1842" t="inlineStr">
        <is>
          <t>Alltid</t>
        </is>
      </c>
      <c r="S1842" t="inlineStr"/>
      <c r="T1842" t="inlineStr">
        <is>
          <t>556081</t>
        </is>
      </c>
      <c r="U1842" t="inlineStr"/>
      <c r="V1842" t="inlineStr"/>
      <c r="W1842" t="inlineStr">
        <is>
          <t>Nej</t>
        </is>
      </c>
      <c r="X1842" t="inlineStr">
        <is>
          <t>Nej</t>
        </is>
      </c>
      <c r="Y1842" t="inlineStr">
        <is>
          <t>Nej</t>
        </is>
      </c>
      <c r="Z1842" t="inlineStr">
        <is>
          <t>Nej</t>
        </is>
      </c>
      <c r="AA1842" t="n">
        <v>4</v>
      </c>
      <c r="AB1842" t="inlineStr">
        <is>
          <t>Avfallsmangder och lagringstid</t>
        </is>
      </c>
      <c r="AC1842" t="inlineStr">
        <is>
          <t>Avfallsforteckning</t>
        </is>
      </c>
      <c r="AD1842" t="inlineStr">
        <is>
          <t>Nej</t>
        </is>
      </c>
      <c r="AE1842" t="inlineStr">
        <is>
          <t>Nej</t>
        </is>
      </c>
      <c r="AF1842" t="inlineStr">
        <is>
          <t>Ej behandlad</t>
        </is>
      </c>
      <c r="AG1842" t="inlineStr">
        <is>
          <t>AUTO_GENERERAD. Verifiera citat mot kallfil.</t>
        </is>
      </c>
      <c r="AH1842" t="inlineStr">
        <is>
          <t>MEDIUM</t>
        </is>
      </c>
      <c r="AI1842" t="inlineStr">
        <is>
          <t>AUTO</t>
        </is>
      </c>
      <c r="AJ1842" t="inlineStr">
        <is>
          <t>Nej</t>
        </is>
      </c>
      <c r="AK1842" t="inlineStr"/>
      <c r="AL1842" t="inlineStr"/>
      <c r="AM1842" t="inlineStr"/>
      <c r="AN1842" t="inlineStr"/>
      <c r="AO1842" t="inlineStr">
        <is>
          <t>cmm4yunuo012hcuqwci7zdqkj</t>
        </is>
      </c>
      <c r="AP1842" t="inlineStr">
        <is>
          <t>http://localhost:8787/api/admin/requirements/documents/cmm4yunuo012hcuqwci7zdqkj/view</t>
        </is>
      </c>
      <c r="AQ1842">
        <f>HYPERLÄNK("http://localhost:8787/api/admin/requirements/documents/cmm4yunuo012hcuqwci7zdqkj/view";"Öppna PDF")</f>
        <v/>
      </c>
      <c r="AR1842">
        <f>HYPERLINK("http://localhost:8787/api/admin/requirements/documents/cmm4yunuo012hcuqwci7zdqkj/view","Open PDF")</f>
        <v/>
      </c>
      <c r="AS1842" t="inlineStr">
        <is>
          <t>cmm55w57p0004cuisfrtpqly8</t>
        </is>
      </c>
      <c r="AT1842" t="inlineStr">
        <is>
          <t>cmm4xvu980000cuh4vj0usz09</t>
        </is>
      </c>
      <c r="AU1842" t="inlineStr"/>
      <c r="AV1842" t="inlineStr">
        <is>
          <t>Kommun</t>
        </is>
      </c>
      <c r="AW1842" t="inlineStr"/>
      <c r="AX1842" t="inlineStr">
        <is>
          <t>2025-02</t>
        </is>
      </c>
      <c r="AY1842" t="inlineStr">
        <is>
          <t>Komplettering</t>
        </is>
      </c>
      <c r="AZ1842" t="inlineStr">
        <is>
          <t>2026-02-03</t>
        </is>
      </c>
      <c r="BA1842" t="inlineStr">
        <is>
          <t>E-post med kompletterande svar från Swerock.pdf</t>
        </is>
      </c>
      <c r="BB1842" t="inlineStr">
        <is>
          <t>Sv: till registrator</t>
        </is>
      </c>
      <c r="BC1842" t="inlineStr">
        <is>
          <t>AUTO</t>
        </is>
      </c>
      <c r="BD1842" t="inlineStr"/>
      <c r="BE1842" t="inlineStr"/>
      <c r="BF1842" t="inlineStr">
        <is>
          <t>AUTO_GENERERAD. Bekrafta metadata mot kallfil.</t>
        </is>
      </c>
      <c r="BG1842">
        <f>HYPERLINK("C:\Users\jimmy\Desktop\Examens arbete\Kod\Ny mapp\remix_-copy-of-miljöbeslut.se-portal\E-post med kompletterande svar från Swerock.pdf", "Öppna PDF")</f>
        <v/>
      </c>
    </row>
    <row r="1843">
      <c r="A1843" t="inlineStr">
        <is>
          <t>KRAV-AUTO-001842</t>
        </is>
      </c>
      <c r="B1843" t="inlineStr">
        <is>
          <t>ADMIN-INDEX-2026-02-27-00000000125C043F57453246863FE664CAFE6A3F0700950291EA24F0614FB6ACEDB12BF0E31D00000000010C0000950291EA24F0614FB6ACEDB12BF0E31D00002087AF090000</t>
        </is>
      </c>
      <c r="C1843" t="inlineStr">
        <is>
          <t>cmm4yunuf0128cuqwhn1pvm56</t>
        </is>
      </c>
      <c r="D1843" t="inlineStr">
        <is>
          <t>http://localhost:8787/api/admin/requirements/documents/cmm4yunuf0128cuqwhn1pvm56/view</t>
        </is>
      </c>
      <c r="E1843">
        <f>HYPERLÄNK("http://localhost:8787/api/admin/requirements/documents/cmm4yunuf0128cuqwhn1pvm56/view";"Öppna PDF")</f>
        <v/>
      </c>
      <c r="F1843">
        <f>HYPERLINK("http://localhost:8787/api/admin/requirements/documents/cmm4yunuf0128cuqwhn1pvm56/view","Open PDF")</f>
        <v/>
      </c>
      <c r="G1843" t="inlineStr">
        <is>
          <t>cmm55w57p0004cuisfrtpqly8</t>
        </is>
      </c>
      <c r="H1843" t="inlineStr">
        <is>
          <t>Beslutsvillkor</t>
        </is>
      </c>
      <c r="I1843" t="inlineStr">
        <is>
          <t>DriftEgenkontroll</t>
        </is>
      </c>
      <c r="J1843" t="inlineStr">
        <is>
          <t>Journalforing</t>
        </is>
      </c>
      <c r="K1843" t="inlineStr">
        <is>
          <t>Bör vi kräva provtagning innan, eller efter krossning?</t>
        </is>
      </c>
      <c r="L1843" t="inlineStr">
        <is>
          <t>Bör vi kräva provtagning innan, eller efter krossning?</t>
        </is>
      </c>
      <c r="M1843" t="inlineStr">
        <is>
          <t>BOR</t>
        </is>
      </c>
      <c r="N1843" t="inlineStr"/>
      <c r="O1843" t="inlineStr"/>
      <c r="P1843" t="inlineStr"/>
      <c r="Q1843" t="inlineStr"/>
      <c r="R1843" t="inlineStr">
        <is>
          <t>Lopande drift</t>
        </is>
      </c>
      <c r="S1843" t="inlineStr"/>
      <c r="T1843" t="inlineStr">
        <is>
          <t>34 93 65</t>
        </is>
      </c>
      <c r="U1843" t="inlineStr"/>
      <c r="V1843" t="inlineStr"/>
      <c r="W1843" t="inlineStr">
        <is>
          <t>Nej</t>
        </is>
      </c>
      <c r="X1843" t="inlineStr">
        <is>
          <t>Nej</t>
        </is>
      </c>
      <c r="Y1843" t="inlineStr">
        <is>
          <t>Ja</t>
        </is>
      </c>
      <c r="Z1843" t="inlineStr">
        <is>
          <t>Nej</t>
        </is>
      </c>
      <c r="AA1843" t="n">
        <v>7</v>
      </c>
      <c r="AB1843" t="inlineStr">
        <is>
          <t>Egenkontrollrutiner</t>
        </is>
      </c>
      <c r="AC1843" t="inlineStr">
        <is>
          <t>Egenkontrollprogram</t>
        </is>
      </c>
      <c r="AD1843" t="inlineStr">
        <is>
          <t>Nej</t>
        </is>
      </c>
      <c r="AE1843" t="inlineStr">
        <is>
          <t>Nej</t>
        </is>
      </c>
      <c r="AF1843" t="inlineStr">
        <is>
          <t>Ej behandlad</t>
        </is>
      </c>
      <c r="AG1843" t="inlineStr">
        <is>
          <t>AUTO_GENERERAD. Verifiera citat mot kallfil.</t>
        </is>
      </c>
      <c r="AH1843" t="inlineStr">
        <is>
          <t>MEDIUM</t>
        </is>
      </c>
      <c r="AI1843" t="inlineStr">
        <is>
          <t>AUTO</t>
        </is>
      </c>
      <c r="AJ1843" t="inlineStr">
        <is>
          <t>Nej</t>
        </is>
      </c>
      <c r="AK1843" t="inlineStr"/>
      <c r="AL1843" t="inlineStr"/>
      <c r="AM1843" t="inlineStr"/>
      <c r="AN1843" t="inlineStr"/>
      <c r="AO1843" t="inlineStr">
        <is>
          <t>cmm4yunuo012hcuqwci7zdqkj</t>
        </is>
      </c>
      <c r="AP1843" t="inlineStr">
        <is>
          <t>http://localhost:8787/api/admin/requirements/documents/cmm4yunuo012hcuqwci7zdqkj/view</t>
        </is>
      </c>
      <c r="AQ1843">
        <f>HYPERLÄNK("http://localhost:8787/api/admin/requirements/documents/cmm4yunuo012hcuqwci7zdqkj/view";"Öppna PDF")</f>
        <v/>
      </c>
      <c r="AR1843">
        <f>HYPERLINK("http://localhost:8787/api/admin/requirements/documents/cmm4yunuo012hcuqwci7zdqkj/view","Open PDF")</f>
        <v/>
      </c>
      <c r="AS1843" t="inlineStr">
        <is>
          <t>cmm55w57p0004cuisfrtpqly8</t>
        </is>
      </c>
      <c r="AT1843" t="inlineStr">
        <is>
          <t>cmm4xvu980000cuh4vj0usz09</t>
        </is>
      </c>
      <c r="AU1843" t="inlineStr"/>
      <c r="AV1843" t="inlineStr">
        <is>
          <t>Kommun</t>
        </is>
      </c>
      <c r="AW1843" t="inlineStr"/>
      <c r="AX1843" t="inlineStr">
        <is>
          <t>2025-02</t>
        </is>
      </c>
      <c r="AY1843" t="inlineStr">
        <is>
          <t>Komplettering</t>
        </is>
      </c>
      <c r="AZ1843" t="inlineStr">
        <is>
          <t>2026-02-03</t>
        </is>
      </c>
      <c r="BA1843" t="inlineStr">
        <is>
          <t>E-post med kompletterande svar från Swerock.pdf</t>
        </is>
      </c>
      <c r="BB1843" t="inlineStr">
        <is>
          <t>Sv: till registrator</t>
        </is>
      </c>
      <c r="BC1843" t="inlineStr">
        <is>
          <t>AUTO</t>
        </is>
      </c>
      <c r="BD1843" t="inlineStr"/>
      <c r="BE1843" t="inlineStr"/>
      <c r="BF1843" t="inlineStr">
        <is>
          <t>AUTO_GENERERAD. Bekrafta metadata mot kallfil.</t>
        </is>
      </c>
      <c r="BG1843">
        <f>HYPERLINK("C:\Users\jimmy\Desktop\Examens arbete\Kod\Ny mapp\remix_-copy-of-miljöbeslut.se-portal\E-post med kompletterande svar från Swerock.pdf", "Öppna PDF")</f>
        <v/>
      </c>
    </row>
    <row r="1844">
      <c r="A1844" t="inlineStr">
        <is>
          <t>KRAV-AUTO-001843</t>
        </is>
      </c>
      <c r="B1844" t="inlineStr">
        <is>
          <t>ADMIN-INDEX-2026-02-27-00000000125C043F57453246863FE664CAFE6A3F0700950291EA24F0614FB6ACEDB12BF0E31D00000000010C0000950291EA24F0614FB6ACEDB12BF0E31D00002087AF090000</t>
        </is>
      </c>
      <c r="C1844" t="inlineStr">
        <is>
          <t>cmm4yunuf0128cuqwhn1pvm56</t>
        </is>
      </c>
      <c r="D1844" t="inlineStr">
        <is>
          <t>http://localhost:8787/api/admin/requirements/documents/cmm4yunuf0128cuqwhn1pvm56/view</t>
        </is>
      </c>
      <c r="E1844">
        <f>HYPERLÄNK("http://localhost:8787/api/admin/requirements/documents/cmm4yunuf0128cuqwhn1pvm56/view";"Öppna PDF")</f>
        <v/>
      </c>
      <c r="F1844">
        <f>HYPERLINK("http://localhost:8787/api/admin/requirements/documents/cmm4yunuf0128cuqwhn1pvm56/view","Open PDF")</f>
        <v/>
      </c>
      <c r="G1844" t="inlineStr">
        <is>
          <t>cmm55w57p0004cuisfrtpqly8</t>
        </is>
      </c>
      <c r="H1844" t="inlineStr">
        <is>
          <t>Beslutsvillkor</t>
        </is>
      </c>
      <c r="I1844" t="inlineStr">
        <is>
          <t>DagvattenLakvatten</t>
        </is>
      </c>
      <c r="J1844" t="inlineStr">
        <is>
          <t>Uppsamling</t>
        </is>
      </c>
      <c r="K1844" t="inlineStr">
        <is>
          <t>En tänkbar försiktighetsåtgärd kan vara att all hantering av slipers som är osäker ska ske på hårdgjord yta och avrinning vid regn eller snösmältning ska ske under kontrollerade former.</t>
        </is>
      </c>
      <c r="L1844" t="inlineStr">
        <is>
          <t>En tänkbar försiktighetsåtgärd kan vara att all hantering av slipers som är osäker ska ske på hårdgjord yta och avrinning vid regn eller snösmältning ska ske under kontrollerade former.</t>
        </is>
      </c>
      <c r="M1844" t="inlineStr">
        <is>
          <t>SKA</t>
        </is>
      </c>
      <c r="N1844" t="inlineStr"/>
      <c r="O1844" t="inlineStr"/>
      <c r="P1844" t="inlineStr"/>
      <c r="Q1844" t="inlineStr"/>
      <c r="R1844" t="inlineStr">
        <is>
          <t>Vid nederbord och avrinning</t>
        </is>
      </c>
      <c r="S1844" t="inlineStr"/>
      <c r="T1844" t="inlineStr">
        <is>
          <t>34 93 65</t>
        </is>
      </c>
      <c r="U1844" t="inlineStr"/>
      <c r="V1844" t="inlineStr"/>
      <c r="W1844" t="inlineStr">
        <is>
          <t>Nej</t>
        </is>
      </c>
      <c r="X1844" t="inlineStr">
        <is>
          <t>Ja</t>
        </is>
      </c>
      <c r="Y1844" t="inlineStr">
        <is>
          <t>Ja</t>
        </is>
      </c>
      <c r="Z1844" t="inlineStr">
        <is>
          <t>Nej</t>
        </is>
      </c>
      <c r="AA1844" t="n">
        <v>6</v>
      </c>
      <c r="AB1844" t="inlineStr">
        <is>
          <t>Lakvattenhantering</t>
        </is>
      </c>
      <c r="AC1844" t="inlineStr">
        <is>
          <t>Flodesschema dagvatten-lakvatten</t>
        </is>
      </c>
      <c r="AD1844" t="inlineStr">
        <is>
          <t>Nej</t>
        </is>
      </c>
      <c r="AE1844" t="inlineStr">
        <is>
          <t>Nej</t>
        </is>
      </c>
      <c r="AF1844" t="inlineStr">
        <is>
          <t>Ej behandlad</t>
        </is>
      </c>
      <c r="AG1844" t="inlineStr">
        <is>
          <t>AUTO_GENERERAD. Verifiera citat mot kallfil.</t>
        </is>
      </c>
      <c r="AH1844" t="inlineStr">
        <is>
          <t>MEDIUM</t>
        </is>
      </c>
      <c r="AI1844" t="inlineStr">
        <is>
          <t>AUTO</t>
        </is>
      </c>
      <c r="AJ1844" t="inlineStr">
        <is>
          <t>Nej</t>
        </is>
      </c>
      <c r="AK1844" t="inlineStr"/>
      <c r="AL1844" t="inlineStr"/>
      <c r="AM1844" t="inlineStr"/>
      <c r="AN1844" t="inlineStr"/>
      <c r="AO1844" t="inlineStr">
        <is>
          <t>cmm4yunuo012hcuqwci7zdqkj</t>
        </is>
      </c>
      <c r="AP1844" t="inlineStr">
        <is>
          <t>http://localhost:8787/api/admin/requirements/documents/cmm4yunuo012hcuqwci7zdqkj/view</t>
        </is>
      </c>
      <c r="AQ1844">
        <f>HYPERLÄNK("http://localhost:8787/api/admin/requirements/documents/cmm4yunuo012hcuqwci7zdqkj/view";"Öppna PDF")</f>
        <v/>
      </c>
      <c r="AR1844">
        <f>HYPERLINK("http://localhost:8787/api/admin/requirements/documents/cmm4yunuo012hcuqwci7zdqkj/view","Open PDF")</f>
        <v/>
      </c>
      <c r="AS1844" t="inlineStr">
        <is>
          <t>cmm55w57p0004cuisfrtpqly8</t>
        </is>
      </c>
      <c r="AT1844" t="inlineStr">
        <is>
          <t>cmm4xvu980000cuh4vj0usz09</t>
        </is>
      </c>
      <c r="AU1844" t="inlineStr"/>
      <c r="AV1844" t="inlineStr">
        <is>
          <t>Kommun</t>
        </is>
      </c>
      <c r="AW1844" t="inlineStr"/>
      <c r="AX1844" t="inlineStr">
        <is>
          <t>2025-02</t>
        </is>
      </c>
      <c r="AY1844" t="inlineStr">
        <is>
          <t>Komplettering</t>
        </is>
      </c>
      <c r="AZ1844" t="inlineStr">
        <is>
          <t>2026-02-03</t>
        </is>
      </c>
      <c r="BA1844" t="inlineStr">
        <is>
          <t>E-post med kompletterande svar från Swerock.pdf</t>
        </is>
      </c>
      <c r="BB1844" t="inlineStr">
        <is>
          <t>Sv: till registrator</t>
        </is>
      </c>
      <c r="BC1844" t="inlineStr">
        <is>
          <t>AUTO</t>
        </is>
      </c>
      <c r="BD1844" t="inlineStr"/>
      <c r="BE1844" t="inlineStr"/>
      <c r="BF1844" t="inlineStr">
        <is>
          <t>AUTO_GENERERAD. Bekrafta metadata mot kallfil.</t>
        </is>
      </c>
      <c r="BG1844">
        <f>HYPERLINK("C:\Users\jimmy\Desktop\Examens arbete\Kod\Ny mapp\remix_-copy-of-miljöbeslut.se-portal\E-post med kompletterande svar från Swerock.pdf", "Öppna PDF")</f>
        <v/>
      </c>
    </row>
    <row r="1845">
      <c r="A1845" t="inlineStr">
        <is>
          <t>KRAV-AUTO-001844</t>
        </is>
      </c>
      <c r="B1845" t="inlineStr">
        <is>
          <t>ADMIN-INDEX-2026-02-27-00000000125C043F57453246863FE664CAFE6A3F0700950291EA24F0614FB6ACEDB12BF0E31D00000000010C0000950291EA24F0614FB6ACEDB12BF0E31D00002087AF090000</t>
        </is>
      </c>
      <c r="C1845" t="inlineStr">
        <is>
          <t>cmm4yunuf0128cuqwhn1pvm56</t>
        </is>
      </c>
      <c r="D1845" t="inlineStr">
        <is>
          <t>http://localhost:8787/api/admin/requirements/documents/cmm4yunuf0128cuqwhn1pvm56/view</t>
        </is>
      </c>
      <c r="E1845">
        <f>HYPERLÄNK("http://localhost:8787/api/admin/requirements/documents/cmm4yunuf0128cuqwhn1pvm56/view";"Öppna PDF")</f>
        <v/>
      </c>
      <c r="F1845">
        <f>HYPERLINK("http://localhost:8787/api/admin/requirements/documents/cmm4yunuf0128cuqwhn1pvm56/view","Open PDF")</f>
        <v/>
      </c>
      <c r="G1845" t="inlineStr">
        <is>
          <t>cmm55w57p0004cuisfrtpqly8</t>
        </is>
      </c>
      <c r="H1845" t="inlineStr">
        <is>
          <t>Beslutsvillkor</t>
        </is>
      </c>
      <c r="I1845" t="inlineStr">
        <is>
          <t>LagringsvolymTid</t>
        </is>
      </c>
      <c r="J1845" t="inlineStr">
        <is>
          <t>Maxmangd</t>
        </is>
      </c>
      <c r="K1845" t="inlineStr">
        <is>
          <t> Uppgifterna om att det är betong (inte berg, grus eller morän) och att armeringsjärn och dylikt ska sorteras ut tyder på att det är fråga mekanisk bearbetning såsom sönderdelning, utsortering av metall och krossning.</t>
        </is>
      </c>
      <c r="L1845" t="inlineStr">
        <is>
          <t> Uppgifterna om att det är betong (inte berg, grus eller morän) och att armeringsjärn och dylikt ska sorteras ut tyder på att det är fråga mekanisk bearbetning såsom sönderdelning, utsortering av metall och krossning.</t>
        </is>
      </c>
      <c r="M1845" t="inlineStr">
        <is>
          <t>SKA</t>
        </is>
      </c>
      <c r="N1845" t="inlineStr"/>
      <c r="O1845" t="inlineStr"/>
      <c r="P1845" t="inlineStr"/>
      <c r="Q1845" t="inlineStr"/>
      <c r="R1845" t="inlineStr">
        <is>
          <t>Alltid</t>
        </is>
      </c>
      <c r="S1845" t="inlineStr"/>
      <c r="T1845" t="inlineStr">
        <is>
          <t>34 93 65</t>
        </is>
      </c>
      <c r="U1845" t="inlineStr"/>
      <c r="V1845" t="inlineStr"/>
      <c r="W1845" t="inlineStr">
        <is>
          <t>Nej</t>
        </is>
      </c>
      <c r="X1845" t="inlineStr">
        <is>
          <t>Nej</t>
        </is>
      </c>
      <c r="Y1845" t="inlineStr">
        <is>
          <t>Nej</t>
        </is>
      </c>
      <c r="Z1845" t="inlineStr">
        <is>
          <t>Nej</t>
        </is>
      </c>
      <c r="AA1845" t="n">
        <v>4</v>
      </c>
      <c r="AB1845" t="inlineStr">
        <is>
          <t>Avfallsmangder och lagringstid</t>
        </is>
      </c>
      <c r="AC1845" t="inlineStr">
        <is>
          <t>Avfallsforteckning</t>
        </is>
      </c>
      <c r="AD1845" t="inlineStr">
        <is>
          <t>Nej</t>
        </is>
      </c>
      <c r="AE1845" t="inlineStr">
        <is>
          <t>Nej</t>
        </is>
      </c>
      <c r="AF1845" t="inlineStr">
        <is>
          <t>Ej behandlad</t>
        </is>
      </c>
      <c r="AG1845" t="inlineStr">
        <is>
          <t>AUTO_GENERERAD. Verifiera citat mot kallfil.</t>
        </is>
      </c>
      <c r="AH1845" t="inlineStr">
        <is>
          <t>MEDIUM</t>
        </is>
      </c>
      <c r="AI1845" t="inlineStr">
        <is>
          <t>AUTO</t>
        </is>
      </c>
      <c r="AJ1845" t="inlineStr">
        <is>
          <t>Nej</t>
        </is>
      </c>
      <c r="AK1845" t="inlineStr"/>
      <c r="AL1845" t="inlineStr"/>
      <c r="AM1845" t="inlineStr"/>
      <c r="AN1845" t="inlineStr"/>
      <c r="AO1845" t="inlineStr">
        <is>
          <t>cmm4yunuo012hcuqwci7zdqkj</t>
        </is>
      </c>
      <c r="AP1845" t="inlineStr">
        <is>
          <t>http://localhost:8787/api/admin/requirements/documents/cmm4yunuo012hcuqwci7zdqkj/view</t>
        </is>
      </c>
      <c r="AQ1845">
        <f>HYPERLÄNK("http://localhost:8787/api/admin/requirements/documents/cmm4yunuo012hcuqwci7zdqkj/view";"Öppna PDF")</f>
        <v/>
      </c>
      <c r="AR1845">
        <f>HYPERLINK("http://localhost:8787/api/admin/requirements/documents/cmm4yunuo012hcuqwci7zdqkj/view","Open PDF")</f>
        <v/>
      </c>
      <c r="AS1845" t="inlineStr">
        <is>
          <t>cmm55w57p0004cuisfrtpqly8</t>
        </is>
      </c>
      <c r="AT1845" t="inlineStr">
        <is>
          <t>cmm4xvu980000cuh4vj0usz09</t>
        </is>
      </c>
      <c r="AU1845" t="inlineStr"/>
      <c r="AV1845" t="inlineStr">
        <is>
          <t>Kommun</t>
        </is>
      </c>
      <c r="AW1845" t="inlineStr"/>
      <c r="AX1845" t="inlineStr">
        <is>
          <t>2025-02</t>
        </is>
      </c>
      <c r="AY1845" t="inlineStr">
        <is>
          <t>Komplettering</t>
        </is>
      </c>
      <c r="AZ1845" t="inlineStr">
        <is>
          <t>2026-02-03</t>
        </is>
      </c>
      <c r="BA1845" t="inlineStr">
        <is>
          <t>E-post med kompletterande svar från Swerock.pdf</t>
        </is>
      </c>
      <c r="BB1845" t="inlineStr">
        <is>
          <t>Sv: till registrator</t>
        </is>
      </c>
      <c r="BC1845" t="inlineStr">
        <is>
          <t>AUTO</t>
        </is>
      </c>
      <c r="BD1845" t="inlineStr"/>
      <c r="BE1845" t="inlineStr"/>
      <c r="BF1845" t="inlineStr">
        <is>
          <t>AUTO_GENERERAD. Bekrafta metadata mot kallfil.</t>
        </is>
      </c>
      <c r="BG1845">
        <f>HYPERLINK("C:\Users\jimmy\Desktop\Examens arbete\Kod\Ny mapp\remix_-copy-of-miljöbeslut.se-portal\E-post med kompletterande svar från Swerock.pdf", "Öppna PDF")</f>
        <v/>
      </c>
    </row>
    <row r="1846">
      <c r="A1846" t="inlineStr">
        <is>
          <t>KRAV-AUTO-001845</t>
        </is>
      </c>
      <c r="B1846" t="inlineStr">
        <is>
          <t>ADMIN-INDEX-2026-02-27-00000000125C043F57453246863FE664CAFE6A3F0700950291EA24F0614FB6ACEDB12BF0E31D00000000010C0000950291EA24F0614FB6ACEDB12BF0E31D00002087AF090000</t>
        </is>
      </c>
      <c r="C1846" t="inlineStr">
        <is>
          <t>cmm4yunua0122cuqwdzwyndtt</t>
        </is>
      </c>
      <c r="D1846" t="inlineStr">
        <is>
          <t>http://localhost:8787/api/admin/requirements/documents/cmm4yunua0122cuqwdzwyndtt/view</t>
        </is>
      </c>
      <c r="E1846">
        <f>HYPERLÄNK("http://localhost:8787/api/admin/requirements/documents/cmm4yunua0122cuqwdzwyndtt/view";"Öppna PDF")</f>
        <v/>
      </c>
      <c r="F1846">
        <f>HYPERLINK("http://localhost:8787/api/admin/requirements/documents/cmm4yunua0122cuqwdzwyndtt/view","Open PDF")</f>
        <v/>
      </c>
      <c r="G1846" t="inlineStr">
        <is>
          <t>cmm55w57p0004cuisfrtpqly8</t>
        </is>
      </c>
      <c r="H1846" t="inlineStr">
        <is>
          <t>Informationskrav</t>
        </is>
      </c>
      <c r="I1846" t="inlineStr">
        <is>
          <t>Riskhantering</t>
        </is>
      </c>
      <c r="J1846" t="inlineStr">
        <is>
          <t>Riskkontroll</t>
        </is>
      </c>
      <c r="K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46" t="inlineStr">
        <is>
          <t>SKA</t>
        </is>
      </c>
      <c r="N1846" t="inlineStr"/>
      <c r="O1846" t="inlineStr">
        <is>
          <t>2025-07-15</t>
        </is>
      </c>
      <c r="P1846" t="inlineStr">
        <is>
          <t>Arlig</t>
        </is>
      </c>
      <c r="Q1846" t="inlineStr"/>
      <c r="R1846" t="inlineStr">
        <is>
          <t>Vid risk for incident</t>
        </is>
      </c>
      <c r="S1846" t="inlineStr"/>
      <c r="T1846" t="inlineStr">
        <is>
          <t>820006</t>
        </is>
      </c>
      <c r="U1846" t="n">
        <v>0</v>
      </c>
      <c r="V1846" t="inlineStr"/>
      <c r="W1846" t="inlineStr">
        <is>
          <t>Nej</t>
        </is>
      </c>
      <c r="X1846" t="inlineStr">
        <is>
          <t>Nej</t>
        </is>
      </c>
      <c r="Y1846" t="inlineStr">
        <is>
          <t>Ja</t>
        </is>
      </c>
      <c r="Z1846" t="inlineStr">
        <is>
          <t>Ja</t>
        </is>
      </c>
      <c r="AA1846" t="n">
        <v>8</v>
      </c>
      <c r="AB1846" t="inlineStr">
        <is>
          <t>Riskhantering</t>
        </is>
      </c>
      <c r="AC1846" t="inlineStr">
        <is>
          <t>Risk-PM</t>
        </is>
      </c>
      <c r="AD1846" t="inlineStr">
        <is>
          <t>Nej</t>
        </is>
      </c>
      <c r="AE1846" t="inlineStr">
        <is>
          <t>Nej</t>
        </is>
      </c>
      <c r="AF1846" t="inlineStr">
        <is>
          <t>Ej behandlad</t>
        </is>
      </c>
      <c r="AG1846" t="inlineStr">
        <is>
          <t>AUTO_GENERERAD. Verifiera citat mot kallfil.</t>
        </is>
      </c>
      <c r="AH1846" t="inlineStr">
        <is>
          <t>MEDIUM</t>
        </is>
      </c>
      <c r="AI1846" t="inlineStr">
        <is>
          <t>AUTO</t>
        </is>
      </c>
      <c r="AJ1846" t="inlineStr">
        <is>
          <t>Nej</t>
        </is>
      </c>
      <c r="AK1846" t="inlineStr"/>
      <c r="AL1846" t="inlineStr"/>
      <c r="AM1846" t="inlineStr"/>
      <c r="AN1846" t="inlineStr"/>
      <c r="AO1846" t="inlineStr">
        <is>
          <t>cmm4yunuo012hcuqwci7zdqkj</t>
        </is>
      </c>
      <c r="AP1846" t="inlineStr">
        <is>
          <t>http://localhost:8787/api/admin/requirements/documents/cmm4yunuo012hcuqwci7zdqkj/view</t>
        </is>
      </c>
      <c r="AQ1846">
        <f>HYPERLÄNK("http://localhost:8787/api/admin/requirements/documents/cmm4yunuo012hcuqwci7zdqkj/view";"Öppna PDF")</f>
        <v/>
      </c>
      <c r="AR1846">
        <f>HYPERLINK("http://localhost:8787/api/admin/requirements/documents/cmm4yunuo012hcuqwci7zdqkj/view","Open PDF")</f>
        <v/>
      </c>
      <c r="AS1846" t="inlineStr">
        <is>
          <t>cmm55w57p0004cuisfrtpqly8</t>
        </is>
      </c>
      <c r="AT1846" t="inlineStr">
        <is>
          <t>cmm4xvu980000cuh4vj0usz09</t>
        </is>
      </c>
      <c r="AU1846" t="inlineStr"/>
      <c r="AV1846" t="inlineStr">
        <is>
          <t>Kommun</t>
        </is>
      </c>
      <c r="AW1846" t="inlineStr"/>
      <c r="AX1846" t="inlineStr">
        <is>
          <t>2025-02</t>
        </is>
      </c>
      <c r="AY1846" t="inlineStr">
        <is>
          <t>Komplettering</t>
        </is>
      </c>
      <c r="AZ1846" t="inlineStr">
        <is>
          <t>2026-02-03</t>
        </is>
      </c>
      <c r="BA1846" t="inlineStr">
        <is>
          <t>E-post med kompletterande svar från Swerock.pdf</t>
        </is>
      </c>
      <c r="BB1846" t="inlineStr">
        <is>
          <t>Sv: till registrator</t>
        </is>
      </c>
      <c r="BC1846" t="inlineStr">
        <is>
          <t>AUTO</t>
        </is>
      </c>
      <c r="BD1846" t="inlineStr"/>
      <c r="BE1846" t="inlineStr"/>
      <c r="BF1846" t="inlineStr">
        <is>
          <t>AUTO_GENERERAD. Bekrafta metadata mot kallfil.</t>
        </is>
      </c>
      <c r="BG1846">
        <f>HYPERLINK("C:\Users\jimmy\Desktop\Examens arbete\Kod\Ny mapp\remix_-copy-of-miljöbeslut.se-portal\E-post med kompletterande svar från Swerock.pdf", "Öppna PDF")</f>
        <v/>
      </c>
    </row>
    <row r="1847">
      <c r="A1847" t="inlineStr">
        <is>
          <t>KRAV-AUTO-001846</t>
        </is>
      </c>
      <c r="B1847" t="inlineStr">
        <is>
          <t>ADMIN-INDEX-2026-02-27-00000000125C043F57453246863FE664CAFE6A3F0700950291EA24F0614FB6ACEDB12BF0E31D00000000010C0000950291EA24F0614FB6ACEDB12BF0E31D00002087AF090000</t>
        </is>
      </c>
      <c r="C1847" t="inlineStr">
        <is>
          <t>cmm4yunu6011zcuqwub5uj08w</t>
        </is>
      </c>
      <c r="D1847" t="inlineStr">
        <is>
          <t>http://localhost:8787/api/admin/requirements/documents/cmm4yunu6011zcuqwub5uj08w/view</t>
        </is>
      </c>
      <c r="E1847">
        <f>HYPERLÄNK("http://localhost:8787/api/admin/requirements/documents/cmm4yunu6011zcuqwub5uj08w/view";"Öppna PDF")</f>
        <v/>
      </c>
      <c r="F1847">
        <f>HYPERLINK("http://localhost:8787/api/admin/requirements/documents/cmm4yunu6011zcuqwub5uj08w/view","Open PDF")</f>
        <v/>
      </c>
      <c r="G1847" t="inlineStr">
        <is>
          <t>cmm55w57p0004cuisfrtpqly8</t>
        </is>
      </c>
      <c r="H1847" t="inlineStr">
        <is>
          <t>Beslutsvillkor</t>
        </is>
      </c>
      <c r="I1847" t="inlineStr">
        <is>
          <t>DagvattenLakvatten</t>
        </is>
      </c>
      <c r="J1847" t="inlineStr">
        <is>
          <t>Uppsamling</t>
        </is>
      </c>
      <c r="K1847" t="inlineStr">
        <is>
          <t>Provtagning av finpartikulärt material som eventuellt ansamlats i de avskärande dikena kring lagringsytorna syftar till att säkerställa att inget förorenat dagvatten har spridits via dagvatten till kringliggande recipienter.</t>
        </is>
      </c>
      <c r="L1847" t="inlineStr">
        <is>
          <t>Provtagning av finpartikulärt material som eventuellt ansamlats i de avskärande dikena kring lagringsytorna syftar till att säkerställa att inget förorenat dagvatten har spridits via dagvatten till kringliggande recipienter.</t>
        </is>
      </c>
      <c r="M1847" t="inlineStr">
        <is>
          <t>SKA</t>
        </is>
      </c>
      <c r="N1847" t="inlineStr"/>
      <c r="O1847" t="inlineStr"/>
      <c r="P1847" t="inlineStr"/>
      <c r="Q1847" t="inlineStr"/>
      <c r="R1847" t="inlineStr">
        <is>
          <t>Vid nederbord och avrinning</t>
        </is>
      </c>
      <c r="S1847" t="inlineStr"/>
      <c r="T1847" t="inlineStr">
        <is>
          <t>556767</t>
        </is>
      </c>
      <c r="U1847" t="inlineStr"/>
      <c r="V1847" t="inlineStr"/>
      <c r="W1847" t="inlineStr">
        <is>
          <t>Nej</t>
        </is>
      </c>
      <c r="X1847" t="inlineStr">
        <is>
          <t>Ja</t>
        </is>
      </c>
      <c r="Y1847" t="inlineStr">
        <is>
          <t>Ja</t>
        </is>
      </c>
      <c r="Z1847" t="inlineStr">
        <is>
          <t>Nej</t>
        </is>
      </c>
      <c r="AA1847" t="n">
        <v>6</v>
      </c>
      <c r="AB1847" t="inlineStr">
        <is>
          <t>Lakvattenhantering</t>
        </is>
      </c>
      <c r="AC1847" t="inlineStr">
        <is>
          <t>Flodesschema dagvatten-lakvatten</t>
        </is>
      </c>
      <c r="AD1847" t="inlineStr">
        <is>
          <t>Nej</t>
        </is>
      </c>
      <c r="AE1847" t="inlineStr">
        <is>
          <t>Nej</t>
        </is>
      </c>
      <c r="AF1847" t="inlineStr">
        <is>
          <t>Ej behandlad</t>
        </is>
      </c>
      <c r="AG1847" t="inlineStr">
        <is>
          <t>AUTO_GENERERAD. Verifiera citat mot kallfil.</t>
        </is>
      </c>
      <c r="AH1847" t="inlineStr">
        <is>
          <t>MEDIUM</t>
        </is>
      </c>
      <c r="AI1847" t="inlineStr">
        <is>
          <t>AUTO</t>
        </is>
      </c>
      <c r="AJ1847" t="inlineStr">
        <is>
          <t>Nej</t>
        </is>
      </c>
      <c r="AK1847" t="inlineStr"/>
      <c r="AL1847" t="inlineStr"/>
      <c r="AM1847" t="inlineStr"/>
      <c r="AN1847" t="inlineStr"/>
      <c r="AO1847" t="inlineStr">
        <is>
          <t>cmm4yunuo012hcuqwci7zdqkj</t>
        </is>
      </c>
      <c r="AP1847" t="inlineStr">
        <is>
          <t>http://localhost:8787/api/admin/requirements/documents/cmm4yunuo012hcuqwci7zdqkj/view</t>
        </is>
      </c>
      <c r="AQ1847">
        <f>HYPERLÄNK("http://localhost:8787/api/admin/requirements/documents/cmm4yunuo012hcuqwci7zdqkj/view";"Öppna PDF")</f>
        <v/>
      </c>
      <c r="AR1847">
        <f>HYPERLINK("http://localhost:8787/api/admin/requirements/documents/cmm4yunuo012hcuqwci7zdqkj/view","Open PDF")</f>
        <v/>
      </c>
      <c r="AS1847" t="inlineStr">
        <is>
          <t>cmm55w57p0004cuisfrtpqly8</t>
        </is>
      </c>
      <c r="AT1847" t="inlineStr">
        <is>
          <t>cmm4xvu980000cuh4vj0usz09</t>
        </is>
      </c>
      <c r="AU1847" t="inlineStr"/>
      <c r="AV1847" t="inlineStr">
        <is>
          <t>Kommun</t>
        </is>
      </c>
      <c r="AW1847" t="inlineStr"/>
      <c r="AX1847" t="inlineStr">
        <is>
          <t>2025-02</t>
        </is>
      </c>
      <c r="AY1847" t="inlineStr">
        <is>
          <t>Komplettering</t>
        </is>
      </c>
      <c r="AZ1847" t="inlineStr">
        <is>
          <t>2026-02-03</t>
        </is>
      </c>
      <c r="BA1847" t="inlineStr">
        <is>
          <t>E-post med kompletterande svar från Swerock.pdf</t>
        </is>
      </c>
      <c r="BB1847" t="inlineStr">
        <is>
          <t>Sv: till registrator</t>
        </is>
      </c>
      <c r="BC1847" t="inlineStr">
        <is>
          <t>AUTO</t>
        </is>
      </c>
      <c r="BD1847" t="inlineStr"/>
      <c r="BE1847" t="inlineStr"/>
      <c r="BF1847" t="inlineStr">
        <is>
          <t>AUTO_GENERERAD. Bekrafta metadata mot kallfil.</t>
        </is>
      </c>
      <c r="BG1847">
        <f>HYPERLINK("C:\Users\jimmy\Desktop\Examens arbete\Kod\Ny mapp\remix_-copy-of-miljöbeslut.se-portal\E-post med kompletterande svar från Swerock.pdf", "Öppna PDF")</f>
        <v/>
      </c>
    </row>
    <row r="1848">
      <c r="A1848" t="inlineStr">
        <is>
          <t>KRAV-AUTO-001847</t>
        </is>
      </c>
      <c r="B1848" t="inlineStr">
        <is>
          <t>ADMIN-INDEX-2026-02-27-00000000125C043F57453246863FE664CAFE6A3F0700950291EA24F0614FB6ACEDB12BF0E31D00000000010C0000950291EA24F0614FB6ACEDB12BF0E31D00002087AF090000</t>
        </is>
      </c>
      <c r="C1848" t="inlineStr">
        <is>
          <t>cmm4yunu6011zcuqwub5uj08w</t>
        </is>
      </c>
      <c r="D1848" t="inlineStr">
        <is>
          <t>http://localhost:8787/api/admin/requirements/documents/cmm4yunu6011zcuqwub5uj08w/view</t>
        </is>
      </c>
      <c r="E1848">
        <f>HYPERLÄNK("http://localhost:8787/api/admin/requirements/documents/cmm4yunu6011zcuqwub5uj08w/view";"Öppna PDF")</f>
        <v/>
      </c>
      <c r="F1848">
        <f>HYPERLINK("http://localhost:8787/api/admin/requirements/documents/cmm4yunu6011zcuqwub5uj08w/view","Open PDF")</f>
        <v/>
      </c>
      <c r="G1848" t="inlineStr">
        <is>
          <t>cmm55w57p0004cuisfrtpqly8</t>
        </is>
      </c>
      <c r="H1848" t="inlineStr">
        <is>
          <t>Beslutsvillkor</t>
        </is>
      </c>
      <c r="I1848" t="inlineStr">
        <is>
          <t>DriftEgenkontroll</t>
        </is>
      </c>
      <c r="J1848" t="inlineStr">
        <is>
          <t>Journalforing</t>
        </is>
      </c>
      <c r="K1848" t="inlineStr">
        <is>
          <t>För jordprovtagning används endast provtagningskärl (diffusionstäta påsar) som tillhandhålls av laboratoriet.</t>
        </is>
      </c>
      <c r="L1848" t="inlineStr">
        <is>
          <t>För jordprovtagning används endast provtagningskärl (diffusionstäta påsar) som tillhandhålls av laboratoriet.</t>
        </is>
      </c>
      <c r="M1848" t="inlineStr">
        <is>
          <t>SKA</t>
        </is>
      </c>
      <c r="N1848" t="inlineStr"/>
      <c r="O1848" t="inlineStr"/>
      <c r="P1848" t="inlineStr"/>
      <c r="Q1848" t="inlineStr"/>
      <c r="R1848" t="inlineStr">
        <is>
          <t>Lopande drift</t>
        </is>
      </c>
      <c r="S1848" t="inlineStr"/>
      <c r="T1848" t="inlineStr">
        <is>
          <t>556767</t>
        </is>
      </c>
      <c r="U1848" t="inlineStr"/>
      <c r="V1848" t="inlineStr"/>
      <c r="W1848" t="inlineStr">
        <is>
          <t>Nej</t>
        </is>
      </c>
      <c r="X1848" t="inlineStr">
        <is>
          <t>Nej</t>
        </is>
      </c>
      <c r="Y1848" t="inlineStr">
        <is>
          <t>Ja</t>
        </is>
      </c>
      <c r="Z1848" t="inlineStr">
        <is>
          <t>Nej</t>
        </is>
      </c>
      <c r="AA1848" t="n">
        <v>7</v>
      </c>
      <c r="AB1848" t="inlineStr">
        <is>
          <t>Egenkontrollrutiner</t>
        </is>
      </c>
      <c r="AC1848" t="inlineStr">
        <is>
          <t>Egenkontrollprogram</t>
        </is>
      </c>
      <c r="AD1848" t="inlineStr">
        <is>
          <t>Nej</t>
        </is>
      </c>
      <c r="AE1848" t="inlineStr">
        <is>
          <t>Nej</t>
        </is>
      </c>
      <c r="AF1848" t="inlineStr">
        <is>
          <t>Ej behandlad</t>
        </is>
      </c>
      <c r="AG1848" t="inlineStr">
        <is>
          <t>AUTO_GENERERAD. Verifiera citat mot kallfil.</t>
        </is>
      </c>
      <c r="AH1848" t="inlineStr">
        <is>
          <t>MEDIUM</t>
        </is>
      </c>
      <c r="AI1848" t="inlineStr">
        <is>
          <t>AUTO</t>
        </is>
      </c>
      <c r="AJ1848" t="inlineStr">
        <is>
          <t>Nej</t>
        </is>
      </c>
      <c r="AK1848" t="inlineStr"/>
      <c r="AL1848" t="inlineStr"/>
      <c r="AM1848" t="inlineStr"/>
      <c r="AN1848" t="inlineStr"/>
      <c r="AO1848" t="inlineStr">
        <is>
          <t>cmm4yunuo012hcuqwci7zdqkj</t>
        </is>
      </c>
      <c r="AP1848" t="inlineStr">
        <is>
          <t>http://localhost:8787/api/admin/requirements/documents/cmm4yunuo012hcuqwci7zdqkj/view</t>
        </is>
      </c>
      <c r="AQ1848">
        <f>HYPERLÄNK("http://localhost:8787/api/admin/requirements/documents/cmm4yunuo012hcuqwci7zdqkj/view";"Öppna PDF")</f>
        <v/>
      </c>
      <c r="AR1848">
        <f>HYPERLINK("http://localhost:8787/api/admin/requirements/documents/cmm4yunuo012hcuqwci7zdqkj/view","Open PDF")</f>
        <v/>
      </c>
      <c r="AS1848" t="inlineStr">
        <is>
          <t>cmm55w57p0004cuisfrtpqly8</t>
        </is>
      </c>
      <c r="AT1848" t="inlineStr">
        <is>
          <t>cmm4xvu980000cuh4vj0usz09</t>
        </is>
      </c>
      <c r="AU1848" t="inlineStr"/>
      <c r="AV1848" t="inlineStr">
        <is>
          <t>Kommun</t>
        </is>
      </c>
      <c r="AW1848" t="inlineStr"/>
      <c r="AX1848" t="inlineStr">
        <is>
          <t>2025-02</t>
        </is>
      </c>
      <c r="AY1848" t="inlineStr">
        <is>
          <t>Komplettering</t>
        </is>
      </c>
      <c r="AZ1848" t="inlineStr">
        <is>
          <t>2026-02-03</t>
        </is>
      </c>
      <c r="BA1848" t="inlineStr">
        <is>
          <t>E-post med kompletterande svar från Swerock.pdf</t>
        </is>
      </c>
      <c r="BB1848" t="inlineStr">
        <is>
          <t>Sv: till registrator</t>
        </is>
      </c>
      <c r="BC1848" t="inlineStr">
        <is>
          <t>AUTO</t>
        </is>
      </c>
      <c r="BD1848" t="inlineStr"/>
      <c r="BE1848" t="inlineStr"/>
      <c r="BF1848" t="inlineStr">
        <is>
          <t>AUTO_GENERERAD. Bekrafta metadata mot kallfil.</t>
        </is>
      </c>
      <c r="BG1848">
        <f>HYPERLINK("C:\Users\jimmy\Desktop\Examens arbete\Kod\Ny mapp\remix_-copy-of-miljöbeslut.se-portal\E-post med kompletterande svar från Swerock.pdf", "Öppna PDF")</f>
        <v/>
      </c>
    </row>
    <row r="1849">
      <c r="A1849" t="inlineStr">
        <is>
          <t>KRAV-AUTO-001848</t>
        </is>
      </c>
      <c r="B1849" t="inlineStr">
        <is>
          <t>ADMIN-INDEX-2026-02-27-00000000125C043F57453246863FE664CAFE6A3F0700950291EA24F0614FB6ACEDB12BF0E31D00000000010C0000950291EA24F0614FB6ACEDB12BF0E31D00002087AF090000</t>
        </is>
      </c>
      <c r="C1849" t="inlineStr">
        <is>
          <t>cmm4yunu6011zcuqwub5uj08w</t>
        </is>
      </c>
      <c r="D1849" t="inlineStr">
        <is>
          <t>http://localhost:8787/api/admin/requirements/documents/cmm4yunu6011zcuqwub5uj08w/view</t>
        </is>
      </c>
      <c r="E1849">
        <f>HYPERLÄNK("http://localhost:8787/api/admin/requirements/documents/cmm4yunu6011zcuqwub5uj08w/view";"Öppna PDF")</f>
        <v/>
      </c>
      <c r="F1849">
        <f>HYPERLINK("http://localhost:8787/api/admin/requirements/documents/cmm4yunu6011zcuqwub5uj08w/view","Open PDF")</f>
        <v/>
      </c>
      <c r="G1849" t="inlineStr">
        <is>
          <t>cmm55w57p0004cuisfrtpqly8</t>
        </is>
      </c>
      <c r="H1849" t="inlineStr">
        <is>
          <t>Beslutsvillkor</t>
        </is>
      </c>
      <c r="I1849" t="inlineStr">
        <is>
          <t>DriftEgenkontroll</t>
        </is>
      </c>
      <c r="J1849" t="inlineStr">
        <is>
          <t>Journalforing</t>
        </is>
      </c>
      <c r="K1849" t="inlineStr">
        <is>
          <t>Efter genomförd provtagning förvaras samtliga jordprov kylda och i mörkt utrymme inför och under leverans till ett ackrediterat laboratorium för miljöanalyser.</t>
        </is>
      </c>
      <c r="L1849" t="inlineStr">
        <is>
          <t>Efter genomförd provtagning förvaras samtliga jordprov kylda och i mörkt utrymme inför och under leverans till ett ackrediterat laboratorium för miljöanalyser.</t>
        </is>
      </c>
      <c r="M1849" t="inlineStr">
        <is>
          <t>BOR</t>
        </is>
      </c>
      <c r="N1849" t="inlineStr"/>
      <c r="O1849" t="inlineStr"/>
      <c r="P1849" t="inlineStr"/>
      <c r="Q1849" t="inlineStr"/>
      <c r="R1849" t="inlineStr">
        <is>
          <t>Lopande drift</t>
        </is>
      </c>
      <c r="S1849" t="inlineStr"/>
      <c r="T1849" t="inlineStr">
        <is>
          <t>556767</t>
        </is>
      </c>
      <c r="U1849" t="inlineStr"/>
      <c r="V1849" t="inlineStr"/>
      <c r="W1849" t="inlineStr">
        <is>
          <t>Nej</t>
        </is>
      </c>
      <c r="X1849" t="inlineStr">
        <is>
          <t>Nej</t>
        </is>
      </c>
      <c r="Y1849" t="inlineStr">
        <is>
          <t>Ja</t>
        </is>
      </c>
      <c r="Z1849" t="inlineStr">
        <is>
          <t>Nej</t>
        </is>
      </c>
      <c r="AA1849" t="n">
        <v>7</v>
      </c>
      <c r="AB1849" t="inlineStr">
        <is>
          <t>Egenkontrollrutiner</t>
        </is>
      </c>
      <c r="AC1849" t="inlineStr">
        <is>
          <t>Egenkontrollprogram</t>
        </is>
      </c>
      <c r="AD1849" t="inlineStr">
        <is>
          <t>Nej</t>
        </is>
      </c>
      <c r="AE1849" t="inlineStr">
        <is>
          <t>Nej</t>
        </is>
      </c>
      <c r="AF1849" t="inlineStr">
        <is>
          <t>Ej behandlad</t>
        </is>
      </c>
      <c r="AG1849" t="inlineStr">
        <is>
          <t>AUTO_GENERERAD. Verifiera citat mot kallfil.</t>
        </is>
      </c>
      <c r="AH1849" t="inlineStr">
        <is>
          <t>MEDIUM</t>
        </is>
      </c>
      <c r="AI1849" t="inlineStr">
        <is>
          <t>AUTO</t>
        </is>
      </c>
      <c r="AJ1849" t="inlineStr">
        <is>
          <t>Nej</t>
        </is>
      </c>
      <c r="AK1849" t="inlineStr"/>
      <c r="AL1849" t="inlineStr"/>
      <c r="AM1849" t="inlineStr"/>
      <c r="AN1849" t="inlineStr"/>
      <c r="AO1849" t="inlineStr">
        <is>
          <t>cmm4yunuo012hcuqwci7zdqkj</t>
        </is>
      </c>
      <c r="AP1849" t="inlineStr">
        <is>
          <t>http://localhost:8787/api/admin/requirements/documents/cmm4yunuo012hcuqwci7zdqkj/view</t>
        </is>
      </c>
      <c r="AQ1849">
        <f>HYPERLÄNK("http://localhost:8787/api/admin/requirements/documents/cmm4yunuo012hcuqwci7zdqkj/view";"Öppna PDF")</f>
        <v/>
      </c>
      <c r="AR1849">
        <f>HYPERLINK("http://localhost:8787/api/admin/requirements/documents/cmm4yunuo012hcuqwci7zdqkj/view","Open PDF")</f>
        <v/>
      </c>
      <c r="AS1849" t="inlineStr">
        <is>
          <t>cmm55w57p0004cuisfrtpqly8</t>
        </is>
      </c>
      <c r="AT1849" t="inlineStr">
        <is>
          <t>cmm4xvu980000cuh4vj0usz09</t>
        </is>
      </c>
      <c r="AU1849" t="inlineStr"/>
      <c r="AV1849" t="inlineStr">
        <is>
          <t>Kommun</t>
        </is>
      </c>
      <c r="AW1849" t="inlineStr"/>
      <c r="AX1849" t="inlineStr">
        <is>
          <t>2025-02</t>
        </is>
      </c>
      <c r="AY1849" t="inlineStr">
        <is>
          <t>Komplettering</t>
        </is>
      </c>
      <c r="AZ1849" t="inlineStr">
        <is>
          <t>2026-02-03</t>
        </is>
      </c>
      <c r="BA1849" t="inlineStr">
        <is>
          <t>E-post med kompletterande svar från Swerock.pdf</t>
        </is>
      </c>
      <c r="BB1849" t="inlineStr">
        <is>
          <t>Sv: till registrator</t>
        </is>
      </c>
      <c r="BC1849" t="inlineStr">
        <is>
          <t>AUTO</t>
        </is>
      </c>
      <c r="BD1849" t="inlineStr"/>
      <c r="BE1849" t="inlineStr"/>
      <c r="BF1849" t="inlineStr">
        <is>
          <t>AUTO_GENERERAD. Bekrafta metadata mot kallfil.</t>
        </is>
      </c>
      <c r="BG1849">
        <f>HYPERLINK("C:\Users\jimmy\Desktop\Examens arbete\Kod\Ny mapp\remix_-copy-of-miljöbeslut.se-portal\E-post med kompletterande svar från Swerock.pdf", "Öppna PDF")</f>
        <v/>
      </c>
    </row>
    <row r="1850">
      <c r="A1850" t="inlineStr">
        <is>
          <t>KRAV-AUTO-001849</t>
        </is>
      </c>
      <c r="B1850" t="inlineStr">
        <is>
          <t>ADMIN-INDEX-2026-02-27-00000000125C043F57453246863FE664CAFE6A3F0700950291EA24F0614FB6ACEDB12BF0E31D00000000010C0000950291EA24F0614FB6ACEDB12BF0E31D00002087AF090000</t>
        </is>
      </c>
      <c r="C1850" t="inlineStr">
        <is>
          <t>cmm4yunu4011wcuqw7kiq40e1</t>
        </is>
      </c>
      <c r="D1850" t="inlineStr">
        <is>
          <t>http://localhost:8787/api/admin/requirements/documents/cmm4yunu4011wcuqw7kiq40e1/view</t>
        </is>
      </c>
      <c r="E1850">
        <f>HYPERLÄNK("http://localhost:8787/api/admin/requirements/documents/cmm4yunu4011wcuqw7kiq40e1/view";"Öppna PDF")</f>
        <v/>
      </c>
      <c r="F1850">
        <f>HYPERLINK("http://localhost:8787/api/admin/requirements/documents/cmm4yunu4011wcuqw7kiq40e1/view","Open PDF")</f>
        <v/>
      </c>
      <c r="G1850" t="inlineStr">
        <is>
          <t>cmm55w57p0004cuisfrtpqly8</t>
        </is>
      </c>
      <c r="H1850" t="inlineStr">
        <is>
          <t>Kompletteringskrav</t>
        </is>
      </c>
      <c r="I1850" t="inlineStr">
        <is>
          <t>LagringsvolymTid</t>
        </is>
      </c>
      <c r="J1850" t="inlineStr">
        <is>
          <t>Maxmangd</t>
        </is>
      </c>
      <c r="K1850" t="inlineStr">
        <is>
          <t>De mängder icke farligt avfall som ska lagras i täkten är de massor som inte kan återanvändas i projektet och kommer att behöva transporteras bort från projektet.</t>
        </is>
      </c>
      <c r="L1850" t="inlineStr">
        <is>
          <t>De mängder icke farligt avfall som ska lagras i täkten är de massor som inte kan återanvändas i projektet och kommer att behöva transporteras bort från projektet.</t>
        </is>
      </c>
      <c r="M1850" t="inlineStr">
        <is>
          <t>SKA</t>
        </is>
      </c>
      <c r="N1850" t="inlineStr"/>
      <c r="O1850" t="inlineStr"/>
      <c r="P1850" t="inlineStr">
        <is>
          <t>Arlig</t>
        </is>
      </c>
      <c r="Q1850" t="inlineStr"/>
      <c r="R1850" t="inlineStr">
        <is>
          <t>Alltid</t>
        </is>
      </c>
      <c r="S1850" t="inlineStr"/>
      <c r="T1850" t="inlineStr">
        <is>
          <t>2024 14</t>
        </is>
      </c>
      <c r="U1850" t="inlineStr"/>
      <c r="V1850" t="inlineStr"/>
      <c r="W1850" t="inlineStr">
        <is>
          <t>Nej</t>
        </is>
      </c>
      <c r="X1850" t="inlineStr">
        <is>
          <t>Nej</t>
        </is>
      </c>
      <c r="Y1850" t="inlineStr">
        <is>
          <t>Nej</t>
        </is>
      </c>
      <c r="Z1850" t="inlineStr">
        <is>
          <t>Nej</t>
        </is>
      </c>
      <c r="AA1850" t="n">
        <v>4</v>
      </c>
      <c r="AB1850" t="inlineStr">
        <is>
          <t>Avfallsmangder och lagringstid</t>
        </is>
      </c>
      <c r="AC1850" t="inlineStr">
        <is>
          <t>Avfallsforteckning</t>
        </is>
      </c>
      <c r="AD1850" t="inlineStr">
        <is>
          <t>Nej</t>
        </is>
      </c>
      <c r="AE1850" t="inlineStr">
        <is>
          <t>Nej</t>
        </is>
      </c>
      <c r="AF1850" t="inlineStr">
        <is>
          <t>Ej behandlad</t>
        </is>
      </c>
      <c r="AG1850" t="inlineStr">
        <is>
          <t>AUTO_GENERERAD. Verifiera citat mot kallfil.</t>
        </is>
      </c>
      <c r="AH1850" t="inlineStr">
        <is>
          <t>MEDIUM</t>
        </is>
      </c>
      <c r="AI1850" t="inlineStr">
        <is>
          <t>AUTO</t>
        </is>
      </c>
      <c r="AJ1850" t="inlineStr">
        <is>
          <t>Nej</t>
        </is>
      </c>
      <c r="AK1850" t="inlineStr"/>
      <c r="AL1850" t="inlineStr"/>
      <c r="AM1850" t="inlineStr"/>
      <c r="AN1850" t="inlineStr"/>
      <c r="AO1850" t="inlineStr">
        <is>
          <t>cmm4yunuo012hcuqwci7zdqkj</t>
        </is>
      </c>
      <c r="AP1850" t="inlineStr">
        <is>
          <t>http://localhost:8787/api/admin/requirements/documents/cmm4yunuo012hcuqwci7zdqkj/view</t>
        </is>
      </c>
      <c r="AQ1850">
        <f>HYPERLÄNK("http://localhost:8787/api/admin/requirements/documents/cmm4yunuo012hcuqwci7zdqkj/view";"Öppna PDF")</f>
        <v/>
      </c>
      <c r="AR1850">
        <f>HYPERLINK("http://localhost:8787/api/admin/requirements/documents/cmm4yunuo012hcuqwci7zdqkj/view","Open PDF")</f>
        <v/>
      </c>
      <c r="AS1850" t="inlineStr">
        <is>
          <t>cmm55w57p0004cuisfrtpqly8</t>
        </is>
      </c>
      <c r="AT1850" t="inlineStr">
        <is>
          <t>cmm4xvu980000cuh4vj0usz09</t>
        </is>
      </c>
      <c r="AU1850" t="inlineStr"/>
      <c r="AV1850" t="inlineStr">
        <is>
          <t>Kommun</t>
        </is>
      </c>
      <c r="AW1850" t="inlineStr"/>
      <c r="AX1850" t="inlineStr">
        <is>
          <t>2025-02</t>
        </is>
      </c>
      <c r="AY1850" t="inlineStr">
        <is>
          <t>Komplettering</t>
        </is>
      </c>
      <c r="AZ1850" t="inlineStr">
        <is>
          <t>2026-02-03</t>
        </is>
      </c>
      <c r="BA1850" t="inlineStr">
        <is>
          <t>E-post med kompletterande svar från Swerock.pdf</t>
        </is>
      </c>
      <c r="BB1850" t="inlineStr">
        <is>
          <t>Sv: till registrator</t>
        </is>
      </c>
      <c r="BC1850" t="inlineStr">
        <is>
          <t>AUTO</t>
        </is>
      </c>
      <c r="BD1850" t="inlineStr"/>
      <c r="BE1850" t="inlineStr"/>
      <c r="BF1850" t="inlineStr">
        <is>
          <t>AUTO_GENERERAD. Bekrafta metadata mot kallfil.</t>
        </is>
      </c>
      <c r="BG1850">
        <f>HYPERLINK("C:\Users\jimmy\Desktop\Examens arbete\Kod\Ny mapp\remix_-copy-of-miljöbeslut.se-portal\E-post med kompletterande svar från Swerock.pdf", "Öppna PDF")</f>
        <v/>
      </c>
    </row>
    <row r="1851">
      <c r="A1851" t="inlineStr">
        <is>
          <t>KRAV-AUTO-001850</t>
        </is>
      </c>
      <c r="B1851" t="inlineStr">
        <is>
          <t>ADMIN-INDEX-2026-02-27-00000000125C043F57453246863FE664CAFE6A3F0700950291EA24F0614FB6ACEDB12BF0E31D00000000010C0000950291EA24F0614FB6ACEDB12BF0E31D00002087AF090000</t>
        </is>
      </c>
      <c r="C1851" t="inlineStr">
        <is>
          <t>cmm4yunu4011wcuqw7kiq40e1</t>
        </is>
      </c>
      <c r="D1851" t="inlineStr">
        <is>
          <t>http://localhost:8787/api/admin/requirements/documents/cmm4yunu4011wcuqw7kiq40e1/view</t>
        </is>
      </c>
      <c r="E1851">
        <f>HYPERLÄNK("http://localhost:8787/api/admin/requirements/documents/cmm4yunu4011wcuqw7kiq40e1/view";"Öppna PDF")</f>
        <v/>
      </c>
      <c r="F1851">
        <f>HYPERLINK("http://localhost:8787/api/admin/requirements/documents/cmm4yunu4011wcuqw7kiq40e1/view","Open PDF")</f>
        <v/>
      </c>
      <c r="G1851" t="inlineStr">
        <is>
          <t>cmm55w57p0004cuisfrtpqly8</t>
        </is>
      </c>
      <c r="H1851" t="inlineStr">
        <is>
          <t>Kompletteringskrav</t>
        </is>
      </c>
      <c r="I1851" t="inlineStr">
        <is>
          <t>Riskhantering</t>
        </is>
      </c>
      <c r="J1851" t="inlineStr">
        <is>
          <t>Riskkontroll</t>
        </is>
      </c>
      <c r="K1851" t="inlineStr">
        <is>
          <t>I praktiken – hur bedöms risk för mycket nederbörd?</t>
        </is>
      </c>
      <c r="L1851" t="inlineStr">
        <is>
          <t>I praktiken – hur bedöms risk för mycket nederbörd?</t>
        </is>
      </c>
      <c r="M1851" t="inlineStr">
        <is>
          <t>BOR</t>
        </is>
      </c>
      <c r="N1851" t="inlineStr"/>
      <c r="O1851" t="inlineStr"/>
      <c r="P1851" t="inlineStr"/>
      <c r="Q1851" t="inlineStr"/>
      <c r="R1851" t="inlineStr">
        <is>
          <t>Vid risk for incident</t>
        </is>
      </c>
      <c r="S1851" t="inlineStr"/>
      <c r="T1851" t="inlineStr">
        <is>
          <t>2024 14</t>
        </is>
      </c>
      <c r="U1851" t="inlineStr"/>
      <c r="V1851" t="inlineStr"/>
      <c r="W1851" t="inlineStr">
        <is>
          <t>Nej</t>
        </is>
      </c>
      <c r="X1851" t="inlineStr">
        <is>
          <t>Nej</t>
        </is>
      </c>
      <c r="Y1851" t="inlineStr">
        <is>
          <t>Ja</t>
        </is>
      </c>
      <c r="Z1851" t="inlineStr">
        <is>
          <t>Ja</t>
        </is>
      </c>
      <c r="AA1851" t="n">
        <v>8</v>
      </c>
      <c r="AB1851" t="inlineStr">
        <is>
          <t>Riskhantering</t>
        </is>
      </c>
      <c r="AC1851" t="inlineStr">
        <is>
          <t>Risk-PM</t>
        </is>
      </c>
      <c r="AD1851" t="inlineStr">
        <is>
          <t>Nej</t>
        </is>
      </c>
      <c r="AE1851" t="inlineStr">
        <is>
          <t>Nej</t>
        </is>
      </c>
      <c r="AF1851" t="inlineStr">
        <is>
          <t>Ej behandlad</t>
        </is>
      </c>
      <c r="AG1851" t="inlineStr">
        <is>
          <t>AUTO_GENERERAD. Verifiera citat mot kallfil.</t>
        </is>
      </c>
      <c r="AH1851" t="inlineStr">
        <is>
          <t>MEDIUM</t>
        </is>
      </c>
      <c r="AI1851" t="inlineStr">
        <is>
          <t>AUTO</t>
        </is>
      </c>
      <c r="AJ1851" t="inlineStr">
        <is>
          <t>Nej</t>
        </is>
      </c>
      <c r="AK1851" t="inlineStr"/>
      <c r="AL1851" t="inlineStr"/>
      <c r="AM1851" t="inlineStr"/>
      <c r="AN1851" t="inlineStr"/>
      <c r="AO1851" t="inlineStr">
        <is>
          <t>cmm4yunuo012hcuqwci7zdqkj</t>
        </is>
      </c>
      <c r="AP1851" t="inlineStr">
        <is>
          <t>http://localhost:8787/api/admin/requirements/documents/cmm4yunuo012hcuqwci7zdqkj/view</t>
        </is>
      </c>
      <c r="AQ1851">
        <f>HYPERLÄNK("http://localhost:8787/api/admin/requirements/documents/cmm4yunuo012hcuqwci7zdqkj/view";"Öppna PDF")</f>
        <v/>
      </c>
      <c r="AR1851">
        <f>HYPERLINK("http://localhost:8787/api/admin/requirements/documents/cmm4yunuo012hcuqwci7zdqkj/view","Open PDF")</f>
        <v/>
      </c>
      <c r="AS1851" t="inlineStr">
        <is>
          <t>cmm55w57p0004cuisfrtpqly8</t>
        </is>
      </c>
      <c r="AT1851" t="inlineStr">
        <is>
          <t>cmm4xvu980000cuh4vj0usz09</t>
        </is>
      </c>
      <c r="AU1851" t="inlineStr"/>
      <c r="AV1851" t="inlineStr">
        <is>
          <t>Kommun</t>
        </is>
      </c>
      <c r="AW1851" t="inlineStr"/>
      <c r="AX1851" t="inlineStr">
        <is>
          <t>2025-02</t>
        </is>
      </c>
      <c r="AY1851" t="inlineStr">
        <is>
          <t>Komplettering</t>
        </is>
      </c>
      <c r="AZ1851" t="inlineStr">
        <is>
          <t>2026-02-03</t>
        </is>
      </c>
      <c r="BA1851" t="inlineStr">
        <is>
          <t>E-post med kompletterande svar från Swerock.pdf</t>
        </is>
      </c>
      <c r="BB1851" t="inlineStr">
        <is>
          <t>Sv: till registrator</t>
        </is>
      </c>
      <c r="BC1851" t="inlineStr">
        <is>
          <t>AUTO</t>
        </is>
      </c>
      <c r="BD1851" t="inlineStr"/>
      <c r="BE1851" t="inlineStr"/>
      <c r="BF1851" t="inlineStr">
        <is>
          <t>AUTO_GENERERAD. Bekrafta metadata mot kallfil.</t>
        </is>
      </c>
      <c r="BG1851">
        <f>HYPERLINK("C:\Users\jimmy\Desktop\Examens arbete\Kod\Ny mapp\remix_-copy-of-miljöbeslut.se-portal\E-post med kompletterande svar från Swerock.pdf", "Öppna PDF")</f>
        <v/>
      </c>
    </row>
    <row r="1852">
      <c r="A1852" t="inlineStr">
        <is>
          <t>KRAV-AUTO-001851</t>
        </is>
      </c>
      <c r="B1852" t="inlineStr">
        <is>
          <t>ADMIN-INDEX-2026-02-27-00000000125C043F57453246863FE664CAFE6A3F0700950291EA24F0614FB6ACEDB12BF0E31D00000000010C0000950291EA24F0614FB6ACEDB12BF0E31D00002087AF090000</t>
        </is>
      </c>
      <c r="C1852" t="inlineStr">
        <is>
          <t>cmm4yunu1011tcuqwsl3f47q0</t>
        </is>
      </c>
      <c r="D1852" t="inlineStr">
        <is>
          <t>http://localhost:8787/api/admin/requirements/documents/cmm4yunu1011tcuqwsl3f47q0/view</t>
        </is>
      </c>
      <c r="E1852">
        <f>HYPERLÄNK("http://localhost:8787/api/admin/requirements/documents/cmm4yunu1011tcuqwsl3f47q0/view";"Öppna PDF")</f>
        <v/>
      </c>
      <c r="F1852">
        <f>HYPERLINK("http://localhost:8787/api/admin/requirements/documents/cmm4yunu1011tcuqwsl3f47q0/view","Open PDF")</f>
        <v/>
      </c>
      <c r="G1852" t="inlineStr">
        <is>
          <t>cmm55w57p0004cuisfrtpqly8</t>
        </is>
      </c>
      <c r="H1852" t="inlineStr">
        <is>
          <t>Informationskrav</t>
        </is>
      </c>
      <c r="I1852" t="inlineStr">
        <is>
          <t>LagringsvolymTid</t>
        </is>
      </c>
      <c r="J1852" t="inlineStr">
        <is>
          <t>Maxmangd</t>
        </is>
      </c>
      <c r="K1852" t="inlineStr">
        <is>
          <t>De mängder icke farligt avfall som ska lagras i täkten är de massor som inte kan återanvändas i projektet och kommer att behöva transporteras bort från projektet.</t>
        </is>
      </c>
      <c r="L1852" t="inlineStr">
        <is>
          <t>De mängder icke farligt avfall som ska lagras i täkten är de massor som inte kan återanvändas i projektet och kommer att behöva transporteras bort från projektet.</t>
        </is>
      </c>
      <c r="M1852" t="inlineStr">
        <is>
          <t>SKA</t>
        </is>
      </c>
      <c r="N1852" t="inlineStr"/>
      <c r="O1852" t="inlineStr"/>
      <c r="P1852" t="inlineStr">
        <is>
          <t>Arlig</t>
        </is>
      </c>
      <c r="Q1852" t="inlineStr"/>
      <c r="R1852" t="inlineStr">
        <is>
          <t>Alltid</t>
        </is>
      </c>
      <c r="S1852" t="inlineStr"/>
      <c r="T1852" t="inlineStr">
        <is>
          <t>2024 14</t>
        </is>
      </c>
      <c r="U1852" t="inlineStr"/>
      <c r="V1852" t="inlineStr"/>
      <c r="W1852" t="inlineStr">
        <is>
          <t>Nej</t>
        </is>
      </c>
      <c r="X1852" t="inlineStr">
        <is>
          <t>Nej</t>
        </is>
      </c>
      <c r="Y1852" t="inlineStr">
        <is>
          <t>Nej</t>
        </is>
      </c>
      <c r="Z1852" t="inlineStr">
        <is>
          <t>Nej</t>
        </is>
      </c>
      <c r="AA1852" t="n">
        <v>4</v>
      </c>
      <c r="AB1852" t="inlineStr">
        <is>
          <t>Avfallsmangder och lagringstid</t>
        </is>
      </c>
      <c r="AC1852" t="inlineStr">
        <is>
          <t>Avfallsforteckning</t>
        </is>
      </c>
      <c r="AD1852" t="inlineStr">
        <is>
          <t>Nej</t>
        </is>
      </c>
      <c r="AE1852" t="inlineStr">
        <is>
          <t>Nej</t>
        </is>
      </c>
      <c r="AF1852" t="inlineStr">
        <is>
          <t>Ej behandlad</t>
        </is>
      </c>
      <c r="AG1852" t="inlineStr">
        <is>
          <t>AUTO_GENERERAD. Verifiera citat mot kallfil.</t>
        </is>
      </c>
      <c r="AH1852" t="inlineStr">
        <is>
          <t>MEDIUM</t>
        </is>
      </c>
      <c r="AI1852" t="inlineStr">
        <is>
          <t>AUTO</t>
        </is>
      </c>
      <c r="AJ1852" t="inlineStr">
        <is>
          <t>Nej</t>
        </is>
      </c>
      <c r="AK1852" t="inlineStr"/>
      <c r="AL1852" t="inlineStr"/>
      <c r="AM1852" t="inlineStr"/>
      <c r="AN1852" t="inlineStr"/>
      <c r="AO1852" t="inlineStr">
        <is>
          <t>cmm4yunuo012hcuqwci7zdqkj</t>
        </is>
      </c>
      <c r="AP1852" t="inlineStr">
        <is>
          <t>http://localhost:8787/api/admin/requirements/documents/cmm4yunuo012hcuqwci7zdqkj/view</t>
        </is>
      </c>
      <c r="AQ1852">
        <f>HYPERLÄNK("http://localhost:8787/api/admin/requirements/documents/cmm4yunuo012hcuqwci7zdqkj/view";"Öppna PDF")</f>
        <v/>
      </c>
      <c r="AR1852">
        <f>HYPERLINK("http://localhost:8787/api/admin/requirements/documents/cmm4yunuo012hcuqwci7zdqkj/view","Open PDF")</f>
        <v/>
      </c>
      <c r="AS1852" t="inlineStr">
        <is>
          <t>cmm55w57p0004cuisfrtpqly8</t>
        </is>
      </c>
      <c r="AT1852" t="inlineStr">
        <is>
          <t>cmm4xvu980000cuh4vj0usz09</t>
        </is>
      </c>
      <c r="AU1852" t="inlineStr"/>
      <c r="AV1852" t="inlineStr">
        <is>
          <t>Kommun</t>
        </is>
      </c>
      <c r="AW1852" t="inlineStr"/>
      <c r="AX1852" t="inlineStr">
        <is>
          <t>2025-02</t>
        </is>
      </c>
      <c r="AY1852" t="inlineStr">
        <is>
          <t>Komplettering</t>
        </is>
      </c>
      <c r="AZ1852" t="inlineStr">
        <is>
          <t>2026-02-03</t>
        </is>
      </c>
      <c r="BA1852" t="inlineStr">
        <is>
          <t>E-post med kompletterande svar från Swerock.pdf</t>
        </is>
      </c>
      <c r="BB1852" t="inlineStr">
        <is>
          <t>Sv: till registrator</t>
        </is>
      </c>
      <c r="BC1852" t="inlineStr">
        <is>
          <t>AUTO</t>
        </is>
      </c>
      <c r="BD1852" t="inlineStr"/>
      <c r="BE1852" t="inlineStr"/>
      <c r="BF1852" t="inlineStr">
        <is>
          <t>AUTO_GENERERAD. Bekrafta metadata mot kallfil.</t>
        </is>
      </c>
      <c r="BG1852">
        <f>HYPERLINK("C:\Users\jimmy\Desktop\Examens arbete\Kod\Ny mapp\remix_-copy-of-miljöbeslut.se-portal\E-post med kompletterande svar från Swerock.pdf", "Öppna PDF")</f>
        <v/>
      </c>
    </row>
    <row r="1853">
      <c r="A1853" t="inlineStr">
        <is>
          <t>KRAV-AUTO-001852</t>
        </is>
      </c>
      <c r="B1853" t="inlineStr">
        <is>
          <t>ADMIN-INDEX-2026-02-27-00000000125C043F57453246863FE664CAFE6A3F0700950291EA24F0614FB6ACEDB12BF0E31D00000000010C0000950291EA24F0614FB6ACEDB12BF0E31D00002087AF090000</t>
        </is>
      </c>
      <c r="C1853" t="inlineStr">
        <is>
          <t>cmm4yunu1011tcuqwsl3f47q0</t>
        </is>
      </c>
      <c r="D1853" t="inlineStr">
        <is>
          <t>http://localhost:8787/api/admin/requirements/documents/cmm4yunu1011tcuqwsl3f47q0/view</t>
        </is>
      </c>
      <c r="E1853">
        <f>HYPERLÄNK("http://localhost:8787/api/admin/requirements/documents/cmm4yunu1011tcuqwsl3f47q0/view";"Öppna PDF")</f>
        <v/>
      </c>
      <c r="F1853">
        <f>HYPERLINK("http://localhost:8787/api/admin/requirements/documents/cmm4yunu1011tcuqwsl3f47q0/view","Open PDF")</f>
        <v/>
      </c>
      <c r="G1853" t="inlineStr">
        <is>
          <t>cmm55w57p0004cuisfrtpqly8</t>
        </is>
      </c>
      <c r="H1853" t="inlineStr">
        <is>
          <t>Informationskrav</t>
        </is>
      </c>
      <c r="I1853" t="inlineStr">
        <is>
          <t>Riskhantering</t>
        </is>
      </c>
      <c r="J1853" t="inlineStr">
        <is>
          <t>Riskkontroll</t>
        </is>
      </c>
      <c r="K1853" t="inlineStr">
        <is>
          <t>Risk för nederbörd avgörs av väderprognos.</t>
        </is>
      </c>
      <c r="L1853" t="inlineStr">
        <is>
          <t>Risk för nederbörd avgörs av väderprognos.</t>
        </is>
      </c>
      <c r="M1853" t="inlineStr">
        <is>
          <t>BOR</t>
        </is>
      </c>
      <c r="N1853" t="inlineStr"/>
      <c r="O1853" t="inlineStr"/>
      <c r="P1853" t="inlineStr"/>
      <c r="Q1853" t="inlineStr"/>
      <c r="R1853" t="inlineStr">
        <is>
          <t>Vid risk for incident</t>
        </is>
      </c>
      <c r="S1853" t="inlineStr"/>
      <c r="T1853" t="inlineStr">
        <is>
          <t>2024 14</t>
        </is>
      </c>
      <c r="U1853" t="inlineStr"/>
      <c r="V1853" t="inlineStr"/>
      <c r="W1853" t="inlineStr">
        <is>
          <t>Nej</t>
        </is>
      </c>
      <c r="X1853" t="inlineStr">
        <is>
          <t>Nej</t>
        </is>
      </c>
      <c r="Y1853" t="inlineStr">
        <is>
          <t>Ja</t>
        </is>
      </c>
      <c r="Z1853" t="inlineStr">
        <is>
          <t>Ja</t>
        </is>
      </c>
      <c r="AA1853" t="n">
        <v>8</v>
      </c>
      <c r="AB1853" t="inlineStr">
        <is>
          <t>Riskhantering</t>
        </is>
      </c>
      <c r="AC1853" t="inlineStr">
        <is>
          <t>Risk-PM</t>
        </is>
      </c>
      <c r="AD1853" t="inlineStr">
        <is>
          <t>Nej</t>
        </is>
      </c>
      <c r="AE1853" t="inlineStr">
        <is>
          <t>Nej</t>
        </is>
      </c>
      <c r="AF1853" t="inlineStr">
        <is>
          <t>Ej behandlad</t>
        </is>
      </c>
      <c r="AG1853" t="inlineStr">
        <is>
          <t>AUTO_GENERERAD. Verifiera citat mot kallfil.</t>
        </is>
      </c>
      <c r="AH1853" t="inlineStr">
        <is>
          <t>MEDIUM</t>
        </is>
      </c>
      <c r="AI1853" t="inlineStr">
        <is>
          <t>AUTO</t>
        </is>
      </c>
      <c r="AJ1853" t="inlineStr">
        <is>
          <t>Nej</t>
        </is>
      </c>
      <c r="AK1853" t="inlineStr"/>
      <c r="AL1853" t="inlineStr"/>
      <c r="AM1853" t="inlineStr"/>
      <c r="AN1853" t="inlineStr"/>
      <c r="AO1853" t="inlineStr">
        <is>
          <t>cmm4yunuo012hcuqwci7zdqkj</t>
        </is>
      </c>
      <c r="AP1853" t="inlineStr">
        <is>
          <t>http://localhost:8787/api/admin/requirements/documents/cmm4yunuo012hcuqwci7zdqkj/view</t>
        </is>
      </c>
      <c r="AQ1853">
        <f>HYPERLÄNK("http://localhost:8787/api/admin/requirements/documents/cmm4yunuo012hcuqwci7zdqkj/view";"Öppna PDF")</f>
        <v/>
      </c>
      <c r="AR1853">
        <f>HYPERLINK("http://localhost:8787/api/admin/requirements/documents/cmm4yunuo012hcuqwci7zdqkj/view","Open PDF")</f>
        <v/>
      </c>
      <c r="AS1853" t="inlineStr">
        <is>
          <t>cmm55w57p0004cuisfrtpqly8</t>
        </is>
      </c>
      <c r="AT1853" t="inlineStr">
        <is>
          <t>cmm4xvu980000cuh4vj0usz09</t>
        </is>
      </c>
      <c r="AU1853" t="inlineStr"/>
      <c r="AV1853" t="inlineStr">
        <is>
          <t>Kommun</t>
        </is>
      </c>
      <c r="AW1853" t="inlineStr"/>
      <c r="AX1853" t="inlineStr">
        <is>
          <t>2025-02</t>
        </is>
      </c>
      <c r="AY1853" t="inlineStr">
        <is>
          <t>Komplettering</t>
        </is>
      </c>
      <c r="AZ1853" t="inlineStr">
        <is>
          <t>2026-02-03</t>
        </is>
      </c>
      <c r="BA1853" t="inlineStr">
        <is>
          <t>E-post med kompletterande svar från Swerock.pdf</t>
        </is>
      </c>
      <c r="BB1853" t="inlineStr">
        <is>
          <t>Sv: till registrator</t>
        </is>
      </c>
      <c r="BC1853" t="inlineStr">
        <is>
          <t>AUTO</t>
        </is>
      </c>
      <c r="BD1853" t="inlineStr"/>
      <c r="BE1853" t="inlineStr"/>
      <c r="BF1853" t="inlineStr">
        <is>
          <t>AUTO_GENERERAD. Bekrafta metadata mot kallfil.</t>
        </is>
      </c>
      <c r="BG1853">
        <f>HYPERLINK("C:\Users\jimmy\Desktop\Examens arbete\Kod\Ny mapp\remix_-copy-of-miljöbeslut.se-portal\E-post med kompletterande svar från Swerock.pdf", "Öppna PDF")</f>
        <v/>
      </c>
    </row>
    <row r="1854">
      <c r="A1854" t="inlineStr">
        <is>
          <t>KRAV-AUTO-001853</t>
        </is>
      </c>
      <c r="B1854" t="inlineStr">
        <is>
          <t>ADMIN-INDEX-2026-02-27-00000000125C043F57453246863FE664CAFE6A3F0700950291EA24F0614FB6ACEDB12BF0E31D00000000010C0000950291EA24F0614FB6ACEDB12BF0E31D00002087AF090000</t>
        </is>
      </c>
      <c r="C1854" t="inlineStr">
        <is>
          <t>cmm4yunu1011tcuqwsl3f47q0</t>
        </is>
      </c>
      <c r="D1854" t="inlineStr">
        <is>
          <t>http://localhost:8787/api/admin/requirements/documents/cmm4yunu1011tcuqwsl3f47q0/view</t>
        </is>
      </c>
      <c r="E1854">
        <f>HYPERLÄNK("http://localhost:8787/api/admin/requirements/documents/cmm4yunu1011tcuqwsl3f47q0/view";"Öppna PDF")</f>
        <v/>
      </c>
      <c r="F1854">
        <f>HYPERLINK("http://localhost:8787/api/admin/requirements/documents/cmm4yunu1011tcuqwsl3f47q0/view","Open PDF")</f>
        <v/>
      </c>
      <c r="G1854" t="inlineStr">
        <is>
          <t>cmm55w57p0004cuisfrtpqly8</t>
        </is>
      </c>
      <c r="H1854" t="inlineStr">
        <is>
          <t>Informationskrav</t>
        </is>
      </c>
      <c r="I1854" t="inlineStr">
        <is>
          <t>Riskhantering</t>
        </is>
      </c>
      <c r="J1854" t="inlineStr">
        <is>
          <t>Riskkontroll</t>
        </is>
      </c>
      <c r="K1854" t="inlineStr">
        <is>
          <t>I praktiken – hur bedöms risk för mycket nederbörd?</t>
        </is>
      </c>
      <c r="L1854" t="inlineStr">
        <is>
          <t>I praktiken – hur bedöms risk för mycket nederbörd?</t>
        </is>
      </c>
      <c r="M1854" t="inlineStr">
        <is>
          <t>BOR</t>
        </is>
      </c>
      <c r="N1854" t="inlineStr"/>
      <c r="O1854" t="inlineStr"/>
      <c r="P1854" t="inlineStr"/>
      <c r="Q1854" t="inlineStr"/>
      <c r="R1854" t="inlineStr">
        <is>
          <t>Vid risk for incident</t>
        </is>
      </c>
      <c r="S1854" t="inlineStr"/>
      <c r="T1854" t="inlineStr">
        <is>
          <t>2024 14</t>
        </is>
      </c>
      <c r="U1854" t="inlineStr"/>
      <c r="V1854" t="inlineStr"/>
      <c r="W1854" t="inlineStr">
        <is>
          <t>Nej</t>
        </is>
      </c>
      <c r="X1854" t="inlineStr">
        <is>
          <t>Nej</t>
        </is>
      </c>
      <c r="Y1854" t="inlineStr">
        <is>
          <t>Ja</t>
        </is>
      </c>
      <c r="Z1854" t="inlineStr">
        <is>
          <t>Ja</t>
        </is>
      </c>
      <c r="AA1854" t="n">
        <v>8</v>
      </c>
      <c r="AB1854" t="inlineStr">
        <is>
          <t>Riskhantering</t>
        </is>
      </c>
      <c r="AC1854" t="inlineStr">
        <is>
          <t>Risk-PM</t>
        </is>
      </c>
      <c r="AD1854" t="inlineStr">
        <is>
          <t>Nej</t>
        </is>
      </c>
      <c r="AE1854" t="inlineStr">
        <is>
          <t>Nej</t>
        </is>
      </c>
      <c r="AF1854" t="inlineStr">
        <is>
          <t>Ej behandlad</t>
        </is>
      </c>
      <c r="AG1854" t="inlineStr">
        <is>
          <t>AUTO_GENERERAD. Verifiera citat mot kallfil.</t>
        </is>
      </c>
      <c r="AH1854" t="inlineStr">
        <is>
          <t>MEDIUM</t>
        </is>
      </c>
      <c r="AI1854" t="inlineStr">
        <is>
          <t>AUTO</t>
        </is>
      </c>
      <c r="AJ1854" t="inlineStr">
        <is>
          <t>Nej</t>
        </is>
      </c>
      <c r="AK1854" t="inlineStr"/>
      <c r="AL1854" t="inlineStr"/>
      <c r="AM1854" t="inlineStr"/>
      <c r="AN1854" t="inlineStr"/>
      <c r="AO1854" t="inlineStr">
        <is>
          <t>cmm4yunuo012hcuqwci7zdqkj</t>
        </is>
      </c>
      <c r="AP1854" t="inlineStr">
        <is>
          <t>http://localhost:8787/api/admin/requirements/documents/cmm4yunuo012hcuqwci7zdqkj/view</t>
        </is>
      </c>
      <c r="AQ1854">
        <f>HYPERLÄNK("http://localhost:8787/api/admin/requirements/documents/cmm4yunuo012hcuqwci7zdqkj/view";"Öppna PDF")</f>
        <v/>
      </c>
      <c r="AR1854">
        <f>HYPERLINK("http://localhost:8787/api/admin/requirements/documents/cmm4yunuo012hcuqwci7zdqkj/view","Open PDF")</f>
        <v/>
      </c>
      <c r="AS1854" t="inlineStr">
        <is>
          <t>cmm55w57p0004cuisfrtpqly8</t>
        </is>
      </c>
      <c r="AT1854" t="inlineStr">
        <is>
          <t>cmm4xvu980000cuh4vj0usz09</t>
        </is>
      </c>
      <c r="AU1854" t="inlineStr"/>
      <c r="AV1854" t="inlineStr">
        <is>
          <t>Kommun</t>
        </is>
      </c>
      <c r="AW1854" t="inlineStr"/>
      <c r="AX1854" t="inlineStr">
        <is>
          <t>2025-02</t>
        </is>
      </c>
      <c r="AY1854" t="inlineStr">
        <is>
          <t>Komplettering</t>
        </is>
      </c>
      <c r="AZ1854" t="inlineStr">
        <is>
          <t>2026-02-03</t>
        </is>
      </c>
      <c r="BA1854" t="inlineStr">
        <is>
          <t>E-post med kompletterande svar från Swerock.pdf</t>
        </is>
      </c>
      <c r="BB1854" t="inlineStr">
        <is>
          <t>Sv: till registrator</t>
        </is>
      </c>
      <c r="BC1854" t="inlineStr">
        <is>
          <t>AUTO</t>
        </is>
      </c>
      <c r="BD1854" t="inlineStr"/>
      <c r="BE1854" t="inlineStr"/>
      <c r="BF1854" t="inlineStr">
        <is>
          <t>AUTO_GENERERAD. Bekrafta metadata mot kallfil.</t>
        </is>
      </c>
      <c r="BG1854">
        <f>HYPERLINK("C:\Users\jimmy\Desktop\Examens arbete\Kod\Ny mapp\remix_-copy-of-miljöbeslut.se-portal\E-post med kompletterande svar från Swerock.pdf", "Öppna PDF")</f>
        <v/>
      </c>
    </row>
    <row r="1855">
      <c r="A1855" t="inlineStr">
        <is>
          <t>KRAV-AUTO-001854</t>
        </is>
      </c>
      <c r="B1855" t="inlineStr">
        <is>
          <t>ADMIN-INDEX-2026-02-27-00000000125C043F57453246863FE664CAFE6A3F0700950291EA24F0614FB6ACEDB12BF0E31D00000000010C0000950291EA24F0614FB6ACEDB12BF0E31D00002087AF090000</t>
        </is>
      </c>
      <c r="C1855" t="inlineStr">
        <is>
          <t>cmm4yuntz011qcuqwrsfpi269</t>
        </is>
      </c>
      <c r="D1855" t="inlineStr">
        <is>
          <t>http://localhost:8787/api/admin/requirements/documents/cmm4yuntz011qcuqwrsfpi269/view</t>
        </is>
      </c>
      <c r="E1855">
        <f>HYPERLÄNK("http://localhost:8787/api/admin/requirements/documents/cmm4yuntz011qcuqwrsfpi269/view";"Öppna PDF")</f>
        <v/>
      </c>
      <c r="F1855">
        <f>HYPERLINK("http://localhost:8787/api/admin/requirements/documents/cmm4yuntz011qcuqwrsfpi269/view","Open PDF")</f>
        <v/>
      </c>
      <c r="G1855" t="inlineStr">
        <is>
          <t>cmm55w57p0004cuisfrtpqly8</t>
        </is>
      </c>
      <c r="H1855" t="inlineStr">
        <is>
          <t>Kompletteringskrav</t>
        </is>
      </c>
      <c r="I1855" t="inlineStr">
        <is>
          <t>LagringsvolymTid</t>
        </is>
      </c>
      <c r="J1855" t="inlineStr">
        <is>
          <t>Maxmangd</t>
        </is>
      </c>
      <c r="K1855" t="inlineStr">
        <is>
          <t>De mängder icke farligt avfall som ska lagras i täkten är de massor som inte kan återanvändas i projektet och kommer att behöva transporteras bort från projektet.</t>
        </is>
      </c>
      <c r="L1855" t="inlineStr">
        <is>
          <t>De mängder icke farligt avfall som ska lagras i täkten är de massor som inte kan återanvändas i projektet och kommer att behöva transporteras bort från projektet.</t>
        </is>
      </c>
      <c r="M1855" t="inlineStr">
        <is>
          <t>SKA</t>
        </is>
      </c>
      <c r="N1855" t="inlineStr"/>
      <c r="O1855" t="inlineStr"/>
      <c r="P1855" t="inlineStr">
        <is>
          <t>Arlig</t>
        </is>
      </c>
      <c r="Q1855" t="inlineStr"/>
      <c r="R1855" t="inlineStr">
        <is>
          <t>Alltid</t>
        </is>
      </c>
      <c r="S1855" t="inlineStr"/>
      <c r="T1855" t="inlineStr"/>
      <c r="U1855" t="inlineStr"/>
      <c r="V1855" t="inlineStr"/>
      <c r="W1855" t="inlineStr">
        <is>
          <t>Nej</t>
        </is>
      </c>
      <c r="X1855" t="inlineStr">
        <is>
          <t>Nej</t>
        </is>
      </c>
      <c r="Y1855" t="inlineStr">
        <is>
          <t>Nej</t>
        </is>
      </c>
      <c r="Z1855" t="inlineStr">
        <is>
          <t>Nej</t>
        </is>
      </c>
      <c r="AA1855" t="n">
        <v>4</v>
      </c>
      <c r="AB1855" t="inlineStr">
        <is>
          <t>Avfallsmangder och lagringstid</t>
        </is>
      </c>
      <c r="AC1855" t="inlineStr">
        <is>
          <t>Avfallsforteckning</t>
        </is>
      </c>
      <c r="AD1855" t="inlineStr">
        <is>
          <t>Nej</t>
        </is>
      </c>
      <c r="AE1855" t="inlineStr">
        <is>
          <t>Nej</t>
        </is>
      </c>
      <c r="AF1855" t="inlineStr">
        <is>
          <t>Ej behandlad</t>
        </is>
      </c>
      <c r="AG1855" t="inlineStr">
        <is>
          <t>AUTO_GENERERAD. Verifiera citat mot kallfil.</t>
        </is>
      </c>
      <c r="AH1855" t="inlineStr">
        <is>
          <t>MEDIUM</t>
        </is>
      </c>
      <c r="AI1855" t="inlineStr">
        <is>
          <t>AUTO</t>
        </is>
      </c>
      <c r="AJ1855" t="inlineStr">
        <is>
          <t>Nej</t>
        </is>
      </c>
      <c r="AK1855" t="inlineStr"/>
      <c r="AL1855" t="inlineStr"/>
      <c r="AM1855" t="inlineStr"/>
      <c r="AN1855" t="inlineStr"/>
      <c r="AO1855" t="inlineStr">
        <is>
          <t>cmm4yunuo012hcuqwci7zdqkj</t>
        </is>
      </c>
      <c r="AP1855" t="inlineStr">
        <is>
          <t>http://localhost:8787/api/admin/requirements/documents/cmm4yunuo012hcuqwci7zdqkj/view</t>
        </is>
      </c>
      <c r="AQ1855">
        <f>HYPERLÄNK("http://localhost:8787/api/admin/requirements/documents/cmm4yunuo012hcuqwci7zdqkj/view";"Öppna PDF")</f>
        <v/>
      </c>
      <c r="AR1855">
        <f>HYPERLINK("http://localhost:8787/api/admin/requirements/documents/cmm4yunuo012hcuqwci7zdqkj/view","Open PDF")</f>
        <v/>
      </c>
      <c r="AS1855" t="inlineStr">
        <is>
          <t>cmm55w57p0004cuisfrtpqly8</t>
        </is>
      </c>
      <c r="AT1855" t="inlineStr">
        <is>
          <t>cmm4xvu980000cuh4vj0usz09</t>
        </is>
      </c>
      <c r="AU1855" t="inlineStr"/>
      <c r="AV1855" t="inlineStr">
        <is>
          <t>Kommun</t>
        </is>
      </c>
      <c r="AW1855" t="inlineStr"/>
      <c r="AX1855" t="inlineStr">
        <is>
          <t>2025-02</t>
        </is>
      </c>
      <c r="AY1855" t="inlineStr">
        <is>
          <t>Komplettering</t>
        </is>
      </c>
      <c r="AZ1855" t="inlineStr">
        <is>
          <t>2026-02-03</t>
        </is>
      </c>
      <c r="BA1855" t="inlineStr">
        <is>
          <t>E-post med kompletterande svar från Swerock.pdf</t>
        </is>
      </c>
      <c r="BB1855" t="inlineStr">
        <is>
          <t>Sv: till registrator</t>
        </is>
      </c>
      <c r="BC1855" t="inlineStr">
        <is>
          <t>AUTO</t>
        </is>
      </c>
      <c r="BD1855" t="inlineStr"/>
      <c r="BE1855" t="inlineStr"/>
      <c r="BF1855" t="inlineStr">
        <is>
          <t>AUTO_GENERERAD. Bekrafta metadata mot kallfil.</t>
        </is>
      </c>
      <c r="BG1855">
        <f>HYPERLINK("C:\Users\jimmy\Desktop\Examens arbete\Kod\Ny mapp\remix_-copy-of-miljöbeslut.se-portal\E-post med kompletterande svar från Swerock.pdf", "Öppna PDF")</f>
        <v/>
      </c>
    </row>
    <row r="1856">
      <c r="A1856" t="inlineStr">
        <is>
          <t>KRAV-AUTO-001855</t>
        </is>
      </c>
      <c r="B1856" t="inlineStr">
        <is>
          <t>ADMIN-INDEX-2026-02-27-00000000125C043F57453246863FE664CAFE6A3F0700950291EA24F0614FB6ACEDB12BF0E31D00000000010C0000950291EA24F0614FB6ACEDB12BF0E31D00002087AF090000</t>
        </is>
      </c>
      <c r="C1856" t="inlineStr">
        <is>
          <t>cmm4yuntw011ncuqw735dfs4k</t>
        </is>
      </c>
      <c r="D1856" t="inlineStr">
        <is>
          <t>http://localhost:8787/api/admin/requirements/documents/cmm4yuntw011ncuqw735dfs4k/view</t>
        </is>
      </c>
      <c r="E1856">
        <f>HYPERLÄNK("http://localhost:8787/api/admin/requirements/documents/cmm4yuntw011ncuqw735dfs4k/view";"Öppna PDF")</f>
        <v/>
      </c>
      <c r="F1856">
        <f>HYPERLINK("http://localhost:8787/api/admin/requirements/documents/cmm4yuntw011ncuqw735dfs4k/view","Open PDF")</f>
        <v/>
      </c>
      <c r="G1856" t="inlineStr">
        <is>
          <t>cmm55w57p0004cuisfrtpqly8</t>
        </is>
      </c>
      <c r="H1856" t="inlineStr">
        <is>
          <t>Informationskrav</t>
        </is>
      </c>
      <c r="I1856" t="inlineStr">
        <is>
          <t>DriftEgenkontroll</t>
        </is>
      </c>
      <c r="J1856" t="inlineStr">
        <is>
          <t>Journalforing</t>
        </is>
      </c>
      <c r="K1856" t="inlineStr">
        <is>
          <t>Om massor ska återvinnas på övriga platser bör det föregås av provtagning, utifrån att det finns risk för förekomst av tungmetaller eller bekämpningsmedel.</t>
        </is>
      </c>
      <c r="L1856" t="inlineStr">
        <is>
          <t>Om massor ska återvinnas på övriga platser bör det föregås av provtagning, utifrån att det finns risk för förekomst av tungmetaller eller bekämpningsmedel.</t>
        </is>
      </c>
      <c r="M1856" t="inlineStr">
        <is>
          <t>SKA</t>
        </is>
      </c>
      <c r="N1856" t="inlineStr"/>
      <c r="O1856" t="inlineStr"/>
      <c r="P1856" t="inlineStr"/>
      <c r="Q1856" t="inlineStr"/>
      <c r="R1856" t="inlineStr">
        <is>
          <t>Lopande drift</t>
        </is>
      </c>
      <c r="S1856" t="inlineStr"/>
      <c r="T1856" t="inlineStr">
        <is>
          <t>55 65 03</t>
        </is>
      </c>
      <c r="U1856" t="inlineStr"/>
      <c r="V1856" t="inlineStr"/>
      <c r="W1856" t="inlineStr">
        <is>
          <t>Nej</t>
        </is>
      </c>
      <c r="X1856" t="inlineStr">
        <is>
          <t>Nej</t>
        </is>
      </c>
      <c r="Y1856" t="inlineStr">
        <is>
          <t>Ja</t>
        </is>
      </c>
      <c r="Z1856" t="inlineStr">
        <is>
          <t>Nej</t>
        </is>
      </c>
      <c r="AA1856" t="n">
        <v>7</v>
      </c>
      <c r="AB1856" t="inlineStr">
        <is>
          <t>Egenkontrollrutiner</t>
        </is>
      </c>
      <c r="AC1856" t="inlineStr">
        <is>
          <t>Egenkontrollprogram</t>
        </is>
      </c>
      <c r="AD1856" t="inlineStr">
        <is>
          <t>Nej</t>
        </is>
      </c>
      <c r="AE1856" t="inlineStr">
        <is>
          <t>Nej</t>
        </is>
      </c>
      <c r="AF1856" t="inlineStr">
        <is>
          <t>Ej behandlad</t>
        </is>
      </c>
      <c r="AG1856" t="inlineStr">
        <is>
          <t>AUTO_GENERERAD. Verifiera citat mot kallfil.</t>
        </is>
      </c>
      <c r="AH1856" t="inlineStr">
        <is>
          <t>MEDIUM</t>
        </is>
      </c>
      <c r="AI1856" t="inlineStr">
        <is>
          <t>AUTO</t>
        </is>
      </c>
      <c r="AJ1856" t="inlineStr">
        <is>
          <t>Nej</t>
        </is>
      </c>
      <c r="AK1856" t="inlineStr"/>
      <c r="AL1856" t="inlineStr"/>
      <c r="AM1856" t="inlineStr"/>
      <c r="AN1856" t="inlineStr"/>
      <c r="AO1856" t="inlineStr">
        <is>
          <t>cmm4yunuo012hcuqwci7zdqkj</t>
        </is>
      </c>
      <c r="AP1856" t="inlineStr">
        <is>
          <t>http://localhost:8787/api/admin/requirements/documents/cmm4yunuo012hcuqwci7zdqkj/view</t>
        </is>
      </c>
      <c r="AQ1856">
        <f>HYPERLÄNK("http://localhost:8787/api/admin/requirements/documents/cmm4yunuo012hcuqwci7zdqkj/view";"Öppna PDF")</f>
        <v/>
      </c>
      <c r="AR1856">
        <f>HYPERLINK("http://localhost:8787/api/admin/requirements/documents/cmm4yunuo012hcuqwci7zdqkj/view","Open PDF")</f>
        <v/>
      </c>
      <c r="AS1856" t="inlineStr">
        <is>
          <t>cmm55w57p0004cuisfrtpqly8</t>
        </is>
      </c>
      <c r="AT1856" t="inlineStr">
        <is>
          <t>cmm4xvu980000cuh4vj0usz09</t>
        </is>
      </c>
      <c r="AU1856" t="inlineStr"/>
      <c r="AV1856" t="inlineStr">
        <is>
          <t>Kommun</t>
        </is>
      </c>
      <c r="AW1856" t="inlineStr"/>
      <c r="AX1856" t="inlineStr">
        <is>
          <t>2025-02</t>
        </is>
      </c>
      <c r="AY1856" t="inlineStr">
        <is>
          <t>Komplettering</t>
        </is>
      </c>
      <c r="AZ1856" t="inlineStr">
        <is>
          <t>2026-02-03</t>
        </is>
      </c>
      <c r="BA1856" t="inlineStr">
        <is>
          <t>E-post med kompletterande svar från Swerock.pdf</t>
        </is>
      </c>
      <c r="BB1856" t="inlineStr">
        <is>
          <t>Sv: till registrator</t>
        </is>
      </c>
      <c r="BC1856" t="inlineStr">
        <is>
          <t>AUTO</t>
        </is>
      </c>
      <c r="BD1856" t="inlineStr"/>
      <c r="BE1856" t="inlineStr"/>
      <c r="BF1856" t="inlineStr">
        <is>
          <t>AUTO_GENERERAD. Bekrafta metadata mot kallfil.</t>
        </is>
      </c>
      <c r="BG1856">
        <f>HYPERLINK("C:\Users\jimmy\Desktop\Examens arbete\Kod\Ny mapp\remix_-copy-of-miljöbeslut.se-portal\E-post med kompletterande svar från Swerock.pdf", "Öppna PDF")</f>
        <v/>
      </c>
    </row>
    <row r="1857">
      <c r="A1857" t="inlineStr">
        <is>
          <t>KRAV-AUTO-001856</t>
        </is>
      </c>
      <c r="B1857" t="inlineStr">
        <is>
          <t>ADMIN-INDEX-2026-02-27-00000000125C043F57453246863FE664CAFE6A3F0700950291EA24F0614FB6ACEDB12BF0E31D00000000010C0000950291EA24F0614FB6ACEDB12BF0E31D00002087AF090000</t>
        </is>
      </c>
      <c r="C1857" t="inlineStr">
        <is>
          <t>cmm4yuntw011ncuqw735dfs4k</t>
        </is>
      </c>
      <c r="D1857" t="inlineStr">
        <is>
          <t>http://localhost:8787/api/admin/requirements/documents/cmm4yuntw011ncuqw735dfs4k/view</t>
        </is>
      </c>
      <c r="E1857">
        <f>HYPERLÄNK("http://localhost:8787/api/admin/requirements/documents/cmm4yuntw011ncuqw735dfs4k/view";"Öppna PDF")</f>
        <v/>
      </c>
      <c r="F1857">
        <f>HYPERLINK("http://localhost:8787/api/admin/requirements/documents/cmm4yuntw011ncuqw735dfs4k/view","Open PDF")</f>
        <v/>
      </c>
      <c r="G1857" t="inlineStr">
        <is>
          <t>cmm55w57p0004cuisfrtpqly8</t>
        </is>
      </c>
      <c r="H1857" t="inlineStr">
        <is>
          <t>Informationskrav</t>
        </is>
      </c>
      <c r="I1857" t="inlineStr">
        <is>
          <t>DagvattenLakvatten</t>
        </is>
      </c>
      <c r="J1857" t="inlineStr">
        <is>
          <t>Uppsamling</t>
        </is>
      </c>
      <c r="K1857" t="inlineStr">
        <is>
          <t>Om det finns risk för förorening eller om ursprung är okänt bör provtagning göras innan, så att man kan planera hur massor ska hanteras och bedöma om de går att återanvända på platsen.</t>
        </is>
      </c>
      <c r="L1857" t="inlineStr">
        <is>
          <t>Om det finns risk för förorening eller om ursprung är okänt bör provtagning göras innan, så att man kan planera hur massor ska hanteras och bedöma om de går att återanvända på platsen.</t>
        </is>
      </c>
      <c r="M1857" t="inlineStr">
        <is>
          <t>SKA</t>
        </is>
      </c>
      <c r="N1857" t="inlineStr"/>
      <c r="O1857" t="inlineStr"/>
      <c r="P1857" t="inlineStr"/>
      <c r="Q1857" t="inlineStr"/>
      <c r="R1857" t="inlineStr">
        <is>
          <t>Vid nederbord och avrinning</t>
        </is>
      </c>
      <c r="S1857" t="inlineStr"/>
      <c r="T1857" t="inlineStr">
        <is>
          <t>55 65 03</t>
        </is>
      </c>
      <c r="U1857" t="inlineStr"/>
      <c r="V1857" t="inlineStr"/>
      <c r="W1857" t="inlineStr">
        <is>
          <t>Nej</t>
        </is>
      </c>
      <c r="X1857" t="inlineStr">
        <is>
          <t>Ja</t>
        </is>
      </c>
      <c r="Y1857" t="inlineStr">
        <is>
          <t>Ja</t>
        </is>
      </c>
      <c r="Z1857" t="inlineStr">
        <is>
          <t>Nej</t>
        </is>
      </c>
      <c r="AA1857" t="n">
        <v>6</v>
      </c>
      <c r="AB1857" t="inlineStr">
        <is>
          <t>Lakvattenhantering</t>
        </is>
      </c>
      <c r="AC1857" t="inlineStr">
        <is>
          <t>Flodesschema dagvatten-lakvatten</t>
        </is>
      </c>
      <c r="AD1857" t="inlineStr">
        <is>
          <t>Nej</t>
        </is>
      </c>
      <c r="AE1857" t="inlineStr">
        <is>
          <t>Nej</t>
        </is>
      </c>
      <c r="AF1857" t="inlineStr">
        <is>
          <t>Ej behandlad</t>
        </is>
      </c>
      <c r="AG1857" t="inlineStr">
        <is>
          <t>AUTO_GENERERAD. Verifiera citat mot kallfil.</t>
        </is>
      </c>
      <c r="AH1857" t="inlineStr">
        <is>
          <t>MEDIUM</t>
        </is>
      </c>
      <c r="AI1857" t="inlineStr">
        <is>
          <t>AUTO</t>
        </is>
      </c>
      <c r="AJ1857" t="inlineStr">
        <is>
          <t>Nej</t>
        </is>
      </c>
      <c r="AK1857" t="inlineStr"/>
      <c r="AL1857" t="inlineStr"/>
      <c r="AM1857" t="inlineStr"/>
      <c r="AN1857" t="inlineStr"/>
      <c r="AO1857" t="inlineStr">
        <is>
          <t>cmm4yunuo012hcuqwci7zdqkj</t>
        </is>
      </c>
      <c r="AP1857" t="inlineStr">
        <is>
          <t>http://localhost:8787/api/admin/requirements/documents/cmm4yunuo012hcuqwci7zdqkj/view</t>
        </is>
      </c>
      <c r="AQ1857">
        <f>HYPERLÄNK("http://localhost:8787/api/admin/requirements/documents/cmm4yunuo012hcuqwci7zdqkj/view";"Öppna PDF")</f>
        <v/>
      </c>
      <c r="AR1857">
        <f>HYPERLINK("http://localhost:8787/api/admin/requirements/documents/cmm4yunuo012hcuqwci7zdqkj/view","Open PDF")</f>
        <v/>
      </c>
      <c r="AS1857" t="inlineStr">
        <is>
          <t>cmm55w57p0004cuisfrtpqly8</t>
        </is>
      </c>
      <c r="AT1857" t="inlineStr">
        <is>
          <t>cmm4xvu980000cuh4vj0usz09</t>
        </is>
      </c>
      <c r="AU1857" t="inlineStr"/>
      <c r="AV1857" t="inlineStr">
        <is>
          <t>Kommun</t>
        </is>
      </c>
      <c r="AW1857" t="inlineStr"/>
      <c r="AX1857" t="inlineStr">
        <is>
          <t>2025-02</t>
        </is>
      </c>
      <c r="AY1857" t="inlineStr">
        <is>
          <t>Komplettering</t>
        </is>
      </c>
      <c r="AZ1857" t="inlineStr">
        <is>
          <t>2026-02-03</t>
        </is>
      </c>
      <c r="BA1857" t="inlineStr">
        <is>
          <t>E-post med kompletterande svar från Swerock.pdf</t>
        </is>
      </c>
      <c r="BB1857" t="inlineStr">
        <is>
          <t>Sv: till registrator</t>
        </is>
      </c>
      <c r="BC1857" t="inlineStr">
        <is>
          <t>AUTO</t>
        </is>
      </c>
      <c r="BD1857" t="inlineStr"/>
      <c r="BE1857" t="inlineStr"/>
      <c r="BF1857" t="inlineStr">
        <is>
          <t>AUTO_GENERERAD. Bekrafta metadata mot kallfil.</t>
        </is>
      </c>
      <c r="BG1857">
        <f>HYPERLINK("C:\Users\jimmy\Desktop\Examens arbete\Kod\Ny mapp\remix_-copy-of-miljöbeslut.se-portal\E-post med kompletterande svar från Swerock.pdf", "Öppna PDF")</f>
        <v/>
      </c>
    </row>
    <row r="1858">
      <c r="A1858" t="inlineStr">
        <is>
          <t>KRAV-AUTO-001857</t>
        </is>
      </c>
      <c r="B1858" t="inlineStr">
        <is>
          <t>ADMIN-INDEX-2026-02-27-00000000125C043F57453246863FE664CAFE6A3F0700950291EA24F0614FB6ACEDB12BF0E31D00000000010C0000950291EA24F0614FB6ACEDB12BF0E31D00002087AF090000</t>
        </is>
      </c>
      <c r="C1858" t="inlineStr">
        <is>
          <t>cmm4yuntw011ncuqw735dfs4k</t>
        </is>
      </c>
      <c r="D1858" t="inlineStr">
        <is>
          <t>http://localhost:8787/api/admin/requirements/documents/cmm4yuntw011ncuqw735dfs4k/view</t>
        </is>
      </c>
      <c r="E1858">
        <f>HYPERLÄNK("http://localhost:8787/api/admin/requirements/documents/cmm4yuntw011ncuqw735dfs4k/view";"Öppna PDF")</f>
        <v/>
      </c>
      <c r="F1858">
        <f>HYPERLINK("http://localhost:8787/api/admin/requirements/documents/cmm4yuntw011ncuqw735dfs4k/view","Open PDF")</f>
        <v/>
      </c>
      <c r="G1858" t="inlineStr">
        <is>
          <t>cmm55w57p0004cuisfrtpqly8</t>
        </is>
      </c>
      <c r="H1858" t="inlineStr">
        <is>
          <t>Informationskrav</t>
        </is>
      </c>
      <c r="I1858" t="inlineStr">
        <is>
          <t>DagvattenLakvatten</t>
        </is>
      </c>
      <c r="J1858" t="inlineStr">
        <is>
          <t>Uppsamling</t>
        </is>
      </c>
      <c r="K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58" t="inlineStr">
        <is>
          <t>BOR</t>
        </is>
      </c>
      <c r="N1858" t="inlineStr"/>
      <c r="O1858" t="inlineStr"/>
      <c r="P1858" t="inlineStr"/>
      <c r="Q1858" t="inlineStr"/>
      <c r="R1858" t="inlineStr">
        <is>
          <t>Vid nederbord och avrinning</t>
        </is>
      </c>
      <c r="S1858" t="inlineStr"/>
      <c r="T1858" t="inlineStr">
        <is>
          <t>55 65 03</t>
        </is>
      </c>
      <c r="U1858" t="inlineStr"/>
      <c r="V1858" t="inlineStr"/>
      <c r="W1858" t="inlineStr">
        <is>
          <t>Nej</t>
        </is>
      </c>
      <c r="X1858" t="inlineStr">
        <is>
          <t>Ja</t>
        </is>
      </c>
      <c r="Y1858" t="inlineStr">
        <is>
          <t>Ja</t>
        </is>
      </c>
      <c r="Z1858" t="inlineStr">
        <is>
          <t>Nej</t>
        </is>
      </c>
      <c r="AA1858" t="n">
        <v>6</v>
      </c>
      <c r="AB1858" t="inlineStr">
        <is>
          <t>Lakvattenhantering</t>
        </is>
      </c>
      <c r="AC1858" t="inlineStr">
        <is>
          <t>Flodesschema dagvatten-lakvatten</t>
        </is>
      </c>
      <c r="AD1858" t="inlineStr">
        <is>
          <t>Nej</t>
        </is>
      </c>
      <c r="AE1858" t="inlineStr">
        <is>
          <t>Nej</t>
        </is>
      </c>
      <c r="AF1858" t="inlineStr">
        <is>
          <t>Ej behandlad</t>
        </is>
      </c>
      <c r="AG1858" t="inlineStr">
        <is>
          <t>AUTO_GENERERAD. Verifiera citat mot kallfil.</t>
        </is>
      </c>
      <c r="AH1858" t="inlineStr">
        <is>
          <t>MEDIUM</t>
        </is>
      </c>
      <c r="AI1858" t="inlineStr">
        <is>
          <t>AUTO</t>
        </is>
      </c>
      <c r="AJ1858" t="inlineStr">
        <is>
          <t>Nej</t>
        </is>
      </c>
      <c r="AK1858" t="inlineStr"/>
      <c r="AL1858" t="inlineStr"/>
      <c r="AM1858" t="inlineStr"/>
      <c r="AN1858" t="inlineStr"/>
      <c r="AO1858" t="inlineStr">
        <is>
          <t>cmm4yunuo012hcuqwci7zdqkj</t>
        </is>
      </c>
      <c r="AP1858" t="inlineStr">
        <is>
          <t>http://localhost:8787/api/admin/requirements/documents/cmm4yunuo012hcuqwci7zdqkj/view</t>
        </is>
      </c>
      <c r="AQ1858">
        <f>HYPERLÄNK("http://localhost:8787/api/admin/requirements/documents/cmm4yunuo012hcuqwci7zdqkj/view";"Öppna PDF")</f>
        <v/>
      </c>
      <c r="AR1858">
        <f>HYPERLINK("http://localhost:8787/api/admin/requirements/documents/cmm4yunuo012hcuqwci7zdqkj/view","Open PDF")</f>
        <v/>
      </c>
      <c r="AS1858" t="inlineStr">
        <is>
          <t>cmm55w57p0004cuisfrtpqly8</t>
        </is>
      </c>
      <c r="AT1858" t="inlineStr">
        <is>
          <t>cmm4xvu980000cuh4vj0usz09</t>
        </is>
      </c>
      <c r="AU1858" t="inlineStr"/>
      <c r="AV1858" t="inlineStr">
        <is>
          <t>Kommun</t>
        </is>
      </c>
      <c r="AW1858" t="inlineStr"/>
      <c r="AX1858" t="inlineStr">
        <is>
          <t>2025-02</t>
        </is>
      </c>
      <c r="AY1858" t="inlineStr">
        <is>
          <t>Komplettering</t>
        </is>
      </c>
      <c r="AZ1858" t="inlineStr">
        <is>
          <t>2026-02-03</t>
        </is>
      </c>
      <c r="BA1858" t="inlineStr">
        <is>
          <t>E-post med kompletterande svar från Swerock.pdf</t>
        </is>
      </c>
      <c r="BB1858" t="inlineStr">
        <is>
          <t>Sv: till registrator</t>
        </is>
      </c>
      <c r="BC1858" t="inlineStr">
        <is>
          <t>AUTO</t>
        </is>
      </c>
      <c r="BD1858" t="inlineStr"/>
      <c r="BE1858" t="inlineStr"/>
      <c r="BF1858" t="inlineStr">
        <is>
          <t>AUTO_GENERERAD. Bekrafta metadata mot kallfil.</t>
        </is>
      </c>
      <c r="BG1858">
        <f>HYPERLINK("C:\Users\jimmy\Desktop\Examens arbete\Kod\Ny mapp\remix_-copy-of-miljöbeslut.se-portal\E-post med kompletterande svar från Swerock.pdf", "Öppna PDF")</f>
        <v/>
      </c>
    </row>
    <row r="1859">
      <c r="A1859" t="inlineStr">
        <is>
          <t>KRAV-AUTO-001858</t>
        </is>
      </c>
      <c r="B1859" t="inlineStr">
        <is>
          <t>ADMIN-INDEX-2026-02-27-00000000125C043F57453246863FE664CAFE6A3F0700950291EA24F0614FB6ACEDB12BF0E31D00000000010C0000950291EA24F0614FB6ACEDB12BF0E31D00002087AF090000</t>
        </is>
      </c>
      <c r="C1859" t="inlineStr">
        <is>
          <t>cmm4yuntu011kcuqwtutr6n3y</t>
        </is>
      </c>
      <c r="D1859" t="inlineStr">
        <is>
          <t>http://localhost:8787/api/admin/requirements/documents/cmm4yuntu011kcuqwtutr6n3y/view</t>
        </is>
      </c>
      <c r="E1859">
        <f>HYPERLÄNK("http://localhost:8787/api/admin/requirements/documents/cmm4yuntu011kcuqwtutr6n3y/view";"Öppna PDF")</f>
        <v/>
      </c>
      <c r="F1859">
        <f>HYPERLINK("http://localhost:8787/api/admin/requirements/documents/cmm4yuntu011kcuqwtutr6n3y/view","Open PDF")</f>
        <v/>
      </c>
      <c r="G1859" t="inlineStr">
        <is>
          <t>cmm55w57p0004cuisfrtpqly8</t>
        </is>
      </c>
      <c r="H1859" t="inlineStr">
        <is>
          <t>Beslutsvillkor</t>
        </is>
      </c>
      <c r="I1859" t="inlineStr">
        <is>
          <t>LagringsvolymTid</t>
        </is>
      </c>
      <c r="J1859" t="inlineStr">
        <is>
          <t>Maxmangd</t>
        </is>
      </c>
      <c r="K1859" t="inlineStr">
        <is>
          <t>Svar på frågan om vilka mängder icke-farligt avfall som ska hanteras/lagras så är det de 1500 m3 som vi anger som överskottsmassor under avsnitt 4.</t>
        </is>
      </c>
      <c r="L1859" t="inlineStr">
        <is>
          <t>Svar på frågan om vilka mängder icke-farligt avfall som ska hanteras/lagras så är det de 1500 m3 som vi anger som överskottsmassor under avsnitt 4.</t>
        </is>
      </c>
      <c r="M1859" t="inlineStr">
        <is>
          <t>SKA</t>
        </is>
      </c>
      <c r="N1859" t="inlineStr"/>
      <c r="O1859" t="inlineStr"/>
      <c r="P1859" t="inlineStr">
        <is>
          <t>Arlig</t>
        </is>
      </c>
      <c r="Q1859" t="inlineStr"/>
      <c r="R1859" t="inlineStr">
        <is>
          <t>Alltid</t>
        </is>
      </c>
      <c r="S1859" t="inlineStr"/>
      <c r="T1859" t="inlineStr">
        <is>
          <t>2024 15</t>
        </is>
      </c>
      <c r="U1859" t="inlineStr"/>
      <c r="V1859" t="inlineStr"/>
      <c r="W1859" t="inlineStr">
        <is>
          <t>Nej</t>
        </is>
      </c>
      <c r="X1859" t="inlineStr">
        <is>
          <t>Nej</t>
        </is>
      </c>
      <c r="Y1859" t="inlineStr">
        <is>
          <t>Nej</t>
        </is>
      </c>
      <c r="Z1859" t="inlineStr">
        <is>
          <t>Nej</t>
        </is>
      </c>
      <c r="AA1859" t="n">
        <v>4</v>
      </c>
      <c r="AB1859" t="inlineStr">
        <is>
          <t>Avfallsmangder och lagringstid</t>
        </is>
      </c>
      <c r="AC1859" t="inlineStr">
        <is>
          <t>Avfallsforteckning</t>
        </is>
      </c>
      <c r="AD1859" t="inlineStr">
        <is>
          <t>Nej</t>
        </is>
      </c>
      <c r="AE1859" t="inlineStr">
        <is>
          <t>Nej</t>
        </is>
      </c>
      <c r="AF1859" t="inlineStr">
        <is>
          <t>Ej behandlad</t>
        </is>
      </c>
      <c r="AG1859" t="inlineStr">
        <is>
          <t>AUTO_GENERERAD. Verifiera citat mot kallfil.</t>
        </is>
      </c>
      <c r="AH1859" t="inlineStr">
        <is>
          <t>MEDIUM</t>
        </is>
      </c>
      <c r="AI1859" t="inlineStr">
        <is>
          <t>AUTO</t>
        </is>
      </c>
      <c r="AJ1859" t="inlineStr">
        <is>
          <t>Nej</t>
        </is>
      </c>
      <c r="AK1859" t="inlineStr"/>
      <c r="AL1859" t="inlineStr"/>
      <c r="AM1859" t="inlineStr"/>
      <c r="AN1859" t="inlineStr"/>
      <c r="AO1859" t="inlineStr">
        <is>
          <t>cmm4yunuo012hcuqwci7zdqkj</t>
        </is>
      </c>
      <c r="AP1859" t="inlineStr">
        <is>
          <t>http://localhost:8787/api/admin/requirements/documents/cmm4yunuo012hcuqwci7zdqkj/view</t>
        </is>
      </c>
      <c r="AQ1859">
        <f>HYPERLÄNK("http://localhost:8787/api/admin/requirements/documents/cmm4yunuo012hcuqwci7zdqkj/view";"Öppna PDF")</f>
        <v/>
      </c>
      <c r="AR1859">
        <f>HYPERLINK("http://localhost:8787/api/admin/requirements/documents/cmm4yunuo012hcuqwci7zdqkj/view","Open PDF")</f>
        <v/>
      </c>
      <c r="AS1859" t="inlineStr">
        <is>
          <t>cmm55w57p0004cuisfrtpqly8</t>
        </is>
      </c>
      <c r="AT1859" t="inlineStr">
        <is>
          <t>cmm4xvu980000cuh4vj0usz09</t>
        </is>
      </c>
      <c r="AU1859" t="inlineStr"/>
      <c r="AV1859" t="inlineStr">
        <is>
          <t>Kommun</t>
        </is>
      </c>
      <c r="AW1859" t="inlineStr"/>
      <c r="AX1859" t="inlineStr">
        <is>
          <t>2025-02</t>
        </is>
      </c>
      <c r="AY1859" t="inlineStr">
        <is>
          <t>Komplettering</t>
        </is>
      </c>
      <c r="AZ1859" t="inlineStr">
        <is>
          <t>2026-02-03</t>
        </is>
      </c>
      <c r="BA1859" t="inlineStr">
        <is>
          <t>E-post med kompletterande svar från Swerock.pdf</t>
        </is>
      </c>
      <c r="BB1859" t="inlineStr">
        <is>
          <t>Sv: till registrator</t>
        </is>
      </c>
      <c r="BC1859" t="inlineStr">
        <is>
          <t>AUTO</t>
        </is>
      </c>
      <c r="BD1859" t="inlineStr"/>
      <c r="BE1859" t="inlineStr"/>
      <c r="BF1859" t="inlineStr">
        <is>
          <t>AUTO_GENERERAD. Bekrafta metadata mot kallfil.</t>
        </is>
      </c>
      <c r="BG1859">
        <f>HYPERLINK("C:\Users\jimmy\Desktop\Examens arbete\Kod\Ny mapp\remix_-copy-of-miljöbeslut.se-portal\E-post med kompletterande svar från Swerock.pdf", "Öppna PDF")</f>
        <v/>
      </c>
    </row>
    <row r="1860">
      <c r="A1860" t="inlineStr">
        <is>
          <t>KRAV-AUTO-001859</t>
        </is>
      </c>
      <c r="B1860" t="inlineStr">
        <is>
          <t>ADMIN-INDEX-2026-02-27-00000000125C043F57453246863FE664CAFE6A3F0700950291EA24F0614FB6ACEDB12BF0E31D00000000010C0000950291EA24F0614FB6ACEDB12BF0E31D00002087AF090000</t>
        </is>
      </c>
      <c r="C1860" t="inlineStr">
        <is>
          <t>cmm4yuntr011hcuqws8qvzgub</t>
        </is>
      </c>
      <c r="D1860" t="inlineStr">
        <is>
          <t>http://localhost:8787/api/admin/requirements/documents/cmm4yuntr011hcuqws8qvzgub/view</t>
        </is>
      </c>
      <c r="E1860">
        <f>HYPERLÄNK("http://localhost:8787/api/admin/requirements/documents/cmm4yuntr011hcuqws8qvzgub/view";"Öppna PDF")</f>
        <v/>
      </c>
      <c r="F1860">
        <f>HYPERLINK("http://localhost:8787/api/admin/requirements/documents/cmm4yuntr011hcuqws8qvzgub/view","Open PDF")</f>
        <v/>
      </c>
      <c r="G1860" t="inlineStr">
        <is>
          <t>cmm55w57p0004cuisfrtpqly8</t>
        </is>
      </c>
      <c r="H1860" t="inlineStr">
        <is>
          <t>Kompletteringskrav</t>
        </is>
      </c>
      <c r="I1860" t="inlineStr">
        <is>
          <t>LagringsvolymTid</t>
        </is>
      </c>
      <c r="J1860" t="inlineStr">
        <is>
          <t>Maxmangd</t>
        </is>
      </c>
      <c r="K1860" t="inlineStr">
        <is>
          <t>Svar på frågan om vilka mängder icke-farligt avfall som ska hanteras/lagras så är det de 1500 m3 som vi anger som överskottsmassor under avsnitt 4.</t>
        </is>
      </c>
      <c r="L1860" t="inlineStr">
        <is>
          <t>Svar på frågan om vilka mängder icke-farligt avfall som ska hanteras/lagras så är det de 1500 m3 som vi anger som överskottsmassor under avsnitt 4.</t>
        </is>
      </c>
      <c r="M1860" t="inlineStr">
        <is>
          <t>SKA</t>
        </is>
      </c>
      <c r="N1860" t="inlineStr"/>
      <c r="O1860" t="inlineStr"/>
      <c r="P1860" t="inlineStr">
        <is>
          <t>Arlig</t>
        </is>
      </c>
      <c r="Q1860" t="inlineStr"/>
      <c r="R1860" t="inlineStr">
        <is>
          <t>Alltid</t>
        </is>
      </c>
      <c r="S1860" t="inlineStr"/>
      <c r="T1860" t="inlineStr">
        <is>
          <t>2024 16</t>
        </is>
      </c>
      <c r="U1860" t="inlineStr"/>
      <c r="V1860" t="inlineStr"/>
      <c r="W1860" t="inlineStr">
        <is>
          <t>Nej</t>
        </is>
      </c>
      <c r="X1860" t="inlineStr">
        <is>
          <t>Nej</t>
        </is>
      </c>
      <c r="Y1860" t="inlineStr">
        <is>
          <t>Nej</t>
        </is>
      </c>
      <c r="Z1860" t="inlineStr">
        <is>
          <t>Nej</t>
        </is>
      </c>
      <c r="AA1860" t="n">
        <v>4</v>
      </c>
      <c r="AB1860" t="inlineStr">
        <is>
          <t>Avfallsmangder och lagringstid</t>
        </is>
      </c>
      <c r="AC1860" t="inlineStr">
        <is>
          <t>Avfallsforteckning</t>
        </is>
      </c>
      <c r="AD1860" t="inlineStr">
        <is>
          <t>Nej</t>
        </is>
      </c>
      <c r="AE1860" t="inlineStr">
        <is>
          <t>Nej</t>
        </is>
      </c>
      <c r="AF1860" t="inlineStr">
        <is>
          <t>Ej behandlad</t>
        </is>
      </c>
      <c r="AG1860" t="inlineStr">
        <is>
          <t>AUTO_GENERERAD. Verifiera citat mot kallfil.</t>
        </is>
      </c>
      <c r="AH1860" t="inlineStr">
        <is>
          <t>MEDIUM</t>
        </is>
      </c>
      <c r="AI1860" t="inlineStr">
        <is>
          <t>AUTO</t>
        </is>
      </c>
      <c r="AJ1860" t="inlineStr">
        <is>
          <t>Nej</t>
        </is>
      </c>
      <c r="AK1860" t="inlineStr"/>
      <c r="AL1860" t="inlineStr"/>
      <c r="AM1860" t="inlineStr"/>
      <c r="AN1860" t="inlineStr"/>
      <c r="AO1860" t="inlineStr">
        <is>
          <t>cmm4yunuo012hcuqwci7zdqkj</t>
        </is>
      </c>
      <c r="AP1860" t="inlineStr">
        <is>
          <t>http://localhost:8787/api/admin/requirements/documents/cmm4yunuo012hcuqwci7zdqkj/view</t>
        </is>
      </c>
      <c r="AQ1860">
        <f>HYPERLÄNK("http://localhost:8787/api/admin/requirements/documents/cmm4yunuo012hcuqwci7zdqkj/view";"Öppna PDF")</f>
        <v/>
      </c>
      <c r="AR1860">
        <f>HYPERLINK("http://localhost:8787/api/admin/requirements/documents/cmm4yunuo012hcuqwci7zdqkj/view","Open PDF")</f>
        <v/>
      </c>
      <c r="AS1860" t="inlineStr">
        <is>
          <t>cmm55w57p0004cuisfrtpqly8</t>
        </is>
      </c>
      <c r="AT1860" t="inlineStr">
        <is>
          <t>cmm4xvu980000cuh4vj0usz09</t>
        </is>
      </c>
      <c r="AU1860" t="inlineStr"/>
      <c r="AV1860" t="inlineStr">
        <is>
          <t>Kommun</t>
        </is>
      </c>
      <c r="AW1860" t="inlineStr"/>
      <c r="AX1860" t="inlineStr">
        <is>
          <t>2025-02</t>
        </is>
      </c>
      <c r="AY1860" t="inlineStr">
        <is>
          <t>Komplettering</t>
        </is>
      </c>
      <c r="AZ1860" t="inlineStr">
        <is>
          <t>2026-02-03</t>
        </is>
      </c>
      <c r="BA1860" t="inlineStr">
        <is>
          <t>E-post med kompletterande svar från Swerock.pdf</t>
        </is>
      </c>
      <c r="BB1860" t="inlineStr">
        <is>
          <t>Sv: till registrator</t>
        </is>
      </c>
      <c r="BC1860" t="inlineStr">
        <is>
          <t>AUTO</t>
        </is>
      </c>
      <c r="BD1860" t="inlineStr"/>
      <c r="BE1860" t="inlineStr"/>
      <c r="BF1860" t="inlineStr">
        <is>
          <t>AUTO_GENERERAD. Bekrafta metadata mot kallfil.</t>
        </is>
      </c>
      <c r="BG1860">
        <f>HYPERLINK("C:\Users\jimmy\Desktop\Examens arbete\Kod\Ny mapp\remix_-copy-of-miljöbeslut.se-portal\E-post med kompletterande svar från Swerock.pdf", "Öppna PDF")</f>
        <v/>
      </c>
    </row>
    <row r="1861">
      <c r="A1861" t="inlineStr">
        <is>
          <t>KRAV-AUTO-001860</t>
        </is>
      </c>
      <c r="B1861" t="inlineStr">
        <is>
          <t>ADMIN-INDEX-2026-02-27-00000000125C043F57453246863FE664CAFE6A3F0700950291EA24F0614FB6ACEDB12BF0E31D00000000010C0000950291EA24F0614FB6ACEDB12BF0E31D00002087AF090000</t>
        </is>
      </c>
      <c r="C1861" t="inlineStr">
        <is>
          <t>cmm4yunto011ecuqwbj62bf6r</t>
        </is>
      </c>
      <c r="D1861" t="inlineStr">
        <is>
          <t>http://localhost:8787/api/admin/requirements/documents/cmm4yunto011ecuqwbj62bf6r/view</t>
        </is>
      </c>
      <c r="E1861">
        <f>HYPERLÄNK("http://localhost:8787/api/admin/requirements/documents/cmm4yunto011ecuqwbj62bf6r/view";"Öppna PDF")</f>
        <v/>
      </c>
      <c r="F1861">
        <f>HYPERLINK("http://localhost:8787/api/admin/requirements/documents/cmm4yunto011ecuqwbj62bf6r/view","Open PDF")</f>
        <v/>
      </c>
      <c r="G1861" t="inlineStr">
        <is>
          <t>cmm55w57p0004cuisfrtpqly8</t>
        </is>
      </c>
      <c r="H1861" t="inlineStr">
        <is>
          <t>Kompletteringskrav</t>
        </is>
      </c>
      <c r="I1861" t="inlineStr">
        <is>
          <t>LagringsvolymTid</t>
        </is>
      </c>
      <c r="J1861" t="inlineStr">
        <is>
          <t>Maxmangd</t>
        </is>
      </c>
      <c r="K1861" t="inlineStr">
        <is>
          <t>Svar på frågan om vilka mängder icke-farligt avfall som ska hanteras/lagras så är det de 1500 m3 som vi anger som överskottsmassor under avsnitt 4.</t>
        </is>
      </c>
      <c r="L1861" t="inlineStr">
        <is>
          <t>Svar på frågan om vilka mängder icke-farligt avfall som ska hanteras/lagras så är det de 1500 m3 som vi anger som överskottsmassor under avsnitt 4.</t>
        </is>
      </c>
      <c r="M1861" t="inlineStr">
        <is>
          <t>SKA</t>
        </is>
      </c>
      <c r="N1861" t="inlineStr"/>
      <c r="O1861" t="inlineStr"/>
      <c r="P1861" t="inlineStr">
        <is>
          <t>Arlig</t>
        </is>
      </c>
      <c r="Q1861" t="inlineStr"/>
      <c r="R1861" t="inlineStr">
        <is>
          <t>Alltid</t>
        </is>
      </c>
      <c r="S1861" t="inlineStr"/>
      <c r="T1861" t="inlineStr">
        <is>
          <t>2024 15</t>
        </is>
      </c>
      <c r="U1861" t="inlineStr"/>
      <c r="V1861" t="inlineStr"/>
      <c r="W1861" t="inlineStr">
        <is>
          <t>Nej</t>
        </is>
      </c>
      <c r="X1861" t="inlineStr">
        <is>
          <t>Nej</t>
        </is>
      </c>
      <c r="Y1861" t="inlineStr">
        <is>
          <t>Nej</t>
        </is>
      </c>
      <c r="Z1861" t="inlineStr">
        <is>
          <t>Nej</t>
        </is>
      </c>
      <c r="AA1861" t="n">
        <v>4</v>
      </c>
      <c r="AB1861" t="inlineStr">
        <is>
          <t>Avfallsmangder och lagringstid</t>
        </is>
      </c>
      <c r="AC1861" t="inlineStr">
        <is>
          <t>Avfallsforteckning</t>
        </is>
      </c>
      <c r="AD1861" t="inlineStr">
        <is>
          <t>Nej</t>
        </is>
      </c>
      <c r="AE1861" t="inlineStr">
        <is>
          <t>Nej</t>
        </is>
      </c>
      <c r="AF1861" t="inlineStr">
        <is>
          <t>Ej behandlad</t>
        </is>
      </c>
      <c r="AG1861" t="inlineStr">
        <is>
          <t>AUTO_GENERERAD. Verifiera citat mot kallfil.</t>
        </is>
      </c>
      <c r="AH1861" t="inlineStr">
        <is>
          <t>MEDIUM</t>
        </is>
      </c>
      <c r="AI1861" t="inlineStr">
        <is>
          <t>AUTO</t>
        </is>
      </c>
      <c r="AJ1861" t="inlineStr">
        <is>
          <t>Nej</t>
        </is>
      </c>
      <c r="AK1861" t="inlineStr"/>
      <c r="AL1861" t="inlineStr"/>
      <c r="AM1861" t="inlineStr"/>
      <c r="AN1861" t="inlineStr"/>
      <c r="AO1861" t="inlineStr">
        <is>
          <t>cmm4yunuo012hcuqwci7zdqkj</t>
        </is>
      </c>
      <c r="AP1861" t="inlineStr">
        <is>
          <t>http://localhost:8787/api/admin/requirements/documents/cmm4yunuo012hcuqwci7zdqkj/view</t>
        </is>
      </c>
      <c r="AQ1861">
        <f>HYPERLÄNK("http://localhost:8787/api/admin/requirements/documents/cmm4yunuo012hcuqwci7zdqkj/view";"Öppna PDF")</f>
        <v/>
      </c>
      <c r="AR1861">
        <f>HYPERLINK("http://localhost:8787/api/admin/requirements/documents/cmm4yunuo012hcuqwci7zdqkj/view","Open PDF")</f>
        <v/>
      </c>
      <c r="AS1861" t="inlineStr">
        <is>
          <t>cmm55w57p0004cuisfrtpqly8</t>
        </is>
      </c>
      <c r="AT1861" t="inlineStr">
        <is>
          <t>cmm4xvu980000cuh4vj0usz09</t>
        </is>
      </c>
      <c r="AU1861" t="inlineStr"/>
      <c r="AV1861" t="inlineStr">
        <is>
          <t>Kommun</t>
        </is>
      </c>
      <c r="AW1861" t="inlineStr"/>
      <c r="AX1861" t="inlineStr">
        <is>
          <t>2025-02</t>
        </is>
      </c>
      <c r="AY1861" t="inlineStr">
        <is>
          <t>Komplettering</t>
        </is>
      </c>
      <c r="AZ1861" t="inlineStr">
        <is>
          <t>2026-02-03</t>
        </is>
      </c>
      <c r="BA1861" t="inlineStr">
        <is>
          <t>E-post med kompletterande svar från Swerock.pdf</t>
        </is>
      </c>
      <c r="BB1861" t="inlineStr">
        <is>
          <t>Sv: till registrator</t>
        </is>
      </c>
      <c r="BC1861" t="inlineStr">
        <is>
          <t>AUTO</t>
        </is>
      </c>
      <c r="BD1861" t="inlineStr"/>
      <c r="BE1861" t="inlineStr"/>
      <c r="BF1861" t="inlineStr">
        <is>
          <t>AUTO_GENERERAD. Bekrafta metadata mot kallfil.</t>
        </is>
      </c>
      <c r="BG1861">
        <f>HYPERLINK("C:\Users\jimmy\Desktop\Examens arbete\Kod\Ny mapp\remix_-copy-of-miljöbeslut.se-portal\E-post med kompletterande svar från Swerock.pdf", "Öppna PDF")</f>
        <v/>
      </c>
    </row>
    <row r="1862">
      <c r="A1862" t="inlineStr">
        <is>
          <t>KRAV-AUTO-001861</t>
        </is>
      </c>
      <c r="B1862" t="inlineStr">
        <is>
          <t>ADMIN-INDEX-2026-02-27-00000000125C043F57453246863FE664CAFE6A3F0700950291EA24F0614FB6ACEDB12BF0E31D00000000010C0000950291EA24F0614FB6ACEDB12BF0E31D00002087AF090000</t>
        </is>
      </c>
      <c r="C1862" t="inlineStr">
        <is>
          <t>cmm4yuntj0118cuqw9uy6nqsz</t>
        </is>
      </c>
      <c r="D1862" t="inlineStr">
        <is>
          <t>http://localhost:8787/api/admin/requirements/documents/cmm4yuntj0118cuqw9uy6nqsz/view</t>
        </is>
      </c>
      <c r="E1862">
        <f>HYPERLÄNK("http://localhost:8787/api/admin/requirements/documents/cmm4yuntj0118cuqw9uy6nqsz/view";"Öppna PDF")</f>
        <v/>
      </c>
      <c r="F1862">
        <f>HYPERLINK("http://localhost:8787/api/admin/requirements/documents/cmm4yuntj0118cuqw9uy6nqsz/view","Open PDF")</f>
        <v/>
      </c>
      <c r="G1862" t="inlineStr">
        <is>
          <t>cmm55w57p0004cuisfrtpqly8</t>
        </is>
      </c>
      <c r="H1862" t="inlineStr">
        <is>
          <t>Informationskrav</t>
        </is>
      </c>
      <c r="I1862" t="inlineStr">
        <is>
          <t>DriftEgenkontroll</t>
        </is>
      </c>
      <c r="J1862" t="inlineStr">
        <is>
          <t>Journalforing</t>
        </is>
      </c>
      <c r="K1862" t="inlineStr">
        <is>
          <t>Om massor ska återvinnas på övriga platser bör det föregås av provtagning, utifrån att det finns risk för förekomst av tungmetaller eller bekämpningsmedel.</t>
        </is>
      </c>
      <c r="L1862" t="inlineStr">
        <is>
          <t>Om massor ska återvinnas på övriga platser bör det föregås av provtagning, utifrån att det finns risk för förekomst av tungmetaller eller bekämpningsmedel.</t>
        </is>
      </c>
      <c r="M1862" t="inlineStr">
        <is>
          <t>SKA</t>
        </is>
      </c>
      <c r="N1862" t="inlineStr"/>
      <c r="O1862" t="inlineStr"/>
      <c r="P1862" t="inlineStr"/>
      <c r="Q1862" t="inlineStr"/>
      <c r="R1862" t="inlineStr">
        <is>
          <t>Lopande drift</t>
        </is>
      </c>
      <c r="S1862" t="inlineStr"/>
      <c r="T1862" t="inlineStr">
        <is>
          <t>556280</t>
        </is>
      </c>
      <c r="U1862" t="inlineStr"/>
      <c r="V1862" t="inlineStr"/>
      <c r="W1862" t="inlineStr">
        <is>
          <t>Nej</t>
        </is>
      </c>
      <c r="X1862" t="inlineStr">
        <is>
          <t>Nej</t>
        </is>
      </c>
      <c r="Y1862" t="inlineStr">
        <is>
          <t>Ja</t>
        </is>
      </c>
      <c r="Z1862" t="inlineStr">
        <is>
          <t>Nej</t>
        </is>
      </c>
      <c r="AA1862" t="n">
        <v>7</v>
      </c>
      <c r="AB1862" t="inlineStr">
        <is>
          <t>Egenkontrollrutiner</t>
        </is>
      </c>
      <c r="AC1862" t="inlineStr">
        <is>
          <t>Egenkontrollprogram</t>
        </is>
      </c>
      <c r="AD1862" t="inlineStr">
        <is>
          <t>Nej</t>
        </is>
      </c>
      <c r="AE1862" t="inlineStr">
        <is>
          <t>Nej</t>
        </is>
      </c>
      <c r="AF1862" t="inlineStr">
        <is>
          <t>Ej behandlad</t>
        </is>
      </c>
      <c r="AG1862" t="inlineStr">
        <is>
          <t>AUTO_GENERERAD. Verifiera citat mot kallfil.</t>
        </is>
      </c>
      <c r="AH1862" t="inlineStr">
        <is>
          <t>MEDIUM</t>
        </is>
      </c>
      <c r="AI1862" t="inlineStr">
        <is>
          <t>AUTO</t>
        </is>
      </c>
      <c r="AJ1862" t="inlineStr">
        <is>
          <t>Nej</t>
        </is>
      </c>
      <c r="AK1862" t="inlineStr"/>
      <c r="AL1862" t="inlineStr"/>
      <c r="AM1862" t="inlineStr"/>
      <c r="AN1862" t="inlineStr"/>
      <c r="AO1862" t="inlineStr">
        <is>
          <t>cmm4yunuo012hcuqwci7zdqkj</t>
        </is>
      </c>
      <c r="AP1862" t="inlineStr">
        <is>
          <t>http://localhost:8787/api/admin/requirements/documents/cmm4yunuo012hcuqwci7zdqkj/view</t>
        </is>
      </c>
      <c r="AQ1862">
        <f>HYPERLÄNK("http://localhost:8787/api/admin/requirements/documents/cmm4yunuo012hcuqwci7zdqkj/view";"Öppna PDF")</f>
        <v/>
      </c>
      <c r="AR1862">
        <f>HYPERLINK("http://localhost:8787/api/admin/requirements/documents/cmm4yunuo012hcuqwci7zdqkj/view","Open PDF")</f>
        <v/>
      </c>
      <c r="AS1862" t="inlineStr">
        <is>
          <t>cmm55w57p0004cuisfrtpqly8</t>
        </is>
      </c>
      <c r="AT1862" t="inlineStr">
        <is>
          <t>cmm4xvu980000cuh4vj0usz09</t>
        </is>
      </c>
      <c r="AU1862" t="inlineStr"/>
      <c r="AV1862" t="inlineStr">
        <is>
          <t>Kommun</t>
        </is>
      </c>
      <c r="AW1862" t="inlineStr"/>
      <c r="AX1862" t="inlineStr">
        <is>
          <t>2025-02</t>
        </is>
      </c>
      <c r="AY1862" t="inlineStr">
        <is>
          <t>Komplettering</t>
        </is>
      </c>
      <c r="AZ1862" t="inlineStr">
        <is>
          <t>2026-02-03</t>
        </is>
      </c>
      <c r="BA1862" t="inlineStr">
        <is>
          <t>E-post med kompletterande svar från Swerock.pdf</t>
        </is>
      </c>
      <c r="BB1862" t="inlineStr">
        <is>
          <t>Sv: till registrator</t>
        </is>
      </c>
      <c r="BC1862" t="inlineStr">
        <is>
          <t>AUTO</t>
        </is>
      </c>
      <c r="BD1862" t="inlineStr"/>
      <c r="BE1862" t="inlineStr"/>
      <c r="BF1862" t="inlineStr">
        <is>
          <t>AUTO_GENERERAD. Bekrafta metadata mot kallfil.</t>
        </is>
      </c>
      <c r="BG1862">
        <f>HYPERLINK("C:\Users\jimmy\Desktop\Examens arbete\Kod\Ny mapp\remix_-copy-of-miljöbeslut.se-portal\E-post med kompletterande svar från Swerock.pdf", "Öppna PDF")</f>
        <v/>
      </c>
    </row>
    <row r="1863">
      <c r="A1863" t="inlineStr">
        <is>
          <t>KRAV-AUTO-001862</t>
        </is>
      </c>
      <c r="B1863" t="inlineStr">
        <is>
          <t>ADMIN-INDEX-2026-02-27-00000000125C043F57453246863FE664CAFE6A3F0700950291EA24F0614FB6ACEDB12BF0E31D00000000010C0000950291EA24F0614FB6ACEDB12BF0E31D00002087AF090000</t>
        </is>
      </c>
      <c r="C1863" t="inlineStr">
        <is>
          <t>cmm4yuntj0118cuqw9uy6nqsz</t>
        </is>
      </c>
      <c r="D1863" t="inlineStr">
        <is>
          <t>http://localhost:8787/api/admin/requirements/documents/cmm4yuntj0118cuqw9uy6nqsz/view</t>
        </is>
      </c>
      <c r="E1863">
        <f>HYPERLÄNK("http://localhost:8787/api/admin/requirements/documents/cmm4yuntj0118cuqw9uy6nqsz/view";"Öppna PDF")</f>
        <v/>
      </c>
      <c r="F1863">
        <f>HYPERLINK("http://localhost:8787/api/admin/requirements/documents/cmm4yuntj0118cuqw9uy6nqsz/view","Open PDF")</f>
        <v/>
      </c>
      <c r="G1863" t="inlineStr">
        <is>
          <t>cmm55w57p0004cuisfrtpqly8</t>
        </is>
      </c>
      <c r="H1863" t="inlineStr">
        <is>
          <t>Informationskrav</t>
        </is>
      </c>
      <c r="I1863" t="inlineStr">
        <is>
          <t>DagvattenLakvatten</t>
        </is>
      </c>
      <c r="J1863" t="inlineStr">
        <is>
          <t>Uppsamling</t>
        </is>
      </c>
      <c r="K1863" t="inlineStr">
        <is>
          <t>Om det finns risk för förorening eller om ursprung är okänt bör provtagning göras innan, så att man kan planera hur massor ska hanteras och bedöma om de går att återanvända på platsen.</t>
        </is>
      </c>
      <c r="L1863" t="inlineStr">
        <is>
          <t>Om det finns risk för förorening eller om ursprung är okänt bör provtagning göras innan, så att man kan planera hur massor ska hanteras och bedöma om de går att återanvända på platsen.</t>
        </is>
      </c>
      <c r="M1863" t="inlineStr">
        <is>
          <t>SKA</t>
        </is>
      </c>
      <c r="N1863" t="inlineStr"/>
      <c r="O1863" t="inlineStr"/>
      <c r="P1863" t="inlineStr"/>
      <c r="Q1863" t="inlineStr"/>
      <c r="R1863" t="inlineStr">
        <is>
          <t>Vid nederbord och avrinning</t>
        </is>
      </c>
      <c r="S1863" t="inlineStr"/>
      <c r="T1863" t="inlineStr">
        <is>
          <t>556280</t>
        </is>
      </c>
      <c r="U1863" t="inlineStr"/>
      <c r="V1863" t="inlineStr"/>
      <c r="W1863" t="inlineStr">
        <is>
          <t>Nej</t>
        </is>
      </c>
      <c r="X1863" t="inlineStr">
        <is>
          <t>Ja</t>
        </is>
      </c>
      <c r="Y1863" t="inlineStr">
        <is>
          <t>Ja</t>
        </is>
      </c>
      <c r="Z1863" t="inlineStr">
        <is>
          <t>Nej</t>
        </is>
      </c>
      <c r="AA1863" t="n">
        <v>6</v>
      </c>
      <c r="AB1863" t="inlineStr">
        <is>
          <t>Lakvattenhantering</t>
        </is>
      </c>
      <c r="AC1863" t="inlineStr">
        <is>
          <t>Flodesschema dagvatten-lakvatten</t>
        </is>
      </c>
      <c r="AD1863" t="inlineStr">
        <is>
          <t>Nej</t>
        </is>
      </c>
      <c r="AE1863" t="inlineStr">
        <is>
          <t>Nej</t>
        </is>
      </c>
      <c r="AF1863" t="inlineStr">
        <is>
          <t>Ej behandlad</t>
        </is>
      </c>
      <c r="AG1863" t="inlineStr">
        <is>
          <t>AUTO_GENERERAD. Verifiera citat mot kallfil.</t>
        </is>
      </c>
      <c r="AH1863" t="inlineStr">
        <is>
          <t>MEDIUM</t>
        </is>
      </c>
      <c r="AI1863" t="inlineStr">
        <is>
          <t>AUTO</t>
        </is>
      </c>
      <c r="AJ1863" t="inlineStr">
        <is>
          <t>Nej</t>
        </is>
      </c>
      <c r="AK1863" t="inlineStr"/>
      <c r="AL1863" t="inlineStr"/>
      <c r="AM1863" t="inlineStr"/>
      <c r="AN1863" t="inlineStr"/>
      <c r="AO1863" t="inlineStr">
        <is>
          <t>cmm4yunuo012hcuqwci7zdqkj</t>
        </is>
      </c>
      <c r="AP1863" t="inlineStr">
        <is>
          <t>http://localhost:8787/api/admin/requirements/documents/cmm4yunuo012hcuqwci7zdqkj/view</t>
        </is>
      </c>
      <c r="AQ1863">
        <f>HYPERLÄNK("http://localhost:8787/api/admin/requirements/documents/cmm4yunuo012hcuqwci7zdqkj/view";"Öppna PDF")</f>
        <v/>
      </c>
      <c r="AR1863">
        <f>HYPERLINK("http://localhost:8787/api/admin/requirements/documents/cmm4yunuo012hcuqwci7zdqkj/view","Open PDF")</f>
        <v/>
      </c>
      <c r="AS1863" t="inlineStr">
        <is>
          <t>cmm55w57p0004cuisfrtpqly8</t>
        </is>
      </c>
      <c r="AT1863" t="inlineStr">
        <is>
          <t>cmm4xvu980000cuh4vj0usz09</t>
        </is>
      </c>
      <c r="AU1863" t="inlineStr"/>
      <c r="AV1863" t="inlineStr">
        <is>
          <t>Kommun</t>
        </is>
      </c>
      <c r="AW1863" t="inlineStr"/>
      <c r="AX1863" t="inlineStr">
        <is>
          <t>2025-02</t>
        </is>
      </c>
      <c r="AY1863" t="inlineStr">
        <is>
          <t>Komplettering</t>
        </is>
      </c>
      <c r="AZ1863" t="inlineStr">
        <is>
          <t>2026-02-03</t>
        </is>
      </c>
      <c r="BA1863" t="inlineStr">
        <is>
          <t>E-post med kompletterande svar från Swerock.pdf</t>
        </is>
      </c>
      <c r="BB1863" t="inlineStr">
        <is>
          <t>Sv: till registrator</t>
        </is>
      </c>
      <c r="BC1863" t="inlineStr">
        <is>
          <t>AUTO</t>
        </is>
      </c>
      <c r="BD1863" t="inlineStr"/>
      <c r="BE1863" t="inlineStr"/>
      <c r="BF1863" t="inlineStr">
        <is>
          <t>AUTO_GENERERAD. Bekrafta metadata mot kallfil.</t>
        </is>
      </c>
      <c r="BG1863">
        <f>HYPERLINK("C:\Users\jimmy\Desktop\Examens arbete\Kod\Ny mapp\remix_-copy-of-miljöbeslut.se-portal\E-post med kompletterande svar från Swerock.pdf", "Öppna PDF")</f>
        <v/>
      </c>
    </row>
    <row r="1864">
      <c r="A1864" t="inlineStr">
        <is>
          <t>KRAV-AUTO-001863</t>
        </is>
      </c>
      <c r="B1864" t="inlineStr">
        <is>
          <t>ADMIN-INDEX-2026-02-27-00000000125C043F57453246863FE664CAFE6A3F0700950291EA24F0614FB6ACEDB12BF0E31D00000000010C0000950291EA24F0614FB6ACEDB12BF0E31D00002087AF090000</t>
        </is>
      </c>
      <c r="C1864" t="inlineStr">
        <is>
          <t>cmm4yuntj0118cuqw9uy6nqsz</t>
        </is>
      </c>
      <c r="D1864" t="inlineStr">
        <is>
          <t>http://localhost:8787/api/admin/requirements/documents/cmm4yuntj0118cuqw9uy6nqsz/view</t>
        </is>
      </c>
      <c r="E1864">
        <f>HYPERLÄNK("http://localhost:8787/api/admin/requirements/documents/cmm4yuntj0118cuqw9uy6nqsz/view";"Öppna PDF")</f>
        <v/>
      </c>
      <c r="F1864">
        <f>HYPERLINK("http://localhost:8787/api/admin/requirements/documents/cmm4yuntj0118cuqw9uy6nqsz/view","Open PDF")</f>
        <v/>
      </c>
      <c r="G1864" t="inlineStr">
        <is>
          <t>cmm55w57p0004cuisfrtpqly8</t>
        </is>
      </c>
      <c r="H1864" t="inlineStr">
        <is>
          <t>Informationskrav</t>
        </is>
      </c>
      <c r="I1864" t="inlineStr">
        <is>
          <t>LagringsvolymTid</t>
        </is>
      </c>
      <c r="J1864" t="inlineStr">
        <is>
          <t>Maxmangd</t>
        </is>
      </c>
      <c r="K1864" t="inlineStr">
        <is>
          <t>Mängder och transportsedlar ska dokumenteras och val av mottagningsanläggning godkännas av beställaren innan borttransport.</t>
        </is>
      </c>
      <c r="L1864" t="inlineStr">
        <is>
          <t>Mängder och transportsedlar ska dokumenteras och val av mottagningsanläggning godkännas av beställaren innan borttransport.</t>
        </is>
      </c>
      <c r="M1864" t="inlineStr">
        <is>
          <t>SKA</t>
        </is>
      </c>
      <c r="N1864" t="inlineStr"/>
      <c r="O1864" t="inlineStr"/>
      <c r="P1864" t="inlineStr"/>
      <c r="Q1864" t="inlineStr"/>
      <c r="R1864" t="inlineStr">
        <is>
          <t>Alltid</t>
        </is>
      </c>
      <c r="S1864" t="inlineStr"/>
      <c r="T1864" t="inlineStr">
        <is>
          <t>556280</t>
        </is>
      </c>
      <c r="U1864" t="inlineStr"/>
      <c r="V1864" t="inlineStr"/>
      <c r="W1864" t="inlineStr">
        <is>
          <t>Nej</t>
        </is>
      </c>
      <c r="X1864" t="inlineStr">
        <is>
          <t>Nej</t>
        </is>
      </c>
      <c r="Y1864" t="inlineStr">
        <is>
          <t>Nej</t>
        </is>
      </c>
      <c r="Z1864" t="inlineStr">
        <is>
          <t>Nej</t>
        </is>
      </c>
      <c r="AA1864" t="n">
        <v>4</v>
      </c>
      <c r="AB1864" t="inlineStr">
        <is>
          <t>Avfallsmangder och lagringstid</t>
        </is>
      </c>
      <c r="AC1864" t="inlineStr">
        <is>
          <t>Avfallsforteckning</t>
        </is>
      </c>
      <c r="AD1864" t="inlineStr">
        <is>
          <t>Nej</t>
        </is>
      </c>
      <c r="AE1864" t="inlineStr">
        <is>
          <t>Nej</t>
        </is>
      </c>
      <c r="AF1864" t="inlineStr">
        <is>
          <t>Ej behandlad</t>
        </is>
      </c>
      <c r="AG1864" t="inlineStr">
        <is>
          <t>AUTO_GENERERAD. Verifiera citat mot kallfil.</t>
        </is>
      </c>
      <c r="AH1864" t="inlineStr">
        <is>
          <t>MEDIUM</t>
        </is>
      </c>
      <c r="AI1864" t="inlineStr">
        <is>
          <t>AUTO</t>
        </is>
      </c>
      <c r="AJ1864" t="inlineStr">
        <is>
          <t>Nej</t>
        </is>
      </c>
      <c r="AK1864" t="inlineStr"/>
      <c r="AL1864" t="inlineStr"/>
      <c r="AM1864" t="inlineStr"/>
      <c r="AN1864" t="inlineStr"/>
      <c r="AO1864" t="inlineStr">
        <is>
          <t>cmm4yunuo012hcuqwci7zdqkj</t>
        </is>
      </c>
      <c r="AP1864" t="inlineStr">
        <is>
          <t>http://localhost:8787/api/admin/requirements/documents/cmm4yunuo012hcuqwci7zdqkj/view</t>
        </is>
      </c>
      <c r="AQ1864">
        <f>HYPERLÄNK("http://localhost:8787/api/admin/requirements/documents/cmm4yunuo012hcuqwci7zdqkj/view";"Öppna PDF")</f>
        <v/>
      </c>
      <c r="AR1864">
        <f>HYPERLINK("http://localhost:8787/api/admin/requirements/documents/cmm4yunuo012hcuqwci7zdqkj/view","Open PDF")</f>
        <v/>
      </c>
      <c r="AS1864" t="inlineStr">
        <is>
          <t>cmm55w57p0004cuisfrtpqly8</t>
        </is>
      </c>
      <c r="AT1864" t="inlineStr">
        <is>
          <t>cmm4xvu980000cuh4vj0usz09</t>
        </is>
      </c>
      <c r="AU1864" t="inlineStr"/>
      <c r="AV1864" t="inlineStr">
        <is>
          <t>Kommun</t>
        </is>
      </c>
      <c r="AW1864" t="inlineStr"/>
      <c r="AX1864" t="inlineStr">
        <is>
          <t>2025-02</t>
        </is>
      </c>
      <c r="AY1864" t="inlineStr">
        <is>
          <t>Komplettering</t>
        </is>
      </c>
      <c r="AZ1864" t="inlineStr">
        <is>
          <t>2026-02-03</t>
        </is>
      </c>
      <c r="BA1864" t="inlineStr">
        <is>
          <t>E-post med kompletterande svar från Swerock.pdf</t>
        </is>
      </c>
      <c r="BB1864" t="inlineStr">
        <is>
          <t>Sv: till registrator</t>
        </is>
      </c>
      <c r="BC1864" t="inlineStr">
        <is>
          <t>AUTO</t>
        </is>
      </c>
      <c r="BD1864" t="inlineStr"/>
      <c r="BE1864" t="inlineStr"/>
      <c r="BF1864" t="inlineStr">
        <is>
          <t>AUTO_GENERERAD. Bekrafta metadata mot kallfil.</t>
        </is>
      </c>
      <c r="BG1864">
        <f>HYPERLINK("C:\Users\jimmy\Desktop\Examens arbete\Kod\Ny mapp\remix_-copy-of-miljöbeslut.se-portal\E-post med kompletterande svar från Swerock.pdf", "Öppna PDF")</f>
        <v/>
      </c>
    </row>
    <row r="1865">
      <c r="A1865" t="inlineStr">
        <is>
          <t>KRAV-AUTO-001864</t>
        </is>
      </c>
      <c r="B1865" t="inlineStr">
        <is>
          <t>ADMIN-INDEX-2026-02-27-00000000125C043F57453246863FE664CAFE6A3F0700950291EA24F0614FB6ACEDB12BF0E31D00000000010C0000950291EA24F0614FB6ACEDB12BF0E31D00002087AF090000</t>
        </is>
      </c>
      <c r="C1865" t="inlineStr">
        <is>
          <t>cmm4yunt8010wcuqwrpgptcip</t>
        </is>
      </c>
      <c r="D1865" t="inlineStr">
        <is>
          <t>http://localhost:8787/api/admin/requirements/documents/cmm4yunt8010wcuqwrpgptcip/view</t>
        </is>
      </c>
      <c r="E1865">
        <f>HYPERLÄNK("http://localhost:8787/api/admin/requirements/documents/cmm4yunt8010wcuqwrpgptcip/view";"Öppna PDF")</f>
        <v/>
      </c>
      <c r="F1865">
        <f>HYPERLINK("http://localhost:8787/api/admin/requirements/documents/cmm4yunt8010wcuqwrpgptcip/view","Open PDF")</f>
        <v/>
      </c>
      <c r="G1865" t="inlineStr">
        <is>
          <t>cmm55w57p0004cuisfrtpqly8</t>
        </is>
      </c>
      <c r="H1865" t="inlineStr">
        <is>
          <t>Beslutsvillkor</t>
        </is>
      </c>
      <c r="I1865" t="inlineStr">
        <is>
          <t>Ytkonstruktion</t>
        </is>
      </c>
      <c r="J1865" t="inlineStr">
        <is>
          <t>Tat yta</t>
        </is>
      </c>
      <c r="K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65" t="inlineStr">
        <is>
          <t>BOR</t>
        </is>
      </c>
      <c r="N1865" t="inlineStr"/>
      <c r="O1865" t="inlineStr">
        <is>
          <t>2024-08-05</t>
        </is>
      </c>
      <c r="P1865" t="inlineStr"/>
      <c r="Q1865" t="inlineStr"/>
      <c r="R1865" t="inlineStr">
        <is>
          <t>Vid mellanlagring av avfall</t>
        </is>
      </c>
      <c r="S1865" t="inlineStr"/>
      <c r="T1865" t="inlineStr">
        <is>
          <t>09 2024</t>
        </is>
      </c>
      <c r="U1865" t="inlineStr"/>
      <c r="V1865" t="inlineStr"/>
      <c r="W1865" t="inlineStr">
        <is>
          <t>Ja</t>
        </is>
      </c>
      <c r="X1865" t="inlineStr">
        <is>
          <t>Nej</t>
        </is>
      </c>
      <c r="Y1865" t="inlineStr">
        <is>
          <t>Nej</t>
        </is>
      </c>
      <c r="Z1865" t="inlineStr">
        <is>
          <t>Nej</t>
        </is>
      </c>
      <c r="AA1865" t="n">
        <v>5</v>
      </c>
      <c r="AB1865" t="inlineStr">
        <is>
          <t>Teknisk beskrivning av platta</t>
        </is>
      </c>
      <c r="AC1865" t="inlineStr">
        <is>
          <t>Teknisk ritning platta</t>
        </is>
      </c>
      <c r="AD1865" t="inlineStr">
        <is>
          <t>Nej</t>
        </is>
      </c>
      <c r="AE1865" t="inlineStr">
        <is>
          <t>Nej</t>
        </is>
      </c>
      <c r="AF1865" t="inlineStr">
        <is>
          <t>Ej behandlad</t>
        </is>
      </c>
      <c r="AG1865" t="inlineStr">
        <is>
          <t>AUTO_GENERERAD. Verifiera citat mot kallfil.</t>
        </is>
      </c>
      <c r="AH1865" t="inlineStr">
        <is>
          <t>MEDIUM</t>
        </is>
      </c>
      <c r="AI1865" t="inlineStr">
        <is>
          <t>AUTO</t>
        </is>
      </c>
      <c r="AJ1865" t="inlineStr">
        <is>
          <t>Nej</t>
        </is>
      </c>
      <c r="AK1865" t="inlineStr"/>
      <c r="AL1865" t="inlineStr"/>
      <c r="AM1865" t="inlineStr"/>
      <c r="AN1865" t="inlineStr"/>
      <c r="AO1865" t="inlineStr">
        <is>
          <t>cmm4yunuo012hcuqwci7zdqkj</t>
        </is>
      </c>
      <c r="AP1865" t="inlineStr">
        <is>
          <t>http://localhost:8787/api/admin/requirements/documents/cmm4yunuo012hcuqwci7zdqkj/view</t>
        </is>
      </c>
      <c r="AQ1865">
        <f>HYPERLÄNK("http://localhost:8787/api/admin/requirements/documents/cmm4yunuo012hcuqwci7zdqkj/view";"Öppna PDF")</f>
        <v/>
      </c>
      <c r="AR1865">
        <f>HYPERLINK("http://localhost:8787/api/admin/requirements/documents/cmm4yunuo012hcuqwci7zdqkj/view","Open PDF")</f>
        <v/>
      </c>
      <c r="AS1865" t="inlineStr">
        <is>
          <t>cmm55w57p0004cuisfrtpqly8</t>
        </is>
      </c>
      <c r="AT1865" t="inlineStr">
        <is>
          <t>cmm4xvu980000cuh4vj0usz09</t>
        </is>
      </c>
      <c r="AU1865" t="inlineStr"/>
      <c r="AV1865" t="inlineStr">
        <is>
          <t>Kommun</t>
        </is>
      </c>
      <c r="AW1865" t="inlineStr"/>
      <c r="AX1865" t="inlineStr">
        <is>
          <t>2025-02</t>
        </is>
      </c>
      <c r="AY1865" t="inlineStr">
        <is>
          <t>Komplettering</t>
        </is>
      </c>
      <c r="AZ1865" t="inlineStr">
        <is>
          <t>2026-02-03</t>
        </is>
      </c>
      <c r="BA1865" t="inlineStr">
        <is>
          <t>E-post med kompletterande svar från Swerock.pdf</t>
        </is>
      </c>
      <c r="BB1865" t="inlineStr">
        <is>
          <t>Sv: till registrator</t>
        </is>
      </c>
      <c r="BC1865" t="inlineStr">
        <is>
          <t>AUTO</t>
        </is>
      </c>
      <c r="BD1865" t="inlineStr"/>
      <c r="BE1865" t="inlineStr"/>
      <c r="BF1865" t="inlineStr">
        <is>
          <t>AUTO_GENERERAD. Bekrafta metadata mot kallfil.</t>
        </is>
      </c>
      <c r="BG1865">
        <f>HYPERLINK("C:\Users\jimmy\Desktop\Examens arbete\Kod\Ny mapp\remix_-copy-of-miljöbeslut.se-portal\E-post med kompletterande svar från Swerock.pdf", "Öppna PDF")</f>
        <v/>
      </c>
    </row>
    <row r="1866">
      <c r="A1866" t="inlineStr">
        <is>
          <t>KRAV-AUTO-001865</t>
        </is>
      </c>
      <c r="B1866" t="inlineStr">
        <is>
          <t>ADMIN-INDEX-2026-02-27-00000000125C043F57453246863FE664CAFE6A3F0700950291EA24F0614FB6ACEDB12BF0E31D00000000010C0000950291EA24F0614FB6ACEDB12BF0E31D00002087AF090000</t>
        </is>
      </c>
      <c r="C1866" t="inlineStr">
        <is>
          <t>cmm4yunt5010tcuqws6o4csmy</t>
        </is>
      </c>
      <c r="D1866" t="inlineStr">
        <is>
          <t>http://localhost:8787/api/admin/requirements/documents/cmm4yunt5010tcuqws6o4csmy/view</t>
        </is>
      </c>
      <c r="E1866">
        <f>HYPERLÄNK("http://localhost:8787/api/admin/requirements/documents/cmm4yunt5010tcuqws6o4csmy/view";"Öppna PDF")</f>
        <v/>
      </c>
      <c r="F1866">
        <f>HYPERLINK("http://localhost:8787/api/admin/requirements/documents/cmm4yunt5010tcuqws6o4csmy/view","Open PDF")</f>
        <v/>
      </c>
      <c r="G1866" t="inlineStr">
        <is>
          <t>cmm55w57p0004cuisfrtpqly8</t>
        </is>
      </c>
      <c r="H1866" t="inlineStr">
        <is>
          <t>Beslutsvillkor</t>
        </is>
      </c>
      <c r="I1866" t="inlineStr">
        <is>
          <t>DriftEgenkontroll</t>
        </is>
      </c>
      <c r="J1866" t="inlineStr">
        <is>
          <t>Journalforing</t>
        </is>
      </c>
      <c r="K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866" t="inlineStr">
        <is>
          <t>BOR</t>
        </is>
      </c>
      <c r="N1866" t="inlineStr"/>
      <c r="O1866" t="inlineStr">
        <is>
          <t>2024-08-27</t>
        </is>
      </c>
      <c r="P1866" t="inlineStr"/>
      <c r="Q1866" t="inlineStr"/>
      <c r="R1866" t="inlineStr">
        <is>
          <t>Lopande drift</t>
        </is>
      </c>
      <c r="S1866" t="inlineStr"/>
      <c r="T1866" t="inlineStr">
        <is>
          <t>30 2024</t>
        </is>
      </c>
      <c r="U1866" t="inlineStr"/>
      <c r="V1866" t="inlineStr"/>
      <c r="W1866" t="inlineStr">
        <is>
          <t>Nej</t>
        </is>
      </c>
      <c r="X1866" t="inlineStr">
        <is>
          <t>Nej</t>
        </is>
      </c>
      <c r="Y1866" t="inlineStr">
        <is>
          <t>Ja</t>
        </is>
      </c>
      <c r="Z1866" t="inlineStr">
        <is>
          <t>Nej</t>
        </is>
      </c>
      <c r="AA1866" t="n">
        <v>7</v>
      </c>
      <c r="AB1866" t="inlineStr">
        <is>
          <t>Egenkontrollrutiner</t>
        </is>
      </c>
      <c r="AC1866" t="inlineStr">
        <is>
          <t>Egenkontrollprogram</t>
        </is>
      </c>
      <c r="AD1866" t="inlineStr">
        <is>
          <t>Nej</t>
        </is>
      </c>
      <c r="AE1866" t="inlineStr">
        <is>
          <t>Nej</t>
        </is>
      </c>
      <c r="AF1866" t="inlineStr">
        <is>
          <t>Ej behandlad</t>
        </is>
      </c>
      <c r="AG1866" t="inlineStr">
        <is>
          <t>AUTO_GENERERAD. Verifiera citat mot kallfil.</t>
        </is>
      </c>
      <c r="AH1866" t="inlineStr">
        <is>
          <t>MEDIUM</t>
        </is>
      </c>
      <c r="AI1866" t="inlineStr">
        <is>
          <t>AUTO</t>
        </is>
      </c>
      <c r="AJ1866" t="inlineStr">
        <is>
          <t>Nej</t>
        </is>
      </c>
      <c r="AK1866" t="inlineStr"/>
      <c r="AL1866" t="inlineStr"/>
      <c r="AM1866" t="inlineStr"/>
      <c r="AN1866" t="inlineStr"/>
      <c r="AO1866" t="inlineStr">
        <is>
          <t>cmm4yunuo012hcuqwci7zdqkj</t>
        </is>
      </c>
      <c r="AP1866" t="inlineStr">
        <is>
          <t>http://localhost:8787/api/admin/requirements/documents/cmm4yunuo012hcuqwci7zdqkj/view</t>
        </is>
      </c>
      <c r="AQ1866">
        <f>HYPERLÄNK("http://localhost:8787/api/admin/requirements/documents/cmm4yunuo012hcuqwci7zdqkj/view";"Öppna PDF")</f>
        <v/>
      </c>
      <c r="AR1866">
        <f>HYPERLINK("http://localhost:8787/api/admin/requirements/documents/cmm4yunuo012hcuqwci7zdqkj/view","Open PDF")</f>
        <v/>
      </c>
      <c r="AS1866" t="inlineStr">
        <is>
          <t>cmm55w57p0004cuisfrtpqly8</t>
        </is>
      </c>
      <c r="AT1866" t="inlineStr">
        <is>
          <t>cmm4xvu980000cuh4vj0usz09</t>
        </is>
      </c>
      <c r="AU1866" t="inlineStr"/>
      <c r="AV1866" t="inlineStr">
        <is>
          <t>Kommun</t>
        </is>
      </c>
      <c r="AW1866" t="inlineStr"/>
      <c r="AX1866" t="inlineStr">
        <is>
          <t>2025-02</t>
        </is>
      </c>
      <c r="AY1866" t="inlineStr">
        <is>
          <t>Komplettering</t>
        </is>
      </c>
      <c r="AZ1866" t="inlineStr">
        <is>
          <t>2026-02-03</t>
        </is>
      </c>
      <c r="BA1866" t="inlineStr">
        <is>
          <t>E-post med kompletterande svar från Swerock.pdf</t>
        </is>
      </c>
      <c r="BB1866" t="inlineStr">
        <is>
          <t>Sv: till registrator</t>
        </is>
      </c>
      <c r="BC1866" t="inlineStr">
        <is>
          <t>AUTO</t>
        </is>
      </c>
      <c r="BD1866" t="inlineStr"/>
      <c r="BE1866" t="inlineStr"/>
      <c r="BF1866" t="inlineStr">
        <is>
          <t>AUTO_GENERERAD. Bekrafta metadata mot kallfil.</t>
        </is>
      </c>
      <c r="BG1866">
        <f>HYPERLINK("C:\Users\jimmy\Desktop\Examens arbete\Kod\Ny mapp\remix_-copy-of-miljöbeslut.se-portal\E-post med kompletterande svar från Swerock.pdf", "Öppna PDF")</f>
        <v/>
      </c>
    </row>
    <row r="1867">
      <c r="A1867" t="inlineStr">
        <is>
          <t>KRAV-AUTO-001866</t>
        </is>
      </c>
      <c r="B1867" t="inlineStr">
        <is>
          <t>ADMIN-INDEX-2026-02-27-00000000125C043F57453246863FE664CAFE6A3F0700950291EA24F0614FB6ACEDB12BF0E31D00000000010C0000950291EA24F0614FB6ACEDB12BF0E31D00002087AF090000</t>
        </is>
      </c>
      <c r="C1867" t="inlineStr">
        <is>
          <t>cmm4yunt5010tcuqws6o4csmy</t>
        </is>
      </c>
      <c r="D1867" t="inlineStr">
        <is>
          <t>http://localhost:8787/api/admin/requirements/documents/cmm4yunt5010tcuqws6o4csmy/view</t>
        </is>
      </c>
      <c r="E1867">
        <f>HYPERLÄNK("http://localhost:8787/api/admin/requirements/documents/cmm4yunt5010tcuqws6o4csmy/view";"Öppna PDF")</f>
        <v/>
      </c>
      <c r="F1867">
        <f>HYPERLINK("http://localhost:8787/api/admin/requirements/documents/cmm4yunt5010tcuqws6o4csmy/view","Open PDF")</f>
        <v/>
      </c>
      <c r="G1867" t="inlineStr">
        <is>
          <t>cmm55w57p0004cuisfrtpqly8</t>
        </is>
      </c>
      <c r="H1867" t="inlineStr">
        <is>
          <t>Beslutsvillkor</t>
        </is>
      </c>
      <c r="I1867" t="inlineStr">
        <is>
          <t>DriftEgenkontroll</t>
        </is>
      </c>
      <c r="J1867" t="inlineStr">
        <is>
          <t>Journalforing</t>
        </is>
      </c>
      <c r="K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867" t="inlineStr">
        <is>
          <t>BOR</t>
        </is>
      </c>
      <c r="N1867" t="inlineStr"/>
      <c r="O1867" t="inlineStr">
        <is>
          <t>2024-08-27</t>
        </is>
      </c>
      <c r="P1867" t="inlineStr"/>
      <c r="Q1867" t="inlineStr"/>
      <c r="R1867" t="inlineStr">
        <is>
          <t>Lopande drift</t>
        </is>
      </c>
      <c r="S1867" t="inlineStr"/>
      <c r="T1867" t="inlineStr">
        <is>
          <t>171455</t>
        </is>
      </c>
      <c r="U1867" t="inlineStr"/>
      <c r="V1867" t="inlineStr"/>
      <c r="W1867" t="inlineStr">
        <is>
          <t>Nej</t>
        </is>
      </c>
      <c r="X1867" t="inlineStr">
        <is>
          <t>Nej</t>
        </is>
      </c>
      <c r="Y1867" t="inlineStr">
        <is>
          <t>Ja</t>
        </is>
      </c>
      <c r="Z1867" t="inlineStr">
        <is>
          <t>Nej</t>
        </is>
      </c>
      <c r="AA1867" t="n">
        <v>7</v>
      </c>
      <c r="AB1867" t="inlineStr">
        <is>
          <t>Egenkontrollrutiner</t>
        </is>
      </c>
      <c r="AC1867" t="inlineStr">
        <is>
          <t>Egenkontrollprogram</t>
        </is>
      </c>
      <c r="AD1867" t="inlineStr">
        <is>
          <t>Nej</t>
        </is>
      </c>
      <c r="AE1867" t="inlineStr">
        <is>
          <t>Nej</t>
        </is>
      </c>
      <c r="AF1867" t="inlineStr">
        <is>
          <t>Ej behandlad</t>
        </is>
      </c>
      <c r="AG1867" t="inlineStr">
        <is>
          <t>AUTO_GENERERAD. Verifiera citat mot kallfil.</t>
        </is>
      </c>
      <c r="AH1867" t="inlineStr">
        <is>
          <t>MEDIUM</t>
        </is>
      </c>
      <c r="AI1867" t="inlineStr">
        <is>
          <t>AUTO</t>
        </is>
      </c>
      <c r="AJ1867" t="inlineStr">
        <is>
          <t>Nej</t>
        </is>
      </c>
      <c r="AK1867" t="inlineStr"/>
      <c r="AL1867" t="inlineStr"/>
      <c r="AM1867" t="inlineStr"/>
      <c r="AN1867" t="inlineStr"/>
      <c r="AO1867" t="inlineStr">
        <is>
          <t>cmm4yunuo012hcuqwci7zdqkj</t>
        </is>
      </c>
      <c r="AP1867" t="inlineStr">
        <is>
          <t>http://localhost:8787/api/admin/requirements/documents/cmm4yunuo012hcuqwci7zdqkj/view</t>
        </is>
      </c>
      <c r="AQ1867">
        <f>HYPERLÄNK("http://localhost:8787/api/admin/requirements/documents/cmm4yunuo012hcuqwci7zdqkj/view";"Öppna PDF")</f>
        <v/>
      </c>
      <c r="AR1867">
        <f>HYPERLINK("http://localhost:8787/api/admin/requirements/documents/cmm4yunuo012hcuqwci7zdqkj/view","Open PDF")</f>
        <v/>
      </c>
      <c r="AS1867" t="inlineStr">
        <is>
          <t>cmm55w57p0004cuisfrtpqly8</t>
        </is>
      </c>
      <c r="AT1867" t="inlineStr">
        <is>
          <t>cmm4xvu980000cuh4vj0usz09</t>
        </is>
      </c>
      <c r="AU1867" t="inlineStr"/>
      <c r="AV1867" t="inlineStr">
        <is>
          <t>Kommun</t>
        </is>
      </c>
      <c r="AW1867" t="inlineStr"/>
      <c r="AX1867" t="inlineStr">
        <is>
          <t>2025-02</t>
        </is>
      </c>
      <c r="AY1867" t="inlineStr">
        <is>
          <t>Komplettering</t>
        </is>
      </c>
      <c r="AZ1867" t="inlineStr">
        <is>
          <t>2026-02-03</t>
        </is>
      </c>
      <c r="BA1867" t="inlineStr">
        <is>
          <t>E-post med kompletterande svar från Swerock.pdf</t>
        </is>
      </c>
      <c r="BB1867" t="inlineStr">
        <is>
          <t>Sv: till registrator</t>
        </is>
      </c>
      <c r="BC1867" t="inlineStr">
        <is>
          <t>AUTO</t>
        </is>
      </c>
      <c r="BD1867" t="inlineStr"/>
      <c r="BE1867" t="inlineStr"/>
      <c r="BF1867" t="inlineStr">
        <is>
          <t>AUTO_GENERERAD. Bekrafta metadata mot kallfil.</t>
        </is>
      </c>
      <c r="BG1867">
        <f>HYPERLINK("C:\Users\jimmy\Desktop\Examens arbete\Kod\Ny mapp\remix_-copy-of-miljöbeslut.se-portal\E-post med kompletterande svar från Swerock.pdf", "Öppna PDF")</f>
        <v/>
      </c>
    </row>
    <row r="1868">
      <c r="A1868" t="inlineStr">
        <is>
          <t>KRAV-AUTO-001867</t>
        </is>
      </c>
      <c r="B1868" t="inlineStr">
        <is>
          <t>ADMIN-INDEX-2026-02-27-00000000125C043F57453246863FE664CAFE6A3F0700950291EA24F0614FB6ACEDB12BF0E31D00000000010C0000950291EA24F0614FB6ACEDB12BF0E31D00002087AF0A0000</t>
        </is>
      </c>
      <c r="C1868" t="inlineStr">
        <is>
          <t>cmm4yunt0010ncuqwxpd0eacl</t>
        </is>
      </c>
      <c r="D1868" t="inlineStr">
        <is>
          <t>http://localhost:8787/api/admin/requirements/documents/cmm4yunt0010ncuqwxpd0eacl/view</t>
        </is>
      </c>
      <c r="E1868">
        <f>HYPERLÄNK("http://localhost:8787/api/admin/requirements/documents/cmm4yunt0010ncuqwxpd0eacl/view";"Öppna PDF")</f>
        <v/>
      </c>
      <c r="F1868">
        <f>HYPERLINK("http://localhost:8787/api/admin/requirements/documents/cmm4yunt0010ncuqwxpd0eacl/view","Open PDF")</f>
        <v/>
      </c>
      <c r="G1868" t="inlineStr">
        <is>
          <t>cmm55w57p0004cuisfrtpqly8</t>
        </is>
      </c>
      <c r="H1868" t="inlineStr">
        <is>
          <t>Kompletteringskrav</t>
        </is>
      </c>
      <c r="I1868" t="inlineStr">
        <is>
          <t>Riskhantering</t>
        </is>
      </c>
      <c r="J1868" t="inlineStr">
        <is>
          <t>Riskkontroll</t>
        </is>
      </c>
      <c r="K1868" t="inlineStr">
        <is>
          <t>Och vad händer vid snösmältning eller regn, det borde vara stor risk att mängder av krossat material förs ut till Klingerfjärden.</t>
        </is>
      </c>
      <c r="L1868" t="inlineStr">
        <is>
          <t>Och vad händer vid snösmältning eller regn, det borde vara stor risk att mängder av krossat material förs ut till Klingerfjärden.</t>
        </is>
      </c>
      <c r="M1868" t="inlineStr">
        <is>
          <t>BOR</t>
        </is>
      </c>
      <c r="N1868" t="inlineStr"/>
      <c r="O1868" t="inlineStr"/>
      <c r="P1868" t="inlineStr"/>
      <c r="Q1868" t="inlineStr"/>
      <c r="R1868" t="inlineStr">
        <is>
          <t>Vid risk for incident</t>
        </is>
      </c>
      <c r="S1868" t="inlineStr"/>
      <c r="T1868" t="inlineStr">
        <is>
          <t>2025 16</t>
        </is>
      </c>
      <c r="U1868" t="inlineStr"/>
      <c r="V1868" t="inlineStr"/>
      <c r="W1868" t="inlineStr">
        <is>
          <t>Nej</t>
        </is>
      </c>
      <c r="X1868" t="inlineStr">
        <is>
          <t>Nej</t>
        </is>
      </c>
      <c r="Y1868" t="inlineStr">
        <is>
          <t>Ja</t>
        </is>
      </c>
      <c r="Z1868" t="inlineStr">
        <is>
          <t>Ja</t>
        </is>
      </c>
      <c r="AA1868" t="n">
        <v>8</v>
      </c>
      <c r="AB1868" t="inlineStr">
        <is>
          <t>Riskhantering</t>
        </is>
      </c>
      <c r="AC1868" t="inlineStr">
        <is>
          <t>Risk-PM</t>
        </is>
      </c>
      <c r="AD1868" t="inlineStr">
        <is>
          <t>Nej</t>
        </is>
      </c>
      <c r="AE1868" t="inlineStr">
        <is>
          <t>Nej</t>
        </is>
      </c>
      <c r="AF1868" t="inlineStr">
        <is>
          <t>Ej behandlad</t>
        </is>
      </c>
      <c r="AG1868" t="inlineStr">
        <is>
          <t>AUTO_GENERERAD. Verifiera citat mot kallfil.</t>
        </is>
      </c>
      <c r="AH1868" t="inlineStr">
        <is>
          <t>MEDIUM</t>
        </is>
      </c>
      <c r="AI1868" t="inlineStr">
        <is>
          <t>AUTO</t>
        </is>
      </c>
      <c r="AJ1868" t="inlineStr">
        <is>
          <t>Nej</t>
        </is>
      </c>
      <c r="AK1868" t="inlineStr"/>
      <c r="AL1868" t="inlineStr"/>
      <c r="AM1868" t="inlineStr"/>
      <c r="AN1868" t="inlineStr"/>
      <c r="AO1868" t="inlineStr">
        <is>
          <t>cmm4yunt0010ncuqwxpd0eacl</t>
        </is>
      </c>
      <c r="AP1868" t="inlineStr">
        <is>
          <t>http://localhost:8787/api/admin/requirements/documents/cmm4yunt0010ncuqwxpd0eacl/view</t>
        </is>
      </c>
      <c r="AQ1868">
        <f>HYPERLÄNK("http://localhost:8787/api/admin/requirements/documents/cmm4yunt0010ncuqwxpd0eacl/view";"Öppna PDF")</f>
        <v/>
      </c>
      <c r="AR1868">
        <f>HYPERLINK("http://localhost:8787/api/admin/requirements/documents/cmm4yunt0010ncuqwxpd0eacl/view","Open PDF")</f>
        <v/>
      </c>
      <c r="AS1868" t="inlineStr">
        <is>
          <t>cmm55w57p0004cuisfrtpqly8</t>
        </is>
      </c>
      <c r="AT1868" t="inlineStr">
        <is>
          <t>cmm4xvu980000cuh4vj0usz09</t>
        </is>
      </c>
      <c r="AU1868" t="inlineStr"/>
      <c r="AV1868" t="inlineStr">
        <is>
          <t>Kommun</t>
        </is>
      </c>
      <c r="AW1868" t="inlineStr"/>
      <c r="AX1868" t="inlineStr">
        <is>
          <t>2025-02</t>
        </is>
      </c>
      <c r="AY1868" t="inlineStr">
        <is>
          <t>Komplettering</t>
        </is>
      </c>
      <c r="AZ1868" t="inlineStr">
        <is>
          <t>2026-02-03</t>
        </is>
      </c>
      <c r="BA1868" t="inlineStr">
        <is>
          <t>E-post med kompletterande svar från Swerock.pdf</t>
        </is>
      </c>
      <c r="BB1868" t="inlineStr">
        <is>
          <t>Sv: till registrator</t>
        </is>
      </c>
      <c r="BC1868" t="inlineStr">
        <is>
          <t>AUTO</t>
        </is>
      </c>
      <c r="BD1868" t="inlineStr"/>
      <c r="BE1868" t="inlineStr"/>
      <c r="BF1868" t="inlineStr">
        <is>
          <t>AUTO_GENERERAD. Bekrafta metadata mot kallfil.</t>
        </is>
      </c>
      <c r="BG1868">
        <f>HYPERLINK("C:\Users\jimmy\Desktop\Examens arbete\Kod\Ny mapp\remix_-copy-of-miljöbeslut.se-portal\E-post med kompletterande svar från Swerock.pdf", "Öppna PDF")</f>
        <v/>
      </c>
    </row>
    <row r="1869">
      <c r="A1869" t="inlineStr">
        <is>
          <t>KRAV-AUTO-001868</t>
        </is>
      </c>
      <c r="B1869" t="inlineStr">
        <is>
          <t>ADMIN-INDEX-2026-02-27-00000000125C043F57453246863FE664CAFE6A3F0700950291EA24F0614FB6ACEDB12BF0E31D00000000010C0000950291EA24F0614FB6ACEDB12BF0E31D00002087AF0A0000</t>
        </is>
      </c>
      <c r="C1869" t="inlineStr">
        <is>
          <t>cmm4yunt0010ncuqwxpd0eacl</t>
        </is>
      </c>
      <c r="D1869" t="inlineStr">
        <is>
          <t>http://localhost:8787/api/admin/requirements/documents/cmm4yunt0010ncuqwxpd0eacl/view</t>
        </is>
      </c>
      <c r="E1869">
        <f>HYPERLÄNK("http://localhost:8787/api/admin/requirements/documents/cmm4yunt0010ncuqwxpd0eacl/view";"Öppna PDF")</f>
        <v/>
      </c>
      <c r="F1869">
        <f>HYPERLINK("http://localhost:8787/api/admin/requirements/documents/cmm4yunt0010ncuqwxpd0eacl/view","Open PDF")</f>
        <v/>
      </c>
      <c r="G1869" t="inlineStr">
        <is>
          <t>cmm55w57p0004cuisfrtpqly8</t>
        </is>
      </c>
      <c r="H1869" t="inlineStr">
        <is>
          <t>Kompletteringskrav</t>
        </is>
      </c>
      <c r="I1869" t="inlineStr">
        <is>
          <t>Riskhantering</t>
        </is>
      </c>
      <c r="J1869" t="inlineStr">
        <is>
          <t>Riskkontroll</t>
        </is>
      </c>
      <c r="K1869" t="inlineStr">
        <is>
          <t>Och vad händer vid snösmältning eller regn, det -- 2 of 3 -- borde vara stor risk att mängder av krossat material förs ut till Klingerfjärden.</t>
        </is>
      </c>
      <c r="L1869" t="inlineStr">
        <is>
          <t>Och vad händer vid snösmältning eller regn, det -- 2 of 3 -- borde vara stor risk att mängder av krossat material förs ut till Klingerfjärden.</t>
        </is>
      </c>
      <c r="M1869" t="inlineStr">
        <is>
          <t>BOR</t>
        </is>
      </c>
      <c r="N1869" t="inlineStr"/>
      <c r="O1869" t="inlineStr"/>
      <c r="P1869" t="inlineStr"/>
      <c r="Q1869" t="inlineStr"/>
      <c r="R1869" t="inlineStr">
        <is>
          <t>Vid risk for incident</t>
        </is>
      </c>
      <c r="S1869" t="inlineStr"/>
      <c r="T1869" t="inlineStr">
        <is>
          <t>2025 16</t>
        </is>
      </c>
      <c r="U1869" t="inlineStr"/>
      <c r="V1869" t="inlineStr"/>
      <c r="W1869" t="inlineStr">
        <is>
          <t>Nej</t>
        </is>
      </c>
      <c r="X1869" t="inlineStr">
        <is>
          <t>Nej</t>
        </is>
      </c>
      <c r="Y1869" t="inlineStr">
        <is>
          <t>Ja</t>
        </is>
      </c>
      <c r="Z1869" t="inlineStr">
        <is>
          <t>Ja</t>
        </is>
      </c>
      <c r="AA1869" t="n">
        <v>8</v>
      </c>
      <c r="AB1869" t="inlineStr">
        <is>
          <t>Riskhantering</t>
        </is>
      </c>
      <c r="AC1869" t="inlineStr">
        <is>
          <t>Risk-PM</t>
        </is>
      </c>
      <c r="AD1869" t="inlineStr">
        <is>
          <t>Nej</t>
        </is>
      </c>
      <c r="AE1869" t="inlineStr">
        <is>
          <t>Nej</t>
        </is>
      </c>
      <c r="AF1869" t="inlineStr">
        <is>
          <t>Ej behandlad</t>
        </is>
      </c>
      <c r="AG1869" t="inlineStr">
        <is>
          <t>AUTO_GENERERAD. Verifiera citat mot kallfil.</t>
        </is>
      </c>
      <c r="AH1869" t="inlineStr">
        <is>
          <t>MEDIUM</t>
        </is>
      </c>
      <c r="AI1869" t="inlineStr">
        <is>
          <t>AUTO</t>
        </is>
      </c>
      <c r="AJ1869" t="inlineStr">
        <is>
          <t>Nej</t>
        </is>
      </c>
      <c r="AK1869" t="inlineStr"/>
      <c r="AL1869" t="inlineStr"/>
      <c r="AM1869" t="inlineStr"/>
      <c r="AN1869" t="inlineStr"/>
      <c r="AO1869" t="inlineStr">
        <is>
          <t>cmm4yunt0010ncuqwxpd0eacl</t>
        </is>
      </c>
      <c r="AP1869" t="inlineStr">
        <is>
          <t>http://localhost:8787/api/admin/requirements/documents/cmm4yunt0010ncuqwxpd0eacl/view</t>
        </is>
      </c>
      <c r="AQ1869">
        <f>HYPERLÄNK("http://localhost:8787/api/admin/requirements/documents/cmm4yunt0010ncuqwxpd0eacl/view";"Öppna PDF")</f>
        <v/>
      </c>
      <c r="AR1869">
        <f>HYPERLINK("http://localhost:8787/api/admin/requirements/documents/cmm4yunt0010ncuqwxpd0eacl/view","Open PDF")</f>
        <v/>
      </c>
      <c r="AS1869" t="inlineStr">
        <is>
          <t>cmm55w57p0004cuisfrtpqly8</t>
        </is>
      </c>
      <c r="AT1869" t="inlineStr">
        <is>
          <t>cmm4xvu980000cuh4vj0usz09</t>
        </is>
      </c>
      <c r="AU1869" t="inlineStr"/>
      <c r="AV1869" t="inlineStr">
        <is>
          <t>Kommun</t>
        </is>
      </c>
      <c r="AW1869" t="inlineStr"/>
      <c r="AX1869" t="inlineStr">
        <is>
          <t>2025-02</t>
        </is>
      </c>
      <c r="AY1869" t="inlineStr">
        <is>
          <t>Komplettering</t>
        </is>
      </c>
      <c r="AZ1869" t="inlineStr">
        <is>
          <t>2026-02-03</t>
        </is>
      </c>
      <c r="BA1869" t="inlineStr">
        <is>
          <t>E-post med kompletterande svar från Swerock.pdf</t>
        </is>
      </c>
      <c r="BB1869" t="inlineStr">
        <is>
          <t>Sv: till registrator</t>
        </is>
      </c>
      <c r="BC1869" t="inlineStr">
        <is>
          <t>AUTO</t>
        </is>
      </c>
      <c r="BD1869" t="inlineStr"/>
      <c r="BE1869" t="inlineStr"/>
      <c r="BF1869" t="inlineStr">
        <is>
          <t>AUTO_GENERERAD. Bekrafta metadata mot kallfil.</t>
        </is>
      </c>
      <c r="BG1869">
        <f>HYPERLINK("C:\Users\jimmy\Desktop\Examens arbete\Kod\Ny mapp\remix_-copy-of-miljöbeslut.se-portal\E-post med kompletterande svar från Swerock.pdf", "Öppna PDF")</f>
        <v/>
      </c>
    </row>
    <row r="1870">
      <c r="A1870" t="inlineStr">
        <is>
          <t>KRAV-AUTO-001869</t>
        </is>
      </c>
      <c r="B1870" t="inlineStr">
        <is>
          <t>ADMIN-INDEX-2026-02-27-00000000125C043F57453246863FE664CAFE6A3F0700950291EA24F0614FB6ACEDB12BF0E31D00000000010C0000950291EA24F0614FB6ACEDB12BF0E31D00002087AF0A0000</t>
        </is>
      </c>
      <c r="C1870" t="inlineStr">
        <is>
          <t>cmm4yunt0010ncuqwxpd0eacl</t>
        </is>
      </c>
      <c r="D1870" t="inlineStr">
        <is>
          <t>http://localhost:8787/api/admin/requirements/documents/cmm4yunt0010ncuqwxpd0eacl/view</t>
        </is>
      </c>
      <c r="E1870">
        <f>HYPERLÄNK("http://localhost:8787/api/admin/requirements/documents/cmm4yunt0010ncuqwxpd0eacl/view";"Öppna PDF")</f>
        <v/>
      </c>
      <c r="F1870">
        <f>HYPERLINK("http://localhost:8787/api/admin/requirements/documents/cmm4yunt0010ncuqwxpd0eacl/view","Open PDF")</f>
        <v/>
      </c>
      <c r="G1870" t="inlineStr">
        <is>
          <t>cmm55w57p0004cuisfrtpqly8</t>
        </is>
      </c>
      <c r="H1870" t="inlineStr">
        <is>
          <t>Kompletteringskrav</t>
        </is>
      </c>
      <c r="I1870" t="inlineStr">
        <is>
          <t>LagringsvolymTid</t>
        </is>
      </c>
      <c r="J1870" t="inlineStr">
        <is>
          <t>Maxmangd</t>
        </is>
      </c>
      <c r="K1870" t="inlineStr">
        <is>
          <t>Om det ligger betong i diket kommer det städas bort, då städas det.</t>
        </is>
      </c>
      <c r="L1870" t="inlineStr">
        <is>
          <t>Om det ligger betong i diket kommer det städas bort, då städas det.</t>
        </is>
      </c>
      <c r="M1870" t="inlineStr">
        <is>
          <t>BOR</t>
        </is>
      </c>
      <c r="N1870" t="inlineStr"/>
      <c r="O1870" t="inlineStr"/>
      <c r="P1870" t="inlineStr"/>
      <c r="Q1870" t="inlineStr"/>
      <c r="R1870" t="inlineStr">
        <is>
          <t>Alltid</t>
        </is>
      </c>
      <c r="S1870" t="inlineStr"/>
      <c r="T1870" t="inlineStr">
        <is>
          <t>2025 16</t>
        </is>
      </c>
      <c r="U1870" t="inlineStr"/>
      <c r="V1870" t="inlineStr"/>
      <c r="W1870" t="inlineStr">
        <is>
          <t>Nej</t>
        </is>
      </c>
      <c r="X1870" t="inlineStr">
        <is>
          <t>Nej</t>
        </is>
      </c>
      <c r="Y1870" t="inlineStr">
        <is>
          <t>Nej</t>
        </is>
      </c>
      <c r="Z1870" t="inlineStr">
        <is>
          <t>Nej</t>
        </is>
      </c>
      <c r="AA1870" t="n">
        <v>4</v>
      </c>
      <c r="AB1870" t="inlineStr">
        <is>
          <t>Avfallsmangder och lagringstid</t>
        </is>
      </c>
      <c r="AC1870" t="inlineStr">
        <is>
          <t>Avfallsforteckning</t>
        </is>
      </c>
      <c r="AD1870" t="inlineStr">
        <is>
          <t>Nej</t>
        </is>
      </c>
      <c r="AE1870" t="inlineStr">
        <is>
          <t>Nej</t>
        </is>
      </c>
      <c r="AF1870" t="inlineStr">
        <is>
          <t>Ej behandlad</t>
        </is>
      </c>
      <c r="AG1870" t="inlineStr">
        <is>
          <t>AUTO_GENERERAD. Verifiera citat mot kallfil.</t>
        </is>
      </c>
      <c r="AH1870" t="inlineStr">
        <is>
          <t>MEDIUM</t>
        </is>
      </c>
      <c r="AI1870" t="inlineStr">
        <is>
          <t>AUTO</t>
        </is>
      </c>
      <c r="AJ1870" t="inlineStr">
        <is>
          <t>Nej</t>
        </is>
      </c>
      <c r="AK1870" t="inlineStr"/>
      <c r="AL1870" t="inlineStr"/>
      <c r="AM1870" t="inlineStr"/>
      <c r="AN1870" t="inlineStr"/>
      <c r="AO1870" t="inlineStr">
        <is>
          <t>cmm4yunt0010ncuqwxpd0eacl</t>
        </is>
      </c>
      <c r="AP1870" t="inlineStr">
        <is>
          <t>http://localhost:8787/api/admin/requirements/documents/cmm4yunt0010ncuqwxpd0eacl/view</t>
        </is>
      </c>
      <c r="AQ1870">
        <f>HYPERLÄNK("http://localhost:8787/api/admin/requirements/documents/cmm4yunt0010ncuqwxpd0eacl/view";"Öppna PDF")</f>
        <v/>
      </c>
      <c r="AR1870">
        <f>HYPERLINK("http://localhost:8787/api/admin/requirements/documents/cmm4yunt0010ncuqwxpd0eacl/view","Open PDF")</f>
        <v/>
      </c>
      <c r="AS1870" t="inlineStr">
        <is>
          <t>cmm55w57p0004cuisfrtpqly8</t>
        </is>
      </c>
      <c r="AT1870" t="inlineStr">
        <is>
          <t>cmm4xvu980000cuh4vj0usz09</t>
        </is>
      </c>
      <c r="AU1870" t="inlineStr"/>
      <c r="AV1870" t="inlineStr">
        <is>
          <t>Kommun</t>
        </is>
      </c>
      <c r="AW1870" t="inlineStr"/>
      <c r="AX1870" t="inlineStr">
        <is>
          <t>2025-02</t>
        </is>
      </c>
      <c r="AY1870" t="inlineStr">
        <is>
          <t>Komplettering</t>
        </is>
      </c>
      <c r="AZ1870" t="inlineStr">
        <is>
          <t>2026-02-03</t>
        </is>
      </c>
      <c r="BA1870" t="inlineStr">
        <is>
          <t>E-post med kompletterande svar från Swerock.pdf</t>
        </is>
      </c>
      <c r="BB1870" t="inlineStr">
        <is>
          <t>Sv: till registrator</t>
        </is>
      </c>
      <c r="BC1870" t="inlineStr">
        <is>
          <t>AUTO</t>
        </is>
      </c>
      <c r="BD1870" t="inlineStr"/>
      <c r="BE1870" t="inlineStr"/>
      <c r="BF1870" t="inlineStr">
        <is>
          <t>AUTO_GENERERAD. Bekrafta metadata mot kallfil.</t>
        </is>
      </c>
      <c r="BG1870">
        <f>HYPERLINK("C:\Users\jimmy\Desktop\Examens arbete\Kod\Ny mapp\remix_-copy-of-miljöbeslut.se-portal\E-post med kompletterande svar från Swerock.pdf", "Öppna PDF")</f>
        <v/>
      </c>
    </row>
    <row r="1871">
      <c r="A1871" t="inlineStr">
        <is>
          <t>KRAV-AUTO-001870</t>
        </is>
      </c>
      <c r="B1871" t="inlineStr">
        <is>
          <t>ADMIN-INDEX-2026-02-27-00000000125C043F57453246863FE664CAFE6A3F0700950291EA24F0614FB6ACEDB12BF0E31D00000000010C0000950291EA24F0614FB6ACEDB12BF0E31D00002087AF0A0000</t>
        </is>
      </c>
      <c r="C1871" t="inlineStr">
        <is>
          <t>cmm4yunsx010kcuqw2rhw76cx</t>
        </is>
      </c>
      <c r="D1871" t="inlineStr">
        <is>
          <t>http://localhost:8787/api/admin/requirements/documents/cmm4yunsx010kcuqw2rhw76cx/view</t>
        </is>
      </c>
      <c r="E1871">
        <f>HYPERLÄNK("http://localhost:8787/api/admin/requirements/documents/cmm4yunsx010kcuqw2rhw76cx/view";"Öppna PDF")</f>
        <v/>
      </c>
      <c r="F1871">
        <f>HYPERLINK("http://localhost:8787/api/admin/requirements/documents/cmm4yunsx010kcuqw2rhw76cx/view","Open PDF")</f>
        <v/>
      </c>
      <c r="G1871" t="inlineStr">
        <is>
          <t>cmm55w57p0004cuisfrtpqly8</t>
        </is>
      </c>
      <c r="H1871" t="inlineStr">
        <is>
          <t>Kompletteringskrav</t>
        </is>
      </c>
      <c r="I1871" t="inlineStr">
        <is>
          <t>Riskhantering</t>
        </is>
      </c>
      <c r="J1871" t="inlineStr">
        <is>
          <t>Riskkontroll</t>
        </is>
      </c>
      <c r="K1871" t="inlineStr">
        <is>
          <t>Och vad händer vid snösmältning eller regn, det borde vara stor risk att mängder av krossat material förs ut till Klingerfjärden.</t>
        </is>
      </c>
      <c r="L1871" t="inlineStr">
        <is>
          <t>Och vad händer vid snösmältning eller regn, det borde vara stor risk att mängder av krossat material förs ut till Klingerfjärden.</t>
        </is>
      </c>
      <c r="M1871" t="inlineStr">
        <is>
          <t>BOR</t>
        </is>
      </c>
      <c r="N1871" t="inlineStr"/>
      <c r="O1871" t="inlineStr"/>
      <c r="P1871" t="inlineStr"/>
      <c r="Q1871" t="inlineStr"/>
      <c r="R1871" t="inlineStr">
        <is>
          <t>Vid risk for incident</t>
        </is>
      </c>
      <c r="S1871" t="inlineStr"/>
      <c r="T1871" t="inlineStr"/>
      <c r="U1871" t="inlineStr"/>
      <c r="V1871" t="inlineStr"/>
      <c r="W1871" t="inlineStr">
        <is>
          <t>Nej</t>
        </is>
      </c>
      <c r="X1871" t="inlineStr">
        <is>
          <t>Nej</t>
        </is>
      </c>
      <c r="Y1871" t="inlineStr">
        <is>
          <t>Ja</t>
        </is>
      </c>
      <c r="Z1871" t="inlineStr">
        <is>
          <t>Ja</t>
        </is>
      </c>
      <c r="AA1871" t="n">
        <v>8</v>
      </c>
      <c r="AB1871" t="inlineStr">
        <is>
          <t>Riskhantering</t>
        </is>
      </c>
      <c r="AC1871" t="inlineStr">
        <is>
          <t>Risk-PM</t>
        </is>
      </c>
      <c r="AD1871" t="inlineStr">
        <is>
          <t>Nej</t>
        </is>
      </c>
      <c r="AE1871" t="inlineStr">
        <is>
          <t>Nej</t>
        </is>
      </c>
      <c r="AF1871" t="inlineStr">
        <is>
          <t>Ej behandlad</t>
        </is>
      </c>
      <c r="AG1871" t="inlineStr">
        <is>
          <t>AUTO_GENERERAD. Verifiera citat mot kallfil.</t>
        </is>
      </c>
      <c r="AH1871" t="inlineStr">
        <is>
          <t>MEDIUM</t>
        </is>
      </c>
      <c r="AI1871" t="inlineStr">
        <is>
          <t>AUTO</t>
        </is>
      </c>
      <c r="AJ1871" t="inlineStr">
        <is>
          <t>Nej</t>
        </is>
      </c>
      <c r="AK1871" t="inlineStr"/>
      <c r="AL1871" t="inlineStr"/>
      <c r="AM1871" t="inlineStr"/>
      <c r="AN1871" t="inlineStr"/>
      <c r="AO1871" t="inlineStr">
        <is>
          <t>cmm4yunt0010ncuqwxpd0eacl</t>
        </is>
      </c>
      <c r="AP1871" t="inlineStr">
        <is>
          <t>http://localhost:8787/api/admin/requirements/documents/cmm4yunt0010ncuqwxpd0eacl/view</t>
        </is>
      </c>
      <c r="AQ1871">
        <f>HYPERLÄNK("http://localhost:8787/api/admin/requirements/documents/cmm4yunt0010ncuqwxpd0eacl/view";"Öppna PDF")</f>
        <v/>
      </c>
      <c r="AR1871">
        <f>HYPERLINK("http://localhost:8787/api/admin/requirements/documents/cmm4yunt0010ncuqwxpd0eacl/view","Open PDF")</f>
        <v/>
      </c>
      <c r="AS1871" t="inlineStr">
        <is>
          <t>cmm55w57p0004cuisfrtpqly8</t>
        </is>
      </c>
      <c r="AT1871" t="inlineStr">
        <is>
          <t>cmm4xvu980000cuh4vj0usz09</t>
        </is>
      </c>
      <c r="AU1871" t="inlineStr"/>
      <c r="AV1871" t="inlineStr">
        <is>
          <t>Kommun</t>
        </is>
      </c>
      <c r="AW1871" t="inlineStr"/>
      <c r="AX1871" t="inlineStr">
        <is>
          <t>2025-02</t>
        </is>
      </c>
      <c r="AY1871" t="inlineStr">
        <is>
          <t>Komplettering</t>
        </is>
      </c>
      <c r="AZ1871" t="inlineStr">
        <is>
          <t>2026-02-03</t>
        </is>
      </c>
      <c r="BA1871" t="inlineStr">
        <is>
          <t>E-post med kompletterande svar från Swerock.pdf</t>
        </is>
      </c>
      <c r="BB1871" t="inlineStr">
        <is>
          <t>Sv: till registrator</t>
        </is>
      </c>
      <c r="BC1871" t="inlineStr">
        <is>
          <t>AUTO</t>
        </is>
      </c>
      <c r="BD1871" t="inlineStr"/>
      <c r="BE1871" t="inlineStr"/>
      <c r="BF1871" t="inlineStr">
        <is>
          <t>AUTO_GENERERAD. Bekrafta metadata mot kallfil.</t>
        </is>
      </c>
      <c r="BG1871">
        <f>HYPERLINK("C:\Users\jimmy\Desktop\Examens arbete\Kod\Ny mapp\remix_-copy-of-miljöbeslut.se-portal\E-post med kompletterande svar från Swerock.pdf", "Öppna PDF")</f>
        <v/>
      </c>
    </row>
    <row r="1872">
      <c r="A1872" t="inlineStr">
        <is>
          <t>KRAV-AUTO-001871</t>
        </is>
      </c>
      <c r="B1872" t="inlineStr">
        <is>
          <t>ADMIN-INDEX-2026-02-27-00000000125C043F57453246863FE664CAFE6A3F0700950291EA24F0614FB6ACEDB12BF0E31D00000000010C0000950291EA24F0614FB6ACEDB12BF0E31D00002087AF0A0000</t>
        </is>
      </c>
      <c r="C1872" t="inlineStr">
        <is>
          <t>cmm4yunsx010kcuqw2rhw76cx</t>
        </is>
      </c>
      <c r="D1872" t="inlineStr">
        <is>
          <t>http://localhost:8787/api/admin/requirements/documents/cmm4yunsx010kcuqw2rhw76cx/view</t>
        </is>
      </c>
      <c r="E1872">
        <f>HYPERLÄNK("http://localhost:8787/api/admin/requirements/documents/cmm4yunsx010kcuqw2rhw76cx/view";"Öppna PDF")</f>
        <v/>
      </c>
      <c r="F1872">
        <f>HYPERLINK("http://localhost:8787/api/admin/requirements/documents/cmm4yunsx010kcuqw2rhw76cx/view","Open PDF")</f>
        <v/>
      </c>
      <c r="G1872" t="inlineStr">
        <is>
          <t>cmm55w57p0004cuisfrtpqly8</t>
        </is>
      </c>
      <c r="H1872" t="inlineStr">
        <is>
          <t>Kompletteringskrav</t>
        </is>
      </c>
      <c r="I1872" t="inlineStr">
        <is>
          <t>LagringsvolymTid</t>
        </is>
      </c>
      <c r="J1872" t="inlineStr">
        <is>
          <t>Maxmangd</t>
        </is>
      </c>
      <c r="K1872" t="inlineStr">
        <is>
          <t>Om det ligger betong i diket kommer det städas bort, då städas det.</t>
        </is>
      </c>
      <c r="L1872" t="inlineStr">
        <is>
          <t>Om det ligger betong i diket kommer det städas bort, då städas det.</t>
        </is>
      </c>
      <c r="M1872" t="inlineStr">
        <is>
          <t>BOR</t>
        </is>
      </c>
      <c r="N1872" t="inlineStr"/>
      <c r="O1872" t="inlineStr"/>
      <c r="P1872" t="inlineStr"/>
      <c r="Q1872" t="inlineStr"/>
      <c r="R1872" t="inlineStr">
        <is>
          <t>Alltid</t>
        </is>
      </c>
      <c r="S1872" t="inlineStr"/>
      <c r="T1872" t="inlineStr"/>
      <c r="U1872" t="inlineStr"/>
      <c r="V1872" t="inlineStr"/>
      <c r="W1872" t="inlineStr">
        <is>
          <t>Nej</t>
        </is>
      </c>
      <c r="X1872" t="inlineStr">
        <is>
          <t>Nej</t>
        </is>
      </c>
      <c r="Y1872" t="inlineStr">
        <is>
          <t>Nej</t>
        </is>
      </c>
      <c r="Z1872" t="inlineStr">
        <is>
          <t>Nej</t>
        </is>
      </c>
      <c r="AA1872" t="n">
        <v>4</v>
      </c>
      <c r="AB1872" t="inlineStr">
        <is>
          <t>Avfallsmangder och lagringstid</t>
        </is>
      </c>
      <c r="AC1872" t="inlineStr">
        <is>
          <t>Avfallsforteckning</t>
        </is>
      </c>
      <c r="AD1872" t="inlineStr">
        <is>
          <t>Nej</t>
        </is>
      </c>
      <c r="AE1872" t="inlineStr">
        <is>
          <t>Nej</t>
        </is>
      </c>
      <c r="AF1872" t="inlineStr">
        <is>
          <t>Ej behandlad</t>
        </is>
      </c>
      <c r="AG1872" t="inlineStr">
        <is>
          <t>AUTO_GENERERAD. Verifiera citat mot kallfil.</t>
        </is>
      </c>
      <c r="AH1872" t="inlineStr">
        <is>
          <t>MEDIUM</t>
        </is>
      </c>
      <c r="AI1872" t="inlineStr">
        <is>
          <t>AUTO</t>
        </is>
      </c>
      <c r="AJ1872" t="inlineStr">
        <is>
          <t>Nej</t>
        </is>
      </c>
      <c r="AK1872" t="inlineStr"/>
      <c r="AL1872" t="inlineStr"/>
      <c r="AM1872" t="inlineStr"/>
      <c r="AN1872" t="inlineStr"/>
      <c r="AO1872" t="inlineStr">
        <is>
          <t>cmm4yunt0010ncuqwxpd0eacl</t>
        </is>
      </c>
      <c r="AP1872" t="inlineStr">
        <is>
          <t>http://localhost:8787/api/admin/requirements/documents/cmm4yunt0010ncuqwxpd0eacl/view</t>
        </is>
      </c>
      <c r="AQ1872">
        <f>HYPERLÄNK("http://localhost:8787/api/admin/requirements/documents/cmm4yunt0010ncuqwxpd0eacl/view";"Öppna PDF")</f>
        <v/>
      </c>
      <c r="AR1872">
        <f>HYPERLINK("http://localhost:8787/api/admin/requirements/documents/cmm4yunt0010ncuqwxpd0eacl/view","Open PDF")</f>
        <v/>
      </c>
      <c r="AS1872" t="inlineStr">
        <is>
          <t>cmm55w57p0004cuisfrtpqly8</t>
        </is>
      </c>
      <c r="AT1872" t="inlineStr">
        <is>
          <t>cmm4xvu980000cuh4vj0usz09</t>
        </is>
      </c>
      <c r="AU1872" t="inlineStr"/>
      <c r="AV1872" t="inlineStr">
        <is>
          <t>Kommun</t>
        </is>
      </c>
      <c r="AW1872" t="inlineStr"/>
      <c r="AX1872" t="inlineStr">
        <is>
          <t>2025-02</t>
        </is>
      </c>
      <c r="AY1872" t="inlineStr">
        <is>
          <t>Komplettering</t>
        </is>
      </c>
      <c r="AZ1872" t="inlineStr">
        <is>
          <t>2026-02-03</t>
        </is>
      </c>
      <c r="BA1872" t="inlineStr">
        <is>
          <t>E-post med kompletterande svar från Swerock.pdf</t>
        </is>
      </c>
      <c r="BB1872" t="inlineStr">
        <is>
          <t>Sv: till registrator</t>
        </is>
      </c>
      <c r="BC1872" t="inlineStr">
        <is>
          <t>AUTO</t>
        </is>
      </c>
      <c r="BD1872" t="inlineStr"/>
      <c r="BE1872" t="inlineStr"/>
      <c r="BF1872" t="inlineStr">
        <is>
          <t>AUTO_GENERERAD. Bekrafta metadata mot kallfil.</t>
        </is>
      </c>
      <c r="BG1872">
        <f>HYPERLINK("C:\Users\jimmy\Desktop\Examens arbete\Kod\Ny mapp\remix_-copy-of-miljöbeslut.se-portal\E-post med kompletterande svar från Swerock.pdf", "Öppna PDF")</f>
        <v/>
      </c>
    </row>
    <row r="1873">
      <c r="A1873" t="inlineStr">
        <is>
          <t>KRAV-AUTO-001872</t>
        </is>
      </c>
      <c r="B1873" t="inlineStr">
        <is>
          <t>ADMIN-INDEX-2026-02-27-00000000125C043F57453246863FE664CAFE6A3F0700950291EA24F0614FB6ACEDB12BF0E31D00000000010C0000950291EA24F0614FB6ACEDB12BF0E31D00002087AF0A0000</t>
        </is>
      </c>
      <c r="C1873" t="inlineStr">
        <is>
          <t>cmm4yunsx010kcuqw2rhw76cx</t>
        </is>
      </c>
      <c r="D1873" t="inlineStr">
        <is>
          <t>http://localhost:8787/api/admin/requirements/documents/cmm4yunsx010kcuqw2rhw76cx/view</t>
        </is>
      </c>
      <c r="E1873">
        <f>HYPERLÄNK("http://localhost:8787/api/admin/requirements/documents/cmm4yunsx010kcuqw2rhw76cx/view";"Öppna PDF")</f>
        <v/>
      </c>
      <c r="F1873">
        <f>HYPERLINK("http://localhost:8787/api/admin/requirements/documents/cmm4yunsx010kcuqw2rhw76cx/view","Open PDF")</f>
        <v/>
      </c>
      <c r="G1873" t="inlineStr">
        <is>
          <t>cmm55w57p0004cuisfrtpqly8</t>
        </is>
      </c>
      <c r="H1873" t="inlineStr">
        <is>
          <t>Kompletteringskrav</t>
        </is>
      </c>
      <c r="I1873" t="inlineStr">
        <is>
          <t>LagringsvolymTid</t>
        </is>
      </c>
      <c r="J1873" t="inlineStr">
        <is>
          <t>Maxmangd</t>
        </is>
      </c>
      <c r="K1873" t="inlineStr">
        <is>
          <t>Om du menar metaller i betongen (armering och rälkämmor) så separeras dessa bort med magnet under krossning 2.</t>
        </is>
      </c>
      <c r="L1873" t="inlineStr">
        <is>
          <t>Om du menar metaller i betongen (armering och rälkämmor) så separeras dessa bort med magnet under krossning 2.</t>
        </is>
      </c>
      <c r="M1873" t="inlineStr">
        <is>
          <t>BOR</t>
        </is>
      </c>
      <c r="N1873" t="inlineStr"/>
      <c r="O1873" t="inlineStr"/>
      <c r="P1873" t="inlineStr"/>
      <c r="Q1873" t="inlineStr"/>
      <c r="R1873" t="inlineStr">
        <is>
          <t>Alltid</t>
        </is>
      </c>
      <c r="S1873" t="inlineStr"/>
      <c r="T1873" t="inlineStr"/>
      <c r="U1873" t="inlineStr"/>
      <c r="V1873" t="inlineStr"/>
      <c r="W1873" t="inlineStr">
        <is>
          <t>Nej</t>
        </is>
      </c>
      <c r="X1873" t="inlineStr">
        <is>
          <t>Nej</t>
        </is>
      </c>
      <c r="Y1873" t="inlineStr">
        <is>
          <t>Nej</t>
        </is>
      </c>
      <c r="Z1873" t="inlineStr">
        <is>
          <t>Nej</t>
        </is>
      </c>
      <c r="AA1873" t="n">
        <v>4</v>
      </c>
      <c r="AB1873" t="inlineStr">
        <is>
          <t>Avfallsmangder och lagringstid</t>
        </is>
      </c>
      <c r="AC1873" t="inlineStr">
        <is>
          <t>Avfallsforteckning</t>
        </is>
      </c>
      <c r="AD1873" t="inlineStr">
        <is>
          <t>Nej</t>
        </is>
      </c>
      <c r="AE1873" t="inlineStr">
        <is>
          <t>Nej</t>
        </is>
      </c>
      <c r="AF1873" t="inlineStr">
        <is>
          <t>Ej behandlad</t>
        </is>
      </c>
      <c r="AG1873" t="inlineStr">
        <is>
          <t>AUTO_GENERERAD. Verifiera citat mot kallfil.</t>
        </is>
      </c>
      <c r="AH1873" t="inlineStr">
        <is>
          <t>MEDIUM</t>
        </is>
      </c>
      <c r="AI1873" t="inlineStr">
        <is>
          <t>AUTO</t>
        </is>
      </c>
      <c r="AJ1873" t="inlineStr">
        <is>
          <t>Nej</t>
        </is>
      </c>
      <c r="AK1873" t="inlineStr"/>
      <c r="AL1873" t="inlineStr"/>
      <c r="AM1873" t="inlineStr"/>
      <c r="AN1873" t="inlineStr"/>
      <c r="AO1873" t="inlineStr">
        <is>
          <t>cmm4yunt0010ncuqwxpd0eacl</t>
        </is>
      </c>
      <c r="AP1873" t="inlineStr">
        <is>
          <t>http://localhost:8787/api/admin/requirements/documents/cmm4yunt0010ncuqwxpd0eacl/view</t>
        </is>
      </c>
      <c r="AQ1873">
        <f>HYPERLÄNK("http://localhost:8787/api/admin/requirements/documents/cmm4yunt0010ncuqwxpd0eacl/view";"Öppna PDF")</f>
        <v/>
      </c>
      <c r="AR1873">
        <f>HYPERLINK("http://localhost:8787/api/admin/requirements/documents/cmm4yunt0010ncuqwxpd0eacl/view","Open PDF")</f>
        <v/>
      </c>
      <c r="AS1873" t="inlineStr">
        <is>
          <t>cmm55w57p0004cuisfrtpqly8</t>
        </is>
      </c>
      <c r="AT1873" t="inlineStr">
        <is>
          <t>cmm4xvu980000cuh4vj0usz09</t>
        </is>
      </c>
      <c r="AU1873" t="inlineStr"/>
      <c r="AV1873" t="inlineStr">
        <is>
          <t>Kommun</t>
        </is>
      </c>
      <c r="AW1873" t="inlineStr"/>
      <c r="AX1873" t="inlineStr">
        <is>
          <t>2025-02</t>
        </is>
      </c>
      <c r="AY1873" t="inlineStr">
        <is>
          <t>Komplettering</t>
        </is>
      </c>
      <c r="AZ1873" t="inlineStr">
        <is>
          <t>2026-02-03</t>
        </is>
      </c>
      <c r="BA1873" t="inlineStr">
        <is>
          <t>E-post med kompletterande svar från Swerock.pdf</t>
        </is>
      </c>
      <c r="BB1873" t="inlineStr">
        <is>
          <t>Sv: till registrator</t>
        </is>
      </c>
      <c r="BC1873" t="inlineStr">
        <is>
          <t>AUTO</t>
        </is>
      </c>
      <c r="BD1873" t="inlineStr"/>
      <c r="BE1873" t="inlineStr"/>
      <c r="BF1873" t="inlineStr">
        <is>
          <t>AUTO_GENERERAD. Bekrafta metadata mot kallfil.</t>
        </is>
      </c>
      <c r="BG1873">
        <f>HYPERLINK("C:\Users\jimmy\Desktop\Examens arbete\Kod\Ny mapp\remix_-copy-of-miljöbeslut.se-portal\E-post med kompletterande svar från Swerock.pdf", "Öppna PDF")</f>
        <v/>
      </c>
    </row>
    <row r="1874">
      <c r="A1874" t="inlineStr">
        <is>
          <t>KRAV-AUTO-001873</t>
        </is>
      </c>
      <c r="B1874" t="inlineStr">
        <is>
          <t>ADMIN-INDEX-2026-02-27-00000000125C043F57453246863FE664CAFE6A3F0700950291EA24F0614FB6ACEDB12BF0E31D00000000010C0000950291EA24F0614FB6ACEDB12BF0E31D00002087AF0A0000</t>
        </is>
      </c>
      <c r="C1874" t="inlineStr">
        <is>
          <t>cmm4yunsu010hcuqwol64xt8n</t>
        </is>
      </c>
      <c r="D1874" t="inlineStr">
        <is>
          <t>http://localhost:8787/api/admin/requirements/documents/cmm4yunsu010hcuqwol64xt8n/view</t>
        </is>
      </c>
      <c r="E1874">
        <f>HYPERLÄNK("http://localhost:8787/api/admin/requirements/documents/cmm4yunsu010hcuqwol64xt8n/view";"Öppna PDF")</f>
        <v/>
      </c>
      <c r="F1874">
        <f>HYPERLINK("http://localhost:8787/api/admin/requirements/documents/cmm4yunsu010hcuqwol64xt8n/view","Open PDF")</f>
        <v/>
      </c>
      <c r="G1874" t="inlineStr">
        <is>
          <t>cmm55w57p0004cuisfrtpqly8</t>
        </is>
      </c>
      <c r="H1874" t="inlineStr">
        <is>
          <t>Kompletteringskrav</t>
        </is>
      </c>
      <c r="I1874" t="inlineStr">
        <is>
          <t>LagringsvolymTid</t>
        </is>
      </c>
      <c r="J1874" t="inlineStr">
        <is>
          <t>Maxmangd</t>
        </is>
      </c>
      <c r="K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74" t="inlineStr">
        <is>
          <t>BOR</t>
        </is>
      </c>
      <c r="N1874" t="inlineStr"/>
      <c r="O1874" t="inlineStr">
        <is>
          <t>2025-01-29</t>
        </is>
      </c>
      <c r="P1874" t="inlineStr"/>
      <c r="Q1874" t="inlineStr">
        <is>
          <t>Forelaggande vid brist</t>
        </is>
      </c>
      <c r="R1874" t="inlineStr">
        <is>
          <t>Alltid</t>
        </is>
      </c>
      <c r="S1874" t="inlineStr"/>
      <c r="T1874" t="inlineStr">
        <is>
          <t>556081</t>
        </is>
      </c>
      <c r="U1874" t="inlineStr"/>
      <c r="V1874" t="inlineStr"/>
      <c r="W1874" t="inlineStr">
        <is>
          <t>Nej</t>
        </is>
      </c>
      <c r="X1874" t="inlineStr">
        <is>
          <t>Nej</t>
        </is>
      </c>
      <c r="Y1874" t="inlineStr">
        <is>
          <t>Nej</t>
        </is>
      </c>
      <c r="Z1874" t="inlineStr">
        <is>
          <t>Nej</t>
        </is>
      </c>
      <c r="AA1874" t="n">
        <v>4</v>
      </c>
      <c r="AB1874" t="inlineStr">
        <is>
          <t>Avfallsmangder och lagringstid</t>
        </is>
      </c>
      <c r="AC1874" t="inlineStr">
        <is>
          <t>Avfallsforteckning</t>
        </is>
      </c>
      <c r="AD1874" t="inlineStr">
        <is>
          <t>Nej</t>
        </is>
      </c>
      <c r="AE1874" t="inlineStr">
        <is>
          <t>Nej</t>
        </is>
      </c>
      <c r="AF1874" t="inlineStr">
        <is>
          <t>Ej behandlad</t>
        </is>
      </c>
      <c r="AG1874" t="inlineStr">
        <is>
          <t>AUTO_GENERERAD. Verifiera citat mot kallfil.</t>
        </is>
      </c>
      <c r="AH1874" t="inlineStr">
        <is>
          <t>MEDIUM</t>
        </is>
      </c>
      <c r="AI1874" t="inlineStr">
        <is>
          <t>AUTO</t>
        </is>
      </c>
      <c r="AJ1874" t="inlineStr">
        <is>
          <t>Nej</t>
        </is>
      </c>
      <c r="AK1874" t="inlineStr"/>
      <c r="AL1874" t="inlineStr"/>
      <c r="AM1874" t="inlineStr"/>
      <c r="AN1874" t="inlineStr"/>
      <c r="AO1874" t="inlineStr">
        <is>
          <t>cmm4yunt0010ncuqwxpd0eacl</t>
        </is>
      </c>
      <c r="AP1874" t="inlineStr">
        <is>
          <t>http://localhost:8787/api/admin/requirements/documents/cmm4yunt0010ncuqwxpd0eacl/view</t>
        </is>
      </c>
      <c r="AQ1874">
        <f>HYPERLÄNK("http://localhost:8787/api/admin/requirements/documents/cmm4yunt0010ncuqwxpd0eacl/view";"Öppna PDF")</f>
        <v/>
      </c>
      <c r="AR1874">
        <f>HYPERLINK("http://localhost:8787/api/admin/requirements/documents/cmm4yunt0010ncuqwxpd0eacl/view","Open PDF")</f>
        <v/>
      </c>
      <c r="AS1874" t="inlineStr">
        <is>
          <t>cmm55w57p0004cuisfrtpqly8</t>
        </is>
      </c>
      <c r="AT1874" t="inlineStr">
        <is>
          <t>cmm4xvu980000cuh4vj0usz09</t>
        </is>
      </c>
      <c r="AU1874" t="inlineStr"/>
      <c r="AV1874" t="inlineStr">
        <is>
          <t>Kommun</t>
        </is>
      </c>
      <c r="AW1874" t="inlineStr"/>
      <c r="AX1874" t="inlineStr">
        <is>
          <t>2025-02</t>
        </is>
      </c>
      <c r="AY1874" t="inlineStr">
        <is>
          <t>Komplettering</t>
        </is>
      </c>
      <c r="AZ1874" t="inlineStr">
        <is>
          <t>2026-02-03</t>
        </is>
      </c>
      <c r="BA1874" t="inlineStr">
        <is>
          <t>E-post med kompletterande svar från Swerock.pdf</t>
        </is>
      </c>
      <c r="BB1874" t="inlineStr">
        <is>
          <t>Sv: till registrator</t>
        </is>
      </c>
      <c r="BC1874" t="inlineStr">
        <is>
          <t>AUTO</t>
        </is>
      </c>
      <c r="BD1874" t="inlineStr"/>
      <c r="BE1874" t="inlineStr"/>
      <c r="BF1874" t="inlineStr">
        <is>
          <t>AUTO_GENERERAD. Bekrafta metadata mot kallfil.</t>
        </is>
      </c>
      <c r="BG1874">
        <f>HYPERLINK("C:\Users\jimmy\Desktop\Examens arbete\Kod\Ny mapp\remix_-copy-of-miljöbeslut.se-portal\E-post med kompletterande svar från Swerock.pdf", "Öppna PDF")</f>
        <v/>
      </c>
    </row>
    <row r="1875">
      <c r="A1875" t="inlineStr">
        <is>
          <t>KRAV-AUTO-001874</t>
        </is>
      </c>
      <c r="B1875" t="inlineStr">
        <is>
          <t>ADMIN-INDEX-2026-02-27-00000000125C043F57453246863FE664CAFE6A3F0700950291EA24F0614FB6ACEDB12BF0E31D00000000010C0000950291EA24F0614FB6ACEDB12BF0E31D00002087AF0A0000</t>
        </is>
      </c>
      <c r="C1875" t="inlineStr">
        <is>
          <t>cmm4yunsu010hcuqwol64xt8n</t>
        </is>
      </c>
      <c r="D1875" t="inlineStr">
        <is>
          <t>http://localhost:8787/api/admin/requirements/documents/cmm4yunsu010hcuqwol64xt8n/view</t>
        </is>
      </c>
      <c r="E1875">
        <f>HYPERLÄNK("http://localhost:8787/api/admin/requirements/documents/cmm4yunsu010hcuqwol64xt8n/view";"Öppna PDF")</f>
        <v/>
      </c>
      <c r="F1875">
        <f>HYPERLINK("http://localhost:8787/api/admin/requirements/documents/cmm4yunsu010hcuqwol64xt8n/view","Open PDF")</f>
        <v/>
      </c>
      <c r="G1875" t="inlineStr">
        <is>
          <t>cmm55w57p0004cuisfrtpqly8</t>
        </is>
      </c>
      <c r="H1875" t="inlineStr">
        <is>
          <t>Kompletteringskrav</t>
        </is>
      </c>
      <c r="I1875" t="inlineStr">
        <is>
          <t>LagringsvolymTid</t>
        </is>
      </c>
      <c r="J1875" t="inlineStr">
        <is>
          <t>Maxmangd</t>
        </is>
      </c>
      <c r="K1875" t="inlineStr">
        <is>
          <t>Avfall eller produkt Redovisa om avfallet (betongkross) efter den mekaniska behandlingen ses som avfall eller produkt.</t>
        </is>
      </c>
      <c r="L1875" t="inlineStr">
        <is>
          <t>Avfall eller produkt Redovisa om avfallet (betongkross) efter den mekaniska behandlingen ses som avfall eller produkt.</t>
        </is>
      </c>
      <c r="M1875" t="inlineStr">
        <is>
          <t>SKA</t>
        </is>
      </c>
      <c r="N1875" t="inlineStr"/>
      <c r="O1875" t="inlineStr"/>
      <c r="P1875" t="inlineStr"/>
      <c r="Q1875" t="inlineStr"/>
      <c r="R1875" t="inlineStr">
        <is>
          <t>Alltid</t>
        </is>
      </c>
      <c r="S1875" t="inlineStr"/>
      <c r="T1875" t="inlineStr">
        <is>
          <t>556081</t>
        </is>
      </c>
      <c r="U1875" t="inlineStr"/>
      <c r="V1875" t="inlineStr"/>
      <c r="W1875" t="inlineStr">
        <is>
          <t>Nej</t>
        </is>
      </c>
      <c r="X1875" t="inlineStr">
        <is>
          <t>Nej</t>
        </is>
      </c>
      <c r="Y1875" t="inlineStr">
        <is>
          <t>Nej</t>
        </is>
      </c>
      <c r="Z1875" t="inlineStr">
        <is>
          <t>Nej</t>
        </is>
      </c>
      <c r="AA1875" t="n">
        <v>4</v>
      </c>
      <c r="AB1875" t="inlineStr">
        <is>
          <t>Avfallsmangder och lagringstid</t>
        </is>
      </c>
      <c r="AC1875" t="inlineStr">
        <is>
          <t>Avfallsforteckning</t>
        </is>
      </c>
      <c r="AD1875" t="inlineStr">
        <is>
          <t>Nej</t>
        </is>
      </c>
      <c r="AE1875" t="inlineStr">
        <is>
          <t>Nej</t>
        </is>
      </c>
      <c r="AF1875" t="inlineStr">
        <is>
          <t>Ej behandlad</t>
        </is>
      </c>
      <c r="AG1875" t="inlineStr">
        <is>
          <t>AUTO_GENERERAD. Verifiera citat mot kallfil.</t>
        </is>
      </c>
      <c r="AH1875" t="inlineStr">
        <is>
          <t>MEDIUM</t>
        </is>
      </c>
      <c r="AI1875" t="inlineStr">
        <is>
          <t>AUTO</t>
        </is>
      </c>
      <c r="AJ1875" t="inlineStr">
        <is>
          <t>Nej</t>
        </is>
      </c>
      <c r="AK1875" t="inlineStr"/>
      <c r="AL1875" t="inlineStr"/>
      <c r="AM1875" t="inlineStr"/>
      <c r="AN1875" t="inlineStr"/>
      <c r="AO1875" t="inlineStr">
        <is>
          <t>cmm4yunt0010ncuqwxpd0eacl</t>
        </is>
      </c>
      <c r="AP1875" t="inlineStr">
        <is>
          <t>http://localhost:8787/api/admin/requirements/documents/cmm4yunt0010ncuqwxpd0eacl/view</t>
        </is>
      </c>
      <c r="AQ1875">
        <f>HYPERLÄNK("http://localhost:8787/api/admin/requirements/documents/cmm4yunt0010ncuqwxpd0eacl/view";"Öppna PDF")</f>
        <v/>
      </c>
      <c r="AR1875">
        <f>HYPERLINK("http://localhost:8787/api/admin/requirements/documents/cmm4yunt0010ncuqwxpd0eacl/view","Open PDF")</f>
        <v/>
      </c>
      <c r="AS1875" t="inlineStr">
        <is>
          <t>cmm55w57p0004cuisfrtpqly8</t>
        </is>
      </c>
      <c r="AT1875" t="inlineStr">
        <is>
          <t>cmm4xvu980000cuh4vj0usz09</t>
        </is>
      </c>
      <c r="AU1875" t="inlineStr"/>
      <c r="AV1875" t="inlineStr">
        <is>
          <t>Kommun</t>
        </is>
      </c>
      <c r="AW1875" t="inlineStr"/>
      <c r="AX1875" t="inlineStr">
        <is>
          <t>2025-02</t>
        </is>
      </c>
      <c r="AY1875" t="inlineStr">
        <is>
          <t>Komplettering</t>
        </is>
      </c>
      <c r="AZ1875" t="inlineStr">
        <is>
          <t>2026-02-03</t>
        </is>
      </c>
      <c r="BA1875" t="inlineStr">
        <is>
          <t>E-post med kompletterande svar från Swerock.pdf</t>
        </is>
      </c>
      <c r="BB1875" t="inlineStr">
        <is>
          <t>Sv: till registrator</t>
        </is>
      </c>
      <c r="BC1875" t="inlineStr">
        <is>
          <t>AUTO</t>
        </is>
      </c>
      <c r="BD1875" t="inlineStr"/>
      <c r="BE1875" t="inlineStr"/>
      <c r="BF1875" t="inlineStr">
        <is>
          <t>AUTO_GENERERAD. Bekrafta metadata mot kallfil.</t>
        </is>
      </c>
      <c r="BG1875">
        <f>HYPERLINK("C:\Users\jimmy\Desktop\Examens arbete\Kod\Ny mapp\remix_-copy-of-miljöbeslut.se-portal\E-post med kompletterande svar från Swerock.pdf", "Öppna PDF")</f>
        <v/>
      </c>
    </row>
    <row r="1876">
      <c r="A1876" t="inlineStr">
        <is>
          <t>KRAV-AUTO-001875</t>
        </is>
      </c>
      <c r="B1876" t="inlineStr">
        <is>
          <t>ADMIN-INDEX-2026-02-27-00000000125C043F57453246863FE664CAFE6A3F0700950291EA24F0614FB6ACEDB12BF0E31D00000000010C0000950291EA24F0614FB6ACEDB12BF0E31D00002087AF0A0000</t>
        </is>
      </c>
      <c r="C1876" t="inlineStr">
        <is>
          <t>cmm4yunsu010hcuqwol64xt8n</t>
        </is>
      </c>
      <c r="D1876" t="inlineStr">
        <is>
          <t>http://localhost:8787/api/admin/requirements/documents/cmm4yunsu010hcuqwol64xt8n/view</t>
        </is>
      </c>
      <c r="E1876">
        <f>HYPERLÄNK("http://localhost:8787/api/admin/requirements/documents/cmm4yunsu010hcuqwol64xt8n/view";"Öppna PDF")</f>
        <v/>
      </c>
      <c r="F1876">
        <f>HYPERLINK("http://localhost:8787/api/admin/requirements/documents/cmm4yunsu010hcuqwol64xt8n/view","Open PDF")</f>
        <v/>
      </c>
      <c r="G1876" t="inlineStr">
        <is>
          <t>cmm55w57p0004cuisfrtpqly8</t>
        </is>
      </c>
      <c r="H1876" t="inlineStr">
        <is>
          <t>Kompletteringskrav</t>
        </is>
      </c>
      <c r="I1876" t="inlineStr">
        <is>
          <t>LagringsvolymTid</t>
        </is>
      </c>
      <c r="J1876" t="inlineStr">
        <is>
          <t>Maxmangd</t>
        </is>
      </c>
      <c r="K1876" t="inlineStr">
        <is>
          <t>ange hämtställe, avfallskod och mängd, se https://swerock.se/kontakt/mottagningsblankett/ Innan avlämning av sliprarna får transportören information om var inom anläggningen avlämning ska ske.</t>
        </is>
      </c>
      <c r="L1876" t="inlineStr">
        <is>
          <t>ange hämtställe, avfallskod och mängd, se https://swerock.se/kontakt/mottagningsblankett/ Innan avlämning av sliprarna får transportören information om var inom anläggningen avlämning ska ske.</t>
        </is>
      </c>
      <c r="M1876" t="inlineStr">
        <is>
          <t>SKA</t>
        </is>
      </c>
      <c r="N1876" t="inlineStr"/>
      <c r="O1876" t="inlineStr"/>
      <c r="P1876" t="inlineStr"/>
      <c r="Q1876" t="inlineStr"/>
      <c r="R1876" t="inlineStr">
        <is>
          <t>Alltid</t>
        </is>
      </c>
      <c r="S1876" t="inlineStr"/>
      <c r="T1876" t="inlineStr">
        <is>
          <t>556081</t>
        </is>
      </c>
      <c r="U1876" t="inlineStr"/>
      <c r="V1876" t="inlineStr"/>
      <c r="W1876" t="inlineStr">
        <is>
          <t>Nej</t>
        </is>
      </c>
      <c r="X1876" t="inlineStr">
        <is>
          <t>Nej</t>
        </is>
      </c>
      <c r="Y1876" t="inlineStr">
        <is>
          <t>Nej</t>
        </is>
      </c>
      <c r="Z1876" t="inlineStr">
        <is>
          <t>Nej</t>
        </is>
      </c>
      <c r="AA1876" t="n">
        <v>4</v>
      </c>
      <c r="AB1876" t="inlineStr">
        <is>
          <t>Avfallsmangder och lagringstid</t>
        </is>
      </c>
      <c r="AC1876" t="inlineStr">
        <is>
          <t>Avfallsforteckning</t>
        </is>
      </c>
      <c r="AD1876" t="inlineStr">
        <is>
          <t>Nej</t>
        </is>
      </c>
      <c r="AE1876" t="inlineStr">
        <is>
          <t>Nej</t>
        </is>
      </c>
      <c r="AF1876" t="inlineStr">
        <is>
          <t>Ej behandlad</t>
        </is>
      </c>
      <c r="AG1876" t="inlineStr">
        <is>
          <t>AUTO_GENERERAD. Verifiera citat mot kallfil.</t>
        </is>
      </c>
      <c r="AH1876" t="inlineStr">
        <is>
          <t>MEDIUM</t>
        </is>
      </c>
      <c r="AI1876" t="inlineStr">
        <is>
          <t>AUTO</t>
        </is>
      </c>
      <c r="AJ1876" t="inlineStr">
        <is>
          <t>Nej</t>
        </is>
      </c>
      <c r="AK1876" t="inlineStr"/>
      <c r="AL1876" t="inlineStr"/>
      <c r="AM1876" t="inlineStr"/>
      <c r="AN1876" t="inlineStr"/>
      <c r="AO1876" t="inlineStr">
        <is>
          <t>cmm4yunt0010ncuqwxpd0eacl</t>
        </is>
      </c>
      <c r="AP1876" t="inlineStr">
        <is>
          <t>http://localhost:8787/api/admin/requirements/documents/cmm4yunt0010ncuqwxpd0eacl/view</t>
        </is>
      </c>
      <c r="AQ1876">
        <f>HYPERLÄNK("http://localhost:8787/api/admin/requirements/documents/cmm4yunt0010ncuqwxpd0eacl/view";"Öppna PDF")</f>
        <v/>
      </c>
      <c r="AR1876">
        <f>HYPERLINK("http://localhost:8787/api/admin/requirements/documents/cmm4yunt0010ncuqwxpd0eacl/view","Open PDF")</f>
        <v/>
      </c>
      <c r="AS1876" t="inlineStr">
        <is>
          <t>cmm55w57p0004cuisfrtpqly8</t>
        </is>
      </c>
      <c r="AT1876" t="inlineStr">
        <is>
          <t>cmm4xvu980000cuh4vj0usz09</t>
        </is>
      </c>
      <c r="AU1876" t="inlineStr"/>
      <c r="AV1876" t="inlineStr">
        <is>
          <t>Kommun</t>
        </is>
      </c>
      <c r="AW1876" t="inlineStr"/>
      <c r="AX1876" t="inlineStr">
        <is>
          <t>2025-02</t>
        </is>
      </c>
      <c r="AY1876" t="inlineStr">
        <is>
          <t>Komplettering</t>
        </is>
      </c>
      <c r="AZ1876" t="inlineStr">
        <is>
          <t>2026-02-03</t>
        </is>
      </c>
      <c r="BA1876" t="inlineStr">
        <is>
          <t>E-post med kompletterande svar från Swerock.pdf</t>
        </is>
      </c>
      <c r="BB1876" t="inlineStr">
        <is>
          <t>Sv: till registrator</t>
        </is>
      </c>
      <c r="BC1876" t="inlineStr">
        <is>
          <t>AUTO</t>
        </is>
      </c>
      <c r="BD1876" t="inlineStr"/>
      <c r="BE1876" t="inlineStr"/>
      <c r="BF1876" t="inlineStr">
        <is>
          <t>AUTO_GENERERAD. Bekrafta metadata mot kallfil.</t>
        </is>
      </c>
      <c r="BG1876">
        <f>HYPERLINK("C:\Users\jimmy\Desktop\Examens arbete\Kod\Ny mapp\remix_-copy-of-miljöbeslut.se-portal\E-post med kompletterande svar från Swerock.pdf", "Öppna PDF")</f>
        <v/>
      </c>
    </row>
    <row r="1877">
      <c r="A1877" t="inlineStr">
        <is>
          <t>KRAV-AUTO-001876</t>
        </is>
      </c>
      <c r="B1877" t="inlineStr">
        <is>
          <t>ADMIN-INDEX-2026-02-27-00000000125C043F57453246863FE664CAFE6A3F0700950291EA24F0614FB6ACEDB12BF0E31D00000000010C0000950291EA24F0614FB6ACEDB12BF0E31D00002087AF0A0000</t>
        </is>
      </c>
      <c r="C1877" t="inlineStr">
        <is>
          <t>cmm4yunsr010ecuqweil2quja</t>
        </is>
      </c>
      <c r="D1877" t="inlineStr">
        <is>
          <t>http://localhost:8787/api/admin/requirements/documents/cmm4yunsr010ecuqweil2quja/view</t>
        </is>
      </c>
      <c r="E1877">
        <f>HYPERLÄNK("http://localhost:8787/api/admin/requirements/documents/cmm4yunsr010ecuqweil2quja/view";"Öppna PDF")</f>
        <v/>
      </c>
      <c r="F1877">
        <f>HYPERLINK("http://localhost:8787/api/admin/requirements/documents/cmm4yunsr010ecuqweil2quja/view","Open PDF")</f>
        <v/>
      </c>
      <c r="G1877" t="inlineStr">
        <is>
          <t>cmm55w57p0004cuisfrtpqly8</t>
        </is>
      </c>
      <c r="H1877" t="inlineStr">
        <is>
          <t>Beslutsvillkor</t>
        </is>
      </c>
      <c r="I1877" t="inlineStr">
        <is>
          <t>DriftEgenkontroll</t>
        </is>
      </c>
      <c r="J1877" t="inlineStr">
        <is>
          <t>Journalforing</t>
        </is>
      </c>
      <c r="K1877" t="inlineStr">
        <is>
          <t>Bör vi kräva provtagning innan, eller efter krossning?</t>
        </is>
      </c>
      <c r="L1877" t="inlineStr">
        <is>
          <t>Bör vi kräva provtagning innan, eller efter krossning?</t>
        </is>
      </c>
      <c r="M1877" t="inlineStr">
        <is>
          <t>BOR</t>
        </is>
      </c>
      <c r="N1877" t="inlineStr"/>
      <c r="O1877" t="inlineStr"/>
      <c r="P1877" t="inlineStr"/>
      <c r="Q1877" t="inlineStr"/>
      <c r="R1877" t="inlineStr">
        <is>
          <t>Lopande drift</t>
        </is>
      </c>
      <c r="S1877" t="inlineStr"/>
      <c r="T1877" t="inlineStr">
        <is>
          <t>34 93 65</t>
        </is>
      </c>
      <c r="U1877" t="inlineStr"/>
      <c r="V1877" t="inlineStr"/>
      <c r="W1877" t="inlineStr">
        <is>
          <t>Nej</t>
        </is>
      </c>
      <c r="X1877" t="inlineStr">
        <is>
          <t>Nej</t>
        </is>
      </c>
      <c r="Y1877" t="inlineStr">
        <is>
          <t>Ja</t>
        </is>
      </c>
      <c r="Z1877" t="inlineStr">
        <is>
          <t>Nej</t>
        </is>
      </c>
      <c r="AA1877" t="n">
        <v>7</v>
      </c>
      <c r="AB1877" t="inlineStr">
        <is>
          <t>Egenkontrollrutiner</t>
        </is>
      </c>
      <c r="AC1877" t="inlineStr">
        <is>
          <t>Egenkontrollprogram</t>
        </is>
      </c>
      <c r="AD1877" t="inlineStr">
        <is>
          <t>Nej</t>
        </is>
      </c>
      <c r="AE1877" t="inlineStr">
        <is>
          <t>Nej</t>
        </is>
      </c>
      <c r="AF1877" t="inlineStr">
        <is>
          <t>Ej behandlad</t>
        </is>
      </c>
      <c r="AG1877" t="inlineStr">
        <is>
          <t>AUTO_GENERERAD. Verifiera citat mot kallfil.</t>
        </is>
      </c>
      <c r="AH1877" t="inlineStr">
        <is>
          <t>MEDIUM</t>
        </is>
      </c>
      <c r="AI1877" t="inlineStr">
        <is>
          <t>AUTO</t>
        </is>
      </c>
      <c r="AJ1877" t="inlineStr">
        <is>
          <t>Nej</t>
        </is>
      </c>
      <c r="AK1877" t="inlineStr"/>
      <c r="AL1877" t="inlineStr"/>
      <c r="AM1877" t="inlineStr"/>
      <c r="AN1877" t="inlineStr"/>
      <c r="AO1877" t="inlineStr">
        <is>
          <t>cmm4yunt0010ncuqwxpd0eacl</t>
        </is>
      </c>
      <c r="AP1877" t="inlineStr">
        <is>
          <t>http://localhost:8787/api/admin/requirements/documents/cmm4yunt0010ncuqwxpd0eacl/view</t>
        </is>
      </c>
      <c r="AQ1877">
        <f>HYPERLÄNK("http://localhost:8787/api/admin/requirements/documents/cmm4yunt0010ncuqwxpd0eacl/view";"Öppna PDF")</f>
        <v/>
      </c>
      <c r="AR1877">
        <f>HYPERLINK("http://localhost:8787/api/admin/requirements/documents/cmm4yunt0010ncuqwxpd0eacl/view","Open PDF")</f>
        <v/>
      </c>
      <c r="AS1877" t="inlineStr">
        <is>
          <t>cmm55w57p0004cuisfrtpqly8</t>
        </is>
      </c>
      <c r="AT1877" t="inlineStr">
        <is>
          <t>cmm4xvu980000cuh4vj0usz09</t>
        </is>
      </c>
      <c r="AU1877" t="inlineStr"/>
      <c r="AV1877" t="inlineStr">
        <is>
          <t>Kommun</t>
        </is>
      </c>
      <c r="AW1877" t="inlineStr"/>
      <c r="AX1877" t="inlineStr">
        <is>
          <t>2025-02</t>
        </is>
      </c>
      <c r="AY1877" t="inlineStr">
        <is>
          <t>Komplettering</t>
        </is>
      </c>
      <c r="AZ1877" t="inlineStr">
        <is>
          <t>2026-02-03</t>
        </is>
      </c>
      <c r="BA1877" t="inlineStr">
        <is>
          <t>E-post med kompletterande svar från Swerock.pdf</t>
        </is>
      </c>
      <c r="BB1877" t="inlineStr">
        <is>
          <t>Sv: till registrator</t>
        </is>
      </c>
      <c r="BC1877" t="inlineStr">
        <is>
          <t>AUTO</t>
        </is>
      </c>
      <c r="BD1877" t="inlineStr"/>
      <c r="BE1877" t="inlineStr"/>
      <c r="BF1877" t="inlineStr">
        <is>
          <t>AUTO_GENERERAD. Bekrafta metadata mot kallfil.</t>
        </is>
      </c>
      <c r="BG1877">
        <f>HYPERLINK("C:\Users\jimmy\Desktop\Examens arbete\Kod\Ny mapp\remix_-copy-of-miljöbeslut.se-portal\E-post med kompletterande svar från Swerock.pdf", "Öppna PDF")</f>
        <v/>
      </c>
    </row>
    <row r="1878">
      <c r="A1878" t="inlineStr">
        <is>
          <t>KRAV-AUTO-001877</t>
        </is>
      </c>
      <c r="B1878" t="inlineStr">
        <is>
          <t>ADMIN-INDEX-2026-02-27-00000000125C043F57453246863FE664CAFE6A3F0700950291EA24F0614FB6ACEDB12BF0E31D00000000010C0000950291EA24F0614FB6ACEDB12BF0E31D00002087AF0A0000</t>
        </is>
      </c>
      <c r="C1878" t="inlineStr">
        <is>
          <t>cmm4yunsr010ecuqweil2quja</t>
        </is>
      </c>
      <c r="D1878" t="inlineStr">
        <is>
          <t>http://localhost:8787/api/admin/requirements/documents/cmm4yunsr010ecuqweil2quja/view</t>
        </is>
      </c>
      <c r="E1878">
        <f>HYPERLÄNK("http://localhost:8787/api/admin/requirements/documents/cmm4yunsr010ecuqweil2quja/view";"Öppna PDF")</f>
        <v/>
      </c>
      <c r="F1878">
        <f>HYPERLINK("http://localhost:8787/api/admin/requirements/documents/cmm4yunsr010ecuqweil2quja/view","Open PDF")</f>
        <v/>
      </c>
      <c r="G1878" t="inlineStr">
        <is>
          <t>cmm55w57p0004cuisfrtpqly8</t>
        </is>
      </c>
      <c r="H1878" t="inlineStr">
        <is>
          <t>Beslutsvillkor</t>
        </is>
      </c>
      <c r="I1878" t="inlineStr">
        <is>
          <t>DagvattenLakvatten</t>
        </is>
      </c>
      <c r="J1878" t="inlineStr">
        <is>
          <t>Uppsamling</t>
        </is>
      </c>
      <c r="K1878" t="inlineStr">
        <is>
          <t>En tänkbar försiktighetsåtgärd kan vara att all hantering av slipers som är osäker ska ske på hårdgjord yta och avrinning vid regn eller snösmältning ska ske under kontrollerade former.</t>
        </is>
      </c>
      <c r="L1878" t="inlineStr">
        <is>
          <t>En tänkbar försiktighetsåtgärd kan vara att all hantering av slipers som är osäker ska ske på hårdgjord yta och avrinning vid regn eller snösmältning ska ske under kontrollerade former.</t>
        </is>
      </c>
      <c r="M1878" t="inlineStr">
        <is>
          <t>SKA</t>
        </is>
      </c>
      <c r="N1878" t="inlineStr"/>
      <c r="O1878" t="inlineStr"/>
      <c r="P1878" t="inlineStr"/>
      <c r="Q1878" t="inlineStr"/>
      <c r="R1878" t="inlineStr">
        <is>
          <t>Vid nederbord och avrinning</t>
        </is>
      </c>
      <c r="S1878" t="inlineStr"/>
      <c r="T1878" t="inlineStr">
        <is>
          <t>34 93 65</t>
        </is>
      </c>
      <c r="U1878" t="inlineStr"/>
      <c r="V1878" t="inlineStr"/>
      <c r="W1878" t="inlineStr">
        <is>
          <t>Nej</t>
        </is>
      </c>
      <c r="X1878" t="inlineStr">
        <is>
          <t>Ja</t>
        </is>
      </c>
      <c r="Y1878" t="inlineStr">
        <is>
          <t>Ja</t>
        </is>
      </c>
      <c r="Z1878" t="inlineStr">
        <is>
          <t>Nej</t>
        </is>
      </c>
      <c r="AA1878" t="n">
        <v>6</v>
      </c>
      <c r="AB1878" t="inlineStr">
        <is>
          <t>Lakvattenhantering</t>
        </is>
      </c>
      <c r="AC1878" t="inlineStr">
        <is>
          <t>Flodesschema dagvatten-lakvatten</t>
        </is>
      </c>
      <c r="AD1878" t="inlineStr">
        <is>
          <t>Nej</t>
        </is>
      </c>
      <c r="AE1878" t="inlineStr">
        <is>
          <t>Nej</t>
        </is>
      </c>
      <c r="AF1878" t="inlineStr">
        <is>
          <t>Ej behandlad</t>
        </is>
      </c>
      <c r="AG1878" t="inlineStr">
        <is>
          <t>AUTO_GENERERAD. Verifiera citat mot kallfil.</t>
        </is>
      </c>
      <c r="AH1878" t="inlineStr">
        <is>
          <t>MEDIUM</t>
        </is>
      </c>
      <c r="AI1878" t="inlineStr">
        <is>
          <t>AUTO</t>
        </is>
      </c>
      <c r="AJ1878" t="inlineStr">
        <is>
          <t>Nej</t>
        </is>
      </c>
      <c r="AK1878" t="inlineStr"/>
      <c r="AL1878" t="inlineStr"/>
      <c r="AM1878" t="inlineStr"/>
      <c r="AN1878" t="inlineStr"/>
      <c r="AO1878" t="inlineStr">
        <is>
          <t>cmm4yunt0010ncuqwxpd0eacl</t>
        </is>
      </c>
      <c r="AP1878" t="inlineStr">
        <is>
          <t>http://localhost:8787/api/admin/requirements/documents/cmm4yunt0010ncuqwxpd0eacl/view</t>
        </is>
      </c>
      <c r="AQ1878">
        <f>HYPERLÄNK("http://localhost:8787/api/admin/requirements/documents/cmm4yunt0010ncuqwxpd0eacl/view";"Öppna PDF")</f>
        <v/>
      </c>
      <c r="AR1878">
        <f>HYPERLINK("http://localhost:8787/api/admin/requirements/documents/cmm4yunt0010ncuqwxpd0eacl/view","Open PDF")</f>
        <v/>
      </c>
      <c r="AS1878" t="inlineStr">
        <is>
          <t>cmm55w57p0004cuisfrtpqly8</t>
        </is>
      </c>
      <c r="AT1878" t="inlineStr">
        <is>
          <t>cmm4xvu980000cuh4vj0usz09</t>
        </is>
      </c>
      <c r="AU1878" t="inlineStr"/>
      <c r="AV1878" t="inlineStr">
        <is>
          <t>Kommun</t>
        </is>
      </c>
      <c r="AW1878" t="inlineStr"/>
      <c r="AX1878" t="inlineStr">
        <is>
          <t>2025-02</t>
        </is>
      </c>
      <c r="AY1878" t="inlineStr">
        <is>
          <t>Komplettering</t>
        </is>
      </c>
      <c r="AZ1878" t="inlineStr">
        <is>
          <t>2026-02-03</t>
        </is>
      </c>
      <c r="BA1878" t="inlineStr">
        <is>
          <t>E-post med kompletterande svar från Swerock.pdf</t>
        </is>
      </c>
      <c r="BB1878" t="inlineStr">
        <is>
          <t>Sv: till registrator</t>
        </is>
      </c>
      <c r="BC1878" t="inlineStr">
        <is>
          <t>AUTO</t>
        </is>
      </c>
      <c r="BD1878" t="inlineStr"/>
      <c r="BE1878" t="inlineStr"/>
      <c r="BF1878" t="inlineStr">
        <is>
          <t>AUTO_GENERERAD. Bekrafta metadata mot kallfil.</t>
        </is>
      </c>
      <c r="BG1878">
        <f>HYPERLINK("C:\Users\jimmy\Desktop\Examens arbete\Kod\Ny mapp\remix_-copy-of-miljöbeslut.se-portal\E-post med kompletterande svar från Swerock.pdf", "Öppna PDF")</f>
        <v/>
      </c>
    </row>
    <row r="1879">
      <c r="A1879" t="inlineStr">
        <is>
          <t>KRAV-AUTO-001878</t>
        </is>
      </c>
      <c r="B1879" t="inlineStr">
        <is>
          <t>ADMIN-INDEX-2026-02-27-00000000125C043F57453246863FE664CAFE6A3F0700950291EA24F0614FB6ACEDB12BF0E31D00000000010C0000950291EA24F0614FB6ACEDB12BF0E31D00002087AF0A0000</t>
        </is>
      </c>
      <c r="C1879" t="inlineStr">
        <is>
          <t>cmm4yunsr010ecuqweil2quja</t>
        </is>
      </c>
      <c r="D1879" t="inlineStr">
        <is>
          <t>http://localhost:8787/api/admin/requirements/documents/cmm4yunsr010ecuqweil2quja/view</t>
        </is>
      </c>
      <c r="E1879">
        <f>HYPERLÄNK("http://localhost:8787/api/admin/requirements/documents/cmm4yunsr010ecuqweil2quja/view";"Öppna PDF")</f>
        <v/>
      </c>
      <c r="F1879">
        <f>HYPERLINK("http://localhost:8787/api/admin/requirements/documents/cmm4yunsr010ecuqweil2quja/view","Open PDF")</f>
        <v/>
      </c>
      <c r="G1879" t="inlineStr">
        <is>
          <t>cmm55w57p0004cuisfrtpqly8</t>
        </is>
      </c>
      <c r="H1879" t="inlineStr">
        <is>
          <t>Beslutsvillkor</t>
        </is>
      </c>
      <c r="I1879" t="inlineStr">
        <is>
          <t>LagringsvolymTid</t>
        </is>
      </c>
      <c r="J1879" t="inlineStr">
        <is>
          <t>Maxmangd</t>
        </is>
      </c>
      <c r="K1879" t="inlineStr">
        <is>
          <t> Uppgifterna om att det är betong (inte berg, grus eller morän) och att armeringsjärn och dylikt ska sorteras ut tyder på att det är fråga mekanisk bearbetning såsom sönderdelning, utsortering av metall och krossning.</t>
        </is>
      </c>
      <c r="L1879" t="inlineStr">
        <is>
          <t> Uppgifterna om att det är betong (inte berg, grus eller morän) och att armeringsjärn och dylikt ska sorteras ut tyder på att det är fråga mekanisk bearbetning såsom sönderdelning, utsortering av metall och krossning.</t>
        </is>
      </c>
      <c r="M1879" t="inlineStr">
        <is>
          <t>SKA</t>
        </is>
      </c>
      <c r="N1879" t="inlineStr"/>
      <c r="O1879" t="inlineStr"/>
      <c r="P1879" t="inlineStr"/>
      <c r="Q1879" t="inlineStr"/>
      <c r="R1879" t="inlineStr">
        <is>
          <t>Alltid</t>
        </is>
      </c>
      <c r="S1879" t="inlineStr"/>
      <c r="T1879" t="inlineStr">
        <is>
          <t>34 93 65</t>
        </is>
      </c>
      <c r="U1879" t="inlineStr"/>
      <c r="V1879" t="inlineStr"/>
      <c r="W1879" t="inlineStr">
        <is>
          <t>Nej</t>
        </is>
      </c>
      <c r="X1879" t="inlineStr">
        <is>
          <t>Nej</t>
        </is>
      </c>
      <c r="Y1879" t="inlineStr">
        <is>
          <t>Nej</t>
        </is>
      </c>
      <c r="Z1879" t="inlineStr">
        <is>
          <t>Nej</t>
        </is>
      </c>
      <c r="AA1879" t="n">
        <v>4</v>
      </c>
      <c r="AB1879" t="inlineStr">
        <is>
          <t>Avfallsmangder och lagringstid</t>
        </is>
      </c>
      <c r="AC1879" t="inlineStr">
        <is>
          <t>Avfallsforteckning</t>
        </is>
      </c>
      <c r="AD1879" t="inlineStr">
        <is>
          <t>Nej</t>
        </is>
      </c>
      <c r="AE1879" t="inlineStr">
        <is>
          <t>Nej</t>
        </is>
      </c>
      <c r="AF1879" t="inlineStr">
        <is>
          <t>Ej behandlad</t>
        </is>
      </c>
      <c r="AG1879" t="inlineStr">
        <is>
          <t>AUTO_GENERERAD. Verifiera citat mot kallfil.</t>
        </is>
      </c>
      <c r="AH1879" t="inlineStr">
        <is>
          <t>MEDIUM</t>
        </is>
      </c>
      <c r="AI1879" t="inlineStr">
        <is>
          <t>AUTO</t>
        </is>
      </c>
      <c r="AJ1879" t="inlineStr">
        <is>
          <t>Nej</t>
        </is>
      </c>
      <c r="AK1879" t="inlineStr"/>
      <c r="AL1879" t="inlineStr"/>
      <c r="AM1879" t="inlineStr"/>
      <c r="AN1879" t="inlineStr"/>
      <c r="AO1879" t="inlineStr">
        <is>
          <t>cmm4yunt0010ncuqwxpd0eacl</t>
        </is>
      </c>
      <c r="AP1879" t="inlineStr">
        <is>
          <t>http://localhost:8787/api/admin/requirements/documents/cmm4yunt0010ncuqwxpd0eacl/view</t>
        </is>
      </c>
      <c r="AQ1879">
        <f>HYPERLÄNK("http://localhost:8787/api/admin/requirements/documents/cmm4yunt0010ncuqwxpd0eacl/view";"Öppna PDF")</f>
        <v/>
      </c>
      <c r="AR1879">
        <f>HYPERLINK("http://localhost:8787/api/admin/requirements/documents/cmm4yunt0010ncuqwxpd0eacl/view","Open PDF")</f>
        <v/>
      </c>
      <c r="AS1879" t="inlineStr">
        <is>
          <t>cmm55w57p0004cuisfrtpqly8</t>
        </is>
      </c>
      <c r="AT1879" t="inlineStr">
        <is>
          <t>cmm4xvu980000cuh4vj0usz09</t>
        </is>
      </c>
      <c r="AU1879" t="inlineStr"/>
      <c r="AV1879" t="inlineStr">
        <is>
          <t>Kommun</t>
        </is>
      </c>
      <c r="AW1879" t="inlineStr"/>
      <c r="AX1879" t="inlineStr">
        <is>
          <t>2025-02</t>
        </is>
      </c>
      <c r="AY1879" t="inlineStr">
        <is>
          <t>Komplettering</t>
        </is>
      </c>
      <c r="AZ1879" t="inlineStr">
        <is>
          <t>2026-02-03</t>
        </is>
      </c>
      <c r="BA1879" t="inlineStr">
        <is>
          <t>E-post med kompletterande svar från Swerock.pdf</t>
        </is>
      </c>
      <c r="BB1879" t="inlineStr">
        <is>
          <t>Sv: till registrator</t>
        </is>
      </c>
      <c r="BC1879" t="inlineStr">
        <is>
          <t>AUTO</t>
        </is>
      </c>
      <c r="BD1879" t="inlineStr"/>
      <c r="BE1879" t="inlineStr"/>
      <c r="BF1879" t="inlineStr">
        <is>
          <t>AUTO_GENERERAD. Bekrafta metadata mot kallfil.</t>
        </is>
      </c>
      <c r="BG1879">
        <f>HYPERLINK("C:\Users\jimmy\Desktop\Examens arbete\Kod\Ny mapp\remix_-copy-of-miljöbeslut.se-portal\E-post med kompletterande svar från Swerock.pdf", "Öppna PDF")</f>
        <v/>
      </c>
    </row>
    <row r="1880">
      <c r="A1880" t="inlineStr">
        <is>
          <t>KRAV-AUTO-001879</t>
        </is>
      </c>
      <c r="B1880" t="inlineStr">
        <is>
          <t>ADMIN-INDEX-2026-02-27-00000000125C043F57453246863FE664CAFE6A3F0700950291EA24F0614FB6ACEDB12BF0E31D00000000010C0000950291EA24F0614FB6ACEDB12BF0E31D00002087AF0A0000</t>
        </is>
      </c>
      <c r="C1880" t="inlineStr">
        <is>
          <t>cmm4yunsm0108cuqwp6xjusca</t>
        </is>
      </c>
      <c r="D1880" t="inlineStr">
        <is>
          <t>http://localhost:8787/api/admin/requirements/documents/cmm4yunsm0108cuqwp6xjusca/view</t>
        </is>
      </c>
      <c r="E1880">
        <f>HYPERLÄNK("http://localhost:8787/api/admin/requirements/documents/cmm4yunsm0108cuqwp6xjusca/view";"Öppna PDF")</f>
        <v/>
      </c>
      <c r="F1880">
        <f>HYPERLINK("http://localhost:8787/api/admin/requirements/documents/cmm4yunsm0108cuqwp6xjusca/view","Open PDF")</f>
        <v/>
      </c>
      <c r="G1880" t="inlineStr">
        <is>
          <t>cmm55w57p0004cuisfrtpqly8</t>
        </is>
      </c>
      <c r="H1880" t="inlineStr">
        <is>
          <t>Informationskrav</t>
        </is>
      </c>
      <c r="I1880" t="inlineStr">
        <is>
          <t>Riskhantering</t>
        </is>
      </c>
      <c r="J1880" t="inlineStr">
        <is>
          <t>Riskkontroll</t>
        </is>
      </c>
      <c r="K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80" t="inlineStr">
        <is>
          <t>SKA</t>
        </is>
      </c>
      <c r="N1880" t="inlineStr"/>
      <c r="O1880" t="inlineStr">
        <is>
          <t>2025-07-15</t>
        </is>
      </c>
      <c r="P1880" t="inlineStr">
        <is>
          <t>Arlig</t>
        </is>
      </c>
      <c r="Q1880" t="inlineStr"/>
      <c r="R1880" t="inlineStr">
        <is>
          <t>Vid risk for incident</t>
        </is>
      </c>
      <c r="S1880" t="inlineStr"/>
      <c r="T1880" t="inlineStr">
        <is>
          <t>820006</t>
        </is>
      </c>
      <c r="U1880" t="n">
        <v>0</v>
      </c>
      <c r="V1880" t="inlineStr"/>
      <c r="W1880" t="inlineStr">
        <is>
          <t>Nej</t>
        </is>
      </c>
      <c r="X1880" t="inlineStr">
        <is>
          <t>Nej</t>
        </is>
      </c>
      <c r="Y1880" t="inlineStr">
        <is>
          <t>Ja</t>
        </is>
      </c>
      <c r="Z1880" t="inlineStr">
        <is>
          <t>Ja</t>
        </is>
      </c>
      <c r="AA1880" t="n">
        <v>8</v>
      </c>
      <c r="AB1880" t="inlineStr">
        <is>
          <t>Riskhantering</t>
        </is>
      </c>
      <c r="AC1880" t="inlineStr">
        <is>
          <t>Risk-PM</t>
        </is>
      </c>
      <c r="AD1880" t="inlineStr">
        <is>
          <t>Nej</t>
        </is>
      </c>
      <c r="AE1880" t="inlineStr">
        <is>
          <t>Nej</t>
        </is>
      </c>
      <c r="AF1880" t="inlineStr">
        <is>
          <t>Ej behandlad</t>
        </is>
      </c>
      <c r="AG1880" t="inlineStr">
        <is>
          <t>AUTO_GENERERAD. Verifiera citat mot kallfil.</t>
        </is>
      </c>
      <c r="AH1880" t="inlineStr">
        <is>
          <t>MEDIUM</t>
        </is>
      </c>
      <c r="AI1880" t="inlineStr">
        <is>
          <t>AUTO</t>
        </is>
      </c>
      <c r="AJ1880" t="inlineStr">
        <is>
          <t>Nej</t>
        </is>
      </c>
      <c r="AK1880" t="inlineStr"/>
      <c r="AL1880" t="inlineStr"/>
      <c r="AM1880" t="inlineStr"/>
      <c r="AN1880" t="inlineStr"/>
      <c r="AO1880" t="inlineStr">
        <is>
          <t>cmm4yunt0010ncuqwxpd0eacl</t>
        </is>
      </c>
      <c r="AP1880" t="inlineStr">
        <is>
          <t>http://localhost:8787/api/admin/requirements/documents/cmm4yunt0010ncuqwxpd0eacl/view</t>
        </is>
      </c>
      <c r="AQ1880">
        <f>HYPERLÄNK("http://localhost:8787/api/admin/requirements/documents/cmm4yunt0010ncuqwxpd0eacl/view";"Öppna PDF")</f>
        <v/>
      </c>
      <c r="AR1880">
        <f>HYPERLINK("http://localhost:8787/api/admin/requirements/documents/cmm4yunt0010ncuqwxpd0eacl/view","Open PDF")</f>
        <v/>
      </c>
      <c r="AS1880" t="inlineStr">
        <is>
          <t>cmm55w57p0004cuisfrtpqly8</t>
        </is>
      </c>
      <c r="AT1880" t="inlineStr">
        <is>
          <t>cmm4xvu980000cuh4vj0usz09</t>
        </is>
      </c>
      <c r="AU1880" t="inlineStr"/>
      <c r="AV1880" t="inlineStr">
        <is>
          <t>Kommun</t>
        </is>
      </c>
      <c r="AW1880" t="inlineStr"/>
      <c r="AX1880" t="inlineStr">
        <is>
          <t>2025-02</t>
        </is>
      </c>
      <c r="AY1880" t="inlineStr">
        <is>
          <t>Komplettering</t>
        </is>
      </c>
      <c r="AZ1880" t="inlineStr">
        <is>
          <t>2026-02-03</t>
        </is>
      </c>
      <c r="BA1880" t="inlineStr">
        <is>
          <t>E-post med kompletterande svar från Swerock.pdf</t>
        </is>
      </c>
      <c r="BB1880" t="inlineStr">
        <is>
          <t>Sv: till registrator</t>
        </is>
      </c>
      <c r="BC1880" t="inlineStr">
        <is>
          <t>AUTO</t>
        </is>
      </c>
      <c r="BD1880" t="inlineStr"/>
      <c r="BE1880" t="inlineStr"/>
      <c r="BF1880" t="inlineStr">
        <is>
          <t>AUTO_GENERERAD. Bekrafta metadata mot kallfil.</t>
        </is>
      </c>
      <c r="BG1880">
        <f>HYPERLINK("C:\Users\jimmy\Desktop\Examens arbete\Kod\Ny mapp\remix_-copy-of-miljöbeslut.se-portal\E-post med kompletterande svar från Swerock.pdf", "Öppna PDF")</f>
        <v/>
      </c>
    </row>
    <row r="1881">
      <c r="A1881" t="inlineStr">
        <is>
          <t>KRAV-AUTO-001880</t>
        </is>
      </c>
      <c r="B1881" t="inlineStr">
        <is>
          <t>ADMIN-INDEX-2026-02-27-00000000125C043F57453246863FE664CAFE6A3F0700950291EA24F0614FB6ACEDB12BF0E31D00000000010C0000950291EA24F0614FB6ACEDB12BF0E31D00002087AF0A0000</t>
        </is>
      </c>
      <c r="C1881" t="inlineStr">
        <is>
          <t>cmm4yunsj0105cuqwzh1j856i</t>
        </is>
      </c>
      <c r="D1881" t="inlineStr">
        <is>
          <t>http://localhost:8787/api/admin/requirements/documents/cmm4yunsj0105cuqwzh1j856i/view</t>
        </is>
      </c>
      <c r="E1881">
        <f>HYPERLÄNK("http://localhost:8787/api/admin/requirements/documents/cmm4yunsj0105cuqwzh1j856i/view";"Öppna PDF")</f>
        <v/>
      </c>
      <c r="F1881">
        <f>HYPERLINK("http://localhost:8787/api/admin/requirements/documents/cmm4yunsj0105cuqwzh1j856i/view","Open PDF")</f>
        <v/>
      </c>
      <c r="G1881" t="inlineStr">
        <is>
          <t>cmm55w57p0004cuisfrtpqly8</t>
        </is>
      </c>
      <c r="H1881" t="inlineStr">
        <is>
          <t>Beslutsvillkor</t>
        </is>
      </c>
      <c r="I1881" t="inlineStr">
        <is>
          <t>DagvattenLakvatten</t>
        </is>
      </c>
      <c r="J1881" t="inlineStr">
        <is>
          <t>Uppsamling</t>
        </is>
      </c>
      <c r="K1881" t="inlineStr">
        <is>
          <t>Provtagning av finpartikulärt material som eventuellt ansamlats i de avskärande dikena kring lagringsytorna syftar till att säkerställa att inget förorenat dagvatten har spridits via dagvatten till kringliggande recipienter.</t>
        </is>
      </c>
      <c r="L1881" t="inlineStr">
        <is>
          <t>Provtagning av finpartikulärt material som eventuellt ansamlats i de avskärande dikena kring lagringsytorna syftar till att säkerställa att inget förorenat dagvatten har spridits via dagvatten till kringliggande recipienter.</t>
        </is>
      </c>
      <c r="M1881" t="inlineStr">
        <is>
          <t>SKA</t>
        </is>
      </c>
      <c r="N1881" t="inlineStr"/>
      <c r="O1881" t="inlineStr"/>
      <c r="P1881" t="inlineStr"/>
      <c r="Q1881" t="inlineStr"/>
      <c r="R1881" t="inlineStr">
        <is>
          <t>Vid nederbord och avrinning</t>
        </is>
      </c>
      <c r="S1881" t="inlineStr"/>
      <c r="T1881" t="inlineStr">
        <is>
          <t>556767</t>
        </is>
      </c>
      <c r="U1881" t="inlineStr"/>
      <c r="V1881" t="inlineStr"/>
      <c r="W1881" t="inlineStr">
        <is>
          <t>Nej</t>
        </is>
      </c>
      <c r="X1881" t="inlineStr">
        <is>
          <t>Ja</t>
        </is>
      </c>
      <c r="Y1881" t="inlineStr">
        <is>
          <t>Ja</t>
        </is>
      </c>
      <c r="Z1881" t="inlineStr">
        <is>
          <t>Nej</t>
        </is>
      </c>
      <c r="AA1881" t="n">
        <v>6</v>
      </c>
      <c r="AB1881" t="inlineStr">
        <is>
          <t>Lakvattenhantering</t>
        </is>
      </c>
      <c r="AC1881" t="inlineStr">
        <is>
          <t>Flodesschema dagvatten-lakvatten</t>
        </is>
      </c>
      <c r="AD1881" t="inlineStr">
        <is>
          <t>Nej</t>
        </is>
      </c>
      <c r="AE1881" t="inlineStr">
        <is>
          <t>Nej</t>
        </is>
      </c>
      <c r="AF1881" t="inlineStr">
        <is>
          <t>Ej behandlad</t>
        </is>
      </c>
      <c r="AG1881" t="inlineStr">
        <is>
          <t>AUTO_GENERERAD. Verifiera citat mot kallfil.</t>
        </is>
      </c>
      <c r="AH1881" t="inlineStr">
        <is>
          <t>MEDIUM</t>
        </is>
      </c>
      <c r="AI1881" t="inlineStr">
        <is>
          <t>AUTO</t>
        </is>
      </c>
      <c r="AJ1881" t="inlineStr">
        <is>
          <t>Nej</t>
        </is>
      </c>
      <c r="AK1881" t="inlineStr"/>
      <c r="AL1881" t="inlineStr"/>
      <c r="AM1881" t="inlineStr"/>
      <c r="AN1881" t="inlineStr"/>
      <c r="AO1881" t="inlineStr">
        <is>
          <t>cmm4yunt0010ncuqwxpd0eacl</t>
        </is>
      </c>
      <c r="AP1881" t="inlineStr">
        <is>
          <t>http://localhost:8787/api/admin/requirements/documents/cmm4yunt0010ncuqwxpd0eacl/view</t>
        </is>
      </c>
      <c r="AQ1881">
        <f>HYPERLÄNK("http://localhost:8787/api/admin/requirements/documents/cmm4yunt0010ncuqwxpd0eacl/view";"Öppna PDF")</f>
        <v/>
      </c>
      <c r="AR1881">
        <f>HYPERLINK("http://localhost:8787/api/admin/requirements/documents/cmm4yunt0010ncuqwxpd0eacl/view","Open PDF")</f>
        <v/>
      </c>
      <c r="AS1881" t="inlineStr">
        <is>
          <t>cmm55w57p0004cuisfrtpqly8</t>
        </is>
      </c>
      <c r="AT1881" t="inlineStr">
        <is>
          <t>cmm4xvu980000cuh4vj0usz09</t>
        </is>
      </c>
      <c r="AU1881" t="inlineStr"/>
      <c r="AV1881" t="inlineStr">
        <is>
          <t>Kommun</t>
        </is>
      </c>
      <c r="AW1881" t="inlineStr"/>
      <c r="AX1881" t="inlineStr">
        <is>
          <t>2025-02</t>
        </is>
      </c>
      <c r="AY1881" t="inlineStr">
        <is>
          <t>Komplettering</t>
        </is>
      </c>
      <c r="AZ1881" t="inlineStr">
        <is>
          <t>2026-02-03</t>
        </is>
      </c>
      <c r="BA1881" t="inlineStr">
        <is>
          <t>E-post med kompletterande svar från Swerock.pdf</t>
        </is>
      </c>
      <c r="BB1881" t="inlineStr">
        <is>
          <t>Sv: till registrator</t>
        </is>
      </c>
      <c r="BC1881" t="inlineStr">
        <is>
          <t>AUTO</t>
        </is>
      </c>
      <c r="BD1881" t="inlineStr"/>
      <c r="BE1881" t="inlineStr"/>
      <c r="BF1881" t="inlineStr">
        <is>
          <t>AUTO_GENERERAD. Bekrafta metadata mot kallfil.</t>
        </is>
      </c>
      <c r="BG1881">
        <f>HYPERLINK("C:\Users\jimmy\Desktop\Examens arbete\Kod\Ny mapp\remix_-copy-of-miljöbeslut.se-portal\E-post med kompletterande svar från Swerock.pdf", "Öppna PDF")</f>
        <v/>
      </c>
    </row>
    <row r="1882">
      <c r="A1882" t="inlineStr">
        <is>
          <t>KRAV-AUTO-001881</t>
        </is>
      </c>
      <c r="B1882" t="inlineStr">
        <is>
          <t>ADMIN-INDEX-2026-02-27-00000000125C043F57453246863FE664CAFE6A3F0700950291EA24F0614FB6ACEDB12BF0E31D00000000010C0000950291EA24F0614FB6ACEDB12BF0E31D00002087AF0A0000</t>
        </is>
      </c>
      <c r="C1882" t="inlineStr">
        <is>
          <t>cmm4yunsj0105cuqwzh1j856i</t>
        </is>
      </c>
      <c r="D1882" t="inlineStr">
        <is>
          <t>http://localhost:8787/api/admin/requirements/documents/cmm4yunsj0105cuqwzh1j856i/view</t>
        </is>
      </c>
      <c r="E1882">
        <f>HYPERLÄNK("http://localhost:8787/api/admin/requirements/documents/cmm4yunsj0105cuqwzh1j856i/view";"Öppna PDF")</f>
        <v/>
      </c>
      <c r="F1882">
        <f>HYPERLINK("http://localhost:8787/api/admin/requirements/documents/cmm4yunsj0105cuqwzh1j856i/view","Open PDF")</f>
        <v/>
      </c>
      <c r="G1882" t="inlineStr">
        <is>
          <t>cmm55w57p0004cuisfrtpqly8</t>
        </is>
      </c>
      <c r="H1882" t="inlineStr">
        <is>
          <t>Beslutsvillkor</t>
        </is>
      </c>
      <c r="I1882" t="inlineStr">
        <is>
          <t>DriftEgenkontroll</t>
        </is>
      </c>
      <c r="J1882" t="inlineStr">
        <is>
          <t>Journalforing</t>
        </is>
      </c>
      <c r="K1882" t="inlineStr">
        <is>
          <t>För jordprovtagning används endast provtagningskärl (diffusionstäta påsar) som tillhandhålls av laboratoriet.</t>
        </is>
      </c>
      <c r="L1882" t="inlineStr">
        <is>
          <t>För jordprovtagning används endast provtagningskärl (diffusionstäta påsar) som tillhandhålls av laboratoriet.</t>
        </is>
      </c>
      <c r="M1882" t="inlineStr">
        <is>
          <t>SKA</t>
        </is>
      </c>
      <c r="N1882" t="inlineStr"/>
      <c r="O1882" t="inlineStr"/>
      <c r="P1882" t="inlineStr"/>
      <c r="Q1882" t="inlineStr"/>
      <c r="R1882" t="inlineStr">
        <is>
          <t>Lopande drift</t>
        </is>
      </c>
      <c r="S1882" t="inlineStr"/>
      <c r="T1882" t="inlineStr">
        <is>
          <t>556767</t>
        </is>
      </c>
      <c r="U1882" t="inlineStr"/>
      <c r="V1882" t="inlineStr"/>
      <c r="W1882" t="inlineStr">
        <is>
          <t>Nej</t>
        </is>
      </c>
      <c r="X1882" t="inlineStr">
        <is>
          <t>Nej</t>
        </is>
      </c>
      <c r="Y1882" t="inlineStr">
        <is>
          <t>Ja</t>
        </is>
      </c>
      <c r="Z1882" t="inlineStr">
        <is>
          <t>Nej</t>
        </is>
      </c>
      <c r="AA1882" t="n">
        <v>7</v>
      </c>
      <c r="AB1882" t="inlineStr">
        <is>
          <t>Egenkontrollrutiner</t>
        </is>
      </c>
      <c r="AC1882" t="inlineStr">
        <is>
          <t>Egenkontrollprogram</t>
        </is>
      </c>
      <c r="AD1882" t="inlineStr">
        <is>
          <t>Nej</t>
        </is>
      </c>
      <c r="AE1882" t="inlineStr">
        <is>
          <t>Nej</t>
        </is>
      </c>
      <c r="AF1882" t="inlineStr">
        <is>
          <t>Ej behandlad</t>
        </is>
      </c>
      <c r="AG1882" t="inlineStr">
        <is>
          <t>AUTO_GENERERAD. Verifiera citat mot kallfil.</t>
        </is>
      </c>
      <c r="AH1882" t="inlineStr">
        <is>
          <t>MEDIUM</t>
        </is>
      </c>
      <c r="AI1882" t="inlineStr">
        <is>
          <t>AUTO</t>
        </is>
      </c>
      <c r="AJ1882" t="inlineStr">
        <is>
          <t>Nej</t>
        </is>
      </c>
      <c r="AK1882" t="inlineStr"/>
      <c r="AL1882" t="inlineStr"/>
      <c r="AM1882" t="inlineStr"/>
      <c r="AN1882" t="inlineStr"/>
      <c r="AO1882" t="inlineStr">
        <is>
          <t>cmm4yunt0010ncuqwxpd0eacl</t>
        </is>
      </c>
      <c r="AP1882" t="inlineStr">
        <is>
          <t>http://localhost:8787/api/admin/requirements/documents/cmm4yunt0010ncuqwxpd0eacl/view</t>
        </is>
      </c>
      <c r="AQ1882">
        <f>HYPERLÄNK("http://localhost:8787/api/admin/requirements/documents/cmm4yunt0010ncuqwxpd0eacl/view";"Öppna PDF")</f>
        <v/>
      </c>
      <c r="AR1882">
        <f>HYPERLINK("http://localhost:8787/api/admin/requirements/documents/cmm4yunt0010ncuqwxpd0eacl/view","Open PDF")</f>
        <v/>
      </c>
      <c r="AS1882" t="inlineStr">
        <is>
          <t>cmm55w57p0004cuisfrtpqly8</t>
        </is>
      </c>
      <c r="AT1882" t="inlineStr">
        <is>
          <t>cmm4xvu980000cuh4vj0usz09</t>
        </is>
      </c>
      <c r="AU1882" t="inlineStr"/>
      <c r="AV1882" t="inlineStr">
        <is>
          <t>Kommun</t>
        </is>
      </c>
      <c r="AW1882" t="inlineStr"/>
      <c r="AX1882" t="inlineStr">
        <is>
          <t>2025-02</t>
        </is>
      </c>
      <c r="AY1882" t="inlineStr">
        <is>
          <t>Komplettering</t>
        </is>
      </c>
      <c r="AZ1882" t="inlineStr">
        <is>
          <t>2026-02-03</t>
        </is>
      </c>
      <c r="BA1882" t="inlineStr">
        <is>
          <t>E-post med kompletterande svar från Swerock.pdf</t>
        </is>
      </c>
      <c r="BB1882" t="inlineStr">
        <is>
          <t>Sv: till registrator</t>
        </is>
      </c>
      <c r="BC1882" t="inlineStr">
        <is>
          <t>AUTO</t>
        </is>
      </c>
      <c r="BD1882" t="inlineStr"/>
      <c r="BE1882" t="inlineStr"/>
      <c r="BF1882" t="inlineStr">
        <is>
          <t>AUTO_GENERERAD. Bekrafta metadata mot kallfil.</t>
        </is>
      </c>
      <c r="BG1882">
        <f>HYPERLINK("C:\Users\jimmy\Desktop\Examens arbete\Kod\Ny mapp\remix_-copy-of-miljöbeslut.se-portal\E-post med kompletterande svar från Swerock.pdf", "Öppna PDF")</f>
        <v/>
      </c>
    </row>
    <row r="1883">
      <c r="A1883" t="inlineStr">
        <is>
          <t>KRAV-AUTO-001882</t>
        </is>
      </c>
      <c r="B1883" t="inlineStr">
        <is>
          <t>ADMIN-INDEX-2026-02-27-00000000125C043F57453246863FE664CAFE6A3F0700950291EA24F0614FB6ACEDB12BF0E31D00000000010C0000950291EA24F0614FB6ACEDB12BF0E31D00002087AF0A0000</t>
        </is>
      </c>
      <c r="C1883" t="inlineStr">
        <is>
          <t>cmm4yunsj0105cuqwzh1j856i</t>
        </is>
      </c>
      <c r="D1883" t="inlineStr">
        <is>
          <t>http://localhost:8787/api/admin/requirements/documents/cmm4yunsj0105cuqwzh1j856i/view</t>
        </is>
      </c>
      <c r="E1883">
        <f>HYPERLÄNK("http://localhost:8787/api/admin/requirements/documents/cmm4yunsj0105cuqwzh1j856i/view";"Öppna PDF")</f>
        <v/>
      </c>
      <c r="F1883">
        <f>HYPERLINK("http://localhost:8787/api/admin/requirements/documents/cmm4yunsj0105cuqwzh1j856i/view","Open PDF")</f>
        <v/>
      </c>
      <c r="G1883" t="inlineStr">
        <is>
          <t>cmm55w57p0004cuisfrtpqly8</t>
        </is>
      </c>
      <c r="H1883" t="inlineStr">
        <is>
          <t>Beslutsvillkor</t>
        </is>
      </c>
      <c r="I1883" t="inlineStr">
        <is>
          <t>DriftEgenkontroll</t>
        </is>
      </c>
      <c r="J1883" t="inlineStr">
        <is>
          <t>Journalforing</t>
        </is>
      </c>
      <c r="K1883" t="inlineStr">
        <is>
          <t>Efter genomförd provtagning förvaras samtliga jordprov kylda och i mörkt utrymme inför och under leverans till ett ackrediterat laboratorium för miljöanalyser.</t>
        </is>
      </c>
      <c r="L1883" t="inlineStr">
        <is>
          <t>Efter genomförd provtagning förvaras samtliga jordprov kylda och i mörkt utrymme inför och under leverans till ett ackrediterat laboratorium för miljöanalyser.</t>
        </is>
      </c>
      <c r="M1883" t="inlineStr">
        <is>
          <t>BOR</t>
        </is>
      </c>
      <c r="N1883" t="inlineStr"/>
      <c r="O1883" t="inlineStr"/>
      <c r="P1883" t="inlineStr"/>
      <c r="Q1883" t="inlineStr"/>
      <c r="R1883" t="inlineStr">
        <is>
          <t>Lopande drift</t>
        </is>
      </c>
      <c r="S1883" t="inlineStr"/>
      <c r="T1883" t="inlineStr">
        <is>
          <t>556767</t>
        </is>
      </c>
      <c r="U1883" t="inlineStr"/>
      <c r="V1883" t="inlineStr"/>
      <c r="W1883" t="inlineStr">
        <is>
          <t>Nej</t>
        </is>
      </c>
      <c r="X1883" t="inlineStr">
        <is>
          <t>Nej</t>
        </is>
      </c>
      <c r="Y1883" t="inlineStr">
        <is>
          <t>Ja</t>
        </is>
      </c>
      <c r="Z1883" t="inlineStr">
        <is>
          <t>Nej</t>
        </is>
      </c>
      <c r="AA1883" t="n">
        <v>7</v>
      </c>
      <c r="AB1883" t="inlineStr">
        <is>
          <t>Egenkontrollrutiner</t>
        </is>
      </c>
      <c r="AC1883" t="inlineStr">
        <is>
          <t>Egenkontrollprogram</t>
        </is>
      </c>
      <c r="AD1883" t="inlineStr">
        <is>
          <t>Nej</t>
        </is>
      </c>
      <c r="AE1883" t="inlineStr">
        <is>
          <t>Nej</t>
        </is>
      </c>
      <c r="AF1883" t="inlineStr">
        <is>
          <t>Ej behandlad</t>
        </is>
      </c>
      <c r="AG1883" t="inlineStr">
        <is>
          <t>AUTO_GENERERAD. Verifiera citat mot kallfil.</t>
        </is>
      </c>
      <c r="AH1883" t="inlineStr">
        <is>
          <t>MEDIUM</t>
        </is>
      </c>
      <c r="AI1883" t="inlineStr">
        <is>
          <t>AUTO</t>
        </is>
      </c>
      <c r="AJ1883" t="inlineStr">
        <is>
          <t>Nej</t>
        </is>
      </c>
      <c r="AK1883" t="inlineStr"/>
      <c r="AL1883" t="inlineStr"/>
      <c r="AM1883" t="inlineStr"/>
      <c r="AN1883" t="inlineStr"/>
      <c r="AO1883" t="inlineStr">
        <is>
          <t>cmm4yunt0010ncuqwxpd0eacl</t>
        </is>
      </c>
      <c r="AP1883" t="inlineStr">
        <is>
          <t>http://localhost:8787/api/admin/requirements/documents/cmm4yunt0010ncuqwxpd0eacl/view</t>
        </is>
      </c>
      <c r="AQ1883">
        <f>HYPERLÄNK("http://localhost:8787/api/admin/requirements/documents/cmm4yunt0010ncuqwxpd0eacl/view";"Öppna PDF")</f>
        <v/>
      </c>
      <c r="AR1883">
        <f>HYPERLINK("http://localhost:8787/api/admin/requirements/documents/cmm4yunt0010ncuqwxpd0eacl/view","Open PDF")</f>
        <v/>
      </c>
      <c r="AS1883" t="inlineStr">
        <is>
          <t>cmm55w57p0004cuisfrtpqly8</t>
        </is>
      </c>
      <c r="AT1883" t="inlineStr">
        <is>
          <t>cmm4xvu980000cuh4vj0usz09</t>
        </is>
      </c>
      <c r="AU1883" t="inlineStr"/>
      <c r="AV1883" t="inlineStr">
        <is>
          <t>Kommun</t>
        </is>
      </c>
      <c r="AW1883" t="inlineStr"/>
      <c r="AX1883" t="inlineStr">
        <is>
          <t>2025-02</t>
        </is>
      </c>
      <c r="AY1883" t="inlineStr">
        <is>
          <t>Komplettering</t>
        </is>
      </c>
      <c r="AZ1883" t="inlineStr">
        <is>
          <t>2026-02-03</t>
        </is>
      </c>
      <c r="BA1883" t="inlineStr">
        <is>
          <t>E-post med kompletterande svar från Swerock.pdf</t>
        </is>
      </c>
      <c r="BB1883" t="inlineStr">
        <is>
          <t>Sv: till registrator</t>
        </is>
      </c>
      <c r="BC1883" t="inlineStr">
        <is>
          <t>AUTO</t>
        </is>
      </c>
      <c r="BD1883" t="inlineStr"/>
      <c r="BE1883" t="inlineStr"/>
      <c r="BF1883" t="inlineStr">
        <is>
          <t>AUTO_GENERERAD. Bekrafta metadata mot kallfil.</t>
        </is>
      </c>
      <c r="BG1883">
        <f>HYPERLINK("C:\Users\jimmy\Desktop\Examens arbete\Kod\Ny mapp\remix_-copy-of-miljöbeslut.se-portal\E-post med kompletterande svar från Swerock.pdf", "Öppna PDF")</f>
        <v/>
      </c>
    </row>
    <row r="1884">
      <c r="A1884" t="inlineStr">
        <is>
          <t>KRAV-AUTO-001883</t>
        </is>
      </c>
      <c r="B1884" t="inlineStr">
        <is>
          <t>ADMIN-INDEX-2026-02-27-00000000125C043F57453246863FE664CAFE6A3F0700950291EA24F0614FB6ACEDB12BF0E31D00000000010C0000950291EA24F0614FB6ACEDB12BF0E31D00002087AF0A0000</t>
        </is>
      </c>
      <c r="C1884" t="inlineStr">
        <is>
          <t>cmm4yunsh0102cuqwnkylyiy2</t>
        </is>
      </c>
      <c r="D1884" t="inlineStr">
        <is>
          <t>http://localhost:8787/api/admin/requirements/documents/cmm4yunsh0102cuqwnkylyiy2/view</t>
        </is>
      </c>
      <c r="E1884">
        <f>HYPERLÄNK("http://localhost:8787/api/admin/requirements/documents/cmm4yunsh0102cuqwnkylyiy2/view";"Öppna PDF")</f>
        <v/>
      </c>
      <c r="F1884">
        <f>HYPERLINK("http://localhost:8787/api/admin/requirements/documents/cmm4yunsh0102cuqwnkylyiy2/view","Open PDF")</f>
        <v/>
      </c>
      <c r="G1884" t="inlineStr">
        <is>
          <t>cmm55w57p0004cuisfrtpqly8</t>
        </is>
      </c>
      <c r="H1884" t="inlineStr">
        <is>
          <t>Kompletteringskrav</t>
        </is>
      </c>
      <c r="I1884" t="inlineStr">
        <is>
          <t>LagringsvolymTid</t>
        </is>
      </c>
      <c r="J1884" t="inlineStr">
        <is>
          <t>Maxmangd</t>
        </is>
      </c>
      <c r="K1884" t="inlineStr">
        <is>
          <t>De mängder icke farligt avfall som ska lagras i täkten är de massor som inte kan återanvändas i projektet och kommer att behöva transporteras bort från projektet.</t>
        </is>
      </c>
      <c r="L1884" t="inlineStr">
        <is>
          <t>De mängder icke farligt avfall som ska lagras i täkten är de massor som inte kan återanvändas i projektet och kommer att behöva transporteras bort från projektet.</t>
        </is>
      </c>
      <c r="M1884" t="inlineStr">
        <is>
          <t>SKA</t>
        </is>
      </c>
      <c r="N1884" t="inlineStr"/>
      <c r="O1884" t="inlineStr"/>
      <c r="P1884" t="inlineStr">
        <is>
          <t>Arlig</t>
        </is>
      </c>
      <c r="Q1884" t="inlineStr"/>
      <c r="R1884" t="inlineStr">
        <is>
          <t>Alltid</t>
        </is>
      </c>
      <c r="S1884" t="inlineStr"/>
      <c r="T1884" t="inlineStr">
        <is>
          <t>2024 14</t>
        </is>
      </c>
      <c r="U1884" t="inlineStr"/>
      <c r="V1884" t="inlineStr"/>
      <c r="W1884" t="inlineStr">
        <is>
          <t>Nej</t>
        </is>
      </c>
      <c r="X1884" t="inlineStr">
        <is>
          <t>Nej</t>
        </is>
      </c>
      <c r="Y1884" t="inlineStr">
        <is>
          <t>Nej</t>
        </is>
      </c>
      <c r="Z1884" t="inlineStr">
        <is>
          <t>Nej</t>
        </is>
      </c>
      <c r="AA1884" t="n">
        <v>4</v>
      </c>
      <c r="AB1884" t="inlineStr">
        <is>
          <t>Avfallsmangder och lagringstid</t>
        </is>
      </c>
      <c r="AC1884" t="inlineStr">
        <is>
          <t>Avfallsforteckning</t>
        </is>
      </c>
      <c r="AD1884" t="inlineStr">
        <is>
          <t>Nej</t>
        </is>
      </c>
      <c r="AE1884" t="inlineStr">
        <is>
          <t>Nej</t>
        </is>
      </c>
      <c r="AF1884" t="inlineStr">
        <is>
          <t>Ej behandlad</t>
        </is>
      </c>
      <c r="AG1884" t="inlineStr">
        <is>
          <t>AUTO_GENERERAD. Verifiera citat mot kallfil.</t>
        </is>
      </c>
      <c r="AH1884" t="inlineStr">
        <is>
          <t>MEDIUM</t>
        </is>
      </c>
      <c r="AI1884" t="inlineStr">
        <is>
          <t>AUTO</t>
        </is>
      </c>
      <c r="AJ1884" t="inlineStr">
        <is>
          <t>Nej</t>
        </is>
      </c>
      <c r="AK1884" t="inlineStr"/>
      <c r="AL1884" t="inlineStr"/>
      <c r="AM1884" t="inlineStr"/>
      <c r="AN1884" t="inlineStr"/>
      <c r="AO1884" t="inlineStr">
        <is>
          <t>cmm4yunt0010ncuqwxpd0eacl</t>
        </is>
      </c>
      <c r="AP1884" t="inlineStr">
        <is>
          <t>http://localhost:8787/api/admin/requirements/documents/cmm4yunt0010ncuqwxpd0eacl/view</t>
        </is>
      </c>
      <c r="AQ1884">
        <f>HYPERLÄNK("http://localhost:8787/api/admin/requirements/documents/cmm4yunt0010ncuqwxpd0eacl/view";"Öppna PDF")</f>
        <v/>
      </c>
      <c r="AR1884">
        <f>HYPERLINK("http://localhost:8787/api/admin/requirements/documents/cmm4yunt0010ncuqwxpd0eacl/view","Open PDF")</f>
        <v/>
      </c>
      <c r="AS1884" t="inlineStr">
        <is>
          <t>cmm55w57p0004cuisfrtpqly8</t>
        </is>
      </c>
      <c r="AT1884" t="inlineStr">
        <is>
          <t>cmm4xvu980000cuh4vj0usz09</t>
        </is>
      </c>
      <c r="AU1884" t="inlineStr"/>
      <c r="AV1884" t="inlineStr">
        <is>
          <t>Kommun</t>
        </is>
      </c>
      <c r="AW1884" t="inlineStr"/>
      <c r="AX1884" t="inlineStr">
        <is>
          <t>2025-02</t>
        </is>
      </c>
      <c r="AY1884" t="inlineStr">
        <is>
          <t>Komplettering</t>
        </is>
      </c>
      <c r="AZ1884" t="inlineStr">
        <is>
          <t>2026-02-03</t>
        </is>
      </c>
      <c r="BA1884" t="inlineStr">
        <is>
          <t>E-post med kompletterande svar från Swerock.pdf</t>
        </is>
      </c>
      <c r="BB1884" t="inlineStr">
        <is>
          <t>Sv: till registrator</t>
        </is>
      </c>
      <c r="BC1884" t="inlineStr">
        <is>
          <t>AUTO</t>
        </is>
      </c>
      <c r="BD1884" t="inlineStr"/>
      <c r="BE1884" t="inlineStr"/>
      <c r="BF1884" t="inlineStr">
        <is>
          <t>AUTO_GENERERAD. Bekrafta metadata mot kallfil.</t>
        </is>
      </c>
      <c r="BG1884">
        <f>HYPERLINK("C:\Users\jimmy\Desktop\Examens arbete\Kod\Ny mapp\remix_-copy-of-miljöbeslut.se-portal\E-post med kompletterande svar från Swerock.pdf", "Öppna PDF")</f>
        <v/>
      </c>
    </row>
    <row r="1885">
      <c r="A1885" t="inlineStr">
        <is>
          <t>KRAV-AUTO-001884</t>
        </is>
      </c>
      <c r="B1885" t="inlineStr">
        <is>
          <t>ADMIN-INDEX-2026-02-27-00000000125C043F57453246863FE664CAFE6A3F0700950291EA24F0614FB6ACEDB12BF0E31D00000000010C0000950291EA24F0614FB6ACEDB12BF0E31D00002087AF0A0000</t>
        </is>
      </c>
      <c r="C1885" t="inlineStr">
        <is>
          <t>cmm4yunsh0102cuqwnkylyiy2</t>
        </is>
      </c>
      <c r="D1885" t="inlineStr">
        <is>
          <t>http://localhost:8787/api/admin/requirements/documents/cmm4yunsh0102cuqwnkylyiy2/view</t>
        </is>
      </c>
      <c r="E1885">
        <f>HYPERLÄNK("http://localhost:8787/api/admin/requirements/documents/cmm4yunsh0102cuqwnkylyiy2/view";"Öppna PDF")</f>
        <v/>
      </c>
      <c r="F1885">
        <f>HYPERLINK("http://localhost:8787/api/admin/requirements/documents/cmm4yunsh0102cuqwnkylyiy2/view","Open PDF")</f>
        <v/>
      </c>
      <c r="G1885" t="inlineStr">
        <is>
          <t>cmm55w57p0004cuisfrtpqly8</t>
        </is>
      </c>
      <c r="H1885" t="inlineStr">
        <is>
          <t>Kompletteringskrav</t>
        </is>
      </c>
      <c r="I1885" t="inlineStr">
        <is>
          <t>Riskhantering</t>
        </is>
      </c>
      <c r="J1885" t="inlineStr">
        <is>
          <t>Riskkontroll</t>
        </is>
      </c>
      <c r="K1885" t="inlineStr">
        <is>
          <t>I praktiken – hur bedöms risk för mycket nederbörd?</t>
        </is>
      </c>
      <c r="L1885" t="inlineStr">
        <is>
          <t>I praktiken – hur bedöms risk för mycket nederbörd?</t>
        </is>
      </c>
      <c r="M1885" t="inlineStr">
        <is>
          <t>BOR</t>
        </is>
      </c>
      <c r="N1885" t="inlineStr"/>
      <c r="O1885" t="inlineStr"/>
      <c r="P1885" t="inlineStr"/>
      <c r="Q1885" t="inlineStr"/>
      <c r="R1885" t="inlineStr">
        <is>
          <t>Vid risk for incident</t>
        </is>
      </c>
      <c r="S1885" t="inlineStr"/>
      <c r="T1885" t="inlineStr">
        <is>
          <t>2024 14</t>
        </is>
      </c>
      <c r="U1885" t="inlineStr"/>
      <c r="V1885" t="inlineStr"/>
      <c r="W1885" t="inlineStr">
        <is>
          <t>Nej</t>
        </is>
      </c>
      <c r="X1885" t="inlineStr">
        <is>
          <t>Nej</t>
        </is>
      </c>
      <c r="Y1885" t="inlineStr">
        <is>
          <t>Ja</t>
        </is>
      </c>
      <c r="Z1885" t="inlineStr">
        <is>
          <t>Ja</t>
        </is>
      </c>
      <c r="AA1885" t="n">
        <v>8</v>
      </c>
      <c r="AB1885" t="inlineStr">
        <is>
          <t>Riskhantering</t>
        </is>
      </c>
      <c r="AC1885" t="inlineStr">
        <is>
          <t>Risk-PM</t>
        </is>
      </c>
      <c r="AD1885" t="inlineStr">
        <is>
          <t>Nej</t>
        </is>
      </c>
      <c r="AE1885" t="inlineStr">
        <is>
          <t>Nej</t>
        </is>
      </c>
      <c r="AF1885" t="inlineStr">
        <is>
          <t>Ej behandlad</t>
        </is>
      </c>
      <c r="AG1885" t="inlineStr">
        <is>
          <t>AUTO_GENERERAD. Verifiera citat mot kallfil.</t>
        </is>
      </c>
      <c r="AH1885" t="inlineStr">
        <is>
          <t>MEDIUM</t>
        </is>
      </c>
      <c r="AI1885" t="inlineStr">
        <is>
          <t>AUTO</t>
        </is>
      </c>
      <c r="AJ1885" t="inlineStr">
        <is>
          <t>Nej</t>
        </is>
      </c>
      <c r="AK1885" t="inlineStr"/>
      <c r="AL1885" t="inlineStr"/>
      <c r="AM1885" t="inlineStr"/>
      <c r="AN1885" t="inlineStr"/>
      <c r="AO1885" t="inlineStr">
        <is>
          <t>cmm4yunt0010ncuqwxpd0eacl</t>
        </is>
      </c>
      <c r="AP1885" t="inlineStr">
        <is>
          <t>http://localhost:8787/api/admin/requirements/documents/cmm4yunt0010ncuqwxpd0eacl/view</t>
        </is>
      </c>
      <c r="AQ1885">
        <f>HYPERLÄNK("http://localhost:8787/api/admin/requirements/documents/cmm4yunt0010ncuqwxpd0eacl/view";"Öppna PDF")</f>
        <v/>
      </c>
      <c r="AR1885">
        <f>HYPERLINK("http://localhost:8787/api/admin/requirements/documents/cmm4yunt0010ncuqwxpd0eacl/view","Open PDF")</f>
        <v/>
      </c>
      <c r="AS1885" t="inlineStr">
        <is>
          <t>cmm55w57p0004cuisfrtpqly8</t>
        </is>
      </c>
      <c r="AT1885" t="inlineStr">
        <is>
          <t>cmm4xvu980000cuh4vj0usz09</t>
        </is>
      </c>
      <c r="AU1885" t="inlineStr"/>
      <c r="AV1885" t="inlineStr">
        <is>
          <t>Kommun</t>
        </is>
      </c>
      <c r="AW1885" t="inlineStr"/>
      <c r="AX1885" t="inlineStr">
        <is>
          <t>2025-02</t>
        </is>
      </c>
      <c r="AY1885" t="inlineStr">
        <is>
          <t>Komplettering</t>
        </is>
      </c>
      <c r="AZ1885" t="inlineStr">
        <is>
          <t>2026-02-03</t>
        </is>
      </c>
      <c r="BA1885" t="inlineStr">
        <is>
          <t>E-post med kompletterande svar från Swerock.pdf</t>
        </is>
      </c>
      <c r="BB1885" t="inlineStr">
        <is>
          <t>Sv: till registrator</t>
        </is>
      </c>
      <c r="BC1885" t="inlineStr">
        <is>
          <t>AUTO</t>
        </is>
      </c>
      <c r="BD1885" t="inlineStr"/>
      <c r="BE1885" t="inlineStr"/>
      <c r="BF1885" t="inlineStr">
        <is>
          <t>AUTO_GENERERAD. Bekrafta metadata mot kallfil.</t>
        </is>
      </c>
      <c r="BG1885">
        <f>HYPERLINK("C:\Users\jimmy\Desktop\Examens arbete\Kod\Ny mapp\remix_-copy-of-miljöbeslut.se-portal\E-post med kompletterande svar från Swerock.pdf", "Öppna PDF")</f>
        <v/>
      </c>
    </row>
    <row r="1886">
      <c r="A1886" t="inlineStr">
        <is>
          <t>KRAV-AUTO-001885</t>
        </is>
      </c>
      <c r="B1886" t="inlineStr">
        <is>
          <t>ADMIN-INDEX-2026-02-27-00000000125C043F57453246863FE664CAFE6A3F0700950291EA24F0614FB6ACEDB12BF0E31D00000000010C0000950291EA24F0614FB6ACEDB12BF0E31D00002087AF0A0000</t>
        </is>
      </c>
      <c r="C1886" t="inlineStr">
        <is>
          <t>cmm4yunse00zzcuqwtr9ba7l8</t>
        </is>
      </c>
      <c r="D1886" t="inlineStr">
        <is>
          <t>http://localhost:8787/api/admin/requirements/documents/cmm4yunse00zzcuqwtr9ba7l8/view</t>
        </is>
      </c>
      <c r="E1886">
        <f>HYPERLÄNK("http://localhost:8787/api/admin/requirements/documents/cmm4yunse00zzcuqwtr9ba7l8/view";"Öppna PDF")</f>
        <v/>
      </c>
      <c r="F1886">
        <f>HYPERLINK("http://localhost:8787/api/admin/requirements/documents/cmm4yunse00zzcuqwtr9ba7l8/view","Open PDF")</f>
        <v/>
      </c>
      <c r="G1886" t="inlineStr">
        <is>
          <t>cmm55w57p0004cuisfrtpqly8</t>
        </is>
      </c>
      <c r="H1886" t="inlineStr">
        <is>
          <t>Informationskrav</t>
        </is>
      </c>
      <c r="I1886" t="inlineStr">
        <is>
          <t>LagringsvolymTid</t>
        </is>
      </c>
      <c r="J1886" t="inlineStr">
        <is>
          <t>Maxmangd</t>
        </is>
      </c>
      <c r="K1886" t="inlineStr">
        <is>
          <t>De mängder icke farligt avfall som ska lagras i täkten är de massor som inte kan återanvändas i projektet och kommer att behöva transporteras bort från projektet.</t>
        </is>
      </c>
      <c r="L1886" t="inlineStr">
        <is>
          <t>De mängder icke farligt avfall som ska lagras i täkten är de massor som inte kan återanvändas i projektet och kommer att behöva transporteras bort från projektet.</t>
        </is>
      </c>
      <c r="M1886" t="inlineStr">
        <is>
          <t>SKA</t>
        </is>
      </c>
      <c r="N1886" t="inlineStr"/>
      <c r="O1886" t="inlineStr"/>
      <c r="P1886" t="inlineStr">
        <is>
          <t>Arlig</t>
        </is>
      </c>
      <c r="Q1886" t="inlineStr"/>
      <c r="R1886" t="inlineStr">
        <is>
          <t>Alltid</t>
        </is>
      </c>
      <c r="S1886" t="inlineStr"/>
      <c r="T1886" t="inlineStr">
        <is>
          <t>2024 14</t>
        </is>
      </c>
      <c r="U1886" t="inlineStr"/>
      <c r="V1886" t="inlineStr"/>
      <c r="W1886" t="inlineStr">
        <is>
          <t>Nej</t>
        </is>
      </c>
      <c r="X1886" t="inlineStr">
        <is>
          <t>Nej</t>
        </is>
      </c>
      <c r="Y1886" t="inlineStr">
        <is>
          <t>Nej</t>
        </is>
      </c>
      <c r="Z1886" t="inlineStr">
        <is>
          <t>Nej</t>
        </is>
      </c>
      <c r="AA1886" t="n">
        <v>4</v>
      </c>
      <c r="AB1886" t="inlineStr">
        <is>
          <t>Avfallsmangder och lagringstid</t>
        </is>
      </c>
      <c r="AC1886" t="inlineStr">
        <is>
          <t>Avfallsforteckning</t>
        </is>
      </c>
      <c r="AD1886" t="inlineStr">
        <is>
          <t>Nej</t>
        </is>
      </c>
      <c r="AE1886" t="inlineStr">
        <is>
          <t>Nej</t>
        </is>
      </c>
      <c r="AF1886" t="inlineStr">
        <is>
          <t>Ej behandlad</t>
        </is>
      </c>
      <c r="AG1886" t="inlineStr">
        <is>
          <t>AUTO_GENERERAD. Verifiera citat mot kallfil.</t>
        </is>
      </c>
      <c r="AH1886" t="inlineStr">
        <is>
          <t>MEDIUM</t>
        </is>
      </c>
      <c r="AI1886" t="inlineStr">
        <is>
          <t>AUTO</t>
        </is>
      </c>
      <c r="AJ1886" t="inlineStr">
        <is>
          <t>Nej</t>
        </is>
      </c>
      <c r="AK1886" t="inlineStr"/>
      <c r="AL1886" t="inlineStr"/>
      <c r="AM1886" t="inlineStr"/>
      <c r="AN1886" t="inlineStr"/>
      <c r="AO1886" t="inlineStr">
        <is>
          <t>cmm4yunt0010ncuqwxpd0eacl</t>
        </is>
      </c>
      <c r="AP1886" t="inlineStr">
        <is>
          <t>http://localhost:8787/api/admin/requirements/documents/cmm4yunt0010ncuqwxpd0eacl/view</t>
        </is>
      </c>
      <c r="AQ1886">
        <f>HYPERLÄNK("http://localhost:8787/api/admin/requirements/documents/cmm4yunt0010ncuqwxpd0eacl/view";"Öppna PDF")</f>
        <v/>
      </c>
      <c r="AR1886">
        <f>HYPERLINK("http://localhost:8787/api/admin/requirements/documents/cmm4yunt0010ncuqwxpd0eacl/view","Open PDF")</f>
        <v/>
      </c>
      <c r="AS1886" t="inlineStr">
        <is>
          <t>cmm55w57p0004cuisfrtpqly8</t>
        </is>
      </c>
      <c r="AT1886" t="inlineStr">
        <is>
          <t>cmm4xvu980000cuh4vj0usz09</t>
        </is>
      </c>
      <c r="AU1886" t="inlineStr"/>
      <c r="AV1886" t="inlineStr">
        <is>
          <t>Kommun</t>
        </is>
      </c>
      <c r="AW1886" t="inlineStr"/>
      <c r="AX1886" t="inlineStr">
        <is>
          <t>2025-02</t>
        </is>
      </c>
      <c r="AY1886" t="inlineStr">
        <is>
          <t>Komplettering</t>
        </is>
      </c>
      <c r="AZ1886" t="inlineStr">
        <is>
          <t>2026-02-03</t>
        </is>
      </c>
      <c r="BA1886" t="inlineStr">
        <is>
          <t>E-post med kompletterande svar från Swerock.pdf</t>
        </is>
      </c>
      <c r="BB1886" t="inlineStr">
        <is>
          <t>Sv: till registrator</t>
        </is>
      </c>
      <c r="BC1886" t="inlineStr">
        <is>
          <t>AUTO</t>
        </is>
      </c>
      <c r="BD1886" t="inlineStr"/>
      <c r="BE1886" t="inlineStr"/>
      <c r="BF1886" t="inlineStr">
        <is>
          <t>AUTO_GENERERAD. Bekrafta metadata mot kallfil.</t>
        </is>
      </c>
      <c r="BG1886">
        <f>HYPERLINK("C:\Users\jimmy\Desktop\Examens arbete\Kod\Ny mapp\remix_-copy-of-miljöbeslut.se-portal\E-post med kompletterande svar från Swerock.pdf", "Öppna PDF")</f>
        <v/>
      </c>
    </row>
    <row r="1887">
      <c r="A1887" t="inlineStr">
        <is>
          <t>KRAV-AUTO-001886</t>
        </is>
      </c>
      <c r="B1887" t="inlineStr">
        <is>
          <t>ADMIN-INDEX-2026-02-27-00000000125C043F57453246863FE664CAFE6A3F0700950291EA24F0614FB6ACEDB12BF0E31D00000000010C0000950291EA24F0614FB6ACEDB12BF0E31D00002087AF0A0000</t>
        </is>
      </c>
      <c r="C1887" t="inlineStr">
        <is>
          <t>cmm4yunse00zzcuqwtr9ba7l8</t>
        </is>
      </c>
      <c r="D1887" t="inlineStr">
        <is>
          <t>http://localhost:8787/api/admin/requirements/documents/cmm4yunse00zzcuqwtr9ba7l8/view</t>
        </is>
      </c>
      <c r="E1887">
        <f>HYPERLÄNK("http://localhost:8787/api/admin/requirements/documents/cmm4yunse00zzcuqwtr9ba7l8/view";"Öppna PDF")</f>
        <v/>
      </c>
      <c r="F1887">
        <f>HYPERLINK("http://localhost:8787/api/admin/requirements/documents/cmm4yunse00zzcuqwtr9ba7l8/view","Open PDF")</f>
        <v/>
      </c>
      <c r="G1887" t="inlineStr">
        <is>
          <t>cmm55w57p0004cuisfrtpqly8</t>
        </is>
      </c>
      <c r="H1887" t="inlineStr">
        <is>
          <t>Informationskrav</t>
        </is>
      </c>
      <c r="I1887" t="inlineStr">
        <is>
          <t>Riskhantering</t>
        </is>
      </c>
      <c r="J1887" t="inlineStr">
        <is>
          <t>Riskkontroll</t>
        </is>
      </c>
      <c r="K1887" t="inlineStr">
        <is>
          <t>Risk för nederbörd avgörs av väderprognos.</t>
        </is>
      </c>
      <c r="L1887" t="inlineStr">
        <is>
          <t>Risk för nederbörd avgörs av väderprognos.</t>
        </is>
      </c>
      <c r="M1887" t="inlineStr">
        <is>
          <t>BOR</t>
        </is>
      </c>
      <c r="N1887" t="inlineStr"/>
      <c r="O1887" t="inlineStr"/>
      <c r="P1887" t="inlineStr"/>
      <c r="Q1887" t="inlineStr"/>
      <c r="R1887" t="inlineStr">
        <is>
          <t>Vid risk for incident</t>
        </is>
      </c>
      <c r="S1887" t="inlineStr"/>
      <c r="T1887" t="inlineStr">
        <is>
          <t>2024 14</t>
        </is>
      </c>
      <c r="U1887" t="inlineStr"/>
      <c r="V1887" t="inlineStr"/>
      <c r="W1887" t="inlineStr">
        <is>
          <t>Nej</t>
        </is>
      </c>
      <c r="X1887" t="inlineStr">
        <is>
          <t>Nej</t>
        </is>
      </c>
      <c r="Y1887" t="inlineStr">
        <is>
          <t>Ja</t>
        </is>
      </c>
      <c r="Z1887" t="inlineStr">
        <is>
          <t>Ja</t>
        </is>
      </c>
      <c r="AA1887" t="n">
        <v>8</v>
      </c>
      <c r="AB1887" t="inlineStr">
        <is>
          <t>Riskhantering</t>
        </is>
      </c>
      <c r="AC1887" t="inlineStr">
        <is>
          <t>Risk-PM</t>
        </is>
      </c>
      <c r="AD1887" t="inlineStr">
        <is>
          <t>Nej</t>
        </is>
      </c>
      <c r="AE1887" t="inlineStr">
        <is>
          <t>Nej</t>
        </is>
      </c>
      <c r="AF1887" t="inlineStr">
        <is>
          <t>Ej behandlad</t>
        </is>
      </c>
      <c r="AG1887" t="inlineStr">
        <is>
          <t>AUTO_GENERERAD. Verifiera citat mot kallfil.</t>
        </is>
      </c>
      <c r="AH1887" t="inlineStr">
        <is>
          <t>MEDIUM</t>
        </is>
      </c>
      <c r="AI1887" t="inlineStr">
        <is>
          <t>AUTO</t>
        </is>
      </c>
      <c r="AJ1887" t="inlineStr">
        <is>
          <t>Nej</t>
        </is>
      </c>
      <c r="AK1887" t="inlineStr"/>
      <c r="AL1887" t="inlineStr"/>
      <c r="AM1887" t="inlineStr"/>
      <c r="AN1887" t="inlineStr"/>
      <c r="AO1887" t="inlineStr">
        <is>
          <t>cmm4yunt0010ncuqwxpd0eacl</t>
        </is>
      </c>
      <c r="AP1887" t="inlineStr">
        <is>
          <t>http://localhost:8787/api/admin/requirements/documents/cmm4yunt0010ncuqwxpd0eacl/view</t>
        </is>
      </c>
      <c r="AQ1887">
        <f>HYPERLÄNK("http://localhost:8787/api/admin/requirements/documents/cmm4yunt0010ncuqwxpd0eacl/view";"Öppna PDF")</f>
        <v/>
      </c>
      <c r="AR1887">
        <f>HYPERLINK("http://localhost:8787/api/admin/requirements/documents/cmm4yunt0010ncuqwxpd0eacl/view","Open PDF")</f>
        <v/>
      </c>
      <c r="AS1887" t="inlineStr">
        <is>
          <t>cmm55w57p0004cuisfrtpqly8</t>
        </is>
      </c>
      <c r="AT1887" t="inlineStr">
        <is>
          <t>cmm4xvu980000cuh4vj0usz09</t>
        </is>
      </c>
      <c r="AU1887" t="inlineStr"/>
      <c r="AV1887" t="inlineStr">
        <is>
          <t>Kommun</t>
        </is>
      </c>
      <c r="AW1887" t="inlineStr"/>
      <c r="AX1887" t="inlineStr">
        <is>
          <t>2025-02</t>
        </is>
      </c>
      <c r="AY1887" t="inlineStr">
        <is>
          <t>Komplettering</t>
        </is>
      </c>
      <c r="AZ1887" t="inlineStr">
        <is>
          <t>2026-02-03</t>
        </is>
      </c>
      <c r="BA1887" t="inlineStr">
        <is>
          <t>E-post med kompletterande svar från Swerock.pdf</t>
        </is>
      </c>
      <c r="BB1887" t="inlineStr">
        <is>
          <t>Sv: till registrator</t>
        </is>
      </c>
      <c r="BC1887" t="inlineStr">
        <is>
          <t>AUTO</t>
        </is>
      </c>
      <c r="BD1887" t="inlineStr"/>
      <c r="BE1887" t="inlineStr"/>
      <c r="BF1887" t="inlineStr">
        <is>
          <t>AUTO_GENERERAD. Bekrafta metadata mot kallfil.</t>
        </is>
      </c>
      <c r="BG1887">
        <f>HYPERLINK("C:\Users\jimmy\Desktop\Examens arbete\Kod\Ny mapp\remix_-copy-of-miljöbeslut.se-portal\E-post med kompletterande svar från Swerock.pdf", "Öppna PDF")</f>
        <v/>
      </c>
    </row>
    <row r="1888">
      <c r="A1888" t="inlineStr">
        <is>
          <t>KRAV-AUTO-001887</t>
        </is>
      </c>
      <c r="B1888" t="inlineStr">
        <is>
          <t>ADMIN-INDEX-2026-02-27-00000000125C043F57453246863FE664CAFE6A3F0700950291EA24F0614FB6ACEDB12BF0E31D00000000010C0000950291EA24F0614FB6ACEDB12BF0E31D00002087AF0A0000</t>
        </is>
      </c>
      <c r="C1888" t="inlineStr">
        <is>
          <t>cmm4yunse00zzcuqwtr9ba7l8</t>
        </is>
      </c>
      <c r="D1888" t="inlineStr">
        <is>
          <t>http://localhost:8787/api/admin/requirements/documents/cmm4yunse00zzcuqwtr9ba7l8/view</t>
        </is>
      </c>
      <c r="E1888">
        <f>HYPERLÄNK("http://localhost:8787/api/admin/requirements/documents/cmm4yunse00zzcuqwtr9ba7l8/view";"Öppna PDF")</f>
        <v/>
      </c>
      <c r="F1888">
        <f>HYPERLINK("http://localhost:8787/api/admin/requirements/documents/cmm4yunse00zzcuqwtr9ba7l8/view","Open PDF")</f>
        <v/>
      </c>
      <c r="G1888" t="inlineStr">
        <is>
          <t>cmm55w57p0004cuisfrtpqly8</t>
        </is>
      </c>
      <c r="H1888" t="inlineStr">
        <is>
          <t>Informationskrav</t>
        </is>
      </c>
      <c r="I1888" t="inlineStr">
        <is>
          <t>Riskhantering</t>
        </is>
      </c>
      <c r="J1888" t="inlineStr">
        <is>
          <t>Riskkontroll</t>
        </is>
      </c>
      <c r="K1888" t="inlineStr">
        <is>
          <t>I praktiken – hur bedöms risk för mycket nederbörd?</t>
        </is>
      </c>
      <c r="L1888" t="inlineStr">
        <is>
          <t>I praktiken – hur bedöms risk för mycket nederbörd?</t>
        </is>
      </c>
      <c r="M1888" t="inlineStr">
        <is>
          <t>BOR</t>
        </is>
      </c>
      <c r="N1888" t="inlineStr"/>
      <c r="O1888" t="inlineStr"/>
      <c r="P1888" t="inlineStr"/>
      <c r="Q1888" t="inlineStr"/>
      <c r="R1888" t="inlineStr">
        <is>
          <t>Vid risk for incident</t>
        </is>
      </c>
      <c r="S1888" t="inlineStr"/>
      <c r="T1888" t="inlineStr">
        <is>
          <t>2024 14</t>
        </is>
      </c>
      <c r="U1888" t="inlineStr"/>
      <c r="V1888" t="inlineStr"/>
      <c r="W1888" t="inlineStr">
        <is>
          <t>Nej</t>
        </is>
      </c>
      <c r="X1888" t="inlineStr">
        <is>
          <t>Nej</t>
        </is>
      </c>
      <c r="Y1888" t="inlineStr">
        <is>
          <t>Ja</t>
        </is>
      </c>
      <c r="Z1888" t="inlineStr">
        <is>
          <t>Ja</t>
        </is>
      </c>
      <c r="AA1888" t="n">
        <v>8</v>
      </c>
      <c r="AB1888" t="inlineStr">
        <is>
          <t>Riskhantering</t>
        </is>
      </c>
      <c r="AC1888" t="inlineStr">
        <is>
          <t>Risk-PM</t>
        </is>
      </c>
      <c r="AD1888" t="inlineStr">
        <is>
          <t>Nej</t>
        </is>
      </c>
      <c r="AE1888" t="inlineStr">
        <is>
          <t>Nej</t>
        </is>
      </c>
      <c r="AF1888" t="inlineStr">
        <is>
          <t>Ej behandlad</t>
        </is>
      </c>
      <c r="AG1888" t="inlineStr">
        <is>
          <t>AUTO_GENERERAD. Verifiera citat mot kallfil.</t>
        </is>
      </c>
      <c r="AH1888" t="inlineStr">
        <is>
          <t>MEDIUM</t>
        </is>
      </c>
      <c r="AI1888" t="inlineStr">
        <is>
          <t>AUTO</t>
        </is>
      </c>
      <c r="AJ1888" t="inlineStr">
        <is>
          <t>Nej</t>
        </is>
      </c>
      <c r="AK1888" t="inlineStr"/>
      <c r="AL1888" t="inlineStr"/>
      <c r="AM1888" t="inlineStr"/>
      <c r="AN1888" t="inlineStr"/>
      <c r="AO1888" t="inlineStr">
        <is>
          <t>cmm4yunt0010ncuqwxpd0eacl</t>
        </is>
      </c>
      <c r="AP1888" t="inlineStr">
        <is>
          <t>http://localhost:8787/api/admin/requirements/documents/cmm4yunt0010ncuqwxpd0eacl/view</t>
        </is>
      </c>
      <c r="AQ1888">
        <f>HYPERLÄNK("http://localhost:8787/api/admin/requirements/documents/cmm4yunt0010ncuqwxpd0eacl/view";"Öppna PDF")</f>
        <v/>
      </c>
      <c r="AR1888">
        <f>HYPERLINK("http://localhost:8787/api/admin/requirements/documents/cmm4yunt0010ncuqwxpd0eacl/view","Open PDF")</f>
        <v/>
      </c>
      <c r="AS1888" t="inlineStr">
        <is>
          <t>cmm55w57p0004cuisfrtpqly8</t>
        </is>
      </c>
      <c r="AT1888" t="inlineStr">
        <is>
          <t>cmm4xvu980000cuh4vj0usz09</t>
        </is>
      </c>
      <c r="AU1888" t="inlineStr"/>
      <c r="AV1888" t="inlineStr">
        <is>
          <t>Kommun</t>
        </is>
      </c>
      <c r="AW1888" t="inlineStr"/>
      <c r="AX1888" t="inlineStr">
        <is>
          <t>2025-02</t>
        </is>
      </c>
      <c r="AY1888" t="inlineStr">
        <is>
          <t>Komplettering</t>
        </is>
      </c>
      <c r="AZ1888" t="inlineStr">
        <is>
          <t>2026-02-03</t>
        </is>
      </c>
      <c r="BA1888" t="inlineStr">
        <is>
          <t>E-post med kompletterande svar från Swerock.pdf</t>
        </is>
      </c>
      <c r="BB1888" t="inlineStr">
        <is>
          <t>Sv: till registrator</t>
        </is>
      </c>
      <c r="BC1888" t="inlineStr">
        <is>
          <t>AUTO</t>
        </is>
      </c>
      <c r="BD1888" t="inlineStr"/>
      <c r="BE1888" t="inlineStr"/>
      <c r="BF1888" t="inlineStr">
        <is>
          <t>AUTO_GENERERAD. Bekrafta metadata mot kallfil.</t>
        </is>
      </c>
      <c r="BG1888">
        <f>HYPERLINK("C:\Users\jimmy\Desktop\Examens arbete\Kod\Ny mapp\remix_-copy-of-miljöbeslut.se-portal\E-post med kompletterande svar från Swerock.pdf", "Öppna PDF")</f>
        <v/>
      </c>
    </row>
    <row r="1889">
      <c r="A1889" t="inlineStr">
        <is>
          <t>KRAV-AUTO-001888</t>
        </is>
      </c>
      <c r="B1889" t="inlineStr">
        <is>
          <t>ADMIN-INDEX-2026-02-27-00000000125C043F57453246863FE664CAFE6A3F0700950291EA24F0614FB6ACEDB12BF0E31D00000000010C0000950291EA24F0614FB6ACEDB12BF0E31D00002087AF0A0000</t>
        </is>
      </c>
      <c r="C1889" t="inlineStr">
        <is>
          <t>cmm4yunsa00zwcuqw0f29n13c</t>
        </is>
      </c>
      <c r="D1889" t="inlineStr">
        <is>
          <t>http://localhost:8787/api/admin/requirements/documents/cmm4yunsa00zwcuqw0f29n13c/view</t>
        </is>
      </c>
      <c r="E1889">
        <f>HYPERLÄNK("http://localhost:8787/api/admin/requirements/documents/cmm4yunsa00zwcuqw0f29n13c/view";"Öppna PDF")</f>
        <v/>
      </c>
      <c r="F1889">
        <f>HYPERLINK("http://localhost:8787/api/admin/requirements/documents/cmm4yunsa00zwcuqw0f29n13c/view","Open PDF")</f>
        <v/>
      </c>
      <c r="G1889" t="inlineStr">
        <is>
          <t>cmm55w57p0004cuisfrtpqly8</t>
        </is>
      </c>
      <c r="H1889" t="inlineStr">
        <is>
          <t>Kompletteringskrav</t>
        </is>
      </c>
      <c r="I1889" t="inlineStr">
        <is>
          <t>LagringsvolymTid</t>
        </is>
      </c>
      <c r="J1889" t="inlineStr">
        <is>
          <t>Maxmangd</t>
        </is>
      </c>
      <c r="K1889" t="inlineStr">
        <is>
          <t>De mängder icke farligt avfall som ska lagras i täkten är de massor som inte kan återanvändas i projektet och kommer att behöva transporteras bort från projektet.</t>
        </is>
      </c>
      <c r="L1889" t="inlineStr">
        <is>
          <t>De mängder icke farligt avfall som ska lagras i täkten är de massor som inte kan återanvändas i projektet och kommer att behöva transporteras bort från projektet.</t>
        </is>
      </c>
      <c r="M1889" t="inlineStr">
        <is>
          <t>SKA</t>
        </is>
      </c>
      <c r="N1889" t="inlineStr"/>
      <c r="O1889" t="inlineStr"/>
      <c r="P1889" t="inlineStr">
        <is>
          <t>Arlig</t>
        </is>
      </c>
      <c r="Q1889" t="inlineStr"/>
      <c r="R1889" t="inlineStr">
        <is>
          <t>Alltid</t>
        </is>
      </c>
      <c r="S1889" t="inlineStr"/>
      <c r="T1889" t="inlineStr"/>
      <c r="U1889" t="inlineStr"/>
      <c r="V1889" t="inlineStr"/>
      <c r="W1889" t="inlineStr">
        <is>
          <t>Nej</t>
        </is>
      </c>
      <c r="X1889" t="inlineStr">
        <is>
          <t>Nej</t>
        </is>
      </c>
      <c r="Y1889" t="inlineStr">
        <is>
          <t>Nej</t>
        </is>
      </c>
      <c r="Z1889" t="inlineStr">
        <is>
          <t>Nej</t>
        </is>
      </c>
      <c r="AA1889" t="n">
        <v>4</v>
      </c>
      <c r="AB1889" t="inlineStr">
        <is>
          <t>Avfallsmangder och lagringstid</t>
        </is>
      </c>
      <c r="AC1889" t="inlineStr">
        <is>
          <t>Avfallsforteckning</t>
        </is>
      </c>
      <c r="AD1889" t="inlineStr">
        <is>
          <t>Nej</t>
        </is>
      </c>
      <c r="AE1889" t="inlineStr">
        <is>
          <t>Nej</t>
        </is>
      </c>
      <c r="AF1889" t="inlineStr">
        <is>
          <t>Ej behandlad</t>
        </is>
      </c>
      <c r="AG1889" t="inlineStr">
        <is>
          <t>AUTO_GENERERAD. Verifiera citat mot kallfil.</t>
        </is>
      </c>
      <c r="AH1889" t="inlineStr">
        <is>
          <t>MEDIUM</t>
        </is>
      </c>
      <c r="AI1889" t="inlineStr">
        <is>
          <t>AUTO</t>
        </is>
      </c>
      <c r="AJ1889" t="inlineStr">
        <is>
          <t>Nej</t>
        </is>
      </c>
      <c r="AK1889" t="inlineStr"/>
      <c r="AL1889" t="inlineStr"/>
      <c r="AM1889" t="inlineStr"/>
      <c r="AN1889" t="inlineStr"/>
      <c r="AO1889" t="inlineStr">
        <is>
          <t>cmm4yunt0010ncuqwxpd0eacl</t>
        </is>
      </c>
      <c r="AP1889" t="inlineStr">
        <is>
          <t>http://localhost:8787/api/admin/requirements/documents/cmm4yunt0010ncuqwxpd0eacl/view</t>
        </is>
      </c>
      <c r="AQ1889">
        <f>HYPERLÄNK("http://localhost:8787/api/admin/requirements/documents/cmm4yunt0010ncuqwxpd0eacl/view";"Öppna PDF")</f>
        <v/>
      </c>
      <c r="AR1889">
        <f>HYPERLINK("http://localhost:8787/api/admin/requirements/documents/cmm4yunt0010ncuqwxpd0eacl/view","Open PDF")</f>
        <v/>
      </c>
      <c r="AS1889" t="inlineStr">
        <is>
          <t>cmm55w57p0004cuisfrtpqly8</t>
        </is>
      </c>
      <c r="AT1889" t="inlineStr">
        <is>
          <t>cmm4xvu980000cuh4vj0usz09</t>
        </is>
      </c>
      <c r="AU1889" t="inlineStr"/>
      <c r="AV1889" t="inlineStr">
        <is>
          <t>Kommun</t>
        </is>
      </c>
      <c r="AW1889" t="inlineStr"/>
      <c r="AX1889" t="inlineStr">
        <is>
          <t>2025-02</t>
        </is>
      </c>
      <c r="AY1889" t="inlineStr">
        <is>
          <t>Komplettering</t>
        </is>
      </c>
      <c r="AZ1889" t="inlineStr">
        <is>
          <t>2026-02-03</t>
        </is>
      </c>
      <c r="BA1889" t="inlineStr">
        <is>
          <t>E-post med kompletterande svar från Swerock.pdf</t>
        </is>
      </c>
      <c r="BB1889" t="inlineStr">
        <is>
          <t>Sv: till registrator</t>
        </is>
      </c>
      <c r="BC1889" t="inlineStr">
        <is>
          <t>AUTO</t>
        </is>
      </c>
      <c r="BD1889" t="inlineStr"/>
      <c r="BE1889" t="inlineStr"/>
      <c r="BF1889" t="inlineStr">
        <is>
          <t>AUTO_GENERERAD. Bekrafta metadata mot kallfil.</t>
        </is>
      </c>
      <c r="BG1889">
        <f>HYPERLINK("C:\Users\jimmy\Desktop\Examens arbete\Kod\Ny mapp\remix_-copy-of-miljöbeslut.se-portal\E-post med kompletterande svar från Swerock.pdf", "Öppna PDF")</f>
        <v/>
      </c>
    </row>
    <row r="1890">
      <c r="A1890" t="inlineStr">
        <is>
          <t>KRAV-AUTO-001889</t>
        </is>
      </c>
      <c r="B1890" t="inlineStr">
        <is>
          <t>ADMIN-INDEX-2026-02-27-00000000125C043F57453246863FE664CAFE6A3F0700950291EA24F0614FB6ACEDB12BF0E31D00000000010C0000950291EA24F0614FB6ACEDB12BF0E31D00002087AF0A0000</t>
        </is>
      </c>
      <c r="C1890" t="inlineStr">
        <is>
          <t>cmm4yuns700ztcuqwbvci9ygu</t>
        </is>
      </c>
      <c r="D1890" t="inlineStr">
        <is>
          <t>http://localhost:8787/api/admin/requirements/documents/cmm4yuns700ztcuqwbvci9ygu/view</t>
        </is>
      </c>
      <c r="E1890">
        <f>HYPERLÄNK("http://localhost:8787/api/admin/requirements/documents/cmm4yuns700ztcuqwbvci9ygu/view";"Öppna PDF")</f>
        <v/>
      </c>
      <c r="F1890">
        <f>HYPERLINK("http://localhost:8787/api/admin/requirements/documents/cmm4yuns700ztcuqwbvci9ygu/view","Open PDF")</f>
        <v/>
      </c>
      <c r="G1890" t="inlineStr">
        <is>
          <t>cmm55w57p0004cuisfrtpqly8</t>
        </is>
      </c>
      <c r="H1890" t="inlineStr">
        <is>
          <t>Informationskrav</t>
        </is>
      </c>
      <c r="I1890" t="inlineStr">
        <is>
          <t>DriftEgenkontroll</t>
        </is>
      </c>
      <c r="J1890" t="inlineStr">
        <is>
          <t>Journalforing</t>
        </is>
      </c>
      <c r="K1890" t="inlineStr">
        <is>
          <t>Om massor ska återvinnas på övriga platser bör det föregås av provtagning, utifrån att det finns risk för förekomst av tungmetaller eller bekämpningsmedel.</t>
        </is>
      </c>
      <c r="L1890" t="inlineStr">
        <is>
          <t>Om massor ska återvinnas på övriga platser bör det föregås av provtagning, utifrån att det finns risk för förekomst av tungmetaller eller bekämpningsmedel.</t>
        </is>
      </c>
      <c r="M1890" t="inlineStr">
        <is>
          <t>SKA</t>
        </is>
      </c>
      <c r="N1890" t="inlineStr"/>
      <c r="O1890" t="inlineStr"/>
      <c r="P1890" t="inlineStr"/>
      <c r="Q1890" t="inlineStr"/>
      <c r="R1890" t="inlineStr">
        <is>
          <t>Lopande drift</t>
        </is>
      </c>
      <c r="S1890" t="inlineStr"/>
      <c r="T1890" t="inlineStr">
        <is>
          <t>55 65 03</t>
        </is>
      </c>
      <c r="U1890" t="inlineStr"/>
      <c r="V1890" t="inlineStr"/>
      <c r="W1890" t="inlineStr">
        <is>
          <t>Nej</t>
        </is>
      </c>
      <c r="X1890" t="inlineStr">
        <is>
          <t>Nej</t>
        </is>
      </c>
      <c r="Y1890" t="inlineStr">
        <is>
          <t>Ja</t>
        </is>
      </c>
      <c r="Z1890" t="inlineStr">
        <is>
          <t>Nej</t>
        </is>
      </c>
      <c r="AA1890" t="n">
        <v>7</v>
      </c>
      <c r="AB1890" t="inlineStr">
        <is>
          <t>Egenkontrollrutiner</t>
        </is>
      </c>
      <c r="AC1890" t="inlineStr">
        <is>
          <t>Egenkontrollprogram</t>
        </is>
      </c>
      <c r="AD1890" t="inlineStr">
        <is>
          <t>Nej</t>
        </is>
      </c>
      <c r="AE1890" t="inlineStr">
        <is>
          <t>Nej</t>
        </is>
      </c>
      <c r="AF1890" t="inlineStr">
        <is>
          <t>Ej behandlad</t>
        </is>
      </c>
      <c r="AG1890" t="inlineStr">
        <is>
          <t>AUTO_GENERERAD. Verifiera citat mot kallfil.</t>
        </is>
      </c>
      <c r="AH1890" t="inlineStr">
        <is>
          <t>MEDIUM</t>
        </is>
      </c>
      <c r="AI1890" t="inlineStr">
        <is>
          <t>AUTO</t>
        </is>
      </c>
      <c r="AJ1890" t="inlineStr">
        <is>
          <t>Nej</t>
        </is>
      </c>
      <c r="AK1890" t="inlineStr"/>
      <c r="AL1890" t="inlineStr"/>
      <c r="AM1890" t="inlineStr"/>
      <c r="AN1890" t="inlineStr"/>
      <c r="AO1890" t="inlineStr">
        <is>
          <t>cmm4yunt0010ncuqwxpd0eacl</t>
        </is>
      </c>
      <c r="AP1890" t="inlineStr">
        <is>
          <t>http://localhost:8787/api/admin/requirements/documents/cmm4yunt0010ncuqwxpd0eacl/view</t>
        </is>
      </c>
      <c r="AQ1890">
        <f>HYPERLÄNK("http://localhost:8787/api/admin/requirements/documents/cmm4yunt0010ncuqwxpd0eacl/view";"Öppna PDF")</f>
        <v/>
      </c>
      <c r="AR1890">
        <f>HYPERLINK("http://localhost:8787/api/admin/requirements/documents/cmm4yunt0010ncuqwxpd0eacl/view","Open PDF")</f>
        <v/>
      </c>
      <c r="AS1890" t="inlineStr">
        <is>
          <t>cmm55w57p0004cuisfrtpqly8</t>
        </is>
      </c>
      <c r="AT1890" t="inlineStr">
        <is>
          <t>cmm4xvu980000cuh4vj0usz09</t>
        </is>
      </c>
      <c r="AU1890" t="inlineStr"/>
      <c r="AV1890" t="inlineStr">
        <is>
          <t>Kommun</t>
        </is>
      </c>
      <c r="AW1890" t="inlineStr"/>
      <c r="AX1890" t="inlineStr">
        <is>
          <t>2025-02</t>
        </is>
      </c>
      <c r="AY1890" t="inlineStr">
        <is>
          <t>Komplettering</t>
        </is>
      </c>
      <c r="AZ1890" t="inlineStr">
        <is>
          <t>2026-02-03</t>
        </is>
      </c>
      <c r="BA1890" t="inlineStr">
        <is>
          <t>E-post med kompletterande svar från Swerock.pdf</t>
        </is>
      </c>
      <c r="BB1890" t="inlineStr">
        <is>
          <t>Sv: till registrator</t>
        </is>
      </c>
      <c r="BC1890" t="inlineStr">
        <is>
          <t>AUTO</t>
        </is>
      </c>
      <c r="BD1890" t="inlineStr"/>
      <c r="BE1890" t="inlineStr"/>
      <c r="BF1890" t="inlineStr">
        <is>
          <t>AUTO_GENERERAD. Bekrafta metadata mot kallfil.</t>
        </is>
      </c>
      <c r="BG1890">
        <f>HYPERLINK("C:\Users\jimmy\Desktop\Examens arbete\Kod\Ny mapp\remix_-copy-of-miljöbeslut.se-portal\E-post med kompletterande svar från Swerock.pdf", "Öppna PDF")</f>
        <v/>
      </c>
    </row>
    <row r="1891">
      <c r="A1891" t="inlineStr">
        <is>
          <t>KRAV-AUTO-001890</t>
        </is>
      </c>
      <c r="B1891" t="inlineStr">
        <is>
          <t>ADMIN-INDEX-2026-02-27-00000000125C043F57453246863FE664CAFE6A3F0700950291EA24F0614FB6ACEDB12BF0E31D00000000010C0000950291EA24F0614FB6ACEDB12BF0E31D00002087AF0A0000</t>
        </is>
      </c>
      <c r="C1891" t="inlineStr">
        <is>
          <t>cmm4yuns700ztcuqwbvci9ygu</t>
        </is>
      </c>
      <c r="D1891" t="inlineStr">
        <is>
          <t>http://localhost:8787/api/admin/requirements/documents/cmm4yuns700ztcuqwbvci9ygu/view</t>
        </is>
      </c>
      <c r="E1891">
        <f>HYPERLÄNK("http://localhost:8787/api/admin/requirements/documents/cmm4yuns700ztcuqwbvci9ygu/view";"Öppna PDF")</f>
        <v/>
      </c>
      <c r="F1891">
        <f>HYPERLINK("http://localhost:8787/api/admin/requirements/documents/cmm4yuns700ztcuqwbvci9ygu/view","Open PDF")</f>
        <v/>
      </c>
      <c r="G1891" t="inlineStr">
        <is>
          <t>cmm55w57p0004cuisfrtpqly8</t>
        </is>
      </c>
      <c r="H1891" t="inlineStr">
        <is>
          <t>Informationskrav</t>
        </is>
      </c>
      <c r="I1891" t="inlineStr">
        <is>
          <t>DagvattenLakvatten</t>
        </is>
      </c>
      <c r="J1891" t="inlineStr">
        <is>
          <t>Uppsamling</t>
        </is>
      </c>
      <c r="K1891" t="inlineStr">
        <is>
          <t>Om det finns risk för förorening eller om ursprung är okänt bör provtagning göras innan, så att man kan planera hur massor ska hanteras och bedöma om de går att återanvända på platsen.</t>
        </is>
      </c>
      <c r="L1891" t="inlineStr">
        <is>
          <t>Om det finns risk för förorening eller om ursprung är okänt bör provtagning göras innan, så att man kan planera hur massor ska hanteras och bedöma om de går att återanvända på platsen.</t>
        </is>
      </c>
      <c r="M1891" t="inlineStr">
        <is>
          <t>SKA</t>
        </is>
      </c>
      <c r="N1891" t="inlineStr"/>
      <c r="O1891" t="inlineStr"/>
      <c r="P1891" t="inlineStr"/>
      <c r="Q1891" t="inlineStr"/>
      <c r="R1891" t="inlineStr">
        <is>
          <t>Vid nederbord och avrinning</t>
        </is>
      </c>
      <c r="S1891" t="inlineStr"/>
      <c r="T1891" t="inlineStr">
        <is>
          <t>55 65 03</t>
        </is>
      </c>
      <c r="U1891" t="inlineStr"/>
      <c r="V1891" t="inlineStr"/>
      <c r="W1891" t="inlineStr">
        <is>
          <t>Nej</t>
        </is>
      </c>
      <c r="X1891" t="inlineStr">
        <is>
          <t>Ja</t>
        </is>
      </c>
      <c r="Y1891" t="inlineStr">
        <is>
          <t>Ja</t>
        </is>
      </c>
      <c r="Z1891" t="inlineStr">
        <is>
          <t>Nej</t>
        </is>
      </c>
      <c r="AA1891" t="n">
        <v>6</v>
      </c>
      <c r="AB1891" t="inlineStr">
        <is>
          <t>Lakvattenhantering</t>
        </is>
      </c>
      <c r="AC1891" t="inlineStr">
        <is>
          <t>Flodesschema dagvatten-lakvatten</t>
        </is>
      </c>
      <c r="AD1891" t="inlineStr">
        <is>
          <t>Nej</t>
        </is>
      </c>
      <c r="AE1891" t="inlineStr">
        <is>
          <t>Nej</t>
        </is>
      </c>
      <c r="AF1891" t="inlineStr">
        <is>
          <t>Ej behandlad</t>
        </is>
      </c>
      <c r="AG1891" t="inlineStr">
        <is>
          <t>AUTO_GENERERAD. Verifiera citat mot kallfil.</t>
        </is>
      </c>
      <c r="AH1891" t="inlineStr">
        <is>
          <t>MEDIUM</t>
        </is>
      </c>
      <c r="AI1891" t="inlineStr">
        <is>
          <t>AUTO</t>
        </is>
      </c>
      <c r="AJ1891" t="inlineStr">
        <is>
          <t>Nej</t>
        </is>
      </c>
      <c r="AK1891" t="inlineStr"/>
      <c r="AL1891" t="inlineStr"/>
      <c r="AM1891" t="inlineStr"/>
      <c r="AN1891" t="inlineStr"/>
      <c r="AO1891" t="inlineStr">
        <is>
          <t>cmm4yunt0010ncuqwxpd0eacl</t>
        </is>
      </c>
      <c r="AP1891" t="inlineStr">
        <is>
          <t>http://localhost:8787/api/admin/requirements/documents/cmm4yunt0010ncuqwxpd0eacl/view</t>
        </is>
      </c>
      <c r="AQ1891">
        <f>HYPERLÄNK("http://localhost:8787/api/admin/requirements/documents/cmm4yunt0010ncuqwxpd0eacl/view";"Öppna PDF")</f>
        <v/>
      </c>
      <c r="AR1891">
        <f>HYPERLINK("http://localhost:8787/api/admin/requirements/documents/cmm4yunt0010ncuqwxpd0eacl/view","Open PDF")</f>
        <v/>
      </c>
      <c r="AS1891" t="inlineStr">
        <is>
          <t>cmm55w57p0004cuisfrtpqly8</t>
        </is>
      </c>
      <c r="AT1891" t="inlineStr">
        <is>
          <t>cmm4xvu980000cuh4vj0usz09</t>
        </is>
      </c>
      <c r="AU1891" t="inlineStr"/>
      <c r="AV1891" t="inlineStr">
        <is>
          <t>Kommun</t>
        </is>
      </c>
      <c r="AW1891" t="inlineStr"/>
      <c r="AX1891" t="inlineStr">
        <is>
          <t>2025-02</t>
        </is>
      </c>
      <c r="AY1891" t="inlineStr">
        <is>
          <t>Komplettering</t>
        </is>
      </c>
      <c r="AZ1891" t="inlineStr">
        <is>
          <t>2026-02-03</t>
        </is>
      </c>
      <c r="BA1891" t="inlineStr">
        <is>
          <t>E-post med kompletterande svar från Swerock.pdf</t>
        </is>
      </c>
      <c r="BB1891" t="inlineStr">
        <is>
          <t>Sv: till registrator</t>
        </is>
      </c>
      <c r="BC1891" t="inlineStr">
        <is>
          <t>AUTO</t>
        </is>
      </c>
      <c r="BD1891" t="inlineStr"/>
      <c r="BE1891" t="inlineStr"/>
      <c r="BF1891" t="inlineStr">
        <is>
          <t>AUTO_GENERERAD. Bekrafta metadata mot kallfil.</t>
        </is>
      </c>
      <c r="BG1891">
        <f>HYPERLINK("C:\Users\jimmy\Desktop\Examens arbete\Kod\Ny mapp\remix_-copy-of-miljöbeslut.se-portal\E-post med kompletterande svar från Swerock.pdf", "Öppna PDF")</f>
        <v/>
      </c>
    </row>
    <row r="1892">
      <c r="A1892" t="inlineStr">
        <is>
          <t>KRAV-AUTO-001891</t>
        </is>
      </c>
      <c r="B1892" t="inlineStr">
        <is>
          <t>ADMIN-INDEX-2026-02-27-00000000125C043F57453246863FE664CAFE6A3F0700950291EA24F0614FB6ACEDB12BF0E31D00000000010C0000950291EA24F0614FB6ACEDB12BF0E31D00002087AF0A0000</t>
        </is>
      </c>
      <c r="C1892" t="inlineStr">
        <is>
          <t>cmm4yuns700ztcuqwbvci9ygu</t>
        </is>
      </c>
      <c r="D1892" t="inlineStr">
        <is>
          <t>http://localhost:8787/api/admin/requirements/documents/cmm4yuns700ztcuqwbvci9ygu/view</t>
        </is>
      </c>
      <c r="E1892">
        <f>HYPERLÄNK("http://localhost:8787/api/admin/requirements/documents/cmm4yuns700ztcuqwbvci9ygu/view";"Öppna PDF")</f>
        <v/>
      </c>
      <c r="F1892">
        <f>HYPERLINK("http://localhost:8787/api/admin/requirements/documents/cmm4yuns700ztcuqwbvci9ygu/view","Open PDF")</f>
        <v/>
      </c>
      <c r="G1892" t="inlineStr">
        <is>
          <t>cmm55w57p0004cuisfrtpqly8</t>
        </is>
      </c>
      <c r="H1892" t="inlineStr">
        <is>
          <t>Informationskrav</t>
        </is>
      </c>
      <c r="I1892" t="inlineStr">
        <is>
          <t>DagvattenLakvatten</t>
        </is>
      </c>
      <c r="J1892" t="inlineStr">
        <is>
          <t>Uppsamling</t>
        </is>
      </c>
      <c r="K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92" t="inlineStr">
        <is>
          <t>BOR</t>
        </is>
      </c>
      <c r="N1892" t="inlineStr"/>
      <c r="O1892" t="inlineStr"/>
      <c r="P1892" t="inlineStr"/>
      <c r="Q1892" t="inlineStr"/>
      <c r="R1892" t="inlineStr">
        <is>
          <t>Vid nederbord och avrinning</t>
        </is>
      </c>
      <c r="S1892" t="inlineStr"/>
      <c r="T1892" t="inlineStr">
        <is>
          <t>55 65 03</t>
        </is>
      </c>
      <c r="U1892" t="inlineStr"/>
      <c r="V1892" t="inlineStr"/>
      <c r="W1892" t="inlineStr">
        <is>
          <t>Nej</t>
        </is>
      </c>
      <c r="X1892" t="inlineStr">
        <is>
          <t>Ja</t>
        </is>
      </c>
      <c r="Y1892" t="inlineStr">
        <is>
          <t>Ja</t>
        </is>
      </c>
      <c r="Z1892" t="inlineStr">
        <is>
          <t>Nej</t>
        </is>
      </c>
      <c r="AA1892" t="n">
        <v>6</v>
      </c>
      <c r="AB1892" t="inlineStr">
        <is>
          <t>Lakvattenhantering</t>
        </is>
      </c>
      <c r="AC1892" t="inlineStr">
        <is>
          <t>Flodesschema dagvatten-lakvatten</t>
        </is>
      </c>
      <c r="AD1892" t="inlineStr">
        <is>
          <t>Nej</t>
        </is>
      </c>
      <c r="AE1892" t="inlineStr">
        <is>
          <t>Nej</t>
        </is>
      </c>
      <c r="AF1892" t="inlineStr">
        <is>
          <t>Ej behandlad</t>
        </is>
      </c>
      <c r="AG1892" t="inlineStr">
        <is>
          <t>AUTO_GENERERAD. Verifiera citat mot kallfil.</t>
        </is>
      </c>
      <c r="AH1892" t="inlineStr">
        <is>
          <t>MEDIUM</t>
        </is>
      </c>
      <c r="AI1892" t="inlineStr">
        <is>
          <t>AUTO</t>
        </is>
      </c>
      <c r="AJ1892" t="inlineStr">
        <is>
          <t>Nej</t>
        </is>
      </c>
      <c r="AK1892" t="inlineStr"/>
      <c r="AL1892" t="inlineStr"/>
      <c r="AM1892" t="inlineStr"/>
      <c r="AN1892" t="inlineStr"/>
      <c r="AO1892" t="inlineStr">
        <is>
          <t>cmm4yunt0010ncuqwxpd0eacl</t>
        </is>
      </c>
      <c r="AP1892" t="inlineStr">
        <is>
          <t>http://localhost:8787/api/admin/requirements/documents/cmm4yunt0010ncuqwxpd0eacl/view</t>
        </is>
      </c>
      <c r="AQ1892">
        <f>HYPERLÄNK("http://localhost:8787/api/admin/requirements/documents/cmm4yunt0010ncuqwxpd0eacl/view";"Öppna PDF")</f>
        <v/>
      </c>
      <c r="AR1892">
        <f>HYPERLINK("http://localhost:8787/api/admin/requirements/documents/cmm4yunt0010ncuqwxpd0eacl/view","Open PDF")</f>
        <v/>
      </c>
      <c r="AS1892" t="inlineStr">
        <is>
          <t>cmm55w57p0004cuisfrtpqly8</t>
        </is>
      </c>
      <c r="AT1892" t="inlineStr">
        <is>
          <t>cmm4xvu980000cuh4vj0usz09</t>
        </is>
      </c>
      <c r="AU1892" t="inlineStr"/>
      <c r="AV1892" t="inlineStr">
        <is>
          <t>Kommun</t>
        </is>
      </c>
      <c r="AW1892" t="inlineStr"/>
      <c r="AX1892" t="inlineStr">
        <is>
          <t>2025-02</t>
        </is>
      </c>
      <c r="AY1892" t="inlineStr">
        <is>
          <t>Komplettering</t>
        </is>
      </c>
      <c r="AZ1892" t="inlineStr">
        <is>
          <t>2026-02-03</t>
        </is>
      </c>
      <c r="BA1892" t="inlineStr">
        <is>
          <t>E-post med kompletterande svar från Swerock.pdf</t>
        </is>
      </c>
      <c r="BB1892" t="inlineStr">
        <is>
          <t>Sv: till registrator</t>
        </is>
      </c>
      <c r="BC1892" t="inlineStr">
        <is>
          <t>AUTO</t>
        </is>
      </c>
      <c r="BD1892" t="inlineStr"/>
      <c r="BE1892" t="inlineStr"/>
      <c r="BF1892" t="inlineStr">
        <is>
          <t>AUTO_GENERERAD. Bekrafta metadata mot kallfil.</t>
        </is>
      </c>
      <c r="BG1892">
        <f>HYPERLINK("C:\Users\jimmy\Desktop\Examens arbete\Kod\Ny mapp\remix_-copy-of-miljöbeslut.se-portal\E-post med kompletterande svar från Swerock.pdf", "Öppna PDF")</f>
        <v/>
      </c>
    </row>
    <row r="1893">
      <c r="A1893" t="inlineStr">
        <is>
          <t>KRAV-AUTO-001892</t>
        </is>
      </c>
      <c r="B1893" t="inlineStr">
        <is>
          <t>ADMIN-INDEX-2026-02-27-00000000125C043F57453246863FE664CAFE6A3F0700950291EA24F0614FB6ACEDB12BF0E31D00000000010C0000950291EA24F0614FB6ACEDB12BF0E31D00002087AF0A0000</t>
        </is>
      </c>
      <c r="C1893" t="inlineStr">
        <is>
          <t>cmm4yuns400zqcuqwfohzm7kj</t>
        </is>
      </c>
      <c r="D1893" t="inlineStr">
        <is>
          <t>http://localhost:8787/api/admin/requirements/documents/cmm4yuns400zqcuqwfohzm7kj/view</t>
        </is>
      </c>
      <c r="E1893">
        <f>HYPERLÄNK("http://localhost:8787/api/admin/requirements/documents/cmm4yuns400zqcuqwfohzm7kj/view";"Öppna PDF")</f>
        <v/>
      </c>
      <c r="F1893">
        <f>HYPERLINK("http://localhost:8787/api/admin/requirements/documents/cmm4yuns400zqcuqwfohzm7kj/view","Open PDF")</f>
        <v/>
      </c>
      <c r="G1893" t="inlineStr">
        <is>
          <t>cmm55w57p0004cuisfrtpqly8</t>
        </is>
      </c>
      <c r="H1893" t="inlineStr">
        <is>
          <t>Beslutsvillkor</t>
        </is>
      </c>
      <c r="I1893" t="inlineStr">
        <is>
          <t>LagringsvolymTid</t>
        </is>
      </c>
      <c r="J1893" t="inlineStr">
        <is>
          <t>Maxmangd</t>
        </is>
      </c>
      <c r="K1893" t="inlineStr">
        <is>
          <t>Svar på frågan om vilka mängder icke-farligt avfall som ska hanteras/lagras så är det de 1500 m3 som vi anger som överskottsmassor under avsnitt 4.</t>
        </is>
      </c>
      <c r="L1893" t="inlineStr">
        <is>
          <t>Svar på frågan om vilka mängder icke-farligt avfall som ska hanteras/lagras så är det de 1500 m3 som vi anger som överskottsmassor under avsnitt 4.</t>
        </is>
      </c>
      <c r="M1893" t="inlineStr">
        <is>
          <t>SKA</t>
        </is>
      </c>
      <c r="N1893" t="inlineStr"/>
      <c r="O1893" t="inlineStr"/>
      <c r="P1893" t="inlineStr">
        <is>
          <t>Arlig</t>
        </is>
      </c>
      <c r="Q1893" t="inlineStr"/>
      <c r="R1893" t="inlineStr">
        <is>
          <t>Alltid</t>
        </is>
      </c>
      <c r="S1893" t="inlineStr"/>
      <c r="T1893" t="inlineStr">
        <is>
          <t>2024 15</t>
        </is>
      </c>
      <c r="U1893" t="inlineStr"/>
      <c r="V1893" t="inlineStr"/>
      <c r="W1893" t="inlineStr">
        <is>
          <t>Nej</t>
        </is>
      </c>
      <c r="X1893" t="inlineStr">
        <is>
          <t>Nej</t>
        </is>
      </c>
      <c r="Y1893" t="inlineStr">
        <is>
          <t>Nej</t>
        </is>
      </c>
      <c r="Z1893" t="inlineStr">
        <is>
          <t>Nej</t>
        </is>
      </c>
      <c r="AA1893" t="n">
        <v>4</v>
      </c>
      <c r="AB1893" t="inlineStr">
        <is>
          <t>Avfallsmangder och lagringstid</t>
        </is>
      </c>
      <c r="AC1893" t="inlineStr">
        <is>
          <t>Avfallsforteckning</t>
        </is>
      </c>
      <c r="AD1893" t="inlineStr">
        <is>
          <t>Nej</t>
        </is>
      </c>
      <c r="AE1893" t="inlineStr">
        <is>
          <t>Nej</t>
        </is>
      </c>
      <c r="AF1893" t="inlineStr">
        <is>
          <t>Ej behandlad</t>
        </is>
      </c>
      <c r="AG1893" t="inlineStr">
        <is>
          <t>AUTO_GENERERAD. Verifiera citat mot kallfil.</t>
        </is>
      </c>
      <c r="AH1893" t="inlineStr">
        <is>
          <t>MEDIUM</t>
        </is>
      </c>
      <c r="AI1893" t="inlineStr">
        <is>
          <t>AUTO</t>
        </is>
      </c>
      <c r="AJ1893" t="inlineStr">
        <is>
          <t>Nej</t>
        </is>
      </c>
      <c r="AK1893" t="inlineStr"/>
      <c r="AL1893" t="inlineStr"/>
      <c r="AM1893" t="inlineStr"/>
      <c r="AN1893" t="inlineStr"/>
      <c r="AO1893" t="inlineStr">
        <is>
          <t>cmm4yunt0010ncuqwxpd0eacl</t>
        </is>
      </c>
      <c r="AP1893" t="inlineStr">
        <is>
          <t>http://localhost:8787/api/admin/requirements/documents/cmm4yunt0010ncuqwxpd0eacl/view</t>
        </is>
      </c>
      <c r="AQ1893">
        <f>HYPERLÄNK("http://localhost:8787/api/admin/requirements/documents/cmm4yunt0010ncuqwxpd0eacl/view";"Öppna PDF")</f>
        <v/>
      </c>
      <c r="AR1893">
        <f>HYPERLINK("http://localhost:8787/api/admin/requirements/documents/cmm4yunt0010ncuqwxpd0eacl/view","Open PDF")</f>
        <v/>
      </c>
      <c r="AS1893" t="inlineStr">
        <is>
          <t>cmm55w57p0004cuisfrtpqly8</t>
        </is>
      </c>
      <c r="AT1893" t="inlineStr">
        <is>
          <t>cmm4xvu980000cuh4vj0usz09</t>
        </is>
      </c>
      <c r="AU1893" t="inlineStr"/>
      <c r="AV1893" t="inlineStr">
        <is>
          <t>Kommun</t>
        </is>
      </c>
      <c r="AW1893" t="inlineStr"/>
      <c r="AX1893" t="inlineStr">
        <is>
          <t>2025-02</t>
        </is>
      </c>
      <c r="AY1893" t="inlineStr">
        <is>
          <t>Komplettering</t>
        </is>
      </c>
      <c r="AZ1893" t="inlineStr">
        <is>
          <t>2026-02-03</t>
        </is>
      </c>
      <c r="BA1893" t="inlineStr">
        <is>
          <t>E-post med kompletterande svar från Swerock.pdf</t>
        </is>
      </c>
      <c r="BB1893" t="inlineStr">
        <is>
          <t>Sv: till registrator</t>
        </is>
      </c>
      <c r="BC1893" t="inlineStr">
        <is>
          <t>AUTO</t>
        </is>
      </c>
      <c r="BD1893" t="inlineStr"/>
      <c r="BE1893" t="inlineStr"/>
      <c r="BF1893" t="inlineStr">
        <is>
          <t>AUTO_GENERERAD. Bekrafta metadata mot kallfil.</t>
        </is>
      </c>
      <c r="BG1893">
        <f>HYPERLINK("C:\Users\jimmy\Desktop\Examens arbete\Kod\Ny mapp\remix_-copy-of-miljöbeslut.se-portal\E-post med kompletterande svar från Swerock.pdf", "Öppna PDF")</f>
        <v/>
      </c>
    </row>
    <row r="1894">
      <c r="A1894" t="inlineStr">
        <is>
          <t>KRAV-AUTO-001893</t>
        </is>
      </c>
      <c r="B1894" t="inlineStr">
        <is>
          <t>ADMIN-INDEX-2026-02-27-00000000125C043F57453246863FE664CAFE6A3F0700950291EA24F0614FB6ACEDB12BF0E31D00000000010C0000950291EA24F0614FB6ACEDB12BF0E31D00002087AF0A0000</t>
        </is>
      </c>
      <c r="C1894" t="inlineStr">
        <is>
          <t>cmm4yuns100zncuqwkn0koj78</t>
        </is>
      </c>
      <c r="D1894" t="inlineStr">
        <is>
          <t>http://localhost:8787/api/admin/requirements/documents/cmm4yuns100zncuqwkn0koj78/view</t>
        </is>
      </c>
      <c r="E1894">
        <f>HYPERLÄNK("http://localhost:8787/api/admin/requirements/documents/cmm4yuns100zncuqwkn0koj78/view";"Öppna PDF")</f>
        <v/>
      </c>
      <c r="F1894">
        <f>HYPERLINK("http://localhost:8787/api/admin/requirements/documents/cmm4yuns100zncuqwkn0koj78/view","Open PDF")</f>
        <v/>
      </c>
      <c r="G1894" t="inlineStr">
        <is>
          <t>cmm55w57p0004cuisfrtpqly8</t>
        </is>
      </c>
      <c r="H1894" t="inlineStr">
        <is>
          <t>Kompletteringskrav</t>
        </is>
      </c>
      <c r="I1894" t="inlineStr">
        <is>
          <t>LagringsvolymTid</t>
        </is>
      </c>
      <c r="J1894" t="inlineStr">
        <is>
          <t>Maxmangd</t>
        </is>
      </c>
      <c r="K1894" t="inlineStr">
        <is>
          <t>Svar på frågan om vilka mängder icke-farligt avfall som ska hanteras/lagras så är det de 1500 m3 som vi anger som överskottsmassor under avsnitt 4.</t>
        </is>
      </c>
      <c r="L1894" t="inlineStr">
        <is>
          <t>Svar på frågan om vilka mängder icke-farligt avfall som ska hanteras/lagras så är det de 1500 m3 som vi anger som överskottsmassor under avsnitt 4.</t>
        </is>
      </c>
      <c r="M1894" t="inlineStr">
        <is>
          <t>SKA</t>
        </is>
      </c>
      <c r="N1894" t="inlineStr"/>
      <c r="O1894" t="inlineStr"/>
      <c r="P1894" t="inlineStr">
        <is>
          <t>Arlig</t>
        </is>
      </c>
      <c r="Q1894" t="inlineStr"/>
      <c r="R1894" t="inlineStr">
        <is>
          <t>Alltid</t>
        </is>
      </c>
      <c r="S1894" t="inlineStr"/>
      <c r="T1894" t="inlineStr">
        <is>
          <t>2024 16</t>
        </is>
      </c>
      <c r="U1894" t="inlineStr"/>
      <c r="V1894" t="inlineStr"/>
      <c r="W1894" t="inlineStr">
        <is>
          <t>Nej</t>
        </is>
      </c>
      <c r="X1894" t="inlineStr">
        <is>
          <t>Nej</t>
        </is>
      </c>
      <c r="Y1894" t="inlineStr">
        <is>
          <t>Nej</t>
        </is>
      </c>
      <c r="Z1894" t="inlineStr">
        <is>
          <t>Nej</t>
        </is>
      </c>
      <c r="AA1894" t="n">
        <v>4</v>
      </c>
      <c r="AB1894" t="inlineStr">
        <is>
          <t>Avfallsmangder och lagringstid</t>
        </is>
      </c>
      <c r="AC1894" t="inlineStr">
        <is>
          <t>Avfallsforteckning</t>
        </is>
      </c>
      <c r="AD1894" t="inlineStr">
        <is>
          <t>Nej</t>
        </is>
      </c>
      <c r="AE1894" t="inlineStr">
        <is>
          <t>Nej</t>
        </is>
      </c>
      <c r="AF1894" t="inlineStr">
        <is>
          <t>Ej behandlad</t>
        </is>
      </c>
      <c r="AG1894" t="inlineStr">
        <is>
          <t>AUTO_GENERERAD. Verifiera citat mot kallfil.</t>
        </is>
      </c>
      <c r="AH1894" t="inlineStr">
        <is>
          <t>MEDIUM</t>
        </is>
      </c>
      <c r="AI1894" t="inlineStr">
        <is>
          <t>AUTO</t>
        </is>
      </c>
      <c r="AJ1894" t="inlineStr">
        <is>
          <t>Nej</t>
        </is>
      </c>
      <c r="AK1894" t="inlineStr"/>
      <c r="AL1894" t="inlineStr"/>
      <c r="AM1894" t="inlineStr"/>
      <c r="AN1894" t="inlineStr"/>
      <c r="AO1894" t="inlineStr">
        <is>
          <t>cmm4yunt0010ncuqwxpd0eacl</t>
        </is>
      </c>
      <c r="AP1894" t="inlineStr">
        <is>
          <t>http://localhost:8787/api/admin/requirements/documents/cmm4yunt0010ncuqwxpd0eacl/view</t>
        </is>
      </c>
      <c r="AQ1894">
        <f>HYPERLÄNK("http://localhost:8787/api/admin/requirements/documents/cmm4yunt0010ncuqwxpd0eacl/view";"Öppna PDF")</f>
        <v/>
      </c>
      <c r="AR1894">
        <f>HYPERLINK("http://localhost:8787/api/admin/requirements/documents/cmm4yunt0010ncuqwxpd0eacl/view","Open PDF")</f>
        <v/>
      </c>
      <c r="AS1894" t="inlineStr">
        <is>
          <t>cmm55w57p0004cuisfrtpqly8</t>
        </is>
      </c>
      <c r="AT1894" t="inlineStr">
        <is>
          <t>cmm4xvu980000cuh4vj0usz09</t>
        </is>
      </c>
      <c r="AU1894" t="inlineStr"/>
      <c r="AV1894" t="inlineStr">
        <is>
          <t>Kommun</t>
        </is>
      </c>
      <c r="AW1894" t="inlineStr"/>
      <c r="AX1894" t="inlineStr">
        <is>
          <t>2025-02</t>
        </is>
      </c>
      <c r="AY1894" t="inlineStr">
        <is>
          <t>Komplettering</t>
        </is>
      </c>
      <c r="AZ1894" t="inlineStr">
        <is>
          <t>2026-02-03</t>
        </is>
      </c>
      <c r="BA1894" t="inlineStr">
        <is>
          <t>E-post med kompletterande svar från Swerock.pdf</t>
        </is>
      </c>
      <c r="BB1894" t="inlineStr">
        <is>
          <t>Sv: till registrator</t>
        </is>
      </c>
      <c r="BC1894" t="inlineStr">
        <is>
          <t>AUTO</t>
        </is>
      </c>
      <c r="BD1894" t="inlineStr"/>
      <c r="BE1894" t="inlineStr"/>
      <c r="BF1894" t="inlineStr">
        <is>
          <t>AUTO_GENERERAD. Bekrafta metadata mot kallfil.</t>
        </is>
      </c>
      <c r="BG1894">
        <f>HYPERLINK("C:\Users\jimmy\Desktop\Examens arbete\Kod\Ny mapp\remix_-copy-of-miljöbeslut.se-portal\E-post med kompletterande svar från Swerock.pdf", "Öppna PDF")</f>
        <v/>
      </c>
    </row>
    <row r="1895">
      <c r="A1895" t="inlineStr">
        <is>
          <t>KRAV-AUTO-001894</t>
        </is>
      </c>
      <c r="B1895" t="inlineStr">
        <is>
          <t>ADMIN-INDEX-2026-02-27-00000000125C043F57453246863FE664CAFE6A3F0700950291EA24F0614FB6ACEDB12BF0E31D00000000010C0000950291EA24F0614FB6ACEDB12BF0E31D00002087AF0A0000</t>
        </is>
      </c>
      <c r="C1895" t="inlineStr">
        <is>
          <t>cmm4yunrx00zkcuqwxdtcoeoq</t>
        </is>
      </c>
      <c r="D1895" t="inlineStr">
        <is>
          <t>http://localhost:8787/api/admin/requirements/documents/cmm4yunrx00zkcuqwxdtcoeoq/view</t>
        </is>
      </c>
      <c r="E1895">
        <f>HYPERLÄNK("http://localhost:8787/api/admin/requirements/documents/cmm4yunrx00zkcuqwxdtcoeoq/view";"Öppna PDF")</f>
        <v/>
      </c>
      <c r="F1895">
        <f>HYPERLINK("http://localhost:8787/api/admin/requirements/documents/cmm4yunrx00zkcuqwxdtcoeoq/view","Open PDF")</f>
        <v/>
      </c>
      <c r="G1895" t="inlineStr">
        <is>
          <t>cmm55w57p0004cuisfrtpqly8</t>
        </is>
      </c>
      <c r="H1895" t="inlineStr">
        <is>
          <t>Kompletteringskrav</t>
        </is>
      </c>
      <c r="I1895" t="inlineStr">
        <is>
          <t>LagringsvolymTid</t>
        </is>
      </c>
      <c r="J1895" t="inlineStr">
        <is>
          <t>Maxmangd</t>
        </is>
      </c>
      <c r="K1895" t="inlineStr">
        <is>
          <t>Svar på frågan om vilka mängder icke-farligt avfall som ska hanteras/lagras så är det de 1500 m3 som vi anger som överskottsmassor under avsnitt 4.</t>
        </is>
      </c>
      <c r="L1895" t="inlineStr">
        <is>
          <t>Svar på frågan om vilka mängder icke-farligt avfall som ska hanteras/lagras så är det de 1500 m3 som vi anger som överskottsmassor under avsnitt 4.</t>
        </is>
      </c>
      <c r="M1895" t="inlineStr">
        <is>
          <t>SKA</t>
        </is>
      </c>
      <c r="N1895" t="inlineStr"/>
      <c r="O1895" t="inlineStr"/>
      <c r="P1895" t="inlineStr">
        <is>
          <t>Arlig</t>
        </is>
      </c>
      <c r="Q1895" t="inlineStr"/>
      <c r="R1895" t="inlineStr">
        <is>
          <t>Alltid</t>
        </is>
      </c>
      <c r="S1895" t="inlineStr"/>
      <c r="T1895" t="inlineStr">
        <is>
          <t>2024 15</t>
        </is>
      </c>
      <c r="U1895" t="inlineStr"/>
      <c r="V1895" t="inlineStr"/>
      <c r="W1895" t="inlineStr">
        <is>
          <t>Nej</t>
        </is>
      </c>
      <c r="X1895" t="inlineStr">
        <is>
          <t>Nej</t>
        </is>
      </c>
      <c r="Y1895" t="inlineStr">
        <is>
          <t>Nej</t>
        </is>
      </c>
      <c r="Z1895" t="inlineStr">
        <is>
          <t>Nej</t>
        </is>
      </c>
      <c r="AA1895" t="n">
        <v>4</v>
      </c>
      <c r="AB1895" t="inlineStr">
        <is>
          <t>Avfallsmangder och lagringstid</t>
        </is>
      </c>
      <c r="AC1895" t="inlineStr">
        <is>
          <t>Avfallsforteckning</t>
        </is>
      </c>
      <c r="AD1895" t="inlineStr">
        <is>
          <t>Nej</t>
        </is>
      </c>
      <c r="AE1895" t="inlineStr">
        <is>
          <t>Nej</t>
        </is>
      </c>
      <c r="AF1895" t="inlineStr">
        <is>
          <t>Ej behandlad</t>
        </is>
      </c>
      <c r="AG1895" t="inlineStr">
        <is>
          <t>AUTO_GENERERAD. Verifiera citat mot kallfil.</t>
        </is>
      </c>
      <c r="AH1895" t="inlineStr">
        <is>
          <t>MEDIUM</t>
        </is>
      </c>
      <c r="AI1895" t="inlineStr">
        <is>
          <t>AUTO</t>
        </is>
      </c>
      <c r="AJ1895" t="inlineStr">
        <is>
          <t>Nej</t>
        </is>
      </c>
      <c r="AK1895" t="inlineStr"/>
      <c r="AL1895" t="inlineStr"/>
      <c r="AM1895" t="inlineStr"/>
      <c r="AN1895" t="inlineStr"/>
      <c r="AO1895" t="inlineStr">
        <is>
          <t>cmm4yunt0010ncuqwxpd0eacl</t>
        </is>
      </c>
      <c r="AP1895" t="inlineStr">
        <is>
          <t>http://localhost:8787/api/admin/requirements/documents/cmm4yunt0010ncuqwxpd0eacl/view</t>
        </is>
      </c>
      <c r="AQ1895">
        <f>HYPERLÄNK("http://localhost:8787/api/admin/requirements/documents/cmm4yunt0010ncuqwxpd0eacl/view";"Öppna PDF")</f>
        <v/>
      </c>
      <c r="AR1895">
        <f>HYPERLINK("http://localhost:8787/api/admin/requirements/documents/cmm4yunt0010ncuqwxpd0eacl/view","Open PDF")</f>
        <v/>
      </c>
      <c r="AS1895" t="inlineStr">
        <is>
          <t>cmm55w57p0004cuisfrtpqly8</t>
        </is>
      </c>
      <c r="AT1895" t="inlineStr">
        <is>
          <t>cmm4xvu980000cuh4vj0usz09</t>
        </is>
      </c>
      <c r="AU1895" t="inlineStr"/>
      <c r="AV1895" t="inlineStr">
        <is>
          <t>Kommun</t>
        </is>
      </c>
      <c r="AW1895" t="inlineStr"/>
      <c r="AX1895" t="inlineStr">
        <is>
          <t>2025-02</t>
        </is>
      </c>
      <c r="AY1895" t="inlineStr">
        <is>
          <t>Komplettering</t>
        </is>
      </c>
      <c r="AZ1895" t="inlineStr">
        <is>
          <t>2026-02-03</t>
        </is>
      </c>
      <c r="BA1895" t="inlineStr">
        <is>
          <t>E-post med kompletterande svar från Swerock.pdf</t>
        </is>
      </c>
      <c r="BB1895" t="inlineStr">
        <is>
          <t>Sv: till registrator</t>
        </is>
      </c>
      <c r="BC1895" t="inlineStr">
        <is>
          <t>AUTO</t>
        </is>
      </c>
      <c r="BD1895" t="inlineStr"/>
      <c r="BE1895" t="inlineStr"/>
      <c r="BF1895" t="inlineStr">
        <is>
          <t>AUTO_GENERERAD. Bekrafta metadata mot kallfil.</t>
        </is>
      </c>
      <c r="BG1895">
        <f>HYPERLINK("C:\Users\jimmy\Desktop\Examens arbete\Kod\Ny mapp\remix_-copy-of-miljöbeslut.se-portal\E-post med kompletterande svar från Swerock.pdf", "Öppna PDF")</f>
        <v/>
      </c>
    </row>
    <row r="1896">
      <c r="A1896" t="inlineStr">
        <is>
          <t>KRAV-AUTO-001895</t>
        </is>
      </c>
      <c r="B1896" t="inlineStr">
        <is>
          <t>ADMIN-INDEX-2026-02-27-00000000125C043F57453246863FE664CAFE6A3F0700950291EA24F0614FB6ACEDB12BF0E31D00000000010C0000950291EA24F0614FB6ACEDB12BF0E31D00002087AF0A0000</t>
        </is>
      </c>
      <c r="C1896" t="inlineStr">
        <is>
          <t>cmm4yunrr00zecuqwp1y3ceal</t>
        </is>
      </c>
      <c r="D1896" t="inlineStr">
        <is>
          <t>http://localhost:8787/api/admin/requirements/documents/cmm4yunrr00zecuqwp1y3ceal/view</t>
        </is>
      </c>
      <c r="E1896">
        <f>HYPERLÄNK("http://localhost:8787/api/admin/requirements/documents/cmm4yunrr00zecuqwp1y3ceal/view";"Öppna PDF")</f>
        <v/>
      </c>
      <c r="F1896">
        <f>HYPERLINK("http://localhost:8787/api/admin/requirements/documents/cmm4yunrr00zecuqwp1y3ceal/view","Open PDF")</f>
        <v/>
      </c>
      <c r="G1896" t="inlineStr">
        <is>
          <t>cmm55w57p0004cuisfrtpqly8</t>
        </is>
      </c>
      <c r="H1896" t="inlineStr">
        <is>
          <t>Informationskrav</t>
        </is>
      </c>
      <c r="I1896" t="inlineStr">
        <is>
          <t>DriftEgenkontroll</t>
        </is>
      </c>
      <c r="J1896" t="inlineStr">
        <is>
          <t>Journalforing</t>
        </is>
      </c>
      <c r="K1896" t="inlineStr">
        <is>
          <t>Om massor ska återvinnas på övriga platser bör det föregås av provtagning, utifrån att det finns risk för förekomst av tungmetaller eller bekämpningsmedel.</t>
        </is>
      </c>
      <c r="L1896" t="inlineStr">
        <is>
          <t>Om massor ska återvinnas på övriga platser bör det föregås av provtagning, utifrån att det finns risk för förekomst av tungmetaller eller bekämpningsmedel.</t>
        </is>
      </c>
      <c r="M1896" t="inlineStr">
        <is>
          <t>SKA</t>
        </is>
      </c>
      <c r="N1896" t="inlineStr"/>
      <c r="O1896" t="inlineStr"/>
      <c r="P1896" t="inlineStr"/>
      <c r="Q1896" t="inlineStr"/>
      <c r="R1896" t="inlineStr">
        <is>
          <t>Lopande drift</t>
        </is>
      </c>
      <c r="S1896" t="inlineStr"/>
      <c r="T1896" t="inlineStr">
        <is>
          <t>556280</t>
        </is>
      </c>
      <c r="U1896" t="inlineStr"/>
      <c r="V1896" t="inlineStr"/>
      <c r="W1896" t="inlineStr">
        <is>
          <t>Nej</t>
        </is>
      </c>
      <c r="X1896" t="inlineStr">
        <is>
          <t>Nej</t>
        </is>
      </c>
      <c r="Y1896" t="inlineStr">
        <is>
          <t>Ja</t>
        </is>
      </c>
      <c r="Z1896" t="inlineStr">
        <is>
          <t>Nej</t>
        </is>
      </c>
      <c r="AA1896" t="n">
        <v>7</v>
      </c>
      <c r="AB1896" t="inlineStr">
        <is>
          <t>Egenkontrollrutiner</t>
        </is>
      </c>
      <c r="AC1896" t="inlineStr">
        <is>
          <t>Egenkontrollprogram</t>
        </is>
      </c>
      <c r="AD1896" t="inlineStr">
        <is>
          <t>Nej</t>
        </is>
      </c>
      <c r="AE1896" t="inlineStr">
        <is>
          <t>Nej</t>
        </is>
      </c>
      <c r="AF1896" t="inlineStr">
        <is>
          <t>Ej behandlad</t>
        </is>
      </c>
      <c r="AG1896" t="inlineStr">
        <is>
          <t>AUTO_GENERERAD. Verifiera citat mot kallfil.</t>
        </is>
      </c>
      <c r="AH1896" t="inlineStr">
        <is>
          <t>MEDIUM</t>
        </is>
      </c>
      <c r="AI1896" t="inlineStr">
        <is>
          <t>AUTO</t>
        </is>
      </c>
      <c r="AJ1896" t="inlineStr">
        <is>
          <t>Nej</t>
        </is>
      </c>
      <c r="AK1896" t="inlineStr"/>
      <c r="AL1896" t="inlineStr"/>
      <c r="AM1896" t="inlineStr"/>
      <c r="AN1896" t="inlineStr"/>
      <c r="AO1896" t="inlineStr">
        <is>
          <t>cmm4yunt0010ncuqwxpd0eacl</t>
        </is>
      </c>
      <c r="AP1896" t="inlineStr">
        <is>
          <t>http://localhost:8787/api/admin/requirements/documents/cmm4yunt0010ncuqwxpd0eacl/view</t>
        </is>
      </c>
      <c r="AQ1896">
        <f>HYPERLÄNK("http://localhost:8787/api/admin/requirements/documents/cmm4yunt0010ncuqwxpd0eacl/view";"Öppna PDF")</f>
        <v/>
      </c>
      <c r="AR1896">
        <f>HYPERLINK("http://localhost:8787/api/admin/requirements/documents/cmm4yunt0010ncuqwxpd0eacl/view","Open PDF")</f>
        <v/>
      </c>
      <c r="AS1896" t="inlineStr">
        <is>
          <t>cmm55w57p0004cuisfrtpqly8</t>
        </is>
      </c>
      <c r="AT1896" t="inlineStr">
        <is>
          <t>cmm4xvu980000cuh4vj0usz09</t>
        </is>
      </c>
      <c r="AU1896" t="inlineStr"/>
      <c r="AV1896" t="inlineStr">
        <is>
          <t>Kommun</t>
        </is>
      </c>
      <c r="AW1896" t="inlineStr"/>
      <c r="AX1896" t="inlineStr">
        <is>
          <t>2025-02</t>
        </is>
      </c>
      <c r="AY1896" t="inlineStr">
        <is>
          <t>Komplettering</t>
        </is>
      </c>
      <c r="AZ1896" t="inlineStr">
        <is>
          <t>2026-02-03</t>
        </is>
      </c>
      <c r="BA1896" t="inlineStr">
        <is>
          <t>E-post med kompletterande svar från Swerock.pdf</t>
        </is>
      </c>
      <c r="BB1896" t="inlineStr">
        <is>
          <t>Sv: till registrator</t>
        </is>
      </c>
      <c r="BC1896" t="inlineStr">
        <is>
          <t>AUTO</t>
        </is>
      </c>
      <c r="BD1896" t="inlineStr"/>
      <c r="BE1896" t="inlineStr"/>
      <c r="BF1896" t="inlineStr">
        <is>
          <t>AUTO_GENERERAD. Bekrafta metadata mot kallfil.</t>
        </is>
      </c>
      <c r="BG1896">
        <f>HYPERLINK("C:\Users\jimmy\Desktop\Examens arbete\Kod\Ny mapp\remix_-copy-of-miljöbeslut.se-portal\E-post med kompletterande svar från Swerock.pdf", "Öppna PDF")</f>
        <v/>
      </c>
    </row>
    <row r="1897">
      <c r="A1897" t="inlineStr">
        <is>
          <t>KRAV-AUTO-001896</t>
        </is>
      </c>
      <c r="B1897" t="inlineStr">
        <is>
          <t>ADMIN-INDEX-2026-02-27-00000000125C043F57453246863FE664CAFE6A3F0700950291EA24F0614FB6ACEDB12BF0E31D00000000010C0000950291EA24F0614FB6ACEDB12BF0E31D00002087AF0A0000</t>
        </is>
      </c>
      <c r="C1897" t="inlineStr">
        <is>
          <t>cmm4yunrr00zecuqwp1y3ceal</t>
        </is>
      </c>
      <c r="D1897" t="inlineStr">
        <is>
          <t>http://localhost:8787/api/admin/requirements/documents/cmm4yunrr00zecuqwp1y3ceal/view</t>
        </is>
      </c>
      <c r="E1897">
        <f>HYPERLÄNK("http://localhost:8787/api/admin/requirements/documents/cmm4yunrr00zecuqwp1y3ceal/view";"Öppna PDF")</f>
        <v/>
      </c>
      <c r="F1897">
        <f>HYPERLINK("http://localhost:8787/api/admin/requirements/documents/cmm4yunrr00zecuqwp1y3ceal/view","Open PDF")</f>
        <v/>
      </c>
      <c r="G1897" t="inlineStr">
        <is>
          <t>cmm55w57p0004cuisfrtpqly8</t>
        </is>
      </c>
      <c r="H1897" t="inlineStr">
        <is>
          <t>Informationskrav</t>
        </is>
      </c>
      <c r="I1897" t="inlineStr">
        <is>
          <t>DagvattenLakvatten</t>
        </is>
      </c>
      <c r="J1897" t="inlineStr">
        <is>
          <t>Uppsamling</t>
        </is>
      </c>
      <c r="K1897" t="inlineStr">
        <is>
          <t>Om det finns risk för förorening eller om ursprung är okänt bör provtagning göras innan, så att man kan planera hur massor ska hanteras och bedöma om de går att återanvända på platsen.</t>
        </is>
      </c>
      <c r="L1897" t="inlineStr">
        <is>
          <t>Om det finns risk för förorening eller om ursprung är okänt bör provtagning göras innan, så att man kan planera hur massor ska hanteras och bedöma om de går att återanvända på platsen.</t>
        </is>
      </c>
      <c r="M1897" t="inlineStr">
        <is>
          <t>SKA</t>
        </is>
      </c>
      <c r="N1897" t="inlineStr"/>
      <c r="O1897" t="inlineStr"/>
      <c r="P1897" t="inlineStr"/>
      <c r="Q1897" t="inlineStr"/>
      <c r="R1897" t="inlineStr">
        <is>
          <t>Vid nederbord och avrinning</t>
        </is>
      </c>
      <c r="S1897" t="inlineStr"/>
      <c r="T1897" t="inlineStr">
        <is>
          <t>556280</t>
        </is>
      </c>
      <c r="U1897" t="inlineStr"/>
      <c r="V1897" t="inlineStr"/>
      <c r="W1897" t="inlineStr">
        <is>
          <t>Nej</t>
        </is>
      </c>
      <c r="X1897" t="inlineStr">
        <is>
          <t>Ja</t>
        </is>
      </c>
      <c r="Y1897" t="inlineStr">
        <is>
          <t>Ja</t>
        </is>
      </c>
      <c r="Z1897" t="inlineStr">
        <is>
          <t>Nej</t>
        </is>
      </c>
      <c r="AA1897" t="n">
        <v>6</v>
      </c>
      <c r="AB1897" t="inlineStr">
        <is>
          <t>Lakvattenhantering</t>
        </is>
      </c>
      <c r="AC1897" t="inlineStr">
        <is>
          <t>Flodesschema dagvatten-lakvatten</t>
        </is>
      </c>
      <c r="AD1897" t="inlineStr">
        <is>
          <t>Nej</t>
        </is>
      </c>
      <c r="AE1897" t="inlineStr">
        <is>
          <t>Nej</t>
        </is>
      </c>
      <c r="AF1897" t="inlineStr">
        <is>
          <t>Ej behandlad</t>
        </is>
      </c>
      <c r="AG1897" t="inlineStr">
        <is>
          <t>AUTO_GENERERAD. Verifiera citat mot kallfil.</t>
        </is>
      </c>
      <c r="AH1897" t="inlineStr">
        <is>
          <t>MEDIUM</t>
        </is>
      </c>
      <c r="AI1897" t="inlineStr">
        <is>
          <t>AUTO</t>
        </is>
      </c>
      <c r="AJ1897" t="inlineStr">
        <is>
          <t>Nej</t>
        </is>
      </c>
      <c r="AK1897" t="inlineStr"/>
      <c r="AL1897" t="inlineStr"/>
      <c r="AM1897" t="inlineStr"/>
      <c r="AN1897" t="inlineStr"/>
      <c r="AO1897" t="inlineStr">
        <is>
          <t>cmm4yunt0010ncuqwxpd0eacl</t>
        </is>
      </c>
      <c r="AP1897" t="inlineStr">
        <is>
          <t>http://localhost:8787/api/admin/requirements/documents/cmm4yunt0010ncuqwxpd0eacl/view</t>
        </is>
      </c>
      <c r="AQ1897">
        <f>HYPERLÄNK("http://localhost:8787/api/admin/requirements/documents/cmm4yunt0010ncuqwxpd0eacl/view";"Öppna PDF")</f>
        <v/>
      </c>
      <c r="AR1897">
        <f>HYPERLINK("http://localhost:8787/api/admin/requirements/documents/cmm4yunt0010ncuqwxpd0eacl/view","Open PDF")</f>
        <v/>
      </c>
      <c r="AS1897" t="inlineStr">
        <is>
          <t>cmm55w57p0004cuisfrtpqly8</t>
        </is>
      </c>
      <c r="AT1897" t="inlineStr">
        <is>
          <t>cmm4xvu980000cuh4vj0usz09</t>
        </is>
      </c>
      <c r="AU1897" t="inlineStr"/>
      <c r="AV1897" t="inlineStr">
        <is>
          <t>Kommun</t>
        </is>
      </c>
      <c r="AW1897" t="inlineStr"/>
      <c r="AX1897" t="inlineStr">
        <is>
          <t>2025-02</t>
        </is>
      </c>
      <c r="AY1897" t="inlineStr">
        <is>
          <t>Komplettering</t>
        </is>
      </c>
      <c r="AZ1897" t="inlineStr">
        <is>
          <t>2026-02-03</t>
        </is>
      </c>
      <c r="BA1897" t="inlineStr">
        <is>
          <t>E-post med kompletterande svar från Swerock.pdf</t>
        </is>
      </c>
      <c r="BB1897" t="inlineStr">
        <is>
          <t>Sv: till registrator</t>
        </is>
      </c>
      <c r="BC1897" t="inlineStr">
        <is>
          <t>AUTO</t>
        </is>
      </c>
      <c r="BD1897" t="inlineStr"/>
      <c r="BE1897" t="inlineStr"/>
      <c r="BF1897" t="inlineStr">
        <is>
          <t>AUTO_GENERERAD. Bekrafta metadata mot kallfil.</t>
        </is>
      </c>
      <c r="BG1897">
        <f>HYPERLINK("C:\Users\jimmy\Desktop\Examens arbete\Kod\Ny mapp\remix_-copy-of-miljöbeslut.se-portal\E-post med kompletterande svar från Swerock.pdf", "Öppna PDF")</f>
        <v/>
      </c>
    </row>
    <row r="1898">
      <c r="A1898" t="inlineStr">
        <is>
          <t>KRAV-AUTO-001897</t>
        </is>
      </c>
      <c r="B1898" t="inlineStr">
        <is>
          <t>ADMIN-INDEX-2026-02-27-00000000125C043F57453246863FE664CAFE6A3F0700950291EA24F0614FB6ACEDB12BF0E31D00000000010C0000950291EA24F0614FB6ACEDB12BF0E31D00002087AF0A0000</t>
        </is>
      </c>
      <c r="C1898" t="inlineStr">
        <is>
          <t>cmm4yunrr00zecuqwp1y3ceal</t>
        </is>
      </c>
      <c r="D1898" t="inlineStr">
        <is>
          <t>http://localhost:8787/api/admin/requirements/documents/cmm4yunrr00zecuqwp1y3ceal/view</t>
        </is>
      </c>
      <c r="E1898">
        <f>HYPERLÄNK("http://localhost:8787/api/admin/requirements/documents/cmm4yunrr00zecuqwp1y3ceal/view";"Öppna PDF")</f>
        <v/>
      </c>
      <c r="F1898">
        <f>HYPERLINK("http://localhost:8787/api/admin/requirements/documents/cmm4yunrr00zecuqwp1y3ceal/view","Open PDF")</f>
        <v/>
      </c>
      <c r="G1898" t="inlineStr">
        <is>
          <t>cmm55w57p0004cuisfrtpqly8</t>
        </is>
      </c>
      <c r="H1898" t="inlineStr">
        <is>
          <t>Informationskrav</t>
        </is>
      </c>
      <c r="I1898" t="inlineStr">
        <is>
          <t>LagringsvolymTid</t>
        </is>
      </c>
      <c r="J1898" t="inlineStr">
        <is>
          <t>Maxmangd</t>
        </is>
      </c>
      <c r="K1898" t="inlineStr">
        <is>
          <t>Mängder och transportsedlar ska dokumenteras och val av mottagningsanläggning godkännas av beställaren innan borttransport.</t>
        </is>
      </c>
      <c r="L1898" t="inlineStr">
        <is>
          <t>Mängder och transportsedlar ska dokumenteras och val av mottagningsanläggning godkännas av beställaren innan borttransport.</t>
        </is>
      </c>
      <c r="M1898" t="inlineStr">
        <is>
          <t>SKA</t>
        </is>
      </c>
      <c r="N1898" t="inlineStr"/>
      <c r="O1898" t="inlineStr"/>
      <c r="P1898" t="inlineStr"/>
      <c r="Q1898" t="inlineStr"/>
      <c r="R1898" t="inlineStr">
        <is>
          <t>Alltid</t>
        </is>
      </c>
      <c r="S1898" t="inlineStr"/>
      <c r="T1898" t="inlineStr">
        <is>
          <t>556280</t>
        </is>
      </c>
      <c r="U1898" t="inlineStr"/>
      <c r="V1898" t="inlineStr"/>
      <c r="W1898" t="inlineStr">
        <is>
          <t>Nej</t>
        </is>
      </c>
      <c r="X1898" t="inlineStr">
        <is>
          <t>Nej</t>
        </is>
      </c>
      <c r="Y1898" t="inlineStr">
        <is>
          <t>Nej</t>
        </is>
      </c>
      <c r="Z1898" t="inlineStr">
        <is>
          <t>Nej</t>
        </is>
      </c>
      <c r="AA1898" t="n">
        <v>4</v>
      </c>
      <c r="AB1898" t="inlineStr">
        <is>
          <t>Avfallsmangder och lagringstid</t>
        </is>
      </c>
      <c r="AC1898" t="inlineStr">
        <is>
          <t>Avfallsforteckning</t>
        </is>
      </c>
      <c r="AD1898" t="inlineStr">
        <is>
          <t>Nej</t>
        </is>
      </c>
      <c r="AE1898" t="inlineStr">
        <is>
          <t>Nej</t>
        </is>
      </c>
      <c r="AF1898" t="inlineStr">
        <is>
          <t>Ej behandlad</t>
        </is>
      </c>
      <c r="AG1898" t="inlineStr">
        <is>
          <t>AUTO_GENERERAD. Verifiera citat mot kallfil.</t>
        </is>
      </c>
      <c r="AH1898" t="inlineStr">
        <is>
          <t>MEDIUM</t>
        </is>
      </c>
      <c r="AI1898" t="inlineStr">
        <is>
          <t>AUTO</t>
        </is>
      </c>
      <c r="AJ1898" t="inlineStr">
        <is>
          <t>Nej</t>
        </is>
      </c>
      <c r="AK1898" t="inlineStr"/>
      <c r="AL1898" t="inlineStr"/>
      <c r="AM1898" t="inlineStr"/>
      <c r="AN1898" t="inlineStr"/>
      <c r="AO1898" t="inlineStr">
        <is>
          <t>cmm4yunt0010ncuqwxpd0eacl</t>
        </is>
      </c>
      <c r="AP1898" t="inlineStr">
        <is>
          <t>http://localhost:8787/api/admin/requirements/documents/cmm4yunt0010ncuqwxpd0eacl/view</t>
        </is>
      </c>
      <c r="AQ1898">
        <f>HYPERLÄNK("http://localhost:8787/api/admin/requirements/documents/cmm4yunt0010ncuqwxpd0eacl/view";"Öppna PDF")</f>
        <v/>
      </c>
      <c r="AR1898">
        <f>HYPERLINK("http://localhost:8787/api/admin/requirements/documents/cmm4yunt0010ncuqwxpd0eacl/view","Open PDF")</f>
        <v/>
      </c>
      <c r="AS1898" t="inlineStr">
        <is>
          <t>cmm55w57p0004cuisfrtpqly8</t>
        </is>
      </c>
      <c r="AT1898" t="inlineStr">
        <is>
          <t>cmm4xvu980000cuh4vj0usz09</t>
        </is>
      </c>
      <c r="AU1898" t="inlineStr"/>
      <c r="AV1898" t="inlineStr">
        <is>
          <t>Kommun</t>
        </is>
      </c>
      <c r="AW1898" t="inlineStr"/>
      <c r="AX1898" t="inlineStr">
        <is>
          <t>2025-02</t>
        </is>
      </c>
      <c r="AY1898" t="inlineStr">
        <is>
          <t>Komplettering</t>
        </is>
      </c>
      <c r="AZ1898" t="inlineStr">
        <is>
          <t>2026-02-03</t>
        </is>
      </c>
      <c r="BA1898" t="inlineStr">
        <is>
          <t>E-post med kompletterande svar från Swerock.pdf</t>
        </is>
      </c>
      <c r="BB1898" t="inlineStr">
        <is>
          <t>Sv: till registrator</t>
        </is>
      </c>
      <c r="BC1898" t="inlineStr">
        <is>
          <t>AUTO</t>
        </is>
      </c>
      <c r="BD1898" t="inlineStr"/>
      <c r="BE1898" t="inlineStr"/>
      <c r="BF1898" t="inlineStr">
        <is>
          <t>AUTO_GENERERAD. Bekrafta metadata mot kallfil.</t>
        </is>
      </c>
      <c r="BG1898">
        <f>HYPERLINK("C:\Users\jimmy\Desktop\Examens arbete\Kod\Ny mapp\remix_-copy-of-miljöbeslut.se-portal\E-post med kompletterande svar från Swerock.pdf", "Öppna PDF")</f>
        <v/>
      </c>
    </row>
    <row r="1899">
      <c r="A1899" t="inlineStr">
        <is>
          <t>KRAV-AUTO-001898</t>
        </is>
      </c>
      <c r="B1899" t="inlineStr">
        <is>
          <t>ADMIN-INDEX-2026-02-27-00000000125C043F57453246863FE664CAFE6A3F0700950291EA24F0614FB6ACEDB12BF0E31D00000000010C0000950291EA24F0614FB6ACEDB12BF0E31D00002087AF0A0000</t>
        </is>
      </c>
      <c r="C1899" t="inlineStr">
        <is>
          <t>cmm4yunrg00z2cuqwq0gvce45</t>
        </is>
      </c>
      <c r="D1899" t="inlineStr">
        <is>
          <t>http://localhost:8787/api/admin/requirements/documents/cmm4yunrg00z2cuqwq0gvce45/view</t>
        </is>
      </c>
      <c r="E1899">
        <f>HYPERLÄNK("http://localhost:8787/api/admin/requirements/documents/cmm4yunrg00z2cuqwq0gvce45/view";"Öppna PDF")</f>
        <v/>
      </c>
      <c r="F1899">
        <f>HYPERLINK("http://localhost:8787/api/admin/requirements/documents/cmm4yunrg00z2cuqwq0gvce45/view","Open PDF")</f>
        <v/>
      </c>
      <c r="G1899" t="inlineStr">
        <is>
          <t>cmm55w57p0004cuisfrtpqly8</t>
        </is>
      </c>
      <c r="H1899" t="inlineStr">
        <is>
          <t>Beslutsvillkor</t>
        </is>
      </c>
      <c r="I1899" t="inlineStr">
        <is>
          <t>Ytkonstruktion</t>
        </is>
      </c>
      <c r="J1899" t="inlineStr">
        <is>
          <t>Tat yta</t>
        </is>
      </c>
      <c r="K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99" t="inlineStr">
        <is>
          <t>BOR</t>
        </is>
      </c>
      <c r="N1899" t="inlineStr"/>
      <c r="O1899" t="inlineStr">
        <is>
          <t>2024-08-05</t>
        </is>
      </c>
      <c r="P1899" t="inlineStr"/>
      <c r="Q1899" t="inlineStr"/>
      <c r="R1899" t="inlineStr">
        <is>
          <t>Vid mellanlagring av avfall</t>
        </is>
      </c>
      <c r="S1899" t="inlineStr"/>
      <c r="T1899" t="inlineStr">
        <is>
          <t>09 2024</t>
        </is>
      </c>
      <c r="U1899" t="inlineStr"/>
      <c r="V1899" t="inlineStr"/>
      <c r="W1899" t="inlineStr">
        <is>
          <t>Ja</t>
        </is>
      </c>
      <c r="X1899" t="inlineStr">
        <is>
          <t>Nej</t>
        </is>
      </c>
      <c r="Y1899" t="inlineStr">
        <is>
          <t>Nej</t>
        </is>
      </c>
      <c r="Z1899" t="inlineStr">
        <is>
          <t>Nej</t>
        </is>
      </c>
      <c r="AA1899" t="n">
        <v>5</v>
      </c>
      <c r="AB1899" t="inlineStr">
        <is>
          <t>Teknisk beskrivning av platta</t>
        </is>
      </c>
      <c r="AC1899" t="inlineStr">
        <is>
          <t>Teknisk ritning platta</t>
        </is>
      </c>
      <c r="AD1899" t="inlineStr">
        <is>
          <t>Nej</t>
        </is>
      </c>
      <c r="AE1899" t="inlineStr">
        <is>
          <t>Nej</t>
        </is>
      </c>
      <c r="AF1899" t="inlineStr">
        <is>
          <t>Ej behandlad</t>
        </is>
      </c>
      <c r="AG1899" t="inlineStr">
        <is>
          <t>AUTO_GENERERAD. Verifiera citat mot kallfil.</t>
        </is>
      </c>
      <c r="AH1899" t="inlineStr">
        <is>
          <t>MEDIUM</t>
        </is>
      </c>
      <c r="AI1899" t="inlineStr">
        <is>
          <t>AUTO</t>
        </is>
      </c>
      <c r="AJ1899" t="inlineStr">
        <is>
          <t>Nej</t>
        </is>
      </c>
      <c r="AK1899" t="inlineStr"/>
      <c r="AL1899" t="inlineStr"/>
      <c r="AM1899" t="inlineStr"/>
      <c r="AN1899" t="inlineStr"/>
      <c r="AO1899" t="inlineStr">
        <is>
          <t>cmm4yunt0010ncuqwxpd0eacl</t>
        </is>
      </c>
      <c r="AP1899" t="inlineStr">
        <is>
          <t>http://localhost:8787/api/admin/requirements/documents/cmm4yunt0010ncuqwxpd0eacl/view</t>
        </is>
      </c>
      <c r="AQ1899">
        <f>HYPERLÄNK("http://localhost:8787/api/admin/requirements/documents/cmm4yunt0010ncuqwxpd0eacl/view";"Öppna PDF")</f>
        <v/>
      </c>
      <c r="AR1899">
        <f>HYPERLINK("http://localhost:8787/api/admin/requirements/documents/cmm4yunt0010ncuqwxpd0eacl/view","Open PDF")</f>
        <v/>
      </c>
      <c r="AS1899" t="inlineStr">
        <is>
          <t>cmm55w57p0004cuisfrtpqly8</t>
        </is>
      </c>
      <c r="AT1899" t="inlineStr">
        <is>
          <t>cmm4xvu980000cuh4vj0usz09</t>
        </is>
      </c>
      <c r="AU1899" t="inlineStr"/>
      <c r="AV1899" t="inlineStr">
        <is>
          <t>Kommun</t>
        </is>
      </c>
      <c r="AW1899" t="inlineStr"/>
      <c r="AX1899" t="inlineStr">
        <is>
          <t>2025-02</t>
        </is>
      </c>
      <c r="AY1899" t="inlineStr">
        <is>
          <t>Komplettering</t>
        </is>
      </c>
      <c r="AZ1899" t="inlineStr">
        <is>
          <t>2026-02-03</t>
        </is>
      </c>
      <c r="BA1899" t="inlineStr">
        <is>
          <t>E-post med kompletterande svar från Swerock.pdf</t>
        </is>
      </c>
      <c r="BB1899" t="inlineStr">
        <is>
          <t>Sv: till registrator</t>
        </is>
      </c>
      <c r="BC1899" t="inlineStr">
        <is>
          <t>AUTO</t>
        </is>
      </c>
      <c r="BD1899" t="inlineStr"/>
      <c r="BE1899" t="inlineStr"/>
      <c r="BF1899" t="inlineStr">
        <is>
          <t>AUTO_GENERERAD. Bekrafta metadata mot kallfil.</t>
        </is>
      </c>
      <c r="BG1899">
        <f>HYPERLINK("C:\Users\jimmy\Desktop\Examens arbete\Kod\Ny mapp\remix_-copy-of-miljöbeslut.se-portal\E-post med kompletterande svar från Swerock.pdf", "Öppna PDF")</f>
        <v/>
      </c>
    </row>
    <row r="1900">
      <c r="A1900" t="inlineStr">
        <is>
          <t>KRAV-AUTO-001899</t>
        </is>
      </c>
      <c r="B1900" t="inlineStr">
        <is>
          <t>ADMIN-INDEX-2026-02-27-00000000125C043F57453246863FE664CAFE6A3F0700950291EA24F0614FB6ACEDB12BF0E31D00000000010C0000950291EA24F0614FB6ACEDB12BF0E31D00002087AF0A0000</t>
        </is>
      </c>
      <c r="C1900" t="inlineStr">
        <is>
          <t>cmm4yunrd00yzcuqw2xyfs7bd</t>
        </is>
      </c>
      <c r="D1900" t="inlineStr">
        <is>
          <t>http://localhost:8787/api/admin/requirements/documents/cmm4yunrd00yzcuqw2xyfs7bd/view</t>
        </is>
      </c>
      <c r="E1900">
        <f>HYPERLÄNK("http://localhost:8787/api/admin/requirements/documents/cmm4yunrd00yzcuqw2xyfs7bd/view";"Öppna PDF")</f>
        <v/>
      </c>
      <c r="F1900">
        <f>HYPERLINK("http://localhost:8787/api/admin/requirements/documents/cmm4yunrd00yzcuqw2xyfs7bd/view","Open PDF")</f>
        <v/>
      </c>
      <c r="G1900" t="inlineStr">
        <is>
          <t>cmm55w57p0004cuisfrtpqly8</t>
        </is>
      </c>
      <c r="H1900" t="inlineStr">
        <is>
          <t>Beslutsvillkor</t>
        </is>
      </c>
      <c r="I1900" t="inlineStr">
        <is>
          <t>DriftEgenkontroll</t>
        </is>
      </c>
      <c r="J1900" t="inlineStr">
        <is>
          <t>Journalforing</t>
        </is>
      </c>
      <c r="K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900" t="inlineStr">
        <is>
          <t>BOR</t>
        </is>
      </c>
      <c r="N1900" t="inlineStr"/>
      <c r="O1900" t="inlineStr">
        <is>
          <t>2024-08-27</t>
        </is>
      </c>
      <c r="P1900" t="inlineStr"/>
      <c r="Q1900" t="inlineStr"/>
      <c r="R1900" t="inlineStr">
        <is>
          <t>Lopande drift</t>
        </is>
      </c>
      <c r="S1900" t="inlineStr"/>
      <c r="T1900" t="inlineStr">
        <is>
          <t>30 2024</t>
        </is>
      </c>
      <c r="U1900" t="inlineStr"/>
      <c r="V1900" t="inlineStr"/>
      <c r="W1900" t="inlineStr">
        <is>
          <t>Nej</t>
        </is>
      </c>
      <c r="X1900" t="inlineStr">
        <is>
          <t>Nej</t>
        </is>
      </c>
      <c r="Y1900" t="inlineStr">
        <is>
          <t>Ja</t>
        </is>
      </c>
      <c r="Z1900" t="inlineStr">
        <is>
          <t>Nej</t>
        </is>
      </c>
      <c r="AA1900" t="n">
        <v>7</v>
      </c>
      <c r="AB1900" t="inlineStr">
        <is>
          <t>Egenkontrollrutiner</t>
        </is>
      </c>
      <c r="AC1900" t="inlineStr">
        <is>
          <t>Egenkontrollprogram</t>
        </is>
      </c>
      <c r="AD1900" t="inlineStr">
        <is>
          <t>Nej</t>
        </is>
      </c>
      <c r="AE1900" t="inlineStr">
        <is>
          <t>Nej</t>
        </is>
      </c>
      <c r="AF1900" t="inlineStr">
        <is>
          <t>Ej behandlad</t>
        </is>
      </c>
      <c r="AG1900" t="inlineStr">
        <is>
          <t>AUTO_GENERERAD. Verifiera citat mot kallfil.</t>
        </is>
      </c>
      <c r="AH1900" t="inlineStr">
        <is>
          <t>MEDIUM</t>
        </is>
      </c>
      <c r="AI1900" t="inlineStr">
        <is>
          <t>AUTO</t>
        </is>
      </c>
      <c r="AJ1900" t="inlineStr">
        <is>
          <t>Nej</t>
        </is>
      </c>
      <c r="AK1900" t="inlineStr"/>
      <c r="AL1900" t="inlineStr"/>
      <c r="AM1900" t="inlineStr"/>
      <c r="AN1900" t="inlineStr"/>
      <c r="AO1900" t="inlineStr">
        <is>
          <t>cmm4yunt0010ncuqwxpd0eacl</t>
        </is>
      </c>
      <c r="AP1900" t="inlineStr">
        <is>
          <t>http://localhost:8787/api/admin/requirements/documents/cmm4yunt0010ncuqwxpd0eacl/view</t>
        </is>
      </c>
      <c r="AQ1900">
        <f>HYPERLÄNK("http://localhost:8787/api/admin/requirements/documents/cmm4yunt0010ncuqwxpd0eacl/view";"Öppna PDF")</f>
        <v/>
      </c>
      <c r="AR1900">
        <f>HYPERLINK("http://localhost:8787/api/admin/requirements/documents/cmm4yunt0010ncuqwxpd0eacl/view","Open PDF")</f>
        <v/>
      </c>
      <c r="AS1900" t="inlineStr">
        <is>
          <t>cmm55w57p0004cuisfrtpqly8</t>
        </is>
      </c>
      <c r="AT1900" t="inlineStr">
        <is>
          <t>cmm4xvu980000cuh4vj0usz09</t>
        </is>
      </c>
      <c r="AU1900" t="inlineStr"/>
      <c r="AV1900" t="inlineStr">
        <is>
          <t>Kommun</t>
        </is>
      </c>
      <c r="AW1900" t="inlineStr"/>
      <c r="AX1900" t="inlineStr">
        <is>
          <t>2025-02</t>
        </is>
      </c>
      <c r="AY1900" t="inlineStr">
        <is>
          <t>Komplettering</t>
        </is>
      </c>
      <c r="AZ1900" t="inlineStr">
        <is>
          <t>2026-02-03</t>
        </is>
      </c>
      <c r="BA1900" t="inlineStr">
        <is>
          <t>E-post med kompletterande svar från Swerock.pdf</t>
        </is>
      </c>
      <c r="BB1900" t="inlineStr">
        <is>
          <t>Sv: till registrator</t>
        </is>
      </c>
      <c r="BC1900" t="inlineStr">
        <is>
          <t>AUTO</t>
        </is>
      </c>
      <c r="BD1900" t="inlineStr"/>
      <c r="BE1900" t="inlineStr"/>
      <c r="BF1900" t="inlineStr">
        <is>
          <t>AUTO_GENERERAD. Bekrafta metadata mot kallfil.</t>
        </is>
      </c>
      <c r="BG1900">
        <f>HYPERLINK("C:\Users\jimmy\Desktop\Examens arbete\Kod\Ny mapp\remix_-copy-of-miljöbeslut.se-portal\E-post med kompletterande svar från Swerock.pdf", "Öppna PDF")</f>
        <v/>
      </c>
    </row>
    <row r="1901">
      <c r="A1901" t="inlineStr">
        <is>
          <t>KRAV-AUTO-001900</t>
        </is>
      </c>
      <c r="B1901" t="inlineStr">
        <is>
          <t>ADMIN-INDEX-2026-02-27-00000000125C043F57453246863FE664CAFE6A3F0700950291EA24F0614FB6ACEDB12BF0E31D00000000010C0000950291EA24F0614FB6ACEDB12BF0E31D00002087AF0A0000</t>
        </is>
      </c>
      <c r="C1901" t="inlineStr">
        <is>
          <t>cmm4yunrd00yzcuqw2xyfs7bd</t>
        </is>
      </c>
      <c r="D1901" t="inlineStr">
        <is>
          <t>http://localhost:8787/api/admin/requirements/documents/cmm4yunrd00yzcuqw2xyfs7bd/view</t>
        </is>
      </c>
      <c r="E1901">
        <f>HYPERLÄNK("http://localhost:8787/api/admin/requirements/documents/cmm4yunrd00yzcuqw2xyfs7bd/view";"Öppna PDF")</f>
        <v/>
      </c>
      <c r="F1901">
        <f>HYPERLINK("http://localhost:8787/api/admin/requirements/documents/cmm4yunrd00yzcuqw2xyfs7bd/view","Open PDF")</f>
        <v/>
      </c>
      <c r="G1901" t="inlineStr">
        <is>
          <t>cmm55w57p0004cuisfrtpqly8</t>
        </is>
      </c>
      <c r="H1901" t="inlineStr">
        <is>
          <t>Beslutsvillkor</t>
        </is>
      </c>
      <c r="I1901" t="inlineStr">
        <is>
          <t>DriftEgenkontroll</t>
        </is>
      </c>
      <c r="J1901" t="inlineStr">
        <is>
          <t>Journalforing</t>
        </is>
      </c>
      <c r="K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901" t="inlineStr">
        <is>
          <t>BOR</t>
        </is>
      </c>
      <c r="N1901" t="inlineStr"/>
      <c r="O1901" t="inlineStr">
        <is>
          <t>2024-08-27</t>
        </is>
      </c>
      <c r="P1901" t="inlineStr"/>
      <c r="Q1901" t="inlineStr"/>
      <c r="R1901" t="inlineStr">
        <is>
          <t>Lopande drift</t>
        </is>
      </c>
      <c r="S1901" t="inlineStr"/>
      <c r="T1901" t="inlineStr">
        <is>
          <t>171455</t>
        </is>
      </c>
      <c r="U1901" t="inlineStr"/>
      <c r="V1901" t="inlineStr"/>
      <c r="W1901" t="inlineStr">
        <is>
          <t>Nej</t>
        </is>
      </c>
      <c r="X1901" t="inlineStr">
        <is>
          <t>Nej</t>
        </is>
      </c>
      <c r="Y1901" t="inlineStr">
        <is>
          <t>Ja</t>
        </is>
      </c>
      <c r="Z1901" t="inlineStr">
        <is>
          <t>Nej</t>
        </is>
      </c>
      <c r="AA1901" t="n">
        <v>7</v>
      </c>
      <c r="AB1901" t="inlineStr">
        <is>
          <t>Egenkontrollrutiner</t>
        </is>
      </c>
      <c r="AC1901" t="inlineStr">
        <is>
          <t>Egenkontrollprogram</t>
        </is>
      </c>
      <c r="AD1901" t="inlineStr">
        <is>
          <t>Nej</t>
        </is>
      </c>
      <c r="AE1901" t="inlineStr">
        <is>
          <t>Nej</t>
        </is>
      </c>
      <c r="AF1901" t="inlineStr">
        <is>
          <t>Ej behandlad</t>
        </is>
      </c>
      <c r="AG1901" t="inlineStr">
        <is>
          <t>AUTO_GENERERAD. Verifiera citat mot kallfil.</t>
        </is>
      </c>
      <c r="AH1901" t="inlineStr">
        <is>
          <t>MEDIUM</t>
        </is>
      </c>
      <c r="AI1901" t="inlineStr">
        <is>
          <t>AUTO</t>
        </is>
      </c>
      <c r="AJ1901" t="inlineStr">
        <is>
          <t>Nej</t>
        </is>
      </c>
      <c r="AK1901" t="inlineStr"/>
      <c r="AL1901" t="inlineStr"/>
      <c r="AM1901" t="inlineStr"/>
      <c r="AN1901" t="inlineStr"/>
      <c r="AO1901" t="inlineStr">
        <is>
          <t>cmm4yunt0010ncuqwxpd0eacl</t>
        </is>
      </c>
      <c r="AP1901" t="inlineStr">
        <is>
          <t>http://localhost:8787/api/admin/requirements/documents/cmm4yunt0010ncuqwxpd0eacl/view</t>
        </is>
      </c>
      <c r="AQ1901">
        <f>HYPERLÄNK("http://localhost:8787/api/admin/requirements/documents/cmm4yunt0010ncuqwxpd0eacl/view";"Öppna PDF")</f>
        <v/>
      </c>
      <c r="AR1901">
        <f>HYPERLINK("http://localhost:8787/api/admin/requirements/documents/cmm4yunt0010ncuqwxpd0eacl/view","Open PDF")</f>
        <v/>
      </c>
      <c r="AS1901" t="inlineStr">
        <is>
          <t>cmm55w57p0004cuisfrtpqly8</t>
        </is>
      </c>
      <c r="AT1901" t="inlineStr">
        <is>
          <t>cmm4xvu980000cuh4vj0usz09</t>
        </is>
      </c>
      <c r="AU1901" t="inlineStr"/>
      <c r="AV1901" t="inlineStr">
        <is>
          <t>Kommun</t>
        </is>
      </c>
      <c r="AW1901" t="inlineStr"/>
      <c r="AX1901" t="inlineStr">
        <is>
          <t>2025-02</t>
        </is>
      </c>
      <c r="AY1901" t="inlineStr">
        <is>
          <t>Komplettering</t>
        </is>
      </c>
      <c r="AZ1901" t="inlineStr">
        <is>
          <t>2026-02-03</t>
        </is>
      </c>
      <c r="BA1901" t="inlineStr">
        <is>
          <t>E-post med kompletterande svar från Swerock.pdf</t>
        </is>
      </c>
      <c r="BB1901" t="inlineStr">
        <is>
          <t>Sv: till registrator</t>
        </is>
      </c>
      <c r="BC1901" t="inlineStr">
        <is>
          <t>AUTO</t>
        </is>
      </c>
      <c r="BD1901" t="inlineStr"/>
      <c r="BE1901" t="inlineStr"/>
      <c r="BF1901" t="inlineStr">
        <is>
          <t>AUTO_GENERERAD. Bekrafta metadata mot kallfil.</t>
        </is>
      </c>
      <c r="BG1901">
        <f>HYPERLINK("C:\Users\jimmy\Desktop\Examens arbete\Kod\Ny mapp\remix_-copy-of-miljöbeslut.se-portal\E-post med kompletterande svar från Swerock.pdf", "Öppna PDF")</f>
        <v/>
      </c>
    </row>
    <row r="1902">
      <c r="A1902" t="inlineStr">
        <is>
          <t>KRAV-AUTO-001901</t>
        </is>
      </c>
      <c r="B1902" t="inlineStr">
        <is>
          <t>ADMIN-INDEX-2026-02-27-00000000125C043F57453246863FE664CAFE6A3F0700950291EA24F0614FB6ACEDB12BF0E31D00000000010C0000950291EA24F0614FB6ACEDB12BF0E31D00002087AF0B0000</t>
        </is>
      </c>
      <c r="C1902" t="inlineStr">
        <is>
          <t>cmm4yunr800ytcuqwwfwmk330</t>
        </is>
      </c>
      <c r="D1902" t="inlineStr">
        <is>
          <t>http://localhost:8787/api/admin/requirements/documents/cmm4yunr800ytcuqwwfwmk330/view</t>
        </is>
      </c>
      <c r="E1902">
        <f>HYPERLÄNK("http://localhost:8787/api/admin/requirements/documents/cmm4yunr800ytcuqwwfwmk330/view";"Öppna PDF")</f>
        <v/>
      </c>
      <c r="F1902">
        <f>HYPERLINK("http://localhost:8787/api/admin/requirements/documents/cmm4yunr800ytcuqwwfwmk330/view","Open PDF")</f>
        <v/>
      </c>
      <c r="G1902" t="inlineStr">
        <is>
          <t>cmm55w57p0004cuisfrtpqly8</t>
        </is>
      </c>
      <c r="H1902" t="inlineStr">
        <is>
          <t>Beslutsvillkor</t>
        </is>
      </c>
      <c r="I1902" t="inlineStr">
        <is>
          <t>MiljopaverkanForsiktighet</t>
        </is>
      </c>
      <c r="J1902" t="inlineStr">
        <is>
          <t>Skyddsatgarder</t>
        </is>
      </c>
      <c r="K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02" t="inlineStr">
        <is>
          <t>SKA</t>
        </is>
      </c>
      <c r="N1902" t="inlineStr"/>
      <c r="O1902" t="inlineStr"/>
      <c r="P1902" t="inlineStr"/>
      <c r="Q1902" t="inlineStr"/>
      <c r="R1902" t="inlineStr">
        <is>
          <t>Alltid</t>
        </is>
      </c>
      <c r="S1902" t="inlineStr"/>
      <c r="T1902" t="inlineStr">
        <is>
          <t>212000</t>
        </is>
      </c>
      <c r="U1902" t="inlineStr"/>
      <c r="V1902" t="inlineStr"/>
      <c r="W1902" t="inlineStr">
        <is>
          <t>Nej</t>
        </is>
      </c>
      <c r="X1902" t="inlineStr">
        <is>
          <t>Nej</t>
        </is>
      </c>
      <c r="Y1902" t="inlineStr">
        <is>
          <t>Nej</t>
        </is>
      </c>
      <c r="Z1902" t="inlineStr">
        <is>
          <t>Nej</t>
        </is>
      </c>
      <c r="AA1902" t="n">
        <v>10</v>
      </c>
      <c r="AB1902" t="inlineStr">
        <is>
          <t>Miljopaverkan och forsiktighetsmatt</t>
        </is>
      </c>
      <c r="AC1902" t="inlineStr">
        <is>
          <t>Miljo-PM</t>
        </is>
      </c>
      <c r="AD1902" t="inlineStr">
        <is>
          <t>Nej</t>
        </is>
      </c>
      <c r="AE1902" t="inlineStr">
        <is>
          <t>Nej</t>
        </is>
      </c>
      <c r="AF1902" t="inlineStr">
        <is>
          <t>Ej behandlad</t>
        </is>
      </c>
      <c r="AG1902" t="inlineStr">
        <is>
          <t>AUTO_GENERERAD. Verifiera citat mot kallfil.</t>
        </is>
      </c>
      <c r="AH1902" t="inlineStr">
        <is>
          <t>MEDIUM</t>
        </is>
      </c>
      <c r="AI1902" t="inlineStr">
        <is>
          <t>AUTO</t>
        </is>
      </c>
      <c r="AJ1902" t="inlineStr">
        <is>
          <t>Nej</t>
        </is>
      </c>
      <c r="AK1902" t="inlineStr"/>
      <c r="AL1902" t="inlineStr"/>
      <c r="AM1902" t="inlineStr"/>
      <c r="AN1902" t="inlineStr"/>
      <c r="AO1902" t="inlineStr">
        <is>
          <t>cmm4yunr800ytcuqwwfwmk330</t>
        </is>
      </c>
      <c r="AP1902" t="inlineStr">
        <is>
          <t>http://localhost:8787/api/admin/requirements/documents/cmm4yunr800ytcuqwwfwmk330/view</t>
        </is>
      </c>
      <c r="AQ1902">
        <f>HYPERLÄNK("http://localhost:8787/api/admin/requirements/documents/cmm4yunr800ytcuqwwfwmk330/view";"Öppna PDF")</f>
        <v/>
      </c>
      <c r="AR1902">
        <f>HYPERLINK("http://localhost:8787/api/admin/requirements/documents/cmm4yunr800ytcuqwwfwmk330/view","Open PDF")</f>
        <v/>
      </c>
      <c r="AS1902" t="inlineStr">
        <is>
          <t>cmm55w57p0004cuisfrtpqly8</t>
        </is>
      </c>
      <c r="AT1902" t="inlineStr">
        <is>
          <t>cmm4xvu980000cuh4vj0usz09</t>
        </is>
      </c>
      <c r="AU1902" t="inlineStr">
        <is>
          <t>re</t>
        </is>
      </c>
      <c r="AV1902" t="inlineStr">
        <is>
          <t>Kommun</t>
        </is>
      </c>
      <c r="AW1902" t="inlineStr">
        <is>
          <t>re kommun</t>
        </is>
      </c>
      <c r="AX1902" t="inlineStr">
        <is>
          <t>2026-02</t>
        </is>
      </c>
      <c r="AY1902" t="inlineStr">
        <is>
          <t>Beslut</t>
        </is>
      </c>
      <c r="AZ1902" t="inlineStr">
        <is>
          <t>2026-02-03</t>
        </is>
      </c>
      <c r="BA1902" t="inlineStr">
        <is>
          <t>MIL.2025.629.pdf</t>
        </is>
      </c>
      <c r="BB1902" t="inlineStr">
        <is>
          <t>Sv: till registrator</t>
        </is>
      </c>
      <c r="BC1902" t="inlineStr">
        <is>
          <t>AUTO</t>
        </is>
      </c>
      <c r="BD1902" t="inlineStr"/>
      <c r="BE1902" t="inlineStr"/>
      <c r="BF1902" t="inlineStr">
        <is>
          <t>AUTO_GENERERAD. Bekrafta metadata mot kallfil.</t>
        </is>
      </c>
      <c r="BG1902">
        <f>HYPERLINK("C:\Users\jimmy\Desktop\Examens arbete\Kod\Ny mapp\remix_-copy-of-miljöbeslut.se-portal\MIL.2025.629.pdf", "Öppna PDF")</f>
        <v/>
      </c>
    </row>
    <row r="1903">
      <c r="A1903" t="inlineStr">
        <is>
          <t>KRAV-AUTO-001902</t>
        </is>
      </c>
      <c r="B1903" t="inlineStr">
        <is>
          <t>ADMIN-INDEX-2026-02-27-00000000125C043F57453246863FE664CAFE6A3F0700950291EA24F0614FB6ACEDB12BF0E31D00000000010C0000950291EA24F0614FB6ACEDB12BF0E31D00002087AF0B0000</t>
        </is>
      </c>
      <c r="C1903" t="inlineStr">
        <is>
          <t>cmm4yunr800ytcuqwwfwmk330</t>
        </is>
      </c>
      <c r="D1903" t="inlineStr">
        <is>
          <t>http://localhost:8787/api/admin/requirements/documents/cmm4yunr800ytcuqwwfwmk330/view</t>
        </is>
      </c>
      <c r="E1903">
        <f>HYPERLÄNK("http://localhost:8787/api/admin/requirements/documents/cmm4yunr800ytcuqwwfwmk330/view";"Öppna PDF")</f>
        <v/>
      </c>
      <c r="F1903">
        <f>HYPERLINK("http://localhost:8787/api/admin/requirements/documents/cmm4yunr800ytcuqwwfwmk330/view","Open PDF")</f>
        <v/>
      </c>
      <c r="G1903" t="inlineStr">
        <is>
          <t>cmm55w57p0004cuisfrtpqly8</t>
        </is>
      </c>
      <c r="H1903" t="inlineStr">
        <is>
          <t>Beslutsvillkor</t>
        </is>
      </c>
      <c r="I1903" t="inlineStr">
        <is>
          <t>LagringsvolymTid</t>
        </is>
      </c>
      <c r="J1903" t="inlineStr">
        <is>
          <t>Maxmangd</t>
        </is>
      </c>
      <c r="K1903"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03" t="inlineStr">
        <is>
          <t>-- 15 of 22 -- Energiförbrukning inom verksamheten*  Olja, m3/år: …………………………………  El, kWh/år: …………………………………  Fjärrvärme, kWh/år: …….…………………  Naturgas, m3/år: ……………………………  Fastbränsle, ton/år: …………………………  Annat: ………………….., mängd/år:……… En skriftlig energiplan* finns  eller ska upprättas  Kemiska produkter, köldme</t>
        </is>
      </c>
      <c r="M1903" t="inlineStr">
        <is>
          <t>SKA</t>
        </is>
      </c>
      <c r="N1903" t="inlineStr"/>
      <c r="O1903" t="inlineStr"/>
      <c r="P1903" t="inlineStr"/>
      <c r="Q1903" t="inlineStr"/>
      <c r="R1903" t="inlineStr">
        <is>
          <t>Alltid</t>
        </is>
      </c>
      <c r="S1903" t="inlineStr"/>
      <c r="T1903" t="inlineStr">
        <is>
          <t>212000</t>
        </is>
      </c>
      <c r="U1903" t="inlineStr"/>
      <c r="V1903" t="inlineStr"/>
      <c r="W1903" t="inlineStr">
        <is>
          <t>Nej</t>
        </is>
      </c>
      <c r="X1903" t="inlineStr">
        <is>
          <t>Nej</t>
        </is>
      </c>
      <c r="Y1903" t="inlineStr">
        <is>
          <t>Nej</t>
        </is>
      </c>
      <c r="Z1903" t="inlineStr">
        <is>
          <t>Nej</t>
        </is>
      </c>
      <c r="AA1903" t="n">
        <v>4</v>
      </c>
      <c r="AB1903" t="inlineStr">
        <is>
          <t>Avfallsmangder och lagringstid</t>
        </is>
      </c>
      <c r="AC1903" t="inlineStr">
        <is>
          <t>Avfallsforteckning</t>
        </is>
      </c>
      <c r="AD1903" t="inlineStr">
        <is>
          <t>Nej</t>
        </is>
      </c>
      <c r="AE1903" t="inlineStr">
        <is>
          <t>Nej</t>
        </is>
      </c>
      <c r="AF1903" t="inlineStr">
        <is>
          <t>Ej behandlad</t>
        </is>
      </c>
      <c r="AG1903" t="inlineStr">
        <is>
          <t>AUTO_GENERERAD. Verifiera citat mot kallfil.</t>
        </is>
      </c>
      <c r="AH1903" t="inlineStr">
        <is>
          <t>MEDIUM</t>
        </is>
      </c>
      <c r="AI1903" t="inlineStr">
        <is>
          <t>AUTO</t>
        </is>
      </c>
      <c r="AJ1903" t="inlineStr">
        <is>
          <t>Nej</t>
        </is>
      </c>
      <c r="AK1903" t="inlineStr"/>
      <c r="AL1903" t="inlineStr"/>
      <c r="AM1903" t="inlineStr"/>
      <c r="AN1903" t="inlineStr"/>
      <c r="AO1903" t="inlineStr">
        <is>
          <t>cmm4yunr800ytcuqwwfwmk330</t>
        </is>
      </c>
      <c r="AP1903" t="inlineStr">
        <is>
          <t>http://localhost:8787/api/admin/requirements/documents/cmm4yunr800ytcuqwwfwmk330/view</t>
        </is>
      </c>
      <c r="AQ1903">
        <f>HYPERLÄNK("http://localhost:8787/api/admin/requirements/documents/cmm4yunr800ytcuqwwfwmk330/view";"Öppna PDF")</f>
        <v/>
      </c>
      <c r="AR1903">
        <f>HYPERLINK("http://localhost:8787/api/admin/requirements/documents/cmm4yunr800ytcuqwwfwmk330/view","Open PDF")</f>
        <v/>
      </c>
      <c r="AS1903" t="inlineStr">
        <is>
          <t>cmm55w57p0004cuisfrtpqly8</t>
        </is>
      </c>
      <c r="AT1903" t="inlineStr">
        <is>
          <t>cmm4xvu980000cuh4vj0usz09</t>
        </is>
      </c>
      <c r="AU1903" t="inlineStr">
        <is>
          <t>re</t>
        </is>
      </c>
      <c r="AV1903" t="inlineStr">
        <is>
          <t>Kommun</t>
        </is>
      </c>
      <c r="AW1903" t="inlineStr">
        <is>
          <t>re kommun</t>
        </is>
      </c>
      <c r="AX1903" t="inlineStr">
        <is>
          <t>2026-02</t>
        </is>
      </c>
      <c r="AY1903" t="inlineStr">
        <is>
          <t>Beslut</t>
        </is>
      </c>
      <c r="AZ1903" t="inlineStr">
        <is>
          <t>2026-02-03</t>
        </is>
      </c>
      <c r="BA1903" t="inlineStr">
        <is>
          <t>MIL.2025.629.pdf</t>
        </is>
      </c>
      <c r="BB1903" t="inlineStr">
        <is>
          <t>Sv: till registrator</t>
        </is>
      </c>
      <c r="BC1903" t="inlineStr">
        <is>
          <t>AUTO</t>
        </is>
      </c>
      <c r="BD1903" t="inlineStr"/>
      <c r="BE1903" t="inlineStr"/>
      <c r="BF1903" t="inlineStr">
        <is>
          <t>AUTO_GENERERAD. Bekrafta metadata mot kallfil.</t>
        </is>
      </c>
      <c r="BG1903">
        <f>HYPERLINK("C:\Users\jimmy\Desktop\Examens arbete\Kod\Ny mapp\remix_-copy-of-miljöbeslut.se-portal\MIL.2025.629.pdf", "Öppna PDF")</f>
        <v/>
      </c>
    </row>
    <row r="1904">
      <c r="A1904" t="inlineStr">
        <is>
          <t>KRAV-AUTO-001903</t>
        </is>
      </c>
      <c r="B1904" t="inlineStr">
        <is>
          <t>ADMIN-INDEX-2026-02-27-00000000125C043F57453246863FE664CAFE6A3F0700950291EA24F0614FB6ACEDB12BF0E31D00000000010C0000950291EA24F0614FB6ACEDB12BF0E31D00002087AF0B0000</t>
        </is>
      </c>
      <c r="C1904" t="inlineStr">
        <is>
          <t>cmm4yunr800ytcuqwwfwmk330</t>
        </is>
      </c>
      <c r="D1904" t="inlineStr">
        <is>
          <t>http://localhost:8787/api/admin/requirements/documents/cmm4yunr800ytcuqwwfwmk330/view</t>
        </is>
      </c>
      <c r="E1904">
        <f>HYPERLÄNK("http://localhost:8787/api/admin/requirements/documents/cmm4yunr800ytcuqwwfwmk330/view";"Öppna PDF")</f>
        <v/>
      </c>
      <c r="F1904">
        <f>HYPERLINK("http://localhost:8787/api/admin/requirements/documents/cmm4yunr800ytcuqwwfwmk330/view","Open PDF")</f>
        <v/>
      </c>
      <c r="G1904" t="inlineStr">
        <is>
          <t>cmm55w57p0004cuisfrtpqly8</t>
        </is>
      </c>
      <c r="H1904" t="inlineStr">
        <is>
          <t>Beslutsvillkor</t>
        </is>
      </c>
      <c r="I1904" t="inlineStr">
        <is>
          <t>DriftEgenkontroll</t>
        </is>
      </c>
      <c r="J1904" t="inlineStr">
        <is>
          <t>Journalforing</t>
        </is>
      </c>
      <c r="K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04" t="inlineStr">
        <is>
          <t>SKA</t>
        </is>
      </c>
      <c r="N1904" t="inlineStr"/>
      <c r="O1904" t="inlineStr"/>
      <c r="P1904" t="inlineStr"/>
      <c r="Q1904" t="inlineStr"/>
      <c r="R1904" t="inlineStr">
        <is>
          <t>Lopande drift</t>
        </is>
      </c>
      <c r="S1904" t="inlineStr"/>
      <c r="T1904" t="inlineStr">
        <is>
          <t>212000</t>
        </is>
      </c>
      <c r="U1904" t="inlineStr"/>
      <c r="V1904" t="inlineStr"/>
      <c r="W1904" t="inlineStr">
        <is>
          <t>Nej</t>
        </is>
      </c>
      <c r="X1904" t="inlineStr">
        <is>
          <t>Nej</t>
        </is>
      </c>
      <c r="Y1904" t="inlineStr">
        <is>
          <t>Ja</t>
        </is>
      </c>
      <c r="Z1904" t="inlineStr">
        <is>
          <t>Nej</t>
        </is>
      </c>
      <c r="AA1904" t="n">
        <v>7</v>
      </c>
      <c r="AB1904" t="inlineStr">
        <is>
          <t>Egenkontrollrutiner</t>
        </is>
      </c>
      <c r="AC1904" t="inlineStr">
        <is>
          <t>Egenkontrollprogram</t>
        </is>
      </c>
      <c r="AD1904" t="inlineStr">
        <is>
          <t>Nej</t>
        </is>
      </c>
      <c r="AE1904" t="inlineStr">
        <is>
          <t>Nej</t>
        </is>
      </c>
      <c r="AF1904" t="inlineStr">
        <is>
          <t>Ej behandlad</t>
        </is>
      </c>
      <c r="AG1904" t="inlineStr">
        <is>
          <t>AUTO_GENERERAD. Verifiera citat mot kallfil.</t>
        </is>
      </c>
      <c r="AH1904" t="inlineStr">
        <is>
          <t>MEDIUM</t>
        </is>
      </c>
      <c r="AI1904" t="inlineStr">
        <is>
          <t>AUTO</t>
        </is>
      </c>
      <c r="AJ1904" t="inlineStr">
        <is>
          <t>Nej</t>
        </is>
      </c>
      <c r="AK1904" t="inlineStr"/>
      <c r="AL1904" t="inlineStr"/>
      <c r="AM1904" t="inlineStr"/>
      <c r="AN1904" t="inlineStr"/>
      <c r="AO1904" t="inlineStr">
        <is>
          <t>cmm4yunr800ytcuqwwfwmk330</t>
        </is>
      </c>
      <c r="AP1904" t="inlineStr">
        <is>
          <t>http://localhost:8787/api/admin/requirements/documents/cmm4yunr800ytcuqwwfwmk330/view</t>
        </is>
      </c>
      <c r="AQ1904">
        <f>HYPERLÄNK("http://localhost:8787/api/admin/requirements/documents/cmm4yunr800ytcuqwwfwmk330/view";"Öppna PDF")</f>
        <v/>
      </c>
      <c r="AR1904">
        <f>HYPERLINK("http://localhost:8787/api/admin/requirements/documents/cmm4yunr800ytcuqwwfwmk330/view","Open PDF")</f>
        <v/>
      </c>
      <c r="AS1904" t="inlineStr">
        <is>
          <t>cmm55w57p0004cuisfrtpqly8</t>
        </is>
      </c>
      <c r="AT1904" t="inlineStr">
        <is>
          <t>cmm4xvu980000cuh4vj0usz09</t>
        </is>
      </c>
      <c r="AU1904" t="inlineStr">
        <is>
          <t>re</t>
        </is>
      </c>
      <c r="AV1904" t="inlineStr">
        <is>
          <t>Kommun</t>
        </is>
      </c>
      <c r="AW1904" t="inlineStr">
        <is>
          <t>re kommun</t>
        </is>
      </c>
      <c r="AX1904" t="inlineStr">
        <is>
          <t>2026-02</t>
        </is>
      </c>
      <c r="AY1904" t="inlineStr">
        <is>
          <t>Beslut</t>
        </is>
      </c>
      <c r="AZ1904" t="inlineStr">
        <is>
          <t>2026-02-03</t>
        </is>
      </c>
      <c r="BA1904" t="inlineStr">
        <is>
          <t>MIL.2025.629.pdf</t>
        </is>
      </c>
      <c r="BB1904" t="inlineStr">
        <is>
          <t>Sv: till registrator</t>
        </is>
      </c>
      <c r="BC1904" t="inlineStr">
        <is>
          <t>AUTO</t>
        </is>
      </c>
      <c r="BD1904" t="inlineStr"/>
      <c r="BE1904" t="inlineStr"/>
      <c r="BF1904" t="inlineStr">
        <is>
          <t>AUTO_GENERERAD. Bekrafta metadata mot kallfil.</t>
        </is>
      </c>
      <c r="BG1904">
        <f>HYPERLINK("C:\Users\jimmy\Desktop\Examens arbete\Kod\Ny mapp\remix_-copy-of-miljöbeslut.se-portal\MIL.2025.629.pdf", "Öppna PDF")</f>
        <v/>
      </c>
    </row>
    <row r="1905">
      <c r="A1905" t="inlineStr">
        <is>
          <t>KRAV-AUTO-001904</t>
        </is>
      </c>
      <c r="B1905" t="inlineStr">
        <is>
          <t>ADMIN-INDEX-2026-02-27-00000000125C043F57453246863FE664CAFE6A3F0700950291EA24F0614FB6ACEDB12BF0E31D00000000010C0000950291EA24F0614FB6ACEDB12BF0E31D00002087AF0B0000</t>
        </is>
      </c>
      <c r="C1905" t="inlineStr">
        <is>
          <t>cmm4yunr500yqcuqwg65465gx</t>
        </is>
      </c>
      <c r="D1905" t="inlineStr">
        <is>
          <t>http://localhost:8787/api/admin/requirements/documents/cmm4yunr500yqcuqwg65465gx/view</t>
        </is>
      </c>
      <c r="E1905">
        <f>HYPERLÄNK("http://localhost:8787/api/admin/requirements/documents/cmm4yunr500yqcuqwg65465gx/view";"Öppna PDF")</f>
        <v/>
      </c>
      <c r="F1905">
        <f>HYPERLINK("http://localhost:8787/api/admin/requirements/documents/cmm4yunr500yqcuqwg65465gx/view","Open PDF")</f>
        <v/>
      </c>
      <c r="G1905" t="inlineStr">
        <is>
          <t>cmm55w57p0004cuisfrtpqly8</t>
        </is>
      </c>
      <c r="H1905" t="inlineStr">
        <is>
          <t>Beslutsvillkor</t>
        </is>
      </c>
      <c r="I1905" t="inlineStr">
        <is>
          <t>MiljopaverkanForsiktighet</t>
        </is>
      </c>
      <c r="J1905" t="inlineStr">
        <is>
          <t>Skyddsatgarder</t>
        </is>
      </c>
      <c r="K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05" t="inlineStr">
        <is>
          <t>SKA</t>
        </is>
      </c>
      <c r="N1905" t="inlineStr">
        <is>
          <t>Miljobalken</t>
        </is>
      </c>
      <c r="O1905" t="inlineStr"/>
      <c r="P1905" t="inlineStr"/>
      <c r="Q1905" t="inlineStr"/>
      <c r="R1905" t="inlineStr">
        <is>
          <t>Alltid</t>
        </is>
      </c>
      <c r="S1905" t="inlineStr"/>
      <c r="T1905" t="inlineStr"/>
      <c r="U1905" t="inlineStr"/>
      <c r="V1905" t="inlineStr"/>
      <c r="W1905" t="inlineStr">
        <is>
          <t>Nej</t>
        </is>
      </c>
      <c r="X1905" t="inlineStr">
        <is>
          <t>Nej</t>
        </is>
      </c>
      <c r="Y1905" t="inlineStr">
        <is>
          <t>Nej</t>
        </is>
      </c>
      <c r="Z1905" t="inlineStr">
        <is>
          <t>Nej</t>
        </is>
      </c>
      <c r="AA1905" t="n">
        <v>10</v>
      </c>
      <c r="AB1905" t="inlineStr">
        <is>
          <t>Miljopaverkan och forsiktighetsmatt</t>
        </is>
      </c>
      <c r="AC1905" t="inlineStr">
        <is>
          <t>Miljo-PM</t>
        </is>
      </c>
      <c r="AD1905" t="inlineStr">
        <is>
          <t>Nej</t>
        </is>
      </c>
      <c r="AE1905" t="inlineStr">
        <is>
          <t>Nej</t>
        </is>
      </c>
      <c r="AF1905" t="inlineStr">
        <is>
          <t>Ej behandlad</t>
        </is>
      </c>
      <c r="AG1905" t="inlineStr">
        <is>
          <t>AUTO_GENERERAD. Verifiera citat mot kallfil.</t>
        </is>
      </c>
      <c r="AH1905" t="inlineStr">
        <is>
          <t>MEDIUM</t>
        </is>
      </c>
      <c r="AI1905" t="inlineStr">
        <is>
          <t>AUTO</t>
        </is>
      </c>
      <c r="AJ1905" t="inlineStr">
        <is>
          <t>Nej</t>
        </is>
      </c>
      <c r="AK1905" t="inlineStr"/>
      <c r="AL1905" t="inlineStr"/>
      <c r="AM1905" t="inlineStr"/>
      <c r="AN1905" t="inlineStr"/>
      <c r="AO1905" t="inlineStr">
        <is>
          <t>cmm4yunr800ytcuqwwfwmk330</t>
        </is>
      </c>
      <c r="AP1905" t="inlineStr">
        <is>
          <t>http://localhost:8787/api/admin/requirements/documents/cmm4yunr800ytcuqwwfwmk330/view</t>
        </is>
      </c>
      <c r="AQ1905">
        <f>HYPERLÄNK("http://localhost:8787/api/admin/requirements/documents/cmm4yunr800ytcuqwwfwmk330/view";"Öppna PDF")</f>
        <v/>
      </c>
      <c r="AR1905">
        <f>HYPERLINK("http://localhost:8787/api/admin/requirements/documents/cmm4yunr800ytcuqwwfwmk330/view","Open PDF")</f>
        <v/>
      </c>
      <c r="AS1905" t="inlineStr">
        <is>
          <t>cmm55w57p0004cuisfrtpqly8</t>
        </is>
      </c>
      <c r="AT1905" t="inlineStr">
        <is>
          <t>cmm4xvu980000cuh4vj0usz09</t>
        </is>
      </c>
      <c r="AU1905" t="inlineStr">
        <is>
          <t>re</t>
        </is>
      </c>
      <c r="AV1905" t="inlineStr">
        <is>
          <t>Kommun</t>
        </is>
      </c>
      <c r="AW1905" t="inlineStr">
        <is>
          <t>re kommun</t>
        </is>
      </c>
      <c r="AX1905" t="inlineStr">
        <is>
          <t>2026-02</t>
        </is>
      </c>
      <c r="AY1905" t="inlineStr">
        <is>
          <t>Beslut</t>
        </is>
      </c>
      <c r="AZ1905" t="inlineStr">
        <is>
          <t>2026-02-03</t>
        </is>
      </c>
      <c r="BA1905" t="inlineStr">
        <is>
          <t>MIL.2025.629.pdf</t>
        </is>
      </c>
      <c r="BB1905" t="inlineStr">
        <is>
          <t>Sv: till registrator</t>
        </is>
      </c>
      <c r="BC1905" t="inlineStr">
        <is>
          <t>AUTO</t>
        </is>
      </c>
      <c r="BD1905" t="inlineStr"/>
      <c r="BE1905" t="inlineStr"/>
      <c r="BF1905" t="inlineStr">
        <is>
          <t>AUTO_GENERERAD. Bekrafta metadata mot kallfil.</t>
        </is>
      </c>
      <c r="BG1905">
        <f>HYPERLINK("C:\Users\jimmy\Desktop\Examens arbete\Kod\Ny mapp\remix_-copy-of-miljöbeslut.se-portal\MIL.2025.629.pdf", "Öppna PDF")</f>
        <v/>
      </c>
    </row>
    <row r="1906">
      <c r="A1906" t="inlineStr">
        <is>
          <t>KRAV-AUTO-001905</t>
        </is>
      </c>
      <c r="B1906" t="inlineStr">
        <is>
          <t>ADMIN-INDEX-2026-02-27-00000000125C043F57453246863FE664CAFE6A3F0700950291EA24F0614FB6ACEDB12BF0E31D00000000010C0000950291EA24F0614FB6ACEDB12BF0E31D00002087AF0B0000</t>
        </is>
      </c>
      <c r="C1906" t="inlineStr">
        <is>
          <t>cmm4yunr500yqcuqwg65465gx</t>
        </is>
      </c>
      <c r="D1906" t="inlineStr">
        <is>
          <t>http://localhost:8787/api/admin/requirements/documents/cmm4yunr500yqcuqwg65465gx/view</t>
        </is>
      </c>
      <c r="E1906">
        <f>HYPERLÄNK("http://localhost:8787/api/admin/requirements/documents/cmm4yunr500yqcuqwg65465gx/view";"Öppna PDF")</f>
        <v/>
      </c>
      <c r="F1906">
        <f>HYPERLINK("http://localhost:8787/api/admin/requirements/documents/cmm4yunr500yqcuqwg65465gx/view","Open PDF")</f>
        <v/>
      </c>
      <c r="G1906" t="inlineStr">
        <is>
          <t>cmm55w57p0004cuisfrtpqly8</t>
        </is>
      </c>
      <c r="H1906" t="inlineStr">
        <is>
          <t>Beslutsvillkor</t>
        </is>
      </c>
      <c r="I1906" t="inlineStr">
        <is>
          <t>DriftEgenkontroll</t>
        </is>
      </c>
      <c r="J1906" t="inlineStr">
        <is>
          <t>Journalforing</t>
        </is>
      </c>
      <c r="K1906" t="inlineStr">
        <is>
          <t>Vid avvikelser kan kostnader tillkomma för provtagning, bortforsling av avfall samt nedlagd arbetstid.</t>
        </is>
      </c>
      <c r="L1906" t="inlineStr">
        <is>
          <t>Vid avvikelser kan kostnader tillkomma för provtagning, bortforsling av avfall samt nedlagd arbetstid.</t>
        </is>
      </c>
      <c r="M1906" t="inlineStr">
        <is>
          <t>BOR</t>
        </is>
      </c>
      <c r="N1906" t="inlineStr"/>
      <c r="O1906" t="inlineStr"/>
      <c r="P1906" t="inlineStr"/>
      <c r="Q1906" t="inlineStr"/>
      <c r="R1906" t="inlineStr">
        <is>
          <t>Lopande drift</t>
        </is>
      </c>
      <c r="S1906" t="inlineStr"/>
      <c r="T1906" t="inlineStr"/>
      <c r="U1906" t="inlineStr"/>
      <c r="V1906" t="inlineStr"/>
      <c r="W1906" t="inlineStr">
        <is>
          <t>Nej</t>
        </is>
      </c>
      <c r="X1906" t="inlineStr">
        <is>
          <t>Nej</t>
        </is>
      </c>
      <c r="Y1906" t="inlineStr">
        <is>
          <t>Ja</t>
        </is>
      </c>
      <c r="Z1906" t="inlineStr">
        <is>
          <t>Nej</t>
        </is>
      </c>
      <c r="AA1906" t="n">
        <v>7</v>
      </c>
      <c r="AB1906" t="inlineStr">
        <is>
          <t>Egenkontrollrutiner</t>
        </is>
      </c>
      <c r="AC1906" t="inlineStr">
        <is>
          <t>Egenkontrollprogram</t>
        </is>
      </c>
      <c r="AD1906" t="inlineStr">
        <is>
          <t>Nej</t>
        </is>
      </c>
      <c r="AE1906" t="inlineStr">
        <is>
          <t>Nej</t>
        </is>
      </c>
      <c r="AF1906" t="inlineStr">
        <is>
          <t>Ej behandlad</t>
        </is>
      </c>
      <c r="AG1906" t="inlineStr">
        <is>
          <t>AUTO_GENERERAD. Verifiera citat mot kallfil.</t>
        </is>
      </c>
      <c r="AH1906" t="inlineStr">
        <is>
          <t>MEDIUM</t>
        </is>
      </c>
      <c r="AI1906" t="inlineStr">
        <is>
          <t>AUTO</t>
        </is>
      </c>
      <c r="AJ1906" t="inlineStr">
        <is>
          <t>Nej</t>
        </is>
      </c>
      <c r="AK1906" t="inlineStr"/>
      <c r="AL1906" t="inlineStr"/>
      <c r="AM1906" t="inlineStr"/>
      <c r="AN1906" t="inlineStr"/>
      <c r="AO1906" t="inlineStr">
        <is>
          <t>cmm4yunr800ytcuqwwfwmk330</t>
        </is>
      </c>
      <c r="AP1906" t="inlineStr">
        <is>
          <t>http://localhost:8787/api/admin/requirements/documents/cmm4yunr800ytcuqwwfwmk330/view</t>
        </is>
      </c>
      <c r="AQ1906">
        <f>HYPERLÄNK("http://localhost:8787/api/admin/requirements/documents/cmm4yunr800ytcuqwwfwmk330/view";"Öppna PDF")</f>
        <v/>
      </c>
      <c r="AR1906">
        <f>HYPERLINK("http://localhost:8787/api/admin/requirements/documents/cmm4yunr800ytcuqwwfwmk330/view","Open PDF")</f>
        <v/>
      </c>
      <c r="AS1906" t="inlineStr">
        <is>
          <t>cmm55w57p0004cuisfrtpqly8</t>
        </is>
      </c>
      <c r="AT1906" t="inlineStr">
        <is>
          <t>cmm4xvu980000cuh4vj0usz09</t>
        </is>
      </c>
      <c r="AU1906" t="inlineStr">
        <is>
          <t>re</t>
        </is>
      </c>
      <c r="AV1906" t="inlineStr">
        <is>
          <t>Kommun</t>
        </is>
      </c>
      <c r="AW1906" t="inlineStr">
        <is>
          <t>re kommun</t>
        </is>
      </c>
      <c r="AX1906" t="inlineStr">
        <is>
          <t>2026-02</t>
        </is>
      </c>
      <c r="AY1906" t="inlineStr">
        <is>
          <t>Beslut</t>
        </is>
      </c>
      <c r="AZ1906" t="inlineStr">
        <is>
          <t>2026-02-03</t>
        </is>
      </c>
      <c r="BA1906" t="inlineStr">
        <is>
          <t>MIL.2025.629.pdf</t>
        </is>
      </c>
      <c r="BB1906" t="inlineStr">
        <is>
          <t>Sv: till registrator</t>
        </is>
      </c>
      <c r="BC1906" t="inlineStr">
        <is>
          <t>AUTO</t>
        </is>
      </c>
      <c r="BD1906" t="inlineStr"/>
      <c r="BE1906" t="inlineStr"/>
      <c r="BF1906" t="inlineStr">
        <is>
          <t>AUTO_GENERERAD. Bekrafta metadata mot kallfil.</t>
        </is>
      </c>
      <c r="BG1906">
        <f>HYPERLINK("C:\Users\jimmy\Desktop\Examens arbete\Kod\Ny mapp\remix_-copy-of-miljöbeslut.se-portal\MIL.2025.629.pdf", "Öppna PDF")</f>
        <v/>
      </c>
    </row>
    <row r="1907">
      <c r="A1907" t="inlineStr">
        <is>
          <t>KRAV-AUTO-001906</t>
        </is>
      </c>
      <c r="B1907" t="inlineStr">
        <is>
          <t>ADMIN-INDEX-2026-02-27-00000000125C043F57453246863FE664CAFE6A3F0700950291EA24F0614FB6ACEDB12BF0E31D00000000010C0000950291EA24F0614FB6ACEDB12BF0E31D00002087AF0B0000</t>
        </is>
      </c>
      <c r="C1907" t="inlineStr">
        <is>
          <t>cmm4yunr500yqcuqwg65465gx</t>
        </is>
      </c>
      <c r="D1907" t="inlineStr">
        <is>
          <t>http://localhost:8787/api/admin/requirements/documents/cmm4yunr500yqcuqwg65465gx/view</t>
        </is>
      </c>
      <c r="E1907">
        <f>HYPERLÄNK("http://localhost:8787/api/admin/requirements/documents/cmm4yunr500yqcuqwg65465gx/view";"Öppna PDF")</f>
        <v/>
      </c>
      <c r="F1907">
        <f>HYPERLINK("http://localhost:8787/api/admin/requirements/documents/cmm4yunr500yqcuqwg65465gx/view","Open PDF")</f>
        <v/>
      </c>
      <c r="G1907" t="inlineStr">
        <is>
          <t>cmm55w57p0004cuisfrtpqly8</t>
        </is>
      </c>
      <c r="H1907" t="inlineStr">
        <is>
          <t>Beslutsvillkor</t>
        </is>
      </c>
      <c r="I1907" t="inlineStr">
        <is>
          <t>LagringsvolymTid</t>
        </is>
      </c>
      <c r="J1907" t="inlineStr">
        <is>
          <t>Maxmangd</t>
        </is>
      </c>
      <c r="K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07" t="inlineStr">
        <is>
          <t>SKA</t>
        </is>
      </c>
      <c r="N1907" t="inlineStr"/>
      <c r="O1907" t="inlineStr"/>
      <c r="P1907" t="inlineStr"/>
      <c r="Q1907" t="inlineStr"/>
      <c r="R1907" t="inlineStr">
        <is>
          <t>Alltid</t>
        </is>
      </c>
      <c r="S1907" t="inlineStr"/>
      <c r="T1907" t="inlineStr"/>
      <c r="U1907" t="inlineStr"/>
      <c r="V1907" t="inlineStr"/>
      <c r="W1907" t="inlineStr">
        <is>
          <t>Nej</t>
        </is>
      </c>
      <c r="X1907" t="inlineStr">
        <is>
          <t>Nej</t>
        </is>
      </c>
      <c r="Y1907" t="inlineStr">
        <is>
          <t>Nej</t>
        </is>
      </c>
      <c r="Z1907" t="inlineStr">
        <is>
          <t>Nej</t>
        </is>
      </c>
      <c r="AA1907" t="n">
        <v>4</v>
      </c>
      <c r="AB1907" t="inlineStr">
        <is>
          <t>Avfallsmangder och lagringstid</t>
        </is>
      </c>
      <c r="AC1907" t="inlineStr">
        <is>
          <t>Avfallsforteckning</t>
        </is>
      </c>
      <c r="AD1907" t="inlineStr">
        <is>
          <t>Nej</t>
        </is>
      </c>
      <c r="AE1907" t="inlineStr">
        <is>
          <t>Nej</t>
        </is>
      </c>
      <c r="AF1907" t="inlineStr">
        <is>
          <t>Ej behandlad</t>
        </is>
      </c>
      <c r="AG1907" t="inlineStr">
        <is>
          <t>AUTO_GENERERAD. Verifiera citat mot kallfil.</t>
        </is>
      </c>
      <c r="AH1907" t="inlineStr">
        <is>
          <t>MEDIUM</t>
        </is>
      </c>
      <c r="AI1907" t="inlineStr">
        <is>
          <t>AUTO</t>
        </is>
      </c>
      <c r="AJ1907" t="inlineStr">
        <is>
          <t>Nej</t>
        </is>
      </c>
      <c r="AK1907" t="inlineStr"/>
      <c r="AL1907" t="inlineStr"/>
      <c r="AM1907" t="inlineStr"/>
      <c r="AN1907" t="inlineStr"/>
      <c r="AO1907" t="inlineStr">
        <is>
          <t>cmm4yunr800ytcuqwwfwmk330</t>
        </is>
      </c>
      <c r="AP1907" t="inlineStr">
        <is>
          <t>http://localhost:8787/api/admin/requirements/documents/cmm4yunr800ytcuqwwfwmk330/view</t>
        </is>
      </c>
      <c r="AQ1907">
        <f>HYPERLÄNK("http://localhost:8787/api/admin/requirements/documents/cmm4yunr800ytcuqwwfwmk330/view";"Öppna PDF")</f>
        <v/>
      </c>
      <c r="AR1907">
        <f>HYPERLINK("http://localhost:8787/api/admin/requirements/documents/cmm4yunr800ytcuqwwfwmk330/view","Open PDF")</f>
        <v/>
      </c>
      <c r="AS1907" t="inlineStr">
        <is>
          <t>cmm55w57p0004cuisfrtpqly8</t>
        </is>
      </c>
      <c r="AT1907" t="inlineStr">
        <is>
          <t>cmm4xvu980000cuh4vj0usz09</t>
        </is>
      </c>
      <c r="AU1907" t="inlineStr">
        <is>
          <t>re</t>
        </is>
      </c>
      <c r="AV1907" t="inlineStr">
        <is>
          <t>Kommun</t>
        </is>
      </c>
      <c r="AW1907" t="inlineStr">
        <is>
          <t>re kommun</t>
        </is>
      </c>
      <c r="AX1907" t="inlineStr">
        <is>
          <t>2026-02</t>
        </is>
      </c>
      <c r="AY1907" t="inlineStr">
        <is>
          <t>Beslut</t>
        </is>
      </c>
      <c r="AZ1907" t="inlineStr">
        <is>
          <t>2026-02-03</t>
        </is>
      </c>
      <c r="BA1907" t="inlineStr">
        <is>
          <t>MIL.2025.629.pdf</t>
        </is>
      </c>
      <c r="BB1907" t="inlineStr">
        <is>
          <t>Sv: till registrator</t>
        </is>
      </c>
      <c r="BC1907" t="inlineStr">
        <is>
          <t>AUTO</t>
        </is>
      </c>
      <c r="BD1907" t="inlineStr"/>
      <c r="BE1907" t="inlineStr"/>
      <c r="BF1907" t="inlineStr">
        <is>
          <t>AUTO_GENERERAD. Bekrafta metadata mot kallfil.</t>
        </is>
      </c>
      <c r="BG1907">
        <f>HYPERLINK("C:\Users\jimmy\Desktop\Examens arbete\Kod\Ny mapp\remix_-copy-of-miljöbeslut.se-portal\MIL.2025.629.pdf", "Öppna PDF")</f>
        <v/>
      </c>
    </row>
    <row r="1908">
      <c r="A1908" t="inlineStr">
        <is>
          <t>KRAV-AUTO-001907</t>
        </is>
      </c>
      <c r="B1908" t="inlineStr">
        <is>
          <t>ADMIN-INDEX-2026-02-27-00000000125C043F57453246863FE664CAFE6A3F0700950291EA24F0614FB6ACEDB12BF0E31D00000000010C0000950291EA24F0614FB6ACEDB12BF0E31D00002087AF0B0000</t>
        </is>
      </c>
      <c r="C1908" t="inlineStr">
        <is>
          <t>cmm4yunr300yncuqwx0jp4nc2</t>
        </is>
      </c>
      <c r="D1908" t="inlineStr">
        <is>
          <t>http://localhost:8787/api/admin/requirements/documents/cmm4yunr300yncuqwx0jp4nc2/view</t>
        </is>
      </c>
      <c r="E1908">
        <f>HYPERLÄNK("http://localhost:8787/api/admin/requirements/documents/cmm4yunr300yncuqwx0jp4nc2/view";"Öppna PDF")</f>
        <v/>
      </c>
      <c r="F1908">
        <f>HYPERLINK("http://localhost:8787/api/admin/requirements/documents/cmm4yunr300yncuqwx0jp4nc2/view","Open PDF")</f>
        <v/>
      </c>
      <c r="G1908" t="inlineStr">
        <is>
          <t>cmm55w57p0004cuisfrtpqly8</t>
        </is>
      </c>
      <c r="H1908" t="inlineStr">
        <is>
          <t>Beslutsvillkor</t>
        </is>
      </c>
      <c r="I1908" t="inlineStr">
        <is>
          <t>LagringsvolymTid</t>
        </is>
      </c>
      <c r="J1908" t="inlineStr">
        <is>
          <t>Maxmangd</t>
        </is>
      </c>
      <c r="K1908" t="inlineStr">
        <is>
          <t>Bland annat genom att golv och sarg ska uppföras i betong eller motsvarande.</t>
        </is>
      </c>
      <c r="L1908" t="inlineStr">
        <is>
          <t>Bland annat genom att golv och sarg ska uppföras i betong eller motsvarande.</t>
        </is>
      </c>
      <c r="M1908" t="inlineStr">
        <is>
          <t>SKA</t>
        </is>
      </c>
      <c r="N1908" t="inlineStr"/>
      <c r="O1908" t="inlineStr"/>
      <c r="P1908" t="inlineStr"/>
      <c r="Q1908" t="inlineStr"/>
      <c r="R1908" t="inlineStr">
        <is>
          <t>Alltid</t>
        </is>
      </c>
      <c r="S1908" t="inlineStr"/>
      <c r="T1908" t="inlineStr">
        <is>
          <t>992026</t>
        </is>
      </c>
      <c r="U1908" t="inlineStr"/>
      <c r="V1908" t="inlineStr"/>
      <c r="W1908" t="inlineStr">
        <is>
          <t>Nej</t>
        </is>
      </c>
      <c r="X1908" t="inlineStr">
        <is>
          <t>Nej</t>
        </is>
      </c>
      <c r="Y1908" t="inlineStr">
        <is>
          <t>Nej</t>
        </is>
      </c>
      <c r="Z1908" t="inlineStr">
        <is>
          <t>Nej</t>
        </is>
      </c>
      <c r="AA1908" t="n">
        <v>4</v>
      </c>
      <c r="AB1908" t="inlineStr">
        <is>
          <t>Avfallsmangder och lagringstid</t>
        </is>
      </c>
      <c r="AC1908" t="inlineStr">
        <is>
          <t>Avfallsforteckning</t>
        </is>
      </c>
      <c r="AD1908" t="inlineStr">
        <is>
          <t>Nej</t>
        </is>
      </c>
      <c r="AE1908" t="inlineStr">
        <is>
          <t>Nej</t>
        </is>
      </c>
      <c r="AF1908" t="inlineStr">
        <is>
          <t>Ej behandlad</t>
        </is>
      </c>
      <c r="AG1908" t="inlineStr">
        <is>
          <t>AUTO_GENERERAD. Verifiera citat mot kallfil.</t>
        </is>
      </c>
      <c r="AH1908" t="inlineStr">
        <is>
          <t>MEDIUM</t>
        </is>
      </c>
      <c r="AI1908" t="inlineStr">
        <is>
          <t>AUTO</t>
        </is>
      </c>
      <c r="AJ1908" t="inlineStr">
        <is>
          <t>Nej</t>
        </is>
      </c>
      <c r="AK1908" t="inlineStr"/>
      <c r="AL1908" t="inlineStr"/>
      <c r="AM1908" t="inlineStr"/>
      <c r="AN1908" t="inlineStr"/>
      <c r="AO1908" t="inlineStr">
        <is>
          <t>cmm4yunr800ytcuqwwfwmk330</t>
        </is>
      </c>
      <c r="AP1908" t="inlineStr">
        <is>
          <t>http://localhost:8787/api/admin/requirements/documents/cmm4yunr800ytcuqwwfwmk330/view</t>
        </is>
      </c>
      <c r="AQ1908">
        <f>HYPERLÄNK("http://localhost:8787/api/admin/requirements/documents/cmm4yunr800ytcuqwwfwmk330/view";"Öppna PDF")</f>
        <v/>
      </c>
      <c r="AR1908">
        <f>HYPERLINK("http://localhost:8787/api/admin/requirements/documents/cmm4yunr800ytcuqwwfwmk330/view","Open PDF")</f>
        <v/>
      </c>
      <c r="AS1908" t="inlineStr">
        <is>
          <t>cmm55w57p0004cuisfrtpqly8</t>
        </is>
      </c>
      <c r="AT1908" t="inlineStr">
        <is>
          <t>cmm4xvu980000cuh4vj0usz09</t>
        </is>
      </c>
      <c r="AU1908" t="inlineStr">
        <is>
          <t>re</t>
        </is>
      </c>
      <c r="AV1908" t="inlineStr">
        <is>
          <t>Kommun</t>
        </is>
      </c>
      <c r="AW1908" t="inlineStr">
        <is>
          <t>re kommun</t>
        </is>
      </c>
      <c r="AX1908" t="inlineStr">
        <is>
          <t>2026-02</t>
        </is>
      </c>
      <c r="AY1908" t="inlineStr">
        <is>
          <t>Beslut</t>
        </is>
      </c>
      <c r="AZ1908" t="inlineStr">
        <is>
          <t>2026-02-03</t>
        </is>
      </c>
      <c r="BA1908" t="inlineStr">
        <is>
          <t>MIL.2025.629.pdf</t>
        </is>
      </c>
      <c r="BB1908" t="inlineStr">
        <is>
          <t>Sv: till registrator</t>
        </is>
      </c>
      <c r="BC1908" t="inlineStr">
        <is>
          <t>AUTO</t>
        </is>
      </c>
      <c r="BD1908" t="inlineStr"/>
      <c r="BE1908" t="inlineStr"/>
      <c r="BF1908" t="inlineStr">
        <is>
          <t>AUTO_GENERERAD. Bekrafta metadata mot kallfil.</t>
        </is>
      </c>
      <c r="BG1908">
        <f>HYPERLINK("C:\Users\jimmy\Desktop\Examens arbete\Kod\Ny mapp\remix_-copy-of-miljöbeslut.se-portal\MIL.2025.629.pdf", "Öppna PDF")</f>
        <v/>
      </c>
    </row>
    <row r="1909">
      <c r="A1909" t="inlineStr">
        <is>
          <t>KRAV-AUTO-001908</t>
        </is>
      </c>
      <c r="B1909" t="inlineStr">
        <is>
          <t>ADMIN-INDEX-2026-02-27-00000000125C043F57453246863FE664CAFE6A3F0700950291EA24F0614FB6ACEDB12BF0E31D00000000010C0000950291EA24F0614FB6ACEDB12BF0E31D00002087AF0B0000</t>
        </is>
      </c>
      <c r="C1909" t="inlineStr">
        <is>
          <t>cmm4yunr300yncuqwx0jp4nc2</t>
        </is>
      </c>
      <c r="D1909" t="inlineStr">
        <is>
          <t>http://localhost:8787/api/admin/requirements/documents/cmm4yunr300yncuqwx0jp4nc2/view</t>
        </is>
      </c>
      <c r="E1909">
        <f>HYPERLÄNK("http://localhost:8787/api/admin/requirements/documents/cmm4yunr300yncuqwx0jp4nc2/view";"Öppna PDF")</f>
        <v/>
      </c>
      <c r="F1909">
        <f>HYPERLINK("http://localhost:8787/api/admin/requirements/documents/cmm4yunr300yncuqwx0jp4nc2/view","Open PDF")</f>
        <v/>
      </c>
      <c r="G1909" t="inlineStr">
        <is>
          <t>cmm55w57p0004cuisfrtpqly8</t>
        </is>
      </c>
      <c r="H1909" t="inlineStr">
        <is>
          <t>Beslutsvillkor</t>
        </is>
      </c>
      <c r="I1909" t="inlineStr">
        <is>
          <t>Riskhantering</t>
        </is>
      </c>
      <c r="J1909" t="inlineStr">
        <is>
          <t>Riskkontroll</t>
        </is>
      </c>
      <c r="K1909" t="inlineStr">
        <is>
          <t>Verksamheten har vid tidigare möte 2022-11-30 redovisat muntligen att omlastningen av hushållssopor på Järpen 9:164 ska ske utan risk för olägenhet gällande miljö och hälsa.</t>
        </is>
      </c>
      <c r="L1909" t="inlineStr">
        <is>
          <t>Verksamheten har vid tidigare möte 2022-11-30 redovisat muntligen att omlastningen av hushållssopor på Järpen 9:164 ska ske utan risk för olägenhet gällande miljö och hälsa.</t>
        </is>
      </c>
      <c r="M1909" t="inlineStr">
        <is>
          <t>SKA</t>
        </is>
      </c>
      <c r="N1909" t="inlineStr"/>
      <c r="O1909" t="inlineStr">
        <is>
          <t>2022-11-30</t>
        </is>
      </c>
      <c r="P1909" t="inlineStr"/>
      <c r="Q1909" t="inlineStr"/>
      <c r="R1909" t="inlineStr">
        <is>
          <t>Vid risk for incident</t>
        </is>
      </c>
      <c r="S1909" t="inlineStr"/>
      <c r="T1909" t="inlineStr">
        <is>
          <t>992026</t>
        </is>
      </c>
      <c r="U1909" t="inlineStr"/>
      <c r="V1909" t="inlineStr"/>
      <c r="W1909" t="inlineStr">
        <is>
          <t>Nej</t>
        </is>
      </c>
      <c r="X1909" t="inlineStr">
        <is>
          <t>Nej</t>
        </is>
      </c>
      <c r="Y1909" t="inlineStr">
        <is>
          <t>Ja</t>
        </is>
      </c>
      <c r="Z1909" t="inlineStr">
        <is>
          <t>Ja</t>
        </is>
      </c>
      <c r="AA1909" t="n">
        <v>8</v>
      </c>
      <c r="AB1909" t="inlineStr">
        <is>
          <t>Riskhantering</t>
        </is>
      </c>
      <c r="AC1909" t="inlineStr">
        <is>
          <t>Risk-PM</t>
        </is>
      </c>
      <c r="AD1909" t="inlineStr">
        <is>
          <t>Nej</t>
        </is>
      </c>
      <c r="AE1909" t="inlineStr">
        <is>
          <t>Nej</t>
        </is>
      </c>
      <c r="AF1909" t="inlineStr">
        <is>
          <t>Ej behandlad</t>
        </is>
      </c>
      <c r="AG1909" t="inlineStr">
        <is>
          <t>AUTO_GENERERAD. Verifiera citat mot kallfil.</t>
        </is>
      </c>
      <c r="AH1909" t="inlineStr">
        <is>
          <t>MEDIUM</t>
        </is>
      </c>
      <c r="AI1909" t="inlineStr">
        <is>
          <t>AUTO</t>
        </is>
      </c>
      <c r="AJ1909" t="inlineStr">
        <is>
          <t>Nej</t>
        </is>
      </c>
      <c r="AK1909" t="inlineStr"/>
      <c r="AL1909" t="inlineStr"/>
      <c r="AM1909" t="inlineStr"/>
      <c r="AN1909" t="inlineStr"/>
      <c r="AO1909" t="inlineStr">
        <is>
          <t>cmm4yunr800ytcuqwwfwmk330</t>
        </is>
      </c>
      <c r="AP1909" t="inlineStr">
        <is>
          <t>http://localhost:8787/api/admin/requirements/documents/cmm4yunr800ytcuqwwfwmk330/view</t>
        </is>
      </c>
      <c r="AQ1909">
        <f>HYPERLÄNK("http://localhost:8787/api/admin/requirements/documents/cmm4yunr800ytcuqwwfwmk330/view";"Öppna PDF")</f>
        <v/>
      </c>
      <c r="AR1909">
        <f>HYPERLINK("http://localhost:8787/api/admin/requirements/documents/cmm4yunr800ytcuqwwfwmk330/view","Open PDF")</f>
        <v/>
      </c>
      <c r="AS1909" t="inlineStr">
        <is>
          <t>cmm55w57p0004cuisfrtpqly8</t>
        </is>
      </c>
      <c r="AT1909" t="inlineStr">
        <is>
          <t>cmm4xvu980000cuh4vj0usz09</t>
        </is>
      </c>
      <c r="AU1909" t="inlineStr">
        <is>
          <t>re</t>
        </is>
      </c>
      <c r="AV1909" t="inlineStr">
        <is>
          <t>Kommun</t>
        </is>
      </c>
      <c r="AW1909" t="inlineStr">
        <is>
          <t>re kommun</t>
        </is>
      </c>
      <c r="AX1909" t="inlineStr">
        <is>
          <t>2026-02</t>
        </is>
      </c>
      <c r="AY1909" t="inlineStr">
        <is>
          <t>Beslut</t>
        </is>
      </c>
      <c r="AZ1909" t="inlineStr">
        <is>
          <t>2026-02-03</t>
        </is>
      </c>
      <c r="BA1909" t="inlineStr">
        <is>
          <t>MIL.2025.629.pdf</t>
        </is>
      </c>
      <c r="BB1909" t="inlineStr">
        <is>
          <t>Sv: till registrator</t>
        </is>
      </c>
      <c r="BC1909" t="inlineStr">
        <is>
          <t>AUTO</t>
        </is>
      </c>
      <c r="BD1909" t="inlineStr"/>
      <c r="BE1909" t="inlineStr"/>
      <c r="BF1909" t="inlineStr">
        <is>
          <t>AUTO_GENERERAD. Bekrafta metadata mot kallfil.</t>
        </is>
      </c>
      <c r="BG1909">
        <f>HYPERLINK("C:\Users\jimmy\Desktop\Examens arbete\Kod\Ny mapp\remix_-copy-of-miljöbeslut.se-portal\MIL.2025.629.pdf", "Öppna PDF")</f>
        <v/>
      </c>
    </row>
    <row r="1910">
      <c r="A1910" t="inlineStr">
        <is>
          <t>KRAV-AUTO-001909</t>
        </is>
      </c>
      <c r="B1910" t="inlineStr">
        <is>
          <t>ADMIN-INDEX-2026-02-27-00000000125C043F57453246863FE664CAFE6A3F0700950291EA24F0614FB6ACEDB12BF0E31D00000000010C0000950291EA24F0614FB6ACEDB12BF0E31D00002087AF0B0000</t>
        </is>
      </c>
      <c r="C1910" t="inlineStr">
        <is>
          <t>cmm4yunr300yncuqwx0jp4nc2</t>
        </is>
      </c>
      <c r="D1910" t="inlineStr">
        <is>
          <t>http://localhost:8787/api/admin/requirements/documents/cmm4yunr300yncuqwx0jp4nc2/view</t>
        </is>
      </c>
      <c r="E1910">
        <f>HYPERLÄNK("http://localhost:8787/api/admin/requirements/documents/cmm4yunr300yncuqwx0jp4nc2/view";"Öppna PDF")</f>
        <v/>
      </c>
      <c r="F1910">
        <f>HYPERLINK("http://localhost:8787/api/admin/requirements/documents/cmm4yunr300yncuqwx0jp4nc2/view","Open PDF")</f>
        <v/>
      </c>
      <c r="G1910" t="inlineStr">
        <is>
          <t>cmm55w57p0004cuisfrtpqly8</t>
        </is>
      </c>
      <c r="H1910" t="inlineStr">
        <is>
          <t>Beslutsvillkor</t>
        </is>
      </c>
      <c r="I1910" t="inlineStr">
        <is>
          <t>Riskhantering</t>
        </is>
      </c>
      <c r="J1910" t="inlineStr">
        <is>
          <t>Riskkontroll</t>
        </is>
      </c>
      <c r="K1910" t="inlineStr">
        <is>
          <t>För att vi inte ska vara oense kring gällande lagstiftning så får ni gärna i förväg mer specifikt presentera tältets utformning samt era arbetssätt m.m, för att minimera risken för ev.</t>
        </is>
      </c>
      <c r="L1910" t="inlineStr">
        <is>
          <t>För att vi inte ska vara oense kring gällande lagstiftning så får ni gärna i förväg mer specifikt presentera tältets utformning samt era arbetssätt m.m, för att minimera risken för ev.</t>
        </is>
      </c>
      <c r="M1910" t="inlineStr">
        <is>
          <t>SKA</t>
        </is>
      </c>
      <c r="N1910" t="inlineStr"/>
      <c r="O1910" t="inlineStr"/>
      <c r="P1910" t="inlineStr"/>
      <c r="Q1910" t="inlineStr"/>
      <c r="R1910" t="inlineStr">
        <is>
          <t>Vid risk for incident</t>
        </is>
      </c>
      <c r="S1910" t="inlineStr"/>
      <c r="T1910" t="inlineStr">
        <is>
          <t>992026</t>
        </is>
      </c>
      <c r="U1910" t="inlineStr"/>
      <c r="V1910" t="inlineStr"/>
      <c r="W1910" t="inlineStr">
        <is>
          <t>Nej</t>
        </is>
      </c>
      <c r="X1910" t="inlineStr">
        <is>
          <t>Nej</t>
        </is>
      </c>
      <c r="Y1910" t="inlineStr">
        <is>
          <t>Ja</t>
        </is>
      </c>
      <c r="Z1910" t="inlineStr">
        <is>
          <t>Ja</t>
        </is>
      </c>
      <c r="AA1910" t="n">
        <v>8</v>
      </c>
      <c r="AB1910" t="inlineStr">
        <is>
          <t>Riskhantering</t>
        </is>
      </c>
      <c r="AC1910" t="inlineStr">
        <is>
          <t>Risk-PM</t>
        </is>
      </c>
      <c r="AD1910" t="inlineStr">
        <is>
          <t>Nej</t>
        </is>
      </c>
      <c r="AE1910" t="inlineStr">
        <is>
          <t>Nej</t>
        </is>
      </c>
      <c r="AF1910" t="inlineStr">
        <is>
          <t>Ej behandlad</t>
        </is>
      </c>
      <c r="AG1910" t="inlineStr">
        <is>
          <t>AUTO_GENERERAD. Verifiera citat mot kallfil.</t>
        </is>
      </c>
      <c r="AH1910" t="inlineStr">
        <is>
          <t>MEDIUM</t>
        </is>
      </c>
      <c r="AI1910" t="inlineStr">
        <is>
          <t>AUTO</t>
        </is>
      </c>
      <c r="AJ1910" t="inlineStr">
        <is>
          <t>Nej</t>
        </is>
      </c>
      <c r="AK1910" t="inlineStr"/>
      <c r="AL1910" t="inlineStr"/>
      <c r="AM1910" t="inlineStr"/>
      <c r="AN1910" t="inlineStr"/>
      <c r="AO1910" t="inlineStr">
        <is>
          <t>cmm4yunr800ytcuqwwfwmk330</t>
        </is>
      </c>
      <c r="AP1910" t="inlineStr">
        <is>
          <t>http://localhost:8787/api/admin/requirements/documents/cmm4yunr800ytcuqwwfwmk330/view</t>
        </is>
      </c>
      <c r="AQ1910">
        <f>HYPERLÄNK("http://localhost:8787/api/admin/requirements/documents/cmm4yunr800ytcuqwwfwmk330/view";"Öppna PDF")</f>
        <v/>
      </c>
      <c r="AR1910">
        <f>HYPERLINK("http://localhost:8787/api/admin/requirements/documents/cmm4yunr800ytcuqwwfwmk330/view","Open PDF")</f>
        <v/>
      </c>
      <c r="AS1910" t="inlineStr">
        <is>
          <t>cmm55w57p0004cuisfrtpqly8</t>
        </is>
      </c>
      <c r="AT1910" t="inlineStr">
        <is>
          <t>cmm4xvu980000cuh4vj0usz09</t>
        </is>
      </c>
      <c r="AU1910" t="inlineStr">
        <is>
          <t>re</t>
        </is>
      </c>
      <c r="AV1910" t="inlineStr">
        <is>
          <t>Kommun</t>
        </is>
      </c>
      <c r="AW1910" t="inlineStr">
        <is>
          <t>re kommun</t>
        </is>
      </c>
      <c r="AX1910" t="inlineStr">
        <is>
          <t>2026-02</t>
        </is>
      </c>
      <c r="AY1910" t="inlineStr">
        <is>
          <t>Beslut</t>
        </is>
      </c>
      <c r="AZ1910" t="inlineStr">
        <is>
          <t>2026-02-03</t>
        </is>
      </c>
      <c r="BA1910" t="inlineStr">
        <is>
          <t>MIL.2025.629.pdf</t>
        </is>
      </c>
      <c r="BB1910" t="inlineStr">
        <is>
          <t>Sv: till registrator</t>
        </is>
      </c>
      <c r="BC1910" t="inlineStr">
        <is>
          <t>AUTO</t>
        </is>
      </c>
      <c r="BD1910" t="inlineStr"/>
      <c r="BE1910" t="inlineStr"/>
      <c r="BF1910" t="inlineStr">
        <is>
          <t>AUTO_GENERERAD. Bekrafta metadata mot kallfil.</t>
        </is>
      </c>
      <c r="BG1910">
        <f>HYPERLINK("C:\Users\jimmy\Desktop\Examens arbete\Kod\Ny mapp\remix_-copy-of-miljöbeslut.se-portal\MIL.2025.629.pdf", "Öppna PDF")</f>
        <v/>
      </c>
    </row>
    <row r="1911">
      <c r="A1911" t="inlineStr">
        <is>
          <t>KRAV-AUTO-001910</t>
        </is>
      </c>
      <c r="B1911" t="inlineStr">
        <is>
          <t>ADMIN-INDEX-2026-02-27-00000000125C043F57453246863FE664CAFE6A3F0700950291EA24F0614FB6ACEDB12BF0E31D00000000010C0000950291EA24F0614FB6ACEDB12BF0E31D00002087AF0C0000</t>
        </is>
      </c>
      <c r="C1911" t="inlineStr">
        <is>
          <t>cmm4yunr000ykcuqwr4euonza</t>
        </is>
      </c>
      <c r="D1911" t="inlineStr">
        <is>
          <t>http://localhost:8787/api/admin/requirements/documents/cmm4yunr000ykcuqwr4euonza/view</t>
        </is>
      </c>
      <c r="E1911">
        <f>HYPERLÄNK("http://localhost:8787/api/admin/requirements/documents/cmm4yunr000ykcuqwr4euonza/view";"Öppna PDF")</f>
        <v/>
      </c>
      <c r="F1911">
        <f>HYPERLINK("http://localhost:8787/api/admin/requirements/documents/cmm4yunr000ykcuqwr4euonza/view","Open PDF")</f>
        <v/>
      </c>
      <c r="G1911" t="inlineStr">
        <is>
          <t>cmm55w57p0004cuisfrtpqly8</t>
        </is>
      </c>
      <c r="H1911" t="inlineStr">
        <is>
          <t>Beslutsvillkor</t>
        </is>
      </c>
      <c r="I1911" t="inlineStr">
        <is>
          <t>MiljopaverkanForsiktighet</t>
        </is>
      </c>
      <c r="J1911" t="inlineStr">
        <is>
          <t>Skyddsatgarder</t>
        </is>
      </c>
      <c r="K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11" t="inlineStr">
        <is>
          <t>SKA</t>
        </is>
      </c>
      <c r="N1911" t="inlineStr"/>
      <c r="O1911" t="inlineStr"/>
      <c r="P1911" t="inlineStr"/>
      <c r="Q1911" t="inlineStr"/>
      <c r="R1911" t="inlineStr">
        <is>
          <t>Alltid</t>
        </is>
      </c>
      <c r="S1911" t="inlineStr"/>
      <c r="T1911" t="inlineStr">
        <is>
          <t>212000</t>
        </is>
      </c>
      <c r="U1911" t="inlineStr"/>
      <c r="V1911" t="inlineStr"/>
      <c r="W1911" t="inlineStr">
        <is>
          <t>Nej</t>
        </is>
      </c>
      <c r="X1911" t="inlineStr">
        <is>
          <t>Nej</t>
        </is>
      </c>
      <c r="Y1911" t="inlineStr">
        <is>
          <t>Nej</t>
        </is>
      </c>
      <c r="Z1911" t="inlineStr">
        <is>
          <t>Nej</t>
        </is>
      </c>
      <c r="AA1911" t="n">
        <v>10</v>
      </c>
      <c r="AB1911" t="inlineStr">
        <is>
          <t>Miljopaverkan och forsiktighetsmatt</t>
        </is>
      </c>
      <c r="AC1911" t="inlineStr">
        <is>
          <t>Miljo-PM</t>
        </is>
      </c>
      <c r="AD1911" t="inlineStr">
        <is>
          <t>Nej</t>
        </is>
      </c>
      <c r="AE1911" t="inlineStr">
        <is>
          <t>Nej</t>
        </is>
      </c>
      <c r="AF1911" t="inlineStr">
        <is>
          <t>Ej behandlad</t>
        </is>
      </c>
      <c r="AG1911" t="inlineStr">
        <is>
          <t>AUTO_GENERERAD. Verifiera citat mot kallfil.</t>
        </is>
      </c>
      <c r="AH1911" t="inlineStr">
        <is>
          <t>MEDIUM</t>
        </is>
      </c>
      <c r="AI1911" t="inlineStr">
        <is>
          <t>AUTO</t>
        </is>
      </c>
      <c r="AJ1911" t="inlineStr">
        <is>
          <t>Nej</t>
        </is>
      </c>
      <c r="AK1911" t="inlineStr"/>
      <c r="AL1911" t="inlineStr"/>
      <c r="AM1911" t="inlineStr"/>
      <c r="AN1911" t="inlineStr"/>
      <c r="AO1911" t="inlineStr">
        <is>
          <t>cmm4yunr000ykcuqwr4euonza</t>
        </is>
      </c>
      <c r="AP1911" t="inlineStr">
        <is>
          <t>http://localhost:8787/api/admin/requirements/documents/cmm4yunr000ykcuqwr4euonza/view</t>
        </is>
      </c>
      <c r="AQ1911">
        <f>HYPERLÄNK("http://localhost:8787/api/admin/requirements/documents/cmm4yunr000ykcuqwr4euonza/view";"Öppna PDF")</f>
        <v/>
      </c>
      <c r="AR1911">
        <f>HYPERLINK("http://localhost:8787/api/admin/requirements/documents/cmm4yunr000ykcuqwr4euonza/view","Open PDF")</f>
        <v/>
      </c>
      <c r="AS1911" t="inlineStr">
        <is>
          <t>cmm55w57p0004cuisfrtpqly8</t>
        </is>
      </c>
      <c r="AT1911" t="inlineStr">
        <is>
          <t>cmm4xvu980000cuh4vj0usz09</t>
        </is>
      </c>
      <c r="AU1911" t="inlineStr">
        <is>
          <t>re</t>
        </is>
      </c>
      <c r="AV1911" t="inlineStr">
        <is>
          <t>Kommun</t>
        </is>
      </c>
      <c r="AW1911" t="inlineStr">
        <is>
          <t>re kommun</t>
        </is>
      </c>
      <c r="AX1911" t="inlineStr">
        <is>
          <t>2026-02</t>
        </is>
      </c>
      <c r="AY1911" t="inlineStr">
        <is>
          <t>Beslut</t>
        </is>
      </c>
      <c r="AZ1911" t="inlineStr">
        <is>
          <t>2026-02-03</t>
        </is>
      </c>
      <c r="BA1911" t="inlineStr">
        <is>
          <t>MIL.2025.629.pdf</t>
        </is>
      </c>
      <c r="BB1911" t="inlineStr">
        <is>
          <t>Sv: till registrator</t>
        </is>
      </c>
      <c r="BC1911" t="inlineStr">
        <is>
          <t>AUTO</t>
        </is>
      </c>
      <c r="BD1911" t="inlineStr"/>
      <c r="BE1911" t="inlineStr"/>
      <c r="BF1911" t="inlineStr">
        <is>
          <t>AUTO_GENERERAD. Bekrafta metadata mot kallfil.</t>
        </is>
      </c>
      <c r="BG1911">
        <f>HYPERLINK("C:\Users\jimmy\Desktop\Examens arbete\Kod\Ny mapp\remix_-copy-of-miljöbeslut.se-portal\MIL.2025.629.pdf", "Öppna PDF")</f>
        <v/>
      </c>
    </row>
    <row r="1912">
      <c r="A1912" t="inlineStr">
        <is>
          <t>KRAV-AUTO-001911</t>
        </is>
      </c>
      <c r="B1912" t="inlineStr">
        <is>
          <t>ADMIN-INDEX-2026-02-27-00000000125C043F57453246863FE664CAFE6A3F0700950291EA24F0614FB6ACEDB12BF0E31D00000000010C0000950291EA24F0614FB6ACEDB12BF0E31D00002087AF0C0000</t>
        </is>
      </c>
      <c r="C1912" t="inlineStr">
        <is>
          <t>cmm4yunr000ykcuqwr4euonza</t>
        </is>
      </c>
      <c r="D1912" t="inlineStr">
        <is>
          <t>http://localhost:8787/api/admin/requirements/documents/cmm4yunr000ykcuqwr4euonza/view</t>
        </is>
      </c>
      <c r="E1912">
        <f>HYPERLÄNK("http://localhost:8787/api/admin/requirements/documents/cmm4yunr000ykcuqwr4euonza/view";"Öppna PDF")</f>
        <v/>
      </c>
      <c r="F1912">
        <f>HYPERLINK("http://localhost:8787/api/admin/requirements/documents/cmm4yunr000ykcuqwr4euonza/view","Open PDF")</f>
        <v/>
      </c>
      <c r="G1912" t="inlineStr">
        <is>
          <t>cmm55w57p0004cuisfrtpqly8</t>
        </is>
      </c>
      <c r="H1912" t="inlineStr">
        <is>
          <t>Beslutsvillkor</t>
        </is>
      </c>
      <c r="I1912" t="inlineStr">
        <is>
          <t>LagringsvolymTid</t>
        </is>
      </c>
      <c r="J1912" t="inlineStr">
        <is>
          <t>Maxmangd</t>
        </is>
      </c>
      <c r="K1912"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12" t="inlineStr">
        <is>
          <t>-- 15 of 22 -- Energiförbrukning inom verksamheten*  Olja, m3/år: …………………………………  El, kWh/år: …………………………………  Fjärrvärme, kWh/år: …….…………………  Naturgas, m3/år: ……………………………  Fastbränsle, ton/år: …………………………  Annat: ………………….., mängd/år:……… En skriftlig energiplan* finns  eller ska upprättas  Kemiska produkter, köldme</t>
        </is>
      </c>
      <c r="M1912" t="inlineStr">
        <is>
          <t>SKA</t>
        </is>
      </c>
      <c r="N1912" t="inlineStr"/>
      <c r="O1912" t="inlineStr"/>
      <c r="P1912" t="inlineStr"/>
      <c r="Q1912" t="inlineStr"/>
      <c r="R1912" t="inlineStr">
        <is>
          <t>Alltid</t>
        </is>
      </c>
      <c r="S1912" t="inlineStr"/>
      <c r="T1912" t="inlineStr">
        <is>
          <t>212000</t>
        </is>
      </c>
      <c r="U1912" t="inlineStr"/>
      <c r="V1912" t="inlineStr"/>
      <c r="W1912" t="inlineStr">
        <is>
          <t>Nej</t>
        </is>
      </c>
      <c r="X1912" t="inlineStr">
        <is>
          <t>Nej</t>
        </is>
      </c>
      <c r="Y1912" t="inlineStr">
        <is>
          <t>Nej</t>
        </is>
      </c>
      <c r="Z1912" t="inlineStr">
        <is>
          <t>Nej</t>
        </is>
      </c>
      <c r="AA1912" t="n">
        <v>4</v>
      </c>
      <c r="AB1912" t="inlineStr">
        <is>
          <t>Avfallsmangder och lagringstid</t>
        </is>
      </c>
      <c r="AC1912" t="inlineStr">
        <is>
          <t>Avfallsforteckning</t>
        </is>
      </c>
      <c r="AD1912" t="inlineStr">
        <is>
          <t>Nej</t>
        </is>
      </c>
      <c r="AE1912" t="inlineStr">
        <is>
          <t>Nej</t>
        </is>
      </c>
      <c r="AF1912" t="inlineStr">
        <is>
          <t>Ej behandlad</t>
        </is>
      </c>
      <c r="AG1912" t="inlineStr">
        <is>
          <t>AUTO_GENERERAD. Verifiera citat mot kallfil.</t>
        </is>
      </c>
      <c r="AH1912" t="inlineStr">
        <is>
          <t>MEDIUM</t>
        </is>
      </c>
      <c r="AI1912" t="inlineStr">
        <is>
          <t>AUTO</t>
        </is>
      </c>
      <c r="AJ1912" t="inlineStr">
        <is>
          <t>Nej</t>
        </is>
      </c>
      <c r="AK1912" t="inlineStr"/>
      <c r="AL1912" t="inlineStr"/>
      <c r="AM1912" t="inlineStr"/>
      <c r="AN1912" t="inlineStr"/>
      <c r="AO1912" t="inlineStr">
        <is>
          <t>cmm4yunr000ykcuqwr4euonza</t>
        </is>
      </c>
      <c r="AP1912" t="inlineStr">
        <is>
          <t>http://localhost:8787/api/admin/requirements/documents/cmm4yunr000ykcuqwr4euonza/view</t>
        </is>
      </c>
      <c r="AQ1912">
        <f>HYPERLÄNK("http://localhost:8787/api/admin/requirements/documents/cmm4yunr000ykcuqwr4euonza/view";"Öppna PDF")</f>
        <v/>
      </c>
      <c r="AR1912">
        <f>HYPERLINK("http://localhost:8787/api/admin/requirements/documents/cmm4yunr000ykcuqwr4euonza/view","Open PDF")</f>
        <v/>
      </c>
      <c r="AS1912" t="inlineStr">
        <is>
          <t>cmm55w57p0004cuisfrtpqly8</t>
        </is>
      </c>
      <c r="AT1912" t="inlineStr">
        <is>
          <t>cmm4xvu980000cuh4vj0usz09</t>
        </is>
      </c>
      <c r="AU1912" t="inlineStr">
        <is>
          <t>re</t>
        </is>
      </c>
      <c r="AV1912" t="inlineStr">
        <is>
          <t>Kommun</t>
        </is>
      </c>
      <c r="AW1912" t="inlineStr">
        <is>
          <t>re kommun</t>
        </is>
      </c>
      <c r="AX1912" t="inlineStr">
        <is>
          <t>2026-02</t>
        </is>
      </c>
      <c r="AY1912" t="inlineStr">
        <is>
          <t>Beslut</t>
        </is>
      </c>
      <c r="AZ1912" t="inlineStr">
        <is>
          <t>2026-02-03</t>
        </is>
      </c>
      <c r="BA1912" t="inlineStr">
        <is>
          <t>MIL.2025.629.pdf</t>
        </is>
      </c>
      <c r="BB1912" t="inlineStr">
        <is>
          <t>Sv: till registrator</t>
        </is>
      </c>
      <c r="BC1912" t="inlineStr">
        <is>
          <t>AUTO</t>
        </is>
      </c>
      <c r="BD1912" t="inlineStr"/>
      <c r="BE1912" t="inlineStr"/>
      <c r="BF1912" t="inlineStr">
        <is>
          <t>AUTO_GENERERAD. Bekrafta metadata mot kallfil.</t>
        </is>
      </c>
      <c r="BG1912">
        <f>HYPERLINK("C:\Users\jimmy\Desktop\Examens arbete\Kod\Ny mapp\remix_-copy-of-miljöbeslut.se-portal\MIL.2025.629.pdf", "Öppna PDF")</f>
        <v/>
      </c>
    </row>
    <row r="1913">
      <c r="A1913" t="inlineStr">
        <is>
          <t>KRAV-AUTO-001912</t>
        </is>
      </c>
      <c r="B1913" t="inlineStr">
        <is>
          <t>ADMIN-INDEX-2026-02-27-00000000125C043F57453246863FE664CAFE6A3F0700950291EA24F0614FB6ACEDB12BF0E31D00000000010C0000950291EA24F0614FB6ACEDB12BF0E31D00002087AF0C0000</t>
        </is>
      </c>
      <c r="C1913" t="inlineStr">
        <is>
          <t>cmm4yunr000ykcuqwr4euonza</t>
        </is>
      </c>
      <c r="D1913" t="inlineStr">
        <is>
          <t>http://localhost:8787/api/admin/requirements/documents/cmm4yunr000ykcuqwr4euonza/view</t>
        </is>
      </c>
      <c r="E1913">
        <f>HYPERLÄNK("http://localhost:8787/api/admin/requirements/documents/cmm4yunr000ykcuqwr4euonza/view";"Öppna PDF")</f>
        <v/>
      </c>
      <c r="F1913">
        <f>HYPERLINK("http://localhost:8787/api/admin/requirements/documents/cmm4yunr000ykcuqwr4euonza/view","Open PDF")</f>
        <v/>
      </c>
      <c r="G1913" t="inlineStr">
        <is>
          <t>cmm55w57p0004cuisfrtpqly8</t>
        </is>
      </c>
      <c r="H1913" t="inlineStr">
        <is>
          <t>Beslutsvillkor</t>
        </is>
      </c>
      <c r="I1913" t="inlineStr">
        <is>
          <t>DriftEgenkontroll</t>
        </is>
      </c>
      <c r="J1913" t="inlineStr">
        <is>
          <t>Journalforing</t>
        </is>
      </c>
      <c r="K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13" t="inlineStr">
        <is>
          <t>SKA</t>
        </is>
      </c>
      <c r="N1913" t="inlineStr"/>
      <c r="O1913" t="inlineStr"/>
      <c r="P1913" t="inlineStr"/>
      <c r="Q1913" t="inlineStr"/>
      <c r="R1913" t="inlineStr">
        <is>
          <t>Lopande drift</t>
        </is>
      </c>
      <c r="S1913" t="inlineStr"/>
      <c r="T1913" t="inlineStr">
        <is>
          <t>212000</t>
        </is>
      </c>
      <c r="U1913" t="inlineStr"/>
      <c r="V1913" t="inlineStr"/>
      <c r="W1913" t="inlineStr">
        <is>
          <t>Nej</t>
        </is>
      </c>
      <c r="X1913" t="inlineStr">
        <is>
          <t>Nej</t>
        </is>
      </c>
      <c r="Y1913" t="inlineStr">
        <is>
          <t>Ja</t>
        </is>
      </c>
      <c r="Z1913" t="inlineStr">
        <is>
          <t>Nej</t>
        </is>
      </c>
      <c r="AA1913" t="n">
        <v>7</v>
      </c>
      <c r="AB1913" t="inlineStr">
        <is>
          <t>Egenkontrollrutiner</t>
        </is>
      </c>
      <c r="AC1913" t="inlineStr">
        <is>
          <t>Egenkontrollprogram</t>
        </is>
      </c>
      <c r="AD1913" t="inlineStr">
        <is>
          <t>Nej</t>
        </is>
      </c>
      <c r="AE1913" t="inlineStr">
        <is>
          <t>Nej</t>
        </is>
      </c>
      <c r="AF1913" t="inlineStr">
        <is>
          <t>Ej behandlad</t>
        </is>
      </c>
      <c r="AG1913" t="inlineStr">
        <is>
          <t>AUTO_GENERERAD. Verifiera citat mot kallfil.</t>
        </is>
      </c>
      <c r="AH1913" t="inlineStr">
        <is>
          <t>MEDIUM</t>
        </is>
      </c>
      <c r="AI1913" t="inlineStr">
        <is>
          <t>AUTO</t>
        </is>
      </c>
      <c r="AJ1913" t="inlineStr">
        <is>
          <t>Nej</t>
        </is>
      </c>
      <c r="AK1913" t="inlineStr"/>
      <c r="AL1913" t="inlineStr"/>
      <c r="AM1913" t="inlineStr"/>
      <c r="AN1913" t="inlineStr"/>
      <c r="AO1913" t="inlineStr">
        <is>
          <t>cmm4yunr000ykcuqwr4euonza</t>
        </is>
      </c>
      <c r="AP1913" t="inlineStr">
        <is>
          <t>http://localhost:8787/api/admin/requirements/documents/cmm4yunr000ykcuqwr4euonza/view</t>
        </is>
      </c>
      <c r="AQ1913">
        <f>HYPERLÄNK("http://localhost:8787/api/admin/requirements/documents/cmm4yunr000ykcuqwr4euonza/view";"Öppna PDF")</f>
        <v/>
      </c>
      <c r="AR1913">
        <f>HYPERLINK("http://localhost:8787/api/admin/requirements/documents/cmm4yunr000ykcuqwr4euonza/view","Open PDF")</f>
        <v/>
      </c>
      <c r="AS1913" t="inlineStr">
        <is>
          <t>cmm55w57p0004cuisfrtpqly8</t>
        </is>
      </c>
      <c r="AT1913" t="inlineStr">
        <is>
          <t>cmm4xvu980000cuh4vj0usz09</t>
        </is>
      </c>
      <c r="AU1913" t="inlineStr">
        <is>
          <t>re</t>
        </is>
      </c>
      <c r="AV1913" t="inlineStr">
        <is>
          <t>Kommun</t>
        </is>
      </c>
      <c r="AW1913" t="inlineStr">
        <is>
          <t>re kommun</t>
        </is>
      </c>
      <c r="AX1913" t="inlineStr">
        <is>
          <t>2026-02</t>
        </is>
      </c>
      <c r="AY1913" t="inlineStr">
        <is>
          <t>Beslut</t>
        </is>
      </c>
      <c r="AZ1913" t="inlineStr">
        <is>
          <t>2026-02-03</t>
        </is>
      </c>
      <c r="BA1913" t="inlineStr">
        <is>
          <t>MIL.2025.629.pdf</t>
        </is>
      </c>
      <c r="BB1913" t="inlineStr">
        <is>
          <t>Sv: till registrator</t>
        </is>
      </c>
      <c r="BC1913" t="inlineStr">
        <is>
          <t>AUTO</t>
        </is>
      </c>
      <c r="BD1913" t="inlineStr"/>
      <c r="BE1913" t="inlineStr"/>
      <c r="BF1913" t="inlineStr">
        <is>
          <t>AUTO_GENERERAD. Bekrafta metadata mot kallfil.</t>
        </is>
      </c>
      <c r="BG1913">
        <f>HYPERLINK("C:\Users\jimmy\Desktop\Examens arbete\Kod\Ny mapp\remix_-copy-of-miljöbeslut.se-portal\MIL.2025.629.pdf", "Öppna PDF")</f>
        <v/>
      </c>
    </row>
    <row r="1914">
      <c r="A1914" t="inlineStr">
        <is>
          <t>KRAV-AUTO-001913</t>
        </is>
      </c>
      <c r="B1914" t="inlineStr">
        <is>
          <t>ADMIN-INDEX-2026-02-27-00000000125C043F57453246863FE664CAFE6A3F0700950291EA24F0614FB6ACEDB12BF0E31D00000000010C0000950291EA24F0614FB6ACEDB12BF0E31D00002087AF0C0000</t>
        </is>
      </c>
      <c r="C1914" t="inlineStr">
        <is>
          <t>cmm4yunqx00yhcuqwjxq5ifop</t>
        </is>
      </c>
      <c r="D1914" t="inlineStr">
        <is>
          <t>http://localhost:8787/api/admin/requirements/documents/cmm4yunqx00yhcuqwjxq5ifop/view</t>
        </is>
      </c>
      <c r="E1914">
        <f>HYPERLÄNK("http://localhost:8787/api/admin/requirements/documents/cmm4yunqx00yhcuqwjxq5ifop/view";"Öppna PDF")</f>
        <v/>
      </c>
      <c r="F1914">
        <f>HYPERLINK("http://localhost:8787/api/admin/requirements/documents/cmm4yunqx00yhcuqwjxq5ifop/view","Open PDF")</f>
        <v/>
      </c>
      <c r="G1914" t="inlineStr">
        <is>
          <t>cmm55w57p0004cuisfrtpqly8</t>
        </is>
      </c>
      <c r="H1914" t="inlineStr">
        <is>
          <t>Beslutsvillkor</t>
        </is>
      </c>
      <c r="I1914" t="inlineStr">
        <is>
          <t>MiljopaverkanForsiktighet</t>
        </is>
      </c>
      <c r="J1914" t="inlineStr">
        <is>
          <t>Skyddsatgarder</t>
        </is>
      </c>
      <c r="K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14" t="inlineStr">
        <is>
          <t>SKA</t>
        </is>
      </c>
      <c r="N1914" t="inlineStr">
        <is>
          <t>Miljobalken</t>
        </is>
      </c>
      <c r="O1914" t="inlineStr"/>
      <c r="P1914" t="inlineStr"/>
      <c r="Q1914" t="inlineStr"/>
      <c r="R1914" t="inlineStr">
        <is>
          <t>Alltid</t>
        </is>
      </c>
      <c r="S1914" t="inlineStr"/>
      <c r="T1914" t="inlineStr"/>
      <c r="U1914" t="inlineStr"/>
      <c r="V1914" t="inlineStr"/>
      <c r="W1914" t="inlineStr">
        <is>
          <t>Nej</t>
        </is>
      </c>
      <c r="X1914" t="inlineStr">
        <is>
          <t>Nej</t>
        </is>
      </c>
      <c r="Y1914" t="inlineStr">
        <is>
          <t>Nej</t>
        </is>
      </c>
      <c r="Z1914" t="inlineStr">
        <is>
          <t>Nej</t>
        </is>
      </c>
      <c r="AA1914" t="n">
        <v>10</v>
      </c>
      <c r="AB1914" t="inlineStr">
        <is>
          <t>Miljopaverkan och forsiktighetsmatt</t>
        </is>
      </c>
      <c r="AC1914" t="inlineStr">
        <is>
          <t>Miljo-PM</t>
        </is>
      </c>
      <c r="AD1914" t="inlineStr">
        <is>
          <t>Nej</t>
        </is>
      </c>
      <c r="AE1914" t="inlineStr">
        <is>
          <t>Nej</t>
        </is>
      </c>
      <c r="AF1914" t="inlineStr">
        <is>
          <t>Ej behandlad</t>
        </is>
      </c>
      <c r="AG1914" t="inlineStr">
        <is>
          <t>AUTO_GENERERAD. Verifiera citat mot kallfil.</t>
        </is>
      </c>
      <c r="AH1914" t="inlineStr">
        <is>
          <t>MEDIUM</t>
        </is>
      </c>
      <c r="AI1914" t="inlineStr">
        <is>
          <t>AUTO</t>
        </is>
      </c>
      <c r="AJ1914" t="inlineStr">
        <is>
          <t>Nej</t>
        </is>
      </c>
      <c r="AK1914" t="inlineStr"/>
      <c r="AL1914" t="inlineStr"/>
      <c r="AM1914" t="inlineStr"/>
      <c r="AN1914" t="inlineStr"/>
      <c r="AO1914" t="inlineStr">
        <is>
          <t>cmm4yunr000ykcuqwr4euonza</t>
        </is>
      </c>
      <c r="AP1914" t="inlineStr">
        <is>
          <t>http://localhost:8787/api/admin/requirements/documents/cmm4yunr000ykcuqwr4euonza/view</t>
        </is>
      </c>
      <c r="AQ1914">
        <f>HYPERLÄNK("http://localhost:8787/api/admin/requirements/documents/cmm4yunr000ykcuqwr4euonza/view";"Öppna PDF")</f>
        <v/>
      </c>
      <c r="AR1914">
        <f>HYPERLINK("http://localhost:8787/api/admin/requirements/documents/cmm4yunr000ykcuqwr4euonza/view","Open PDF")</f>
        <v/>
      </c>
      <c r="AS1914" t="inlineStr">
        <is>
          <t>cmm55w57p0004cuisfrtpqly8</t>
        </is>
      </c>
      <c r="AT1914" t="inlineStr">
        <is>
          <t>cmm4xvu980000cuh4vj0usz09</t>
        </is>
      </c>
      <c r="AU1914" t="inlineStr">
        <is>
          <t>re</t>
        </is>
      </c>
      <c r="AV1914" t="inlineStr">
        <is>
          <t>Kommun</t>
        </is>
      </c>
      <c r="AW1914" t="inlineStr">
        <is>
          <t>re kommun</t>
        </is>
      </c>
      <c r="AX1914" t="inlineStr">
        <is>
          <t>2026-02</t>
        </is>
      </c>
      <c r="AY1914" t="inlineStr">
        <is>
          <t>Beslut</t>
        </is>
      </c>
      <c r="AZ1914" t="inlineStr">
        <is>
          <t>2026-02-03</t>
        </is>
      </c>
      <c r="BA1914" t="inlineStr">
        <is>
          <t>MIL.2025.629.pdf</t>
        </is>
      </c>
      <c r="BB1914" t="inlineStr">
        <is>
          <t>Sv: till registrator</t>
        </is>
      </c>
      <c r="BC1914" t="inlineStr">
        <is>
          <t>AUTO</t>
        </is>
      </c>
      <c r="BD1914" t="inlineStr"/>
      <c r="BE1914" t="inlineStr"/>
      <c r="BF1914" t="inlineStr">
        <is>
          <t>AUTO_GENERERAD. Bekrafta metadata mot kallfil.</t>
        </is>
      </c>
      <c r="BG1914">
        <f>HYPERLINK("C:\Users\jimmy\Desktop\Examens arbete\Kod\Ny mapp\remix_-copy-of-miljöbeslut.se-portal\MIL.2025.629.pdf", "Öppna PDF")</f>
        <v/>
      </c>
    </row>
    <row r="1915">
      <c r="A1915" t="inlineStr">
        <is>
          <t>KRAV-AUTO-001914</t>
        </is>
      </c>
      <c r="B1915" t="inlineStr">
        <is>
          <t>ADMIN-INDEX-2026-02-27-00000000125C043F57453246863FE664CAFE6A3F0700950291EA24F0614FB6ACEDB12BF0E31D00000000010C0000950291EA24F0614FB6ACEDB12BF0E31D00002087AF0C0000</t>
        </is>
      </c>
      <c r="C1915" t="inlineStr">
        <is>
          <t>cmm4yunqx00yhcuqwjxq5ifop</t>
        </is>
      </c>
      <c r="D1915" t="inlineStr">
        <is>
          <t>http://localhost:8787/api/admin/requirements/documents/cmm4yunqx00yhcuqwjxq5ifop/view</t>
        </is>
      </c>
      <c r="E1915">
        <f>HYPERLÄNK("http://localhost:8787/api/admin/requirements/documents/cmm4yunqx00yhcuqwjxq5ifop/view";"Öppna PDF")</f>
        <v/>
      </c>
      <c r="F1915">
        <f>HYPERLINK("http://localhost:8787/api/admin/requirements/documents/cmm4yunqx00yhcuqwjxq5ifop/view","Open PDF")</f>
        <v/>
      </c>
      <c r="G1915" t="inlineStr">
        <is>
          <t>cmm55w57p0004cuisfrtpqly8</t>
        </is>
      </c>
      <c r="H1915" t="inlineStr">
        <is>
          <t>Beslutsvillkor</t>
        </is>
      </c>
      <c r="I1915" t="inlineStr">
        <is>
          <t>DriftEgenkontroll</t>
        </is>
      </c>
      <c r="J1915" t="inlineStr">
        <is>
          <t>Journalforing</t>
        </is>
      </c>
      <c r="K1915" t="inlineStr">
        <is>
          <t>Vid avvikelser kan kostnader tillkomma för provtagning, bortforsling av avfall samt nedlagd arbetstid.</t>
        </is>
      </c>
      <c r="L1915" t="inlineStr">
        <is>
          <t>Vid avvikelser kan kostnader tillkomma för provtagning, bortforsling av avfall samt nedlagd arbetstid.</t>
        </is>
      </c>
      <c r="M1915" t="inlineStr">
        <is>
          <t>BOR</t>
        </is>
      </c>
      <c r="N1915" t="inlineStr"/>
      <c r="O1915" t="inlineStr"/>
      <c r="P1915" t="inlineStr"/>
      <c r="Q1915" t="inlineStr"/>
      <c r="R1915" t="inlineStr">
        <is>
          <t>Lopande drift</t>
        </is>
      </c>
      <c r="S1915" t="inlineStr"/>
      <c r="T1915" t="inlineStr"/>
      <c r="U1915" t="inlineStr"/>
      <c r="V1915" t="inlineStr"/>
      <c r="W1915" t="inlineStr">
        <is>
          <t>Nej</t>
        </is>
      </c>
      <c r="X1915" t="inlineStr">
        <is>
          <t>Nej</t>
        </is>
      </c>
      <c r="Y1915" t="inlineStr">
        <is>
          <t>Ja</t>
        </is>
      </c>
      <c r="Z1915" t="inlineStr">
        <is>
          <t>Nej</t>
        </is>
      </c>
      <c r="AA1915" t="n">
        <v>7</v>
      </c>
      <c r="AB1915" t="inlineStr">
        <is>
          <t>Egenkontrollrutiner</t>
        </is>
      </c>
      <c r="AC1915" t="inlineStr">
        <is>
          <t>Egenkontrollprogram</t>
        </is>
      </c>
      <c r="AD1915" t="inlineStr">
        <is>
          <t>Nej</t>
        </is>
      </c>
      <c r="AE1915" t="inlineStr">
        <is>
          <t>Nej</t>
        </is>
      </c>
      <c r="AF1915" t="inlineStr">
        <is>
          <t>Ej behandlad</t>
        </is>
      </c>
      <c r="AG1915" t="inlineStr">
        <is>
          <t>AUTO_GENERERAD. Verifiera citat mot kallfil.</t>
        </is>
      </c>
      <c r="AH1915" t="inlineStr">
        <is>
          <t>MEDIUM</t>
        </is>
      </c>
      <c r="AI1915" t="inlineStr">
        <is>
          <t>AUTO</t>
        </is>
      </c>
      <c r="AJ1915" t="inlineStr">
        <is>
          <t>Nej</t>
        </is>
      </c>
      <c r="AK1915" t="inlineStr"/>
      <c r="AL1915" t="inlineStr"/>
      <c r="AM1915" t="inlineStr"/>
      <c r="AN1915" t="inlineStr"/>
      <c r="AO1915" t="inlineStr">
        <is>
          <t>cmm4yunr000ykcuqwr4euonza</t>
        </is>
      </c>
      <c r="AP1915" t="inlineStr">
        <is>
          <t>http://localhost:8787/api/admin/requirements/documents/cmm4yunr000ykcuqwr4euonza/view</t>
        </is>
      </c>
      <c r="AQ1915">
        <f>HYPERLÄNK("http://localhost:8787/api/admin/requirements/documents/cmm4yunr000ykcuqwr4euonza/view";"Öppna PDF")</f>
        <v/>
      </c>
      <c r="AR1915">
        <f>HYPERLINK("http://localhost:8787/api/admin/requirements/documents/cmm4yunr000ykcuqwr4euonza/view","Open PDF")</f>
        <v/>
      </c>
      <c r="AS1915" t="inlineStr">
        <is>
          <t>cmm55w57p0004cuisfrtpqly8</t>
        </is>
      </c>
      <c r="AT1915" t="inlineStr">
        <is>
          <t>cmm4xvu980000cuh4vj0usz09</t>
        </is>
      </c>
      <c r="AU1915" t="inlineStr">
        <is>
          <t>re</t>
        </is>
      </c>
      <c r="AV1915" t="inlineStr">
        <is>
          <t>Kommun</t>
        </is>
      </c>
      <c r="AW1915" t="inlineStr">
        <is>
          <t>re kommun</t>
        </is>
      </c>
      <c r="AX1915" t="inlineStr">
        <is>
          <t>2026-02</t>
        </is>
      </c>
      <c r="AY1915" t="inlineStr">
        <is>
          <t>Beslut</t>
        </is>
      </c>
      <c r="AZ1915" t="inlineStr">
        <is>
          <t>2026-02-03</t>
        </is>
      </c>
      <c r="BA1915" t="inlineStr">
        <is>
          <t>MIL.2025.629.pdf</t>
        </is>
      </c>
      <c r="BB1915" t="inlineStr">
        <is>
          <t>Sv: till registrator</t>
        </is>
      </c>
      <c r="BC1915" t="inlineStr">
        <is>
          <t>AUTO</t>
        </is>
      </c>
      <c r="BD1915" t="inlineStr"/>
      <c r="BE1915" t="inlineStr"/>
      <c r="BF1915" t="inlineStr">
        <is>
          <t>AUTO_GENERERAD. Bekrafta metadata mot kallfil.</t>
        </is>
      </c>
      <c r="BG1915">
        <f>HYPERLINK("C:\Users\jimmy\Desktop\Examens arbete\Kod\Ny mapp\remix_-copy-of-miljöbeslut.se-portal\MIL.2025.629.pdf", "Öppna PDF")</f>
        <v/>
      </c>
    </row>
    <row r="1916">
      <c r="A1916" t="inlineStr">
        <is>
          <t>KRAV-AUTO-001915</t>
        </is>
      </c>
      <c r="B1916" t="inlineStr">
        <is>
          <t>ADMIN-INDEX-2026-02-27-00000000125C043F57453246863FE664CAFE6A3F0700950291EA24F0614FB6ACEDB12BF0E31D00000000010C0000950291EA24F0614FB6ACEDB12BF0E31D00002087AF0C0000</t>
        </is>
      </c>
      <c r="C1916" t="inlineStr">
        <is>
          <t>cmm4yunqx00yhcuqwjxq5ifop</t>
        </is>
      </c>
      <c r="D1916" t="inlineStr">
        <is>
          <t>http://localhost:8787/api/admin/requirements/documents/cmm4yunqx00yhcuqwjxq5ifop/view</t>
        </is>
      </c>
      <c r="E1916">
        <f>HYPERLÄNK("http://localhost:8787/api/admin/requirements/documents/cmm4yunqx00yhcuqwjxq5ifop/view";"Öppna PDF")</f>
        <v/>
      </c>
      <c r="F1916">
        <f>HYPERLINK("http://localhost:8787/api/admin/requirements/documents/cmm4yunqx00yhcuqwjxq5ifop/view","Open PDF")</f>
        <v/>
      </c>
      <c r="G1916" t="inlineStr">
        <is>
          <t>cmm55w57p0004cuisfrtpqly8</t>
        </is>
      </c>
      <c r="H1916" t="inlineStr">
        <is>
          <t>Beslutsvillkor</t>
        </is>
      </c>
      <c r="I1916" t="inlineStr">
        <is>
          <t>LagringsvolymTid</t>
        </is>
      </c>
      <c r="J1916" t="inlineStr">
        <is>
          <t>Maxmangd</t>
        </is>
      </c>
      <c r="K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16" t="inlineStr">
        <is>
          <t>SKA</t>
        </is>
      </c>
      <c r="N1916" t="inlineStr"/>
      <c r="O1916" t="inlineStr"/>
      <c r="P1916" t="inlineStr"/>
      <c r="Q1916" t="inlineStr"/>
      <c r="R1916" t="inlineStr">
        <is>
          <t>Alltid</t>
        </is>
      </c>
      <c r="S1916" t="inlineStr"/>
      <c r="T1916" t="inlineStr"/>
      <c r="U1916" t="inlineStr"/>
      <c r="V1916" t="inlineStr"/>
      <c r="W1916" t="inlineStr">
        <is>
          <t>Nej</t>
        </is>
      </c>
      <c r="X1916" t="inlineStr">
        <is>
          <t>Nej</t>
        </is>
      </c>
      <c r="Y1916" t="inlineStr">
        <is>
          <t>Nej</t>
        </is>
      </c>
      <c r="Z1916" t="inlineStr">
        <is>
          <t>Nej</t>
        </is>
      </c>
      <c r="AA1916" t="n">
        <v>4</v>
      </c>
      <c r="AB1916" t="inlineStr">
        <is>
          <t>Avfallsmangder och lagringstid</t>
        </is>
      </c>
      <c r="AC1916" t="inlineStr">
        <is>
          <t>Avfallsforteckning</t>
        </is>
      </c>
      <c r="AD1916" t="inlineStr">
        <is>
          <t>Nej</t>
        </is>
      </c>
      <c r="AE1916" t="inlineStr">
        <is>
          <t>Nej</t>
        </is>
      </c>
      <c r="AF1916" t="inlineStr">
        <is>
          <t>Ej behandlad</t>
        </is>
      </c>
      <c r="AG1916" t="inlineStr">
        <is>
          <t>AUTO_GENERERAD. Verifiera citat mot kallfil.</t>
        </is>
      </c>
      <c r="AH1916" t="inlineStr">
        <is>
          <t>MEDIUM</t>
        </is>
      </c>
      <c r="AI1916" t="inlineStr">
        <is>
          <t>AUTO</t>
        </is>
      </c>
      <c r="AJ1916" t="inlineStr">
        <is>
          <t>Nej</t>
        </is>
      </c>
      <c r="AK1916" t="inlineStr"/>
      <c r="AL1916" t="inlineStr"/>
      <c r="AM1916" t="inlineStr"/>
      <c r="AN1916" t="inlineStr"/>
      <c r="AO1916" t="inlineStr">
        <is>
          <t>cmm4yunr000ykcuqwr4euonza</t>
        </is>
      </c>
      <c r="AP1916" t="inlineStr">
        <is>
          <t>http://localhost:8787/api/admin/requirements/documents/cmm4yunr000ykcuqwr4euonza/view</t>
        </is>
      </c>
      <c r="AQ1916">
        <f>HYPERLÄNK("http://localhost:8787/api/admin/requirements/documents/cmm4yunr000ykcuqwr4euonza/view";"Öppna PDF")</f>
        <v/>
      </c>
      <c r="AR1916">
        <f>HYPERLINK("http://localhost:8787/api/admin/requirements/documents/cmm4yunr000ykcuqwr4euonza/view","Open PDF")</f>
        <v/>
      </c>
      <c r="AS1916" t="inlineStr">
        <is>
          <t>cmm55w57p0004cuisfrtpqly8</t>
        </is>
      </c>
      <c r="AT1916" t="inlineStr">
        <is>
          <t>cmm4xvu980000cuh4vj0usz09</t>
        </is>
      </c>
      <c r="AU1916" t="inlineStr">
        <is>
          <t>re</t>
        </is>
      </c>
      <c r="AV1916" t="inlineStr">
        <is>
          <t>Kommun</t>
        </is>
      </c>
      <c r="AW1916" t="inlineStr">
        <is>
          <t>re kommun</t>
        </is>
      </c>
      <c r="AX1916" t="inlineStr">
        <is>
          <t>2026-02</t>
        </is>
      </c>
      <c r="AY1916" t="inlineStr">
        <is>
          <t>Beslut</t>
        </is>
      </c>
      <c r="AZ1916" t="inlineStr">
        <is>
          <t>2026-02-03</t>
        </is>
      </c>
      <c r="BA1916" t="inlineStr">
        <is>
          <t>MIL.2025.629.pdf</t>
        </is>
      </c>
      <c r="BB1916" t="inlineStr">
        <is>
          <t>Sv: till registrator</t>
        </is>
      </c>
      <c r="BC1916" t="inlineStr">
        <is>
          <t>AUTO</t>
        </is>
      </c>
      <c r="BD1916" t="inlineStr"/>
      <c r="BE1916" t="inlineStr"/>
      <c r="BF1916" t="inlineStr">
        <is>
          <t>AUTO_GENERERAD. Bekrafta metadata mot kallfil.</t>
        </is>
      </c>
      <c r="BG1916">
        <f>HYPERLINK("C:\Users\jimmy\Desktop\Examens arbete\Kod\Ny mapp\remix_-copy-of-miljöbeslut.se-portal\MIL.2025.629.pdf", "Öppna PDF")</f>
        <v/>
      </c>
    </row>
    <row r="1917">
      <c r="A1917" t="inlineStr">
        <is>
          <t>KRAV-AUTO-001916</t>
        </is>
      </c>
      <c r="B1917" t="inlineStr">
        <is>
          <t>ADMIN-INDEX-2026-02-27-00000000125C043F57453246863FE664CAFE6A3F0700950291EA24F0614FB6ACEDB12BF0E31D00000000010C0000950291EA24F0614FB6ACEDB12BF0E31D00002087AF0C0000</t>
        </is>
      </c>
      <c r="C1917" t="inlineStr">
        <is>
          <t>cmm4yunqt00yecuqwezht4cu8</t>
        </is>
      </c>
      <c r="D1917" t="inlineStr">
        <is>
          <t>http://localhost:8787/api/admin/requirements/documents/cmm4yunqt00yecuqwezht4cu8/view</t>
        </is>
      </c>
      <c r="E1917">
        <f>HYPERLÄNK("http://localhost:8787/api/admin/requirements/documents/cmm4yunqt00yecuqwezht4cu8/view";"Öppna PDF")</f>
        <v/>
      </c>
      <c r="F1917">
        <f>HYPERLINK("http://localhost:8787/api/admin/requirements/documents/cmm4yunqt00yecuqwezht4cu8/view","Open PDF")</f>
        <v/>
      </c>
      <c r="G1917" t="inlineStr">
        <is>
          <t>cmm55w57p0004cuisfrtpqly8</t>
        </is>
      </c>
      <c r="H1917" t="inlineStr">
        <is>
          <t>Beslutsvillkor</t>
        </is>
      </c>
      <c r="I1917" t="inlineStr">
        <is>
          <t>LagringsvolymTid</t>
        </is>
      </c>
      <c r="J1917" t="inlineStr">
        <is>
          <t>Maxmangd</t>
        </is>
      </c>
      <c r="K1917" t="inlineStr">
        <is>
          <t>Bland annat genom att golv och sarg ska uppföras i betong eller motsvarande.</t>
        </is>
      </c>
      <c r="L1917" t="inlineStr">
        <is>
          <t>Bland annat genom att golv och sarg ska uppföras i betong eller motsvarande.</t>
        </is>
      </c>
      <c r="M1917" t="inlineStr">
        <is>
          <t>SKA</t>
        </is>
      </c>
      <c r="N1917" t="inlineStr"/>
      <c r="O1917" t="inlineStr"/>
      <c r="P1917" t="inlineStr"/>
      <c r="Q1917" t="inlineStr"/>
      <c r="R1917" t="inlineStr">
        <is>
          <t>Alltid</t>
        </is>
      </c>
      <c r="S1917" t="inlineStr"/>
      <c r="T1917" t="inlineStr">
        <is>
          <t>992026</t>
        </is>
      </c>
      <c r="U1917" t="inlineStr"/>
      <c r="V1917" t="inlineStr"/>
      <c r="W1917" t="inlineStr">
        <is>
          <t>Nej</t>
        </is>
      </c>
      <c r="X1917" t="inlineStr">
        <is>
          <t>Nej</t>
        </is>
      </c>
      <c r="Y1917" t="inlineStr">
        <is>
          <t>Nej</t>
        </is>
      </c>
      <c r="Z1917" t="inlineStr">
        <is>
          <t>Nej</t>
        </is>
      </c>
      <c r="AA1917" t="n">
        <v>4</v>
      </c>
      <c r="AB1917" t="inlineStr">
        <is>
          <t>Avfallsmangder och lagringstid</t>
        </is>
      </c>
      <c r="AC1917" t="inlineStr">
        <is>
          <t>Avfallsforteckning</t>
        </is>
      </c>
      <c r="AD1917" t="inlineStr">
        <is>
          <t>Nej</t>
        </is>
      </c>
      <c r="AE1917" t="inlineStr">
        <is>
          <t>Nej</t>
        </is>
      </c>
      <c r="AF1917" t="inlineStr">
        <is>
          <t>Ej behandlad</t>
        </is>
      </c>
      <c r="AG1917" t="inlineStr">
        <is>
          <t>AUTO_GENERERAD. Verifiera citat mot kallfil.</t>
        </is>
      </c>
      <c r="AH1917" t="inlineStr">
        <is>
          <t>MEDIUM</t>
        </is>
      </c>
      <c r="AI1917" t="inlineStr">
        <is>
          <t>AUTO</t>
        </is>
      </c>
      <c r="AJ1917" t="inlineStr">
        <is>
          <t>Nej</t>
        </is>
      </c>
      <c r="AK1917" t="inlineStr"/>
      <c r="AL1917" t="inlineStr"/>
      <c r="AM1917" t="inlineStr"/>
      <c r="AN1917" t="inlineStr"/>
      <c r="AO1917" t="inlineStr">
        <is>
          <t>cmm4yunr000ykcuqwr4euonza</t>
        </is>
      </c>
      <c r="AP1917" t="inlineStr">
        <is>
          <t>http://localhost:8787/api/admin/requirements/documents/cmm4yunr000ykcuqwr4euonza/view</t>
        </is>
      </c>
      <c r="AQ1917">
        <f>HYPERLÄNK("http://localhost:8787/api/admin/requirements/documents/cmm4yunr000ykcuqwr4euonza/view";"Öppna PDF")</f>
        <v/>
      </c>
      <c r="AR1917">
        <f>HYPERLINK("http://localhost:8787/api/admin/requirements/documents/cmm4yunr000ykcuqwr4euonza/view","Open PDF")</f>
        <v/>
      </c>
      <c r="AS1917" t="inlineStr">
        <is>
          <t>cmm55w57p0004cuisfrtpqly8</t>
        </is>
      </c>
      <c r="AT1917" t="inlineStr">
        <is>
          <t>cmm4xvu980000cuh4vj0usz09</t>
        </is>
      </c>
      <c r="AU1917" t="inlineStr">
        <is>
          <t>re</t>
        </is>
      </c>
      <c r="AV1917" t="inlineStr">
        <is>
          <t>Kommun</t>
        </is>
      </c>
      <c r="AW1917" t="inlineStr">
        <is>
          <t>re kommun</t>
        </is>
      </c>
      <c r="AX1917" t="inlineStr">
        <is>
          <t>2026-02</t>
        </is>
      </c>
      <c r="AY1917" t="inlineStr">
        <is>
          <t>Beslut</t>
        </is>
      </c>
      <c r="AZ1917" t="inlineStr">
        <is>
          <t>2026-02-03</t>
        </is>
      </c>
      <c r="BA1917" t="inlineStr">
        <is>
          <t>MIL.2025.629.pdf</t>
        </is>
      </c>
      <c r="BB1917" t="inlineStr">
        <is>
          <t>Sv: till registrator</t>
        </is>
      </c>
      <c r="BC1917" t="inlineStr">
        <is>
          <t>AUTO</t>
        </is>
      </c>
      <c r="BD1917" t="inlineStr"/>
      <c r="BE1917" t="inlineStr"/>
      <c r="BF1917" t="inlineStr">
        <is>
          <t>AUTO_GENERERAD. Bekrafta metadata mot kallfil.</t>
        </is>
      </c>
      <c r="BG1917">
        <f>HYPERLINK("C:\Users\jimmy\Desktop\Examens arbete\Kod\Ny mapp\remix_-copy-of-miljöbeslut.se-portal\MIL.2025.629.pdf", "Öppna PDF")</f>
        <v/>
      </c>
    </row>
    <row r="1918">
      <c r="A1918" t="inlineStr">
        <is>
          <t>KRAV-AUTO-001917</t>
        </is>
      </c>
      <c r="B1918" t="inlineStr">
        <is>
          <t>ADMIN-INDEX-2026-02-27-00000000125C043F57453246863FE664CAFE6A3F0700950291EA24F0614FB6ACEDB12BF0E31D00000000010C0000950291EA24F0614FB6ACEDB12BF0E31D00002087AF0C0000</t>
        </is>
      </c>
      <c r="C1918" t="inlineStr">
        <is>
          <t>cmm4yunqt00yecuqwezht4cu8</t>
        </is>
      </c>
      <c r="D1918" t="inlineStr">
        <is>
          <t>http://localhost:8787/api/admin/requirements/documents/cmm4yunqt00yecuqwezht4cu8/view</t>
        </is>
      </c>
      <c r="E1918">
        <f>HYPERLÄNK("http://localhost:8787/api/admin/requirements/documents/cmm4yunqt00yecuqwezht4cu8/view";"Öppna PDF")</f>
        <v/>
      </c>
      <c r="F1918">
        <f>HYPERLINK("http://localhost:8787/api/admin/requirements/documents/cmm4yunqt00yecuqwezht4cu8/view","Open PDF")</f>
        <v/>
      </c>
      <c r="G1918" t="inlineStr">
        <is>
          <t>cmm55w57p0004cuisfrtpqly8</t>
        </is>
      </c>
      <c r="H1918" t="inlineStr">
        <is>
          <t>Beslutsvillkor</t>
        </is>
      </c>
      <c r="I1918" t="inlineStr">
        <is>
          <t>Riskhantering</t>
        </is>
      </c>
      <c r="J1918" t="inlineStr">
        <is>
          <t>Riskkontroll</t>
        </is>
      </c>
      <c r="K1918" t="inlineStr">
        <is>
          <t>Verksamheten har vid tidigare möte 2022-11-30 redovisat muntligen att omlastningen av hushållssopor på Järpen 9:164 ska ske utan risk för olägenhet gällande miljö och hälsa.</t>
        </is>
      </c>
      <c r="L1918" t="inlineStr">
        <is>
          <t>Verksamheten har vid tidigare möte 2022-11-30 redovisat muntligen att omlastningen av hushållssopor på Järpen 9:164 ska ske utan risk för olägenhet gällande miljö och hälsa.</t>
        </is>
      </c>
      <c r="M1918" t="inlineStr">
        <is>
          <t>SKA</t>
        </is>
      </c>
      <c r="N1918" t="inlineStr"/>
      <c r="O1918" t="inlineStr">
        <is>
          <t>2022-11-30</t>
        </is>
      </c>
      <c r="P1918" t="inlineStr"/>
      <c r="Q1918" t="inlineStr"/>
      <c r="R1918" t="inlineStr">
        <is>
          <t>Vid risk for incident</t>
        </is>
      </c>
      <c r="S1918" t="inlineStr"/>
      <c r="T1918" t="inlineStr">
        <is>
          <t>992026</t>
        </is>
      </c>
      <c r="U1918" t="inlineStr"/>
      <c r="V1918" t="inlineStr"/>
      <c r="W1918" t="inlineStr">
        <is>
          <t>Nej</t>
        </is>
      </c>
      <c r="X1918" t="inlineStr">
        <is>
          <t>Nej</t>
        </is>
      </c>
      <c r="Y1918" t="inlineStr">
        <is>
          <t>Ja</t>
        </is>
      </c>
      <c r="Z1918" t="inlineStr">
        <is>
          <t>Ja</t>
        </is>
      </c>
      <c r="AA1918" t="n">
        <v>8</v>
      </c>
      <c r="AB1918" t="inlineStr">
        <is>
          <t>Riskhantering</t>
        </is>
      </c>
      <c r="AC1918" t="inlineStr">
        <is>
          <t>Risk-PM</t>
        </is>
      </c>
      <c r="AD1918" t="inlineStr">
        <is>
          <t>Nej</t>
        </is>
      </c>
      <c r="AE1918" t="inlineStr">
        <is>
          <t>Nej</t>
        </is>
      </c>
      <c r="AF1918" t="inlineStr">
        <is>
          <t>Ej behandlad</t>
        </is>
      </c>
      <c r="AG1918" t="inlineStr">
        <is>
          <t>AUTO_GENERERAD. Verifiera citat mot kallfil.</t>
        </is>
      </c>
      <c r="AH1918" t="inlineStr">
        <is>
          <t>MEDIUM</t>
        </is>
      </c>
      <c r="AI1918" t="inlineStr">
        <is>
          <t>AUTO</t>
        </is>
      </c>
      <c r="AJ1918" t="inlineStr">
        <is>
          <t>Nej</t>
        </is>
      </c>
      <c r="AK1918" t="inlineStr"/>
      <c r="AL1918" t="inlineStr"/>
      <c r="AM1918" t="inlineStr"/>
      <c r="AN1918" t="inlineStr"/>
      <c r="AO1918" t="inlineStr">
        <is>
          <t>cmm4yunr000ykcuqwr4euonza</t>
        </is>
      </c>
      <c r="AP1918" t="inlineStr">
        <is>
          <t>http://localhost:8787/api/admin/requirements/documents/cmm4yunr000ykcuqwr4euonza/view</t>
        </is>
      </c>
      <c r="AQ1918">
        <f>HYPERLÄNK("http://localhost:8787/api/admin/requirements/documents/cmm4yunr000ykcuqwr4euonza/view";"Öppna PDF")</f>
        <v/>
      </c>
      <c r="AR1918">
        <f>HYPERLINK("http://localhost:8787/api/admin/requirements/documents/cmm4yunr000ykcuqwr4euonza/view","Open PDF")</f>
        <v/>
      </c>
      <c r="AS1918" t="inlineStr">
        <is>
          <t>cmm55w57p0004cuisfrtpqly8</t>
        </is>
      </c>
      <c r="AT1918" t="inlineStr">
        <is>
          <t>cmm4xvu980000cuh4vj0usz09</t>
        </is>
      </c>
      <c r="AU1918" t="inlineStr">
        <is>
          <t>re</t>
        </is>
      </c>
      <c r="AV1918" t="inlineStr">
        <is>
          <t>Kommun</t>
        </is>
      </c>
      <c r="AW1918" t="inlineStr">
        <is>
          <t>re kommun</t>
        </is>
      </c>
      <c r="AX1918" t="inlineStr">
        <is>
          <t>2026-02</t>
        </is>
      </c>
      <c r="AY1918" t="inlineStr">
        <is>
          <t>Beslut</t>
        </is>
      </c>
      <c r="AZ1918" t="inlineStr">
        <is>
          <t>2026-02-03</t>
        </is>
      </c>
      <c r="BA1918" t="inlineStr">
        <is>
          <t>MIL.2025.629.pdf</t>
        </is>
      </c>
      <c r="BB1918" t="inlineStr">
        <is>
          <t>Sv: till registrator</t>
        </is>
      </c>
      <c r="BC1918" t="inlineStr">
        <is>
          <t>AUTO</t>
        </is>
      </c>
      <c r="BD1918" t="inlineStr"/>
      <c r="BE1918" t="inlineStr"/>
      <c r="BF1918" t="inlineStr">
        <is>
          <t>AUTO_GENERERAD. Bekrafta metadata mot kallfil.</t>
        </is>
      </c>
      <c r="BG1918">
        <f>HYPERLINK("C:\Users\jimmy\Desktop\Examens arbete\Kod\Ny mapp\remix_-copy-of-miljöbeslut.se-portal\MIL.2025.629.pdf", "Öppna PDF")</f>
        <v/>
      </c>
    </row>
    <row r="1919">
      <c r="A1919" t="inlineStr">
        <is>
          <t>KRAV-AUTO-001918</t>
        </is>
      </c>
      <c r="B1919" t="inlineStr">
        <is>
          <t>ADMIN-INDEX-2026-02-27-00000000125C043F57453246863FE664CAFE6A3F0700950291EA24F0614FB6ACEDB12BF0E31D00000000010C0000950291EA24F0614FB6ACEDB12BF0E31D00002087AF0C0000</t>
        </is>
      </c>
      <c r="C1919" t="inlineStr">
        <is>
          <t>cmm4yunqt00yecuqwezht4cu8</t>
        </is>
      </c>
      <c r="D1919" t="inlineStr">
        <is>
          <t>http://localhost:8787/api/admin/requirements/documents/cmm4yunqt00yecuqwezht4cu8/view</t>
        </is>
      </c>
      <c r="E1919">
        <f>HYPERLÄNK("http://localhost:8787/api/admin/requirements/documents/cmm4yunqt00yecuqwezht4cu8/view";"Öppna PDF")</f>
        <v/>
      </c>
      <c r="F1919">
        <f>HYPERLINK("http://localhost:8787/api/admin/requirements/documents/cmm4yunqt00yecuqwezht4cu8/view","Open PDF")</f>
        <v/>
      </c>
      <c r="G1919" t="inlineStr">
        <is>
          <t>cmm55w57p0004cuisfrtpqly8</t>
        </is>
      </c>
      <c r="H1919" t="inlineStr">
        <is>
          <t>Beslutsvillkor</t>
        </is>
      </c>
      <c r="I1919" t="inlineStr">
        <is>
          <t>Riskhantering</t>
        </is>
      </c>
      <c r="J1919" t="inlineStr">
        <is>
          <t>Riskkontroll</t>
        </is>
      </c>
      <c r="K1919" t="inlineStr">
        <is>
          <t>För att vi inte ska vara oense kring gällande lagstiftning så får ni gärna i förväg mer specifikt presentera tältets utformning samt era arbetssätt m.m, för att minimera risken för ev.</t>
        </is>
      </c>
      <c r="L1919" t="inlineStr">
        <is>
          <t>För att vi inte ska vara oense kring gällande lagstiftning så får ni gärna i förväg mer specifikt presentera tältets utformning samt era arbetssätt m.m, för att minimera risken för ev.</t>
        </is>
      </c>
      <c r="M1919" t="inlineStr">
        <is>
          <t>SKA</t>
        </is>
      </c>
      <c r="N1919" t="inlineStr"/>
      <c r="O1919" t="inlineStr"/>
      <c r="P1919" t="inlineStr"/>
      <c r="Q1919" t="inlineStr"/>
      <c r="R1919" t="inlineStr">
        <is>
          <t>Vid risk for incident</t>
        </is>
      </c>
      <c r="S1919" t="inlineStr"/>
      <c r="T1919" t="inlineStr">
        <is>
          <t>992026</t>
        </is>
      </c>
      <c r="U1919" t="inlineStr"/>
      <c r="V1919" t="inlineStr"/>
      <c r="W1919" t="inlineStr">
        <is>
          <t>Nej</t>
        </is>
      </c>
      <c r="X1919" t="inlineStr">
        <is>
          <t>Nej</t>
        </is>
      </c>
      <c r="Y1919" t="inlineStr">
        <is>
          <t>Ja</t>
        </is>
      </c>
      <c r="Z1919" t="inlineStr">
        <is>
          <t>Ja</t>
        </is>
      </c>
      <c r="AA1919" t="n">
        <v>8</v>
      </c>
      <c r="AB1919" t="inlineStr">
        <is>
          <t>Riskhantering</t>
        </is>
      </c>
      <c r="AC1919" t="inlineStr">
        <is>
          <t>Risk-PM</t>
        </is>
      </c>
      <c r="AD1919" t="inlineStr">
        <is>
          <t>Nej</t>
        </is>
      </c>
      <c r="AE1919" t="inlineStr">
        <is>
          <t>Nej</t>
        </is>
      </c>
      <c r="AF1919" t="inlineStr">
        <is>
          <t>Ej behandlad</t>
        </is>
      </c>
      <c r="AG1919" t="inlineStr">
        <is>
          <t>AUTO_GENERERAD. Verifiera citat mot kallfil.</t>
        </is>
      </c>
      <c r="AH1919" t="inlineStr">
        <is>
          <t>MEDIUM</t>
        </is>
      </c>
      <c r="AI1919" t="inlineStr">
        <is>
          <t>AUTO</t>
        </is>
      </c>
      <c r="AJ1919" t="inlineStr">
        <is>
          <t>Nej</t>
        </is>
      </c>
      <c r="AK1919" t="inlineStr"/>
      <c r="AL1919" t="inlineStr"/>
      <c r="AM1919" t="inlineStr"/>
      <c r="AN1919" t="inlineStr"/>
      <c r="AO1919" t="inlineStr">
        <is>
          <t>cmm4yunr000ykcuqwr4euonza</t>
        </is>
      </c>
      <c r="AP1919" t="inlineStr">
        <is>
          <t>http://localhost:8787/api/admin/requirements/documents/cmm4yunr000ykcuqwr4euonza/view</t>
        </is>
      </c>
      <c r="AQ1919">
        <f>HYPERLÄNK("http://localhost:8787/api/admin/requirements/documents/cmm4yunr000ykcuqwr4euonza/view";"Öppna PDF")</f>
        <v/>
      </c>
      <c r="AR1919">
        <f>HYPERLINK("http://localhost:8787/api/admin/requirements/documents/cmm4yunr000ykcuqwr4euonza/view","Open PDF")</f>
        <v/>
      </c>
      <c r="AS1919" t="inlineStr">
        <is>
          <t>cmm55w57p0004cuisfrtpqly8</t>
        </is>
      </c>
      <c r="AT1919" t="inlineStr">
        <is>
          <t>cmm4xvu980000cuh4vj0usz09</t>
        </is>
      </c>
      <c r="AU1919" t="inlineStr">
        <is>
          <t>re</t>
        </is>
      </c>
      <c r="AV1919" t="inlineStr">
        <is>
          <t>Kommun</t>
        </is>
      </c>
      <c r="AW1919" t="inlineStr">
        <is>
          <t>re kommun</t>
        </is>
      </c>
      <c r="AX1919" t="inlineStr">
        <is>
          <t>2026-02</t>
        </is>
      </c>
      <c r="AY1919" t="inlineStr">
        <is>
          <t>Beslut</t>
        </is>
      </c>
      <c r="AZ1919" t="inlineStr">
        <is>
          <t>2026-02-03</t>
        </is>
      </c>
      <c r="BA1919" t="inlineStr">
        <is>
          <t>MIL.2025.629.pdf</t>
        </is>
      </c>
      <c r="BB1919" t="inlineStr">
        <is>
          <t>Sv: till registrator</t>
        </is>
      </c>
      <c r="BC1919" t="inlineStr">
        <is>
          <t>AUTO</t>
        </is>
      </c>
      <c r="BD1919" t="inlineStr"/>
      <c r="BE1919" t="inlineStr"/>
      <c r="BF1919" t="inlineStr">
        <is>
          <t>AUTO_GENERERAD. Bekrafta metadata mot kallfil.</t>
        </is>
      </c>
      <c r="BG1919">
        <f>HYPERLINK("C:\Users\jimmy\Desktop\Examens arbete\Kod\Ny mapp\remix_-copy-of-miljöbeslut.se-portal\MIL.2025.629.pdf", "Öppna PDF")</f>
        <v/>
      </c>
    </row>
    <row r="1920">
      <c r="A1920" t="inlineStr">
        <is>
          <t>KRAV-AUTO-001919</t>
        </is>
      </c>
      <c r="B1920" t="inlineStr">
        <is>
          <t>ADMIN-INDEX-2026-02-27-00000000125C043F57453246863FE664CAFE6A3F0700950291EA24F0614FB6ACEDB12BF0E31D00000000010C0000950291EA24F0614FB6ACEDB12BF0E31D00002087AF110000</t>
        </is>
      </c>
      <c r="C1920" t="inlineStr">
        <is>
          <t>cmm4yunqr00ybcuqwkt0vyb2o</t>
        </is>
      </c>
      <c r="D1920" t="inlineStr">
        <is>
          <t>http://localhost:8787/api/admin/requirements/documents/cmm4yunqr00ybcuqwkt0vyb2o/view</t>
        </is>
      </c>
      <c r="E1920">
        <f>HYPERLÄNK("http://localhost:8787/api/admin/requirements/documents/cmm4yunqr00ybcuqwkt0vyb2o/view";"Öppna PDF")</f>
        <v/>
      </c>
      <c r="F1920">
        <f>HYPERLINK("http://localhost:8787/api/admin/requirements/documents/cmm4yunqr00ybcuqwkt0vyb2o/view","Open PDF")</f>
        <v/>
      </c>
      <c r="G1920" t="inlineStr">
        <is>
          <t>cmm55w57p0004cuisfrtpqly8</t>
        </is>
      </c>
      <c r="H1920" t="inlineStr">
        <is>
          <t>Beslutsvillkor</t>
        </is>
      </c>
      <c r="I1920" t="inlineStr">
        <is>
          <t>Riskhantering</t>
        </is>
      </c>
      <c r="J1920" t="inlineStr">
        <is>
          <t>Riskkontroll</t>
        </is>
      </c>
      <c r="K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20" t="inlineStr">
        <is>
          <t>KAN</t>
        </is>
      </c>
      <c r="N1920" t="inlineStr"/>
      <c r="O1920" t="inlineStr"/>
      <c r="P1920" t="inlineStr"/>
      <c r="Q1920" t="inlineStr"/>
      <c r="R1920" t="inlineStr">
        <is>
          <t>Vid risk for incident</t>
        </is>
      </c>
      <c r="S1920" t="inlineStr"/>
      <c r="T1920" t="inlineStr">
        <is>
          <t>212000</t>
        </is>
      </c>
      <c r="U1920" t="inlineStr"/>
      <c r="V1920" t="inlineStr"/>
      <c r="W1920" t="inlineStr">
        <is>
          <t>Nej</t>
        </is>
      </c>
      <c r="X1920" t="inlineStr">
        <is>
          <t>Nej</t>
        </is>
      </c>
      <c r="Y1920" t="inlineStr">
        <is>
          <t>Ja</t>
        </is>
      </c>
      <c r="Z1920" t="inlineStr">
        <is>
          <t>Ja</t>
        </is>
      </c>
      <c r="AA1920" t="n">
        <v>8</v>
      </c>
      <c r="AB1920" t="inlineStr">
        <is>
          <t>Riskhantering</t>
        </is>
      </c>
      <c r="AC1920" t="inlineStr">
        <is>
          <t>Risk-PM</t>
        </is>
      </c>
      <c r="AD1920" t="inlineStr">
        <is>
          <t>Nej</t>
        </is>
      </c>
      <c r="AE1920" t="inlineStr">
        <is>
          <t>Nej</t>
        </is>
      </c>
      <c r="AF1920" t="inlineStr">
        <is>
          <t>Ej behandlad</t>
        </is>
      </c>
      <c r="AG1920" t="inlineStr">
        <is>
          <t>AUTO_GENERERAD. Verifiera citat mot kallfil.</t>
        </is>
      </c>
      <c r="AH1920" t="inlineStr">
        <is>
          <t>MEDIUM</t>
        </is>
      </c>
      <c r="AI1920" t="inlineStr">
        <is>
          <t>AUTO</t>
        </is>
      </c>
      <c r="AJ1920" t="inlineStr">
        <is>
          <t>Nej</t>
        </is>
      </c>
      <c r="AK1920" t="inlineStr"/>
      <c r="AL1920" t="inlineStr"/>
      <c r="AM1920" t="inlineStr"/>
      <c r="AN1920" t="inlineStr"/>
      <c r="AO1920" t="inlineStr">
        <is>
          <t>cmm4yunqr00ybcuqwkt0vyb2o</t>
        </is>
      </c>
      <c r="AP1920" t="inlineStr">
        <is>
          <t>http://localhost:8787/api/admin/requirements/documents/cmm4yunqr00ybcuqwkt0vyb2o/view</t>
        </is>
      </c>
      <c r="AQ1920">
        <f>HYPERLÄNK("http://localhost:8787/api/admin/requirements/documents/cmm4yunqr00ybcuqwkt0vyb2o/view";"Öppna PDF")</f>
        <v/>
      </c>
      <c r="AR1920">
        <f>HYPERLINK("http://localhost:8787/api/admin/requirements/documents/cmm4yunqr00ybcuqwkt0vyb2o/view","Open PDF")</f>
        <v/>
      </c>
      <c r="AS1920" t="inlineStr">
        <is>
          <t>cmm55w57p0004cuisfrtpqly8</t>
        </is>
      </c>
      <c r="AT1920" t="inlineStr">
        <is>
          <t>cmm4xvu980000cuh4vj0usz09</t>
        </is>
      </c>
      <c r="AU1920" t="inlineStr">
        <is>
          <t>Filipstads</t>
        </is>
      </c>
      <c r="AV1920" t="inlineStr">
        <is>
          <t>Kommun</t>
        </is>
      </c>
      <c r="AW1920" t="inlineStr">
        <is>
          <t>Filipstads kommun</t>
        </is>
      </c>
      <c r="AX1920" t="inlineStr">
        <is>
          <t>2025-235</t>
        </is>
      </c>
      <c r="AY1920" t="inlineStr">
        <is>
          <t>Beslut</t>
        </is>
      </c>
      <c r="AZ1920" t="inlineStr">
        <is>
          <t>2026-02-03</t>
        </is>
      </c>
      <c r="BA1920" t="inlineStr">
        <is>
          <t>Beslut Mossen.pdf</t>
        </is>
      </c>
      <c r="BB1920" t="inlineStr">
        <is>
          <t>till registrator</t>
        </is>
      </c>
      <c r="BC1920" t="inlineStr">
        <is>
          <t>AUTO</t>
        </is>
      </c>
      <c r="BD1920" t="inlineStr"/>
      <c r="BE1920" t="inlineStr"/>
      <c r="BF1920" t="inlineStr">
        <is>
          <t>AUTO_GENERERAD. Bekrafta metadata mot kallfil.</t>
        </is>
      </c>
      <c r="BG1920">
        <f>HYPERLINK("C:\Users\jimmy\Desktop\Examens arbete\Kod\Ny mapp\remix_-copy-of-miljöbeslut.se-portal\Beslut Mossen.pdf", "Öppna PDF")</f>
        <v/>
      </c>
    </row>
    <row r="1921">
      <c r="A1921" t="inlineStr">
        <is>
          <t>KRAV-AUTO-001920</t>
        </is>
      </c>
      <c r="B1921" t="inlineStr">
        <is>
          <t>ADMIN-INDEX-2026-02-27-00000000125C043F57453246863FE664CAFE6A3F0700950291EA24F0614FB6ACEDB12BF0E31D00000000010C0000950291EA24F0614FB6ACEDB12BF0E31D00002087AF110000</t>
        </is>
      </c>
      <c r="C1921" t="inlineStr">
        <is>
          <t>cmm4yunqr00ybcuqwkt0vyb2o</t>
        </is>
      </c>
      <c r="D1921" t="inlineStr">
        <is>
          <t>http://localhost:8787/api/admin/requirements/documents/cmm4yunqr00ybcuqwkt0vyb2o/view</t>
        </is>
      </c>
      <c r="E1921">
        <f>HYPERLÄNK("http://localhost:8787/api/admin/requirements/documents/cmm4yunqr00ybcuqwkt0vyb2o/view";"Öppna PDF")</f>
        <v/>
      </c>
      <c r="F1921">
        <f>HYPERLINK("http://localhost:8787/api/admin/requirements/documents/cmm4yunqr00ybcuqwkt0vyb2o/view","Open PDF")</f>
        <v/>
      </c>
      <c r="G1921" t="inlineStr">
        <is>
          <t>cmm55w57p0004cuisfrtpqly8</t>
        </is>
      </c>
      <c r="H1921" t="inlineStr">
        <is>
          <t>Beslutsvillkor</t>
        </is>
      </c>
      <c r="I1921" t="inlineStr">
        <is>
          <t>LagringsvolymTid</t>
        </is>
      </c>
      <c r="J1921" t="inlineStr">
        <is>
          <t>Maxmangd</t>
        </is>
      </c>
      <c r="K1921" t="inlineStr">
        <is>
          <t>Dokumentation över mängd, ursprung, analysresultat och användningsplats ska sparas och kunna uppvisas vid tillsyn.</t>
        </is>
      </c>
      <c r="L1921" t="inlineStr">
        <is>
          <t>Dokumentation över mängd, ursprung, analysresultat och användningsplats ska sparas och kunna uppvisas vid tillsyn.</t>
        </is>
      </c>
      <c r="M1921" t="inlineStr">
        <is>
          <t>SKA</t>
        </is>
      </c>
      <c r="N1921" t="inlineStr"/>
      <c r="O1921" t="inlineStr"/>
      <c r="P1921" t="inlineStr"/>
      <c r="Q1921" t="inlineStr"/>
      <c r="R1921" t="inlineStr">
        <is>
          <t>Alltid</t>
        </is>
      </c>
      <c r="S1921" t="inlineStr"/>
      <c r="T1921" t="inlineStr">
        <is>
          <t>212000</t>
        </is>
      </c>
      <c r="U1921" t="inlineStr"/>
      <c r="V1921" t="inlineStr"/>
      <c r="W1921" t="inlineStr">
        <is>
          <t>Nej</t>
        </is>
      </c>
      <c r="X1921" t="inlineStr">
        <is>
          <t>Nej</t>
        </is>
      </c>
      <c r="Y1921" t="inlineStr">
        <is>
          <t>Nej</t>
        </is>
      </c>
      <c r="Z1921" t="inlineStr">
        <is>
          <t>Nej</t>
        </is>
      </c>
      <c r="AA1921" t="n">
        <v>4</v>
      </c>
      <c r="AB1921" t="inlineStr">
        <is>
          <t>Avfallsmangder och lagringstid</t>
        </is>
      </c>
      <c r="AC1921" t="inlineStr">
        <is>
          <t>Avfallsforteckning</t>
        </is>
      </c>
      <c r="AD1921" t="inlineStr">
        <is>
          <t>Nej</t>
        </is>
      </c>
      <c r="AE1921" t="inlineStr">
        <is>
          <t>Nej</t>
        </is>
      </c>
      <c r="AF1921" t="inlineStr">
        <is>
          <t>Ej behandlad</t>
        </is>
      </c>
      <c r="AG1921" t="inlineStr">
        <is>
          <t>AUTO_GENERERAD. Verifiera citat mot kallfil.</t>
        </is>
      </c>
      <c r="AH1921" t="inlineStr">
        <is>
          <t>MEDIUM</t>
        </is>
      </c>
      <c r="AI1921" t="inlineStr">
        <is>
          <t>AUTO</t>
        </is>
      </c>
      <c r="AJ1921" t="inlineStr">
        <is>
          <t>Nej</t>
        </is>
      </c>
      <c r="AK1921" t="inlineStr"/>
      <c r="AL1921" t="inlineStr"/>
      <c r="AM1921" t="inlineStr"/>
      <c r="AN1921" t="inlineStr"/>
      <c r="AO1921" t="inlineStr">
        <is>
          <t>cmm4yunqr00ybcuqwkt0vyb2o</t>
        </is>
      </c>
      <c r="AP1921" t="inlineStr">
        <is>
          <t>http://localhost:8787/api/admin/requirements/documents/cmm4yunqr00ybcuqwkt0vyb2o/view</t>
        </is>
      </c>
      <c r="AQ1921">
        <f>HYPERLÄNK("http://localhost:8787/api/admin/requirements/documents/cmm4yunqr00ybcuqwkt0vyb2o/view";"Öppna PDF")</f>
        <v/>
      </c>
      <c r="AR1921">
        <f>HYPERLINK("http://localhost:8787/api/admin/requirements/documents/cmm4yunqr00ybcuqwkt0vyb2o/view","Open PDF")</f>
        <v/>
      </c>
      <c r="AS1921" t="inlineStr">
        <is>
          <t>cmm55w57p0004cuisfrtpqly8</t>
        </is>
      </c>
      <c r="AT1921" t="inlineStr">
        <is>
          <t>cmm4xvu980000cuh4vj0usz09</t>
        </is>
      </c>
      <c r="AU1921" t="inlineStr">
        <is>
          <t>Filipstads</t>
        </is>
      </c>
      <c r="AV1921" t="inlineStr">
        <is>
          <t>Kommun</t>
        </is>
      </c>
      <c r="AW1921" t="inlineStr">
        <is>
          <t>Filipstads kommun</t>
        </is>
      </c>
      <c r="AX1921" t="inlineStr">
        <is>
          <t>2025-235</t>
        </is>
      </c>
      <c r="AY1921" t="inlineStr">
        <is>
          <t>Beslut</t>
        </is>
      </c>
      <c r="AZ1921" t="inlineStr">
        <is>
          <t>2026-02-03</t>
        </is>
      </c>
      <c r="BA1921" t="inlineStr">
        <is>
          <t>Beslut Mossen.pdf</t>
        </is>
      </c>
      <c r="BB1921" t="inlineStr">
        <is>
          <t>till registrator</t>
        </is>
      </c>
      <c r="BC1921" t="inlineStr">
        <is>
          <t>AUTO</t>
        </is>
      </c>
      <c r="BD1921" t="inlineStr"/>
      <c r="BE1921" t="inlineStr"/>
      <c r="BF1921" t="inlineStr">
        <is>
          <t>AUTO_GENERERAD. Bekrafta metadata mot kallfil.</t>
        </is>
      </c>
      <c r="BG1921">
        <f>HYPERLINK("C:\Users\jimmy\Desktop\Examens arbete\Kod\Ny mapp\remix_-copy-of-miljöbeslut.se-portal\Beslut Mossen.pdf", "Öppna PDF")</f>
        <v/>
      </c>
    </row>
    <row r="1922">
      <c r="A1922" t="inlineStr">
        <is>
          <t>KRAV-AUTO-001921</t>
        </is>
      </c>
      <c r="B1922" t="inlineStr">
        <is>
          <t>ADMIN-INDEX-2026-02-27-00000000125C043F57453246863FE664CAFE6A3F0700950291EA24F0614FB6ACEDB12BF0E31D00000000010C0000950291EA24F0614FB6ACEDB12BF0E31D00002087AF110000</t>
        </is>
      </c>
      <c r="C1922" t="inlineStr">
        <is>
          <t>cmm4yunqr00ybcuqwkt0vyb2o</t>
        </is>
      </c>
      <c r="D1922" t="inlineStr">
        <is>
          <t>http://localhost:8787/api/admin/requirements/documents/cmm4yunqr00ybcuqwkt0vyb2o/view</t>
        </is>
      </c>
      <c r="E1922">
        <f>HYPERLÄNK("http://localhost:8787/api/admin/requirements/documents/cmm4yunqr00ybcuqwkt0vyb2o/view";"Öppna PDF")</f>
        <v/>
      </c>
      <c r="F1922">
        <f>HYPERLINK("http://localhost:8787/api/admin/requirements/documents/cmm4yunqr00ybcuqwkt0vyb2o/view","Open PDF")</f>
        <v/>
      </c>
      <c r="G1922" t="inlineStr">
        <is>
          <t>cmm55w57p0004cuisfrtpqly8</t>
        </is>
      </c>
      <c r="H1922" t="inlineStr">
        <is>
          <t>Beslutsvillkor</t>
        </is>
      </c>
      <c r="I1922" t="inlineStr">
        <is>
          <t>LagringsvolymTid</t>
        </is>
      </c>
      <c r="J1922" t="inlineStr">
        <is>
          <t>Maxmangd</t>
        </is>
      </c>
      <c r="K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L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M1922" t="inlineStr">
        <is>
          <t>SKA</t>
        </is>
      </c>
      <c r="N1922" t="inlineStr"/>
      <c r="O1922" t="inlineStr"/>
      <c r="P1922" t="inlineStr"/>
      <c r="Q1922" t="inlineStr"/>
      <c r="R1922" t="inlineStr">
        <is>
          <t>Alltid</t>
        </is>
      </c>
      <c r="S1922" t="inlineStr"/>
      <c r="T1922" t="inlineStr">
        <is>
          <t>212000</t>
        </is>
      </c>
      <c r="U1922" t="n">
        <v>600</v>
      </c>
      <c r="V1922" t="inlineStr"/>
      <c r="W1922" t="inlineStr">
        <is>
          <t>Nej</t>
        </is>
      </c>
      <c r="X1922" t="inlineStr">
        <is>
          <t>Nej</t>
        </is>
      </c>
      <c r="Y1922" t="inlineStr">
        <is>
          <t>Nej</t>
        </is>
      </c>
      <c r="Z1922" t="inlineStr">
        <is>
          <t>Nej</t>
        </is>
      </c>
      <c r="AA1922" t="n">
        <v>4</v>
      </c>
      <c r="AB1922" t="inlineStr">
        <is>
          <t>Avfallsmangder och lagringstid</t>
        </is>
      </c>
      <c r="AC1922" t="inlineStr">
        <is>
          <t>Avfallsforteckning</t>
        </is>
      </c>
      <c r="AD1922" t="inlineStr">
        <is>
          <t>Nej</t>
        </is>
      </c>
      <c r="AE1922" t="inlineStr">
        <is>
          <t>Nej</t>
        </is>
      </c>
      <c r="AF1922" t="inlineStr">
        <is>
          <t>Ej behandlad</t>
        </is>
      </c>
      <c r="AG1922" t="inlineStr">
        <is>
          <t>AUTO_GENERERAD. Verifiera citat mot kallfil.</t>
        </is>
      </c>
      <c r="AH1922" t="inlineStr">
        <is>
          <t>MEDIUM</t>
        </is>
      </c>
      <c r="AI1922" t="inlineStr">
        <is>
          <t>AUTO</t>
        </is>
      </c>
      <c r="AJ1922" t="inlineStr">
        <is>
          <t>Nej</t>
        </is>
      </c>
      <c r="AK1922" t="inlineStr"/>
      <c r="AL1922" t="inlineStr"/>
      <c r="AM1922" t="inlineStr"/>
      <c r="AN1922" t="inlineStr"/>
      <c r="AO1922" t="inlineStr">
        <is>
          <t>cmm4yunqr00ybcuqwkt0vyb2o</t>
        </is>
      </c>
      <c r="AP1922" t="inlineStr">
        <is>
          <t>http://localhost:8787/api/admin/requirements/documents/cmm4yunqr00ybcuqwkt0vyb2o/view</t>
        </is>
      </c>
      <c r="AQ1922">
        <f>HYPERLÄNK("http://localhost:8787/api/admin/requirements/documents/cmm4yunqr00ybcuqwkt0vyb2o/view";"Öppna PDF")</f>
        <v/>
      </c>
      <c r="AR1922">
        <f>HYPERLINK("http://localhost:8787/api/admin/requirements/documents/cmm4yunqr00ybcuqwkt0vyb2o/view","Open PDF")</f>
        <v/>
      </c>
      <c r="AS1922" t="inlineStr">
        <is>
          <t>cmm55w57p0004cuisfrtpqly8</t>
        </is>
      </c>
      <c r="AT1922" t="inlineStr">
        <is>
          <t>cmm4xvu980000cuh4vj0usz09</t>
        </is>
      </c>
      <c r="AU1922" t="inlineStr">
        <is>
          <t>Filipstads</t>
        </is>
      </c>
      <c r="AV1922" t="inlineStr">
        <is>
          <t>Kommun</t>
        </is>
      </c>
      <c r="AW1922" t="inlineStr">
        <is>
          <t>Filipstads kommun</t>
        </is>
      </c>
      <c r="AX1922" t="inlineStr">
        <is>
          <t>2025-235</t>
        </is>
      </c>
      <c r="AY1922" t="inlineStr">
        <is>
          <t>Beslut</t>
        </is>
      </c>
      <c r="AZ1922" t="inlineStr">
        <is>
          <t>2026-02-03</t>
        </is>
      </c>
      <c r="BA1922" t="inlineStr">
        <is>
          <t>Beslut Mossen.pdf</t>
        </is>
      </c>
      <c r="BB1922" t="inlineStr">
        <is>
          <t>till registrator</t>
        </is>
      </c>
      <c r="BC1922" t="inlineStr">
        <is>
          <t>AUTO</t>
        </is>
      </c>
      <c r="BD1922" t="inlineStr"/>
      <c r="BE1922" t="inlineStr"/>
      <c r="BF1922" t="inlineStr">
        <is>
          <t>AUTO_GENERERAD. Bekrafta metadata mot kallfil.</t>
        </is>
      </c>
      <c r="BG1922">
        <f>HYPERLINK("C:\Users\jimmy\Desktop\Examens arbete\Kod\Ny mapp\remix_-copy-of-miljöbeslut.se-portal\Beslut Mossen.pdf", "Öppna PDF")</f>
        <v/>
      </c>
    </row>
    <row r="1923">
      <c r="A1923" t="inlineStr">
        <is>
          <t>KRAV-AUTO-001922</t>
        </is>
      </c>
      <c r="B1923" t="inlineStr">
        <is>
          <t>ADMIN-INDEX-2026-02-27-00000000125C043F57453246863FE664CAFE6A3F0700950291EA24F0614FB6ACEDB12BF0E31D00000000010C0000950291EA24F0614FB6ACEDB12BF0E31D00002087AF110000</t>
        </is>
      </c>
      <c r="C1923" t="inlineStr">
        <is>
          <t>cmm4yunql00y5cuqwdsnp5o9x</t>
        </is>
      </c>
      <c r="D1923" t="inlineStr">
        <is>
          <t>http://localhost:8787/api/admin/requirements/documents/cmm4yunql00y5cuqwdsnp5o9x/view</t>
        </is>
      </c>
      <c r="E1923">
        <f>HYPERLÄNK("http://localhost:8787/api/admin/requirements/documents/cmm4yunql00y5cuqwdsnp5o9x/view";"Öppna PDF")</f>
        <v/>
      </c>
      <c r="F1923">
        <f>HYPERLINK("http://localhost:8787/api/admin/requirements/documents/cmm4yunql00y5cuqwdsnp5o9x/view","Open PDF")</f>
        <v/>
      </c>
      <c r="G1923" t="inlineStr">
        <is>
          <t>cmm55w57p0004cuisfrtpqly8</t>
        </is>
      </c>
      <c r="H1923" t="inlineStr">
        <is>
          <t>Kompletteringskrav</t>
        </is>
      </c>
      <c r="I1923" t="inlineStr">
        <is>
          <t>DagvattenLakvatten</t>
        </is>
      </c>
      <c r="J1923" t="inlineStr">
        <is>
          <t>Uppsamling</t>
        </is>
      </c>
      <c r="K1923" t="inlineStr">
        <is>
          <t>Aska som uppstår vid förbränning av hushållsavfall eller tryckimpregnerat trä bör som regel (om inte ytterligare rening genomförs) deponeras eftersom det innehåller förhöjda halter av olika metaller etc.</t>
        </is>
      </c>
      <c r="L1923" t="inlineStr">
        <is>
          <t>Aska som uppstår vid förbränning av hushållsavfall eller tryckimpregnerat trä bör som regel (om inte ytterligare rening genomförs) deponeras eftersom det innehåller förhöjda halter av olika metaller etc.</t>
        </is>
      </c>
      <c r="M1923" t="inlineStr">
        <is>
          <t>SKA</t>
        </is>
      </c>
      <c r="N1923" t="inlineStr"/>
      <c r="O1923" t="inlineStr"/>
      <c r="P1923" t="inlineStr"/>
      <c r="Q1923" t="inlineStr"/>
      <c r="R1923" t="inlineStr">
        <is>
          <t>Vid nederbord och avrinning</t>
        </is>
      </c>
      <c r="S1923" t="inlineStr"/>
      <c r="T1923" t="inlineStr"/>
      <c r="U1923" t="inlineStr"/>
      <c r="V1923" t="inlineStr"/>
      <c r="W1923" t="inlineStr">
        <is>
          <t>Nej</t>
        </is>
      </c>
      <c r="X1923" t="inlineStr">
        <is>
          <t>Ja</t>
        </is>
      </c>
      <c r="Y1923" t="inlineStr">
        <is>
          <t>Ja</t>
        </is>
      </c>
      <c r="Z1923" t="inlineStr">
        <is>
          <t>Nej</t>
        </is>
      </c>
      <c r="AA1923" t="n">
        <v>6</v>
      </c>
      <c r="AB1923" t="inlineStr">
        <is>
          <t>Lakvattenhantering</t>
        </is>
      </c>
      <c r="AC1923" t="inlineStr">
        <is>
          <t>Flodesschema dagvatten-lakvatten</t>
        </is>
      </c>
      <c r="AD1923" t="inlineStr">
        <is>
          <t>Nej</t>
        </is>
      </c>
      <c r="AE1923" t="inlineStr">
        <is>
          <t>Nej</t>
        </is>
      </c>
      <c r="AF1923" t="inlineStr">
        <is>
          <t>Ej behandlad</t>
        </is>
      </c>
      <c r="AG1923" t="inlineStr">
        <is>
          <t>AUTO_GENERERAD. Verifiera citat mot kallfil.</t>
        </is>
      </c>
      <c r="AH1923" t="inlineStr">
        <is>
          <t>MEDIUM</t>
        </is>
      </c>
      <c r="AI1923" t="inlineStr">
        <is>
          <t>AUTO</t>
        </is>
      </c>
      <c r="AJ1923" t="inlineStr">
        <is>
          <t>Nej</t>
        </is>
      </c>
      <c r="AK1923" t="inlineStr"/>
      <c r="AL1923" t="inlineStr"/>
      <c r="AM1923" t="inlineStr"/>
      <c r="AN1923" t="inlineStr"/>
      <c r="AO1923" t="inlineStr">
        <is>
          <t>cmm4yunqr00ybcuqwkt0vyb2o</t>
        </is>
      </c>
      <c r="AP1923" t="inlineStr">
        <is>
          <t>http://localhost:8787/api/admin/requirements/documents/cmm4yunqr00ybcuqwkt0vyb2o/view</t>
        </is>
      </c>
      <c r="AQ1923">
        <f>HYPERLÄNK("http://localhost:8787/api/admin/requirements/documents/cmm4yunqr00ybcuqwkt0vyb2o/view";"Öppna PDF")</f>
        <v/>
      </c>
      <c r="AR1923">
        <f>HYPERLINK("http://localhost:8787/api/admin/requirements/documents/cmm4yunqr00ybcuqwkt0vyb2o/view","Open PDF")</f>
        <v/>
      </c>
      <c r="AS1923" t="inlineStr">
        <is>
          <t>cmm55w57p0004cuisfrtpqly8</t>
        </is>
      </c>
      <c r="AT1923" t="inlineStr">
        <is>
          <t>cmm4xvu980000cuh4vj0usz09</t>
        </is>
      </c>
      <c r="AU1923" t="inlineStr">
        <is>
          <t>Filipstads</t>
        </is>
      </c>
      <c r="AV1923" t="inlineStr">
        <is>
          <t>Kommun</t>
        </is>
      </c>
      <c r="AW1923" t="inlineStr">
        <is>
          <t>Filipstads kommun</t>
        </is>
      </c>
      <c r="AX1923" t="inlineStr">
        <is>
          <t>2025-235</t>
        </is>
      </c>
      <c r="AY1923" t="inlineStr">
        <is>
          <t>Beslut</t>
        </is>
      </c>
      <c r="AZ1923" t="inlineStr">
        <is>
          <t>2026-02-03</t>
        </is>
      </c>
      <c r="BA1923" t="inlineStr">
        <is>
          <t>Beslut Mossen.pdf</t>
        </is>
      </c>
      <c r="BB1923" t="inlineStr">
        <is>
          <t>till registrator</t>
        </is>
      </c>
      <c r="BC1923" t="inlineStr">
        <is>
          <t>AUTO</t>
        </is>
      </c>
      <c r="BD1923" t="inlineStr"/>
      <c r="BE1923" t="inlineStr"/>
      <c r="BF1923" t="inlineStr">
        <is>
          <t>AUTO_GENERERAD. Bekrafta metadata mot kallfil.</t>
        </is>
      </c>
      <c r="BG1923">
        <f>HYPERLINK("C:\Users\jimmy\Desktop\Examens arbete\Kod\Ny mapp\remix_-copy-of-miljöbeslut.se-portal\Beslut Mossen.pdf", "Öppna PDF")</f>
        <v/>
      </c>
    </row>
    <row r="1924">
      <c r="A1924" t="inlineStr">
        <is>
          <t>KRAV-AUTO-001923</t>
        </is>
      </c>
      <c r="B1924" t="inlineStr">
        <is>
          <t>ADMIN-INDEX-2026-02-27-00000000125C043F57453246863FE664CAFE6A3F0700950291EA24F0614FB6ACEDB12BF0E31D00000000010C0000950291EA24F0614FB6ACEDB12BF0E31D00002087AF110000</t>
        </is>
      </c>
      <c r="C1924" t="inlineStr">
        <is>
          <t>cmm4yunql00y5cuqwdsnp5o9x</t>
        </is>
      </c>
      <c r="D1924" t="inlineStr">
        <is>
          <t>http://localhost:8787/api/admin/requirements/documents/cmm4yunql00y5cuqwdsnp5o9x/view</t>
        </is>
      </c>
      <c r="E1924">
        <f>HYPERLÄNK("http://localhost:8787/api/admin/requirements/documents/cmm4yunql00y5cuqwdsnp5o9x/view";"Öppna PDF")</f>
        <v/>
      </c>
      <c r="F1924">
        <f>HYPERLINK("http://localhost:8787/api/admin/requirements/documents/cmm4yunql00y5cuqwdsnp5o9x/view","Open PDF")</f>
        <v/>
      </c>
      <c r="G1924" t="inlineStr">
        <is>
          <t>cmm55w57p0004cuisfrtpqly8</t>
        </is>
      </c>
      <c r="H1924" t="inlineStr">
        <is>
          <t>Kompletteringskrav</t>
        </is>
      </c>
      <c r="I1924" t="inlineStr">
        <is>
          <t>Riskhantering</t>
        </is>
      </c>
      <c r="J1924" t="inlineStr">
        <is>
          <t>Riskkontroll</t>
        </is>
      </c>
      <c r="K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24" t="inlineStr">
        <is>
          <t>SKA</t>
        </is>
      </c>
      <c r="N1924" t="inlineStr"/>
      <c r="O1924" t="inlineStr"/>
      <c r="P1924" t="inlineStr"/>
      <c r="Q1924" t="inlineStr"/>
      <c r="R1924" t="inlineStr">
        <is>
          <t>Vid risk for incident</t>
        </is>
      </c>
      <c r="S1924" t="inlineStr"/>
      <c r="T1924" t="inlineStr"/>
      <c r="U1924" t="inlineStr"/>
      <c r="V1924" t="inlineStr"/>
      <c r="W1924" t="inlineStr">
        <is>
          <t>Nej</t>
        </is>
      </c>
      <c r="X1924" t="inlineStr">
        <is>
          <t>Nej</t>
        </is>
      </c>
      <c r="Y1924" t="inlineStr">
        <is>
          <t>Ja</t>
        </is>
      </c>
      <c r="Z1924" t="inlineStr">
        <is>
          <t>Ja</t>
        </is>
      </c>
      <c r="AA1924" t="n">
        <v>8</v>
      </c>
      <c r="AB1924" t="inlineStr">
        <is>
          <t>Riskhantering</t>
        </is>
      </c>
      <c r="AC1924" t="inlineStr">
        <is>
          <t>Risk-PM</t>
        </is>
      </c>
      <c r="AD1924" t="inlineStr">
        <is>
          <t>Nej</t>
        </is>
      </c>
      <c r="AE1924" t="inlineStr">
        <is>
          <t>Nej</t>
        </is>
      </c>
      <c r="AF1924" t="inlineStr">
        <is>
          <t>Ej behandlad</t>
        </is>
      </c>
      <c r="AG1924" t="inlineStr">
        <is>
          <t>AUTO_GENERERAD. Verifiera citat mot kallfil.</t>
        </is>
      </c>
      <c r="AH1924" t="inlineStr">
        <is>
          <t>MEDIUM</t>
        </is>
      </c>
      <c r="AI1924" t="inlineStr">
        <is>
          <t>AUTO</t>
        </is>
      </c>
      <c r="AJ1924" t="inlineStr">
        <is>
          <t>Nej</t>
        </is>
      </c>
      <c r="AK1924" t="inlineStr"/>
      <c r="AL1924" t="inlineStr"/>
      <c r="AM1924" t="inlineStr"/>
      <c r="AN1924" t="inlineStr"/>
      <c r="AO1924" t="inlineStr">
        <is>
          <t>cmm4yunqr00ybcuqwkt0vyb2o</t>
        </is>
      </c>
      <c r="AP1924" t="inlineStr">
        <is>
          <t>http://localhost:8787/api/admin/requirements/documents/cmm4yunqr00ybcuqwkt0vyb2o/view</t>
        </is>
      </c>
      <c r="AQ1924">
        <f>HYPERLÄNK("http://localhost:8787/api/admin/requirements/documents/cmm4yunqr00ybcuqwkt0vyb2o/view";"Öppna PDF")</f>
        <v/>
      </c>
      <c r="AR1924">
        <f>HYPERLINK("http://localhost:8787/api/admin/requirements/documents/cmm4yunqr00ybcuqwkt0vyb2o/view","Open PDF")</f>
        <v/>
      </c>
      <c r="AS1924" t="inlineStr">
        <is>
          <t>cmm55w57p0004cuisfrtpqly8</t>
        </is>
      </c>
      <c r="AT1924" t="inlineStr">
        <is>
          <t>cmm4xvu980000cuh4vj0usz09</t>
        </is>
      </c>
      <c r="AU1924" t="inlineStr">
        <is>
          <t>Filipstads</t>
        </is>
      </c>
      <c r="AV1924" t="inlineStr">
        <is>
          <t>Kommun</t>
        </is>
      </c>
      <c r="AW1924" t="inlineStr">
        <is>
          <t>Filipstads kommun</t>
        </is>
      </c>
      <c r="AX1924" t="inlineStr">
        <is>
          <t>2025-235</t>
        </is>
      </c>
      <c r="AY1924" t="inlineStr">
        <is>
          <t>Beslut</t>
        </is>
      </c>
      <c r="AZ1924" t="inlineStr">
        <is>
          <t>2026-02-03</t>
        </is>
      </c>
      <c r="BA1924" t="inlineStr">
        <is>
          <t>Beslut Mossen.pdf</t>
        </is>
      </c>
      <c r="BB1924" t="inlineStr">
        <is>
          <t>till registrator</t>
        </is>
      </c>
      <c r="BC1924" t="inlineStr">
        <is>
          <t>AUTO</t>
        </is>
      </c>
      <c r="BD1924" t="inlineStr"/>
      <c r="BE1924" t="inlineStr"/>
      <c r="BF1924" t="inlineStr">
        <is>
          <t>AUTO_GENERERAD. Bekrafta metadata mot kallfil.</t>
        </is>
      </c>
      <c r="BG1924">
        <f>HYPERLINK("C:\Users\jimmy\Desktop\Examens arbete\Kod\Ny mapp\remix_-copy-of-miljöbeslut.se-portal\Beslut Mossen.pdf", "Öppna PDF")</f>
        <v/>
      </c>
    </row>
    <row r="1925">
      <c r="A1925" t="inlineStr">
        <is>
          <t>KRAV-AUTO-001924</t>
        </is>
      </c>
      <c r="B1925" t="inlineStr">
        <is>
          <t>ADMIN-INDEX-2026-02-27-00000000125C043F57453246863FE664CAFE6A3F0700950291EA24F0614FB6ACEDB12BF0E31D00000000010C0000950291EA24F0614FB6ACEDB12BF0E31D00002087AF110000</t>
        </is>
      </c>
      <c r="C1925" t="inlineStr">
        <is>
          <t>cmm4yunql00y5cuqwdsnp5o9x</t>
        </is>
      </c>
      <c r="D1925" t="inlineStr">
        <is>
          <t>http://localhost:8787/api/admin/requirements/documents/cmm4yunql00y5cuqwdsnp5o9x/view</t>
        </is>
      </c>
      <c r="E1925">
        <f>HYPERLÄNK("http://localhost:8787/api/admin/requirements/documents/cmm4yunql00y5cuqwdsnp5o9x/view";"Öppna PDF")</f>
        <v/>
      </c>
      <c r="F1925">
        <f>HYPERLINK("http://localhost:8787/api/admin/requirements/documents/cmm4yunql00y5cuqwdsnp5o9x/view","Open PDF")</f>
        <v/>
      </c>
      <c r="G1925" t="inlineStr">
        <is>
          <t>cmm55w57p0004cuisfrtpqly8</t>
        </is>
      </c>
      <c r="H1925" t="inlineStr">
        <is>
          <t>Kompletteringskrav</t>
        </is>
      </c>
      <c r="I1925" t="inlineStr">
        <is>
          <t>LagringsvolymTid</t>
        </is>
      </c>
      <c r="J1925" t="inlineStr">
        <is>
          <t>Maxmangd</t>
        </is>
      </c>
      <c r="K1925" t="inlineStr">
        <is>
          <t>Solör Bioenergi har ett stort antal anläggningar runt omilandet där aska används för återföring till skogsmark, till askbetong för olika ändamål eller till att sluttäcka deponier.</t>
        </is>
      </c>
      <c r="L1925" t="inlineStr">
        <is>
          <t>Solör Bioenergi har ett stort antal anläggningar runt omilandet där aska används för återföring till skogsmark, till askbetong för olika ändamål eller till att sluttäcka deponier.</t>
        </is>
      </c>
      <c r="M1925" t="inlineStr">
        <is>
          <t>SKA</t>
        </is>
      </c>
      <c r="N1925" t="inlineStr"/>
      <c r="O1925" t="inlineStr"/>
      <c r="P1925" t="inlineStr"/>
      <c r="Q1925" t="inlineStr"/>
      <c r="R1925" t="inlineStr">
        <is>
          <t>Alltid</t>
        </is>
      </c>
      <c r="S1925" t="inlineStr"/>
      <c r="T1925" t="inlineStr"/>
      <c r="U1925" t="inlineStr"/>
      <c r="V1925" t="inlineStr"/>
      <c r="W1925" t="inlineStr">
        <is>
          <t>Nej</t>
        </is>
      </c>
      <c r="X1925" t="inlineStr">
        <is>
          <t>Nej</t>
        </is>
      </c>
      <c r="Y1925" t="inlineStr">
        <is>
          <t>Nej</t>
        </is>
      </c>
      <c r="Z1925" t="inlineStr">
        <is>
          <t>Nej</t>
        </is>
      </c>
      <c r="AA1925" t="n">
        <v>4</v>
      </c>
      <c r="AB1925" t="inlineStr">
        <is>
          <t>Avfallsmangder och lagringstid</t>
        </is>
      </c>
      <c r="AC1925" t="inlineStr">
        <is>
          <t>Avfallsforteckning</t>
        </is>
      </c>
      <c r="AD1925" t="inlineStr">
        <is>
          <t>Nej</t>
        </is>
      </c>
      <c r="AE1925" t="inlineStr">
        <is>
          <t>Nej</t>
        </is>
      </c>
      <c r="AF1925" t="inlineStr">
        <is>
          <t>Ej behandlad</t>
        </is>
      </c>
      <c r="AG1925" t="inlineStr">
        <is>
          <t>AUTO_GENERERAD. Verifiera citat mot kallfil.</t>
        </is>
      </c>
      <c r="AH1925" t="inlineStr">
        <is>
          <t>MEDIUM</t>
        </is>
      </c>
      <c r="AI1925" t="inlineStr">
        <is>
          <t>AUTO</t>
        </is>
      </c>
      <c r="AJ1925" t="inlineStr">
        <is>
          <t>Nej</t>
        </is>
      </c>
      <c r="AK1925" t="inlineStr"/>
      <c r="AL1925" t="inlineStr"/>
      <c r="AM1925" t="inlineStr"/>
      <c r="AN1925" t="inlineStr"/>
      <c r="AO1925" t="inlineStr">
        <is>
          <t>cmm4yunqr00ybcuqwkt0vyb2o</t>
        </is>
      </c>
      <c r="AP1925" t="inlineStr">
        <is>
          <t>http://localhost:8787/api/admin/requirements/documents/cmm4yunqr00ybcuqwkt0vyb2o/view</t>
        </is>
      </c>
      <c r="AQ1925">
        <f>HYPERLÄNK("http://localhost:8787/api/admin/requirements/documents/cmm4yunqr00ybcuqwkt0vyb2o/view";"Öppna PDF")</f>
        <v/>
      </c>
      <c r="AR1925">
        <f>HYPERLINK("http://localhost:8787/api/admin/requirements/documents/cmm4yunqr00ybcuqwkt0vyb2o/view","Open PDF")</f>
        <v/>
      </c>
      <c r="AS1925" t="inlineStr">
        <is>
          <t>cmm55w57p0004cuisfrtpqly8</t>
        </is>
      </c>
      <c r="AT1925" t="inlineStr">
        <is>
          <t>cmm4xvu980000cuh4vj0usz09</t>
        </is>
      </c>
      <c r="AU1925" t="inlineStr">
        <is>
          <t>Filipstads</t>
        </is>
      </c>
      <c r="AV1925" t="inlineStr">
        <is>
          <t>Kommun</t>
        </is>
      </c>
      <c r="AW1925" t="inlineStr">
        <is>
          <t>Filipstads kommun</t>
        </is>
      </c>
      <c r="AX1925" t="inlineStr">
        <is>
          <t>2025-235</t>
        </is>
      </c>
      <c r="AY1925" t="inlineStr">
        <is>
          <t>Beslut</t>
        </is>
      </c>
      <c r="AZ1925" t="inlineStr">
        <is>
          <t>2026-02-03</t>
        </is>
      </c>
      <c r="BA1925" t="inlineStr">
        <is>
          <t>Beslut Mossen.pdf</t>
        </is>
      </c>
      <c r="BB1925" t="inlineStr">
        <is>
          <t>till registrator</t>
        </is>
      </c>
      <c r="BC1925" t="inlineStr">
        <is>
          <t>AUTO</t>
        </is>
      </c>
      <c r="BD1925" t="inlineStr"/>
      <c r="BE1925" t="inlineStr"/>
      <c r="BF1925" t="inlineStr">
        <is>
          <t>AUTO_GENERERAD. Bekrafta metadata mot kallfil.</t>
        </is>
      </c>
      <c r="BG1925">
        <f>HYPERLINK("C:\Users\jimmy\Desktop\Examens arbete\Kod\Ny mapp\remix_-copy-of-miljöbeslut.se-portal\Beslut Mossen.pdf", "Öppna PDF")</f>
        <v/>
      </c>
    </row>
    <row r="1926">
      <c r="A1926" t="inlineStr">
        <is>
          <t>KRAV-AUTO-001925</t>
        </is>
      </c>
      <c r="B1926" t="inlineStr">
        <is>
          <t>ADMIN-INDEX-2026-02-27-00000000125C043F57453246863FE664CAFE6A3F0700950291EA24F0614FB6ACEDB12BF0E31D00000000010C0000950291EA24F0614FB6ACEDB12BF0E31D00002087AF110000</t>
        </is>
      </c>
      <c r="C1926" t="inlineStr">
        <is>
          <t>cmm4yunqi00y2cuqw6vl8p1bo</t>
        </is>
      </c>
      <c r="D1926" t="inlineStr">
        <is>
          <t>http://localhost:8787/api/admin/requirements/documents/cmm4yunqi00y2cuqw6vl8p1bo/view</t>
        </is>
      </c>
      <c r="E1926">
        <f>HYPERLÄNK("http://localhost:8787/api/admin/requirements/documents/cmm4yunqi00y2cuqw6vl8p1bo/view";"Öppna PDF")</f>
        <v/>
      </c>
      <c r="F1926">
        <f>HYPERLINK("http://localhost:8787/api/admin/requirements/documents/cmm4yunqi00y2cuqw6vl8p1bo/view","Open PDF")</f>
        <v/>
      </c>
      <c r="G1926" t="inlineStr">
        <is>
          <t>cmm55w57p0004cuisfrtpqly8</t>
        </is>
      </c>
      <c r="H1926" t="inlineStr">
        <is>
          <t>Informationskrav</t>
        </is>
      </c>
      <c r="I1926" t="inlineStr">
        <is>
          <t>LagringsvolymTid</t>
        </is>
      </c>
      <c r="J1926" t="inlineStr">
        <is>
          <t>Maxmangd</t>
        </is>
      </c>
      <c r="K1926" t="inlineStr">
        <is>
          <t>1600 ton fuktig aska som förstärkningslager i bränsleplanen.</t>
        </is>
      </c>
      <c r="L1926" t="inlineStr">
        <is>
          <t>1600 ton fuktig aska som förstärkningslager i bränsleplanen.</t>
        </is>
      </c>
      <c r="M1926" t="inlineStr">
        <is>
          <t>SKA</t>
        </is>
      </c>
      <c r="N1926" t="inlineStr"/>
      <c r="O1926" t="inlineStr"/>
      <c r="P1926" t="inlineStr"/>
      <c r="Q1926" t="inlineStr"/>
      <c r="R1926" t="inlineStr">
        <is>
          <t>Alltid</t>
        </is>
      </c>
      <c r="S1926" t="inlineStr"/>
      <c r="T1926" t="inlineStr"/>
      <c r="U1926" t="n">
        <v>1600</v>
      </c>
      <c r="V1926" t="inlineStr"/>
      <c r="W1926" t="inlineStr">
        <is>
          <t>Nej</t>
        </is>
      </c>
      <c r="X1926" t="inlineStr">
        <is>
          <t>Nej</t>
        </is>
      </c>
      <c r="Y1926" t="inlineStr">
        <is>
          <t>Nej</t>
        </is>
      </c>
      <c r="Z1926" t="inlineStr">
        <is>
          <t>Nej</t>
        </is>
      </c>
      <c r="AA1926" t="n">
        <v>4</v>
      </c>
      <c r="AB1926" t="inlineStr">
        <is>
          <t>Avfallsmangder och lagringstid</t>
        </is>
      </c>
      <c r="AC1926" t="inlineStr">
        <is>
          <t>Avfallsforteckning</t>
        </is>
      </c>
      <c r="AD1926" t="inlineStr">
        <is>
          <t>Nej</t>
        </is>
      </c>
      <c r="AE1926" t="inlineStr">
        <is>
          <t>Nej</t>
        </is>
      </c>
      <c r="AF1926" t="inlineStr">
        <is>
          <t>Ej behandlad</t>
        </is>
      </c>
      <c r="AG1926" t="inlineStr">
        <is>
          <t>AUTO_GENERERAD. Verifiera citat mot kallfil.</t>
        </is>
      </c>
      <c r="AH1926" t="inlineStr">
        <is>
          <t>MEDIUM</t>
        </is>
      </c>
      <c r="AI1926" t="inlineStr">
        <is>
          <t>AUTO</t>
        </is>
      </c>
      <c r="AJ1926" t="inlineStr">
        <is>
          <t>Nej</t>
        </is>
      </c>
      <c r="AK1926" t="inlineStr"/>
      <c r="AL1926" t="inlineStr"/>
      <c r="AM1926" t="inlineStr"/>
      <c r="AN1926" t="inlineStr"/>
      <c r="AO1926" t="inlineStr">
        <is>
          <t>cmm4yunqr00ybcuqwkt0vyb2o</t>
        </is>
      </c>
      <c r="AP1926" t="inlineStr">
        <is>
          <t>http://localhost:8787/api/admin/requirements/documents/cmm4yunqr00ybcuqwkt0vyb2o/view</t>
        </is>
      </c>
      <c r="AQ1926">
        <f>HYPERLÄNK("http://localhost:8787/api/admin/requirements/documents/cmm4yunqr00ybcuqwkt0vyb2o/view";"Öppna PDF")</f>
        <v/>
      </c>
      <c r="AR1926">
        <f>HYPERLINK("http://localhost:8787/api/admin/requirements/documents/cmm4yunqr00ybcuqwkt0vyb2o/view","Open PDF")</f>
        <v/>
      </c>
      <c r="AS1926" t="inlineStr">
        <is>
          <t>cmm55w57p0004cuisfrtpqly8</t>
        </is>
      </c>
      <c r="AT1926" t="inlineStr">
        <is>
          <t>cmm4xvu980000cuh4vj0usz09</t>
        </is>
      </c>
      <c r="AU1926" t="inlineStr">
        <is>
          <t>Filipstads</t>
        </is>
      </c>
      <c r="AV1926" t="inlineStr">
        <is>
          <t>Kommun</t>
        </is>
      </c>
      <c r="AW1926" t="inlineStr">
        <is>
          <t>Filipstads kommun</t>
        </is>
      </c>
      <c r="AX1926" t="inlineStr">
        <is>
          <t>2025-235</t>
        </is>
      </c>
      <c r="AY1926" t="inlineStr">
        <is>
          <t>Beslut</t>
        </is>
      </c>
      <c r="AZ1926" t="inlineStr">
        <is>
          <t>2026-02-03</t>
        </is>
      </c>
      <c r="BA1926" t="inlineStr">
        <is>
          <t>Beslut Mossen.pdf</t>
        </is>
      </c>
      <c r="BB1926" t="inlineStr">
        <is>
          <t>till registrator</t>
        </is>
      </c>
      <c r="BC1926" t="inlineStr">
        <is>
          <t>AUTO</t>
        </is>
      </c>
      <c r="BD1926" t="inlineStr"/>
      <c r="BE1926" t="inlineStr"/>
      <c r="BF1926" t="inlineStr">
        <is>
          <t>AUTO_GENERERAD. Bekrafta metadata mot kallfil.</t>
        </is>
      </c>
      <c r="BG1926">
        <f>HYPERLINK("C:\Users\jimmy\Desktop\Examens arbete\Kod\Ny mapp\remix_-copy-of-miljöbeslut.se-portal\Beslut Mossen.pdf", "Öppna PDF")</f>
        <v/>
      </c>
    </row>
    <row r="1927">
      <c r="A1927" t="inlineStr">
        <is>
          <t>KRAV-AUTO-001926</t>
        </is>
      </c>
      <c r="B1927" t="inlineStr">
        <is>
          <t>ADMIN-INDEX-2026-02-27-00000000125C043F57453246863FE664CAFE6A3F0700950291EA24F0614FB6ACEDB12BF0E31D00000000010C0000950291EA24F0614FB6ACEDB12BF0E31D00002087AF110000</t>
        </is>
      </c>
      <c r="C1927" t="inlineStr">
        <is>
          <t>cmm4yunqf00xzcuqwwixuovs0</t>
        </is>
      </c>
      <c r="D1927" t="inlineStr">
        <is>
          <t>http://localhost:8787/api/admin/requirements/documents/cmm4yunqf00xzcuqwwixuovs0/view</t>
        </is>
      </c>
      <c r="E1927">
        <f>HYPERLÄNK("http://localhost:8787/api/admin/requirements/documents/cmm4yunqf00xzcuqwwixuovs0/view";"Öppna PDF")</f>
        <v/>
      </c>
      <c r="F1927">
        <f>HYPERLINK("http://localhost:8787/api/admin/requirements/documents/cmm4yunqf00xzcuqwwixuovs0/view","Open PDF")</f>
        <v/>
      </c>
      <c r="G1927" t="inlineStr">
        <is>
          <t>cmm55w57p0004cuisfrtpqly8</t>
        </is>
      </c>
      <c r="H1927" t="inlineStr">
        <is>
          <t>Beslutsvillkor</t>
        </is>
      </c>
      <c r="I1927" t="inlineStr">
        <is>
          <t>DriftEgenkontroll</t>
        </is>
      </c>
      <c r="J1927" t="inlineStr">
        <is>
          <t>Journalforing</t>
        </is>
      </c>
      <c r="K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t>
        </is>
      </c>
      <c r="M1927" t="inlineStr">
        <is>
          <t>SKA</t>
        </is>
      </c>
      <c r="N1927" t="inlineStr"/>
      <c r="O1927" t="inlineStr">
        <is>
          <t>2025-10-29</t>
        </is>
      </c>
      <c r="P1927" t="inlineStr"/>
      <c r="Q1927" t="inlineStr"/>
      <c r="R1927" t="inlineStr">
        <is>
          <t>Lopande drift</t>
        </is>
      </c>
      <c r="S1927" t="inlineStr"/>
      <c r="T1927" t="inlineStr">
        <is>
          <t>009254</t>
        </is>
      </c>
      <c r="U1927" t="inlineStr"/>
      <c r="V1927" t="inlineStr"/>
      <c r="W1927" t="inlineStr">
        <is>
          <t>Nej</t>
        </is>
      </c>
      <c r="X1927" t="inlineStr">
        <is>
          <t>Nej</t>
        </is>
      </c>
      <c r="Y1927" t="inlineStr">
        <is>
          <t>Ja</t>
        </is>
      </c>
      <c r="Z1927" t="inlineStr">
        <is>
          <t>Nej</t>
        </is>
      </c>
      <c r="AA1927" t="n">
        <v>7</v>
      </c>
      <c r="AB1927" t="inlineStr">
        <is>
          <t>Egenkontrollrutiner</t>
        </is>
      </c>
      <c r="AC1927" t="inlineStr">
        <is>
          <t>Egenkontrollprogram</t>
        </is>
      </c>
      <c r="AD1927" t="inlineStr">
        <is>
          <t>Nej</t>
        </is>
      </c>
      <c r="AE1927" t="inlineStr">
        <is>
          <t>Nej</t>
        </is>
      </c>
      <c r="AF1927" t="inlineStr">
        <is>
          <t>Ej behandlad</t>
        </is>
      </c>
      <c r="AG1927" t="inlineStr">
        <is>
          <t>AUTO_GENERERAD. Verifiera citat mot kallfil.</t>
        </is>
      </c>
      <c r="AH1927" t="inlineStr">
        <is>
          <t>MEDIUM</t>
        </is>
      </c>
      <c r="AI1927" t="inlineStr">
        <is>
          <t>AUTO</t>
        </is>
      </c>
      <c r="AJ1927" t="inlineStr">
        <is>
          <t>Nej</t>
        </is>
      </c>
      <c r="AK1927" t="inlineStr"/>
      <c r="AL1927" t="inlineStr"/>
      <c r="AM1927" t="inlineStr"/>
      <c r="AN1927" t="inlineStr"/>
      <c r="AO1927" t="inlineStr">
        <is>
          <t>cmm4yunqr00ybcuqwkt0vyb2o</t>
        </is>
      </c>
      <c r="AP1927" t="inlineStr">
        <is>
          <t>http://localhost:8787/api/admin/requirements/documents/cmm4yunqr00ybcuqwkt0vyb2o/view</t>
        </is>
      </c>
      <c r="AQ1927">
        <f>HYPERLÄNK("http://localhost:8787/api/admin/requirements/documents/cmm4yunqr00ybcuqwkt0vyb2o/view";"Öppna PDF")</f>
        <v/>
      </c>
      <c r="AR1927">
        <f>HYPERLINK("http://localhost:8787/api/admin/requirements/documents/cmm4yunqr00ybcuqwkt0vyb2o/view","Open PDF")</f>
        <v/>
      </c>
      <c r="AS1927" t="inlineStr">
        <is>
          <t>cmm55w57p0004cuisfrtpqly8</t>
        </is>
      </c>
      <c r="AT1927" t="inlineStr">
        <is>
          <t>cmm4xvu980000cuh4vj0usz09</t>
        </is>
      </c>
      <c r="AU1927" t="inlineStr">
        <is>
          <t>Filipstads</t>
        </is>
      </c>
      <c r="AV1927" t="inlineStr">
        <is>
          <t>Kommun</t>
        </is>
      </c>
      <c r="AW1927" t="inlineStr">
        <is>
          <t>Filipstads kommun</t>
        </is>
      </c>
      <c r="AX1927" t="inlineStr">
        <is>
          <t>2025-235</t>
        </is>
      </c>
      <c r="AY1927" t="inlineStr">
        <is>
          <t>Beslut</t>
        </is>
      </c>
      <c r="AZ1927" t="inlineStr">
        <is>
          <t>2026-02-03</t>
        </is>
      </c>
      <c r="BA1927" t="inlineStr">
        <is>
          <t>Beslut Mossen.pdf</t>
        </is>
      </c>
      <c r="BB1927" t="inlineStr">
        <is>
          <t>till registrator</t>
        </is>
      </c>
      <c r="BC1927" t="inlineStr">
        <is>
          <t>AUTO</t>
        </is>
      </c>
      <c r="BD1927" t="inlineStr"/>
      <c r="BE1927" t="inlineStr"/>
      <c r="BF1927" t="inlineStr">
        <is>
          <t>AUTO_GENERERAD. Bekrafta metadata mot kallfil.</t>
        </is>
      </c>
      <c r="BG1927">
        <f>HYPERLINK("C:\Users\jimmy\Desktop\Examens arbete\Kod\Ny mapp\remix_-copy-of-miljöbeslut.se-portal\Beslut Mossen.pdf", "Öppna PDF")</f>
        <v/>
      </c>
    </row>
    <row r="1928">
      <c r="A1928" t="inlineStr">
        <is>
          <t>KRAV-AUTO-001927</t>
        </is>
      </c>
      <c r="B1928" t="inlineStr">
        <is>
          <t>ADMIN-INDEX-2026-02-27-00000000125C043F57453246863FE664CAFE6A3F0700950291EA24F0614FB6ACEDB12BF0E31D00000000010C0000950291EA24F0614FB6ACEDB12BF0E31D00002087AF110000</t>
        </is>
      </c>
      <c r="C1928" t="inlineStr">
        <is>
          <t>cmm4yunqc00xwcuqw2tcgpm6r</t>
        </is>
      </c>
      <c r="D1928" t="inlineStr">
        <is>
          <t>http://localhost:8787/api/admin/requirements/documents/cmm4yunqc00xwcuqw2tcgpm6r/view</t>
        </is>
      </c>
      <c r="E1928">
        <f>HYPERLÄNK("http://localhost:8787/api/admin/requirements/documents/cmm4yunqc00xwcuqw2tcgpm6r/view";"Öppna PDF")</f>
        <v/>
      </c>
      <c r="F1928">
        <f>HYPERLINK("http://localhost:8787/api/admin/requirements/documents/cmm4yunqc00xwcuqw2tcgpm6r/view","Open PDF")</f>
        <v/>
      </c>
      <c r="G1928" t="inlineStr">
        <is>
          <t>cmm55w57p0004cuisfrtpqly8</t>
        </is>
      </c>
      <c r="H1928" t="inlineStr">
        <is>
          <t>Informationskrav</t>
        </is>
      </c>
      <c r="I1928" t="inlineStr">
        <is>
          <t>LagringsvolymTid</t>
        </is>
      </c>
      <c r="J1928" t="inlineStr">
        <is>
          <t>Maxmangd</t>
        </is>
      </c>
      <c r="K1928" t="inlineStr">
        <is>
          <t>mer än 10 ton men högst 30 000 ton och avfallet ska användas för byggnads- eller anläggningsändamål.</t>
        </is>
      </c>
      <c r="L1928" t="inlineStr">
        <is>
          <t>mer än 10 ton men högst 30 000 ton och avfallet ska användas för byggnads- eller anläggningsändamål.</t>
        </is>
      </c>
      <c r="M1928" t="inlineStr">
        <is>
          <t>SKA</t>
        </is>
      </c>
      <c r="N1928" t="inlineStr"/>
      <c r="O1928" t="inlineStr"/>
      <c r="P1928" t="inlineStr"/>
      <c r="Q1928" t="inlineStr"/>
      <c r="R1928" t="inlineStr">
        <is>
          <t>Alltid</t>
        </is>
      </c>
      <c r="S1928" t="inlineStr"/>
      <c r="T1928" t="inlineStr">
        <is>
          <t>212000</t>
        </is>
      </c>
      <c r="U1928" t="n">
        <v>10</v>
      </c>
      <c r="V1928" t="inlineStr"/>
      <c r="W1928" t="inlineStr">
        <is>
          <t>Nej</t>
        </is>
      </c>
      <c r="X1928" t="inlineStr">
        <is>
          <t>Nej</t>
        </is>
      </c>
      <c r="Y1928" t="inlineStr">
        <is>
          <t>Nej</t>
        </is>
      </c>
      <c r="Z1928" t="inlineStr">
        <is>
          <t>Nej</t>
        </is>
      </c>
      <c r="AA1928" t="n">
        <v>4</v>
      </c>
      <c r="AB1928" t="inlineStr">
        <is>
          <t>Avfallsmangder och lagringstid</t>
        </is>
      </c>
      <c r="AC1928" t="inlineStr">
        <is>
          <t>Avfallsforteckning</t>
        </is>
      </c>
      <c r="AD1928" t="inlineStr">
        <is>
          <t>Nej</t>
        </is>
      </c>
      <c r="AE1928" t="inlineStr">
        <is>
          <t>Nej</t>
        </is>
      </c>
      <c r="AF1928" t="inlineStr">
        <is>
          <t>Ej behandlad</t>
        </is>
      </c>
      <c r="AG1928" t="inlineStr">
        <is>
          <t>AUTO_GENERERAD. Verifiera citat mot kallfil.</t>
        </is>
      </c>
      <c r="AH1928" t="inlineStr">
        <is>
          <t>MEDIUM</t>
        </is>
      </c>
      <c r="AI1928" t="inlineStr">
        <is>
          <t>AUTO</t>
        </is>
      </c>
      <c r="AJ1928" t="inlineStr">
        <is>
          <t>Nej</t>
        </is>
      </c>
      <c r="AK1928" t="inlineStr"/>
      <c r="AL1928" t="inlineStr"/>
      <c r="AM1928" t="inlineStr"/>
      <c r="AN1928" t="inlineStr"/>
      <c r="AO1928" t="inlineStr">
        <is>
          <t>cmm4yunqr00ybcuqwkt0vyb2o</t>
        </is>
      </c>
      <c r="AP1928" t="inlineStr">
        <is>
          <t>http://localhost:8787/api/admin/requirements/documents/cmm4yunqr00ybcuqwkt0vyb2o/view</t>
        </is>
      </c>
      <c r="AQ1928">
        <f>HYPERLÄNK("http://localhost:8787/api/admin/requirements/documents/cmm4yunqr00ybcuqwkt0vyb2o/view";"Öppna PDF")</f>
        <v/>
      </c>
      <c r="AR1928">
        <f>HYPERLINK("http://localhost:8787/api/admin/requirements/documents/cmm4yunqr00ybcuqwkt0vyb2o/view","Open PDF")</f>
        <v/>
      </c>
      <c r="AS1928" t="inlineStr">
        <is>
          <t>cmm55w57p0004cuisfrtpqly8</t>
        </is>
      </c>
      <c r="AT1928" t="inlineStr">
        <is>
          <t>cmm4xvu980000cuh4vj0usz09</t>
        </is>
      </c>
      <c r="AU1928" t="inlineStr">
        <is>
          <t>Filipstads</t>
        </is>
      </c>
      <c r="AV1928" t="inlineStr">
        <is>
          <t>Kommun</t>
        </is>
      </c>
      <c r="AW1928" t="inlineStr">
        <is>
          <t>Filipstads kommun</t>
        </is>
      </c>
      <c r="AX1928" t="inlineStr">
        <is>
          <t>2025-235</t>
        </is>
      </c>
      <c r="AY1928" t="inlineStr">
        <is>
          <t>Beslut</t>
        </is>
      </c>
      <c r="AZ1928" t="inlineStr">
        <is>
          <t>2026-02-03</t>
        </is>
      </c>
      <c r="BA1928" t="inlineStr">
        <is>
          <t>Beslut Mossen.pdf</t>
        </is>
      </c>
      <c r="BB1928" t="inlineStr">
        <is>
          <t>till registrator</t>
        </is>
      </c>
      <c r="BC1928" t="inlineStr">
        <is>
          <t>AUTO</t>
        </is>
      </c>
      <c r="BD1928" t="inlineStr"/>
      <c r="BE1928" t="inlineStr"/>
      <c r="BF1928" t="inlineStr">
        <is>
          <t>AUTO_GENERERAD. Bekrafta metadata mot kallfil.</t>
        </is>
      </c>
      <c r="BG1928">
        <f>HYPERLINK("C:\Users\jimmy\Desktop\Examens arbete\Kod\Ny mapp\remix_-copy-of-miljöbeslut.se-portal\Beslut Mossen.pdf", "Öppna PDF")</f>
        <v/>
      </c>
    </row>
    <row r="1929">
      <c r="A1929" t="inlineStr">
        <is>
          <t>KRAV-AUTO-001928</t>
        </is>
      </c>
      <c r="B1929" t="inlineStr">
        <is>
          <t>ADMIN-INDEX-2026-02-27-00000000125C043F57453246863FE664CAFE6A3F0700950291EA24F0614FB6ACEDB12BF0E31D00000000010C0000950291EA24F0614FB6ACEDB12BF0E31D00002087AF110000</t>
        </is>
      </c>
      <c r="C1929" t="inlineStr">
        <is>
          <t>cmm4yunqc00xwcuqw2tcgpm6r</t>
        </is>
      </c>
      <c r="D1929" t="inlineStr">
        <is>
          <t>http://localhost:8787/api/admin/requirements/documents/cmm4yunqc00xwcuqw2tcgpm6r/view</t>
        </is>
      </c>
      <c r="E1929">
        <f>HYPERLÄNK("http://localhost:8787/api/admin/requirements/documents/cmm4yunqc00xwcuqw2tcgpm6r/view";"Öppna PDF")</f>
        <v/>
      </c>
      <c r="F1929">
        <f>HYPERLINK("http://localhost:8787/api/admin/requirements/documents/cmm4yunqc00xwcuqw2tcgpm6r/view","Open PDF")</f>
        <v/>
      </c>
      <c r="G1929" t="inlineStr">
        <is>
          <t>cmm55w57p0004cuisfrtpqly8</t>
        </is>
      </c>
      <c r="H1929" t="inlineStr">
        <is>
          <t>Informationskrav</t>
        </is>
      </c>
      <c r="I1929" t="inlineStr">
        <is>
          <t>Riskhantering</t>
        </is>
      </c>
      <c r="J1929" t="inlineStr">
        <is>
          <t>Riskkontroll</t>
        </is>
      </c>
      <c r="K1929" t="inlineStr">
        <is>
          <t>11 § ska den som hanterar avfall se till att hanteringen inte skadar eller orsakar risk för skada på människors hälsa eller miljön.</t>
        </is>
      </c>
      <c r="L1929" t="inlineStr">
        <is>
          <t>11 § ska den som hanterar avfall se till att hanteringen inte skadar eller orsakar risk för skada på människors hälsa eller miljön.</t>
        </is>
      </c>
      <c r="M1929" t="inlineStr">
        <is>
          <t>SKA</t>
        </is>
      </c>
      <c r="N1929" t="inlineStr"/>
      <c r="O1929" t="inlineStr"/>
      <c r="P1929" t="inlineStr"/>
      <c r="Q1929" t="inlineStr"/>
      <c r="R1929" t="inlineStr">
        <is>
          <t>Vid risk for incident</t>
        </is>
      </c>
      <c r="S1929" t="inlineStr"/>
      <c r="T1929" t="inlineStr">
        <is>
          <t>212000</t>
        </is>
      </c>
      <c r="U1929" t="inlineStr"/>
      <c r="V1929" t="inlineStr"/>
      <c r="W1929" t="inlineStr">
        <is>
          <t>Nej</t>
        </is>
      </c>
      <c r="X1929" t="inlineStr">
        <is>
          <t>Nej</t>
        </is>
      </c>
      <c r="Y1929" t="inlineStr">
        <is>
          <t>Ja</t>
        </is>
      </c>
      <c r="Z1929" t="inlineStr">
        <is>
          <t>Ja</t>
        </is>
      </c>
      <c r="AA1929" t="n">
        <v>8</v>
      </c>
      <c r="AB1929" t="inlineStr">
        <is>
          <t>Riskhantering</t>
        </is>
      </c>
      <c r="AC1929" t="inlineStr">
        <is>
          <t>Risk-PM</t>
        </is>
      </c>
      <c r="AD1929" t="inlineStr">
        <is>
          <t>Nej</t>
        </is>
      </c>
      <c r="AE1929" t="inlineStr">
        <is>
          <t>Nej</t>
        </is>
      </c>
      <c r="AF1929" t="inlineStr">
        <is>
          <t>Ej behandlad</t>
        </is>
      </c>
      <c r="AG1929" t="inlineStr">
        <is>
          <t>AUTO_GENERERAD. Verifiera citat mot kallfil.</t>
        </is>
      </c>
      <c r="AH1929" t="inlineStr">
        <is>
          <t>MEDIUM</t>
        </is>
      </c>
      <c r="AI1929" t="inlineStr">
        <is>
          <t>AUTO</t>
        </is>
      </c>
      <c r="AJ1929" t="inlineStr">
        <is>
          <t>Nej</t>
        </is>
      </c>
      <c r="AK1929" t="inlineStr"/>
      <c r="AL1929" t="inlineStr"/>
      <c r="AM1929" t="inlineStr"/>
      <c r="AN1929" t="inlineStr"/>
      <c r="AO1929" t="inlineStr">
        <is>
          <t>cmm4yunqr00ybcuqwkt0vyb2o</t>
        </is>
      </c>
      <c r="AP1929" t="inlineStr">
        <is>
          <t>http://localhost:8787/api/admin/requirements/documents/cmm4yunqr00ybcuqwkt0vyb2o/view</t>
        </is>
      </c>
      <c r="AQ1929">
        <f>HYPERLÄNK("http://localhost:8787/api/admin/requirements/documents/cmm4yunqr00ybcuqwkt0vyb2o/view";"Öppna PDF")</f>
        <v/>
      </c>
      <c r="AR1929">
        <f>HYPERLINK("http://localhost:8787/api/admin/requirements/documents/cmm4yunqr00ybcuqwkt0vyb2o/view","Open PDF")</f>
        <v/>
      </c>
      <c r="AS1929" t="inlineStr">
        <is>
          <t>cmm55w57p0004cuisfrtpqly8</t>
        </is>
      </c>
      <c r="AT1929" t="inlineStr">
        <is>
          <t>cmm4xvu980000cuh4vj0usz09</t>
        </is>
      </c>
      <c r="AU1929" t="inlineStr">
        <is>
          <t>Filipstads</t>
        </is>
      </c>
      <c r="AV1929" t="inlineStr">
        <is>
          <t>Kommun</t>
        </is>
      </c>
      <c r="AW1929" t="inlineStr">
        <is>
          <t>Filipstads kommun</t>
        </is>
      </c>
      <c r="AX1929" t="inlineStr">
        <is>
          <t>2025-235</t>
        </is>
      </c>
      <c r="AY1929" t="inlineStr">
        <is>
          <t>Beslut</t>
        </is>
      </c>
      <c r="AZ1929" t="inlineStr">
        <is>
          <t>2026-02-03</t>
        </is>
      </c>
      <c r="BA1929" t="inlineStr">
        <is>
          <t>Beslut Mossen.pdf</t>
        </is>
      </c>
      <c r="BB1929" t="inlineStr">
        <is>
          <t>till registrator</t>
        </is>
      </c>
      <c r="BC1929" t="inlineStr">
        <is>
          <t>AUTO</t>
        </is>
      </c>
      <c r="BD1929" t="inlineStr"/>
      <c r="BE1929" t="inlineStr"/>
      <c r="BF1929" t="inlineStr">
        <is>
          <t>AUTO_GENERERAD. Bekrafta metadata mot kallfil.</t>
        </is>
      </c>
      <c r="BG1929">
        <f>HYPERLINK("C:\Users\jimmy\Desktop\Examens arbete\Kod\Ny mapp\remix_-copy-of-miljöbeslut.se-portal\Beslut Mossen.pdf", "Öppna PDF")</f>
        <v/>
      </c>
    </row>
    <row r="1930">
      <c r="A1930" t="inlineStr">
        <is>
          <t>KRAV-AUTO-001929</t>
        </is>
      </c>
      <c r="B1930" t="inlineStr">
        <is>
          <t>ADMIN-INDEX-2026-02-27-00000000125C043F57453246863FE664CAFE6A3F0700950291EA24F0614FB6ACEDB12BF0E31D00000000010C0000950291EA24F0614FB6ACEDB12BF0E31D00002087AF110000</t>
        </is>
      </c>
      <c r="C1930" t="inlineStr">
        <is>
          <t>cmm4yunqc00xwcuqw2tcgpm6r</t>
        </is>
      </c>
      <c r="D1930" t="inlineStr">
        <is>
          <t>http://localhost:8787/api/admin/requirements/documents/cmm4yunqc00xwcuqw2tcgpm6r/view</t>
        </is>
      </c>
      <c r="E1930">
        <f>HYPERLÄNK("http://localhost:8787/api/admin/requirements/documents/cmm4yunqc00xwcuqw2tcgpm6r/view";"Öppna PDF")</f>
        <v/>
      </c>
      <c r="F1930">
        <f>HYPERLINK("http://localhost:8787/api/admin/requirements/documents/cmm4yunqc00xwcuqw2tcgpm6r/view","Open PDF")</f>
        <v/>
      </c>
      <c r="G1930" t="inlineStr">
        <is>
          <t>cmm55w57p0004cuisfrtpqly8</t>
        </is>
      </c>
      <c r="H1930" t="inlineStr">
        <is>
          <t>Informationskrav</t>
        </is>
      </c>
      <c r="I1930" t="inlineStr">
        <is>
          <t>MiljopaverkanForsiktighet</t>
        </is>
      </c>
      <c r="J1930" t="inlineStr">
        <is>
          <t>Skyddsatgarder</t>
        </is>
      </c>
      <c r="K1930" t="inlineStr">
        <is>
          <t>Verksamheten gäller mellanlagring av trädgårdsavfall, material för anläggningsarbete, väggrus samt hästgödsel som ska användas i egna planteringar.</t>
        </is>
      </c>
      <c r="L1930" t="inlineStr">
        <is>
          <t>Verksamheten gäller mellanlagring av trädgårdsavfall, material för anläggningsarbete, väggrus samt hästgödsel som ska användas i egna planteringar.</t>
        </is>
      </c>
      <c r="M1930" t="inlineStr">
        <is>
          <t>SKA</t>
        </is>
      </c>
      <c r="N1930" t="inlineStr"/>
      <c r="O1930" t="inlineStr"/>
      <c r="P1930" t="inlineStr"/>
      <c r="Q1930" t="inlineStr"/>
      <c r="R1930" t="inlineStr">
        <is>
          <t>Alltid</t>
        </is>
      </c>
      <c r="S1930" t="inlineStr"/>
      <c r="T1930" t="inlineStr">
        <is>
          <t>212000</t>
        </is>
      </c>
      <c r="U1930" t="inlineStr"/>
      <c r="V1930" t="inlineStr"/>
      <c r="W1930" t="inlineStr">
        <is>
          <t>Nej</t>
        </is>
      </c>
      <c r="X1930" t="inlineStr">
        <is>
          <t>Nej</t>
        </is>
      </c>
      <c r="Y1930" t="inlineStr">
        <is>
          <t>Nej</t>
        </is>
      </c>
      <c r="Z1930" t="inlineStr">
        <is>
          <t>Nej</t>
        </is>
      </c>
      <c r="AA1930" t="n">
        <v>10</v>
      </c>
      <c r="AB1930" t="inlineStr">
        <is>
          <t>Miljopaverkan och forsiktighetsmatt</t>
        </is>
      </c>
      <c r="AC1930" t="inlineStr">
        <is>
          <t>Miljo-PM</t>
        </is>
      </c>
      <c r="AD1930" t="inlineStr">
        <is>
          <t>Nej</t>
        </is>
      </c>
      <c r="AE1930" t="inlineStr">
        <is>
          <t>Nej</t>
        </is>
      </c>
      <c r="AF1930" t="inlineStr">
        <is>
          <t>Ej behandlad</t>
        </is>
      </c>
      <c r="AG1930" t="inlineStr">
        <is>
          <t>AUTO_GENERERAD. Verifiera citat mot kallfil.</t>
        </is>
      </c>
      <c r="AH1930" t="inlineStr">
        <is>
          <t>MEDIUM</t>
        </is>
      </c>
      <c r="AI1930" t="inlineStr">
        <is>
          <t>AUTO</t>
        </is>
      </c>
      <c r="AJ1930" t="inlineStr">
        <is>
          <t>Nej</t>
        </is>
      </c>
      <c r="AK1930" t="inlineStr"/>
      <c r="AL1930" t="inlineStr"/>
      <c r="AM1930" t="inlineStr"/>
      <c r="AN1930" t="inlineStr"/>
      <c r="AO1930" t="inlineStr">
        <is>
          <t>cmm4yunqr00ybcuqwkt0vyb2o</t>
        </is>
      </c>
      <c r="AP1930" t="inlineStr">
        <is>
          <t>http://localhost:8787/api/admin/requirements/documents/cmm4yunqr00ybcuqwkt0vyb2o/view</t>
        </is>
      </c>
      <c r="AQ1930">
        <f>HYPERLÄNK("http://localhost:8787/api/admin/requirements/documents/cmm4yunqr00ybcuqwkt0vyb2o/view";"Öppna PDF")</f>
        <v/>
      </c>
      <c r="AR1930">
        <f>HYPERLINK("http://localhost:8787/api/admin/requirements/documents/cmm4yunqr00ybcuqwkt0vyb2o/view","Open PDF")</f>
        <v/>
      </c>
      <c r="AS1930" t="inlineStr">
        <is>
          <t>cmm55w57p0004cuisfrtpqly8</t>
        </is>
      </c>
      <c r="AT1930" t="inlineStr">
        <is>
          <t>cmm4xvu980000cuh4vj0usz09</t>
        </is>
      </c>
      <c r="AU1930" t="inlineStr">
        <is>
          <t>Filipstads</t>
        </is>
      </c>
      <c r="AV1930" t="inlineStr">
        <is>
          <t>Kommun</t>
        </is>
      </c>
      <c r="AW1930" t="inlineStr">
        <is>
          <t>Filipstads kommun</t>
        </is>
      </c>
      <c r="AX1930" t="inlineStr">
        <is>
          <t>2025-235</t>
        </is>
      </c>
      <c r="AY1930" t="inlineStr">
        <is>
          <t>Beslut</t>
        </is>
      </c>
      <c r="AZ1930" t="inlineStr">
        <is>
          <t>2026-02-03</t>
        </is>
      </c>
      <c r="BA1930" t="inlineStr">
        <is>
          <t>Beslut Mossen.pdf</t>
        </is>
      </c>
      <c r="BB1930" t="inlineStr">
        <is>
          <t>till registrator</t>
        </is>
      </c>
      <c r="BC1930" t="inlineStr">
        <is>
          <t>AUTO</t>
        </is>
      </c>
      <c r="BD1930" t="inlineStr"/>
      <c r="BE1930" t="inlineStr"/>
      <c r="BF1930" t="inlineStr">
        <is>
          <t>AUTO_GENERERAD. Bekrafta metadata mot kallfil.</t>
        </is>
      </c>
      <c r="BG1930">
        <f>HYPERLINK("C:\Users\jimmy\Desktop\Examens arbete\Kod\Ny mapp\remix_-copy-of-miljöbeslut.se-portal\Beslut Mossen.pdf", "Öppna PDF")</f>
        <v/>
      </c>
    </row>
    <row r="1931">
      <c r="A1931" t="inlineStr">
        <is>
          <t>KRAV-AUTO-001930</t>
        </is>
      </c>
      <c r="B1931" t="inlineStr">
        <is>
          <t>ADMIN-INDEX-2026-02-27-00000000125C043F57453246863FE664CAFE6A3F0700950291EA24F0614FB6ACEDB12BF0E31D00000000010C0000950291EA24F0614FB6ACEDB12BF0E31D00002087AF110000</t>
        </is>
      </c>
      <c r="C1931" t="inlineStr">
        <is>
          <t>cmm4yunqa00xtcuqwk32xkhvt</t>
        </is>
      </c>
      <c r="D1931" t="inlineStr">
        <is>
          <t>http://localhost:8787/api/admin/requirements/documents/cmm4yunqa00xtcuqwk32xkhvt/view</t>
        </is>
      </c>
      <c r="E1931">
        <f>HYPERLÄNK("http://localhost:8787/api/admin/requirements/documents/cmm4yunqa00xtcuqwk32xkhvt/view";"Öppna PDF")</f>
        <v/>
      </c>
      <c r="F1931">
        <f>HYPERLINK("http://localhost:8787/api/admin/requirements/documents/cmm4yunqa00xtcuqwk32xkhvt/view","Open PDF")</f>
        <v/>
      </c>
      <c r="G1931" t="inlineStr">
        <is>
          <t>cmm55w57p0004cuisfrtpqly8</t>
        </is>
      </c>
      <c r="H1931" t="inlineStr">
        <is>
          <t>Kompletteringskrav</t>
        </is>
      </c>
      <c r="I1931" t="inlineStr">
        <is>
          <t>DagvattenLakvatten</t>
        </is>
      </c>
      <c r="J1931" t="inlineStr">
        <is>
          <t>Uppsamling</t>
        </is>
      </c>
      <c r="K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31" t="inlineStr">
        <is>
          <t>SKA</t>
        </is>
      </c>
      <c r="N1931" t="inlineStr"/>
      <c r="O1931" t="inlineStr"/>
      <c r="P1931" t="inlineStr"/>
      <c r="Q1931" t="inlineStr"/>
      <c r="R1931" t="inlineStr">
        <is>
          <t>Vid nederbord och avrinning</t>
        </is>
      </c>
      <c r="S1931" t="inlineStr"/>
      <c r="T1931" t="inlineStr">
        <is>
          <t>188244</t>
        </is>
      </c>
      <c r="U1931" t="inlineStr"/>
      <c r="V1931" t="inlineStr"/>
      <c r="W1931" t="inlineStr">
        <is>
          <t>Nej</t>
        </is>
      </c>
      <c r="X1931" t="inlineStr">
        <is>
          <t>Ja</t>
        </is>
      </c>
      <c r="Y1931" t="inlineStr">
        <is>
          <t>Ja</t>
        </is>
      </c>
      <c r="Z1931" t="inlineStr">
        <is>
          <t>Nej</t>
        </is>
      </c>
      <c r="AA1931" t="n">
        <v>6</v>
      </c>
      <c r="AB1931" t="inlineStr">
        <is>
          <t>Lakvattenhantering</t>
        </is>
      </c>
      <c r="AC1931" t="inlineStr">
        <is>
          <t>Flodesschema dagvatten-lakvatten</t>
        </is>
      </c>
      <c r="AD1931" t="inlineStr">
        <is>
          <t>Nej</t>
        </is>
      </c>
      <c r="AE1931" t="inlineStr">
        <is>
          <t>Nej</t>
        </is>
      </c>
      <c r="AF1931" t="inlineStr">
        <is>
          <t>Ej behandlad</t>
        </is>
      </c>
      <c r="AG1931" t="inlineStr">
        <is>
          <t>AUTO_GENERERAD. Verifiera citat mot kallfil.</t>
        </is>
      </c>
      <c r="AH1931" t="inlineStr">
        <is>
          <t>MEDIUM</t>
        </is>
      </c>
      <c r="AI1931" t="inlineStr">
        <is>
          <t>AUTO</t>
        </is>
      </c>
      <c r="AJ1931" t="inlineStr">
        <is>
          <t>Nej</t>
        </is>
      </c>
      <c r="AK1931" t="inlineStr"/>
      <c r="AL1931" t="inlineStr"/>
      <c r="AM1931" t="inlineStr"/>
      <c r="AN1931" t="inlineStr"/>
      <c r="AO1931" t="inlineStr">
        <is>
          <t>cmm4yunqr00ybcuqwkt0vyb2o</t>
        </is>
      </c>
      <c r="AP1931" t="inlineStr">
        <is>
          <t>http://localhost:8787/api/admin/requirements/documents/cmm4yunqr00ybcuqwkt0vyb2o/view</t>
        </is>
      </c>
      <c r="AQ1931">
        <f>HYPERLÄNK("http://localhost:8787/api/admin/requirements/documents/cmm4yunqr00ybcuqwkt0vyb2o/view";"Öppna PDF")</f>
        <v/>
      </c>
      <c r="AR1931">
        <f>HYPERLINK("http://localhost:8787/api/admin/requirements/documents/cmm4yunqr00ybcuqwkt0vyb2o/view","Open PDF")</f>
        <v/>
      </c>
      <c r="AS1931" t="inlineStr">
        <is>
          <t>cmm55w57p0004cuisfrtpqly8</t>
        </is>
      </c>
      <c r="AT1931" t="inlineStr">
        <is>
          <t>cmm4xvu980000cuh4vj0usz09</t>
        </is>
      </c>
      <c r="AU1931" t="inlineStr">
        <is>
          <t>Filipstads</t>
        </is>
      </c>
      <c r="AV1931" t="inlineStr">
        <is>
          <t>Kommun</t>
        </is>
      </c>
      <c r="AW1931" t="inlineStr">
        <is>
          <t>Filipstads kommun</t>
        </is>
      </c>
      <c r="AX1931" t="inlineStr">
        <is>
          <t>2025-235</t>
        </is>
      </c>
      <c r="AY1931" t="inlineStr">
        <is>
          <t>Beslut</t>
        </is>
      </c>
      <c r="AZ1931" t="inlineStr">
        <is>
          <t>2026-02-03</t>
        </is>
      </c>
      <c r="BA1931" t="inlineStr">
        <is>
          <t>Beslut Mossen.pdf</t>
        </is>
      </c>
      <c r="BB1931" t="inlineStr">
        <is>
          <t>till registrator</t>
        </is>
      </c>
      <c r="BC1931" t="inlineStr">
        <is>
          <t>AUTO</t>
        </is>
      </c>
      <c r="BD1931" t="inlineStr"/>
      <c r="BE1931" t="inlineStr"/>
      <c r="BF1931" t="inlineStr">
        <is>
          <t>AUTO_GENERERAD. Bekrafta metadata mot kallfil.</t>
        </is>
      </c>
      <c r="BG1931">
        <f>HYPERLINK("C:\Users\jimmy\Desktop\Examens arbete\Kod\Ny mapp\remix_-copy-of-miljöbeslut.se-portal\Beslut Mossen.pdf", "Öppna PDF")</f>
        <v/>
      </c>
    </row>
    <row r="1932">
      <c r="A1932" t="inlineStr">
        <is>
          <t>KRAV-AUTO-001931</t>
        </is>
      </c>
      <c r="B1932" t="inlineStr">
        <is>
          <t>ADMIN-INDEX-2026-02-27-00000000125C043F57453246863FE664CAFE6A3F0700950291EA24F0614FB6ACEDB12BF0E31D00000000010C0000950291EA24F0614FB6ACEDB12BF0E31D00002087AF110000</t>
        </is>
      </c>
      <c r="C1932" t="inlineStr">
        <is>
          <t>cmm4yunqa00xtcuqwk32xkhvt</t>
        </is>
      </c>
      <c r="D1932" t="inlineStr">
        <is>
          <t>http://localhost:8787/api/admin/requirements/documents/cmm4yunqa00xtcuqwk32xkhvt/view</t>
        </is>
      </c>
      <c r="E1932">
        <f>HYPERLÄNK("http://localhost:8787/api/admin/requirements/documents/cmm4yunqa00xtcuqwk32xkhvt/view";"Öppna PDF")</f>
        <v/>
      </c>
      <c r="F1932">
        <f>HYPERLINK("http://localhost:8787/api/admin/requirements/documents/cmm4yunqa00xtcuqwk32xkhvt/view","Open PDF")</f>
        <v/>
      </c>
      <c r="G1932" t="inlineStr">
        <is>
          <t>cmm55w57p0004cuisfrtpqly8</t>
        </is>
      </c>
      <c r="H1932" t="inlineStr">
        <is>
          <t>Kompletteringskrav</t>
        </is>
      </c>
      <c r="I1932" t="inlineStr">
        <is>
          <t>DagvattenLakvatten</t>
        </is>
      </c>
      <c r="J1932" t="inlineStr">
        <is>
          <t>Uppsamling</t>
        </is>
      </c>
      <c r="K1932" t="inlineStr">
        <is>
          <t>• Om en lakvattenbehandling krävs föreslås uppsamlingsdiken vid sidorna om komposten som leds till en infiltrationsbädd med en provtagningsbrunn.</t>
        </is>
      </c>
      <c r="L1932" t="inlineStr">
        <is>
          <t>• Om en lakvattenbehandling krävs föreslås uppsamlingsdiken vid sidorna om komposten som leds till en infiltrationsbädd med en provtagningsbrunn.</t>
        </is>
      </c>
      <c r="M1932" t="inlineStr">
        <is>
          <t>SKA</t>
        </is>
      </c>
      <c r="N1932" t="inlineStr"/>
      <c r="O1932" t="inlineStr"/>
      <c r="P1932" t="inlineStr"/>
      <c r="Q1932" t="inlineStr"/>
      <c r="R1932" t="inlineStr">
        <is>
          <t>Vid nederbord och avrinning</t>
        </is>
      </c>
      <c r="S1932" t="inlineStr"/>
      <c r="T1932" t="inlineStr">
        <is>
          <t>188244</t>
        </is>
      </c>
      <c r="U1932" t="inlineStr"/>
      <c r="V1932" t="inlineStr"/>
      <c r="W1932" t="inlineStr">
        <is>
          <t>Nej</t>
        </is>
      </c>
      <c r="X1932" t="inlineStr">
        <is>
          <t>Ja</t>
        </is>
      </c>
      <c r="Y1932" t="inlineStr">
        <is>
          <t>Ja</t>
        </is>
      </c>
      <c r="Z1932" t="inlineStr">
        <is>
          <t>Nej</t>
        </is>
      </c>
      <c r="AA1932" t="n">
        <v>6</v>
      </c>
      <c r="AB1932" t="inlineStr">
        <is>
          <t>Lakvattenhantering</t>
        </is>
      </c>
      <c r="AC1932" t="inlineStr">
        <is>
          <t>Flodesschema dagvatten-lakvatten</t>
        </is>
      </c>
      <c r="AD1932" t="inlineStr">
        <is>
          <t>Nej</t>
        </is>
      </c>
      <c r="AE1932" t="inlineStr">
        <is>
          <t>Nej</t>
        </is>
      </c>
      <c r="AF1932" t="inlineStr">
        <is>
          <t>Ej behandlad</t>
        </is>
      </c>
      <c r="AG1932" t="inlineStr">
        <is>
          <t>AUTO_GENERERAD. Verifiera citat mot kallfil.</t>
        </is>
      </c>
      <c r="AH1932" t="inlineStr">
        <is>
          <t>MEDIUM</t>
        </is>
      </c>
      <c r="AI1932" t="inlineStr">
        <is>
          <t>AUTO</t>
        </is>
      </c>
      <c r="AJ1932" t="inlineStr">
        <is>
          <t>Nej</t>
        </is>
      </c>
      <c r="AK1932" t="inlineStr"/>
      <c r="AL1932" t="inlineStr"/>
      <c r="AM1932" t="inlineStr"/>
      <c r="AN1932" t="inlineStr"/>
      <c r="AO1932" t="inlineStr">
        <is>
          <t>cmm4yunqr00ybcuqwkt0vyb2o</t>
        </is>
      </c>
      <c r="AP1932" t="inlineStr">
        <is>
          <t>http://localhost:8787/api/admin/requirements/documents/cmm4yunqr00ybcuqwkt0vyb2o/view</t>
        </is>
      </c>
      <c r="AQ1932">
        <f>HYPERLÄNK("http://localhost:8787/api/admin/requirements/documents/cmm4yunqr00ybcuqwkt0vyb2o/view";"Öppna PDF")</f>
        <v/>
      </c>
      <c r="AR1932">
        <f>HYPERLINK("http://localhost:8787/api/admin/requirements/documents/cmm4yunqr00ybcuqwkt0vyb2o/view","Open PDF")</f>
        <v/>
      </c>
      <c r="AS1932" t="inlineStr">
        <is>
          <t>cmm55w57p0004cuisfrtpqly8</t>
        </is>
      </c>
      <c r="AT1932" t="inlineStr">
        <is>
          <t>cmm4xvu980000cuh4vj0usz09</t>
        </is>
      </c>
      <c r="AU1932" t="inlineStr">
        <is>
          <t>Filipstads</t>
        </is>
      </c>
      <c r="AV1932" t="inlineStr">
        <is>
          <t>Kommun</t>
        </is>
      </c>
      <c r="AW1932" t="inlineStr">
        <is>
          <t>Filipstads kommun</t>
        </is>
      </c>
      <c r="AX1932" t="inlineStr">
        <is>
          <t>2025-235</t>
        </is>
      </c>
      <c r="AY1932" t="inlineStr">
        <is>
          <t>Beslut</t>
        </is>
      </c>
      <c r="AZ1932" t="inlineStr">
        <is>
          <t>2026-02-03</t>
        </is>
      </c>
      <c r="BA1932" t="inlineStr">
        <is>
          <t>Beslut Mossen.pdf</t>
        </is>
      </c>
      <c r="BB1932" t="inlineStr">
        <is>
          <t>till registrator</t>
        </is>
      </c>
      <c r="BC1932" t="inlineStr">
        <is>
          <t>AUTO</t>
        </is>
      </c>
      <c r="BD1932" t="inlineStr"/>
      <c r="BE1932" t="inlineStr"/>
      <c r="BF1932" t="inlineStr">
        <is>
          <t>AUTO_GENERERAD. Bekrafta metadata mot kallfil.</t>
        </is>
      </c>
      <c r="BG1932">
        <f>HYPERLINK("C:\Users\jimmy\Desktop\Examens arbete\Kod\Ny mapp\remix_-copy-of-miljöbeslut.se-portal\Beslut Mossen.pdf", "Öppna PDF")</f>
        <v/>
      </c>
    </row>
    <row r="1933">
      <c r="A1933" t="inlineStr">
        <is>
          <t>KRAV-AUTO-001932</t>
        </is>
      </c>
      <c r="B1933" t="inlineStr">
        <is>
          <t>ADMIN-INDEX-2026-02-27-00000000125C043F57453246863FE664CAFE6A3F0700950291EA24F0614FB6ACEDB12BF0E31D00000000010C0000950291EA24F0614FB6ACEDB12BF0E31D00002087AF110000</t>
        </is>
      </c>
      <c r="C1933" t="inlineStr">
        <is>
          <t>cmm4yunqa00xtcuqwk32xkhvt</t>
        </is>
      </c>
      <c r="D1933" t="inlineStr">
        <is>
          <t>http://localhost:8787/api/admin/requirements/documents/cmm4yunqa00xtcuqwk32xkhvt/view</t>
        </is>
      </c>
      <c r="E1933">
        <f>HYPERLÄNK("http://localhost:8787/api/admin/requirements/documents/cmm4yunqa00xtcuqwk32xkhvt/view";"Öppna PDF")</f>
        <v/>
      </c>
      <c r="F1933">
        <f>HYPERLINK("http://localhost:8787/api/admin/requirements/documents/cmm4yunqa00xtcuqwk32xkhvt/view","Open PDF")</f>
        <v/>
      </c>
      <c r="G1933" t="inlineStr">
        <is>
          <t>cmm55w57p0004cuisfrtpqly8</t>
        </is>
      </c>
      <c r="H1933" t="inlineStr">
        <is>
          <t>Kompletteringskrav</t>
        </is>
      </c>
      <c r="I1933" t="inlineStr">
        <is>
          <t>LagringsvolymTid</t>
        </is>
      </c>
      <c r="J1933" t="inlineStr">
        <is>
          <t>Maxmangd</t>
        </is>
      </c>
      <c r="K1933" t="inlineStr">
        <is>
          <t>Den mängd trädgårdsavfall som samlas in och som ska komposteras varierar mellan 30-60 ton/år.</t>
        </is>
      </c>
      <c r="L1933" t="inlineStr">
        <is>
          <t>Den mängd trädgårdsavfall som samlas in och som ska komposteras varierar mellan 30-60 ton/år.</t>
        </is>
      </c>
      <c r="M1933" t="inlineStr">
        <is>
          <t>SKA</t>
        </is>
      </c>
      <c r="N1933" t="inlineStr"/>
      <c r="O1933" t="inlineStr"/>
      <c r="P1933" t="inlineStr"/>
      <c r="Q1933" t="inlineStr"/>
      <c r="R1933" t="inlineStr">
        <is>
          <t>Alltid</t>
        </is>
      </c>
      <c r="S1933" t="inlineStr"/>
      <c r="T1933" t="inlineStr">
        <is>
          <t>188244</t>
        </is>
      </c>
      <c r="U1933" t="n">
        <v>60</v>
      </c>
      <c r="V1933" t="inlineStr"/>
      <c r="W1933" t="inlineStr">
        <is>
          <t>Nej</t>
        </is>
      </c>
      <c r="X1933" t="inlineStr">
        <is>
          <t>Nej</t>
        </is>
      </c>
      <c r="Y1933" t="inlineStr">
        <is>
          <t>Nej</t>
        </is>
      </c>
      <c r="Z1933" t="inlineStr">
        <is>
          <t>Nej</t>
        </is>
      </c>
      <c r="AA1933" t="n">
        <v>4</v>
      </c>
      <c r="AB1933" t="inlineStr">
        <is>
          <t>Avfallsmangder och lagringstid</t>
        </is>
      </c>
      <c r="AC1933" t="inlineStr">
        <is>
          <t>Avfallsforteckning</t>
        </is>
      </c>
      <c r="AD1933" t="inlineStr">
        <is>
          <t>Nej</t>
        </is>
      </c>
      <c r="AE1933" t="inlineStr">
        <is>
          <t>Nej</t>
        </is>
      </c>
      <c r="AF1933" t="inlineStr">
        <is>
          <t>Ej behandlad</t>
        </is>
      </c>
      <c r="AG1933" t="inlineStr">
        <is>
          <t>AUTO_GENERERAD. Verifiera citat mot kallfil.</t>
        </is>
      </c>
      <c r="AH1933" t="inlineStr">
        <is>
          <t>MEDIUM</t>
        </is>
      </c>
      <c r="AI1933" t="inlineStr">
        <is>
          <t>AUTO</t>
        </is>
      </c>
      <c r="AJ1933" t="inlineStr">
        <is>
          <t>Nej</t>
        </is>
      </c>
      <c r="AK1933" t="inlineStr"/>
      <c r="AL1933" t="inlineStr"/>
      <c r="AM1933" t="inlineStr"/>
      <c r="AN1933" t="inlineStr"/>
      <c r="AO1933" t="inlineStr">
        <is>
          <t>cmm4yunqr00ybcuqwkt0vyb2o</t>
        </is>
      </c>
      <c r="AP1933" t="inlineStr">
        <is>
          <t>http://localhost:8787/api/admin/requirements/documents/cmm4yunqr00ybcuqwkt0vyb2o/view</t>
        </is>
      </c>
      <c r="AQ1933">
        <f>HYPERLÄNK("http://localhost:8787/api/admin/requirements/documents/cmm4yunqr00ybcuqwkt0vyb2o/view";"Öppna PDF")</f>
        <v/>
      </c>
      <c r="AR1933">
        <f>HYPERLINK("http://localhost:8787/api/admin/requirements/documents/cmm4yunqr00ybcuqwkt0vyb2o/view","Open PDF")</f>
        <v/>
      </c>
      <c r="AS1933" t="inlineStr">
        <is>
          <t>cmm55w57p0004cuisfrtpqly8</t>
        </is>
      </c>
      <c r="AT1933" t="inlineStr">
        <is>
          <t>cmm4xvu980000cuh4vj0usz09</t>
        </is>
      </c>
      <c r="AU1933" t="inlineStr">
        <is>
          <t>Filipstads</t>
        </is>
      </c>
      <c r="AV1933" t="inlineStr">
        <is>
          <t>Kommun</t>
        </is>
      </c>
      <c r="AW1933" t="inlineStr">
        <is>
          <t>Filipstads kommun</t>
        </is>
      </c>
      <c r="AX1933" t="inlineStr">
        <is>
          <t>2025-235</t>
        </is>
      </c>
      <c r="AY1933" t="inlineStr">
        <is>
          <t>Beslut</t>
        </is>
      </c>
      <c r="AZ1933" t="inlineStr">
        <is>
          <t>2026-02-03</t>
        </is>
      </c>
      <c r="BA1933" t="inlineStr">
        <is>
          <t>Beslut Mossen.pdf</t>
        </is>
      </c>
      <c r="BB1933" t="inlineStr">
        <is>
          <t>till registrator</t>
        </is>
      </c>
      <c r="BC1933" t="inlineStr">
        <is>
          <t>AUTO</t>
        </is>
      </c>
      <c r="BD1933" t="inlineStr"/>
      <c r="BE1933" t="inlineStr"/>
      <c r="BF1933" t="inlineStr">
        <is>
          <t>AUTO_GENERERAD. Bekrafta metadata mot kallfil.</t>
        </is>
      </c>
      <c r="BG1933">
        <f>HYPERLINK("C:\Users\jimmy\Desktop\Examens arbete\Kod\Ny mapp\remix_-copy-of-miljöbeslut.se-portal\Beslut Mossen.pdf", "Öppna PDF")</f>
        <v/>
      </c>
    </row>
    <row r="1934">
      <c r="A1934" t="inlineStr">
        <is>
          <t>KRAV-AUTO-001933</t>
        </is>
      </c>
      <c r="B1934" t="inlineStr">
        <is>
          <t>ADMIN-INDEX-2026-02-27-00000000125C043F57453246863FE664CAFE6A3F0700950291EA24F0614FB6ACEDB12BF0E31D00000000010C0000950291EA24F0614FB6ACEDB12BF0E31D00002087AF120000</t>
        </is>
      </c>
      <c r="C1934" t="inlineStr">
        <is>
          <t>cmm4yunq500xncuqwxnsgzop8</t>
        </is>
      </c>
      <c r="D1934" t="inlineStr">
        <is>
          <t>http://localhost:8787/api/admin/requirements/documents/cmm4yunq500xncuqwxnsgzop8/view</t>
        </is>
      </c>
      <c r="E1934">
        <f>HYPERLÄNK("http://localhost:8787/api/admin/requirements/documents/cmm4yunq500xncuqwxnsgzop8/view";"Öppna PDF")</f>
        <v/>
      </c>
      <c r="F1934">
        <f>HYPERLINK("http://localhost:8787/api/admin/requirements/documents/cmm4yunq500xncuqwxnsgzop8/view","Open PDF")</f>
        <v/>
      </c>
      <c r="G1934" t="inlineStr">
        <is>
          <t>cmm55w57p0004cuisfrtpqly8</t>
        </is>
      </c>
      <c r="H1934" t="inlineStr">
        <is>
          <t>Beslutsvillkor</t>
        </is>
      </c>
      <c r="I1934" t="inlineStr">
        <is>
          <t>Riskhantering</t>
        </is>
      </c>
      <c r="J1934" t="inlineStr">
        <is>
          <t>Riskkontroll</t>
        </is>
      </c>
      <c r="K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34" t="inlineStr">
        <is>
          <t>KAN</t>
        </is>
      </c>
      <c r="N1934" t="inlineStr"/>
      <c r="O1934" t="inlineStr"/>
      <c r="P1934" t="inlineStr"/>
      <c r="Q1934" t="inlineStr"/>
      <c r="R1934" t="inlineStr">
        <is>
          <t>Vid risk for incident</t>
        </is>
      </c>
      <c r="S1934" t="inlineStr"/>
      <c r="T1934" t="inlineStr">
        <is>
          <t>212000</t>
        </is>
      </c>
      <c r="U1934" t="inlineStr"/>
      <c r="V1934" t="inlineStr"/>
      <c r="W1934" t="inlineStr">
        <is>
          <t>Nej</t>
        </is>
      </c>
      <c r="X1934" t="inlineStr">
        <is>
          <t>Nej</t>
        </is>
      </c>
      <c r="Y1934" t="inlineStr">
        <is>
          <t>Ja</t>
        </is>
      </c>
      <c r="Z1934" t="inlineStr">
        <is>
          <t>Ja</t>
        </is>
      </c>
      <c r="AA1934" t="n">
        <v>8</v>
      </c>
      <c r="AB1934" t="inlineStr">
        <is>
          <t>Riskhantering</t>
        </is>
      </c>
      <c r="AC1934" t="inlineStr">
        <is>
          <t>Risk-PM</t>
        </is>
      </c>
      <c r="AD1934" t="inlineStr">
        <is>
          <t>Nej</t>
        </is>
      </c>
      <c r="AE1934" t="inlineStr">
        <is>
          <t>Nej</t>
        </is>
      </c>
      <c r="AF1934" t="inlineStr">
        <is>
          <t>Ej behandlad</t>
        </is>
      </c>
      <c r="AG1934" t="inlineStr">
        <is>
          <t>AUTO_GENERERAD. Verifiera citat mot kallfil.</t>
        </is>
      </c>
      <c r="AH1934" t="inlineStr">
        <is>
          <t>MEDIUM</t>
        </is>
      </c>
      <c r="AI1934" t="inlineStr">
        <is>
          <t>AUTO</t>
        </is>
      </c>
      <c r="AJ1934" t="inlineStr">
        <is>
          <t>Nej</t>
        </is>
      </c>
      <c r="AK1934" t="inlineStr"/>
      <c r="AL1934" t="inlineStr"/>
      <c r="AM1934" t="inlineStr"/>
      <c r="AN1934" t="inlineStr"/>
      <c r="AO1934" t="inlineStr">
        <is>
          <t>cmm4yunq500xncuqwxnsgzop8</t>
        </is>
      </c>
      <c r="AP1934" t="inlineStr">
        <is>
          <t>http://localhost:8787/api/admin/requirements/documents/cmm4yunq500xncuqwxnsgzop8/view</t>
        </is>
      </c>
      <c r="AQ1934">
        <f>HYPERLÄNK("http://localhost:8787/api/admin/requirements/documents/cmm4yunq500xncuqwxnsgzop8/view";"Öppna PDF")</f>
        <v/>
      </c>
      <c r="AR1934">
        <f>HYPERLINK("http://localhost:8787/api/admin/requirements/documents/cmm4yunq500xncuqwxnsgzop8/view","Open PDF")</f>
        <v/>
      </c>
      <c r="AS1934" t="inlineStr">
        <is>
          <t>cmm55w57p0004cuisfrtpqly8</t>
        </is>
      </c>
      <c r="AT1934" t="inlineStr">
        <is>
          <t>cmm4xvu980000cuh4vj0usz09</t>
        </is>
      </c>
      <c r="AU1934" t="inlineStr">
        <is>
          <t>Filipstads</t>
        </is>
      </c>
      <c r="AV1934" t="inlineStr">
        <is>
          <t>Kommun</t>
        </is>
      </c>
      <c r="AW1934" t="inlineStr">
        <is>
          <t>Filipstads kommun</t>
        </is>
      </c>
      <c r="AX1934" t="inlineStr">
        <is>
          <t>2025-235</t>
        </is>
      </c>
      <c r="AY1934" t="inlineStr">
        <is>
          <t>Beslut</t>
        </is>
      </c>
      <c r="AZ1934" t="inlineStr">
        <is>
          <t>2026-02-03</t>
        </is>
      </c>
      <c r="BA1934" t="inlineStr">
        <is>
          <t>Beslut Mossen.pdf</t>
        </is>
      </c>
      <c r="BB1934" t="inlineStr">
        <is>
          <t>till registrator</t>
        </is>
      </c>
      <c r="BC1934" t="inlineStr">
        <is>
          <t>AUTO</t>
        </is>
      </c>
      <c r="BD1934" t="inlineStr"/>
      <c r="BE1934" t="inlineStr"/>
      <c r="BF1934" t="inlineStr">
        <is>
          <t>AUTO_GENERERAD. Bekrafta metadata mot kallfil.</t>
        </is>
      </c>
      <c r="BG1934">
        <f>HYPERLINK("C:\Users\jimmy\Desktop\Examens arbete\Kod\Ny mapp\remix_-copy-of-miljöbeslut.se-portal\Beslut Mossen.pdf", "Öppna PDF")</f>
        <v/>
      </c>
    </row>
    <row r="1935">
      <c r="A1935" t="inlineStr">
        <is>
          <t>KRAV-AUTO-001934</t>
        </is>
      </c>
      <c r="B1935" t="inlineStr">
        <is>
          <t>ADMIN-INDEX-2026-02-27-00000000125C043F57453246863FE664CAFE6A3F0700950291EA24F0614FB6ACEDB12BF0E31D00000000010C0000950291EA24F0614FB6ACEDB12BF0E31D00002087AF120000</t>
        </is>
      </c>
      <c r="C1935" t="inlineStr">
        <is>
          <t>cmm4yunq500xncuqwxnsgzop8</t>
        </is>
      </c>
      <c r="D1935" t="inlineStr">
        <is>
          <t>http://localhost:8787/api/admin/requirements/documents/cmm4yunq500xncuqwxnsgzop8/view</t>
        </is>
      </c>
      <c r="E1935">
        <f>HYPERLÄNK("http://localhost:8787/api/admin/requirements/documents/cmm4yunq500xncuqwxnsgzop8/view";"Öppna PDF")</f>
        <v/>
      </c>
      <c r="F1935">
        <f>HYPERLINK("http://localhost:8787/api/admin/requirements/documents/cmm4yunq500xncuqwxnsgzop8/view","Open PDF")</f>
        <v/>
      </c>
      <c r="G1935" t="inlineStr">
        <is>
          <t>cmm55w57p0004cuisfrtpqly8</t>
        </is>
      </c>
      <c r="H1935" t="inlineStr">
        <is>
          <t>Beslutsvillkor</t>
        </is>
      </c>
      <c r="I1935" t="inlineStr">
        <is>
          <t>LagringsvolymTid</t>
        </is>
      </c>
      <c r="J1935" t="inlineStr">
        <is>
          <t>Maxmangd</t>
        </is>
      </c>
      <c r="K1935" t="inlineStr">
        <is>
          <t>Dokumentation över mängd, ursprung, analysresultat och användningsplats ska sparas och kunna uppvisas vid tillsyn.</t>
        </is>
      </c>
      <c r="L1935" t="inlineStr">
        <is>
          <t>Dokumentation över mängd, ursprung, analysresultat och användningsplats ska sparas och kunna uppvisas vid tillsyn.</t>
        </is>
      </c>
      <c r="M1935" t="inlineStr">
        <is>
          <t>SKA</t>
        </is>
      </c>
      <c r="N1935" t="inlineStr"/>
      <c r="O1935" t="inlineStr"/>
      <c r="P1935" t="inlineStr"/>
      <c r="Q1935" t="inlineStr"/>
      <c r="R1935" t="inlineStr">
        <is>
          <t>Alltid</t>
        </is>
      </c>
      <c r="S1935" t="inlineStr"/>
      <c r="T1935" t="inlineStr">
        <is>
          <t>212000</t>
        </is>
      </c>
      <c r="U1935" t="inlineStr"/>
      <c r="V1935" t="inlineStr"/>
      <c r="W1935" t="inlineStr">
        <is>
          <t>Nej</t>
        </is>
      </c>
      <c r="X1935" t="inlineStr">
        <is>
          <t>Nej</t>
        </is>
      </c>
      <c r="Y1935" t="inlineStr">
        <is>
          <t>Nej</t>
        </is>
      </c>
      <c r="Z1935" t="inlineStr">
        <is>
          <t>Nej</t>
        </is>
      </c>
      <c r="AA1935" t="n">
        <v>4</v>
      </c>
      <c r="AB1935" t="inlineStr">
        <is>
          <t>Avfallsmangder och lagringstid</t>
        </is>
      </c>
      <c r="AC1935" t="inlineStr">
        <is>
          <t>Avfallsforteckning</t>
        </is>
      </c>
      <c r="AD1935" t="inlineStr">
        <is>
          <t>Nej</t>
        </is>
      </c>
      <c r="AE1935" t="inlineStr">
        <is>
          <t>Nej</t>
        </is>
      </c>
      <c r="AF1935" t="inlineStr">
        <is>
          <t>Ej behandlad</t>
        </is>
      </c>
      <c r="AG1935" t="inlineStr">
        <is>
          <t>AUTO_GENERERAD. Verifiera citat mot kallfil.</t>
        </is>
      </c>
      <c r="AH1935" t="inlineStr">
        <is>
          <t>MEDIUM</t>
        </is>
      </c>
      <c r="AI1935" t="inlineStr">
        <is>
          <t>AUTO</t>
        </is>
      </c>
      <c r="AJ1935" t="inlineStr">
        <is>
          <t>Nej</t>
        </is>
      </c>
      <c r="AK1935" t="inlineStr"/>
      <c r="AL1935" t="inlineStr"/>
      <c r="AM1935" t="inlineStr"/>
      <c r="AN1935" t="inlineStr"/>
      <c r="AO1935" t="inlineStr">
        <is>
          <t>cmm4yunq500xncuqwxnsgzop8</t>
        </is>
      </c>
      <c r="AP1935" t="inlineStr">
        <is>
          <t>http://localhost:8787/api/admin/requirements/documents/cmm4yunq500xncuqwxnsgzop8/view</t>
        </is>
      </c>
      <c r="AQ1935">
        <f>HYPERLÄNK("http://localhost:8787/api/admin/requirements/documents/cmm4yunq500xncuqwxnsgzop8/view";"Öppna PDF")</f>
        <v/>
      </c>
      <c r="AR1935">
        <f>HYPERLINK("http://localhost:8787/api/admin/requirements/documents/cmm4yunq500xncuqwxnsgzop8/view","Open PDF")</f>
        <v/>
      </c>
      <c r="AS1935" t="inlineStr">
        <is>
          <t>cmm55w57p0004cuisfrtpqly8</t>
        </is>
      </c>
      <c r="AT1935" t="inlineStr">
        <is>
          <t>cmm4xvu980000cuh4vj0usz09</t>
        </is>
      </c>
      <c r="AU1935" t="inlineStr">
        <is>
          <t>Filipstads</t>
        </is>
      </c>
      <c r="AV1935" t="inlineStr">
        <is>
          <t>Kommun</t>
        </is>
      </c>
      <c r="AW1935" t="inlineStr">
        <is>
          <t>Filipstads kommun</t>
        </is>
      </c>
      <c r="AX1935" t="inlineStr">
        <is>
          <t>2025-235</t>
        </is>
      </c>
      <c r="AY1935" t="inlineStr">
        <is>
          <t>Beslut</t>
        </is>
      </c>
      <c r="AZ1935" t="inlineStr">
        <is>
          <t>2026-02-03</t>
        </is>
      </c>
      <c r="BA1935" t="inlineStr">
        <is>
          <t>Beslut Mossen.pdf</t>
        </is>
      </c>
      <c r="BB1935" t="inlineStr">
        <is>
          <t>till registrator</t>
        </is>
      </c>
      <c r="BC1935" t="inlineStr">
        <is>
          <t>AUTO</t>
        </is>
      </c>
      <c r="BD1935" t="inlineStr"/>
      <c r="BE1935" t="inlineStr"/>
      <c r="BF1935" t="inlineStr">
        <is>
          <t>AUTO_GENERERAD. Bekrafta metadata mot kallfil.</t>
        </is>
      </c>
      <c r="BG1935">
        <f>HYPERLINK("C:\Users\jimmy\Desktop\Examens arbete\Kod\Ny mapp\remix_-copy-of-miljöbeslut.se-portal\Beslut Mossen.pdf", "Öppna PDF")</f>
        <v/>
      </c>
    </row>
    <row r="1936">
      <c r="A1936" t="inlineStr">
        <is>
          <t>KRAV-AUTO-001935</t>
        </is>
      </c>
      <c r="B1936" t="inlineStr">
        <is>
          <t>ADMIN-INDEX-2026-02-27-00000000125C043F57453246863FE664CAFE6A3F0700950291EA24F0614FB6ACEDB12BF0E31D00000000010C0000950291EA24F0614FB6ACEDB12BF0E31D00002087AF120000</t>
        </is>
      </c>
      <c r="C1936" t="inlineStr">
        <is>
          <t>cmm4yunq500xncuqwxnsgzop8</t>
        </is>
      </c>
      <c r="D1936" t="inlineStr">
        <is>
          <t>http://localhost:8787/api/admin/requirements/documents/cmm4yunq500xncuqwxnsgzop8/view</t>
        </is>
      </c>
      <c r="E1936">
        <f>HYPERLÄNK("http://localhost:8787/api/admin/requirements/documents/cmm4yunq500xncuqwxnsgzop8/view";"Öppna PDF")</f>
        <v/>
      </c>
      <c r="F1936">
        <f>HYPERLINK("http://localhost:8787/api/admin/requirements/documents/cmm4yunq500xncuqwxnsgzop8/view","Open PDF")</f>
        <v/>
      </c>
      <c r="G1936" t="inlineStr">
        <is>
          <t>cmm55w57p0004cuisfrtpqly8</t>
        </is>
      </c>
      <c r="H1936" t="inlineStr">
        <is>
          <t>Beslutsvillkor</t>
        </is>
      </c>
      <c r="I1936" t="inlineStr">
        <is>
          <t>LagringsvolymTid</t>
        </is>
      </c>
      <c r="J1936" t="inlineStr">
        <is>
          <t>Maxmangd</t>
        </is>
      </c>
      <c r="K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L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M1936" t="inlineStr">
        <is>
          <t>SKA</t>
        </is>
      </c>
      <c r="N1936" t="inlineStr"/>
      <c r="O1936" t="inlineStr"/>
      <c r="P1936" t="inlineStr"/>
      <c r="Q1936" t="inlineStr"/>
      <c r="R1936" t="inlineStr">
        <is>
          <t>Alltid</t>
        </is>
      </c>
      <c r="S1936" t="inlineStr"/>
      <c r="T1936" t="inlineStr">
        <is>
          <t>212000</t>
        </is>
      </c>
      <c r="U1936" t="n">
        <v>600</v>
      </c>
      <c r="V1936" t="inlineStr"/>
      <c r="W1936" t="inlineStr">
        <is>
          <t>Nej</t>
        </is>
      </c>
      <c r="X1936" t="inlineStr">
        <is>
          <t>Nej</t>
        </is>
      </c>
      <c r="Y1936" t="inlineStr">
        <is>
          <t>Nej</t>
        </is>
      </c>
      <c r="Z1936" t="inlineStr">
        <is>
          <t>Nej</t>
        </is>
      </c>
      <c r="AA1936" t="n">
        <v>4</v>
      </c>
      <c r="AB1936" t="inlineStr">
        <is>
          <t>Avfallsmangder och lagringstid</t>
        </is>
      </c>
      <c r="AC1936" t="inlineStr">
        <is>
          <t>Avfallsforteckning</t>
        </is>
      </c>
      <c r="AD1936" t="inlineStr">
        <is>
          <t>Nej</t>
        </is>
      </c>
      <c r="AE1936" t="inlineStr">
        <is>
          <t>Nej</t>
        </is>
      </c>
      <c r="AF1936" t="inlineStr">
        <is>
          <t>Ej behandlad</t>
        </is>
      </c>
      <c r="AG1936" t="inlineStr">
        <is>
          <t>AUTO_GENERERAD. Verifiera citat mot kallfil.</t>
        </is>
      </c>
      <c r="AH1936" t="inlineStr">
        <is>
          <t>MEDIUM</t>
        </is>
      </c>
      <c r="AI1936" t="inlineStr">
        <is>
          <t>AUTO</t>
        </is>
      </c>
      <c r="AJ1936" t="inlineStr">
        <is>
          <t>Nej</t>
        </is>
      </c>
      <c r="AK1936" t="inlineStr"/>
      <c r="AL1936" t="inlineStr"/>
      <c r="AM1936" t="inlineStr"/>
      <c r="AN1936" t="inlineStr"/>
      <c r="AO1936" t="inlineStr">
        <is>
          <t>cmm4yunq500xncuqwxnsgzop8</t>
        </is>
      </c>
      <c r="AP1936" t="inlineStr">
        <is>
          <t>http://localhost:8787/api/admin/requirements/documents/cmm4yunq500xncuqwxnsgzop8/view</t>
        </is>
      </c>
      <c r="AQ1936">
        <f>HYPERLÄNK("http://localhost:8787/api/admin/requirements/documents/cmm4yunq500xncuqwxnsgzop8/view";"Öppna PDF")</f>
        <v/>
      </c>
      <c r="AR1936">
        <f>HYPERLINK("http://localhost:8787/api/admin/requirements/documents/cmm4yunq500xncuqwxnsgzop8/view","Open PDF")</f>
        <v/>
      </c>
      <c r="AS1936" t="inlineStr">
        <is>
          <t>cmm55w57p0004cuisfrtpqly8</t>
        </is>
      </c>
      <c r="AT1936" t="inlineStr">
        <is>
          <t>cmm4xvu980000cuh4vj0usz09</t>
        </is>
      </c>
      <c r="AU1936" t="inlineStr">
        <is>
          <t>Filipstads</t>
        </is>
      </c>
      <c r="AV1936" t="inlineStr">
        <is>
          <t>Kommun</t>
        </is>
      </c>
      <c r="AW1936" t="inlineStr">
        <is>
          <t>Filipstads kommun</t>
        </is>
      </c>
      <c r="AX1936" t="inlineStr">
        <is>
          <t>2025-235</t>
        </is>
      </c>
      <c r="AY1936" t="inlineStr">
        <is>
          <t>Beslut</t>
        </is>
      </c>
      <c r="AZ1936" t="inlineStr">
        <is>
          <t>2026-02-03</t>
        </is>
      </c>
      <c r="BA1936" t="inlineStr">
        <is>
          <t>Beslut Mossen.pdf</t>
        </is>
      </c>
      <c r="BB1936" t="inlineStr">
        <is>
          <t>till registrator</t>
        </is>
      </c>
      <c r="BC1936" t="inlineStr">
        <is>
          <t>AUTO</t>
        </is>
      </c>
      <c r="BD1936" t="inlineStr"/>
      <c r="BE1936" t="inlineStr"/>
      <c r="BF1936" t="inlineStr">
        <is>
          <t>AUTO_GENERERAD. Bekrafta metadata mot kallfil.</t>
        </is>
      </c>
      <c r="BG1936">
        <f>HYPERLINK("C:\Users\jimmy\Desktop\Examens arbete\Kod\Ny mapp\remix_-copy-of-miljöbeslut.se-portal\Beslut Mossen.pdf", "Öppna PDF")</f>
        <v/>
      </c>
    </row>
    <row r="1937">
      <c r="A1937" t="inlineStr">
        <is>
          <t>KRAV-AUTO-001936</t>
        </is>
      </c>
      <c r="B1937" t="inlineStr">
        <is>
          <t>ADMIN-INDEX-2026-02-27-00000000125C043F57453246863FE664CAFE6A3F0700950291EA24F0614FB6ACEDB12BF0E31D00000000010C0000950291EA24F0614FB6ACEDB12BF0E31D00002087AF120000</t>
        </is>
      </c>
      <c r="C1937" t="inlineStr">
        <is>
          <t>cmm4yunpw00xhcuqwyne8osyj</t>
        </is>
      </c>
      <c r="D1937" t="inlineStr">
        <is>
          <t>http://localhost:8787/api/admin/requirements/documents/cmm4yunpw00xhcuqwyne8osyj/view</t>
        </is>
      </c>
      <c r="E1937">
        <f>HYPERLÄNK("http://localhost:8787/api/admin/requirements/documents/cmm4yunpw00xhcuqwyne8osyj/view";"Öppna PDF")</f>
        <v/>
      </c>
      <c r="F1937">
        <f>HYPERLINK("http://localhost:8787/api/admin/requirements/documents/cmm4yunpw00xhcuqwyne8osyj/view","Open PDF")</f>
        <v/>
      </c>
      <c r="G1937" t="inlineStr">
        <is>
          <t>cmm55w57p0004cuisfrtpqly8</t>
        </is>
      </c>
      <c r="H1937" t="inlineStr">
        <is>
          <t>Kompletteringskrav</t>
        </is>
      </c>
      <c r="I1937" t="inlineStr">
        <is>
          <t>DagvattenLakvatten</t>
        </is>
      </c>
      <c r="J1937" t="inlineStr">
        <is>
          <t>Uppsamling</t>
        </is>
      </c>
      <c r="K1937" t="inlineStr">
        <is>
          <t>Aska som uppstår vid förbränning av hushållsavfall eller tryckimpregnerat trä bör som regel (om inte ytterligare rening genomförs) deponeras eftersom det innehåller förhöjda halter av olika metaller etc.</t>
        </is>
      </c>
      <c r="L1937" t="inlineStr">
        <is>
          <t>Aska som uppstår vid förbränning av hushållsavfall eller tryckimpregnerat trä bör som regel (om inte ytterligare rening genomförs) deponeras eftersom det innehåller förhöjda halter av olika metaller etc.</t>
        </is>
      </c>
      <c r="M1937" t="inlineStr">
        <is>
          <t>SKA</t>
        </is>
      </c>
      <c r="N1937" t="inlineStr"/>
      <c r="O1937" t="inlineStr"/>
      <c r="P1937" t="inlineStr"/>
      <c r="Q1937" t="inlineStr"/>
      <c r="R1937" t="inlineStr">
        <is>
          <t>Vid nederbord och avrinning</t>
        </is>
      </c>
      <c r="S1937" t="inlineStr"/>
      <c r="T1937" t="inlineStr"/>
      <c r="U1937" t="inlineStr"/>
      <c r="V1937" t="inlineStr"/>
      <c r="W1937" t="inlineStr">
        <is>
          <t>Nej</t>
        </is>
      </c>
      <c r="X1937" t="inlineStr">
        <is>
          <t>Ja</t>
        </is>
      </c>
      <c r="Y1937" t="inlineStr">
        <is>
          <t>Ja</t>
        </is>
      </c>
      <c r="Z1937" t="inlineStr">
        <is>
          <t>Nej</t>
        </is>
      </c>
      <c r="AA1937" t="n">
        <v>6</v>
      </c>
      <c r="AB1937" t="inlineStr">
        <is>
          <t>Lakvattenhantering</t>
        </is>
      </c>
      <c r="AC1937" t="inlineStr">
        <is>
          <t>Flodesschema dagvatten-lakvatten</t>
        </is>
      </c>
      <c r="AD1937" t="inlineStr">
        <is>
          <t>Nej</t>
        </is>
      </c>
      <c r="AE1937" t="inlineStr">
        <is>
          <t>Nej</t>
        </is>
      </c>
      <c r="AF1937" t="inlineStr">
        <is>
          <t>Ej behandlad</t>
        </is>
      </c>
      <c r="AG1937" t="inlineStr">
        <is>
          <t>AUTO_GENERERAD. Verifiera citat mot kallfil.</t>
        </is>
      </c>
      <c r="AH1937" t="inlineStr">
        <is>
          <t>MEDIUM</t>
        </is>
      </c>
      <c r="AI1937" t="inlineStr">
        <is>
          <t>AUTO</t>
        </is>
      </c>
      <c r="AJ1937" t="inlineStr">
        <is>
          <t>Nej</t>
        </is>
      </c>
      <c r="AK1937" t="inlineStr"/>
      <c r="AL1937" t="inlineStr"/>
      <c r="AM1937" t="inlineStr"/>
      <c r="AN1937" t="inlineStr"/>
      <c r="AO1937" t="inlineStr">
        <is>
          <t>cmm4yunq500xncuqwxnsgzop8</t>
        </is>
      </c>
      <c r="AP1937" t="inlineStr">
        <is>
          <t>http://localhost:8787/api/admin/requirements/documents/cmm4yunq500xncuqwxnsgzop8/view</t>
        </is>
      </c>
      <c r="AQ1937">
        <f>HYPERLÄNK("http://localhost:8787/api/admin/requirements/documents/cmm4yunq500xncuqwxnsgzop8/view";"Öppna PDF")</f>
        <v/>
      </c>
      <c r="AR1937">
        <f>HYPERLINK("http://localhost:8787/api/admin/requirements/documents/cmm4yunq500xncuqwxnsgzop8/view","Open PDF")</f>
        <v/>
      </c>
      <c r="AS1937" t="inlineStr">
        <is>
          <t>cmm55w57p0004cuisfrtpqly8</t>
        </is>
      </c>
      <c r="AT1937" t="inlineStr">
        <is>
          <t>cmm4xvu980000cuh4vj0usz09</t>
        </is>
      </c>
      <c r="AU1937" t="inlineStr">
        <is>
          <t>Filipstads</t>
        </is>
      </c>
      <c r="AV1937" t="inlineStr">
        <is>
          <t>Kommun</t>
        </is>
      </c>
      <c r="AW1937" t="inlineStr">
        <is>
          <t>Filipstads kommun</t>
        </is>
      </c>
      <c r="AX1937" t="inlineStr">
        <is>
          <t>2025-235</t>
        </is>
      </c>
      <c r="AY1937" t="inlineStr">
        <is>
          <t>Beslut</t>
        </is>
      </c>
      <c r="AZ1937" t="inlineStr">
        <is>
          <t>2026-02-03</t>
        </is>
      </c>
      <c r="BA1937" t="inlineStr">
        <is>
          <t>Beslut Mossen.pdf</t>
        </is>
      </c>
      <c r="BB1937" t="inlineStr">
        <is>
          <t>till registrator</t>
        </is>
      </c>
      <c r="BC1937" t="inlineStr">
        <is>
          <t>AUTO</t>
        </is>
      </c>
      <c r="BD1937" t="inlineStr"/>
      <c r="BE1937" t="inlineStr"/>
      <c r="BF1937" t="inlineStr">
        <is>
          <t>AUTO_GENERERAD. Bekrafta metadata mot kallfil.</t>
        </is>
      </c>
      <c r="BG1937">
        <f>HYPERLINK("C:\Users\jimmy\Desktop\Examens arbete\Kod\Ny mapp\remix_-copy-of-miljöbeslut.se-portal\Beslut Mossen.pdf", "Öppna PDF")</f>
        <v/>
      </c>
    </row>
    <row r="1938">
      <c r="A1938" t="inlineStr">
        <is>
          <t>KRAV-AUTO-001937</t>
        </is>
      </c>
      <c r="B1938" t="inlineStr">
        <is>
          <t>ADMIN-INDEX-2026-02-27-00000000125C043F57453246863FE664CAFE6A3F0700950291EA24F0614FB6ACEDB12BF0E31D00000000010C0000950291EA24F0614FB6ACEDB12BF0E31D00002087AF120000</t>
        </is>
      </c>
      <c r="C1938" t="inlineStr">
        <is>
          <t>cmm4yunpw00xhcuqwyne8osyj</t>
        </is>
      </c>
      <c r="D1938" t="inlineStr">
        <is>
          <t>http://localhost:8787/api/admin/requirements/documents/cmm4yunpw00xhcuqwyne8osyj/view</t>
        </is>
      </c>
      <c r="E1938">
        <f>HYPERLÄNK("http://localhost:8787/api/admin/requirements/documents/cmm4yunpw00xhcuqwyne8osyj/view";"Öppna PDF")</f>
        <v/>
      </c>
      <c r="F1938">
        <f>HYPERLINK("http://localhost:8787/api/admin/requirements/documents/cmm4yunpw00xhcuqwyne8osyj/view","Open PDF")</f>
        <v/>
      </c>
      <c r="G1938" t="inlineStr">
        <is>
          <t>cmm55w57p0004cuisfrtpqly8</t>
        </is>
      </c>
      <c r="H1938" t="inlineStr">
        <is>
          <t>Kompletteringskrav</t>
        </is>
      </c>
      <c r="I1938" t="inlineStr">
        <is>
          <t>Riskhantering</t>
        </is>
      </c>
      <c r="J1938" t="inlineStr">
        <is>
          <t>Riskkontroll</t>
        </is>
      </c>
      <c r="K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38" t="inlineStr">
        <is>
          <t>SKA</t>
        </is>
      </c>
      <c r="N1938" t="inlineStr"/>
      <c r="O1938" t="inlineStr"/>
      <c r="P1938" t="inlineStr"/>
      <c r="Q1938" t="inlineStr"/>
      <c r="R1938" t="inlineStr">
        <is>
          <t>Vid risk for incident</t>
        </is>
      </c>
      <c r="S1938" t="inlineStr"/>
      <c r="T1938" t="inlineStr"/>
      <c r="U1938" t="inlineStr"/>
      <c r="V1938" t="inlineStr"/>
      <c r="W1938" t="inlineStr">
        <is>
          <t>Nej</t>
        </is>
      </c>
      <c r="X1938" t="inlineStr">
        <is>
          <t>Nej</t>
        </is>
      </c>
      <c r="Y1938" t="inlineStr">
        <is>
          <t>Ja</t>
        </is>
      </c>
      <c r="Z1938" t="inlineStr">
        <is>
          <t>Ja</t>
        </is>
      </c>
      <c r="AA1938" t="n">
        <v>8</v>
      </c>
      <c r="AB1938" t="inlineStr">
        <is>
          <t>Riskhantering</t>
        </is>
      </c>
      <c r="AC1938" t="inlineStr">
        <is>
          <t>Risk-PM</t>
        </is>
      </c>
      <c r="AD1938" t="inlineStr">
        <is>
          <t>Nej</t>
        </is>
      </c>
      <c r="AE1938" t="inlineStr">
        <is>
          <t>Nej</t>
        </is>
      </c>
      <c r="AF1938" t="inlineStr">
        <is>
          <t>Ej behandlad</t>
        </is>
      </c>
      <c r="AG1938" t="inlineStr">
        <is>
          <t>AUTO_GENERERAD. Verifiera citat mot kallfil.</t>
        </is>
      </c>
      <c r="AH1938" t="inlineStr">
        <is>
          <t>MEDIUM</t>
        </is>
      </c>
      <c r="AI1938" t="inlineStr">
        <is>
          <t>AUTO</t>
        </is>
      </c>
      <c r="AJ1938" t="inlineStr">
        <is>
          <t>Nej</t>
        </is>
      </c>
      <c r="AK1938" t="inlineStr"/>
      <c r="AL1938" t="inlineStr"/>
      <c r="AM1938" t="inlineStr"/>
      <c r="AN1938" t="inlineStr"/>
      <c r="AO1938" t="inlineStr">
        <is>
          <t>cmm4yunq500xncuqwxnsgzop8</t>
        </is>
      </c>
      <c r="AP1938" t="inlineStr">
        <is>
          <t>http://localhost:8787/api/admin/requirements/documents/cmm4yunq500xncuqwxnsgzop8/view</t>
        </is>
      </c>
      <c r="AQ1938">
        <f>HYPERLÄNK("http://localhost:8787/api/admin/requirements/documents/cmm4yunq500xncuqwxnsgzop8/view";"Öppna PDF")</f>
        <v/>
      </c>
      <c r="AR1938">
        <f>HYPERLINK("http://localhost:8787/api/admin/requirements/documents/cmm4yunq500xncuqwxnsgzop8/view","Open PDF")</f>
        <v/>
      </c>
      <c r="AS1938" t="inlineStr">
        <is>
          <t>cmm55w57p0004cuisfrtpqly8</t>
        </is>
      </c>
      <c r="AT1938" t="inlineStr">
        <is>
          <t>cmm4xvu980000cuh4vj0usz09</t>
        </is>
      </c>
      <c r="AU1938" t="inlineStr">
        <is>
          <t>Filipstads</t>
        </is>
      </c>
      <c r="AV1938" t="inlineStr">
        <is>
          <t>Kommun</t>
        </is>
      </c>
      <c r="AW1938" t="inlineStr">
        <is>
          <t>Filipstads kommun</t>
        </is>
      </c>
      <c r="AX1938" t="inlineStr">
        <is>
          <t>2025-235</t>
        </is>
      </c>
      <c r="AY1938" t="inlineStr">
        <is>
          <t>Beslut</t>
        </is>
      </c>
      <c r="AZ1938" t="inlineStr">
        <is>
          <t>2026-02-03</t>
        </is>
      </c>
      <c r="BA1938" t="inlineStr">
        <is>
          <t>Beslut Mossen.pdf</t>
        </is>
      </c>
      <c r="BB1938" t="inlineStr">
        <is>
          <t>till registrator</t>
        </is>
      </c>
      <c r="BC1938" t="inlineStr">
        <is>
          <t>AUTO</t>
        </is>
      </c>
      <c r="BD1938" t="inlineStr"/>
      <c r="BE1938" t="inlineStr"/>
      <c r="BF1938" t="inlineStr">
        <is>
          <t>AUTO_GENERERAD. Bekrafta metadata mot kallfil.</t>
        </is>
      </c>
      <c r="BG1938">
        <f>HYPERLINK("C:\Users\jimmy\Desktop\Examens arbete\Kod\Ny mapp\remix_-copy-of-miljöbeslut.se-portal\Beslut Mossen.pdf", "Öppna PDF")</f>
        <v/>
      </c>
    </row>
    <row r="1939">
      <c r="A1939" t="inlineStr">
        <is>
          <t>KRAV-AUTO-001938</t>
        </is>
      </c>
      <c r="B1939" t="inlineStr">
        <is>
          <t>ADMIN-INDEX-2026-02-27-00000000125C043F57453246863FE664CAFE6A3F0700950291EA24F0614FB6ACEDB12BF0E31D00000000010C0000950291EA24F0614FB6ACEDB12BF0E31D00002087AF120000</t>
        </is>
      </c>
      <c r="C1939" t="inlineStr">
        <is>
          <t>cmm4yunpw00xhcuqwyne8osyj</t>
        </is>
      </c>
      <c r="D1939" t="inlineStr">
        <is>
          <t>http://localhost:8787/api/admin/requirements/documents/cmm4yunpw00xhcuqwyne8osyj/view</t>
        </is>
      </c>
      <c r="E1939">
        <f>HYPERLÄNK("http://localhost:8787/api/admin/requirements/documents/cmm4yunpw00xhcuqwyne8osyj/view";"Öppna PDF")</f>
        <v/>
      </c>
      <c r="F1939">
        <f>HYPERLINK("http://localhost:8787/api/admin/requirements/documents/cmm4yunpw00xhcuqwyne8osyj/view","Open PDF")</f>
        <v/>
      </c>
      <c r="G1939" t="inlineStr">
        <is>
          <t>cmm55w57p0004cuisfrtpqly8</t>
        </is>
      </c>
      <c r="H1939" t="inlineStr">
        <is>
          <t>Kompletteringskrav</t>
        </is>
      </c>
      <c r="I1939" t="inlineStr">
        <is>
          <t>LagringsvolymTid</t>
        </is>
      </c>
      <c r="J1939" t="inlineStr">
        <is>
          <t>Maxmangd</t>
        </is>
      </c>
      <c r="K1939" t="inlineStr">
        <is>
          <t>Solör Bioenergi har ett stort antal anläggningar runt omilandet där aska används för återföring till skogsmark, till askbetong för olika ändamål eller till att sluttäcka deponier.</t>
        </is>
      </c>
      <c r="L1939" t="inlineStr">
        <is>
          <t>Solör Bioenergi har ett stort antal anläggningar runt omilandet där aska används för återföring till skogsmark, till askbetong för olika ändamål eller till att sluttäcka deponier.</t>
        </is>
      </c>
      <c r="M1939" t="inlineStr">
        <is>
          <t>SKA</t>
        </is>
      </c>
      <c r="N1939" t="inlineStr"/>
      <c r="O1939" t="inlineStr"/>
      <c r="P1939" t="inlineStr"/>
      <c r="Q1939" t="inlineStr"/>
      <c r="R1939" t="inlineStr">
        <is>
          <t>Alltid</t>
        </is>
      </c>
      <c r="S1939" t="inlineStr"/>
      <c r="T1939" t="inlineStr"/>
      <c r="U1939" t="inlineStr"/>
      <c r="V1939" t="inlineStr"/>
      <c r="W1939" t="inlineStr">
        <is>
          <t>Nej</t>
        </is>
      </c>
      <c r="X1939" t="inlineStr">
        <is>
          <t>Nej</t>
        </is>
      </c>
      <c r="Y1939" t="inlineStr">
        <is>
          <t>Nej</t>
        </is>
      </c>
      <c r="Z1939" t="inlineStr">
        <is>
          <t>Nej</t>
        </is>
      </c>
      <c r="AA1939" t="n">
        <v>4</v>
      </c>
      <c r="AB1939" t="inlineStr">
        <is>
          <t>Avfallsmangder och lagringstid</t>
        </is>
      </c>
      <c r="AC1939" t="inlineStr">
        <is>
          <t>Avfallsforteckning</t>
        </is>
      </c>
      <c r="AD1939" t="inlineStr">
        <is>
          <t>Nej</t>
        </is>
      </c>
      <c r="AE1939" t="inlineStr">
        <is>
          <t>Nej</t>
        </is>
      </c>
      <c r="AF1939" t="inlineStr">
        <is>
          <t>Ej behandlad</t>
        </is>
      </c>
      <c r="AG1939" t="inlineStr">
        <is>
          <t>AUTO_GENERERAD. Verifiera citat mot kallfil.</t>
        </is>
      </c>
      <c r="AH1939" t="inlineStr">
        <is>
          <t>MEDIUM</t>
        </is>
      </c>
      <c r="AI1939" t="inlineStr">
        <is>
          <t>AUTO</t>
        </is>
      </c>
      <c r="AJ1939" t="inlineStr">
        <is>
          <t>Nej</t>
        </is>
      </c>
      <c r="AK1939" t="inlineStr"/>
      <c r="AL1939" t="inlineStr"/>
      <c r="AM1939" t="inlineStr"/>
      <c r="AN1939" t="inlineStr"/>
      <c r="AO1939" t="inlineStr">
        <is>
          <t>cmm4yunq500xncuqwxnsgzop8</t>
        </is>
      </c>
      <c r="AP1939" t="inlineStr">
        <is>
          <t>http://localhost:8787/api/admin/requirements/documents/cmm4yunq500xncuqwxnsgzop8/view</t>
        </is>
      </c>
      <c r="AQ1939">
        <f>HYPERLÄNK("http://localhost:8787/api/admin/requirements/documents/cmm4yunq500xncuqwxnsgzop8/view";"Öppna PDF")</f>
        <v/>
      </c>
      <c r="AR1939">
        <f>HYPERLINK("http://localhost:8787/api/admin/requirements/documents/cmm4yunq500xncuqwxnsgzop8/view","Open PDF")</f>
        <v/>
      </c>
      <c r="AS1939" t="inlineStr">
        <is>
          <t>cmm55w57p0004cuisfrtpqly8</t>
        </is>
      </c>
      <c r="AT1939" t="inlineStr">
        <is>
          <t>cmm4xvu980000cuh4vj0usz09</t>
        </is>
      </c>
      <c r="AU1939" t="inlineStr">
        <is>
          <t>Filipstads</t>
        </is>
      </c>
      <c r="AV1939" t="inlineStr">
        <is>
          <t>Kommun</t>
        </is>
      </c>
      <c r="AW1939" t="inlineStr">
        <is>
          <t>Filipstads kommun</t>
        </is>
      </c>
      <c r="AX1939" t="inlineStr">
        <is>
          <t>2025-235</t>
        </is>
      </c>
      <c r="AY1939" t="inlineStr">
        <is>
          <t>Beslut</t>
        </is>
      </c>
      <c r="AZ1939" t="inlineStr">
        <is>
          <t>2026-02-03</t>
        </is>
      </c>
      <c r="BA1939" t="inlineStr">
        <is>
          <t>Beslut Mossen.pdf</t>
        </is>
      </c>
      <c r="BB1939" t="inlineStr">
        <is>
          <t>till registrator</t>
        </is>
      </c>
      <c r="BC1939" t="inlineStr">
        <is>
          <t>AUTO</t>
        </is>
      </c>
      <c r="BD1939" t="inlineStr"/>
      <c r="BE1939" t="inlineStr"/>
      <c r="BF1939" t="inlineStr">
        <is>
          <t>AUTO_GENERERAD. Bekrafta metadata mot kallfil.</t>
        </is>
      </c>
      <c r="BG1939">
        <f>HYPERLINK("C:\Users\jimmy\Desktop\Examens arbete\Kod\Ny mapp\remix_-copy-of-miljöbeslut.se-portal\Beslut Mossen.pdf", "Öppna PDF")</f>
        <v/>
      </c>
    </row>
    <row r="1940">
      <c r="A1940" t="inlineStr">
        <is>
          <t>KRAV-AUTO-001939</t>
        </is>
      </c>
      <c r="B1940" t="inlineStr">
        <is>
          <t>ADMIN-INDEX-2026-02-27-00000000125C043F57453246863FE664CAFE6A3F0700950291EA24F0614FB6ACEDB12BF0E31D00000000010C0000950291EA24F0614FB6ACEDB12BF0E31D00002087AF120000</t>
        </is>
      </c>
      <c r="C1940" t="inlineStr">
        <is>
          <t>cmm4yunpt00xecuqw46jst6no</t>
        </is>
      </c>
      <c r="D1940" t="inlineStr">
        <is>
          <t>http://localhost:8787/api/admin/requirements/documents/cmm4yunpt00xecuqw46jst6no/view</t>
        </is>
      </c>
      <c r="E1940">
        <f>HYPERLÄNK("http://localhost:8787/api/admin/requirements/documents/cmm4yunpt00xecuqw46jst6no/view";"Öppna PDF")</f>
        <v/>
      </c>
      <c r="F1940">
        <f>HYPERLINK("http://localhost:8787/api/admin/requirements/documents/cmm4yunpt00xecuqw46jst6no/view","Open PDF")</f>
        <v/>
      </c>
      <c r="G1940" t="inlineStr">
        <is>
          <t>cmm55w57p0004cuisfrtpqly8</t>
        </is>
      </c>
      <c r="H1940" t="inlineStr">
        <is>
          <t>Informationskrav</t>
        </is>
      </c>
      <c r="I1940" t="inlineStr">
        <is>
          <t>LagringsvolymTid</t>
        </is>
      </c>
      <c r="J1940" t="inlineStr">
        <is>
          <t>Maxmangd</t>
        </is>
      </c>
      <c r="K1940" t="inlineStr">
        <is>
          <t>1600 ton fuktig aska som förstärkningslager i bränsleplanen.</t>
        </is>
      </c>
      <c r="L1940" t="inlineStr">
        <is>
          <t>1600 ton fuktig aska som förstärkningslager i bränsleplanen.</t>
        </is>
      </c>
      <c r="M1940" t="inlineStr">
        <is>
          <t>SKA</t>
        </is>
      </c>
      <c r="N1940" t="inlineStr"/>
      <c r="O1940" t="inlineStr"/>
      <c r="P1940" t="inlineStr"/>
      <c r="Q1940" t="inlineStr"/>
      <c r="R1940" t="inlineStr">
        <is>
          <t>Alltid</t>
        </is>
      </c>
      <c r="S1940" t="inlineStr"/>
      <c r="T1940" t="inlineStr"/>
      <c r="U1940" t="n">
        <v>1600</v>
      </c>
      <c r="V1940" t="inlineStr"/>
      <c r="W1940" t="inlineStr">
        <is>
          <t>Nej</t>
        </is>
      </c>
      <c r="X1940" t="inlineStr">
        <is>
          <t>Nej</t>
        </is>
      </c>
      <c r="Y1940" t="inlineStr">
        <is>
          <t>Nej</t>
        </is>
      </c>
      <c r="Z1940" t="inlineStr">
        <is>
          <t>Nej</t>
        </is>
      </c>
      <c r="AA1940" t="n">
        <v>4</v>
      </c>
      <c r="AB1940" t="inlineStr">
        <is>
          <t>Avfallsmangder och lagringstid</t>
        </is>
      </c>
      <c r="AC1940" t="inlineStr">
        <is>
          <t>Avfallsforteckning</t>
        </is>
      </c>
      <c r="AD1940" t="inlineStr">
        <is>
          <t>Nej</t>
        </is>
      </c>
      <c r="AE1940" t="inlineStr">
        <is>
          <t>Nej</t>
        </is>
      </c>
      <c r="AF1940" t="inlineStr">
        <is>
          <t>Ej behandlad</t>
        </is>
      </c>
      <c r="AG1940" t="inlineStr">
        <is>
          <t>AUTO_GENERERAD. Verifiera citat mot kallfil.</t>
        </is>
      </c>
      <c r="AH1940" t="inlineStr">
        <is>
          <t>MEDIUM</t>
        </is>
      </c>
      <c r="AI1940" t="inlineStr">
        <is>
          <t>AUTO</t>
        </is>
      </c>
      <c r="AJ1940" t="inlineStr">
        <is>
          <t>Nej</t>
        </is>
      </c>
      <c r="AK1940" t="inlineStr"/>
      <c r="AL1940" t="inlineStr"/>
      <c r="AM1940" t="inlineStr"/>
      <c r="AN1940" t="inlineStr"/>
      <c r="AO1940" t="inlineStr">
        <is>
          <t>cmm4yunq500xncuqwxnsgzop8</t>
        </is>
      </c>
      <c r="AP1940" t="inlineStr">
        <is>
          <t>http://localhost:8787/api/admin/requirements/documents/cmm4yunq500xncuqwxnsgzop8/view</t>
        </is>
      </c>
      <c r="AQ1940">
        <f>HYPERLÄNK("http://localhost:8787/api/admin/requirements/documents/cmm4yunq500xncuqwxnsgzop8/view";"Öppna PDF")</f>
        <v/>
      </c>
      <c r="AR1940">
        <f>HYPERLINK("http://localhost:8787/api/admin/requirements/documents/cmm4yunq500xncuqwxnsgzop8/view","Open PDF")</f>
        <v/>
      </c>
      <c r="AS1940" t="inlineStr">
        <is>
          <t>cmm55w57p0004cuisfrtpqly8</t>
        </is>
      </c>
      <c r="AT1940" t="inlineStr">
        <is>
          <t>cmm4xvu980000cuh4vj0usz09</t>
        </is>
      </c>
      <c r="AU1940" t="inlineStr">
        <is>
          <t>Filipstads</t>
        </is>
      </c>
      <c r="AV1940" t="inlineStr">
        <is>
          <t>Kommun</t>
        </is>
      </c>
      <c r="AW1940" t="inlineStr">
        <is>
          <t>Filipstads kommun</t>
        </is>
      </c>
      <c r="AX1940" t="inlineStr">
        <is>
          <t>2025-235</t>
        </is>
      </c>
      <c r="AY1940" t="inlineStr">
        <is>
          <t>Beslut</t>
        </is>
      </c>
      <c r="AZ1940" t="inlineStr">
        <is>
          <t>2026-02-03</t>
        </is>
      </c>
      <c r="BA1940" t="inlineStr">
        <is>
          <t>Beslut Mossen.pdf</t>
        </is>
      </c>
      <c r="BB1940" t="inlineStr">
        <is>
          <t>till registrator</t>
        </is>
      </c>
      <c r="BC1940" t="inlineStr">
        <is>
          <t>AUTO</t>
        </is>
      </c>
      <c r="BD1940" t="inlineStr"/>
      <c r="BE1940" t="inlineStr"/>
      <c r="BF1940" t="inlineStr">
        <is>
          <t>AUTO_GENERERAD. Bekrafta metadata mot kallfil.</t>
        </is>
      </c>
      <c r="BG1940">
        <f>HYPERLINK("C:\Users\jimmy\Desktop\Examens arbete\Kod\Ny mapp\remix_-copy-of-miljöbeslut.se-portal\Beslut Mossen.pdf", "Öppna PDF")</f>
        <v/>
      </c>
    </row>
    <row r="1941">
      <c r="A1941" t="inlineStr">
        <is>
          <t>KRAV-AUTO-001940</t>
        </is>
      </c>
      <c r="B1941" t="inlineStr">
        <is>
          <t>ADMIN-INDEX-2026-02-27-00000000125C043F57453246863FE664CAFE6A3F0700950291EA24F0614FB6ACEDB12BF0E31D00000000010C0000950291EA24F0614FB6ACEDB12BF0E31D00002087AF120000</t>
        </is>
      </c>
      <c r="C1941" t="inlineStr">
        <is>
          <t>cmm4yunpp00xbcuqwxq7txes7</t>
        </is>
      </c>
      <c r="D1941" t="inlineStr">
        <is>
          <t>http://localhost:8787/api/admin/requirements/documents/cmm4yunpp00xbcuqwxq7txes7/view</t>
        </is>
      </c>
      <c r="E1941">
        <f>HYPERLÄNK("http://localhost:8787/api/admin/requirements/documents/cmm4yunpp00xbcuqwxq7txes7/view";"Öppna PDF")</f>
        <v/>
      </c>
      <c r="F1941">
        <f>HYPERLINK("http://localhost:8787/api/admin/requirements/documents/cmm4yunpp00xbcuqwxq7txes7/view","Open PDF")</f>
        <v/>
      </c>
      <c r="G1941" t="inlineStr">
        <is>
          <t>cmm55w57p0004cuisfrtpqly8</t>
        </is>
      </c>
      <c r="H1941" t="inlineStr">
        <is>
          <t>Beslutsvillkor</t>
        </is>
      </c>
      <c r="I1941" t="inlineStr">
        <is>
          <t>DriftEgenkontroll</t>
        </is>
      </c>
      <c r="J1941" t="inlineStr">
        <is>
          <t>Journalforing</t>
        </is>
      </c>
      <c r="K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t>
        </is>
      </c>
      <c r="M1941" t="inlineStr">
        <is>
          <t>SKA</t>
        </is>
      </c>
      <c r="N1941" t="inlineStr"/>
      <c r="O1941" t="inlineStr">
        <is>
          <t>2024-11-19</t>
        </is>
      </c>
      <c r="P1941" t="inlineStr"/>
      <c r="Q1941" t="inlineStr"/>
      <c r="R1941" t="inlineStr">
        <is>
          <t>Lopande drift</t>
        </is>
      </c>
      <c r="S1941" t="inlineStr"/>
      <c r="T1941" t="inlineStr">
        <is>
          <t>009254</t>
        </is>
      </c>
      <c r="U1941" t="inlineStr"/>
      <c r="V1941" t="inlineStr"/>
      <c r="W1941" t="inlineStr">
        <is>
          <t>Nej</t>
        </is>
      </c>
      <c r="X1941" t="inlineStr">
        <is>
          <t>Nej</t>
        </is>
      </c>
      <c r="Y1941" t="inlineStr">
        <is>
          <t>Ja</t>
        </is>
      </c>
      <c r="Z1941" t="inlineStr">
        <is>
          <t>Nej</t>
        </is>
      </c>
      <c r="AA1941" t="n">
        <v>7</v>
      </c>
      <c r="AB1941" t="inlineStr">
        <is>
          <t>Egenkontrollrutiner</t>
        </is>
      </c>
      <c r="AC1941" t="inlineStr">
        <is>
          <t>Egenkontrollprogram</t>
        </is>
      </c>
      <c r="AD1941" t="inlineStr">
        <is>
          <t>Nej</t>
        </is>
      </c>
      <c r="AE1941" t="inlineStr">
        <is>
          <t>Nej</t>
        </is>
      </c>
      <c r="AF1941" t="inlineStr">
        <is>
          <t>Ej behandlad</t>
        </is>
      </c>
      <c r="AG1941" t="inlineStr">
        <is>
          <t>AUTO_GENERERAD. Verifiera citat mot kallfil.</t>
        </is>
      </c>
      <c r="AH1941" t="inlineStr">
        <is>
          <t>MEDIUM</t>
        </is>
      </c>
      <c r="AI1941" t="inlineStr">
        <is>
          <t>AUTO</t>
        </is>
      </c>
      <c r="AJ1941" t="inlineStr">
        <is>
          <t>Nej</t>
        </is>
      </c>
      <c r="AK1941" t="inlineStr"/>
      <c r="AL1941" t="inlineStr"/>
      <c r="AM1941" t="inlineStr"/>
      <c r="AN1941" t="inlineStr"/>
      <c r="AO1941" t="inlineStr">
        <is>
          <t>cmm4yunq500xncuqwxnsgzop8</t>
        </is>
      </c>
      <c r="AP1941" t="inlineStr">
        <is>
          <t>http://localhost:8787/api/admin/requirements/documents/cmm4yunq500xncuqwxnsgzop8/view</t>
        </is>
      </c>
      <c r="AQ1941">
        <f>HYPERLÄNK("http://localhost:8787/api/admin/requirements/documents/cmm4yunq500xncuqwxnsgzop8/view";"Öppna PDF")</f>
        <v/>
      </c>
      <c r="AR1941">
        <f>HYPERLINK("http://localhost:8787/api/admin/requirements/documents/cmm4yunq500xncuqwxnsgzop8/view","Open PDF")</f>
        <v/>
      </c>
      <c r="AS1941" t="inlineStr">
        <is>
          <t>cmm55w57p0004cuisfrtpqly8</t>
        </is>
      </c>
      <c r="AT1941" t="inlineStr">
        <is>
          <t>cmm4xvu980000cuh4vj0usz09</t>
        </is>
      </c>
      <c r="AU1941" t="inlineStr">
        <is>
          <t>Filipstads</t>
        </is>
      </c>
      <c r="AV1941" t="inlineStr">
        <is>
          <t>Kommun</t>
        </is>
      </c>
      <c r="AW1941" t="inlineStr">
        <is>
          <t>Filipstads kommun</t>
        </is>
      </c>
      <c r="AX1941" t="inlineStr">
        <is>
          <t>2025-235</t>
        </is>
      </c>
      <c r="AY1941" t="inlineStr">
        <is>
          <t>Beslut</t>
        </is>
      </c>
      <c r="AZ1941" t="inlineStr">
        <is>
          <t>2026-02-03</t>
        </is>
      </c>
      <c r="BA1941" t="inlineStr">
        <is>
          <t>Beslut Mossen.pdf</t>
        </is>
      </c>
      <c r="BB1941" t="inlineStr">
        <is>
          <t>till registrator</t>
        </is>
      </c>
      <c r="BC1941" t="inlineStr">
        <is>
          <t>AUTO</t>
        </is>
      </c>
      <c r="BD1941" t="inlineStr"/>
      <c r="BE1941" t="inlineStr"/>
      <c r="BF1941" t="inlineStr">
        <is>
          <t>AUTO_GENERERAD. Bekrafta metadata mot kallfil.</t>
        </is>
      </c>
      <c r="BG1941">
        <f>HYPERLINK("C:\Users\jimmy\Desktop\Examens arbete\Kod\Ny mapp\remix_-copy-of-miljöbeslut.se-portal\Beslut Mossen.pdf", "Öppna PDF")</f>
        <v/>
      </c>
    </row>
    <row r="1942">
      <c r="A1942" t="inlineStr">
        <is>
          <t>KRAV-AUTO-001941</t>
        </is>
      </c>
      <c r="B1942" t="inlineStr">
        <is>
          <t>ADMIN-INDEX-2026-02-27-00000000125C043F57453246863FE664CAFE6A3F0700950291EA24F0614FB6ACEDB12BF0E31D00000000010C0000950291EA24F0614FB6ACEDB12BF0E31D00002087AF120000</t>
        </is>
      </c>
      <c r="C1942" t="inlineStr">
        <is>
          <t>cmm4yunpk00x8cuqwemlg5ckk</t>
        </is>
      </c>
      <c r="D1942" t="inlineStr">
        <is>
          <t>http://localhost:8787/api/admin/requirements/documents/cmm4yunpk00x8cuqwemlg5ckk/view</t>
        </is>
      </c>
      <c r="E1942">
        <f>HYPERLÄNK("http://localhost:8787/api/admin/requirements/documents/cmm4yunpk00x8cuqwemlg5ckk/view";"Öppna PDF")</f>
        <v/>
      </c>
      <c r="F1942">
        <f>HYPERLINK("http://localhost:8787/api/admin/requirements/documents/cmm4yunpk00x8cuqwemlg5ckk/view","Open PDF")</f>
        <v/>
      </c>
      <c r="G1942" t="inlineStr">
        <is>
          <t>cmm55w57p0004cuisfrtpqly8</t>
        </is>
      </c>
      <c r="H1942" t="inlineStr">
        <is>
          <t>Informationskrav</t>
        </is>
      </c>
      <c r="I1942" t="inlineStr">
        <is>
          <t>LagringsvolymTid</t>
        </is>
      </c>
      <c r="J1942" t="inlineStr">
        <is>
          <t>Maxmangd</t>
        </is>
      </c>
      <c r="K1942" t="inlineStr">
        <is>
          <t>mer än 10 ton men högst 30 000 ton och avfallet ska användas för byggnads- eller anläggningsändamål.</t>
        </is>
      </c>
      <c r="L1942" t="inlineStr">
        <is>
          <t>mer än 10 ton men högst 30 000 ton och avfallet ska användas för byggnads- eller anläggningsändamål.</t>
        </is>
      </c>
      <c r="M1942" t="inlineStr">
        <is>
          <t>SKA</t>
        </is>
      </c>
      <c r="N1942" t="inlineStr"/>
      <c r="O1942" t="inlineStr"/>
      <c r="P1942" t="inlineStr"/>
      <c r="Q1942" t="inlineStr"/>
      <c r="R1942" t="inlineStr">
        <is>
          <t>Alltid</t>
        </is>
      </c>
      <c r="S1942" t="inlineStr"/>
      <c r="T1942" t="inlineStr">
        <is>
          <t>212000</t>
        </is>
      </c>
      <c r="U1942" t="n">
        <v>10</v>
      </c>
      <c r="V1942" t="inlineStr"/>
      <c r="W1942" t="inlineStr">
        <is>
          <t>Nej</t>
        </is>
      </c>
      <c r="X1942" t="inlineStr">
        <is>
          <t>Nej</t>
        </is>
      </c>
      <c r="Y1942" t="inlineStr">
        <is>
          <t>Nej</t>
        </is>
      </c>
      <c r="Z1942" t="inlineStr">
        <is>
          <t>Nej</t>
        </is>
      </c>
      <c r="AA1942" t="n">
        <v>4</v>
      </c>
      <c r="AB1942" t="inlineStr">
        <is>
          <t>Avfallsmangder och lagringstid</t>
        </is>
      </c>
      <c r="AC1942" t="inlineStr">
        <is>
          <t>Avfallsforteckning</t>
        </is>
      </c>
      <c r="AD1942" t="inlineStr">
        <is>
          <t>Nej</t>
        </is>
      </c>
      <c r="AE1942" t="inlineStr">
        <is>
          <t>Nej</t>
        </is>
      </c>
      <c r="AF1942" t="inlineStr">
        <is>
          <t>Ej behandlad</t>
        </is>
      </c>
      <c r="AG1942" t="inlineStr">
        <is>
          <t>AUTO_GENERERAD. Verifiera citat mot kallfil.</t>
        </is>
      </c>
      <c r="AH1942" t="inlineStr">
        <is>
          <t>MEDIUM</t>
        </is>
      </c>
      <c r="AI1942" t="inlineStr">
        <is>
          <t>AUTO</t>
        </is>
      </c>
      <c r="AJ1942" t="inlineStr">
        <is>
          <t>Nej</t>
        </is>
      </c>
      <c r="AK1942" t="inlineStr"/>
      <c r="AL1942" t="inlineStr"/>
      <c r="AM1942" t="inlineStr"/>
      <c r="AN1942" t="inlineStr"/>
      <c r="AO1942" t="inlineStr">
        <is>
          <t>cmm4yunq500xncuqwxnsgzop8</t>
        </is>
      </c>
      <c r="AP1942" t="inlineStr">
        <is>
          <t>http://localhost:8787/api/admin/requirements/documents/cmm4yunq500xncuqwxnsgzop8/view</t>
        </is>
      </c>
      <c r="AQ1942">
        <f>HYPERLÄNK("http://localhost:8787/api/admin/requirements/documents/cmm4yunq500xncuqwxnsgzop8/view";"Öppna PDF")</f>
        <v/>
      </c>
      <c r="AR1942">
        <f>HYPERLINK("http://localhost:8787/api/admin/requirements/documents/cmm4yunq500xncuqwxnsgzop8/view","Open PDF")</f>
        <v/>
      </c>
      <c r="AS1942" t="inlineStr">
        <is>
          <t>cmm55w57p0004cuisfrtpqly8</t>
        </is>
      </c>
      <c r="AT1942" t="inlineStr">
        <is>
          <t>cmm4xvu980000cuh4vj0usz09</t>
        </is>
      </c>
      <c r="AU1942" t="inlineStr">
        <is>
          <t>Filipstads</t>
        </is>
      </c>
      <c r="AV1942" t="inlineStr">
        <is>
          <t>Kommun</t>
        </is>
      </c>
      <c r="AW1942" t="inlineStr">
        <is>
          <t>Filipstads kommun</t>
        </is>
      </c>
      <c r="AX1942" t="inlineStr">
        <is>
          <t>2025-235</t>
        </is>
      </c>
      <c r="AY1942" t="inlineStr">
        <is>
          <t>Beslut</t>
        </is>
      </c>
      <c r="AZ1942" t="inlineStr">
        <is>
          <t>2026-02-03</t>
        </is>
      </c>
      <c r="BA1942" t="inlineStr">
        <is>
          <t>Beslut Mossen.pdf</t>
        </is>
      </c>
      <c r="BB1942" t="inlineStr">
        <is>
          <t>till registrator</t>
        </is>
      </c>
      <c r="BC1942" t="inlineStr">
        <is>
          <t>AUTO</t>
        </is>
      </c>
      <c r="BD1942" t="inlineStr"/>
      <c r="BE1942" t="inlineStr"/>
      <c r="BF1942" t="inlineStr">
        <is>
          <t>AUTO_GENERERAD. Bekrafta metadata mot kallfil.</t>
        </is>
      </c>
      <c r="BG1942">
        <f>HYPERLINK("C:\Users\jimmy\Desktop\Examens arbete\Kod\Ny mapp\remix_-copy-of-miljöbeslut.se-portal\Beslut Mossen.pdf", "Öppna PDF")</f>
        <v/>
      </c>
    </row>
    <row r="1943">
      <c r="A1943" t="inlineStr">
        <is>
          <t>KRAV-AUTO-001942</t>
        </is>
      </c>
      <c r="B1943" t="inlineStr">
        <is>
          <t>ADMIN-INDEX-2026-02-27-00000000125C043F57453246863FE664CAFE6A3F0700950291EA24F0614FB6ACEDB12BF0E31D00000000010C0000950291EA24F0614FB6ACEDB12BF0E31D00002087AF120000</t>
        </is>
      </c>
      <c r="C1943" t="inlineStr">
        <is>
          <t>cmm4yunpk00x8cuqwemlg5ckk</t>
        </is>
      </c>
      <c r="D1943" t="inlineStr">
        <is>
          <t>http://localhost:8787/api/admin/requirements/documents/cmm4yunpk00x8cuqwemlg5ckk/view</t>
        </is>
      </c>
      <c r="E1943">
        <f>HYPERLÄNK("http://localhost:8787/api/admin/requirements/documents/cmm4yunpk00x8cuqwemlg5ckk/view";"Öppna PDF")</f>
        <v/>
      </c>
      <c r="F1943">
        <f>HYPERLINK("http://localhost:8787/api/admin/requirements/documents/cmm4yunpk00x8cuqwemlg5ckk/view","Open PDF")</f>
        <v/>
      </c>
      <c r="G1943" t="inlineStr">
        <is>
          <t>cmm55w57p0004cuisfrtpqly8</t>
        </is>
      </c>
      <c r="H1943" t="inlineStr">
        <is>
          <t>Informationskrav</t>
        </is>
      </c>
      <c r="I1943" t="inlineStr">
        <is>
          <t>Riskhantering</t>
        </is>
      </c>
      <c r="J1943" t="inlineStr">
        <is>
          <t>Riskkontroll</t>
        </is>
      </c>
      <c r="K1943" t="inlineStr">
        <is>
          <t>11 § ska den som hanterar avfall se till att hanteringen inte skadar eller orsakar risk för skada på människors hälsa eller miljön.</t>
        </is>
      </c>
      <c r="L1943" t="inlineStr">
        <is>
          <t>11 § ska den som hanterar avfall se till att hanteringen inte skadar eller orsakar risk för skada på människors hälsa eller miljön.</t>
        </is>
      </c>
      <c r="M1943" t="inlineStr">
        <is>
          <t>SKA</t>
        </is>
      </c>
      <c r="N1943" t="inlineStr"/>
      <c r="O1943" t="inlineStr"/>
      <c r="P1943" t="inlineStr"/>
      <c r="Q1943" t="inlineStr"/>
      <c r="R1943" t="inlineStr">
        <is>
          <t>Vid risk for incident</t>
        </is>
      </c>
      <c r="S1943" t="inlineStr"/>
      <c r="T1943" t="inlineStr">
        <is>
          <t>212000</t>
        </is>
      </c>
      <c r="U1943" t="inlineStr"/>
      <c r="V1943" t="inlineStr"/>
      <c r="W1943" t="inlineStr">
        <is>
          <t>Nej</t>
        </is>
      </c>
      <c r="X1943" t="inlineStr">
        <is>
          <t>Nej</t>
        </is>
      </c>
      <c r="Y1943" t="inlineStr">
        <is>
          <t>Ja</t>
        </is>
      </c>
      <c r="Z1943" t="inlineStr">
        <is>
          <t>Ja</t>
        </is>
      </c>
      <c r="AA1943" t="n">
        <v>8</v>
      </c>
      <c r="AB1943" t="inlineStr">
        <is>
          <t>Riskhantering</t>
        </is>
      </c>
      <c r="AC1943" t="inlineStr">
        <is>
          <t>Risk-PM</t>
        </is>
      </c>
      <c r="AD1943" t="inlineStr">
        <is>
          <t>Nej</t>
        </is>
      </c>
      <c r="AE1943" t="inlineStr">
        <is>
          <t>Nej</t>
        </is>
      </c>
      <c r="AF1943" t="inlineStr">
        <is>
          <t>Ej behandlad</t>
        </is>
      </c>
      <c r="AG1943" t="inlineStr">
        <is>
          <t>AUTO_GENERERAD. Verifiera citat mot kallfil.</t>
        </is>
      </c>
      <c r="AH1943" t="inlineStr">
        <is>
          <t>MEDIUM</t>
        </is>
      </c>
      <c r="AI1943" t="inlineStr">
        <is>
          <t>AUTO</t>
        </is>
      </c>
      <c r="AJ1943" t="inlineStr">
        <is>
          <t>Nej</t>
        </is>
      </c>
      <c r="AK1943" t="inlineStr"/>
      <c r="AL1943" t="inlineStr"/>
      <c r="AM1943" t="inlineStr"/>
      <c r="AN1943" t="inlineStr"/>
      <c r="AO1943" t="inlineStr">
        <is>
          <t>cmm4yunq500xncuqwxnsgzop8</t>
        </is>
      </c>
      <c r="AP1943" t="inlineStr">
        <is>
          <t>http://localhost:8787/api/admin/requirements/documents/cmm4yunq500xncuqwxnsgzop8/view</t>
        </is>
      </c>
      <c r="AQ1943">
        <f>HYPERLÄNK("http://localhost:8787/api/admin/requirements/documents/cmm4yunq500xncuqwxnsgzop8/view";"Öppna PDF")</f>
        <v/>
      </c>
      <c r="AR1943">
        <f>HYPERLINK("http://localhost:8787/api/admin/requirements/documents/cmm4yunq500xncuqwxnsgzop8/view","Open PDF")</f>
        <v/>
      </c>
      <c r="AS1943" t="inlineStr">
        <is>
          <t>cmm55w57p0004cuisfrtpqly8</t>
        </is>
      </c>
      <c r="AT1943" t="inlineStr">
        <is>
          <t>cmm4xvu980000cuh4vj0usz09</t>
        </is>
      </c>
      <c r="AU1943" t="inlineStr">
        <is>
          <t>Filipstads</t>
        </is>
      </c>
      <c r="AV1943" t="inlineStr">
        <is>
          <t>Kommun</t>
        </is>
      </c>
      <c r="AW1943" t="inlineStr">
        <is>
          <t>Filipstads kommun</t>
        </is>
      </c>
      <c r="AX1943" t="inlineStr">
        <is>
          <t>2025-235</t>
        </is>
      </c>
      <c r="AY1943" t="inlineStr">
        <is>
          <t>Beslut</t>
        </is>
      </c>
      <c r="AZ1943" t="inlineStr">
        <is>
          <t>2026-02-03</t>
        </is>
      </c>
      <c r="BA1943" t="inlineStr">
        <is>
          <t>Beslut Mossen.pdf</t>
        </is>
      </c>
      <c r="BB1943" t="inlineStr">
        <is>
          <t>till registrator</t>
        </is>
      </c>
      <c r="BC1943" t="inlineStr">
        <is>
          <t>AUTO</t>
        </is>
      </c>
      <c r="BD1943" t="inlineStr"/>
      <c r="BE1943" t="inlineStr"/>
      <c r="BF1943" t="inlineStr">
        <is>
          <t>AUTO_GENERERAD. Bekrafta metadata mot kallfil.</t>
        </is>
      </c>
      <c r="BG1943">
        <f>HYPERLINK("C:\Users\jimmy\Desktop\Examens arbete\Kod\Ny mapp\remix_-copy-of-miljöbeslut.se-portal\Beslut Mossen.pdf", "Öppna PDF")</f>
        <v/>
      </c>
    </row>
    <row r="1944">
      <c r="A1944" t="inlineStr">
        <is>
          <t>KRAV-AUTO-001943</t>
        </is>
      </c>
      <c r="B1944" t="inlineStr">
        <is>
          <t>ADMIN-INDEX-2026-02-27-00000000125C043F57453246863FE664CAFE6A3F0700950291EA24F0614FB6ACEDB12BF0E31D00000000010C0000950291EA24F0614FB6ACEDB12BF0E31D00002087AF120000</t>
        </is>
      </c>
      <c r="C1944" t="inlineStr">
        <is>
          <t>cmm4yunpk00x8cuqwemlg5ckk</t>
        </is>
      </c>
      <c r="D1944" t="inlineStr">
        <is>
          <t>http://localhost:8787/api/admin/requirements/documents/cmm4yunpk00x8cuqwemlg5ckk/view</t>
        </is>
      </c>
      <c r="E1944">
        <f>HYPERLÄNK("http://localhost:8787/api/admin/requirements/documents/cmm4yunpk00x8cuqwemlg5ckk/view";"Öppna PDF")</f>
        <v/>
      </c>
      <c r="F1944">
        <f>HYPERLINK("http://localhost:8787/api/admin/requirements/documents/cmm4yunpk00x8cuqwemlg5ckk/view","Open PDF")</f>
        <v/>
      </c>
      <c r="G1944" t="inlineStr">
        <is>
          <t>cmm55w57p0004cuisfrtpqly8</t>
        </is>
      </c>
      <c r="H1944" t="inlineStr">
        <is>
          <t>Informationskrav</t>
        </is>
      </c>
      <c r="I1944" t="inlineStr">
        <is>
          <t>MiljopaverkanForsiktighet</t>
        </is>
      </c>
      <c r="J1944" t="inlineStr">
        <is>
          <t>Skyddsatgarder</t>
        </is>
      </c>
      <c r="K1944" t="inlineStr">
        <is>
          <t>Verksamheten gäller mellanlagring av trädgårdsavfall, material för anläggningsarbete, väggrus samt hästgödsel som ska användas i egna planteringar.</t>
        </is>
      </c>
      <c r="L1944" t="inlineStr">
        <is>
          <t>Verksamheten gäller mellanlagring av trädgårdsavfall, material för anläggningsarbete, väggrus samt hästgödsel som ska användas i egna planteringar.</t>
        </is>
      </c>
      <c r="M1944" t="inlineStr">
        <is>
          <t>SKA</t>
        </is>
      </c>
      <c r="N1944" t="inlineStr"/>
      <c r="O1944" t="inlineStr"/>
      <c r="P1944" t="inlineStr"/>
      <c r="Q1944" t="inlineStr"/>
      <c r="R1944" t="inlineStr">
        <is>
          <t>Alltid</t>
        </is>
      </c>
      <c r="S1944" t="inlineStr"/>
      <c r="T1944" t="inlineStr">
        <is>
          <t>212000</t>
        </is>
      </c>
      <c r="U1944" t="inlineStr"/>
      <c r="V1944" t="inlineStr"/>
      <c r="W1944" t="inlineStr">
        <is>
          <t>Nej</t>
        </is>
      </c>
      <c r="X1944" t="inlineStr">
        <is>
          <t>Nej</t>
        </is>
      </c>
      <c r="Y1944" t="inlineStr">
        <is>
          <t>Nej</t>
        </is>
      </c>
      <c r="Z1944" t="inlineStr">
        <is>
          <t>Nej</t>
        </is>
      </c>
      <c r="AA1944" t="n">
        <v>10</v>
      </c>
      <c r="AB1944" t="inlineStr">
        <is>
          <t>Miljopaverkan och forsiktighetsmatt</t>
        </is>
      </c>
      <c r="AC1944" t="inlineStr">
        <is>
          <t>Miljo-PM</t>
        </is>
      </c>
      <c r="AD1944" t="inlineStr">
        <is>
          <t>Nej</t>
        </is>
      </c>
      <c r="AE1944" t="inlineStr">
        <is>
          <t>Nej</t>
        </is>
      </c>
      <c r="AF1944" t="inlineStr">
        <is>
          <t>Ej behandlad</t>
        </is>
      </c>
      <c r="AG1944" t="inlineStr">
        <is>
          <t>AUTO_GENERERAD. Verifiera citat mot kallfil.</t>
        </is>
      </c>
      <c r="AH1944" t="inlineStr">
        <is>
          <t>MEDIUM</t>
        </is>
      </c>
      <c r="AI1944" t="inlineStr">
        <is>
          <t>AUTO</t>
        </is>
      </c>
      <c r="AJ1944" t="inlineStr">
        <is>
          <t>Nej</t>
        </is>
      </c>
      <c r="AK1944" t="inlineStr"/>
      <c r="AL1944" t="inlineStr"/>
      <c r="AM1944" t="inlineStr"/>
      <c r="AN1944" t="inlineStr"/>
      <c r="AO1944" t="inlineStr">
        <is>
          <t>cmm4yunq500xncuqwxnsgzop8</t>
        </is>
      </c>
      <c r="AP1944" t="inlineStr">
        <is>
          <t>http://localhost:8787/api/admin/requirements/documents/cmm4yunq500xncuqwxnsgzop8/view</t>
        </is>
      </c>
      <c r="AQ1944">
        <f>HYPERLÄNK("http://localhost:8787/api/admin/requirements/documents/cmm4yunq500xncuqwxnsgzop8/view";"Öppna PDF")</f>
        <v/>
      </c>
      <c r="AR1944">
        <f>HYPERLINK("http://localhost:8787/api/admin/requirements/documents/cmm4yunq500xncuqwxnsgzop8/view","Open PDF")</f>
        <v/>
      </c>
      <c r="AS1944" t="inlineStr">
        <is>
          <t>cmm55w57p0004cuisfrtpqly8</t>
        </is>
      </c>
      <c r="AT1944" t="inlineStr">
        <is>
          <t>cmm4xvu980000cuh4vj0usz09</t>
        </is>
      </c>
      <c r="AU1944" t="inlineStr">
        <is>
          <t>Filipstads</t>
        </is>
      </c>
      <c r="AV1944" t="inlineStr">
        <is>
          <t>Kommun</t>
        </is>
      </c>
      <c r="AW1944" t="inlineStr">
        <is>
          <t>Filipstads kommun</t>
        </is>
      </c>
      <c r="AX1944" t="inlineStr">
        <is>
          <t>2025-235</t>
        </is>
      </c>
      <c r="AY1944" t="inlineStr">
        <is>
          <t>Beslut</t>
        </is>
      </c>
      <c r="AZ1944" t="inlineStr">
        <is>
          <t>2026-02-03</t>
        </is>
      </c>
      <c r="BA1944" t="inlineStr">
        <is>
          <t>Beslut Mossen.pdf</t>
        </is>
      </c>
      <c r="BB1944" t="inlineStr">
        <is>
          <t>till registrator</t>
        </is>
      </c>
      <c r="BC1944" t="inlineStr">
        <is>
          <t>AUTO</t>
        </is>
      </c>
      <c r="BD1944" t="inlineStr"/>
      <c r="BE1944" t="inlineStr"/>
      <c r="BF1944" t="inlineStr">
        <is>
          <t>AUTO_GENERERAD. Bekrafta metadata mot kallfil.</t>
        </is>
      </c>
      <c r="BG1944">
        <f>HYPERLINK("C:\Users\jimmy\Desktop\Examens arbete\Kod\Ny mapp\remix_-copy-of-miljöbeslut.se-portal\Beslut Mossen.pdf", "Öppna PDF")</f>
        <v/>
      </c>
    </row>
    <row r="1945">
      <c r="A1945" t="inlineStr">
        <is>
          <t>KRAV-AUTO-001944</t>
        </is>
      </c>
      <c r="B1945" t="inlineStr">
        <is>
          <t>ADMIN-INDEX-2026-02-27-00000000125C043F57453246863FE664CAFE6A3F0700950291EA24F0614FB6ACEDB12BF0E31D00000000010C0000950291EA24F0614FB6ACEDB12BF0E31D00002087AF120000</t>
        </is>
      </c>
      <c r="C1945" t="inlineStr">
        <is>
          <t>cmm4yunph00x5cuqwtbxthcdi</t>
        </is>
      </c>
      <c r="D1945" t="inlineStr">
        <is>
          <t>http://localhost:8787/api/admin/requirements/documents/cmm4yunph00x5cuqwtbxthcdi/view</t>
        </is>
      </c>
      <c r="E1945">
        <f>HYPERLÄNK("http://localhost:8787/api/admin/requirements/documents/cmm4yunph00x5cuqwtbxthcdi/view";"Öppna PDF")</f>
        <v/>
      </c>
      <c r="F1945">
        <f>HYPERLINK("http://localhost:8787/api/admin/requirements/documents/cmm4yunph00x5cuqwtbxthcdi/view","Open PDF")</f>
        <v/>
      </c>
      <c r="G1945" t="inlineStr">
        <is>
          <t>cmm55w57p0004cuisfrtpqly8</t>
        </is>
      </c>
      <c r="H1945" t="inlineStr">
        <is>
          <t>Kompletteringskrav</t>
        </is>
      </c>
      <c r="I1945" t="inlineStr">
        <is>
          <t>DagvattenLakvatten</t>
        </is>
      </c>
      <c r="J1945" t="inlineStr">
        <is>
          <t>Uppsamling</t>
        </is>
      </c>
      <c r="K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45" t="inlineStr">
        <is>
          <t>SKA</t>
        </is>
      </c>
      <c r="N1945" t="inlineStr"/>
      <c r="O1945" t="inlineStr"/>
      <c r="P1945" t="inlineStr"/>
      <c r="Q1945" t="inlineStr"/>
      <c r="R1945" t="inlineStr">
        <is>
          <t>Vid nederbord och avrinning</t>
        </is>
      </c>
      <c r="S1945" t="inlineStr"/>
      <c r="T1945" t="inlineStr">
        <is>
          <t>188244</t>
        </is>
      </c>
      <c r="U1945" t="inlineStr"/>
      <c r="V1945" t="inlineStr"/>
      <c r="W1945" t="inlineStr">
        <is>
          <t>Nej</t>
        </is>
      </c>
      <c r="X1945" t="inlineStr">
        <is>
          <t>Ja</t>
        </is>
      </c>
      <c r="Y1945" t="inlineStr">
        <is>
          <t>Ja</t>
        </is>
      </c>
      <c r="Z1945" t="inlineStr">
        <is>
          <t>Nej</t>
        </is>
      </c>
      <c r="AA1945" t="n">
        <v>6</v>
      </c>
      <c r="AB1945" t="inlineStr">
        <is>
          <t>Lakvattenhantering</t>
        </is>
      </c>
      <c r="AC1945" t="inlineStr">
        <is>
          <t>Flodesschema dagvatten-lakvatten</t>
        </is>
      </c>
      <c r="AD1945" t="inlineStr">
        <is>
          <t>Nej</t>
        </is>
      </c>
      <c r="AE1945" t="inlineStr">
        <is>
          <t>Nej</t>
        </is>
      </c>
      <c r="AF1945" t="inlineStr">
        <is>
          <t>Ej behandlad</t>
        </is>
      </c>
      <c r="AG1945" t="inlineStr">
        <is>
          <t>AUTO_GENERERAD. Verifiera citat mot kallfil.</t>
        </is>
      </c>
      <c r="AH1945" t="inlineStr">
        <is>
          <t>MEDIUM</t>
        </is>
      </c>
      <c r="AI1945" t="inlineStr">
        <is>
          <t>AUTO</t>
        </is>
      </c>
      <c r="AJ1945" t="inlineStr">
        <is>
          <t>Nej</t>
        </is>
      </c>
      <c r="AK1945" t="inlineStr"/>
      <c r="AL1945" t="inlineStr"/>
      <c r="AM1945" t="inlineStr"/>
      <c r="AN1945" t="inlineStr"/>
      <c r="AO1945" t="inlineStr">
        <is>
          <t>cmm4yunq500xncuqwxnsgzop8</t>
        </is>
      </c>
      <c r="AP1945" t="inlineStr">
        <is>
          <t>http://localhost:8787/api/admin/requirements/documents/cmm4yunq500xncuqwxnsgzop8/view</t>
        </is>
      </c>
      <c r="AQ1945">
        <f>HYPERLÄNK("http://localhost:8787/api/admin/requirements/documents/cmm4yunq500xncuqwxnsgzop8/view";"Öppna PDF")</f>
        <v/>
      </c>
      <c r="AR1945">
        <f>HYPERLINK("http://localhost:8787/api/admin/requirements/documents/cmm4yunq500xncuqwxnsgzop8/view","Open PDF")</f>
        <v/>
      </c>
      <c r="AS1945" t="inlineStr">
        <is>
          <t>cmm55w57p0004cuisfrtpqly8</t>
        </is>
      </c>
      <c r="AT1945" t="inlineStr">
        <is>
          <t>cmm4xvu980000cuh4vj0usz09</t>
        </is>
      </c>
      <c r="AU1945" t="inlineStr">
        <is>
          <t>Filipstads</t>
        </is>
      </c>
      <c r="AV1945" t="inlineStr">
        <is>
          <t>Kommun</t>
        </is>
      </c>
      <c r="AW1945" t="inlineStr">
        <is>
          <t>Filipstads kommun</t>
        </is>
      </c>
      <c r="AX1945" t="inlineStr">
        <is>
          <t>2025-235</t>
        </is>
      </c>
      <c r="AY1945" t="inlineStr">
        <is>
          <t>Beslut</t>
        </is>
      </c>
      <c r="AZ1945" t="inlineStr">
        <is>
          <t>2026-02-03</t>
        </is>
      </c>
      <c r="BA1945" t="inlineStr">
        <is>
          <t>Beslut Mossen.pdf</t>
        </is>
      </c>
      <c r="BB1945" t="inlineStr">
        <is>
          <t>till registrator</t>
        </is>
      </c>
      <c r="BC1945" t="inlineStr">
        <is>
          <t>AUTO</t>
        </is>
      </c>
      <c r="BD1945" t="inlineStr"/>
      <c r="BE1945" t="inlineStr"/>
      <c r="BF1945" t="inlineStr">
        <is>
          <t>AUTO_GENERERAD. Bekrafta metadata mot kallfil.</t>
        </is>
      </c>
      <c r="BG1945">
        <f>HYPERLINK("C:\Users\jimmy\Desktop\Examens arbete\Kod\Ny mapp\remix_-copy-of-miljöbeslut.se-portal\Beslut Mossen.pdf", "Öppna PDF")</f>
        <v/>
      </c>
    </row>
    <row r="1946">
      <c r="A1946" t="inlineStr">
        <is>
          <t>KRAV-AUTO-001945</t>
        </is>
      </c>
      <c r="B1946" t="inlineStr">
        <is>
          <t>ADMIN-INDEX-2026-02-27-00000000125C043F57453246863FE664CAFE6A3F0700950291EA24F0614FB6ACEDB12BF0E31D00000000010C0000950291EA24F0614FB6ACEDB12BF0E31D00002087AF120000</t>
        </is>
      </c>
      <c r="C1946" t="inlineStr">
        <is>
          <t>cmm4yunph00x5cuqwtbxthcdi</t>
        </is>
      </c>
      <c r="D1946" t="inlineStr">
        <is>
          <t>http://localhost:8787/api/admin/requirements/documents/cmm4yunph00x5cuqwtbxthcdi/view</t>
        </is>
      </c>
      <c r="E1946">
        <f>HYPERLÄNK("http://localhost:8787/api/admin/requirements/documents/cmm4yunph00x5cuqwtbxthcdi/view";"Öppna PDF")</f>
        <v/>
      </c>
      <c r="F1946">
        <f>HYPERLINK("http://localhost:8787/api/admin/requirements/documents/cmm4yunph00x5cuqwtbxthcdi/view","Open PDF")</f>
        <v/>
      </c>
      <c r="G1946" t="inlineStr">
        <is>
          <t>cmm55w57p0004cuisfrtpqly8</t>
        </is>
      </c>
      <c r="H1946" t="inlineStr">
        <is>
          <t>Kompletteringskrav</t>
        </is>
      </c>
      <c r="I1946" t="inlineStr">
        <is>
          <t>DagvattenLakvatten</t>
        </is>
      </c>
      <c r="J1946" t="inlineStr">
        <is>
          <t>Uppsamling</t>
        </is>
      </c>
      <c r="K1946" t="inlineStr">
        <is>
          <t>• Om en lakvattenbehandling krävs föreslås uppsamlingsdiken vid sidorna om komposten som leds till en infiltrationsbädd med en provtagningsbrunn.</t>
        </is>
      </c>
      <c r="L1946" t="inlineStr">
        <is>
          <t>• Om en lakvattenbehandling krävs föreslås uppsamlingsdiken vid sidorna om komposten som leds till en infiltrationsbädd med en provtagningsbrunn.</t>
        </is>
      </c>
      <c r="M1946" t="inlineStr">
        <is>
          <t>SKA</t>
        </is>
      </c>
      <c r="N1946" t="inlineStr"/>
      <c r="O1946" t="inlineStr"/>
      <c r="P1946" t="inlineStr"/>
      <c r="Q1946" t="inlineStr"/>
      <c r="R1946" t="inlineStr">
        <is>
          <t>Vid nederbord och avrinning</t>
        </is>
      </c>
      <c r="S1946" t="inlineStr"/>
      <c r="T1946" t="inlineStr">
        <is>
          <t>188244</t>
        </is>
      </c>
      <c r="U1946" t="inlineStr"/>
      <c r="V1946" t="inlineStr"/>
      <c r="W1946" t="inlineStr">
        <is>
          <t>Nej</t>
        </is>
      </c>
      <c r="X1946" t="inlineStr">
        <is>
          <t>Ja</t>
        </is>
      </c>
      <c r="Y1946" t="inlineStr">
        <is>
          <t>Ja</t>
        </is>
      </c>
      <c r="Z1946" t="inlineStr">
        <is>
          <t>Nej</t>
        </is>
      </c>
      <c r="AA1946" t="n">
        <v>6</v>
      </c>
      <c r="AB1946" t="inlineStr">
        <is>
          <t>Lakvattenhantering</t>
        </is>
      </c>
      <c r="AC1946" t="inlineStr">
        <is>
          <t>Flodesschema dagvatten-lakvatten</t>
        </is>
      </c>
      <c r="AD1946" t="inlineStr">
        <is>
          <t>Nej</t>
        </is>
      </c>
      <c r="AE1946" t="inlineStr">
        <is>
          <t>Nej</t>
        </is>
      </c>
      <c r="AF1946" t="inlineStr">
        <is>
          <t>Ej behandlad</t>
        </is>
      </c>
      <c r="AG1946" t="inlineStr">
        <is>
          <t>AUTO_GENERERAD. Verifiera citat mot kallfil.</t>
        </is>
      </c>
      <c r="AH1946" t="inlineStr">
        <is>
          <t>MEDIUM</t>
        </is>
      </c>
      <c r="AI1946" t="inlineStr">
        <is>
          <t>AUTO</t>
        </is>
      </c>
      <c r="AJ1946" t="inlineStr">
        <is>
          <t>Nej</t>
        </is>
      </c>
      <c r="AK1946" t="inlineStr"/>
      <c r="AL1946" t="inlineStr"/>
      <c r="AM1946" t="inlineStr"/>
      <c r="AN1946" t="inlineStr"/>
      <c r="AO1946" t="inlineStr">
        <is>
          <t>cmm4yunq500xncuqwxnsgzop8</t>
        </is>
      </c>
      <c r="AP1946" t="inlineStr">
        <is>
          <t>http://localhost:8787/api/admin/requirements/documents/cmm4yunq500xncuqwxnsgzop8/view</t>
        </is>
      </c>
      <c r="AQ1946">
        <f>HYPERLÄNK("http://localhost:8787/api/admin/requirements/documents/cmm4yunq500xncuqwxnsgzop8/view";"Öppna PDF")</f>
        <v/>
      </c>
      <c r="AR1946">
        <f>HYPERLINK("http://localhost:8787/api/admin/requirements/documents/cmm4yunq500xncuqwxnsgzop8/view","Open PDF")</f>
        <v/>
      </c>
      <c r="AS1946" t="inlineStr">
        <is>
          <t>cmm55w57p0004cuisfrtpqly8</t>
        </is>
      </c>
      <c r="AT1946" t="inlineStr">
        <is>
          <t>cmm4xvu980000cuh4vj0usz09</t>
        </is>
      </c>
      <c r="AU1946" t="inlineStr">
        <is>
          <t>Filipstads</t>
        </is>
      </c>
      <c r="AV1946" t="inlineStr">
        <is>
          <t>Kommun</t>
        </is>
      </c>
      <c r="AW1946" t="inlineStr">
        <is>
          <t>Filipstads kommun</t>
        </is>
      </c>
      <c r="AX1946" t="inlineStr">
        <is>
          <t>2025-235</t>
        </is>
      </c>
      <c r="AY1946" t="inlineStr">
        <is>
          <t>Beslut</t>
        </is>
      </c>
      <c r="AZ1946" t="inlineStr">
        <is>
          <t>2026-02-03</t>
        </is>
      </c>
      <c r="BA1946" t="inlineStr">
        <is>
          <t>Beslut Mossen.pdf</t>
        </is>
      </c>
      <c r="BB1946" t="inlineStr">
        <is>
          <t>till registrator</t>
        </is>
      </c>
      <c r="BC1946" t="inlineStr">
        <is>
          <t>AUTO</t>
        </is>
      </c>
      <c r="BD1946" t="inlineStr"/>
      <c r="BE1946" t="inlineStr"/>
      <c r="BF1946" t="inlineStr">
        <is>
          <t>AUTO_GENERERAD. Bekrafta metadata mot kallfil.</t>
        </is>
      </c>
      <c r="BG1946">
        <f>HYPERLINK("C:\Users\jimmy\Desktop\Examens arbete\Kod\Ny mapp\remix_-copy-of-miljöbeslut.se-portal\Beslut Mossen.pdf", "Öppna PDF")</f>
        <v/>
      </c>
    </row>
    <row r="1947">
      <c r="A1947" t="inlineStr">
        <is>
          <t>KRAV-AUTO-001946</t>
        </is>
      </c>
      <c r="B1947" t="inlineStr">
        <is>
          <t>ADMIN-INDEX-2026-02-27-00000000125C043F57453246863FE664CAFE6A3F0700950291EA24F0614FB6ACEDB12BF0E31D00000000010C0000950291EA24F0614FB6ACEDB12BF0E31D00002087AF120000</t>
        </is>
      </c>
      <c r="C1947" t="inlineStr">
        <is>
          <t>cmm4yunph00x5cuqwtbxthcdi</t>
        </is>
      </c>
      <c r="D1947" t="inlineStr">
        <is>
          <t>http://localhost:8787/api/admin/requirements/documents/cmm4yunph00x5cuqwtbxthcdi/view</t>
        </is>
      </c>
      <c r="E1947">
        <f>HYPERLÄNK("http://localhost:8787/api/admin/requirements/documents/cmm4yunph00x5cuqwtbxthcdi/view";"Öppna PDF")</f>
        <v/>
      </c>
      <c r="F1947">
        <f>HYPERLINK("http://localhost:8787/api/admin/requirements/documents/cmm4yunph00x5cuqwtbxthcdi/view","Open PDF")</f>
        <v/>
      </c>
      <c r="G1947" t="inlineStr">
        <is>
          <t>cmm55w57p0004cuisfrtpqly8</t>
        </is>
      </c>
      <c r="H1947" t="inlineStr">
        <is>
          <t>Kompletteringskrav</t>
        </is>
      </c>
      <c r="I1947" t="inlineStr">
        <is>
          <t>LagringsvolymTid</t>
        </is>
      </c>
      <c r="J1947" t="inlineStr">
        <is>
          <t>Maxmangd</t>
        </is>
      </c>
      <c r="K1947" t="inlineStr">
        <is>
          <t>Den mängd trädgårdsavfall som samlas in och som ska komposteras varierar mellan 30-60 ton/år.</t>
        </is>
      </c>
      <c r="L1947" t="inlineStr">
        <is>
          <t>Den mängd trädgårdsavfall som samlas in och som ska komposteras varierar mellan 30-60 ton/år.</t>
        </is>
      </c>
      <c r="M1947" t="inlineStr">
        <is>
          <t>SKA</t>
        </is>
      </c>
      <c r="N1947" t="inlineStr"/>
      <c r="O1947" t="inlineStr"/>
      <c r="P1947" t="inlineStr"/>
      <c r="Q1947" t="inlineStr"/>
      <c r="R1947" t="inlineStr">
        <is>
          <t>Alltid</t>
        </is>
      </c>
      <c r="S1947" t="inlineStr"/>
      <c r="T1947" t="inlineStr">
        <is>
          <t>188244</t>
        </is>
      </c>
      <c r="U1947" t="n">
        <v>60</v>
      </c>
      <c r="V1947" t="inlineStr"/>
      <c r="W1947" t="inlineStr">
        <is>
          <t>Nej</t>
        </is>
      </c>
      <c r="X1947" t="inlineStr">
        <is>
          <t>Nej</t>
        </is>
      </c>
      <c r="Y1947" t="inlineStr">
        <is>
          <t>Nej</t>
        </is>
      </c>
      <c r="Z1947" t="inlineStr">
        <is>
          <t>Nej</t>
        </is>
      </c>
      <c r="AA1947" t="n">
        <v>4</v>
      </c>
      <c r="AB1947" t="inlineStr">
        <is>
          <t>Avfallsmangder och lagringstid</t>
        </is>
      </c>
      <c r="AC1947" t="inlineStr">
        <is>
          <t>Avfallsforteckning</t>
        </is>
      </c>
      <c r="AD1947" t="inlineStr">
        <is>
          <t>Nej</t>
        </is>
      </c>
      <c r="AE1947" t="inlineStr">
        <is>
          <t>Nej</t>
        </is>
      </c>
      <c r="AF1947" t="inlineStr">
        <is>
          <t>Ej behandlad</t>
        </is>
      </c>
      <c r="AG1947" t="inlineStr">
        <is>
          <t>AUTO_GENERERAD. Verifiera citat mot kallfil.</t>
        </is>
      </c>
      <c r="AH1947" t="inlineStr">
        <is>
          <t>MEDIUM</t>
        </is>
      </c>
      <c r="AI1947" t="inlineStr">
        <is>
          <t>AUTO</t>
        </is>
      </c>
      <c r="AJ1947" t="inlineStr">
        <is>
          <t>Nej</t>
        </is>
      </c>
      <c r="AK1947" t="inlineStr"/>
      <c r="AL1947" t="inlineStr"/>
      <c r="AM1947" t="inlineStr"/>
      <c r="AN1947" t="inlineStr"/>
      <c r="AO1947" t="inlineStr">
        <is>
          <t>cmm4yunq500xncuqwxnsgzop8</t>
        </is>
      </c>
      <c r="AP1947" t="inlineStr">
        <is>
          <t>http://localhost:8787/api/admin/requirements/documents/cmm4yunq500xncuqwxnsgzop8/view</t>
        </is>
      </c>
      <c r="AQ1947">
        <f>HYPERLÄNK("http://localhost:8787/api/admin/requirements/documents/cmm4yunq500xncuqwxnsgzop8/view";"Öppna PDF")</f>
        <v/>
      </c>
      <c r="AR1947">
        <f>HYPERLINK("http://localhost:8787/api/admin/requirements/documents/cmm4yunq500xncuqwxnsgzop8/view","Open PDF")</f>
        <v/>
      </c>
      <c r="AS1947" t="inlineStr">
        <is>
          <t>cmm55w57p0004cuisfrtpqly8</t>
        </is>
      </c>
      <c r="AT1947" t="inlineStr">
        <is>
          <t>cmm4xvu980000cuh4vj0usz09</t>
        </is>
      </c>
      <c r="AU1947" t="inlineStr">
        <is>
          <t>Filipstads</t>
        </is>
      </c>
      <c r="AV1947" t="inlineStr">
        <is>
          <t>Kommun</t>
        </is>
      </c>
      <c r="AW1947" t="inlineStr">
        <is>
          <t>Filipstads kommun</t>
        </is>
      </c>
      <c r="AX1947" t="inlineStr">
        <is>
          <t>2025-235</t>
        </is>
      </c>
      <c r="AY1947" t="inlineStr">
        <is>
          <t>Beslut</t>
        </is>
      </c>
      <c r="AZ1947" t="inlineStr">
        <is>
          <t>2026-02-03</t>
        </is>
      </c>
      <c r="BA1947" t="inlineStr">
        <is>
          <t>Beslut Mossen.pdf</t>
        </is>
      </c>
      <c r="BB1947" t="inlineStr">
        <is>
          <t>till registrator</t>
        </is>
      </c>
      <c r="BC1947" t="inlineStr">
        <is>
          <t>AUTO</t>
        </is>
      </c>
      <c r="BD1947" t="inlineStr"/>
      <c r="BE1947" t="inlineStr"/>
      <c r="BF1947" t="inlineStr">
        <is>
          <t>AUTO_GENERERAD. Bekrafta metadata mot kallfil.</t>
        </is>
      </c>
      <c r="BG1947">
        <f>HYPERLINK("C:\Users\jimmy\Desktop\Examens arbete\Kod\Ny mapp\remix_-copy-of-miljöbeslut.se-portal\Beslut Mossen.pdf", "Öppna PDF")</f>
        <v/>
      </c>
    </row>
    <row r="1948">
      <c r="A1948" t="inlineStr">
        <is>
          <t>KRAV-AUTO-001947</t>
        </is>
      </c>
      <c r="B1948" t="inlineStr">
        <is>
          <t>ADMIN-INDEX-2026-02-27-00000000125C043F57453246863FE664CAFE6A3F0700950291EA24F0614FB6ACEDB12BF0E31D00000000010C0000950291EA24F0614FB6ACEDB12BF0E31D00002087B1720000</t>
        </is>
      </c>
      <c r="C1948" t="inlineStr">
        <is>
          <t>cmm4yunpb00wzcuqw0xf5ut8v</t>
        </is>
      </c>
      <c r="D1948" t="inlineStr">
        <is>
          <t>http://localhost:8787/api/admin/requirements/documents/cmm4yunpb00wzcuqw0xf5ut8v/view</t>
        </is>
      </c>
      <c r="E1948">
        <f>HYPERLÄNK("http://localhost:8787/api/admin/requirements/documents/cmm4yunpb00wzcuqw0xf5ut8v/view";"Öppna PDF")</f>
        <v/>
      </c>
      <c r="F1948">
        <f>HYPERLINK("http://localhost:8787/api/admin/requirements/documents/cmm4yunpb00wzcuqw0xf5ut8v/view","Open PDF")</f>
        <v/>
      </c>
      <c r="G1948" t="inlineStr">
        <is>
          <t>cmm55w57p0004cuisfrtpqly8</t>
        </is>
      </c>
      <c r="H1948" t="inlineStr">
        <is>
          <t>Kompletteringskrav</t>
        </is>
      </c>
      <c r="I1948" t="inlineStr">
        <is>
          <t>DriftEgenkontroll</t>
        </is>
      </c>
      <c r="J1948" t="inlineStr">
        <is>
          <t>Journalforing</t>
        </is>
      </c>
      <c r="K1948" t="inlineStr">
        <is>
          <t>På tillsynsmyndighetens begäran ska verksamheten lämna förslag på kontrollprogram eller förbättrande åtgärder.</t>
        </is>
      </c>
      <c r="L1948" t="inlineStr">
        <is>
          <t>På tillsynsmyndighetens begäran ska verksamheten lämna förslag på kontrollprogram eller förbättrande åtgärder.</t>
        </is>
      </c>
      <c r="M1948" t="inlineStr">
        <is>
          <t>SKA</t>
        </is>
      </c>
      <c r="N1948" t="inlineStr">
        <is>
          <t>Miljobalken</t>
        </is>
      </c>
      <c r="O1948" t="inlineStr"/>
      <c r="P1948" t="inlineStr"/>
      <c r="Q1948" t="inlineStr"/>
      <c r="R1948" t="inlineStr">
        <is>
          <t>Lopande drift</t>
        </is>
      </c>
      <c r="S1948" t="inlineStr"/>
      <c r="T1948" t="inlineStr">
        <is>
          <t>52 0140</t>
        </is>
      </c>
      <c r="U1948" t="inlineStr"/>
      <c r="V1948" t="inlineStr"/>
      <c r="W1948" t="inlineStr">
        <is>
          <t>Nej</t>
        </is>
      </c>
      <c r="X1948" t="inlineStr">
        <is>
          <t>Nej</t>
        </is>
      </c>
      <c r="Y1948" t="inlineStr">
        <is>
          <t>Ja</t>
        </is>
      </c>
      <c r="Z1948" t="inlineStr">
        <is>
          <t>Nej</t>
        </is>
      </c>
      <c r="AA1948" t="n">
        <v>7</v>
      </c>
      <c r="AB1948" t="inlineStr">
        <is>
          <t>Egenkontrollrutiner</t>
        </is>
      </c>
      <c r="AC1948" t="inlineStr">
        <is>
          <t>Egenkontrollprogram</t>
        </is>
      </c>
      <c r="AD1948" t="inlineStr">
        <is>
          <t>Nej</t>
        </is>
      </c>
      <c r="AE1948" t="inlineStr">
        <is>
          <t>Nej</t>
        </is>
      </c>
      <c r="AF1948" t="inlineStr">
        <is>
          <t>Ej behandlad</t>
        </is>
      </c>
      <c r="AG1948" t="inlineStr">
        <is>
          <t>AUTO_GENERERAD. Verifiera citat mot kallfil.</t>
        </is>
      </c>
      <c r="AH1948" t="inlineStr">
        <is>
          <t>HIGH</t>
        </is>
      </c>
      <c r="AI1948" t="inlineStr">
        <is>
          <t>AUTO</t>
        </is>
      </c>
      <c r="AJ1948" t="inlineStr">
        <is>
          <t>Nej</t>
        </is>
      </c>
      <c r="AK1948" t="inlineStr"/>
      <c r="AL1948" t="inlineStr"/>
      <c r="AM1948" t="inlineStr"/>
      <c r="AN1948" t="inlineStr"/>
      <c r="AO1948" t="inlineStr">
        <is>
          <t>cmm4yunpb00wzcuqw0xf5ut8v</t>
        </is>
      </c>
      <c r="AP1948" t="inlineStr">
        <is>
          <t>http://localhost:8787/api/admin/requirements/documents/cmm4yunpb00wzcuqw0xf5ut8v/view</t>
        </is>
      </c>
      <c r="AQ1948">
        <f>HYPERLÄNK("http://localhost:8787/api/admin/requirements/documents/cmm4yunpb00wzcuqw0xf5ut8v/view";"Öppna PDF")</f>
        <v/>
      </c>
      <c r="AR1948">
        <f>HYPERLINK("http://localhost:8787/api/admin/requirements/documents/cmm4yunpb00wzcuqw0xf5ut8v/view","Open PDF")</f>
        <v/>
      </c>
      <c r="AS1948" t="inlineStr">
        <is>
          <t>cmm55w57p0004cuisfrtpqly8</t>
        </is>
      </c>
      <c r="AT1948" t="inlineStr">
        <is>
          <t>cmm4xvu980000cuh4vj0usz09</t>
        </is>
      </c>
      <c r="AU1948" t="inlineStr">
        <is>
          <t>Besöksadress Telefon E-post Webb Tranås</t>
        </is>
      </c>
      <c r="AV1948" t="inlineStr">
        <is>
          <t>Kommun</t>
        </is>
      </c>
      <c r="AW1948" t="inlineStr">
        <is>
          <t>Besöksadress Telefon E-post Webb Tranås kommun</t>
        </is>
      </c>
      <c r="AX1948" t="inlineStr">
        <is>
          <t>2025-10</t>
        </is>
      </c>
      <c r="AY1948" t="inlineStr">
        <is>
          <t>Forelaggande</t>
        </is>
      </c>
      <c r="AZ1948" t="inlineStr">
        <is>
          <t>2026-02-03</t>
        </is>
      </c>
      <c r="BA1948" t="inlineStr">
        <is>
          <t>M-2025-829--Föreläggande enligt miljöbalken .pdf</t>
        </is>
      </c>
      <c r="BB1948" t="inlineStr">
        <is>
          <t>handlingar</t>
        </is>
      </c>
      <c r="BC1948" t="inlineStr">
        <is>
          <t>AUTO</t>
        </is>
      </c>
      <c r="BD1948" t="inlineStr"/>
      <c r="BE1948" t="inlineStr"/>
      <c r="BF1948" t="inlineStr">
        <is>
          <t>AUTO_GENERERAD. Bekrafta metadata mot kallfil.</t>
        </is>
      </c>
      <c r="BG1948">
        <f>HYPERLINK("C:\Users\jimmy\Desktop\Examens arbete\Kod\Ny mapp\remix_-copy-of-miljöbeslut.se-portal\M-2025-829--Föreläggande enligt miljöbalken .pdf", "Öppna PDF")</f>
        <v/>
      </c>
    </row>
    <row r="1949">
      <c r="A1949" t="inlineStr">
        <is>
          <t>KRAV-AUTO-001948</t>
        </is>
      </c>
      <c r="B1949" t="inlineStr">
        <is>
          <t>ADMIN-INDEX-2026-02-27-00000000125C043F57453246863FE664CAFE6A3F0700950291EA24F0614FB6ACEDB12BF0E31D00000000010C0000950291EA24F0614FB6ACEDB12BF0E31D00002087B1720000</t>
        </is>
      </c>
      <c r="C1949" t="inlineStr">
        <is>
          <t>cmm4yunpb00wzcuqw0xf5ut8v</t>
        </is>
      </c>
      <c r="D1949" t="inlineStr">
        <is>
          <t>http://localhost:8787/api/admin/requirements/documents/cmm4yunpb00wzcuqw0xf5ut8v/view</t>
        </is>
      </c>
      <c r="E1949">
        <f>HYPERLÄNK("http://localhost:8787/api/admin/requirements/documents/cmm4yunpb00wzcuqw0xf5ut8v/view";"Öppna PDF")</f>
        <v/>
      </c>
      <c r="F1949">
        <f>HYPERLINK("http://localhost:8787/api/admin/requirements/documents/cmm4yunpb00wzcuqw0xf5ut8v/view","Open PDF")</f>
        <v/>
      </c>
      <c r="G1949" t="inlineStr">
        <is>
          <t>cmm55w57p0004cuisfrtpqly8</t>
        </is>
      </c>
      <c r="H1949" t="inlineStr">
        <is>
          <t>Kompletteringskrav</t>
        </is>
      </c>
      <c r="I1949" t="inlineStr">
        <is>
          <t>Riskhantering</t>
        </is>
      </c>
      <c r="J1949" t="inlineStr">
        <is>
          <t>Riskkontroll</t>
        </is>
      </c>
      <c r="K1949" t="inlineStr">
        <is>
          <t>Vid anläggningsarbetet ska risk för skred iakttas och vid behov förebyggas Beslutet fattas med stöd av 26 kapitlet 9 § miljöbalken och med hänvisning till 26 kapitlet 19, 21, 22 §§ samt 2 kapitlet 2 och 3 §§ miljöbalken.</t>
        </is>
      </c>
      <c r="L1949" t="inlineStr">
        <is>
          <t>Vid anläggningsarbetet ska risk för skred iakttas och vid behov förebyggas Beslutet fattas med stöd av 26 kapitlet 9 § miljöbalken och med hänvisning till 26 kapitlet 19, 21, 22 §§ samt 2 kapitlet 2 och 3 §§ miljöbalken.</t>
        </is>
      </c>
      <c r="M1949" t="inlineStr">
        <is>
          <t>SKA</t>
        </is>
      </c>
      <c r="N1949" t="inlineStr">
        <is>
          <t>Miljobalken</t>
        </is>
      </c>
      <c r="O1949" t="inlineStr"/>
      <c r="P1949" t="inlineStr"/>
      <c r="Q1949" t="inlineStr"/>
      <c r="R1949" t="inlineStr">
        <is>
          <t>Vid risk for incident</t>
        </is>
      </c>
      <c r="S1949" t="inlineStr"/>
      <c r="T1949" t="inlineStr">
        <is>
          <t>52 0140</t>
        </is>
      </c>
      <c r="U1949" t="inlineStr"/>
      <c r="V1949" t="inlineStr"/>
      <c r="W1949" t="inlineStr">
        <is>
          <t>Nej</t>
        </is>
      </c>
      <c r="X1949" t="inlineStr">
        <is>
          <t>Nej</t>
        </is>
      </c>
      <c r="Y1949" t="inlineStr">
        <is>
          <t>Ja</t>
        </is>
      </c>
      <c r="Z1949" t="inlineStr">
        <is>
          <t>Ja</t>
        </is>
      </c>
      <c r="AA1949" t="n">
        <v>8</v>
      </c>
      <c r="AB1949" t="inlineStr">
        <is>
          <t>Riskhantering</t>
        </is>
      </c>
      <c r="AC1949" t="inlineStr">
        <is>
          <t>Risk-PM</t>
        </is>
      </c>
      <c r="AD1949" t="inlineStr">
        <is>
          <t>Nej</t>
        </is>
      </c>
      <c r="AE1949" t="inlineStr">
        <is>
          <t>Nej</t>
        </is>
      </c>
      <c r="AF1949" t="inlineStr">
        <is>
          <t>Ej behandlad</t>
        </is>
      </c>
      <c r="AG1949" t="inlineStr">
        <is>
          <t>AUTO_GENERERAD. Verifiera citat mot kallfil.</t>
        </is>
      </c>
      <c r="AH1949" t="inlineStr">
        <is>
          <t>HIGH</t>
        </is>
      </c>
      <c r="AI1949" t="inlineStr">
        <is>
          <t>AUTO</t>
        </is>
      </c>
      <c r="AJ1949" t="inlineStr">
        <is>
          <t>Nej</t>
        </is>
      </c>
      <c r="AK1949" t="inlineStr"/>
      <c r="AL1949" t="inlineStr"/>
      <c r="AM1949" t="inlineStr"/>
      <c r="AN1949" t="inlineStr"/>
      <c r="AO1949" t="inlineStr">
        <is>
          <t>cmm4yunpb00wzcuqw0xf5ut8v</t>
        </is>
      </c>
      <c r="AP1949" t="inlineStr">
        <is>
          <t>http://localhost:8787/api/admin/requirements/documents/cmm4yunpb00wzcuqw0xf5ut8v/view</t>
        </is>
      </c>
      <c r="AQ1949">
        <f>HYPERLÄNK("http://localhost:8787/api/admin/requirements/documents/cmm4yunpb00wzcuqw0xf5ut8v/view";"Öppna PDF")</f>
        <v/>
      </c>
      <c r="AR1949">
        <f>HYPERLINK("http://localhost:8787/api/admin/requirements/documents/cmm4yunpb00wzcuqw0xf5ut8v/view","Open PDF")</f>
        <v/>
      </c>
      <c r="AS1949" t="inlineStr">
        <is>
          <t>cmm55w57p0004cuisfrtpqly8</t>
        </is>
      </c>
      <c r="AT1949" t="inlineStr">
        <is>
          <t>cmm4xvu980000cuh4vj0usz09</t>
        </is>
      </c>
      <c r="AU1949" t="inlineStr">
        <is>
          <t>Besöksadress Telefon E-post Webb Tranås</t>
        </is>
      </c>
      <c r="AV1949" t="inlineStr">
        <is>
          <t>Kommun</t>
        </is>
      </c>
      <c r="AW1949" t="inlineStr">
        <is>
          <t>Besöksadress Telefon E-post Webb Tranås kommun</t>
        </is>
      </c>
      <c r="AX1949" t="inlineStr">
        <is>
          <t>2025-10</t>
        </is>
      </c>
      <c r="AY1949" t="inlineStr">
        <is>
          <t>Forelaggande</t>
        </is>
      </c>
      <c r="AZ1949" t="inlineStr">
        <is>
          <t>2026-02-03</t>
        </is>
      </c>
      <c r="BA1949" t="inlineStr">
        <is>
          <t>M-2025-829--Föreläggande enligt miljöbalken .pdf</t>
        </is>
      </c>
      <c r="BB1949" t="inlineStr">
        <is>
          <t>handlingar</t>
        </is>
      </c>
      <c r="BC1949" t="inlineStr">
        <is>
          <t>AUTO</t>
        </is>
      </c>
      <c r="BD1949" t="inlineStr"/>
      <c r="BE1949" t="inlineStr"/>
      <c r="BF1949" t="inlineStr">
        <is>
          <t>AUTO_GENERERAD. Bekrafta metadata mot kallfil.</t>
        </is>
      </c>
      <c r="BG1949">
        <f>HYPERLINK("C:\Users\jimmy\Desktop\Examens arbete\Kod\Ny mapp\remix_-copy-of-miljöbeslut.se-portal\M-2025-829--Föreläggande enligt miljöbalken .pdf", "Öppna PDF")</f>
        <v/>
      </c>
    </row>
    <row r="1950">
      <c r="A1950" t="inlineStr">
        <is>
          <t>KRAV-AUTO-001949</t>
        </is>
      </c>
      <c r="B1950" t="inlineStr">
        <is>
          <t>ADMIN-INDEX-2026-02-27-00000000125C043F57453246863FE664CAFE6A3F0700950291EA24F0614FB6ACEDB12BF0E31D00000000010C0000950291EA24F0614FB6ACEDB12BF0E31D00002087B1720000</t>
        </is>
      </c>
      <c r="C1950" t="inlineStr">
        <is>
          <t>cmm4yunpb00wzcuqw0xf5ut8v</t>
        </is>
      </c>
      <c r="D1950" t="inlineStr">
        <is>
          <t>http://localhost:8787/api/admin/requirements/documents/cmm4yunpb00wzcuqw0xf5ut8v/view</t>
        </is>
      </c>
      <c r="E1950">
        <f>HYPERLÄNK("http://localhost:8787/api/admin/requirements/documents/cmm4yunpb00wzcuqw0xf5ut8v/view";"Öppna PDF")</f>
        <v/>
      </c>
      <c r="F1950">
        <f>HYPERLINK("http://localhost:8787/api/admin/requirements/documents/cmm4yunpb00wzcuqw0xf5ut8v/view","Open PDF")</f>
        <v/>
      </c>
      <c r="G1950" t="inlineStr">
        <is>
          <t>cmm55w57p0004cuisfrtpqly8</t>
        </is>
      </c>
      <c r="H1950" t="inlineStr">
        <is>
          <t>Kompletteringskrav</t>
        </is>
      </c>
      <c r="I1950" t="inlineStr">
        <is>
          <t>MiljopaverkanForsiktighet</t>
        </is>
      </c>
      <c r="J1950" t="inlineStr">
        <is>
          <t>Skyddsatgarder</t>
        </is>
      </c>
      <c r="K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0" t="inlineStr">
        <is>
          <t>BOR</t>
        </is>
      </c>
      <c r="N1950" t="inlineStr">
        <is>
          <t>Miljobalken</t>
        </is>
      </c>
      <c r="O1950" t="inlineStr">
        <is>
          <t>2025-10-29</t>
        </is>
      </c>
      <c r="P1950" t="inlineStr"/>
      <c r="Q1950" t="inlineStr"/>
      <c r="R1950" t="inlineStr">
        <is>
          <t>Alltid</t>
        </is>
      </c>
      <c r="S1950" t="inlineStr"/>
      <c r="T1950" t="inlineStr">
        <is>
          <t>52 0140</t>
        </is>
      </c>
      <c r="U1950" t="inlineStr"/>
      <c r="V1950" t="inlineStr"/>
      <c r="W1950" t="inlineStr">
        <is>
          <t>Nej</t>
        </is>
      </c>
      <c r="X1950" t="inlineStr">
        <is>
          <t>Nej</t>
        </is>
      </c>
      <c r="Y1950" t="inlineStr">
        <is>
          <t>Nej</t>
        </is>
      </c>
      <c r="Z1950" t="inlineStr">
        <is>
          <t>Nej</t>
        </is>
      </c>
      <c r="AA1950" t="n">
        <v>10</v>
      </c>
      <c r="AB1950" t="inlineStr">
        <is>
          <t>Miljopaverkan och forsiktighetsmatt</t>
        </is>
      </c>
      <c r="AC1950" t="inlineStr">
        <is>
          <t>Miljo-PM</t>
        </is>
      </c>
      <c r="AD1950" t="inlineStr">
        <is>
          <t>Nej</t>
        </is>
      </c>
      <c r="AE1950" t="inlineStr">
        <is>
          <t>Nej</t>
        </is>
      </c>
      <c r="AF1950" t="inlineStr">
        <is>
          <t>Ej behandlad</t>
        </is>
      </c>
      <c r="AG1950" t="inlineStr">
        <is>
          <t>AUTO_GENERERAD. Verifiera citat mot kallfil.</t>
        </is>
      </c>
      <c r="AH1950" t="inlineStr">
        <is>
          <t>HIGH</t>
        </is>
      </c>
      <c r="AI1950" t="inlineStr">
        <is>
          <t>AUTO</t>
        </is>
      </c>
      <c r="AJ1950" t="inlineStr">
        <is>
          <t>Nej</t>
        </is>
      </c>
      <c r="AK1950" t="inlineStr"/>
      <c r="AL1950" t="inlineStr"/>
      <c r="AM1950" t="inlineStr"/>
      <c r="AN1950" t="inlineStr"/>
      <c r="AO1950" t="inlineStr">
        <is>
          <t>cmm4yunpb00wzcuqw0xf5ut8v</t>
        </is>
      </c>
      <c r="AP1950" t="inlineStr">
        <is>
          <t>http://localhost:8787/api/admin/requirements/documents/cmm4yunpb00wzcuqw0xf5ut8v/view</t>
        </is>
      </c>
      <c r="AQ1950">
        <f>HYPERLÄNK("http://localhost:8787/api/admin/requirements/documents/cmm4yunpb00wzcuqw0xf5ut8v/view";"Öppna PDF")</f>
        <v/>
      </c>
      <c r="AR1950">
        <f>HYPERLINK("http://localhost:8787/api/admin/requirements/documents/cmm4yunpb00wzcuqw0xf5ut8v/view","Open PDF")</f>
        <v/>
      </c>
      <c r="AS1950" t="inlineStr">
        <is>
          <t>cmm55w57p0004cuisfrtpqly8</t>
        </is>
      </c>
      <c r="AT1950" t="inlineStr">
        <is>
          <t>cmm4xvu980000cuh4vj0usz09</t>
        </is>
      </c>
      <c r="AU1950" t="inlineStr">
        <is>
          <t>Besöksadress Telefon E-post Webb Tranås</t>
        </is>
      </c>
      <c r="AV1950" t="inlineStr">
        <is>
          <t>Kommun</t>
        </is>
      </c>
      <c r="AW1950" t="inlineStr">
        <is>
          <t>Besöksadress Telefon E-post Webb Tranås kommun</t>
        </is>
      </c>
      <c r="AX1950" t="inlineStr">
        <is>
          <t>2025-10</t>
        </is>
      </c>
      <c r="AY1950" t="inlineStr">
        <is>
          <t>Forelaggande</t>
        </is>
      </c>
      <c r="AZ1950" t="inlineStr">
        <is>
          <t>2026-02-03</t>
        </is>
      </c>
      <c r="BA1950" t="inlineStr">
        <is>
          <t>M-2025-829--Föreläggande enligt miljöbalken .pdf</t>
        </is>
      </c>
      <c r="BB1950" t="inlineStr">
        <is>
          <t>handlingar</t>
        </is>
      </c>
      <c r="BC1950" t="inlineStr">
        <is>
          <t>AUTO</t>
        </is>
      </c>
      <c r="BD1950" t="inlineStr"/>
      <c r="BE1950" t="inlineStr"/>
      <c r="BF1950" t="inlineStr">
        <is>
          <t>AUTO_GENERERAD. Bekrafta metadata mot kallfil.</t>
        </is>
      </c>
      <c r="BG1950">
        <f>HYPERLINK("C:\Users\jimmy\Desktop\Examens arbete\Kod\Ny mapp\remix_-copy-of-miljöbeslut.se-portal\M-2025-829--Föreläggande enligt miljöbalken .pdf", "Öppna PDF")</f>
        <v/>
      </c>
    </row>
    <row r="1951">
      <c r="A1951" t="inlineStr">
        <is>
          <t>KRAV-AUTO-001950</t>
        </is>
      </c>
      <c r="B1951" t="inlineStr">
        <is>
          <t>ADMIN-INDEX-2026-02-27-00000000125C043F57453246863FE664CAFE6A3F0700950291EA24F0614FB6ACEDB12BF0E31D00000000010C0000950291EA24F0614FB6ACEDB12BF0E31D00002087B1720000</t>
        </is>
      </c>
      <c r="C1951" t="inlineStr">
        <is>
          <t>cmm4yunox00wkcuqw3pidkana</t>
        </is>
      </c>
      <c r="D1951" t="inlineStr">
        <is>
          <t>http://localhost:8787/api/admin/requirements/documents/cmm4yunox00wkcuqw3pidkana/view</t>
        </is>
      </c>
      <c r="E1951">
        <f>HYPERLÄNK("http://localhost:8787/api/admin/requirements/documents/cmm4yunox00wkcuqw3pidkana/view";"Öppna PDF")</f>
        <v/>
      </c>
      <c r="F1951">
        <f>HYPERLINK("http://localhost:8787/api/admin/requirements/documents/cmm4yunox00wkcuqw3pidkana/view","Open PDF")</f>
        <v/>
      </c>
      <c r="G1951" t="inlineStr">
        <is>
          <t>cmm55w57p0004cuisfrtpqly8</t>
        </is>
      </c>
      <c r="H1951" t="inlineStr">
        <is>
          <t>Beslutsvillkor</t>
        </is>
      </c>
      <c r="I1951" t="inlineStr">
        <is>
          <t>Ytkonstruktion</t>
        </is>
      </c>
      <c r="J1951" t="inlineStr">
        <is>
          <t>Tat yta</t>
        </is>
      </c>
      <c r="K1951" t="inlineStr">
        <is>
          <t>Du får inte använda det lagrade avfallet för att ytterligare fylla upp marken på fastigheten, utan allt avfall som kommer in till lagret ska transporteras bort för återvinning på annan plats.</t>
        </is>
      </c>
      <c r="L1951" t="inlineStr">
        <is>
          <t>Du får inte använda det lagrade avfallet för att ytterligare fylla upp marken på fastigheten, utan allt avfall som kommer in till lagret ska transporteras bort för återvinning på annan plats.</t>
        </is>
      </c>
      <c r="M1951" t="inlineStr">
        <is>
          <t>SKA</t>
        </is>
      </c>
      <c r="N1951" t="inlineStr"/>
      <c r="O1951" t="inlineStr"/>
      <c r="P1951" t="inlineStr"/>
      <c r="Q1951" t="inlineStr">
        <is>
          <t>Driftbegransning vid avvikelse</t>
        </is>
      </c>
      <c r="R1951" t="inlineStr">
        <is>
          <t>Vid mellanlagring av avfall</t>
        </is>
      </c>
      <c r="S1951" t="inlineStr"/>
      <c r="T1951" t="inlineStr">
        <is>
          <t>52 0140</t>
        </is>
      </c>
      <c r="U1951" t="inlineStr"/>
      <c r="V1951" t="inlineStr"/>
      <c r="W1951" t="inlineStr">
        <is>
          <t>Ja</t>
        </is>
      </c>
      <c r="X1951" t="inlineStr">
        <is>
          <t>Nej</t>
        </is>
      </c>
      <c r="Y1951" t="inlineStr">
        <is>
          <t>Nej</t>
        </is>
      </c>
      <c r="Z1951" t="inlineStr">
        <is>
          <t>Nej</t>
        </is>
      </c>
      <c r="AA1951" t="n">
        <v>5</v>
      </c>
      <c r="AB1951" t="inlineStr">
        <is>
          <t>Teknisk beskrivning av platta</t>
        </is>
      </c>
      <c r="AC1951" t="inlineStr">
        <is>
          <t>Teknisk ritning platta</t>
        </is>
      </c>
      <c r="AD1951" t="inlineStr">
        <is>
          <t>Nej</t>
        </is>
      </c>
      <c r="AE1951" t="inlineStr">
        <is>
          <t>Nej</t>
        </is>
      </c>
      <c r="AF1951" t="inlineStr">
        <is>
          <t>Ej behandlad</t>
        </is>
      </c>
      <c r="AG1951" t="inlineStr">
        <is>
          <t>AUTO_GENERERAD. Verifiera citat mot kallfil.</t>
        </is>
      </c>
      <c r="AH1951" t="inlineStr">
        <is>
          <t>MEDIUM</t>
        </is>
      </c>
      <c r="AI1951" t="inlineStr">
        <is>
          <t>AUTO</t>
        </is>
      </c>
      <c r="AJ1951" t="inlineStr">
        <is>
          <t>Nej</t>
        </is>
      </c>
      <c r="AK1951" t="inlineStr"/>
      <c r="AL1951" t="inlineStr"/>
      <c r="AM1951" t="inlineStr"/>
      <c r="AN1951" t="inlineStr"/>
      <c r="AO1951" t="inlineStr">
        <is>
          <t>cmm4yunpb00wzcuqw0xf5ut8v</t>
        </is>
      </c>
      <c r="AP1951" t="inlineStr">
        <is>
          <t>http://localhost:8787/api/admin/requirements/documents/cmm4yunpb00wzcuqw0xf5ut8v/view</t>
        </is>
      </c>
      <c r="AQ1951">
        <f>HYPERLÄNK("http://localhost:8787/api/admin/requirements/documents/cmm4yunpb00wzcuqw0xf5ut8v/view";"Öppna PDF")</f>
        <v/>
      </c>
      <c r="AR1951">
        <f>HYPERLINK("http://localhost:8787/api/admin/requirements/documents/cmm4yunpb00wzcuqw0xf5ut8v/view","Open PDF")</f>
        <v/>
      </c>
      <c r="AS1951" t="inlineStr">
        <is>
          <t>cmm55w57p0004cuisfrtpqly8</t>
        </is>
      </c>
      <c r="AT1951" t="inlineStr">
        <is>
          <t>cmm4xvu980000cuh4vj0usz09</t>
        </is>
      </c>
      <c r="AU1951" t="inlineStr">
        <is>
          <t>Besöksadress Telefon E-post Webb Tranås</t>
        </is>
      </c>
      <c r="AV1951" t="inlineStr">
        <is>
          <t>Kommun</t>
        </is>
      </c>
      <c r="AW1951" t="inlineStr">
        <is>
          <t>Besöksadress Telefon E-post Webb Tranås kommun</t>
        </is>
      </c>
      <c r="AX1951" t="inlineStr">
        <is>
          <t>2025-10</t>
        </is>
      </c>
      <c r="AY1951" t="inlineStr">
        <is>
          <t>Forelaggande</t>
        </is>
      </c>
      <c r="AZ1951" t="inlineStr">
        <is>
          <t>2026-02-03</t>
        </is>
      </c>
      <c r="BA1951" t="inlineStr">
        <is>
          <t>M-2025-829--Föreläggande enligt miljöbalken .pdf</t>
        </is>
      </c>
      <c r="BB1951" t="inlineStr">
        <is>
          <t>handlingar</t>
        </is>
      </c>
      <c r="BC1951" t="inlineStr">
        <is>
          <t>AUTO</t>
        </is>
      </c>
      <c r="BD1951" t="inlineStr"/>
      <c r="BE1951" t="inlineStr"/>
      <c r="BF1951" t="inlineStr">
        <is>
          <t>AUTO_GENERERAD. Bekrafta metadata mot kallfil.</t>
        </is>
      </c>
      <c r="BG1951">
        <f>HYPERLINK("C:\Users\jimmy\Desktop\Examens arbete\Kod\Ny mapp\remix_-copy-of-miljöbeslut.se-portal\M-2025-829--Föreläggande enligt miljöbalken .pdf", "Öppna PDF")</f>
        <v/>
      </c>
    </row>
    <row r="1952">
      <c r="A1952" t="inlineStr">
        <is>
          <t>KRAV-AUTO-001951</t>
        </is>
      </c>
      <c r="B1952" t="inlineStr">
        <is>
          <t>ADMIN-INDEX-2026-02-27-00000000125C043F57453246863FE664CAFE6A3F0700950291EA24F0614FB6ACEDB12BF0E31D00000000010C0000950291EA24F0614FB6ACEDB12BF0E31D00002087B1720000</t>
        </is>
      </c>
      <c r="C1952" t="inlineStr">
        <is>
          <t>cmm4yunox00wkcuqw3pidkana</t>
        </is>
      </c>
      <c r="D1952" t="inlineStr">
        <is>
          <t>http://localhost:8787/api/admin/requirements/documents/cmm4yunox00wkcuqw3pidkana/view</t>
        </is>
      </c>
      <c r="E1952">
        <f>HYPERLÄNK("http://localhost:8787/api/admin/requirements/documents/cmm4yunox00wkcuqw3pidkana/view";"Öppna PDF")</f>
        <v/>
      </c>
      <c r="F1952">
        <f>HYPERLINK("http://localhost:8787/api/admin/requirements/documents/cmm4yunox00wkcuqw3pidkana/view","Open PDF")</f>
        <v/>
      </c>
      <c r="G1952" t="inlineStr">
        <is>
          <t>cmm55w57p0004cuisfrtpqly8</t>
        </is>
      </c>
      <c r="H1952" t="inlineStr">
        <is>
          <t>Beslutsvillkor</t>
        </is>
      </c>
      <c r="I1952" t="inlineStr">
        <is>
          <t>DriftEgenkontroll</t>
        </is>
      </c>
      <c r="J1952" t="inlineStr">
        <is>
          <t>Journalforing</t>
        </is>
      </c>
      <c r="K1952" t="inlineStr">
        <is>
          <t>För att ha kontroll på vilka typer och mängder av avfall som transporteras in och ut från verksamheten ska du föra journal över detta.</t>
        </is>
      </c>
      <c r="L1952" t="inlineStr">
        <is>
          <t>För att ha kontroll på vilka typer och mängder av avfall som transporteras in och ut från verksamheten ska du föra journal över detta.</t>
        </is>
      </c>
      <c r="M1952" t="inlineStr">
        <is>
          <t>SKA</t>
        </is>
      </c>
      <c r="N1952" t="inlineStr"/>
      <c r="O1952" t="inlineStr"/>
      <c r="P1952" t="inlineStr"/>
      <c r="Q1952" t="inlineStr"/>
      <c r="R1952" t="inlineStr">
        <is>
          <t>Lopande drift</t>
        </is>
      </c>
      <c r="S1952" t="inlineStr"/>
      <c r="T1952" t="inlineStr">
        <is>
          <t>52 0140</t>
        </is>
      </c>
      <c r="U1952" t="inlineStr"/>
      <c r="V1952" t="inlineStr"/>
      <c r="W1952" t="inlineStr">
        <is>
          <t>Nej</t>
        </is>
      </c>
      <c r="X1952" t="inlineStr">
        <is>
          <t>Nej</t>
        </is>
      </c>
      <c r="Y1952" t="inlineStr">
        <is>
          <t>Ja</t>
        </is>
      </c>
      <c r="Z1952" t="inlineStr">
        <is>
          <t>Nej</t>
        </is>
      </c>
      <c r="AA1952" t="n">
        <v>7</v>
      </c>
      <c r="AB1952" t="inlineStr">
        <is>
          <t>Egenkontrollrutiner</t>
        </is>
      </c>
      <c r="AC1952" t="inlineStr">
        <is>
          <t>Egenkontrollprogram</t>
        </is>
      </c>
      <c r="AD1952" t="inlineStr">
        <is>
          <t>Nej</t>
        </is>
      </c>
      <c r="AE1952" t="inlineStr">
        <is>
          <t>Nej</t>
        </is>
      </c>
      <c r="AF1952" t="inlineStr">
        <is>
          <t>Ej behandlad</t>
        </is>
      </c>
      <c r="AG1952" t="inlineStr">
        <is>
          <t>AUTO_GENERERAD. Verifiera citat mot kallfil.</t>
        </is>
      </c>
      <c r="AH1952" t="inlineStr">
        <is>
          <t>MEDIUM</t>
        </is>
      </c>
      <c r="AI1952" t="inlineStr">
        <is>
          <t>AUTO</t>
        </is>
      </c>
      <c r="AJ1952" t="inlineStr">
        <is>
          <t>Nej</t>
        </is>
      </c>
      <c r="AK1952" t="inlineStr"/>
      <c r="AL1952" t="inlineStr"/>
      <c r="AM1952" t="inlineStr"/>
      <c r="AN1952" t="inlineStr"/>
      <c r="AO1952" t="inlineStr">
        <is>
          <t>cmm4yunpb00wzcuqw0xf5ut8v</t>
        </is>
      </c>
      <c r="AP1952" t="inlineStr">
        <is>
          <t>http://localhost:8787/api/admin/requirements/documents/cmm4yunpb00wzcuqw0xf5ut8v/view</t>
        </is>
      </c>
      <c r="AQ1952">
        <f>HYPERLÄNK("http://localhost:8787/api/admin/requirements/documents/cmm4yunpb00wzcuqw0xf5ut8v/view";"Öppna PDF")</f>
        <v/>
      </c>
      <c r="AR1952">
        <f>HYPERLINK("http://localhost:8787/api/admin/requirements/documents/cmm4yunpb00wzcuqw0xf5ut8v/view","Open PDF")</f>
        <v/>
      </c>
      <c r="AS1952" t="inlineStr">
        <is>
          <t>cmm55w57p0004cuisfrtpqly8</t>
        </is>
      </c>
      <c r="AT1952" t="inlineStr">
        <is>
          <t>cmm4xvu980000cuh4vj0usz09</t>
        </is>
      </c>
      <c r="AU1952" t="inlineStr">
        <is>
          <t>Besöksadress Telefon E-post Webb Tranås</t>
        </is>
      </c>
      <c r="AV1952" t="inlineStr">
        <is>
          <t>Kommun</t>
        </is>
      </c>
      <c r="AW1952" t="inlineStr">
        <is>
          <t>Besöksadress Telefon E-post Webb Tranås kommun</t>
        </is>
      </c>
      <c r="AX1952" t="inlineStr">
        <is>
          <t>2025-10</t>
        </is>
      </c>
      <c r="AY1952" t="inlineStr">
        <is>
          <t>Forelaggande</t>
        </is>
      </c>
      <c r="AZ1952" t="inlineStr">
        <is>
          <t>2026-02-03</t>
        </is>
      </c>
      <c r="BA1952" t="inlineStr">
        <is>
          <t>M-2025-829--Föreläggande enligt miljöbalken .pdf</t>
        </is>
      </c>
      <c r="BB1952" t="inlineStr">
        <is>
          <t>handlingar</t>
        </is>
      </c>
      <c r="BC1952" t="inlineStr">
        <is>
          <t>AUTO</t>
        </is>
      </c>
      <c r="BD1952" t="inlineStr"/>
      <c r="BE1952" t="inlineStr"/>
      <c r="BF1952" t="inlineStr">
        <is>
          <t>AUTO_GENERERAD. Bekrafta metadata mot kallfil.</t>
        </is>
      </c>
      <c r="BG1952">
        <f>HYPERLINK("C:\Users\jimmy\Desktop\Examens arbete\Kod\Ny mapp\remix_-copy-of-miljöbeslut.se-portal\M-2025-829--Föreläggande enligt miljöbalken .pdf", "Öppna PDF")</f>
        <v/>
      </c>
    </row>
    <row r="1953">
      <c r="A1953" t="inlineStr">
        <is>
          <t>KRAV-AUTO-001952</t>
        </is>
      </c>
      <c r="B1953" t="inlineStr">
        <is>
          <t>ADMIN-INDEX-2026-02-27-00000000125C043F57453246863FE664CAFE6A3F0700950291EA24F0614FB6ACEDB12BF0E31D00000000010C0000950291EA24F0614FB6ACEDB12BF0E31D00002087B1720000</t>
        </is>
      </c>
      <c r="C1953" t="inlineStr">
        <is>
          <t>cmm4yunox00wkcuqw3pidkana</t>
        </is>
      </c>
      <c r="D1953" t="inlineStr">
        <is>
          <t>http://localhost:8787/api/admin/requirements/documents/cmm4yunox00wkcuqw3pidkana/view</t>
        </is>
      </c>
      <c r="E1953">
        <f>HYPERLÄNK("http://localhost:8787/api/admin/requirements/documents/cmm4yunox00wkcuqw3pidkana/view";"Öppna PDF")</f>
        <v/>
      </c>
      <c r="F1953">
        <f>HYPERLINK("http://localhost:8787/api/admin/requirements/documents/cmm4yunox00wkcuqw3pidkana/view","Open PDF")</f>
        <v/>
      </c>
      <c r="G1953" t="inlineStr">
        <is>
          <t>cmm55w57p0004cuisfrtpqly8</t>
        </is>
      </c>
      <c r="H1953" t="inlineStr">
        <is>
          <t>Beslutsvillkor</t>
        </is>
      </c>
      <c r="I1953" t="inlineStr">
        <is>
          <t>LagringsvolymTid</t>
        </is>
      </c>
      <c r="J1953" t="inlineStr">
        <is>
          <t>Maxmangd</t>
        </is>
      </c>
      <c r="K1953" t="inlineStr">
        <is>
          <t>Mängden avfall som du planerar att lagra ligger inom intervallet 10 ton till 30 000 ton och avfallet ska användas i byggnads- eller anläggningsändamål.</t>
        </is>
      </c>
      <c r="L1953" t="inlineStr">
        <is>
          <t>Mängden avfall som du planerar att lagra ligger inom intervallet 10 ton till 30 000 ton och avfallet ska användas i byggnads- eller anläggningsändamål.</t>
        </is>
      </c>
      <c r="M1953" t="inlineStr">
        <is>
          <t>SKA</t>
        </is>
      </c>
      <c r="N1953" t="inlineStr"/>
      <c r="O1953" t="inlineStr"/>
      <c r="P1953" t="inlineStr"/>
      <c r="Q1953" t="inlineStr"/>
      <c r="R1953" t="inlineStr">
        <is>
          <t>Alltid</t>
        </is>
      </c>
      <c r="S1953" t="inlineStr"/>
      <c r="T1953" t="inlineStr">
        <is>
          <t>52 0140</t>
        </is>
      </c>
      <c r="U1953" t="n">
        <v>10</v>
      </c>
      <c r="V1953" t="inlineStr"/>
      <c r="W1953" t="inlineStr">
        <is>
          <t>Nej</t>
        </is>
      </c>
      <c r="X1953" t="inlineStr">
        <is>
          <t>Nej</t>
        </is>
      </c>
      <c r="Y1953" t="inlineStr">
        <is>
          <t>Nej</t>
        </is>
      </c>
      <c r="Z1953" t="inlineStr">
        <is>
          <t>Nej</t>
        </is>
      </c>
      <c r="AA1953" t="n">
        <v>4</v>
      </c>
      <c r="AB1953" t="inlineStr">
        <is>
          <t>Avfallsmangder och lagringstid</t>
        </is>
      </c>
      <c r="AC1953" t="inlineStr">
        <is>
          <t>Avfallsforteckning</t>
        </is>
      </c>
      <c r="AD1953" t="inlineStr">
        <is>
          <t>Nej</t>
        </is>
      </c>
      <c r="AE1953" t="inlineStr">
        <is>
          <t>Nej</t>
        </is>
      </c>
      <c r="AF1953" t="inlineStr">
        <is>
          <t>Ej behandlad</t>
        </is>
      </c>
      <c r="AG1953" t="inlineStr">
        <is>
          <t>AUTO_GENERERAD. Verifiera citat mot kallfil.</t>
        </is>
      </c>
      <c r="AH1953" t="inlineStr">
        <is>
          <t>MEDIUM</t>
        </is>
      </c>
      <c r="AI1953" t="inlineStr">
        <is>
          <t>AUTO</t>
        </is>
      </c>
      <c r="AJ1953" t="inlineStr">
        <is>
          <t>Nej</t>
        </is>
      </c>
      <c r="AK1953" t="inlineStr"/>
      <c r="AL1953" t="inlineStr"/>
      <c r="AM1953" t="inlineStr"/>
      <c r="AN1953" t="inlineStr"/>
      <c r="AO1953" t="inlineStr">
        <is>
          <t>cmm4yunpb00wzcuqw0xf5ut8v</t>
        </is>
      </c>
      <c r="AP1953" t="inlineStr">
        <is>
          <t>http://localhost:8787/api/admin/requirements/documents/cmm4yunpb00wzcuqw0xf5ut8v/view</t>
        </is>
      </c>
      <c r="AQ1953">
        <f>HYPERLÄNK("http://localhost:8787/api/admin/requirements/documents/cmm4yunpb00wzcuqw0xf5ut8v/view";"Öppna PDF")</f>
        <v/>
      </c>
      <c r="AR1953">
        <f>HYPERLINK("http://localhost:8787/api/admin/requirements/documents/cmm4yunpb00wzcuqw0xf5ut8v/view","Open PDF")</f>
        <v/>
      </c>
      <c r="AS1953" t="inlineStr">
        <is>
          <t>cmm55w57p0004cuisfrtpqly8</t>
        </is>
      </c>
      <c r="AT1953" t="inlineStr">
        <is>
          <t>cmm4xvu980000cuh4vj0usz09</t>
        </is>
      </c>
      <c r="AU1953" t="inlineStr">
        <is>
          <t>Besöksadress Telefon E-post Webb Tranås</t>
        </is>
      </c>
      <c r="AV1953" t="inlineStr">
        <is>
          <t>Kommun</t>
        </is>
      </c>
      <c r="AW1953" t="inlineStr">
        <is>
          <t>Besöksadress Telefon E-post Webb Tranås kommun</t>
        </is>
      </c>
      <c r="AX1953" t="inlineStr">
        <is>
          <t>2025-10</t>
        </is>
      </c>
      <c r="AY1953" t="inlineStr">
        <is>
          <t>Forelaggande</t>
        </is>
      </c>
      <c r="AZ1953" t="inlineStr">
        <is>
          <t>2026-02-03</t>
        </is>
      </c>
      <c r="BA1953" t="inlineStr">
        <is>
          <t>M-2025-829--Föreläggande enligt miljöbalken .pdf</t>
        </is>
      </c>
      <c r="BB1953" t="inlineStr">
        <is>
          <t>handlingar</t>
        </is>
      </c>
      <c r="BC1953" t="inlineStr">
        <is>
          <t>AUTO</t>
        </is>
      </c>
      <c r="BD1953" t="inlineStr"/>
      <c r="BE1953" t="inlineStr"/>
      <c r="BF1953" t="inlineStr">
        <is>
          <t>AUTO_GENERERAD. Bekrafta metadata mot kallfil.</t>
        </is>
      </c>
      <c r="BG1953">
        <f>HYPERLINK("C:\Users\jimmy\Desktop\Examens arbete\Kod\Ny mapp\remix_-copy-of-miljöbeslut.se-portal\M-2025-829--Föreläggande enligt miljöbalken .pdf", "Öppna PDF")</f>
        <v/>
      </c>
    </row>
    <row r="1954">
      <c r="A1954" t="inlineStr">
        <is>
          <t>KRAV-AUTO-001953</t>
        </is>
      </c>
      <c r="B1954" t="inlineStr">
        <is>
          <t>ADMIN-INDEX-2026-02-27-00000000125C043F57453246863FE664CAFE6A3F0700950291EA24F0614FB6ACEDB12BF0E31D00000000010C0000950291EA24F0614FB6ACEDB12BF0E31D00002087B1730000</t>
        </is>
      </c>
      <c r="C1954" t="inlineStr">
        <is>
          <t>cmm4yunoj00w5cuqw91w6ft7m</t>
        </is>
      </c>
      <c r="D1954" t="inlineStr">
        <is>
          <t>http://localhost:8787/api/admin/requirements/documents/cmm4yunoj00w5cuqw91w6ft7m/view</t>
        </is>
      </c>
      <c r="E1954">
        <f>HYPERLÄNK("http://localhost:8787/api/admin/requirements/documents/cmm4yunoj00w5cuqw91w6ft7m/view";"Öppna PDF")</f>
        <v/>
      </c>
      <c r="F1954">
        <f>HYPERLINK("http://localhost:8787/api/admin/requirements/documents/cmm4yunoj00w5cuqw91w6ft7m/view","Open PDF")</f>
        <v/>
      </c>
      <c r="G1954" t="inlineStr">
        <is>
          <t>cmm55w57p0004cuisfrtpqly8</t>
        </is>
      </c>
      <c r="H1954" t="inlineStr">
        <is>
          <t>Kompletteringskrav</t>
        </is>
      </c>
      <c r="I1954" t="inlineStr">
        <is>
          <t>DriftEgenkontroll</t>
        </is>
      </c>
      <c r="J1954" t="inlineStr">
        <is>
          <t>Journalforing</t>
        </is>
      </c>
      <c r="K1954" t="inlineStr">
        <is>
          <t>På tillsynsmyndighetens begäran ska verksamheten lämna förslag på kontrollprogram eller förbättrande åtgärder.</t>
        </is>
      </c>
      <c r="L1954" t="inlineStr">
        <is>
          <t>På tillsynsmyndighetens begäran ska verksamheten lämna förslag på kontrollprogram eller förbättrande åtgärder.</t>
        </is>
      </c>
      <c r="M1954" t="inlineStr">
        <is>
          <t>SKA</t>
        </is>
      </c>
      <c r="N1954" t="inlineStr">
        <is>
          <t>Miljobalken</t>
        </is>
      </c>
      <c r="O1954" t="inlineStr"/>
      <c r="P1954" t="inlineStr"/>
      <c r="Q1954" t="inlineStr"/>
      <c r="R1954" t="inlineStr">
        <is>
          <t>Lopande drift</t>
        </is>
      </c>
      <c r="S1954" t="inlineStr"/>
      <c r="T1954" t="inlineStr">
        <is>
          <t>52 0140</t>
        </is>
      </c>
      <c r="U1954" t="inlineStr"/>
      <c r="V1954" t="inlineStr"/>
      <c r="W1954" t="inlineStr">
        <is>
          <t>Nej</t>
        </is>
      </c>
      <c r="X1954" t="inlineStr">
        <is>
          <t>Nej</t>
        </is>
      </c>
      <c r="Y1954" t="inlineStr">
        <is>
          <t>Ja</t>
        </is>
      </c>
      <c r="Z1954" t="inlineStr">
        <is>
          <t>Nej</t>
        </is>
      </c>
      <c r="AA1954" t="n">
        <v>7</v>
      </c>
      <c r="AB1954" t="inlineStr">
        <is>
          <t>Egenkontrollrutiner</t>
        </is>
      </c>
      <c r="AC1954" t="inlineStr">
        <is>
          <t>Egenkontrollprogram</t>
        </is>
      </c>
      <c r="AD1954" t="inlineStr">
        <is>
          <t>Nej</t>
        </is>
      </c>
      <c r="AE1954" t="inlineStr">
        <is>
          <t>Nej</t>
        </is>
      </c>
      <c r="AF1954" t="inlineStr">
        <is>
          <t>Ej behandlad</t>
        </is>
      </c>
      <c r="AG1954" t="inlineStr">
        <is>
          <t>AUTO_GENERERAD. Verifiera citat mot kallfil.</t>
        </is>
      </c>
      <c r="AH1954" t="inlineStr">
        <is>
          <t>HIGH</t>
        </is>
      </c>
      <c r="AI1954" t="inlineStr">
        <is>
          <t>AUTO</t>
        </is>
      </c>
      <c r="AJ1954" t="inlineStr">
        <is>
          <t>Nej</t>
        </is>
      </c>
      <c r="AK1954" t="inlineStr"/>
      <c r="AL1954" t="inlineStr"/>
      <c r="AM1954" t="inlineStr"/>
      <c r="AN1954" t="inlineStr"/>
      <c r="AO1954" t="inlineStr">
        <is>
          <t>cmm4yunoj00w5cuqw91w6ft7m</t>
        </is>
      </c>
      <c r="AP1954" t="inlineStr">
        <is>
          <t>http://localhost:8787/api/admin/requirements/documents/cmm4yunoj00w5cuqw91w6ft7m/view</t>
        </is>
      </c>
      <c r="AQ1954">
        <f>HYPERLÄNK("http://localhost:8787/api/admin/requirements/documents/cmm4yunoj00w5cuqw91w6ft7m/view";"Öppna PDF")</f>
        <v/>
      </c>
      <c r="AR1954">
        <f>HYPERLINK("http://localhost:8787/api/admin/requirements/documents/cmm4yunoj00w5cuqw91w6ft7m/view","Open PDF")</f>
        <v/>
      </c>
      <c r="AS1954" t="inlineStr">
        <is>
          <t>cmm55w57p0004cuisfrtpqly8</t>
        </is>
      </c>
      <c r="AT1954" t="inlineStr">
        <is>
          <t>cmm4xvu980000cuh4vj0usz09</t>
        </is>
      </c>
      <c r="AU1954" t="inlineStr">
        <is>
          <t>Besöksadress Telefon E-post Webb Tranås</t>
        </is>
      </c>
      <c r="AV1954" t="inlineStr">
        <is>
          <t>Kommun</t>
        </is>
      </c>
      <c r="AW1954" t="inlineStr">
        <is>
          <t>Besöksadress Telefon E-post Webb Tranås kommun</t>
        </is>
      </c>
      <c r="AX1954" t="inlineStr">
        <is>
          <t>2025-10</t>
        </is>
      </c>
      <c r="AY1954" t="inlineStr">
        <is>
          <t>Forelaggande</t>
        </is>
      </c>
      <c r="AZ1954" t="inlineStr">
        <is>
          <t>2026-02-03</t>
        </is>
      </c>
      <c r="BA1954" t="inlineStr">
        <is>
          <t>M-2025-829--Föreläggande enligt miljöbalken .pdf</t>
        </is>
      </c>
      <c r="BB1954" t="inlineStr">
        <is>
          <t>handlingar</t>
        </is>
      </c>
      <c r="BC1954" t="inlineStr">
        <is>
          <t>AUTO</t>
        </is>
      </c>
      <c r="BD1954" t="inlineStr"/>
      <c r="BE1954" t="inlineStr"/>
      <c r="BF1954" t="inlineStr">
        <is>
          <t>AUTO_GENERERAD. Bekrafta metadata mot kallfil.</t>
        </is>
      </c>
      <c r="BG1954">
        <f>HYPERLINK("C:\Users\jimmy\Desktop\Examens arbete\Kod\Ny mapp\remix_-copy-of-miljöbeslut.se-portal\M-2025-829--Föreläggande enligt miljöbalken .pdf", "Öppna PDF")</f>
        <v/>
      </c>
    </row>
    <row r="1955">
      <c r="A1955" t="inlineStr">
        <is>
          <t>KRAV-AUTO-001954</t>
        </is>
      </c>
      <c r="B1955" t="inlineStr">
        <is>
          <t>ADMIN-INDEX-2026-02-27-00000000125C043F57453246863FE664CAFE6A3F0700950291EA24F0614FB6ACEDB12BF0E31D00000000010C0000950291EA24F0614FB6ACEDB12BF0E31D00002087B1730000</t>
        </is>
      </c>
      <c r="C1955" t="inlineStr">
        <is>
          <t>cmm4yunoj00w5cuqw91w6ft7m</t>
        </is>
      </c>
      <c r="D1955" t="inlineStr">
        <is>
          <t>http://localhost:8787/api/admin/requirements/documents/cmm4yunoj00w5cuqw91w6ft7m/view</t>
        </is>
      </c>
      <c r="E1955">
        <f>HYPERLÄNK("http://localhost:8787/api/admin/requirements/documents/cmm4yunoj00w5cuqw91w6ft7m/view";"Öppna PDF")</f>
        <v/>
      </c>
      <c r="F1955">
        <f>HYPERLINK("http://localhost:8787/api/admin/requirements/documents/cmm4yunoj00w5cuqw91w6ft7m/view","Open PDF")</f>
        <v/>
      </c>
      <c r="G1955" t="inlineStr">
        <is>
          <t>cmm55w57p0004cuisfrtpqly8</t>
        </is>
      </c>
      <c r="H1955" t="inlineStr">
        <is>
          <t>Kompletteringskrav</t>
        </is>
      </c>
      <c r="I1955" t="inlineStr">
        <is>
          <t>Riskhantering</t>
        </is>
      </c>
      <c r="J1955" t="inlineStr">
        <is>
          <t>Riskkontroll</t>
        </is>
      </c>
      <c r="K1955" t="inlineStr">
        <is>
          <t>Vid anläggningsarbetet ska risk för skred iakttas och vid behov förebyggas Beslutet fattas med stöd av 26 kapitlet 9 § miljöbalken och med hänvisning till 26 kapitlet 19, 21, 22 §§ samt 2 kapitlet 2 och 3 §§ miljöbalken.</t>
        </is>
      </c>
      <c r="L1955" t="inlineStr">
        <is>
          <t>Vid anläggningsarbetet ska risk för skred iakttas och vid behov förebyggas Beslutet fattas med stöd av 26 kapitlet 9 § miljöbalken och med hänvisning till 26 kapitlet 19, 21, 22 §§ samt 2 kapitlet 2 och 3 §§ miljöbalken.</t>
        </is>
      </c>
      <c r="M1955" t="inlineStr">
        <is>
          <t>SKA</t>
        </is>
      </c>
      <c r="N1955" t="inlineStr">
        <is>
          <t>Miljobalken</t>
        </is>
      </c>
      <c r="O1955" t="inlineStr"/>
      <c r="P1955" t="inlineStr"/>
      <c r="Q1955" t="inlineStr"/>
      <c r="R1955" t="inlineStr">
        <is>
          <t>Vid risk for incident</t>
        </is>
      </c>
      <c r="S1955" t="inlineStr"/>
      <c r="T1955" t="inlineStr">
        <is>
          <t>52 0140</t>
        </is>
      </c>
      <c r="U1955" t="inlineStr"/>
      <c r="V1955" t="inlineStr"/>
      <c r="W1955" t="inlineStr">
        <is>
          <t>Nej</t>
        </is>
      </c>
      <c r="X1955" t="inlineStr">
        <is>
          <t>Nej</t>
        </is>
      </c>
      <c r="Y1955" t="inlineStr">
        <is>
          <t>Ja</t>
        </is>
      </c>
      <c r="Z1955" t="inlineStr">
        <is>
          <t>Ja</t>
        </is>
      </c>
      <c r="AA1955" t="n">
        <v>8</v>
      </c>
      <c r="AB1955" t="inlineStr">
        <is>
          <t>Riskhantering</t>
        </is>
      </c>
      <c r="AC1955" t="inlineStr">
        <is>
          <t>Risk-PM</t>
        </is>
      </c>
      <c r="AD1955" t="inlineStr">
        <is>
          <t>Nej</t>
        </is>
      </c>
      <c r="AE1955" t="inlineStr">
        <is>
          <t>Nej</t>
        </is>
      </c>
      <c r="AF1955" t="inlineStr">
        <is>
          <t>Ej behandlad</t>
        </is>
      </c>
      <c r="AG1955" t="inlineStr">
        <is>
          <t>AUTO_GENERERAD. Verifiera citat mot kallfil.</t>
        </is>
      </c>
      <c r="AH1955" t="inlineStr">
        <is>
          <t>HIGH</t>
        </is>
      </c>
      <c r="AI1955" t="inlineStr">
        <is>
          <t>AUTO</t>
        </is>
      </c>
      <c r="AJ1955" t="inlineStr">
        <is>
          <t>Nej</t>
        </is>
      </c>
      <c r="AK1955" t="inlineStr"/>
      <c r="AL1955" t="inlineStr"/>
      <c r="AM1955" t="inlineStr"/>
      <c r="AN1955" t="inlineStr"/>
      <c r="AO1955" t="inlineStr">
        <is>
          <t>cmm4yunoj00w5cuqw91w6ft7m</t>
        </is>
      </c>
      <c r="AP1955" t="inlineStr">
        <is>
          <t>http://localhost:8787/api/admin/requirements/documents/cmm4yunoj00w5cuqw91w6ft7m/view</t>
        </is>
      </c>
      <c r="AQ1955">
        <f>HYPERLÄNK("http://localhost:8787/api/admin/requirements/documents/cmm4yunoj00w5cuqw91w6ft7m/view";"Öppna PDF")</f>
        <v/>
      </c>
      <c r="AR1955">
        <f>HYPERLINK("http://localhost:8787/api/admin/requirements/documents/cmm4yunoj00w5cuqw91w6ft7m/view","Open PDF")</f>
        <v/>
      </c>
      <c r="AS1955" t="inlineStr">
        <is>
          <t>cmm55w57p0004cuisfrtpqly8</t>
        </is>
      </c>
      <c r="AT1955" t="inlineStr">
        <is>
          <t>cmm4xvu980000cuh4vj0usz09</t>
        </is>
      </c>
      <c r="AU1955" t="inlineStr">
        <is>
          <t>Besöksadress Telefon E-post Webb Tranås</t>
        </is>
      </c>
      <c r="AV1955" t="inlineStr">
        <is>
          <t>Kommun</t>
        </is>
      </c>
      <c r="AW1955" t="inlineStr">
        <is>
          <t>Besöksadress Telefon E-post Webb Tranås kommun</t>
        </is>
      </c>
      <c r="AX1955" t="inlineStr">
        <is>
          <t>2025-10</t>
        </is>
      </c>
      <c r="AY1955" t="inlineStr">
        <is>
          <t>Forelaggande</t>
        </is>
      </c>
      <c r="AZ1955" t="inlineStr">
        <is>
          <t>2026-02-03</t>
        </is>
      </c>
      <c r="BA1955" t="inlineStr">
        <is>
          <t>M-2025-829--Föreläggande enligt miljöbalken .pdf</t>
        </is>
      </c>
      <c r="BB1955" t="inlineStr">
        <is>
          <t>handlingar</t>
        </is>
      </c>
      <c r="BC1955" t="inlineStr">
        <is>
          <t>AUTO</t>
        </is>
      </c>
      <c r="BD1955" t="inlineStr"/>
      <c r="BE1955" t="inlineStr"/>
      <c r="BF1955" t="inlineStr">
        <is>
          <t>AUTO_GENERERAD. Bekrafta metadata mot kallfil.</t>
        </is>
      </c>
      <c r="BG1955">
        <f>HYPERLINK("C:\Users\jimmy\Desktop\Examens arbete\Kod\Ny mapp\remix_-copy-of-miljöbeslut.se-portal\M-2025-829--Föreläggande enligt miljöbalken .pdf", "Öppna PDF")</f>
        <v/>
      </c>
    </row>
    <row r="1956">
      <c r="A1956" t="inlineStr">
        <is>
          <t>KRAV-AUTO-001955</t>
        </is>
      </c>
      <c r="B1956" t="inlineStr">
        <is>
          <t>ADMIN-INDEX-2026-02-27-00000000125C043F57453246863FE664CAFE6A3F0700950291EA24F0614FB6ACEDB12BF0E31D00000000010C0000950291EA24F0614FB6ACEDB12BF0E31D00002087B1730000</t>
        </is>
      </c>
      <c r="C1956" t="inlineStr">
        <is>
          <t>cmm4yunoj00w5cuqw91w6ft7m</t>
        </is>
      </c>
      <c r="D1956" t="inlineStr">
        <is>
          <t>http://localhost:8787/api/admin/requirements/documents/cmm4yunoj00w5cuqw91w6ft7m/view</t>
        </is>
      </c>
      <c r="E1956">
        <f>HYPERLÄNK("http://localhost:8787/api/admin/requirements/documents/cmm4yunoj00w5cuqw91w6ft7m/view";"Öppna PDF")</f>
        <v/>
      </c>
      <c r="F1956">
        <f>HYPERLINK("http://localhost:8787/api/admin/requirements/documents/cmm4yunoj00w5cuqw91w6ft7m/view","Open PDF")</f>
        <v/>
      </c>
      <c r="G1956" t="inlineStr">
        <is>
          <t>cmm55w57p0004cuisfrtpqly8</t>
        </is>
      </c>
      <c r="H1956" t="inlineStr">
        <is>
          <t>Kompletteringskrav</t>
        </is>
      </c>
      <c r="I1956" t="inlineStr">
        <is>
          <t>MiljopaverkanForsiktighet</t>
        </is>
      </c>
      <c r="J1956" t="inlineStr">
        <is>
          <t>Skyddsatgarder</t>
        </is>
      </c>
      <c r="K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6" t="inlineStr">
        <is>
          <t>BOR</t>
        </is>
      </c>
      <c r="N1956" t="inlineStr">
        <is>
          <t>Miljobalken</t>
        </is>
      </c>
      <c r="O1956" t="inlineStr">
        <is>
          <t>2025-10-29</t>
        </is>
      </c>
      <c r="P1956" t="inlineStr"/>
      <c r="Q1956" t="inlineStr"/>
      <c r="R1956" t="inlineStr">
        <is>
          <t>Alltid</t>
        </is>
      </c>
      <c r="S1956" t="inlineStr"/>
      <c r="T1956" t="inlineStr">
        <is>
          <t>52 0140</t>
        </is>
      </c>
      <c r="U1956" t="inlineStr"/>
      <c r="V1956" t="inlineStr"/>
      <c r="W1956" t="inlineStr">
        <is>
          <t>Nej</t>
        </is>
      </c>
      <c r="X1956" t="inlineStr">
        <is>
          <t>Nej</t>
        </is>
      </c>
      <c r="Y1956" t="inlineStr">
        <is>
          <t>Nej</t>
        </is>
      </c>
      <c r="Z1956" t="inlineStr">
        <is>
          <t>Nej</t>
        </is>
      </c>
      <c r="AA1956" t="n">
        <v>10</v>
      </c>
      <c r="AB1956" t="inlineStr">
        <is>
          <t>Miljopaverkan och forsiktighetsmatt</t>
        </is>
      </c>
      <c r="AC1956" t="inlineStr">
        <is>
          <t>Miljo-PM</t>
        </is>
      </c>
      <c r="AD1956" t="inlineStr">
        <is>
          <t>Nej</t>
        </is>
      </c>
      <c r="AE1956" t="inlineStr">
        <is>
          <t>Nej</t>
        </is>
      </c>
      <c r="AF1956" t="inlineStr">
        <is>
          <t>Ej behandlad</t>
        </is>
      </c>
      <c r="AG1956" t="inlineStr">
        <is>
          <t>AUTO_GENERERAD. Verifiera citat mot kallfil.</t>
        </is>
      </c>
      <c r="AH1956" t="inlineStr">
        <is>
          <t>HIGH</t>
        </is>
      </c>
      <c r="AI1956" t="inlineStr">
        <is>
          <t>AUTO</t>
        </is>
      </c>
      <c r="AJ1956" t="inlineStr">
        <is>
          <t>Nej</t>
        </is>
      </c>
      <c r="AK1956" t="inlineStr"/>
      <c r="AL1956" t="inlineStr"/>
      <c r="AM1956" t="inlineStr"/>
      <c r="AN1956" t="inlineStr"/>
      <c r="AO1956" t="inlineStr">
        <is>
          <t>cmm4yunoj00w5cuqw91w6ft7m</t>
        </is>
      </c>
      <c r="AP1956" t="inlineStr">
        <is>
          <t>http://localhost:8787/api/admin/requirements/documents/cmm4yunoj00w5cuqw91w6ft7m/view</t>
        </is>
      </c>
      <c r="AQ1956">
        <f>HYPERLÄNK("http://localhost:8787/api/admin/requirements/documents/cmm4yunoj00w5cuqw91w6ft7m/view";"Öppna PDF")</f>
        <v/>
      </c>
      <c r="AR1956">
        <f>HYPERLINK("http://localhost:8787/api/admin/requirements/documents/cmm4yunoj00w5cuqw91w6ft7m/view","Open PDF")</f>
        <v/>
      </c>
      <c r="AS1956" t="inlineStr">
        <is>
          <t>cmm55w57p0004cuisfrtpqly8</t>
        </is>
      </c>
      <c r="AT1956" t="inlineStr">
        <is>
          <t>cmm4xvu980000cuh4vj0usz09</t>
        </is>
      </c>
      <c r="AU1956" t="inlineStr">
        <is>
          <t>Besöksadress Telefon E-post Webb Tranås</t>
        </is>
      </c>
      <c r="AV1956" t="inlineStr">
        <is>
          <t>Kommun</t>
        </is>
      </c>
      <c r="AW1956" t="inlineStr">
        <is>
          <t>Besöksadress Telefon E-post Webb Tranås kommun</t>
        </is>
      </c>
      <c r="AX1956" t="inlineStr">
        <is>
          <t>2025-10</t>
        </is>
      </c>
      <c r="AY1956" t="inlineStr">
        <is>
          <t>Forelaggande</t>
        </is>
      </c>
      <c r="AZ1956" t="inlineStr">
        <is>
          <t>2026-02-03</t>
        </is>
      </c>
      <c r="BA1956" t="inlineStr">
        <is>
          <t>M-2025-829--Föreläggande enligt miljöbalken .pdf</t>
        </is>
      </c>
      <c r="BB1956" t="inlineStr">
        <is>
          <t>handlingar</t>
        </is>
      </c>
      <c r="BC1956" t="inlineStr">
        <is>
          <t>AUTO</t>
        </is>
      </c>
      <c r="BD1956" t="inlineStr"/>
      <c r="BE1956" t="inlineStr"/>
      <c r="BF1956" t="inlineStr">
        <is>
          <t>AUTO_GENERERAD. Bekrafta metadata mot kallfil.</t>
        </is>
      </c>
      <c r="BG1956">
        <f>HYPERLINK("C:\Users\jimmy\Desktop\Examens arbete\Kod\Ny mapp\remix_-copy-of-miljöbeslut.se-portal\M-2025-829--Föreläggande enligt miljöbalken .pdf", "Öppna PDF")</f>
        <v/>
      </c>
    </row>
    <row r="1957">
      <c r="A1957" t="inlineStr">
        <is>
          <t>KRAV-AUTO-001956</t>
        </is>
      </c>
      <c r="B1957" t="inlineStr">
        <is>
          <t>ADMIN-INDEX-2026-02-27-00000000125C043F57453246863FE664CAFE6A3F0700950291EA24F0614FB6ACEDB12BF0E31D00000000010C0000950291EA24F0614FB6ACEDB12BF0E31D00002087B1730000</t>
        </is>
      </c>
      <c r="C1957" t="inlineStr">
        <is>
          <t>cmm4yuno400vqcuqwjv9on2ry</t>
        </is>
      </c>
      <c r="D1957" t="inlineStr">
        <is>
          <t>http://localhost:8787/api/admin/requirements/documents/cmm4yuno400vqcuqwjv9on2ry/view</t>
        </is>
      </c>
      <c r="E1957">
        <f>HYPERLÄNK("http://localhost:8787/api/admin/requirements/documents/cmm4yuno400vqcuqwjv9on2ry/view";"Öppna PDF")</f>
        <v/>
      </c>
      <c r="F1957">
        <f>HYPERLINK("http://localhost:8787/api/admin/requirements/documents/cmm4yuno400vqcuqwjv9on2ry/view","Open PDF")</f>
        <v/>
      </c>
      <c r="G1957" t="inlineStr">
        <is>
          <t>cmm55w57p0004cuisfrtpqly8</t>
        </is>
      </c>
      <c r="H1957" t="inlineStr">
        <is>
          <t>Beslutsvillkor</t>
        </is>
      </c>
      <c r="I1957" t="inlineStr">
        <is>
          <t>Ytkonstruktion</t>
        </is>
      </c>
      <c r="J1957" t="inlineStr">
        <is>
          <t>Tat yta</t>
        </is>
      </c>
      <c r="K1957" t="inlineStr">
        <is>
          <t>Du får inte använda det lagrade avfallet för att ytterligare fylla upp marken på fastigheten, utan allt avfall som kommer in till lagret ska transporteras bort för återvinning på annan plats.</t>
        </is>
      </c>
      <c r="L1957" t="inlineStr">
        <is>
          <t>Du får inte använda det lagrade avfallet för att ytterligare fylla upp marken på fastigheten, utan allt avfall som kommer in till lagret ska transporteras bort för återvinning på annan plats.</t>
        </is>
      </c>
      <c r="M1957" t="inlineStr">
        <is>
          <t>SKA</t>
        </is>
      </c>
      <c r="N1957" t="inlineStr"/>
      <c r="O1957" t="inlineStr"/>
      <c r="P1957" t="inlineStr"/>
      <c r="Q1957" t="inlineStr">
        <is>
          <t>Driftbegransning vid avvikelse</t>
        </is>
      </c>
      <c r="R1957" t="inlineStr">
        <is>
          <t>Vid mellanlagring av avfall</t>
        </is>
      </c>
      <c r="S1957" t="inlineStr"/>
      <c r="T1957" t="inlineStr">
        <is>
          <t>52 0140</t>
        </is>
      </c>
      <c r="U1957" t="inlineStr"/>
      <c r="V1957" t="inlineStr"/>
      <c r="W1957" t="inlineStr">
        <is>
          <t>Ja</t>
        </is>
      </c>
      <c r="X1957" t="inlineStr">
        <is>
          <t>Nej</t>
        </is>
      </c>
      <c r="Y1957" t="inlineStr">
        <is>
          <t>Nej</t>
        </is>
      </c>
      <c r="Z1957" t="inlineStr">
        <is>
          <t>Nej</t>
        </is>
      </c>
      <c r="AA1957" t="n">
        <v>5</v>
      </c>
      <c r="AB1957" t="inlineStr">
        <is>
          <t>Teknisk beskrivning av platta</t>
        </is>
      </c>
      <c r="AC1957" t="inlineStr">
        <is>
          <t>Teknisk ritning platta</t>
        </is>
      </c>
      <c r="AD1957" t="inlineStr">
        <is>
          <t>Nej</t>
        </is>
      </c>
      <c r="AE1957" t="inlineStr">
        <is>
          <t>Nej</t>
        </is>
      </c>
      <c r="AF1957" t="inlineStr">
        <is>
          <t>Ej behandlad</t>
        </is>
      </c>
      <c r="AG1957" t="inlineStr">
        <is>
          <t>AUTO_GENERERAD. Verifiera citat mot kallfil.</t>
        </is>
      </c>
      <c r="AH1957" t="inlineStr">
        <is>
          <t>MEDIUM</t>
        </is>
      </c>
      <c r="AI1957" t="inlineStr">
        <is>
          <t>AUTO</t>
        </is>
      </c>
      <c r="AJ1957" t="inlineStr">
        <is>
          <t>Nej</t>
        </is>
      </c>
      <c r="AK1957" t="inlineStr"/>
      <c r="AL1957" t="inlineStr"/>
      <c r="AM1957" t="inlineStr"/>
      <c r="AN1957" t="inlineStr"/>
      <c r="AO1957" t="inlineStr">
        <is>
          <t>cmm4yunoj00w5cuqw91w6ft7m</t>
        </is>
      </c>
      <c r="AP1957" t="inlineStr">
        <is>
          <t>http://localhost:8787/api/admin/requirements/documents/cmm4yunoj00w5cuqw91w6ft7m/view</t>
        </is>
      </c>
      <c r="AQ1957">
        <f>HYPERLÄNK("http://localhost:8787/api/admin/requirements/documents/cmm4yunoj00w5cuqw91w6ft7m/view";"Öppna PDF")</f>
        <v/>
      </c>
      <c r="AR1957">
        <f>HYPERLINK("http://localhost:8787/api/admin/requirements/documents/cmm4yunoj00w5cuqw91w6ft7m/view","Open PDF")</f>
        <v/>
      </c>
      <c r="AS1957" t="inlineStr">
        <is>
          <t>cmm55w57p0004cuisfrtpqly8</t>
        </is>
      </c>
      <c r="AT1957" t="inlineStr">
        <is>
          <t>cmm4xvu980000cuh4vj0usz09</t>
        </is>
      </c>
      <c r="AU1957" t="inlineStr">
        <is>
          <t>Besöksadress Telefon E-post Webb Tranås</t>
        </is>
      </c>
      <c r="AV1957" t="inlineStr">
        <is>
          <t>Kommun</t>
        </is>
      </c>
      <c r="AW1957" t="inlineStr">
        <is>
          <t>Besöksadress Telefon E-post Webb Tranås kommun</t>
        </is>
      </c>
      <c r="AX1957" t="inlineStr">
        <is>
          <t>2025-10</t>
        </is>
      </c>
      <c r="AY1957" t="inlineStr">
        <is>
          <t>Forelaggande</t>
        </is>
      </c>
      <c r="AZ1957" t="inlineStr">
        <is>
          <t>2026-02-03</t>
        </is>
      </c>
      <c r="BA1957" t="inlineStr">
        <is>
          <t>M-2025-829--Föreläggande enligt miljöbalken .pdf</t>
        </is>
      </c>
      <c r="BB1957" t="inlineStr">
        <is>
          <t>handlingar</t>
        </is>
      </c>
      <c r="BC1957" t="inlineStr">
        <is>
          <t>AUTO</t>
        </is>
      </c>
      <c r="BD1957" t="inlineStr"/>
      <c r="BE1957" t="inlineStr"/>
      <c r="BF1957" t="inlineStr">
        <is>
          <t>AUTO_GENERERAD. Bekrafta metadata mot kallfil.</t>
        </is>
      </c>
      <c r="BG1957">
        <f>HYPERLINK("C:\Users\jimmy\Desktop\Examens arbete\Kod\Ny mapp\remix_-copy-of-miljöbeslut.se-portal\M-2025-829--Föreläggande enligt miljöbalken .pdf", "Öppna PDF")</f>
        <v/>
      </c>
    </row>
    <row r="1958">
      <c r="A1958" t="inlineStr">
        <is>
          <t>KRAV-AUTO-001957</t>
        </is>
      </c>
      <c r="B1958" t="inlineStr">
        <is>
          <t>ADMIN-INDEX-2026-02-27-00000000125C043F57453246863FE664CAFE6A3F0700950291EA24F0614FB6ACEDB12BF0E31D00000000010C0000950291EA24F0614FB6ACEDB12BF0E31D00002087B1730000</t>
        </is>
      </c>
      <c r="C1958" t="inlineStr">
        <is>
          <t>cmm4yuno400vqcuqwjv9on2ry</t>
        </is>
      </c>
      <c r="D1958" t="inlineStr">
        <is>
          <t>http://localhost:8787/api/admin/requirements/documents/cmm4yuno400vqcuqwjv9on2ry/view</t>
        </is>
      </c>
      <c r="E1958">
        <f>HYPERLÄNK("http://localhost:8787/api/admin/requirements/documents/cmm4yuno400vqcuqwjv9on2ry/view";"Öppna PDF")</f>
        <v/>
      </c>
      <c r="F1958">
        <f>HYPERLINK("http://localhost:8787/api/admin/requirements/documents/cmm4yuno400vqcuqwjv9on2ry/view","Open PDF")</f>
        <v/>
      </c>
      <c r="G1958" t="inlineStr">
        <is>
          <t>cmm55w57p0004cuisfrtpqly8</t>
        </is>
      </c>
      <c r="H1958" t="inlineStr">
        <is>
          <t>Beslutsvillkor</t>
        </is>
      </c>
      <c r="I1958" t="inlineStr">
        <is>
          <t>DriftEgenkontroll</t>
        </is>
      </c>
      <c r="J1958" t="inlineStr">
        <is>
          <t>Journalforing</t>
        </is>
      </c>
      <c r="K1958" t="inlineStr">
        <is>
          <t>För att ha kontroll på vilka typer och mängder av avfall som transporteras in och ut från verksamheten ska du föra journal över detta.</t>
        </is>
      </c>
      <c r="L1958" t="inlineStr">
        <is>
          <t>För att ha kontroll på vilka typer och mängder av avfall som transporteras in och ut från verksamheten ska du föra journal över detta.</t>
        </is>
      </c>
      <c r="M1958" t="inlineStr">
        <is>
          <t>SKA</t>
        </is>
      </c>
      <c r="N1958" t="inlineStr"/>
      <c r="O1958" t="inlineStr"/>
      <c r="P1958" t="inlineStr"/>
      <c r="Q1958" t="inlineStr"/>
      <c r="R1958" t="inlineStr">
        <is>
          <t>Lopande drift</t>
        </is>
      </c>
      <c r="S1958" t="inlineStr"/>
      <c r="T1958" t="inlineStr">
        <is>
          <t>52 0140</t>
        </is>
      </c>
      <c r="U1958" t="inlineStr"/>
      <c r="V1958" t="inlineStr"/>
      <c r="W1958" t="inlineStr">
        <is>
          <t>Nej</t>
        </is>
      </c>
      <c r="X1958" t="inlineStr">
        <is>
          <t>Nej</t>
        </is>
      </c>
      <c r="Y1958" t="inlineStr">
        <is>
          <t>Ja</t>
        </is>
      </c>
      <c r="Z1958" t="inlineStr">
        <is>
          <t>Nej</t>
        </is>
      </c>
      <c r="AA1958" t="n">
        <v>7</v>
      </c>
      <c r="AB1958" t="inlineStr">
        <is>
          <t>Egenkontrollrutiner</t>
        </is>
      </c>
      <c r="AC1958" t="inlineStr">
        <is>
          <t>Egenkontrollprogram</t>
        </is>
      </c>
      <c r="AD1958" t="inlineStr">
        <is>
          <t>Nej</t>
        </is>
      </c>
      <c r="AE1958" t="inlineStr">
        <is>
          <t>Nej</t>
        </is>
      </c>
      <c r="AF1958" t="inlineStr">
        <is>
          <t>Ej behandlad</t>
        </is>
      </c>
      <c r="AG1958" t="inlineStr">
        <is>
          <t>AUTO_GENERERAD. Verifiera citat mot kallfil.</t>
        </is>
      </c>
      <c r="AH1958" t="inlineStr">
        <is>
          <t>MEDIUM</t>
        </is>
      </c>
      <c r="AI1958" t="inlineStr">
        <is>
          <t>AUTO</t>
        </is>
      </c>
      <c r="AJ1958" t="inlineStr">
        <is>
          <t>Nej</t>
        </is>
      </c>
      <c r="AK1958" t="inlineStr"/>
      <c r="AL1958" t="inlineStr"/>
      <c r="AM1958" t="inlineStr"/>
      <c r="AN1958" t="inlineStr"/>
      <c r="AO1958" t="inlineStr">
        <is>
          <t>cmm4yunoj00w5cuqw91w6ft7m</t>
        </is>
      </c>
      <c r="AP1958" t="inlineStr">
        <is>
          <t>http://localhost:8787/api/admin/requirements/documents/cmm4yunoj00w5cuqw91w6ft7m/view</t>
        </is>
      </c>
      <c r="AQ1958">
        <f>HYPERLÄNK("http://localhost:8787/api/admin/requirements/documents/cmm4yunoj00w5cuqw91w6ft7m/view";"Öppna PDF")</f>
        <v/>
      </c>
      <c r="AR1958">
        <f>HYPERLINK("http://localhost:8787/api/admin/requirements/documents/cmm4yunoj00w5cuqw91w6ft7m/view","Open PDF")</f>
        <v/>
      </c>
      <c r="AS1958" t="inlineStr">
        <is>
          <t>cmm55w57p0004cuisfrtpqly8</t>
        </is>
      </c>
      <c r="AT1958" t="inlineStr">
        <is>
          <t>cmm4xvu980000cuh4vj0usz09</t>
        </is>
      </c>
      <c r="AU1958" t="inlineStr">
        <is>
          <t>Besöksadress Telefon E-post Webb Tranås</t>
        </is>
      </c>
      <c r="AV1958" t="inlineStr">
        <is>
          <t>Kommun</t>
        </is>
      </c>
      <c r="AW1958" t="inlineStr">
        <is>
          <t>Besöksadress Telefon E-post Webb Tranås kommun</t>
        </is>
      </c>
      <c r="AX1958" t="inlineStr">
        <is>
          <t>2025-10</t>
        </is>
      </c>
      <c r="AY1958" t="inlineStr">
        <is>
          <t>Forelaggande</t>
        </is>
      </c>
      <c r="AZ1958" t="inlineStr">
        <is>
          <t>2026-02-03</t>
        </is>
      </c>
      <c r="BA1958" t="inlineStr">
        <is>
          <t>M-2025-829--Föreläggande enligt miljöbalken .pdf</t>
        </is>
      </c>
      <c r="BB1958" t="inlineStr">
        <is>
          <t>handlingar</t>
        </is>
      </c>
      <c r="BC1958" t="inlineStr">
        <is>
          <t>AUTO</t>
        </is>
      </c>
      <c r="BD1958" t="inlineStr"/>
      <c r="BE1958" t="inlineStr"/>
      <c r="BF1958" t="inlineStr">
        <is>
          <t>AUTO_GENERERAD. Bekrafta metadata mot kallfil.</t>
        </is>
      </c>
      <c r="BG1958">
        <f>HYPERLINK("C:\Users\jimmy\Desktop\Examens arbete\Kod\Ny mapp\remix_-copy-of-miljöbeslut.se-portal\M-2025-829--Föreläggande enligt miljöbalken .pdf", "Öppna PDF")</f>
        <v/>
      </c>
    </row>
    <row r="1959">
      <c r="A1959" t="inlineStr">
        <is>
          <t>KRAV-AUTO-001958</t>
        </is>
      </c>
      <c r="B1959" t="inlineStr">
        <is>
          <t>ADMIN-INDEX-2026-02-27-00000000125C043F57453246863FE664CAFE6A3F0700950291EA24F0614FB6ACEDB12BF0E31D00000000010C0000950291EA24F0614FB6ACEDB12BF0E31D00002087B1730000</t>
        </is>
      </c>
      <c r="C1959" t="inlineStr">
        <is>
          <t>cmm4yuno400vqcuqwjv9on2ry</t>
        </is>
      </c>
      <c r="D1959" t="inlineStr">
        <is>
          <t>http://localhost:8787/api/admin/requirements/documents/cmm4yuno400vqcuqwjv9on2ry/view</t>
        </is>
      </c>
      <c r="E1959">
        <f>HYPERLÄNK("http://localhost:8787/api/admin/requirements/documents/cmm4yuno400vqcuqwjv9on2ry/view";"Öppna PDF")</f>
        <v/>
      </c>
      <c r="F1959">
        <f>HYPERLINK("http://localhost:8787/api/admin/requirements/documents/cmm4yuno400vqcuqwjv9on2ry/view","Open PDF")</f>
        <v/>
      </c>
      <c r="G1959" t="inlineStr">
        <is>
          <t>cmm55w57p0004cuisfrtpqly8</t>
        </is>
      </c>
      <c r="H1959" t="inlineStr">
        <is>
          <t>Beslutsvillkor</t>
        </is>
      </c>
      <c r="I1959" t="inlineStr">
        <is>
          <t>LagringsvolymTid</t>
        </is>
      </c>
      <c r="J1959" t="inlineStr">
        <is>
          <t>Maxmangd</t>
        </is>
      </c>
      <c r="K1959" t="inlineStr">
        <is>
          <t>Mängden avfall som du planerar att lagra ligger inom intervallet 10 ton till 30 000 ton och avfallet ska användas i byggnads- eller anläggningsändamål.</t>
        </is>
      </c>
      <c r="L1959" t="inlineStr">
        <is>
          <t>Mängden avfall som du planerar att lagra ligger inom intervallet 10 ton till 30 000 ton och avfallet ska användas i byggnads- eller anläggningsändamål.</t>
        </is>
      </c>
      <c r="M1959" t="inlineStr">
        <is>
          <t>SKA</t>
        </is>
      </c>
      <c r="N1959" t="inlineStr"/>
      <c r="O1959" t="inlineStr"/>
      <c r="P1959" t="inlineStr"/>
      <c r="Q1959" t="inlineStr"/>
      <c r="R1959" t="inlineStr">
        <is>
          <t>Alltid</t>
        </is>
      </c>
      <c r="S1959" t="inlineStr"/>
      <c r="T1959" t="inlineStr">
        <is>
          <t>52 0140</t>
        </is>
      </c>
      <c r="U1959" t="n">
        <v>10</v>
      </c>
      <c r="V1959" t="inlineStr"/>
      <c r="W1959" t="inlineStr">
        <is>
          <t>Nej</t>
        </is>
      </c>
      <c r="X1959" t="inlineStr">
        <is>
          <t>Nej</t>
        </is>
      </c>
      <c r="Y1959" t="inlineStr">
        <is>
          <t>Nej</t>
        </is>
      </c>
      <c r="Z1959" t="inlineStr">
        <is>
          <t>Nej</t>
        </is>
      </c>
      <c r="AA1959" t="n">
        <v>4</v>
      </c>
      <c r="AB1959" t="inlineStr">
        <is>
          <t>Avfallsmangder och lagringstid</t>
        </is>
      </c>
      <c r="AC1959" t="inlineStr">
        <is>
          <t>Avfallsforteckning</t>
        </is>
      </c>
      <c r="AD1959" t="inlineStr">
        <is>
          <t>Nej</t>
        </is>
      </c>
      <c r="AE1959" t="inlineStr">
        <is>
          <t>Nej</t>
        </is>
      </c>
      <c r="AF1959" t="inlineStr">
        <is>
          <t>Ej behandlad</t>
        </is>
      </c>
      <c r="AG1959" t="inlineStr">
        <is>
          <t>AUTO_GENERERAD. Verifiera citat mot kallfil.</t>
        </is>
      </c>
      <c r="AH1959" t="inlineStr">
        <is>
          <t>MEDIUM</t>
        </is>
      </c>
      <c r="AI1959" t="inlineStr">
        <is>
          <t>AUTO</t>
        </is>
      </c>
      <c r="AJ1959" t="inlineStr">
        <is>
          <t>Nej</t>
        </is>
      </c>
      <c r="AK1959" t="inlineStr"/>
      <c r="AL1959" t="inlineStr"/>
      <c r="AM1959" t="inlineStr"/>
      <c r="AN1959" t="inlineStr"/>
      <c r="AO1959" t="inlineStr">
        <is>
          <t>cmm4yunoj00w5cuqw91w6ft7m</t>
        </is>
      </c>
      <c r="AP1959" t="inlineStr">
        <is>
          <t>http://localhost:8787/api/admin/requirements/documents/cmm4yunoj00w5cuqw91w6ft7m/view</t>
        </is>
      </c>
      <c r="AQ1959">
        <f>HYPERLÄNK("http://localhost:8787/api/admin/requirements/documents/cmm4yunoj00w5cuqw91w6ft7m/view";"Öppna PDF")</f>
        <v/>
      </c>
      <c r="AR1959">
        <f>HYPERLINK("http://localhost:8787/api/admin/requirements/documents/cmm4yunoj00w5cuqw91w6ft7m/view","Open PDF")</f>
        <v/>
      </c>
      <c r="AS1959" t="inlineStr">
        <is>
          <t>cmm55w57p0004cuisfrtpqly8</t>
        </is>
      </c>
      <c r="AT1959" t="inlineStr">
        <is>
          <t>cmm4xvu980000cuh4vj0usz09</t>
        </is>
      </c>
      <c r="AU1959" t="inlineStr">
        <is>
          <t>Besöksadress Telefon E-post Webb Tranås</t>
        </is>
      </c>
      <c r="AV1959" t="inlineStr">
        <is>
          <t>Kommun</t>
        </is>
      </c>
      <c r="AW1959" t="inlineStr">
        <is>
          <t>Besöksadress Telefon E-post Webb Tranås kommun</t>
        </is>
      </c>
      <c r="AX1959" t="inlineStr">
        <is>
          <t>2025-10</t>
        </is>
      </c>
      <c r="AY1959" t="inlineStr">
        <is>
          <t>Forelaggande</t>
        </is>
      </c>
      <c r="AZ1959" t="inlineStr">
        <is>
          <t>2026-02-03</t>
        </is>
      </c>
      <c r="BA1959" t="inlineStr">
        <is>
          <t>M-2025-829--Föreläggande enligt miljöbalken .pdf</t>
        </is>
      </c>
      <c r="BB1959" t="inlineStr">
        <is>
          <t>handlingar</t>
        </is>
      </c>
      <c r="BC1959" t="inlineStr">
        <is>
          <t>AUTO</t>
        </is>
      </c>
      <c r="BD1959" t="inlineStr"/>
      <c r="BE1959" t="inlineStr"/>
      <c r="BF1959" t="inlineStr">
        <is>
          <t>AUTO_GENERERAD. Bekrafta metadata mot kallfil.</t>
        </is>
      </c>
      <c r="BG1959">
        <f>HYPERLINK("C:\Users\jimmy\Desktop\Examens arbete\Kod\Ny mapp\remix_-copy-of-miljöbeslut.se-portal\M-2025-829--Föreläggande enligt miljöbalken .pdf", "Öppna PDF")</f>
        <v/>
      </c>
    </row>
    <row r="1960">
      <c r="A1960" t="inlineStr">
        <is>
          <t>KRAV-AUTO-001959</t>
        </is>
      </c>
      <c r="B1960" t="inlineStr">
        <is>
          <t>ADMIN-INDEX-2026-02-27-00000000125C043F57453246863FE664CAFE6A3F0700950291EA24F0614FB6ACEDB12BF0E31D00000000010C0000950291EA24F0614FB6ACEDB12BF0E31D00002087B1780000</t>
        </is>
      </c>
      <c r="C1960" t="inlineStr">
        <is>
          <t>cmm4yunnf00v2cuqwy7slxvjp</t>
        </is>
      </c>
      <c r="D1960" t="inlineStr">
        <is>
          <t>http://localhost:8787/api/admin/requirements/documents/cmm4yunnf00v2cuqwy7slxvjp/view</t>
        </is>
      </c>
      <c r="E1960">
        <f>HYPERLÄNK("http://localhost:8787/api/admin/requirements/documents/cmm4yunnf00v2cuqwy7slxvjp/view";"Öppna PDF")</f>
        <v/>
      </c>
      <c r="F1960">
        <f>HYPERLINK("http://localhost:8787/api/admin/requirements/documents/cmm4yunnf00v2cuqwy7slxvjp/view","Open PDF")</f>
        <v/>
      </c>
      <c r="G1960" t="inlineStr">
        <is>
          <t>cmm55w57p0004cuisfrtpqly8</t>
        </is>
      </c>
      <c r="H1960" t="inlineStr">
        <is>
          <t>Beslutsvillkor</t>
        </is>
      </c>
      <c r="I1960" t="inlineStr">
        <is>
          <t>DagvattenLakvatten</t>
        </is>
      </c>
      <c r="J1960" t="inlineStr">
        <is>
          <t>Uppsamling</t>
        </is>
      </c>
      <c r="K1960" t="inlineStr">
        <is>
          <t>I egenkontrollprogrammet ska rutiner för regelbunden kontroll av dagvattenhanteringens syfte och funktion finnas.</t>
        </is>
      </c>
      <c r="L1960" t="inlineStr">
        <is>
          <t>I egenkontrollprogrammet ska rutiner för regelbunden kontroll av dagvattenhanteringens syfte och funktion finnas.</t>
        </is>
      </c>
      <c r="M1960" t="inlineStr">
        <is>
          <t>SKA</t>
        </is>
      </c>
      <c r="N1960" t="inlineStr">
        <is>
          <t>FMH</t>
        </is>
      </c>
      <c r="O1960" t="inlineStr"/>
      <c r="P1960" t="inlineStr"/>
      <c r="Q1960" t="inlineStr"/>
      <c r="R1960" t="inlineStr">
        <is>
          <t>Vid nederbord och avrinning</t>
        </is>
      </c>
      <c r="S1960" t="inlineStr"/>
      <c r="T1960" t="inlineStr">
        <is>
          <t>212000</t>
        </is>
      </c>
      <c r="U1960" t="inlineStr"/>
      <c r="V1960" t="inlineStr"/>
      <c r="W1960" t="inlineStr">
        <is>
          <t>Nej</t>
        </is>
      </c>
      <c r="X1960" t="inlineStr">
        <is>
          <t>Ja</t>
        </is>
      </c>
      <c r="Y1960" t="inlineStr">
        <is>
          <t>Ja</t>
        </is>
      </c>
      <c r="Z1960" t="inlineStr">
        <is>
          <t>Nej</t>
        </is>
      </c>
      <c r="AA1960" t="n">
        <v>6</v>
      </c>
      <c r="AB1960" t="inlineStr">
        <is>
          <t>Lakvattenhantering</t>
        </is>
      </c>
      <c r="AC1960" t="inlineStr">
        <is>
          <t>Flodesschema dagvatten-lakvatten</t>
        </is>
      </c>
      <c r="AD1960" t="inlineStr">
        <is>
          <t>Nej</t>
        </is>
      </c>
      <c r="AE1960" t="inlineStr">
        <is>
          <t>Nej</t>
        </is>
      </c>
      <c r="AF1960" t="inlineStr">
        <is>
          <t>Ej behandlad</t>
        </is>
      </c>
      <c r="AG1960" t="inlineStr">
        <is>
          <t>AUTO_GENERERAD. Verifiera citat mot kallfil.</t>
        </is>
      </c>
      <c r="AH1960" t="inlineStr">
        <is>
          <t>HIGH</t>
        </is>
      </c>
      <c r="AI1960" t="inlineStr">
        <is>
          <t>AUTO</t>
        </is>
      </c>
      <c r="AJ1960" t="inlineStr">
        <is>
          <t>Nej</t>
        </is>
      </c>
      <c r="AK1960" t="inlineStr"/>
      <c r="AL1960" t="inlineStr"/>
      <c r="AM1960" t="inlineStr"/>
      <c r="AN1960" t="inlineStr"/>
      <c r="AO1960" t="inlineStr">
        <is>
          <t>cmm4yunnf00v2cuqwy7slxvjp</t>
        </is>
      </c>
      <c r="AP1960" t="inlineStr">
        <is>
          <t>http://localhost:8787/api/admin/requirements/documents/cmm4yunnf00v2cuqwy7slxvjp/view</t>
        </is>
      </c>
      <c r="AQ1960">
        <f>HYPERLÄNK("http://localhost:8787/api/admin/requirements/documents/cmm4yunnf00v2cuqwy7slxvjp/view";"Öppna PDF")</f>
        <v/>
      </c>
      <c r="AR1960">
        <f>HYPERLINK("http://localhost:8787/api/admin/requirements/documents/cmm4yunnf00v2cuqwy7slxvjp/view","Open PDF")</f>
        <v/>
      </c>
      <c r="AS1960" t="inlineStr">
        <is>
          <t>cmm55w57p0004cuisfrtpqly8</t>
        </is>
      </c>
      <c r="AT1960" t="inlineStr">
        <is>
          <t>cmm4xvu980000cuh4vj0usz09</t>
        </is>
      </c>
      <c r="AU1960" t="inlineStr">
        <is>
          <t>org nr Valdemarsviks</t>
        </is>
      </c>
      <c r="AV1960" t="inlineStr">
        <is>
          <t>Kommun</t>
        </is>
      </c>
      <c r="AW1960" t="inlineStr">
        <is>
          <t>org nr Valdemarsviks kommun</t>
        </is>
      </c>
      <c r="AX1960" t="inlineStr">
        <is>
          <t>2025-01</t>
        </is>
      </c>
      <c r="AY1960" t="inlineStr">
        <is>
          <t>Beslut</t>
        </is>
      </c>
      <c r="AZ1960" t="inlineStr">
        <is>
          <t>2026-02-03</t>
        </is>
      </c>
      <c r="BA1960" t="inlineStr">
        <is>
          <t>MBNV-2024-602_2025-01-24_Beslut Miljöfarlig verksamhet.pdf</t>
        </is>
      </c>
      <c r="BB1960" t="inlineStr">
        <is>
          <t>SV: till registrator</t>
        </is>
      </c>
      <c r="BC1960" t="inlineStr">
        <is>
          <t>AUTO</t>
        </is>
      </c>
      <c r="BD1960" t="inlineStr"/>
      <c r="BE1960" t="inlineStr"/>
      <c r="BF1960" t="inlineStr">
        <is>
          <t>AUTO_GENERERAD. Bekrafta metadata mot kallfil.</t>
        </is>
      </c>
      <c r="BG1960">
        <f>HYPERLINK("C:\Users\jimmy\Desktop\Examens arbete\Kod\Ny mapp\remix_-copy-of-miljöbeslut.se-portal\MBNV-2024-602_2025-01-24_Beslut Miljöfarlig verksamhet.pdf", "Öppna PDF")</f>
        <v/>
      </c>
    </row>
    <row r="1961">
      <c r="A1961" t="inlineStr">
        <is>
          <t>KRAV-AUTO-001960</t>
        </is>
      </c>
      <c r="B1961" t="inlineStr">
        <is>
          <t>ADMIN-INDEX-2026-02-27-00000000125C043F57453246863FE664CAFE6A3F0700950291EA24F0614FB6ACEDB12BF0E31D00000000010C0000950291EA24F0614FB6ACEDB12BF0E31D00002087B1780000</t>
        </is>
      </c>
      <c r="C1961" t="inlineStr">
        <is>
          <t>cmm4yunnf00v2cuqwy7slxvjp</t>
        </is>
      </c>
      <c r="D1961" t="inlineStr">
        <is>
          <t>http://localhost:8787/api/admin/requirements/documents/cmm4yunnf00v2cuqwy7slxvjp/view</t>
        </is>
      </c>
      <c r="E1961">
        <f>HYPERLÄNK("http://localhost:8787/api/admin/requirements/documents/cmm4yunnf00v2cuqwy7slxvjp/view";"Öppna PDF")</f>
        <v/>
      </c>
      <c r="F1961">
        <f>HYPERLINK("http://localhost:8787/api/admin/requirements/documents/cmm4yunnf00v2cuqwy7slxvjp/view","Open PDF")</f>
        <v/>
      </c>
      <c r="G1961" t="inlineStr">
        <is>
          <t>cmm55w57p0004cuisfrtpqly8</t>
        </is>
      </c>
      <c r="H1961" t="inlineStr">
        <is>
          <t>Beslutsvillkor</t>
        </is>
      </c>
      <c r="I1961" t="inlineStr">
        <is>
          <t>MiljopaverkanForsiktighet</t>
        </is>
      </c>
      <c r="J1961" t="inlineStr">
        <is>
          <t>Skyddsatgarder</t>
        </is>
      </c>
      <c r="K1961" t="inlineStr">
        <is>
          <t>Hanteringen av matavfall skall ske inne i byggnaden och enbart när omlastningen pågar får ena sidan vara öppen.</t>
        </is>
      </c>
      <c r="L1961" t="inlineStr">
        <is>
          <t>Hanteringen av matavfall skall ske inne i byggnaden och enbart när omlastningen pågar får ena sidan vara öppen.</t>
        </is>
      </c>
      <c r="M1961" t="inlineStr">
        <is>
          <t>SKA</t>
        </is>
      </c>
      <c r="N1961" t="inlineStr">
        <is>
          <t>FMH</t>
        </is>
      </c>
      <c r="O1961" t="inlineStr"/>
      <c r="P1961" t="inlineStr"/>
      <c r="Q1961" t="inlineStr"/>
      <c r="R1961" t="inlineStr">
        <is>
          <t>Alltid</t>
        </is>
      </c>
      <c r="S1961" t="inlineStr"/>
      <c r="T1961" t="inlineStr">
        <is>
          <t>212000</t>
        </is>
      </c>
      <c r="U1961" t="inlineStr"/>
      <c r="V1961" t="inlineStr"/>
      <c r="W1961" t="inlineStr">
        <is>
          <t>Nej</t>
        </is>
      </c>
      <c r="X1961" t="inlineStr">
        <is>
          <t>Nej</t>
        </is>
      </c>
      <c r="Y1961" t="inlineStr">
        <is>
          <t>Nej</t>
        </is>
      </c>
      <c r="Z1961" t="inlineStr">
        <is>
          <t>Nej</t>
        </is>
      </c>
      <c r="AA1961" t="n">
        <v>10</v>
      </c>
      <c r="AB1961" t="inlineStr">
        <is>
          <t>Miljopaverkan och forsiktighetsmatt</t>
        </is>
      </c>
      <c r="AC1961" t="inlineStr">
        <is>
          <t>Miljo-PM</t>
        </is>
      </c>
      <c r="AD1961" t="inlineStr">
        <is>
          <t>Nej</t>
        </is>
      </c>
      <c r="AE1961" t="inlineStr">
        <is>
          <t>Nej</t>
        </is>
      </c>
      <c r="AF1961" t="inlineStr">
        <is>
          <t>Ej behandlad</t>
        </is>
      </c>
      <c r="AG1961" t="inlineStr">
        <is>
          <t>AUTO_GENERERAD. Verifiera citat mot kallfil.</t>
        </is>
      </c>
      <c r="AH1961" t="inlineStr">
        <is>
          <t>HIGH</t>
        </is>
      </c>
      <c r="AI1961" t="inlineStr">
        <is>
          <t>AUTO</t>
        </is>
      </c>
      <c r="AJ1961" t="inlineStr">
        <is>
          <t>Nej</t>
        </is>
      </c>
      <c r="AK1961" t="inlineStr"/>
      <c r="AL1961" t="inlineStr"/>
      <c r="AM1961" t="inlineStr"/>
      <c r="AN1961" t="inlineStr"/>
      <c r="AO1961" t="inlineStr">
        <is>
          <t>cmm4yunnf00v2cuqwy7slxvjp</t>
        </is>
      </c>
      <c r="AP1961" t="inlineStr">
        <is>
          <t>http://localhost:8787/api/admin/requirements/documents/cmm4yunnf00v2cuqwy7slxvjp/view</t>
        </is>
      </c>
      <c r="AQ1961">
        <f>HYPERLÄNK("http://localhost:8787/api/admin/requirements/documents/cmm4yunnf00v2cuqwy7slxvjp/view";"Öppna PDF")</f>
        <v/>
      </c>
      <c r="AR1961">
        <f>HYPERLINK("http://localhost:8787/api/admin/requirements/documents/cmm4yunnf00v2cuqwy7slxvjp/view","Open PDF")</f>
        <v/>
      </c>
      <c r="AS1961" t="inlineStr">
        <is>
          <t>cmm55w57p0004cuisfrtpqly8</t>
        </is>
      </c>
      <c r="AT1961" t="inlineStr">
        <is>
          <t>cmm4xvu980000cuh4vj0usz09</t>
        </is>
      </c>
      <c r="AU1961" t="inlineStr">
        <is>
          <t>org nr Valdemarsviks</t>
        </is>
      </c>
      <c r="AV1961" t="inlineStr">
        <is>
          <t>Kommun</t>
        </is>
      </c>
      <c r="AW1961" t="inlineStr">
        <is>
          <t>org nr Valdemarsviks kommun</t>
        </is>
      </c>
      <c r="AX1961" t="inlineStr">
        <is>
          <t>2025-01</t>
        </is>
      </c>
      <c r="AY1961" t="inlineStr">
        <is>
          <t>Beslut</t>
        </is>
      </c>
      <c r="AZ1961" t="inlineStr">
        <is>
          <t>2026-02-03</t>
        </is>
      </c>
      <c r="BA1961" t="inlineStr">
        <is>
          <t>MBNV-2024-602_2025-01-24_Beslut Miljöfarlig verksamhet.pdf</t>
        </is>
      </c>
      <c r="BB1961" t="inlineStr">
        <is>
          <t>SV: till registrator</t>
        </is>
      </c>
      <c r="BC1961" t="inlineStr">
        <is>
          <t>AUTO</t>
        </is>
      </c>
      <c r="BD1961" t="inlineStr"/>
      <c r="BE1961" t="inlineStr"/>
      <c r="BF1961" t="inlineStr">
        <is>
          <t>AUTO_GENERERAD. Bekrafta metadata mot kallfil.</t>
        </is>
      </c>
      <c r="BG1961">
        <f>HYPERLINK("C:\Users\jimmy\Desktop\Examens arbete\Kod\Ny mapp\remix_-copy-of-miljöbeslut.se-portal\MBNV-2024-602_2025-01-24_Beslut Miljöfarlig verksamhet.pdf", "Öppna PDF")</f>
        <v/>
      </c>
    </row>
    <row r="1962">
      <c r="A1962" t="inlineStr">
        <is>
          <t>KRAV-AUTO-001961</t>
        </is>
      </c>
      <c r="B1962" t="inlineStr">
        <is>
          <t>ADMIN-INDEX-2026-02-27-00000000125C043F57453246863FE664CAFE6A3F0700950291EA24F0614FB6ACEDB12BF0E31D00000000010C0000950291EA24F0614FB6ACEDB12BF0E31D00002087B1780000</t>
        </is>
      </c>
      <c r="C1962" t="inlineStr">
        <is>
          <t>cmm4yunnf00v2cuqwy7slxvjp</t>
        </is>
      </c>
      <c r="D1962" t="inlineStr">
        <is>
          <t>http://localhost:8787/api/admin/requirements/documents/cmm4yunnf00v2cuqwy7slxvjp/view</t>
        </is>
      </c>
      <c r="E1962">
        <f>HYPERLÄNK("http://localhost:8787/api/admin/requirements/documents/cmm4yunnf00v2cuqwy7slxvjp/view";"Öppna PDF")</f>
        <v/>
      </c>
      <c r="F1962">
        <f>HYPERLINK("http://localhost:8787/api/admin/requirements/documents/cmm4yunnf00v2cuqwy7slxvjp/view","Open PDF")</f>
        <v/>
      </c>
      <c r="G1962" t="inlineStr">
        <is>
          <t>cmm55w57p0004cuisfrtpqly8</t>
        </is>
      </c>
      <c r="H1962" t="inlineStr">
        <is>
          <t>Beslutsvillkor</t>
        </is>
      </c>
      <c r="I1962" t="inlineStr">
        <is>
          <t>LagringsvolymTid</t>
        </is>
      </c>
      <c r="J1962" t="inlineStr">
        <is>
          <t>Maxmangd</t>
        </is>
      </c>
      <c r="K1962" t="inlineStr">
        <is>
          <t>Redovisning av typ och mängd inkommande avfall ska ske på tillsynsmyndighetens begäran.</t>
        </is>
      </c>
      <c r="L1962" t="inlineStr">
        <is>
          <t>Redovisning av typ och mängd inkommande avfall ska ske på tillsynsmyndighetens begäran.</t>
        </is>
      </c>
      <c r="M1962" t="inlineStr">
        <is>
          <t>SKA</t>
        </is>
      </c>
      <c r="N1962" t="inlineStr">
        <is>
          <t>FMH</t>
        </is>
      </c>
      <c r="O1962" t="inlineStr"/>
      <c r="P1962" t="inlineStr"/>
      <c r="Q1962" t="inlineStr"/>
      <c r="R1962" t="inlineStr">
        <is>
          <t>Alltid</t>
        </is>
      </c>
      <c r="S1962" t="inlineStr"/>
      <c r="T1962" t="inlineStr">
        <is>
          <t>212000</t>
        </is>
      </c>
      <c r="U1962" t="inlineStr"/>
      <c r="V1962" t="inlineStr"/>
      <c r="W1962" t="inlineStr">
        <is>
          <t>Nej</t>
        </is>
      </c>
      <c r="X1962" t="inlineStr">
        <is>
          <t>Nej</t>
        </is>
      </c>
      <c r="Y1962" t="inlineStr">
        <is>
          <t>Nej</t>
        </is>
      </c>
      <c r="Z1962" t="inlineStr">
        <is>
          <t>Nej</t>
        </is>
      </c>
      <c r="AA1962" t="n">
        <v>4</v>
      </c>
      <c r="AB1962" t="inlineStr">
        <is>
          <t>Avfallsmangder och lagringstid</t>
        </is>
      </c>
      <c r="AC1962" t="inlineStr">
        <is>
          <t>Avfallsforteckning</t>
        </is>
      </c>
      <c r="AD1962" t="inlineStr">
        <is>
          <t>Nej</t>
        </is>
      </c>
      <c r="AE1962" t="inlineStr">
        <is>
          <t>Nej</t>
        </is>
      </c>
      <c r="AF1962" t="inlineStr">
        <is>
          <t>Ej behandlad</t>
        </is>
      </c>
      <c r="AG1962" t="inlineStr">
        <is>
          <t>AUTO_GENERERAD. Verifiera citat mot kallfil.</t>
        </is>
      </c>
      <c r="AH1962" t="inlineStr">
        <is>
          <t>HIGH</t>
        </is>
      </c>
      <c r="AI1962" t="inlineStr">
        <is>
          <t>AUTO</t>
        </is>
      </c>
      <c r="AJ1962" t="inlineStr">
        <is>
          <t>Nej</t>
        </is>
      </c>
      <c r="AK1962" t="inlineStr"/>
      <c r="AL1962" t="inlineStr"/>
      <c r="AM1962" t="inlineStr"/>
      <c r="AN1962" t="inlineStr"/>
      <c r="AO1962" t="inlineStr">
        <is>
          <t>cmm4yunnf00v2cuqwy7slxvjp</t>
        </is>
      </c>
      <c r="AP1962" t="inlineStr">
        <is>
          <t>http://localhost:8787/api/admin/requirements/documents/cmm4yunnf00v2cuqwy7slxvjp/view</t>
        </is>
      </c>
      <c r="AQ1962">
        <f>HYPERLÄNK("http://localhost:8787/api/admin/requirements/documents/cmm4yunnf00v2cuqwy7slxvjp/view";"Öppna PDF")</f>
        <v/>
      </c>
      <c r="AR1962">
        <f>HYPERLINK("http://localhost:8787/api/admin/requirements/documents/cmm4yunnf00v2cuqwy7slxvjp/view","Open PDF")</f>
        <v/>
      </c>
      <c r="AS1962" t="inlineStr">
        <is>
          <t>cmm55w57p0004cuisfrtpqly8</t>
        </is>
      </c>
      <c r="AT1962" t="inlineStr">
        <is>
          <t>cmm4xvu980000cuh4vj0usz09</t>
        </is>
      </c>
      <c r="AU1962" t="inlineStr">
        <is>
          <t>org nr Valdemarsviks</t>
        </is>
      </c>
      <c r="AV1962" t="inlineStr">
        <is>
          <t>Kommun</t>
        </is>
      </c>
      <c r="AW1962" t="inlineStr">
        <is>
          <t>org nr Valdemarsviks kommun</t>
        </is>
      </c>
      <c r="AX1962" t="inlineStr">
        <is>
          <t>2025-01</t>
        </is>
      </c>
      <c r="AY1962" t="inlineStr">
        <is>
          <t>Beslut</t>
        </is>
      </c>
      <c r="AZ1962" t="inlineStr">
        <is>
          <t>2026-02-03</t>
        </is>
      </c>
      <c r="BA1962" t="inlineStr">
        <is>
          <t>MBNV-2024-602_2025-01-24_Beslut Miljöfarlig verksamhet.pdf</t>
        </is>
      </c>
      <c r="BB1962" t="inlineStr">
        <is>
          <t>SV: till registrator</t>
        </is>
      </c>
      <c r="BC1962" t="inlineStr">
        <is>
          <t>AUTO</t>
        </is>
      </c>
      <c r="BD1962" t="inlineStr"/>
      <c r="BE1962" t="inlineStr"/>
      <c r="BF1962" t="inlineStr">
        <is>
          <t>AUTO_GENERERAD. Bekrafta metadata mot kallfil.</t>
        </is>
      </c>
      <c r="BG1962">
        <f>HYPERLINK("C:\Users\jimmy\Desktop\Examens arbete\Kod\Ny mapp\remix_-copy-of-miljöbeslut.se-portal\MBNV-2024-602_2025-01-24_Beslut Miljöfarlig verksamhet.pdf", "Öppna PDF")</f>
        <v/>
      </c>
    </row>
    <row r="1963">
      <c r="A1963" t="inlineStr">
        <is>
          <t>KRAV-AUTO-001962</t>
        </is>
      </c>
      <c r="B1963" t="inlineStr">
        <is>
          <t>ADMIN-INDEX-2026-02-27-00000000125C043F57453246863FE664CAFE6A3F0700950291EA24F0614FB6ACEDB12BF0E31D00000000010C0000950291EA24F0614FB6ACEDB12BF0E31D00002087B1780000</t>
        </is>
      </c>
      <c r="C1963" t="inlineStr">
        <is>
          <t>cmm4yunn000uncuqwwtdlhqur</t>
        </is>
      </c>
      <c r="D1963" t="inlineStr">
        <is>
          <t>http://localhost:8787/api/admin/requirements/documents/cmm4yunn000uncuqwwtdlhqur/view</t>
        </is>
      </c>
      <c r="E1963">
        <f>HYPERLÄNK("http://localhost:8787/api/admin/requirements/documents/cmm4yunn000uncuqwwtdlhqur/view";"Öppna PDF")</f>
        <v/>
      </c>
      <c r="F1963">
        <f>HYPERLINK("http://localhost:8787/api/admin/requirements/documents/cmm4yunn000uncuqwwtdlhqur/view","Open PDF")</f>
        <v/>
      </c>
      <c r="G1963" t="inlineStr">
        <is>
          <t>cmm55w57p0004cuisfrtpqly8</t>
        </is>
      </c>
      <c r="H1963" t="inlineStr">
        <is>
          <t>Informationskrav</t>
        </is>
      </c>
      <c r="I1963" t="inlineStr">
        <is>
          <t>DagvattenLakvatten</t>
        </is>
      </c>
      <c r="J1963" t="inlineStr">
        <is>
          <t>Uppsamling</t>
        </is>
      </c>
      <c r="K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963" t="inlineStr">
        <is>
          <t>SKA</t>
        </is>
      </c>
      <c r="N1963" t="inlineStr"/>
      <c r="O1963" t="inlineStr"/>
      <c r="P1963" t="inlineStr"/>
      <c r="Q1963" t="inlineStr"/>
      <c r="R1963" t="inlineStr">
        <is>
          <t>Vid nederbord och avrinning</t>
        </is>
      </c>
      <c r="S1963" t="inlineStr"/>
      <c r="T1963" t="inlineStr"/>
      <c r="U1963" t="inlineStr"/>
      <c r="V1963" t="inlineStr"/>
      <c r="W1963" t="inlineStr">
        <is>
          <t>Nej</t>
        </is>
      </c>
      <c r="X1963" t="inlineStr">
        <is>
          <t>Ja</t>
        </is>
      </c>
      <c r="Y1963" t="inlineStr">
        <is>
          <t>Ja</t>
        </is>
      </c>
      <c r="Z1963" t="inlineStr">
        <is>
          <t>Nej</t>
        </is>
      </c>
      <c r="AA1963" t="n">
        <v>6</v>
      </c>
      <c r="AB1963" t="inlineStr">
        <is>
          <t>Lakvattenhantering</t>
        </is>
      </c>
      <c r="AC1963" t="inlineStr">
        <is>
          <t>Flodesschema dagvatten-lakvatten</t>
        </is>
      </c>
      <c r="AD1963" t="inlineStr">
        <is>
          <t>Nej</t>
        </is>
      </c>
      <c r="AE1963" t="inlineStr">
        <is>
          <t>Nej</t>
        </is>
      </c>
      <c r="AF1963" t="inlineStr">
        <is>
          <t>Ej behandlad</t>
        </is>
      </c>
      <c r="AG1963" t="inlineStr">
        <is>
          <t>AUTO_GENERERAD. Verifiera citat mot kallfil.</t>
        </is>
      </c>
      <c r="AH1963" t="inlineStr">
        <is>
          <t>MEDIUM</t>
        </is>
      </c>
      <c r="AI1963" t="inlineStr">
        <is>
          <t>AUTO</t>
        </is>
      </c>
      <c r="AJ1963" t="inlineStr">
        <is>
          <t>Nej</t>
        </is>
      </c>
      <c r="AK1963" t="inlineStr"/>
      <c r="AL1963" t="inlineStr"/>
      <c r="AM1963" t="inlineStr"/>
      <c r="AN1963" t="inlineStr"/>
      <c r="AO1963" t="inlineStr">
        <is>
          <t>cmm4yunnf00v2cuqwy7slxvjp</t>
        </is>
      </c>
      <c r="AP1963" t="inlineStr">
        <is>
          <t>http://localhost:8787/api/admin/requirements/documents/cmm4yunnf00v2cuqwy7slxvjp/view</t>
        </is>
      </c>
      <c r="AQ1963">
        <f>HYPERLÄNK("http://localhost:8787/api/admin/requirements/documents/cmm4yunnf00v2cuqwy7slxvjp/view";"Öppna PDF")</f>
        <v/>
      </c>
      <c r="AR1963">
        <f>HYPERLINK("http://localhost:8787/api/admin/requirements/documents/cmm4yunnf00v2cuqwy7slxvjp/view","Open PDF")</f>
        <v/>
      </c>
      <c r="AS1963" t="inlineStr">
        <is>
          <t>cmm55w57p0004cuisfrtpqly8</t>
        </is>
      </c>
      <c r="AT1963" t="inlineStr">
        <is>
          <t>cmm4xvu980000cuh4vj0usz09</t>
        </is>
      </c>
      <c r="AU1963" t="inlineStr">
        <is>
          <t>org nr Valdemarsviks</t>
        </is>
      </c>
      <c r="AV1963" t="inlineStr">
        <is>
          <t>Kommun</t>
        </is>
      </c>
      <c r="AW1963" t="inlineStr">
        <is>
          <t>org nr Valdemarsviks kommun</t>
        </is>
      </c>
      <c r="AX1963" t="inlineStr">
        <is>
          <t>2025-01</t>
        </is>
      </c>
      <c r="AY1963" t="inlineStr">
        <is>
          <t>Beslut</t>
        </is>
      </c>
      <c r="AZ1963" t="inlineStr">
        <is>
          <t>2026-02-03</t>
        </is>
      </c>
      <c r="BA1963" t="inlineStr">
        <is>
          <t>MBNV-2024-602_2025-01-24_Beslut Miljöfarlig verksamhet.pdf</t>
        </is>
      </c>
      <c r="BB1963" t="inlineStr">
        <is>
          <t>SV: till registrator</t>
        </is>
      </c>
      <c r="BC1963" t="inlineStr">
        <is>
          <t>AUTO</t>
        </is>
      </c>
      <c r="BD1963" t="inlineStr"/>
      <c r="BE1963" t="inlineStr"/>
      <c r="BF1963" t="inlineStr">
        <is>
          <t>AUTO_GENERERAD. Bekrafta metadata mot kallfil.</t>
        </is>
      </c>
      <c r="BG1963">
        <f>HYPERLINK("C:\Users\jimmy\Desktop\Examens arbete\Kod\Ny mapp\remix_-copy-of-miljöbeslut.se-portal\MBNV-2024-602_2025-01-24_Beslut Miljöfarlig verksamhet.pdf", "Öppna PDF")</f>
        <v/>
      </c>
    </row>
    <row r="1964">
      <c r="A1964" t="inlineStr">
        <is>
          <t>KRAV-AUTO-001963</t>
        </is>
      </c>
      <c r="B1964" t="inlineStr">
        <is>
          <t>ADMIN-INDEX-2026-02-27-00000000125C043F57453246863FE664CAFE6A3F0700950291EA24F0614FB6ACEDB12BF0E31D00000000010C0000950291EA24F0614FB6ACEDB12BF0E31D00002087B1780000</t>
        </is>
      </c>
      <c r="C1964" t="inlineStr">
        <is>
          <t>cmm4yunn000uncuqwwtdlhqur</t>
        </is>
      </c>
      <c r="D1964" t="inlineStr">
        <is>
          <t>http://localhost:8787/api/admin/requirements/documents/cmm4yunn000uncuqwwtdlhqur/view</t>
        </is>
      </c>
      <c r="E1964">
        <f>HYPERLÄNK("http://localhost:8787/api/admin/requirements/documents/cmm4yunn000uncuqwwtdlhqur/view";"Öppna PDF")</f>
        <v/>
      </c>
      <c r="F1964">
        <f>HYPERLINK("http://localhost:8787/api/admin/requirements/documents/cmm4yunn000uncuqwwtdlhqur/view","Open PDF")</f>
        <v/>
      </c>
      <c r="G1964" t="inlineStr">
        <is>
          <t>cmm55w57p0004cuisfrtpqly8</t>
        </is>
      </c>
      <c r="H1964" t="inlineStr">
        <is>
          <t>Informationskrav</t>
        </is>
      </c>
      <c r="I1964" t="inlineStr">
        <is>
          <t>LagringsvolymTid</t>
        </is>
      </c>
      <c r="J1964" t="inlineStr">
        <is>
          <t>Maxmangd</t>
        </is>
      </c>
      <c r="K1964" t="inlineStr">
        <is>
          <t>Ett av facken förses med väggar och tak (papp/kartong) för att skyddas mot nederbörd.</t>
        </is>
      </c>
      <c r="L1964" t="inlineStr">
        <is>
          <t>Ett av facken förses med väggar och tak (papp/kartong) för att skyddas mot nederbörd.</t>
        </is>
      </c>
      <c r="M1964" t="inlineStr">
        <is>
          <t>BOR</t>
        </is>
      </c>
      <c r="N1964" t="inlineStr"/>
      <c r="O1964" t="inlineStr"/>
      <c r="P1964" t="inlineStr"/>
      <c r="Q1964" t="inlineStr"/>
      <c r="R1964" t="inlineStr">
        <is>
          <t>Alltid</t>
        </is>
      </c>
      <c r="S1964" t="inlineStr"/>
      <c r="T1964" t="inlineStr"/>
      <c r="U1964" t="inlineStr"/>
      <c r="V1964" t="inlineStr"/>
      <c r="W1964" t="inlineStr">
        <is>
          <t>Nej</t>
        </is>
      </c>
      <c r="X1964" t="inlineStr">
        <is>
          <t>Nej</t>
        </is>
      </c>
      <c r="Y1964" t="inlineStr">
        <is>
          <t>Nej</t>
        </is>
      </c>
      <c r="Z1964" t="inlineStr">
        <is>
          <t>Nej</t>
        </is>
      </c>
      <c r="AA1964" t="n">
        <v>4</v>
      </c>
      <c r="AB1964" t="inlineStr">
        <is>
          <t>Avfallsmangder och lagringstid</t>
        </is>
      </c>
      <c r="AC1964" t="inlineStr">
        <is>
          <t>Avfallsforteckning</t>
        </is>
      </c>
      <c r="AD1964" t="inlineStr">
        <is>
          <t>Nej</t>
        </is>
      </c>
      <c r="AE1964" t="inlineStr">
        <is>
          <t>Nej</t>
        </is>
      </c>
      <c r="AF1964" t="inlineStr">
        <is>
          <t>Ej behandlad</t>
        </is>
      </c>
      <c r="AG1964" t="inlineStr">
        <is>
          <t>AUTO_GENERERAD. Verifiera citat mot kallfil.</t>
        </is>
      </c>
      <c r="AH1964" t="inlineStr">
        <is>
          <t>MEDIUM</t>
        </is>
      </c>
      <c r="AI1964" t="inlineStr">
        <is>
          <t>AUTO</t>
        </is>
      </c>
      <c r="AJ1964" t="inlineStr">
        <is>
          <t>Nej</t>
        </is>
      </c>
      <c r="AK1964" t="inlineStr"/>
      <c r="AL1964" t="inlineStr"/>
      <c r="AM1964" t="inlineStr"/>
      <c r="AN1964" t="inlineStr"/>
      <c r="AO1964" t="inlineStr">
        <is>
          <t>cmm4yunnf00v2cuqwy7slxvjp</t>
        </is>
      </c>
      <c r="AP1964" t="inlineStr">
        <is>
          <t>http://localhost:8787/api/admin/requirements/documents/cmm4yunnf00v2cuqwy7slxvjp/view</t>
        </is>
      </c>
      <c r="AQ1964">
        <f>HYPERLÄNK("http://localhost:8787/api/admin/requirements/documents/cmm4yunnf00v2cuqwy7slxvjp/view";"Öppna PDF")</f>
        <v/>
      </c>
      <c r="AR1964">
        <f>HYPERLINK("http://localhost:8787/api/admin/requirements/documents/cmm4yunnf00v2cuqwy7slxvjp/view","Open PDF")</f>
        <v/>
      </c>
      <c r="AS1964" t="inlineStr">
        <is>
          <t>cmm55w57p0004cuisfrtpqly8</t>
        </is>
      </c>
      <c r="AT1964" t="inlineStr">
        <is>
          <t>cmm4xvu980000cuh4vj0usz09</t>
        </is>
      </c>
      <c r="AU1964" t="inlineStr">
        <is>
          <t>org nr Valdemarsviks</t>
        </is>
      </c>
      <c r="AV1964" t="inlineStr">
        <is>
          <t>Kommun</t>
        </is>
      </c>
      <c r="AW1964" t="inlineStr">
        <is>
          <t>org nr Valdemarsviks kommun</t>
        </is>
      </c>
      <c r="AX1964" t="inlineStr">
        <is>
          <t>2025-01</t>
        </is>
      </c>
      <c r="AY1964" t="inlineStr">
        <is>
          <t>Beslut</t>
        </is>
      </c>
      <c r="AZ1964" t="inlineStr">
        <is>
          <t>2026-02-03</t>
        </is>
      </c>
      <c r="BA1964" t="inlineStr">
        <is>
          <t>MBNV-2024-602_2025-01-24_Beslut Miljöfarlig verksamhet.pdf</t>
        </is>
      </c>
      <c r="BB1964" t="inlineStr">
        <is>
          <t>SV: till registrator</t>
        </is>
      </c>
      <c r="BC1964" t="inlineStr">
        <is>
          <t>AUTO</t>
        </is>
      </c>
      <c r="BD1964" t="inlineStr"/>
      <c r="BE1964" t="inlineStr"/>
      <c r="BF1964" t="inlineStr">
        <is>
          <t>AUTO_GENERERAD. Bekrafta metadata mot kallfil.</t>
        </is>
      </c>
      <c r="BG1964">
        <f>HYPERLINK("C:\Users\jimmy\Desktop\Examens arbete\Kod\Ny mapp\remix_-copy-of-miljöbeslut.se-portal\MBNV-2024-602_2025-01-24_Beslut Miljöfarlig verksamhet.pdf", "Öppna PDF")</f>
        <v/>
      </c>
    </row>
    <row r="1965">
      <c r="A1965" t="inlineStr">
        <is>
          <t>KRAV-AUTO-001964</t>
        </is>
      </c>
      <c r="B1965" t="inlineStr">
        <is>
          <t>ADMIN-INDEX-2026-02-27-00000000125C043F57453246863FE664CAFE6A3F0700950291EA24F0614FB6ACEDB12BF0E31D00000000010C0000950291EA24F0614FB6ACEDB12BF0E31D00002087B1790000</t>
        </is>
      </c>
      <c r="C1965" t="inlineStr">
        <is>
          <t>cmm4yunmq00ubcuqw5d8j7ni1</t>
        </is>
      </c>
      <c r="D1965" t="inlineStr">
        <is>
          <t>http://localhost:8787/api/admin/requirements/documents/cmm4yunmq00ubcuqw5d8j7ni1/view</t>
        </is>
      </c>
      <c r="E1965">
        <f>HYPERLÄNK("http://localhost:8787/api/admin/requirements/documents/cmm4yunmq00ubcuqw5d8j7ni1/view";"Öppna PDF")</f>
        <v/>
      </c>
      <c r="F1965">
        <f>HYPERLINK("http://localhost:8787/api/admin/requirements/documents/cmm4yunmq00ubcuqw5d8j7ni1/view","Open PDF")</f>
        <v/>
      </c>
      <c r="G1965" t="inlineStr">
        <is>
          <t>cmm55w57p0004cuisfrtpqly8</t>
        </is>
      </c>
      <c r="H1965" t="inlineStr">
        <is>
          <t>Beslutsvillkor</t>
        </is>
      </c>
      <c r="I1965" t="inlineStr">
        <is>
          <t>DagvattenLakvatten</t>
        </is>
      </c>
      <c r="J1965" t="inlineStr">
        <is>
          <t>Uppsamling</t>
        </is>
      </c>
      <c r="K1965" t="inlineStr">
        <is>
          <t>I egenkontrollprogrammet ska rutiner för regelbunden kontroll av dagvattenhanteringens syfte och funktion finnas.</t>
        </is>
      </c>
      <c r="L1965" t="inlineStr">
        <is>
          <t>I egenkontrollprogrammet ska rutiner för regelbunden kontroll av dagvattenhanteringens syfte och funktion finnas.</t>
        </is>
      </c>
      <c r="M1965" t="inlineStr">
        <is>
          <t>SKA</t>
        </is>
      </c>
      <c r="N1965" t="inlineStr">
        <is>
          <t>FMH</t>
        </is>
      </c>
      <c r="O1965" t="inlineStr"/>
      <c r="P1965" t="inlineStr"/>
      <c r="Q1965" t="inlineStr"/>
      <c r="R1965" t="inlineStr">
        <is>
          <t>Vid nederbord och avrinning</t>
        </is>
      </c>
      <c r="S1965" t="inlineStr"/>
      <c r="T1965" t="inlineStr">
        <is>
          <t>212000</t>
        </is>
      </c>
      <c r="U1965" t="inlineStr"/>
      <c r="V1965" t="inlineStr"/>
      <c r="W1965" t="inlineStr">
        <is>
          <t>Nej</t>
        </is>
      </c>
      <c r="X1965" t="inlineStr">
        <is>
          <t>Ja</t>
        </is>
      </c>
      <c r="Y1965" t="inlineStr">
        <is>
          <t>Ja</t>
        </is>
      </c>
      <c r="Z1965" t="inlineStr">
        <is>
          <t>Nej</t>
        </is>
      </c>
      <c r="AA1965" t="n">
        <v>6</v>
      </c>
      <c r="AB1965" t="inlineStr">
        <is>
          <t>Lakvattenhantering</t>
        </is>
      </c>
      <c r="AC1965" t="inlineStr">
        <is>
          <t>Flodesschema dagvatten-lakvatten</t>
        </is>
      </c>
      <c r="AD1965" t="inlineStr">
        <is>
          <t>Nej</t>
        </is>
      </c>
      <c r="AE1965" t="inlineStr">
        <is>
          <t>Nej</t>
        </is>
      </c>
      <c r="AF1965" t="inlineStr">
        <is>
          <t>Ej behandlad</t>
        </is>
      </c>
      <c r="AG1965" t="inlineStr">
        <is>
          <t>AUTO_GENERERAD. Verifiera citat mot kallfil.</t>
        </is>
      </c>
      <c r="AH1965" t="inlineStr">
        <is>
          <t>HIGH</t>
        </is>
      </c>
      <c r="AI1965" t="inlineStr">
        <is>
          <t>AUTO</t>
        </is>
      </c>
      <c r="AJ1965" t="inlineStr">
        <is>
          <t>Nej</t>
        </is>
      </c>
      <c r="AK1965" t="inlineStr"/>
      <c r="AL1965" t="inlineStr"/>
      <c r="AM1965" t="inlineStr"/>
      <c r="AN1965" t="inlineStr"/>
      <c r="AO1965" t="inlineStr">
        <is>
          <t>cmm4yunmd00twcuqw2m7dyyg5</t>
        </is>
      </c>
      <c r="AP1965" t="inlineStr">
        <is>
          <t>http://localhost:8787/api/admin/requirements/documents/cmm4yunmd00twcuqw2m7dyyg5/view</t>
        </is>
      </c>
      <c r="AQ1965">
        <f>HYPERLÄNK("http://localhost:8787/api/admin/requirements/documents/cmm4yunmd00twcuqw2m7dyyg5/view";"Öppna PDF")</f>
        <v/>
      </c>
      <c r="AR1965">
        <f>HYPERLINK("http://localhost:8787/api/admin/requirements/documents/cmm4yunmd00twcuqw2m7dyyg5/view","Open PDF")</f>
        <v/>
      </c>
      <c r="AS1965" t="inlineStr">
        <is>
          <t>cmm55w57p0004cuisfrtpqly8</t>
        </is>
      </c>
      <c r="AT1965" t="inlineStr">
        <is>
          <t>cmm4xvu980000cuh4vj0usz09</t>
        </is>
      </c>
      <c r="AU1965" t="inlineStr">
        <is>
          <t>-- Miljökontoret Söderköpings</t>
        </is>
      </c>
      <c r="AV1965" t="inlineStr">
        <is>
          <t>Kommun</t>
        </is>
      </c>
      <c r="AW1965" t="inlineStr">
        <is>
          <t>-- Miljökontoret Söderköpings kommun</t>
        </is>
      </c>
      <c r="AX1965" t="inlineStr">
        <is>
          <t>2024-05</t>
        </is>
      </c>
      <c r="AY1965" t="inlineStr">
        <is>
          <t>Anmalan</t>
        </is>
      </c>
      <c r="AZ1965" t="inlineStr">
        <is>
          <t>2026-02-03</t>
        </is>
      </c>
      <c r="BA1965" t="inlineStr">
        <is>
          <t>MBNV-2024-602_2024-05-15_Anmälan.pdf</t>
        </is>
      </c>
      <c r="BB1965" t="inlineStr">
        <is>
          <t>SV: till registrator</t>
        </is>
      </c>
      <c r="BC1965" t="inlineStr">
        <is>
          <t>AUTO</t>
        </is>
      </c>
      <c r="BD1965" t="inlineStr"/>
      <c r="BE1965" t="inlineStr"/>
      <c r="BF1965" t="inlineStr">
        <is>
          <t>AUTO_GENERERAD. Bekrafta metadata mot kallfil.</t>
        </is>
      </c>
      <c r="BG1965">
        <f>HYPERLINK("C:\Users\jimmy\Desktop\Examens arbete\Kod\Ny mapp\remix_-copy-of-miljöbeslut.se-portal\MBNV-2024-602_2024-05-15_Anmälan.pdf", "Öppna PDF")</f>
        <v/>
      </c>
    </row>
    <row r="1966">
      <c r="A1966" t="inlineStr">
        <is>
          <t>KRAV-AUTO-001965</t>
        </is>
      </c>
      <c r="B1966" t="inlineStr">
        <is>
          <t>ADMIN-INDEX-2026-02-27-00000000125C043F57453246863FE664CAFE6A3F0700950291EA24F0614FB6ACEDB12BF0E31D00000000010C0000950291EA24F0614FB6ACEDB12BF0E31D00002087B1790000</t>
        </is>
      </c>
      <c r="C1966" t="inlineStr">
        <is>
          <t>cmm4yunmq00ubcuqw5d8j7ni1</t>
        </is>
      </c>
      <c r="D1966" t="inlineStr">
        <is>
          <t>http://localhost:8787/api/admin/requirements/documents/cmm4yunmq00ubcuqw5d8j7ni1/view</t>
        </is>
      </c>
      <c r="E1966">
        <f>HYPERLÄNK("http://localhost:8787/api/admin/requirements/documents/cmm4yunmq00ubcuqw5d8j7ni1/view";"Öppna PDF")</f>
        <v/>
      </c>
      <c r="F1966">
        <f>HYPERLINK("http://localhost:8787/api/admin/requirements/documents/cmm4yunmq00ubcuqw5d8j7ni1/view","Open PDF")</f>
        <v/>
      </c>
      <c r="G1966" t="inlineStr">
        <is>
          <t>cmm55w57p0004cuisfrtpqly8</t>
        </is>
      </c>
      <c r="H1966" t="inlineStr">
        <is>
          <t>Beslutsvillkor</t>
        </is>
      </c>
      <c r="I1966" t="inlineStr">
        <is>
          <t>MiljopaverkanForsiktighet</t>
        </is>
      </c>
      <c r="J1966" t="inlineStr">
        <is>
          <t>Skyddsatgarder</t>
        </is>
      </c>
      <c r="K1966" t="inlineStr">
        <is>
          <t>Hanteringen av matavfall skall ske inne i byggnaden och enbart när omlastningen pågar får ena sidan vara öppen.</t>
        </is>
      </c>
      <c r="L1966" t="inlineStr">
        <is>
          <t>Hanteringen av matavfall skall ske inne i byggnaden och enbart när omlastningen pågar får ena sidan vara öppen.</t>
        </is>
      </c>
      <c r="M1966" t="inlineStr">
        <is>
          <t>SKA</t>
        </is>
      </c>
      <c r="N1966" t="inlineStr">
        <is>
          <t>FMH</t>
        </is>
      </c>
      <c r="O1966" t="inlineStr"/>
      <c r="P1966" t="inlineStr"/>
      <c r="Q1966" t="inlineStr"/>
      <c r="R1966" t="inlineStr">
        <is>
          <t>Alltid</t>
        </is>
      </c>
      <c r="S1966" t="inlineStr"/>
      <c r="T1966" t="inlineStr">
        <is>
          <t>212000</t>
        </is>
      </c>
      <c r="U1966" t="inlineStr"/>
      <c r="V1966" t="inlineStr"/>
      <c r="W1966" t="inlineStr">
        <is>
          <t>Nej</t>
        </is>
      </c>
      <c r="X1966" t="inlineStr">
        <is>
          <t>Nej</t>
        </is>
      </c>
      <c r="Y1966" t="inlineStr">
        <is>
          <t>Nej</t>
        </is>
      </c>
      <c r="Z1966" t="inlineStr">
        <is>
          <t>Nej</t>
        </is>
      </c>
      <c r="AA1966" t="n">
        <v>10</v>
      </c>
      <c r="AB1966" t="inlineStr">
        <is>
          <t>Miljopaverkan och forsiktighetsmatt</t>
        </is>
      </c>
      <c r="AC1966" t="inlineStr">
        <is>
          <t>Miljo-PM</t>
        </is>
      </c>
      <c r="AD1966" t="inlineStr">
        <is>
          <t>Nej</t>
        </is>
      </c>
      <c r="AE1966" t="inlineStr">
        <is>
          <t>Nej</t>
        </is>
      </c>
      <c r="AF1966" t="inlineStr">
        <is>
          <t>Ej behandlad</t>
        </is>
      </c>
      <c r="AG1966" t="inlineStr">
        <is>
          <t>AUTO_GENERERAD. Verifiera citat mot kallfil.</t>
        </is>
      </c>
      <c r="AH1966" t="inlineStr">
        <is>
          <t>HIGH</t>
        </is>
      </c>
      <c r="AI1966" t="inlineStr">
        <is>
          <t>AUTO</t>
        </is>
      </c>
      <c r="AJ1966" t="inlineStr">
        <is>
          <t>Nej</t>
        </is>
      </c>
      <c r="AK1966" t="inlineStr"/>
      <c r="AL1966" t="inlineStr"/>
      <c r="AM1966" t="inlineStr"/>
      <c r="AN1966" t="inlineStr"/>
      <c r="AO1966" t="inlineStr">
        <is>
          <t>cmm4yunmd00twcuqw2m7dyyg5</t>
        </is>
      </c>
      <c r="AP1966" t="inlineStr">
        <is>
          <t>http://localhost:8787/api/admin/requirements/documents/cmm4yunmd00twcuqw2m7dyyg5/view</t>
        </is>
      </c>
      <c r="AQ1966">
        <f>HYPERLÄNK("http://localhost:8787/api/admin/requirements/documents/cmm4yunmd00twcuqw2m7dyyg5/view";"Öppna PDF")</f>
        <v/>
      </c>
      <c r="AR1966">
        <f>HYPERLINK("http://localhost:8787/api/admin/requirements/documents/cmm4yunmd00twcuqw2m7dyyg5/view","Open PDF")</f>
        <v/>
      </c>
      <c r="AS1966" t="inlineStr">
        <is>
          <t>cmm55w57p0004cuisfrtpqly8</t>
        </is>
      </c>
      <c r="AT1966" t="inlineStr">
        <is>
          <t>cmm4xvu980000cuh4vj0usz09</t>
        </is>
      </c>
      <c r="AU1966" t="inlineStr">
        <is>
          <t>-- Miljökontoret Söderköpings</t>
        </is>
      </c>
      <c r="AV1966" t="inlineStr">
        <is>
          <t>Kommun</t>
        </is>
      </c>
      <c r="AW1966" t="inlineStr">
        <is>
          <t>-- Miljökontoret Söderköpings kommun</t>
        </is>
      </c>
      <c r="AX1966" t="inlineStr">
        <is>
          <t>2024-05</t>
        </is>
      </c>
      <c r="AY1966" t="inlineStr">
        <is>
          <t>Anmalan</t>
        </is>
      </c>
      <c r="AZ1966" t="inlineStr">
        <is>
          <t>2026-02-03</t>
        </is>
      </c>
      <c r="BA1966" t="inlineStr">
        <is>
          <t>MBNV-2024-602_2024-05-15_Anmälan.pdf</t>
        </is>
      </c>
      <c r="BB1966" t="inlineStr">
        <is>
          <t>SV: till registrator</t>
        </is>
      </c>
      <c r="BC1966" t="inlineStr">
        <is>
          <t>AUTO</t>
        </is>
      </c>
      <c r="BD1966" t="inlineStr"/>
      <c r="BE1966" t="inlineStr"/>
      <c r="BF1966" t="inlineStr">
        <is>
          <t>AUTO_GENERERAD. Bekrafta metadata mot kallfil.</t>
        </is>
      </c>
      <c r="BG1966">
        <f>HYPERLINK("C:\Users\jimmy\Desktop\Examens arbete\Kod\Ny mapp\remix_-copy-of-miljöbeslut.se-portal\MBNV-2024-602_2024-05-15_Anmälan.pdf", "Öppna PDF")</f>
        <v/>
      </c>
    </row>
    <row r="1967">
      <c r="A1967" t="inlineStr">
        <is>
          <t>KRAV-AUTO-001966</t>
        </is>
      </c>
      <c r="B1967" t="inlineStr">
        <is>
          <t>ADMIN-INDEX-2026-02-27-00000000125C043F57453246863FE664CAFE6A3F0700950291EA24F0614FB6ACEDB12BF0E31D00000000010C0000950291EA24F0614FB6ACEDB12BF0E31D00002087B1790000</t>
        </is>
      </c>
      <c r="C1967" t="inlineStr">
        <is>
          <t>cmm4yunmq00ubcuqw5d8j7ni1</t>
        </is>
      </c>
      <c r="D1967" t="inlineStr">
        <is>
          <t>http://localhost:8787/api/admin/requirements/documents/cmm4yunmq00ubcuqw5d8j7ni1/view</t>
        </is>
      </c>
      <c r="E1967">
        <f>HYPERLÄNK("http://localhost:8787/api/admin/requirements/documents/cmm4yunmq00ubcuqw5d8j7ni1/view";"Öppna PDF")</f>
        <v/>
      </c>
      <c r="F1967">
        <f>HYPERLINK("http://localhost:8787/api/admin/requirements/documents/cmm4yunmq00ubcuqw5d8j7ni1/view","Open PDF")</f>
        <v/>
      </c>
      <c r="G1967" t="inlineStr">
        <is>
          <t>cmm55w57p0004cuisfrtpqly8</t>
        </is>
      </c>
      <c r="H1967" t="inlineStr">
        <is>
          <t>Beslutsvillkor</t>
        </is>
      </c>
      <c r="I1967" t="inlineStr">
        <is>
          <t>LagringsvolymTid</t>
        </is>
      </c>
      <c r="J1967" t="inlineStr">
        <is>
          <t>Maxmangd</t>
        </is>
      </c>
      <c r="K1967" t="inlineStr">
        <is>
          <t>Redovisning av typ och mängd inkommande avfall ska ske på tillsynsmyndighetens begäran.</t>
        </is>
      </c>
      <c r="L1967" t="inlineStr">
        <is>
          <t>Redovisning av typ och mängd inkommande avfall ska ske på tillsynsmyndighetens begäran.</t>
        </is>
      </c>
      <c r="M1967" t="inlineStr">
        <is>
          <t>SKA</t>
        </is>
      </c>
      <c r="N1967" t="inlineStr">
        <is>
          <t>FMH</t>
        </is>
      </c>
      <c r="O1967" t="inlineStr"/>
      <c r="P1967" t="inlineStr"/>
      <c r="Q1967" t="inlineStr"/>
      <c r="R1967" t="inlineStr">
        <is>
          <t>Alltid</t>
        </is>
      </c>
      <c r="S1967" t="inlineStr"/>
      <c r="T1967" t="inlineStr">
        <is>
          <t>212000</t>
        </is>
      </c>
      <c r="U1967" t="inlineStr"/>
      <c r="V1967" t="inlineStr"/>
      <c r="W1967" t="inlineStr">
        <is>
          <t>Nej</t>
        </is>
      </c>
      <c r="X1967" t="inlineStr">
        <is>
          <t>Nej</t>
        </is>
      </c>
      <c r="Y1967" t="inlineStr">
        <is>
          <t>Nej</t>
        </is>
      </c>
      <c r="Z1967" t="inlineStr">
        <is>
          <t>Nej</t>
        </is>
      </c>
      <c r="AA1967" t="n">
        <v>4</v>
      </c>
      <c r="AB1967" t="inlineStr">
        <is>
          <t>Avfallsmangder och lagringstid</t>
        </is>
      </c>
      <c r="AC1967" t="inlineStr">
        <is>
          <t>Avfallsforteckning</t>
        </is>
      </c>
      <c r="AD1967" t="inlineStr">
        <is>
          <t>Nej</t>
        </is>
      </c>
      <c r="AE1967" t="inlineStr">
        <is>
          <t>Nej</t>
        </is>
      </c>
      <c r="AF1967" t="inlineStr">
        <is>
          <t>Ej behandlad</t>
        </is>
      </c>
      <c r="AG1967" t="inlineStr">
        <is>
          <t>AUTO_GENERERAD. Verifiera citat mot kallfil.</t>
        </is>
      </c>
      <c r="AH1967" t="inlineStr">
        <is>
          <t>HIGH</t>
        </is>
      </c>
      <c r="AI1967" t="inlineStr">
        <is>
          <t>AUTO</t>
        </is>
      </c>
      <c r="AJ1967" t="inlineStr">
        <is>
          <t>Nej</t>
        </is>
      </c>
      <c r="AK1967" t="inlineStr"/>
      <c r="AL1967" t="inlineStr"/>
      <c r="AM1967" t="inlineStr"/>
      <c r="AN1967" t="inlineStr"/>
      <c r="AO1967" t="inlineStr">
        <is>
          <t>cmm4yunmd00twcuqw2m7dyyg5</t>
        </is>
      </c>
      <c r="AP1967" t="inlineStr">
        <is>
          <t>http://localhost:8787/api/admin/requirements/documents/cmm4yunmd00twcuqw2m7dyyg5/view</t>
        </is>
      </c>
      <c r="AQ1967">
        <f>HYPERLÄNK("http://localhost:8787/api/admin/requirements/documents/cmm4yunmd00twcuqw2m7dyyg5/view";"Öppna PDF")</f>
        <v/>
      </c>
      <c r="AR1967">
        <f>HYPERLINK("http://localhost:8787/api/admin/requirements/documents/cmm4yunmd00twcuqw2m7dyyg5/view","Open PDF")</f>
        <v/>
      </c>
      <c r="AS1967" t="inlineStr">
        <is>
          <t>cmm55w57p0004cuisfrtpqly8</t>
        </is>
      </c>
      <c r="AT1967" t="inlineStr">
        <is>
          <t>cmm4xvu980000cuh4vj0usz09</t>
        </is>
      </c>
      <c r="AU1967" t="inlineStr">
        <is>
          <t>-- Miljökontoret Söderköpings</t>
        </is>
      </c>
      <c r="AV1967" t="inlineStr">
        <is>
          <t>Kommun</t>
        </is>
      </c>
      <c r="AW1967" t="inlineStr">
        <is>
          <t>-- Miljökontoret Söderköpings kommun</t>
        </is>
      </c>
      <c r="AX1967" t="inlineStr">
        <is>
          <t>2024-05</t>
        </is>
      </c>
      <c r="AY1967" t="inlineStr">
        <is>
          <t>Anmalan</t>
        </is>
      </c>
      <c r="AZ1967" t="inlineStr">
        <is>
          <t>2026-02-03</t>
        </is>
      </c>
      <c r="BA1967" t="inlineStr">
        <is>
          <t>MBNV-2024-602_2024-05-15_Anmälan.pdf</t>
        </is>
      </c>
      <c r="BB1967" t="inlineStr">
        <is>
          <t>SV: till registrator</t>
        </is>
      </c>
      <c r="BC1967" t="inlineStr">
        <is>
          <t>AUTO</t>
        </is>
      </c>
      <c r="BD1967" t="inlineStr"/>
      <c r="BE1967" t="inlineStr"/>
      <c r="BF1967" t="inlineStr">
        <is>
          <t>AUTO_GENERERAD. Bekrafta metadata mot kallfil.</t>
        </is>
      </c>
      <c r="BG1967">
        <f>HYPERLINK("C:\Users\jimmy\Desktop\Examens arbete\Kod\Ny mapp\remix_-copy-of-miljöbeslut.se-portal\MBNV-2024-602_2024-05-15_Anmälan.pdf", "Öppna PDF")</f>
        <v/>
      </c>
    </row>
    <row r="1968">
      <c r="A1968" t="inlineStr">
        <is>
          <t>KRAV-AUTO-001967</t>
        </is>
      </c>
      <c r="B1968" t="inlineStr">
        <is>
          <t>ADMIN-INDEX-2026-02-27-00000000125C043F57453246863FE664CAFE6A3F0700950291EA24F0614FB6ACEDB12BF0E31D00000000010C0000950291EA24F0614FB6ACEDB12BF0E31D00002087B17A0000</t>
        </is>
      </c>
      <c r="C1968" t="inlineStr">
        <is>
          <t>cmm4yunma00ttcuqwanbvb8ob</t>
        </is>
      </c>
      <c r="D1968" t="inlineStr">
        <is>
          <t>http://localhost:8787/api/admin/requirements/documents/cmm4yunma00ttcuqwanbvb8ob/view</t>
        </is>
      </c>
      <c r="E1968">
        <f>HYPERLÄNK("http://localhost:8787/api/admin/requirements/documents/cmm4yunma00ttcuqwanbvb8ob/view";"Öppna PDF")</f>
        <v/>
      </c>
      <c r="F1968">
        <f>HYPERLINK("http://localhost:8787/api/admin/requirements/documents/cmm4yunma00ttcuqwanbvb8ob/view","Open PDF")</f>
        <v/>
      </c>
      <c r="G1968" t="inlineStr">
        <is>
          <t>cmm55w57p0004cuisfrtpqly8</t>
        </is>
      </c>
      <c r="H1968" t="inlineStr">
        <is>
          <t>Kompletteringskrav</t>
        </is>
      </c>
      <c r="I1968" t="inlineStr">
        <is>
          <t>Riskhantering</t>
        </is>
      </c>
      <c r="J1968" t="inlineStr">
        <is>
          <t>Riskkontroll</t>
        </is>
      </c>
      <c r="K1968" t="inlineStr">
        <is>
          <t>Förvaring ska ske utan åtkomst för obehöriga, utan risk för påkörning och skyddat från nederbörd.</t>
        </is>
      </c>
      <c r="L1968" t="inlineStr">
        <is>
          <t>Förvaring ska ske utan åtkomst för obehöriga, utan risk för påkörning och skyddat från nederbörd.</t>
        </is>
      </c>
      <c r="M1968" t="inlineStr">
        <is>
          <t>SKA</t>
        </is>
      </c>
      <c r="N1968" t="inlineStr"/>
      <c r="O1968" t="inlineStr"/>
      <c r="P1968" t="inlineStr"/>
      <c r="Q1968" t="inlineStr"/>
      <c r="R1968" t="inlineStr">
        <is>
          <t>Vid risk for incident</t>
        </is>
      </c>
      <c r="S1968" t="inlineStr"/>
      <c r="T1968" t="inlineStr">
        <is>
          <t>52 0140</t>
        </is>
      </c>
      <c r="U1968" t="inlineStr"/>
      <c r="V1968" t="inlineStr"/>
      <c r="W1968" t="inlineStr">
        <is>
          <t>Nej</t>
        </is>
      </c>
      <c r="X1968" t="inlineStr">
        <is>
          <t>Nej</t>
        </is>
      </c>
      <c r="Y1968" t="inlineStr">
        <is>
          <t>Ja</t>
        </is>
      </c>
      <c r="Z1968" t="inlineStr">
        <is>
          <t>Ja</t>
        </is>
      </c>
      <c r="AA1968" t="n">
        <v>8</v>
      </c>
      <c r="AB1968" t="inlineStr">
        <is>
          <t>Riskhantering</t>
        </is>
      </c>
      <c r="AC1968" t="inlineStr">
        <is>
          <t>Risk-PM</t>
        </is>
      </c>
      <c r="AD1968" t="inlineStr">
        <is>
          <t>Nej</t>
        </is>
      </c>
      <c r="AE1968" t="inlineStr">
        <is>
          <t>Nej</t>
        </is>
      </c>
      <c r="AF1968" t="inlineStr">
        <is>
          <t>Ej behandlad</t>
        </is>
      </c>
      <c r="AG1968" t="inlineStr">
        <is>
          <t>AUTO_GENERERAD. Verifiera citat mot kallfil.</t>
        </is>
      </c>
      <c r="AH1968" t="inlineStr">
        <is>
          <t>MEDIUM</t>
        </is>
      </c>
      <c r="AI1968" t="inlineStr">
        <is>
          <t>AUTO</t>
        </is>
      </c>
      <c r="AJ1968" t="inlineStr">
        <is>
          <t>Nej</t>
        </is>
      </c>
      <c r="AK1968" t="inlineStr"/>
      <c r="AL1968" t="inlineStr"/>
      <c r="AM1968" t="inlineStr"/>
      <c r="AN1968" t="inlineStr"/>
      <c r="AO1968" t="inlineStr">
        <is>
          <t>cmm4yunma00ttcuqwanbvb8ob</t>
        </is>
      </c>
      <c r="AP1968" t="inlineStr">
        <is>
          <t>http://localhost:8787/api/admin/requirements/documents/cmm4yunma00ttcuqwanbvb8ob/view</t>
        </is>
      </c>
      <c r="AQ1968">
        <f>HYPERLÄNK("http://localhost:8787/api/admin/requirements/documents/cmm4yunma00ttcuqwanbvb8ob/view";"Öppna PDF")</f>
        <v/>
      </c>
      <c r="AR1968">
        <f>HYPERLINK("http://localhost:8787/api/admin/requirements/documents/cmm4yunma00ttcuqwanbvb8ob/view","Open PDF")</f>
        <v/>
      </c>
      <c r="AS1968" t="inlineStr">
        <is>
          <t>cmm55w57p0004cuisfrtpqly8</t>
        </is>
      </c>
      <c r="AT1968" t="inlineStr">
        <is>
          <t>cmm4xvu980000cuh4vj0usz09</t>
        </is>
      </c>
      <c r="AU1968" t="inlineStr">
        <is>
          <t>Besöksadress Telefon E-post Webb Tranås</t>
        </is>
      </c>
      <c r="AV1968" t="inlineStr">
        <is>
          <t>Kommun</t>
        </is>
      </c>
      <c r="AW1968" t="inlineStr">
        <is>
          <t>Besöksadress Telefon E-post Webb Tranås kommun</t>
        </is>
      </c>
      <c r="AX1968" t="inlineStr">
        <is>
          <t>2025-12</t>
        </is>
      </c>
      <c r="AY1968" t="inlineStr">
        <is>
          <t>Forelaggande</t>
        </is>
      </c>
      <c r="AZ1968" t="inlineStr">
        <is>
          <t>2026-02-03</t>
        </is>
      </c>
      <c r="BA1968" t="inlineStr">
        <is>
          <t>M-2025-911-6-Föreläggande försiktighetsmått.pdf</t>
        </is>
      </c>
      <c r="BB1968" t="inlineStr">
        <is>
          <t>Handlingar</t>
        </is>
      </c>
      <c r="BC1968" t="inlineStr">
        <is>
          <t>AUTO</t>
        </is>
      </c>
      <c r="BD1968" t="inlineStr"/>
      <c r="BE1968" t="inlineStr"/>
      <c r="BF1968" t="inlineStr">
        <is>
          <t>AUTO_GENERERAD. Bekrafta metadata mot kallfil.</t>
        </is>
      </c>
      <c r="BG1968">
        <f>HYPERLINK("C:\Users\jimmy\Desktop\Examens arbete\Kod\Ny mapp\remix_-copy-of-miljöbeslut.se-portal\M-2025-911-6-Föreläggande försiktighetsmått.pdf", "Öppna PDF")</f>
        <v/>
      </c>
    </row>
    <row r="1969">
      <c r="A1969" t="inlineStr">
        <is>
          <t>KRAV-AUTO-001968</t>
        </is>
      </c>
      <c r="B1969" t="inlineStr">
        <is>
          <t>ADMIN-INDEX-2026-02-27-00000000125C043F57453246863FE664CAFE6A3F0700950291EA24F0614FB6ACEDB12BF0E31D00000000010C0000950291EA24F0614FB6ACEDB12BF0E31D00002087B17A0000</t>
        </is>
      </c>
      <c r="C1969" t="inlineStr">
        <is>
          <t>cmm4yunma00ttcuqwanbvb8ob</t>
        </is>
      </c>
      <c r="D1969" t="inlineStr">
        <is>
          <t>http://localhost:8787/api/admin/requirements/documents/cmm4yunma00ttcuqwanbvb8ob/view</t>
        </is>
      </c>
      <c r="E1969">
        <f>HYPERLÄNK("http://localhost:8787/api/admin/requirements/documents/cmm4yunma00ttcuqwanbvb8ob/view";"Öppna PDF")</f>
        <v/>
      </c>
      <c r="F1969">
        <f>HYPERLINK("http://localhost:8787/api/admin/requirements/documents/cmm4yunma00ttcuqwanbvb8ob/view","Open PDF")</f>
        <v/>
      </c>
      <c r="G1969" t="inlineStr">
        <is>
          <t>cmm55w57p0004cuisfrtpqly8</t>
        </is>
      </c>
      <c r="H1969" t="inlineStr">
        <is>
          <t>Kompletteringskrav</t>
        </is>
      </c>
      <c r="I1969" t="inlineStr">
        <is>
          <t>Ytkonstruktion</t>
        </is>
      </c>
      <c r="J1969" t="inlineStr">
        <is>
          <t>Tat yta</t>
        </is>
      </c>
      <c r="K1969" t="inlineStr">
        <is>
          <t>Kemikalier ska förvaras inlåsta och i spillsäker invallning som rymmer hela volymen av den största behållaren plus 10 procent av resterande behållares volym.</t>
        </is>
      </c>
      <c r="L1969" t="inlineStr">
        <is>
          <t>Kemikalier ska förvaras inlåsta och i spillsäker invallning som rymmer hela volymen av den största behållaren plus 10 procent av resterande behållares volym.</t>
        </is>
      </c>
      <c r="M1969" t="inlineStr">
        <is>
          <t>SKA</t>
        </is>
      </c>
      <c r="N1969" t="inlineStr"/>
      <c r="O1969" t="inlineStr"/>
      <c r="P1969" t="inlineStr"/>
      <c r="Q1969" t="inlineStr"/>
      <c r="R1969" t="inlineStr">
        <is>
          <t>Vid mellanlagring av avfall</t>
        </is>
      </c>
      <c r="S1969" t="inlineStr"/>
      <c r="T1969" t="inlineStr">
        <is>
          <t>52 0140</t>
        </is>
      </c>
      <c r="U1969" t="inlineStr"/>
      <c r="V1969" t="inlineStr"/>
      <c r="W1969" t="inlineStr">
        <is>
          <t>Ja</t>
        </is>
      </c>
      <c r="X1969" t="inlineStr">
        <is>
          <t>Nej</t>
        </is>
      </c>
      <c r="Y1969" t="inlineStr">
        <is>
          <t>Nej</t>
        </is>
      </c>
      <c r="Z1969" t="inlineStr">
        <is>
          <t>Nej</t>
        </is>
      </c>
      <c r="AA1969" t="n">
        <v>5</v>
      </c>
      <c r="AB1969" t="inlineStr">
        <is>
          <t>Teknisk beskrivning av platta</t>
        </is>
      </c>
      <c r="AC1969" t="inlineStr">
        <is>
          <t>Teknisk ritning platta</t>
        </is>
      </c>
      <c r="AD1969" t="inlineStr">
        <is>
          <t>Nej</t>
        </is>
      </c>
      <c r="AE1969" t="inlineStr">
        <is>
          <t>Nej</t>
        </is>
      </c>
      <c r="AF1969" t="inlineStr">
        <is>
          <t>Ej behandlad</t>
        </is>
      </c>
      <c r="AG1969" t="inlineStr">
        <is>
          <t>AUTO_GENERERAD. Verifiera citat mot kallfil.</t>
        </is>
      </c>
      <c r="AH1969" t="inlineStr">
        <is>
          <t>MEDIUM</t>
        </is>
      </c>
      <c r="AI1969" t="inlineStr">
        <is>
          <t>AUTO</t>
        </is>
      </c>
      <c r="AJ1969" t="inlineStr">
        <is>
          <t>Nej</t>
        </is>
      </c>
      <c r="AK1969" t="inlineStr"/>
      <c r="AL1969" t="inlineStr"/>
      <c r="AM1969" t="inlineStr"/>
      <c r="AN1969" t="inlineStr"/>
      <c r="AO1969" t="inlineStr">
        <is>
          <t>cmm4yunma00ttcuqwanbvb8ob</t>
        </is>
      </c>
      <c r="AP1969" t="inlineStr">
        <is>
          <t>http://localhost:8787/api/admin/requirements/documents/cmm4yunma00ttcuqwanbvb8ob/view</t>
        </is>
      </c>
      <c r="AQ1969">
        <f>HYPERLÄNK("http://localhost:8787/api/admin/requirements/documents/cmm4yunma00ttcuqwanbvb8ob/view";"Öppna PDF")</f>
        <v/>
      </c>
      <c r="AR1969">
        <f>HYPERLINK("http://localhost:8787/api/admin/requirements/documents/cmm4yunma00ttcuqwanbvb8ob/view","Open PDF")</f>
        <v/>
      </c>
      <c r="AS1969" t="inlineStr">
        <is>
          <t>cmm55w57p0004cuisfrtpqly8</t>
        </is>
      </c>
      <c r="AT1969" t="inlineStr">
        <is>
          <t>cmm4xvu980000cuh4vj0usz09</t>
        </is>
      </c>
      <c r="AU1969" t="inlineStr">
        <is>
          <t>Besöksadress Telefon E-post Webb Tranås</t>
        </is>
      </c>
      <c r="AV1969" t="inlineStr">
        <is>
          <t>Kommun</t>
        </is>
      </c>
      <c r="AW1969" t="inlineStr">
        <is>
          <t>Besöksadress Telefon E-post Webb Tranås kommun</t>
        </is>
      </c>
      <c r="AX1969" t="inlineStr">
        <is>
          <t>2025-12</t>
        </is>
      </c>
      <c r="AY1969" t="inlineStr">
        <is>
          <t>Forelaggande</t>
        </is>
      </c>
      <c r="AZ1969" t="inlineStr">
        <is>
          <t>2026-02-03</t>
        </is>
      </c>
      <c r="BA1969" t="inlineStr">
        <is>
          <t>M-2025-911-6-Föreläggande försiktighetsmått.pdf</t>
        </is>
      </c>
      <c r="BB1969" t="inlineStr">
        <is>
          <t>Handlingar</t>
        </is>
      </c>
      <c r="BC1969" t="inlineStr">
        <is>
          <t>AUTO</t>
        </is>
      </c>
      <c r="BD1969" t="inlineStr"/>
      <c r="BE1969" t="inlineStr"/>
      <c r="BF1969" t="inlineStr">
        <is>
          <t>AUTO_GENERERAD. Bekrafta metadata mot kallfil.</t>
        </is>
      </c>
      <c r="BG1969">
        <f>HYPERLINK("C:\Users\jimmy\Desktop\Examens arbete\Kod\Ny mapp\remix_-copy-of-miljöbeslut.se-portal\M-2025-911-6-Föreläggande försiktighetsmått.pdf", "Öppna PDF")</f>
        <v/>
      </c>
    </row>
    <row r="1970">
      <c r="A1970" t="inlineStr">
        <is>
          <t>KRAV-AUTO-001969</t>
        </is>
      </c>
      <c r="B1970" t="inlineStr">
        <is>
          <t>ADMIN-INDEX-2026-02-27-00000000125C043F57453246863FE664CAFE6A3F0700950291EA24F0614FB6ACEDB12BF0E31D00000000010C0000950291EA24F0614FB6ACEDB12BF0E31D00002087B17A0000</t>
        </is>
      </c>
      <c r="C1970" t="inlineStr">
        <is>
          <t>cmm4yunma00ttcuqwanbvb8ob</t>
        </is>
      </c>
      <c r="D1970" t="inlineStr">
        <is>
          <t>http://localhost:8787/api/admin/requirements/documents/cmm4yunma00ttcuqwanbvb8ob/view</t>
        </is>
      </c>
      <c r="E1970">
        <f>HYPERLÄNK("http://localhost:8787/api/admin/requirements/documents/cmm4yunma00ttcuqwanbvb8ob/view";"Öppna PDF")</f>
        <v/>
      </c>
      <c r="F1970">
        <f>HYPERLINK("http://localhost:8787/api/admin/requirements/documents/cmm4yunma00ttcuqwanbvb8ob/view","Open PDF")</f>
        <v/>
      </c>
      <c r="G1970" t="inlineStr">
        <is>
          <t>cmm55w57p0004cuisfrtpqly8</t>
        </is>
      </c>
      <c r="H1970" t="inlineStr">
        <is>
          <t>Kompletteringskrav</t>
        </is>
      </c>
      <c r="I1970" t="inlineStr">
        <is>
          <t>MiljopaverkanForsiktighet</t>
        </is>
      </c>
      <c r="J1970" t="inlineStr">
        <is>
          <t>Skyddsatgarder</t>
        </is>
      </c>
      <c r="K1970" t="inlineStr">
        <is>
          <t>Avfallet som lagras ska begränsas till avfallskod 17 03 02 d.v.s.</t>
        </is>
      </c>
      <c r="L1970" t="inlineStr">
        <is>
          <t>Avfallet som lagras ska begränsas till avfallskod 17 03 02 d.v.s.</t>
        </is>
      </c>
      <c r="M1970" t="inlineStr">
        <is>
          <t>SKA</t>
        </is>
      </c>
      <c r="N1970" t="inlineStr"/>
      <c r="O1970" t="inlineStr"/>
      <c r="P1970" t="inlineStr"/>
      <c r="Q1970" t="inlineStr"/>
      <c r="R1970" t="inlineStr">
        <is>
          <t>Alltid</t>
        </is>
      </c>
      <c r="S1970" t="inlineStr"/>
      <c r="T1970" t="inlineStr">
        <is>
          <t>17 03 02</t>
        </is>
      </c>
      <c r="U1970" t="inlineStr"/>
      <c r="V1970" t="inlineStr"/>
      <c r="W1970" t="inlineStr">
        <is>
          <t>Nej</t>
        </is>
      </c>
      <c r="X1970" t="inlineStr">
        <is>
          <t>Nej</t>
        </is>
      </c>
      <c r="Y1970" t="inlineStr">
        <is>
          <t>Nej</t>
        </is>
      </c>
      <c r="Z1970" t="inlineStr">
        <is>
          <t>Nej</t>
        </is>
      </c>
      <c r="AA1970" t="n">
        <v>10</v>
      </c>
      <c r="AB1970" t="inlineStr">
        <is>
          <t>Miljopaverkan och forsiktighetsmatt</t>
        </is>
      </c>
      <c r="AC1970" t="inlineStr">
        <is>
          <t>Miljo-PM</t>
        </is>
      </c>
      <c r="AD1970" t="inlineStr">
        <is>
          <t>Nej</t>
        </is>
      </c>
      <c r="AE1970" t="inlineStr">
        <is>
          <t>Nej</t>
        </is>
      </c>
      <c r="AF1970" t="inlineStr">
        <is>
          <t>Ej behandlad</t>
        </is>
      </c>
      <c r="AG1970" t="inlineStr">
        <is>
          <t>AUTO_GENERERAD. Verifiera citat mot kallfil.</t>
        </is>
      </c>
      <c r="AH1970" t="inlineStr">
        <is>
          <t>MEDIUM</t>
        </is>
      </c>
      <c r="AI1970" t="inlineStr">
        <is>
          <t>AUTO</t>
        </is>
      </c>
      <c r="AJ1970" t="inlineStr">
        <is>
          <t>Nej</t>
        </is>
      </c>
      <c r="AK1970" t="inlineStr"/>
      <c r="AL1970" t="inlineStr"/>
      <c r="AM1970" t="inlineStr"/>
      <c r="AN1970" t="inlineStr"/>
      <c r="AO1970" t="inlineStr">
        <is>
          <t>cmm4yunma00ttcuqwanbvb8ob</t>
        </is>
      </c>
      <c r="AP1970" t="inlineStr">
        <is>
          <t>http://localhost:8787/api/admin/requirements/documents/cmm4yunma00ttcuqwanbvb8ob/view</t>
        </is>
      </c>
      <c r="AQ1970">
        <f>HYPERLÄNK("http://localhost:8787/api/admin/requirements/documents/cmm4yunma00ttcuqwanbvb8ob/view";"Öppna PDF")</f>
        <v/>
      </c>
      <c r="AR1970">
        <f>HYPERLINK("http://localhost:8787/api/admin/requirements/documents/cmm4yunma00ttcuqwanbvb8ob/view","Open PDF")</f>
        <v/>
      </c>
      <c r="AS1970" t="inlineStr">
        <is>
          <t>cmm55w57p0004cuisfrtpqly8</t>
        </is>
      </c>
      <c r="AT1970" t="inlineStr">
        <is>
          <t>cmm4xvu980000cuh4vj0usz09</t>
        </is>
      </c>
      <c r="AU1970" t="inlineStr">
        <is>
          <t>Besöksadress Telefon E-post Webb Tranås</t>
        </is>
      </c>
      <c r="AV1970" t="inlineStr">
        <is>
          <t>Kommun</t>
        </is>
      </c>
      <c r="AW1970" t="inlineStr">
        <is>
          <t>Besöksadress Telefon E-post Webb Tranås kommun</t>
        </is>
      </c>
      <c r="AX1970" t="inlineStr">
        <is>
          <t>2025-12</t>
        </is>
      </c>
      <c r="AY1970" t="inlineStr">
        <is>
          <t>Forelaggande</t>
        </is>
      </c>
      <c r="AZ1970" t="inlineStr">
        <is>
          <t>2026-02-03</t>
        </is>
      </c>
      <c r="BA1970" t="inlineStr">
        <is>
          <t>M-2025-911-6-Föreläggande försiktighetsmått.pdf</t>
        </is>
      </c>
      <c r="BB1970" t="inlineStr">
        <is>
          <t>Handlingar</t>
        </is>
      </c>
      <c r="BC1970" t="inlineStr">
        <is>
          <t>AUTO</t>
        </is>
      </c>
      <c r="BD1970" t="inlineStr"/>
      <c r="BE1970" t="inlineStr"/>
      <c r="BF1970" t="inlineStr">
        <is>
          <t>AUTO_GENERERAD. Bekrafta metadata mot kallfil.</t>
        </is>
      </c>
      <c r="BG1970">
        <f>HYPERLINK("C:\Users\jimmy\Desktop\Examens arbete\Kod\Ny mapp\remix_-copy-of-miljöbeslut.se-portal\M-2025-911-6-Föreläggande försiktighetsmått.pdf", "Öppna PDF")</f>
        <v/>
      </c>
    </row>
    <row r="1971">
      <c r="A1971" t="inlineStr">
        <is>
          <t>KRAV-AUTO-001970</t>
        </is>
      </c>
      <c r="B1971" t="inlineStr">
        <is>
          <t>ADMIN-INDEX-2026-02-27-00000000125C043F57453246863FE664CAFE6A3F0700950291EA24F0614FB6ACEDB12BF0E31D00000000010C0000950291EA24F0614FB6ACEDB12BF0E31D00002087B17A0000</t>
        </is>
      </c>
      <c r="C1971" t="inlineStr">
        <is>
          <t>cmm4yunm700tqcuqwt5cesl4s</t>
        </is>
      </c>
      <c r="D1971" t="inlineStr">
        <is>
          <t>http://localhost:8787/api/admin/requirements/documents/cmm4yunm700tqcuqwt5cesl4s/view</t>
        </is>
      </c>
      <c r="E1971">
        <f>HYPERLÄNK("http://localhost:8787/api/admin/requirements/documents/cmm4yunm700tqcuqwt5cesl4s/view";"Öppna PDF")</f>
        <v/>
      </c>
      <c r="F1971">
        <f>HYPERLINK("http://localhost:8787/api/admin/requirements/documents/cmm4yunm700tqcuqwt5cesl4s/view","Open PDF")</f>
        <v/>
      </c>
      <c r="G1971" t="inlineStr">
        <is>
          <t>cmm55w57p0004cuisfrtpqly8</t>
        </is>
      </c>
      <c r="H1971" t="inlineStr">
        <is>
          <t>Informationskrav</t>
        </is>
      </c>
      <c r="I1971" t="inlineStr">
        <is>
          <t>DagvattenLakvatten</t>
        </is>
      </c>
      <c r="J1971" t="inlineStr">
        <is>
          <t>Uppsamling</t>
        </is>
      </c>
      <c r="K1971" t="inlineStr">
        <is>
          <t>Fenol i lakvatten från kolonn var ej påvisbart med detektionsgräns av ca 1 μg/l.4 Eftersom inte asfalt som innehåller stenkolstjära avses att hanteras på ytan är risken för att asfalt ska laka förorenande ämnen minimal.</t>
        </is>
      </c>
      <c r="L1971" t="inlineStr">
        <is>
          <t>Fenol i lakvatten från kolonn var ej påvisbart med detektionsgräns av ca 1 μg/l.4 Eftersom inte asfalt som innehåller stenkolstjära avses att hanteras på ytan är risken för att asfalt ska laka förorenande ämnen minimal.</t>
        </is>
      </c>
      <c r="M1971" t="inlineStr">
        <is>
          <t>SKA</t>
        </is>
      </c>
      <c r="N1971" t="inlineStr"/>
      <c r="O1971" t="inlineStr"/>
      <c r="P1971" t="inlineStr"/>
      <c r="Q1971" t="inlineStr"/>
      <c r="R1971" t="inlineStr">
        <is>
          <t>Vid nederbord och avrinning</t>
        </is>
      </c>
      <c r="S1971" t="inlineStr"/>
      <c r="T1971" t="inlineStr"/>
      <c r="U1971" t="inlineStr"/>
      <c r="V1971" t="inlineStr"/>
      <c r="W1971" t="inlineStr">
        <is>
          <t>Nej</t>
        </is>
      </c>
      <c r="X1971" t="inlineStr">
        <is>
          <t>Ja</t>
        </is>
      </c>
      <c r="Y1971" t="inlineStr">
        <is>
          <t>Ja</t>
        </is>
      </c>
      <c r="Z1971" t="inlineStr">
        <is>
          <t>Nej</t>
        </is>
      </c>
      <c r="AA1971" t="n">
        <v>6</v>
      </c>
      <c r="AB1971" t="inlineStr">
        <is>
          <t>Lakvattenhantering</t>
        </is>
      </c>
      <c r="AC1971" t="inlineStr">
        <is>
          <t>Flodesschema dagvatten-lakvatten</t>
        </is>
      </c>
      <c r="AD1971" t="inlineStr">
        <is>
          <t>Nej</t>
        </is>
      </c>
      <c r="AE1971" t="inlineStr">
        <is>
          <t>Nej</t>
        </is>
      </c>
      <c r="AF1971" t="inlineStr">
        <is>
          <t>Ej behandlad</t>
        </is>
      </c>
      <c r="AG1971" t="inlineStr">
        <is>
          <t>AUTO_GENERERAD. Verifiera citat mot kallfil.</t>
        </is>
      </c>
      <c r="AH1971" t="inlineStr">
        <is>
          <t>MEDIUM</t>
        </is>
      </c>
      <c r="AI1971" t="inlineStr">
        <is>
          <t>AUTO</t>
        </is>
      </c>
      <c r="AJ1971" t="inlineStr">
        <is>
          <t>Nej</t>
        </is>
      </c>
      <c r="AK1971" t="inlineStr"/>
      <c r="AL1971" t="inlineStr"/>
      <c r="AM1971" t="inlineStr"/>
      <c r="AN1971" t="inlineStr"/>
      <c r="AO1971" t="inlineStr">
        <is>
          <t>cmm4yunma00ttcuqwanbvb8ob</t>
        </is>
      </c>
      <c r="AP1971" t="inlineStr">
        <is>
          <t>http://localhost:8787/api/admin/requirements/documents/cmm4yunma00ttcuqwanbvb8ob/view</t>
        </is>
      </c>
      <c r="AQ1971">
        <f>HYPERLÄNK("http://localhost:8787/api/admin/requirements/documents/cmm4yunma00ttcuqwanbvb8ob/view";"Öppna PDF")</f>
        <v/>
      </c>
      <c r="AR1971">
        <f>HYPERLINK("http://localhost:8787/api/admin/requirements/documents/cmm4yunma00ttcuqwanbvb8ob/view","Open PDF")</f>
        <v/>
      </c>
      <c r="AS1971" t="inlineStr">
        <is>
          <t>cmm55w57p0004cuisfrtpqly8</t>
        </is>
      </c>
      <c r="AT1971" t="inlineStr">
        <is>
          <t>cmm4xvu980000cuh4vj0usz09</t>
        </is>
      </c>
      <c r="AU1971" t="inlineStr">
        <is>
          <t>Besöksadress Telefon E-post Webb Tranås</t>
        </is>
      </c>
      <c r="AV1971" t="inlineStr">
        <is>
          <t>Kommun</t>
        </is>
      </c>
      <c r="AW1971" t="inlineStr">
        <is>
          <t>Besöksadress Telefon E-post Webb Tranås kommun</t>
        </is>
      </c>
      <c r="AX1971" t="inlineStr">
        <is>
          <t>2025-12</t>
        </is>
      </c>
      <c r="AY1971" t="inlineStr">
        <is>
          <t>Forelaggande</t>
        </is>
      </c>
      <c r="AZ1971" t="inlineStr">
        <is>
          <t>2026-02-03</t>
        </is>
      </c>
      <c r="BA1971" t="inlineStr">
        <is>
          <t>M-2025-911-6-Föreläggande försiktighetsmått.pdf</t>
        </is>
      </c>
      <c r="BB1971" t="inlineStr">
        <is>
          <t>Handlingar</t>
        </is>
      </c>
      <c r="BC1971" t="inlineStr">
        <is>
          <t>AUTO</t>
        </is>
      </c>
      <c r="BD1971" t="inlineStr"/>
      <c r="BE1971" t="inlineStr"/>
      <c r="BF1971" t="inlineStr">
        <is>
          <t>AUTO_GENERERAD. Bekrafta metadata mot kallfil.</t>
        </is>
      </c>
      <c r="BG1971">
        <f>HYPERLINK("C:\Users\jimmy\Desktop\Examens arbete\Kod\Ny mapp\remix_-copy-of-miljöbeslut.se-portal\M-2025-911-6-Föreläggande försiktighetsmått.pdf", "Öppna PDF")</f>
        <v/>
      </c>
    </row>
    <row r="1972">
      <c r="A1972" t="inlineStr">
        <is>
          <t>KRAV-AUTO-001971</t>
        </is>
      </c>
      <c r="B1972" t="inlineStr">
        <is>
          <t>ADMIN-INDEX-2026-02-27-00000000125C043F57453246863FE664CAFE6A3F0700950291EA24F0614FB6ACEDB12BF0E31D00000000010C0000950291EA24F0614FB6ACEDB12BF0E31D00002087B17A0000</t>
        </is>
      </c>
      <c r="C1972" t="inlineStr">
        <is>
          <t>cmm4yunm700tqcuqwt5cesl4s</t>
        </is>
      </c>
      <c r="D1972" t="inlineStr">
        <is>
          <t>http://localhost:8787/api/admin/requirements/documents/cmm4yunm700tqcuqwt5cesl4s/view</t>
        </is>
      </c>
      <c r="E1972">
        <f>HYPERLÄNK("http://localhost:8787/api/admin/requirements/documents/cmm4yunm700tqcuqwt5cesl4s/view";"Öppna PDF")</f>
        <v/>
      </c>
      <c r="F1972">
        <f>HYPERLINK("http://localhost:8787/api/admin/requirements/documents/cmm4yunm700tqcuqwt5cesl4s/view","Open PDF")</f>
        <v/>
      </c>
      <c r="G1972" t="inlineStr">
        <is>
          <t>cmm55w57p0004cuisfrtpqly8</t>
        </is>
      </c>
      <c r="H1972" t="inlineStr">
        <is>
          <t>Informationskrav</t>
        </is>
      </c>
      <c r="I1972" t="inlineStr">
        <is>
          <t>MiljopaverkanForsiktighet</t>
        </is>
      </c>
      <c r="J1972" t="inlineStr">
        <is>
          <t>Skyddsatgarder</t>
        </is>
      </c>
      <c r="K1972" t="inlineStr">
        <is>
          <t>För att det ska vara möjligt att öka återvinningen av asfalt samt att följa mål och riktlinjer måste myndigheters beslut följa med utvecklingen så att insamling och återvinning av avfall kan främjas.</t>
        </is>
      </c>
      <c r="L1972" t="inlineStr">
        <is>
          <t>För att det ska vara möjligt att öka återvinningen av asfalt samt att följa mål och riktlinjer måste myndigheters beslut följa med utvecklingen så att insamling och återvinning av avfall kan främjas.</t>
        </is>
      </c>
      <c r="M1972" t="inlineStr">
        <is>
          <t>SKA</t>
        </is>
      </c>
      <c r="N1972" t="inlineStr"/>
      <c r="O1972" t="inlineStr"/>
      <c r="P1972" t="inlineStr"/>
      <c r="Q1972" t="inlineStr"/>
      <c r="R1972" t="inlineStr">
        <is>
          <t>Alltid</t>
        </is>
      </c>
      <c r="S1972" t="inlineStr"/>
      <c r="T1972" t="inlineStr"/>
      <c r="U1972" t="inlineStr"/>
      <c r="V1972" t="inlineStr"/>
      <c r="W1972" t="inlineStr">
        <is>
          <t>Nej</t>
        </is>
      </c>
      <c r="X1972" t="inlineStr">
        <is>
          <t>Nej</t>
        </is>
      </c>
      <c r="Y1972" t="inlineStr">
        <is>
          <t>Nej</t>
        </is>
      </c>
      <c r="Z1972" t="inlineStr">
        <is>
          <t>Nej</t>
        </is>
      </c>
      <c r="AA1972" t="n">
        <v>10</v>
      </c>
      <c r="AB1972" t="inlineStr">
        <is>
          <t>Miljopaverkan och forsiktighetsmatt</t>
        </is>
      </c>
      <c r="AC1972" t="inlineStr">
        <is>
          <t>Miljo-PM</t>
        </is>
      </c>
      <c r="AD1972" t="inlineStr">
        <is>
          <t>Nej</t>
        </is>
      </c>
      <c r="AE1972" t="inlineStr">
        <is>
          <t>Nej</t>
        </is>
      </c>
      <c r="AF1972" t="inlineStr">
        <is>
          <t>Ej behandlad</t>
        </is>
      </c>
      <c r="AG1972" t="inlineStr">
        <is>
          <t>AUTO_GENERERAD. Verifiera citat mot kallfil.</t>
        </is>
      </c>
      <c r="AH1972" t="inlineStr">
        <is>
          <t>MEDIUM</t>
        </is>
      </c>
      <c r="AI1972" t="inlineStr">
        <is>
          <t>AUTO</t>
        </is>
      </c>
      <c r="AJ1972" t="inlineStr">
        <is>
          <t>Nej</t>
        </is>
      </c>
      <c r="AK1972" t="inlineStr"/>
      <c r="AL1972" t="inlineStr"/>
      <c r="AM1972" t="inlineStr"/>
      <c r="AN1972" t="inlineStr"/>
      <c r="AO1972" t="inlineStr">
        <is>
          <t>cmm4yunma00ttcuqwanbvb8ob</t>
        </is>
      </c>
      <c r="AP1972" t="inlineStr">
        <is>
          <t>http://localhost:8787/api/admin/requirements/documents/cmm4yunma00ttcuqwanbvb8ob/view</t>
        </is>
      </c>
      <c r="AQ1972">
        <f>HYPERLÄNK("http://localhost:8787/api/admin/requirements/documents/cmm4yunma00ttcuqwanbvb8ob/view";"Öppna PDF")</f>
        <v/>
      </c>
      <c r="AR1972">
        <f>HYPERLINK("http://localhost:8787/api/admin/requirements/documents/cmm4yunma00ttcuqwanbvb8ob/view","Open PDF")</f>
        <v/>
      </c>
      <c r="AS1972" t="inlineStr">
        <is>
          <t>cmm55w57p0004cuisfrtpqly8</t>
        </is>
      </c>
      <c r="AT1972" t="inlineStr">
        <is>
          <t>cmm4xvu980000cuh4vj0usz09</t>
        </is>
      </c>
      <c r="AU1972" t="inlineStr">
        <is>
          <t>Besöksadress Telefon E-post Webb Tranås</t>
        </is>
      </c>
      <c r="AV1972" t="inlineStr">
        <is>
          <t>Kommun</t>
        </is>
      </c>
      <c r="AW1972" t="inlineStr">
        <is>
          <t>Besöksadress Telefon E-post Webb Tranås kommun</t>
        </is>
      </c>
      <c r="AX1972" t="inlineStr">
        <is>
          <t>2025-12</t>
        </is>
      </c>
      <c r="AY1972" t="inlineStr">
        <is>
          <t>Forelaggande</t>
        </is>
      </c>
      <c r="AZ1972" t="inlineStr">
        <is>
          <t>2026-02-03</t>
        </is>
      </c>
      <c r="BA1972" t="inlineStr">
        <is>
          <t>M-2025-911-6-Föreläggande försiktighetsmått.pdf</t>
        </is>
      </c>
      <c r="BB1972" t="inlineStr">
        <is>
          <t>Handlingar</t>
        </is>
      </c>
      <c r="BC1972" t="inlineStr">
        <is>
          <t>AUTO</t>
        </is>
      </c>
      <c r="BD1972" t="inlineStr"/>
      <c r="BE1972" t="inlineStr"/>
      <c r="BF1972" t="inlineStr">
        <is>
          <t>AUTO_GENERERAD. Bekrafta metadata mot kallfil.</t>
        </is>
      </c>
      <c r="BG1972">
        <f>HYPERLINK("C:\Users\jimmy\Desktop\Examens arbete\Kod\Ny mapp\remix_-copy-of-miljöbeslut.se-portal\M-2025-911-6-Föreläggande försiktighetsmått.pdf", "Öppna PDF")</f>
        <v/>
      </c>
    </row>
    <row r="1973">
      <c r="A1973" t="inlineStr">
        <is>
          <t>KRAV-AUTO-001972</t>
        </is>
      </c>
      <c r="B1973" t="inlineStr">
        <is>
          <t>ADMIN-INDEX-2026-02-27-00000000125C043F57453246863FE664CAFE6A3F0700950291EA24F0614FB6ACEDB12BF0E31D00000000010C0000950291EA24F0614FB6ACEDB12BF0E31D00002087B17A0000</t>
        </is>
      </c>
      <c r="C1973" t="inlineStr">
        <is>
          <t>cmm4yunm700tqcuqwt5cesl4s</t>
        </is>
      </c>
      <c r="D1973" t="inlineStr">
        <is>
          <t>http://localhost:8787/api/admin/requirements/documents/cmm4yunm700tqcuqwt5cesl4s/view</t>
        </is>
      </c>
      <c r="E1973">
        <f>HYPERLÄNK("http://localhost:8787/api/admin/requirements/documents/cmm4yunm700tqcuqwt5cesl4s/view";"Öppna PDF")</f>
        <v/>
      </c>
      <c r="F1973">
        <f>HYPERLINK("http://localhost:8787/api/admin/requirements/documents/cmm4yunm700tqcuqwt5cesl4s/view","Open PDF")</f>
        <v/>
      </c>
      <c r="G1973" t="inlineStr">
        <is>
          <t>cmm55w57p0004cuisfrtpqly8</t>
        </is>
      </c>
      <c r="H1973" t="inlineStr">
        <is>
          <t>Informationskrav</t>
        </is>
      </c>
      <c r="I1973" t="inlineStr">
        <is>
          <t>Ytkonstruktion</t>
        </is>
      </c>
      <c r="J1973" t="inlineStr">
        <is>
          <t>Tat yta</t>
        </is>
      </c>
      <c r="K1973" t="inlineStr">
        <is>
          <t>Bygg- och miljönämnden Tranås Datum: 2025-12-04 Dnr: M-2025-911-1 -- 7 of 13 -- 8(13) Ytan där asfalt ska lagras innan borttransport för återvinning uppgår till ca 1000 m2 vilket medför en lagringsvolym vid ett enskilt tillfälle om max 100 ton asfalt.</t>
        </is>
      </c>
      <c r="L1973" t="inlineStr">
        <is>
          <t>Bygg- och miljönämnden Tranås Datum: 2025-12-04 Dnr: M-2025-911-1 -- 7 of 13 -- 8(13) Ytan där asfalt ska lagras innan borttransport för återvinning uppgår till ca 1000 m2 vilket medför en lagringsvolym vid ett enskilt tillfälle om max 100 ton asfalt.</t>
        </is>
      </c>
      <c r="M1973" t="inlineStr">
        <is>
          <t>SKA</t>
        </is>
      </c>
      <c r="N1973" t="inlineStr"/>
      <c r="O1973" t="inlineStr">
        <is>
          <t>2025-12-04</t>
        </is>
      </c>
      <c r="P1973" t="inlineStr"/>
      <c r="Q1973" t="inlineStr"/>
      <c r="R1973" t="inlineStr">
        <is>
          <t>Vid mellanlagring av avfall</t>
        </is>
      </c>
      <c r="S1973" t="inlineStr"/>
      <c r="T1973" t="inlineStr"/>
      <c r="U1973" t="n">
        <v>100</v>
      </c>
      <c r="V1973" t="inlineStr"/>
      <c r="W1973" t="inlineStr">
        <is>
          <t>Ja</t>
        </is>
      </c>
      <c r="X1973" t="inlineStr">
        <is>
          <t>Nej</t>
        </is>
      </c>
      <c r="Y1973" t="inlineStr">
        <is>
          <t>Nej</t>
        </is>
      </c>
      <c r="Z1973" t="inlineStr">
        <is>
          <t>Nej</t>
        </is>
      </c>
      <c r="AA1973" t="n">
        <v>5</v>
      </c>
      <c r="AB1973" t="inlineStr">
        <is>
          <t>Teknisk beskrivning av platta</t>
        </is>
      </c>
      <c r="AC1973" t="inlineStr">
        <is>
          <t>Teknisk ritning platta</t>
        </is>
      </c>
      <c r="AD1973" t="inlineStr">
        <is>
          <t>Nej</t>
        </is>
      </c>
      <c r="AE1973" t="inlineStr">
        <is>
          <t>Nej</t>
        </is>
      </c>
      <c r="AF1973" t="inlineStr">
        <is>
          <t>Ej behandlad</t>
        </is>
      </c>
      <c r="AG1973" t="inlineStr">
        <is>
          <t>AUTO_GENERERAD. Verifiera citat mot kallfil.</t>
        </is>
      </c>
      <c r="AH1973" t="inlineStr">
        <is>
          <t>MEDIUM</t>
        </is>
      </c>
      <c r="AI1973" t="inlineStr">
        <is>
          <t>AUTO</t>
        </is>
      </c>
      <c r="AJ1973" t="inlineStr">
        <is>
          <t>Nej</t>
        </is>
      </c>
      <c r="AK1973" t="inlineStr"/>
      <c r="AL1973" t="inlineStr"/>
      <c r="AM1973" t="inlineStr"/>
      <c r="AN1973" t="inlineStr"/>
      <c r="AO1973" t="inlineStr">
        <is>
          <t>cmm4yunma00ttcuqwanbvb8ob</t>
        </is>
      </c>
      <c r="AP1973" t="inlineStr">
        <is>
          <t>http://localhost:8787/api/admin/requirements/documents/cmm4yunma00ttcuqwanbvb8ob/view</t>
        </is>
      </c>
      <c r="AQ1973">
        <f>HYPERLÄNK("http://localhost:8787/api/admin/requirements/documents/cmm4yunma00ttcuqwanbvb8ob/view";"Öppna PDF")</f>
        <v/>
      </c>
      <c r="AR1973">
        <f>HYPERLINK("http://localhost:8787/api/admin/requirements/documents/cmm4yunma00ttcuqwanbvb8ob/view","Open PDF")</f>
        <v/>
      </c>
      <c r="AS1973" t="inlineStr">
        <is>
          <t>cmm55w57p0004cuisfrtpqly8</t>
        </is>
      </c>
      <c r="AT1973" t="inlineStr">
        <is>
          <t>cmm4xvu980000cuh4vj0usz09</t>
        </is>
      </c>
      <c r="AU1973" t="inlineStr">
        <is>
          <t>Besöksadress Telefon E-post Webb Tranås</t>
        </is>
      </c>
      <c r="AV1973" t="inlineStr">
        <is>
          <t>Kommun</t>
        </is>
      </c>
      <c r="AW1973" t="inlineStr">
        <is>
          <t>Besöksadress Telefon E-post Webb Tranås kommun</t>
        </is>
      </c>
      <c r="AX1973" t="inlineStr">
        <is>
          <t>2025-12</t>
        </is>
      </c>
      <c r="AY1973" t="inlineStr">
        <is>
          <t>Forelaggande</t>
        </is>
      </c>
      <c r="AZ1973" t="inlineStr">
        <is>
          <t>2026-02-03</t>
        </is>
      </c>
      <c r="BA1973" t="inlineStr">
        <is>
          <t>M-2025-911-6-Föreläggande försiktighetsmått.pdf</t>
        </is>
      </c>
      <c r="BB1973" t="inlineStr">
        <is>
          <t>Handlingar</t>
        </is>
      </c>
      <c r="BC1973" t="inlineStr">
        <is>
          <t>AUTO</t>
        </is>
      </c>
      <c r="BD1973" t="inlineStr"/>
      <c r="BE1973" t="inlineStr"/>
      <c r="BF1973" t="inlineStr">
        <is>
          <t>AUTO_GENERERAD. Bekrafta metadata mot kallfil.</t>
        </is>
      </c>
      <c r="BG1973">
        <f>HYPERLINK("C:\Users\jimmy\Desktop\Examens arbete\Kod\Ny mapp\remix_-copy-of-miljöbeslut.se-portal\M-2025-911-6-Föreläggande försiktighetsmått.pdf", "Öppna PDF")</f>
        <v/>
      </c>
    </row>
    <row r="1974">
      <c r="A1974" t="inlineStr">
        <is>
          <t>KRAV-AUTO-001973</t>
        </is>
      </c>
      <c r="B1974" t="inlineStr">
        <is>
          <t>ADMIN-INDEX-2026-02-27-00000000125C043F57453246863FE664CAFE6A3F0700950291EA24F0614FB6ACEDB12BF0E31D00000000010C0000950291EA24F0614FB6ACEDB12BF0E31D00002087B17A0000</t>
        </is>
      </c>
      <c r="C1974" t="inlineStr">
        <is>
          <t>cmm4yunm400tncuqwxqf3017c</t>
        </is>
      </c>
      <c r="D1974" t="inlineStr">
        <is>
          <t>http://localhost:8787/api/admin/requirements/documents/cmm4yunm400tncuqwxqf3017c/view</t>
        </is>
      </c>
      <c r="E1974">
        <f>HYPERLÄNK("http://localhost:8787/api/admin/requirements/documents/cmm4yunm400tncuqwxqf3017c/view";"Öppna PDF")</f>
        <v/>
      </c>
      <c r="F1974">
        <f>HYPERLINK("http://localhost:8787/api/admin/requirements/documents/cmm4yunm400tncuqwxqf3017c/view","Open PDF")</f>
        <v/>
      </c>
      <c r="G1974" t="inlineStr">
        <is>
          <t>cmm55w57p0004cuisfrtpqly8</t>
        </is>
      </c>
      <c r="H1974" t="inlineStr">
        <is>
          <t>Beslutsvillkor</t>
        </is>
      </c>
      <c r="I1974" t="inlineStr">
        <is>
          <t>Riskhantering</t>
        </is>
      </c>
      <c r="J1974" t="inlineStr">
        <is>
          <t>Riskkontroll</t>
        </is>
      </c>
      <c r="K1974" t="inlineStr">
        <is>
          <t>Utlakning av PAH:er från fräsmassorna riskerar att påverka Svartån kemiska status negativt.</t>
        </is>
      </c>
      <c r="L1974" t="inlineStr">
        <is>
          <t>Utlakning av PAH:er från fräsmassorna riskerar att påverka Svartån kemiska status negativt.</t>
        </is>
      </c>
      <c r="M1974" t="inlineStr">
        <is>
          <t>SKA</t>
        </is>
      </c>
      <c r="N1974" t="inlineStr">
        <is>
          <t>Miljobalken</t>
        </is>
      </c>
      <c r="O1974" t="inlineStr"/>
      <c r="P1974" t="inlineStr"/>
      <c r="Q1974" t="inlineStr"/>
      <c r="R1974" t="inlineStr">
        <is>
          <t>Vid risk for incident</t>
        </is>
      </c>
      <c r="S1974" t="inlineStr"/>
      <c r="T1974" t="inlineStr">
        <is>
          <t>52 0140</t>
        </is>
      </c>
      <c r="U1974" t="inlineStr"/>
      <c r="V1974" t="inlineStr"/>
      <c r="W1974" t="inlineStr">
        <is>
          <t>Nej</t>
        </is>
      </c>
      <c r="X1974" t="inlineStr">
        <is>
          <t>Nej</t>
        </is>
      </c>
      <c r="Y1974" t="inlineStr">
        <is>
          <t>Ja</t>
        </is>
      </c>
      <c r="Z1974" t="inlineStr">
        <is>
          <t>Ja</t>
        </is>
      </c>
      <c r="AA1974" t="n">
        <v>8</v>
      </c>
      <c r="AB1974" t="inlineStr">
        <is>
          <t>Riskhantering</t>
        </is>
      </c>
      <c r="AC1974" t="inlineStr">
        <is>
          <t>Risk-PM</t>
        </is>
      </c>
      <c r="AD1974" t="inlineStr">
        <is>
          <t>Nej</t>
        </is>
      </c>
      <c r="AE1974" t="inlineStr">
        <is>
          <t>Nej</t>
        </is>
      </c>
      <c r="AF1974" t="inlineStr">
        <is>
          <t>Ej behandlad</t>
        </is>
      </c>
      <c r="AG1974" t="inlineStr">
        <is>
          <t>AUTO_GENERERAD. Verifiera citat mot kallfil.</t>
        </is>
      </c>
      <c r="AH1974" t="inlineStr">
        <is>
          <t>HIGH</t>
        </is>
      </c>
      <c r="AI1974" t="inlineStr">
        <is>
          <t>AUTO</t>
        </is>
      </c>
      <c r="AJ1974" t="inlineStr">
        <is>
          <t>Nej</t>
        </is>
      </c>
      <c r="AK1974" t="inlineStr"/>
      <c r="AL1974" t="inlineStr"/>
      <c r="AM1974" t="inlineStr"/>
      <c r="AN1974" t="inlineStr"/>
      <c r="AO1974" t="inlineStr">
        <is>
          <t>cmm4yunma00ttcuqwanbvb8ob</t>
        </is>
      </c>
      <c r="AP1974" t="inlineStr">
        <is>
          <t>http://localhost:8787/api/admin/requirements/documents/cmm4yunma00ttcuqwanbvb8ob/view</t>
        </is>
      </c>
      <c r="AQ1974">
        <f>HYPERLÄNK("http://localhost:8787/api/admin/requirements/documents/cmm4yunma00ttcuqwanbvb8ob/view";"Öppna PDF")</f>
        <v/>
      </c>
      <c r="AR1974">
        <f>HYPERLINK("http://localhost:8787/api/admin/requirements/documents/cmm4yunma00ttcuqwanbvb8ob/view","Open PDF")</f>
        <v/>
      </c>
      <c r="AS1974" t="inlineStr">
        <is>
          <t>cmm55w57p0004cuisfrtpqly8</t>
        </is>
      </c>
      <c r="AT1974" t="inlineStr">
        <is>
          <t>cmm4xvu980000cuh4vj0usz09</t>
        </is>
      </c>
      <c r="AU1974" t="inlineStr">
        <is>
          <t>Besöksadress Telefon E-post Webb Tranås</t>
        </is>
      </c>
      <c r="AV1974" t="inlineStr">
        <is>
          <t>Kommun</t>
        </is>
      </c>
      <c r="AW1974" t="inlineStr">
        <is>
          <t>Besöksadress Telefon E-post Webb Tranås kommun</t>
        </is>
      </c>
      <c r="AX1974" t="inlineStr">
        <is>
          <t>2025-12</t>
        </is>
      </c>
      <c r="AY1974" t="inlineStr">
        <is>
          <t>Forelaggande</t>
        </is>
      </c>
      <c r="AZ1974" t="inlineStr">
        <is>
          <t>2026-02-03</t>
        </is>
      </c>
      <c r="BA1974" t="inlineStr">
        <is>
          <t>M-2025-911-6-Föreläggande försiktighetsmått.pdf</t>
        </is>
      </c>
      <c r="BB1974" t="inlineStr">
        <is>
          <t>Handlingar</t>
        </is>
      </c>
      <c r="BC1974" t="inlineStr">
        <is>
          <t>AUTO</t>
        </is>
      </c>
      <c r="BD1974" t="inlineStr"/>
      <c r="BE1974" t="inlineStr"/>
      <c r="BF1974" t="inlineStr">
        <is>
          <t>AUTO_GENERERAD. Bekrafta metadata mot kallfil.</t>
        </is>
      </c>
      <c r="BG1974">
        <f>HYPERLINK("C:\Users\jimmy\Desktop\Examens arbete\Kod\Ny mapp\remix_-copy-of-miljöbeslut.se-portal\M-2025-911-6-Föreläggande försiktighetsmått.pdf", "Öppna PDF")</f>
        <v/>
      </c>
    </row>
    <row r="1975">
      <c r="A1975" t="inlineStr">
        <is>
          <t>KRAV-AUTO-001974</t>
        </is>
      </c>
      <c r="B1975" t="inlineStr">
        <is>
          <t>ADMIN-INDEX-2026-02-27-00000000125C043F57453246863FE664CAFE6A3F0700950291EA24F0614FB6ACEDB12BF0E31D00000000010C0000950291EA24F0614FB6ACEDB12BF0E31D00002087B17A0000</t>
        </is>
      </c>
      <c r="C1975" t="inlineStr">
        <is>
          <t>cmm4yunly00thcuqwma4a6be2</t>
        </is>
      </c>
      <c r="D1975" t="inlineStr">
        <is>
          <t>http://localhost:8787/api/admin/requirements/documents/cmm4yunly00thcuqwma4a6be2/view</t>
        </is>
      </c>
      <c r="E1975">
        <f>HYPERLÄNK("http://localhost:8787/api/admin/requirements/documents/cmm4yunly00thcuqwma4a6be2/view";"Öppna PDF")</f>
        <v/>
      </c>
      <c r="F1975">
        <f>HYPERLINK("http://localhost:8787/api/admin/requirements/documents/cmm4yunly00thcuqwma4a6be2/view","Open PDF")</f>
        <v/>
      </c>
      <c r="G1975" t="inlineStr">
        <is>
          <t>cmm55w57p0004cuisfrtpqly8</t>
        </is>
      </c>
      <c r="H1975" t="inlineStr">
        <is>
          <t>Beslutsvillkor</t>
        </is>
      </c>
      <c r="I1975" t="inlineStr">
        <is>
          <t>DagvattenLakvatten</t>
        </is>
      </c>
      <c r="J1975" t="inlineStr">
        <is>
          <t>Uppsamling</t>
        </is>
      </c>
      <c r="K1975" t="inlineStr">
        <is>
          <t>Det finns inget villkor som reglerar användningen av den aktuella ytan eller dagvattenhanteringen.</t>
        </is>
      </c>
      <c r="L1975" t="inlineStr">
        <is>
          <t>Det finns inget villkor som reglerar användningen av den aktuella ytan eller dagvattenhanteringen.</t>
        </is>
      </c>
      <c r="M1975" t="inlineStr">
        <is>
          <t>INFO</t>
        </is>
      </c>
      <c r="N1975" t="inlineStr">
        <is>
          <t>Miljobalken</t>
        </is>
      </c>
      <c r="O1975" t="inlineStr"/>
      <c r="P1975" t="inlineStr"/>
      <c r="Q1975" t="inlineStr"/>
      <c r="R1975" t="inlineStr">
        <is>
          <t>Vid nederbord och avrinning</t>
        </is>
      </c>
      <c r="S1975" t="inlineStr"/>
      <c r="T1975" t="inlineStr">
        <is>
          <t>52 0140</t>
        </is>
      </c>
      <c r="U1975" t="inlineStr"/>
      <c r="V1975" t="inlineStr"/>
      <c r="W1975" t="inlineStr">
        <is>
          <t>Nej</t>
        </is>
      </c>
      <c r="X1975" t="inlineStr">
        <is>
          <t>Ja</t>
        </is>
      </c>
      <c r="Y1975" t="inlineStr">
        <is>
          <t>Ja</t>
        </is>
      </c>
      <c r="Z1975" t="inlineStr">
        <is>
          <t>Nej</t>
        </is>
      </c>
      <c r="AA1975" t="n">
        <v>6</v>
      </c>
      <c r="AB1975" t="inlineStr">
        <is>
          <t>Lakvattenhantering</t>
        </is>
      </c>
      <c r="AC1975" t="inlineStr">
        <is>
          <t>Flodesschema dagvatten-lakvatten</t>
        </is>
      </c>
      <c r="AD1975" t="inlineStr">
        <is>
          <t>Nej</t>
        </is>
      </c>
      <c r="AE1975" t="inlineStr">
        <is>
          <t>Nej</t>
        </is>
      </c>
      <c r="AF1975" t="inlineStr">
        <is>
          <t>Ej behandlad</t>
        </is>
      </c>
      <c r="AG1975" t="inlineStr">
        <is>
          <t>AUTO_GENERERAD. Verifiera citat mot kallfil.</t>
        </is>
      </c>
      <c r="AH1975" t="inlineStr">
        <is>
          <t>HIGH</t>
        </is>
      </c>
      <c r="AI1975" t="inlineStr">
        <is>
          <t>AUTO</t>
        </is>
      </c>
      <c r="AJ1975" t="inlineStr">
        <is>
          <t>Nej</t>
        </is>
      </c>
      <c r="AK1975" t="inlineStr"/>
      <c r="AL1975" t="inlineStr"/>
      <c r="AM1975" t="inlineStr"/>
      <c r="AN1975" t="inlineStr"/>
      <c r="AO1975" t="inlineStr">
        <is>
          <t>cmm4yunma00ttcuqwanbvb8ob</t>
        </is>
      </c>
      <c r="AP1975" t="inlineStr">
        <is>
          <t>http://localhost:8787/api/admin/requirements/documents/cmm4yunma00ttcuqwanbvb8ob/view</t>
        </is>
      </c>
      <c r="AQ1975">
        <f>HYPERLÄNK("http://localhost:8787/api/admin/requirements/documents/cmm4yunma00ttcuqwanbvb8ob/view";"Öppna PDF")</f>
        <v/>
      </c>
      <c r="AR1975">
        <f>HYPERLINK("http://localhost:8787/api/admin/requirements/documents/cmm4yunma00ttcuqwanbvb8ob/view","Open PDF")</f>
        <v/>
      </c>
      <c r="AS1975" t="inlineStr">
        <is>
          <t>cmm55w57p0004cuisfrtpqly8</t>
        </is>
      </c>
      <c r="AT1975" t="inlineStr">
        <is>
          <t>cmm4xvu980000cuh4vj0usz09</t>
        </is>
      </c>
      <c r="AU1975" t="inlineStr">
        <is>
          <t>Besöksadress Telefon E-post Webb Tranås</t>
        </is>
      </c>
      <c r="AV1975" t="inlineStr">
        <is>
          <t>Kommun</t>
        </is>
      </c>
      <c r="AW1975" t="inlineStr">
        <is>
          <t>Besöksadress Telefon E-post Webb Tranås kommun</t>
        </is>
      </c>
      <c r="AX1975" t="inlineStr">
        <is>
          <t>2025-12</t>
        </is>
      </c>
      <c r="AY1975" t="inlineStr">
        <is>
          <t>Forelaggande</t>
        </is>
      </c>
      <c r="AZ1975" t="inlineStr">
        <is>
          <t>2026-02-03</t>
        </is>
      </c>
      <c r="BA1975" t="inlineStr">
        <is>
          <t>M-2025-911-6-Föreläggande försiktighetsmått.pdf</t>
        </is>
      </c>
      <c r="BB1975" t="inlineStr">
        <is>
          <t>Handlingar</t>
        </is>
      </c>
      <c r="BC1975" t="inlineStr">
        <is>
          <t>AUTO</t>
        </is>
      </c>
      <c r="BD1975" t="inlineStr"/>
      <c r="BE1975" t="inlineStr"/>
      <c r="BF1975" t="inlineStr">
        <is>
          <t>AUTO_GENERERAD. Bekrafta metadata mot kallfil.</t>
        </is>
      </c>
      <c r="BG1975">
        <f>HYPERLINK("C:\Users\jimmy\Desktop\Examens arbete\Kod\Ny mapp\remix_-copy-of-miljöbeslut.se-portal\M-2025-911-6-Föreläggande försiktighetsmått.pdf", "Öppna PDF")</f>
        <v/>
      </c>
    </row>
    <row r="1976">
      <c r="A1976" t="inlineStr">
        <is>
          <t>KRAV-AUTO-001975</t>
        </is>
      </c>
      <c r="B1976" t="inlineStr">
        <is>
          <t>ADMIN-INDEX-2026-02-27-00000000125C043F57453246863FE664CAFE6A3F0700950291EA24F0614FB6ACEDB12BF0E31D00000000010C0000950291EA24F0614FB6ACEDB12BF0E31D00002087B17A0000</t>
        </is>
      </c>
      <c r="C1976" t="inlineStr">
        <is>
          <t>cmm4yunly00thcuqwma4a6be2</t>
        </is>
      </c>
      <c r="D1976" t="inlineStr">
        <is>
          <t>http://localhost:8787/api/admin/requirements/documents/cmm4yunly00thcuqwma4a6be2/view</t>
        </is>
      </c>
      <c r="E1976">
        <f>HYPERLÄNK("http://localhost:8787/api/admin/requirements/documents/cmm4yunly00thcuqwma4a6be2/view";"Öppna PDF")</f>
        <v/>
      </c>
      <c r="F1976">
        <f>HYPERLINK("http://localhost:8787/api/admin/requirements/documents/cmm4yunly00thcuqwma4a6be2/view","Open PDF")</f>
        <v/>
      </c>
      <c r="G1976" t="inlineStr">
        <is>
          <t>cmm55w57p0004cuisfrtpqly8</t>
        </is>
      </c>
      <c r="H1976" t="inlineStr">
        <is>
          <t>Beslutsvillkor</t>
        </is>
      </c>
      <c r="I1976" t="inlineStr">
        <is>
          <t>Riskhantering</t>
        </is>
      </c>
      <c r="J1976" t="inlineStr">
        <is>
          <t>Riskkontroll</t>
        </is>
      </c>
      <c r="K1976" t="inlineStr">
        <is>
          <t>Utlakning av PAH:er från fräsmassorna riskerar att påverka Svartån kemiska status negativt.</t>
        </is>
      </c>
      <c r="L1976" t="inlineStr">
        <is>
          <t>Utlakning av PAH:er från fräsmassorna riskerar att påverka Svartån kemiska status negativt.</t>
        </is>
      </c>
      <c r="M1976" t="inlineStr">
        <is>
          <t>SKA</t>
        </is>
      </c>
      <c r="N1976" t="inlineStr">
        <is>
          <t>Miljobalken</t>
        </is>
      </c>
      <c r="O1976" t="inlineStr"/>
      <c r="P1976" t="inlineStr"/>
      <c r="Q1976" t="inlineStr"/>
      <c r="R1976" t="inlineStr">
        <is>
          <t>Vid risk for incident</t>
        </is>
      </c>
      <c r="S1976" t="inlineStr"/>
      <c r="T1976" t="inlineStr">
        <is>
          <t>52 0140</t>
        </is>
      </c>
      <c r="U1976" t="inlineStr"/>
      <c r="V1976" t="inlineStr"/>
      <c r="W1976" t="inlineStr">
        <is>
          <t>Nej</t>
        </is>
      </c>
      <c r="X1976" t="inlineStr">
        <is>
          <t>Nej</t>
        </is>
      </c>
      <c r="Y1976" t="inlineStr">
        <is>
          <t>Ja</t>
        </is>
      </c>
      <c r="Z1976" t="inlineStr">
        <is>
          <t>Ja</t>
        </is>
      </c>
      <c r="AA1976" t="n">
        <v>8</v>
      </c>
      <c r="AB1976" t="inlineStr">
        <is>
          <t>Riskhantering</t>
        </is>
      </c>
      <c r="AC1976" t="inlineStr">
        <is>
          <t>Risk-PM</t>
        </is>
      </c>
      <c r="AD1976" t="inlineStr">
        <is>
          <t>Nej</t>
        </is>
      </c>
      <c r="AE1976" t="inlineStr">
        <is>
          <t>Nej</t>
        </is>
      </c>
      <c r="AF1976" t="inlineStr">
        <is>
          <t>Ej behandlad</t>
        </is>
      </c>
      <c r="AG1976" t="inlineStr">
        <is>
          <t>AUTO_GENERERAD. Verifiera citat mot kallfil.</t>
        </is>
      </c>
      <c r="AH1976" t="inlineStr">
        <is>
          <t>HIGH</t>
        </is>
      </c>
      <c r="AI1976" t="inlineStr">
        <is>
          <t>AUTO</t>
        </is>
      </c>
      <c r="AJ1976" t="inlineStr">
        <is>
          <t>Nej</t>
        </is>
      </c>
      <c r="AK1976" t="inlineStr"/>
      <c r="AL1976" t="inlineStr"/>
      <c r="AM1976" t="inlineStr"/>
      <c r="AN1976" t="inlineStr"/>
      <c r="AO1976" t="inlineStr">
        <is>
          <t>cmm4yunma00ttcuqwanbvb8ob</t>
        </is>
      </c>
      <c r="AP1976" t="inlineStr">
        <is>
          <t>http://localhost:8787/api/admin/requirements/documents/cmm4yunma00ttcuqwanbvb8ob/view</t>
        </is>
      </c>
      <c r="AQ1976">
        <f>HYPERLÄNK("http://localhost:8787/api/admin/requirements/documents/cmm4yunma00ttcuqwanbvb8ob/view";"Öppna PDF")</f>
        <v/>
      </c>
      <c r="AR1976">
        <f>HYPERLINK("http://localhost:8787/api/admin/requirements/documents/cmm4yunma00ttcuqwanbvb8ob/view","Open PDF")</f>
        <v/>
      </c>
      <c r="AS1976" t="inlineStr">
        <is>
          <t>cmm55w57p0004cuisfrtpqly8</t>
        </is>
      </c>
      <c r="AT1976" t="inlineStr">
        <is>
          <t>cmm4xvu980000cuh4vj0usz09</t>
        </is>
      </c>
      <c r="AU1976" t="inlineStr">
        <is>
          <t>Besöksadress Telefon E-post Webb Tranås</t>
        </is>
      </c>
      <c r="AV1976" t="inlineStr">
        <is>
          <t>Kommun</t>
        </is>
      </c>
      <c r="AW1976" t="inlineStr">
        <is>
          <t>Besöksadress Telefon E-post Webb Tranås kommun</t>
        </is>
      </c>
      <c r="AX1976" t="inlineStr">
        <is>
          <t>2025-12</t>
        </is>
      </c>
      <c r="AY1976" t="inlineStr">
        <is>
          <t>Forelaggande</t>
        </is>
      </c>
      <c r="AZ1976" t="inlineStr">
        <is>
          <t>2026-02-03</t>
        </is>
      </c>
      <c r="BA1976" t="inlineStr">
        <is>
          <t>M-2025-911-6-Föreläggande försiktighetsmått.pdf</t>
        </is>
      </c>
      <c r="BB1976" t="inlineStr">
        <is>
          <t>Handlingar</t>
        </is>
      </c>
      <c r="BC1976" t="inlineStr">
        <is>
          <t>AUTO</t>
        </is>
      </c>
      <c r="BD1976" t="inlineStr"/>
      <c r="BE1976" t="inlineStr"/>
      <c r="BF1976" t="inlineStr">
        <is>
          <t>AUTO_GENERERAD. Bekrafta metadata mot kallfil.</t>
        </is>
      </c>
      <c r="BG1976">
        <f>HYPERLINK("C:\Users\jimmy\Desktop\Examens arbete\Kod\Ny mapp\remix_-copy-of-miljöbeslut.se-portal\M-2025-911-6-Föreläggande försiktighetsmått.pdf", "Öppna PDF")</f>
        <v/>
      </c>
    </row>
    <row r="1977">
      <c r="A1977" t="inlineStr">
        <is>
          <t>KRAV-AUTO-001976</t>
        </is>
      </c>
      <c r="B1977" t="inlineStr">
        <is>
          <t>ADMIN-INDEX-2026-02-27-00000000125C043F57453246863FE664CAFE6A3F0700950291EA24F0614FB6ACEDB12BF0E31D00000000010C0000950291EA24F0614FB6ACEDB12BF0E31D00002087B17A0000</t>
        </is>
      </c>
      <c r="C1977" t="inlineStr">
        <is>
          <t>cmm4yunly00thcuqwma4a6be2</t>
        </is>
      </c>
      <c r="D1977" t="inlineStr">
        <is>
          <t>http://localhost:8787/api/admin/requirements/documents/cmm4yunly00thcuqwma4a6be2/view</t>
        </is>
      </c>
      <c r="E1977">
        <f>HYPERLÄNK("http://localhost:8787/api/admin/requirements/documents/cmm4yunly00thcuqwma4a6be2/view";"Öppna PDF")</f>
        <v/>
      </c>
      <c r="F1977">
        <f>HYPERLINK("http://localhost:8787/api/admin/requirements/documents/cmm4yunly00thcuqwma4a6be2/view","Open PDF")</f>
        <v/>
      </c>
      <c r="G1977" t="inlineStr">
        <is>
          <t>cmm55w57p0004cuisfrtpqly8</t>
        </is>
      </c>
      <c r="H1977" t="inlineStr">
        <is>
          <t>Beslutsvillkor</t>
        </is>
      </c>
      <c r="I1977" t="inlineStr">
        <is>
          <t>TransportLogistik</t>
        </is>
      </c>
      <c r="J1977" t="inlineStr">
        <is>
          <t>Transportvagar</t>
        </is>
      </c>
      <c r="K1977" t="inlineStr">
        <is>
          <t>Beläggningssäsongen pågår främst under april till december och det lagrade avfallet kommer att transporteras bort till asfaltsverk senast i december varje år.</t>
        </is>
      </c>
      <c r="L1977" t="inlineStr">
        <is>
          <t>Beläggningssäsongen pågår främst under april till december och det lagrade avfallet kommer att transporteras bort till asfaltsverk senast i december varje år.</t>
        </is>
      </c>
      <c r="M1977" t="inlineStr">
        <is>
          <t>BOR</t>
        </is>
      </c>
      <c r="N1977" t="inlineStr">
        <is>
          <t>Miljobalken</t>
        </is>
      </c>
      <c r="O1977" t="inlineStr">
        <is>
          <t>senast i december varje ar</t>
        </is>
      </c>
      <c r="P1977" t="inlineStr"/>
      <c r="Q1977" t="inlineStr"/>
      <c r="R1977" t="inlineStr">
        <is>
          <t>Vid transporter</t>
        </is>
      </c>
      <c r="S1977" t="inlineStr"/>
      <c r="T1977" t="inlineStr">
        <is>
          <t>52 0140</t>
        </is>
      </c>
      <c r="U1977" t="inlineStr"/>
      <c r="V1977" t="inlineStr"/>
      <c r="W1977" t="inlineStr">
        <is>
          <t>Nej</t>
        </is>
      </c>
      <c r="X1977" t="inlineStr">
        <is>
          <t>Nej</t>
        </is>
      </c>
      <c r="Y1977" t="inlineStr">
        <is>
          <t>Nej</t>
        </is>
      </c>
      <c r="Z1977" t="inlineStr">
        <is>
          <t>Ja</t>
        </is>
      </c>
      <c r="AA1977" t="n">
        <v>9</v>
      </c>
      <c r="AB1977" t="inlineStr">
        <is>
          <t>Transporter och logistik</t>
        </is>
      </c>
      <c r="AC1977" t="inlineStr">
        <is>
          <t>Trafikplan</t>
        </is>
      </c>
      <c r="AD1977" t="inlineStr">
        <is>
          <t>Nej</t>
        </is>
      </c>
      <c r="AE1977" t="inlineStr">
        <is>
          <t>Nej</t>
        </is>
      </c>
      <c r="AF1977" t="inlineStr">
        <is>
          <t>Ej behandlad</t>
        </is>
      </c>
      <c r="AG1977" t="inlineStr">
        <is>
          <t>AUTO_GENERERAD. Verifiera citat mot kallfil.</t>
        </is>
      </c>
      <c r="AH1977" t="inlineStr">
        <is>
          <t>HIGH</t>
        </is>
      </c>
      <c r="AI1977" t="inlineStr">
        <is>
          <t>AUTO</t>
        </is>
      </c>
      <c r="AJ1977" t="inlineStr">
        <is>
          <t>Nej</t>
        </is>
      </c>
      <c r="AK1977" t="inlineStr"/>
      <c r="AL1977" t="inlineStr"/>
      <c r="AM1977" t="inlineStr"/>
      <c r="AN1977" t="inlineStr"/>
      <c r="AO1977" t="inlineStr">
        <is>
          <t>cmm4yunma00ttcuqwanbvb8ob</t>
        </is>
      </c>
      <c r="AP1977" t="inlineStr">
        <is>
          <t>http://localhost:8787/api/admin/requirements/documents/cmm4yunma00ttcuqwanbvb8ob/view</t>
        </is>
      </c>
      <c r="AQ1977">
        <f>HYPERLÄNK("http://localhost:8787/api/admin/requirements/documents/cmm4yunma00ttcuqwanbvb8ob/view";"Öppna PDF")</f>
        <v/>
      </c>
      <c r="AR1977">
        <f>HYPERLINK("http://localhost:8787/api/admin/requirements/documents/cmm4yunma00ttcuqwanbvb8ob/view","Open PDF")</f>
        <v/>
      </c>
      <c r="AS1977" t="inlineStr">
        <is>
          <t>cmm55w57p0004cuisfrtpqly8</t>
        </is>
      </c>
      <c r="AT1977" t="inlineStr">
        <is>
          <t>cmm4xvu980000cuh4vj0usz09</t>
        </is>
      </c>
      <c r="AU1977" t="inlineStr">
        <is>
          <t>Besöksadress Telefon E-post Webb Tranås</t>
        </is>
      </c>
      <c r="AV1977" t="inlineStr">
        <is>
          <t>Kommun</t>
        </is>
      </c>
      <c r="AW1977" t="inlineStr">
        <is>
          <t>Besöksadress Telefon E-post Webb Tranås kommun</t>
        </is>
      </c>
      <c r="AX1977" t="inlineStr">
        <is>
          <t>2025-12</t>
        </is>
      </c>
      <c r="AY1977" t="inlineStr">
        <is>
          <t>Forelaggande</t>
        </is>
      </c>
      <c r="AZ1977" t="inlineStr">
        <is>
          <t>2026-02-03</t>
        </is>
      </c>
      <c r="BA1977" t="inlineStr">
        <is>
          <t>M-2025-911-6-Föreläggande försiktighetsmått.pdf</t>
        </is>
      </c>
      <c r="BB1977" t="inlineStr">
        <is>
          <t>Handlingar</t>
        </is>
      </c>
      <c r="BC1977" t="inlineStr">
        <is>
          <t>AUTO</t>
        </is>
      </c>
      <c r="BD1977" t="inlineStr"/>
      <c r="BE1977" t="inlineStr"/>
      <c r="BF1977" t="inlineStr">
        <is>
          <t>AUTO_GENERERAD. Bekrafta metadata mot kallfil.</t>
        </is>
      </c>
      <c r="BG1977">
        <f>HYPERLINK("C:\Users\jimmy\Desktop\Examens arbete\Kod\Ny mapp\remix_-copy-of-miljöbeslut.se-portal\M-2025-911-6-Föreläggande försiktighetsmått.pdf", "Öppna PDF")</f>
        <v/>
      </c>
    </row>
    <row r="1978">
      <c r="A1978" t="inlineStr">
        <is>
          <t>KRAV-AUTO-001977</t>
        </is>
      </c>
      <c r="B1978" t="inlineStr">
        <is>
          <t>ADMIN-INDEX-2026-02-27-00000000125C043F57453246863FE664CAFE6A3F0700950291EA24F0614FB6ACEDB12BF0E31D00000000010C0000950291EA24F0614FB6ACEDB12BF0E31D00002087B17B0000</t>
        </is>
      </c>
      <c r="C1978" t="inlineStr">
        <is>
          <t>cmm4yunls00tbcuqwdvin6pe1</t>
        </is>
      </c>
      <c r="D1978" t="inlineStr">
        <is>
          <t>http://localhost:8787/api/admin/requirements/documents/cmm4yunls00tbcuqwdvin6pe1/view</t>
        </is>
      </c>
      <c r="E1978">
        <f>HYPERLÄNK("http://localhost:8787/api/admin/requirements/documents/cmm4yunls00tbcuqwdvin6pe1/view";"Öppna PDF")</f>
        <v/>
      </c>
      <c r="F1978">
        <f>HYPERLINK("http://localhost:8787/api/admin/requirements/documents/cmm4yunls00tbcuqwdvin6pe1/view","Open PDF")</f>
        <v/>
      </c>
      <c r="G1978" t="inlineStr">
        <is>
          <t>cmm55w57p0004cuisfrtpqly8</t>
        </is>
      </c>
      <c r="H1978" t="inlineStr">
        <is>
          <t>Kompletteringskrav</t>
        </is>
      </c>
      <c r="I1978" t="inlineStr">
        <is>
          <t>Riskhantering</t>
        </is>
      </c>
      <c r="J1978" t="inlineStr">
        <is>
          <t>Riskkontroll</t>
        </is>
      </c>
      <c r="K1978" t="inlineStr">
        <is>
          <t>Förvaring ska ske utan åtkomst för obehöriga, utan risk för påkörning och skyddat från nederbörd.</t>
        </is>
      </c>
      <c r="L1978" t="inlineStr">
        <is>
          <t>Förvaring ska ske utan åtkomst för obehöriga, utan risk för påkörning och skyddat från nederbörd.</t>
        </is>
      </c>
      <c r="M1978" t="inlineStr">
        <is>
          <t>SKA</t>
        </is>
      </c>
      <c r="N1978" t="inlineStr"/>
      <c r="O1978" t="inlineStr"/>
      <c r="P1978" t="inlineStr"/>
      <c r="Q1978" t="inlineStr"/>
      <c r="R1978" t="inlineStr">
        <is>
          <t>Vid risk for incident</t>
        </is>
      </c>
      <c r="S1978" t="inlineStr"/>
      <c r="T1978" t="inlineStr">
        <is>
          <t>52 0140</t>
        </is>
      </c>
      <c r="U1978" t="inlineStr"/>
      <c r="V1978" t="inlineStr"/>
      <c r="W1978" t="inlineStr">
        <is>
          <t>Nej</t>
        </is>
      </c>
      <c r="X1978" t="inlineStr">
        <is>
          <t>Nej</t>
        </is>
      </c>
      <c r="Y1978" t="inlineStr">
        <is>
          <t>Ja</t>
        </is>
      </c>
      <c r="Z1978" t="inlineStr">
        <is>
          <t>Ja</t>
        </is>
      </c>
      <c r="AA1978" t="n">
        <v>8</v>
      </c>
      <c r="AB1978" t="inlineStr">
        <is>
          <t>Riskhantering</t>
        </is>
      </c>
      <c r="AC1978" t="inlineStr">
        <is>
          <t>Risk-PM</t>
        </is>
      </c>
      <c r="AD1978" t="inlineStr">
        <is>
          <t>Nej</t>
        </is>
      </c>
      <c r="AE1978" t="inlineStr">
        <is>
          <t>Nej</t>
        </is>
      </c>
      <c r="AF1978" t="inlineStr">
        <is>
          <t>Ej behandlad</t>
        </is>
      </c>
      <c r="AG1978" t="inlineStr">
        <is>
          <t>AUTO_GENERERAD. Verifiera citat mot kallfil.</t>
        </is>
      </c>
      <c r="AH1978" t="inlineStr">
        <is>
          <t>MEDIUM</t>
        </is>
      </c>
      <c r="AI1978" t="inlineStr">
        <is>
          <t>AUTO</t>
        </is>
      </c>
      <c r="AJ1978" t="inlineStr">
        <is>
          <t>Nej</t>
        </is>
      </c>
      <c r="AK1978" t="inlineStr"/>
      <c r="AL1978" t="inlineStr"/>
      <c r="AM1978" t="inlineStr"/>
      <c r="AN1978" t="inlineStr"/>
      <c r="AO1978" t="inlineStr">
        <is>
          <t>cmm4yunls00tbcuqwdvin6pe1</t>
        </is>
      </c>
      <c r="AP1978" t="inlineStr">
        <is>
          <t>http://localhost:8787/api/admin/requirements/documents/cmm4yunls00tbcuqwdvin6pe1/view</t>
        </is>
      </c>
      <c r="AQ1978">
        <f>HYPERLÄNK("http://localhost:8787/api/admin/requirements/documents/cmm4yunls00tbcuqwdvin6pe1/view";"Öppna PDF")</f>
        <v/>
      </c>
      <c r="AR1978">
        <f>HYPERLINK("http://localhost:8787/api/admin/requirements/documents/cmm4yunls00tbcuqwdvin6pe1/view","Open PDF")</f>
        <v/>
      </c>
      <c r="AS1978" t="inlineStr">
        <is>
          <t>cmm55w57p0004cuisfrtpqly8</t>
        </is>
      </c>
      <c r="AT1978" t="inlineStr">
        <is>
          <t>cmm4xvu980000cuh4vj0usz09</t>
        </is>
      </c>
      <c r="AU1978" t="inlineStr">
        <is>
          <t>Besöksadress Telefon E-post Webb Tranås</t>
        </is>
      </c>
      <c r="AV1978" t="inlineStr">
        <is>
          <t>Kommun</t>
        </is>
      </c>
      <c r="AW1978" t="inlineStr">
        <is>
          <t>Besöksadress Telefon E-post Webb Tranås kommun</t>
        </is>
      </c>
      <c r="AX1978" t="inlineStr">
        <is>
          <t>2025-12</t>
        </is>
      </c>
      <c r="AY1978" t="inlineStr">
        <is>
          <t>Forelaggande</t>
        </is>
      </c>
      <c r="AZ1978" t="inlineStr">
        <is>
          <t>2026-02-03</t>
        </is>
      </c>
      <c r="BA1978" t="inlineStr">
        <is>
          <t>M-2025-911-6-Föreläggande försiktighetsmått.pdf</t>
        </is>
      </c>
      <c r="BB1978" t="inlineStr">
        <is>
          <t>Handlingar</t>
        </is>
      </c>
      <c r="BC1978" t="inlineStr">
        <is>
          <t>AUTO</t>
        </is>
      </c>
      <c r="BD1978" t="inlineStr"/>
      <c r="BE1978" t="inlineStr"/>
      <c r="BF1978" t="inlineStr">
        <is>
          <t>AUTO_GENERERAD. Bekrafta metadata mot kallfil.</t>
        </is>
      </c>
      <c r="BG1978">
        <f>HYPERLINK("C:\Users\jimmy\Desktop\Examens arbete\Kod\Ny mapp\remix_-copy-of-miljöbeslut.se-portal\M-2025-911-6-Föreläggande försiktighetsmått.pdf", "Öppna PDF")</f>
        <v/>
      </c>
    </row>
    <row r="1979">
      <c r="A1979" t="inlineStr">
        <is>
          <t>KRAV-AUTO-001978</t>
        </is>
      </c>
      <c r="B1979" t="inlineStr">
        <is>
          <t>ADMIN-INDEX-2026-02-27-00000000125C043F57453246863FE664CAFE6A3F0700950291EA24F0614FB6ACEDB12BF0E31D00000000010C0000950291EA24F0614FB6ACEDB12BF0E31D00002087B17B0000</t>
        </is>
      </c>
      <c r="C1979" t="inlineStr">
        <is>
          <t>cmm4yunls00tbcuqwdvin6pe1</t>
        </is>
      </c>
      <c r="D1979" t="inlineStr">
        <is>
          <t>http://localhost:8787/api/admin/requirements/documents/cmm4yunls00tbcuqwdvin6pe1/view</t>
        </is>
      </c>
      <c r="E1979">
        <f>HYPERLÄNK("http://localhost:8787/api/admin/requirements/documents/cmm4yunls00tbcuqwdvin6pe1/view";"Öppna PDF")</f>
        <v/>
      </c>
      <c r="F1979">
        <f>HYPERLINK("http://localhost:8787/api/admin/requirements/documents/cmm4yunls00tbcuqwdvin6pe1/view","Open PDF")</f>
        <v/>
      </c>
      <c r="G1979" t="inlineStr">
        <is>
          <t>cmm55w57p0004cuisfrtpqly8</t>
        </is>
      </c>
      <c r="H1979" t="inlineStr">
        <is>
          <t>Kompletteringskrav</t>
        </is>
      </c>
      <c r="I1979" t="inlineStr">
        <is>
          <t>Ytkonstruktion</t>
        </is>
      </c>
      <c r="J1979" t="inlineStr">
        <is>
          <t>Tat yta</t>
        </is>
      </c>
      <c r="K1979" t="inlineStr">
        <is>
          <t>Kemikalier ska förvaras inlåsta och i spillsäker invallning som rymmer hela volymen av den största behållaren plus 10 procent av resterande behållares volym.</t>
        </is>
      </c>
      <c r="L1979" t="inlineStr">
        <is>
          <t>Kemikalier ska förvaras inlåsta och i spillsäker invallning som rymmer hela volymen av den största behållaren plus 10 procent av resterande behållares volym.</t>
        </is>
      </c>
      <c r="M1979" t="inlineStr">
        <is>
          <t>SKA</t>
        </is>
      </c>
      <c r="N1979" t="inlineStr"/>
      <c r="O1979" t="inlineStr"/>
      <c r="P1979" t="inlineStr"/>
      <c r="Q1979" t="inlineStr"/>
      <c r="R1979" t="inlineStr">
        <is>
          <t>Vid mellanlagring av avfall</t>
        </is>
      </c>
      <c r="S1979" t="inlineStr"/>
      <c r="T1979" t="inlineStr">
        <is>
          <t>52 0140</t>
        </is>
      </c>
      <c r="U1979" t="inlineStr"/>
      <c r="V1979" t="inlineStr"/>
      <c r="W1979" t="inlineStr">
        <is>
          <t>Ja</t>
        </is>
      </c>
      <c r="X1979" t="inlineStr">
        <is>
          <t>Nej</t>
        </is>
      </c>
      <c r="Y1979" t="inlineStr">
        <is>
          <t>Nej</t>
        </is>
      </c>
      <c r="Z1979" t="inlineStr">
        <is>
          <t>Nej</t>
        </is>
      </c>
      <c r="AA1979" t="n">
        <v>5</v>
      </c>
      <c r="AB1979" t="inlineStr">
        <is>
          <t>Teknisk beskrivning av platta</t>
        </is>
      </c>
      <c r="AC1979" t="inlineStr">
        <is>
          <t>Teknisk ritning platta</t>
        </is>
      </c>
      <c r="AD1979" t="inlineStr">
        <is>
          <t>Nej</t>
        </is>
      </c>
      <c r="AE1979" t="inlineStr">
        <is>
          <t>Nej</t>
        </is>
      </c>
      <c r="AF1979" t="inlineStr">
        <is>
          <t>Ej behandlad</t>
        </is>
      </c>
      <c r="AG1979" t="inlineStr">
        <is>
          <t>AUTO_GENERERAD. Verifiera citat mot kallfil.</t>
        </is>
      </c>
      <c r="AH1979" t="inlineStr">
        <is>
          <t>MEDIUM</t>
        </is>
      </c>
      <c r="AI1979" t="inlineStr">
        <is>
          <t>AUTO</t>
        </is>
      </c>
      <c r="AJ1979" t="inlineStr">
        <is>
          <t>Nej</t>
        </is>
      </c>
      <c r="AK1979" t="inlineStr"/>
      <c r="AL1979" t="inlineStr"/>
      <c r="AM1979" t="inlineStr"/>
      <c r="AN1979" t="inlineStr"/>
      <c r="AO1979" t="inlineStr">
        <is>
          <t>cmm4yunls00tbcuqwdvin6pe1</t>
        </is>
      </c>
      <c r="AP1979" t="inlineStr">
        <is>
          <t>http://localhost:8787/api/admin/requirements/documents/cmm4yunls00tbcuqwdvin6pe1/view</t>
        </is>
      </c>
      <c r="AQ1979">
        <f>HYPERLÄNK("http://localhost:8787/api/admin/requirements/documents/cmm4yunls00tbcuqwdvin6pe1/view";"Öppna PDF")</f>
        <v/>
      </c>
      <c r="AR1979">
        <f>HYPERLINK("http://localhost:8787/api/admin/requirements/documents/cmm4yunls00tbcuqwdvin6pe1/view","Open PDF")</f>
        <v/>
      </c>
      <c r="AS1979" t="inlineStr">
        <is>
          <t>cmm55w57p0004cuisfrtpqly8</t>
        </is>
      </c>
      <c r="AT1979" t="inlineStr">
        <is>
          <t>cmm4xvu980000cuh4vj0usz09</t>
        </is>
      </c>
      <c r="AU1979" t="inlineStr">
        <is>
          <t>Besöksadress Telefon E-post Webb Tranås</t>
        </is>
      </c>
      <c r="AV1979" t="inlineStr">
        <is>
          <t>Kommun</t>
        </is>
      </c>
      <c r="AW1979" t="inlineStr">
        <is>
          <t>Besöksadress Telefon E-post Webb Tranås kommun</t>
        </is>
      </c>
      <c r="AX1979" t="inlineStr">
        <is>
          <t>2025-12</t>
        </is>
      </c>
      <c r="AY1979" t="inlineStr">
        <is>
          <t>Forelaggande</t>
        </is>
      </c>
      <c r="AZ1979" t="inlineStr">
        <is>
          <t>2026-02-03</t>
        </is>
      </c>
      <c r="BA1979" t="inlineStr">
        <is>
          <t>M-2025-911-6-Föreläggande försiktighetsmått.pdf</t>
        </is>
      </c>
      <c r="BB1979" t="inlineStr">
        <is>
          <t>Handlingar</t>
        </is>
      </c>
      <c r="BC1979" t="inlineStr">
        <is>
          <t>AUTO</t>
        </is>
      </c>
      <c r="BD1979" t="inlineStr"/>
      <c r="BE1979" t="inlineStr"/>
      <c r="BF1979" t="inlineStr">
        <is>
          <t>AUTO_GENERERAD. Bekrafta metadata mot kallfil.</t>
        </is>
      </c>
      <c r="BG1979">
        <f>HYPERLINK("C:\Users\jimmy\Desktop\Examens arbete\Kod\Ny mapp\remix_-copy-of-miljöbeslut.se-portal\M-2025-911-6-Föreläggande försiktighetsmått.pdf", "Öppna PDF")</f>
        <v/>
      </c>
    </row>
    <row r="1980">
      <c r="A1980" t="inlineStr">
        <is>
          <t>KRAV-AUTO-001979</t>
        </is>
      </c>
      <c r="B1980" t="inlineStr">
        <is>
          <t>ADMIN-INDEX-2026-02-27-00000000125C043F57453246863FE664CAFE6A3F0700950291EA24F0614FB6ACEDB12BF0E31D00000000010C0000950291EA24F0614FB6ACEDB12BF0E31D00002087B17B0000</t>
        </is>
      </c>
      <c r="C1980" t="inlineStr">
        <is>
          <t>cmm4yunls00tbcuqwdvin6pe1</t>
        </is>
      </c>
      <c r="D1980" t="inlineStr">
        <is>
          <t>http://localhost:8787/api/admin/requirements/documents/cmm4yunls00tbcuqwdvin6pe1/view</t>
        </is>
      </c>
      <c r="E1980">
        <f>HYPERLÄNK("http://localhost:8787/api/admin/requirements/documents/cmm4yunls00tbcuqwdvin6pe1/view";"Öppna PDF")</f>
        <v/>
      </c>
      <c r="F1980">
        <f>HYPERLINK("http://localhost:8787/api/admin/requirements/documents/cmm4yunls00tbcuqwdvin6pe1/view","Open PDF")</f>
        <v/>
      </c>
      <c r="G1980" t="inlineStr">
        <is>
          <t>cmm55w57p0004cuisfrtpqly8</t>
        </is>
      </c>
      <c r="H1980" t="inlineStr">
        <is>
          <t>Kompletteringskrav</t>
        </is>
      </c>
      <c r="I1980" t="inlineStr">
        <is>
          <t>MiljopaverkanForsiktighet</t>
        </is>
      </c>
      <c r="J1980" t="inlineStr">
        <is>
          <t>Skyddsatgarder</t>
        </is>
      </c>
      <c r="K1980" t="inlineStr">
        <is>
          <t>Avfallet som lagras ska begränsas till avfallskod 17 03 02 d.v.s.</t>
        </is>
      </c>
      <c r="L1980" t="inlineStr">
        <is>
          <t>Avfallet som lagras ska begränsas till avfallskod 17 03 02 d.v.s.</t>
        </is>
      </c>
      <c r="M1980" t="inlineStr">
        <is>
          <t>SKA</t>
        </is>
      </c>
      <c r="N1980" t="inlineStr"/>
      <c r="O1980" t="inlineStr"/>
      <c r="P1980" t="inlineStr"/>
      <c r="Q1980" t="inlineStr"/>
      <c r="R1980" t="inlineStr">
        <is>
          <t>Alltid</t>
        </is>
      </c>
      <c r="S1980" t="inlineStr"/>
      <c r="T1980" t="inlineStr">
        <is>
          <t>17 03 02</t>
        </is>
      </c>
      <c r="U1980" t="inlineStr"/>
      <c r="V1980" t="inlineStr"/>
      <c r="W1980" t="inlineStr">
        <is>
          <t>Nej</t>
        </is>
      </c>
      <c r="X1980" t="inlineStr">
        <is>
          <t>Nej</t>
        </is>
      </c>
      <c r="Y1980" t="inlineStr">
        <is>
          <t>Nej</t>
        </is>
      </c>
      <c r="Z1980" t="inlineStr">
        <is>
          <t>Nej</t>
        </is>
      </c>
      <c r="AA1980" t="n">
        <v>10</v>
      </c>
      <c r="AB1980" t="inlineStr">
        <is>
          <t>Miljopaverkan och forsiktighetsmatt</t>
        </is>
      </c>
      <c r="AC1980" t="inlineStr">
        <is>
          <t>Miljo-PM</t>
        </is>
      </c>
      <c r="AD1980" t="inlineStr">
        <is>
          <t>Nej</t>
        </is>
      </c>
      <c r="AE1980" t="inlineStr">
        <is>
          <t>Nej</t>
        </is>
      </c>
      <c r="AF1980" t="inlineStr">
        <is>
          <t>Ej behandlad</t>
        </is>
      </c>
      <c r="AG1980" t="inlineStr">
        <is>
          <t>AUTO_GENERERAD. Verifiera citat mot kallfil.</t>
        </is>
      </c>
      <c r="AH1980" t="inlineStr">
        <is>
          <t>MEDIUM</t>
        </is>
      </c>
      <c r="AI1980" t="inlineStr">
        <is>
          <t>AUTO</t>
        </is>
      </c>
      <c r="AJ1980" t="inlineStr">
        <is>
          <t>Nej</t>
        </is>
      </c>
      <c r="AK1980" t="inlineStr"/>
      <c r="AL1980" t="inlineStr"/>
      <c r="AM1980" t="inlineStr"/>
      <c r="AN1980" t="inlineStr"/>
      <c r="AO1980" t="inlineStr">
        <is>
          <t>cmm4yunls00tbcuqwdvin6pe1</t>
        </is>
      </c>
      <c r="AP1980" t="inlineStr">
        <is>
          <t>http://localhost:8787/api/admin/requirements/documents/cmm4yunls00tbcuqwdvin6pe1/view</t>
        </is>
      </c>
      <c r="AQ1980">
        <f>HYPERLÄNK("http://localhost:8787/api/admin/requirements/documents/cmm4yunls00tbcuqwdvin6pe1/view";"Öppna PDF")</f>
        <v/>
      </c>
      <c r="AR1980">
        <f>HYPERLINK("http://localhost:8787/api/admin/requirements/documents/cmm4yunls00tbcuqwdvin6pe1/view","Open PDF")</f>
        <v/>
      </c>
      <c r="AS1980" t="inlineStr">
        <is>
          <t>cmm55w57p0004cuisfrtpqly8</t>
        </is>
      </c>
      <c r="AT1980" t="inlineStr">
        <is>
          <t>cmm4xvu980000cuh4vj0usz09</t>
        </is>
      </c>
      <c r="AU1980" t="inlineStr">
        <is>
          <t>Besöksadress Telefon E-post Webb Tranås</t>
        </is>
      </c>
      <c r="AV1980" t="inlineStr">
        <is>
          <t>Kommun</t>
        </is>
      </c>
      <c r="AW1980" t="inlineStr">
        <is>
          <t>Besöksadress Telefon E-post Webb Tranås kommun</t>
        </is>
      </c>
      <c r="AX1980" t="inlineStr">
        <is>
          <t>2025-12</t>
        </is>
      </c>
      <c r="AY1980" t="inlineStr">
        <is>
          <t>Forelaggande</t>
        </is>
      </c>
      <c r="AZ1980" t="inlineStr">
        <is>
          <t>2026-02-03</t>
        </is>
      </c>
      <c r="BA1980" t="inlineStr">
        <is>
          <t>M-2025-911-6-Föreläggande försiktighetsmått.pdf</t>
        </is>
      </c>
      <c r="BB1980" t="inlineStr">
        <is>
          <t>Handlingar</t>
        </is>
      </c>
      <c r="BC1980" t="inlineStr">
        <is>
          <t>AUTO</t>
        </is>
      </c>
      <c r="BD1980" t="inlineStr"/>
      <c r="BE1980" t="inlineStr"/>
      <c r="BF1980" t="inlineStr">
        <is>
          <t>AUTO_GENERERAD. Bekrafta metadata mot kallfil.</t>
        </is>
      </c>
      <c r="BG1980">
        <f>HYPERLINK("C:\Users\jimmy\Desktop\Examens arbete\Kod\Ny mapp\remix_-copy-of-miljöbeslut.se-portal\M-2025-911-6-Föreläggande försiktighetsmått.pdf", "Öppna PDF")</f>
        <v/>
      </c>
    </row>
    <row r="1981">
      <c r="A1981" t="inlineStr">
        <is>
          <t>KRAV-AUTO-001980</t>
        </is>
      </c>
      <c r="B1981" t="inlineStr">
        <is>
          <t>ADMIN-INDEX-2026-02-27-00000000125C043F57453246863FE664CAFE6A3F0700950291EA24F0614FB6ACEDB12BF0E31D00000000010C0000950291EA24F0614FB6ACEDB12BF0E31D00002087B17B0000</t>
        </is>
      </c>
      <c r="C1981" t="inlineStr">
        <is>
          <t>cmm4yunlp00t8cuqwj856u0xu</t>
        </is>
      </c>
      <c r="D1981" t="inlineStr">
        <is>
          <t>http://localhost:8787/api/admin/requirements/documents/cmm4yunlp00t8cuqwj856u0xu/view</t>
        </is>
      </c>
      <c r="E1981">
        <f>HYPERLÄNK("http://localhost:8787/api/admin/requirements/documents/cmm4yunlp00t8cuqwj856u0xu/view";"Öppna PDF")</f>
        <v/>
      </c>
      <c r="F1981">
        <f>HYPERLINK("http://localhost:8787/api/admin/requirements/documents/cmm4yunlp00t8cuqwj856u0xu/view","Open PDF")</f>
        <v/>
      </c>
      <c r="G1981" t="inlineStr">
        <is>
          <t>cmm55w57p0004cuisfrtpqly8</t>
        </is>
      </c>
      <c r="H1981" t="inlineStr">
        <is>
          <t>Informationskrav</t>
        </is>
      </c>
      <c r="I1981" t="inlineStr">
        <is>
          <t>DagvattenLakvatten</t>
        </is>
      </c>
      <c r="J1981" t="inlineStr">
        <is>
          <t>Uppsamling</t>
        </is>
      </c>
      <c r="K1981" t="inlineStr">
        <is>
          <t>Fenol i lakvatten från kolonn var ej påvisbart med detektionsgräns av ca 1 μg/l.4 Eftersom inte asfalt som innehåller stenkolstjära avses att hanteras på ytan är risken för att asfalt ska laka förorenande ämnen minimal.</t>
        </is>
      </c>
      <c r="L1981" t="inlineStr">
        <is>
          <t>Fenol i lakvatten från kolonn var ej påvisbart med detektionsgräns av ca 1 μg/l.4 Eftersom inte asfalt som innehåller stenkolstjära avses att hanteras på ytan är risken för att asfalt ska laka förorenande ämnen minimal.</t>
        </is>
      </c>
      <c r="M1981" t="inlineStr">
        <is>
          <t>SKA</t>
        </is>
      </c>
      <c r="N1981" t="inlineStr"/>
      <c r="O1981" t="inlineStr"/>
      <c r="P1981" t="inlineStr"/>
      <c r="Q1981" t="inlineStr"/>
      <c r="R1981" t="inlineStr">
        <is>
          <t>Vid nederbord och avrinning</t>
        </is>
      </c>
      <c r="S1981" t="inlineStr"/>
      <c r="T1981" t="inlineStr"/>
      <c r="U1981" t="inlineStr"/>
      <c r="V1981" t="inlineStr"/>
      <c r="W1981" t="inlineStr">
        <is>
          <t>Nej</t>
        </is>
      </c>
      <c r="X1981" t="inlineStr">
        <is>
          <t>Ja</t>
        </is>
      </c>
      <c r="Y1981" t="inlineStr">
        <is>
          <t>Ja</t>
        </is>
      </c>
      <c r="Z1981" t="inlineStr">
        <is>
          <t>Nej</t>
        </is>
      </c>
      <c r="AA1981" t="n">
        <v>6</v>
      </c>
      <c r="AB1981" t="inlineStr">
        <is>
          <t>Lakvattenhantering</t>
        </is>
      </c>
      <c r="AC1981" t="inlineStr">
        <is>
          <t>Flodesschema dagvatten-lakvatten</t>
        </is>
      </c>
      <c r="AD1981" t="inlineStr">
        <is>
          <t>Nej</t>
        </is>
      </c>
      <c r="AE1981" t="inlineStr">
        <is>
          <t>Nej</t>
        </is>
      </c>
      <c r="AF1981" t="inlineStr">
        <is>
          <t>Ej behandlad</t>
        </is>
      </c>
      <c r="AG1981" t="inlineStr">
        <is>
          <t>AUTO_GENERERAD. Verifiera citat mot kallfil.</t>
        </is>
      </c>
      <c r="AH1981" t="inlineStr">
        <is>
          <t>MEDIUM</t>
        </is>
      </c>
      <c r="AI1981" t="inlineStr">
        <is>
          <t>AUTO</t>
        </is>
      </c>
      <c r="AJ1981" t="inlineStr">
        <is>
          <t>Nej</t>
        </is>
      </c>
      <c r="AK1981" t="inlineStr"/>
      <c r="AL1981" t="inlineStr"/>
      <c r="AM1981" t="inlineStr"/>
      <c r="AN1981" t="inlineStr"/>
      <c r="AO1981" t="inlineStr">
        <is>
          <t>cmm4yunls00tbcuqwdvin6pe1</t>
        </is>
      </c>
      <c r="AP1981" t="inlineStr">
        <is>
          <t>http://localhost:8787/api/admin/requirements/documents/cmm4yunls00tbcuqwdvin6pe1/view</t>
        </is>
      </c>
      <c r="AQ1981">
        <f>HYPERLÄNK("http://localhost:8787/api/admin/requirements/documents/cmm4yunls00tbcuqwdvin6pe1/view";"Öppna PDF")</f>
        <v/>
      </c>
      <c r="AR1981">
        <f>HYPERLINK("http://localhost:8787/api/admin/requirements/documents/cmm4yunls00tbcuqwdvin6pe1/view","Open PDF")</f>
        <v/>
      </c>
      <c r="AS1981" t="inlineStr">
        <is>
          <t>cmm55w57p0004cuisfrtpqly8</t>
        </is>
      </c>
      <c r="AT1981" t="inlineStr">
        <is>
          <t>cmm4xvu980000cuh4vj0usz09</t>
        </is>
      </c>
      <c r="AU1981" t="inlineStr">
        <is>
          <t>Besöksadress Telefon E-post Webb Tranås</t>
        </is>
      </c>
      <c r="AV1981" t="inlineStr">
        <is>
          <t>Kommun</t>
        </is>
      </c>
      <c r="AW1981" t="inlineStr">
        <is>
          <t>Besöksadress Telefon E-post Webb Tranås kommun</t>
        </is>
      </c>
      <c r="AX1981" t="inlineStr">
        <is>
          <t>2025-12</t>
        </is>
      </c>
      <c r="AY1981" t="inlineStr">
        <is>
          <t>Forelaggande</t>
        </is>
      </c>
      <c r="AZ1981" t="inlineStr">
        <is>
          <t>2026-02-03</t>
        </is>
      </c>
      <c r="BA1981" t="inlineStr">
        <is>
          <t>M-2025-911-6-Föreläggande försiktighetsmått.pdf</t>
        </is>
      </c>
      <c r="BB1981" t="inlineStr">
        <is>
          <t>Handlingar</t>
        </is>
      </c>
      <c r="BC1981" t="inlineStr">
        <is>
          <t>AUTO</t>
        </is>
      </c>
      <c r="BD1981" t="inlineStr"/>
      <c r="BE1981" t="inlineStr"/>
      <c r="BF1981" t="inlineStr">
        <is>
          <t>AUTO_GENERERAD. Bekrafta metadata mot kallfil.</t>
        </is>
      </c>
      <c r="BG1981">
        <f>HYPERLINK("C:\Users\jimmy\Desktop\Examens arbete\Kod\Ny mapp\remix_-copy-of-miljöbeslut.se-portal\M-2025-911-6-Föreläggande försiktighetsmått.pdf", "Öppna PDF")</f>
        <v/>
      </c>
    </row>
    <row r="1982">
      <c r="A1982" t="inlineStr">
        <is>
          <t>KRAV-AUTO-001981</t>
        </is>
      </c>
      <c r="B1982" t="inlineStr">
        <is>
          <t>ADMIN-INDEX-2026-02-27-00000000125C043F57453246863FE664CAFE6A3F0700950291EA24F0614FB6ACEDB12BF0E31D00000000010C0000950291EA24F0614FB6ACEDB12BF0E31D00002087B17B0000</t>
        </is>
      </c>
      <c r="C1982" t="inlineStr">
        <is>
          <t>cmm4yunlp00t8cuqwj856u0xu</t>
        </is>
      </c>
      <c r="D1982" t="inlineStr">
        <is>
          <t>http://localhost:8787/api/admin/requirements/documents/cmm4yunlp00t8cuqwj856u0xu/view</t>
        </is>
      </c>
      <c r="E1982">
        <f>HYPERLÄNK("http://localhost:8787/api/admin/requirements/documents/cmm4yunlp00t8cuqwj856u0xu/view";"Öppna PDF")</f>
        <v/>
      </c>
      <c r="F1982">
        <f>HYPERLINK("http://localhost:8787/api/admin/requirements/documents/cmm4yunlp00t8cuqwj856u0xu/view","Open PDF")</f>
        <v/>
      </c>
      <c r="G1982" t="inlineStr">
        <is>
          <t>cmm55w57p0004cuisfrtpqly8</t>
        </is>
      </c>
      <c r="H1982" t="inlineStr">
        <is>
          <t>Informationskrav</t>
        </is>
      </c>
      <c r="I1982" t="inlineStr">
        <is>
          <t>MiljopaverkanForsiktighet</t>
        </is>
      </c>
      <c r="J1982" t="inlineStr">
        <is>
          <t>Skyddsatgarder</t>
        </is>
      </c>
      <c r="K1982" t="inlineStr">
        <is>
          <t>För att det ska vara möjligt att öka återvinningen av asfalt samt att följa mål och riktlinjer måste myndigheters beslut följa med utvecklingen så att insamling och återvinning av avfall kan främjas.</t>
        </is>
      </c>
      <c r="L1982" t="inlineStr">
        <is>
          <t>För att det ska vara möjligt att öka återvinningen av asfalt samt att följa mål och riktlinjer måste myndigheters beslut följa med utvecklingen så att insamling och återvinning av avfall kan främjas.</t>
        </is>
      </c>
      <c r="M1982" t="inlineStr">
        <is>
          <t>SKA</t>
        </is>
      </c>
      <c r="N1982" t="inlineStr"/>
      <c r="O1982" t="inlineStr"/>
      <c r="P1982" t="inlineStr"/>
      <c r="Q1982" t="inlineStr"/>
      <c r="R1982" t="inlineStr">
        <is>
          <t>Alltid</t>
        </is>
      </c>
      <c r="S1982" t="inlineStr"/>
      <c r="T1982" t="inlineStr"/>
      <c r="U1982" t="inlineStr"/>
      <c r="V1982" t="inlineStr"/>
      <c r="W1982" t="inlineStr">
        <is>
          <t>Nej</t>
        </is>
      </c>
      <c r="X1982" t="inlineStr">
        <is>
          <t>Nej</t>
        </is>
      </c>
      <c r="Y1982" t="inlineStr">
        <is>
          <t>Nej</t>
        </is>
      </c>
      <c r="Z1982" t="inlineStr">
        <is>
          <t>Nej</t>
        </is>
      </c>
      <c r="AA1982" t="n">
        <v>10</v>
      </c>
      <c r="AB1982" t="inlineStr">
        <is>
          <t>Miljopaverkan och forsiktighetsmatt</t>
        </is>
      </c>
      <c r="AC1982" t="inlineStr">
        <is>
          <t>Miljo-PM</t>
        </is>
      </c>
      <c r="AD1982" t="inlineStr">
        <is>
          <t>Nej</t>
        </is>
      </c>
      <c r="AE1982" t="inlineStr">
        <is>
          <t>Nej</t>
        </is>
      </c>
      <c r="AF1982" t="inlineStr">
        <is>
          <t>Ej behandlad</t>
        </is>
      </c>
      <c r="AG1982" t="inlineStr">
        <is>
          <t>AUTO_GENERERAD. Verifiera citat mot kallfil.</t>
        </is>
      </c>
      <c r="AH1982" t="inlineStr">
        <is>
          <t>MEDIUM</t>
        </is>
      </c>
      <c r="AI1982" t="inlineStr">
        <is>
          <t>AUTO</t>
        </is>
      </c>
      <c r="AJ1982" t="inlineStr">
        <is>
          <t>Nej</t>
        </is>
      </c>
      <c r="AK1982" t="inlineStr"/>
      <c r="AL1982" t="inlineStr"/>
      <c r="AM1982" t="inlineStr"/>
      <c r="AN1982" t="inlineStr"/>
      <c r="AO1982" t="inlineStr">
        <is>
          <t>cmm4yunls00tbcuqwdvin6pe1</t>
        </is>
      </c>
      <c r="AP1982" t="inlineStr">
        <is>
          <t>http://localhost:8787/api/admin/requirements/documents/cmm4yunls00tbcuqwdvin6pe1/view</t>
        </is>
      </c>
      <c r="AQ1982">
        <f>HYPERLÄNK("http://localhost:8787/api/admin/requirements/documents/cmm4yunls00tbcuqwdvin6pe1/view";"Öppna PDF")</f>
        <v/>
      </c>
      <c r="AR1982">
        <f>HYPERLINK("http://localhost:8787/api/admin/requirements/documents/cmm4yunls00tbcuqwdvin6pe1/view","Open PDF")</f>
        <v/>
      </c>
      <c r="AS1982" t="inlineStr">
        <is>
          <t>cmm55w57p0004cuisfrtpqly8</t>
        </is>
      </c>
      <c r="AT1982" t="inlineStr">
        <is>
          <t>cmm4xvu980000cuh4vj0usz09</t>
        </is>
      </c>
      <c r="AU1982" t="inlineStr">
        <is>
          <t>Besöksadress Telefon E-post Webb Tranås</t>
        </is>
      </c>
      <c r="AV1982" t="inlineStr">
        <is>
          <t>Kommun</t>
        </is>
      </c>
      <c r="AW1982" t="inlineStr">
        <is>
          <t>Besöksadress Telefon E-post Webb Tranås kommun</t>
        </is>
      </c>
      <c r="AX1982" t="inlineStr">
        <is>
          <t>2025-12</t>
        </is>
      </c>
      <c r="AY1982" t="inlineStr">
        <is>
          <t>Forelaggande</t>
        </is>
      </c>
      <c r="AZ1982" t="inlineStr">
        <is>
          <t>2026-02-03</t>
        </is>
      </c>
      <c r="BA1982" t="inlineStr">
        <is>
          <t>M-2025-911-6-Föreläggande försiktighetsmått.pdf</t>
        </is>
      </c>
      <c r="BB1982" t="inlineStr">
        <is>
          <t>Handlingar</t>
        </is>
      </c>
      <c r="BC1982" t="inlineStr">
        <is>
          <t>AUTO</t>
        </is>
      </c>
      <c r="BD1982" t="inlineStr"/>
      <c r="BE1982" t="inlineStr"/>
      <c r="BF1982" t="inlineStr">
        <is>
          <t>AUTO_GENERERAD. Bekrafta metadata mot kallfil.</t>
        </is>
      </c>
      <c r="BG1982">
        <f>HYPERLINK("C:\Users\jimmy\Desktop\Examens arbete\Kod\Ny mapp\remix_-copy-of-miljöbeslut.se-portal\M-2025-911-6-Föreläggande försiktighetsmått.pdf", "Öppna PDF")</f>
        <v/>
      </c>
    </row>
    <row r="1983">
      <c r="A1983" t="inlineStr">
        <is>
          <t>KRAV-AUTO-001982</t>
        </is>
      </c>
      <c r="B1983" t="inlineStr">
        <is>
          <t>ADMIN-INDEX-2026-02-27-00000000125C043F57453246863FE664CAFE6A3F0700950291EA24F0614FB6ACEDB12BF0E31D00000000010C0000950291EA24F0614FB6ACEDB12BF0E31D00002087B17B0000</t>
        </is>
      </c>
      <c r="C1983" t="inlineStr">
        <is>
          <t>cmm4yunlp00t8cuqwj856u0xu</t>
        </is>
      </c>
      <c r="D1983" t="inlineStr">
        <is>
          <t>http://localhost:8787/api/admin/requirements/documents/cmm4yunlp00t8cuqwj856u0xu/view</t>
        </is>
      </c>
      <c r="E1983">
        <f>HYPERLÄNK("http://localhost:8787/api/admin/requirements/documents/cmm4yunlp00t8cuqwj856u0xu/view";"Öppna PDF")</f>
        <v/>
      </c>
      <c r="F1983">
        <f>HYPERLINK("http://localhost:8787/api/admin/requirements/documents/cmm4yunlp00t8cuqwj856u0xu/view","Open PDF")</f>
        <v/>
      </c>
      <c r="G1983" t="inlineStr">
        <is>
          <t>cmm55w57p0004cuisfrtpqly8</t>
        </is>
      </c>
      <c r="H1983" t="inlineStr">
        <is>
          <t>Informationskrav</t>
        </is>
      </c>
      <c r="I1983" t="inlineStr">
        <is>
          <t>Ytkonstruktion</t>
        </is>
      </c>
      <c r="J1983" t="inlineStr">
        <is>
          <t>Tat yta</t>
        </is>
      </c>
      <c r="K1983" t="inlineStr">
        <is>
          <t>Bygg- och miljönämnden Tranås Datum: 2025-12-04 Dnr: M-2025-911-1 -- 7 of 13 -- 8(13) Ytan där asfalt ska lagras innan borttransport för återvinning uppgår till ca 1000 m2 vilket medför en lagringsvolym vid ett enskilt tillfälle om max 100 ton asfalt.</t>
        </is>
      </c>
      <c r="L1983" t="inlineStr">
        <is>
          <t>Bygg- och miljönämnden Tranås Datum: 2025-12-04 Dnr: M-2025-911-1 -- 7 of 13 -- 8(13) Ytan där asfalt ska lagras innan borttransport för återvinning uppgår till ca 1000 m2 vilket medför en lagringsvolym vid ett enskilt tillfälle om max 100 ton asfalt.</t>
        </is>
      </c>
      <c r="M1983" t="inlineStr">
        <is>
          <t>SKA</t>
        </is>
      </c>
      <c r="N1983" t="inlineStr"/>
      <c r="O1983" t="inlineStr">
        <is>
          <t>2025-12-04</t>
        </is>
      </c>
      <c r="P1983" t="inlineStr"/>
      <c r="Q1983" t="inlineStr"/>
      <c r="R1983" t="inlineStr">
        <is>
          <t>Vid mellanlagring av avfall</t>
        </is>
      </c>
      <c r="S1983" t="inlineStr"/>
      <c r="T1983" t="inlineStr"/>
      <c r="U1983" t="n">
        <v>100</v>
      </c>
      <c r="V1983" t="inlineStr"/>
      <c r="W1983" t="inlineStr">
        <is>
          <t>Ja</t>
        </is>
      </c>
      <c r="X1983" t="inlineStr">
        <is>
          <t>Nej</t>
        </is>
      </c>
      <c r="Y1983" t="inlineStr">
        <is>
          <t>Nej</t>
        </is>
      </c>
      <c r="Z1983" t="inlineStr">
        <is>
          <t>Nej</t>
        </is>
      </c>
      <c r="AA1983" t="n">
        <v>5</v>
      </c>
      <c r="AB1983" t="inlineStr">
        <is>
          <t>Teknisk beskrivning av platta</t>
        </is>
      </c>
      <c r="AC1983" t="inlineStr">
        <is>
          <t>Teknisk ritning platta</t>
        </is>
      </c>
      <c r="AD1983" t="inlineStr">
        <is>
          <t>Nej</t>
        </is>
      </c>
      <c r="AE1983" t="inlineStr">
        <is>
          <t>Nej</t>
        </is>
      </c>
      <c r="AF1983" t="inlineStr">
        <is>
          <t>Ej behandlad</t>
        </is>
      </c>
      <c r="AG1983" t="inlineStr">
        <is>
          <t>AUTO_GENERERAD. Verifiera citat mot kallfil.</t>
        </is>
      </c>
      <c r="AH1983" t="inlineStr">
        <is>
          <t>MEDIUM</t>
        </is>
      </c>
      <c r="AI1983" t="inlineStr">
        <is>
          <t>AUTO</t>
        </is>
      </c>
      <c r="AJ1983" t="inlineStr">
        <is>
          <t>Nej</t>
        </is>
      </c>
      <c r="AK1983" t="inlineStr"/>
      <c r="AL1983" t="inlineStr"/>
      <c r="AM1983" t="inlineStr"/>
      <c r="AN1983" t="inlineStr"/>
      <c r="AO1983" t="inlineStr">
        <is>
          <t>cmm4yunls00tbcuqwdvin6pe1</t>
        </is>
      </c>
      <c r="AP1983" t="inlineStr">
        <is>
          <t>http://localhost:8787/api/admin/requirements/documents/cmm4yunls00tbcuqwdvin6pe1/view</t>
        </is>
      </c>
      <c r="AQ1983">
        <f>HYPERLÄNK("http://localhost:8787/api/admin/requirements/documents/cmm4yunls00tbcuqwdvin6pe1/view";"Öppna PDF")</f>
        <v/>
      </c>
      <c r="AR1983">
        <f>HYPERLINK("http://localhost:8787/api/admin/requirements/documents/cmm4yunls00tbcuqwdvin6pe1/view","Open PDF")</f>
        <v/>
      </c>
      <c r="AS1983" t="inlineStr">
        <is>
          <t>cmm55w57p0004cuisfrtpqly8</t>
        </is>
      </c>
      <c r="AT1983" t="inlineStr">
        <is>
          <t>cmm4xvu980000cuh4vj0usz09</t>
        </is>
      </c>
      <c r="AU1983" t="inlineStr">
        <is>
          <t>Besöksadress Telefon E-post Webb Tranås</t>
        </is>
      </c>
      <c r="AV1983" t="inlineStr">
        <is>
          <t>Kommun</t>
        </is>
      </c>
      <c r="AW1983" t="inlineStr">
        <is>
          <t>Besöksadress Telefon E-post Webb Tranås kommun</t>
        </is>
      </c>
      <c r="AX1983" t="inlineStr">
        <is>
          <t>2025-12</t>
        </is>
      </c>
      <c r="AY1983" t="inlineStr">
        <is>
          <t>Forelaggande</t>
        </is>
      </c>
      <c r="AZ1983" t="inlineStr">
        <is>
          <t>2026-02-03</t>
        </is>
      </c>
      <c r="BA1983" t="inlineStr">
        <is>
          <t>M-2025-911-6-Föreläggande försiktighetsmått.pdf</t>
        </is>
      </c>
      <c r="BB1983" t="inlineStr">
        <is>
          <t>Handlingar</t>
        </is>
      </c>
      <c r="BC1983" t="inlineStr">
        <is>
          <t>AUTO</t>
        </is>
      </c>
      <c r="BD1983" t="inlineStr"/>
      <c r="BE1983" t="inlineStr"/>
      <c r="BF1983" t="inlineStr">
        <is>
          <t>AUTO_GENERERAD. Bekrafta metadata mot kallfil.</t>
        </is>
      </c>
      <c r="BG1983">
        <f>HYPERLINK("C:\Users\jimmy\Desktop\Examens arbete\Kod\Ny mapp\remix_-copy-of-miljöbeslut.se-portal\M-2025-911-6-Föreläggande försiktighetsmått.pdf", "Öppna PDF")</f>
        <v/>
      </c>
    </row>
    <row r="1984">
      <c r="A1984" t="inlineStr">
        <is>
          <t>KRAV-AUTO-001983</t>
        </is>
      </c>
      <c r="B1984" t="inlineStr">
        <is>
          <t>ADMIN-INDEX-2026-02-27-00000000125C043F57453246863FE664CAFE6A3F0700950291EA24F0614FB6ACEDB12BF0E31D00000000010C0000950291EA24F0614FB6ACEDB12BF0E31D00002087B17B0000</t>
        </is>
      </c>
      <c r="C1984" t="inlineStr">
        <is>
          <t>cmm4yunlm00t5cuqw7t2sdu10</t>
        </is>
      </c>
      <c r="D1984" t="inlineStr">
        <is>
          <t>http://localhost:8787/api/admin/requirements/documents/cmm4yunlm00t5cuqw7t2sdu10/view</t>
        </is>
      </c>
      <c r="E1984">
        <f>HYPERLÄNK("http://localhost:8787/api/admin/requirements/documents/cmm4yunlm00t5cuqw7t2sdu10/view";"Öppna PDF")</f>
        <v/>
      </c>
      <c r="F1984">
        <f>HYPERLINK("http://localhost:8787/api/admin/requirements/documents/cmm4yunlm00t5cuqw7t2sdu10/view","Open PDF")</f>
        <v/>
      </c>
      <c r="G1984" t="inlineStr">
        <is>
          <t>cmm55w57p0004cuisfrtpqly8</t>
        </is>
      </c>
      <c r="H1984" t="inlineStr">
        <is>
          <t>Beslutsvillkor</t>
        </is>
      </c>
      <c r="I1984" t="inlineStr">
        <is>
          <t>Riskhantering</t>
        </is>
      </c>
      <c r="J1984" t="inlineStr">
        <is>
          <t>Riskkontroll</t>
        </is>
      </c>
      <c r="K1984" t="inlineStr">
        <is>
          <t>Utlakning av PAH:er från fräsmassorna riskerar att påverka Svartån kemiska status negativt.</t>
        </is>
      </c>
      <c r="L1984" t="inlineStr">
        <is>
          <t>Utlakning av PAH:er från fräsmassorna riskerar att påverka Svartån kemiska status negativt.</t>
        </is>
      </c>
      <c r="M1984" t="inlineStr">
        <is>
          <t>SKA</t>
        </is>
      </c>
      <c r="N1984" t="inlineStr">
        <is>
          <t>Miljobalken</t>
        </is>
      </c>
      <c r="O1984" t="inlineStr"/>
      <c r="P1984" t="inlineStr"/>
      <c r="Q1984" t="inlineStr"/>
      <c r="R1984" t="inlineStr">
        <is>
          <t>Vid risk for incident</t>
        </is>
      </c>
      <c r="S1984" t="inlineStr"/>
      <c r="T1984" t="inlineStr">
        <is>
          <t>52 0140</t>
        </is>
      </c>
      <c r="U1984" t="inlineStr"/>
      <c r="V1984" t="inlineStr"/>
      <c r="W1984" t="inlineStr">
        <is>
          <t>Nej</t>
        </is>
      </c>
      <c r="X1984" t="inlineStr">
        <is>
          <t>Nej</t>
        </is>
      </c>
      <c r="Y1984" t="inlineStr">
        <is>
          <t>Ja</t>
        </is>
      </c>
      <c r="Z1984" t="inlineStr">
        <is>
          <t>Ja</t>
        </is>
      </c>
      <c r="AA1984" t="n">
        <v>8</v>
      </c>
      <c r="AB1984" t="inlineStr">
        <is>
          <t>Riskhantering</t>
        </is>
      </c>
      <c r="AC1984" t="inlineStr">
        <is>
          <t>Risk-PM</t>
        </is>
      </c>
      <c r="AD1984" t="inlineStr">
        <is>
          <t>Nej</t>
        </is>
      </c>
      <c r="AE1984" t="inlineStr">
        <is>
          <t>Nej</t>
        </is>
      </c>
      <c r="AF1984" t="inlineStr">
        <is>
          <t>Ej behandlad</t>
        </is>
      </c>
      <c r="AG1984" t="inlineStr">
        <is>
          <t>AUTO_GENERERAD. Verifiera citat mot kallfil.</t>
        </is>
      </c>
      <c r="AH1984" t="inlineStr">
        <is>
          <t>HIGH</t>
        </is>
      </c>
      <c r="AI1984" t="inlineStr">
        <is>
          <t>AUTO</t>
        </is>
      </c>
      <c r="AJ1984" t="inlineStr">
        <is>
          <t>Nej</t>
        </is>
      </c>
      <c r="AK1984" t="inlineStr"/>
      <c r="AL1984" t="inlineStr"/>
      <c r="AM1984" t="inlineStr"/>
      <c r="AN1984" t="inlineStr"/>
      <c r="AO1984" t="inlineStr">
        <is>
          <t>cmm4yunls00tbcuqwdvin6pe1</t>
        </is>
      </c>
      <c r="AP1984" t="inlineStr">
        <is>
          <t>http://localhost:8787/api/admin/requirements/documents/cmm4yunls00tbcuqwdvin6pe1/view</t>
        </is>
      </c>
      <c r="AQ1984">
        <f>HYPERLÄNK("http://localhost:8787/api/admin/requirements/documents/cmm4yunls00tbcuqwdvin6pe1/view";"Öppna PDF")</f>
        <v/>
      </c>
      <c r="AR1984">
        <f>HYPERLINK("http://localhost:8787/api/admin/requirements/documents/cmm4yunls00tbcuqwdvin6pe1/view","Open PDF")</f>
        <v/>
      </c>
      <c r="AS1984" t="inlineStr">
        <is>
          <t>cmm55w57p0004cuisfrtpqly8</t>
        </is>
      </c>
      <c r="AT1984" t="inlineStr">
        <is>
          <t>cmm4xvu980000cuh4vj0usz09</t>
        </is>
      </c>
      <c r="AU1984" t="inlineStr">
        <is>
          <t>Besöksadress Telefon E-post Webb Tranås</t>
        </is>
      </c>
      <c r="AV1984" t="inlineStr">
        <is>
          <t>Kommun</t>
        </is>
      </c>
      <c r="AW1984" t="inlineStr">
        <is>
          <t>Besöksadress Telefon E-post Webb Tranås kommun</t>
        </is>
      </c>
      <c r="AX1984" t="inlineStr">
        <is>
          <t>2025-12</t>
        </is>
      </c>
      <c r="AY1984" t="inlineStr">
        <is>
          <t>Forelaggande</t>
        </is>
      </c>
      <c r="AZ1984" t="inlineStr">
        <is>
          <t>2026-02-03</t>
        </is>
      </c>
      <c r="BA1984" t="inlineStr">
        <is>
          <t>M-2025-911-6-Föreläggande försiktighetsmått.pdf</t>
        </is>
      </c>
      <c r="BB1984" t="inlineStr">
        <is>
          <t>Handlingar</t>
        </is>
      </c>
      <c r="BC1984" t="inlineStr">
        <is>
          <t>AUTO</t>
        </is>
      </c>
      <c r="BD1984" t="inlineStr"/>
      <c r="BE1984" t="inlineStr"/>
      <c r="BF1984" t="inlineStr">
        <is>
          <t>AUTO_GENERERAD. Bekrafta metadata mot kallfil.</t>
        </is>
      </c>
      <c r="BG1984">
        <f>HYPERLINK("C:\Users\jimmy\Desktop\Examens arbete\Kod\Ny mapp\remix_-copy-of-miljöbeslut.se-portal\M-2025-911-6-Föreläggande försiktighetsmått.pdf", "Öppna PDF")</f>
        <v/>
      </c>
    </row>
    <row r="1985">
      <c r="A1985" t="inlineStr">
        <is>
          <t>KRAV-AUTO-001984</t>
        </is>
      </c>
      <c r="B1985" t="inlineStr">
        <is>
          <t>ADMIN-INDEX-2026-02-27-00000000125C043F57453246863FE664CAFE6A3F0700950291EA24F0614FB6ACEDB12BF0E31D00000000010C0000950291EA24F0614FB6ACEDB12BF0E31D00002087B17B0000</t>
        </is>
      </c>
      <c r="C1985" t="inlineStr">
        <is>
          <t>cmm4yunlh00szcuqwo2zx5fs4</t>
        </is>
      </c>
      <c r="D1985" t="inlineStr">
        <is>
          <t>http://localhost:8787/api/admin/requirements/documents/cmm4yunlh00szcuqwo2zx5fs4/view</t>
        </is>
      </c>
      <c r="E1985">
        <f>HYPERLÄNK("http://localhost:8787/api/admin/requirements/documents/cmm4yunlh00szcuqwo2zx5fs4/view";"Öppna PDF")</f>
        <v/>
      </c>
      <c r="F1985">
        <f>HYPERLINK("http://localhost:8787/api/admin/requirements/documents/cmm4yunlh00szcuqwo2zx5fs4/view","Open PDF")</f>
        <v/>
      </c>
      <c r="G1985" t="inlineStr">
        <is>
          <t>cmm55w57p0004cuisfrtpqly8</t>
        </is>
      </c>
      <c r="H1985" t="inlineStr">
        <is>
          <t>Beslutsvillkor</t>
        </is>
      </c>
      <c r="I1985" t="inlineStr">
        <is>
          <t>DagvattenLakvatten</t>
        </is>
      </c>
      <c r="J1985" t="inlineStr">
        <is>
          <t>Uppsamling</t>
        </is>
      </c>
      <c r="K1985" t="inlineStr">
        <is>
          <t>Det finns inget villkor som reglerar användningen av den aktuella ytan eller dagvattenhanteringen.</t>
        </is>
      </c>
      <c r="L1985" t="inlineStr">
        <is>
          <t>Det finns inget villkor som reglerar användningen av den aktuella ytan eller dagvattenhanteringen.</t>
        </is>
      </c>
      <c r="M1985" t="inlineStr">
        <is>
          <t>INFO</t>
        </is>
      </c>
      <c r="N1985" t="inlineStr">
        <is>
          <t>Miljobalken</t>
        </is>
      </c>
      <c r="O1985" t="inlineStr"/>
      <c r="P1985" t="inlineStr"/>
      <c r="Q1985" t="inlineStr"/>
      <c r="R1985" t="inlineStr">
        <is>
          <t>Vid nederbord och avrinning</t>
        </is>
      </c>
      <c r="S1985" t="inlineStr"/>
      <c r="T1985" t="inlineStr">
        <is>
          <t>52 0140</t>
        </is>
      </c>
      <c r="U1985" t="inlineStr"/>
      <c r="V1985" t="inlineStr"/>
      <c r="W1985" t="inlineStr">
        <is>
          <t>Nej</t>
        </is>
      </c>
      <c r="X1985" t="inlineStr">
        <is>
          <t>Ja</t>
        </is>
      </c>
      <c r="Y1985" t="inlineStr">
        <is>
          <t>Ja</t>
        </is>
      </c>
      <c r="Z1985" t="inlineStr">
        <is>
          <t>Nej</t>
        </is>
      </c>
      <c r="AA1985" t="n">
        <v>6</v>
      </c>
      <c r="AB1985" t="inlineStr">
        <is>
          <t>Lakvattenhantering</t>
        </is>
      </c>
      <c r="AC1985" t="inlineStr">
        <is>
          <t>Flodesschema dagvatten-lakvatten</t>
        </is>
      </c>
      <c r="AD1985" t="inlineStr">
        <is>
          <t>Nej</t>
        </is>
      </c>
      <c r="AE1985" t="inlineStr">
        <is>
          <t>Nej</t>
        </is>
      </c>
      <c r="AF1985" t="inlineStr">
        <is>
          <t>Ej behandlad</t>
        </is>
      </c>
      <c r="AG1985" t="inlineStr">
        <is>
          <t>AUTO_GENERERAD. Verifiera citat mot kallfil.</t>
        </is>
      </c>
      <c r="AH1985" t="inlineStr">
        <is>
          <t>HIGH</t>
        </is>
      </c>
      <c r="AI1985" t="inlineStr">
        <is>
          <t>AUTO</t>
        </is>
      </c>
      <c r="AJ1985" t="inlineStr">
        <is>
          <t>Nej</t>
        </is>
      </c>
      <c r="AK1985" t="inlineStr"/>
      <c r="AL1985" t="inlineStr"/>
      <c r="AM1985" t="inlineStr"/>
      <c r="AN1985" t="inlineStr"/>
      <c r="AO1985" t="inlineStr">
        <is>
          <t>cmm4yunls00tbcuqwdvin6pe1</t>
        </is>
      </c>
      <c r="AP1985" t="inlineStr">
        <is>
          <t>http://localhost:8787/api/admin/requirements/documents/cmm4yunls00tbcuqwdvin6pe1/view</t>
        </is>
      </c>
      <c r="AQ1985">
        <f>HYPERLÄNK("http://localhost:8787/api/admin/requirements/documents/cmm4yunls00tbcuqwdvin6pe1/view";"Öppna PDF")</f>
        <v/>
      </c>
      <c r="AR1985">
        <f>HYPERLINK("http://localhost:8787/api/admin/requirements/documents/cmm4yunls00tbcuqwdvin6pe1/view","Open PDF")</f>
        <v/>
      </c>
      <c r="AS1985" t="inlineStr">
        <is>
          <t>cmm55w57p0004cuisfrtpqly8</t>
        </is>
      </c>
      <c r="AT1985" t="inlineStr">
        <is>
          <t>cmm4xvu980000cuh4vj0usz09</t>
        </is>
      </c>
      <c r="AU1985" t="inlineStr">
        <is>
          <t>Besöksadress Telefon E-post Webb Tranås</t>
        </is>
      </c>
      <c r="AV1985" t="inlineStr">
        <is>
          <t>Kommun</t>
        </is>
      </c>
      <c r="AW1985" t="inlineStr">
        <is>
          <t>Besöksadress Telefon E-post Webb Tranås kommun</t>
        </is>
      </c>
      <c r="AX1985" t="inlineStr">
        <is>
          <t>2025-12</t>
        </is>
      </c>
      <c r="AY1985" t="inlineStr">
        <is>
          <t>Forelaggande</t>
        </is>
      </c>
      <c r="AZ1985" t="inlineStr">
        <is>
          <t>2026-02-03</t>
        </is>
      </c>
      <c r="BA1985" t="inlineStr">
        <is>
          <t>M-2025-911-6-Föreläggande försiktighetsmått.pdf</t>
        </is>
      </c>
      <c r="BB1985" t="inlineStr">
        <is>
          <t>Handlingar</t>
        </is>
      </c>
      <c r="BC1985" t="inlineStr">
        <is>
          <t>AUTO</t>
        </is>
      </c>
      <c r="BD1985" t="inlineStr"/>
      <c r="BE1985" t="inlineStr"/>
      <c r="BF1985" t="inlineStr">
        <is>
          <t>AUTO_GENERERAD. Bekrafta metadata mot kallfil.</t>
        </is>
      </c>
      <c r="BG1985">
        <f>HYPERLINK("C:\Users\jimmy\Desktop\Examens arbete\Kod\Ny mapp\remix_-copy-of-miljöbeslut.se-portal\M-2025-911-6-Föreläggande försiktighetsmått.pdf", "Öppna PDF")</f>
        <v/>
      </c>
    </row>
    <row r="1986">
      <c r="A1986" t="inlineStr">
        <is>
          <t>KRAV-AUTO-001985</t>
        </is>
      </c>
      <c r="B1986" t="inlineStr">
        <is>
          <t>ADMIN-INDEX-2026-02-27-00000000125C043F57453246863FE664CAFE6A3F0700950291EA24F0614FB6ACEDB12BF0E31D00000000010C0000950291EA24F0614FB6ACEDB12BF0E31D00002087B17B0000</t>
        </is>
      </c>
      <c r="C1986" t="inlineStr">
        <is>
          <t>cmm4yunlh00szcuqwo2zx5fs4</t>
        </is>
      </c>
      <c r="D1986" t="inlineStr">
        <is>
          <t>http://localhost:8787/api/admin/requirements/documents/cmm4yunlh00szcuqwo2zx5fs4/view</t>
        </is>
      </c>
      <c r="E1986">
        <f>HYPERLÄNK("http://localhost:8787/api/admin/requirements/documents/cmm4yunlh00szcuqwo2zx5fs4/view";"Öppna PDF")</f>
        <v/>
      </c>
      <c r="F1986">
        <f>HYPERLINK("http://localhost:8787/api/admin/requirements/documents/cmm4yunlh00szcuqwo2zx5fs4/view","Open PDF")</f>
        <v/>
      </c>
      <c r="G1986" t="inlineStr">
        <is>
          <t>cmm55w57p0004cuisfrtpqly8</t>
        </is>
      </c>
      <c r="H1986" t="inlineStr">
        <is>
          <t>Beslutsvillkor</t>
        </is>
      </c>
      <c r="I1986" t="inlineStr">
        <is>
          <t>Riskhantering</t>
        </is>
      </c>
      <c r="J1986" t="inlineStr">
        <is>
          <t>Riskkontroll</t>
        </is>
      </c>
      <c r="K1986" t="inlineStr">
        <is>
          <t>Utlakning av PAH:er från fräsmassorna riskerar att påverka Svartån kemiska status negativt.</t>
        </is>
      </c>
      <c r="L1986" t="inlineStr">
        <is>
          <t>Utlakning av PAH:er från fräsmassorna riskerar att påverka Svartån kemiska status negativt.</t>
        </is>
      </c>
      <c r="M1986" t="inlineStr">
        <is>
          <t>SKA</t>
        </is>
      </c>
      <c r="N1986" t="inlineStr">
        <is>
          <t>Miljobalken</t>
        </is>
      </c>
      <c r="O1986" t="inlineStr"/>
      <c r="P1986" t="inlineStr"/>
      <c r="Q1986" t="inlineStr"/>
      <c r="R1986" t="inlineStr">
        <is>
          <t>Vid risk for incident</t>
        </is>
      </c>
      <c r="S1986" t="inlineStr"/>
      <c r="T1986" t="inlineStr">
        <is>
          <t>52 0140</t>
        </is>
      </c>
      <c r="U1986" t="inlineStr"/>
      <c r="V1986" t="inlineStr"/>
      <c r="W1986" t="inlineStr">
        <is>
          <t>Nej</t>
        </is>
      </c>
      <c r="X1986" t="inlineStr">
        <is>
          <t>Nej</t>
        </is>
      </c>
      <c r="Y1986" t="inlineStr">
        <is>
          <t>Ja</t>
        </is>
      </c>
      <c r="Z1986" t="inlineStr">
        <is>
          <t>Ja</t>
        </is>
      </c>
      <c r="AA1986" t="n">
        <v>8</v>
      </c>
      <c r="AB1986" t="inlineStr">
        <is>
          <t>Riskhantering</t>
        </is>
      </c>
      <c r="AC1986" t="inlineStr">
        <is>
          <t>Risk-PM</t>
        </is>
      </c>
      <c r="AD1986" t="inlineStr">
        <is>
          <t>Nej</t>
        </is>
      </c>
      <c r="AE1986" t="inlineStr">
        <is>
          <t>Nej</t>
        </is>
      </c>
      <c r="AF1986" t="inlineStr">
        <is>
          <t>Ej behandlad</t>
        </is>
      </c>
      <c r="AG1986" t="inlineStr">
        <is>
          <t>AUTO_GENERERAD. Verifiera citat mot kallfil.</t>
        </is>
      </c>
      <c r="AH1986" t="inlineStr">
        <is>
          <t>HIGH</t>
        </is>
      </c>
      <c r="AI1986" t="inlineStr">
        <is>
          <t>AUTO</t>
        </is>
      </c>
      <c r="AJ1986" t="inlineStr">
        <is>
          <t>Nej</t>
        </is>
      </c>
      <c r="AK1986" t="inlineStr"/>
      <c r="AL1986" t="inlineStr"/>
      <c r="AM1986" t="inlineStr"/>
      <c r="AN1986" t="inlineStr"/>
      <c r="AO1986" t="inlineStr">
        <is>
          <t>cmm4yunls00tbcuqwdvin6pe1</t>
        </is>
      </c>
      <c r="AP1986" t="inlineStr">
        <is>
          <t>http://localhost:8787/api/admin/requirements/documents/cmm4yunls00tbcuqwdvin6pe1/view</t>
        </is>
      </c>
      <c r="AQ1986">
        <f>HYPERLÄNK("http://localhost:8787/api/admin/requirements/documents/cmm4yunls00tbcuqwdvin6pe1/view";"Öppna PDF")</f>
        <v/>
      </c>
      <c r="AR1986">
        <f>HYPERLINK("http://localhost:8787/api/admin/requirements/documents/cmm4yunls00tbcuqwdvin6pe1/view","Open PDF")</f>
        <v/>
      </c>
      <c r="AS1986" t="inlineStr">
        <is>
          <t>cmm55w57p0004cuisfrtpqly8</t>
        </is>
      </c>
      <c r="AT1986" t="inlineStr">
        <is>
          <t>cmm4xvu980000cuh4vj0usz09</t>
        </is>
      </c>
      <c r="AU1986" t="inlineStr">
        <is>
          <t>Besöksadress Telefon E-post Webb Tranås</t>
        </is>
      </c>
      <c r="AV1986" t="inlineStr">
        <is>
          <t>Kommun</t>
        </is>
      </c>
      <c r="AW1986" t="inlineStr">
        <is>
          <t>Besöksadress Telefon E-post Webb Tranås kommun</t>
        </is>
      </c>
      <c r="AX1986" t="inlineStr">
        <is>
          <t>2025-12</t>
        </is>
      </c>
      <c r="AY1986" t="inlineStr">
        <is>
          <t>Forelaggande</t>
        </is>
      </c>
      <c r="AZ1986" t="inlineStr">
        <is>
          <t>2026-02-03</t>
        </is>
      </c>
      <c r="BA1986" t="inlineStr">
        <is>
          <t>M-2025-911-6-Föreläggande försiktighetsmått.pdf</t>
        </is>
      </c>
      <c r="BB1986" t="inlineStr">
        <is>
          <t>Handlingar</t>
        </is>
      </c>
      <c r="BC1986" t="inlineStr">
        <is>
          <t>AUTO</t>
        </is>
      </c>
      <c r="BD1986" t="inlineStr"/>
      <c r="BE1986" t="inlineStr"/>
      <c r="BF1986" t="inlineStr">
        <is>
          <t>AUTO_GENERERAD. Bekrafta metadata mot kallfil.</t>
        </is>
      </c>
      <c r="BG1986">
        <f>HYPERLINK("C:\Users\jimmy\Desktop\Examens arbete\Kod\Ny mapp\remix_-copy-of-miljöbeslut.se-portal\M-2025-911-6-Föreläggande försiktighetsmått.pdf", "Öppna PDF")</f>
        <v/>
      </c>
    </row>
    <row r="1987">
      <c r="A1987" t="inlineStr">
        <is>
          <t>KRAV-AUTO-001986</t>
        </is>
      </c>
      <c r="B1987" t="inlineStr">
        <is>
          <t>ADMIN-INDEX-2026-02-27-00000000125C043F57453246863FE664CAFE6A3F0700950291EA24F0614FB6ACEDB12BF0E31D00000000010C0000950291EA24F0614FB6ACEDB12BF0E31D00002087B17B0000</t>
        </is>
      </c>
      <c r="C1987" t="inlineStr">
        <is>
          <t>cmm4yunlh00szcuqwo2zx5fs4</t>
        </is>
      </c>
      <c r="D1987" t="inlineStr">
        <is>
          <t>http://localhost:8787/api/admin/requirements/documents/cmm4yunlh00szcuqwo2zx5fs4/view</t>
        </is>
      </c>
      <c r="E1987">
        <f>HYPERLÄNK("http://localhost:8787/api/admin/requirements/documents/cmm4yunlh00szcuqwo2zx5fs4/view";"Öppna PDF")</f>
        <v/>
      </c>
      <c r="F1987">
        <f>HYPERLINK("http://localhost:8787/api/admin/requirements/documents/cmm4yunlh00szcuqwo2zx5fs4/view","Open PDF")</f>
        <v/>
      </c>
      <c r="G1987" t="inlineStr">
        <is>
          <t>cmm55w57p0004cuisfrtpqly8</t>
        </is>
      </c>
      <c r="H1987" t="inlineStr">
        <is>
          <t>Beslutsvillkor</t>
        </is>
      </c>
      <c r="I1987" t="inlineStr">
        <is>
          <t>TransportLogistik</t>
        </is>
      </c>
      <c r="J1987" t="inlineStr">
        <is>
          <t>Transportvagar</t>
        </is>
      </c>
      <c r="K1987" t="inlineStr">
        <is>
          <t>Beläggningssäsongen pågår främst under april till december och det lagrade avfallet kommer att transporteras bort till asfaltsverk senast i december varje år.</t>
        </is>
      </c>
      <c r="L1987" t="inlineStr">
        <is>
          <t>Beläggningssäsongen pågår främst under april till december och det lagrade avfallet kommer att transporteras bort till asfaltsverk senast i december varje år.</t>
        </is>
      </c>
      <c r="M1987" t="inlineStr">
        <is>
          <t>BOR</t>
        </is>
      </c>
      <c r="N1987" t="inlineStr">
        <is>
          <t>Miljobalken</t>
        </is>
      </c>
      <c r="O1987" t="inlineStr">
        <is>
          <t>senast i december varje ar</t>
        </is>
      </c>
      <c r="P1987" t="inlineStr"/>
      <c r="Q1987" t="inlineStr"/>
      <c r="R1987" t="inlineStr">
        <is>
          <t>Vid transporter</t>
        </is>
      </c>
      <c r="S1987" t="inlineStr"/>
      <c r="T1987" t="inlineStr">
        <is>
          <t>52 0140</t>
        </is>
      </c>
      <c r="U1987" t="inlineStr"/>
      <c r="V1987" t="inlineStr"/>
      <c r="W1987" t="inlineStr">
        <is>
          <t>Nej</t>
        </is>
      </c>
      <c r="X1987" t="inlineStr">
        <is>
          <t>Nej</t>
        </is>
      </c>
      <c r="Y1987" t="inlineStr">
        <is>
          <t>Nej</t>
        </is>
      </c>
      <c r="Z1987" t="inlineStr">
        <is>
          <t>Ja</t>
        </is>
      </c>
      <c r="AA1987" t="n">
        <v>9</v>
      </c>
      <c r="AB1987" t="inlineStr">
        <is>
          <t>Transporter och logistik</t>
        </is>
      </c>
      <c r="AC1987" t="inlineStr">
        <is>
          <t>Trafikplan</t>
        </is>
      </c>
      <c r="AD1987" t="inlineStr">
        <is>
          <t>Nej</t>
        </is>
      </c>
      <c r="AE1987" t="inlineStr">
        <is>
          <t>Nej</t>
        </is>
      </c>
      <c r="AF1987" t="inlineStr">
        <is>
          <t>Ej behandlad</t>
        </is>
      </c>
      <c r="AG1987" t="inlineStr">
        <is>
          <t>AUTO_GENERERAD. Verifiera citat mot kallfil.</t>
        </is>
      </c>
      <c r="AH1987" t="inlineStr">
        <is>
          <t>HIGH</t>
        </is>
      </c>
      <c r="AI1987" t="inlineStr">
        <is>
          <t>AUTO</t>
        </is>
      </c>
      <c r="AJ1987" t="inlineStr">
        <is>
          <t>Nej</t>
        </is>
      </c>
      <c r="AK1987" t="inlineStr"/>
      <c r="AL1987" t="inlineStr"/>
      <c r="AM1987" t="inlineStr"/>
      <c r="AN1987" t="inlineStr"/>
      <c r="AO1987" t="inlineStr">
        <is>
          <t>cmm4yunls00tbcuqwdvin6pe1</t>
        </is>
      </c>
      <c r="AP1987" t="inlineStr">
        <is>
          <t>http://localhost:8787/api/admin/requirements/documents/cmm4yunls00tbcuqwdvin6pe1/view</t>
        </is>
      </c>
      <c r="AQ1987">
        <f>HYPERLÄNK("http://localhost:8787/api/admin/requirements/documents/cmm4yunls00tbcuqwdvin6pe1/view";"Öppna PDF")</f>
        <v/>
      </c>
      <c r="AR1987">
        <f>HYPERLINK("http://localhost:8787/api/admin/requirements/documents/cmm4yunls00tbcuqwdvin6pe1/view","Open PDF")</f>
        <v/>
      </c>
      <c r="AS1987" t="inlineStr">
        <is>
          <t>cmm55w57p0004cuisfrtpqly8</t>
        </is>
      </c>
      <c r="AT1987" t="inlineStr">
        <is>
          <t>cmm4xvu980000cuh4vj0usz09</t>
        </is>
      </c>
      <c r="AU1987" t="inlineStr">
        <is>
          <t>Besöksadress Telefon E-post Webb Tranås</t>
        </is>
      </c>
      <c r="AV1987" t="inlineStr">
        <is>
          <t>Kommun</t>
        </is>
      </c>
      <c r="AW1987" t="inlineStr">
        <is>
          <t>Besöksadress Telefon E-post Webb Tranås kommun</t>
        </is>
      </c>
      <c r="AX1987" t="inlineStr">
        <is>
          <t>2025-12</t>
        </is>
      </c>
      <c r="AY1987" t="inlineStr">
        <is>
          <t>Forelaggande</t>
        </is>
      </c>
      <c r="AZ1987" t="inlineStr">
        <is>
          <t>2026-02-03</t>
        </is>
      </c>
      <c r="BA1987" t="inlineStr">
        <is>
          <t>M-2025-911-6-Föreläggande försiktighetsmått.pdf</t>
        </is>
      </c>
      <c r="BB1987" t="inlineStr">
        <is>
          <t>Handlingar</t>
        </is>
      </c>
      <c r="BC1987" t="inlineStr">
        <is>
          <t>AUTO</t>
        </is>
      </c>
      <c r="BD1987" t="inlineStr"/>
      <c r="BE1987" t="inlineStr"/>
      <c r="BF1987" t="inlineStr">
        <is>
          <t>AUTO_GENERERAD. Bekrafta metadata mot kallfil.</t>
        </is>
      </c>
      <c r="BG1987">
        <f>HYPERLINK("C:\Users\jimmy\Desktop\Examens arbete\Kod\Ny mapp\remix_-copy-of-miljöbeslut.se-portal\M-2025-911-6-Föreläggande försiktighetsmått.pdf", "Öppna PDF")</f>
        <v/>
      </c>
    </row>
    <row r="1988">
      <c r="A1988" t="inlineStr">
        <is>
          <t>KRAV-AUTO-001987</t>
        </is>
      </c>
      <c r="B1988" t="inlineStr">
        <is>
          <t>ADMIN-INDEX-2026-02-27-00000000125C043F57453246863FE664CAFE6A3F0700950291EA24F0614FB6ACEDB12BF0E31D00000000010C0000950291EA24F0614FB6ACEDB12BF0E31D00002087B1860000</t>
        </is>
      </c>
      <c r="C1988" t="inlineStr">
        <is>
          <t>cmm4yunlb00stcuqw956bj2gh</t>
        </is>
      </c>
      <c r="D1988" t="inlineStr">
        <is>
          <t>http://localhost:8787/api/admin/requirements/documents/cmm4yunlb00stcuqw956bj2gh/view</t>
        </is>
      </c>
      <c r="E1988">
        <f>HYPERLÄNK("http://localhost:8787/api/admin/requirements/documents/cmm4yunlb00stcuqw956bj2gh/view";"Öppna PDF")</f>
        <v/>
      </c>
      <c r="F1988">
        <f>HYPERLINK("http://localhost:8787/api/admin/requirements/documents/cmm4yunlb00stcuqw956bj2gh/view","Open PDF")</f>
        <v/>
      </c>
      <c r="G1988" t="inlineStr">
        <is>
          <t>cmm55w57p0004cuisfrtpqly8</t>
        </is>
      </c>
      <c r="H1988" t="inlineStr">
        <is>
          <t>Beslutsvillkor</t>
        </is>
      </c>
      <c r="I1988" t="inlineStr">
        <is>
          <t>DagvattenLakvatten</t>
        </is>
      </c>
      <c r="J1988" t="inlineStr">
        <is>
          <t>Uppsamling</t>
        </is>
      </c>
      <c r="K1988" t="inlineStr">
        <is>
          <t>Lagringen ska ske så att risken för uppkomst av lakvatten från rötslammet minimeras.</t>
        </is>
      </c>
      <c r="L1988" t="inlineStr">
        <is>
          <t>Lagringen ska ske så att risken för uppkomst av lakvatten från rötslammet minimeras.</t>
        </is>
      </c>
      <c r="M1988" t="inlineStr">
        <is>
          <t>SKA</t>
        </is>
      </c>
      <c r="N1988" t="inlineStr"/>
      <c r="O1988" t="inlineStr"/>
      <c r="P1988" t="inlineStr"/>
      <c r="Q1988" t="inlineStr"/>
      <c r="R1988" t="inlineStr">
        <is>
          <t>Vid nederbord och avrinning</t>
        </is>
      </c>
      <c r="S1988" t="inlineStr"/>
      <c r="T1988" t="inlineStr">
        <is>
          <t>891214</t>
        </is>
      </c>
      <c r="U1988" t="inlineStr"/>
      <c r="V1988" t="inlineStr"/>
      <c r="W1988" t="inlineStr">
        <is>
          <t>Nej</t>
        </is>
      </c>
      <c r="X1988" t="inlineStr">
        <is>
          <t>Ja</t>
        </is>
      </c>
      <c r="Y1988" t="inlineStr">
        <is>
          <t>Ja</t>
        </is>
      </c>
      <c r="Z1988" t="inlineStr">
        <is>
          <t>Nej</t>
        </is>
      </c>
      <c r="AA1988" t="n">
        <v>6</v>
      </c>
      <c r="AB1988" t="inlineStr">
        <is>
          <t>Lakvattenhantering</t>
        </is>
      </c>
      <c r="AC1988" t="inlineStr">
        <is>
          <t>Flodesschema dagvatten-lakvatten</t>
        </is>
      </c>
      <c r="AD1988" t="inlineStr">
        <is>
          <t>Nej</t>
        </is>
      </c>
      <c r="AE1988" t="inlineStr">
        <is>
          <t>Nej</t>
        </is>
      </c>
      <c r="AF1988" t="inlineStr">
        <is>
          <t>Ej behandlad</t>
        </is>
      </c>
      <c r="AG1988" t="inlineStr">
        <is>
          <t>AUTO_GENERERAD. Verifiera citat mot kallfil.</t>
        </is>
      </c>
      <c r="AH1988" t="inlineStr">
        <is>
          <t>MEDIUM</t>
        </is>
      </c>
      <c r="AI1988" t="inlineStr">
        <is>
          <t>AUTO</t>
        </is>
      </c>
      <c r="AJ1988" t="inlineStr">
        <is>
          <t>Nej</t>
        </is>
      </c>
      <c r="AK1988" t="inlineStr"/>
      <c r="AL1988" t="inlineStr"/>
      <c r="AM1988" t="inlineStr"/>
      <c r="AN1988" t="inlineStr"/>
      <c r="AO1988" t="inlineStr">
        <is>
          <t>cmm4yunlb00stcuqw956bj2gh</t>
        </is>
      </c>
      <c r="AP1988" t="inlineStr">
        <is>
          <t>http://localhost:8787/api/admin/requirements/documents/cmm4yunlb00stcuqw956bj2gh/view</t>
        </is>
      </c>
      <c r="AQ1988">
        <f>HYPERLÄNK("http://localhost:8787/api/admin/requirements/documents/cmm4yunlb00stcuqw956bj2gh/view";"Öppna PDF")</f>
        <v/>
      </c>
      <c r="AR1988">
        <f>HYPERLINK("http://localhost:8787/api/admin/requirements/documents/cmm4yunlb00stcuqw956bj2gh/view","Open PDF")</f>
        <v/>
      </c>
      <c r="AS1988" t="inlineStr">
        <is>
          <t>cmm55w57p0004cuisfrtpqly8</t>
        </is>
      </c>
      <c r="AT1988" t="inlineStr">
        <is>
          <t>cmm4xvu980000cuh4vj0usz09</t>
        </is>
      </c>
      <c r="AU1988" t="inlineStr"/>
      <c r="AV1988" t="inlineStr">
        <is>
          <t>Kommun</t>
        </is>
      </c>
      <c r="AW1988" t="inlineStr"/>
      <c r="AX1988" t="inlineStr">
        <is>
          <t>2026-02</t>
        </is>
      </c>
      <c r="AY1988" t="inlineStr">
        <is>
          <t>Beslut</t>
        </is>
      </c>
      <c r="AZ1988" t="inlineStr">
        <is>
          <t>2026-02-03</t>
        </is>
      </c>
      <c r="BA1988" t="inlineStr">
        <is>
          <t>MIL2024916pdf_976512.pdf</t>
        </is>
      </c>
      <c r="BB1988" t="inlineStr">
        <is>
          <t>Begäran om allmän handling i ärende  MIL.2026.363</t>
        </is>
      </c>
      <c r="BC1988" t="inlineStr">
        <is>
          <t>AUTO</t>
        </is>
      </c>
      <c r="BD1988" t="inlineStr"/>
      <c r="BE1988" t="inlineStr"/>
      <c r="BF1988" t="inlineStr">
        <is>
          <t>AUTO_GENERERAD. Bekrafta metadata mot kallfil.</t>
        </is>
      </c>
      <c r="BG1988">
        <f>HYPERLINK("C:\Users\jimmy\Desktop\Examens arbete\Kod\Ny mapp\remix_-copy-of-miljöbeslut.se-portal\MIL2024916pdf_976512.pdf", "Öppna PDF")</f>
        <v/>
      </c>
    </row>
    <row r="1989">
      <c r="A1989" t="inlineStr">
        <is>
          <t>KRAV-AUTO-001988</t>
        </is>
      </c>
      <c r="B1989" t="inlineStr">
        <is>
          <t>ADMIN-INDEX-2026-02-27-00000000125C043F57453246863FE664CAFE6A3F0700950291EA24F0614FB6ACEDB12BF0E31D00000000010C0000950291EA24F0614FB6ACEDB12BF0E31D00002087B1860000</t>
        </is>
      </c>
      <c r="C1989" t="inlineStr">
        <is>
          <t>cmm4yunlb00stcuqw956bj2gh</t>
        </is>
      </c>
      <c r="D1989" t="inlineStr">
        <is>
          <t>http://localhost:8787/api/admin/requirements/documents/cmm4yunlb00stcuqw956bj2gh/view</t>
        </is>
      </c>
      <c r="E1989">
        <f>HYPERLÄNK("http://localhost:8787/api/admin/requirements/documents/cmm4yunlb00stcuqw956bj2gh/view";"Öppna PDF")</f>
        <v/>
      </c>
      <c r="F1989">
        <f>HYPERLINK("http://localhost:8787/api/admin/requirements/documents/cmm4yunlb00stcuqw956bj2gh/view","Open PDF")</f>
        <v/>
      </c>
      <c r="G1989" t="inlineStr">
        <is>
          <t>cmm55w57p0004cuisfrtpqly8</t>
        </is>
      </c>
      <c r="H1989" t="inlineStr">
        <is>
          <t>Beslutsvillkor</t>
        </is>
      </c>
      <c r="I1989" t="inlineStr">
        <is>
          <t>LagringsvolymTid</t>
        </is>
      </c>
      <c r="J1989" t="inlineStr">
        <is>
          <t>Maxmangd</t>
        </is>
      </c>
      <c r="K1989" t="inlineStr">
        <is>
          <t>Uppskattad volym är cirka 1200 ton.</t>
        </is>
      </c>
      <c r="L1989" t="inlineStr">
        <is>
          <t>Uppskattad volym är cirka 1200 ton.</t>
        </is>
      </c>
      <c r="M1989" t="inlineStr">
        <is>
          <t>SKA</t>
        </is>
      </c>
      <c r="N1989" t="inlineStr"/>
      <c r="O1989" t="inlineStr"/>
      <c r="P1989" t="inlineStr"/>
      <c r="Q1989" t="inlineStr"/>
      <c r="R1989" t="inlineStr">
        <is>
          <t>Alltid</t>
        </is>
      </c>
      <c r="S1989" t="inlineStr"/>
      <c r="T1989" t="inlineStr">
        <is>
          <t>891214</t>
        </is>
      </c>
      <c r="U1989" t="n">
        <v>1200</v>
      </c>
      <c r="V1989" t="inlineStr"/>
      <c r="W1989" t="inlineStr">
        <is>
          <t>Nej</t>
        </is>
      </c>
      <c r="X1989" t="inlineStr">
        <is>
          <t>Nej</t>
        </is>
      </c>
      <c r="Y1989" t="inlineStr">
        <is>
          <t>Nej</t>
        </is>
      </c>
      <c r="Z1989" t="inlineStr">
        <is>
          <t>Nej</t>
        </is>
      </c>
      <c r="AA1989" t="n">
        <v>4</v>
      </c>
      <c r="AB1989" t="inlineStr">
        <is>
          <t>Avfallsmangder och lagringstid</t>
        </is>
      </c>
      <c r="AC1989" t="inlineStr">
        <is>
          <t>Avfallsforteckning</t>
        </is>
      </c>
      <c r="AD1989" t="inlineStr">
        <is>
          <t>Nej</t>
        </is>
      </c>
      <c r="AE1989" t="inlineStr">
        <is>
          <t>Nej</t>
        </is>
      </c>
      <c r="AF1989" t="inlineStr">
        <is>
          <t>Ej behandlad</t>
        </is>
      </c>
      <c r="AG1989" t="inlineStr">
        <is>
          <t>AUTO_GENERERAD. Verifiera citat mot kallfil.</t>
        </is>
      </c>
      <c r="AH1989" t="inlineStr">
        <is>
          <t>LOW</t>
        </is>
      </c>
      <c r="AI1989" t="inlineStr">
        <is>
          <t>AUTO</t>
        </is>
      </c>
      <c r="AJ1989" t="inlineStr">
        <is>
          <t>Nej</t>
        </is>
      </c>
      <c r="AK1989" t="inlineStr"/>
      <c r="AL1989" t="inlineStr"/>
      <c r="AM1989" t="inlineStr"/>
      <c r="AN1989" t="inlineStr"/>
      <c r="AO1989" t="inlineStr">
        <is>
          <t>cmm4yunlb00stcuqw956bj2gh</t>
        </is>
      </c>
      <c r="AP1989" t="inlineStr">
        <is>
          <t>http://localhost:8787/api/admin/requirements/documents/cmm4yunlb00stcuqw956bj2gh/view</t>
        </is>
      </c>
      <c r="AQ1989">
        <f>HYPERLÄNK("http://localhost:8787/api/admin/requirements/documents/cmm4yunlb00stcuqw956bj2gh/view";"Öppna PDF")</f>
        <v/>
      </c>
      <c r="AR1989">
        <f>HYPERLINK("http://localhost:8787/api/admin/requirements/documents/cmm4yunlb00stcuqw956bj2gh/view","Open PDF")</f>
        <v/>
      </c>
      <c r="AS1989" t="inlineStr">
        <is>
          <t>cmm55w57p0004cuisfrtpqly8</t>
        </is>
      </c>
      <c r="AT1989" t="inlineStr">
        <is>
          <t>cmm4xvu980000cuh4vj0usz09</t>
        </is>
      </c>
      <c r="AU1989" t="inlineStr"/>
      <c r="AV1989" t="inlineStr">
        <is>
          <t>Kommun</t>
        </is>
      </c>
      <c r="AW1989" t="inlineStr"/>
      <c r="AX1989" t="inlineStr">
        <is>
          <t>2026-02</t>
        </is>
      </c>
      <c r="AY1989" t="inlineStr">
        <is>
          <t>Beslut</t>
        </is>
      </c>
      <c r="AZ1989" t="inlineStr">
        <is>
          <t>2026-02-03</t>
        </is>
      </c>
      <c r="BA1989" t="inlineStr">
        <is>
          <t>MIL2024916pdf_976512.pdf</t>
        </is>
      </c>
      <c r="BB1989" t="inlineStr">
        <is>
          <t>Begäran om allmän handling i ärende  MIL.2026.363</t>
        </is>
      </c>
      <c r="BC1989" t="inlineStr">
        <is>
          <t>AUTO</t>
        </is>
      </c>
      <c r="BD1989" t="inlineStr"/>
      <c r="BE1989" t="inlineStr"/>
      <c r="BF1989" t="inlineStr">
        <is>
          <t>AUTO_GENERERAD. Bekrafta metadata mot kallfil.</t>
        </is>
      </c>
      <c r="BG1989">
        <f>HYPERLINK("C:\Users\jimmy\Desktop\Examens arbete\Kod\Ny mapp\remix_-copy-of-miljöbeslut.se-portal\MIL2024916pdf_976512.pdf", "Öppna PDF")</f>
        <v/>
      </c>
    </row>
    <row r="1990">
      <c r="A1990" t="inlineStr">
        <is>
          <t>KRAV-AUTO-001989</t>
        </is>
      </c>
      <c r="B1990" t="inlineStr">
        <is>
          <t>ADMIN-INDEX-2026-02-27-00000000125C043F57453246863FE664CAFE6A3F0700950291EA24F0614FB6ACEDB12BF0E31D00000000010C0000950291EA24F0614FB6ACEDB12BF0E31D00002087B1860000</t>
        </is>
      </c>
      <c r="C1990" t="inlineStr">
        <is>
          <t>cmm4yunlb00stcuqw956bj2gh</t>
        </is>
      </c>
      <c r="D1990" t="inlineStr">
        <is>
          <t>http://localhost:8787/api/admin/requirements/documents/cmm4yunlb00stcuqw956bj2gh/view</t>
        </is>
      </c>
      <c r="E1990">
        <f>HYPERLÄNK("http://localhost:8787/api/admin/requirements/documents/cmm4yunlb00stcuqw956bj2gh/view";"Öppna PDF")</f>
        <v/>
      </c>
      <c r="F1990">
        <f>HYPERLINK("http://localhost:8787/api/admin/requirements/documents/cmm4yunlb00stcuqw956bj2gh/view","Open PDF")</f>
        <v/>
      </c>
      <c r="G1990" t="inlineStr">
        <is>
          <t>cmm55w57p0004cuisfrtpqly8</t>
        </is>
      </c>
      <c r="H1990" t="inlineStr">
        <is>
          <t>Beslutsvillkor</t>
        </is>
      </c>
      <c r="I1990" t="inlineStr">
        <is>
          <t>Riskhantering</t>
        </is>
      </c>
      <c r="J1990" t="inlineStr">
        <is>
          <t>Riskkontroll</t>
        </is>
      </c>
      <c r="K1990" t="inlineStr">
        <is>
          <t>Täckning ska med hänsyn till risk för luktolägenhet göras i snar anslutning till uppläggning.</t>
        </is>
      </c>
      <c r="L1990" t="inlineStr">
        <is>
          <t>Täckning ska med hänsyn till risk för luktolägenhet göras i snar anslutning till uppläggning.</t>
        </is>
      </c>
      <c r="M1990" t="inlineStr">
        <is>
          <t>SKA</t>
        </is>
      </c>
      <c r="N1990" t="inlineStr"/>
      <c r="O1990" t="inlineStr"/>
      <c r="P1990" t="inlineStr"/>
      <c r="Q1990" t="inlineStr"/>
      <c r="R1990" t="inlineStr">
        <is>
          <t>Vid risk for incident</t>
        </is>
      </c>
      <c r="S1990" t="inlineStr"/>
      <c r="T1990" t="inlineStr">
        <is>
          <t>891214</t>
        </is>
      </c>
      <c r="U1990" t="inlineStr"/>
      <c r="V1990" t="inlineStr"/>
      <c r="W1990" t="inlineStr">
        <is>
          <t>Nej</t>
        </is>
      </c>
      <c r="X1990" t="inlineStr">
        <is>
          <t>Nej</t>
        </is>
      </c>
      <c r="Y1990" t="inlineStr">
        <is>
          <t>Ja</t>
        </is>
      </c>
      <c r="Z1990" t="inlineStr">
        <is>
          <t>Ja</t>
        </is>
      </c>
      <c r="AA1990" t="n">
        <v>8</v>
      </c>
      <c r="AB1990" t="inlineStr">
        <is>
          <t>Riskhantering</t>
        </is>
      </c>
      <c r="AC1990" t="inlineStr">
        <is>
          <t>Risk-PM</t>
        </is>
      </c>
      <c r="AD1990" t="inlineStr">
        <is>
          <t>Nej</t>
        </is>
      </c>
      <c r="AE1990" t="inlineStr">
        <is>
          <t>Nej</t>
        </is>
      </c>
      <c r="AF1990" t="inlineStr">
        <is>
          <t>Ej behandlad</t>
        </is>
      </c>
      <c r="AG1990" t="inlineStr">
        <is>
          <t>AUTO_GENERERAD. Verifiera citat mot kallfil.</t>
        </is>
      </c>
      <c r="AH1990" t="inlineStr">
        <is>
          <t>MEDIUM</t>
        </is>
      </c>
      <c r="AI1990" t="inlineStr">
        <is>
          <t>AUTO</t>
        </is>
      </c>
      <c r="AJ1990" t="inlineStr">
        <is>
          <t>Nej</t>
        </is>
      </c>
      <c r="AK1990" t="inlineStr"/>
      <c r="AL1990" t="inlineStr"/>
      <c r="AM1990" t="inlineStr"/>
      <c r="AN1990" t="inlineStr"/>
      <c r="AO1990" t="inlineStr">
        <is>
          <t>cmm4yunlb00stcuqw956bj2gh</t>
        </is>
      </c>
      <c r="AP1990" t="inlineStr">
        <is>
          <t>http://localhost:8787/api/admin/requirements/documents/cmm4yunlb00stcuqw956bj2gh/view</t>
        </is>
      </c>
      <c r="AQ1990">
        <f>HYPERLÄNK("http://localhost:8787/api/admin/requirements/documents/cmm4yunlb00stcuqw956bj2gh/view";"Öppna PDF")</f>
        <v/>
      </c>
      <c r="AR1990">
        <f>HYPERLINK("http://localhost:8787/api/admin/requirements/documents/cmm4yunlb00stcuqw956bj2gh/view","Open PDF")</f>
        <v/>
      </c>
      <c r="AS1990" t="inlineStr">
        <is>
          <t>cmm55w57p0004cuisfrtpqly8</t>
        </is>
      </c>
      <c r="AT1990" t="inlineStr">
        <is>
          <t>cmm4xvu980000cuh4vj0usz09</t>
        </is>
      </c>
      <c r="AU1990" t="inlineStr"/>
      <c r="AV1990" t="inlineStr">
        <is>
          <t>Kommun</t>
        </is>
      </c>
      <c r="AW1990" t="inlineStr"/>
      <c r="AX1990" t="inlineStr">
        <is>
          <t>2026-02</t>
        </is>
      </c>
      <c r="AY1990" t="inlineStr">
        <is>
          <t>Beslut</t>
        </is>
      </c>
      <c r="AZ1990" t="inlineStr">
        <is>
          <t>2026-02-03</t>
        </is>
      </c>
      <c r="BA1990" t="inlineStr">
        <is>
          <t>MIL2024916pdf_976512.pdf</t>
        </is>
      </c>
      <c r="BB1990" t="inlineStr">
        <is>
          <t>Begäran om allmän handling i ärende  MIL.2026.363</t>
        </is>
      </c>
      <c r="BC1990" t="inlineStr">
        <is>
          <t>AUTO</t>
        </is>
      </c>
      <c r="BD1990" t="inlineStr"/>
      <c r="BE1990" t="inlineStr"/>
      <c r="BF1990" t="inlineStr">
        <is>
          <t>AUTO_GENERERAD. Bekrafta metadata mot kallfil.</t>
        </is>
      </c>
      <c r="BG1990">
        <f>HYPERLINK("C:\Users\jimmy\Desktop\Examens arbete\Kod\Ny mapp\remix_-copy-of-miljöbeslut.se-portal\MIL2024916pdf_976512.pdf", "Öppna PDF")</f>
        <v/>
      </c>
    </row>
    <row r="1991">
      <c r="A1991" t="inlineStr">
        <is>
          <t>KRAV-AUTO-001990</t>
        </is>
      </c>
      <c r="B1991" t="inlineStr">
        <is>
          <t>ADMIN-INDEX-2026-02-27-00000000125C043F57453246863FE664CAFE6A3F0700950291EA24F0614FB6ACEDB12BF0E31D00000000010C0000950291EA24F0614FB6ACEDB12BF0E31D00002087B1860000</t>
        </is>
      </c>
      <c r="C1991" t="inlineStr">
        <is>
          <t>cmm4yunl800sqcuqw4qqljaqs</t>
        </is>
      </c>
      <c r="D1991" t="inlineStr">
        <is>
          <t>http://localhost:8787/api/admin/requirements/documents/cmm4yunl800sqcuqw4qqljaqs/view</t>
        </is>
      </c>
      <c r="E1991">
        <f>HYPERLÄNK("http://localhost:8787/api/admin/requirements/documents/cmm4yunl800sqcuqw4qqljaqs/view";"Öppna PDF")</f>
        <v/>
      </c>
      <c r="F1991">
        <f>HYPERLINK("http://localhost:8787/api/admin/requirements/documents/cmm4yunl800sqcuqw4qqljaqs/view","Open PDF")</f>
        <v/>
      </c>
      <c r="G1991" t="inlineStr">
        <is>
          <t>cmm55w57p0004cuisfrtpqly8</t>
        </is>
      </c>
      <c r="H1991" t="inlineStr">
        <is>
          <t>Beslutsvillkor</t>
        </is>
      </c>
      <c r="I1991" t="inlineStr">
        <is>
          <t>DagvattenLakvatten</t>
        </is>
      </c>
      <c r="J1991" t="inlineStr">
        <is>
          <t>Uppsamling</t>
        </is>
      </c>
      <c r="K1991" t="inlineStr">
        <is>
          <t>Lagringen ska ske så att risken för uppkomst av lakvatten från rötslammet minimeras.</t>
        </is>
      </c>
      <c r="L1991" t="inlineStr">
        <is>
          <t>Lagringen ska ske så att risken för uppkomst av lakvatten från rötslammet minimeras.</t>
        </is>
      </c>
      <c r="M1991" t="inlineStr">
        <is>
          <t>SKA</t>
        </is>
      </c>
      <c r="N1991" t="inlineStr"/>
      <c r="O1991" t="inlineStr"/>
      <c r="P1991" t="inlineStr"/>
      <c r="Q1991" t="inlineStr"/>
      <c r="R1991" t="inlineStr">
        <is>
          <t>Vid nederbord och avrinning</t>
        </is>
      </c>
      <c r="S1991" t="inlineStr"/>
      <c r="T1991" t="inlineStr">
        <is>
          <t>891207</t>
        </is>
      </c>
      <c r="U1991" t="inlineStr"/>
      <c r="V1991" t="inlineStr"/>
      <c r="W1991" t="inlineStr">
        <is>
          <t>Nej</t>
        </is>
      </c>
      <c r="X1991" t="inlineStr">
        <is>
          <t>Ja</t>
        </is>
      </c>
      <c r="Y1991" t="inlineStr">
        <is>
          <t>Ja</t>
        </is>
      </c>
      <c r="Z1991" t="inlineStr">
        <is>
          <t>Nej</t>
        </is>
      </c>
      <c r="AA1991" t="n">
        <v>6</v>
      </c>
      <c r="AB1991" t="inlineStr">
        <is>
          <t>Lakvattenhantering</t>
        </is>
      </c>
      <c r="AC1991" t="inlineStr">
        <is>
          <t>Flodesschema dagvatten-lakvatten</t>
        </is>
      </c>
      <c r="AD1991" t="inlineStr">
        <is>
          <t>Nej</t>
        </is>
      </c>
      <c r="AE1991" t="inlineStr">
        <is>
          <t>Nej</t>
        </is>
      </c>
      <c r="AF1991" t="inlineStr">
        <is>
          <t>Ej behandlad</t>
        </is>
      </c>
      <c r="AG1991" t="inlineStr">
        <is>
          <t>AUTO_GENERERAD. Verifiera citat mot kallfil.</t>
        </is>
      </c>
      <c r="AH1991" t="inlineStr">
        <is>
          <t>MEDIUM</t>
        </is>
      </c>
      <c r="AI1991" t="inlineStr">
        <is>
          <t>AUTO</t>
        </is>
      </c>
      <c r="AJ1991" t="inlineStr">
        <is>
          <t>Nej</t>
        </is>
      </c>
      <c r="AK1991" t="inlineStr"/>
      <c r="AL1991" t="inlineStr"/>
      <c r="AM1991" t="inlineStr"/>
      <c r="AN1991" t="inlineStr"/>
      <c r="AO1991" t="inlineStr">
        <is>
          <t>cmm4yunlb00stcuqw956bj2gh</t>
        </is>
      </c>
      <c r="AP1991" t="inlineStr">
        <is>
          <t>http://localhost:8787/api/admin/requirements/documents/cmm4yunlb00stcuqw956bj2gh/view</t>
        </is>
      </c>
      <c r="AQ1991">
        <f>HYPERLÄNK("http://localhost:8787/api/admin/requirements/documents/cmm4yunlb00stcuqw956bj2gh/view";"Öppna PDF")</f>
        <v/>
      </c>
      <c r="AR1991">
        <f>HYPERLINK("http://localhost:8787/api/admin/requirements/documents/cmm4yunlb00stcuqw956bj2gh/view","Open PDF")</f>
        <v/>
      </c>
      <c r="AS1991" t="inlineStr">
        <is>
          <t>cmm55w57p0004cuisfrtpqly8</t>
        </is>
      </c>
      <c r="AT1991" t="inlineStr">
        <is>
          <t>cmm4xvu980000cuh4vj0usz09</t>
        </is>
      </c>
      <c r="AU1991" t="inlineStr"/>
      <c r="AV1991" t="inlineStr">
        <is>
          <t>Kommun</t>
        </is>
      </c>
      <c r="AW1991" t="inlineStr"/>
      <c r="AX1991" t="inlineStr">
        <is>
          <t>2026-02</t>
        </is>
      </c>
      <c r="AY1991" t="inlineStr">
        <is>
          <t>Beslut</t>
        </is>
      </c>
      <c r="AZ1991" t="inlineStr">
        <is>
          <t>2026-02-03</t>
        </is>
      </c>
      <c r="BA1991" t="inlineStr">
        <is>
          <t>MIL2024916pdf_976512.pdf</t>
        </is>
      </c>
      <c r="BB1991" t="inlineStr">
        <is>
          <t>Begäran om allmän handling i ärende  MIL.2026.363</t>
        </is>
      </c>
      <c r="BC1991" t="inlineStr">
        <is>
          <t>AUTO</t>
        </is>
      </c>
      <c r="BD1991" t="inlineStr"/>
      <c r="BE1991" t="inlineStr"/>
      <c r="BF1991" t="inlineStr">
        <is>
          <t>AUTO_GENERERAD. Bekrafta metadata mot kallfil.</t>
        </is>
      </c>
      <c r="BG1991">
        <f>HYPERLINK("C:\Users\jimmy\Desktop\Examens arbete\Kod\Ny mapp\remix_-copy-of-miljöbeslut.se-portal\MIL2024916pdf_976512.pdf", "Öppna PDF")</f>
        <v/>
      </c>
    </row>
    <row r="1992">
      <c r="A1992" t="inlineStr">
        <is>
          <t>KRAV-AUTO-001991</t>
        </is>
      </c>
      <c r="B1992" t="inlineStr">
        <is>
          <t>ADMIN-INDEX-2026-02-27-00000000125C043F57453246863FE664CAFE6A3F0700950291EA24F0614FB6ACEDB12BF0E31D00000000010C0000950291EA24F0614FB6ACEDB12BF0E31D00002087B1860000</t>
        </is>
      </c>
      <c r="C1992" t="inlineStr">
        <is>
          <t>cmm4yunl800sqcuqw4qqljaqs</t>
        </is>
      </c>
      <c r="D1992" t="inlineStr">
        <is>
          <t>http://localhost:8787/api/admin/requirements/documents/cmm4yunl800sqcuqw4qqljaqs/view</t>
        </is>
      </c>
      <c r="E1992">
        <f>HYPERLÄNK("http://localhost:8787/api/admin/requirements/documents/cmm4yunl800sqcuqw4qqljaqs/view";"Öppna PDF")</f>
        <v/>
      </c>
      <c r="F1992">
        <f>HYPERLINK("http://localhost:8787/api/admin/requirements/documents/cmm4yunl800sqcuqw4qqljaqs/view","Open PDF")</f>
        <v/>
      </c>
      <c r="G1992" t="inlineStr">
        <is>
          <t>cmm55w57p0004cuisfrtpqly8</t>
        </is>
      </c>
      <c r="H1992" t="inlineStr">
        <is>
          <t>Beslutsvillkor</t>
        </is>
      </c>
      <c r="I1992" t="inlineStr">
        <is>
          <t>DagvattenLakvatten</t>
        </is>
      </c>
      <c r="J1992" t="inlineStr">
        <is>
          <t>Uppsamling</t>
        </is>
      </c>
      <c r="K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 Anmälan för lagring av avloppsslam på fastigheten Värnsta 1:1 Ansvarig brukare av marken är Anders Wernestad Lillkyrka Värnsta 1 745 97 Enköping Lagring På ovan redovisade fastigheter kommer mellanlagring av avloppsslam från Revaqcertifierat reningsverk att ske under perioden sommar 2024 till vår 2025.</t>
        </is>
      </c>
      <c r="L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t>
        </is>
      </c>
      <c r="M1992" t="inlineStr">
        <is>
          <t>SKA</t>
        </is>
      </c>
      <c r="N1992" t="inlineStr"/>
      <c r="O1992" t="inlineStr">
        <is>
          <t>2024-03-21</t>
        </is>
      </c>
      <c r="P1992" t="inlineStr"/>
      <c r="Q1992" t="inlineStr"/>
      <c r="R1992" t="inlineStr">
        <is>
          <t>Vid nederbord och avrinning</t>
        </is>
      </c>
      <c r="S1992" t="inlineStr"/>
      <c r="T1992" t="inlineStr">
        <is>
          <t>891207</t>
        </is>
      </c>
      <c r="U1992" t="inlineStr"/>
      <c r="V1992" t="inlineStr"/>
      <c r="W1992" t="inlineStr">
        <is>
          <t>Nej</t>
        </is>
      </c>
      <c r="X1992" t="inlineStr">
        <is>
          <t>Ja</t>
        </is>
      </c>
      <c r="Y1992" t="inlineStr">
        <is>
          <t>Ja</t>
        </is>
      </c>
      <c r="Z1992" t="inlineStr">
        <is>
          <t>Nej</t>
        </is>
      </c>
      <c r="AA1992" t="n">
        <v>6</v>
      </c>
      <c r="AB1992" t="inlineStr">
        <is>
          <t>Lakvattenhantering</t>
        </is>
      </c>
      <c r="AC1992" t="inlineStr">
        <is>
          <t>Flodesschema dagvatten-lakvatten</t>
        </is>
      </c>
      <c r="AD1992" t="inlineStr">
        <is>
          <t>Nej</t>
        </is>
      </c>
      <c r="AE1992" t="inlineStr">
        <is>
          <t>Nej</t>
        </is>
      </c>
      <c r="AF1992" t="inlineStr">
        <is>
          <t>Ej behandlad</t>
        </is>
      </c>
      <c r="AG1992" t="inlineStr">
        <is>
          <t>AUTO_GENERERAD. Verifiera citat mot kallfil.</t>
        </is>
      </c>
      <c r="AH1992" t="inlineStr">
        <is>
          <t>MEDIUM</t>
        </is>
      </c>
      <c r="AI1992" t="inlineStr">
        <is>
          <t>AUTO</t>
        </is>
      </c>
      <c r="AJ1992" t="inlineStr">
        <is>
          <t>Nej</t>
        </is>
      </c>
      <c r="AK1992" t="inlineStr"/>
      <c r="AL1992" t="inlineStr"/>
      <c r="AM1992" t="inlineStr"/>
      <c r="AN1992" t="inlineStr"/>
      <c r="AO1992" t="inlineStr">
        <is>
          <t>cmm4yunlb00stcuqw956bj2gh</t>
        </is>
      </c>
      <c r="AP1992" t="inlineStr">
        <is>
          <t>http://localhost:8787/api/admin/requirements/documents/cmm4yunlb00stcuqw956bj2gh/view</t>
        </is>
      </c>
      <c r="AQ1992">
        <f>HYPERLÄNK("http://localhost:8787/api/admin/requirements/documents/cmm4yunlb00stcuqw956bj2gh/view";"Öppna PDF")</f>
        <v/>
      </c>
      <c r="AR1992">
        <f>HYPERLINK("http://localhost:8787/api/admin/requirements/documents/cmm4yunlb00stcuqw956bj2gh/view","Open PDF")</f>
        <v/>
      </c>
      <c r="AS1992" t="inlineStr">
        <is>
          <t>cmm55w57p0004cuisfrtpqly8</t>
        </is>
      </c>
      <c r="AT1992" t="inlineStr">
        <is>
          <t>cmm4xvu980000cuh4vj0usz09</t>
        </is>
      </c>
      <c r="AU1992" t="inlineStr"/>
      <c r="AV1992" t="inlineStr">
        <is>
          <t>Kommun</t>
        </is>
      </c>
      <c r="AW1992" t="inlineStr"/>
      <c r="AX1992" t="inlineStr">
        <is>
          <t>2026-02</t>
        </is>
      </c>
      <c r="AY1992" t="inlineStr">
        <is>
          <t>Beslut</t>
        </is>
      </c>
      <c r="AZ1992" t="inlineStr">
        <is>
          <t>2026-02-03</t>
        </is>
      </c>
      <c r="BA1992" t="inlineStr">
        <is>
          <t>MIL2024916pdf_976512.pdf</t>
        </is>
      </c>
      <c r="BB1992" t="inlineStr">
        <is>
          <t>Begäran om allmän handling i ärende  MIL.2026.363</t>
        </is>
      </c>
      <c r="BC1992" t="inlineStr">
        <is>
          <t>AUTO</t>
        </is>
      </c>
      <c r="BD1992" t="inlineStr"/>
      <c r="BE1992" t="inlineStr"/>
      <c r="BF1992" t="inlineStr">
        <is>
          <t>AUTO_GENERERAD. Bekrafta metadata mot kallfil.</t>
        </is>
      </c>
      <c r="BG1992">
        <f>HYPERLINK("C:\Users\jimmy\Desktop\Examens arbete\Kod\Ny mapp\remix_-copy-of-miljöbeslut.se-portal\MIL2024916pdf_976512.pdf", "Öppna PDF")</f>
        <v/>
      </c>
    </row>
    <row r="1993">
      <c r="A1993" t="inlineStr">
        <is>
          <t>KRAV-AUTO-001992</t>
        </is>
      </c>
      <c r="B1993" t="inlineStr">
        <is>
          <t>ADMIN-INDEX-2026-02-27-00000000125C043F57453246863FE664CAFE6A3F0700950291EA24F0614FB6ACEDB12BF0E31D00000000010C0000950291EA24F0614FB6ACEDB12BF0E31D00002087B1860000</t>
        </is>
      </c>
      <c r="C1993" t="inlineStr">
        <is>
          <t>cmm4yunl800sqcuqw4qqljaqs</t>
        </is>
      </c>
      <c r="D1993" t="inlineStr">
        <is>
          <t>http://localhost:8787/api/admin/requirements/documents/cmm4yunl800sqcuqw4qqljaqs/view</t>
        </is>
      </c>
      <c r="E1993">
        <f>HYPERLÄNK("http://localhost:8787/api/admin/requirements/documents/cmm4yunl800sqcuqw4qqljaqs/view";"Öppna PDF")</f>
        <v/>
      </c>
      <c r="F1993">
        <f>HYPERLINK("http://localhost:8787/api/admin/requirements/documents/cmm4yunl800sqcuqw4qqljaqs/view","Open PDF")</f>
        <v/>
      </c>
      <c r="G1993" t="inlineStr">
        <is>
          <t>cmm55w57p0004cuisfrtpqly8</t>
        </is>
      </c>
      <c r="H1993" t="inlineStr">
        <is>
          <t>Beslutsvillkor</t>
        </is>
      </c>
      <c r="I1993" t="inlineStr">
        <is>
          <t>LagringsvolymTid</t>
        </is>
      </c>
      <c r="J1993" t="inlineStr">
        <is>
          <t>Maxmangd</t>
        </is>
      </c>
      <c r="K1993" t="inlineStr">
        <is>
          <t>Uppskattad volym är cirka 350 ton.</t>
        </is>
      </c>
      <c r="L1993" t="inlineStr">
        <is>
          <t>Uppskattad volym är cirka 350 ton.</t>
        </is>
      </c>
      <c r="M1993" t="inlineStr">
        <is>
          <t>SKA</t>
        </is>
      </c>
      <c r="N1993" t="inlineStr"/>
      <c r="O1993" t="inlineStr"/>
      <c r="P1993" t="inlineStr"/>
      <c r="Q1993" t="inlineStr"/>
      <c r="R1993" t="inlineStr">
        <is>
          <t>Alltid</t>
        </is>
      </c>
      <c r="S1993" t="inlineStr"/>
      <c r="T1993" t="inlineStr">
        <is>
          <t>891207</t>
        </is>
      </c>
      <c r="U1993" t="n">
        <v>350</v>
      </c>
      <c r="V1993" t="inlineStr"/>
      <c r="W1993" t="inlineStr">
        <is>
          <t>Nej</t>
        </is>
      </c>
      <c r="X1993" t="inlineStr">
        <is>
          <t>Nej</t>
        </is>
      </c>
      <c r="Y1993" t="inlineStr">
        <is>
          <t>Nej</t>
        </is>
      </c>
      <c r="Z1993" t="inlineStr">
        <is>
          <t>Nej</t>
        </is>
      </c>
      <c r="AA1993" t="n">
        <v>4</v>
      </c>
      <c r="AB1993" t="inlineStr">
        <is>
          <t>Avfallsmangder och lagringstid</t>
        </is>
      </c>
      <c r="AC1993" t="inlineStr">
        <is>
          <t>Avfallsforteckning</t>
        </is>
      </c>
      <c r="AD1993" t="inlineStr">
        <is>
          <t>Nej</t>
        </is>
      </c>
      <c r="AE1993" t="inlineStr">
        <is>
          <t>Nej</t>
        </is>
      </c>
      <c r="AF1993" t="inlineStr">
        <is>
          <t>Ej behandlad</t>
        </is>
      </c>
      <c r="AG1993" t="inlineStr">
        <is>
          <t>AUTO_GENERERAD. Verifiera citat mot kallfil.</t>
        </is>
      </c>
      <c r="AH1993" t="inlineStr">
        <is>
          <t>LOW</t>
        </is>
      </c>
      <c r="AI1993" t="inlineStr">
        <is>
          <t>AUTO</t>
        </is>
      </c>
      <c r="AJ1993" t="inlineStr">
        <is>
          <t>Nej</t>
        </is>
      </c>
      <c r="AK1993" t="inlineStr"/>
      <c r="AL1993" t="inlineStr"/>
      <c r="AM1993" t="inlineStr"/>
      <c r="AN1993" t="inlineStr"/>
      <c r="AO1993" t="inlineStr">
        <is>
          <t>cmm4yunlb00stcuqw956bj2gh</t>
        </is>
      </c>
      <c r="AP1993" t="inlineStr">
        <is>
          <t>http://localhost:8787/api/admin/requirements/documents/cmm4yunlb00stcuqw956bj2gh/view</t>
        </is>
      </c>
      <c r="AQ1993">
        <f>HYPERLÄNK("http://localhost:8787/api/admin/requirements/documents/cmm4yunlb00stcuqw956bj2gh/view";"Öppna PDF")</f>
        <v/>
      </c>
      <c r="AR1993">
        <f>HYPERLINK("http://localhost:8787/api/admin/requirements/documents/cmm4yunlb00stcuqw956bj2gh/view","Open PDF")</f>
        <v/>
      </c>
      <c r="AS1993" t="inlineStr">
        <is>
          <t>cmm55w57p0004cuisfrtpqly8</t>
        </is>
      </c>
      <c r="AT1993" t="inlineStr">
        <is>
          <t>cmm4xvu980000cuh4vj0usz09</t>
        </is>
      </c>
      <c r="AU1993" t="inlineStr"/>
      <c r="AV1993" t="inlineStr">
        <is>
          <t>Kommun</t>
        </is>
      </c>
      <c r="AW1993" t="inlineStr"/>
      <c r="AX1993" t="inlineStr">
        <is>
          <t>2026-02</t>
        </is>
      </c>
      <c r="AY1993" t="inlineStr">
        <is>
          <t>Beslut</t>
        </is>
      </c>
      <c r="AZ1993" t="inlineStr">
        <is>
          <t>2026-02-03</t>
        </is>
      </c>
      <c r="BA1993" t="inlineStr">
        <is>
          <t>MIL2024916pdf_976512.pdf</t>
        </is>
      </c>
      <c r="BB1993" t="inlineStr">
        <is>
          <t>Begäran om allmän handling i ärende  MIL.2026.363</t>
        </is>
      </c>
      <c r="BC1993" t="inlineStr">
        <is>
          <t>AUTO</t>
        </is>
      </c>
      <c r="BD1993" t="inlineStr"/>
      <c r="BE1993" t="inlineStr"/>
      <c r="BF1993" t="inlineStr">
        <is>
          <t>AUTO_GENERERAD. Bekrafta metadata mot kallfil.</t>
        </is>
      </c>
      <c r="BG1993">
        <f>HYPERLINK("C:\Users\jimmy\Desktop\Examens arbete\Kod\Ny mapp\remix_-copy-of-miljöbeslut.se-portal\MIL2024916pdf_976512.pdf", "Öppna PDF")</f>
        <v/>
      </c>
    </row>
    <row r="1994">
      <c r="A1994" t="inlineStr">
        <is>
          <t>KRAV-AUTO-001993</t>
        </is>
      </c>
      <c r="B1994" t="inlineStr">
        <is>
          <t>ADMIN-INDEX-2026-02-27-00000000125C043F57453246863FE664CAFE6A3F0700950291EA24F0614FB6ACEDB12BF0E31D00000000010C0000950291EA24F0614FB6ACEDB12BF0E31D00002087B1860000</t>
        </is>
      </c>
      <c r="C1994" t="inlineStr">
        <is>
          <t>cmm4yunl500sncuqwr13tjur1</t>
        </is>
      </c>
      <c r="D1994" t="inlineStr">
        <is>
          <t>http://localhost:8787/api/admin/requirements/documents/cmm4yunl500sncuqwr13tjur1/view</t>
        </is>
      </c>
      <c r="E1994">
        <f>HYPERLÄNK("http://localhost:8787/api/admin/requirements/documents/cmm4yunl500sncuqwr13tjur1/view";"Öppna PDF")</f>
        <v/>
      </c>
      <c r="F1994">
        <f>HYPERLINK("http://localhost:8787/api/admin/requirements/documents/cmm4yunl500sncuqwr13tjur1/view","Open PDF")</f>
        <v/>
      </c>
      <c r="G1994" t="inlineStr">
        <is>
          <t>cmm55w57p0004cuisfrtpqly8</t>
        </is>
      </c>
      <c r="H1994" t="inlineStr">
        <is>
          <t>Beslutsvillkor</t>
        </is>
      </c>
      <c r="I1994" t="inlineStr">
        <is>
          <t>DagvattenLakvatten</t>
        </is>
      </c>
      <c r="J1994" t="inlineStr">
        <is>
          <t>Uppsamling</t>
        </is>
      </c>
      <c r="K1994" t="inlineStr">
        <is>
          <t>Lagringen ska ske så att risken för uppkomst av lakvatten från rötslammet minimeras.</t>
        </is>
      </c>
      <c r="L1994" t="inlineStr">
        <is>
          <t>Lagringen ska ske så att risken för uppkomst av lakvatten från rötslammet minimeras.</t>
        </is>
      </c>
      <c r="M1994" t="inlineStr">
        <is>
          <t>SKA</t>
        </is>
      </c>
      <c r="N1994" t="inlineStr"/>
      <c r="O1994" t="inlineStr"/>
      <c r="P1994" t="inlineStr"/>
      <c r="Q1994" t="inlineStr"/>
      <c r="R1994" t="inlineStr">
        <is>
          <t>Vid nederbord och avrinning</t>
        </is>
      </c>
      <c r="S1994" t="inlineStr"/>
      <c r="T1994" t="inlineStr">
        <is>
          <t>888838</t>
        </is>
      </c>
      <c r="U1994" t="inlineStr"/>
      <c r="V1994" t="inlineStr"/>
      <c r="W1994" t="inlineStr">
        <is>
          <t>Nej</t>
        </is>
      </c>
      <c r="X1994" t="inlineStr">
        <is>
          <t>Ja</t>
        </is>
      </c>
      <c r="Y1994" t="inlineStr">
        <is>
          <t>Ja</t>
        </is>
      </c>
      <c r="Z1994" t="inlineStr">
        <is>
          <t>Nej</t>
        </is>
      </c>
      <c r="AA1994" t="n">
        <v>6</v>
      </c>
      <c r="AB1994" t="inlineStr">
        <is>
          <t>Lakvattenhantering</t>
        </is>
      </c>
      <c r="AC1994" t="inlineStr">
        <is>
          <t>Flodesschema dagvatten-lakvatten</t>
        </is>
      </c>
      <c r="AD1994" t="inlineStr">
        <is>
          <t>Nej</t>
        </is>
      </c>
      <c r="AE1994" t="inlineStr">
        <is>
          <t>Nej</t>
        </is>
      </c>
      <c r="AF1994" t="inlineStr">
        <is>
          <t>Ej behandlad</t>
        </is>
      </c>
      <c r="AG1994" t="inlineStr">
        <is>
          <t>AUTO_GENERERAD. Verifiera citat mot kallfil.</t>
        </is>
      </c>
      <c r="AH1994" t="inlineStr">
        <is>
          <t>MEDIUM</t>
        </is>
      </c>
      <c r="AI1994" t="inlineStr">
        <is>
          <t>AUTO</t>
        </is>
      </c>
      <c r="AJ1994" t="inlineStr">
        <is>
          <t>Nej</t>
        </is>
      </c>
      <c r="AK1994" t="inlineStr"/>
      <c r="AL1994" t="inlineStr"/>
      <c r="AM1994" t="inlineStr"/>
      <c r="AN1994" t="inlineStr"/>
      <c r="AO1994" t="inlineStr">
        <is>
          <t>cmm4yunlb00stcuqw956bj2gh</t>
        </is>
      </c>
      <c r="AP1994" t="inlineStr">
        <is>
          <t>http://localhost:8787/api/admin/requirements/documents/cmm4yunlb00stcuqw956bj2gh/view</t>
        </is>
      </c>
      <c r="AQ1994">
        <f>HYPERLÄNK("http://localhost:8787/api/admin/requirements/documents/cmm4yunlb00stcuqw956bj2gh/view";"Öppna PDF")</f>
        <v/>
      </c>
      <c r="AR1994">
        <f>HYPERLINK("http://localhost:8787/api/admin/requirements/documents/cmm4yunlb00stcuqw956bj2gh/view","Open PDF")</f>
        <v/>
      </c>
      <c r="AS1994" t="inlineStr">
        <is>
          <t>cmm55w57p0004cuisfrtpqly8</t>
        </is>
      </c>
      <c r="AT1994" t="inlineStr">
        <is>
          <t>cmm4xvu980000cuh4vj0usz09</t>
        </is>
      </c>
      <c r="AU1994" t="inlineStr"/>
      <c r="AV1994" t="inlineStr">
        <is>
          <t>Kommun</t>
        </is>
      </c>
      <c r="AW1994" t="inlineStr"/>
      <c r="AX1994" t="inlineStr">
        <is>
          <t>2026-02</t>
        </is>
      </c>
      <c r="AY1994" t="inlineStr">
        <is>
          <t>Beslut</t>
        </is>
      </c>
      <c r="AZ1994" t="inlineStr">
        <is>
          <t>2026-02-03</t>
        </is>
      </c>
      <c r="BA1994" t="inlineStr">
        <is>
          <t>MIL2024916pdf_976512.pdf</t>
        </is>
      </c>
      <c r="BB1994" t="inlineStr">
        <is>
          <t>Begäran om allmän handling i ärende  MIL.2026.363</t>
        </is>
      </c>
      <c r="BC1994" t="inlineStr">
        <is>
          <t>AUTO</t>
        </is>
      </c>
      <c r="BD1994" t="inlineStr"/>
      <c r="BE1994" t="inlineStr"/>
      <c r="BF1994" t="inlineStr">
        <is>
          <t>AUTO_GENERERAD. Bekrafta metadata mot kallfil.</t>
        </is>
      </c>
      <c r="BG1994">
        <f>HYPERLINK("C:\Users\jimmy\Desktop\Examens arbete\Kod\Ny mapp\remix_-copy-of-miljöbeslut.se-portal\MIL2024916pdf_976512.pdf", "Öppna PDF")</f>
        <v/>
      </c>
    </row>
    <row r="1995">
      <c r="A1995" t="inlineStr">
        <is>
          <t>KRAV-AUTO-001994</t>
        </is>
      </c>
      <c r="B1995" t="inlineStr">
        <is>
          <t>ADMIN-INDEX-2026-02-27-00000000125C043F57453246863FE664CAFE6A3F0700950291EA24F0614FB6ACEDB12BF0E31D00000000010C0000950291EA24F0614FB6ACEDB12BF0E31D00002087B1860000</t>
        </is>
      </c>
      <c r="C1995" t="inlineStr">
        <is>
          <t>cmm4yunl500sncuqwr13tjur1</t>
        </is>
      </c>
      <c r="D1995" t="inlineStr">
        <is>
          <t>http://localhost:8787/api/admin/requirements/documents/cmm4yunl500sncuqwr13tjur1/view</t>
        </is>
      </c>
      <c r="E1995">
        <f>HYPERLÄNK("http://localhost:8787/api/admin/requirements/documents/cmm4yunl500sncuqwr13tjur1/view";"Öppna PDF")</f>
        <v/>
      </c>
      <c r="F1995">
        <f>HYPERLINK("http://localhost:8787/api/admin/requirements/documents/cmm4yunl500sncuqwr13tjur1/view","Open PDF")</f>
        <v/>
      </c>
      <c r="G1995" t="inlineStr">
        <is>
          <t>cmm55w57p0004cuisfrtpqly8</t>
        </is>
      </c>
      <c r="H1995" t="inlineStr">
        <is>
          <t>Beslutsvillkor</t>
        </is>
      </c>
      <c r="I1995" t="inlineStr">
        <is>
          <t>LagringsvolymTid</t>
        </is>
      </c>
      <c r="J1995" t="inlineStr">
        <is>
          <t>Maxmangd</t>
        </is>
      </c>
      <c r="K1995" t="inlineStr">
        <is>
          <t>Uppskattad volym är cirka 330 ton.</t>
        </is>
      </c>
      <c r="L1995" t="inlineStr">
        <is>
          <t>Uppskattad volym är cirka 330 ton.</t>
        </is>
      </c>
      <c r="M1995" t="inlineStr">
        <is>
          <t>SKA</t>
        </is>
      </c>
      <c r="N1995" t="inlineStr"/>
      <c r="O1995" t="inlineStr"/>
      <c r="P1995" t="inlineStr"/>
      <c r="Q1995" t="inlineStr"/>
      <c r="R1995" t="inlineStr">
        <is>
          <t>Alltid</t>
        </is>
      </c>
      <c r="S1995" t="inlineStr"/>
      <c r="T1995" t="inlineStr">
        <is>
          <t>888838</t>
        </is>
      </c>
      <c r="U1995" t="n">
        <v>330</v>
      </c>
      <c r="V1995" t="inlineStr"/>
      <c r="W1995" t="inlineStr">
        <is>
          <t>Nej</t>
        </is>
      </c>
      <c r="X1995" t="inlineStr">
        <is>
          <t>Nej</t>
        </is>
      </c>
      <c r="Y1995" t="inlineStr">
        <is>
          <t>Nej</t>
        </is>
      </c>
      <c r="Z1995" t="inlineStr">
        <is>
          <t>Nej</t>
        </is>
      </c>
      <c r="AA1995" t="n">
        <v>4</v>
      </c>
      <c r="AB1995" t="inlineStr">
        <is>
          <t>Avfallsmangder och lagringstid</t>
        </is>
      </c>
      <c r="AC1995" t="inlineStr">
        <is>
          <t>Avfallsforteckning</t>
        </is>
      </c>
      <c r="AD1995" t="inlineStr">
        <is>
          <t>Nej</t>
        </is>
      </c>
      <c r="AE1995" t="inlineStr">
        <is>
          <t>Nej</t>
        </is>
      </c>
      <c r="AF1995" t="inlineStr">
        <is>
          <t>Ej behandlad</t>
        </is>
      </c>
      <c r="AG1995" t="inlineStr">
        <is>
          <t>AUTO_GENERERAD. Verifiera citat mot kallfil.</t>
        </is>
      </c>
      <c r="AH1995" t="inlineStr">
        <is>
          <t>LOW</t>
        </is>
      </c>
      <c r="AI1995" t="inlineStr">
        <is>
          <t>AUTO</t>
        </is>
      </c>
      <c r="AJ1995" t="inlineStr">
        <is>
          <t>Nej</t>
        </is>
      </c>
      <c r="AK1995" t="inlineStr"/>
      <c r="AL1995" t="inlineStr"/>
      <c r="AM1995" t="inlineStr"/>
      <c r="AN1995" t="inlineStr"/>
      <c r="AO1995" t="inlineStr">
        <is>
          <t>cmm4yunlb00stcuqw956bj2gh</t>
        </is>
      </c>
      <c r="AP1995" t="inlineStr">
        <is>
          <t>http://localhost:8787/api/admin/requirements/documents/cmm4yunlb00stcuqw956bj2gh/view</t>
        </is>
      </c>
      <c r="AQ1995">
        <f>HYPERLÄNK("http://localhost:8787/api/admin/requirements/documents/cmm4yunlb00stcuqw956bj2gh/view";"Öppna PDF")</f>
        <v/>
      </c>
      <c r="AR1995">
        <f>HYPERLINK("http://localhost:8787/api/admin/requirements/documents/cmm4yunlb00stcuqw956bj2gh/view","Open PDF")</f>
        <v/>
      </c>
      <c r="AS1995" t="inlineStr">
        <is>
          <t>cmm55w57p0004cuisfrtpqly8</t>
        </is>
      </c>
      <c r="AT1995" t="inlineStr">
        <is>
          <t>cmm4xvu980000cuh4vj0usz09</t>
        </is>
      </c>
      <c r="AU1995" t="inlineStr"/>
      <c r="AV1995" t="inlineStr">
        <is>
          <t>Kommun</t>
        </is>
      </c>
      <c r="AW1995" t="inlineStr"/>
      <c r="AX1995" t="inlineStr">
        <is>
          <t>2026-02</t>
        </is>
      </c>
      <c r="AY1995" t="inlineStr">
        <is>
          <t>Beslut</t>
        </is>
      </c>
      <c r="AZ1995" t="inlineStr">
        <is>
          <t>2026-02-03</t>
        </is>
      </c>
      <c r="BA1995" t="inlineStr">
        <is>
          <t>MIL2024916pdf_976512.pdf</t>
        </is>
      </c>
      <c r="BB1995" t="inlineStr">
        <is>
          <t>Begäran om allmän handling i ärende  MIL.2026.363</t>
        </is>
      </c>
      <c r="BC1995" t="inlineStr">
        <is>
          <t>AUTO</t>
        </is>
      </c>
      <c r="BD1995" t="inlineStr"/>
      <c r="BE1995" t="inlineStr"/>
      <c r="BF1995" t="inlineStr">
        <is>
          <t>AUTO_GENERERAD. Bekrafta metadata mot kallfil.</t>
        </is>
      </c>
      <c r="BG1995">
        <f>HYPERLINK("C:\Users\jimmy\Desktop\Examens arbete\Kod\Ny mapp\remix_-copy-of-miljöbeslut.se-portal\MIL2024916pdf_976512.pdf", "Öppna PDF")</f>
        <v/>
      </c>
    </row>
    <row r="1996">
      <c r="A1996" t="inlineStr">
        <is>
          <t>KRAV-AUTO-001995</t>
        </is>
      </c>
      <c r="B1996" t="inlineStr">
        <is>
          <t>ADMIN-INDEX-2026-02-27-00000000125C043F57453246863FE664CAFE6A3F0700950291EA24F0614FB6ACEDB12BF0E31D00000000010C0000950291EA24F0614FB6ACEDB12BF0E31D00002087B1860000</t>
        </is>
      </c>
      <c r="C1996" t="inlineStr">
        <is>
          <t>cmm4yunl500sncuqwr13tjur1</t>
        </is>
      </c>
      <c r="D1996" t="inlineStr">
        <is>
          <t>http://localhost:8787/api/admin/requirements/documents/cmm4yunl500sncuqwr13tjur1/view</t>
        </is>
      </c>
      <c r="E1996">
        <f>HYPERLÄNK("http://localhost:8787/api/admin/requirements/documents/cmm4yunl500sncuqwr13tjur1/view";"Öppna PDF")</f>
        <v/>
      </c>
      <c r="F1996">
        <f>HYPERLINK("http://localhost:8787/api/admin/requirements/documents/cmm4yunl500sncuqwr13tjur1/view","Open PDF")</f>
        <v/>
      </c>
      <c r="G1996" t="inlineStr">
        <is>
          <t>cmm55w57p0004cuisfrtpqly8</t>
        </is>
      </c>
      <c r="H1996" t="inlineStr">
        <is>
          <t>Beslutsvillkor</t>
        </is>
      </c>
      <c r="I1996" t="inlineStr">
        <is>
          <t>Riskhantering</t>
        </is>
      </c>
      <c r="J1996" t="inlineStr">
        <is>
          <t>Riskkontroll</t>
        </is>
      </c>
      <c r="K1996" t="inlineStr">
        <is>
          <t>Täckning ska med hänsyn till risk för luktolägenhet göras i snar anslutning till uppläggning.</t>
        </is>
      </c>
      <c r="L1996" t="inlineStr">
        <is>
          <t>Täckning ska med hänsyn till risk för luktolägenhet göras i snar anslutning till uppläggning.</t>
        </is>
      </c>
      <c r="M1996" t="inlineStr">
        <is>
          <t>SKA</t>
        </is>
      </c>
      <c r="N1996" t="inlineStr"/>
      <c r="O1996" t="inlineStr"/>
      <c r="P1996" t="inlineStr"/>
      <c r="Q1996" t="inlineStr"/>
      <c r="R1996" t="inlineStr">
        <is>
          <t>Vid risk for incident</t>
        </is>
      </c>
      <c r="S1996" t="inlineStr"/>
      <c r="T1996" t="inlineStr">
        <is>
          <t>888838</t>
        </is>
      </c>
      <c r="U1996" t="inlineStr"/>
      <c r="V1996" t="inlineStr"/>
      <c r="W1996" t="inlineStr">
        <is>
          <t>Nej</t>
        </is>
      </c>
      <c r="X1996" t="inlineStr">
        <is>
          <t>Nej</t>
        </is>
      </c>
      <c r="Y1996" t="inlineStr">
        <is>
          <t>Ja</t>
        </is>
      </c>
      <c r="Z1996" t="inlineStr">
        <is>
          <t>Ja</t>
        </is>
      </c>
      <c r="AA1996" t="n">
        <v>8</v>
      </c>
      <c r="AB1996" t="inlineStr">
        <is>
          <t>Riskhantering</t>
        </is>
      </c>
      <c r="AC1996" t="inlineStr">
        <is>
          <t>Risk-PM</t>
        </is>
      </c>
      <c r="AD1996" t="inlineStr">
        <is>
          <t>Nej</t>
        </is>
      </c>
      <c r="AE1996" t="inlineStr">
        <is>
          <t>Nej</t>
        </is>
      </c>
      <c r="AF1996" t="inlineStr">
        <is>
          <t>Ej behandlad</t>
        </is>
      </c>
      <c r="AG1996" t="inlineStr">
        <is>
          <t>AUTO_GENERERAD. Verifiera citat mot kallfil.</t>
        </is>
      </c>
      <c r="AH1996" t="inlineStr">
        <is>
          <t>MEDIUM</t>
        </is>
      </c>
      <c r="AI1996" t="inlineStr">
        <is>
          <t>AUTO</t>
        </is>
      </c>
      <c r="AJ1996" t="inlineStr">
        <is>
          <t>Nej</t>
        </is>
      </c>
      <c r="AK1996" t="inlineStr"/>
      <c r="AL1996" t="inlineStr"/>
      <c r="AM1996" t="inlineStr"/>
      <c r="AN1996" t="inlineStr"/>
      <c r="AO1996" t="inlineStr">
        <is>
          <t>cmm4yunlb00stcuqw956bj2gh</t>
        </is>
      </c>
      <c r="AP1996" t="inlineStr">
        <is>
          <t>http://localhost:8787/api/admin/requirements/documents/cmm4yunlb00stcuqw956bj2gh/view</t>
        </is>
      </c>
      <c r="AQ1996">
        <f>HYPERLÄNK("http://localhost:8787/api/admin/requirements/documents/cmm4yunlb00stcuqw956bj2gh/view";"Öppna PDF")</f>
        <v/>
      </c>
      <c r="AR1996">
        <f>HYPERLINK("http://localhost:8787/api/admin/requirements/documents/cmm4yunlb00stcuqw956bj2gh/view","Open PDF")</f>
        <v/>
      </c>
      <c r="AS1996" t="inlineStr">
        <is>
          <t>cmm55w57p0004cuisfrtpqly8</t>
        </is>
      </c>
      <c r="AT1996" t="inlineStr">
        <is>
          <t>cmm4xvu980000cuh4vj0usz09</t>
        </is>
      </c>
      <c r="AU1996" t="inlineStr"/>
      <c r="AV1996" t="inlineStr">
        <is>
          <t>Kommun</t>
        </is>
      </c>
      <c r="AW1996" t="inlineStr"/>
      <c r="AX1996" t="inlineStr">
        <is>
          <t>2026-02</t>
        </is>
      </c>
      <c r="AY1996" t="inlineStr">
        <is>
          <t>Beslut</t>
        </is>
      </c>
      <c r="AZ1996" t="inlineStr">
        <is>
          <t>2026-02-03</t>
        </is>
      </c>
      <c r="BA1996" t="inlineStr">
        <is>
          <t>MIL2024916pdf_976512.pdf</t>
        </is>
      </c>
      <c r="BB1996" t="inlineStr">
        <is>
          <t>Begäran om allmän handling i ärende  MIL.2026.363</t>
        </is>
      </c>
      <c r="BC1996" t="inlineStr">
        <is>
          <t>AUTO</t>
        </is>
      </c>
      <c r="BD1996" t="inlineStr"/>
      <c r="BE1996" t="inlineStr"/>
      <c r="BF1996" t="inlineStr">
        <is>
          <t>AUTO_GENERERAD. Bekrafta metadata mot kallfil.</t>
        </is>
      </c>
      <c r="BG1996">
        <f>HYPERLINK("C:\Users\jimmy\Desktop\Examens arbete\Kod\Ny mapp\remix_-copy-of-miljöbeslut.se-portal\MIL2024916pdf_976512.pdf", "Öppna PDF")</f>
        <v/>
      </c>
    </row>
    <row r="1997">
      <c r="A1997" t="inlineStr">
        <is>
          <t>KRAV-AUTO-001996</t>
        </is>
      </c>
      <c r="B1997" t="inlineStr">
        <is>
          <t>ADMIN-INDEX-2026-02-27-00000000125C043F57453246863FE664CAFE6A3F0700950291EA24F0614FB6ACEDB12BF0E31D00000000010C0000950291EA24F0614FB6ACEDB12BF0E31D00002087B1860000</t>
        </is>
      </c>
      <c r="C1997" t="inlineStr">
        <is>
          <t>cmm4yunl300skcuqw0r1pungx</t>
        </is>
      </c>
      <c r="D1997" t="inlineStr">
        <is>
          <t>http://localhost:8787/api/admin/requirements/documents/cmm4yunl300skcuqw0r1pungx/view</t>
        </is>
      </c>
      <c r="E1997">
        <f>HYPERLÄNK("http://localhost:8787/api/admin/requirements/documents/cmm4yunl300skcuqw0r1pungx/view";"Öppna PDF")</f>
        <v/>
      </c>
      <c r="F1997">
        <f>HYPERLINK("http://localhost:8787/api/admin/requirements/documents/cmm4yunl300skcuqw0r1pungx/view","Open PDF")</f>
        <v/>
      </c>
      <c r="G1997" t="inlineStr">
        <is>
          <t>cmm55w57p0004cuisfrtpqly8</t>
        </is>
      </c>
      <c r="H1997" t="inlineStr">
        <is>
          <t>Beslutsvillkor</t>
        </is>
      </c>
      <c r="I1997" t="inlineStr">
        <is>
          <t>DagvattenLakvatten</t>
        </is>
      </c>
      <c r="J1997" t="inlineStr">
        <is>
          <t>Uppsamling</t>
        </is>
      </c>
      <c r="K1997" t="inlineStr">
        <is>
          <t>Lagringen ska ske så att risken för uppkomst av lakvatten från rötslammet minimeras.</t>
        </is>
      </c>
      <c r="L1997" t="inlineStr">
        <is>
          <t>Lagringen ska ske så att risken för uppkomst av lakvatten från rötslammet minimeras.</t>
        </is>
      </c>
      <c r="M1997" t="inlineStr">
        <is>
          <t>SKA</t>
        </is>
      </c>
      <c r="N1997" t="inlineStr"/>
      <c r="O1997" t="inlineStr"/>
      <c r="P1997" t="inlineStr"/>
      <c r="Q1997" t="inlineStr"/>
      <c r="R1997" t="inlineStr">
        <is>
          <t>Vid nederbord och avrinning</t>
        </is>
      </c>
      <c r="S1997" t="inlineStr"/>
      <c r="T1997" t="inlineStr">
        <is>
          <t>885626</t>
        </is>
      </c>
      <c r="U1997" t="inlineStr"/>
      <c r="V1997" t="inlineStr"/>
      <c r="W1997" t="inlineStr">
        <is>
          <t>Nej</t>
        </is>
      </c>
      <c r="X1997" t="inlineStr">
        <is>
          <t>Ja</t>
        </is>
      </c>
      <c r="Y1997" t="inlineStr">
        <is>
          <t>Ja</t>
        </is>
      </c>
      <c r="Z1997" t="inlineStr">
        <is>
          <t>Nej</t>
        </is>
      </c>
      <c r="AA1997" t="n">
        <v>6</v>
      </c>
      <c r="AB1997" t="inlineStr">
        <is>
          <t>Lakvattenhantering</t>
        </is>
      </c>
      <c r="AC1997" t="inlineStr">
        <is>
          <t>Flodesschema dagvatten-lakvatten</t>
        </is>
      </c>
      <c r="AD1997" t="inlineStr">
        <is>
          <t>Nej</t>
        </is>
      </c>
      <c r="AE1997" t="inlineStr">
        <is>
          <t>Nej</t>
        </is>
      </c>
      <c r="AF1997" t="inlineStr">
        <is>
          <t>Ej behandlad</t>
        </is>
      </c>
      <c r="AG1997" t="inlineStr">
        <is>
          <t>AUTO_GENERERAD. Verifiera citat mot kallfil.</t>
        </is>
      </c>
      <c r="AH1997" t="inlineStr">
        <is>
          <t>MEDIUM</t>
        </is>
      </c>
      <c r="AI1997" t="inlineStr">
        <is>
          <t>AUTO</t>
        </is>
      </c>
      <c r="AJ1997" t="inlineStr">
        <is>
          <t>Nej</t>
        </is>
      </c>
      <c r="AK1997" t="inlineStr"/>
      <c r="AL1997" t="inlineStr"/>
      <c r="AM1997" t="inlineStr"/>
      <c r="AN1997" t="inlineStr"/>
      <c r="AO1997" t="inlineStr">
        <is>
          <t>cmm4yunlb00stcuqw956bj2gh</t>
        </is>
      </c>
      <c r="AP1997" t="inlineStr">
        <is>
          <t>http://localhost:8787/api/admin/requirements/documents/cmm4yunlb00stcuqw956bj2gh/view</t>
        </is>
      </c>
      <c r="AQ1997">
        <f>HYPERLÄNK("http://localhost:8787/api/admin/requirements/documents/cmm4yunlb00stcuqw956bj2gh/view";"Öppna PDF")</f>
        <v/>
      </c>
      <c r="AR1997">
        <f>HYPERLINK("http://localhost:8787/api/admin/requirements/documents/cmm4yunlb00stcuqw956bj2gh/view","Open PDF")</f>
        <v/>
      </c>
      <c r="AS1997" t="inlineStr">
        <is>
          <t>cmm55w57p0004cuisfrtpqly8</t>
        </is>
      </c>
      <c r="AT1997" t="inlineStr">
        <is>
          <t>cmm4xvu980000cuh4vj0usz09</t>
        </is>
      </c>
      <c r="AU1997" t="inlineStr"/>
      <c r="AV1997" t="inlineStr">
        <is>
          <t>Kommun</t>
        </is>
      </c>
      <c r="AW1997" t="inlineStr"/>
      <c r="AX1997" t="inlineStr">
        <is>
          <t>2026-02</t>
        </is>
      </c>
      <c r="AY1997" t="inlineStr">
        <is>
          <t>Beslut</t>
        </is>
      </c>
      <c r="AZ1997" t="inlineStr">
        <is>
          <t>2026-02-03</t>
        </is>
      </c>
      <c r="BA1997" t="inlineStr">
        <is>
          <t>MIL2024916pdf_976512.pdf</t>
        </is>
      </c>
      <c r="BB1997" t="inlineStr">
        <is>
          <t>Begäran om allmän handling i ärende  MIL.2026.363</t>
        </is>
      </c>
      <c r="BC1997" t="inlineStr">
        <is>
          <t>AUTO</t>
        </is>
      </c>
      <c r="BD1997" t="inlineStr"/>
      <c r="BE1997" t="inlineStr"/>
      <c r="BF1997" t="inlineStr">
        <is>
          <t>AUTO_GENERERAD. Bekrafta metadata mot kallfil.</t>
        </is>
      </c>
      <c r="BG1997">
        <f>HYPERLINK("C:\Users\jimmy\Desktop\Examens arbete\Kod\Ny mapp\remix_-copy-of-miljöbeslut.se-portal\MIL2024916pdf_976512.pdf", "Öppna PDF")</f>
        <v/>
      </c>
    </row>
    <row r="1998">
      <c r="A1998" t="inlineStr">
        <is>
          <t>KRAV-AUTO-001997</t>
        </is>
      </c>
      <c r="B1998" t="inlineStr">
        <is>
          <t>ADMIN-INDEX-2026-02-27-00000000125C043F57453246863FE664CAFE6A3F0700950291EA24F0614FB6ACEDB12BF0E31D00000000010C0000950291EA24F0614FB6ACEDB12BF0E31D00002087B1860000</t>
        </is>
      </c>
      <c r="C1998" t="inlineStr">
        <is>
          <t>cmm4yunl300skcuqw0r1pungx</t>
        </is>
      </c>
      <c r="D1998" t="inlineStr">
        <is>
          <t>http://localhost:8787/api/admin/requirements/documents/cmm4yunl300skcuqw0r1pungx/view</t>
        </is>
      </c>
      <c r="E1998">
        <f>HYPERLÄNK("http://localhost:8787/api/admin/requirements/documents/cmm4yunl300skcuqw0r1pungx/view";"Öppna PDF")</f>
        <v/>
      </c>
      <c r="F1998">
        <f>HYPERLINK("http://localhost:8787/api/admin/requirements/documents/cmm4yunl300skcuqw0r1pungx/view","Open PDF")</f>
        <v/>
      </c>
      <c r="G1998" t="inlineStr">
        <is>
          <t>cmm55w57p0004cuisfrtpqly8</t>
        </is>
      </c>
      <c r="H1998" t="inlineStr">
        <is>
          <t>Beslutsvillkor</t>
        </is>
      </c>
      <c r="I1998" t="inlineStr">
        <is>
          <t>Riskhantering</t>
        </is>
      </c>
      <c r="J1998" t="inlineStr">
        <is>
          <t>Riskkontroll</t>
        </is>
      </c>
      <c r="K1998" t="inlineStr">
        <is>
          <t>Täckning ska med hänsyn till risk för luktolägenhet göras i snar anslutning till uppläggning.</t>
        </is>
      </c>
      <c r="L1998" t="inlineStr">
        <is>
          <t>Täckning ska med hänsyn till risk för luktolägenhet göras i snar anslutning till uppläggning.</t>
        </is>
      </c>
      <c r="M1998" t="inlineStr">
        <is>
          <t>SKA</t>
        </is>
      </c>
      <c r="N1998" t="inlineStr"/>
      <c r="O1998" t="inlineStr"/>
      <c r="P1998" t="inlineStr"/>
      <c r="Q1998" t="inlineStr"/>
      <c r="R1998" t="inlineStr">
        <is>
          <t>Vid risk for incident</t>
        </is>
      </c>
      <c r="S1998" t="inlineStr"/>
      <c r="T1998" t="inlineStr">
        <is>
          <t>885626</t>
        </is>
      </c>
      <c r="U1998" t="inlineStr"/>
      <c r="V1998" t="inlineStr"/>
      <c r="W1998" t="inlineStr">
        <is>
          <t>Nej</t>
        </is>
      </c>
      <c r="X1998" t="inlineStr">
        <is>
          <t>Nej</t>
        </is>
      </c>
      <c r="Y1998" t="inlineStr">
        <is>
          <t>Ja</t>
        </is>
      </c>
      <c r="Z1998" t="inlineStr">
        <is>
          <t>Ja</t>
        </is>
      </c>
      <c r="AA1998" t="n">
        <v>8</v>
      </c>
      <c r="AB1998" t="inlineStr">
        <is>
          <t>Riskhantering</t>
        </is>
      </c>
      <c r="AC1998" t="inlineStr">
        <is>
          <t>Risk-PM</t>
        </is>
      </c>
      <c r="AD1998" t="inlineStr">
        <is>
          <t>Nej</t>
        </is>
      </c>
      <c r="AE1998" t="inlineStr">
        <is>
          <t>Nej</t>
        </is>
      </c>
      <c r="AF1998" t="inlineStr">
        <is>
          <t>Ej behandlad</t>
        </is>
      </c>
      <c r="AG1998" t="inlineStr">
        <is>
          <t>AUTO_GENERERAD. Verifiera citat mot kallfil.</t>
        </is>
      </c>
      <c r="AH1998" t="inlineStr">
        <is>
          <t>MEDIUM</t>
        </is>
      </c>
      <c r="AI1998" t="inlineStr">
        <is>
          <t>AUTO</t>
        </is>
      </c>
      <c r="AJ1998" t="inlineStr">
        <is>
          <t>Nej</t>
        </is>
      </c>
      <c r="AK1998" t="inlineStr"/>
      <c r="AL1998" t="inlineStr"/>
      <c r="AM1998" t="inlineStr"/>
      <c r="AN1998" t="inlineStr"/>
      <c r="AO1998" t="inlineStr">
        <is>
          <t>cmm4yunlb00stcuqw956bj2gh</t>
        </is>
      </c>
      <c r="AP1998" t="inlineStr">
        <is>
          <t>http://localhost:8787/api/admin/requirements/documents/cmm4yunlb00stcuqw956bj2gh/view</t>
        </is>
      </c>
      <c r="AQ1998">
        <f>HYPERLÄNK("http://localhost:8787/api/admin/requirements/documents/cmm4yunlb00stcuqw956bj2gh/view";"Öppna PDF")</f>
        <v/>
      </c>
      <c r="AR1998">
        <f>HYPERLINK("http://localhost:8787/api/admin/requirements/documents/cmm4yunlb00stcuqw956bj2gh/view","Open PDF")</f>
        <v/>
      </c>
      <c r="AS1998" t="inlineStr">
        <is>
          <t>cmm55w57p0004cuisfrtpqly8</t>
        </is>
      </c>
      <c r="AT1998" t="inlineStr">
        <is>
          <t>cmm4xvu980000cuh4vj0usz09</t>
        </is>
      </c>
      <c r="AU1998" t="inlineStr"/>
      <c r="AV1998" t="inlineStr">
        <is>
          <t>Kommun</t>
        </is>
      </c>
      <c r="AW1998" t="inlineStr"/>
      <c r="AX1998" t="inlineStr">
        <is>
          <t>2026-02</t>
        </is>
      </c>
      <c r="AY1998" t="inlineStr">
        <is>
          <t>Beslut</t>
        </is>
      </c>
      <c r="AZ1998" t="inlineStr">
        <is>
          <t>2026-02-03</t>
        </is>
      </c>
      <c r="BA1998" t="inlineStr">
        <is>
          <t>MIL2024916pdf_976512.pdf</t>
        </is>
      </c>
      <c r="BB1998" t="inlineStr">
        <is>
          <t>Begäran om allmän handling i ärende  MIL.2026.363</t>
        </is>
      </c>
      <c r="BC1998" t="inlineStr">
        <is>
          <t>AUTO</t>
        </is>
      </c>
      <c r="BD1998" t="inlineStr"/>
      <c r="BE1998" t="inlineStr"/>
      <c r="BF1998" t="inlineStr">
        <is>
          <t>AUTO_GENERERAD. Bekrafta metadata mot kallfil.</t>
        </is>
      </c>
      <c r="BG1998">
        <f>HYPERLINK("C:\Users\jimmy\Desktop\Examens arbete\Kod\Ny mapp\remix_-copy-of-miljöbeslut.se-portal\MIL2024916pdf_976512.pdf", "Öppna PDF")</f>
        <v/>
      </c>
    </row>
    <row r="1999">
      <c r="A1999" t="inlineStr">
        <is>
          <t>KRAV-AUTO-001998</t>
        </is>
      </c>
      <c r="B1999" t="inlineStr">
        <is>
          <t>ADMIN-INDEX-2026-02-27-00000000125C043F57453246863FE664CAFE6A3F0700950291EA24F0614FB6ACEDB12BF0E31D00000000010C0000950291EA24F0614FB6ACEDB12BF0E31D00002087B1860000</t>
        </is>
      </c>
      <c r="C1999" t="inlineStr">
        <is>
          <t>cmm4yunl300skcuqw0r1pungx</t>
        </is>
      </c>
      <c r="D1999" t="inlineStr">
        <is>
          <t>http://localhost:8787/api/admin/requirements/documents/cmm4yunl300skcuqw0r1pungx/view</t>
        </is>
      </c>
      <c r="E1999">
        <f>HYPERLÄNK("http://localhost:8787/api/admin/requirements/documents/cmm4yunl300skcuqw0r1pungx/view";"Öppna PDF")</f>
        <v/>
      </c>
      <c r="F1999">
        <f>HYPERLINK("http://localhost:8787/api/admin/requirements/documents/cmm4yunl300skcuqw0r1pungx/view","Open PDF")</f>
        <v/>
      </c>
      <c r="G1999" t="inlineStr">
        <is>
          <t>cmm55w57p0004cuisfrtpqly8</t>
        </is>
      </c>
      <c r="H1999" t="inlineStr">
        <is>
          <t>Beslutsvillkor</t>
        </is>
      </c>
      <c r="I1999" t="inlineStr">
        <is>
          <t>MiljopaverkanForsiktighet</t>
        </is>
      </c>
      <c r="J1999" t="inlineStr">
        <is>
          <t>Skyddsatgarder</t>
        </is>
      </c>
      <c r="K1999" t="inlineStr">
        <is>
          <t>Anmälan om mellanlagring av avloppsslam samt information om efterföljande spridning Vid spridning ska vi följa dessa skyddsavstång: 10 meter till vattenförande dike, 50 meter till vattentäkt eller bostäder och 2 meter till dräneringsbrunn.</t>
        </is>
      </c>
      <c r="L1999" t="inlineStr">
        <is>
          <t>Anmälan om mellanlagring av avloppsslam samt information om efterföljande spridning Vid spridning ska vi följa dessa skyddsavstång: 10 meter till vattenförande dike, 50 meter till vattentäkt eller bostäder och 2 meter till dräneringsbrunn.</t>
        </is>
      </c>
      <c r="M1999" t="inlineStr">
        <is>
          <t>SKA</t>
        </is>
      </c>
      <c r="N1999" t="inlineStr"/>
      <c r="O1999" t="inlineStr"/>
      <c r="P1999" t="inlineStr"/>
      <c r="Q1999" t="inlineStr"/>
      <c r="R1999" t="inlineStr">
        <is>
          <t>Alltid</t>
        </is>
      </c>
      <c r="S1999" t="inlineStr"/>
      <c r="T1999" t="inlineStr">
        <is>
          <t>885626</t>
        </is>
      </c>
      <c r="U1999" t="inlineStr"/>
      <c r="V1999" t="inlineStr"/>
      <c r="W1999" t="inlineStr">
        <is>
          <t>Nej</t>
        </is>
      </c>
      <c r="X1999" t="inlineStr">
        <is>
          <t>Nej</t>
        </is>
      </c>
      <c r="Y1999" t="inlineStr">
        <is>
          <t>Nej</t>
        </is>
      </c>
      <c r="Z1999" t="inlineStr">
        <is>
          <t>Nej</t>
        </is>
      </c>
      <c r="AA1999" t="n">
        <v>10</v>
      </c>
      <c r="AB1999" t="inlineStr">
        <is>
          <t>Miljopaverkan och forsiktighetsmatt</t>
        </is>
      </c>
      <c r="AC1999" t="inlineStr">
        <is>
          <t>Miljo-PM</t>
        </is>
      </c>
      <c r="AD1999" t="inlineStr">
        <is>
          <t>Nej</t>
        </is>
      </c>
      <c r="AE1999" t="inlineStr">
        <is>
          <t>Nej</t>
        </is>
      </c>
      <c r="AF1999" t="inlineStr">
        <is>
          <t>Ej behandlad</t>
        </is>
      </c>
      <c r="AG1999" t="inlineStr">
        <is>
          <t>AUTO_GENERERAD. Verifiera citat mot kallfil.</t>
        </is>
      </c>
      <c r="AH1999" t="inlineStr">
        <is>
          <t>MEDIUM</t>
        </is>
      </c>
      <c r="AI1999" t="inlineStr">
        <is>
          <t>AUTO</t>
        </is>
      </c>
      <c r="AJ1999" t="inlineStr">
        <is>
          <t>Nej</t>
        </is>
      </c>
      <c r="AK1999" t="inlineStr"/>
      <c r="AL1999" t="inlineStr"/>
      <c r="AM1999" t="inlineStr"/>
      <c r="AN1999" t="inlineStr"/>
      <c r="AO1999" t="inlineStr">
        <is>
          <t>cmm4yunlb00stcuqw956bj2gh</t>
        </is>
      </c>
      <c r="AP1999" t="inlineStr">
        <is>
          <t>http://localhost:8787/api/admin/requirements/documents/cmm4yunlb00stcuqw956bj2gh/view</t>
        </is>
      </c>
      <c r="AQ1999">
        <f>HYPERLÄNK("http://localhost:8787/api/admin/requirements/documents/cmm4yunlb00stcuqw956bj2gh/view";"Öppna PDF")</f>
        <v/>
      </c>
      <c r="AR1999">
        <f>HYPERLINK("http://localhost:8787/api/admin/requirements/documents/cmm4yunlb00stcuqw956bj2gh/view","Open PDF")</f>
        <v/>
      </c>
      <c r="AS1999" t="inlineStr">
        <is>
          <t>cmm55w57p0004cuisfrtpqly8</t>
        </is>
      </c>
      <c r="AT1999" t="inlineStr">
        <is>
          <t>cmm4xvu980000cuh4vj0usz09</t>
        </is>
      </c>
      <c r="AU1999" t="inlineStr"/>
      <c r="AV1999" t="inlineStr">
        <is>
          <t>Kommun</t>
        </is>
      </c>
      <c r="AW1999" t="inlineStr"/>
      <c r="AX1999" t="inlineStr">
        <is>
          <t>2026-02</t>
        </is>
      </c>
      <c r="AY1999" t="inlineStr">
        <is>
          <t>Beslut</t>
        </is>
      </c>
      <c r="AZ1999" t="inlineStr">
        <is>
          <t>2026-02-03</t>
        </is>
      </c>
      <c r="BA1999" t="inlineStr">
        <is>
          <t>MIL2024916pdf_976512.pdf</t>
        </is>
      </c>
      <c r="BB1999" t="inlineStr">
        <is>
          <t>Begäran om allmän handling i ärende  MIL.2026.363</t>
        </is>
      </c>
      <c r="BC1999" t="inlineStr">
        <is>
          <t>AUTO</t>
        </is>
      </c>
      <c r="BD1999" t="inlineStr"/>
      <c r="BE1999" t="inlineStr"/>
      <c r="BF1999" t="inlineStr">
        <is>
          <t>AUTO_GENERERAD. Bekrafta metadata mot kallfil.</t>
        </is>
      </c>
      <c r="BG1999">
        <f>HYPERLINK("C:\Users\jimmy\Desktop\Examens arbete\Kod\Ny mapp\remix_-copy-of-miljöbeslut.se-portal\MIL2024916pdf_976512.pdf", "Öppna PDF")</f>
        <v/>
      </c>
    </row>
    <row r="2000">
      <c r="A2000" t="inlineStr">
        <is>
          <t>KRAV-AUTO-001999</t>
        </is>
      </c>
      <c r="B2000" t="inlineStr">
        <is>
          <t>ADMIN-INDEX-2026-02-27-00000000125C043F57453246863FE664CAFE6A3F0700950291EA24F0614FB6ACEDB12BF0E31D00000000010C0000950291EA24F0614FB6ACEDB12BF0E31D00002087B1860000</t>
        </is>
      </c>
      <c r="C2000" t="inlineStr">
        <is>
          <t>cmm4yunl000shcuqwjrleocnn</t>
        </is>
      </c>
      <c r="D2000" t="inlineStr">
        <is>
          <t>http://localhost:8787/api/admin/requirements/documents/cmm4yunl000shcuqwjrleocnn/view</t>
        </is>
      </c>
      <c r="E2000">
        <f>HYPERLÄNK("http://localhost:8787/api/admin/requirements/documents/cmm4yunl000shcuqwjrleocnn/view";"Öppna PDF")</f>
        <v/>
      </c>
      <c r="F2000">
        <f>HYPERLINK("http://localhost:8787/api/admin/requirements/documents/cmm4yunl000shcuqwjrleocnn/view","Open PDF")</f>
        <v/>
      </c>
      <c r="G2000" t="inlineStr">
        <is>
          <t>cmm55w57p0004cuisfrtpqly8</t>
        </is>
      </c>
      <c r="H2000" t="inlineStr">
        <is>
          <t>Beslutsvillkor</t>
        </is>
      </c>
      <c r="I2000" t="inlineStr">
        <is>
          <t>DagvattenLakvatten</t>
        </is>
      </c>
      <c r="J2000" t="inlineStr">
        <is>
          <t>Uppsamling</t>
        </is>
      </c>
      <c r="K2000" t="inlineStr">
        <is>
          <t>Lagringen ska ske så att risken för uppkomst av lakvatten från rötslammet minimeras.</t>
        </is>
      </c>
      <c r="L2000" t="inlineStr">
        <is>
          <t>Lagringen ska ske så att risken för uppkomst av lakvatten från rötslammet minimeras.</t>
        </is>
      </c>
      <c r="M2000" t="inlineStr">
        <is>
          <t>SKA</t>
        </is>
      </c>
      <c r="N2000" t="inlineStr"/>
      <c r="O2000" t="inlineStr"/>
      <c r="P2000" t="inlineStr"/>
      <c r="Q2000" t="inlineStr"/>
      <c r="R2000" t="inlineStr">
        <is>
          <t>Vid nederbord och avrinning</t>
        </is>
      </c>
      <c r="S2000" t="inlineStr"/>
      <c r="T2000" t="inlineStr">
        <is>
          <t>925623</t>
        </is>
      </c>
      <c r="U2000" t="inlineStr"/>
      <c r="V2000" t="inlineStr"/>
      <c r="W2000" t="inlineStr">
        <is>
          <t>Nej</t>
        </is>
      </c>
      <c r="X2000" t="inlineStr">
        <is>
          <t>Ja</t>
        </is>
      </c>
      <c r="Y2000" t="inlineStr">
        <is>
          <t>Ja</t>
        </is>
      </c>
      <c r="Z2000" t="inlineStr">
        <is>
          <t>Nej</t>
        </is>
      </c>
      <c r="AA2000" t="n">
        <v>6</v>
      </c>
      <c r="AB2000" t="inlineStr">
        <is>
          <t>Lakvattenhantering</t>
        </is>
      </c>
      <c r="AC2000" t="inlineStr">
        <is>
          <t>Flodesschema dagvatten-lakvatten</t>
        </is>
      </c>
      <c r="AD2000" t="inlineStr">
        <is>
          <t>Nej</t>
        </is>
      </c>
      <c r="AE2000" t="inlineStr">
        <is>
          <t>Nej</t>
        </is>
      </c>
      <c r="AF2000" t="inlineStr">
        <is>
          <t>Ej behandlad</t>
        </is>
      </c>
      <c r="AG2000" t="inlineStr">
        <is>
          <t>AUTO_GENERERAD. Verifiera citat mot kallfil.</t>
        </is>
      </c>
      <c r="AH2000" t="inlineStr">
        <is>
          <t>MEDIUM</t>
        </is>
      </c>
      <c r="AI2000" t="inlineStr">
        <is>
          <t>AUTO</t>
        </is>
      </c>
      <c r="AJ2000" t="inlineStr">
        <is>
          <t>Nej</t>
        </is>
      </c>
      <c r="AK2000" t="inlineStr"/>
      <c r="AL2000" t="inlineStr"/>
      <c r="AM2000" t="inlineStr"/>
      <c r="AN2000" t="inlineStr"/>
      <c r="AO2000" t="inlineStr">
        <is>
          <t>cmm4yunlb00stcuqw956bj2gh</t>
        </is>
      </c>
      <c r="AP2000" t="inlineStr">
        <is>
          <t>http://localhost:8787/api/admin/requirements/documents/cmm4yunlb00stcuqw956bj2gh/view</t>
        </is>
      </c>
      <c r="AQ2000">
        <f>HYPERLÄNK("http://localhost:8787/api/admin/requirements/documents/cmm4yunlb00stcuqw956bj2gh/view";"Öppna PDF")</f>
        <v/>
      </c>
      <c r="AR2000">
        <f>HYPERLINK("http://localhost:8787/api/admin/requirements/documents/cmm4yunlb00stcuqw956bj2gh/view","Open PDF")</f>
        <v/>
      </c>
      <c r="AS2000" t="inlineStr">
        <is>
          <t>cmm55w57p0004cuisfrtpqly8</t>
        </is>
      </c>
      <c r="AT2000" t="inlineStr">
        <is>
          <t>cmm4xvu980000cuh4vj0usz09</t>
        </is>
      </c>
      <c r="AU2000" t="inlineStr"/>
      <c r="AV2000" t="inlineStr">
        <is>
          <t>Kommun</t>
        </is>
      </c>
      <c r="AW2000" t="inlineStr"/>
      <c r="AX2000" t="inlineStr">
        <is>
          <t>2026-02</t>
        </is>
      </c>
      <c r="AY2000" t="inlineStr">
        <is>
          <t>Beslut</t>
        </is>
      </c>
      <c r="AZ2000" t="inlineStr">
        <is>
          <t>2026-02-03</t>
        </is>
      </c>
      <c r="BA2000" t="inlineStr">
        <is>
          <t>MIL2024916pdf_976512.pdf</t>
        </is>
      </c>
      <c r="BB2000" t="inlineStr">
        <is>
          <t>Begäran om allmän handling i ärende  MIL.2026.363</t>
        </is>
      </c>
      <c r="BC2000" t="inlineStr">
        <is>
          <t>AUTO</t>
        </is>
      </c>
      <c r="BD2000" t="inlineStr"/>
      <c r="BE2000" t="inlineStr"/>
      <c r="BF2000" t="inlineStr">
        <is>
          <t>AUTO_GENERERAD. Bekrafta metadata mot kallfil.</t>
        </is>
      </c>
      <c r="BG2000">
        <f>HYPERLINK("C:\Users\jimmy\Desktop\Examens arbete\Kod\Ny mapp\remix_-copy-of-miljöbeslut.se-portal\MIL2024916pdf_976512.pdf", "Öppna PDF")</f>
        <v/>
      </c>
    </row>
    <row r="2001">
      <c r="A2001" t="inlineStr">
        <is>
          <t>KRAV-AUTO-002000</t>
        </is>
      </c>
      <c r="B2001" t="inlineStr">
        <is>
          <t>ADMIN-INDEX-2026-02-27-00000000125C043F57453246863FE664CAFE6A3F0700950291EA24F0614FB6ACEDB12BF0E31D00000000010C0000950291EA24F0614FB6ACEDB12BF0E31D00002087B1860000</t>
        </is>
      </c>
      <c r="C2001" t="inlineStr">
        <is>
          <t>cmm4yunl000shcuqwjrleocnn</t>
        </is>
      </c>
      <c r="D2001" t="inlineStr">
        <is>
          <t>http://localhost:8787/api/admin/requirements/documents/cmm4yunl000shcuqwjrleocnn/view</t>
        </is>
      </c>
      <c r="E2001">
        <f>HYPERLÄNK("http://localhost:8787/api/admin/requirements/documents/cmm4yunl000shcuqwjrleocnn/view";"Öppna PDF")</f>
        <v/>
      </c>
      <c r="F2001">
        <f>HYPERLINK("http://localhost:8787/api/admin/requirements/documents/cmm4yunl000shcuqwjrleocnn/view","Open PDF")</f>
        <v/>
      </c>
      <c r="G2001" t="inlineStr">
        <is>
          <t>cmm55w57p0004cuisfrtpqly8</t>
        </is>
      </c>
      <c r="H2001" t="inlineStr">
        <is>
          <t>Beslutsvillkor</t>
        </is>
      </c>
      <c r="I2001" t="inlineStr">
        <is>
          <t>DriftEgenkontroll</t>
        </is>
      </c>
      <c r="J2001" t="inlineStr">
        <is>
          <t>Journalforing</t>
        </is>
      </c>
      <c r="K2001" t="inlineStr">
        <is>
          <t>Jordprovtagningskarta bifogas.</t>
        </is>
      </c>
      <c r="L2001" t="inlineStr">
        <is>
          <t>Jordprovtagningskarta bifogas.</t>
        </is>
      </c>
      <c r="M2001" t="inlineStr">
        <is>
          <t>SKA</t>
        </is>
      </c>
      <c r="N2001" t="inlineStr"/>
      <c r="O2001" t="inlineStr"/>
      <c r="P2001" t="inlineStr"/>
      <c r="Q2001" t="inlineStr"/>
      <c r="R2001" t="inlineStr">
        <is>
          <t>Lopande drift</t>
        </is>
      </c>
      <c r="S2001" t="inlineStr"/>
      <c r="T2001" t="inlineStr">
        <is>
          <t>925623</t>
        </is>
      </c>
      <c r="U2001" t="inlineStr"/>
      <c r="V2001" t="inlineStr"/>
      <c r="W2001" t="inlineStr">
        <is>
          <t>Nej</t>
        </is>
      </c>
      <c r="X2001" t="inlineStr">
        <is>
          <t>Nej</t>
        </is>
      </c>
      <c r="Y2001" t="inlineStr">
        <is>
          <t>Ja</t>
        </is>
      </c>
      <c r="Z2001" t="inlineStr">
        <is>
          <t>Nej</t>
        </is>
      </c>
      <c r="AA2001" t="n">
        <v>7</v>
      </c>
      <c r="AB2001" t="inlineStr">
        <is>
          <t>Egenkontrollrutiner</t>
        </is>
      </c>
      <c r="AC2001" t="inlineStr">
        <is>
          <t>Egenkontrollprogram</t>
        </is>
      </c>
      <c r="AD2001" t="inlineStr">
        <is>
          <t>Nej</t>
        </is>
      </c>
      <c r="AE2001" t="inlineStr">
        <is>
          <t>Nej</t>
        </is>
      </c>
      <c r="AF2001" t="inlineStr">
        <is>
          <t>Ej behandlad</t>
        </is>
      </c>
      <c r="AG2001" t="inlineStr">
        <is>
          <t>AUTO_GENERERAD. Verifiera citat mot kallfil.</t>
        </is>
      </c>
      <c r="AH2001" t="inlineStr">
        <is>
          <t>LOW</t>
        </is>
      </c>
      <c r="AI2001" t="inlineStr">
        <is>
          <t>AUTO</t>
        </is>
      </c>
      <c r="AJ2001" t="inlineStr">
        <is>
          <t>Nej</t>
        </is>
      </c>
      <c r="AK2001" t="inlineStr"/>
      <c r="AL2001" t="inlineStr"/>
      <c r="AM2001" t="inlineStr"/>
      <c r="AN2001" t="inlineStr"/>
      <c r="AO2001" t="inlineStr">
        <is>
          <t>cmm4yunlb00stcuqw956bj2gh</t>
        </is>
      </c>
      <c r="AP2001" t="inlineStr">
        <is>
          <t>http://localhost:8787/api/admin/requirements/documents/cmm4yunlb00stcuqw956bj2gh/view</t>
        </is>
      </c>
      <c r="AQ2001">
        <f>HYPERLÄNK("http://localhost:8787/api/admin/requirements/documents/cmm4yunlb00stcuqw956bj2gh/view";"Öppna PDF")</f>
        <v/>
      </c>
      <c r="AR2001">
        <f>HYPERLINK("http://localhost:8787/api/admin/requirements/documents/cmm4yunlb00stcuqw956bj2gh/view","Open PDF")</f>
        <v/>
      </c>
      <c r="AS2001" t="inlineStr">
        <is>
          <t>cmm55w57p0004cuisfrtpqly8</t>
        </is>
      </c>
      <c r="AT2001" t="inlineStr">
        <is>
          <t>cmm4xvu980000cuh4vj0usz09</t>
        </is>
      </c>
      <c r="AU2001" t="inlineStr"/>
      <c r="AV2001" t="inlineStr">
        <is>
          <t>Kommun</t>
        </is>
      </c>
      <c r="AW2001" t="inlineStr"/>
      <c r="AX2001" t="inlineStr">
        <is>
          <t>2026-02</t>
        </is>
      </c>
      <c r="AY2001" t="inlineStr">
        <is>
          <t>Beslut</t>
        </is>
      </c>
      <c r="AZ2001" t="inlineStr">
        <is>
          <t>2026-02-03</t>
        </is>
      </c>
      <c r="BA2001" t="inlineStr">
        <is>
          <t>MIL2024916pdf_976512.pdf</t>
        </is>
      </c>
      <c r="BB2001" t="inlineStr">
        <is>
          <t>Begäran om allmän handling i ärende  MIL.2026.363</t>
        </is>
      </c>
      <c r="BC2001" t="inlineStr">
        <is>
          <t>AUTO</t>
        </is>
      </c>
      <c r="BD2001" t="inlineStr"/>
      <c r="BE2001" t="inlineStr"/>
      <c r="BF2001" t="inlineStr">
        <is>
          <t>AUTO_GENERERAD. Bekrafta metadata mot kallfil.</t>
        </is>
      </c>
      <c r="BG2001">
        <f>HYPERLINK("C:\Users\jimmy\Desktop\Examens arbete\Kod\Ny mapp\remix_-copy-of-miljöbeslut.se-portal\MIL2024916pdf_976512.pdf", "Öppna PDF")</f>
        <v/>
      </c>
    </row>
    <row r="2002">
      <c r="A2002" t="inlineStr">
        <is>
          <t>KRAV-AUTO-002001</t>
        </is>
      </c>
      <c r="B2002" t="inlineStr">
        <is>
          <t>ADMIN-INDEX-2026-02-27-00000000125C043F57453246863FE664CAFE6A3F0700950291EA24F0614FB6ACEDB12BF0E31D00000000010C0000950291EA24F0614FB6ACEDB12BF0E31D00002087B1860000</t>
        </is>
      </c>
      <c r="C2002" t="inlineStr">
        <is>
          <t>cmm4yunl000shcuqwjrleocnn</t>
        </is>
      </c>
      <c r="D2002" t="inlineStr">
        <is>
          <t>http://localhost:8787/api/admin/requirements/documents/cmm4yunl000shcuqwjrleocnn/view</t>
        </is>
      </c>
      <c r="E2002">
        <f>HYPERLÄNK("http://localhost:8787/api/admin/requirements/documents/cmm4yunl000shcuqwjrleocnn/view";"Öppna PDF")</f>
        <v/>
      </c>
      <c r="F2002">
        <f>HYPERLINK("http://localhost:8787/api/admin/requirements/documents/cmm4yunl000shcuqwjrleocnn/view","Open PDF")</f>
        <v/>
      </c>
      <c r="G2002" t="inlineStr">
        <is>
          <t>cmm55w57p0004cuisfrtpqly8</t>
        </is>
      </c>
      <c r="H2002" t="inlineStr">
        <is>
          <t>Beslutsvillkor</t>
        </is>
      </c>
      <c r="I2002" t="inlineStr">
        <is>
          <t>Riskhantering</t>
        </is>
      </c>
      <c r="J2002" t="inlineStr">
        <is>
          <t>Riskkontroll</t>
        </is>
      </c>
      <c r="K2002" t="inlineStr">
        <is>
          <t>Täckning ska med hänsyn till risk för luktolägenhet göras i snar anslutning till uppläggning.</t>
        </is>
      </c>
      <c r="L2002" t="inlineStr">
        <is>
          <t>Täckning ska med hänsyn till risk för luktolägenhet göras i snar anslutning till uppläggning.</t>
        </is>
      </c>
      <c r="M2002" t="inlineStr">
        <is>
          <t>SKA</t>
        </is>
      </c>
      <c r="N2002" t="inlineStr"/>
      <c r="O2002" t="inlineStr"/>
      <c r="P2002" t="inlineStr"/>
      <c r="Q2002" t="inlineStr"/>
      <c r="R2002" t="inlineStr">
        <is>
          <t>Vid risk for incident</t>
        </is>
      </c>
      <c r="S2002" t="inlineStr"/>
      <c r="T2002" t="inlineStr">
        <is>
          <t>925623</t>
        </is>
      </c>
      <c r="U2002" t="inlineStr"/>
      <c r="V2002" t="inlineStr"/>
      <c r="W2002" t="inlineStr">
        <is>
          <t>Nej</t>
        </is>
      </c>
      <c r="X2002" t="inlineStr">
        <is>
          <t>Nej</t>
        </is>
      </c>
      <c r="Y2002" t="inlineStr">
        <is>
          <t>Ja</t>
        </is>
      </c>
      <c r="Z2002" t="inlineStr">
        <is>
          <t>Ja</t>
        </is>
      </c>
      <c r="AA2002" t="n">
        <v>8</v>
      </c>
      <c r="AB2002" t="inlineStr">
        <is>
          <t>Riskhantering</t>
        </is>
      </c>
      <c r="AC2002" t="inlineStr">
        <is>
          <t>Risk-PM</t>
        </is>
      </c>
      <c r="AD2002" t="inlineStr">
        <is>
          <t>Nej</t>
        </is>
      </c>
      <c r="AE2002" t="inlineStr">
        <is>
          <t>Nej</t>
        </is>
      </c>
      <c r="AF2002" t="inlineStr">
        <is>
          <t>Ej behandlad</t>
        </is>
      </c>
      <c r="AG2002" t="inlineStr">
        <is>
          <t>AUTO_GENERERAD. Verifiera citat mot kallfil.</t>
        </is>
      </c>
      <c r="AH2002" t="inlineStr">
        <is>
          <t>MEDIUM</t>
        </is>
      </c>
      <c r="AI2002" t="inlineStr">
        <is>
          <t>AUTO</t>
        </is>
      </c>
      <c r="AJ2002" t="inlineStr">
        <is>
          <t>Nej</t>
        </is>
      </c>
      <c r="AK2002" t="inlineStr"/>
      <c r="AL2002" t="inlineStr"/>
      <c r="AM2002" t="inlineStr"/>
      <c r="AN2002" t="inlineStr"/>
      <c r="AO2002" t="inlineStr">
        <is>
          <t>cmm4yunlb00stcuqw956bj2gh</t>
        </is>
      </c>
      <c r="AP2002" t="inlineStr">
        <is>
          <t>http://localhost:8787/api/admin/requirements/documents/cmm4yunlb00stcuqw956bj2gh/view</t>
        </is>
      </c>
      <c r="AQ2002">
        <f>HYPERLÄNK("http://localhost:8787/api/admin/requirements/documents/cmm4yunlb00stcuqw956bj2gh/view";"Öppna PDF")</f>
        <v/>
      </c>
      <c r="AR2002">
        <f>HYPERLINK("http://localhost:8787/api/admin/requirements/documents/cmm4yunlb00stcuqw956bj2gh/view","Open PDF")</f>
        <v/>
      </c>
      <c r="AS2002" t="inlineStr">
        <is>
          <t>cmm55w57p0004cuisfrtpqly8</t>
        </is>
      </c>
      <c r="AT2002" t="inlineStr">
        <is>
          <t>cmm4xvu980000cuh4vj0usz09</t>
        </is>
      </c>
      <c r="AU2002" t="inlineStr"/>
      <c r="AV2002" t="inlineStr">
        <is>
          <t>Kommun</t>
        </is>
      </c>
      <c r="AW2002" t="inlineStr"/>
      <c r="AX2002" t="inlineStr">
        <is>
          <t>2026-02</t>
        </is>
      </c>
      <c r="AY2002" t="inlineStr">
        <is>
          <t>Beslut</t>
        </is>
      </c>
      <c r="AZ2002" t="inlineStr">
        <is>
          <t>2026-02-03</t>
        </is>
      </c>
      <c r="BA2002" t="inlineStr">
        <is>
          <t>MIL2024916pdf_976512.pdf</t>
        </is>
      </c>
      <c r="BB2002" t="inlineStr">
        <is>
          <t>Begäran om allmän handling i ärende  MIL.2026.363</t>
        </is>
      </c>
      <c r="BC2002" t="inlineStr">
        <is>
          <t>AUTO</t>
        </is>
      </c>
      <c r="BD2002" t="inlineStr"/>
      <c r="BE2002" t="inlineStr"/>
      <c r="BF2002" t="inlineStr">
        <is>
          <t>AUTO_GENERERAD. Bekrafta metadata mot kallfil.</t>
        </is>
      </c>
      <c r="BG2002">
        <f>HYPERLINK("C:\Users\jimmy\Desktop\Examens arbete\Kod\Ny mapp\remix_-copy-of-miljöbeslut.se-portal\MIL2024916pdf_976512.pdf", "Öppna PDF")</f>
        <v/>
      </c>
    </row>
    <row r="2003">
      <c r="A2003" t="inlineStr">
        <is>
          <t>KRAV-AUTO-002002</t>
        </is>
      </c>
      <c r="B2003" t="inlineStr">
        <is>
          <t>ADMIN-INDEX-2026-02-27-00000000125C043F57453246863FE664CAFE6A3F0700950291EA24F0614FB6ACEDB12BF0E31D00000000010C0000950291EA24F0614FB6ACEDB12BF0E31D00002087B1860000</t>
        </is>
      </c>
      <c r="C2003" t="inlineStr">
        <is>
          <t>cmm4yunkv00secuqw1vn8f1fr</t>
        </is>
      </c>
      <c r="D2003" t="inlineStr">
        <is>
          <t>http://localhost:8787/api/admin/requirements/documents/cmm4yunkv00secuqw1vn8f1fr/view</t>
        </is>
      </c>
      <c r="E2003">
        <f>HYPERLÄNK("http://localhost:8787/api/admin/requirements/documents/cmm4yunkv00secuqw1vn8f1fr/view";"Öppna PDF")</f>
        <v/>
      </c>
      <c r="F2003">
        <f>HYPERLINK("http://localhost:8787/api/admin/requirements/documents/cmm4yunkv00secuqw1vn8f1fr/view","Open PDF")</f>
        <v/>
      </c>
      <c r="G2003" t="inlineStr">
        <is>
          <t>cmm55w57p0004cuisfrtpqly8</t>
        </is>
      </c>
      <c r="H2003" t="inlineStr">
        <is>
          <t>Beslutsvillkor</t>
        </is>
      </c>
      <c r="I2003" t="inlineStr">
        <is>
          <t>DagvattenLakvatten</t>
        </is>
      </c>
      <c r="J2003" t="inlineStr">
        <is>
          <t>Uppsamling</t>
        </is>
      </c>
      <c r="K2003" t="inlineStr">
        <is>
          <t>Lagringen ska ske så att risken för uppkomst av lakvatten från rötslammet minimeras.</t>
        </is>
      </c>
      <c r="L2003" t="inlineStr">
        <is>
          <t>Lagringen ska ske så att risken för uppkomst av lakvatten från rötslammet minimeras.</t>
        </is>
      </c>
      <c r="M2003" t="inlineStr">
        <is>
          <t>SKA</t>
        </is>
      </c>
      <c r="N2003" t="inlineStr"/>
      <c r="O2003" t="inlineStr"/>
      <c r="P2003" t="inlineStr"/>
      <c r="Q2003" t="inlineStr"/>
      <c r="R2003" t="inlineStr">
        <is>
          <t>Vid nederbord och avrinning</t>
        </is>
      </c>
      <c r="S2003" t="inlineStr"/>
      <c r="T2003" t="inlineStr">
        <is>
          <t>891269</t>
        </is>
      </c>
      <c r="U2003" t="inlineStr"/>
      <c r="V2003" t="inlineStr"/>
      <c r="W2003" t="inlineStr">
        <is>
          <t>Nej</t>
        </is>
      </c>
      <c r="X2003" t="inlineStr">
        <is>
          <t>Ja</t>
        </is>
      </c>
      <c r="Y2003" t="inlineStr">
        <is>
          <t>Ja</t>
        </is>
      </c>
      <c r="Z2003" t="inlineStr">
        <is>
          <t>Nej</t>
        </is>
      </c>
      <c r="AA2003" t="n">
        <v>6</v>
      </c>
      <c r="AB2003" t="inlineStr">
        <is>
          <t>Lakvattenhantering</t>
        </is>
      </c>
      <c r="AC2003" t="inlineStr">
        <is>
          <t>Flodesschema dagvatten-lakvatten</t>
        </is>
      </c>
      <c r="AD2003" t="inlineStr">
        <is>
          <t>Nej</t>
        </is>
      </c>
      <c r="AE2003" t="inlineStr">
        <is>
          <t>Nej</t>
        </is>
      </c>
      <c r="AF2003" t="inlineStr">
        <is>
          <t>Ej behandlad</t>
        </is>
      </c>
      <c r="AG2003" t="inlineStr">
        <is>
          <t>AUTO_GENERERAD. Verifiera citat mot kallfil.</t>
        </is>
      </c>
      <c r="AH2003" t="inlineStr">
        <is>
          <t>MEDIUM</t>
        </is>
      </c>
      <c r="AI2003" t="inlineStr">
        <is>
          <t>AUTO</t>
        </is>
      </c>
      <c r="AJ2003" t="inlineStr">
        <is>
          <t>Nej</t>
        </is>
      </c>
      <c r="AK2003" t="inlineStr"/>
      <c r="AL2003" t="inlineStr"/>
      <c r="AM2003" t="inlineStr"/>
      <c r="AN2003" t="inlineStr"/>
      <c r="AO2003" t="inlineStr">
        <is>
          <t>cmm4yunlb00stcuqw956bj2gh</t>
        </is>
      </c>
      <c r="AP2003" t="inlineStr">
        <is>
          <t>http://localhost:8787/api/admin/requirements/documents/cmm4yunlb00stcuqw956bj2gh/view</t>
        </is>
      </c>
      <c r="AQ2003">
        <f>HYPERLÄNK("http://localhost:8787/api/admin/requirements/documents/cmm4yunlb00stcuqw956bj2gh/view";"Öppna PDF")</f>
        <v/>
      </c>
      <c r="AR2003">
        <f>HYPERLINK("http://localhost:8787/api/admin/requirements/documents/cmm4yunlb00stcuqw956bj2gh/view","Open PDF")</f>
        <v/>
      </c>
      <c r="AS2003" t="inlineStr">
        <is>
          <t>cmm55w57p0004cuisfrtpqly8</t>
        </is>
      </c>
      <c r="AT2003" t="inlineStr">
        <is>
          <t>cmm4xvu980000cuh4vj0usz09</t>
        </is>
      </c>
      <c r="AU2003" t="inlineStr"/>
      <c r="AV2003" t="inlineStr">
        <is>
          <t>Kommun</t>
        </is>
      </c>
      <c r="AW2003" t="inlineStr"/>
      <c r="AX2003" t="inlineStr">
        <is>
          <t>2026-02</t>
        </is>
      </c>
      <c r="AY2003" t="inlineStr">
        <is>
          <t>Beslut</t>
        </is>
      </c>
      <c r="AZ2003" t="inlineStr">
        <is>
          <t>2026-02-03</t>
        </is>
      </c>
      <c r="BA2003" t="inlineStr">
        <is>
          <t>MIL2024916pdf_976512.pdf</t>
        </is>
      </c>
      <c r="BB2003" t="inlineStr">
        <is>
          <t>Begäran om allmän handling i ärende  MIL.2026.363</t>
        </is>
      </c>
      <c r="BC2003" t="inlineStr">
        <is>
          <t>AUTO</t>
        </is>
      </c>
      <c r="BD2003" t="inlineStr"/>
      <c r="BE2003" t="inlineStr"/>
      <c r="BF2003" t="inlineStr">
        <is>
          <t>AUTO_GENERERAD. Bekrafta metadata mot kallfil.</t>
        </is>
      </c>
      <c r="BG2003">
        <f>HYPERLINK("C:\Users\jimmy\Desktop\Examens arbete\Kod\Ny mapp\remix_-copy-of-miljöbeslut.se-portal\MIL2024916pdf_976512.pdf", "Öppna PDF")</f>
        <v/>
      </c>
    </row>
    <row r="2004">
      <c r="A2004" t="inlineStr">
        <is>
          <t>KRAV-AUTO-002003</t>
        </is>
      </c>
      <c r="B2004" t="inlineStr">
        <is>
          <t>ADMIN-INDEX-2026-02-27-00000000125C043F57453246863FE664CAFE6A3F0700950291EA24F0614FB6ACEDB12BF0E31D00000000010C0000950291EA24F0614FB6ACEDB12BF0E31D00002087B1860000</t>
        </is>
      </c>
      <c r="C2004" t="inlineStr">
        <is>
          <t>cmm4yunkv00secuqw1vn8f1fr</t>
        </is>
      </c>
      <c r="D2004" t="inlineStr">
        <is>
          <t>http://localhost:8787/api/admin/requirements/documents/cmm4yunkv00secuqw1vn8f1fr/view</t>
        </is>
      </c>
      <c r="E2004">
        <f>HYPERLÄNK("http://localhost:8787/api/admin/requirements/documents/cmm4yunkv00secuqw1vn8f1fr/view";"Öppna PDF")</f>
        <v/>
      </c>
      <c r="F2004">
        <f>HYPERLINK("http://localhost:8787/api/admin/requirements/documents/cmm4yunkv00secuqw1vn8f1fr/view","Open PDF")</f>
        <v/>
      </c>
      <c r="G2004" t="inlineStr">
        <is>
          <t>cmm55w57p0004cuisfrtpqly8</t>
        </is>
      </c>
      <c r="H2004" t="inlineStr">
        <is>
          <t>Beslutsvillkor</t>
        </is>
      </c>
      <c r="I2004" t="inlineStr">
        <is>
          <t>LagringsvolymTid</t>
        </is>
      </c>
      <c r="J2004" t="inlineStr">
        <is>
          <t>Maxmangd</t>
        </is>
      </c>
      <c r="K2004" t="inlineStr">
        <is>
          <t>Uppskattad volym är cirka 650 ton.</t>
        </is>
      </c>
      <c r="L2004" t="inlineStr">
        <is>
          <t>Uppskattad volym är cirka 650 ton.</t>
        </is>
      </c>
      <c r="M2004" t="inlineStr">
        <is>
          <t>SKA</t>
        </is>
      </c>
      <c r="N2004" t="inlineStr"/>
      <c r="O2004" t="inlineStr"/>
      <c r="P2004" t="inlineStr"/>
      <c r="Q2004" t="inlineStr"/>
      <c r="R2004" t="inlineStr">
        <is>
          <t>Alltid</t>
        </is>
      </c>
      <c r="S2004" t="inlineStr"/>
      <c r="T2004" t="inlineStr">
        <is>
          <t>891269</t>
        </is>
      </c>
      <c r="U2004" t="n">
        <v>650</v>
      </c>
      <c r="V2004" t="inlineStr"/>
      <c r="W2004" t="inlineStr">
        <is>
          <t>Nej</t>
        </is>
      </c>
      <c r="X2004" t="inlineStr">
        <is>
          <t>Nej</t>
        </is>
      </c>
      <c r="Y2004" t="inlineStr">
        <is>
          <t>Nej</t>
        </is>
      </c>
      <c r="Z2004" t="inlineStr">
        <is>
          <t>Nej</t>
        </is>
      </c>
      <c r="AA2004" t="n">
        <v>4</v>
      </c>
      <c r="AB2004" t="inlineStr">
        <is>
          <t>Avfallsmangder och lagringstid</t>
        </is>
      </c>
      <c r="AC2004" t="inlineStr">
        <is>
          <t>Avfallsforteckning</t>
        </is>
      </c>
      <c r="AD2004" t="inlineStr">
        <is>
          <t>Nej</t>
        </is>
      </c>
      <c r="AE2004" t="inlineStr">
        <is>
          <t>Nej</t>
        </is>
      </c>
      <c r="AF2004" t="inlineStr">
        <is>
          <t>Ej behandlad</t>
        </is>
      </c>
      <c r="AG2004" t="inlineStr">
        <is>
          <t>AUTO_GENERERAD. Verifiera citat mot kallfil.</t>
        </is>
      </c>
      <c r="AH2004" t="inlineStr">
        <is>
          <t>LOW</t>
        </is>
      </c>
      <c r="AI2004" t="inlineStr">
        <is>
          <t>AUTO</t>
        </is>
      </c>
      <c r="AJ2004" t="inlineStr">
        <is>
          <t>Nej</t>
        </is>
      </c>
      <c r="AK2004" t="inlineStr"/>
      <c r="AL2004" t="inlineStr"/>
      <c r="AM2004" t="inlineStr"/>
      <c r="AN2004" t="inlineStr"/>
      <c r="AO2004" t="inlineStr">
        <is>
          <t>cmm4yunlb00stcuqw956bj2gh</t>
        </is>
      </c>
      <c r="AP2004" t="inlineStr">
        <is>
          <t>http://localhost:8787/api/admin/requirements/documents/cmm4yunlb00stcuqw956bj2gh/view</t>
        </is>
      </c>
      <c r="AQ2004">
        <f>HYPERLÄNK("http://localhost:8787/api/admin/requirements/documents/cmm4yunlb00stcuqw956bj2gh/view";"Öppna PDF")</f>
        <v/>
      </c>
      <c r="AR2004">
        <f>HYPERLINK("http://localhost:8787/api/admin/requirements/documents/cmm4yunlb00stcuqw956bj2gh/view","Open PDF")</f>
        <v/>
      </c>
      <c r="AS2004" t="inlineStr">
        <is>
          <t>cmm55w57p0004cuisfrtpqly8</t>
        </is>
      </c>
      <c r="AT2004" t="inlineStr">
        <is>
          <t>cmm4xvu980000cuh4vj0usz09</t>
        </is>
      </c>
      <c r="AU2004" t="inlineStr"/>
      <c r="AV2004" t="inlineStr">
        <is>
          <t>Kommun</t>
        </is>
      </c>
      <c r="AW2004" t="inlineStr"/>
      <c r="AX2004" t="inlineStr">
        <is>
          <t>2026-02</t>
        </is>
      </c>
      <c r="AY2004" t="inlineStr">
        <is>
          <t>Beslut</t>
        </is>
      </c>
      <c r="AZ2004" t="inlineStr">
        <is>
          <t>2026-02-03</t>
        </is>
      </c>
      <c r="BA2004" t="inlineStr">
        <is>
          <t>MIL2024916pdf_976512.pdf</t>
        </is>
      </c>
      <c r="BB2004" t="inlineStr">
        <is>
          <t>Begäran om allmän handling i ärende  MIL.2026.363</t>
        </is>
      </c>
      <c r="BC2004" t="inlineStr">
        <is>
          <t>AUTO</t>
        </is>
      </c>
      <c r="BD2004" t="inlineStr"/>
      <c r="BE2004" t="inlineStr"/>
      <c r="BF2004" t="inlineStr">
        <is>
          <t>AUTO_GENERERAD. Bekrafta metadata mot kallfil.</t>
        </is>
      </c>
      <c r="BG2004">
        <f>HYPERLINK("C:\Users\jimmy\Desktop\Examens arbete\Kod\Ny mapp\remix_-copy-of-miljöbeslut.se-portal\MIL2024916pdf_976512.pdf", "Öppna PDF")</f>
        <v/>
      </c>
    </row>
    <row r="2005">
      <c r="A2005" t="inlineStr">
        <is>
          <t>KRAV-AUTO-002004</t>
        </is>
      </c>
      <c r="B2005" t="inlineStr">
        <is>
          <t>ADMIN-INDEX-2026-02-27-00000000125C043F57453246863FE664CAFE6A3F0700950291EA24F0614FB6ACEDB12BF0E31D00000000010C0000950291EA24F0614FB6ACEDB12BF0E31D00002087B1860000</t>
        </is>
      </c>
      <c r="C2005" t="inlineStr">
        <is>
          <t>cmm4yunkv00secuqw1vn8f1fr</t>
        </is>
      </c>
      <c r="D2005" t="inlineStr">
        <is>
          <t>http://localhost:8787/api/admin/requirements/documents/cmm4yunkv00secuqw1vn8f1fr/view</t>
        </is>
      </c>
      <c r="E2005">
        <f>HYPERLÄNK("http://localhost:8787/api/admin/requirements/documents/cmm4yunkv00secuqw1vn8f1fr/view";"Öppna PDF")</f>
        <v/>
      </c>
      <c r="F2005">
        <f>HYPERLINK("http://localhost:8787/api/admin/requirements/documents/cmm4yunkv00secuqw1vn8f1fr/view","Open PDF")</f>
        <v/>
      </c>
      <c r="G2005" t="inlineStr">
        <is>
          <t>cmm55w57p0004cuisfrtpqly8</t>
        </is>
      </c>
      <c r="H2005" t="inlineStr">
        <is>
          <t>Beslutsvillkor</t>
        </is>
      </c>
      <c r="I2005" t="inlineStr">
        <is>
          <t>Riskhantering</t>
        </is>
      </c>
      <c r="J2005" t="inlineStr">
        <is>
          <t>Riskkontroll</t>
        </is>
      </c>
      <c r="K2005" t="inlineStr">
        <is>
          <t>Täckning ska med hänsyn till risk för luktolägenhet göras i snar anslutning till uppläggning.</t>
        </is>
      </c>
      <c r="L2005" t="inlineStr">
        <is>
          <t>Täckning ska med hänsyn till risk för luktolägenhet göras i snar anslutning till uppläggning.</t>
        </is>
      </c>
      <c r="M2005" t="inlineStr">
        <is>
          <t>SKA</t>
        </is>
      </c>
      <c r="N2005" t="inlineStr"/>
      <c r="O2005" t="inlineStr"/>
      <c r="P2005" t="inlineStr"/>
      <c r="Q2005" t="inlineStr"/>
      <c r="R2005" t="inlineStr">
        <is>
          <t>Vid risk for incident</t>
        </is>
      </c>
      <c r="S2005" t="inlineStr"/>
      <c r="T2005" t="inlineStr">
        <is>
          <t>891269</t>
        </is>
      </c>
      <c r="U2005" t="inlineStr"/>
      <c r="V2005" t="inlineStr"/>
      <c r="W2005" t="inlineStr">
        <is>
          <t>Nej</t>
        </is>
      </c>
      <c r="X2005" t="inlineStr">
        <is>
          <t>Nej</t>
        </is>
      </c>
      <c r="Y2005" t="inlineStr">
        <is>
          <t>Ja</t>
        </is>
      </c>
      <c r="Z2005" t="inlineStr">
        <is>
          <t>Ja</t>
        </is>
      </c>
      <c r="AA2005" t="n">
        <v>8</v>
      </c>
      <c r="AB2005" t="inlineStr">
        <is>
          <t>Riskhantering</t>
        </is>
      </c>
      <c r="AC2005" t="inlineStr">
        <is>
          <t>Risk-PM</t>
        </is>
      </c>
      <c r="AD2005" t="inlineStr">
        <is>
          <t>Nej</t>
        </is>
      </c>
      <c r="AE2005" t="inlineStr">
        <is>
          <t>Nej</t>
        </is>
      </c>
      <c r="AF2005" t="inlineStr">
        <is>
          <t>Ej behandlad</t>
        </is>
      </c>
      <c r="AG2005" t="inlineStr">
        <is>
          <t>AUTO_GENERERAD. Verifiera citat mot kallfil.</t>
        </is>
      </c>
      <c r="AH2005" t="inlineStr">
        <is>
          <t>MEDIUM</t>
        </is>
      </c>
      <c r="AI2005" t="inlineStr">
        <is>
          <t>AUTO</t>
        </is>
      </c>
      <c r="AJ2005" t="inlineStr">
        <is>
          <t>Nej</t>
        </is>
      </c>
      <c r="AK2005" t="inlineStr"/>
      <c r="AL2005" t="inlineStr"/>
      <c r="AM2005" t="inlineStr"/>
      <c r="AN2005" t="inlineStr"/>
      <c r="AO2005" t="inlineStr">
        <is>
          <t>cmm4yunlb00stcuqw956bj2gh</t>
        </is>
      </c>
      <c r="AP2005" t="inlineStr">
        <is>
          <t>http://localhost:8787/api/admin/requirements/documents/cmm4yunlb00stcuqw956bj2gh/view</t>
        </is>
      </c>
      <c r="AQ2005">
        <f>HYPERLÄNK("http://localhost:8787/api/admin/requirements/documents/cmm4yunlb00stcuqw956bj2gh/view";"Öppna PDF")</f>
        <v/>
      </c>
      <c r="AR2005">
        <f>HYPERLINK("http://localhost:8787/api/admin/requirements/documents/cmm4yunlb00stcuqw956bj2gh/view","Open PDF")</f>
        <v/>
      </c>
      <c r="AS2005" t="inlineStr">
        <is>
          <t>cmm55w57p0004cuisfrtpqly8</t>
        </is>
      </c>
      <c r="AT2005" t="inlineStr">
        <is>
          <t>cmm4xvu980000cuh4vj0usz09</t>
        </is>
      </c>
      <c r="AU2005" t="inlineStr"/>
      <c r="AV2005" t="inlineStr">
        <is>
          <t>Kommun</t>
        </is>
      </c>
      <c r="AW2005" t="inlineStr"/>
      <c r="AX2005" t="inlineStr">
        <is>
          <t>2026-02</t>
        </is>
      </c>
      <c r="AY2005" t="inlineStr">
        <is>
          <t>Beslut</t>
        </is>
      </c>
      <c r="AZ2005" t="inlineStr">
        <is>
          <t>2026-02-03</t>
        </is>
      </c>
      <c r="BA2005" t="inlineStr">
        <is>
          <t>MIL2024916pdf_976512.pdf</t>
        </is>
      </c>
      <c r="BB2005" t="inlineStr">
        <is>
          <t>Begäran om allmän handling i ärende  MIL.2026.363</t>
        </is>
      </c>
      <c r="BC2005" t="inlineStr">
        <is>
          <t>AUTO</t>
        </is>
      </c>
      <c r="BD2005" t="inlineStr"/>
      <c r="BE2005" t="inlineStr"/>
      <c r="BF2005" t="inlineStr">
        <is>
          <t>AUTO_GENERERAD. Bekrafta metadata mot kallfil.</t>
        </is>
      </c>
      <c r="BG2005">
        <f>HYPERLINK("C:\Users\jimmy\Desktop\Examens arbete\Kod\Ny mapp\remix_-copy-of-miljöbeslut.se-portal\MIL2024916pdf_976512.pdf", "Öppna PDF")</f>
        <v/>
      </c>
    </row>
    <row r="2006">
      <c r="A2006" t="inlineStr">
        <is>
          <t>KRAV-AUTO-002005</t>
        </is>
      </c>
      <c r="B2006" t="inlineStr">
        <is>
          <t>ADMIN-INDEX-2026-02-27-00000000125C043F57453246863FE664CAFE6A3F0700950291EA24F0614FB6ACEDB12BF0E31D00000000010C0000950291EA24F0614FB6ACEDB12BF0E31D00002087B1870000</t>
        </is>
      </c>
      <c r="C2006" t="inlineStr">
        <is>
          <t>cmm4yunks00sbcuqwfzxlz1mj</t>
        </is>
      </c>
      <c r="D2006" t="inlineStr">
        <is>
          <t>http://localhost:8787/api/admin/requirements/documents/cmm4yunks00sbcuqwfzxlz1mj/view</t>
        </is>
      </c>
      <c r="E2006">
        <f>HYPERLÄNK("http://localhost:8787/api/admin/requirements/documents/cmm4yunks00sbcuqwfzxlz1mj/view";"Öppna PDF")</f>
        <v/>
      </c>
      <c r="F2006">
        <f>HYPERLINK("http://localhost:8787/api/admin/requirements/documents/cmm4yunks00sbcuqwfzxlz1mj/view","Open PDF")</f>
        <v/>
      </c>
      <c r="G2006" t="inlineStr">
        <is>
          <t>cmm55w57p0004cuisfrtpqly8</t>
        </is>
      </c>
      <c r="H2006" t="inlineStr">
        <is>
          <t>Beslutsvillkor</t>
        </is>
      </c>
      <c r="I2006" t="inlineStr">
        <is>
          <t>DagvattenLakvatten</t>
        </is>
      </c>
      <c r="J2006" t="inlineStr">
        <is>
          <t>Uppsamling</t>
        </is>
      </c>
      <c r="K2006" t="inlineStr">
        <is>
          <t>Lagringen ska ske så att risken för uppkomst av lakvatten från rötslammet minimeras.</t>
        </is>
      </c>
      <c r="L2006" t="inlineStr">
        <is>
          <t>Lagringen ska ske så att risken för uppkomst av lakvatten från rötslammet minimeras.</t>
        </is>
      </c>
      <c r="M2006" t="inlineStr">
        <is>
          <t>SKA</t>
        </is>
      </c>
      <c r="N2006" t="inlineStr"/>
      <c r="O2006" t="inlineStr"/>
      <c r="P2006" t="inlineStr"/>
      <c r="Q2006" t="inlineStr"/>
      <c r="R2006" t="inlineStr">
        <is>
          <t>Vid nederbord och avrinning</t>
        </is>
      </c>
      <c r="S2006" t="inlineStr"/>
      <c r="T2006" t="inlineStr">
        <is>
          <t>924943</t>
        </is>
      </c>
      <c r="U2006" t="inlineStr"/>
      <c r="V2006" t="inlineStr"/>
      <c r="W2006" t="inlineStr">
        <is>
          <t>Nej</t>
        </is>
      </c>
      <c r="X2006" t="inlineStr">
        <is>
          <t>Ja</t>
        </is>
      </c>
      <c r="Y2006" t="inlineStr">
        <is>
          <t>Ja</t>
        </is>
      </c>
      <c r="Z2006" t="inlineStr">
        <is>
          <t>Nej</t>
        </is>
      </c>
      <c r="AA2006" t="n">
        <v>6</v>
      </c>
      <c r="AB2006" t="inlineStr">
        <is>
          <t>Lakvattenhantering</t>
        </is>
      </c>
      <c r="AC2006" t="inlineStr">
        <is>
          <t>Flodesschema dagvatten-lakvatten</t>
        </is>
      </c>
      <c r="AD2006" t="inlineStr">
        <is>
          <t>Nej</t>
        </is>
      </c>
      <c r="AE2006" t="inlineStr">
        <is>
          <t>Nej</t>
        </is>
      </c>
      <c r="AF2006" t="inlineStr">
        <is>
          <t>Ej behandlad</t>
        </is>
      </c>
      <c r="AG2006" t="inlineStr">
        <is>
          <t>AUTO_GENERERAD. Verifiera citat mot kallfil.</t>
        </is>
      </c>
      <c r="AH2006" t="inlineStr">
        <is>
          <t>MEDIUM</t>
        </is>
      </c>
      <c r="AI2006" t="inlineStr">
        <is>
          <t>AUTO</t>
        </is>
      </c>
      <c r="AJ2006" t="inlineStr">
        <is>
          <t>Nej</t>
        </is>
      </c>
      <c r="AK2006" t="inlineStr"/>
      <c r="AL2006" t="inlineStr"/>
      <c r="AM2006" t="inlineStr"/>
      <c r="AN2006" t="inlineStr"/>
      <c r="AO2006" t="inlineStr">
        <is>
          <t>cmm4yunks00sbcuqwfzxlz1mj</t>
        </is>
      </c>
      <c r="AP2006" t="inlineStr">
        <is>
          <t>http://localhost:8787/api/admin/requirements/documents/cmm4yunks00sbcuqwfzxlz1mj/view</t>
        </is>
      </c>
      <c r="AQ2006">
        <f>HYPERLÄNK("http://localhost:8787/api/admin/requirements/documents/cmm4yunks00sbcuqwfzxlz1mj/view";"Öppna PDF")</f>
        <v/>
      </c>
      <c r="AR2006">
        <f>HYPERLINK("http://localhost:8787/api/admin/requirements/documents/cmm4yunks00sbcuqwfzxlz1mj/view","Open PDF")</f>
        <v/>
      </c>
      <c r="AS2006" t="inlineStr">
        <is>
          <t>cmm55w57p0004cuisfrtpqly8</t>
        </is>
      </c>
      <c r="AT2006" t="inlineStr">
        <is>
          <t>cmm4xvu980000cuh4vj0usz09</t>
        </is>
      </c>
      <c r="AU2006" t="inlineStr"/>
      <c r="AV2006" t="inlineStr">
        <is>
          <t>Kommun</t>
        </is>
      </c>
      <c r="AW2006" t="inlineStr"/>
      <c r="AX2006" t="inlineStr">
        <is>
          <t>2026-02</t>
        </is>
      </c>
      <c r="AY2006" t="inlineStr">
        <is>
          <t>Beslut</t>
        </is>
      </c>
      <c r="AZ2006" t="inlineStr">
        <is>
          <t>2026-02-03</t>
        </is>
      </c>
      <c r="BA2006" t="inlineStr">
        <is>
          <t>MIL20242459pdf_976503.pdf</t>
        </is>
      </c>
      <c r="BB2006" t="inlineStr">
        <is>
          <t>Begäran om allmän handling i ärende  MIL.2026.363</t>
        </is>
      </c>
      <c r="BC2006" t="inlineStr">
        <is>
          <t>AUTO</t>
        </is>
      </c>
      <c r="BD2006" t="inlineStr"/>
      <c r="BE2006" t="inlineStr"/>
      <c r="BF2006" t="inlineStr">
        <is>
          <t>AUTO_GENERERAD. Bekrafta metadata mot kallfil.</t>
        </is>
      </c>
      <c r="BG2006">
        <f>HYPERLINK("C:\Users\jimmy\Desktop\Examens arbete\Kod\Ny mapp\remix_-copy-of-miljöbeslut.se-portal\MIL20242459pdf_976503.pdf", "Öppna PDF")</f>
        <v/>
      </c>
    </row>
    <row r="2007">
      <c r="A2007" t="inlineStr">
        <is>
          <t>KRAV-AUTO-002006</t>
        </is>
      </c>
      <c r="B2007" t="inlineStr">
        <is>
          <t>ADMIN-INDEX-2026-02-27-00000000125C043F57453246863FE664CAFE6A3F0700950291EA24F0614FB6ACEDB12BF0E31D00000000010C0000950291EA24F0614FB6ACEDB12BF0E31D00002087B1870000</t>
        </is>
      </c>
      <c r="C2007" t="inlineStr">
        <is>
          <t>cmm4yunks00sbcuqwfzxlz1mj</t>
        </is>
      </c>
      <c r="D2007" t="inlineStr">
        <is>
          <t>http://localhost:8787/api/admin/requirements/documents/cmm4yunks00sbcuqwfzxlz1mj/view</t>
        </is>
      </c>
      <c r="E2007">
        <f>HYPERLÄNK("http://localhost:8787/api/admin/requirements/documents/cmm4yunks00sbcuqwfzxlz1mj/view";"Öppna PDF")</f>
        <v/>
      </c>
      <c r="F2007">
        <f>HYPERLINK("http://localhost:8787/api/admin/requirements/documents/cmm4yunks00sbcuqwfzxlz1mj/view","Open PDF")</f>
        <v/>
      </c>
      <c r="G2007" t="inlineStr">
        <is>
          <t>cmm55w57p0004cuisfrtpqly8</t>
        </is>
      </c>
      <c r="H2007" t="inlineStr">
        <is>
          <t>Beslutsvillkor</t>
        </is>
      </c>
      <c r="I2007" t="inlineStr">
        <is>
          <t>Riskhantering</t>
        </is>
      </c>
      <c r="J2007" t="inlineStr">
        <is>
          <t>Riskkontroll</t>
        </is>
      </c>
      <c r="K2007" t="inlineStr">
        <is>
          <t>Täckning ska med hänsyn till risk för luktolägenhet göras i snar anslutning till uppläggning.</t>
        </is>
      </c>
      <c r="L2007" t="inlineStr">
        <is>
          <t>Täckning ska med hänsyn till risk för luktolägenhet göras i snar anslutning till uppläggning.</t>
        </is>
      </c>
      <c r="M2007" t="inlineStr">
        <is>
          <t>SKA</t>
        </is>
      </c>
      <c r="N2007" t="inlineStr"/>
      <c r="O2007" t="inlineStr"/>
      <c r="P2007" t="inlineStr"/>
      <c r="Q2007" t="inlineStr"/>
      <c r="R2007" t="inlineStr">
        <is>
          <t>Vid risk for incident</t>
        </is>
      </c>
      <c r="S2007" t="inlineStr"/>
      <c r="T2007" t="inlineStr">
        <is>
          <t>924943</t>
        </is>
      </c>
      <c r="U2007" t="inlineStr"/>
      <c r="V2007" t="inlineStr"/>
      <c r="W2007" t="inlineStr">
        <is>
          <t>Nej</t>
        </is>
      </c>
      <c r="X2007" t="inlineStr">
        <is>
          <t>Nej</t>
        </is>
      </c>
      <c r="Y2007" t="inlineStr">
        <is>
          <t>Ja</t>
        </is>
      </c>
      <c r="Z2007" t="inlineStr">
        <is>
          <t>Ja</t>
        </is>
      </c>
      <c r="AA2007" t="n">
        <v>8</v>
      </c>
      <c r="AB2007" t="inlineStr">
        <is>
          <t>Riskhantering</t>
        </is>
      </c>
      <c r="AC2007" t="inlineStr">
        <is>
          <t>Risk-PM</t>
        </is>
      </c>
      <c r="AD2007" t="inlineStr">
        <is>
          <t>Nej</t>
        </is>
      </c>
      <c r="AE2007" t="inlineStr">
        <is>
          <t>Nej</t>
        </is>
      </c>
      <c r="AF2007" t="inlineStr">
        <is>
          <t>Ej behandlad</t>
        </is>
      </c>
      <c r="AG2007" t="inlineStr">
        <is>
          <t>AUTO_GENERERAD. Verifiera citat mot kallfil.</t>
        </is>
      </c>
      <c r="AH2007" t="inlineStr">
        <is>
          <t>MEDIUM</t>
        </is>
      </c>
      <c r="AI2007" t="inlineStr">
        <is>
          <t>AUTO</t>
        </is>
      </c>
      <c r="AJ2007" t="inlineStr">
        <is>
          <t>Nej</t>
        </is>
      </c>
      <c r="AK2007" t="inlineStr"/>
      <c r="AL2007" t="inlineStr"/>
      <c r="AM2007" t="inlineStr"/>
      <c r="AN2007" t="inlineStr"/>
      <c r="AO2007" t="inlineStr">
        <is>
          <t>cmm4yunks00sbcuqwfzxlz1mj</t>
        </is>
      </c>
      <c r="AP2007" t="inlineStr">
        <is>
          <t>http://localhost:8787/api/admin/requirements/documents/cmm4yunks00sbcuqwfzxlz1mj/view</t>
        </is>
      </c>
      <c r="AQ2007">
        <f>HYPERLÄNK("http://localhost:8787/api/admin/requirements/documents/cmm4yunks00sbcuqwfzxlz1mj/view";"Öppna PDF")</f>
        <v/>
      </c>
      <c r="AR2007">
        <f>HYPERLINK("http://localhost:8787/api/admin/requirements/documents/cmm4yunks00sbcuqwfzxlz1mj/view","Open PDF")</f>
        <v/>
      </c>
      <c r="AS2007" t="inlineStr">
        <is>
          <t>cmm55w57p0004cuisfrtpqly8</t>
        </is>
      </c>
      <c r="AT2007" t="inlineStr">
        <is>
          <t>cmm4xvu980000cuh4vj0usz09</t>
        </is>
      </c>
      <c r="AU2007" t="inlineStr"/>
      <c r="AV2007" t="inlineStr">
        <is>
          <t>Kommun</t>
        </is>
      </c>
      <c r="AW2007" t="inlineStr"/>
      <c r="AX2007" t="inlineStr">
        <is>
          <t>2026-02</t>
        </is>
      </c>
      <c r="AY2007" t="inlineStr">
        <is>
          <t>Beslut</t>
        </is>
      </c>
      <c r="AZ2007" t="inlineStr">
        <is>
          <t>2026-02-03</t>
        </is>
      </c>
      <c r="BA2007" t="inlineStr">
        <is>
          <t>MIL20242459pdf_976503.pdf</t>
        </is>
      </c>
      <c r="BB2007" t="inlineStr">
        <is>
          <t>Begäran om allmän handling i ärende  MIL.2026.363</t>
        </is>
      </c>
      <c r="BC2007" t="inlineStr">
        <is>
          <t>AUTO</t>
        </is>
      </c>
      <c r="BD2007" t="inlineStr"/>
      <c r="BE2007" t="inlineStr"/>
      <c r="BF2007" t="inlineStr">
        <is>
          <t>AUTO_GENERERAD. Bekrafta metadata mot kallfil.</t>
        </is>
      </c>
      <c r="BG2007">
        <f>HYPERLINK("C:\Users\jimmy\Desktop\Examens arbete\Kod\Ny mapp\remix_-copy-of-miljöbeslut.se-portal\MIL20242459pdf_976503.pdf", "Öppna PDF")</f>
        <v/>
      </c>
    </row>
    <row r="2008">
      <c r="A2008" t="inlineStr">
        <is>
          <t>KRAV-AUTO-002007</t>
        </is>
      </c>
      <c r="B2008" t="inlineStr">
        <is>
          <t>ADMIN-INDEX-2026-02-27-00000000125C043F57453246863FE664CAFE6A3F0700950291EA24F0614FB6ACEDB12BF0E31D00000000010C0000950291EA24F0614FB6ACEDB12BF0E31D00002087B1870000</t>
        </is>
      </c>
      <c r="C2008" t="inlineStr">
        <is>
          <t>cmm4yunks00sbcuqwfzxlz1mj</t>
        </is>
      </c>
      <c r="D2008" t="inlineStr">
        <is>
          <t>http://localhost:8787/api/admin/requirements/documents/cmm4yunks00sbcuqwfzxlz1mj/view</t>
        </is>
      </c>
      <c r="E2008">
        <f>HYPERLÄNK("http://localhost:8787/api/admin/requirements/documents/cmm4yunks00sbcuqwfzxlz1mj/view";"Öppna PDF")</f>
        <v/>
      </c>
      <c r="F2008">
        <f>HYPERLINK("http://localhost:8787/api/admin/requirements/documents/cmm4yunks00sbcuqwfzxlz1mj/view","Open PDF")</f>
        <v/>
      </c>
      <c r="G2008" t="inlineStr">
        <is>
          <t>cmm55w57p0004cuisfrtpqly8</t>
        </is>
      </c>
      <c r="H2008" t="inlineStr">
        <is>
          <t>Beslutsvillkor</t>
        </is>
      </c>
      <c r="I2008" t="inlineStr">
        <is>
          <t>LokaliseringPlats</t>
        </is>
      </c>
      <c r="J2008" t="inlineStr">
        <is>
          <t>Skyddsobjekt</t>
        </is>
      </c>
      <c r="K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L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M2008" t="inlineStr">
        <is>
          <t>SKA</t>
        </is>
      </c>
      <c r="N2008" t="inlineStr"/>
      <c r="O2008" t="inlineStr"/>
      <c r="P2008" t="inlineStr"/>
      <c r="Q2008" t="inlineStr"/>
      <c r="R2008" t="inlineStr">
        <is>
          <t>Fore beslut</t>
        </is>
      </c>
      <c r="S2008" t="inlineStr"/>
      <c r="T2008" t="inlineStr">
        <is>
          <t>924943</t>
        </is>
      </c>
      <c r="U2008" t="inlineStr"/>
      <c r="V2008" t="inlineStr"/>
      <c r="W2008" t="inlineStr">
        <is>
          <t>Nej</t>
        </is>
      </c>
      <c r="X2008" t="inlineStr">
        <is>
          <t>Nej</t>
        </is>
      </c>
      <c r="Y2008" t="inlineStr">
        <is>
          <t>Nej</t>
        </is>
      </c>
      <c r="Z2008" t="inlineStr">
        <is>
          <t>Nej</t>
        </is>
      </c>
      <c r="AA2008" t="n">
        <v>3</v>
      </c>
      <c r="AB2008" t="inlineStr">
        <is>
          <t>Platsforutsattningar</t>
        </is>
      </c>
      <c r="AC2008" t="inlineStr">
        <is>
          <t>Situationsplan</t>
        </is>
      </c>
      <c r="AD2008" t="inlineStr">
        <is>
          <t>Nej</t>
        </is>
      </c>
      <c r="AE2008" t="inlineStr">
        <is>
          <t>Nej</t>
        </is>
      </c>
      <c r="AF2008" t="inlineStr">
        <is>
          <t>Ej behandlad</t>
        </is>
      </c>
      <c r="AG2008" t="inlineStr">
        <is>
          <t>AUTO_GENERERAD. Verifiera citat mot kallfil.</t>
        </is>
      </c>
      <c r="AH2008" t="inlineStr">
        <is>
          <t>MEDIUM</t>
        </is>
      </c>
      <c r="AI2008" t="inlineStr">
        <is>
          <t>AUTO</t>
        </is>
      </c>
      <c r="AJ2008" t="inlineStr">
        <is>
          <t>Nej</t>
        </is>
      </c>
      <c r="AK2008" t="inlineStr"/>
      <c r="AL2008" t="inlineStr"/>
      <c r="AM2008" t="inlineStr"/>
      <c r="AN2008" t="inlineStr"/>
      <c r="AO2008" t="inlineStr">
        <is>
          <t>cmm4yunks00sbcuqwfzxlz1mj</t>
        </is>
      </c>
      <c r="AP2008" t="inlineStr">
        <is>
          <t>http://localhost:8787/api/admin/requirements/documents/cmm4yunks00sbcuqwfzxlz1mj/view</t>
        </is>
      </c>
      <c r="AQ2008">
        <f>HYPERLÄNK("http://localhost:8787/api/admin/requirements/documents/cmm4yunks00sbcuqwfzxlz1mj/view";"Öppna PDF")</f>
        <v/>
      </c>
      <c r="AR2008">
        <f>HYPERLINK("http://localhost:8787/api/admin/requirements/documents/cmm4yunks00sbcuqwfzxlz1mj/view","Open PDF")</f>
        <v/>
      </c>
      <c r="AS2008" t="inlineStr">
        <is>
          <t>cmm55w57p0004cuisfrtpqly8</t>
        </is>
      </c>
      <c r="AT2008" t="inlineStr">
        <is>
          <t>cmm4xvu980000cuh4vj0usz09</t>
        </is>
      </c>
      <c r="AU2008" t="inlineStr"/>
      <c r="AV2008" t="inlineStr">
        <is>
          <t>Kommun</t>
        </is>
      </c>
      <c r="AW2008" t="inlineStr"/>
      <c r="AX2008" t="inlineStr">
        <is>
          <t>2026-02</t>
        </is>
      </c>
      <c r="AY2008" t="inlineStr">
        <is>
          <t>Beslut</t>
        </is>
      </c>
      <c r="AZ2008" t="inlineStr">
        <is>
          <t>2026-02-03</t>
        </is>
      </c>
      <c r="BA2008" t="inlineStr">
        <is>
          <t>MIL20242459pdf_976503.pdf</t>
        </is>
      </c>
      <c r="BB2008" t="inlineStr">
        <is>
          <t>Begäran om allmän handling i ärende  MIL.2026.363</t>
        </is>
      </c>
      <c r="BC2008" t="inlineStr">
        <is>
          <t>AUTO</t>
        </is>
      </c>
      <c r="BD2008" t="inlineStr"/>
      <c r="BE2008" t="inlineStr"/>
      <c r="BF2008" t="inlineStr">
        <is>
          <t>AUTO_GENERERAD. Bekrafta metadata mot kallfil.</t>
        </is>
      </c>
      <c r="BG2008">
        <f>HYPERLINK("C:\Users\jimmy\Desktop\Examens arbete\Kod\Ny mapp\remix_-copy-of-miljöbeslut.se-portal\MIL20242459pdf_976503.pdf", "Öppna PDF")</f>
        <v/>
      </c>
    </row>
    <row r="2009">
      <c r="A2009" t="inlineStr">
        <is>
          <t>KRAV-AUTO-002008</t>
        </is>
      </c>
      <c r="B2009" t="inlineStr">
        <is>
          <t>ADMIN-INDEX-2026-02-27-00000000125C043F57453246863FE664CAFE6A3F0700950291EA24F0614FB6ACEDB12BF0E31D00000000010C0000950291EA24F0614FB6ACEDB12BF0E31D00002087B1870000</t>
        </is>
      </c>
      <c r="C2009" t="inlineStr">
        <is>
          <t>cmm4yunkq00s8cuqws6k3ky81</t>
        </is>
      </c>
      <c r="D2009" t="inlineStr">
        <is>
          <t>http://localhost:8787/api/admin/requirements/documents/cmm4yunkq00s8cuqws6k3ky81/view</t>
        </is>
      </c>
      <c r="E2009">
        <f>HYPERLÄNK("http://localhost:8787/api/admin/requirements/documents/cmm4yunkq00s8cuqws6k3ky81/view";"Öppna PDF")</f>
        <v/>
      </c>
      <c r="F2009">
        <f>HYPERLINK("http://localhost:8787/api/admin/requirements/documents/cmm4yunkq00s8cuqws6k3ky81/view","Open PDF")</f>
        <v/>
      </c>
      <c r="G2009" t="inlineStr">
        <is>
          <t>cmm55w57p0004cuisfrtpqly8</t>
        </is>
      </c>
      <c r="H2009" t="inlineStr">
        <is>
          <t>Beslutsvillkor</t>
        </is>
      </c>
      <c r="I2009" t="inlineStr">
        <is>
          <t>DagvattenLakvatten</t>
        </is>
      </c>
      <c r="J2009" t="inlineStr">
        <is>
          <t>Uppsamling</t>
        </is>
      </c>
      <c r="K2009" t="inlineStr">
        <is>
          <t>Lagringen ska ske så att risken för uppkomst av lakvatten från rötslammet minimeras.</t>
        </is>
      </c>
      <c r="L2009" t="inlineStr">
        <is>
          <t>Lagringen ska ske så att risken för uppkomst av lakvatten från rötslammet minimeras.</t>
        </is>
      </c>
      <c r="M2009" t="inlineStr">
        <is>
          <t>SKA</t>
        </is>
      </c>
      <c r="N2009" t="inlineStr"/>
      <c r="O2009" t="inlineStr"/>
      <c r="P2009" t="inlineStr"/>
      <c r="Q2009" t="inlineStr"/>
      <c r="R2009" t="inlineStr">
        <is>
          <t>Vid nederbord och avrinning</t>
        </is>
      </c>
      <c r="S2009" t="inlineStr"/>
      <c r="T2009" t="inlineStr">
        <is>
          <t>924715</t>
        </is>
      </c>
      <c r="U2009" t="inlineStr"/>
      <c r="V2009" t="inlineStr"/>
      <c r="W2009" t="inlineStr">
        <is>
          <t>Nej</t>
        </is>
      </c>
      <c r="X2009" t="inlineStr">
        <is>
          <t>Ja</t>
        </is>
      </c>
      <c r="Y2009" t="inlineStr">
        <is>
          <t>Ja</t>
        </is>
      </c>
      <c r="Z2009" t="inlineStr">
        <is>
          <t>Nej</t>
        </is>
      </c>
      <c r="AA2009" t="n">
        <v>6</v>
      </c>
      <c r="AB2009" t="inlineStr">
        <is>
          <t>Lakvattenhantering</t>
        </is>
      </c>
      <c r="AC2009" t="inlineStr">
        <is>
          <t>Flodesschema dagvatten-lakvatten</t>
        </is>
      </c>
      <c r="AD2009" t="inlineStr">
        <is>
          <t>Nej</t>
        </is>
      </c>
      <c r="AE2009" t="inlineStr">
        <is>
          <t>Nej</t>
        </is>
      </c>
      <c r="AF2009" t="inlineStr">
        <is>
          <t>Ej behandlad</t>
        </is>
      </c>
      <c r="AG2009" t="inlineStr">
        <is>
          <t>AUTO_GENERERAD. Verifiera citat mot kallfil.</t>
        </is>
      </c>
      <c r="AH2009" t="inlineStr">
        <is>
          <t>MEDIUM</t>
        </is>
      </c>
      <c r="AI2009" t="inlineStr">
        <is>
          <t>AUTO</t>
        </is>
      </c>
      <c r="AJ2009" t="inlineStr">
        <is>
          <t>Nej</t>
        </is>
      </c>
      <c r="AK2009" t="inlineStr"/>
      <c r="AL2009" t="inlineStr"/>
      <c r="AM2009" t="inlineStr"/>
      <c r="AN2009" t="inlineStr"/>
      <c r="AO2009" t="inlineStr">
        <is>
          <t>cmm4yunks00sbcuqwfzxlz1mj</t>
        </is>
      </c>
      <c r="AP2009" t="inlineStr">
        <is>
          <t>http://localhost:8787/api/admin/requirements/documents/cmm4yunks00sbcuqwfzxlz1mj/view</t>
        </is>
      </c>
      <c r="AQ2009">
        <f>HYPERLÄNK("http://localhost:8787/api/admin/requirements/documents/cmm4yunks00sbcuqwfzxlz1mj/view";"Öppna PDF")</f>
        <v/>
      </c>
      <c r="AR2009">
        <f>HYPERLINK("http://localhost:8787/api/admin/requirements/documents/cmm4yunks00sbcuqwfzxlz1mj/view","Open PDF")</f>
        <v/>
      </c>
      <c r="AS2009" t="inlineStr">
        <is>
          <t>cmm55w57p0004cuisfrtpqly8</t>
        </is>
      </c>
      <c r="AT2009" t="inlineStr">
        <is>
          <t>cmm4xvu980000cuh4vj0usz09</t>
        </is>
      </c>
      <c r="AU2009" t="inlineStr"/>
      <c r="AV2009" t="inlineStr">
        <is>
          <t>Kommun</t>
        </is>
      </c>
      <c r="AW2009" t="inlineStr"/>
      <c r="AX2009" t="inlineStr">
        <is>
          <t>2026-02</t>
        </is>
      </c>
      <c r="AY2009" t="inlineStr">
        <is>
          <t>Beslut</t>
        </is>
      </c>
      <c r="AZ2009" t="inlineStr">
        <is>
          <t>2026-02-03</t>
        </is>
      </c>
      <c r="BA2009" t="inlineStr">
        <is>
          <t>MIL20242459pdf_976503.pdf</t>
        </is>
      </c>
      <c r="BB2009" t="inlineStr">
        <is>
          <t>Begäran om allmän handling i ärende  MIL.2026.363</t>
        </is>
      </c>
      <c r="BC2009" t="inlineStr">
        <is>
          <t>AUTO</t>
        </is>
      </c>
      <c r="BD2009" t="inlineStr"/>
      <c r="BE2009" t="inlineStr"/>
      <c r="BF2009" t="inlineStr">
        <is>
          <t>AUTO_GENERERAD. Bekrafta metadata mot kallfil.</t>
        </is>
      </c>
      <c r="BG2009">
        <f>HYPERLINK("C:\Users\jimmy\Desktop\Examens arbete\Kod\Ny mapp\remix_-copy-of-miljöbeslut.se-portal\MIL20242459pdf_976503.pdf", "Öppna PDF")</f>
        <v/>
      </c>
    </row>
    <row r="2010">
      <c r="A2010" t="inlineStr">
        <is>
          <t>KRAV-AUTO-002009</t>
        </is>
      </c>
      <c r="B2010" t="inlineStr">
        <is>
          <t>ADMIN-INDEX-2026-02-27-00000000125C043F57453246863FE664CAFE6A3F0700950291EA24F0614FB6ACEDB12BF0E31D00000000010C0000950291EA24F0614FB6ACEDB12BF0E31D00002087B1870000</t>
        </is>
      </c>
      <c r="C2010" t="inlineStr">
        <is>
          <t>cmm4yunkq00s8cuqws6k3ky81</t>
        </is>
      </c>
      <c r="D2010" t="inlineStr">
        <is>
          <t>http://localhost:8787/api/admin/requirements/documents/cmm4yunkq00s8cuqws6k3ky81/view</t>
        </is>
      </c>
      <c r="E2010">
        <f>HYPERLÄNK("http://localhost:8787/api/admin/requirements/documents/cmm4yunkq00s8cuqws6k3ky81/view";"Öppna PDF")</f>
        <v/>
      </c>
      <c r="F2010">
        <f>HYPERLINK("http://localhost:8787/api/admin/requirements/documents/cmm4yunkq00s8cuqws6k3ky81/view","Open PDF")</f>
        <v/>
      </c>
      <c r="G2010" t="inlineStr">
        <is>
          <t>cmm55w57p0004cuisfrtpqly8</t>
        </is>
      </c>
      <c r="H2010" t="inlineStr">
        <is>
          <t>Beslutsvillkor</t>
        </is>
      </c>
      <c r="I2010" t="inlineStr">
        <is>
          <t>DriftEgenkontroll</t>
        </is>
      </c>
      <c r="J2010" t="inlineStr">
        <is>
          <t>Journalforing</t>
        </is>
      </c>
      <c r="K2010" t="inlineStr">
        <is>
          <t>Jordprovtagningskarta bifogas.</t>
        </is>
      </c>
      <c r="L2010" t="inlineStr">
        <is>
          <t>Jordprovtagningskarta bifogas.</t>
        </is>
      </c>
      <c r="M2010" t="inlineStr">
        <is>
          <t>SKA</t>
        </is>
      </c>
      <c r="N2010" t="inlineStr"/>
      <c r="O2010" t="inlineStr"/>
      <c r="P2010" t="inlineStr"/>
      <c r="Q2010" t="inlineStr"/>
      <c r="R2010" t="inlineStr">
        <is>
          <t>Lopande drift</t>
        </is>
      </c>
      <c r="S2010" t="inlineStr"/>
      <c r="T2010" t="inlineStr">
        <is>
          <t>924715</t>
        </is>
      </c>
      <c r="U2010" t="inlineStr"/>
      <c r="V2010" t="inlineStr"/>
      <c r="W2010" t="inlineStr">
        <is>
          <t>Nej</t>
        </is>
      </c>
      <c r="X2010" t="inlineStr">
        <is>
          <t>Nej</t>
        </is>
      </c>
      <c r="Y2010" t="inlineStr">
        <is>
          <t>Ja</t>
        </is>
      </c>
      <c r="Z2010" t="inlineStr">
        <is>
          <t>Nej</t>
        </is>
      </c>
      <c r="AA2010" t="n">
        <v>7</v>
      </c>
      <c r="AB2010" t="inlineStr">
        <is>
          <t>Egenkontrollrutiner</t>
        </is>
      </c>
      <c r="AC2010" t="inlineStr">
        <is>
          <t>Egenkontrollprogram</t>
        </is>
      </c>
      <c r="AD2010" t="inlineStr">
        <is>
          <t>Nej</t>
        </is>
      </c>
      <c r="AE2010" t="inlineStr">
        <is>
          <t>Nej</t>
        </is>
      </c>
      <c r="AF2010" t="inlineStr">
        <is>
          <t>Ej behandlad</t>
        </is>
      </c>
      <c r="AG2010" t="inlineStr">
        <is>
          <t>AUTO_GENERERAD. Verifiera citat mot kallfil.</t>
        </is>
      </c>
      <c r="AH2010" t="inlineStr">
        <is>
          <t>LOW</t>
        </is>
      </c>
      <c r="AI2010" t="inlineStr">
        <is>
          <t>AUTO</t>
        </is>
      </c>
      <c r="AJ2010" t="inlineStr">
        <is>
          <t>Nej</t>
        </is>
      </c>
      <c r="AK2010" t="inlineStr"/>
      <c r="AL2010" t="inlineStr"/>
      <c r="AM2010" t="inlineStr"/>
      <c r="AN2010" t="inlineStr"/>
      <c r="AO2010" t="inlineStr">
        <is>
          <t>cmm4yunks00sbcuqwfzxlz1mj</t>
        </is>
      </c>
      <c r="AP2010" t="inlineStr">
        <is>
          <t>http://localhost:8787/api/admin/requirements/documents/cmm4yunks00sbcuqwfzxlz1mj/view</t>
        </is>
      </c>
      <c r="AQ2010">
        <f>HYPERLÄNK("http://localhost:8787/api/admin/requirements/documents/cmm4yunks00sbcuqwfzxlz1mj/view";"Öppna PDF")</f>
        <v/>
      </c>
      <c r="AR2010">
        <f>HYPERLINK("http://localhost:8787/api/admin/requirements/documents/cmm4yunks00sbcuqwfzxlz1mj/view","Open PDF")</f>
        <v/>
      </c>
      <c r="AS2010" t="inlineStr">
        <is>
          <t>cmm55w57p0004cuisfrtpqly8</t>
        </is>
      </c>
      <c r="AT2010" t="inlineStr">
        <is>
          <t>cmm4xvu980000cuh4vj0usz09</t>
        </is>
      </c>
      <c r="AU2010" t="inlineStr"/>
      <c r="AV2010" t="inlineStr">
        <is>
          <t>Kommun</t>
        </is>
      </c>
      <c r="AW2010" t="inlineStr"/>
      <c r="AX2010" t="inlineStr">
        <is>
          <t>2026-02</t>
        </is>
      </c>
      <c r="AY2010" t="inlineStr">
        <is>
          <t>Beslut</t>
        </is>
      </c>
      <c r="AZ2010" t="inlineStr">
        <is>
          <t>2026-02-03</t>
        </is>
      </c>
      <c r="BA2010" t="inlineStr">
        <is>
          <t>MIL20242459pdf_976503.pdf</t>
        </is>
      </c>
      <c r="BB2010" t="inlineStr">
        <is>
          <t>Begäran om allmän handling i ärende  MIL.2026.363</t>
        </is>
      </c>
      <c r="BC2010" t="inlineStr">
        <is>
          <t>AUTO</t>
        </is>
      </c>
      <c r="BD2010" t="inlineStr"/>
      <c r="BE2010" t="inlineStr"/>
      <c r="BF2010" t="inlineStr">
        <is>
          <t>AUTO_GENERERAD. Bekrafta metadata mot kallfil.</t>
        </is>
      </c>
      <c r="BG2010">
        <f>HYPERLINK("C:\Users\jimmy\Desktop\Examens arbete\Kod\Ny mapp\remix_-copy-of-miljöbeslut.se-portal\MIL20242459pdf_976503.pdf", "Öppna PDF")</f>
        <v/>
      </c>
    </row>
    <row r="2011">
      <c r="A2011" t="inlineStr">
        <is>
          <t>KRAV-AUTO-002010</t>
        </is>
      </c>
      <c r="B2011" t="inlineStr">
        <is>
          <t>ADMIN-INDEX-2026-02-27-00000000125C043F57453246863FE664CAFE6A3F0700950291EA24F0614FB6ACEDB12BF0E31D00000000010C0000950291EA24F0614FB6ACEDB12BF0E31D00002087B1870000</t>
        </is>
      </c>
      <c r="C2011" t="inlineStr">
        <is>
          <t>cmm4yunkq00s8cuqws6k3ky81</t>
        </is>
      </c>
      <c r="D2011" t="inlineStr">
        <is>
          <t>http://localhost:8787/api/admin/requirements/documents/cmm4yunkq00s8cuqws6k3ky81/view</t>
        </is>
      </c>
      <c r="E2011">
        <f>HYPERLÄNK("http://localhost:8787/api/admin/requirements/documents/cmm4yunkq00s8cuqws6k3ky81/view";"Öppna PDF")</f>
        <v/>
      </c>
      <c r="F2011">
        <f>HYPERLINK("http://localhost:8787/api/admin/requirements/documents/cmm4yunkq00s8cuqws6k3ky81/view","Open PDF")</f>
        <v/>
      </c>
      <c r="G2011" t="inlineStr">
        <is>
          <t>cmm55w57p0004cuisfrtpqly8</t>
        </is>
      </c>
      <c r="H2011" t="inlineStr">
        <is>
          <t>Beslutsvillkor</t>
        </is>
      </c>
      <c r="I2011" t="inlineStr">
        <is>
          <t>Riskhantering</t>
        </is>
      </c>
      <c r="J2011" t="inlineStr">
        <is>
          <t>Riskkontroll</t>
        </is>
      </c>
      <c r="K2011" t="inlineStr">
        <is>
          <t>Täckning ska med hänsyn till risk för luktolägenhet göras i snar anslutning till uppläggning.</t>
        </is>
      </c>
      <c r="L2011" t="inlineStr">
        <is>
          <t>Täckning ska med hänsyn till risk för luktolägenhet göras i snar anslutning till uppläggning.</t>
        </is>
      </c>
      <c r="M2011" t="inlineStr">
        <is>
          <t>SKA</t>
        </is>
      </c>
      <c r="N2011" t="inlineStr"/>
      <c r="O2011" t="inlineStr"/>
      <c r="P2011" t="inlineStr"/>
      <c r="Q2011" t="inlineStr"/>
      <c r="R2011" t="inlineStr">
        <is>
          <t>Vid risk for incident</t>
        </is>
      </c>
      <c r="S2011" t="inlineStr"/>
      <c r="T2011" t="inlineStr">
        <is>
          <t>924715</t>
        </is>
      </c>
      <c r="U2011" t="inlineStr"/>
      <c r="V2011" t="inlineStr"/>
      <c r="W2011" t="inlineStr">
        <is>
          <t>Nej</t>
        </is>
      </c>
      <c r="X2011" t="inlineStr">
        <is>
          <t>Nej</t>
        </is>
      </c>
      <c r="Y2011" t="inlineStr">
        <is>
          <t>Ja</t>
        </is>
      </c>
      <c r="Z2011" t="inlineStr">
        <is>
          <t>Ja</t>
        </is>
      </c>
      <c r="AA2011" t="n">
        <v>8</v>
      </c>
      <c r="AB2011" t="inlineStr">
        <is>
          <t>Riskhantering</t>
        </is>
      </c>
      <c r="AC2011" t="inlineStr">
        <is>
          <t>Risk-PM</t>
        </is>
      </c>
      <c r="AD2011" t="inlineStr">
        <is>
          <t>Nej</t>
        </is>
      </c>
      <c r="AE2011" t="inlineStr">
        <is>
          <t>Nej</t>
        </is>
      </c>
      <c r="AF2011" t="inlineStr">
        <is>
          <t>Ej behandlad</t>
        </is>
      </c>
      <c r="AG2011" t="inlineStr">
        <is>
          <t>AUTO_GENERERAD. Verifiera citat mot kallfil.</t>
        </is>
      </c>
      <c r="AH2011" t="inlineStr">
        <is>
          <t>MEDIUM</t>
        </is>
      </c>
      <c r="AI2011" t="inlineStr">
        <is>
          <t>AUTO</t>
        </is>
      </c>
      <c r="AJ2011" t="inlineStr">
        <is>
          <t>Nej</t>
        </is>
      </c>
      <c r="AK2011" t="inlineStr"/>
      <c r="AL2011" t="inlineStr"/>
      <c r="AM2011" t="inlineStr"/>
      <c r="AN2011" t="inlineStr"/>
      <c r="AO2011" t="inlineStr">
        <is>
          <t>cmm4yunks00sbcuqwfzxlz1mj</t>
        </is>
      </c>
      <c r="AP2011" t="inlineStr">
        <is>
          <t>http://localhost:8787/api/admin/requirements/documents/cmm4yunks00sbcuqwfzxlz1mj/view</t>
        </is>
      </c>
      <c r="AQ2011">
        <f>HYPERLÄNK("http://localhost:8787/api/admin/requirements/documents/cmm4yunks00sbcuqwfzxlz1mj/view";"Öppna PDF")</f>
        <v/>
      </c>
      <c r="AR2011">
        <f>HYPERLINK("http://localhost:8787/api/admin/requirements/documents/cmm4yunks00sbcuqwfzxlz1mj/view","Open PDF")</f>
        <v/>
      </c>
      <c r="AS2011" t="inlineStr">
        <is>
          <t>cmm55w57p0004cuisfrtpqly8</t>
        </is>
      </c>
      <c r="AT2011" t="inlineStr">
        <is>
          <t>cmm4xvu980000cuh4vj0usz09</t>
        </is>
      </c>
      <c r="AU2011" t="inlineStr"/>
      <c r="AV2011" t="inlineStr">
        <is>
          <t>Kommun</t>
        </is>
      </c>
      <c r="AW2011" t="inlineStr"/>
      <c r="AX2011" t="inlineStr">
        <is>
          <t>2026-02</t>
        </is>
      </c>
      <c r="AY2011" t="inlineStr">
        <is>
          <t>Beslut</t>
        </is>
      </c>
      <c r="AZ2011" t="inlineStr">
        <is>
          <t>2026-02-03</t>
        </is>
      </c>
      <c r="BA2011" t="inlineStr">
        <is>
          <t>MIL20242459pdf_976503.pdf</t>
        </is>
      </c>
      <c r="BB2011" t="inlineStr">
        <is>
          <t>Begäran om allmän handling i ärende  MIL.2026.363</t>
        </is>
      </c>
      <c r="BC2011" t="inlineStr">
        <is>
          <t>AUTO</t>
        </is>
      </c>
      <c r="BD2011" t="inlineStr"/>
      <c r="BE2011" t="inlineStr"/>
      <c r="BF2011" t="inlineStr">
        <is>
          <t>AUTO_GENERERAD. Bekrafta metadata mot kallfil.</t>
        </is>
      </c>
      <c r="BG2011">
        <f>HYPERLINK("C:\Users\jimmy\Desktop\Examens arbete\Kod\Ny mapp\remix_-copy-of-miljöbeslut.se-portal\MIL20242459pdf_976503.pdf", "Öppna PDF")</f>
        <v/>
      </c>
    </row>
    <row r="2012">
      <c r="A2012" t="inlineStr">
        <is>
          <t>KRAV-AUTO-002011</t>
        </is>
      </c>
      <c r="B2012" t="inlineStr">
        <is>
          <t>ADMIN-INDEX-2026-02-27-00000000125C043F57453246863FE664CAFE6A3F0700950291EA24F0614FB6ACEDB12BF0E31D00000000010C0000950291EA24F0614FB6ACEDB12BF0E31D00002087B1870000</t>
        </is>
      </c>
      <c r="C2012" t="inlineStr">
        <is>
          <t>cmm4yunko00s5cuqwjv8v2jj2</t>
        </is>
      </c>
      <c r="D2012" t="inlineStr">
        <is>
          <t>http://localhost:8787/api/admin/requirements/documents/cmm4yunko00s5cuqwjv8v2jj2/view</t>
        </is>
      </c>
      <c r="E2012">
        <f>HYPERLÄNK("http://localhost:8787/api/admin/requirements/documents/cmm4yunko00s5cuqwjv8v2jj2/view";"Öppna PDF")</f>
        <v/>
      </c>
      <c r="F2012">
        <f>HYPERLINK("http://localhost:8787/api/admin/requirements/documents/cmm4yunko00s5cuqwjv8v2jj2/view","Open PDF")</f>
        <v/>
      </c>
      <c r="G2012" t="inlineStr">
        <is>
          <t>cmm55w57p0004cuisfrtpqly8</t>
        </is>
      </c>
      <c r="H2012" t="inlineStr">
        <is>
          <t>Beslutsvillkor</t>
        </is>
      </c>
      <c r="I2012" t="inlineStr">
        <is>
          <t>DagvattenLakvatten</t>
        </is>
      </c>
      <c r="J2012" t="inlineStr">
        <is>
          <t>Uppsamling</t>
        </is>
      </c>
      <c r="K2012" t="inlineStr">
        <is>
          <t>Lagringen ska ske så att risken för uppkomst av lakvatten från rötslammet minimeras.</t>
        </is>
      </c>
      <c r="L2012" t="inlineStr">
        <is>
          <t>Lagringen ska ske så att risken för uppkomst av lakvatten från rötslammet minimeras.</t>
        </is>
      </c>
      <c r="M2012" t="inlineStr">
        <is>
          <t>SKA</t>
        </is>
      </c>
      <c r="N2012" t="inlineStr"/>
      <c r="O2012" t="inlineStr"/>
      <c r="P2012" t="inlineStr"/>
      <c r="Q2012" t="inlineStr"/>
      <c r="R2012" t="inlineStr">
        <is>
          <t>Vid nederbord och avrinning</t>
        </is>
      </c>
      <c r="S2012" t="inlineStr"/>
      <c r="T2012" t="inlineStr">
        <is>
          <t>924379</t>
        </is>
      </c>
      <c r="U2012" t="inlineStr"/>
      <c r="V2012" t="inlineStr"/>
      <c r="W2012" t="inlineStr">
        <is>
          <t>Nej</t>
        </is>
      </c>
      <c r="X2012" t="inlineStr">
        <is>
          <t>Ja</t>
        </is>
      </c>
      <c r="Y2012" t="inlineStr">
        <is>
          <t>Ja</t>
        </is>
      </c>
      <c r="Z2012" t="inlineStr">
        <is>
          <t>Nej</t>
        </is>
      </c>
      <c r="AA2012" t="n">
        <v>6</v>
      </c>
      <c r="AB2012" t="inlineStr">
        <is>
          <t>Lakvattenhantering</t>
        </is>
      </c>
      <c r="AC2012" t="inlineStr">
        <is>
          <t>Flodesschema dagvatten-lakvatten</t>
        </is>
      </c>
      <c r="AD2012" t="inlineStr">
        <is>
          <t>Nej</t>
        </is>
      </c>
      <c r="AE2012" t="inlineStr">
        <is>
          <t>Nej</t>
        </is>
      </c>
      <c r="AF2012" t="inlineStr">
        <is>
          <t>Ej behandlad</t>
        </is>
      </c>
      <c r="AG2012" t="inlineStr">
        <is>
          <t>AUTO_GENERERAD. Verifiera citat mot kallfil.</t>
        </is>
      </c>
      <c r="AH2012" t="inlineStr">
        <is>
          <t>MEDIUM</t>
        </is>
      </c>
      <c r="AI2012" t="inlineStr">
        <is>
          <t>AUTO</t>
        </is>
      </c>
      <c r="AJ2012" t="inlineStr">
        <is>
          <t>Nej</t>
        </is>
      </c>
      <c r="AK2012" t="inlineStr"/>
      <c r="AL2012" t="inlineStr"/>
      <c r="AM2012" t="inlineStr"/>
      <c r="AN2012" t="inlineStr"/>
      <c r="AO2012" t="inlineStr">
        <is>
          <t>cmm4yunks00sbcuqwfzxlz1mj</t>
        </is>
      </c>
      <c r="AP2012" t="inlineStr">
        <is>
          <t>http://localhost:8787/api/admin/requirements/documents/cmm4yunks00sbcuqwfzxlz1mj/view</t>
        </is>
      </c>
      <c r="AQ2012">
        <f>HYPERLÄNK("http://localhost:8787/api/admin/requirements/documents/cmm4yunks00sbcuqwfzxlz1mj/view";"Öppna PDF")</f>
        <v/>
      </c>
      <c r="AR2012">
        <f>HYPERLINK("http://localhost:8787/api/admin/requirements/documents/cmm4yunks00sbcuqwfzxlz1mj/view","Open PDF")</f>
        <v/>
      </c>
      <c r="AS2012" t="inlineStr">
        <is>
          <t>cmm55w57p0004cuisfrtpqly8</t>
        </is>
      </c>
      <c r="AT2012" t="inlineStr">
        <is>
          <t>cmm4xvu980000cuh4vj0usz09</t>
        </is>
      </c>
      <c r="AU2012" t="inlineStr"/>
      <c r="AV2012" t="inlineStr">
        <is>
          <t>Kommun</t>
        </is>
      </c>
      <c r="AW2012" t="inlineStr"/>
      <c r="AX2012" t="inlineStr">
        <is>
          <t>2026-02</t>
        </is>
      </c>
      <c r="AY2012" t="inlineStr">
        <is>
          <t>Beslut</t>
        </is>
      </c>
      <c r="AZ2012" t="inlineStr">
        <is>
          <t>2026-02-03</t>
        </is>
      </c>
      <c r="BA2012" t="inlineStr">
        <is>
          <t>MIL20242459pdf_976503.pdf</t>
        </is>
      </c>
      <c r="BB2012" t="inlineStr">
        <is>
          <t>Begäran om allmän handling i ärende  MIL.2026.363</t>
        </is>
      </c>
      <c r="BC2012" t="inlineStr">
        <is>
          <t>AUTO</t>
        </is>
      </c>
      <c r="BD2012" t="inlineStr"/>
      <c r="BE2012" t="inlineStr"/>
      <c r="BF2012" t="inlineStr">
        <is>
          <t>AUTO_GENERERAD. Bekrafta metadata mot kallfil.</t>
        </is>
      </c>
      <c r="BG2012">
        <f>HYPERLINK("C:\Users\jimmy\Desktop\Examens arbete\Kod\Ny mapp\remix_-copy-of-miljöbeslut.se-portal\MIL20242459pdf_976503.pdf", "Öppna PDF")</f>
        <v/>
      </c>
    </row>
    <row r="2013">
      <c r="A2013" t="inlineStr">
        <is>
          <t>KRAV-AUTO-002012</t>
        </is>
      </c>
      <c r="B2013" t="inlineStr">
        <is>
          <t>ADMIN-INDEX-2026-02-27-00000000125C043F57453246863FE664CAFE6A3F0700950291EA24F0614FB6ACEDB12BF0E31D00000000010C0000950291EA24F0614FB6ACEDB12BF0E31D00002087B1870000</t>
        </is>
      </c>
      <c r="C2013" t="inlineStr">
        <is>
          <t>cmm4yunko00s5cuqwjv8v2jj2</t>
        </is>
      </c>
      <c r="D2013" t="inlineStr">
        <is>
          <t>http://localhost:8787/api/admin/requirements/documents/cmm4yunko00s5cuqwjv8v2jj2/view</t>
        </is>
      </c>
      <c r="E2013">
        <f>HYPERLÄNK("http://localhost:8787/api/admin/requirements/documents/cmm4yunko00s5cuqwjv8v2jj2/view";"Öppna PDF")</f>
        <v/>
      </c>
      <c r="F2013">
        <f>HYPERLINK("http://localhost:8787/api/admin/requirements/documents/cmm4yunko00s5cuqwjv8v2jj2/view","Open PDF")</f>
        <v/>
      </c>
      <c r="G2013" t="inlineStr">
        <is>
          <t>cmm55w57p0004cuisfrtpqly8</t>
        </is>
      </c>
      <c r="H2013" t="inlineStr">
        <is>
          <t>Beslutsvillkor</t>
        </is>
      </c>
      <c r="I2013" t="inlineStr">
        <is>
          <t>DriftEgenkontroll</t>
        </is>
      </c>
      <c r="J2013" t="inlineStr">
        <is>
          <t>Journalforing</t>
        </is>
      </c>
      <c r="K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t>
        </is>
      </c>
      <c r="M2013" t="inlineStr">
        <is>
          <t>SKA</t>
        </is>
      </c>
      <c r="N2013" t="inlineStr"/>
      <c r="O2013" t="inlineStr"/>
      <c r="P2013" t="inlineStr"/>
      <c r="Q2013" t="inlineStr"/>
      <c r="R2013" t="inlineStr">
        <is>
          <t>Lopande drift</t>
        </is>
      </c>
      <c r="S2013" t="inlineStr"/>
      <c r="T2013" t="inlineStr">
        <is>
          <t>924379</t>
        </is>
      </c>
      <c r="U2013" t="inlineStr"/>
      <c r="V2013" t="inlineStr"/>
      <c r="W2013" t="inlineStr">
        <is>
          <t>Nej</t>
        </is>
      </c>
      <c r="X2013" t="inlineStr">
        <is>
          <t>Nej</t>
        </is>
      </c>
      <c r="Y2013" t="inlineStr">
        <is>
          <t>Ja</t>
        </is>
      </c>
      <c r="Z2013" t="inlineStr">
        <is>
          <t>Nej</t>
        </is>
      </c>
      <c r="AA2013" t="n">
        <v>7</v>
      </c>
      <c r="AB2013" t="inlineStr">
        <is>
          <t>Egenkontrollrutiner</t>
        </is>
      </c>
      <c r="AC2013" t="inlineStr">
        <is>
          <t>Egenkontrollprogram</t>
        </is>
      </c>
      <c r="AD2013" t="inlineStr">
        <is>
          <t>Nej</t>
        </is>
      </c>
      <c r="AE2013" t="inlineStr">
        <is>
          <t>Nej</t>
        </is>
      </c>
      <c r="AF2013" t="inlineStr">
        <is>
          <t>Ej behandlad</t>
        </is>
      </c>
      <c r="AG2013" t="inlineStr">
        <is>
          <t>AUTO_GENERERAD. Verifiera citat mot kallfil.</t>
        </is>
      </c>
      <c r="AH2013" t="inlineStr">
        <is>
          <t>MEDIUM</t>
        </is>
      </c>
      <c r="AI2013" t="inlineStr">
        <is>
          <t>AUTO</t>
        </is>
      </c>
      <c r="AJ2013" t="inlineStr">
        <is>
          <t>Nej</t>
        </is>
      </c>
      <c r="AK2013" t="inlineStr"/>
      <c r="AL2013" t="inlineStr"/>
      <c r="AM2013" t="inlineStr"/>
      <c r="AN2013" t="inlineStr"/>
      <c r="AO2013" t="inlineStr">
        <is>
          <t>cmm4yunks00sbcuqwfzxlz1mj</t>
        </is>
      </c>
      <c r="AP2013" t="inlineStr">
        <is>
          <t>http://localhost:8787/api/admin/requirements/documents/cmm4yunks00sbcuqwfzxlz1mj/view</t>
        </is>
      </c>
      <c r="AQ2013">
        <f>HYPERLÄNK("http://localhost:8787/api/admin/requirements/documents/cmm4yunks00sbcuqwfzxlz1mj/view";"Öppna PDF")</f>
        <v/>
      </c>
      <c r="AR2013">
        <f>HYPERLINK("http://localhost:8787/api/admin/requirements/documents/cmm4yunks00sbcuqwfzxlz1mj/view","Open PDF")</f>
        <v/>
      </c>
      <c r="AS2013" t="inlineStr">
        <is>
          <t>cmm55w57p0004cuisfrtpqly8</t>
        </is>
      </c>
      <c r="AT2013" t="inlineStr">
        <is>
          <t>cmm4xvu980000cuh4vj0usz09</t>
        </is>
      </c>
      <c r="AU2013" t="inlineStr"/>
      <c r="AV2013" t="inlineStr">
        <is>
          <t>Kommun</t>
        </is>
      </c>
      <c r="AW2013" t="inlineStr"/>
      <c r="AX2013" t="inlineStr">
        <is>
          <t>2026-02</t>
        </is>
      </c>
      <c r="AY2013" t="inlineStr">
        <is>
          <t>Beslut</t>
        </is>
      </c>
      <c r="AZ2013" t="inlineStr">
        <is>
          <t>2026-02-03</t>
        </is>
      </c>
      <c r="BA2013" t="inlineStr">
        <is>
          <t>MIL20242459pdf_976503.pdf</t>
        </is>
      </c>
      <c r="BB2013" t="inlineStr">
        <is>
          <t>Begäran om allmän handling i ärende  MIL.2026.363</t>
        </is>
      </c>
      <c r="BC2013" t="inlineStr">
        <is>
          <t>AUTO</t>
        </is>
      </c>
      <c r="BD2013" t="inlineStr"/>
      <c r="BE2013" t="inlineStr"/>
      <c r="BF2013" t="inlineStr">
        <is>
          <t>AUTO_GENERERAD. Bekrafta metadata mot kallfil.</t>
        </is>
      </c>
      <c r="BG2013">
        <f>HYPERLINK("C:\Users\jimmy\Desktop\Examens arbete\Kod\Ny mapp\remix_-copy-of-miljöbeslut.se-portal\MIL20242459pdf_976503.pdf", "Öppna PDF")</f>
        <v/>
      </c>
    </row>
    <row r="2014">
      <c r="A2014" t="inlineStr">
        <is>
          <t>KRAV-AUTO-002013</t>
        </is>
      </c>
      <c r="B2014" t="inlineStr">
        <is>
          <t>ADMIN-INDEX-2026-02-27-00000000125C043F57453246863FE664CAFE6A3F0700950291EA24F0614FB6ACEDB12BF0E31D00000000010C0000950291EA24F0614FB6ACEDB12BF0E31D00002087B1870000</t>
        </is>
      </c>
      <c r="C2014" t="inlineStr">
        <is>
          <t>cmm4yunko00s5cuqwjv8v2jj2</t>
        </is>
      </c>
      <c r="D2014" t="inlineStr">
        <is>
          <t>http://localhost:8787/api/admin/requirements/documents/cmm4yunko00s5cuqwjv8v2jj2/view</t>
        </is>
      </c>
      <c r="E2014">
        <f>HYPERLÄNK("http://localhost:8787/api/admin/requirements/documents/cmm4yunko00s5cuqwjv8v2jj2/view";"Öppna PDF")</f>
        <v/>
      </c>
      <c r="F2014">
        <f>HYPERLINK("http://localhost:8787/api/admin/requirements/documents/cmm4yunko00s5cuqwjv8v2jj2/view","Open PDF")</f>
        <v/>
      </c>
      <c r="G2014" t="inlineStr">
        <is>
          <t>cmm55w57p0004cuisfrtpqly8</t>
        </is>
      </c>
      <c r="H2014" t="inlineStr">
        <is>
          <t>Beslutsvillkor</t>
        </is>
      </c>
      <c r="I2014" t="inlineStr">
        <is>
          <t>DriftEgenkontroll</t>
        </is>
      </c>
      <c r="J2014" t="inlineStr">
        <is>
          <t>Journalforing</t>
        </is>
      </c>
      <c r="K2014" t="inlineStr">
        <is>
          <t>Jordprovtagningskarta bifogas.</t>
        </is>
      </c>
      <c r="L2014" t="inlineStr">
        <is>
          <t>Jordprovtagningskarta bifogas.</t>
        </is>
      </c>
      <c r="M2014" t="inlineStr">
        <is>
          <t>SKA</t>
        </is>
      </c>
      <c r="N2014" t="inlineStr"/>
      <c r="O2014" t="inlineStr"/>
      <c r="P2014" t="inlineStr"/>
      <c r="Q2014" t="inlineStr"/>
      <c r="R2014" t="inlineStr">
        <is>
          <t>Lopande drift</t>
        </is>
      </c>
      <c r="S2014" t="inlineStr"/>
      <c r="T2014" t="inlineStr">
        <is>
          <t>924379</t>
        </is>
      </c>
      <c r="U2014" t="inlineStr"/>
      <c r="V2014" t="inlineStr"/>
      <c r="W2014" t="inlineStr">
        <is>
          <t>Nej</t>
        </is>
      </c>
      <c r="X2014" t="inlineStr">
        <is>
          <t>Nej</t>
        </is>
      </c>
      <c r="Y2014" t="inlineStr">
        <is>
          <t>Ja</t>
        </is>
      </c>
      <c r="Z2014" t="inlineStr">
        <is>
          <t>Nej</t>
        </is>
      </c>
      <c r="AA2014" t="n">
        <v>7</v>
      </c>
      <c r="AB2014" t="inlineStr">
        <is>
          <t>Egenkontrollrutiner</t>
        </is>
      </c>
      <c r="AC2014" t="inlineStr">
        <is>
          <t>Egenkontrollprogram</t>
        </is>
      </c>
      <c r="AD2014" t="inlineStr">
        <is>
          <t>Nej</t>
        </is>
      </c>
      <c r="AE2014" t="inlineStr">
        <is>
          <t>Nej</t>
        </is>
      </c>
      <c r="AF2014" t="inlineStr">
        <is>
          <t>Ej behandlad</t>
        </is>
      </c>
      <c r="AG2014" t="inlineStr">
        <is>
          <t>AUTO_GENERERAD. Verifiera citat mot kallfil.</t>
        </is>
      </c>
      <c r="AH2014" t="inlineStr">
        <is>
          <t>LOW</t>
        </is>
      </c>
      <c r="AI2014" t="inlineStr">
        <is>
          <t>AUTO</t>
        </is>
      </c>
      <c r="AJ2014" t="inlineStr">
        <is>
          <t>Nej</t>
        </is>
      </c>
      <c r="AK2014" t="inlineStr"/>
      <c r="AL2014" t="inlineStr"/>
      <c r="AM2014" t="inlineStr"/>
      <c r="AN2014" t="inlineStr"/>
      <c r="AO2014" t="inlineStr">
        <is>
          <t>cmm4yunks00sbcuqwfzxlz1mj</t>
        </is>
      </c>
      <c r="AP2014" t="inlineStr">
        <is>
          <t>http://localhost:8787/api/admin/requirements/documents/cmm4yunks00sbcuqwfzxlz1mj/view</t>
        </is>
      </c>
      <c r="AQ2014">
        <f>HYPERLÄNK("http://localhost:8787/api/admin/requirements/documents/cmm4yunks00sbcuqwfzxlz1mj/view";"Öppna PDF")</f>
        <v/>
      </c>
      <c r="AR2014">
        <f>HYPERLINK("http://localhost:8787/api/admin/requirements/documents/cmm4yunks00sbcuqwfzxlz1mj/view","Open PDF")</f>
        <v/>
      </c>
      <c r="AS2014" t="inlineStr">
        <is>
          <t>cmm55w57p0004cuisfrtpqly8</t>
        </is>
      </c>
      <c r="AT2014" t="inlineStr">
        <is>
          <t>cmm4xvu980000cuh4vj0usz09</t>
        </is>
      </c>
      <c r="AU2014" t="inlineStr"/>
      <c r="AV2014" t="inlineStr">
        <is>
          <t>Kommun</t>
        </is>
      </c>
      <c r="AW2014" t="inlineStr"/>
      <c r="AX2014" t="inlineStr">
        <is>
          <t>2026-02</t>
        </is>
      </c>
      <c r="AY2014" t="inlineStr">
        <is>
          <t>Beslut</t>
        </is>
      </c>
      <c r="AZ2014" t="inlineStr">
        <is>
          <t>2026-02-03</t>
        </is>
      </c>
      <c r="BA2014" t="inlineStr">
        <is>
          <t>MIL20242459pdf_976503.pdf</t>
        </is>
      </c>
      <c r="BB2014" t="inlineStr">
        <is>
          <t>Begäran om allmän handling i ärende  MIL.2026.363</t>
        </is>
      </c>
      <c r="BC2014" t="inlineStr">
        <is>
          <t>AUTO</t>
        </is>
      </c>
      <c r="BD2014" t="inlineStr"/>
      <c r="BE2014" t="inlineStr"/>
      <c r="BF2014" t="inlineStr">
        <is>
          <t>AUTO_GENERERAD. Bekrafta metadata mot kallfil.</t>
        </is>
      </c>
      <c r="BG2014">
        <f>HYPERLINK("C:\Users\jimmy\Desktop\Examens arbete\Kod\Ny mapp\remix_-copy-of-miljöbeslut.se-portal\MIL20242459pdf_976503.pdf", "Öppna PDF")</f>
        <v/>
      </c>
    </row>
    <row r="2015">
      <c r="A2015" t="inlineStr">
        <is>
          <t>KRAV-AUTO-002014</t>
        </is>
      </c>
      <c r="B2015" t="inlineStr">
        <is>
          <t>ADMIN-INDEX-2026-02-27-00000000125C043F57453246863FE664CAFE6A3F0700950291EA24F0614FB6ACEDB12BF0E31D00000000010C0000950291EA24F0614FB6ACEDB12BF0E31D00002087B1870000</t>
        </is>
      </c>
      <c r="C2015" t="inlineStr">
        <is>
          <t>cmm4yunkl00s2cuqwwaquz27l</t>
        </is>
      </c>
      <c r="D2015" t="inlineStr">
        <is>
          <t>http://localhost:8787/api/admin/requirements/documents/cmm4yunkl00s2cuqwwaquz27l/view</t>
        </is>
      </c>
      <c r="E2015">
        <f>HYPERLÄNK("http://localhost:8787/api/admin/requirements/documents/cmm4yunkl00s2cuqwwaquz27l/view";"Öppna PDF")</f>
        <v/>
      </c>
      <c r="F2015">
        <f>HYPERLINK("http://localhost:8787/api/admin/requirements/documents/cmm4yunkl00s2cuqwwaquz27l/view","Open PDF")</f>
        <v/>
      </c>
      <c r="G2015" t="inlineStr">
        <is>
          <t>cmm55w57p0004cuisfrtpqly8</t>
        </is>
      </c>
      <c r="H2015" t="inlineStr">
        <is>
          <t>Beslutsvillkor</t>
        </is>
      </c>
      <c r="I2015" t="inlineStr">
        <is>
          <t>DagvattenLakvatten</t>
        </is>
      </c>
      <c r="J2015" t="inlineStr">
        <is>
          <t>Uppsamling</t>
        </is>
      </c>
      <c r="K2015" t="inlineStr">
        <is>
          <t>Lagringen ska ske så att risken för uppkomst av lakvatten från rötslammet minimeras.</t>
        </is>
      </c>
      <c r="L2015" t="inlineStr">
        <is>
          <t>Lagringen ska ske så att risken för uppkomst av lakvatten från rötslammet minimeras.</t>
        </is>
      </c>
      <c r="M2015" t="inlineStr">
        <is>
          <t>SKA</t>
        </is>
      </c>
      <c r="N2015" t="inlineStr"/>
      <c r="O2015" t="inlineStr"/>
      <c r="P2015" t="inlineStr"/>
      <c r="Q2015" t="inlineStr"/>
      <c r="R2015" t="inlineStr">
        <is>
          <t>Vid nederbord och avrinning</t>
        </is>
      </c>
      <c r="S2015" t="inlineStr"/>
      <c r="T2015" t="inlineStr">
        <is>
          <t>884411</t>
        </is>
      </c>
      <c r="U2015" t="inlineStr"/>
      <c r="V2015" t="inlineStr"/>
      <c r="W2015" t="inlineStr">
        <is>
          <t>Nej</t>
        </is>
      </c>
      <c r="X2015" t="inlineStr">
        <is>
          <t>Ja</t>
        </is>
      </c>
      <c r="Y2015" t="inlineStr">
        <is>
          <t>Ja</t>
        </is>
      </c>
      <c r="Z2015" t="inlineStr">
        <is>
          <t>Nej</t>
        </is>
      </c>
      <c r="AA2015" t="n">
        <v>6</v>
      </c>
      <c r="AB2015" t="inlineStr">
        <is>
          <t>Lakvattenhantering</t>
        </is>
      </c>
      <c r="AC2015" t="inlineStr">
        <is>
          <t>Flodesschema dagvatten-lakvatten</t>
        </is>
      </c>
      <c r="AD2015" t="inlineStr">
        <is>
          <t>Nej</t>
        </is>
      </c>
      <c r="AE2015" t="inlineStr">
        <is>
          <t>Nej</t>
        </is>
      </c>
      <c r="AF2015" t="inlineStr">
        <is>
          <t>Ej behandlad</t>
        </is>
      </c>
      <c r="AG2015" t="inlineStr">
        <is>
          <t>AUTO_GENERERAD. Verifiera citat mot kallfil.</t>
        </is>
      </c>
      <c r="AH2015" t="inlineStr">
        <is>
          <t>MEDIUM</t>
        </is>
      </c>
      <c r="AI2015" t="inlineStr">
        <is>
          <t>AUTO</t>
        </is>
      </c>
      <c r="AJ2015" t="inlineStr">
        <is>
          <t>Nej</t>
        </is>
      </c>
      <c r="AK2015" t="inlineStr"/>
      <c r="AL2015" t="inlineStr"/>
      <c r="AM2015" t="inlineStr"/>
      <c r="AN2015" t="inlineStr"/>
      <c r="AO2015" t="inlineStr">
        <is>
          <t>cmm4yunks00sbcuqwfzxlz1mj</t>
        </is>
      </c>
      <c r="AP2015" t="inlineStr">
        <is>
          <t>http://localhost:8787/api/admin/requirements/documents/cmm4yunks00sbcuqwfzxlz1mj/view</t>
        </is>
      </c>
      <c r="AQ2015">
        <f>HYPERLÄNK("http://localhost:8787/api/admin/requirements/documents/cmm4yunks00sbcuqwfzxlz1mj/view";"Öppna PDF")</f>
        <v/>
      </c>
      <c r="AR2015">
        <f>HYPERLINK("http://localhost:8787/api/admin/requirements/documents/cmm4yunks00sbcuqwfzxlz1mj/view","Open PDF")</f>
        <v/>
      </c>
      <c r="AS2015" t="inlineStr">
        <is>
          <t>cmm55w57p0004cuisfrtpqly8</t>
        </is>
      </c>
      <c r="AT2015" t="inlineStr">
        <is>
          <t>cmm4xvu980000cuh4vj0usz09</t>
        </is>
      </c>
      <c r="AU2015" t="inlineStr"/>
      <c r="AV2015" t="inlineStr">
        <is>
          <t>Kommun</t>
        </is>
      </c>
      <c r="AW2015" t="inlineStr"/>
      <c r="AX2015" t="inlineStr">
        <is>
          <t>2026-02</t>
        </is>
      </c>
      <c r="AY2015" t="inlineStr">
        <is>
          <t>Beslut</t>
        </is>
      </c>
      <c r="AZ2015" t="inlineStr">
        <is>
          <t>2026-02-03</t>
        </is>
      </c>
      <c r="BA2015" t="inlineStr">
        <is>
          <t>MIL20242459pdf_976503.pdf</t>
        </is>
      </c>
      <c r="BB2015" t="inlineStr">
        <is>
          <t>Begäran om allmän handling i ärende  MIL.2026.363</t>
        </is>
      </c>
      <c r="BC2015" t="inlineStr">
        <is>
          <t>AUTO</t>
        </is>
      </c>
      <c r="BD2015" t="inlineStr"/>
      <c r="BE2015" t="inlineStr"/>
      <c r="BF2015" t="inlineStr">
        <is>
          <t>AUTO_GENERERAD. Bekrafta metadata mot kallfil.</t>
        </is>
      </c>
      <c r="BG2015">
        <f>HYPERLINK("C:\Users\jimmy\Desktop\Examens arbete\Kod\Ny mapp\remix_-copy-of-miljöbeslut.se-portal\MIL20242459pdf_976503.pdf", "Öppna PDF")</f>
        <v/>
      </c>
    </row>
    <row r="2016">
      <c r="A2016" t="inlineStr">
        <is>
          <t>KRAV-AUTO-002015</t>
        </is>
      </c>
      <c r="B2016" t="inlineStr">
        <is>
          <t>ADMIN-INDEX-2026-02-27-00000000125C043F57453246863FE664CAFE6A3F0700950291EA24F0614FB6ACEDB12BF0E31D00000000010C0000950291EA24F0614FB6ACEDB12BF0E31D00002087B1870000</t>
        </is>
      </c>
      <c r="C2016" t="inlineStr">
        <is>
          <t>cmm4yunkl00s2cuqwwaquz27l</t>
        </is>
      </c>
      <c r="D2016" t="inlineStr">
        <is>
          <t>http://localhost:8787/api/admin/requirements/documents/cmm4yunkl00s2cuqwwaquz27l/view</t>
        </is>
      </c>
      <c r="E2016">
        <f>HYPERLÄNK("http://localhost:8787/api/admin/requirements/documents/cmm4yunkl00s2cuqwwaquz27l/view";"Öppna PDF")</f>
        <v/>
      </c>
      <c r="F2016">
        <f>HYPERLINK("http://localhost:8787/api/admin/requirements/documents/cmm4yunkl00s2cuqwwaquz27l/view","Open PDF")</f>
        <v/>
      </c>
      <c r="G2016" t="inlineStr">
        <is>
          <t>cmm55w57p0004cuisfrtpqly8</t>
        </is>
      </c>
      <c r="H2016" t="inlineStr">
        <is>
          <t>Beslutsvillkor</t>
        </is>
      </c>
      <c r="I2016" t="inlineStr">
        <is>
          <t>DriftEgenkontroll</t>
        </is>
      </c>
      <c r="J2016" t="inlineStr">
        <is>
          <t>Journalforing</t>
        </is>
      </c>
      <c r="K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16" t="inlineStr">
        <is>
          <t>SKA</t>
        </is>
      </c>
      <c r="N2016" t="inlineStr"/>
      <c r="O2016" t="inlineStr"/>
      <c r="P2016" t="inlineStr"/>
      <c r="Q2016" t="inlineStr"/>
      <c r="R2016" t="inlineStr">
        <is>
          <t>Lopande drift</t>
        </is>
      </c>
      <c r="S2016" t="inlineStr"/>
      <c r="T2016" t="inlineStr">
        <is>
          <t>884411</t>
        </is>
      </c>
      <c r="U2016" t="inlineStr"/>
      <c r="V2016" t="inlineStr"/>
      <c r="W2016" t="inlineStr">
        <is>
          <t>Nej</t>
        </is>
      </c>
      <c r="X2016" t="inlineStr">
        <is>
          <t>Nej</t>
        </is>
      </c>
      <c r="Y2016" t="inlineStr">
        <is>
          <t>Ja</t>
        </is>
      </c>
      <c r="Z2016" t="inlineStr">
        <is>
          <t>Nej</t>
        </is>
      </c>
      <c r="AA2016" t="n">
        <v>7</v>
      </c>
      <c r="AB2016" t="inlineStr">
        <is>
          <t>Egenkontrollrutiner</t>
        </is>
      </c>
      <c r="AC2016" t="inlineStr">
        <is>
          <t>Egenkontrollprogram</t>
        </is>
      </c>
      <c r="AD2016" t="inlineStr">
        <is>
          <t>Nej</t>
        </is>
      </c>
      <c r="AE2016" t="inlineStr">
        <is>
          <t>Nej</t>
        </is>
      </c>
      <c r="AF2016" t="inlineStr">
        <is>
          <t>Ej behandlad</t>
        </is>
      </c>
      <c r="AG2016" t="inlineStr">
        <is>
          <t>AUTO_GENERERAD. Verifiera citat mot kallfil.</t>
        </is>
      </c>
      <c r="AH2016" t="inlineStr">
        <is>
          <t>MEDIUM</t>
        </is>
      </c>
      <c r="AI2016" t="inlineStr">
        <is>
          <t>AUTO</t>
        </is>
      </c>
      <c r="AJ2016" t="inlineStr">
        <is>
          <t>Nej</t>
        </is>
      </c>
      <c r="AK2016" t="inlineStr"/>
      <c r="AL2016" t="inlineStr"/>
      <c r="AM2016" t="inlineStr"/>
      <c r="AN2016" t="inlineStr"/>
      <c r="AO2016" t="inlineStr">
        <is>
          <t>cmm4yunks00sbcuqwfzxlz1mj</t>
        </is>
      </c>
      <c r="AP2016" t="inlineStr">
        <is>
          <t>http://localhost:8787/api/admin/requirements/documents/cmm4yunks00sbcuqwfzxlz1mj/view</t>
        </is>
      </c>
      <c r="AQ2016">
        <f>HYPERLÄNK("http://localhost:8787/api/admin/requirements/documents/cmm4yunks00sbcuqwfzxlz1mj/view";"Öppna PDF")</f>
        <v/>
      </c>
      <c r="AR2016">
        <f>HYPERLINK("http://localhost:8787/api/admin/requirements/documents/cmm4yunks00sbcuqwfzxlz1mj/view","Open PDF")</f>
        <v/>
      </c>
      <c r="AS2016" t="inlineStr">
        <is>
          <t>cmm55w57p0004cuisfrtpqly8</t>
        </is>
      </c>
      <c r="AT2016" t="inlineStr">
        <is>
          <t>cmm4xvu980000cuh4vj0usz09</t>
        </is>
      </c>
      <c r="AU2016" t="inlineStr"/>
      <c r="AV2016" t="inlineStr">
        <is>
          <t>Kommun</t>
        </is>
      </c>
      <c r="AW2016" t="inlineStr"/>
      <c r="AX2016" t="inlineStr">
        <is>
          <t>2026-02</t>
        </is>
      </c>
      <c r="AY2016" t="inlineStr">
        <is>
          <t>Beslut</t>
        </is>
      </c>
      <c r="AZ2016" t="inlineStr">
        <is>
          <t>2026-02-03</t>
        </is>
      </c>
      <c r="BA2016" t="inlineStr">
        <is>
          <t>MIL20242459pdf_976503.pdf</t>
        </is>
      </c>
      <c r="BB2016" t="inlineStr">
        <is>
          <t>Begäran om allmän handling i ärende  MIL.2026.363</t>
        </is>
      </c>
      <c r="BC2016" t="inlineStr">
        <is>
          <t>AUTO</t>
        </is>
      </c>
      <c r="BD2016" t="inlineStr"/>
      <c r="BE2016" t="inlineStr"/>
      <c r="BF2016" t="inlineStr">
        <is>
          <t>AUTO_GENERERAD. Bekrafta metadata mot kallfil.</t>
        </is>
      </c>
      <c r="BG2016">
        <f>HYPERLINK("C:\Users\jimmy\Desktop\Examens arbete\Kod\Ny mapp\remix_-copy-of-miljöbeslut.se-portal\MIL20242459pdf_976503.pdf", "Öppna PDF")</f>
        <v/>
      </c>
    </row>
    <row r="2017">
      <c r="A2017" t="inlineStr">
        <is>
          <t>KRAV-AUTO-002016</t>
        </is>
      </c>
      <c r="B2017" t="inlineStr">
        <is>
          <t>ADMIN-INDEX-2026-02-27-00000000125C043F57453246863FE664CAFE6A3F0700950291EA24F0614FB6ACEDB12BF0E31D00000000010C0000950291EA24F0614FB6ACEDB12BF0E31D00002087B1870000</t>
        </is>
      </c>
      <c r="C2017" t="inlineStr">
        <is>
          <t>cmm4yunkl00s2cuqwwaquz27l</t>
        </is>
      </c>
      <c r="D2017" t="inlineStr">
        <is>
          <t>http://localhost:8787/api/admin/requirements/documents/cmm4yunkl00s2cuqwwaquz27l/view</t>
        </is>
      </c>
      <c r="E2017">
        <f>HYPERLÄNK("http://localhost:8787/api/admin/requirements/documents/cmm4yunkl00s2cuqwwaquz27l/view";"Öppna PDF")</f>
        <v/>
      </c>
      <c r="F2017">
        <f>HYPERLINK("http://localhost:8787/api/admin/requirements/documents/cmm4yunkl00s2cuqwwaquz27l/view","Open PDF")</f>
        <v/>
      </c>
      <c r="G2017" t="inlineStr">
        <is>
          <t>cmm55w57p0004cuisfrtpqly8</t>
        </is>
      </c>
      <c r="H2017" t="inlineStr">
        <is>
          <t>Beslutsvillkor</t>
        </is>
      </c>
      <c r="I2017" t="inlineStr">
        <is>
          <t>Riskhantering</t>
        </is>
      </c>
      <c r="J2017" t="inlineStr">
        <is>
          <t>Riskkontroll</t>
        </is>
      </c>
      <c r="K2017" t="inlineStr">
        <is>
          <t>Täckning ska med hänsyn till risk för luktolägenhet göras i snar anslutning till uppläggning.</t>
        </is>
      </c>
      <c r="L2017" t="inlineStr">
        <is>
          <t>Täckning ska med hänsyn till risk för luktolägenhet göras i snar anslutning till uppläggning.</t>
        </is>
      </c>
      <c r="M2017" t="inlineStr">
        <is>
          <t>SKA</t>
        </is>
      </c>
      <c r="N2017" t="inlineStr"/>
      <c r="O2017" t="inlineStr"/>
      <c r="P2017" t="inlineStr"/>
      <c r="Q2017" t="inlineStr"/>
      <c r="R2017" t="inlineStr">
        <is>
          <t>Vid risk for incident</t>
        </is>
      </c>
      <c r="S2017" t="inlineStr"/>
      <c r="T2017" t="inlineStr">
        <is>
          <t>884411</t>
        </is>
      </c>
      <c r="U2017" t="inlineStr"/>
      <c r="V2017" t="inlineStr"/>
      <c r="W2017" t="inlineStr">
        <is>
          <t>Nej</t>
        </is>
      </c>
      <c r="X2017" t="inlineStr">
        <is>
          <t>Nej</t>
        </is>
      </c>
      <c r="Y2017" t="inlineStr">
        <is>
          <t>Ja</t>
        </is>
      </c>
      <c r="Z2017" t="inlineStr">
        <is>
          <t>Ja</t>
        </is>
      </c>
      <c r="AA2017" t="n">
        <v>8</v>
      </c>
      <c r="AB2017" t="inlineStr">
        <is>
          <t>Riskhantering</t>
        </is>
      </c>
      <c r="AC2017" t="inlineStr">
        <is>
          <t>Risk-PM</t>
        </is>
      </c>
      <c r="AD2017" t="inlineStr">
        <is>
          <t>Nej</t>
        </is>
      </c>
      <c r="AE2017" t="inlineStr">
        <is>
          <t>Nej</t>
        </is>
      </c>
      <c r="AF2017" t="inlineStr">
        <is>
          <t>Ej behandlad</t>
        </is>
      </c>
      <c r="AG2017" t="inlineStr">
        <is>
          <t>AUTO_GENERERAD. Verifiera citat mot kallfil.</t>
        </is>
      </c>
      <c r="AH2017" t="inlineStr">
        <is>
          <t>MEDIUM</t>
        </is>
      </c>
      <c r="AI2017" t="inlineStr">
        <is>
          <t>AUTO</t>
        </is>
      </c>
      <c r="AJ2017" t="inlineStr">
        <is>
          <t>Nej</t>
        </is>
      </c>
      <c r="AK2017" t="inlineStr"/>
      <c r="AL2017" t="inlineStr"/>
      <c r="AM2017" t="inlineStr"/>
      <c r="AN2017" t="inlineStr"/>
      <c r="AO2017" t="inlineStr">
        <is>
          <t>cmm4yunks00sbcuqwfzxlz1mj</t>
        </is>
      </c>
      <c r="AP2017" t="inlineStr">
        <is>
          <t>http://localhost:8787/api/admin/requirements/documents/cmm4yunks00sbcuqwfzxlz1mj/view</t>
        </is>
      </c>
      <c r="AQ2017">
        <f>HYPERLÄNK("http://localhost:8787/api/admin/requirements/documents/cmm4yunks00sbcuqwfzxlz1mj/view";"Öppna PDF")</f>
        <v/>
      </c>
      <c r="AR2017">
        <f>HYPERLINK("http://localhost:8787/api/admin/requirements/documents/cmm4yunks00sbcuqwfzxlz1mj/view","Open PDF")</f>
        <v/>
      </c>
      <c r="AS2017" t="inlineStr">
        <is>
          <t>cmm55w57p0004cuisfrtpqly8</t>
        </is>
      </c>
      <c r="AT2017" t="inlineStr">
        <is>
          <t>cmm4xvu980000cuh4vj0usz09</t>
        </is>
      </c>
      <c r="AU2017" t="inlineStr"/>
      <c r="AV2017" t="inlineStr">
        <is>
          <t>Kommun</t>
        </is>
      </c>
      <c r="AW2017" t="inlineStr"/>
      <c r="AX2017" t="inlineStr">
        <is>
          <t>2026-02</t>
        </is>
      </c>
      <c r="AY2017" t="inlineStr">
        <is>
          <t>Beslut</t>
        </is>
      </c>
      <c r="AZ2017" t="inlineStr">
        <is>
          <t>2026-02-03</t>
        </is>
      </c>
      <c r="BA2017" t="inlineStr">
        <is>
          <t>MIL20242459pdf_976503.pdf</t>
        </is>
      </c>
      <c r="BB2017" t="inlineStr">
        <is>
          <t>Begäran om allmän handling i ärende  MIL.2026.363</t>
        </is>
      </c>
      <c r="BC2017" t="inlineStr">
        <is>
          <t>AUTO</t>
        </is>
      </c>
      <c r="BD2017" t="inlineStr"/>
      <c r="BE2017" t="inlineStr"/>
      <c r="BF2017" t="inlineStr">
        <is>
          <t>AUTO_GENERERAD. Bekrafta metadata mot kallfil.</t>
        </is>
      </c>
      <c r="BG2017">
        <f>HYPERLINK("C:\Users\jimmy\Desktop\Examens arbete\Kod\Ny mapp\remix_-copy-of-miljöbeslut.se-portal\MIL20242459pdf_976503.pdf", "Öppna PDF")</f>
        <v/>
      </c>
    </row>
    <row r="2018">
      <c r="A2018" t="inlineStr">
        <is>
          <t>KRAV-AUTO-002017</t>
        </is>
      </c>
      <c r="B2018" t="inlineStr">
        <is>
          <t>ADMIN-INDEX-2026-02-27-00000000125C043F57453246863FE664CAFE6A3F0700950291EA24F0614FB6ACEDB12BF0E31D00000000010C0000950291EA24F0614FB6ACEDB12BF0E31D00002087B1870000</t>
        </is>
      </c>
      <c r="C2018" t="inlineStr">
        <is>
          <t>cmm4yunkj00rzcuqw53kh7f9a</t>
        </is>
      </c>
      <c r="D2018" t="inlineStr">
        <is>
          <t>http://localhost:8787/api/admin/requirements/documents/cmm4yunkj00rzcuqw53kh7f9a/view</t>
        </is>
      </c>
      <c r="E2018">
        <f>HYPERLÄNK("http://localhost:8787/api/admin/requirements/documents/cmm4yunkj00rzcuqw53kh7f9a/view";"Öppna PDF")</f>
        <v/>
      </c>
      <c r="F2018">
        <f>HYPERLINK("http://localhost:8787/api/admin/requirements/documents/cmm4yunkj00rzcuqw53kh7f9a/view","Open PDF")</f>
        <v/>
      </c>
      <c r="G2018" t="inlineStr">
        <is>
          <t>cmm55w57p0004cuisfrtpqly8</t>
        </is>
      </c>
      <c r="H2018" t="inlineStr">
        <is>
          <t>Beslutsvillkor</t>
        </is>
      </c>
      <c r="I2018" t="inlineStr">
        <is>
          <t>DagvattenLakvatten</t>
        </is>
      </c>
      <c r="J2018" t="inlineStr">
        <is>
          <t>Uppsamling</t>
        </is>
      </c>
      <c r="K2018" t="inlineStr">
        <is>
          <t>Lagringen ska ske så att risken för uppkomst av lakvatten från rötslammet minimeras.</t>
        </is>
      </c>
      <c r="L2018" t="inlineStr">
        <is>
          <t>Lagringen ska ske så att risken för uppkomst av lakvatten från rötslammet minimeras.</t>
        </is>
      </c>
      <c r="M2018" t="inlineStr">
        <is>
          <t>SKA</t>
        </is>
      </c>
      <c r="N2018" t="inlineStr"/>
      <c r="O2018" t="inlineStr"/>
      <c r="P2018" t="inlineStr"/>
      <c r="Q2018" t="inlineStr"/>
      <c r="R2018" t="inlineStr">
        <is>
          <t>Vid nederbord och avrinning</t>
        </is>
      </c>
      <c r="S2018" t="inlineStr"/>
      <c r="T2018" t="inlineStr">
        <is>
          <t>925211</t>
        </is>
      </c>
      <c r="U2018" t="inlineStr"/>
      <c r="V2018" t="inlineStr"/>
      <c r="W2018" t="inlineStr">
        <is>
          <t>Nej</t>
        </is>
      </c>
      <c r="X2018" t="inlineStr">
        <is>
          <t>Ja</t>
        </is>
      </c>
      <c r="Y2018" t="inlineStr">
        <is>
          <t>Ja</t>
        </is>
      </c>
      <c r="Z2018" t="inlineStr">
        <is>
          <t>Nej</t>
        </is>
      </c>
      <c r="AA2018" t="n">
        <v>6</v>
      </c>
      <c r="AB2018" t="inlineStr">
        <is>
          <t>Lakvattenhantering</t>
        </is>
      </c>
      <c r="AC2018" t="inlineStr">
        <is>
          <t>Flodesschema dagvatten-lakvatten</t>
        </is>
      </c>
      <c r="AD2018" t="inlineStr">
        <is>
          <t>Nej</t>
        </is>
      </c>
      <c r="AE2018" t="inlineStr">
        <is>
          <t>Nej</t>
        </is>
      </c>
      <c r="AF2018" t="inlineStr">
        <is>
          <t>Ej behandlad</t>
        </is>
      </c>
      <c r="AG2018" t="inlineStr">
        <is>
          <t>AUTO_GENERERAD. Verifiera citat mot kallfil.</t>
        </is>
      </c>
      <c r="AH2018" t="inlineStr">
        <is>
          <t>MEDIUM</t>
        </is>
      </c>
      <c r="AI2018" t="inlineStr">
        <is>
          <t>AUTO</t>
        </is>
      </c>
      <c r="AJ2018" t="inlineStr">
        <is>
          <t>Nej</t>
        </is>
      </c>
      <c r="AK2018" t="inlineStr"/>
      <c r="AL2018" t="inlineStr"/>
      <c r="AM2018" t="inlineStr"/>
      <c r="AN2018" t="inlineStr"/>
      <c r="AO2018" t="inlineStr">
        <is>
          <t>cmm4yunks00sbcuqwfzxlz1mj</t>
        </is>
      </c>
      <c r="AP2018" t="inlineStr">
        <is>
          <t>http://localhost:8787/api/admin/requirements/documents/cmm4yunks00sbcuqwfzxlz1mj/view</t>
        </is>
      </c>
      <c r="AQ2018">
        <f>HYPERLÄNK("http://localhost:8787/api/admin/requirements/documents/cmm4yunks00sbcuqwfzxlz1mj/view";"Öppna PDF")</f>
        <v/>
      </c>
      <c r="AR2018">
        <f>HYPERLINK("http://localhost:8787/api/admin/requirements/documents/cmm4yunks00sbcuqwfzxlz1mj/view","Open PDF")</f>
        <v/>
      </c>
      <c r="AS2018" t="inlineStr">
        <is>
          <t>cmm55w57p0004cuisfrtpqly8</t>
        </is>
      </c>
      <c r="AT2018" t="inlineStr">
        <is>
          <t>cmm4xvu980000cuh4vj0usz09</t>
        </is>
      </c>
      <c r="AU2018" t="inlineStr"/>
      <c r="AV2018" t="inlineStr">
        <is>
          <t>Kommun</t>
        </is>
      </c>
      <c r="AW2018" t="inlineStr"/>
      <c r="AX2018" t="inlineStr">
        <is>
          <t>2026-02</t>
        </is>
      </c>
      <c r="AY2018" t="inlineStr">
        <is>
          <t>Beslut</t>
        </is>
      </c>
      <c r="AZ2018" t="inlineStr">
        <is>
          <t>2026-02-03</t>
        </is>
      </c>
      <c r="BA2018" t="inlineStr">
        <is>
          <t>MIL20242459pdf_976503.pdf</t>
        </is>
      </c>
      <c r="BB2018" t="inlineStr">
        <is>
          <t>Begäran om allmän handling i ärende  MIL.2026.363</t>
        </is>
      </c>
      <c r="BC2018" t="inlineStr">
        <is>
          <t>AUTO</t>
        </is>
      </c>
      <c r="BD2018" t="inlineStr"/>
      <c r="BE2018" t="inlineStr"/>
      <c r="BF2018" t="inlineStr">
        <is>
          <t>AUTO_GENERERAD. Bekrafta metadata mot kallfil.</t>
        </is>
      </c>
      <c r="BG2018">
        <f>HYPERLINK("C:\Users\jimmy\Desktop\Examens arbete\Kod\Ny mapp\remix_-copy-of-miljöbeslut.se-portal\MIL20242459pdf_976503.pdf", "Öppna PDF")</f>
        <v/>
      </c>
    </row>
    <row r="2019">
      <c r="A2019" t="inlineStr">
        <is>
          <t>KRAV-AUTO-002018</t>
        </is>
      </c>
      <c r="B2019" t="inlineStr">
        <is>
          <t>ADMIN-INDEX-2026-02-27-00000000125C043F57453246863FE664CAFE6A3F0700950291EA24F0614FB6ACEDB12BF0E31D00000000010C0000950291EA24F0614FB6ACEDB12BF0E31D00002087B1870000</t>
        </is>
      </c>
      <c r="C2019" t="inlineStr">
        <is>
          <t>cmm4yunkj00rzcuqw53kh7f9a</t>
        </is>
      </c>
      <c r="D2019" t="inlineStr">
        <is>
          <t>http://localhost:8787/api/admin/requirements/documents/cmm4yunkj00rzcuqw53kh7f9a/view</t>
        </is>
      </c>
      <c r="E2019">
        <f>HYPERLÄNK("http://localhost:8787/api/admin/requirements/documents/cmm4yunkj00rzcuqw53kh7f9a/view";"Öppna PDF")</f>
        <v/>
      </c>
      <c r="F2019">
        <f>HYPERLINK("http://localhost:8787/api/admin/requirements/documents/cmm4yunkj00rzcuqw53kh7f9a/view","Open PDF")</f>
        <v/>
      </c>
      <c r="G2019" t="inlineStr">
        <is>
          <t>cmm55w57p0004cuisfrtpqly8</t>
        </is>
      </c>
      <c r="H2019" t="inlineStr">
        <is>
          <t>Beslutsvillkor</t>
        </is>
      </c>
      <c r="I2019" t="inlineStr">
        <is>
          <t>MiljopaverkanForsiktighet</t>
        </is>
      </c>
      <c r="J2019" t="inlineStr">
        <is>
          <t>Skyddsatgarder</t>
        </is>
      </c>
      <c r="K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L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M2019" t="inlineStr">
        <is>
          <t>INFO</t>
        </is>
      </c>
      <c r="N2019" t="inlineStr"/>
      <c r="O2019" t="inlineStr"/>
      <c r="P2019" t="inlineStr"/>
      <c r="Q2019" t="inlineStr">
        <is>
          <t>Forelaggande vid brist</t>
        </is>
      </c>
      <c r="R2019" t="inlineStr">
        <is>
          <t>Alltid</t>
        </is>
      </c>
      <c r="S2019" t="inlineStr"/>
      <c r="T2019" t="inlineStr">
        <is>
          <t>925211</t>
        </is>
      </c>
      <c r="U2019" t="inlineStr"/>
      <c r="V2019" t="inlineStr"/>
      <c r="W2019" t="inlineStr">
        <is>
          <t>Nej</t>
        </is>
      </c>
      <c r="X2019" t="inlineStr">
        <is>
          <t>Nej</t>
        </is>
      </c>
      <c r="Y2019" t="inlineStr">
        <is>
          <t>Nej</t>
        </is>
      </c>
      <c r="Z2019" t="inlineStr">
        <is>
          <t>Nej</t>
        </is>
      </c>
      <c r="AA2019" t="n">
        <v>10</v>
      </c>
      <c r="AB2019" t="inlineStr">
        <is>
          <t>Miljopaverkan och forsiktighetsmatt</t>
        </is>
      </c>
      <c r="AC2019" t="inlineStr">
        <is>
          <t>Miljo-PM</t>
        </is>
      </c>
      <c r="AD2019" t="inlineStr">
        <is>
          <t>Nej</t>
        </is>
      </c>
      <c r="AE2019" t="inlineStr">
        <is>
          <t>Nej</t>
        </is>
      </c>
      <c r="AF2019" t="inlineStr">
        <is>
          <t>Ej behandlad</t>
        </is>
      </c>
      <c r="AG2019" t="inlineStr">
        <is>
          <t>AUTO_GENERERAD. Verifiera citat mot kallfil.</t>
        </is>
      </c>
      <c r="AH2019" t="inlineStr">
        <is>
          <t>MEDIUM</t>
        </is>
      </c>
      <c r="AI2019" t="inlineStr">
        <is>
          <t>AUTO</t>
        </is>
      </c>
      <c r="AJ2019" t="inlineStr">
        <is>
          <t>Nej</t>
        </is>
      </c>
      <c r="AK2019" t="inlineStr"/>
      <c r="AL2019" t="inlineStr"/>
      <c r="AM2019" t="inlineStr"/>
      <c r="AN2019" t="inlineStr"/>
      <c r="AO2019" t="inlineStr">
        <is>
          <t>cmm4yunks00sbcuqwfzxlz1mj</t>
        </is>
      </c>
      <c r="AP2019" t="inlineStr">
        <is>
          <t>http://localhost:8787/api/admin/requirements/documents/cmm4yunks00sbcuqwfzxlz1mj/view</t>
        </is>
      </c>
      <c r="AQ2019">
        <f>HYPERLÄNK("http://localhost:8787/api/admin/requirements/documents/cmm4yunks00sbcuqwfzxlz1mj/view";"Öppna PDF")</f>
        <v/>
      </c>
      <c r="AR2019">
        <f>HYPERLINK("http://localhost:8787/api/admin/requirements/documents/cmm4yunks00sbcuqwfzxlz1mj/view","Open PDF")</f>
        <v/>
      </c>
      <c r="AS2019" t="inlineStr">
        <is>
          <t>cmm55w57p0004cuisfrtpqly8</t>
        </is>
      </c>
      <c r="AT2019" t="inlineStr">
        <is>
          <t>cmm4xvu980000cuh4vj0usz09</t>
        </is>
      </c>
      <c r="AU2019" t="inlineStr"/>
      <c r="AV2019" t="inlineStr">
        <is>
          <t>Kommun</t>
        </is>
      </c>
      <c r="AW2019" t="inlineStr"/>
      <c r="AX2019" t="inlineStr">
        <is>
          <t>2026-02</t>
        </is>
      </c>
      <c r="AY2019" t="inlineStr">
        <is>
          <t>Beslut</t>
        </is>
      </c>
      <c r="AZ2019" t="inlineStr">
        <is>
          <t>2026-02-03</t>
        </is>
      </c>
      <c r="BA2019" t="inlineStr">
        <is>
          <t>MIL20242459pdf_976503.pdf</t>
        </is>
      </c>
      <c r="BB2019" t="inlineStr">
        <is>
          <t>Begäran om allmän handling i ärende  MIL.2026.363</t>
        </is>
      </c>
      <c r="BC2019" t="inlineStr">
        <is>
          <t>AUTO</t>
        </is>
      </c>
      <c r="BD2019" t="inlineStr"/>
      <c r="BE2019" t="inlineStr"/>
      <c r="BF2019" t="inlineStr">
        <is>
          <t>AUTO_GENERERAD. Bekrafta metadata mot kallfil.</t>
        </is>
      </c>
      <c r="BG2019">
        <f>HYPERLINK("C:\Users\jimmy\Desktop\Examens arbete\Kod\Ny mapp\remix_-copy-of-miljöbeslut.se-portal\MIL20242459pdf_976503.pdf", "Öppna PDF")</f>
        <v/>
      </c>
    </row>
    <row r="2020">
      <c r="A2020" t="inlineStr">
        <is>
          <t>KRAV-AUTO-002019</t>
        </is>
      </c>
      <c r="B2020" t="inlineStr">
        <is>
          <t>ADMIN-INDEX-2026-02-27-00000000125C043F57453246863FE664CAFE6A3F0700950291EA24F0614FB6ACEDB12BF0E31D00000000010C0000950291EA24F0614FB6ACEDB12BF0E31D00002087B1870000</t>
        </is>
      </c>
      <c r="C2020" t="inlineStr">
        <is>
          <t>cmm4yunkj00rzcuqw53kh7f9a</t>
        </is>
      </c>
      <c r="D2020" t="inlineStr">
        <is>
          <t>http://localhost:8787/api/admin/requirements/documents/cmm4yunkj00rzcuqw53kh7f9a/view</t>
        </is>
      </c>
      <c r="E2020">
        <f>HYPERLÄNK("http://localhost:8787/api/admin/requirements/documents/cmm4yunkj00rzcuqw53kh7f9a/view";"Öppna PDF")</f>
        <v/>
      </c>
      <c r="F2020">
        <f>HYPERLINK("http://localhost:8787/api/admin/requirements/documents/cmm4yunkj00rzcuqw53kh7f9a/view","Open PDF")</f>
        <v/>
      </c>
      <c r="G2020" t="inlineStr">
        <is>
          <t>cmm55w57p0004cuisfrtpqly8</t>
        </is>
      </c>
      <c r="H2020" t="inlineStr">
        <is>
          <t>Beslutsvillkor</t>
        </is>
      </c>
      <c r="I2020" t="inlineStr">
        <is>
          <t>DriftEgenkontroll</t>
        </is>
      </c>
      <c r="J2020" t="inlineStr">
        <is>
          <t>Journalforing</t>
        </is>
      </c>
      <c r="K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20" t="inlineStr">
        <is>
          <t>SKA</t>
        </is>
      </c>
      <c r="N2020" t="inlineStr"/>
      <c r="O2020" t="inlineStr"/>
      <c r="P2020" t="inlineStr"/>
      <c r="Q2020" t="inlineStr"/>
      <c r="R2020" t="inlineStr">
        <is>
          <t>Lopande drift</t>
        </is>
      </c>
      <c r="S2020" t="inlineStr"/>
      <c r="T2020" t="inlineStr">
        <is>
          <t>925211</t>
        </is>
      </c>
      <c r="U2020" t="inlineStr"/>
      <c r="V2020" t="inlineStr"/>
      <c r="W2020" t="inlineStr">
        <is>
          <t>Nej</t>
        </is>
      </c>
      <c r="X2020" t="inlineStr">
        <is>
          <t>Nej</t>
        </is>
      </c>
      <c r="Y2020" t="inlineStr">
        <is>
          <t>Ja</t>
        </is>
      </c>
      <c r="Z2020" t="inlineStr">
        <is>
          <t>Nej</t>
        </is>
      </c>
      <c r="AA2020" t="n">
        <v>7</v>
      </c>
      <c r="AB2020" t="inlineStr">
        <is>
          <t>Egenkontrollrutiner</t>
        </is>
      </c>
      <c r="AC2020" t="inlineStr">
        <is>
          <t>Egenkontrollprogram</t>
        </is>
      </c>
      <c r="AD2020" t="inlineStr">
        <is>
          <t>Nej</t>
        </is>
      </c>
      <c r="AE2020" t="inlineStr">
        <is>
          <t>Nej</t>
        </is>
      </c>
      <c r="AF2020" t="inlineStr">
        <is>
          <t>Ej behandlad</t>
        </is>
      </c>
      <c r="AG2020" t="inlineStr">
        <is>
          <t>AUTO_GENERERAD. Verifiera citat mot kallfil.</t>
        </is>
      </c>
      <c r="AH2020" t="inlineStr">
        <is>
          <t>MEDIUM</t>
        </is>
      </c>
      <c r="AI2020" t="inlineStr">
        <is>
          <t>AUTO</t>
        </is>
      </c>
      <c r="AJ2020" t="inlineStr">
        <is>
          <t>Nej</t>
        </is>
      </c>
      <c r="AK2020" t="inlineStr"/>
      <c r="AL2020" t="inlineStr"/>
      <c r="AM2020" t="inlineStr"/>
      <c r="AN2020" t="inlineStr"/>
      <c r="AO2020" t="inlineStr">
        <is>
          <t>cmm4yunks00sbcuqwfzxlz1mj</t>
        </is>
      </c>
      <c r="AP2020" t="inlineStr">
        <is>
          <t>http://localhost:8787/api/admin/requirements/documents/cmm4yunks00sbcuqwfzxlz1mj/view</t>
        </is>
      </c>
      <c r="AQ2020">
        <f>HYPERLÄNK("http://localhost:8787/api/admin/requirements/documents/cmm4yunks00sbcuqwfzxlz1mj/view";"Öppna PDF")</f>
        <v/>
      </c>
      <c r="AR2020">
        <f>HYPERLINK("http://localhost:8787/api/admin/requirements/documents/cmm4yunks00sbcuqwfzxlz1mj/view","Open PDF")</f>
        <v/>
      </c>
      <c r="AS2020" t="inlineStr">
        <is>
          <t>cmm55w57p0004cuisfrtpqly8</t>
        </is>
      </c>
      <c r="AT2020" t="inlineStr">
        <is>
          <t>cmm4xvu980000cuh4vj0usz09</t>
        </is>
      </c>
      <c r="AU2020" t="inlineStr"/>
      <c r="AV2020" t="inlineStr">
        <is>
          <t>Kommun</t>
        </is>
      </c>
      <c r="AW2020" t="inlineStr"/>
      <c r="AX2020" t="inlineStr">
        <is>
          <t>2026-02</t>
        </is>
      </c>
      <c r="AY2020" t="inlineStr">
        <is>
          <t>Beslut</t>
        </is>
      </c>
      <c r="AZ2020" t="inlineStr">
        <is>
          <t>2026-02-03</t>
        </is>
      </c>
      <c r="BA2020" t="inlineStr">
        <is>
          <t>MIL20242459pdf_976503.pdf</t>
        </is>
      </c>
      <c r="BB2020" t="inlineStr">
        <is>
          <t>Begäran om allmän handling i ärende  MIL.2026.363</t>
        </is>
      </c>
      <c r="BC2020" t="inlineStr">
        <is>
          <t>AUTO</t>
        </is>
      </c>
      <c r="BD2020" t="inlineStr"/>
      <c r="BE2020" t="inlineStr"/>
      <c r="BF2020" t="inlineStr">
        <is>
          <t>AUTO_GENERERAD. Bekrafta metadata mot kallfil.</t>
        </is>
      </c>
      <c r="BG2020">
        <f>HYPERLINK("C:\Users\jimmy\Desktop\Examens arbete\Kod\Ny mapp\remix_-copy-of-miljöbeslut.se-portal\MIL20242459pdf_976503.pdf", "Öppna PDF")</f>
        <v/>
      </c>
    </row>
    <row r="2021">
      <c r="A2021" t="inlineStr">
        <is>
          <t>KRAV-AUTO-002020</t>
        </is>
      </c>
      <c r="B2021" t="inlineStr">
        <is>
          <t>ADMIN-INDEX-2026-02-27-00000000125C043F57453246863FE664CAFE6A3F0700950291EA24F0614FB6ACEDB12BF0E31D00000000010C0000950291EA24F0614FB6ACEDB12BF0E31D00002087B1880000</t>
        </is>
      </c>
      <c r="C2021" t="inlineStr">
        <is>
          <t>cmm4yunkf00rwcuqw0lvn1jq7</t>
        </is>
      </c>
      <c r="D2021" t="inlineStr">
        <is>
          <t>http://localhost:8787/api/admin/requirements/documents/cmm4yunkf00rwcuqw0lvn1jq7/view</t>
        </is>
      </c>
      <c r="E2021">
        <f>HYPERLÄNK("http://localhost:8787/api/admin/requirements/documents/cmm4yunkf00rwcuqw0lvn1jq7/view";"Öppna PDF")</f>
        <v/>
      </c>
      <c r="F2021">
        <f>HYPERLINK("http://localhost:8787/api/admin/requirements/documents/cmm4yunkf00rwcuqw0lvn1jq7/view","Open PDF")</f>
        <v/>
      </c>
      <c r="G2021" t="inlineStr">
        <is>
          <t>cmm55w57p0004cuisfrtpqly8</t>
        </is>
      </c>
      <c r="H2021" t="inlineStr">
        <is>
          <t>Beslutsvillkor</t>
        </is>
      </c>
      <c r="I2021" t="inlineStr">
        <is>
          <t>DagvattenLakvatten</t>
        </is>
      </c>
      <c r="J2021" t="inlineStr">
        <is>
          <t>Uppsamling</t>
        </is>
      </c>
      <c r="K2021" t="inlineStr">
        <is>
          <t>Vi anser att vi borde kunna återanvända massorna eftersom det skall återanvändas på samma plats Är avfallet fritt från föroreningar?</t>
        </is>
      </c>
      <c r="L2021" t="inlineStr">
        <is>
          <t>Vi anser att vi borde kunna återanvända massorna eftersom det skall återanvändas på samma plats Är avfallet fritt från föroreningar?</t>
        </is>
      </c>
      <c r="M2021" t="inlineStr">
        <is>
          <t>SKA</t>
        </is>
      </c>
      <c r="N2021" t="inlineStr"/>
      <c r="O2021" t="inlineStr"/>
      <c r="P2021" t="inlineStr"/>
      <c r="Q2021" t="inlineStr"/>
      <c r="R2021" t="inlineStr">
        <is>
          <t>Vid nederbord och avrinning</t>
        </is>
      </c>
      <c r="S2021" t="inlineStr"/>
      <c r="T2021" t="inlineStr">
        <is>
          <t>251117</t>
        </is>
      </c>
      <c r="U2021" t="inlineStr"/>
      <c r="V2021" t="inlineStr"/>
      <c r="W2021" t="inlineStr">
        <is>
          <t>Nej</t>
        </is>
      </c>
      <c r="X2021" t="inlineStr">
        <is>
          <t>Ja</t>
        </is>
      </c>
      <c r="Y2021" t="inlineStr">
        <is>
          <t>Ja</t>
        </is>
      </c>
      <c r="Z2021" t="inlineStr">
        <is>
          <t>Nej</t>
        </is>
      </c>
      <c r="AA2021" t="n">
        <v>6</v>
      </c>
      <c r="AB2021" t="inlineStr">
        <is>
          <t>Lakvattenhantering</t>
        </is>
      </c>
      <c r="AC2021" t="inlineStr">
        <is>
          <t>Flodesschema dagvatten-lakvatten</t>
        </is>
      </c>
      <c r="AD2021" t="inlineStr">
        <is>
          <t>Nej</t>
        </is>
      </c>
      <c r="AE2021" t="inlineStr">
        <is>
          <t>Nej</t>
        </is>
      </c>
      <c r="AF2021" t="inlineStr">
        <is>
          <t>Ej behandlad</t>
        </is>
      </c>
      <c r="AG2021" t="inlineStr">
        <is>
          <t>AUTO_GENERERAD. Verifiera citat mot kallfil.</t>
        </is>
      </c>
      <c r="AH2021" t="inlineStr">
        <is>
          <t>MEDIUM</t>
        </is>
      </c>
      <c r="AI2021" t="inlineStr">
        <is>
          <t>AUTO</t>
        </is>
      </c>
      <c r="AJ2021" t="inlineStr">
        <is>
          <t>Nej</t>
        </is>
      </c>
      <c r="AK2021" t="inlineStr"/>
      <c r="AL2021" t="inlineStr"/>
      <c r="AM2021" t="inlineStr"/>
      <c r="AN2021" t="inlineStr"/>
      <c r="AO2021" t="inlineStr">
        <is>
          <t>cmm4yunkf00rwcuqw0lvn1jq7</t>
        </is>
      </c>
      <c r="AP2021" t="inlineStr">
        <is>
          <t>http://localhost:8787/api/admin/requirements/documents/cmm4yunkf00rwcuqw0lvn1jq7/view</t>
        </is>
      </c>
      <c r="AQ2021">
        <f>HYPERLÄNK("http://localhost:8787/api/admin/requirements/documents/cmm4yunkf00rwcuqw0lvn1jq7/view";"Öppna PDF")</f>
        <v/>
      </c>
      <c r="AR2021">
        <f>HYPERLINK("http://localhost:8787/api/admin/requirements/documents/cmm4yunkf00rwcuqw0lvn1jq7/view","Open PDF")</f>
        <v/>
      </c>
      <c r="AS2021" t="inlineStr">
        <is>
          <t>cmm55w57p0004cuisfrtpqly8</t>
        </is>
      </c>
      <c r="AT2021" t="inlineStr">
        <is>
          <t>cmm4xvu980000cuh4vj0usz09</t>
        </is>
      </c>
      <c r="AU2021" t="inlineStr"/>
      <c r="AV2021" t="inlineStr">
        <is>
          <t>Kommun</t>
        </is>
      </c>
      <c r="AW2021" t="inlineStr"/>
      <c r="AX2021" t="inlineStr">
        <is>
          <t>2026-01</t>
        </is>
      </c>
      <c r="AY2021" t="inlineStr">
        <is>
          <t>Beslut</t>
        </is>
      </c>
      <c r="AZ2021" t="inlineStr">
        <is>
          <t>2026-02-03</t>
        </is>
      </c>
      <c r="BA2021" t="inlineStr">
        <is>
          <t>251117-MMAVANLAN-BB20.pdf</t>
        </is>
      </c>
      <c r="BB2021" t="inlineStr">
        <is>
          <t>VB: till registrator</t>
        </is>
      </c>
      <c r="BC2021" t="inlineStr">
        <is>
          <t>AUTO</t>
        </is>
      </c>
      <c r="BD2021" t="inlineStr"/>
      <c r="BE2021" t="inlineStr"/>
      <c r="BF2021" t="inlineStr">
        <is>
          <t>AUTO_GENERERAD. Bekrafta metadata mot kallfil.</t>
        </is>
      </c>
      <c r="BG2021">
        <f>HYPERLINK("C:\Users\jimmy\Desktop\Examens arbete\Kod\Ny mapp\remix_-copy-of-miljöbeslut.se-portal\251117-MMAVANLAN-BB20.pdf", "Öppna PDF")</f>
        <v/>
      </c>
    </row>
    <row r="2022">
      <c r="A2022" t="inlineStr">
        <is>
          <t>KRAV-AUTO-002021</t>
        </is>
      </c>
      <c r="B2022" t="inlineStr">
        <is>
          <t>ADMIN-INDEX-2026-02-27-00000000125C043F57453246863FE664CAFE6A3F0700950291EA24F0614FB6ACEDB12BF0E31D00000000010C0000950291EA24F0614FB6ACEDB12BF0E31D00002087B1880000</t>
        </is>
      </c>
      <c r="C2022" t="inlineStr">
        <is>
          <t>cmm4yunkf00rwcuqw0lvn1jq7</t>
        </is>
      </c>
      <c r="D2022" t="inlineStr">
        <is>
          <t>http://localhost:8787/api/admin/requirements/documents/cmm4yunkf00rwcuqw0lvn1jq7/view</t>
        </is>
      </c>
      <c r="E2022">
        <f>HYPERLÄNK("http://localhost:8787/api/admin/requirements/documents/cmm4yunkf00rwcuqw0lvn1jq7/view";"Öppna PDF")</f>
        <v/>
      </c>
      <c r="F2022">
        <f>HYPERLINK("http://localhost:8787/api/admin/requirements/documents/cmm4yunkf00rwcuqw0lvn1jq7/view","Open PDF")</f>
        <v/>
      </c>
      <c r="G2022" t="inlineStr">
        <is>
          <t>cmm55w57p0004cuisfrtpqly8</t>
        </is>
      </c>
      <c r="H2022" t="inlineStr">
        <is>
          <t>Beslutsvillkor</t>
        </is>
      </c>
      <c r="I2022" t="inlineStr">
        <is>
          <t>LagringsvolymTid</t>
        </is>
      </c>
      <c r="J2022" t="inlineStr">
        <is>
          <t>Maxmangd</t>
        </is>
      </c>
      <c r="K2022" t="inlineStr">
        <is>
          <t>Närmaste bostadshus är XXmm Uppskatta mängden avfall som kommer att användas i anläggningsprojektet (i ton) Eftersom vi har för avsikt att återanvända massorna så blir det inget avfall.</t>
        </is>
      </c>
      <c r="L2022" t="inlineStr">
        <is>
          <t>Närmaste bostadshus är XXmm Uppskatta mängden avfall som kommer att användas i anläggningsprojektet (i ton) Eftersom vi har för avsikt att återanvända massorna så blir det inget avfall.</t>
        </is>
      </c>
      <c r="M2022" t="inlineStr">
        <is>
          <t>SKA</t>
        </is>
      </c>
      <c r="N2022" t="inlineStr"/>
      <c r="O2022" t="inlineStr"/>
      <c r="P2022" t="inlineStr"/>
      <c r="Q2022" t="inlineStr"/>
      <c r="R2022" t="inlineStr">
        <is>
          <t>Alltid</t>
        </is>
      </c>
      <c r="S2022" t="inlineStr"/>
      <c r="T2022" t="inlineStr">
        <is>
          <t>251117</t>
        </is>
      </c>
      <c r="U2022" t="inlineStr"/>
      <c r="V2022" t="inlineStr"/>
      <c r="W2022" t="inlineStr">
        <is>
          <t>Nej</t>
        </is>
      </c>
      <c r="X2022" t="inlineStr">
        <is>
          <t>Nej</t>
        </is>
      </c>
      <c r="Y2022" t="inlineStr">
        <is>
          <t>Nej</t>
        </is>
      </c>
      <c r="Z2022" t="inlineStr">
        <is>
          <t>Nej</t>
        </is>
      </c>
      <c r="AA2022" t="n">
        <v>4</v>
      </c>
      <c r="AB2022" t="inlineStr">
        <is>
          <t>Avfallsmangder och lagringstid</t>
        </is>
      </c>
      <c r="AC2022" t="inlineStr">
        <is>
          <t>Avfallsforteckning</t>
        </is>
      </c>
      <c r="AD2022" t="inlineStr">
        <is>
          <t>Nej</t>
        </is>
      </c>
      <c r="AE2022" t="inlineStr">
        <is>
          <t>Nej</t>
        </is>
      </c>
      <c r="AF2022" t="inlineStr">
        <is>
          <t>Ej behandlad</t>
        </is>
      </c>
      <c r="AG2022" t="inlineStr">
        <is>
          <t>AUTO_GENERERAD. Verifiera citat mot kallfil.</t>
        </is>
      </c>
      <c r="AH2022" t="inlineStr">
        <is>
          <t>MEDIUM</t>
        </is>
      </c>
      <c r="AI2022" t="inlineStr">
        <is>
          <t>AUTO</t>
        </is>
      </c>
      <c r="AJ2022" t="inlineStr">
        <is>
          <t>Nej</t>
        </is>
      </c>
      <c r="AK2022" t="inlineStr"/>
      <c r="AL2022" t="inlineStr"/>
      <c r="AM2022" t="inlineStr"/>
      <c r="AN2022" t="inlineStr"/>
      <c r="AO2022" t="inlineStr">
        <is>
          <t>cmm4yunkf00rwcuqw0lvn1jq7</t>
        </is>
      </c>
      <c r="AP2022" t="inlineStr">
        <is>
          <t>http://localhost:8787/api/admin/requirements/documents/cmm4yunkf00rwcuqw0lvn1jq7/view</t>
        </is>
      </c>
      <c r="AQ2022">
        <f>HYPERLÄNK("http://localhost:8787/api/admin/requirements/documents/cmm4yunkf00rwcuqw0lvn1jq7/view";"Öppna PDF")</f>
        <v/>
      </c>
      <c r="AR2022">
        <f>HYPERLINK("http://localhost:8787/api/admin/requirements/documents/cmm4yunkf00rwcuqw0lvn1jq7/view","Open PDF")</f>
        <v/>
      </c>
      <c r="AS2022" t="inlineStr">
        <is>
          <t>cmm55w57p0004cuisfrtpqly8</t>
        </is>
      </c>
      <c r="AT2022" t="inlineStr">
        <is>
          <t>cmm4xvu980000cuh4vj0usz09</t>
        </is>
      </c>
      <c r="AU2022" t="inlineStr"/>
      <c r="AV2022" t="inlineStr">
        <is>
          <t>Kommun</t>
        </is>
      </c>
      <c r="AW2022" t="inlineStr"/>
      <c r="AX2022" t="inlineStr">
        <is>
          <t>2026-01</t>
        </is>
      </c>
      <c r="AY2022" t="inlineStr">
        <is>
          <t>Beslut</t>
        </is>
      </c>
      <c r="AZ2022" t="inlineStr">
        <is>
          <t>2026-02-03</t>
        </is>
      </c>
      <c r="BA2022" t="inlineStr">
        <is>
          <t>251117-MMAVANLAN-BB20.pdf</t>
        </is>
      </c>
      <c r="BB2022" t="inlineStr">
        <is>
          <t>VB: till registrator</t>
        </is>
      </c>
      <c r="BC2022" t="inlineStr">
        <is>
          <t>AUTO</t>
        </is>
      </c>
      <c r="BD2022" t="inlineStr"/>
      <c r="BE2022" t="inlineStr"/>
      <c r="BF2022" t="inlineStr">
        <is>
          <t>AUTO_GENERERAD. Bekrafta metadata mot kallfil.</t>
        </is>
      </c>
      <c r="BG2022">
        <f>HYPERLINK("C:\Users\jimmy\Desktop\Examens arbete\Kod\Ny mapp\remix_-copy-of-miljöbeslut.se-portal\251117-MMAVANLAN-BB20.pdf", "Öppna PDF")</f>
        <v/>
      </c>
    </row>
    <row r="2023">
      <c r="A2023" t="inlineStr">
        <is>
          <t>KRAV-AUTO-002022</t>
        </is>
      </c>
      <c r="B2023" t="inlineStr">
        <is>
          <t>ADMIN-INDEX-2026-02-27-00000000125C043F57453246863FE664CAFE6A3F0700950291EA24F0614FB6ACEDB12BF0E31D00000000010C0000950291EA24F0614FB6ACEDB12BF0E31D00002087B1880000</t>
        </is>
      </c>
      <c r="C2023" t="inlineStr">
        <is>
          <t>cmm4yunkf00rwcuqw0lvn1jq7</t>
        </is>
      </c>
      <c r="D2023" t="inlineStr">
        <is>
          <t>http://localhost:8787/api/admin/requirements/documents/cmm4yunkf00rwcuqw0lvn1jq7/view</t>
        </is>
      </c>
      <c r="E2023">
        <f>HYPERLÄNK("http://localhost:8787/api/admin/requirements/documents/cmm4yunkf00rwcuqw0lvn1jq7/view";"Öppna PDF")</f>
        <v/>
      </c>
      <c r="F2023">
        <f>HYPERLINK("http://localhost:8787/api/admin/requirements/documents/cmm4yunkf00rwcuqw0lvn1jq7/view","Open PDF")</f>
        <v/>
      </c>
      <c r="G2023" t="inlineStr">
        <is>
          <t>cmm55w57p0004cuisfrtpqly8</t>
        </is>
      </c>
      <c r="H2023" t="inlineStr">
        <is>
          <t>Beslutsvillkor</t>
        </is>
      </c>
      <c r="I2023" t="inlineStr">
        <is>
          <t>LagringsvolymTid</t>
        </is>
      </c>
      <c r="J2023" t="inlineStr">
        <is>
          <t>Maxmangd</t>
        </is>
      </c>
      <c r="K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L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M2023" t="inlineStr">
        <is>
          <t>SKA</t>
        </is>
      </c>
      <c r="N2023" t="inlineStr"/>
      <c r="O2023" t="inlineStr"/>
      <c r="P2023" t="inlineStr">
        <is>
          <t>Arlig</t>
        </is>
      </c>
      <c r="Q2023" t="inlineStr"/>
      <c r="R2023" t="inlineStr">
        <is>
          <t>Alltid</t>
        </is>
      </c>
      <c r="S2023" t="inlineStr"/>
      <c r="T2023" t="inlineStr">
        <is>
          <t>17 05 04</t>
        </is>
      </c>
      <c r="U2023" t="inlineStr"/>
      <c r="V2023" t="inlineStr"/>
      <c r="W2023" t="inlineStr">
        <is>
          <t>Nej</t>
        </is>
      </c>
      <c r="X2023" t="inlineStr">
        <is>
          <t>Nej</t>
        </is>
      </c>
      <c r="Y2023" t="inlineStr">
        <is>
          <t>Nej</t>
        </is>
      </c>
      <c r="Z2023" t="inlineStr">
        <is>
          <t>Nej</t>
        </is>
      </c>
      <c r="AA2023" t="n">
        <v>4</v>
      </c>
      <c r="AB2023" t="inlineStr">
        <is>
          <t>Avfallsmangder och lagringstid</t>
        </is>
      </c>
      <c r="AC2023" t="inlineStr">
        <is>
          <t>Avfallsforteckning</t>
        </is>
      </c>
      <c r="AD2023" t="inlineStr">
        <is>
          <t>Nej</t>
        </is>
      </c>
      <c r="AE2023" t="inlineStr">
        <is>
          <t>Nej</t>
        </is>
      </c>
      <c r="AF2023" t="inlineStr">
        <is>
          <t>Ej behandlad</t>
        </is>
      </c>
      <c r="AG2023" t="inlineStr">
        <is>
          <t>AUTO_GENERERAD. Verifiera citat mot kallfil.</t>
        </is>
      </c>
      <c r="AH2023" t="inlineStr">
        <is>
          <t>MEDIUM</t>
        </is>
      </c>
      <c r="AI2023" t="inlineStr">
        <is>
          <t>AUTO</t>
        </is>
      </c>
      <c r="AJ2023" t="inlineStr">
        <is>
          <t>Nej</t>
        </is>
      </c>
      <c r="AK2023" t="inlineStr"/>
      <c r="AL2023" t="inlineStr"/>
      <c r="AM2023" t="inlineStr"/>
      <c r="AN2023" t="inlineStr"/>
      <c r="AO2023" t="inlineStr">
        <is>
          <t>cmm4yunkf00rwcuqw0lvn1jq7</t>
        </is>
      </c>
      <c r="AP2023" t="inlineStr">
        <is>
          <t>http://localhost:8787/api/admin/requirements/documents/cmm4yunkf00rwcuqw0lvn1jq7/view</t>
        </is>
      </c>
      <c r="AQ2023">
        <f>HYPERLÄNK("http://localhost:8787/api/admin/requirements/documents/cmm4yunkf00rwcuqw0lvn1jq7/view";"Öppna PDF")</f>
        <v/>
      </c>
      <c r="AR2023">
        <f>HYPERLINK("http://localhost:8787/api/admin/requirements/documents/cmm4yunkf00rwcuqw0lvn1jq7/view","Open PDF")</f>
        <v/>
      </c>
      <c r="AS2023" t="inlineStr">
        <is>
          <t>cmm55w57p0004cuisfrtpqly8</t>
        </is>
      </c>
      <c r="AT2023" t="inlineStr">
        <is>
          <t>cmm4xvu980000cuh4vj0usz09</t>
        </is>
      </c>
      <c r="AU2023" t="inlineStr"/>
      <c r="AV2023" t="inlineStr">
        <is>
          <t>Kommun</t>
        </is>
      </c>
      <c r="AW2023" t="inlineStr"/>
      <c r="AX2023" t="inlineStr">
        <is>
          <t>2026-01</t>
        </is>
      </c>
      <c r="AY2023" t="inlineStr">
        <is>
          <t>Beslut</t>
        </is>
      </c>
      <c r="AZ2023" t="inlineStr">
        <is>
          <t>2026-02-03</t>
        </is>
      </c>
      <c r="BA2023" t="inlineStr">
        <is>
          <t>251117-MMAVANLAN-BB20.pdf</t>
        </is>
      </c>
      <c r="BB2023" t="inlineStr">
        <is>
          <t>VB: till registrator</t>
        </is>
      </c>
      <c r="BC2023" t="inlineStr">
        <is>
          <t>AUTO</t>
        </is>
      </c>
      <c r="BD2023" t="inlineStr"/>
      <c r="BE2023" t="inlineStr"/>
      <c r="BF2023" t="inlineStr">
        <is>
          <t>AUTO_GENERERAD. Bekrafta metadata mot kallfil.</t>
        </is>
      </c>
      <c r="BG2023">
        <f>HYPERLINK("C:\Users\jimmy\Desktop\Examens arbete\Kod\Ny mapp\remix_-copy-of-miljöbeslut.se-portal\251117-MMAVANLAN-BB20.pdf", "Öppna PDF")</f>
        <v/>
      </c>
    </row>
    <row r="2024">
      <c r="A2024" t="inlineStr">
        <is>
          <t>KRAV-AUTO-002023</t>
        </is>
      </c>
      <c r="B2024" t="inlineStr">
        <is>
          <t>ADMIN-INDEX-2026-02-27-00000000125C043F57453246863FE664CAFE6A3F0700950291EA24F0614FB6ACEDB12BF0E31D00000000010C0000950291EA24F0614FB6ACEDB12BF0E31D00002087B1880000</t>
        </is>
      </c>
      <c r="C2024" t="inlineStr">
        <is>
          <t>cmm4yunka00rqcuqwsy5rxhui</t>
        </is>
      </c>
      <c r="D2024" t="inlineStr">
        <is>
          <t>http://localhost:8787/api/admin/requirements/documents/cmm4yunka00rqcuqwsy5rxhui/view</t>
        </is>
      </c>
      <c r="E2024">
        <f>HYPERLÄNK("http://localhost:8787/api/admin/requirements/documents/cmm4yunka00rqcuqwsy5rxhui/view";"Öppna PDF")</f>
        <v/>
      </c>
      <c r="F2024">
        <f>HYPERLINK("http://localhost:8787/api/admin/requirements/documents/cmm4yunka00rqcuqwsy5rxhui/view","Open PDF")</f>
        <v/>
      </c>
      <c r="G2024" t="inlineStr">
        <is>
          <t>cmm55w57p0004cuisfrtpqly8</t>
        </is>
      </c>
      <c r="H2024" t="inlineStr">
        <is>
          <t>Beslutsvillkor</t>
        </is>
      </c>
      <c r="I2024" t="inlineStr">
        <is>
          <t>DagvattenLakvatten</t>
        </is>
      </c>
      <c r="J2024" t="inlineStr">
        <is>
          <t>Uppsamling</t>
        </is>
      </c>
      <c r="K2024" t="inlineStr">
        <is>
          <t>Dagvattenutredningen ska utreda och analysera ifall platsen är lämplig utifrån dagvattenhantering, risk för översvämning vid höga flöden i närliggande vattendrag samt om och hur dränering bör anordnas.</t>
        </is>
      </c>
      <c r="L2024" t="inlineStr">
        <is>
          <t>Dagvattenutredningen ska utreda och analysera ifall platsen är lämplig utifrån dagvattenhantering, risk för översvämning vid höga flöden i närliggande vattendrag samt om och hur dränering bör anordnas.</t>
        </is>
      </c>
      <c r="M2024" t="inlineStr">
        <is>
          <t>SKA</t>
        </is>
      </c>
      <c r="N2024" t="inlineStr"/>
      <c r="O2024" t="inlineStr"/>
      <c r="P2024" t="inlineStr">
        <is>
          <t>Arlig</t>
        </is>
      </c>
      <c r="Q2024" t="inlineStr"/>
      <c r="R2024" t="inlineStr">
        <is>
          <t>Vid nederbord och avrinning</t>
        </is>
      </c>
      <c r="S2024" t="inlineStr"/>
      <c r="T2024" t="inlineStr"/>
      <c r="U2024" t="inlineStr"/>
      <c r="V2024" t="inlineStr"/>
      <c r="W2024" t="inlineStr">
        <is>
          <t>Nej</t>
        </is>
      </c>
      <c r="X2024" t="inlineStr">
        <is>
          <t>Ja</t>
        </is>
      </c>
      <c r="Y2024" t="inlineStr">
        <is>
          <t>Ja</t>
        </is>
      </c>
      <c r="Z2024" t="inlineStr">
        <is>
          <t>Nej</t>
        </is>
      </c>
      <c r="AA2024" t="n">
        <v>6</v>
      </c>
      <c r="AB2024" t="inlineStr">
        <is>
          <t>Lakvattenhantering</t>
        </is>
      </c>
      <c r="AC2024" t="inlineStr">
        <is>
          <t>Flodesschema dagvatten-lakvatten</t>
        </is>
      </c>
      <c r="AD2024" t="inlineStr">
        <is>
          <t>Nej</t>
        </is>
      </c>
      <c r="AE2024" t="inlineStr">
        <is>
          <t>Nej</t>
        </is>
      </c>
      <c r="AF2024" t="inlineStr">
        <is>
          <t>Ej behandlad</t>
        </is>
      </c>
      <c r="AG2024" t="inlineStr">
        <is>
          <t>AUTO_GENERERAD. Verifiera citat mot kallfil.</t>
        </is>
      </c>
      <c r="AH2024" t="inlineStr">
        <is>
          <t>MEDIUM</t>
        </is>
      </c>
      <c r="AI2024" t="inlineStr">
        <is>
          <t>AUTO</t>
        </is>
      </c>
      <c r="AJ2024" t="inlineStr">
        <is>
          <t>Nej</t>
        </is>
      </c>
      <c r="AK2024" t="inlineStr"/>
      <c r="AL2024" t="inlineStr"/>
      <c r="AM2024" t="inlineStr"/>
      <c r="AN2024" t="inlineStr"/>
      <c r="AO2024" t="inlineStr">
        <is>
          <t>cmm4yunkf00rwcuqw0lvn1jq7</t>
        </is>
      </c>
      <c r="AP2024" t="inlineStr">
        <is>
          <t>http://localhost:8787/api/admin/requirements/documents/cmm4yunkf00rwcuqw0lvn1jq7/view</t>
        </is>
      </c>
      <c r="AQ2024">
        <f>HYPERLÄNK("http://localhost:8787/api/admin/requirements/documents/cmm4yunkf00rwcuqw0lvn1jq7/view";"Öppna PDF")</f>
        <v/>
      </c>
      <c r="AR2024">
        <f>HYPERLINK("http://localhost:8787/api/admin/requirements/documents/cmm4yunkf00rwcuqw0lvn1jq7/view","Open PDF")</f>
        <v/>
      </c>
      <c r="AS2024" t="inlineStr">
        <is>
          <t>cmm55w57p0004cuisfrtpqly8</t>
        </is>
      </c>
      <c r="AT2024" t="inlineStr">
        <is>
          <t>cmm4xvu980000cuh4vj0usz09</t>
        </is>
      </c>
      <c r="AU2024" t="inlineStr"/>
      <c r="AV2024" t="inlineStr">
        <is>
          <t>Kommun</t>
        </is>
      </c>
      <c r="AW2024" t="inlineStr"/>
      <c r="AX2024" t="inlineStr">
        <is>
          <t>2026-01</t>
        </is>
      </c>
      <c r="AY2024" t="inlineStr">
        <is>
          <t>Beslut</t>
        </is>
      </c>
      <c r="AZ2024" t="inlineStr">
        <is>
          <t>2026-02-03</t>
        </is>
      </c>
      <c r="BA2024" t="inlineStr">
        <is>
          <t>251117-MMAVANLAN-BB20.pdf</t>
        </is>
      </c>
      <c r="BB2024" t="inlineStr">
        <is>
          <t>VB: till registrator</t>
        </is>
      </c>
      <c r="BC2024" t="inlineStr">
        <is>
          <t>AUTO</t>
        </is>
      </c>
      <c r="BD2024" t="inlineStr"/>
      <c r="BE2024" t="inlineStr"/>
      <c r="BF2024" t="inlineStr">
        <is>
          <t>AUTO_GENERERAD. Bekrafta metadata mot kallfil.</t>
        </is>
      </c>
      <c r="BG2024">
        <f>HYPERLINK("C:\Users\jimmy\Desktop\Examens arbete\Kod\Ny mapp\remix_-copy-of-miljöbeslut.se-portal\251117-MMAVANLAN-BB20.pdf", "Öppna PDF")</f>
        <v/>
      </c>
    </row>
    <row r="2025">
      <c r="A2025" t="inlineStr">
        <is>
          <t>KRAV-AUTO-002024</t>
        </is>
      </c>
      <c r="B2025" t="inlineStr">
        <is>
          <t>ADMIN-INDEX-2026-02-27-00000000125C043F57453246863FE664CAFE6A3F0700950291EA24F0614FB6ACEDB12BF0E31D00000000010C0000950291EA24F0614FB6ACEDB12BF0E31D00002087B1880000</t>
        </is>
      </c>
      <c r="C2025" t="inlineStr">
        <is>
          <t>cmm4yunka00rqcuqwsy5rxhui</t>
        </is>
      </c>
      <c r="D2025" t="inlineStr">
        <is>
          <t>http://localhost:8787/api/admin/requirements/documents/cmm4yunka00rqcuqwsy5rxhui/view</t>
        </is>
      </c>
      <c r="E2025">
        <f>HYPERLÄNK("http://localhost:8787/api/admin/requirements/documents/cmm4yunka00rqcuqwsy5rxhui/view";"Öppna PDF")</f>
        <v/>
      </c>
      <c r="F2025">
        <f>HYPERLINK("http://localhost:8787/api/admin/requirements/documents/cmm4yunka00rqcuqwsy5rxhui/view","Open PDF")</f>
        <v/>
      </c>
      <c r="G2025" t="inlineStr">
        <is>
          <t>cmm55w57p0004cuisfrtpqly8</t>
        </is>
      </c>
      <c r="H2025" t="inlineStr">
        <is>
          <t>Beslutsvillkor</t>
        </is>
      </c>
      <c r="I2025" t="inlineStr">
        <is>
          <t>DagvattenLakvatten</t>
        </is>
      </c>
      <c r="J2025" t="inlineStr">
        <is>
          <t>Uppsamling</t>
        </is>
      </c>
      <c r="K2025" t="inlineStr">
        <is>
          <t>I syfte att ta hänsyn till framtida klimatförändringar föreslår Svenskt Vatten att nederbördsintensiteten ska ökas med klimatfaktor 1,25 i beräkningar i dagvattenutredningar.</t>
        </is>
      </c>
      <c r="L2025" t="inlineStr">
        <is>
          <t>I syfte att ta hänsyn till framtida klimatförändringar föreslår Svenskt Vatten att nederbördsintensiteten ska ökas med klimatfaktor 1,25 i beräkningar i dagvattenutredningar.</t>
        </is>
      </c>
      <c r="M2025" t="inlineStr">
        <is>
          <t>SKA</t>
        </is>
      </c>
      <c r="N2025" t="inlineStr"/>
      <c r="O2025" t="inlineStr"/>
      <c r="P2025" t="inlineStr"/>
      <c r="Q2025" t="inlineStr"/>
      <c r="R2025" t="inlineStr">
        <is>
          <t>Vid nederbord och avrinning</t>
        </is>
      </c>
      <c r="S2025" t="inlineStr"/>
      <c r="T2025" t="inlineStr"/>
      <c r="U2025" t="inlineStr"/>
      <c r="V2025" t="inlineStr"/>
      <c r="W2025" t="inlineStr">
        <is>
          <t>Nej</t>
        </is>
      </c>
      <c r="X2025" t="inlineStr">
        <is>
          <t>Ja</t>
        </is>
      </c>
      <c r="Y2025" t="inlineStr">
        <is>
          <t>Ja</t>
        </is>
      </c>
      <c r="Z2025" t="inlineStr">
        <is>
          <t>Nej</t>
        </is>
      </c>
      <c r="AA2025" t="n">
        <v>6</v>
      </c>
      <c r="AB2025" t="inlineStr">
        <is>
          <t>Lakvattenhantering</t>
        </is>
      </c>
      <c r="AC2025" t="inlineStr">
        <is>
          <t>Flodesschema dagvatten-lakvatten</t>
        </is>
      </c>
      <c r="AD2025" t="inlineStr">
        <is>
          <t>Nej</t>
        </is>
      </c>
      <c r="AE2025" t="inlineStr">
        <is>
          <t>Nej</t>
        </is>
      </c>
      <c r="AF2025" t="inlineStr">
        <is>
          <t>Ej behandlad</t>
        </is>
      </c>
      <c r="AG2025" t="inlineStr">
        <is>
          <t>AUTO_GENERERAD. Verifiera citat mot kallfil.</t>
        </is>
      </c>
      <c r="AH2025" t="inlineStr">
        <is>
          <t>MEDIUM</t>
        </is>
      </c>
      <c r="AI2025" t="inlineStr">
        <is>
          <t>AUTO</t>
        </is>
      </c>
      <c r="AJ2025" t="inlineStr">
        <is>
          <t>Nej</t>
        </is>
      </c>
      <c r="AK2025" t="inlineStr"/>
      <c r="AL2025" t="inlineStr"/>
      <c r="AM2025" t="inlineStr"/>
      <c r="AN2025" t="inlineStr"/>
      <c r="AO2025" t="inlineStr">
        <is>
          <t>cmm4yunkf00rwcuqw0lvn1jq7</t>
        </is>
      </c>
      <c r="AP2025" t="inlineStr">
        <is>
          <t>http://localhost:8787/api/admin/requirements/documents/cmm4yunkf00rwcuqw0lvn1jq7/view</t>
        </is>
      </c>
      <c r="AQ2025">
        <f>HYPERLÄNK("http://localhost:8787/api/admin/requirements/documents/cmm4yunkf00rwcuqw0lvn1jq7/view";"Öppna PDF")</f>
        <v/>
      </c>
      <c r="AR2025">
        <f>HYPERLINK("http://localhost:8787/api/admin/requirements/documents/cmm4yunkf00rwcuqw0lvn1jq7/view","Open PDF")</f>
        <v/>
      </c>
      <c r="AS2025" t="inlineStr">
        <is>
          <t>cmm55w57p0004cuisfrtpqly8</t>
        </is>
      </c>
      <c r="AT2025" t="inlineStr">
        <is>
          <t>cmm4xvu980000cuh4vj0usz09</t>
        </is>
      </c>
      <c r="AU2025" t="inlineStr"/>
      <c r="AV2025" t="inlineStr">
        <is>
          <t>Kommun</t>
        </is>
      </c>
      <c r="AW2025" t="inlineStr"/>
      <c r="AX2025" t="inlineStr">
        <is>
          <t>2026-01</t>
        </is>
      </c>
      <c r="AY2025" t="inlineStr">
        <is>
          <t>Beslut</t>
        </is>
      </c>
      <c r="AZ2025" t="inlineStr">
        <is>
          <t>2026-02-03</t>
        </is>
      </c>
      <c r="BA2025" t="inlineStr">
        <is>
          <t>251117-MMAVANLAN-BB20.pdf</t>
        </is>
      </c>
      <c r="BB2025" t="inlineStr">
        <is>
          <t>VB: till registrator</t>
        </is>
      </c>
      <c r="BC2025" t="inlineStr">
        <is>
          <t>AUTO</t>
        </is>
      </c>
      <c r="BD2025" t="inlineStr"/>
      <c r="BE2025" t="inlineStr"/>
      <c r="BF2025" t="inlineStr">
        <is>
          <t>AUTO_GENERERAD. Bekrafta metadata mot kallfil.</t>
        </is>
      </c>
      <c r="BG2025">
        <f>HYPERLINK("C:\Users\jimmy\Desktop\Examens arbete\Kod\Ny mapp\remix_-copy-of-miljöbeslut.se-portal\251117-MMAVANLAN-BB20.pdf", "Öppna PDF")</f>
        <v/>
      </c>
    </row>
    <row r="2026">
      <c r="A2026" t="inlineStr">
        <is>
          <t>KRAV-AUTO-002025</t>
        </is>
      </c>
      <c r="B2026" t="inlineStr">
        <is>
          <t>ADMIN-INDEX-2026-02-27-00000000125C043F57453246863FE664CAFE6A3F0700950291EA24F0614FB6ACEDB12BF0E31D00000000010C0000950291EA24F0614FB6ACEDB12BF0E31D00002087B1880000</t>
        </is>
      </c>
      <c r="C2026" t="inlineStr">
        <is>
          <t>cmm4yunka00rqcuqwsy5rxhui</t>
        </is>
      </c>
      <c r="D2026" t="inlineStr">
        <is>
          <t>http://localhost:8787/api/admin/requirements/documents/cmm4yunka00rqcuqwsy5rxhui/view</t>
        </is>
      </c>
      <c r="E2026">
        <f>HYPERLÄNK("http://localhost:8787/api/admin/requirements/documents/cmm4yunka00rqcuqwsy5rxhui/view";"Öppna PDF")</f>
        <v/>
      </c>
      <c r="F2026">
        <f>HYPERLINK("http://localhost:8787/api/admin/requirements/documents/cmm4yunka00rqcuqwsy5rxhui/view","Open PDF")</f>
        <v/>
      </c>
      <c r="G2026" t="inlineStr">
        <is>
          <t>cmm55w57p0004cuisfrtpqly8</t>
        </is>
      </c>
      <c r="H2026" t="inlineStr">
        <is>
          <t>Beslutsvillkor</t>
        </is>
      </c>
      <c r="I2026" t="inlineStr">
        <is>
          <t>DagvattenLakvatten</t>
        </is>
      </c>
      <c r="J2026" t="inlineStr">
        <is>
          <t>Uppsamling</t>
        </is>
      </c>
      <c r="K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L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M2026" t="inlineStr">
        <is>
          <t>BOR</t>
        </is>
      </c>
      <c r="N2026" t="inlineStr"/>
      <c r="O2026" t="inlineStr"/>
      <c r="P2026" t="inlineStr"/>
      <c r="Q2026" t="inlineStr"/>
      <c r="R2026" t="inlineStr">
        <is>
          <t>Vid nederbord och avrinning</t>
        </is>
      </c>
      <c r="S2026" t="inlineStr"/>
      <c r="T2026" t="inlineStr"/>
      <c r="U2026" t="inlineStr"/>
      <c r="V2026" t="inlineStr"/>
      <c r="W2026" t="inlineStr">
        <is>
          <t>Nej</t>
        </is>
      </c>
      <c r="X2026" t="inlineStr">
        <is>
          <t>Ja</t>
        </is>
      </c>
      <c r="Y2026" t="inlineStr">
        <is>
          <t>Ja</t>
        </is>
      </c>
      <c r="Z2026" t="inlineStr">
        <is>
          <t>Nej</t>
        </is>
      </c>
      <c r="AA2026" t="n">
        <v>6</v>
      </c>
      <c r="AB2026" t="inlineStr">
        <is>
          <t>Lakvattenhantering</t>
        </is>
      </c>
      <c r="AC2026" t="inlineStr">
        <is>
          <t>Flodesschema dagvatten-lakvatten</t>
        </is>
      </c>
      <c r="AD2026" t="inlineStr">
        <is>
          <t>Nej</t>
        </is>
      </c>
      <c r="AE2026" t="inlineStr">
        <is>
          <t>Nej</t>
        </is>
      </c>
      <c r="AF2026" t="inlineStr">
        <is>
          <t>Ej behandlad</t>
        </is>
      </c>
      <c r="AG2026" t="inlineStr">
        <is>
          <t>AUTO_GENERERAD. Verifiera citat mot kallfil.</t>
        </is>
      </c>
      <c r="AH2026" t="inlineStr">
        <is>
          <t>MEDIUM</t>
        </is>
      </c>
      <c r="AI2026" t="inlineStr">
        <is>
          <t>AUTO</t>
        </is>
      </c>
      <c r="AJ2026" t="inlineStr">
        <is>
          <t>Nej</t>
        </is>
      </c>
      <c r="AK2026" t="inlineStr"/>
      <c r="AL2026" t="inlineStr"/>
      <c r="AM2026" t="inlineStr"/>
      <c r="AN2026" t="inlineStr"/>
      <c r="AO2026" t="inlineStr">
        <is>
          <t>cmm4yunkf00rwcuqw0lvn1jq7</t>
        </is>
      </c>
      <c r="AP2026" t="inlineStr">
        <is>
          <t>http://localhost:8787/api/admin/requirements/documents/cmm4yunkf00rwcuqw0lvn1jq7/view</t>
        </is>
      </c>
      <c r="AQ2026">
        <f>HYPERLÄNK("http://localhost:8787/api/admin/requirements/documents/cmm4yunkf00rwcuqw0lvn1jq7/view";"Öppna PDF")</f>
        <v/>
      </c>
      <c r="AR2026">
        <f>HYPERLINK("http://localhost:8787/api/admin/requirements/documents/cmm4yunkf00rwcuqw0lvn1jq7/view","Open PDF")</f>
        <v/>
      </c>
      <c r="AS2026" t="inlineStr">
        <is>
          <t>cmm55w57p0004cuisfrtpqly8</t>
        </is>
      </c>
      <c r="AT2026" t="inlineStr">
        <is>
          <t>cmm4xvu980000cuh4vj0usz09</t>
        </is>
      </c>
      <c r="AU2026" t="inlineStr"/>
      <c r="AV2026" t="inlineStr">
        <is>
          <t>Kommun</t>
        </is>
      </c>
      <c r="AW2026" t="inlineStr"/>
      <c r="AX2026" t="inlineStr">
        <is>
          <t>2026-01</t>
        </is>
      </c>
      <c r="AY2026" t="inlineStr">
        <is>
          <t>Beslut</t>
        </is>
      </c>
      <c r="AZ2026" t="inlineStr">
        <is>
          <t>2026-02-03</t>
        </is>
      </c>
      <c r="BA2026" t="inlineStr">
        <is>
          <t>251117-MMAVANLAN-BB20.pdf</t>
        </is>
      </c>
      <c r="BB2026" t="inlineStr">
        <is>
          <t>VB: till registrator</t>
        </is>
      </c>
      <c r="BC2026" t="inlineStr">
        <is>
          <t>AUTO</t>
        </is>
      </c>
      <c r="BD2026" t="inlineStr"/>
      <c r="BE2026" t="inlineStr"/>
      <c r="BF2026" t="inlineStr">
        <is>
          <t>AUTO_GENERERAD. Bekrafta metadata mot kallfil.</t>
        </is>
      </c>
      <c r="BG2026">
        <f>HYPERLINK("C:\Users\jimmy\Desktop\Examens arbete\Kod\Ny mapp\remix_-copy-of-miljöbeslut.se-portal\251117-MMAVANLAN-BB20.pdf", "Öppna PDF")</f>
        <v/>
      </c>
    </row>
    <row r="2027">
      <c r="A2027" t="inlineStr">
        <is>
          <t>KRAV-AUTO-002026</t>
        </is>
      </c>
      <c r="B2027" t="inlineStr">
        <is>
          <t>ADMIN-INDEX-2026-02-27-00000000125C043F57453246863FE664CAFE6A3F0700950291EA24F0614FB6ACEDB12BF0E31D00000000010C0000950291EA24F0614FB6ACEDB12BF0E31D00002087B1880000</t>
        </is>
      </c>
      <c r="C2027" t="inlineStr">
        <is>
          <t>cmm4yunk700rncuqwf6dp85y6</t>
        </is>
      </c>
      <c r="D2027" t="inlineStr">
        <is>
          <t>http://localhost:8787/api/admin/requirements/documents/cmm4yunk700rncuqwf6dp85y6/view</t>
        </is>
      </c>
      <c r="E2027">
        <f>HYPERLÄNK("http://localhost:8787/api/admin/requirements/documents/cmm4yunk700rncuqwf6dp85y6/view";"Öppna PDF")</f>
        <v/>
      </c>
      <c r="F2027">
        <f>HYPERLINK("http://localhost:8787/api/admin/requirements/documents/cmm4yunk700rncuqwf6dp85y6/view","Open PDF")</f>
        <v/>
      </c>
      <c r="G2027" t="inlineStr">
        <is>
          <t>cmm55w57p0004cuisfrtpqly8</t>
        </is>
      </c>
      <c r="H2027" t="inlineStr">
        <is>
          <t>Beslutsvillkor</t>
        </is>
      </c>
      <c r="I2027" t="inlineStr">
        <is>
          <t>Ytkonstruktion</t>
        </is>
      </c>
      <c r="J2027" t="inlineStr">
        <is>
          <t>Tat yta</t>
        </is>
      </c>
      <c r="K2027" t="inlineStr">
        <is>
          <t>Nedan bottenplattan skall fyllning, dränerande och kapillärbrytande skikt utläggas och packas i enlighet med AMA Anläggning.</t>
        </is>
      </c>
      <c r="L2027" t="inlineStr">
        <is>
          <t>Nedan bottenplattan skall fyllning, dränerande och kapillärbrytande skikt utläggas och packas i enlighet med AMA Anläggning.</t>
        </is>
      </c>
      <c r="M2027" t="inlineStr">
        <is>
          <t>SKA</t>
        </is>
      </c>
      <c r="N2027" t="inlineStr"/>
      <c r="O2027" t="inlineStr"/>
      <c r="P2027" t="inlineStr"/>
      <c r="Q2027" t="inlineStr"/>
      <c r="R2027" t="inlineStr">
        <is>
          <t>Vid mellanlagring av avfall</t>
        </is>
      </c>
      <c r="S2027" t="inlineStr"/>
      <c r="T2027" t="inlineStr"/>
      <c r="U2027" t="inlineStr"/>
      <c r="V2027" t="inlineStr"/>
      <c r="W2027" t="inlineStr">
        <is>
          <t>Ja</t>
        </is>
      </c>
      <c r="X2027" t="inlineStr">
        <is>
          <t>Nej</t>
        </is>
      </c>
      <c r="Y2027" t="inlineStr">
        <is>
          <t>Nej</t>
        </is>
      </c>
      <c r="Z2027" t="inlineStr">
        <is>
          <t>Nej</t>
        </is>
      </c>
      <c r="AA2027" t="n">
        <v>5</v>
      </c>
      <c r="AB2027" t="inlineStr">
        <is>
          <t>Teknisk beskrivning av platta</t>
        </is>
      </c>
      <c r="AC2027" t="inlineStr">
        <is>
          <t>Teknisk ritning platta</t>
        </is>
      </c>
      <c r="AD2027" t="inlineStr">
        <is>
          <t>Nej</t>
        </is>
      </c>
      <c r="AE2027" t="inlineStr">
        <is>
          <t>Nej</t>
        </is>
      </c>
      <c r="AF2027" t="inlineStr">
        <is>
          <t>Ej behandlad</t>
        </is>
      </c>
      <c r="AG2027" t="inlineStr">
        <is>
          <t>AUTO_GENERERAD. Verifiera citat mot kallfil.</t>
        </is>
      </c>
      <c r="AH2027" t="inlineStr">
        <is>
          <t>MEDIUM</t>
        </is>
      </c>
      <c r="AI2027" t="inlineStr">
        <is>
          <t>AUTO</t>
        </is>
      </c>
      <c r="AJ2027" t="inlineStr">
        <is>
          <t>Nej</t>
        </is>
      </c>
      <c r="AK2027" t="inlineStr"/>
      <c r="AL2027" t="inlineStr"/>
      <c r="AM2027" t="inlineStr"/>
      <c r="AN2027" t="inlineStr"/>
      <c r="AO2027" t="inlineStr">
        <is>
          <t>cmm4yunkf00rwcuqw0lvn1jq7</t>
        </is>
      </c>
      <c r="AP2027" t="inlineStr">
        <is>
          <t>http://localhost:8787/api/admin/requirements/documents/cmm4yunkf00rwcuqw0lvn1jq7/view</t>
        </is>
      </c>
      <c r="AQ2027">
        <f>HYPERLÄNK("http://localhost:8787/api/admin/requirements/documents/cmm4yunkf00rwcuqw0lvn1jq7/view";"Öppna PDF")</f>
        <v/>
      </c>
      <c r="AR2027">
        <f>HYPERLINK("http://localhost:8787/api/admin/requirements/documents/cmm4yunkf00rwcuqw0lvn1jq7/view","Open PDF")</f>
        <v/>
      </c>
      <c r="AS2027" t="inlineStr">
        <is>
          <t>cmm55w57p0004cuisfrtpqly8</t>
        </is>
      </c>
      <c r="AT2027" t="inlineStr">
        <is>
          <t>cmm4xvu980000cuh4vj0usz09</t>
        </is>
      </c>
      <c r="AU2027" t="inlineStr"/>
      <c r="AV2027" t="inlineStr">
        <is>
          <t>Kommun</t>
        </is>
      </c>
      <c r="AW2027" t="inlineStr"/>
      <c r="AX2027" t="inlineStr">
        <is>
          <t>2026-01</t>
        </is>
      </c>
      <c r="AY2027" t="inlineStr">
        <is>
          <t>Beslut</t>
        </is>
      </c>
      <c r="AZ2027" t="inlineStr">
        <is>
          <t>2026-02-03</t>
        </is>
      </c>
      <c r="BA2027" t="inlineStr">
        <is>
          <t>251117-MMAVANLAN-BB20.pdf</t>
        </is>
      </c>
      <c r="BB2027" t="inlineStr">
        <is>
          <t>VB: till registrator</t>
        </is>
      </c>
      <c r="BC2027" t="inlineStr">
        <is>
          <t>AUTO</t>
        </is>
      </c>
      <c r="BD2027" t="inlineStr"/>
      <c r="BE2027" t="inlineStr"/>
      <c r="BF2027" t="inlineStr">
        <is>
          <t>AUTO_GENERERAD. Bekrafta metadata mot kallfil.</t>
        </is>
      </c>
      <c r="BG2027">
        <f>HYPERLINK("C:\Users\jimmy\Desktop\Examens arbete\Kod\Ny mapp\remix_-copy-of-miljöbeslut.se-portal\251117-MMAVANLAN-BB20.pdf", "Öppna PDF")</f>
        <v/>
      </c>
    </row>
    <row r="2028">
      <c r="A2028" t="inlineStr">
        <is>
          <t>KRAV-AUTO-002027</t>
        </is>
      </c>
      <c r="B2028" t="inlineStr">
        <is>
          <t>ADMIN-INDEX-2026-02-27-00000000125C043F57453246863FE664CAFE6A3F0700950291EA24F0614FB6ACEDB12BF0E31D00000000010C0000950291EA24F0614FB6ACEDB12BF0E31D00002087B1880000</t>
        </is>
      </c>
      <c r="C2028" t="inlineStr">
        <is>
          <t>cmm4yunk700rncuqwf6dp85y6</t>
        </is>
      </c>
      <c r="D2028" t="inlineStr">
        <is>
          <t>http://localhost:8787/api/admin/requirements/documents/cmm4yunk700rncuqwf6dp85y6/view</t>
        </is>
      </c>
      <c r="E2028">
        <f>HYPERLÄNK("http://localhost:8787/api/admin/requirements/documents/cmm4yunk700rncuqwf6dp85y6/view";"Öppna PDF")</f>
        <v/>
      </c>
      <c r="F2028">
        <f>HYPERLINK("http://localhost:8787/api/admin/requirements/documents/cmm4yunk700rncuqwf6dp85y6/view","Open PDF")</f>
        <v/>
      </c>
      <c r="G2028" t="inlineStr">
        <is>
          <t>cmm55w57p0004cuisfrtpqly8</t>
        </is>
      </c>
      <c r="H2028" t="inlineStr">
        <is>
          <t>Beslutsvillkor</t>
        </is>
      </c>
      <c r="I2028" t="inlineStr">
        <is>
          <t>LagringsvolymTid</t>
        </is>
      </c>
      <c r="J2028" t="inlineStr">
        <is>
          <t>Maxmangd</t>
        </is>
      </c>
      <c r="K2028" t="inlineStr">
        <is>
          <t>Innebörden blir att primära konsolideringssättningar över tid skall förväntas uppgå till varierat inom området med mellan ca 15 - 30 cm för varje påfört ton/m2 eller 10 kPa som alltså dessutom morsvarar ca 0,5 m fyllningsmaterial.</t>
        </is>
      </c>
      <c r="L2028" t="inlineStr">
        <is>
          <t>Innebörden blir att primära konsolideringssättningar över tid skall förväntas uppgå till varierat inom området med mellan ca 15 - 30 cm för varje påfört ton/m2 eller 10 kPa som alltså dessutom morsvarar ca 0,5 m fyllningsmaterial.</t>
        </is>
      </c>
      <c r="M2028" t="inlineStr">
        <is>
          <t>SKA</t>
        </is>
      </c>
      <c r="N2028" t="inlineStr"/>
      <c r="O2028" t="inlineStr"/>
      <c r="P2028" t="inlineStr"/>
      <c r="Q2028" t="inlineStr"/>
      <c r="R2028" t="inlineStr">
        <is>
          <t>Alltid</t>
        </is>
      </c>
      <c r="S2028" t="inlineStr"/>
      <c r="T2028" t="inlineStr"/>
      <c r="U2028" t="inlineStr"/>
      <c r="V2028" t="inlineStr"/>
      <c r="W2028" t="inlineStr">
        <is>
          <t>Nej</t>
        </is>
      </c>
      <c r="X2028" t="inlineStr">
        <is>
          <t>Nej</t>
        </is>
      </c>
      <c r="Y2028" t="inlineStr">
        <is>
          <t>Nej</t>
        </is>
      </c>
      <c r="Z2028" t="inlineStr">
        <is>
          <t>Nej</t>
        </is>
      </c>
      <c r="AA2028" t="n">
        <v>4</v>
      </c>
      <c r="AB2028" t="inlineStr">
        <is>
          <t>Avfallsmangder och lagringstid</t>
        </is>
      </c>
      <c r="AC2028" t="inlineStr">
        <is>
          <t>Avfallsforteckning</t>
        </is>
      </c>
      <c r="AD2028" t="inlineStr">
        <is>
          <t>Nej</t>
        </is>
      </c>
      <c r="AE2028" t="inlineStr">
        <is>
          <t>Nej</t>
        </is>
      </c>
      <c r="AF2028" t="inlineStr">
        <is>
          <t>Ej behandlad</t>
        </is>
      </c>
      <c r="AG2028" t="inlineStr">
        <is>
          <t>AUTO_GENERERAD. Verifiera citat mot kallfil.</t>
        </is>
      </c>
      <c r="AH2028" t="inlineStr">
        <is>
          <t>MEDIUM</t>
        </is>
      </c>
      <c r="AI2028" t="inlineStr">
        <is>
          <t>AUTO</t>
        </is>
      </c>
      <c r="AJ2028" t="inlineStr">
        <is>
          <t>Nej</t>
        </is>
      </c>
      <c r="AK2028" t="inlineStr"/>
      <c r="AL2028" t="inlineStr"/>
      <c r="AM2028" t="inlineStr"/>
      <c r="AN2028" t="inlineStr"/>
      <c r="AO2028" t="inlineStr">
        <is>
          <t>cmm4yunkf00rwcuqw0lvn1jq7</t>
        </is>
      </c>
      <c r="AP2028" t="inlineStr">
        <is>
          <t>http://localhost:8787/api/admin/requirements/documents/cmm4yunkf00rwcuqw0lvn1jq7/view</t>
        </is>
      </c>
      <c r="AQ2028">
        <f>HYPERLÄNK("http://localhost:8787/api/admin/requirements/documents/cmm4yunkf00rwcuqw0lvn1jq7/view";"Öppna PDF")</f>
        <v/>
      </c>
      <c r="AR2028">
        <f>HYPERLINK("http://localhost:8787/api/admin/requirements/documents/cmm4yunkf00rwcuqw0lvn1jq7/view","Open PDF")</f>
        <v/>
      </c>
      <c r="AS2028" t="inlineStr">
        <is>
          <t>cmm55w57p0004cuisfrtpqly8</t>
        </is>
      </c>
      <c r="AT2028" t="inlineStr">
        <is>
          <t>cmm4xvu980000cuh4vj0usz09</t>
        </is>
      </c>
      <c r="AU2028" t="inlineStr"/>
      <c r="AV2028" t="inlineStr">
        <is>
          <t>Kommun</t>
        </is>
      </c>
      <c r="AW2028" t="inlineStr"/>
      <c r="AX2028" t="inlineStr">
        <is>
          <t>2026-01</t>
        </is>
      </c>
      <c r="AY2028" t="inlineStr">
        <is>
          <t>Beslut</t>
        </is>
      </c>
      <c r="AZ2028" t="inlineStr">
        <is>
          <t>2026-02-03</t>
        </is>
      </c>
      <c r="BA2028" t="inlineStr">
        <is>
          <t>251117-MMAVANLAN-BB20.pdf</t>
        </is>
      </c>
      <c r="BB2028" t="inlineStr">
        <is>
          <t>VB: till registrator</t>
        </is>
      </c>
      <c r="BC2028" t="inlineStr">
        <is>
          <t>AUTO</t>
        </is>
      </c>
      <c r="BD2028" t="inlineStr"/>
      <c r="BE2028" t="inlineStr"/>
      <c r="BF2028" t="inlineStr">
        <is>
          <t>AUTO_GENERERAD. Bekrafta metadata mot kallfil.</t>
        </is>
      </c>
      <c r="BG2028">
        <f>HYPERLINK("C:\Users\jimmy\Desktop\Examens arbete\Kod\Ny mapp\remix_-copy-of-miljöbeslut.se-portal\251117-MMAVANLAN-BB20.pdf", "Öppna PDF")</f>
        <v/>
      </c>
    </row>
    <row r="2029">
      <c r="A2029" t="inlineStr">
        <is>
          <t>KRAV-AUTO-002028</t>
        </is>
      </c>
      <c r="B2029" t="inlineStr">
        <is>
          <t>ADMIN-INDEX-2026-02-27-00000000125C043F57453246863FE664CAFE6A3F0700950291EA24F0614FB6ACEDB12BF0E31D00000000010C0000950291EA24F0614FB6ACEDB12BF0E31D00002087B1880000</t>
        </is>
      </c>
      <c r="C2029" t="inlineStr">
        <is>
          <t>cmm4yunk700rncuqwf6dp85y6</t>
        </is>
      </c>
      <c r="D2029" t="inlineStr">
        <is>
          <t>http://localhost:8787/api/admin/requirements/documents/cmm4yunk700rncuqwf6dp85y6/view</t>
        </is>
      </c>
      <c r="E2029">
        <f>HYPERLÄNK("http://localhost:8787/api/admin/requirements/documents/cmm4yunk700rncuqwf6dp85y6/view";"Öppna PDF")</f>
        <v/>
      </c>
      <c r="F2029">
        <f>HYPERLINK("http://localhost:8787/api/admin/requirements/documents/cmm4yunk700rncuqwf6dp85y6/view","Open PDF")</f>
        <v/>
      </c>
      <c r="G2029" t="inlineStr">
        <is>
          <t>cmm55w57p0004cuisfrtpqly8</t>
        </is>
      </c>
      <c r="H2029" t="inlineStr">
        <is>
          <t>Beslutsvillkor</t>
        </is>
      </c>
      <c r="I2029" t="inlineStr">
        <is>
          <t>Ytkonstruktion</t>
        </is>
      </c>
      <c r="J2029" t="inlineStr">
        <is>
          <t>Tat yta</t>
        </is>
      </c>
      <c r="K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L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M2029" t="inlineStr">
        <is>
          <t>SKA</t>
        </is>
      </c>
      <c r="N2029" t="inlineStr"/>
      <c r="O2029" t="inlineStr"/>
      <c r="P2029" t="inlineStr"/>
      <c r="Q2029" t="inlineStr"/>
      <c r="R2029" t="inlineStr">
        <is>
          <t>Vid mellanlagring av avfall</t>
        </is>
      </c>
      <c r="S2029" t="inlineStr"/>
      <c r="T2029" t="inlineStr"/>
      <c r="U2029" t="inlineStr"/>
      <c r="V2029" t="inlineStr"/>
      <c r="W2029" t="inlineStr">
        <is>
          <t>Ja</t>
        </is>
      </c>
      <c r="X2029" t="inlineStr">
        <is>
          <t>Nej</t>
        </is>
      </c>
      <c r="Y2029" t="inlineStr">
        <is>
          <t>Nej</t>
        </is>
      </c>
      <c r="Z2029" t="inlineStr">
        <is>
          <t>Nej</t>
        </is>
      </c>
      <c r="AA2029" t="n">
        <v>5</v>
      </c>
      <c r="AB2029" t="inlineStr">
        <is>
          <t>Teknisk beskrivning av platta</t>
        </is>
      </c>
      <c r="AC2029" t="inlineStr">
        <is>
          <t>Teknisk ritning platta</t>
        </is>
      </c>
      <c r="AD2029" t="inlineStr">
        <is>
          <t>Nej</t>
        </is>
      </c>
      <c r="AE2029" t="inlineStr">
        <is>
          <t>Nej</t>
        </is>
      </c>
      <c r="AF2029" t="inlineStr">
        <is>
          <t>Ej behandlad</t>
        </is>
      </c>
      <c r="AG2029" t="inlineStr">
        <is>
          <t>AUTO_GENERERAD. Verifiera citat mot kallfil.</t>
        </is>
      </c>
      <c r="AH2029" t="inlineStr">
        <is>
          <t>MEDIUM</t>
        </is>
      </c>
      <c r="AI2029" t="inlineStr">
        <is>
          <t>AUTO</t>
        </is>
      </c>
      <c r="AJ2029" t="inlineStr">
        <is>
          <t>Nej</t>
        </is>
      </c>
      <c r="AK2029" t="inlineStr"/>
      <c r="AL2029" t="inlineStr"/>
      <c r="AM2029" t="inlineStr"/>
      <c r="AN2029" t="inlineStr"/>
      <c r="AO2029" t="inlineStr">
        <is>
          <t>cmm4yunkf00rwcuqw0lvn1jq7</t>
        </is>
      </c>
      <c r="AP2029" t="inlineStr">
        <is>
          <t>http://localhost:8787/api/admin/requirements/documents/cmm4yunkf00rwcuqw0lvn1jq7/view</t>
        </is>
      </c>
      <c r="AQ2029">
        <f>HYPERLÄNK("http://localhost:8787/api/admin/requirements/documents/cmm4yunkf00rwcuqw0lvn1jq7/view";"Öppna PDF")</f>
        <v/>
      </c>
      <c r="AR2029">
        <f>HYPERLINK("http://localhost:8787/api/admin/requirements/documents/cmm4yunkf00rwcuqw0lvn1jq7/view","Open PDF")</f>
        <v/>
      </c>
      <c r="AS2029" t="inlineStr">
        <is>
          <t>cmm55w57p0004cuisfrtpqly8</t>
        </is>
      </c>
      <c r="AT2029" t="inlineStr">
        <is>
          <t>cmm4xvu980000cuh4vj0usz09</t>
        </is>
      </c>
      <c r="AU2029" t="inlineStr"/>
      <c r="AV2029" t="inlineStr">
        <is>
          <t>Kommun</t>
        </is>
      </c>
      <c r="AW2029" t="inlineStr"/>
      <c r="AX2029" t="inlineStr">
        <is>
          <t>2026-01</t>
        </is>
      </c>
      <c r="AY2029" t="inlineStr">
        <is>
          <t>Beslut</t>
        </is>
      </c>
      <c r="AZ2029" t="inlineStr">
        <is>
          <t>2026-02-03</t>
        </is>
      </c>
      <c r="BA2029" t="inlineStr">
        <is>
          <t>251117-MMAVANLAN-BB20.pdf</t>
        </is>
      </c>
      <c r="BB2029" t="inlineStr">
        <is>
          <t>VB: till registrator</t>
        </is>
      </c>
      <c r="BC2029" t="inlineStr">
        <is>
          <t>AUTO</t>
        </is>
      </c>
      <c r="BD2029" t="inlineStr"/>
      <c r="BE2029" t="inlineStr"/>
      <c r="BF2029" t="inlineStr">
        <is>
          <t>AUTO_GENERERAD. Bekrafta metadata mot kallfil.</t>
        </is>
      </c>
      <c r="BG2029">
        <f>HYPERLINK("C:\Users\jimmy\Desktop\Examens arbete\Kod\Ny mapp\remix_-copy-of-miljöbeslut.se-portal\251117-MMAVANLAN-BB20.pdf", "Öppna PDF")</f>
        <v/>
      </c>
    </row>
    <row r="2030">
      <c r="A2030" t="inlineStr">
        <is>
          <t>KRAV-AUTO-002029</t>
        </is>
      </c>
      <c r="B2030" t="inlineStr">
        <is>
          <t>ADMIN-INDEX-2026-02-27-00000000125C043F57453246863FE664CAFE6A3F0700950291EA24F0614FB6ACEDB12BF0E31D00000000010C0000950291EA24F0614FB6ACEDB12BF0E31D00002087B1890000</t>
        </is>
      </c>
      <c r="C2030" t="inlineStr">
        <is>
          <t>cmm4yunk400rkcuqw69tecqiq</t>
        </is>
      </c>
      <c r="D2030" t="inlineStr">
        <is>
          <t>http://localhost:8787/api/admin/requirements/documents/cmm4yunk400rkcuqw69tecqiq/view</t>
        </is>
      </c>
      <c r="E2030">
        <f>HYPERLÄNK("http://localhost:8787/api/admin/requirements/documents/cmm4yunk400rkcuqw69tecqiq/view";"Öppna PDF")</f>
        <v/>
      </c>
      <c r="F2030">
        <f>HYPERLINK("http://localhost:8787/api/admin/requirements/documents/cmm4yunk400rkcuqw69tecqiq/view","Open PDF")</f>
        <v/>
      </c>
      <c r="G2030" t="inlineStr">
        <is>
          <t>cmm55w57p0004cuisfrtpqly8</t>
        </is>
      </c>
      <c r="H2030" t="inlineStr">
        <is>
          <t>Beslutsvillkor</t>
        </is>
      </c>
      <c r="I2030" t="inlineStr">
        <is>
          <t>DagvattenLakvatten</t>
        </is>
      </c>
      <c r="J2030" t="inlineStr">
        <is>
          <t>Uppsamling</t>
        </is>
      </c>
      <c r="K2030" t="inlineStr">
        <is>
          <t>Lagringen ska ske så att risken för uppkomst av lakvatten från rötslammet minimeras.</t>
        </is>
      </c>
      <c r="L2030" t="inlineStr">
        <is>
          <t>Lagringen ska ske så att risken för uppkomst av lakvatten från rötslammet minimeras.</t>
        </is>
      </c>
      <c r="M2030" t="inlineStr">
        <is>
          <t>SKA</t>
        </is>
      </c>
      <c r="N2030" t="inlineStr"/>
      <c r="O2030" t="inlineStr"/>
      <c r="P2030" t="inlineStr"/>
      <c r="Q2030" t="inlineStr"/>
      <c r="R2030" t="inlineStr">
        <is>
          <t>Vid nederbord och avrinning</t>
        </is>
      </c>
      <c r="S2030" t="inlineStr"/>
      <c r="T2030" t="inlineStr">
        <is>
          <t>918049</t>
        </is>
      </c>
      <c r="U2030" t="inlineStr"/>
      <c r="V2030" t="inlineStr"/>
      <c r="W2030" t="inlineStr">
        <is>
          <t>Nej</t>
        </is>
      </c>
      <c r="X2030" t="inlineStr">
        <is>
          <t>Ja</t>
        </is>
      </c>
      <c r="Y2030" t="inlineStr">
        <is>
          <t>Ja</t>
        </is>
      </c>
      <c r="Z2030" t="inlineStr">
        <is>
          <t>Nej</t>
        </is>
      </c>
      <c r="AA2030" t="n">
        <v>6</v>
      </c>
      <c r="AB2030" t="inlineStr">
        <is>
          <t>Lakvattenhantering</t>
        </is>
      </c>
      <c r="AC2030" t="inlineStr">
        <is>
          <t>Flodesschema dagvatten-lakvatten</t>
        </is>
      </c>
      <c r="AD2030" t="inlineStr">
        <is>
          <t>Nej</t>
        </is>
      </c>
      <c r="AE2030" t="inlineStr">
        <is>
          <t>Nej</t>
        </is>
      </c>
      <c r="AF2030" t="inlineStr">
        <is>
          <t>Ej behandlad</t>
        </is>
      </c>
      <c r="AG2030" t="inlineStr">
        <is>
          <t>AUTO_GENERERAD. Verifiera citat mot kallfil.</t>
        </is>
      </c>
      <c r="AH2030" t="inlineStr">
        <is>
          <t>MEDIUM</t>
        </is>
      </c>
      <c r="AI2030" t="inlineStr">
        <is>
          <t>AUTO</t>
        </is>
      </c>
      <c r="AJ2030" t="inlineStr">
        <is>
          <t>Nej</t>
        </is>
      </c>
      <c r="AK2030" t="inlineStr"/>
      <c r="AL2030" t="inlineStr"/>
      <c r="AM2030" t="inlineStr"/>
      <c r="AN2030" t="inlineStr"/>
      <c r="AO2030" t="inlineStr">
        <is>
          <t>cmm4yunk400rkcuqw69tecqiq</t>
        </is>
      </c>
      <c r="AP2030" t="inlineStr">
        <is>
          <t>http://localhost:8787/api/admin/requirements/documents/cmm4yunk400rkcuqw69tecqiq/view</t>
        </is>
      </c>
      <c r="AQ2030">
        <f>HYPERLÄNK("http://localhost:8787/api/admin/requirements/documents/cmm4yunk400rkcuqw69tecqiq/view";"Öppna PDF")</f>
        <v/>
      </c>
      <c r="AR2030">
        <f>HYPERLINK("http://localhost:8787/api/admin/requirements/documents/cmm4yunk400rkcuqw69tecqiq/view","Open PDF")</f>
        <v/>
      </c>
      <c r="AS2030" t="inlineStr">
        <is>
          <t>cmm55w57p0004cuisfrtpqly8</t>
        </is>
      </c>
      <c r="AT2030" t="inlineStr">
        <is>
          <t>cmm4xvu980000cuh4vj0usz09</t>
        </is>
      </c>
      <c r="AU2030" t="inlineStr"/>
      <c r="AV2030" t="inlineStr">
        <is>
          <t>Kommun</t>
        </is>
      </c>
      <c r="AW2030" t="inlineStr"/>
      <c r="AX2030" t="inlineStr">
        <is>
          <t>2026-02</t>
        </is>
      </c>
      <c r="AY2030" t="inlineStr">
        <is>
          <t>Beslut</t>
        </is>
      </c>
      <c r="AZ2030" t="inlineStr">
        <is>
          <t>2026-02-03</t>
        </is>
      </c>
      <c r="BA2030" t="inlineStr">
        <is>
          <t>MIL20242200pdf_976497.pdf</t>
        </is>
      </c>
      <c r="BB2030" t="inlineStr">
        <is>
          <t>Begäran om allmän handling i ärende  MIL.2026.363</t>
        </is>
      </c>
      <c r="BC2030" t="inlineStr">
        <is>
          <t>AUTO</t>
        </is>
      </c>
      <c r="BD2030" t="inlineStr"/>
      <c r="BE2030" t="inlineStr"/>
      <c r="BF2030" t="inlineStr">
        <is>
          <t>AUTO_GENERERAD. Bekrafta metadata mot kallfil.</t>
        </is>
      </c>
      <c r="BG2030">
        <f>HYPERLINK("C:\Users\jimmy\Desktop\Examens arbete\Kod\Ny mapp\remix_-copy-of-miljöbeslut.se-portal\MIL20242200pdf_976497.pdf", "Öppna PDF")</f>
        <v/>
      </c>
    </row>
    <row r="2031">
      <c r="A2031" t="inlineStr">
        <is>
          <t>KRAV-AUTO-002030</t>
        </is>
      </c>
      <c r="B2031" t="inlineStr">
        <is>
          <t>ADMIN-INDEX-2026-02-27-00000000125C043F57453246863FE664CAFE6A3F0700950291EA24F0614FB6ACEDB12BF0E31D00000000010C0000950291EA24F0614FB6ACEDB12BF0E31D00002087B1890000</t>
        </is>
      </c>
      <c r="C2031" t="inlineStr">
        <is>
          <t>cmm4yunk400rkcuqw69tecqiq</t>
        </is>
      </c>
      <c r="D2031" t="inlineStr">
        <is>
          <t>http://localhost:8787/api/admin/requirements/documents/cmm4yunk400rkcuqw69tecqiq/view</t>
        </is>
      </c>
      <c r="E2031">
        <f>HYPERLÄNK("http://localhost:8787/api/admin/requirements/documents/cmm4yunk400rkcuqw69tecqiq/view";"Öppna PDF")</f>
        <v/>
      </c>
      <c r="F2031">
        <f>HYPERLINK("http://localhost:8787/api/admin/requirements/documents/cmm4yunk400rkcuqw69tecqiq/view","Open PDF")</f>
        <v/>
      </c>
      <c r="G2031" t="inlineStr">
        <is>
          <t>cmm55w57p0004cuisfrtpqly8</t>
        </is>
      </c>
      <c r="H2031" t="inlineStr">
        <is>
          <t>Beslutsvillkor</t>
        </is>
      </c>
      <c r="I2031" t="inlineStr">
        <is>
          <t>LagringsvolymTid</t>
        </is>
      </c>
      <c r="J2031" t="inlineStr">
        <is>
          <t>Maxmangd</t>
        </is>
      </c>
      <c r="K2031" t="inlineStr">
        <is>
          <t>Uppskattad volym är cirka 1550 ton.</t>
        </is>
      </c>
      <c r="L2031" t="inlineStr">
        <is>
          <t>Uppskattad volym är cirka 1550 ton.</t>
        </is>
      </c>
      <c r="M2031" t="inlineStr">
        <is>
          <t>SKA</t>
        </is>
      </c>
      <c r="N2031" t="inlineStr"/>
      <c r="O2031" t="inlineStr"/>
      <c r="P2031" t="inlineStr"/>
      <c r="Q2031" t="inlineStr"/>
      <c r="R2031" t="inlineStr">
        <is>
          <t>Alltid</t>
        </is>
      </c>
      <c r="S2031" t="inlineStr"/>
      <c r="T2031" t="inlineStr">
        <is>
          <t>918049</t>
        </is>
      </c>
      <c r="U2031" t="n">
        <v>1550</v>
      </c>
      <c r="V2031" t="inlineStr"/>
      <c r="W2031" t="inlineStr">
        <is>
          <t>Nej</t>
        </is>
      </c>
      <c r="X2031" t="inlineStr">
        <is>
          <t>Nej</t>
        </is>
      </c>
      <c r="Y2031" t="inlineStr">
        <is>
          <t>Nej</t>
        </is>
      </c>
      <c r="Z2031" t="inlineStr">
        <is>
          <t>Nej</t>
        </is>
      </c>
      <c r="AA2031" t="n">
        <v>4</v>
      </c>
      <c r="AB2031" t="inlineStr">
        <is>
          <t>Avfallsmangder och lagringstid</t>
        </is>
      </c>
      <c r="AC2031" t="inlineStr">
        <is>
          <t>Avfallsforteckning</t>
        </is>
      </c>
      <c r="AD2031" t="inlineStr">
        <is>
          <t>Nej</t>
        </is>
      </c>
      <c r="AE2031" t="inlineStr">
        <is>
          <t>Nej</t>
        </is>
      </c>
      <c r="AF2031" t="inlineStr">
        <is>
          <t>Ej behandlad</t>
        </is>
      </c>
      <c r="AG2031" t="inlineStr">
        <is>
          <t>AUTO_GENERERAD. Verifiera citat mot kallfil.</t>
        </is>
      </c>
      <c r="AH2031" t="inlineStr">
        <is>
          <t>LOW</t>
        </is>
      </c>
      <c r="AI2031" t="inlineStr">
        <is>
          <t>AUTO</t>
        </is>
      </c>
      <c r="AJ2031" t="inlineStr">
        <is>
          <t>Nej</t>
        </is>
      </c>
      <c r="AK2031" t="inlineStr"/>
      <c r="AL2031" t="inlineStr"/>
      <c r="AM2031" t="inlineStr"/>
      <c r="AN2031" t="inlineStr"/>
      <c r="AO2031" t="inlineStr">
        <is>
          <t>cmm4yunk400rkcuqw69tecqiq</t>
        </is>
      </c>
      <c r="AP2031" t="inlineStr">
        <is>
          <t>http://localhost:8787/api/admin/requirements/documents/cmm4yunk400rkcuqw69tecqiq/view</t>
        </is>
      </c>
      <c r="AQ2031">
        <f>HYPERLÄNK("http://localhost:8787/api/admin/requirements/documents/cmm4yunk400rkcuqw69tecqiq/view";"Öppna PDF")</f>
        <v/>
      </c>
      <c r="AR2031">
        <f>HYPERLINK("http://localhost:8787/api/admin/requirements/documents/cmm4yunk400rkcuqw69tecqiq/view","Open PDF")</f>
        <v/>
      </c>
      <c r="AS2031" t="inlineStr">
        <is>
          <t>cmm55w57p0004cuisfrtpqly8</t>
        </is>
      </c>
      <c r="AT2031" t="inlineStr">
        <is>
          <t>cmm4xvu980000cuh4vj0usz09</t>
        </is>
      </c>
      <c r="AU2031" t="inlineStr"/>
      <c r="AV2031" t="inlineStr">
        <is>
          <t>Kommun</t>
        </is>
      </c>
      <c r="AW2031" t="inlineStr"/>
      <c r="AX2031" t="inlineStr">
        <is>
          <t>2026-02</t>
        </is>
      </c>
      <c r="AY2031" t="inlineStr">
        <is>
          <t>Beslut</t>
        </is>
      </c>
      <c r="AZ2031" t="inlineStr">
        <is>
          <t>2026-02-03</t>
        </is>
      </c>
      <c r="BA2031" t="inlineStr">
        <is>
          <t>MIL20242200pdf_976497.pdf</t>
        </is>
      </c>
      <c r="BB2031" t="inlineStr">
        <is>
          <t>Begäran om allmän handling i ärende  MIL.2026.363</t>
        </is>
      </c>
      <c r="BC2031" t="inlineStr">
        <is>
          <t>AUTO</t>
        </is>
      </c>
      <c r="BD2031" t="inlineStr"/>
      <c r="BE2031" t="inlineStr"/>
      <c r="BF2031" t="inlineStr">
        <is>
          <t>AUTO_GENERERAD. Bekrafta metadata mot kallfil.</t>
        </is>
      </c>
      <c r="BG2031">
        <f>HYPERLINK("C:\Users\jimmy\Desktop\Examens arbete\Kod\Ny mapp\remix_-copy-of-miljöbeslut.se-portal\MIL20242200pdf_976497.pdf", "Öppna PDF")</f>
        <v/>
      </c>
    </row>
    <row r="2032">
      <c r="A2032" t="inlineStr">
        <is>
          <t>KRAV-AUTO-002031</t>
        </is>
      </c>
      <c r="B2032" t="inlineStr">
        <is>
          <t>ADMIN-INDEX-2026-02-27-00000000125C043F57453246863FE664CAFE6A3F0700950291EA24F0614FB6ACEDB12BF0E31D00000000010C0000950291EA24F0614FB6ACEDB12BF0E31D00002087B1890000</t>
        </is>
      </c>
      <c r="C2032" t="inlineStr">
        <is>
          <t>cmm4yunk400rkcuqw69tecqiq</t>
        </is>
      </c>
      <c r="D2032" t="inlineStr">
        <is>
          <t>http://localhost:8787/api/admin/requirements/documents/cmm4yunk400rkcuqw69tecqiq/view</t>
        </is>
      </c>
      <c r="E2032">
        <f>HYPERLÄNK("http://localhost:8787/api/admin/requirements/documents/cmm4yunk400rkcuqw69tecqiq/view";"Öppna PDF")</f>
        <v/>
      </c>
      <c r="F2032">
        <f>HYPERLINK("http://localhost:8787/api/admin/requirements/documents/cmm4yunk400rkcuqw69tecqiq/view","Open PDF")</f>
        <v/>
      </c>
      <c r="G2032" t="inlineStr">
        <is>
          <t>cmm55w57p0004cuisfrtpqly8</t>
        </is>
      </c>
      <c r="H2032" t="inlineStr">
        <is>
          <t>Beslutsvillkor</t>
        </is>
      </c>
      <c r="I2032" t="inlineStr">
        <is>
          <t>Riskhantering</t>
        </is>
      </c>
      <c r="J2032" t="inlineStr">
        <is>
          <t>Riskkontroll</t>
        </is>
      </c>
      <c r="K2032" t="inlineStr">
        <is>
          <t>Täckning ska med hänsyn till risk för luktolägenhet göras i snar anslutning till uppläggning.</t>
        </is>
      </c>
      <c r="L2032" t="inlineStr">
        <is>
          <t>Täckning ska med hänsyn till risk för luktolägenhet göras i snar anslutning till uppläggning.</t>
        </is>
      </c>
      <c r="M2032" t="inlineStr">
        <is>
          <t>SKA</t>
        </is>
      </c>
      <c r="N2032" t="inlineStr"/>
      <c r="O2032" t="inlineStr"/>
      <c r="P2032" t="inlineStr"/>
      <c r="Q2032" t="inlineStr"/>
      <c r="R2032" t="inlineStr">
        <is>
          <t>Vid risk for incident</t>
        </is>
      </c>
      <c r="S2032" t="inlineStr"/>
      <c r="T2032" t="inlineStr">
        <is>
          <t>918049</t>
        </is>
      </c>
      <c r="U2032" t="inlineStr"/>
      <c r="V2032" t="inlineStr"/>
      <c r="W2032" t="inlineStr">
        <is>
          <t>Nej</t>
        </is>
      </c>
      <c r="X2032" t="inlineStr">
        <is>
          <t>Nej</t>
        </is>
      </c>
      <c r="Y2032" t="inlineStr">
        <is>
          <t>Ja</t>
        </is>
      </c>
      <c r="Z2032" t="inlineStr">
        <is>
          <t>Ja</t>
        </is>
      </c>
      <c r="AA2032" t="n">
        <v>8</v>
      </c>
      <c r="AB2032" t="inlineStr">
        <is>
          <t>Riskhantering</t>
        </is>
      </c>
      <c r="AC2032" t="inlineStr">
        <is>
          <t>Risk-PM</t>
        </is>
      </c>
      <c r="AD2032" t="inlineStr">
        <is>
          <t>Nej</t>
        </is>
      </c>
      <c r="AE2032" t="inlineStr">
        <is>
          <t>Nej</t>
        </is>
      </c>
      <c r="AF2032" t="inlineStr">
        <is>
          <t>Ej behandlad</t>
        </is>
      </c>
      <c r="AG2032" t="inlineStr">
        <is>
          <t>AUTO_GENERERAD. Verifiera citat mot kallfil.</t>
        </is>
      </c>
      <c r="AH2032" t="inlineStr">
        <is>
          <t>MEDIUM</t>
        </is>
      </c>
      <c r="AI2032" t="inlineStr">
        <is>
          <t>AUTO</t>
        </is>
      </c>
      <c r="AJ2032" t="inlineStr">
        <is>
          <t>Nej</t>
        </is>
      </c>
      <c r="AK2032" t="inlineStr"/>
      <c r="AL2032" t="inlineStr"/>
      <c r="AM2032" t="inlineStr"/>
      <c r="AN2032" t="inlineStr"/>
      <c r="AO2032" t="inlineStr">
        <is>
          <t>cmm4yunk400rkcuqw69tecqiq</t>
        </is>
      </c>
      <c r="AP2032" t="inlineStr">
        <is>
          <t>http://localhost:8787/api/admin/requirements/documents/cmm4yunk400rkcuqw69tecqiq/view</t>
        </is>
      </c>
      <c r="AQ2032">
        <f>HYPERLÄNK("http://localhost:8787/api/admin/requirements/documents/cmm4yunk400rkcuqw69tecqiq/view";"Öppna PDF")</f>
        <v/>
      </c>
      <c r="AR2032">
        <f>HYPERLINK("http://localhost:8787/api/admin/requirements/documents/cmm4yunk400rkcuqw69tecqiq/view","Open PDF")</f>
        <v/>
      </c>
      <c r="AS2032" t="inlineStr">
        <is>
          <t>cmm55w57p0004cuisfrtpqly8</t>
        </is>
      </c>
      <c r="AT2032" t="inlineStr">
        <is>
          <t>cmm4xvu980000cuh4vj0usz09</t>
        </is>
      </c>
      <c r="AU2032" t="inlineStr"/>
      <c r="AV2032" t="inlineStr">
        <is>
          <t>Kommun</t>
        </is>
      </c>
      <c r="AW2032" t="inlineStr"/>
      <c r="AX2032" t="inlineStr">
        <is>
          <t>2026-02</t>
        </is>
      </c>
      <c r="AY2032" t="inlineStr">
        <is>
          <t>Beslut</t>
        </is>
      </c>
      <c r="AZ2032" t="inlineStr">
        <is>
          <t>2026-02-03</t>
        </is>
      </c>
      <c r="BA2032" t="inlineStr">
        <is>
          <t>MIL20242200pdf_976497.pdf</t>
        </is>
      </c>
      <c r="BB2032" t="inlineStr">
        <is>
          <t>Begäran om allmän handling i ärende  MIL.2026.363</t>
        </is>
      </c>
      <c r="BC2032" t="inlineStr">
        <is>
          <t>AUTO</t>
        </is>
      </c>
      <c r="BD2032" t="inlineStr"/>
      <c r="BE2032" t="inlineStr"/>
      <c r="BF2032" t="inlineStr">
        <is>
          <t>AUTO_GENERERAD. Bekrafta metadata mot kallfil.</t>
        </is>
      </c>
      <c r="BG2032">
        <f>HYPERLINK("C:\Users\jimmy\Desktop\Examens arbete\Kod\Ny mapp\remix_-copy-of-miljöbeslut.se-portal\MIL20242200pdf_976497.pdf", "Öppna PDF")</f>
        <v/>
      </c>
    </row>
    <row r="2033">
      <c r="A2033" t="inlineStr">
        <is>
          <t>KRAV-AUTO-002032</t>
        </is>
      </c>
      <c r="B2033" t="inlineStr">
        <is>
          <t>ADMIN-INDEX-2026-02-27-00000000125C043F57453246863FE664CAFE6A3F0700950291EA24F0614FB6ACEDB12BF0E31D00000000010C0000950291EA24F0614FB6ACEDB12BF0E31D00002087B1890000</t>
        </is>
      </c>
      <c r="C2033" t="inlineStr">
        <is>
          <t>cmm4yunk100rhcuqwecq0421y</t>
        </is>
      </c>
      <c r="D2033" t="inlineStr">
        <is>
          <t>http://localhost:8787/api/admin/requirements/documents/cmm4yunk100rhcuqwecq0421y/view</t>
        </is>
      </c>
      <c r="E2033">
        <f>HYPERLÄNK("http://localhost:8787/api/admin/requirements/documents/cmm4yunk100rhcuqwecq0421y/view";"Öppna PDF")</f>
        <v/>
      </c>
      <c r="F2033">
        <f>HYPERLINK("http://localhost:8787/api/admin/requirements/documents/cmm4yunk100rhcuqwecq0421y/view","Open PDF")</f>
        <v/>
      </c>
      <c r="G2033" t="inlineStr">
        <is>
          <t>cmm55w57p0004cuisfrtpqly8</t>
        </is>
      </c>
      <c r="H2033" t="inlineStr">
        <is>
          <t>Beslutsvillkor</t>
        </is>
      </c>
      <c r="I2033" t="inlineStr">
        <is>
          <t>DagvattenLakvatten</t>
        </is>
      </c>
      <c r="J2033" t="inlineStr">
        <is>
          <t>Uppsamling</t>
        </is>
      </c>
      <c r="K2033" t="inlineStr">
        <is>
          <t>Lagringen ska ske så att risken för uppkomst av lakvatten från rötslammet minimeras.</t>
        </is>
      </c>
      <c r="L2033" t="inlineStr">
        <is>
          <t>Lagringen ska ske så att risken för uppkomst av lakvatten från rötslammet minimeras.</t>
        </is>
      </c>
      <c r="M2033" t="inlineStr">
        <is>
          <t>SKA</t>
        </is>
      </c>
      <c r="N2033" t="inlineStr"/>
      <c r="O2033" t="inlineStr"/>
      <c r="P2033" t="inlineStr"/>
      <c r="Q2033" t="inlineStr"/>
      <c r="R2033" t="inlineStr">
        <is>
          <t>Vid nederbord och avrinning</t>
        </is>
      </c>
      <c r="S2033" t="inlineStr"/>
      <c r="T2033" t="inlineStr">
        <is>
          <t>918017</t>
        </is>
      </c>
      <c r="U2033" t="inlineStr"/>
      <c r="V2033" t="inlineStr"/>
      <c r="W2033" t="inlineStr">
        <is>
          <t>Nej</t>
        </is>
      </c>
      <c r="X2033" t="inlineStr">
        <is>
          <t>Ja</t>
        </is>
      </c>
      <c r="Y2033" t="inlineStr">
        <is>
          <t>Ja</t>
        </is>
      </c>
      <c r="Z2033" t="inlineStr">
        <is>
          <t>Nej</t>
        </is>
      </c>
      <c r="AA2033" t="n">
        <v>6</v>
      </c>
      <c r="AB2033" t="inlineStr">
        <is>
          <t>Lakvattenhantering</t>
        </is>
      </c>
      <c r="AC2033" t="inlineStr">
        <is>
          <t>Flodesschema dagvatten-lakvatten</t>
        </is>
      </c>
      <c r="AD2033" t="inlineStr">
        <is>
          <t>Nej</t>
        </is>
      </c>
      <c r="AE2033" t="inlineStr">
        <is>
          <t>Nej</t>
        </is>
      </c>
      <c r="AF2033" t="inlineStr">
        <is>
          <t>Ej behandlad</t>
        </is>
      </c>
      <c r="AG2033" t="inlineStr">
        <is>
          <t>AUTO_GENERERAD. Verifiera citat mot kallfil.</t>
        </is>
      </c>
      <c r="AH2033" t="inlineStr">
        <is>
          <t>MEDIUM</t>
        </is>
      </c>
      <c r="AI2033" t="inlineStr">
        <is>
          <t>AUTO</t>
        </is>
      </c>
      <c r="AJ2033" t="inlineStr">
        <is>
          <t>Nej</t>
        </is>
      </c>
      <c r="AK2033" t="inlineStr"/>
      <c r="AL2033" t="inlineStr"/>
      <c r="AM2033" t="inlineStr"/>
      <c r="AN2033" t="inlineStr"/>
      <c r="AO2033" t="inlineStr">
        <is>
          <t>cmm4yunk400rkcuqw69tecqiq</t>
        </is>
      </c>
      <c r="AP2033" t="inlineStr">
        <is>
          <t>http://localhost:8787/api/admin/requirements/documents/cmm4yunk400rkcuqw69tecqiq/view</t>
        </is>
      </c>
      <c r="AQ2033">
        <f>HYPERLÄNK("http://localhost:8787/api/admin/requirements/documents/cmm4yunk400rkcuqw69tecqiq/view";"Öppna PDF")</f>
        <v/>
      </c>
      <c r="AR2033">
        <f>HYPERLINK("http://localhost:8787/api/admin/requirements/documents/cmm4yunk400rkcuqw69tecqiq/view","Open PDF")</f>
        <v/>
      </c>
      <c r="AS2033" t="inlineStr">
        <is>
          <t>cmm55w57p0004cuisfrtpqly8</t>
        </is>
      </c>
      <c r="AT2033" t="inlineStr">
        <is>
          <t>cmm4xvu980000cuh4vj0usz09</t>
        </is>
      </c>
      <c r="AU2033" t="inlineStr"/>
      <c r="AV2033" t="inlineStr">
        <is>
          <t>Kommun</t>
        </is>
      </c>
      <c r="AW2033" t="inlineStr"/>
      <c r="AX2033" t="inlineStr">
        <is>
          <t>2026-02</t>
        </is>
      </c>
      <c r="AY2033" t="inlineStr">
        <is>
          <t>Beslut</t>
        </is>
      </c>
      <c r="AZ2033" t="inlineStr">
        <is>
          <t>2026-02-03</t>
        </is>
      </c>
      <c r="BA2033" t="inlineStr">
        <is>
          <t>MIL20242200pdf_976497.pdf</t>
        </is>
      </c>
      <c r="BB2033" t="inlineStr">
        <is>
          <t>Begäran om allmän handling i ärende  MIL.2026.363</t>
        </is>
      </c>
      <c r="BC2033" t="inlineStr">
        <is>
          <t>AUTO</t>
        </is>
      </c>
      <c r="BD2033" t="inlineStr"/>
      <c r="BE2033" t="inlineStr"/>
      <c r="BF2033" t="inlineStr">
        <is>
          <t>AUTO_GENERERAD. Bekrafta metadata mot kallfil.</t>
        </is>
      </c>
      <c r="BG2033">
        <f>HYPERLINK("C:\Users\jimmy\Desktop\Examens arbete\Kod\Ny mapp\remix_-copy-of-miljöbeslut.se-portal\MIL20242200pdf_976497.pdf", "Öppna PDF")</f>
        <v/>
      </c>
    </row>
    <row r="2034">
      <c r="A2034" t="inlineStr">
        <is>
          <t>KRAV-AUTO-002033</t>
        </is>
      </c>
      <c r="B2034" t="inlineStr">
        <is>
          <t>ADMIN-INDEX-2026-02-27-00000000125C043F57453246863FE664CAFE6A3F0700950291EA24F0614FB6ACEDB12BF0E31D00000000010C0000950291EA24F0614FB6ACEDB12BF0E31D00002087B1890000</t>
        </is>
      </c>
      <c r="C2034" t="inlineStr">
        <is>
          <t>cmm4yunk100rhcuqwecq0421y</t>
        </is>
      </c>
      <c r="D2034" t="inlineStr">
        <is>
          <t>http://localhost:8787/api/admin/requirements/documents/cmm4yunk100rhcuqwecq0421y/view</t>
        </is>
      </c>
      <c r="E2034">
        <f>HYPERLÄNK("http://localhost:8787/api/admin/requirements/documents/cmm4yunk100rhcuqwecq0421y/view";"Öppna PDF")</f>
        <v/>
      </c>
      <c r="F2034">
        <f>HYPERLINK("http://localhost:8787/api/admin/requirements/documents/cmm4yunk100rhcuqwecq0421y/view","Open PDF")</f>
        <v/>
      </c>
      <c r="G2034" t="inlineStr">
        <is>
          <t>cmm55w57p0004cuisfrtpqly8</t>
        </is>
      </c>
      <c r="H2034" t="inlineStr">
        <is>
          <t>Beslutsvillkor</t>
        </is>
      </c>
      <c r="I2034" t="inlineStr">
        <is>
          <t>LagringsvolymTid</t>
        </is>
      </c>
      <c r="J2034" t="inlineStr">
        <is>
          <t>Maxmangd</t>
        </is>
      </c>
      <c r="K2034" t="inlineStr">
        <is>
          <t>Uppskattad volym är cirka 300 ton.</t>
        </is>
      </c>
      <c r="L2034" t="inlineStr">
        <is>
          <t>Uppskattad volym är cirka 300 ton.</t>
        </is>
      </c>
      <c r="M2034" t="inlineStr">
        <is>
          <t>SKA</t>
        </is>
      </c>
      <c r="N2034" t="inlineStr"/>
      <c r="O2034" t="inlineStr"/>
      <c r="P2034" t="inlineStr"/>
      <c r="Q2034" t="inlineStr"/>
      <c r="R2034" t="inlineStr">
        <is>
          <t>Alltid</t>
        </is>
      </c>
      <c r="S2034" t="inlineStr"/>
      <c r="T2034" t="inlineStr">
        <is>
          <t>918017</t>
        </is>
      </c>
      <c r="U2034" t="n">
        <v>300</v>
      </c>
      <c r="V2034" t="inlineStr"/>
      <c r="W2034" t="inlineStr">
        <is>
          <t>Nej</t>
        </is>
      </c>
      <c r="X2034" t="inlineStr">
        <is>
          <t>Nej</t>
        </is>
      </c>
      <c r="Y2034" t="inlineStr">
        <is>
          <t>Nej</t>
        </is>
      </c>
      <c r="Z2034" t="inlineStr">
        <is>
          <t>Nej</t>
        </is>
      </c>
      <c r="AA2034" t="n">
        <v>4</v>
      </c>
      <c r="AB2034" t="inlineStr">
        <is>
          <t>Avfallsmangder och lagringstid</t>
        </is>
      </c>
      <c r="AC2034" t="inlineStr">
        <is>
          <t>Avfallsforteckning</t>
        </is>
      </c>
      <c r="AD2034" t="inlineStr">
        <is>
          <t>Nej</t>
        </is>
      </c>
      <c r="AE2034" t="inlineStr">
        <is>
          <t>Nej</t>
        </is>
      </c>
      <c r="AF2034" t="inlineStr">
        <is>
          <t>Ej behandlad</t>
        </is>
      </c>
      <c r="AG2034" t="inlineStr">
        <is>
          <t>AUTO_GENERERAD. Verifiera citat mot kallfil.</t>
        </is>
      </c>
      <c r="AH2034" t="inlineStr">
        <is>
          <t>LOW</t>
        </is>
      </c>
      <c r="AI2034" t="inlineStr">
        <is>
          <t>AUTO</t>
        </is>
      </c>
      <c r="AJ2034" t="inlineStr">
        <is>
          <t>Nej</t>
        </is>
      </c>
      <c r="AK2034" t="inlineStr"/>
      <c r="AL2034" t="inlineStr"/>
      <c r="AM2034" t="inlineStr"/>
      <c r="AN2034" t="inlineStr"/>
      <c r="AO2034" t="inlineStr">
        <is>
          <t>cmm4yunk400rkcuqw69tecqiq</t>
        </is>
      </c>
      <c r="AP2034" t="inlineStr">
        <is>
          <t>http://localhost:8787/api/admin/requirements/documents/cmm4yunk400rkcuqw69tecqiq/view</t>
        </is>
      </c>
      <c r="AQ2034">
        <f>HYPERLÄNK("http://localhost:8787/api/admin/requirements/documents/cmm4yunk400rkcuqw69tecqiq/view";"Öppna PDF")</f>
        <v/>
      </c>
      <c r="AR2034">
        <f>HYPERLINK("http://localhost:8787/api/admin/requirements/documents/cmm4yunk400rkcuqw69tecqiq/view","Open PDF")</f>
        <v/>
      </c>
      <c r="AS2034" t="inlineStr">
        <is>
          <t>cmm55w57p0004cuisfrtpqly8</t>
        </is>
      </c>
      <c r="AT2034" t="inlineStr">
        <is>
          <t>cmm4xvu980000cuh4vj0usz09</t>
        </is>
      </c>
      <c r="AU2034" t="inlineStr"/>
      <c r="AV2034" t="inlineStr">
        <is>
          <t>Kommun</t>
        </is>
      </c>
      <c r="AW2034" t="inlineStr"/>
      <c r="AX2034" t="inlineStr">
        <is>
          <t>2026-02</t>
        </is>
      </c>
      <c r="AY2034" t="inlineStr">
        <is>
          <t>Beslut</t>
        </is>
      </c>
      <c r="AZ2034" t="inlineStr">
        <is>
          <t>2026-02-03</t>
        </is>
      </c>
      <c r="BA2034" t="inlineStr">
        <is>
          <t>MIL20242200pdf_976497.pdf</t>
        </is>
      </c>
      <c r="BB2034" t="inlineStr">
        <is>
          <t>Begäran om allmän handling i ärende  MIL.2026.363</t>
        </is>
      </c>
      <c r="BC2034" t="inlineStr">
        <is>
          <t>AUTO</t>
        </is>
      </c>
      <c r="BD2034" t="inlineStr"/>
      <c r="BE2034" t="inlineStr"/>
      <c r="BF2034" t="inlineStr">
        <is>
          <t>AUTO_GENERERAD. Bekrafta metadata mot kallfil.</t>
        </is>
      </c>
      <c r="BG2034">
        <f>HYPERLINK("C:\Users\jimmy\Desktop\Examens arbete\Kod\Ny mapp\remix_-copy-of-miljöbeslut.se-portal\MIL20242200pdf_976497.pdf", "Öppna PDF")</f>
        <v/>
      </c>
    </row>
    <row r="2035">
      <c r="A2035" t="inlineStr">
        <is>
          <t>KRAV-AUTO-002034</t>
        </is>
      </c>
      <c r="B2035" t="inlineStr">
        <is>
          <t>ADMIN-INDEX-2026-02-27-00000000125C043F57453246863FE664CAFE6A3F0700950291EA24F0614FB6ACEDB12BF0E31D00000000010C0000950291EA24F0614FB6ACEDB12BF0E31D00002087B1890000</t>
        </is>
      </c>
      <c r="C2035" t="inlineStr">
        <is>
          <t>cmm4yunk100rhcuqwecq0421y</t>
        </is>
      </c>
      <c r="D2035" t="inlineStr">
        <is>
          <t>http://localhost:8787/api/admin/requirements/documents/cmm4yunk100rhcuqwecq0421y/view</t>
        </is>
      </c>
      <c r="E2035">
        <f>HYPERLÄNK("http://localhost:8787/api/admin/requirements/documents/cmm4yunk100rhcuqwecq0421y/view";"Öppna PDF")</f>
        <v/>
      </c>
      <c r="F2035">
        <f>HYPERLINK("http://localhost:8787/api/admin/requirements/documents/cmm4yunk100rhcuqwecq0421y/view","Open PDF")</f>
        <v/>
      </c>
      <c r="G2035" t="inlineStr">
        <is>
          <t>cmm55w57p0004cuisfrtpqly8</t>
        </is>
      </c>
      <c r="H2035" t="inlineStr">
        <is>
          <t>Beslutsvillkor</t>
        </is>
      </c>
      <c r="I2035" t="inlineStr">
        <is>
          <t>Riskhantering</t>
        </is>
      </c>
      <c r="J2035" t="inlineStr">
        <is>
          <t>Riskkontroll</t>
        </is>
      </c>
      <c r="K2035" t="inlineStr">
        <is>
          <t>Täckning ska med hänsyn till risk för luktolägenhet göras i snar anslutning till uppläggning.</t>
        </is>
      </c>
      <c r="L2035" t="inlineStr">
        <is>
          <t>Täckning ska med hänsyn till risk för luktolägenhet göras i snar anslutning till uppläggning.</t>
        </is>
      </c>
      <c r="M2035" t="inlineStr">
        <is>
          <t>SKA</t>
        </is>
      </c>
      <c r="N2035" t="inlineStr"/>
      <c r="O2035" t="inlineStr"/>
      <c r="P2035" t="inlineStr"/>
      <c r="Q2035" t="inlineStr"/>
      <c r="R2035" t="inlineStr">
        <is>
          <t>Vid risk for incident</t>
        </is>
      </c>
      <c r="S2035" t="inlineStr"/>
      <c r="T2035" t="inlineStr">
        <is>
          <t>918017</t>
        </is>
      </c>
      <c r="U2035" t="inlineStr"/>
      <c r="V2035" t="inlineStr"/>
      <c r="W2035" t="inlineStr">
        <is>
          <t>Nej</t>
        </is>
      </c>
      <c r="X2035" t="inlineStr">
        <is>
          <t>Nej</t>
        </is>
      </c>
      <c r="Y2035" t="inlineStr">
        <is>
          <t>Ja</t>
        </is>
      </c>
      <c r="Z2035" t="inlineStr">
        <is>
          <t>Ja</t>
        </is>
      </c>
      <c r="AA2035" t="n">
        <v>8</v>
      </c>
      <c r="AB2035" t="inlineStr">
        <is>
          <t>Riskhantering</t>
        </is>
      </c>
      <c r="AC2035" t="inlineStr">
        <is>
          <t>Risk-PM</t>
        </is>
      </c>
      <c r="AD2035" t="inlineStr">
        <is>
          <t>Nej</t>
        </is>
      </c>
      <c r="AE2035" t="inlineStr">
        <is>
          <t>Nej</t>
        </is>
      </c>
      <c r="AF2035" t="inlineStr">
        <is>
          <t>Ej behandlad</t>
        </is>
      </c>
      <c r="AG2035" t="inlineStr">
        <is>
          <t>AUTO_GENERERAD. Verifiera citat mot kallfil.</t>
        </is>
      </c>
      <c r="AH2035" t="inlineStr">
        <is>
          <t>MEDIUM</t>
        </is>
      </c>
      <c r="AI2035" t="inlineStr">
        <is>
          <t>AUTO</t>
        </is>
      </c>
      <c r="AJ2035" t="inlineStr">
        <is>
          <t>Nej</t>
        </is>
      </c>
      <c r="AK2035" t="inlineStr"/>
      <c r="AL2035" t="inlineStr"/>
      <c r="AM2035" t="inlineStr"/>
      <c r="AN2035" t="inlineStr"/>
      <c r="AO2035" t="inlineStr">
        <is>
          <t>cmm4yunk400rkcuqw69tecqiq</t>
        </is>
      </c>
      <c r="AP2035" t="inlineStr">
        <is>
          <t>http://localhost:8787/api/admin/requirements/documents/cmm4yunk400rkcuqw69tecqiq/view</t>
        </is>
      </c>
      <c r="AQ2035">
        <f>HYPERLÄNK("http://localhost:8787/api/admin/requirements/documents/cmm4yunk400rkcuqw69tecqiq/view";"Öppna PDF")</f>
        <v/>
      </c>
      <c r="AR2035">
        <f>HYPERLINK("http://localhost:8787/api/admin/requirements/documents/cmm4yunk400rkcuqw69tecqiq/view","Open PDF")</f>
        <v/>
      </c>
      <c r="AS2035" t="inlineStr">
        <is>
          <t>cmm55w57p0004cuisfrtpqly8</t>
        </is>
      </c>
      <c r="AT2035" t="inlineStr">
        <is>
          <t>cmm4xvu980000cuh4vj0usz09</t>
        </is>
      </c>
      <c r="AU2035" t="inlineStr"/>
      <c r="AV2035" t="inlineStr">
        <is>
          <t>Kommun</t>
        </is>
      </c>
      <c r="AW2035" t="inlineStr"/>
      <c r="AX2035" t="inlineStr">
        <is>
          <t>2026-02</t>
        </is>
      </c>
      <c r="AY2035" t="inlineStr">
        <is>
          <t>Beslut</t>
        </is>
      </c>
      <c r="AZ2035" t="inlineStr">
        <is>
          <t>2026-02-03</t>
        </is>
      </c>
      <c r="BA2035" t="inlineStr">
        <is>
          <t>MIL20242200pdf_976497.pdf</t>
        </is>
      </c>
      <c r="BB2035" t="inlineStr">
        <is>
          <t>Begäran om allmän handling i ärende  MIL.2026.363</t>
        </is>
      </c>
      <c r="BC2035" t="inlineStr">
        <is>
          <t>AUTO</t>
        </is>
      </c>
      <c r="BD2035" t="inlineStr"/>
      <c r="BE2035" t="inlineStr"/>
      <c r="BF2035" t="inlineStr">
        <is>
          <t>AUTO_GENERERAD. Bekrafta metadata mot kallfil.</t>
        </is>
      </c>
      <c r="BG2035">
        <f>HYPERLINK("C:\Users\jimmy\Desktop\Examens arbete\Kod\Ny mapp\remix_-copy-of-miljöbeslut.se-portal\MIL20242200pdf_976497.pdf", "Öppna PDF")</f>
        <v/>
      </c>
    </row>
    <row r="2036">
      <c r="A2036" t="inlineStr">
        <is>
          <t>KRAV-AUTO-002035</t>
        </is>
      </c>
      <c r="B2036" t="inlineStr">
        <is>
          <t>ADMIN-INDEX-2026-02-27-00000000125C043F57453246863FE664CAFE6A3F0700950291EA24F0614FB6ACEDB12BF0E31D00000000010C0000950291EA24F0614FB6ACEDB12BF0E31D00002087B1890000</t>
        </is>
      </c>
      <c r="C2036" t="inlineStr">
        <is>
          <t>cmm4yunjy00recuqwigbk24et</t>
        </is>
      </c>
      <c r="D2036" t="inlineStr">
        <is>
          <t>http://localhost:8787/api/admin/requirements/documents/cmm4yunjy00recuqwigbk24et/view</t>
        </is>
      </c>
      <c r="E2036">
        <f>HYPERLÄNK("http://localhost:8787/api/admin/requirements/documents/cmm4yunjy00recuqwigbk24et/view";"Öppna PDF")</f>
        <v/>
      </c>
      <c r="F2036">
        <f>HYPERLINK("http://localhost:8787/api/admin/requirements/documents/cmm4yunjy00recuqwigbk24et/view","Open PDF")</f>
        <v/>
      </c>
      <c r="G2036" t="inlineStr">
        <is>
          <t>cmm55w57p0004cuisfrtpqly8</t>
        </is>
      </c>
      <c r="H2036" t="inlineStr">
        <is>
          <t>Beslutsvillkor</t>
        </is>
      </c>
      <c r="I2036" t="inlineStr">
        <is>
          <t>DagvattenLakvatten</t>
        </is>
      </c>
      <c r="J2036" t="inlineStr">
        <is>
          <t>Uppsamling</t>
        </is>
      </c>
      <c r="K2036" t="inlineStr">
        <is>
          <t>Lagringen ska ske så att risken för uppkomst av lakvatten från rötslammet minimeras.</t>
        </is>
      </c>
      <c r="L2036" t="inlineStr">
        <is>
          <t>Lagringen ska ske så att risken för uppkomst av lakvatten från rötslammet minimeras.</t>
        </is>
      </c>
      <c r="M2036" t="inlineStr">
        <is>
          <t>SKA</t>
        </is>
      </c>
      <c r="N2036" t="inlineStr"/>
      <c r="O2036" t="inlineStr"/>
      <c r="P2036" t="inlineStr"/>
      <c r="Q2036" t="inlineStr"/>
      <c r="R2036" t="inlineStr">
        <is>
          <t>Vid nederbord och avrinning</t>
        </is>
      </c>
      <c r="S2036" t="inlineStr"/>
      <c r="T2036" t="inlineStr">
        <is>
          <t>917728</t>
        </is>
      </c>
      <c r="U2036" t="inlineStr"/>
      <c r="V2036" t="inlineStr"/>
      <c r="W2036" t="inlineStr">
        <is>
          <t>Nej</t>
        </is>
      </c>
      <c r="X2036" t="inlineStr">
        <is>
          <t>Ja</t>
        </is>
      </c>
      <c r="Y2036" t="inlineStr">
        <is>
          <t>Ja</t>
        </is>
      </c>
      <c r="Z2036" t="inlineStr">
        <is>
          <t>Nej</t>
        </is>
      </c>
      <c r="AA2036" t="n">
        <v>6</v>
      </c>
      <c r="AB2036" t="inlineStr">
        <is>
          <t>Lakvattenhantering</t>
        </is>
      </c>
      <c r="AC2036" t="inlineStr">
        <is>
          <t>Flodesschema dagvatten-lakvatten</t>
        </is>
      </c>
      <c r="AD2036" t="inlineStr">
        <is>
          <t>Nej</t>
        </is>
      </c>
      <c r="AE2036" t="inlineStr">
        <is>
          <t>Nej</t>
        </is>
      </c>
      <c r="AF2036" t="inlineStr">
        <is>
          <t>Ej behandlad</t>
        </is>
      </c>
      <c r="AG2036" t="inlineStr">
        <is>
          <t>AUTO_GENERERAD. Verifiera citat mot kallfil.</t>
        </is>
      </c>
      <c r="AH2036" t="inlineStr">
        <is>
          <t>MEDIUM</t>
        </is>
      </c>
      <c r="AI2036" t="inlineStr">
        <is>
          <t>AUTO</t>
        </is>
      </c>
      <c r="AJ2036" t="inlineStr">
        <is>
          <t>Nej</t>
        </is>
      </c>
      <c r="AK2036" t="inlineStr"/>
      <c r="AL2036" t="inlineStr"/>
      <c r="AM2036" t="inlineStr"/>
      <c r="AN2036" t="inlineStr"/>
      <c r="AO2036" t="inlineStr">
        <is>
          <t>cmm4yunk400rkcuqw69tecqiq</t>
        </is>
      </c>
      <c r="AP2036" t="inlineStr">
        <is>
          <t>http://localhost:8787/api/admin/requirements/documents/cmm4yunk400rkcuqw69tecqiq/view</t>
        </is>
      </c>
      <c r="AQ2036">
        <f>HYPERLÄNK("http://localhost:8787/api/admin/requirements/documents/cmm4yunk400rkcuqw69tecqiq/view";"Öppna PDF")</f>
        <v/>
      </c>
      <c r="AR2036">
        <f>HYPERLINK("http://localhost:8787/api/admin/requirements/documents/cmm4yunk400rkcuqw69tecqiq/view","Open PDF")</f>
        <v/>
      </c>
      <c r="AS2036" t="inlineStr">
        <is>
          <t>cmm55w57p0004cuisfrtpqly8</t>
        </is>
      </c>
      <c r="AT2036" t="inlineStr">
        <is>
          <t>cmm4xvu980000cuh4vj0usz09</t>
        </is>
      </c>
      <c r="AU2036" t="inlineStr"/>
      <c r="AV2036" t="inlineStr">
        <is>
          <t>Kommun</t>
        </is>
      </c>
      <c r="AW2036" t="inlineStr"/>
      <c r="AX2036" t="inlineStr">
        <is>
          <t>2026-02</t>
        </is>
      </c>
      <c r="AY2036" t="inlineStr">
        <is>
          <t>Beslut</t>
        </is>
      </c>
      <c r="AZ2036" t="inlineStr">
        <is>
          <t>2026-02-03</t>
        </is>
      </c>
      <c r="BA2036" t="inlineStr">
        <is>
          <t>MIL20242200pdf_976497.pdf</t>
        </is>
      </c>
      <c r="BB2036" t="inlineStr">
        <is>
          <t>Begäran om allmän handling i ärende  MIL.2026.363</t>
        </is>
      </c>
      <c r="BC2036" t="inlineStr">
        <is>
          <t>AUTO</t>
        </is>
      </c>
      <c r="BD2036" t="inlineStr"/>
      <c r="BE2036" t="inlineStr"/>
      <c r="BF2036" t="inlineStr">
        <is>
          <t>AUTO_GENERERAD. Bekrafta metadata mot kallfil.</t>
        </is>
      </c>
      <c r="BG2036">
        <f>HYPERLINK("C:\Users\jimmy\Desktop\Examens arbete\Kod\Ny mapp\remix_-copy-of-miljöbeslut.se-portal\MIL20242200pdf_976497.pdf", "Öppna PDF")</f>
        <v/>
      </c>
    </row>
    <row r="2037">
      <c r="A2037" t="inlineStr">
        <is>
          <t>KRAV-AUTO-002036</t>
        </is>
      </c>
      <c r="B2037" t="inlineStr">
        <is>
          <t>ADMIN-INDEX-2026-02-27-00000000125C043F57453246863FE664CAFE6A3F0700950291EA24F0614FB6ACEDB12BF0E31D00000000010C0000950291EA24F0614FB6ACEDB12BF0E31D00002087B1890000</t>
        </is>
      </c>
      <c r="C2037" t="inlineStr">
        <is>
          <t>cmm4yunjy00recuqwigbk24et</t>
        </is>
      </c>
      <c r="D2037" t="inlineStr">
        <is>
          <t>http://localhost:8787/api/admin/requirements/documents/cmm4yunjy00recuqwigbk24et/view</t>
        </is>
      </c>
      <c r="E2037">
        <f>HYPERLÄNK("http://localhost:8787/api/admin/requirements/documents/cmm4yunjy00recuqwigbk24et/view";"Öppna PDF")</f>
        <v/>
      </c>
      <c r="F2037">
        <f>HYPERLINK("http://localhost:8787/api/admin/requirements/documents/cmm4yunjy00recuqwigbk24et/view","Open PDF")</f>
        <v/>
      </c>
      <c r="G2037" t="inlineStr">
        <is>
          <t>cmm55w57p0004cuisfrtpqly8</t>
        </is>
      </c>
      <c r="H2037" t="inlineStr">
        <is>
          <t>Beslutsvillkor</t>
        </is>
      </c>
      <c r="I2037" t="inlineStr">
        <is>
          <t>DriftEgenkontroll</t>
        </is>
      </c>
      <c r="J2037" t="inlineStr">
        <is>
          <t>Journalforing</t>
        </is>
      </c>
      <c r="K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037" t="inlineStr">
        <is>
          <t>SKA</t>
        </is>
      </c>
      <c r="N2037" t="inlineStr"/>
      <c r="O2037" t="inlineStr"/>
      <c r="P2037" t="inlineStr"/>
      <c r="Q2037" t="inlineStr"/>
      <c r="R2037" t="inlineStr">
        <is>
          <t>Lopande drift</t>
        </is>
      </c>
      <c r="S2037" t="inlineStr"/>
      <c r="T2037" t="inlineStr">
        <is>
          <t>917728</t>
        </is>
      </c>
      <c r="U2037" t="inlineStr"/>
      <c r="V2037" t="inlineStr"/>
      <c r="W2037" t="inlineStr">
        <is>
          <t>Nej</t>
        </is>
      </c>
      <c r="X2037" t="inlineStr">
        <is>
          <t>Nej</t>
        </is>
      </c>
      <c r="Y2037" t="inlineStr">
        <is>
          <t>Ja</t>
        </is>
      </c>
      <c r="Z2037" t="inlineStr">
        <is>
          <t>Nej</t>
        </is>
      </c>
      <c r="AA2037" t="n">
        <v>7</v>
      </c>
      <c r="AB2037" t="inlineStr">
        <is>
          <t>Egenkontrollrutiner</t>
        </is>
      </c>
      <c r="AC2037" t="inlineStr">
        <is>
          <t>Egenkontrollprogram</t>
        </is>
      </c>
      <c r="AD2037" t="inlineStr">
        <is>
          <t>Nej</t>
        </is>
      </c>
      <c r="AE2037" t="inlineStr">
        <is>
          <t>Nej</t>
        </is>
      </c>
      <c r="AF2037" t="inlineStr">
        <is>
          <t>Ej behandlad</t>
        </is>
      </c>
      <c r="AG2037" t="inlineStr">
        <is>
          <t>AUTO_GENERERAD. Verifiera citat mot kallfil.</t>
        </is>
      </c>
      <c r="AH2037" t="inlineStr">
        <is>
          <t>MEDIUM</t>
        </is>
      </c>
      <c r="AI2037" t="inlineStr">
        <is>
          <t>AUTO</t>
        </is>
      </c>
      <c r="AJ2037" t="inlineStr">
        <is>
          <t>Nej</t>
        </is>
      </c>
      <c r="AK2037" t="inlineStr"/>
      <c r="AL2037" t="inlineStr"/>
      <c r="AM2037" t="inlineStr"/>
      <c r="AN2037" t="inlineStr"/>
      <c r="AO2037" t="inlineStr">
        <is>
          <t>cmm4yunk400rkcuqw69tecqiq</t>
        </is>
      </c>
      <c r="AP2037" t="inlineStr">
        <is>
          <t>http://localhost:8787/api/admin/requirements/documents/cmm4yunk400rkcuqw69tecqiq/view</t>
        </is>
      </c>
      <c r="AQ2037">
        <f>HYPERLÄNK("http://localhost:8787/api/admin/requirements/documents/cmm4yunk400rkcuqw69tecqiq/view";"Öppna PDF")</f>
        <v/>
      </c>
      <c r="AR2037">
        <f>HYPERLINK("http://localhost:8787/api/admin/requirements/documents/cmm4yunk400rkcuqw69tecqiq/view","Open PDF")</f>
        <v/>
      </c>
      <c r="AS2037" t="inlineStr">
        <is>
          <t>cmm55w57p0004cuisfrtpqly8</t>
        </is>
      </c>
      <c r="AT2037" t="inlineStr">
        <is>
          <t>cmm4xvu980000cuh4vj0usz09</t>
        </is>
      </c>
      <c r="AU2037" t="inlineStr"/>
      <c r="AV2037" t="inlineStr">
        <is>
          <t>Kommun</t>
        </is>
      </c>
      <c r="AW2037" t="inlineStr"/>
      <c r="AX2037" t="inlineStr">
        <is>
          <t>2026-02</t>
        </is>
      </c>
      <c r="AY2037" t="inlineStr">
        <is>
          <t>Beslut</t>
        </is>
      </c>
      <c r="AZ2037" t="inlineStr">
        <is>
          <t>2026-02-03</t>
        </is>
      </c>
      <c r="BA2037" t="inlineStr">
        <is>
          <t>MIL20242200pdf_976497.pdf</t>
        </is>
      </c>
      <c r="BB2037" t="inlineStr">
        <is>
          <t>Begäran om allmän handling i ärende  MIL.2026.363</t>
        </is>
      </c>
      <c r="BC2037" t="inlineStr">
        <is>
          <t>AUTO</t>
        </is>
      </c>
      <c r="BD2037" t="inlineStr"/>
      <c r="BE2037" t="inlineStr"/>
      <c r="BF2037" t="inlineStr">
        <is>
          <t>AUTO_GENERERAD. Bekrafta metadata mot kallfil.</t>
        </is>
      </c>
      <c r="BG2037">
        <f>HYPERLINK("C:\Users\jimmy\Desktop\Examens arbete\Kod\Ny mapp\remix_-copy-of-miljöbeslut.se-portal\MIL20242200pdf_976497.pdf", "Öppna PDF")</f>
        <v/>
      </c>
    </row>
    <row r="2038">
      <c r="A2038" t="inlineStr">
        <is>
          <t>KRAV-AUTO-002037</t>
        </is>
      </c>
      <c r="B2038" t="inlineStr">
        <is>
          <t>ADMIN-INDEX-2026-02-27-00000000125C043F57453246863FE664CAFE6A3F0700950291EA24F0614FB6ACEDB12BF0E31D00000000010C0000950291EA24F0614FB6ACEDB12BF0E31D00002087B1890000</t>
        </is>
      </c>
      <c r="C2038" t="inlineStr">
        <is>
          <t>cmm4yunjy00recuqwigbk24et</t>
        </is>
      </c>
      <c r="D2038" t="inlineStr">
        <is>
          <t>http://localhost:8787/api/admin/requirements/documents/cmm4yunjy00recuqwigbk24et/view</t>
        </is>
      </c>
      <c r="E2038">
        <f>HYPERLÄNK("http://localhost:8787/api/admin/requirements/documents/cmm4yunjy00recuqwigbk24et/view";"Öppna PDF")</f>
        <v/>
      </c>
      <c r="F2038">
        <f>HYPERLINK("http://localhost:8787/api/admin/requirements/documents/cmm4yunjy00recuqwigbk24et/view","Open PDF")</f>
        <v/>
      </c>
      <c r="G2038" t="inlineStr">
        <is>
          <t>cmm55w57p0004cuisfrtpqly8</t>
        </is>
      </c>
      <c r="H2038" t="inlineStr">
        <is>
          <t>Beslutsvillkor</t>
        </is>
      </c>
      <c r="I2038" t="inlineStr">
        <is>
          <t>Riskhantering</t>
        </is>
      </c>
      <c r="J2038" t="inlineStr">
        <is>
          <t>Riskkontroll</t>
        </is>
      </c>
      <c r="K2038" t="inlineStr">
        <is>
          <t>Täckning ska med hänsyn till risk för luktolägenhet göras i snar anslutning till uppläggning.</t>
        </is>
      </c>
      <c r="L2038" t="inlineStr">
        <is>
          <t>Täckning ska med hänsyn till risk för luktolägenhet göras i snar anslutning till uppläggning.</t>
        </is>
      </c>
      <c r="M2038" t="inlineStr">
        <is>
          <t>SKA</t>
        </is>
      </c>
      <c r="N2038" t="inlineStr"/>
      <c r="O2038" t="inlineStr"/>
      <c r="P2038" t="inlineStr"/>
      <c r="Q2038" t="inlineStr"/>
      <c r="R2038" t="inlineStr">
        <is>
          <t>Vid risk for incident</t>
        </is>
      </c>
      <c r="S2038" t="inlineStr"/>
      <c r="T2038" t="inlineStr">
        <is>
          <t>917728</t>
        </is>
      </c>
      <c r="U2038" t="inlineStr"/>
      <c r="V2038" t="inlineStr"/>
      <c r="W2038" t="inlineStr">
        <is>
          <t>Nej</t>
        </is>
      </c>
      <c r="X2038" t="inlineStr">
        <is>
          <t>Nej</t>
        </is>
      </c>
      <c r="Y2038" t="inlineStr">
        <is>
          <t>Ja</t>
        </is>
      </c>
      <c r="Z2038" t="inlineStr">
        <is>
          <t>Ja</t>
        </is>
      </c>
      <c r="AA2038" t="n">
        <v>8</v>
      </c>
      <c r="AB2038" t="inlineStr">
        <is>
          <t>Riskhantering</t>
        </is>
      </c>
      <c r="AC2038" t="inlineStr">
        <is>
          <t>Risk-PM</t>
        </is>
      </c>
      <c r="AD2038" t="inlineStr">
        <is>
          <t>Nej</t>
        </is>
      </c>
      <c r="AE2038" t="inlineStr">
        <is>
          <t>Nej</t>
        </is>
      </c>
      <c r="AF2038" t="inlineStr">
        <is>
          <t>Ej behandlad</t>
        </is>
      </c>
      <c r="AG2038" t="inlineStr">
        <is>
          <t>AUTO_GENERERAD. Verifiera citat mot kallfil.</t>
        </is>
      </c>
      <c r="AH2038" t="inlineStr">
        <is>
          <t>MEDIUM</t>
        </is>
      </c>
      <c r="AI2038" t="inlineStr">
        <is>
          <t>AUTO</t>
        </is>
      </c>
      <c r="AJ2038" t="inlineStr">
        <is>
          <t>Nej</t>
        </is>
      </c>
      <c r="AK2038" t="inlineStr"/>
      <c r="AL2038" t="inlineStr"/>
      <c r="AM2038" t="inlineStr"/>
      <c r="AN2038" t="inlineStr"/>
      <c r="AO2038" t="inlineStr">
        <is>
          <t>cmm4yunk400rkcuqw69tecqiq</t>
        </is>
      </c>
      <c r="AP2038" t="inlineStr">
        <is>
          <t>http://localhost:8787/api/admin/requirements/documents/cmm4yunk400rkcuqw69tecqiq/view</t>
        </is>
      </c>
      <c r="AQ2038">
        <f>HYPERLÄNK("http://localhost:8787/api/admin/requirements/documents/cmm4yunk400rkcuqw69tecqiq/view";"Öppna PDF")</f>
        <v/>
      </c>
      <c r="AR2038">
        <f>HYPERLINK("http://localhost:8787/api/admin/requirements/documents/cmm4yunk400rkcuqw69tecqiq/view","Open PDF")</f>
        <v/>
      </c>
      <c r="AS2038" t="inlineStr">
        <is>
          <t>cmm55w57p0004cuisfrtpqly8</t>
        </is>
      </c>
      <c r="AT2038" t="inlineStr">
        <is>
          <t>cmm4xvu980000cuh4vj0usz09</t>
        </is>
      </c>
      <c r="AU2038" t="inlineStr"/>
      <c r="AV2038" t="inlineStr">
        <is>
          <t>Kommun</t>
        </is>
      </c>
      <c r="AW2038" t="inlineStr"/>
      <c r="AX2038" t="inlineStr">
        <is>
          <t>2026-02</t>
        </is>
      </c>
      <c r="AY2038" t="inlineStr">
        <is>
          <t>Beslut</t>
        </is>
      </c>
      <c r="AZ2038" t="inlineStr">
        <is>
          <t>2026-02-03</t>
        </is>
      </c>
      <c r="BA2038" t="inlineStr">
        <is>
          <t>MIL20242200pdf_976497.pdf</t>
        </is>
      </c>
      <c r="BB2038" t="inlineStr">
        <is>
          <t>Begäran om allmän handling i ärende  MIL.2026.363</t>
        </is>
      </c>
      <c r="BC2038" t="inlineStr">
        <is>
          <t>AUTO</t>
        </is>
      </c>
      <c r="BD2038" t="inlineStr"/>
      <c r="BE2038" t="inlineStr"/>
      <c r="BF2038" t="inlineStr">
        <is>
          <t>AUTO_GENERERAD. Bekrafta metadata mot kallfil.</t>
        </is>
      </c>
      <c r="BG2038">
        <f>HYPERLINK("C:\Users\jimmy\Desktop\Examens arbete\Kod\Ny mapp\remix_-copy-of-miljöbeslut.se-portal\MIL20242200pdf_976497.pdf", "Öppna PDF")</f>
        <v/>
      </c>
    </row>
    <row r="2039">
      <c r="A2039" t="inlineStr">
        <is>
          <t>KRAV-AUTO-002038</t>
        </is>
      </c>
      <c r="B2039" t="inlineStr">
        <is>
          <t>ADMIN-INDEX-2026-02-27-00000000125C043F57453246863FE664CAFE6A3F0700950291EA24F0614FB6ACEDB12BF0E31D00000000010C0000950291EA24F0614FB6ACEDB12BF0E31D00002087B1890000</t>
        </is>
      </c>
      <c r="C2039" t="inlineStr">
        <is>
          <t>cmm4yunjv00rbcuqwy3mhbyk8</t>
        </is>
      </c>
      <c r="D2039" t="inlineStr">
        <is>
          <t>http://localhost:8787/api/admin/requirements/documents/cmm4yunjv00rbcuqwy3mhbyk8/view</t>
        </is>
      </c>
      <c r="E2039">
        <f>HYPERLÄNK("http://localhost:8787/api/admin/requirements/documents/cmm4yunjv00rbcuqwy3mhbyk8/view";"Öppna PDF")</f>
        <v/>
      </c>
      <c r="F2039">
        <f>HYPERLINK("http://localhost:8787/api/admin/requirements/documents/cmm4yunjv00rbcuqwy3mhbyk8/view","Open PDF")</f>
        <v/>
      </c>
      <c r="G2039" t="inlineStr">
        <is>
          <t>cmm55w57p0004cuisfrtpqly8</t>
        </is>
      </c>
      <c r="H2039" t="inlineStr">
        <is>
          <t>Beslutsvillkor</t>
        </is>
      </c>
      <c r="I2039" t="inlineStr">
        <is>
          <t>DagvattenLakvatten</t>
        </is>
      </c>
      <c r="J2039" t="inlineStr">
        <is>
          <t>Uppsamling</t>
        </is>
      </c>
      <c r="K2039" t="inlineStr">
        <is>
          <t>Lagringen ska ske så att risken för uppkomst av lakvatten från rötslammet minimeras.</t>
        </is>
      </c>
      <c r="L2039" t="inlineStr">
        <is>
          <t>Lagringen ska ske så att risken för uppkomst av lakvatten från rötslammet minimeras.</t>
        </is>
      </c>
      <c r="M2039" t="inlineStr">
        <is>
          <t>SKA</t>
        </is>
      </c>
      <c r="N2039" t="inlineStr"/>
      <c r="O2039" t="inlineStr"/>
      <c r="P2039" t="inlineStr"/>
      <c r="Q2039" t="inlineStr"/>
      <c r="R2039" t="inlineStr">
        <is>
          <t>Vid nederbord och avrinning</t>
        </is>
      </c>
      <c r="S2039" t="inlineStr"/>
      <c r="T2039" t="inlineStr">
        <is>
          <t>917552</t>
        </is>
      </c>
      <c r="U2039" t="inlineStr"/>
      <c r="V2039" t="inlineStr"/>
      <c r="W2039" t="inlineStr">
        <is>
          <t>Nej</t>
        </is>
      </c>
      <c r="X2039" t="inlineStr">
        <is>
          <t>Ja</t>
        </is>
      </c>
      <c r="Y2039" t="inlineStr">
        <is>
          <t>Ja</t>
        </is>
      </c>
      <c r="Z2039" t="inlineStr">
        <is>
          <t>Nej</t>
        </is>
      </c>
      <c r="AA2039" t="n">
        <v>6</v>
      </c>
      <c r="AB2039" t="inlineStr">
        <is>
          <t>Lakvattenhantering</t>
        </is>
      </c>
      <c r="AC2039" t="inlineStr">
        <is>
          <t>Flodesschema dagvatten-lakvatten</t>
        </is>
      </c>
      <c r="AD2039" t="inlineStr">
        <is>
          <t>Nej</t>
        </is>
      </c>
      <c r="AE2039" t="inlineStr">
        <is>
          <t>Nej</t>
        </is>
      </c>
      <c r="AF2039" t="inlineStr">
        <is>
          <t>Ej behandlad</t>
        </is>
      </c>
      <c r="AG2039" t="inlineStr">
        <is>
          <t>AUTO_GENERERAD. Verifiera citat mot kallfil.</t>
        </is>
      </c>
      <c r="AH2039" t="inlineStr">
        <is>
          <t>MEDIUM</t>
        </is>
      </c>
      <c r="AI2039" t="inlineStr">
        <is>
          <t>AUTO</t>
        </is>
      </c>
      <c r="AJ2039" t="inlineStr">
        <is>
          <t>Nej</t>
        </is>
      </c>
      <c r="AK2039" t="inlineStr"/>
      <c r="AL2039" t="inlineStr"/>
      <c r="AM2039" t="inlineStr"/>
      <c r="AN2039" t="inlineStr"/>
      <c r="AO2039" t="inlineStr">
        <is>
          <t>cmm4yunk400rkcuqw69tecqiq</t>
        </is>
      </c>
      <c r="AP2039" t="inlineStr">
        <is>
          <t>http://localhost:8787/api/admin/requirements/documents/cmm4yunk400rkcuqw69tecqiq/view</t>
        </is>
      </c>
      <c r="AQ2039">
        <f>HYPERLÄNK("http://localhost:8787/api/admin/requirements/documents/cmm4yunk400rkcuqw69tecqiq/view";"Öppna PDF")</f>
        <v/>
      </c>
      <c r="AR2039">
        <f>HYPERLINK("http://localhost:8787/api/admin/requirements/documents/cmm4yunk400rkcuqw69tecqiq/view","Open PDF")</f>
        <v/>
      </c>
      <c r="AS2039" t="inlineStr">
        <is>
          <t>cmm55w57p0004cuisfrtpqly8</t>
        </is>
      </c>
      <c r="AT2039" t="inlineStr">
        <is>
          <t>cmm4xvu980000cuh4vj0usz09</t>
        </is>
      </c>
      <c r="AU2039" t="inlineStr"/>
      <c r="AV2039" t="inlineStr">
        <is>
          <t>Kommun</t>
        </is>
      </c>
      <c r="AW2039" t="inlineStr"/>
      <c r="AX2039" t="inlineStr">
        <is>
          <t>2026-02</t>
        </is>
      </c>
      <c r="AY2039" t="inlineStr">
        <is>
          <t>Beslut</t>
        </is>
      </c>
      <c r="AZ2039" t="inlineStr">
        <is>
          <t>2026-02-03</t>
        </is>
      </c>
      <c r="BA2039" t="inlineStr">
        <is>
          <t>MIL20242200pdf_976497.pdf</t>
        </is>
      </c>
      <c r="BB2039" t="inlineStr">
        <is>
          <t>Begäran om allmän handling i ärende  MIL.2026.363</t>
        </is>
      </c>
      <c r="BC2039" t="inlineStr">
        <is>
          <t>AUTO</t>
        </is>
      </c>
      <c r="BD2039" t="inlineStr"/>
      <c r="BE2039" t="inlineStr"/>
      <c r="BF2039" t="inlineStr">
        <is>
          <t>AUTO_GENERERAD. Bekrafta metadata mot kallfil.</t>
        </is>
      </c>
      <c r="BG2039">
        <f>HYPERLINK("C:\Users\jimmy\Desktop\Examens arbete\Kod\Ny mapp\remix_-copy-of-miljöbeslut.se-portal\MIL20242200pdf_976497.pdf", "Öppna PDF")</f>
        <v/>
      </c>
    </row>
    <row r="2040">
      <c r="A2040" t="inlineStr">
        <is>
          <t>KRAV-AUTO-002039</t>
        </is>
      </c>
      <c r="B2040" t="inlineStr">
        <is>
          <t>ADMIN-INDEX-2026-02-27-00000000125C043F57453246863FE664CAFE6A3F0700950291EA24F0614FB6ACEDB12BF0E31D00000000010C0000950291EA24F0614FB6ACEDB12BF0E31D00002087B1890000</t>
        </is>
      </c>
      <c r="C2040" t="inlineStr">
        <is>
          <t>cmm4yunjv00rbcuqwy3mhbyk8</t>
        </is>
      </c>
      <c r="D2040" t="inlineStr">
        <is>
          <t>http://localhost:8787/api/admin/requirements/documents/cmm4yunjv00rbcuqwy3mhbyk8/view</t>
        </is>
      </c>
      <c r="E2040">
        <f>HYPERLÄNK("http://localhost:8787/api/admin/requirements/documents/cmm4yunjv00rbcuqwy3mhbyk8/view";"Öppna PDF")</f>
        <v/>
      </c>
      <c r="F2040">
        <f>HYPERLINK("http://localhost:8787/api/admin/requirements/documents/cmm4yunjv00rbcuqwy3mhbyk8/view","Open PDF")</f>
        <v/>
      </c>
      <c r="G2040" t="inlineStr">
        <is>
          <t>cmm55w57p0004cuisfrtpqly8</t>
        </is>
      </c>
      <c r="H2040" t="inlineStr">
        <is>
          <t>Beslutsvillkor</t>
        </is>
      </c>
      <c r="I2040" t="inlineStr">
        <is>
          <t>LagringsvolymTid</t>
        </is>
      </c>
      <c r="J2040" t="inlineStr">
        <is>
          <t>Maxmangd</t>
        </is>
      </c>
      <c r="K2040" t="inlineStr">
        <is>
          <t>Uppskattad volym är cirka 330 ton, uppdelat på två stukor.</t>
        </is>
      </c>
      <c r="L2040" t="inlineStr">
        <is>
          <t>Uppskattad volym är cirka 330 ton, uppdelat på två stukor.</t>
        </is>
      </c>
      <c r="M2040" t="inlineStr">
        <is>
          <t>SKA</t>
        </is>
      </c>
      <c r="N2040" t="inlineStr"/>
      <c r="O2040" t="inlineStr"/>
      <c r="P2040" t="inlineStr"/>
      <c r="Q2040" t="inlineStr"/>
      <c r="R2040" t="inlineStr">
        <is>
          <t>Alltid</t>
        </is>
      </c>
      <c r="S2040" t="inlineStr"/>
      <c r="T2040" t="inlineStr">
        <is>
          <t>917552</t>
        </is>
      </c>
      <c r="U2040" t="n">
        <v>330</v>
      </c>
      <c r="V2040" t="inlineStr"/>
      <c r="W2040" t="inlineStr">
        <is>
          <t>Nej</t>
        </is>
      </c>
      <c r="X2040" t="inlineStr">
        <is>
          <t>Nej</t>
        </is>
      </c>
      <c r="Y2040" t="inlineStr">
        <is>
          <t>Nej</t>
        </is>
      </c>
      <c r="Z2040" t="inlineStr">
        <is>
          <t>Nej</t>
        </is>
      </c>
      <c r="AA2040" t="n">
        <v>4</v>
      </c>
      <c r="AB2040" t="inlineStr">
        <is>
          <t>Avfallsmangder och lagringstid</t>
        </is>
      </c>
      <c r="AC2040" t="inlineStr">
        <is>
          <t>Avfallsforteckning</t>
        </is>
      </c>
      <c r="AD2040" t="inlineStr">
        <is>
          <t>Nej</t>
        </is>
      </c>
      <c r="AE2040" t="inlineStr">
        <is>
          <t>Nej</t>
        </is>
      </c>
      <c r="AF2040" t="inlineStr">
        <is>
          <t>Ej behandlad</t>
        </is>
      </c>
      <c r="AG2040" t="inlineStr">
        <is>
          <t>AUTO_GENERERAD. Verifiera citat mot kallfil.</t>
        </is>
      </c>
      <c r="AH2040" t="inlineStr">
        <is>
          <t>MEDIUM</t>
        </is>
      </c>
      <c r="AI2040" t="inlineStr">
        <is>
          <t>AUTO</t>
        </is>
      </c>
      <c r="AJ2040" t="inlineStr">
        <is>
          <t>Nej</t>
        </is>
      </c>
      <c r="AK2040" t="inlineStr"/>
      <c r="AL2040" t="inlineStr"/>
      <c r="AM2040" t="inlineStr"/>
      <c r="AN2040" t="inlineStr"/>
      <c r="AO2040" t="inlineStr">
        <is>
          <t>cmm4yunk400rkcuqw69tecqiq</t>
        </is>
      </c>
      <c r="AP2040" t="inlineStr">
        <is>
          <t>http://localhost:8787/api/admin/requirements/documents/cmm4yunk400rkcuqw69tecqiq/view</t>
        </is>
      </c>
      <c r="AQ2040">
        <f>HYPERLÄNK("http://localhost:8787/api/admin/requirements/documents/cmm4yunk400rkcuqw69tecqiq/view";"Öppna PDF")</f>
        <v/>
      </c>
      <c r="AR2040">
        <f>HYPERLINK("http://localhost:8787/api/admin/requirements/documents/cmm4yunk400rkcuqw69tecqiq/view","Open PDF")</f>
        <v/>
      </c>
      <c r="AS2040" t="inlineStr">
        <is>
          <t>cmm55w57p0004cuisfrtpqly8</t>
        </is>
      </c>
      <c r="AT2040" t="inlineStr">
        <is>
          <t>cmm4xvu980000cuh4vj0usz09</t>
        </is>
      </c>
      <c r="AU2040" t="inlineStr"/>
      <c r="AV2040" t="inlineStr">
        <is>
          <t>Kommun</t>
        </is>
      </c>
      <c r="AW2040" t="inlineStr"/>
      <c r="AX2040" t="inlineStr">
        <is>
          <t>2026-02</t>
        </is>
      </c>
      <c r="AY2040" t="inlineStr">
        <is>
          <t>Beslut</t>
        </is>
      </c>
      <c r="AZ2040" t="inlineStr">
        <is>
          <t>2026-02-03</t>
        </is>
      </c>
      <c r="BA2040" t="inlineStr">
        <is>
          <t>MIL20242200pdf_976497.pdf</t>
        </is>
      </c>
      <c r="BB2040" t="inlineStr">
        <is>
          <t>Begäran om allmän handling i ärende  MIL.2026.363</t>
        </is>
      </c>
      <c r="BC2040" t="inlineStr">
        <is>
          <t>AUTO</t>
        </is>
      </c>
      <c r="BD2040" t="inlineStr"/>
      <c r="BE2040" t="inlineStr"/>
      <c r="BF2040" t="inlineStr">
        <is>
          <t>AUTO_GENERERAD. Bekrafta metadata mot kallfil.</t>
        </is>
      </c>
      <c r="BG2040">
        <f>HYPERLINK("C:\Users\jimmy\Desktop\Examens arbete\Kod\Ny mapp\remix_-copy-of-miljöbeslut.se-portal\MIL20242200pdf_976497.pdf", "Öppna PDF")</f>
        <v/>
      </c>
    </row>
    <row r="2041">
      <c r="A2041" t="inlineStr">
        <is>
          <t>KRAV-AUTO-002040</t>
        </is>
      </c>
      <c r="B2041" t="inlineStr">
        <is>
          <t>ADMIN-INDEX-2026-02-27-00000000125C043F57453246863FE664CAFE6A3F0700950291EA24F0614FB6ACEDB12BF0E31D00000000010C0000950291EA24F0614FB6ACEDB12BF0E31D00002087B1890000</t>
        </is>
      </c>
      <c r="C2041" t="inlineStr">
        <is>
          <t>cmm4yunjv00rbcuqwy3mhbyk8</t>
        </is>
      </c>
      <c r="D2041" t="inlineStr">
        <is>
          <t>http://localhost:8787/api/admin/requirements/documents/cmm4yunjv00rbcuqwy3mhbyk8/view</t>
        </is>
      </c>
      <c r="E2041">
        <f>HYPERLÄNK("http://localhost:8787/api/admin/requirements/documents/cmm4yunjv00rbcuqwy3mhbyk8/view";"Öppna PDF")</f>
        <v/>
      </c>
      <c r="F2041">
        <f>HYPERLINK("http://localhost:8787/api/admin/requirements/documents/cmm4yunjv00rbcuqwy3mhbyk8/view","Open PDF")</f>
        <v/>
      </c>
      <c r="G2041" t="inlineStr">
        <is>
          <t>cmm55w57p0004cuisfrtpqly8</t>
        </is>
      </c>
      <c r="H2041" t="inlineStr">
        <is>
          <t>Beslutsvillkor</t>
        </is>
      </c>
      <c r="I2041" t="inlineStr">
        <is>
          <t>Riskhantering</t>
        </is>
      </c>
      <c r="J2041" t="inlineStr">
        <is>
          <t>Riskkontroll</t>
        </is>
      </c>
      <c r="K2041" t="inlineStr">
        <is>
          <t>Täckning ska med hänsyn till risk för luktolägenhet göras i snar anslutning till uppläggning.</t>
        </is>
      </c>
      <c r="L2041" t="inlineStr">
        <is>
          <t>Täckning ska med hänsyn till risk för luktolägenhet göras i snar anslutning till uppläggning.</t>
        </is>
      </c>
      <c r="M2041" t="inlineStr">
        <is>
          <t>SKA</t>
        </is>
      </c>
      <c r="N2041" t="inlineStr"/>
      <c r="O2041" t="inlineStr"/>
      <c r="P2041" t="inlineStr"/>
      <c r="Q2041" t="inlineStr"/>
      <c r="R2041" t="inlineStr">
        <is>
          <t>Vid risk for incident</t>
        </is>
      </c>
      <c r="S2041" t="inlineStr"/>
      <c r="T2041" t="inlineStr">
        <is>
          <t>917552</t>
        </is>
      </c>
      <c r="U2041" t="inlineStr"/>
      <c r="V2041" t="inlineStr"/>
      <c r="W2041" t="inlineStr">
        <is>
          <t>Nej</t>
        </is>
      </c>
      <c r="X2041" t="inlineStr">
        <is>
          <t>Nej</t>
        </is>
      </c>
      <c r="Y2041" t="inlineStr">
        <is>
          <t>Ja</t>
        </is>
      </c>
      <c r="Z2041" t="inlineStr">
        <is>
          <t>Ja</t>
        </is>
      </c>
      <c r="AA2041" t="n">
        <v>8</v>
      </c>
      <c r="AB2041" t="inlineStr">
        <is>
          <t>Riskhantering</t>
        </is>
      </c>
      <c r="AC2041" t="inlineStr">
        <is>
          <t>Risk-PM</t>
        </is>
      </c>
      <c r="AD2041" t="inlineStr">
        <is>
          <t>Nej</t>
        </is>
      </c>
      <c r="AE2041" t="inlineStr">
        <is>
          <t>Nej</t>
        </is>
      </c>
      <c r="AF2041" t="inlineStr">
        <is>
          <t>Ej behandlad</t>
        </is>
      </c>
      <c r="AG2041" t="inlineStr">
        <is>
          <t>AUTO_GENERERAD. Verifiera citat mot kallfil.</t>
        </is>
      </c>
      <c r="AH2041" t="inlineStr">
        <is>
          <t>MEDIUM</t>
        </is>
      </c>
      <c r="AI2041" t="inlineStr">
        <is>
          <t>AUTO</t>
        </is>
      </c>
      <c r="AJ2041" t="inlineStr">
        <is>
          <t>Nej</t>
        </is>
      </c>
      <c r="AK2041" t="inlineStr"/>
      <c r="AL2041" t="inlineStr"/>
      <c r="AM2041" t="inlineStr"/>
      <c r="AN2041" t="inlineStr"/>
      <c r="AO2041" t="inlineStr">
        <is>
          <t>cmm4yunk400rkcuqw69tecqiq</t>
        </is>
      </c>
      <c r="AP2041" t="inlineStr">
        <is>
          <t>http://localhost:8787/api/admin/requirements/documents/cmm4yunk400rkcuqw69tecqiq/view</t>
        </is>
      </c>
      <c r="AQ2041">
        <f>HYPERLÄNK("http://localhost:8787/api/admin/requirements/documents/cmm4yunk400rkcuqw69tecqiq/view";"Öppna PDF")</f>
        <v/>
      </c>
      <c r="AR2041">
        <f>HYPERLINK("http://localhost:8787/api/admin/requirements/documents/cmm4yunk400rkcuqw69tecqiq/view","Open PDF")</f>
        <v/>
      </c>
      <c r="AS2041" t="inlineStr">
        <is>
          <t>cmm55w57p0004cuisfrtpqly8</t>
        </is>
      </c>
      <c r="AT2041" t="inlineStr">
        <is>
          <t>cmm4xvu980000cuh4vj0usz09</t>
        </is>
      </c>
      <c r="AU2041" t="inlineStr"/>
      <c r="AV2041" t="inlineStr">
        <is>
          <t>Kommun</t>
        </is>
      </c>
      <c r="AW2041" t="inlineStr"/>
      <c r="AX2041" t="inlineStr">
        <is>
          <t>2026-02</t>
        </is>
      </c>
      <c r="AY2041" t="inlineStr">
        <is>
          <t>Beslut</t>
        </is>
      </c>
      <c r="AZ2041" t="inlineStr">
        <is>
          <t>2026-02-03</t>
        </is>
      </c>
      <c r="BA2041" t="inlineStr">
        <is>
          <t>MIL20242200pdf_976497.pdf</t>
        </is>
      </c>
      <c r="BB2041" t="inlineStr">
        <is>
          <t>Begäran om allmän handling i ärende  MIL.2026.363</t>
        </is>
      </c>
      <c r="BC2041" t="inlineStr">
        <is>
          <t>AUTO</t>
        </is>
      </c>
      <c r="BD2041" t="inlineStr"/>
      <c r="BE2041" t="inlineStr"/>
      <c r="BF2041" t="inlineStr">
        <is>
          <t>AUTO_GENERERAD. Bekrafta metadata mot kallfil.</t>
        </is>
      </c>
      <c r="BG2041">
        <f>HYPERLINK("C:\Users\jimmy\Desktop\Examens arbete\Kod\Ny mapp\remix_-copy-of-miljöbeslut.se-portal\MIL20242200pdf_976497.pdf", "Öppna PDF")</f>
        <v/>
      </c>
    </row>
    <row r="2042">
      <c r="A2042" t="inlineStr">
        <is>
          <t>KRAV-AUTO-002041</t>
        </is>
      </c>
      <c r="B2042" t="inlineStr">
        <is>
          <t>ADMIN-INDEX-2026-02-27-00000000125C043F57453246863FE664CAFE6A3F0700950291EA24F0614FB6ACEDB12BF0E31D00000000010C0000950291EA24F0614FB6ACEDB12BF0E31D00002087B1890000</t>
        </is>
      </c>
      <c r="C2042" t="inlineStr">
        <is>
          <t>cmm4yunjt00r8cuqwb380emmk</t>
        </is>
      </c>
      <c r="D2042" t="inlineStr">
        <is>
          <t>http://localhost:8787/api/admin/requirements/documents/cmm4yunjt00r8cuqwb380emmk/view</t>
        </is>
      </c>
      <c r="E2042">
        <f>HYPERLÄNK("http://localhost:8787/api/admin/requirements/documents/cmm4yunjt00r8cuqwb380emmk/view";"Öppna PDF")</f>
        <v/>
      </c>
      <c r="F2042">
        <f>HYPERLINK("http://localhost:8787/api/admin/requirements/documents/cmm4yunjt00r8cuqwb380emmk/view","Open PDF")</f>
        <v/>
      </c>
      <c r="G2042" t="inlineStr">
        <is>
          <t>cmm55w57p0004cuisfrtpqly8</t>
        </is>
      </c>
      <c r="H2042" t="inlineStr">
        <is>
          <t>Beslutsvillkor</t>
        </is>
      </c>
      <c r="I2042" t="inlineStr">
        <is>
          <t>DagvattenLakvatten</t>
        </is>
      </c>
      <c r="J2042" t="inlineStr">
        <is>
          <t>Uppsamling</t>
        </is>
      </c>
      <c r="K2042" t="inlineStr">
        <is>
          <t>Lagringen ska ske så att risken för uppkomst av lakvatten från rötslammet minimeras.</t>
        </is>
      </c>
      <c r="L2042" t="inlineStr">
        <is>
          <t>Lagringen ska ske så att risken för uppkomst av lakvatten från rötslammet minimeras.</t>
        </is>
      </c>
      <c r="M2042" t="inlineStr">
        <is>
          <t>SKA</t>
        </is>
      </c>
      <c r="N2042" t="inlineStr"/>
      <c r="O2042" t="inlineStr"/>
      <c r="P2042" t="inlineStr"/>
      <c r="Q2042" t="inlineStr"/>
      <c r="R2042" t="inlineStr">
        <is>
          <t>Vid nederbord och avrinning</t>
        </is>
      </c>
      <c r="S2042" t="inlineStr"/>
      <c r="T2042" t="inlineStr">
        <is>
          <t>919776</t>
        </is>
      </c>
      <c r="U2042" t="inlineStr"/>
      <c r="V2042" t="inlineStr"/>
      <c r="W2042" t="inlineStr">
        <is>
          <t>Nej</t>
        </is>
      </c>
      <c r="X2042" t="inlineStr">
        <is>
          <t>Ja</t>
        </is>
      </c>
      <c r="Y2042" t="inlineStr">
        <is>
          <t>Ja</t>
        </is>
      </c>
      <c r="Z2042" t="inlineStr">
        <is>
          <t>Nej</t>
        </is>
      </c>
      <c r="AA2042" t="n">
        <v>6</v>
      </c>
      <c r="AB2042" t="inlineStr">
        <is>
          <t>Lakvattenhantering</t>
        </is>
      </c>
      <c r="AC2042" t="inlineStr">
        <is>
          <t>Flodesschema dagvatten-lakvatten</t>
        </is>
      </c>
      <c r="AD2042" t="inlineStr">
        <is>
          <t>Nej</t>
        </is>
      </c>
      <c r="AE2042" t="inlineStr">
        <is>
          <t>Nej</t>
        </is>
      </c>
      <c r="AF2042" t="inlineStr">
        <is>
          <t>Ej behandlad</t>
        </is>
      </c>
      <c r="AG2042" t="inlineStr">
        <is>
          <t>AUTO_GENERERAD. Verifiera citat mot kallfil.</t>
        </is>
      </c>
      <c r="AH2042" t="inlineStr">
        <is>
          <t>MEDIUM</t>
        </is>
      </c>
      <c r="AI2042" t="inlineStr">
        <is>
          <t>AUTO</t>
        </is>
      </c>
      <c r="AJ2042" t="inlineStr">
        <is>
          <t>Nej</t>
        </is>
      </c>
      <c r="AK2042" t="inlineStr"/>
      <c r="AL2042" t="inlineStr"/>
      <c r="AM2042" t="inlineStr"/>
      <c r="AN2042" t="inlineStr"/>
      <c r="AO2042" t="inlineStr">
        <is>
          <t>cmm4yunk400rkcuqw69tecqiq</t>
        </is>
      </c>
      <c r="AP2042" t="inlineStr">
        <is>
          <t>http://localhost:8787/api/admin/requirements/documents/cmm4yunk400rkcuqw69tecqiq/view</t>
        </is>
      </c>
      <c r="AQ2042">
        <f>HYPERLÄNK("http://localhost:8787/api/admin/requirements/documents/cmm4yunk400rkcuqw69tecqiq/view";"Öppna PDF")</f>
        <v/>
      </c>
      <c r="AR2042">
        <f>HYPERLINK("http://localhost:8787/api/admin/requirements/documents/cmm4yunk400rkcuqw69tecqiq/view","Open PDF")</f>
        <v/>
      </c>
      <c r="AS2042" t="inlineStr">
        <is>
          <t>cmm55w57p0004cuisfrtpqly8</t>
        </is>
      </c>
      <c r="AT2042" t="inlineStr">
        <is>
          <t>cmm4xvu980000cuh4vj0usz09</t>
        </is>
      </c>
      <c r="AU2042" t="inlineStr"/>
      <c r="AV2042" t="inlineStr">
        <is>
          <t>Kommun</t>
        </is>
      </c>
      <c r="AW2042" t="inlineStr"/>
      <c r="AX2042" t="inlineStr">
        <is>
          <t>2026-02</t>
        </is>
      </c>
      <c r="AY2042" t="inlineStr">
        <is>
          <t>Beslut</t>
        </is>
      </c>
      <c r="AZ2042" t="inlineStr">
        <is>
          <t>2026-02-03</t>
        </is>
      </c>
      <c r="BA2042" t="inlineStr">
        <is>
          <t>MIL20242200pdf_976497.pdf</t>
        </is>
      </c>
      <c r="BB2042" t="inlineStr">
        <is>
          <t>Begäran om allmän handling i ärende  MIL.2026.363</t>
        </is>
      </c>
      <c r="BC2042" t="inlineStr">
        <is>
          <t>AUTO</t>
        </is>
      </c>
      <c r="BD2042" t="inlineStr"/>
      <c r="BE2042" t="inlineStr"/>
      <c r="BF2042" t="inlineStr">
        <is>
          <t>AUTO_GENERERAD. Bekrafta metadata mot kallfil.</t>
        </is>
      </c>
      <c r="BG2042">
        <f>HYPERLINK("C:\Users\jimmy\Desktop\Examens arbete\Kod\Ny mapp\remix_-copy-of-miljöbeslut.se-portal\MIL20242200pdf_976497.pdf", "Öppna PDF")</f>
        <v/>
      </c>
    </row>
    <row r="2043">
      <c r="A2043" t="inlineStr">
        <is>
          <t>KRAV-AUTO-002042</t>
        </is>
      </c>
      <c r="B2043" t="inlineStr">
        <is>
          <t>ADMIN-INDEX-2026-02-27-00000000125C043F57453246863FE664CAFE6A3F0700950291EA24F0614FB6ACEDB12BF0E31D00000000010C0000950291EA24F0614FB6ACEDB12BF0E31D00002087B1890000</t>
        </is>
      </c>
      <c r="C2043" t="inlineStr">
        <is>
          <t>cmm4yunjt00r8cuqwb380emmk</t>
        </is>
      </c>
      <c r="D2043" t="inlineStr">
        <is>
          <t>http://localhost:8787/api/admin/requirements/documents/cmm4yunjt00r8cuqwb380emmk/view</t>
        </is>
      </c>
      <c r="E2043">
        <f>HYPERLÄNK("http://localhost:8787/api/admin/requirements/documents/cmm4yunjt00r8cuqwb380emmk/view";"Öppna PDF")</f>
        <v/>
      </c>
      <c r="F2043">
        <f>HYPERLINK("http://localhost:8787/api/admin/requirements/documents/cmm4yunjt00r8cuqwb380emmk/view","Open PDF")</f>
        <v/>
      </c>
      <c r="G2043" t="inlineStr">
        <is>
          <t>cmm55w57p0004cuisfrtpqly8</t>
        </is>
      </c>
      <c r="H2043" t="inlineStr">
        <is>
          <t>Beslutsvillkor</t>
        </is>
      </c>
      <c r="I2043" t="inlineStr">
        <is>
          <t>Riskhantering</t>
        </is>
      </c>
      <c r="J2043" t="inlineStr">
        <is>
          <t>Riskkontroll</t>
        </is>
      </c>
      <c r="K2043" t="inlineStr">
        <is>
          <t>Täckning ska med hänsyn till risk för luktolägenhet göras i snar anslutning till uppläggning.</t>
        </is>
      </c>
      <c r="L2043" t="inlineStr">
        <is>
          <t>Täckning ska med hänsyn till risk för luktolägenhet göras i snar anslutning till uppläggning.</t>
        </is>
      </c>
      <c r="M2043" t="inlineStr">
        <is>
          <t>SKA</t>
        </is>
      </c>
      <c r="N2043" t="inlineStr"/>
      <c r="O2043" t="inlineStr"/>
      <c r="P2043" t="inlineStr"/>
      <c r="Q2043" t="inlineStr"/>
      <c r="R2043" t="inlineStr">
        <is>
          <t>Vid risk for incident</t>
        </is>
      </c>
      <c r="S2043" t="inlineStr"/>
      <c r="T2043" t="inlineStr">
        <is>
          <t>919776</t>
        </is>
      </c>
      <c r="U2043" t="inlineStr"/>
      <c r="V2043" t="inlineStr"/>
      <c r="W2043" t="inlineStr">
        <is>
          <t>Nej</t>
        </is>
      </c>
      <c r="X2043" t="inlineStr">
        <is>
          <t>Nej</t>
        </is>
      </c>
      <c r="Y2043" t="inlineStr">
        <is>
          <t>Ja</t>
        </is>
      </c>
      <c r="Z2043" t="inlineStr">
        <is>
          <t>Ja</t>
        </is>
      </c>
      <c r="AA2043" t="n">
        <v>8</v>
      </c>
      <c r="AB2043" t="inlineStr">
        <is>
          <t>Riskhantering</t>
        </is>
      </c>
      <c r="AC2043" t="inlineStr">
        <is>
          <t>Risk-PM</t>
        </is>
      </c>
      <c r="AD2043" t="inlineStr">
        <is>
          <t>Nej</t>
        </is>
      </c>
      <c r="AE2043" t="inlineStr">
        <is>
          <t>Nej</t>
        </is>
      </c>
      <c r="AF2043" t="inlineStr">
        <is>
          <t>Ej behandlad</t>
        </is>
      </c>
      <c r="AG2043" t="inlineStr">
        <is>
          <t>AUTO_GENERERAD. Verifiera citat mot kallfil.</t>
        </is>
      </c>
      <c r="AH2043" t="inlineStr">
        <is>
          <t>MEDIUM</t>
        </is>
      </c>
      <c r="AI2043" t="inlineStr">
        <is>
          <t>AUTO</t>
        </is>
      </c>
      <c r="AJ2043" t="inlineStr">
        <is>
          <t>Nej</t>
        </is>
      </c>
      <c r="AK2043" t="inlineStr"/>
      <c r="AL2043" t="inlineStr"/>
      <c r="AM2043" t="inlineStr"/>
      <c r="AN2043" t="inlineStr"/>
      <c r="AO2043" t="inlineStr">
        <is>
          <t>cmm4yunk400rkcuqw69tecqiq</t>
        </is>
      </c>
      <c r="AP2043" t="inlineStr">
        <is>
          <t>http://localhost:8787/api/admin/requirements/documents/cmm4yunk400rkcuqw69tecqiq/view</t>
        </is>
      </c>
      <c r="AQ2043">
        <f>HYPERLÄNK("http://localhost:8787/api/admin/requirements/documents/cmm4yunk400rkcuqw69tecqiq/view";"Öppna PDF")</f>
        <v/>
      </c>
      <c r="AR2043">
        <f>HYPERLINK("http://localhost:8787/api/admin/requirements/documents/cmm4yunk400rkcuqw69tecqiq/view","Open PDF")</f>
        <v/>
      </c>
      <c r="AS2043" t="inlineStr">
        <is>
          <t>cmm55w57p0004cuisfrtpqly8</t>
        </is>
      </c>
      <c r="AT2043" t="inlineStr">
        <is>
          <t>cmm4xvu980000cuh4vj0usz09</t>
        </is>
      </c>
      <c r="AU2043" t="inlineStr"/>
      <c r="AV2043" t="inlineStr">
        <is>
          <t>Kommun</t>
        </is>
      </c>
      <c r="AW2043" t="inlineStr"/>
      <c r="AX2043" t="inlineStr">
        <is>
          <t>2026-02</t>
        </is>
      </c>
      <c r="AY2043" t="inlineStr">
        <is>
          <t>Beslut</t>
        </is>
      </c>
      <c r="AZ2043" t="inlineStr">
        <is>
          <t>2026-02-03</t>
        </is>
      </c>
      <c r="BA2043" t="inlineStr">
        <is>
          <t>MIL20242200pdf_976497.pdf</t>
        </is>
      </c>
      <c r="BB2043" t="inlineStr">
        <is>
          <t>Begäran om allmän handling i ärende  MIL.2026.363</t>
        </is>
      </c>
      <c r="BC2043" t="inlineStr">
        <is>
          <t>AUTO</t>
        </is>
      </c>
      <c r="BD2043" t="inlineStr"/>
      <c r="BE2043" t="inlineStr"/>
      <c r="BF2043" t="inlineStr">
        <is>
          <t>AUTO_GENERERAD. Bekrafta metadata mot kallfil.</t>
        </is>
      </c>
      <c r="BG2043">
        <f>HYPERLINK("C:\Users\jimmy\Desktop\Examens arbete\Kod\Ny mapp\remix_-copy-of-miljöbeslut.se-portal\MIL20242200pdf_976497.pdf", "Öppna PDF")</f>
        <v/>
      </c>
    </row>
    <row r="2044">
      <c r="A2044" t="inlineStr">
        <is>
          <t>KRAV-AUTO-002043</t>
        </is>
      </c>
      <c r="B2044" t="inlineStr">
        <is>
          <t>ADMIN-INDEX-2026-02-27-00000000125C043F57453246863FE664CAFE6A3F0700950291EA24F0614FB6ACEDB12BF0E31D00000000010C0000950291EA24F0614FB6ACEDB12BF0E31D00002087B18A0000</t>
        </is>
      </c>
      <c r="C2044" t="inlineStr">
        <is>
          <t>cmm4yunjq00r5cuqwww7lwlot</t>
        </is>
      </c>
      <c r="D2044" t="inlineStr">
        <is>
          <t>http://localhost:8787/api/admin/requirements/documents/cmm4yunjq00r5cuqwww7lwlot/view</t>
        </is>
      </c>
      <c r="E2044">
        <f>HYPERLÄNK("http://localhost:8787/api/admin/requirements/documents/cmm4yunjq00r5cuqwww7lwlot/view";"Öppna PDF")</f>
        <v/>
      </c>
      <c r="F2044">
        <f>HYPERLINK("http://localhost:8787/api/admin/requirements/documents/cmm4yunjq00r5cuqwww7lwlot/view","Open PDF")</f>
        <v/>
      </c>
      <c r="G2044" t="inlineStr">
        <is>
          <t>cmm55w57p0004cuisfrtpqly8</t>
        </is>
      </c>
      <c r="H2044" t="inlineStr">
        <is>
          <t>Beslutsvillkor</t>
        </is>
      </c>
      <c r="I2044" t="inlineStr">
        <is>
          <t>DagvattenLakvatten</t>
        </is>
      </c>
      <c r="J2044" t="inlineStr">
        <is>
          <t>Uppsamling</t>
        </is>
      </c>
      <c r="K2044" t="inlineStr">
        <is>
          <t>Lagringen ska ske så att risken för uppkomst av lakvatten från rötslammet minimeras.</t>
        </is>
      </c>
      <c r="L2044" t="inlineStr">
        <is>
          <t>Lagringen ska ske så att risken för uppkomst av lakvatten från rötslammet minimeras.</t>
        </is>
      </c>
      <c r="M2044" t="inlineStr">
        <is>
          <t>SKA</t>
        </is>
      </c>
      <c r="N2044" t="inlineStr"/>
      <c r="O2044" t="inlineStr"/>
      <c r="P2044" t="inlineStr"/>
      <c r="Q2044" t="inlineStr"/>
      <c r="R2044" t="inlineStr">
        <is>
          <t>Vid nederbord och avrinning</t>
        </is>
      </c>
      <c r="S2044" t="inlineStr"/>
      <c r="T2044" t="inlineStr">
        <is>
          <t>911812</t>
        </is>
      </c>
      <c r="U2044" t="inlineStr"/>
      <c r="V2044" t="inlineStr"/>
      <c r="W2044" t="inlineStr">
        <is>
          <t>Nej</t>
        </is>
      </c>
      <c r="X2044" t="inlineStr">
        <is>
          <t>Ja</t>
        </is>
      </c>
      <c r="Y2044" t="inlineStr">
        <is>
          <t>Ja</t>
        </is>
      </c>
      <c r="Z2044" t="inlineStr">
        <is>
          <t>Nej</t>
        </is>
      </c>
      <c r="AA2044" t="n">
        <v>6</v>
      </c>
      <c r="AB2044" t="inlineStr">
        <is>
          <t>Lakvattenhantering</t>
        </is>
      </c>
      <c r="AC2044" t="inlineStr">
        <is>
          <t>Flodesschema dagvatten-lakvatten</t>
        </is>
      </c>
      <c r="AD2044" t="inlineStr">
        <is>
          <t>Nej</t>
        </is>
      </c>
      <c r="AE2044" t="inlineStr">
        <is>
          <t>Nej</t>
        </is>
      </c>
      <c r="AF2044" t="inlineStr">
        <is>
          <t>Ej behandlad</t>
        </is>
      </c>
      <c r="AG2044" t="inlineStr">
        <is>
          <t>AUTO_GENERERAD. Verifiera citat mot kallfil.</t>
        </is>
      </c>
      <c r="AH2044" t="inlineStr">
        <is>
          <t>MEDIUM</t>
        </is>
      </c>
      <c r="AI2044" t="inlineStr">
        <is>
          <t>AUTO</t>
        </is>
      </c>
      <c r="AJ2044" t="inlineStr">
        <is>
          <t>Nej</t>
        </is>
      </c>
      <c r="AK2044" t="inlineStr"/>
      <c r="AL2044" t="inlineStr"/>
      <c r="AM2044" t="inlineStr"/>
      <c r="AN2044" t="inlineStr"/>
      <c r="AO2044" t="inlineStr">
        <is>
          <t>cmm4yunjq00r5cuqwww7lwlot</t>
        </is>
      </c>
      <c r="AP2044" t="inlineStr">
        <is>
          <t>http://localhost:8787/api/admin/requirements/documents/cmm4yunjq00r5cuqwww7lwlot/view</t>
        </is>
      </c>
      <c r="AQ2044">
        <f>HYPERLÄNK("http://localhost:8787/api/admin/requirements/documents/cmm4yunjq00r5cuqwww7lwlot/view";"Öppna PDF")</f>
        <v/>
      </c>
      <c r="AR2044">
        <f>HYPERLINK("http://localhost:8787/api/admin/requirements/documents/cmm4yunjq00r5cuqwww7lwlot/view","Open PDF")</f>
        <v/>
      </c>
      <c r="AS2044" t="inlineStr">
        <is>
          <t>cmm55w57p0004cuisfrtpqly8</t>
        </is>
      </c>
      <c r="AT2044" t="inlineStr">
        <is>
          <t>cmm4xvu980000cuh4vj0usz09</t>
        </is>
      </c>
      <c r="AU2044" t="inlineStr"/>
      <c r="AV2044" t="inlineStr">
        <is>
          <t>Kommun</t>
        </is>
      </c>
      <c r="AW2044" t="inlineStr"/>
      <c r="AX2044" t="inlineStr">
        <is>
          <t>2026-02</t>
        </is>
      </c>
      <c r="AY2044" t="inlineStr">
        <is>
          <t>Beslut</t>
        </is>
      </c>
      <c r="AZ2044" t="inlineStr">
        <is>
          <t>2026-02-03</t>
        </is>
      </c>
      <c r="BA2044" t="inlineStr">
        <is>
          <t>MIL20241945pdf_976490.pdf</t>
        </is>
      </c>
      <c r="BB2044" t="inlineStr">
        <is>
          <t>Begäran om allmän handling i ärende  MIL.2026.363</t>
        </is>
      </c>
      <c r="BC2044" t="inlineStr">
        <is>
          <t>AUTO</t>
        </is>
      </c>
      <c r="BD2044" t="inlineStr"/>
      <c r="BE2044" t="inlineStr"/>
      <c r="BF2044" t="inlineStr">
        <is>
          <t>AUTO_GENERERAD. Bekrafta metadata mot kallfil.</t>
        </is>
      </c>
      <c r="BG2044">
        <f>HYPERLINK("C:\Users\jimmy\Desktop\Examens arbete\Kod\Ny mapp\remix_-copy-of-miljöbeslut.se-portal\MIL20241945pdf_976490.pdf", "Öppna PDF")</f>
        <v/>
      </c>
    </row>
    <row r="2045">
      <c r="A2045" t="inlineStr">
        <is>
          <t>KRAV-AUTO-002044</t>
        </is>
      </c>
      <c r="B2045" t="inlineStr">
        <is>
          <t>ADMIN-INDEX-2026-02-27-00000000125C043F57453246863FE664CAFE6A3F0700950291EA24F0614FB6ACEDB12BF0E31D00000000010C0000950291EA24F0614FB6ACEDB12BF0E31D00002087B18A0000</t>
        </is>
      </c>
      <c r="C2045" t="inlineStr">
        <is>
          <t>cmm4yunjq00r5cuqwww7lwlot</t>
        </is>
      </c>
      <c r="D2045" t="inlineStr">
        <is>
          <t>http://localhost:8787/api/admin/requirements/documents/cmm4yunjq00r5cuqwww7lwlot/view</t>
        </is>
      </c>
      <c r="E2045">
        <f>HYPERLÄNK("http://localhost:8787/api/admin/requirements/documents/cmm4yunjq00r5cuqwww7lwlot/view";"Öppna PDF")</f>
        <v/>
      </c>
      <c r="F2045">
        <f>HYPERLINK("http://localhost:8787/api/admin/requirements/documents/cmm4yunjq00r5cuqwww7lwlot/view","Open PDF")</f>
        <v/>
      </c>
      <c r="G2045" t="inlineStr">
        <is>
          <t>cmm55w57p0004cuisfrtpqly8</t>
        </is>
      </c>
      <c r="H2045" t="inlineStr">
        <is>
          <t>Beslutsvillkor</t>
        </is>
      </c>
      <c r="I2045" t="inlineStr">
        <is>
          <t>LagringsvolymTid</t>
        </is>
      </c>
      <c r="J2045" t="inlineStr">
        <is>
          <t>Maxmangd</t>
        </is>
      </c>
      <c r="K2045" t="inlineStr">
        <is>
          <t>Uppskattad volym är cirka 1100 ton.</t>
        </is>
      </c>
      <c r="L2045" t="inlineStr">
        <is>
          <t>Uppskattad volym är cirka 1100 ton.</t>
        </is>
      </c>
      <c r="M2045" t="inlineStr">
        <is>
          <t>SKA</t>
        </is>
      </c>
      <c r="N2045" t="inlineStr"/>
      <c r="O2045" t="inlineStr"/>
      <c r="P2045" t="inlineStr"/>
      <c r="Q2045" t="inlineStr"/>
      <c r="R2045" t="inlineStr">
        <is>
          <t>Alltid</t>
        </is>
      </c>
      <c r="S2045" t="inlineStr"/>
      <c r="T2045" t="inlineStr">
        <is>
          <t>911812</t>
        </is>
      </c>
      <c r="U2045" t="n">
        <v>1100</v>
      </c>
      <c r="V2045" t="inlineStr"/>
      <c r="W2045" t="inlineStr">
        <is>
          <t>Nej</t>
        </is>
      </c>
      <c r="X2045" t="inlineStr">
        <is>
          <t>Nej</t>
        </is>
      </c>
      <c r="Y2045" t="inlineStr">
        <is>
          <t>Nej</t>
        </is>
      </c>
      <c r="Z2045" t="inlineStr">
        <is>
          <t>Nej</t>
        </is>
      </c>
      <c r="AA2045" t="n">
        <v>4</v>
      </c>
      <c r="AB2045" t="inlineStr">
        <is>
          <t>Avfallsmangder och lagringstid</t>
        </is>
      </c>
      <c r="AC2045" t="inlineStr">
        <is>
          <t>Avfallsforteckning</t>
        </is>
      </c>
      <c r="AD2045" t="inlineStr">
        <is>
          <t>Nej</t>
        </is>
      </c>
      <c r="AE2045" t="inlineStr">
        <is>
          <t>Nej</t>
        </is>
      </c>
      <c r="AF2045" t="inlineStr">
        <is>
          <t>Ej behandlad</t>
        </is>
      </c>
      <c r="AG2045" t="inlineStr">
        <is>
          <t>AUTO_GENERERAD. Verifiera citat mot kallfil.</t>
        </is>
      </c>
      <c r="AH2045" t="inlineStr">
        <is>
          <t>LOW</t>
        </is>
      </c>
      <c r="AI2045" t="inlineStr">
        <is>
          <t>AUTO</t>
        </is>
      </c>
      <c r="AJ2045" t="inlineStr">
        <is>
          <t>Nej</t>
        </is>
      </c>
      <c r="AK2045" t="inlineStr"/>
      <c r="AL2045" t="inlineStr"/>
      <c r="AM2045" t="inlineStr"/>
      <c r="AN2045" t="inlineStr"/>
      <c r="AO2045" t="inlineStr">
        <is>
          <t>cmm4yunjq00r5cuqwww7lwlot</t>
        </is>
      </c>
      <c r="AP2045" t="inlineStr">
        <is>
          <t>http://localhost:8787/api/admin/requirements/documents/cmm4yunjq00r5cuqwww7lwlot/view</t>
        </is>
      </c>
      <c r="AQ2045">
        <f>HYPERLÄNK("http://localhost:8787/api/admin/requirements/documents/cmm4yunjq00r5cuqwww7lwlot/view";"Öppna PDF")</f>
        <v/>
      </c>
      <c r="AR2045">
        <f>HYPERLINK("http://localhost:8787/api/admin/requirements/documents/cmm4yunjq00r5cuqwww7lwlot/view","Open PDF")</f>
        <v/>
      </c>
      <c r="AS2045" t="inlineStr">
        <is>
          <t>cmm55w57p0004cuisfrtpqly8</t>
        </is>
      </c>
      <c r="AT2045" t="inlineStr">
        <is>
          <t>cmm4xvu980000cuh4vj0usz09</t>
        </is>
      </c>
      <c r="AU2045" t="inlineStr"/>
      <c r="AV2045" t="inlineStr">
        <is>
          <t>Kommun</t>
        </is>
      </c>
      <c r="AW2045" t="inlineStr"/>
      <c r="AX2045" t="inlineStr">
        <is>
          <t>2026-02</t>
        </is>
      </c>
      <c r="AY2045" t="inlineStr">
        <is>
          <t>Beslut</t>
        </is>
      </c>
      <c r="AZ2045" t="inlineStr">
        <is>
          <t>2026-02-03</t>
        </is>
      </c>
      <c r="BA2045" t="inlineStr">
        <is>
          <t>MIL20241945pdf_976490.pdf</t>
        </is>
      </c>
      <c r="BB2045" t="inlineStr">
        <is>
          <t>Begäran om allmän handling i ärende  MIL.2026.363</t>
        </is>
      </c>
      <c r="BC2045" t="inlineStr">
        <is>
          <t>AUTO</t>
        </is>
      </c>
      <c r="BD2045" t="inlineStr"/>
      <c r="BE2045" t="inlineStr"/>
      <c r="BF2045" t="inlineStr">
        <is>
          <t>AUTO_GENERERAD. Bekrafta metadata mot kallfil.</t>
        </is>
      </c>
      <c r="BG2045">
        <f>HYPERLINK("C:\Users\jimmy\Desktop\Examens arbete\Kod\Ny mapp\remix_-copy-of-miljöbeslut.se-portal\MIL20241945pdf_976490.pdf", "Öppna PDF")</f>
        <v/>
      </c>
    </row>
    <row r="2046">
      <c r="A2046" t="inlineStr">
        <is>
          <t>KRAV-AUTO-002045</t>
        </is>
      </c>
      <c r="B2046" t="inlineStr">
        <is>
          <t>ADMIN-INDEX-2026-02-27-00000000125C043F57453246863FE664CAFE6A3F0700950291EA24F0614FB6ACEDB12BF0E31D00000000010C0000950291EA24F0614FB6ACEDB12BF0E31D00002087B18A0000</t>
        </is>
      </c>
      <c r="C2046" t="inlineStr">
        <is>
          <t>cmm4yunjq00r5cuqwww7lwlot</t>
        </is>
      </c>
      <c r="D2046" t="inlineStr">
        <is>
          <t>http://localhost:8787/api/admin/requirements/documents/cmm4yunjq00r5cuqwww7lwlot/view</t>
        </is>
      </c>
      <c r="E2046">
        <f>HYPERLÄNK("http://localhost:8787/api/admin/requirements/documents/cmm4yunjq00r5cuqwww7lwlot/view";"Öppna PDF")</f>
        <v/>
      </c>
      <c r="F2046">
        <f>HYPERLINK("http://localhost:8787/api/admin/requirements/documents/cmm4yunjq00r5cuqwww7lwlot/view","Open PDF")</f>
        <v/>
      </c>
      <c r="G2046" t="inlineStr">
        <is>
          <t>cmm55w57p0004cuisfrtpqly8</t>
        </is>
      </c>
      <c r="H2046" t="inlineStr">
        <is>
          <t>Beslutsvillkor</t>
        </is>
      </c>
      <c r="I2046" t="inlineStr">
        <is>
          <t>Riskhantering</t>
        </is>
      </c>
      <c r="J2046" t="inlineStr">
        <is>
          <t>Riskkontroll</t>
        </is>
      </c>
      <c r="K2046" t="inlineStr">
        <is>
          <t>Täckning ska med hänsyn till risk för luktolägenhet göras i snar anslutning till uppläggning.</t>
        </is>
      </c>
      <c r="L2046" t="inlineStr">
        <is>
          <t>Täckning ska med hänsyn till risk för luktolägenhet göras i snar anslutning till uppläggning.</t>
        </is>
      </c>
      <c r="M2046" t="inlineStr">
        <is>
          <t>SKA</t>
        </is>
      </c>
      <c r="N2046" t="inlineStr"/>
      <c r="O2046" t="inlineStr"/>
      <c r="P2046" t="inlineStr"/>
      <c r="Q2046" t="inlineStr"/>
      <c r="R2046" t="inlineStr">
        <is>
          <t>Vid risk for incident</t>
        </is>
      </c>
      <c r="S2046" t="inlineStr"/>
      <c r="T2046" t="inlineStr">
        <is>
          <t>911812</t>
        </is>
      </c>
      <c r="U2046" t="inlineStr"/>
      <c r="V2046" t="inlineStr"/>
      <c r="W2046" t="inlineStr">
        <is>
          <t>Nej</t>
        </is>
      </c>
      <c r="X2046" t="inlineStr">
        <is>
          <t>Nej</t>
        </is>
      </c>
      <c r="Y2046" t="inlineStr">
        <is>
          <t>Ja</t>
        </is>
      </c>
      <c r="Z2046" t="inlineStr">
        <is>
          <t>Ja</t>
        </is>
      </c>
      <c r="AA2046" t="n">
        <v>8</v>
      </c>
      <c r="AB2046" t="inlineStr">
        <is>
          <t>Riskhantering</t>
        </is>
      </c>
      <c r="AC2046" t="inlineStr">
        <is>
          <t>Risk-PM</t>
        </is>
      </c>
      <c r="AD2046" t="inlineStr">
        <is>
          <t>Nej</t>
        </is>
      </c>
      <c r="AE2046" t="inlineStr">
        <is>
          <t>Nej</t>
        </is>
      </c>
      <c r="AF2046" t="inlineStr">
        <is>
          <t>Ej behandlad</t>
        </is>
      </c>
      <c r="AG2046" t="inlineStr">
        <is>
          <t>AUTO_GENERERAD. Verifiera citat mot kallfil.</t>
        </is>
      </c>
      <c r="AH2046" t="inlineStr">
        <is>
          <t>MEDIUM</t>
        </is>
      </c>
      <c r="AI2046" t="inlineStr">
        <is>
          <t>AUTO</t>
        </is>
      </c>
      <c r="AJ2046" t="inlineStr">
        <is>
          <t>Nej</t>
        </is>
      </c>
      <c r="AK2046" t="inlineStr"/>
      <c r="AL2046" t="inlineStr"/>
      <c r="AM2046" t="inlineStr"/>
      <c r="AN2046" t="inlineStr"/>
      <c r="AO2046" t="inlineStr">
        <is>
          <t>cmm4yunjq00r5cuqwww7lwlot</t>
        </is>
      </c>
      <c r="AP2046" t="inlineStr">
        <is>
          <t>http://localhost:8787/api/admin/requirements/documents/cmm4yunjq00r5cuqwww7lwlot/view</t>
        </is>
      </c>
      <c r="AQ2046">
        <f>HYPERLÄNK("http://localhost:8787/api/admin/requirements/documents/cmm4yunjq00r5cuqwww7lwlot/view";"Öppna PDF")</f>
        <v/>
      </c>
      <c r="AR2046">
        <f>HYPERLINK("http://localhost:8787/api/admin/requirements/documents/cmm4yunjq00r5cuqwww7lwlot/view","Open PDF")</f>
        <v/>
      </c>
      <c r="AS2046" t="inlineStr">
        <is>
          <t>cmm55w57p0004cuisfrtpqly8</t>
        </is>
      </c>
      <c r="AT2046" t="inlineStr">
        <is>
          <t>cmm4xvu980000cuh4vj0usz09</t>
        </is>
      </c>
      <c r="AU2046" t="inlineStr"/>
      <c r="AV2046" t="inlineStr">
        <is>
          <t>Kommun</t>
        </is>
      </c>
      <c r="AW2046" t="inlineStr"/>
      <c r="AX2046" t="inlineStr">
        <is>
          <t>2026-02</t>
        </is>
      </c>
      <c r="AY2046" t="inlineStr">
        <is>
          <t>Beslut</t>
        </is>
      </c>
      <c r="AZ2046" t="inlineStr">
        <is>
          <t>2026-02-03</t>
        </is>
      </c>
      <c r="BA2046" t="inlineStr">
        <is>
          <t>MIL20241945pdf_976490.pdf</t>
        </is>
      </c>
      <c r="BB2046" t="inlineStr">
        <is>
          <t>Begäran om allmän handling i ärende  MIL.2026.363</t>
        </is>
      </c>
      <c r="BC2046" t="inlineStr">
        <is>
          <t>AUTO</t>
        </is>
      </c>
      <c r="BD2046" t="inlineStr"/>
      <c r="BE2046" t="inlineStr"/>
      <c r="BF2046" t="inlineStr">
        <is>
          <t>AUTO_GENERERAD. Bekrafta metadata mot kallfil.</t>
        </is>
      </c>
      <c r="BG2046">
        <f>HYPERLINK("C:\Users\jimmy\Desktop\Examens arbete\Kod\Ny mapp\remix_-copy-of-miljöbeslut.se-portal\MIL20241945pdf_976490.pdf", "Öppna PDF")</f>
        <v/>
      </c>
    </row>
    <row r="2047">
      <c r="A2047" t="inlineStr">
        <is>
          <t>KRAV-AUTO-002046</t>
        </is>
      </c>
      <c r="B2047" t="inlineStr">
        <is>
          <t>ADMIN-INDEX-2026-02-27-00000000125C043F57453246863FE664CAFE6A3F0700950291EA24F0614FB6ACEDB12BF0E31D00000000010C0000950291EA24F0614FB6ACEDB12BF0E31D00002087B18A0000</t>
        </is>
      </c>
      <c r="C2047" t="inlineStr">
        <is>
          <t>cmm4yunjn00r2cuqwuhgx5uim</t>
        </is>
      </c>
      <c r="D2047" t="inlineStr">
        <is>
          <t>http://localhost:8787/api/admin/requirements/documents/cmm4yunjn00r2cuqwuhgx5uim/view</t>
        </is>
      </c>
      <c r="E2047">
        <f>HYPERLÄNK("http://localhost:8787/api/admin/requirements/documents/cmm4yunjn00r2cuqwuhgx5uim/view";"Öppna PDF")</f>
        <v/>
      </c>
      <c r="F2047">
        <f>HYPERLINK("http://localhost:8787/api/admin/requirements/documents/cmm4yunjn00r2cuqwuhgx5uim/view","Open PDF")</f>
        <v/>
      </c>
      <c r="G2047" t="inlineStr">
        <is>
          <t>cmm55w57p0004cuisfrtpqly8</t>
        </is>
      </c>
      <c r="H2047" t="inlineStr">
        <is>
          <t>Beslutsvillkor</t>
        </is>
      </c>
      <c r="I2047" t="inlineStr">
        <is>
          <t>DagvattenLakvatten</t>
        </is>
      </c>
      <c r="J2047" t="inlineStr">
        <is>
          <t>Uppsamling</t>
        </is>
      </c>
      <c r="K2047" t="inlineStr">
        <is>
          <t>Lagringen ska ske så att risken för uppkomst av lakvatten från rötslammet minimeras.</t>
        </is>
      </c>
      <c r="L2047" t="inlineStr">
        <is>
          <t>Lagringen ska ske så att risken för uppkomst av lakvatten från rötslammet minimeras.</t>
        </is>
      </c>
      <c r="M2047" t="inlineStr">
        <is>
          <t>SKA</t>
        </is>
      </c>
      <c r="N2047" t="inlineStr"/>
      <c r="O2047" t="inlineStr"/>
      <c r="P2047" t="inlineStr"/>
      <c r="Q2047" t="inlineStr"/>
      <c r="R2047" t="inlineStr">
        <is>
          <t>Vid nederbord och avrinning</t>
        </is>
      </c>
      <c r="S2047" t="inlineStr"/>
      <c r="T2047" t="inlineStr">
        <is>
          <t>910974</t>
        </is>
      </c>
      <c r="U2047" t="inlineStr"/>
      <c r="V2047" t="inlineStr"/>
      <c r="W2047" t="inlineStr">
        <is>
          <t>Nej</t>
        </is>
      </c>
      <c r="X2047" t="inlineStr">
        <is>
          <t>Ja</t>
        </is>
      </c>
      <c r="Y2047" t="inlineStr">
        <is>
          <t>Ja</t>
        </is>
      </c>
      <c r="Z2047" t="inlineStr">
        <is>
          <t>Nej</t>
        </is>
      </c>
      <c r="AA2047" t="n">
        <v>6</v>
      </c>
      <c r="AB2047" t="inlineStr">
        <is>
          <t>Lakvattenhantering</t>
        </is>
      </c>
      <c r="AC2047" t="inlineStr">
        <is>
          <t>Flodesschema dagvatten-lakvatten</t>
        </is>
      </c>
      <c r="AD2047" t="inlineStr">
        <is>
          <t>Nej</t>
        </is>
      </c>
      <c r="AE2047" t="inlineStr">
        <is>
          <t>Nej</t>
        </is>
      </c>
      <c r="AF2047" t="inlineStr">
        <is>
          <t>Ej behandlad</t>
        </is>
      </c>
      <c r="AG2047" t="inlineStr">
        <is>
          <t>AUTO_GENERERAD. Verifiera citat mot kallfil.</t>
        </is>
      </c>
      <c r="AH2047" t="inlineStr">
        <is>
          <t>MEDIUM</t>
        </is>
      </c>
      <c r="AI2047" t="inlineStr">
        <is>
          <t>AUTO</t>
        </is>
      </c>
      <c r="AJ2047" t="inlineStr">
        <is>
          <t>Nej</t>
        </is>
      </c>
      <c r="AK2047" t="inlineStr"/>
      <c r="AL2047" t="inlineStr"/>
      <c r="AM2047" t="inlineStr"/>
      <c r="AN2047" t="inlineStr"/>
      <c r="AO2047" t="inlineStr">
        <is>
          <t>cmm4yunjq00r5cuqwww7lwlot</t>
        </is>
      </c>
      <c r="AP2047" t="inlineStr">
        <is>
          <t>http://localhost:8787/api/admin/requirements/documents/cmm4yunjq00r5cuqwww7lwlot/view</t>
        </is>
      </c>
      <c r="AQ2047">
        <f>HYPERLÄNK("http://localhost:8787/api/admin/requirements/documents/cmm4yunjq00r5cuqwww7lwlot/view";"Öppna PDF")</f>
        <v/>
      </c>
      <c r="AR2047">
        <f>HYPERLINK("http://localhost:8787/api/admin/requirements/documents/cmm4yunjq00r5cuqwww7lwlot/view","Open PDF")</f>
        <v/>
      </c>
      <c r="AS2047" t="inlineStr">
        <is>
          <t>cmm55w57p0004cuisfrtpqly8</t>
        </is>
      </c>
      <c r="AT2047" t="inlineStr">
        <is>
          <t>cmm4xvu980000cuh4vj0usz09</t>
        </is>
      </c>
      <c r="AU2047" t="inlineStr"/>
      <c r="AV2047" t="inlineStr">
        <is>
          <t>Kommun</t>
        </is>
      </c>
      <c r="AW2047" t="inlineStr"/>
      <c r="AX2047" t="inlineStr">
        <is>
          <t>2026-02</t>
        </is>
      </c>
      <c r="AY2047" t="inlineStr">
        <is>
          <t>Beslut</t>
        </is>
      </c>
      <c r="AZ2047" t="inlineStr">
        <is>
          <t>2026-02-03</t>
        </is>
      </c>
      <c r="BA2047" t="inlineStr">
        <is>
          <t>MIL20241945pdf_976490.pdf</t>
        </is>
      </c>
      <c r="BB2047" t="inlineStr">
        <is>
          <t>Begäran om allmän handling i ärende  MIL.2026.363</t>
        </is>
      </c>
      <c r="BC2047" t="inlineStr">
        <is>
          <t>AUTO</t>
        </is>
      </c>
      <c r="BD2047" t="inlineStr"/>
      <c r="BE2047" t="inlineStr"/>
      <c r="BF2047" t="inlineStr">
        <is>
          <t>AUTO_GENERERAD. Bekrafta metadata mot kallfil.</t>
        </is>
      </c>
      <c r="BG2047">
        <f>HYPERLINK("C:\Users\jimmy\Desktop\Examens arbete\Kod\Ny mapp\remix_-copy-of-miljöbeslut.se-portal\MIL20241945pdf_976490.pdf", "Öppna PDF")</f>
        <v/>
      </c>
    </row>
    <row r="2048">
      <c r="A2048" t="inlineStr">
        <is>
          <t>KRAV-AUTO-002047</t>
        </is>
      </c>
      <c r="B2048" t="inlineStr">
        <is>
          <t>ADMIN-INDEX-2026-02-27-00000000125C043F57453246863FE664CAFE6A3F0700950291EA24F0614FB6ACEDB12BF0E31D00000000010C0000950291EA24F0614FB6ACEDB12BF0E31D00002087B18A0000</t>
        </is>
      </c>
      <c r="C2048" t="inlineStr">
        <is>
          <t>cmm4yunjn00r2cuqwuhgx5uim</t>
        </is>
      </c>
      <c r="D2048" t="inlineStr">
        <is>
          <t>http://localhost:8787/api/admin/requirements/documents/cmm4yunjn00r2cuqwuhgx5uim/view</t>
        </is>
      </c>
      <c r="E2048">
        <f>HYPERLÄNK("http://localhost:8787/api/admin/requirements/documents/cmm4yunjn00r2cuqwuhgx5uim/view";"Öppna PDF")</f>
        <v/>
      </c>
      <c r="F2048">
        <f>HYPERLINK("http://localhost:8787/api/admin/requirements/documents/cmm4yunjn00r2cuqwuhgx5uim/view","Open PDF")</f>
        <v/>
      </c>
      <c r="G2048" t="inlineStr">
        <is>
          <t>cmm55w57p0004cuisfrtpqly8</t>
        </is>
      </c>
      <c r="H2048" t="inlineStr">
        <is>
          <t>Beslutsvillkor</t>
        </is>
      </c>
      <c r="I2048" t="inlineStr">
        <is>
          <t>Riskhantering</t>
        </is>
      </c>
      <c r="J2048" t="inlineStr">
        <is>
          <t>Riskkontroll</t>
        </is>
      </c>
      <c r="K2048" t="inlineStr">
        <is>
          <t>Täckning ska med hänsyn till risk för luktolägenhet göras i snar anslutning till uppläggning.</t>
        </is>
      </c>
      <c r="L2048" t="inlineStr">
        <is>
          <t>Täckning ska med hänsyn till risk för luktolägenhet göras i snar anslutning till uppläggning.</t>
        </is>
      </c>
      <c r="M2048" t="inlineStr">
        <is>
          <t>SKA</t>
        </is>
      </c>
      <c r="N2048" t="inlineStr"/>
      <c r="O2048" t="inlineStr"/>
      <c r="P2048" t="inlineStr"/>
      <c r="Q2048" t="inlineStr"/>
      <c r="R2048" t="inlineStr">
        <is>
          <t>Vid risk for incident</t>
        </is>
      </c>
      <c r="S2048" t="inlineStr"/>
      <c r="T2048" t="inlineStr">
        <is>
          <t>910974</t>
        </is>
      </c>
      <c r="U2048" t="inlineStr"/>
      <c r="V2048" t="inlineStr"/>
      <c r="W2048" t="inlineStr">
        <is>
          <t>Nej</t>
        </is>
      </c>
      <c r="X2048" t="inlineStr">
        <is>
          <t>Nej</t>
        </is>
      </c>
      <c r="Y2048" t="inlineStr">
        <is>
          <t>Ja</t>
        </is>
      </c>
      <c r="Z2048" t="inlineStr">
        <is>
          <t>Ja</t>
        </is>
      </c>
      <c r="AA2048" t="n">
        <v>8</v>
      </c>
      <c r="AB2048" t="inlineStr">
        <is>
          <t>Riskhantering</t>
        </is>
      </c>
      <c r="AC2048" t="inlineStr">
        <is>
          <t>Risk-PM</t>
        </is>
      </c>
      <c r="AD2048" t="inlineStr">
        <is>
          <t>Nej</t>
        </is>
      </c>
      <c r="AE2048" t="inlineStr">
        <is>
          <t>Nej</t>
        </is>
      </c>
      <c r="AF2048" t="inlineStr">
        <is>
          <t>Ej behandlad</t>
        </is>
      </c>
      <c r="AG2048" t="inlineStr">
        <is>
          <t>AUTO_GENERERAD. Verifiera citat mot kallfil.</t>
        </is>
      </c>
      <c r="AH2048" t="inlineStr">
        <is>
          <t>MEDIUM</t>
        </is>
      </c>
      <c r="AI2048" t="inlineStr">
        <is>
          <t>AUTO</t>
        </is>
      </c>
      <c r="AJ2048" t="inlineStr">
        <is>
          <t>Nej</t>
        </is>
      </c>
      <c r="AK2048" t="inlineStr"/>
      <c r="AL2048" t="inlineStr"/>
      <c r="AM2048" t="inlineStr"/>
      <c r="AN2048" t="inlineStr"/>
      <c r="AO2048" t="inlineStr">
        <is>
          <t>cmm4yunjq00r5cuqwww7lwlot</t>
        </is>
      </c>
      <c r="AP2048" t="inlineStr">
        <is>
          <t>http://localhost:8787/api/admin/requirements/documents/cmm4yunjq00r5cuqwww7lwlot/view</t>
        </is>
      </c>
      <c r="AQ2048">
        <f>HYPERLÄNK("http://localhost:8787/api/admin/requirements/documents/cmm4yunjq00r5cuqwww7lwlot/view";"Öppna PDF")</f>
        <v/>
      </c>
      <c r="AR2048">
        <f>HYPERLINK("http://localhost:8787/api/admin/requirements/documents/cmm4yunjq00r5cuqwww7lwlot/view","Open PDF")</f>
        <v/>
      </c>
      <c r="AS2048" t="inlineStr">
        <is>
          <t>cmm55w57p0004cuisfrtpqly8</t>
        </is>
      </c>
      <c r="AT2048" t="inlineStr">
        <is>
          <t>cmm4xvu980000cuh4vj0usz09</t>
        </is>
      </c>
      <c r="AU2048" t="inlineStr"/>
      <c r="AV2048" t="inlineStr">
        <is>
          <t>Kommun</t>
        </is>
      </c>
      <c r="AW2048" t="inlineStr"/>
      <c r="AX2048" t="inlineStr">
        <is>
          <t>2026-02</t>
        </is>
      </c>
      <c r="AY2048" t="inlineStr">
        <is>
          <t>Beslut</t>
        </is>
      </c>
      <c r="AZ2048" t="inlineStr">
        <is>
          <t>2026-02-03</t>
        </is>
      </c>
      <c r="BA2048" t="inlineStr">
        <is>
          <t>MIL20241945pdf_976490.pdf</t>
        </is>
      </c>
      <c r="BB2048" t="inlineStr">
        <is>
          <t>Begäran om allmän handling i ärende  MIL.2026.363</t>
        </is>
      </c>
      <c r="BC2048" t="inlineStr">
        <is>
          <t>AUTO</t>
        </is>
      </c>
      <c r="BD2048" t="inlineStr"/>
      <c r="BE2048" t="inlineStr"/>
      <c r="BF2048" t="inlineStr">
        <is>
          <t>AUTO_GENERERAD. Bekrafta metadata mot kallfil.</t>
        </is>
      </c>
      <c r="BG2048">
        <f>HYPERLINK("C:\Users\jimmy\Desktop\Examens arbete\Kod\Ny mapp\remix_-copy-of-miljöbeslut.se-portal\MIL20241945pdf_976490.pdf", "Öppna PDF")</f>
        <v/>
      </c>
    </row>
    <row r="2049">
      <c r="A2049" t="inlineStr">
        <is>
          <t>KRAV-AUTO-002048</t>
        </is>
      </c>
      <c r="B2049" t="inlineStr">
        <is>
          <t>ADMIN-INDEX-2026-02-27-00000000125C043F57453246863FE664CAFE6A3F0700950291EA24F0614FB6ACEDB12BF0E31D00000000010C0000950291EA24F0614FB6ACEDB12BF0E31D00002087B18A0000</t>
        </is>
      </c>
      <c r="C2049" t="inlineStr">
        <is>
          <t>cmm4yunjn00r2cuqwuhgx5uim</t>
        </is>
      </c>
      <c r="D2049" t="inlineStr">
        <is>
          <t>http://localhost:8787/api/admin/requirements/documents/cmm4yunjn00r2cuqwuhgx5uim/view</t>
        </is>
      </c>
      <c r="E2049">
        <f>HYPERLÄNK("http://localhost:8787/api/admin/requirements/documents/cmm4yunjn00r2cuqwuhgx5uim/view";"Öppna PDF")</f>
        <v/>
      </c>
      <c r="F2049">
        <f>HYPERLINK("http://localhost:8787/api/admin/requirements/documents/cmm4yunjn00r2cuqwuhgx5uim/view","Open PDF")</f>
        <v/>
      </c>
      <c r="G2049" t="inlineStr">
        <is>
          <t>cmm55w57p0004cuisfrtpqly8</t>
        </is>
      </c>
      <c r="H2049" t="inlineStr">
        <is>
          <t>Beslutsvillkor</t>
        </is>
      </c>
      <c r="I2049" t="inlineStr">
        <is>
          <t>MiljopaverkanForsiktighet</t>
        </is>
      </c>
      <c r="J2049" t="inlineStr">
        <is>
          <t>Skyddsatgarder</t>
        </is>
      </c>
      <c r="K2049" t="inlineStr">
        <is>
          <t>Anmälan om mellanlagring av avloppsslam samt information om efterföljande spridning Vid spridning ska vi följa dessa skyddsavstång: 10 meter till vattenförande dike, 50 meter till vattentäkt eller bostäder och 2 meter till dräneringsbrunn.</t>
        </is>
      </c>
      <c r="L2049" t="inlineStr">
        <is>
          <t>Anmälan om mellanlagring av avloppsslam samt information om efterföljande spridning Vid spridning ska vi följa dessa skyddsavstång: 10 meter till vattenförande dike, 50 meter till vattentäkt eller bostäder och 2 meter till dräneringsbrunn.</t>
        </is>
      </c>
      <c r="M2049" t="inlineStr">
        <is>
          <t>SKA</t>
        </is>
      </c>
      <c r="N2049" t="inlineStr"/>
      <c r="O2049" t="inlineStr"/>
      <c r="P2049" t="inlineStr"/>
      <c r="Q2049" t="inlineStr"/>
      <c r="R2049" t="inlineStr">
        <is>
          <t>Alltid</t>
        </is>
      </c>
      <c r="S2049" t="inlineStr"/>
      <c r="T2049" t="inlineStr">
        <is>
          <t>910974</t>
        </is>
      </c>
      <c r="U2049" t="inlineStr"/>
      <c r="V2049" t="inlineStr"/>
      <c r="W2049" t="inlineStr">
        <is>
          <t>Nej</t>
        </is>
      </c>
      <c r="X2049" t="inlineStr">
        <is>
          <t>Nej</t>
        </is>
      </c>
      <c r="Y2049" t="inlineStr">
        <is>
          <t>Nej</t>
        </is>
      </c>
      <c r="Z2049" t="inlineStr">
        <is>
          <t>Nej</t>
        </is>
      </c>
      <c r="AA2049" t="n">
        <v>10</v>
      </c>
      <c r="AB2049" t="inlineStr">
        <is>
          <t>Miljopaverkan och forsiktighetsmatt</t>
        </is>
      </c>
      <c r="AC2049" t="inlineStr">
        <is>
          <t>Miljo-PM</t>
        </is>
      </c>
      <c r="AD2049" t="inlineStr">
        <is>
          <t>Nej</t>
        </is>
      </c>
      <c r="AE2049" t="inlineStr">
        <is>
          <t>Nej</t>
        </is>
      </c>
      <c r="AF2049" t="inlineStr">
        <is>
          <t>Ej behandlad</t>
        </is>
      </c>
      <c r="AG2049" t="inlineStr">
        <is>
          <t>AUTO_GENERERAD. Verifiera citat mot kallfil.</t>
        </is>
      </c>
      <c r="AH2049" t="inlineStr">
        <is>
          <t>MEDIUM</t>
        </is>
      </c>
      <c r="AI2049" t="inlineStr">
        <is>
          <t>AUTO</t>
        </is>
      </c>
      <c r="AJ2049" t="inlineStr">
        <is>
          <t>Nej</t>
        </is>
      </c>
      <c r="AK2049" t="inlineStr"/>
      <c r="AL2049" t="inlineStr"/>
      <c r="AM2049" t="inlineStr"/>
      <c r="AN2049" t="inlineStr"/>
      <c r="AO2049" t="inlineStr">
        <is>
          <t>cmm4yunjq00r5cuqwww7lwlot</t>
        </is>
      </c>
      <c r="AP2049" t="inlineStr">
        <is>
          <t>http://localhost:8787/api/admin/requirements/documents/cmm4yunjq00r5cuqwww7lwlot/view</t>
        </is>
      </c>
      <c r="AQ2049">
        <f>HYPERLÄNK("http://localhost:8787/api/admin/requirements/documents/cmm4yunjq00r5cuqwww7lwlot/view";"Öppna PDF")</f>
        <v/>
      </c>
      <c r="AR2049">
        <f>HYPERLINK("http://localhost:8787/api/admin/requirements/documents/cmm4yunjq00r5cuqwww7lwlot/view","Open PDF")</f>
        <v/>
      </c>
      <c r="AS2049" t="inlineStr">
        <is>
          <t>cmm55w57p0004cuisfrtpqly8</t>
        </is>
      </c>
      <c r="AT2049" t="inlineStr">
        <is>
          <t>cmm4xvu980000cuh4vj0usz09</t>
        </is>
      </c>
      <c r="AU2049" t="inlineStr"/>
      <c r="AV2049" t="inlineStr">
        <is>
          <t>Kommun</t>
        </is>
      </c>
      <c r="AW2049" t="inlineStr"/>
      <c r="AX2049" t="inlineStr">
        <is>
          <t>2026-02</t>
        </is>
      </c>
      <c r="AY2049" t="inlineStr">
        <is>
          <t>Beslut</t>
        </is>
      </c>
      <c r="AZ2049" t="inlineStr">
        <is>
          <t>2026-02-03</t>
        </is>
      </c>
      <c r="BA2049" t="inlineStr">
        <is>
          <t>MIL20241945pdf_976490.pdf</t>
        </is>
      </c>
      <c r="BB2049" t="inlineStr">
        <is>
          <t>Begäran om allmän handling i ärende  MIL.2026.363</t>
        </is>
      </c>
      <c r="BC2049" t="inlineStr">
        <is>
          <t>AUTO</t>
        </is>
      </c>
      <c r="BD2049" t="inlineStr"/>
      <c r="BE2049" t="inlineStr"/>
      <c r="BF2049" t="inlineStr">
        <is>
          <t>AUTO_GENERERAD. Bekrafta metadata mot kallfil.</t>
        </is>
      </c>
      <c r="BG2049">
        <f>HYPERLINK("C:\Users\jimmy\Desktop\Examens arbete\Kod\Ny mapp\remix_-copy-of-miljöbeslut.se-portal\MIL20241945pdf_976490.pdf", "Öppna PDF")</f>
        <v/>
      </c>
    </row>
    <row r="2050">
      <c r="A2050" t="inlineStr">
        <is>
          <t>KRAV-AUTO-002049</t>
        </is>
      </c>
      <c r="B2050" t="inlineStr">
        <is>
          <t>ADMIN-INDEX-2026-02-27-00000000125C043F57453246863FE664CAFE6A3F0700950291EA24F0614FB6ACEDB12BF0E31D00000000010C0000950291EA24F0614FB6ACEDB12BF0E31D00002087B18A0000</t>
        </is>
      </c>
      <c r="C2050" t="inlineStr">
        <is>
          <t>cmm4yunjk00qzcuqwk63rffi6</t>
        </is>
      </c>
      <c r="D2050" t="inlineStr">
        <is>
          <t>http://localhost:8787/api/admin/requirements/documents/cmm4yunjk00qzcuqwk63rffi6/view</t>
        </is>
      </c>
      <c r="E2050">
        <f>HYPERLÄNK("http://localhost:8787/api/admin/requirements/documents/cmm4yunjk00qzcuqwk63rffi6/view";"Öppna PDF")</f>
        <v/>
      </c>
      <c r="F2050">
        <f>HYPERLINK("http://localhost:8787/api/admin/requirements/documents/cmm4yunjk00qzcuqwk63rffi6/view","Open PDF")</f>
        <v/>
      </c>
      <c r="G2050" t="inlineStr">
        <is>
          <t>cmm55w57p0004cuisfrtpqly8</t>
        </is>
      </c>
      <c r="H2050" t="inlineStr">
        <is>
          <t>Beslutsvillkor</t>
        </is>
      </c>
      <c r="I2050" t="inlineStr">
        <is>
          <t>DagvattenLakvatten</t>
        </is>
      </c>
      <c r="J2050" t="inlineStr">
        <is>
          <t>Uppsamling</t>
        </is>
      </c>
      <c r="K2050" t="inlineStr">
        <is>
          <t>Lagringen ska ske så att risken för uppkomst av lakvatten från rötslammet minimeras.</t>
        </is>
      </c>
      <c r="L2050" t="inlineStr">
        <is>
          <t>Lagringen ska ske så att risken för uppkomst av lakvatten från rötslammet minimeras.</t>
        </is>
      </c>
      <c r="M2050" t="inlineStr">
        <is>
          <t>SKA</t>
        </is>
      </c>
      <c r="N2050" t="inlineStr"/>
      <c r="O2050" t="inlineStr"/>
      <c r="P2050" t="inlineStr"/>
      <c r="Q2050" t="inlineStr"/>
      <c r="R2050" t="inlineStr">
        <is>
          <t>Vid nederbord och avrinning</t>
        </is>
      </c>
      <c r="S2050" t="inlineStr"/>
      <c r="T2050" t="inlineStr">
        <is>
          <t>910445</t>
        </is>
      </c>
      <c r="U2050" t="inlineStr"/>
      <c r="V2050" t="inlineStr"/>
      <c r="W2050" t="inlineStr">
        <is>
          <t>Nej</t>
        </is>
      </c>
      <c r="X2050" t="inlineStr">
        <is>
          <t>Ja</t>
        </is>
      </c>
      <c r="Y2050" t="inlineStr">
        <is>
          <t>Ja</t>
        </is>
      </c>
      <c r="Z2050" t="inlineStr">
        <is>
          <t>Nej</t>
        </is>
      </c>
      <c r="AA2050" t="n">
        <v>6</v>
      </c>
      <c r="AB2050" t="inlineStr">
        <is>
          <t>Lakvattenhantering</t>
        </is>
      </c>
      <c r="AC2050" t="inlineStr">
        <is>
          <t>Flodesschema dagvatten-lakvatten</t>
        </is>
      </c>
      <c r="AD2050" t="inlineStr">
        <is>
          <t>Nej</t>
        </is>
      </c>
      <c r="AE2050" t="inlineStr">
        <is>
          <t>Nej</t>
        </is>
      </c>
      <c r="AF2050" t="inlineStr">
        <is>
          <t>Ej behandlad</t>
        </is>
      </c>
      <c r="AG2050" t="inlineStr">
        <is>
          <t>AUTO_GENERERAD. Verifiera citat mot kallfil.</t>
        </is>
      </c>
      <c r="AH2050" t="inlineStr">
        <is>
          <t>MEDIUM</t>
        </is>
      </c>
      <c r="AI2050" t="inlineStr">
        <is>
          <t>AUTO</t>
        </is>
      </c>
      <c r="AJ2050" t="inlineStr">
        <is>
          <t>Nej</t>
        </is>
      </c>
      <c r="AK2050" t="inlineStr"/>
      <c r="AL2050" t="inlineStr"/>
      <c r="AM2050" t="inlineStr"/>
      <c r="AN2050" t="inlineStr"/>
      <c r="AO2050" t="inlineStr">
        <is>
          <t>cmm4yunjq00r5cuqwww7lwlot</t>
        </is>
      </c>
      <c r="AP2050" t="inlineStr">
        <is>
          <t>http://localhost:8787/api/admin/requirements/documents/cmm4yunjq00r5cuqwww7lwlot/view</t>
        </is>
      </c>
      <c r="AQ2050">
        <f>HYPERLÄNK("http://localhost:8787/api/admin/requirements/documents/cmm4yunjq00r5cuqwww7lwlot/view";"Öppna PDF")</f>
        <v/>
      </c>
      <c r="AR2050">
        <f>HYPERLINK("http://localhost:8787/api/admin/requirements/documents/cmm4yunjq00r5cuqwww7lwlot/view","Open PDF")</f>
        <v/>
      </c>
      <c r="AS2050" t="inlineStr">
        <is>
          <t>cmm55w57p0004cuisfrtpqly8</t>
        </is>
      </c>
      <c r="AT2050" t="inlineStr">
        <is>
          <t>cmm4xvu980000cuh4vj0usz09</t>
        </is>
      </c>
      <c r="AU2050" t="inlineStr"/>
      <c r="AV2050" t="inlineStr">
        <is>
          <t>Kommun</t>
        </is>
      </c>
      <c r="AW2050" t="inlineStr"/>
      <c r="AX2050" t="inlineStr">
        <is>
          <t>2026-02</t>
        </is>
      </c>
      <c r="AY2050" t="inlineStr">
        <is>
          <t>Beslut</t>
        </is>
      </c>
      <c r="AZ2050" t="inlineStr">
        <is>
          <t>2026-02-03</t>
        </is>
      </c>
      <c r="BA2050" t="inlineStr">
        <is>
          <t>MIL20241945pdf_976490.pdf</t>
        </is>
      </c>
      <c r="BB2050" t="inlineStr">
        <is>
          <t>Begäran om allmän handling i ärende  MIL.2026.363</t>
        </is>
      </c>
      <c r="BC2050" t="inlineStr">
        <is>
          <t>AUTO</t>
        </is>
      </c>
      <c r="BD2050" t="inlineStr"/>
      <c r="BE2050" t="inlineStr"/>
      <c r="BF2050" t="inlineStr">
        <is>
          <t>AUTO_GENERERAD. Bekrafta metadata mot kallfil.</t>
        </is>
      </c>
      <c r="BG2050">
        <f>HYPERLINK("C:\Users\jimmy\Desktop\Examens arbete\Kod\Ny mapp\remix_-copy-of-miljöbeslut.se-portal\MIL20241945pdf_976490.pdf", "Öppna PDF")</f>
        <v/>
      </c>
    </row>
    <row r="2051">
      <c r="A2051" t="inlineStr">
        <is>
          <t>KRAV-AUTO-002050</t>
        </is>
      </c>
      <c r="B2051" t="inlineStr">
        <is>
          <t>ADMIN-INDEX-2026-02-27-00000000125C043F57453246863FE664CAFE6A3F0700950291EA24F0614FB6ACEDB12BF0E31D00000000010C0000950291EA24F0614FB6ACEDB12BF0E31D00002087B18A0000</t>
        </is>
      </c>
      <c r="C2051" t="inlineStr">
        <is>
          <t>cmm4yunjk00qzcuqwk63rffi6</t>
        </is>
      </c>
      <c r="D2051" t="inlineStr">
        <is>
          <t>http://localhost:8787/api/admin/requirements/documents/cmm4yunjk00qzcuqwk63rffi6/view</t>
        </is>
      </c>
      <c r="E2051">
        <f>HYPERLÄNK("http://localhost:8787/api/admin/requirements/documents/cmm4yunjk00qzcuqwk63rffi6/view";"Öppna PDF")</f>
        <v/>
      </c>
      <c r="F2051">
        <f>HYPERLINK("http://localhost:8787/api/admin/requirements/documents/cmm4yunjk00qzcuqwk63rffi6/view","Open PDF")</f>
        <v/>
      </c>
      <c r="G2051" t="inlineStr">
        <is>
          <t>cmm55w57p0004cuisfrtpqly8</t>
        </is>
      </c>
      <c r="H2051" t="inlineStr">
        <is>
          <t>Beslutsvillkor</t>
        </is>
      </c>
      <c r="I2051" t="inlineStr">
        <is>
          <t>DriftEgenkontroll</t>
        </is>
      </c>
      <c r="J2051" t="inlineStr">
        <is>
          <t>Journalforing</t>
        </is>
      </c>
      <c r="K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t>
        </is>
      </c>
      <c r="M2051" t="inlineStr">
        <is>
          <t>SKA</t>
        </is>
      </c>
      <c r="N2051" t="inlineStr"/>
      <c r="O2051" t="inlineStr"/>
      <c r="P2051" t="inlineStr"/>
      <c r="Q2051" t="inlineStr"/>
      <c r="R2051" t="inlineStr">
        <is>
          <t>Lopande drift</t>
        </is>
      </c>
      <c r="S2051" t="inlineStr"/>
      <c r="T2051" t="inlineStr">
        <is>
          <t>910445</t>
        </is>
      </c>
      <c r="U2051" t="inlineStr"/>
      <c r="V2051" t="inlineStr"/>
      <c r="W2051" t="inlineStr">
        <is>
          <t>Nej</t>
        </is>
      </c>
      <c r="X2051" t="inlineStr">
        <is>
          <t>Nej</t>
        </is>
      </c>
      <c r="Y2051" t="inlineStr">
        <is>
          <t>Ja</t>
        </is>
      </c>
      <c r="Z2051" t="inlineStr">
        <is>
          <t>Nej</t>
        </is>
      </c>
      <c r="AA2051" t="n">
        <v>7</v>
      </c>
      <c r="AB2051" t="inlineStr">
        <is>
          <t>Egenkontrollrutiner</t>
        </is>
      </c>
      <c r="AC2051" t="inlineStr">
        <is>
          <t>Egenkontrollprogram</t>
        </is>
      </c>
      <c r="AD2051" t="inlineStr">
        <is>
          <t>Nej</t>
        </is>
      </c>
      <c r="AE2051" t="inlineStr">
        <is>
          <t>Nej</t>
        </is>
      </c>
      <c r="AF2051" t="inlineStr">
        <is>
          <t>Ej behandlad</t>
        </is>
      </c>
      <c r="AG2051" t="inlineStr">
        <is>
          <t>AUTO_GENERERAD. Verifiera citat mot kallfil.</t>
        </is>
      </c>
      <c r="AH2051" t="inlineStr">
        <is>
          <t>MEDIUM</t>
        </is>
      </c>
      <c r="AI2051" t="inlineStr">
        <is>
          <t>AUTO</t>
        </is>
      </c>
      <c r="AJ2051" t="inlineStr">
        <is>
          <t>Nej</t>
        </is>
      </c>
      <c r="AK2051" t="inlineStr"/>
      <c r="AL2051" t="inlineStr"/>
      <c r="AM2051" t="inlineStr"/>
      <c r="AN2051" t="inlineStr"/>
      <c r="AO2051" t="inlineStr">
        <is>
          <t>cmm4yunjq00r5cuqwww7lwlot</t>
        </is>
      </c>
      <c r="AP2051" t="inlineStr">
        <is>
          <t>http://localhost:8787/api/admin/requirements/documents/cmm4yunjq00r5cuqwww7lwlot/view</t>
        </is>
      </c>
      <c r="AQ2051">
        <f>HYPERLÄNK("http://localhost:8787/api/admin/requirements/documents/cmm4yunjq00r5cuqwww7lwlot/view";"Öppna PDF")</f>
        <v/>
      </c>
      <c r="AR2051">
        <f>HYPERLINK("http://localhost:8787/api/admin/requirements/documents/cmm4yunjq00r5cuqwww7lwlot/view","Open PDF")</f>
        <v/>
      </c>
      <c r="AS2051" t="inlineStr">
        <is>
          <t>cmm55w57p0004cuisfrtpqly8</t>
        </is>
      </c>
      <c r="AT2051" t="inlineStr">
        <is>
          <t>cmm4xvu980000cuh4vj0usz09</t>
        </is>
      </c>
      <c r="AU2051" t="inlineStr"/>
      <c r="AV2051" t="inlineStr">
        <is>
          <t>Kommun</t>
        </is>
      </c>
      <c r="AW2051" t="inlineStr"/>
      <c r="AX2051" t="inlineStr">
        <is>
          <t>2026-02</t>
        </is>
      </c>
      <c r="AY2051" t="inlineStr">
        <is>
          <t>Beslut</t>
        </is>
      </c>
      <c r="AZ2051" t="inlineStr">
        <is>
          <t>2026-02-03</t>
        </is>
      </c>
      <c r="BA2051" t="inlineStr">
        <is>
          <t>MIL20241945pdf_976490.pdf</t>
        </is>
      </c>
      <c r="BB2051" t="inlineStr">
        <is>
          <t>Begäran om allmän handling i ärende  MIL.2026.363</t>
        </is>
      </c>
      <c r="BC2051" t="inlineStr">
        <is>
          <t>AUTO</t>
        </is>
      </c>
      <c r="BD2051" t="inlineStr"/>
      <c r="BE2051" t="inlineStr"/>
      <c r="BF2051" t="inlineStr">
        <is>
          <t>AUTO_GENERERAD. Bekrafta metadata mot kallfil.</t>
        </is>
      </c>
      <c r="BG2051">
        <f>HYPERLINK("C:\Users\jimmy\Desktop\Examens arbete\Kod\Ny mapp\remix_-copy-of-miljöbeslut.se-portal\MIL20241945pdf_976490.pdf", "Öppna PDF")</f>
        <v/>
      </c>
    </row>
    <row r="2052">
      <c r="A2052" t="inlineStr">
        <is>
          <t>KRAV-AUTO-002051</t>
        </is>
      </c>
      <c r="B2052" t="inlineStr">
        <is>
          <t>ADMIN-INDEX-2026-02-27-00000000125C043F57453246863FE664CAFE6A3F0700950291EA24F0614FB6ACEDB12BF0E31D00000000010C0000950291EA24F0614FB6ACEDB12BF0E31D00002087B18A0000</t>
        </is>
      </c>
      <c r="C2052" t="inlineStr">
        <is>
          <t>cmm4yunjk00qzcuqwk63rffi6</t>
        </is>
      </c>
      <c r="D2052" t="inlineStr">
        <is>
          <t>http://localhost:8787/api/admin/requirements/documents/cmm4yunjk00qzcuqwk63rffi6/view</t>
        </is>
      </c>
      <c r="E2052">
        <f>HYPERLÄNK("http://localhost:8787/api/admin/requirements/documents/cmm4yunjk00qzcuqwk63rffi6/view";"Öppna PDF")</f>
        <v/>
      </c>
      <c r="F2052">
        <f>HYPERLINK("http://localhost:8787/api/admin/requirements/documents/cmm4yunjk00qzcuqwk63rffi6/view","Open PDF")</f>
        <v/>
      </c>
      <c r="G2052" t="inlineStr">
        <is>
          <t>cmm55w57p0004cuisfrtpqly8</t>
        </is>
      </c>
      <c r="H2052" t="inlineStr">
        <is>
          <t>Beslutsvillkor</t>
        </is>
      </c>
      <c r="I2052" t="inlineStr">
        <is>
          <t>Riskhantering</t>
        </is>
      </c>
      <c r="J2052" t="inlineStr">
        <is>
          <t>Riskkontroll</t>
        </is>
      </c>
      <c r="K2052" t="inlineStr">
        <is>
          <t>Täckning ska med hänsyn till risk för luktolägenhet göras i snar anslutning till uppläggning.</t>
        </is>
      </c>
      <c r="L2052" t="inlineStr">
        <is>
          <t>Täckning ska med hänsyn till risk för luktolägenhet göras i snar anslutning till uppläggning.</t>
        </is>
      </c>
      <c r="M2052" t="inlineStr">
        <is>
          <t>SKA</t>
        </is>
      </c>
      <c r="N2052" t="inlineStr"/>
      <c r="O2052" t="inlineStr"/>
      <c r="P2052" t="inlineStr"/>
      <c r="Q2052" t="inlineStr"/>
      <c r="R2052" t="inlineStr">
        <is>
          <t>Vid risk for incident</t>
        </is>
      </c>
      <c r="S2052" t="inlineStr"/>
      <c r="T2052" t="inlineStr">
        <is>
          <t>910445</t>
        </is>
      </c>
      <c r="U2052" t="inlineStr"/>
      <c r="V2052" t="inlineStr"/>
      <c r="W2052" t="inlineStr">
        <is>
          <t>Nej</t>
        </is>
      </c>
      <c r="X2052" t="inlineStr">
        <is>
          <t>Nej</t>
        </is>
      </c>
      <c r="Y2052" t="inlineStr">
        <is>
          <t>Ja</t>
        </is>
      </c>
      <c r="Z2052" t="inlineStr">
        <is>
          <t>Ja</t>
        </is>
      </c>
      <c r="AA2052" t="n">
        <v>8</v>
      </c>
      <c r="AB2052" t="inlineStr">
        <is>
          <t>Riskhantering</t>
        </is>
      </c>
      <c r="AC2052" t="inlineStr">
        <is>
          <t>Risk-PM</t>
        </is>
      </c>
      <c r="AD2052" t="inlineStr">
        <is>
          <t>Nej</t>
        </is>
      </c>
      <c r="AE2052" t="inlineStr">
        <is>
          <t>Nej</t>
        </is>
      </c>
      <c r="AF2052" t="inlineStr">
        <is>
          <t>Ej behandlad</t>
        </is>
      </c>
      <c r="AG2052" t="inlineStr">
        <is>
          <t>AUTO_GENERERAD. Verifiera citat mot kallfil.</t>
        </is>
      </c>
      <c r="AH2052" t="inlineStr">
        <is>
          <t>MEDIUM</t>
        </is>
      </c>
      <c r="AI2052" t="inlineStr">
        <is>
          <t>AUTO</t>
        </is>
      </c>
      <c r="AJ2052" t="inlineStr">
        <is>
          <t>Nej</t>
        </is>
      </c>
      <c r="AK2052" t="inlineStr"/>
      <c r="AL2052" t="inlineStr"/>
      <c r="AM2052" t="inlineStr"/>
      <c r="AN2052" t="inlineStr"/>
      <c r="AO2052" t="inlineStr">
        <is>
          <t>cmm4yunjq00r5cuqwww7lwlot</t>
        </is>
      </c>
      <c r="AP2052" t="inlineStr">
        <is>
          <t>http://localhost:8787/api/admin/requirements/documents/cmm4yunjq00r5cuqwww7lwlot/view</t>
        </is>
      </c>
      <c r="AQ2052">
        <f>HYPERLÄNK("http://localhost:8787/api/admin/requirements/documents/cmm4yunjq00r5cuqwww7lwlot/view";"Öppna PDF")</f>
        <v/>
      </c>
      <c r="AR2052">
        <f>HYPERLINK("http://localhost:8787/api/admin/requirements/documents/cmm4yunjq00r5cuqwww7lwlot/view","Open PDF")</f>
        <v/>
      </c>
      <c r="AS2052" t="inlineStr">
        <is>
          <t>cmm55w57p0004cuisfrtpqly8</t>
        </is>
      </c>
      <c r="AT2052" t="inlineStr">
        <is>
          <t>cmm4xvu980000cuh4vj0usz09</t>
        </is>
      </c>
      <c r="AU2052" t="inlineStr"/>
      <c r="AV2052" t="inlineStr">
        <is>
          <t>Kommun</t>
        </is>
      </c>
      <c r="AW2052" t="inlineStr"/>
      <c r="AX2052" t="inlineStr">
        <is>
          <t>2026-02</t>
        </is>
      </c>
      <c r="AY2052" t="inlineStr">
        <is>
          <t>Beslut</t>
        </is>
      </c>
      <c r="AZ2052" t="inlineStr">
        <is>
          <t>2026-02-03</t>
        </is>
      </c>
      <c r="BA2052" t="inlineStr">
        <is>
          <t>MIL20241945pdf_976490.pdf</t>
        </is>
      </c>
      <c r="BB2052" t="inlineStr">
        <is>
          <t>Begäran om allmän handling i ärende  MIL.2026.363</t>
        </is>
      </c>
      <c r="BC2052" t="inlineStr">
        <is>
          <t>AUTO</t>
        </is>
      </c>
      <c r="BD2052" t="inlineStr"/>
      <c r="BE2052" t="inlineStr"/>
      <c r="BF2052" t="inlineStr">
        <is>
          <t>AUTO_GENERERAD. Bekrafta metadata mot kallfil.</t>
        </is>
      </c>
      <c r="BG2052">
        <f>HYPERLINK("C:\Users\jimmy\Desktop\Examens arbete\Kod\Ny mapp\remix_-copy-of-miljöbeslut.se-portal\MIL20241945pdf_976490.pdf", "Öppna PDF")</f>
        <v/>
      </c>
    </row>
    <row r="2053">
      <c r="A2053" t="inlineStr">
        <is>
          <t>KRAV-AUTO-002052</t>
        </is>
      </c>
      <c r="B2053" t="inlineStr">
        <is>
          <t>ADMIN-INDEX-2026-02-27-00000000125C043F57453246863FE664CAFE6A3F0700950291EA24F0614FB6ACEDB12BF0E31D00000000010C0000950291EA24F0614FB6ACEDB12BF0E31D00002087B18A0000</t>
        </is>
      </c>
      <c r="C2053" t="inlineStr">
        <is>
          <t>cmm4yunjh00qwcuqwpj591p31</t>
        </is>
      </c>
      <c r="D2053" t="inlineStr">
        <is>
          <t>http://localhost:8787/api/admin/requirements/documents/cmm4yunjh00qwcuqwpj591p31/view</t>
        </is>
      </c>
      <c r="E2053">
        <f>HYPERLÄNK("http://localhost:8787/api/admin/requirements/documents/cmm4yunjh00qwcuqwpj591p31/view";"Öppna PDF")</f>
        <v/>
      </c>
      <c r="F2053">
        <f>HYPERLINK("http://localhost:8787/api/admin/requirements/documents/cmm4yunjh00qwcuqwpj591p31/view","Open PDF")</f>
        <v/>
      </c>
      <c r="G2053" t="inlineStr">
        <is>
          <t>cmm55w57p0004cuisfrtpqly8</t>
        </is>
      </c>
      <c r="H2053" t="inlineStr">
        <is>
          <t>Beslutsvillkor</t>
        </is>
      </c>
      <c r="I2053" t="inlineStr">
        <is>
          <t>DagvattenLakvatten</t>
        </is>
      </c>
      <c r="J2053" t="inlineStr">
        <is>
          <t>Uppsamling</t>
        </is>
      </c>
      <c r="K2053" t="inlineStr">
        <is>
          <t>Lagringen ska ske så att risken för uppkomst av lakvatten från rötslammet minimeras.</t>
        </is>
      </c>
      <c r="L2053" t="inlineStr">
        <is>
          <t>Lagringen ska ske så att risken för uppkomst av lakvatten från rötslammet minimeras.</t>
        </is>
      </c>
      <c r="M2053" t="inlineStr">
        <is>
          <t>SKA</t>
        </is>
      </c>
      <c r="N2053" t="inlineStr"/>
      <c r="O2053" t="inlineStr"/>
      <c r="P2053" t="inlineStr"/>
      <c r="Q2053" t="inlineStr"/>
      <c r="R2053" t="inlineStr">
        <is>
          <t>Vid nederbord och avrinning</t>
        </is>
      </c>
      <c r="S2053" t="inlineStr"/>
      <c r="T2053" t="inlineStr">
        <is>
          <t>910268</t>
        </is>
      </c>
      <c r="U2053" t="inlineStr"/>
      <c r="V2053" t="inlineStr"/>
      <c r="W2053" t="inlineStr">
        <is>
          <t>Nej</t>
        </is>
      </c>
      <c r="X2053" t="inlineStr">
        <is>
          <t>Ja</t>
        </is>
      </c>
      <c r="Y2053" t="inlineStr">
        <is>
          <t>Ja</t>
        </is>
      </c>
      <c r="Z2053" t="inlineStr">
        <is>
          <t>Nej</t>
        </is>
      </c>
      <c r="AA2053" t="n">
        <v>6</v>
      </c>
      <c r="AB2053" t="inlineStr">
        <is>
          <t>Lakvattenhantering</t>
        </is>
      </c>
      <c r="AC2053" t="inlineStr">
        <is>
          <t>Flodesschema dagvatten-lakvatten</t>
        </is>
      </c>
      <c r="AD2053" t="inlineStr">
        <is>
          <t>Nej</t>
        </is>
      </c>
      <c r="AE2053" t="inlineStr">
        <is>
          <t>Nej</t>
        </is>
      </c>
      <c r="AF2053" t="inlineStr">
        <is>
          <t>Ej behandlad</t>
        </is>
      </c>
      <c r="AG2053" t="inlineStr">
        <is>
          <t>AUTO_GENERERAD. Verifiera citat mot kallfil.</t>
        </is>
      </c>
      <c r="AH2053" t="inlineStr">
        <is>
          <t>MEDIUM</t>
        </is>
      </c>
      <c r="AI2053" t="inlineStr">
        <is>
          <t>AUTO</t>
        </is>
      </c>
      <c r="AJ2053" t="inlineStr">
        <is>
          <t>Nej</t>
        </is>
      </c>
      <c r="AK2053" t="inlineStr"/>
      <c r="AL2053" t="inlineStr"/>
      <c r="AM2053" t="inlineStr"/>
      <c r="AN2053" t="inlineStr"/>
      <c r="AO2053" t="inlineStr">
        <is>
          <t>cmm4yunjq00r5cuqwww7lwlot</t>
        </is>
      </c>
      <c r="AP2053" t="inlineStr">
        <is>
          <t>http://localhost:8787/api/admin/requirements/documents/cmm4yunjq00r5cuqwww7lwlot/view</t>
        </is>
      </c>
      <c r="AQ2053">
        <f>HYPERLÄNK("http://localhost:8787/api/admin/requirements/documents/cmm4yunjq00r5cuqwww7lwlot/view";"Öppna PDF")</f>
        <v/>
      </c>
      <c r="AR2053">
        <f>HYPERLINK("http://localhost:8787/api/admin/requirements/documents/cmm4yunjq00r5cuqwww7lwlot/view","Open PDF")</f>
        <v/>
      </c>
      <c r="AS2053" t="inlineStr">
        <is>
          <t>cmm55w57p0004cuisfrtpqly8</t>
        </is>
      </c>
      <c r="AT2053" t="inlineStr">
        <is>
          <t>cmm4xvu980000cuh4vj0usz09</t>
        </is>
      </c>
      <c r="AU2053" t="inlineStr"/>
      <c r="AV2053" t="inlineStr">
        <is>
          <t>Kommun</t>
        </is>
      </c>
      <c r="AW2053" t="inlineStr"/>
      <c r="AX2053" t="inlineStr">
        <is>
          <t>2026-02</t>
        </is>
      </c>
      <c r="AY2053" t="inlineStr">
        <is>
          <t>Beslut</t>
        </is>
      </c>
      <c r="AZ2053" t="inlineStr">
        <is>
          <t>2026-02-03</t>
        </is>
      </c>
      <c r="BA2053" t="inlineStr">
        <is>
          <t>MIL20241945pdf_976490.pdf</t>
        </is>
      </c>
      <c r="BB2053" t="inlineStr">
        <is>
          <t>Begäran om allmän handling i ärende  MIL.2026.363</t>
        </is>
      </c>
      <c r="BC2053" t="inlineStr">
        <is>
          <t>AUTO</t>
        </is>
      </c>
      <c r="BD2053" t="inlineStr"/>
      <c r="BE2053" t="inlineStr"/>
      <c r="BF2053" t="inlineStr">
        <is>
          <t>AUTO_GENERERAD. Bekrafta metadata mot kallfil.</t>
        </is>
      </c>
      <c r="BG2053">
        <f>HYPERLINK("C:\Users\jimmy\Desktop\Examens arbete\Kod\Ny mapp\remix_-copy-of-miljöbeslut.se-portal\MIL20241945pdf_976490.pdf", "Öppna PDF")</f>
        <v/>
      </c>
    </row>
    <row r="2054">
      <c r="A2054" t="inlineStr">
        <is>
          <t>KRAV-AUTO-002053</t>
        </is>
      </c>
      <c r="B2054" t="inlineStr">
        <is>
          <t>ADMIN-INDEX-2026-02-27-00000000125C043F57453246863FE664CAFE6A3F0700950291EA24F0614FB6ACEDB12BF0E31D00000000010C0000950291EA24F0614FB6ACEDB12BF0E31D00002087B18A0000</t>
        </is>
      </c>
      <c r="C2054" t="inlineStr">
        <is>
          <t>cmm4yunjh00qwcuqwpj591p31</t>
        </is>
      </c>
      <c r="D2054" t="inlineStr">
        <is>
          <t>http://localhost:8787/api/admin/requirements/documents/cmm4yunjh00qwcuqwpj591p31/view</t>
        </is>
      </c>
      <c r="E2054">
        <f>HYPERLÄNK("http://localhost:8787/api/admin/requirements/documents/cmm4yunjh00qwcuqwpj591p31/view";"Öppna PDF")</f>
        <v/>
      </c>
      <c r="F2054">
        <f>HYPERLINK("http://localhost:8787/api/admin/requirements/documents/cmm4yunjh00qwcuqwpj591p31/view","Open PDF")</f>
        <v/>
      </c>
      <c r="G2054" t="inlineStr">
        <is>
          <t>cmm55w57p0004cuisfrtpqly8</t>
        </is>
      </c>
      <c r="H2054" t="inlineStr">
        <is>
          <t>Beslutsvillkor</t>
        </is>
      </c>
      <c r="I2054" t="inlineStr">
        <is>
          <t>DriftEgenkontroll</t>
        </is>
      </c>
      <c r="J2054" t="inlineStr">
        <is>
          <t>Journalforing</t>
        </is>
      </c>
      <c r="K2054" t="inlineStr">
        <is>
          <t>Jordprovtagningskarta bifogas.</t>
        </is>
      </c>
      <c r="L2054" t="inlineStr">
        <is>
          <t>Jordprovtagningskarta bifogas.</t>
        </is>
      </c>
      <c r="M2054" t="inlineStr">
        <is>
          <t>SKA</t>
        </is>
      </c>
      <c r="N2054" t="inlineStr"/>
      <c r="O2054" t="inlineStr"/>
      <c r="P2054" t="inlineStr"/>
      <c r="Q2054" t="inlineStr"/>
      <c r="R2054" t="inlineStr">
        <is>
          <t>Lopande drift</t>
        </is>
      </c>
      <c r="S2054" t="inlineStr"/>
      <c r="T2054" t="inlineStr">
        <is>
          <t>910268</t>
        </is>
      </c>
      <c r="U2054" t="inlineStr"/>
      <c r="V2054" t="inlineStr"/>
      <c r="W2054" t="inlineStr">
        <is>
          <t>Nej</t>
        </is>
      </c>
      <c r="X2054" t="inlineStr">
        <is>
          <t>Nej</t>
        </is>
      </c>
      <c r="Y2054" t="inlineStr">
        <is>
          <t>Ja</t>
        </is>
      </c>
      <c r="Z2054" t="inlineStr">
        <is>
          <t>Nej</t>
        </is>
      </c>
      <c r="AA2054" t="n">
        <v>7</v>
      </c>
      <c r="AB2054" t="inlineStr">
        <is>
          <t>Egenkontrollrutiner</t>
        </is>
      </c>
      <c r="AC2054" t="inlineStr">
        <is>
          <t>Egenkontrollprogram</t>
        </is>
      </c>
      <c r="AD2054" t="inlineStr">
        <is>
          <t>Nej</t>
        </is>
      </c>
      <c r="AE2054" t="inlineStr">
        <is>
          <t>Nej</t>
        </is>
      </c>
      <c r="AF2054" t="inlineStr">
        <is>
          <t>Ej behandlad</t>
        </is>
      </c>
      <c r="AG2054" t="inlineStr">
        <is>
          <t>AUTO_GENERERAD. Verifiera citat mot kallfil.</t>
        </is>
      </c>
      <c r="AH2054" t="inlineStr">
        <is>
          <t>LOW</t>
        </is>
      </c>
      <c r="AI2054" t="inlineStr">
        <is>
          <t>AUTO</t>
        </is>
      </c>
      <c r="AJ2054" t="inlineStr">
        <is>
          <t>Nej</t>
        </is>
      </c>
      <c r="AK2054" t="inlineStr"/>
      <c r="AL2054" t="inlineStr"/>
      <c r="AM2054" t="inlineStr"/>
      <c r="AN2054" t="inlineStr"/>
      <c r="AO2054" t="inlineStr">
        <is>
          <t>cmm4yunjq00r5cuqwww7lwlot</t>
        </is>
      </c>
      <c r="AP2054" t="inlineStr">
        <is>
          <t>http://localhost:8787/api/admin/requirements/documents/cmm4yunjq00r5cuqwww7lwlot/view</t>
        </is>
      </c>
      <c r="AQ2054">
        <f>HYPERLÄNK("http://localhost:8787/api/admin/requirements/documents/cmm4yunjq00r5cuqwww7lwlot/view";"Öppna PDF")</f>
        <v/>
      </c>
      <c r="AR2054">
        <f>HYPERLINK("http://localhost:8787/api/admin/requirements/documents/cmm4yunjq00r5cuqwww7lwlot/view","Open PDF")</f>
        <v/>
      </c>
      <c r="AS2054" t="inlineStr">
        <is>
          <t>cmm55w57p0004cuisfrtpqly8</t>
        </is>
      </c>
      <c r="AT2054" t="inlineStr">
        <is>
          <t>cmm4xvu980000cuh4vj0usz09</t>
        </is>
      </c>
      <c r="AU2054" t="inlineStr"/>
      <c r="AV2054" t="inlineStr">
        <is>
          <t>Kommun</t>
        </is>
      </c>
      <c r="AW2054" t="inlineStr"/>
      <c r="AX2054" t="inlineStr">
        <is>
          <t>2026-02</t>
        </is>
      </c>
      <c r="AY2054" t="inlineStr">
        <is>
          <t>Beslut</t>
        </is>
      </c>
      <c r="AZ2054" t="inlineStr">
        <is>
          <t>2026-02-03</t>
        </is>
      </c>
      <c r="BA2054" t="inlineStr">
        <is>
          <t>MIL20241945pdf_976490.pdf</t>
        </is>
      </c>
      <c r="BB2054" t="inlineStr">
        <is>
          <t>Begäran om allmän handling i ärende  MIL.2026.363</t>
        </is>
      </c>
      <c r="BC2054" t="inlineStr">
        <is>
          <t>AUTO</t>
        </is>
      </c>
      <c r="BD2054" t="inlineStr"/>
      <c r="BE2054" t="inlineStr"/>
      <c r="BF2054" t="inlineStr">
        <is>
          <t>AUTO_GENERERAD. Bekrafta metadata mot kallfil.</t>
        </is>
      </c>
      <c r="BG2054">
        <f>HYPERLINK("C:\Users\jimmy\Desktop\Examens arbete\Kod\Ny mapp\remix_-copy-of-miljöbeslut.se-portal\MIL20241945pdf_976490.pdf", "Öppna PDF")</f>
        <v/>
      </c>
    </row>
    <row r="2055">
      <c r="A2055" t="inlineStr">
        <is>
          <t>KRAV-AUTO-002054</t>
        </is>
      </c>
      <c r="B2055" t="inlineStr">
        <is>
          <t>ADMIN-INDEX-2026-02-27-00000000125C043F57453246863FE664CAFE6A3F0700950291EA24F0614FB6ACEDB12BF0E31D00000000010C0000950291EA24F0614FB6ACEDB12BF0E31D00002087B18A0000</t>
        </is>
      </c>
      <c r="C2055" t="inlineStr">
        <is>
          <t>cmm4yunjh00qwcuqwpj591p31</t>
        </is>
      </c>
      <c r="D2055" t="inlineStr">
        <is>
          <t>http://localhost:8787/api/admin/requirements/documents/cmm4yunjh00qwcuqwpj591p31/view</t>
        </is>
      </c>
      <c r="E2055">
        <f>HYPERLÄNK("http://localhost:8787/api/admin/requirements/documents/cmm4yunjh00qwcuqwpj591p31/view";"Öppna PDF")</f>
        <v/>
      </c>
      <c r="F2055">
        <f>HYPERLINK("http://localhost:8787/api/admin/requirements/documents/cmm4yunjh00qwcuqwpj591p31/view","Open PDF")</f>
        <v/>
      </c>
      <c r="G2055" t="inlineStr">
        <is>
          <t>cmm55w57p0004cuisfrtpqly8</t>
        </is>
      </c>
      <c r="H2055" t="inlineStr">
        <is>
          <t>Beslutsvillkor</t>
        </is>
      </c>
      <c r="I2055" t="inlineStr">
        <is>
          <t>Riskhantering</t>
        </is>
      </c>
      <c r="J2055" t="inlineStr">
        <is>
          <t>Riskkontroll</t>
        </is>
      </c>
      <c r="K2055" t="inlineStr">
        <is>
          <t>Täckning ska med hänsyn till risk för luktolägenhet göras i snar anslutning till uppläggning.</t>
        </is>
      </c>
      <c r="L2055" t="inlineStr">
        <is>
          <t>Täckning ska med hänsyn till risk för luktolägenhet göras i snar anslutning till uppläggning.</t>
        </is>
      </c>
      <c r="M2055" t="inlineStr">
        <is>
          <t>SKA</t>
        </is>
      </c>
      <c r="N2055" t="inlineStr"/>
      <c r="O2055" t="inlineStr"/>
      <c r="P2055" t="inlineStr"/>
      <c r="Q2055" t="inlineStr"/>
      <c r="R2055" t="inlineStr">
        <is>
          <t>Vid risk for incident</t>
        </is>
      </c>
      <c r="S2055" t="inlineStr"/>
      <c r="T2055" t="inlineStr">
        <is>
          <t>910268</t>
        </is>
      </c>
      <c r="U2055" t="inlineStr"/>
      <c r="V2055" t="inlineStr"/>
      <c r="W2055" t="inlineStr">
        <is>
          <t>Nej</t>
        </is>
      </c>
      <c r="X2055" t="inlineStr">
        <is>
          <t>Nej</t>
        </is>
      </c>
      <c r="Y2055" t="inlineStr">
        <is>
          <t>Ja</t>
        </is>
      </c>
      <c r="Z2055" t="inlineStr">
        <is>
          <t>Ja</t>
        </is>
      </c>
      <c r="AA2055" t="n">
        <v>8</v>
      </c>
      <c r="AB2055" t="inlineStr">
        <is>
          <t>Riskhantering</t>
        </is>
      </c>
      <c r="AC2055" t="inlineStr">
        <is>
          <t>Risk-PM</t>
        </is>
      </c>
      <c r="AD2055" t="inlineStr">
        <is>
          <t>Nej</t>
        </is>
      </c>
      <c r="AE2055" t="inlineStr">
        <is>
          <t>Nej</t>
        </is>
      </c>
      <c r="AF2055" t="inlineStr">
        <is>
          <t>Ej behandlad</t>
        </is>
      </c>
      <c r="AG2055" t="inlineStr">
        <is>
          <t>AUTO_GENERERAD. Verifiera citat mot kallfil.</t>
        </is>
      </c>
      <c r="AH2055" t="inlineStr">
        <is>
          <t>MEDIUM</t>
        </is>
      </c>
      <c r="AI2055" t="inlineStr">
        <is>
          <t>AUTO</t>
        </is>
      </c>
      <c r="AJ2055" t="inlineStr">
        <is>
          <t>Nej</t>
        </is>
      </c>
      <c r="AK2055" t="inlineStr"/>
      <c r="AL2055" t="inlineStr"/>
      <c r="AM2055" t="inlineStr"/>
      <c r="AN2055" t="inlineStr"/>
      <c r="AO2055" t="inlineStr">
        <is>
          <t>cmm4yunjq00r5cuqwww7lwlot</t>
        </is>
      </c>
      <c r="AP2055" t="inlineStr">
        <is>
          <t>http://localhost:8787/api/admin/requirements/documents/cmm4yunjq00r5cuqwww7lwlot/view</t>
        </is>
      </c>
      <c r="AQ2055">
        <f>HYPERLÄNK("http://localhost:8787/api/admin/requirements/documents/cmm4yunjq00r5cuqwww7lwlot/view";"Öppna PDF")</f>
        <v/>
      </c>
      <c r="AR2055">
        <f>HYPERLINK("http://localhost:8787/api/admin/requirements/documents/cmm4yunjq00r5cuqwww7lwlot/view","Open PDF")</f>
        <v/>
      </c>
      <c r="AS2055" t="inlineStr">
        <is>
          <t>cmm55w57p0004cuisfrtpqly8</t>
        </is>
      </c>
      <c r="AT2055" t="inlineStr">
        <is>
          <t>cmm4xvu980000cuh4vj0usz09</t>
        </is>
      </c>
      <c r="AU2055" t="inlineStr"/>
      <c r="AV2055" t="inlineStr">
        <is>
          <t>Kommun</t>
        </is>
      </c>
      <c r="AW2055" t="inlineStr"/>
      <c r="AX2055" t="inlineStr">
        <is>
          <t>2026-02</t>
        </is>
      </c>
      <c r="AY2055" t="inlineStr">
        <is>
          <t>Beslut</t>
        </is>
      </c>
      <c r="AZ2055" t="inlineStr">
        <is>
          <t>2026-02-03</t>
        </is>
      </c>
      <c r="BA2055" t="inlineStr">
        <is>
          <t>MIL20241945pdf_976490.pdf</t>
        </is>
      </c>
      <c r="BB2055" t="inlineStr">
        <is>
          <t>Begäran om allmän handling i ärende  MIL.2026.363</t>
        </is>
      </c>
      <c r="BC2055" t="inlineStr">
        <is>
          <t>AUTO</t>
        </is>
      </c>
      <c r="BD2055" t="inlineStr"/>
      <c r="BE2055" t="inlineStr"/>
      <c r="BF2055" t="inlineStr">
        <is>
          <t>AUTO_GENERERAD. Bekrafta metadata mot kallfil.</t>
        </is>
      </c>
      <c r="BG2055">
        <f>HYPERLINK("C:\Users\jimmy\Desktop\Examens arbete\Kod\Ny mapp\remix_-copy-of-miljöbeslut.se-portal\MIL20241945pdf_976490.pdf", "Öppna PDF")</f>
        <v/>
      </c>
    </row>
    <row r="2056">
      <c r="A2056" t="inlineStr">
        <is>
          <t>KRAV-AUTO-002055</t>
        </is>
      </c>
      <c r="B2056" t="inlineStr">
        <is>
          <t>ADMIN-INDEX-2026-02-27-00000000125C043F57453246863FE664CAFE6A3F0700950291EA24F0614FB6ACEDB12BF0E31D00000000010C0000950291EA24F0614FB6ACEDB12BF0E31D00002087B18A0000</t>
        </is>
      </c>
      <c r="C2056" t="inlineStr">
        <is>
          <t>cmm4yunje00qtcuqwm6mwk29h</t>
        </is>
      </c>
      <c r="D2056" t="inlineStr">
        <is>
          <t>http://localhost:8787/api/admin/requirements/documents/cmm4yunje00qtcuqwm6mwk29h/view</t>
        </is>
      </c>
      <c r="E2056">
        <f>HYPERLÄNK("http://localhost:8787/api/admin/requirements/documents/cmm4yunje00qtcuqwm6mwk29h/view";"Öppna PDF")</f>
        <v/>
      </c>
      <c r="F2056">
        <f>HYPERLINK("http://localhost:8787/api/admin/requirements/documents/cmm4yunje00qtcuqwm6mwk29h/view","Open PDF")</f>
        <v/>
      </c>
      <c r="G2056" t="inlineStr">
        <is>
          <t>cmm55w57p0004cuisfrtpqly8</t>
        </is>
      </c>
      <c r="H2056" t="inlineStr">
        <is>
          <t>Beslutsvillkor</t>
        </is>
      </c>
      <c r="I2056" t="inlineStr">
        <is>
          <t>DagvattenLakvatten</t>
        </is>
      </c>
      <c r="J2056" t="inlineStr">
        <is>
          <t>Uppsamling</t>
        </is>
      </c>
      <c r="K2056" t="inlineStr">
        <is>
          <t>Lagringen ska ske så att risken för uppkomst av lakvatten från rötslammet minimeras.</t>
        </is>
      </c>
      <c r="L2056" t="inlineStr">
        <is>
          <t>Lagringen ska ske så att risken för uppkomst av lakvatten från rötslammet minimeras.</t>
        </is>
      </c>
      <c r="M2056" t="inlineStr">
        <is>
          <t>SKA</t>
        </is>
      </c>
      <c r="N2056" t="inlineStr"/>
      <c r="O2056" t="inlineStr"/>
      <c r="P2056" t="inlineStr"/>
      <c r="Q2056" t="inlineStr"/>
      <c r="R2056" t="inlineStr">
        <is>
          <t>Vid nederbord och avrinning</t>
        </is>
      </c>
      <c r="S2056" t="inlineStr"/>
      <c r="T2056" t="inlineStr">
        <is>
          <t>916524</t>
        </is>
      </c>
      <c r="U2056" t="inlineStr"/>
      <c r="V2056" t="inlineStr"/>
      <c r="W2056" t="inlineStr">
        <is>
          <t>Nej</t>
        </is>
      </c>
      <c r="X2056" t="inlineStr">
        <is>
          <t>Ja</t>
        </is>
      </c>
      <c r="Y2056" t="inlineStr">
        <is>
          <t>Ja</t>
        </is>
      </c>
      <c r="Z2056" t="inlineStr">
        <is>
          <t>Nej</t>
        </is>
      </c>
      <c r="AA2056" t="n">
        <v>6</v>
      </c>
      <c r="AB2056" t="inlineStr">
        <is>
          <t>Lakvattenhantering</t>
        </is>
      </c>
      <c r="AC2056" t="inlineStr">
        <is>
          <t>Flodesschema dagvatten-lakvatten</t>
        </is>
      </c>
      <c r="AD2056" t="inlineStr">
        <is>
          <t>Nej</t>
        </is>
      </c>
      <c r="AE2056" t="inlineStr">
        <is>
          <t>Nej</t>
        </is>
      </c>
      <c r="AF2056" t="inlineStr">
        <is>
          <t>Ej behandlad</t>
        </is>
      </c>
      <c r="AG2056" t="inlineStr">
        <is>
          <t>AUTO_GENERERAD. Verifiera citat mot kallfil.</t>
        </is>
      </c>
      <c r="AH2056" t="inlineStr">
        <is>
          <t>MEDIUM</t>
        </is>
      </c>
      <c r="AI2056" t="inlineStr">
        <is>
          <t>AUTO</t>
        </is>
      </c>
      <c r="AJ2056" t="inlineStr">
        <is>
          <t>Nej</t>
        </is>
      </c>
      <c r="AK2056" t="inlineStr"/>
      <c r="AL2056" t="inlineStr"/>
      <c r="AM2056" t="inlineStr"/>
      <c r="AN2056" t="inlineStr"/>
      <c r="AO2056" t="inlineStr">
        <is>
          <t>cmm4yunjq00r5cuqwww7lwlot</t>
        </is>
      </c>
      <c r="AP2056" t="inlineStr">
        <is>
          <t>http://localhost:8787/api/admin/requirements/documents/cmm4yunjq00r5cuqwww7lwlot/view</t>
        </is>
      </c>
      <c r="AQ2056">
        <f>HYPERLÄNK("http://localhost:8787/api/admin/requirements/documents/cmm4yunjq00r5cuqwww7lwlot/view";"Öppna PDF")</f>
        <v/>
      </c>
      <c r="AR2056">
        <f>HYPERLINK("http://localhost:8787/api/admin/requirements/documents/cmm4yunjq00r5cuqwww7lwlot/view","Open PDF")</f>
        <v/>
      </c>
      <c r="AS2056" t="inlineStr">
        <is>
          <t>cmm55w57p0004cuisfrtpqly8</t>
        </is>
      </c>
      <c r="AT2056" t="inlineStr">
        <is>
          <t>cmm4xvu980000cuh4vj0usz09</t>
        </is>
      </c>
      <c r="AU2056" t="inlineStr"/>
      <c r="AV2056" t="inlineStr">
        <is>
          <t>Kommun</t>
        </is>
      </c>
      <c r="AW2056" t="inlineStr"/>
      <c r="AX2056" t="inlineStr">
        <is>
          <t>2026-02</t>
        </is>
      </c>
      <c r="AY2056" t="inlineStr">
        <is>
          <t>Beslut</t>
        </is>
      </c>
      <c r="AZ2056" t="inlineStr">
        <is>
          <t>2026-02-03</t>
        </is>
      </c>
      <c r="BA2056" t="inlineStr">
        <is>
          <t>MIL20241945pdf_976490.pdf</t>
        </is>
      </c>
      <c r="BB2056" t="inlineStr">
        <is>
          <t>Begäran om allmän handling i ärende  MIL.2026.363</t>
        </is>
      </c>
      <c r="BC2056" t="inlineStr">
        <is>
          <t>AUTO</t>
        </is>
      </c>
      <c r="BD2056" t="inlineStr"/>
      <c r="BE2056" t="inlineStr"/>
      <c r="BF2056" t="inlineStr">
        <is>
          <t>AUTO_GENERERAD. Bekrafta metadata mot kallfil.</t>
        </is>
      </c>
      <c r="BG2056">
        <f>HYPERLINK("C:\Users\jimmy\Desktop\Examens arbete\Kod\Ny mapp\remix_-copy-of-miljöbeslut.se-portal\MIL20241945pdf_976490.pdf", "Öppna PDF")</f>
        <v/>
      </c>
    </row>
    <row r="2057">
      <c r="A2057" t="inlineStr">
        <is>
          <t>KRAV-AUTO-002056</t>
        </is>
      </c>
      <c r="B2057" t="inlineStr">
        <is>
          <t>ADMIN-INDEX-2026-02-27-00000000125C043F57453246863FE664CAFE6A3F0700950291EA24F0614FB6ACEDB12BF0E31D00000000010C0000950291EA24F0614FB6ACEDB12BF0E31D00002087B18A0000</t>
        </is>
      </c>
      <c r="C2057" t="inlineStr">
        <is>
          <t>cmm4yunje00qtcuqwm6mwk29h</t>
        </is>
      </c>
      <c r="D2057" t="inlineStr">
        <is>
          <t>http://localhost:8787/api/admin/requirements/documents/cmm4yunje00qtcuqwm6mwk29h/view</t>
        </is>
      </c>
      <c r="E2057">
        <f>HYPERLÄNK("http://localhost:8787/api/admin/requirements/documents/cmm4yunje00qtcuqwm6mwk29h/view";"Öppna PDF")</f>
        <v/>
      </c>
      <c r="F2057">
        <f>HYPERLINK("http://localhost:8787/api/admin/requirements/documents/cmm4yunje00qtcuqwm6mwk29h/view","Open PDF")</f>
        <v/>
      </c>
      <c r="G2057" t="inlineStr">
        <is>
          <t>cmm55w57p0004cuisfrtpqly8</t>
        </is>
      </c>
      <c r="H2057" t="inlineStr">
        <is>
          <t>Beslutsvillkor</t>
        </is>
      </c>
      <c r="I2057" t="inlineStr">
        <is>
          <t>Riskhantering</t>
        </is>
      </c>
      <c r="J2057" t="inlineStr">
        <is>
          <t>Riskkontroll</t>
        </is>
      </c>
      <c r="K2057" t="inlineStr">
        <is>
          <t>Täckning ska med hänsyn till risk för luktolägenhet göras i snar anslutning till uppläggning.</t>
        </is>
      </c>
      <c r="L2057" t="inlineStr">
        <is>
          <t>Täckning ska med hänsyn till risk för luktolägenhet göras i snar anslutning till uppläggning.</t>
        </is>
      </c>
      <c r="M2057" t="inlineStr">
        <is>
          <t>SKA</t>
        </is>
      </c>
      <c r="N2057" t="inlineStr"/>
      <c r="O2057" t="inlineStr"/>
      <c r="P2057" t="inlineStr"/>
      <c r="Q2057" t="inlineStr"/>
      <c r="R2057" t="inlineStr">
        <is>
          <t>Vid risk for incident</t>
        </is>
      </c>
      <c r="S2057" t="inlineStr"/>
      <c r="T2057" t="inlineStr">
        <is>
          <t>916524</t>
        </is>
      </c>
      <c r="U2057" t="inlineStr"/>
      <c r="V2057" t="inlineStr"/>
      <c r="W2057" t="inlineStr">
        <is>
          <t>Nej</t>
        </is>
      </c>
      <c r="X2057" t="inlineStr">
        <is>
          <t>Nej</t>
        </is>
      </c>
      <c r="Y2057" t="inlineStr">
        <is>
          <t>Ja</t>
        </is>
      </c>
      <c r="Z2057" t="inlineStr">
        <is>
          <t>Ja</t>
        </is>
      </c>
      <c r="AA2057" t="n">
        <v>8</v>
      </c>
      <c r="AB2057" t="inlineStr">
        <is>
          <t>Riskhantering</t>
        </is>
      </c>
      <c r="AC2057" t="inlineStr">
        <is>
          <t>Risk-PM</t>
        </is>
      </c>
      <c r="AD2057" t="inlineStr">
        <is>
          <t>Nej</t>
        </is>
      </c>
      <c r="AE2057" t="inlineStr">
        <is>
          <t>Nej</t>
        </is>
      </c>
      <c r="AF2057" t="inlineStr">
        <is>
          <t>Ej behandlad</t>
        </is>
      </c>
      <c r="AG2057" t="inlineStr">
        <is>
          <t>AUTO_GENERERAD. Verifiera citat mot kallfil.</t>
        </is>
      </c>
      <c r="AH2057" t="inlineStr">
        <is>
          <t>MEDIUM</t>
        </is>
      </c>
      <c r="AI2057" t="inlineStr">
        <is>
          <t>AUTO</t>
        </is>
      </c>
      <c r="AJ2057" t="inlineStr">
        <is>
          <t>Nej</t>
        </is>
      </c>
      <c r="AK2057" t="inlineStr"/>
      <c r="AL2057" t="inlineStr"/>
      <c r="AM2057" t="inlineStr"/>
      <c r="AN2057" t="inlineStr"/>
      <c r="AO2057" t="inlineStr">
        <is>
          <t>cmm4yunjq00r5cuqwww7lwlot</t>
        </is>
      </c>
      <c r="AP2057" t="inlineStr">
        <is>
          <t>http://localhost:8787/api/admin/requirements/documents/cmm4yunjq00r5cuqwww7lwlot/view</t>
        </is>
      </c>
      <c r="AQ2057">
        <f>HYPERLÄNK("http://localhost:8787/api/admin/requirements/documents/cmm4yunjq00r5cuqwww7lwlot/view";"Öppna PDF")</f>
        <v/>
      </c>
      <c r="AR2057">
        <f>HYPERLINK("http://localhost:8787/api/admin/requirements/documents/cmm4yunjq00r5cuqwww7lwlot/view","Open PDF")</f>
        <v/>
      </c>
      <c r="AS2057" t="inlineStr">
        <is>
          <t>cmm55w57p0004cuisfrtpqly8</t>
        </is>
      </c>
      <c r="AT2057" t="inlineStr">
        <is>
          <t>cmm4xvu980000cuh4vj0usz09</t>
        </is>
      </c>
      <c r="AU2057" t="inlineStr"/>
      <c r="AV2057" t="inlineStr">
        <is>
          <t>Kommun</t>
        </is>
      </c>
      <c r="AW2057" t="inlineStr"/>
      <c r="AX2057" t="inlineStr">
        <is>
          <t>2026-02</t>
        </is>
      </c>
      <c r="AY2057" t="inlineStr">
        <is>
          <t>Beslut</t>
        </is>
      </c>
      <c r="AZ2057" t="inlineStr">
        <is>
          <t>2026-02-03</t>
        </is>
      </c>
      <c r="BA2057" t="inlineStr">
        <is>
          <t>MIL20241945pdf_976490.pdf</t>
        </is>
      </c>
      <c r="BB2057" t="inlineStr">
        <is>
          <t>Begäran om allmän handling i ärende  MIL.2026.363</t>
        </is>
      </c>
      <c r="BC2057" t="inlineStr">
        <is>
          <t>AUTO</t>
        </is>
      </c>
      <c r="BD2057" t="inlineStr"/>
      <c r="BE2057" t="inlineStr"/>
      <c r="BF2057" t="inlineStr">
        <is>
          <t>AUTO_GENERERAD. Bekrafta metadata mot kallfil.</t>
        </is>
      </c>
      <c r="BG2057">
        <f>HYPERLINK("C:\Users\jimmy\Desktop\Examens arbete\Kod\Ny mapp\remix_-copy-of-miljöbeslut.se-portal\MIL20241945pdf_976490.pdf", "Öppna PDF")</f>
        <v/>
      </c>
    </row>
    <row r="2058">
      <c r="A2058" t="inlineStr">
        <is>
          <t>KRAV-AUTO-002057</t>
        </is>
      </c>
      <c r="B2058" t="inlineStr">
        <is>
          <t>ADMIN-INDEX-2026-02-27-00000000125C043F57453246863FE664CAFE6A3F0700950291EA24F0614FB6ACEDB12BF0E31D00000000010C0000950291EA24F0614FB6ACEDB12BF0E31D00002087B18B0000</t>
        </is>
      </c>
      <c r="C2058" t="inlineStr">
        <is>
          <t>cmm4yunj900qncuqwft59g6w3</t>
        </is>
      </c>
      <c r="D2058" t="inlineStr">
        <is>
          <t>http://localhost:8787/api/admin/requirements/documents/cmm4yunj900qncuqwft59g6w3/view</t>
        </is>
      </c>
      <c r="E2058">
        <f>HYPERLÄNK("http://localhost:8787/api/admin/requirements/documents/cmm4yunj900qncuqwft59g6w3/view";"Öppna PDF")</f>
        <v/>
      </c>
      <c r="F2058">
        <f>HYPERLINK("http://localhost:8787/api/admin/requirements/documents/cmm4yunj900qncuqwft59g6w3/view","Open PDF")</f>
        <v/>
      </c>
      <c r="G2058" t="inlineStr">
        <is>
          <t>cmm55w57p0004cuisfrtpqly8</t>
        </is>
      </c>
      <c r="H2058" t="inlineStr">
        <is>
          <t>Kompletteringskrav</t>
        </is>
      </c>
      <c r="I2058" t="inlineStr">
        <is>
          <t>TransportLogistik</t>
        </is>
      </c>
      <c r="J2058" t="inlineStr">
        <is>
          <t>Transportvagar</t>
        </is>
      </c>
      <c r="K2058" t="inlineStr">
        <is>
          <t>Farligt avfall och övrigt avfall ska transporteras bort av transportör som har tillstånd.</t>
        </is>
      </c>
      <c r="L2058" t="inlineStr">
        <is>
          <t>Farligt avfall och övrigt avfall ska transporteras bort av transportör som har tillstånd.</t>
        </is>
      </c>
      <c r="M2058" t="inlineStr">
        <is>
          <t>SKA</t>
        </is>
      </c>
      <c r="N2058" t="inlineStr"/>
      <c r="O2058" t="inlineStr"/>
      <c r="P2058" t="inlineStr">
        <is>
          <t>Arlig</t>
        </is>
      </c>
      <c r="Q2058" t="inlineStr"/>
      <c r="R2058" t="inlineStr">
        <is>
          <t>Vid transporter</t>
        </is>
      </c>
      <c r="S2058" t="inlineStr"/>
      <c r="T2058" t="inlineStr">
        <is>
          <t>27 2024</t>
        </is>
      </c>
      <c r="U2058" t="inlineStr"/>
      <c r="V2058" t="inlineStr"/>
      <c r="W2058" t="inlineStr">
        <is>
          <t>Nej</t>
        </is>
      </c>
      <c r="X2058" t="inlineStr">
        <is>
          <t>Nej</t>
        </is>
      </c>
      <c r="Y2058" t="inlineStr">
        <is>
          <t>Nej</t>
        </is>
      </c>
      <c r="Z2058" t="inlineStr">
        <is>
          <t>Ja</t>
        </is>
      </c>
      <c r="AA2058" t="n">
        <v>9</v>
      </c>
      <c r="AB2058" t="inlineStr">
        <is>
          <t>Transporter och logistik</t>
        </is>
      </c>
      <c r="AC2058" t="inlineStr">
        <is>
          <t>Trafikplan</t>
        </is>
      </c>
      <c r="AD2058" t="inlineStr">
        <is>
          <t>Nej</t>
        </is>
      </c>
      <c r="AE2058" t="inlineStr">
        <is>
          <t>Nej</t>
        </is>
      </c>
      <c r="AF2058" t="inlineStr">
        <is>
          <t>Ej behandlad</t>
        </is>
      </c>
      <c r="AG2058" t="inlineStr">
        <is>
          <t>AUTO_GENERERAD. Verifiera citat mot kallfil.</t>
        </is>
      </c>
      <c r="AH2058" t="inlineStr">
        <is>
          <t>MEDIUM</t>
        </is>
      </c>
      <c r="AI2058" t="inlineStr">
        <is>
          <t>AUTO</t>
        </is>
      </c>
      <c r="AJ2058" t="inlineStr">
        <is>
          <t>Nej</t>
        </is>
      </c>
      <c r="AK2058" t="inlineStr"/>
      <c r="AL2058" t="inlineStr"/>
      <c r="AM2058" t="inlineStr"/>
      <c r="AN2058" t="inlineStr"/>
      <c r="AO2058" t="inlineStr">
        <is>
          <t>cmm4yunj900qncuqwft59g6w3</t>
        </is>
      </c>
      <c r="AP2058" t="inlineStr">
        <is>
          <t>http://localhost:8787/api/admin/requirements/documents/cmm4yunj900qncuqwft59g6w3/view</t>
        </is>
      </c>
      <c r="AQ2058">
        <f>HYPERLÄNK("http://localhost:8787/api/admin/requirements/documents/cmm4yunj900qncuqwft59g6w3/view";"Öppna PDF")</f>
        <v/>
      </c>
      <c r="AR2058">
        <f>HYPERLINK("http://localhost:8787/api/admin/requirements/documents/cmm4yunj900qncuqwft59g6w3/view","Open PDF")</f>
        <v/>
      </c>
      <c r="AS2058" t="inlineStr">
        <is>
          <t>cmm55w57p0004cuisfrtpqly8</t>
        </is>
      </c>
      <c r="AT2058" t="inlineStr">
        <is>
          <t>cmm4xvu980000cuh4vj0usz09</t>
        </is>
      </c>
      <c r="AU2058" t="inlineStr">
        <is>
          <t>pdf Eksjö</t>
        </is>
      </c>
      <c r="AV2058" t="inlineStr">
        <is>
          <t>Kommun</t>
        </is>
      </c>
      <c r="AW2058" t="inlineStr">
        <is>
          <t>pdf Eksjö kommun</t>
        </is>
      </c>
      <c r="AX2058" t="inlineStr">
        <is>
          <t>0381-360</t>
        </is>
      </c>
      <c r="AY2058" t="inlineStr">
        <is>
          <t>Forelaggande</t>
        </is>
      </c>
      <c r="AZ2058" t="inlineStr">
        <is>
          <t>2026-02-03</t>
        </is>
      </c>
      <c r="BA2058" t="inlineStr">
        <is>
          <t>SBS-2024-215-14 Föreläggande om försiktighetsmått.pdf</t>
        </is>
      </c>
      <c r="BB2058" t="inlineStr">
        <is>
          <t>Sv: Anmälningspliktiga verksamheter 2024</t>
        </is>
      </c>
      <c r="BC2058" t="inlineStr">
        <is>
          <t>AUTO</t>
        </is>
      </c>
      <c r="BD2058" t="inlineStr"/>
      <c r="BE2058" t="inlineStr"/>
      <c r="BF2058" t="inlineStr">
        <is>
          <t>AUTO_GENERERAD. Bekrafta metadata mot kallfil.</t>
        </is>
      </c>
      <c r="BG2058">
        <f>HYPERLINK("C:\Users\jimmy\Desktop\Examens arbete\Kod\Ny mapp\remix_-copy-of-miljöbeslut.se-portal\SBS-2024-215-14 Föreläggande om försiktighetsmått.pdf", "Öppna PDF")</f>
        <v/>
      </c>
    </row>
    <row r="2059">
      <c r="A2059" t="inlineStr">
        <is>
          <t>KRAV-AUTO-002058</t>
        </is>
      </c>
      <c r="B2059" t="inlineStr">
        <is>
          <t>ADMIN-INDEX-2026-02-27-00000000125C043F57453246863FE664CAFE6A3F0700950291EA24F0614FB6ACEDB12BF0E31D00000000010C0000950291EA24F0614FB6ACEDB12BF0E31D00002087B18B0000</t>
        </is>
      </c>
      <c r="C2059" t="inlineStr">
        <is>
          <t>cmm4yunj900qncuqwft59g6w3</t>
        </is>
      </c>
      <c r="D2059" t="inlineStr">
        <is>
          <t>http://localhost:8787/api/admin/requirements/documents/cmm4yunj900qncuqwft59g6w3/view</t>
        </is>
      </c>
      <c r="E2059">
        <f>HYPERLÄNK("http://localhost:8787/api/admin/requirements/documents/cmm4yunj900qncuqwft59g6w3/view";"Öppna PDF")</f>
        <v/>
      </c>
      <c r="F2059">
        <f>HYPERLINK("http://localhost:8787/api/admin/requirements/documents/cmm4yunj900qncuqwft59g6w3/view","Open PDF")</f>
        <v/>
      </c>
      <c r="G2059" t="inlineStr">
        <is>
          <t>cmm55w57p0004cuisfrtpqly8</t>
        </is>
      </c>
      <c r="H2059" t="inlineStr">
        <is>
          <t>Kompletteringskrav</t>
        </is>
      </c>
      <c r="I2059" t="inlineStr">
        <is>
          <t>DriftEgenkontroll</t>
        </is>
      </c>
      <c r="J2059" t="inlineStr">
        <is>
          <t>Journalforing</t>
        </is>
      </c>
      <c r="K2059" t="inlineStr">
        <is>
          <t>för drift och kontroll, fortlöpande undersöka och bedöma riskerna med verksamheten samt förteckna använda kemiska produkter och journalföring ska ske på ett tydligt sätt som möjliggör uppföljning av varifrån massorna kommer.</t>
        </is>
      </c>
      <c r="L2059" t="inlineStr">
        <is>
          <t>för drift och kontroll, fortlöpande undersöka och bedöma riskerna med verksamheten samt förteckna använda kemiska produkter och journalföring ska ske på ett tydligt sätt som möjliggör uppföljning av varifrån massorna kommer.</t>
        </is>
      </c>
      <c r="M2059" t="inlineStr">
        <is>
          <t>SKA</t>
        </is>
      </c>
      <c r="N2059" t="inlineStr"/>
      <c r="O2059" t="inlineStr"/>
      <c r="P2059" t="inlineStr">
        <is>
          <t>Lopande</t>
        </is>
      </c>
      <c r="Q2059" t="inlineStr"/>
      <c r="R2059" t="inlineStr">
        <is>
          <t>Lopande drift</t>
        </is>
      </c>
      <c r="S2059" t="inlineStr"/>
      <c r="T2059" t="inlineStr">
        <is>
          <t>27 2024</t>
        </is>
      </c>
      <c r="U2059" t="inlineStr"/>
      <c r="V2059" t="inlineStr"/>
      <c r="W2059" t="inlineStr">
        <is>
          <t>Nej</t>
        </is>
      </c>
      <c r="X2059" t="inlineStr">
        <is>
          <t>Nej</t>
        </is>
      </c>
      <c r="Y2059" t="inlineStr">
        <is>
          <t>Ja</t>
        </is>
      </c>
      <c r="Z2059" t="inlineStr">
        <is>
          <t>Nej</t>
        </is>
      </c>
      <c r="AA2059" t="n">
        <v>7</v>
      </c>
      <c r="AB2059" t="inlineStr">
        <is>
          <t>Egenkontrollrutiner</t>
        </is>
      </c>
      <c r="AC2059" t="inlineStr">
        <is>
          <t>Egenkontrollprogram</t>
        </is>
      </c>
      <c r="AD2059" t="inlineStr">
        <is>
          <t>Nej</t>
        </is>
      </c>
      <c r="AE2059" t="inlineStr">
        <is>
          <t>Nej</t>
        </is>
      </c>
      <c r="AF2059" t="inlineStr">
        <is>
          <t>Ej behandlad</t>
        </is>
      </c>
      <c r="AG2059" t="inlineStr">
        <is>
          <t>AUTO_GENERERAD. Verifiera citat mot kallfil.</t>
        </is>
      </c>
      <c r="AH2059" t="inlineStr">
        <is>
          <t>MEDIUM</t>
        </is>
      </c>
      <c r="AI2059" t="inlineStr">
        <is>
          <t>AUTO</t>
        </is>
      </c>
      <c r="AJ2059" t="inlineStr">
        <is>
          <t>Nej</t>
        </is>
      </c>
      <c r="AK2059" t="inlineStr"/>
      <c r="AL2059" t="inlineStr"/>
      <c r="AM2059" t="inlineStr"/>
      <c r="AN2059" t="inlineStr"/>
      <c r="AO2059" t="inlineStr">
        <is>
          <t>cmm4yunj900qncuqwft59g6w3</t>
        </is>
      </c>
      <c r="AP2059" t="inlineStr">
        <is>
          <t>http://localhost:8787/api/admin/requirements/documents/cmm4yunj900qncuqwft59g6w3/view</t>
        </is>
      </c>
      <c r="AQ2059">
        <f>HYPERLÄNK("http://localhost:8787/api/admin/requirements/documents/cmm4yunj900qncuqwft59g6w3/view";"Öppna PDF")</f>
        <v/>
      </c>
      <c r="AR2059">
        <f>HYPERLINK("http://localhost:8787/api/admin/requirements/documents/cmm4yunj900qncuqwft59g6w3/view","Open PDF")</f>
        <v/>
      </c>
      <c r="AS2059" t="inlineStr">
        <is>
          <t>cmm55w57p0004cuisfrtpqly8</t>
        </is>
      </c>
      <c r="AT2059" t="inlineStr">
        <is>
          <t>cmm4xvu980000cuh4vj0usz09</t>
        </is>
      </c>
      <c r="AU2059" t="inlineStr">
        <is>
          <t>pdf Eksjö</t>
        </is>
      </c>
      <c r="AV2059" t="inlineStr">
        <is>
          <t>Kommun</t>
        </is>
      </c>
      <c r="AW2059" t="inlineStr">
        <is>
          <t>pdf Eksjö kommun</t>
        </is>
      </c>
      <c r="AX2059" t="inlineStr">
        <is>
          <t>0381-360</t>
        </is>
      </c>
      <c r="AY2059" t="inlineStr">
        <is>
          <t>Forelaggande</t>
        </is>
      </c>
      <c r="AZ2059" t="inlineStr">
        <is>
          <t>2026-02-03</t>
        </is>
      </c>
      <c r="BA2059" t="inlineStr">
        <is>
          <t>SBS-2024-215-14 Föreläggande om försiktighetsmått.pdf</t>
        </is>
      </c>
      <c r="BB2059" t="inlineStr">
        <is>
          <t>Sv: Anmälningspliktiga verksamheter 2024</t>
        </is>
      </c>
      <c r="BC2059" t="inlineStr">
        <is>
          <t>AUTO</t>
        </is>
      </c>
      <c r="BD2059" t="inlineStr"/>
      <c r="BE2059" t="inlineStr"/>
      <c r="BF2059" t="inlineStr">
        <is>
          <t>AUTO_GENERERAD. Bekrafta metadata mot kallfil.</t>
        </is>
      </c>
      <c r="BG2059">
        <f>HYPERLINK("C:\Users\jimmy\Desktop\Examens arbete\Kod\Ny mapp\remix_-copy-of-miljöbeslut.se-portal\SBS-2024-215-14 Föreläggande om försiktighetsmått.pdf", "Öppna PDF")</f>
        <v/>
      </c>
    </row>
    <row r="2060">
      <c r="A2060" t="inlineStr">
        <is>
          <t>KRAV-AUTO-002059</t>
        </is>
      </c>
      <c r="B2060" t="inlineStr">
        <is>
          <t>ADMIN-INDEX-2026-02-27-00000000125C043F57453246863FE664CAFE6A3F0700950291EA24F0614FB6ACEDB12BF0E31D00000000010C0000950291EA24F0614FB6ACEDB12BF0E31D00002087B18B0000</t>
        </is>
      </c>
      <c r="C2060" t="inlineStr">
        <is>
          <t>cmm4yunj900qncuqwft59g6w3</t>
        </is>
      </c>
      <c r="D2060" t="inlineStr">
        <is>
          <t>http://localhost:8787/api/admin/requirements/documents/cmm4yunj900qncuqwft59g6w3/view</t>
        </is>
      </c>
      <c r="E2060">
        <f>HYPERLÄNK("http://localhost:8787/api/admin/requirements/documents/cmm4yunj900qncuqwft59g6w3/view";"Öppna PDF")</f>
        <v/>
      </c>
      <c r="F2060">
        <f>HYPERLINK("http://localhost:8787/api/admin/requirements/documents/cmm4yunj900qncuqwft59g6w3/view","Open PDF")</f>
        <v/>
      </c>
      <c r="G2060" t="inlineStr">
        <is>
          <t>cmm55w57p0004cuisfrtpqly8</t>
        </is>
      </c>
      <c r="H2060" t="inlineStr">
        <is>
          <t>Kompletteringskrav</t>
        </is>
      </c>
      <c r="I2060" t="inlineStr">
        <is>
          <t>Riskhantering</t>
        </is>
      </c>
      <c r="J2060" t="inlineStr">
        <is>
          <t>Riskkontroll</t>
        </is>
      </c>
      <c r="K2060" t="inlineStr">
        <is>
          <t>Absorptionsmedel ska finnas tillgängligt i direkt anslutning till plats där risk för spill föreligger.</t>
        </is>
      </c>
      <c r="L2060" t="inlineStr">
        <is>
          <t>Absorptionsmedel ska finnas tillgängligt i direkt anslutning till plats där risk för spill föreligger.</t>
        </is>
      </c>
      <c r="M2060" t="inlineStr">
        <is>
          <t>SKA</t>
        </is>
      </c>
      <c r="N2060" t="inlineStr"/>
      <c r="O2060" t="inlineStr"/>
      <c r="P2060" t="inlineStr"/>
      <c r="Q2060" t="inlineStr"/>
      <c r="R2060" t="inlineStr">
        <is>
          <t>Vid risk for incident</t>
        </is>
      </c>
      <c r="S2060" t="inlineStr"/>
      <c r="T2060" t="inlineStr">
        <is>
          <t>27 2024</t>
        </is>
      </c>
      <c r="U2060" t="inlineStr"/>
      <c r="V2060" t="inlineStr"/>
      <c r="W2060" t="inlineStr">
        <is>
          <t>Nej</t>
        </is>
      </c>
      <c r="X2060" t="inlineStr">
        <is>
          <t>Nej</t>
        </is>
      </c>
      <c r="Y2060" t="inlineStr">
        <is>
          <t>Ja</t>
        </is>
      </c>
      <c r="Z2060" t="inlineStr">
        <is>
          <t>Ja</t>
        </is>
      </c>
      <c r="AA2060" t="n">
        <v>8</v>
      </c>
      <c r="AB2060" t="inlineStr">
        <is>
          <t>Riskhantering</t>
        </is>
      </c>
      <c r="AC2060" t="inlineStr">
        <is>
          <t>Risk-PM</t>
        </is>
      </c>
      <c r="AD2060" t="inlineStr">
        <is>
          <t>Nej</t>
        </is>
      </c>
      <c r="AE2060" t="inlineStr">
        <is>
          <t>Nej</t>
        </is>
      </c>
      <c r="AF2060" t="inlineStr">
        <is>
          <t>Ej behandlad</t>
        </is>
      </c>
      <c r="AG2060" t="inlineStr">
        <is>
          <t>AUTO_GENERERAD. Verifiera citat mot kallfil.</t>
        </is>
      </c>
      <c r="AH2060" t="inlineStr">
        <is>
          <t>MEDIUM</t>
        </is>
      </c>
      <c r="AI2060" t="inlineStr">
        <is>
          <t>AUTO</t>
        </is>
      </c>
      <c r="AJ2060" t="inlineStr">
        <is>
          <t>Nej</t>
        </is>
      </c>
      <c r="AK2060" t="inlineStr"/>
      <c r="AL2060" t="inlineStr"/>
      <c r="AM2060" t="inlineStr"/>
      <c r="AN2060" t="inlineStr"/>
      <c r="AO2060" t="inlineStr">
        <is>
          <t>cmm4yunj900qncuqwft59g6w3</t>
        </is>
      </c>
      <c r="AP2060" t="inlineStr">
        <is>
          <t>http://localhost:8787/api/admin/requirements/documents/cmm4yunj900qncuqwft59g6w3/view</t>
        </is>
      </c>
      <c r="AQ2060">
        <f>HYPERLÄNK("http://localhost:8787/api/admin/requirements/documents/cmm4yunj900qncuqwft59g6w3/view";"Öppna PDF")</f>
        <v/>
      </c>
      <c r="AR2060">
        <f>HYPERLINK("http://localhost:8787/api/admin/requirements/documents/cmm4yunj900qncuqwft59g6w3/view","Open PDF")</f>
        <v/>
      </c>
      <c r="AS2060" t="inlineStr">
        <is>
          <t>cmm55w57p0004cuisfrtpqly8</t>
        </is>
      </c>
      <c r="AT2060" t="inlineStr">
        <is>
          <t>cmm4xvu980000cuh4vj0usz09</t>
        </is>
      </c>
      <c r="AU2060" t="inlineStr">
        <is>
          <t>pdf Eksjö</t>
        </is>
      </c>
      <c r="AV2060" t="inlineStr">
        <is>
          <t>Kommun</t>
        </is>
      </c>
      <c r="AW2060" t="inlineStr">
        <is>
          <t>pdf Eksjö kommun</t>
        </is>
      </c>
      <c r="AX2060" t="inlineStr">
        <is>
          <t>0381-360</t>
        </is>
      </c>
      <c r="AY2060" t="inlineStr">
        <is>
          <t>Forelaggande</t>
        </is>
      </c>
      <c r="AZ2060" t="inlineStr">
        <is>
          <t>2026-02-03</t>
        </is>
      </c>
      <c r="BA2060" t="inlineStr">
        <is>
          <t>SBS-2024-215-14 Föreläggande om försiktighetsmått.pdf</t>
        </is>
      </c>
      <c r="BB2060" t="inlineStr">
        <is>
          <t>Sv: Anmälningspliktiga verksamheter 2024</t>
        </is>
      </c>
      <c r="BC2060" t="inlineStr">
        <is>
          <t>AUTO</t>
        </is>
      </c>
      <c r="BD2060" t="inlineStr"/>
      <c r="BE2060" t="inlineStr"/>
      <c r="BF2060" t="inlineStr">
        <is>
          <t>AUTO_GENERERAD. Bekrafta metadata mot kallfil.</t>
        </is>
      </c>
      <c r="BG2060">
        <f>HYPERLINK("C:\Users\jimmy\Desktop\Examens arbete\Kod\Ny mapp\remix_-copy-of-miljöbeslut.se-portal\SBS-2024-215-14 Föreläggande om försiktighetsmått.pdf", "Öppna PDF")</f>
        <v/>
      </c>
    </row>
    <row r="2061">
      <c r="A2061" t="inlineStr">
        <is>
          <t>KRAV-AUTO-002060</t>
        </is>
      </c>
      <c r="B2061" t="inlineStr">
        <is>
          <t>ADMIN-INDEX-2026-02-27-00000000125C043F57453246863FE664CAFE6A3F0700950291EA24F0614FB6ACEDB12BF0E31D00000000010C0000950291EA24F0614FB6ACEDB12BF0E31D00002087B18F0000</t>
        </is>
      </c>
      <c r="C2061" t="inlineStr">
        <is>
          <t>cmm4yunij00pzcuqwrgd8gy2r</t>
        </is>
      </c>
      <c r="D2061" t="inlineStr">
        <is>
          <t>http://localhost:8787/api/admin/requirements/documents/cmm4yunij00pzcuqwrgd8gy2r/view</t>
        </is>
      </c>
      <c r="E2061">
        <f>HYPERLÄNK("http://localhost:8787/api/admin/requirements/documents/cmm4yunij00pzcuqwrgd8gy2r/view";"Öppna PDF")</f>
        <v/>
      </c>
      <c r="F2061">
        <f>HYPERLINK("http://localhost:8787/api/admin/requirements/documents/cmm4yunij00pzcuqwrgd8gy2r/view","Open PDF")</f>
        <v/>
      </c>
      <c r="G2061" t="inlineStr">
        <is>
          <t>cmm55w57p0004cuisfrtpqly8</t>
        </is>
      </c>
      <c r="H2061" t="inlineStr">
        <is>
          <t>Informationskrav</t>
        </is>
      </c>
      <c r="I2061" t="inlineStr">
        <is>
          <t>DagvattenLakvatten</t>
        </is>
      </c>
      <c r="J2061" t="inlineStr">
        <is>
          <t>Uppsamling</t>
        </is>
      </c>
      <c r="K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Beskrivning av reningsmetod för luft (kan bifogas som bilaga) Buller Ange vilka tider på dygnet bullret pågår Typ av av avfall enligt avfallsförordningen (2011:927) Mängd/år Transportör av avfall jbED ff- -7 -4- 1 i 7 .</t>
        </is>
      </c>
      <c r="L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t>
        </is>
      </c>
      <c r="M2061" t="inlineStr">
        <is>
          <t>SKA</t>
        </is>
      </c>
      <c r="N2061" t="inlineStr"/>
      <c r="O2061" t="inlineStr"/>
      <c r="P2061" t="inlineStr"/>
      <c r="Q2061" t="inlineStr"/>
      <c r="R2061" t="inlineStr">
        <is>
          <t>Vid nederbord och avrinning</t>
        </is>
      </c>
      <c r="S2061" t="inlineStr"/>
      <c r="T2061" t="inlineStr"/>
      <c r="U2061" t="inlineStr"/>
      <c r="V2061" t="inlineStr"/>
      <c r="W2061" t="inlineStr">
        <is>
          <t>Nej</t>
        </is>
      </c>
      <c r="X2061" t="inlineStr">
        <is>
          <t>Ja</t>
        </is>
      </c>
      <c r="Y2061" t="inlineStr">
        <is>
          <t>Ja</t>
        </is>
      </c>
      <c r="Z2061" t="inlineStr">
        <is>
          <t>Nej</t>
        </is>
      </c>
      <c r="AA2061" t="n">
        <v>6</v>
      </c>
      <c r="AB2061" t="inlineStr">
        <is>
          <t>Lakvattenhantering</t>
        </is>
      </c>
      <c r="AC2061" t="inlineStr">
        <is>
          <t>Flodesschema dagvatten-lakvatten</t>
        </is>
      </c>
      <c r="AD2061" t="inlineStr">
        <is>
          <t>Nej</t>
        </is>
      </c>
      <c r="AE2061" t="inlineStr">
        <is>
          <t>Nej</t>
        </is>
      </c>
      <c r="AF2061" t="inlineStr">
        <is>
          <t>Ej behandlad</t>
        </is>
      </c>
      <c r="AG2061" t="inlineStr">
        <is>
          <t>AUTO_GENERERAD. Verifiera citat mot kallfil.</t>
        </is>
      </c>
      <c r="AH2061" t="inlineStr">
        <is>
          <t>MEDIUM</t>
        </is>
      </c>
      <c r="AI2061" t="inlineStr">
        <is>
          <t>AUTO</t>
        </is>
      </c>
      <c r="AJ2061" t="inlineStr">
        <is>
          <t>Nej</t>
        </is>
      </c>
      <c r="AK2061" t="inlineStr"/>
      <c r="AL2061" t="inlineStr"/>
      <c r="AM2061" t="inlineStr"/>
      <c r="AN2061" t="inlineStr"/>
      <c r="AO2061" t="inlineStr">
        <is>
          <t>cmm4yunij00pzcuqwrgd8gy2r</t>
        </is>
      </c>
      <c r="AP2061" t="inlineStr">
        <is>
          <t>http://localhost:8787/api/admin/requirements/documents/cmm4yunij00pzcuqwrgd8gy2r/view</t>
        </is>
      </c>
      <c r="AQ2061">
        <f>HYPERLÄNK("http://localhost:8787/api/admin/requirements/documents/cmm4yunij00pzcuqwrgd8gy2r/view";"Öppna PDF")</f>
        <v/>
      </c>
      <c r="AR2061">
        <f>HYPERLINK("http://localhost:8787/api/admin/requirements/documents/cmm4yunij00pzcuqwrgd8gy2r/view","Open PDF")</f>
        <v/>
      </c>
      <c r="AS2061" t="inlineStr">
        <is>
          <t>cmm55w57p0004cuisfrtpqly8</t>
        </is>
      </c>
      <c r="AT2061" t="inlineStr">
        <is>
          <t>cmm4xvu980000cuh4vj0usz09</t>
        </is>
      </c>
      <c r="AU2061" t="inlineStr">
        <is>
          <t>Miljö- och byggförvaltningen Strömstads</t>
        </is>
      </c>
      <c r="AV2061" t="inlineStr">
        <is>
          <t>Kommun</t>
        </is>
      </c>
      <c r="AW2061" t="inlineStr">
        <is>
          <t>Miljö- och byggförvaltningen Strömstads kommun</t>
        </is>
      </c>
      <c r="AX2061" t="inlineStr">
        <is>
          <t>0526-190</t>
        </is>
      </c>
      <c r="AY2061" t="inlineStr">
        <is>
          <t>Anmalan</t>
        </is>
      </c>
      <c r="AZ2061" t="inlineStr">
        <is>
          <t>2026-02-03</t>
        </is>
      </c>
      <c r="BA2061" t="inlineStr">
        <is>
          <t>MBN-2024-1724 1 Anmälan.pdf</t>
        </is>
      </c>
      <c r="BB2061" t="inlineStr">
        <is>
          <t>Sv: Begäran om handlingar</t>
        </is>
      </c>
      <c r="BC2061" t="inlineStr">
        <is>
          <t>AUTO</t>
        </is>
      </c>
      <c r="BD2061" t="inlineStr"/>
      <c r="BE2061" t="inlineStr"/>
      <c r="BF2061" t="inlineStr">
        <is>
          <t>AUTO_GENERERAD. Bekrafta metadata mot kallfil.</t>
        </is>
      </c>
      <c r="BG2061">
        <f>HYPERLINK("C:\Users\jimmy\Desktop\Examens arbete\Kod\Ny mapp\remix_-copy-of-miljöbeslut.se-portal\MBN-2024-1724 1 Anmälan.pdf", "Öppna PDF")</f>
        <v/>
      </c>
    </row>
    <row r="2062">
      <c r="A2062" t="inlineStr">
        <is>
          <t>KRAV-AUTO-002061</t>
        </is>
      </c>
      <c r="B2062" t="inlineStr">
        <is>
          <t>ADMIN-INDEX-2026-02-27-00000000125C043F57453246863FE664CAFE6A3F0700950291EA24F0614FB6ACEDB12BF0E31D00000000010C0000950291EA24F0614FB6ACEDB12BF0E31D00002087B18F0000</t>
        </is>
      </c>
      <c r="C2062" t="inlineStr">
        <is>
          <t>cmm4yunij00pzcuqwrgd8gy2r</t>
        </is>
      </c>
      <c r="D2062" t="inlineStr">
        <is>
          <t>http://localhost:8787/api/admin/requirements/documents/cmm4yunij00pzcuqwrgd8gy2r/view</t>
        </is>
      </c>
      <c r="E2062">
        <f>HYPERLÄNK("http://localhost:8787/api/admin/requirements/documents/cmm4yunij00pzcuqwrgd8gy2r/view";"Öppna PDF")</f>
        <v/>
      </c>
      <c r="F2062">
        <f>HYPERLINK("http://localhost:8787/api/admin/requirements/documents/cmm4yunij00pzcuqwrgd8gy2r/view","Open PDF")</f>
        <v/>
      </c>
      <c r="G2062" t="inlineStr">
        <is>
          <t>cmm55w57p0004cuisfrtpqly8</t>
        </is>
      </c>
      <c r="H2062" t="inlineStr">
        <is>
          <t>Informationskrav</t>
        </is>
      </c>
      <c r="I2062" t="inlineStr">
        <is>
          <t>DagvattenLakvatten</t>
        </is>
      </c>
      <c r="J2062" t="inlineStr">
        <is>
          <t>Uppsamling</t>
        </is>
      </c>
      <c r="K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Avfall (kan bifogas som bilaga) Ljudalstrare/typ av ljud Sid 3 (4) Utsläpp Har verksamheten industriellt vattenutsläpp?* Ja Nej Från vilka processer förekommer spillvatten (ej WC, kök m.m.) Ange flöden, utsläppspunkter och uppskattade vattenföroreningsmängder (kan bifogas som bilaga) Är verksamheten ansluten till kommunalt spill eller egen anläggning?</t>
        </is>
      </c>
      <c r="L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t>
        </is>
      </c>
      <c r="M2062" t="inlineStr">
        <is>
          <t>SKA</t>
        </is>
      </c>
      <c r="N2062" t="inlineStr">
        <is>
          <t>MPF</t>
        </is>
      </c>
      <c r="O2062" t="inlineStr">
        <is>
          <t>2024-08-26</t>
        </is>
      </c>
      <c r="P2062" t="inlineStr"/>
      <c r="Q2062" t="inlineStr"/>
      <c r="R2062" t="inlineStr">
        <is>
          <t>Vid nederbord och avrinning</t>
        </is>
      </c>
      <c r="S2062" t="inlineStr"/>
      <c r="T2062" t="inlineStr"/>
      <c r="U2062" t="n">
        <v>4</v>
      </c>
      <c r="V2062" t="inlineStr"/>
      <c r="W2062" t="inlineStr">
        <is>
          <t>Nej</t>
        </is>
      </c>
      <c r="X2062" t="inlineStr">
        <is>
          <t>Ja</t>
        </is>
      </c>
      <c r="Y2062" t="inlineStr">
        <is>
          <t>Ja</t>
        </is>
      </c>
      <c r="Z2062" t="inlineStr">
        <is>
          <t>Nej</t>
        </is>
      </c>
      <c r="AA2062" t="n">
        <v>6</v>
      </c>
      <c r="AB2062" t="inlineStr">
        <is>
          <t>Lakvattenhantering</t>
        </is>
      </c>
      <c r="AC2062" t="inlineStr">
        <is>
          <t>Flodesschema dagvatten-lakvatten</t>
        </is>
      </c>
      <c r="AD2062" t="inlineStr">
        <is>
          <t>Nej</t>
        </is>
      </c>
      <c r="AE2062" t="inlineStr">
        <is>
          <t>Nej</t>
        </is>
      </c>
      <c r="AF2062" t="inlineStr">
        <is>
          <t>Ej behandlad</t>
        </is>
      </c>
      <c r="AG2062" t="inlineStr">
        <is>
          <t>AUTO_GENERERAD. Verifiera citat mot kallfil.</t>
        </is>
      </c>
      <c r="AH2062" t="inlineStr">
        <is>
          <t>HIGH</t>
        </is>
      </c>
      <c r="AI2062" t="inlineStr">
        <is>
          <t>AUTO</t>
        </is>
      </c>
      <c r="AJ2062" t="inlineStr">
        <is>
          <t>Nej</t>
        </is>
      </c>
      <c r="AK2062" t="inlineStr"/>
      <c r="AL2062" t="inlineStr"/>
      <c r="AM2062" t="inlineStr"/>
      <c r="AN2062" t="inlineStr"/>
      <c r="AO2062" t="inlineStr">
        <is>
          <t>cmm4yunij00pzcuqwrgd8gy2r</t>
        </is>
      </c>
      <c r="AP2062" t="inlineStr">
        <is>
          <t>http://localhost:8787/api/admin/requirements/documents/cmm4yunij00pzcuqwrgd8gy2r/view</t>
        </is>
      </c>
      <c r="AQ2062">
        <f>HYPERLÄNK("http://localhost:8787/api/admin/requirements/documents/cmm4yunij00pzcuqwrgd8gy2r/view";"Öppna PDF")</f>
        <v/>
      </c>
      <c r="AR2062">
        <f>HYPERLINK("http://localhost:8787/api/admin/requirements/documents/cmm4yunij00pzcuqwrgd8gy2r/view","Open PDF")</f>
        <v/>
      </c>
      <c r="AS2062" t="inlineStr">
        <is>
          <t>cmm55w57p0004cuisfrtpqly8</t>
        </is>
      </c>
      <c r="AT2062" t="inlineStr">
        <is>
          <t>cmm4xvu980000cuh4vj0usz09</t>
        </is>
      </c>
      <c r="AU2062" t="inlineStr">
        <is>
          <t>Miljö- och byggförvaltningen Strömstads</t>
        </is>
      </c>
      <c r="AV2062" t="inlineStr">
        <is>
          <t>Kommun</t>
        </is>
      </c>
      <c r="AW2062" t="inlineStr">
        <is>
          <t>Miljö- och byggförvaltningen Strömstads kommun</t>
        </is>
      </c>
      <c r="AX2062" t="inlineStr">
        <is>
          <t>0526-190</t>
        </is>
      </c>
      <c r="AY2062" t="inlineStr">
        <is>
          <t>Anmalan</t>
        </is>
      </c>
      <c r="AZ2062" t="inlineStr">
        <is>
          <t>2026-02-03</t>
        </is>
      </c>
      <c r="BA2062" t="inlineStr">
        <is>
          <t>MBN-2024-1724 1 Anmälan.pdf</t>
        </is>
      </c>
      <c r="BB2062" t="inlineStr">
        <is>
          <t>Sv: Begäran om handlingar</t>
        </is>
      </c>
      <c r="BC2062" t="inlineStr">
        <is>
          <t>AUTO</t>
        </is>
      </c>
      <c r="BD2062" t="inlineStr"/>
      <c r="BE2062" t="inlineStr"/>
      <c r="BF2062" t="inlineStr">
        <is>
          <t>AUTO_GENERERAD. Bekrafta metadata mot kallfil.</t>
        </is>
      </c>
      <c r="BG2062">
        <f>HYPERLINK("C:\Users\jimmy\Desktop\Examens arbete\Kod\Ny mapp\remix_-copy-of-miljöbeslut.se-portal\MBN-2024-1724 1 Anmälan.pdf", "Öppna PDF")</f>
        <v/>
      </c>
    </row>
    <row r="2063">
      <c r="A2063" t="inlineStr">
        <is>
          <t>KRAV-AUTO-002062</t>
        </is>
      </c>
      <c r="B2063" t="inlineStr">
        <is>
          <t>ADMIN-INDEX-2026-02-27-00000000125C043F57453246863FE664CAFE6A3F0700950291EA24F0614FB6ACEDB12BF0E31D00000000010C0000950291EA24F0614FB6ACEDB12BF0E31D00002087B18F0000</t>
        </is>
      </c>
      <c r="C2063" t="inlineStr">
        <is>
          <t>cmm4yunij00pzcuqwrgd8gy2r</t>
        </is>
      </c>
      <c r="D2063" t="inlineStr">
        <is>
          <t>http://localhost:8787/api/admin/requirements/documents/cmm4yunij00pzcuqwrgd8gy2r/view</t>
        </is>
      </c>
      <c r="E2063">
        <f>HYPERLÄNK("http://localhost:8787/api/admin/requirements/documents/cmm4yunij00pzcuqwrgd8gy2r/view";"Öppna PDF")</f>
        <v/>
      </c>
      <c r="F2063">
        <f>HYPERLINK("http://localhost:8787/api/admin/requirements/documents/cmm4yunij00pzcuqwrgd8gy2r/view","Open PDF")</f>
        <v/>
      </c>
      <c r="G2063" t="inlineStr">
        <is>
          <t>cmm55w57p0004cuisfrtpqly8</t>
        </is>
      </c>
      <c r="H2063" t="inlineStr">
        <is>
          <t>Informationskrav</t>
        </is>
      </c>
      <c r="I2063" t="inlineStr">
        <is>
          <t>DagvattenLakvatten</t>
        </is>
      </c>
      <c r="J2063" t="inlineStr">
        <is>
          <t>Uppsamling</t>
        </is>
      </c>
      <c r="K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fastställd taxa.</t>
        </is>
      </c>
      <c r="L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t>
        </is>
      </c>
      <c r="M2063" t="inlineStr">
        <is>
          <t>SKA</t>
        </is>
      </c>
      <c r="N2063" t="inlineStr"/>
      <c r="O2063" t="inlineStr"/>
      <c r="P2063" t="inlineStr"/>
      <c r="Q2063" t="inlineStr"/>
      <c r="R2063" t="inlineStr">
        <is>
          <t>Vid nederbord och avrinning</t>
        </is>
      </c>
      <c r="S2063" t="inlineStr"/>
      <c r="T2063" t="inlineStr"/>
      <c r="U2063" t="inlineStr"/>
      <c r="V2063" t="inlineStr"/>
      <c r="W2063" t="inlineStr">
        <is>
          <t>Nej</t>
        </is>
      </c>
      <c r="X2063" t="inlineStr">
        <is>
          <t>Ja</t>
        </is>
      </c>
      <c r="Y2063" t="inlineStr">
        <is>
          <t>Ja</t>
        </is>
      </c>
      <c r="Z2063" t="inlineStr">
        <is>
          <t>Nej</t>
        </is>
      </c>
      <c r="AA2063" t="n">
        <v>6</v>
      </c>
      <c r="AB2063" t="inlineStr">
        <is>
          <t>Lakvattenhantering</t>
        </is>
      </c>
      <c r="AC2063" t="inlineStr">
        <is>
          <t>Flodesschema dagvatten-lakvatten</t>
        </is>
      </c>
      <c r="AD2063" t="inlineStr">
        <is>
          <t>Nej</t>
        </is>
      </c>
      <c r="AE2063" t="inlineStr">
        <is>
          <t>Nej</t>
        </is>
      </c>
      <c r="AF2063" t="inlineStr">
        <is>
          <t>Ej behandlad</t>
        </is>
      </c>
      <c r="AG2063" t="inlineStr">
        <is>
          <t>AUTO_GENERERAD. Verifiera citat mot kallfil.</t>
        </is>
      </c>
      <c r="AH2063" t="inlineStr">
        <is>
          <t>MEDIUM</t>
        </is>
      </c>
      <c r="AI2063" t="inlineStr">
        <is>
          <t>AUTO</t>
        </is>
      </c>
      <c r="AJ2063" t="inlineStr">
        <is>
          <t>Nej</t>
        </is>
      </c>
      <c r="AK2063" t="inlineStr"/>
      <c r="AL2063" t="inlineStr"/>
      <c r="AM2063" t="inlineStr"/>
      <c r="AN2063" t="inlineStr"/>
      <c r="AO2063" t="inlineStr">
        <is>
          <t>cmm4yunij00pzcuqwrgd8gy2r</t>
        </is>
      </c>
      <c r="AP2063" t="inlineStr">
        <is>
          <t>http://localhost:8787/api/admin/requirements/documents/cmm4yunij00pzcuqwrgd8gy2r/view</t>
        </is>
      </c>
      <c r="AQ2063">
        <f>HYPERLÄNK("http://localhost:8787/api/admin/requirements/documents/cmm4yunij00pzcuqwrgd8gy2r/view";"Öppna PDF")</f>
        <v/>
      </c>
      <c r="AR2063">
        <f>HYPERLINK("http://localhost:8787/api/admin/requirements/documents/cmm4yunij00pzcuqwrgd8gy2r/view","Open PDF")</f>
        <v/>
      </c>
      <c r="AS2063" t="inlineStr">
        <is>
          <t>cmm55w57p0004cuisfrtpqly8</t>
        </is>
      </c>
      <c r="AT2063" t="inlineStr">
        <is>
          <t>cmm4xvu980000cuh4vj0usz09</t>
        </is>
      </c>
      <c r="AU2063" t="inlineStr">
        <is>
          <t>Miljö- och byggförvaltningen Strömstads</t>
        </is>
      </c>
      <c r="AV2063" t="inlineStr">
        <is>
          <t>Kommun</t>
        </is>
      </c>
      <c r="AW2063" t="inlineStr">
        <is>
          <t>Miljö- och byggförvaltningen Strömstads kommun</t>
        </is>
      </c>
      <c r="AX2063" t="inlineStr">
        <is>
          <t>0526-190</t>
        </is>
      </c>
      <c r="AY2063" t="inlineStr">
        <is>
          <t>Anmalan</t>
        </is>
      </c>
      <c r="AZ2063" t="inlineStr">
        <is>
          <t>2026-02-03</t>
        </is>
      </c>
      <c r="BA2063" t="inlineStr">
        <is>
          <t>MBN-2024-1724 1 Anmälan.pdf</t>
        </is>
      </c>
      <c r="BB2063" t="inlineStr">
        <is>
          <t>Sv: Begäran om handlingar</t>
        </is>
      </c>
      <c r="BC2063" t="inlineStr">
        <is>
          <t>AUTO</t>
        </is>
      </c>
      <c r="BD2063" t="inlineStr"/>
      <c r="BE2063" t="inlineStr"/>
      <c r="BF2063" t="inlineStr">
        <is>
          <t>AUTO_GENERERAD. Bekrafta metadata mot kallfil.</t>
        </is>
      </c>
      <c r="BG2063">
        <f>HYPERLINK("C:\Users\jimmy\Desktop\Examens arbete\Kod\Ny mapp\remix_-copy-of-miljöbeslut.se-portal\MBN-2024-1724 1 Anmälan.pdf", "Öppna PDF")</f>
        <v/>
      </c>
    </row>
    <row r="2064">
      <c r="A2064" t="inlineStr">
        <is>
          <t>KRAV-AUTO-002063</t>
        </is>
      </c>
      <c r="B2064" t="inlineStr">
        <is>
          <t>ADMIN-INDEX-2026-02-27-00000000125C043F57453246863FE664CAFE6A3F0700950291EA24F0614FB6ACEDB12BF0E31D00000000010C0000950291EA24F0614FB6ACEDB12BF0E31D00002087B18F0000</t>
        </is>
      </c>
      <c r="C2064" t="inlineStr">
        <is>
          <t>cmm4yunie00ptcuqws9rmxyif</t>
        </is>
      </c>
      <c r="D2064" t="inlineStr">
        <is>
          <t>http://localhost:8787/api/admin/requirements/documents/cmm4yunie00ptcuqws9rmxyif/view</t>
        </is>
      </c>
      <c r="E2064">
        <f>HYPERLÄNK("http://localhost:8787/api/admin/requirements/documents/cmm4yunie00ptcuqws9rmxyif/view";"Öppna PDF")</f>
        <v/>
      </c>
      <c r="F2064">
        <f>HYPERLINK("http://localhost:8787/api/admin/requirements/documents/cmm4yunie00ptcuqws9rmxyif/view","Open PDF")</f>
        <v/>
      </c>
      <c r="G2064" t="inlineStr">
        <is>
          <t>cmm55w57p0004cuisfrtpqly8</t>
        </is>
      </c>
      <c r="H2064" t="inlineStr">
        <is>
          <t>Kompletteringskrav</t>
        </is>
      </c>
      <c r="I2064" t="inlineStr">
        <is>
          <t>LagringsvolymTid</t>
        </is>
      </c>
      <c r="J2064" t="inlineStr">
        <is>
          <t>Maxmangd</t>
        </is>
      </c>
      <c r="K2064" t="inlineStr">
        <is>
          <t>mer än 10 ton men högst 30 000 ton och avfallet ska användas för byggnads- eller anläggningsändamål, eller 2.</t>
        </is>
      </c>
      <c r="L2064" t="inlineStr">
        <is>
          <t>mer än 10 ton men högst 30 000 ton och avfallet ska användas för byggnads- eller anläggningsändamål, eller 2.</t>
        </is>
      </c>
      <c r="M2064" t="inlineStr">
        <is>
          <t>SKA</t>
        </is>
      </c>
      <c r="N2064" t="inlineStr"/>
      <c r="O2064" t="inlineStr"/>
      <c r="P2064" t="inlineStr"/>
      <c r="Q2064" t="inlineStr"/>
      <c r="R2064" t="inlineStr">
        <is>
          <t>Alltid</t>
        </is>
      </c>
      <c r="S2064" t="inlineStr"/>
      <c r="T2064" t="inlineStr">
        <is>
          <t>212000</t>
        </is>
      </c>
      <c r="U2064" t="n">
        <v>10</v>
      </c>
      <c r="V2064" t="inlineStr"/>
      <c r="W2064" t="inlineStr">
        <is>
          <t>Nej</t>
        </is>
      </c>
      <c r="X2064" t="inlineStr">
        <is>
          <t>Nej</t>
        </is>
      </c>
      <c r="Y2064" t="inlineStr">
        <is>
          <t>Nej</t>
        </is>
      </c>
      <c r="Z2064" t="inlineStr">
        <is>
          <t>Nej</t>
        </is>
      </c>
      <c r="AA2064" t="n">
        <v>4</v>
      </c>
      <c r="AB2064" t="inlineStr">
        <is>
          <t>Avfallsmangder och lagringstid</t>
        </is>
      </c>
      <c r="AC2064" t="inlineStr">
        <is>
          <t>Avfallsforteckning</t>
        </is>
      </c>
      <c r="AD2064" t="inlineStr">
        <is>
          <t>Nej</t>
        </is>
      </c>
      <c r="AE2064" t="inlineStr">
        <is>
          <t>Nej</t>
        </is>
      </c>
      <c r="AF2064" t="inlineStr">
        <is>
          <t>Ej behandlad</t>
        </is>
      </c>
      <c r="AG2064" t="inlineStr">
        <is>
          <t>AUTO_GENERERAD. Verifiera citat mot kallfil.</t>
        </is>
      </c>
      <c r="AH2064" t="inlineStr">
        <is>
          <t>MEDIUM</t>
        </is>
      </c>
      <c r="AI2064" t="inlineStr">
        <is>
          <t>AUTO</t>
        </is>
      </c>
      <c r="AJ2064" t="inlineStr">
        <is>
          <t>Nej</t>
        </is>
      </c>
      <c r="AK2064" t="inlineStr"/>
      <c r="AL2064" t="inlineStr"/>
      <c r="AM2064" t="inlineStr"/>
      <c r="AN2064" t="inlineStr"/>
      <c r="AO2064" t="inlineStr">
        <is>
          <t>cmm4yunij00pzcuqwrgd8gy2r</t>
        </is>
      </c>
      <c r="AP2064" t="inlineStr">
        <is>
          <t>http://localhost:8787/api/admin/requirements/documents/cmm4yunij00pzcuqwrgd8gy2r/view</t>
        </is>
      </c>
      <c r="AQ2064">
        <f>HYPERLÄNK("http://localhost:8787/api/admin/requirements/documents/cmm4yunij00pzcuqwrgd8gy2r/view";"Öppna PDF")</f>
        <v/>
      </c>
      <c r="AR2064">
        <f>HYPERLINK("http://localhost:8787/api/admin/requirements/documents/cmm4yunij00pzcuqwrgd8gy2r/view","Open PDF")</f>
        <v/>
      </c>
      <c r="AS2064" t="inlineStr">
        <is>
          <t>cmm55w57p0004cuisfrtpqly8</t>
        </is>
      </c>
      <c r="AT2064" t="inlineStr">
        <is>
          <t>cmm4xvu980000cuh4vj0usz09</t>
        </is>
      </c>
      <c r="AU2064" t="inlineStr">
        <is>
          <t>Miljö- och byggförvaltningen Strömstads</t>
        </is>
      </c>
      <c r="AV2064" t="inlineStr">
        <is>
          <t>Kommun</t>
        </is>
      </c>
      <c r="AW2064" t="inlineStr">
        <is>
          <t>Miljö- och byggförvaltningen Strömstads kommun</t>
        </is>
      </c>
      <c r="AX2064" t="inlineStr">
        <is>
          <t>0526-190</t>
        </is>
      </c>
      <c r="AY2064" t="inlineStr">
        <is>
          <t>Anmalan</t>
        </is>
      </c>
      <c r="AZ2064" t="inlineStr">
        <is>
          <t>2026-02-03</t>
        </is>
      </c>
      <c r="BA2064" t="inlineStr">
        <is>
          <t>MBN-2024-1724 1 Anmälan.pdf</t>
        </is>
      </c>
      <c r="BB2064" t="inlineStr">
        <is>
          <t>Sv: Begäran om handlingar</t>
        </is>
      </c>
      <c r="BC2064" t="inlineStr">
        <is>
          <t>AUTO</t>
        </is>
      </c>
      <c r="BD2064" t="inlineStr"/>
      <c r="BE2064" t="inlineStr"/>
      <c r="BF2064" t="inlineStr">
        <is>
          <t>AUTO_GENERERAD. Bekrafta metadata mot kallfil.</t>
        </is>
      </c>
      <c r="BG2064">
        <f>HYPERLINK("C:\Users\jimmy\Desktop\Examens arbete\Kod\Ny mapp\remix_-copy-of-miljöbeslut.se-portal\MBN-2024-1724 1 Anmälan.pdf", "Öppna PDF")</f>
        <v/>
      </c>
    </row>
    <row r="2065">
      <c r="A2065" t="inlineStr">
        <is>
          <t>KRAV-AUTO-002064</t>
        </is>
      </c>
      <c r="B2065" t="inlineStr">
        <is>
          <t>ADMIN-INDEX-2026-02-27-00000000125C043F57453246863FE664CAFE6A3F0700950291EA24F0614FB6ACEDB12BF0E31D00000000010C0000950291EA24F0614FB6ACEDB12BF0E31D00002087B18F0000</t>
        </is>
      </c>
      <c r="C2065" t="inlineStr">
        <is>
          <t>cmm4yunie00ptcuqws9rmxyif</t>
        </is>
      </c>
      <c r="D2065" t="inlineStr">
        <is>
          <t>http://localhost:8787/api/admin/requirements/documents/cmm4yunie00ptcuqws9rmxyif/view</t>
        </is>
      </c>
      <c r="E2065">
        <f>HYPERLÄNK("http://localhost:8787/api/admin/requirements/documents/cmm4yunie00ptcuqws9rmxyif/view";"Öppna PDF")</f>
        <v/>
      </c>
      <c r="F2065">
        <f>HYPERLINK("http://localhost:8787/api/admin/requirements/documents/cmm4yunie00ptcuqws9rmxyif/view","Open PDF")</f>
        <v/>
      </c>
      <c r="G2065" t="inlineStr">
        <is>
          <t>cmm55w57p0004cuisfrtpqly8</t>
        </is>
      </c>
      <c r="H2065" t="inlineStr">
        <is>
          <t>Kompletteringskrav</t>
        </is>
      </c>
      <c r="I2065" t="inlineStr">
        <is>
          <t>MiljopaverkanForsiktighet</t>
        </is>
      </c>
      <c r="J2065" t="inlineStr">
        <is>
          <t>Skyddsatgarder</t>
        </is>
      </c>
      <c r="K2065" t="inlineStr">
        <is>
          <t>Avfall som ska mellanlagras på platsen som anges i anmälan får enbart bestå av de jordmassor som kommer från ängs/skogsområdet vid löpklubbens parkering.</t>
        </is>
      </c>
      <c r="L2065" t="inlineStr">
        <is>
          <t>Avfall som ska mellanlagras på platsen som anges i anmälan får enbart bestå av de jordmassor som kommer från ängs/skogsområdet vid löpklubbens parkering.</t>
        </is>
      </c>
      <c r="M2065" t="inlineStr">
        <is>
          <t>SKA</t>
        </is>
      </c>
      <c r="N2065" t="inlineStr"/>
      <c r="O2065" t="inlineStr"/>
      <c r="P2065" t="inlineStr"/>
      <c r="Q2065" t="inlineStr"/>
      <c r="R2065" t="inlineStr">
        <is>
          <t>Alltid</t>
        </is>
      </c>
      <c r="S2065" t="inlineStr"/>
      <c r="T2065" t="inlineStr">
        <is>
          <t>212000</t>
        </is>
      </c>
      <c r="U2065" t="inlineStr"/>
      <c r="V2065" t="inlineStr"/>
      <c r="W2065" t="inlineStr">
        <is>
          <t>Nej</t>
        </is>
      </c>
      <c r="X2065" t="inlineStr">
        <is>
          <t>Nej</t>
        </is>
      </c>
      <c r="Y2065" t="inlineStr">
        <is>
          <t>Nej</t>
        </is>
      </c>
      <c r="Z2065" t="inlineStr">
        <is>
          <t>Nej</t>
        </is>
      </c>
      <c r="AA2065" t="n">
        <v>10</v>
      </c>
      <c r="AB2065" t="inlineStr">
        <is>
          <t>Miljopaverkan och forsiktighetsmatt</t>
        </is>
      </c>
      <c r="AC2065" t="inlineStr">
        <is>
          <t>Miljo-PM</t>
        </is>
      </c>
      <c r="AD2065" t="inlineStr">
        <is>
          <t>Nej</t>
        </is>
      </c>
      <c r="AE2065" t="inlineStr">
        <is>
          <t>Nej</t>
        </is>
      </c>
      <c r="AF2065" t="inlineStr">
        <is>
          <t>Ej behandlad</t>
        </is>
      </c>
      <c r="AG2065" t="inlineStr">
        <is>
          <t>AUTO_GENERERAD. Verifiera citat mot kallfil.</t>
        </is>
      </c>
      <c r="AH2065" t="inlineStr">
        <is>
          <t>MEDIUM</t>
        </is>
      </c>
      <c r="AI2065" t="inlineStr">
        <is>
          <t>AUTO</t>
        </is>
      </c>
      <c r="AJ2065" t="inlineStr">
        <is>
          <t>Nej</t>
        </is>
      </c>
      <c r="AK2065" t="inlineStr"/>
      <c r="AL2065" t="inlineStr"/>
      <c r="AM2065" t="inlineStr"/>
      <c r="AN2065" t="inlineStr"/>
      <c r="AO2065" t="inlineStr">
        <is>
          <t>cmm4yunij00pzcuqwrgd8gy2r</t>
        </is>
      </c>
      <c r="AP2065" t="inlineStr">
        <is>
          <t>http://localhost:8787/api/admin/requirements/documents/cmm4yunij00pzcuqwrgd8gy2r/view</t>
        </is>
      </c>
      <c r="AQ2065">
        <f>HYPERLÄNK("http://localhost:8787/api/admin/requirements/documents/cmm4yunij00pzcuqwrgd8gy2r/view";"Öppna PDF")</f>
        <v/>
      </c>
      <c r="AR2065">
        <f>HYPERLINK("http://localhost:8787/api/admin/requirements/documents/cmm4yunij00pzcuqwrgd8gy2r/view","Open PDF")</f>
        <v/>
      </c>
      <c r="AS2065" t="inlineStr">
        <is>
          <t>cmm55w57p0004cuisfrtpqly8</t>
        </is>
      </c>
      <c r="AT2065" t="inlineStr">
        <is>
          <t>cmm4xvu980000cuh4vj0usz09</t>
        </is>
      </c>
      <c r="AU2065" t="inlineStr">
        <is>
          <t>Miljö- och byggförvaltningen Strömstads</t>
        </is>
      </c>
      <c r="AV2065" t="inlineStr">
        <is>
          <t>Kommun</t>
        </is>
      </c>
      <c r="AW2065" t="inlineStr">
        <is>
          <t>Miljö- och byggförvaltningen Strömstads kommun</t>
        </is>
      </c>
      <c r="AX2065" t="inlineStr">
        <is>
          <t>0526-190</t>
        </is>
      </c>
      <c r="AY2065" t="inlineStr">
        <is>
          <t>Anmalan</t>
        </is>
      </c>
      <c r="AZ2065" t="inlineStr">
        <is>
          <t>2026-02-03</t>
        </is>
      </c>
      <c r="BA2065" t="inlineStr">
        <is>
          <t>MBN-2024-1724 1 Anmälan.pdf</t>
        </is>
      </c>
      <c r="BB2065" t="inlineStr">
        <is>
          <t>Sv: Begäran om handlingar</t>
        </is>
      </c>
      <c r="BC2065" t="inlineStr">
        <is>
          <t>AUTO</t>
        </is>
      </c>
      <c r="BD2065" t="inlineStr"/>
      <c r="BE2065" t="inlineStr"/>
      <c r="BF2065" t="inlineStr">
        <is>
          <t>AUTO_GENERERAD. Bekrafta metadata mot kallfil.</t>
        </is>
      </c>
      <c r="BG2065">
        <f>HYPERLINK("C:\Users\jimmy\Desktop\Examens arbete\Kod\Ny mapp\remix_-copy-of-miljöbeslut.se-portal\MBN-2024-1724 1 Anmälan.pdf", "Öppna PDF")</f>
        <v/>
      </c>
    </row>
    <row r="2066">
      <c r="A2066" t="inlineStr">
        <is>
          <t>KRAV-AUTO-002065</t>
        </is>
      </c>
      <c r="B2066" t="inlineStr">
        <is>
          <t>ADMIN-INDEX-2026-02-27-00000000125C043F57453246863FE664CAFE6A3F0700950291EA24F0614FB6ACEDB12BF0E31D00000000010C0000950291EA24F0614FB6ACEDB12BF0E31D00002087B18F0000</t>
        </is>
      </c>
      <c r="C2066" t="inlineStr">
        <is>
          <t>cmm4yunie00ptcuqws9rmxyif</t>
        </is>
      </c>
      <c r="D2066" t="inlineStr">
        <is>
          <t>http://localhost:8787/api/admin/requirements/documents/cmm4yunie00ptcuqws9rmxyif/view</t>
        </is>
      </c>
      <c r="E2066">
        <f>HYPERLÄNK("http://localhost:8787/api/admin/requirements/documents/cmm4yunie00ptcuqws9rmxyif/view";"Öppna PDF")</f>
        <v/>
      </c>
      <c r="F2066">
        <f>HYPERLINK("http://localhost:8787/api/admin/requirements/documents/cmm4yunie00ptcuqws9rmxyif/view","Open PDF")</f>
        <v/>
      </c>
      <c r="G2066" t="inlineStr">
        <is>
          <t>cmm55w57p0004cuisfrtpqly8</t>
        </is>
      </c>
      <c r="H2066" t="inlineStr">
        <is>
          <t>Kompletteringskrav</t>
        </is>
      </c>
      <c r="I2066" t="inlineStr">
        <is>
          <t>MiljopaverkanForsiktighet</t>
        </is>
      </c>
      <c r="J2066" t="inlineStr">
        <is>
          <t>Skyddsatgarder</t>
        </is>
      </c>
      <c r="K2066" t="inlineStr">
        <is>
          <t>Senast den 30 november 2027 ska mellanlagringen enligt anmälan upphöra.</t>
        </is>
      </c>
      <c r="L2066" t="inlineStr">
        <is>
          <t>Senast den 30 november 2027 ska mellanlagringen enligt anmälan upphöra.</t>
        </is>
      </c>
      <c r="M2066" t="inlineStr">
        <is>
          <t>SKA</t>
        </is>
      </c>
      <c r="N2066" t="inlineStr"/>
      <c r="O2066" t="inlineStr">
        <is>
          <t>senast den 30 november 2027 ska mella</t>
        </is>
      </c>
      <c r="P2066" t="inlineStr"/>
      <c r="Q2066" t="inlineStr"/>
      <c r="R2066" t="inlineStr">
        <is>
          <t>Alltid</t>
        </is>
      </c>
      <c r="S2066" t="inlineStr"/>
      <c r="T2066" t="inlineStr">
        <is>
          <t>212000</t>
        </is>
      </c>
      <c r="U2066" t="inlineStr"/>
      <c r="V2066" t="inlineStr"/>
      <c r="W2066" t="inlineStr">
        <is>
          <t>Nej</t>
        </is>
      </c>
      <c r="X2066" t="inlineStr">
        <is>
          <t>Nej</t>
        </is>
      </c>
      <c r="Y2066" t="inlineStr">
        <is>
          <t>Nej</t>
        </is>
      </c>
      <c r="Z2066" t="inlineStr">
        <is>
          <t>Nej</t>
        </is>
      </c>
      <c r="AA2066" t="n">
        <v>10</v>
      </c>
      <c r="AB2066" t="inlineStr">
        <is>
          <t>Miljopaverkan och forsiktighetsmatt</t>
        </is>
      </c>
      <c r="AC2066" t="inlineStr">
        <is>
          <t>Miljo-PM</t>
        </is>
      </c>
      <c r="AD2066" t="inlineStr">
        <is>
          <t>Nej</t>
        </is>
      </c>
      <c r="AE2066" t="inlineStr">
        <is>
          <t>Nej</t>
        </is>
      </c>
      <c r="AF2066" t="inlineStr">
        <is>
          <t>Ej behandlad</t>
        </is>
      </c>
      <c r="AG2066" t="inlineStr">
        <is>
          <t>AUTO_GENERERAD. Verifiera citat mot kallfil.</t>
        </is>
      </c>
      <c r="AH2066" t="inlineStr">
        <is>
          <t>MEDIUM</t>
        </is>
      </c>
      <c r="AI2066" t="inlineStr">
        <is>
          <t>AUTO</t>
        </is>
      </c>
      <c r="AJ2066" t="inlineStr">
        <is>
          <t>Nej</t>
        </is>
      </c>
      <c r="AK2066" t="inlineStr"/>
      <c r="AL2066" t="inlineStr"/>
      <c r="AM2066" t="inlineStr"/>
      <c r="AN2066" t="inlineStr"/>
      <c r="AO2066" t="inlineStr">
        <is>
          <t>cmm4yunij00pzcuqwrgd8gy2r</t>
        </is>
      </c>
      <c r="AP2066" t="inlineStr">
        <is>
          <t>http://localhost:8787/api/admin/requirements/documents/cmm4yunij00pzcuqwrgd8gy2r/view</t>
        </is>
      </c>
      <c r="AQ2066">
        <f>HYPERLÄNK("http://localhost:8787/api/admin/requirements/documents/cmm4yunij00pzcuqwrgd8gy2r/view";"Öppna PDF")</f>
        <v/>
      </c>
      <c r="AR2066">
        <f>HYPERLINK("http://localhost:8787/api/admin/requirements/documents/cmm4yunij00pzcuqwrgd8gy2r/view","Open PDF")</f>
        <v/>
      </c>
      <c r="AS2066" t="inlineStr">
        <is>
          <t>cmm55w57p0004cuisfrtpqly8</t>
        </is>
      </c>
      <c r="AT2066" t="inlineStr">
        <is>
          <t>cmm4xvu980000cuh4vj0usz09</t>
        </is>
      </c>
      <c r="AU2066" t="inlineStr">
        <is>
          <t>Miljö- och byggförvaltningen Strömstads</t>
        </is>
      </c>
      <c r="AV2066" t="inlineStr">
        <is>
          <t>Kommun</t>
        </is>
      </c>
      <c r="AW2066" t="inlineStr">
        <is>
          <t>Miljö- och byggförvaltningen Strömstads kommun</t>
        </is>
      </c>
      <c r="AX2066" t="inlineStr">
        <is>
          <t>0526-190</t>
        </is>
      </c>
      <c r="AY2066" t="inlineStr">
        <is>
          <t>Anmalan</t>
        </is>
      </c>
      <c r="AZ2066" t="inlineStr">
        <is>
          <t>2026-02-03</t>
        </is>
      </c>
      <c r="BA2066" t="inlineStr">
        <is>
          <t>MBN-2024-1724 1 Anmälan.pdf</t>
        </is>
      </c>
      <c r="BB2066" t="inlineStr">
        <is>
          <t>Sv: Begäran om handlingar</t>
        </is>
      </c>
      <c r="BC2066" t="inlineStr">
        <is>
          <t>AUTO</t>
        </is>
      </c>
      <c r="BD2066" t="inlineStr"/>
      <c r="BE2066" t="inlineStr"/>
      <c r="BF2066" t="inlineStr">
        <is>
          <t>AUTO_GENERERAD. Bekrafta metadata mot kallfil.</t>
        </is>
      </c>
      <c r="BG2066">
        <f>HYPERLINK("C:\Users\jimmy\Desktop\Examens arbete\Kod\Ny mapp\remix_-copy-of-miljöbeslut.se-portal\MBN-2024-1724 1 Anmälan.pdf", "Öppna PDF")</f>
        <v/>
      </c>
    </row>
    <row r="2067">
      <c r="A2067" t="inlineStr">
        <is>
          <t>KRAV-AUTO-002066</t>
        </is>
      </c>
      <c r="B2067" t="inlineStr">
        <is>
          <t>ADMIN-INDEX-2026-02-27-00000000125C043F57453246863FE664CAFE6A3F0700950291EA24F0614FB6ACEDB12BF0E31D00000000010C0000950291EA24F0614FB6ACEDB12BF0E31D00002087B18F0000</t>
        </is>
      </c>
      <c r="C2067" t="inlineStr">
        <is>
          <t>cmm4yuni500pkcuqw6gtmkm99</t>
        </is>
      </c>
      <c r="D2067" t="inlineStr">
        <is>
          <t>http://localhost:8787/api/admin/requirements/documents/cmm4yuni500pkcuqw6gtmkm99/view</t>
        </is>
      </c>
      <c r="E2067">
        <f>HYPERLÄNK("http://localhost:8787/api/admin/requirements/documents/cmm4yuni500pkcuqw6gtmkm99/view";"Öppna PDF")</f>
        <v/>
      </c>
      <c r="F2067">
        <f>HYPERLINK("http://localhost:8787/api/admin/requirements/documents/cmm4yuni500pkcuqw6gtmkm99/view","Open PDF")</f>
        <v/>
      </c>
      <c r="G2067" t="inlineStr">
        <is>
          <t>cmm55w57p0004cuisfrtpqly8</t>
        </is>
      </c>
      <c r="H2067" t="inlineStr">
        <is>
          <t>Kompletteringskrav</t>
        </is>
      </c>
      <c r="I2067" t="inlineStr">
        <is>
          <t>DagvattenLakvatten</t>
        </is>
      </c>
      <c r="J2067" t="inlineStr">
        <is>
          <t>Uppsamling</t>
        </is>
      </c>
      <c r="K2067" t="inlineStr">
        <is>
          <t>Vid damning ska utföraren vattna och täcka dagvattenbrunnar för att minska risken för påverkan på recipienten.</t>
        </is>
      </c>
      <c r="L2067" t="inlineStr">
        <is>
          <t>Vid damning ska utföraren vattna och täcka dagvattenbrunnar för att minska risken för påverkan på recipienten.</t>
        </is>
      </c>
      <c r="M2067" t="inlineStr">
        <is>
          <t>SKA</t>
        </is>
      </c>
      <c r="N2067" t="inlineStr"/>
      <c r="O2067" t="inlineStr"/>
      <c r="P2067" t="inlineStr"/>
      <c r="Q2067" t="inlineStr"/>
      <c r="R2067" t="inlineStr">
        <is>
          <t>Vid nederbord och avrinning</t>
        </is>
      </c>
      <c r="S2067" t="inlineStr"/>
      <c r="T2067" t="inlineStr">
        <is>
          <t>212000</t>
        </is>
      </c>
      <c r="U2067" t="inlineStr"/>
      <c r="V2067" t="inlineStr"/>
      <c r="W2067" t="inlineStr">
        <is>
          <t>Nej</t>
        </is>
      </c>
      <c r="X2067" t="inlineStr">
        <is>
          <t>Ja</t>
        </is>
      </c>
      <c r="Y2067" t="inlineStr">
        <is>
          <t>Ja</t>
        </is>
      </c>
      <c r="Z2067" t="inlineStr">
        <is>
          <t>Nej</t>
        </is>
      </c>
      <c r="AA2067" t="n">
        <v>6</v>
      </c>
      <c r="AB2067" t="inlineStr">
        <is>
          <t>Lakvattenhantering</t>
        </is>
      </c>
      <c r="AC2067" t="inlineStr">
        <is>
          <t>Flodesschema dagvatten-lakvatten</t>
        </is>
      </c>
      <c r="AD2067" t="inlineStr">
        <is>
          <t>Nej</t>
        </is>
      </c>
      <c r="AE2067" t="inlineStr">
        <is>
          <t>Nej</t>
        </is>
      </c>
      <c r="AF2067" t="inlineStr">
        <is>
          <t>Ej behandlad</t>
        </is>
      </c>
      <c r="AG2067" t="inlineStr">
        <is>
          <t>AUTO_GENERERAD. Verifiera citat mot kallfil.</t>
        </is>
      </c>
      <c r="AH2067" t="inlineStr">
        <is>
          <t>MEDIUM</t>
        </is>
      </c>
      <c r="AI2067" t="inlineStr">
        <is>
          <t>AUTO</t>
        </is>
      </c>
      <c r="AJ2067" t="inlineStr">
        <is>
          <t>Nej</t>
        </is>
      </c>
      <c r="AK2067" t="inlineStr"/>
      <c r="AL2067" t="inlineStr"/>
      <c r="AM2067" t="inlineStr"/>
      <c r="AN2067" t="inlineStr"/>
      <c r="AO2067" t="inlineStr">
        <is>
          <t>cmm4yunij00pzcuqwrgd8gy2r</t>
        </is>
      </c>
      <c r="AP2067" t="inlineStr">
        <is>
          <t>http://localhost:8787/api/admin/requirements/documents/cmm4yunij00pzcuqwrgd8gy2r/view</t>
        </is>
      </c>
      <c r="AQ2067">
        <f>HYPERLÄNK("http://localhost:8787/api/admin/requirements/documents/cmm4yunij00pzcuqwrgd8gy2r/view";"Öppna PDF")</f>
        <v/>
      </c>
      <c r="AR2067">
        <f>HYPERLINK("http://localhost:8787/api/admin/requirements/documents/cmm4yunij00pzcuqwrgd8gy2r/view","Open PDF")</f>
        <v/>
      </c>
      <c r="AS2067" t="inlineStr">
        <is>
          <t>cmm55w57p0004cuisfrtpqly8</t>
        </is>
      </c>
      <c r="AT2067" t="inlineStr">
        <is>
          <t>cmm4xvu980000cuh4vj0usz09</t>
        </is>
      </c>
      <c r="AU2067" t="inlineStr">
        <is>
          <t>Miljö- och byggförvaltningen Strömstads</t>
        </is>
      </c>
      <c r="AV2067" t="inlineStr">
        <is>
          <t>Kommun</t>
        </is>
      </c>
      <c r="AW2067" t="inlineStr">
        <is>
          <t>Miljö- och byggförvaltningen Strömstads kommun</t>
        </is>
      </c>
      <c r="AX2067" t="inlineStr">
        <is>
          <t>0526-190</t>
        </is>
      </c>
      <c r="AY2067" t="inlineStr">
        <is>
          <t>Anmalan</t>
        </is>
      </c>
      <c r="AZ2067" t="inlineStr">
        <is>
          <t>2026-02-03</t>
        </is>
      </c>
      <c r="BA2067" t="inlineStr">
        <is>
          <t>MBN-2024-1724 1 Anmälan.pdf</t>
        </is>
      </c>
      <c r="BB2067" t="inlineStr">
        <is>
          <t>Sv: Begäran om handlingar</t>
        </is>
      </c>
      <c r="BC2067" t="inlineStr">
        <is>
          <t>AUTO</t>
        </is>
      </c>
      <c r="BD2067" t="inlineStr"/>
      <c r="BE2067" t="inlineStr"/>
      <c r="BF2067" t="inlineStr">
        <is>
          <t>AUTO_GENERERAD. Bekrafta metadata mot kallfil.</t>
        </is>
      </c>
      <c r="BG2067">
        <f>HYPERLINK("C:\Users\jimmy\Desktop\Examens arbete\Kod\Ny mapp\remix_-copy-of-miljöbeslut.se-portal\MBN-2024-1724 1 Anmälan.pdf", "Öppna PDF")</f>
        <v/>
      </c>
    </row>
    <row r="2068">
      <c r="A2068" t="inlineStr">
        <is>
          <t>KRAV-AUTO-002067</t>
        </is>
      </c>
      <c r="B2068" t="inlineStr">
        <is>
          <t>ADMIN-INDEX-2026-02-27-00000000125C043F57453246863FE664CAFE6A3F0700950291EA24F0614FB6ACEDB12BF0E31D00000000010C0000950291EA24F0614FB6ACEDB12BF0E31D00002087B18F0000</t>
        </is>
      </c>
      <c r="C2068" t="inlineStr">
        <is>
          <t>cmm4yuni500pkcuqw6gtmkm99</t>
        </is>
      </c>
      <c r="D2068" t="inlineStr">
        <is>
          <t>http://localhost:8787/api/admin/requirements/documents/cmm4yuni500pkcuqw6gtmkm99/view</t>
        </is>
      </c>
      <c r="E2068">
        <f>HYPERLÄNK("http://localhost:8787/api/admin/requirements/documents/cmm4yuni500pkcuqw6gtmkm99/view";"Öppna PDF")</f>
        <v/>
      </c>
      <c r="F2068">
        <f>HYPERLINK("http://localhost:8787/api/admin/requirements/documents/cmm4yuni500pkcuqw6gtmkm99/view","Open PDF")</f>
        <v/>
      </c>
      <c r="G2068" t="inlineStr">
        <is>
          <t>cmm55w57p0004cuisfrtpqly8</t>
        </is>
      </c>
      <c r="H2068" t="inlineStr">
        <is>
          <t>Kompletteringskrav</t>
        </is>
      </c>
      <c r="I2068" t="inlineStr">
        <is>
          <t>LagringsvolymTid</t>
        </is>
      </c>
      <c r="J2068" t="inlineStr">
        <is>
          <t>Maxmangd</t>
        </is>
      </c>
      <c r="K2068" t="inlineStr">
        <is>
          <t>minska mängden avfall, 2.</t>
        </is>
      </c>
      <c r="L2068" t="inlineStr">
        <is>
          <t>minska mängden avfall, 2.</t>
        </is>
      </c>
      <c r="M2068" t="inlineStr">
        <is>
          <t>SKA</t>
        </is>
      </c>
      <c r="N2068" t="inlineStr"/>
      <c r="O2068" t="inlineStr"/>
      <c r="P2068" t="inlineStr"/>
      <c r="Q2068" t="inlineStr"/>
      <c r="R2068" t="inlineStr">
        <is>
          <t>Alltid</t>
        </is>
      </c>
      <c r="S2068" t="inlineStr"/>
      <c r="T2068" t="inlineStr">
        <is>
          <t>212000</t>
        </is>
      </c>
      <c r="U2068" t="inlineStr"/>
      <c r="V2068" t="inlineStr"/>
      <c r="W2068" t="inlineStr">
        <is>
          <t>Nej</t>
        </is>
      </c>
      <c r="X2068" t="inlineStr">
        <is>
          <t>Nej</t>
        </is>
      </c>
      <c r="Y2068" t="inlineStr">
        <is>
          <t>Nej</t>
        </is>
      </c>
      <c r="Z2068" t="inlineStr">
        <is>
          <t>Nej</t>
        </is>
      </c>
      <c r="AA2068" t="n">
        <v>4</v>
      </c>
      <c r="AB2068" t="inlineStr">
        <is>
          <t>Avfallsmangder och lagringstid</t>
        </is>
      </c>
      <c r="AC2068" t="inlineStr">
        <is>
          <t>Avfallsforteckning</t>
        </is>
      </c>
      <c r="AD2068" t="inlineStr">
        <is>
          <t>Nej</t>
        </is>
      </c>
      <c r="AE2068" t="inlineStr">
        <is>
          <t>Nej</t>
        </is>
      </c>
      <c r="AF2068" t="inlineStr">
        <is>
          <t>Ej behandlad</t>
        </is>
      </c>
      <c r="AG2068" t="inlineStr">
        <is>
          <t>AUTO_GENERERAD. Verifiera citat mot kallfil.</t>
        </is>
      </c>
      <c r="AH2068" t="inlineStr">
        <is>
          <t>LOW</t>
        </is>
      </c>
      <c r="AI2068" t="inlineStr">
        <is>
          <t>AUTO</t>
        </is>
      </c>
      <c r="AJ2068" t="inlineStr">
        <is>
          <t>Nej</t>
        </is>
      </c>
      <c r="AK2068" t="inlineStr"/>
      <c r="AL2068" t="inlineStr"/>
      <c r="AM2068" t="inlineStr"/>
      <c r="AN2068" t="inlineStr"/>
      <c r="AO2068" t="inlineStr">
        <is>
          <t>cmm4yunij00pzcuqwrgd8gy2r</t>
        </is>
      </c>
      <c r="AP2068" t="inlineStr">
        <is>
          <t>http://localhost:8787/api/admin/requirements/documents/cmm4yunij00pzcuqwrgd8gy2r/view</t>
        </is>
      </c>
      <c r="AQ2068">
        <f>HYPERLÄNK("http://localhost:8787/api/admin/requirements/documents/cmm4yunij00pzcuqwrgd8gy2r/view";"Öppna PDF")</f>
        <v/>
      </c>
      <c r="AR2068">
        <f>HYPERLINK("http://localhost:8787/api/admin/requirements/documents/cmm4yunij00pzcuqwrgd8gy2r/view","Open PDF")</f>
        <v/>
      </c>
      <c r="AS2068" t="inlineStr">
        <is>
          <t>cmm55w57p0004cuisfrtpqly8</t>
        </is>
      </c>
      <c r="AT2068" t="inlineStr">
        <is>
          <t>cmm4xvu980000cuh4vj0usz09</t>
        </is>
      </c>
      <c r="AU2068" t="inlineStr">
        <is>
          <t>Miljö- och byggförvaltningen Strömstads</t>
        </is>
      </c>
      <c r="AV2068" t="inlineStr">
        <is>
          <t>Kommun</t>
        </is>
      </c>
      <c r="AW2068" t="inlineStr">
        <is>
          <t>Miljö- och byggförvaltningen Strömstads kommun</t>
        </is>
      </c>
      <c r="AX2068" t="inlineStr">
        <is>
          <t>0526-190</t>
        </is>
      </c>
      <c r="AY2068" t="inlineStr">
        <is>
          <t>Anmalan</t>
        </is>
      </c>
      <c r="AZ2068" t="inlineStr">
        <is>
          <t>2026-02-03</t>
        </is>
      </c>
      <c r="BA2068" t="inlineStr">
        <is>
          <t>MBN-2024-1724 1 Anmälan.pdf</t>
        </is>
      </c>
      <c r="BB2068" t="inlineStr">
        <is>
          <t>Sv: Begäran om handlingar</t>
        </is>
      </c>
      <c r="BC2068" t="inlineStr">
        <is>
          <t>AUTO</t>
        </is>
      </c>
      <c r="BD2068" t="inlineStr"/>
      <c r="BE2068" t="inlineStr"/>
      <c r="BF2068" t="inlineStr">
        <is>
          <t>AUTO_GENERERAD. Bekrafta metadata mot kallfil.</t>
        </is>
      </c>
      <c r="BG2068">
        <f>HYPERLINK("C:\Users\jimmy\Desktop\Examens arbete\Kod\Ny mapp\remix_-copy-of-miljöbeslut.se-portal\MBN-2024-1724 1 Anmälan.pdf", "Öppna PDF")</f>
        <v/>
      </c>
    </row>
    <row r="2069">
      <c r="A2069" t="inlineStr">
        <is>
          <t>KRAV-AUTO-002068</t>
        </is>
      </c>
      <c r="B2069" t="inlineStr">
        <is>
          <t>ADMIN-INDEX-2026-02-27-00000000125C043F57453246863FE664CAFE6A3F0700950291EA24F0614FB6ACEDB12BF0E31D00000000010C0000950291EA24F0614FB6ACEDB12BF0E31D00002087B18F0000</t>
        </is>
      </c>
      <c r="C2069" t="inlineStr">
        <is>
          <t>cmm4yuni500pkcuqw6gtmkm99</t>
        </is>
      </c>
      <c r="D2069" t="inlineStr">
        <is>
          <t>http://localhost:8787/api/admin/requirements/documents/cmm4yuni500pkcuqw6gtmkm99/view</t>
        </is>
      </c>
      <c r="E2069">
        <f>HYPERLÄNK("http://localhost:8787/api/admin/requirements/documents/cmm4yuni500pkcuqw6gtmkm99/view";"Öppna PDF")</f>
        <v/>
      </c>
      <c r="F2069">
        <f>HYPERLINK("http://localhost:8787/api/admin/requirements/documents/cmm4yuni500pkcuqw6gtmkm99/view","Open PDF")</f>
        <v/>
      </c>
      <c r="G2069" t="inlineStr">
        <is>
          <t>cmm55w57p0004cuisfrtpqly8</t>
        </is>
      </c>
      <c r="H2069" t="inlineStr">
        <is>
          <t>Kompletteringskrav</t>
        </is>
      </c>
      <c r="I2069" t="inlineStr">
        <is>
          <t>LagringsvolymTid</t>
        </is>
      </c>
      <c r="J2069" t="inlineStr">
        <is>
          <t>Maxmangd</t>
        </is>
      </c>
      <c r="K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L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M2069" t="inlineStr">
        <is>
          <t>SKA</t>
        </is>
      </c>
      <c r="N2069" t="inlineStr"/>
      <c r="O2069" t="inlineStr"/>
      <c r="P2069" t="inlineStr"/>
      <c r="Q2069" t="inlineStr"/>
      <c r="R2069" t="inlineStr">
        <is>
          <t>Alltid</t>
        </is>
      </c>
      <c r="S2069" t="inlineStr"/>
      <c r="T2069" t="inlineStr">
        <is>
          <t>212000</t>
        </is>
      </c>
      <c r="U2069" t="inlineStr"/>
      <c r="V2069" t="inlineStr"/>
      <c r="W2069" t="inlineStr">
        <is>
          <t>Nej</t>
        </is>
      </c>
      <c r="X2069" t="inlineStr">
        <is>
          <t>Nej</t>
        </is>
      </c>
      <c r="Y2069" t="inlineStr">
        <is>
          <t>Nej</t>
        </is>
      </c>
      <c r="Z2069" t="inlineStr">
        <is>
          <t>Nej</t>
        </is>
      </c>
      <c r="AA2069" t="n">
        <v>4</v>
      </c>
      <c r="AB2069" t="inlineStr">
        <is>
          <t>Avfallsmangder och lagringstid</t>
        </is>
      </c>
      <c r="AC2069" t="inlineStr">
        <is>
          <t>Avfallsforteckning</t>
        </is>
      </c>
      <c r="AD2069" t="inlineStr">
        <is>
          <t>Nej</t>
        </is>
      </c>
      <c r="AE2069" t="inlineStr">
        <is>
          <t>Nej</t>
        </is>
      </c>
      <c r="AF2069" t="inlineStr">
        <is>
          <t>Ej behandlad</t>
        </is>
      </c>
      <c r="AG2069" t="inlineStr">
        <is>
          <t>AUTO_GENERERAD. Verifiera citat mot kallfil.</t>
        </is>
      </c>
      <c r="AH2069" t="inlineStr">
        <is>
          <t>MEDIUM</t>
        </is>
      </c>
      <c r="AI2069" t="inlineStr">
        <is>
          <t>AUTO</t>
        </is>
      </c>
      <c r="AJ2069" t="inlineStr">
        <is>
          <t>Nej</t>
        </is>
      </c>
      <c r="AK2069" t="inlineStr"/>
      <c r="AL2069" t="inlineStr"/>
      <c r="AM2069" t="inlineStr"/>
      <c r="AN2069" t="inlineStr"/>
      <c r="AO2069" t="inlineStr">
        <is>
          <t>cmm4yunij00pzcuqwrgd8gy2r</t>
        </is>
      </c>
      <c r="AP2069" t="inlineStr">
        <is>
          <t>http://localhost:8787/api/admin/requirements/documents/cmm4yunij00pzcuqwrgd8gy2r/view</t>
        </is>
      </c>
      <c r="AQ2069">
        <f>HYPERLÄNK("http://localhost:8787/api/admin/requirements/documents/cmm4yunij00pzcuqwrgd8gy2r/view";"Öppna PDF")</f>
        <v/>
      </c>
      <c r="AR2069">
        <f>HYPERLINK("http://localhost:8787/api/admin/requirements/documents/cmm4yunij00pzcuqwrgd8gy2r/view","Open PDF")</f>
        <v/>
      </c>
      <c r="AS2069" t="inlineStr">
        <is>
          <t>cmm55w57p0004cuisfrtpqly8</t>
        </is>
      </c>
      <c r="AT2069" t="inlineStr">
        <is>
          <t>cmm4xvu980000cuh4vj0usz09</t>
        </is>
      </c>
      <c r="AU2069" t="inlineStr">
        <is>
          <t>Miljö- och byggförvaltningen Strömstads</t>
        </is>
      </c>
      <c r="AV2069" t="inlineStr">
        <is>
          <t>Kommun</t>
        </is>
      </c>
      <c r="AW2069" t="inlineStr">
        <is>
          <t>Miljö- och byggförvaltningen Strömstads kommun</t>
        </is>
      </c>
      <c r="AX2069" t="inlineStr">
        <is>
          <t>0526-190</t>
        </is>
      </c>
      <c r="AY2069" t="inlineStr">
        <is>
          <t>Anmalan</t>
        </is>
      </c>
      <c r="AZ2069" t="inlineStr">
        <is>
          <t>2026-02-03</t>
        </is>
      </c>
      <c r="BA2069" t="inlineStr">
        <is>
          <t>MBN-2024-1724 1 Anmälan.pdf</t>
        </is>
      </c>
      <c r="BB2069" t="inlineStr">
        <is>
          <t>Sv: Begäran om handlingar</t>
        </is>
      </c>
      <c r="BC2069" t="inlineStr">
        <is>
          <t>AUTO</t>
        </is>
      </c>
      <c r="BD2069" t="inlineStr"/>
      <c r="BE2069" t="inlineStr"/>
      <c r="BF2069" t="inlineStr">
        <is>
          <t>AUTO_GENERERAD. Bekrafta metadata mot kallfil.</t>
        </is>
      </c>
      <c r="BG2069">
        <f>HYPERLINK("C:\Users\jimmy\Desktop\Examens arbete\Kod\Ny mapp\remix_-copy-of-miljöbeslut.se-portal\MBN-2024-1724 1 Anmälan.pdf", "Öppna PDF")</f>
        <v/>
      </c>
    </row>
    <row r="2070">
      <c r="A2070" t="inlineStr">
        <is>
          <t>KRAV-AUTO-002069</t>
        </is>
      </c>
      <c r="B2070" t="inlineStr">
        <is>
          <t>ADMIN-INDEX-2026-02-27-00000000125C043F57453246863FE664CAFE6A3F0700950291EA24F0614FB6ACEDB12BF0E31D00000000010C0000950291EA24F0614FB6ACEDB12BF0E31D00002087B1900000</t>
        </is>
      </c>
      <c r="C2070" t="inlineStr">
        <is>
          <t>cmm4yuni000pecuqws2rdrrnl</t>
        </is>
      </c>
      <c r="D2070" t="inlineStr">
        <is>
          <t>http://localhost:8787/api/admin/requirements/documents/cmm4yuni000pecuqws2rdrrnl/view</t>
        </is>
      </c>
      <c r="E2070">
        <f>HYPERLÄNK("http://localhost:8787/api/admin/requirements/documents/cmm4yuni000pecuqws2rdrrnl/view";"Öppna PDF")</f>
        <v/>
      </c>
      <c r="F2070">
        <f>HYPERLINK("http://localhost:8787/api/admin/requirements/documents/cmm4yuni000pecuqws2rdrrnl/view","Open PDF")</f>
        <v/>
      </c>
      <c r="G2070" t="inlineStr">
        <is>
          <t>cmm55w57p0004cuisfrtpqly8</t>
        </is>
      </c>
      <c r="H2070" t="inlineStr">
        <is>
          <t>Beslutsvillkor</t>
        </is>
      </c>
      <c r="I2070" t="inlineStr">
        <is>
          <t>DriftEgenkontroll</t>
        </is>
      </c>
      <c r="J2070" t="inlineStr">
        <is>
          <t>Journalforing</t>
        </is>
      </c>
      <c r="K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mellanlagring och mekanisk bearbetning av icke-farligt avfall Fastighetsbeteckning: Håbo Viksjö 2:30 Besöksadress: Eknäsvägen 3 Verksamhetsnamn: Järfälla Utemiljö AB Beslut Bygg- och miljönämnden beslutar att Järfälla Utemiljö AB med 559149- 8547 ska vidta följande försiktighetsmått för miljöfarlig verksamhet på fastigheten Håbo Viksjö 2:30: 1.</t>
        </is>
      </c>
      <c r="L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t>
        </is>
      </c>
      <c r="M2070" t="inlineStr">
        <is>
          <t>SKA</t>
        </is>
      </c>
      <c r="N2070" t="inlineStr">
        <is>
          <t>FMH</t>
        </is>
      </c>
      <c r="O2070" t="inlineStr">
        <is>
          <t>2024-11-11</t>
        </is>
      </c>
      <c r="P2070" t="inlineStr">
        <is>
          <t>Arlig</t>
        </is>
      </c>
      <c r="Q2070" t="inlineStr"/>
      <c r="R2070" t="inlineStr">
        <is>
          <t>Lopande drift</t>
        </is>
      </c>
      <c r="S2070" t="inlineStr"/>
      <c r="T2070" t="inlineStr">
        <is>
          <t>11 2024</t>
        </is>
      </c>
      <c r="U2070" t="inlineStr"/>
      <c r="V2070" t="inlineStr"/>
      <c r="W2070" t="inlineStr">
        <is>
          <t>Nej</t>
        </is>
      </c>
      <c r="X2070" t="inlineStr">
        <is>
          <t>Nej</t>
        </is>
      </c>
      <c r="Y2070" t="inlineStr">
        <is>
          <t>Ja</t>
        </is>
      </c>
      <c r="Z2070" t="inlineStr">
        <is>
          <t>Nej</t>
        </is>
      </c>
      <c r="AA2070" t="n">
        <v>7</v>
      </c>
      <c r="AB2070" t="inlineStr">
        <is>
          <t>Egenkontrollrutiner</t>
        </is>
      </c>
      <c r="AC2070" t="inlineStr">
        <is>
          <t>Egenkontrollprogram</t>
        </is>
      </c>
      <c r="AD2070" t="inlineStr">
        <is>
          <t>Nej</t>
        </is>
      </c>
      <c r="AE2070" t="inlineStr">
        <is>
          <t>Nej</t>
        </is>
      </c>
      <c r="AF2070" t="inlineStr">
        <is>
          <t>Ej behandlad</t>
        </is>
      </c>
      <c r="AG2070" t="inlineStr">
        <is>
          <t>AUTO_GENERERAD. Verifiera citat mot kallfil.</t>
        </is>
      </c>
      <c r="AH2070" t="inlineStr">
        <is>
          <t>MEDIUM</t>
        </is>
      </c>
      <c r="AI2070" t="inlineStr">
        <is>
          <t>AUTO</t>
        </is>
      </c>
      <c r="AJ2070" t="inlineStr">
        <is>
          <t>Nej</t>
        </is>
      </c>
      <c r="AK2070" t="inlineStr"/>
      <c r="AL2070" t="inlineStr"/>
      <c r="AM2070" t="inlineStr"/>
      <c r="AN2070" t="inlineStr"/>
      <c r="AO2070" t="inlineStr">
        <is>
          <t>cmm4yuni000pecuqws2rdrrnl</t>
        </is>
      </c>
      <c r="AP2070" t="inlineStr">
        <is>
          <t>http://localhost:8787/api/admin/requirements/documents/cmm4yuni000pecuqws2rdrrnl/view</t>
        </is>
      </c>
      <c r="AQ2070">
        <f>HYPERLÄNK("http://localhost:8787/api/admin/requirements/documents/cmm4yuni000pecuqws2rdrrnl/view";"Öppna PDF")</f>
        <v/>
      </c>
      <c r="AR2070">
        <f>HYPERLINK("http://localhost:8787/api/admin/requirements/documents/cmm4yuni000pecuqws2rdrrnl/view","Open PDF")</f>
        <v/>
      </c>
      <c r="AS2070" t="inlineStr">
        <is>
          <t>cmm55w57p0004cuisfrtpqly8</t>
        </is>
      </c>
      <c r="AT2070" t="inlineStr">
        <is>
          <t>cmm4xvu980000cuh4vj0usz09</t>
        </is>
      </c>
      <c r="AU2070" t="inlineStr"/>
      <c r="AV2070" t="inlineStr">
        <is>
          <t>Kommun</t>
        </is>
      </c>
      <c r="AW2070" t="inlineStr"/>
      <c r="AX2070" t="inlineStr">
        <is>
          <t>2026-131</t>
        </is>
      </c>
      <c r="AY2070" t="inlineStr">
        <is>
          <t>Beslut</t>
        </is>
      </c>
      <c r="AZ2070" t="inlineStr">
        <is>
          <t>2026-02-03</t>
        </is>
      </c>
      <c r="BA2070" t="inlineStr">
        <is>
          <t>Skrivelse.pdf</t>
        </is>
      </c>
      <c r="BB2070" t="inlineStr">
        <is>
          <t>Ärende 2026-131 - Begäran om allmän handling</t>
        </is>
      </c>
      <c r="BC2070" t="inlineStr">
        <is>
          <t>AUTO</t>
        </is>
      </c>
      <c r="BD2070" t="inlineStr"/>
      <c r="BE2070" t="inlineStr"/>
      <c r="BF2070" t="inlineStr">
        <is>
          <t>AUTO_GENERERAD. Bekrafta metadata mot kallfil.</t>
        </is>
      </c>
      <c r="BG2070">
        <f>HYPERLINK("C:\Users\jimmy\Desktop\Examens arbete\Kod\Ny mapp\remix_-copy-of-miljöbeslut.se-portal\Skrivelse.pdf", "Öppna PDF")</f>
        <v/>
      </c>
    </row>
    <row r="2071">
      <c r="A2071" t="inlineStr">
        <is>
          <t>KRAV-AUTO-002070</t>
        </is>
      </c>
      <c r="B2071" t="inlineStr">
        <is>
          <t>ADMIN-INDEX-2026-02-27-00000000125C043F57453246863FE664CAFE6A3F0700950291EA24F0614FB6ACEDB12BF0E31D00000000010C0000950291EA24F0614FB6ACEDB12BF0E31D00002087B1900000</t>
        </is>
      </c>
      <c r="C2071" t="inlineStr">
        <is>
          <t>cmm4yuni000pecuqws2rdrrnl</t>
        </is>
      </c>
      <c r="D2071" t="inlineStr">
        <is>
          <t>http://localhost:8787/api/admin/requirements/documents/cmm4yuni000pecuqws2rdrrnl/view</t>
        </is>
      </c>
      <c r="E2071">
        <f>HYPERLÄNK("http://localhost:8787/api/admin/requirements/documents/cmm4yuni000pecuqws2rdrrnl/view";"Öppna PDF")</f>
        <v/>
      </c>
      <c r="F2071">
        <f>HYPERLINK("http://localhost:8787/api/admin/requirements/documents/cmm4yuni000pecuqws2rdrrnl/view","Open PDF")</f>
        <v/>
      </c>
      <c r="G2071" t="inlineStr">
        <is>
          <t>cmm55w57p0004cuisfrtpqly8</t>
        </is>
      </c>
      <c r="H2071" t="inlineStr">
        <is>
          <t>Beslutsvillkor</t>
        </is>
      </c>
      <c r="I2071" t="inlineStr">
        <is>
          <t>Ytkonstruktion</t>
        </is>
      </c>
      <c r="J2071" t="inlineStr">
        <is>
          <t>Tat yta</t>
        </is>
      </c>
      <c r="K2071" t="inlineStr">
        <is>
          <t>Absorberingsmedel ska finnas lättillgängligt och användas vid behov om spill eller läckage av flytande kemikalier och avfall inträffar.</t>
        </is>
      </c>
      <c r="L2071" t="inlineStr">
        <is>
          <t>Absorberingsmedel ska finnas lättillgängligt och användas vid behov om spill eller läckage av flytande kemikalier och avfall inträffar.</t>
        </is>
      </c>
      <c r="M2071" t="inlineStr">
        <is>
          <t>SKA</t>
        </is>
      </c>
      <c r="N2071" t="inlineStr"/>
      <c r="O2071" t="inlineStr"/>
      <c r="P2071" t="inlineStr"/>
      <c r="Q2071" t="inlineStr"/>
      <c r="R2071" t="inlineStr">
        <is>
          <t>Vid mellanlagring av avfall</t>
        </is>
      </c>
      <c r="S2071" t="inlineStr"/>
      <c r="T2071" t="inlineStr">
        <is>
          <t>11 2024</t>
        </is>
      </c>
      <c r="U2071" t="inlineStr"/>
      <c r="V2071" t="inlineStr"/>
      <c r="W2071" t="inlineStr">
        <is>
          <t>Ja</t>
        </is>
      </c>
      <c r="X2071" t="inlineStr">
        <is>
          <t>Nej</t>
        </is>
      </c>
      <c r="Y2071" t="inlineStr">
        <is>
          <t>Nej</t>
        </is>
      </c>
      <c r="Z2071" t="inlineStr">
        <is>
          <t>Nej</t>
        </is>
      </c>
      <c r="AA2071" t="n">
        <v>5</v>
      </c>
      <c r="AB2071" t="inlineStr">
        <is>
          <t>Teknisk beskrivning av platta</t>
        </is>
      </c>
      <c r="AC2071" t="inlineStr">
        <is>
          <t>Teknisk ritning platta</t>
        </is>
      </c>
      <c r="AD2071" t="inlineStr">
        <is>
          <t>Nej</t>
        </is>
      </c>
      <c r="AE2071" t="inlineStr">
        <is>
          <t>Nej</t>
        </is>
      </c>
      <c r="AF2071" t="inlineStr">
        <is>
          <t>Ej behandlad</t>
        </is>
      </c>
      <c r="AG2071" t="inlineStr">
        <is>
          <t>AUTO_GENERERAD. Verifiera citat mot kallfil.</t>
        </is>
      </c>
      <c r="AH2071" t="inlineStr">
        <is>
          <t>MEDIUM</t>
        </is>
      </c>
      <c r="AI2071" t="inlineStr">
        <is>
          <t>AUTO</t>
        </is>
      </c>
      <c r="AJ2071" t="inlineStr">
        <is>
          <t>Nej</t>
        </is>
      </c>
      <c r="AK2071" t="inlineStr"/>
      <c r="AL2071" t="inlineStr"/>
      <c r="AM2071" t="inlineStr"/>
      <c r="AN2071" t="inlineStr"/>
      <c r="AO2071" t="inlineStr">
        <is>
          <t>cmm4yuni000pecuqws2rdrrnl</t>
        </is>
      </c>
      <c r="AP2071" t="inlineStr">
        <is>
          <t>http://localhost:8787/api/admin/requirements/documents/cmm4yuni000pecuqws2rdrrnl/view</t>
        </is>
      </c>
      <c r="AQ2071">
        <f>HYPERLÄNK("http://localhost:8787/api/admin/requirements/documents/cmm4yuni000pecuqws2rdrrnl/view";"Öppna PDF")</f>
        <v/>
      </c>
      <c r="AR2071">
        <f>HYPERLINK("http://localhost:8787/api/admin/requirements/documents/cmm4yuni000pecuqws2rdrrnl/view","Open PDF")</f>
        <v/>
      </c>
      <c r="AS2071" t="inlineStr">
        <is>
          <t>cmm55w57p0004cuisfrtpqly8</t>
        </is>
      </c>
      <c r="AT2071" t="inlineStr">
        <is>
          <t>cmm4xvu980000cuh4vj0usz09</t>
        </is>
      </c>
      <c r="AU2071" t="inlineStr"/>
      <c r="AV2071" t="inlineStr">
        <is>
          <t>Kommun</t>
        </is>
      </c>
      <c r="AW2071" t="inlineStr"/>
      <c r="AX2071" t="inlineStr">
        <is>
          <t>2026-131</t>
        </is>
      </c>
      <c r="AY2071" t="inlineStr">
        <is>
          <t>Beslut</t>
        </is>
      </c>
      <c r="AZ2071" t="inlineStr">
        <is>
          <t>2026-02-03</t>
        </is>
      </c>
      <c r="BA2071" t="inlineStr">
        <is>
          <t>Skrivelse.pdf</t>
        </is>
      </c>
      <c r="BB2071" t="inlineStr">
        <is>
          <t>Ärende 2026-131 - Begäran om allmän handling</t>
        </is>
      </c>
      <c r="BC2071" t="inlineStr">
        <is>
          <t>AUTO</t>
        </is>
      </c>
      <c r="BD2071" t="inlineStr"/>
      <c r="BE2071" t="inlineStr"/>
      <c r="BF2071" t="inlineStr">
        <is>
          <t>AUTO_GENERERAD. Bekrafta metadata mot kallfil.</t>
        </is>
      </c>
      <c r="BG2071">
        <f>HYPERLINK("C:\Users\jimmy\Desktop\Examens arbete\Kod\Ny mapp\remix_-copy-of-miljöbeslut.se-portal\Skrivelse.pdf", "Öppna PDF")</f>
        <v/>
      </c>
    </row>
    <row r="2072">
      <c r="A2072" t="inlineStr">
        <is>
          <t>KRAV-AUTO-002071</t>
        </is>
      </c>
      <c r="B2072" t="inlineStr">
        <is>
          <t>ADMIN-INDEX-2026-02-27-00000000125C043F57453246863FE664CAFE6A3F0700950291EA24F0614FB6ACEDB12BF0E31D00000000010C0000950291EA24F0614FB6ACEDB12BF0E31D00002087B1900000</t>
        </is>
      </c>
      <c r="C2072" t="inlineStr">
        <is>
          <t>cmm4yuni000pecuqws2rdrrnl</t>
        </is>
      </c>
      <c r="D2072" t="inlineStr">
        <is>
          <t>http://localhost:8787/api/admin/requirements/documents/cmm4yuni000pecuqws2rdrrnl/view</t>
        </is>
      </c>
      <c r="E2072">
        <f>HYPERLÄNK("http://localhost:8787/api/admin/requirements/documents/cmm4yuni000pecuqws2rdrrnl/view";"Öppna PDF")</f>
        <v/>
      </c>
      <c r="F2072">
        <f>HYPERLINK("http://localhost:8787/api/admin/requirements/documents/cmm4yuni000pecuqws2rdrrnl/view","Open PDF")</f>
        <v/>
      </c>
      <c r="G2072" t="inlineStr">
        <is>
          <t>cmm55w57p0004cuisfrtpqly8</t>
        </is>
      </c>
      <c r="H2072" t="inlineStr">
        <is>
          <t>Beslutsvillkor</t>
        </is>
      </c>
      <c r="I2072" t="inlineStr">
        <is>
          <t>MiljopaverkanForsiktighet</t>
        </is>
      </c>
      <c r="J2072" t="inlineStr">
        <is>
          <t>Skyddsatgarder</t>
        </is>
      </c>
      <c r="K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L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M2072" t="inlineStr">
        <is>
          <t>SKA</t>
        </is>
      </c>
      <c r="N2072" t="inlineStr"/>
      <c r="O2072" t="inlineStr"/>
      <c r="P2072" t="inlineStr"/>
      <c r="Q2072" t="inlineStr"/>
      <c r="R2072" t="inlineStr">
        <is>
          <t>Alltid</t>
        </is>
      </c>
      <c r="S2072" t="inlineStr"/>
      <c r="T2072" t="inlineStr">
        <is>
          <t>11 2024</t>
        </is>
      </c>
      <c r="U2072" t="inlineStr"/>
      <c r="V2072" t="inlineStr"/>
      <c r="W2072" t="inlineStr">
        <is>
          <t>Nej</t>
        </is>
      </c>
      <c r="X2072" t="inlineStr">
        <is>
          <t>Nej</t>
        </is>
      </c>
      <c r="Y2072" t="inlineStr">
        <is>
          <t>Nej</t>
        </is>
      </c>
      <c r="Z2072" t="inlineStr">
        <is>
          <t>Nej</t>
        </is>
      </c>
      <c r="AA2072" t="n">
        <v>10</v>
      </c>
      <c r="AB2072" t="inlineStr">
        <is>
          <t>Miljopaverkan och forsiktighetsmatt</t>
        </is>
      </c>
      <c r="AC2072" t="inlineStr">
        <is>
          <t>Miljo-PM</t>
        </is>
      </c>
      <c r="AD2072" t="inlineStr">
        <is>
          <t>Nej</t>
        </is>
      </c>
      <c r="AE2072" t="inlineStr">
        <is>
          <t>Nej</t>
        </is>
      </c>
      <c r="AF2072" t="inlineStr">
        <is>
          <t>Ej behandlad</t>
        </is>
      </c>
      <c r="AG2072" t="inlineStr">
        <is>
          <t>AUTO_GENERERAD. Verifiera citat mot kallfil.</t>
        </is>
      </c>
      <c r="AH2072" t="inlineStr">
        <is>
          <t>MEDIUM</t>
        </is>
      </c>
      <c r="AI2072" t="inlineStr">
        <is>
          <t>AUTO</t>
        </is>
      </c>
      <c r="AJ2072" t="inlineStr">
        <is>
          <t>Nej</t>
        </is>
      </c>
      <c r="AK2072" t="inlineStr"/>
      <c r="AL2072" t="inlineStr"/>
      <c r="AM2072" t="inlineStr"/>
      <c r="AN2072" t="inlineStr"/>
      <c r="AO2072" t="inlineStr">
        <is>
          <t>cmm4yuni000pecuqws2rdrrnl</t>
        </is>
      </c>
      <c r="AP2072" t="inlineStr">
        <is>
          <t>http://localhost:8787/api/admin/requirements/documents/cmm4yuni000pecuqws2rdrrnl/view</t>
        </is>
      </c>
      <c r="AQ2072">
        <f>HYPERLÄNK("http://localhost:8787/api/admin/requirements/documents/cmm4yuni000pecuqws2rdrrnl/view";"Öppna PDF")</f>
        <v/>
      </c>
      <c r="AR2072">
        <f>HYPERLINK("http://localhost:8787/api/admin/requirements/documents/cmm4yuni000pecuqws2rdrrnl/view","Open PDF")</f>
        <v/>
      </c>
      <c r="AS2072" t="inlineStr">
        <is>
          <t>cmm55w57p0004cuisfrtpqly8</t>
        </is>
      </c>
      <c r="AT2072" t="inlineStr">
        <is>
          <t>cmm4xvu980000cuh4vj0usz09</t>
        </is>
      </c>
      <c r="AU2072" t="inlineStr"/>
      <c r="AV2072" t="inlineStr">
        <is>
          <t>Kommun</t>
        </is>
      </c>
      <c r="AW2072" t="inlineStr"/>
      <c r="AX2072" t="inlineStr">
        <is>
          <t>2026-131</t>
        </is>
      </c>
      <c r="AY2072" t="inlineStr">
        <is>
          <t>Beslut</t>
        </is>
      </c>
      <c r="AZ2072" t="inlineStr">
        <is>
          <t>2026-02-03</t>
        </is>
      </c>
      <c r="BA2072" t="inlineStr">
        <is>
          <t>Skrivelse.pdf</t>
        </is>
      </c>
      <c r="BB2072" t="inlineStr">
        <is>
          <t>Ärende 2026-131 - Begäran om allmän handling</t>
        </is>
      </c>
      <c r="BC2072" t="inlineStr">
        <is>
          <t>AUTO</t>
        </is>
      </c>
      <c r="BD2072" t="inlineStr"/>
      <c r="BE2072" t="inlineStr"/>
      <c r="BF2072" t="inlineStr">
        <is>
          <t>AUTO_GENERERAD. Bekrafta metadata mot kallfil.</t>
        </is>
      </c>
      <c r="BG2072">
        <f>HYPERLINK("C:\Users\jimmy\Desktop\Examens arbete\Kod\Ny mapp\remix_-copy-of-miljöbeslut.se-portal\Skrivelse.pdf", "Öppna PDF")</f>
        <v/>
      </c>
    </row>
    <row r="2073">
      <c r="A2073" t="inlineStr">
        <is>
          <t>KRAV-AUTO-002072</t>
        </is>
      </c>
      <c r="B2073" t="inlineStr">
        <is>
          <t>ADMIN-INDEX-2026-02-27-00000000125C043F57453246863FE664CAFE6A3F0700950291EA24F0614FB6ACEDB12BF0E31D00000000010C0000950291EA24F0614FB6ACEDB12BF0E31D00002087B1910000</t>
        </is>
      </c>
      <c r="C2073" t="inlineStr">
        <is>
          <t>cmm4yunhm00ozcuqwjronl8jb</t>
        </is>
      </c>
      <c r="D2073" t="inlineStr">
        <is>
          <t>http://localhost:8787/api/admin/requirements/documents/cmm4yunhm00ozcuqwjronl8jb/view</t>
        </is>
      </c>
      <c r="E2073">
        <f>HYPERLÄNK("http://localhost:8787/api/admin/requirements/documents/cmm4yunhm00ozcuqwjronl8jb/view";"Öppna PDF")</f>
        <v/>
      </c>
      <c r="F2073">
        <f>HYPERLINK("http://localhost:8787/api/admin/requirements/documents/cmm4yunhm00ozcuqwjronl8jb/view","Open PDF")</f>
        <v/>
      </c>
      <c r="G2073" t="inlineStr">
        <is>
          <t>cmm55w57p0004cuisfrtpqly8</t>
        </is>
      </c>
      <c r="H2073" t="inlineStr">
        <is>
          <t>Beslutsvillkor</t>
        </is>
      </c>
      <c r="I2073" t="inlineStr">
        <is>
          <t>MiljopaverkanForsiktighet</t>
        </is>
      </c>
      <c r="J2073" t="inlineStr">
        <is>
          <t>Skyddsatgarder</t>
        </is>
      </c>
      <c r="K2073" t="inlineStr">
        <is>
          <t>ljuskällor och batterier, kommer att utsorteras och hanteras med insamlat avfall på sortergården.</t>
        </is>
      </c>
      <c r="L2073" t="inlineStr">
        <is>
          <t>ljuskällor och batterier, kommer att utsorteras och hanteras med insamlat avfall på sortergården.</t>
        </is>
      </c>
      <c r="M2073" t="inlineStr">
        <is>
          <t>SKA</t>
        </is>
      </c>
      <c r="N2073" t="inlineStr"/>
      <c r="O2073" t="inlineStr"/>
      <c r="P2073" t="inlineStr"/>
      <c r="Q2073" t="inlineStr"/>
      <c r="R2073" t="inlineStr">
        <is>
          <t>Alltid</t>
        </is>
      </c>
      <c r="S2073" t="inlineStr"/>
      <c r="T2073" t="inlineStr">
        <is>
          <t>556133</t>
        </is>
      </c>
      <c r="U2073" t="inlineStr"/>
      <c r="V2073" t="inlineStr"/>
      <c r="W2073" t="inlineStr">
        <is>
          <t>Nej</t>
        </is>
      </c>
      <c r="X2073" t="inlineStr">
        <is>
          <t>Nej</t>
        </is>
      </c>
      <c r="Y2073" t="inlineStr">
        <is>
          <t>Nej</t>
        </is>
      </c>
      <c r="Z2073" t="inlineStr">
        <is>
          <t>Nej</t>
        </is>
      </c>
      <c r="AA2073" t="n">
        <v>10</v>
      </c>
      <c r="AB2073" t="inlineStr">
        <is>
          <t>Miljopaverkan och forsiktighetsmatt</t>
        </is>
      </c>
      <c r="AC2073" t="inlineStr">
        <is>
          <t>Miljo-PM</t>
        </is>
      </c>
      <c r="AD2073" t="inlineStr">
        <is>
          <t>Nej</t>
        </is>
      </c>
      <c r="AE2073" t="inlineStr">
        <is>
          <t>Nej</t>
        </is>
      </c>
      <c r="AF2073" t="inlineStr">
        <is>
          <t>Ej behandlad</t>
        </is>
      </c>
      <c r="AG2073" t="inlineStr">
        <is>
          <t>AUTO_GENERERAD. Verifiera citat mot kallfil.</t>
        </is>
      </c>
      <c r="AH2073" t="inlineStr">
        <is>
          <t>MEDIUM</t>
        </is>
      </c>
      <c r="AI2073" t="inlineStr">
        <is>
          <t>AUTO</t>
        </is>
      </c>
      <c r="AJ2073" t="inlineStr">
        <is>
          <t>Nej</t>
        </is>
      </c>
      <c r="AK2073" t="inlineStr"/>
      <c r="AL2073" t="inlineStr"/>
      <c r="AM2073" t="inlineStr"/>
      <c r="AN2073" t="inlineStr"/>
      <c r="AO2073" t="inlineStr">
        <is>
          <t>cmm4yunhm00ozcuqwjronl8jb</t>
        </is>
      </c>
      <c r="AP2073" t="inlineStr">
        <is>
          <t>http://localhost:8787/api/admin/requirements/documents/cmm4yunhm00ozcuqwjronl8jb/view</t>
        </is>
      </c>
      <c r="AQ2073">
        <f>HYPERLÄNK("http://localhost:8787/api/admin/requirements/documents/cmm4yunhm00ozcuqwjronl8jb/view";"Öppna PDF")</f>
        <v/>
      </c>
      <c r="AR2073">
        <f>HYPERLINK("http://localhost:8787/api/admin/requirements/documents/cmm4yunhm00ozcuqwjronl8jb/view","Open PDF")</f>
        <v/>
      </c>
      <c r="AS2073" t="inlineStr">
        <is>
          <t>cmm55w57p0004cuisfrtpqly8</t>
        </is>
      </c>
      <c r="AT2073" t="inlineStr">
        <is>
          <t>cmm4xvu980000cuh4vj0usz09</t>
        </is>
      </c>
      <c r="AU2073" t="inlineStr">
        <is>
          <t>Habo</t>
        </is>
      </c>
      <c r="AV2073" t="inlineStr">
        <is>
          <t>Kommun</t>
        </is>
      </c>
      <c r="AW2073" t="inlineStr">
        <is>
          <t>Habo kommun</t>
        </is>
      </c>
      <c r="AX2073" t="inlineStr">
        <is>
          <t>2023-03</t>
        </is>
      </c>
      <c r="AY2073" t="inlineStr">
        <is>
          <t>Beslut</t>
        </is>
      </c>
      <c r="AZ2073" t="inlineStr">
        <is>
          <t>2026-02-03</t>
        </is>
      </c>
      <c r="BA2073" t="inlineStr">
        <is>
          <t>M-2024-946 Samrådsredogöresel.pdf</t>
        </is>
      </c>
      <c r="BB2073" t="inlineStr">
        <is>
          <t>Svar på förfrågan</t>
        </is>
      </c>
      <c r="BC2073" t="inlineStr">
        <is>
          <t>AUTO</t>
        </is>
      </c>
      <c r="BD2073" t="inlineStr"/>
      <c r="BE2073" t="inlineStr"/>
      <c r="BF2073" t="inlineStr">
        <is>
          <t>AUTO_GENERERAD. Bekrafta metadata mot kallfil.</t>
        </is>
      </c>
      <c r="BG2073">
        <f>HYPERLINK("C:\Users\jimmy\Desktop\Examens arbete\Kod\Ny mapp\remix_-copy-of-miljöbeslut.se-portal\M-2024-946 Samrådsredogöresel.pdf", "Öppna PDF")</f>
        <v/>
      </c>
    </row>
    <row r="2074">
      <c r="A2074" t="inlineStr">
        <is>
          <t>KRAV-AUTO-002073</t>
        </is>
      </c>
      <c r="B2074" t="inlineStr">
        <is>
          <t>ADMIN-INDEX-2026-02-27-00000000125C043F57453246863FE664CAFE6A3F0700950291EA24F0614FB6ACEDB12BF0E31D00000000010C0000950291EA24F0614FB6ACEDB12BF0E31D00002087B1910000</t>
        </is>
      </c>
      <c r="C2074" t="inlineStr">
        <is>
          <t>cmm4yunhm00ozcuqwjronl8jb</t>
        </is>
      </c>
      <c r="D2074" t="inlineStr">
        <is>
          <t>http://localhost:8787/api/admin/requirements/documents/cmm4yunhm00ozcuqwjronl8jb/view</t>
        </is>
      </c>
      <c r="E2074">
        <f>HYPERLÄNK("http://localhost:8787/api/admin/requirements/documents/cmm4yunhm00ozcuqwjronl8jb/view";"Öppna PDF")</f>
        <v/>
      </c>
      <c r="F2074">
        <f>HYPERLINK("http://localhost:8787/api/admin/requirements/documents/cmm4yunhm00ozcuqwjronl8jb/view","Open PDF")</f>
        <v/>
      </c>
      <c r="G2074" t="inlineStr">
        <is>
          <t>cmm55w57p0004cuisfrtpqly8</t>
        </is>
      </c>
      <c r="H2074" t="inlineStr">
        <is>
          <t>Beslutsvillkor</t>
        </is>
      </c>
      <c r="I2074" t="inlineStr">
        <is>
          <t>DagvattenLakvatten</t>
        </is>
      </c>
      <c r="J2074" t="inlineStr">
        <is>
          <t>Uppsamling</t>
        </is>
      </c>
      <c r="K2074" t="inlineStr">
        <is>
          <t>Synpunkt: I tillståndsansökan bör följande särskilt beaktas och utredas: - Hantering av dagvatten och påverkan på vattenförekomsten.</t>
        </is>
      </c>
      <c r="L2074" t="inlineStr">
        <is>
          <t>Synpunkt: I tillståndsansökan bör följande särskilt beaktas och utredas: - Hantering av dagvatten och påverkan på vattenförekomsten.</t>
        </is>
      </c>
      <c r="M2074" t="inlineStr">
        <is>
          <t>BOR</t>
        </is>
      </c>
      <c r="N2074" t="inlineStr"/>
      <c r="O2074" t="inlineStr"/>
      <c r="P2074" t="inlineStr"/>
      <c r="Q2074" t="inlineStr"/>
      <c r="R2074" t="inlineStr">
        <is>
          <t>Vid nederbord och avrinning</t>
        </is>
      </c>
      <c r="S2074" t="inlineStr"/>
      <c r="T2074" t="inlineStr">
        <is>
          <t>556133</t>
        </is>
      </c>
      <c r="U2074" t="inlineStr"/>
      <c r="V2074" t="inlineStr"/>
      <c r="W2074" t="inlineStr">
        <is>
          <t>Nej</t>
        </is>
      </c>
      <c r="X2074" t="inlineStr">
        <is>
          <t>Ja</t>
        </is>
      </c>
      <c r="Y2074" t="inlineStr">
        <is>
          <t>Ja</t>
        </is>
      </c>
      <c r="Z2074" t="inlineStr">
        <is>
          <t>Nej</t>
        </is>
      </c>
      <c r="AA2074" t="n">
        <v>6</v>
      </c>
      <c r="AB2074" t="inlineStr">
        <is>
          <t>Lakvattenhantering</t>
        </is>
      </c>
      <c r="AC2074" t="inlineStr">
        <is>
          <t>Flodesschema dagvatten-lakvatten</t>
        </is>
      </c>
      <c r="AD2074" t="inlineStr">
        <is>
          <t>Nej</t>
        </is>
      </c>
      <c r="AE2074" t="inlineStr">
        <is>
          <t>Nej</t>
        </is>
      </c>
      <c r="AF2074" t="inlineStr">
        <is>
          <t>Ej behandlad</t>
        </is>
      </c>
      <c r="AG2074" t="inlineStr">
        <is>
          <t>AUTO_GENERERAD. Verifiera citat mot kallfil.</t>
        </is>
      </c>
      <c r="AH2074" t="inlineStr">
        <is>
          <t>MEDIUM</t>
        </is>
      </c>
      <c r="AI2074" t="inlineStr">
        <is>
          <t>AUTO</t>
        </is>
      </c>
      <c r="AJ2074" t="inlineStr">
        <is>
          <t>Nej</t>
        </is>
      </c>
      <c r="AK2074" t="inlineStr"/>
      <c r="AL2074" t="inlineStr"/>
      <c r="AM2074" t="inlineStr"/>
      <c r="AN2074" t="inlineStr"/>
      <c r="AO2074" t="inlineStr">
        <is>
          <t>cmm4yunhm00ozcuqwjronl8jb</t>
        </is>
      </c>
      <c r="AP2074" t="inlineStr">
        <is>
          <t>http://localhost:8787/api/admin/requirements/documents/cmm4yunhm00ozcuqwjronl8jb/view</t>
        </is>
      </c>
      <c r="AQ2074">
        <f>HYPERLÄNK("http://localhost:8787/api/admin/requirements/documents/cmm4yunhm00ozcuqwjronl8jb/view";"Öppna PDF")</f>
        <v/>
      </c>
      <c r="AR2074">
        <f>HYPERLINK("http://localhost:8787/api/admin/requirements/documents/cmm4yunhm00ozcuqwjronl8jb/view","Open PDF")</f>
        <v/>
      </c>
      <c r="AS2074" t="inlineStr">
        <is>
          <t>cmm55w57p0004cuisfrtpqly8</t>
        </is>
      </c>
      <c r="AT2074" t="inlineStr">
        <is>
          <t>cmm4xvu980000cuh4vj0usz09</t>
        </is>
      </c>
      <c r="AU2074" t="inlineStr">
        <is>
          <t>Habo</t>
        </is>
      </c>
      <c r="AV2074" t="inlineStr">
        <is>
          <t>Kommun</t>
        </is>
      </c>
      <c r="AW2074" t="inlineStr">
        <is>
          <t>Habo kommun</t>
        </is>
      </c>
      <c r="AX2074" t="inlineStr">
        <is>
          <t>2023-03</t>
        </is>
      </c>
      <c r="AY2074" t="inlineStr">
        <is>
          <t>Beslut</t>
        </is>
      </c>
      <c r="AZ2074" t="inlineStr">
        <is>
          <t>2026-02-03</t>
        </is>
      </c>
      <c r="BA2074" t="inlineStr">
        <is>
          <t>M-2024-946 Samrådsredogöresel.pdf</t>
        </is>
      </c>
      <c r="BB2074" t="inlineStr">
        <is>
          <t>Svar på förfrågan</t>
        </is>
      </c>
      <c r="BC2074" t="inlineStr">
        <is>
          <t>AUTO</t>
        </is>
      </c>
      <c r="BD2074" t="inlineStr"/>
      <c r="BE2074" t="inlineStr"/>
      <c r="BF2074" t="inlineStr">
        <is>
          <t>AUTO_GENERERAD. Bekrafta metadata mot kallfil.</t>
        </is>
      </c>
      <c r="BG2074">
        <f>HYPERLINK("C:\Users\jimmy\Desktop\Examens arbete\Kod\Ny mapp\remix_-copy-of-miljöbeslut.se-portal\M-2024-946 Samrådsredogöresel.pdf", "Öppna PDF")</f>
        <v/>
      </c>
    </row>
    <row r="2075">
      <c r="A2075" t="inlineStr">
        <is>
          <t>KRAV-AUTO-002074</t>
        </is>
      </c>
      <c r="B2075" t="inlineStr">
        <is>
          <t>ADMIN-INDEX-2026-02-27-00000000125C043F57453246863FE664CAFE6A3F0700950291EA24F0614FB6ACEDB12BF0E31D00000000010C0000950291EA24F0614FB6ACEDB12BF0E31D00002087B1910000</t>
        </is>
      </c>
      <c r="C2075" t="inlineStr">
        <is>
          <t>cmm4yunhm00ozcuqwjronl8jb</t>
        </is>
      </c>
      <c r="D2075" t="inlineStr">
        <is>
          <t>http://localhost:8787/api/admin/requirements/documents/cmm4yunhm00ozcuqwjronl8jb/view</t>
        </is>
      </c>
      <c r="E2075">
        <f>HYPERLÄNK("http://localhost:8787/api/admin/requirements/documents/cmm4yunhm00ozcuqwjronl8jb/view";"Öppna PDF")</f>
        <v/>
      </c>
      <c r="F2075">
        <f>HYPERLINK("http://localhost:8787/api/admin/requirements/documents/cmm4yunhm00ozcuqwjronl8jb/view","Open PDF")</f>
        <v/>
      </c>
      <c r="G2075" t="inlineStr">
        <is>
          <t>cmm55w57p0004cuisfrtpqly8</t>
        </is>
      </c>
      <c r="H2075" t="inlineStr">
        <is>
          <t>Beslutsvillkor</t>
        </is>
      </c>
      <c r="I2075" t="inlineStr">
        <is>
          <t>MiljopaverkanForsiktighet</t>
        </is>
      </c>
      <c r="J2075" t="inlineStr">
        <is>
          <t>Skyddsatgarder</t>
        </is>
      </c>
      <c r="K2075" t="inlineStr">
        <is>
          <t>Efter att ha varit i kontakt med Peter Ekelund på June Avfall förstod vi att Habo kommun redan tidigare fattat beslut om att Sibbabo ”måste” stängas när sluttäckning av sista deponierna ska ske.</t>
        </is>
      </c>
      <c r="L2075" t="inlineStr">
        <is>
          <t>Efter att ha varit i kontakt med Peter Ekelund på June Avfall förstod vi att Habo kommun redan tidigare fattat beslut om att Sibbabo ”måste” stängas när sluttäckning av sista deponierna ska ske.</t>
        </is>
      </c>
      <c r="M2075" t="inlineStr">
        <is>
          <t>SKA</t>
        </is>
      </c>
      <c r="N2075" t="inlineStr"/>
      <c r="O2075" t="inlineStr"/>
      <c r="P2075" t="inlineStr"/>
      <c r="Q2075" t="inlineStr"/>
      <c r="R2075" t="inlineStr">
        <is>
          <t>Alltid</t>
        </is>
      </c>
      <c r="S2075" t="inlineStr"/>
      <c r="T2075" t="inlineStr">
        <is>
          <t>556133</t>
        </is>
      </c>
      <c r="U2075" t="inlineStr"/>
      <c r="V2075" t="inlineStr"/>
      <c r="W2075" t="inlineStr">
        <is>
          <t>Nej</t>
        </is>
      </c>
      <c r="X2075" t="inlineStr">
        <is>
          <t>Nej</t>
        </is>
      </c>
      <c r="Y2075" t="inlineStr">
        <is>
          <t>Nej</t>
        </is>
      </c>
      <c r="Z2075" t="inlineStr">
        <is>
          <t>Nej</t>
        </is>
      </c>
      <c r="AA2075" t="n">
        <v>10</v>
      </c>
      <c r="AB2075" t="inlineStr">
        <is>
          <t>Miljopaverkan och forsiktighetsmatt</t>
        </is>
      </c>
      <c r="AC2075" t="inlineStr">
        <is>
          <t>Miljo-PM</t>
        </is>
      </c>
      <c r="AD2075" t="inlineStr">
        <is>
          <t>Nej</t>
        </is>
      </c>
      <c r="AE2075" t="inlineStr">
        <is>
          <t>Nej</t>
        </is>
      </c>
      <c r="AF2075" t="inlineStr">
        <is>
          <t>Ej behandlad</t>
        </is>
      </c>
      <c r="AG2075" t="inlineStr">
        <is>
          <t>AUTO_GENERERAD. Verifiera citat mot kallfil.</t>
        </is>
      </c>
      <c r="AH2075" t="inlineStr">
        <is>
          <t>MEDIUM</t>
        </is>
      </c>
      <c r="AI2075" t="inlineStr">
        <is>
          <t>AUTO</t>
        </is>
      </c>
      <c r="AJ2075" t="inlineStr">
        <is>
          <t>Nej</t>
        </is>
      </c>
      <c r="AK2075" t="inlineStr"/>
      <c r="AL2075" t="inlineStr"/>
      <c r="AM2075" t="inlineStr"/>
      <c r="AN2075" t="inlineStr"/>
      <c r="AO2075" t="inlineStr">
        <is>
          <t>cmm4yunhm00ozcuqwjronl8jb</t>
        </is>
      </c>
      <c r="AP2075" t="inlineStr">
        <is>
          <t>http://localhost:8787/api/admin/requirements/documents/cmm4yunhm00ozcuqwjronl8jb/view</t>
        </is>
      </c>
      <c r="AQ2075">
        <f>HYPERLÄNK("http://localhost:8787/api/admin/requirements/documents/cmm4yunhm00ozcuqwjronl8jb/view";"Öppna PDF")</f>
        <v/>
      </c>
      <c r="AR2075">
        <f>HYPERLINK("http://localhost:8787/api/admin/requirements/documents/cmm4yunhm00ozcuqwjronl8jb/view","Open PDF")</f>
        <v/>
      </c>
      <c r="AS2075" t="inlineStr">
        <is>
          <t>cmm55w57p0004cuisfrtpqly8</t>
        </is>
      </c>
      <c r="AT2075" t="inlineStr">
        <is>
          <t>cmm4xvu980000cuh4vj0usz09</t>
        </is>
      </c>
      <c r="AU2075" t="inlineStr">
        <is>
          <t>Habo</t>
        </is>
      </c>
      <c r="AV2075" t="inlineStr">
        <is>
          <t>Kommun</t>
        </is>
      </c>
      <c r="AW2075" t="inlineStr">
        <is>
          <t>Habo kommun</t>
        </is>
      </c>
      <c r="AX2075" t="inlineStr">
        <is>
          <t>2023-03</t>
        </is>
      </c>
      <c r="AY2075" t="inlineStr">
        <is>
          <t>Beslut</t>
        </is>
      </c>
      <c r="AZ2075" t="inlineStr">
        <is>
          <t>2026-02-03</t>
        </is>
      </c>
      <c r="BA2075" t="inlineStr">
        <is>
          <t>M-2024-946 Samrådsredogöresel.pdf</t>
        </is>
      </c>
      <c r="BB2075" t="inlineStr">
        <is>
          <t>Svar på förfrågan</t>
        </is>
      </c>
      <c r="BC2075" t="inlineStr">
        <is>
          <t>AUTO</t>
        </is>
      </c>
      <c r="BD2075" t="inlineStr"/>
      <c r="BE2075" t="inlineStr"/>
      <c r="BF2075" t="inlineStr">
        <is>
          <t>AUTO_GENERERAD. Bekrafta metadata mot kallfil.</t>
        </is>
      </c>
      <c r="BG2075">
        <f>HYPERLINK("C:\Users\jimmy\Desktop\Examens arbete\Kod\Ny mapp\remix_-copy-of-miljöbeslut.se-portal\M-2024-946 Samrådsredogöresel.pdf", "Öppna PDF")</f>
        <v/>
      </c>
    </row>
    <row r="2076">
      <c r="A2076" t="inlineStr">
        <is>
          <t>KRAV-AUTO-002075</t>
        </is>
      </c>
      <c r="B2076" t="inlineStr">
        <is>
          <t>ADMIN-INDEX-2026-02-27-00000000125C043F57453246863FE664CAFE6A3F0700950291EA24F0614FB6ACEDB12BF0E31D00000000010C0000950291EA24F0614FB6ACEDB12BF0E31D00002087B1910000</t>
        </is>
      </c>
      <c r="C2076" t="inlineStr">
        <is>
          <t>cmm4yunhi00owcuqwjd6negry</t>
        </is>
      </c>
      <c r="D2076" t="inlineStr">
        <is>
          <t>http://localhost:8787/api/admin/requirements/documents/cmm4yunhi00owcuqwjd6negry/view</t>
        </is>
      </c>
      <c r="E2076">
        <f>HYPERLÄNK("http://localhost:8787/api/admin/requirements/documents/cmm4yunhi00owcuqwjd6negry/view";"Öppna PDF")</f>
        <v/>
      </c>
      <c r="F2076">
        <f>HYPERLINK("http://localhost:8787/api/admin/requirements/documents/cmm4yunhi00owcuqwjd6negry/view","Open PDF")</f>
        <v/>
      </c>
      <c r="G2076" t="inlineStr">
        <is>
          <t>cmm55w57p0004cuisfrtpqly8</t>
        </is>
      </c>
      <c r="H2076" t="inlineStr">
        <is>
          <t>Beslutsvillkor</t>
        </is>
      </c>
      <c r="I2076" t="inlineStr">
        <is>
          <t>MiljopaverkanForsiktighet</t>
        </is>
      </c>
      <c r="J2076" t="inlineStr">
        <is>
          <t>Skyddsatgarder</t>
        </is>
      </c>
      <c r="K2076" t="inlineStr">
        <is>
          <t>Kommunen har ett föreläggande av Länsstyrelsen om att sluttäcka Sibbabo avfallsdeponi.</t>
        </is>
      </c>
      <c r="L2076" t="inlineStr">
        <is>
          <t>Kommunen har ett föreläggande av Länsstyrelsen om att sluttäcka Sibbabo avfallsdeponi.</t>
        </is>
      </c>
      <c r="M2076" t="inlineStr">
        <is>
          <t>INFO</t>
        </is>
      </c>
      <c r="N2076" t="inlineStr"/>
      <c r="O2076" t="inlineStr"/>
      <c r="P2076" t="inlineStr"/>
      <c r="Q2076" t="inlineStr">
        <is>
          <t>Forelaggande vid brist</t>
        </is>
      </c>
      <c r="R2076" t="inlineStr">
        <is>
          <t>Alltid</t>
        </is>
      </c>
      <c r="S2076" t="inlineStr"/>
      <c r="T2076" t="inlineStr"/>
      <c r="U2076" t="inlineStr"/>
      <c r="V2076" t="inlineStr"/>
      <c r="W2076" t="inlineStr">
        <is>
          <t>Nej</t>
        </is>
      </c>
      <c r="X2076" t="inlineStr">
        <is>
          <t>Nej</t>
        </is>
      </c>
      <c r="Y2076" t="inlineStr">
        <is>
          <t>Nej</t>
        </is>
      </c>
      <c r="Z2076" t="inlineStr">
        <is>
          <t>Nej</t>
        </is>
      </c>
      <c r="AA2076" t="n">
        <v>10</v>
      </c>
      <c r="AB2076" t="inlineStr">
        <is>
          <t>Miljopaverkan och forsiktighetsmatt</t>
        </is>
      </c>
      <c r="AC2076" t="inlineStr">
        <is>
          <t>Miljo-PM</t>
        </is>
      </c>
      <c r="AD2076" t="inlineStr">
        <is>
          <t>Nej</t>
        </is>
      </c>
      <c r="AE2076" t="inlineStr">
        <is>
          <t>Nej</t>
        </is>
      </c>
      <c r="AF2076" t="inlineStr">
        <is>
          <t>Ej behandlad</t>
        </is>
      </c>
      <c r="AG2076" t="inlineStr">
        <is>
          <t>AUTO_GENERERAD. Verifiera citat mot kallfil.</t>
        </is>
      </c>
      <c r="AH2076" t="inlineStr">
        <is>
          <t>MEDIUM</t>
        </is>
      </c>
      <c r="AI2076" t="inlineStr">
        <is>
          <t>AUTO</t>
        </is>
      </c>
      <c r="AJ2076" t="inlineStr">
        <is>
          <t>Nej</t>
        </is>
      </c>
      <c r="AK2076" t="inlineStr"/>
      <c r="AL2076" t="inlineStr"/>
      <c r="AM2076" t="inlineStr"/>
      <c r="AN2076" t="inlineStr"/>
      <c r="AO2076" t="inlineStr">
        <is>
          <t>cmm4yunhm00ozcuqwjronl8jb</t>
        </is>
      </c>
      <c r="AP2076" t="inlineStr">
        <is>
          <t>http://localhost:8787/api/admin/requirements/documents/cmm4yunhm00ozcuqwjronl8jb/view</t>
        </is>
      </c>
      <c r="AQ2076">
        <f>HYPERLÄNK("http://localhost:8787/api/admin/requirements/documents/cmm4yunhm00ozcuqwjronl8jb/view";"Öppna PDF")</f>
        <v/>
      </c>
      <c r="AR2076">
        <f>HYPERLINK("http://localhost:8787/api/admin/requirements/documents/cmm4yunhm00ozcuqwjronl8jb/view","Open PDF")</f>
        <v/>
      </c>
      <c r="AS2076" t="inlineStr">
        <is>
          <t>cmm55w57p0004cuisfrtpqly8</t>
        </is>
      </c>
      <c r="AT2076" t="inlineStr">
        <is>
          <t>cmm4xvu980000cuh4vj0usz09</t>
        </is>
      </c>
      <c r="AU2076" t="inlineStr">
        <is>
          <t>Habo</t>
        </is>
      </c>
      <c r="AV2076" t="inlineStr">
        <is>
          <t>Kommun</t>
        </is>
      </c>
      <c r="AW2076" t="inlineStr">
        <is>
          <t>Habo kommun</t>
        </is>
      </c>
      <c r="AX2076" t="inlineStr">
        <is>
          <t>2023-03</t>
        </is>
      </c>
      <c r="AY2076" t="inlineStr">
        <is>
          <t>Beslut</t>
        </is>
      </c>
      <c r="AZ2076" t="inlineStr">
        <is>
          <t>2026-02-03</t>
        </is>
      </c>
      <c r="BA2076" t="inlineStr">
        <is>
          <t>M-2024-946 Samrådsredogöresel.pdf</t>
        </is>
      </c>
      <c r="BB2076" t="inlineStr">
        <is>
          <t>Svar på förfrågan</t>
        </is>
      </c>
      <c r="BC2076" t="inlineStr">
        <is>
          <t>AUTO</t>
        </is>
      </c>
      <c r="BD2076" t="inlineStr"/>
      <c r="BE2076" t="inlineStr"/>
      <c r="BF2076" t="inlineStr">
        <is>
          <t>AUTO_GENERERAD. Bekrafta metadata mot kallfil.</t>
        </is>
      </c>
      <c r="BG2076">
        <f>HYPERLINK("C:\Users\jimmy\Desktop\Examens arbete\Kod\Ny mapp\remix_-copy-of-miljöbeslut.se-portal\M-2024-946 Samrådsredogöresel.pdf", "Öppna PDF")</f>
        <v/>
      </c>
    </row>
    <row r="2077">
      <c r="A2077" t="inlineStr">
        <is>
          <t>KRAV-AUTO-002076</t>
        </is>
      </c>
      <c r="B2077" t="inlineStr">
        <is>
          <t>ADMIN-INDEX-2026-02-27-00000000125C043F57453246863FE664CAFE6A3F0700950291EA24F0614FB6ACEDB12BF0E31D00000000010C0000950291EA24F0614FB6ACEDB12BF0E31D00002087B1910000</t>
        </is>
      </c>
      <c r="C2077" t="inlineStr">
        <is>
          <t>cmm4yunhi00owcuqwjd6negry</t>
        </is>
      </c>
      <c r="D2077" t="inlineStr">
        <is>
          <t>http://localhost:8787/api/admin/requirements/documents/cmm4yunhi00owcuqwjd6negry/view</t>
        </is>
      </c>
      <c r="E2077">
        <f>HYPERLÄNK("http://localhost:8787/api/admin/requirements/documents/cmm4yunhi00owcuqwjd6negry/view";"Öppna PDF")</f>
        <v/>
      </c>
      <c r="F2077">
        <f>HYPERLINK("http://localhost:8787/api/admin/requirements/documents/cmm4yunhi00owcuqwjd6negry/view","Open PDF")</f>
        <v/>
      </c>
      <c r="G2077" t="inlineStr">
        <is>
          <t>cmm55w57p0004cuisfrtpqly8</t>
        </is>
      </c>
      <c r="H2077" t="inlineStr">
        <is>
          <t>Beslutsvillkor</t>
        </is>
      </c>
      <c r="I2077" t="inlineStr">
        <is>
          <t>MiljopaverkanForsiktighet</t>
        </is>
      </c>
      <c r="J2077" t="inlineStr">
        <is>
          <t>Skyddsatgarder</t>
        </is>
      </c>
      <c r="K2077" t="inlineStr">
        <is>
          <t>Det står dessutom i June avfalls samrådshandlingar att det ska kunna gå att cykla till sortergården.</t>
        </is>
      </c>
      <c r="L2077" t="inlineStr">
        <is>
          <t>Det står dessutom i June avfalls samrådshandlingar att det ska kunna gå att cykla till sortergården.</t>
        </is>
      </c>
      <c r="M2077" t="inlineStr">
        <is>
          <t>SKA</t>
        </is>
      </c>
      <c r="N2077" t="inlineStr"/>
      <c r="O2077" t="inlineStr"/>
      <c r="P2077" t="inlineStr"/>
      <c r="Q2077" t="inlineStr"/>
      <c r="R2077" t="inlineStr">
        <is>
          <t>Alltid</t>
        </is>
      </c>
      <c r="S2077" t="inlineStr"/>
      <c r="T2077" t="inlineStr"/>
      <c r="U2077" t="inlineStr"/>
      <c r="V2077" t="inlineStr"/>
      <c r="W2077" t="inlineStr">
        <is>
          <t>Nej</t>
        </is>
      </c>
      <c r="X2077" t="inlineStr">
        <is>
          <t>Nej</t>
        </is>
      </c>
      <c r="Y2077" t="inlineStr">
        <is>
          <t>Nej</t>
        </is>
      </c>
      <c r="Z2077" t="inlineStr">
        <is>
          <t>Nej</t>
        </is>
      </c>
      <c r="AA2077" t="n">
        <v>10</v>
      </c>
      <c r="AB2077" t="inlineStr">
        <is>
          <t>Miljopaverkan och forsiktighetsmatt</t>
        </is>
      </c>
      <c r="AC2077" t="inlineStr">
        <is>
          <t>Miljo-PM</t>
        </is>
      </c>
      <c r="AD2077" t="inlineStr">
        <is>
          <t>Nej</t>
        </is>
      </c>
      <c r="AE2077" t="inlineStr">
        <is>
          <t>Nej</t>
        </is>
      </c>
      <c r="AF2077" t="inlineStr">
        <is>
          <t>Ej behandlad</t>
        </is>
      </c>
      <c r="AG2077" t="inlineStr">
        <is>
          <t>AUTO_GENERERAD. Verifiera citat mot kallfil.</t>
        </is>
      </c>
      <c r="AH2077" t="inlineStr">
        <is>
          <t>MEDIUM</t>
        </is>
      </c>
      <c r="AI2077" t="inlineStr">
        <is>
          <t>AUTO</t>
        </is>
      </c>
      <c r="AJ2077" t="inlineStr">
        <is>
          <t>Nej</t>
        </is>
      </c>
      <c r="AK2077" t="inlineStr"/>
      <c r="AL2077" t="inlineStr"/>
      <c r="AM2077" t="inlineStr"/>
      <c r="AN2077" t="inlineStr"/>
      <c r="AO2077" t="inlineStr">
        <is>
          <t>cmm4yunhm00ozcuqwjronl8jb</t>
        </is>
      </c>
      <c r="AP2077" t="inlineStr">
        <is>
          <t>http://localhost:8787/api/admin/requirements/documents/cmm4yunhm00ozcuqwjronl8jb/view</t>
        </is>
      </c>
      <c r="AQ2077">
        <f>HYPERLÄNK("http://localhost:8787/api/admin/requirements/documents/cmm4yunhm00ozcuqwjronl8jb/view";"Öppna PDF")</f>
        <v/>
      </c>
      <c r="AR2077">
        <f>HYPERLINK("http://localhost:8787/api/admin/requirements/documents/cmm4yunhm00ozcuqwjronl8jb/view","Open PDF")</f>
        <v/>
      </c>
      <c r="AS2077" t="inlineStr">
        <is>
          <t>cmm55w57p0004cuisfrtpqly8</t>
        </is>
      </c>
      <c r="AT2077" t="inlineStr">
        <is>
          <t>cmm4xvu980000cuh4vj0usz09</t>
        </is>
      </c>
      <c r="AU2077" t="inlineStr">
        <is>
          <t>Habo</t>
        </is>
      </c>
      <c r="AV2077" t="inlineStr">
        <is>
          <t>Kommun</t>
        </is>
      </c>
      <c r="AW2077" t="inlineStr">
        <is>
          <t>Habo kommun</t>
        </is>
      </c>
      <c r="AX2077" t="inlineStr">
        <is>
          <t>2023-03</t>
        </is>
      </c>
      <c r="AY2077" t="inlineStr">
        <is>
          <t>Beslut</t>
        </is>
      </c>
      <c r="AZ2077" t="inlineStr">
        <is>
          <t>2026-02-03</t>
        </is>
      </c>
      <c r="BA2077" t="inlineStr">
        <is>
          <t>M-2024-946 Samrådsredogöresel.pdf</t>
        </is>
      </c>
      <c r="BB2077" t="inlineStr">
        <is>
          <t>Svar på förfrågan</t>
        </is>
      </c>
      <c r="BC2077" t="inlineStr">
        <is>
          <t>AUTO</t>
        </is>
      </c>
      <c r="BD2077" t="inlineStr"/>
      <c r="BE2077" t="inlineStr"/>
      <c r="BF2077" t="inlineStr">
        <is>
          <t>AUTO_GENERERAD. Bekrafta metadata mot kallfil.</t>
        </is>
      </c>
      <c r="BG2077">
        <f>HYPERLINK("C:\Users\jimmy\Desktop\Examens arbete\Kod\Ny mapp\remix_-copy-of-miljöbeslut.se-portal\M-2024-946 Samrådsredogöresel.pdf", "Öppna PDF")</f>
        <v/>
      </c>
    </row>
    <row r="2078">
      <c r="A2078" t="inlineStr">
        <is>
          <t>KRAV-AUTO-002077</t>
        </is>
      </c>
      <c r="B2078" t="inlineStr">
        <is>
          <t>ADMIN-INDEX-2026-02-27-00000000125C043F57453246863FE664CAFE6A3F0700950291EA24F0614FB6ACEDB12BF0E31D00000000010C0000950291EA24F0614FB6ACEDB12BF0E31D00002087B1910000</t>
        </is>
      </c>
      <c r="C2078" t="inlineStr">
        <is>
          <t>cmm4yunhf00otcuqwiuy4tt26</t>
        </is>
      </c>
      <c r="D2078" t="inlineStr">
        <is>
          <t>http://localhost:8787/api/admin/requirements/documents/cmm4yunhf00otcuqwiuy4tt26/view</t>
        </is>
      </c>
      <c r="E2078">
        <f>HYPERLÄNK("http://localhost:8787/api/admin/requirements/documents/cmm4yunhf00otcuqwiuy4tt26/view";"Öppna PDF")</f>
        <v/>
      </c>
      <c r="F2078">
        <f>HYPERLINK("http://localhost:8787/api/admin/requirements/documents/cmm4yunhf00otcuqwiuy4tt26/view","Open PDF")</f>
        <v/>
      </c>
      <c r="G2078" t="inlineStr">
        <is>
          <t>cmm55w57p0004cuisfrtpqly8</t>
        </is>
      </c>
      <c r="H2078" t="inlineStr">
        <is>
          <t>Beslutsvillkor</t>
        </is>
      </c>
      <c r="I2078" t="inlineStr">
        <is>
          <t>DagvattenLakvatten</t>
        </is>
      </c>
      <c r="J2078" t="inlineStr">
        <is>
          <t>Uppsamling</t>
        </is>
      </c>
      <c r="K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L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M2078" t="inlineStr">
        <is>
          <t>SKA</t>
        </is>
      </c>
      <c r="N2078" t="inlineStr"/>
      <c r="O2078" t="inlineStr"/>
      <c r="P2078" t="inlineStr"/>
      <c r="Q2078" t="inlineStr"/>
      <c r="R2078" t="inlineStr">
        <is>
          <t>Vid nederbord och avrinning</t>
        </is>
      </c>
      <c r="S2078" t="inlineStr"/>
      <c r="T2078" t="inlineStr"/>
      <c r="U2078" t="inlineStr"/>
      <c r="V2078" t="inlineStr"/>
      <c r="W2078" t="inlineStr">
        <is>
          <t>Nej</t>
        </is>
      </c>
      <c r="X2078" t="inlineStr">
        <is>
          <t>Ja</t>
        </is>
      </c>
      <c r="Y2078" t="inlineStr">
        <is>
          <t>Ja</t>
        </is>
      </c>
      <c r="Z2078" t="inlineStr">
        <is>
          <t>Nej</t>
        </is>
      </c>
      <c r="AA2078" t="n">
        <v>6</v>
      </c>
      <c r="AB2078" t="inlineStr">
        <is>
          <t>Lakvattenhantering</t>
        </is>
      </c>
      <c r="AC2078" t="inlineStr">
        <is>
          <t>Flodesschema dagvatten-lakvatten</t>
        </is>
      </c>
      <c r="AD2078" t="inlineStr">
        <is>
          <t>Nej</t>
        </is>
      </c>
      <c r="AE2078" t="inlineStr">
        <is>
          <t>Nej</t>
        </is>
      </c>
      <c r="AF2078" t="inlineStr">
        <is>
          <t>Ej behandlad</t>
        </is>
      </c>
      <c r="AG2078" t="inlineStr">
        <is>
          <t>AUTO_GENERERAD. Verifiera citat mot kallfil.</t>
        </is>
      </c>
      <c r="AH2078" t="inlineStr">
        <is>
          <t>MEDIUM</t>
        </is>
      </c>
      <c r="AI2078" t="inlineStr">
        <is>
          <t>AUTO</t>
        </is>
      </c>
      <c r="AJ2078" t="inlineStr">
        <is>
          <t>Nej</t>
        </is>
      </c>
      <c r="AK2078" t="inlineStr"/>
      <c r="AL2078" t="inlineStr"/>
      <c r="AM2078" t="inlineStr"/>
      <c r="AN2078" t="inlineStr"/>
      <c r="AO2078" t="inlineStr">
        <is>
          <t>cmm4yunhm00ozcuqwjronl8jb</t>
        </is>
      </c>
      <c r="AP2078" t="inlineStr">
        <is>
          <t>http://localhost:8787/api/admin/requirements/documents/cmm4yunhm00ozcuqwjronl8jb/view</t>
        </is>
      </c>
      <c r="AQ2078">
        <f>HYPERLÄNK("http://localhost:8787/api/admin/requirements/documents/cmm4yunhm00ozcuqwjronl8jb/view";"Öppna PDF")</f>
        <v/>
      </c>
      <c r="AR2078">
        <f>HYPERLINK("http://localhost:8787/api/admin/requirements/documents/cmm4yunhm00ozcuqwjronl8jb/view","Open PDF")</f>
        <v/>
      </c>
      <c r="AS2078" t="inlineStr">
        <is>
          <t>cmm55w57p0004cuisfrtpqly8</t>
        </is>
      </c>
      <c r="AT2078" t="inlineStr">
        <is>
          <t>cmm4xvu980000cuh4vj0usz09</t>
        </is>
      </c>
      <c r="AU2078" t="inlineStr">
        <is>
          <t>Habo</t>
        </is>
      </c>
      <c r="AV2078" t="inlineStr">
        <is>
          <t>Kommun</t>
        </is>
      </c>
      <c r="AW2078" t="inlineStr">
        <is>
          <t>Habo kommun</t>
        </is>
      </c>
      <c r="AX2078" t="inlineStr">
        <is>
          <t>2023-03</t>
        </is>
      </c>
      <c r="AY2078" t="inlineStr">
        <is>
          <t>Beslut</t>
        </is>
      </c>
      <c r="AZ2078" t="inlineStr">
        <is>
          <t>2026-02-03</t>
        </is>
      </c>
      <c r="BA2078" t="inlineStr">
        <is>
          <t>M-2024-946 Samrådsredogöresel.pdf</t>
        </is>
      </c>
      <c r="BB2078" t="inlineStr">
        <is>
          <t>Svar på förfrågan</t>
        </is>
      </c>
      <c r="BC2078" t="inlineStr">
        <is>
          <t>AUTO</t>
        </is>
      </c>
      <c r="BD2078" t="inlineStr"/>
      <c r="BE2078" t="inlineStr"/>
      <c r="BF2078" t="inlineStr">
        <is>
          <t>AUTO_GENERERAD. Bekrafta metadata mot kallfil.</t>
        </is>
      </c>
      <c r="BG2078">
        <f>HYPERLINK("C:\Users\jimmy\Desktop\Examens arbete\Kod\Ny mapp\remix_-copy-of-miljöbeslut.se-portal\M-2024-946 Samrådsredogöresel.pdf", "Öppna PDF")</f>
        <v/>
      </c>
    </row>
    <row r="2079">
      <c r="A2079" t="inlineStr">
        <is>
          <t>KRAV-AUTO-002078</t>
        </is>
      </c>
      <c r="B2079" t="inlineStr">
        <is>
          <t>ADMIN-INDEX-2026-02-27-00000000125C043F57453246863FE664CAFE6A3F0700950291EA24F0614FB6ACEDB12BF0E31D00000000010C0000950291EA24F0614FB6ACEDB12BF0E31D00002087B1910000</t>
        </is>
      </c>
      <c r="C2079" t="inlineStr">
        <is>
          <t>cmm4yunhf00otcuqwiuy4tt26</t>
        </is>
      </c>
      <c r="D2079" t="inlineStr">
        <is>
          <t>http://localhost:8787/api/admin/requirements/documents/cmm4yunhf00otcuqwiuy4tt26/view</t>
        </is>
      </c>
      <c r="E2079">
        <f>HYPERLÄNK("http://localhost:8787/api/admin/requirements/documents/cmm4yunhf00otcuqwiuy4tt26/view";"Öppna PDF")</f>
        <v/>
      </c>
      <c r="F2079">
        <f>HYPERLINK("http://localhost:8787/api/admin/requirements/documents/cmm4yunhf00otcuqwiuy4tt26/view","Open PDF")</f>
        <v/>
      </c>
      <c r="G2079" t="inlineStr">
        <is>
          <t>cmm55w57p0004cuisfrtpqly8</t>
        </is>
      </c>
      <c r="H2079" t="inlineStr">
        <is>
          <t>Beslutsvillkor</t>
        </is>
      </c>
      <c r="I2079" t="inlineStr">
        <is>
          <t>Ytkonstruktion</t>
        </is>
      </c>
      <c r="J2079" t="inlineStr">
        <is>
          <t>Tat yta</t>
        </is>
      </c>
      <c r="K2079" t="inlineStr">
        <is>
          <t>Flytande kemiska produkter och flytande farligt avfall kommer förvaras nederbördsskyddade och invallade.</t>
        </is>
      </c>
      <c r="L2079" t="inlineStr">
        <is>
          <t>Flytande kemiska produkter och flytande farligt avfall kommer förvaras nederbördsskyddade och invallade.</t>
        </is>
      </c>
      <c r="M2079" t="inlineStr">
        <is>
          <t>SKA</t>
        </is>
      </c>
      <c r="N2079" t="inlineStr"/>
      <c r="O2079" t="inlineStr"/>
      <c r="P2079" t="inlineStr">
        <is>
          <t>Arlig</t>
        </is>
      </c>
      <c r="Q2079" t="inlineStr"/>
      <c r="R2079" t="inlineStr">
        <is>
          <t>Vid mellanlagring av avfall</t>
        </is>
      </c>
      <c r="S2079" t="inlineStr"/>
      <c r="T2079" t="inlineStr"/>
      <c r="U2079" t="inlineStr"/>
      <c r="V2079" t="inlineStr"/>
      <c r="W2079" t="inlineStr">
        <is>
          <t>Ja</t>
        </is>
      </c>
      <c r="X2079" t="inlineStr">
        <is>
          <t>Nej</t>
        </is>
      </c>
      <c r="Y2079" t="inlineStr">
        <is>
          <t>Nej</t>
        </is>
      </c>
      <c r="Z2079" t="inlineStr">
        <is>
          <t>Nej</t>
        </is>
      </c>
      <c r="AA2079" t="n">
        <v>5</v>
      </c>
      <c r="AB2079" t="inlineStr">
        <is>
          <t>Teknisk beskrivning av platta</t>
        </is>
      </c>
      <c r="AC2079" t="inlineStr">
        <is>
          <t>Teknisk ritning platta</t>
        </is>
      </c>
      <c r="AD2079" t="inlineStr">
        <is>
          <t>Nej</t>
        </is>
      </c>
      <c r="AE2079" t="inlineStr">
        <is>
          <t>Nej</t>
        </is>
      </c>
      <c r="AF2079" t="inlineStr">
        <is>
          <t>Ej behandlad</t>
        </is>
      </c>
      <c r="AG2079" t="inlineStr">
        <is>
          <t>AUTO_GENERERAD. Verifiera citat mot kallfil.</t>
        </is>
      </c>
      <c r="AH2079" t="inlineStr">
        <is>
          <t>MEDIUM</t>
        </is>
      </c>
      <c r="AI2079" t="inlineStr">
        <is>
          <t>AUTO</t>
        </is>
      </c>
      <c r="AJ2079" t="inlineStr">
        <is>
          <t>Nej</t>
        </is>
      </c>
      <c r="AK2079" t="inlineStr"/>
      <c r="AL2079" t="inlineStr"/>
      <c r="AM2079" t="inlineStr"/>
      <c r="AN2079" t="inlineStr"/>
      <c r="AO2079" t="inlineStr">
        <is>
          <t>cmm4yunhm00ozcuqwjronl8jb</t>
        </is>
      </c>
      <c r="AP2079" t="inlineStr">
        <is>
          <t>http://localhost:8787/api/admin/requirements/documents/cmm4yunhm00ozcuqwjronl8jb/view</t>
        </is>
      </c>
      <c r="AQ2079">
        <f>HYPERLÄNK("http://localhost:8787/api/admin/requirements/documents/cmm4yunhm00ozcuqwjronl8jb/view";"Öppna PDF")</f>
        <v/>
      </c>
      <c r="AR2079">
        <f>HYPERLINK("http://localhost:8787/api/admin/requirements/documents/cmm4yunhm00ozcuqwjronl8jb/view","Open PDF")</f>
        <v/>
      </c>
      <c r="AS2079" t="inlineStr">
        <is>
          <t>cmm55w57p0004cuisfrtpqly8</t>
        </is>
      </c>
      <c r="AT2079" t="inlineStr">
        <is>
          <t>cmm4xvu980000cuh4vj0usz09</t>
        </is>
      </c>
      <c r="AU2079" t="inlineStr">
        <is>
          <t>Habo</t>
        </is>
      </c>
      <c r="AV2079" t="inlineStr">
        <is>
          <t>Kommun</t>
        </is>
      </c>
      <c r="AW2079" t="inlineStr">
        <is>
          <t>Habo kommun</t>
        </is>
      </c>
      <c r="AX2079" t="inlineStr">
        <is>
          <t>2023-03</t>
        </is>
      </c>
      <c r="AY2079" t="inlineStr">
        <is>
          <t>Beslut</t>
        </is>
      </c>
      <c r="AZ2079" t="inlineStr">
        <is>
          <t>2026-02-03</t>
        </is>
      </c>
      <c r="BA2079" t="inlineStr">
        <is>
          <t>M-2024-946 Samrådsredogöresel.pdf</t>
        </is>
      </c>
      <c r="BB2079" t="inlineStr">
        <is>
          <t>Svar på förfrågan</t>
        </is>
      </c>
      <c r="BC2079" t="inlineStr">
        <is>
          <t>AUTO</t>
        </is>
      </c>
      <c r="BD2079" t="inlineStr"/>
      <c r="BE2079" t="inlineStr"/>
      <c r="BF2079" t="inlineStr">
        <is>
          <t>AUTO_GENERERAD. Bekrafta metadata mot kallfil.</t>
        </is>
      </c>
      <c r="BG2079">
        <f>HYPERLINK("C:\Users\jimmy\Desktop\Examens arbete\Kod\Ny mapp\remix_-copy-of-miljöbeslut.se-portal\M-2024-946 Samrådsredogöresel.pdf", "Öppna PDF")</f>
        <v/>
      </c>
    </row>
    <row r="2080">
      <c r="A2080" t="inlineStr">
        <is>
          <t>KRAV-AUTO-002079</t>
        </is>
      </c>
      <c r="B2080" t="inlineStr">
        <is>
          <t>ADMIN-INDEX-2026-02-27-00000000125C043F57453246863FE664CAFE6A3F0700950291EA24F0614FB6ACEDB12BF0E31D00000000010C0000950291EA24F0614FB6ACEDB12BF0E31D00002087B1910000</t>
        </is>
      </c>
      <c r="C2080" t="inlineStr">
        <is>
          <t>cmm4yunhf00otcuqwiuy4tt26</t>
        </is>
      </c>
      <c r="D2080" t="inlineStr">
        <is>
          <t>http://localhost:8787/api/admin/requirements/documents/cmm4yunhf00otcuqwiuy4tt26/view</t>
        </is>
      </c>
      <c r="E2080">
        <f>HYPERLÄNK("http://localhost:8787/api/admin/requirements/documents/cmm4yunhf00otcuqwiuy4tt26/view";"Öppna PDF")</f>
        <v/>
      </c>
      <c r="F2080">
        <f>HYPERLINK("http://localhost:8787/api/admin/requirements/documents/cmm4yunhf00otcuqwiuy4tt26/view","Open PDF")</f>
        <v/>
      </c>
      <c r="G2080" t="inlineStr">
        <is>
          <t>cmm55w57p0004cuisfrtpqly8</t>
        </is>
      </c>
      <c r="H2080" t="inlineStr">
        <is>
          <t>Beslutsvillkor</t>
        </is>
      </c>
      <c r="I2080" t="inlineStr">
        <is>
          <t>Riskhantering</t>
        </is>
      </c>
      <c r="J2080" t="inlineStr">
        <is>
          <t>Riskkontroll</t>
        </is>
      </c>
      <c r="K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L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M2080" t="inlineStr">
        <is>
          <t>SKA</t>
        </is>
      </c>
      <c r="N2080" t="inlineStr"/>
      <c r="O2080" t="inlineStr"/>
      <c r="P2080" t="inlineStr"/>
      <c r="Q2080" t="inlineStr"/>
      <c r="R2080" t="inlineStr">
        <is>
          <t>Vid risk for incident</t>
        </is>
      </c>
      <c r="S2080" t="inlineStr"/>
      <c r="T2080" t="inlineStr"/>
      <c r="U2080" t="inlineStr"/>
      <c r="V2080" t="inlineStr"/>
      <c r="W2080" t="inlineStr">
        <is>
          <t>Nej</t>
        </is>
      </c>
      <c r="X2080" t="inlineStr">
        <is>
          <t>Nej</t>
        </is>
      </c>
      <c r="Y2080" t="inlineStr">
        <is>
          <t>Ja</t>
        </is>
      </c>
      <c r="Z2080" t="inlineStr">
        <is>
          <t>Ja</t>
        </is>
      </c>
      <c r="AA2080" t="n">
        <v>8</v>
      </c>
      <c r="AB2080" t="inlineStr">
        <is>
          <t>Riskhantering</t>
        </is>
      </c>
      <c r="AC2080" t="inlineStr">
        <is>
          <t>Risk-PM</t>
        </is>
      </c>
      <c r="AD2080" t="inlineStr">
        <is>
          <t>Nej</t>
        </is>
      </c>
      <c r="AE2080" t="inlineStr">
        <is>
          <t>Nej</t>
        </is>
      </c>
      <c r="AF2080" t="inlineStr">
        <is>
          <t>Ej behandlad</t>
        </is>
      </c>
      <c r="AG2080" t="inlineStr">
        <is>
          <t>AUTO_GENERERAD. Verifiera citat mot kallfil.</t>
        </is>
      </c>
      <c r="AH2080" t="inlineStr">
        <is>
          <t>MEDIUM</t>
        </is>
      </c>
      <c r="AI2080" t="inlineStr">
        <is>
          <t>AUTO</t>
        </is>
      </c>
      <c r="AJ2080" t="inlineStr">
        <is>
          <t>Nej</t>
        </is>
      </c>
      <c r="AK2080" t="inlineStr"/>
      <c r="AL2080" t="inlineStr"/>
      <c r="AM2080" t="inlineStr"/>
      <c r="AN2080" t="inlineStr"/>
      <c r="AO2080" t="inlineStr">
        <is>
          <t>cmm4yunhm00ozcuqwjronl8jb</t>
        </is>
      </c>
      <c r="AP2080" t="inlineStr">
        <is>
          <t>http://localhost:8787/api/admin/requirements/documents/cmm4yunhm00ozcuqwjronl8jb/view</t>
        </is>
      </c>
      <c r="AQ2080">
        <f>HYPERLÄNK("http://localhost:8787/api/admin/requirements/documents/cmm4yunhm00ozcuqwjronl8jb/view";"Öppna PDF")</f>
        <v/>
      </c>
      <c r="AR2080">
        <f>HYPERLINK("http://localhost:8787/api/admin/requirements/documents/cmm4yunhm00ozcuqwjronl8jb/view","Open PDF")</f>
        <v/>
      </c>
      <c r="AS2080" t="inlineStr">
        <is>
          <t>cmm55w57p0004cuisfrtpqly8</t>
        </is>
      </c>
      <c r="AT2080" t="inlineStr">
        <is>
          <t>cmm4xvu980000cuh4vj0usz09</t>
        </is>
      </c>
      <c r="AU2080" t="inlineStr">
        <is>
          <t>Habo</t>
        </is>
      </c>
      <c r="AV2080" t="inlineStr">
        <is>
          <t>Kommun</t>
        </is>
      </c>
      <c r="AW2080" t="inlineStr">
        <is>
          <t>Habo kommun</t>
        </is>
      </c>
      <c r="AX2080" t="inlineStr">
        <is>
          <t>2023-03</t>
        </is>
      </c>
      <c r="AY2080" t="inlineStr">
        <is>
          <t>Beslut</t>
        </is>
      </c>
      <c r="AZ2080" t="inlineStr">
        <is>
          <t>2026-02-03</t>
        </is>
      </c>
      <c r="BA2080" t="inlineStr">
        <is>
          <t>M-2024-946 Samrådsredogöresel.pdf</t>
        </is>
      </c>
      <c r="BB2080" t="inlineStr">
        <is>
          <t>Svar på förfrågan</t>
        </is>
      </c>
      <c r="BC2080" t="inlineStr">
        <is>
          <t>AUTO</t>
        </is>
      </c>
      <c r="BD2080" t="inlineStr"/>
      <c r="BE2080" t="inlineStr"/>
      <c r="BF2080" t="inlineStr">
        <is>
          <t>AUTO_GENERERAD. Bekrafta metadata mot kallfil.</t>
        </is>
      </c>
      <c r="BG2080">
        <f>HYPERLINK("C:\Users\jimmy\Desktop\Examens arbete\Kod\Ny mapp\remix_-copy-of-miljöbeslut.se-portal\M-2024-946 Samrådsredogöresel.pdf", "Öppna PDF")</f>
        <v/>
      </c>
    </row>
    <row r="2081">
      <c r="A2081" t="inlineStr">
        <is>
          <t>KRAV-AUTO-002080</t>
        </is>
      </c>
      <c r="B2081" t="inlineStr">
        <is>
          <t>ADMIN-INDEX-2026-02-27-00000000125C043F57453246863FE664CAFE6A3F0700950291EA24F0614FB6ACEDB12BF0E31D00000000010C0000950291EA24F0614FB6ACEDB12BF0E31D00002087B1910000</t>
        </is>
      </c>
      <c r="C2081" t="inlineStr">
        <is>
          <t>cmm4yunh600okcuqwxguxd8e3</t>
        </is>
      </c>
      <c r="D2081" t="inlineStr">
        <is>
          <t>http://localhost:8787/api/admin/requirements/documents/cmm4yunh600okcuqwxguxd8e3/view</t>
        </is>
      </c>
      <c r="E2081">
        <f>HYPERLÄNK("http://localhost:8787/api/admin/requirements/documents/cmm4yunh600okcuqwxguxd8e3/view";"Öppna PDF")</f>
        <v/>
      </c>
      <c r="F2081">
        <f>HYPERLINK("http://localhost:8787/api/admin/requirements/documents/cmm4yunh600okcuqwxguxd8e3/view","Open PDF")</f>
        <v/>
      </c>
      <c r="G2081" t="inlineStr">
        <is>
          <t>cmm55w57p0004cuisfrtpqly8</t>
        </is>
      </c>
      <c r="H2081" t="inlineStr">
        <is>
          <t>Beslutsvillkor</t>
        </is>
      </c>
      <c r="I2081" t="inlineStr">
        <is>
          <t>LagringsvolymTid</t>
        </is>
      </c>
      <c r="J2081" t="inlineStr">
        <is>
          <t>Maxmangd</t>
        </is>
      </c>
      <c r="K2081" t="inlineStr">
        <is>
          <t>I de fall verksam- hetens buller karakteriseras av ofta återkommande impulser som vid nit- ningsarbete, lossning av metallskrot och liknande eller innehåller ljud med tydligt hörbara tonkomponenter bör värdena i Tabell 1 sänkas med 5 dBA.</t>
        </is>
      </c>
      <c r="L2081" t="inlineStr">
        <is>
          <t>I de fall verksam- hetens buller karakteriseras av ofta återkommande impulser som vid nit- ningsarbete, lossning av metallskrot och liknande eller innehåller ljud med tydligt hörbara tonkomponenter bör värdena i Tabell 1 sänkas med 5 dBA.</t>
        </is>
      </c>
      <c r="M2081" t="inlineStr">
        <is>
          <t>BOR</t>
        </is>
      </c>
      <c r="N2081" t="inlineStr"/>
      <c r="O2081" t="inlineStr"/>
      <c r="P2081" t="inlineStr"/>
      <c r="Q2081" t="inlineStr"/>
      <c r="R2081" t="inlineStr">
        <is>
          <t>Alltid</t>
        </is>
      </c>
      <c r="S2081" t="inlineStr"/>
      <c r="T2081" t="inlineStr">
        <is>
          <t>556133</t>
        </is>
      </c>
      <c r="U2081" t="inlineStr"/>
      <c r="V2081" t="inlineStr"/>
      <c r="W2081" t="inlineStr">
        <is>
          <t>Nej</t>
        </is>
      </c>
      <c r="X2081" t="inlineStr">
        <is>
          <t>Nej</t>
        </is>
      </c>
      <c r="Y2081" t="inlineStr">
        <is>
          <t>Nej</t>
        </is>
      </c>
      <c r="Z2081" t="inlineStr">
        <is>
          <t>Nej</t>
        </is>
      </c>
      <c r="AA2081" t="n">
        <v>4</v>
      </c>
      <c r="AB2081" t="inlineStr">
        <is>
          <t>Avfallsmangder och lagringstid</t>
        </is>
      </c>
      <c r="AC2081" t="inlineStr">
        <is>
          <t>Avfallsforteckning</t>
        </is>
      </c>
      <c r="AD2081" t="inlineStr">
        <is>
          <t>Nej</t>
        </is>
      </c>
      <c r="AE2081" t="inlineStr">
        <is>
          <t>Nej</t>
        </is>
      </c>
      <c r="AF2081" t="inlineStr">
        <is>
          <t>Ej behandlad</t>
        </is>
      </c>
      <c r="AG2081" t="inlineStr">
        <is>
          <t>AUTO_GENERERAD. Verifiera citat mot kallfil.</t>
        </is>
      </c>
      <c r="AH2081" t="inlineStr">
        <is>
          <t>MEDIUM</t>
        </is>
      </c>
      <c r="AI2081" t="inlineStr">
        <is>
          <t>AUTO</t>
        </is>
      </c>
      <c r="AJ2081" t="inlineStr">
        <is>
          <t>Nej</t>
        </is>
      </c>
      <c r="AK2081" t="inlineStr"/>
      <c r="AL2081" t="inlineStr"/>
      <c r="AM2081" t="inlineStr"/>
      <c r="AN2081" t="inlineStr"/>
      <c r="AO2081" t="inlineStr">
        <is>
          <t>cmm4yunhm00ozcuqwjronl8jb</t>
        </is>
      </c>
      <c r="AP2081" t="inlineStr">
        <is>
          <t>http://localhost:8787/api/admin/requirements/documents/cmm4yunhm00ozcuqwjronl8jb/view</t>
        </is>
      </c>
      <c r="AQ2081">
        <f>HYPERLÄNK("http://localhost:8787/api/admin/requirements/documents/cmm4yunhm00ozcuqwjronl8jb/view";"Öppna PDF")</f>
        <v/>
      </c>
      <c r="AR2081">
        <f>HYPERLINK("http://localhost:8787/api/admin/requirements/documents/cmm4yunhm00ozcuqwjronl8jb/view","Open PDF")</f>
        <v/>
      </c>
      <c r="AS2081" t="inlineStr">
        <is>
          <t>cmm55w57p0004cuisfrtpqly8</t>
        </is>
      </c>
      <c r="AT2081" t="inlineStr">
        <is>
          <t>cmm4xvu980000cuh4vj0usz09</t>
        </is>
      </c>
      <c r="AU2081" t="inlineStr">
        <is>
          <t>Habo</t>
        </is>
      </c>
      <c r="AV2081" t="inlineStr">
        <is>
          <t>Kommun</t>
        </is>
      </c>
      <c r="AW2081" t="inlineStr">
        <is>
          <t>Habo kommun</t>
        </is>
      </c>
      <c r="AX2081" t="inlineStr">
        <is>
          <t>2023-03</t>
        </is>
      </c>
      <c r="AY2081" t="inlineStr">
        <is>
          <t>Beslut</t>
        </is>
      </c>
      <c r="AZ2081" t="inlineStr">
        <is>
          <t>2026-02-03</t>
        </is>
      </c>
      <c r="BA2081" t="inlineStr">
        <is>
          <t>M-2024-946 Samrådsredogöresel.pdf</t>
        </is>
      </c>
      <c r="BB2081" t="inlineStr">
        <is>
          <t>Svar på förfrågan</t>
        </is>
      </c>
      <c r="BC2081" t="inlineStr">
        <is>
          <t>AUTO</t>
        </is>
      </c>
      <c r="BD2081" t="inlineStr"/>
      <c r="BE2081" t="inlineStr"/>
      <c r="BF2081" t="inlineStr">
        <is>
          <t>AUTO_GENERERAD. Bekrafta metadata mot kallfil.</t>
        </is>
      </c>
      <c r="BG2081">
        <f>HYPERLINK("C:\Users\jimmy\Desktop\Examens arbete\Kod\Ny mapp\remix_-copy-of-miljöbeslut.se-portal\M-2024-946 Samrådsredogöresel.pdf", "Öppna PDF")</f>
        <v/>
      </c>
    </row>
    <row r="2082">
      <c r="A2082" t="inlineStr">
        <is>
          <t>KRAV-AUTO-002081</t>
        </is>
      </c>
      <c r="B2082" t="inlineStr">
        <is>
          <t>ADMIN-INDEX-2026-02-27-00000000125C043F57453246863FE664CAFE6A3F0700950291EA24F0614FB6ACEDB12BF0E31D00000000010C0000950291EA24F0614FB6ACEDB12BF0E31D00002087B1910000</t>
        </is>
      </c>
      <c r="C2082" t="inlineStr">
        <is>
          <t>cmm4yunh600okcuqwxguxd8e3</t>
        </is>
      </c>
      <c r="D2082" t="inlineStr">
        <is>
          <t>http://localhost:8787/api/admin/requirements/documents/cmm4yunh600okcuqwxguxd8e3/view</t>
        </is>
      </c>
      <c r="E2082">
        <f>HYPERLÄNK("http://localhost:8787/api/admin/requirements/documents/cmm4yunh600okcuqwxguxd8e3/view";"Öppna PDF")</f>
        <v/>
      </c>
      <c r="F2082">
        <f>HYPERLINK("http://localhost:8787/api/admin/requirements/documents/cmm4yunh600okcuqwxguxd8e3/view","Open PDF")</f>
        <v/>
      </c>
      <c r="G2082" t="inlineStr">
        <is>
          <t>cmm55w57p0004cuisfrtpqly8</t>
        </is>
      </c>
      <c r="H2082" t="inlineStr">
        <is>
          <t>Beslutsvillkor</t>
        </is>
      </c>
      <c r="I2082" t="inlineStr">
        <is>
          <t>LagringsvolymTid</t>
        </is>
      </c>
      <c r="J2082" t="inlineStr">
        <is>
          <t>Maxmangd</t>
        </is>
      </c>
      <c r="K2082" t="inlineStr">
        <is>
          <t>I de fall verksamhet- ens buller karakteriseras av ofta återkommande impulser som vid nitnings- arbete, lossning av metallskrot och liknande eller innehåller ljud med tydligt hörbara tonkomponenter bör värdena i Tabell 1 sänkas med 5 dBA.</t>
        </is>
      </c>
      <c r="L2082" t="inlineStr">
        <is>
          <t>I de fall verksamhet- ens buller karakteriseras av ofta återkommande impulser som vid nitnings- arbete, lossning av metallskrot och liknande eller innehåller ljud med tydligt hörbara tonkomponenter bör värdena i Tabell 1 sänkas med 5 dBA.</t>
        </is>
      </c>
      <c r="M2082" t="inlineStr">
        <is>
          <t>BOR</t>
        </is>
      </c>
      <c r="N2082" t="inlineStr"/>
      <c r="O2082" t="inlineStr"/>
      <c r="P2082" t="inlineStr"/>
      <c r="Q2082" t="inlineStr"/>
      <c r="R2082" t="inlineStr">
        <is>
          <t>Alltid</t>
        </is>
      </c>
      <c r="S2082" t="inlineStr"/>
      <c r="T2082" t="inlineStr">
        <is>
          <t>556133</t>
        </is>
      </c>
      <c r="U2082" t="inlineStr"/>
      <c r="V2082" t="inlineStr"/>
      <c r="W2082" t="inlineStr">
        <is>
          <t>Nej</t>
        </is>
      </c>
      <c r="X2082" t="inlineStr">
        <is>
          <t>Nej</t>
        </is>
      </c>
      <c r="Y2082" t="inlineStr">
        <is>
          <t>Nej</t>
        </is>
      </c>
      <c r="Z2082" t="inlineStr">
        <is>
          <t>Nej</t>
        </is>
      </c>
      <c r="AA2082" t="n">
        <v>4</v>
      </c>
      <c r="AB2082" t="inlineStr">
        <is>
          <t>Avfallsmangder och lagringstid</t>
        </is>
      </c>
      <c r="AC2082" t="inlineStr">
        <is>
          <t>Avfallsforteckning</t>
        </is>
      </c>
      <c r="AD2082" t="inlineStr">
        <is>
          <t>Nej</t>
        </is>
      </c>
      <c r="AE2082" t="inlineStr">
        <is>
          <t>Nej</t>
        </is>
      </c>
      <c r="AF2082" t="inlineStr">
        <is>
          <t>Ej behandlad</t>
        </is>
      </c>
      <c r="AG2082" t="inlineStr">
        <is>
          <t>AUTO_GENERERAD. Verifiera citat mot kallfil.</t>
        </is>
      </c>
      <c r="AH2082" t="inlineStr">
        <is>
          <t>MEDIUM</t>
        </is>
      </c>
      <c r="AI2082" t="inlineStr">
        <is>
          <t>AUTO</t>
        </is>
      </c>
      <c r="AJ2082" t="inlineStr">
        <is>
          <t>Nej</t>
        </is>
      </c>
      <c r="AK2082" t="inlineStr"/>
      <c r="AL2082" t="inlineStr"/>
      <c r="AM2082" t="inlineStr"/>
      <c r="AN2082" t="inlineStr"/>
      <c r="AO2082" t="inlineStr">
        <is>
          <t>cmm4yunhm00ozcuqwjronl8jb</t>
        </is>
      </c>
      <c r="AP2082" t="inlineStr">
        <is>
          <t>http://localhost:8787/api/admin/requirements/documents/cmm4yunhm00ozcuqwjronl8jb/view</t>
        </is>
      </c>
      <c r="AQ2082">
        <f>HYPERLÄNK("http://localhost:8787/api/admin/requirements/documents/cmm4yunhm00ozcuqwjronl8jb/view";"Öppna PDF")</f>
        <v/>
      </c>
      <c r="AR2082">
        <f>HYPERLINK("http://localhost:8787/api/admin/requirements/documents/cmm4yunhm00ozcuqwjronl8jb/view","Open PDF")</f>
        <v/>
      </c>
      <c r="AS2082" t="inlineStr">
        <is>
          <t>cmm55w57p0004cuisfrtpqly8</t>
        </is>
      </c>
      <c r="AT2082" t="inlineStr">
        <is>
          <t>cmm4xvu980000cuh4vj0usz09</t>
        </is>
      </c>
      <c r="AU2082" t="inlineStr">
        <is>
          <t>Habo</t>
        </is>
      </c>
      <c r="AV2082" t="inlineStr">
        <is>
          <t>Kommun</t>
        </is>
      </c>
      <c r="AW2082" t="inlineStr">
        <is>
          <t>Habo kommun</t>
        </is>
      </c>
      <c r="AX2082" t="inlineStr">
        <is>
          <t>2023-03</t>
        </is>
      </c>
      <c r="AY2082" t="inlineStr">
        <is>
          <t>Beslut</t>
        </is>
      </c>
      <c r="AZ2082" t="inlineStr">
        <is>
          <t>2026-02-03</t>
        </is>
      </c>
      <c r="BA2082" t="inlineStr">
        <is>
          <t>M-2024-946 Samrådsredogöresel.pdf</t>
        </is>
      </c>
      <c r="BB2082" t="inlineStr">
        <is>
          <t>Svar på förfrågan</t>
        </is>
      </c>
      <c r="BC2082" t="inlineStr">
        <is>
          <t>AUTO</t>
        </is>
      </c>
      <c r="BD2082" t="inlineStr"/>
      <c r="BE2082" t="inlineStr"/>
      <c r="BF2082" t="inlineStr">
        <is>
          <t>AUTO_GENERERAD. Bekrafta metadata mot kallfil.</t>
        </is>
      </c>
      <c r="BG2082">
        <f>HYPERLINK("C:\Users\jimmy\Desktop\Examens arbete\Kod\Ny mapp\remix_-copy-of-miljöbeslut.se-portal\M-2024-946 Samrådsredogöresel.pdf", "Öppna PDF")</f>
        <v/>
      </c>
    </row>
    <row r="2083">
      <c r="A2083" t="inlineStr">
        <is>
          <t>KRAV-AUTO-002082</t>
        </is>
      </c>
      <c r="B2083" t="inlineStr">
        <is>
          <t>ADMIN-INDEX-2026-02-27-00000000125C043F57453246863FE664CAFE6A3F0700950291EA24F0614FB6ACEDB12BF0E31D00000000010C0000950291EA24F0614FB6ACEDB12BF0E31D00002087B1910000</t>
        </is>
      </c>
      <c r="C2083" t="inlineStr">
        <is>
          <t>cmm4yunh600okcuqwxguxd8e3</t>
        </is>
      </c>
      <c r="D2083" t="inlineStr">
        <is>
          <t>http://localhost:8787/api/admin/requirements/documents/cmm4yunh600okcuqwxguxd8e3/view</t>
        </is>
      </c>
      <c r="E2083">
        <f>HYPERLÄNK("http://localhost:8787/api/admin/requirements/documents/cmm4yunh600okcuqwxguxd8e3/view";"Öppna PDF")</f>
        <v/>
      </c>
      <c r="F2083">
        <f>HYPERLINK("http://localhost:8787/api/admin/requirements/documents/cmm4yunh600okcuqwxguxd8e3/view","Open PDF")</f>
        <v/>
      </c>
      <c r="G2083" t="inlineStr">
        <is>
          <t>cmm55w57p0004cuisfrtpqly8</t>
        </is>
      </c>
      <c r="H2083" t="inlineStr">
        <is>
          <t>Beslutsvillkor</t>
        </is>
      </c>
      <c r="I2083" t="inlineStr">
        <is>
          <t>Ytkonstruktion</t>
        </is>
      </c>
      <c r="J2083" t="inlineStr">
        <is>
          <t>Tat yta</t>
        </is>
      </c>
      <c r="K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L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M2083" t="inlineStr">
        <is>
          <t>BOR</t>
        </is>
      </c>
      <c r="N2083" t="inlineStr"/>
      <c r="O2083" t="inlineStr">
        <is>
          <t>2024-06-10</t>
        </is>
      </c>
      <c r="P2083" t="inlineStr"/>
      <c r="Q2083" t="inlineStr"/>
      <c r="R2083" t="inlineStr">
        <is>
          <t>Vid mellanlagring av avfall</t>
        </is>
      </c>
      <c r="S2083" t="inlineStr"/>
      <c r="T2083" t="inlineStr">
        <is>
          <t>556133</t>
        </is>
      </c>
      <c r="U2083" t="inlineStr"/>
      <c r="V2083" t="inlineStr"/>
      <c r="W2083" t="inlineStr">
        <is>
          <t>Ja</t>
        </is>
      </c>
      <c r="X2083" t="inlineStr">
        <is>
          <t>Nej</t>
        </is>
      </c>
      <c r="Y2083" t="inlineStr">
        <is>
          <t>Nej</t>
        </is>
      </c>
      <c r="Z2083" t="inlineStr">
        <is>
          <t>Nej</t>
        </is>
      </c>
      <c r="AA2083" t="n">
        <v>5</v>
      </c>
      <c r="AB2083" t="inlineStr">
        <is>
          <t>Teknisk beskrivning av platta</t>
        </is>
      </c>
      <c r="AC2083" t="inlineStr">
        <is>
          <t>Teknisk ritning platta</t>
        </is>
      </c>
      <c r="AD2083" t="inlineStr">
        <is>
          <t>Nej</t>
        </is>
      </c>
      <c r="AE2083" t="inlineStr">
        <is>
          <t>Nej</t>
        </is>
      </c>
      <c r="AF2083" t="inlineStr">
        <is>
          <t>Ej behandlad</t>
        </is>
      </c>
      <c r="AG2083" t="inlineStr">
        <is>
          <t>AUTO_GENERERAD. Verifiera citat mot kallfil.</t>
        </is>
      </c>
      <c r="AH2083" t="inlineStr">
        <is>
          <t>MEDIUM</t>
        </is>
      </c>
      <c r="AI2083" t="inlineStr">
        <is>
          <t>AUTO</t>
        </is>
      </c>
      <c r="AJ2083" t="inlineStr">
        <is>
          <t>Nej</t>
        </is>
      </c>
      <c r="AK2083" t="inlineStr"/>
      <c r="AL2083" t="inlineStr"/>
      <c r="AM2083" t="inlineStr"/>
      <c r="AN2083" t="inlineStr"/>
      <c r="AO2083" t="inlineStr">
        <is>
          <t>cmm4yunhm00ozcuqwjronl8jb</t>
        </is>
      </c>
      <c r="AP2083" t="inlineStr">
        <is>
          <t>http://localhost:8787/api/admin/requirements/documents/cmm4yunhm00ozcuqwjronl8jb/view</t>
        </is>
      </c>
      <c r="AQ2083">
        <f>HYPERLÄNK("http://localhost:8787/api/admin/requirements/documents/cmm4yunhm00ozcuqwjronl8jb/view";"Öppna PDF")</f>
        <v/>
      </c>
      <c r="AR2083">
        <f>HYPERLINK("http://localhost:8787/api/admin/requirements/documents/cmm4yunhm00ozcuqwjronl8jb/view","Open PDF")</f>
        <v/>
      </c>
      <c r="AS2083" t="inlineStr">
        <is>
          <t>cmm55w57p0004cuisfrtpqly8</t>
        </is>
      </c>
      <c r="AT2083" t="inlineStr">
        <is>
          <t>cmm4xvu980000cuh4vj0usz09</t>
        </is>
      </c>
      <c r="AU2083" t="inlineStr">
        <is>
          <t>Habo</t>
        </is>
      </c>
      <c r="AV2083" t="inlineStr">
        <is>
          <t>Kommun</t>
        </is>
      </c>
      <c r="AW2083" t="inlineStr">
        <is>
          <t>Habo kommun</t>
        </is>
      </c>
      <c r="AX2083" t="inlineStr">
        <is>
          <t>2023-03</t>
        </is>
      </c>
      <c r="AY2083" t="inlineStr">
        <is>
          <t>Beslut</t>
        </is>
      </c>
      <c r="AZ2083" t="inlineStr">
        <is>
          <t>2026-02-03</t>
        </is>
      </c>
      <c r="BA2083" t="inlineStr">
        <is>
          <t>M-2024-946 Samrådsredogöresel.pdf</t>
        </is>
      </c>
      <c r="BB2083" t="inlineStr">
        <is>
          <t>Svar på förfrågan</t>
        </is>
      </c>
      <c r="BC2083" t="inlineStr">
        <is>
          <t>AUTO</t>
        </is>
      </c>
      <c r="BD2083" t="inlineStr"/>
      <c r="BE2083" t="inlineStr"/>
      <c r="BF2083" t="inlineStr">
        <is>
          <t>AUTO_GENERERAD. Bekrafta metadata mot kallfil.</t>
        </is>
      </c>
      <c r="BG2083">
        <f>HYPERLINK("C:\Users\jimmy\Desktop\Examens arbete\Kod\Ny mapp\remix_-copy-of-miljöbeslut.se-portal\M-2024-946 Samrådsredogöresel.pdf", "Öppna PDF")</f>
        <v/>
      </c>
    </row>
    <row r="2084">
      <c r="A2084" t="inlineStr">
        <is>
          <t>KRAV-AUTO-002083</t>
        </is>
      </c>
      <c r="B2084" t="inlineStr">
        <is>
          <t>ADMIN-INDEX-2026-02-27-00000000125C043F57453246863FE664CAFE6A3F0700950291EA24F0614FB6ACEDB12BF0E31D00000000010C0000950291EA24F0614FB6ACEDB12BF0E31D00002087B1910000</t>
        </is>
      </c>
      <c r="C2084" t="inlineStr">
        <is>
          <t>cmm4yunh400ohcuqwrlzimvcv</t>
        </is>
      </c>
      <c r="D2084" t="inlineStr">
        <is>
          <t>http://localhost:8787/api/admin/requirements/documents/cmm4yunh400ohcuqwrlzimvcv/view</t>
        </is>
      </c>
      <c r="E2084">
        <f>HYPERLÄNK("http://localhost:8787/api/admin/requirements/documents/cmm4yunh400ohcuqwrlzimvcv/view";"Öppna PDF")</f>
        <v/>
      </c>
      <c r="F2084">
        <f>HYPERLINK("http://localhost:8787/api/admin/requirements/documents/cmm4yunh400ohcuqwrlzimvcv/view","Open PDF")</f>
        <v/>
      </c>
      <c r="G2084" t="inlineStr">
        <is>
          <t>cmm55w57p0004cuisfrtpqly8</t>
        </is>
      </c>
      <c r="H2084" t="inlineStr">
        <is>
          <t>Beslutsvillkor</t>
        </is>
      </c>
      <c r="I2084" t="inlineStr">
        <is>
          <t>MiljopaverkanForsiktighet</t>
        </is>
      </c>
      <c r="J2084" t="inlineStr">
        <is>
          <t>Skyddsatgarder</t>
        </is>
      </c>
      <c r="K2084" t="inlineStr">
        <is>
          <t>Om avfall som inte kan anses motsvara någon av de angivna avfallskategorierna ska hanteras, ska tillsynsmyndighetens godkännande inhämtas.</t>
        </is>
      </c>
      <c r="L2084" t="inlineStr">
        <is>
          <t>Om avfall som inte kan anses motsvara någon av de angivna avfallskategorierna ska hanteras, ska tillsynsmyndighetens godkännande inhämtas.</t>
        </is>
      </c>
      <c r="M2084" t="inlineStr">
        <is>
          <t>SKA</t>
        </is>
      </c>
      <c r="N2084" t="inlineStr"/>
      <c r="O2084" t="inlineStr"/>
      <c r="P2084" t="inlineStr"/>
      <c r="Q2084" t="inlineStr"/>
      <c r="R2084" t="inlineStr">
        <is>
          <t>Alltid</t>
        </is>
      </c>
      <c r="S2084" t="inlineStr"/>
      <c r="T2084" t="inlineStr">
        <is>
          <t>20 01 21</t>
        </is>
      </c>
      <c r="U2084" t="inlineStr"/>
      <c r="V2084" t="inlineStr"/>
      <c r="W2084" t="inlineStr">
        <is>
          <t>Nej</t>
        </is>
      </c>
      <c r="X2084" t="inlineStr">
        <is>
          <t>Nej</t>
        </is>
      </c>
      <c r="Y2084" t="inlineStr">
        <is>
          <t>Nej</t>
        </is>
      </c>
      <c r="Z2084" t="inlineStr">
        <is>
          <t>Nej</t>
        </is>
      </c>
      <c r="AA2084" t="n">
        <v>10</v>
      </c>
      <c r="AB2084" t="inlineStr">
        <is>
          <t>Miljopaverkan och forsiktighetsmatt</t>
        </is>
      </c>
      <c r="AC2084" t="inlineStr">
        <is>
          <t>Miljo-PM</t>
        </is>
      </c>
      <c r="AD2084" t="inlineStr">
        <is>
          <t>Nej</t>
        </is>
      </c>
      <c r="AE2084" t="inlineStr">
        <is>
          <t>Nej</t>
        </is>
      </c>
      <c r="AF2084" t="inlineStr">
        <is>
          <t>Ej behandlad</t>
        </is>
      </c>
      <c r="AG2084" t="inlineStr">
        <is>
          <t>AUTO_GENERERAD. Verifiera citat mot kallfil.</t>
        </is>
      </c>
      <c r="AH2084" t="inlineStr">
        <is>
          <t>LOW</t>
        </is>
      </c>
      <c r="AI2084" t="inlineStr">
        <is>
          <t>AUTO</t>
        </is>
      </c>
      <c r="AJ2084" t="inlineStr">
        <is>
          <t>Nej</t>
        </is>
      </c>
      <c r="AK2084" t="inlineStr"/>
      <c r="AL2084" t="inlineStr"/>
      <c r="AM2084" t="inlineStr"/>
      <c r="AN2084" t="inlineStr"/>
      <c r="AO2084" t="inlineStr">
        <is>
          <t>cmm4yunhm00ozcuqwjronl8jb</t>
        </is>
      </c>
      <c r="AP2084" t="inlineStr">
        <is>
          <t>http://localhost:8787/api/admin/requirements/documents/cmm4yunhm00ozcuqwjronl8jb/view</t>
        </is>
      </c>
      <c r="AQ2084">
        <f>HYPERLÄNK("http://localhost:8787/api/admin/requirements/documents/cmm4yunhm00ozcuqwjronl8jb/view";"Öppna PDF")</f>
        <v/>
      </c>
      <c r="AR2084">
        <f>HYPERLINK("http://localhost:8787/api/admin/requirements/documents/cmm4yunhm00ozcuqwjronl8jb/view","Open PDF")</f>
        <v/>
      </c>
      <c r="AS2084" t="inlineStr">
        <is>
          <t>cmm55w57p0004cuisfrtpqly8</t>
        </is>
      </c>
      <c r="AT2084" t="inlineStr">
        <is>
          <t>cmm4xvu980000cuh4vj0usz09</t>
        </is>
      </c>
      <c r="AU2084" t="inlineStr">
        <is>
          <t>Habo</t>
        </is>
      </c>
      <c r="AV2084" t="inlineStr">
        <is>
          <t>Kommun</t>
        </is>
      </c>
      <c r="AW2084" t="inlineStr">
        <is>
          <t>Habo kommun</t>
        </is>
      </c>
      <c r="AX2084" t="inlineStr">
        <is>
          <t>2023-03</t>
        </is>
      </c>
      <c r="AY2084" t="inlineStr">
        <is>
          <t>Beslut</t>
        </is>
      </c>
      <c r="AZ2084" t="inlineStr">
        <is>
          <t>2026-02-03</t>
        </is>
      </c>
      <c r="BA2084" t="inlineStr">
        <is>
          <t>M-2024-946 Samrådsredogöresel.pdf</t>
        </is>
      </c>
      <c r="BB2084" t="inlineStr">
        <is>
          <t>Svar på förfrågan</t>
        </is>
      </c>
      <c r="BC2084" t="inlineStr">
        <is>
          <t>AUTO</t>
        </is>
      </c>
      <c r="BD2084" t="inlineStr"/>
      <c r="BE2084" t="inlineStr"/>
      <c r="BF2084" t="inlineStr">
        <is>
          <t>AUTO_GENERERAD. Bekrafta metadata mot kallfil.</t>
        </is>
      </c>
      <c r="BG2084">
        <f>HYPERLINK("C:\Users\jimmy\Desktop\Examens arbete\Kod\Ny mapp\remix_-copy-of-miljöbeslut.se-portal\M-2024-946 Samrådsredogöresel.pdf", "Öppna PDF")</f>
        <v/>
      </c>
    </row>
    <row r="2085">
      <c r="A2085" t="inlineStr">
        <is>
          <t>KRAV-AUTO-002084</t>
        </is>
      </c>
      <c r="B2085" t="inlineStr">
        <is>
          <t>ADMIN-INDEX-2026-02-27-00000000125C043F57453246863FE664CAFE6A3F0700950291EA24F0614FB6ACEDB12BF0E31D00000000010C0000950291EA24F0614FB6ACEDB12BF0E31D00002087B1910000</t>
        </is>
      </c>
      <c r="C2085" t="inlineStr">
        <is>
          <t>cmm4yunh400ohcuqwrlzimvcv</t>
        </is>
      </c>
      <c r="D2085" t="inlineStr">
        <is>
          <t>http://localhost:8787/api/admin/requirements/documents/cmm4yunh400ohcuqwrlzimvcv/view</t>
        </is>
      </c>
      <c r="E2085">
        <f>HYPERLÄNK("http://localhost:8787/api/admin/requirements/documents/cmm4yunh400ohcuqwrlzimvcv/view";"Öppna PDF")</f>
        <v/>
      </c>
      <c r="F2085">
        <f>HYPERLINK("http://localhost:8787/api/admin/requirements/documents/cmm4yunh400ohcuqwrlzimvcv/view","Open PDF")</f>
        <v/>
      </c>
      <c r="G2085" t="inlineStr">
        <is>
          <t>cmm55w57p0004cuisfrtpqly8</t>
        </is>
      </c>
      <c r="H2085" t="inlineStr">
        <is>
          <t>Beslutsvillkor</t>
        </is>
      </c>
      <c r="I2085" t="inlineStr">
        <is>
          <t>MiljopaverkanForsiktighet</t>
        </is>
      </c>
      <c r="J2085" t="inlineStr">
        <is>
          <t>Skyddsatgarder</t>
        </is>
      </c>
      <c r="K2085" t="inlineStr">
        <is>
          <t>Hanteringen av eventuella fraktioner med annan avfallskod, men som motsvarar någon av de angivna kategorierna, kommer att ske på motsvarande sätt som för liknande fraktioner med motsvarande egenskaper.</t>
        </is>
      </c>
      <c r="L2085" t="inlineStr">
        <is>
          <t>Hanteringen av eventuella fraktioner med annan avfallskod, men som motsvarar någon av de angivna kategorierna, kommer att ske på motsvarande sätt som för liknande fraktioner med motsvarande egenskaper.</t>
        </is>
      </c>
      <c r="M2085" t="inlineStr">
        <is>
          <t>SKA</t>
        </is>
      </c>
      <c r="N2085" t="inlineStr"/>
      <c r="O2085" t="inlineStr"/>
      <c r="P2085" t="inlineStr"/>
      <c r="Q2085" t="inlineStr"/>
      <c r="R2085" t="inlineStr">
        <is>
          <t>Alltid</t>
        </is>
      </c>
      <c r="S2085" t="inlineStr"/>
      <c r="T2085" t="inlineStr">
        <is>
          <t>20 01 21</t>
        </is>
      </c>
      <c r="U2085" t="inlineStr"/>
      <c r="V2085" t="inlineStr"/>
      <c r="W2085" t="inlineStr">
        <is>
          <t>Nej</t>
        </is>
      </c>
      <c r="X2085" t="inlineStr">
        <is>
          <t>Nej</t>
        </is>
      </c>
      <c r="Y2085" t="inlineStr">
        <is>
          <t>Nej</t>
        </is>
      </c>
      <c r="Z2085" t="inlineStr">
        <is>
          <t>Nej</t>
        </is>
      </c>
      <c r="AA2085" t="n">
        <v>10</v>
      </c>
      <c r="AB2085" t="inlineStr">
        <is>
          <t>Miljopaverkan och forsiktighetsmatt</t>
        </is>
      </c>
      <c r="AC2085" t="inlineStr">
        <is>
          <t>Miljo-PM</t>
        </is>
      </c>
      <c r="AD2085" t="inlineStr">
        <is>
          <t>Nej</t>
        </is>
      </c>
      <c r="AE2085" t="inlineStr">
        <is>
          <t>Nej</t>
        </is>
      </c>
      <c r="AF2085" t="inlineStr">
        <is>
          <t>Ej behandlad</t>
        </is>
      </c>
      <c r="AG2085" t="inlineStr">
        <is>
          <t>AUTO_GENERERAD. Verifiera citat mot kallfil.</t>
        </is>
      </c>
      <c r="AH2085" t="inlineStr">
        <is>
          <t>LOW</t>
        </is>
      </c>
      <c r="AI2085" t="inlineStr">
        <is>
          <t>AUTO</t>
        </is>
      </c>
      <c r="AJ2085" t="inlineStr">
        <is>
          <t>Nej</t>
        </is>
      </c>
      <c r="AK2085" t="inlineStr"/>
      <c r="AL2085" t="inlineStr"/>
      <c r="AM2085" t="inlineStr"/>
      <c r="AN2085" t="inlineStr"/>
      <c r="AO2085" t="inlineStr">
        <is>
          <t>cmm4yunhm00ozcuqwjronl8jb</t>
        </is>
      </c>
      <c r="AP2085" t="inlineStr">
        <is>
          <t>http://localhost:8787/api/admin/requirements/documents/cmm4yunhm00ozcuqwjronl8jb/view</t>
        </is>
      </c>
      <c r="AQ2085">
        <f>HYPERLÄNK("http://localhost:8787/api/admin/requirements/documents/cmm4yunhm00ozcuqwjronl8jb/view";"Öppna PDF")</f>
        <v/>
      </c>
      <c r="AR2085">
        <f>HYPERLINK("http://localhost:8787/api/admin/requirements/documents/cmm4yunhm00ozcuqwjronl8jb/view","Open PDF")</f>
        <v/>
      </c>
      <c r="AS2085" t="inlineStr">
        <is>
          <t>cmm55w57p0004cuisfrtpqly8</t>
        </is>
      </c>
      <c r="AT2085" t="inlineStr">
        <is>
          <t>cmm4xvu980000cuh4vj0usz09</t>
        </is>
      </c>
      <c r="AU2085" t="inlineStr">
        <is>
          <t>Habo</t>
        </is>
      </c>
      <c r="AV2085" t="inlineStr">
        <is>
          <t>Kommun</t>
        </is>
      </c>
      <c r="AW2085" t="inlineStr">
        <is>
          <t>Habo kommun</t>
        </is>
      </c>
      <c r="AX2085" t="inlineStr">
        <is>
          <t>2023-03</t>
        </is>
      </c>
      <c r="AY2085" t="inlineStr">
        <is>
          <t>Beslut</t>
        </is>
      </c>
      <c r="AZ2085" t="inlineStr">
        <is>
          <t>2026-02-03</t>
        </is>
      </c>
      <c r="BA2085" t="inlineStr">
        <is>
          <t>M-2024-946 Samrådsredogöresel.pdf</t>
        </is>
      </c>
      <c r="BB2085" t="inlineStr">
        <is>
          <t>Svar på förfrågan</t>
        </is>
      </c>
      <c r="BC2085" t="inlineStr">
        <is>
          <t>AUTO</t>
        </is>
      </c>
      <c r="BD2085" t="inlineStr"/>
      <c r="BE2085" t="inlineStr"/>
      <c r="BF2085" t="inlineStr">
        <is>
          <t>AUTO_GENERERAD. Bekrafta metadata mot kallfil.</t>
        </is>
      </c>
      <c r="BG2085">
        <f>HYPERLINK("C:\Users\jimmy\Desktop\Examens arbete\Kod\Ny mapp\remix_-copy-of-miljöbeslut.se-portal\M-2024-946 Samrådsredogöresel.pdf", "Öppna PDF")</f>
        <v/>
      </c>
    </row>
    <row r="2086">
      <c r="A2086" t="inlineStr">
        <is>
          <t>KRAV-AUTO-002085</t>
        </is>
      </c>
      <c r="B2086" t="inlineStr">
        <is>
          <t>ADMIN-INDEX-2026-02-27-00000000125C043F57453246863FE664CAFE6A3F0700950291EA24F0614FB6ACEDB12BF0E31D00000000010C0000950291EA24F0614FB6ACEDB12BF0E31D00002087B1910000</t>
        </is>
      </c>
      <c r="C2086" t="inlineStr">
        <is>
          <t>cmm4yunh100oecuqwm78a012e</t>
        </is>
      </c>
      <c r="D2086" t="inlineStr">
        <is>
          <t>http://localhost:8787/api/admin/requirements/documents/cmm4yunh100oecuqwm78a012e/view</t>
        </is>
      </c>
      <c r="E2086">
        <f>HYPERLÄNK("http://localhost:8787/api/admin/requirements/documents/cmm4yunh100oecuqwm78a012e/view";"Öppna PDF")</f>
        <v/>
      </c>
      <c r="F2086">
        <f>HYPERLINK("http://localhost:8787/api/admin/requirements/documents/cmm4yunh100oecuqwm78a012e/view","Open PDF")</f>
        <v/>
      </c>
      <c r="G2086" t="inlineStr">
        <is>
          <t>cmm55w57p0004cuisfrtpqly8</t>
        </is>
      </c>
      <c r="H2086" t="inlineStr">
        <is>
          <t>Informationskrav</t>
        </is>
      </c>
      <c r="I2086" t="inlineStr">
        <is>
          <t>Riskhantering</t>
        </is>
      </c>
      <c r="J2086" t="inlineStr">
        <is>
          <t>Riskkontroll</t>
        </is>
      </c>
      <c r="K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hämtning av avfall kommer lagrade mängder av farligt avfall att kunna hållas inom nivån för anmälningsplikt under den tid som krävs innan beslut kan erhållas om tillstånd för lagring av de anmälda mängderna av farligt avfall.</t>
        </is>
      </c>
      <c r="L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t>
        </is>
      </c>
      <c r="M2086" t="inlineStr">
        <is>
          <t>SKA</t>
        </is>
      </c>
      <c r="N2086" t="inlineStr"/>
      <c r="O2086" t="inlineStr"/>
      <c r="P2086" t="inlineStr">
        <is>
          <t>Arlig</t>
        </is>
      </c>
      <c r="Q2086" t="inlineStr"/>
      <c r="R2086" t="inlineStr">
        <is>
          <t>Vid risk for incident</t>
        </is>
      </c>
      <c r="S2086" t="inlineStr"/>
      <c r="T2086" t="inlineStr"/>
      <c r="U2086" t="n">
        <v>0</v>
      </c>
      <c r="V2086" t="inlineStr"/>
      <c r="W2086" t="inlineStr">
        <is>
          <t>Nej</t>
        </is>
      </c>
      <c r="X2086" t="inlineStr">
        <is>
          <t>Nej</t>
        </is>
      </c>
      <c r="Y2086" t="inlineStr">
        <is>
          <t>Ja</t>
        </is>
      </c>
      <c r="Z2086" t="inlineStr">
        <is>
          <t>Ja</t>
        </is>
      </c>
      <c r="AA2086" t="n">
        <v>8</v>
      </c>
      <c r="AB2086" t="inlineStr">
        <is>
          <t>Riskhantering</t>
        </is>
      </c>
      <c r="AC2086" t="inlineStr">
        <is>
          <t>Risk-PM</t>
        </is>
      </c>
      <c r="AD2086" t="inlineStr">
        <is>
          <t>Nej</t>
        </is>
      </c>
      <c r="AE2086" t="inlineStr">
        <is>
          <t>Nej</t>
        </is>
      </c>
      <c r="AF2086" t="inlineStr">
        <is>
          <t>Ej behandlad</t>
        </is>
      </c>
      <c r="AG2086" t="inlineStr">
        <is>
          <t>AUTO_GENERERAD. Verifiera citat mot kallfil.</t>
        </is>
      </c>
      <c r="AH2086" t="inlineStr">
        <is>
          <t>MEDIUM</t>
        </is>
      </c>
      <c r="AI2086" t="inlineStr">
        <is>
          <t>AUTO</t>
        </is>
      </c>
      <c r="AJ2086" t="inlineStr">
        <is>
          <t>Nej</t>
        </is>
      </c>
      <c r="AK2086" t="inlineStr"/>
      <c r="AL2086" t="inlineStr"/>
      <c r="AM2086" t="inlineStr"/>
      <c r="AN2086" t="inlineStr"/>
      <c r="AO2086" t="inlineStr">
        <is>
          <t>cmm4yunhm00ozcuqwjronl8jb</t>
        </is>
      </c>
      <c r="AP2086" t="inlineStr">
        <is>
          <t>http://localhost:8787/api/admin/requirements/documents/cmm4yunhm00ozcuqwjronl8jb/view</t>
        </is>
      </c>
      <c r="AQ2086">
        <f>HYPERLÄNK("http://localhost:8787/api/admin/requirements/documents/cmm4yunhm00ozcuqwjronl8jb/view";"Öppna PDF")</f>
        <v/>
      </c>
      <c r="AR2086">
        <f>HYPERLINK("http://localhost:8787/api/admin/requirements/documents/cmm4yunhm00ozcuqwjronl8jb/view","Open PDF")</f>
        <v/>
      </c>
      <c r="AS2086" t="inlineStr">
        <is>
          <t>cmm55w57p0004cuisfrtpqly8</t>
        </is>
      </c>
      <c r="AT2086" t="inlineStr">
        <is>
          <t>cmm4xvu980000cuh4vj0usz09</t>
        </is>
      </c>
      <c r="AU2086" t="inlineStr">
        <is>
          <t>Habo</t>
        </is>
      </c>
      <c r="AV2086" t="inlineStr">
        <is>
          <t>Kommun</t>
        </is>
      </c>
      <c r="AW2086" t="inlineStr">
        <is>
          <t>Habo kommun</t>
        </is>
      </c>
      <c r="AX2086" t="inlineStr">
        <is>
          <t>2023-03</t>
        </is>
      </c>
      <c r="AY2086" t="inlineStr">
        <is>
          <t>Beslut</t>
        </is>
      </c>
      <c r="AZ2086" t="inlineStr">
        <is>
          <t>2026-02-03</t>
        </is>
      </c>
      <c r="BA2086" t="inlineStr">
        <is>
          <t>M-2024-946 Samrådsredogöresel.pdf</t>
        </is>
      </c>
      <c r="BB2086" t="inlineStr">
        <is>
          <t>Svar på förfrågan</t>
        </is>
      </c>
      <c r="BC2086" t="inlineStr">
        <is>
          <t>AUTO</t>
        </is>
      </c>
      <c r="BD2086" t="inlineStr"/>
      <c r="BE2086" t="inlineStr"/>
      <c r="BF2086" t="inlineStr">
        <is>
          <t>AUTO_GENERERAD. Bekrafta metadata mot kallfil.</t>
        </is>
      </c>
      <c r="BG2086">
        <f>HYPERLINK("C:\Users\jimmy\Desktop\Examens arbete\Kod\Ny mapp\remix_-copy-of-miljöbeslut.se-portal\M-2024-946 Samrådsredogöresel.pdf", "Öppna PDF")</f>
        <v/>
      </c>
    </row>
    <row r="2087">
      <c r="A2087" t="inlineStr">
        <is>
          <t>KRAV-AUTO-002086</t>
        </is>
      </c>
      <c r="B2087" t="inlineStr">
        <is>
          <t>ADMIN-INDEX-2026-02-27-00000000125C043F57453246863FE664CAFE6A3F0700950291EA24F0614FB6ACEDB12BF0E31D00000000010C0000950291EA24F0614FB6ACEDB12BF0E31D00002087B1910000</t>
        </is>
      </c>
      <c r="C2087" t="inlineStr">
        <is>
          <t>cmm4yunh100oecuqwm78a012e</t>
        </is>
      </c>
      <c r="D2087" t="inlineStr">
        <is>
          <t>http://localhost:8787/api/admin/requirements/documents/cmm4yunh100oecuqwm78a012e/view</t>
        </is>
      </c>
      <c r="E2087">
        <f>HYPERLÄNK("http://localhost:8787/api/admin/requirements/documents/cmm4yunh100oecuqwm78a012e/view";"Öppna PDF")</f>
        <v/>
      </c>
      <c r="F2087">
        <f>HYPERLINK("http://localhost:8787/api/admin/requirements/documents/cmm4yunh100oecuqwm78a012e/view","Open PDF")</f>
        <v/>
      </c>
      <c r="G2087" t="inlineStr">
        <is>
          <t>cmm55w57p0004cuisfrtpqly8</t>
        </is>
      </c>
      <c r="H2087" t="inlineStr">
        <is>
          <t>Informationskrav</t>
        </is>
      </c>
      <c r="I2087" t="inlineStr">
        <is>
          <t>DagvattenLakvatten</t>
        </is>
      </c>
      <c r="J2087" t="inlineStr">
        <is>
          <t>Uppsamling</t>
        </is>
      </c>
      <c r="K2087" t="inlineStr">
        <is>
          <t>• Vid en eventuell brand kommer det att finnas en uppsamlingskapacitet för släckvatten och möjlighet att stänga av utloppet från dagvattendammen.</t>
        </is>
      </c>
      <c r="L2087" t="inlineStr">
        <is>
          <t>• Vid en eventuell brand kommer det att finnas en uppsamlingskapacitet för släckvatten och möjlighet att stänga av utloppet från dagvattendammen.</t>
        </is>
      </c>
      <c r="M2087" t="inlineStr">
        <is>
          <t>SKA</t>
        </is>
      </c>
      <c r="N2087" t="inlineStr"/>
      <c r="O2087" t="inlineStr"/>
      <c r="P2087" t="inlineStr"/>
      <c r="Q2087" t="inlineStr"/>
      <c r="R2087" t="inlineStr">
        <is>
          <t>Vid nederbord och avrinning</t>
        </is>
      </c>
      <c r="S2087" t="inlineStr"/>
      <c r="T2087" t="inlineStr"/>
      <c r="U2087" t="inlineStr"/>
      <c r="V2087" t="inlineStr"/>
      <c r="W2087" t="inlineStr">
        <is>
          <t>Nej</t>
        </is>
      </c>
      <c r="X2087" t="inlineStr">
        <is>
          <t>Ja</t>
        </is>
      </c>
      <c r="Y2087" t="inlineStr">
        <is>
          <t>Ja</t>
        </is>
      </c>
      <c r="Z2087" t="inlineStr">
        <is>
          <t>Nej</t>
        </is>
      </c>
      <c r="AA2087" t="n">
        <v>6</v>
      </c>
      <c r="AB2087" t="inlineStr">
        <is>
          <t>Lakvattenhantering</t>
        </is>
      </c>
      <c r="AC2087" t="inlineStr">
        <is>
          <t>Flodesschema dagvatten-lakvatten</t>
        </is>
      </c>
      <c r="AD2087" t="inlineStr">
        <is>
          <t>Nej</t>
        </is>
      </c>
      <c r="AE2087" t="inlineStr">
        <is>
          <t>Nej</t>
        </is>
      </c>
      <c r="AF2087" t="inlineStr">
        <is>
          <t>Ej behandlad</t>
        </is>
      </c>
      <c r="AG2087" t="inlineStr">
        <is>
          <t>AUTO_GENERERAD. Verifiera citat mot kallfil.</t>
        </is>
      </c>
      <c r="AH2087" t="inlineStr">
        <is>
          <t>MEDIUM</t>
        </is>
      </c>
      <c r="AI2087" t="inlineStr">
        <is>
          <t>AUTO</t>
        </is>
      </c>
      <c r="AJ2087" t="inlineStr">
        <is>
          <t>Nej</t>
        </is>
      </c>
      <c r="AK2087" t="inlineStr"/>
      <c r="AL2087" t="inlineStr"/>
      <c r="AM2087" t="inlineStr"/>
      <c r="AN2087" t="inlineStr"/>
      <c r="AO2087" t="inlineStr">
        <is>
          <t>cmm4yunhm00ozcuqwjronl8jb</t>
        </is>
      </c>
      <c r="AP2087" t="inlineStr">
        <is>
          <t>http://localhost:8787/api/admin/requirements/documents/cmm4yunhm00ozcuqwjronl8jb/view</t>
        </is>
      </c>
      <c r="AQ2087">
        <f>HYPERLÄNK("http://localhost:8787/api/admin/requirements/documents/cmm4yunhm00ozcuqwjronl8jb/view";"Öppna PDF")</f>
        <v/>
      </c>
      <c r="AR2087">
        <f>HYPERLINK("http://localhost:8787/api/admin/requirements/documents/cmm4yunhm00ozcuqwjronl8jb/view","Open PDF")</f>
        <v/>
      </c>
      <c r="AS2087" t="inlineStr">
        <is>
          <t>cmm55w57p0004cuisfrtpqly8</t>
        </is>
      </c>
      <c r="AT2087" t="inlineStr">
        <is>
          <t>cmm4xvu980000cuh4vj0usz09</t>
        </is>
      </c>
      <c r="AU2087" t="inlineStr">
        <is>
          <t>Habo</t>
        </is>
      </c>
      <c r="AV2087" t="inlineStr">
        <is>
          <t>Kommun</t>
        </is>
      </c>
      <c r="AW2087" t="inlineStr">
        <is>
          <t>Habo kommun</t>
        </is>
      </c>
      <c r="AX2087" t="inlineStr">
        <is>
          <t>2023-03</t>
        </is>
      </c>
      <c r="AY2087" t="inlineStr">
        <is>
          <t>Beslut</t>
        </is>
      </c>
      <c r="AZ2087" t="inlineStr">
        <is>
          <t>2026-02-03</t>
        </is>
      </c>
      <c r="BA2087" t="inlineStr">
        <is>
          <t>M-2024-946 Samrådsredogöresel.pdf</t>
        </is>
      </c>
      <c r="BB2087" t="inlineStr">
        <is>
          <t>Svar på förfrågan</t>
        </is>
      </c>
      <c r="BC2087" t="inlineStr">
        <is>
          <t>AUTO</t>
        </is>
      </c>
      <c r="BD2087" t="inlineStr"/>
      <c r="BE2087" t="inlineStr"/>
      <c r="BF2087" t="inlineStr">
        <is>
          <t>AUTO_GENERERAD. Bekrafta metadata mot kallfil.</t>
        </is>
      </c>
      <c r="BG2087">
        <f>HYPERLINK("C:\Users\jimmy\Desktop\Examens arbete\Kod\Ny mapp\remix_-copy-of-miljöbeslut.se-portal\M-2024-946 Samrådsredogöresel.pdf", "Öppna PDF")</f>
        <v/>
      </c>
    </row>
    <row r="2088">
      <c r="A2088" t="inlineStr">
        <is>
          <t>KRAV-AUTO-002087</t>
        </is>
      </c>
      <c r="B2088" t="inlineStr">
        <is>
          <t>ADMIN-INDEX-2026-02-27-00000000125C043F57453246863FE664CAFE6A3F0700950291EA24F0614FB6ACEDB12BF0E31D00000000010C0000950291EA24F0614FB6ACEDB12BF0E31D00002087B1910000</t>
        </is>
      </c>
      <c r="C2088" t="inlineStr">
        <is>
          <t>cmm4yunh100oecuqwm78a012e</t>
        </is>
      </c>
      <c r="D2088" t="inlineStr">
        <is>
          <t>http://localhost:8787/api/admin/requirements/documents/cmm4yunh100oecuqwm78a012e/view</t>
        </is>
      </c>
      <c r="E2088">
        <f>HYPERLÄNK("http://localhost:8787/api/admin/requirements/documents/cmm4yunh100oecuqwm78a012e/view";"Öppna PDF")</f>
        <v/>
      </c>
      <c r="F2088">
        <f>HYPERLINK("http://localhost:8787/api/admin/requirements/documents/cmm4yunh100oecuqwm78a012e/view","Open PDF")</f>
        <v/>
      </c>
      <c r="G2088" t="inlineStr">
        <is>
          <t>cmm55w57p0004cuisfrtpqly8</t>
        </is>
      </c>
      <c r="H2088" t="inlineStr">
        <is>
          <t>Informationskrav</t>
        </is>
      </c>
      <c r="I2088" t="inlineStr">
        <is>
          <t>TransportLogistik</t>
        </is>
      </c>
      <c r="J2088" t="inlineStr">
        <is>
          <t>Transportvagar</t>
        </is>
      </c>
      <c r="K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L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M2088" t="inlineStr">
        <is>
          <t>SKA</t>
        </is>
      </c>
      <c r="N2088" t="inlineStr"/>
      <c r="O2088" t="inlineStr"/>
      <c r="P2088" t="inlineStr"/>
      <c r="Q2088" t="inlineStr"/>
      <c r="R2088" t="inlineStr">
        <is>
          <t>Vid transporter</t>
        </is>
      </c>
      <c r="S2088" t="inlineStr"/>
      <c r="T2088" t="inlineStr"/>
      <c r="U2088" t="inlineStr"/>
      <c r="V2088" t="inlineStr"/>
      <c r="W2088" t="inlineStr">
        <is>
          <t>Nej</t>
        </is>
      </c>
      <c r="X2088" t="inlineStr">
        <is>
          <t>Nej</t>
        </is>
      </c>
      <c r="Y2088" t="inlineStr">
        <is>
          <t>Nej</t>
        </is>
      </c>
      <c r="Z2088" t="inlineStr">
        <is>
          <t>Ja</t>
        </is>
      </c>
      <c r="AA2088" t="n">
        <v>9</v>
      </c>
      <c r="AB2088" t="inlineStr">
        <is>
          <t>Transporter och logistik</t>
        </is>
      </c>
      <c r="AC2088" t="inlineStr">
        <is>
          <t>Trafikplan</t>
        </is>
      </c>
      <c r="AD2088" t="inlineStr">
        <is>
          <t>Nej</t>
        </is>
      </c>
      <c r="AE2088" t="inlineStr">
        <is>
          <t>Nej</t>
        </is>
      </c>
      <c r="AF2088" t="inlineStr">
        <is>
          <t>Ej behandlad</t>
        </is>
      </c>
      <c r="AG2088" t="inlineStr">
        <is>
          <t>AUTO_GENERERAD. Verifiera citat mot kallfil.</t>
        </is>
      </c>
      <c r="AH2088" t="inlineStr">
        <is>
          <t>MEDIUM</t>
        </is>
      </c>
      <c r="AI2088" t="inlineStr">
        <is>
          <t>AUTO</t>
        </is>
      </c>
      <c r="AJ2088" t="inlineStr">
        <is>
          <t>Nej</t>
        </is>
      </c>
      <c r="AK2088" t="inlineStr"/>
      <c r="AL2088" t="inlineStr"/>
      <c r="AM2088" t="inlineStr"/>
      <c r="AN2088" t="inlineStr"/>
      <c r="AO2088" t="inlineStr">
        <is>
          <t>cmm4yunhm00ozcuqwjronl8jb</t>
        </is>
      </c>
      <c r="AP2088" t="inlineStr">
        <is>
          <t>http://localhost:8787/api/admin/requirements/documents/cmm4yunhm00ozcuqwjronl8jb/view</t>
        </is>
      </c>
      <c r="AQ2088">
        <f>HYPERLÄNK("http://localhost:8787/api/admin/requirements/documents/cmm4yunhm00ozcuqwjronl8jb/view";"Öppna PDF")</f>
        <v/>
      </c>
      <c r="AR2088">
        <f>HYPERLINK("http://localhost:8787/api/admin/requirements/documents/cmm4yunhm00ozcuqwjronl8jb/view","Open PDF")</f>
        <v/>
      </c>
      <c r="AS2088" t="inlineStr">
        <is>
          <t>cmm55w57p0004cuisfrtpqly8</t>
        </is>
      </c>
      <c r="AT2088" t="inlineStr">
        <is>
          <t>cmm4xvu980000cuh4vj0usz09</t>
        </is>
      </c>
      <c r="AU2088" t="inlineStr">
        <is>
          <t>Habo</t>
        </is>
      </c>
      <c r="AV2088" t="inlineStr">
        <is>
          <t>Kommun</t>
        </is>
      </c>
      <c r="AW2088" t="inlineStr">
        <is>
          <t>Habo kommun</t>
        </is>
      </c>
      <c r="AX2088" t="inlineStr">
        <is>
          <t>2023-03</t>
        </is>
      </c>
      <c r="AY2088" t="inlineStr">
        <is>
          <t>Beslut</t>
        </is>
      </c>
      <c r="AZ2088" t="inlineStr">
        <is>
          <t>2026-02-03</t>
        </is>
      </c>
      <c r="BA2088" t="inlineStr">
        <is>
          <t>M-2024-946 Samrådsredogöresel.pdf</t>
        </is>
      </c>
      <c r="BB2088" t="inlineStr">
        <is>
          <t>Svar på förfrågan</t>
        </is>
      </c>
      <c r="BC2088" t="inlineStr">
        <is>
          <t>AUTO</t>
        </is>
      </c>
      <c r="BD2088" t="inlineStr"/>
      <c r="BE2088" t="inlineStr"/>
      <c r="BF2088" t="inlineStr">
        <is>
          <t>AUTO_GENERERAD. Bekrafta metadata mot kallfil.</t>
        </is>
      </c>
      <c r="BG2088">
        <f>HYPERLINK("C:\Users\jimmy\Desktop\Examens arbete\Kod\Ny mapp\remix_-copy-of-miljöbeslut.se-portal\M-2024-946 Samrådsredogöresel.pdf", "Öppna PDF")</f>
        <v/>
      </c>
    </row>
    <row r="2089">
      <c r="A2089" t="inlineStr">
        <is>
          <t>KRAV-AUTO-002088</t>
        </is>
      </c>
      <c r="B2089" t="inlineStr">
        <is>
          <t>ADMIN-INDEX-2026-02-27-00000000125C043F57453246863FE664CAFE6A3F0700950291EA24F0614FB6ACEDB12BF0E31D00000000010C0000950291EA24F0614FB6ACEDB12BF0E31D00002087B1940000</t>
        </is>
      </c>
      <c r="C2089" t="inlineStr">
        <is>
          <t>cmm4yungv00o8cuqw12bz63zv</t>
        </is>
      </c>
      <c r="D2089" t="inlineStr">
        <is>
          <t>http://localhost:8787/api/admin/requirements/documents/cmm4yungv00o8cuqw12bz63zv/view</t>
        </is>
      </c>
      <c r="E2089">
        <f>HYPERLÄNK("http://localhost:8787/api/admin/requirements/documents/cmm4yungv00o8cuqw12bz63zv/view";"Öppna PDF")</f>
        <v/>
      </c>
      <c r="F2089">
        <f>HYPERLINK("http://localhost:8787/api/admin/requirements/documents/cmm4yungv00o8cuqw12bz63zv/view","Open PDF")</f>
        <v/>
      </c>
      <c r="G2089" t="inlineStr">
        <is>
          <t>cmm55w57p0004cuisfrtpqly8</t>
        </is>
      </c>
      <c r="H2089" t="inlineStr">
        <is>
          <t>Beslutsvillkor</t>
        </is>
      </c>
      <c r="I2089" t="inlineStr">
        <is>
          <t>DagvattenLakvatten</t>
        </is>
      </c>
      <c r="J2089" t="inlineStr">
        <is>
          <t>Uppsamling</t>
        </is>
      </c>
      <c r="K2089" t="inlineStr">
        <is>
          <t>Lagringen ska ske så att risken för uppkomst av lakvatten från rötslammet minimeras.</t>
        </is>
      </c>
      <c r="L2089" t="inlineStr">
        <is>
          <t>Lagringen ska ske så att risken för uppkomst av lakvatten från rötslammet minimeras.</t>
        </is>
      </c>
      <c r="M2089" t="inlineStr">
        <is>
          <t>SKA</t>
        </is>
      </c>
      <c r="N2089" t="inlineStr"/>
      <c r="O2089" t="inlineStr"/>
      <c r="P2089" t="inlineStr"/>
      <c r="Q2089" t="inlineStr"/>
      <c r="R2089" t="inlineStr">
        <is>
          <t>Vid nederbord och avrinning</t>
        </is>
      </c>
      <c r="S2089" t="inlineStr"/>
      <c r="T2089" t="inlineStr">
        <is>
          <t>908695</t>
        </is>
      </c>
      <c r="U2089" t="inlineStr"/>
      <c r="V2089" t="inlineStr"/>
      <c r="W2089" t="inlineStr">
        <is>
          <t>Nej</t>
        </is>
      </c>
      <c r="X2089" t="inlineStr">
        <is>
          <t>Ja</t>
        </is>
      </c>
      <c r="Y2089" t="inlineStr">
        <is>
          <t>Ja</t>
        </is>
      </c>
      <c r="Z2089" t="inlineStr">
        <is>
          <t>Nej</t>
        </is>
      </c>
      <c r="AA2089" t="n">
        <v>6</v>
      </c>
      <c r="AB2089" t="inlineStr">
        <is>
          <t>Lakvattenhantering</t>
        </is>
      </c>
      <c r="AC2089" t="inlineStr">
        <is>
          <t>Flodesschema dagvatten-lakvatten</t>
        </is>
      </c>
      <c r="AD2089" t="inlineStr">
        <is>
          <t>Nej</t>
        </is>
      </c>
      <c r="AE2089" t="inlineStr">
        <is>
          <t>Nej</t>
        </is>
      </c>
      <c r="AF2089" t="inlineStr">
        <is>
          <t>Ej behandlad</t>
        </is>
      </c>
      <c r="AG2089" t="inlineStr">
        <is>
          <t>AUTO_GENERERAD. Verifiera citat mot kallfil.</t>
        </is>
      </c>
      <c r="AH2089" t="inlineStr">
        <is>
          <t>MEDIUM</t>
        </is>
      </c>
      <c r="AI2089" t="inlineStr">
        <is>
          <t>AUTO</t>
        </is>
      </c>
      <c r="AJ2089" t="inlineStr">
        <is>
          <t>Nej</t>
        </is>
      </c>
      <c r="AK2089" t="inlineStr"/>
      <c r="AL2089" t="inlineStr"/>
      <c r="AM2089" t="inlineStr"/>
      <c r="AN2089" t="inlineStr"/>
      <c r="AO2089" t="inlineStr">
        <is>
          <t>cmm4yungv00o8cuqw12bz63zv</t>
        </is>
      </c>
      <c r="AP2089" t="inlineStr">
        <is>
          <t>http://localhost:8787/api/admin/requirements/documents/cmm4yungv00o8cuqw12bz63zv/view</t>
        </is>
      </c>
      <c r="AQ2089">
        <f>HYPERLÄNK("http://localhost:8787/api/admin/requirements/documents/cmm4yungv00o8cuqw12bz63zv/view";"Öppna PDF")</f>
        <v/>
      </c>
      <c r="AR2089">
        <f>HYPERLINK("http://localhost:8787/api/admin/requirements/documents/cmm4yungv00o8cuqw12bz63zv/view","Open PDF")</f>
        <v/>
      </c>
      <c r="AS2089" t="inlineStr">
        <is>
          <t>cmm55w57p0004cuisfrtpqly8</t>
        </is>
      </c>
      <c r="AT2089" t="inlineStr">
        <is>
          <t>cmm4xvu980000cuh4vj0usz09</t>
        </is>
      </c>
      <c r="AU2089" t="inlineStr"/>
      <c r="AV2089" t="inlineStr">
        <is>
          <t>Kommun</t>
        </is>
      </c>
      <c r="AW2089" t="inlineStr"/>
      <c r="AX2089" t="inlineStr">
        <is>
          <t>2026-02</t>
        </is>
      </c>
      <c r="AY2089" t="inlineStr">
        <is>
          <t>Beslut</t>
        </is>
      </c>
      <c r="AZ2089" t="inlineStr">
        <is>
          <t>2026-02-03</t>
        </is>
      </c>
      <c r="BA2089" t="inlineStr">
        <is>
          <t>MIL20241784pdf_976480.pdf</t>
        </is>
      </c>
      <c r="BB2089" t="inlineStr">
        <is>
          <t>Begäran om allmän handling i ärende  MIL.2026.363</t>
        </is>
      </c>
      <c r="BC2089" t="inlineStr">
        <is>
          <t>AUTO</t>
        </is>
      </c>
      <c r="BD2089" t="inlineStr"/>
      <c r="BE2089" t="inlineStr"/>
      <c r="BF2089" t="inlineStr">
        <is>
          <t>AUTO_GENERERAD. Bekrafta metadata mot kallfil.</t>
        </is>
      </c>
      <c r="BG2089">
        <f>HYPERLINK("C:\Users\jimmy\Desktop\Examens arbete\Kod\Ny mapp\remix_-copy-of-miljöbeslut.se-portal\MIL20241784pdf_976480.pdf", "Öppna PDF")</f>
        <v/>
      </c>
    </row>
    <row r="2090">
      <c r="A2090" t="inlineStr">
        <is>
          <t>KRAV-AUTO-002089</t>
        </is>
      </c>
      <c r="B2090" t="inlineStr">
        <is>
          <t>ADMIN-INDEX-2026-02-27-00000000125C043F57453246863FE664CAFE6A3F0700950291EA24F0614FB6ACEDB12BF0E31D00000000010C0000950291EA24F0614FB6ACEDB12BF0E31D00002087B1940000</t>
        </is>
      </c>
      <c r="C2090" t="inlineStr">
        <is>
          <t>cmm4yungv00o8cuqw12bz63zv</t>
        </is>
      </c>
      <c r="D2090" t="inlineStr">
        <is>
          <t>http://localhost:8787/api/admin/requirements/documents/cmm4yungv00o8cuqw12bz63zv/view</t>
        </is>
      </c>
      <c r="E2090">
        <f>HYPERLÄNK("http://localhost:8787/api/admin/requirements/documents/cmm4yungv00o8cuqw12bz63zv/view";"Öppna PDF")</f>
        <v/>
      </c>
      <c r="F2090">
        <f>HYPERLINK("http://localhost:8787/api/admin/requirements/documents/cmm4yungv00o8cuqw12bz63zv/view","Open PDF")</f>
        <v/>
      </c>
      <c r="G2090" t="inlineStr">
        <is>
          <t>cmm55w57p0004cuisfrtpqly8</t>
        </is>
      </c>
      <c r="H2090" t="inlineStr">
        <is>
          <t>Beslutsvillkor</t>
        </is>
      </c>
      <c r="I2090" t="inlineStr">
        <is>
          <t>Riskhantering</t>
        </is>
      </c>
      <c r="J2090" t="inlineStr">
        <is>
          <t>Riskkontroll</t>
        </is>
      </c>
      <c r="K2090" t="inlineStr">
        <is>
          <t>Täckning ska med hänsyn till risk för luktolägenhet göras i snar anslutning till uppläggning.</t>
        </is>
      </c>
      <c r="L2090" t="inlineStr">
        <is>
          <t>Täckning ska med hänsyn till risk för luktolägenhet göras i snar anslutning till uppläggning.</t>
        </is>
      </c>
      <c r="M2090" t="inlineStr">
        <is>
          <t>SKA</t>
        </is>
      </c>
      <c r="N2090" t="inlineStr"/>
      <c r="O2090" t="inlineStr"/>
      <c r="P2090" t="inlineStr"/>
      <c r="Q2090" t="inlineStr"/>
      <c r="R2090" t="inlineStr">
        <is>
          <t>Vid risk for incident</t>
        </is>
      </c>
      <c r="S2090" t="inlineStr"/>
      <c r="T2090" t="inlineStr">
        <is>
          <t>908695</t>
        </is>
      </c>
      <c r="U2090" t="inlineStr"/>
      <c r="V2090" t="inlineStr"/>
      <c r="W2090" t="inlineStr">
        <is>
          <t>Nej</t>
        </is>
      </c>
      <c r="X2090" t="inlineStr">
        <is>
          <t>Nej</t>
        </is>
      </c>
      <c r="Y2090" t="inlineStr">
        <is>
          <t>Ja</t>
        </is>
      </c>
      <c r="Z2090" t="inlineStr">
        <is>
          <t>Ja</t>
        </is>
      </c>
      <c r="AA2090" t="n">
        <v>8</v>
      </c>
      <c r="AB2090" t="inlineStr">
        <is>
          <t>Riskhantering</t>
        </is>
      </c>
      <c r="AC2090" t="inlineStr">
        <is>
          <t>Risk-PM</t>
        </is>
      </c>
      <c r="AD2090" t="inlineStr">
        <is>
          <t>Nej</t>
        </is>
      </c>
      <c r="AE2090" t="inlineStr">
        <is>
          <t>Nej</t>
        </is>
      </c>
      <c r="AF2090" t="inlineStr">
        <is>
          <t>Ej behandlad</t>
        </is>
      </c>
      <c r="AG2090" t="inlineStr">
        <is>
          <t>AUTO_GENERERAD. Verifiera citat mot kallfil.</t>
        </is>
      </c>
      <c r="AH2090" t="inlineStr">
        <is>
          <t>MEDIUM</t>
        </is>
      </c>
      <c r="AI2090" t="inlineStr">
        <is>
          <t>AUTO</t>
        </is>
      </c>
      <c r="AJ2090" t="inlineStr">
        <is>
          <t>Nej</t>
        </is>
      </c>
      <c r="AK2090" t="inlineStr"/>
      <c r="AL2090" t="inlineStr"/>
      <c r="AM2090" t="inlineStr"/>
      <c r="AN2090" t="inlineStr"/>
      <c r="AO2090" t="inlineStr">
        <is>
          <t>cmm4yungv00o8cuqw12bz63zv</t>
        </is>
      </c>
      <c r="AP2090" t="inlineStr">
        <is>
          <t>http://localhost:8787/api/admin/requirements/documents/cmm4yungv00o8cuqw12bz63zv/view</t>
        </is>
      </c>
      <c r="AQ2090">
        <f>HYPERLÄNK("http://localhost:8787/api/admin/requirements/documents/cmm4yungv00o8cuqw12bz63zv/view";"Öppna PDF")</f>
        <v/>
      </c>
      <c r="AR2090">
        <f>HYPERLINK("http://localhost:8787/api/admin/requirements/documents/cmm4yungv00o8cuqw12bz63zv/view","Open PDF")</f>
        <v/>
      </c>
      <c r="AS2090" t="inlineStr">
        <is>
          <t>cmm55w57p0004cuisfrtpqly8</t>
        </is>
      </c>
      <c r="AT2090" t="inlineStr">
        <is>
          <t>cmm4xvu980000cuh4vj0usz09</t>
        </is>
      </c>
      <c r="AU2090" t="inlineStr"/>
      <c r="AV2090" t="inlineStr">
        <is>
          <t>Kommun</t>
        </is>
      </c>
      <c r="AW2090" t="inlineStr"/>
      <c r="AX2090" t="inlineStr">
        <is>
          <t>2026-02</t>
        </is>
      </c>
      <c r="AY2090" t="inlineStr">
        <is>
          <t>Beslut</t>
        </is>
      </c>
      <c r="AZ2090" t="inlineStr">
        <is>
          <t>2026-02-03</t>
        </is>
      </c>
      <c r="BA2090" t="inlineStr">
        <is>
          <t>MIL20241784pdf_976480.pdf</t>
        </is>
      </c>
      <c r="BB2090" t="inlineStr">
        <is>
          <t>Begäran om allmän handling i ärende  MIL.2026.363</t>
        </is>
      </c>
      <c r="BC2090" t="inlineStr">
        <is>
          <t>AUTO</t>
        </is>
      </c>
      <c r="BD2090" t="inlineStr"/>
      <c r="BE2090" t="inlineStr"/>
      <c r="BF2090" t="inlineStr">
        <is>
          <t>AUTO_GENERERAD. Bekrafta metadata mot kallfil.</t>
        </is>
      </c>
      <c r="BG2090">
        <f>HYPERLINK("C:\Users\jimmy\Desktop\Examens arbete\Kod\Ny mapp\remix_-copy-of-miljöbeslut.se-portal\MIL20241784pdf_976480.pdf", "Öppna PDF")</f>
        <v/>
      </c>
    </row>
    <row r="2091">
      <c r="A2091" t="inlineStr">
        <is>
          <t>KRAV-AUTO-002090</t>
        </is>
      </c>
      <c r="B2091" t="inlineStr">
        <is>
          <t>ADMIN-INDEX-2026-02-27-00000000125C043F57453246863FE664CAFE6A3F0700950291EA24F0614FB6ACEDB12BF0E31D00000000010C0000950291EA24F0614FB6ACEDB12BF0E31D00002087B1940000</t>
        </is>
      </c>
      <c r="C2091" t="inlineStr">
        <is>
          <t>cmm4yungs00o5cuqw5uqy0nq2</t>
        </is>
      </c>
      <c r="D2091" t="inlineStr">
        <is>
          <t>http://localhost:8787/api/admin/requirements/documents/cmm4yungs00o5cuqw5uqy0nq2/view</t>
        </is>
      </c>
      <c r="E2091">
        <f>HYPERLÄNK("http://localhost:8787/api/admin/requirements/documents/cmm4yungs00o5cuqw5uqy0nq2/view";"Öppna PDF")</f>
        <v/>
      </c>
      <c r="F2091">
        <f>HYPERLINK("http://localhost:8787/api/admin/requirements/documents/cmm4yungs00o5cuqw5uqy0nq2/view","Open PDF")</f>
        <v/>
      </c>
      <c r="G2091" t="inlineStr">
        <is>
          <t>cmm55w57p0004cuisfrtpqly8</t>
        </is>
      </c>
      <c r="H2091" t="inlineStr">
        <is>
          <t>Beslutsvillkor</t>
        </is>
      </c>
      <c r="I2091" t="inlineStr">
        <is>
          <t>DagvattenLakvatten</t>
        </is>
      </c>
      <c r="J2091" t="inlineStr">
        <is>
          <t>Uppsamling</t>
        </is>
      </c>
      <c r="K2091" t="inlineStr">
        <is>
          <t>Lagringen ska ske så att risken för uppkomst av lakvatten från rötslammet minimeras.</t>
        </is>
      </c>
      <c r="L2091" t="inlineStr">
        <is>
          <t>Lagringen ska ske så att risken för uppkomst av lakvatten från rötslammet minimeras.</t>
        </is>
      </c>
      <c r="M2091" t="inlineStr">
        <is>
          <t>SKA</t>
        </is>
      </c>
      <c r="N2091" t="inlineStr"/>
      <c r="O2091" t="inlineStr"/>
      <c r="P2091" t="inlineStr"/>
      <c r="Q2091" t="inlineStr"/>
      <c r="R2091" t="inlineStr">
        <is>
          <t>Vid nederbord och avrinning</t>
        </is>
      </c>
      <c r="S2091" t="inlineStr"/>
      <c r="T2091" t="inlineStr">
        <is>
          <t>905147</t>
        </is>
      </c>
      <c r="U2091" t="inlineStr"/>
      <c r="V2091" t="inlineStr"/>
      <c r="W2091" t="inlineStr">
        <is>
          <t>Nej</t>
        </is>
      </c>
      <c r="X2091" t="inlineStr">
        <is>
          <t>Ja</t>
        </is>
      </c>
      <c r="Y2091" t="inlineStr">
        <is>
          <t>Ja</t>
        </is>
      </c>
      <c r="Z2091" t="inlineStr">
        <is>
          <t>Nej</t>
        </is>
      </c>
      <c r="AA2091" t="n">
        <v>6</v>
      </c>
      <c r="AB2091" t="inlineStr">
        <is>
          <t>Lakvattenhantering</t>
        </is>
      </c>
      <c r="AC2091" t="inlineStr">
        <is>
          <t>Flodesschema dagvatten-lakvatten</t>
        </is>
      </c>
      <c r="AD2091" t="inlineStr">
        <is>
          <t>Nej</t>
        </is>
      </c>
      <c r="AE2091" t="inlineStr">
        <is>
          <t>Nej</t>
        </is>
      </c>
      <c r="AF2091" t="inlineStr">
        <is>
          <t>Ej behandlad</t>
        </is>
      </c>
      <c r="AG2091" t="inlineStr">
        <is>
          <t>AUTO_GENERERAD. Verifiera citat mot kallfil.</t>
        </is>
      </c>
      <c r="AH2091" t="inlineStr">
        <is>
          <t>MEDIUM</t>
        </is>
      </c>
      <c r="AI2091" t="inlineStr">
        <is>
          <t>AUTO</t>
        </is>
      </c>
      <c r="AJ2091" t="inlineStr">
        <is>
          <t>Nej</t>
        </is>
      </c>
      <c r="AK2091" t="inlineStr"/>
      <c r="AL2091" t="inlineStr"/>
      <c r="AM2091" t="inlineStr"/>
      <c r="AN2091" t="inlineStr"/>
      <c r="AO2091" t="inlineStr">
        <is>
          <t>cmm4yungv00o8cuqw12bz63zv</t>
        </is>
      </c>
      <c r="AP2091" t="inlineStr">
        <is>
          <t>http://localhost:8787/api/admin/requirements/documents/cmm4yungv00o8cuqw12bz63zv/view</t>
        </is>
      </c>
      <c r="AQ2091">
        <f>HYPERLÄNK("http://localhost:8787/api/admin/requirements/documents/cmm4yungv00o8cuqw12bz63zv/view";"Öppna PDF")</f>
        <v/>
      </c>
      <c r="AR2091">
        <f>HYPERLINK("http://localhost:8787/api/admin/requirements/documents/cmm4yungv00o8cuqw12bz63zv/view","Open PDF")</f>
        <v/>
      </c>
      <c r="AS2091" t="inlineStr">
        <is>
          <t>cmm55w57p0004cuisfrtpqly8</t>
        </is>
      </c>
      <c r="AT2091" t="inlineStr">
        <is>
          <t>cmm4xvu980000cuh4vj0usz09</t>
        </is>
      </c>
      <c r="AU2091" t="inlineStr"/>
      <c r="AV2091" t="inlineStr">
        <is>
          <t>Kommun</t>
        </is>
      </c>
      <c r="AW2091" t="inlineStr"/>
      <c r="AX2091" t="inlineStr">
        <is>
          <t>2026-02</t>
        </is>
      </c>
      <c r="AY2091" t="inlineStr">
        <is>
          <t>Beslut</t>
        </is>
      </c>
      <c r="AZ2091" t="inlineStr">
        <is>
          <t>2026-02-03</t>
        </is>
      </c>
      <c r="BA2091" t="inlineStr">
        <is>
          <t>MIL20241784pdf_976480.pdf</t>
        </is>
      </c>
      <c r="BB2091" t="inlineStr">
        <is>
          <t>Begäran om allmän handling i ärende  MIL.2026.363</t>
        </is>
      </c>
      <c r="BC2091" t="inlineStr">
        <is>
          <t>AUTO</t>
        </is>
      </c>
      <c r="BD2091" t="inlineStr"/>
      <c r="BE2091" t="inlineStr"/>
      <c r="BF2091" t="inlineStr">
        <is>
          <t>AUTO_GENERERAD. Bekrafta metadata mot kallfil.</t>
        </is>
      </c>
      <c r="BG2091">
        <f>HYPERLINK("C:\Users\jimmy\Desktop\Examens arbete\Kod\Ny mapp\remix_-copy-of-miljöbeslut.se-portal\MIL20241784pdf_976480.pdf", "Öppna PDF")</f>
        <v/>
      </c>
    </row>
    <row r="2092">
      <c r="A2092" t="inlineStr">
        <is>
          <t>KRAV-AUTO-002091</t>
        </is>
      </c>
      <c r="B2092" t="inlineStr">
        <is>
          <t>ADMIN-INDEX-2026-02-27-00000000125C043F57453246863FE664CAFE6A3F0700950291EA24F0614FB6ACEDB12BF0E31D00000000010C0000950291EA24F0614FB6ACEDB12BF0E31D00002087B1940000</t>
        </is>
      </c>
      <c r="C2092" t="inlineStr">
        <is>
          <t>cmm4yungs00o5cuqw5uqy0nq2</t>
        </is>
      </c>
      <c r="D2092" t="inlineStr">
        <is>
          <t>http://localhost:8787/api/admin/requirements/documents/cmm4yungs00o5cuqw5uqy0nq2/view</t>
        </is>
      </c>
      <c r="E2092">
        <f>HYPERLÄNK("http://localhost:8787/api/admin/requirements/documents/cmm4yungs00o5cuqw5uqy0nq2/view";"Öppna PDF")</f>
        <v/>
      </c>
      <c r="F2092">
        <f>HYPERLINK("http://localhost:8787/api/admin/requirements/documents/cmm4yungs00o5cuqw5uqy0nq2/view","Open PDF")</f>
        <v/>
      </c>
      <c r="G2092" t="inlineStr">
        <is>
          <t>cmm55w57p0004cuisfrtpqly8</t>
        </is>
      </c>
      <c r="H2092" t="inlineStr">
        <is>
          <t>Beslutsvillkor</t>
        </is>
      </c>
      <c r="I2092" t="inlineStr">
        <is>
          <t>LagringsvolymTid</t>
        </is>
      </c>
      <c r="J2092" t="inlineStr">
        <is>
          <t>Maxmangd</t>
        </is>
      </c>
      <c r="K2092" t="inlineStr">
        <is>
          <t>Uppskattad volym är cirka 590 ton.</t>
        </is>
      </c>
      <c r="L2092" t="inlineStr">
        <is>
          <t>Uppskattad volym är cirka 590 ton.</t>
        </is>
      </c>
      <c r="M2092" t="inlineStr">
        <is>
          <t>SKA</t>
        </is>
      </c>
      <c r="N2092" t="inlineStr"/>
      <c r="O2092" t="inlineStr"/>
      <c r="P2092" t="inlineStr"/>
      <c r="Q2092" t="inlineStr"/>
      <c r="R2092" t="inlineStr">
        <is>
          <t>Alltid</t>
        </is>
      </c>
      <c r="S2092" t="inlineStr"/>
      <c r="T2092" t="inlineStr">
        <is>
          <t>905147</t>
        </is>
      </c>
      <c r="U2092" t="n">
        <v>590</v>
      </c>
      <c r="V2092" t="inlineStr"/>
      <c r="W2092" t="inlineStr">
        <is>
          <t>Nej</t>
        </is>
      </c>
      <c r="X2092" t="inlineStr">
        <is>
          <t>Nej</t>
        </is>
      </c>
      <c r="Y2092" t="inlineStr">
        <is>
          <t>Nej</t>
        </is>
      </c>
      <c r="Z2092" t="inlineStr">
        <is>
          <t>Nej</t>
        </is>
      </c>
      <c r="AA2092" t="n">
        <v>4</v>
      </c>
      <c r="AB2092" t="inlineStr">
        <is>
          <t>Avfallsmangder och lagringstid</t>
        </is>
      </c>
      <c r="AC2092" t="inlineStr">
        <is>
          <t>Avfallsforteckning</t>
        </is>
      </c>
      <c r="AD2092" t="inlineStr">
        <is>
          <t>Nej</t>
        </is>
      </c>
      <c r="AE2092" t="inlineStr">
        <is>
          <t>Nej</t>
        </is>
      </c>
      <c r="AF2092" t="inlineStr">
        <is>
          <t>Ej behandlad</t>
        </is>
      </c>
      <c r="AG2092" t="inlineStr">
        <is>
          <t>AUTO_GENERERAD. Verifiera citat mot kallfil.</t>
        </is>
      </c>
      <c r="AH2092" t="inlineStr">
        <is>
          <t>LOW</t>
        </is>
      </c>
      <c r="AI2092" t="inlineStr">
        <is>
          <t>AUTO</t>
        </is>
      </c>
      <c r="AJ2092" t="inlineStr">
        <is>
          <t>Nej</t>
        </is>
      </c>
      <c r="AK2092" t="inlineStr"/>
      <c r="AL2092" t="inlineStr"/>
      <c r="AM2092" t="inlineStr"/>
      <c r="AN2092" t="inlineStr"/>
      <c r="AO2092" t="inlineStr">
        <is>
          <t>cmm4yungv00o8cuqw12bz63zv</t>
        </is>
      </c>
      <c r="AP2092" t="inlineStr">
        <is>
          <t>http://localhost:8787/api/admin/requirements/documents/cmm4yungv00o8cuqw12bz63zv/view</t>
        </is>
      </c>
      <c r="AQ2092">
        <f>HYPERLÄNK("http://localhost:8787/api/admin/requirements/documents/cmm4yungv00o8cuqw12bz63zv/view";"Öppna PDF")</f>
        <v/>
      </c>
      <c r="AR2092">
        <f>HYPERLINK("http://localhost:8787/api/admin/requirements/documents/cmm4yungv00o8cuqw12bz63zv/view","Open PDF")</f>
        <v/>
      </c>
      <c r="AS2092" t="inlineStr">
        <is>
          <t>cmm55w57p0004cuisfrtpqly8</t>
        </is>
      </c>
      <c r="AT2092" t="inlineStr">
        <is>
          <t>cmm4xvu980000cuh4vj0usz09</t>
        </is>
      </c>
      <c r="AU2092" t="inlineStr"/>
      <c r="AV2092" t="inlineStr">
        <is>
          <t>Kommun</t>
        </is>
      </c>
      <c r="AW2092" t="inlineStr"/>
      <c r="AX2092" t="inlineStr">
        <is>
          <t>2026-02</t>
        </is>
      </c>
      <c r="AY2092" t="inlineStr">
        <is>
          <t>Beslut</t>
        </is>
      </c>
      <c r="AZ2092" t="inlineStr">
        <is>
          <t>2026-02-03</t>
        </is>
      </c>
      <c r="BA2092" t="inlineStr">
        <is>
          <t>MIL20241784pdf_976480.pdf</t>
        </is>
      </c>
      <c r="BB2092" t="inlineStr">
        <is>
          <t>Begäran om allmän handling i ärende  MIL.2026.363</t>
        </is>
      </c>
      <c r="BC2092" t="inlineStr">
        <is>
          <t>AUTO</t>
        </is>
      </c>
      <c r="BD2092" t="inlineStr"/>
      <c r="BE2092" t="inlineStr"/>
      <c r="BF2092" t="inlineStr">
        <is>
          <t>AUTO_GENERERAD. Bekrafta metadata mot kallfil.</t>
        </is>
      </c>
      <c r="BG2092">
        <f>HYPERLINK("C:\Users\jimmy\Desktop\Examens arbete\Kod\Ny mapp\remix_-copy-of-miljöbeslut.se-portal\MIL20241784pdf_976480.pdf", "Öppna PDF")</f>
        <v/>
      </c>
    </row>
    <row r="2093">
      <c r="A2093" t="inlineStr">
        <is>
          <t>KRAV-AUTO-002092</t>
        </is>
      </c>
      <c r="B2093" t="inlineStr">
        <is>
          <t>ADMIN-INDEX-2026-02-27-00000000125C043F57453246863FE664CAFE6A3F0700950291EA24F0614FB6ACEDB12BF0E31D00000000010C0000950291EA24F0614FB6ACEDB12BF0E31D00002087B1940000</t>
        </is>
      </c>
      <c r="C2093" t="inlineStr">
        <is>
          <t>cmm4yungs00o5cuqw5uqy0nq2</t>
        </is>
      </c>
      <c r="D2093" t="inlineStr">
        <is>
          <t>http://localhost:8787/api/admin/requirements/documents/cmm4yungs00o5cuqw5uqy0nq2/view</t>
        </is>
      </c>
      <c r="E2093">
        <f>HYPERLÄNK("http://localhost:8787/api/admin/requirements/documents/cmm4yungs00o5cuqw5uqy0nq2/view";"Öppna PDF")</f>
        <v/>
      </c>
      <c r="F2093">
        <f>HYPERLINK("http://localhost:8787/api/admin/requirements/documents/cmm4yungs00o5cuqw5uqy0nq2/view","Open PDF")</f>
        <v/>
      </c>
      <c r="G2093" t="inlineStr">
        <is>
          <t>cmm55w57p0004cuisfrtpqly8</t>
        </is>
      </c>
      <c r="H2093" t="inlineStr">
        <is>
          <t>Beslutsvillkor</t>
        </is>
      </c>
      <c r="I2093" t="inlineStr">
        <is>
          <t>Riskhantering</t>
        </is>
      </c>
      <c r="J2093" t="inlineStr">
        <is>
          <t>Riskkontroll</t>
        </is>
      </c>
      <c r="K2093" t="inlineStr">
        <is>
          <t>Täckning ska med hänsyn till risk för luktolägenhet göras i snar anslutning till uppläggning.</t>
        </is>
      </c>
      <c r="L2093" t="inlineStr">
        <is>
          <t>Täckning ska med hänsyn till risk för luktolägenhet göras i snar anslutning till uppläggning.</t>
        </is>
      </c>
      <c r="M2093" t="inlineStr">
        <is>
          <t>SKA</t>
        </is>
      </c>
      <c r="N2093" t="inlineStr"/>
      <c r="O2093" t="inlineStr"/>
      <c r="P2093" t="inlineStr"/>
      <c r="Q2093" t="inlineStr"/>
      <c r="R2093" t="inlineStr">
        <is>
          <t>Vid risk for incident</t>
        </is>
      </c>
      <c r="S2093" t="inlineStr"/>
      <c r="T2093" t="inlineStr">
        <is>
          <t>905147</t>
        </is>
      </c>
      <c r="U2093" t="inlineStr"/>
      <c r="V2093" t="inlineStr"/>
      <c r="W2093" t="inlineStr">
        <is>
          <t>Nej</t>
        </is>
      </c>
      <c r="X2093" t="inlineStr">
        <is>
          <t>Nej</t>
        </is>
      </c>
      <c r="Y2093" t="inlineStr">
        <is>
          <t>Ja</t>
        </is>
      </c>
      <c r="Z2093" t="inlineStr">
        <is>
          <t>Ja</t>
        </is>
      </c>
      <c r="AA2093" t="n">
        <v>8</v>
      </c>
      <c r="AB2093" t="inlineStr">
        <is>
          <t>Riskhantering</t>
        </is>
      </c>
      <c r="AC2093" t="inlineStr">
        <is>
          <t>Risk-PM</t>
        </is>
      </c>
      <c r="AD2093" t="inlineStr">
        <is>
          <t>Nej</t>
        </is>
      </c>
      <c r="AE2093" t="inlineStr">
        <is>
          <t>Nej</t>
        </is>
      </c>
      <c r="AF2093" t="inlineStr">
        <is>
          <t>Ej behandlad</t>
        </is>
      </c>
      <c r="AG2093" t="inlineStr">
        <is>
          <t>AUTO_GENERERAD. Verifiera citat mot kallfil.</t>
        </is>
      </c>
      <c r="AH2093" t="inlineStr">
        <is>
          <t>MEDIUM</t>
        </is>
      </c>
      <c r="AI2093" t="inlineStr">
        <is>
          <t>AUTO</t>
        </is>
      </c>
      <c r="AJ2093" t="inlineStr">
        <is>
          <t>Nej</t>
        </is>
      </c>
      <c r="AK2093" t="inlineStr"/>
      <c r="AL2093" t="inlineStr"/>
      <c r="AM2093" t="inlineStr"/>
      <c r="AN2093" t="inlineStr"/>
      <c r="AO2093" t="inlineStr">
        <is>
          <t>cmm4yungv00o8cuqw12bz63zv</t>
        </is>
      </c>
      <c r="AP2093" t="inlineStr">
        <is>
          <t>http://localhost:8787/api/admin/requirements/documents/cmm4yungv00o8cuqw12bz63zv/view</t>
        </is>
      </c>
      <c r="AQ2093">
        <f>HYPERLÄNK("http://localhost:8787/api/admin/requirements/documents/cmm4yungv00o8cuqw12bz63zv/view";"Öppna PDF")</f>
        <v/>
      </c>
      <c r="AR2093">
        <f>HYPERLINK("http://localhost:8787/api/admin/requirements/documents/cmm4yungv00o8cuqw12bz63zv/view","Open PDF")</f>
        <v/>
      </c>
      <c r="AS2093" t="inlineStr">
        <is>
          <t>cmm55w57p0004cuisfrtpqly8</t>
        </is>
      </c>
      <c r="AT2093" t="inlineStr">
        <is>
          <t>cmm4xvu980000cuh4vj0usz09</t>
        </is>
      </c>
      <c r="AU2093" t="inlineStr"/>
      <c r="AV2093" t="inlineStr">
        <is>
          <t>Kommun</t>
        </is>
      </c>
      <c r="AW2093" t="inlineStr"/>
      <c r="AX2093" t="inlineStr">
        <is>
          <t>2026-02</t>
        </is>
      </c>
      <c r="AY2093" t="inlineStr">
        <is>
          <t>Beslut</t>
        </is>
      </c>
      <c r="AZ2093" t="inlineStr">
        <is>
          <t>2026-02-03</t>
        </is>
      </c>
      <c r="BA2093" t="inlineStr">
        <is>
          <t>MIL20241784pdf_976480.pdf</t>
        </is>
      </c>
      <c r="BB2093" t="inlineStr">
        <is>
          <t>Begäran om allmän handling i ärende  MIL.2026.363</t>
        </is>
      </c>
      <c r="BC2093" t="inlineStr">
        <is>
          <t>AUTO</t>
        </is>
      </c>
      <c r="BD2093" t="inlineStr"/>
      <c r="BE2093" t="inlineStr"/>
      <c r="BF2093" t="inlineStr">
        <is>
          <t>AUTO_GENERERAD. Bekrafta metadata mot kallfil.</t>
        </is>
      </c>
      <c r="BG2093">
        <f>HYPERLINK("C:\Users\jimmy\Desktop\Examens arbete\Kod\Ny mapp\remix_-copy-of-miljöbeslut.se-portal\MIL20241784pdf_976480.pdf", "Öppna PDF")</f>
        <v/>
      </c>
    </row>
    <row r="2094">
      <c r="A2094" t="inlineStr">
        <is>
          <t>KRAV-AUTO-002093</t>
        </is>
      </c>
      <c r="B2094" t="inlineStr">
        <is>
          <t>ADMIN-INDEX-2026-02-27-00000000125C043F57453246863FE664CAFE6A3F0700950291EA24F0614FB6ACEDB12BF0E31D00000000010C0000950291EA24F0614FB6ACEDB12BF0E31D00002087B1940000</t>
        </is>
      </c>
      <c r="C2094" t="inlineStr">
        <is>
          <t>cmm4yungp00o2cuqw0eipmng3</t>
        </is>
      </c>
      <c r="D2094" t="inlineStr">
        <is>
          <t>http://localhost:8787/api/admin/requirements/documents/cmm4yungp00o2cuqw0eipmng3/view</t>
        </is>
      </c>
      <c r="E2094">
        <f>HYPERLÄNK("http://localhost:8787/api/admin/requirements/documents/cmm4yungp00o2cuqw0eipmng3/view";"Öppna PDF")</f>
        <v/>
      </c>
      <c r="F2094">
        <f>HYPERLINK("http://localhost:8787/api/admin/requirements/documents/cmm4yungp00o2cuqw0eipmng3/view","Open PDF")</f>
        <v/>
      </c>
      <c r="G2094" t="inlineStr">
        <is>
          <t>cmm55w57p0004cuisfrtpqly8</t>
        </is>
      </c>
      <c r="H2094" t="inlineStr">
        <is>
          <t>Beslutsvillkor</t>
        </is>
      </c>
      <c r="I2094" t="inlineStr">
        <is>
          <t>DagvattenLakvatten</t>
        </is>
      </c>
      <c r="J2094" t="inlineStr">
        <is>
          <t>Uppsamling</t>
        </is>
      </c>
      <c r="K2094" t="inlineStr">
        <is>
          <t>Lagringen ska ske så att risken för uppkomst av lakvatten från rötslammet minimeras.</t>
        </is>
      </c>
      <c r="L2094" t="inlineStr">
        <is>
          <t>Lagringen ska ske så att risken för uppkomst av lakvatten från rötslammet minimeras.</t>
        </is>
      </c>
      <c r="M2094" t="inlineStr">
        <is>
          <t>SKA</t>
        </is>
      </c>
      <c r="N2094" t="inlineStr"/>
      <c r="O2094" t="inlineStr"/>
      <c r="P2094" t="inlineStr"/>
      <c r="Q2094" t="inlineStr"/>
      <c r="R2094" t="inlineStr">
        <is>
          <t>Vid nederbord och avrinning</t>
        </is>
      </c>
      <c r="S2094" t="inlineStr"/>
      <c r="T2094" t="inlineStr">
        <is>
          <t>905140</t>
        </is>
      </c>
      <c r="U2094" t="inlineStr"/>
      <c r="V2094" t="inlineStr"/>
      <c r="W2094" t="inlineStr">
        <is>
          <t>Nej</t>
        </is>
      </c>
      <c r="X2094" t="inlineStr">
        <is>
          <t>Ja</t>
        </is>
      </c>
      <c r="Y2094" t="inlineStr">
        <is>
          <t>Ja</t>
        </is>
      </c>
      <c r="Z2094" t="inlineStr">
        <is>
          <t>Nej</t>
        </is>
      </c>
      <c r="AA2094" t="n">
        <v>6</v>
      </c>
      <c r="AB2094" t="inlineStr">
        <is>
          <t>Lakvattenhantering</t>
        </is>
      </c>
      <c r="AC2094" t="inlineStr">
        <is>
          <t>Flodesschema dagvatten-lakvatten</t>
        </is>
      </c>
      <c r="AD2094" t="inlineStr">
        <is>
          <t>Nej</t>
        </is>
      </c>
      <c r="AE2094" t="inlineStr">
        <is>
          <t>Nej</t>
        </is>
      </c>
      <c r="AF2094" t="inlineStr">
        <is>
          <t>Ej behandlad</t>
        </is>
      </c>
      <c r="AG2094" t="inlineStr">
        <is>
          <t>AUTO_GENERERAD. Verifiera citat mot kallfil.</t>
        </is>
      </c>
      <c r="AH2094" t="inlineStr">
        <is>
          <t>MEDIUM</t>
        </is>
      </c>
      <c r="AI2094" t="inlineStr">
        <is>
          <t>AUTO</t>
        </is>
      </c>
      <c r="AJ2094" t="inlineStr">
        <is>
          <t>Nej</t>
        </is>
      </c>
      <c r="AK2094" t="inlineStr"/>
      <c r="AL2094" t="inlineStr"/>
      <c r="AM2094" t="inlineStr"/>
      <c r="AN2094" t="inlineStr"/>
      <c r="AO2094" t="inlineStr">
        <is>
          <t>cmm4yungv00o8cuqw12bz63zv</t>
        </is>
      </c>
      <c r="AP2094" t="inlineStr">
        <is>
          <t>http://localhost:8787/api/admin/requirements/documents/cmm4yungv00o8cuqw12bz63zv/view</t>
        </is>
      </c>
      <c r="AQ2094">
        <f>HYPERLÄNK("http://localhost:8787/api/admin/requirements/documents/cmm4yungv00o8cuqw12bz63zv/view";"Öppna PDF")</f>
        <v/>
      </c>
      <c r="AR2094">
        <f>HYPERLINK("http://localhost:8787/api/admin/requirements/documents/cmm4yungv00o8cuqw12bz63zv/view","Open PDF")</f>
        <v/>
      </c>
      <c r="AS2094" t="inlineStr">
        <is>
          <t>cmm55w57p0004cuisfrtpqly8</t>
        </is>
      </c>
      <c r="AT2094" t="inlineStr">
        <is>
          <t>cmm4xvu980000cuh4vj0usz09</t>
        </is>
      </c>
      <c r="AU2094" t="inlineStr"/>
      <c r="AV2094" t="inlineStr">
        <is>
          <t>Kommun</t>
        </is>
      </c>
      <c r="AW2094" t="inlineStr"/>
      <c r="AX2094" t="inlineStr">
        <is>
          <t>2026-02</t>
        </is>
      </c>
      <c r="AY2094" t="inlineStr">
        <is>
          <t>Beslut</t>
        </is>
      </c>
      <c r="AZ2094" t="inlineStr">
        <is>
          <t>2026-02-03</t>
        </is>
      </c>
      <c r="BA2094" t="inlineStr">
        <is>
          <t>MIL20241784pdf_976480.pdf</t>
        </is>
      </c>
      <c r="BB2094" t="inlineStr">
        <is>
          <t>Begäran om allmän handling i ärende  MIL.2026.363</t>
        </is>
      </c>
      <c r="BC2094" t="inlineStr">
        <is>
          <t>AUTO</t>
        </is>
      </c>
      <c r="BD2094" t="inlineStr"/>
      <c r="BE2094" t="inlineStr"/>
      <c r="BF2094" t="inlineStr">
        <is>
          <t>AUTO_GENERERAD. Bekrafta metadata mot kallfil.</t>
        </is>
      </c>
      <c r="BG2094">
        <f>HYPERLINK("C:\Users\jimmy\Desktop\Examens arbete\Kod\Ny mapp\remix_-copy-of-miljöbeslut.se-portal\MIL20241784pdf_976480.pdf", "Öppna PDF")</f>
        <v/>
      </c>
    </row>
    <row r="2095">
      <c r="A2095" t="inlineStr">
        <is>
          <t>KRAV-AUTO-002094</t>
        </is>
      </c>
      <c r="B2095" t="inlineStr">
        <is>
          <t>ADMIN-INDEX-2026-02-27-00000000125C043F57453246863FE664CAFE6A3F0700950291EA24F0614FB6ACEDB12BF0E31D00000000010C0000950291EA24F0614FB6ACEDB12BF0E31D00002087B1940000</t>
        </is>
      </c>
      <c r="C2095" t="inlineStr">
        <is>
          <t>cmm4yungp00o2cuqw0eipmng3</t>
        </is>
      </c>
      <c r="D2095" t="inlineStr">
        <is>
          <t>http://localhost:8787/api/admin/requirements/documents/cmm4yungp00o2cuqw0eipmng3/view</t>
        </is>
      </c>
      <c r="E2095">
        <f>HYPERLÄNK("http://localhost:8787/api/admin/requirements/documents/cmm4yungp00o2cuqw0eipmng3/view";"Öppna PDF")</f>
        <v/>
      </c>
      <c r="F2095">
        <f>HYPERLINK("http://localhost:8787/api/admin/requirements/documents/cmm4yungp00o2cuqw0eipmng3/view","Open PDF")</f>
        <v/>
      </c>
      <c r="G2095" t="inlineStr">
        <is>
          <t>cmm55w57p0004cuisfrtpqly8</t>
        </is>
      </c>
      <c r="H2095" t="inlineStr">
        <is>
          <t>Beslutsvillkor</t>
        </is>
      </c>
      <c r="I2095" t="inlineStr">
        <is>
          <t>LagringsvolymTid</t>
        </is>
      </c>
      <c r="J2095" t="inlineStr">
        <is>
          <t>Maxmangd</t>
        </is>
      </c>
      <c r="K2095" t="inlineStr">
        <is>
          <t>Uppskattad volym är cirka 550 ton.</t>
        </is>
      </c>
      <c r="L2095" t="inlineStr">
        <is>
          <t>Uppskattad volym är cirka 550 ton.</t>
        </is>
      </c>
      <c r="M2095" t="inlineStr">
        <is>
          <t>SKA</t>
        </is>
      </c>
      <c r="N2095" t="inlineStr"/>
      <c r="O2095" t="inlineStr"/>
      <c r="P2095" t="inlineStr"/>
      <c r="Q2095" t="inlineStr"/>
      <c r="R2095" t="inlineStr">
        <is>
          <t>Alltid</t>
        </is>
      </c>
      <c r="S2095" t="inlineStr"/>
      <c r="T2095" t="inlineStr">
        <is>
          <t>905140</t>
        </is>
      </c>
      <c r="U2095" t="n">
        <v>550</v>
      </c>
      <c r="V2095" t="inlineStr"/>
      <c r="W2095" t="inlineStr">
        <is>
          <t>Nej</t>
        </is>
      </c>
      <c r="X2095" t="inlineStr">
        <is>
          <t>Nej</t>
        </is>
      </c>
      <c r="Y2095" t="inlineStr">
        <is>
          <t>Nej</t>
        </is>
      </c>
      <c r="Z2095" t="inlineStr">
        <is>
          <t>Nej</t>
        </is>
      </c>
      <c r="AA2095" t="n">
        <v>4</v>
      </c>
      <c r="AB2095" t="inlineStr">
        <is>
          <t>Avfallsmangder och lagringstid</t>
        </is>
      </c>
      <c r="AC2095" t="inlineStr">
        <is>
          <t>Avfallsforteckning</t>
        </is>
      </c>
      <c r="AD2095" t="inlineStr">
        <is>
          <t>Nej</t>
        </is>
      </c>
      <c r="AE2095" t="inlineStr">
        <is>
          <t>Nej</t>
        </is>
      </c>
      <c r="AF2095" t="inlineStr">
        <is>
          <t>Ej behandlad</t>
        </is>
      </c>
      <c r="AG2095" t="inlineStr">
        <is>
          <t>AUTO_GENERERAD. Verifiera citat mot kallfil.</t>
        </is>
      </c>
      <c r="AH2095" t="inlineStr">
        <is>
          <t>LOW</t>
        </is>
      </c>
      <c r="AI2095" t="inlineStr">
        <is>
          <t>AUTO</t>
        </is>
      </c>
      <c r="AJ2095" t="inlineStr">
        <is>
          <t>Nej</t>
        </is>
      </c>
      <c r="AK2095" t="inlineStr"/>
      <c r="AL2095" t="inlineStr"/>
      <c r="AM2095" t="inlineStr"/>
      <c r="AN2095" t="inlineStr"/>
      <c r="AO2095" t="inlineStr">
        <is>
          <t>cmm4yungv00o8cuqw12bz63zv</t>
        </is>
      </c>
      <c r="AP2095" t="inlineStr">
        <is>
          <t>http://localhost:8787/api/admin/requirements/documents/cmm4yungv00o8cuqw12bz63zv/view</t>
        </is>
      </c>
      <c r="AQ2095">
        <f>HYPERLÄNK("http://localhost:8787/api/admin/requirements/documents/cmm4yungv00o8cuqw12bz63zv/view";"Öppna PDF")</f>
        <v/>
      </c>
      <c r="AR2095">
        <f>HYPERLINK("http://localhost:8787/api/admin/requirements/documents/cmm4yungv00o8cuqw12bz63zv/view","Open PDF")</f>
        <v/>
      </c>
      <c r="AS2095" t="inlineStr">
        <is>
          <t>cmm55w57p0004cuisfrtpqly8</t>
        </is>
      </c>
      <c r="AT2095" t="inlineStr">
        <is>
          <t>cmm4xvu980000cuh4vj0usz09</t>
        </is>
      </c>
      <c r="AU2095" t="inlineStr"/>
      <c r="AV2095" t="inlineStr">
        <is>
          <t>Kommun</t>
        </is>
      </c>
      <c r="AW2095" t="inlineStr"/>
      <c r="AX2095" t="inlineStr">
        <is>
          <t>2026-02</t>
        </is>
      </c>
      <c r="AY2095" t="inlineStr">
        <is>
          <t>Beslut</t>
        </is>
      </c>
      <c r="AZ2095" t="inlineStr">
        <is>
          <t>2026-02-03</t>
        </is>
      </c>
      <c r="BA2095" t="inlineStr">
        <is>
          <t>MIL20241784pdf_976480.pdf</t>
        </is>
      </c>
      <c r="BB2095" t="inlineStr">
        <is>
          <t>Begäran om allmän handling i ärende  MIL.2026.363</t>
        </is>
      </c>
      <c r="BC2095" t="inlineStr">
        <is>
          <t>AUTO</t>
        </is>
      </c>
      <c r="BD2095" t="inlineStr"/>
      <c r="BE2095" t="inlineStr"/>
      <c r="BF2095" t="inlineStr">
        <is>
          <t>AUTO_GENERERAD. Bekrafta metadata mot kallfil.</t>
        </is>
      </c>
      <c r="BG2095">
        <f>HYPERLINK("C:\Users\jimmy\Desktop\Examens arbete\Kod\Ny mapp\remix_-copy-of-miljöbeslut.se-portal\MIL20241784pdf_976480.pdf", "Öppna PDF")</f>
        <v/>
      </c>
    </row>
    <row r="2096">
      <c r="A2096" t="inlineStr">
        <is>
          <t>KRAV-AUTO-002095</t>
        </is>
      </c>
      <c r="B2096" t="inlineStr">
        <is>
          <t>ADMIN-INDEX-2026-02-27-00000000125C043F57453246863FE664CAFE6A3F0700950291EA24F0614FB6ACEDB12BF0E31D00000000010C0000950291EA24F0614FB6ACEDB12BF0E31D00002087B1940000</t>
        </is>
      </c>
      <c r="C2096" t="inlineStr">
        <is>
          <t>cmm4yungp00o2cuqw0eipmng3</t>
        </is>
      </c>
      <c r="D2096" t="inlineStr">
        <is>
          <t>http://localhost:8787/api/admin/requirements/documents/cmm4yungp00o2cuqw0eipmng3/view</t>
        </is>
      </c>
      <c r="E2096">
        <f>HYPERLÄNK("http://localhost:8787/api/admin/requirements/documents/cmm4yungp00o2cuqw0eipmng3/view";"Öppna PDF")</f>
        <v/>
      </c>
      <c r="F2096">
        <f>HYPERLINK("http://localhost:8787/api/admin/requirements/documents/cmm4yungp00o2cuqw0eipmng3/view","Open PDF")</f>
        <v/>
      </c>
      <c r="G2096" t="inlineStr">
        <is>
          <t>cmm55w57p0004cuisfrtpqly8</t>
        </is>
      </c>
      <c r="H2096" t="inlineStr">
        <is>
          <t>Beslutsvillkor</t>
        </is>
      </c>
      <c r="I2096" t="inlineStr">
        <is>
          <t>Riskhantering</t>
        </is>
      </c>
      <c r="J2096" t="inlineStr">
        <is>
          <t>Riskkontroll</t>
        </is>
      </c>
      <c r="K2096" t="inlineStr">
        <is>
          <t>Täckning ska med hänsyn till risk för luktolägenhet göras i snar anslutning till uppläggning.</t>
        </is>
      </c>
      <c r="L2096" t="inlineStr">
        <is>
          <t>Täckning ska med hänsyn till risk för luktolägenhet göras i snar anslutning till uppläggning.</t>
        </is>
      </c>
      <c r="M2096" t="inlineStr">
        <is>
          <t>SKA</t>
        </is>
      </c>
      <c r="N2096" t="inlineStr"/>
      <c r="O2096" t="inlineStr"/>
      <c r="P2096" t="inlineStr"/>
      <c r="Q2096" t="inlineStr"/>
      <c r="R2096" t="inlineStr">
        <is>
          <t>Vid risk for incident</t>
        </is>
      </c>
      <c r="S2096" t="inlineStr"/>
      <c r="T2096" t="inlineStr">
        <is>
          <t>905140</t>
        </is>
      </c>
      <c r="U2096" t="inlineStr"/>
      <c r="V2096" t="inlineStr"/>
      <c r="W2096" t="inlineStr">
        <is>
          <t>Nej</t>
        </is>
      </c>
      <c r="X2096" t="inlineStr">
        <is>
          <t>Nej</t>
        </is>
      </c>
      <c r="Y2096" t="inlineStr">
        <is>
          <t>Ja</t>
        </is>
      </c>
      <c r="Z2096" t="inlineStr">
        <is>
          <t>Ja</t>
        </is>
      </c>
      <c r="AA2096" t="n">
        <v>8</v>
      </c>
      <c r="AB2096" t="inlineStr">
        <is>
          <t>Riskhantering</t>
        </is>
      </c>
      <c r="AC2096" t="inlineStr">
        <is>
          <t>Risk-PM</t>
        </is>
      </c>
      <c r="AD2096" t="inlineStr">
        <is>
          <t>Nej</t>
        </is>
      </c>
      <c r="AE2096" t="inlineStr">
        <is>
          <t>Nej</t>
        </is>
      </c>
      <c r="AF2096" t="inlineStr">
        <is>
          <t>Ej behandlad</t>
        </is>
      </c>
      <c r="AG2096" t="inlineStr">
        <is>
          <t>AUTO_GENERERAD. Verifiera citat mot kallfil.</t>
        </is>
      </c>
      <c r="AH2096" t="inlineStr">
        <is>
          <t>MEDIUM</t>
        </is>
      </c>
      <c r="AI2096" t="inlineStr">
        <is>
          <t>AUTO</t>
        </is>
      </c>
      <c r="AJ2096" t="inlineStr">
        <is>
          <t>Nej</t>
        </is>
      </c>
      <c r="AK2096" t="inlineStr"/>
      <c r="AL2096" t="inlineStr"/>
      <c r="AM2096" t="inlineStr"/>
      <c r="AN2096" t="inlineStr"/>
      <c r="AO2096" t="inlineStr">
        <is>
          <t>cmm4yungv00o8cuqw12bz63zv</t>
        </is>
      </c>
      <c r="AP2096" t="inlineStr">
        <is>
          <t>http://localhost:8787/api/admin/requirements/documents/cmm4yungv00o8cuqw12bz63zv/view</t>
        </is>
      </c>
      <c r="AQ2096">
        <f>HYPERLÄNK("http://localhost:8787/api/admin/requirements/documents/cmm4yungv00o8cuqw12bz63zv/view";"Öppna PDF")</f>
        <v/>
      </c>
      <c r="AR2096">
        <f>HYPERLINK("http://localhost:8787/api/admin/requirements/documents/cmm4yungv00o8cuqw12bz63zv/view","Open PDF")</f>
        <v/>
      </c>
      <c r="AS2096" t="inlineStr">
        <is>
          <t>cmm55w57p0004cuisfrtpqly8</t>
        </is>
      </c>
      <c r="AT2096" t="inlineStr">
        <is>
          <t>cmm4xvu980000cuh4vj0usz09</t>
        </is>
      </c>
      <c r="AU2096" t="inlineStr"/>
      <c r="AV2096" t="inlineStr">
        <is>
          <t>Kommun</t>
        </is>
      </c>
      <c r="AW2096" t="inlineStr"/>
      <c r="AX2096" t="inlineStr">
        <is>
          <t>2026-02</t>
        </is>
      </c>
      <c r="AY2096" t="inlineStr">
        <is>
          <t>Beslut</t>
        </is>
      </c>
      <c r="AZ2096" t="inlineStr">
        <is>
          <t>2026-02-03</t>
        </is>
      </c>
      <c r="BA2096" t="inlineStr">
        <is>
          <t>MIL20241784pdf_976480.pdf</t>
        </is>
      </c>
      <c r="BB2096" t="inlineStr">
        <is>
          <t>Begäran om allmän handling i ärende  MIL.2026.363</t>
        </is>
      </c>
      <c r="BC2096" t="inlineStr">
        <is>
          <t>AUTO</t>
        </is>
      </c>
      <c r="BD2096" t="inlineStr"/>
      <c r="BE2096" t="inlineStr"/>
      <c r="BF2096" t="inlineStr">
        <is>
          <t>AUTO_GENERERAD. Bekrafta metadata mot kallfil.</t>
        </is>
      </c>
      <c r="BG2096">
        <f>HYPERLINK("C:\Users\jimmy\Desktop\Examens arbete\Kod\Ny mapp\remix_-copy-of-miljöbeslut.se-portal\MIL20241784pdf_976480.pdf", "Öppna PDF")</f>
        <v/>
      </c>
    </row>
    <row r="2097">
      <c r="A2097" t="inlineStr">
        <is>
          <t>KRAV-AUTO-002096</t>
        </is>
      </c>
      <c r="B2097" t="inlineStr">
        <is>
          <t>ADMIN-INDEX-2026-02-27-00000000125C043F57453246863FE664CAFE6A3F0700950291EA24F0614FB6ACEDB12BF0E31D00000000010C0000950291EA24F0614FB6ACEDB12BF0E31D00002087B1940000</t>
        </is>
      </c>
      <c r="C2097" t="inlineStr">
        <is>
          <t>cmm4yungl00nzcuqw6vxpl3xs</t>
        </is>
      </c>
      <c r="D2097" t="inlineStr">
        <is>
          <t>http://localhost:8787/api/admin/requirements/documents/cmm4yungl00nzcuqw6vxpl3xs/view</t>
        </is>
      </c>
      <c r="E2097">
        <f>HYPERLÄNK("http://localhost:8787/api/admin/requirements/documents/cmm4yungl00nzcuqw6vxpl3xs/view";"Öppna PDF")</f>
        <v/>
      </c>
      <c r="F2097">
        <f>HYPERLINK("http://localhost:8787/api/admin/requirements/documents/cmm4yungl00nzcuqw6vxpl3xs/view","Open PDF")</f>
        <v/>
      </c>
      <c r="G2097" t="inlineStr">
        <is>
          <t>cmm55w57p0004cuisfrtpqly8</t>
        </is>
      </c>
      <c r="H2097" t="inlineStr">
        <is>
          <t>Beslutsvillkor</t>
        </is>
      </c>
      <c r="I2097" t="inlineStr">
        <is>
          <t>DagvattenLakvatten</t>
        </is>
      </c>
      <c r="J2097" t="inlineStr">
        <is>
          <t>Uppsamling</t>
        </is>
      </c>
      <c r="K2097" t="inlineStr">
        <is>
          <t>Lagringen ska ske så att risken för uppkomst av lakvatten från rötslammet minimeras.</t>
        </is>
      </c>
      <c r="L2097" t="inlineStr">
        <is>
          <t>Lagringen ska ske så att risken för uppkomst av lakvatten från rötslammet minimeras.</t>
        </is>
      </c>
      <c r="M2097" t="inlineStr">
        <is>
          <t>SKA</t>
        </is>
      </c>
      <c r="N2097" t="inlineStr"/>
      <c r="O2097" t="inlineStr"/>
      <c r="P2097" t="inlineStr"/>
      <c r="Q2097" t="inlineStr"/>
      <c r="R2097" t="inlineStr">
        <is>
          <t>Vid nederbord och avrinning</t>
        </is>
      </c>
      <c r="S2097" t="inlineStr"/>
      <c r="T2097" t="inlineStr">
        <is>
          <t>904899</t>
        </is>
      </c>
      <c r="U2097" t="inlineStr"/>
      <c r="V2097" t="inlineStr"/>
      <c r="W2097" t="inlineStr">
        <is>
          <t>Nej</t>
        </is>
      </c>
      <c r="X2097" t="inlineStr">
        <is>
          <t>Ja</t>
        </is>
      </c>
      <c r="Y2097" t="inlineStr">
        <is>
          <t>Ja</t>
        </is>
      </c>
      <c r="Z2097" t="inlineStr">
        <is>
          <t>Nej</t>
        </is>
      </c>
      <c r="AA2097" t="n">
        <v>6</v>
      </c>
      <c r="AB2097" t="inlineStr">
        <is>
          <t>Lakvattenhantering</t>
        </is>
      </c>
      <c r="AC2097" t="inlineStr">
        <is>
          <t>Flodesschema dagvatten-lakvatten</t>
        </is>
      </c>
      <c r="AD2097" t="inlineStr">
        <is>
          <t>Nej</t>
        </is>
      </c>
      <c r="AE2097" t="inlineStr">
        <is>
          <t>Nej</t>
        </is>
      </c>
      <c r="AF2097" t="inlineStr">
        <is>
          <t>Ej behandlad</t>
        </is>
      </c>
      <c r="AG2097" t="inlineStr">
        <is>
          <t>AUTO_GENERERAD. Verifiera citat mot kallfil.</t>
        </is>
      </c>
      <c r="AH2097" t="inlineStr">
        <is>
          <t>MEDIUM</t>
        </is>
      </c>
      <c r="AI2097" t="inlineStr">
        <is>
          <t>AUTO</t>
        </is>
      </c>
      <c r="AJ2097" t="inlineStr">
        <is>
          <t>Nej</t>
        </is>
      </c>
      <c r="AK2097" t="inlineStr"/>
      <c r="AL2097" t="inlineStr"/>
      <c r="AM2097" t="inlineStr"/>
      <c r="AN2097" t="inlineStr"/>
      <c r="AO2097" t="inlineStr">
        <is>
          <t>cmm4yungv00o8cuqw12bz63zv</t>
        </is>
      </c>
      <c r="AP2097" t="inlineStr">
        <is>
          <t>http://localhost:8787/api/admin/requirements/documents/cmm4yungv00o8cuqw12bz63zv/view</t>
        </is>
      </c>
      <c r="AQ2097">
        <f>HYPERLÄNK("http://localhost:8787/api/admin/requirements/documents/cmm4yungv00o8cuqw12bz63zv/view";"Öppna PDF")</f>
        <v/>
      </c>
      <c r="AR2097">
        <f>HYPERLINK("http://localhost:8787/api/admin/requirements/documents/cmm4yungv00o8cuqw12bz63zv/view","Open PDF")</f>
        <v/>
      </c>
      <c r="AS2097" t="inlineStr">
        <is>
          <t>cmm55w57p0004cuisfrtpqly8</t>
        </is>
      </c>
      <c r="AT2097" t="inlineStr">
        <is>
          <t>cmm4xvu980000cuh4vj0usz09</t>
        </is>
      </c>
      <c r="AU2097" t="inlineStr"/>
      <c r="AV2097" t="inlineStr">
        <is>
          <t>Kommun</t>
        </is>
      </c>
      <c r="AW2097" t="inlineStr"/>
      <c r="AX2097" t="inlineStr">
        <is>
          <t>2026-02</t>
        </is>
      </c>
      <c r="AY2097" t="inlineStr">
        <is>
          <t>Beslut</t>
        </is>
      </c>
      <c r="AZ2097" t="inlineStr">
        <is>
          <t>2026-02-03</t>
        </is>
      </c>
      <c r="BA2097" t="inlineStr">
        <is>
          <t>MIL20241784pdf_976480.pdf</t>
        </is>
      </c>
      <c r="BB2097" t="inlineStr">
        <is>
          <t>Begäran om allmän handling i ärende  MIL.2026.363</t>
        </is>
      </c>
      <c r="BC2097" t="inlineStr">
        <is>
          <t>AUTO</t>
        </is>
      </c>
      <c r="BD2097" t="inlineStr"/>
      <c r="BE2097" t="inlineStr"/>
      <c r="BF2097" t="inlineStr">
        <is>
          <t>AUTO_GENERERAD. Bekrafta metadata mot kallfil.</t>
        </is>
      </c>
      <c r="BG2097">
        <f>HYPERLINK("C:\Users\jimmy\Desktop\Examens arbete\Kod\Ny mapp\remix_-copy-of-miljöbeslut.se-portal\MIL20241784pdf_976480.pdf", "Öppna PDF")</f>
        <v/>
      </c>
    </row>
    <row r="2098">
      <c r="A2098" t="inlineStr">
        <is>
          <t>KRAV-AUTO-002097</t>
        </is>
      </c>
      <c r="B2098" t="inlineStr">
        <is>
          <t>ADMIN-INDEX-2026-02-27-00000000125C043F57453246863FE664CAFE6A3F0700950291EA24F0614FB6ACEDB12BF0E31D00000000010C0000950291EA24F0614FB6ACEDB12BF0E31D00002087B1940000</t>
        </is>
      </c>
      <c r="C2098" t="inlineStr">
        <is>
          <t>cmm4yungl00nzcuqw6vxpl3xs</t>
        </is>
      </c>
      <c r="D2098" t="inlineStr">
        <is>
          <t>http://localhost:8787/api/admin/requirements/documents/cmm4yungl00nzcuqw6vxpl3xs/view</t>
        </is>
      </c>
      <c r="E2098">
        <f>HYPERLÄNK("http://localhost:8787/api/admin/requirements/documents/cmm4yungl00nzcuqw6vxpl3xs/view";"Öppna PDF")</f>
        <v/>
      </c>
      <c r="F2098">
        <f>HYPERLINK("http://localhost:8787/api/admin/requirements/documents/cmm4yungl00nzcuqw6vxpl3xs/view","Open PDF")</f>
        <v/>
      </c>
      <c r="G2098" t="inlineStr">
        <is>
          <t>cmm55w57p0004cuisfrtpqly8</t>
        </is>
      </c>
      <c r="H2098" t="inlineStr">
        <is>
          <t>Beslutsvillkor</t>
        </is>
      </c>
      <c r="I2098" t="inlineStr">
        <is>
          <t>MiljopaverkanForsiktighet</t>
        </is>
      </c>
      <c r="J2098" t="inlineStr">
        <is>
          <t>Skyddsatgarder</t>
        </is>
      </c>
      <c r="K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Beslutsdatum Ärendenummer 2024-07-05 MIL.2024.1549 Postadress Telefon (Växel) Org.nummer Webbadress Enköpings kommun 0171-62 50 00 212000-0282 www.enkoping.se 745 80 Enköping E-post miljoavdelningen@enkoping.se Miljö- och byggnadsnämndens delegationsbeslut M DB 2024-942 Ärende: Anmälan om mellanlagring av slam Fastighetsbeteckning: Hjälsta-Brunnsta 3:6 och Vettesta 2:4.</t>
        </is>
      </c>
      <c r="L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t>
        </is>
      </c>
      <c r="M2098" t="inlineStr">
        <is>
          <t>SKA</t>
        </is>
      </c>
      <c r="N2098" t="inlineStr"/>
      <c r="O2098" t="inlineStr">
        <is>
          <t>2024-07-05</t>
        </is>
      </c>
      <c r="P2098" t="inlineStr"/>
      <c r="Q2098" t="inlineStr"/>
      <c r="R2098" t="inlineStr">
        <is>
          <t>Alltid</t>
        </is>
      </c>
      <c r="S2098" t="inlineStr"/>
      <c r="T2098" t="inlineStr">
        <is>
          <t>62 50 00</t>
        </is>
      </c>
      <c r="U2098" t="inlineStr"/>
      <c r="V2098" t="inlineStr"/>
      <c r="W2098" t="inlineStr">
        <is>
          <t>Nej</t>
        </is>
      </c>
      <c r="X2098" t="inlineStr">
        <is>
          <t>Nej</t>
        </is>
      </c>
      <c r="Y2098" t="inlineStr">
        <is>
          <t>Nej</t>
        </is>
      </c>
      <c r="Z2098" t="inlineStr">
        <is>
          <t>Nej</t>
        </is>
      </c>
      <c r="AA2098" t="n">
        <v>10</v>
      </c>
      <c r="AB2098" t="inlineStr">
        <is>
          <t>Miljopaverkan och forsiktighetsmatt</t>
        </is>
      </c>
      <c r="AC2098" t="inlineStr">
        <is>
          <t>Miljo-PM</t>
        </is>
      </c>
      <c r="AD2098" t="inlineStr">
        <is>
          <t>Nej</t>
        </is>
      </c>
      <c r="AE2098" t="inlineStr">
        <is>
          <t>Nej</t>
        </is>
      </c>
      <c r="AF2098" t="inlineStr">
        <is>
          <t>Ej behandlad</t>
        </is>
      </c>
      <c r="AG2098" t="inlineStr">
        <is>
          <t>AUTO_GENERERAD. Verifiera citat mot kallfil.</t>
        </is>
      </c>
      <c r="AH2098" t="inlineStr">
        <is>
          <t>MEDIUM</t>
        </is>
      </c>
      <c r="AI2098" t="inlineStr">
        <is>
          <t>AUTO</t>
        </is>
      </c>
      <c r="AJ2098" t="inlineStr">
        <is>
          <t>Nej</t>
        </is>
      </c>
      <c r="AK2098" t="inlineStr"/>
      <c r="AL2098" t="inlineStr"/>
      <c r="AM2098" t="inlineStr"/>
      <c r="AN2098" t="inlineStr"/>
      <c r="AO2098" t="inlineStr">
        <is>
          <t>cmm4yungv00o8cuqw12bz63zv</t>
        </is>
      </c>
      <c r="AP2098" t="inlineStr">
        <is>
          <t>http://localhost:8787/api/admin/requirements/documents/cmm4yungv00o8cuqw12bz63zv/view</t>
        </is>
      </c>
      <c r="AQ2098">
        <f>HYPERLÄNK("http://localhost:8787/api/admin/requirements/documents/cmm4yungv00o8cuqw12bz63zv/view";"Öppna PDF")</f>
        <v/>
      </c>
      <c r="AR2098">
        <f>HYPERLINK("http://localhost:8787/api/admin/requirements/documents/cmm4yungv00o8cuqw12bz63zv/view","Open PDF")</f>
        <v/>
      </c>
      <c r="AS2098" t="inlineStr">
        <is>
          <t>cmm55w57p0004cuisfrtpqly8</t>
        </is>
      </c>
      <c r="AT2098" t="inlineStr">
        <is>
          <t>cmm4xvu980000cuh4vj0usz09</t>
        </is>
      </c>
      <c r="AU2098" t="inlineStr"/>
      <c r="AV2098" t="inlineStr">
        <is>
          <t>Kommun</t>
        </is>
      </c>
      <c r="AW2098" t="inlineStr"/>
      <c r="AX2098" t="inlineStr">
        <is>
          <t>2026-02</t>
        </is>
      </c>
      <c r="AY2098" t="inlineStr">
        <is>
          <t>Beslut</t>
        </is>
      </c>
      <c r="AZ2098" t="inlineStr">
        <is>
          <t>2026-02-03</t>
        </is>
      </c>
      <c r="BA2098" t="inlineStr">
        <is>
          <t>MIL20241784pdf_976480.pdf</t>
        </is>
      </c>
      <c r="BB2098" t="inlineStr">
        <is>
          <t>Begäran om allmän handling i ärende  MIL.2026.363</t>
        </is>
      </c>
      <c r="BC2098" t="inlineStr">
        <is>
          <t>AUTO</t>
        </is>
      </c>
      <c r="BD2098" t="inlineStr"/>
      <c r="BE2098" t="inlineStr"/>
      <c r="BF2098" t="inlineStr">
        <is>
          <t>AUTO_GENERERAD. Bekrafta metadata mot kallfil.</t>
        </is>
      </c>
      <c r="BG2098">
        <f>HYPERLINK("C:\Users\jimmy\Desktop\Examens arbete\Kod\Ny mapp\remix_-copy-of-miljöbeslut.se-portal\MIL20241784pdf_976480.pdf", "Öppna PDF")</f>
        <v/>
      </c>
    </row>
    <row r="2099">
      <c r="A2099" t="inlineStr">
        <is>
          <t>KRAV-AUTO-002098</t>
        </is>
      </c>
      <c r="B2099" t="inlineStr">
        <is>
          <t>ADMIN-INDEX-2026-02-27-00000000125C043F57453246863FE664CAFE6A3F0700950291EA24F0614FB6ACEDB12BF0E31D00000000010C0000950291EA24F0614FB6ACEDB12BF0E31D00002087B1940000</t>
        </is>
      </c>
      <c r="C2099" t="inlineStr">
        <is>
          <t>cmm4yungl00nzcuqw6vxpl3xs</t>
        </is>
      </c>
      <c r="D2099" t="inlineStr">
        <is>
          <t>http://localhost:8787/api/admin/requirements/documents/cmm4yungl00nzcuqw6vxpl3xs/view</t>
        </is>
      </c>
      <c r="E2099">
        <f>HYPERLÄNK("http://localhost:8787/api/admin/requirements/documents/cmm4yungl00nzcuqw6vxpl3xs/view";"Öppna PDF")</f>
        <v/>
      </c>
      <c r="F2099">
        <f>HYPERLINK("http://localhost:8787/api/admin/requirements/documents/cmm4yungl00nzcuqw6vxpl3xs/view","Open PDF")</f>
        <v/>
      </c>
      <c r="G2099" t="inlineStr">
        <is>
          <t>cmm55w57p0004cuisfrtpqly8</t>
        </is>
      </c>
      <c r="H2099" t="inlineStr">
        <is>
          <t>Beslutsvillkor</t>
        </is>
      </c>
      <c r="I2099" t="inlineStr">
        <is>
          <t>LagringsvolymTid</t>
        </is>
      </c>
      <c r="J2099" t="inlineStr">
        <is>
          <t>Maxmangd</t>
        </is>
      </c>
      <c r="K2099" t="inlineStr">
        <is>
          <t>Uppskattad volym är cirka 560 ton.</t>
        </is>
      </c>
      <c r="L2099" t="inlineStr">
        <is>
          <t>Uppskattad volym är cirka 560 ton.</t>
        </is>
      </c>
      <c r="M2099" t="inlineStr">
        <is>
          <t>SKA</t>
        </is>
      </c>
      <c r="N2099" t="inlineStr"/>
      <c r="O2099" t="inlineStr"/>
      <c r="P2099" t="inlineStr"/>
      <c r="Q2099" t="inlineStr"/>
      <c r="R2099" t="inlineStr">
        <is>
          <t>Alltid</t>
        </is>
      </c>
      <c r="S2099" t="inlineStr"/>
      <c r="T2099" t="inlineStr">
        <is>
          <t>904899</t>
        </is>
      </c>
      <c r="U2099" t="n">
        <v>560</v>
      </c>
      <c r="V2099" t="inlineStr"/>
      <c r="W2099" t="inlineStr">
        <is>
          <t>Nej</t>
        </is>
      </c>
      <c r="X2099" t="inlineStr">
        <is>
          <t>Nej</t>
        </is>
      </c>
      <c r="Y2099" t="inlineStr">
        <is>
          <t>Nej</t>
        </is>
      </c>
      <c r="Z2099" t="inlineStr">
        <is>
          <t>Nej</t>
        </is>
      </c>
      <c r="AA2099" t="n">
        <v>4</v>
      </c>
      <c r="AB2099" t="inlineStr">
        <is>
          <t>Avfallsmangder och lagringstid</t>
        </is>
      </c>
      <c r="AC2099" t="inlineStr">
        <is>
          <t>Avfallsforteckning</t>
        </is>
      </c>
      <c r="AD2099" t="inlineStr">
        <is>
          <t>Nej</t>
        </is>
      </c>
      <c r="AE2099" t="inlineStr">
        <is>
          <t>Nej</t>
        </is>
      </c>
      <c r="AF2099" t="inlineStr">
        <is>
          <t>Ej behandlad</t>
        </is>
      </c>
      <c r="AG2099" t="inlineStr">
        <is>
          <t>AUTO_GENERERAD. Verifiera citat mot kallfil.</t>
        </is>
      </c>
      <c r="AH2099" t="inlineStr">
        <is>
          <t>LOW</t>
        </is>
      </c>
      <c r="AI2099" t="inlineStr">
        <is>
          <t>AUTO</t>
        </is>
      </c>
      <c r="AJ2099" t="inlineStr">
        <is>
          <t>Nej</t>
        </is>
      </c>
      <c r="AK2099" t="inlineStr"/>
      <c r="AL2099" t="inlineStr"/>
      <c r="AM2099" t="inlineStr"/>
      <c r="AN2099" t="inlineStr"/>
      <c r="AO2099" t="inlineStr">
        <is>
          <t>cmm4yungv00o8cuqw12bz63zv</t>
        </is>
      </c>
      <c r="AP2099" t="inlineStr">
        <is>
          <t>http://localhost:8787/api/admin/requirements/documents/cmm4yungv00o8cuqw12bz63zv/view</t>
        </is>
      </c>
      <c r="AQ2099">
        <f>HYPERLÄNK("http://localhost:8787/api/admin/requirements/documents/cmm4yungv00o8cuqw12bz63zv/view";"Öppna PDF")</f>
        <v/>
      </c>
      <c r="AR2099">
        <f>HYPERLINK("http://localhost:8787/api/admin/requirements/documents/cmm4yungv00o8cuqw12bz63zv/view","Open PDF")</f>
        <v/>
      </c>
      <c r="AS2099" t="inlineStr">
        <is>
          <t>cmm55w57p0004cuisfrtpqly8</t>
        </is>
      </c>
      <c r="AT2099" t="inlineStr">
        <is>
          <t>cmm4xvu980000cuh4vj0usz09</t>
        </is>
      </c>
      <c r="AU2099" t="inlineStr"/>
      <c r="AV2099" t="inlineStr">
        <is>
          <t>Kommun</t>
        </is>
      </c>
      <c r="AW2099" t="inlineStr"/>
      <c r="AX2099" t="inlineStr">
        <is>
          <t>2026-02</t>
        </is>
      </c>
      <c r="AY2099" t="inlineStr">
        <is>
          <t>Beslut</t>
        </is>
      </c>
      <c r="AZ2099" t="inlineStr">
        <is>
          <t>2026-02-03</t>
        </is>
      </c>
      <c r="BA2099" t="inlineStr">
        <is>
          <t>MIL20241784pdf_976480.pdf</t>
        </is>
      </c>
      <c r="BB2099" t="inlineStr">
        <is>
          <t>Begäran om allmän handling i ärende  MIL.2026.363</t>
        </is>
      </c>
      <c r="BC2099" t="inlineStr">
        <is>
          <t>AUTO</t>
        </is>
      </c>
      <c r="BD2099" t="inlineStr"/>
      <c r="BE2099" t="inlineStr"/>
      <c r="BF2099" t="inlineStr">
        <is>
          <t>AUTO_GENERERAD. Bekrafta metadata mot kallfil.</t>
        </is>
      </c>
      <c r="BG2099">
        <f>HYPERLINK("C:\Users\jimmy\Desktop\Examens arbete\Kod\Ny mapp\remix_-copy-of-miljöbeslut.se-portal\MIL20241784pdf_976480.pdf", "Öppna PDF")</f>
        <v/>
      </c>
    </row>
    <row r="2100">
      <c r="A2100" t="inlineStr">
        <is>
          <t>KRAV-AUTO-002099</t>
        </is>
      </c>
      <c r="B2100" t="inlineStr">
        <is>
          <t>ADMIN-INDEX-2026-02-27-00000000125C043F57453246863FE664CAFE6A3F0700950291EA24F0614FB6ACEDB12BF0E31D00000000010C0000950291EA24F0614FB6ACEDB12BF0E31D00002087B1940000</t>
        </is>
      </c>
      <c r="C2100" t="inlineStr">
        <is>
          <t>cmm4yungi00nwcuqw56m8y8at</t>
        </is>
      </c>
      <c r="D2100" t="inlineStr">
        <is>
          <t>http://localhost:8787/api/admin/requirements/documents/cmm4yungi00nwcuqw56m8y8at/view</t>
        </is>
      </c>
      <c r="E2100">
        <f>HYPERLÄNK("http://localhost:8787/api/admin/requirements/documents/cmm4yungi00nwcuqw56m8y8at/view";"Öppna PDF")</f>
        <v/>
      </c>
      <c r="F2100">
        <f>HYPERLINK("http://localhost:8787/api/admin/requirements/documents/cmm4yungi00nwcuqw56m8y8at/view","Open PDF")</f>
        <v/>
      </c>
      <c r="G2100" t="inlineStr">
        <is>
          <t>cmm55w57p0004cuisfrtpqly8</t>
        </is>
      </c>
      <c r="H2100" t="inlineStr">
        <is>
          <t>Beslutsvillkor</t>
        </is>
      </c>
      <c r="I2100" t="inlineStr">
        <is>
          <t>DagvattenLakvatten</t>
        </is>
      </c>
      <c r="J2100" t="inlineStr">
        <is>
          <t>Uppsamling</t>
        </is>
      </c>
      <c r="K2100" t="inlineStr">
        <is>
          <t>Lagringen ska ske så att risken för uppkomst av lakvatten från rötslammet minimeras.</t>
        </is>
      </c>
      <c r="L2100" t="inlineStr">
        <is>
          <t>Lagringen ska ske så att risken för uppkomst av lakvatten från rötslammet minimeras.</t>
        </is>
      </c>
      <c r="M2100" t="inlineStr">
        <is>
          <t>SKA</t>
        </is>
      </c>
      <c r="N2100" t="inlineStr"/>
      <c r="O2100" t="inlineStr"/>
      <c r="P2100" t="inlineStr"/>
      <c r="Q2100" t="inlineStr"/>
      <c r="R2100" t="inlineStr">
        <is>
          <t>Vid nederbord och avrinning</t>
        </is>
      </c>
      <c r="S2100" t="inlineStr"/>
      <c r="T2100" t="inlineStr">
        <is>
          <t>909380</t>
        </is>
      </c>
      <c r="U2100" t="inlineStr"/>
      <c r="V2100" t="inlineStr"/>
      <c r="W2100" t="inlineStr">
        <is>
          <t>Nej</t>
        </is>
      </c>
      <c r="X2100" t="inlineStr">
        <is>
          <t>Ja</t>
        </is>
      </c>
      <c r="Y2100" t="inlineStr">
        <is>
          <t>Ja</t>
        </is>
      </c>
      <c r="Z2100" t="inlineStr">
        <is>
          <t>Nej</t>
        </is>
      </c>
      <c r="AA2100" t="n">
        <v>6</v>
      </c>
      <c r="AB2100" t="inlineStr">
        <is>
          <t>Lakvattenhantering</t>
        </is>
      </c>
      <c r="AC2100" t="inlineStr">
        <is>
          <t>Flodesschema dagvatten-lakvatten</t>
        </is>
      </c>
      <c r="AD2100" t="inlineStr">
        <is>
          <t>Nej</t>
        </is>
      </c>
      <c r="AE2100" t="inlineStr">
        <is>
          <t>Nej</t>
        </is>
      </c>
      <c r="AF2100" t="inlineStr">
        <is>
          <t>Ej behandlad</t>
        </is>
      </c>
      <c r="AG2100" t="inlineStr">
        <is>
          <t>AUTO_GENERERAD. Verifiera citat mot kallfil.</t>
        </is>
      </c>
      <c r="AH2100" t="inlineStr">
        <is>
          <t>MEDIUM</t>
        </is>
      </c>
      <c r="AI2100" t="inlineStr">
        <is>
          <t>AUTO</t>
        </is>
      </c>
      <c r="AJ2100" t="inlineStr">
        <is>
          <t>Nej</t>
        </is>
      </c>
      <c r="AK2100" t="inlineStr"/>
      <c r="AL2100" t="inlineStr"/>
      <c r="AM2100" t="inlineStr"/>
      <c r="AN2100" t="inlineStr"/>
      <c r="AO2100" t="inlineStr">
        <is>
          <t>cmm4yungv00o8cuqw12bz63zv</t>
        </is>
      </c>
      <c r="AP2100" t="inlineStr">
        <is>
          <t>http://localhost:8787/api/admin/requirements/documents/cmm4yungv00o8cuqw12bz63zv/view</t>
        </is>
      </c>
      <c r="AQ2100">
        <f>HYPERLÄNK("http://localhost:8787/api/admin/requirements/documents/cmm4yungv00o8cuqw12bz63zv/view";"Öppna PDF")</f>
        <v/>
      </c>
      <c r="AR2100">
        <f>HYPERLINK("http://localhost:8787/api/admin/requirements/documents/cmm4yungv00o8cuqw12bz63zv/view","Open PDF")</f>
        <v/>
      </c>
      <c r="AS2100" t="inlineStr">
        <is>
          <t>cmm55w57p0004cuisfrtpqly8</t>
        </is>
      </c>
      <c r="AT2100" t="inlineStr">
        <is>
          <t>cmm4xvu980000cuh4vj0usz09</t>
        </is>
      </c>
      <c r="AU2100" t="inlineStr"/>
      <c r="AV2100" t="inlineStr">
        <is>
          <t>Kommun</t>
        </is>
      </c>
      <c r="AW2100" t="inlineStr"/>
      <c r="AX2100" t="inlineStr">
        <is>
          <t>2026-02</t>
        </is>
      </c>
      <c r="AY2100" t="inlineStr">
        <is>
          <t>Beslut</t>
        </is>
      </c>
      <c r="AZ2100" t="inlineStr">
        <is>
          <t>2026-02-03</t>
        </is>
      </c>
      <c r="BA2100" t="inlineStr">
        <is>
          <t>MIL20241784pdf_976480.pdf</t>
        </is>
      </c>
      <c r="BB2100" t="inlineStr">
        <is>
          <t>Begäran om allmän handling i ärende  MIL.2026.363</t>
        </is>
      </c>
      <c r="BC2100" t="inlineStr">
        <is>
          <t>AUTO</t>
        </is>
      </c>
      <c r="BD2100" t="inlineStr"/>
      <c r="BE2100" t="inlineStr"/>
      <c r="BF2100" t="inlineStr">
        <is>
          <t>AUTO_GENERERAD. Bekrafta metadata mot kallfil.</t>
        </is>
      </c>
      <c r="BG2100">
        <f>HYPERLINK("C:\Users\jimmy\Desktop\Examens arbete\Kod\Ny mapp\remix_-copy-of-miljöbeslut.se-portal\MIL20241784pdf_976480.pdf", "Öppna PDF")</f>
        <v/>
      </c>
    </row>
    <row r="2101">
      <c r="A2101" t="inlineStr">
        <is>
          <t>KRAV-AUTO-002100</t>
        </is>
      </c>
      <c r="B2101" t="inlineStr">
        <is>
          <t>ADMIN-INDEX-2026-02-27-00000000125C043F57453246863FE664CAFE6A3F0700950291EA24F0614FB6ACEDB12BF0E31D00000000010C0000950291EA24F0614FB6ACEDB12BF0E31D00002087B1940000</t>
        </is>
      </c>
      <c r="C2101" t="inlineStr">
        <is>
          <t>cmm4yungi00nwcuqw56m8y8at</t>
        </is>
      </c>
      <c r="D2101" t="inlineStr">
        <is>
          <t>http://localhost:8787/api/admin/requirements/documents/cmm4yungi00nwcuqw56m8y8at/view</t>
        </is>
      </c>
      <c r="E2101">
        <f>HYPERLÄNK("http://localhost:8787/api/admin/requirements/documents/cmm4yungi00nwcuqw56m8y8at/view";"Öppna PDF")</f>
        <v/>
      </c>
      <c r="F2101">
        <f>HYPERLINK("http://localhost:8787/api/admin/requirements/documents/cmm4yungi00nwcuqw56m8y8at/view","Open PDF")</f>
        <v/>
      </c>
      <c r="G2101" t="inlineStr">
        <is>
          <t>cmm55w57p0004cuisfrtpqly8</t>
        </is>
      </c>
      <c r="H2101" t="inlineStr">
        <is>
          <t>Beslutsvillkor</t>
        </is>
      </c>
      <c r="I2101" t="inlineStr">
        <is>
          <t>Riskhantering</t>
        </is>
      </c>
      <c r="J2101" t="inlineStr">
        <is>
          <t>Riskkontroll</t>
        </is>
      </c>
      <c r="K2101" t="inlineStr">
        <is>
          <t>Täckning ska med hänsyn till risk för luktolägenhet göras i snar anslutning till uppläggning.</t>
        </is>
      </c>
      <c r="L2101" t="inlineStr">
        <is>
          <t>Täckning ska med hänsyn till risk för luktolägenhet göras i snar anslutning till uppläggning.</t>
        </is>
      </c>
      <c r="M2101" t="inlineStr">
        <is>
          <t>SKA</t>
        </is>
      </c>
      <c r="N2101" t="inlineStr"/>
      <c r="O2101" t="inlineStr"/>
      <c r="P2101" t="inlineStr"/>
      <c r="Q2101" t="inlineStr"/>
      <c r="R2101" t="inlineStr">
        <is>
          <t>Vid risk for incident</t>
        </is>
      </c>
      <c r="S2101" t="inlineStr"/>
      <c r="T2101" t="inlineStr">
        <is>
          <t>909380</t>
        </is>
      </c>
      <c r="U2101" t="inlineStr"/>
      <c r="V2101" t="inlineStr"/>
      <c r="W2101" t="inlineStr">
        <is>
          <t>Nej</t>
        </is>
      </c>
      <c r="X2101" t="inlineStr">
        <is>
          <t>Nej</t>
        </is>
      </c>
      <c r="Y2101" t="inlineStr">
        <is>
          <t>Ja</t>
        </is>
      </c>
      <c r="Z2101" t="inlineStr">
        <is>
          <t>Ja</t>
        </is>
      </c>
      <c r="AA2101" t="n">
        <v>8</v>
      </c>
      <c r="AB2101" t="inlineStr">
        <is>
          <t>Riskhantering</t>
        </is>
      </c>
      <c r="AC2101" t="inlineStr">
        <is>
          <t>Risk-PM</t>
        </is>
      </c>
      <c r="AD2101" t="inlineStr">
        <is>
          <t>Nej</t>
        </is>
      </c>
      <c r="AE2101" t="inlineStr">
        <is>
          <t>Nej</t>
        </is>
      </c>
      <c r="AF2101" t="inlineStr">
        <is>
          <t>Ej behandlad</t>
        </is>
      </c>
      <c r="AG2101" t="inlineStr">
        <is>
          <t>AUTO_GENERERAD. Verifiera citat mot kallfil.</t>
        </is>
      </c>
      <c r="AH2101" t="inlineStr">
        <is>
          <t>MEDIUM</t>
        </is>
      </c>
      <c r="AI2101" t="inlineStr">
        <is>
          <t>AUTO</t>
        </is>
      </c>
      <c r="AJ2101" t="inlineStr">
        <is>
          <t>Nej</t>
        </is>
      </c>
      <c r="AK2101" t="inlineStr"/>
      <c r="AL2101" t="inlineStr"/>
      <c r="AM2101" t="inlineStr"/>
      <c r="AN2101" t="inlineStr"/>
      <c r="AO2101" t="inlineStr">
        <is>
          <t>cmm4yungv00o8cuqw12bz63zv</t>
        </is>
      </c>
      <c r="AP2101" t="inlineStr">
        <is>
          <t>http://localhost:8787/api/admin/requirements/documents/cmm4yungv00o8cuqw12bz63zv/view</t>
        </is>
      </c>
      <c r="AQ2101">
        <f>HYPERLÄNK("http://localhost:8787/api/admin/requirements/documents/cmm4yungv00o8cuqw12bz63zv/view";"Öppna PDF")</f>
        <v/>
      </c>
      <c r="AR2101">
        <f>HYPERLINK("http://localhost:8787/api/admin/requirements/documents/cmm4yungv00o8cuqw12bz63zv/view","Open PDF")</f>
        <v/>
      </c>
      <c r="AS2101" t="inlineStr">
        <is>
          <t>cmm55w57p0004cuisfrtpqly8</t>
        </is>
      </c>
      <c r="AT2101" t="inlineStr">
        <is>
          <t>cmm4xvu980000cuh4vj0usz09</t>
        </is>
      </c>
      <c r="AU2101" t="inlineStr"/>
      <c r="AV2101" t="inlineStr">
        <is>
          <t>Kommun</t>
        </is>
      </c>
      <c r="AW2101" t="inlineStr"/>
      <c r="AX2101" t="inlineStr">
        <is>
          <t>2026-02</t>
        </is>
      </c>
      <c r="AY2101" t="inlineStr">
        <is>
          <t>Beslut</t>
        </is>
      </c>
      <c r="AZ2101" t="inlineStr">
        <is>
          <t>2026-02-03</t>
        </is>
      </c>
      <c r="BA2101" t="inlineStr">
        <is>
          <t>MIL20241784pdf_976480.pdf</t>
        </is>
      </c>
      <c r="BB2101" t="inlineStr">
        <is>
          <t>Begäran om allmän handling i ärende  MIL.2026.363</t>
        </is>
      </c>
      <c r="BC2101" t="inlineStr">
        <is>
          <t>AUTO</t>
        </is>
      </c>
      <c r="BD2101" t="inlineStr"/>
      <c r="BE2101" t="inlineStr"/>
      <c r="BF2101" t="inlineStr">
        <is>
          <t>AUTO_GENERERAD. Bekrafta metadata mot kallfil.</t>
        </is>
      </c>
      <c r="BG2101">
        <f>HYPERLINK("C:\Users\jimmy\Desktop\Examens arbete\Kod\Ny mapp\remix_-copy-of-miljöbeslut.se-portal\MIL20241784pdf_976480.pdf", "Öppna PDF")</f>
        <v/>
      </c>
    </row>
    <row r="2102">
      <c r="A2102" t="inlineStr">
        <is>
          <t>KRAV-AUTO-002101</t>
        </is>
      </c>
      <c r="B2102" t="inlineStr">
        <is>
          <t>ADMIN-INDEX-2026-02-27-00000000125C043F57453246863FE664CAFE6A3F0700950291EA24F0614FB6ACEDB12BF0E31D00000000010C0000950291EA24F0614FB6ACEDB12BF0E31D00002087B1950000</t>
        </is>
      </c>
      <c r="C2102" t="inlineStr">
        <is>
          <t>cmm4yungg00ntcuqwtnya0ayu</t>
        </is>
      </c>
      <c r="D2102" t="inlineStr">
        <is>
          <t>http://localhost:8787/api/admin/requirements/documents/cmm4yungg00ntcuqwtnya0ayu/view</t>
        </is>
      </c>
      <c r="E2102">
        <f>HYPERLÄNK("http://localhost:8787/api/admin/requirements/documents/cmm4yungg00ntcuqwtnya0ayu/view";"Öppna PDF")</f>
        <v/>
      </c>
      <c r="F2102">
        <f>HYPERLINK("http://localhost:8787/api/admin/requirements/documents/cmm4yungg00ntcuqwtnya0ayu/view","Open PDF")</f>
        <v/>
      </c>
      <c r="G2102" t="inlineStr">
        <is>
          <t>cmm55w57p0004cuisfrtpqly8</t>
        </is>
      </c>
      <c r="H2102" t="inlineStr">
        <is>
          <t>Beslutsvillkor</t>
        </is>
      </c>
      <c r="I2102" t="inlineStr">
        <is>
          <t>DagvattenLakvatten</t>
        </is>
      </c>
      <c r="J2102" t="inlineStr">
        <is>
          <t>Uppsamling</t>
        </is>
      </c>
      <c r="K2102" t="inlineStr">
        <is>
          <t>Lagringen ska ske så att risken för uppkomst av lakvatten från rötslammet minimeras.</t>
        </is>
      </c>
      <c r="L2102" t="inlineStr">
        <is>
          <t>Lagringen ska ske så att risken för uppkomst av lakvatten från rötslammet minimeras.</t>
        </is>
      </c>
      <c r="M2102" t="inlineStr">
        <is>
          <t>SKA</t>
        </is>
      </c>
      <c r="N2102" t="inlineStr"/>
      <c r="O2102" t="inlineStr"/>
      <c r="P2102" t="inlineStr"/>
      <c r="Q2102" t="inlineStr"/>
      <c r="R2102" t="inlineStr">
        <is>
          <t>Vid nederbord och avrinning</t>
        </is>
      </c>
      <c r="S2102" t="inlineStr"/>
      <c r="T2102" t="inlineStr">
        <is>
          <t>903712</t>
        </is>
      </c>
      <c r="U2102" t="inlineStr"/>
      <c r="V2102" t="inlineStr"/>
      <c r="W2102" t="inlineStr">
        <is>
          <t>Nej</t>
        </is>
      </c>
      <c r="X2102" t="inlineStr">
        <is>
          <t>Ja</t>
        </is>
      </c>
      <c r="Y2102" t="inlineStr">
        <is>
          <t>Ja</t>
        </is>
      </c>
      <c r="Z2102" t="inlineStr">
        <is>
          <t>Nej</t>
        </is>
      </c>
      <c r="AA2102" t="n">
        <v>6</v>
      </c>
      <c r="AB2102" t="inlineStr">
        <is>
          <t>Lakvattenhantering</t>
        </is>
      </c>
      <c r="AC2102" t="inlineStr">
        <is>
          <t>Flodesschema dagvatten-lakvatten</t>
        </is>
      </c>
      <c r="AD2102" t="inlineStr">
        <is>
          <t>Nej</t>
        </is>
      </c>
      <c r="AE2102" t="inlineStr">
        <is>
          <t>Nej</t>
        </is>
      </c>
      <c r="AF2102" t="inlineStr">
        <is>
          <t>Ej behandlad</t>
        </is>
      </c>
      <c r="AG2102" t="inlineStr">
        <is>
          <t>AUTO_GENERERAD. Verifiera citat mot kallfil.</t>
        </is>
      </c>
      <c r="AH2102" t="inlineStr">
        <is>
          <t>MEDIUM</t>
        </is>
      </c>
      <c r="AI2102" t="inlineStr">
        <is>
          <t>AUTO</t>
        </is>
      </c>
      <c r="AJ2102" t="inlineStr">
        <is>
          <t>Nej</t>
        </is>
      </c>
      <c r="AK2102" t="inlineStr"/>
      <c r="AL2102" t="inlineStr"/>
      <c r="AM2102" t="inlineStr"/>
      <c r="AN2102" t="inlineStr"/>
      <c r="AO2102" t="inlineStr">
        <is>
          <t>cmm4yungg00ntcuqwtnya0ayu</t>
        </is>
      </c>
      <c r="AP2102" t="inlineStr">
        <is>
          <t>http://localhost:8787/api/admin/requirements/documents/cmm4yungg00ntcuqwtnya0ayu/view</t>
        </is>
      </c>
      <c r="AQ2102">
        <f>HYPERLÄNK("http://localhost:8787/api/admin/requirements/documents/cmm4yungg00ntcuqwtnya0ayu/view";"Öppna PDF")</f>
        <v/>
      </c>
      <c r="AR2102">
        <f>HYPERLINK("http://localhost:8787/api/admin/requirements/documents/cmm4yungg00ntcuqwtnya0ayu/view","Open PDF")</f>
        <v/>
      </c>
      <c r="AS2102" t="inlineStr">
        <is>
          <t>cmm55w57p0004cuisfrtpqly8</t>
        </is>
      </c>
      <c r="AT2102" t="inlineStr">
        <is>
          <t>cmm4xvu980000cuh4vj0usz09</t>
        </is>
      </c>
      <c r="AU2102" t="inlineStr"/>
      <c r="AV2102" t="inlineStr">
        <is>
          <t>Kommun</t>
        </is>
      </c>
      <c r="AW2102" t="inlineStr"/>
      <c r="AX2102" t="inlineStr">
        <is>
          <t>2026-02</t>
        </is>
      </c>
      <c r="AY2102" t="inlineStr">
        <is>
          <t>Beslut</t>
        </is>
      </c>
      <c r="AZ2102" t="inlineStr">
        <is>
          <t>2026-02-03</t>
        </is>
      </c>
      <c r="BA2102" t="inlineStr">
        <is>
          <t>MIL20241501pdf_976472.pdf</t>
        </is>
      </c>
      <c r="BB2102" t="inlineStr">
        <is>
          <t>Begäran om allmän handling i ärende  MIL.2026.363</t>
        </is>
      </c>
      <c r="BC2102" t="inlineStr">
        <is>
          <t>AUTO</t>
        </is>
      </c>
      <c r="BD2102" t="inlineStr"/>
      <c r="BE2102" t="inlineStr"/>
      <c r="BF2102" t="inlineStr">
        <is>
          <t>AUTO_GENERERAD. Bekrafta metadata mot kallfil.</t>
        </is>
      </c>
      <c r="BG2102">
        <f>HYPERLINK("C:\Users\jimmy\Desktop\Examens arbete\Kod\Ny mapp\remix_-copy-of-miljöbeslut.se-portal\MIL20241501pdf_976472.pdf", "Öppna PDF")</f>
        <v/>
      </c>
    </row>
    <row r="2103">
      <c r="A2103" t="inlineStr">
        <is>
          <t>KRAV-AUTO-002102</t>
        </is>
      </c>
      <c r="B2103" t="inlineStr">
        <is>
          <t>ADMIN-INDEX-2026-02-27-00000000125C043F57453246863FE664CAFE6A3F0700950291EA24F0614FB6ACEDB12BF0E31D00000000010C0000950291EA24F0614FB6ACEDB12BF0E31D00002087B1950000</t>
        </is>
      </c>
      <c r="C2103" t="inlineStr">
        <is>
          <t>cmm4yungg00ntcuqwtnya0ayu</t>
        </is>
      </c>
      <c r="D2103" t="inlineStr">
        <is>
          <t>http://localhost:8787/api/admin/requirements/documents/cmm4yungg00ntcuqwtnya0ayu/view</t>
        </is>
      </c>
      <c r="E2103">
        <f>HYPERLÄNK("http://localhost:8787/api/admin/requirements/documents/cmm4yungg00ntcuqwtnya0ayu/view";"Öppna PDF")</f>
        <v/>
      </c>
      <c r="F2103">
        <f>HYPERLINK("http://localhost:8787/api/admin/requirements/documents/cmm4yungg00ntcuqwtnya0ayu/view","Open PDF")</f>
        <v/>
      </c>
      <c r="G2103" t="inlineStr">
        <is>
          <t>cmm55w57p0004cuisfrtpqly8</t>
        </is>
      </c>
      <c r="H2103" t="inlineStr">
        <is>
          <t>Beslutsvillkor</t>
        </is>
      </c>
      <c r="I2103" t="inlineStr">
        <is>
          <t>Riskhantering</t>
        </is>
      </c>
      <c r="J2103" t="inlineStr">
        <is>
          <t>Riskkontroll</t>
        </is>
      </c>
      <c r="K2103" t="inlineStr">
        <is>
          <t>Täckning ska med hänsyn till risk för luktolägenhet göras i snar anslutning till uppläggning.</t>
        </is>
      </c>
      <c r="L2103" t="inlineStr">
        <is>
          <t>Täckning ska med hänsyn till risk för luktolägenhet göras i snar anslutning till uppläggning.</t>
        </is>
      </c>
      <c r="M2103" t="inlineStr">
        <is>
          <t>SKA</t>
        </is>
      </c>
      <c r="N2103" t="inlineStr"/>
      <c r="O2103" t="inlineStr"/>
      <c r="P2103" t="inlineStr"/>
      <c r="Q2103" t="inlineStr"/>
      <c r="R2103" t="inlineStr">
        <is>
          <t>Vid risk for incident</t>
        </is>
      </c>
      <c r="S2103" t="inlineStr"/>
      <c r="T2103" t="inlineStr">
        <is>
          <t>903712</t>
        </is>
      </c>
      <c r="U2103" t="inlineStr"/>
      <c r="V2103" t="inlineStr"/>
      <c r="W2103" t="inlineStr">
        <is>
          <t>Nej</t>
        </is>
      </c>
      <c r="X2103" t="inlineStr">
        <is>
          <t>Nej</t>
        </is>
      </c>
      <c r="Y2103" t="inlineStr">
        <is>
          <t>Ja</t>
        </is>
      </c>
      <c r="Z2103" t="inlineStr">
        <is>
          <t>Ja</t>
        </is>
      </c>
      <c r="AA2103" t="n">
        <v>8</v>
      </c>
      <c r="AB2103" t="inlineStr">
        <is>
          <t>Riskhantering</t>
        </is>
      </c>
      <c r="AC2103" t="inlineStr">
        <is>
          <t>Risk-PM</t>
        </is>
      </c>
      <c r="AD2103" t="inlineStr">
        <is>
          <t>Nej</t>
        </is>
      </c>
      <c r="AE2103" t="inlineStr">
        <is>
          <t>Nej</t>
        </is>
      </c>
      <c r="AF2103" t="inlineStr">
        <is>
          <t>Ej behandlad</t>
        </is>
      </c>
      <c r="AG2103" t="inlineStr">
        <is>
          <t>AUTO_GENERERAD. Verifiera citat mot kallfil.</t>
        </is>
      </c>
      <c r="AH2103" t="inlineStr">
        <is>
          <t>MEDIUM</t>
        </is>
      </c>
      <c r="AI2103" t="inlineStr">
        <is>
          <t>AUTO</t>
        </is>
      </c>
      <c r="AJ2103" t="inlineStr">
        <is>
          <t>Nej</t>
        </is>
      </c>
      <c r="AK2103" t="inlineStr"/>
      <c r="AL2103" t="inlineStr"/>
      <c r="AM2103" t="inlineStr"/>
      <c r="AN2103" t="inlineStr"/>
      <c r="AO2103" t="inlineStr">
        <is>
          <t>cmm4yungg00ntcuqwtnya0ayu</t>
        </is>
      </c>
      <c r="AP2103" t="inlineStr">
        <is>
          <t>http://localhost:8787/api/admin/requirements/documents/cmm4yungg00ntcuqwtnya0ayu/view</t>
        </is>
      </c>
      <c r="AQ2103">
        <f>HYPERLÄNK("http://localhost:8787/api/admin/requirements/documents/cmm4yungg00ntcuqwtnya0ayu/view";"Öppna PDF")</f>
        <v/>
      </c>
      <c r="AR2103">
        <f>HYPERLINK("http://localhost:8787/api/admin/requirements/documents/cmm4yungg00ntcuqwtnya0ayu/view","Open PDF")</f>
        <v/>
      </c>
      <c r="AS2103" t="inlineStr">
        <is>
          <t>cmm55w57p0004cuisfrtpqly8</t>
        </is>
      </c>
      <c r="AT2103" t="inlineStr">
        <is>
          <t>cmm4xvu980000cuh4vj0usz09</t>
        </is>
      </c>
      <c r="AU2103" t="inlineStr"/>
      <c r="AV2103" t="inlineStr">
        <is>
          <t>Kommun</t>
        </is>
      </c>
      <c r="AW2103" t="inlineStr"/>
      <c r="AX2103" t="inlineStr">
        <is>
          <t>2026-02</t>
        </is>
      </c>
      <c r="AY2103" t="inlineStr">
        <is>
          <t>Beslut</t>
        </is>
      </c>
      <c r="AZ2103" t="inlineStr">
        <is>
          <t>2026-02-03</t>
        </is>
      </c>
      <c r="BA2103" t="inlineStr">
        <is>
          <t>MIL20241501pdf_976472.pdf</t>
        </is>
      </c>
      <c r="BB2103" t="inlineStr">
        <is>
          <t>Begäran om allmän handling i ärende  MIL.2026.363</t>
        </is>
      </c>
      <c r="BC2103" t="inlineStr">
        <is>
          <t>AUTO</t>
        </is>
      </c>
      <c r="BD2103" t="inlineStr"/>
      <c r="BE2103" t="inlineStr"/>
      <c r="BF2103" t="inlineStr">
        <is>
          <t>AUTO_GENERERAD. Bekrafta metadata mot kallfil.</t>
        </is>
      </c>
      <c r="BG2103">
        <f>HYPERLINK("C:\Users\jimmy\Desktop\Examens arbete\Kod\Ny mapp\remix_-copy-of-miljöbeslut.se-portal\MIL20241501pdf_976472.pdf", "Öppna PDF")</f>
        <v/>
      </c>
    </row>
    <row r="2104">
      <c r="A2104" t="inlineStr">
        <is>
          <t>KRAV-AUTO-002103</t>
        </is>
      </c>
      <c r="B2104" t="inlineStr">
        <is>
          <t>ADMIN-INDEX-2026-02-27-00000000125C043F57453246863FE664CAFE6A3F0700950291EA24F0614FB6ACEDB12BF0E31D00000000010C0000950291EA24F0614FB6ACEDB12BF0E31D00002087B1950000</t>
        </is>
      </c>
      <c r="C2104" t="inlineStr">
        <is>
          <t>cmm4yungg00ntcuqwtnya0ayu</t>
        </is>
      </c>
      <c r="D2104" t="inlineStr">
        <is>
          <t>http://localhost:8787/api/admin/requirements/documents/cmm4yungg00ntcuqwtnya0ayu/view</t>
        </is>
      </c>
      <c r="E2104">
        <f>HYPERLÄNK("http://localhost:8787/api/admin/requirements/documents/cmm4yungg00ntcuqwtnya0ayu/view";"Öppna PDF")</f>
        <v/>
      </c>
      <c r="F2104">
        <f>HYPERLINK("http://localhost:8787/api/admin/requirements/documents/cmm4yungg00ntcuqwtnya0ayu/view","Open PDF")</f>
        <v/>
      </c>
      <c r="G2104" t="inlineStr">
        <is>
          <t>cmm55w57p0004cuisfrtpqly8</t>
        </is>
      </c>
      <c r="H2104" t="inlineStr">
        <is>
          <t>Beslutsvillkor</t>
        </is>
      </c>
      <c r="I2104" t="inlineStr">
        <is>
          <t>MiljopaverkanForsiktighet</t>
        </is>
      </c>
      <c r="J2104" t="inlineStr">
        <is>
          <t>Skyddsatgarder</t>
        </is>
      </c>
      <c r="K2104" t="inlineStr">
        <is>
          <t>Anmälan om mellanlagring av avloppsslam samt information om efterföljande spridning Vid spridning ska vi följa dessa skyddsavstång: 10 meter till vattenförande dike, 50 meter till vattentäkt eller bostäder och 2 meter till dräneringsbrunn.</t>
        </is>
      </c>
      <c r="L2104" t="inlineStr">
        <is>
          <t>Anmälan om mellanlagring av avloppsslam samt information om efterföljande spridning Vid spridning ska vi följa dessa skyddsavstång: 10 meter till vattenförande dike, 50 meter till vattentäkt eller bostäder och 2 meter till dräneringsbrunn.</t>
        </is>
      </c>
      <c r="M2104" t="inlineStr">
        <is>
          <t>SKA</t>
        </is>
      </c>
      <c r="N2104" t="inlineStr"/>
      <c r="O2104" t="inlineStr"/>
      <c r="P2104" t="inlineStr"/>
      <c r="Q2104" t="inlineStr"/>
      <c r="R2104" t="inlineStr">
        <is>
          <t>Alltid</t>
        </is>
      </c>
      <c r="S2104" t="inlineStr"/>
      <c r="T2104" t="inlineStr">
        <is>
          <t>903712</t>
        </is>
      </c>
      <c r="U2104" t="inlineStr"/>
      <c r="V2104" t="inlineStr"/>
      <c r="W2104" t="inlineStr">
        <is>
          <t>Nej</t>
        </is>
      </c>
      <c r="X2104" t="inlineStr">
        <is>
          <t>Nej</t>
        </is>
      </c>
      <c r="Y2104" t="inlineStr">
        <is>
          <t>Nej</t>
        </is>
      </c>
      <c r="Z2104" t="inlineStr">
        <is>
          <t>Nej</t>
        </is>
      </c>
      <c r="AA2104" t="n">
        <v>10</v>
      </c>
      <c r="AB2104" t="inlineStr">
        <is>
          <t>Miljopaverkan och forsiktighetsmatt</t>
        </is>
      </c>
      <c r="AC2104" t="inlineStr">
        <is>
          <t>Miljo-PM</t>
        </is>
      </c>
      <c r="AD2104" t="inlineStr">
        <is>
          <t>Nej</t>
        </is>
      </c>
      <c r="AE2104" t="inlineStr">
        <is>
          <t>Nej</t>
        </is>
      </c>
      <c r="AF2104" t="inlineStr">
        <is>
          <t>Ej behandlad</t>
        </is>
      </c>
      <c r="AG2104" t="inlineStr">
        <is>
          <t>AUTO_GENERERAD. Verifiera citat mot kallfil.</t>
        </is>
      </c>
      <c r="AH2104" t="inlineStr">
        <is>
          <t>MEDIUM</t>
        </is>
      </c>
      <c r="AI2104" t="inlineStr">
        <is>
          <t>AUTO</t>
        </is>
      </c>
      <c r="AJ2104" t="inlineStr">
        <is>
          <t>Nej</t>
        </is>
      </c>
      <c r="AK2104" t="inlineStr"/>
      <c r="AL2104" t="inlineStr"/>
      <c r="AM2104" t="inlineStr"/>
      <c r="AN2104" t="inlineStr"/>
      <c r="AO2104" t="inlineStr">
        <is>
          <t>cmm4yungg00ntcuqwtnya0ayu</t>
        </is>
      </c>
      <c r="AP2104" t="inlineStr">
        <is>
          <t>http://localhost:8787/api/admin/requirements/documents/cmm4yungg00ntcuqwtnya0ayu/view</t>
        </is>
      </c>
      <c r="AQ2104">
        <f>HYPERLÄNK("http://localhost:8787/api/admin/requirements/documents/cmm4yungg00ntcuqwtnya0ayu/view";"Öppna PDF")</f>
        <v/>
      </c>
      <c r="AR2104">
        <f>HYPERLINK("http://localhost:8787/api/admin/requirements/documents/cmm4yungg00ntcuqwtnya0ayu/view","Open PDF")</f>
        <v/>
      </c>
      <c r="AS2104" t="inlineStr">
        <is>
          <t>cmm55w57p0004cuisfrtpqly8</t>
        </is>
      </c>
      <c r="AT2104" t="inlineStr">
        <is>
          <t>cmm4xvu980000cuh4vj0usz09</t>
        </is>
      </c>
      <c r="AU2104" t="inlineStr"/>
      <c r="AV2104" t="inlineStr">
        <is>
          <t>Kommun</t>
        </is>
      </c>
      <c r="AW2104" t="inlineStr"/>
      <c r="AX2104" t="inlineStr">
        <is>
          <t>2026-02</t>
        </is>
      </c>
      <c r="AY2104" t="inlineStr">
        <is>
          <t>Beslut</t>
        </is>
      </c>
      <c r="AZ2104" t="inlineStr">
        <is>
          <t>2026-02-03</t>
        </is>
      </c>
      <c r="BA2104" t="inlineStr">
        <is>
          <t>MIL20241501pdf_976472.pdf</t>
        </is>
      </c>
      <c r="BB2104" t="inlineStr">
        <is>
          <t>Begäran om allmän handling i ärende  MIL.2026.363</t>
        </is>
      </c>
      <c r="BC2104" t="inlineStr">
        <is>
          <t>AUTO</t>
        </is>
      </c>
      <c r="BD2104" t="inlineStr"/>
      <c r="BE2104" t="inlineStr"/>
      <c r="BF2104" t="inlineStr">
        <is>
          <t>AUTO_GENERERAD. Bekrafta metadata mot kallfil.</t>
        </is>
      </c>
      <c r="BG2104">
        <f>HYPERLINK("C:\Users\jimmy\Desktop\Examens arbete\Kod\Ny mapp\remix_-copy-of-miljöbeslut.se-portal\MIL20241501pdf_976472.pdf", "Öppna PDF")</f>
        <v/>
      </c>
    </row>
    <row r="2105">
      <c r="A2105" t="inlineStr">
        <is>
          <t>KRAV-AUTO-002104</t>
        </is>
      </c>
      <c r="B2105" t="inlineStr">
        <is>
          <t>ADMIN-INDEX-2026-02-27-00000000125C043F57453246863FE664CAFE6A3F0700950291EA24F0614FB6ACEDB12BF0E31D00000000010C0000950291EA24F0614FB6ACEDB12BF0E31D00002087B1950000</t>
        </is>
      </c>
      <c r="C2105" t="inlineStr">
        <is>
          <t>cmm4yungc00nqcuqw6c4tl2dh</t>
        </is>
      </c>
      <c r="D2105" t="inlineStr">
        <is>
          <t>http://localhost:8787/api/admin/requirements/documents/cmm4yungc00nqcuqw6c4tl2dh/view</t>
        </is>
      </c>
      <c r="E2105">
        <f>HYPERLÄNK("http://localhost:8787/api/admin/requirements/documents/cmm4yungc00nqcuqw6c4tl2dh/view";"Öppna PDF")</f>
        <v/>
      </c>
      <c r="F2105">
        <f>HYPERLINK("http://localhost:8787/api/admin/requirements/documents/cmm4yungc00nqcuqw6c4tl2dh/view","Open PDF")</f>
        <v/>
      </c>
      <c r="G2105" t="inlineStr">
        <is>
          <t>cmm55w57p0004cuisfrtpqly8</t>
        </is>
      </c>
      <c r="H2105" t="inlineStr">
        <is>
          <t>Beslutsvillkor</t>
        </is>
      </c>
      <c r="I2105" t="inlineStr">
        <is>
          <t>DagvattenLakvatten</t>
        </is>
      </c>
      <c r="J2105" t="inlineStr">
        <is>
          <t>Uppsamling</t>
        </is>
      </c>
      <c r="K2105" t="inlineStr">
        <is>
          <t>Lagringen ska ske så att risken för uppkomst av lakvatten från rötslammet minimeras.</t>
        </is>
      </c>
      <c r="L2105" t="inlineStr">
        <is>
          <t>Lagringen ska ske så att risken för uppkomst av lakvatten från rötslammet minimeras.</t>
        </is>
      </c>
      <c r="M2105" t="inlineStr">
        <is>
          <t>SKA</t>
        </is>
      </c>
      <c r="N2105" t="inlineStr"/>
      <c r="O2105" t="inlineStr"/>
      <c r="P2105" t="inlineStr"/>
      <c r="Q2105" t="inlineStr"/>
      <c r="R2105" t="inlineStr">
        <is>
          <t>Vid nederbord och avrinning</t>
        </is>
      </c>
      <c r="S2105" t="inlineStr"/>
      <c r="T2105" t="inlineStr">
        <is>
          <t>898905</t>
        </is>
      </c>
      <c r="U2105" t="inlineStr"/>
      <c r="V2105" t="inlineStr"/>
      <c r="W2105" t="inlineStr">
        <is>
          <t>Nej</t>
        </is>
      </c>
      <c r="X2105" t="inlineStr">
        <is>
          <t>Ja</t>
        </is>
      </c>
      <c r="Y2105" t="inlineStr">
        <is>
          <t>Ja</t>
        </is>
      </c>
      <c r="Z2105" t="inlineStr">
        <is>
          <t>Nej</t>
        </is>
      </c>
      <c r="AA2105" t="n">
        <v>6</v>
      </c>
      <c r="AB2105" t="inlineStr">
        <is>
          <t>Lakvattenhantering</t>
        </is>
      </c>
      <c r="AC2105" t="inlineStr">
        <is>
          <t>Flodesschema dagvatten-lakvatten</t>
        </is>
      </c>
      <c r="AD2105" t="inlineStr">
        <is>
          <t>Nej</t>
        </is>
      </c>
      <c r="AE2105" t="inlineStr">
        <is>
          <t>Nej</t>
        </is>
      </c>
      <c r="AF2105" t="inlineStr">
        <is>
          <t>Ej behandlad</t>
        </is>
      </c>
      <c r="AG2105" t="inlineStr">
        <is>
          <t>AUTO_GENERERAD. Verifiera citat mot kallfil.</t>
        </is>
      </c>
      <c r="AH2105" t="inlineStr">
        <is>
          <t>MEDIUM</t>
        </is>
      </c>
      <c r="AI2105" t="inlineStr">
        <is>
          <t>AUTO</t>
        </is>
      </c>
      <c r="AJ2105" t="inlineStr">
        <is>
          <t>Nej</t>
        </is>
      </c>
      <c r="AK2105" t="inlineStr"/>
      <c r="AL2105" t="inlineStr"/>
      <c r="AM2105" t="inlineStr"/>
      <c r="AN2105" t="inlineStr"/>
      <c r="AO2105" t="inlineStr">
        <is>
          <t>cmm4yungg00ntcuqwtnya0ayu</t>
        </is>
      </c>
      <c r="AP2105" t="inlineStr">
        <is>
          <t>http://localhost:8787/api/admin/requirements/documents/cmm4yungg00ntcuqwtnya0ayu/view</t>
        </is>
      </c>
      <c r="AQ2105">
        <f>HYPERLÄNK("http://localhost:8787/api/admin/requirements/documents/cmm4yungg00ntcuqwtnya0ayu/view";"Öppna PDF")</f>
        <v/>
      </c>
      <c r="AR2105">
        <f>HYPERLINK("http://localhost:8787/api/admin/requirements/documents/cmm4yungg00ntcuqwtnya0ayu/view","Open PDF")</f>
        <v/>
      </c>
      <c r="AS2105" t="inlineStr">
        <is>
          <t>cmm55w57p0004cuisfrtpqly8</t>
        </is>
      </c>
      <c r="AT2105" t="inlineStr">
        <is>
          <t>cmm4xvu980000cuh4vj0usz09</t>
        </is>
      </c>
      <c r="AU2105" t="inlineStr"/>
      <c r="AV2105" t="inlineStr">
        <is>
          <t>Kommun</t>
        </is>
      </c>
      <c r="AW2105" t="inlineStr"/>
      <c r="AX2105" t="inlineStr">
        <is>
          <t>2026-02</t>
        </is>
      </c>
      <c r="AY2105" t="inlineStr">
        <is>
          <t>Beslut</t>
        </is>
      </c>
      <c r="AZ2105" t="inlineStr">
        <is>
          <t>2026-02-03</t>
        </is>
      </c>
      <c r="BA2105" t="inlineStr">
        <is>
          <t>MIL20241501pdf_976472.pdf</t>
        </is>
      </c>
      <c r="BB2105" t="inlineStr">
        <is>
          <t>Begäran om allmän handling i ärende  MIL.2026.363</t>
        </is>
      </c>
      <c r="BC2105" t="inlineStr">
        <is>
          <t>AUTO</t>
        </is>
      </c>
      <c r="BD2105" t="inlineStr"/>
      <c r="BE2105" t="inlineStr"/>
      <c r="BF2105" t="inlineStr">
        <is>
          <t>AUTO_GENERERAD. Bekrafta metadata mot kallfil.</t>
        </is>
      </c>
      <c r="BG2105">
        <f>HYPERLINK("C:\Users\jimmy\Desktop\Examens arbete\Kod\Ny mapp\remix_-copy-of-miljöbeslut.se-portal\MIL20241501pdf_976472.pdf", "Öppna PDF")</f>
        <v/>
      </c>
    </row>
    <row r="2106">
      <c r="A2106" t="inlineStr">
        <is>
          <t>KRAV-AUTO-002105</t>
        </is>
      </c>
      <c r="B2106" t="inlineStr">
        <is>
          <t>ADMIN-INDEX-2026-02-27-00000000125C043F57453246863FE664CAFE6A3F0700950291EA24F0614FB6ACEDB12BF0E31D00000000010C0000950291EA24F0614FB6ACEDB12BF0E31D00002087B1950000</t>
        </is>
      </c>
      <c r="C2106" t="inlineStr">
        <is>
          <t>cmm4yungc00nqcuqw6c4tl2dh</t>
        </is>
      </c>
      <c r="D2106" t="inlineStr">
        <is>
          <t>http://localhost:8787/api/admin/requirements/documents/cmm4yungc00nqcuqw6c4tl2dh/view</t>
        </is>
      </c>
      <c r="E2106">
        <f>HYPERLÄNK("http://localhost:8787/api/admin/requirements/documents/cmm4yungc00nqcuqw6c4tl2dh/view";"Öppna PDF")</f>
        <v/>
      </c>
      <c r="F2106">
        <f>HYPERLINK("http://localhost:8787/api/admin/requirements/documents/cmm4yungc00nqcuqw6c4tl2dh/view","Open PDF")</f>
        <v/>
      </c>
      <c r="G2106" t="inlineStr">
        <is>
          <t>cmm55w57p0004cuisfrtpqly8</t>
        </is>
      </c>
      <c r="H2106" t="inlineStr">
        <is>
          <t>Beslutsvillkor</t>
        </is>
      </c>
      <c r="I2106" t="inlineStr">
        <is>
          <t>Riskhantering</t>
        </is>
      </c>
      <c r="J2106" t="inlineStr">
        <is>
          <t>Riskkontroll</t>
        </is>
      </c>
      <c r="K2106" t="inlineStr">
        <is>
          <t>Täckning ska med hänsyn till risk för luktolägenhet göras i snar anslutning till uppläggning.</t>
        </is>
      </c>
      <c r="L2106" t="inlineStr">
        <is>
          <t>Täckning ska med hänsyn till risk för luktolägenhet göras i snar anslutning till uppläggning.</t>
        </is>
      </c>
      <c r="M2106" t="inlineStr">
        <is>
          <t>SKA</t>
        </is>
      </c>
      <c r="N2106" t="inlineStr"/>
      <c r="O2106" t="inlineStr"/>
      <c r="P2106" t="inlineStr"/>
      <c r="Q2106" t="inlineStr"/>
      <c r="R2106" t="inlineStr">
        <is>
          <t>Vid risk for incident</t>
        </is>
      </c>
      <c r="S2106" t="inlineStr"/>
      <c r="T2106" t="inlineStr">
        <is>
          <t>898905</t>
        </is>
      </c>
      <c r="U2106" t="inlineStr"/>
      <c r="V2106" t="inlineStr"/>
      <c r="W2106" t="inlineStr">
        <is>
          <t>Nej</t>
        </is>
      </c>
      <c r="X2106" t="inlineStr">
        <is>
          <t>Nej</t>
        </is>
      </c>
      <c r="Y2106" t="inlineStr">
        <is>
          <t>Ja</t>
        </is>
      </c>
      <c r="Z2106" t="inlineStr">
        <is>
          <t>Ja</t>
        </is>
      </c>
      <c r="AA2106" t="n">
        <v>8</v>
      </c>
      <c r="AB2106" t="inlineStr">
        <is>
          <t>Riskhantering</t>
        </is>
      </c>
      <c r="AC2106" t="inlineStr">
        <is>
          <t>Risk-PM</t>
        </is>
      </c>
      <c r="AD2106" t="inlineStr">
        <is>
          <t>Nej</t>
        </is>
      </c>
      <c r="AE2106" t="inlineStr">
        <is>
          <t>Nej</t>
        </is>
      </c>
      <c r="AF2106" t="inlineStr">
        <is>
          <t>Ej behandlad</t>
        </is>
      </c>
      <c r="AG2106" t="inlineStr">
        <is>
          <t>AUTO_GENERERAD. Verifiera citat mot kallfil.</t>
        </is>
      </c>
      <c r="AH2106" t="inlineStr">
        <is>
          <t>MEDIUM</t>
        </is>
      </c>
      <c r="AI2106" t="inlineStr">
        <is>
          <t>AUTO</t>
        </is>
      </c>
      <c r="AJ2106" t="inlineStr">
        <is>
          <t>Nej</t>
        </is>
      </c>
      <c r="AK2106" t="inlineStr"/>
      <c r="AL2106" t="inlineStr"/>
      <c r="AM2106" t="inlineStr"/>
      <c r="AN2106" t="inlineStr"/>
      <c r="AO2106" t="inlineStr">
        <is>
          <t>cmm4yungg00ntcuqwtnya0ayu</t>
        </is>
      </c>
      <c r="AP2106" t="inlineStr">
        <is>
          <t>http://localhost:8787/api/admin/requirements/documents/cmm4yungg00ntcuqwtnya0ayu/view</t>
        </is>
      </c>
      <c r="AQ2106">
        <f>HYPERLÄNK("http://localhost:8787/api/admin/requirements/documents/cmm4yungg00ntcuqwtnya0ayu/view";"Öppna PDF")</f>
        <v/>
      </c>
      <c r="AR2106">
        <f>HYPERLINK("http://localhost:8787/api/admin/requirements/documents/cmm4yungg00ntcuqwtnya0ayu/view","Open PDF")</f>
        <v/>
      </c>
      <c r="AS2106" t="inlineStr">
        <is>
          <t>cmm55w57p0004cuisfrtpqly8</t>
        </is>
      </c>
      <c r="AT2106" t="inlineStr">
        <is>
          <t>cmm4xvu980000cuh4vj0usz09</t>
        </is>
      </c>
      <c r="AU2106" t="inlineStr"/>
      <c r="AV2106" t="inlineStr">
        <is>
          <t>Kommun</t>
        </is>
      </c>
      <c r="AW2106" t="inlineStr"/>
      <c r="AX2106" t="inlineStr">
        <is>
          <t>2026-02</t>
        </is>
      </c>
      <c r="AY2106" t="inlineStr">
        <is>
          <t>Beslut</t>
        </is>
      </c>
      <c r="AZ2106" t="inlineStr">
        <is>
          <t>2026-02-03</t>
        </is>
      </c>
      <c r="BA2106" t="inlineStr">
        <is>
          <t>MIL20241501pdf_976472.pdf</t>
        </is>
      </c>
      <c r="BB2106" t="inlineStr">
        <is>
          <t>Begäran om allmän handling i ärende  MIL.2026.363</t>
        </is>
      </c>
      <c r="BC2106" t="inlineStr">
        <is>
          <t>AUTO</t>
        </is>
      </c>
      <c r="BD2106" t="inlineStr"/>
      <c r="BE2106" t="inlineStr"/>
      <c r="BF2106" t="inlineStr">
        <is>
          <t>AUTO_GENERERAD. Bekrafta metadata mot kallfil.</t>
        </is>
      </c>
      <c r="BG2106">
        <f>HYPERLINK("C:\Users\jimmy\Desktop\Examens arbete\Kod\Ny mapp\remix_-copy-of-miljöbeslut.se-portal\MIL20241501pdf_976472.pdf", "Öppna PDF")</f>
        <v/>
      </c>
    </row>
    <row r="2107">
      <c r="A2107" t="inlineStr">
        <is>
          <t>KRAV-AUTO-002106</t>
        </is>
      </c>
      <c r="B2107" t="inlineStr">
        <is>
          <t>ADMIN-INDEX-2026-02-27-00000000125C043F57453246863FE664CAFE6A3F0700950291EA24F0614FB6ACEDB12BF0E31D00000000010C0000950291EA24F0614FB6ACEDB12BF0E31D00002087B1950000</t>
        </is>
      </c>
      <c r="C2107" t="inlineStr">
        <is>
          <t>cmm4yungc00nqcuqw6c4tl2dh</t>
        </is>
      </c>
      <c r="D2107" t="inlineStr">
        <is>
          <t>http://localhost:8787/api/admin/requirements/documents/cmm4yungc00nqcuqw6c4tl2dh/view</t>
        </is>
      </c>
      <c r="E2107">
        <f>HYPERLÄNK("http://localhost:8787/api/admin/requirements/documents/cmm4yungc00nqcuqw6c4tl2dh/view";"Öppna PDF")</f>
        <v/>
      </c>
      <c r="F2107">
        <f>HYPERLINK("http://localhost:8787/api/admin/requirements/documents/cmm4yungc00nqcuqw6c4tl2dh/view","Open PDF")</f>
        <v/>
      </c>
      <c r="G2107" t="inlineStr">
        <is>
          <t>cmm55w57p0004cuisfrtpqly8</t>
        </is>
      </c>
      <c r="H2107" t="inlineStr">
        <is>
          <t>Beslutsvillkor</t>
        </is>
      </c>
      <c r="I2107" t="inlineStr">
        <is>
          <t>MiljopaverkanForsiktighet</t>
        </is>
      </c>
      <c r="J2107" t="inlineStr">
        <is>
          <t>Skyddsatgarder</t>
        </is>
      </c>
      <c r="K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07" t="inlineStr">
        <is>
          <t>SKA</t>
        </is>
      </c>
      <c r="N2107" t="inlineStr"/>
      <c r="O2107" t="inlineStr"/>
      <c r="P2107" t="inlineStr"/>
      <c r="Q2107" t="inlineStr"/>
      <c r="R2107" t="inlineStr">
        <is>
          <t>Alltid</t>
        </is>
      </c>
      <c r="S2107" t="inlineStr"/>
      <c r="T2107" t="inlineStr">
        <is>
          <t>898905</t>
        </is>
      </c>
      <c r="U2107" t="inlineStr"/>
      <c r="V2107" t="inlineStr"/>
      <c r="W2107" t="inlineStr">
        <is>
          <t>Nej</t>
        </is>
      </c>
      <c r="X2107" t="inlineStr">
        <is>
          <t>Nej</t>
        </is>
      </c>
      <c r="Y2107" t="inlineStr">
        <is>
          <t>Nej</t>
        </is>
      </c>
      <c r="Z2107" t="inlineStr">
        <is>
          <t>Nej</t>
        </is>
      </c>
      <c r="AA2107" t="n">
        <v>10</v>
      </c>
      <c r="AB2107" t="inlineStr">
        <is>
          <t>Miljopaverkan och forsiktighetsmatt</t>
        </is>
      </c>
      <c r="AC2107" t="inlineStr">
        <is>
          <t>Miljo-PM</t>
        </is>
      </c>
      <c r="AD2107" t="inlineStr">
        <is>
          <t>Nej</t>
        </is>
      </c>
      <c r="AE2107" t="inlineStr">
        <is>
          <t>Nej</t>
        </is>
      </c>
      <c r="AF2107" t="inlineStr">
        <is>
          <t>Ej behandlad</t>
        </is>
      </c>
      <c r="AG2107" t="inlineStr">
        <is>
          <t>AUTO_GENERERAD. Verifiera citat mot kallfil.</t>
        </is>
      </c>
      <c r="AH2107" t="inlineStr">
        <is>
          <t>MEDIUM</t>
        </is>
      </c>
      <c r="AI2107" t="inlineStr">
        <is>
          <t>AUTO</t>
        </is>
      </c>
      <c r="AJ2107" t="inlineStr">
        <is>
          <t>Nej</t>
        </is>
      </c>
      <c r="AK2107" t="inlineStr"/>
      <c r="AL2107" t="inlineStr"/>
      <c r="AM2107" t="inlineStr"/>
      <c r="AN2107" t="inlineStr"/>
      <c r="AO2107" t="inlineStr">
        <is>
          <t>cmm4yungg00ntcuqwtnya0ayu</t>
        </is>
      </c>
      <c r="AP2107" t="inlineStr">
        <is>
          <t>http://localhost:8787/api/admin/requirements/documents/cmm4yungg00ntcuqwtnya0ayu/view</t>
        </is>
      </c>
      <c r="AQ2107">
        <f>HYPERLÄNK("http://localhost:8787/api/admin/requirements/documents/cmm4yungg00ntcuqwtnya0ayu/view";"Öppna PDF")</f>
        <v/>
      </c>
      <c r="AR2107">
        <f>HYPERLINK("http://localhost:8787/api/admin/requirements/documents/cmm4yungg00ntcuqwtnya0ayu/view","Open PDF")</f>
        <v/>
      </c>
      <c r="AS2107" t="inlineStr">
        <is>
          <t>cmm55w57p0004cuisfrtpqly8</t>
        </is>
      </c>
      <c r="AT2107" t="inlineStr">
        <is>
          <t>cmm4xvu980000cuh4vj0usz09</t>
        </is>
      </c>
      <c r="AU2107" t="inlineStr"/>
      <c r="AV2107" t="inlineStr">
        <is>
          <t>Kommun</t>
        </is>
      </c>
      <c r="AW2107" t="inlineStr"/>
      <c r="AX2107" t="inlineStr">
        <is>
          <t>2026-02</t>
        </is>
      </c>
      <c r="AY2107" t="inlineStr">
        <is>
          <t>Beslut</t>
        </is>
      </c>
      <c r="AZ2107" t="inlineStr">
        <is>
          <t>2026-02-03</t>
        </is>
      </c>
      <c r="BA2107" t="inlineStr">
        <is>
          <t>MIL20241501pdf_976472.pdf</t>
        </is>
      </c>
      <c r="BB2107" t="inlineStr">
        <is>
          <t>Begäran om allmän handling i ärende  MIL.2026.363</t>
        </is>
      </c>
      <c r="BC2107" t="inlineStr">
        <is>
          <t>AUTO</t>
        </is>
      </c>
      <c r="BD2107" t="inlineStr"/>
      <c r="BE2107" t="inlineStr"/>
      <c r="BF2107" t="inlineStr">
        <is>
          <t>AUTO_GENERERAD. Bekrafta metadata mot kallfil.</t>
        </is>
      </c>
      <c r="BG2107">
        <f>HYPERLINK("C:\Users\jimmy\Desktop\Examens arbete\Kod\Ny mapp\remix_-copy-of-miljöbeslut.se-portal\MIL20241501pdf_976472.pdf", "Öppna PDF")</f>
        <v/>
      </c>
    </row>
    <row r="2108">
      <c r="A2108" t="inlineStr">
        <is>
          <t>KRAV-AUTO-002107</t>
        </is>
      </c>
      <c r="B2108" t="inlineStr">
        <is>
          <t>ADMIN-INDEX-2026-02-27-00000000125C043F57453246863FE664CAFE6A3F0700950291EA24F0614FB6ACEDB12BF0E31D00000000010C0000950291EA24F0614FB6ACEDB12BF0E31D00002087B1950000</t>
        </is>
      </c>
      <c r="C2108" t="inlineStr">
        <is>
          <t>cmm4yung900nncuqwb9l2kjhu</t>
        </is>
      </c>
      <c r="D2108" t="inlineStr">
        <is>
          <t>http://localhost:8787/api/admin/requirements/documents/cmm4yung900nncuqwb9l2kjhu/view</t>
        </is>
      </c>
      <c r="E2108">
        <f>HYPERLÄNK("http://localhost:8787/api/admin/requirements/documents/cmm4yung900nncuqwb9l2kjhu/view";"Öppna PDF")</f>
        <v/>
      </c>
      <c r="F2108">
        <f>HYPERLINK("http://localhost:8787/api/admin/requirements/documents/cmm4yung900nncuqwb9l2kjhu/view","Open PDF")</f>
        <v/>
      </c>
      <c r="G2108" t="inlineStr">
        <is>
          <t>cmm55w57p0004cuisfrtpqly8</t>
        </is>
      </c>
      <c r="H2108" t="inlineStr">
        <is>
          <t>Beslutsvillkor</t>
        </is>
      </c>
      <c r="I2108" t="inlineStr">
        <is>
          <t>DagvattenLakvatten</t>
        </is>
      </c>
      <c r="J2108" t="inlineStr">
        <is>
          <t>Uppsamling</t>
        </is>
      </c>
      <c r="K2108" t="inlineStr">
        <is>
          <t>Lagringen ska ske så att risken för uppkomst av lakvatten från rötslammet minimeras.</t>
        </is>
      </c>
      <c r="L2108" t="inlineStr">
        <is>
          <t>Lagringen ska ske så att risken för uppkomst av lakvatten från rötslammet minimeras.</t>
        </is>
      </c>
      <c r="M2108" t="inlineStr">
        <is>
          <t>SKA</t>
        </is>
      </c>
      <c r="N2108" t="inlineStr"/>
      <c r="O2108" t="inlineStr"/>
      <c r="P2108" t="inlineStr"/>
      <c r="Q2108" t="inlineStr"/>
      <c r="R2108" t="inlineStr">
        <is>
          <t>Vid nederbord och avrinning</t>
        </is>
      </c>
      <c r="S2108" t="inlineStr"/>
      <c r="T2108" t="inlineStr">
        <is>
          <t>896762</t>
        </is>
      </c>
      <c r="U2108" t="inlineStr"/>
      <c r="V2108" t="inlineStr"/>
      <c r="W2108" t="inlineStr">
        <is>
          <t>Nej</t>
        </is>
      </c>
      <c r="X2108" t="inlineStr">
        <is>
          <t>Ja</t>
        </is>
      </c>
      <c r="Y2108" t="inlineStr">
        <is>
          <t>Ja</t>
        </is>
      </c>
      <c r="Z2108" t="inlineStr">
        <is>
          <t>Nej</t>
        </is>
      </c>
      <c r="AA2108" t="n">
        <v>6</v>
      </c>
      <c r="AB2108" t="inlineStr">
        <is>
          <t>Lakvattenhantering</t>
        </is>
      </c>
      <c r="AC2108" t="inlineStr">
        <is>
          <t>Flodesschema dagvatten-lakvatten</t>
        </is>
      </c>
      <c r="AD2108" t="inlineStr">
        <is>
          <t>Nej</t>
        </is>
      </c>
      <c r="AE2108" t="inlineStr">
        <is>
          <t>Nej</t>
        </is>
      </c>
      <c r="AF2108" t="inlineStr">
        <is>
          <t>Ej behandlad</t>
        </is>
      </c>
      <c r="AG2108" t="inlineStr">
        <is>
          <t>AUTO_GENERERAD. Verifiera citat mot kallfil.</t>
        </is>
      </c>
      <c r="AH2108" t="inlineStr">
        <is>
          <t>MEDIUM</t>
        </is>
      </c>
      <c r="AI2108" t="inlineStr">
        <is>
          <t>AUTO</t>
        </is>
      </c>
      <c r="AJ2108" t="inlineStr">
        <is>
          <t>Nej</t>
        </is>
      </c>
      <c r="AK2108" t="inlineStr"/>
      <c r="AL2108" t="inlineStr"/>
      <c r="AM2108" t="inlineStr"/>
      <c r="AN2108" t="inlineStr"/>
      <c r="AO2108" t="inlineStr">
        <is>
          <t>cmm4yungg00ntcuqwtnya0ayu</t>
        </is>
      </c>
      <c r="AP2108" t="inlineStr">
        <is>
          <t>http://localhost:8787/api/admin/requirements/documents/cmm4yungg00ntcuqwtnya0ayu/view</t>
        </is>
      </c>
      <c r="AQ2108">
        <f>HYPERLÄNK("http://localhost:8787/api/admin/requirements/documents/cmm4yungg00ntcuqwtnya0ayu/view";"Öppna PDF")</f>
        <v/>
      </c>
      <c r="AR2108">
        <f>HYPERLINK("http://localhost:8787/api/admin/requirements/documents/cmm4yungg00ntcuqwtnya0ayu/view","Open PDF")</f>
        <v/>
      </c>
      <c r="AS2108" t="inlineStr">
        <is>
          <t>cmm55w57p0004cuisfrtpqly8</t>
        </is>
      </c>
      <c r="AT2108" t="inlineStr">
        <is>
          <t>cmm4xvu980000cuh4vj0usz09</t>
        </is>
      </c>
      <c r="AU2108" t="inlineStr"/>
      <c r="AV2108" t="inlineStr">
        <is>
          <t>Kommun</t>
        </is>
      </c>
      <c r="AW2108" t="inlineStr"/>
      <c r="AX2108" t="inlineStr">
        <is>
          <t>2026-02</t>
        </is>
      </c>
      <c r="AY2108" t="inlineStr">
        <is>
          <t>Beslut</t>
        </is>
      </c>
      <c r="AZ2108" t="inlineStr">
        <is>
          <t>2026-02-03</t>
        </is>
      </c>
      <c r="BA2108" t="inlineStr">
        <is>
          <t>MIL20241501pdf_976472.pdf</t>
        </is>
      </c>
      <c r="BB2108" t="inlineStr">
        <is>
          <t>Begäran om allmän handling i ärende  MIL.2026.363</t>
        </is>
      </c>
      <c r="BC2108" t="inlineStr">
        <is>
          <t>AUTO</t>
        </is>
      </c>
      <c r="BD2108" t="inlineStr"/>
      <c r="BE2108" t="inlineStr"/>
      <c r="BF2108" t="inlineStr">
        <is>
          <t>AUTO_GENERERAD. Bekrafta metadata mot kallfil.</t>
        </is>
      </c>
      <c r="BG2108">
        <f>HYPERLINK("C:\Users\jimmy\Desktop\Examens arbete\Kod\Ny mapp\remix_-copy-of-miljöbeslut.se-portal\MIL20241501pdf_976472.pdf", "Öppna PDF")</f>
        <v/>
      </c>
    </row>
    <row r="2109">
      <c r="A2109" t="inlineStr">
        <is>
          <t>KRAV-AUTO-002108</t>
        </is>
      </c>
      <c r="B2109" t="inlineStr">
        <is>
          <t>ADMIN-INDEX-2026-02-27-00000000125C043F57453246863FE664CAFE6A3F0700950291EA24F0614FB6ACEDB12BF0E31D00000000010C0000950291EA24F0614FB6ACEDB12BF0E31D00002087B1950000</t>
        </is>
      </c>
      <c r="C2109" t="inlineStr">
        <is>
          <t>cmm4yung900nncuqwb9l2kjhu</t>
        </is>
      </c>
      <c r="D2109" t="inlineStr">
        <is>
          <t>http://localhost:8787/api/admin/requirements/documents/cmm4yung900nncuqwb9l2kjhu/view</t>
        </is>
      </c>
      <c r="E2109">
        <f>HYPERLÄNK("http://localhost:8787/api/admin/requirements/documents/cmm4yung900nncuqwb9l2kjhu/view";"Öppna PDF")</f>
        <v/>
      </c>
      <c r="F2109">
        <f>HYPERLINK("http://localhost:8787/api/admin/requirements/documents/cmm4yung900nncuqwb9l2kjhu/view","Open PDF")</f>
        <v/>
      </c>
      <c r="G2109" t="inlineStr">
        <is>
          <t>cmm55w57p0004cuisfrtpqly8</t>
        </is>
      </c>
      <c r="H2109" t="inlineStr">
        <is>
          <t>Beslutsvillkor</t>
        </is>
      </c>
      <c r="I2109" t="inlineStr">
        <is>
          <t>Riskhantering</t>
        </is>
      </c>
      <c r="J2109" t="inlineStr">
        <is>
          <t>Riskkontroll</t>
        </is>
      </c>
      <c r="K2109" t="inlineStr">
        <is>
          <t>Täckning ska med hänsyn till risk för luktolägenhet göras i snar anslutning till uppläggning.</t>
        </is>
      </c>
      <c r="L2109" t="inlineStr">
        <is>
          <t>Täckning ska med hänsyn till risk för luktolägenhet göras i snar anslutning till uppläggning.</t>
        </is>
      </c>
      <c r="M2109" t="inlineStr">
        <is>
          <t>SKA</t>
        </is>
      </c>
      <c r="N2109" t="inlineStr"/>
      <c r="O2109" t="inlineStr"/>
      <c r="P2109" t="inlineStr"/>
      <c r="Q2109" t="inlineStr"/>
      <c r="R2109" t="inlineStr">
        <is>
          <t>Vid risk for incident</t>
        </is>
      </c>
      <c r="S2109" t="inlineStr"/>
      <c r="T2109" t="inlineStr">
        <is>
          <t>896762</t>
        </is>
      </c>
      <c r="U2109" t="inlineStr"/>
      <c r="V2109" t="inlineStr"/>
      <c r="W2109" t="inlineStr">
        <is>
          <t>Nej</t>
        </is>
      </c>
      <c r="X2109" t="inlineStr">
        <is>
          <t>Nej</t>
        </is>
      </c>
      <c r="Y2109" t="inlineStr">
        <is>
          <t>Ja</t>
        </is>
      </c>
      <c r="Z2109" t="inlineStr">
        <is>
          <t>Ja</t>
        </is>
      </c>
      <c r="AA2109" t="n">
        <v>8</v>
      </c>
      <c r="AB2109" t="inlineStr">
        <is>
          <t>Riskhantering</t>
        </is>
      </c>
      <c r="AC2109" t="inlineStr">
        <is>
          <t>Risk-PM</t>
        </is>
      </c>
      <c r="AD2109" t="inlineStr">
        <is>
          <t>Nej</t>
        </is>
      </c>
      <c r="AE2109" t="inlineStr">
        <is>
          <t>Nej</t>
        </is>
      </c>
      <c r="AF2109" t="inlineStr">
        <is>
          <t>Ej behandlad</t>
        </is>
      </c>
      <c r="AG2109" t="inlineStr">
        <is>
          <t>AUTO_GENERERAD. Verifiera citat mot kallfil.</t>
        </is>
      </c>
      <c r="AH2109" t="inlineStr">
        <is>
          <t>MEDIUM</t>
        </is>
      </c>
      <c r="AI2109" t="inlineStr">
        <is>
          <t>AUTO</t>
        </is>
      </c>
      <c r="AJ2109" t="inlineStr">
        <is>
          <t>Nej</t>
        </is>
      </c>
      <c r="AK2109" t="inlineStr"/>
      <c r="AL2109" t="inlineStr"/>
      <c r="AM2109" t="inlineStr"/>
      <c r="AN2109" t="inlineStr"/>
      <c r="AO2109" t="inlineStr">
        <is>
          <t>cmm4yungg00ntcuqwtnya0ayu</t>
        </is>
      </c>
      <c r="AP2109" t="inlineStr">
        <is>
          <t>http://localhost:8787/api/admin/requirements/documents/cmm4yungg00ntcuqwtnya0ayu/view</t>
        </is>
      </c>
      <c r="AQ2109">
        <f>HYPERLÄNK("http://localhost:8787/api/admin/requirements/documents/cmm4yungg00ntcuqwtnya0ayu/view";"Öppna PDF")</f>
        <v/>
      </c>
      <c r="AR2109">
        <f>HYPERLINK("http://localhost:8787/api/admin/requirements/documents/cmm4yungg00ntcuqwtnya0ayu/view","Open PDF")</f>
        <v/>
      </c>
      <c r="AS2109" t="inlineStr">
        <is>
          <t>cmm55w57p0004cuisfrtpqly8</t>
        </is>
      </c>
      <c r="AT2109" t="inlineStr">
        <is>
          <t>cmm4xvu980000cuh4vj0usz09</t>
        </is>
      </c>
      <c r="AU2109" t="inlineStr"/>
      <c r="AV2109" t="inlineStr">
        <is>
          <t>Kommun</t>
        </is>
      </c>
      <c r="AW2109" t="inlineStr"/>
      <c r="AX2109" t="inlineStr">
        <is>
          <t>2026-02</t>
        </is>
      </c>
      <c r="AY2109" t="inlineStr">
        <is>
          <t>Beslut</t>
        </is>
      </c>
      <c r="AZ2109" t="inlineStr">
        <is>
          <t>2026-02-03</t>
        </is>
      </c>
      <c r="BA2109" t="inlineStr">
        <is>
          <t>MIL20241501pdf_976472.pdf</t>
        </is>
      </c>
      <c r="BB2109" t="inlineStr">
        <is>
          <t>Begäran om allmän handling i ärende  MIL.2026.363</t>
        </is>
      </c>
      <c r="BC2109" t="inlineStr">
        <is>
          <t>AUTO</t>
        </is>
      </c>
      <c r="BD2109" t="inlineStr"/>
      <c r="BE2109" t="inlineStr"/>
      <c r="BF2109" t="inlineStr">
        <is>
          <t>AUTO_GENERERAD. Bekrafta metadata mot kallfil.</t>
        </is>
      </c>
      <c r="BG2109">
        <f>HYPERLINK("C:\Users\jimmy\Desktop\Examens arbete\Kod\Ny mapp\remix_-copy-of-miljöbeslut.se-portal\MIL20241501pdf_976472.pdf", "Öppna PDF")</f>
        <v/>
      </c>
    </row>
    <row r="2110">
      <c r="A2110" t="inlineStr">
        <is>
          <t>KRAV-AUTO-002109</t>
        </is>
      </c>
      <c r="B2110" t="inlineStr">
        <is>
          <t>ADMIN-INDEX-2026-02-27-00000000125C043F57453246863FE664CAFE6A3F0700950291EA24F0614FB6ACEDB12BF0E31D00000000010C0000950291EA24F0614FB6ACEDB12BF0E31D00002087B1950000</t>
        </is>
      </c>
      <c r="C2110" t="inlineStr">
        <is>
          <t>cmm4yung900nncuqwb9l2kjhu</t>
        </is>
      </c>
      <c r="D2110" t="inlineStr">
        <is>
          <t>http://localhost:8787/api/admin/requirements/documents/cmm4yung900nncuqwb9l2kjhu/view</t>
        </is>
      </c>
      <c r="E2110">
        <f>HYPERLÄNK("http://localhost:8787/api/admin/requirements/documents/cmm4yung900nncuqwb9l2kjhu/view";"Öppna PDF")</f>
        <v/>
      </c>
      <c r="F2110">
        <f>HYPERLINK("http://localhost:8787/api/admin/requirements/documents/cmm4yung900nncuqwb9l2kjhu/view","Open PDF")</f>
        <v/>
      </c>
      <c r="G2110" t="inlineStr">
        <is>
          <t>cmm55w57p0004cuisfrtpqly8</t>
        </is>
      </c>
      <c r="H2110" t="inlineStr">
        <is>
          <t>Beslutsvillkor</t>
        </is>
      </c>
      <c r="I2110" t="inlineStr">
        <is>
          <t>MiljopaverkanForsiktighet</t>
        </is>
      </c>
      <c r="J2110" t="inlineStr">
        <is>
          <t>Skyddsatgarder</t>
        </is>
      </c>
      <c r="K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10" t="inlineStr">
        <is>
          <t>SKA</t>
        </is>
      </c>
      <c r="N2110" t="inlineStr"/>
      <c r="O2110" t="inlineStr"/>
      <c r="P2110" t="inlineStr"/>
      <c r="Q2110" t="inlineStr"/>
      <c r="R2110" t="inlineStr">
        <is>
          <t>Alltid</t>
        </is>
      </c>
      <c r="S2110" t="inlineStr"/>
      <c r="T2110" t="inlineStr">
        <is>
          <t>896762</t>
        </is>
      </c>
      <c r="U2110" t="inlineStr"/>
      <c r="V2110" t="inlineStr"/>
      <c r="W2110" t="inlineStr">
        <is>
          <t>Nej</t>
        </is>
      </c>
      <c r="X2110" t="inlineStr">
        <is>
          <t>Nej</t>
        </is>
      </c>
      <c r="Y2110" t="inlineStr">
        <is>
          <t>Nej</t>
        </is>
      </c>
      <c r="Z2110" t="inlineStr">
        <is>
          <t>Nej</t>
        </is>
      </c>
      <c r="AA2110" t="n">
        <v>10</v>
      </c>
      <c r="AB2110" t="inlineStr">
        <is>
          <t>Miljopaverkan och forsiktighetsmatt</t>
        </is>
      </c>
      <c r="AC2110" t="inlineStr">
        <is>
          <t>Miljo-PM</t>
        </is>
      </c>
      <c r="AD2110" t="inlineStr">
        <is>
          <t>Nej</t>
        </is>
      </c>
      <c r="AE2110" t="inlineStr">
        <is>
          <t>Nej</t>
        </is>
      </c>
      <c r="AF2110" t="inlineStr">
        <is>
          <t>Ej behandlad</t>
        </is>
      </c>
      <c r="AG2110" t="inlineStr">
        <is>
          <t>AUTO_GENERERAD. Verifiera citat mot kallfil.</t>
        </is>
      </c>
      <c r="AH2110" t="inlineStr">
        <is>
          <t>MEDIUM</t>
        </is>
      </c>
      <c r="AI2110" t="inlineStr">
        <is>
          <t>AUTO</t>
        </is>
      </c>
      <c r="AJ2110" t="inlineStr">
        <is>
          <t>Nej</t>
        </is>
      </c>
      <c r="AK2110" t="inlineStr"/>
      <c r="AL2110" t="inlineStr"/>
      <c r="AM2110" t="inlineStr"/>
      <c r="AN2110" t="inlineStr"/>
      <c r="AO2110" t="inlineStr">
        <is>
          <t>cmm4yungg00ntcuqwtnya0ayu</t>
        </is>
      </c>
      <c r="AP2110" t="inlineStr">
        <is>
          <t>http://localhost:8787/api/admin/requirements/documents/cmm4yungg00ntcuqwtnya0ayu/view</t>
        </is>
      </c>
      <c r="AQ2110">
        <f>HYPERLÄNK("http://localhost:8787/api/admin/requirements/documents/cmm4yungg00ntcuqwtnya0ayu/view";"Öppna PDF")</f>
        <v/>
      </c>
      <c r="AR2110">
        <f>HYPERLINK("http://localhost:8787/api/admin/requirements/documents/cmm4yungg00ntcuqwtnya0ayu/view","Open PDF")</f>
        <v/>
      </c>
      <c r="AS2110" t="inlineStr">
        <is>
          <t>cmm55w57p0004cuisfrtpqly8</t>
        </is>
      </c>
      <c r="AT2110" t="inlineStr">
        <is>
          <t>cmm4xvu980000cuh4vj0usz09</t>
        </is>
      </c>
      <c r="AU2110" t="inlineStr"/>
      <c r="AV2110" t="inlineStr">
        <is>
          <t>Kommun</t>
        </is>
      </c>
      <c r="AW2110" t="inlineStr"/>
      <c r="AX2110" t="inlineStr">
        <is>
          <t>2026-02</t>
        </is>
      </c>
      <c r="AY2110" t="inlineStr">
        <is>
          <t>Beslut</t>
        </is>
      </c>
      <c r="AZ2110" t="inlineStr">
        <is>
          <t>2026-02-03</t>
        </is>
      </c>
      <c r="BA2110" t="inlineStr">
        <is>
          <t>MIL20241501pdf_976472.pdf</t>
        </is>
      </c>
      <c r="BB2110" t="inlineStr">
        <is>
          <t>Begäran om allmän handling i ärende  MIL.2026.363</t>
        </is>
      </c>
      <c r="BC2110" t="inlineStr">
        <is>
          <t>AUTO</t>
        </is>
      </c>
      <c r="BD2110" t="inlineStr"/>
      <c r="BE2110" t="inlineStr"/>
      <c r="BF2110" t="inlineStr">
        <is>
          <t>AUTO_GENERERAD. Bekrafta metadata mot kallfil.</t>
        </is>
      </c>
      <c r="BG2110">
        <f>HYPERLINK("C:\Users\jimmy\Desktop\Examens arbete\Kod\Ny mapp\remix_-copy-of-miljöbeslut.se-portal\MIL20241501pdf_976472.pdf", "Öppna PDF")</f>
        <v/>
      </c>
    </row>
    <row r="2111">
      <c r="A2111" t="inlineStr">
        <is>
          <t>KRAV-AUTO-002110</t>
        </is>
      </c>
      <c r="B2111" t="inlineStr">
        <is>
          <t>ADMIN-INDEX-2026-02-27-00000000125C043F57453246863FE664CAFE6A3F0700950291EA24F0614FB6ACEDB12BF0E31D00000000010C0000950291EA24F0614FB6ACEDB12BF0E31D00002087B1950000</t>
        </is>
      </c>
      <c r="C2111" t="inlineStr">
        <is>
          <t>cmm4yung600nkcuqwen5alw55</t>
        </is>
      </c>
      <c r="D2111" t="inlineStr">
        <is>
          <t>http://localhost:8787/api/admin/requirements/documents/cmm4yung600nkcuqwen5alw55/view</t>
        </is>
      </c>
      <c r="E2111">
        <f>HYPERLÄNK("http://localhost:8787/api/admin/requirements/documents/cmm4yung600nkcuqwen5alw55/view";"Öppna PDF")</f>
        <v/>
      </c>
      <c r="F2111">
        <f>HYPERLINK("http://localhost:8787/api/admin/requirements/documents/cmm4yung600nkcuqwen5alw55/view","Open PDF")</f>
        <v/>
      </c>
      <c r="G2111" t="inlineStr">
        <is>
          <t>cmm55w57p0004cuisfrtpqly8</t>
        </is>
      </c>
      <c r="H2111" t="inlineStr">
        <is>
          <t>Beslutsvillkor</t>
        </is>
      </c>
      <c r="I2111" t="inlineStr">
        <is>
          <t>DagvattenLakvatten</t>
        </is>
      </c>
      <c r="J2111" t="inlineStr">
        <is>
          <t>Uppsamling</t>
        </is>
      </c>
      <c r="K2111" t="inlineStr">
        <is>
          <t>Lagringen ska ske så att risken för uppkomst av lakvatten från rötslammet minimeras.</t>
        </is>
      </c>
      <c r="L2111" t="inlineStr">
        <is>
          <t>Lagringen ska ske så att risken för uppkomst av lakvatten från rötslammet minimeras.</t>
        </is>
      </c>
      <c r="M2111" t="inlineStr">
        <is>
          <t>SKA</t>
        </is>
      </c>
      <c r="N2111" t="inlineStr"/>
      <c r="O2111" t="inlineStr"/>
      <c r="P2111" t="inlineStr"/>
      <c r="Q2111" t="inlineStr"/>
      <c r="R2111" t="inlineStr">
        <is>
          <t>Vid nederbord och avrinning</t>
        </is>
      </c>
      <c r="S2111" t="inlineStr"/>
      <c r="T2111" t="inlineStr">
        <is>
          <t>895402</t>
        </is>
      </c>
      <c r="U2111" t="inlineStr"/>
      <c r="V2111" t="inlineStr"/>
      <c r="W2111" t="inlineStr">
        <is>
          <t>Nej</t>
        </is>
      </c>
      <c r="X2111" t="inlineStr">
        <is>
          <t>Ja</t>
        </is>
      </c>
      <c r="Y2111" t="inlineStr">
        <is>
          <t>Ja</t>
        </is>
      </c>
      <c r="Z2111" t="inlineStr">
        <is>
          <t>Nej</t>
        </is>
      </c>
      <c r="AA2111" t="n">
        <v>6</v>
      </c>
      <c r="AB2111" t="inlineStr">
        <is>
          <t>Lakvattenhantering</t>
        </is>
      </c>
      <c r="AC2111" t="inlineStr">
        <is>
          <t>Flodesschema dagvatten-lakvatten</t>
        </is>
      </c>
      <c r="AD2111" t="inlineStr">
        <is>
          <t>Nej</t>
        </is>
      </c>
      <c r="AE2111" t="inlineStr">
        <is>
          <t>Nej</t>
        </is>
      </c>
      <c r="AF2111" t="inlineStr">
        <is>
          <t>Ej behandlad</t>
        </is>
      </c>
      <c r="AG2111" t="inlineStr">
        <is>
          <t>AUTO_GENERERAD. Verifiera citat mot kallfil.</t>
        </is>
      </c>
      <c r="AH2111" t="inlineStr">
        <is>
          <t>MEDIUM</t>
        </is>
      </c>
      <c r="AI2111" t="inlineStr">
        <is>
          <t>AUTO</t>
        </is>
      </c>
      <c r="AJ2111" t="inlineStr">
        <is>
          <t>Nej</t>
        </is>
      </c>
      <c r="AK2111" t="inlineStr"/>
      <c r="AL2111" t="inlineStr"/>
      <c r="AM2111" t="inlineStr"/>
      <c r="AN2111" t="inlineStr"/>
      <c r="AO2111" t="inlineStr">
        <is>
          <t>cmm4yungg00ntcuqwtnya0ayu</t>
        </is>
      </c>
      <c r="AP2111" t="inlineStr">
        <is>
          <t>http://localhost:8787/api/admin/requirements/documents/cmm4yungg00ntcuqwtnya0ayu/view</t>
        </is>
      </c>
      <c r="AQ2111">
        <f>HYPERLÄNK("http://localhost:8787/api/admin/requirements/documents/cmm4yungg00ntcuqwtnya0ayu/view";"Öppna PDF")</f>
        <v/>
      </c>
      <c r="AR2111">
        <f>HYPERLINK("http://localhost:8787/api/admin/requirements/documents/cmm4yungg00ntcuqwtnya0ayu/view","Open PDF")</f>
        <v/>
      </c>
      <c r="AS2111" t="inlineStr">
        <is>
          <t>cmm55w57p0004cuisfrtpqly8</t>
        </is>
      </c>
      <c r="AT2111" t="inlineStr">
        <is>
          <t>cmm4xvu980000cuh4vj0usz09</t>
        </is>
      </c>
      <c r="AU2111" t="inlineStr"/>
      <c r="AV2111" t="inlineStr">
        <is>
          <t>Kommun</t>
        </is>
      </c>
      <c r="AW2111" t="inlineStr"/>
      <c r="AX2111" t="inlineStr">
        <is>
          <t>2026-02</t>
        </is>
      </c>
      <c r="AY2111" t="inlineStr">
        <is>
          <t>Beslut</t>
        </is>
      </c>
      <c r="AZ2111" t="inlineStr">
        <is>
          <t>2026-02-03</t>
        </is>
      </c>
      <c r="BA2111" t="inlineStr">
        <is>
          <t>MIL20241501pdf_976472.pdf</t>
        </is>
      </c>
      <c r="BB2111" t="inlineStr">
        <is>
          <t>Begäran om allmän handling i ärende  MIL.2026.363</t>
        </is>
      </c>
      <c r="BC2111" t="inlineStr">
        <is>
          <t>AUTO</t>
        </is>
      </c>
      <c r="BD2111" t="inlineStr"/>
      <c r="BE2111" t="inlineStr"/>
      <c r="BF2111" t="inlineStr">
        <is>
          <t>AUTO_GENERERAD. Bekrafta metadata mot kallfil.</t>
        </is>
      </c>
      <c r="BG2111">
        <f>HYPERLINK("C:\Users\jimmy\Desktop\Examens arbete\Kod\Ny mapp\remix_-copy-of-miljöbeslut.se-portal\MIL20241501pdf_976472.pdf", "Öppna PDF")</f>
        <v/>
      </c>
    </row>
    <row r="2112">
      <c r="A2112" t="inlineStr">
        <is>
          <t>KRAV-AUTO-002111</t>
        </is>
      </c>
      <c r="B2112" t="inlineStr">
        <is>
          <t>ADMIN-INDEX-2026-02-27-00000000125C043F57453246863FE664CAFE6A3F0700950291EA24F0614FB6ACEDB12BF0E31D00000000010C0000950291EA24F0614FB6ACEDB12BF0E31D00002087B1950000</t>
        </is>
      </c>
      <c r="C2112" t="inlineStr">
        <is>
          <t>cmm4yung600nkcuqwen5alw55</t>
        </is>
      </c>
      <c r="D2112" t="inlineStr">
        <is>
          <t>http://localhost:8787/api/admin/requirements/documents/cmm4yung600nkcuqwen5alw55/view</t>
        </is>
      </c>
      <c r="E2112">
        <f>HYPERLÄNK("http://localhost:8787/api/admin/requirements/documents/cmm4yung600nkcuqwen5alw55/view";"Öppna PDF")</f>
        <v/>
      </c>
      <c r="F2112">
        <f>HYPERLINK("http://localhost:8787/api/admin/requirements/documents/cmm4yung600nkcuqwen5alw55/view","Open PDF")</f>
        <v/>
      </c>
      <c r="G2112" t="inlineStr">
        <is>
          <t>cmm55w57p0004cuisfrtpqly8</t>
        </is>
      </c>
      <c r="H2112" t="inlineStr">
        <is>
          <t>Beslutsvillkor</t>
        </is>
      </c>
      <c r="I2112" t="inlineStr">
        <is>
          <t>Riskhantering</t>
        </is>
      </c>
      <c r="J2112" t="inlineStr">
        <is>
          <t>Riskkontroll</t>
        </is>
      </c>
      <c r="K2112" t="inlineStr">
        <is>
          <t>Täckning ska med hänsyn till risk för luktolägenhet göras i snar anslutning till uppläggning.</t>
        </is>
      </c>
      <c r="L2112" t="inlineStr">
        <is>
          <t>Täckning ska med hänsyn till risk för luktolägenhet göras i snar anslutning till uppläggning.</t>
        </is>
      </c>
      <c r="M2112" t="inlineStr">
        <is>
          <t>SKA</t>
        </is>
      </c>
      <c r="N2112" t="inlineStr"/>
      <c r="O2112" t="inlineStr"/>
      <c r="P2112" t="inlineStr"/>
      <c r="Q2112" t="inlineStr"/>
      <c r="R2112" t="inlineStr">
        <is>
          <t>Vid risk for incident</t>
        </is>
      </c>
      <c r="S2112" t="inlineStr"/>
      <c r="T2112" t="inlineStr">
        <is>
          <t>895402</t>
        </is>
      </c>
      <c r="U2112" t="inlineStr"/>
      <c r="V2112" t="inlineStr"/>
      <c r="W2112" t="inlineStr">
        <is>
          <t>Nej</t>
        </is>
      </c>
      <c r="X2112" t="inlineStr">
        <is>
          <t>Nej</t>
        </is>
      </c>
      <c r="Y2112" t="inlineStr">
        <is>
          <t>Ja</t>
        </is>
      </c>
      <c r="Z2112" t="inlineStr">
        <is>
          <t>Ja</t>
        </is>
      </c>
      <c r="AA2112" t="n">
        <v>8</v>
      </c>
      <c r="AB2112" t="inlineStr">
        <is>
          <t>Riskhantering</t>
        </is>
      </c>
      <c r="AC2112" t="inlineStr">
        <is>
          <t>Risk-PM</t>
        </is>
      </c>
      <c r="AD2112" t="inlineStr">
        <is>
          <t>Nej</t>
        </is>
      </c>
      <c r="AE2112" t="inlineStr">
        <is>
          <t>Nej</t>
        </is>
      </c>
      <c r="AF2112" t="inlineStr">
        <is>
          <t>Ej behandlad</t>
        </is>
      </c>
      <c r="AG2112" t="inlineStr">
        <is>
          <t>AUTO_GENERERAD. Verifiera citat mot kallfil.</t>
        </is>
      </c>
      <c r="AH2112" t="inlineStr">
        <is>
          <t>MEDIUM</t>
        </is>
      </c>
      <c r="AI2112" t="inlineStr">
        <is>
          <t>AUTO</t>
        </is>
      </c>
      <c r="AJ2112" t="inlineStr">
        <is>
          <t>Nej</t>
        </is>
      </c>
      <c r="AK2112" t="inlineStr"/>
      <c r="AL2112" t="inlineStr"/>
      <c r="AM2112" t="inlineStr"/>
      <c r="AN2112" t="inlineStr"/>
      <c r="AO2112" t="inlineStr">
        <is>
          <t>cmm4yungg00ntcuqwtnya0ayu</t>
        </is>
      </c>
      <c r="AP2112" t="inlineStr">
        <is>
          <t>http://localhost:8787/api/admin/requirements/documents/cmm4yungg00ntcuqwtnya0ayu/view</t>
        </is>
      </c>
      <c r="AQ2112">
        <f>HYPERLÄNK("http://localhost:8787/api/admin/requirements/documents/cmm4yungg00ntcuqwtnya0ayu/view";"Öppna PDF")</f>
        <v/>
      </c>
      <c r="AR2112">
        <f>HYPERLINK("http://localhost:8787/api/admin/requirements/documents/cmm4yungg00ntcuqwtnya0ayu/view","Open PDF")</f>
        <v/>
      </c>
      <c r="AS2112" t="inlineStr">
        <is>
          <t>cmm55w57p0004cuisfrtpqly8</t>
        </is>
      </c>
      <c r="AT2112" t="inlineStr">
        <is>
          <t>cmm4xvu980000cuh4vj0usz09</t>
        </is>
      </c>
      <c r="AU2112" t="inlineStr"/>
      <c r="AV2112" t="inlineStr">
        <is>
          <t>Kommun</t>
        </is>
      </c>
      <c r="AW2112" t="inlineStr"/>
      <c r="AX2112" t="inlineStr">
        <is>
          <t>2026-02</t>
        </is>
      </c>
      <c r="AY2112" t="inlineStr">
        <is>
          <t>Beslut</t>
        </is>
      </c>
      <c r="AZ2112" t="inlineStr">
        <is>
          <t>2026-02-03</t>
        </is>
      </c>
      <c r="BA2112" t="inlineStr">
        <is>
          <t>MIL20241501pdf_976472.pdf</t>
        </is>
      </c>
      <c r="BB2112" t="inlineStr">
        <is>
          <t>Begäran om allmän handling i ärende  MIL.2026.363</t>
        </is>
      </c>
      <c r="BC2112" t="inlineStr">
        <is>
          <t>AUTO</t>
        </is>
      </c>
      <c r="BD2112" t="inlineStr"/>
      <c r="BE2112" t="inlineStr"/>
      <c r="BF2112" t="inlineStr">
        <is>
          <t>AUTO_GENERERAD. Bekrafta metadata mot kallfil.</t>
        </is>
      </c>
      <c r="BG2112">
        <f>HYPERLINK("C:\Users\jimmy\Desktop\Examens arbete\Kod\Ny mapp\remix_-copy-of-miljöbeslut.se-portal\MIL20241501pdf_976472.pdf", "Öppna PDF")</f>
        <v/>
      </c>
    </row>
    <row r="2113">
      <c r="A2113" t="inlineStr">
        <is>
          <t>KRAV-AUTO-002112</t>
        </is>
      </c>
      <c r="B2113" t="inlineStr">
        <is>
          <t>ADMIN-INDEX-2026-02-27-00000000125C043F57453246863FE664CAFE6A3F0700950291EA24F0614FB6ACEDB12BF0E31D00000000010C0000950291EA24F0614FB6ACEDB12BF0E31D00002087B1950000</t>
        </is>
      </c>
      <c r="C2113" t="inlineStr">
        <is>
          <t>cmm4yung600nkcuqwen5alw55</t>
        </is>
      </c>
      <c r="D2113" t="inlineStr">
        <is>
          <t>http://localhost:8787/api/admin/requirements/documents/cmm4yung600nkcuqwen5alw55/view</t>
        </is>
      </c>
      <c r="E2113">
        <f>HYPERLÄNK("http://localhost:8787/api/admin/requirements/documents/cmm4yung600nkcuqwen5alw55/view";"Öppna PDF")</f>
        <v/>
      </c>
      <c r="F2113">
        <f>HYPERLINK("http://localhost:8787/api/admin/requirements/documents/cmm4yung600nkcuqwen5alw55/view","Open PDF")</f>
        <v/>
      </c>
      <c r="G2113" t="inlineStr">
        <is>
          <t>cmm55w57p0004cuisfrtpqly8</t>
        </is>
      </c>
      <c r="H2113" t="inlineStr">
        <is>
          <t>Beslutsvillkor</t>
        </is>
      </c>
      <c r="I2113" t="inlineStr">
        <is>
          <t>MiljopaverkanForsiktighet</t>
        </is>
      </c>
      <c r="J2113" t="inlineStr">
        <is>
          <t>Skyddsatgarder</t>
        </is>
      </c>
      <c r="K2113" t="inlineStr">
        <is>
          <t>Anmälan om mellanlagring av avloppsslam samt information om efterföljande spridning Vid spridning ska vi följa dessa skyddsavstång: 10 meter till vattenförande dike, 50 meter till vattentäkt eller bostäder och 2 meter till dräneringsbrunn.</t>
        </is>
      </c>
      <c r="L2113" t="inlineStr">
        <is>
          <t>Anmälan om mellanlagring av avloppsslam samt information om efterföljande spridning Vid spridning ska vi följa dessa skyddsavstång: 10 meter till vattenförande dike, 50 meter till vattentäkt eller bostäder och 2 meter till dräneringsbrunn.</t>
        </is>
      </c>
      <c r="M2113" t="inlineStr">
        <is>
          <t>SKA</t>
        </is>
      </c>
      <c r="N2113" t="inlineStr"/>
      <c r="O2113" t="inlineStr"/>
      <c r="P2113" t="inlineStr"/>
      <c r="Q2113" t="inlineStr"/>
      <c r="R2113" t="inlineStr">
        <is>
          <t>Alltid</t>
        </is>
      </c>
      <c r="S2113" t="inlineStr"/>
      <c r="T2113" t="inlineStr">
        <is>
          <t>895402</t>
        </is>
      </c>
      <c r="U2113" t="inlineStr"/>
      <c r="V2113" t="inlineStr"/>
      <c r="W2113" t="inlineStr">
        <is>
          <t>Nej</t>
        </is>
      </c>
      <c r="X2113" t="inlineStr">
        <is>
          <t>Nej</t>
        </is>
      </c>
      <c r="Y2113" t="inlineStr">
        <is>
          <t>Nej</t>
        </is>
      </c>
      <c r="Z2113" t="inlineStr">
        <is>
          <t>Nej</t>
        </is>
      </c>
      <c r="AA2113" t="n">
        <v>10</v>
      </c>
      <c r="AB2113" t="inlineStr">
        <is>
          <t>Miljopaverkan och forsiktighetsmatt</t>
        </is>
      </c>
      <c r="AC2113" t="inlineStr">
        <is>
          <t>Miljo-PM</t>
        </is>
      </c>
      <c r="AD2113" t="inlineStr">
        <is>
          <t>Nej</t>
        </is>
      </c>
      <c r="AE2113" t="inlineStr">
        <is>
          <t>Nej</t>
        </is>
      </c>
      <c r="AF2113" t="inlineStr">
        <is>
          <t>Ej behandlad</t>
        </is>
      </c>
      <c r="AG2113" t="inlineStr">
        <is>
          <t>AUTO_GENERERAD. Verifiera citat mot kallfil.</t>
        </is>
      </c>
      <c r="AH2113" t="inlineStr">
        <is>
          <t>MEDIUM</t>
        </is>
      </c>
      <c r="AI2113" t="inlineStr">
        <is>
          <t>AUTO</t>
        </is>
      </c>
      <c r="AJ2113" t="inlineStr">
        <is>
          <t>Nej</t>
        </is>
      </c>
      <c r="AK2113" t="inlineStr"/>
      <c r="AL2113" t="inlineStr"/>
      <c r="AM2113" t="inlineStr"/>
      <c r="AN2113" t="inlineStr"/>
      <c r="AO2113" t="inlineStr">
        <is>
          <t>cmm4yungg00ntcuqwtnya0ayu</t>
        </is>
      </c>
      <c r="AP2113" t="inlineStr">
        <is>
          <t>http://localhost:8787/api/admin/requirements/documents/cmm4yungg00ntcuqwtnya0ayu/view</t>
        </is>
      </c>
      <c r="AQ2113">
        <f>HYPERLÄNK("http://localhost:8787/api/admin/requirements/documents/cmm4yungg00ntcuqwtnya0ayu/view";"Öppna PDF")</f>
        <v/>
      </c>
      <c r="AR2113">
        <f>HYPERLINK("http://localhost:8787/api/admin/requirements/documents/cmm4yungg00ntcuqwtnya0ayu/view","Open PDF")</f>
        <v/>
      </c>
      <c r="AS2113" t="inlineStr">
        <is>
          <t>cmm55w57p0004cuisfrtpqly8</t>
        </is>
      </c>
      <c r="AT2113" t="inlineStr">
        <is>
          <t>cmm4xvu980000cuh4vj0usz09</t>
        </is>
      </c>
      <c r="AU2113" t="inlineStr"/>
      <c r="AV2113" t="inlineStr">
        <is>
          <t>Kommun</t>
        </is>
      </c>
      <c r="AW2113" t="inlineStr"/>
      <c r="AX2113" t="inlineStr">
        <is>
          <t>2026-02</t>
        </is>
      </c>
      <c r="AY2113" t="inlineStr">
        <is>
          <t>Beslut</t>
        </is>
      </c>
      <c r="AZ2113" t="inlineStr">
        <is>
          <t>2026-02-03</t>
        </is>
      </c>
      <c r="BA2113" t="inlineStr">
        <is>
          <t>MIL20241501pdf_976472.pdf</t>
        </is>
      </c>
      <c r="BB2113" t="inlineStr">
        <is>
          <t>Begäran om allmän handling i ärende  MIL.2026.363</t>
        </is>
      </c>
      <c r="BC2113" t="inlineStr">
        <is>
          <t>AUTO</t>
        </is>
      </c>
      <c r="BD2113" t="inlineStr"/>
      <c r="BE2113" t="inlineStr"/>
      <c r="BF2113" t="inlineStr">
        <is>
          <t>AUTO_GENERERAD. Bekrafta metadata mot kallfil.</t>
        </is>
      </c>
      <c r="BG2113">
        <f>HYPERLINK("C:\Users\jimmy\Desktop\Examens arbete\Kod\Ny mapp\remix_-copy-of-miljöbeslut.se-portal\MIL20241501pdf_976472.pdf", "Öppna PDF")</f>
        <v/>
      </c>
    </row>
    <row r="2114">
      <c r="A2114" t="inlineStr">
        <is>
          <t>KRAV-AUTO-002113</t>
        </is>
      </c>
      <c r="B2114" t="inlineStr">
        <is>
          <t>ADMIN-INDEX-2026-02-27-00000000125C043F57453246863FE664CAFE6A3F0700950291EA24F0614FB6ACEDB12BF0E31D00000000010C0000950291EA24F0614FB6ACEDB12BF0E31D00002087B1950000</t>
        </is>
      </c>
      <c r="C2114" t="inlineStr">
        <is>
          <t>cmm4yung400nhcuqwou7ycb5z</t>
        </is>
      </c>
      <c r="D2114" t="inlineStr">
        <is>
          <t>http://localhost:8787/api/admin/requirements/documents/cmm4yung400nhcuqwou7ycb5z/view</t>
        </is>
      </c>
      <c r="E2114">
        <f>HYPERLÄNK("http://localhost:8787/api/admin/requirements/documents/cmm4yung400nhcuqwou7ycb5z/view";"Öppna PDF")</f>
        <v/>
      </c>
      <c r="F2114">
        <f>HYPERLINK("http://localhost:8787/api/admin/requirements/documents/cmm4yung400nhcuqwou7ycb5z/view","Open PDF")</f>
        <v/>
      </c>
      <c r="G2114" t="inlineStr">
        <is>
          <t>cmm55w57p0004cuisfrtpqly8</t>
        </is>
      </c>
      <c r="H2114" t="inlineStr">
        <is>
          <t>Beslutsvillkor</t>
        </is>
      </c>
      <c r="I2114" t="inlineStr">
        <is>
          <t>DagvattenLakvatten</t>
        </is>
      </c>
      <c r="J2114" t="inlineStr">
        <is>
          <t>Uppsamling</t>
        </is>
      </c>
      <c r="K2114" t="inlineStr">
        <is>
          <t>Lagringen ska ske så att risken för uppkomst av lakvatten från rötslammet minimeras.</t>
        </is>
      </c>
      <c r="L2114" t="inlineStr">
        <is>
          <t>Lagringen ska ske så att risken för uppkomst av lakvatten från rötslammet minimeras.</t>
        </is>
      </c>
      <c r="M2114" t="inlineStr">
        <is>
          <t>SKA</t>
        </is>
      </c>
      <c r="N2114" t="inlineStr"/>
      <c r="O2114" t="inlineStr"/>
      <c r="P2114" t="inlineStr"/>
      <c r="Q2114" t="inlineStr"/>
      <c r="R2114" t="inlineStr">
        <is>
          <t>Vid nederbord och avrinning</t>
        </is>
      </c>
      <c r="S2114" t="inlineStr"/>
      <c r="T2114" t="inlineStr">
        <is>
          <t>903900</t>
        </is>
      </c>
      <c r="U2114" t="inlineStr"/>
      <c r="V2114" t="inlineStr"/>
      <c r="W2114" t="inlineStr">
        <is>
          <t>Nej</t>
        </is>
      </c>
      <c r="X2114" t="inlineStr">
        <is>
          <t>Ja</t>
        </is>
      </c>
      <c r="Y2114" t="inlineStr">
        <is>
          <t>Ja</t>
        </is>
      </c>
      <c r="Z2114" t="inlineStr">
        <is>
          <t>Nej</t>
        </is>
      </c>
      <c r="AA2114" t="n">
        <v>6</v>
      </c>
      <c r="AB2114" t="inlineStr">
        <is>
          <t>Lakvattenhantering</t>
        </is>
      </c>
      <c r="AC2114" t="inlineStr">
        <is>
          <t>Flodesschema dagvatten-lakvatten</t>
        </is>
      </c>
      <c r="AD2114" t="inlineStr">
        <is>
          <t>Nej</t>
        </is>
      </c>
      <c r="AE2114" t="inlineStr">
        <is>
          <t>Nej</t>
        </is>
      </c>
      <c r="AF2114" t="inlineStr">
        <is>
          <t>Ej behandlad</t>
        </is>
      </c>
      <c r="AG2114" t="inlineStr">
        <is>
          <t>AUTO_GENERERAD. Verifiera citat mot kallfil.</t>
        </is>
      </c>
      <c r="AH2114" t="inlineStr">
        <is>
          <t>MEDIUM</t>
        </is>
      </c>
      <c r="AI2114" t="inlineStr">
        <is>
          <t>AUTO</t>
        </is>
      </c>
      <c r="AJ2114" t="inlineStr">
        <is>
          <t>Nej</t>
        </is>
      </c>
      <c r="AK2114" t="inlineStr"/>
      <c r="AL2114" t="inlineStr"/>
      <c r="AM2114" t="inlineStr"/>
      <c r="AN2114" t="inlineStr"/>
      <c r="AO2114" t="inlineStr">
        <is>
          <t>cmm4yungg00ntcuqwtnya0ayu</t>
        </is>
      </c>
      <c r="AP2114" t="inlineStr">
        <is>
          <t>http://localhost:8787/api/admin/requirements/documents/cmm4yungg00ntcuqwtnya0ayu/view</t>
        </is>
      </c>
      <c r="AQ2114">
        <f>HYPERLÄNK("http://localhost:8787/api/admin/requirements/documents/cmm4yungg00ntcuqwtnya0ayu/view";"Öppna PDF")</f>
        <v/>
      </c>
      <c r="AR2114">
        <f>HYPERLINK("http://localhost:8787/api/admin/requirements/documents/cmm4yungg00ntcuqwtnya0ayu/view","Open PDF")</f>
        <v/>
      </c>
      <c r="AS2114" t="inlineStr">
        <is>
          <t>cmm55w57p0004cuisfrtpqly8</t>
        </is>
      </c>
      <c r="AT2114" t="inlineStr">
        <is>
          <t>cmm4xvu980000cuh4vj0usz09</t>
        </is>
      </c>
      <c r="AU2114" t="inlineStr"/>
      <c r="AV2114" t="inlineStr">
        <is>
          <t>Kommun</t>
        </is>
      </c>
      <c r="AW2114" t="inlineStr"/>
      <c r="AX2114" t="inlineStr">
        <is>
          <t>2026-02</t>
        </is>
      </c>
      <c r="AY2114" t="inlineStr">
        <is>
          <t>Beslut</t>
        </is>
      </c>
      <c r="AZ2114" t="inlineStr">
        <is>
          <t>2026-02-03</t>
        </is>
      </c>
      <c r="BA2114" t="inlineStr">
        <is>
          <t>MIL20241501pdf_976472.pdf</t>
        </is>
      </c>
      <c r="BB2114" t="inlineStr">
        <is>
          <t>Begäran om allmän handling i ärende  MIL.2026.363</t>
        </is>
      </c>
      <c r="BC2114" t="inlineStr">
        <is>
          <t>AUTO</t>
        </is>
      </c>
      <c r="BD2114" t="inlineStr"/>
      <c r="BE2114" t="inlineStr"/>
      <c r="BF2114" t="inlineStr">
        <is>
          <t>AUTO_GENERERAD. Bekrafta metadata mot kallfil.</t>
        </is>
      </c>
      <c r="BG2114">
        <f>HYPERLINK("C:\Users\jimmy\Desktop\Examens arbete\Kod\Ny mapp\remix_-copy-of-miljöbeslut.se-portal\MIL20241501pdf_976472.pdf", "Öppna PDF")</f>
        <v/>
      </c>
    </row>
    <row r="2115">
      <c r="A2115" t="inlineStr">
        <is>
          <t>KRAV-AUTO-002114</t>
        </is>
      </c>
      <c r="B2115" t="inlineStr">
        <is>
          <t>ADMIN-INDEX-2026-02-27-00000000125C043F57453246863FE664CAFE6A3F0700950291EA24F0614FB6ACEDB12BF0E31D00000000010C0000950291EA24F0614FB6ACEDB12BF0E31D00002087B1950000</t>
        </is>
      </c>
      <c r="C2115" t="inlineStr">
        <is>
          <t>cmm4yung400nhcuqwou7ycb5z</t>
        </is>
      </c>
      <c r="D2115" t="inlineStr">
        <is>
          <t>http://localhost:8787/api/admin/requirements/documents/cmm4yung400nhcuqwou7ycb5z/view</t>
        </is>
      </c>
      <c r="E2115">
        <f>HYPERLÄNK("http://localhost:8787/api/admin/requirements/documents/cmm4yung400nhcuqwou7ycb5z/view";"Öppna PDF")</f>
        <v/>
      </c>
      <c r="F2115">
        <f>HYPERLINK("http://localhost:8787/api/admin/requirements/documents/cmm4yung400nhcuqwou7ycb5z/view","Open PDF")</f>
        <v/>
      </c>
      <c r="G2115" t="inlineStr">
        <is>
          <t>cmm55w57p0004cuisfrtpqly8</t>
        </is>
      </c>
      <c r="H2115" t="inlineStr">
        <is>
          <t>Beslutsvillkor</t>
        </is>
      </c>
      <c r="I2115" t="inlineStr">
        <is>
          <t>LagringsvolymTid</t>
        </is>
      </c>
      <c r="J2115" t="inlineStr">
        <is>
          <t>Maxmangd</t>
        </is>
      </c>
      <c r="K2115" t="inlineStr">
        <is>
          <t>Uppskattad volym är cirka 1260 ton.</t>
        </is>
      </c>
      <c r="L2115" t="inlineStr">
        <is>
          <t>Uppskattad volym är cirka 1260 ton.</t>
        </is>
      </c>
      <c r="M2115" t="inlineStr">
        <is>
          <t>SKA</t>
        </is>
      </c>
      <c r="N2115" t="inlineStr"/>
      <c r="O2115" t="inlineStr"/>
      <c r="P2115" t="inlineStr"/>
      <c r="Q2115" t="inlineStr"/>
      <c r="R2115" t="inlineStr">
        <is>
          <t>Alltid</t>
        </is>
      </c>
      <c r="S2115" t="inlineStr"/>
      <c r="T2115" t="inlineStr">
        <is>
          <t>903900</t>
        </is>
      </c>
      <c r="U2115" t="n">
        <v>1260</v>
      </c>
      <c r="V2115" t="inlineStr"/>
      <c r="W2115" t="inlineStr">
        <is>
          <t>Nej</t>
        </is>
      </c>
      <c r="X2115" t="inlineStr">
        <is>
          <t>Nej</t>
        </is>
      </c>
      <c r="Y2115" t="inlineStr">
        <is>
          <t>Nej</t>
        </is>
      </c>
      <c r="Z2115" t="inlineStr">
        <is>
          <t>Nej</t>
        </is>
      </c>
      <c r="AA2115" t="n">
        <v>4</v>
      </c>
      <c r="AB2115" t="inlineStr">
        <is>
          <t>Avfallsmangder och lagringstid</t>
        </is>
      </c>
      <c r="AC2115" t="inlineStr">
        <is>
          <t>Avfallsforteckning</t>
        </is>
      </c>
      <c r="AD2115" t="inlineStr">
        <is>
          <t>Nej</t>
        </is>
      </c>
      <c r="AE2115" t="inlineStr">
        <is>
          <t>Nej</t>
        </is>
      </c>
      <c r="AF2115" t="inlineStr">
        <is>
          <t>Ej behandlad</t>
        </is>
      </c>
      <c r="AG2115" t="inlineStr">
        <is>
          <t>AUTO_GENERERAD. Verifiera citat mot kallfil.</t>
        </is>
      </c>
      <c r="AH2115" t="inlineStr">
        <is>
          <t>LOW</t>
        </is>
      </c>
      <c r="AI2115" t="inlineStr">
        <is>
          <t>AUTO</t>
        </is>
      </c>
      <c r="AJ2115" t="inlineStr">
        <is>
          <t>Nej</t>
        </is>
      </c>
      <c r="AK2115" t="inlineStr"/>
      <c r="AL2115" t="inlineStr"/>
      <c r="AM2115" t="inlineStr"/>
      <c r="AN2115" t="inlineStr"/>
      <c r="AO2115" t="inlineStr">
        <is>
          <t>cmm4yungg00ntcuqwtnya0ayu</t>
        </is>
      </c>
      <c r="AP2115" t="inlineStr">
        <is>
          <t>http://localhost:8787/api/admin/requirements/documents/cmm4yungg00ntcuqwtnya0ayu/view</t>
        </is>
      </c>
      <c r="AQ2115">
        <f>HYPERLÄNK("http://localhost:8787/api/admin/requirements/documents/cmm4yungg00ntcuqwtnya0ayu/view";"Öppna PDF")</f>
        <v/>
      </c>
      <c r="AR2115">
        <f>HYPERLINK("http://localhost:8787/api/admin/requirements/documents/cmm4yungg00ntcuqwtnya0ayu/view","Open PDF")</f>
        <v/>
      </c>
      <c r="AS2115" t="inlineStr">
        <is>
          <t>cmm55w57p0004cuisfrtpqly8</t>
        </is>
      </c>
      <c r="AT2115" t="inlineStr">
        <is>
          <t>cmm4xvu980000cuh4vj0usz09</t>
        </is>
      </c>
      <c r="AU2115" t="inlineStr"/>
      <c r="AV2115" t="inlineStr">
        <is>
          <t>Kommun</t>
        </is>
      </c>
      <c r="AW2115" t="inlineStr"/>
      <c r="AX2115" t="inlineStr">
        <is>
          <t>2026-02</t>
        </is>
      </c>
      <c r="AY2115" t="inlineStr">
        <is>
          <t>Beslut</t>
        </is>
      </c>
      <c r="AZ2115" t="inlineStr">
        <is>
          <t>2026-02-03</t>
        </is>
      </c>
      <c r="BA2115" t="inlineStr">
        <is>
          <t>MIL20241501pdf_976472.pdf</t>
        </is>
      </c>
      <c r="BB2115" t="inlineStr">
        <is>
          <t>Begäran om allmän handling i ärende  MIL.2026.363</t>
        </is>
      </c>
      <c r="BC2115" t="inlineStr">
        <is>
          <t>AUTO</t>
        </is>
      </c>
      <c r="BD2115" t="inlineStr"/>
      <c r="BE2115" t="inlineStr"/>
      <c r="BF2115" t="inlineStr">
        <is>
          <t>AUTO_GENERERAD. Bekrafta metadata mot kallfil.</t>
        </is>
      </c>
      <c r="BG2115">
        <f>HYPERLINK("C:\Users\jimmy\Desktop\Examens arbete\Kod\Ny mapp\remix_-copy-of-miljöbeslut.se-portal\MIL20241501pdf_976472.pdf", "Öppna PDF")</f>
        <v/>
      </c>
    </row>
    <row r="2116">
      <c r="A2116" t="inlineStr">
        <is>
          <t>KRAV-AUTO-002115</t>
        </is>
      </c>
      <c r="B2116" t="inlineStr">
        <is>
          <t>ADMIN-INDEX-2026-02-27-00000000125C043F57453246863FE664CAFE6A3F0700950291EA24F0614FB6ACEDB12BF0E31D00000000010C0000950291EA24F0614FB6ACEDB12BF0E31D00002087B1950000</t>
        </is>
      </c>
      <c r="C2116" t="inlineStr">
        <is>
          <t>cmm4yung400nhcuqwou7ycb5z</t>
        </is>
      </c>
      <c r="D2116" t="inlineStr">
        <is>
          <t>http://localhost:8787/api/admin/requirements/documents/cmm4yung400nhcuqwou7ycb5z/view</t>
        </is>
      </c>
      <c r="E2116">
        <f>HYPERLÄNK("http://localhost:8787/api/admin/requirements/documents/cmm4yung400nhcuqwou7ycb5z/view";"Öppna PDF")</f>
        <v/>
      </c>
      <c r="F2116">
        <f>HYPERLINK("http://localhost:8787/api/admin/requirements/documents/cmm4yung400nhcuqwou7ycb5z/view","Open PDF")</f>
        <v/>
      </c>
      <c r="G2116" t="inlineStr">
        <is>
          <t>cmm55w57p0004cuisfrtpqly8</t>
        </is>
      </c>
      <c r="H2116" t="inlineStr">
        <is>
          <t>Beslutsvillkor</t>
        </is>
      </c>
      <c r="I2116" t="inlineStr">
        <is>
          <t>Riskhantering</t>
        </is>
      </c>
      <c r="J2116" t="inlineStr">
        <is>
          <t>Riskkontroll</t>
        </is>
      </c>
      <c r="K2116" t="inlineStr">
        <is>
          <t>Täckning ska med hänsyn till risk för luktolägenhet göras i snar anslutning till uppläggning.</t>
        </is>
      </c>
      <c r="L2116" t="inlineStr">
        <is>
          <t>Täckning ska med hänsyn till risk för luktolägenhet göras i snar anslutning till uppläggning.</t>
        </is>
      </c>
      <c r="M2116" t="inlineStr">
        <is>
          <t>SKA</t>
        </is>
      </c>
      <c r="N2116" t="inlineStr"/>
      <c r="O2116" t="inlineStr"/>
      <c r="P2116" t="inlineStr"/>
      <c r="Q2116" t="inlineStr"/>
      <c r="R2116" t="inlineStr">
        <is>
          <t>Vid risk for incident</t>
        </is>
      </c>
      <c r="S2116" t="inlineStr"/>
      <c r="T2116" t="inlineStr">
        <is>
          <t>903900</t>
        </is>
      </c>
      <c r="U2116" t="inlineStr"/>
      <c r="V2116" t="inlineStr"/>
      <c r="W2116" t="inlineStr">
        <is>
          <t>Nej</t>
        </is>
      </c>
      <c r="X2116" t="inlineStr">
        <is>
          <t>Nej</t>
        </is>
      </c>
      <c r="Y2116" t="inlineStr">
        <is>
          <t>Ja</t>
        </is>
      </c>
      <c r="Z2116" t="inlineStr">
        <is>
          <t>Ja</t>
        </is>
      </c>
      <c r="AA2116" t="n">
        <v>8</v>
      </c>
      <c r="AB2116" t="inlineStr">
        <is>
          <t>Riskhantering</t>
        </is>
      </c>
      <c r="AC2116" t="inlineStr">
        <is>
          <t>Risk-PM</t>
        </is>
      </c>
      <c r="AD2116" t="inlineStr">
        <is>
          <t>Nej</t>
        </is>
      </c>
      <c r="AE2116" t="inlineStr">
        <is>
          <t>Nej</t>
        </is>
      </c>
      <c r="AF2116" t="inlineStr">
        <is>
          <t>Ej behandlad</t>
        </is>
      </c>
      <c r="AG2116" t="inlineStr">
        <is>
          <t>AUTO_GENERERAD. Verifiera citat mot kallfil.</t>
        </is>
      </c>
      <c r="AH2116" t="inlineStr">
        <is>
          <t>MEDIUM</t>
        </is>
      </c>
      <c r="AI2116" t="inlineStr">
        <is>
          <t>AUTO</t>
        </is>
      </c>
      <c r="AJ2116" t="inlineStr">
        <is>
          <t>Nej</t>
        </is>
      </c>
      <c r="AK2116" t="inlineStr"/>
      <c r="AL2116" t="inlineStr"/>
      <c r="AM2116" t="inlineStr"/>
      <c r="AN2116" t="inlineStr"/>
      <c r="AO2116" t="inlineStr">
        <is>
          <t>cmm4yungg00ntcuqwtnya0ayu</t>
        </is>
      </c>
      <c r="AP2116" t="inlineStr">
        <is>
          <t>http://localhost:8787/api/admin/requirements/documents/cmm4yungg00ntcuqwtnya0ayu/view</t>
        </is>
      </c>
      <c r="AQ2116">
        <f>HYPERLÄNK("http://localhost:8787/api/admin/requirements/documents/cmm4yungg00ntcuqwtnya0ayu/view";"Öppna PDF")</f>
        <v/>
      </c>
      <c r="AR2116">
        <f>HYPERLINK("http://localhost:8787/api/admin/requirements/documents/cmm4yungg00ntcuqwtnya0ayu/view","Open PDF")</f>
        <v/>
      </c>
      <c r="AS2116" t="inlineStr">
        <is>
          <t>cmm55w57p0004cuisfrtpqly8</t>
        </is>
      </c>
      <c r="AT2116" t="inlineStr">
        <is>
          <t>cmm4xvu980000cuh4vj0usz09</t>
        </is>
      </c>
      <c r="AU2116" t="inlineStr"/>
      <c r="AV2116" t="inlineStr">
        <is>
          <t>Kommun</t>
        </is>
      </c>
      <c r="AW2116" t="inlineStr"/>
      <c r="AX2116" t="inlineStr">
        <is>
          <t>2026-02</t>
        </is>
      </c>
      <c r="AY2116" t="inlineStr">
        <is>
          <t>Beslut</t>
        </is>
      </c>
      <c r="AZ2116" t="inlineStr">
        <is>
          <t>2026-02-03</t>
        </is>
      </c>
      <c r="BA2116" t="inlineStr">
        <is>
          <t>MIL20241501pdf_976472.pdf</t>
        </is>
      </c>
      <c r="BB2116" t="inlineStr">
        <is>
          <t>Begäran om allmän handling i ärende  MIL.2026.363</t>
        </is>
      </c>
      <c r="BC2116" t="inlineStr">
        <is>
          <t>AUTO</t>
        </is>
      </c>
      <c r="BD2116" t="inlineStr"/>
      <c r="BE2116" t="inlineStr"/>
      <c r="BF2116" t="inlineStr">
        <is>
          <t>AUTO_GENERERAD. Bekrafta metadata mot kallfil.</t>
        </is>
      </c>
      <c r="BG2116">
        <f>HYPERLINK("C:\Users\jimmy\Desktop\Examens arbete\Kod\Ny mapp\remix_-copy-of-miljöbeslut.se-portal\MIL20241501pdf_976472.pdf", "Öppna PDF")</f>
        <v/>
      </c>
    </row>
    <row r="2117">
      <c r="A2117" t="inlineStr">
        <is>
          <t>KRAV-AUTO-002116</t>
        </is>
      </c>
      <c r="B2117" t="inlineStr">
        <is>
          <t>ADMIN-INDEX-2026-02-27-00000000125C043F57453246863FE664CAFE6A3F0700950291EA24F0614FB6ACEDB12BF0E31D00000000010C0000950291EA24F0614FB6ACEDB12BF0E31D00002087B1960000</t>
        </is>
      </c>
      <c r="C2117" t="inlineStr">
        <is>
          <t>cmm4yung100necuqw0m62sood</t>
        </is>
      </c>
      <c r="D2117" t="inlineStr">
        <is>
          <t>http://localhost:8787/api/admin/requirements/documents/cmm4yung100necuqw0m62sood/view</t>
        </is>
      </c>
      <c r="E2117">
        <f>HYPERLÄNK("http://localhost:8787/api/admin/requirements/documents/cmm4yung100necuqw0m62sood/view";"Öppna PDF")</f>
        <v/>
      </c>
      <c r="F2117">
        <f>HYPERLINK("http://localhost:8787/api/admin/requirements/documents/cmm4yung100necuqw0m62sood/view","Open PDF")</f>
        <v/>
      </c>
      <c r="G2117" t="inlineStr">
        <is>
          <t>cmm55w57p0004cuisfrtpqly8</t>
        </is>
      </c>
      <c r="H2117" t="inlineStr">
        <is>
          <t>Beslutsvillkor</t>
        </is>
      </c>
      <c r="I2117" t="inlineStr">
        <is>
          <t>DagvattenLakvatten</t>
        </is>
      </c>
      <c r="J2117" t="inlineStr">
        <is>
          <t>Uppsamling</t>
        </is>
      </c>
      <c r="K2117" t="inlineStr">
        <is>
          <t>Lagringen ska ske så att risken för uppkomst av lakvatten från rötslammet minimeras.</t>
        </is>
      </c>
      <c r="L2117" t="inlineStr">
        <is>
          <t>Lagringen ska ske så att risken för uppkomst av lakvatten från rötslammet minimeras.</t>
        </is>
      </c>
      <c r="M2117" t="inlineStr">
        <is>
          <t>SKA</t>
        </is>
      </c>
      <c r="N2117" t="inlineStr"/>
      <c r="O2117" t="inlineStr"/>
      <c r="P2117" t="inlineStr"/>
      <c r="Q2117" t="inlineStr"/>
      <c r="R2117" t="inlineStr">
        <is>
          <t>Vid nederbord och avrinning</t>
        </is>
      </c>
      <c r="S2117" t="inlineStr"/>
      <c r="T2117" t="inlineStr">
        <is>
          <t>893014</t>
        </is>
      </c>
      <c r="U2117" t="inlineStr"/>
      <c r="V2117" t="inlineStr"/>
      <c r="W2117" t="inlineStr">
        <is>
          <t>Nej</t>
        </is>
      </c>
      <c r="X2117" t="inlineStr">
        <is>
          <t>Ja</t>
        </is>
      </c>
      <c r="Y2117" t="inlineStr">
        <is>
          <t>Ja</t>
        </is>
      </c>
      <c r="Z2117" t="inlineStr">
        <is>
          <t>Nej</t>
        </is>
      </c>
      <c r="AA2117" t="n">
        <v>6</v>
      </c>
      <c r="AB2117" t="inlineStr">
        <is>
          <t>Lakvattenhantering</t>
        </is>
      </c>
      <c r="AC2117" t="inlineStr">
        <is>
          <t>Flodesschema dagvatten-lakvatten</t>
        </is>
      </c>
      <c r="AD2117" t="inlineStr">
        <is>
          <t>Nej</t>
        </is>
      </c>
      <c r="AE2117" t="inlineStr">
        <is>
          <t>Nej</t>
        </is>
      </c>
      <c r="AF2117" t="inlineStr">
        <is>
          <t>Ej behandlad</t>
        </is>
      </c>
      <c r="AG2117" t="inlineStr">
        <is>
          <t>AUTO_GENERERAD. Verifiera citat mot kallfil.</t>
        </is>
      </c>
      <c r="AH2117" t="inlineStr">
        <is>
          <t>MEDIUM</t>
        </is>
      </c>
      <c r="AI2117" t="inlineStr">
        <is>
          <t>AUTO</t>
        </is>
      </c>
      <c r="AJ2117" t="inlineStr">
        <is>
          <t>Nej</t>
        </is>
      </c>
      <c r="AK2117" t="inlineStr"/>
      <c r="AL2117" t="inlineStr"/>
      <c r="AM2117" t="inlineStr"/>
      <c r="AN2117" t="inlineStr"/>
      <c r="AO2117" t="inlineStr">
        <is>
          <t>cmm4yung100necuqw0m62sood</t>
        </is>
      </c>
      <c r="AP2117" t="inlineStr">
        <is>
          <t>http://localhost:8787/api/admin/requirements/documents/cmm4yung100necuqw0m62sood/view</t>
        </is>
      </c>
      <c r="AQ2117">
        <f>HYPERLÄNK("http://localhost:8787/api/admin/requirements/documents/cmm4yung100necuqw0m62sood/view";"Öppna PDF")</f>
        <v/>
      </c>
      <c r="AR2117">
        <f>HYPERLINK("http://localhost:8787/api/admin/requirements/documents/cmm4yung100necuqw0m62sood/view","Open PDF")</f>
        <v/>
      </c>
      <c r="AS2117" t="inlineStr">
        <is>
          <t>cmm55w57p0004cuisfrtpqly8</t>
        </is>
      </c>
      <c r="AT2117" t="inlineStr">
        <is>
          <t>cmm4xvu980000cuh4vj0usz09</t>
        </is>
      </c>
      <c r="AU2117" t="inlineStr"/>
      <c r="AV2117" t="inlineStr">
        <is>
          <t>Kommun</t>
        </is>
      </c>
      <c r="AW2117" t="inlineStr"/>
      <c r="AX2117" t="inlineStr">
        <is>
          <t>2026-02</t>
        </is>
      </c>
      <c r="AY2117" t="inlineStr">
        <is>
          <t>Beslut</t>
        </is>
      </c>
      <c r="AZ2117" t="inlineStr">
        <is>
          <t>2026-02-03</t>
        </is>
      </c>
      <c r="BA2117" t="inlineStr">
        <is>
          <t>MIL20241002pdf_976462.pdf</t>
        </is>
      </c>
      <c r="BB2117" t="inlineStr">
        <is>
          <t>Begäran om allmän handling i ärende  MIL.2026.363</t>
        </is>
      </c>
      <c r="BC2117" t="inlineStr">
        <is>
          <t>AUTO</t>
        </is>
      </c>
      <c r="BD2117" t="inlineStr"/>
      <c r="BE2117" t="inlineStr"/>
      <c r="BF2117" t="inlineStr">
        <is>
          <t>AUTO_GENERERAD. Bekrafta metadata mot kallfil.</t>
        </is>
      </c>
      <c r="BG2117">
        <f>HYPERLINK("C:\Users\jimmy\Desktop\Examens arbete\Kod\Ny mapp\remix_-copy-of-miljöbeslut.se-portal\MIL20241002pdf_976462.pdf", "Öppna PDF")</f>
        <v/>
      </c>
    </row>
    <row r="2118">
      <c r="A2118" t="inlineStr">
        <is>
          <t>KRAV-AUTO-002117</t>
        </is>
      </c>
      <c r="B2118" t="inlineStr">
        <is>
          <t>ADMIN-INDEX-2026-02-27-00000000125C043F57453246863FE664CAFE6A3F0700950291EA24F0614FB6ACEDB12BF0E31D00000000010C0000950291EA24F0614FB6ACEDB12BF0E31D00002087B1960000</t>
        </is>
      </c>
      <c r="C2118" t="inlineStr">
        <is>
          <t>cmm4yung100necuqw0m62sood</t>
        </is>
      </c>
      <c r="D2118" t="inlineStr">
        <is>
          <t>http://localhost:8787/api/admin/requirements/documents/cmm4yung100necuqw0m62sood/view</t>
        </is>
      </c>
      <c r="E2118">
        <f>HYPERLÄNK("http://localhost:8787/api/admin/requirements/documents/cmm4yung100necuqw0m62sood/view";"Öppna PDF")</f>
        <v/>
      </c>
      <c r="F2118">
        <f>HYPERLINK("http://localhost:8787/api/admin/requirements/documents/cmm4yung100necuqw0m62sood/view","Open PDF")</f>
        <v/>
      </c>
      <c r="G2118" t="inlineStr">
        <is>
          <t>cmm55w57p0004cuisfrtpqly8</t>
        </is>
      </c>
      <c r="H2118" t="inlineStr">
        <is>
          <t>Beslutsvillkor</t>
        </is>
      </c>
      <c r="I2118" t="inlineStr">
        <is>
          <t>Riskhantering</t>
        </is>
      </c>
      <c r="J2118" t="inlineStr">
        <is>
          <t>Riskkontroll</t>
        </is>
      </c>
      <c r="K2118" t="inlineStr">
        <is>
          <t>Täckning ska med hänsyn till risk för luktolägenhet göras i snar anslutning till uppläggning.</t>
        </is>
      </c>
      <c r="L2118" t="inlineStr">
        <is>
          <t>Täckning ska med hänsyn till risk för luktolägenhet göras i snar anslutning till uppläggning.</t>
        </is>
      </c>
      <c r="M2118" t="inlineStr">
        <is>
          <t>SKA</t>
        </is>
      </c>
      <c r="N2118" t="inlineStr"/>
      <c r="O2118" t="inlineStr"/>
      <c r="P2118" t="inlineStr"/>
      <c r="Q2118" t="inlineStr"/>
      <c r="R2118" t="inlineStr">
        <is>
          <t>Vid risk for incident</t>
        </is>
      </c>
      <c r="S2118" t="inlineStr"/>
      <c r="T2118" t="inlineStr">
        <is>
          <t>893014</t>
        </is>
      </c>
      <c r="U2118" t="inlineStr"/>
      <c r="V2118" t="inlineStr"/>
      <c r="W2118" t="inlineStr">
        <is>
          <t>Nej</t>
        </is>
      </c>
      <c r="X2118" t="inlineStr">
        <is>
          <t>Nej</t>
        </is>
      </c>
      <c r="Y2118" t="inlineStr">
        <is>
          <t>Ja</t>
        </is>
      </c>
      <c r="Z2118" t="inlineStr">
        <is>
          <t>Ja</t>
        </is>
      </c>
      <c r="AA2118" t="n">
        <v>8</v>
      </c>
      <c r="AB2118" t="inlineStr">
        <is>
          <t>Riskhantering</t>
        </is>
      </c>
      <c r="AC2118" t="inlineStr">
        <is>
          <t>Risk-PM</t>
        </is>
      </c>
      <c r="AD2118" t="inlineStr">
        <is>
          <t>Nej</t>
        </is>
      </c>
      <c r="AE2118" t="inlineStr">
        <is>
          <t>Nej</t>
        </is>
      </c>
      <c r="AF2118" t="inlineStr">
        <is>
          <t>Ej behandlad</t>
        </is>
      </c>
      <c r="AG2118" t="inlineStr">
        <is>
          <t>AUTO_GENERERAD. Verifiera citat mot kallfil.</t>
        </is>
      </c>
      <c r="AH2118" t="inlineStr">
        <is>
          <t>MEDIUM</t>
        </is>
      </c>
      <c r="AI2118" t="inlineStr">
        <is>
          <t>AUTO</t>
        </is>
      </c>
      <c r="AJ2118" t="inlineStr">
        <is>
          <t>Nej</t>
        </is>
      </c>
      <c r="AK2118" t="inlineStr"/>
      <c r="AL2118" t="inlineStr"/>
      <c r="AM2118" t="inlineStr"/>
      <c r="AN2118" t="inlineStr"/>
      <c r="AO2118" t="inlineStr">
        <is>
          <t>cmm4yung100necuqw0m62sood</t>
        </is>
      </c>
      <c r="AP2118" t="inlineStr">
        <is>
          <t>http://localhost:8787/api/admin/requirements/documents/cmm4yung100necuqw0m62sood/view</t>
        </is>
      </c>
      <c r="AQ2118">
        <f>HYPERLÄNK("http://localhost:8787/api/admin/requirements/documents/cmm4yung100necuqw0m62sood/view";"Öppna PDF")</f>
        <v/>
      </c>
      <c r="AR2118">
        <f>HYPERLINK("http://localhost:8787/api/admin/requirements/documents/cmm4yung100necuqw0m62sood/view","Open PDF")</f>
        <v/>
      </c>
      <c r="AS2118" t="inlineStr">
        <is>
          <t>cmm55w57p0004cuisfrtpqly8</t>
        </is>
      </c>
      <c r="AT2118" t="inlineStr">
        <is>
          <t>cmm4xvu980000cuh4vj0usz09</t>
        </is>
      </c>
      <c r="AU2118" t="inlineStr"/>
      <c r="AV2118" t="inlineStr">
        <is>
          <t>Kommun</t>
        </is>
      </c>
      <c r="AW2118" t="inlineStr"/>
      <c r="AX2118" t="inlineStr">
        <is>
          <t>2026-02</t>
        </is>
      </c>
      <c r="AY2118" t="inlineStr">
        <is>
          <t>Beslut</t>
        </is>
      </c>
      <c r="AZ2118" t="inlineStr">
        <is>
          <t>2026-02-03</t>
        </is>
      </c>
      <c r="BA2118" t="inlineStr">
        <is>
          <t>MIL20241002pdf_976462.pdf</t>
        </is>
      </c>
      <c r="BB2118" t="inlineStr">
        <is>
          <t>Begäran om allmän handling i ärende  MIL.2026.363</t>
        </is>
      </c>
      <c r="BC2118" t="inlineStr">
        <is>
          <t>AUTO</t>
        </is>
      </c>
      <c r="BD2118" t="inlineStr"/>
      <c r="BE2118" t="inlineStr"/>
      <c r="BF2118" t="inlineStr">
        <is>
          <t>AUTO_GENERERAD. Bekrafta metadata mot kallfil.</t>
        </is>
      </c>
      <c r="BG2118">
        <f>HYPERLINK("C:\Users\jimmy\Desktop\Examens arbete\Kod\Ny mapp\remix_-copy-of-miljöbeslut.se-portal\MIL20241002pdf_976462.pdf", "Öppna PDF")</f>
        <v/>
      </c>
    </row>
    <row r="2119">
      <c r="A2119" t="inlineStr">
        <is>
          <t>KRAV-AUTO-002118</t>
        </is>
      </c>
      <c r="B2119" t="inlineStr">
        <is>
          <t>ADMIN-INDEX-2026-02-27-00000000125C043F57453246863FE664CAFE6A3F0700950291EA24F0614FB6ACEDB12BF0E31D00000000010C0000950291EA24F0614FB6ACEDB12BF0E31D00002087B1960000</t>
        </is>
      </c>
      <c r="C2119" t="inlineStr">
        <is>
          <t>cmm4yung100necuqw0m62sood</t>
        </is>
      </c>
      <c r="D2119" t="inlineStr">
        <is>
          <t>http://localhost:8787/api/admin/requirements/documents/cmm4yung100necuqw0m62sood/view</t>
        </is>
      </c>
      <c r="E2119">
        <f>HYPERLÄNK("http://localhost:8787/api/admin/requirements/documents/cmm4yung100necuqw0m62sood/view";"Öppna PDF")</f>
        <v/>
      </c>
      <c r="F2119">
        <f>HYPERLINK("http://localhost:8787/api/admin/requirements/documents/cmm4yung100necuqw0m62sood/view","Open PDF")</f>
        <v/>
      </c>
      <c r="G2119" t="inlineStr">
        <is>
          <t>cmm55w57p0004cuisfrtpqly8</t>
        </is>
      </c>
      <c r="H2119" t="inlineStr">
        <is>
          <t>Beslutsvillkor</t>
        </is>
      </c>
      <c r="I2119" t="inlineStr">
        <is>
          <t>MiljopaverkanForsiktighet</t>
        </is>
      </c>
      <c r="J2119" t="inlineStr">
        <is>
          <t>Skyddsatgarder</t>
        </is>
      </c>
      <c r="K2119" t="inlineStr">
        <is>
          <t>Anmälan om mellanlagring av avloppsslam samt information om efterföljande spridning Vid spridning ska vi följa dessa skyddsavstång: 10 meter till vattenförande dike, 50 meter till vattentäkt eller bostäder och 2 meter till dräneringsbrunn.</t>
        </is>
      </c>
      <c r="L2119" t="inlineStr">
        <is>
          <t>Anmälan om mellanlagring av avloppsslam samt information om efterföljande spridning Vid spridning ska vi följa dessa skyddsavstång: 10 meter till vattenförande dike, 50 meter till vattentäkt eller bostäder och 2 meter till dräneringsbrunn.</t>
        </is>
      </c>
      <c r="M2119" t="inlineStr">
        <is>
          <t>SKA</t>
        </is>
      </c>
      <c r="N2119" t="inlineStr"/>
      <c r="O2119" t="inlineStr"/>
      <c r="P2119" t="inlineStr"/>
      <c r="Q2119" t="inlineStr"/>
      <c r="R2119" t="inlineStr">
        <is>
          <t>Alltid</t>
        </is>
      </c>
      <c r="S2119" t="inlineStr"/>
      <c r="T2119" t="inlineStr">
        <is>
          <t>893014</t>
        </is>
      </c>
      <c r="U2119" t="inlineStr"/>
      <c r="V2119" t="inlineStr"/>
      <c r="W2119" t="inlineStr">
        <is>
          <t>Nej</t>
        </is>
      </c>
      <c r="X2119" t="inlineStr">
        <is>
          <t>Nej</t>
        </is>
      </c>
      <c r="Y2119" t="inlineStr">
        <is>
          <t>Nej</t>
        </is>
      </c>
      <c r="Z2119" t="inlineStr">
        <is>
          <t>Nej</t>
        </is>
      </c>
      <c r="AA2119" t="n">
        <v>10</v>
      </c>
      <c r="AB2119" t="inlineStr">
        <is>
          <t>Miljopaverkan och forsiktighetsmatt</t>
        </is>
      </c>
      <c r="AC2119" t="inlineStr">
        <is>
          <t>Miljo-PM</t>
        </is>
      </c>
      <c r="AD2119" t="inlineStr">
        <is>
          <t>Nej</t>
        </is>
      </c>
      <c r="AE2119" t="inlineStr">
        <is>
          <t>Nej</t>
        </is>
      </c>
      <c r="AF2119" t="inlineStr">
        <is>
          <t>Ej behandlad</t>
        </is>
      </c>
      <c r="AG2119" t="inlineStr">
        <is>
          <t>AUTO_GENERERAD. Verifiera citat mot kallfil.</t>
        </is>
      </c>
      <c r="AH2119" t="inlineStr">
        <is>
          <t>MEDIUM</t>
        </is>
      </c>
      <c r="AI2119" t="inlineStr">
        <is>
          <t>AUTO</t>
        </is>
      </c>
      <c r="AJ2119" t="inlineStr">
        <is>
          <t>Nej</t>
        </is>
      </c>
      <c r="AK2119" t="inlineStr"/>
      <c r="AL2119" t="inlineStr"/>
      <c r="AM2119" t="inlineStr"/>
      <c r="AN2119" t="inlineStr"/>
      <c r="AO2119" t="inlineStr">
        <is>
          <t>cmm4yung100necuqw0m62sood</t>
        </is>
      </c>
      <c r="AP2119" t="inlineStr">
        <is>
          <t>http://localhost:8787/api/admin/requirements/documents/cmm4yung100necuqw0m62sood/view</t>
        </is>
      </c>
      <c r="AQ2119">
        <f>HYPERLÄNK("http://localhost:8787/api/admin/requirements/documents/cmm4yung100necuqw0m62sood/view";"Öppna PDF")</f>
        <v/>
      </c>
      <c r="AR2119">
        <f>HYPERLINK("http://localhost:8787/api/admin/requirements/documents/cmm4yung100necuqw0m62sood/view","Open PDF")</f>
        <v/>
      </c>
      <c r="AS2119" t="inlineStr">
        <is>
          <t>cmm55w57p0004cuisfrtpqly8</t>
        </is>
      </c>
      <c r="AT2119" t="inlineStr">
        <is>
          <t>cmm4xvu980000cuh4vj0usz09</t>
        </is>
      </c>
      <c r="AU2119" t="inlineStr"/>
      <c r="AV2119" t="inlineStr">
        <is>
          <t>Kommun</t>
        </is>
      </c>
      <c r="AW2119" t="inlineStr"/>
      <c r="AX2119" t="inlineStr">
        <is>
          <t>2026-02</t>
        </is>
      </c>
      <c r="AY2119" t="inlineStr">
        <is>
          <t>Beslut</t>
        </is>
      </c>
      <c r="AZ2119" t="inlineStr">
        <is>
          <t>2026-02-03</t>
        </is>
      </c>
      <c r="BA2119" t="inlineStr">
        <is>
          <t>MIL20241002pdf_976462.pdf</t>
        </is>
      </c>
      <c r="BB2119" t="inlineStr">
        <is>
          <t>Begäran om allmän handling i ärende  MIL.2026.363</t>
        </is>
      </c>
      <c r="BC2119" t="inlineStr">
        <is>
          <t>AUTO</t>
        </is>
      </c>
      <c r="BD2119" t="inlineStr"/>
      <c r="BE2119" t="inlineStr"/>
      <c r="BF2119" t="inlineStr">
        <is>
          <t>AUTO_GENERERAD. Bekrafta metadata mot kallfil.</t>
        </is>
      </c>
      <c r="BG2119">
        <f>HYPERLINK("C:\Users\jimmy\Desktop\Examens arbete\Kod\Ny mapp\remix_-copy-of-miljöbeslut.se-portal\MIL20241002pdf_976462.pdf", "Öppna PDF")</f>
        <v/>
      </c>
    </row>
    <row r="2120">
      <c r="A2120" t="inlineStr">
        <is>
          <t>KRAV-AUTO-002119</t>
        </is>
      </c>
      <c r="B2120" t="inlineStr">
        <is>
          <t>ADMIN-INDEX-2026-02-27-00000000125C043F57453246863FE664CAFE6A3F0700950291EA24F0614FB6ACEDB12BF0E31D00000000010C0000950291EA24F0614FB6ACEDB12BF0E31D00002087B1960000</t>
        </is>
      </c>
      <c r="C2120" t="inlineStr">
        <is>
          <t>cmm4yunfz00nbcuqwohp2z3ei</t>
        </is>
      </c>
      <c r="D2120" t="inlineStr">
        <is>
          <t>http://localhost:8787/api/admin/requirements/documents/cmm4yunfz00nbcuqwohp2z3ei/view</t>
        </is>
      </c>
      <c r="E2120">
        <f>HYPERLÄNK("http://localhost:8787/api/admin/requirements/documents/cmm4yunfz00nbcuqwohp2z3ei/view";"Öppna PDF")</f>
        <v/>
      </c>
      <c r="F2120">
        <f>HYPERLINK("http://localhost:8787/api/admin/requirements/documents/cmm4yunfz00nbcuqwohp2z3ei/view","Open PDF")</f>
        <v/>
      </c>
      <c r="G2120" t="inlineStr">
        <is>
          <t>cmm55w57p0004cuisfrtpqly8</t>
        </is>
      </c>
      <c r="H2120" t="inlineStr">
        <is>
          <t>Beslutsvillkor</t>
        </is>
      </c>
      <c r="I2120" t="inlineStr">
        <is>
          <t>DagvattenLakvatten</t>
        </is>
      </c>
      <c r="J2120" t="inlineStr">
        <is>
          <t>Uppsamling</t>
        </is>
      </c>
      <c r="K2120" t="inlineStr">
        <is>
          <t>Lagringen ska ske så att risken för uppkomst av lakvatten från rötslammet minimeras.</t>
        </is>
      </c>
      <c r="L2120" t="inlineStr">
        <is>
          <t>Lagringen ska ske så att risken för uppkomst av lakvatten från rötslammet minimeras.</t>
        </is>
      </c>
      <c r="M2120" t="inlineStr">
        <is>
          <t>SKA</t>
        </is>
      </c>
      <c r="N2120" t="inlineStr"/>
      <c r="O2120" t="inlineStr"/>
      <c r="P2120" t="inlineStr"/>
      <c r="Q2120" t="inlineStr"/>
      <c r="R2120" t="inlineStr">
        <is>
          <t>Vid nederbord och avrinning</t>
        </is>
      </c>
      <c r="S2120" t="inlineStr"/>
      <c r="T2120" t="inlineStr">
        <is>
          <t>79 2026</t>
        </is>
      </c>
      <c r="U2120" t="inlineStr"/>
      <c r="V2120" t="inlineStr"/>
      <c r="W2120" t="inlineStr">
        <is>
          <t>Nej</t>
        </is>
      </c>
      <c r="X2120" t="inlineStr">
        <is>
          <t>Ja</t>
        </is>
      </c>
      <c r="Y2120" t="inlineStr">
        <is>
          <t>Ja</t>
        </is>
      </c>
      <c r="Z2120" t="inlineStr">
        <is>
          <t>Nej</t>
        </is>
      </c>
      <c r="AA2120" t="n">
        <v>6</v>
      </c>
      <c r="AB2120" t="inlineStr">
        <is>
          <t>Lakvattenhantering</t>
        </is>
      </c>
      <c r="AC2120" t="inlineStr">
        <is>
          <t>Flodesschema dagvatten-lakvatten</t>
        </is>
      </c>
      <c r="AD2120" t="inlineStr">
        <is>
          <t>Nej</t>
        </is>
      </c>
      <c r="AE2120" t="inlineStr">
        <is>
          <t>Nej</t>
        </is>
      </c>
      <c r="AF2120" t="inlineStr">
        <is>
          <t>Ej behandlad</t>
        </is>
      </c>
      <c r="AG2120" t="inlineStr">
        <is>
          <t>AUTO_GENERERAD. Verifiera citat mot kallfil.</t>
        </is>
      </c>
      <c r="AH2120" t="inlineStr">
        <is>
          <t>MEDIUM</t>
        </is>
      </c>
      <c r="AI2120" t="inlineStr">
        <is>
          <t>AUTO</t>
        </is>
      </c>
      <c r="AJ2120" t="inlineStr">
        <is>
          <t>Nej</t>
        </is>
      </c>
      <c r="AK2120" t="inlineStr"/>
      <c r="AL2120" t="inlineStr"/>
      <c r="AM2120" t="inlineStr"/>
      <c r="AN2120" t="inlineStr"/>
      <c r="AO2120" t="inlineStr">
        <is>
          <t>cmm4yung100necuqw0m62sood</t>
        </is>
      </c>
      <c r="AP2120" t="inlineStr">
        <is>
          <t>http://localhost:8787/api/admin/requirements/documents/cmm4yung100necuqw0m62sood/view</t>
        </is>
      </c>
      <c r="AQ2120">
        <f>HYPERLÄNK("http://localhost:8787/api/admin/requirements/documents/cmm4yung100necuqw0m62sood/view";"Öppna PDF")</f>
        <v/>
      </c>
      <c r="AR2120">
        <f>HYPERLINK("http://localhost:8787/api/admin/requirements/documents/cmm4yung100necuqw0m62sood/view","Open PDF")</f>
        <v/>
      </c>
      <c r="AS2120" t="inlineStr">
        <is>
          <t>cmm55w57p0004cuisfrtpqly8</t>
        </is>
      </c>
      <c r="AT2120" t="inlineStr">
        <is>
          <t>cmm4xvu980000cuh4vj0usz09</t>
        </is>
      </c>
      <c r="AU2120" t="inlineStr"/>
      <c r="AV2120" t="inlineStr">
        <is>
          <t>Kommun</t>
        </is>
      </c>
      <c r="AW2120" t="inlineStr"/>
      <c r="AX2120" t="inlineStr">
        <is>
          <t>2026-02</t>
        </is>
      </c>
      <c r="AY2120" t="inlineStr">
        <is>
          <t>Beslut</t>
        </is>
      </c>
      <c r="AZ2120" t="inlineStr">
        <is>
          <t>2026-02-03</t>
        </is>
      </c>
      <c r="BA2120" t="inlineStr">
        <is>
          <t>MIL20241002pdf_976462.pdf</t>
        </is>
      </c>
      <c r="BB2120" t="inlineStr">
        <is>
          <t>Begäran om allmän handling i ärende  MIL.2026.363</t>
        </is>
      </c>
      <c r="BC2120" t="inlineStr">
        <is>
          <t>AUTO</t>
        </is>
      </c>
      <c r="BD2120" t="inlineStr"/>
      <c r="BE2120" t="inlineStr"/>
      <c r="BF2120" t="inlineStr">
        <is>
          <t>AUTO_GENERERAD. Bekrafta metadata mot kallfil.</t>
        </is>
      </c>
      <c r="BG2120">
        <f>HYPERLINK("C:\Users\jimmy\Desktop\Examens arbete\Kod\Ny mapp\remix_-copy-of-miljöbeslut.se-portal\MIL20241002pdf_976462.pdf", "Öppna PDF")</f>
        <v/>
      </c>
    </row>
    <row r="2121">
      <c r="A2121" t="inlineStr">
        <is>
          <t>KRAV-AUTO-002120</t>
        </is>
      </c>
      <c r="B2121" t="inlineStr">
        <is>
          <t>ADMIN-INDEX-2026-02-27-00000000125C043F57453246863FE664CAFE6A3F0700950291EA24F0614FB6ACEDB12BF0E31D00000000010C0000950291EA24F0614FB6ACEDB12BF0E31D00002087B1960000</t>
        </is>
      </c>
      <c r="C2121" t="inlineStr">
        <is>
          <t>cmm4yunfz00nbcuqwohp2z3ei</t>
        </is>
      </c>
      <c r="D2121" t="inlineStr">
        <is>
          <t>http://localhost:8787/api/admin/requirements/documents/cmm4yunfz00nbcuqwohp2z3ei/view</t>
        </is>
      </c>
      <c r="E2121">
        <f>HYPERLÄNK("http://localhost:8787/api/admin/requirements/documents/cmm4yunfz00nbcuqwohp2z3ei/view";"Öppna PDF")</f>
        <v/>
      </c>
      <c r="F2121">
        <f>HYPERLINK("http://localhost:8787/api/admin/requirements/documents/cmm4yunfz00nbcuqwohp2z3ei/view","Open PDF")</f>
        <v/>
      </c>
      <c r="G2121" t="inlineStr">
        <is>
          <t>cmm55w57p0004cuisfrtpqly8</t>
        </is>
      </c>
      <c r="H2121" t="inlineStr">
        <is>
          <t>Beslutsvillkor</t>
        </is>
      </c>
      <c r="I2121" t="inlineStr">
        <is>
          <t>DriftEgenkontroll</t>
        </is>
      </c>
      <c r="J2121" t="inlineStr">
        <is>
          <t>Journalforing</t>
        </is>
      </c>
      <c r="K2121" t="inlineStr">
        <is>
          <t>Jordprovtagningskarta bifogas.</t>
        </is>
      </c>
      <c r="L2121" t="inlineStr">
        <is>
          <t>Jordprovtagningskarta bifogas.</t>
        </is>
      </c>
      <c r="M2121" t="inlineStr">
        <is>
          <t>SKA</t>
        </is>
      </c>
      <c r="N2121" t="inlineStr"/>
      <c r="O2121" t="inlineStr"/>
      <c r="P2121" t="inlineStr"/>
      <c r="Q2121" t="inlineStr"/>
      <c r="R2121" t="inlineStr">
        <is>
          <t>Lopande drift</t>
        </is>
      </c>
      <c r="S2121" t="inlineStr"/>
      <c r="T2121" t="inlineStr">
        <is>
          <t>79 2026</t>
        </is>
      </c>
      <c r="U2121" t="inlineStr"/>
      <c r="V2121" t="inlineStr"/>
      <c r="W2121" t="inlineStr">
        <is>
          <t>Nej</t>
        </is>
      </c>
      <c r="X2121" t="inlineStr">
        <is>
          <t>Nej</t>
        </is>
      </c>
      <c r="Y2121" t="inlineStr">
        <is>
          <t>Ja</t>
        </is>
      </c>
      <c r="Z2121" t="inlineStr">
        <is>
          <t>Nej</t>
        </is>
      </c>
      <c r="AA2121" t="n">
        <v>7</v>
      </c>
      <c r="AB2121" t="inlineStr">
        <is>
          <t>Egenkontrollrutiner</t>
        </is>
      </c>
      <c r="AC2121" t="inlineStr">
        <is>
          <t>Egenkontrollprogram</t>
        </is>
      </c>
      <c r="AD2121" t="inlineStr">
        <is>
          <t>Nej</t>
        </is>
      </c>
      <c r="AE2121" t="inlineStr">
        <is>
          <t>Nej</t>
        </is>
      </c>
      <c r="AF2121" t="inlineStr">
        <is>
          <t>Ej behandlad</t>
        </is>
      </c>
      <c r="AG2121" t="inlineStr">
        <is>
          <t>AUTO_GENERERAD. Verifiera citat mot kallfil.</t>
        </is>
      </c>
      <c r="AH2121" t="inlineStr">
        <is>
          <t>LOW</t>
        </is>
      </c>
      <c r="AI2121" t="inlineStr">
        <is>
          <t>AUTO</t>
        </is>
      </c>
      <c r="AJ2121" t="inlineStr">
        <is>
          <t>Nej</t>
        </is>
      </c>
      <c r="AK2121" t="inlineStr"/>
      <c r="AL2121" t="inlineStr"/>
      <c r="AM2121" t="inlineStr"/>
      <c r="AN2121" t="inlineStr"/>
      <c r="AO2121" t="inlineStr">
        <is>
          <t>cmm4yung100necuqw0m62sood</t>
        </is>
      </c>
      <c r="AP2121" t="inlineStr">
        <is>
          <t>http://localhost:8787/api/admin/requirements/documents/cmm4yung100necuqw0m62sood/view</t>
        </is>
      </c>
      <c r="AQ2121">
        <f>HYPERLÄNK("http://localhost:8787/api/admin/requirements/documents/cmm4yung100necuqw0m62sood/view";"Öppna PDF")</f>
        <v/>
      </c>
      <c r="AR2121">
        <f>HYPERLINK("http://localhost:8787/api/admin/requirements/documents/cmm4yung100necuqw0m62sood/view","Open PDF")</f>
        <v/>
      </c>
      <c r="AS2121" t="inlineStr">
        <is>
          <t>cmm55w57p0004cuisfrtpqly8</t>
        </is>
      </c>
      <c r="AT2121" t="inlineStr">
        <is>
          <t>cmm4xvu980000cuh4vj0usz09</t>
        </is>
      </c>
      <c r="AU2121" t="inlineStr"/>
      <c r="AV2121" t="inlineStr">
        <is>
          <t>Kommun</t>
        </is>
      </c>
      <c r="AW2121" t="inlineStr"/>
      <c r="AX2121" t="inlineStr">
        <is>
          <t>2026-02</t>
        </is>
      </c>
      <c r="AY2121" t="inlineStr">
        <is>
          <t>Beslut</t>
        </is>
      </c>
      <c r="AZ2121" t="inlineStr">
        <is>
          <t>2026-02-03</t>
        </is>
      </c>
      <c r="BA2121" t="inlineStr">
        <is>
          <t>MIL20241002pdf_976462.pdf</t>
        </is>
      </c>
      <c r="BB2121" t="inlineStr">
        <is>
          <t>Begäran om allmän handling i ärende  MIL.2026.363</t>
        </is>
      </c>
      <c r="BC2121" t="inlineStr">
        <is>
          <t>AUTO</t>
        </is>
      </c>
      <c r="BD2121" t="inlineStr"/>
      <c r="BE2121" t="inlineStr"/>
      <c r="BF2121" t="inlineStr">
        <is>
          <t>AUTO_GENERERAD. Bekrafta metadata mot kallfil.</t>
        </is>
      </c>
      <c r="BG2121">
        <f>HYPERLINK("C:\Users\jimmy\Desktop\Examens arbete\Kod\Ny mapp\remix_-copy-of-miljöbeslut.se-portal\MIL20241002pdf_976462.pdf", "Öppna PDF")</f>
        <v/>
      </c>
    </row>
    <row r="2122">
      <c r="A2122" t="inlineStr">
        <is>
          <t>KRAV-AUTO-002121</t>
        </is>
      </c>
      <c r="B2122" t="inlineStr">
        <is>
          <t>ADMIN-INDEX-2026-02-27-00000000125C043F57453246863FE664CAFE6A3F0700950291EA24F0614FB6ACEDB12BF0E31D00000000010C0000950291EA24F0614FB6ACEDB12BF0E31D00002087B1960000</t>
        </is>
      </c>
      <c r="C2122" t="inlineStr">
        <is>
          <t>cmm4yunfz00nbcuqwohp2z3ei</t>
        </is>
      </c>
      <c r="D2122" t="inlineStr">
        <is>
          <t>http://localhost:8787/api/admin/requirements/documents/cmm4yunfz00nbcuqwohp2z3ei/view</t>
        </is>
      </c>
      <c r="E2122">
        <f>HYPERLÄNK("http://localhost:8787/api/admin/requirements/documents/cmm4yunfz00nbcuqwohp2z3ei/view";"Öppna PDF")</f>
        <v/>
      </c>
      <c r="F2122">
        <f>HYPERLINK("http://localhost:8787/api/admin/requirements/documents/cmm4yunfz00nbcuqwohp2z3ei/view","Open PDF")</f>
        <v/>
      </c>
      <c r="G2122" t="inlineStr">
        <is>
          <t>cmm55w57p0004cuisfrtpqly8</t>
        </is>
      </c>
      <c r="H2122" t="inlineStr">
        <is>
          <t>Beslutsvillkor</t>
        </is>
      </c>
      <c r="I2122" t="inlineStr">
        <is>
          <t>Riskhantering</t>
        </is>
      </c>
      <c r="J2122" t="inlineStr">
        <is>
          <t>Riskkontroll</t>
        </is>
      </c>
      <c r="K2122" t="inlineStr">
        <is>
          <t>Täckning ska med hänsyn till risk för luktolägenhet göras i snar anslutning till uppläggning.</t>
        </is>
      </c>
      <c r="L2122" t="inlineStr">
        <is>
          <t>Täckning ska med hänsyn till risk för luktolägenhet göras i snar anslutning till uppläggning.</t>
        </is>
      </c>
      <c r="M2122" t="inlineStr">
        <is>
          <t>SKA</t>
        </is>
      </c>
      <c r="N2122" t="inlineStr"/>
      <c r="O2122" t="inlineStr"/>
      <c r="P2122" t="inlineStr"/>
      <c r="Q2122" t="inlineStr"/>
      <c r="R2122" t="inlineStr">
        <is>
          <t>Vid risk for incident</t>
        </is>
      </c>
      <c r="S2122" t="inlineStr"/>
      <c r="T2122" t="inlineStr">
        <is>
          <t>79 2026</t>
        </is>
      </c>
      <c r="U2122" t="inlineStr"/>
      <c r="V2122" t="inlineStr"/>
      <c r="W2122" t="inlineStr">
        <is>
          <t>Nej</t>
        </is>
      </c>
      <c r="X2122" t="inlineStr">
        <is>
          <t>Nej</t>
        </is>
      </c>
      <c r="Y2122" t="inlineStr">
        <is>
          <t>Ja</t>
        </is>
      </c>
      <c r="Z2122" t="inlineStr">
        <is>
          <t>Ja</t>
        </is>
      </c>
      <c r="AA2122" t="n">
        <v>8</v>
      </c>
      <c r="AB2122" t="inlineStr">
        <is>
          <t>Riskhantering</t>
        </is>
      </c>
      <c r="AC2122" t="inlineStr">
        <is>
          <t>Risk-PM</t>
        </is>
      </c>
      <c r="AD2122" t="inlineStr">
        <is>
          <t>Nej</t>
        </is>
      </c>
      <c r="AE2122" t="inlineStr">
        <is>
          <t>Nej</t>
        </is>
      </c>
      <c r="AF2122" t="inlineStr">
        <is>
          <t>Ej behandlad</t>
        </is>
      </c>
      <c r="AG2122" t="inlineStr">
        <is>
          <t>AUTO_GENERERAD. Verifiera citat mot kallfil.</t>
        </is>
      </c>
      <c r="AH2122" t="inlineStr">
        <is>
          <t>MEDIUM</t>
        </is>
      </c>
      <c r="AI2122" t="inlineStr">
        <is>
          <t>AUTO</t>
        </is>
      </c>
      <c r="AJ2122" t="inlineStr">
        <is>
          <t>Nej</t>
        </is>
      </c>
      <c r="AK2122" t="inlineStr"/>
      <c r="AL2122" t="inlineStr"/>
      <c r="AM2122" t="inlineStr"/>
      <c r="AN2122" t="inlineStr"/>
      <c r="AO2122" t="inlineStr">
        <is>
          <t>cmm4yung100necuqw0m62sood</t>
        </is>
      </c>
      <c r="AP2122" t="inlineStr">
        <is>
          <t>http://localhost:8787/api/admin/requirements/documents/cmm4yung100necuqw0m62sood/view</t>
        </is>
      </c>
      <c r="AQ2122">
        <f>HYPERLÄNK("http://localhost:8787/api/admin/requirements/documents/cmm4yung100necuqw0m62sood/view";"Öppna PDF")</f>
        <v/>
      </c>
      <c r="AR2122">
        <f>HYPERLINK("http://localhost:8787/api/admin/requirements/documents/cmm4yung100necuqw0m62sood/view","Open PDF")</f>
        <v/>
      </c>
      <c r="AS2122" t="inlineStr">
        <is>
          <t>cmm55w57p0004cuisfrtpqly8</t>
        </is>
      </c>
      <c r="AT2122" t="inlineStr">
        <is>
          <t>cmm4xvu980000cuh4vj0usz09</t>
        </is>
      </c>
      <c r="AU2122" t="inlineStr"/>
      <c r="AV2122" t="inlineStr">
        <is>
          <t>Kommun</t>
        </is>
      </c>
      <c r="AW2122" t="inlineStr"/>
      <c r="AX2122" t="inlineStr">
        <is>
          <t>2026-02</t>
        </is>
      </c>
      <c r="AY2122" t="inlineStr">
        <is>
          <t>Beslut</t>
        </is>
      </c>
      <c r="AZ2122" t="inlineStr">
        <is>
          <t>2026-02-03</t>
        </is>
      </c>
      <c r="BA2122" t="inlineStr">
        <is>
          <t>MIL20241002pdf_976462.pdf</t>
        </is>
      </c>
      <c r="BB2122" t="inlineStr">
        <is>
          <t>Begäran om allmän handling i ärende  MIL.2026.363</t>
        </is>
      </c>
      <c r="BC2122" t="inlineStr">
        <is>
          <t>AUTO</t>
        </is>
      </c>
      <c r="BD2122" t="inlineStr"/>
      <c r="BE2122" t="inlineStr"/>
      <c r="BF2122" t="inlineStr">
        <is>
          <t>AUTO_GENERERAD. Bekrafta metadata mot kallfil.</t>
        </is>
      </c>
      <c r="BG2122">
        <f>HYPERLINK("C:\Users\jimmy\Desktop\Examens arbete\Kod\Ny mapp\remix_-copy-of-miljöbeslut.se-portal\MIL20241002pdf_976462.pdf", "Öppna PDF")</f>
        <v/>
      </c>
    </row>
    <row r="2123">
      <c r="A2123" t="inlineStr">
        <is>
          <t>KRAV-AUTO-002122</t>
        </is>
      </c>
      <c r="B2123" t="inlineStr">
        <is>
          <t>ADMIN-INDEX-2026-02-27-00000000125C043F57453246863FE664CAFE6A3F0700950291EA24F0614FB6ACEDB12BF0E31D00000000010C0000950291EA24F0614FB6ACEDB12BF0E31D00002087B1960000</t>
        </is>
      </c>
      <c r="C2123" t="inlineStr">
        <is>
          <t>cmm4yunfx00n8cuqwip626fan</t>
        </is>
      </c>
      <c r="D2123" t="inlineStr">
        <is>
          <t>http://localhost:8787/api/admin/requirements/documents/cmm4yunfx00n8cuqwip626fan/view</t>
        </is>
      </c>
      <c r="E2123">
        <f>HYPERLÄNK("http://localhost:8787/api/admin/requirements/documents/cmm4yunfx00n8cuqwip626fan/view";"Öppna PDF")</f>
        <v/>
      </c>
      <c r="F2123">
        <f>HYPERLINK("http://localhost:8787/api/admin/requirements/documents/cmm4yunfx00n8cuqwip626fan/view","Open PDF")</f>
        <v/>
      </c>
      <c r="G2123" t="inlineStr">
        <is>
          <t>cmm55w57p0004cuisfrtpqly8</t>
        </is>
      </c>
      <c r="H2123" t="inlineStr">
        <is>
          <t>Beslutsvillkor</t>
        </is>
      </c>
      <c r="I2123" t="inlineStr">
        <is>
          <t>DagvattenLakvatten</t>
        </is>
      </c>
      <c r="J2123" t="inlineStr">
        <is>
          <t>Uppsamling</t>
        </is>
      </c>
      <c r="K2123" t="inlineStr">
        <is>
          <t>Lagringen ska ske så att risken för uppkomst av lakvatten från rötslammet minimeras.</t>
        </is>
      </c>
      <c r="L2123" t="inlineStr">
        <is>
          <t>Lagringen ska ske så att risken för uppkomst av lakvatten från rötslammet minimeras.</t>
        </is>
      </c>
      <c r="M2123" t="inlineStr">
        <is>
          <t>SKA</t>
        </is>
      </c>
      <c r="N2123" t="inlineStr"/>
      <c r="O2123" t="inlineStr"/>
      <c r="P2123" t="inlineStr"/>
      <c r="Q2123" t="inlineStr"/>
      <c r="R2123" t="inlineStr">
        <is>
          <t>Vid nederbord och avrinning</t>
        </is>
      </c>
      <c r="S2123" t="inlineStr"/>
      <c r="T2123" t="inlineStr">
        <is>
          <t>48 2026</t>
        </is>
      </c>
      <c r="U2123" t="inlineStr"/>
      <c r="V2123" t="inlineStr"/>
      <c r="W2123" t="inlineStr">
        <is>
          <t>Nej</t>
        </is>
      </c>
      <c r="X2123" t="inlineStr">
        <is>
          <t>Ja</t>
        </is>
      </c>
      <c r="Y2123" t="inlineStr">
        <is>
          <t>Ja</t>
        </is>
      </c>
      <c r="Z2123" t="inlineStr">
        <is>
          <t>Nej</t>
        </is>
      </c>
      <c r="AA2123" t="n">
        <v>6</v>
      </c>
      <c r="AB2123" t="inlineStr">
        <is>
          <t>Lakvattenhantering</t>
        </is>
      </c>
      <c r="AC2123" t="inlineStr">
        <is>
          <t>Flodesschema dagvatten-lakvatten</t>
        </is>
      </c>
      <c r="AD2123" t="inlineStr">
        <is>
          <t>Nej</t>
        </is>
      </c>
      <c r="AE2123" t="inlineStr">
        <is>
          <t>Nej</t>
        </is>
      </c>
      <c r="AF2123" t="inlineStr">
        <is>
          <t>Ej behandlad</t>
        </is>
      </c>
      <c r="AG2123" t="inlineStr">
        <is>
          <t>AUTO_GENERERAD. Verifiera citat mot kallfil.</t>
        </is>
      </c>
      <c r="AH2123" t="inlineStr">
        <is>
          <t>MEDIUM</t>
        </is>
      </c>
      <c r="AI2123" t="inlineStr">
        <is>
          <t>AUTO</t>
        </is>
      </c>
      <c r="AJ2123" t="inlineStr">
        <is>
          <t>Nej</t>
        </is>
      </c>
      <c r="AK2123" t="inlineStr"/>
      <c r="AL2123" t="inlineStr"/>
      <c r="AM2123" t="inlineStr"/>
      <c r="AN2123" t="inlineStr"/>
      <c r="AO2123" t="inlineStr">
        <is>
          <t>cmm4yung100necuqw0m62sood</t>
        </is>
      </c>
      <c r="AP2123" t="inlineStr">
        <is>
          <t>http://localhost:8787/api/admin/requirements/documents/cmm4yung100necuqw0m62sood/view</t>
        </is>
      </c>
      <c r="AQ2123">
        <f>HYPERLÄNK("http://localhost:8787/api/admin/requirements/documents/cmm4yung100necuqw0m62sood/view";"Öppna PDF")</f>
        <v/>
      </c>
      <c r="AR2123">
        <f>HYPERLINK("http://localhost:8787/api/admin/requirements/documents/cmm4yung100necuqw0m62sood/view","Open PDF")</f>
        <v/>
      </c>
      <c r="AS2123" t="inlineStr">
        <is>
          <t>cmm55w57p0004cuisfrtpqly8</t>
        </is>
      </c>
      <c r="AT2123" t="inlineStr">
        <is>
          <t>cmm4xvu980000cuh4vj0usz09</t>
        </is>
      </c>
      <c r="AU2123" t="inlineStr"/>
      <c r="AV2123" t="inlineStr">
        <is>
          <t>Kommun</t>
        </is>
      </c>
      <c r="AW2123" t="inlineStr"/>
      <c r="AX2123" t="inlineStr">
        <is>
          <t>2026-02</t>
        </is>
      </c>
      <c r="AY2123" t="inlineStr">
        <is>
          <t>Beslut</t>
        </is>
      </c>
      <c r="AZ2123" t="inlineStr">
        <is>
          <t>2026-02-03</t>
        </is>
      </c>
      <c r="BA2123" t="inlineStr">
        <is>
          <t>MIL20241002pdf_976462.pdf</t>
        </is>
      </c>
      <c r="BB2123" t="inlineStr">
        <is>
          <t>Begäran om allmän handling i ärende  MIL.2026.363</t>
        </is>
      </c>
      <c r="BC2123" t="inlineStr">
        <is>
          <t>AUTO</t>
        </is>
      </c>
      <c r="BD2123" t="inlineStr"/>
      <c r="BE2123" t="inlineStr"/>
      <c r="BF2123" t="inlineStr">
        <is>
          <t>AUTO_GENERERAD. Bekrafta metadata mot kallfil.</t>
        </is>
      </c>
      <c r="BG2123">
        <f>HYPERLINK("C:\Users\jimmy\Desktop\Examens arbete\Kod\Ny mapp\remix_-copy-of-miljöbeslut.se-portal\MIL20241002pdf_976462.pdf", "Öppna PDF")</f>
        <v/>
      </c>
    </row>
    <row r="2124">
      <c r="A2124" t="inlineStr">
        <is>
          <t>KRAV-AUTO-002123</t>
        </is>
      </c>
      <c r="B2124" t="inlineStr">
        <is>
          <t>ADMIN-INDEX-2026-02-27-00000000125C043F57453246863FE664CAFE6A3F0700950291EA24F0614FB6ACEDB12BF0E31D00000000010C0000950291EA24F0614FB6ACEDB12BF0E31D00002087B1960000</t>
        </is>
      </c>
      <c r="C2124" t="inlineStr">
        <is>
          <t>cmm4yunfx00n8cuqwip626fan</t>
        </is>
      </c>
      <c r="D2124" t="inlineStr">
        <is>
          <t>http://localhost:8787/api/admin/requirements/documents/cmm4yunfx00n8cuqwip626fan/view</t>
        </is>
      </c>
      <c r="E2124">
        <f>HYPERLÄNK("http://localhost:8787/api/admin/requirements/documents/cmm4yunfx00n8cuqwip626fan/view";"Öppna PDF")</f>
        <v/>
      </c>
      <c r="F2124">
        <f>HYPERLINK("http://localhost:8787/api/admin/requirements/documents/cmm4yunfx00n8cuqwip626fan/view","Open PDF")</f>
        <v/>
      </c>
      <c r="G2124" t="inlineStr">
        <is>
          <t>cmm55w57p0004cuisfrtpqly8</t>
        </is>
      </c>
      <c r="H2124" t="inlineStr">
        <is>
          <t>Beslutsvillkor</t>
        </is>
      </c>
      <c r="I2124" t="inlineStr">
        <is>
          <t>DriftEgenkontroll</t>
        </is>
      </c>
      <c r="J2124" t="inlineStr">
        <is>
          <t>Journalforing</t>
        </is>
      </c>
      <c r="K2124" t="inlineStr">
        <is>
          <t>Jordprovtagningskarta bifogas.</t>
        </is>
      </c>
      <c r="L2124" t="inlineStr">
        <is>
          <t>Jordprovtagningskarta bifogas.</t>
        </is>
      </c>
      <c r="M2124" t="inlineStr">
        <is>
          <t>SKA</t>
        </is>
      </c>
      <c r="N2124" t="inlineStr"/>
      <c r="O2124" t="inlineStr"/>
      <c r="P2124" t="inlineStr"/>
      <c r="Q2124" t="inlineStr"/>
      <c r="R2124" t="inlineStr">
        <is>
          <t>Lopande drift</t>
        </is>
      </c>
      <c r="S2124" t="inlineStr"/>
      <c r="T2124" t="inlineStr">
        <is>
          <t>48 2026</t>
        </is>
      </c>
      <c r="U2124" t="inlineStr"/>
      <c r="V2124" t="inlineStr"/>
      <c r="W2124" t="inlineStr">
        <is>
          <t>Nej</t>
        </is>
      </c>
      <c r="X2124" t="inlineStr">
        <is>
          <t>Nej</t>
        </is>
      </c>
      <c r="Y2124" t="inlineStr">
        <is>
          <t>Ja</t>
        </is>
      </c>
      <c r="Z2124" t="inlineStr">
        <is>
          <t>Nej</t>
        </is>
      </c>
      <c r="AA2124" t="n">
        <v>7</v>
      </c>
      <c r="AB2124" t="inlineStr">
        <is>
          <t>Egenkontrollrutiner</t>
        </is>
      </c>
      <c r="AC2124" t="inlineStr">
        <is>
          <t>Egenkontrollprogram</t>
        </is>
      </c>
      <c r="AD2124" t="inlineStr">
        <is>
          <t>Nej</t>
        </is>
      </c>
      <c r="AE2124" t="inlineStr">
        <is>
          <t>Nej</t>
        </is>
      </c>
      <c r="AF2124" t="inlineStr">
        <is>
          <t>Ej behandlad</t>
        </is>
      </c>
      <c r="AG2124" t="inlineStr">
        <is>
          <t>AUTO_GENERERAD. Verifiera citat mot kallfil.</t>
        </is>
      </c>
      <c r="AH2124" t="inlineStr">
        <is>
          <t>LOW</t>
        </is>
      </c>
      <c r="AI2124" t="inlineStr">
        <is>
          <t>AUTO</t>
        </is>
      </c>
      <c r="AJ2124" t="inlineStr">
        <is>
          <t>Nej</t>
        </is>
      </c>
      <c r="AK2124" t="inlineStr"/>
      <c r="AL2124" t="inlineStr"/>
      <c r="AM2124" t="inlineStr"/>
      <c r="AN2124" t="inlineStr"/>
      <c r="AO2124" t="inlineStr">
        <is>
          <t>cmm4yung100necuqw0m62sood</t>
        </is>
      </c>
      <c r="AP2124" t="inlineStr">
        <is>
          <t>http://localhost:8787/api/admin/requirements/documents/cmm4yung100necuqw0m62sood/view</t>
        </is>
      </c>
      <c r="AQ2124">
        <f>HYPERLÄNK("http://localhost:8787/api/admin/requirements/documents/cmm4yung100necuqw0m62sood/view";"Öppna PDF")</f>
        <v/>
      </c>
      <c r="AR2124">
        <f>HYPERLINK("http://localhost:8787/api/admin/requirements/documents/cmm4yung100necuqw0m62sood/view","Open PDF")</f>
        <v/>
      </c>
      <c r="AS2124" t="inlineStr">
        <is>
          <t>cmm55w57p0004cuisfrtpqly8</t>
        </is>
      </c>
      <c r="AT2124" t="inlineStr">
        <is>
          <t>cmm4xvu980000cuh4vj0usz09</t>
        </is>
      </c>
      <c r="AU2124" t="inlineStr"/>
      <c r="AV2124" t="inlineStr">
        <is>
          <t>Kommun</t>
        </is>
      </c>
      <c r="AW2124" t="inlineStr"/>
      <c r="AX2124" t="inlineStr">
        <is>
          <t>2026-02</t>
        </is>
      </c>
      <c r="AY2124" t="inlineStr">
        <is>
          <t>Beslut</t>
        </is>
      </c>
      <c r="AZ2124" t="inlineStr">
        <is>
          <t>2026-02-03</t>
        </is>
      </c>
      <c r="BA2124" t="inlineStr">
        <is>
          <t>MIL20241002pdf_976462.pdf</t>
        </is>
      </c>
      <c r="BB2124" t="inlineStr">
        <is>
          <t>Begäran om allmän handling i ärende  MIL.2026.363</t>
        </is>
      </c>
      <c r="BC2124" t="inlineStr">
        <is>
          <t>AUTO</t>
        </is>
      </c>
      <c r="BD2124" t="inlineStr"/>
      <c r="BE2124" t="inlineStr"/>
      <c r="BF2124" t="inlineStr">
        <is>
          <t>AUTO_GENERERAD. Bekrafta metadata mot kallfil.</t>
        </is>
      </c>
      <c r="BG2124">
        <f>HYPERLINK("C:\Users\jimmy\Desktop\Examens arbete\Kod\Ny mapp\remix_-copy-of-miljöbeslut.se-portal\MIL20241002pdf_976462.pdf", "Öppna PDF")</f>
        <v/>
      </c>
    </row>
    <row r="2125">
      <c r="A2125" t="inlineStr">
        <is>
          <t>KRAV-AUTO-002124</t>
        </is>
      </c>
      <c r="B2125" t="inlineStr">
        <is>
          <t>ADMIN-INDEX-2026-02-27-00000000125C043F57453246863FE664CAFE6A3F0700950291EA24F0614FB6ACEDB12BF0E31D00000000010C0000950291EA24F0614FB6ACEDB12BF0E31D00002087B1960000</t>
        </is>
      </c>
      <c r="C2125" t="inlineStr">
        <is>
          <t>cmm4yunfx00n8cuqwip626fan</t>
        </is>
      </c>
      <c r="D2125" t="inlineStr">
        <is>
          <t>http://localhost:8787/api/admin/requirements/documents/cmm4yunfx00n8cuqwip626fan/view</t>
        </is>
      </c>
      <c r="E2125">
        <f>HYPERLÄNK("http://localhost:8787/api/admin/requirements/documents/cmm4yunfx00n8cuqwip626fan/view";"Öppna PDF")</f>
        <v/>
      </c>
      <c r="F2125">
        <f>HYPERLINK("http://localhost:8787/api/admin/requirements/documents/cmm4yunfx00n8cuqwip626fan/view","Open PDF")</f>
        <v/>
      </c>
      <c r="G2125" t="inlineStr">
        <is>
          <t>cmm55w57p0004cuisfrtpqly8</t>
        </is>
      </c>
      <c r="H2125" t="inlineStr">
        <is>
          <t>Beslutsvillkor</t>
        </is>
      </c>
      <c r="I2125" t="inlineStr">
        <is>
          <t>Riskhantering</t>
        </is>
      </c>
      <c r="J2125" t="inlineStr">
        <is>
          <t>Riskkontroll</t>
        </is>
      </c>
      <c r="K2125" t="inlineStr">
        <is>
          <t>Täckning ska med hänsyn till risk för luktolägenhet göras i snar anslutning till uppläggning.</t>
        </is>
      </c>
      <c r="L2125" t="inlineStr">
        <is>
          <t>Täckning ska med hänsyn till risk för luktolägenhet göras i snar anslutning till uppläggning.</t>
        </is>
      </c>
      <c r="M2125" t="inlineStr">
        <is>
          <t>SKA</t>
        </is>
      </c>
      <c r="N2125" t="inlineStr"/>
      <c r="O2125" t="inlineStr"/>
      <c r="P2125" t="inlineStr"/>
      <c r="Q2125" t="inlineStr"/>
      <c r="R2125" t="inlineStr">
        <is>
          <t>Vid risk for incident</t>
        </is>
      </c>
      <c r="S2125" t="inlineStr"/>
      <c r="T2125" t="inlineStr">
        <is>
          <t>48 2026</t>
        </is>
      </c>
      <c r="U2125" t="inlineStr"/>
      <c r="V2125" t="inlineStr"/>
      <c r="W2125" t="inlineStr">
        <is>
          <t>Nej</t>
        </is>
      </c>
      <c r="X2125" t="inlineStr">
        <is>
          <t>Nej</t>
        </is>
      </c>
      <c r="Y2125" t="inlineStr">
        <is>
          <t>Ja</t>
        </is>
      </c>
      <c r="Z2125" t="inlineStr">
        <is>
          <t>Ja</t>
        </is>
      </c>
      <c r="AA2125" t="n">
        <v>8</v>
      </c>
      <c r="AB2125" t="inlineStr">
        <is>
          <t>Riskhantering</t>
        </is>
      </c>
      <c r="AC2125" t="inlineStr">
        <is>
          <t>Risk-PM</t>
        </is>
      </c>
      <c r="AD2125" t="inlineStr">
        <is>
          <t>Nej</t>
        </is>
      </c>
      <c r="AE2125" t="inlineStr">
        <is>
          <t>Nej</t>
        </is>
      </c>
      <c r="AF2125" t="inlineStr">
        <is>
          <t>Ej behandlad</t>
        </is>
      </c>
      <c r="AG2125" t="inlineStr">
        <is>
          <t>AUTO_GENERERAD. Verifiera citat mot kallfil.</t>
        </is>
      </c>
      <c r="AH2125" t="inlineStr">
        <is>
          <t>MEDIUM</t>
        </is>
      </c>
      <c r="AI2125" t="inlineStr">
        <is>
          <t>AUTO</t>
        </is>
      </c>
      <c r="AJ2125" t="inlineStr">
        <is>
          <t>Nej</t>
        </is>
      </c>
      <c r="AK2125" t="inlineStr"/>
      <c r="AL2125" t="inlineStr"/>
      <c r="AM2125" t="inlineStr"/>
      <c r="AN2125" t="inlineStr"/>
      <c r="AO2125" t="inlineStr">
        <is>
          <t>cmm4yung100necuqw0m62sood</t>
        </is>
      </c>
      <c r="AP2125" t="inlineStr">
        <is>
          <t>http://localhost:8787/api/admin/requirements/documents/cmm4yung100necuqw0m62sood/view</t>
        </is>
      </c>
      <c r="AQ2125">
        <f>HYPERLÄNK("http://localhost:8787/api/admin/requirements/documents/cmm4yung100necuqw0m62sood/view";"Öppna PDF")</f>
        <v/>
      </c>
      <c r="AR2125">
        <f>HYPERLINK("http://localhost:8787/api/admin/requirements/documents/cmm4yung100necuqw0m62sood/view","Open PDF")</f>
        <v/>
      </c>
      <c r="AS2125" t="inlineStr">
        <is>
          <t>cmm55w57p0004cuisfrtpqly8</t>
        </is>
      </c>
      <c r="AT2125" t="inlineStr">
        <is>
          <t>cmm4xvu980000cuh4vj0usz09</t>
        </is>
      </c>
      <c r="AU2125" t="inlineStr"/>
      <c r="AV2125" t="inlineStr">
        <is>
          <t>Kommun</t>
        </is>
      </c>
      <c r="AW2125" t="inlineStr"/>
      <c r="AX2125" t="inlineStr">
        <is>
          <t>2026-02</t>
        </is>
      </c>
      <c r="AY2125" t="inlineStr">
        <is>
          <t>Beslut</t>
        </is>
      </c>
      <c r="AZ2125" t="inlineStr">
        <is>
          <t>2026-02-03</t>
        </is>
      </c>
      <c r="BA2125" t="inlineStr">
        <is>
          <t>MIL20241002pdf_976462.pdf</t>
        </is>
      </c>
      <c r="BB2125" t="inlineStr">
        <is>
          <t>Begäran om allmän handling i ärende  MIL.2026.363</t>
        </is>
      </c>
      <c r="BC2125" t="inlineStr">
        <is>
          <t>AUTO</t>
        </is>
      </c>
      <c r="BD2125" t="inlineStr"/>
      <c r="BE2125" t="inlineStr"/>
      <c r="BF2125" t="inlineStr">
        <is>
          <t>AUTO_GENERERAD. Bekrafta metadata mot kallfil.</t>
        </is>
      </c>
      <c r="BG2125">
        <f>HYPERLINK("C:\Users\jimmy\Desktop\Examens arbete\Kod\Ny mapp\remix_-copy-of-miljöbeslut.se-portal\MIL20241002pdf_976462.pdf", "Öppna PDF")</f>
        <v/>
      </c>
    </row>
    <row r="2126">
      <c r="A2126" t="inlineStr">
        <is>
          <t>KRAV-AUTO-002125</t>
        </is>
      </c>
      <c r="B2126" t="inlineStr">
        <is>
          <t>ADMIN-INDEX-2026-02-27-00000000125C043F57453246863FE664CAFE6A3F0700950291EA24F0614FB6ACEDB12BF0E31D00000000010C0000950291EA24F0614FB6ACEDB12BF0E31D00002087B1960000</t>
        </is>
      </c>
      <c r="C2126" t="inlineStr">
        <is>
          <t>cmm4yunfu00n5cuqwoq3ecp4u</t>
        </is>
      </c>
      <c r="D2126" t="inlineStr">
        <is>
          <t>http://localhost:8787/api/admin/requirements/documents/cmm4yunfu00n5cuqwoq3ecp4u/view</t>
        </is>
      </c>
      <c r="E2126">
        <f>HYPERLÄNK("http://localhost:8787/api/admin/requirements/documents/cmm4yunfu00n5cuqwoq3ecp4u/view";"Öppna PDF")</f>
        <v/>
      </c>
      <c r="F2126">
        <f>HYPERLINK("http://localhost:8787/api/admin/requirements/documents/cmm4yunfu00n5cuqwoq3ecp4u/view","Open PDF")</f>
        <v/>
      </c>
      <c r="G2126" t="inlineStr">
        <is>
          <t>cmm55w57p0004cuisfrtpqly8</t>
        </is>
      </c>
      <c r="H2126" t="inlineStr">
        <is>
          <t>Beslutsvillkor</t>
        </is>
      </c>
      <c r="I2126" t="inlineStr">
        <is>
          <t>DagvattenLakvatten</t>
        </is>
      </c>
      <c r="J2126" t="inlineStr">
        <is>
          <t>Uppsamling</t>
        </is>
      </c>
      <c r="K2126" t="inlineStr">
        <is>
          <t>Lagringen ska ske så att risken för uppkomst av lakvatten från rötslammet minimeras.</t>
        </is>
      </c>
      <c r="L2126" t="inlineStr">
        <is>
          <t>Lagringen ska ske så att risken för uppkomst av lakvatten från rötslammet minimeras.</t>
        </is>
      </c>
      <c r="M2126" t="inlineStr">
        <is>
          <t>SKA</t>
        </is>
      </c>
      <c r="N2126" t="inlineStr"/>
      <c r="O2126" t="inlineStr"/>
      <c r="P2126" t="inlineStr"/>
      <c r="Q2126" t="inlineStr"/>
      <c r="R2126" t="inlineStr">
        <is>
          <t>Vid nederbord och avrinning</t>
        </is>
      </c>
      <c r="S2126" t="inlineStr"/>
      <c r="T2126" t="inlineStr">
        <is>
          <t>965941</t>
        </is>
      </c>
      <c r="U2126" t="inlineStr"/>
      <c r="V2126" t="inlineStr"/>
      <c r="W2126" t="inlineStr">
        <is>
          <t>Nej</t>
        </is>
      </c>
      <c r="X2126" t="inlineStr">
        <is>
          <t>Ja</t>
        </is>
      </c>
      <c r="Y2126" t="inlineStr">
        <is>
          <t>Ja</t>
        </is>
      </c>
      <c r="Z2126" t="inlineStr">
        <is>
          <t>Nej</t>
        </is>
      </c>
      <c r="AA2126" t="n">
        <v>6</v>
      </c>
      <c r="AB2126" t="inlineStr">
        <is>
          <t>Lakvattenhantering</t>
        </is>
      </c>
      <c r="AC2126" t="inlineStr">
        <is>
          <t>Flodesschema dagvatten-lakvatten</t>
        </is>
      </c>
      <c r="AD2126" t="inlineStr">
        <is>
          <t>Nej</t>
        </is>
      </c>
      <c r="AE2126" t="inlineStr">
        <is>
          <t>Nej</t>
        </is>
      </c>
      <c r="AF2126" t="inlineStr">
        <is>
          <t>Ej behandlad</t>
        </is>
      </c>
      <c r="AG2126" t="inlineStr">
        <is>
          <t>AUTO_GENERERAD. Verifiera citat mot kallfil.</t>
        </is>
      </c>
      <c r="AH2126" t="inlineStr">
        <is>
          <t>MEDIUM</t>
        </is>
      </c>
      <c r="AI2126" t="inlineStr">
        <is>
          <t>AUTO</t>
        </is>
      </c>
      <c r="AJ2126" t="inlineStr">
        <is>
          <t>Nej</t>
        </is>
      </c>
      <c r="AK2126" t="inlineStr"/>
      <c r="AL2126" t="inlineStr"/>
      <c r="AM2126" t="inlineStr"/>
      <c r="AN2126" t="inlineStr"/>
      <c r="AO2126" t="inlineStr">
        <is>
          <t>cmm4yung100necuqw0m62sood</t>
        </is>
      </c>
      <c r="AP2126" t="inlineStr">
        <is>
          <t>http://localhost:8787/api/admin/requirements/documents/cmm4yung100necuqw0m62sood/view</t>
        </is>
      </c>
      <c r="AQ2126">
        <f>HYPERLÄNK("http://localhost:8787/api/admin/requirements/documents/cmm4yung100necuqw0m62sood/view";"Öppna PDF")</f>
        <v/>
      </c>
      <c r="AR2126">
        <f>HYPERLINK("http://localhost:8787/api/admin/requirements/documents/cmm4yung100necuqw0m62sood/view","Open PDF")</f>
        <v/>
      </c>
      <c r="AS2126" t="inlineStr">
        <is>
          <t>cmm55w57p0004cuisfrtpqly8</t>
        </is>
      </c>
      <c r="AT2126" t="inlineStr">
        <is>
          <t>cmm4xvu980000cuh4vj0usz09</t>
        </is>
      </c>
      <c r="AU2126" t="inlineStr"/>
      <c r="AV2126" t="inlineStr">
        <is>
          <t>Kommun</t>
        </is>
      </c>
      <c r="AW2126" t="inlineStr"/>
      <c r="AX2126" t="inlineStr">
        <is>
          <t>2026-02</t>
        </is>
      </c>
      <c r="AY2126" t="inlineStr">
        <is>
          <t>Beslut</t>
        </is>
      </c>
      <c r="AZ2126" t="inlineStr">
        <is>
          <t>2026-02-03</t>
        </is>
      </c>
      <c r="BA2126" t="inlineStr">
        <is>
          <t>MIL20241002pdf_976462.pdf</t>
        </is>
      </c>
      <c r="BB2126" t="inlineStr">
        <is>
          <t>Begäran om allmän handling i ärende  MIL.2026.363</t>
        </is>
      </c>
      <c r="BC2126" t="inlineStr">
        <is>
          <t>AUTO</t>
        </is>
      </c>
      <c r="BD2126" t="inlineStr"/>
      <c r="BE2126" t="inlineStr"/>
      <c r="BF2126" t="inlineStr">
        <is>
          <t>AUTO_GENERERAD. Bekrafta metadata mot kallfil.</t>
        </is>
      </c>
      <c r="BG2126">
        <f>HYPERLINK("C:\Users\jimmy\Desktop\Examens arbete\Kod\Ny mapp\remix_-copy-of-miljöbeslut.se-portal\MIL20241002pdf_976462.pdf", "Öppna PDF")</f>
        <v/>
      </c>
    </row>
    <row r="2127">
      <c r="A2127" t="inlineStr">
        <is>
          <t>KRAV-AUTO-002126</t>
        </is>
      </c>
      <c r="B2127" t="inlineStr">
        <is>
          <t>ADMIN-INDEX-2026-02-27-00000000125C043F57453246863FE664CAFE6A3F0700950291EA24F0614FB6ACEDB12BF0E31D00000000010C0000950291EA24F0614FB6ACEDB12BF0E31D00002087B1960000</t>
        </is>
      </c>
      <c r="C2127" t="inlineStr">
        <is>
          <t>cmm4yunfu00n5cuqwoq3ecp4u</t>
        </is>
      </c>
      <c r="D2127" t="inlineStr">
        <is>
          <t>http://localhost:8787/api/admin/requirements/documents/cmm4yunfu00n5cuqwoq3ecp4u/view</t>
        </is>
      </c>
      <c r="E2127">
        <f>HYPERLÄNK("http://localhost:8787/api/admin/requirements/documents/cmm4yunfu00n5cuqwoq3ecp4u/view";"Öppna PDF")</f>
        <v/>
      </c>
      <c r="F2127">
        <f>HYPERLINK("http://localhost:8787/api/admin/requirements/documents/cmm4yunfu00n5cuqwoq3ecp4u/view","Open PDF")</f>
        <v/>
      </c>
      <c r="G2127" t="inlineStr">
        <is>
          <t>cmm55w57p0004cuisfrtpqly8</t>
        </is>
      </c>
      <c r="H2127" t="inlineStr">
        <is>
          <t>Beslutsvillkor</t>
        </is>
      </c>
      <c r="I2127" t="inlineStr">
        <is>
          <t>DriftEgenkontroll</t>
        </is>
      </c>
      <c r="J2127" t="inlineStr">
        <is>
          <t>Journalforing</t>
        </is>
      </c>
      <c r="K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Treatment &amp; Detox AB andre.johansson@ragnsells.com Org.nr: 556076-8516 INX9067-005 Ragn-Sells Treatment &amp; Detox 831 90 Östersund Gerda Nilssons väg 2 emailfakturorR33@ragnsells.com 756 51 Uppsala Märk fakturan: sektion 40256, att.</t>
        </is>
      </c>
      <c r="L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t>
        </is>
      </c>
      <c r="M2127" t="inlineStr">
        <is>
          <t>SKA</t>
        </is>
      </c>
      <c r="N2127" t="inlineStr"/>
      <c r="O2127" t="inlineStr"/>
      <c r="P2127" t="inlineStr"/>
      <c r="Q2127" t="inlineStr"/>
      <c r="R2127" t="inlineStr">
        <is>
          <t>Lopande drift</t>
        </is>
      </c>
      <c r="S2127" t="inlineStr"/>
      <c r="T2127" t="inlineStr">
        <is>
          <t>556076</t>
        </is>
      </c>
      <c r="U2127" t="inlineStr"/>
      <c r="V2127" t="inlineStr"/>
      <c r="W2127" t="inlineStr">
        <is>
          <t>Nej</t>
        </is>
      </c>
      <c r="X2127" t="inlineStr">
        <is>
          <t>Nej</t>
        </is>
      </c>
      <c r="Y2127" t="inlineStr">
        <is>
          <t>Ja</t>
        </is>
      </c>
      <c r="Z2127" t="inlineStr">
        <is>
          <t>Nej</t>
        </is>
      </c>
      <c r="AA2127" t="n">
        <v>7</v>
      </c>
      <c r="AB2127" t="inlineStr">
        <is>
          <t>Egenkontrollrutiner</t>
        </is>
      </c>
      <c r="AC2127" t="inlineStr">
        <is>
          <t>Egenkontrollprogram</t>
        </is>
      </c>
      <c r="AD2127" t="inlineStr">
        <is>
          <t>Nej</t>
        </is>
      </c>
      <c r="AE2127" t="inlineStr">
        <is>
          <t>Nej</t>
        </is>
      </c>
      <c r="AF2127" t="inlineStr">
        <is>
          <t>Ej behandlad</t>
        </is>
      </c>
      <c r="AG2127" t="inlineStr">
        <is>
          <t>AUTO_GENERERAD. Verifiera citat mot kallfil.</t>
        </is>
      </c>
      <c r="AH2127" t="inlineStr">
        <is>
          <t>MEDIUM</t>
        </is>
      </c>
      <c r="AI2127" t="inlineStr">
        <is>
          <t>AUTO</t>
        </is>
      </c>
      <c r="AJ2127" t="inlineStr">
        <is>
          <t>Nej</t>
        </is>
      </c>
      <c r="AK2127" t="inlineStr"/>
      <c r="AL2127" t="inlineStr"/>
      <c r="AM2127" t="inlineStr"/>
      <c r="AN2127" t="inlineStr"/>
      <c r="AO2127" t="inlineStr">
        <is>
          <t>cmm4yung100necuqw0m62sood</t>
        </is>
      </c>
      <c r="AP2127" t="inlineStr">
        <is>
          <t>http://localhost:8787/api/admin/requirements/documents/cmm4yung100necuqw0m62sood/view</t>
        </is>
      </c>
      <c r="AQ2127">
        <f>HYPERLÄNK("http://localhost:8787/api/admin/requirements/documents/cmm4yung100necuqw0m62sood/view";"Öppna PDF")</f>
        <v/>
      </c>
      <c r="AR2127">
        <f>HYPERLINK("http://localhost:8787/api/admin/requirements/documents/cmm4yung100necuqw0m62sood/view","Open PDF")</f>
        <v/>
      </c>
      <c r="AS2127" t="inlineStr">
        <is>
          <t>cmm55w57p0004cuisfrtpqly8</t>
        </is>
      </c>
      <c r="AT2127" t="inlineStr">
        <is>
          <t>cmm4xvu980000cuh4vj0usz09</t>
        </is>
      </c>
      <c r="AU2127" t="inlineStr"/>
      <c r="AV2127" t="inlineStr">
        <is>
          <t>Kommun</t>
        </is>
      </c>
      <c r="AW2127" t="inlineStr"/>
      <c r="AX2127" t="inlineStr">
        <is>
          <t>2026-02</t>
        </is>
      </c>
      <c r="AY2127" t="inlineStr">
        <is>
          <t>Beslut</t>
        </is>
      </c>
      <c r="AZ2127" t="inlineStr">
        <is>
          <t>2026-02-03</t>
        </is>
      </c>
      <c r="BA2127" t="inlineStr">
        <is>
          <t>MIL20241002pdf_976462.pdf</t>
        </is>
      </c>
      <c r="BB2127" t="inlineStr">
        <is>
          <t>Begäran om allmän handling i ärende  MIL.2026.363</t>
        </is>
      </c>
      <c r="BC2127" t="inlineStr">
        <is>
          <t>AUTO</t>
        </is>
      </c>
      <c r="BD2127" t="inlineStr"/>
      <c r="BE2127" t="inlineStr"/>
      <c r="BF2127" t="inlineStr">
        <is>
          <t>AUTO_GENERERAD. Bekrafta metadata mot kallfil.</t>
        </is>
      </c>
      <c r="BG2127">
        <f>HYPERLINK("C:\Users\jimmy\Desktop\Examens arbete\Kod\Ny mapp\remix_-copy-of-miljöbeslut.se-portal\MIL20241002pdf_976462.pdf", "Öppna PDF")</f>
        <v/>
      </c>
    </row>
    <row r="2128">
      <c r="A2128" t="inlineStr">
        <is>
          <t>KRAV-AUTO-002127</t>
        </is>
      </c>
      <c r="B2128" t="inlineStr">
        <is>
          <t>ADMIN-INDEX-2026-02-27-00000000125C043F57453246863FE664CAFE6A3F0700950291EA24F0614FB6ACEDB12BF0E31D00000000010C0000950291EA24F0614FB6ACEDB12BF0E31D00002087B1960000</t>
        </is>
      </c>
      <c r="C2128" t="inlineStr">
        <is>
          <t>cmm4yunfu00n5cuqwoq3ecp4u</t>
        </is>
      </c>
      <c r="D2128" t="inlineStr">
        <is>
          <t>http://localhost:8787/api/admin/requirements/documents/cmm4yunfu00n5cuqwoq3ecp4u/view</t>
        </is>
      </c>
      <c r="E2128">
        <f>HYPERLÄNK("http://localhost:8787/api/admin/requirements/documents/cmm4yunfu00n5cuqwoq3ecp4u/view";"Öppna PDF")</f>
        <v/>
      </c>
      <c r="F2128">
        <f>HYPERLINK("http://localhost:8787/api/admin/requirements/documents/cmm4yunfu00n5cuqwoq3ecp4u/view","Open PDF")</f>
        <v/>
      </c>
      <c r="G2128" t="inlineStr">
        <is>
          <t>cmm55w57p0004cuisfrtpqly8</t>
        </is>
      </c>
      <c r="H2128" t="inlineStr">
        <is>
          <t>Beslutsvillkor</t>
        </is>
      </c>
      <c r="I2128" t="inlineStr">
        <is>
          <t>DriftEgenkontroll</t>
        </is>
      </c>
      <c r="J2128" t="inlineStr">
        <is>
          <t>Journalforing</t>
        </is>
      </c>
      <c r="K2128" t="inlineStr">
        <is>
          <t>Jordprovtagningskarta bifogas.</t>
        </is>
      </c>
      <c r="L2128" t="inlineStr">
        <is>
          <t>Jordprovtagningskarta bifogas.</t>
        </is>
      </c>
      <c r="M2128" t="inlineStr">
        <is>
          <t>SKA</t>
        </is>
      </c>
      <c r="N2128" t="inlineStr"/>
      <c r="O2128" t="inlineStr"/>
      <c r="P2128" t="inlineStr"/>
      <c r="Q2128" t="inlineStr"/>
      <c r="R2128" t="inlineStr">
        <is>
          <t>Lopande drift</t>
        </is>
      </c>
      <c r="S2128" t="inlineStr"/>
      <c r="T2128" t="inlineStr">
        <is>
          <t>965941</t>
        </is>
      </c>
      <c r="U2128" t="inlineStr"/>
      <c r="V2128" t="inlineStr"/>
      <c r="W2128" t="inlineStr">
        <is>
          <t>Nej</t>
        </is>
      </c>
      <c r="X2128" t="inlineStr">
        <is>
          <t>Nej</t>
        </is>
      </c>
      <c r="Y2128" t="inlineStr">
        <is>
          <t>Ja</t>
        </is>
      </c>
      <c r="Z2128" t="inlineStr">
        <is>
          <t>Nej</t>
        </is>
      </c>
      <c r="AA2128" t="n">
        <v>7</v>
      </c>
      <c r="AB2128" t="inlineStr">
        <is>
          <t>Egenkontrollrutiner</t>
        </is>
      </c>
      <c r="AC2128" t="inlineStr">
        <is>
          <t>Egenkontrollprogram</t>
        </is>
      </c>
      <c r="AD2128" t="inlineStr">
        <is>
          <t>Nej</t>
        </is>
      </c>
      <c r="AE2128" t="inlineStr">
        <is>
          <t>Nej</t>
        </is>
      </c>
      <c r="AF2128" t="inlineStr">
        <is>
          <t>Ej behandlad</t>
        </is>
      </c>
      <c r="AG2128" t="inlineStr">
        <is>
          <t>AUTO_GENERERAD. Verifiera citat mot kallfil.</t>
        </is>
      </c>
      <c r="AH2128" t="inlineStr">
        <is>
          <t>LOW</t>
        </is>
      </c>
      <c r="AI2128" t="inlineStr">
        <is>
          <t>AUTO</t>
        </is>
      </c>
      <c r="AJ2128" t="inlineStr">
        <is>
          <t>Nej</t>
        </is>
      </c>
      <c r="AK2128" t="inlineStr"/>
      <c r="AL2128" t="inlineStr"/>
      <c r="AM2128" t="inlineStr"/>
      <c r="AN2128" t="inlineStr"/>
      <c r="AO2128" t="inlineStr">
        <is>
          <t>cmm4yung100necuqw0m62sood</t>
        </is>
      </c>
      <c r="AP2128" t="inlineStr">
        <is>
          <t>http://localhost:8787/api/admin/requirements/documents/cmm4yung100necuqw0m62sood/view</t>
        </is>
      </c>
      <c r="AQ2128">
        <f>HYPERLÄNK("http://localhost:8787/api/admin/requirements/documents/cmm4yung100necuqw0m62sood/view";"Öppna PDF")</f>
        <v/>
      </c>
      <c r="AR2128">
        <f>HYPERLINK("http://localhost:8787/api/admin/requirements/documents/cmm4yung100necuqw0m62sood/view","Open PDF")</f>
        <v/>
      </c>
      <c r="AS2128" t="inlineStr">
        <is>
          <t>cmm55w57p0004cuisfrtpqly8</t>
        </is>
      </c>
      <c r="AT2128" t="inlineStr">
        <is>
          <t>cmm4xvu980000cuh4vj0usz09</t>
        </is>
      </c>
      <c r="AU2128" t="inlineStr"/>
      <c r="AV2128" t="inlineStr">
        <is>
          <t>Kommun</t>
        </is>
      </c>
      <c r="AW2128" t="inlineStr"/>
      <c r="AX2128" t="inlineStr">
        <is>
          <t>2026-02</t>
        </is>
      </c>
      <c r="AY2128" t="inlineStr">
        <is>
          <t>Beslut</t>
        </is>
      </c>
      <c r="AZ2128" t="inlineStr">
        <is>
          <t>2026-02-03</t>
        </is>
      </c>
      <c r="BA2128" t="inlineStr">
        <is>
          <t>MIL20241002pdf_976462.pdf</t>
        </is>
      </c>
      <c r="BB2128" t="inlineStr">
        <is>
          <t>Begäran om allmän handling i ärende  MIL.2026.363</t>
        </is>
      </c>
      <c r="BC2128" t="inlineStr">
        <is>
          <t>AUTO</t>
        </is>
      </c>
      <c r="BD2128" t="inlineStr"/>
      <c r="BE2128" t="inlineStr"/>
      <c r="BF2128" t="inlineStr">
        <is>
          <t>AUTO_GENERERAD. Bekrafta metadata mot kallfil.</t>
        </is>
      </c>
      <c r="BG2128">
        <f>HYPERLINK("C:\Users\jimmy\Desktop\Examens arbete\Kod\Ny mapp\remix_-copy-of-miljöbeslut.se-portal\MIL20241002pdf_976462.pdf", "Öppna PDF")</f>
        <v/>
      </c>
    </row>
    <row r="2129">
      <c r="A2129" t="inlineStr">
        <is>
          <t>KRAV-AUTO-002128</t>
        </is>
      </c>
      <c r="B2129" t="inlineStr">
        <is>
          <t>ADMIN-INDEX-2026-02-27-00000000125C043F57453246863FE664CAFE6A3F0700950291EA24F0614FB6ACEDB12BF0E31D00000000010C0000950291EA24F0614FB6ACEDB12BF0E31D00002087B1960000</t>
        </is>
      </c>
      <c r="C2129" t="inlineStr">
        <is>
          <t>cmm4yunfr00n2cuqwdzvrmfwh</t>
        </is>
      </c>
      <c r="D2129" t="inlineStr">
        <is>
          <t>http://localhost:8787/api/admin/requirements/documents/cmm4yunfr00n2cuqwdzvrmfwh/view</t>
        </is>
      </c>
      <c r="E2129">
        <f>HYPERLÄNK("http://localhost:8787/api/admin/requirements/documents/cmm4yunfr00n2cuqwdzvrmfwh/view";"Öppna PDF")</f>
        <v/>
      </c>
      <c r="F2129">
        <f>HYPERLINK("http://localhost:8787/api/admin/requirements/documents/cmm4yunfr00n2cuqwdzvrmfwh/view","Open PDF")</f>
        <v/>
      </c>
      <c r="G2129" t="inlineStr">
        <is>
          <t>cmm55w57p0004cuisfrtpqly8</t>
        </is>
      </c>
      <c r="H2129" t="inlineStr">
        <is>
          <t>Beslutsvillkor</t>
        </is>
      </c>
      <c r="I2129" t="inlineStr">
        <is>
          <t>DagvattenLakvatten</t>
        </is>
      </c>
      <c r="J2129" t="inlineStr">
        <is>
          <t>Uppsamling</t>
        </is>
      </c>
      <c r="K2129" t="inlineStr">
        <is>
          <t>Lagringen ska ske så att risken för uppkomst av lakvatten från rötslammet minimeras.</t>
        </is>
      </c>
      <c r="L2129" t="inlineStr">
        <is>
          <t>Lagringen ska ske så att risken för uppkomst av lakvatten från rötslammet minimeras.</t>
        </is>
      </c>
      <c r="M2129" t="inlineStr">
        <is>
          <t>SKA</t>
        </is>
      </c>
      <c r="N2129" t="inlineStr"/>
      <c r="O2129" t="inlineStr"/>
      <c r="P2129" t="inlineStr"/>
      <c r="Q2129" t="inlineStr"/>
      <c r="R2129" t="inlineStr">
        <is>
          <t>Vid nederbord och avrinning</t>
        </is>
      </c>
      <c r="S2129" t="inlineStr"/>
      <c r="T2129" t="inlineStr">
        <is>
          <t>884150</t>
        </is>
      </c>
      <c r="U2129" t="inlineStr"/>
      <c r="V2129" t="inlineStr"/>
      <c r="W2129" t="inlineStr">
        <is>
          <t>Nej</t>
        </is>
      </c>
      <c r="X2129" t="inlineStr">
        <is>
          <t>Ja</t>
        </is>
      </c>
      <c r="Y2129" t="inlineStr">
        <is>
          <t>Ja</t>
        </is>
      </c>
      <c r="Z2129" t="inlineStr">
        <is>
          <t>Nej</t>
        </is>
      </c>
      <c r="AA2129" t="n">
        <v>6</v>
      </c>
      <c r="AB2129" t="inlineStr">
        <is>
          <t>Lakvattenhantering</t>
        </is>
      </c>
      <c r="AC2129" t="inlineStr">
        <is>
          <t>Flodesschema dagvatten-lakvatten</t>
        </is>
      </c>
      <c r="AD2129" t="inlineStr">
        <is>
          <t>Nej</t>
        </is>
      </c>
      <c r="AE2129" t="inlineStr">
        <is>
          <t>Nej</t>
        </is>
      </c>
      <c r="AF2129" t="inlineStr">
        <is>
          <t>Ej behandlad</t>
        </is>
      </c>
      <c r="AG2129" t="inlineStr">
        <is>
          <t>AUTO_GENERERAD. Verifiera citat mot kallfil.</t>
        </is>
      </c>
      <c r="AH2129" t="inlineStr">
        <is>
          <t>MEDIUM</t>
        </is>
      </c>
      <c r="AI2129" t="inlineStr">
        <is>
          <t>AUTO</t>
        </is>
      </c>
      <c r="AJ2129" t="inlineStr">
        <is>
          <t>Nej</t>
        </is>
      </c>
      <c r="AK2129" t="inlineStr"/>
      <c r="AL2129" t="inlineStr"/>
      <c r="AM2129" t="inlineStr"/>
      <c r="AN2129" t="inlineStr"/>
      <c r="AO2129" t="inlineStr">
        <is>
          <t>cmm4yung100necuqw0m62sood</t>
        </is>
      </c>
      <c r="AP2129" t="inlineStr">
        <is>
          <t>http://localhost:8787/api/admin/requirements/documents/cmm4yung100necuqw0m62sood/view</t>
        </is>
      </c>
      <c r="AQ2129">
        <f>HYPERLÄNK("http://localhost:8787/api/admin/requirements/documents/cmm4yung100necuqw0m62sood/view";"Öppna PDF")</f>
        <v/>
      </c>
      <c r="AR2129">
        <f>HYPERLINK("http://localhost:8787/api/admin/requirements/documents/cmm4yung100necuqw0m62sood/view","Open PDF")</f>
        <v/>
      </c>
      <c r="AS2129" t="inlineStr">
        <is>
          <t>cmm55w57p0004cuisfrtpqly8</t>
        </is>
      </c>
      <c r="AT2129" t="inlineStr">
        <is>
          <t>cmm4xvu980000cuh4vj0usz09</t>
        </is>
      </c>
      <c r="AU2129" t="inlineStr"/>
      <c r="AV2129" t="inlineStr">
        <is>
          <t>Kommun</t>
        </is>
      </c>
      <c r="AW2129" t="inlineStr"/>
      <c r="AX2129" t="inlineStr">
        <is>
          <t>2026-02</t>
        </is>
      </c>
      <c r="AY2129" t="inlineStr">
        <is>
          <t>Beslut</t>
        </is>
      </c>
      <c r="AZ2129" t="inlineStr">
        <is>
          <t>2026-02-03</t>
        </is>
      </c>
      <c r="BA2129" t="inlineStr">
        <is>
          <t>MIL20241002pdf_976462.pdf</t>
        </is>
      </c>
      <c r="BB2129" t="inlineStr">
        <is>
          <t>Begäran om allmän handling i ärende  MIL.2026.363</t>
        </is>
      </c>
      <c r="BC2129" t="inlineStr">
        <is>
          <t>AUTO</t>
        </is>
      </c>
      <c r="BD2129" t="inlineStr"/>
      <c r="BE2129" t="inlineStr"/>
      <c r="BF2129" t="inlineStr">
        <is>
          <t>AUTO_GENERERAD. Bekrafta metadata mot kallfil.</t>
        </is>
      </c>
      <c r="BG2129">
        <f>HYPERLINK("C:\Users\jimmy\Desktop\Examens arbete\Kod\Ny mapp\remix_-copy-of-miljöbeslut.se-portal\MIL20241002pdf_976462.pdf", "Öppna PDF")</f>
        <v/>
      </c>
    </row>
    <row r="2130">
      <c r="A2130" t="inlineStr">
        <is>
          <t>KRAV-AUTO-002129</t>
        </is>
      </c>
      <c r="B2130" t="inlineStr">
        <is>
          <t>ADMIN-INDEX-2026-02-27-00000000125C043F57453246863FE664CAFE6A3F0700950291EA24F0614FB6ACEDB12BF0E31D00000000010C0000950291EA24F0614FB6ACEDB12BF0E31D00002087B1960000</t>
        </is>
      </c>
      <c r="C2130" t="inlineStr">
        <is>
          <t>cmm4yunfr00n2cuqwdzvrmfwh</t>
        </is>
      </c>
      <c r="D2130" t="inlineStr">
        <is>
          <t>http://localhost:8787/api/admin/requirements/documents/cmm4yunfr00n2cuqwdzvrmfwh/view</t>
        </is>
      </c>
      <c r="E2130">
        <f>HYPERLÄNK("http://localhost:8787/api/admin/requirements/documents/cmm4yunfr00n2cuqwdzvrmfwh/view";"Öppna PDF")</f>
        <v/>
      </c>
      <c r="F2130">
        <f>HYPERLINK("http://localhost:8787/api/admin/requirements/documents/cmm4yunfr00n2cuqwdzvrmfwh/view","Open PDF")</f>
        <v/>
      </c>
      <c r="G2130" t="inlineStr">
        <is>
          <t>cmm55w57p0004cuisfrtpqly8</t>
        </is>
      </c>
      <c r="H2130" t="inlineStr">
        <is>
          <t>Beslutsvillkor</t>
        </is>
      </c>
      <c r="I2130" t="inlineStr">
        <is>
          <t>DriftEgenkontroll</t>
        </is>
      </c>
      <c r="J2130" t="inlineStr">
        <is>
          <t>Journalforing</t>
        </is>
      </c>
      <c r="K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t>
        </is>
      </c>
      <c r="M2130" t="inlineStr">
        <is>
          <t>SKA</t>
        </is>
      </c>
      <c r="N2130" t="inlineStr"/>
      <c r="O2130" t="inlineStr"/>
      <c r="P2130" t="inlineStr"/>
      <c r="Q2130" t="inlineStr"/>
      <c r="R2130" t="inlineStr">
        <is>
          <t>Lopande drift</t>
        </is>
      </c>
      <c r="S2130" t="inlineStr"/>
      <c r="T2130" t="inlineStr">
        <is>
          <t>884150</t>
        </is>
      </c>
      <c r="U2130" t="inlineStr"/>
      <c r="V2130" t="inlineStr"/>
      <c r="W2130" t="inlineStr">
        <is>
          <t>Nej</t>
        </is>
      </c>
      <c r="X2130" t="inlineStr">
        <is>
          <t>Nej</t>
        </is>
      </c>
      <c r="Y2130" t="inlineStr">
        <is>
          <t>Ja</t>
        </is>
      </c>
      <c r="Z2130" t="inlineStr">
        <is>
          <t>Nej</t>
        </is>
      </c>
      <c r="AA2130" t="n">
        <v>7</v>
      </c>
      <c r="AB2130" t="inlineStr">
        <is>
          <t>Egenkontrollrutiner</t>
        </is>
      </c>
      <c r="AC2130" t="inlineStr">
        <is>
          <t>Egenkontrollprogram</t>
        </is>
      </c>
      <c r="AD2130" t="inlineStr">
        <is>
          <t>Nej</t>
        </is>
      </c>
      <c r="AE2130" t="inlineStr">
        <is>
          <t>Nej</t>
        </is>
      </c>
      <c r="AF2130" t="inlineStr">
        <is>
          <t>Ej behandlad</t>
        </is>
      </c>
      <c r="AG2130" t="inlineStr">
        <is>
          <t>AUTO_GENERERAD. Verifiera citat mot kallfil.</t>
        </is>
      </c>
      <c r="AH2130" t="inlineStr">
        <is>
          <t>MEDIUM</t>
        </is>
      </c>
      <c r="AI2130" t="inlineStr">
        <is>
          <t>AUTO</t>
        </is>
      </c>
      <c r="AJ2130" t="inlineStr">
        <is>
          <t>Nej</t>
        </is>
      </c>
      <c r="AK2130" t="inlineStr"/>
      <c r="AL2130" t="inlineStr"/>
      <c r="AM2130" t="inlineStr"/>
      <c r="AN2130" t="inlineStr"/>
      <c r="AO2130" t="inlineStr">
        <is>
          <t>cmm4yung100necuqw0m62sood</t>
        </is>
      </c>
      <c r="AP2130" t="inlineStr">
        <is>
          <t>http://localhost:8787/api/admin/requirements/documents/cmm4yung100necuqw0m62sood/view</t>
        </is>
      </c>
      <c r="AQ2130">
        <f>HYPERLÄNK("http://localhost:8787/api/admin/requirements/documents/cmm4yung100necuqw0m62sood/view";"Öppna PDF")</f>
        <v/>
      </c>
      <c r="AR2130">
        <f>HYPERLINK("http://localhost:8787/api/admin/requirements/documents/cmm4yung100necuqw0m62sood/view","Open PDF")</f>
        <v/>
      </c>
      <c r="AS2130" t="inlineStr">
        <is>
          <t>cmm55w57p0004cuisfrtpqly8</t>
        </is>
      </c>
      <c r="AT2130" t="inlineStr">
        <is>
          <t>cmm4xvu980000cuh4vj0usz09</t>
        </is>
      </c>
      <c r="AU2130" t="inlineStr"/>
      <c r="AV2130" t="inlineStr">
        <is>
          <t>Kommun</t>
        </is>
      </c>
      <c r="AW2130" t="inlineStr"/>
      <c r="AX2130" t="inlineStr">
        <is>
          <t>2026-02</t>
        </is>
      </c>
      <c r="AY2130" t="inlineStr">
        <is>
          <t>Beslut</t>
        </is>
      </c>
      <c r="AZ2130" t="inlineStr">
        <is>
          <t>2026-02-03</t>
        </is>
      </c>
      <c r="BA2130" t="inlineStr">
        <is>
          <t>MIL20241002pdf_976462.pdf</t>
        </is>
      </c>
      <c r="BB2130" t="inlineStr">
        <is>
          <t>Begäran om allmän handling i ärende  MIL.2026.363</t>
        </is>
      </c>
      <c r="BC2130" t="inlineStr">
        <is>
          <t>AUTO</t>
        </is>
      </c>
      <c r="BD2130" t="inlineStr"/>
      <c r="BE2130" t="inlineStr"/>
      <c r="BF2130" t="inlineStr">
        <is>
          <t>AUTO_GENERERAD. Bekrafta metadata mot kallfil.</t>
        </is>
      </c>
      <c r="BG2130">
        <f>HYPERLINK("C:\Users\jimmy\Desktop\Examens arbete\Kod\Ny mapp\remix_-copy-of-miljöbeslut.se-portal\MIL20241002pdf_976462.pdf", "Öppna PDF")</f>
        <v/>
      </c>
    </row>
    <row r="2131">
      <c r="A2131" t="inlineStr">
        <is>
          <t>KRAV-AUTO-002130</t>
        </is>
      </c>
      <c r="B2131" t="inlineStr">
        <is>
          <t>ADMIN-INDEX-2026-02-27-00000000125C043F57453246863FE664CAFE6A3F0700950291EA24F0614FB6ACEDB12BF0E31D00000000010C0000950291EA24F0614FB6ACEDB12BF0E31D00002087B1960000</t>
        </is>
      </c>
      <c r="C2131" t="inlineStr">
        <is>
          <t>cmm4yunfr00n2cuqwdzvrmfwh</t>
        </is>
      </c>
      <c r="D2131" t="inlineStr">
        <is>
          <t>http://localhost:8787/api/admin/requirements/documents/cmm4yunfr00n2cuqwdzvrmfwh/view</t>
        </is>
      </c>
      <c r="E2131">
        <f>HYPERLÄNK("http://localhost:8787/api/admin/requirements/documents/cmm4yunfr00n2cuqwdzvrmfwh/view";"Öppna PDF")</f>
        <v/>
      </c>
      <c r="F2131">
        <f>HYPERLINK("http://localhost:8787/api/admin/requirements/documents/cmm4yunfr00n2cuqwdzvrmfwh/view","Open PDF")</f>
        <v/>
      </c>
      <c r="G2131" t="inlineStr">
        <is>
          <t>cmm55w57p0004cuisfrtpqly8</t>
        </is>
      </c>
      <c r="H2131" t="inlineStr">
        <is>
          <t>Beslutsvillkor</t>
        </is>
      </c>
      <c r="I2131" t="inlineStr">
        <is>
          <t>Riskhantering</t>
        </is>
      </c>
      <c r="J2131" t="inlineStr">
        <is>
          <t>Riskkontroll</t>
        </is>
      </c>
      <c r="K2131" t="inlineStr">
        <is>
          <t>Täckning ska med hänsyn till risk för luktolägenhet göras i snar anslutning till uppläggning.</t>
        </is>
      </c>
      <c r="L2131" t="inlineStr">
        <is>
          <t>Täckning ska med hänsyn till risk för luktolägenhet göras i snar anslutning till uppläggning.</t>
        </is>
      </c>
      <c r="M2131" t="inlineStr">
        <is>
          <t>SKA</t>
        </is>
      </c>
      <c r="N2131" t="inlineStr"/>
      <c r="O2131" t="inlineStr"/>
      <c r="P2131" t="inlineStr"/>
      <c r="Q2131" t="inlineStr"/>
      <c r="R2131" t="inlineStr">
        <is>
          <t>Vid risk for incident</t>
        </is>
      </c>
      <c r="S2131" t="inlineStr"/>
      <c r="T2131" t="inlineStr">
        <is>
          <t>884150</t>
        </is>
      </c>
      <c r="U2131" t="inlineStr"/>
      <c r="V2131" t="inlineStr"/>
      <c r="W2131" t="inlineStr">
        <is>
          <t>Nej</t>
        </is>
      </c>
      <c r="X2131" t="inlineStr">
        <is>
          <t>Nej</t>
        </is>
      </c>
      <c r="Y2131" t="inlineStr">
        <is>
          <t>Ja</t>
        </is>
      </c>
      <c r="Z2131" t="inlineStr">
        <is>
          <t>Ja</t>
        </is>
      </c>
      <c r="AA2131" t="n">
        <v>8</v>
      </c>
      <c r="AB2131" t="inlineStr">
        <is>
          <t>Riskhantering</t>
        </is>
      </c>
      <c r="AC2131" t="inlineStr">
        <is>
          <t>Risk-PM</t>
        </is>
      </c>
      <c r="AD2131" t="inlineStr">
        <is>
          <t>Nej</t>
        </is>
      </c>
      <c r="AE2131" t="inlineStr">
        <is>
          <t>Nej</t>
        </is>
      </c>
      <c r="AF2131" t="inlineStr">
        <is>
          <t>Ej behandlad</t>
        </is>
      </c>
      <c r="AG2131" t="inlineStr">
        <is>
          <t>AUTO_GENERERAD. Verifiera citat mot kallfil.</t>
        </is>
      </c>
      <c r="AH2131" t="inlineStr">
        <is>
          <t>MEDIUM</t>
        </is>
      </c>
      <c r="AI2131" t="inlineStr">
        <is>
          <t>AUTO</t>
        </is>
      </c>
      <c r="AJ2131" t="inlineStr">
        <is>
          <t>Nej</t>
        </is>
      </c>
      <c r="AK2131" t="inlineStr"/>
      <c r="AL2131" t="inlineStr"/>
      <c r="AM2131" t="inlineStr"/>
      <c r="AN2131" t="inlineStr"/>
      <c r="AO2131" t="inlineStr">
        <is>
          <t>cmm4yung100necuqw0m62sood</t>
        </is>
      </c>
      <c r="AP2131" t="inlineStr">
        <is>
          <t>http://localhost:8787/api/admin/requirements/documents/cmm4yung100necuqw0m62sood/view</t>
        </is>
      </c>
      <c r="AQ2131">
        <f>HYPERLÄNK("http://localhost:8787/api/admin/requirements/documents/cmm4yung100necuqw0m62sood/view";"Öppna PDF")</f>
        <v/>
      </c>
      <c r="AR2131">
        <f>HYPERLINK("http://localhost:8787/api/admin/requirements/documents/cmm4yung100necuqw0m62sood/view","Open PDF")</f>
        <v/>
      </c>
      <c r="AS2131" t="inlineStr">
        <is>
          <t>cmm55w57p0004cuisfrtpqly8</t>
        </is>
      </c>
      <c r="AT2131" t="inlineStr">
        <is>
          <t>cmm4xvu980000cuh4vj0usz09</t>
        </is>
      </c>
      <c r="AU2131" t="inlineStr"/>
      <c r="AV2131" t="inlineStr">
        <is>
          <t>Kommun</t>
        </is>
      </c>
      <c r="AW2131" t="inlineStr"/>
      <c r="AX2131" t="inlineStr">
        <is>
          <t>2026-02</t>
        </is>
      </c>
      <c r="AY2131" t="inlineStr">
        <is>
          <t>Beslut</t>
        </is>
      </c>
      <c r="AZ2131" t="inlineStr">
        <is>
          <t>2026-02-03</t>
        </is>
      </c>
      <c r="BA2131" t="inlineStr">
        <is>
          <t>MIL20241002pdf_976462.pdf</t>
        </is>
      </c>
      <c r="BB2131" t="inlineStr">
        <is>
          <t>Begäran om allmän handling i ärende  MIL.2026.363</t>
        </is>
      </c>
      <c r="BC2131" t="inlineStr">
        <is>
          <t>AUTO</t>
        </is>
      </c>
      <c r="BD2131" t="inlineStr"/>
      <c r="BE2131" t="inlineStr"/>
      <c r="BF2131" t="inlineStr">
        <is>
          <t>AUTO_GENERERAD. Bekrafta metadata mot kallfil.</t>
        </is>
      </c>
      <c r="BG2131">
        <f>HYPERLINK("C:\Users\jimmy\Desktop\Examens arbete\Kod\Ny mapp\remix_-copy-of-miljöbeslut.se-portal\MIL20241002pdf_976462.pdf", "Öppna PDF")</f>
        <v/>
      </c>
    </row>
    <row r="2132">
      <c r="A2132" t="inlineStr">
        <is>
          <t>KRAV-AUTO-002131</t>
        </is>
      </c>
      <c r="B2132" t="inlineStr">
        <is>
          <t>ADMIN-INDEX-2026-02-27-00000000125C043F57453246863FE664CAFE6A3F0700950291EA24F0614FB6ACEDB12BF0E31D00000000010C0000950291EA24F0614FB6ACEDB12BF0E31D00002087B1990000</t>
        </is>
      </c>
      <c r="C2132" t="inlineStr">
        <is>
          <t>cmm4yunfo00mzcuqw73fk9pto</t>
        </is>
      </c>
      <c r="D2132" t="inlineStr">
        <is>
          <t>http://localhost:8787/api/admin/requirements/documents/cmm4yunfo00mzcuqw73fk9pto/view</t>
        </is>
      </c>
      <c r="E2132">
        <f>HYPERLÄNK("http://localhost:8787/api/admin/requirements/documents/cmm4yunfo00mzcuqw73fk9pto/view";"Öppna PDF")</f>
        <v/>
      </c>
      <c r="F2132">
        <f>HYPERLINK("http://localhost:8787/api/admin/requirements/documents/cmm4yunfo00mzcuqw73fk9pto/view","Open PDF")</f>
        <v/>
      </c>
      <c r="G2132" t="inlineStr">
        <is>
          <t>cmm55w57p0004cuisfrtpqly8</t>
        </is>
      </c>
      <c r="H2132" t="inlineStr">
        <is>
          <t>Beslutsvillkor</t>
        </is>
      </c>
      <c r="I2132" t="inlineStr">
        <is>
          <t>DagvattenLakvatten</t>
        </is>
      </c>
      <c r="J2132" t="inlineStr">
        <is>
          <t>Uppsamling</t>
        </is>
      </c>
      <c r="K2132" t="inlineStr">
        <is>
          <t>Lagringen ska ske så att risken för uppkomst av lakvatten från rötslammet minimeras.</t>
        </is>
      </c>
      <c r="L2132" t="inlineStr">
        <is>
          <t>Lagringen ska ske så att risken för uppkomst av lakvatten från rötslammet minimeras.</t>
        </is>
      </c>
      <c r="M2132" t="inlineStr">
        <is>
          <t>SKA</t>
        </is>
      </c>
      <c r="N2132" t="inlineStr"/>
      <c r="O2132" t="inlineStr"/>
      <c r="P2132" t="inlineStr"/>
      <c r="Q2132" t="inlineStr"/>
      <c r="R2132" t="inlineStr">
        <is>
          <t>Vid nederbord och avrinning</t>
        </is>
      </c>
      <c r="S2132" t="inlineStr"/>
      <c r="T2132" t="inlineStr">
        <is>
          <t>965702</t>
        </is>
      </c>
      <c r="U2132" t="inlineStr"/>
      <c r="V2132" t="inlineStr"/>
      <c r="W2132" t="inlineStr">
        <is>
          <t>Nej</t>
        </is>
      </c>
      <c r="X2132" t="inlineStr">
        <is>
          <t>Ja</t>
        </is>
      </c>
      <c r="Y2132" t="inlineStr">
        <is>
          <t>Ja</t>
        </is>
      </c>
      <c r="Z2132" t="inlineStr">
        <is>
          <t>Nej</t>
        </is>
      </c>
      <c r="AA2132" t="n">
        <v>6</v>
      </c>
      <c r="AB2132" t="inlineStr">
        <is>
          <t>Lakvattenhantering</t>
        </is>
      </c>
      <c r="AC2132" t="inlineStr">
        <is>
          <t>Flodesschema dagvatten-lakvatten</t>
        </is>
      </c>
      <c r="AD2132" t="inlineStr">
        <is>
          <t>Nej</t>
        </is>
      </c>
      <c r="AE2132" t="inlineStr">
        <is>
          <t>Nej</t>
        </is>
      </c>
      <c r="AF2132" t="inlineStr">
        <is>
          <t>Ej behandlad</t>
        </is>
      </c>
      <c r="AG2132" t="inlineStr">
        <is>
          <t>AUTO_GENERERAD. Verifiera citat mot kallfil.</t>
        </is>
      </c>
      <c r="AH2132" t="inlineStr">
        <is>
          <t>MEDIUM</t>
        </is>
      </c>
      <c r="AI2132" t="inlineStr">
        <is>
          <t>AUTO</t>
        </is>
      </c>
      <c r="AJ2132" t="inlineStr">
        <is>
          <t>Nej</t>
        </is>
      </c>
      <c r="AK2132" t="inlineStr"/>
      <c r="AL2132" t="inlineStr"/>
      <c r="AM2132" t="inlineStr"/>
      <c r="AN2132" t="inlineStr"/>
      <c r="AO2132" t="inlineStr">
        <is>
          <t>cmm4yunfo00mzcuqw73fk9pto</t>
        </is>
      </c>
      <c r="AP2132" t="inlineStr">
        <is>
          <t>http://localhost:8787/api/admin/requirements/documents/cmm4yunfo00mzcuqw73fk9pto/view</t>
        </is>
      </c>
      <c r="AQ2132">
        <f>HYPERLÄNK("http://localhost:8787/api/admin/requirements/documents/cmm4yunfo00mzcuqw73fk9pto/view";"Öppna PDF")</f>
        <v/>
      </c>
      <c r="AR2132">
        <f>HYPERLINK("http://localhost:8787/api/admin/requirements/documents/cmm4yunfo00mzcuqw73fk9pto/view","Open PDF")</f>
        <v/>
      </c>
      <c r="AS2132" t="inlineStr">
        <is>
          <t>cmm55w57p0004cuisfrtpqly8</t>
        </is>
      </c>
      <c r="AT2132" t="inlineStr">
        <is>
          <t>cmm4xvu980000cuh4vj0usz09</t>
        </is>
      </c>
      <c r="AU2132" t="inlineStr"/>
      <c r="AV2132" t="inlineStr">
        <is>
          <t>Kommun</t>
        </is>
      </c>
      <c r="AW2132" t="inlineStr"/>
      <c r="AX2132" t="inlineStr">
        <is>
          <t>2026-02</t>
        </is>
      </c>
      <c r="AY2132" t="inlineStr">
        <is>
          <t>Beslut</t>
        </is>
      </c>
      <c r="AZ2132" t="inlineStr">
        <is>
          <t>2026-02-03</t>
        </is>
      </c>
      <c r="BA2132" t="inlineStr">
        <is>
          <t>MIL20252663pdf_976455.pdf</t>
        </is>
      </c>
      <c r="BB2132" t="inlineStr">
        <is>
          <t>Begäran om allmän handling i ärende  MIL.2026.363</t>
        </is>
      </c>
      <c r="BC2132" t="inlineStr">
        <is>
          <t>AUTO</t>
        </is>
      </c>
      <c r="BD2132" t="inlineStr"/>
      <c r="BE2132" t="inlineStr"/>
      <c r="BF2132" t="inlineStr">
        <is>
          <t>AUTO_GENERERAD. Bekrafta metadata mot kallfil.</t>
        </is>
      </c>
      <c r="BG2132">
        <f>HYPERLINK("C:\Users\jimmy\Desktop\Examens arbete\Kod\Ny mapp\remix_-copy-of-miljöbeslut.se-portal\MIL20252663pdf_976455.pdf", "Öppna PDF")</f>
        <v/>
      </c>
    </row>
    <row r="2133">
      <c r="A2133" t="inlineStr">
        <is>
          <t>KRAV-AUTO-002132</t>
        </is>
      </c>
      <c r="B2133" t="inlineStr">
        <is>
          <t>ADMIN-INDEX-2026-02-27-00000000125C043F57453246863FE664CAFE6A3F0700950291EA24F0614FB6ACEDB12BF0E31D00000000010C0000950291EA24F0614FB6ACEDB12BF0E31D00002087B1990000</t>
        </is>
      </c>
      <c r="C2133" t="inlineStr">
        <is>
          <t>cmm4yunfo00mzcuqw73fk9pto</t>
        </is>
      </c>
      <c r="D2133" t="inlineStr">
        <is>
          <t>http://localhost:8787/api/admin/requirements/documents/cmm4yunfo00mzcuqw73fk9pto/view</t>
        </is>
      </c>
      <c r="E2133">
        <f>HYPERLÄNK("http://localhost:8787/api/admin/requirements/documents/cmm4yunfo00mzcuqw73fk9pto/view";"Öppna PDF")</f>
        <v/>
      </c>
      <c r="F2133">
        <f>HYPERLINK("http://localhost:8787/api/admin/requirements/documents/cmm4yunfo00mzcuqw73fk9pto/view","Open PDF")</f>
        <v/>
      </c>
      <c r="G2133" t="inlineStr">
        <is>
          <t>cmm55w57p0004cuisfrtpqly8</t>
        </is>
      </c>
      <c r="H2133" t="inlineStr">
        <is>
          <t>Beslutsvillkor</t>
        </is>
      </c>
      <c r="I2133" t="inlineStr">
        <is>
          <t>DriftEgenkontroll</t>
        </is>
      </c>
      <c r="J2133" t="inlineStr">
        <is>
          <t>Journalforing</t>
        </is>
      </c>
      <c r="K2133" t="inlineStr">
        <is>
          <t>Jordprovtagningskarta bifogas.</t>
        </is>
      </c>
      <c r="L2133" t="inlineStr">
        <is>
          <t>Jordprovtagningskarta bifogas.</t>
        </is>
      </c>
      <c r="M2133" t="inlineStr">
        <is>
          <t>SKA</t>
        </is>
      </c>
      <c r="N2133" t="inlineStr"/>
      <c r="O2133" t="inlineStr"/>
      <c r="P2133" t="inlineStr"/>
      <c r="Q2133" t="inlineStr"/>
      <c r="R2133" t="inlineStr">
        <is>
          <t>Lopande drift</t>
        </is>
      </c>
      <c r="S2133" t="inlineStr"/>
      <c r="T2133" t="inlineStr">
        <is>
          <t>965702</t>
        </is>
      </c>
      <c r="U2133" t="inlineStr"/>
      <c r="V2133" t="inlineStr"/>
      <c r="W2133" t="inlineStr">
        <is>
          <t>Nej</t>
        </is>
      </c>
      <c r="X2133" t="inlineStr">
        <is>
          <t>Nej</t>
        </is>
      </c>
      <c r="Y2133" t="inlineStr">
        <is>
          <t>Ja</t>
        </is>
      </c>
      <c r="Z2133" t="inlineStr">
        <is>
          <t>Nej</t>
        </is>
      </c>
      <c r="AA2133" t="n">
        <v>7</v>
      </c>
      <c r="AB2133" t="inlineStr">
        <is>
          <t>Egenkontrollrutiner</t>
        </is>
      </c>
      <c r="AC2133" t="inlineStr">
        <is>
          <t>Egenkontrollprogram</t>
        </is>
      </c>
      <c r="AD2133" t="inlineStr">
        <is>
          <t>Nej</t>
        </is>
      </c>
      <c r="AE2133" t="inlineStr">
        <is>
          <t>Nej</t>
        </is>
      </c>
      <c r="AF2133" t="inlineStr">
        <is>
          <t>Ej behandlad</t>
        </is>
      </c>
      <c r="AG2133" t="inlineStr">
        <is>
          <t>AUTO_GENERERAD. Verifiera citat mot kallfil.</t>
        </is>
      </c>
      <c r="AH2133" t="inlineStr">
        <is>
          <t>LOW</t>
        </is>
      </c>
      <c r="AI2133" t="inlineStr">
        <is>
          <t>AUTO</t>
        </is>
      </c>
      <c r="AJ2133" t="inlineStr">
        <is>
          <t>Nej</t>
        </is>
      </c>
      <c r="AK2133" t="inlineStr"/>
      <c r="AL2133" t="inlineStr"/>
      <c r="AM2133" t="inlineStr"/>
      <c r="AN2133" t="inlineStr"/>
      <c r="AO2133" t="inlineStr">
        <is>
          <t>cmm4yunfo00mzcuqw73fk9pto</t>
        </is>
      </c>
      <c r="AP2133" t="inlineStr">
        <is>
          <t>http://localhost:8787/api/admin/requirements/documents/cmm4yunfo00mzcuqw73fk9pto/view</t>
        </is>
      </c>
      <c r="AQ2133">
        <f>HYPERLÄNK("http://localhost:8787/api/admin/requirements/documents/cmm4yunfo00mzcuqw73fk9pto/view";"Öppna PDF")</f>
        <v/>
      </c>
      <c r="AR2133">
        <f>HYPERLINK("http://localhost:8787/api/admin/requirements/documents/cmm4yunfo00mzcuqw73fk9pto/view","Open PDF")</f>
        <v/>
      </c>
      <c r="AS2133" t="inlineStr">
        <is>
          <t>cmm55w57p0004cuisfrtpqly8</t>
        </is>
      </c>
      <c r="AT2133" t="inlineStr">
        <is>
          <t>cmm4xvu980000cuh4vj0usz09</t>
        </is>
      </c>
      <c r="AU2133" t="inlineStr"/>
      <c r="AV2133" t="inlineStr">
        <is>
          <t>Kommun</t>
        </is>
      </c>
      <c r="AW2133" t="inlineStr"/>
      <c r="AX2133" t="inlineStr">
        <is>
          <t>2026-02</t>
        </is>
      </c>
      <c r="AY2133" t="inlineStr">
        <is>
          <t>Beslut</t>
        </is>
      </c>
      <c r="AZ2133" t="inlineStr">
        <is>
          <t>2026-02-03</t>
        </is>
      </c>
      <c r="BA2133" t="inlineStr">
        <is>
          <t>MIL20252663pdf_976455.pdf</t>
        </is>
      </c>
      <c r="BB2133" t="inlineStr">
        <is>
          <t>Begäran om allmän handling i ärende  MIL.2026.363</t>
        </is>
      </c>
      <c r="BC2133" t="inlineStr">
        <is>
          <t>AUTO</t>
        </is>
      </c>
      <c r="BD2133" t="inlineStr"/>
      <c r="BE2133" t="inlineStr"/>
      <c r="BF2133" t="inlineStr">
        <is>
          <t>AUTO_GENERERAD. Bekrafta metadata mot kallfil.</t>
        </is>
      </c>
      <c r="BG2133">
        <f>HYPERLINK("C:\Users\jimmy\Desktop\Examens arbete\Kod\Ny mapp\remix_-copy-of-miljöbeslut.se-portal\MIL20252663pdf_976455.pdf", "Öppna PDF")</f>
        <v/>
      </c>
    </row>
    <row r="2134">
      <c r="A2134" t="inlineStr">
        <is>
          <t>KRAV-AUTO-002133</t>
        </is>
      </c>
      <c r="B2134" t="inlineStr">
        <is>
          <t>ADMIN-INDEX-2026-02-27-00000000125C043F57453246863FE664CAFE6A3F0700950291EA24F0614FB6ACEDB12BF0E31D00000000010C0000950291EA24F0614FB6ACEDB12BF0E31D00002087B1990000</t>
        </is>
      </c>
      <c r="C2134" t="inlineStr">
        <is>
          <t>cmm4yunfo00mzcuqw73fk9pto</t>
        </is>
      </c>
      <c r="D2134" t="inlineStr">
        <is>
          <t>http://localhost:8787/api/admin/requirements/documents/cmm4yunfo00mzcuqw73fk9pto/view</t>
        </is>
      </c>
      <c r="E2134">
        <f>HYPERLÄNK("http://localhost:8787/api/admin/requirements/documents/cmm4yunfo00mzcuqw73fk9pto/view";"Öppna PDF")</f>
        <v/>
      </c>
      <c r="F2134">
        <f>HYPERLINK("http://localhost:8787/api/admin/requirements/documents/cmm4yunfo00mzcuqw73fk9pto/view","Open PDF")</f>
        <v/>
      </c>
      <c r="G2134" t="inlineStr">
        <is>
          <t>cmm55w57p0004cuisfrtpqly8</t>
        </is>
      </c>
      <c r="H2134" t="inlineStr">
        <is>
          <t>Beslutsvillkor</t>
        </is>
      </c>
      <c r="I2134" t="inlineStr">
        <is>
          <t>Riskhantering</t>
        </is>
      </c>
      <c r="J2134" t="inlineStr">
        <is>
          <t>Riskkontroll</t>
        </is>
      </c>
      <c r="K2134" t="inlineStr">
        <is>
          <t>Täckning ska med hänsyn till risk för luktolägenhet göras i snar anslutning till uppläggning.</t>
        </is>
      </c>
      <c r="L2134" t="inlineStr">
        <is>
          <t>Täckning ska med hänsyn till risk för luktolägenhet göras i snar anslutning till uppläggning.</t>
        </is>
      </c>
      <c r="M2134" t="inlineStr">
        <is>
          <t>SKA</t>
        </is>
      </c>
      <c r="N2134" t="inlineStr"/>
      <c r="O2134" t="inlineStr"/>
      <c r="P2134" t="inlineStr"/>
      <c r="Q2134" t="inlineStr"/>
      <c r="R2134" t="inlineStr">
        <is>
          <t>Vid risk for incident</t>
        </is>
      </c>
      <c r="S2134" t="inlineStr"/>
      <c r="T2134" t="inlineStr">
        <is>
          <t>965702</t>
        </is>
      </c>
      <c r="U2134" t="inlineStr"/>
      <c r="V2134" t="inlineStr"/>
      <c r="W2134" t="inlineStr">
        <is>
          <t>Nej</t>
        </is>
      </c>
      <c r="X2134" t="inlineStr">
        <is>
          <t>Nej</t>
        </is>
      </c>
      <c r="Y2134" t="inlineStr">
        <is>
          <t>Ja</t>
        </is>
      </c>
      <c r="Z2134" t="inlineStr">
        <is>
          <t>Ja</t>
        </is>
      </c>
      <c r="AA2134" t="n">
        <v>8</v>
      </c>
      <c r="AB2134" t="inlineStr">
        <is>
          <t>Riskhantering</t>
        </is>
      </c>
      <c r="AC2134" t="inlineStr">
        <is>
          <t>Risk-PM</t>
        </is>
      </c>
      <c r="AD2134" t="inlineStr">
        <is>
          <t>Nej</t>
        </is>
      </c>
      <c r="AE2134" t="inlineStr">
        <is>
          <t>Nej</t>
        </is>
      </c>
      <c r="AF2134" t="inlineStr">
        <is>
          <t>Ej behandlad</t>
        </is>
      </c>
      <c r="AG2134" t="inlineStr">
        <is>
          <t>AUTO_GENERERAD. Verifiera citat mot kallfil.</t>
        </is>
      </c>
      <c r="AH2134" t="inlineStr">
        <is>
          <t>MEDIUM</t>
        </is>
      </c>
      <c r="AI2134" t="inlineStr">
        <is>
          <t>AUTO</t>
        </is>
      </c>
      <c r="AJ2134" t="inlineStr">
        <is>
          <t>Nej</t>
        </is>
      </c>
      <c r="AK2134" t="inlineStr"/>
      <c r="AL2134" t="inlineStr"/>
      <c r="AM2134" t="inlineStr"/>
      <c r="AN2134" t="inlineStr"/>
      <c r="AO2134" t="inlineStr">
        <is>
          <t>cmm4yunfo00mzcuqw73fk9pto</t>
        </is>
      </c>
      <c r="AP2134" t="inlineStr">
        <is>
          <t>http://localhost:8787/api/admin/requirements/documents/cmm4yunfo00mzcuqw73fk9pto/view</t>
        </is>
      </c>
      <c r="AQ2134">
        <f>HYPERLÄNK("http://localhost:8787/api/admin/requirements/documents/cmm4yunfo00mzcuqw73fk9pto/view";"Öppna PDF")</f>
        <v/>
      </c>
      <c r="AR2134">
        <f>HYPERLINK("http://localhost:8787/api/admin/requirements/documents/cmm4yunfo00mzcuqw73fk9pto/view","Open PDF")</f>
        <v/>
      </c>
      <c r="AS2134" t="inlineStr">
        <is>
          <t>cmm55w57p0004cuisfrtpqly8</t>
        </is>
      </c>
      <c r="AT2134" t="inlineStr">
        <is>
          <t>cmm4xvu980000cuh4vj0usz09</t>
        </is>
      </c>
      <c r="AU2134" t="inlineStr"/>
      <c r="AV2134" t="inlineStr">
        <is>
          <t>Kommun</t>
        </is>
      </c>
      <c r="AW2134" t="inlineStr"/>
      <c r="AX2134" t="inlineStr">
        <is>
          <t>2026-02</t>
        </is>
      </c>
      <c r="AY2134" t="inlineStr">
        <is>
          <t>Beslut</t>
        </is>
      </c>
      <c r="AZ2134" t="inlineStr">
        <is>
          <t>2026-02-03</t>
        </is>
      </c>
      <c r="BA2134" t="inlineStr">
        <is>
          <t>MIL20252663pdf_976455.pdf</t>
        </is>
      </c>
      <c r="BB2134" t="inlineStr">
        <is>
          <t>Begäran om allmän handling i ärende  MIL.2026.363</t>
        </is>
      </c>
      <c r="BC2134" t="inlineStr">
        <is>
          <t>AUTO</t>
        </is>
      </c>
      <c r="BD2134" t="inlineStr"/>
      <c r="BE2134" t="inlineStr"/>
      <c r="BF2134" t="inlineStr">
        <is>
          <t>AUTO_GENERERAD. Bekrafta metadata mot kallfil.</t>
        </is>
      </c>
      <c r="BG2134">
        <f>HYPERLINK("C:\Users\jimmy\Desktop\Examens arbete\Kod\Ny mapp\remix_-copy-of-miljöbeslut.se-portal\MIL20252663pdf_976455.pdf", "Öppna PDF")</f>
        <v/>
      </c>
    </row>
    <row r="2135">
      <c r="A2135" t="inlineStr">
        <is>
          <t>KRAV-AUTO-002134</t>
        </is>
      </c>
      <c r="B2135" t="inlineStr">
        <is>
          <t>ADMIN-INDEX-2026-02-27-00000000125C043F57453246863FE664CAFE6A3F0700950291EA24F0614FB6ACEDB12BF0E31D00000000010C0000950291EA24F0614FB6ACEDB12BF0E31D00002087B1990000</t>
        </is>
      </c>
      <c r="C2135" t="inlineStr">
        <is>
          <t>cmm4yunfm00mwcuqw94r9r4ig</t>
        </is>
      </c>
      <c r="D2135" t="inlineStr">
        <is>
          <t>http://localhost:8787/api/admin/requirements/documents/cmm4yunfm00mwcuqw94r9r4ig/view</t>
        </is>
      </c>
      <c r="E2135">
        <f>HYPERLÄNK("http://localhost:8787/api/admin/requirements/documents/cmm4yunfm00mwcuqw94r9r4ig/view";"Öppna PDF")</f>
        <v/>
      </c>
      <c r="F2135">
        <f>HYPERLINK("http://localhost:8787/api/admin/requirements/documents/cmm4yunfm00mwcuqw94r9r4ig/view","Open PDF")</f>
        <v/>
      </c>
      <c r="G2135" t="inlineStr">
        <is>
          <t>cmm55w57p0004cuisfrtpqly8</t>
        </is>
      </c>
      <c r="H2135" t="inlineStr">
        <is>
          <t>Beslutsvillkor</t>
        </is>
      </c>
      <c r="I2135" t="inlineStr">
        <is>
          <t>DagvattenLakvatten</t>
        </is>
      </c>
      <c r="J2135" t="inlineStr">
        <is>
          <t>Uppsamling</t>
        </is>
      </c>
      <c r="K2135" t="inlineStr">
        <is>
          <t>Lagringen ska ske så att risken för uppkomst av lakvatten från rötslammet minimeras.</t>
        </is>
      </c>
      <c r="L2135" t="inlineStr">
        <is>
          <t>Lagringen ska ske så att risken för uppkomst av lakvatten från rötslammet minimeras.</t>
        </is>
      </c>
      <c r="M2135" t="inlineStr">
        <is>
          <t>SKA</t>
        </is>
      </c>
      <c r="N2135" t="inlineStr"/>
      <c r="O2135" t="inlineStr"/>
      <c r="P2135" t="inlineStr"/>
      <c r="Q2135" t="inlineStr"/>
      <c r="R2135" t="inlineStr">
        <is>
          <t>Vid nederbord och avrinning</t>
        </is>
      </c>
      <c r="S2135" t="inlineStr"/>
      <c r="T2135" t="inlineStr">
        <is>
          <t>965265</t>
        </is>
      </c>
      <c r="U2135" t="inlineStr"/>
      <c r="V2135" t="inlineStr"/>
      <c r="W2135" t="inlineStr">
        <is>
          <t>Nej</t>
        </is>
      </c>
      <c r="X2135" t="inlineStr">
        <is>
          <t>Ja</t>
        </is>
      </c>
      <c r="Y2135" t="inlineStr">
        <is>
          <t>Ja</t>
        </is>
      </c>
      <c r="Z2135" t="inlineStr">
        <is>
          <t>Nej</t>
        </is>
      </c>
      <c r="AA2135" t="n">
        <v>6</v>
      </c>
      <c r="AB2135" t="inlineStr">
        <is>
          <t>Lakvattenhantering</t>
        </is>
      </c>
      <c r="AC2135" t="inlineStr">
        <is>
          <t>Flodesschema dagvatten-lakvatten</t>
        </is>
      </c>
      <c r="AD2135" t="inlineStr">
        <is>
          <t>Nej</t>
        </is>
      </c>
      <c r="AE2135" t="inlineStr">
        <is>
          <t>Nej</t>
        </is>
      </c>
      <c r="AF2135" t="inlineStr">
        <is>
          <t>Ej behandlad</t>
        </is>
      </c>
      <c r="AG2135" t="inlineStr">
        <is>
          <t>AUTO_GENERERAD. Verifiera citat mot kallfil.</t>
        </is>
      </c>
      <c r="AH2135" t="inlineStr">
        <is>
          <t>MEDIUM</t>
        </is>
      </c>
      <c r="AI2135" t="inlineStr">
        <is>
          <t>AUTO</t>
        </is>
      </c>
      <c r="AJ2135" t="inlineStr">
        <is>
          <t>Nej</t>
        </is>
      </c>
      <c r="AK2135" t="inlineStr"/>
      <c r="AL2135" t="inlineStr"/>
      <c r="AM2135" t="inlineStr"/>
      <c r="AN2135" t="inlineStr"/>
      <c r="AO2135" t="inlineStr">
        <is>
          <t>cmm4yunfo00mzcuqw73fk9pto</t>
        </is>
      </c>
      <c r="AP2135" t="inlineStr">
        <is>
          <t>http://localhost:8787/api/admin/requirements/documents/cmm4yunfo00mzcuqw73fk9pto/view</t>
        </is>
      </c>
      <c r="AQ2135">
        <f>HYPERLÄNK("http://localhost:8787/api/admin/requirements/documents/cmm4yunfo00mzcuqw73fk9pto/view";"Öppna PDF")</f>
        <v/>
      </c>
      <c r="AR2135">
        <f>HYPERLINK("http://localhost:8787/api/admin/requirements/documents/cmm4yunfo00mzcuqw73fk9pto/view","Open PDF")</f>
        <v/>
      </c>
      <c r="AS2135" t="inlineStr">
        <is>
          <t>cmm55w57p0004cuisfrtpqly8</t>
        </is>
      </c>
      <c r="AT2135" t="inlineStr">
        <is>
          <t>cmm4xvu980000cuh4vj0usz09</t>
        </is>
      </c>
      <c r="AU2135" t="inlineStr"/>
      <c r="AV2135" t="inlineStr">
        <is>
          <t>Kommun</t>
        </is>
      </c>
      <c r="AW2135" t="inlineStr"/>
      <c r="AX2135" t="inlineStr">
        <is>
          <t>2026-02</t>
        </is>
      </c>
      <c r="AY2135" t="inlineStr">
        <is>
          <t>Beslut</t>
        </is>
      </c>
      <c r="AZ2135" t="inlineStr">
        <is>
          <t>2026-02-03</t>
        </is>
      </c>
      <c r="BA2135" t="inlineStr">
        <is>
          <t>MIL20252663pdf_976455.pdf</t>
        </is>
      </c>
      <c r="BB2135" t="inlineStr">
        <is>
          <t>Begäran om allmän handling i ärende  MIL.2026.363</t>
        </is>
      </c>
      <c r="BC2135" t="inlineStr">
        <is>
          <t>AUTO</t>
        </is>
      </c>
      <c r="BD2135" t="inlineStr"/>
      <c r="BE2135" t="inlineStr"/>
      <c r="BF2135" t="inlineStr">
        <is>
          <t>AUTO_GENERERAD. Bekrafta metadata mot kallfil.</t>
        </is>
      </c>
      <c r="BG2135">
        <f>HYPERLINK("C:\Users\jimmy\Desktop\Examens arbete\Kod\Ny mapp\remix_-copy-of-miljöbeslut.se-portal\MIL20252663pdf_976455.pdf", "Öppna PDF")</f>
        <v/>
      </c>
    </row>
    <row r="2136">
      <c r="A2136" t="inlineStr">
        <is>
          <t>KRAV-AUTO-002135</t>
        </is>
      </c>
      <c r="B2136" t="inlineStr">
        <is>
          <t>ADMIN-INDEX-2026-02-27-00000000125C043F57453246863FE664CAFE6A3F0700950291EA24F0614FB6ACEDB12BF0E31D00000000010C0000950291EA24F0614FB6ACEDB12BF0E31D00002087B1990000</t>
        </is>
      </c>
      <c r="C2136" t="inlineStr">
        <is>
          <t>cmm4yunfm00mwcuqw94r9r4ig</t>
        </is>
      </c>
      <c r="D2136" t="inlineStr">
        <is>
          <t>http://localhost:8787/api/admin/requirements/documents/cmm4yunfm00mwcuqw94r9r4ig/view</t>
        </is>
      </c>
      <c r="E2136">
        <f>HYPERLÄNK("http://localhost:8787/api/admin/requirements/documents/cmm4yunfm00mwcuqw94r9r4ig/view";"Öppna PDF")</f>
        <v/>
      </c>
      <c r="F2136">
        <f>HYPERLINK("http://localhost:8787/api/admin/requirements/documents/cmm4yunfm00mwcuqw94r9r4ig/view","Open PDF")</f>
        <v/>
      </c>
      <c r="G2136" t="inlineStr">
        <is>
          <t>cmm55w57p0004cuisfrtpqly8</t>
        </is>
      </c>
      <c r="H2136" t="inlineStr">
        <is>
          <t>Beslutsvillkor</t>
        </is>
      </c>
      <c r="I2136" t="inlineStr">
        <is>
          <t>DriftEgenkontroll</t>
        </is>
      </c>
      <c r="J2136" t="inlineStr">
        <is>
          <t>Journalforing</t>
        </is>
      </c>
      <c r="K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&amp; Detox AB stina.astrom@ragnsells.com Org.nr: 556076-8516 INX9067-005 Ragn-Sells Treatment &amp; Detox 831 90 Östersund Gerda Nilssons väg 2 emailfakturorR33@ragnsells.com 756 51 Uppsala Märk fakturan: sektion 40256, att.</t>
        </is>
      </c>
      <c r="L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is>
      </c>
      <c r="M2136" t="inlineStr">
        <is>
          <t>SKA</t>
        </is>
      </c>
      <c r="N2136" t="inlineStr"/>
      <c r="O2136" t="inlineStr"/>
      <c r="P2136" t="inlineStr"/>
      <c r="Q2136" t="inlineStr"/>
      <c r="R2136" t="inlineStr">
        <is>
          <t>Lopande drift</t>
        </is>
      </c>
      <c r="S2136" t="inlineStr"/>
      <c r="T2136" t="inlineStr">
        <is>
          <t>556076</t>
        </is>
      </c>
      <c r="U2136" t="inlineStr"/>
      <c r="V2136" t="inlineStr"/>
      <c r="W2136" t="inlineStr">
        <is>
          <t>Nej</t>
        </is>
      </c>
      <c r="X2136" t="inlineStr">
        <is>
          <t>Nej</t>
        </is>
      </c>
      <c r="Y2136" t="inlineStr">
        <is>
          <t>Ja</t>
        </is>
      </c>
      <c r="Z2136" t="inlineStr">
        <is>
          <t>Nej</t>
        </is>
      </c>
      <c r="AA2136" t="n">
        <v>7</v>
      </c>
      <c r="AB2136" t="inlineStr">
        <is>
          <t>Egenkontrollrutiner</t>
        </is>
      </c>
      <c r="AC2136" t="inlineStr">
        <is>
          <t>Egenkontrollprogram</t>
        </is>
      </c>
      <c r="AD2136" t="inlineStr">
        <is>
          <t>Nej</t>
        </is>
      </c>
      <c r="AE2136" t="inlineStr">
        <is>
          <t>Nej</t>
        </is>
      </c>
      <c r="AF2136" t="inlineStr">
        <is>
          <t>Ej behandlad</t>
        </is>
      </c>
      <c r="AG2136" t="inlineStr">
        <is>
          <t>AUTO_GENERERAD. Verifiera citat mot kallfil.</t>
        </is>
      </c>
      <c r="AH2136" t="inlineStr">
        <is>
          <t>MEDIUM</t>
        </is>
      </c>
      <c r="AI2136" t="inlineStr">
        <is>
          <t>AUTO</t>
        </is>
      </c>
      <c r="AJ2136" t="inlineStr">
        <is>
          <t>Nej</t>
        </is>
      </c>
      <c r="AK2136" t="inlineStr"/>
      <c r="AL2136" t="inlineStr"/>
      <c r="AM2136" t="inlineStr"/>
      <c r="AN2136" t="inlineStr"/>
      <c r="AO2136" t="inlineStr">
        <is>
          <t>cmm4yunfo00mzcuqw73fk9pto</t>
        </is>
      </c>
      <c r="AP2136" t="inlineStr">
        <is>
          <t>http://localhost:8787/api/admin/requirements/documents/cmm4yunfo00mzcuqw73fk9pto/view</t>
        </is>
      </c>
      <c r="AQ2136">
        <f>HYPERLÄNK("http://localhost:8787/api/admin/requirements/documents/cmm4yunfo00mzcuqw73fk9pto/view";"Öppna PDF")</f>
        <v/>
      </c>
      <c r="AR2136">
        <f>HYPERLINK("http://localhost:8787/api/admin/requirements/documents/cmm4yunfo00mzcuqw73fk9pto/view","Open PDF")</f>
        <v/>
      </c>
      <c r="AS2136" t="inlineStr">
        <is>
          <t>cmm55w57p0004cuisfrtpqly8</t>
        </is>
      </c>
      <c r="AT2136" t="inlineStr">
        <is>
          <t>cmm4xvu980000cuh4vj0usz09</t>
        </is>
      </c>
      <c r="AU2136" t="inlineStr"/>
      <c r="AV2136" t="inlineStr">
        <is>
          <t>Kommun</t>
        </is>
      </c>
      <c r="AW2136" t="inlineStr"/>
      <c r="AX2136" t="inlineStr">
        <is>
          <t>2026-02</t>
        </is>
      </c>
      <c r="AY2136" t="inlineStr">
        <is>
          <t>Beslut</t>
        </is>
      </c>
      <c r="AZ2136" t="inlineStr">
        <is>
          <t>2026-02-03</t>
        </is>
      </c>
      <c r="BA2136" t="inlineStr">
        <is>
          <t>MIL20252663pdf_976455.pdf</t>
        </is>
      </c>
      <c r="BB2136" t="inlineStr">
        <is>
          <t>Begäran om allmän handling i ärende  MIL.2026.363</t>
        </is>
      </c>
      <c r="BC2136" t="inlineStr">
        <is>
          <t>AUTO</t>
        </is>
      </c>
      <c r="BD2136" t="inlineStr"/>
      <c r="BE2136" t="inlineStr"/>
      <c r="BF2136" t="inlineStr">
        <is>
          <t>AUTO_GENERERAD. Bekrafta metadata mot kallfil.</t>
        </is>
      </c>
      <c r="BG2136">
        <f>HYPERLINK("C:\Users\jimmy\Desktop\Examens arbete\Kod\Ny mapp\remix_-copy-of-miljöbeslut.se-portal\MIL20252663pdf_976455.pdf", "Öppna PDF")</f>
        <v/>
      </c>
    </row>
    <row r="2137">
      <c r="A2137" t="inlineStr">
        <is>
          <t>KRAV-AUTO-002136</t>
        </is>
      </c>
      <c r="B2137" t="inlineStr">
        <is>
          <t>ADMIN-INDEX-2026-02-27-00000000125C043F57453246863FE664CAFE6A3F0700950291EA24F0614FB6ACEDB12BF0E31D00000000010C0000950291EA24F0614FB6ACEDB12BF0E31D00002087B1990000</t>
        </is>
      </c>
      <c r="C2137" t="inlineStr">
        <is>
          <t>cmm4yunfm00mwcuqw94r9r4ig</t>
        </is>
      </c>
      <c r="D2137" t="inlineStr">
        <is>
          <t>http://localhost:8787/api/admin/requirements/documents/cmm4yunfm00mwcuqw94r9r4ig/view</t>
        </is>
      </c>
      <c r="E2137">
        <f>HYPERLÄNK("http://localhost:8787/api/admin/requirements/documents/cmm4yunfm00mwcuqw94r9r4ig/view";"Öppna PDF")</f>
        <v/>
      </c>
      <c r="F2137">
        <f>HYPERLINK("http://localhost:8787/api/admin/requirements/documents/cmm4yunfm00mwcuqw94r9r4ig/view","Open PDF")</f>
        <v/>
      </c>
      <c r="G2137" t="inlineStr">
        <is>
          <t>cmm55w57p0004cuisfrtpqly8</t>
        </is>
      </c>
      <c r="H2137" t="inlineStr">
        <is>
          <t>Beslutsvillkor</t>
        </is>
      </c>
      <c r="I2137" t="inlineStr">
        <is>
          <t>DriftEgenkontroll</t>
        </is>
      </c>
      <c r="J2137" t="inlineStr">
        <is>
          <t>Journalforing</t>
        </is>
      </c>
      <c r="K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 16:23:21 +0100 To: Miljöavdelningen Subject: VB: Kompletterande uppgifter i ärende MIL.2025.2647(Aspose.Email Evaluation) Attachments: Anmälan om mellanlagring Håmsta 2026.pdf, License.txt För registrering i ärende 2025-2647, tack.</t>
        </is>
      </c>
      <c r="L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t>
        </is>
      </c>
      <c r="M2137" t="inlineStr">
        <is>
          <t>SKA</t>
        </is>
      </c>
      <c r="N2137" t="inlineStr"/>
      <c r="O2137" t="inlineStr"/>
      <c r="P2137" t="inlineStr"/>
      <c r="Q2137" t="inlineStr"/>
      <c r="R2137" t="inlineStr">
        <is>
          <t>Lopande drift</t>
        </is>
      </c>
      <c r="S2137" t="inlineStr"/>
      <c r="T2137" t="inlineStr">
        <is>
          <t>716733</t>
        </is>
      </c>
      <c r="U2137" t="inlineStr"/>
      <c r="V2137" t="inlineStr"/>
      <c r="W2137" t="inlineStr">
        <is>
          <t>Nej</t>
        </is>
      </c>
      <c r="X2137" t="inlineStr">
        <is>
          <t>Nej</t>
        </is>
      </c>
      <c r="Y2137" t="inlineStr">
        <is>
          <t>Ja</t>
        </is>
      </c>
      <c r="Z2137" t="inlineStr">
        <is>
          <t>Nej</t>
        </is>
      </c>
      <c r="AA2137" t="n">
        <v>7</v>
      </c>
      <c r="AB2137" t="inlineStr">
        <is>
          <t>Egenkontrollrutiner</t>
        </is>
      </c>
      <c r="AC2137" t="inlineStr">
        <is>
          <t>Egenkontrollprogram</t>
        </is>
      </c>
      <c r="AD2137" t="inlineStr">
        <is>
          <t>Nej</t>
        </is>
      </c>
      <c r="AE2137" t="inlineStr">
        <is>
          <t>Nej</t>
        </is>
      </c>
      <c r="AF2137" t="inlineStr">
        <is>
          <t>Ej behandlad</t>
        </is>
      </c>
      <c r="AG2137" t="inlineStr">
        <is>
          <t>AUTO_GENERERAD. Verifiera citat mot kallfil.</t>
        </is>
      </c>
      <c r="AH2137" t="inlineStr">
        <is>
          <t>MEDIUM</t>
        </is>
      </c>
      <c r="AI2137" t="inlineStr">
        <is>
          <t>AUTO</t>
        </is>
      </c>
      <c r="AJ2137" t="inlineStr">
        <is>
          <t>Nej</t>
        </is>
      </c>
      <c r="AK2137" t="inlineStr"/>
      <c r="AL2137" t="inlineStr"/>
      <c r="AM2137" t="inlineStr"/>
      <c r="AN2137" t="inlineStr"/>
      <c r="AO2137" t="inlineStr">
        <is>
          <t>cmm4yunfo00mzcuqw73fk9pto</t>
        </is>
      </c>
      <c r="AP2137" t="inlineStr">
        <is>
          <t>http://localhost:8787/api/admin/requirements/documents/cmm4yunfo00mzcuqw73fk9pto/view</t>
        </is>
      </c>
      <c r="AQ2137">
        <f>HYPERLÄNK("http://localhost:8787/api/admin/requirements/documents/cmm4yunfo00mzcuqw73fk9pto/view";"Öppna PDF")</f>
        <v/>
      </c>
      <c r="AR2137">
        <f>HYPERLINK("http://localhost:8787/api/admin/requirements/documents/cmm4yunfo00mzcuqw73fk9pto/view","Open PDF")</f>
        <v/>
      </c>
      <c r="AS2137" t="inlineStr">
        <is>
          <t>cmm55w57p0004cuisfrtpqly8</t>
        </is>
      </c>
      <c r="AT2137" t="inlineStr">
        <is>
          <t>cmm4xvu980000cuh4vj0usz09</t>
        </is>
      </c>
      <c r="AU2137" t="inlineStr"/>
      <c r="AV2137" t="inlineStr">
        <is>
          <t>Kommun</t>
        </is>
      </c>
      <c r="AW2137" t="inlineStr"/>
      <c r="AX2137" t="inlineStr">
        <is>
          <t>2026-02</t>
        </is>
      </c>
      <c r="AY2137" t="inlineStr">
        <is>
          <t>Beslut</t>
        </is>
      </c>
      <c r="AZ2137" t="inlineStr">
        <is>
          <t>2026-02-03</t>
        </is>
      </c>
      <c r="BA2137" t="inlineStr">
        <is>
          <t>MIL20252663pdf_976455.pdf</t>
        </is>
      </c>
      <c r="BB2137" t="inlineStr">
        <is>
          <t>Begäran om allmän handling i ärende  MIL.2026.363</t>
        </is>
      </c>
      <c r="BC2137" t="inlineStr">
        <is>
          <t>AUTO</t>
        </is>
      </c>
      <c r="BD2137" t="inlineStr"/>
      <c r="BE2137" t="inlineStr"/>
      <c r="BF2137" t="inlineStr">
        <is>
          <t>AUTO_GENERERAD. Bekrafta metadata mot kallfil.</t>
        </is>
      </c>
      <c r="BG2137">
        <f>HYPERLINK("C:\Users\jimmy\Desktop\Examens arbete\Kod\Ny mapp\remix_-copy-of-miljöbeslut.se-portal\MIL20252663pdf_976455.pdf", "Öppna PDF")</f>
        <v/>
      </c>
    </row>
    <row r="2138">
      <c r="A2138" t="inlineStr">
        <is>
          <t>KRAV-AUTO-002137</t>
        </is>
      </c>
      <c r="B2138" t="inlineStr">
        <is>
          <t>ADMIN-INDEX-2026-02-27-00000000125C043F57453246863FE664CAFE6A3F0700950291EA24F0614FB6ACEDB12BF0E31D00000000010C0000950291EA24F0614FB6ACEDB12BF0E31D00002087B1990000</t>
        </is>
      </c>
      <c r="C2138" t="inlineStr">
        <is>
          <t>cmm4yunfj00mtcuqwg53u0uk2</t>
        </is>
      </c>
      <c r="D2138" t="inlineStr">
        <is>
          <t>http://localhost:8787/api/admin/requirements/documents/cmm4yunfj00mtcuqwg53u0uk2/view</t>
        </is>
      </c>
      <c r="E2138">
        <f>HYPERLÄNK("http://localhost:8787/api/admin/requirements/documents/cmm4yunfj00mtcuqwg53u0uk2/view";"Öppna PDF")</f>
        <v/>
      </c>
      <c r="F2138">
        <f>HYPERLINK("http://localhost:8787/api/admin/requirements/documents/cmm4yunfj00mtcuqwg53u0uk2/view","Open PDF")</f>
        <v/>
      </c>
      <c r="G2138" t="inlineStr">
        <is>
          <t>cmm55w57p0004cuisfrtpqly8</t>
        </is>
      </c>
      <c r="H2138" t="inlineStr">
        <is>
          <t>Beslutsvillkor</t>
        </is>
      </c>
      <c r="I2138" t="inlineStr">
        <is>
          <t>DagvattenLakvatten</t>
        </is>
      </c>
      <c r="J2138" t="inlineStr">
        <is>
          <t>Uppsamling</t>
        </is>
      </c>
      <c r="K2138" t="inlineStr">
        <is>
          <t>Lagringen ska ske så att risken för uppkomst av lakvatten från rötslammet minimeras.</t>
        </is>
      </c>
      <c r="L2138" t="inlineStr">
        <is>
          <t>Lagringen ska ske så att risken för uppkomst av lakvatten från rötslammet minimeras.</t>
        </is>
      </c>
      <c r="M2138" t="inlineStr">
        <is>
          <t>SKA</t>
        </is>
      </c>
      <c r="N2138" t="inlineStr"/>
      <c r="O2138" t="inlineStr"/>
      <c r="P2138" t="inlineStr"/>
      <c r="Q2138" t="inlineStr"/>
      <c r="R2138" t="inlineStr">
        <is>
          <t>Vid nederbord och avrinning</t>
        </is>
      </c>
      <c r="S2138" t="inlineStr"/>
      <c r="T2138" t="inlineStr">
        <is>
          <t>964833</t>
        </is>
      </c>
      <c r="U2138" t="inlineStr"/>
      <c r="V2138" t="inlineStr"/>
      <c r="W2138" t="inlineStr">
        <is>
          <t>Nej</t>
        </is>
      </c>
      <c r="X2138" t="inlineStr">
        <is>
          <t>Ja</t>
        </is>
      </c>
      <c r="Y2138" t="inlineStr">
        <is>
          <t>Ja</t>
        </is>
      </c>
      <c r="Z2138" t="inlineStr">
        <is>
          <t>Nej</t>
        </is>
      </c>
      <c r="AA2138" t="n">
        <v>6</v>
      </c>
      <c r="AB2138" t="inlineStr">
        <is>
          <t>Lakvattenhantering</t>
        </is>
      </c>
      <c r="AC2138" t="inlineStr">
        <is>
          <t>Flodesschema dagvatten-lakvatten</t>
        </is>
      </c>
      <c r="AD2138" t="inlineStr">
        <is>
          <t>Nej</t>
        </is>
      </c>
      <c r="AE2138" t="inlineStr">
        <is>
          <t>Nej</t>
        </is>
      </c>
      <c r="AF2138" t="inlineStr">
        <is>
          <t>Ej behandlad</t>
        </is>
      </c>
      <c r="AG2138" t="inlineStr">
        <is>
          <t>AUTO_GENERERAD. Verifiera citat mot kallfil.</t>
        </is>
      </c>
      <c r="AH2138" t="inlineStr">
        <is>
          <t>MEDIUM</t>
        </is>
      </c>
      <c r="AI2138" t="inlineStr">
        <is>
          <t>AUTO</t>
        </is>
      </c>
      <c r="AJ2138" t="inlineStr">
        <is>
          <t>Nej</t>
        </is>
      </c>
      <c r="AK2138" t="inlineStr"/>
      <c r="AL2138" t="inlineStr"/>
      <c r="AM2138" t="inlineStr"/>
      <c r="AN2138" t="inlineStr"/>
      <c r="AO2138" t="inlineStr">
        <is>
          <t>cmm4yunfo00mzcuqw73fk9pto</t>
        </is>
      </c>
      <c r="AP2138" t="inlineStr">
        <is>
          <t>http://localhost:8787/api/admin/requirements/documents/cmm4yunfo00mzcuqw73fk9pto/view</t>
        </is>
      </c>
      <c r="AQ2138">
        <f>HYPERLÄNK("http://localhost:8787/api/admin/requirements/documents/cmm4yunfo00mzcuqw73fk9pto/view";"Öppna PDF")</f>
        <v/>
      </c>
      <c r="AR2138">
        <f>HYPERLINK("http://localhost:8787/api/admin/requirements/documents/cmm4yunfo00mzcuqw73fk9pto/view","Open PDF")</f>
        <v/>
      </c>
      <c r="AS2138" t="inlineStr">
        <is>
          <t>cmm55w57p0004cuisfrtpqly8</t>
        </is>
      </c>
      <c r="AT2138" t="inlineStr">
        <is>
          <t>cmm4xvu980000cuh4vj0usz09</t>
        </is>
      </c>
      <c r="AU2138" t="inlineStr"/>
      <c r="AV2138" t="inlineStr">
        <is>
          <t>Kommun</t>
        </is>
      </c>
      <c r="AW2138" t="inlineStr"/>
      <c r="AX2138" t="inlineStr">
        <is>
          <t>2026-02</t>
        </is>
      </c>
      <c r="AY2138" t="inlineStr">
        <is>
          <t>Beslut</t>
        </is>
      </c>
      <c r="AZ2138" t="inlineStr">
        <is>
          <t>2026-02-03</t>
        </is>
      </c>
      <c r="BA2138" t="inlineStr">
        <is>
          <t>MIL20252663pdf_976455.pdf</t>
        </is>
      </c>
      <c r="BB2138" t="inlineStr">
        <is>
          <t>Begäran om allmän handling i ärende  MIL.2026.363</t>
        </is>
      </c>
      <c r="BC2138" t="inlineStr">
        <is>
          <t>AUTO</t>
        </is>
      </c>
      <c r="BD2138" t="inlineStr"/>
      <c r="BE2138" t="inlineStr"/>
      <c r="BF2138" t="inlineStr">
        <is>
          <t>AUTO_GENERERAD. Bekrafta metadata mot kallfil.</t>
        </is>
      </c>
      <c r="BG2138">
        <f>HYPERLINK("C:\Users\jimmy\Desktop\Examens arbete\Kod\Ny mapp\remix_-copy-of-miljöbeslut.se-portal\MIL20252663pdf_976455.pdf", "Öppna PDF")</f>
        <v/>
      </c>
    </row>
    <row r="2139">
      <c r="A2139" t="inlineStr">
        <is>
          <t>KRAV-AUTO-002138</t>
        </is>
      </c>
      <c r="B2139" t="inlineStr">
        <is>
          <t>ADMIN-INDEX-2026-02-27-00000000125C043F57453246863FE664CAFE6A3F0700950291EA24F0614FB6ACEDB12BF0E31D00000000010C0000950291EA24F0614FB6ACEDB12BF0E31D00002087B1990000</t>
        </is>
      </c>
      <c r="C2139" t="inlineStr">
        <is>
          <t>cmm4yunfj00mtcuqwg53u0uk2</t>
        </is>
      </c>
      <c r="D2139" t="inlineStr">
        <is>
          <t>http://localhost:8787/api/admin/requirements/documents/cmm4yunfj00mtcuqwg53u0uk2/view</t>
        </is>
      </c>
      <c r="E2139">
        <f>HYPERLÄNK("http://localhost:8787/api/admin/requirements/documents/cmm4yunfj00mtcuqwg53u0uk2/view";"Öppna PDF")</f>
        <v/>
      </c>
      <c r="F2139">
        <f>HYPERLINK("http://localhost:8787/api/admin/requirements/documents/cmm4yunfj00mtcuqwg53u0uk2/view","Open PDF")</f>
        <v/>
      </c>
      <c r="G2139" t="inlineStr">
        <is>
          <t>cmm55w57p0004cuisfrtpqly8</t>
        </is>
      </c>
      <c r="H2139" t="inlineStr">
        <is>
          <t>Beslutsvillkor</t>
        </is>
      </c>
      <c r="I2139" t="inlineStr">
        <is>
          <t>LagringsvolymTid</t>
        </is>
      </c>
      <c r="J2139" t="inlineStr">
        <is>
          <t>Maxmangd</t>
        </is>
      </c>
      <c r="K2139" t="inlineStr">
        <is>
          <t>Totalt rör det sig om ca 1 485 ton avloppsslam som skall lagras.</t>
        </is>
      </c>
      <c r="L2139" t="inlineStr">
        <is>
          <t>Totalt rör det sig om ca 1 485 ton avloppsslam som skall lagras.</t>
        </is>
      </c>
      <c r="M2139" t="inlineStr">
        <is>
          <t>SKA</t>
        </is>
      </c>
      <c r="N2139" t="inlineStr"/>
      <c r="O2139" t="inlineStr"/>
      <c r="P2139" t="inlineStr"/>
      <c r="Q2139" t="inlineStr"/>
      <c r="R2139" t="inlineStr">
        <is>
          <t>Alltid</t>
        </is>
      </c>
      <c r="S2139" t="inlineStr"/>
      <c r="T2139" t="inlineStr">
        <is>
          <t>964833</t>
        </is>
      </c>
      <c r="U2139" t="n">
        <v>485</v>
      </c>
      <c r="V2139" t="inlineStr"/>
      <c r="W2139" t="inlineStr">
        <is>
          <t>Nej</t>
        </is>
      </c>
      <c r="X2139" t="inlineStr">
        <is>
          <t>Nej</t>
        </is>
      </c>
      <c r="Y2139" t="inlineStr">
        <is>
          <t>Nej</t>
        </is>
      </c>
      <c r="Z2139" t="inlineStr">
        <is>
          <t>Nej</t>
        </is>
      </c>
      <c r="AA2139" t="n">
        <v>4</v>
      </c>
      <c r="AB2139" t="inlineStr">
        <is>
          <t>Avfallsmangder och lagringstid</t>
        </is>
      </c>
      <c r="AC2139" t="inlineStr">
        <is>
          <t>Avfallsforteckning</t>
        </is>
      </c>
      <c r="AD2139" t="inlineStr">
        <is>
          <t>Nej</t>
        </is>
      </c>
      <c r="AE2139" t="inlineStr">
        <is>
          <t>Nej</t>
        </is>
      </c>
      <c r="AF2139" t="inlineStr">
        <is>
          <t>Ej behandlad</t>
        </is>
      </c>
      <c r="AG2139" t="inlineStr">
        <is>
          <t>AUTO_GENERERAD. Verifiera citat mot kallfil.</t>
        </is>
      </c>
      <c r="AH2139" t="inlineStr">
        <is>
          <t>MEDIUM</t>
        </is>
      </c>
      <c r="AI2139" t="inlineStr">
        <is>
          <t>AUTO</t>
        </is>
      </c>
      <c r="AJ2139" t="inlineStr">
        <is>
          <t>Nej</t>
        </is>
      </c>
      <c r="AK2139" t="inlineStr"/>
      <c r="AL2139" t="inlineStr"/>
      <c r="AM2139" t="inlineStr"/>
      <c r="AN2139" t="inlineStr"/>
      <c r="AO2139" t="inlineStr">
        <is>
          <t>cmm4yunfo00mzcuqw73fk9pto</t>
        </is>
      </c>
      <c r="AP2139" t="inlineStr">
        <is>
          <t>http://localhost:8787/api/admin/requirements/documents/cmm4yunfo00mzcuqw73fk9pto/view</t>
        </is>
      </c>
      <c r="AQ2139">
        <f>HYPERLÄNK("http://localhost:8787/api/admin/requirements/documents/cmm4yunfo00mzcuqw73fk9pto/view";"Öppna PDF")</f>
        <v/>
      </c>
      <c r="AR2139">
        <f>HYPERLINK("http://localhost:8787/api/admin/requirements/documents/cmm4yunfo00mzcuqw73fk9pto/view","Open PDF")</f>
        <v/>
      </c>
      <c r="AS2139" t="inlineStr">
        <is>
          <t>cmm55w57p0004cuisfrtpqly8</t>
        </is>
      </c>
      <c r="AT2139" t="inlineStr">
        <is>
          <t>cmm4xvu980000cuh4vj0usz09</t>
        </is>
      </c>
      <c r="AU2139" t="inlineStr"/>
      <c r="AV2139" t="inlineStr">
        <is>
          <t>Kommun</t>
        </is>
      </c>
      <c r="AW2139" t="inlineStr"/>
      <c r="AX2139" t="inlineStr">
        <is>
          <t>2026-02</t>
        </is>
      </c>
      <c r="AY2139" t="inlineStr">
        <is>
          <t>Beslut</t>
        </is>
      </c>
      <c r="AZ2139" t="inlineStr">
        <is>
          <t>2026-02-03</t>
        </is>
      </c>
      <c r="BA2139" t="inlineStr">
        <is>
          <t>MIL20252663pdf_976455.pdf</t>
        </is>
      </c>
      <c r="BB2139" t="inlineStr">
        <is>
          <t>Begäran om allmän handling i ärende  MIL.2026.363</t>
        </is>
      </c>
      <c r="BC2139" t="inlineStr">
        <is>
          <t>AUTO</t>
        </is>
      </c>
      <c r="BD2139" t="inlineStr"/>
      <c r="BE2139" t="inlineStr"/>
      <c r="BF2139" t="inlineStr">
        <is>
          <t>AUTO_GENERERAD. Bekrafta metadata mot kallfil.</t>
        </is>
      </c>
      <c r="BG2139">
        <f>HYPERLINK("C:\Users\jimmy\Desktop\Examens arbete\Kod\Ny mapp\remix_-copy-of-miljöbeslut.se-portal\MIL20252663pdf_976455.pdf", "Öppna PDF")</f>
        <v/>
      </c>
    </row>
    <row r="2140">
      <c r="A2140" t="inlineStr">
        <is>
          <t>KRAV-AUTO-002139</t>
        </is>
      </c>
      <c r="B2140" t="inlineStr">
        <is>
          <t>ADMIN-INDEX-2026-02-27-00000000125C043F57453246863FE664CAFE6A3F0700950291EA24F0614FB6ACEDB12BF0E31D00000000010C0000950291EA24F0614FB6ACEDB12BF0E31D00002087B1990000</t>
        </is>
      </c>
      <c r="C2140" t="inlineStr">
        <is>
          <t>cmm4yunfj00mtcuqwg53u0uk2</t>
        </is>
      </c>
      <c r="D2140" t="inlineStr">
        <is>
          <t>http://localhost:8787/api/admin/requirements/documents/cmm4yunfj00mtcuqwg53u0uk2/view</t>
        </is>
      </c>
      <c r="E2140">
        <f>HYPERLÄNK("http://localhost:8787/api/admin/requirements/documents/cmm4yunfj00mtcuqwg53u0uk2/view";"Öppna PDF")</f>
        <v/>
      </c>
      <c r="F2140">
        <f>HYPERLINK("http://localhost:8787/api/admin/requirements/documents/cmm4yunfj00mtcuqwg53u0uk2/view","Open PDF")</f>
        <v/>
      </c>
      <c r="G2140" t="inlineStr">
        <is>
          <t>cmm55w57p0004cuisfrtpqly8</t>
        </is>
      </c>
      <c r="H2140" t="inlineStr">
        <is>
          <t>Beslutsvillkor</t>
        </is>
      </c>
      <c r="I2140" t="inlineStr">
        <is>
          <t>Riskhantering</t>
        </is>
      </c>
      <c r="J2140" t="inlineStr">
        <is>
          <t>Riskkontroll</t>
        </is>
      </c>
      <c r="K2140" t="inlineStr">
        <is>
          <t>Täckning ska med hänsyn till risk för luktolägenhet göras i snar anslutning till uppläggning.</t>
        </is>
      </c>
      <c r="L2140" t="inlineStr">
        <is>
          <t>Täckning ska med hänsyn till risk för luktolägenhet göras i snar anslutning till uppläggning.</t>
        </is>
      </c>
      <c r="M2140" t="inlineStr">
        <is>
          <t>SKA</t>
        </is>
      </c>
      <c r="N2140" t="inlineStr"/>
      <c r="O2140" t="inlineStr"/>
      <c r="P2140" t="inlineStr"/>
      <c r="Q2140" t="inlineStr"/>
      <c r="R2140" t="inlineStr">
        <is>
          <t>Vid risk for incident</t>
        </is>
      </c>
      <c r="S2140" t="inlineStr"/>
      <c r="T2140" t="inlineStr">
        <is>
          <t>964833</t>
        </is>
      </c>
      <c r="U2140" t="inlineStr"/>
      <c r="V2140" t="inlineStr"/>
      <c r="W2140" t="inlineStr">
        <is>
          <t>Nej</t>
        </is>
      </c>
      <c r="X2140" t="inlineStr">
        <is>
          <t>Nej</t>
        </is>
      </c>
      <c r="Y2140" t="inlineStr">
        <is>
          <t>Ja</t>
        </is>
      </c>
      <c r="Z2140" t="inlineStr">
        <is>
          <t>Ja</t>
        </is>
      </c>
      <c r="AA2140" t="n">
        <v>8</v>
      </c>
      <c r="AB2140" t="inlineStr">
        <is>
          <t>Riskhantering</t>
        </is>
      </c>
      <c r="AC2140" t="inlineStr">
        <is>
          <t>Risk-PM</t>
        </is>
      </c>
      <c r="AD2140" t="inlineStr">
        <is>
          <t>Nej</t>
        </is>
      </c>
      <c r="AE2140" t="inlineStr">
        <is>
          <t>Nej</t>
        </is>
      </c>
      <c r="AF2140" t="inlineStr">
        <is>
          <t>Ej behandlad</t>
        </is>
      </c>
      <c r="AG2140" t="inlineStr">
        <is>
          <t>AUTO_GENERERAD. Verifiera citat mot kallfil.</t>
        </is>
      </c>
      <c r="AH2140" t="inlineStr">
        <is>
          <t>MEDIUM</t>
        </is>
      </c>
      <c r="AI2140" t="inlineStr">
        <is>
          <t>AUTO</t>
        </is>
      </c>
      <c r="AJ2140" t="inlineStr">
        <is>
          <t>Nej</t>
        </is>
      </c>
      <c r="AK2140" t="inlineStr"/>
      <c r="AL2140" t="inlineStr"/>
      <c r="AM2140" t="inlineStr"/>
      <c r="AN2140" t="inlineStr"/>
      <c r="AO2140" t="inlineStr">
        <is>
          <t>cmm4yunfo00mzcuqw73fk9pto</t>
        </is>
      </c>
      <c r="AP2140" t="inlineStr">
        <is>
          <t>http://localhost:8787/api/admin/requirements/documents/cmm4yunfo00mzcuqw73fk9pto/view</t>
        </is>
      </c>
      <c r="AQ2140">
        <f>HYPERLÄNK("http://localhost:8787/api/admin/requirements/documents/cmm4yunfo00mzcuqw73fk9pto/view";"Öppna PDF")</f>
        <v/>
      </c>
      <c r="AR2140">
        <f>HYPERLINK("http://localhost:8787/api/admin/requirements/documents/cmm4yunfo00mzcuqw73fk9pto/view","Open PDF")</f>
        <v/>
      </c>
      <c r="AS2140" t="inlineStr">
        <is>
          <t>cmm55w57p0004cuisfrtpqly8</t>
        </is>
      </c>
      <c r="AT2140" t="inlineStr">
        <is>
          <t>cmm4xvu980000cuh4vj0usz09</t>
        </is>
      </c>
      <c r="AU2140" t="inlineStr"/>
      <c r="AV2140" t="inlineStr">
        <is>
          <t>Kommun</t>
        </is>
      </c>
      <c r="AW2140" t="inlineStr"/>
      <c r="AX2140" t="inlineStr">
        <is>
          <t>2026-02</t>
        </is>
      </c>
      <c r="AY2140" t="inlineStr">
        <is>
          <t>Beslut</t>
        </is>
      </c>
      <c r="AZ2140" t="inlineStr">
        <is>
          <t>2026-02-03</t>
        </is>
      </c>
      <c r="BA2140" t="inlineStr">
        <is>
          <t>MIL20252663pdf_976455.pdf</t>
        </is>
      </c>
      <c r="BB2140" t="inlineStr">
        <is>
          <t>Begäran om allmän handling i ärende  MIL.2026.363</t>
        </is>
      </c>
      <c r="BC2140" t="inlineStr">
        <is>
          <t>AUTO</t>
        </is>
      </c>
      <c r="BD2140" t="inlineStr"/>
      <c r="BE2140" t="inlineStr"/>
      <c r="BF2140" t="inlineStr">
        <is>
          <t>AUTO_GENERERAD. Bekrafta metadata mot kallfil.</t>
        </is>
      </c>
      <c r="BG2140">
        <f>HYPERLINK("C:\Users\jimmy\Desktop\Examens arbete\Kod\Ny mapp\remix_-copy-of-miljöbeslut.se-portal\MIL20252663pdf_976455.pdf", "Öppna PDF")</f>
        <v/>
      </c>
    </row>
    <row r="2141">
      <c r="A2141" t="inlineStr">
        <is>
          <t>KRAV-AUTO-002140</t>
        </is>
      </c>
      <c r="B2141" t="inlineStr">
        <is>
          <t>ADMIN-INDEX-2026-02-27-00000000125C043F57453246863FE664CAFE6A3F0700950291EA24F0614FB6ACEDB12BF0E31D00000000010C0000950291EA24F0614FB6ACEDB12BF0E31D00002087B1990000</t>
        </is>
      </c>
      <c r="C2141" t="inlineStr">
        <is>
          <t>cmm4yunfh00mqcuqwy7k3aijs</t>
        </is>
      </c>
      <c r="D2141" t="inlineStr">
        <is>
          <t>http://localhost:8787/api/admin/requirements/documents/cmm4yunfh00mqcuqwy7k3aijs/view</t>
        </is>
      </c>
      <c r="E2141">
        <f>HYPERLÄNK("http://localhost:8787/api/admin/requirements/documents/cmm4yunfh00mqcuqwy7k3aijs/view";"Öppna PDF")</f>
        <v/>
      </c>
      <c r="F2141">
        <f>HYPERLINK("http://localhost:8787/api/admin/requirements/documents/cmm4yunfh00mqcuqwy7k3aijs/view","Open PDF")</f>
        <v/>
      </c>
      <c r="G2141" t="inlineStr">
        <is>
          <t>cmm55w57p0004cuisfrtpqly8</t>
        </is>
      </c>
      <c r="H2141" t="inlineStr">
        <is>
          <t>Beslutsvillkor</t>
        </is>
      </c>
      <c r="I2141" t="inlineStr">
        <is>
          <t>DagvattenLakvatten</t>
        </is>
      </c>
      <c r="J2141" t="inlineStr">
        <is>
          <t>Uppsamling</t>
        </is>
      </c>
      <c r="K2141" t="inlineStr">
        <is>
          <t>Lagringen ska ske så att risken för uppkomst av lakvatten från rötslammet minimeras.</t>
        </is>
      </c>
      <c r="L2141" t="inlineStr">
        <is>
          <t>Lagringen ska ske så att risken för uppkomst av lakvatten från rötslammet minimeras.</t>
        </is>
      </c>
      <c r="M2141" t="inlineStr">
        <is>
          <t>SKA</t>
        </is>
      </c>
      <c r="N2141" t="inlineStr"/>
      <c r="O2141" t="inlineStr"/>
      <c r="P2141" t="inlineStr"/>
      <c r="Q2141" t="inlineStr"/>
      <c r="R2141" t="inlineStr">
        <is>
          <t>Vid nederbord och avrinning</t>
        </is>
      </c>
      <c r="S2141" t="inlineStr"/>
      <c r="T2141" t="inlineStr">
        <is>
          <t>963802</t>
        </is>
      </c>
      <c r="U2141" t="inlineStr"/>
      <c r="V2141" t="inlineStr"/>
      <c r="W2141" t="inlineStr">
        <is>
          <t>Nej</t>
        </is>
      </c>
      <c r="X2141" t="inlineStr">
        <is>
          <t>Ja</t>
        </is>
      </c>
      <c r="Y2141" t="inlineStr">
        <is>
          <t>Ja</t>
        </is>
      </c>
      <c r="Z2141" t="inlineStr">
        <is>
          <t>Nej</t>
        </is>
      </c>
      <c r="AA2141" t="n">
        <v>6</v>
      </c>
      <c r="AB2141" t="inlineStr">
        <is>
          <t>Lakvattenhantering</t>
        </is>
      </c>
      <c r="AC2141" t="inlineStr">
        <is>
          <t>Flodesschema dagvatten-lakvatten</t>
        </is>
      </c>
      <c r="AD2141" t="inlineStr">
        <is>
          <t>Nej</t>
        </is>
      </c>
      <c r="AE2141" t="inlineStr">
        <is>
          <t>Nej</t>
        </is>
      </c>
      <c r="AF2141" t="inlineStr">
        <is>
          <t>Ej behandlad</t>
        </is>
      </c>
      <c r="AG2141" t="inlineStr">
        <is>
          <t>AUTO_GENERERAD. Verifiera citat mot kallfil.</t>
        </is>
      </c>
      <c r="AH2141" t="inlineStr">
        <is>
          <t>MEDIUM</t>
        </is>
      </c>
      <c r="AI2141" t="inlineStr">
        <is>
          <t>AUTO</t>
        </is>
      </c>
      <c r="AJ2141" t="inlineStr">
        <is>
          <t>Nej</t>
        </is>
      </c>
      <c r="AK2141" t="inlineStr"/>
      <c r="AL2141" t="inlineStr"/>
      <c r="AM2141" t="inlineStr"/>
      <c r="AN2141" t="inlineStr"/>
      <c r="AO2141" t="inlineStr">
        <is>
          <t>cmm4yunfo00mzcuqw73fk9pto</t>
        </is>
      </c>
      <c r="AP2141" t="inlineStr">
        <is>
          <t>http://localhost:8787/api/admin/requirements/documents/cmm4yunfo00mzcuqw73fk9pto/view</t>
        </is>
      </c>
      <c r="AQ2141">
        <f>HYPERLÄNK("http://localhost:8787/api/admin/requirements/documents/cmm4yunfo00mzcuqw73fk9pto/view";"Öppna PDF")</f>
        <v/>
      </c>
      <c r="AR2141">
        <f>HYPERLINK("http://localhost:8787/api/admin/requirements/documents/cmm4yunfo00mzcuqw73fk9pto/view","Open PDF")</f>
        <v/>
      </c>
      <c r="AS2141" t="inlineStr">
        <is>
          <t>cmm55w57p0004cuisfrtpqly8</t>
        </is>
      </c>
      <c r="AT2141" t="inlineStr">
        <is>
          <t>cmm4xvu980000cuh4vj0usz09</t>
        </is>
      </c>
      <c r="AU2141" t="inlineStr"/>
      <c r="AV2141" t="inlineStr">
        <is>
          <t>Kommun</t>
        </is>
      </c>
      <c r="AW2141" t="inlineStr"/>
      <c r="AX2141" t="inlineStr">
        <is>
          <t>2026-02</t>
        </is>
      </c>
      <c r="AY2141" t="inlineStr">
        <is>
          <t>Beslut</t>
        </is>
      </c>
      <c r="AZ2141" t="inlineStr">
        <is>
          <t>2026-02-03</t>
        </is>
      </c>
      <c r="BA2141" t="inlineStr">
        <is>
          <t>MIL20252663pdf_976455.pdf</t>
        </is>
      </c>
      <c r="BB2141" t="inlineStr">
        <is>
          <t>Begäran om allmän handling i ärende  MIL.2026.363</t>
        </is>
      </c>
      <c r="BC2141" t="inlineStr">
        <is>
          <t>AUTO</t>
        </is>
      </c>
      <c r="BD2141" t="inlineStr"/>
      <c r="BE2141" t="inlineStr"/>
      <c r="BF2141" t="inlineStr">
        <is>
          <t>AUTO_GENERERAD. Bekrafta metadata mot kallfil.</t>
        </is>
      </c>
      <c r="BG2141">
        <f>HYPERLINK("C:\Users\jimmy\Desktop\Examens arbete\Kod\Ny mapp\remix_-copy-of-miljöbeslut.se-portal\MIL20252663pdf_976455.pdf", "Öppna PDF")</f>
        <v/>
      </c>
    </row>
    <row r="2142">
      <c r="A2142" t="inlineStr">
        <is>
          <t>KRAV-AUTO-002141</t>
        </is>
      </c>
      <c r="B2142" t="inlineStr">
        <is>
          <t>ADMIN-INDEX-2026-02-27-00000000125C043F57453246863FE664CAFE6A3F0700950291EA24F0614FB6ACEDB12BF0E31D00000000010C0000950291EA24F0614FB6ACEDB12BF0E31D00002087B1990000</t>
        </is>
      </c>
      <c r="C2142" t="inlineStr">
        <is>
          <t>cmm4yunfh00mqcuqwy7k3aijs</t>
        </is>
      </c>
      <c r="D2142" t="inlineStr">
        <is>
          <t>http://localhost:8787/api/admin/requirements/documents/cmm4yunfh00mqcuqwy7k3aijs/view</t>
        </is>
      </c>
      <c r="E2142">
        <f>HYPERLÄNK("http://localhost:8787/api/admin/requirements/documents/cmm4yunfh00mqcuqwy7k3aijs/view";"Öppna PDF")</f>
        <v/>
      </c>
      <c r="F2142">
        <f>HYPERLINK("http://localhost:8787/api/admin/requirements/documents/cmm4yunfh00mqcuqwy7k3aijs/view","Open PDF")</f>
        <v/>
      </c>
      <c r="G2142" t="inlineStr">
        <is>
          <t>cmm55w57p0004cuisfrtpqly8</t>
        </is>
      </c>
      <c r="H2142" t="inlineStr">
        <is>
          <t>Beslutsvillkor</t>
        </is>
      </c>
      <c r="I2142" t="inlineStr">
        <is>
          <t>MiljopaverkanForsiktighet</t>
        </is>
      </c>
      <c r="J2142" t="inlineStr">
        <is>
          <t>Skyddsatgarder</t>
        </is>
      </c>
      <c r="K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 Nov 2025 09:49:39 +0100 To: Miljöavdelningen Subject: VB: En kompletterande fråga angående mellanlagring av slam, ärende MIL.2025.2566(Aspose.Email Evaluation) Attachments: Stukanmälan_Oscarsons Lantbruk AB_2026.pdf, License.txt För registrering i ärende 2025-2566, tack!</t>
        </is>
      </c>
      <c r="L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t>
        </is>
      </c>
      <c r="M2142" t="inlineStr">
        <is>
          <t>SKA</t>
        </is>
      </c>
      <c r="N2142" t="inlineStr"/>
      <c r="O2142" t="inlineStr"/>
      <c r="P2142" t="inlineStr"/>
      <c r="Q2142" t="inlineStr"/>
      <c r="R2142" t="inlineStr">
        <is>
          <t>Alltid</t>
        </is>
      </c>
      <c r="S2142" t="inlineStr"/>
      <c r="T2142" t="inlineStr">
        <is>
          <t>2025 09</t>
        </is>
      </c>
      <c r="U2142" t="inlineStr"/>
      <c r="V2142" t="inlineStr"/>
      <c r="W2142" t="inlineStr">
        <is>
          <t>Nej</t>
        </is>
      </c>
      <c r="X2142" t="inlineStr">
        <is>
          <t>Nej</t>
        </is>
      </c>
      <c r="Y2142" t="inlineStr">
        <is>
          <t>Nej</t>
        </is>
      </c>
      <c r="Z2142" t="inlineStr">
        <is>
          <t>Nej</t>
        </is>
      </c>
      <c r="AA2142" t="n">
        <v>10</v>
      </c>
      <c r="AB2142" t="inlineStr">
        <is>
          <t>Miljopaverkan och forsiktighetsmatt</t>
        </is>
      </c>
      <c r="AC2142" t="inlineStr">
        <is>
          <t>Miljo-PM</t>
        </is>
      </c>
      <c r="AD2142" t="inlineStr">
        <is>
          <t>Nej</t>
        </is>
      </c>
      <c r="AE2142" t="inlineStr">
        <is>
          <t>Nej</t>
        </is>
      </c>
      <c r="AF2142" t="inlineStr">
        <is>
          <t>Ej behandlad</t>
        </is>
      </c>
      <c r="AG2142" t="inlineStr">
        <is>
          <t>AUTO_GENERERAD. Verifiera citat mot kallfil.</t>
        </is>
      </c>
      <c r="AH2142" t="inlineStr">
        <is>
          <t>MEDIUM</t>
        </is>
      </c>
      <c r="AI2142" t="inlineStr">
        <is>
          <t>AUTO</t>
        </is>
      </c>
      <c r="AJ2142" t="inlineStr">
        <is>
          <t>Nej</t>
        </is>
      </c>
      <c r="AK2142" t="inlineStr"/>
      <c r="AL2142" t="inlineStr"/>
      <c r="AM2142" t="inlineStr"/>
      <c r="AN2142" t="inlineStr"/>
      <c r="AO2142" t="inlineStr">
        <is>
          <t>cmm4yunfo00mzcuqw73fk9pto</t>
        </is>
      </c>
      <c r="AP2142" t="inlineStr">
        <is>
          <t>http://localhost:8787/api/admin/requirements/documents/cmm4yunfo00mzcuqw73fk9pto/view</t>
        </is>
      </c>
      <c r="AQ2142">
        <f>HYPERLÄNK("http://localhost:8787/api/admin/requirements/documents/cmm4yunfo00mzcuqw73fk9pto/view";"Öppna PDF")</f>
        <v/>
      </c>
      <c r="AR2142">
        <f>HYPERLINK("http://localhost:8787/api/admin/requirements/documents/cmm4yunfo00mzcuqw73fk9pto/view","Open PDF")</f>
        <v/>
      </c>
      <c r="AS2142" t="inlineStr">
        <is>
          <t>cmm55w57p0004cuisfrtpqly8</t>
        </is>
      </c>
      <c r="AT2142" t="inlineStr">
        <is>
          <t>cmm4xvu980000cuh4vj0usz09</t>
        </is>
      </c>
      <c r="AU2142" t="inlineStr"/>
      <c r="AV2142" t="inlineStr">
        <is>
          <t>Kommun</t>
        </is>
      </c>
      <c r="AW2142" t="inlineStr"/>
      <c r="AX2142" t="inlineStr">
        <is>
          <t>2026-02</t>
        </is>
      </c>
      <c r="AY2142" t="inlineStr">
        <is>
          <t>Beslut</t>
        </is>
      </c>
      <c r="AZ2142" t="inlineStr">
        <is>
          <t>2026-02-03</t>
        </is>
      </c>
      <c r="BA2142" t="inlineStr">
        <is>
          <t>MIL20252663pdf_976455.pdf</t>
        </is>
      </c>
      <c r="BB2142" t="inlineStr">
        <is>
          <t>Begäran om allmän handling i ärende  MIL.2026.363</t>
        </is>
      </c>
      <c r="BC2142" t="inlineStr">
        <is>
          <t>AUTO</t>
        </is>
      </c>
      <c r="BD2142" t="inlineStr"/>
      <c r="BE2142" t="inlineStr"/>
      <c r="BF2142" t="inlineStr">
        <is>
          <t>AUTO_GENERERAD. Bekrafta metadata mot kallfil.</t>
        </is>
      </c>
      <c r="BG2142">
        <f>HYPERLINK("C:\Users\jimmy\Desktop\Examens arbete\Kod\Ny mapp\remix_-copy-of-miljöbeslut.se-portal\MIL20252663pdf_976455.pdf", "Öppna PDF")</f>
        <v/>
      </c>
    </row>
    <row r="2143">
      <c r="A2143" t="inlineStr">
        <is>
          <t>KRAV-AUTO-002142</t>
        </is>
      </c>
      <c r="B2143" t="inlineStr">
        <is>
          <t>ADMIN-INDEX-2026-02-27-00000000125C043F57453246863FE664CAFE6A3F0700950291EA24F0614FB6ACEDB12BF0E31D00000000010C0000950291EA24F0614FB6ACEDB12BF0E31D00002087B1990000</t>
        </is>
      </c>
      <c r="C2143" t="inlineStr">
        <is>
          <t>cmm4yunfh00mqcuqwy7k3aijs</t>
        </is>
      </c>
      <c r="D2143" t="inlineStr">
        <is>
          <t>http://localhost:8787/api/admin/requirements/documents/cmm4yunfh00mqcuqwy7k3aijs/view</t>
        </is>
      </c>
      <c r="E2143">
        <f>HYPERLÄNK("http://localhost:8787/api/admin/requirements/documents/cmm4yunfh00mqcuqwy7k3aijs/view";"Öppna PDF")</f>
        <v/>
      </c>
      <c r="F2143">
        <f>HYPERLINK("http://localhost:8787/api/admin/requirements/documents/cmm4yunfh00mqcuqwy7k3aijs/view","Open PDF")</f>
        <v/>
      </c>
      <c r="G2143" t="inlineStr">
        <is>
          <t>cmm55w57p0004cuisfrtpqly8</t>
        </is>
      </c>
      <c r="H2143" t="inlineStr">
        <is>
          <t>Beslutsvillkor</t>
        </is>
      </c>
      <c r="I2143" t="inlineStr">
        <is>
          <t>LagringsvolymTid</t>
        </is>
      </c>
      <c r="J2143" t="inlineStr">
        <is>
          <t>Maxmangd</t>
        </is>
      </c>
      <c r="K2143" t="inlineStr">
        <is>
          <t>Uppskattad volym är cirka 994 ton.</t>
        </is>
      </c>
      <c r="L2143" t="inlineStr">
        <is>
          <t>Uppskattad volym är cirka 994 ton.</t>
        </is>
      </c>
      <c r="M2143" t="inlineStr">
        <is>
          <t>SKA</t>
        </is>
      </c>
      <c r="N2143" t="inlineStr"/>
      <c r="O2143" t="inlineStr"/>
      <c r="P2143" t="inlineStr"/>
      <c r="Q2143" t="inlineStr"/>
      <c r="R2143" t="inlineStr">
        <is>
          <t>Alltid</t>
        </is>
      </c>
      <c r="S2143" t="inlineStr"/>
      <c r="T2143" t="inlineStr">
        <is>
          <t>963802</t>
        </is>
      </c>
      <c r="U2143" t="n">
        <v>994</v>
      </c>
      <c r="V2143" t="inlineStr"/>
      <c r="W2143" t="inlineStr">
        <is>
          <t>Nej</t>
        </is>
      </c>
      <c r="X2143" t="inlineStr">
        <is>
          <t>Nej</t>
        </is>
      </c>
      <c r="Y2143" t="inlineStr">
        <is>
          <t>Nej</t>
        </is>
      </c>
      <c r="Z2143" t="inlineStr">
        <is>
          <t>Nej</t>
        </is>
      </c>
      <c r="AA2143" t="n">
        <v>4</v>
      </c>
      <c r="AB2143" t="inlineStr">
        <is>
          <t>Avfallsmangder och lagringstid</t>
        </is>
      </c>
      <c r="AC2143" t="inlineStr">
        <is>
          <t>Avfallsforteckning</t>
        </is>
      </c>
      <c r="AD2143" t="inlineStr">
        <is>
          <t>Nej</t>
        </is>
      </c>
      <c r="AE2143" t="inlineStr">
        <is>
          <t>Nej</t>
        </is>
      </c>
      <c r="AF2143" t="inlineStr">
        <is>
          <t>Ej behandlad</t>
        </is>
      </c>
      <c r="AG2143" t="inlineStr">
        <is>
          <t>AUTO_GENERERAD. Verifiera citat mot kallfil.</t>
        </is>
      </c>
      <c r="AH2143" t="inlineStr">
        <is>
          <t>LOW</t>
        </is>
      </c>
      <c r="AI2143" t="inlineStr">
        <is>
          <t>AUTO</t>
        </is>
      </c>
      <c r="AJ2143" t="inlineStr">
        <is>
          <t>Nej</t>
        </is>
      </c>
      <c r="AK2143" t="inlineStr"/>
      <c r="AL2143" t="inlineStr"/>
      <c r="AM2143" t="inlineStr"/>
      <c r="AN2143" t="inlineStr"/>
      <c r="AO2143" t="inlineStr">
        <is>
          <t>cmm4yunfo00mzcuqw73fk9pto</t>
        </is>
      </c>
      <c r="AP2143" t="inlineStr">
        <is>
          <t>http://localhost:8787/api/admin/requirements/documents/cmm4yunfo00mzcuqw73fk9pto/view</t>
        </is>
      </c>
      <c r="AQ2143">
        <f>HYPERLÄNK("http://localhost:8787/api/admin/requirements/documents/cmm4yunfo00mzcuqw73fk9pto/view";"Öppna PDF")</f>
        <v/>
      </c>
      <c r="AR2143">
        <f>HYPERLINK("http://localhost:8787/api/admin/requirements/documents/cmm4yunfo00mzcuqw73fk9pto/view","Open PDF")</f>
        <v/>
      </c>
      <c r="AS2143" t="inlineStr">
        <is>
          <t>cmm55w57p0004cuisfrtpqly8</t>
        </is>
      </c>
      <c r="AT2143" t="inlineStr">
        <is>
          <t>cmm4xvu980000cuh4vj0usz09</t>
        </is>
      </c>
      <c r="AU2143" t="inlineStr"/>
      <c r="AV2143" t="inlineStr">
        <is>
          <t>Kommun</t>
        </is>
      </c>
      <c r="AW2143" t="inlineStr"/>
      <c r="AX2143" t="inlineStr">
        <is>
          <t>2026-02</t>
        </is>
      </c>
      <c r="AY2143" t="inlineStr">
        <is>
          <t>Beslut</t>
        </is>
      </c>
      <c r="AZ2143" t="inlineStr">
        <is>
          <t>2026-02-03</t>
        </is>
      </c>
      <c r="BA2143" t="inlineStr">
        <is>
          <t>MIL20252663pdf_976455.pdf</t>
        </is>
      </c>
      <c r="BB2143" t="inlineStr">
        <is>
          <t>Begäran om allmän handling i ärende  MIL.2026.363</t>
        </is>
      </c>
      <c r="BC2143" t="inlineStr">
        <is>
          <t>AUTO</t>
        </is>
      </c>
      <c r="BD2143" t="inlineStr"/>
      <c r="BE2143" t="inlineStr"/>
      <c r="BF2143" t="inlineStr">
        <is>
          <t>AUTO_GENERERAD. Bekrafta metadata mot kallfil.</t>
        </is>
      </c>
      <c r="BG2143">
        <f>HYPERLINK("C:\Users\jimmy\Desktop\Examens arbete\Kod\Ny mapp\remix_-copy-of-miljöbeslut.se-portal\MIL20252663pdf_976455.pdf", "Öppna PDF")</f>
        <v/>
      </c>
    </row>
    <row r="2144">
      <c r="A2144" t="inlineStr">
        <is>
          <t>KRAV-AUTO-002143</t>
        </is>
      </c>
      <c r="B2144" t="inlineStr">
        <is>
          <t>ADMIN-INDEX-2026-02-27-00000000125C043F57453246863FE664CAFE6A3F0700950291EA24F0614FB6ACEDB12BF0E31D00000000010C0000950291EA24F0614FB6ACEDB12BF0E31D00002087B1990000</t>
        </is>
      </c>
      <c r="C2144" t="inlineStr">
        <is>
          <t>cmm4yunfd00mncuqwkmhxmw75</t>
        </is>
      </c>
      <c r="D2144" t="inlineStr">
        <is>
          <t>http://localhost:8787/api/admin/requirements/documents/cmm4yunfd00mncuqwkmhxmw75/view</t>
        </is>
      </c>
      <c r="E2144">
        <f>HYPERLÄNK("http://localhost:8787/api/admin/requirements/documents/cmm4yunfd00mncuqwkmhxmw75/view";"Öppna PDF")</f>
        <v/>
      </c>
      <c r="F2144">
        <f>HYPERLINK("http://localhost:8787/api/admin/requirements/documents/cmm4yunfd00mncuqwkmhxmw75/view","Open PDF")</f>
        <v/>
      </c>
      <c r="G2144" t="inlineStr">
        <is>
          <t>cmm55w57p0004cuisfrtpqly8</t>
        </is>
      </c>
      <c r="H2144" t="inlineStr">
        <is>
          <t>Beslutsvillkor</t>
        </is>
      </c>
      <c r="I2144" t="inlineStr">
        <is>
          <t>DagvattenLakvatten</t>
        </is>
      </c>
      <c r="J2144" t="inlineStr">
        <is>
          <t>Uppsamling</t>
        </is>
      </c>
      <c r="K2144" t="inlineStr">
        <is>
          <t>Lagringen ska ske så att risken för uppkomst av lakvatten från rötslammet minimeras.</t>
        </is>
      </c>
      <c r="L2144" t="inlineStr">
        <is>
          <t>Lagringen ska ske så att risken för uppkomst av lakvatten från rötslammet minimeras.</t>
        </is>
      </c>
      <c r="M2144" t="inlineStr">
        <is>
          <t>SKA</t>
        </is>
      </c>
      <c r="N2144" t="inlineStr"/>
      <c r="O2144" t="inlineStr"/>
      <c r="P2144" t="inlineStr"/>
      <c r="Q2144" t="inlineStr"/>
      <c r="R2144" t="inlineStr">
        <is>
          <t>Vid nederbord och avrinning</t>
        </is>
      </c>
      <c r="S2144" t="inlineStr"/>
      <c r="T2144" t="inlineStr">
        <is>
          <t>965891</t>
        </is>
      </c>
      <c r="U2144" t="inlineStr"/>
      <c r="V2144" t="inlineStr"/>
      <c r="W2144" t="inlineStr">
        <is>
          <t>Nej</t>
        </is>
      </c>
      <c r="X2144" t="inlineStr">
        <is>
          <t>Ja</t>
        </is>
      </c>
      <c r="Y2144" t="inlineStr">
        <is>
          <t>Ja</t>
        </is>
      </c>
      <c r="Z2144" t="inlineStr">
        <is>
          <t>Nej</t>
        </is>
      </c>
      <c r="AA2144" t="n">
        <v>6</v>
      </c>
      <c r="AB2144" t="inlineStr">
        <is>
          <t>Lakvattenhantering</t>
        </is>
      </c>
      <c r="AC2144" t="inlineStr">
        <is>
          <t>Flodesschema dagvatten-lakvatten</t>
        </is>
      </c>
      <c r="AD2144" t="inlineStr">
        <is>
          <t>Nej</t>
        </is>
      </c>
      <c r="AE2144" t="inlineStr">
        <is>
          <t>Nej</t>
        </is>
      </c>
      <c r="AF2144" t="inlineStr">
        <is>
          <t>Ej behandlad</t>
        </is>
      </c>
      <c r="AG2144" t="inlineStr">
        <is>
          <t>AUTO_GENERERAD. Verifiera citat mot kallfil.</t>
        </is>
      </c>
      <c r="AH2144" t="inlineStr">
        <is>
          <t>MEDIUM</t>
        </is>
      </c>
      <c r="AI2144" t="inlineStr">
        <is>
          <t>AUTO</t>
        </is>
      </c>
      <c r="AJ2144" t="inlineStr">
        <is>
          <t>Nej</t>
        </is>
      </c>
      <c r="AK2144" t="inlineStr"/>
      <c r="AL2144" t="inlineStr"/>
      <c r="AM2144" t="inlineStr"/>
      <c r="AN2144" t="inlineStr"/>
      <c r="AO2144" t="inlineStr">
        <is>
          <t>cmm4yunfo00mzcuqw73fk9pto</t>
        </is>
      </c>
      <c r="AP2144" t="inlineStr">
        <is>
          <t>http://localhost:8787/api/admin/requirements/documents/cmm4yunfo00mzcuqw73fk9pto/view</t>
        </is>
      </c>
      <c r="AQ2144">
        <f>HYPERLÄNK("http://localhost:8787/api/admin/requirements/documents/cmm4yunfo00mzcuqw73fk9pto/view";"Öppna PDF")</f>
        <v/>
      </c>
      <c r="AR2144">
        <f>HYPERLINK("http://localhost:8787/api/admin/requirements/documents/cmm4yunfo00mzcuqw73fk9pto/view","Open PDF")</f>
        <v/>
      </c>
      <c r="AS2144" t="inlineStr">
        <is>
          <t>cmm55w57p0004cuisfrtpqly8</t>
        </is>
      </c>
      <c r="AT2144" t="inlineStr">
        <is>
          <t>cmm4xvu980000cuh4vj0usz09</t>
        </is>
      </c>
      <c r="AU2144" t="inlineStr"/>
      <c r="AV2144" t="inlineStr">
        <is>
          <t>Kommun</t>
        </is>
      </c>
      <c r="AW2144" t="inlineStr"/>
      <c r="AX2144" t="inlineStr">
        <is>
          <t>2026-02</t>
        </is>
      </c>
      <c r="AY2144" t="inlineStr">
        <is>
          <t>Beslut</t>
        </is>
      </c>
      <c r="AZ2144" t="inlineStr">
        <is>
          <t>2026-02-03</t>
        </is>
      </c>
      <c r="BA2144" t="inlineStr">
        <is>
          <t>MIL20252663pdf_976455.pdf</t>
        </is>
      </c>
      <c r="BB2144" t="inlineStr">
        <is>
          <t>Begäran om allmän handling i ärende  MIL.2026.363</t>
        </is>
      </c>
      <c r="BC2144" t="inlineStr">
        <is>
          <t>AUTO</t>
        </is>
      </c>
      <c r="BD2144" t="inlineStr"/>
      <c r="BE2144" t="inlineStr"/>
      <c r="BF2144" t="inlineStr">
        <is>
          <t>AUTO_GENERERAD. Bekrafta metadata mot kallfil.</t>
        </is>
      </c>
      <c r="BG2144">
        <f>HYPERLINK("C:\Users\jimmy\Desktop\Examens arbete\Kod\Ny mapp\remix_-copy-of-miljöbeslut.se-portal\MIL20252663pdf_976455.pdf", "Öppna PDF")</f>
        <v/>
      </c>
    </row>
    <row r="2145">
      <c r="A2145" t="inlineStr">
        <is>
          <t>KRAV-AUTO-002144</t>
        </is>
      </c>
      <c r="B2145" t="inlineStr">
        <is>
          <t>ADMIN-INDEX-2026-02-27-00000000125C043F57453246863FE664CAFE6A3F0700950291EA24F0614FB6ACEDB12BF0E31D00000000010C0000950291EA24F0614FB6ACEDB12BF0E31D00002087B1990000</t>
        </is>
      </c>
      <c r="C2145" t="inlineStr">
        <is>
          <t>cmm4yunfd00mncuqwkmhxmw75</t>
        </is>
      </c>
      <c r="D2145" t="inlineStr">
        <is>
          <t>http://localhost:8787/api/admin/requirements/documents/cmm4yunfd00mncuqwkmhxmw75/view</t>
        </is>
      </c>
      <c r="E2145">
        <f>HYPERLÄNK("http://localhost:8787/api/admin/requirements/documents/cmm4yunfd00mncuqwkmhxmw75/view";"Öppna PDF")</f>
        <v/>
      </c>
      <c r="F2145">
        <f>HYPERLINK("http://localhost:8787/api/admin/requirements/documents/cmm4yunfd00mncuqwkmhxmw75/view","Open PDF")</f>
        <v/>
      </c>
      <c r="G2145" t="inlineStr">
        <is>
          <t>cmm55w57p0004cuisfrtpqly8</t>
        </is>
      </c>
      <c r="H2145" t="inlineStr">
        <is>
          <t>Beslutsvillkor</t>
        </is>
      </c>
      <c r="I2145" t="inlineStr">
        <is>
          <t>DriftEgenkontroll</t>
        </is>
      </c>
      <c r="J2145" t="inlineStr">
        <is>
          <t>Journalforing</t>
        </is>
      </c>
      <c r="K2145" t="inlineStr">
        <is>
          <t>Jordprovtagningskarta bifogas.</t>
        </is>
      </c>
      <c r="L2145" t="inlineStr">
        <is>
          <t>Jordprovtagningskarta bifogas.</t>
        </is>
      </c>
      <c r="M2145" t="inlineStr">
        <is>
          <t>SKA</t>
        </is>
      </c>
      <c r="N2145" t="inlineStr"/>
      <c r="O2145" t="inlineStr"/>
      <c r="P2145" t="inlineStr"/>
      <c r="Q2145" t="inlineStr"/>
      <c r="R2145" t="inlineStr">
        <is>
          <t>Lopande drift</t>
        </is>
      </c>
      <c r="S2145" t="inlineStr"/>
      <c r="T2145" t="inlineStr">
        <is>
          <t>965891</t>
        </is>
      </c>
      <c r="U2145" t="inlineStr"/>
      <c r="V2145" t="inlineStr"/>
      <c r="W2145" t="inlineStr">
        <is>
          <t>Nej</t>
        </is>
      </c>
      <c r="X2145" t="inlineStr">
        <is>
          <t>Nej</t>
        </is>
      </c>
      <c r="Y2145" t="inlineStr">
        <is>
          <t>Ja</t>
        </is>
      </c>
      <c r="Z2145" t="inlineStr">
        <is>
          <t>Nej</t>
        </is>
      </c>
      <c r="AA2145" t="n">
        <v>7</v>
      </c>
      <c r="AB2145" t="inlineStr">
        <is>
          <t>Egenkontrollrutiner</t>
        </is>
      </c>
      <c r="AC2145" t="inlineStr">
        <is>
          <t>Egenkontrollprogram</t>
        </is>
      </c>
      <c r="AD2145" t="inlineStr">
        <is>
          <t>Nej</t>
        </is>
      </c>
      <c r="AE2145" t="inlineStr">
        <is>
          <t>Nej</t>
        </is>
      </c>
      <c r="AF2145" t="inlineStr">
        <is>
          <t>Ej behandlad</t>
        </is>
      </c>
      <c r="AG2145" t="inlineStr">
        <is>
          <t>AUTO_GENERERAD. Verifiera citat mot kallfil.</t>
        </is>
      </c>
      <c r="AH2145" t="inlineStr">
        <is>
          <t>LOW</t>
        </is>
      </c>
      <c r="AI2145" t="inlineStr">
        <is>
          <t>AUTO</t>
        </is>
      </c>
      <c r="AJ2145" t="inlineStr">
        <is>
          <t>Nej</t>
        </is>
      </c>
      <c r="AK2145" t="inlineStr"/>
      <c r="AL2145" t="inlineStr"/>
      <c r="AM2145" t="inlineStr"/>
      <c r="AN2145" t="inlineStr"/>
      <c r="AO2145" t="inlineStr">
        <is>
          <t>cmm4yunfo00mzcuqw73fk9pto</t>
        </is>
      </c>
      <c r="AP2145" t="inlineStr">
        <is>
          <t>http://localhost:8787/api/admin/requirements/documents/cmm4yunfo00mzcuqw73fk9pto/view</t>
        </is>
      </c>
      <c r="AQ2145">
        <f>HYPERLÄNK("http://localhost:8787/api/admin/requirements/documents/cmm4yunfo00mzcuqw73fk9pto/view";"Öppna PDF")</f>
        <v/>
      </c>
      <c r="AR2145">
        <f>HYPERLINK("http://localhost:8787/api/admin/requirements/documents/cmm4yunfo00mzcuqw73fk9pto/view","Open PDF")</f>
        <v/>
      </c>
      <c r="AS2145" t="inlineStr">
        <is>
          <t>cmm55w57p0004cuisfrtpqly8</t>
        </is>
      </c>
      <c r="AT2145" t="inlineStr">
        <is>
          <t>cmm4xvu980000cuh4vj0usz09</t>
        </is>
      </c>
      <c r="AU2145" t="inlineStr"/>
      <c r="AV2145" t="inlineStr">
        <is>
          <t>Kommun</t>
        </is>
      </c>
      <c r="AW2145" t="inlineStr"/>
      <c r="AX2145" t="inlineStr">
        <is>
          <t>2026-02</t>
        </is>
      </c>
      <c r="AY2145" t="inlineStr">
        <is>
          <t>Beslut</t>
        </is>
      </c>
      <c r="AZ2145" t="inlineStr">
        <is>
          <t>2026-02-03</t>
        </is>
      </c>
      <c r="BA2145" t="inlineStr">
        <is>
          <t>MIL20252663pdf_976455.pdf</t>
        </is>
      </c>
      <c r="BB2145" t="inlineStr">
        <is>
          <t>Begäran om allmän handling i ärende  MIL.2026.363</t>
        </is>
      </c>
      <c r="BC2145" t="inlineStr">
        <is>
          <t>AUTO</t>
        </is>
      </c>
      <c r="BD2145" t="inlineStr"/>
      <c r="BE2145" t="inlineStr"/>
      <c r="BF2145" t="inlineStr">
        <is>
          <t>AUTO_GENERERAD. Bekrafta metadata mot kallfil.</t>
        </is>
      </c>
      <c r="BG2145">
        <f>HYPERLINK("C:\Users\jimmy\Desktop\Examens arbete\Kod\Ny mapp\remix_-copy-of-miljöbeslut.se-portal\MIL20252663pdf_976455.pdf", "Öppna PDF")</f>
        <v/>
      </c>
    </row>
    <row r="2146">
      <c r="A2146" t="inlineStr">
        <is>
          <t>KRAV-AUTO-002145</t>
        </is>
      </c>
      <c r="B2146" t="inlineStr">
        <is>
          <t>ADMIN-INDEX-2026-02-27-00000000125C043F57453246863FE664CAFE6A3F0700950291EA24F0614FB6ACEDB12BF0E31D00000000010C0000950291EA24F0614FB6ACEDB12BF0E31D00002087B1990000</t>
        </is>
      </c>
      <c r="C2146" t="inlineStr">
        <is>
          <t>cmm4yunfd00mncuqwkmhxmw75</t>
        </is>
      </c>
      <c r="D2146" t="inlineStr">
        <is>
          <t>http://localhost:8787/api/admin/requirements/documents/cmm4yunfd00mncuqwkmhxmw75/view</t>
        </is>
      </c>
      <c r="E2146">
        <f>HYPERLÄNK("http://localhost:8787/api/admin/requirements/documents/cmm4yunfd00mncuqwkmhxmw75/view";"Öppna PDF")</f>
        <v/>
      </c>
      <c r="F2146">
        <f>HYPERLINK("http://localhost:8787/api/admin/requirements/documents/cmm4yunfd00mncuqwkmhxmw75/view","Open PDF")</f>
        <v/>
      </c>
      <c r="G2146" t="inlineStr">
        <is>
          <t>cmm55w57p0004cuisfrtpqly8</t>
        </is>
      </c>
      <c r="H2146" t="inlineStr">
        <is>
          <t>Beslutsvillkor</t>
        </is>
      </c>
      <c r="I2146" t="inlineStr">
        <is>
          <t>Riskhantering</t>
        </is>
      </c>
      <c r="J2146" t="inlineStr">
        <is>
          <t>Riskkontroll</t>
        </is>
      </c>
      <c r="K2146" t="inlineStr">
        <is>
          <t>Täckning ska med hänsyn till risk för luktolägenhet göras i snar anslutning till uppläggning.</t>
        </is>
      </c>
      <c r="L2146" t="inlineStr">
        <is>
          <t>Täckning ska med hänsyn till risk för luktolägenhet göras i snar anslutning till uppläggning.</t>
        </is>
      </c>
      <c r="M2146" t="inlineStr">
        <is>
          <t>SKA</t>
        </is>
      </c>
      <c r="N2146" t="inlineStr"/>
      <c r="O2146" t="inlineStr"/>
      <c r="P2146" t="inlineStr"/>
      <c r="Q2146" t="inlineStr"/>
      <c r="R2146" t="inlineStr">
        <is>
          <t>Vid risk for incident</t>
        </is>
      </c>
      <c r="S2146" t="inlineStr"/>
      <c r="T2146" t="inlineStr">
        <is>
          <t>965891</t>
        </is>
      </c>
      <c r="U2146" t="inlineStr"/>
      <c r="V2146" t="inlineStr"/>
      <c r="W2146" t="inlineStr">
        <is>
          <t>Nej</t>
        </is>
      </c>
      <c r="X2146" t="inlineStr">
        <is>
          <t>Nej</t>
        </is>
      </c>
      <c r="Y2146" t="inlineStr">
        <is>
          <t>Ja</t>
        </is>
      </c>
      <c r="Z2146" t="inlineStr">
        <is>
          <t>Ja</t>
        </is>
      </c>
      <c r="AA2146" t="n">
        <v>8</v>
      </c>
      <c r="AB2146" t="inlineStr">
        <is>
          <t>Riskhantering</t>
        </is>
      </c>
      <c r="AC2146" t="inlineStr">
        <is>
          <t>Risk-PM</t>
        </is>
      </c>
      <c r="AD2146" t="inlineStr">
        <is>
          <t>Nej</t>
        </is>
      </c>
      <c r="AE2146" t="inlineStr">
        <is>
          <t>Nej</t>
        </is>
      </c>
      <c r="AF2146" t="inlineStr">
        <is>
          <t>Ej behandlad</t>
        </is>
      </c>
      <c r="AG2146" t="inlineStr">
        <is>
          <t>AUTO_GENERERAD. Verifiera citat mot kallfil.</t>
        </is>
      </c>
      <c r="AH2146" t="inlineStr">
        <is>
          <t>MEDIUM</t>
        </is>
      </c>
      <c r="AI2146" t="inlineStr">
        <is>
          <t>AUTO</t>
        </is>
      </c>
      <c r="AJ2146" t="inlineStr">
        <is>
          <t>Nej</t>
        </is>
      </c>
      <c r="AK2146" t="inlineStr"/>
      <c r="AL2146" t="inlineStr"/>
      <c r="AM2146" t="inlineStr"/>
      <c r="AN2146" t="inlineStr"/>
      <c r="AO2146" t="inlineStr">
        <is>
          <t>cmm4yunfo00mzcuqw73fk9pto</t>
        </is>
      </c>
      <c r="AP2146" t="inlineStr">
        <is>
          <t>http://localhost:8787/api/admin/requirements/documents/cmm4yunfo00mzcuqw73fk9pto/view</t>
        </is>
      </c>
      <c r="AQ2146">
        <f>HYPERLÄNK("http://localhost:8787/api/admin/requirements/documents/cmm4yunfo00mzcuqw73fk9pto/view";"Öppna PDF")</f>
        <v/>
      </c>
      <c r="AR2146">
        <f>HYPERLINK("http://localhost:8787/api/admin/requirements/documents/cmm4yunfo00mzcuqw73fk9pto/view","Open PDF")</f>
        <v/>
      </c>
      <c r="AS2146" t="inlineStr">
        <is>
          <t>cmm55w57p0004cuisfrtpqly8</t>
        </is>
      </c>
      <c r="AT2146" t="inlineStr">
        <is>
          <t>cmm4xvu980000cuh4vj0usz09</t>
        </is>
      </c>
      <c r="AU2146" t="inlineStr"/>
      <c r="AV2146" t="inlineStr">
        <is>
          <t>Kommun</t>
        </is>
      </c>
      <c r="AW2146" t="inlineStr"/>
      <c r="AX2146" t="inlineStr">
        <is>
          <t>2026-02</t>
        </is>
      </c>
      <c r="AY2146" t="inlineStr">
        <is>
          <t>Beslut</t>
        </is>
      </c>
      <c r="AZ2146" t="inlineStr">
        <is>
          <t>2026-02-03</t>
        </is>
      </c>
      <c r="BA2146" t="inlineStr">
        <is>
          <t>MIL20252663pdf_976455.pdf</t>
        </is>
      </c>
      <c r="BB2146" t="inlineStr">
        <is>
          <t>Begäran om allmän handling i ärende  MIL.2026.363</t>
        </is>
      </c>
      <c r="BC2146" t="inlineStr">
        <is>
          <t>AUTO</t>
        </is>
      </c>
      <c r="BD2146" t="inlineStr"/>
      <c r="BE2146" t="inlineStr"/>
      <c r="BF2146" t="inlineStr">
        <is>
          <t>AUTO_GENERERAD. Bekrafta metadata mot kallfil.</t>
        </is>
      </c>
      <c r="BG2146">
        <f>HYPERLINK("C:\Users\jimmy\Desktop\Examens arbete\Kod\Ny mapp\remix_-copy-of-miljöbeslut.se-portal\MIL20252663pdf_976455.pdf", "Öppna PDF")</f>
        <v/>
      </c>
    </row>
    <row r="2147">
      <c r="A2147" t="inlineStr">
        <is>
          <t>KRAV-AUTO-002146</t>
        </is>
      </c>
      <c r="B2147" t="inlineStr">
        <is>
          <t>ADMIN-INDEX-2026-02-27-00000000125C043F57453246863FE664CAFE6A3F0700950291EA24F0614FB6ACEDB12BF0E31D00000000010C0000950291EA24F0614FB6ACEDB12BF0E31D00002087B19E0000</t>
        </is>
      </c>
      <c r="C2147" t="inlineStr">
        <is>
          <t>cmm4yunfa00mkcuqwszi30pu4</t>
        </is>
      </c>
      <c r="D2147" t="inlineStr">
        <is>
          <t>http://localhost:8787/api/admin/requirements/documents/cmm4yunfa00mkcuqwszi30pu4/view</t>
        </is>
      </c>
      <c r="E2147">
        <f>HYPERLÄNK("http://localhost:8787/api/admin/requirements/documents/cmm4yunfa00mkcuqwszi30pu4/view";"Öppna PDF")</f>
        <v/>
      </c>
      <c r="F2147">
        <f>HYPERLINK("http://localhost:8787/api/admin/requirements/documents/cmm4yunfa00mkcuqwszi30pu4/view","Open PDF")</f>
        <v/>
      </c>
      <c r="G2147" t="inlineStr">
        <is>
          <t>cmm55w57p0004cuisfrtpqly8</t>
        </is>
      </c>
      <c r="H2147" t="inlineStr">
        <is>
          <t>Beslutsvillkor</t>
        </is>
      </c>
      <c r="I2147" t="inlineStr">
        <is>
          <t>MiljopaverkanForsiktighet</t>
        </is>
      </c>
      <c r="J2147" t="inlineStr">
        <is>
          <t>Skyddsatgarder</t>
        </is>
      </c>
      <c r="K2147" t="inlineStr">
        <is>
          <t>9§ miljöbalken, att vidta följande försiktighetsåtgärder vid återvinning av avfall som del av fyllnadsmassa: -Avfallet som ska användas som fyllnadsmassa bör vara mindre än ringa förorenat.</t>
        </is>
      </c>
      <c r="L2147" t="inlineStr">
        <is>
          <t>9§ miljöbalken, att vidta följande försiktighetsåtgärder vid återvinning av avfall som del av fyllnadsmassa: -Avfallet som ska användas som fyllnadsmassa bör vara mindre än ringa förorenat.</t>
        </is>
      </c>
      <c r="M2147" t="inlineStr">
        <is>
          <t>SKA</t>
        </is>
      </c>
      <c r="N2147" t="inlineStr">
        <is>
          <t>Miljobalken</t>
        </is>
      </c>
      <c r="O2147" t="inlineStr"/>
      <c r="P2147" t="inlineStr"/>
      <c r="Q2147" t="inlineStr"/>
      <c r="R2147" t="inlineStr">
        <is>
          <t>Alltid</t>
        </is>
      </c>
      <c r="S2147" t="inlineStr"/>
      <c r="T2147" t="inlineStr">
        <is>
          <t>815204</t>
        </is>
      </c>
      <c r="U2147" t="inlineStr"/>
      <c r="V2147" t="inlineStr"/>
      <c r="W2147" t="inlineStr">
        <is>
          <t>Nej</t>
        </is>
      </c>
      <c r="X2147" t="inlineStr">
        <is>
          <t>Nej</t>
        </is>
      </c>
      <c r="Y2147" t="inlineStr">
        <is>
          <t>Nej</t>
        </is>
      </c>
      <c r="Z2147" t="inlineStr">
        <is>
          <t>Nej</t>
        </is>
      </c>
      <c r="AA2147" t="n">
        <v>10</v>
      </c>
      <c r="AB2147" t="inlineStr">
        <is>
          <t>Miljopaverkan och forsiktighetsmatt</t>
        </is>
      </c>
      <c r="AC2147" t="inlineStr">
        <is>
          <t>Miljo-PM</t>
        </is>
      </c>
      <c r="AD2147" t="inlineStr">
        <is>
          <t>Nej</t>
        </is>
      </c>
      <c r="AE2147" t="inlineStr">
        <is>
          <t>Nej</t>
        </is>
      </c>
      <c r="AF2147" t="inlineStr">
        <is>
          <t>Ej behandlad</t>
        </is>
      </c>
      <c r="AG2147" t="inlineStr">
        <is>
          <t>AUTO_GENERERAD. Verifiera citat mot kallfil.</t>
        </is>
      </c>
      <c r="AH2147" t="inlineStr">
        <is>
          <t>MEDIUM</t>
        </is>
      </c>
      <c r="AI2147" t="inlineStr">
        <is>
          <t>AUTO</t>
        </is>
      </c>
      <c r="AJ2147" t="inlineStr">
        <is>
          <t>Nej</t>
        </is>
      </c>
      <c r="AK2147" t="inlineStr"/>
      <c r="AL2147" t="inlineStr"/>
      <c r="AM2147" t="inlineStr"/>
      <c r="AN2147" t="inlineStr"/>
      <c r="AO2147" t="inlineStr">
        <is>
          <t>cmm4yunfa00mkcuqwszi30pu4</t>
        </is>
      </c>
      <c r="AP2147" t="inlineStr">
        <is>
          <t>http://localhost:8787/api/admin/requirements/documents/cmm4yunfa00mkcuqwszi30pu4/view</t>
        </is>
      </c>
      <c r="AQ2147">
        <f>HYPERLÄNK("http://localhost:8787/api/admin/requirements/documents/cmm4yunfa00mkcuqwszi30pu4/view";"Öppna PDF")</f>
        <v/>
      </c>
      <c r="AR2147">
        <f>HYPERLINK("http://localhost:8787/api/admin/requirements/documents/cmm4yunfa00mkcuqwszi30pu4/view","Open PDF")</f>
        <v/>
      </c>
      <c r="AS2147" t="inlineStr">
        <is>
          <t>cmm55w57p0004cuisfrtpqly8</t>
        </is>
      </c>
      <c r="AT2147" t="inlineStr">
        <is>
          <t>cmm4xvu980000cuh4vj0usz09</t>
        </is>
      </c>
      <c r="AU2147" t="inlineStr"/>
      <c r="AV2147" t="inlineStr">
        <is>
          <t>Kommun</t>
        </is>
      </c>
      <c r="AW2147" t="inlineStr"/>
      <c r="AX2147" t="inlineStr">
        <is>
          <t>2026-02</t>
        </is>
      </c>
      <c r="AY2147" t="inlineStr">
        <is>
          <t>Beslut</t>
        </is>
      </c>
      <c r="AZ2147" t="inlineStr">
        <is>
          <t>2026-02-03</t>
        </is>
      </c>
      <c r="BA2147" t="inlineStr">
        <is>
          <t>MIL2025161.pdf</t>
        </is>
      </c>
      <c r="BB2147" t="inlineStr">
        <is>
          <t>Begäran om allmän handling</t>
        </is>
      </c>
      <c r="BC2147" t="inlineStr">
        <is>
          <t>AUTO</t>
        </is>
      </c>
      <c r="BD2147" t="inlineStr"/>
      <c r="BE2147" t="inlineStr"/>
      <c r="BF2147" t="inlineStr">
        <is>
          <t>AUTO_GENERERAD. Bekrafta metadata mot kallfil.</t>
        </is>
      </c>
      <c r="BG2147">
        <f>HYPERLINK("C:\Users\jimmy\Desktop\Examens arbete\Kod\Ny mapp\remix_-copy-of-miljöbeslut.se-portal\MIL2025161.pdf", "Öppna PDF")</f>
        <v/>
      </c>
    </row>
    <row r="2148">
      <c r="A2148" t="inlineStr">
        <is>
          <t>KRAV-AUTO-002147</t>
        </is>
      </c>
      <c r="B2148" t="inlineStr">
        <is>
          <t>ADMIN-INDEX-2026-02-27-00000000125C043F57453246863FE664CAFE6A3F0700950291EA24F0614FB6ACEDB12BF0E31D00000000010C0000950291EA24F0614FB6ACEDB12BF0E31D00002087B19E0000</t>
        </is>
      </c>
      <c r="C2148" t="inlineStr">
        <is>
          <t>cmm4yunfa00mkcuqwszi30pu4</t>
        </is>
      </c>
      <c r="D2148" t="inlineStr">
        <is>
          <t>http://localhost:8787/api/admin/requirements/documents/cmm4yunfa00mkcuqwszi30pu4/view</t>
        </is>
      </c>
      <c r="E2148">
        <f>HYPERLÄNK("http://localhost:8787/api/admin/requirements/documents/cmm4yunfa00mkcuqwszi30pu4/view";"Öppna PDF")</f>
        <v/>
      </c>
      <c r="F2148">
        <f>HYPERLINK("http://localhost:8787/api/admin/requirements/documents/cmm4yunfa00mkcuqwszi30pu4/view","Open PDF")</f>
        <v/>
      </c>
      <c r="G2148" t="inlineStr">
        <is>
          <t>cmm55w57p0004cuisfrtpqly8</t>
        </is>
      </c>
      <c r="H2148" t="inlineStr">
        <is>
          <t>Beslutsvillkor</t>
        </is>
      </c>
      <c r="I2148" t="inlineStr">
        <is>
          <t>LagringsvolymTid</t>
        </is>
      </c>
      <c r="J2148" t="inlineStr">
        <is>
          <t>Maxmangd</t>
        </is>
      </c>
      <c r="K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L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M2148" t="inlineStr">
        <is>
          <t>SKA</t>
        </is>
      </c>
      <c r="N2148" t="inlineStr"/>
      <c r="O2148" t="inlineStr"/>
      <c r="P2148" t="inlineStr"/>
      <c r="Q2148" t="inlineStr"/>
      <c r="R2148" t="inlineStr">
        <is>
          <t>Alltid</t>
        </is>
      </c>
      <c r="S2148" t="inlineStr"/>
      <c r="T2148" t="inlineStr">
        <is>
          <t>815204</t>
        </is>
      </c>
      <c r="U2148" t="inlineStr"/>
      <c r="V2148" t="inlineStr"/>
      <c r="W2148" t="inlineStr">
        <is>
          <t>Nej</t>
        </is>
      </c>
      <c r="X2148" t="inlineStr">
        <is>
          <t>Nej</t>
        </is>
      </c>
      <c r="Y2148" t="inlineStr">
        <is>
          <t>Nej</t>
        </is>
      </c>
      <c r="Z2148" t="inlineStr">
        <is>
          <t>Nej</t>
        </is>
      </c>
      <c r="AA2148" t="n">
        <v>4</v>
      </c>
      <c r="AB2148" t="inlineStr">
        <is>
          <t>Avfallsmangder och lagringstid</t>
        </is>
      </c>
      <c r="AC2148" t="inlineStr">
        <is>
          <t>Avfallsforteckning</t>
        </is>
      </c>
      <c r="AD2148" t="inlineStr">
        <is>
          <t>Nej</t>
        </is>
      </c>
      <c r="AE2148" t="inlineStr">
        <is>
          <t>Nej</t>
        </is>
      </c>
      <c r="AF2148" t="inlineStr">
        <is>
          <t>Ej behandlad</t>
        </is>
      </c>
      <c r="AG2148" t="inlineStr">
        <is>
          <t>AUTO_GENERERAD. Verifiera citat mot kallfil.</t>
        </is>
      </c>
      <c r="AH2148" t="inlineStr">
        <is>
          <t>MEDIUM</t>
        </is>
      </c>
      <c r="AI2148" t="inlineStr">
        <is>
          <t>AUTO</t>
        </is>
      </c>
      <c r="AJ2148" t="inlineStr">
        <is>
          <t>Nej</t>
        </is>
      </c>
      <c r="AK2148" t="inlineStr"/>
      <c r="AL2148" t="inlineStr"/>
      <c r="AM2148" t="inlineStr"/>
      <c r="AN2148" t="inlineStr"/>
      <c r="AO2148" t="inlineStr">
        <is>
          <t>cmm4yunfa00mkcuqwszi30pu4</t>
        </is>
      </c>
      <c r="AP2148" t="inlineStr">
        <is>
          <t>http://localhost:8787/api/admin/requirements/documents/cmm4yunfa00mkcuqwszi30pu4/view</t>
        </is>
      </c>
      <c r="AQ2148">
        <f>HYPERLÄNK("http://localhost:8787/api/admin/requirements/documents/cmm4yunfa00mkcuqwszi30pu4/view";"Öppna PDF")</f>
        <v/>
      </c>
      <c r="AR2148">
        <f>HYPERLINK("http://localhost:8787/api/admin/requirements/documents/cmm4yunfa00mkcuqwszi30pu4/view","Open PDF")</f>
        <v/>
      </c>
      <c r="AS2148" t="inlineStr">
        <is>
          <t>cmm55w57p0004cuisfrtpqly8</t>
        </is>
      </c>
      <c r="AT2148" t="inlineStr">
        <is>
          <t>cmm4xvu980000cuh4vj0usz09</t>
        </is>
      </c>
      <c r="AU2148" t="inlineStr"/>
      <c r="AV2148" t="inlineStr">
        <is>
          <t>Kommun</t>
        </is>
      </c>
      <c r="AW2148" t="inlineStr"/>
      <c r="AX2148" t="inlineStr">
        <is>
          <t>2026-02</t>
        </is>
      </c>
      <c r="AY2148" t="inlineStr">
        <is>
          <t>Beslut</t>
        </is>
      </c>
      <c r="AZ2148" t="inlineStr">
        <is>
          <t>2026-02-03</t>
        </is>
      </c>
      <c r="BA2148" t="inlineStr">
        <is>
          <t>MIL2025161.pdf</t>
        </is>
      </c>
      <c r="BB2148" t="inlineStr">
        <is>
          <t>Begäran om allmän handling</t>
        </is>
      </c>
      <c r="BC2148" t="inlineStr">
        <is>
          <t>AUTO</t>
        </is>
      </c>
      <c r="BD2148" t="inlineStr"/>
      <c r="BE2148" t="inlineStr"/>
      <c r="BF2148" t="inlineStr">
        <is>
          <t>AUTO_GENERERAD. Bekrafta metadata mot kallfil.</t>
        </is>
      </c>
      <c r="BG2148">
        <f>HYPERLINK("C:\Users\jimmy\Desktop\Examens arbete\Kod\Ny mapp\remix_-copy-of-miljöbeslut.se-portal\MIL2025161.pdf", "Öppna PDF")</f>
        <v/>
      </c>
    </row>
    <row r="2149">
      <c r="A2149" t="inlineStr">
        <is>
          <t>KRAV-AUTO-002148</t>
        </is>
      </c>
      <c r="B2149" t="inlineStr">
        <is>
          <t>ADMIN-INDEX-2026-02-27-00000000125C043F57453246863FE664CAFE6A3F0700950291EA24F0614FB6ACEDB12BF0E31D00000000010C0000950291EA24F0614FB6ACEDB12BF0E31D00002087B19E0000</t>
        </is>
      </c>
      <c r="C2149" t="inlineStr">
        <is>
          <t>cmm4yunfa00mkcuqwszi30pu4</t>
        </is>
      </c>
      <c r="D2149" t="inlineStr">
        <is>
          <t>http://localhost:8787/api/admin/requirements/documents/cmm4yunfa00mkcuqwszi30pu4/view</t>
        </is>
      </c>
      <c r="E2149">
        <f>HYPERLÄNK("http://localhost:8787/api/admin/requirements/documents/cmm4yunfa00mkcuqwszi30pu4/view";"Öppna PDF")</f>
        <v/>
      </c>
      <c r="F2149">
        <f>HYPERLINK("http://localhost:8787/api/admin/requirements/documents/cmm4yunfa00mkcuqwszi30pu4/view","Open PDF")</f>
        <v/>
      </c>
      <c r="G2149" t="inlineStr">
        <is>
          <t>cmm55w57p0004cuisfrtpqly8</t>
        </is>
      </c>
      <c r="H2149" t="inlineStr">
        <is>
          <t>Beslutsvillkor</t>
        </is>
      </c>
      <c r="I2149" t="inlineStr">
        <is>
          <t>MiljopaverkanForsiktighet</t>
        </is>
      </c>
      <c r="J2149" t="inlineStr">
        <is>
          <t>Skyddsatgarder</t>
        </is>
      </c>
      <c r="K2149" t="inlineStr">
        <is>
          <t>-Avfallet ska täckas med 400-500mm av fraktion 0-18 från godkänd täkt.</t>
        </is>
      </c>
      <c r="L2149" t="inlineStr">
        <is>
          <t>-Avfallet ska täckas med 400-500mm av fraktion 0-18 från godkänd täkt.</t>
        </is>
      </c>
      <c r="M2149" t="inlineStr">
        <is>
          <t>SKA</t>
        </is>
      </c>
      <c r="N2149" t="inlineStr"/>
      <c r="O2149" t="inlineStr"/>
      <c r="P2149" t="inlineStr"/>
      <c r="Q2149" t="inlineStr"/>
      <c r="R2149" t="inlineStr">
        <is>
          <t>Alltid</t>
        </is>
      </c>
      <c r="S2149" t="inlineStr"/>
      <c r="T2149" t="inlineStr">
        <is>
          <t>815204</t>
        </is>
      </c>
      <c r="U2149" t="inlineStr"/>
      <c r="V2149" t="inlineStr"/>
      <c r="W2149" t="inlineStr">
        <is>
          <t>Nej</t>
        </is>
      </c>
      <c r="X2149" t="inlineStr">
        <is>
          <t>Nej</t>
        </is>
      </c>
      <c r="Y2149" t="inlineStr">
        <is>
          <t>Nej</t>
        </is>
      </c>
      <c r="Z2149" t="inlineStr">
        <is>
          <t>Nej</t>
        </is>
      </c>
      <c r="AA2149" t="n">
        <v>10</v>
      </c>
      <c r="AB2149" t="inlineStr">
        <is>
          <t>Miljopaverkan och forsiktighetsmatt</t>
        </is>
      </c>
      <c r="AC2149" t="inlineStr">
        <is>
          <t>Miljo-PM</t>
        </is>
      </c>
      <c r="AD2149" t="inlineStr">
        <is>
          <t>Nej</t>
        </is>
      </c>
      <c r="AE2149" t="inlineStr">
        <is>
          <t>Nej</t>
        </is>
      </c>
      <c r="AF2149" t="inlineStr">
        <is>
          <t>Ej behandlad</t>
        </is>
      </c>
      <c r="AG2149" t="inlineStr">
        <is>
          <t>AUTO_GENERERAD. Verifiera citat mot kallfil.</t>
        </is>
      </c>
      <c r="AH2149" t="inlineStr">
        <is>
          <t>MEDIUM</t>
        </is>
      </c>
      <c r="AI2149" t="inlineStr">
        <is>
          <t>AUTO</t>
        </is>
      </c>
      <c r="AJ2149" t="inlineStr">
        <is>
          <t>Nej</t>
        </is>
      </c>
      <c r="AK2149" t="inlineStr"/>
      <c r="AL2149" t="inlineStr"/>
      <c r="AM2149" t="inlineStr"/>
      <c r="AN2149" t="inlineStr"/>
      <c r="AO2149" t="inlineStr">
        <is>
          <t>cmm4yunfa00mkcuqwszi30pu4</t>
        </is>
      </c>
      <c r="AP2149" t="inlineStr">
        <is>
          <t>http://localhost:8787/api/admin/requirements/documents/cmm4yunfa00mkcuqwszi30pu4/view</t>
        </is>
      </c>
      <c r="AQ2149">
        <f>HYPERLÄNK("http://localhost:8787/api/admin/requirements/documents/cmm4yunfa00mkcuqwszi30pu4/view";"Öppna PDF")</f>
        <v/>
      </c>
      <c r="AR2149">
        <f>HYPERLINK("http://localhost:8787/api/admin/requirements/documents/cmm4yunfa00mkcuqwszi30pu4/view","Open PDF")</f>
        <v/>
      </c>
      <c r="AS2149" t="inlineStr">
        <is>
          <t>cmm55w57p0004cuisfrtpqly8</t>
        </is>
      </c>
      <c r="AT2149" t="inlineStr">
        <is>
          <t>cmm4xvu980000cuh4vj0usz09</t>
        </is>
      </c>
      <c r="AU2149" t="inlineStr"/>
      <c r="AV2149" t="inlineStr">
        <is>
          <t>Kommun</t>
        </is>
      </c>
      <c r="AW2149" t="inlineStr"/>
      <c r="AX2149" t="inlineStr">
        <is>
          <t>2026-02</t>
        </is>
      </c>
      <c r="AY2149" t="inlineStr">
        <is>
          <t>Beslut</t>
        </is>
      </c>
      <c r="AZ2149" t="inlineStr">
        <is>
          <t>2026-02-03</t>
        </is>
      </c>
      <c r="BA2149" t="inlineStr">
        <is>
          <t>MIL2025161.pdf</t>
        </is>
      </c>
      <c r="BB2149" t="inlineStr">
        <is>
          <t>Begäran om allmän handling</t>
        </is>
      </c>
      <c r="BC2149" t="inlineStr">
        <is>
          <t>AUTO</t>
        </is>
      </c>
      <c r="BD2149" t="inlineStr"/>
      <c r="BE2149" t="inlineStr"/>
      <c r="BF2149" t="inlineStr">
        <is>
          <t>AUTO_GENERERAD. Bekrafta metadata mot kallfil.</t>
        </is>
      </c>
      <c r="BG2149">
        <f>HYPERLINK("C:\Users\jimmy\Desktop\Examens arbete\Kod\Ny mapp\remix_-copy-of-miljöbeslut.se-portal\MIL2025161.pdf", "Öppna PDF")</f>
        <v/>
      </c>
    </row>
    <row r="2150">
      <c r="A2150" t="inlineStr">
        <is>
          <t>KRAV-AUTO-002149</t>
        </is>
      </c>
      <c r="B2150" t="inlineStr">
        <is>
          <t>ADMIN-INDEX-2026-02-27-00000000125C043F57453246863FE664CAFE6A3F0700950291EA24F0614FB6ACEDB12BF0E31D00000000010C0000950291EA24F0614FB6ACEDB12BF0E31D00002087B19E0000</t>
        </is>
      </c>
      <c r="C2150" t="inlineStr">
        <is>
          <t>cmm4yunf400mecuqwrcsam1kx</t>
        </is>
      </c>
      <c r="D2150" t="inlineStr">
        <is>
          <t>http://localhost:8787/api/admin/requirements/documents/cmm4yunf400mecuqwrcsam1kx/view</t>
        </is>
      </c>
      <c r="E2150">
        <f>HYPERLÄNK("http://localhost:8787/api/admin/requirements/documents/cmm4yunf400mecuqwrcsam1kx/view";"Öppna PDF")</f>
        <v/>
      </c>
      <c r="F2150">
        <f>HYPERLINK("http://localhost:8787/api/admin/requirements/documents/cmm4yunf400mecuqwrcsam1kx/view","Open PDF")</f>
        <v/>
      </c>
      <c r="G2150" t="inlineStr">
        <is>
          <t>cmm55w57p0004cuisfrtpqly8</t>
        </is>
      </c>
      <c r="H2150" t="inlineStr">
        <is>
          <t>Informationskrav</t>
        </is>
      </c>
      <c r="I2150" t="inlineStr">
        <is>
          <t>Riskhantering</t>
        </is>
      </c>
      <c r="J2150" t="inlineStr">
        <is>
          <t>Riskkontroll</t>
        </is>
      </c>
      <c r="K2150" t="inlineStr">
        <is>
          <t>Hälsoriskerna bedömer vi som låga, vi har möjlighet att begränsa spridningen av damm med vatten, maskinerna är utrustade med luftfilter och skyddsutrustning finns för personalen som måste komma i kontakt med jorden.</t>
        </is>
      </c>
      <c r="L2150" t="inlineStr">
        <is>
          <t>Hälsoriskerna bedömer vi som låga, vi har möjlighet att begränsa spridningen av damm med vatten, maskinerna är utrustade med luftfilter och skyddsutrustning finns för personalen som måste komma i kontakt med jorden.</t>
        </is>
      </c>
      <c r="M2150" t="inlineStr">
        <is>
          <t>SKA</t>
        </is>
      </c>
      <c r="N2150" t="inlineStr"/>
      <c r="O2150" t="inlineStr"/>
      <c r="P2150" t="inlineStr"/>
      <c r="Q2150" t="inlineStr"/>
      <c r="R2150" t="inlineStr">
        <is>
          <t>Vid risk for incident</t>
        </is>
      </c>
      <c r="S2150" t="inlineStr"/>
      <c r="T2150" t="inlineStr"/>
      <c r="U2150" t="inlineStr"/>
      <c r="V2150" t="inlineStr"/>
      <c r="W2150" t="inlineStr">
        <is>
          <t>Nej</t>
        </is>
      </c>
      <c r="X2150" t="inlineStr">
        <is>
          <t>Nej</t>
        </is>
      </c>
      <c r="Y2150" t="inlineStr">
        <is>
          <t>Ja</t>
        </is>
      </c>
      <c r="Z2150" t="inlineStr">
        <is>
          <t>Ja</t>
        </is>
      </c>
      <c r="AA2150" t="n">
        <v>8</v>
      </c>
      <c r="AB2150" t="inlineStr">
        <is>
          <t>Riskhantering</t>
        </is>
      </c>
      <c r="AC2150" t="inlineStr">
        <is>
          <t>Risk-PM</t>
        </is>
      </c>
      <c r="AD2150" t="inlineStr">
        <is>
          <t>Nej</t>
        </is>
      </c>
      <c r="AE2150" t="inlineStr">
        <is>
          <t>Nej</t>
        </is>
      </c>
      <c r="AF2150" t="inlineStr">
        <is>
          <t>Ej behandlad</t>
        </is>
      </c>
      <c r="AG2150" t="inlineStr">
        <is>
          <t>AUTO_GENERERAD. Verifiera citat mot kallfil.</t>
        </is>
      </c>
      <c r="AH2150" t="inlineStr">
        <is>
          <t>MEDIUM</t>
        </is>
      </c>
      <c r="AI2150" t="inlineStr">
        <is>
          <t>AUTO</t>
        </is>
      </c>
      <c r="AJ2150" t="inlineStr">
        <is>
          <t>Nej</t>
        </is>
      </c>
      <c r="AK2150" t="inlineStr"/>
      <c r="AL2150" t="inlineStr"/>
      <c r="AM2150" t="inlineStr"/>
      <c r="AN2150" t="inlineStr"/>
      <c r="AO2150" t="inlineStr">
        <is>
          <t>cmm4yunfa00mkcuqwszi30pu4</t>
        </is>
      </c>
      <c r="AP2150" t="inlineStr">
        <is>
          <t>http://localhost:8787/api/admin/requirements/documents/cmm4yunfa00mkcuqwszi30pu4/view</t>
        </is>
      </c>
      <c r="AQ2150">
        <f>HYPERLÄNK("http://localhost:8787/api/admin/requirements/documents/cmm4yunfa00mkcuqwszi30pu4/view";"Öppna PDF")</f>
        <v/>
      </c>
      <c r="AR2150">
        <f>HYPERLINK("http://localhost:8787/api/admin/requirements/documents/cmm4yunfa00mkcuqwszi30pu4/view","Open PDF")</f>
        <v/>
      </c>
      <c r="AS2150" t="inlineStr">
        <is>
          <t>cmm55w57p0004cuisfrtpqly8</t>
        </is>
      </c>
      <c r="AT2150" t="inlineStr">
        <is>
          <t>cmm4xvu980000cuh4vj0usz09</t>
        </is>
      </c>
      <c r="AU2150" t="inlineStr"/>
      <c r="AV2150" t="inlineStr">
        <is>
          <t>Kommun</t>
        </is>
      </c>
      <c r="AW2150" t="inlineStr"/>
      <c r="AX2150" t="inlineStr">
        <is>
          <t>2026-02</t>
        </is>
      </c>
      <c r="AY2150" t="inlineStr">
        <is>
          <t>Beslut</t>
        </is>
      </c>
      <c r="AZ2150" t="inlineStr">
        <is>
          <t>2026-02-03</t>
        </is>
      </c>
      <c r="BA2150" t="inlineStr">
        <is>
          <t>MIL2025161.pdf</t>
        </is>
      </c>
      <c r="BB2150" t="inlineStr">
        <is>
          <t>Begäran om allmän handling</t>
        </is>
      </c>
      <c r="BC2150" t="inlineStr">
        <is>
          <t>AUTO</t>
        </is>
      </c>
      <c r="BD2150" t="inlineStr"/>
      <c r="BE2150" t="inlineStr"/>
      <c r="BF2150" t="inlineStr">
        <is>
          <t>AUTO_GENERERAD. Bekrafta metadata mot kallfil.</t>
        </is>
      </c>
      <c r="BG2150">
        <f>HYPERLINK("C:\Users\jimmy\Desktop\Examens arbete\Kod\Ny mapp\remix_-copy-of-miljöbeslut.se-portal\MIL2025161.pdf", "Öppna PDF")</f>
        <v/>
      </c>
    </row>
    <row r="2151">
      <c r="A2151" t="inlineStr">
        <is>
          <t>KRAV-AUTO-002150</t>
        </is>
      </c>
      <c r="B2151" t="inlineStr">
        <is>
          <t>ADMIN-INDEX-2026-02-27-00000000125C043F57453246863FE664CAFE6A3F0700950291EA24F0614FB6ACEDB12BF0E31D00000000010C0000950291EA24F0614FB6ACEDB12BF0E31D00002087B19F0000</t>
        </is>
      </c>
      <c r="C2151" t="inlineStr">
        <is>
          <t>cmm4yunf100mbcuqwnj91q6k9</t>
        </is>
      </c>
      <c r="D2151" t="inlineStr">
        <is>
          <t>http://localhost:8787/api/admin/requirements/documents/cmm4yunf100mbcuqwnj91q6k9/view</t>
        </is>
      </c>
      <c r="E2151">
        <f>HYPERLÄNK("http://localhost:8787/api/admin/requirements/documents/cmm4yunf100mbcuqwnj91q6k9/view";"Öppna PDF")</f>
        <v/>
      </c>
      <c r="F2151">
        <f>HYPERLINK("http://localhost:8787/api/admin/requirements/documents/cmm4yunf100mbcuqwnj91q6k9/view","Open PDF")</f>
        <v/>
      </c>
      <c r="G2151" t="inlineStr">
        <is>
          <t>cmm55w57p0004cuisfrtpqly8</t>
        </is>
      </c>
      <c r="H2151" t="inlineStr">
        <is>
          <t>Beslutsvillkor</t>
        </is>
      </c>
      <c r="I2151" t="inlineStr">
        <is>
          <t>DagvattenLakvatten</t>
        </is>
      </c>
      <c r="J2151" t="inlineStr">
        <is>
          <t>Uppsamling</t>
        </is>
      </c>
      <c r="K2151" t="inlineStr">
        <is>
          <t>Lagringen ska ske så att risken för uppkomst av lakvatten från rötslammet minimeras.</t>
        </is>
      </c>
      <c r="L2151" t="inlineStr">
        <is>
          <t>Lagringen ska ske så att risken för uppkomst av lakvatten från rötslammet minimeras.</t>
        </is>
      </c>
      <c r="M2151" t="inlineStr">
        <is>
          <t>SKA</t>
        </is>
      </c>
      <c r="N2151" t="inlineStr"/>
      <c r="O2151" t="inlineStr"/>
      <c r="P2151" t="inlineStr"/>
      <c r="Q2151" t="inlineStr"/>
      <c r="R2151" t="inlineStr">
        <is>
          <t>Vid nederbord och avrinning</t>
        </is>
      </c>
      <c r="S2151" t="inlineStr"/>
      <c r="T2151" t="inlineStr">
        <is>
          <t>962902</t>
        </is>
      </c>
      <c r="U2151" t="inlineStr"/>
      <c r="V2151" t="inlineStr"/>
      <c r="W2151" t="inlineStr">
        <is>
          <t>Nej</t>
        </is>
      </c>
      <c r="X2151" t="inlineStr">
        <is>
          <t>Ja</t>
        </is>
      </c>
      <c r="Y2151" t="inlineStr">
        <is>
          <t>Ja</t>
        </is>
      </c>
      <c r="Z2151" t="inlineStr">
        <is>
          <t>Nej</t>
        </is>
      </c>
      <c r="AA2151" t="n">
        <v>6</v>
      </c>
      <c r="AB2151" t="inlineStr">
        <is>
          <t>Lakvattenhantering</t>
        </is>
      </c>
      <c r="AC2151" t="inlineStr">
        <is>
          <t>Flodesschema dagvatten-lakvatten</t>
        </is>
      </c>
      <c r="AD2151" t="inlineStr">
        <is>
          <t>Nej</t>
        </is>
      </c>
      <c r="AE2151" t="inlineStr">
        <is>
          <t>Nej</t>
        </is>
      </c>
      <c r="AF2151" t="inlineStr">
        <is>
          <t>Ej behandlad</t>
        </is>
      </c>
      <c r="AG2151" t="inlineStr">
        <is>
          <t>AUTO_GENERERAD. Verifiera citat mot kallfil.</t>
        </is>
      </c>
      <c r="AH2151" t="inlineStr">
        <is>
          <t>MEDIUM</t>
        </is>
      </c>
      <c r="AI2151" t="inlineStr">
        <is>
          <t>AUTO</t>
        </is>
      </c>
      <c r="AJ2151" t="inlineStr">
        <is>
          <t>Nej</t>
        </is>
      </c>
      <c r="AK2151" t="inlineStr"/>
      <c r="AL2151" t="inlineStr"/>
      <c r="AM2151" t="inlineStr"/>
      <c r="AN2151" t="inlineStr"/>
      <c r="AO2151" t="inlineStr">
        <is>
          <t>cmm4yunf100mbcuqwnj91q6k9</t>
        </is>
      </c>
      <c r="AP2151" t="inlineStr">
        <is>
          <t>http://localhost:8787/api/admin/requirements/documents/cmm4yunf100mbcuqwnj91q6k9/view</t>
        </is>
      </c>
      <c r="AQ2151">
        <f>HYPERLÄNK("http://localhost:8787/api/admin/requirements/documents/cmm4yunf100mbcuqwnj91q6k9/view";"Öppna PDF")</f>
        <v/>
      </c>
      <c r="AR2151">
        <f>HYPERLINK("http://localhost:8787/api/admin/requirements/documents/cmm4yunf100mbcuqwnj91q6k9/view","Open PDF")</f>
        <v/>
      </c>
      <c r="AS2151" t="inlineStr">
        <is>
          <t>cmm55w57p0004cuisfrtpqly8</t>
        </is>
      </c>
      <c r="AT2151" t="inlineStr">
        <is>
          <t>cmm4xvu980000cuh4vj0usz09</t>
        </is>
      </c>
      <c r="AU2151" t="inlineStr"/>
      <c r="AV2151" t="inlineStr">
        <is>
          <t>Kommun</t>
        </is>
      </c>
      <c r="AW2151" t="inlineStr"/>
      <c r="AX2151" t="inlineStr">
        <is>
          <t>2026-02</t>
        </is>
      </c>
      <c r="AY2151" t="inlineStr">
        <is>
          <t>Beslut</t>
        </is>
      </c>
      <c r="AZ2151" t="inlineStr">
        <is>
          <t>2026-02-03</t>
        </is>
      </c>
      <c r="BA2151" t="inlineStr">
        <is>
          <t>MIL20252496pdf_976448.pdf</t>
        </is>
      </c>
      <c r="BB2151" t="inlineStr">
        <is>
          <t>Begäran om allmän handling i ärende  MIL.2026.363</t>
        </is>
      </c>
      <c r="BC2151" t="inlineStr">
        <is>
          <t>AUTO</t>
        </is>
      </c>
      <c r="BD2151" t="inlineStr"/>
      <c r="BE2151" t="inlineStr"/>
      <c r="BF2151" t="inlineStr">
        <is>
          <t>AUTO_GENERERAD. Bekrafta metadata mot kallfil.</t>
        </is>
      </c>
      <c r="BG2151">
        <f>HYPERLINK("C:\Users\jimmy\Desktop\Examens arbete\Kod\Ny mapp\remix_-copy-of-miljöbeslut.se-portal\MIL20252496pdf_976448.pdf", "Öppna PDF")</f>
        <v/>
      </c>
    </row>
    <row r="2152">
      <c r="A2152" t="inlineStr">
        <is>
          <t>KRAV-AUTO-002151</t>
        </is>
      </c>
      <c r="B2152" t="inlineStr">
        <is>
          <t>ADMIN-INDEX-2026-02-27-00000000125C043F57453246863FE664CAFE6A3F0700950291EA24F0614FB6ACEDB12BF0E31D00000000010C0000950291EA24F0614FB6ACEDB12BF0E31D00002087B19F0000</t>
        </is>
      </c>
      <c r="C2152" t="inlineStr">
        <is>
          <t>cmm4yunf100mbcuqwnj91q6k9</t>
        </is>
      </c>
      <c r="D2152" t="inlineStr">
        <is>
          <t>http://localhost:8787/api/admin/requirements/documents/cmm4yunf100mbcuqwnj91q6k9/view</t>
        </is>
      </c>
      <c r="E2152">
        <f>HYPERLÄNK("http://localhost:8787/api/admin/requirements/documents/cmm4yunf100mbcuqwnj91q6k9/view";"Öppna PDF")</f>
        <v/>
      </c>
      <c r="F2152">
        <f>HYPERLINK("http://localhost:8787/api/admin/requirements/documents/cmm4yunf100mbcuqwnj91q6k9/view","Open PDF")</f>
        <v/>
      </c>
      <c r="G2152" t="inlineStr">
        <is>
          <t>cmm55w57p0004cuisfrtpqly8</t>
        </is>
      </c>
      <c r="H2152" t="inlineStr">
        <is>
          <t>Beslutsvillkor</t>
        </is>
      </c>
      <c r="I2152" t="inlineStr">
        <is>
          <t>DriftEgenkontroll</t>
        </is>
      </c>
      <c r="J2152" t="inlineStr">
        <is>
          <t>Journalforing</t>
        </is>
      </c>
      <c r="K2152" t="inlineStr">
        <is>
          <t>Jordprovtagningskarta bifogas.</t>
        </is>
      </c>
      <c r="L2152" t="inlineStr">
        <is>
          <t>Jordprovtagningskarta bifogas.</t>
        </is>
      </c>
      <c r="M2152" t="inlineStr">
        <is>
          <t>SKA</t>
        </is>
      </c>
      <c r="N2152" t="inlineStr"/>
      <c r="O2152" t="inlineStr"/>
      <c r="P2152" t="inlineStr"/>
      <c r="Q2152" t="inlineStr"/>
      <c r="R2152" t="inlineStr">
        <is>
          <t>Lopande drift</t>
        </is>
      </c>
      <c r="S2152" t="inlineStr"/>
      <c r="T2152" t="inlineStr">
        <is>
          <t>962902</t>
        </is>
      </c>
      <c r="U2152" t="inlineStr"/>
      <c r="V2152" t="inlineStr"/>
      <c r="W2152" t="inlineStr">
        <is>
          <t>Nej</t>
        </is>
      </c>
      <c r="X2152" t="inlineStr">
        <is>
          <t>Nej</t>
        </is>
      </c>
      <c r="Y2152" t="inlineStr">
        <is>
          <t>Ja</t>
        </is>
      </c>
      <c r="Z2152" t="inlineStr">
        <is>
          <t>Nej</t>
        </is>
      </c>
      <c r="AA2152" t="n">
        <v>7</v>
      </c>
      <c r="AB2152" t="inlineStr">
        <is>
          <t>Egenkontrollrutiner</t>
        </is>
      </c>
      <c r="AC2152" t="inlineStr">
        <is>
          <t>Egenkontrollprogram</t>
        </is>
      </c>
      <c r="AD2152" t="inlineStr">
        <is>
          <t>Nej</t>
        </is>
      </c>
      <c r="AE2152" t="inlineStr">
        <is>
          <t>Nej</t>
        </is>
      </c>
      <c r="AF2152" t="inlineStr">
        <is>
          <t>Ej behandlad</t>
        </is>
      </c>
      <c r="AG2152" t="inlineStr">
        <is>
          <t>AUTO_GENERERAD. Verifiera citat mot kallfil.</t>
        </is>
      </c>
      <c r="AH2152" t="inlineStr">
        <is>
          <t>LOW</t>
        </is>
      </c>
      <c r="AI2152" t="inlineStr">
        <is>
          <t>AUTO</t>
        </is>
      </c>
      <c r="AJ2152" t="inlineStr">
        <is>
          <t>Nej</t>
        </is>
      </c>
      <c r="AK2152" t="inlineStr"/>
      <c r="AL2152" t="inlineStr"/>
      <c r="AM2152" t="inlineStr"/>
      <c r="AN2152" t="inlineStr"/>
      <c r="AO2152" t="inlineStr">
        <is>
          <t>cmm4yunf100mbcuqwnj91q6k9</t>
        </is>
      </c>
      <c r="AP2152" t="inlineStr">
        <is>
          <t>http://localhost:8787/api/admin/requirements/documents/cmm4yunf100mbcuqwnj91q6k9/view</t>
        </is>
      </c>
      <c r="AQ2152">
        <f>HYPERLÄNK("http://localhost:8787/api/admin/requirements/documents/cmm4yunf100mbcuqwnj91q6k9/view";"Öppna PDF")</f>
        <v/>
      </c>
      <c r="AR2152">
        <f>HYPERLINK("http://localhost:8787/api/admin/requirements/documents/cmm4yunf100mbcuqwnj91q6k9/view","Open PDF")</f>
        <v/>
      </c>
      <c r="AS2152" t="inlineStr">
        <is>
          <t>cmm55w57p0004cuisfrtpqly8</t>
        </is>
      </c>
      <c r="AT2152" t="inlineStr">
        <is>
          <t>cmm4xvu980000cuh4vj0usz09</t>
        </is>
      </c>
      <c r="AU2152" t="inlineStr"/>
      <c r="AV2152" t="inlineStr">
        <is>
          <t>Kommun</t>
        </is>
      </c>
      <c r="AW2152" t="inlineStr"/>
      <c r="AX2152" t="inlineStr">
        <is>
          <t>2026-02</t>
        </is>
      </c>
      <c r="AY2152" t="inlineStr">
        <is>
          <t>Beslut</t>
        </is>
      </c>
      <c r="AZ2152" t="inlineStr">
        <is>
          <t>2026-02-03</t>
        </is>
      </c>
      <c r="BA2152" t="inlineStr">
        <is>
          <t>MIL20252496pdf_976448.pdf</t>
        </is>
      </c>
      <c r="BB2152" t="inlineStr">
        <is>
          <t>Begäran om allmän handling i ärende  MIL.2026.363</t>
        </is>
      </c>
      <c r="BC2152" t="inlineStr">
        <is>
          <t>AUTO</t>
        </is>
      </c>
      <c r="BD2152" t="inlineStr"/>
      <c r="BE2152" t="inlineStr"/>
      <c r="BF2152" t="inlineStr">
        <is>
          <t>AUTO_GENERERAD. Bekrafta metadata mot kallfil.</t>
        </is>
      </c>
      <c r="BG2152">
        <f>HYPERLINK("C:\Users\jimmy\Desktop\Examens arbete\Kod\Ny mapp\remix_-copy-of-miljöbeslut.se-portal\MIL20252496pdf_976448.pdf", "Öppna PDF")</f>
        <v/>
      </c>
    </row>
    <row r="2153">
      <c r="A2153" t="inlineStr">
        <is>
          <t>KRAV-AUTO-002152</t>
        </is>
      </c>
      <c r="B2153" t="inlineStr">
        <is>
          <t>ADMIN-INDEX-2026-02-27-00000000125C043F57453246863FE664CAFE6A3F0700950291EA24F0614FB6ACEDB12BF0E31D00000000010C0000950291EA24F0614FB6ACEDB12BF0E31D00002087B19F0000</t>
        </is>
      </c>
      <c r="C2153" t="inlineStr">
        <is>
          <t>cmm4yunf100mbcuqwnj91q6k9</t>
        </is>
      </c>
      <c r="D2153" t="inlineStr">
        <is>
          <t>http://localhost:8787/api/admin/requirements/documents/cmm4yunf100mbcuqwnj91q6k9/view</t>
        </is>
      </c>
      <c r="E2153">
        <f>HYPERLÄNK("http://localhost:8787/api/admin/requirements/documents/cmm4yunf100mbcuqwnj91q6k9/view";"Öppna PDF")</f>
        <v/>
      </c>
      <c r="F2153">
        <f>HYPERLINK("http://localhost:8787/api/admin/requirements/documents/cmm4yunf100mbcuqwnj91q6k9/view","Open PDF")</f>
        <v/>
      </c>
      <c r="G2153" t="inlineStr">
        <is>
          <t>cmm55w57p0004cuisfrtpqly8</t>
        </is>
      </c>
      <c r="H2153" t="inlineStr">
        <is>
          <t>Beslutsvillkor</t>
        </is>
      </c>
      <c r="I2153" t="inlineStr">
        <is>
          <t>Riskhantering</t>
        </is>
      </c>
      <c r="J2153" t="inlineStr">
        <is>
          <t>Riskkontroll</t>
        </is>
      </c>
      <c r="K2153" t="inlineStr">
        <is>
          <t>Täckning ska med hänsyn till risk för luktolägenhet göras i snar anslutning till uppläggning.</t>
        </is>
      </c>
      <c r="L2153" t="inlineStr">
        <is>
          <t>Täckning ska med hänsyn till risk för luktolägenhet göras i snar anslutning till uppläggning.</t>
        </is>
      </c>
      <c r="M2153" t="inlineStr">
        <is>
          <t>SKA</t>
        </is>
      </c>
      <c r="N2153" t="inlineStr"/>
      <c r="O2153" t="inlineStr"/>
      <c r="P2153" t="inlineStr"/>
      <c r="Q2153" t="inlineStr"/>
      <c r="R2153" t="inlineStr">
        <is>
          <t>Vid risk for incident</t>
        </is>
      </c>
      <c r="S2153" t="inlineStr"/>
      <c r="T2153" t="inlineStr">
        <is>
          <t>962902</t>
        </is>
      </c>
      <c r="U2153" t="inlineStr"/>
      <c r="V2153" t="inlineStr"/>
      <c r="W2153" t="inlineStr">
        <is>
          <t>Nej</t>
        </is>
      </c>
      <c r="X2153" t="inlineStr">
        <is>
          <t>Nej</t>
        </is>
      </c>
      <c r="Y2153" t="inlineStr">
        <is>
          <t>Ja</t>
        </is>
      </c>
      <c r="Z2153" t="inlineStr">
        <is>
          <t>Ja</t>
        </is>
      </c>
      <c r="AA2153" t="n">
        <v>8</v>
      </c>
      <c r="AB2153" t="inlineStr">
        <is>
          <t>Riskhantering</t>
        </is>
      </c>
      <c r="AC2153" t="inlineStr">
        <is>
          <t>Risk-PM</t>
        </is>
      </c>
      <c r="AD2153" t="inlineStr">
        <is>
          <t>Nej</t>
        </is>
      </c>
      <c r="AE2153" t="inlineStr">
        <is>
          <t>Nej</t>
        </is>
      </c>
      <c r="AF2153" t="inlineStr">
        <is>
          <t>Ej behandlad</t>
        </is>
      </c>
      <c r="AG2153" t="inlineStr">
        <is>
          <t>AUTO_GENERERAD. Verifiera citat mot kallfil.</t>
        </is>
      </c>
      <c r="AH2153" t="inlineStr">
        <is>
          <t>MEDIUM</t>
        </is>
      </c>
      <c r="AI2153" t="inlineStr">
        <is>
          <t>AUTO</t>
        </is>
      </c>
      <c r="AJ2153" t="inlineStr">
        <is>
          <t>Nej</t>
        </is>
      </c>
      <c r="AK2153" t="inlineStr"/>
      <c r="AL2153" t="inlineStr"/>
      <c r="AM2153" t="inlineStr"/>
      <c r="AN2153" t="inlineStr"/>
      <c r="AO2153" t="inlineStr">
        <is>
          <t>cmm4yunf100mbcuqwnj91q6k9</t>
        </is>
      </c>
      <c r="AP2153" t="inlineStr">
        <is>
          <t>http://localhost:8787/api/admin/requirements/documents/cmm4yunf100mbcuqwnj91q6k9/view</t>
        </is>
      </c>
      <c r="AQ2153">
        <f>HYPERLÄNK("http://localhost:8787/api/admin/requirements/documents/cmm4yunf100mbcuqwnj91q6k9/view";"Öppna PDF")</f>
        <v/>
      </c>
      <c r="AR2153">
        <f>HYPERLINK("http://localhost:8787/api/admin/requirements/documents/cmm4yunf100mbcuqwnj91q6k9/view","Open PDF")</f>
        <v/>
      </c>
      <c r="AS2153" t="inlineStr">
        <is>
          <t>cmm55w57p0004cuisfrtpqly8</t>
        </is>
      </c>
      <c r="AT2153" t="inlineStr">
        <is>
          <t>cmm4xvu980000cuh4vj0usz09</t>
        </is>
      </c>
      <c r="AU2153" t="inlineStr"/>
      <c r="AV2153" t="inlineStr">
        <is>
          <t>Kommun</t>
        </is>
      </c>
      <c r="AW2153" t="inlineStr"/>
      <c r="AX2153" t="inlineStr">
        <is>
          <t>2026-02</t>
        </is>
      </c>
      <c r="AY2153" t="inlineStr">
        <is>
          <t>Beslut</t>
        </is>
      </c>
      <c r="AZ2153" t="inlineStr">
        <is>
          <t>2026-02-03</t>
        </is>
      </c>
      <c r="BA2153" t="inlineStr">
        <is>
          <t>MIL20252496pdf_976448.pdf</t>
        </is>
      </c>
      <c r="BB2153" t="inlineStr">
        <is>
          <t>Begäran om allmän handling i ärende  MIL.2026.363</t>
        </is>
      </c>
      <c r="BC2153" t="inlineStr">
        <is>
          <t>AUTO</t>
        </is>
      </c>
      <c r="BD2153" t="inlineStr"/>
      <c r="BE2153" t="inlineStr"/>
      <c r="BF2153" t="inlineStr">
        <is>
          <t>AUTO_GENERERAD. Bekrafta metadata mot kallfil.</t>
        </is>
      </c>
      <c r="BG2153">
        <f>HYPERLINK("C:\Users\jimmy\Desktop\Examens arbete\Kod\Ny mapp\remix_-copy-of-miljöbeslut.se-portal\MIL20252496pdf_976448.pdf", "Öppna PDF")</f>
        <v/>
      </c>
    </row>
    <row r="2154">
      <c r="A2154" t="inlineStr">
        <is>
          <t>KRAV-AUTO-002153</t>
        </is>
      </c>
      <c r="B2154" t="inlineStr">
        <is>
          <t>ADMIN-INDEX-2026-02-27-00000000125C043F57453246863FE664CAFE6A3F0700950291EA24F0614FB6ACEDB12BF0E31D00000000010C0000950291EA24F0614FB6ACEDB12BF0E31D00002087B19F0000</t>
        </is>
      </c>
      <c r="C2154" t="inlineStr">
        <is>
          <t>cmm4yunex00m8cuqwd4yhyz7u</t>
        </is>
      </c>
      <c r="D2154" t="inlineStr">
        <is>
          <t>http://localhost:8787/api/admin/requirements/documents/cmm4yunex00m8cuqwd4yhyz7u/view</t>
        </is>
      </c>
      <c r="E2154">
        <f>HYPERLÄNK("http://localhost:8787/api/admin/requirements/documents/cmm4yunex00m8cuqwd4yhyz7u/view";"Öppna PDF")</f>
        <v/>
      </c>
      <c r="F2154">
        <f>HYPERLINK("http://localhost:8787/api/admin/requirements/documents/cmm4yunex00m8cuqwd4yhyz7u/view","Open PDF")</f>
        <v/>
      </c>
      <c r="G2154" t="inlineStr">
        <is>
          <t>cmm55w57p0004cuisfrtpqly8</t>
        </is>
      </c>
      <c r="H2154" t="inlineStr">
        <is>
          <t>Beslutsvillkor</t>
        </is>
      </c>
      <c r="I2154" t="inlineStr">
        <is>
          <t>DagvattenLakvatten</t>
        </is>
      </c>
      <c r="J2154" t="inlineStr">
        <is>
          <t>Uppsamling</t>
        </is>
      </c>
      <c r="K2154" t="inlineStr">
        <is>
          <t>Lagringen ska ske så att risken för uppkomst av lakvatten från rötslammet minimeras.</t>
        </is>
      </c>
      <c r="L2154" t="inlineStr">
        <is>
          <t>Lagringen ska ske så att risken för uppkomst av lakvatten från rötslammet minimeras.</t>
        </is>
      </c>
      <c r="M2154" t="inlineStr">
        <is>
          <t>SKA</t>
        </is>
      </c>
      <c r="N2154" t="inlineStr"/>
      <c r="O2154" t="inlineStr"/>
      <c r="P2154" t="inlineStr"/>
      <c r="Q2154" t="inlineStr"/>
      <c r="R2154" t="inlineStr">
        <is>
          <t>Vid nederbord och avrinning</t>
        </is>
      </c>
      <c r="S2154" t="inlineStr"/>
      <c r="T2154" t="inlineStr">
        <is>
          <t>962846</t>
        </is>
      </c>
      <c r="U2154" t="inlineStr"/>
      <c r="V2154" t="inlineStr"/>
      <c r="W2154" t="inlineStr">
        <is>
          <t>Nej</t>
        </is>
      </c>
      <c r="X2154" t="inlineStr">
        <is>
          <t>Ja</t>
        </is>
      </c>
      <c r="Y2154" t="inlineStr">
        <is>
          <t>Ja</t>
        </is>
      </c>
      <c r="Z2154" t="inlineStr">
        <is>
          <t>Nej</t>
        </is>
      </c>
      <c r="AA2154" t="n">
        <v>6</v>
      </c>
      <c r="AB2154" t="inlineStr">
        <is>
          <t>Lakvattenhantering</t>
        </is>
      </c>
      <c r="AC2154" t="inlineStr">
        <is>
          <t>Flodesschema dagvatten-lakvatten</t>
        </is>
      </c>
      <c r="AD2154" t="inlineStr">
        <is>
          <t>Nej</t>
        </is>
      </c>
      <c r="AE2154" t="inlineStr">
        <is>
          <t>Nej</t>
        </is>
      </c>
      <c r="AF2154" t="inlineStr">
        <is>
          <t>Ej behandlad</t>
        </is>
      </c>
      <c r="AG2154" t="inlineStr">
        <is>
          <t>AUTO_GENERERAD. Verifiera citat mot kallfil.</t>
        </is>
      </c>
      <c r="AH2154" t="inlineStr">
        <is>
          <t>MEDIUM</t>
        </is>
      </c>
      <c r="AI2154" t="inlineStr">
        <is>
          <t>AUTO</t>
        </is>
      </c>
      <c r="AJ2154" t="inlineStr">
        <is>
          <t>Nej</t>
        </is>
      </c>
      <c r="AK2154" t="inlineStr"/>
      <c r="AL2154" t="inlineStr"/>
      <c r="AM2154" t="inlineStr"/>
      <c r="AN2154" t="inlineStr"/>
      <c r="AO2154" t="inlineStr">
        <is>
          <t>cmm4yunf100mbcuqwnj91q6k9</t>
        </is>
      </c>
      <c r="AP2154" t="inlineStr">
        <is>
          <t>http://localhost:8787/api/admin/requirements/documents/cmm4yunf100mbcuqwnj91q6k9/view</t>
        </is>
      </c>
      <c r="AQ2154">
        <f>HYPERLÄNK("http://localhost:8787/api/admin/requirements/documents/cmm4yunf100mbcuqwnj91q6k9/view";"Öppna PDF")</f>
        <v/>
      </c>
      <c r="AR2154">
        <f>HYPERLINK("http://localhost:8787/api/admin/requirements/documents/cmm4yunf100mbcuqwnj91q6k9/view","Open PDF")</f>
        <v/>
      </c>
      <c r="AS2154" t="inlineStr">
        <is>
          <t>cmm55w57p0004cuisfrtpqly8</t>
        </is>
      </c>
      <c r="AT2154" t="inlineStr">
        <is>
          <t>cmm4xvu980000cuh4vj0usz09</t>
        </is>
      </c>
      <c r="AU2154" t="inlineStr"/>
      <c r="AV2154" t="inlineStr">
        <is>
          <t>Kommun</t>
        </is>
      </c>
      <c r="AW2154" t="inlineStr"/>
      <c r="AX2154" t="inlineStr">
        <is>
          <t>2026-02</t>
        </is>
      </c>
      <c r="AY2154" t="inlineStr">
        <is>
          <t>Beslut</t>
        </is>
      </c>
      <c r="AZ2154" t="inlineStr">
        <is>
          <t>2026-02-03</t>
        </is>
      </c>
      <c r="BA2154" t="inlineStr">
        <is>
          <t>MIL20252496pdf_976448.pdf</t>
        </is>
      </c>
      <c r="BB2154" t="inlineStr">
        <is>
          <t>Begäran om allmän handling i ärende  MIL.2026.363</t>
        </is>
      </c>
      <c r="BC2154" t="inlineStr">
        <is>
          <t>AUTO</t>
        </is>
      </c>
      <c r="BD2154" t="inlineStr"/>
      <c r="BE2154" t="inlineStr"/>
      <c r="BF2154" t="inlineStr">
        <is>
          <t>AUTO_GENERERAD. Bekrafta metadata mot kallfil.</t>
        </is>
      </c>
      <c r="BG2154">
        <f>HYPERLINK("C:\Users\jimmy\Desktop\Examens arbete\Kod\Ny mapp\remix_-copy-of-miljöbeslut.se-portal\MIL20252496pdf_976448.pdf", "Öppna PDF")</f>
        <v/>
      </c>
    </row>
    <row r="2155">
      <c r="A2155" t="inlineStr">
        <is>
          <t>KRAV-AUTO-002154</t>
        </is>
      </c>
      <c r="B2155" t="inlineStr">
        <is>
          <t>ADMIN-INDEX-2026-02-27-00000000125C043F57453246863FE664CAFE6A3F0700950291EA24F0614FB6ACEDB12BF0E31D00000000010C0000950291EA24F0614FB6ACEDB12BF0E31D00002087B19F0000</t>
        </is>
      </c>
      <c r="C2155" t="inlineStr">
        <is>
          <t>cmm4yunex00m8cuqwd4yhyz7u</t>
        </is>
      </c>
      <c r="D2155" t="inlineStr">
        <is>
          <t>http://localhost:8787/api/admin/requirements/documents/cmm4yunex00m8cuqwd4yhyz7u/view</t>
        </is>
      </c>
      <c r="E2155">
        <f>HYPERLÄNK("http://localhost:8787/api/admin/requirements/documents/cmm4yunex00m8cuqwd4yhyz7u/view";"Öppna PDF")</f>
        <v/>
      </c>
      <c r="F2155">
        <f>HYPERLINK("http://localhost:8787/api/admin/requirements/documents/cmm4yunex00m8cuqwd4yhyz7u/view","Open PDF")</f>
        <v/>
      </c>
      <c r="G2155" t="inlineStr">
        <is>
          <t>cmm55w57p0004cuisfrtpqly8</t>
        </is>
      </c>
      <c r="H2155" t="inlineStr">
        <is>
          <t>Beslutsvillkor</t>
        </is>
      </c>
      <c r="I2155" t="inlineStr">
        <is>
          <t>DriftEgenkontroll</t>
        </is>
      </c>
      <c r="J2155" t="inlineStr">
        <is>
          <t>Journalforing</t>
        </is>
      </c>
      <c r="K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55" t="inlineStr">
        <is>
          <t>SKA</t>
        </is>
      </c>
      <c r="N2155" t="inlineStr"/>
      <c r="O2155" t="inlineStr"/>
      <c r="P2155" t="inlineStr"/>
      <c r="Q2155" t="inlineStr"/>
      <c r="R2155" t="inlineStr">
        <is>
          <t>Lopande drift</t>
        </is>
      </c>
      <c r="S2155" t="inlineStr"/>
      <c r="T2155" t="inlineStr">
        <is>
          <t>962846</t>
        </is>
      </c>
      <c r="U2155" t="inlineStr"/>
      <c r="V2155" t="inlineStr"/>
      <c r="W2155" t="inlineStr">
        <is>
          <t>Nej</t>
        </is>
      </c>
      <c r="X2155" t="inlineStr">
        <is>
          <t>Nej</t>
        </is>
      </c>
      <c r="Y2155" t="inlineStr">
        <is>
          <t>Ja</t>
        </is>
      </c>
      <c r="Z2155" t="inlineStr">
        <is>
          <t>Nej</t>
        </is>
      </c>
      <c r="AA2155" t="n">
        <v>7</v>
      </c>
      <c r="AB2155" t="inlineStr">
        <is>
          <t>Egenkontrollrutiner</t>
        </is>
      </c>
      <c r="AC2155" t="inlineStr">
        <is>
          <t>Egenkontrollprogram</t>
        </is>
      </c>
      <c r="AD2155" t="inlineStr">
        <is>
          <t>Nej</t>
        </is>
      </c>
      <c r="AE2155" t="inlineStr">
        <is>
          <t>Nej</t>
        </is>
      </c>
      <c r="AF2155" t="inlineStr">
        <is>
          <t>Ej behandlad</t>
        </is>
      </c>
      <c r="AG2155" t="inlineStr">
        <is>
          <t>AUTO_GENERERAD. Verifiera citat mot kallfil.</t>
        </is>
      </c>
      <c r="AH2155" t="inlineStr">
        <is>
          <t>MEDIUM</t>
        </is>
      </c>
      <c r="AI2155" t="inlineStr">
        <is>
          <t>AUTO</t>
        </is>
      </c>
      <c r="AJ2155" t="inlineStr">
        <is>
          <t>Nej</t>
        </is>
      </c>
      <c r="AK2155" t="inlineStr"/>
      <c r="AL2155" t="inlineStr"/>
      <c r="AM2155" t="inlineStr"/>
      <c r="AN2155" t="inlineStr"/>
      <c r="AO2155" t="inlineStr">
        <is>
          <t>cmm4yunf100mbcuqwnj91q6k9</t>
        </is>
      </c>
      <c r="AP2155" t="inlineStr">
        <is>
          <t>http://localhost:8787/api/admin/requirements/documents/cmm4yunf100mbcuqwnj91q6k9/view</t>
        </is>
      </c>
      <c r="AQ2155">
        <f>HYPERLÄNK("http://localhost:8787/api/admin/requirements/documents/cmm4yunf100mbcuqwnj91q6k9/view";"Öppna PDF")</f>
        <v/>
      </c>
      <c r="AR2155">
        <f>HYPERLINK("http://localhost:8787/api/admin/requirements/documents/cmm4yunf100mbcuqwnj91q6k9/view","Open PDF")</f>
        <v/>
      </c>
      <c r="AS2155" t="inlineStr">
        <is>
          <t>cmm55w57p0004cuisfrtpqly8</t>
        </is>
      </c>
      <c r="AT2155" t="inlineStr">
        <is>
          <t>cmm4xvu980000cuh4vj0usz09</t>
        </is>
      </c>
      <c r="AU2155" t="inlineStr"/>
      <c r="AV2155" t="inlineStr">
        <is>
          <t>Kommun</t>
        </is>
      </c>
      <c r="AW2155" t="inlineStr"/>
      <c r="AX2155" t="inlineStr">
        <is>
          <t>2026-02</t>
        </is>
      </c>
      <c r="AY2155" t="inlineStr">
        <is>
          <t>Beslut</t>
        </is>
      </c>
      <c r="AZ2155" t="inlineStr">
        <is>
          <t>2026-02-03</t>
        </is>
      </c>
      <c r="BA2155" t="inlineStr">
        <is>
          <t>MIL20252496pdf_976448.pdf</t>
        </is>
      </c>
      <c r="BB2155" t="inlineStr">
        <is>
          <t>Begäran om allmän handling i ärende  MIL.2026.363</t>
        </is>
      </c>
      <c r="BC2155" t="inlineStr">
        <is>
          <t>AUTO</t>
        </is>
      </c>
      <c r="BD2155" t="inlineStr"/>
      <c r="BE2155" t="inlineStr"/>
      <c r="BF2155" t="inlineStr">
        <is>
          <t>AUTO_GENERERAD. Bekrafta metadata mot kallfil.</t>
        </is>
      </c>
      <c r="BG2155">
        <f>HYPERLINK("C:\Users\jimmy\Desktop\Examens arbete\Kod\Ny mapp\remix_-copy-of-miljöbeslut.se-portal\MIL20252496pdf_976448.pdf", "Öppna PDF")</f>
        <v/>
      </c>
    </row>
    <row r="2156">
      <c r="A2156" t="inlineStr">
        <is>
          <t>KRAV-AUTO-002155</t>
        </is>
      </c>
      <c r="B2156" t="inlineStr">
        <is>
          <t>ADMIN-INDEX-2026-02-27-00000000125C043F57453246863FE664CAFE6A3F0700950291EA24F0614FB6ACEDB12BF0E31D00000000010C0000950291EA24F0614FB6ACEDB12BF0E31D00002087B19F0000</t>
        </is>
      </c>
      <c r="C2156" t="inlineStr">
        <is>
          <t>cmm4yunex00m8cuqwd4yhyz7u</t>
        </is>
      </c>
      <c r="D2156" t="inlineStr">
        <is>
          <t>http://localhost:8787/api/admin/requirements/documents/cmm4yunex00m8cuqwd4yhyz7u/view</t>
        </is>
      </c>
      <c r="E2156">
        <f>HYPERLÄNK("http://localhost:8787/api/admin/requirements/documents/cmm4yunex00m8cuqwd4yhyz7u/view";"Öppna PDF")</f>
        <v/>
      </c>
      <c r="F2156">
        <f>HYPERLINK("http://localhost:8787/api/admin/requirements/documents/cmm4yunex00m8cuqwd4yhyz7u/view","Open PDF")</f>
        <v/>
      </c>
      <c r="G2156" t="inlineStr">
        <is>
          <t>cmm55w57p0004cuisfrtpqly8</t>
        </is>
      </c>
      <c r="H2156" t="inlineStr">
        <is>
          <t>Beslutsvillkor</t>
        </is>
      </c>
      <c r="I2156" t="inlineStr">
        <is>
          <t>DriftEgenkontroll</t>
        </is>
      </c>
      <c r="J2156" t="inlineStr">
        <is>
          <t>Journalforing</t>
        </is>
      </c>
      <c r="K2156" t="inlineStr">
        <is>
          <t>Jordprovtagningskarta bifogas.</t>
        </is>
      </c>
      <c r="L2156" t="inlineStr">
        <is>
          <t>Jordprovtagningskarta bifogas.</t>
        </is>
      </c>
      <c r="M2156" t="inlineStr">
        <is>
          <t>SKA</t>
        </is>
      </c>
      <c r="N2156" t="inlineStr"/>
      <c r="O2156" t="inlineStr"/>
      <c r="P2156" t="inlineStr"/>
      <c r="Q2156" t="inlineStr"/>
      <c r="R2156" t="inlineStr">
        <is>
          <t>Lopande drift</t>
        </is>
      </c>
      <c r="S2156" t="inlineStr"/>
      <c r="T2156" t="inlineStr">
        <is>
          <t>962846</t>
        </is>
      </c>
      <c r="U2156" t="inlineStr"/>
      <c r="V2156" t="inlineStr"/>
      <c r="W2156" t="inlineStr">
        <is>
          <t>Nej</t>
        </is>
      </c>
      <c r="X2156" t="inlineStr">
        <is>
          <t>Nej</t>
        </is>
      </c>
      <c r="Y2156" t="inlineStr">
        <is>
          <t>Ja</t>
        </is>
      </c>
      <c r="Z2156" t="inlineStr">
        <is>
          <t>Nej</t>
        </is>
      </c>
      <c r="AA2156" t="n">
        <v>7</v>
      </c>
      <c r="AB2156" t="inlineStr">
        <is>
          <t>Egenkontrollrutiner</t>
        </is>
      </c>
      <c r="AC2156" t="inlineStr">
        <is>
          <t>Egenkontrollprogram</t>
        </is>
      </c>
      <c r="AD2156" t="inlineStr">
        <is>
          <t>Nej</t>
        </is>
      </c>
      <c r="AE2156" t="inlineStr">
        <is>
          <t>Nej</t>
        </is>
      </c>
      <c r="AF2156" t="inlineStr">
        <is>
          <t>Ej behandlad</t>
        </is>
      </c>
      <c r="AG2156" t="inlineStr">
        <is>
          <t>AUTO_GENERERAD. Verifiera citat mot kallfil.</t>
        </is>
      </c>
      <c r="AH2156" t="inlineStr">
        <is>
          <t>LOW</t>
        </is>
      </c>
      <c r="AI2156" t="inlineStr">
        <is>
          <t>AUTO</t>
        </is>
      </c>
      <c r="AJ2156" t="inlineStr">
        <is>
          <t>Nej</t>
        </is>
      </c>
      <c r="AK2156" t="inlineStr"/>
      <c r="AL2156" t="inlineStr"/>
      <c r="AM2156" t="inlineStr"/>
      <c r="AN2156" t="inlineStr"/>
      <c r="AO2156" t="inlineStr">
        <is>
          <t>cmm4yunf100mbcuqwnj91q6k9</t>
        </is>
      </c>
      <c r="AP2156" t="inlineStr">
        <is>
          <t>http://localhost:8787/api/admin/requirements/documents/cmm4yunf100mbcuqwnj91q6k9/view</t>
        </is>
      </c>
      <c r="AQ2156">
        <f>HYPERLÄNK("http://localhost:8787/api/admin/requirements/documents/cmm4yunf100mbcuqwnj91q6k9/view";"Öppna PDF")</f>
        <v/>
      </c>
      <c r="AR2156">
        <f>HYPERLINK("http://localhost:8787/api/admin/requirements/documents/cmm4yunf100mbcuqwnj91q6k9/view","Open PDF")</f>
        <v/>
      </c>
      <c r="AS2156" t="inlineStr">
        <is>
          <t>cmm55w57p0004cuisfrtpqly8</t>
        </is>
      </c>
      <c r="AT2156" t="inlineStr">
        <is>
          <t>cmm4xvu980000cuh4vj0usz09</t>
        </is>
      </c>
      <c r="AU2156" t="inlineStr"/>
      <c r="AV2156" t="inlineStr">
        <is>
          <t>Kommun</t>
        </is>
      </c>
      <c r="AW2156" t="inlineStr"/>
      <c r="AX2156" t="inlineStr">
        <is>
          <t>2026-02</t>
        </is>
      </c>
      <c r="AY2156" t="inlineStr">
        <is>
          <t>Beslut</t>
        </is>
      </c>
      <c r="AZ2156" t="inlineStr">
        <is>
          <t>2026-02-03</t>
        </is>
      </c>
      <c r="BA2156" t="inlineStr">
        <is>
          <t>MIL20252496pdf_976448.pdf</t>
        </is>
      </c>
      <c r="BB2156" t="inlineStr">
        <is>
          <t>Begäran om allmän handling i ärende  MIL.2026.363</t>
        </is>
      </c>
      <c r="BC2156" t="inlineStr">
        <is>
          <t>AUTO</t>
        </is>
      </c>
      <c r="BD2156" t="inlineStr"/>
      <c r="BE2156" t="inlineStr"/>
      <c r="BF2156" t="inlineStr">
        <is>
          <t>AUTO_GENERERAD. Bekrafta metadata mot kallfil.</t>
        </is>
      </c>
      <c r="BG2156">
        <f>HYPERLINK("C:\Users\jimmy\Desktop\Examens arbete\Kod\Ny mapp\remix_-copy-of-miljöbeslut.se-portal\MIL20252496pdf_976448.pdf", "Öppna PDF")</f>
        <v/>
      </c>
    </row>
    <row r="2157">
      <c r="A2157" t="inlineStr">
        <is>
          <t>KRAV-AUTO-002156</t>
        </is>
      </c>
      <c r="B2157" t="inlineStr">
        <is>
          <t>ADMIN-INDEX-2026-02-27-00000000125C043F57453246863FE664CAFE6A3F0700950291EA24F0614FB6ACEDB12BF0E31D00000000010C0000950291EA24F0614FB6ACEDB12BF0E31D00002087B19F0000</t>
        </is>
      </c>
      <c r="C2157" t="inlineStr">
        <is>
          <t>cmm4yuneu00m5cuqwiblbfpdo</t>
        </is>
      </c>
      <c r="D2157" t="inlineStr">
        <is>
          <t>http://localhost:8787/api/admin/requirements/documents/cmm4yuneu00m5cuqwiblbfpdo/view</t>
        </is>
      </c>
      <c r="E2157">
        <f>HYPERLÄNK("http://localhost:8787/api/admin/requirements/documents/cmm4yuneu00m5cuqwiblbfpdo/view";"Öppna PDF")</f>
        <v/>
      </c>
      <c r="F2157">
        <f>HYPERLINK("http://localhost:8787/api/admin/requirements/documents/cmm4yuneu00m5cuqwiblbfpdo/view","Open PDF")</f>
        <v/>
      </c>
      <c r="G2157" t="inlineStr">
        <is>
          <t>cmm55w57p0004cuisfrtpqly8</t>
        </is>
      </c>
      <c r="H2157" t="inlineStr">
        <is>
          <t>Beslutsvillkor</t>
        </is>
      </c>
      <c r="I2157" t="inlineStr">
        <is>
          <t>DagvattenLakvatten</t>
        </is>
      </c>
      <c r="J2157" t="inlineStr">
        <is>
          <t>Uppsamling</t>
        </is>
      </c>
      <c r="K2157" t="inlineStr">
        <is>
          <t>Lagringen ska ske så att risken för uppkomst av lakvatten från rötslammet minimeras.</t>
        </is>
      </c>
      <c r="L2157" t="inlineStr">
        <is>
          <t>Lagringen ska ske så att risken för uppkomst av lakvatten från rötslammet minimeras.</t>
        </is>
      </c>
      <c r="M2157" t="inlineStr">
        <is>
          <t>SKA</t>
        </is>
      </c>
      <c r="N2157" t="inlineStr"/>
      <c r="O2157" t="inlineStr"/>
      <c r="P2157" t="inlineStr"/>
      <c r="Q2157" t="inlineStr"/>
      <c r="R2157" t="inlineStr">
        <is>
          <t>Vid nederbord och avrinning</t>
        </is>
      </c>
      <c r="S2157" t="inlineStr"/>
      <c r="T2157" t="inlineStr">
        <is>
          <t>962727</t>
        </is>
      </c>
      <c r="U2157" t="inlineStr"/>
      <c r="V2157" t="inlineStr"/>
      <c r="W2157" t="inlineStr">
        <is>
          <t>Nej</t>
        </is>
      </c>
      <c r="X2157" t="inlineStr">
        <is>
          <t>Ja</t>
        </is>
      </c>
      <c r="Y2157" t="inlineStr">
        <is>
          <t>Ja</t>
        </is>
      </c>
      <c r="Z2157" t="inlineStr">
        <is>
          <t>Nej</t>
        </is>
      </c>
      <c r="AA2157" t="n">
        <v>6</v>
      </c>
      <c r="AB2157" t="inlineStr">
        <is>
          <t>Lakvattenhantering</t>
        </is>
      </c>
      <c r="AC2157" t="inlineStr">
        <is>
          <t>Flodesschema dagvatten-lakvatten</t>
        </is>
      </c>
      <c r="AD2157" t="inlineStr">
        <is>
          <t>Nej</t>
        </is>
      </c>
      <c r="AE2157" t="inlineStr">
        <is>
          <t>Nej</t>
        </is>
      </c>
      <c r="AF2157" t="inlineStr">
        <is>
          <t>Ej behandlad</t>
        </is>
      </c>
      <c r="AG2157" t="inlineStr">
        <is>
          <t>AUTO_GENERERAD. Verifiera citat mot kallfil.</t>
        </is>
      </c>
      <c r="AH2157" t="inlineStr">
        <is>
          <t>MEDIUM</t>
        </is>
      </c>
      <c r="AI2157" t="inlineStr">
        <is>
          <t>AUTO</t>
        </is>
      </c>
      <c r="AJ2157" t="inlineStr">
        <is>
          <t>Nej</t>
        </is>
      </c>
      <c r="AK2157" t="inlineStr"/>
      <c r="AL2157" t="inlineStr"/>
      <c r="AM2157" t="inlineStr"/>
      <c r="AN2157" t="inlineStr"/>
      <c r="AO2157" t="inlineStr">
        <is>
          <t>cmm4yunf100mbcuqwnj91q6k9</t>
        </is>
      </c>
      <c r="AP2157" t="inlineStr">
        <is>
          <t>http://localhost:8787/api/admin/requirements/documents/cmm4yunf100mbcuqwnj91q6k9/view</t>
        </is>
      </c>
      <c r="AQ2157">
        <f>HYPERLÄNK("http://localhost:8787/api/admin/requirements/documents/cmm4yunf100mbcuqwnj91q6k9/view";"Öppna PDF")</f>
        <v/>
      </c>
      <c r="AR2157">
        <f>HYPERLINK("http://localhost:8787/api/admin/requirements/documents/cmm4yunf100mbcuqwnj91q6k9/view","Open PDF")</f>
        <v/>
      </c>
      <c r="AS2157" t="inlineStr">
        <is>
          <t>cmm55w57p0004cuisfrtpqly8</t>
        </is>
      </c>
      <c r="AT2157" t="inlineStr">
        <is>
          <t>cmm4xvu980000cuh4vj0usz09</t>
        </is>
      </c>
      <c r="AU2157" t="inlineStr"/>
      <c r="AV2157" t="inlineStr">
        <is>
          <t>Kommun</t>
        </is>
      </c>
      <c r="AW2157" t="inlineStr"/>
      <c r="AX2157" t="inlineStr">
        <is>
          <t>2026-02</t>
        </is>
      </c>
      <c r="AY2157" t="inlineStr">
        <is>
          <t>Beslut</t>
        </is>
      </c>
      <c r="AZ2157" t="inlineStr">
        <is>
          <t>2026-02-03</t>
        </is>
      </c>
      <c r="BA2157" t="inlineStr">
        <is>
          <t>MIL20252496pdf_976448.pdf</t>
        </is>
      </c>
      <c r="BB2157" t="inlineStr">
        <is>
          <t>Begäran om allmän handling i ärende  MIL.2026.363</t>
        </is>
      </c>
      <c r="BC2157" t="inlineStr">
        <is>
          <t>AUTO</t>
        </is>
      </c>
      <c r="BD2157" t="inlineStr"/>
      <c r="BE2157" t="inlineStr"/>
      <c r="BF2157" t="inlineStr">
        <is>
          <t>AUTO_GENERERAD. Bekrafta metadata mot kallfil.</t>
        </is>
      </c>
      <c r="BG2157">
        <f>HYPERLINK("C:\Users\jimmy\Desktop\Examens arbete\Kod\Ny mapp\remix_-copy-of-miljöbeslut.se-portal\MIL20252496pdf_976448.pdf", "Öppna PDF")</f>
        <v/>
      </c>
    </row>
    <row r="2158">
      <c r="A2158" t="inlineStr">
        <is>
          <t>KRAV-AUTO-002157</t>
        </is>
      </c>
      <c r="B2158" t="inlineStr">
        <is>
          <t>ADMIN-INDEX-2026-02-27-00000000125C043F57453246863FE664CAFE6A3F0700950291EA24F0614FB6ACEDB12BF0E31D00000000010C0000950291EA24F0614FB6ACEDB12BF0E31D00002087B19F0000</t>
        </is>
      </c>
      <c r="C2158" t="inlineStr">
        <is>
          <t>cmm4yuneu00m5cuqwiblbfpdo</t>
        </is>
      </c>
      <c r="D2158" t="inlineStr">
        <is>
          <t>http://localhost:8787/api/admin/requirements/documents/cmm4yuneu00m5cuqwiblbfpdo/view</t>
        </is>
      </c>
      <c r="E2158">
        <f>HYPERLÄNK("http://localhost:8787/api/admin/requirements/documents/cmm4yuneu00m5cuqwiblbfpdo/view";"Öppna PDF")</f>
        <v/>
      </c>
      <c r="F2158">
        <f>HYPERLINK("http://localhost:8787/api/admin/requirements/documents/cmm4yuneu00m5cuqwiblbfpdo/view","Open PDF")</f>
        <v/>
      </c>
      <c r="G2158" t="inlineStr">
        <is>
          <t>cmm55w57p0004cuisfrtpqly8</t>
        </is>
      </c>
      <c r="H2158" t="inlineStr">
        <is>
          <t>Beslutsvillkor</t>
        </is>
      </c>
      <c r="I2158" t="inlineStr">
        <is>
          <t>DriftEgenkontroll</t>
        </is>
      </c>
      <c r="J2158" t="inlineStr">
        <is>
          <t>Journalforing</t>
        </is>
      </c>
      <c r="K2158" t="inlineStr">
        <is>
          <t>Jordprovtagningskarta bifogas.</t>
        </is>
      </c>
      <c r="L2158" t="inlineStr">
        <is>
          <t>Jordprovtagningskarta bifogas.</t>
        </is>
      </c>
      <c r="M2158" t="inlineStr">
        <is>
          <t>SKA</t>
        </is>
      </c>
      <c r="N2158" t="inlineStr"/>
      <c r="O2158" t="inlineStr"/>
      <c r="P2158" t="inlineStr"/>
      <c r="Q2158" t="inlineStr"/>
      <c r="R2158" t="inlineStr">
        <is>
          <t>Lopande drift</t>
        </is>
      </c>
      <c r="S2158" t="inlineStr"/>
      <c r="T2158" t="inlineStr">
        <is>
          <t>962727</t>
        </is>
      </c>
      <c r="U2158" t="inlineStr"/>
      <c r="V2158" t="inlineStr"/>
      <c r="W2158" t="inlineStr">
        <is>
          <t>Nej</t>
        </is>
      </c>
      <c r="X2158" t="inlineStr">
        <is>
          <t>Nej</t>
        </is>
      </c>
      <c r="Y2158" t="inlineStr">
        <is>
          <t>Ja</t>
        </is>
      </c>
      <c r="Z2158" t="inlineStr">
        <is>
          <t>Nej</t>
        </is>
      </c>
      <c r="AA2158" t="n">
        <v>7</v>
      </c>
      <c r="AB2158" t="inlineStr">
        <is>
          <t>Egenkontrollrutiner</t>
        </is>
      </c>
      <c r="AC2158" t="inlineStr">
        <is>
          <t>Egenkontrollprogram</t>
        </is>
      </c>
      <c r="AD2158" t="inlineStr">
        <is>
          <t>Nej</t>
        </is>
      </c>
      <c r="AE2158" t="inlineStr">
        <is>
          <t>Nej</t>
        </is>
      </c>
      <c r="AF2158" t="inlineStr">
        <is>
          <t>Ej behandlad</t>
        </is>
      </c>
      <c r="AG2158" t="inlineStr">
        <is>
          <t>AUTO_GENERERAD. Verifiera citat mot kallfil.</t>
        </is>
      </c>
      <c r="AH2158" t="inlineStr">
        <is>
          <t>LOW</t>
        </is>
      </c>
      <c r="AI2158" t="inlineStr">
        <is>
          <t>AUTO</t>
        </is>
      </c>
      <c r="AJ2158" t="inlineStr">
        <is>
          <t>Nej</t>
        </is>
      </c>
      <c r="AK2158" t="inlineStr"/>
      <c r="AL2158" t="inlineStr"/>
      <c r="AM2158" t="inlineStr"/>
      <c r="AN2158" t="inlineStr"/>
      <c r="AO2158" t="inlineStr">
        <is>
          <t>cmm4yunf100mbcuqwnj91q6k9</t>
        </is>
      </c>
      <c r="AP2158" t="inlineStr">
        <is>
          <t>http://localhost:8787/api/admin/requirements/documents/cmm4yunf100mbcuqwnj91q6k9/view</t>
        </is>
      </c>
      <c r="AQ2158">
        <f>HYPERLÄNK("http://localhost:8787/api/admin/requirements/documents/cmm4yunf100mbcuqwnj91q6k9/view";"Öppna PDF")</f>
        <v/>
      </c>
      <c r="AR2158">
        <f>HYPERLINK("http://localhost:8787/api/admin/requirements/documents/cmm4yunf100mbcuqwnj91q6k9/view","Open PDF")</f>
        <v/>
      </c>
      <c r="AS2158" t="inlineStr">
        <is>
          <t>cmm55w57p0004cuisfrtpqly8</t>
        </is>
      </c>
      <c r="AT2158" t="inlineStr">
        <is>
          <t>cmm4xvu980000cuh4vj0usz09</t>
        </is>
      </c>
      <c r="AU2158" t="inlineStr"/>
      <c r="AV2158" t="inlineStr">
        <is>
          <t>Kommun</t>
        </is>
      </c>
      <c r="AW2158" t="inlineStr"/>
      <c r="AX2158" t="inlineStr">
        <is>
          <t>2026-02</t>
        </is>
      </c>
      <c r="AY2158" t="inlineStr">
        <is>
          <t>Beslut</t>
        </is>
      </c>
      <c r="AZ2158" t="inlineStr">
        <is>
          <t>2026-02-03</t>
        </is>
      </c>
      <c r="BA2158" t="inlineStr">
        <is>
          <t>MIL20252496pdf_976448.pdf</t>
        </is>
      </c>
      <c r="BB2158" t="inlineStr">
        <is>
          <t>Begäran om allmän handling i ärende  MIL.2026.363</t>
        </is>
      </c>
      <c r="BC2158" t="inlineStr">
        <is>
          <t>AUTO</t>
        </is>
      </c>
      <c r="BD2158" t="inlineStr"/>
      <c r="BE2158" t="inlineStr"/>
      <c r="BF2158" t="inlineStr">
        <is>
          <t>AUTO_GENERERAD. Bekrafta metadata mot kallfil.</t>
        </is>
      </c>
      <c r="BG2158">
        <f>HYPERLINK("C:\Users\jimmy\Desktop\Examens arbete\Kod\Ny mapp\remix_-copy-of-miljöbeslut.se-portal\MIL20252496pdf_976448.pdf", "Öppna PDF")</f>
        <v/>
      </c>
    </row>
    <row r="2159">
      <c r="A2159" t="inlineStr">
        <is>
          <t>KRAV-AUTO-002158</t>
        </is>
      </c>
      <c r="B2159" t="inlineStr">
        <is>
          <t>ADMIN-INDEX-2026-02-27-00000000125C043F57453246863FE664CAFE6A3F0700950291EA24F0614FB6ACEDB12BF0E31D00000000010C0000950291EA24F0614FB6ACEDB12BF0E31D00002087B19F0000</t>
        </is>
      </c>
      <c r="C2159" t="inlineStr">
        <is>
          <t>cmm4yuneu00m5cuqwiblbfpdo</t>
        </is>
      </c>
      <c r="D2159" t="inlineStr">
        <is>
          <t>http://localhost:8787/api/admin/requirements/documents/cmm4yuneu00m5cuqwiblbfpdo/view</t>
        </is>
      </c>
      <c r="E2159">
        <f>HYPERLÄNK("http://localhost:8787/api/admin/requirements/documents/cmm4yuneu00m5cuqwiblbfpdo/view";"Öppna PDF")</f>
        <v/>
      </c>
      <c r="F2159">
        <f>HYPERLINK("http://localhost:8787/api/admin/requirements/documents/cmm4yuneu00m5cuqwiblbfpdo/view","Open PDF")</f>
        <v/>
      </c>
      <c r="G2159" t="inlineStr">
        <is>
          <t>cmm55w57p0004cuisfrtpqly8</t>
        </is>
      </c>
      <c r="H2159" t="inlineStr">
        <is>
          <t>Beslutsvillkor</t>
        </is>
      </c>
      <c r="I2159" t="inlineStr">
        <is>
          <t>Riskhantering</t>
        </is>
      </c>
      <c r="J2159" t="inlineStr">
        <is>
          <t>Riskkontroll</t>
        </is>
      </c>
      <c r="K2159" t="inlineStr">
        <is>
          <t>Täckning ska med hänsyn till risk för luktolägenhet göras i snar anslutning till uppläggning.</t>
        </is>
      </c>
      <c r="L2159" t="inlineStr">
        <is>
          <t>Täckning ska med hänsyn till risk för luktolägenhet göras i snar anslutning till uppläggning.</t>
        </is>
      </c>
      <c r="M2159" t="inlineStr">
        <is>
          <t>SKA</t>
        </is>
      </c>
      <c r="N2159" t="inlineStr"/>
      <c r="O2159" t="inlineStr"/>
      <c r="P2159" t="inlineStr"/>
      <c r="Q2159" t="inlineStr"/>
      <c r="R2159" t="inlineStr">
        <is>
          <t>Vid risk for incident</t>
        </is>
      </c>
      <c r="S2159" t="inlineStr"/>
      <c r="T2159" t="inlineStr">
        <is>
          <t>962727</t>
        </is>
      </c>
      <c r="U2159" t="inlineStr"/>
      <c r="V2159" t="inlineStr"/>
      <c r="W2159" t="inlineStr">
        <is>
          <t>Nej</t>
        </is>
      </c>
      <c r="X2159" t="inlineStr">
        <is>
          <t>Nej</t>
        </is>
      </c>
      <c r="Y2159" t="inlineStr">
        <is>
          <t>Ja</t>
        </is>
      </c>
      <c r="Z2159" t="inlineStr">
        <is>
          <t>Ja</t>
        </is>
      </c>
      <c r="AA2159" t="n">
        <v>8</v>
      </c>
      <c r="AB2159" t="inlineStr">
        <is>
          <t>Riskhantering</t>
        </is>
      </c>
      <c r="AC2159" t="inlineStr">
        <is>
          <t>Risk-PM</t>
        </is>
      </c>
      <c r="AD2159" t="inlineStr">
        <is>
          <t>Nej</t>
        </is>
      </c>
      <c r="AE2159" t="inlineStr">
        <is>
          <t>Nej</t>
        </is>
      </c>
      <c r="AF2159" t="inlineStr">
        <is>
          <t>Ej behandlad</t>
        </is>
      </c>
      <c r="AG2159" t="inlineStr">
        <is>
          <t>AUTO_GENERERAD. Verifiera citat mot kallfil.</t>
        </is>
      </c>
      <c r="AH2159" t="inlineStr">
        <is>
          <t>MEDIUM</t>
        </is>
      </c>
      <c r="AI2159" t="inlineStr">
        <is>
          <t>AUTO</t>
        </is>
      </c>
      <c r="AJ2159" t="inlineStr">
        <is>
          <t>Nej</t>
        </is>
      </c>
      <c r="AK2159" t="inlineStr"/>
      <c r="AL2159" t="inlineStr"/>
      <c r="AM2159" t="inlineStr"/>
      <c r="AN2159" t="inlineStr"/>
      <c r="AO2159" t="inlineStr">
        <is>
          <t>cmm4yunf100mbcuqwnj91q6k9</t>
        </is>
      </c>
      <c r="AP2159" t="inlineStr">
        <is>
          <t>http://localhost:8787/api/admin/requirements/documents/cmm4yunf100mbcuqwnj91q6k9/view</t>
        </is>
      </c>
      <c r="AQ2159">
        <f>HYPERLÄNK("http://localhost:8787/api/admin/requirements/documents/cmm4yunf100mbcuqwnj91q6k9/view";"Öppna PDF")</f>
        <v/>
      </c>
      <c r="AR2159">
        <f>HYPERLINK("http://localhost:8787/api/admin/requirements/documents/cmm4yunf100mbcuqwnj91q6k9/view","Open PDF")</f>
        <v/>
      </c>
      <c r="AS2159" t="inlineStr">
        <is>
          <t>cmm55w57p0004cuisfrtpqly8</t>
        </is>
      </c>
      <c r="AT2159" t="inlineStr">
        <is>
          <t>cmm4xvu980000cuh4vj0usz09</t>
        </is>
      </c>
      <c r="AU2159" t="inlineStr"/>
      <c r="AV2159" t="inlineStr">
        <is>
          <t>Kommun</t>
        </is>
      </c>
      <c r="AW2159" t="inlineStr"/>
      <c r="AX2159" t="inlineStr">
        <is>
          <t>2026-02</t>
        </is>
      </c>
      <c r="AY2159" t="inlineStr">
        <is>
          <t>Beslut</t>
        </is>
      </c>
      <c r="AZ2159" t="inlineStr">
        <is>
          <t>2026-02-03</t>
        </is>
      </c>
      <c r="BA2159" t="inlineStr">
        <is>
          <t>MIL20252496pdf_976448.pdf</t>
        </is>
      </c>
      <c r="BB2159" t="inlineStr">
        <is>
          <t>Begäran om allmän handling i ärende  MIL.2026.363</t>
        </is>
      </c>
      <c r="BC2159" t="inlineStr">
        <is>
          <t>AUTO</t>
        </is>
      </c>
      <c r="BD2159" t="inlineStr"/>
      <c r="BE2159" t="inlineStr"/>
      <c r="BF2159" t="inlineStr">
        <is>
          <t>AUTO_GENERERAD. Bekrafta metadata mot kallfil.</t>
        </is>
      </c>
      <c r="BG2159">
        <f>HYPERLINK("C:\Users\jimmy\Desktop\Examens arbete\Kod\Ny mapp\remix_-copy-of-miljöbeslut.se-portal\MIL20252496pdf_976448.pdf", "Öppna PDF")</f>
        <v/>
      </c>
    </row>
    <row r="2160">
      <c r="A2160" t="inlineStr">
        <is>
          <t>KRAV-AUTO-002159</t>
        </is>
      </c>
      <c r="B2160" t="inlineStr">
        <is>
          <t>ADMIN-INDEX-2026-02-27-00000000125C043F57453246863FE664CAFE6A3F0700950291EA24F0614FB6ACEDB12BF0E31D00000000010C0000950291EA24F0614FB6ACEDB12BF0E31D00002087B19F0000</t>
        </is>
      </c>
      <c r="C2160" t="inlineStr">
        <is>
          <t>cmm4yuner00m2cuqwh9mjdnzs</t>
        </is>
      </c>
      <c r="D2160" t="inlineStr">
        <is>
          <t>http://localhost:8787/api/admin/requirements/documents/cmm4yuner00m2cuqwh9mjdnzs/view</t>
        </is>
      </c>
      <c r="E2160">
        <f>HYPERLÄNK("http://localhost:8787/api/admin/requirements/documents/cmm4yuner00m2cuqwh9mjdnzs/view";"Öppna PDF")</f>
        <v/>
      </c>
      <c r="F2160">
        <f>HYPERLINK("http://localhost:8787/api/admin/requirements/documents/cmm4yuner00m2cuqwh9mjdnzs/view","Open PDF")</f>
        <v/>
      </c>
      <c r="G2160" t="inlineStr">
        <is>
          <t>cmm55w57p0004cuisfrtpqly8</t>
        </is>
      </c>
      <c r="H2160" t="inlineStr">
        <is>
          <t>Beslutsvillkor</t>
        </is>
      </c>
      <c r="I2160" t="inlineStr">
        <is>
          <t>DagvattenLakvatten</t>
        </is>
      </c>
      <c r="J2160" t="inlineStr">
        <is>
          <t>Uppsamling</t>
        </is>
      </c>
      <c r="K2160" t="inlineStr">
        <is>
          <t>Lagringen ska ske så att risken för uppkomst av lakvatten från rötslammet minimeras.</t>
        </is>
      </c>
      <c r="L2160" t="inlineStr">
        <is>
          <t>Lagringen ska ske så att risken för uppkomst av lakvatten från rötslammet minimeras.</t>
        </is>
      </c>
      <c r="M2160" t="inlineStr">
        <is>
          <t>SKA</t>
        </is>
      </c>
      <c r="N2160" t="inlineStr"/>
      <c r="O2160" t="inlineStr"/>
      <c r="P2160" t="inlineStr"/>
      <c r="Q2160" t="inlineStr"/>
      <c r="R2160" t="inlineStr">
        <is>
          <t>Vid nederbord och avrinning</t>
        </is>
      </c>
      <c r="S2160" t="inlineStr"/>
      <c r="T2160" t="inlineStr">
        <is>
          <t>961620</t>
        </is>
      </c>
      <c r="U2160" t="inlineStr"/>
      <c r="V2160" t="inlineStr"/>
      <c r="W2160" t="inlineStr">
        <is>
          <t>Nej</t>
        </is>
      </c>
      <c r="X2160" t="inlineStr">
        <is>
          <t>Ja</t>
        </is>
      </c>
      <c r="Y2160" t="inlineStr">
        <is>
          <t>Ja</t>
        </is>
      </c>
      <c r="Z2160" t="inlineStr">
        <is>
          <t>Nej</t>
        </is>
      </c>
      <c r="AA2160" t="n">
        <v>6</v>
      </c>
      <c r="AB2160" t="inlineStr">
        <is>
          <t>Lakvattenhantering</t>
        </is>
      </c>
      <c r="AC2160" t="inlineStr">
        <is>
          <t>Flodesschema dagvatten-lakvatten</t>
        </is>
      </c>
      <c r="AD2160" t="inlineStr">
        <is>
          <t>Nej</t>
        </is>
      </c>
      <c r="AE2160" t="inlineStr">
        <is>
          <t>Nej</t>
        </is>
      </c>
      <c r="AF2160" t="inlineStr">
        <is>
          <t>Ej behandlad</t>
        </is>
      </c>
      <c r="AG2160" t="inlineStr">
        <is>
          <t>AUTO_GENERERAD. Verifiera citat mot kallfil.</t>
        </is>
      </c>
      <c r="AH2160" t="inlineStr">
        <is>
          <t>MEDIUM</t>
        </is>
      </c>
      <c r="AI2160" t="inlineStr">
        <is>
          <t>AUTO</t>
        </is>
      </c>
      <c r="AJ2160" t="inlineStr">
        <is>
          <t>Nej</t>
        </is>
      </c>
      <c r="AK2160" t="inlineStr"/>
      <c r="AL2160" t="inlineStr"/>
      <c r="AM2160" t="inlineStr"/>
      <c r="AN2160" t="inlineStr"/>
      <c r="AO2160" t="inlineStr">
        <is>
          <t>cmm4yunf100mbcuqwnj91q6k9</t>
        </is>
      </c>
      <c r="AP2160" t="inlineStr">
        <is>
          <t>http://localhost:8787/api/admin/requirements/documents/cmm4yunf100mbcuqwnj91q6k9/view</t>
        </is>
      </c>
      <c r="AQ2160">
        <f>HYPERLÄNK("http://localhost:8787/api/admin/requirements/documents/cmm4yunf100mbcuqwnj91q6k9/view";"Öppna PDF")</f>
        <v/>
      </c>
      <c r="AR2160">
        <f>HYPERLINK("http://localhost:8787/api/admin/requirements/documents/cmm4yunf100mbcuqwnj91q6k9/view","Open PDF")</f>
        <v/>
      </c>
      <c r="AS2160" t="inlineStr">
        <is>
          <t>cmm55w57p0004cuisfrtpqly8</t>
        </is>
      </c>
      <c r="AT2160" t="inlineStr">
        <is>
          <t>cmm4xvu980000cuh4vj0usz09</t>
        </is>
      </c>
      <c r="AU2160" t="inlineStr"/>
      <c r="AV2160" t="inlineStr">
        <is>
          <t>Kommun</t>
        </is>
      </c>
      <c r="AW2160" t="inlineStr"/>
      <c r="AX2160" t="inlineStr">
        <is>
          <t>2026-02</t>
        </is>
      </c>
      <c r="AY2160" t="inlineStr">
        <is>
          <t>Beslut</t>
        </is>
      </c>
      <c r="AZ2160" t="inlineStr">
        <is>
          <t>2026-02-03</t>
        </is>
      </c>
      <c r="BA2160" t="inlineStr">
        <is>
          <t>MIL20252496pdf_976448.pdf</t>
        </is>
      </c>
      <c r="BB2160" t="inlineStr">
        <is>
          <t>Begäran om allmän handling i ärende  MIL.2026.363</t>
        </is>
      </c>
      <c r="BC2160" t="inlineStr">
        <is>
          <t>AUTO</t>
        </is>
      </c>
      <c r="BD2160" t="inlineStr"/>
      <c r="BE2160" t="inlineStr"/>
      <c r="BF2160" t="inlineStr">
        <is>
          <t>AUTO_GENERERAD. Bekrafta metadata mot kallfil.</t>
        </is>
      </c>
      <c r="BG2160">
        <f>HYPERLINK("C:\Users\jimmy\Desktop\Examens arbete\Kod\Ny mapp\remix_-copy-of-miljöbeslut.se-portal\MIL20252496pdf_976448.pdf", "Öppna PDF")</f>
        <v/>
      </c>
    </row>
    <row r="2161">
      <c r="A2161" t="inlineStr">
        <is>
          <t>KRAV-AUTO-002160</t>
        </is>
      </c>
      <c r="B2161" t="inlineStr">
        <is>
          <t>ADMIN-INDEX-2026-02-27-00000000125C043F57453246863FE664CAFE6A3F0700950291EA24F0614FB6ACEDB12BF0E31D00000000010C0000950291EA24F0614FB6ACEDB12BF0E31D00002087B19F0000</t>
        </is>
      </c>
      <c r="C2161" t="inlineStr">
        <is>
          <t>cmm4yuner00m2cuqwh9mjdnzs</t>
        </is>
      </c>
      <c r="D2161" t="inlineStr">
        <is>
          <t>http://localhost:8787/api/admin/requirements/documents/cmm4yuner00m2cuqwh9mjdnzs/view</t>
        </is>
      </c>
      <c r="E2161">
        <f>HYPERLÄNK("http://localhost:8787/api/admin/requirements/documents/cmm4yuner00m2cuqwh9mjdnzs/view";"Öppna PDF")</f>
        <v/>
      </c>
      <c r="F2161">
        <f>HYPERLINK("http://localhost:8787/api/admin/requirements/documents/cmm4yuner00m2cuqwh9mjdnzs/view","Open PDF")</f>
        <v/>
      </c>
      <c r="G2161" t="inlineStr">
        <is>
          <t>cmm55w57p0004cuisfrtpqly8</t>
        </is>
      </c>
      <c r="H2161" t="inlineStr">
        <is>
          <t>Beslutsvillkor</t>
        </is>
      </c>
      <c r="I2161" t="inlineStr">
        <is>
          <t>DriftEgenkontroll</t>
        </is>
      </c>
      <c r="J2161" t="inlineStr">
        <is>
          <t>Journalforing</t>
        </is>
      </c>
      <c r="K2161" t="inlineStr">
        <is>
          <t>Jordprovtagningskarta bifogas.</t>
        </is>
      </c>
      <c r="L2161" t="inlineStr">
        <is>
          <t>Jordprovtagningskarta bifogas.</t>
        </is>
      </c>
      <c r="M2161" t="inlineStr">
        <is>
          <t>SKA</t>
        </is>
      </c>
      <c r="N2161" t="inlineStr"/>
      <c r="O2161" t="inlineStr"/>
      <c r="P2161" t="inlineStr"/>
      <c r="Q2161" t="inlineStr"/>
      <c r="R2161" t="inlineStr">
        <is>
          <t>Lopande drift</t>
        </is>
      </c>
      <c r="S2161" t="inlineStr"/>
      <c r="T2161" t="inlineStr">
        <is>
          <t>961620</t>
        </is>
      </c>
      <c r="U2161" t="inlineStr"/>
      <c r="V2161" t="inlineStr"/>
      <c r="W2161" t="inlineStr">
        <is>
          <t>Nej</t>
        </is>
      </c>
      <c r="X2161" t="inlineStr">
        <is>
          <t>Nej</t>
        </is>
      </c>
      <c r="Y2161" t="inlineStr">
        <is>
          <t>Ja</t>
        </is>
      </c>
      <c r="Z2161" t="inlineStr">
        <is>
          <t>Nej</t>
        </is>
      </c>
      <c r="AA2161" t="n">
        <v>7</v>
      </c>
      <c r="AB2161" t="inlineStr">
        <is>
          <t>Egenkontrollrutiner</t>
        </is>
      </c>
      <c r="AC2161" t="inlineStr">
        <is>
          <t>Egenkontrollprogram</t>
        </is>
      </c>
      <c r="AD2161" t="inlineStr">
        <is>
          <t>Nej</t>
        </is>
      </c>
      <c r="AE2161" t="inlineStr">
        <is>
          <t>Nej</t>
        </is>
      </c>
      <c r="AF2161" t="inlineStr">
        <is>
          <t>Ej behandlad</t>
        </is>
      </c>
      <c r="AG2161" t="inlineStr">
        <is>
          <t>AUTO_GENERERAD. Verifiera citat mot kallfil.</t>
        </is>
      </c>
      <c r="AH2161" t="inlineStr">
        <is>
          <t>LOW</t>
        </is>
      </c>
      <c r="AI2161" t="inlineStr">
        <is>
          <t>AUTO</t>
        </is>
      </c>
      <c r="AJ2161" t="inlineStr">
        <is>
          <t>Nej</t>
        </is>
      </c>
      <c r="AK2161" t="inlineStr"/>
      <c r="AL2161" t="inlineStr"/>
      <c r="AM2161" t="inlineStr"/>
      <c r="AN2161" t="inlineStr"/>
      <c r="AO2161" t="inlineStr">
        <is>
          <t>cmm4yunf100mbcuqwnj91q6k9</t>
        </is>
      </c>
      <c r="AP2161" t="inlineStr">
        <is>
          <t>http://localhost:8787/api/admin/requirements/documents/cmm4yunf100mbcuqwnj91q6k9/view</t>
        </is>
      </c>
      <c r="AQ2161">
        <f>HYPERLÄNK("http://localhost:8787/api/admin/requirements/documents/cmm4yunf100mbcuqwnj91q6k9/view";"Öppna PDF")</f>
        <v/>
      </c>
      <c r="AR2161">
        <f>HYPERLINK("http://localhost:8787/api/admin/requirements/documents/cmm4yunf100mbcuqwnj91q6k9/view","Open PDF")</f>
        <v/>
      </c>
      <c r="AS2161" t="inlineStr">
        <is>
          <t>cmm55w57p0004cuisfrtpqly8</t>
        </is>
      </c>
      <c r="AT2161" t="inlineStr">
        <is>
          <t>cmm4xvu980000cuh4vj0usz09</t>
        </is>
      </c>
      <c r="AU2161" t="inlineStr"/>
      <c r="AV2161" t="inlineStr">
        <is>
          <t>Kommun</t>
        </is>
      </c>
      <c r="AW2161" t="inlineStr"/>
      <c r="AX2161" t="inlineStr">
        <is>
          <t>2026-02</t>
        </is>
      </c>
      <c r="AY2161" t="inlineStr">
        <is>
          <t>Beslut</t>
        </is>
      </c>
      <c r="AZ2161" t="inlineStr">
        <is>
          <t>2026-02-03</t>
        </is>
      </c>
      <c r="BA2161" t="inlineStr">
        <is>
          <t>MIL20252496pdf_976448.pdf</t>
        </is>
      </c>
      <c r="BB2161" t="inlineStr">
        <is>
          <t>Begäran om allmän handling i ärende  MIL.2026.363</t>
        </is>
      </c>
      <c r="BC2161" t="inlineStr">
        <is>
          <t>AUTO</t>
        </is>
      </c>
      <c r="BD2161" t="inlineStr"/>
      <c r="BE2161" t="inlineStr"/>
      <c r="BF2161" t="inlineStr">
        <is>
          <t>AUTO_GENERERAD. Bekrafta metadata mot kallfil.</t>
        </is>
      </c>
      <c r="BG2161">
        <f>HYPERLINK("C:\Users\jimmy\Desktop\Examens arbete\Kod\Ny mapp\remix_-copy-of-miljöbeslut.se-portal\MIL20252496pdf_976448.pdf", "Öppna PDF")</f>
        <v/>
      </c>
    </row>
    <row r="2162">
      <c r="A2162" t="inlineStr">
        <is>
          <t>KRAV-AUTO-002161</t>
        </is>
      </c>
      <c r="B2162" t="inlineStr">
        <is>
          <t>ADMIN-INDEX-2026-02-27-00000000125C043F57453246863FE664CAFE6A3F0700950291EA24F0614FB6ACEDB12BF0E31D00000000010C0000950291EA24F0614FB6ACEDB12BF0E31D00002087B19F0000</t>
        </is>
      </c>
      <c r="C2162" t="inlineStr">
        <is>
          <t>cmm4yuner00m2cuqwh9mjdnzs</t>
        </is>
      </c>
      <c r="D2162" t="inlineStr">
        <is>
          <t>http://localhost:8787/api/admin/requirements/documents/cmm4yuner00m2cuqwh9mjdnzs/view</t>
        </is>
      </c>
      <c r="E2162">
        <f>HYPERLÄNK("http://localhost:8787/api/admin/requirements/documents/cmm4yuner00m2cuqwh9mjdnzs/view";"Öppna PDF")</f>
        <v/>
      </c>
      <c r="F2162">
        <f>HYPERLINK("http://localhost:8787/api/admin/requirements/documents/cmm4yuner00m2cuqwh9mjdnzs/view","Open PDF")</f>
        <v/>
      </c>
      <c r="G2162" t="inlineStr">
        <is>
          <t>cmm55w57p0004cuisfrtpqly8</t>
        </is>
      </c>
      <c r="H2162" t="inlineStr">
        <is>
          <t>Beslutsvillkor</t>
        </is>
      </c>
      <c r="I2162" t="inlineStr">
        <is>
          <t>Riskhantering</t>
        </is>
      </c>
      <c r="J2162" t="inlineStr">
        <is>
          <t>Riskkontroll</t>
        </is>
      </c>
      <c r="K2162" t="inlineStr">
        <is>
          <t>Täckning ska med hänsyn till risk för luktolägenhet göras i snar anslutning till uppläggning.</t>
        </is>
      </c>
      <c r="L2162" t="inlineStr">
        <is>
          <t>Täckning ska med hänsyn till risk för luktolägenhet göras i snar anslutning till uppläggning.</t>
        </is>
      </c>
      <c r="M2162" t="inlineStr">
        <is>
          <t>SKA</t>
        </is>
      </c>
      <c r="N2162" t="inlineStr"/>
      <c r="O2162" t="inlineStr"/>
      <c r="P2162" t="inlineStr"/>
      <c r="Q2162" t="inlineStr"/>
      <c r="R2162" t="inlineStr">
        <is>
          <t>Vid risk for incident</t>
        </is>
      </c>
      <c r="S2162" t="inlineStr"/>
      <c r="T2162" t="inlineStr">
        <is>
          <t>961620</t>
        </is>
      </c>
      <c r="U2162" t="inlineStr"/>
      <c r="V2162" t="inlineStr"/>
      <c r="W2162" t="inlineStr">
        <is>
          <t>Nej</t>
        </is>
      </c>
      <c r="X2162" t="inlineStr">
        <is>
          <t>Nej</t>
        </is>
      </c>
      <c r="Y2162" t="inlineStr">
        <is>
          <t>Ja</t>
        </is>
      </c>
      <c r="Z2162" t="inlineStr">
        <is>
          <t>Ja</t>
        </is>
      </c>
      <c r="AA2162" t="n">
        <v>8</v>
      </c>
      <c r="AB2162" t="inlineStr">
        <is>
          <t>Riskhantering</t>
        </is>
      </c>
      <c r="AC2162" t="inlineStr">
        <is>
          <t>Risk-PM</t>
        </is>
      </c>
      <c r="AD2162" t="inlineStr">
        <is>
          <t>Nej</t>
        </is>
      </c>
      <c r="AE2162" t="inlineStr">
        <is>
          <t>Nej</t>
        </is>
      </c>
      <c r="AF2162" t="inlineStr">
        <is>
          <t>Ej behandlad</t>
        </is>
      </c>
      <c r="AG2162" t="inlineStr">
        <is>
          <t>AUTO_GENERERAD. Verifiera citat mot kallfil.</t>
        </is>
      </c>
      <c r="AH2162" t="inlineStr">
        <is>
          <t>MEDIUM</t>
        </is>
      </c>
      <c r="AI2162" t="inlineStr">
        <is>
          <t>AUTO</t>
        </is>
      </c>
      <c r="AJ2162" t="inlineStr">
        <is>
          <t>Nej</t>
        </is>
      </c>
      <c r="AK2162" t="inlineStr"/>
      <c r="AL2162" t="inlineStr"/>
      <c r="AM2162" t="inlineStr"/>
      <c r="AN2162" t="inlineStr"/>
      <c r="AO2162" t="inlineStr">
        <is>
          <t>cmm4yunf100mbcuqwnj91q6k9</t>
        </is>
      </c>
      <c r="AP2162" t="inlineStr">
        <is>
          <t>http://localhost:8787/api/admin/requirements/documents/cmm4yunf100mbcuqwnj91q6k9/view</t>
        </is>
      </c>
      <c r="AQ2162">
        <f>HYPERLÄNK("http://localhost:8787/api/admin/requirements/documents/cmm4yunf100mbcuqwnj91q6k9/view";"Öppna PDF")</f>
        <v/>
      </c>
      <c r="AR2162">
        <f>HYPERLINK("http://localhost:8787/api/admin/requirements/documents/cmm4yunf100mbcuqwnj91q6k9/view","Open PDF")</f>
        <v/>
      </c>
      <c r="AS2162" t="inlineStr">
        <is>
          <t>cmm55w57p0004cuisfrtpqly8</t>
        </is>
      </c>
      <c r="AT2162" t="inlineStr">
        <is>
          <t>cmm4xvu980000cuh4vj0usz09</t>
        </is>
      </c>
      <c r="AU2162" t="inlineStr"/>
      <c r="AV2162" t="inlineStr">
        <is>
          <t>Kommun</t>
        </is>
      </c>
      <c r="AW2162" t="inlineStr"/>
      <c r="AX2162" t="inlineStr">
        <is>
          <t>2026-02</t>
        </is>
      </c>
      <c r="AY2162" t="inlineStr">
        <is>
          <t>Beslut</t>
        </is>
      </c>
      <c r="AZ2162" t="inlineStr">
        <is>
          <t>2026-02-03</t>
        </is>
      </c>
      <c r="BA2162" t="inlineStr">
        <is>
          <t>MIL20252496pdf_976448.pdf</t>
        </is>
      </c>
      <c r="BB2162" t="inlineStr">
        <is>
          <t>Begäran om allmän handling i ärende  MIL.2026.363</t>
        </is>
      </c>
      <c r="BC2162" t="inlineStr">
        <is>
          <t>AUTO</t>
        </is>
      </c>
      <c r="BD2162" t="inlineStr"/>
      <c r="BE2162" t="inlineStr"/>
      <c r="BF2162" t="inlineStr">
        <is>
          <t>AUTO_GENERERAD. Bekrafta metadata mot kallfil.</t>
        </is>
      </c>
      <c r="BG2162">
        <f>HYPERLINK("C:\Users\jimmy\Desktop\Examens arbete\Kod\Ny mapp\remix_-copy-of-miljöbeslut.se-portal\MIL20252496pdf_976448.pdf", "Öppna PDF")</f>
        <v/>
      </c>
    </row>
    <row r="2163">
      <c r="A2163" t="inlineStr">
        <is>
          <t>KRAV-AUTO-002162</t>
        </is>
      </c>
      <c r="B2163" t="inlineStr">
        <is>
          <t>ADMIN-INDEX-2026-02-27-00000000125C043F57453246863FE664CAFE6A3F0700950291EA24F0614FB6ACEDB12BF0E31D00000000010C0000950291EA24F0614FB6ACEDB12BF0E31D00002087B19F0000</t>
        </is>
      </c>
      <c r="C2163" t="inlineStr">
        <is>
          <t>cmm4yunen00lzcuqw1rk6suyg</t>
        </is>
      </c>
      <c r="D2163" t="inlineStr">
        <is>
          <t>http://localhost:8787/api/admin/requirements/documents/cmm4yunen00lzcuqw1rk6suyg/view</t>
        </is>
      </c>
      <c r="E2163">
        <f>HYPERLÄNK("http://localhost:8787/api/admin/requirements/documents/cmm4yunen00lzcuqw1rk6suyg/view";"Öppna PDF")</f>
        <v/>
      </c>
      <c r="F2163">
        <f>HYPERLINK("http://localhost:8787/api/admin/requirements/documents/cmm4yunen00lzcuqw1rk6suyg/view","Open PDF")</f>
        <v/>
      </c>
      <c r="G2163" t="inlineStr">
        <is>
          <t>cmm55w57p0004cuisfrtpqly8</t>
        </is>
      </c>
      <c r="H2163" t="inlineStr">
        <is>
          <t>Beslutsvillkor</t>
        </is>
      </c>
      <c r="I2163" t="inlineStr">
        <is>
          <t>DagvattenLakvatten</t>
        </is>
      </c>
      <c r="J2163" t="inlineStr">
        <is>
          <t>Uppsamling</t>
        </is>
      </c>
      <c r="K2163" t="inlineStr">
        <is>
          <t>Lagringen ska ske så att risken för uppkomst av lakvatten från rötslammet minimeras.</t>
        </is>
      </c>
      <c r="L2163" t="inlineStr">
        <is>
          <t>Lagringen ska ske så att risken för uppkomst av lakvatten från rötslammet minimeras.</t>
        </is>
      </c>
      <c r="M2163" t="inlineStr">
        <is>
          <t>SKA</t>
        </is>
      </c>
      <c r="N2163" t="inlineStr"/>
      <c r="O2163" t="inlineStr"/>
      <c r="P2163" t="inlineStr"/>
      <c r="Q2163" t="inlineStr"/>
      <c r="R2163" t="inlineStr">
        <is>
          <t>Vid nederbord och avrinning</t>
        </is>
      </c>
      <c r="S2163" t="inlineStr"/>
      <c r="T2163" t="inlineStr">
        <is>
          <t>962913</t>
        </is>
      </c>
      <c r="U2163" t="inlineStr"/>
      <c r="V2163" t="inlineStr"/>
      <c r="W2163" t="inlineStr">
        <is>
          <t>Nej</t>
        </is>
      </c>
      <c r="X2163" t="inlineStr">
        <is>
          <t>Ja</t>
        </is>
      </c>
      <c r="Y2163" t="inlineStr">
        <is>
          <t>Ja</t>
        </is>
      </c>
      <c r="Z2163" t="inlineStr">
        <is>
          <t>Nej</t>
        </is>
      </c>
      <c r="AA2163" t="n">
        <v>6</v>
      </c>
      <c r="AB2163" t="inlineStr">
        <is>
          <t>Lakvattenhantering</t>
        </is>
      </c>
      <c r="AC2163" t="inlineStr">
        <is>
          <t>Flodesschema dagvatten-lakvatten</t>
        </is>
      </c>
      <c r="AD2163" t="inlineStr">
        <is>
          <t>Nej</t>
        </is>
      </c>
      <c r="AE2163" t="inlineStr">
        <is>
          <t>Nej</t>
        </is>
      </c>
      <c r="AF2163" t="inlineStr">
        <is>
          <t>Ej behandlad</t>
        </is>
      </c>
      <c r="AG2163" t="inlineStr">
        <is>
          <t>AUTO_GENERERAD. Verifiera citat mot kallfil.</t>
        </is>
      </c>
      <c r="AH2163" t="inlineStr">
        <is>
          <t>MEDIUM</t>
        </is>
      </c>
      <c r="AI2163" t="inlineStr">
        <is>
          <t>AUTO</t>
        </is>
      </c>
      <c r="AJ2163" t="inlineStr">
        <is>
          <t>Nej</t>
        </is>
      </c>
      <c r="AK2163" t="inlineStr"/>
      <c r="AL2163" t="inlineStr"/>
      <c r="AM2163" t="inlineStr"/>
      <c r="AN2163" t="inlineStr"/>
      <c r="AO2163" t="inlineStr">
        <is>
          <t>cmm4yunf100mbcuqwnj91q6k9</t>
        </is>
      </c>
      <c r="AP2163" t="inlineStr">
        <is>
          <t>http://localhost:8787/api/admin/requirements/documents/cmm4yunf100mbcuqwnj91q6k9/view</t>
        </is>
      </c>
      <c r="AQ2163">
        <f>HYPERLÄNK("http://localhost:8787/api/admin/requirements/documents/cmm4yunf100mbcuqwnj91q6k9/view";"Öppna PDF")</f>
        <v/>
      </c>
      <c r="AR2163">
        <f>HYPERLINK("http://localhost:8787/api/admin/requirements/documents/cmm4yunf100mbcuqwnj91q6k9/view","Open PDF")</f>
        <v/>
      </c>
      <c r="AS2163" t="inlineStr">
        <is>
          <t>cmm55w57p0004cuisfrtpqly8</t>
        </is>
      </c>
      <c r="AT2163" t="inlineStr">
        <is>
          <t>cmm4xvu980000cuh4vj0usz09</t>
        </is>
      </c>
      <c r="AU2163" t="inlineStr"/>
      <c r="AV2163" t="inlineStr">
        <is>
          <t>Kommun</t>
        </is>
      </c>
      <c r="AW2163" t="inlineStr"/>
      <c r="AX2163" t="inlineStr">
        <is>
          <t>2026-02</t>
        </is>
      </c>
      <c r="AY2163" t="inlineStr">
        <is>
          <t>Beslut</t>
        </is>
      </c>
      <c r="AZ2163" t="inlineStr">
        <is>
          <t>2026-02-03</t>
        </is>
      </c>
      <c r="BA2163" t="inlineStr">
        <is>
          <t>MIL20252496pdf_976448.pdf</t>
        </is>
      </c>
      <c r="BB2163" t="inlineStr">
        <is>
          <t>Begäran om allmän handling i ärende  MIL.2026.363</t>
        </is>
      </c>
      <c r="BC2163" t="inlineStr">
        <is>
          <t>AUTO</t>
        </is>
      </c>
      <c r="BD2163" t="inlineStr"/>
      <c r="BE2163" t="inlineStr"/>
      <c r="BF2163" t="inlineStr">
        <is>
          <t>AUTO_GENERERAD. Bekrafta metadata mot kallfil.</t>
        </is>
      </c>
      <c r="BG2163">
        <f>HYPERLINK("C:\Users\jimmy\Desktop\Examens arbete\Kod\Ny mapp\remix_-copy-of-miljöbeslut.se-portal\MIL20252496pdf_976448.pdf", "Öppna PDF")</f>
        <v/>
      </c>
    </row>
    <row r="2164">
      <c r="A2164" t="inlineStr">
        <is>
          <t>KRAV-AUTO-002163</t>
        </is>
      </c>
      <c r="B2164" t="inlineStr">
        <is>
          <t>ADMIN-INDEX-2026-02-27-00000000125C043F57453246863FE664CAFE6A3F0700950291EA24F0614FB6ACEDB12BF0E31D00000000010C0000950291EA24F0614FB6ACEDB12BF0E31D00002087B19F0000</t>
        </is>
      </c>
      <c r="C2164" t="inlineStr">
        <is>
          <t>cmm4yunen00lzcuqw1rk6suyg</t>
        </is>
      </c>
      <c r="D2164" t="inlineStr">
        <is>
          <t>http://localhost:8787/api/admin/requirements/documents/cmm4yunen00lzcuqw1rk6suyg/view</t>
        </is>
      </c>
      <c r="E2164">
        <f>HYPERLÄNK("http://localhost:8787/api/admin/requirements/documents/cmm4yunen00lzcuqw1rk6suyg/view";"Öppna PDF")</f>
        <v/>
      </c>
      <c r="F2164">
        <f>HYPERLINK("http://localhost:8787/api/admin/requirements/documents/cmm4yunen00lzcuqw1rk6suyg/view","Open PDF")</f>
        <v/>
      </c>
      <c r="G2164" t="inlineStr">
        <is>
          <t>cmm55w57p0004cuisfrtpqly8</t>
        </is>
      </c>
      <c r="H2164" t="inlineStr">
        <is>
          <t>Beslutsvillkor</t>
        </is>
      </c>
      <c r="I2164" t="inlineStr">
        <is>
          <t>DriftEgenkontroll</t>
        </is>
      </c>
      <c r="J2164" t="inlineStr">
        <is>
          <t>Journalforing</t>
        </is>
      </c>
      <c r="K2164" t="inlineStr">
        <is>
          <t>Jordprovtagningskarta bifogas.</t>
        </is>
      </c>
      <c r="L2164" t="inlineStr">
        <is>
          <t>Jordprovtagningskarta bifogas.</t>
        </is>
      </c>
      <c r="M2164" t="inlineStr">
        <is>
          <t>SKA</t>
        </is>
      </c>
      <c r="N2164" t="inlineStr"/>
      <c r="O2164" t="inlineStr"/>
      <c r="P2164" t="inlineStr"/>
      <c r="Q2164" t="inlineStr"/>
      <c r="R2164" t="inlineStr">
        <is>
          <t>Lopande drift</t>
        </is>
      </c>
      <c r="S2164" t="inlineStr"/>
      <c r="T2164" t="inlineStr">
        <is>
          <t>962913</t>
        </is>
      </c>
      <c r="U2164" t="inlineStr"/>
      <c r="V2164" t="inlineStr"/>
      <c r="W2164" t="inlineStr">
        <is>
          <t>Nej</t>
        </is>
      </c>
      <c r="X2164" t="inlineStr">
        <is>
          <t>Nej</t>
        </is>
      </c>
      <c r="Y2164" t="inlineStr">
        <is>
          <t>Ja</t>
        </is>
      </c>
      <c r="Z2164" t="inlineStr">
        <is>
          <t>Nej</t>
        </is>
      </c>
      <c r="AA2164" t="n">
        <v>7</v>
      </c>
      <c r="AB2164" t="inlineStr">
        <is>
          <t>Egenkontrollrutiner</t>
        </is>
      </c>
      <c r="AC2164" t="inlineStr">
        <is>
          <t>Egenkontrollprogram</t>
        </is>
      </c>
      <c r="AD2164" t="inlineStr">
        <is>
          <t>Nej</t>
        </is>
      </c>
      <c r="AE2164" t="inlineStr">
        <is>
          <t>Nej</t>
        </is>
      </c>
      <c r="AF2164" t="inlineStr">
        <is>
          <t>Ej behandlad</t>
        </is>
      </c>
      <c r="AG2164" t="inlineStr">
        <is>
          <t>AUTO_GENERERAD. Verifiera citat mot kallfil.</t>
        </is>
      </c>
      <c r="AH2164" t="inlineStr">
        <is>
          <t>LOW</t>
        </is>
      </c>
      <c r="AI2164" t="inlineStr">
        <is>
          <t>AUTO</t>
        </is>
      </c>
      <c r="AJ2164" t="inlineStr">
        <is>
          <t>Nej</t>
        </is>
      </c>
      <c r="AK2164" t="inlineStr"/>
      <c r="AL2164" t="inlineStr"/>
      <c r="AM2164" t="inlineStr"/>
      <c r="AN2164" t="inlineStr"/>
      <c r="AO2164" t="inlineStr">
        <is>
          <t>cmm4yunf100mbcuqwnj91q6k9</t>
        </is>
      </c>
      <c r="AP2164" t="inlineStr">
        <is>
          <t>http://localhost:8787/api/admin/requirements/documents/cmm4yunf100mbcuqwnj91q6k9/view</t>
        </is>
      </c>
      <c r="AQ2164">
        <f>HYPERLÄNK("http://localhost:8787/api/admin/requirements/documents/cmm4yunf100mbcuqwnj91q6k9/view";"Öppna PDF")</f>
        <v/>
      </c>
      <c r="AR2164">
        <f>HYPERLINK("http://localhost:8787/api/admin/requirements/documents/cmm4yunf100mbcuqwnj91q6k9/view","Open PDF")</f>
        <v/>
      </c>
      <c r="AS2164" t="inlineStr">
        <is>
          <t>cmm55w57p0004cuisfrtpqly8</t>
        </is>
      </c>
      <c r="AT2164" t="inlineStr">
        <is>
          <t>cmm4xvu980000cuh4vj0usz09</t>
        </is>
      </c>
      <c r="AU2164" t="inlineStr"/>
      <c r="AV2164" t="inlineStr">
        <is>
          <t>Kommun</t>
        </is>
      </c>
      <c r="AW2164" t="inlineStr"/>
      <c r="AX2164" t="inlineStr">
        <is>
          <t>2026-02</t>
        </is>
      </c>
      <c r="AY2164" t="inlineStr">
        <is>
          <t>Beslut</t>
        </is>
      </c>
      <c r="AZ2164" t="inlineStr">
        <is>
          <t>2026-02-03</t>
        </is>
      </c>
      <c r="BA2164" t="inlineStr">
        <is>
          <t>MIL20252496pdf_976448.pdf</t>
        </is>
      </c>
      <c r="BB2164" t="inlineStr">
        <is>
          <t>Begäran om allmän handling i ärende  MIL.2026.363</t>
        </is>
      </c>
      <c r="BC2164" t="inlineStr">
        <is>
          <t>AUTO</t>
        </is>
      </c>
      <c r="BD2164" t="inlineStr"/>
      <c r="BE2164" t="inlineStr"/>
      <c r="BF2164" t="inlineStr">
        <is>
          <t>AUTO_GENERERAD. Bekrafta metadata mot kallfil.</t>
        </is>
      </c>
      <c r="BG2164">
        <f>HYPERLINK("C:\Users\jimmy\Desktop\Examens arbete\Kod\Ny mapp\remix_-copy-of-miljöbeslut.se-portal\MIL20252496pdf_976448.pdf", "Öppna PDF")</f>
        <v/>
      </c>
    </row>
    <row r="2165">
      <c r="A2165" t="inlineStr">
        <is>
          <t>KRAV-AUTO-002164</t>
        </is>
      </c>
      <c r="B2165" t="inlineStr">
        <is>
          <t>ADMIN-INDEX-2026-02-27-00000000125C043F57453246863FE664CAFE6A3F0700950291EA24F0614FB6ACEDB12BF0E31D00000000010C0000950291EA24F0614FB6ACEDB12BF0E31D00002087B19F0000</t>
        </is>
      </c>
      <c r="C2165" t="inlineStr">
        <is>
          <t>cmm4yunen00lzcuqw1rk6suyg</t>
        </is>
      </c>
      <c r="D2165" t="inlineStr">
        <is>
          <t>http://localhost:8787/api/admin/requirements/documents/cmm4yunen00lzcuqw1rk6suyg/view</t>
        </is>
      </c>
      <c r="E2165">
        <f>HYPERLÄNK("http://localhost:8787/api/admin/requirements/documents/cmm4yunen00lzcuqw1rk6suyg/view";"Öppna PDF")</f>
        <v/>
      </c>
      <c r="F2165">
        <f>HYPERLINK("http://localhost:8787/api/admin/requirements/documents/cmm4yunen00lzcuqw1rk6suyg/view","Open PDF")</f>
        <v/>
      </c>
      <c r="G2165" t="inlineStr">
        <is>
          <t>cmm55w57p0004cuisfrtpqly8</t>
        </is>
      </c>
      <c r="H2165" t="inlineStr">
        <is>
          <t>Beslutsvillkor</t>
        </is>
      </c>
      <c r="I2165" t="inlineStr">
        <is>
          <t>Riskhantering</t>
        </is>
      </c>
      <c r="J2165" t="inlineStr">
        <is>
          <t>Riskkontroll</t>
        </is>
      </c>
      <c r="K2165" t="inlineStr">
        <is>
          <t>Täckning ska med hänsyn till risk för luktolägenhet göras i snar anslutning till uppläggning.</t>
        </is>
      </c>
      <c r="L2165" t="inlineStr">
        <is>
          <t>Täckning ska med hänsyn till risk för luktolägenhet göras i snar anslutning till uppläggning.</t>
        </is>
      </c>
      <c r="M2165" t="inlineStr">
        <is>
          <t>SKA</t>
        </is>
      </c>
      <c r="N2165" t="inlineStr"/>
      <c r="O2165" t="inlineStr"/>
      <c r="P2165" t="inlineStr"/>
      <c r="Q2165" t="inlineStr"/>
      <c r="R2165" t="inlineStr">
        <is>
          <t>Vid risk for incident</t>
        </is>
      </c>
      <c r="S2165" t="inlineStr"/>
      <c r="T2165" t="inlineStr">
        <is>
          <t>962913</t>
        </is>
      </c>
      <c r="U2165" t="inlineStr"/>
      <c r="V2165" t="inlineStr"/>
      <c r="W2165" t="inlineStr">
        <is>
          <t>Nej</t>
        </is>
      </c>
      <c r="X2165" t="inlineStr">
        <is>
          <t>Nej</t>
        </is>
      </c>
      <c r="Y2165" t="inlineStr">
        <is>
          <t>Ja</t>
        </is>
      </c>
      <c r="Z2165" t="inlineStr">
        <is>
          <t>Ja</t>
        </is>
      </c>
      <c r="AA2165" t="n">
        <v>8</v>
      </c>
      <c r="AB2165" t="inlineStr">
        <is>
          <t>Riskhantering</t>
        </is>
      </c>
      <c r="AC2165" t="inlineStr">
        <is>
          <t>Risk-PM</t>
        </is>
      </c>
      <c r="AD2165" t="inlineStr">
        <is>
          <t>Nej</t>
        </is>
      </c>
      <c r="AE2165" t="inlineStr">
        <is>
          <t>Nej</t>
        </is>
      </c>
      <c r="AF2165" t="inlineStr">
        <is>
          <t>Ej behandlad</t>
        </is>
      </c>
      <c r="AG2165" t="inlineStr">
        <is>
          <t>AUTO_GENERERAD. Verifiera citat mot kallfil.</t>
        </is>
      </c>
      <c r="AH2165" t="inlineStr">
        <is>
          <t>MEDIUM</t>
        </is>
      </c>
      <c r="AI2165" t="inlineStr">
        <is>
          <t>AUTO</t>
        </is>
      </c>
      <c r="AJ2165" t="inlineStr">
        <is>
          <t>Nej</t>
        </is>
      </c>
      <c r="AK2165" t="inlineStr"/>
      <c r="AL2165" t="inlineStr"/>
      <c r="AM2165" t="inlineStr"/>
      <c r="AN2165" t="inlineStr"/>
      <c r="AO2165" t="inlineStr">
        <is>
          <t>cmm4yunf100mbcuqwnj91q6k9</t>
        </is>
      </c>
      <c r="AP2165" t="inlineStr">
        <is>
          <t>http://localhost:8787/api/admin/requirements/documents/cmm4yunf100mbcuqwnj91q6k9/view</t>
        </is>
      </c>
      <c r="AQ2165">
        <f>HYPERLÄNK("http://localhost:8787/api/admin/requirements/documents/cmm4yunf100mbcuqwnj91q6k9/view";"Öppna PDF")</f>
        <v/>
      </c>
      <c r="AR2165">
        <f>HYPERLINK("http://localhost:8787/api/admin/requirements/documents/cmm4yunf100mbcuqwnj91q6k9/view","Open PDF")</f>
        <v/>
      </c>
      <c r="AS2165" t="inlineStr">
        <is>
          <t>cmm55w57p0004cuisfrtpqly8</t>
        </is>
      </c>
      <c r="AT2165" t="inlineStr">
        <is>
          <t>cmm4xvu980000cuh4vj0usz09</t>
        </is>
      </c>
      <c r="AU2165" t="inlineStr"/>
      <c r="AV2165" t="inlineStr">
        <is>
          <t>Kommun</t>
        </is>
      </c>
      <c r="AW2165" t="inlineStr"/>
      <c r="AX2165" t="inlineStr">
        <is>
          <t>2026-02</t>
        </is>
      </c>
      <c r="AY2165" t="inlineStr">
        <is>
          <t>Beslut</t>
        </is>
      </c>
      <c r="AZ2165" t="inlineStr">
        <is>
          <t>2026-02-03</t>
        </is>
      </c>
      <c r="BA2165" t="inlineStr">
        <is>
          <t>MIL20252496pdf_976448.pdf</t>
        </is>
      </c>
      <c r="BB2165" t="inlineStr">
        <is>
          <t>Begäran om allmän handling i ärende  MIL.2026.363</t>
        </is>
      </c>
      <c r="BC2165" t="inlineStr">
        <is>
          <t>AUTO</t>
        </is>
      </c>
      <c r="BD2165" t="inlineStr"/>
      <c r="BE2165" t="inlineStr"/>
      <c r="BF2165" t="inlineStr">
        <is>
          <t>AUTO_GENERERAD. Bekrafta metadata mot kallfil.</t>
        </is>
      </c>
      <c r="BG2165">
        <f>HYPERLINK("C:\Users\jimmy\Desktop\Examens arbete\Kod\Ny mapp\remix_-copy-of-miljöbeslut.se-portal\MIL20252496pdf_976448.pdf", "Öppna PDF")</f>
        <v/>
      </c>
    </row>
    <row r="2166">
      <c r="A2166" t="inlineStr">
        <is>
          <t>KRAV-AUTO-002165</t>
        </is>
      </c>
      <c r="B2166" t="inlineStr">
        <is>
          <t>ADMIN-INDEX-2026-02-27-00000000125C043F57453246863FE664CAFE6A3F0700950291EA24F0614FB6ACEDB12BF0E31D00000000010C0000950291EA24F0614FB6ACEDB12BF0E31D00002087B1A00000</t>
        </is>
      </c>
      <c r="C2166" t="inlineStr">
        <is>
          <t>cmm4yunek00lwcuqwvgwjc3hk</t>
        </is>
      </c>
      <c r="D2166" t="inlineStr">
        <is>
          <t>http://localhost:8787/api/admin/requirements/documents/cmm4yunek00lwcuqwvgwjc3hk/view</t>
        </is>
      </c>
      <c r="E2166">
        <f>HYPERLÄNK("http://localhost:8787/api/admin/requirements/documents/cmm4yunek00lwcuqwvgwjc3hk/view";"Öppna PDF")</f>
        <v/>
      </c>
      <c r="F2166">
        <f>HYPERLINK("http://localhost:8787/api/admin/requirements/documents/cmm4yunek00lwcuqwvgwjc3hk/view","Open PDF")</f>
        <v/>
      </c>
      <c r="G2166" t="inlineStr">
        <is>
          <t>cmm55w57p0004cuisfrtpqly8</t>
        </is>
      </c>
      <c r="H2166" t="inlineStr">
        <is>
          <t>Beslutsvillkor</t>
        </is>
      </c>
      <c r="I2166" t="inlineStr">
        <is>
          <t>DagvattenLakvatten</t>
        </is>
      </c>
      <c r="J2166" t="inlineStr">
        <is>
          <t>Uppsamling</t>
        </is>
      </c>
      <c r="K2166" t="inlineStr">
        <is>
          <t>Lagringen ska ske så att risken för uppkomst av lakvatten från rötslammet minimeras.</t>
        </is>
      </c>
      <c r="L2166" t="inlineStr">
        <is>
          <t>Lagringen ska ske så att risken för uppkomst av lakvatten från rötslammet minimeras.</t>
        </is>
      </c>
      <c r="M2166" t="inlineStr">
        <is>
          <t>SKA</t>
        </is>
      </c>
      <c r="N2166" t="inlineStr"/>
      <c r="O2166" t="inlineStr"/>
      <c r="P2166" t="inlineStr"/>
      <c r="Q2166" t="inlineStr"/>
      <c r="R2166" t="inlineStr">
        <is>
          <t>Vid nederbord och avrinning</t>
        </is>
      </c>
      <c r="S2166" t="inlineStr"/>
      <c r="T2166" t="inlineStr">
        <is>
          <t>958577</t>
        </is>
      </c>
      <c r="U2166" t="inlineStr"/>
      <c r="V2166" t="inlineStr"/>
      <c r="W2166" t="inlineStr">
        <is>
          <t>Nej</t>
        </is>
      </c>
      <c r="X2166" t="inlineStr">
        <is>
          <t>Ja</t>
        </is>
      </c>
      <c r="Y2166" t="inlineStr">
        <is>
          <t>Ja</t>
        </is>
      </c>
      <c r="Z2166" t="inlineStr">
        <is>
          <t>Nej</t>
        </is>
      </c>
      <c r="AA2166" t="n">
        <v>6</v>
      </c>
      <c r="AB2166" t="inlineStr">
        <is>
          <t>Lakvattenhantering</t>
        </is>
      </c>
      <c r="AC2166" t="inlineStr">
        <is>
          <t>Flodesschema dagvatten-lakvatten</t>
        </is>
      </c>
      <c r="AD2166" t="inlineStr">
        <is>
          <t>Nej</t>
        </is>
      </c>
      <c r="AE2166" t="inlineStr">
        <is>
          <t>Nej</t>
        </is>
      </c>
      <c r="AF2166" t="inlineStr">
        <is>
          <t>Ej behandlad</t>
        </is>
      </c>
      <c r="AG2166" t="inlineStr">
        <is>
          <t>AUTO_GENERERAD. Verifiera citat mot kallfil.</t>
        </is>
      </c>
      <c r="AH2166" t="inlineStr">
        <is>
          <t>MEDIUM</t>
        </is>
      </c>
      <c r="AI2166" t="inlineStr">
        <is>
          <t>AUTO</t>
        </is>
      </c>
      <c r="AJ2166" t="inlineStr">
        <is>
          <t>Nej</t>
        </is>
      </c>
      <c r="AK2166" t="inlineStr"/>
      <c r="AL2166" t="inlineStr"/>
      <c r="AM2166" t="inlineStr"/>
      <c r="AN2166" t="inlineStr"/>
      <c r="AO2166" t="inlineStr">
        <is>
          <t>cmm4yunek00lwcuqwvgwjc3hk</t>
        </is>
      </c>
      <c r="AP2166" t="inlineStr">
        <is>
          <t>http://localhost:8787/api/admin/requirements/documents/cmm4yunek00lwcuqwvgwjc3hk/view</t>
        </is>
      </c>
      <c r="AQ2166">
        <f>HYPERLÄNK("http://localhost:8787/api/admin/requirements/documents/cmm4yunek00lwcuqwvgwjc3hk/view";"Öppna PDF")</f>
        <v/>
      </c>
      <c r="AR2166">
        <f>HYPERLINK("http://localhost:8787/api/admin/requirements/documents/cmm4yunek00lwcuqwvgwjc3hk/view","Open PDF")</f>
        <v/>
      </c>
      <c r="AS2166" t="inlineStr">
        <is>
          <t>cmm55w57p0004cuisfrtpqly8</t>
        </is>
      </c>
      <c r="AT2166" t="inlineStr">
        <is>
          <t>cmm4xvu980000cuh4vj0usz09</t>
        </is>
      </c>
      <c r="AU2166" t="inlineStr"/>
      <c r="AV2166" t="inlineStr">
        <is>
          <t>Kommun</t>
        </is>
      </c>
      <c r="AW2166" t="inlineStr"/>
      <c r="AX2166" t="inlineStr">
        <is>
          <t>2026-02</t>
        </is>
      </c>
      <c r="AY2166" t="inlineStr">
        <is>
          <t>Beslut</t>
        </is>
      </c>
      <c r="AZ2166" t="inlineStr">
        <is>
          <t>2026-02-03</t>
        </is>
      </c>
      <c r="BA2166" t="inlineStr">
        <is>
          <t>MIL20252312pdf_976442.pdf</t>
        </is>
      </c>
      <c r="BB2166" t="inlineStr">
        <is>
          <t>Begäran om allmän handling i ärende  MIL.2026.363</t>
        </is>
      </c>
      <c r="BC2166" t="inlineStr">
        <is>
          <t>AUTO</t>
        </is>
      </c>
      <c r="BD2166" t="inlineStr"/>
      <c r="BE2166" t="inlineStr"/>
      <c r="BF2166" t="inlineStr">
        <is>
          <t>AUTO_GENERERAD. Bekrafta metadata mot kallfil.</t>
        </is>
      </c>
      <c r="BG2166">
        <f>HYPERLINK("C:\Users\jimmy\Desktop\Examens arbete\Kod\Ny mapp\remix_-copy-of-miljöbeslut.se-portal\MIL20252312pdf_976442.pdf", "Öppna PDF")</f>
        <v/>
      </c>
    </row>
    <row r="2167">
      <c r="A2167" t="inlineStr">
        <is>
          <t>KRAV-AUTO-002166</t>
        </is>
      </c>
      <c r="B2167" t="inlineStr">
        <is>
          <t>ADMIN-INDEX-2026-02-27-00000000125C043F57453246863FE664CAFE6A3F0700950291EA24F0614FB6ACEDB12BF0E31D00000000010C0000950291EA24F0614FB6ACEDB12BF0E31D00002087B1A00000</t>
        </is>
      </c>
      <c r="C2167" t="inlineStr">
        <is>
          <t>cmm4yunek00lwcuqwvgwjc3hk</t>
        </is>
      </c>
      <c r="D2167" t="inlineStr">
        <is>
          <t>http://localhost:8787/api/admin/requirements/documents/cmm4yunek00lwcuqwvgwjc3hk/view</t>
        </is>
      </c>
      <c r="E2167">
        <f>HYPERLÄNK("http://localhost:8787/api/admin/requirements/documents/cmm4yunek00lwcuqwvgwjc3hk/view";"Öppna PDF")</f>
        <v/>
      </c>
      <c r="F2167">
        <f>HYPERLINK("http://localhost:8787/api/admin/requirements/documents/cmm4yunek00lwcuqwvgwjc3hk/view","Open PDF")</f>
        <v/>
      </c>
      <c r="G2167" t="inlineStr">
        <is>
          <t>cmm55w57p0004cuisfrtpqly8</t>
        </is>
      </c>
      <c r="H2167" t="inlineStr">
        <is>
          <t>Beslutsvillkor</t>
        </is>
      </c>
      <c r="I2167" t="inlineStr">
        <is>
          <t>LagringsvolymTid</t>
        </is>
      </c>
      <c r="J2167" t="inlineStr">
        <is>
          <t>Maxmangd</t>
        </is>
      </c>
      <c r="K2167" t="inlineStr">
        <is>
          <t>Uppskattad volym är cirka 250 ton.</t>
        </is>
      </c>
      <c r="L2167" t="inlineStr">
        <is>
          <t>Uppskattad volym är cirka 250 ton.</t>
        </is>
      </c>
      <c r="M2167" t="inlineStr">
        <is>
          <t>SKA</t>
        </is>
      </c>
      <c r="N2167" t="inlineStr"/>
      <c r="O2167" t="inlineStr"/>
      <c r="P2167" t="inlineStr"/>
      <c r="Q2167" t="inlineStr"/>
      <c r="R2167" t="inlineStr">
        <is>
          <t>Alltid</t>
        </is>
      </c>
      <c r="S2167" t="inlineStr"/>
      <c r="T2167" t="inlineStr">
        <is>
          <t>958577</t>
        </is>
      </c>
      <c r="U2167" t="n">
        <v>250</v>
      </c>
      <c r="V2167" t="inlineStr"/>
      <c r="W2167" t="inlineStr">
        <is>
          <t>Nej</t>
        </is>
      </c>
      <c r="X2167" t="inlineStr">
        <is>
          <t>Nej</t>
        </is>
      </c>
      <c r="Y2167" t="inlineStr">
        <is>
          <t>Nej</t>
        </is>
      </c>
      <c r="Z2167" t="inlineStr">
        <is>
          <t>Nej</t>
        </is>
      </c>
      <c r="AA2167" t="n">
        <v>4</v>
      </c>
      <c r="AB2167" t="inlineStr">
        <is>
          <t>Avfallsmangder och lagringstid</t>
        </is>
      </c>
      <c r="AC2167" t="inlineStr">
        <is>
          <t>Avfallsforteckning</t>
        </is>
      </c>
      <c r="AD2167" t="inlineStr">
        <is>
          <t>Nej</t>
        </is>
      </c>
      <c r="AE2167" t="inlineStr">
        <is>
          <t>Nej</t>
        </is>
      </c>
      <c r="AF2167" t="inlineStr">
        <is>
          <t>Ej behandlad</t>
        </is>
      </c>
      <c r="AG2167" t="inlineStr">
        <is>
          <t>AUTO_GENERERAD. Verifiera citat mot kallfil.</t>
        </is>
      </c>
      <c r="AH2167" t="inlineStr">
        <is>
          <t>LOW</t>
        </is>
      </c>
      <c r="AI2167" t="inlineStr">
        <is>
          <t>AUTO</t>
        </is>
      </c>
      <c r="AJ2167" t="inlineStr">
        <is>
          <t>Nej</t>
        </is>
      </c>
      <c r="AK2167" t="inlineStr"/>
      <c r="AL2167" t="inlineStr"/>
      <c r="AM2167" t="inlineStr"/>
      <c r="AN2167" t="inlineStr"/>
      <c r="AO2167" t="inlineStr">
        <is>
          <t>cmm4yunek00lwcuqwvgwjc3hk</t>
        </is>
      </c>
      <c r="AP2167" t="inlineStr">
        <is>
          <t>http://localhost:8787/api/admin/requirements/documents/cmm4yunek00lwcuqwvgwjc3hk/view</t>
        </is>
      </c>
      <c r="AQ2167">
        <f>HYPERLÄNK("http://localhost:8787/api/admin/requirements/documents/cmm4yunek00lwcuqwvgwjc3hk/view";"Öppna PDF")</f>
        <v/>
      </c>
      <c r="AR2167">
        <f>HYPERLINK("http://localhost:8787/api/admin/requirements/documents/cmm4yunek00lwcuqwvgwjc3hk/view","Open PDF")</f>
        <v/>
      </c>
      <c r="AS2167" t="inlineStr">
        <is>
          <t>cmm55w57p0004cuisfrtpqly8</t>
        </is>
      </c>
      <c r="AT2167" t="inlineStr">
        <is>
          <t>cmm4xvu980000cuh4vj0usz09</t>
        </is>
      </c>
      <c r="AU2167" t="inlineStr"/>
      <c r="AV2167" t="inlineStr">
        <is>
          <t>Kommun</t>
        </is>
      </c>
      <c r="AW2167" t="inlineStr"/>
      <c r="AX2167" t="inlineStr">
        <is>
          <t>2026-02</t>
        </is>
      </c>
      <c r="AY2167" t="inlineStr">
        <is>
          <t>Beslut</t>
        </is>
      </c>
      <c r="AZ2167" t="inlineStr">
        <is>
          <t>2026-02-03</t>
        </is>
      </c>
      <c r="BA2167" t="inlineStr">
        <is>
          <t>MIL20252312pdf_976442.pdf</t>
        </is>
      </c>
      <c r="BB2167" t="inlineStr">
        <is>
          <t>Begäran om allmän handling i ärende  MIL.2026.363</t>
        </is>
      </c>
      <c r="BC2167" t="inlineStr">
        <is>
          <t>AUTO</t>
        </is>
      </c>
      <c r="BD2167" t="inlineStr"/>
      <c r="BE2167" t="inlineStr"/>
      <c r="BF2167" t="inlineStr">
        <is>
          <t>AUTO_GENERERAD. Bekrafta metadata mot kallfil.</t>
        </is>
      </c>
      <c r="BG2167">
        <f>HYPERLINK("C:\Users\jimmy\Desktop\Examens arbete\Kod\Ny mapp\remix_-copy-of-miljöbeslut.se-portal\MIL20252312pdf_976442.pdf", "Öppna PDF")</f>
        <v/>
      </c>
    </row>
    <row r="2168">
      <c r="A2168" t="inlineStr">
        <is>
          <t>KRAV-AUTO-002167</t>
        </is>
      </c>
      <c r="B2168" t="inlineStr">
        <is>
          <t>ADMIN-INDEX-2026-02-27-00000000125C043F57453246863FE664CAFE6A3F0700950291EA24F0614FB6ACEDB12BF0E31D00000000010C0000950291EA24F0614FB6ACEDB12BF0E31D00002087B1A00000</t>
        </is>
      </c>
      <c r="C2168" t="inlineStr">
        <is>
          <t>cmm4yunek00lwcuqwvgwjc3hk</t>
        </is>
      </c>
      <c r="D2168" t="inlineStr">
        <is>
          <t>http://localhost:8787/api/admin/requirements/documents/cmm4yunek00lwcuqwvgwjc3hk/view</t>
        </is>
      </c>
      <c r="E2168">
        <f>HYPERLÄNK("http://localhost:8787/api/admin/requirements/documents/cmm4yunek00lwcuqwvgwjc3hk/view";"Öppna PDF")</f>
        <v/>
      </c>
      <c r="F2168">
        <f>HYPERLINK("http://localhost:8787/api/admin/requirements/documents/cmm4yunek00lwcuqwvgwjc3hk/view","Open PDF")</f>
        <v/>
      </c>
      <c r="G2168" t="inlineStr">
        <is>
          <t>cmm55w57p0004cuisfrtpqly8</t>
        </is>
      </c>
      <c r="H2168" t="inlineStr">
        <is>
          <t>Beslutsvillkor</t>
        </is>
      </c>
      <c r="I2168" t="inlineStr">
        <is>
          <t>Riskhantering</t>
        </is>
      </c>
      <c r="J2168" t="inlineStr">
        <is>
          <t>Riskkontroll</t>
        </is>
      </c>
      <c r="K2168" t="inlineStr">
        <is>
          <t>Täckning ska med hänsyn till risk för luktolägenhet göras i snar anslutning till uppläggning.</t>
        </is>
      </c>
      <c r="L2168" t="inlineStr">
        <is>
          <t>Täckning ska med hänsyn till risk för luktolägenhet göras i snar anslutning till uppläggning.</t>
        </is>
      </c>
      <c r="M2168" t="inlineStr">
        <is>
          <t>SKA</t>
        </is>
      </c>
      <c r="N2168" t="inlineStr"/>
      <c r="O2168" t="inlineStr"/>
      <c r="P2168" t="inlineStr"/>
      <c r="Q2168" t="inlineStr"/>
      <c r="R2168" t="inlineStr">
        <is>
          <t>Vid risk for incident</t>
        </is>
      </c>
      <c r="S2168" t="inlineStr"/>
      <c r="T2168" t="inlineStr">
        <is>
          <t>958577</t>
        </is>
      </c>
      <c r="U2168" t="inlineStr"/>
      <c r="V2168" t="inlineStr"/>
      <c r="W2168" t="inlineStr">
        <is>
          <t>Nej</t>
        </is>
      </c>
      <c r="X2168" t="inlineStr">
        <is>
          <t>Nej</t>
        </is>
      </c>
      <c r="Y2168" t="inlineStr">
        <is>
          <t>Ja</t>
        </is>
      </c>
      <c r="Z2168" t="inlineStr">
        <is>
          <t>Ja</t>
        </is>
      </c>
      <c r="AA2168" t="n">
        <v>8</v>
      </c>
      <c r="AB2168" t="inlineStr">
        <is>
          <t>Riskhantering</t>
        </is>
      </c>
      <c r="AC2168" t="inlineStr">
        <is>
          <t>Risk-PM</t>
        </is>
      </c>
      <c r="AD2168" t="inlineStr">
        <is>
          <t>Nej</t>
        </is>
      </c>
      <c r="AE2168" t="inlineStr">
        <is>
          <t>Nej</t>
        </is>
      </c>
      <c r="AF2168" t="inlineStr">
        <is>
          <t>Ej behandlad</t>
        </is>
      </c>
      <c r="AG2168" t="inlineStr">
        <is>
          <t>AUTO_GENERERAD. Verifiera citat mot kallfil.</t>
        </is>
      </c>
      <c r="AH2168" t="inlineStr">
        <is>
          <t>MEDIUM</t>
        </is>
      </c>
      <c r="AI2168" t="inlineStr">
        <is>
          <t>AUTO</t>
        </is>
      </c>
      <c r="AJ2168" t="inlineStr">
        <is>
          <t>Nej</t>
        </is>
      </c>
      <c r="AK2168" t="inlineStr"/>
      <c r="AL2168" t="inlineStr"/>
      <c r="AM2168" t="inlineStr"/>
      <c r="AN2168" t="inlineStr"/>
      <c r="AO2168" t="inlineStr">
        <is>
          <t>cmm4yunek00lwcuqwvgwjc3hk</t>
        </is>
      </c>
      <c r="AP2168" t="inlineStr">
        <is>
          <t>http://localhost:8787/api/admin/requirements/documents/cmm4yunek00lwcuqwvgwjc3hk/view</t>
        </is>
      </c>
      <c r="AQ2168">
        <f>HYPERLÄNK("http://localhost:8787/api/admin/requirements/documents/cmm4yunek00lwcuqwvgwjc3hk/view";"Öppna PDF")</f>
        <v/>
      </c>
      <c r="AR2168">
        <f>HYPERLINK("http://localhost:8787/api/admin/requirements/documents/cmm4yunek00lwcuqwvgwjc3hk/view","Open PDF")</f>
        <v/>
      </c>
      <c r="AS2168" t="inlineStr">
        <is>
          <t>cmm55w57p0004cuisfrtpqly8</t>
        </is>
      </c>
      <c r="AT2168" t="inlineStr">
        <is>
          <t>cmm4xvu980000cuh4vj0usz09</t>
        </is>
      </c>
      <c r="AU2168" t="inlineStr"/>
      <c r="AV2168" t="inlineStr">
        <is>
          <t>Kommun</t>
        </is>
      </c>
      <c r="AW2168" t="inlineStr"/>
      <c r="AX2168" t="inlineStr">
        <is>
          <t>2026-02</t>
        </is>
      </c>
      <c r="AY2168" t="inlineStr">
        <is>
          <t>Beslut</t>
        </is>
      </c>
      <c r="AZ2168" t="inlineStr">
        <is>
          <t>2026-02-03</t>
        </is>
      </c>
      <c r="BA2168" t="inlineStr">
        <is>
          <t>MIL20252312pdf_976442.pdf</t>
        </is>
      </c>
      <c r="BB2168" t="inlineStr">
        <is>
          <t>Begäran om allmän handling i ärende  MIL.2026.363</t>
        </is>
      </c>
      <c r="BC2168" t="inlineStr">
        <is>
          <t>AUTO</t>
        </is>
      </c>
      <c r="BD2168" t="inlineStr"/>
      <c r="BE2168" t="inlineStr"/>
      <c r="BF2168" t="inlineStr">
        <is>
          <t>AUTO_GENERERAD. Bekrafta metadata mot kallfil.</t>
        </is>
      </c>
      <c r="BG2168">
        <f>HYPERLINK("C:\Users\jimmy\Desktop\Examens arbete\Kod\Ny mapp\remix_-copy-of-miljöbeslut.se-portal\MIL20252312pdf_976442.pdf", "Öppna PDF")</f>
        <v/>
      </c>
    </row>
    <row r="2169">
      <c r="A2169" t="inlineStr">
        <is>
          <t>KRAV-AUTO-002168</t>
        </is>
      </c>
      <c r="B2169" t="inlineStr">
        <is>
          <t>ADMIN-INDEX-2026-02-27-00000000125C043F57453246863FE664CAFE6A3F0700950291EA24F0614FB6ACEDB12BF0E31D00000000010C0000950291EA24F0614FB6ACEDB12BF0E31D00002087B1A00000</t>
        </is>
      </c>
      <c r="C2169" t="inlineStr">
        <is>
          <t>cmm4yuneh00ltcuqwswd7tmol</t>
        </is>
      </c>
      <c r="D2169" t="inlineStr">
        <is>
          <t>http://localhost:8787/api/admin/requirements/documents/cmm4yuneh00ltcuqwswd7tmol/view</t>
        </is>
      </c>
      <c r="E2169">
        <f>HYPERLÄNK("http://localhost:8787/api/admin/requirements/documents/cmm4yuneh00ltcuqwswd7tmol/view";"Öppna PDF")</f>
        <v/>
      </c>
      <c r="F2169">
        <f>HYPERLINK("http://localhost:8787/api/admin/requirements/documents/cmm4yuneh00ltcuqwswd7tmol/view","Open PDF")</f>
        <v/>
      </c>
      <c r="G2169" t="inlineStr">
        <is>
          <t>cmm55w57p0004cuisfrtpqly8</t>
        </is>
      </c>
      <c r="H2169" t="inlineStr">
        <is>
          <t>Beslutsvillkor</t>
        </is>
      </c>
      <c r="I2169" t="inlineStr">
        <is>
          <t>DagvattenLakvatten</t>
        </is>
      </c>
      <c r="J2169" t="inlineStr">
        <is>
          <t>Uppsamling</t>
        </is>
      </c>
      <c r="K2169" t="inlineStr">
        <is>
          <t>Lagringen ska ske så att risken för uppkomst av lakvatten från rötslammet minimeras.</t>
        </is>
      </c>
      <c r="L2169" t="inlineStr">
        <is>
          <t>Lagringen ska ske så att risken för uppkomst av lakvatten från rötslammet minimeras.</t>
        </is>
      </c>
      <c r="M2169" t="inlineStr">
        <is>
          <t>SKA</t>
        </is>
      </c>
      <c r="N2169" t="inlineStr"/>
      <c r="O2169" t="inlineStr"/>
      <c r="P2169" t="inlineStr"/>
      <c r="Q2169" t="inlineStr"/>
      <c r="R2169" t="inlineStr">
        <is>
          <t>Vid nederbord och avrinning</t>
        </is>
      </c>
      <c r="S2169" t="inlineStr"/>
      <c r="T2169" t="inlineStr">
        <is>
          <t>958166</t>
        </is>
      </c>
      <c r="U2169" t="inlineStr"/>
      <c r="V2169" t="inlineStr"/>
      <c r="W2169" t="inlineStr">
        <is>
          <t>Nej</t>
        </is>
      </c>
      <c r="X2169" t="inlineStr">
        <is>
          <t>Ja</t>
        </is>
      </c>
      <c r="Y2169" t="inlineStr">
        <is>
          <t>Ja</t>
        </is>
      </c>
      <c r="Z2169" t="inlineStr">
        <is>
          <t>Nej</t>
        </is>
      </c>
      <c r="AA2169" t="n">
        <v>6</v>
      </c>
      <c r="AB2169" t="inlineStr">
        <is>
          <t>Lakvattenhantering</t>
        </is>
      </c>
      <c r="AC2169" t="inlineStr">
        <is>
          <t>Flodesschema dagvatten-lakvatten</t>
        </is>
      </c>
      <c r="AD2169" t="inlineStr">
        <is>
          <t>Nej</t>
        </is>
      </c>
      <c r="AE2169" t="inlineStr">
        <is>
          <t>Nej</t>
        </is>
      </c>
      <c r="AF2169" t="inlineStr">
        <is>
          <t>Ej behandlad</t>
        </is>
      </c>
      <c r="AG2169" t="inlineStr">
        <is>
          <t>AUTO_GENERERAD. Verifiera citat mot kallfil.</t>
        </is>
      </c>
      <c r="AH2169" t="inlineStr">
        <is>
          <t>MEDIUM</t>
        </is>
      </c>
      <c r="AI2169" t="inlineStr">
        <is>
          <t>AUTO</t>
        </is>
      </c>
      <c r="AJ2169" t="inlineStr">
        <is>
          <t>Nej</t>
        </is>
      </c>
      <c r="AK2169" t="inlineStr"/>
      <c r="AL2169" t="inlineStr"/>
      <c r="AM2169" t="inlineStr"/>
      <c r="AN2169" t="inlineStr"/>
      <c r="AO2169" t="inlineStr">
        <is>
          <t>cmm4yunek00lwcuqwvgwjc3hk</t>
        </is>
      </c>
      <c r="AP2169" t="inlineStr">
        <is>
          <t>http://localhost:8787/api/admin/requirements/documents/cmm4yunek00lwcuqwvgwjc3hk/view</t>
        </is>
      </c>
      <c r="AQ2169">
        <f>HYPERLÄNK("http://localhost:8787/api/admin/requirements/documents/cmm4yunek00lwcuqwvgwjc3hk/view";"Öppna PDF")</f>
        <v/>
      </c>
      <c r="AR2169">
        <f>HYPERLINK("http://localhost:8787/api/admin/requirements/documents/cmm4yunek00lwcuqwvgwjc3hk/view","Open PDF")</f>
        <v/>
      </c>
      <c r="AS2169" t="inlineStr">
        <is>
          <t>cmm55w57p0004cuisfrtpqly8</t>
        </is>
      </c>
      <c r="AT2169" t="inlineStr">
        <is>
          <t>cmm4xvu980000cuh4vj0usz09</t>
        </is>
      </c>
      <c r="AU2169" t="inlineStr"/>
      <c r="AV2169" t="inlineStr">
        <is>
          <t>Kommun</t>
        </is>
      </c>
      <c r="AW2169" t="inlineStr"/>
      <c r="AX2169" t="inlineStr">
        <is>
          <t>2026-02</t>
        </is>
      </c>
      <c r="AY2169" t="inlineStr">
        <is>
          <t>Beslut</t>
        </is>
      </c>
      <c r="AZ2169" t="inlineStr">
        <is>
          <t>2026-02-03</t>
        </is>
      </c>
      <c r="BA2169" t="inlineStr">
        <is>
          <t>MIL20252312pdf_976442.pdf</t>
        </is>
      </c>
      <c r="BB2169" t="inlineStr">
        <is>
          <t>Begäran om allmän handling i ärende  MIL.2026.363</t>
        </is>
      </c>
      <c r="BC2169" t="inlineStr">
        <is>
          <t>AUTO</t>
        </is>
      </c>
      <c r="BD2169" t="inlineStr"/>
      <c r="BE2169" t="inlineStr"/>
      <c r="BF2169" t="inlineStr">
        <is>
          <t>AUTO_GENERERAD. Bekrafta metadata mot kallfil.</t>
        </is>
      </c>
      <c r="BG2169">
        <f>HYPERLINK("C:\Users\jimmy\Desktop\Examens arbete\Kod\Ny mapp\remix_-copy-of-miljöbeslut.se-portal\MIL20252312pdf_976442.pdf", "Öppna PDF")</f>
        <v/>
      </c>
    </row>
    <row r="2170">
      <c r="A2170" t="inlineStr">
        <is>
          <t>KRAV-AUTO-002169</t>
        </is>
      </c>
      <c r="B2170" t="inlineStr">
        <is>
          <t>ADMIN-INDEX-2026-02-27-00000000125C043F57453246863FE664CAFE6A3F0700950291EA24F0614FB6ACEDB12BF0E31D00000000010C0000950291EA24F0614FB6ACEDB12BF0E31D00002087B1A00000</t>
        </is>
      </c>
      <c r="C2170" t="inlineStr">
        <is>
          <t>cmm4yuneh00ltcuqwswd7tmol</t>
        </is>
      </c>
      <c r="D2170" t="inlineStr">
        <is>
          <t>http://localhost:8787/api/admin/requirements/documents/cmm4yuneh00ltcuqwswd7tmol/view</t>
        </is>
      </c>
      <c r="E2170">
        <f>HYPERLÄNK("http://localhost:8787/api/admin/requirements/documents/cmm4yuneh00ltcuqwswd7tmol/view";"Öppna PDF")</f>
        <v/>
      </c>
      <c r="F2170">
        <f>HYPERLINK("http://localhost:8787/api/admin/requirements/documents/cmm4yuneh00ltcuqwswd7tmol/view","Open PDF")</f>
        <v/>
      </c>
      <c r="G2170" t="inlineStr">
        <is>
          <t>cmm55w57p0004cuisfrtpqly8</t>
        </is>
      </c>
      <c r="H2170" t="inlineStr">
        <is>
          <t>Beslutsvillkor</t>
        </is>
      </c>
      <c r="I2170" t="inlineStr">
        <is>
          <t>DriftEgenkontroll</t>
        </is>
      </c>
      <c r="J2170" t="inlineStr">
        <is>
          <t>Journalforing</t>
        </is>
      </c>
      <c r="K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70" t="inlineStr">
        <is>
          <t>SKA</t>
        </is>
      </c>
      <c r="N2170" t="inlineStr"/>
      <c r="O2170" t="inlineStr"/>
      <c r="P2170" t="inlineStr"/>
      <c r="Q2170" t="inlineStr"/>
      <c r="R2170" t="inlineStr">
        <is>
          <t>Lopande drift</t>
        </is>
      </c>
      <c r="S2170" t="inlineStr"/>
      <c r="T2170" t="inlineStr">
        <is>
          <t>958166</t>
        </is>
      </c>
      <c r="U2170" t="inlineStr"/>
      <c r="V2170" t="inlineStr"/>
      <c r="W2170" t="inlineStr">
        <is>
          <t>Nej</t>
        </is>
      </c>
      <c r="X2170" t="inlineStr">
        <is>
          <t>Nej</t>
        </is>
      </c>
      <c r="Y2170" t="inlineStr">
        <is>
          <t>Ja</t>
        </is>
      </c>
      <c r="Z2170" t="inlineStr">
        <is>
          <t>Nej</t>
        </is>
      </c>
      <c r="AA2170" t="n">
        <v>7</v>
      </c>
      <c r="AB2170" t="inlineStr">
        <is>
          <t>Egenkontrollrutiner</t>
        </is>
      </c>
      <c r="AC2170" t="inlineStr">
        <is>
          <t>Egenkontrollprogram</t>
        </is>
      </c>
      <c r="AD2170" t="inlineStr">
        <is>
          <t>Nej</t>
        </is>
      </c>
      <c r="AE2170" t="inlineStr">
        <is>
          <t>Nej</t>
        </is>
      </c>
      <c r="AF2170" t="inlineStr">
        <is>
          <t>Ej behandlad</t>
        </is>
      </c>
      <c r="AG2170" t="inlineStr">
        <is>
          <t>AUTO_GENERERAD. Verifiera citat mot kallfil.</t>
        </is>
      </c>
      <c r="AH2170" t="inlineStr">
        <is>
          <t>MEDIUM</t>
        </is>
      </c>
      <c r="AI2170" t="inlineStr">
        <is>
          <t>AUTO</t>
        </is>
      </c>
      <c r="AJ2170" t="inlineStr">
        <is>
          <t>Nej</t>
        </is>
      </c>
      <c r="AK2170" t="inlineStr"/>
      <c r="AL2170" t="inlineStr"/>
      <c r="AM2170" t="inlineStr"/>
      <c r="AN2170" t="inlineStr"/>
      <c r="AO2170" t="inlineStr">
        <is>
          <t>cmm4yunek00lwcuqwvgwjc3hk</t>
        </is>
      </c>
      <c r="AP2170" t="inlineStr">
        <is>
          <t>http://localhost:8787/api/admin/requirements/documents/cmm4yunek00lwcuqwvgwjc3hk/view</t>
        </is>
      </c>
      <c r="AQ2170">
        <f>HYPERLÄNK("http://localhost:8787/api/admin/requirements/documents/cmm4yunek00lwcuqwvgwjc3hk/view";"Öppna PDF")</f>
        <v/>
      </c>
      <c r="AR2170">
        <f>HYPERLINK("http://localhost:8787/api/admin/requirements/documents/cmm4yunek00lwcuqwvgwjc3hk/view","Open PDF")</f>
        <v/>
      </c>
      <c r="AS2170" t="inlineStr">
        <is>
          <t>cmm55w57p0004cuisfrtpqly8</t>
        </is>
      </c>
      <c r="AT2170" t="inlineStr">
        <is>
          <t>cmm4xvu980000cuh4vj0usz09</t>
        </is>
      </c>
      <c r="AU2170" t="inlineStr"/>
      <c r="AV2170" t="inlineStr">
        <is>
          <t>Kommun</t>
        </is>
      </c>
      <c r="AW2170" t="inlineStr"/>
      <c r="AX2170" t="inlineStr">
        <is>
          <t>2026-02</t>
        </is>
      </c>
      <c r="AY2170" t="inlineStr">
        <is>
          <t>Beslut</t>
        </is>
      </c>
      <c r="AZ2170" t="inlineStr">
        <is>
          <t>2026-02-03</t>
        </is>
      </c>
      <c r="BA2170" t="inlineStr">
        <is>
          <t>MIL20252312pdf_976442.pdf</t>
        </is>
      </c>
      <c r="BB2170" t="inlineStr">
        <is>
          <t>Begäran om allmän handling i ärende  MIL.2026.363</t>
        </is>
      </c>
      <c r="BC2170" t="inlineStr">
        <is>
          <t>AUTO</t>
        </is>
      </c>
      <c r="BD2170" t="inlineStr"/>
      <c r="BE2170" t="inlineStr"/>
      <c r="BF2170" t="inlineStr">
        <is>
          <t>AUTO_GENERERAD. Bekrafta metadata mot kallfil.</t>
        </is>
      </c>
      <c r="BG2170">
        <f>HYPERLINK("C:\Users\jimmy\Desktop\Examens arbete\Kod\Ny mapp\remix_-copy-of-miljöbeslut.se-portal\MIL20252312pdf_976442.pdf", "Öppna PDF")</f>
        <v/>
      </c>
    </row>
    <row r="2171">
      <c r="A2171" t="inlineStr">
        <is>
          <t>KRAV-AUTO-002170</t>
        </is>
      </c>
      <c r="B2171" t="inlineStr">
        <is>
          <t>ADMIN-INDEX-2026-02-27-00000000125C043F57453246863FE664CAFE6A3F0700950291EA24F0614FB6ACEDB12BF0E31D00000000010C0000950291EA24F0614FB6ACEDB12BF0E31D00002087B1A00000</t>
        </is>
      </c>
      <c r="C2171" t="inlineStr">
        <is>
          <t>cmm4yuneh00ltcuqwswd7tmol</t>
        </is>
      </c>
      <c r="D2171" t="inlineStr">
        <is>
          <t>http://localhost:8787/api/admin/requirements/documents/cmm4yuneh00ltcuqwswd7tmol/view</t>
        </is>
      </c>
      <c r="E2171">
        <f>HYPERLÄNK("http://localhost:8787/api/admin/requirements/documents/cmm4yuneh00ltcuqwswd7tmol/view";"Öppna PDF")</f>
        <v/>
      </c>
      <c r="F2171">
        <f>HYPERLINK("http://localhost:8787/api/admin/requirements/documents/cmm4yuneh00ltcuqwswd7tmol/view","Open PDF")</f>
        <v/>
      </c>
      <c r="G2171" t="inlineStr">
        <is>
          <t>cmm55w57p0004cuisfrtpqly8</t>
        </is>
      </c>
      <c r="H2171" t="inlineStr">
        <is>
          <t>Beslutsvillkor</t>
        </is>
      </c>
      <c r="I2171" t="inlineStr">
        <is>
          <t>DriftEgenkontroll</t>
        </is>
      </c>
      <c r="J2171" t="inlineStr">
        <is>
          <t>Journalforing</t>
        </is>
      </c>
      <c r="K2171" t="inlineStr">
        <is>
          <t>Jordprovtagningskarta bifogas.</t>
        </is>
      </c>
      <c r="L2171" t="inlineStr">
        <is>
          <t>Jordprovtagningskarta bifogas.</t>
        </is>
      </c>
      <c r="M2171" t="inlineStr">
        <is>
          <t>SKA</t>
        </is>
      </c>
      <c r="N2171" t="inlineStr"/>
      <c r="O2171" t="inlineStr"/>
      <c r="P2171" t="inlineStr"/>
      <c r="Q2171" t="inlineStr"/>
      <c r="R2171" t="inlineStr">
        <is>
          <t>Lopande drift</t>
        </is>
      </c>
      <c r="S2171" t="inlineStr"/>
      <c r="T2171" t="inlineStr">
        <is>
          <t>958166</t>
        </is>
      </c>
      <c r="U2171" t="inlineStr"/>
      <c r="V2171" t="inlineStr"/>
      <c r="W2171" t="inlineStr">
        <is>
          <t>Nej</t>
        </is>
      </c>
      <c r="X2171" t="inlineStr">
        <is>
          <t>Nej</t>
        </is>
      </c>
      <c r="Y2171" t="inlineStr">
        <is>
          <t>Ja</t>
        </is>
      </c>
      <c r="Z2171" t="inlineStr">
        <is>
          <t>Nej</t>
        </is>
      </c>
      <c r="AA2171" t="n">
        <v>7</v>
      </c>
      <c r="AB2171" t="inlineStr">
        <is>
          <t>Egenkontrollrutiner</t>
        </is>
      </c>
      <c r="AC2171" t="inlineStr">
        <is>
          <t>Egenkontrollprogram</t>
        </is>
      </c>
      <c r="AD2171" t="inlineStr">
        <is>
          <t>Nej</t>
        </is>
      </c>
      <c r="AE2171" t="inlineStr">
        <is>
          <t>Nej</t>
        </is>
      </c>
      <c r="AF2171" t="inlineStr">
        <is>
          <t>Ej behandlad</t>
        </is>
      </c>
      <c r="AG2171" t="inlineStr">
        <is>
          <t>AUTO_GENERERAD. Verifiera citat mot kallfil.</t>
        </is>
      </c>
      <c r="AH2171" t="inlineStr">
        <is>
          <t>LOW</t>
        </is>
      </c>
      <c r="AI2171" t="inlineStr">
        <is>
          <t>AUTO</t>
        </is>
      </c>
      <c r="AJ2171" t="inlineStr">
        <is>
          <t>Nej</t>
        </is>
      </c>
      <c r="AK2171" t="inlineStr"/>
      <c r="AL2171" t="inlineStr"/>
      <c r="AM2171" t="inlineStr"/>
      <c r="AN2171" t="inlineStr"/>
      <c r="AO2171" t="inlineStr">
        <is>
          <t>cmm4yunek00lwcuqwvgwjc3hk</t>
        </is>
      </c>
      <c r="AP2171" t="inlineStr">
        <is>
          <t>http://localhost:8787/api/admin/requirements/documents/cmm4yunek00lwcuqwvgwjc3hk/view</t>
        </is>
      </c>
      <c r="AQ2171">
        <f>HYPERLÄNK("http://localhost:8787/api/admin/requirements/documents/cmm4yunek00lwcuqwvgwjc3hk/view";"Öppna PDF")</f>
        <v/>
      </c>
      <c r="AR2171">
        <f>HYPERLINK("http://localhost:8787/api/admin/requirements/documents/cmm4yunek00lwcuqwvgwjc3hk/view","Open PDF")</f>
        <v/>
      </c>
      <c r="AS2171" t="inlineStr">
        <is>
          <t>cmm55w57p0004cuisfrtpqly8</t>
        </is>
      </c>
      <c r="AT2171" t="inlineStr">
        <is>
          <t>cmm4xvu980000cuh4vj0usz09</t>
        </is>
      </c>
      <c r="AU2171" t="inlineStr"/>
      <c r="AV2171" t="inlineStr">
        <is>
          <t>Kommun</t>
        </is>
      </c>
      <c r="AW2171" t="inlineStr"/>
      <c r="AX2171" t="inlineStr">
        <is>
          <t>2026-02</t>
        </is>
      </c>
      <c r="AY2171" t="inlineStr">
        <is>
          <t>Beslut</t>
        </is>
      </c>
      <c r="AZ2171" t="inlineStr">
        <is>
          <t>2026-02-03</t>
        </is>
      </c>
      <c r="BA2171" t="inlineStr">
        <is>
          <t>MIL20252312pdf_976442.pdf</t>
        </is>
      </c>
      <c r="BB2171" t="inlineStr">
        <is>
          <t>Begäran om allmän handling i ärende  MIL.2026.363</t>
        </is>
      </c>
      <c r="BC2171" t="inlineStr">
        <is>
          <t>AUTO</t>
        </is>
      </c>
      <c r="BD2171" t="inlineStr"/>
      <c r="BE2171" t="inlineStr"/>
      <c r="BF2171" t="inlineStr">
        <is>
          <t>AUTO_GENERERAD. Bekrafta metadata mot kallfil.</t>
        </is>
      </c>
      <c r="BG2171">
        <f>HYPERLINK("C:\Users\jimmy\Desktop\Examens arbete\Kod\Ny mapp\remix_-copy-of-miljöbeslut.se-portal\MIL20252312pdf_976442.pdf", "Öppna PDF")</f>
        <v/>
      </c>
    </row>
    <row r="2172">
      <c r="A2172" t="inlineStr">
        <is>
          <t>KRAV-AUTO-002171</t>
        </is>
      </c>
      <c r="B2172" t="inlineStr">
        <is>
          <t>ADMIN-INDEX-2026-02-27-00000000125C043F57453246863FE664CAFE6A3F0700950291EA24F0614FB6ACEDB12BF0E31D00000000010C0000950291EA24F0614FB6ACEDB12BF0E31D00002087B1A00000</t>
        </is>
      </c>
      <c r="C2172" t="inlineStr">
        <is>
          <t>cmm4yunee00lqcuqwbqwfs4r1</t>
        </is>
      </c>
      <c r="D2172" t="inlineStr">
        <is>
          <t>http://localhost:8787/api/admin/requirements/documents/cmm4yunee00lqcuqwbqwfs4r1/view</t>
        </is>
      </c>
      <c r="E2172">
        <f>HYPERLÄNK("http://localhost:8787/api/admin/requirements/documents/cmm4yunee00lqcuqwbqwfs4r1/view";"Öppna PDF")</f>
        <v/>
      </c>
      <c r="F2172">
        <f>HYPERLINK("http://localhost:8787/api/admin/requirements/documents/cmm4yunee00lqcuqwbqwfs4r1/view","Open PDF")</f>
        <v/>
      </c>
      <c r="G2172" t="inlineStr">
        <is>
          <t>cmm55w57p0004cuisfrtpqly8</t>
        </is>
      </c>
      <c r="H2172" t="inlineStr">
        <is>
          <t>Beslutsvillkor</t>
        </is>
      </c>
      <c r="I2172" t="inlineStr">
        <is>
          <t>DagvattenLakvatten</t>
        </is>
      </c>
      <c r="J2172" t="inlineStr">
        <is>
          <t>Uppsamling</t>
        </is>
      </c>
      <c r="K2172" t="inlineStr">
        <is>
          <t>Lagringen ska ske så att risken för uppkomst av lakvatten från rötslammet minimeras.</t>
        </is>
      </c>
      <c r="L2172" t="inlineStr">
        <is>
          <t>Lagringen ska ske så att risken för uppkomst av lakvatten från rötslammet minimeras.</t>
        </is>
      </c>
      <c r="M2172" t="inlineStr">
        <is>
          <t>SKA</t>
        </is>
      </c>
      <c r="N2172" t="inlineStr"/>
      <c r="O2172" t="inlineStr"/>
      <c r="P2172" t="inlineStr"/>
      <c r="Q2172" t="inlineStr"/>
      <c r="R2172" t="inlineStr">
        <is>
          <t>Vid nederbord och avrinning</t>
        </is>
      </c>
      <c r="S2172" t="inlineStr"/>
      <c r="T2172" t="inlineStr">
        <is>
          <t>957717</t>
        </is>
      </c>
      <c r="U2172" t="inlineStr"/>
      <c r="V2172" t="inlineStr"/>
      <c r="W2172" t="inlineStr">
        <is>
          <t>Nej</t>
        </is>
      </c>
      <c r="X2172" t="inlineStr">
        <is>
          <t>Ja</t>
        </is>
      </c>
      <c r="Y2172" t="inlineStr">
        <is>
          <t>Ja</t>
        </is>
      </c>
      <c r="Z2172" t="inlineStr">
        <is>
          <t>Nej</t>
        </is>
      </c>
      <c r="AA2172" t="n">
        <v>6</v>
      </c>
      <c r="AB2172" t="inlineStr">
        <is>
          <t>Lakvattenhantering</t>
        </is>
      </c>
      <c r="AC2172" t="inlineStr">
        <is>
          <t>Flodesschema dagvatten-lakvatten</t>
        </is>
      </c>
      <c r="AD2172" t="inlineStr">
        <is>
          <t>Nej</t>
        </is>
      </c>
      <c r="AE2172" t="inlineStr">
        <is>
          <t>Nej</t>
        </is>
      </c>
      <c r="AF2172" t="inlineStr">
        <is>
          <t>Ej behandlad</t>
        </is>
      </c>
      <c r="AG2172" t="inlineStr">
        <is>
          <t>AUTO_GENERERAD. Verifiera citat mot kallfil.</t>
        </is>
      </c>
      <c r="AH2172" t="inlineStr">
        <is>
          <t>MEDIUM</t>
        </is>
      </c>
      <c r="AI2172" t="inlineStr">
        <is>
          <t>AUTO</t>
        </is>
      </c>
      <c r="AJ2172" t="inlineStr">
        <is>
          <t>Nej</t>
        </is>
      </c>
      <c r="AK2172" t="inlineStr"/>
      <c r="AL2172" t="inlineStr"/>
      <c r="AM2172" t="inlineStr"/>
      <c r="AN2172" t="inlineStr"/>
      <c r="AO2172" t="inlineStr">
        <is>
          <t>cmm4yunek00lwcuqwvgwjc3hk</t>
        </is>
      </c>
      <c r="AP2172" t="inlineStr">
        <is>
          <t>http://localhost:8787/api/admin/requirements/documents/cmm4yunek00lwcuqwvgwjc3hk/view</t>
        </is>
      </c>
      <c r="AQ2172">
        <f>HYPERLÄNK("http://localhost:8787/api/admin/requirements/documents/cmm4yunek00lwcuqwvgwjc3hk/view";"Öppna PDF")</f>
        <v/>
      </c>
      <c r="AR2172">
        <f>HYPERLINK("http://localhost:8787/api/admin/requirements/documents/cmm4yunek00lwcuqwvgwjc3hk/view","Open PDF")</f>
        <v/>
      </c>
      <c r="AS2172" t="inlineStr">
        <is>
          <t>cmm55w57p0004cuisfrtpqly8</t>
        </is>
      </c>
      <c r="AT2172" t="inlineStr">
        <is>
          <t>cmm4xvu980000cuh4vj0usz09</t>
        </is>
      </c>
      <c r="AU2172" t="inlineStr"/>
      <c r="AV2172" t="inlineStr">
        <is>
          <t>Kommun</t>
        </is>
      </c>
      <c r="AW2172" t="inlineStr"/>
      <c r="AX2172" t="inlineStr">
        <is>
          <t>2026-02</t>
        </is>
      </c>
      <c r="AY2172" t="inlineStr">
        <is>
          <t>Beslut</t>
        </is>
      </c>
      <c r="AZ2172" t="inlineStr">
        <is>
          <t>2026-02-03</t>
        </is>
      </c>
      <c r="BA2172" t="inlineStr">
        <is>
          <t>MIL20252312pdf_976442.pdf</t>
        </is>
      </c>
      <c r="BB2172" t="inlineStr">
        <is>
          <t>Begäran om allmän handling i ärende  MIL.2026.363</t>
        </is>
      </c>
      <c r="BC2172" t="inlineStr">
        <is>
          <t>AUTO</t>
        </is>
      </c>
      <c r="BD2172" t="inlineStr"/>
      <c r="BE2172" t="inlineStr"/>
      <c r="BF2172" t="inlineStr">
        <is>
          <t>AUTO_GENERERAD. Bekrafta metadata mot kallfil.</t>
        </is>
      </c>
      <c r="BG2172">
        <f>HYPERLINK("C:\Users\jimmy\Desktop\Examens arbete\Kod\Ny mapp\remix_-copy-of-miljöbeslut.se-portal\MIL20252312pdf_976442.pdf", "Öppna PDF")</f>
        <v/>
      </c>
    </row>
    <row r="2173">
      <c r="A2173" t="inlineStr">
        <is>
          <t>KRAV-AUTO-002172</t>
        </is>
      </c>
      <c r="B2173" t="inlineStr">
        <is>
          <t>ADMIN-INDEX-2026-02-27-00000000125C043F57453246863FE664CAFE6A3F0700950291EA24F0614FB6ACEDB12BF0E31D00000000010C0000950291EA24F0614FB6ACEDB12BF0E31D00002087B1A00000</t>
        </is>
      </c>
      <c r="C2173" t="inlineStr">
        <is>
          <t>cmm4yunee00lqcuqwbqwfs4r1</t>
        </is>
      </c>
      <c r="D2173" t="inlineStr">
        <is>
          <t>http://localhost:8787/api/admin/requirements/documents/cmm4yunee00lqcuqwbqwfs4r1/view</t>
        </is>
      </c>
      <c r="E2173">
        <f>HYPERLÄNK("http://localhost:8787/api/admin/requirements/documents/cmm4yunee00lqcuqwbqwfs4r1/view";"Öppna PDF")</f>
        <v/>
      </c>
      <c r="F2173">
        <f>HYPERLINK("http://localhost:8787/api/admin/requirements/documents/cmm4yunee00lqcuqwbqwfs4r1/view","Open PDF")</f>
        <v/>
      </c>
      <c r="G2173" t="inlineStr">
        <is>
          <t>cmm55w57p0004cuisfrtpqly8</t>
        </is>
      </c>
      <c r="H2173" t="inlineStr">
        <is>
          <t>Beslutsvillkor</t>
        </is>
      </c>
      <c r="I2173" t="inlineStr">
        <is>
          <t>LagringsvolymTid</t>
        </is>
      </c>
      <c r="J2173" t="inlineStr">
        <is>
          <t>Maxmangd</t>
        </is>
      </c>
      <c r="K2173" t="inlineStr">
        <is>
          <t>Uppskattad volym är cirka 1500 ton.</t>
        </is>
      </c>
      <c r="L2173" t="inlineStr">
        <is>
          <t>Uppskattad volym är cirka 1500 ton.</t>
        </is>
      </c>
      <c r="M2173" t="inlineStr">
        <is>
          <t>SKA</t>
        </is>
      </c>
      <c r="N2173" t="inlineStr"/>
      <c r="O2173" t="inlineStr"/>
      <c r="P2173" t="inlineStr"/>
      <c r="Q2173" t="inlineStr"/>
      <c r="R2173" t="inlineStr">
        <is>
          <t>Alltid</t>
        </is>
      </c>
      <c r="S2173" t="inlineStr"/>
      <c r="T2173" t="inlineStr">
        <is>
          <t>957717</t>
        </is>
      </c>
      <c r="U2173" t="n">
        <v>1500</v>
      </c>
      <c r="V2173" t="inlineStr"/>
      <c r="W2173" t="inlineStr">
        <is>
          <t>Nej</t>
        </is>
      </c>
      <c r="X2173" t="inlineStr">
        <is>
          <t>Nej</t>
        </is>
      </c>
      <c r="Y2173" t="inlineStr">
        <is>
          <t>Nej</t>
        </is>
      </c>
      <c r="Z2173" t="inlineStr">
        <is>
          <t>Nej</t>
        </is>
      </c>
      <c r="AA2173" t="n">
        <v>4</v>
      </c>
      <c r="AB2173" t="inlineStr">
        <is>
          <t>Avfallsmangder och lagringstid</t>
        </is>
      </c>
      <c r="AC2173" t="inlineStr">
        <is>
          <t>Avfallsforteckning</t>
        </is>
      </c>
      <c r="AD2173" t="inlineStr">
        <is>
          <t>Nej</t>
        </is>
      </c>
      <c r="AE2173" t="inlineStr">
        <is>
          <t>Nej</t>
        </is>
      </c>
      <c r="AF2173" t="inlineStr">
        <is>
          <t>Ej behandlad</t>
        </is>
      </c>
      <c r="AG2173" t="inlineStr">
        <is>
          <t>AUTO_GENERERAD. Verifiera citat mot kallfil.</t>
        </is>
      </c>
      <c r="AH2173" t="inlineStr">
        <is>
          <t>LOW</t>
        </is>
      </c>
      <c r="AI2173" t="inlineStr">
        <is>
          <t>AUTO</t>
        </is>
      </c>
      <c r="AJ2173" t="inlineStr">
        <is>
          <t>Nej</t>
        </is>
      </c>
      <c r="AK2173" t="inlineStr"/>
      <c r="AL2173" t="inlineStr"/>
      <c r="AM2173" t="inlineStr"/>
      <c r="AN2173" t="inlineStr"/>
      <c r="AO2173" t="inlineStr">
        <is>
          <t>cmm4yunek00lwcuqwvgwjc3hk</t>
        </is>
      </c>
      <c r="AP2173" t="inlineStr">
        <is>
          <t>http://localhost:8787/api/admin/requirements/documents/cmm4yunek00lwcuqwvgwjc3hk/view</t>
        </is>
      </c>
      <c r="AQ2173">
        <f>HYPERLÄNK("http://localhost:8787/api/admin/requirements/documents/cmm4yunek00lwcuqwvgwjc3hk/view";"Öppna PDF")</f>
        <v/>
      </c>
      <c r="AR2173">
        <f>HYPERLINK("http://localhost:8787/api/admin/requirements/documents/cmm4yunek00lwcuqwvgwjc3hk/view","Open PDF")</f>
        <v/>
      </c>
      <c r="AS2173" t="inlineStr">
        <is>
          <t>cmm55w57p0004cuisfrtpqly8</t>
        </is>
      </c>
      <c r="AT2173" t="inlineStr">
        <is>
          <t>cmm4xvu980000cuh4vj0usz09</t>
        </is>
      </c>
      <c r="AU2173" t="inlineStr"/>
      <c r="AV2173" t="inlineStr">
        <is>
          <t>Kommun</t>
        </is>
      </c>
      <c r="AW2173" t="inlineStr"/>
      <c r="AX2173" t="inlineStr">
        <is>
          <t>2026-02</t>
        </is>
      </c>
      <c r="AY2173" t="inlineStr">
        <is>
          <t>Beslut</t>
        </is>
      </c>
      <c r="AZ2173" t="inlineStr">
        <is>
          <t>2026-02-03</t>
        </is>
      </c>
      <c r="BA2173" t="inlineStr">
        <is>
          <t>MIL20252312pdf_976442.pdf</t>
        </is>
      </c>
      <c r="BB2173" t="inlineStr">
        <is>
          <t>Begäran om allmän handling i ärende  MIL.2026.363</t>
        </is>
      </c>
      <c r="BC2173" t="inlineStr">
        <is>
          <t>AUTO</t>
        </is>
      </c>
      <c r="BD2173" t="inlineStr"/>
      <c r="BE2173" t="inlineStr"/>
      <c r="BF2173" t="inlineStr">
        <is>
          <t>AUTO_GENERERAD. Bekrafta metadata mot kallfil.</t>
        </is>
      </c>
      <c r="BG2173">
        <f>HYPERLINK("C:\Users\jimmy\Desktop\Examens arbete\Kod\Ny mapp\remix_-copy-of-miljöbeslut.se-portal\MIL20252312pdf_976442.pdf", "Öppna PDF")</f>
        <v/>
      </c>
    </row>
    <row r="2174">
      <c r="A2174" t="inlineStr">
        <is>
          <t>KRAV-AUTO-002173</t>
        </is>
      </c>
      <c r="B2174" t="inlineStr">
        <is>
          <t>ADMIN-INDEX-2026-02-27-00000000125C043F57453246863FE664CAFE6A3F0700950291EA24F0614FB6ACEDB12BF0E31D00000000010C0000950291EA24F0614FB6ACEDB12BF0E31D00002087B1A00000</t>
        </is>
      </c>
      <c r="C2174" t="inlineStr">
        <is>
          <t>cmm4yunee00lqcuqwbqwfs4r1</t>
        </is>
      </c>
      <c r="D2174" t="inlineStr">
        <is>
          <t>http://localhost:8787/api/admin/requirements/documents/cmm4yunee00lqcuqwbqwfs4r1/view</t>
        </is>
      </c>
      <c r="E2174">
        <f>HYPERLÄNK("http://localhost:8787/api/admin/requirements/documents/cmm4yunee00lqcuqwbqwfs4r1/view";"Öppna PDF")</f>
        <v/>
      </c>
      <c r="F2174">
        <f>HYPERLINK("http://localhost:8787/api/admin/requirements/documents/cmm4yunee00lqcuqwbqwfs4r1/view","Open PDF")</f>
        <v/>
      </c>
      <c r="G2174" t="inlineStr">
        <is>
          <t>cmm55w57p0004cuisfrtpqly8</t>
        </is>
      </c>
      <c r="H2174" t="inlineStr">
        <is>
          <t>Beslutsvillkor</t>
        </is>
      </c>
      <c r="I2174" t="inlineStr">
        <is>
          <t>Riskhantering</t>
        </is>
      </c>
      <c r="J2174" t="inlineStr">
        <is>
          <t>Riskkontroll</t>
        </is>
      </c>
      <c r="K2174" t="inlineStr">
        <is>
          <t>Täckning ska med hänsyn till risk för luktolägenhet göras i snar anslutning till uppläggning.</t>
        </is>
      </c>
      <c r="L2174" t="inlineStr">
        <is>
          <t>Täckning ska med hänsyn till risk för luktolägenhet göras i snar anslutning till uppläggning.</t>
        </is>
      </c>
      <c r="M2174" t="inlineStr">
        <is>
          <t>SKA</t>
        </is>
      </c>
      <c r="N2174" t="inlineStr"/>
      <c r="O2174" t="inlineStr"/>
      <c r="P2174" t="inlineStr"/>
      <c r="Q2174" t="inlineStr"/>
      <c r="R2174" t="inlineStr">
        <is>
          <t>Vid risk for incident</t>
        </is>
      </c>
      <c r="S2174" t="inlineStr"/>
      <c r="T2174" t="inlineStr">
        <is>
          <t>957717</t>
        </is>
      </c>
      <c r="U2174" t="inlineStr"/>
      <c r="V2174" t="inlineStr"/>
      <c r="W2174" t="inlineStr">
        <is>
          <t>Nej</t>
        </is>
      </c>
      <c r="X2174" t="inlineStr">
        <is>
          <t>Nej</t>
        </is>
      </c>
      <c r="Y2174" t="inlineStr">
        <is>
          <t>Ja</t>
        </is>
      </c>
      <c r="Z2174" t="inlineStr">
        <is>
          <t>Ja</t>
        </is>
      </c>
      <c r="AA2174" t="n">
        <v>8</v>
      </c>
      <c r="AB2174" t="inlineStr">
        <is>
          <t>Riskhantering</t>
        </is>
      </c>
      <c r="AC2174" t="inlineStr">
        <is>
          <t>Risk-PM</t>
        </is>
      </c>
      <c r="AD2174" t="inlineStr">
        <is>
          <t>Nej</t>
        </is>
      </c>
      <c r="AE2174" t="inlineStr">
        <is>
          <t>Nej</t>
        </is>
      </c>
      <c r="AF2174" t="inlineStr">
        <is>
          <t>Ej behandlad</t>
        </is>
      </c>
      <c r="AG2174" t="inlineStr">
        <is>
          <t>AUTO_GENERERAD. Verifiera citat mot kallfil.</t>
        </is>
      </c>
      <c r="AH2174" t="inlineStr">
        <is>
          <t>MEDIUM</t>
        </is>
      </c>
      <c r="AI2174" t="inlineStr">
        <is>
          <t>AUTO</t>
        </is>
      </c>
      <c r="AJ2174" t="inlineStr">
        <is>
          <t>Nej</t>
        </is>
      </c>
      <c r="AK2174" t="inlineStr"/>
      <c r="AL2174" t="inlineStr"/>
      <c r="AM2174" t="inlineStr"/>
      <c r="AN2174" t="inlineStr"/>
      <c r="AO2174" t="inlineStr">
        <is>
          <t>cmm4yunek00lwcuqwvgwjc3hk</t>
        </is>
      </c>
      <c r="AP2174" t="inlineStr">
        <is>
          <t>http://localhost:8787/api/admin/requirements/documents/cmm4yunek00lwcuqwvgwjc3hk/view</t>
        </is>
      </c>
      <c r="AQ2174">
        <f>HYPERLÄNK("http://localhost:8787/api/admin/requirements/documents/cmm4yunek00lwcuqwvgwjc3hk/view";"Öppna PDF")</f>
        <v/>
      </c>
      <c r="AR2174">
        <f>HYPERLINK("http://localhost:8787/api/admin/requirements/documents/cmm4yunek00lwcuqwvgwjc3hk/view","Open PDF")</f>
        <v/>
      </c>
      <c r="AS2174" t="inlineStr">
        <is>
          <t>cmm55w57p0004cuisfrtpqly8</t>
        </is>
      </c>
      <c r="AT2174" t="inlineStr">
        <is>
          <t>cmm4xvu980000cuh4vj0usz09</t>
        </is>
      </c>
      <c r="AU2174" t="inlineStr"/>
      <c r="AV2174" t="inlineStr">
        <is>
          <t>Kommun</t>
        </is>
      </c>
      <c r="AW2174" t="inlineStr"/>
      <c r="AX2174" t="inlineStr">
        <is>
          <t>2026-02</t>
        </is>
      </c>
      <c r="AY2174" t="inlineStr">
        <is>
          <t>Beslut</t>
        </is>
      </c>
      <c r="AZ2174" t="inlineStr">
        <is>
          <t>2026-02-03</t>
        </is>
      </c>
      <c r="BA2174" t="inlineStr">
        <is>
          <t>MIL20252312pdf_976442.pdf</t>
        </is>
      </c>
      <c r="BB2174" t="inlineStr">
        <is>
          <t>Begäran om allmän handling i ärende  MIL.2026.363</t>
        </is>
      </c>
      <c r="BC2174" t="inlineStr">
        <is>
          <t>AUTO</t>
        </is>
      </c>
      <c r="BD2174" t="inlineStr"/>
      <c r="BE2174" t="inlineStr"/>
      <c r="BF2174" t="inlineStr">
        <is>
          <t>AUTO_GENERERAD. Bekrafta metadata mot kallfil.</t>
        </is>
      </c>
      <c r="BG2174">
        <f>HYPERLINK("C:\Users\jimmy\Desktop\Examens arbete\Kod\Ny mapp\remix_-copy-of-miljöbeslut.se-portal\MIL20252312pdf_976442.pdf", "Öppna PDF")</f>
        <v/>
      </c>
    </row>
    <row r="2175">
      <c r="A2175" t="inlineStr">
        <is>
          <t>KRAV-AUTO-002174</t>
        </is>
      </c>
      <c r="B2175" t="inlineStr">
        <is>
          <t>ADMIN-INDEX-2026-02-27-00000000125C043F57453246863FE664CAFE6A3F0700950291EA24F0614FB6ACEDB12BF0E31D00000000010C0000950291EA24F0614FB6ACEDB12BF0E31D00002087B1A00000</t>
        </is>
      </c>
      <c r="C2175" t="inlineStr">
        <is>
          <t>cmm4yunea00lncuqweiodxkwo</t>
        </is>
      </c>
      <c r="D2175" t="inlineStr">
        <is>
          <t>http://localhost:8787/api/admin/requirements/documents/cmm4yunea00lncuqweiodxkwo/view</t>
        </is>
      </c>
      <c r="E2175">
        <f>HYPERLÄNK("http://localhost:8787/api/admin/requirements/documents/cmm4yunea00lncuqweiodxkwo/view";"Öppna PDF")</f>
        <v/>
      </c>
      <c r="F2175">
        <f>HYPERLINK("http://localhost:8787/api/admin/requirements/documents/cmm4yunea00lncuqweiodxkwo/view","Open PDF")</f>
        <v/>
      </c>
      <c r="G2175" t="inlineStr">
        <is>
          <t>cmm55w57p0004cuisfrtpqly8</t>
        </is>
      </c>
      <c r="H2175" t="inlineStr">
        <is>
          <t>Beslutsvillkor</t>
        </is>
      </c>
      <c r="I2175" t="inlineStr">
        <is>
          <t>DagvattenLakvatten</t>
        </is>
      </c>
      <c r="J2175" t="inlineStr">
        <is>
          <t>Uppsamling</t>
        </is>
      </c>
      <c r="K2175" t="inlineStr">
        <is>
          <t>Lagringen ska ske så att risken för uppkomst av lakvatten från rötslammet minimeras.</t>
        </is>
      </c>
      <c r="L2175" t="inlineStr">
        <is>
          <t>Lagringen ska ske så att risken för uppkomst av lakvatten från rötslammet minimeras.</t>
        </is>
      </c>
      <c r="M2175" t="inlineStr">
        <is>
          <t>SKA</t>
        </is>
      </c>
      <c r="N2175" t="inlineStr"/>
      <c r="O2175" t="inlineStr"/>
      <c r="P2175" t="inlineStr"/>
      <c r="Q2175" t="inlineStr"/>
      <c r="R2175" t="inlineStr">
        <is>
          <t>Vid nederbord och avrinning</t>
        </is>
      </c>
      <c r="S2175" t="inlineStr"/>
      <c r="T2175" t="inlineStr">
        <is>
          <t>956865</t>
        </is>
      </c>
      <c r="U2175" t="inlineStr"/>
      <c r="V2175" t="inlineStr"/>
      <c r="W2175" t="inlineStr">
        <is>
          <t>Nej</t>
        </is>
      </c>
      <c r="X2175" t="inlineStr">
        <is>
          <t>Ja</t>
        </is>
      </c>
      <c r="Y2175" t="inlineStr">
        <is>
          <t>Ja</t>
        </is>
      </c>
      <c r="Z2175" t="inlineStr">
        <is>
          <t>Nej</t>
        </is>
      </c>
      <c r="AA2175" t="n">
        <v>6</v>
      </c>
      <c r="AB2175" t="inlineStr">
        <is>
          <t>Lakvattenhantering</t>
        </is>
      </c>
      <c r="AC2175" t="inlineStr">
        <is>
          <t>Flodesschema dagvatten-lakvatten</t>
        </is>
      </c>
      <c r="AD2175" t="inlineStr">
        <is>
          <t>Nej</t>
        </is>
      </c>
      <c r="AE2175" t="inlineStr">
        <is>
          <t>Nej</t>
        </is>
      </c>
      <c r="AF2175" t="inlineStr">
        <is>
          <t>Ej behandlad</t>
        </is>
      </c>
      <c r="AG2175" t="inlineStr">
        <is>
          <t>AUTO_GENERERAD. Verifiera citat mot kallfil.</t>
        </is>
      </c>
      <c r="AH2175" t="inlineStr">
        <is>
          <t>MEDIUM</t>
        </is>
      </c>
      <c r="AI2175" t="inlineStr">
        <is>
          <t>AUTO</t>
        </is>
      </c>
      <c r="AJ2175" t="inlineStr">
        <is>
          <t>Nej</t>
        </is>
      </c>
      <c r="AK2175" t="inlineStr"/>
      <c r="AL2175" t="inlineStr"/>
      <c r="AM2175" t="inlineStr"/>
      <c r="AN2175" t="inlineStr"/>
      <c r="AO2175" t="inlineStr">
        <is>
          <t>cmm4yunek00lwcuqwvgwjc3hk</t>
        </is>
      </c>
      <c r="AP2175" t="inlineStr">
        <is>
          <t>http://localhost:8787/api/admin/requirements/documents/cmm4yunek00lwcuqwvgwjc3hk/view</t>
        </is>
      </c>
      <c r="AQ2175">
        <f>HYPERLÄNK("http://localhost:8787/api/admin/requirements/documents/cmm4yunek00lwcuqwvgwjc3hk/view";"Öppna PDF")</f>
        <v/>
      </c>
      <c r="AR2175">
        <f>HYPERLINK("http://localhost:8787/api/admin/requirements/documents/cmm4yunek00lwcuqwvgwjc3hk/view","Open PDF")</f>
        <v/>
      </c>
      <c r="AS2175" t="inlineStr">
        <is>
          <t>cmm55w57p0004cuisfrtpqly8</t>
        </is>
      </c>
      <c r="AT2175" t="inlineStr">
        <is>
          <t>cmm4xvu980000cuh4vj0usz09</t>
        </is>
      </c>
      <c r="AU2175" t="inlineStr"/>
      <c r="AV2175" t="inlineStr">
        <is>
          <t>Kommun</t>
        </is>
      </c>
      <c r="AW2175" t="inlineStr"/>
      <c r="AX2175" t="inlineStr">
        <is>
          <t>2026-02</t>
        </is>
      </c>
      <c r="AY2175" t="inlineStr">
        <is>
          <t>Beslut</t>
        </is>
      </c>
      <c r="AZ2175" t="inlineStr">
        <is>
          <t>2026-02-03</t>
        </is>
      </c>
      <c r="BA2175" t="inlineStr">
        <is>
          <t>MIL20252312pdf_976442.pdf</t>
        </is>
      </c>
      <c r="BB2175" t="inlineStr">
        <is>
          <t>Begäran om allmän handling i ärende  MIL.2026.363</t>
        </is>
      </c>
      <c r="BC2175" t="inlineStr">
        <is>
          <t>AUTO</t>
        </is>
      </c>
      <c r="BD2175" t="inlineStr"/>
      <c r="BE2175" t="inlineStr"/>
      <c r="BF2175" t="inlineStr">
        <is>
          <t>AUTO_GENERERAD. Bekrafta metadata mot kallfil.</t>
        </is>
      </c>
      <c r="BG2175">
        <f>HYPERLINK("C:\Users\jimmy\Desktop\Examens arbete\Kod\Ny mapp\remix_-copy-of-miljöbeslut.se-portal\MIL20252312pdf_976442.pdf", "Öppna PDF")</f>
        <v/>
      </c>
    </row>
    <row r="2176">
      <c r="A2176" t="inlineStr">
        <is>
          <t>KRAV-AUTO-002175</t>
        </is>
      </c>
      <c r="B2176" t="inlineStr">
        <is>
          <t>ADMIN-INDEX-2026-02-27-00000000125C043F57453246863FE664CAFE6A3F0700950291EA24F0614FB6ACEDB12BF0E31D00000000010C0000950291EA24F0614FB6ACEDB12BF0E31D00002087B1A00000</t>
        </is>
      </c>
      <c r="C2176" t="inlineStr">
        <is>
          <t>cmm4yunea00lncuqweiodxkwo</t>
        </is>
      </c>
      <c r="D2176" t="inlineStr">
        <is>
          <t>http://localhost:8787/api/admin/requirements/documents/cmm4yunea00lncuqweiodxkwo/view</t>
        </is>
      </c>
      <c r="E2176">
        <f>HYPERLÄNK("http://localhost:8787/api/admin/requirements/documents/cmm4yunea00lncuqweiodxkwo/view";"Öppna PDF")</f>
        <v/>
      </c>
      <c r="F2176">
        <f>HYPERLINK("http://localhost:8787/api/admin/requirements/documents/cmm4yunea00lncuqweiodxkwo/view","Open PDF")</f>
        <v/>
      </c>
      <c r="G2176" t="inlineStr">
        <is>
          <t>cmm55w57p0004cuisfrtpqly8</t>
        </is>
      </c>
      <c r="H2176" t="inlineStr">
        <is>
          <t>Beslutsvillkor</t>
        </is>
      </c>
      <c r="I2176" t="inlineStr">
        <is>
          <t>DriftEgenkontroll</t>
        </is>
      </c>
      <c r="J2176" t="inlineStr">
        <is>
          <t>Journalforing</t>
        </is>
      </c>
      <c r="K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176" t="inlineStr">
        <is>
          <t>SKA</t>
        </is>
      </c>
      <c r="N2176" t="inlineStr"/>
      <c r="O2176" t="inlineStr"/>
      <c r="P2176" t="inlineStr"/>
      <c r="Q2176" t="inlineStr"/>
      <c r="R2176" t="inlineStr">
        <is>
          <t>Lopande drift</t>
        </is>
      </c>
      <c r="S2176" t="inlineStr"/>
      <c r="T2176" t="inlineStr">
        <is>
          <t>956865</t>
        </is>
      </c>
      <c r="U2176" t="inlineStr"/>
      <c r="V2176" t="inlineStr"/>
      <c r="W2176" t="inlineStr">
        <is>
          <t>Nej</t>
        </is>
      </c>
      <c r="X2176" t="inlineStr">
        <is>
          <t>Nej</t>
        </is>
      </c>
      <c r="Y2176" t="inlineStr">
        <is>
          <t>Ja</t>
        </is>
      </c>
      <c r="Z2176" t="inlineStr">
        <is>
          <t>Nej</t>
        </is>
      </c>
      <c r="AA2176" t="n">
        <v>7</v>
      </c>
      <c r="AB2176" t="inlineStr">
        <is>
          <t>Egenkontrollrutiner</t>
        </is>
      </c>
      <c r="AC2176" t="inlineStr">
        <is>
          <t>Egenkontrollprogram</t>
        </is>
      </c>
      <c r="AD2176" t="inlineStr">
        <is>
          <t>Nej</t>
        </is>
      </c>
      <c r="AE2176" t="inlineStr">
        <is>
          <t>Nej</t>
        </is>
      </c>
      <c r="AF2176" t="inlineStr">
        <is>
          <t>Ej behandlad</t>
        </is>
      </c>
      <c r="AG2176" t="inlineStr">
        <is>
          <t>AUTO_GENERERAD. Verifiera citat mot kallfil.</t>
        </is>
      </c>
      <c r="AH2176" t="inlineStr">
        <is>
          <t>MEDIUM</t>
        </is>
      </c>
      <c r="AI2176" t="inlineStr">
        <is>
          <t>AUTO</t>
        </is>
      </c>
      <c r="AJ2176" t="inlineStr">
        <is>
          <t>Nej</t>
        </is>
      </c>
      <c r="AK2176" t="inlineStr"/>
      <c r="AL2176" t="inlineStr"/>
      <c r="AM2176" t="inlineStr"/>
      <c r="AN2176" t="inlineStr"/>
      <c r="AO2176" t="inlineStr">
        <is>
          <t>cmm4yunek00lwcuqwvgwjc3hk</t>
        </is>
      </c>
      <c r="AP2176" t="inlineStr">
        <is>
          <t>http://localhost:8787/api/admin/requirements/documents/cmm4yunek00lwcuqwvgwjc3hk/view</t>
        </is>
      </c>
      <c r="AQ2176">
        <f>HYPERLÄNK("http://localhost:8787/api/admin/requirements/documents/cmm4yunek00lwcuqwvgwjc3hk/view";"Öppna PDF")</f>
        <v/>
      </c>
      <c r="AR2176">
        <f>HYPERLINK("http://localhost:8787/api/admin/requirements/documents/cmm4yunek00lwcuqwvgwjc3hk/view","Open PDF")</f>
        <v/>
      </c>
      <c r="AS2176" t="inlineStr">
        <is>
          <t>cmm55w57p0004cuisfrtpqly8</t>
        </is>
      </c>
      <c r="AT2176" t="inlineStr">
        <is>
          <t>cmm4xvu980000cuh4vj0usz09</t>
        </is>
      </c>
      <c r="AU2176" t="inlineStr"/>
      <c r="AV2176" t="inlineStr">
        <is>
          <t>Kommun</t>
        </is>
      </c>
      <c r="AW2176" t="inlineStr"/>
      <c r="AX2176" t="inlineStr">
        <is>
          <t>2026-02</t>
        </is>
      </c>
      <c r="AY2176" t="inlineStr">
        <is>
          <t>Beslut</t>
        </is>
      </c>
      <c r="AZ2176" t="inlineStr">
        <is>
          <t>2026-02-03</t>
        </is>
      </c>
      <c r="BA2176" t="inlineStr">
        <is>
          <t>MIL20252312pdf_976442.pdf</t>
        </is>
      </c>
      <c r="BB2176" t="inlineStr">
        <is>
          <t>Begäran om allmän handling i ärende  MIL.2026.363</t>
        </is>
      </c>
      <c r="BC2176" t="inlineStr">
        <is>
          <t>AUTO</t>
        </is>
      </c>
      <c r="BD2176" t="inlineStr"/>
      <c r="BE2176" t="inlineStr"/>
      <c r="BF2176" t="inlineStr">
        <is>
          <t>AUTO_GENERERAD. Bekrafta metadata mot kallfil.</t>
        </is>
      </c>
      <c r="BG2176">
        <f>HYPERLINK("C:\Users\jimmy\Desktop\Examens arbete\Kod\Ny mapp\remix_-copy-of-miljöbeslut.se-portal\MIL20252312pdf_976442.pdf", "Öppna PDF")</f>
        <v/>
      </c>
    </row>
    <row r="2177">
      <c r="A2177" t="inlineStr">
        <is>
          <t>KRAV-AUTO-002176</t>
        </is>
      </c>
      <c r="B2177" t="inlineStr">
        <is>
          <t>ADMIN-INDEX-2026-02-27-00000000125C043F57453246863FE664CAFE6A3F0700950291EA24F0614FB6ACEDB12BF0E31D00000000010C0000950291EA24F0614FB6ACEDB12BF0E31D00002087B1A00000</t>
        </is>
      </c>
      <c r="C2177" t="inlineStr">
        <is>
          <t>cmm4yunea00lncuqweiodxkwo</t>
        </is>
      </c>
      <c r="D2177" t="inlineStr">
        <is>
          <t>http://localhost:8787/api/admin/requirements/documents/cmm4yunea00lncuqweiodxkwo/view</t>
        </is>
      </c>
      <c r="E2177">
        <f>HYPERLÄNK("http://localhost:8787/api/admin/requirements/documents/cmm4yunea00lncuqweiodxkwo/view";"Öppna PDF")</f>
        <v/>
      </c>
      <c r="F2177">
        <f>HYPERLINK("http://localhost:8787/api/admin/requirements/documents/cmm4yunea00lncuqweiodxkwo/view","Open PDF")</f>
        <v/>
      </c>
      <c r="G2177" t="inlineStr">
        <is>
          <t>cmm55w57p0004cuisfrtpqly8</t>
        </is>
      </c>
      <c r="H2177" t="inlineStr">
        <is>
          <t>Beslutsvillkor</t>
        </is>
      </c>
      <c r="I2177" t="inlineStr">
        <is>
          <t>DriftEgenkontroll</t>
        </is>
      </c>
      <c r="J2177" t="inlineStr">
        <is>
          <t>Journalforing</t>
        </is>
      </c>
      <c r="K2177" t="inlineStr">
        <is>
          <t>Jordprovtagningskarta bifogas.</t>
        </is>
      </c>
      <c r="L2177" t="inlineStr">
        <is>
          <t>Jordprovtagningskarta bifogas.</t>
        </is>
      </c>
      <c r="M2177" t="inlineStr">
        <is>
          <t>SKA</t>
        </is>
      </c>
      <c r="N2177" t="inlineStr"/>
      <c r="O2177" t="inlineStr"/>
      <c r="P2177" t="inlineStr"/>
      <c r="Q2177" t="inlineStr"/>
      <c r="R2177" t="inlineStr">
        <is>
          <t>Lopande drift</t>
        </is>
      </c>
      <c r="S2177" t="inlineStr"/>
      <c r="T2177" t="inlineStr">
        <is>
          <t>956865</t>
        </is>
      </c>
      <c r="U2177" t="inlineStr"/>
      <c r="V2177" t="inlineStr"/>
      <c r="W2177" t="inlineStr">
        <is>
          <t>Nej</t>
        </is>
      </c>
      <c r="X2177" t="inlineStr">
        <is>
          <t>Nej</t>
        </is>
      </c>
      <c r="Y2177" t="inlineStr">
        <is>
          <t>Ja</t>
        </is>
      </c>
      <c r="Z2177" t="inlineStr">
        <is>
          <t>Nej</t>
        </is>
      </c>
      <c r="AA2177" t="n">
        <v>7</v>
      </c>
      <c r="AB2177" t="inlineStr">
        <is>
          <t>Egenkontrollrutiner</t>
        </is>
      </c>
      <c r="AC2177" t="inlineStr">
        <is>
          <t>Egenkontrollprogram</t>
        </is>
      </c>
      <c r="AD2177" t="inlineStr">
        <is>
          <t>Nej</t>
        </is>
      </c>
      <c r="AE2177" t="inlineStr">
        <is>
          <t>Nej</t>
        </is>
      </c>
      <c r="AF2177" t="inlineStr">
        <is>
          <t>Ej behandlad</t>
        </is>
      </c>
      <c r="AG2177" t="inlineStr">
        <is>
          <t>AUTO_GENERERAD. Verifiera citat mot kallfil.</t>
        </is>
      </c>
      <c r="AH2177" t="inlineStr">
        <is>
          <t>LOW</t>
        </is>
      </c>
      <c r="AI2177" t="inlineStr">
        <is>
          <t>AUTO</t>
        </is>
      </c>
      <c r="AJ2177" t="inlineStr">
        <is>
          <t>Nej</t>
        </is>
      </c>
      <c r="AK2177" t="inlineStr"/>
      <c r="AL2177" t="inlineStr"/>
      <c r="AM2177" t="inlineStr"/>
      <c r="AN2177" t="inlineStr"/>
      <c r="AO2177" t="inlineStr">
        <is>
          <t>cmm4yunek00lwcuqwvgwjc3hk</t>
        </is>
      </c>
      <c r="AP2177" t="inlineStr">
        <is>
          <t>http://localhost:8787/api/admin/requirements/documents/cmm4yunek00lwcuqwvgwjc3hk/view</t>
        </is>
      </c>
      <c r="AQ2177">
        <f>HYPERLÄNK("http://localhost:8787/api/admin/requirements/documents/cmm4yunek00lwcuqwvgwjc3hk/view";"Öppna PDF")</f>
        <v/>
      </c>
      <c r="AR2177">
        <f>HYPERLINK("http://localhost:8787/api/admin/requirements/documents/cmm4yunek00lwcuqwvgwjc3hk/view","Open PDF")</f>
        <v/>
      </c>
      <c r="AS2177" t="inlineStr">
        <is>
          <t>cmm55w57p0004cuisfrtpqly8</t>
        </is>
      </c>
      <c r="AT2177" t="inlineStr">
        <is>
          <t>cmm4xvu980000cuh4vj0usz09</t>
        </is>
      </c>
      <c r="AU2177" t="inlineStr"/>
      <c r="AV2177" t="inlineStr">
        <is>
          <t>Kommun</t>
        </is>
      </c>
      <c r="AW2177" t="inlineStr"/>
      <c r="AX2177" t="inlineStr">
        <is>
          <t>2026-02</t>
        </is>
      </c>
      <c r="AY2177" t="inlineStr">
        <is>
          <t>Beslut</t>
        </is>
      </c>
      <c r="AZ2177" t="inlineStr">
        <is>
          <t>2026-02-03</t>
        </is>
      </c>
      <c r="BA2177" t="inlineStr">
        <is>
          <t>MIL20252312pdf_976442.pdf</t>
        </is>
      </c>
      <c r="BB2177" t="inlineStr">
        <is>
          <t>Begäran om allmän handling i ärende  MIL.2026.363</t>
        </is>
      </c>
      <c r="BC2177" t="inlineStr">
        <is>
          <t>AUTO</t>
        </is>
      </c>
      <c r="BD2177" t="inlineStr"/>
      <c r="BE2177" t="inlineStr"/>
      <c r="BF2177" t="inlineStr">
        <is>
          <t>AUTO_GENERERAD. Bekrafta metadata mot kallfil.</t>
        </is>
      </c>
      <c r="BG2177">
        <f>HYPERLINK("C:\Users\jimmy\Desktop\Examens arbete\Kod\Ny mapp\remix_-copy-of-miljöbeslut.se-portal\MIL20252312pdf_976442.pdf", "Öppna PDF")</f>
        <v/>
      </c>
    </row>
    <row r="2178">
      <c r="A2178" t="inlineStr">
        <is>
          <t>KRAV-AUTO-002177</t>
        </is>
      </c>
      <c r="B2178" t="inlineStr">
        <is>
          <t>ADMIN-INDEX-2026-02-27-00000000125C043F57453246863FE664CAFE6A3F0700950291EA24F0614FB6ACEDB12BF0E31D00000000010C0000950291EA24F0614FB6ACEDB12BF0E31D00002087B1A00000</t>
        </is>
      </c>
      <c r="C2178" t="inlineStr">
        <is>
          <t>cmm4yune800lkcuqwkwmew0us</t>
        </is>
      </c>
      <c r="D2178" t="inlineStr">
        <is>
          <t>http://localhost:8787/api/admin/requirements/documents/cmm4yune800lkcuqwkwmew0us/view</t>
        </is>
      </c>
      <c r="E2178">
        <f>HYPERLÄNK("http://localhost:8787/api/admin/requirements/documents/cmm4yune800lkcuqwkwmew0us/view";"Öppna PDF")</f>
        <v/>
      </c>
      <c r="F2178">
        <f>HYPERLINK("http://localhost:8787/api/admin/requirements/documents/cmm4yune800lkcuqwkwmew0us/view","Open PDF")</f>
        <v/>
      </c>
      <c r="G2178" t="inlineStr">
        <is>
          <t>cmm55w57p0004cuisfrtpqly8</t>
        </is>
      </c>
      <c r="H2178" t="inlineStr">
        <is>
          <t>Beslutsvillkor</t>
        </is>
      </c>
      <c r="I2178" t="inlineStr">
        <is>
          <t>DagvattenLakvatten</t>
        </is>
      </c>
      <c r="J2178" t="inlineStr">
        <is>
          <t>Uppsamling</t>
        </is>
      </c>
      <c r="K2178" t="inlineStr">
        <is>
          <t>Lagringen ska ske så att risken för uppkomst av lakvatten från rötslammet minimeras.</t>
        </is>
      </c>
      <c r="L2178" t="inlineStr">
        <is>
          <t>Lagringen ska ske så att risken för uppkomst av lakvatten från rötslammet minimeras.</t>
        </is>
      </c>
      <c r="M2178" t="inlineStr">
        <is>
          <t>SKA</t>
        </is>
      </c>
      <c r="N2178" t="inlineStr"/>
      <c r="O2178" t="inlineStr"/>
      <c r="P2178" t="inlineStr"/>
      <c r="Q2178" t="inlineStr"/>
      <c r="R2178" t="inlineStr">
        <is>
          <t>Vid nederbord och avrinning</t>
        </is>
      </c>
      <c r="S2178" t="inlineStr"/>
      <c r="T2178" t="inlineStr">
        <is>
          <t>958998</t>
        </is>
      </c>
      <c r="U2178" t="inlineStr"/>
      <c r="V2178" t="inlineStr"/>
      <c r="W2178" t="inlineStr">
        <is>
          <t>Nej</t>
        </is>
      </c>
      <c r="X2178" t="inlineStr">
        <is>
          <t>Ja</t>
        </is>
      </c>
      <c r="Y2178" t="inlineStr">
        <is>
          <t>Ja</t>
        </is>
      </c>
      <c r="Z2178" t="inlineStr">
        <is>
          <t>Nej</t>
        </is>
      </c>
      <c r="AA2178" t="n">
        <v>6</v>
      </c>
      <c r="AB2178" t="inlineStr">
        <is>
          <t>Lakvattenhantering</t>
        </is>
      </c>
      <c r="AC2178" t="inlineStr">
        <is>
          <t>Flodesschema dagvatten-lakvatten</t>
        </is>
      </c>
      <c r="AD2178" t="inlineStr">
        <is>
          <t>Nej</t>
        </is>
      </c>
      <c r="AE2178" t="inlineStr">
        <is>
          <t>Nej</t>
        </is>
      </c>
      <c r="AF2178" t="inlineStr">
        <is>
          <t>Ej behandlad</t>
        </is>
      </c>
      <c r="AG2178" t="inlineStr">
        <is>
          <t>AUTO_GENERERAD. Verifiera citat mot kallfil.</t>
        </is>
      </c>
      <c r="AH2178" t="inlineStr">
        <is>
          <t>MEDIUM</t>
        </is>
      </c>
      <c r="AI2178" t="inlineStr">
        <is>
          <t>AUTO</t>
        </is>
      </c>
      <c r="AJ2178" t="inlineStr">
        <is>
          <t>Nej</t>
        </is>
      </c>
      <c r="AK2178" t="inlineStr"/>
      <c r="AL2178" t="inlineStr"/>
      <c r="AM2178" t="inlineStr"/>
      <c r="AN2178" t="inlineStr"/>
      <c r="AO2178" t="inlineStr">
        <is>
          <t>cmm4yunek00lwcuqwvgwjc3hk</t>
        </is>
      </c>
      <c r="AP2178" t="inlineStr">
        <is>
          <t>http://localhost:8787/api/admin/requirements/documents/cmm4yunek00lwcuqwvgwjc3hk/view</t>
        </is>
      </c>
      <c r="AQ2178">
        <f>HYPERLÄNK("http://localhost:8787/api/admin/requirements/documents/cmm4yunek00lwcuqwvgwjc3hk/view";"Öppna PDF")</f>
        <v/>
      </c>
      <c r="AR2178">
        <f>HYPERLINK("http://localhost:8787/api/admin/requirements/documents/cmm4yunek00lwcuqwvgwjc3hk/view","Open PDF")</f>
        <v/>
      </c>
      <c r="AS2178" t="inlineStr">
        <is>
          <t>cmm55w57p0004cuisfrtpqly8</t>
        </is>
      </c>
      <c r="AT2178" t="inlineStr">
        <is>
          <t>cmm4xvu980000cuh4vj0usz09</t>
        </is>
      </c>
      <c r="AU2178" t="inlineStr"/>
      <c r="AV2178" t="inlineStr">
        <is>
          <t>Kommun</t>
        </is>
      </c>
      <c r="AW2178" t="inlineStr"/>
      <c r="AX2178" t="inlineStr">
        <is>
          <t>2026-02</t>
        </is>
      </c>
      <c r="AY2178" t="inlineStr">
        <is>
          <t>Beslut</t>
        </is>
      </c>
      <c r="AZ2178" t="inlineStr">
        <is>
          <t>2026-02-03</t>
        </is>
      </c>
      <c r="BA2178" t="inlineStr">
        <is>
          <t>MIL20252312pdf_976442.pdf</t>
        </is>
      </c>
      <c r="BB2178" t="inlineStr">
        <is>
          <t>Begäran om allmän handling i ärende  MIL.2026.363</t>
        </is>
      </c>
      <c r="BC2178" t="inlineStr">
        <is>
          <t>AUTO</t>
        </is>
      </c>
      <c r="BD2178" t="inlineStr"/>
      <c r="BE2178" t="inlineStr"/>
      <c r="BF2178" t="inlineStr">
        <is>
          <t>AUTO_GENERERAD. Bekrafta metadata mot kallfil.</t>
        </is>
      </c>
      <c r="BG2178">
        <f>HYPERLINK("C:\Users\jimmy\Desktop\Examens arbete\Kod\Ny mapp\remix_-copy-of-miljöbeslut.se-portal\MIL20252312pdf_976442.pdf", "Öppna PDF")</f>
        <v/>
      </c>
    </row>
    <row r="2179">
      <c r="A2179" t="inlineStr">
        <is>
          <t>KRAV-AUTO-002178</t>
        </is>
      </c>
      <c r="B2179" t="inlineStr">
        <is>
          <t>ADMIN-INDEX-2026-02-27-00000000125C043F57453246863FE664CAFE6A3F0700950291EA24F0614FB6ACEDB12BF0E31D00000000010C0000950291EA24F0614FB6ACEDB12BF0E31D00002087B1A00000</t>
        </is>
      </c>
      <c r="C2179" t="inlineStr">
        <is>
          <t>cmm4yune800lkcuqwkwmew0us</t>
        </is>
      </c>
      <c r="D2179" t="inlineStr">
        <is>
          <t>http://localhost:8787/api/admin/requirements/documents/cmm4yune800lkcuqwkwmew0us/view</t>
        </is>
      </c>
      <c r="E2179">
        <f>HYPERLÄNK("http://localhost:8787/api/admin/requirements/documents/cmm4yune800lkcuqwkwmew0us/view";"Öppna PDF")</f>
        <v/>
      </c>
      <c r="F2179">
        <f>HYPERLINK("http://localhost:8787/api/admin/requirements/documents/cmm4yune800lkcuqwkwmew0us/view","Open PDF")</f>
        <v/>
      </c>
      <c r="G2179" t="inlineStr">
        <is>
          <t>cmm55w57p0004cuisfrtpqly8</t>
        </is>
      </c>
      <c r="H2179" t="inlineStr">
        <is>
          <t>Beslutsvillkor</t>
        </is>
      </c>
      <c r="I2179" t="inlineStr">
        <is>
          <t>DriftEgenkontroll</t>
        </is>
      </c>
      <c r="J2179" t="inlineStr">
        <is>
          <t>Journalforing</t>
        </is>
      </c>
      <c r="K2179" t="inlineStr">
        <is>
          <t>Jordprovtagningskarta bifogas.</t>
        </is>
      </c>
      <c r="L2179" t="inlineStr">
        <is>
          <t>Jordprovtagningskarta bifogas.</t>
        </is>
      </c>
      <c r="M2179" t="inlineStr">
        <is>
          <t>SKA</t>
        </is>
      </c>
      <c r="N2179" t="inlineStr"/>
      <c r="O2179" t="inlineStr"/>
      <c r="P2179" t="inlineStr"/>
      <c r="Q2179" t="inlineStr"/>
      <c r="R2179" t="inlineStr">
        <is>
          <t>Lopande drift</t>
        </is>
      </c>
      <c r="S2179" t="inlineStr"/>
      <c r="T2179" t="inlineStr">
        <is>
          <t>958998</t>
        </is>
      </c>
      <c r="U2179" t="inlineStr"/>
      <c r="V2179" t="inlineStr"/>
      <c r="W2179" t="inlineStr">
        <is>
          <t>Nej</t>
        </is>
      </c>
      <c r="X2179" t="inlineStr">
        <is>
          <t>Nej</t>
        </is>
      </c>
      <c r="Y2179" t="inlineStr">
        <is>
          <t>Ja</t>
        </is>
      </c>
      <c r="Z2179" t="inlineStr">
        <is>
          <t>Nej</t>
        </is>
      </c>
      <c r="AA2179" t="n">
        <v>7</v>
      </c>
      <c r="AB2179" t="inlineStr">
        <is>
          <t>Egenkontrollrutiner</t>
        </is>
      </c>
      <c r="AC2179" t="inlineStr">
        <is>
          <t>Egenkontrollprogram</t>
        </is>
      </c>
      <c r="AD2179" t="inlineStr">
        <is>
          <t>Nej</t>
        </is>
      </c>
      <c r="AE2179" t="inlineStr">
        <is>
          <t>Nej</t>
        </is>
      </c>
      <c r="AF2179" t="inlineStr">
        <is>
          <t>Ej behandlad</t>
        </is>
      </c>
      <c r="AG2179" t="inlineStr">
        <is>
          <t>AUTO_GENERERAD. Verifiera citat mot kallfil.</t>
        </is>
      </c>
      <c r="AH2179" t="inlineStr">
        <is>
          <t>LOW</t>
        </is>
      </c>
      <c r="AI2179" t="inlineStr">
        <is>
          <t>AUTO</t>
        </is>
      </c>
      <c r="AJ2179" t="inlineStr">
        <is>
          <t>Nej</t>
        </is>
      </c>
      <c r="AK2179" t="inlineStr"/>
      <c r="AL2179" t="inlineStr"/>
      <c r="AM2179" t="inlineStr"/>
      <c r="AN2179" t="inlineStr"/>
      <c r="AO2179" t="inlineStr">
        <is>
          <t>cmm4yunek00lwcuqwvgwjc3hk</t>
        </is>
      </c>
      <c r="AP2179" t="inlineStr">
        <is>
          <t>http://localhost:8787/api/admin/requirements/documents/cmm4yunek00lwcuqwvgwjc3hk/view</t>
        </is>
      </c>
      <c r="AQ2179">
        <f>HYPERLÄNK("http://localhost:8787/api/admin/requirements/documents/cmm4yunek00lwcuqwvgwjc3hk/view";"Öppna PDF")</f>
        <v/>
      </c>
      <c r="AR2179">
        <f>HYPERLINK("http://localhost:8787/api/admin/requirements/documents/cmm4yunek00lwcuqwvgwjc3hk/view","Open PDF")</f>
        <v/>
      </c>
      <c r="AS2179" t="inlineStr">
        <is>
          <t>cmm55w57p0004cuisfrtpqly8</t>
        </is>
      </c>
      <c r="AT2179" t="inlineStr">
        <is>
          <t>cmm4xvu980000cuh4vj0usz09</t>
        </is>
      </c>
      <c r="AU2179" t="inlineStr"/>
      <c r="AV2179" t="inlineStr">
        <is>
          <t>Kommun</t>
        </is>
      </c>
      <c r="AW2179" t="inlineStr"/>
      <c r="AX2179" t="inlineStr">
        <is>
          <t>2026-02</t>
        </is>
      </c>
      <c r="AY2179" t="inlineStr">
        <is>
          <t>Beslut</t>
        </is>
      </c>
      <c r="AZ2179" t="inlineStr">
        <is>
          <t>2026-02-03</t>
        </is>
      </c>
      <c r="BA2179" t="inlineStr">
        <is>
          <t>MIL20252312pdf_976442.pdf</t>
        </is>
      </c>
      <c r="BB2179" t="inlineStr">
        <is>
          <t>Begäran om allmän handling i ärende  MIL.2026.363</t>
        </is>
      </c>
      <c r="BC2179" t="inlineStr">
        <is>
          <t>AUTO</t>
        </is>
      </c>
      <c r="BD2179" t="inlineStr"/>
      <c r="BE2179" t="inlineStr"/>
      <c r="BF2179" t="inlineStr">
        <is>
          <t>AUTO_GENERERAD. Bekrafta metadata mot kallfil.</t>
        </is>
      </c>
      <c r="BG2179">
        <f>HYPERLINK("C:\Users\jimmy\Desktop\Examens arbete\Kod\Ny mapp\remix_-copy-of-miljöbeslut.se-portal\MIL20252312pdf_976442.pdf", "Öppna PDF")</f>
        <v/>
      </c>
    </row>
    <row r="2180">
      <c r="A2180" t="inlineStr">
        <is>
          <t>KRAV-AUTO-002179</t>
        </is>
      </c>
      <c r="B2180" t="inlineStr">
        <is>
          <t>ADMIN-INDEX-2026-02-27-00000000125C043F57453246863FE664CAFE6A3F0700950291EA24F0614FB6ACEDB12BF0E31D00000000010C0000950291EA24F0614FB6ACEDB12BF0E31D00002087B1A00000</t>
        </is>
      </c>
      <c r="C2180" t="inlineStr">
        <is>
          <t>cmm4yune800lkcuqwkwmew0us</t>
        </is>
      </c>
      <c r="D2180" t="inlineStr">
        <is>
          <t>http://localhost:8787/api/admin/requirements/documents/cmm4yune800lkcuqwkwmew0us/view</t>
        </is>
      </c>
      <c r="E2180">
        <f>HYPERLÄNK("http://localhost:8787/api/admin/requirements/documents/cmm4yune800lkcuqwkwmew0us/view";"Öppna PDF")</f>
        <v/>
      </c>
      <c r="F2180">
        <f>HYPERLINK("http://localhost:8787/api/admin/requirements/documents/cmm4yune800lkcuqwkwmew0us/view","Open PDF")</f>
        <v/>
      </c>
      <c r="G2180" t="inlineStr">
        <is>
          <t>cmm55w57p0004cuisfrtpqly8</t>
        </is>
      </c>
      <c r="H2180" t="inlineStr">
        <is>
          <t>Beslutsvillkor</t>
        </is>
      </c>
      <c r="I2180" t="inlineStr">
        <is>
          <t>Riskhantering</t>
        </is>
      </c>
      <c r="J2180" t="inlineStr">
        <is>
          <t>Riskkontroll</t>
        </is>
      </c>
      <c r="K2180" t="inlineStr">
        <is>
          <t>Täckning ska med hänsyn till risk för luktolägenhet göras i snar anslutning till uppläggning.</t>
        </is>
      </c>
      <c r="L2180" t="inlineStr">
        <is>
          <t>Täckning ska med hänsyn till risk för luktolägenhet göras i snar anslutning till uppläggning.</t>
        </is>
      </c>
      <c r="M2180" t="inlineStr">
        <is>
          <t>SKA</t>
        </is>
      </c>
      <c r="N2180" t="inlineStr"/>
      <c r="O2180" t="inlineStr"/>
      <c r="P2180" t="inlineStr"/>
      <c r="Q2180" t="inlineStr"/>
      <c r="R2180" t="inlineStr">
        <is>
          <t>Vid risk for incident</t>
        </is>
      </c>
      <c r="S2180" t="inlineStr"/>
      <c r="T2180" t="inlineStr">
        <is>
          <t>958998</t>
        </is>
      </c>
      <c r="U2180" t="inlineStr"/>
      <c r="V2180" t="inlineStr"/>
      <c r="W2180" t="inlineStr">
        <is>
          <t>Nej</t>
        </is>
      </c>
      <c r="X2180" t="inlineStr">
        <is>
          <t>Nej</t>
        </is>
      </c>
      <c r="Y2180" t="inlineStr">
        <is>
          <t>Ja</t>
        </is>
      </c>
      <c r="Z2180" t="inlineStr">
        <is>
          <t>Ja</t>
        </is>
      </c>
      <c r="AA2180" t="n">
        <v>8</v>
      </c>
      <c r="AB2180" t="inlineStr">
        <is>
          <t>Riskhantering</t>
        </is>
      </c>
      <c r="AC2180" t="inlineStr">
        <is>
          <t>Risk-PM</t>
        </is>
      </c>
      <c r="AD2180" t="inlineStr">
        <is>
          <t>Nej</t>
        </is>
      </c>
      <c r="AE2180" t="inlineStr">
        <is>
          <t>Nej</t>
        </is>
      </c>
      <c r="AF2180" t="inlineStr">
        <is>
          <t>Ej behandlad</t>
        </is>
      </c>
      <c r="AG2180" t="inlineStr">
        <is>
          <t>AUTO_GENERERAD. Verifiera citat mot kallfil.</t>
        </is>
      </c>
      <c r="AH2180" t="inlineStr">
        <is>
          <t>MEDIUM</t>
        </is>
      </c>
      <c r="AI2180" t="inlineStr">
        <is>
          <t>AUTO</t>
        </is>
      </c>
      <c r="AJ2180" t="inlineStr">
        <is>
          <t>Nej</t>
        </is>
      </c>
      <c r="AK2180" t="inlineStr"/>
      <c r="AL2180" t="inlineStr"/>
      <c r="AM2180" t="inlineStr"/>
      <c r="AN2180" t="inlineStr"/>
      <c r="AO2180" t="inlineStr">
        <is>
          <t>cmm4yunek00lwcuqwvgwjc3hk</t>
        </is>
      </c>
      <c r="AP2180" t="inlineStr">
        <is>
          <t>http://localhost:8787/api/admin/requirements/documents/cmm4yunek00lwcuqwvgwjc3hk/view</t>
        </is>
      </c>
      <c r="AQ2180">
        <f>HYPERLÄNK("http://localhost:8787/api/admin/requirements/documents/cmm4yunek00lwcuqwvgwjc3hk/view";"Öppna PDF")</f>
        <v/>
      </c>
      <c r="AR2180">
        <f>HYPERLINK("http://localhost:8787/api/admin/requirements/documents/cmm4yunek00lwcuqwvgwjc3hk/view","Open PDF")</f>
        <v/>
      </c>
      <c r="AS2180" t="inlineStr">
        <is>
          <t>cmm55w57p0004cuisfrtpqly8</t>
        </is>
      </c>
      <c r="AT2180" t="inlineStr">
        <is>
          <t>cmm4xvu980000cuh4vj0usz09</t>
        </is>
      </c>
      <c r="AU2180" t="inlineStr"/>
      <c r="AV2180" t="inlineStr">
        <is>
          <t>Kommun</t>
        </is>
      </c>
      <c r="AW2180" t="inlineStr"/>
      <c r="AX2180" t="inlineStr">
        <is>
          <t>2026-02</t>
        </is>
      </c>
      <c r="AY2180" t="inlineStr">
        <is>
          <t>Beslut</t>
        </is>
      </c>
      <c r="AZ2180" t="inlineStr">
        <is>
          <t>2026-02-03</t>
        </is>
      </c>
      <c r="BA2180" t="inlineStr">
        <is>
          <t>MIL20252312pdf_976442.pdf</t>
        </is>
      </c>
      <c r="BB2180" t="inlineStr">
        <is>
          <t>Begäran om allmän handling i ärende  MIL.2026.363</t>
        </is>
      </c>
      <c r="BC2180" t="inlineStr">
        <is>
          <t>AUTO</t>
        </is>
      </c>
      <c r="BD2180" t="inlineStr"/>
      <c r="BE2180" t="inlineStr"/>
      <c r="BF2180" t="inlineStr">
        <is>
          <t>AUTO_GENERERAD. Bekrafta metadata mot kallfil.</t>
        </is>
      </c>
      <c r="BG2180">
        <f>HYPERLINK("C:\Users\jimmy\Desktop\Examens arbete\Kod\Ny mapp\remix_-copy-of-miljöbeslut.se-portal\MIL20252312pdf_976442.pdf", "Öppna PDF")</f>
        <v/>
      </c>
    </row>
    <row r="2181">
      <c r="A2181" t="inlineStr">
        <is>
          <t>KRAV-AUTO-002180</t>
        </is>
      </c>
      <c r="B2181" t="inlineStr">
        <is>
          <t>ADMIN-INDEX-2026-02-27-00000000125C043F57453246863FE664CAFE6A3F0700950291EA24F0614FB6ACEDB12BF0E31D00000000010C0000950291EA24F0614FB6ACEDB12BF0E31D00002087B1A10000</t>
        </is>
      </c>
      <c r="C2181" t="inlineStr">
        <is>
          <t>cmm4yune500lhcuqwffhmdwrd</t>
        </is>
      </c>
      <c r="D2181" t="inlineStr">
        <is>
          <t>http://localhost:8787/api/admin/requirements/documents/cmm4yune500lhcuqwffhmdwrd/view</t>
        </is>
      </c>
      <c r="E2181">
        <f>HYPERLÄNK("http://localhost:8787/api/admin/requirements/documents/cmm4yune500lhcuqwffhmdwrd/view";"Öppna PDF")</f>
        <v/>
      </c>
      <c r="F2181">
        <f>HYPERLINK("http://localhost:8787/api/admin/requirements/documents/cmm4yune500lhcuqwffhmdwrd/view","Open PDF")</f>
        <v/>
      </c>
      <c r="G2181" t="inlineStr">
        <is>
          <t>cmm55w57p0004cuisfrtpqly8</t>
        </is>
      </c>
      <c r="H2181" t="inlineStr">
        <is>
          <t>Informationskrav</t>
        </is>
      </c>
      <c r="I2181" t="inlineStr">
        <is>
          <t>DagvattenLakvatten</t>
        </is>
      </c>
      <c r="J2181" t="inlineStr">
        <is>
          <t>Uppsamling</t>
        </is>
      </c>
      <c r="K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organiska park och trädgårdsavfallet det kommer på så viss inte bli några netto utsläpp av lakvatten från lagringsytan.</t>
        </is>
      </c>
      <c r="L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t>
        </is>
      </c>
      <c r="M2181" t="inlineStr">
        <is>
          <t>SKA</t>
        </is>
      </c>
      <c r="N2181" t="inlineStr"/>
      <c r="O2181" t="inlineStr"/>
      <c r="P2181" t="inlineStr"/>
      <c r="Q2181" t="inlineStr"/>
      <c r="R2181" t="inlineStr">
        <is>
          <t>Vid nederbord och avrinning</t>
        </is>
      </c>
      <c r="S2181" t="inlineStr"/>
      <c r="T2181" t="inlineStr">
        <is>
          <t>040913</t>
        </is>
      </c>
      <c r="U2181" t="inlineStr"/>
      <c r="V2181" t="inlineStr"/>
      <c r="W2181" t="inlineStr">
        <is>
          <t>Nej</t>
        </is>
      </c>
      <c r="X2181" t="inlineStr">
        <is>
          <t>Ja</t>
        </is>
      </c>
      <c r="Y2181" t="inlineStr">
        <is>
          <t>Ja</t>
        </is>
      </c>
      <c r="Z2181" t="inlineStr">
        <is>
          <t>Nej</t>
        </is>
      </c>
      <c r="AA2181" t="n">
        <v>6</v>
      </c>
      <c r="AB2181" t="inlineStr">
        <is>
          <t>Lakvattenhantering</t>
        </is>
      </c>
      <c r="AC2181" t="inlineStr">
        <is>
          <t>Flodesschema dagvatten-lakvatten</t>
        </is>
      </c>
      <c r="AD2181" t="inlineStr">
        <is>
          <t>Nej</t>
        </is>
      </c>
      <c r="AE2181" t="inlineStr">
        <is>
          <t>Nej</t>
        </is>
      </c>
      <c r="AF2181" t="inlineStr">
        <is>
          <t>Ej behandlad</t>
        </is>
      </c>
      <c r="AG2181" t="inlineStr">
        <is>
          <t>AUTO_GENERERAD. Verifiera citat mot kallfil.</t>
        </is>
      </c>
      <c r="AH2181" t="inlineStr">
        <is>
          <t>MEDIUM</t>
        </is>
      </c>
      <c r="AI2181" t="inlineStr">
        <is>
          <t>AUTO</t>
        </is>
      </c>
      <c r="AJ2181" t="inlineStr">
        <is>
          <t>Nej</t>
        </is>
      </c>
      <c r="AK2181" t="inlineStr"/>
      <c r="AL2181" t="inlineStr"/>
      <c r="AM2181" t="inlineStr"/>
      <c r="AN2181" t="inlineStr"/>
      <c r="AO2181" t="inlineStr">
        <is>
          <t>cmm4yune500lhcuqwffhmdwrd</t>
        </is>
      </c>
      <c r="AP2181" t="inlineStr">
        <is>
          <t>http://localhost:8787/api/admin/requirements/documents/cmm4yune500lhcuqwffhmdwrd/view</t>
        </is>
      </c>
      <c r="AQ2181">
        <f>HYPERLÄNK("http://localhost:8787/api/admin/requirements/documents/cmm4yune500lhcuqwffhmdwrd/view";"Öppna PDF")</f>
        <v/>
      </c>
      <c r="AR2181">
        <f>HYPERLINK("http://localhost:8787/api/admin/requirements/documents/cmm4yune500lhcuqwffhmdwrd/view","Open PDF")</f>
        <v/>
      </c>
      <c r="AS2181" t="inlineStr">
        <is>
          <t>cmm55w57p0004cuisfrtpqly8</t>
        </is>
      </c>
      <c r="AT2181" t="inlineStr">
        <is>
          <t>cmm4xvu980000cuh4vj0usz09</t>
        </is>
      </c>
      <c r="AU2181" t="inlineStr">
        <is>
          <t>Kiruna</t>
        </is>
      </c>
      <c r="AV2181" t="inlineStr">
        <is>
          <t>Kommun</t>
        </is>
      </c>
      <c r="AW2181" t="inlineStr">
        <is>
          <t>Kiruna kommun</t>
        </is>
      </c>
      <c r="AX2181" t="inlineStr">
        <is>
          <t>25/11</t>
        </is>
      </c>
      <c r="AY2181" t="inlineStr">
        <is>
          <t>Anmalan</t>
        </is>
      </c>
      <c r="AZ2181" t="inlineStr">
        <is>
          <t>2026-02-03</t>
        </is>
      </c>
      <c r="BA2181" t="inlineStr">
        <is>
          <t>M-2026-22.pdf</t>
        </is>
      </c>
      <c r="BB2181" t="inlineStr">
        <is>
          <t>Sv:  Begäran om utlämnande av allmän handling – Anmälningar och beslut rörande mellanlagring av avfall samt anläggning av ytor</t>
        </is>
      </c>
      <c r="BC2181" t="inlineStr">
        <is>
          <t>AUTO</t>
        </is>
      </c>
      <c r="BD2181" t="inlineStr"/>
      <c r="BE2181" t="inlineStr"/>
      <c r="BF2181" t="inlineStr">
        <is>
          <t>AUTO_GENERERAD. Bekrafta metadata mot kallfil.</t>
        </is>
      </c>
      <c r="BG2181">
        <f>HYPERLINK("C:\Users\jimmy\Desktop\Examens arbete\Kod\Ny mapp\remix_-copy-of-miljöbeslut.se-portal\M-2026-22.pdf", "Öppna PDF")</f>
        <v/>
      </c>
    </row>
    <row r="2182">
      <c r="A2182" t="inlineStr">
        <is>
          <t>KRAV-AUTO-002181</t>
        </is>
      </c>
      <c r="B2182" t="inlineStr">
        <is>
          <t>ADMIN-INDEX-2026-02-27-00000000125C043F57453246863FE664CAFE6A3F0700950291EA24F0614FB6ACEDB12BF0E31D00000000010C0000950291EA24F0614FB6ACEDB12BF0E31D00002087B1A10000</t>
        </is>
      </c>
      <c r="C2182" t="inlineStr">
        <is>
          <t>cmm4yune100lecuqwdw9f3y24</t>
        </is>
      </c>
      <c r="D2182" t="inlineStr">
        <is>
          <t>http://localhost:8787/api/admin/requirements/documents/cmm4yune100lecuqwdw9f3y24/view</t>
        </is>
      </c>
      <c r="E2182">
        <f>HYPERLÄNK("http://localhost:8787/api/admin/requirements/documents/cmm4yune100lecuqwdw9f3y24/view";"Öppna PDF")</f>
        <v/>
      </c>
      <c r="F2182">
        <f>HYPERLINK("http://localhost:8787/api/admin/requirements/documents/cmm4yune100lecuqwdw9f3y24/view","Open PDF")</f>
        <v/>
      </c>
      <c r="G2182" t="inlineStr">
        <is>
          <t>cmm55w57p0004cuisfrtpqly8</t>
        </is>
      </c>
      <c r="H2182" t="inlineStr">
        <is>
          <t>Informationskrav</t>
        </is>
      </c>
      <c r="I2182" t="inlineStr">
        <is>
          <t>DagvattenLakvatten</t>
        </is>
      </c>
      <c r="J2182" t="inlineStr">
        <is>
          <t>Uppsamling</t>
        </is>
      </c>
      <c r="K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handläggning av ärendet.</t>
        </is>
      </c>
      <c r="L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t>
        </is>
      </c>
      <c r="M2182" t="inlineStr">
        <is>
          <t>SKA</t>
        </is>
      </c>
      <c r="N2182" t="inlineStr"/>
      <c r="O2182" t="inlineStr"/>
      <c r="P2182" t="inlineStr"/>
      <c r="Q2182" t="inlineStr"/>
      <c r="R2182" t="inlineStr">
        <is>
          <t>Vid nederbord och avrinning</t>
        </is>
      </c>
      <c r="S2182" t="inlineStr"/>
      <c r="T2182" t="inlineStr">
        <is>
          <t>21 20 00</t>
        </is>
      </c>
      <c r="U2182" t="inlineStr"/>
      <c r="V2182" t="inlineStr"/>
      <c r="W2182" t="inlineStr">
        <is>
          <t>Nej</t>
        </is>
      </c>
      <c r="X2182" t="inlineStr">
        <is>
          <t>Ja</t>
        </is>
      </c>
      <c r="Y2182" t="inlineStr">
        <is>
          <t>Ja</t>
        </is>
      </c>
      <c r="Z2182" t="inlineStr">
        <is>
          <t>Nej</t>
        </is>
      </c>
      <c r="AA2182" t="n">
        <v>6</v>
      </c>
      <c r="AB2182" t="inlineStr">
        <is>
          <t>Lakvattenhantering</t>
        </is>
      </c>
      <c r="AC2182" t="inlineStr">
        <is>
          <t>Flodesschema dagvatten-lakvatten</t>
        </is>
      </c>
      <c r="AD2182" t="inlineStr">
        <is>
          <t>Nej</t>
        </is>
      </c>
      <c r="AE2182" t="inlineStr">
        <is>
          <t>Nej</t>
        </is>
      </c>
      <c r="AF2182" t="inlineStr">
        <is>
          <t>Ej behandlad</t>
        </is>
      </c>
      <c r="AG2182" t="inlineStr">
        <is>
          <t>AUTO_GENERERAD. Verifiera citat mot kallfil.</t>
        </is>
      </c>
      <c r="AH2182" t="inlineStr">
        <is>
          <t>MEDIUM</t>
        </is>
      </c>
      <c r="AI2182" t="inlineStr">
        <is>
          <t>AUTO</t>
        </is>
      </c>
      <c r="AJ2182" t="inlineStr">
        <is>
          <t>Nej</t>
        </is>
      </c>
      <c r="AK2182" t="inlineStr"/>
      <c r="AL2182" t="inlineStr"/>
      <c r="AM2182" t="inlineStr"/>
      <c r="AN2182" t="inlineStr"/>
      <c r="AO2182" t="inlineStr">
        <is>
          <t>cmm4yune500lhcuqwffhmdwrd</t>
        </is>
      </c>
      <c r="AP2182" t="inlineStr">
        <is>
          <t>http://localhost:8787/api/admin/requirements/documents/cmm4yune500lhcuqwffhmdwrd/view</t>
        </is>
      </c>
      <c r="AQ2182">
        <f>HYPERLÄNK("http://localhost:8787/api/admin/requirements/documents/cmm4yune500lhcuqwffhmdwrd/view";"Öppna PDF")</f>
        <v/>
      </c>
      <c r="AR2182">
        <f>HYPERLINK("http://localhost:8787/api/admin/requirements/documents/cmm4yune500lhcuqwffhmdwrd/view","Open PDF")</f>
        <v/>
      </c>
      <c r="AS2182" t="inlineStr">
        <is>
          <t>cmm55w57p0004cuisfrtpqly8</t>
        </is>
      </c>
      <c r="AT2182" t="inlineStr">
        <is>
          <t>cmm4xvu980000cuh4vj0usz09</t>
        </is>
      </c>
      <c r="AU2182" t="inlineStr">
        <is>
          <t>Kiruna</t>
        </is>
      </c>
      <c r="AV2182" t="inlineStr">
        <is>
          <t>Kommun</t>
        </is>
      </c>
      <c r="AW2182" t="inlineStr">
        <is>
          <t>Kiruna kommun</t>
        </is>
      </c>
      <c r="AX2182" t="inlineStr">
        <is>
          <t>25/11</t>
        </is>
      </c>
      <c r="AY2182" t="inlineStr">
        <is>
          <t>Anmalan</t>
        </is>
      </c>
      <c r="AZ2182" t="inlineStr">
        <is>
          <t>2026-02-03</t>
        </is>
      </c>
      <c r="BA2182" t="inlineStr">
        <is>
          <t>M-2026-22.pdf</t>
        </is>
      </c>
      <c r="BB2182" t="inlineStr">
        <is>
          <t>Sv:  Begäran om utlämnande av allmän handling – Anmälningar och beslut rörande mellanlagring av avfall samt anläggning av ytor</t>
        </is>
      </c>
      <c r="BC2182" t="inlineStr">
        <is>
          <t>AUTO</t>
        </is>
      </c>
      <c r="BD2182" t="inlineStr"/>
      <c r="BE2182" t="inlineStr"/>
      <c r="BF2182" t="inlineStr">
        <is>
          <t>AUTO_GENERERAD. Bekrafta metadata mot kallfil.</t>
        </is>
      </c>
      <c r="BG2182">
        <f>HYPERLINK("C:\Users\jimmy\Desktop\Examens arbete\Kod\Ny mapp\remix_-copy-of-miljöbeslut.se-portal\M-2026-22.pdf", "Öppna PDF")</f>
        <v/>
      </c>
    </row>
    <row r="2183">
      <c r="A2183" t="inlineStr">
        <is>
          <t>KRAV-AUTO-002182</t>
        </is>
      </c>
      <c r="B2183" t="inlineStr">
        <is>
          <t>ADMIN-INDEX-2026-02-27-00000000125C043F57453246863FE664CAFE6A3F0700950291EA24F0614FB6ACEDB12BF0E31D00000000010C0000950291EA24F0614FB6ACEDB12BF0E31D00002087B1A10000</t>
        </is>
      </c>
      <c r="C2183" t="inlineStr">
        <is>
          <t>cmm4yune100lecuqwdw9f3y24</t>
        </is>
      </c>
      <c r="D2183" t="inlineStr">
        <is>
          <t>http://localhost:8787/api/admin/requirements/documents/cmm4yune100lecuqwdw9f3y24/view</t>
        </is>
      </c>
      <c r="E2183">
        <f>HYPERLÄNK("http://localhost:8787/api/admin/requirements/documents/cmm4yune100lecuqwdw9f3y24/view";"Öppna PDF")</f>
        <v/>
      </c>
      <c r="F2183">
        <f>HYPERLINK("http://localhost:8787/api/admin/requirements/documents/cmm4yune100lecuqwdw9f3y24/view","Open PDF")</f>
        <v/>
      </c>
      <c r="G2183" t="inlineStr">
        <is>
          <t>cmm55w57p0004cuisfrtpqly8</t>
        </is>
      </c>
      <c r="H2183" t="inlineStr">
        <is>
          <t>Informationskrav</t>
        </is>
      </c>
      <c r="I2183" t="inlineStr">
        <is>
          <t>MiljopaverkanForsiktighet</t>
        </is>
      </c>
      <c r="J2183" t="inlineStr">
        <is>
          <t>Skyddsatgarder</t>
        </is>
      </c>
      <c r="K2183" t="inlineStr">
        <is>
          <t>Verksamheten ska föra anteckningar om icke-farligt avfall enligt 7 kap.</t>
        </is>
      </c>
      <c r="L2183" t="inlineStr">
        <is>
          <t>Verksamheten ska föra anteckningar om icke-farligt avfall enligt 7 kap.</t>
        </is>
      </c>
      <c r="M2183" t="inlineStr">
        <is>
          <t>SKA</t>
        </is>
      </c>
      <c r="N2183" t="inlineStr"/>
      <c r="O2183" t="inlineStr"/>
      <c r="P2183" t="inlineStr">
        <is>
          <t>Arlig</t>
        </is>
      </c>
      <c r="Q2183" t="inlineStr"/>
      <c r="R2183" t="inlineStr">
        <is>
          <t>Alltid</t>
        </is>
      </c>
      <c r="S2183" t="inlineStr"/>
      <c r="T2183" t="inlineStr">
        <is>
          <t>21 20 00</t>
        </is>
      </c>
      <c r="U2183" t="inlineStr"/>
      <c r="V2183" t="inlineStr"/>
      <c r="W2183" t="inlineStr">
        <is>
          <t>Nej</t>
        </is>
      </c>
      <c r="X2183" t="inlineStr">
        <is>
          <t>Nej</t>
        </is>
      </c>
      <c r="Y2183" t="inlineStr">
        <is>
          <t>Nej</t>
        </is>
      </c>
      <c r="Z2183" t="inlineStr">
        <is>
          <t>Nej</t>
        </is>
      </c>
      <c r="AA2183" t="n">
        <v>10</v>
      </c>
      <c r="AB2183" t="inlineStr">
        <is>
          <t>Miljopaverkan och forsiktighetsmatt</t>
        </is>
      </c>
      <c r="AC2183" t="inlineStr">
        <is>
          <t>Miljo-PM</t>
        </is>
      </c>
      <c r="AD2183" t="inlineStr">
        <is>
          <t>Nej</t>
        </is>
      </c>
      <c r="AE2183" t="inlineStr">
        <is>
          <t>Nej</t>
        </is>
      </c>
      <c r="AF2183" t="inlineStr">
        <is>
          <t>Ej behandlad</t>
        </is>
      </c>
      <c r="AG2183" t="inlineStr">
        <is>
          <t>AUTO_GENERERAD. Verifiera citat mot kallfil.</t>
        </is>
      </c>
      <c r="AH2183" t="inlineStr">
        <is>
          <t>MEDIUM</t>
        </is>
      </c>
      <c r="AI2183" t="inlineStr">
        <is>
          <t>AUTO</t>
        </is>
      </c>
      <c r="AJ2183" t="inlineStr">
        <is>
          <t>Nej</t>
        </is>
      </c>
      <c r="AK2183" t="inlineStr"/>
      <c r="AL2183" t="inlineStr"/>
      <c r="AM2183" t="inlineStr"/>
      <c r="AN2183" t="inlineStr"/>
      <c r="AO2183" t="inlineStr">
        <is>
          <t>cmm4yune500lhcuqwffhmdwrd</t>
        </is>
      </c>
      <c r="AP2183" t="inlineStr">
        <is>
          <t>http://localhost:8787/api/admin/requirements/documents/cmm4yune500lhcuqwffhmdwrd/view</t>
        </is>
      </c>
      <c r="AQ2183">
        <f>HYPERLÄNK("http://localhost:8787/api/admin/requirements/documents/cmm4yune500lhcuqwffhmdwrd/view";"Öppna PDF")</f>
        <v/>
      </c>
      <c r="AR2183">
        <f>HYPERLINK("http://localhost:8787/api/admin/requirements/documents/cmm4yune500lhcuqwffhmdwrd/view","Open PDF")</f>
        <v/>
      </c>
      <c r="AS2183" t="inlineStr">
        <is>
          <t>cmm55w57p0004cuisfrtpqly8</t>
        </is>
      </c>
      <c r="AT2183" t="inlineStr">
        <is>
          <t>cmm4xvu980000cuh4vj0usz09</t>
        </is>
      </c>
      <c r="AU2183" t="inlineStr">
        <is>
          <t>Kiruna</t>
        </is>
      </c>
      <c r="AV2183" t="inlineStr">
        <is>
          <t>Kommun</t>
        </is>
      </c>
      <c r="AW2183" t="inlineStr">
        <is>
          <t>Kiruna kommun</t>
        </is>
      </c>
      <c r="AX2183" t="inlineStr">
        <is>
          <t>25/11</t>
        </is>
      </c>
      <c r="AY2183" t="inlineStr">
        <is>
          <t>Anmalan</t>
        </is>
      </c>
      <c r="AZ2183" t="inlineStr">
        <is>
          <t>2026-02-03</t>
        </is>
      </c>
      <c r="BA2183" t="inlineStr">
        <is>
          <t>M-2026-22.pdf</t>
        </is>
      </c>
      <c r="BB2183" t="inlineStr">
        <is>
          <t>Sv:  Begäran om utlämnande av allmän handling – Anmälningar och beslut rörande mellanlagring av avfall samt anläggning av ytor</t>
        </is>
      </c>
      <c r="BC2183" t="inlineStr">
        <is>
          <t>AUTO</t>
        </is>
      </c>
      <c r="BD2183" t="inlineStr"/>
      <c r="BE2183" t="inlineStr"/>
      <c r="BF2183" t="inlineStr">
        <is>
          <t>AUTO_GENERERAD. Bekrafta metadata mot kallfil.</t>
        </is>
      </c>
      <c r="BG2183">
        <f>HYPERLINK("C:\Users\jimmy\Desktop\Examens arbete\Kod\Ny mapp\remix_-copy-of-miljöbeslut.se-portal\M-2026-22.pdf", "Öppna PDF")</f>
        <v/>
      </c>
    </row>
    <row r="2184">
      <c r="A2184" t="inlineStr">
        <is>
          <t>KRAV-AUTO-002183</t>
        </is>
      </c>
      <c r="B2184" t="inlineStr">
        <is>
          <t>ADMIN-INDEX-2026-02-27-00000000125C043F57453246863FE664CAFE6A3F0700950291EA24F0614FB6ACEDB12BF0E31D00000000010C0000950291EA24F0614FB6ACEDB12BF0E31D00002087B1A10000</t>
        </is>
      </c>
      <c r="C2184" t="inlineStr">
        <is>
          <t>cmm4yundy00lbcuqw3h8yvt6u</t>
        </is>
      </c>
      <c r="D2184" t="inlineStr">
        <is>
          <t>http://localhost:8787/api/admin/requirements/documents/cmm4yundy00lbcuqw3h8yvt6u/view</t>
        </is>
      </c>
      <c r="E2184">
        <f>HYPERLÄNK("http://localhost:8787/api/admin/requirements/documents/cmm4yundy00lbcuqw3h8yvt6u/view";"Öppna PDF")</f>
        <v/>
      </c>
      <c r="F2184">
        <f>HYPERLINK("http://localhost:8787/api/admin/requirements/documents/cmm4yundy00lbcuqw3h8yvt6u/view","Open PDF")</f>
        <v/>
      </c>
      <c r="G2184" t="inlineStr">
        <is>
          <t>cmm55w57p0004cuisfrtpqly8</t>
        </is>
      </c>
      <c r="H2184" t="inlineStr">
        <is>
          <t>Informationskrav</t>
        </is>
      </c>
      <c r="I2184" t="inlineStr">
        <is>
          <t>DagvattenLakvatten</t>
        </is>
      </c>
      <c r="J2184" t="inlineStr">
        <is>
          <t>Uppsamling</t>
        </is>
      </c>
      <c r="K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Se provtagningsplan, Samlingsprover 24TSP1-5 på schakt på 24T09 har tagits.</t>
        </is>
      </c>
      <c r="L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t>
        </is>
      </c>
      <c r="M2184" t="inlineStr">
        <is>
          <t>SKA</t>
        </is>
      </c>
      <c r="N2184" t="inlineStr"/>
      <c r="O2184" t="inlineStr"/>
      <c r="P2184" t="inlineStr"/>
      <c r="Q2184" t="inlineStr"/>
      <c r="R2184" t="inlineStr">
        <is>
          <t>Vid nederbord och avrinning</t>
        </is>
      </c>
      <c r="S2184" t="inlineStr"/>
      <c r="T2184" t="inlineStr">
        <is>
          <t>344971</t>
        </is>
      </c>
      <c r="U2184" t="inlineStr"/>
      <c r="V2184" t="inlineStr"/>
      <c r="W2184" t="inlineStr">
        <is>
          <t>Nej</t>
        </is>
      </c>
      <c r="X2184" t="inlineStr">
        <is>
          <t>Ja</t>
        </is>
      </c>
      <c r="Y2184" t="inlineStr">
        <is>
          <t>Ja</t>
        </is>
      </c>
      <c r="Z2184" t="inlineStr">
        <is>
          <t>Nej</t>
        </is>
      </c>
      <c r="AA2184" t="n">
        <v>6</v>
      </c>
      <c r="AB2184" t="inlineStr">
        <is>
          <t>Lakvattenhantering</t>
        </is>
      </c>
      <c r="AC2184" t="inlineStr">
        <is>
          <t>Flodesschema dagvatten-lakvatten</t>
        </is>
      </c>
      <c r="AD2184" t="inlineStr">
        <is>
          <t>Nej</t>
        </is>
      </c>
      <c r="AE2184" t="inlineStr">
        <is>
          <t>Nej</t>
        </is>
      </c>
      <c r="AF2184" t="inlineStr">
        <is>
          <t>Ej behandlad</t>
        </is>
      </c>
      <c r="AG2184" t="inlineStr">
        <is>
          <t>AUTO_GENERERAD. Verifiera citat mot kallfil.</t>
        </is>
      </c>
      <c r="AH2184" t="inlineStr">
        <is>
          <t>MEDIUM</t>
        </is>
      </c>
      <c r="AI2184" t="inlineStr">
        <is>
          <t>AUTO</t>
        </is>
      </c>
      <c r="AJ2184" t="inlineStr">
        <is>
          <t>Nej</t>
        </is>
      </c>
      <c r="AK2184" t="inlineStr"/>
      <c r="AL2184" t="inlineStr"/>
      <c r="AM2184" t="inlineStr"/>
      <c r="AN2184" t="inlineStr"/>
      <c r="AO2184" t="inlineStr">
        <is>
          <t>cmm4yune500lhcuqwffhmdwrd</t>
        </is>
      </c>
      <c r="AP2184" t="inlineStr">
        <is>
          <t>http://localhost:8787/api/admin/requirements/documents/cmm4yune500lhcuqwffhmdwrd/view</t>
        </is>
      </c>
      <c r="AQ2184">
        <f>HYPERLÄNK("http://localhost:8787/api/admin/requirements/documents/cmm4yune500lhcuqwffhmdwrd/view";"Öppna PDF")</f>
        <v/>
      </c>
      <c r="AR2184">
        <f>HYPERLINK("http://localhost:8787/api/admin/requirements/documents/cmm4yune500lhcuqwffhmdwrd/view","Open PDF")</f>
        <v/>
      </c>
      <c r="AS2184" t="inlineStr">
        <is>
          <t>cmm55w57p0004cuisfrtpqly8</t>
        </is>
      </c>
      <c r="AT2184" t="inlineStr">
        <is>
          <t>cmm4xvu980000cuh4vj0usz09</t>
        </is>
      </c>
      <c r="AU2184" t="inlineStr">
        <is>
          <t>Kiruna</t>
        </is>
      </c>
      <c r="AV2184" t="inlineStr">
        <is>
          <t>Kommun</t>
        </is>
      </c>
      <c r="AW2184" t="inlineStr">
        <is>
          <t>Kiruna kommun</t>
        </is>
      </c>
      <c r="AX2184" t="inlineStr">
        <is>
          <t>25/11</t>
        </is>
      </c>
      <c r="AY2184" t="inlineStr">
        <is>
          <t>Anmalan</t>
        </is>
      </c>
      <c r="AZ2184" t="inlineStr">
        <is>
          <t>2026-02-03</t>
        </is>
      </c>
      <c r="BA2184" t="inlineStr">
        <is>
          <t>M-2026-22.pdf</t>
        </is>
      </c>
      <c r="BB2184" t="inlineStr">
        <is>
          <t>Sv:  Begäran om utlämnande av allmän handling – Anmälningar och beslut rörande mellanlagring av avfall samt anläggning av ytor</t>
        </is>
      </c>
      <c r="BC2184" t="inlineStr">
        <is>
          <t>AUTO</t>
        </is>
      </c>
      <c r="BD2184" t="inlineStr"/>
      <c r="BE2184" t="inlineStr"/>
      <c r="BF2184" t="inlineStr">
        <is>
          <t>AUTO_GENERERAD. Bekrafta metadata mot kallfil.</t>
        </is>
      </c>
      <c r="BG2184">
        <f>HYPERLINK("C:\Users\jimmy\Desktop\Examens arbete\Kod\Ny mapp\remix_-copy-of-miljöbeslut.se-portal\M-2026-22.pdf", "Öppna PDF")</f>
        <v/>
      </c>
    </row>
    <row r="2185">
      <c r="A2185" t="inlineStr">
        <is>
          <t>KRAV-AUTO-002184</t>
        </is>
      </c>
      <c r="B2185" t="inlineStr">
        <is>
          <t>ADMIN-INDEX-2026-02-27-00000000125C043F57453246863FE664CAFE6A3F0700950291EA24F0614FB6ACEDB12BF0E31D00000000010C0000950291EA24F0614FB6ACEDB12BF0E31D00002087B1A10000</t>
        </is>
      </c>
      <c r="C2185" t="inlineStr">
        <is>
          <t>cmm4yundy00lbcuqw3h8yvt6u</t>
        </is>
      </c>
      <c r="D2185" t="inlineStr">
        <is>
          <t>http://localhost:8787/api/admin/requirements/documents/cmm4yundy00lbcuqw3h8yvt6u/view</t>
        </is>
      </c>
      <c r="E2185">
        <f>HYPERLÄNK("http://localhost:8787/api/admin/requirements/documents/cmm4yundy00lbcuqw3h8yvt6u/view";"Öppna PDF")</f>
        <v/>
      </c>
      <c r="F2185">
        <f>HYPERLINK("http://localhost:8787/api/admin/requirements/documents/cmm4yundy00lbcuqw3h8yvt6u/view","Open PDF")</f>
        <v/>
      </c>
      <c r="G2185" t="inlineStr">
        <is>
          <t>cmm55w57p0004cuisfrtpqly8</t>
        </is>
      </c>
      <c r="H2185" t="inlineStr">
        <is>
          <t>Informationskrav</t>
        </is>
      </c>
      <c r="I2185" t="inlineStr">
        <is>
          <t>DagvattenLakvatten</t>
        </is>
      </c>
      <c r="J2185" t="inlineStr">
        <is>
          <t>Uppsamling</t>
        </is>
      </c>
      <c r="K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Som en förberedelse inför saneringen av Bandel 1:55- och 1:56 i Abisko togs nya prover på högarna.</t>
        </is>
      </c>
      <c r="L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t>
        </is>
      </c>
      <c r="M2185" t="inlineStr">
        <is>
          <t>SKA</t>
        </is>
      </c>
      <c r="N2185" t="inlineStr"/>
      <c r="O2185" t="inlineStr"/>
      <c r="P2185" t="inlineStr"/>
      <c r="Q2185" t="inlineStr"/>
      <c r="R2185" t="inlineStr">
        <is>
          <t>Vid nederbord och avrinning</t>
        </is>
      </c>
      <c r="S2185" t="inlineStr"/>
      <c r="T2185" t="inlineStr">
        <is>
          <t>344971</t>
        </is>
      </c>
      <c r="U2185" t="inlineStr"/>
      <c r="V2185" t="inlineStr"/>
      <c r="W2185" t="inlineStr">
        <is>
          <t>Nej</t>
        </is>
      </c>
      <c r="X2185" t="inlineStr">
        <is>
          <t>Ja</t>
        </is>
      </c>
      <c r="Y2185" t="inlineStr">
        <is>
          <t>Ja</t>
        </is>
      </c>
      <c r="Z2185" t="inlineStr">
        <is>
          <t>Nej</t>
        </is>
      </c>
      <c r="AA2185" t="n">
        <v>6</v>
      </c>
      <c r="AB2185" t="inlineStr">
        <is>
          <t>Lakvattenhantering</t>
        </is>
      </c>
      <c r="AC2185" t="inlineStr">
        <is>
          <t>Flodesschema dagvatten-lakvatten</t>
        </is>
      </c>
      <c r="AD2185" t="inlineStr">
        <is>
          <t>Nej</t>
        </is>
      </c>
      <c r="AE2185" t="inlineStr">
        <is>
          <t>Nej</t>
        </is>
      </c>
      <c r="AF2185" t="inlineStr">
        <is>
          <t>Ej behandlad</t>
        </is>
      </c>
      <c r="AG2185" t="inlineStr">
        <is>
          <t>AUTO_GENERERAD. Verifiera citat mot kallfil.</t>
        </is>
      </c>
      <c r="AH2185" t="inlineStr">
        <is>
          <t>MEDIUM</t>
        </is>
      </c>
      <c r="AI2185" t="inlineStr">
        <is>
          <t>AUTO</t>
        </is>
      </c>
      <c r="AJ2185" t="inlineStr">
        <is>
          <t>Nej</t>
        </is>
      </c>
      <c r="AK2185" t="inlineStr"/>
      <c r="AL2185" t="inlineStr"/>
      <c r="AM2185" t="inlineStr"/>
      <c r="AN2185" t="inlineStr"/>
      <c r="AO2185" t="inlineStr">
        <is>
          <t>cmm4yune500lhcuqwffhmdwrd</t>
        </is>
      </c>
      <c r="AP2185" t="inlineStr">
        <is>
          <t>http://localhost:8787/api/admin/requirements/documents/cmm4yune500lhcuqwffhmdwrd/view</t>
        </is>
      </c>
      <c r="AQ2185">
        <f>HYPERLÄNK("http://localhost:8787/api/admin/requirements/documents/cmm4yune500lhcuqwffhmdwrd/view";"Öppna PDF")</f>
        <v/>
      </c>
      <c r="AR2185">
        <f>HYPERLINK("http://localhost:8787/api/admin/requirements/documents/cmm4yune500lhcuqwffhmdwrd/view","Open PDF")</f>
        <v/>
      </c>
      <c r="AS2185" t="inlineStr">
        <is>
          <t>cmm55w57p0004cuisfrtpqly8</t>
        </is>
      </c>
      <c r="AT2185" t="inlineStr">
        <is>
          <t>cmm4xvu980000cuh4vj0usz09</t>
        </is>
      </c>
      <c r="AU2185" t="inlineStr">
        <is>
          <t>Kiruna</t>
        </is>
      </c>
      <c r="AV2185" t="inlineStr">
        <is>
          <t>Kommun</t>
        </is>
      </c>
      <c r="AW2185" t="inlineStr">
        <is>
          <t>Kiruna kommun</t>
        </is>
      </c>
      <c r="AX2185" t="inlineStr">
        <is>
          <t>25/11</t>
        </is>
      </c>
      <c r="AY2185" t="inlineStr">
        <is>
          <t>Anmalan</t>
        </is>
      </c>
      <c r="AZ2185" t="inlineStr">
        <is>
          <t>2026-02-03</t>
        </is>
      </c>
      <c r="BA2185" t="inlineStr">
        <is>
          <t>M-2026-22.pdf</t>
        </is>
      </c>
      <c r="BB2185" t="inlineStr">
        <is>
          <t>Sv:  Begäran om utlämnande av allmän handling – Anmälningar och beslut rörande mellanlagring av avfall samt anläggning av ytor</t>
        </is>
      </c>
      <c r="BC2185" t="inlineStr">
        <is>
          <t>AUTO</t>
        </is>
      </c>
      <c r="BD2185" t="inlineStr"/>
      <c r="BE2185" t="inlineStr"/>
      <c r="BF2185" t="inlineStr">
        <is>
          <t>AUTO_GENERERAD. Bekrafta metadata mot kallfil.</t>
        </is>
      </c>
      <c r="BG2185">
        <f>HYPERLINK("C:\Users\jimmy\Desktop\Examens arbete\Kod\Ny mapp\remix_-copy-of-miljöbeslut.se-portal\M-2026-22.pdf", "Öppna PDF")</f>
        <v/>
      </c>
    </row>
    <row r="2186">
      <c r="A2186" t="inlineStr">
        <is>
          <t>KRAV-AUTO-002185</t>
        </is>
      </c>
      <c r="B2186" t="inlineStr">
        <is>
          <t>ADMIN-INDEX-2026-02-27-00000000125C043F57453246863FE664CAFE6A3F0700950291EA24F0614FB6ACEDB12BF0E31D00000000010C0000950291EA24F0614FB6ACEDB12BF0E31D00002087B1A10000</t>
        </is>
      </c>
      <c r="C2186" t="inlineStr">
        <is>
          <t>cmm4yundy00lbcuqw3h8yvt6u</t>
        </is>
      </c>
      <c r="D2186" t="inlineStr">
        <is>
          <t>http://localhost:8787/api/admin/requirements/documents/cmm4yundy00lbcuqw3h8yvt6u/view</t>
        </is>
      </c>
      <c r="E2186">
        <f>HYPERLÄNK("http://localhost:8787/api/admin/requirements/documents/cmm4yundy00lbcuqw3h8yvt6u/view";"Öppna PDF")</f>
        <v/>
      </c>
      <c r="F2186">
        <f>HYPERLINK("http://localhost:8787/api/admin/requirements/documents/cmm4yundy00lbcuqw3h8yvt6u/view","Open PDF")</f>
        <v/>
      </c>
      <c r="G2186" t="inlineStr">
        <is>
          <t>cmm55w57p0004cuisfrtpqly8</t>
        </is>
      </c>
      <c r="H2186" t="inlineStr">
        <is>
          <t>Informationskrav</t>
        </is>
      </c>
      <c r="I2186" t="inlineStr">
        <is>
          <t>DriftEgenkontroll</t>
        </is>
      </c>
      <c r="J2186" t="inlineStr">
        <is>
          <t>Journalforing</t>
        </is>
      </c>
      <c r="K2186" t="inlineStr">
        <is>
          <t>Se figur 1 som visar en översiktskarta över provtagningsområdet.</t>
        </is>
      </c>
      <c r="L2186" t="inlineStr">
        <is>
          <t>Se figur 1 som visar en översiktskarta över provtagningsområdet.</t>
        </is>
      </c>
      <c r="M2186" t="inlineStr">
        <is>
          <t>SKA</t>
        </is>
      </c>
      <c r="N2186" t="inlineStr"/>
      <c r="O2186" t="inlineStr"/>
      <c r="P2186" t="inlineStr"/>
      <c r="Q2186" t="inlineStr"/>
      <c r="R2186" t="inlineStr">
        <is>
          <t>Lopande drift</t>
        </is>
      </c>
      <c r="S2186" t="inlineStr"/>
      <c r="T2186" t="inlineStr">
        <is>
          <t>21 20 00</t>
        </is>
      </c>
      <c r="U2186" t="inlineStr"/>
      <c r="V2186" t="inlineStr"/>
      <c r="W2186" t="inlineStr">
        <is>
          <t>Nej</t>
        </is>
      </c>
      <c r="X2186" t="inlineStr">
        <is>
          <t>Nej</t>
        </is>
      </c>
      <c r="Y2186" t="inlineStr">
        <is>
          <t>Ja</t>
        </is>
      </c>
      <c r="Z2186" t="inlineStr">
        <is>
          <t>Nej</t>
        </is>
      </c>
      <c r="AA2186" t="n">
        <v>7</v>
      </c>
      <c r="AB2186" t="inlineStr">
        <is>
          <t>Egenkontrollrutiner</t>
        </is>
      </c>
      <c r="AC2186" t="inlineStr">
        <is>
          <t>Egenkontrollprogram</t>
        </is>
      </c>
      <c r="AD2186" t="inlineStr">
        <is>
          <t>Nej</t>
        </is>
      </c>
      <c r="AE2186" t="inlineStr">
        <is>
          <t>Nej</t>
        </is>
      </c>
      <c r="AF2186" t="inlineStr">
        <is>
          <t>Ej behandlad</t>
        </is>
      </c>
      <c r="AG2186" t="inlineStr">
        <is>
          <t>AUTO_GENERERAD. Verifiera citat mot kallfil.</t>
        </is>
      </c>
      <c r="AH2186" t="inlineStr">
        <is>
          <t>MEDIUM</t>
        </is>
      </c>
      <c r="AI2186" t="inlineStr">
        <is>
          <t>AUTO</t>
        </is>
      </c>
      <c r="AJ2186" t="inlineStr">
        <is>
          <t>Nej</t>
        </is>
      </c>
      <c r="AK2186" t="inlineStr"/>
      <c r="AL2186" t="inlineStr"/>
      <c r="AM2186" t="inlineStr"/>
      <c r="AN2186" t="inlineStr"/>
      <c r="AO2186" t="inlineStr">
        <is>
          <t>cmm4yune500lhcuqwffhmdwrd</t>
        </is>
      </c>
      <c r="AP2186" t="inlineStr">
        <is>
          <t>http://localhost:8787/api/admin/requirements/documents/cmm4yune500lhcuqwffhmdwrd/view</t>
        </is>
      </c>
      <c r="AQ2186">
        <f>HYPERLÄNK("http://localhost:8787/api/admin/requirements/documents/cmm4yune500lhcuqwffhmdwrd/view";"Öppna PDF")</f>
        <v/>
      </c>
      <c r="AR2186">
        <f>HYPERLINK("http://localhost:8787/api/admin/requirements/documents/cmm4yune500lhcuqwffhmdwrd/view","Open PDF")</f>
        <v/>
      </c>
      <c r="AS2186" t="inlineStr">
        <is>
          <t>cmm55w57p0004cuisfrtpqly8</t>
        </is>
      </c>
      <c r="AT2186" t="inlineStr">
        <is>
          <t>cmm4xvu980000cuh4vj0usz09</t>
        </is>
      </c>
      <c r="AU2186" t="inlineStr">
        <is>
          <t>Kiruna</t>
        </is>
      </c>
      <c r="AV2186" t="inlineStr">
        <is>
          <t>Kommun</t>
        </is>
      </c>
      <c r="AW2186" t="inlineStr">
        <is>
          <t>Kiruna kommun</t>
        </is>
      </c>
      <c r="AX2186" t="inlineStr">
        <is>
          <t>25/11</t>
        </is>
      </c>
      <c r="AY2186" t="inlineStr">
        <is>
          <t>Anmalan</t>
        </is>
      </c>
      <c r="AZ2186" t="inlineStr">
        <is>
          <t>2026-02-03</t>
        </is>
      </c>
      <c r="BA2186" t="inlineStr">
        <is>
          <t>M-2026-22.pdf</t>
        </is>
      </c>
      <c r="BB2186" t="inlineStr">
        <is>
          <t>Sv:  Begäran om utlämnande av allmän handling – Anmälningar och beslut rörande mellanlagring av avfall samt anläggning av ytor</t>
        </is>
      </c>
      <c r="BC2186" t="inlineStr">
        <is>
          <t>AUTO</t>
        </is>
      </c>
      <c r="BD2186" t="inlineStr"/>
      <c r="BE2186" t="inlineStr"/>
      <c r="BF2186" t="inlineStr">
        <is>
          <t>AUTO_GENERERAD. Bekrafta metadata mot kallfil.</t>
        </is>
      </c>
      <c r="BG2186">
        <f>HYPERLINK("C:\Users\jimmy\Desktop\Examens arbete\Kod\Ny mapp\remix_-copy-of-miljöbeslut.se-portal\M-2026-22.pdf", "Öppna PDF")</f>
        <v/>
      </c>
    </row>
    <row r="2187">
      <c r="A2187" t="inlineStr">
        <is>
          <t>KRAV-AUTO-002186</t>
        </is>
      </c>
      <c r="B2187" t="inlineStr">
        <is>
          <t>ADMIN-INDEX-2026-02-27-00000000125C043F57453246863FE664CAFE6A3F0700950291EA24F0614FB6ACEDB12BF0E31D00000000010C0000950291EA24F0614FB6ACEDB12BF0E31D00002087B1A10000</t>
        </is>
      </c>
      <c r="C2187" t="inlineStr">
        <is>
          <t>cmm4yundv00l8cuqwrz4w4d1v</t>
        </is>
      </c>
      <c r="D2187" t="inlineStr">
        <is>
          <t>http://localhost:8787/api/admin/requirements/documents/cmm4yundv00l8cuqwrz4w4d1v/view</t>
        </is>
      </c>
      <c r="E2187">
        <f>HYPERLÄNK("http://localhost:8787/api/admin/requirements/documents/cmm4yundv00l8cuqwrz4w4d1v/view";"Öppna PDF")</f>
        <v/>
      </c>
      <c r="F2187">
        <f>HYPERLINK("http://localhost:8787/api/admin/requirements/documents/cmm4yundv00l8cuqwrz4w4d1v/view","Open PDF")</f>
        <v/>
      </c>
      <c r="G2187" t="inlineStr">
        <is>
          <t>cmm55w57p0004cuisfrtpqly8</t>
        </is>
      </c>
      <c r="H2187" t="inlineStr">
        <is>
          <t>Informationskrav</t>
        </is>
      </c>
      <c r="I2187" t="inlineStr">
        <is>
          <t>DagvattenLakvatten</t>
        </is>
      </c>
      <c r="J2187" t="inlineStr">
        <is>
          <t>Uppsamling</t>
        </is>
      </c>
      <c r="K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handläggning av ärendet.</t>
        </is>
      </c>
      <c r="L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t>
        </is>
      </c>
      <c r="M2187" t="inlineStr">
        <is>
          <t>SKA</t>
        </is>
      </c>
      <c r="N2187" t="inlineStr"/>
      <c r="O2187" t="inlineStr"/>
      <c r="P2187" t="inlineStr"/>
      <c r="Q2187" t="inlineStr"/>
      <c r="R2187" t="inlineStr">
        <is>
          <t>Vid nederbord och avrinning</t>
        </is>
      </c>
      <c r="S2187" t="inlineStr"/>
      <c r="T2187" t="inlineStr"/>
      <c r="U2187" t="inlineStr"/>
      <c r="V2187" t="inlineStr"/>
      <c r="W2187" t="inlineStr">
        <is>
          <t>Nej</t>
        </is>
      </c>
      <c r="X2187" t="inlineStr">
        <is>
          <t>Ja</t>
        </is>
      </c>
      <c r="Y2187" t="inlineStr">
        <is>
          <t>Ja</t>
        </is>
      </c>
      <c r="Z2187" t="inlineStr">
        <is>
          <t>Nej</t>
        </is>
      </c>
      <c r="AA2187" t="n">
        <v>6</v>
      </c>
      <c r="AB2187" t="inlineStr">
        <is>
          <t>Lakvattenhantering</t>
        </is>
      </c>
      <c r="AC2187" t="inlineStr">
        <is>
          <t>Flodesschema dagvatten-lakvatten</t>
        </is>
      </c>
      <c r="AD2187" t="inlineStr">
        <is>
          <t>Nej</t>
        </is>
      </c>
      <c r="AE2187" t="inlineStr">
        <is>
          <t>Nej</t>
        </is>
      </c>
      <c r="AF2187" t="inlineStr">
        <is>
          <t>Ej behandlad</t>
        </is>
      </c>
      <c r="AG2187" t="inlineStr">
        <is>
          <t>AUTO_GENERERAD. Verifiera citat mot kallfil.</t>
        </is>
      </c>
      <c r="AH2187" t="inlineStr">
        <is>
          <t>MEDIUM</t>
        </is>
      </c>
      <c r="AI2187" t="inlineStr">
        <is>
          <t>AUTO</t>
        </is>
      </c>
      <c r="AJ2187" t="inlineStr">
        <is>
          <t>Nej</t>
        </is>
      </c>
      <c r="AK2187" t="inlineStr"/>
      <c r="AL2187" t="inlineStr"/>
      <c r="AM2187" t="inlineStr"/>
      <c r="AN2187" t="inlineStr"/>
      <c r="AO2187" t="inlineStr">
        <is>
          <t>cmm4yune500lhcuqwffhmdwrd</t>
        </is>
      </c>
      <c r="AP2187" t="inlineStr">
        <is>
          <t>http://localhost:8787/api/admin/requirements/documents/cmm4yune500lhcuqwffhmdwrd/view</t>
        </is>
      </c>
      <c r="AQ2187">
        <f>HYPERLÄNK("http://localhost:8787/api/admin/requirements/documents/cmm4yune500lhcuqwffhmdwrd/view";"Öppna PDF")</f>
        <v/>
      </c>
      <c r="AR2187">
        <f>HYPERLINK("http://localhost:8787/api/admin/requirements/documents/cmm4yune500lhcuqwffhmdwrd/view","Open PDF")</f>
        <v/>
      </c>
      <c r="AS2187" t="inlineStr">
        <is>
          <t>cmm55w57p0004cuisfrtpqly8</t>
        </is>
      </c>
      <c r="AT2187" t="inlineStr">
        <is>
          <t>cmm4xvu980000cuh4vj0usz09</t>
        </is>
      </c>
      <c r="AU2187" t="inlineStr">
        <is>
          <t>Kiruna</t>
        </is>
      </c>
      <c r="AV2187" t="inlineStr">
        <is>
          <t>Kommun</t>
        </is>
      </c>
      <c r="AW2187" t="inlineStr">
        <is>
          <t>Kiruna kommun</t>
        </is>
      </c>
      <c r="AX2187" t="inlineStr">
        <is>
          <t>25/11</t>
        </is>
      </c>
      <c r="AY2187" t="inlineStr">
        <is>
          <t>Anmalan</t>
        </is>
      </c>
      <c r="AZ2187" t="inlineStr">
        <is>
          <t>2026-02-03</t>
        </is>
      </c>
      <c r="BA2187" t="inlineStr">
        <is>
          <t>M-2026-22.pdf</t>
        </is>
      </c>
      <c r="BB2187" t="inlineStr">
        <is>
          <t>Sv:  Begäran om utlämnande av allmän handling – Anmälningar och beslut rörande mellanlagring av avfall samt anläggning av ytor</t>
        </is>
      </c>
      <c r="BC2187" t="inlineStr">
        <is>
          <t>AUTO</t>
        </is>
      </c>
      <c r="BD2187" t="inlineStr"/>
      <c r="BE2187" t="inlineStr"/>
      <c r="BF2187" t="inlineStr">
        <is>
          <t>AUTO_GENERERAD. Bekrafta metadata mot kallfil.</t>
        </is>
      </c>
      <c r="BG2187">
        <f>HYPERLINK("C:\Users\jimmy\Desktop\Examens arbete\Kod\Ny mapp\remix_-copy-of-miljöbeslut.se-portal\M-2026-22.pdf", "Öppna PDF")</f>
        <v/>
      </c>
    </row>
    <row r="2188">
      <c r="A2188" t="inlineStr">
        <is>
          <t>KRAV-AUTO-002187</t>
        </is>
      </c>
      <c r="B2188" t="inlineStr">
        <is>
          <t>ADMIN-INDEX-2026-02-27-00000000125C043F57453246863FE664CAFE6A3F0700950291EA24F0614FB6ACEDB12BF0E31D00000000010C0000950291EA24F0614FB6ACEDB12BF0E31D00002087B1A10000</t>
        </is>
      </c>
      <c r="C2188" t="inlineStr">
        <is>
          <t>cmm4yundv00l8cuqwrz4w4d1v</t>
        </is>
      </c>
      <c r="D2188" t="inlineStr">
        <is>
          <t>http://localhost:8787/api/admin/requirements/documents/cmm4yundv00l8cuqwrz4w4d1v/view</t>
        </is>
      </c>
      <c r="E2188">
        <f>HYPERLÄNK("http://localhost:8787/api/admin/requirements/documents/cmm4yundv00l8cuqwrz4w4d1v/view";"Öppna PDF")</f>
        <v/>
      </c>
      <c r="F2188">
        <f>HYPERLINK("http://localhost:8787/api/admin/requirements/documents/cmm4yundv00l8cuqwrz4w4d1v/view","Open PDF")</f>
        <v/>
      </c>
      <c r="G2188" t="inlineStr">
        <is>
          <t>cmm55w57p0004cuisfrtpqly8</t>
        </is>
      </c>
      <c r="H2188" t="inlineStr">
        <is>
          <t>Informationskrav</t>
        </is>
      </c>
      <c r="I2188" t="inlineStr">
        <is>
          <t>Riskhantering</t>
        </is>
      </c>
      <c r="J2188" t="inlineStr">
        <is>
          <t>Riskkontroll</t>
        </is>
      </c>
      <c r="K2188" t="inlineStr">
        <is>
          <t>Historiska kartor Se om det finns historiska kartor nära den valda positionen IZl Historiska kartor webbP.lats Dela ( Stäng -- 4 of 4 --</t>
        </is>
      </c>
      <c r="L2188" t="inlineStr">
        <is>
          <t>Historiska kartor Se om det finns historiska kartor nära den valda positionen IZl Historiska kartor webbP.lats Dela ( Stäng -- 4 of 4 --</t>
        </is>
      </c>
      <c r="M2188" t="inlineStr">
        <is>
          <t>SKA</t>
        </is>
      </c>
      <c r="N2188" t="inlineStr"/>
      <c r="O2188" t="inlineStr"/>
      <c r="P2188" t="inlineStr"/>
      <c r="Q2188" t="inlineStr"/>
      <c r="R2188" t="inlineStr">
        <is>
          <t>Vid risk for incident</t>
        </is>
      </c>
      <c r="S2188" t="inlineStr"/>
      <c r="T2188" t="inlineStr"/>
      <c r="U2188" t="inlineStr"/>
      <c r="V2188" t="inlineStr"/>
      <c r="W2188" t="inlineStr">
        <is>
          <t>Nej</t>
        </is>
      </c>
      <c r="X2188" t="inlineStr">
        <is>
          <t>Nej</t>
        </is>
      </c>
      <c r="Y2188" t="inlineStr">
        <is>
          <t>Ja</t>
        </is>
      </c>
      <c r="Z2188" t="inlineStr">
        <is>
          <t>Ja</t>
        </is>
      </c>
      <c r="AA2188" t="n">
        <v>8</v>
      </c>
      <c r="AB2188" t="inlineStr">
        <is>
          <t>Riskhantering</t>
        </is>
      </c>
      <c r="AC2188" t="inlineStr">
        <is>
          <t>Risk-PM</t>
        </is>
      </c>
      <c r="AD2188" t="inlineStr">
        <is>
          <t>Nej</t>
        </is>
      </c>
      <c r="AE2188" t="inlineStr">
        <is>
          <t>Nej</t>
        </is>
      </c>
      <c r="AF2188" t="inlineStr">
        <is>
          <t>Ej behandlad</t>
        </is>
      </c>
      <c r="AG2188" t="inlineStr">
        <is>
          <t>AUTO_GENERERAD. Verifiera citat mot kallfil.</t>
        </is>
      </c>
      <c r="AH2188" t="inlineStr">
        <is>
          <t>MEDIUM</t>
        </is>
      </c>
      <c r="AI2188" t="inlineStr">
        <is>
          <t>AUTO</t>
        </is>
      </c>
      <c r="AJ2188" t="inlineStr">
        <is>
          <t>Nej</t>
        </is>
      </c>
      <c r="AK2188" t="inlineStr"/>
      <c r="AL2188" t="inlineStr"/>
      <c r="AM2188" t="inlineStr"/>
      <c r="AN2188" t="inlineStr"/>
      <c r="AO2188" t="inlineStr">
        <is>
          <t>cmm4yune500lhcuqwffhmdwrd</t>
        </is>
      </c>
      <c r="AP2188" t="inlineStr">
        <is>
          <t>http://localhost:8787/api/admin/requirements/documents/cmm4yune500lhcuqwffhmdwrd/view</t>
        </is>
      </c>
      <c r="AQ2188">
        <f>HYPERLÄNK("http://localhost:8787/api/admin/requirements/documents/cmm4yune500lhcuqwffhmdwrd/view";"Öppna PDF")</f>
        <v/>
      </c>
      <c r="AR2188">
        <f>HYPERLINK("http://localhost:8787/api/admin/requirements/documents/cmm4yune500lhcuqwffhmdwrd/view","Open PDF")</f>
        <v/>
      </c>
      <c r="AS2188" t="inlineStr">
        <is>
          <t>cmm55w57p0004cuisfrtpqly8</t>
        </is>
      </c>
      <c r="AT2188" t="inlineStr">
        <is>
          <t>cmm4xvu980000cuh4vj0usz09</t>
        </is>
      </c>
      <c r="AU2188" t="inlineStr">
        <is>
          <t>Kiruna</t>
        </is>
      </c>
      <c r="AV2188" t="inlineStr">
        <is>
          <t>Kommun</t>
        </is>
      </c>
      <c r="AW2188" t="inlineStr">
        <is>
          <t>Kiruna kommun</t>
        </is>
      </c>
      <c r="AX2188" t="inlineStr">
        <is>
          <t>25/11</t>
        </is>
      </c>
      <c r="AY2188" t="inlineStr">
        <is>
          <t>Anmalan</t>
        </is>
      </c>
      <c r="AZ2188" t="inlineStr">
        <is>
          <t>2026-02-03</t>
        </is>
      </c>
      <c r="BA2188" t="inlineStr">
        <is>
          <t>M-2026-22.pdf</t>
        </is>
      </c>
      <c r="BB2188" t="inlineStr">
        <is>
          <t>Sv:  Begäran om utlämnande av allmän handling – Anmälningar och beslut rörande mellanlagring av avfall samt anläggning av ytor</t>
        </is>
      </c>
      <c r="BC2188" t="inlineStr">
        <is>
          <t>AUTO</t>
        </is>
      </c>
      <c r="BD2188" t="inlineStr"/>
      <c r="BE2188" t="inlineStr"/>
      <c r="BF2188" t="inlineStr">
        <is>
          <t>AUTO_GENERERAD. Bekrafta metadata mot kallfil.</t>
        </is>
      </c>
      <c r="BG2188">
        <f>HYPERLINK("C:\Users\jimmy\Desktop\Examens arbete\Kod\Ny mapp\remix_-copy-of-miljöbeslut.se-portal\M-2026-22.pdf", "Öppna PDF")</f>
        <v/>
      </c>
    </row>
    <row r="2189">
      <c r="A2189" t="inlineStr">
        <is>
          <t>KRAV-AUTO-002188</t>
        </is>
      </c>
      <c r="B2189" t="inlineStr">
        <is>
          <t>ADMIN-INDEX-2026-02-27-00000000125C043F57453246863FE664CAFE6A3F0700950291EA24F0614FB6ACEDB12BF0E31D00000000010C0000950291EA24F0614FB6ACEDB12BF0E31D00002087B1A10000</t>
        </is>
      </c>
      <c r="C2189" t="inlineStr">
        <is>
          <t>cmm4yundq00l2cuqw6y3wndak</t>
        </is>
      </c>
      <c r="D2189" t="inlineStr">
        <is>
          <t>http://localhost:8787/api/admin/requirements/documents/cmm4yundq00l2cuqw6y3wndak/view</t>
        </is>
      </c>
      <c r="E2189">
        <f>HYPERLÄNK("http://localhost:8787/api/admin/requirements/documents/cmm4yundq00l2cuqw6y3wndak/view";"Öppna PDF")</f>
        <v/>
      </c>
      <c r="F2189">
        <f>HYPERLINK("http://localhost:8787/api/admin/requirements/documents/cmm4yundq00l2cuqw6y3wndak/view","Open PDF")</f>
        <v/>
      </c>
      <c r="G2189" t="inlineStr">
        <is>
          <t>cmm55w57p0004cuisfrtpqly8</t>
        </is>
      </c>
      <c r="H2189" t="inlineStr">
        <is>
          <t>Informationskrav</t>
        </is>
      </c>
      <c r="I2189" t="inlineStr">
        <is>
          <t>DagvattenLakvatten</t>
        </is>
      </c>
      <c r="J2189" t="inlineStr">
        <is>
          <t>Uppsamling</t>
        </is>
      </c>
      <c r="K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handläggning av ärendet.</t>
        </is>
      </c>
      <c r="L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t>
        </is>
      </c>
      <c r="M2189" t="inlineStr">
        <is>
          <t>SKA</t>
        </is>
      </c>
      <c r="N2189" t="inlineStr"/>
      <c r="O2189" t="inlineStr"/>
      <c r="P2189" t="inlineStr"/>
      <c r="Q2189" t="inlineStr"/>
      <c r="R2189" t="inlineStr">
        <is>
          <t>Vid nederbord och avrinning</t>
        </is>
      </c>
      <c r="S2189" t="inlineStr"/>
      <c r="T2189" t="inlineStr">
        <is>
          <t>21 20 00</t>
        </is>
      </c>
      <c r="U2189" t="inlineStr"/>
      <c r="V2189" t="inlineStr"/>
      <c r="W2189" t="inlineStr">
        <is>
          <t>Nej</t>
        </is>
      </c>
      <c r="X2189" t="inlineStr">
        <is>
          <t>Ja</t>
        </is>
      </c>
      <c r="Y2189" t="inlineStr">
        <is>
          <t>Ja</t>
        </is>
      </c>
      <c r="Z2189" t="inlineStr">
        <is>
          <t>Nej</t>
        </is>
      </c>
      <c r="AA2189" t="n">
        <v>6</v>
      </c>
      <c r="AB2189" t="inlineStr">
        <is>
          <t>Lakvattenhantering</t>
        </is>
      </c>
      <c r="AC2189" t="inlineStr">
        <is>
          <t>Flodesschema dagvatten-lakvatten</t>
        </is>
      </c>
      <c r="AD2189" t="inlineStr">
        <is>
          <t>Nej</t>
        </is>
      </c>
      <c r="AE2189" t="inlineStr">
        <is>
          <t>Nej</t>
        </is>
      </c>
      <c r="AF2189" t="inlineStr">
        <is>
          <t>Ej behandlad</t>
        </is>
      </c>
      <c r="AG2189" t="inlineStr">
        <is>
          <t>AUTO_GENERERAD. Verifiera citat mot kallfil.</t>
        </is>
      </c>
      <c r="AH2189" t="inlineStr">
        <is>
          <t>MEDIUM</t>
        </is>
      </c>
      <c r="AI2189" t="inlineStr">
        <is>
          <t>AUTO</t>
        </is>
      </c>
      <c r="AJ2189" t="inlineStr">
        <is>
          <t>Nej</t>
        </is>
      </c>
      <c r="AK2189" t="inlineStr"/>
      <c r="AL2189" t="inlineStr"/>
      <c r="AM2189" t="inlineStr"/>
      <c r="AN2189" t="inlineStr"/>
      <c r="AO2189" t="inlineStr">
        <is>
          <t>cmm4yune500lhcuqwffhmdwrd</t>
        </is>
      </c>
      <c r="AP2189" t="inlineStr">
        <is>
          <t>http://localhost:8787/api/admin/requirements/documents/cmm4yune500lhcuqwffhmdwrd/view</t>
        </is>
      </c>
      <c r="AQ2189">
        <f>HYPERLÄNK("http://localhost:8787/api/admin/requirements/documents/cmm4yune500lhcuqwffhmdwrd/view";"Öppna PDF")</f>
        <v/>
      </c>
      <c r="AR2189">
        <f>HYPERLINK("http://localhost:8787/api/admin/requirements/documents/cmm4yune500lhcuqwffhmdwrd/view","Open PDF")</f>
        <v/>
      </c>
      <c r="AS2189" t="inlineStr">
        <is>
          <t>cmm55w57p0004cuisfrtpqly8</t>
        </is>
      </c>
      <c r="AT2189" t="inlineStr">
        <is>
          <t>cmm4xvu980000cuh4vj0usz09</t>
        </is>
      </c>
      <c r="AU2189" t="inlineStr">
        <is>
          <t>Kiruna</t>
        </is>
      </c>
      <c r="AV2189" t="inlineStr">
        <is>
          <t>Kommun</t>
        </is>
      </c>
      <c r="AW2189" t="inlineStr">
        <is>
          <t>Kiruna kommun</t>
        </is>
      </c>
      <c r="AX2189" t="inlineStr">
        <is>
          <t>25/11</t>
        </is>
      </c>
      <c r="AY2189" t="inlineStr">
        <is>
          <t>Anmalan</t>
        </is>
      </c>
      <c r="AZ2189" t="inlineStr">
        <is>
          <t>2026-02-03</t>
        </is>
      </c>
      <c r="BA2189" t="inlineStr">
        <is>
          <t>M-2026-22.pdf</t>
        </is>
      </c>
      <c r="BB2189" t="inlineStr">
        <is>
          <t>Sv:  Begäran om utlämnande av allmän handling – Anmälningar och beslut rörande mellanlagring av avfall samt anläggning av ytor</t>
        </is>
      </c>
      <c r="BC2189" t="inlineStr">
        <is>
          <t>AUTO</t>
        </is>
      </c>
      <c r="BD2189" t="inlineStr"/>
      <c r="BE2189" t="inlineStr"/>
      <c r="BF2189" t="inlineStr">
        <is>
          <t>AUTO_GENERERAD. Bekrafta metadata mot kallfil.</t>
        </is>
      </c>
      <c r="BG2189">
        <f>HYPERLINK("C:\Users\jimmy\Desktop\Examens arbete\Kod\Ny mapp\remix_-copy-of-miljöbeslut.se-portal\M-2026-22.pdf", "Öppna PDF")</f>
        <v/>
      </c>
    </row>
    <row r="2190">
      <c r="A2190" t="inlineStr">
        <is>
          <t>KRAV-AUTO-002189</t>
        </is>
      </c>
      <c r="B2190" t="inlineStr">
        <is>
          <t>ADMIN-INDEX-2026-02-27-00000000125C043F57453246863FE664CAFE6A3F0700950291EA24F0614FB6ACEDB12BF0E31D00000000010C0000950291EA24F0614FB6ACEDB12BF0E31D00002087B1A10000</t>
        </is>
      </c>
      <c r="C2190" t="inlineStr">
        <is>
          <t>cmm4yundq00l2cuqw6y3wndak</t>
        </is>
      </c>
      <c r="D2190" t="inlineStr">
        <is>
          <t>http://localhost:8787/api/admin/requirements/documents/cmm4yundq00l2cuqw6y3wndak/view</t>
        </is>
      </c>
      <c r="E2190">
        <f>HYPERLÄNK("http://localhost:8787/api/admin/requirements/documents/cmm4yundq00l2cuqw6y3wndak/view";"Öppna PDF")</f>
        <v/>
      </c>
      <c r="F2190">
        <f>HYPERLINK("http://localhost:8787/api/admin/requirements/documents/cmm4yundq00l2cuqw6y3wndak/view","Open PDF")</f>
        <v/>
      </c>
      <c r="G2190" t="inlineStr">
        <is>
          <t>cmm55w57p0004cuisfrtpqly8</t>
        </is>
      </c>
      <c r="H2190" t="inlineStr">
        <is>
          <t>Informationskrav</t>
        </is>
      </c>
      <c r="I2190" t="inlineStr">
        <is>
          <t>MiljopaverkanForsiktighet</t>
        </is>
      </c>
      <c r="J2190" t="inlineStr">
        <is>
          <t>Skyddsatgarder</t>
        </is>
      </c>
      <c r="K2190" t="inlineStr">
        <is>
          <t>Verksamheten ska föra anteckningar om icke-farligt avfall enligt 7 kap.</t>
        </is>
      </c>
      <c r="L2190" t="inlineStr">
        <is>
          <t>Verksamheten ska föra anteckningar om icke-farligt avfall enligt 7 kap.</t>
        </is>
      </c>
      <c r="M2190" t="inlineStr">
        <is>
          <t>SKA</t>
        </is>
      </c>
      <c r="N2190" t="inlineStr"/>
      <c r="O2190" t="inlineStr"/>
      <c r="P2190" t="inlineStr">
        <is>
          <t>Arlig</t>
        </is>
      </c>
      <c r="Q2190" t="inlineStr"/>
      <c r="R2190" t="inlineStr">
        <is>
          <t>Alltid</t>
        </is>
      </c>
      <c r="S2190" t="inlineStr"/>
      <c r="T2190" t="inlineStr">
        <is>
          <t>21 20 00</t>
        </is>
      </c>
      <c r="U2190" t="inlineStr"/>
      <c r="V2190" t="inlineStr"/>
      <c r="W2190" t="inlineStr">
        <is>
          <t>Nej</t>
        </is>
      </c>
      <c r="X2190" t="inlineStr">
        <is>
          <t>Nej</t>
        </is>
      </c>
      <c r="Y2190" t="inlineStr">
        <is>
          <t>Nej</t>
        </is>
      </c>
      <c r="Z2190" t="inlineStr">
        <is>
          <t>Nej</t>
        </is>
      </c>
      <c r="AA2190" t="n">
        <v>10</v>
      </c>
      <c r="AB2190" t="inlineStr">
        <is>
          <t>Miljopaverkan och forsiktighetsmatt</t>
        </is>
      </c>
      <c r="AC2190" t="inlineStr">
        <is>
          <t>Miljo-PM</t>
        </is>
      </c>
      <c r="AD2190" t="inlineStr">
        <is>
          <t>Nej</t>
        </is>
      </c>
      <c r="AE2190" t="inlineStr">
        <is>
          <t>Nej</t>
        </is>
      </c>
      <c r="AF2190" t="inlineStr">
        <is>
          <t>Ej behandlad</t>
        </is>
      </c>
      <c r="AG2190" t="inlineStr">
        <is>
          <t>AUTO_GENERERAD. Verifiera citat mot kallfil.</t>
        </is>
      </c>
      <c r="AH2190" t="inlineStr">
        <is>
          <t>MEDIUM</t>
        </is>
      </c>
      <c r="AI2190" t="inlineStr">
        <is>
          <t>AUTO</t>
        </is>
      </c>
      <c r="AJ2190" t="inlineStr">
        <is>
          <t>Nej</t>
        </is>
      </c>
      <c r="AK2190" t="inlineStr"/>
      <c r="AL2190" t="inlineStr"/>
      <c r="AM2190" t="inlineStr"/>
      <c r="AN2190" t="inlineStr"/>
      <c r="AO2190" t="inlineStr">
        <is>
          <t>cmm4yune500lhcuqwffhmdwrd</t>
        </is>
      </c>
      <c r="AP2190" t="inlineStr">
        <is>
          <t>http://localhost:8787/api/admin/requirements/documents/cmm4yune500lhcuqwffhmdwrd/view</t>
        </is>
      </c>
      <c r="AQ2190">
        <f>HYPERLÄNK("http://localhost:8787/api/admin/requirements/documents/cmm4yune500lhcuqwffhmdwrd/view";"Öppna PDF")</f>
        <v/>
      </c>
      <c r="AR2190">
        <f>HYPERLINK("http://localhost:8787/api/admin/requirements/documents/cmm4yune500lhcuqwffhmdwrd/view","Open PDF")</f>
        <v/>
      </c>
      <c r="AS2190" t="inlineStr">
        <is>
          <t>cmm55w57p0004cuisfrtpqly8</t>
        </is>
      </c>
      <c r="AT2190" t="inlineStr">
        <is>
          <t>cmm4xvu980000cuh4vj0usz09</t>
        </is>
      </c>
      <c r="AU2190" t="inlineStr">
        <is>
          <t>Kiruna</t>
        </is>
      </c>
      <c r="AV2190" t="inlineStr">
        <is>
          <t>Kommun</t>
        </is>
      </c>
      <c r="AW2190" t="inlineStr">
        <is>
          <t>Kiruna kommun</t>
        </is>
      </c>
      <c r="AX2190" t="inlineStr">
        <is>
          <t>25/11</t>
        </is>
      </c>
      <c r="AY2190" t="inlineStr">
        <is>
          <t>Anmalan</t>
        </is>
      </c>
      <c r="AZ2190" t="inlineStr">
        <is>
          <t>2026-02-03</t>
        </is>
      </c>
      <c r="BA2190" t="inlineStr">
        <is>
          <t>M-2026-22.pdf</t>
        </is>
      </c>
      <c r="BB2190" t="inlineStr">
        <is>
          <t>Sv:  Begäran om utlämnande av allmän handling – Anmälningar och beslut rörande mellanlagring av avfall samt anläggning av ytor</t>
        </is>
      </c>
      <c r="BC2190" t="inlineStr">
        <is>
          <t>AUTO</t>
        </is>
      </c>
      <c r="BD2190" t="inlineStr"/>
      <c r="BE2190" t="inlineStr"/>
      <c r="BF2190" t="inlineStr">
        <is>
          <t>AUTO_GENERERAD. Bekrafta metadata mot kallfil.</t>
        </is>
      </c>
      <c r="BG2190">
        <f>HYPERLINK("C:\Users\jimmy\Desktop\Examens arbete\Kod\Ny mapp\remix_-copy-of-miljöbeslut.se-portal\M-2026-22.pdf", "Öppna PDF")</f>
        <v/>
      </c>
    </row>
    <row r="2191">
      <c r="A2191" t="inlineStr">
        <is>
          <t>KRAV-AUTO-002190</t>
        </is>
      </c>
      <c r="B2191" t="inlineStr">
        <is>
          <t>ADMIN-INDEX-2026-02-27-00000000125C043F57453246863FE664CAFE6A3F0700950291EA24F0614FB6ACEDB12BF0E31D00000000010C0000950291EA24F0614FB6ACEDB12BF0E31D00002087B1A10000</t>
        </is>
      </c>
      <c r="C2191" t="inlineStr">
        <is>
          <t>cmm4yundl00kwcuqwvx1cwam0</t>
        </is>
      </c>
      <c r="D2191" t="inlineStr">
        <is>
          <t>http://localhost:8787/api/admin/requirements/documents/cmm4yundl00kwcuqwvx1cwam0/view</t>
        </is>
      </c>
      <c r="E2191">
        <f>HYPERLÄNK("http://localhost:8787/api/admin/requirements/documents/cmm4yundl00kwcuqwvx1cwam0/view";"Öppna PDF")</f>
        <v/>
      </c>
      <c r="F2191">
        <f>HYPERLINK("http://localhost:8787/api/admin/requirements/documents/cmm4yundl00kwcuqwvx1cwam0/view","Open PDF")</f>
        <v/>
      </c>
      <c r="G2191" t="inlineStr">
        <is>
          <t>cmm55w57p0004cuisfrtpqly8</t>
        </is>
      </c>
      <c r="H2191" t="inlineStr">
        <is>
          <t>Informationskrav</t>
        </is>
      </c>
      <c r="I2191" t="inlineStr">
        <is>
          <t>LagringsvolymTid</t>
        </is>
      </c>
      <c r="J2191" t="inlineStr">
        <is>
          <t>Maxmangd</t>
        </is>
      </c>
      <c r="K2191" t="inlineStr">
        <is>
          <t>Miljökontoret är inte av någon annan åsikt utan anser att överskottsmassorna bör vara lämpliga att återvinna för anläggningsändamål för att på så vis minska mängden avfall och användandet av jungfruligt material.</t>
        </is>
      </c>
      <c r="L2191" t="inlineStr">
        <is>
          <t>Miljökontoret är inte av någon annan åsikt utan anser att överskottsmassorna bör vara lämpliga att återvinna för anläggningsändamål för att på så vis minska mängden avfall och användandet av jungfruligt material.</t>
        </is>
      </c>
      <c r="M2191" t="inlineStr">
        <is>
          <t>SKA</t>
        </is>
      </c>
      <c r="N2191" t="inlineStr"/>
      <c r="O2191" t="inlineStr"/>
      <c r="P2191" t="inlineStr"/>
      <c r="Q2191" t="inlineStr"/>
      <c r="R2191" t="inlineStr">
        <is>
          <t>Alltid</t>
        </is>
      </c>
      <c r="S2191" t="inlineStr"/>
      <c r="T2191" t="inlineStr">
        <is>
          <t>21 20 00</t>
        </is>
      </c>
      <c r="U2191" t="inlineStr"/>
      <c r="V2191" t="inlineStr"/>
      <c r="W2191" t="inlineStr">
        <is>
          <t>Nej</t>
        </is>
      </c>
      <c r="X2191" t="inlineStr">
        <is>
          <t>Nej</t>
        </is>
      </c>
      <c r="Y2191" t="inlineStr">
        <is>
          <t>Nej</t>
        </is>
      </c>
      <c r="Z2191" t="inlineStr">
        <is>
          <t>Nej</t>
        </is>
      </c>
      <c r="AA2191" t="n">
        <v>4</v>
      </c>
      <c r="AB2191" t="inlineStr">
        <is>
          <t>Avfallsmangder och lagringstid</t>
        </is>
      </c>
      <c r="AC2191" t="inlineStr">
        <is>
          <t>Avfallsforteckning</t>
        </is>
      </c>
      <c r="AD2191" t="inlineStr">
        <is>
          <t>Nej</t>
        </is>
      </c>
      <c r="AE2191" t="inlineStr">
        <is>
          <t>Nej</t>
        </is>
      </c>
      <c r="AF2191" t="inlineStr">
        <is>
          <t>Ej behandlad</t>
        </is>
      </c>
      <c r="AG2191" t="inlineStr">
        <is>
          <t>AUTO_GENERERAD. Verifiera citat mot kallfil.</t>
        </is>
      </c>
      <c r="AH2191" t="inlineStr">
        <is>
          <t>MEDIUM</t>
        </is>
      </c>
      <c r="AI2191" t="inlineStr">
        <is>
          <t>AUTO</t>
        </is>
      </c>
      <c r="AJ2191" t="inlineStr">
        <is>
          <t>Nej</t>
        </is>
      </c>
      <c r="AK2191" t="inlineStr"/>
      <c r="AL2191" t="inlineStr"/>
      <c r="AM2191" t="inlineStr"/>
      <c r="AN2191" t="inlineStr"/>
      <c r="AO2191" t="inlineStr">
        <is>
          <t>cmm4yune500lhcuqwffhmdwrd</t>
        </is>
      </c>
      <c r="AP2191" t="inlineStr">
        <is>
          <t>http://localhost:8787/api/admin/requirements/documents/cmm4yune500lhcuqwffhmdwrd/view</t>
        </is>
      </c>
      <c r="AQ2191">
        <f>HYPERLÄNK("http://localhost:8787/api/admin/requirements/documents/cmm4yune500lhcuqwffhmdwrd/view";"Öppna PDF")</f>
        <v/>
      </c>
      <c r="AR2191">
        <f>HYPERLINK("http://localhost:8787/api/admin/requirements/documents/cmm4yune500lhcuqwffhmdwrd/view","Open PDF")</f>
        <v/>
      </c>
      <c r="AS2191" t="inlineStr">
        <is>
          <t>cmm55w57p0004cuisfrtpqly8</t>
        </is>
      </c>
      <c r="AT2191" t="inlineStr">
        <is>
          <t>cmm4xvu980000cuh4vj0usz09</t>
        </is>
      </c>
      <c r="AU2191" t="inlineStr">
        <is>
          <t>Kiruna</t>
        </is>
      </c>
      <c r="AV2191" t="inlineStr">
        <is>
          <t>Kommun</t>
        </is>
      </c>
      <c r="AW2191" t="inlineStr">
        <is>
          <t>Kiruna kommun</t>
        </is>
      </c>
      <c r="AX2191" t="inlineStr">
        <is>
          <t>25/11</t>
        </is>
      </c>
      <c r="AY2191" t="inlineStr">
        <is>
          <t>Anmalan</t>
        </is>
      </c>
      <c r="AZ2191" t="inlineStr">
        <is>
          <t>2026-02-03</t>
        </is>
      </c>
      <c r="BA2191" t="inlineStr">
        <is>
          <t>M-2026-22.pdf</t>
        </is>
      </c>
      <c r="BB2191" t="inlineStr">
        <is>
          <t>Sv:  Begäran om utlämnande av allmän handling – Anmälningar och beslut rörande mellanlagring av avfall samt anläggning av ytor</t>
        </is>
      </c>
      <c r="BC2191" t="inlineStr">
        <is>
          <t>AUTO</t>
        </is>
      </c>
      <c r="BD2191" t="inlineStr"/>
      <c r="BE2191" t="inlineStr"/>
      <c r="BF2191" t="inlineStr">
        <is>
          <t>AUTO_GENERERAD. Bekrafta metadata mot kallfil.</t>
        </is>
      </c>
      <c r="BG2191">
        <f>HYPERLINK("C:\Users\jimmy\Desktop\Examens arbete\Kod\Ny mapp\remix_-copy-of-miljöbeslut.se-portal\M-2026-22.pdf", "Öppna PDF")</f>
        <v/>
      </c>
    </row>
    <row r="2192">
      <c r="A2192" t="inlineStr">
        <is>
          <t>KRAV-AUTO-002191</t>
        </is>
      </c>
      <c r="B2192" t="inlineStr">
        <is>
          <t>ADMIN-INDEX-2026-02-27-00000000125C043F57453246863FE664CAFE6A3F0700950291EA24F0614FB6ACEDB12BF0E31D00000000010C0000950291EA24F0614FB6ACEDB12BF0E31D00002087B1A10000</t>
        </is>
      </c>
      <c r="C2192" t="inlineStr">
        <is>
          <t>cmm4yundl00kwcuqwvx1cwam0</t>
        </is>
      </c>
      <c r="D2192" t="inlineStr">
        <is>
          <t>http://localhost:8787/api/admin/requirements/documents/cmm4yundl00kwcuqwvx1cwam0/view</t>
        </is>
      </c>
      <c r="E2192">
        <f>HYPERLÄNK("http://localhost:8787/api/admin/requirements/documents/cmm4yundl00kwcuqwvx1cwam0/view";"Öppna PDF")</f>
        <v/>
      </c>
      <c r="F2192">
        <f>HYPERLINK("http://localhost:8787/api/admin/requirements/documents/cmm4yundl00kwcuqwvx1cwam0/view","Open PDF")</f>
        <v/>
      </c>
      <c r="G2192" t="inlineStr">
        <is>
          <t>cmm55w57p0004cuisfrtpqly8</t>
        </is>
      </c>
      <c r="H2192" t="inlineStr">
        <is>
          <t>Informationskrav</t>
        </is>
      </c>
      <c r="I2192" t="inlineStr">
        <is>
          <t>DriftEgenkontroll</t>
        </is>
      </c>
      <c r="J2192" t="inlineStr">
        <is>
          <t>Journalforing</t>
        </is>
      </c>
      <c r="K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-- 13 of 21 -- Sida Ordernummer Kund ST2322997 ÅF Infrastructure AB : : : 3 av 28 Etapp2_02 Provbeteckning Matris: JORD Laboratoriets provnummer ST2322997-002 2023-06-27 Provtagningsdatum / tid Parameter Resultat MU Enhet LOR Analyspaket Metod Utf.</t>
        </is>
      </c>
      <c r="L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2192" t="inlineStr">
        <is>
          <t>BOR</t>
        </is>
      </c>
      <c r="N2192" t="inlineStr"/>
      <c r="O2192" t="inlineStr">
        <is>
          <t>2023-06-27</t>
        </is>
      </c>
      <c r="P2192" t="inlineStr"/>
      <c r="Q2192" t="inlineStr"/>
      <c r="R2192" t="inlineStr">
        <is>
          <t>Lopande drift</t>
        </is>
      </c>
      <c r="S2192" t="inlineStr"/>
      <c r="T2192" t="inlineStr">
        <is>
          <t>21 20 00</t>
        </is>
      </c>
      <c r="U2192" t="inlineStr"/>
      <c r="V2192" t="inlineStr"/>
      <c r="W2192" t="inlineStr">
        <is>
          <t>Nej</t>
        </is>
      </c>
      <c r="X2192" t="inlineStr">
        <is>
          <t>Nej</t>
        </is>
      </c>
      <c r="Y2192" t="inlineStr">
        <is>
          <t>Ja</t>
        </is>
      </c>
      <c r="Z2192" t="inlineStr">
        <is>
          <t>Nej</t>
        </is>
      </c>
      <c r="AA2192" t="n">
        <v>7</v>
      </c>
      <c r="AB2192" t="inlineStr">
        <is>
          <t>Egenkontrollrutiner</t>
        </is>
      </c>
      <c r="AC2192" t="inlineStr">
        <is>
          <t>Egenkontrollprogram</t>
        </is>
      </c>
      <c r="AD2192" t="inlineStr">
        <is>
          <t>Nej</t>
        </is>
      </c>
      <c r="AE2192" t="inlineStr">
        <is>
          <t>Nej</t>
        </is>
      </c>
      <c r="AF2192" t="inlineStr">
        <is>
          <t>Ej behandlad</t>
        </is>
      </c>
      <c r="AG2192" t="inlineStr">
        <is>
          <t>AUTO_GENERERAD. Verifiera citat mot kallfil.</t>
        </is>
      </c>
      <c r="AH2192" t="inlineStr">
        <is>
          <t>MEDIUM</t>
        </is>
      </c>
      <c r="AI2192" t="inlineStr">
        <is>
          <t>AUTO</t>
        </is>
      </c>
      <c r="AJ2192" t="inlineStr">
        <is>
          <t>Nej</t>
        </is>
      </c>
      <c r="AK2192" t="inlineStr"/>
      <c r="AL2192" t="inlineStr"/>
      <c r="AM2192" t="inlineStr"/>
      <c r="AN2192" t="inlineStr"/>
      <c r="AO2192" t="inlineStr">
        <is>
          <t>cmm4yune500lhcuqwffhmdwrd</t>
        </is>
      </c>
      <c r="AP2192" t="inlineStr">
        <is>
          <t>http://localhost:8787/api/admin/requirements/documents/cmm4yune500lhcuqwffhmdwrd/view</t>
        </is>
      </c>
      <c r="AQ2192">
        <f>HYPERLÄNK("http://localhost:8787/api/admin/requirements/documents/cmm4yune500lhcuqwffhmdwrd/view";"Öppna PDF")</f>
        <v/>
      </c>
      <c r="AR2192">
        <f>HYPERLINK("http://localhost:8787/api/admin/requirements/documents/cmm4yune500lhcuqwffhmdwrd/view","Open PDF")</f>
        <v/>
      </c>
      <c r="AS2192" t="inlineStr">
        <is>
          <t>cmm55w57p0004cuisfrtpqly8</t>
        </is>
      </c>
      <c r="AT2192" t="inlineStr">
        <is>
          <t>cmm4xvu980000cuh4vj0usz09</t>
        </is>
      </c>
      <c r="AU2192" t="inlineStr">
        <is>
          <t>Kiruna</t>
        </is>
      </c>
      <c r="AV2192" t="inlineStr">
        <is>
          <t>Kommun</t>
        </is>
      </c>
      <c r="AW2192" t="inlineStr">
        <is>
          <t>Kiruna kommun</t>
        </is>
      </c>
      <c r="AX2192" t="inlineStr">
        <is>
          <t>25/11</t>
        </is>
      </c>
      <c r="AY2192" t="inlineStr">
        <is>
          <t>Anmalan</t>
        </is>
      </c>
      <c r="AZ2192" t="inlineStr">
        <is>
          <t>2026-02-03</t>
        </is>
      </c>
      <c r="BA2192" t="inlineStr">
        <is>
          <t>M-2026-22.pdf</t>
        </is>
      </c>
      <c r="BB2192" t="inlineStr">
        <is>
          <t>Sv:  Begäran om utlämnande av allmän handling – Anmälningar och beslut rörande mellanlagring av avfall samt anläggning av ytor</t>
        </is>
      </c>
      <c r="BC2192" t="inlineStr">
        <is>
          <t>AUTO</t>
        </is>
      </c>
      <c r="BD2192" t="inlineStr"/>
      <c r="BE2192" t="inlineStr"/>
      <c r="BF2192" t="inlineStr">
        <is>
          <t>AUTO_GENERERAD. Bekrafta metadata mot kallfil.</t>
        </is>
      </c>
      <c r="BG2192">
        <f>HYPERLINK("C:\Users\jimmy\Desktop\Examens arbete\Kod\Ny mapp\remix_-copy-of-miljöbeslut.se-portal\M-2026-22.pdf", "Öppna PDF")</f>
        <v/>
      </c>
    </row>
    <row r="2193">
      <c r="A2193" t="inlineStr">
        <is>
          <t>KRAV-AUTO-002192</t>
        </is>
      </c>
      <c r="B2193" t="inlineStr">
        <is>
          <t>ADMIN-INDEX-2026-02-27-00000000125C043F57453246863FE664CAFE6A3F0700950291EA24F0614FB6ACEDB12BF0E31D00000000010C0000950291EA24F0614FB6ACEDB12BF0E31D00002087B1A10000</t>
        </is>
      </c>
      <c r="C2193" t="inlineStr">
        <is>
          <t>cmm4yundl00kwcuqwvx1cwam0</t>
        </is>
      </c>
      <c r="D2193" t="inlineStr">
        <is>
          <t>http://localhost:8787/api/admin/requirements/documents/cmm4yundl00kwcuqwvx1cwam0/view</t>
        </is>
      </c>
      <c r="E2193">
        <f>HYPERLÄNK("http://localhost:8787/api/admin/requirements/documents/cmm4yundl00kwcuqwvx1cwam0/view";"Öppna PDF")</f>
        <v/>
      </c>
      <c r="F2193">
        <f>HYPERLINK("http://localhost:8787/api/admin/requirements/documents/cmm4yundl00kwcuqwvx1cwam0/view","Open PDF")</f>
        <v/>
      </c>
      <c r="G2193" t="inlineStr">
        <is>
          <t>cmm55w57p0004cuisfrtpqly8</t>
        </is>
      </c>
      <c r="H2193" t="inlineStr">
        <is>
          <t>Informationskrav</t>
        </is>
      </c>
      <c r="I2193" t="inlineStr">
        <is>
          <t>MiljopaverkanForsiktighet</t>
        </is>
      </c>
      <c r="J2193" t="inlineStr">
        <is>
          <t>Skyddsatgarder</t>
        </is>
      </c>
      <c r="K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Projektgruppen Malmfälten AB Anmälan om återvinning av avfall i anläggningsändamål enligt 29 kap 35 § miljöprövningsförordningen (2013:251), kod 90.141 Fastighetsbeteckning Del av Luossavaara 1:2 Kommun Kiruna Fastighetsägare Luossavaara Kiirunavaara AB Organisationsnummer 556001-5835 Verksamhetsutövare Tekniska Verken i Kiruna AB Adress Värmeverksvägen 12, 981 85 Kiruna Org.</t>
        </is>
      </c>
      <c r="L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t>
        </is>
      </c>
      <c r="M2193" t="inlineStr">
        <is>
          <t>SKA</t>
        </is>
      </c>
      <c r="N2193" t="inlineStr">
        <is>
          <t>MPF</t>
        </is>
      </c>
      <c r="O2193" t="inlineStr">
        <is>
          <t>2024-02-09</t>
        </is>
      </c>
      <c r="P2193" t="inlineStr"/>
      <c r="Q2193" t="inlineStr"/>
      <c r="R2193" t="inlineStr">
        <is>
          <t>Alltid</t>
        </is>
      </c>
      <c r="S2193" t="inlineStr"/>
      <c r="T2193" t="inlineStr">
        <is>
          <t>556185</t>
        </is>
      </c>
      <c r="U2193" t="inlineStr"/>
      <c r="V2193" t="inlineStr"/>
      <c r="W2193" t="inlineStr">
        <is>
          <t>Nej</t>
        </is>
      </c>
      <c r="X2193" t="inlineStr">
        <is>
          <t>Nej</t>
        </is>
      </c>
      <c r="Y2193" t="inlineStr">
        <is>
          <t>Nej</t>
        </is>
      </c>
      <c r="Z2193" t="inlineStr">
        <is>
          <t>Nej</t>
        </is>
      </c>
      <c r="AA2193" t="n">
        <v>10</v>
      </c>
      <c r="AB2193" t="inlineStr">
        <is>
          <t>Miljopaverkan och forsiktighetsmatt</t>
        </is>
      </c>
      <c r="AC2193" t="inlineStr">
        <is>
          <t>Miljo-PM</t>
        </is>
      </c>
      <c r="AD2193" t="inlineStr">
        <is>
          <t>Nej</t>
        </is>
      </c>
      <c r="AE2193" t="inlineStr">
        <is>
          <t>Nej</t>
        </is>
      </c>
      <c r="AF2193" t="inlineStr">
        <is>
          <t>Ej behandlad</t>
        </is>
      </c>
      <c r="AG2193" t="inlineStr">
        <is>
          <t>AUTO_GENERERAD. Verifiera citat mot kallfil.</t>
        </is>
      </c>
      <c r="AH2193" t="inlineStr">
        <is>
          <t>HIGH</t>
        </is>
      </c>
      <c r="AI2193" t="inlineStr">
        <is>
          <t>AUTO</t>
        </is>
      </c>
      <c r="AJ2193" t="inlineStr">
        <is>
          <t>Nej</t>
        </is>
      </c>
      <c r="AK2193" t="inlineStr"/>
      <c r="AL2193" t="inlineStr"/>
      <c r="AM2193" t="inlineStr"/>
      <c r="AN2193" t="inlineStr"/>
      <c r="AO2193" t="inlineStr">
        <is>
          <t>cmm4yune500lhcuqwffhmdwrd</t>
        </is>
      </c>
      <c r="AP2193" t="inlineStr">
        <is>
          <t>http://localhost:8787/api/admin/requirements/documents/cmm4yune500lhcuqwffhmdwrd/view</t>
        </is>
      </c>
      <c r="AQ2193">
        <f>HYPERLÄNK("http://localhost:8787/api/admin/requirements/documents/cmm4yune500lhcuqwffhmdwrd/view";"Öppna PDF")</f>
        <v/>
      </c>
      <c r="AR2193">
        <f>HYPERLINK("http://localhost:8787/api/admin/requirements/documents/cmm4yune500lhcuqwffhmdwrd/view","Open PDF")</f>
        <v/>
      </c>
      <c r="AS2193" t="inlineStr">
        <is>
          <t>cmm55w57p0004cuisfrtpqly8</t>
        </is>
      </c>
      <c r="AT2193" t="inlineStr">
        <is>
          <t>cmm4xvu980000cuh4vj0usz09</t>
        </is>
      </c>
      <c r="AU2193" t="inlineStr">
        <is>
          <t>Kiruna</t>
        </is>
      </c>
      <c r="AV2193" t="inlineStr">
        <is>
          <t>Kommun</t>
        </is>
      </c>
      <c r="AW2193" t="inlineStr">
        <is>
          <t>Kiruna kommun</t>
        </is>
      </c>
      <c r="AX2193" t="inlineStr">
        <is>
          <t>25/11</t>
        </is>
      </c>
      <c r="AY2193" t="inlineStr">
        <is>
          <t>Anmalan</t>
        </is>
      </c>
      <c r="AZ2193" t="inlineStr">
        <is>
          <t>2026-02-03</t>
        </is>
      </c>
      <c r="BA2193" t="inlineStr">
        <is>
          <t>M-2026-22.pdf</t>
        </is>
      </c>
      <c r="BB2193" t="inlineStr">
        <is>
          <t>Sv:  Begäran om utlämnande av allmän handling – Anmälningar och beslut rörande mellanlagring av avfall samt anläggning av ytor</t>
        </is>
      </c>
      <c r="BC2193" t="inlineStr">
        <is>
          <t>AUTO</t>
        </is>
      </c>
      <c r="BD2193" t="inlineStr"/>
      <c r="BE2193" t="inlineStr"/>
      <c r="BF2193" t="inlineStr">
        <is>
          <t>AUTO_GENERERAD. Bekrafta metadata mot kallfil.</t>
        </is>
      </c>
      <c r="BG2193">
        <f>HYPERLINK("C:\Users\jimmy\Desktop\Examens arbete\Kod\Ny mapp\remix_-copy-of-miljöbeslut.se-portal\M-2026-22.pdf", "Öppna PDF")</f>
        <v/>
      </c>
    </row>
    <row r="2194">
      <c r="A2194" t="inlineStr">
        <is>
          <t>KRAV-AUTO-002193</t>
        </is>
      </c>
      <c r="B2194" t="inlineStr">
        <is>
          <t>ADMIN-INDEX-2026-02-27-00000000125C043F57453246863FE664CAFE6A3F0700950291EA24F0614FB6ACEDB12BF0E31D00000000010C0000950291EA24F0614FB6ACEDB12BF0E31D00002087B1A20000</t>
        </is>
      </c>
      <c r="C2194" t="inlineStr">
        <is>
          <t>cmm4yundi00ktcuqwvjlbmpum</t>
        </is>
      </c>
      <c r="D2194" t="inlineStr">
        <is>
          <t>http://localhost:8787/api/admin/requirements/documents/cmm4yundi00ktcuqwvjlbmpum/view</t>
        </is>
      </c>
      <c r="E2194">
        <f>HYPERLÄNK("http://localhost:8787/api/admin/requirements/documents/cmm4yundi00ktcuqwvjlbmpum/view";"Öppna PDF")</f>
        <v/>
      </c>
      <c r="F2194">
        <f>HYPERLINK("http://localhost:8787/api/admin/requirements/documents/cmm4yundi00ktcuqwvjlbmpum/view","Open PDF")</f>
        <v/>
      </c>
      <c r="G2194" t="inlineStr">
        <is>
          <t>cmm55w57p0004cuisfrtpqly8</t>
        </is>
      </c>
      <c r="H2194" t="inlineStr">
        <is>
          <t>Beslutsvillkor</t>
        </is>
      </c>
      <c r="I2194" t="inlineStr">
        <is>
          <t>DagvattenLakvatten</t>
        </is>
      </c>
      <c r="J2194" t="inlineStr">
        <is>
          <t>Uppsamling</t>
        </is>
      </c>
      <c r="K2194" t="inlineStr">
        <is>
          <t>Lagringen ska ske så att risken för uppkomst av lakvatten från rötslammet minimeras.</t>
        </is>
      </c>
      <c r="L2194" t="inlineStr">
        <is>
          <t>Lagringen ska ske så att risken för uppkomst av lakvatten från rötslammet minimeras.</t>
        </is>
      </c>
      <c r="M2194" t="inlineStr">
        <is>
          <t>SKA</t>
        </is>
      </c>
      <c r="N2194" t="inlineStr"/>
      <c r="O2194" t="inlineStr"/>
      <c r="P2194" t="inlineStr"/>
      <c r="Q2194" t="inlineStr"/>
      <c r="R2194" t="inlineStr">
        <is>
          <t>Vid nederbord och avrinning</t>
        </is>
      </c>
      <c r="S2194" t="inlineStr"/>
      <c r="T2194" t="inlineStr">
        <is>
          <t>956456</t>
        </is>
      </c>
      <c r="U2194" t="inlineStr"/>
      <c r="V2194" t="inlineStr"/>
      <c r="W2194" t="inlineStr">
        <is>
          <t>Nej</t>
        </is>
      </c>
      <c r="X2194" t="inlineStr">
        <is>
          <t>Ja</t>
        </is>
      </c>
      <c r="Y2194" t="inlineStr">
        <is>
          <t>Ja</t>
        </is>
      </c>
      <c r="Z2194" t="inlineStr">
        <is>
          <t>Nej</t>
        </is>
      </c>
      <c r="AA2194" t="n">
        <v>6</v>
      </c>
      <c r="AB2194" t="inlineStr">
        <is>
          <t>Lakvattenhantering</t>
        </is>
      </c>
      <c r="AC2194" t="inlineStr">
        <is>
          <t>Flodesschema dagvatten-lakvatten</t>
        </is>
      </c>
      <c r="AD2194" t="inlineStr">
        <is>
          <t>Nej</t>
        </is>
      </c>
      <c r="AE2194" t="inlineStr">
        <is>
          <t>Nej</t>
        </is>
      </c>
      <c r="AF2194" t="inlineStr">
        <is>
          <t>Ej behandlad</t>
        </is>
      </c>
      <c r="AG2194" t="inlineStr">
        <is>
          <t>AUTO_GENERERAD. Verifiera citat mot kallfil.</t>
        </is>
      </c>
      <c r="AH2194" t="inlineStr">
        <is>
          <t>MEDIUM</t>
        </is>
      </c>
      <c r="AI2194" t="inlineStr">
        <is>
          <t>AUTO</t>
        </is>
      </c>
      <c r="AJ2194" t="inlineStr">
        <is>
          <t>Nej</t>
        </is>
      </c>
      <c r="AK2194" t="inlineStr"/>
      <c r="AL2194" t="inlineStr"/>
      <c r="AM2194" t="inlineStr"/>
      <c r="AN2194" t="inlineStr"/>
      <c r="AO2194" t="inlineStr">
        <is>
          <t>cmm4yundi00ktcuqwvjlbmpum</t>
        </is>
      </c>
      <c r="AP2194" t="inlineStr">
        <is>
          <t>http://localhost:8787/api/admin/requirements/documents/cmm4yundi00ktcuqwvjlbmpum/view</t>
        </is>
      </c>
      <c r="AQ2194">
        <f>HYPERLÄNK("http://localhost:8787/api/admin/requirements/documents/cmm4yundi00ktcuqwvjlbmpum/view";"Öppna PDF")</f>
        <v/>
      </c>
      <c r="AR2194">
        <f>HYPERLINK("http://localhost:8787/api/admin/requirements/documents/cmm4yundi00ktcuqwvjlbmpum/view","Open PDF")</f>
        <v/>
      </c>
      <c r="AS2194" t="inlineStr">
        <is>
          <t>cmm55w57p0004cuisfrtpqly8</t>
        </is>
      </c>
      <c r="AT2194" t="inlineStr">
        <is>
          <t>cmm4xvu980000cuh4vj0usz09</t>
        </is>
      </c>
      <c r="AU2194" t="inlineStr"/>
      <c r="AV2194" t="inlineStr">
        <is>
          <t>Kommun</t>
        </is>
      </c>
      <c r="AW2194" t="inlineStr"/>
      <c r="AX2194" t="inlineStr">
        <is>
          <t>2026-02</t>
        </is>
      </c>
      <c r="AY2194" t="inlineStr">
        <is>
          <t>Beslut</t>
        </is>
      </c>
      <c r="AZ2194" t="inlineStr">
        <is>
          <t>2026-02-03</t>
        </is>
      </c>
      <c r="BA2194" t="inlineStr">
        <is>
          <t>MIL20252223pdf_976436.pdf</t>
        </is>
      </c>
      <c r="BB2194" t="inlineStr">
        <is>
          <t>Begäran om allmän handling i ärende  MIL.2026.363</t>
        </is>
      </c>
      <c r="BC2194" t="inlineStr">
        <is>
          <t>AUTO</t>
        </is>
      </c>
      <c r="BD2194" t="inlineStr"/>
      <c r="BE2194" t="inlineStr"/>
      <c r="BF2194" t="inlineStr">
        <is>
          <t>AUTO_GENERERAD. Bekrafta metadata mot kallfil.</t>
        </is>
      </c>
      <c r="BG2194">
        <f>HYPERLINK("C:\Users\jimmy\Desktop\Examens arbete\Kod\Ny mapp\remix_-copy-of-miljöbeslut.se-portal\MIL20252223pdf_976436.pdf", "Öppna PDF")</f>
        <v/>
      </c>
    </row>
    <row r="2195">
      <c r="A2195" t="inlineStr">
        <is>
          <t>KRAV-AUTO-002194</t>
        </is>
      </c>
      <c r="B2195" t="inlineStr">
        <is>
          <t>ADMIN-INDEX-2026-02-27-00000000125C043F57453246863FE664CAFE6A3F0700950291EA24F0614FB6ACEDB12BF0E31D00000000010C0000950291EA24F0614FB6ACEDB12BF0E31D00002087B1A20000</t>
        </is>
      </c>
      <c r="C2195" t="inlineStr">
        <is>
          <t>cmm4yundi00ktcuqwvjlbmpum</t>
        </is>
      </c>
      <c r="D2195" t="inlineStr">
        <is>
          <t>http://localhost:8787/api/admin/requirements/documents/cmm4yundi00ktcuqwvjlbmpum/view</t>
        </is>
      </c>
      <c r="E2195">
        <f>HYPERLÄNK("http://localhost:8787/api/admin/requirements/documents/cmm4yundi00ktcuqwvjlbmpum/view";"Öppna PDF")</f>
        <v/>
      </c>
      <c r="F2195">
        <f>HYPERLINK("http://localhost:8787/api/admin/requirements/documents/cmm4yundi00ktcuqwvjlbmpum/view","Open PDF")</f>
        <v/>
      </c>
      <c r="G2195" t="inlineStr">
        <is>
          <t>cmm55w57p0004cuisfrtpqly8</t>
        </is>
      </c>
      <c r="H2195" t="inlineStr">
        <is>
          <t>Beslutsvillkor</t>
        </is>
      </c>
      <c r="I2195" t="inlineStr">
        <is>
          <t>DriftEgenkontroll</t>
        </is>
      </c>
      <c r="J2195" t="inlineStr">
        <is>
          <t>Journalforing</t>
        </is>
      </c>
      <c r="K2195" t="inlineStr">
        <is>
          <t>Jordprovtagningskarta bifogas.</t>
        </is>
      </c>
      <c r="L2195" t="inlineStr">
        <is>
          <t>Jordprovtagningskarta bifogas.</t>
        </is>
      </c>
      <c r="M2195" t="inlineStr">
        <is>
          <t>SKA</t>
        </is>
      </c>
      <c r="N2195" t="inlineStr"/>
      <c r="O2195" t="inlineStr"/>
      <c r="P2195" t="inlineStr"/>
      <c r="Q2195" t="inlineStr"/>
      <c r="R2195" t="inlineStr">
        <is>
          <t>Lopande drift</t>
        </is>
      </c>
      <c r="S2195" t="inlineStr"/>
      <c r="T2195" t="inlineStr">
        <is>
          <t>956456</t>
        </is>
      </c>
      <c r="U2195" t="inlineStr"/>
      <c r="V2195" t="inlineStr"/>
      <c r="W2195" t="inlineStr">
        <is>
          <t>Nej</t>
        </is>
      </c>
      <c r="X2195" t="inlineStr">
        <is>
          <t>Nej</t>
        </is>
      </c>
      <c r="Y2195" t="inlineStr">
        <is>
          <t>Ja</t>
        </is>
      </c>
      <c r="Z2195" t="inlineStr">
        <is>
          <t>Nej</t>
        </is>
      </c>
      <c r="AA2195" t="n">
        <v>7</v>
      </c>
      <c r="AB2195" t="inlineStr">
        <is>
          <t>Egenkontrollrutiner</t>
        </is>
      </c>
      <c r="AC2195" t="inlineStr">
        <is>
          <t>Egenkontrollprogram</t>
        </is>
      </c>
      <c r="AD2195" t="inlineStr">
        <is>
          <t>Nej</t>
        </is>
      </c>
      <c r="AE2195" t="inlineStr">
        <is>
          <t>Nej</t>
        </is>
      </c>
      <c r="AF2195" t="inlineStr">
        <is>
          <t>Ej behandlad</t>
        </is>
      </c>
      <c r="AG2195" t="inlineStr">
        <is>
          <t>AUTO_GENERERAD. Verifiera citat mot kallfil.</t>
        </is>
      </c>
      <c r="AH2195" t="inlineStr">
        <is>
          <t>LOW</t>
        </is>
      </c>
      <c r="AI2195" t="inlineStr">
        <is>
          <t>AUTO</t>
        </is>
      </c>
      <c r="AJ2195" t="inlineStr">
        <is>
          <t>Nej</t>
        </is>
      </c>
      <c r="AK2195" t="inlineStr"/>
      <c r="AL2195" t="inlineStr"/>
      <c r="AM2195" t="inlineStr"/>
      <c r="AN2195" t="inlineStr"/>
      <c r="AO2195" t="inlineStr">
        <is>
          <t>cmm4yundi00ktcuqwvjlbmpum</t>
        </is>
      </c>
      <c r="AP2195" t="inlineStr">
        <is>
          <t>http://localhost:8787/api/admin/requirements/documents/cmm4yundi00ktcuqwvjlbmpum/view</t>
        </is>
      </c>
      <c r="AQ2195">
        <f>HYPERLÄNK("http://localhost:8787/api/admin/requirements/documents/cmm4yundi00ktcuqwvjlbmpum/view";"Öppna PDF")</f>
        <v/>
      </c>
      <c r="AR2195">
        <f>HYPERLINK("http://localhost:8787/api/admin/requirements/documents/cmm4yundi00ktcuqwvjlbmpum/view","Open PDF")</f>
        <v/>
      </c>
      <c r="AS2195" t="inlineStr">
        <is>
          <t>cmm55w57p0004cuisfrtpqly8</t>
        </is>
      </c>
      <c r="AT2195" t="inlineStr">
        <is>
          <t>cmm4xvu980000cuh4vj0usz09</t>
        </is>
      </c>
      <c r="AU2195" t="inlineStr"/>
      <c r="AV2195" t="inlineStr">
        <is>
          <t>Kommun</t>
        </is>
      </c>
      <c r="AW2195" t="inlineStr"/>
      <c r="AX2195" t="inlineStr">
        <is>
          <t>2026-02</t>
        </is>
      </c>
      <c r="AY2195" t="inlineStr">
        <is>
          <t>Beslut</t>
        </is>
      </c>
      <c r="AZ2195" t="inlineStr">
        <is>
          <t>2026-02-03</t>
        </is>
      </c>
      <c r="BA2195" t="inlineStr">
        <is>
          <t>MIL20252223pdf_976436.pdf</t>
        </is>
      </c>
      <c r="BB2195" t="inlineStr">
        <is>
          <t>Begäran om allmän handling i ärende  MIL.2026.363</t>
        </is>
      </c>
      <c r="BC2195" t="inlineStr">
        <is>
          <t>AUTO</t>
        </is>
      </c>
      <c r="BD2195" t="inlineStr"/>
      <c r="BE2195" t="inlineStr"/>
      <c r="BF2195" t="inlineStr">
        <is>
          <t>AUTO_GENERERAD. Bekrafta metadata mot kallfil.</t>
        </is>
      </c>
      <c r="BG2195">
        <f>HYPERLINK("C:\Users\jimmy\Desktop\Examens arbete\Kod\Ny mapp\remix_-copy-of-miljöbeslut.se-portal\MIL20252223pdf_976436.pdf", "Öppna PDF")</f>
        <v/>
      </c>
    </row>
    <row r="2196">
      <c r="A2196" t="inlineStr">
        <is>
          <t>KRAV-AUTO-002195</t>
        </is>
      </c>
      <c r="B2196" t="inlineStr">
        <is>
          <t>ADMIN-INDEX-2026-02-27-00000000125C043F57453246863FE664CAFE6A3F0700950291EA24F0614FB6ACEDB12BF0E31D00000000010C0000950291EA24F0614FB6ACEDB12BF0E31D00002087B1A20000</t>
        </is>
      </c>
      <c r="C2196" t="inlineStr">
        <is>
          <t>cmm4yundi00ktcuqwvjlbmpum</t>
        </is>
      </c>
      <c r="D2196" t="inlineStr">
        <is>
          <t>http://localhost:8787/api/admin/requirements/documents/cmm4yundi00ktcuqwvjlbmpum/view</t>
        </is>
      </c>
      <c r="E2196">
        <f>HYPERLÄNK("http://localhost:8787/api/admin/requirements/documents/cmm4yundi00ktcuqwvjlbmpum/view";"Öppna PDF")</f>
        <v/>
      </c>
      <c r="F2196">
        <f>HYPERLINK("http://localhost:8787/api/admin/requirements/documents/cmm4yundi00ktcuqwvjlbmpum/view","Open PDF")</f>
        <v/>
      </c>
      <c r="G2196" t="inlineStr">
        <is>
          <t>cmm55w57p0004cuisfrtpqly8</t>
        </is>
      </c>
      <c r="H2196" t="inlineStr">
        <is>
          <t>Beslutsvillkor</t>
        </is>
      </c>
      <c r="I2196" t="inlineStr">
        <is>
          <t>Riskhantering</t>
        </is>
      </c>
      <c r="J2196" t="inlineStr">
        <is>
          <t>Riskkontroll</t>
        </is>
      </c>
      <c r="K2196" t="inlineStr">
        <is>
          <t>Täckning ska med hänsyn till risk för luktolägenhet göras i snar anslutning till uppläggning.</t>
        </is>
      </c>
      <c r="L2196" t="inlineStr">
        <is>
          <t>Täckning ska med hänsyn till risk för luktolägenhet göras i snar anslutning till uppläggning.</t>
        </is>
      </c>
      <c r="M2196" t="inlineStr">
        <is>
          <t>SKA</t>
        </is>
      </c>
      <c r="N2196" t="inlineStr"/>
      <c r="O2196" t="inlineStr"/>
      <c r="P2196" t="inlineStr"/>
      <c r="Q2196" t="inlineStr"/>
      <c r="R2196" t="inlineStr">
        <is>
          <t>Vid risk for incident</t>
        </is>
      </c>
      <c r="S2196" t="inlineStr"/>
      <c r="T2196" t="inlineStr">
        <is>
          <t>956456</t>
        </is>
      </c>
      <c r="U2196" t="inlineStr"/>
      <c r="V2196" t="inlineStr"/>
      <c r="W2196" t="inlineStr">
        <is>
          <t>Nej</t>
        </is>
      </c>
      <c r="X2196" t="inlineStr">
        <is>
          <t>Nej</t>
        </is>
      </c>
      <c r="Y2196" t="inlineStr">
        <is>
          <t>Ja</t>
        </is>
      </c>
      <c r="Z2196" t="inlineStr">
        <is>
          <t>Ja</t>
        </is>
      </c>
      <c r="AA2196" t="n">
        <v>8</v>
      </c>
      <c r="AB2196" t="inlineStr">
        <is>
          <t>Riskhantering</t>
        </is>
      </c>
      <c r="AC2196" t="inlineStr">
        <is>
          <t>Risk-PM</t>
        </is>
      </c>
      <c r="AD2196" t="inlineStr">
        <is>
          <t>Nej</t>
        </is>
      </c>
      <c r="AE2196" t="inlineStr">
        <is>
          <t>Nej</t>
        </is>
      </c>
      <c r="AF2196" t="inlineStr">
        <is>
          <t>Ej behandlad</t>
        </is>
      </c>
      <c r="AG2196" t="inlineStr">
        <is>
          <t>AUTO_GENERERAD. Verifiera citat mot kallfil.</t>
        </is>
      </c>
      <c r="AH2196" t="inlineStr">
        <is>
          <t>MEDIUM</t>
        </is>
      </c>
      <c r="AI2196" t="inlineStr">
        <is>
          <t>AUTO</t>
        </is>
      </c>
      <c r="AJ2196" t="inlineStr">
        <is>
          <t>Nej</t>
        </is>
      </c>
      <c r="AK2196" t="inlineStr"/>
      <c r="AL2196" t="inlineStr"/>
      <c r="AM2196" t="inlineStr"/>
      <c r="AN2196" t="inlineStr"/>
      <c r="AO2196" t="inlineStr">
        <is>
          <t>cmm4yundi00ktcuqwvjlbmpum</t>
        </is>
      </c>
      <c r="AP2196" t="inlineStr">
        <is>
          <t>http://localhost:8787/api/admin/requirements/documents/cmm4yundi00ktcuqwvjlbmpum/view</t>
        </is>
      </c>
      <c r="AQ2196">
        <f>HYPERLÄNK("http://localhost:8787/api/admin/requirements/documents/cmm4yundi00ktcuqwvjlbmpum/view";"Öppna PDF")</f>
        <v/>
      </c>
      <c r="AR2196">
        <f>HYPERLINK("http://localhost:8787/api/admin/requirements/documents/cmm4yundi00ktcuqwvjlbmpum/view","Open PDF")</f>
        <v/>
      </c>
      <c r="AS2196" t="inlineStr">
        <is>
          <t>cmm55w57p0004cuisfrtpqly8</t>
        </is>
      </c>
      <c r="AT2196" t="inlineStr">
        <is>
          <t>cmm4xvu980000cuh4vj0usz09</t>
        </is>
      </c>
      <c r="AU2196" t="inlineStr"/>
      <c r="AV2196" t="inlineStr">
        <is>
          <t>Kommun</t>
        </is>
      </c>
      <c r="AW2196" t="inlineStr"/>
      <c r="AX2196" t="inlineStr">
        <is>
          <t>2026-02</t>
        </is>
      </c>
      <c r="AY2196" t="inlineStr">
        <is>
          <t>Beslut</t>
        </is>
      </c>
      <c r="AZ2196" t="inlineStr">
        <is>
          <t>2026-02-03</t>
        </is>
      </c>
      <c r="BA2196" t="inlineStr">
        <is>
          <t>MIL20252223pdf_976436.pdf</t>
        </is>
      </c>
      <c r="BB2196" t="inlineStr">
        <is>
          <t>Begäran om allmän handling i ärende  MIL.2026.363</t>
        </is>
      </c>
      <c r="BC2196" t="inlineStr">
        <is>
          <t>AUTO</t>
        </is>
      </c>
      <c r="BD2196" t="inlineStr"/>
      <c r="BE2196" t="inlineStr"/>
      <c r="BF2196" t="inlineStr">
        <is>
          <t>AUTO_GENERERAD. Bekrafta metadata mot kallfil.</t>
        </is>
      </c>
      <c r="BG2196">
        <f>HYPERLINK("C:\Users\jimmy\Desktop\Examens arbete\Kod\Ny mapp\remix_-copy-of-miljöbeslut.se-portal\MIL20252223pdf_976436.pdf", "Öppna PDF")</f>
        <v/>
      </c>
    </row>
    <row r="2197">
      <c r="A2197" t="inlineStr">
        <is>
          <t>KRAV-AUTO-002196</t>
        </is>
      </c>
      <c r="B2197" t="inlineStr">
        <is>
          <t>ADMIN-INDEX-2026-02-27-00000000125C043F57453246863FE664CAFE6A3F0700950291EA24F0614FB6ACEDB12BF0E31D00000000010C0000950291EA24F0614FB6ACEDB12BF0E31D00002087B1A20000</t>
        </is>
      </c>
      <c r="C2197" t="inlineStr">
        <is>
          <t>cmm4yundf00kqcuqw3i5tmxz5</t>
        </is>
      </c>
      <c r="D2197" t="inlineStr">
        <is>
          <t>http://localhost:8787/api/admin/requirements/documents/cmm4yundf00kqcuqw3i5tmxz5/view</t>
        </is>
      </c>
      <c r="E2197">
        <f>HYPERLÄNK("http://localhost:8787/api/admin/requirements/documents/cmm4yundf00kqcuqw3i5tmxz5/view";"Öppna PDF")</f>
        <v/>
      </c>
      <c r="F2197">
        <f>HYPERLINK("http://localhost:8787/api/admin/requirements/documents/cmm4yundf00kqcuqw3i5tmxz5/view","Open PDF")</f>
        <v/>
      </c>
      <c r="G2197" t="inlineStr">
        <is>
          <t>cmm55w57p0004cuisfrtpqly8</t>
        </is>
      </c>
      <c r="H2197" t="inlineStr">
        <is>
          <t>Beslutsvillkor</t>
        </is>
      </c>
      <c r="I2197" t="inlineStr">
        <is>
          <t>DagvattenLakvatten</t>
        </is>
      </c>
      <c r="J2197" t="inlineStr">
        <is>
          <t>Uppsamling</t>
        </is>
      </c>
      <c r="K2197" t="inlineStr">
        <is>
          <t>Lagringen ska ske så att risken för uppkomst av lakvatten från rötslammet minimeras.</t>
        </is>
      </c>
      <c r="L2197" t="inlineStr">
        <is>
          <t>Lagringen ska ske så att risken för uppkomst av lakvatten från rötslammet minimeras.</t>
        </is>
      </c>
      <c r="M2197" t="inlineStr">
        <is>
          <t>SKA</t>
        </is>
      </c>
      <c r="N2197" t="inlineStr"/>
      <c r="O2197" t="inlineStr"/>
      <c r="P2197" t="inlineStr"/>
      <c r="Q2197" t="inlineStr"/>
      <c r="R2197" t="inlineStr">
        <is>
          <t>Vid nederbord och avrinning</t>
        </is>
      </c>
      <c r="S2197" t="inlineStr"/>
      <c r="T2197" t="inlineStr">
        <is>
          <t>956421</t>
        </is>
      </c>
      <c r="U2197" t="inlineStr"/>
      <c r="V2197" t="inlineStr"/>
      <c r="W2197" t="inlineStr">
        <is>
          <t>Nej</t>
        </is>
      </c>
      <c r="X2197" t="inlineStr">
        <is>
          <t>Ja</t>
        </is>
      </c>
      <c r="Y2197" t="inlineStr">
        <is>
          <t>Ja</t>
        </is>
      </c>
      <c r="Z2197" t="inlineStr">
        <is>
          <t>Nej</t>
        </is>
      </c>
      <c r="AA2197" t="n">
        <v>6</v>
      </c>
      <c r="AB2197" t="inlineStr">
        <is>
          <t>Lakvattenhantering</t>
        </is>
      </c>
      <c r="AC2197" t="inlineStr">
        <is>
          <t>Flodesschema dagvatten-lakvatten</t>
        </is>
      </c>
      <c r="AD2197" t="inlineStr">
        <is>
          <t>Nej</t>
        </is>
      </c>
      <c r="AE2197" t="inlineStr">
        <is>
          <t>Nej</t>
        </is>
      </c>
      <c r="AF2197" t="inlineStr">
        <is>
          <t>Ej behandlad</t>
        </is>
      </c>
      <c r="AG2197" t="inlineStr">
        <is>
          <t>AUTO_GENERERAD. Verifiera citat mot kallfil.</t>
        </is>
      </c>
      <c r="AH2197" t="inlineStr">
        <is>
          <t>MEDIUM</t>
        </is>
      </c>
      <c r="AI2197" t="inlineStr">
        <is>
          <t>AUTO</t>
        </is>
      </c>
      <c r="AJ2197" t="inlineStr">
        <is>
          <t>Nej</t>
        </is>
      </c>
      <c r="AK2197" t="inlineStr"/>
      <c r="AL2197" t="inlineStr"/>
      <c r="AM2197" t="inlineStr"/>
      <c r="AN2197" t="inlineStr"/>
      <c r="AO2197" t="inlineStr">
        <is>
          <t>cmm4yundi00ktcuqwvjlbmpum</t>
        </is>
      </c>
      <c r="AP2197" t="inlineStr">
        <is>
          <t>http://localhost:8787/api/admin/requirements/documents/cmm4yundi00ktcuqwvjlbmpum/view</t>
        </is>
      </c>
      <c r="AQ2197">
        <f>HYPERLÄNK("http://localhost:8787/api/admin/requirements/documents/cmm4yundi00ktcuqwvjlbmpum/view";"Öppna PDF")</f>
        <v/>
      </c>
      <c r="AR2197">
        <f>HYPERLINK("http://localhost:8787/api/admin/requirements/documents/cmm4yundi00ktcuqwvjlbmpum/view","Open PDF")</f>
        <v/>
      </c>
      <c r="AS2197" t="inlineStr">
        <is>
          <t>cmm55w57p0004cuisfrtpqly8</t>
        </is>
      </c>
      <c r="AT2197" t="inlineStr">
        <is>
          <t>cmm4xvu980000cuh4vj0usz09</t>
        </is>
      </c>
      <c r="AU2197" t="inlineStr"/>
      <c r="AV2197" t="inlineStr">
        <is>
          <t>Kommun</t>
        </is>
      </c>
      <c r="AW2197" t="inlineStr"/>
      <c r="AX2197" t="inlineStr">
        <is>
          <t>2026-02</t>
        </is>
      </c>
      <c r="AY2197" t="inlineStr">
        <is>
          <t>Beslut</t>
        </is>
      </c>
      <c r="AZ2197" t="inlineStr">
        <is>
          <t>2026-02-03</t>
        </is>
      </c>
      <c r="BA2197" t="inlineStr">
        <is>
          <t>MIL20252223pdf_976436.pdf</t>
        </is>
      </c>
      <c r="BB2197" t="inlineStr">
        <is>
          <t>Begäran om allmän handling i ärende  MIL.2026.363</t>
        </is>
      </c>
      <c r="BC2197" t="inlineStr">
        <is>
          <t>AUTO</t>
        </is>
      </c>
      <c r="BD2197" t="inlineStr"/>
      <c r="BE2197" t="inlineStr"/>
      <c r="BF2197" t="inlineStr">
        <is>
          <t>AUTO_GENERERAD. Bekrafta metadata mot kallfil.</t>
        </is>
      </c>
      <c r="BG2197">
        <f>HYPERLINK("C:\Users\jimmy\Desktop\Examens arbete\Kod\Ny mapp\remix_-copy-of-miljöbeslut.se-portal\MIL20252223pdf_976436.pdf", "Öppna PDF")</f>
        <v/>
      </c>
    </row>
    <row r="2198">
      <c r="A2198" t="inlineStr">
        <is>
          <t>KRAV-AUTO-002197</t>
        </is>
      </c>
      <c r="B2198" t="inlineStr">
        <is>
          <t>ADMIN-INDEX-2026-02-27-00000000125C043F57453246863FE664CAFE6A3F0700950291EA24F0614FB6ACEDB12BF0E31D00000000010C0000950291EA24F0614FB6ACEDB12BF0E31D00002087B1A20000</t>
        </is>
      </c>
      <c r="C2198" t="inlineStr">
        <is>
          <t>cmm4yundf00kqcuqw3i5tmxz5</t>
        </is>
      </c>
      <c r="D2198" t="inlineStr">
        <is>
          <t>http://localhost:8787/api/admin/requirements/documents/cmm4yundf00kqcuqw3i5tmxz5/view</t>
        </is>
      </c>
      <c r="E2198">
        <f>HYPERLÄNK("http://localhost:8787/api/admin/requirements/documents/cmm4yundf00kqcuqw3i5tmxz5/view";"Öppna PDF")</f>
        <v/>
      </c>
      <c r="F2198">
        <f>HYPERLINK("http://localhost:8787/api/admin/requirements/documents/cmm4yundf00kqcuqw3i5tmxz5/view","Open PDF")</f>
        <v/>
      </c>
      <c r="G2198" t="inlineStr">
        <is>
          <t>cmm55w57p0004cuisfrtpqly8</t>
        </is>
      </c>
      <c r="H2198" t="inlineStr">
        <is>
          <t>Beslutsvillkor</t>
        </is>
      </c>
      <c r="I2198" t="inlineStr">
        <is>
          <t>DriftEgenkontroll</t>
        </is>
      </c>
      <c r="J2198" t="inlineStr">
        <is>
          <t>Journalforing</t>
        </is>
      </c>
      <c r="K2198" t="inlineStr">
        <is>
          <t>Jordprovtagningskarta bifogas.</t>
        </is>
      </c>
      <c r="L2198" t="inlineStr">
        <is>
          <t>Jordprovtagningskarta bifogas.</t>
        </is>
      </c>
      <c r="M2198" t="inlineStr">
        <is>
          <t>SKA</t>
        </is>
      </c>
      <c r="N2198" t="inlineStr"/>
      <c r="O2198" t="inlineStr"/>
      <c r="P2198" t="inlineStr"/>
      <c r="Q2198" t="inlineStr"/>
      <c r="R2198" t="inlineStr">
        <is>
          <t>Lopande drift</t>
        </is>
      </c>
      <c r="S2198" t="inlineStr"/>
      <c r="T2198" t="inlineStr">
        <is>
          <t>956421</t>
        </is>
      </c>
      <c r="U2198" t="inlineStr"/>
      <c r="V2198" t="inlineStr"/>
      <c r="W2198" t="inlineStr">
        <is>
          <t>Nej</t>
        </is>
      </c>
      <c r="X2198" t="inlineStr">
        <is>
          <t>Nej</t>
        </is>
      </c>
      <c r="Y2198" t="inlineStr">
        <is>
          <t>Ja</t>
        </is>
      </c>
      <c r="Z2198" t="inlineStr">
        <is>
          <t>Nej</t>
        </is>
      </c>
      <c r="AA2198" t="n">
        <v>7</v>
      </c>
      <c r="AB2198" t="inlineStr">
        <is>
          <t>Egenkontrollrutiner</t>
        </is>
      </c>
      <c r="AC2198" t="inlineStr">
        <is>
          <t>Egenkontrollprogram</t>
        </is>
      </c>
      <c r="AD2198" t="inlineStr">
        <is>
          <t>Nej</t>
        </is>
      </c>
      <c r="AE2198" t="inlineStr">
        <is>
          <t>Nej</t>
        </is>
      </c>
      <c r="AF2198" t="inlineStr">
        <is>
          <t>Ej behandlad</t>
        </is>
      </c>
      <c r="AG2198" t="inlineStr">
        <is>
          <t>AUTO_GENERERAD. Verifiera citat mot kallfil.</t>
        </is>
      </c>
      <c r="AH2198" t="inlineStr">
        <is>
          <t>LOW</t>
        </is>
      </c>
      <c r="AI2198" t="inlineStr">
        <is>
          <t>AUTO</t>
        </is>
      </c>
      <c r="AJ2198" t="inlineStr">
        <is>
          <t>Nej</t>
        </is>
      </c>
      <c r="AK2198" t="inlineStr"/>
      <c r="AL2198" t="inlineStr"/>
      <c r="AM2198" t="inlineStr"/>
      <c r="AN2198" t="inlineStr"/>
      <c r="AO2198" t="inlineStr">
        <is>
          <t>cmm4yundi00ktcuqwvjlbmpum</t>
        </is>
      </c>
      <c r="AP2198" t="inlineStr">
        <is>
          <t>http://localhost:8787/api/admin/requirements/documents/cmm4yundi00ktcuqwvjlbmpum/view</t>
        </is>
      </c>
      <c r="AQ2198">
        <f>HYPERLÄNK("http://localhost:8787/api/admin/requirements/documents/cmm4yundi00ktcuqwvjlbmpum/view";"Öppna PDF")</f>
        <v/>
      </c>
      <c r="AR2198">
        <f>HYPERLINK("http://localhost:8787/api/admin/requirements/documents/cmm4yundi00ktcuqwvjlbmpum/view","Open PDF")</f>
        <v/>
      </c>
      <c r="AS2198" t="inlineStr">
        <is>
          <t>cmm55w57p0004cuisfrtpqly8</t>
        </is>
      </c>
      <c r="AT2198" t="inlineStr">
        <is>
          <t>cmm4xvu980000cuh4vj0usz09</t>
        </is>
      </c>
      <c r="AU2198" t="inlineStr"/>
      <c r="AV2198" t="inlineStr">
        <is>
          <t>Kommun</t>
        </is>
      </c>
      <c r="AW2198" t="inlineStr"/>
      <c r="AX2198" t="inlineStr">
        <is>
          <t>2026-02</t>
        </is>
      </c>
      <c r="AY2198" t="inlineStr">
        <is>
          <t>Beslut</t>
        </is>
      </c>
      <c r="AZ2198" t="inlineStr">
        <is>
          <t>2026-02-03</t>
        </is>
      </c>
      <c r="BA2198" t="inlineStr">
        <is>
          <t>MIL20252223pdf_976436.pdf</t>
        </is>
      </c>
      <c r="BB2198" t="inlineStr">
        <is>
          <t>Begäran om allmän handling i ärende  MIL.2026.363</t>
        </is>
      </c>
      <c r="BC2198" t="inlineStr">
        <is>
          <t>AUTO</t>
        </is>
      </c>
      <c r="BD2198" t="inlineStr"/>
      <c r="BE2198" t="inlineStr"/>
      <c r="BF2198" t="inlineStr">
        <is>
          <t>AUTO_GENERERAD. Bekrafta metadata mot kallfil.</t>
        </is>
      </c>
      <c r="BG2198">
        <f>HYPERLINK("C:\Users\jimmy\Desktop\Examens arbete\Kod\Ny mapp\remix_-copy-of-miljöbeslut.se-portal\MIL20252223pdf_976436.pdf", "Öppna PDF")</f>
        <v/>
      </c>
    </row>
    <row r="2199">
      <c r="A2199" t="inlineStr">
        <is>
          <t>KRAV-AUTO-002198</t>
        </is>
      </c>
      <c r="B2199" t="inlineStr">
        <is>
          <t>ADMIN-INDEX-2026-02-27-00000000125C043F57453246863FE664CAFE6A3F0700950291EA24F0614FB6ACEDB12BF0E31D00000000010C0000950291EA24F0614FB6ACEDB12BF0E31D00002087B1A20000</t>
        </is>
      </c>
      <c r="C2199" t="inlineStr">
        <is>
          <t>cmm4yundf00kqcuqw3i5tmxz5</t>
        </is>
      </c>
      <c r="D2199" t="inlineStr">
        <is>
          <t>http://localhost:8787/api/admin/requirements/documents/cmm4yundf00kqcuqw3i5tmxz5/view</t>
        </is>
      </c>
      <c r="E2199">
        <f>HYPERLÄNK("http://localhost:8787/api/admin/requirements/documents/cmm4yundf00kqcuqw3i5tmxz5/view";"Öppna PDF")</f>
        <v/>
      </c>
      <c r="F2199">
        <f>HYPERLINK("http://localhost:8787/api/admin/requirements/documents/cmm4yundf00kqcuqw3i5tmxz5/view","Open PDF")</f>
        <v/>
      </c>
      <c r="G2199" t="inlineStr">
        <is>
          <t>cmm55w57p0004cuisfrtpqly8</t>
        </is>
      </c>
      <c r="H2199" t="inlineStr">
        <is>
          <t>Beslutsvillkor</t>
        </is>
      </c>
      <c r="I2199" t="inlineStr">
        <is>
          <t>Riskhantering</t>
        </is>
      </c>
      <c r="J2199" t="inlineStr">
        <is>
          <t>Riskkontroll</t>
        </is>
      </c>
      <c r="K2199" t="inlineStr">
        <is>
          <t>Täckning ska med hänsyn till risk för luktolägenhet göras i snar anslutning till uppläggning.</t>
        </is>
      </c>
      <c r="L2199" t="inlineStr">
        <is>
          <t>Täckning ska med hänsyn till risk för luktolägenhet göras i snar anslutning till uppläggning.</t>
        </is>
      </c>
      <c r="M2199" t="inlineStr">
        <is>
          <t>SKA</t>
        </is>
      </c>
      <c r="N2199" t="inlineStr"/>
      <c r="O2199" t="inlineStr"/>
      <c r="P2199" t="inlineStr"/>
      <c r="Q2199" t="inlineStr"/>
      <c r="R2199" t="inlineStr">
        <is>
          <t>Vid risk for incident</t>
        </is>
      </c>
      <c r="S2199" t="inlineStr"/>
      <c r="T2199" t="inlineStr">
        <is>
          <t>956421</t>
        </is>
      </c>
      <c r="U2199" t="inlineStr"/>
      <c r="V2199" t="inlineStr"/>
      <c r="W2199" t="inlineStr">
        <is>
          <t>Nej</t>
        </is>
      </c>
      <c r="X2199" t="inlineStr">
        <is>
          <t>Nej</t>
        </is>
      </c>
      <c r="Y2199" t="inlineStr">
        <is>
          <t>Ja</t>
        </is>
      </c>
      <c r="Z2199" t="inlineStr">
        <is>
          <t>Ja</t>
        </is>
      </c>
      <c r="AA2199" t="n">
        <v>8</v>
      </c>
      <c r="AB2199" t="inlineStr">
        <is>
          <t>Riskhantering</t>
        </is>
      </c>
      <c r="AC2199" t="inlineStr">
        <is>
          <t>Risk-PM</t>
        </is>
      </c>
      <c r="AD2199" t="inlineStr">
        <is>
          <t>Nej</t>
        </is>
      </c>
      <c r="AE2199" t="inlineStr">
        <is>
          <t>Nej</t>
        </is>
      </c>
      <c r="AF2199" t="inlineStr">
        <is>
          <t>Ej behandlad</t>
        </is>
      </c>
      <c r="AG2199" t="inlineStr">
        <is>
          <t>AUTO_GENERERAD. Verifiera citat mot kallfil.</t>
        </is>
      </c>
      <c r="AH2199" t="inlineStr">
        <is>
          <t>MEDIUM</t>
        </is>
      </c>
      <c r="AI2199" t="inlineStr">
        <is>
          <t>AUTO</t>
        </is>
      </c>
      <c r="AJ2199" t="inlineStr">
        <is>
          <t>Nej</t>
        </is>
      </c>
      <c r="AK2199" t="inlineStr"/>
      <c r="AL2199" t="inlineStr"/>
      <c r="AM2199" t="inlineStr"/>
      <c r="AN2199" t="inlineStr"/>
      <c r="AO2199" t="inlineStr">
        <is>
          <t>cmm4yundi00ktcuqwvjlbmpum</t>
        </is>
      </c>
      <c r="AP2199" t="inlineStr">
        <is>
          <t>http://localhost:8787/api/admin/requirements/documents/cmm4yundi00ktcuqwvjlbmpum/view</t>
        </is>
      </c>
      <c r="AQ2199">
        <f>HYPERLÄNK("http://localhost:8787/api/admin/requirements/documents/cmm4yundi00ktcuqwvjlbmpum/view";"Öppna PDF")</f>
        <v/>
      </c>
      <c r="AR2199">
        <f>HYPERLINK("http://localhost:8787/api/admin/requirements/documents/cmm4yundi00ktcuqwvjlbmpum/view","Open PDF")</f>
        <v/>
      </c>
      <c r="AS2199" t="inlineStr">
        <is>
          <t>cmm55w57p0004cuisfrtpqly8</t>
        </is>
      </c>
      <c r="AT2199" t="inlineStr">
        <is>
          <t>cmm4xvu980000cuh4vj0usz09</t>
        </is>
      </c>
      <c r="AU2199" t="inlineStr"/>
      <c r="AV2199" t="inlineStr">
        <is>
          <t>Kommun</t>
        </is>
      </c>
      <c r="AW2199" t="inlineStr"/>
      <c r="AX2199" t="inlineStr">
        <is>
          <t>2026-02</t>
        </is>
      </c>
      <c r="AY2199" t="inlineStr">
        <is>
          <t>Beslut</t>
        </is>
      </c>
      <c r="AZ2199" t="inlineStr">
        <is>
          <t>2026-02-03</t>
        </is>
      </c>
      <c r="BA2199" t="inlineStr">
        <is>
          <t>MIL20252223pdf_976436.pdf</t>
        </is>
      </c>
      <c r="BB2199" t="inlineStr">
        <is>
          <t>Begäran om allmän handling i ärende  MIL.2026.363</t>
        </is>
      </c>
      <c r="BC2199" t="inlineStr">
        <is>
          <t>AUTO</t>
        </is>
      </c>
      <c r="BD2199" t="inlineStr"/>
      <c r="BE2199" t="inlineStr"/>
      <c r="BF2199" t="inlineStr">
        <is>
          <t>AUTO_GENERERAD. Bekrafta metadata mot kallfil.</t>
        </is>
      </c>
      <c r="BG2199">
        <f>HYPERLINK("C:\Users\jimmy\Desktop\Examens arbete\Kod\Ny mapp\remix_-copy-of-miljöbeslut.se-portal\MIL20252223pdf_976436.pdf", "Öppna PDF")</f>
        <v/>
      </c>
    </row>
    <row r="2200">
      <c r="A2200" t="inlineStr">
        <is>
          <t>KRAV-AUTO-002199</t>
        </is>
      </c>
      <c r="B2200" t="inlineStr">
        <is>
          <t>ADMIN-INDEX-2026-02-27-00000000125C043F57453246863FE664CAFE6A3F0700950291EA24F0614FB6ACEDB12BF0E31D00000000010C0000950291EA24F0614FB6ACEDB12BF0E31D00002087B1A20000</t>
        </is>
      </c>
      <c r="C2200" t="inlineStr">
        <is>
          <t>cmm4yundc00kncuqwamdo1upw</t>
        </is>
      </c>
      <c r="D2200" t="inlineStr">
        <is>
          <t>http://localhost:8787/api/admin/requirements/documents/cmm4yundc00kncuqwamdo1upw/view</t>
        </is>
      </c>
      <c r="E2200">
        <f>HYPERLÄNK("http://localhost:8787/api/admin/requirements/documents/cmm4yundc00kncuqwamdo1upw/view";"Öppna PDF")</f>
        <v/>
      </c>
      <c r="F2200">
        <f>HYPERLINK("http://localhost:8787/api/admin/requirements/documents/cmm4yundc00kncuqwamdo1upw/view","Open PDF")</f>
        <v/>
      </c>
      <c r="G2200" t="inlineStr">
        <is>
          <t>cmm55w57p0004cuisfrtpqly8</t>
        </is>
      </c>
      <c r="H2200" t="inlineStr">
        <is>
          <t>Beslutsvillkor</t>
        </is>
      </c>
      <c r="I2200" t="inlineStr">
        <is>
          <t>DagvattenLakvatten</t>
        </is>
      </c>
      <c r="J2200" t="inlineStr">
        <is>
          <t>Uppsamling</t>
        </is>
      </c>
      <c r="K2200" t="inlineStr">
        <is>
          <t>Lagringen ska ske så att risken för uppkomst av lakvatten från rötslammet minimeras.</t>
        </is>
      </c>
      <c r="L2200" t="inlineStr">
        <is>
          <t>Lagringen ska ske så att risken för uppkomst av lakvatten från rötslammet minimeras.</t>
        </is>
      </c>
      <c r="M2200" t="inlineStr">
        <is>
          <t>SKA</t>
        </is>
      </c>
      <c r="N2200" t="inlineStr"/>
      <c r="O2200" t="inlineStr"/>
      <c r="P2200" t="inlineStr"/>
      <c r="Q2200" t="inlineStr"/>
      <c r="R2200" t="inlineStr">
        <is>
          <t>Vid nederbord och avrinning</t>
        </is>
      </c>
      <c r="S2200" t="inlineStr"/>
      <c r="T2200" t="inlineStr">
        <is>
          <t>956093</t>
        </is>
      </c>
      <c r="U2200" t="inlineStr"/>
      <c r="V2200" t="inlineStr"/>
      <c r="W2200" t="inlineStr">
        <is>
          <t>Nej</t>
        </is>
      </c>
      <c r="X2200" t="inlineStr">
        <is>
          <t>Ja</t>
        </is>
      </c>
      <c r="Y2200" t="inlineStr">
        <is>
          <t>Ja</t>
        </is>
      </c>
      <c r="Z2200" t="inlineStr">
        <is>
          <t>Nej</t>
        </is>
      </c>
      <c r="AA2200" t="n">
        <v>6</v>
      </c>
      <c r="AB2200" t="inlineStr">
        <is>
          <t>Lakvattenhantering</t>
        </is>
      </c>
      <c r="AC2200" t="inlineStr">
        <is>
          <t>Flodesschema dagvatten-lakvatten</t>
        </is>
      </c>
      <c r="AD2200" t="inlineStr">
        <is>
          <t>Nej</t>
        </is>
      </c>
      <c r="AE2200" t="inlineStr">
        <is>
          <t>Nej</t>
        </is>
      </c>
      <c r="AF2200" t="inlineStr">
        <is>
          <t>Ej behandlad</t>
        </is>
      </c>
      <c r="AG2200" t="inlineStr">
        <is>
          <t>AUTO_GENERERAD. Verifiera citat mot kallfil.</t>
        </is>
      </c>
      <c r="AH2200" t="inlineStr">
        <is>
          <t>MEDIUM</t>
        </is>
      </c>
      <c r="AI2200" t="inlineStr">
        <is>
          <t>AUTO</t>
        </is>
      </c>
      <c r="AJ2200" t="inlineStr">
        <is>
          <t>Nej</t>
        </is>
      </c>
      <c r="AK2200" t="inlineStr"/>
      <c r="AL2200" t="inlineStr"/>
      <c r="AM2200" t="inlineStr"/>
      <c r="AN2200" t="inlineStr"/>
      <c r="AO2200" t="inlineStr">
        <is>
          <t>cmm4yundi00ktcuqwvjlbmpum</t>
        </is>
      </c>
      <c r="AP2200" t="inlineStr">
        <is>
          <t>http://localhost:8787/api/admin/requirements/documents/cmm4yundi00ktcuqwvjlbmpum/view</t>
        </is>
      </c>
      <c r="AQ2200">
        <f>HYPERLÄNK("http://localhost:8787/api/admin/requirements/documents/cmm4yundi00ktcuqwvjlbmpum/view";"Öppna PDF")</f>
        <v/>
      </c>
      <c r="AR2200">
        <f>HYPERLINK("http://localhost:8787/api/admin/requirements/documents/cmm4yundi00ktcuqwvjlbmpum/view","Open PDF")</f>
        <v/>
      </c>
      <c r="AS2200" t="inlineStr">
        <is>
          <t>cmm55w57p0004cuisfrtpqly8</t>
        </is>
      </c>
      <c r="AT2200" t="inlineStr">
        <is>
          <t>cmm4xvu980000cuh4vj0usz09</t>
        </is>
      </c>
      <c r="AU2200" t="inlineStr"/>
      <c r="AV2200" t="inlineStr">
        <is>
          <t>Kommun</t>
        </is>
      </c>
      <c r="AW2200" t="inlineStr"/>
      <c r="AX2200" t="inlineStr">
        <is>
          <t>2026-02</t>
        </is>
      </c>
      <c r="AY2200" t="inlineStr">
        <is>
          <t>Beslut</t>
        </is>
      </c>
      <c r="AZ2200" t="inlineStr">
        <is>
          <t>2026-02-03</t>
        </is>
      </c>
      <c r="BA2200" t="inlineStr">
        <is>
          <t>MIL20252223pdf_976436.pdf</t>
        </is>
      </c>
      <c r="BB2200" t="inlineStr">
        <is>
          <t>Begäran om allmän handling i ärende  MIL.2026.363</t>
        </is>
      </c>
      <c r="BC2200" t="inlineStr">
        <is>
          <t>AUTO</t>
        </is>
      </c>
      <c r="BD2200" t="inlineStr"/>
      <c r="BE2200" t="inlineStr"/>
      <c r="BF2200" t="inlineStr">
        <is>
          <t>AUTO_GENERERAD. Bekrafta metadata mot kallfil.</t>
        </is>
      </c>
      <c r="BG2200">
        <f>HYPERLINK("C:\Users\jimmy\Desktop\Examens arbete\Kod\Ny mapp\remix_-copy-of-miljöbeslut.se-portal\MIL20252223pdf_976436.pdf", "Öppna PDF")</f>
        <v/>
      </c>
    </row>
    <row r="2201">
      <c r="A2201" t="inlineStr">
        <is>
          <t>KRAV-AUTO-002200</t>
        </is>
      </c>
      <c r="B2201" t="inlineStr">
        <is>
          <t>ADMIN-INDEX-2026-02-27-00000000125C043F57453246863FE664CAFE6A3F0700950291EA24F0614FB6ACEDB12BF0E31D00000000010C0000950291EA24F0614FB6ACEDB12BF0E31D00002087B1A20000</t>
        </is>
      </c>
      <c r="C2201" t="inlineStr">
        <is>
          <t>cmm4yundc00kncuqwamdo1upw</t>
        </is>
      </c>
      <c r="D2201" t="inlineStr">
        <is>
          <t>http://localhost:8787/api/admin/requirements/documents/cmm4yundc00kncuqwamdo1upw/view</t>
        </is>
      </c>
      <c r="E2201">
        <f>HYPERLÄNK("http://localhost:8787/api/admin/requirements/documents/cmm4yundc00kncuqwamdo1upw/view";"Öppna PDF")</f>
        <v/>
      </c>
      <c r="F2201">
        <f>HYPERLINK("http://localhost:8787/api/admin/requirements/documents/cmm4yundc00kncuqwamdo1upw/view","Open PDF")</f>
        <v/>
      </c>
      <c r="G2201" t="inlineStr">
        <is>
          <t>cmm55w57p0004cuisfrtpqly8</t>
        </is>
      </c>
      <c r="H2201" t="inlineStr">
        <is>
          <t>Beslutsvillkor</t>
        </is>
      </c>
      <c r="I2201" t="inlineStr">
        <is>
          <t>LagringsvolymTid</t>
        </is>
      </c>
      <c r="J2201" t="inlineStr">
        <is>
          <t>Maxmangd</t>
        </is>
      </c>
      <c r="K2201" t="inlineStr">
        <is>
          <t>Uppskattad volym är cirka 833 ton.</t>
        </is>
      </c>
      <c r="L2201" t="inlineStr">
        <is>
          <t>Uppskattad volym är cirka 833 ton.</t>
        </is>
      </c>
      <c r="M2201" t="inlineStr">
        <is>
          <t>SKA</t>
        </is>
      </c>
      <c r="N2201" t="inlineStr"/>
      <c r="O2201" t="inlineStr"/>
      <c r="P2201" t="inlineStr"/>
      <c r="Q2201" t="inlineStr"/>
      <c r="R2201" t="inlineStr">
        <is>
          <t>Alltid</t>
        </is>
      </c>
      <c r="S2201" t="inlineStr"/>
      <c r="T2201" t="inlineStr">
        <is>
          <t>956093</t>
        </is>
      </c>
      <c r="U2201" t="n">
        <v>833</v>
      </c>
      <c r="V2201" t="inlineStr"/>
      <c r="W2201" t="inlineStr">
        <is>
          <t>Nej</t>
        </is>
      </c>
      <c r="X2201" t="inlineStr">
        <is>
          <t>Nej</t>
        </is>
      </c>
      <c r="Y2201" t="inlineStr">
        <is>
          <t>Nej</t>
        </is>
      </c>
      <c r="Z2201" t="inlineStr">
        <is>
          <t>Nej</t>
        </is>
      </c>
      <c r="AA2201" t="n">
        <v>4</v>
      </c>
      <c r="AB2201" t="inlineStr">
        <is>
          <t>Avfallsmangder och lagringstid</t>
        </is>
      </c>
      <c r="AC2201" t="inlineStr">
        <is>
          <t>Avfallsforteckning</t>
        </is>
      </c>
      <c r="AD2201" t="inlineStr">
        <is>
          <t>Nej</t>
        </is>
      </c>
      <c r="AE2201" t="inlineStr">
        <is>
          <t>Nej</t>
        </is>
      </c>
      <c r="AF2201" t="inlineStr">
        <is>
          <t>Ej behandlad</t>
        </is>
      </c>
      <c r="AG2201" t="inlineStr">
        <is>
          <t>AUTO_GENERERAD. Verifiera citat mot kallfil.</t>
        </is>
      </c>
      <c r="AH2201" t="inlineStr">
        <is>
          <t>LOW</t>
        </is>
      </c>
      <c r="AI2201" t="inlineStr">
        <is>
          <t>AUTO</t>
        </is>
      </c>
      <c r="AJ2201" t="inlineStr">
        <is>
          <t>Nej</t>
        </is>
      </c>
      <c r="AK2201" t="inlineStr"/>
      <c r="AL2201" t="inlineStr"/>
      <c r="AM2201" t="inlineStr"/>
      <c r="AN2201" t="inlineStr"/>
      <c r="AO2201" t="inlineStr">
        <is>
          <t>cmm4yundi00ktcuqwvjlbmpum</t>
        </is>
      </c>
      <c r="AP2201" t="inlineStr">
        <is>
          <t>http://localhost:8787/api/admin/requirements/documents/cmm4yundi00ktcuqwvjlbmpum/view</t>
        </is>
      </c>
      <c r="AQ2201">
        <f>HYPERLÄNK("http://localhost:8787/api/admin/requirements/documents/cmm4yundi00ktcuqwvjlbmpum/view";"Öppna PDF")</f>
        <v/>
      </c>
      <c r="AR2201">
        <f>HYPERLINK("http://localhost:8787/api/admin/requirements/documents/cmm4yundi00ktcuqwvjlbmpum/view","Open PDF")</f>
        <v/>
      </c>
      <c r="AS2201" t="inlineStr">
        <is>
          <t>cmm55w57p0004cuisfrtpqly8</t>
        </is>
      </c>
      <c r="AT2201" t="inlineStr">
        <is>
          <t>cmm4xvu980000cuh4vj0usz09</t>
        </is>
      </c>
      <c r="AU2201" t="inlineStr"/>
      <c r="AV2201" t="inlineStr">
        <is>
          <t>Kommun</t>
        </is>
      </c>
      <c r="AW2201" t="inlineStr"/>
      <c r="AX2201" t="inlineStr">
        <is>
          <t>2026-02</t>
        </is>
      </c>
      <c r="AY2201" t="inlineStr">
        <is>
          <t>Beslut</t>
        </is>
      </c>
      <c r="AZ2201" t="inlineStr">
        <is>
          <t>2026-02-03</t>
        </is>
      </c>
      <c r="BA2201" t="inlineStr">
        <is>
          <t>MIL20252223pdf_976436.pdf</t>
        </is>
      </c>
      <c r="BB2201" t="inlineStr">
        <is>
          <t>Begäran om allmän handling i ärende  MIL.2026.363</t>
        </is>
      </c>
      <c r="BC2201" t="inlineStr">
        <is>
          <t>AUTO</t>
        </is>
      </c>
      <c r="BD2201" t="inlineStr"/>
      <c r="BE2201" t="inlineStr"/>
      <c r="BF2201" t="inlineStr">
        <is>
          <t>AUTO_GENERERAD. Bekrafta metadata mot kallfil.</t>
        </is>
      </c>
      <c r="BG2201">
        <f>HYPERLINK("C:\Users\jimmy\Desktop\Examens arbete\Kod\Ny mapp\remix_-copy-of-miljöbeslut.se-portal\MIL20252223pdf_976436.pdf", "Öppna PDF")</f>
        <v/>
      </c>
    </row>
    <row r="2202">
      <c r="A2202" t="inlineStr">
        <is>
          <t>KRAV-AUTO-002201</t>
        </is>
      </c>
      <c r="B2202" t="inlineStr">
        <is>
          <t>ADMIN-INDEX-2026-02-27-00000000125C043F57453246863FE664CAFE6A3F0700950291EA24F0614FB6ACEDB12BF0E31D00000000010C0000950291EA24F0614FB6ACEDB12BF0E31D00002087B1A20000</t>
        </is>
      </c>
      <c r="C2202" t="inlineStr">
        <is>
          <t>cmm4yundc00kncuqwamdo1upw</t>
        </is>
      </c>
      <c r="D2202" t="inlineStr">
        <is>
          <t>http://localhost:8787/api/admin/requirements/documents/cmm4yundc00kncuqwamdo1upw/view</t>
        </is>
      </c>
      <c r="E2202">
        <f>HYPERLÄNK("http://localhost:8787/api/admin/requirements/documents/cmm4yundc00kncuqwamdo1upw/view";"Öppna PDF")</f>
        <v/>
      </c>
      <c r="F2202">
        <f>HYPERLINK("http://localhost:8787/api/admin/requirements/documents/cmm4yundc00kncuqwamdo1upw/view","Open PDF")</f>
        <v/>
      </c>
      <c r="G2202" t="inlineStr">
        <is>
          <t>cmm55w57p0004cuisfrtpqly8</t>
        </is>
      </c>
      <c r="H2202" t="inlineStr">
        <is>
          <t>Beslutsvillkor</t>
        </is>
      </c>
      <c r="I2202" t="inlineStr">
        <is>
          <t>Riskhantering</t>
        </is>
      </c>
      <c r="J2202" t="inlineStr">
        <is>
          <t>Riskkontroll</t>
        </is>
      </c>
      <c r="K2202" t="inlineStr">
        <is>
          <t>Täckning ska med hänsyn till risk för luktolägenhet göras i snar anslutning till uppläggning.</t>
        </is>
      </c>
      <c r="L2202" t="inlineStr">
        <is>
          <t>Täckning ska med hänsyn till risk för luktolägenhet göras i snar anslutning till uppläggning.</t>
        </is>
      </c>
      <c r="M2202" t="inlineStr">
        <is>
          <t>SKA</t>
        </is>
      </c>
      <c r="N2202" t="inlineStr"/>
      <c r="O2202" t="inlineStr"/>
      <c r="P2202" t="inlineStr"/>
      <c r="Q2202" t="inlineStr"/>
      <c r="R2202" t="inlineStr">
        <is>
          <t>Vid risk for incident</t>
        </is>
      </c>
      <c r="S2202" t="inlineStr"/>
      <c r="T2202" t="inlineStr">
        <is>
          <t>956093</t>
        </is>
      </c>
      <c r="U2202" t="inlineStr"/>
      <c r="V2202" t="inlineStr"/>
      <c r="W2202" t="inlineStr">
        <is>
          <t>Nej</t>
        </is>
      </c>
      <c r="X2202" t="inlineStr">
        <is>
          <t>Nej</t>
        </is>
      </c>
      <c r="Y2202" t="inlineStr">
        <is>
          <t>Ja</t>
        </is>
      </c>
      <c r="Z2202" t="inlineStr">
        <is>
          <t>Ja</t>
        </is>
      </c>
      <c r="AA2202" t="n">
        <v>8</v>
      </c>
      <c r="AB2202" t="inlineStr">
        <is>
          <t>Riskhantering</t>
        </is>
      </c>
      <c r="AC2202" t="inlineStr">
        <is>
          <t>Risk-PM</t>
        </is>
      </c>
      <c r="AD2202" t="inlineStr">
        <is>
          <t>Nej</t>
        </is>
      </c>
      <c r="AE2202" t="inlineStr">
        <is>
          <t>Nej</t>
        </is>
      </c>
      <c r="AF2202" t="inlineStr">
        <is>
          <t>Ej behandlad</t>
        </is>
      </c>
      <c r="AG2202" t="inlineStr">
        <is>
          <t>AUTO_GENERERAD. Verifiera citat mot kallfil.</t>
        </is>
      </c>
      <c r="AH2202" t="inlineStr">
        <is>
          <t>MEDIUM</t>
        </is>
      </c>
      <c r="AI2202" t="inlineStr">
        <is>
          <t>AUTO</t>
        </is>
      </c>
      <c r="AJ2202" t="inlineStr">
        <is>
          <t>Nej</t>
        </is>
      </c>
      <c r="AK2202" t="inlineStr"/>
      <c r="AL2202" t="inlineStr"/>
      <c r="AM2202" t="inlineStr"/>
      <c r="AN2202" t="inlineStr"/>
      <c r="AO2202" t="inlineStr">
        <is>
          <t>cmm4yundi00ktcuqwvjlbmpum</t>
        </is>
      </c>
      <c r="AP2202" t="inlineStr">
        <is>
          <t>http://localhost:8787/api/admin/requirements/documents/cmm4yundi00ktcuqwvjlbmpum/view</t>
        </is>
      </c>
      <c r="AQ2202">
        <f>HYPERLÄNK("http://localhost:8787/api/admin/requirements/documents/cmm4yundi00ktcuqwvjlbmpum/view";"Öppna PDF")</f>
        <v/>
      </c>
      <c r="AR2202">
        <f>HYPERLINK("http://localhost:8787/api/admin/requirements/documents/cmm4yundi00ktcuqwvjlbmpum/view","Open PDF")</f>
        <v/>
      </c>
      <c r="AS2202" t="inlineStr">
        <is>
          <t>cmm55w57p0004cuisfrtpqly8</t>
        </is>
      </c>
      <c r="AT2202" t="inlineStr">
        <is>
          <t>cmm4xvu980000cuh4vj0usz09</t>
        </is>
      </c>
      <c r="AU2202" t="inlineStr"/>
      <c r="AV2202" t="inlineStr">
        <is>
          <t>Kommun</t>
        </is>
      </c>
      <c r="AW2202" t="inlineStr"/>
      <c r="AX2202" t="inlineStr">
        <is>
          <t>2026-02</t>
        </is>
      </c>
      <c r="AY2202" t="inlineStr">
        <is>
          <t>Beslut</t>
        </is>
      </c>
      <c r="AZ2202" t="inlineStr">
        <is>
          <t>2026-02-03</t>
        </is>
      </c>
      <c r="BA2202" t="inlineStr">
        <is>
          <t>MIL20252223pdf_976436.pdf</t>
        </is>
      </c>
      <c r="BB2202" t="inlineStr">
        <is>
          <t>Begäran om allmän handling i ärende  MIL.2026.363</t>
        </is>
      </c>
      <c r="BC2202" t="inlineStr">
        <is>
          <t>AUTO</t>
        </is>
      </c>
      <c r="BD2202" t="inlineStr"/>
      <c r="BE2202" t="inlineStr"/>
      <c r="BF2202" t="inlineStr">
        <is>
          <t>AUTO_GENERERAD. Bekrafta metadata mot kallfil.</t>
        </is>
      </c>
      <c r="BG2202">
        <f>HYPERLINK("C:\Users\jimmy\Desktop\Examens arbete\Kod\Ny mapp\remix_-copy-of-miljöbeslut.se-portal\MIL20252223pdf_976436.pdf", "Öppna PDF")</f>
        <v/>
      </c>
    </row>
    <row r="2203">
      <c r="A2203" t="inlineStr">
        <is>
          <t>KRAV-AUTO-002202</t>
        </is>
      </c>
      <c r="B2203" t="inlineStr">
        <is>
          <t>ADMIN-INDEX-2026-02-27-00000000125C043F57453246863FE664CAFE6A3F0700950291EA24F0614FB6ACEDB12BF0E31D00000000010C0000950291EA24F0614FB6ACEDB12BF0E31D00002087B1A20000</t>
        </is>
      </c>
      <c r="C2203" t="inlineStr">
        <is>
          <t>cmm4yund900kkcuqw5fb0vkrj</t>
        </is>
      </c>
      <c r="D2203" t="inlineStr">
        <is>
          <t>http://localhost:8787/api/admin/requirements/documents/cmm4yund900kkcuqw5fb0vkrj/view</t>
        </is>
      </c>
      <c r="E2203">
        <f>HYPERLÄNK("http://localhost:8787/api/admin/requirements/documents/cmm4yund900kkcuqw5fb0vkrj/view";"Öppna PDF")</f>
        <v/>
      </c>
      <c r="F2203">
        <f>HYPERLINK("http://localhost:8787/api/admin/requirements/documents/cmm4yund900kkcuqw5fb0vkrj/view","Open PDF")</f>
        <v/>
      </c>
      <c r="G2203" t="inlineStr">
        <is>
          <t>cmm55w57p0004cuisfrtpqly8</t>
        </is>
      </c>
      <c r="H2203" t="inlineStr">
        <is>
          <t>Beslutsvillkor</t>
        </is>
      </c>
      <c r="I2203" t="inlineStr">
        <is>
          <t>DagvattenLakvatten</t>
        </is>
      </c>
      <c r="J2203" t="inlineStr">
        <is>
          <t>Uppsamling</t>
        </is>
      </c>
      <c r="K2203" t="inlineStr">
        <is>
          <t>Lagringen ska ske så att risken för uppkomst av lakvatten från rötslammet minimeras.</t>
        </is>
      </c>
      <c r="L2203" t="inlineStr">
        <is>
          <t>Lagringen ska ske så att risken för uppkomst av lakvatten från rötslammet minimeras.</t>
        </is>
      </c>
      <c r="M2203" t="inlineStr">
        <is>
          <t>SKA</t>
        </is>
      </c>
      <c r="N2203" t="inlineStr"/>
      <c r="O2203" t="inlineStr"/>
      <c r="P2203" t="inlineStr"/>
      <c r="Q2203" t="inlineStr"/>
      <c r="R2203" t="inlineStr">
        <is>
          <t>Vid nederbord och avrinning</t>
        </is>
      </c>
      <c r="S2203" t="inlineStr"/>
      <c r="T2203" t="inlineStr">
        <is>
          <t>955375</t>
        </is>
      </c>
      <c r="U2203" t="inlineStr"/>
      <c r="V2203" t="inlineStr"/>
      <c r="W2203" t="inlineStr">
        <is>
          <t>Nej</t>
        </is>
      </c>
      <c r="X2203" t="inlineStr">
        <is>
          <t>Ja</t>
        </is>
      </c>
      <c r="Y2203" t="inlineStr">
        <is>
          <t>Ja</t>
        </is>
      </c>
      <c r="Z2203" t="inlineStr">
        <is>
          <t>Nej</t>
        </is>
      </c>
      <c r="AA2203" t="n">
        <v>6</v>
      </c>
      <c r="AB2203" t="inlineStr">
        <is>
          <t>Lakvattenhantering</t>
        </is>
      </c>
      <c r="AC2203" t="inlineStr">
        <is>
          <t>Flodesschema dagvatten-lakvatten</t>
        </is>
      </c>
      <c r="AD2203" t="inlineStr">
        <is>
          <t>Nej</t>
        </is>
      </c>
      <c r="AE2203" t="inlineStr">
        <is>
          <t>Nej</t>
        </is>
      </c>
      <c r="AF2203" t="inlineStr">
        <is>
          <t>Ej behandlad</t>
        </is>
      </c>
      <c r="AG2203" t="inlineStr">
        <is>
          <t>AUTO_GENERERAD. Verifiera citat mot kallfil.</t>
        </is>
      </c>
      <c r="AH2203" t="inlineStr">
        <is>
          <t>MEDIUM</t>
        </is>
      </c>
      <c r="AI2203" t="inlineStr">
        <is>
          <t>AUTO</t>
        </is>
      </c>
      <c r="AJ2203" t="inlineStr">
        <is>
          <t>Nej</t>
        </is>
      </c>
      <c r="AK2203" t="inlineStr"/>
      <c r="AL2203" t="inlineStr"/>
      <c r="AM2203" t="inlineStr"/>
      <c r="AN2203" t="inlineStr"/>
      <c r="AO2203" t="inlineStr">
        <is>
          <t>cmm4yundi00ktcuqwvjlbmpum</t>
        </is>
      </c>
      <c r="AP2203" t="inlineStr">
        <is>
          <t>http://localhost:8787/api/admin/requirements/documents/cmm4yundi00ktcuqwvjlbmpum/view</t>
        </is>
      </c>
      <c r="AQ2203">
        <f>HYPERLÄNK("http://localhost:8787/api/admin/requirements/documents/cmm4yundi00ktcuqwvjlbmpum/view";"Öppna PDF")</f>
        <v/>
      </c>
      <c r="AR2203">
        <f>HYPERLINK("http://localhost:8787/api/admin/requirements/documents/cmm4yundi00ktcuqwvjlbmpum/view","Open PDF")</f>
        <v/>
      </c>
      <c r="AS2203" t="inlineStr">
        <is>
          <t>cmm55w57p0004cuisfrtpqly8</t>
        </is>
      </c>
      <c r="AT2203" t="inlineStr">
        <is>
          <t>cmm4xvu980000cuh4vj0usz09</t>
        </is>
      </c>
      <c r="AU2203" t="inlineStr"/>
      <c r="AV2203" t="inlineStr">
        <is>
          <t>Kommun</t>
        </is>
      </c>
      <c r="AW2203" t="inlineStr"/>
      <c r="AX2203" t="inlineStr">
        <is>
          <t>2026-02</t>
        </is>
      </c>
      <c r="AY2203" t="inlineStr">
        <is>
          <t>Beslut</t>
        </is>
      </c>
      <c r="AZ2203" t="inlineStr">
        <is>
          <t>2026-02-03</t>
        </is>
      </c>
      <c r="BA2203" t="inlineStr">
        <is>
          <t>MIL20252223pdf_976436.pdf</t>
        </is>
      </c>
      <c r="BB2203" t="inlineStr">
        <is>
          <t>Begäran om allmän handling i ärende  MIL.2026.363</t>
        </is>
      </c>
      <c r="BC2203" t="inlineStr">
        <is>
          <t>AUTO</t>
        </is>
      </c>
      <c r="BD2203" t="inlineStr"/>
      <c r="BE2203" t="inlineStr"/>
      <c r="BF2203" t="inlineStr">
        <is>
          <t>AUTO_GENERERAD. Bekrafta metadata mot kallfil.</t>
        </is>
      </c>
      <c r="BG2203">
        <f>HYPERLINK("C:\Users\jimmy\Desktop\Examens arbete\Kod\Ny mapp\remix_-copy-of-miljöbeslut.se-portal\MIL20252223pdf_976436.pdf", "Öppna PDF")</f>
        <v/>
      </c>
    </row>
    <row r="2204">
      <c r="A2204" t="inlineStr">
        <is>
          <t>KRAV-AUTO-002203</t>
        </is>
      </c>
      <c r="B2204" t="inlineStr">
        <is>
          <t>ADMIN-INDEX-2026-02-27-00000000125C043F57453246863FE664CAFE6A3F0700950291EA24F0614FB6ACEDB12BF0E31D00000000010C0000950291EA24F0614FB6ACEDB12BF0E31D00002087B1A20000</t>
        </is>
      </c>
      <c r="C2204" t="inlineStr">
        <is>
          <t>cmm4yund900kkcuqw5fb0vkrj</t>
        </is>
      </c>
      <c r="D2204" t="inlineStr">
        <is>
          <t>http://localhost:8787/api/admin/requirements/documents/cmm4yund900kkcuqw5fb0vkrj/view</t>
        </is>
      </c>
      <c r="E2204">
        <f>HYPERLÄNK("http://localhost:8787/api/admin/requirements/documents/cmm4yund900kkcuqw5fb0vkrj/view";"Öppna PDF")</f>
        <v/>
      </c>
      <c r="F2204">
        <f>HYPERLINK("http://localhost:8787/api/admin/requirements/documents/cmm4yund900kkcuqw5fb0vkrj/view","Open PDF")</f>
        <v/>
      </c>
      <c r="G2204" t="inlineStr">
        <is>
          <t>cmm55w57p0004cuisfrtpqly8</t>
        </is>
      </c>
      <c r="H2204" t="inlineStr">
        <is>
          <t>Beslutsvillkor</t>
        </is>
      </c>
      <c r="I2204" t="inlineStr">
        <is>
          <t>DriftEgenkontroll</t>
        </is>
      </c>
      <c r="J2204" t="inlineStr">
        <is>
          <t>Journalforing</t>
        </is>
      </c>
      <c r="K2204" t="inlineStr">
        <is>
          <t>Jordprovtagningskarta bifogas.</t>
        </is>
      </c>
      <c r="L2204" t="inlineStr">
        <is>
          <t>Jordprovtagningskarta bifogas.</t>
        </is>
      </c>
      <c r="M2204" t="inlineStr">
        <is>
          <t>SKA</t>
        </is>
      </c>
      <c r="N2204" t="inlineStr"/>
      <c r="O2204" t="inlineStr"/>
      <c r="P2204" t="inlineStr"/>
      <c r="Q2204" t="inlineStr"/>
      <c r="R2204" t="inlineStr">
        <is>
          <t>Lopande drift</t>
        </is>
      </c>
      <c r="S2204" t="inlineStr"/>
      <c r="T2204" t="inlineStr">
        <is>
          <t>955375</t>
        </is>
      </c>
      <c r="U2204" t="inlineStr"/>
      <c r="V2204" t="inlineStr"/>
      <c r="W2204" t="inlineStr">
        <is>
          <t>Nej</t>
        </is>
      </c>
      <c r="X2204" t="inlineStr">
        <is>
          <t>Nej</t>
        </is>
      </c>
      <c r="Y2204" t="inlineStr">
        <is>
          <t>Ja</t>
        </is>
      </c>
      <c r="Z2204" t="inlineStr">
        <is>
          <t>Nej</t>
        </is>
      </c>
      <c r="AA2204" t="n">
        <v>7</v>
      </c>
      <c r="AB2204" t="inlineStr">
        <is>
          <t>Egenkontrollrutiner</t>
        </is>
      </c>
      <c r="AC2204" t="inlineStr">
        <is>
          <t>Egenkontrollprogram</t>
        </is>
      </c>
      <c r="AD2204" t="inlineStr">
        <is>
          <t>Nej</t>
        </is>
      </c>
      <c r="AE2204" t="inlineStr">
        <is>
          <t>Nej</t>
        </is>
      </c>
      <c r="AF2204" t="inlineStr">
        <is>
          <t>Ej behandlad</t>
        </is>
      </c>
      <c r="AG2204" t="inlineStr">
        <is>
          <t>AUTO_GENERERAD. Verifiera citat mot kallfil.</t>
        </is>
      </c>
      <c r="AH2204" t="inlineStr">
        <is>
          <t>LOW</t>
        </is>
      </c>
      <c r="AI2204" t="inlineStr">
        <is>
          <t>AUTO</t>
        </is>
      </c>
      <c r="AJ2204" t="inlineStr">
        <is>
          <t>Nej</t>
        </is>
      </c>
      <c r="AK2204" t="inlineStr"/>
      <c r="AL2204" t="inlineStr"/>
      <c r="AM2204" t="inlineStr"/>
      <c r="AN2204" t="inlineStr"/>
      <c r="AO2204" t="inlineStr">
        <is>
          <t>cmm4yundi00ktcuqwvjlbmpum</t>
        </is>
      </c>
      <c r="AP2204" t="inlineStr">
        <is>
          <t>http://localhost:8787/api/admin/requirements/documents/cmm4yundi00ktcuqwvjlbmpum/view</t>
        </is>
      </c>
      <c r="AQ2204">
        <f>HYPERLÄNK("http://localhost:8787/api/admin/requirements/documents/cmm4yundi00ktcuqwvjlbmpum/view";"Öppna PDF")</f>
        <v/>
      </c>
      <c r="AR2204">
        <f>HYPERLINK("http://localhost:8787/api/admin/requirements/documents/cmm4yundi00ktcuqwvjlbmpum/view","Open PDF")</f>
        <v/>
      </c>
      <c r="AS2204" t="inlineStr">
        <is>
          <t>cmm55w57p0004cuisfrtpqly8</t>
        </is>
      </c>
      <c r="AT2204" t="inlineStr">
        <is>
          <t>cmm4xvu980000cuh4vj0usz09</t>
        </is>
      </c>
      <c r="AU2204" t="inlineStr"/>
      <c r="AV2204" t="inlineStr">
        <is>
          <t>Kommun</t>
        </is>
      </c>
      <c r="AW2204" t="inlineStr"/>
      <c r="AX2204" t="inlineStr">
        <is>
          <t>2026-02</t>
        </is>
      </c>
      <c r="AY2204" t="inlineStr">
        <is>
          <t>Beslut</t>
        </is>
      </c>
      <c r="AZ2204" t="inlineStr">
        <is>
          <t>2026-02-03</t>
        </is>
      </c>
      <c r="BA2204" t="inlineStr">
        <is>
          <t>MIL20252223pdf_976436.pdf</t>
        </is>
      </c>
      <c r="BB2204" t="inlineStr">
        <is>
          <t>Begäran om allmän handling i ärende  MIL.2026.363</t>
        </is>
      </c>
      <c r="BC2204" t="inlineStr">
        <is>
          <t>AUTO</t>
        </is>
      </c>
      <c r="BD2204" t="inlineStr"/>
      <c r="BE2204" t="inlineStr"/>
      <c r="BF2204" t="inlineStr">
        <is>
          <t>AUTO_GENERERAD. Bekrafta metadata mot kallfil.</t>
        </is>
      </c>
      <c r="BG2204">
        <f>HYPERLINK("C:\Users\jimmy\Desktop\Examens arbete\Kod\Ny mapp\remix_-copy-of-miljöbeslut.se-portal\MIL20252223pdf_976436.pdf", "Öppna PDF")</f>
        <v/>
      </c>
    </row>
    <row r="2205">
      <c r="A2205" t="inlineStr">
        <is>
          <t>KRAV-AUTO-002204</t>
        </is>
      </c>
      <c r="B2205" t="inlineStr">
        <is>
          <t>ADMIN-INDEX-2026-02-27-00000000125C043F57453246863FE664CAFE6A3F0700950291EA24F0614FB6ACEDB12BF0E31D00000000010C0000950291EA24F0614FB6ACEDB12BF0E31D00002087B1A20000</t>
        </is>
      </c>
      <c r="C2205" t="inlineStr">
        <is>
          <t>cmm4yund900kkcuqw5fb0vkrj</t>
        </is>
      </c>
      <c r="D2205" t="inlineStr">
        <is>
          <t>http://localhost:8787/api/admin/requirements/documents/cmm4yund900kkcuqw5fb0vkrj/view</t>
        </is>
      </c>
      <c r="E2205">
        <f>HYPERLÄNK("http://localhost:8787/api/admin/requirements/documents/cmm4yund900kkcuqw5fb0vkrj/view";"Öppna PDF")</f>
        <v/>
      </c>
      <c r="F2205">
        <f>HYPERLINK("http://localhost:8787/api/admin/requirements/documents/cmm4yund900kkcuqw5fb0vkrj/view","Open PDF")</f>
        <v/>
      </c>
      <c r="G2205" t="inlineStr">
        <is>
          <t>cmm55w57p0004cuisfrtpqly8</t>
        </is>
      </c>
      <c r="H2205" t="inlineStr">
        <is>
          <t>Beslutsvillkor</t>
        </is>
      </c>
      <c r="I2205" t="inlineStr">
        <is>
          <t>Riskhantering</t>
        </is>
      </c>
      <c r="J2205" t="inlineStr">
        <is>
          <t>Riskkontroll</t>
        </is>
      </c>
      <c r="K2205" t="inlineStr">
        <is>
          <t>Täckning ska med hänsyn till risk för luktolägenhet göras i snar anslutning till uppläggning.</t>
        </is>
      </c>
      <c r="L2205" t="inlineStr">
        <is>
          <t>Täckning ska med hänsyn till risk för luktolägenhet göras i snar anslutning till uppläggning.</t>
        </is>
      </c>
      <c r="M2205" t="inlineStr">
        <is>
          <t>SKA</t>
        </is>
      </c>
      <c r="N2205" t="inlineStr"/>
      <c r="O2205" t="inlineStr"/>
      <c r="P2205" t="inlineStr"/>
      <c r="Q2205" t="inlineStr"/>
      <c r="R2205" t="inlineStr">
        <is>
          <t>Vid risk for incident</t>
        </is>
      </c>
      <c r="S2205" t="inlineStr"/>
      <c r="T2205" t="inlineStr">
        <is>
          <t>955375</t>
        </is>
      </c>
      <c r="U2205" t="inlineStr"/>
      <c r="V2205" t="inlineStr"/>
      <c r="W2205" t="inlineStr">
        <is>
          <t>Nej</t>
        </is>
      </c>
      <c r="X2205" t="inlineStr">
        <is>
          <t>Nej</t>
        </is>
      </c>
      <c r="Y2205" t="inlineStr">
        <is>
          <t>Ja</t>
        </is>
      </c>
      <c r="Z2205" t="inlineStr">
        <is>
          <t>Ja</t>
        </is>
      </c>
      <c r="AA2205" t="n">
        <v>8</v>
      </c>
      <c r="AB2205" t="inlineStr">
        <is>
          <t>Riskhantering</t>
        </is>
      </c>
      <c r="AC2205" t="inlineStr">
        <is>
          <t>Risk-PM</t>
        </is>
      </c>
      <c r="AD2205" t="inlineStr">
        <is>
          <t>Nej</t>
        </is>
      </c>
      <c r="AE2205" t="inlineStr">
        <is>
          <t>Nej</t>
        </is>
      </c>
      <c r="AF2205" t="inlineStr">
        <is>
          <t>Ej behandlad</t>
        </is>
      </c>
      <c r="AG2205" t="inlineStr">
        <is>
          <t>AUTO_GENERERAD. Verifiera citat mot kallfil.</t>
        </is>
      </c>
      <c r="AH2205" t="inlineStr">
        <is>
          <t>MEDIUM</t>
        </is>
      </c>
      <c r="AI2205" t="inlineStr">
        <is>
          <t>AUTO</t>
        </is>
      </c>
      <c r="AJ2205" t="inlineStr">
        <is>
          <t>Nej</t>
        </is>
      </c>
      <c r="AK2205" t="inlineStr"/>
      <c r="AL2205" t="inlineStr"/>
      <c r="AM2205" t="inlineStr"/>
      <c r="AN2205" t="inlineStr"/>
      <c r="AO2205" t="inlineStr">
        <is>
          <t>cmm4yundi00ktcuqwvjlbmpum</t>
        </is>
      </c>
      <c r="AP2205" t="inlineStr">
        <is>
          <t>http://localhost:8787/api/admin/requirements/documents/cmm4yundi00ktcuqwvjlbmpum/view</t>
        </is>
      </c>
      <c r="AQ2205">
        <f>HYPERLÄNK("http://localhost:8787/api/admin/requirements/documents/cmm4yundi00ktcuqwvjlbmpum/view";"Öppna PDF")</f>
        <v/>
      </c>
      <c r="AR2205">
        <f>HYPERLINK("http://localhost:8787/api/admin/requirements/documents/cmm4yundi00ktcuqwvjlbmpum/view","Open PDF")</f>
        <v/>
      </c>
      <c r="AS2205" t="inlineStr">
        <is>
          <t>cmm55w57p0004cuisfrtpqly8</t>
        </is>
      </c>
      <c r="AT2205" t="inlineStr">
        <is>
          <t>cmm4xvu980000cuh4vj0usz09</t>
        </is>
      </c>
      <c r="AU2205" t="inlineStr"/>
      <c r="AV2205" t="inlineStr">
        <is>
          <t>Kommun</t>
        </is>
      </c>
      <c r="AW2205" t="inlineStr"/>
      <c r="AX2205" t="inlineStr">
        <is>
          <t>2026-02</t>
        </is>
      </c>
      <c r="AY2205" t="inlineStr">
        <is>
          <t>Beslut</t>
        </is>
      </c>
      <c r="AZ2205" t="inlineStr">
        <is>
          <t>2026-02-03</t>
        </is>
      </c>
      <c r="BA2205" t="inlineStr">
        <is>
          <t>MIL20252223pdf_976436.pdf</t>
        </is>
      </c>
      <c r="BB2205" t="inlineStr">
        <is>
          <t>Begäran om allmän handling i ärende  MIL.2026.363</t>
        </is>
      </c>
      <c r="BC2205" t="inlineStr">
        <is>
          <t>AUTO</t>
        </is>
      </c>
      <c r="BD2205" t="inlineStr"/>
      <c r="BE2205" t="inlineStr"/>
      <c r="BF2205" t="inlineStr">
        <is>
          <t>AUTO_GENERERAD. Bekrafta metadata mot kallfil.</t>
        </is>
      </c>
      <c r="BG2205">
        <f>HYPERLINK("C:\Users\jimmy\Desktop\Examens arbete\Kod\Ny mapp\remix_-copy-of-miljöbeslut.se-portal\MIL20252223pdf_976436.pdf", "Öppna PDF")</f>
        <v/>
      </c>
    </row>
    <row r="2206">
      <c r="A2206" t="inlineStr">
        <is>
          <t>KRAV-AUTO-002205</t>
        </is>
      </c>
      <c r="B2206" t="inlineStr">
        <is>
          <t>ADMIN-INDEX-2026-02-27-00000000125C043F57453246863FE664CAFE6A3F0700950291EA24F0614FB6ACEDB12BF0E31D00000000010C0000950291EA24F0614FB6ACEDB12BF0E31D00002087B1A20000</t>
        </is>
      </c>
      <c r="C2206" t="inlineStr">
        <is>
          <t>cmm4yund600khcuqwiu7tvxkx</t>
        </is>
      </c>
      <c r="D2206" t="inlineStr">
        <is>
          <t>http://localhost:8787/api/admin/requirements/documents/cmm4yund600khcuqwiu7tvxkx/view</t>
        </is>
      </c>
      <c r="E2206">
        <f>HYPERLÄNK("http://localhost:8787/api/admin/requirements/documents/cmm4yund600khcuqwiu7tvxkx/view";"Öppna PDF")</f>
        <v/>
      </c>
      <c r="F2206">
        <f>HYPERLINK("http://localhost:8787/api/admin/requirements/documents/cmm4yund600khcuqwiu7tvxkx/view","Open PDF")</f>
        <v/>
      </c>
      <c r="G2206" t="inlineStr">
        <is>
          <t>cmm55w57p0004cuisfrtpqly8</t>
        </is>
      </c>
      <c r="H2206" t="inlineStr">
        <is>
          <t>Beslutsvillkor</t>
        </is>
      </c>
      <c r="I2206" t="inlineStr">
        <is>
          <t>DagvattenLakvatten</t>
        </is>
      </c>
      <c r="J2206" t="inlineStr">
        <is>
          <t>Uppsamling</t>
        </is>
      </c>
      <c r="K2206" t="inlineStr">
        <is>
          <t>Lagringen ska ske så att risken för uppkomst av lakvatten från rötslammet minimeras.</t>
        </is>
      </c>
      <c r="L2206" t="inlineStr">
        <is>
          <t>Lagringen ska ske så att risken för uppkomst av lakvatten från rötslammet minimeras.</t>
        </is>
      </c>
      <c r="M2206" t="inlineStr">
        <is>
          <t>SKA</t>
        </is>
      </c>
      <c r="N2206" t="inlineStr"/>
      <c r="O2206" t="inlineStr"/>
      <c r="P2206" t="inlineStr"/>
      <c r="Q2206" t="inlineStr"/>
      <c r="R2206" t="inlineStr">
        <is>
          <t>Vid nederbord och avrinning</t>
        </is>
      </c>
      <c r="S2206" t="inlineStr"/>
      <c r="T2206" t="inlineStr">
        <is>
          <t>928465</t>
        </is>
      </c>
      <c r="U2206" t="inlineStr"/>
      <c r="V2206" t="inlineStr"/>
      <c r="W2206" t="inlineStr">
        <is>
          <t>Nej</t>
        </is>
      </c>
      <c r="X2206" t="inlineStr">
        <is>
          <t>Ja</t>
        </is>
      </c>
      <c r="Y2206" t="inlineStr">
        <is>
          <t>Ja</t>
        </is>
      </c>
      <c r="Z2206" t="inlineStr">
        <is>
          <t>Nej</t>
        </is>
      </c>
      <c r="AA2206" t="n">
        <v>6</v>
      </c>
      <c r="AB2206" t="inlineStr">
        <is>
          <t>Lakvattenhantering</t>
        </is>
      </c>
      <c r="AC2206" t="inlineStr">
        <is>
          <t>Flodesschema dagvatten-lakvatten</t>
        </is>
      </c>
      <c r="AD2206" t="inlineStr">
        <is>
          <t>Nej</t>
        </is>
      </c>
      <c r="AE2206" t="inlineStr">
        <is>
          <t>Nej</t>
        </is>
      </c>
      <c r="AF2206" t="inlineStr">
        <is>
          <t>Ej behandlad</t>
        </is>
      </c>
      <c r="AG2206" t="inlineStr">
        <is>
          <t>AUTO_GENERERAD. Verifiera citat mot kallfil.</t>
        </is>
      </c>
      <c r="AH2206" t="inlineStr">
        <is>
          <t>MEDIUM</t>
        </is>
      </c>
      <c r="AI2206" t="inlineStr">
        <is>
          <t>AUTO</t>
        </is>
      </c>
      <c r="AJ2206" t="inlineStr">
        <is>
          <t>Nej</t>
        </is>
      </c>
      <c r="AK2206" t="inlineStr"/>
      <c r="AL2206" t="inlineStr"/>
      <c r="AM2206" t="inlineStr"/>
      <c r="AN2206" t="inlineStr"/>
      <c r="AO2206" t="inlineStr">
        <is>
          <t>cmm4yundi00ktcuqwvjlbmpum</t>
        </is>
      </c>
      <c r="AP2206" t="inlineStr">
        <is>
          <t>http://localhost:8787/api/admin/requirements/documents/cmm4yundi00ktcuqwvjlbmpum/view</t>
        </is>
      </c>
      <c r="AQ2206">
        <f>HYPERLÄNK("http://localhost:8787/api/admin/requirements/documents/cmm4yundi00ktcuqwvjlbmpum/view";"Öppna PDF")</f>
        <v/>
      </c>
      <c r="AR2206">
        <f>HYPERLINK("http://localhost:8787/api/admin/requirements/documents/cmm4yundi00ktcuqwvjlbmpum/view","Open PDF")</f>
        <v/>
      </c>
      <c r="AS2206" t="inlineStr">
        <is>
          <t>cmm55w57p0004cuisfrtpqly8</t>
        </is>
      </c>
      <c r="AT2206" t="inlineStr">
        <is>
          <t>cmm4xvu980000cuh4vj0usz09</t>
        </is>
      </c>
      <c r="AU2206" t="inlineStr"/>
      <c r="AV2206" t="inlineStr">
        <is>
          <t>Kommun</t>
        </is>
      </c>
      <c r="AW2206" t="inlineStr"/>
      <c r="AX2206" t="inlineStr">
        <is>
          <t>2026-02</t>
        </is>
      </c>
      <c r="AY2206" t="inlineStr">
        <is>
          <t>Beslut</t>
        </is>
      </c>
      <c r="AZ2206" t="inlineStr">
        <is>
          <t>2026-02-03</t>
        </is>
      </c>
      <c r="BA2206" t="inlineStr">
        <is>
          <t>MIL20252223pdf_976436.pdf</t>
        </is>
      </c>
      <c r="BB2206" t="inlineStr">
        <is>
          <t>Begäran om allmän handling i ärende  MIL.2026.363</t>
        </is>
      </c>
      <c r="BC2206" t="inlineStr">
        <is>
          <t>AUTO</t>
        </is>
      </c>
      <c r="BD2206" t="inlineStr"/>
      <c r="BE2206" t="inlineStr"/>
      <c r="BF2206" t="inlineStr">
        <is>
          <t>AUTO_GENERERAD. Bekrafta metadata mot kallfil.</t>
        </is>
      </c>
      <c r="BG2206">
        <f>HYPERLINK("C:\Users\jimmy\Desktop\Examens arbete\Kod\Ny mapp\remix_-copy-of-miljöbeslut.se-portal\MIL20252223pdf_976436.pdf", "Öppna PDF")</f>
        <v/>
      </c>
    </row>
    <row r="2207">
      <c r="A2207" t="inlineStr">
        <is>
          <t>KRAV-AUTO-002206</t>
        </is>
      </c>
      <c r="B2207" t="inlineStr">
        <is>
          <t>ADMIN-INDEX-2026-02-27-00000000125C043F57453246863FE664CAFE6A3F0700950291EA24F0614FB6ACEDB12BF0E31D00000000010C0000950291EA24F0614FB6ACEDB12BF0E31D00002087B1A20000</t>
        </is>
      </c>
      <c r="C2207" t="inlineStr">
        <is>
          <t>cmm4yund600khcuqwiu7tvxkx</t>
        </is>
      </c>
      <c r="D2207" t="inlineStr">
        <is>
          <t>http://localhost:8787/api/admin/requirements/documents/cmm4yund600khcuqwiu7tvxkx/view</t>
        </is>
      </c>
      <c r="E2207">
        <f>HYPERLÄNK("http://localhost:8787/api/admin/requirements/documents/cmm4yund600khcuqwiu7tvxkx/view";"Öppna PDF")</f>
        <v/>
      </c>
      <c r="F2207">
        <f>HYPERLINK("http://localhost:8787/api/admin/requirements/documents/cmm4yund600khcuqwiu7tvxkx/view","Open PDF")</f>
        <v/>
      </c>
      <c r="G2207" t="inlineStr">
        <is>
          <t>cmm55w57p0004cuisfrtpqly8</t>
        </is>
      </c>
      <c r="H2207" t="inlineStr">
        <is>
          <t>Beslutsvillkor</t>
        </is>
      </c>
      <c r="I2207" t="inlineStr">
        <is>
          <t>Riskhantering</t>
        </is>
      </c>
      <c r="J2207" t="inlineStr">
        <is>
          <t>Riskkontroll</t>
        </is>
      </c>
      <c r="K2207" t="inlineStr">
        <is>
          <t>Täckning ska med hänsyn till risk för luktolägenhet göras i snar anslutning till uppläggning.</t>
        </is>
      </c>
      <c r="L2207" t="inlineStr">
        <is>
          <t>Täckning ska med hänsyn till risk för luktolägenhet göras i snar anslutning till uppläggning.</t>
        </is>
      </c>
      <c r="M2207" t="inlineStr">
        <is>
          <t>SKA</t>
        </is>
      </c>
      <c r="N2207" t="inlineStr"/>
      <c r="O2207" t="inlineStr"/>
      <c r="P2207" t="inlineStr"/>
      <c r="Q2207" t="inlineStr"/>
      <c r="R2207" t="inlineStr">
        <is>
          <t>Vid risk for incident</t>
        </is>
      </c>
      <c r="S2207" t="inlineStr"/>
      <c r="T2207" t="inlineStr">
        <is>
          <t>928465</t>
        </is>
      </c>
      <c r="U2207" t="inlineStr"/>
      <c r="V2207" t="inlineStr"/>
      <c r="W2207" t="inlineStr">
        <is>
          <t>Nej</t>
        </is>
      </c>
      <c r="X2207" t="inlineStr">
        <is>
          <t>Nej</t>
        </is>
      </c>
      <c r="Y2207" t="inlineStr">
        <is>
          <t>Ja</t>
        </is>
      </c>
      <c r="Z2207" t="inlineStr">
        <is>
          <t>Ja</t>
        </is>
      </c>
      <c r="AA2207" t="n">
        <v>8</v>
      </c>
      <c r="AB2207" t="inlineStr">
        <is>
          <t>Riskhantering</t>
        </is>
      </c>
      <c r="AC2207" t="inlineStr">
        <is>
          <t>Risk-PM</t>
        </is>
      </c>
      <c r="AD2207" t="inlineStr">
        <is>
          <t>Nej</t>
        </is>
      </c>
      <c r="AE2207" t="inlineStr">
        <is>
          <t>Nej</t>
        </is>
      </c>
      <c r="AF2207" t="inlineStr">
        <is>
          <t>Ej behandlad</t>
        </is>
      </c>
      <c r="AG2207" t="inlineStr">
        <is>
          <t>AUTO_GENERERAD. Verifiera citat mot kallfil.</t>
        </is>
      </c>
      <c r="AH2207" t="inlineStr">
        <is>
          <t>MEDIUM</t>
        </is>
      </c>
      <c r="AI2207" t="inlineStr">
        <is>
          <t>AUTO</t>
        </is>
      </c>
      <c r="AJ2207" t="inlineStr">
        <is>
          <t>Nej</t>
        </is>
      </c>
      <c r="AK2207" t="inlineStr"/>
      <c r="AL2207" t="inlineStr"/>
      <c r="AM2207" t="inlineStr"/>
      <c r="AN2207" t="inlineStr"/>
      <c r="AO2207" t="inlineStr">
        <is>
          <t>cmm4yundi00ktcuqwvjlbmpum</t>
        </is>
      </c>
      <c r="AP2207" t="inlineStr">
        <is>
          <t>http://localhost:8787/api/admin/requirements/documents/cmm4yundi00ktcuqwvjlbmpum/view</t>
        </is>
      </c>
      <c r="AQ2207">
        <f>HYPERLÄNK("http://localhost:8787/api/admin/requirements/documents/cmm4yundi00ktcuqwvjlbmpum/view";"Öppna PDF")</f>
        <v/>
      </c>
      <c r="AR2207">
        <f>HYPERLINK("http://localhost:8787/api/admin/requirements/documents/cmm4yundi00ktcuqwvjlbmpum/view","Open PDF")</f>
        <v/>
      </c>
      <c r="AS2207" t="inlineStr">
        <is>
          <t>cmm55w57p0004cuisfrtpqly8</t>
        </is>
      </c>
      <c r="AT2207" t="inlineStr">
        <is>
          <t>cmm4xvu980000cuh4vj0usz09</t>
        </is>
      </c>
      <c r="AU2207" t="inlineStr"/>
      <c r="AV2207" t="inlineStr">
        <is>
          <t>Kommun</t>
        </is>
      </c>
      <c r="AW2207" t="inlineStr"/>
      <c r="AX2207" t="inlineStr">
        <is>
          <t>2026-02</t>
        </is>
      </c>
      <c r="AY2207" t="inlineStr">
        <is>
          <t>Beslut</t>
        </is>
      </c>
      <c r="AZ2207" t="inlineStr">
        <is>
          <t>2026-02-03</t>
        </is>
      </c>
      <c r="BA2207" t="inlineStr">
        <is>
          <t>MIL20252223pdf_976436.pdf</t>
        </is>
      </c>
      <c r="BB2207" t="inlineStr">
        <is>
          <t>Begäran om allmän handling i ärende  MIL.2026.363</t>
        </is>
      </c>
      <c r="BC2207" t="inlineStr">
        <is>
          <t>AUTO</t>
        </is>
      </c>
      <c r="BD2207" t="inlineStr"/>
      <c r="BE2207" t="inlineStr"/>
      <c r="BF2207" t="inlineStr">
        <is>
          <t>AUTO_GENERERAD. Bekrafta metadata mot kallfil.</t>
        </is>
      </c>
      <c r="BG2207">
        <f>HYPERLINK("C:\Users\jimmy\Desktop\Examens arbete\Kod\Ny mapp\remix_-copy-of-miljöbeslut.se-portal\MIL20252223pdf_976436.pdf", "Öppna PDF")</f>
        <v/>
      </c>
    </row>
    <row r="2208">
      <c r="A2208" t="inlineStr">
        <is>
          <t>KRAV-AUTO-002207</t>
        </is>
      </c>
      <c r="B2208" t="inlineStr">
        <is>
          <t>ADMIN-INDEX-2026-02-27-00000000125C043F57453246863FE664CAFE6A3F0700950291EA24F0614FB6ACEDB12BF0E31D00000000010C0000950291EA24F0614FB6ACEDB12BF0E31D00002087B1A20000</t>
        </is>
      </c>
      <c r="C2208" t="inlineStr">
        <is>
          <t>cmm4yund600khcuqwiu7tvxkx</t>
        </is>
      </c>
      <c r="D2208" t="inlineStr">
        <is>
          <t>http://localhost:8787/api/admin/requirements/documents/cmm4yund600khcuqwiu7tvxkx/view</t>
        </is>
      </c>
      <c r="E2208">
        <f>HYPERLÄNK("http://localhost:8787/api/admin/requirements/documents/cmm4yund600khcuqwiu7tvxkx/view";"Öppna PDF")</f>
        <v/>
      </c>
      <c r="F2208">
        <f>HYPERLINK("http://localhost:8787/api/admin/requirements/documents/cmm4yund600khcuqwiu7tvxkx/view","Open PDF")</f>
        <v/>
      </c>
      <c r="G2208" t="inlineStr">
        <is>
          <t>cmm55w57p0004cuisfrtpqly8</t>
        </is>
      </c>
      <c r="H2208" t="inlineStr">
        <is>
          <t>Beslutsvillkor</t>
        </is>
      </c>
      <c r="I2208" t="inlineStr">
        <is>
          <t>MiljopaverkanForsiktighet</t>
        </is>
      </c>
      <c r="J2208" t="inlineStr">
        <is>
          <t>Skyddsatgarder</t>
        </is>
      </c>
      <c r="K2208" t="inlineStr">
        <is>
          <t>Anmälan om mellanlagring av avloppsslam samt information om efterföljande spridning Vid spridning ska vi följa dessa skyddsavstång: 10 meter till vattenförande dike, 50 meter till vattentäkt eller bostäder och 2 meter till dräneringsbrunn.</t>
        </is>
      </c>
      <c r="L2208" t="inlineStr">
        <is>
          <t>Anmälan om mellanlagring av avloppsslam samt information om efterföljande spridning Vid spridning ska vi följa dessa skyddsavstång: 10 meter till vattenförande dike, 50 meter till vattentäkt eller bostäder och 2 meter till dräneringsbrunn.</t>
        </is>
      </c>
      <c r="M2208" t="inlineStr">
        <is>
          <t>SKA</t>
        </is>
      </c>
      <c r="N2208" t="inlineStr"/>
      <c r="O2208" t="inlineStr"/>
      <c r="P2208" t="inlineStr"/>
      <c r="Q2208" t="inlineStr"/>
      <c r="R2208" t="inlineStr">
        <is>
          <t>Alltid</t>
        </is>
      </c>
      <c r="S2208" t="inlineStr"/>
      <c r="T2208" t="inlineStr">
        <is>
          <t>928465</t>
        </is>
      </c>
      <c r="U2208" t="inlineStr"/>
      <c r="V2208" t="inlineStr"/>
      <c r="W2208" t="inlineStr">
        <is>
          <t>Nej</t>
        </is>
      </c>
      <c r="X2208" t="inlineStr">
        <is>
          <t>Nej</t>
        </is>
      </c>
      <c r="Y2208" t="inlineStr">
        <is>
          <t>Nej</t>
        </is>
      </c>
      <c r="Z2208" t="inlineStr">
        <is>
          <t>Nej</t>
        </is>
      </c>
      <c r="AA2208" t="n">
        <v>10</v>
      </c>
      <c r="AB2208" t="inlineStr">
        <is>
          <t>Miljopaverkan och forsiktighetsmatt</t>
        </is>
      </c>
      <c r="AC2208" t="inlineStr">
        <is>
          <t>Miljo-PM</t>
        </is>
      </c>
      <c r="AD2208" t="inlineStr">
        <is>
          <t>Nej</t>
        </is>
      </c>
      <c r="AE2208" t="inlineStr">
        <is>
          <t>Nej</t>
        </is>
      </c>
      <c r="AF2208" t="inlineStr">
        <is>
          <t>Ej behandlad</t>
        </is>
      </c>
      <c r="AG2208" t="inlineStr">
        <is>
          <t>AUTO_GENERERAD. Verifiera citat mot kallfil.</t>
        </is>
      </c>
      <c r="AH2208" t="inlineStr">
        <is>
          <t>MEDIUM</t>
        </is>
      </c>
      <c r="AI2208" t="inlineStr">
        <is>
          <t>AUTO</t>
        </is>
      </c>
      <c r="AJ2208" t="inlineStr">
        <is>
          <t>Nej</t>
        </is>
      </c>
      <c r="AK2208" t="inlineStr"/>
      <c r="AL2208" t="inlineStr"/>
      <c r="AM2208" t="inlineStr"/>
      <c r="AN2208" t="inlineStr"/>
      <c r="AO2208" t="inlineStr">
        <is>
          <t>cmm4yundi00ktcuqwvjlbmpum</t>
        </is>
      </c>
      <c r="AP2208" t="inlineStr">
        <is>
          <t>http://localhost:8787/api/admin/requirements/documents/cmm4yundi00ktcuqwvjlbmpum/view</t>
        </is>
      </c>
      <c r="AQ2208">
        <f>HYPERLÄNK("http://localhost:8787/api/admin/requirements/documents/cmm4yundi00ktcuqwvjlbmpum/view";"Öppna PDF")</f>
        <v/>
      </c>
      <c r="AR2208">
        <f>HYPERLINK("http://localhost:8787/api/admin/requirements/documents/cmm4yundi00ktcuqwvjlbmpum/view","Open PDF")</f>
        <v/>
      </c>
      <c r="AS2208" t="inlineStr">
        <is>
          <t>cmm55w57p0004cuisfrtpqly8</t>
        </is>
      </c>
      <c r="AT2208" t="inlineStr">
        <is>
          <t>cmm4xvu980000cuh4vj0usz09</t>
        </is>
      </c>
      <c r="AU2208" t="inlineStr"/>
      <c r="AV2208" t="inlineStr">
        <is>
          <t>Kommun</t>
        </is>
      </c>
      <c r="AW2208" t="inlineStr"/>
      <c r="AX2208" t="inlineStr">
        <is>
          <t>2026-02</t>
        </is>
      </c>
      <c r="AY2208" t="inlineStr">
        <is>
          <t>Beslut</t>
        </is>
      </c>
      <c r="AZ2208" t="inlineStr">
        <is>
          <t>2026-02-03</t>
        </is>
      </c>
      <c r="BA2208" t="inlineStr">
        <is>
          <t>MIL20252223pdf_976436.pdf</t>
        </is>
      </c>
      <c r="BB2208" t="inlineStr">
        <is>
          <t>Begäran om allmän handling i ärende  MIL.2026.363</t>
        </is>
      </c>
      <c r="BC2208" t="inlineStr">
        <is>
          <t>AUTO</t>
        </is>
      </c>
      <c r="BD2208" t="inlineStr"/>
      <c r="BE2208" t="inlineStr"/>
      <c r="BF2208" t="inlineStr">
        <is>
          <t>AUTO_GENERERAD. Bekrafta metadata mot kallfil.</t>
        </is>
      </c>
      <c r="BG2208">
        <f>HYPERLINK("C:\Users\jimmy\Desktop\Examens arbete\Kod\Ny mapp\remix_-copy-of-miljöbeslut.se-portal\MIL20252223pdf_976436.pdf", "Öppna PDF")</f>
        <v/>
      </c>
    </row>
    <row r="2209">
      <c r="A2209" t="inlineStr">
        <is>
          <t>KRAV-AUTO-002208</t>
        </is>
      </c>
      <c r="B2209" t="inlineStr">
        <is>
          <t>ADMIN-INDEX-2026-02-27-00000000125C043F57453246863FE664CAFE6A3F0700950291EA24F0614FB6ACEDB12BF0E31D00000000010C0000950291EA24F0614FB6ACEDB12BF0E31D00002087B1A30000</t>
        </is>
      </c>
      <c r="C2209" t="inlineStr">
        <is>
          <t>cmm4yund300kecuqwfso38qa5</t>
        </is>
      </c>
      <c r="D2209" t="inlineStr">
        <is>
          <t>http://localhost:8787/api/admin/requirements/documents/cmm4yund300kecuqwfso38qa5/view</t>
        </is>
      </c>
      <c r="E2209">
        <f>HYPERLÄNK("http://localhost:8787/api/admin/requirements/documents/cmm4yund300kecuqwfso38qa5/view";"Öppna PDF")</f>
        <v/>
      </c>
      <c r="F2209">
        <f>HYPERLINK("http://localhost:8787/api/admin/requirements/documents/cmm4yund300kecuqwfso38qa5/view","Open PDF")</f>
        <v/>
      </c>
      <c r="G2209" t="inlineStr">
        <is>
          <t>cmm55w57p0004cuisfrtpqly8</t>
        </is>
      </c>
      <c r="H2209" t="inlineStr">
        <is>
          <t>Beslutsvillkor</t>
        </is>
      </c>
      <c r="I2209" t="inlineStr">
        <is>
          <t>DagvattenLakvatten</t>
        </is>
      </c>
      <c r="J2209" t="inlineStr">
        <is>
          <t>Uppsamling</t>
        </is>
      </c>
      <c r="K2209" t="inlineStr">
        <is>
          <t>Lagringen ska ske så att risken för uppkomst av lakvatten från rötslammet minimeras.</t>
        </is>
      </c>
      <c r="L2209" t="inlineStr">
        <is>
          <t>Lagringen ska ske så att risken för uppkomst av lakvatten från rötslammet minimeras.</t>
        </is>
      </c>
      <c r="M2209" t="inlineStr">
        <is>
          <t>SKA</t>
        </is>
      </c>
      <c r="N2209" t="inlineStr"/>
      <c r="O2209" t="inlineStr"/>
      <c r="P2209" t="inlineStr"/>
      <c r="Q2209" t="inlineStr"/>
      <c r="R2209" t="inlineStr">
        <is>
          <t>Vid nederbord och avrinning</t>
        </is>
      </c>
      <c r="S2209" t="inlineStr"/>
      <c r="T2209" t="inlineStr">
        <is>
          <t>951122</t>
        </is>
      </c>
      <c r="U2209" t="inlineStr"/>
      <c r="V2209" t="inlineStr"/>
      <c r="W2209" t="inlineStr">
        <is>
          <t>Nej</t>
        </is>
      </c>
      <c r="X2209" t="inlineStr">
        <is>
          <t>Ja</t>
        </is>
      </c>
      <c r="Y2209" t="inlineStr">
        <is>
          <t>Ja</t>
        </is>
      </c>
      <c r="Z2209" t="inlineStr">
        <is>
          <t>Nej</t>
        </is>
      </c>
      <c r="AA2209" t="n">
        <v>6</v>
      </c>
      <c r="AB2209" t="inlineStr">
        <is>
          <t>Lakvattenhantering</t>
        </is>
      </c>
      <c r="AC2209" t="inlineStr">
        <is>
          <t>Flodesschema dagvatten-lakvatten</t>
        </is>
      </c>
      <c r="AD2209" t="inlineStr">
        <is>
          <t>Nej</t>
        </is>
      </c>
      <c r="AE2209" t="inlineStr">
        <is>
          <t>Nej</t>
        </is>
      </c>
      <c r="AF2209" t="inlineStr">
        <is>
          <t>Ej behandlad</t>
        </is>
      </c>
      <c r="AG2209" t="inlineStr">
        <is>
          <t>AUTO_GENERERAD. Verifiera citat mot kallfil.</t>
        </is>
      </c>
      <c r="AH2209" t="inlineStr">
        <is>
          <t>MEDIUM</t>
        </is>
      </c>
      <c r="AI2209" t="inlineStr">
        <is>
          <t>AUTO</t>
        </is>
      </c>
      <c r="AJ2209" t="inlineStr">
        <is>
          <t>Nej</t>
        </is>
      </c>
      <c r="AK2209" t="inlineStr"/>
      <c r="AL2209" t="inlineStr"/>
      <c r="AM2209" t="inlineStr"/>
      <c r="AN2209" t="inlineStr"/>
      <c r="AO2209" t="inlineStr">
        <is>
          <t>cmm4yund300kecuqwfso38qa5</t>
        </is>
      </c>
      <c r="AP2209" t="inlineStr">
        <is>
          <t>http://localhost:8787/api/admin/requirements/documents/cmm4yund300kecuqwfso38qa5/view</t>
        </is>
      </c>
      <c r="AQ2209">
        <f>HYPERLÄNK("http://localhost:8787/api/admin/requirements/documents/cmm4yund300kecuqwfso38qa5/view";"Öppna PDF")</f>
        <v/>
      </c>
      <c r="AR2209">
        <f>HYPERLINK("http://localhost:8787/api/admin/requirements/documents/cmm4yund300kecuqwfso38qa5/view","Open PDF")</f>
        <v/>
      </c>
      <c r="AS2209" t="inlineStr">
        <is>
          <t>cmm55w57p0004cuisfrtpqly8</t>
        </is>
      </c>
      <c r="AT2209" t="inlineStr">
        <is>
          <t>cmm4xvu980000cuh4vj0usz09</t>
        </is>
      </c>
      <c r="AU2209" t="inlineStr"/>
      <c r="AV2209" t="inlineStr">
        <is>
          <t>Kommun</t>
        </is>
      </c>
      <c r="AW2209" t="inlineStr"/>
      <c r="AX2209" t="inlineStr">
        <is>
          <t>2026-02</t>
        </is>
      </c>
      <c r="AY2209" t="inlineStr">
        <is>
          <t>Beslut</t>
        </is>
      </c>
      <c r="AZ2209" t="inlineStr">
        <is>
          <t>2026-02-03</t>
        </is>
      </c>
      <c r="BA2209" t="inlineStr">
        <is>
          <t>MIL20251805pdf_976430.pdf</t>
        </is>
      </c>
      <c r="BB2209" t="inlineStr">
        <is>
          <t>Begäran om allmän handling i ärende  MIL.2026.363</t>
        </is>
      </c>
      <c r="BC2209" t="inlineStr">
        <is>
          <t>AUTO</t>
        </is>
      </c>
      <c r="BD2209" t="inlineStr"/>
      <c r="BE2209" t="inlineStr"/>
      <c r="BF2209" t="inlineStr">
        <is>
          <t>AUTO_GENERERAD. Bekrafta metadata mot kallfil.</t>
        </is>
      </c>
      <c r="BG2209">
        <f>HYPERLINK("C:\Users\jimmy\Desktop\Examens arbete\Kod\Ny mapp\remix_-copy-of-miljöbeslut.se-portal\MIL20251805pdf_976430.pdf", "Öppna PDF")</f>
        <v/>
      </c>
    </row>
    <row r="2210">
      <c r="A2210" t="inlineStr">
        <is>
          <t>KRAV-AUTO-002209</t>
        </is>
      </c>
      <c r="B2210" t="inlineStr">
        <is>
          <t>ADMIN-INDEX-2026-02-27-00000000125C043F57453246863FE664CAFE6A3F0700950291EA24F0614FB6ACEDB12BF0E31D00000000010C0000950291EA24F0614FB6ACEDB12BF0E31D00002087B1A30000</t>
        </is>
      </c>
      <c r="C2210" t="inlineStr">
        <is>
          <t>cmm4yund300kecuqwfso38qa5</t>
        </is>
      </c>
      <c r="D2210" t="inlineStr">
        <is>
          <t>http://localhost:8787/api/admin/requirements/documents/cmm4yund300kecuqwfso38qa5/view</t>
        </is>
      </c>
      <c r="E2210">
        <f>HYPERLÄNK("http://localhost:8787/api/admin/requirements/documents/cmm4yund300kecuqwfso38qa5/view";"Öppna PDF")</f>
        <v/>
      </c>
      <c r="F2210">
        <f>HYPERLINK("http://localhost:8787/api/admin/requirements/documents/cmm4yund300kecuqwfso38qa5/view","Open PDF")</f>
        <v/>
      </c>
      <c r="G2210" t="inlineStr">
        <is>
          <t>cmm55w57p0004cuisfrtpqly8</t>
        </is>
      </c>
      <c r="H2210" t="inlineStr">
        <is>
          <t>Beslutsvillkor</t>
        </is>
      </c>
      <c r="I2210" t="inlineStr">
        <is>
          <t>DriftEgenkontroll</t>
        </is>
      </c>
      <c r="J2210" t="inlineStr">
        <is>
          <t>Journalforing</t>
        </is>
      </c>
      <c r="K2210" t="inlineStr">
        <is>
          <t>Jordprovtagningskarta bifogas.</t>
        </is>
      </c>
      <c r="L2210" t="inlineStr">
        <is>
          <t>Jordprovtagningskarta bifogas.</t>
        </is>
      </c>
      <c r="M2210" t="inlineStr">
        <is>
          <t>SKA</t>
        </is>
      </c>
      <c r="N2210" t="inlineStr"/>
      <c r="O2210" t="inlineStr"/>
      <c r="P2210" t="inlineStr"/>
      <c r="Q2210" t="inlineStr"/>
      <c r="R2210" t="inlineStr">
        <is>
          <t>Lopande drift</t>
        </is>
      </c>
      <c r="S2210" t="inlineStr"/>
      <c r="T2210" t="inlineStr">
        <is>
          <t>951122</t>
        </is>
      </c>
      <c r="U2210" t="inlineStr"/>
      <c r="V2210" t="inlineStr"/>
      <c r="W2210" t="inlineStr">
        <is>
          <t>Nej</t>
        </is>
      </c>
      <c r="X2210" t="inlineStr">
        <is>
          <t>Nej</t>
        </is>
      </c>
      <c r="Y2210" t="inlineStr">
        <is>
          <t>Ja</t>
        </is>
      </c>
      <c r="Z2210" t="inlineStr">
        <is>
          <t>Nej</t>
        </is>
      </c>
      <c r="AA2210" t="n">
        <v>7</v>
      </c>
      <c r="AB2210" t="inlineStr">
        <is>
          <t>Egenkontrollrutiner</t>
        </is>
      </c>
      <c r="AC2210" t="inlineStr">
        <is>
          <t>Egenkontrollprogram</t>
        </is>
      </c>
      <c r="AD2210" t="inlineStr">
        <is>
          <t>Nej</t>
        </is>
      </c>
      <c r="AE2210" t="inlineStr">
        <is>
          <t>Nej</t>
        </is>
      </c>
      <c r="AF2210" t="inlineStr">
        <is>
          <t>Ej behandlad</t>
        </is>
      </c>
      <c r="AG2210" t="inlineStr">
        <is>
          <t>AUTO_GENERERAD. Verifiera citat mot kallfil.</t>
        </is>
      </c>
      <c r="AH2210" t="inlineStr">
        <is>
          <t>LOW</t>
        </is>
      </c>
      <c r="AI2210" t="inlineStr">
        <is>
          <t>AUTO</t>
        </is>
      </c>
      <c r="AJ2210" t="inlineStr">
        <is>
          <t>Nej</t>
        </is>
      </c>
      <c r="AK2210" t="inlineStr"/>
      <c r="AL2210" t="inlineStr"/>
      <c r="AM2210" t="inlineStr"/>
      <c r="AN2210" t="inlineStr"/>
      <c r="AO2210" t="inlineStr">
        <is>
          <t>cmm4yund300kecuqwfso38qa5</t>
        </is>
      </c>
      <c r="AP2210" t="inlineStr">
        <is>
          <t>http://localhost:8787/api/admin/requirements/documents/cmm4yund300kecuqwfso38qa5/view</t>
        </is>
      </c>
      <c r="AQ2210">
        <f>HYPERLÄNK("http://localhost:8787/api/admin/requirements/documents/cmm4yund300kecuqwfso38qa5/view";"Öppna PDF")</f>
        <v/>
      </c>
      <c r="AR2210">
        <f>HYPERLINK("http://localhost:8787/api/admin/requirements/documents/cmm4yund300kecuqwfso38qa5/view","Open PDF")</f>
        <v/>
      </c>
      <c r="AS2210" t="inlineStr">
        <is>
          <t>cmm55w57p0004cuisfrtpqly8</t>
        </is>
      </c>
      <c r="AT2210" t="inlineStr">
        <is>
          <t>cmm4xvu980000cuh4vj0usz09</t>
        </is>
      </c>
      <c r="AU2210" t="inlineStr"/>
      <c r="AV2210" t="inlineStr">
        <is>
          <t>Kommun</t>
        </is>
      </c>
      <c r="AW2210" t="inlineStr"/>
      <c r="AX2210" t="inlineStr">
        <is>
          <t>2026-02</t>
        </is>
      </c>
      <c r="AY2210" t="inlineStr">
        <is>
          <t>Beslut</t>
        </is>
      </c>
      <c r="AZ2210" t="inlineStr">
        <is>
          <t>2026-02-03</t>
        </is>
      </c>
      <c r="BA2210" t="inlineStr">
        <is>
          <t>MIL20251805pdf_976430.pdf</t>
        </is>
      </c>
      <c r="BB2210" t="inlineStr">
        <is>
          <t>Begäran om allmän handling i ärende  MIL.2026.363</t>
        </is>
      </c>
      <c r="BC2210" t="inlineStr">
        <is>
          <t>AUTO</t>
        </is>
      </c>
      <c r="BD2210" t="inlineStr"/>
      <c r="BE2210" t="inlineStr"/>
      <c r="BF2210" t="inlineStr">
        <is>
          <t>AUTO_GENERERAD. Bekrafta metadata mot kallfil.</t>
        </is>
      </c>
      <c r="BG2210">
        <f>HYPERLINK("C:\Users\jimmy\Desktop\Examens arbete\Kod\Ny mapp\remix_-copy-of-miljöbeslut.se-portal\MIL20251805pdf_976430.pdf", "Öppna PDF")</f>
        <v/>
      </c>
    </row>
    <row r="2211">
      <c r="A2211" t="inlineStr">
        <is>
          <t>KRAV-AUTO-002210</t>
        </is>
      </c>
      <c r="B2211" t="inlineStr">
        <is>
          <t>ADMIN-INDEX-2026-02-27-00000000125C043F57453246863FE664CAFE6A3F0700950291EA24F0614FB6ACEDB12BF0E31D00000000010C0000950291EA24F0614FB6ACEDB12BF0E31D00002087B1A30000</t>
        </is>
      </c>
      <c r="C2211" t="inlineStr">
        <is>
          <t>cmm4yund300kecuqwfso38qa5</t>
        </is>
      </c>
      <c r="D2211" t="inlineStr">
        <is>
          <t>http://localhost:8787/api/admin/requirements/documents/cmm4yund300kecuqwfso38qa5/view</t>
        </is>
      </c>
      <c r="E2211">
        <f>HYPERLÄNK("http://localhost:8787/api/admin/requirements/documents/cmm4yund300kecuqwfso38qa5/view";"Öppna PDF")</f>
        <v/>
      </c>
      <c r="F2211">
        <f>HYPERLINK("http://localhost:8787/api/admin/requirements/documents/cmm4yund300kecuqwfso38qa5/view","Open PDF")</f>
        <v/>
      </c>
      <c r="G2211" t="inlineStr">
        <is>
          <t>cmm55w57p0004cuisfrtpqly8</t>
        </is>
      </c>
      <c r="H2211" t="inlineStr">
        <is>
          <t>Beslutsvillkor</t>
        </is>
      </c>
      <c r="I2211" t="inlineStr">
        <is>
          <t>Riskhantering</t>
        </is>
      </c>
      <c r="J2211" t="inlineStr">
        <is>
          <t>Riskkontroll</t>
        </is>
      </c>
      <c r="K2211" t="inlineStr">
        <is>
          <t>Täckning ska med hänsyn till risk för luktolägenhet göras i snar anslutning till uppläggning.</t>
        </is>
      </c>
      <c r="L2211" t="inlineStr">
        <is>
          <t>Täckning ska med hänsyn till risk för luktolägenhet göras i snar anslutning till uppläggning.</t>
        </is>
      </c>
      <c r="M2211" t="inlineStr">
        <is>
          <t>SKA</t>
        </is>
      </c>
      <c r="N2211" t="inlineStr"/>
      <c r="O2211" t="inlineStr"/>
      <c r="P2211" t="inlineStr"/>
      <c r="Q2211" t="inlineStr"/>
      <c r="R2211" t="inlineStr">
        <is>
          <t>Vid risk for incident</t>
        </is>
      </c>
      <c r="S2211" t="inlineStr"/>
      <c r="T2211" t="inlineStr">
        <is>
          <t>951122</t>
        </is>
      </c>
      <c r="U2211" t="inlineStr"/>
      <c r="V2211" t="inlineStr"/>
      <c r="W2211" t="inlineStr">
        <is>
          <t>Nej</t>
        </is>
      </c>
      <c r="X2211" t="inlineStr">
        <is>
          <t>Nej</t>
        </is>
      </c>
      <c r="Y2211" t="inlineStr">
        <is>
          <t>Ja</t>
        </is>
      </c>
      <c r="Z2211" t="inlineStr">
        <is>
          <t>Ja</t>
        </is>
      </c>
      <c r="AA2211" t="n">
        <v>8</v>
      </c>
      <c r="AB2211" t="inlineStr">
        <is>
          <t>Riskhantering</t>
        </is>
      </c>
      <c r="AC2211" t="inlineStr">
        <is>
          <t>Risk-PM</t>
        </is>
      </c>
      <c r="AD2211" t="inlineStr">
        <is>
          <t>Nej</t>
        </is>
      </c>
      <c r="AE2211" t="inlineStr">
        <is>
          <t>Nej</t>
        </is>
      </c>
      <c r="AF2211" t="inlineStr">
        <is>
          <t>Ej behandlad</t>
        </is>
      </c>
      <c r="AG2211" t="inlineStr">
        <is>
          <t>AUTO_GENERERAD. Verifiera citat mot kallfil.</t>
        </is>
      </c>
      <c r="AH2211" t="inlineStr">
        <is>
          <t>MEDIUM</t>
        </is>
      </c>
      <c r="AI2211" t="inlineStr">
        <is>
          <t>AUTO</t>
        </is>
      </c>
      <c r="AJ2211" t="inlineStr">
        <is>
          <t>Nej</t>
        </is>
      </c>
      <c r="AK2211" t="inlineStr"/>
      <c r="AL2211" t="inlineStr"/>
      <c r="AM2211" t="inlineStr"/>
      <c r="AN2211" t="inlineStr"/>
      <c r="AO2211" t="inlineStr">
        <is>
          <t>cmm4yund300kecuqwfso38qa5</t>
        </is>
      </c>
      <c r="AP2211" t="inlineStr">
        <is>
          <t>http://localhost:8787/api/admin/requirements/documents/cmm4yund300kecuqwfso38qa5/view</t>
        </is>
      </c>
      <c r="AQ2211">
        <f>HYPERLÄNK("http://localhost:8787/api/admin/requirements/documents/cmm4yund300kecuqwfso38qa5/view";"Öppna PDF")</f>
        <v/>
      </c>
      <c r="AR2211">
        <f>HYPERLINK("http://localhost:8787/api/admin/requirements/documents/cmm4yund300kecuqwfso38qa5/view","Open PDF")</f>
        <v/>
      </c>
      <c r="AS2211" t="inlineStr">
        <is>
          <t>cmm55w57p0004cuisfrtpqly8</t>
        </is>
      </c>
      <c r="AT2211" t="inlineStr">
        <is>
          <t>cmm4xvu980000cuh4vj0usz09</t>
        </is>
      </c>
      <c r="AU2211" t="inlineStr"/>
      <c r="AV2211" t="inlineStr">
        <is>
          <t>Kommun</t>
        </is>
      </c>
      <c r="AW2211" t="inlineStr"/>
      <c r="AX2211" t="inlineStr">
        <is>
          <t>2026-02</t>
        </is>
      </c>
      <c r="AY2211" t="inlineStr">
        <is>
          <t>Beslut</t>
        </is>
      </c>
      <c r="AZ2211" t="inlineStr">
        <is>
          <t>2026-02-03</t>
        </is>
      </c>
      <c r="BA2211" t="inlineStr">
        <is>
          <t>MIL20251805pdf_976430.pdf</t>
        </is>
      </c>
      <c r="BB2211" t="inlineStr">
        <is>
          <t>Begäran om allmän handling i ärende  MIL.2026.363</t>
        </is>
      </c>
      <c r="BC2211" t="inlineStr">
        <is>
          <t>AUTO</t>
        </is>
      </c>
      <c r="BD2211" t="inlineStr"/>
      <c r="BE2211" t="inlineStr"/>
      <c r="BF2211" t="inlineStr">
        <is>
          <t>AUTO_GENERERAD. Bekrafta metadata mot kallfil.</t>
        </is>
      </c>
      <c r="BG2211">
        <f>HYPERLINK("C:\Users\jimmy\Desktop\Examens arbete\Kod\Ny mapp\remix_-copy-of-miljöbeslut.se-portal\MIL20251805pdf_976430.pdf", "Öppna PDF")</f>
        <v/>
      </c>
    </row>
    <row r="2212">
      <c r="A2212" t="inlineStr">
        <is>
          <t>KRAV-AUTO-002211</t>
        </is>
      </c>
      <c r="B2212" t="inlineStr">
        <is>
          <t>ADMIN-INDEX-2026-02-27-00000000125C043F57453246863FE664CAFE6A3F0700950291EA24F0614FB6ACEDB12BF0E31D00000000010C0000950291EA24F0614FB6ACEDB12BF0E31D00002087B1A30000</t>
        </is>
      </c>
      <c r="C2212" t="inlineStr">
        <is>
          <t>cmm4yund000kbcuqwc45lecot</t>
        </is>
      </c>
      <c r="D2212" t="inlineStr">
        <is>
          <t>http://localhost:8787/api/admin/requirements/documents/cmm4yund000kbcuqwc45lecot/view</t>
        </is>
      </c>
      <c r="E2212">
        <f>HYPERLÄNK("http://localhost:8787/api/admin/requirements/documents/cmm4yund000kbcuqwc45lecot/view";"Öppna PDF")</f>
        <v/>
      </c>
      <c r="F2212">
        <f>HYPERLINK("http://localhost:8787/api/admin/requirements/documents/cmm4yund000kbcuqwc45lecot/view","Open PDF")</f>
        <v/>
      </c>
      <c r="G2212" t="inlineStr">
        <is>
          <t>cmm55w57p0004cuisfrtpqly8</t>
        </is>
      </c>
      <c r="H2212" t="inlineStr">
        <is>
          <t>Beslutsvillkor</t>
        </is>
      </c>
      <c r="I2212" t="inlineStr">
        <is>
          <t>DagvattenLakvatten</t>
        </is>
      </c>
      <c r="J2212" t="inlineStr">
        <is>
          <t>Uppsamling</t>
        </is>
      </c>
      <c r="K2212" t="inlineStr">
        <is>
          <t>Lagringen ska ske så att risken för uppkomst av lakvatten från rötslammet minimeras.</t>
        </is>
      </c>
      <c r="L2212" t="inlineStr">
        <is>
          <t>Lagringen ska ske så att risken för uppkomst av lakvatten från rötslammet minimeras.</t>
        </is>
      </c>
      <c r="M2212" t="inlineStr">
        <is>
          <t>SKA</t>
        </is>
      </c>
      <c r="N2212" t="inlineStr"/>
      <c r="O2212" t="inlineStr"/>
      <c r="P2212" t="inlineStr"/>
      <c r="Q2212" t="inlineStr"/>
      <c r="R2212" t="inlineStr">
        <is>
          <t>Vid nederbord och avrinning</t>
        </is>
      </c>
      <c r="S2212" t="inlineStr"/>
      <c r="T2212" t="inlineStr">
        <is>
          <t>952925</t>
        </is>
      </c>
      <c r="U2212" t="inlineStr"/>
      <c r="V2212" t="inlineStr"/>
      <c r="W2212" t="inlineStr">
        <is>
          <t>Nej</t>
        </is>
      </c>
      <c r="X2212" t="inlineStr">
        <is>
          <t>Ja</t>
        </is>
      </c>
      <c r="Y2212" t="inlineStr">
        <is>
          <t>Ja</t>
        </is>
      </c>
      <c r="Z2212" t="inlineStr">
        <is>
          <t>Nej</t>
        </is>
      </c>
      <c r="AA2212" t="n">
        <v>6</v>
      </c>
      <c r="AB2212" t="inlineStr">
        <is>
          <t>Lakvattenhantering</t>
        </is>
      </c>
      <c r="AC2212" t="inlineStr">
        <is>
          <t>Flodesschema dagvatten-lakvatten</t>
        </is>
      </c>
      <c r="AD2212" t="inlineStr">
        <is>
          <t>Nej</t>
        </is>
      </c>
      <c r="AE2212" t="inlineStr">
        <is>
          <t>Nej</t>
        </is>
      </c>
      <c r="AF2212" t="inlineStr">
        <is>
          <t>Ej behandlad</t>
        </is>
      </c>
      <c r="AG2212" t="inlineStr">
        <is>
          <t>AUTO_GENERERAD. Verifiera citat mot kallfil.</t>
        </is>
      </c>
      <c r="AH2212" t="inlineStr">
        <is>
          <t>MEDIUM</t>
        </is>
      </c>
      <c r="AI2212" t="inlineStr">
        <is>
          <t>AUTO</t>
        </is>
      </c>
      <c r="AJ2212" t="inlineStr">
        <is>
          <t>Nej</t>
        </is>
      </c>
      <c r="AK2212" t="inlineStr"/>
      <c r="AL2212" t="inlineStr"/>
      <c r="AM2212" t="inlineStr"/>
      <c r="AN2212" t="inlineStr"/>
      <c r="AO2212" t="inlineStr">
        <is>
          <t>cmm4yund300kecuqwfso38qa5</t>
        </is>
      </c>
      <c r="AP2212" t="inlineStr">
        <is>
          <t>http://localhost:8787/api/admin/requirements/documents/cmm4yund300kecuqwfso38qa5/view</t>
        </is>
      </c>
      <c r="AQ2212">
        <f>HYPERLÄNK("http://localhost:8787/api/admin/requirements/documents/cmm4yund300kecuqwfso38qa5/view";"Öppna PDF")</f>
        <v/>
      </c>
      <c r="AR2212">
        <f>HYPERLINK("http://localhost:8787/api/admin/requirements/documents/cmm4yund300kecuqwfso38qa5/view","Open PDF")</f>
        <v/>
      </c>
      <c r="AS2212" t="inlineStr">
        <is>
          <t>cmm55w57p0004cuisfrtpqly8</t>
        </is>
      </c>
      <c r="AT2212" t="inlineStr">
        <is>
          <t>cmm4xvu980000cuh4vj0usz09</t>
        </is>
      </c>
      <c r="AU2212" t="inlineStr"/>
      <c r="AV2212" t="inlineStr">
        <is>
          <t>Kommun</t>
        </is>
      </c>
      <c r="AW2212" t="inlineStr"/>
      <c r="AX2212" t="inlineStr">
        <is>
          <t>2026-02</t>
        </is>
      </c>
      <c r="AY2212" t="inlineStr">
        <is>
          <t>Beslut</t>
        </is>
      </c>
      <c r="AZ2212" t="inlineStr">
        <is>
          <t>2026-02-03</t>
        </is>
      </c>
      <c r="BA2212" t="inlineStr">
        <is>
          <t>MIL20251805pdf_976430.pdf</t>
        </is>
      </c>
      <c r="BB2212" t="inlineStr">
        <is>
          <t>Begäran om allmän handling i ärende  MIL.2026.363</t>
        </is>
      </c>
      <c r="BC2212" t="inlineStr">
        <is>
          <t>AUTO</t>
        </is>
      </c>
      <c r="BD2212" t="inlineStr"/>
      <c r="BE2212" t="inlineStr"/>
      <c r="BF2212" t="inlineStr">
        <is>
          <t>AUTO_GENERERAD. Bekrafta metadata mot kallfil.</t>
        </is>
      </c>
      <c r="BG2212">
        <f>HYPERLINK("C:\Users\jimmy\Desktop\Examens arbete\Kod\Ny mapp\remix_-copy-of-miljöbeslut.se-portal\MIL20251805pdf_976430.pdf", "Öppna PDF")</f>
        <v/>
      </c>
    </row>
    <row r="2213">
      <c r="A2213" t="inlineStr">
        <is>
          <t>KRAV-AUTO-002212</t>
        </is>
      </c>
      <c r="B2213" t="inlineStr">
        <is>
          <t>ADMIN-INDEX-2026-02-27-00000000125C043F57453246863FE664CAFE6A3F0700950291EA24F0614FB6ACEDB12BF0E31D00000000010C0000950291EA24F0614FB6ACEDB12BF0E31D00002087B1A30000</t>
        </is>
      </c>
      <c r="C2213" t="inlineStr">
        <is>
          <t>cmm4yund000kbcuqwc45lecot</t>
        </is>
      </c>
      <c r="D2213" t="inlineStr">
        <is>
          <t>http://localhost:8787/api/admin/requirements/documents/cmm4yund000kbcuqwc45lecot/view</t>
        </is>
      </c>
      <c r="E2213">
        <f>HYPERLÄNK("http://localhost:8787/api/admin/requirements/documents/cmm4yund000kbcuqwc45lecot/view";"Öppna PDF")</f>
        <v/>
      </c>
      <c r="F2213">
        <f>HYPERLINK("http://localhost:8787/api/admin/requirements/documents/cmm4yund000kbcuqwc45lecot/view","Open PDF")</f>
        <v/>
      </c>
      <c r="G2213" t="inlineStr">
        <is>
          <t>cmm55w57p0004cuisfrtpqly8</t>
        </is>
      </c>
      <c r="H2213" t="inlineStr">
        <is>
          <t>Beslutsvillkor</t>
        </is>
      </c>
      <c r="I2213" t="inlineStr">
        <is>
          <t>DriftEgenkontroll</t>
        </is>
      </c>
      <c r="J2213" t="inlineStr">
        <is>
          <t>Journalforing</t>
        </is>
      </c>
      <c r="K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t>
        </is>
      </c>
      <c r="M2213" t="inlineStr">
        <is>
          <t>SKA</t>
        </is>
      </c>
      <c r="N2213" t="inlineStr"/>
      <c r="O2213" t="inlineStr"/>
      <c r="P2213" t="inlineStr"/>
      <c r="Q2213" t="inlineStr"/>
      <c r="R2213" t="inlineStr">
        <is>
          <t>Lopande drift</t>
        </is>
      </c>
      <c r="S2213" t="inlineStr"/>
      <c r="T2213" t="inlineStr">
        <is>
          <t>952925</t>
        </is>
      </c>
      <c r="U2213" t="inlineStr"/>
      <c r="V2213" t="inlineStr"/>
      <c r="W2213" t="inlineStr">
        <is>
          <t>Nej</t>
        </is>
      </c>
      <c r="X2213" t="inlineStr">
        <is>
          <t>Nej</t>
        </is>
      </c>
      <c r="Y2213" t="inlineStr">
        <is>
          <t>Ja</t>
        </is>
      </c>
      <c r="Z2213" t="inlineStr">
        <is>
          <t>Nej</t>
        </is>
      </c>
      <c r="AA2213" t="n">
        <v>7</v>
      </c>
      <c r="AB2213" t="inlineStr">
        <is>
          <t>Egenkontrollrutiner</t>
        </is>
      </c>
      <c r="AC2213" t="inlineStr">
        <is>
          <t>Egenkontrollprogram</t>
        </is>
      </c>
      <c r="AD2213" t="inlineStr">
        <is>
          <t>Nej</t>
        </is>
      </c>
      <c r="AE2213" t="inlineStr">
        <is>
          <t>Nej</t>
        </is>
      </c>
      <c r="AF2213" t="inlineStr">
        <is>
          <t>Ej behandlad</t>
        </is>
      </c>
      <c r="AG2213" t="inlineStr">
        <is>
          <t>AUTO_GENERERAD. Verifiera citat mot kallfil.</t>
        </is>
      </c>
      <c r="AH2213" t="inlineStr">
        <is>
          <t>MEDIUM</t>
        </is>
      </c>
      <c r="AI2213" t="inlineStr">
        <is>
          <t>AUTO</t>
        </is>
      </c>
      <c r="AJ2213" t="inlineStr">
        <is>
          <t>Nej</t>
        </is>
      </c>
      <c r="AK2213" t="inlineStr"/>
      <c r="AL2213" t="inlineStr"/>
      <c r="AM2213" t="inlineStr"/>
      <c r="AN2213" t="inlineStr"/>
      <c r="AO2213" t="inlineStr">
        <is>
          <t>cmm4yund300kecuqwfso38qa5</t>
        </is>
      </c>
      <c r="AP2213" t="inlineStr">
        <is>
          <t>http://localhost:8787/api/admin/requirements/documents/cmm4yund300kecuqwfso38qa5/view</t>
        </is>
      </c>
      <c r="AQ2213">
        <f>HYPERLÄNK("http://localhost:8787/api/admin/requirements/documents/cmm4yund300kecuqwfso38qa5/view";"Öppna PDF")</f>
        <v/>
      </c>
      <c r="AR2213">
        <f>HYPERLINK("http://localhost:8787/api/admin/requirements/documents/cmm4yund300kecuqwfso38qa5/view","Open PDF")</f>
        <v/>
      </c>
      <c r="AS2213" t="inlineStr">
        <is>
          <t>cmm55w57p0004cuisfrtpqly8</t>
        </is>
      </c>
      <c r="AT2213" t="inlineStr">
        <is>
          <t>cmm4xvu980000cuh4vj0usz09</t>
        </is>
      </c>
      <c r="AU2213" t="inlineStr"/>
      <c r="AV2213" t="inlineStr">
        <is>
          <t>Kommun</t>
        </is>
      </c>
      <c r="AW2213" t="inlineStr"/>
      <c r="AX2213" t="inlineStr">
        <is>
          <t>2026-02</t>
        </is>
      </c>
      <c r="AY2213" t="inlineStr">
        <is>
          <t>Beslut</t>
        </is>
      </c>
      <c r="AZ2213" t="inlineStr">
        <is>
          <t>2026-02-03</t>
        </is>
      </c>
      <c r="BA2213" t="inlineStr">
        <is>
          <t>MIL20251805pdf_976430.pdf</t>
        </is>
      </c>
      <c r="BB2213" t="inlineStr">
        <is>
          <t>Begäran om allmän handling i ärende  MIL.2026.363</t>
        </is>
      </c>
      <c r="BC2213" t="inlineStr">
        <is>
          <t>AUTO</t>
        </is>
      </c>
      <c r="BD2213" t="inlineStr"/>
      <c r="BE2213" t="inlineStr"/>
      <c r="BF2213" t="inlineStr">
        <is>
          <t>AUTO_GENERERAD. Bekrafta metadata mot kallfil.</t>
        </is>
      </c>
      <c r="BG2213">
        <f>HYPERLINK("C:\Users\jimmy\Desktop\Examens arbete\Kod\Ny mapp\remix_-copy-of-miljöbeslut.se-portal\MIL20251805pdf_976430.pdf", "Öppna PDF")</f>
        <v/>
      </c>
    </row>
    <row r="2214">
      <c r="A2214" t="inlineStr">
        <is>
          <t>KRAV-AUTO-002213</t>
        </is>
      </c>
      <c r="B2214" t="inlineStr">
        <is>
          <t>ADMIN-INDEX-2026-02-27-00000000125C043F57453246863FE664CAFE6A3F0700950291EA24F0614FB6ACEDB12BF0E31D00000000010C0000950291EA24F0614FB6ACEDB12BF0E31D00002087B1A30000</t>
        </is>
      </c>
      <c r="C2214" t="inlineStr">
        <is>
          <t>cmm4yund000kbcuqwc45lecot</t>
        </is>
      </c>
      <c r="D2214" t="inlineStr">
        <is>
          <t>http://localhost:8787/api/admin/requirements/documents/cmm4yund000kbcuqwc45lecot/view</t>
        </is>
      </c>
      <c r="E2214">
        <f>HYPERLÄNK("http://localhost:8787/api/admin/requirements/documents/cmm4yund000kbcuqwc45lecot/view";"Öppna PDF")</f>
        <v/>
      </c>
      <c r="F2214">
        <f>HYPERLINK("http://localhost:8787/api/admin/requirements/documents/cmm4yund000kbcuqwc45lecot/view","Open PDF")</f>
        <v/>
      </c>
      <c r="G2214" t="inlineStr">
        <is>
          <t>cmm55w57p0004cuisfrtpqly8</t>
        </is>
      </c>
      <c r="H2214" t="inlineStr">
        <is>
          <t>Beslutsvillkor</t>
        </is>
      </c>
      <c r="I2214" t="inlineStr">
        <is>
          <t>DriftEgenkontroll</t>
        </is>
      </c>
      <c r="J2214" t="inlineStr">
        <is>
          <t>Journalforing</t>
        </is>
      </c>
      <c r="K2214" t="inlineStr">
        <is>
          <t>Jordprovtagningskarta bifogas.</t>
        </is>
      </c>
      <c r="L2214" t="inlineStr">
        <is>
          <t>Jordprovtagningskarta bifogas.</t>
        </is>
      </c>
      <c r="M2214" t="inlineStr">
        <is>
          <t>SKA</t>
        </is>
      </c>
      <c r="N2214" t="inlineStr"/>
      <c r="O2214" t="inlineStr"/>
      <c r="P2214" t="inlineStr"/>
      <c r="Q2214" t="inlineStr"/>
      <c r="R2214" t="inlineStr">
        <is>
          <t>Lopande drift</t>
        </is>
      </c>
      <c r="S2214" t="inlineStr"/>
      <c r="T2214" t="inlineStr">
        <is>
          <t>952925</t>
        </is>
      </c>
      <c r="U2214" t="inlineStr"/>
      <c r="V2214" t="inlineStr"/>
      <c r="W2214" t="inlineStr">
        <is>
          <t>Nej</t>
        </is>
      </c>
      <c r="X2214" t="inlineStr">
        <is>
          <t>Nej</t>
        </is>
      </c>
      <c r="Y2214" t="inlineStr">
        <is>
          <t>Ja</t>
        </is>
      </c>
      <c r="Z2214" t="inlineStr">
        <is>
          <t>Nej</t>
        </is>
      </c>
      <c r="AA2214" t="n">
        <v>7</v>
      </c>
      <c r="AB2214" t="inlineStr">
        <is>
          <t>Egenkontrollrutiner</t>
        </is>
      </c>
      <c r="AC2214" t="inlineStr">
        <is>
          <t>Egenkontrollprogram</t>
        </is>
      </c>
      <c r="AD2214" t="inlineStr">
        <is>
          <t>Nej</t>
        </is>
      </c>
      <c r="AE2214" t="inlineStr">
        <is>
          <t>Nej</t>
        </is>
      </c>
      <c r="AF2214" t="inlineStr">
        <is>
          <t>Ej behandlad</t>
        </is>
      </c>
      <c r="AG2214" t="inlineStr">
        <is>
          <t>AUTO_GENERERAD. Verifiera citat mot kallfil.</t>
        </is>
      </c>
      <c r="AH2214" t="inlineStr">
        <is>
          <t>LOW</t>
        </is>
      </c>
      <c r="AI2214" t="inlineStr">
        <is>
          <t>AUTO</t>
        </is>
      </c>
      <c r="AJ2214" t="inlineStr">
        <is>
          <t>Nej</t>
        </is>
      </c>
      <c r="AK2214" t="inlineStr"/>
      <c r="AL2214" t="inlineStr"/>
      <c r="AM2214" t="inlineStr"/>
      <c r="AN2214" t="inlineStr"/>
      <c r="AO2214" t="inlineStr">
        <is>
          <t>cmm4yund300kecuqwfso38qa5</t>
        </is>
      </c>
      <c r="AP2214" t="inlineStr">
        <is>
          <t>http://localhost:8787/api/admin/requirements/documents/cmm4yund300kecuqwfso38qa5/view</t>
        </is>
      </c>
      <c r="AQ2214">
        <f>HYPERLÄNK("http://localhost:8787/api/admin/requirements/documents/cmm4yund300kecuqwfso38qa5/view";"Öppna PDF")</f>
        <v/>
      </c>
      <c r="AR2214">
        <f>HYPERLINK("http://localhost:8787/api/admin/requirements/documents/cmm4yund300kecuqwfso38qa5/view","Open PDF")</f>
        <v/>
      </c>
      <c r="AS2214" t="inlineStr">
        <is>
          <t>cmm55w57p0004cuisfrtpqly8</t>
        </is>
      </c>
      <c r="AT2214" t="inlineStr">
        <is>
          <t>cmm4xvu980000cuh4vj0usz09</t>
        </is>
      </c>
      <c r="AU2214" t="inlineStr"/>
      <c r="AV2214" t="inlineStr">
        <is>
          <t>Kommun</t>
        </is>
      </c>
      <c r="AW2214" t="inlineStr"/>
      <c r="AX2214" t="inlineStr">
        <is>
          <t>2026-02</t>
        </is>
      </c>
      <c r="AY2214" t="inlineStr">
        <is>
          <t>Beslut</t>
        </is>
      </c>
      <c r="AZ2214" t="inlineStr">
        <is>
          <t>2026-02-03</t>
        </is>
      </c>
      <c r="BA2214" t="inlineStr">
        <is>
          <t>MIL20251805pdf_976430.pdf</t>
        </is>
      </c>
      <c r="BB2214" t="inlineStr">
        <is>
          <t>Begäran om allmän handling i ärende  MIL.2026.363</t>
        </is>
      </c>
      <c r="BC2214" t="inlineStr">
        <is>
          <t>AUTO</t>
        </is>
      </c>
      <c r="BD2214" t="inlineStr"/>
      <c r="BE2214" t="inlineStr"/>
      <c r="BF2214" t="inlineStr">
        <is>
          <t>AUTO_GENERERAD. Bekrafta metadata mot kallfil.</t>
        </is>
      </c>
      <c r="BG2214">
        <f>HYPERLINK("C:\Users\jimmy\Desktop\Examens arbete\Kod\Ny mapp\remix_-copy-of-miljöbeslut.se-portal\MIL20251805pdf_976430.pdf", "Öppna PDF")</f>
        <v/>
      </c>
    </row>
    <row r="2215">
      <c r="A2215" t="inlineStr">
        <is>
          <t>KRAV-AUTO-002214</t>
        </is>
      </c>
      <c r="B2215" t="inlineStr">
        <is>
          <t>ADMIN-INDEX-2026-02-27-00000000125C043F57453246863FE664CAFE6A3F0700950291EA24F0614FB6ACEDB12BF0E31D00000000010C0000950291EA24F0614FB6ACEDB12BF0E31D00002087B1A30000</t>
        </is>
      </c>
      <c r="C2215" t="inlineStr">
        <is>
          <t>cmm4yuncx00k8cuqwcyntrpp8</t>
        </is>
      </c>
      <c r="D2215" t="inlineStr">
        <is>
          <t>http://localhost:8787/api/admin/requirements/documents/cmm4yuncx00k8cuqwcyntrpp8/view</t>
        </is>
      </c>
      <c r="E2215">
        <f>HYPERLÄNK("http://localhost:8787/api/admin/requirements/documents/cmm4yuncx00k8cuqwcyntrpp8/view";"Öppna PDF")</f>
        <v/>
      </c>
      <c r="F2215">
        <f>HYPERLINK("http://localhost:8787/api/admin/requirements/documents/cmm4yuncx00k8cuqwcyntrpp8/view","Open PDF")</f>
        <v/>
      </c>
      <c r="G2215" t="inlineStr">
        <is>
          <t>cmm55w57p0004cuisfrtpqly8</t>
        </is>
      </c>
      <c r="H2215" t="inlineStr">
        <is>
          <t>Beslutsvillkor</t>
        </is>
      </c>
      <c r="I2215" t="inlineStr">
        <is>
          <t>DagvattenLakvatten</t>
        </is>
      </c>
      <c r="J2215" t="inlineStr">
        <is>
          <t>Uppsamling</t>
        </is>
      </c>
      <c r="K2215" t="inlineStr">
        <is>
          <t>Lagringen ska ske så att risken för uppkomst av lakvatten från rötslammet minimeras.</t>
        </is>
      </c>
      <c r="L2215" t="inlineStr">
        <is>
          <t>Lagringen ska ske så att risken för uppkomst av lakvatten från rötslammet minimeras.</t>
        </is>
      </c>
      <c r="M2215" t="inlineStr">
        <is>
          <t>SKA</t>
        </is>
      </c>
      <c r="N2215" t="inlineStr"/>
      <c r="O2215" t="inlineStr"/>
      <c r="P2215" t="inlineStr"/>
      <c r="Q2215" t="inlineStr"/>
      <c r="R2215" t="inlineStr">
        <is>
          <t>Vid nederbord och avrinning</t>
        </is>
      </c>
      <c r="S2215" t="inlineStr"/>
      <c r="T2215" t="inlineStr">
        <is>
          <t>927926</t>
        </is>
      </c>
      <c r="U2215" t="inlineStr"/>
      <c r="V2215" t="inlineStr"/>
      <c r="W2215" t="inlineStr">
        <is>
          <t>Nej</t>
        </is>
      </c>
      <c r="X2215" t="inlineStr">
        <is>
          <t>Ja</t>
        </is>
      </c>
      <c r="Y2215" t="inlineStr">
        <is>
          <t>Ja</t>
        </is>
      </c>
      <c r="Z2215" t="inlineStr">
        <is>
          <t>Nej</t>
        </is>
      </c>
      <c r="AA2215" t="n">
        <v>6</v>
      </c>
      <c r="AB2215" t="inlineStr">
        <is>
          <t>Lakvattenhantering</t>
        </is>
      </c>
      <c r="AC2215" t="inlineStr">
        <is>
          <t>Flodesschema dagvatten-lakvatten</t>
        </is>
      </c>
      <c r="AD2215" t="inlineStr">
        <is>
          <t>Nej</t>
        </is>
      </c>
      <c r="AE2215" t="inlineStr">
        <is>
          <t>Nej</t>
        </is>
      </c>
      <c r="AF2215" t="inlineStr">
        <is>
          <t>Ej behandlad</t>
        </is>
      </c>
      <c r="AG2215" t="inlineStr">
        <is>
          <t>AUTO_GENERERAD. Verifiera citat mot kallfil.</t>
        </is>
      </c>
      <c r="AH2215" t="inlineStr">
        <is>
          <t>MEDIUM</t>
        </is>
      </c>
      <c r="AI2215" t="inlineStr">
        <is>
          <t>AUTO</t>
        </is>
      </c>
      <c r="AJ2215" t="inlineStr">
        <is>
          <t>Nej</t>
        </is>
      </c>
      <c r="AK2215" t="inlineStr"/>
      <c r="AL2215" t="inlineStr"/>
      <c r="AM2215" t="inlineStr"/>
      <c r="AN2215" t="inlineStr"/>
      <c r="AO2215" t="inlineStr">
        <is>
          <t>cmm4yund300kecuqwfso38qa5</t>
        </is>
      </c>
      <c r="AP2215" t="inlineStr">
        <is>
          <t>http://localhost:8787/api/admin/requirements/documents/cmm4yund300kecuqwfso38qa5/view</t>
        </is>
      </c>
      <c r="AQ2215">
        <f>HYPERLÄNK("http://localhost:8787/api/admin/requirements/documents/cmm4yund300kecuqwfso38qa5/view";"Öppna PDF")</f>
        <v/>
      </c>
      <c r="AR2215">
        <f>HYPERLINK("http://localhost:8787/api/admin/requirements/documents/cmm4yund300kecuqwfso38qa5/view","Open PDF")</f>
        <v/>
      </c>
      <c r="AS2215" t="inlineStr">
        <is>
          <t>cmm55w57p0004cuisfrtpqly8</t>
        </is>
      </c>
      <c r="AT2215" t="inlineStr">
        <is>
          <t>cmm4xvu980000cuh4vj0usz09</t>
        </is>
      </c>
      <c r="AU2215" t="inlineStr"/>
      <c r="AV2215" t="inlineStr">
        <is>
          <t>Kommun</t>
        </is>
      </c>
      <c r="AW2215" t="inlineStr"/>
      <c r="AX2215" t="inlineStr">
        <is>
          <t>2026-02</t>
        </is>
      </c>
      <c r="AY2215" t="inlineStr">
        <is>
          <t>Beslut</t>
        </is>
      </c>
      <c r="AZ2215" t="inlineStr">
        <is>
          <t>2026-02-03</t>
        </is>
      </c>
      <c r="BA2215" t="inlineStr">
        <is>
          <t>MIL20251805pdf_976430.pdf</t>
        </is>
      </c>
      <c r="BB2215" t="inlineStr">
        <is>
          <t>Begäran om allmän handling i ärende  MIL.2026.363</t>
        </is>
      </c>
      <c r="BC2215" t="inlineStr">
        <is>
          <t>AUTO</t>
        </is>
      </c>
      <c r="BD2215" t="inlineStr"/>
      <c r="BE2215" t="inlineStr"/>
      <c r="BF2215" t="inlineStr">
        <is>
          <t>AUTO_GENERERAD. Bekrafta metadata mot kallfil.</t>
        </is>
      </c>
      <c r="BG2215">
        <f>HYPERLINK("C:\Users\jimmy\Desktop\Examens arbete\Kod\Ny mapp\remix_-copy-of-miljöbeslut.se-portal\MIL20251805pdf_976430.pdf", "Öppna PDF")</f>
        <v/>
      </c>
    </row>
    <row r="2216">
      <c r="A2216" t="inlineStr">
        <is>
          <t>KRAV-AUTO-002215</t>
        </is>
      </c>
      <c r="B2216" t="inlineStr">
        <is>
          <t>ADMIN-INDEX-2026-02-27-00000000125C043F57453246863FE664CAFE6A3F0700950291EA24F0614FB6ACEDB12BF0E31D00000000010C0000950291EA24F0614FB6ACEDB12BF0E31D00002087B1A30000</t>
        </is>
      </c>
      <c r="C2216" t="inlineStr">
        <is>
          <t>cmm4yuncx00k8cuqwcyntrpp8</t>
        </is>
      </c>
      <c r="D2216" t="inlineStr">
        <is>
          <t>http://localhost:8787/api/admin/requirements/documents/cmm4yuncx00k8cuqwcyntrpp8/view</t>
        </is>
      </c>
      <c r="E2216">
        <f>HYPERLÄNK("http://localhost:8787/api/admin/requirements/documents/cmm4yuncx00k8cuqwcyntrpp8/view";"Öppna PDF")</f>
        <v/>
      </c>
      <c r="F2216">
        <f>HYPERLINK("http://localhost:8787/api/admin/requirements/documents/cmm4yuncx00k8cuqwcyntrpp8/view","Open PDF")</f>
        <v/>
      </c>
      <c r="G2216" t="inlineStr">
        <is>
          <t>cmm55w57p0004cuisfrtpqly8</t>
        </is>
      </c>
      <c r="H2216" t="inlineStr">
        <is>
          <t>Beslutsvillkor</t>
        </is>
      </c>
      <c r="I2216" t="inlineStr">
        <is>
          <t>DriftEgenkontroll</t>
        </is>
      </c>
      <c r="J2216" t="inlineStr">
        <is>
          <t>Journalforing</t>
        </is>
      </c>
      <c r="K2216" t="inlineStr">
        <is>
          <t>Jordprovtagningskarta bifogas.</t>
        </is>
      </c>
      <c r="L2216" t="inlineStr">
        <is>
          <t>Jordprovtagningskarta bifogas.</t>
        </is>
      </c>
      <c r="M2216" t="inlineStr">
        <is>
          <t>SKA</t>
        </is>
      </c>
      <c r="N2216" t="inlineStr"/>
      <c r="O2216" t="inlineStr"/>
      <c r="P2216" t="inlineStr"/>
      <c r="Q2216" t="inlineStr"/>
      <c r="R2216" t="inlineStr">
        <is>
          <t>Lopande drift</t>
        </is>
      </c>
      <c r="S2216" t="inlineStr"/>
      <c r="T2216" t="inlineStr">
        <is>
          <t>927926</t>
        </is>
      </c>
      <c r="U2216" t="inlineStr"/>
      <c r="V2216" t="inlineStr"/>
      <c r="W2216" t="inlineStr">
        <is>
          <t>Nej</t>
        </is>
      </c>
      <c r="X2216" t="inlineStr">
        <is>
          <t>Nej</t>
        </is>
      </c>
      <c r="Y2216" t="inlineStr">
        <is>
          <t>Ja</t>
        </is>
      </c>
      <c r="Z2216" t="inlineStr">
        <is>
          <t>Nej</t>
        </is>
      </c>
      <c r="AA2216" t="n">
        <v>7</v>
      </c>
      <c r="AB2216" t="inlineStr">
        <is>
          <t>Egenkontrollrutiner</t>
        </is>
      </c>
      <c r="AC2216" t="inlineStr">
        <is>
          <t>Egenkontrollprogram</t>
        </is>
      </c>
      <c r="AD2216" t="inlineStr">
        <is>
          <t>Nej</t>
        </is>
      </c>
      <c r="AE2216" t="inlineStr">
        <is>
          <t>Nej</t>
        </is>
      </c>
      <c r="AF2216" t="inlineStr">
        <is>
          <t>Ej behandlad</t>
        </is>
      </c>
      <c r="AG2216" t="inlineStr">
        <is>
          <t>AUTO_GENERERAD. Verifiera citat mot kallfil.</t>
        </is>
      </c>
      <c r="AH2216" t="inlineStr">
        <is>
          <t>LOW</t>
        </is>
      </c>
      <c r="AI2216" t="inlineStr">
        <is>
          <t>AUTO</t>
        </is>
      </c>
      <c r="AJ2216" t="inlineStr">
        <is>
          <t>Nej</t>
        </is>
      </c>
      <c r="AK2216" t="inlineStr"/>
      <c r="AL2216" t="inlineStr"/>
      <c r="AM2216" t="inlineStr"/>
      <c r="AN2216" t="inlineStr"/>
      <c r="AO2216" t="inlineStr">
        <is>
          <t>cmm4yund300kecuqwfso38qa5</t>
        </is>
      </c>
      <c r="AP2216" t="inlineStr">
        <is>
          <t>http://localhost:8787/api/admin/requirements/documents/cmm4yund300kecuqwfso38qa5/view</t>
        </is>
      </c>
      <c r="AQ2216">
        <f>HYPERLÄNK("http://localhost:8787/api/admin/requirements/documents/cmm4yund300kecuqwfso38qa5/view";"Öppna PDF")</f>
        <v/>
      </c>
      <c r="AR2216">
        <f>HYPERLINK("http://localhost:8787/api/admin/requirements/documents/cmm4yund300kecuqwfso38qa5/view","Open PDF")</f>
        <v/>
      </c>
      <c r="AS2216" t="inlineStr">
        <is>
          <t>cmm55w57p0004cuisfrtpqly8</t>
        </is>
      </c>
      <c r="AT2216" t="inlineStr">
        <is>
          <t>cmm4xvu980000cuh4vj0usz09</t>
        </is>
      </c>
      <c r="AU2216" t="inlineStr"/>
      <c r="AV2216" t="inlineStr">
        <is>
          <t>Kommun</t>
        </is>
      </c>
      <c r="AW2216" t="inlineStr"/>
      <c r="AX2216" t="inlineStr">
        <is>
          <t>2026-02</t>
        </is>
      </c>
      <c r="AY2216" t="inlineStr">
        <is>
          <t>Beslut</t>
        </is>
      </c>
      <c r="AZ2216" t="inlineStr">
        <is>
          <t>2026-02-03</t>
        </is>
      </c>
      <c r="BA2216" t="inlineStr">
        <is>
          <t>MIL20251805pdf_976430.pdf</t>
        </is>
      </c>
      <c r="BB2216" t="inlineStr">
        <is>
          <t>Begäran om allmän handling i ärende  MIL.2026.363</t>
        </is>
      </c>
      <c r="BC2216" t="inlineStr">
        <is>
          <t>AUTO</t>
        </is>
      </c>
      <c r="BD2216" t="inlineStr"/>
      <c r="BE2216" t="inlineStr"/>
      <c r="BF2216" t="inlineStr">
        <is>
          <t>AUTO_GENERERAD. Bekrafta metadata mot kallfil.</t>
        </is>
      </c>
      <c r="BG2216">
        <f>HYPERLINK("C:\Users\jimmy\Desktop\Examens arbete\Kod\Ny mapp\remix_-copy-of-miljöbeslut.se-portal\MIL20251805pdf_976430.pdf", "Öppna PDF")</f>
        <v/>
      </c>
    </row>
    <row r="2217">
      <c r="A2217" t="inlineStr">
        <is>
          <t>KRAV-AUTO-002216</t>
        </is>
      </c>
      <c r="B2217" t="inlineStr">
        <is>
          <t>ADMIN-INDEX-2026-02-27-00000000125C043F57453246863FE664CAFE6A3F0700950291EA24F0614FB6ACEDB12BF0E31D00000000010C0000950291EA24F0614FB6ACEDB12BF0E31D00002087B1A30000</t>
        </is>
      </c>
      <c r="C2217" t="inlineStr">
        <is>
          <t>cmm4yuncx00k8cuqwcyntrpp8</t>
        </is>
      </c>
      <c r="D2217" t="inlineStr">
        <is>
          <t>http://localhost:8787/api/admin/requirements/documents/cmm4yuncx00k8cuqwcyntrpp8/view</t>
        </is>
      </c>
      <c r="E2217">
        <f>HYPERLÄNK("http://localhost:8787/api/admin/requirements/documents/cmm4yuncx00k8cuqwcyntrpp8/view";"Öppna PDF")</f>
        <v/>
      </c>
      <c r="F2217">
        <f>HYPERLINK("http://localhost:8787/api/admin/requirements/documents/cmm4yuncx00k8cuqwcyntrpp8/view","Open PDF")</f>
        <v/>
      </c>
      <c r="G2217" t="inlineStr">
        <is>
          <t>cmm55w57p0004cuisfrtpqly8</t>
        </is>
      </c>
      <c r="H2217" t="inlineStr">
        <is>
          <t>Beslutsvillkor</t>
        </is>
      </c>
      <c r="I2217" t="inlineStr">
        <is>
          <t>Riskhantering</t>
        </is>
      </c>
      <c r="J2217" t="inlineStr">
        <is>
          <t>Riskkontroll</t>
        </is>
      </c>
      <c r="K2217" t="inlineStr">
        <is>
          <t>Täckning ska med hänsyn till risk för luktolägenhet göras i snar anslutning till uppläggning.</t>
        </is>
      </c>
      <c r="L2217" t="inlineStr">
        <is>
          <t>Täckning ska med hänsyn till risk för luktolägenhet göras i snar anslutning till uppläggning.</t>
        </is>
      </c>
      <c r="M2217" t="inlineStr">
        <is>
          <t>SKA</t>
        </is>
      </c>
      <c r="N2217" t="inlineStr"/>
      <c r="O2217" t="inlineStr"/>
      <c r="P2217" t="inlineStr"/>
      <c r="Q2217" t="inlineStr"/>
      <c r="R2217" t="inlineStr">
        <is>
          <t>Vid risk for incident</t>
        </is>
      </c>
      <c r="S2217" t="inlineStr"/>
      <c r="T2217" t="inlineStr">
        <is>
          <t>927926</t>
        </is>
      </c>
      <c r="U2217" t="inlineStr"/>
      <c r="V2217" t="inlineStr"/>
      <c r="W2217" t="inlineStr">
        <is>
          <t>Nej</t>
        </is>
      </c>
      <c r="X2217" t="inlineStr">
        <is>
          <t>Nej</t>
        </is>
      </c>
      <c r="Y2217" t="inlineStr">
        <is>
          <t>Ja</t>
        </is>
      </c>
      <c r="Z2217" t="inlineStr">
        <is>
          <t>Ja</t>
        </is>
      </c>
      <c r="AA2217" t="n">
        <v>8</v>
      </c>
      <c r="AB2217" t="inlineStr">
        <is>
          <t>Riskhantering</t>
        </is>
      </c>
      <c r="AC2217" t="inlineStr">
        <is>
          <t>Risk-PM</t>
        </is>
      </c>
      <c r="AD2217" t="inlineStr">
        <is>
          <t>Nej</t>
        </is>
      </c>
      <c r="AE2217" t="inlineStr">
        <is>
          <t>Nej</t>
        </is>
      </c>
      <c r="AF2217" t="inlineStr">
        <is>
          <t>Ej behandlad</t>
        </is>
      </c>
      <c r="AG2217" t="inlineStr">
        <is>
          <t>AUTO_GENERERAD. Verifiera citat mot kallfil.</t>
        </is>
      </c>
      <c r="AH2217" t="inlineStr">
        <is>
          <t>MEDIUM</t>
        </is>
      </c>
      <c r="AI2217" t="inlineStr">
        <is>
          <t>AUTO</t>
        </is>
      </c>
      <c r="AJ2217" t="inlineStr">
        <is>
          <t>Nej</t>
        </is>
      </c>
      <c r="AK2217" t="inlineStr"/>
      <c r="AL2217" t="inlineStr"/>
      <c r="AM2217" t="inlineStr"/>
      <c r="AN2217" t="inlineStr"/>
      <c r="AO2217" t="inlineStr">
        <is>
          <t>cmm4yund300kecuqwfso38qa5</t>
        </is>
      </c>
      <c r="AP2217" t="inlineStr">
        <is>
          <t>http://localhost:8787/api/admin/requirements/documents/cmm4yund300kecuqwfso38qa5/view</t>
        </is>
      </c>
      <c r="AQ2217">
        <f>HYPERLÄNK("http://localhost:8787/api/admin/requirements/documents/cmm4yund300kecuqwfso38qa5/view";"Öppna PDF")</f>
        <v/>
      </c>
      <c r="AR2217">
        <f>HYPERLINK("http://localhost:8787/api/admin/requirements/documents/cmm4yund300kecuqwfso38qa5/view","Open PDF")</f>
        <v/>
      </c>
      <c r="AS2217" t="inlineStr">
        <is>
          <t>cmm55w57p0004cuisfrtpqly8</t>
        </is>
      </c>
      <c r="AT2217" t="inlineStr">
        <is>
          <t>cmm4xvu980000cuh4vj0usz09</t>
        </is>
      </c>
      <c r="AU2217" t="inlineStr"/>
      <c r="AV2217" t="inlineStr">
        <is>
          <t>Kommun</t>
        </is>
      </c>
      <c r="AW2217" t="inlineStr"/>
      <c r="AX2217" t="inlineStr">
        <is>
          <t>2026-02</t>
        </is>
      </c>
      <c r="AY2217" t="inlineStr">
        <is>
          <t>Beslut</t>
        </is>
      </c>
      <c r="AZ2217" t="inlineStr">
        <is>
          <t>2026-02-03</t>
        </is>
      </c>
      <c r="BA2217" t="inlineStr">
        <is>
          <t>MIL20251805pdf_976430.pdf</t>
        </is>
      </c>
      <c r="BB2217" t="inlineStr">
        <is>
          <t>Begäran om allmän handling i ärende  MIL.2026.363</t>
        </is>
      </c>
      <c r="BC2217" t="inlineStr">
        <is>
          <t>AUTO</t>
        </is>
      </c>
      <c r="BD2217" t="inlineStr"/>
      <c r="BE2217" t="inlineStr"/>
      <c r="BF2217" t="inlineStr">
        <is>
          <t>AUTO_GENERERAD. Bekrafta metadata mot kallfil.</t>
        </is>
      </c>
      <c r="BG2217">
        <f>HYPERLINK("C:\Users\jimmy\Desktop\Examens arbete\Kod\Ny mapp\remix_-copy-of-miljöbeslut.se-portal\MIL20251805pdf_976430.pdf", "Öppna PDF")</f>
        <v/>
      </c>
    </row>
    <row r="2218">
      <c r="A2218" t="inlineStr">
        <is>
          <t>KRAV-AUTO-002217</t>
        </is>
      </c>
      <c r="B2218" t="inlineStr">
        <is>
          <t>ADMIN-INDEX-2026-02-27-00000000125C043F57453246863FE664CAFE6A3F0700950291EA24F0614FB6ACEDB12BF0E31D00000000010C0000950291EA24F0614FB6ACEDB12BF0E31D00002087B1A30000</t>
        </is>
      </c>
      <c r="C2218" t="inlineStr">
        <is>
          <t>cmm4yuncv00k5cuqwzqzxqt2i</t>
        </is>
      </c>
      <c r="D2218" t="inlineStr">
        <is>
          <t>http://localhost:8787/api/admin/requirements/documents/cmm4yuncv00k5cuqwzqzxqt2i/view</t>
        </is>
      </c>
      <c r="E2218">
        <f>HYPERLÄNK("http://localhost:8787/api/admin/requirements/documents/cmm4yuncv00k5cuqwzqzxqt2i/view";"Öppna PDF")</f>
        <v/>
      </c>
      <c r="F2218">
        <f>HYPERLINK("http://localhost:8787/api/admin/requirements/documents/cmm4yuncv00k5cuqwzqzxqt2i/view","Open PDF")</f>
        <v/>
      </c>
      <c r="G2218" t="inlineStr">
        <is>
          <t>cmm55w57p0004cuisfrtpqly8</t>
        </is>
      </c>
      <c r="H2218" t="inlineStr">
        <is>
          <t>Beslutsvillkor</t>
        </is>
      </c>
      <c r="I2218" t="inlineStr">
        <is>
          <t>DagvattenLakvatten</t>
        </is>
      </c>
      <c r="J2218" t="inlineStr">
        <is>
          <t>Uppsamling</t>
        </is>
      </c>
      <c r="K2218" t="inlineStr">
        <is>
          <t>Lagringen ska ske så att risken för uppkomst av lakvatten från rötslammet minimeras.</t>
        </is>
      </c>
      <c r="L2218" t="inlineStr">
        <is>
          <t>Lagringen ska ske så att risken för uppkomst av lakvatten från rötslammet minimeras.</t>
        </is>
      </c>
      <c r="M2218" t="inlineStr">
        <is>
          <t>SKA</t>
        </is>
      </c>
      <c r="N2218" t="inlineStr"/>
      <c r="O2218" t="inlineStr"/>
      <c r="P2218" t="inlineStr"/>
      <c r="Q2218" t="inlineStr"/>
      <c r="R2218" t="inlineStr">
        <is>
          <t>Vid nederbord och avrinning</t>
        </is>
      </c>
      <c r="S2218" t="inlineStr"/>
      <c r="T2218" t="inlineStr">
        <is>
          <t>945936</t>
        </is>
      </c>
      <c r="U2218" t="inlineStr"/>
      <c r="V2218" t="inlineStr"/>
      <c r="W2218" t="inlineStr">
        <is>
          <t>Nej</t>
        </is>
      </c>
      <c r="X2218" t="inlineStr">
        <is>
          <t>Ja</t>
        </is>
      </c>
      <c r="Y2218" t="inlineStr">
        <is>
          <t>Ja</t>
        </is>
      </c>
      <c r="Z2218" t="inlineStr">
        <is>
          <t>Nej</t>
        </is>
      </c>
      <c r="AA2218" t="n">
        <v>6</v>
      </c>
      <c r="AB2218" t="inlineStr">
        <is>
          <t>Lakvattenhantering</t>
        </is>
      </c>
      <c r="AC2218" t="inlineStr">
        <is>
          <t>Flodesschema dagvatten-lakvatten</t>
        </is>
      </c>
      <c r="AD2218" t="inlineStr">
        <is>
          <t>Nej</t>
        </is>
      </c>
      <c r="AE2218" t="inlineStr">
        <is>
          <t>Nej</t>
        </is>
      </c>
      <c r="AF2218" t="inlineStr">
        <is>
          <t>Ej behandlad</t>
        </is>
      </c>
      <c r="AG2218" t="inlineStr">
        <is>
          <t>AUTO_GENERERAD. Verifiera citat mot kallfil.</t>
        </is>
      </c>
      <c r="AH2218" t="inlineStr">
        <is>
          <t>MEDIUM</t>
        </is>
      </c>
      <c r="AI2218" t="inlineStr">
        <is>
          <t>AUTO</t>
        </is>
      </c>
      <c r="AJ2218" t="inlineStr">
        <is>
          <t>Nej</t>
        </is>
      </c>
      <c r="AK2218" t="inlineStr"/>
      <c r="AL2218" t="inlineStr"/>
      <c r="AM2218" t="inlineStr"/>
      <c r="AN2218" t="inlineStr"/>
      <c r="AO2218" t="inlineStr">
        <is>
          <t>cmm4yund300kecuqwfso38qa5</t>
        </is>
      </c>
      <c r="AP2218" t="inlineStr">
        <is>
          <t>http://localhost:8787/api/admin/requirements/documents/cmm4yund300kecuqwfso38qa5/view</t>
        </is>
      </c>
      <c r="AQ2218">
        <f>HYPERLÄNK("http://localhost:8787/api/admin/requirements/documents/cmm4yund300kecuqwfso38qa5/view";"Öppna PDF")</f>
        <v/>
      </c>
      <c r="AR2218">
        <f>HYPERLINK("http://localhost:8787/api/admin/requirements/documents/cmm4yund300kecuqwfso38qa5/view","Open PDF")</f>
        <v/>
      </c>
      <c r="AS2218" t="inlineStr">
        <is>
          <t>cmm55w57p0004cuisfrtpqly8</t>
        </is>
      </c>
      <c r="AT2218" t="inlineStr">
        <is>
          <t>cmm4xvu980000cuh4vj0usz09</t>
        </is>
      </c>
      <c r="AU2218" t="inlineStr"/>
      <c r="AV2218" t="inlineStr">
        <is>
          <t>Kommun</t>
        </is>
      </c>
      <c r="AW2218" t="inlineStr"/>
      <c r="AX2218" t="inlineStr">
        <is>
          <t>2026-02</t>
        </is>
      </c>
      <c r="AY2218" t="inlineStr">
        <is>
          <t>Beslut</t>
        </is>
      </c>
      <c r="AZ2218" t="inlineStr">
        <is>
          <t>2026-02-03</t>
        </is>
      </c>
      <c r="BA2218" t="inlineStr">
        <is>
          <t>MIL20251805pdf_976430.pdf</t>
        </is>
      </c>
      <c r="BB2218" t="inlineStr">
        <is>
          <t>Begäran om allmän handling i ärende  MIL.2026.363</t>
        </is>
      </c>
      <c r="BC2218" t="inlineStr">
        <is>
          <t>AUTO</t>
        </is>
      </c>
      <c r="BD2218" t="inlineStr"/>
      <c r="BE2218" t="inlineStr"/>
      <c r="BF2218" t="inlineStr">
        <is>
          <t>AUTO_GENERERAD. Bekrafta metadata mot kallfil.</t>
        </is>
      </c>
      <c r="BG2218">
        <f>HYPERLINK("C:\Users\jimmy\Desktop\Examens arbete\Kod\Ny mapp\remix_-copy-of-miljöbeslut.se-portal\MIL20251805pdf_976430.pdf", "Öppna PDF")</f>
        <v/>
      </c>
    </row>
    <row r="2219">
      <c r="A2219" t="inlineStr">
        <is>
          <t>KRAV-AUTO-002218</t>
        </is>
      </c>
      <c r="B2219" t="inlineStr">
        <is>
          <t>ADMIN-INDEX-2026-02-27-00000000125C043F57453246863FE664CAFE6A3F0700950291EA24F0614FB6ACEDB12BF0E31D00000000010C0000950291EA24F0614FB6ACEDB12BF0E31D00002087B1A30000</t>
        </is>
      </c>
      <c r="C2219" t="inlineStr">
        <is>
          <t>cmm4yuncv00k5cuqwzqzxqt2i</t>
        </is>
      </c>
      <c r="D2219" t="inlineStr">
        <is>
          <t>http://localhost:8787/api/admin/requirements/documents/cmm4yuncv00k5cuqwzqzxqt2i/view</t>
        </is>
      </c>
      <c r="E2219">
        <f>HYPERLÄNK("http://localhost:8787/api/admin/requirements/documents/cmm4yuncv00k5cuqwzqzxqt2i/view";"Öppna PDF")</f>
        <v/>
      </c>
      <c r="F2219">
        <f>HYPERLINK("http://localhost:8787/api/admin/requirements/documents/cmm4yuncv00k5cuqwzqzxqt2i/view","Open PDF")</f>
        <v/>
      </c>
      <c r="G2219" t="inlineStr">
        <is>
          <t>cmm55w57p0004cuisfrtpqly8</t>
        </is>
      </c>
      <c r="H2219" t="inlineStr">
        <is>
          <t>Beslutsvillkor</t>
        </is>
      </c>
      <c r="I2219" t="inlineStr">
        <is>
          <t>LagringsvolymTid</t>
        </is>
      </c>
      <c r="J2219" t="inlineStr">
        <is>
          <t>Maxmangd</t>
        </is>
      </c>
      <c r="K2219" t="inlineStr">
        <is>
          <t>Uppskattad volym är cirka 1250 ton.</t>
        </is>
      </c>
      <c r="L2219" t="inlineStr">
        <is>
          <t>Uppskattad volym är cirka 1250 ton.</t>
        </is>
      </c>
      <c r="M2219" t="inlineStr">
        <is>
          <t>SKA</t>
        </is>
      </c>
      <c r="N2219" t="inlineStr"/>
      <c r="O2219" t="inlineStr"/>
      <c r="P2219" t="inlineStr"/>
      <c r="Q2219" t="inlineStr"/>
      <c r="R2219" t="inlineStr">
        <is>
          <t>Alltid</t>
        </is>
      </c>
      <c r="S2219" t="inlineStr"/>
      <c r="T2219" t="inlineStr">
        <is>
          <t>945936</t>
        </is>
      </c>
      <c r="U2219" t="n">
        <v>1250</v>
      </c>
      <c r="V2219" t="inlineStr"/>
      <c r="W2219" t="inlineStr">
        <is>
          <t>Nej</t>
        </is>
      </c>
      <c r="X2219" t="inlineStr">
        <is>
          <t>Nej</t>
        </is>
      </c>
      <c r="Y2219" t="inlineStr">
        <is>
          <t>Nej</t>
        </is>
      </c>
      <c r="Z2219" t="inlineStr">
        <is>
          <t>Nej</t>
        </is>
      </c>
      <c r="AA2219" t="n">
        <v>4</v>
      </c>
      <c r="AB2219" t="inlineStr">
        <is>
          <t>Avfallsmangder och lagringstid</t>
        </is>
      </c>
      <c r="AC2219" t="inlineStr">
        <is>
          <t>Avfallsforteckning</t>
        </is>
      </c>
      <c r="AD2219" t="inlineStr">
        <is>
          <t>Nej</t>
        </is>
      </c>
      <c r="AE2219" t="inlineStr">
        <is>
          <t>Nej</t>
        </is>
      </c>
      <c r="AF2219" t="inlineStr">
        <is>
          <t>Ej behandlad</t>
        </is>
      </c>
      <c r="AG2219" t="inlineStr">
        <is>
          <t>AUTO_GENERERAD. Verifiera citat mot kallfil.</t>
        </is>
      </c>
      <c r="AH2219" t="inlineStr">
        <is>
          <t>LOW</t>
        </is>
      </c>
      <c r="AI2219" t="inlineStr">
        <is>
          <t>AUTO</t>
        </is>
      </c>
      <c r="AJ2219" t="inlineStr">
        <is>
          <t>Nej</t>
        </is>
      </c>
      <c r="AK2219" t="inlineStr"/>
      <c r="AL2219" t="inlineStr"/>
      <c r="AM2219" t="inlineStr"/>
      <c r="AN2219" t="inlineStr"/>
      <c r="AO2219" t="inlineStr">
        <is>
          <t>cmm4yund300kecuqwfso38qa5</t>
        </is>
      </c>
      <c r="AP2219" t="inlineStr">
        <is>
          <t>http://localhost:8787/api/admin/requirements/documents/cmm4yund300kecuqwfso38qa5/view</t>
        </is>
      </c>
      <c r="AQ2219">
        <f>HYPERLÄNK("http://localhost:8787/api/admin/requirements/documents/cmm4yund300kecuqwfso38qa5/view";"Öppna PDF")</f>
        <v/>
      </c>
      <c r="AR2219">
        <f>HYPERLINK("http://localhost:8787/api/admin/requirements/documents/cmm4yund300kecuqwfso38qa5/view","Open PDF")</f>
        <v/>
      </c>
      <c r="AS2219" t="inlineStr">
        <is>
          <t>cmm55w57p0004cuisfrtpqly8</t>
        </is>
      </c>
      <c r="AT2219" t="inlineStr">
        <is>
          <t>cmm4xvu980000cuh4vj0usz09</t>
        </is>
      </c>
      <c r="AU2219" t="inlineStr"/>
      <c r="AV2219" t="inlineStr">
        <is>
          <t>Kommun</t>
        </is>
      </c>
      <c r="AW2219" t="inlineStr"/>
      <c r="AX2219" t="inlineStr">
        <is>
          <t>2026-02</t>
        </is>
      </c>
      <c r="AY2219" t="inlineStr">
        <is>
          <t>Beslut</t>
        </is>
      </c>
      <c r="AZ2219" t="inlineStr">
        <is>
          <t>2026-02-03</t>
        </is>
      </c>
      <c r="BA2219" t="inlineStr">
        <is>
          <t>MIL20251805pdf_976430.pdf</t>
        </is>
      </c>
      <c r="BB2219" t="inlineStr">
        <is>
          <t>Begäran om allmän handling i ärende  MIL.2026.363</t>
        </is>
      </c>
      <c r="BC2219" t="inlineStr">
        <is>
          <t>AUTO</t>
        </is>
      </c>
      <c r="BD2219" t="inlineStr"/>
      <c r="BE2219" t="inlineStr"/>
      <c r="BF2219" t="inlineStr">
        <is>
          <t>AUTO_GENERERAD. Bekrafta metadata mot kallfil.</t>
        </is>
      </c>
      <c r="BG2219">
        <f>HYPERLINK("C:\Users\jimmy\Desktop\Examens arbete\Kod\Ny mapp\remix_-copy-of-miljöbeslut.se-portal\MIL20251805pdf_976430.pdf", "Öppna PDF")</f>
        <v/>
      </c>
    </row>
    <row r="2220">
      <c r="A2220" t="inlineStr">
        <is>
          <t>KRAV-AUTO-002219</t>
        </is>
      </c>
      <c r="B2220" t="inlineStr">
        <is>
          <t>ADMIN-INDEX-2026-02-27-00000000125C043F57453246863FE664CAFE6A3F0700950291EA24F0614FB6ACEDB12BF0E31D00000000010C0000950291EA24F0614FB6ACEDB12BF0E31D00002087B1A30000</t>
        </is>
      </c>
      <c r="C2220" t="inlineStr">
        <is>
          <t>cmm4yuncv00k5cuqwzqzxqt2i</t>
        </is>
      </c>
      <c r="D2220" t="inlineStr">
        <is>
          <t>http://localhost:8787/api/admin/requirements/documents/cmm4yuncv00k5cuqwzqzxqt2i/view</t>
        </is>
      </c>
      <c r="E2220">
        <f>HYPERLÄNK("http://localhost:8787/api/admin/requirements/documents/cmm4yuncv00k5cuqwzqzxqt2i/view";"Öppna PDF")</f>
        <v/>
      </c>
      <c r="F2220">
        <f>HYPERLINK("http://localhost:8787/api/admin/requirements/documents/cmm4yuncv00k5cuqwzqzxqt2i/view","Open PDF")</f>
        <v/>
      </c>
      <c r="G2220" t="inlineStr">
        <is>
          <t>cmm55w57p0004cuisfrtpqly8</t>
        </is>
      </c>
      <c r="H2220" t="inlineStr">
        <is>
          <t>Beslutsvillkor</t>
        </is>
      </c>
      <c r="I2220" t="inlineStr">
        <is>
          <t>Riskhantering</t>
        </is>
      </c>
      <c r="J2220" t="inlineStr">
        <is>
          <t>Riskkontroll</t>
        </is>
      </c>
      <c r="K2220" t="inlineStr">
        <is>
          <t>Täckning ska med hänsyn till risk för luktolägenhet göras i snar anslutning till uppläggning.</t>
        </is>
      </c>
      <c r="L2220" t="inlineStr">
        <is>
          <t>Täckning ska med hänsyn till risk för luktolägenhet göras i snar anslutning till uppläggning.</t>
        </is>
      </c>
      <c r="M2220" t="inlineStr">
        <is>
          <t>SKA</t>
        </is>
      </c>
      <c r="N2220" t="inlineStr"/>
      <c r="O2220" t="inlineStr"/>
      <c r="P2220" t="inlineStr"/>
      <c r="Q2220" t="inlineStr"/>
      <c r="R2220" t="inlineStr">
        <is>
          <t>Vid risk for incident</t>
        </is>
      </c>
      <c r="S2220" t="inlineStr"/>
      <c r="T2220" t="inlineStr">
        <is>
          <t>945936</t>
        </is>
      </c>
      <c r="U2220" t="inlineStr"/>
      <c r="V2220" t="inlineStr"/>
      <c r="W2220" t="inlineStr">
        <is>
          <t>Nej</t>
        </is>
      </c>
      <c r="X2220" t="inlineStr">
        <is>
          <t>Nej</t>
        </is>
      </c>
      <c r="Y2220" t="inlineStr">
        <is>
          <t>Ja</t>
        </is>
      </c>
      <c r="Z2220" t="inlineStr">
        <is>
          <t>Ja</t>
        </is>
      </c>
      <c r="AA2220" t="n">
        <v>8</v>
      </c>
      <c r="AB2220" t="inlineStr">
        <is>
          <t>Riskhantering</t>
        </is>
      </c>
      <c r="AC2220" t="inlineStr">
        <is>
          <t>Risk-PM</t>
        </is>
      </c>
      <c r="AD2220" t="inlineStr">
        <is>
          <t>Nej</t>
        </is>
      </c>
      <c r="AE2220" t="inlineStr">
        <is>
          <t>Nej</t>
        </is>
      </c>
      <c r="AF2220" t="inlineStr">
        <is>
          <t>Ej behandlad</t>
        </is>
      </c>
      <c r="AG2220" t="inlineStr">
        <is>
          <t>AUTO_GENERERAD. Verifiera citat mot kallfil.</t>
        </is>
      </c>
      <c r="AH2220" t="inlineStr">
        <is>
          <t>MEDIUM</t>
        </is>
      </c>
      <c r="AI2220" t="inlineStr">
        <is>
          <t>AUTO</t>
        </is>
      </c>
      <c r="AJ2220" t="inlineStr">
        <is>
          <t>Nej</t>
        </is>
      </c>
      <c r="AK2220" t="inlineStr"/>
      <c r="AL2220" t="inlineStr"/>
      <c r="AM2220" t="inlineStr"/>
      <c r="AN2220" t="inlineStr"/>
      <c r="AO2220" t="inlineStr">
        <is>
          <t>cmm4yund300kecuqwfso38qa5</t>
        </is>
      </c>
      <c r="AP2220" t="inlineStr">
        <is>
          <t>http://localhost:8787/api/admin/requirements/documents/cmm4yund300kecuqwfso38qa5/view</t>
        </is>
      </c>
      <c r="AQ2220">
        <f>HYPERLÄNK("http://localhost:8787/api/admin/requirements/documents/cmm4yund300kecuqwfso38qa5/view";"Öppna PDF")</f>
        <v/>
      </c>
      <c r="AR2220">
        <f>HYPERLINK("http://localhost:8787/api/admin/requirements/documents/cmm4yund300kecuqwfso38qa5/view","Open PDF")</f>
        <v/>
      </c>
      <c r="AS2220" t="inlineStr">
        <is>
          <t>cmm55w57p0004cuisfrtpqly8</t>
        </is>
      </c>
      <c r="AT2220" t="inlineStr">
        <is>
          <t>cmm4xvu980000cuh4vj0usz09</t>
        </is>
      </c>
      <c r="AU2220" t="inlineStr"/>
      <c r="AV2220" t="inlineStr">
        <is>
          <t>Kommun</t>
        </is>
      </c>
      <c r="AW2220" t="inlineStr"/>
      <c r="AX2220" t="inlineStr">
        <is>
          <t>2026-02</t>
        </is>
      </c>
      <c r="AY2220" t="inlineStr">
        <is>
          <t>Beslut</t>
        </is>
      </c>
      <c r="AZ2220" t="inlineStr">
        <is>
          <t>2026-02-03</t>
        </is>
      </c>
      <c r="BA2220" t="inlineStr">
        <is>
          <t>MIL20251805pdf_976430.pdf</t>
        </is>
      </c>
      <c r="BB2220" t="inlineStr">
        <is>
          <t>Begäran om allmän handling i ärende  MIL.2026.363</t>
        </is>
      </c>
      <c r="BC2220" t="inlineStr">
        <is>
          <t>AUTO</t>
        </is>
      </c>
      <c r="BD2220" t="inlineStr"/>
      <c r="BE2220" t="inlineStr"/>
      <c r="BF2220" t="inlineStr">
        <is>
          <t>AUTO_GENERERAD. Bekrafta metadata mot kallfil.</t>
        </is>
      </c>
      <c r="BG2220">
        <f>HYPERLINK("C:\Users\jimmy\Desktop\Examens arbete\Kod\Ny mapp\remix_-copy-of-miljöbeslut.se-portal\MIL20251805pdf_976430.pdf", "Öppna PDF")</f>
        <v/>
      </c>
    </row>
    <row r="2221">
      <c r="A2221" t="inlineStr">
        <is>
          <t>KRAV-AUTO-002220</t>
        </is>
      </c>
      <c r="B2221" t="inlineStr">
        <is>
          <t>ADMIN-INDEX-2026-02-27-00000000125C043F57453246863FE664CAFE6A3F0700950291EA24F0614FB6ACEDB12BF0E31D00000000010C0000950291EA24F0614FB6ACEDB12BF0E31D00002087B1A30000</t>
        </is>
      </c>
      <c r="C2221" t="inlineStr">
        <is>
          <t>cmm4yuncs00k2cuqwk9t5k26b</t>
        </is>
      </c>
      <c r="D2221" t="inlineStr">
        <is>
          <t>http://localhost:8787/api/admin/requirements/documents/cmm4yuncs00k2cuqwk9t5k26b/view</t>
        </is>
      </c>
      <c r="E2221">
        <f>HYPERLÄNK("http://localhost:8787/api/admin/requirements/documents/cmm4yuncs00k2cuqwk9t5k26b/view";"Öppna PDF")</f>
        <v/>
      </c>
      <c r="F2221">
        <f>HYPERLINK("http://localhost:8787/api/admin/requirements/documents/cmm4yuncs00k2cuqwk9t5k26b/view","Open PDF")</f>
        <v/>
      </c>
      <c r="G2221" t="inlineStr">
        <is>
          <t>cmm55w57p0004cuisfrtpqly8</t>
        </is>
      </c>
      <c r="H2221" t="inlineStr">
        <is>
          <t>Beslutsvillkor</t>
        </is>
      </c>
      <c r="I2221" t="inlineStr">
        <is>
          <t>DagvattenLakvatten</t>
        </is>
      </c>
      <c r="J2221" t="inlineStr">
        <is>
          <t>Uppsamling</t>
        </is>
      </c>
      <c r="K2221" t="inlineStr">
        <is>
          <t>Lagringen ska ske så att risken för uppkomst av lakvatten från rötslammet minimeras.</t>
        </is>
      </c>
      <c r="L2221" t="inlineStr">
        <is>
          <t>Lagringen ska ske så att risken för uppkomst av lakvatten från rötslammet minimeras.</t>
        </is>
      </c>
      <c r="M2221" t="inlineStr">
        <is>
          <t>SKA</t>
        </is>
      </c>
      <c r="N2221" t="inlineStr"/>
      <c r="O2221" t="inlineStr"/>
      <c r="P2221" t="inlineStr"/>
      <c r="Q2221" t="inlineStr"/>
      <c r="R2221" t="inlineStr">
        <is>
          <t>Vid nederbord och avrinning</t>
        </is>
      </c>
      <c r="S2221" t="inlineStr"/>
      <c r="T2221" t="inlineStr">
        <is>
          <t>928032</t>
        </is>
      </c>
      <c r="U2221" t="inlineStr"/>
      <c r="V2221" t="inlineStr"/>
      <c r="W2221" t="inlineStr">
        <is>
          <t>Nej</t>
        </is>
      </c>
      <c r="X2221" t="inlineStr">
        <is>
          <t>Ja</t>
        </is>
      </c>
      <c r="Y2221" t="inlineStr">
        <is>
          <t>Ja</t>
        </is>
      </c>
      <c r="Z2221" t="inlineStr">
        <is>
          <t>Nej</t>
        </is>
      </c>
      <c r="AA2221" t="n">
        <v>6</v>
      </c>
      <c r="AB2221" t="inlineStr">
        <is>
          <t>Lakvattenhantering</t>
        </is>
      </c>
      <c r="AC2221" t="inlineStr">
        <is>
          <t>Flodesschema dagvatten-lakvatten</t>
        </is>
      </c>
      <c r="AD2221" t="inlineStr">
        <is>
          <t>Nej</t>
        </is>
      </c>
      <c r="AE2221" t="inlineStr">
        <is>
          <t>Nej</t>
        </is>
      </c>
      <c r="AF2221" t="inlineStr">
        <is>
          <t>Ej behandlad</t>
        </is>
      </c>
      <c r="AG2221" t="inlineStr">
        <is>
          <t>AUTO_GENERERAD. Verifiera citat mot kallfil.</t>
        </is>
      </c>
      <c r="AH2221" t="inlineStr">
        <is>
          <t>MEDIUM</t>
        </is>
      </c>
      <c r="AI2221" t="inlineStr">
        <is>
          <t>AUTO</t>
        </is>
      </c>
      <c r="AJ2221" t="inlineStr">
        <is>
          <t>Nej</t>
        </is>
      </c>
      <c r="AK2221" t="inlineStr"/>
      <c r="AL2221" t="inlineStr"/>
      <c r="AM2221" t="inlineStr"/>
      <c r="AN2221" t="inlineStr"/>
      <c r="AO2221" t="inlineStr">
        <is>
          <t>cmm4yund300kecuqwfso38qa5</t>
        </is>
      </c>
      <c r="AP2221" t="inlineStr">
        <is>
          <t>http://localhost:8787/api/admin/requirements/documents/cmm4yund300kecuqwfso38qa5/view</t>
        </is>
      </c>
      <c r="AQ2221">
        <f>HYPERLÄNK("http://localhost:8787/api/admin/requirements/documents/cmm4yund300kecuqwfso38qa5/view";"Öppna PDF")</f>
        <v/>
      </c>
      <c r="AR2221">
        <f>HYPERLINK("http://localhost:8787/api/admin/requirements/documents/cmm4yund300kecuqwfso38qa5/view","Open PDF")</f>
        <v/>
      </c>
      <c r="AS2221" t="inlineStr">
        <is>
          <t>cmm55w57p0004cuisfrtpqly8</t>
        </is>
      </c>
      <c r="AT2221" t="inlineStr">
        <is>
          <t>cmm4xvu980000cuh4vj0usz09</t>
        </is>
      </c>
      <c r="AU2221" t="inlineStr"/>
      <c r="AV2221" t="inlineStr">
        <is>
          <t>Kommun</t>
        </is>
      </c>
      <c r="AW2221" t="inlineStr"/>
      <c r="AX2221" t="inlineStr">
        <is>
          <t>2026-02</t>
        </is>
      </c>
      <c r="AY2221" t="inlineStr">
        <is>
          <t>Beslut</t>
        </is>
      </c>
      <c r="AZ2221" t="inlineStr">
        <is>
          <t>2026-02-03</t>
        </is>
      </c>
      <c r="BA2221" t="inlineStr">
        <is>
          <t>MIL20251805pdf_976430.pdf</t>
        </is>
      </c>
      <c r="BB2221" t="inlineStr">
        <is>
          <t>Begäran om allmän handling i ärende  MIL.2026.363</t>
        </is>
      </c>
      <c r="BC2221" t="inlineStr">
        <is>
          <t>AUTO</t>
        </is>
      </c>
      <c r="BD2221" t="inlineStr"/>
      <c r="BE2221" t="inlineStr"/>
      <c r="BF2221" t="inlineStr">
        <is>
          <t>AUTO_GENERERAD. Bekrafta metadata mot kallfil.</t>
        </is>
      </c>
      <c r="BG2221">
        <f>HYPERLINK("C:\Users\jimmy\Desktop\Examens arbete\Kod\Ny mapp\remix_-copy-of-miljöbeslut.se-portal\MIL20251805pdf_976430.pdf", "Öppna PDF")</f>
        <v/>
      </c>
    </row>
    <row r="2222">
      <c r="A2222" t="inlineStr">
        <is>
          <t>KRAV-AUTO-002221</t>
        </is>
      </c>
      <c r="B2222" t="inlineStr">
        <is>
          <t>ADMIN-INDEX-2026-02-27-00000000125C043F57453246863FE664CAFE6A3F0700950291EA24F0614FB6ACEDB12BF0E31D00000000010C0000950291EA24F0614FB6ACEDB12BF0E31D00002087B1A30000</t>
        </is>
      </c>
      <c r="C2222" t="inlineStr">
        <is>
          <t>cmm4yuncs00k2cuqwk9t5k26b</t>
        </is>
      </c>
      <c r="D2222" t="inlineStr">
        <is>
          <t>http://localhost:8787/api/admin/requirements/documents/cmm4yuncs00k2cuqwk9t5k26b/view</t>
        </is>
      </c>
      <c r="E2222">
        <f>HYPERLÄNK("http://localhost:8787/api/admin/requirements/documents/cmm4yuncs00k2cuqwk9t5k26b/view";"Öppna PDF")</f>
        <v/>
      </c>
      <c r="F2222">
        <f>HYPERLINK("http://localhost:8787/api/admin/requirements/documents/cmm4yuncs00k2cuqwk9t5k26b/view","Open PDF")</f>
        <v/>
      </c>
      <c r="G2222" t="inlineStr">
        <is>
          <t>cmm55w57p0004cuisfrtpqly8</t>
        </is>
      </c>
      <c r="H2222" t="inlineStr">
        <is>
          <t>Beslutsvillkor</t>
        </is>
      </c>
      <c r="I2222" t="inlineStr">
        <is>
          <t>DriftEgenkontroll</t>
        </is>
      </c>
      <c r="J2222" t="inlineStr">
        <is>
          <t>Journalforing</t>
        </is>
      </c>
      <c r="K2222" t="inlineStr">
        <is>
          <t>Jordprovtagningskarta bifogas.</t>
        </is>
      </c>
      <c r="L2222" t="inlineStr">
        <is>
          <t>Jordprovtagningskarta bifogas.</t>
        </is>
      </c>
      <c r="M2222" t="inlineStr">
        <is>
          <t>SKA</t>
        </is>
      </c>
      <c r="N2222" t="inlineStr"/>
      <c r="O2222" t="inlineStr"/>
      <c r="P2222" t="inlineStr"/>
      <c r="Q2222" t="inlineStr"/>
      <c r="R2222" t="inlineStr">
        <is>
          <t>Lopande drift</t>
        </is>
      </c>
      <c r="S2222" t="inlineStr"/>
      <c r="T2222" t="inlineStr">
        <is>
          <t>928032</t>
        </is>
      </c>
      <c r="U2222" t="inlineStr"/>
      <c r="V2222" t="inlineStr"/>
      <c r="W2222" t="inlineStr">
        <is>
          <t>Nej</t>
        </is>
      </c>
      <c r="X2222" t="inlineStr">
        <is>
          <t>Nej</t>
        </is>
      </c>
      <c r="Y2222" t="inlineStr">
        <is>
          <t>Ja</t>
        </is>
      </c>
      <c r="Z2222" t="inlineStr">
        <is>
          <t>Nej</t>
        </is>
      </c>
      <c r="AA2222" t="n">
        <v>7</v>
      </c>
      <c r="AB2222" t="inlineStr">
        <is>
          <t>Egenkontrollrutiner</t>
        </is>
      </c>
      <c r="AC2222" t="inlineStr">
        <is>
          <t>Egenkontrollprogram</t>
        </is>
      </c>
      <c r="AD2222" t="inlineStr">
        <is>
          <t>Nej</t>
        </is>
      </c>
      <c r="AE2222" t="inlineStr">
        <is>
          <t>Nej</t>
        </is>
      </c>
      <c r="AF2222" t="inlineStr">
        <is>
          <t>Ej behandlad</t>
        </is>
      </c>
      <c r="AG2222" t="inlineStr">
        <is>
          <t>AUTO_GENERERAD. Verifiera citat mot kallfil.</t>
        </is>
      </c>
      <c r="AH2222" t="inlineStr">
        <is>
          <t>LOW</t>
        </is>
      </c>
      <c r="AI2222" t="inlineStr">
        <is>
          <t>AUTO</t>
        </is>
      </c>
      <c r="AJ2222" t="inlineStr">
        <is>
          <t>Nej</t>
        </is>
      </c>
      <c r="AK2222" t="inlineStr"/>
      <c r="AL2222" t="inlineStr"/>
      <c r="AM2222" t="inlineStr"/>
      <c r="AN2222" t="inlineStr"/>
      <c r="AO2222" t="inlineStr">
        <is>
          <t>cmm4yund300kecuqwfso38qa5</t>
        </is>
      </c>
      <c r="AP2222" t="inlineStr">
        <is>
          <t>http://localhost:8787/api/admin/requirements/documents/cmm4yund300kecuqwfso38qa5/view</t>
        </is>
      </c>
      <c r="AQ2222">
        <f>HYPERLÄNK("http://localhost:8787/api/admin/requirements/documents/cmm4yund300kecuqwfso38qa5/view";"Öppna PDF")</f>
        <v/>
      </c>
      <c r="AR2222">
        <f>HYPERLINK("http://localhost:8787/api/admin/requirements/documents/cmm4yund300kecuqwfso38qa5/view","Open PDF")</f>
        <v/>
      </c>
      <c r="AS2222" t="inlineStr">
        <is>
          <t>cmm55w57p0004cuisfrtpqly8</t>
        </is>
      </c>
      <c r="AT2222" t="inlineStr">
        <is>
          <t>cmm4xvu980000cuh4vj0usz09</t>
        </is>
      </c>
      <c r="AU2222" t="inlineStr"/>
      <c r="AV2222" t="inlineStr">
        <is>
          <t>Kommun</t>
        </is>
      </c>
      <c r="AW2222" t="inlineStr"/>
      <c r="AX2222" t="inlineStr">
        <is>
          <t>2026-02</t>
        </is>
      </c>
      <c r="AY2222" t="inlineStr">
        <is>
          <t>Beslut</t>
        </is>
      </c>
      <c r="AZ2222" t="inlineStr">
        <is>
          <t>2026-02-03</t>
        </is>
      </c>
      <c r="BA2222" t="inlineStr">
        <is>
          <t>MIL20251805pdf_976430.pdf</t>
        </is>
      </c>
      <c r="BB2222" t="inlineStr">
        <is>
          <t>Begäran om allmän handling i ärende  MIL.2026.363</t>
        </is>
      </c>
      <c r="BC2222" t="inlineStr">
        <is>
          <t>AUTO</t>
        </is>
      </c>
      <c r="BD2222" t="inlineStr"/>
      <c r="BE2222" t="inlineStr"/>
      <c r="BF2222" t="inlineStr">
        <is>
          <t>AUTO_GENERERAD. Bekrafta metadata mot kallfil.</t>
        </is>
      </c>
      <c r="BG2222">
        <f>HYPERLINK("C:\Users\jimmy\Desktop\Examens arbete\Kod\Ny mapp\remix_-copy-of-miljöbeslut.se-portal\MIL20251805pdf_976430.pdf", "Öppna PDF")</f>
        <v/>
      </c>
    </row>
    <row r="2223">
      <c r="A2223" t="inlineStr">
        <is>
          <t>KRAV-AUTO-002222</t>
        </is>
      </c>
      <c r="B2223" t="inlineStr">
        <is>
          <t>ADMIN-INDEX-2026-02-27-00000000125C043F57453246863FE664CAFE6A3F0700950291EA24F0614FB6ACEDB12BF0E31D00000000010C0000950291EA24F0614FB6ACEDB12BF0E31D00002087B1A30000</t>
        </is>
      </c>
      <c r="C2223" t="inlineStr">
        <is>
          <t>cmm4yuncs00k2cuqwk9t5k26b</t>
        </is>
      </c>
      <c r="D2223" t="inlineStr">
        <is>
          <t>http://localhost:8787/api/admin/requirements/documents/cmm4yuncs00k2cuqwk9t5k26b/view</t>
        </is>
      </c>
      <c r="E2223">
        <f>HYPERLÄNK("http://localhost:8787/api/admin/requirements/documents/cmm4yuncs00k2cuqwk9t5k26b/view";"Öppna PDF")</f>
        <v/>
      </c>
      <c r="F2223">
        <f>HYPERLINK("http://localhost:8787/api/admin/requirements/documents/cmm4yuncs00k2cuqwk9t5k26b/view","Open PDF")</f>
        <v/>
      </c>
      <c r="G2223" t="inlineStr">
        <is>
          <t>cmm55w57p0004cuisfrtpqly8</t>
        </is>
      </c>
      <c r="H2223" t="inlineStr">
        <is>
          <t>Beslutsvillkor</t>
        </is>
      </c>
      <c r="I2223" t="inlineStr">
        <is>
          <t>Riskhantering</t>
        </is>
      </c>
      <c r="J2223" t="inlineStr">
        <is>
          <t>Riskkontroll</t>
        </is>
      </c>
      <c r="K2223" t="inlineStr">
        <is>
          <t>Täckning ska med hänsyn till risk för luktolägenhet göras i snar anslutning till uppläggning.</t>
        </is>
      </c>
      <c r="L2223" t="inlineStr">
        <is>
          <t>Täckning ska med hänsyn till risk för luktolägenhet göras i snar anslutning till uppläggning.</t>
        </is>
      </c>
      <c r="M2223" t="inlineStr">
        <is>
          <t>SKA</t>
        </is>
      </c>
      <c r="N2223" t="inlineStr"/>
      <c r="O2223" t="inlineStr"/>
      <c r="P2223" t="inlineStr"/>
      <c r="Q2223" t="inlineStr"/>
      <c r="R2223" t="inlineStr">
        <is>
          <t>Vid risk for incident</t>
        </is>
      </c>
      <c r="S2223" t="inlineStr"/>
      <c r="T2223" t="inlineStr">
        <is>
          <t>928032</t>
        </is>
      </c>
      <c r="U2223" t="inlineStr"/>
      <c r="V2223" t="inlineStr"/>
      <c r="W2223" t="inlineStr">
        <is>
          <t>Nej</t>
        </is>
      </c>
      <c r="X2223" t="inlineStr">
        <is>
          <t>Nej</t>
        </is>
      </c>
      <c r="Y2223" t="inlineStr">
        <is>
          <t>Ja</t>
        </is>
      </c>
      <c r="Z2223" t="inlineStr">
        <is>
          <t>Ja</t>
        </is>
      </c>
      <c r="AA2223" t="n">
        <v>8</v>
      </c>
      <c r="AB2223" t="inlineStr">
        <is>
          <t>Riskhantering</t>
        </is>
      </c>
      <c r="AC2223" t="inlineStr">
        <is>
          <t>Risk-PM</t>
        </is>
      </c>
      <c r="AD2223" t="inlineStr">
        <is>
          <t>Nej</t>
        </is>
      </c>
      <c r="AE2223" t="inlineStr">
        <is>
          <t>Nej</t>
        </is>
      </c>
      <c r="AF2223" t="inlineStr">
        <is>
          <t>Ej behandlad</t>
        </is>
      </c>
      <c r="AG2223" t="inlineStr">
        <is>
          <t>AUTO_GENERERAD. Verifiera citat mot kallfil.</t>
        </is>
      </c>
      <c r="AH2223" t="inlineStr">
        <is>
          <t>MEDIUM</t>
        </is>
      </c>
      <c r="AI2223" t="inlineStr">
        <is>
          <t>AUTO</t>
        </is>
      </c>
      <c r="AJ2223" t="inlineStr">
        <is>
          <t>Nej</t>
        </is>
      </c>
      <c r="AK2223" t="inlineStr"/>
      <c r="AL2223" t="inlineStr"/>
      <c r="AM2223" t="inlineStr"/>
      <c r="AN2223" t="inlineStr"/>
      <c r="AO2223" t="inlineStr">
        <is>
          <t>cmm4yund300kecuqwfso38qa5</t>
        </is>
      </c>
      <c r="AP2223" t="inlineStr">
        <is>
          <t>http://localhost:8787/api/admin/requirements/documents/cmm4yund300kecuqwfso38qa5/view</t>
        </is>
      </c>
      <c r="AQ2223">
        <f>HYPERLÄNK("http://localhost:8787/api/admin/requirements/documents/cmm4yund300kecuqwfso38qa5/view";"Öppna PDF")</f>
        <v/>
      </c>
      <c r="AR2223">
        <f>HYPERLINK("http://localhost:8787/api/admin/requirements/documents/cmm4yund300kecuqwfso38qa5/view","Open PDF")</f>
        <v/>
      </c>
      <c r="AS2223" t="inlineStr">
        <is>
          <t>cmm55w57p0004cuisfrtpqly8</t>
        </is>
      </c>
      <c r="AT2223" t="inlineStr">
        <is>
          <t>cmm4xvu980000cuh4vj0usz09</t>
        </is>
      </c>
      <c r="AU2223" t="inlineStr"/>
      <c r="AV2223" t="inlineStr">
        <is>
          <t>Kommun</t>
        </is>
      </c>
      <c r="AW2223" t="inlineStr"/>
      <c r="AX2223" t="inlineStr">
        <is>
          <t>2026-02</t>
        </is>
      </c>
      <c r="AY2223" t="inlineStr">
        <is>
          <t>Beslut</t>
        </is>
      </c>
      <c r="AZ2223" t="inlineStr">
        <is>
          <t>2026-02-03</t>
        </is>
      </c>
      <c r="BA2223" t="inlineStr">
        <is>
          <t>MIL20251805pdf_976430.pdf</t>
        </is>
      </c>
      <c r="BB2223" t="inlineStr">
        <is>
          <t>Begäran om allmän handling i ärende  MIL.2026.363</t>
        </is>
      </c>
      <c r="BC2223" t="inlineStr">
        <is>
          <t>AUTO</t>
        </is>
      </c>
      <c r="BD2223" t="inlineStr"/>
      <c r="BE2223" t="inlineStr"/>
      <c r="BF2223" t="inlineStr">
        <is>
          <t>AUTO_GENERERAD. Bekrafta metadata mot kallfil.</t>
        </is>
      </c>
      <c r="BG2223">
        <f>HYPERLINK("C:\Users\jimmy\Desktop\Examens arbete\Kod\Ny mapp\remix_-copy-of-miljöbeslut.se-portal\MIL20251805pdf_976430.pdf", "Öppna PDF")</f>
        <v/>
      </c>
    </row>
    <row r="2224">
      <c r="A2224" t="inlineStr">
        <is>
          <t>KRAV-AUTO-002223</t>
        </is>
      </c>
      <c r="B2224" t="inlineStr">
        <is>
          <t>ADMIN-INDEX-2026-02-27-00000000125C043F57453246863FE664CAFE6A3F0700950291EA24F0614FB6ACEDB12BF0E31D00000000010C0000950291EA24F0614FB6ACEDB12BF0E31D00002087B1B00000</t>
        </is>
      </c>
      <c r="C2224" t="inlineStr">
        <is>
          <t>cmm4yuncm00jwcuqwryebpuil</t>
        </is>
      </c>
      <c r="D2224" t="inlineStr">
        <is>
          <t>http://localhost:8787/api/admin/requirements/documents/cmm4yuncm00jwcuqwryebpuil/view</t>
        </is>
      </c>
      <c r="E2224">
        <f>HYPERLÄNK("http://localhost:8787/api/admin/requirements/documents/cmm4yuncm00jwcuqwryebpuil/view";"Öppna PDF")</f>
        <v/>
      </c>
      <c r="F2224">
        <f>HYPERLINK("http://localhost:8787/api/admin/requirements/documents/cmm4yuncm00jwcuqwryebpuil/view","Open PDF")</f>
        <v/>
      </c>
      <c r="G2224" t="inlineStr">
        <is>
          <t>cmm55w57p0004cuisfrtpqly8</t>
        </is>
      </c>
      <c r="H2224" t="inlineStr">
        <is>
          <t>Beslutsvillkor</t>
        </is>
      </c>
      <c r="I2224" t="inlineStr">
        <is>
          <t>DagvattenLakvatten</t>
        </is>
      </c>
      <c r="J2224" t="inlineStr">
        <is>
          <t>Uppsamling</t>
        </is>
      </c>
      <c r="K2224" t="inlineStr">
        <is>
          <t>Lagringen ska ske så att risken för uppkomst av lakvatten från rötslammet minimeras.</t>
        </is>
      </c>
      <c r="L2224" t="inlineStr">
        <is>
          <t>Lagringen ska ske så att risken för uppkomst av lakvatten från rötslammet minimeras.</t>
        </is>
      </c>
      <c r="M2224" t="inlineStr">
        <is>
          <t>SKA</t>
        </is>
      </c>
      <c r="N2224" t="inlineStr"/>
      <c r="O2224" t="inlineStr"/>
      <c r="P2224" t="inlineStr"/>
      <c r="Q2224" t="inlineStr"/>
      <c r="R2224" t="inlineStr">
        <is>
          <t>Vid nederbord och avrinning</t>
        </is>
      </c>
      <c r="S2224" t="inlineStr"/>
      <c r="T2224" t="inlineStr">
        <is>
          <t>943960</t>
        </is>
      </c>
      <c r="U2224" t="inlineStr"/>
      <c r="V2224" t="inlineStr"/>
      <c r="W2224" t="inlineStr">
        <is>
          <t>Nej</t>
        </is>
      </c>
      <c r="X2224" t="inlineStr">
        <is>
          <t>Ja</t>
        </is>
      </c>
      <c r="Y2224" t="inlineStr">
        <is>
          <t>Ja</t>
        </is>
      </c>
      <c r="Z2224" t="inlineStr">
        <is>
          <t>Nej</t>
        </is>
      </c>
      <c r="AA2224" t="n">
        <v>6</v>
      </c>
      <c r="AB2224" t="inlineStr">
        <is>
          <t>Lakvattenhantering</t>
        </is>
      </c>
      <c r="AC2224" t="inlineStr">
        <is>
          <t>Flodesschema dagvatten-lakvatten</t>
        </is>
      </c>
      <c r="AD2224" t="inlineStr">
        <is>
          <t>Nej</t>
        </is>
      </c>
      <c r="AE2224" t="inlineStr">
        <is>
          <t>Nej</t>
        </is>
      </c>
      <c r="AF2224" t="inlineStr">
        <is>
          <t>Ej behandlad</t>
        </is>
      </c>
      <c r="AG2224" t="inlineStr">
        <is>
          <t>AUTO_GENERERAD. Verifiera citat mot kallfil.</t>
        </is>
      </c>
      <c r="AH2224" t="inlineStr">
        <is>
          <t>MEDIUM</t>
        </is>
      </c>
      <c r="AI2224" t="inlineStr">
        <is>
          <t>AUTO</t>
        </is>
      </c>
      <c r="AJ2224" t="inlineStr">
        <is>
          <t>Nej</t>
        </is>
      </c>
      <c r="AK2224" t="inlineStr"/>
      <c r="AL2224" t="inlineStr"/>
      <c r="AM2224" t="inlineStr"/>
      <c r="AN2224" t="inlineStr"/>
      <c r="AO2224" t="inlineStr">
        <is>
          <t>cmm4yuncm00jwcuqwryebpuil</t>
        </is>
      </c>
      <c r="AP2224" t="inlineStr">
        <is>
          <t>http://localhost:8787/api/admin/requirements/documents/cmm4yuncm00jwcuqwryebpuil/view</t>
        </is>
      </c>
      <c r="AQ2224">
        <f>HYPERLÄNK("http://localhost:8787/api/admin/requirements/documents/cmm4yuncm00jwcuqwryebpuil/view";"Öppna PDF")</f>
        <v/>
      </c>
      <c r="AR2224">
        <f>HYPERLINK("http://localhost:8787/api/admin/requirements/documents/cmm4yuncm00jwcuqwryebpuil/view","Open PDF")</f>
        <v/>
      </c>
      <c r="AS2224" t="inlineStr">
        <is>
          <t>cmm55w57p0004cuisfrtpqly8</t>
        </is>
      </c>
      <c r="AT2224" t="inlineStr">
        <is>
          <t>cmm4xvu980000cuh4vj0usz09</t>
        </is>
      </c>
      <c r="AU2224" t="inlineStr"/>
      <c r="AV2224" t="inlineStr">
        <is>
          <t>Kommun</t>
        </is>
      </c>
      <c r="AW2224" t="inlineStr"/>
      <c r="AX2224" t="inlineStr">
        <is>
          <t>2026-02</t>
        </is>
      </c>
      <c r="AY2224" t="inlineStr">
        <is>
          <t>Beslut</t>
        </is>
      </c>
      <c r="AZ2224" t="inlineStr">
        <is>
          <t>2026-02-03</t>
        </is>
      </c>
      <c r="BA2224" t="inlineStr">
        <is>
          <t>MIL20251366pdf_976418.pdf</t>
        </is>
      </c>
      <c r="BB2224" t="inlineStr">
        <is>
          <t>Begäran om allmän handling i ärende  MIL.2026.363</t>
        </is>
      </c>
      <c r="BC2224" t="inlineStr">
        <is>
          <t>AUTO</t>
        </is>
      </c>
      <c r="BD2224" t="inlineStr"/>
      <c r="BE2224" t="inlineStr"/>
      <c r="BF2224" t="inlineStr">
        <is>
          <t>AUTO_GENERERAD. Bekrafta metadata mot kallfil.</t>
        </is>
      </c>
      <c r="BG2224">
        <f>HYPERLINK("C:\Users\jimmy\Desktop\Examens arbete\Kod\Ny mapp\remix_-copy-of-miljöbeslut.se-portal\MIL20251366pdf_976418.pdf", "Öppna PDF")</f>
        <v/>
      </c>
    </row>
    <row r="2225">
      <c r="A2225" t="inlineStr">
        <is>
          <t>KRAV-AUTO-002224</t>
        </is>
      </c>
      <c r="B2225" t="inlineStr">
        <is>
          <t>ADMIN-INDEX-2026-02-27-00000000125C043F57453246863FE664CAFE6A3F0700950291EA24F0614FB6ACEDB12BF0E31D00000000010C0000950291EA24F0614FB6ACEDB12BF0E31D00002087B1B00000</t>
        </is>
      </c>
      <c r="C2225" t="inlineStr">
        <is>
          <t>cmm4yuncm00jwcuqwryebpuil</t>
        </is>
      </c>
      <c r="D2225" t="inlineStr">
        <is>
          <t>http://localhost:8787/api/admin/requirements/documents/cmm4yuncm00jwcuqwryebpuil/view</t>
        </is>
      </c>
      <c r="E2225">
        <f>HYPERLÄNK("http://localhost:8787/api/admin/requirements/documents/cmm4yuncm00jwcuqwryebpuil/view";"Öppna PDF")</f>
        <v/>
      </c>
      <c r="F2225">
        <f>HYPERLINK("http://localhost:8787/api/admin/requirements/documents/cmm4yuncm00jwcuqwryebpuil/view","Open PDF")</f>
        <v/>
      </c>
      <c r="G2225" t="inlineStr">
        <is>
          <t>cmm55w57p0004cuisfrtpqly8</t>
        </is>
      </c>
      <c r="H2225" t="inlineStr">
        <is>
          <t>Beslutsvillkor</t>
        </is>
      </c>
      <c r="I2225" t="inlineStr">
        <is>
          <t>DriftEgenkontroll</t>
        </is>
      </c>
      <c r="J2225" t="inlineStr">
        <is>
          <t>Journalforing</t>
        </is>
      </c>
      <c r="K2225" t="inlineStr">
        <is>
          <t>Jordprovtagningskarta bifogas.</t>
        </is>
      </c>
      <c r="L2225" t="inlineStr">
        <is>
          <t>Jordprovtagningskarta bifogas.</t>
        </is>
      </c>
      <c r="M2225" t="inlineStr">
        <is>
          <t>SKA</t>
        </is>
      </c>
      <c r="N2225" t="inlineStr"/>
      <c r="O2225" t="inlineStr"/>
      <c r="P2225" t="inlineStr"/>
      <c r="Q2225" t="inlineStr"/>
      <c r="R2225" t="inlineStr">
        <is>
          <t>Lopande drift</t>
        </is>
      </c>
      <c r="S2225" t="inlineStr"/>
      <c r="T2225" t="inlineStr">
        <is>
          <t>943960</t>
        </is>
      </c>
      <c r="U2225" t="inlineStr"/>
      <c r="V2225" t="inlineStr"/>
      <c r="W2225" t="inlineStr">
        <is>
          <t>Nej</t>
        </is>
      </c>
      <c r="X2225" t="inlineStr">
        <is>
          <t>Nej</t>
        </is>
      </c>
      <c r="Y2225" t="inlineStr">
        <is>
          <t>Ja</t>
        </is>
      </c>
      <c r="Z2225" t="inlineStr">
        <is>
          <t>Nej</t>
        </is>
      </c>
      <c r="AA2225" t="n">
        <v>7</v>
      </c>
      <c r="AB2225" t="inlineStr">
        <is>
          <t>Egenkontrollrutiner</t>
        </is>
      </c>
      <c r="AC2225" t="inlineStr">
        <is>
          <t>Egenkontrollprogram</t>
        </is>
      </c>
      <c r="AD2225" t="inlineStr">
        <is>
          <t>Nej</t>
        </is>
      </c>
      <c r="AE2225" t="inlineStr">
        <is>
          <t>Nej</t>
        </is>
      </c>
      <c r="AF2225" t="inlineStr">
        <is>
          <t>Ej behandlad</t>
        </is>
      </c>
      <c r="AG2225" t="inlineStr">
        <is>
          <t>AUTO_GENERERAD. Verifiera citat mot kallfil.</t>
        </is>
      </c>
      <c r="AH2225" t="inlineStr">
        <is>
          <t>LOW</t>
        </is>
      </c>
      <c r="AI2225" t="inlineStr">
        <is>
          <t>AUTO</t>
        </is>
      </c>
      <c r="AJ2225" t="inlineStr">
        <is>
          <t>Nej</t>
        </is>
      </c>
      <c r="AK2225" t="inlineStr"/>
      <c r="AL2225" t="inlineStr"/>
      <c r="AM2225" t="inlineStr"/>
      <c r="AN2225" t="inlineStr"/>
      <c r="AO2225" t="inlineStr">
        <is>
          <t>cmm4yuncm00jwcuqwryebpuil</t>
        </is>
      </c>
      <c r="AP2225" t="inlineStr">
        <is>
          <t>http://localhost:8787/api/admin/requirements/documents/cmm4yuncm00jwcuqwryebpuil/view</t>
        </is>
      </c>
      <c r="AQ2225">
        <f>HYPERLÄNK("http://localhost:8787/api/admin/requirements/documents/cmm4yuncm00jwcuqwryebpuil/view";"Öppna PDF")</f>
        <v/>
      </c>
      <c r="AR2225">
        <f>HYPERLINK("http://localhost:8787/api/admin/requirements/documents/cmm4yuncm00jwcuqwryebpuil/view","Open PDF")</f>
        <v/>
      </c>
      <c r="AS2225" t="inlineStr">
        <is>
          <t>cmm55w57p0004cuisfrtpqly8</t>
        </is>
      </c>
      <c r="AT2225" t="inlineStr">
        <is>
          <t>cmm4xvu980000cuh4vj0usz09</t>
        </is>
      </c>
      <c r="AU2225" t="inlineStr"/>
      <c r="AV2225" t="inlineStr">
        <is>
          <t>Kommun</t>
        </is>
      </c>
      <c r="AW2225" t="inlineStr"/>
      <c r="AX2225" t="inlineStr">
        <is>
          <t>2026-02</t>
        </is>
      </c>
      <c r="AY2225" t="inlineStr">
        <is>
          <t>Beslut</t>
        </is>
      </c>
      <c r="AZ2225" t="inlineStr">
        <is>
          <t>2026-02-03</t>
        </is>
      </c>
      <c r="BA2225" t="inlineStr">
        <is>
          <t>MIL20251366pdf_976418.pdf</t>
        </is>
      </c>
      <c r="BB2225" t="inlineStr">
        <is>
          <t>Begäran om allmän handling i ärende  MIL.2026.363</t>
        </is>
      </c>
      <c r="BC2225" t="inlineStr">
        <is>
          <t>AUTO</t>
        </is>
      </c>
      <c r="BD2225" t="inlineStr"/>
      <c r="BE2225" t="inlineStr"/>
      <c r="BF2225" t="inlineStr">
        <is>
          <t>AUTO_GENERERAD. Bekrafta metadata mot kallfil.</t>
        </is>
      </c>
      <c r="BG2225">
        <f>HYPERLINK("C:\Users\jimmy\Desktop\Examens arbete\Kod\Ny mapp\remix_-copy-of-miljöbeslut.se-portal\MIL20251366pdf_976418.pdf", "Öppna PDF")</f>
        <v/>
      </c>
    </row>
    <row r="2226">
      <c r="A2226" t="inlineStr">
        <is>
          <t>KRAV-AUTO-002225</t>
        </is>
      </c>
      <c r="B2226" t="inlineStr">
        <is>
          <t>ADMIN-INDEX-2026-02-27-00000000125C043F57453246863FE664CAFE6A3F0700950291EA24F0614FB6ACEDB12BF0E31D00000000010C0000950291EA24F0614FB6ACEDB12BF0E31D00002087B1B00000</t>
        </is>
      </c>
      <c r="C2226" t="inlineStr">
        <is>
          <t>cmm4yuncm00jwcuqwryebpuil</t>
        </is>
      </c>
      <c r="D2226" t="inlineStr">
        <is>
          <t>http://localhost:8787/api/admin/requirements/documents/cmm4yuncm00jwcuqwryebpuil/view</t>
        </is>
      </c>
      <c r="E2226">
        <f>HYPERLÄNK("http://localhost:8787/api/admin/requirements/documents/cmm4yuncm00jwcuqwryebpuil/view";"Öppna PDF")</f>
        <v/>
      </c>
      <c r="F2226">
        <f>HYPERLINK("http://localhost:8787/api/admin/requirements/documents/cmm4yuncm00jwcuqwryebpuil/view","Open PDF")</f>
        <v/>
      </c>
      <c r="G2226" t="inlineStr">
        <is>
          <t>cmm55w57p0004cuisfrtpqly8</t>
        </is>
      </c>
      <c r="H2226" t="inlineStr">
        <is>
          <t>Beslutsvillkor</t>
        </is>
      </c>
      <c r="I2226" t="inlineStr">
        <is>
          <t>Riskhantering</t>
        </is>
      </c>
      <c r="J2226" t="inlineStr">
        <is>
          <t>Riskkontroll</t>
        </is>
      </c>
      <c r="K2226" t="inlineStr">
        <is>
          <t>Täckning ska med hänsyn till risk för luktolägenhet göras i snar anslutning till uppläggning.</t>
        </is>
      </c>
      <c r="L2226" t="inlineStr">
        <is>
          <t>Täckning ska med hänsyn till risk för luktolägenhet göras i snar anslutning till uppläggning.</t>
        </is>
      </c>
      <c r="M2226" t="inlineStr">
        <is>
          <t>SKA</t>
        </is>
      </c>
      <c r="N2226" t="inlineStr"/>
      <c r="O2226" t="inlineStr"/>
      <c r="P2226" t="inlineStr"/>
      <c r="Q2226" t="inlineStr"/>
      <c r="R2226" t="inlineStr">
        <is>
          <t>Vid risk for incident</t>
        </is>
      </c>
      <c r="S2226" t="inlineStr"/>
      <c r="T2226" t="inlineStr">
        <is>
          <t>943960</t>
        </is>
      </c>
      <c r="U2226" t="inlineStr"/>
      <c r="V2226" t="inlineStr"/>
      <c r="W2226" t="inlineStr">
        <is>
          <t>Nej</t>
        </is>
      </c>
      <c r="X2226" t="inlineStr">
        <is>
          <t>Nej</t>
        </is>
      </c>
      <c r="Y2226" t="inlineStr">
        <is>
          <t>Ja</t>
        </is>
      </c>
      <c r="Z2226" t="inlineStr">
        <is>
          <t>Ja</t>
        </is>
      </c>
      <c r="AA2226" t="n">
        <v>8</v>
      </c>
      <c r="AB2226" t="inlineStr">
        <is>
          <t>Riskhantering</t>
        </is>
      </c>
      <c r="AC2226" t="inlineStr">
        <is>
          <t>Risk-PM</t>
        </is>
      </c>
      <c r="AD2226" t="inlineStr">
        <is>
          <t>Nej</t>
        </is>
      </c>
      <c r="AE2226" t="inlineStr">
        <is>
          <t>Nej</t>
        </is>
      </c>
      <c r="AF2226" t="inlineStr">
        <is>
          <t>Ej behandlad</t>
        </is>
      </c>
      <c r="AG2226" t="inlineStr">
        <is>
          <t>AUTO_GENERERAD. Verifiera citat mot kallfil.</t>
        </is>
      </c>
      <c r="AH2226" t="inlineStr">
        <is>
          <t>MEDIUM</t>
        </is>
      </c>
      <c r="AI2226" t="inlineStr">
        <is>
          <t>AUTO</t>
        </is>
      </c>
      <c r="AJ2226" t="inlineStr">
        <is>
          <t>Nej</t>
        </is>
      </c>
      <c r="AK2226" t="inlineStr"/>
      <c r="AL2226" t="inlineStr"/>
      <c r="AM2226" t="inlineStr"/>
      <c r="AN2226" t="inlineStr"/>
      <c r="AO2226" t="inlineStr">
        <is>
          <t>cmm4yuncm00jwcuqwryebpuil</t>
        </is>
      </c>
      <c r="AP2226" t="inlineStr">
        <is>
          <t>http://localhost:8787/api/admin/requirements/documents/cmm4yuncm00jwcuqwryebpuil/view</t>
        </is>
      </c>
      <c r="AQ2226">
        <f>HYPERLÄNK("http://localhost:8787/api/admin/requirements/documents/cmm4yuncm00jwcuqwryebpuil/view";"Öppna PDF")</f>
        <v/>
      </c>
      <c r="AR2226">
        <f>HYPERLINK("http://localhost:8787/api/admin/requirements/documents/cmm4yuncm00jwcuqwryebpuil/view","Open PDF")</f>
        <v/>
      </c>
      <c r="AS2226" t="inlineStr">
        <is>
          <t>cmm55w57p0004cuisfrtpqly8</t>
        </is>
      </c>
      <c r="AT2226" t="inlineStr">
        <is>
          <t>cmm4xvu980000cuh4vj0usz09</t>
        </is>
      </c>
      <c r="AU2226" t="inlineStr"/>
      <c r="AV2226" t="inlineStr">
        <is>
          <t>Kommun</t>
        </is>
      </c>
      <c r="AW2226" t="inlineStr"/>
      <c r="AX2226" t="inlineStr">
        <is>
          <t>2026-02</t>
        </is>
      </c>
      <c r="AY2226" t="inlineStr">
        <is>
          <t>Beslut</t>
        </is>
      </c>
      <c r="AZ2226" t="inlineStr">
        <is>
          <t>2026-02-03</t>
        </is>
      </c>
      <c r="BA2226" t="inlineStr">
        <is>
          <t>MIL20251366pdf_976418.pdf</t>
        </is>
      </c>
      <c r="BB2226" t="inlineStr">
        <is>
          <t>Begäran om allmän handling i ärende  MIL.2026.363</t>
        </is>
      </c>
      <c r="BC2226" t="inlineStr">
        <is>
          <t>AUTO</t>
        </is>
      </c>
      <c r="BD2226" t="inlineStr"/>
      <c r="BE2226" t="inlineStr"/>
      <c r="BF2226" t="inlineStr">
        <is>
          <t>AUTO_GENERERAD. Bekrafta metadata mot kallfil.</t>
        </is>
      </c>
      <c r="BG2226">
        <f>HYPERLINK("C:\Users\jimmy\Desktop\Examens arbete\Kod\Ny mapp\remix_-copy-of-miljöbeslut.se-portal\MIL20251366pdf_976418.pdf", "Öppna PDF")</f>
        <v/>
      </c>
    </row>
    <row r="2227">
      <c r="A2227" t="inlineStr">
        <is>
          <t>KRAV-AUTO-002226</t>
        </is>
      </c>
      <c r="B2227" t="inlineStr">
        <is>
          <t>ADMIN-INDEX-2026-02-27-00000000125C043F57453246863FE664CAFE6A3F0700950291EA24F0614FB6ACEDB12BF0E31D00000000010C0000950291EA24F0614FB6ACEDB12BF0E31D00002087B1B00000</t>
        </is>
      </c>
      <c r="C2227" t="inlineStr">
        <is>
          <t>cmm4yuncj00jtcuqwbz4bknzi</t>
        </is>
      </c>
      <c r="D2227" t="inlineStr">
        <is>
          <t>http://localhost:8787/api/admin/requirements/documents/cmm4yuncj00jtcuqwbz4bknzi/view</t>
        </is>
      </c>
      <c r="E2227">
        <f>HYPERLÄNK("http://localhost:8787/api/admin/requirements/documents/cmm4yuncj00jtcuqwbz4bknzi/view";"Öppna PDF")</f>
        <v/>
      </c>
      <c r="F2227">
        <f>HYPERLINK("http://localhost:8787/api/admin/requirements/documents/cmm4yuncj00jtcuqwbz4bknzi/view","Open PDF")</f>
        <v/>
      </c>
      <c r="G2227" t="inlineStr">
        <is>
          <t>cmm55w57p0004cuisfrtpqly8</t>
        </is>
      </c>
      <c r="H2227" t="inlineStr">
        <is>
          <t>Beslutsvillkor</t>
        </is>
      </c>
      <c r="I2227" t="inlineStr">
        <is>
          <t>DagvattenLakvatten</t>
        </is>
      </c>
      <c r="J2227" t="inlineStr">
        <is>
          <t>Uppsamling</t>
        </is>
      </c>
      <c r="K2227" t="inlineStr">
        <is>
          <t>Lagringen ska ske så att risken för uppkomst av lakvatten från rötslammet minimeras.</t>
        </is>
      </c>
      <c r="L2227" t="inlineStr">
        <is>
          <t>Lagringen ska ske så att risken för uppkomst av lakvatten från rötslammet minimeras.</t>
        </is>
      </c>
      <c r="M2227" t="inlineStr">
        <is>
          <t>SKA</t>
        </is>
      </c>
      <c r="N2227" t="inlineStr"/>
      <c r="O2227" t="inlineStr"/>
      <c r="P2227" t="inlineStr"/>
      <c r="Q2227" t="inlineStr"/>
      <c r="R2227" t="inlineStr">
        <is>
          <t>Vid nederbord och avrinning</t>
        </is>
      </c>
      <c r="S2227" t="inlineStr"/>
      <c r="T2227" t="inlineStr">
        <is>
          <t>942036</t>
        </is>
      </c>
      <c r="U2227" t="inlineStr"/>
      <c r="V2227" t="inlineStr"/>
      <c r="W2227" t="inlineStr">
        <is>
          <t>Nej</t>
        </is>
      </c>
      <c r="X2227" t="inlineStr">
        <is>
          <t>Ja</t>
        </is>
      </c>
      <c r="Y2227" t="inlineStr">
        <is>
          <t>Ja</t>
        </is>
      </c>
      <c r="Z2227" t="inlineStr">
        <is>
          <t>Nej</t>
        </is>
      </c>
      <c r="AA2227" t="n">
        <v>6</v>
      </c>
      <c r="AB2227" t="inlineStr">
        <is>
          <t>Lakvattenhantering</t>
        </is>
      </c>
      <c r="AC2227" t="inlineStr">
        <is>
          <t>Flodesschema dagvatten-lakvatten</t>
        </is>
      </c>
      <c r="AD2227" t="inlineStr">
        <is>
          <t>Nej</t>
        </is>
      </c>
      <c r="AE2227" t="inlineStr">
        <is>
          <t>Nej</t>
        </is>
      </c>
      <c r="AF2227" t="inlineStr">
        <is>
          <t>Ej behandlad</t>
        </is>
      </c>
      <c r="AG2227" t="inlineStr">
        <is>
          <t>AUTO_GENERERAD. Verifiera citat mot kallfil.</t>
        </is>
      </c>
      <c r="AH2227" t="inlineStr">
        <is>
          <t>MEDIUM</t>
        </is>
      </c>
      <c r="AI2227" t="inlineStr">
        <is>
          <t>AUTO</t>
        </is>
      </c>
      <c r="AJ2227" t="inlineStr">
        <is>
          <t>Nej</t>
        </is>
      </c>
      <c r="AK2227" t="inlineStr"/>
      <c r="AL2227" t="inlineStr"/>
      <c r="AM2227" t="inlineStr"/>
      <c r="AN2227" t="inlineStr"/>
      <c r="AO2227" t="inlineStr">
        <is>
          <t>cmm4yuncm00jwcuqwryebpuil</t>
        </is>
      </c>
      <c r="AP2227" t="inlineStr">
        <is>
          <t>http://localhost:8787/api/admin/requirements/documents/cmm4yuncm00jwcuqwryebpuil/view</t>
        </is>
      </c>
      <c r="AQ2227">
        <f>HYPERLÄNK("http://localhost:8787/api/admin/requirements/documents/cmm4yuncm00jwcuqwryebpuil/view";"Öppna PDF")</f>
        <v/>
      </c>
      <c r="AR2227">
        <f>HYPERLINK("http://localhost:8787/api/admin/requirements/documents/cmm4yuncm00jwcuqwryebpuil/view","Open PDF")</f>
        <v/>
      </c>
      <c r="AS2227" t="inlineStr">
        <is>
          <t>cmm55w57p0004cuisfrtpqly8</t>
        </is>
      </c>
      <c r="AT2227" t="inlineStr">
        <is>
          <t>cmm4xvu980000cuh4vj0usz09</t>
        </is>
      </c>
      <c r="AU2227" t="inlineStr"/>
      <c r="AV2227" t="inlineStr">
        <is>
          <t>Kommun</t>
        </is>
      </c>
      <c r="AW2227" t="inlineStr"/>
      <c r="AX2227" t="inlineStr">
        <is>
          <t>2026-02</t>
        </is>
      </c>
      <c r="AY2227" t="inlineStr">
        <is>
          <t>Beslut</t>
        </is>
      </c>
      <c r="AZ2227" t="inlineStr">
        <is>
          <t>2026-02-03</t>
        </is>
      </c>
      <c r="BA2227" t="inlineStr">
        <is>
          <t>MIL20251366pdf_976418.pdf</t>
        </is>
      </c>
      <c r="BB2227" t="inlineStr">
        <is>
          <t>Begäran om allmän handling i ärende  MIL.2026.363</t>
        </is>
      </c>
      <c r="BC2227" t="inlineStr">
        <is>
          <t>AUTO</t>
        </is>
      </c>
      <c r="BD2227" t="inlineStr"/>
      <c r="BE2227" t="inlineStr"/>
      <c r="BF2227" t="inlineStr">
        <is>
          <t>AUTO_GENERERAD. Bekrafta metadata mot kallfil.</t>
        </is>
      </c>
      <c r="BG2227">
        <f>HYPERLINK("C:\Users\jimmy\Desktop\Examens arbete\Kod\Ny mapp\remix_-copy-of-miljöbeslut.se-portal\MIL20251366pdf_976418.pdf", "Öppna PDF")</f>
        <v/>
      </c>
    </row>
    <row r="2228">
      <c r="A2228" t="inlineStr">
        <is>
          <t>KRAV-AUTO-002227</t>
        </is>
      </c>
      <c r="B2228" t="inlineStr">
        <is>
          <t>ADMIN-INDEX-2026-02-27-00000000125C043F57453246863FE664CAFE6A3F0700950291EA24F0614FB6ACEDB12BF0E31D00000000010C0000950291EA24F0614FB6ACEDB12BF0E31D00002087B1B00000</t>
        </is>
      </c>
      <c r="C2228" t="inlineStr">
        <is>
          <t>cmm4yuncj00jtcuqwbz4bknzi</t>
        </is>
      </c>
      <c r="D2228" t="inlineStr">
        <is>
          <t>http://localhost:8787/api/admin/requirements/documents/cmm4yuncj00jtcuqwbz4bknzi/view</t>
        </is>
      </c>
      <c r="E2228">
        <f>HYPERLÄNK("http://localhost:8787/api/admin/requirements/documents/cmm4yuncj00jtcuqwbz4bknzi/view";"Öppna PDF")</f>
        <v/>
      </c>
      <c r="F2228">
        <f>HYPERLINK("http://localhost:8787/api/admin/requirements/documents/cmm4yuncj00jtcuqwbz4bknzi/view","Open PDF")</f>
        <v/>
      </c>
      <c r="G2228" t="inlineStr">
        <is>
          <t>cmm55w57p0004cuisfrtpqly8</t>
        </is>
      </c>
      <c r="H2228" t="inlineStr">
        <is>
          <t>Beslutsvillkor</t>
        </is>
      </c>
      <c r="I2228" t="inlineStr">
        <is>
          <t>DriftEgenkontroll</t>
        </is>
      </c>
      <c r="J2228" t="inlineStr">
        <is>
          <t>Journalforing</t>
        </is>
      </c>
      <c r="K2228" t="inlineStr">
        <is>
          <t>Jordprovtagningskarta bifogas.</t>
        </is>
      </c>
      <c r="L2228" t="inlineStr">
        <is>
          <t>Jordprovtagningskarta bifogas.</t>
        </is>
      </c>
      <c r="M2228" t="inlineStr">
        <is>
          <t>SKA</t>
        </is>
      </c>
      <c r="N2228" t="inlineStr"/>
      <c r="O2228" t="inlineStr"/>
      <c r="P2228" t="inlineStr"/>
      <c r="Q2228" t="inlineStr"/>
      <c r="R2228" t="inlineStr">
        <is>
          <t>Lopande drift</t>
        </is>
      </c>
      <c r="S2228" t="inlineStr"/>
      <c r="T2228" t="inlineStr">
        <is>
          <t>942036</t>
        </is>
      </c>
      <c r="U2228" t="inlineStr"/>
      <c r="V2228" t="inlineStr"/>
      <c r="W2228" t="inlineStr">
        <is>
          <t>Nej</t>
        </is>
      </c>
      <c r="X2228" t="inlineStr">
        <is>
          <t>Nej</t>
        </is>
      </c>
      <c r="Y2228" t="inlineStr">
        <is>
          <t>Ja</t>
        </is>
      </c>
      <c r="Z2228" t="inlineStr">
        <is>
          <t>Nej</t>
        </is>
      </c>
      <c r="AA2228" t="n">
        <v>7</v>
      </c>
      <c r="AB2228" t="inlineStr">
        <is>
          <t>Egenkontrollrutiner</t>
        </is>
      </c>
      <c r="AC2228" t="inlineStr">
        <is>
          <t>Egenkontrollprogram</t>
        </is>
      </c>
      <c r="AD2228" t="inlineStr">
        <is>
          <t>Nej</t>
        </is>
      </c>
      <c r="AE2228" t="inlineStr">
        <is>
          <t>Nej</t>
        </is>
      </c>
      <c r="AF2228" t="inlineStr">
        <is>
          <t>Ej behandlad</t>
        </is>
      </c>
      <c r="AG2228" t="inlineStr">
        <is>
          <t>AUTO_GENERERAD. Verifiera citat mot kallfil.</t>
        </is>
      </c>
      <c r="AH2228" t="inlineStr">
        <is>
          <t>LOW</t>
        </is>
      </c>
      <c r="AI2228" t="inlineStr">
        <is>
          <t>AUTO</t>
        </is>
      </c>
      <c r="AJ2228" t="inlineStr">
        <is>
          <t>Nej</t>
        </is>
      </c>
      <c r="AK2228" t="inlineStr"/>
      <c r="AL2228" t="inlineStr"/>
      <c r="AM2228" t="inlineStr"/>
      <c r="AN2228" t="inlineStr"/>
      <c r="AO2228" t="inlineStr">
        <is>
          <t>cmm4yuncm00jwcuqwryebpuil</t>
        </is>
      </c>
      <c r="AP2228" t="inlineStr">
        <is>
          <t>http://localhost:8787/api/admin/requirements/documents/cmm4yuncm00jwcuqwryebpuil/view</t>
        </is>
      </c>
      <c r="AQ2228">
        <f>HYPERLÄNK("http://localhost:8787/api/admin/requirements/documents/cmm4yuncm00jwcuqwryebpuil/view";"Öppna PDF")</f>
        <v/>
      </c>
      <c r="AR2228">
        <f>HYPERLINK("http://localhost:8787/api/admin/requirements/documents/cmm4yuncm00jwcuqwryebpuil/view","Open PDF")</f>
        <v/>
      </c>
      <c r="AS2228" t="inlineStr">
        <is>
          <t>cmm55w57p0004cuisfrtpqly8</t>
        </is>
      </c>
      <c r="AT2228" t="inlineStr">
        <is>
          <t>cmm4xvu980000cuh4vj0usz09</t>
        </is>
      </c>
      <c r="AU2228" t="inlineStr"/>
      <c r="AV2228" t="inlineStr">
        <is>
          <t>Kommun</t>
        </is>
      </c>
      <c r="AW2228" t="inlineStr"/>
      <c r="AX2228" t="inlineStr">
        <is>
          <t>2026-02</t>
        </is>
      </c>
      <c r="AY2228" t="inlineStr">
        <is>
          <t>Beslut</t>
        </is>
      </c>
      <c r="AZ2228" t="inlineStr">
        <is>
          <t>2026-02-03</t>
        </is>
      </c>
      <c r="BA2228" t="inlineStr">
        <is>
          <t>MIL20251366pdf_976418.pdf</t>
        </is>
      </c>
      <c r="BB2228" t="inlineStr">
        <is>
          <t>Begäran om allmän handling i ärende  MIL.2026.363</t>
        </is>
      </c>
      <c r="BC2228" t="inlineStr">
        <is>
          <t>AUTO</t>
        </is>
      </c>
      <c r="BD2228" t="inlineStr"/>
      <c r="BE2228" t="inlineStr"/>
      <c r="BF2228" t="inlineStr">
        <is>
          <t>AUTO_GENERERAD. Bekrafta metadata mot kallfil.</t>
        </is>
      </c>
      <c r="BG2228">
        <f>HYPERLINK("C:\Users\jimmy\Desktop\Examens arbete\Kod\Ny mapp\remix_-copy-of-miljöbeslut.se-portal\MIL20251366pdf_976418.pdf", "Öppna PDF")</f>
        <v/>
      </c>
    </row>
    <row r="2229">
      <c r="A2229" t="inlineStr">
        <is>
          <t>KRAV-AUTO-002228</t>
        </is>
      </c>
      <c r="B2229" t="inlineStr">
        <is>
          <t>ADMIN-INDEX-2026-02-27-00000000125C043F57453246863FE664CAFE6A3F0700950291EA24F0614FB6ACEDB12BF0E31D00000000010C0000950291EA24F0614FB6ACEDB12BF0E31D00002087B1B00000</t>
        </is>
      </c>
      <c r="C2229" t="inlineStr">
        <is>
          <t>cmm4yuncj00jtcuqwbz4bknzi</t>
        </is>
      </c>
      <c r="D2229" t="inlineStr">
        <is>
          <t>http://localhost:8787/api/admin/requirements/documents/cmm4yuncj00jtcuqwbz4bknzi/view</t>
        </is>
      </c>
      <c r="E2229">
        <f>HYPERLÄNK("http://localhost:8787/api/admin/requirements/documents/cmm4yuncj00jtcuqwbz4bknzi/view";"Öppna PDF")</f>
        <v/>
      </c>
      <c r="F2229">
        <f>HYPERLINK("http://localhost:8787/api/admin/requirements/documents/cmm4yuncj00jtcuqwbz4bknzi/view","Open PDF")</f>
        <v/>
      </c>
      <c r="G2229" t="inlineStr">
        <is>
          <t>cmm55w57p0004cuisfrtpqly8</t>
        </is>
      </c>
      <c r="H2229" t="inlineStr">
        <is>
          <t>Beslutsvillkor</t>
        </is>
      </c>
      <c r="I2229" t="inlineStr">
        <is>
          <t>Riskhantering</t>
        </is>
      </c>
      <c r="J2229" t="inlineStr">
        <is>
          <t>Riskkontroll</t>
        </is>
      </c>
      <c r="K2229" t="inlineStr">
        <is>
          <t>Täckning ska med hänsyn till risk för luktolägenhet göras i snar anslutning till uppläggning.</t>
        </is>
      </c>
      <c r="L2229" t="inlineStr">
        <is>
          <t>Täckning ska med hänsyn till risk för luktolägenhet göras i snar anslutning till uppläggning.</t>
        </is>
      </c>
      <c r="M2229" t="inlineStr">
        <is>
          <t>SKA</t>
        </is>
      </c>
      <c r="N2229" t="inlineStr"/>
      <c r="O2229" t="inlineStr"/>
      <c r="P2229" t="inlineStr"/>
      <c r="Q2229" t="inlineStr"/>
      <c r="R2229" t="inlineStr">
        <is>
          <t>Vid risk for incident</t>
        </is>
      </c>
      <c r="S2229" t="inlineStr"/>
      <c r="T2229" t="inlineStr">
        <is>
          <t>942036</t>
        </is>
      </c>
      <c r="U2229" t="inlineStr"/>
      <c r="V2229" t="inlineStr"/>
      <c r="W2229" t="inlineStr">
        <is>
          <t>Nej</t>
        </is>
      </c>
      <c r="X2229" t="inlineStr">
        <is>
          <t>Nej</t>
        </is>
      </c>
      <c r="Y2229" t="inlineStr">
        <is>
          <t>Ja</t>
        </is>
      </c>
      <c r="Z2229" t="inlineStr">
        <is>
          <t>Ja</t>
        </is>
      </c>
      <c r="AA2229" t="n">
        <v>8</v>
      </c>
      <c r="AB2229" t="inlineStr">
        <is>
          <t>Riskhantering</t>
        </is>
      </c>
      <c r="AC2229" t="inlineStr">
        <is>
          <t>Risk-PM</t>
        </is>
      </c>
      <c r="AD2229" t="inlineStr">
        <is>
          <t>Nej</t>
        </is>
      </c>
      <c r="AE2229" t="inlineStr">
        <is>
          <t>Nej</t>
        </is>
      </c>
      <c r="AF2229" t="inlineStr">
        <is>
          <t>Ej behandlad</t>
        </is>
      </c>
      <c r="AG2229" t="inlineStr">
        <is>
          <t>AUTO_GENERERAD. Verifiera citat mot kallfil.</t>
        </is>
      </c>
      <c r="AH2229" t="inlineStr">
        <is>
          <t>MEDIUM</t>
        </is>
      </c>
      <c r="AI2229" t="inlineStr">
        <is>
          <t>AUTO</t>
        </is>
      </c>
      <c r="AJ2229" t="inlineStr">
        <is>
          <t>Nej</t>
        </is>
      </c>
      <c r="AK2229" t="inlineStr"/>
      <c r="AL2229" t="inlineStr"/>
      <c r="AM2229" t="inlineStr"/>
      <c r="AN2229" t="inlineStr"/>
      <c r="AO2229" t="inlineStr">
        <is>
          <t>cmm4yuncm00jwcuqwryebpuil</t>
        </is>
      </c>
      <c r="AP2229" t="inlineStr">
        <is>
          <t>http://localhost:8787/api/admin/requirements/documents/cmm4yuncm00jwcuqwryebpuil/view</t>
        </is>
      </c>
      <c r="AQ2229">
        <f>HYPERLÄNK("http://localhost:8787/api/admin/requirements/documents/cmm4yuncm00jwcuqwryebpuil/view";"Öppna PDF")</f>
        <v/>
      </c>
      <c r="AR2229">
        <f>HYPERLINK("http://localhost:8787/api/admin/requirements/documents/cmm4yuncm00jwcuqwryebpuil/view","Open PDF")</f>
        <v/>
      </c>
      <c r="AS2229" t="inlineStr">
        <is>
          <t>cmm55w57p0004cuisfrtpqly8</t>
        </is>
      </c>
      <c r="AT2229" t="inlineStr">
        <is>
          <t>cmm4xvu980000cuh4vj0usz09</t>
        </is>
      </c>
      <c r="AU2229" t="inlineStr"/>
      <c r="AV2229" t="inlineStr">
        <is>
          <t>Kommun</t>
        </is>
      </c>
      <c r="AW2229" t="inlineStr"/>
      <c r="AX2229" t="inlineStr">
        <is>
          <t>2026-02</t>
        </is>
      </c>
      <c r="AY2229" t="inlineStr">
        <is>
          <t>Beslut</t>
        </is>
      </c>
      <c r="AZ2229" t="inlineStr">
        <is>
          <t>2026-02-03</t>
        </is>
      </c>
      <c r="BA2229" t="inlineStr">
        <is>
          <t>MIL20251366pdf_976418.pdf</t>
        </is>
      </c>
      <c r="BB2229" t="inlineStr">
        <is>
          <t>Begäran om allmän handling i ärende  MIL.2026.363</t>
        </is>
      </c>
      <c r="BC2229" t="inlineStr">
        <is>
          <t>AUTO</t>
        </is>
      </c>
      <c r="BD2229" t="inlineStr"/>
      <c r="BE2229" t="inlineStr"/>
      <c r="BF2229" t="inlineStr">
        <is>
          <t>AUTO_GENERERAD. Bekrafta metadata mot kallfil.</t>
        </is>
      </c>
      <c r="BG2229">
        <f>HYPERLINK("C:\Users\jimmy\Desktop\Examens arbete\Kod\Ny mapp\remix_-copy-of-miljöbeslut.se-portal\MIL20251366pdf_976418.pdf", "Öppna PDF")</f>
        <v/>
      </c>
    </row>
    <row r="2230">
      <c r="A2230" t="inlineStr">
        <is>
          <t>KRAV-AUTO-002229</t>
        </is>
      </c>
      <c r="B2230" t="inlineStr">
        <is>
          <t>ADMIN-INDEX-2026-02-27-00000000125C043F57453246863FE664CAFE6A3F0700950291EA24F0614FB6ACEDB12BF0E31D00000000010C0000950291EA24F0614FB6ACEDB12BF0E31D00002087B1B00000</t>
        </is>
      </c>
      <c r="C2230" t="inlineStr">
        <is>
          <t>cmm4yuncg00jqcuqwwzwj52y6</t>
        </is>
      </c>
      <c r="D2230" t="inlineStr">
        <is>
          <t>http://localhost:8787/api/admin/requirements/documents/cmm4yuncg00jqcuqwwzwj52y6/view</t>
        </is>
      </c>
      <c r="E2230">
        <f>HYPERLÄNK("http://localhost:8787/api/admin/requirements/documents/cmm4yuncg00jqcuqwwzwj52y6/view";"Öppna PDF")</f>
        <v/>
      </c>
      <c r="F2230">
        <f>HYPERLINK("http://localhost:8787/api/admin/requirements/documents/cmm4yuncg00jqcuqwwzwj52y6/view","Open PDF")</f>
        <v/>
      </c>
      <c r="G2230" t="inlineStr">
        <is>
          <t>cmm55w57p0004cuisfrtpqly8</t>
        </is>
      </c>
      <c r="H2230" t="inlineStr">
        <is>
          <t>Beslutsvillkor</t>
        </is>
      </c>
      <c r="I2230" t="inlineStr">
        <is>
          <t>DagvattenLakvatten</t>
        </is>
      </c>
      <c r="J2230" t="inlineStr">
        <is>
          <t>Uppsamling</t>
        </is>
      </c>
      <c r="K2230" t="inlineStr">
        <is>
          <t>Lagringen ska ske så att risken för uppkomst av lakvatten från rötslammet minimeras.</t>
        </is>
      </c>
      <c r="L2230" t="inlineStr">
        <is>
          <t>Lagringen ska ske så att risken för uppkomst av lakvatten från rötslammet minimeras.</t>
        </is>
      </c>
      <c r="M2230" t="inlineStr">
        <is>
          <t>SKA</t>
        </is>
      </c>
      <c r="N2230" t="inlineStr"/>
      <c r="O2230" t="inlineStr"/>
      <c r="P2230" t="inlineStr"/>
      <c r="Q2230" t="inlineStr"/>
      <c r="R2230" t="inlineStr">
        <is>
          <t>Vid nederbord och avrinning</t>
        </is>
      </c>
      <c r="S2230" t="inlineStr"/>
      <c r="T2230" t="inlineStr">
        <is>
          <t>941749</t>
        </is>
      </c>
      <c r="U2230" t="inlineStr"/>
      <c r="V2230" t="inlineStr"/>
      <c r="W2230" t="inlineStr">
        <is>
          <t>Nej</t>
        </is>
      </c>
      <c r="X2230" t="inlineStr">
        <is>
          <t>Ja</t>
        </is>
      </c>
      <c r="Y2230" t="inlineStr">
        <is>
          <t>Ja</t>
        </is>
      </c>
      <c r="Z2230" t="inlineStr">
        <is>
          <t>Nej</t>
        </is>
      </c>
      <c r="AA2230" t="n">
        <v>6</v>
      </c>
      <c r="AB2230" t="inlineStr">
        <is>
          <t>Lakvattenhantering</t>
        </is>
      </c>
      <c r="AC2230" t="inlineStr">
        <is>
          <t>Flodesschema dagvatten-lakvatten</t>
        </is>
      </c>
      <c r="AD2230" t="inlineStr">
        <is>
          <t>Nej</t>
        </is>
      </c>
      <c r="AE2230" t="inlineStr">
        <is>
          <t>Nej</t>
        </is>
      </c>
      <c r="AF2230" t="inlineStr">
        <is>
          <t>Ej behandlad</t>
        </is>
      </c>
      <c r="AG2230" t="inlineStr">
        <is>
          <t>AUTO_GENERERAD. Verifiera citat mot kallfil.</t>
        </is>
      </c>
      <c r="AH2230" t="inlineStr">
        <is>
          <t>MEDIUM</t>
        </is>
      </c>
      <c r="AI2230" t="inlineStr">
        <is>
          <t>AUTO</t>
        </is>
      </c>
      <c r="AJ2230" t="inlineStr">
        <is>
          <t>Nej</t>
        </is>
      </c>
      <c r="AK2230" t="inlineStr"/>
      <c r="AL2230" t="inlineStr"/>
      <c r="AM2230" t="inlineStr"/>
      <c r="AN2230" t="inlineStr"/>
      <c r="AO2230" t="inlineStr">
        <is>
          <t>cmm4yuncm00jwcuqwryebpuil</t>
        </is>
      </c>
      <c r="AP2230" t="inlineStr">
        <is>
          <t>http://localhost:8787/api/admin/requirements/documents/cmm4yuncm00jwcuqwryebpuil/view</t>
        </is>
      </c>
      <c r="AQ2230">
        <f>HYPERLÄNK("http://localhost:8787/api/admin/requirements/documents/cmm4yuncm00jwcuqwryebpuil/view";"Öppna PDF")</f>
        <v/>
      </c>
      <c r="AR2230">
        <f>HYPERLINK("http://localhost:8787/api/admin/requirements/documents/cmm4yuncm00jwcuqwryebpuil/view","Open PDF")</f>
        <v/>
      </c>
      <c r="AS2230" t="inlineStr">
        <is>
          <t>cmm55w57p0004cuisfrtpqly8</t>
        </is>
      </c>
      <c r="AT2230" t="inlineStr">
        <is>
          <t>cmm4xvu980000cuh4vj0usz09</t>
        </is>
      </c>
      <c r="AU2230" t="inlineStr"/>
      <c r="AV2230" t="inlineStr">
        <is>
          <t>Kommun</t>
        </is>
      </c>
      <c r="AW2230" t="inlineStr"/>
      <c r="AX2230" t="inlineStr">
        <is>
          <t>2026-02</t>
        </is>
      </c>
      <c r="AY2230" t="inlineStr">
        <is>
          <t>Beslut</t>
        </is>
      </c>
      <c r="AZ2230" t="inlineStr">
        <is>
          <t>2026-02-03</t>
        </is>
      </c>
      <c r="BA2230" t="inlineStr">
        <is>
          <t>MIL20251366pdf_976418.pdf</t>
        </is>
      </c>
      <c r="BB2230" t="inlineStr">
        <is>
          <t>Begäran om allmän handling i ärende  MIL.2026.363</t>
        </is>
      </c>
      <c r="BC2230" t="inlineStr">
        <is>
          <t>AUTO</t>
        </is>
      </c>
      <c r="BD2230" t="inlineStr"/>
      <c r="BE2230" t="inlineStr"/>
      <c r="BF2230" t="inlineStr">
        <is>
          <t>AUTO_GENERERAD. Bekrafta metadata mot kallfil.</t>
        </is>
      </c>
      <c r="BG2230">
        <f>HYPERLINK("C:\Users\jimmy\Desktop\Examens arbete\Kod\Ny mapp\remix_-copy-of-miljöbeslut.se-portal\MIL20251366pdf_976418.pdf", "Öppna PDF")</f>
        <v/>
      </c>
    </row>
    <row r="2231">
      <c r="A2231" t="inlineStr">
        <is>
          <t>KRAV-AUTO-002230</t>
        </is>
      </c>
      <c r="B2231" t="inlineStr">
        <is>
          <t>ADMIN-INDEX-2026-02-27-00000000125C043F57453246863FE664CAFE6A3F0700950291EA24F0614FB6ACEDB12BF0E31D00000000010C0000950291EA24F0614FB6ACEDB12BF0E31D00002087B1B00000</t>
        </is>
      </c>
      <c r="C2231" t="inlineStr">
        <is>
          <t>cmm4yuncg00jqcuqwwzwj52y6</t>
        </is>
      </c>
      <c r="D2231" t="inlineStr">
        <is>
          <t>http://localhost:8787/api/admin/requirements/documents/cmm4yuncg00jqcuqwwzwj52y6/view</t>
        </is>
      </c>
      <c r="E2231">
        <f>HYPERLÄNK("http://localhost:8787/api/admin/requirements/documents/cmm4yuncg00jqcuqwwzwj52y6/view";"Öppna PDF")</f>
        <v/>
      </c>
      <c r="F2231">
        <f>HYPERLINK("http://localhost:8787/api/admin/requirements/documents/cmm4yuncg00jqcuqwwzwj52y6/view","Open PDF")</f>
        <v/>
      </c>
      <c r="G2231" t="inlineStr">
        <is>
          <t>cmm55w57p0004cuisfrtpqly8</t>
        </is>
      </c>
      <c r="H2231" t="inlineStr">
        <is>
          <t>Beslutsvillkor</t>
        </is>
      </c>
      <c r="I2231" t="inlineStr">
        <is>
          <t>LagringsvolymTid</t>
        </is>
      </c>
      <c r="J2231" t="inlineStr">
        <is>
          <t>Maxmangd</t>
        </is>
      </c>
      <c r="K2231" t="inlineStr">
        <is>
          <t>Uppskattad volym är cirka 900 ton.</t>
        </is>
      </c>
      <c r="L2231" t="inlineStr">
        <is>
          <t>Uppskattad volym är cirka 900 ton.</t>
        </is>
      </c>
      <c r="M2231" t="inlineStr">
        <is>
          <t>SKA</t>
        </is>
      </c>
      <c r="N2231" t="inlineStr"/>
      <c r="O2231" t="inlineStr"/>
      <c r="P2231" t="inlineStr"/>
      <c r="Q2231" t="inlineStr"/>
      <c r="R2231" t="inlineStr">
        <is>
          <t>Alltid</t>
        </is>
      </c>
      <c r="S2231" t="inlineStr"/>
      <c r="T2231" t="inlineStr">
        <is>
          <t>941749</t>
        </is>
      </c>
      <c r="U2231" t="n">
        <v>900</v>
      </c>
      <c r="V2231" t="inlineStr"/>
      <c r="W2231" t="inlineStr">
        <is>
          <t>Nej</t>
        </is>
      </c>
      <c r="X2231" t="inlineStr">
        <is>
          <t>Nej</t>
        </is>
      </c>
      <c r="Y2231" t="inlineStr">
        <is>
          <t>Nej</t>
        </is>
      </c>
      <c r="Z2231" t="inlineStr">
        <is>
          <t>Nej</t>
        </is>
      </c>
      <c r="AA2231" t="n">
        <v>4</v>
      </c>
      <c r="AB2231" t="inlineStr">
        <is>
          <t>Avfallsmangder och lagringstid</t>
        </is>
      </c>
      <c r="AC2231" t="inlineStr">
        <is>
          <t>Avfallsforteckning</t>
        </is>
      </c>
      <c r="AD2231" t="inlineStr">
        <is>
          <t>Nej</t>
        </is>
      </c>
      <c r="AE2231" t="inlineStr">
        <is>
          <t>Nej</t>
        </is>
      </c>
      <c r="AF2231" t="inlineStr">
        <is>
          <t>Ej behandlad</t>
        </is>
      </c>
      <c r="AG2231" t="inlineStr">
        <is>
          <t>AUTO_GENERERAD. Verifiera citat mot kallfil.</t>
        </is>
      </c>
      <c r="AH2231" t="inlineStr">
        <is>
          <t>LOW</t>
        </is>
      </c>
      <c r="AI2231" t="inlineStr">
        <is>
          <t>AUTO</t>
        </is>
      </c>
      <c r="AJ2231" t="inlineStr">
        <is>
          <t>Nej</t>
        </is>
      </c>
      <c r="AK2231" t="inlineStr"/>
      <c r="AL2231" t="inlineStr"/>
      <c r="AM2231" t="inlineStr"/>
      <c r="AN2231" t="inlineStr"/>
      <c r="AO2231" t="inlineStr">
        <is>
          <t>cmm4yuncm00jwcuqwryebpuil</t>
        </is>
      </c>
      <c r="AP2231" t="inlineStr">
        <is>
          <t>http://localhost:8787/api/admin/requirements/documents/cmm4yuncm00jwcuqwryebpuil/view</t>
        </is>
      </c>
      <c r="AQ2231">
        <f>HYPERLÄNK("http://localhost:8787/api/admin/requirements/documents/cmm4yuncm00jwcuqwryebpuil/view";"Öppna PDF")</f>
        <v/>
      </c>
      <c r="AR2231">
        <f>HYPERLINK("http://localhost:8787/api/admin/requirements/documents/cmm4yuncm00jwcuqwryebpuil/view","Open PDF")</f>
        <v/>
      </c>
      <c r="AS2231" t="inlineStr">
        <is>
          <t>cmm55w57p0004cuisfrtpqly8</t>
        </is>
      </c>
      <c r="AT2231" t="inlineStr">
        <is>
          <t>cmm4xvu980000cuh4vj0usz09</t>
        </is>
      </c>
      <c r="AU2231" t="inlineStr"/>
      <c r="AV2231" t="inlineStr">
        <is>
          <t>Kommun</t>
        </is>
      </c>
      <c r="AW2231" t="inlineStr"/>
      <c r="AX2231" t="inlineStr">
        <is>
          <t>2026-02</t>
        </is>
      </c>
      <c r="AY2231" t="inlineStr">
        <is>
          <t>Beslut</t>
        </is>
      </c>
      <c r="AZ2231" t="inlineStr">
        <is>
          <t>2026-02-03</t>
        </is>
      </c>
      <c r="BA2231" t="inlineStr">
        <is>
          <t>MIL20251366pdf_976418.pdf</t>
        </is>
      </c>
      <c r="BB2231" t="inlineStr">
        <is>
          <t>Begäran om allmän handling i ärende  MIL.2026.363</t>
        </is>
      </c>
      <c r="BC2231" t="inlineStr">
        <is>
          <t>AUTO</t>
        </is>
      </c>
      <c r="BD2231" t="inlineStr"/>
      <c r="BE2231" t="inlineStr"/>
      <c r="BF2231" t="inlineStr">
        <is>
          <t>AUTO_GENERERAD. Bekrafta metadata mot kallfil.</t>
        </is>
      </c>
      <c r="BG2231">
        <f>HYPERLINK("C:\Users\jimmy\Desktop\Examens arbete\Kod\Ny mapp\remix_-copy-of-miljöbeslut.se-portal\MIL20251366pdf_976418.pdf", "Öppna PDF")</f>
        <v/>
      </c>
    </row>
    <row r="2232">
      <c r="A2232" t="inlineStr">
        <is>
          <t>KRAV-AUTO-002231</t>
        </is>
      </c>
      <c r="B2232" t="inlineStr">
        <is>
          <t>ADMIN-INDEX-2026-02-27-00000000125C043F57453246863FE664CAFE6A3F0700950291EA24F0614FB6ACEDB12BF0E31D00000000010C0000950291EA24F0614FB6ACEDB12BF0E31D00002087B1B00000</t>
        </is>
      </c>
      <c r="C2232" t="inlineStr">
        <is>
          <t>cmm4yuncg00jqcuqwwzwj52y6</t>
        </is>
      </c>
      <c r="D2232" t="inlineStr">
        <is>
          <t>http://localhost:8787/api/admin/requirements/documents/cmm4yuncg00jqcuqwwzwj52y6/view</t>
        </is>
      </c>
      <c r="E2232">
        <f>HYPERLÄNK("http://localhost:8787/api/admin/requirements/documents/cmm4yuncg00jqcuqwwzwj52y6/view";"Öppna PDF")</f>
        <v/>
      </c>
      <c r="F2232">
        <f>HYPERLINK("http://localhost:8787/api/admin/requirements/documents/cmm4yuncg00jqcuqwwzwj52y6/view","Open PDF")</f>
        <v/>
      </c>
      <c r="G2232" t="inlineStr">
        <is>
          <t>cmm55w57p0004cuisfrtpqly8</t>
        </is>
      </c>
      <c r="H2232" t="inlineStr">
        <is>
          <t>Beslutsvillkor</t>
        </is>
      </c>
      <c r="I2232" t="inlineStr">
        <is>
          <t>Riskhantering</t>
        </is>
      </c>
      <c r="J2232" t="inlineStr">
        <is>
          <t>Riskkontroll</t>
        </is>
      </c>
      <c r="K2232" t="inlineStr">
        <is>
          <t>Täckning ska med hänsyn till risk för luktolägenhet göras i snar anslutning till uppläggning.</t>
        </is>
      </c>
      <c r="L2232" t="inlineStr">
        <is>
          <t>Täckning ska med hänsyn till risk för luktolägenhet göras i snar anslutning till uppläggning.</t>
        </is>
      </c>
      <c r="M2232" t="inlineStr">
        <is>
          <t>SKA</t>
        </is>
      </c>
      <c r="N2232" t="inlineStr"/>
      <c r="O2232" t="inlineStr"/>
      <c r="P2232" t="inlineStr"/>
      <c r="Q2232" t="inlineStr"/>
      <c r="R2232" t="inlineStr">
        <is>
          <t>Vid risk for incident</t>
        </is>
      </c>
      <c r="S2232" t="inlineStr"/>
      <c r="T2232" t="inlineStr">
        <is>
          <t>941749</t>
        </is>
      </c>
      <c r="U2232" t="inlineStr"/>
      <c r="V2232" t="inlineStr"/>
      <c r="W2232" t="inlineStr">
        <is>
          <t>Nej</t>
        </is>
      </c>
      <c r="X2232" t="inlineStr">
        <is>
          <t>Nej</t>
        </is>
      </c>
      <c r="Y2232" t="inlineStr">
        <is>
          <t>Ja</t>
        </is>
      </c>
      <c r="Z2232" t="inlineStr">
        <is>
          <t>Ja</t>
        </is>
      </c>
      <c r="AA2232" t="n">
        <v>8</v>
      </c>
      <c r="AB2232" t="inlineStr">
        <is>
          <t>Riskhantering</t>
        </is>
      </c>
      <c r="AC2232" t="inlineStr">
        <is>
          <t>Risk-PM</t>
        </is>
      </c>
      <c r="AD2232" t="inlineStr">
        <is>
          <t>Nej</t>
        </is>
      </c>
      <c r="AE2232" t="inlineStr">
        <is>
          <t>Nej</t>
        </is>
      </c>
      <c r="AF2232" t="inlineStr">
        <is>
          <t>Ej behandlad</t>
        </is>
      </c>
      <c r="AG2232" t="inlineStr">
        <is>
          <t>AUTO_GENERERAD. Verifiera citat mot kallfil.</t>
        </is>
      </c>
      <c r="AH2232" t="inlineStr">
        <is>
          <t>MEDIUM</t>
        </is>
      </c>
      <c r="AI2232" t="inlineStr">
        <is>
          <t>AUTO</t>
        </is>
      </c>
      <c r="AJ2232" t="inlineStr">
        <is>
          <t>Nej</t>
        </is>
      </c>
      <c r="AK2232" t="inlineStr"/>
      <c r="AL2232" t="inlineStr"/>
      <c r="AM2232" t="inlineStr"/>
      <c r="AN2232" t="inlineStr"/>
      <c r="AO2232" t="inlineStr">
        <is>
          <t>cmm4yuncm00jwcuqwryebpuil</t>
        </is>
      </c>
      <c r="AP2232" t="inlineStr">
        <is>
          <t>http://localhost:8787/api/admin/requirements/documents/cmm4yuncm00jwcuqwryebpuil/view</t>
        </is>
      </c>
      <c r="AQ2232">
        <f>HYPERLÄNK("http://localhost:8787/api/admin/requirements/documents/cmm4yuncm00jwcuqwryebpuil/view";"Öppna PDF")</f>
        <v/>
      </c>
      <c r="AR2232">
        <f>HYPERLINK("http://localhost:8787/api/admin/requirements/documents/cmm4yuncm00jwcuqwryebpuil/view","Open PDF")</f>
        <v/>
      </c>
      <c r="AS2232" t="inlineStr">
        <is>
          <t>cmm55w57p0004cuisfrtpqly8</t>
        </is>
      </c>
      <c r="AT2232" t="inlineStr">
        <is>
          <t>cmm4xvu980000cuh4vj0usz09</t>
        </is>
      </c>
      <c r="AU2232" t="inlineStr"/>
      <c r="AV2232" t="inlineStr">
        <is>
          <t>Kommun</t>
        </is>
      </c>
      <c r="AW2232" t="inlineStr"/>
      <c r="AX2232" t="inlineStr">
        <is>
          <t>2026-02</t>
        </is>
      </c>
      <c r="AY2232" t="inlineStr">
        <is>
          <t>Beslut</t>
        </is>
      </c>
      <c r="AZ2232" t="inlineStr">
        <is>
          <t>2026-02-03</t>
        </is>
      </c>
      <c r="BA2232" t="inlineStr">
        <is>
          <t>MIL20251366pdf_976418.pdf</t>
        </is>
      </c>
      <c r="BB2232" t="inlineStr">
        <is>
          <t>Begäran om allmän handling i ärende  MIL.2026.363</t>
        </is>
      </c>
      <c r="BC2232" t="inlineStr">
        <is>
          <t>AUTO</t>
        </is>
      </c>
      <c r="BD2232" t="inlineStr"/>
      <c r="BE2232" t="inlineStr"/>
      <c r="BF2232" t="inlineStr">
        <is>
          <t>AUTO_GENERERAD. Bekrafta metadata mot kallfil.</t>
        </is>
      </c>
      <c r="BG2232">
        <f>HYPERLINK("C:\Users\jimmy\Desktop\Examens arbete\Kod\Ny mapp\remix_-copy-of-miljöbeslut.se-portal\MIL20251366pdf_976418.pdf", "Öppna PDF")</f>
        <v/>
      </c>
    </row>
    <row r="2233">
      <c r="A2233" t="inlineStr">
        <is>
          <t>KRAV-AUTO-002232</t>
        </is>
      </c>
      <c r="B2233" t="inlineStr">
        <is>
          <t>ADMIN-INDEX-2026-02-27-00000000125C043F57453246863FE664CAFE6A3F0700950291EA24F0614FB6ACEDB12BF0E31D00000000010C0000950291EA24F0614FB6ACEDB12BF0E31D00002087B1B00000</t>
        </is>
      </c>
      <c r="C2233" t="inlineStr">
        <is>
          <t>cmm4yunce00jncuqwbtgdr9dw</t>
        </is>
      </c>
      <c r="D2233" t="inlineStr">
        <is>
          <t>http://localhost:8787/api/admin/requirements/documents/cmm4yunce00jncuqwbtgdr9dw/view</t>
        </is>
      </c>
      <c r="E2233">
        <f>HYPERLÄNK("http://localhost:8787/api/admin/requirements/documents/cmm4yunce00jncuqwbtgdr9dw/view";"Öppna PDF")</f>
        <v/>
      </c>
      <c r="F2233">
        <f>HYPERLINK("http://localhost:8787/api/admin/requirements/documents/cmm4yunce00jncuqwbtgdr9dw/view","Open PDF")</f>
        <v/>
      </c>
      <c r="G2233" t="inlineStr">
        <is>
          <t>cmm55w57p0004cuisfrtpqly8</t>
        </is>
      </c>
      <c r="H2233" t="inlineStr">
        <is>
          <t>Beslutsvillkor</t>
        </is>
      </c>
      <c r="I2233" t="inlineStr">
        <is>
          <t>DagvattenLakvatten</t>
        </is>
      </c>
      <c r="J2233" t="inlineStr">
        <is>
          <t>Uppsamling</t>
        </is>
      </c>
      <c r="K2233" t="inlineStr">
        <is>
          <t>Lagringen ska ske så att risken för uppkomst av lakvatten från rötslammet minimeras.</t>
        </is>
      </c>
      <c r="L2233" t="inlineStr">
        <is>
          <t>Lagringen ska ske så att risken för uppkomst av lakvatten från rötslammet minimeras.</t>
        </is>
      </c>
      <c r="M2233" t="inlineStr">
        <is>
          <t>SKA</t>
        </is>
      </c>
      <c r="N2233" t="inlineStr"/>
      <c r="O2233" t="inlineStr"/>
      <c r="P2233" t="inlineStr"/>
      <c r="Q2233" t="inlineStr"/>
      <c r="R2233" t="inlineStr">
        <is>
          <t>Vid nederbord och avrinning</t>
        </is>
      </c>
      <c r="S2233" t="inlineStr"/>
      <c r="T2233" t="inlineStr">
        <is>
          <t>941469</t>
        </is>
      </c>
      <c r="U2233" t="inlineStr"/>
      <c r="V2233" t="inlineStr"/>
      <c r="W2233" t="inlineStr">
        <is>
          <t>Nej</t>
        </is>
      </c>
      <c r="X2233" t="inlineStr">
        <is>
          <t>Ja</t>
        </is>
      </c>
      <c r="Y2233" t="inlineStr">
        <is>
          <t>Ja</t>
        </is>
      </c>
      <c r="Z2233" t="inlineStr">
        <is>
          <t>Nej</t>
        </is>
      </c>
      <c r="AA2233" t="n">
        <v>6</v>
      </c>
      <c r="AB2233" t="inlineStr">
        <is>
          <t>Lakvattenhantering</t>
        </is>
      </c>
      <c r="AC2233" t="inlineStr">
        <is>
          <t>Flodesschema dagvatten-lakvatten</t>
        </is>
      </c>
      <c r="AD2233" t="inlineStr">
        <is>
          <t>Nej</t>
        </is>
      </c>
      <c r="AE2233" t="inlineStr">
        <is>
          <t>Nej</t>
        </is>
      </c>
      <c r="AF2233" t="inlineStr">
        <is>
          <t>Ej behandlad</t>
        </is>
      </c>
      <c r="AG2233" t="inlineStr">
        <is>
          <t>AUTO_GENERERAD. Verifiera citat mot kallfil.</t>
        </is>
      </c>
      <c r="AH2233" t="inlineStr">
        <is>
          <t>MEDIUM</t>
        </is>
      </c>
      <c r="AI2233" t="inlineStr">
        <is>
          <t>AUTO</t>
        </is>
      </c>
      <c r="AJ2233" t="inlineStr">
        <is>
          <t>Nej</t>
        </is>
      </c>
      <c r="AK2233" t="inlineStr"/>
      <c r="AL2233" t="inlineStr"/>
      <c r="AM2233" t="inlineStr"/>
      <c r="AN2233" t="inlineStr"/>
      <c r="AO2233" t="inlineStr">
        <is>
          <t>cmm4yuncm00jwcuqwryebpuil</t>
        </is>
      </c>
      <c r="AP2233" t="inlineStr">
        <is>
          <t>http://localhost:8787/api/admin/requirements/documents/cmm4yuncm00jwcuqwryebpuil/view</t>
        </is>
      </c>
      <c r="AQ2233">
        <f>HYPERLÄNK("http://localhost:8787/api/admin/requirements/documents/cmm4yuncm00jwcuqwryebpuil/view";"Öppna PDF")</f>
        <v/>
      </c>
      <c r="AR2233">
        <f>HYPERLINK("http://localhost:8787/api/admin/requirements/documents/cmm4yuncm00jwcuqwryebpuil/view","Open PDF")</f>
        <v/>
      </c>
      <c r="AS2233" t="inlineStr">
        <is>
          <t>cmm55w57p0004cuisfrtpqly8</t>
        </is>
      </c>
      <c r="AT2233" t="inlineStr">
        <is>
          <t>cmm4xvu980000cuh4vj0usz09</t>
        </is>
      </c>
      <c r="AU2233" t="inlineStr"/>
      <c r="AV2233" t="inlineStr">
        <is>
          <t>Kommun</t>
        </is>
      </c>
      <c r="AW2233" t="inlineStr"/>
      <c r="AX2233" t="inlineStr">
        <is>
          <t>2026-02</t>
        </is>
      </c>
      <c r="AY2233" t="inlineStr">
        <is>
          <t>Beslut</t>
        </is>
      </c>
      <c r="AZ2233" t="inlineStr">
        <is>
          <t>2026-02-03</t>
        </is>
      </c>
      <c r="BA2233" t="inlineStr">
        <is>
          <t>MIL20251366pdf_976418.pdf</t>
        </is>
      </c>
      <c r="BB2233" t="inlineStr">
        <is>
          <t>Begäran om allmän handling i ärende  MIL.2026.363</t>
        </is>
      </c>
      <c r="BC2233" t="inlineStr">
        <is>
          <t>AUTO</t>
        </is>
      </c>
      <c r="BD2233" t="inlineStr"/>
      <c r="BE2233" t="inlineStr"/>
      <c r="BF2233" t="inlineStr">
        <is>
          <t>AUTO_GENERERAD. Bekrafta metadata mot kallfil.</t>
        </is>
      </c>
      <c r="BG2233">
        <f>HYPERLINK("C:\Users\jimmy\Desktop\Examens arbete\Kod\Ny mapp\remix_-copy-of-miljöbeslut.se-portal\MIL20251366pdf_976418.pdf", "Öppna PDF")</f>
        <v/>
      </c>
    </row>
    <row r="2234">
      <c r="A2234" t="inlineStr">
        <is>
          <t>KRAV-AUTO-002233</t>
        </is>
      </c>
      <c r="B2234" t="inlineStr">
        <is>
          <t>ADMIN-INDEX-2026-02-27-00000000125C043F57453246863FE664CAFE6A3F0700950291EA24F0614FB6ACEDB12BF0E31D00000000010C0000950291EA24F0614FB6ACEDB12BF0E31D00002087B1B00000</t>
        </is>
      </c>
      <c r="C2234" t="inlineStr">
        <is>
          <t>cmm4yunce00jncuqwbtgdr9dw</t>
        </is>
      </c>
      <c r="D2234" t="inlineStr">
        <is>
          <t>http://localhost:8787/api/admin/requirements/documents/cmm4yunce00jncuqwbtgdr9dw/view</t>
        </is>
      </c>
      <c r="E2234">
        <f>HYPERLÄNK("http://localhost:8787/api/admin/requirements/documents/cmm4yunce00jncuqwbtgdr9dw/view";"Öppna PDF")</f>
        <v/>
      </c>
      <c r="F2234">
        <f>HYPERLINK("http://localhost:8787/api/admin/requirements/documents/cmm4yunce00jncuqwbtgdr9dw/view","Open PDF")</f>
        <v/>
      </c>
      <c r="G2234" t="inlineStr">
        <is>
          <t>cmm55w57p0004cuisfrtpqly8</t>
        </is>
      </c>
      <c r="H2234" t="inlineStr">
        <is>
          <t>Beslutsvillkor</t>
        </is>
      </c>
      <c r="I2234" t="inlineStr">
        <is>
          <t>LagringsvolymTid</t>
        </is>
      </c>
      <c r="J2234" t="inlineStr">
        <is>
          <t>Maxmangd</t>
        </is>
      </c>
      <c r="K2234" t="inlineStr">
        <is>
          <t>Uppskattad volym är cirka 1050 ton.</t>
        </is>
      </c>
      <c r="L2234" t="inlineStr">
        <is>
          <t>Uppskattad volym är cirka 1050 ton.</t>
        </is>
      </c>
      <c r="M2234" t="inlineStr">
        <is>
          <t>SKA</t>
        </is>
      </c>
      <c r="N2234" t="inlineStr"/>
      <c r="O2234" t="inlineStr"/>
      <c r="P2234" t="inlineStr"/>
      <c r="Q2234" t="inlineStr"/>
      <c r="R2234" t="inlineStr">
        <is>
          <t>Alltid</t>
        </is>
      </c>
      <c r="S2234" t="inlineStr"/>
      <c r="T2234" t="inlineStr">
        <is>
          <t>941469</t>
        </is>
      </c>
      <c r="U2234" t="n">
        <v>1050</v>
      </c>
      <c r="V2234" t="inlineStr"/>
      <c r="W2234" t="inlineStr">
        <is>
          <t>Nej</t>
        </is>
      </c>
      <c r="X2234" t="inlineStr">
        <is>
          <t>Nej</t>
        </is>
      </c>
      <c r="Y2234" t="inlineStr">
        <is>
          <t>Nej</t>
        </is>
      </c>
      <c r="Z2234" t="inlineStr">
        <is>
          <t>Nej</t>
        </is>
      </c>
      <c r="AA2234" t="n">
        <v>4</v>
      </c>
      <c r="AB2234" t="inlineStr">
        <is>
          <t>Avfallsmangder och lagringstid</t>
        </is>
      </c>
      <c r="AC2234" t="inlineStr">
        <is>
          <t>Avfallsforteckning</t>
        </is>
      </c>
      <c r="AD2234" t="inlineStr">
        <is>
          <t>Nej</t>
        </is>
      </c>
      <c r="AE2234" t="inlineStr">
        <is>
          <t>Nej</t>
        </is>
      </c>
      <c r="AF2234" t="inlineStr">
        <is>
          <t>Ej behandlad</t>
        </is>
      </c>
      <c r="AG2234" t="inlineStr">
        <is>
          <t>AUTO_GENERERAD. Verifiera citat mot kallfil.</t>
        </is>
      </c>
      <c r="AH2234" t="inlineStr">
        <is>
          <t>LOW</t>
        </is>
      </c>
      <c r="AI2234" t="inlineStr">
        <is>
          <t>AUTO</t>
        </is>
      </c>
      <c r="AJ2234" t="inlineStr">
        <is>
          <t>Nej</t>
        </is>
      </c>
      <c r="AK2234" t="inlineStr"/>
      <c r="AL2234" t="inlineStr"/>
      <c r="AM2234" t="inlineStr"/>
      <c r="AN2234" t="inlineStr"/>
      <c r="AO2234" t="inlineStr">
        <is>
          <t>cmm4yuncm00jwcuqwryebpuil</t>
        </is>
      </c>
      <c r="AP2234" t="inlineStr">
        <is>
          <t>http://localhost:8787/api/admin/requirements/documents/cmm4yuncm00jwcuqwryebpuil/view</t>
        </is>
      </c>
      <c r="AQ2234">
        <f>HYPERLÄNK("http://localhost:8787/api/admin/requirements/documents/cmm4yuncm00jwcuqwryebpuil/view";"Öppna PDF")</f>
        <v/>
      </c>
      <c r="AR2234">
        <f>HYPERLINK("http://localhost:8787/api/admin/requirements/documents/cmm4yuncm00jwcuqwryebpuil/view","Open PDF")</f>
        <v/>
      </c>
      <c r="AS2234" t="inlineStr">
        <is>
          <t>cmm55w57p0004cuisfrtpqly8</t>
        </is>
      </c>
      <c r="AT2234" t="inlineStr">
        <is>
          <t>cmm4xvu980000cuh4vj0usz09</t>
        </is>
      </c>
      <c r="AU2234" t="inlineStr"/>
      <c r="AV2234" t="inlineStr">
        <is>
          <t>Kommun</t>
        </is>
      </c>
      <c r="AW2234" t="inlineStr"/>
      <c r="AX2234" t="inlineStr">
        <is>
          <t>2026-02</t>
        </is>
      </c>
      <c r="AY2234" t="inlineStr">
        <is>
          <t>Beslut</t>
        </is>
      </c>
      <c r="AZ2234" t="inlineStr">
        <is>
          <t>2026-02-03</t>
        </is>
      </c>
      <c r="BA2234" t="inlineStr">
        <is>
          <t>MIL20251366pdf_976418.pdf</t>
        </is>
      </c>
      <c r="BB2234" t="inlineStr">
        <is>
          <t>Begäran om allmän handling i ärende  MIL.2026.363</t>
        </is>
      </c>
      <c r="BC2234" t="inlineStr">
        <is>
          <t>AUTO</t>
        </is>
      </c>
      <c r="BD2234" t="inlineStr"/>
      <c r="BE2234" t="inlineStr"/>
      <c r="BF2234" t="inlineStr">
        <is>
          <t>AUTO_GENERERAD. Bekrafta metadata mot kallfil.</t>
        </is>
      </c>
      <c r="BG2234">
        <f>HYPERLINK("C:\Users\jimmy\Desktop\Examens arbete\Kod\Ny mapp\remix_-copy-of-miljöbeslut.se-portal\MIL20251366pdf_976418.pdf", "Öppna PDF")</f>
        <v/>
      </c>
    </row>
    <row r="2235">
      <c r="A2235" t="inlineStr">
        <is>
          <t>KRAV-AUTO-002234</t>
        </is>
      </c>
      <c r="B2235" t="inlineStr">
        <is>
          <t>ADMIN-INDEX-2026-02-27-00000000125C043F57453246863FE664CAFE6A3F0700950291EA24F0614FB6ACEDB12BF0E31D00000000010C0000950291EA24F0614FB6ACEDB12BF0E31D00002087B1B00000</t>
        </is>
      </c>
      <c r="C2235" t="inlineStr">
        <is>
          <t>cmm4yunce00jncuqwbtgdr9dw</t>
        </is>
      </c>
      <c r="D2235" t="inlineStr">
        <is>
          <t>http://localhost:8787/api/admin/requirements/documents/cmm4yunce00jncuqwbtgdr9dw/view</t>
        </is>
      </c>
      <c r="E2235">
        <f>HYPERLÄNK("http://localhost:8787/api/admin/requirements/documents/cmm4yunce00jncuqwbtgdr9dw/view";"Öppna PDF")</f>
        <v/>
      </c>
      <c r="F2235">
        <f>HYPERLINK("http://localhost:8787/api/admin/requirements/documents/cmm4yunce00jncuqwbtgdr9dw/view","Open PDF")</f>
        <v/>
      </c>
      <c r="G2235" t="inlineStr">
        <is>
          <t>cmm55w57p0004cuisfrtpqly8</t>
        </is>
      </c>
      <c r="H2235" t="inlineStr">
        <is>
          <t>Beslutsvillkor</t>
        </is>
      </c>
      <c r="I2235" t="inlineStr">
        <is>
          <t>Riskhantering</t>
        </is>
      </c>
      <c r="J2235" t="inlineStr">
        <is>
          <t>Riskkontroll</t>
        </is>
      </c>
      <c r="K2235" t="inlineStr">
        <is>
          <t>Täckning ska med hänsyn till risk för luktolägenhet göras i snar anslutning till uppläggning.</t>
        </is>
      </c>
      <c r="L2235" t="inlineStr">
        <is>
          <t>Täckning ska med hänsyn till risk för luktolägenhet göras i snar anslutning till uppläggning.</t>
        </is>
      </c>
      <c r="M2235" t="inlineStr">
        <is>
          <t>SKA</t>
        </is>
      </c>
      <c r="N2235" t="inlineStr"/>
      <c r="O2235" t="inlineStr"/>
      <c r="P2235" t="inlineStr"/>
      <c r="Q2235" t="inlineStr"/>
      <c r="R2235" t="inlineStr">
        <is>
          <t>Vid risk for incident</t>
        </is>
      </c>
      <c r="S2235" t="inlineStr"/>
      <c r="T2235" t="inlineStr">
        <is>
          <t>941469</t>
        </is>
      </c>
      <c r="U2235" t="inlineStr"/>
      <c r="V2235" t="inlineStr"/>
      <c r="W2235" t="inlineStr">
        <is>
          <t>Nej</t>
        </is>
      </c>
      <c r="X2235" t="inlineStr">
        <is>
          <t>Nej</t>
        </is>
      </c>
      <c r="Y2235" t="inlineStr">
        <is>
          <t>Ja</t>
        </is>
      </c>
      <c r="Z2235" t="inlineStr">
        <is>
          <t>Ja</t>
        </is>
      </c>
      <c r="AA2235" t="n">
        <v>8</v>
      </c>
      <c r="AB2235" t="inlineStr">
        <is>
          <t>Riskhantering</t>
        </is>
      </c>
      <c r="AC2235" t="inlineStr">
        <is>
          <t>Risk-PM</t>
        </is>
      </c>
      <c r="AD2235" t="inlineStr">
        <is>
          <t>Nej</t>
        </is>
      </c>
      <c r="AE2235" t="inlineStr">
        <is>
          <t>Nej</t>
        </is>
      </c>
      <c r="AF2235" t="inlineStr">
        <is>
          <t>Ej behandlad</t>
        </is>
      </c>
      <c r="AG2235" t="inlineStr">
        <is>
          <t>AUTO_GENERERAD. Verifiera citat mot kallfil.</t>
        </is>
      </c>
      <c r="AH2235" t="inlineStr">
        <is>
          <t>MEDIUM</t>
        </is>
      </c>
      <c r="AI2235" t="inlineStr">
        <is>
          <t>AUTO</t>
        </is>
      </c>
      <c r="AJ2235" t="inlineStr">
        <is>
          <t>Nej</t>
        </is>
      </c>
      <c r="AK2235" t="inlineStr"/>
      <c r="AL2235" t="inlineStr"/>
      <c r="AM2235" t="inlineStr"/>
      <c r="AN2235" t="inlineStr"/>
      <c r="AO2235" t="inlineStr">
        <is>
          <t>cmm4yuncm00jwcuqwryebpuil</t>
        </is>
      </c>
      <c r="AP2235" t="inlineStr">
        <is>
          <t>http://localhost:8787/api/admin/requirements/documents/cmm4yuncm00jwcuqwryebpuil/view</t>
        </is>
      </c>
      <c r="AQ2235">
        <f>HYPERLÄNK("http://localhost:8787/api/admin/requirements/documents/cmm4yuncm00jwcuqwryebpuil/view";"Öppna PDF")</f>
        <v/>
      </c>
      <c r="AR2235">
        <f>HYPERLINK("http://localhost:8787/api/admin/requirements/documents/cmm4yuncm00jwcuqwryebpuil/view","Open PDF")</f>
        <v/>
      </c>
      <c r="AS2235" t="inlineStr">
        <is>
          <t>cmm55w57p0004cuisfrtpqly8</t>
        </is>
      </c>
      <c r="AT2235" t="inlineStr">
        <is>
          <t>cmm4xvu980000cuh4vj0usz09</t>
        </is>
      </c>
      <c r="AU2235" t="inlineStr"/>
      <c r="AV2235" t="inlineStr">
        <is>
          <t>Kommun</t>
        </is>
      </c>
      <c r="AW2235" t="inlineStr"/>
      <c r="AX2235" t="inlineStr">
        <is>
          <t>2026-02</t>
        </is>
      </c>
      <c r="AY2235" t="inlineStr">
        <is>
          <t>Beslut</t>
        </is>
      </c>
      <c r="AZ2235" t="inlineStr">
        <is>
          <t>2026-02-03</t>
        </is>
      </c>
      <c r="BA2235" t="inlineStr">
        <is>
          <t>MIL20251366pdf_976418.pdf</t>
        </is>
      </c>
      <c r="BB2235" t="inlineStr">
        <is>
          <t>Begäran om allmän handling i ärende  MIL.2026.363</t>
        </is>
      </c>
      <c r="BC2235" t="inlineStr">
        <is>
          <t>AUTO</t>
        </is>
      </c>
      <c r="BD2235" t="inlineStr"/>
      <c r="BE2235" t="inlineStr"/>
      <c r="BF2235" t="inlineStr">
        <is>
          <t>AUTO_GENERERAD. Bekrafta metadata mot kallfil.</t>
        </is>
      </c>
      <c r="BG2235">
        <f>HYPERLINK("C:\Users\jimmy\Desktop\Examens arbete\Kod\Ny mapp\remix_-copy-of-miljöbeslut.se-portal\MIL20251366pdf_976418.pdf", "Öppna PDF")</f>
        <v/>
      </c>
    </row>
    <row r="2236">
      <c r="A2236" t="inlineStr">
        <is>
          <t>KRAV-AUTO-002235</t>
        </is>
      </c>
      <c r="B2236" t="inlineStr">
        <is>
          <t>ADMIN-INDEX-2026-02-27-00000000125C043F57453246863FE664CAFE6A3F0700950291EA24F0614FB6ACEDB12BF0E31D00000000010C0000950291EA24F0614FB6ACEDB12BF0E31D00002087B1B00000</t>
        </is>
      </c>
      <c r="C2236" t="inlineStr">
        <is>
          <t>cmm4yunca00jkcuqwgrx048jk</t>
        </is>
      </c>
      <c r="D2236" t="inlineStr">
        <is>
          <t>http://localhost:8787/api/admin/requirements/documents/cmm4yunca00jkcuqwgrx048jk/view</t>
        </is>
      </c>
      <c r="E2236">
        <f>HYPERLÄNK("http://localhost:8787/api/admin/requirements/documents/cmm4yunca00jkcuqwgrx048jk/view";"Öppna PDF")</f>
        <v/>
      </c>
      <c r="F2236">
        <f>HYPERLINK("http://localhost:8787/api/admin/requirements/documents/cmm4yunca00jkcuqwgrx048jk/view","Open PDF")</f>
        <v/>
      </c>
      <c r="G2236" t="inlineStr">
        <is>
          <t>cmm55w57p0004cuisfrtpqly8</t>
        </is>
      </c>
      <c r="H2236" t="inlineStr">
        <is>
          <t>Beslutsvillkor</t>
        </is>
      </c>
      <c r="I2236" t="inlineStr">
        <is>
          <t>DagvattenLakvatten</t>
        </is>
      </c>
      <c r="J2236" t="inlineStr">
        <is>
          <t>Uppsamling</t>
        </is>
      </c>
      <c r="K2236" t="inlineStr">
        <is>
          <t>Lagringen ska ske så att risken för uppkomst av lakvatten från rötslammet minimeras.</t>
        </is>
      </c>
      <c r="L2236" t="inlineStr">
        <is>
          <t>Lagringen ska ske så att risken för uppkomst av lakvatten från rötslammet minimeras.</t>
        </is>
      </c>
      <c r="M2236" t="inlineStr">
        <is>
          <t>SKA</t>
        </is>
      </c>
      <c r="N2236" t="inlineStr"/>
      <c r="O2236" t="inlineStr"/>
      <c r="P2236" t="inlineStr"/>
      <c r="Q2236" t="inlineStr"/>
      <c r="R2236" t="inlineStr">
        <is>
          <t>Vid nederbord och avrinning</t>
        </is>
      </c>
      <c r="S2236" t="inlineStr"/>
      <c r="T2236" t="inlineStr">
        <is>
          <t>944194</t>
        </is>
      </c>
      <c r="U2236" t="inlineStr"/>
      <c r="V2236" t="inlineStr"/>
      <c r="W2236" t="inlineStr">
        <is>
          <t>Nej</t>
        </is>
      </c>
      <c r="X2236" t="inlineStr">
        <is>
          <t>Ja</t>
        </is>
      </c>
      <c r="Y2236" t="inlineStr">
        <is>
          <t>Ja</t>
        </is>
      </c>
      <c r="Z2236" t="inlineStr">
        <is>
          <t>Nej</t>
        </is>
      </c>
      <c r="AA2236" t="n">
        <v>6</v>
      </c>
      <c r="AB2236" t="inlineStr">
        <is>
          <t>Lakvattenhantering</t>
        </is>
      </c>
      <c r="AC2236" t="inlineStr">
        <is>
          <t>Flodesschema dagvatten-lakvatten</t>
        </is>
      </c>
      <c r="AD2236" t="inlineStr">
        <is>
          <t>Nej</t>
        </is>
      </c>
      <c r="AE2236" t="inlineStr">
        <is>
          <t>Nej</t>
        </is>
      </c>
      <c r="AF2236" t="inlineStr">
        <is>
          <t>Ej behandlad</t>
        </is>
      </c>
      <c r="AG2236" t="inlineStr">
        <is>
          <t>AUTO_GENERERAD. Verifiera citat mot kallfil.</t>
        </is>
      </c>
      <c r="AH2236" t="inlineStr">
        <is>
          <t>MEDIUM</t>
        </is>
      </c>
      <c r="AI2236" t="inlineStr">
        <is>
          <t>AUTO</t>
        </is>
      </c>
      <c r="AJ2236" t="inlineStr">
        <is>
          <t>Nej</t>
        </is>
      </c>
      <c r="AK2236" t="inlineStr"/>
      <c r="AL2236" t="inlineStr"/>
      <c r="AM2236" t="inlineStr"/>
      <c r="AN2236" t="inlineStr"/>
      <c r="AO2236" t="inlineStr">
        <is>
          <t>cmm4yuncm00jwcuqwryebpuil</t>
        </is>
      </c>
      <c r="AP2236" t="inlineStr">
        <is>
          <t>http://localhost:8787/api/admin/requirements/documents/cmm4yuncm00jwcuqwryebpuil/view</t>
        </is>
      </c>
      <c r="AQ2236">
        <f>HYPERLÄNK("http://localhost:8787/api/admin/requirements/documents/cmm4yuncm00jwcuqwryebpuil/view";"Öppna PDF")</f>
        <v/>
      </c>
      <c r="AR2236">
        <f>HYPERLINK("http://localhost:8787/api/admin/requirements/documents/cmm4yuncm00jwcuqwryebpuil/view","Open PDF")</f>
        <v/>
      </c>
      <c r="AS2236" t="inlineStr">
        <is>
          <t>cmm55w57p0004cuisfrtpqly8</t>
        </is>
      </c>
      <c r="AT2236" t="inlineStr">
        <is>
          <t>cmm4xvu980000cuh4vj0usz09</t>
        </is>
      </c>
      <c r="AU2236" t="inlineStr"/>
      <c r="AV2236" t="inlineStr">
        <is>
          <t>Kommun</t>
        </is>
      </c>
      <c r="AW2236" t="inlineStr"/>
      <c r="AX2236" t="inlineStr">
        <is>
          <t>2026-02</t>
        </is>
      </c>
      <c r="AY2236" t="inlineStr">
        <is>
          <t>Beslut</t>
        </is>
      </c>
      <c r="AZ2236" t="inlineStr">
        <is>
          <t>2026-02-03</t>
        </is>
      </c>
      <c r="BA2236" t="inlineStr">
        <is>
          <t>MIL20251366pdf_976418.pdf</t>
        </is>
      </c>
      <c r="BB2236" t="inlineStr">
        <is>
          <t>Begäran om allmän handling i ärende  MIL.2026.363</t>
        </is>
      </c>
      <c r="BC2236" t="inlineStr">
        <is>
          <t>AUTO</t>
        </is>
      </c>
      <c r="BD2236" t="inlineStr"/>
      <c r="BE2236" t="inlineStr"/>
      <c r="BF2236" t="inlineStr">
        <is>
          <t>AUTO_GENERERAD. Bekrafta metadata mot kallfil.</t>
        </is>
      </c>
      <c r="BG2236">
        <f>HYPERLINK("C:\Users\jimmy\Desktop\Examens arbete\Kod\Ny mapp\remix_-copy-of-miljöbeslut.se-portal\MIL20251366pdf_976418.pdf", "Öppna PDF")</f>
        <v/>
      </c>
    </row>
    <row r="2237">
      <c r="A2237" t="inlineStr">
        <is>
          <t>KRAV-AUTO-002236</t>
        </is>
      </c>
      <c r="B2237" t="inlineStr">
        <is>
          <t>ADMIN-INDEX-2026-02-27-00000000125C043F57453246863FE664CAFE6A3F0700950291EA24F0614FB6ACEDB12BF0E31D00000000010C0000950291EA24F0614FB6ACEDB12BF0E31D00002087B1B00000</t>
        </is>
      </c>
      <c r="C2237" t="inlineStr">
        <is>
          <t>cmm4yunca00jkcuqwgrx048jk</t>
        </is>
      </c>
      <c r="D2237" t="inlineStr">
        <is>
          <t>http://localhost:8787/api/admin/requirements/documents/cmm4yunca00jkcuqwgrx048jk/view</t>
        </is>
      </c>
      <c r="E2237">
        <f>HYPERLÄNK("http://localhost:8787/api/admin/requirements/documents/cmm4yunca00jkcuqwgrx048jk/view";"Öppna PDF")</f>
        <v/>
      </c>
      <c r="F2237">
        <f>HYPERLINK("http://localhost:8787/api/admin/requirements/documents/cmm4yunca00jkcuqwgrx048jk/view","Open PDF")</f>
        <v/>
      </c>
      <c r="G2237" t="inlineStr">
        <is>
          <t>cmm55w57p0004cuisfrtpqly8</t>
        </is>
      </c>
      <c r="H2237" t="inlineStr">
        <is>
          <t>Beslutsvillkor</t>
        </is>
      </c>
      <c r="I2237" t="inlineStr">
        <is>
          <t>DriftEgenkontroll</t>
        </is>
      </c>
      <c r="J2237" t="inlineStr">
        <is>
          <t>Journalforing</t>
        </is>
      </c>
      <c r="K2237" t="inlineStr">
        <is>
          <t>Jordprovtagningskarta bifogas.</t>
        </is>
      </c>
      <c r="L2237" t="inlineStr">
        <is>
          <t>Jordprovtagningskarta bifogas.</t>
        </is>
      </c>
      <c r="M2237" t="inlineStr">
        <is>
          <t>SKA</t>
        </is>
      </c>
      <c r="N2237" t="inlineStr"/>
      <c r="O2237" t="inlineStr"/>
      <c r="P2237" t="inlineStr"/>
      <c r="Q2237" t="inlineStr"/>
      <c r="R2237" t="inlineStr">
        <is>
          <t>Lopande drift</t>
        </is>
      </c>
      <c r="S2237" t="inlineStr"/>
      <c r="T2237" t="inlineStr">
        <is>
          <t>944194</t>
        </is>
      </c>
      <c r="U2237" t="inlineStr"/>
      <c r="V2237" t="inlineStr"/>
      <c r="W2237" t="inlineStr">
        <is>
          <t>Nej</t>
        </is>
      </c>
      <c r="X2237" t="inlineStr">
        <is>
          <t>Nej</t>
        </is>
      </c>
      <c r="Y2237" t="inlineStr">
        <is>
          <t>Ja</t>
        </is>
      </c>
      <c r="Z2237" t="inlineStr">
        <is>
          <t>Nej</t>
        </is>
      </c>
      <c r="AA2237" t="n">
        <v>7</v>
      </c>
      <c r="AB2237" t="inlineStr">
        <is>
          <t>Egenkontrollrutiner</t>
        </is>
      </c>
      <c r="AC2237" t="inlineStr">
        <is>
          <t>Egenkontrollprogram</t>
        </is>
      </c>
      <c r="AD2237" t="inlineStr">
        <is>
          <t>Nej</t>
        </is>
      </c>
      <c r="AE2237" t="inlineStr">
        <is>
          <t>Nej</t>
        </is>
      </c>
      <c r="AF2237" t="inlineStr">
        <is>
          <t>Ej behandlad</t>
        </is>
      </c>
      <c r="AG2237" t="inlineStr">
        <is>
          <t>AUTO_GENERERAD. Verifiera citat mot kallfil.</t>
        </is>
      </c>
      <c r="AH2237" t="inlineStr">
        <is>
          <t>LOW</t>
        </is>
      </c>
      <c r="AI2237" t="inlineStr">
        <is>
          <t>AUTO</t>
        </is>
      </c>
      <c r="AJ2237" t="inlineStr">
        <is>
          <t>Nej</t>
        </is>
      </c>
      <c r="AK2237" t="inlineStr"/>
      <c r="AL2237" t="inlineStr"/>
      <c r="AM2237" t="inlineStr"/>
      <c r="AN2237" t="inlineStr"/>
      <c r="AO2237" t="inlineStr">
        <is>
          <t>cmm4yuncm00jwcuqwryebpuil</t>
        </is>
      </c>
      <c r="AP2237" t="inlineStr">
        <is>
          <t>http://localhost:8787/api/admin/requirements/documents/cmm4yuncm00jwcuqwryebpuil/view</t>
        </is>
      </c>
      <c r="AQ2237">
        <f>HYPERLÄNK("http://localhost:8787/api/admin/requirements/documents/cmm4yuncm00jwcuqwryebpuil/view";"Öppna PDF")</f>
        <v/>
      </c>
      <c r="AR2237">
        <f>HYPERLINK("http://localhost:8787/api/admin/requirements/documents/cmm4yuncm00jwcuqwryebpuil/view","Open PDF")</f>
        <v/>
      </c>
      <c r="AS2237" t="inlineStr">
        <is>
          <t>cmm55w57p0004cuisfrtpqly8</t>
        </is>
      </c>
      <c r="AT2237" t="inlineStr">
        <is>
          <t>cmm4xvu980000cuh4vj0usz09</t>
        </is>
      </c>
      <c r="AU2237" t="inlineStr"/>
      <c r="AV2237" t="inlineStr">
        <is>
          <t>Kommun</t>
        </is>
      </c>
      <c r="AW2237" t="inlineStr"/>
      <c r="AX2237" t="inlineStr">
        <is>
          <t>2026-02</t>
        </is>
      </c>
      <c r="AY2237" t="inlineStr">
        <is>
          <t>Beslut</t>
        </is>
      </c>
      <c r="AZ2237" t="inlineStr">
        <is>
          <t>2026-02-03</t>
        </is>
      </c>
      <c r="BA2237" t="inlineStr">
        <is>
          <t>MIL20251366pdf_976418.pdf</t>
        </is>
      </c>
      <c r="BB2237" t="inlineStr">
        <is>
          <t>Begäran om allmän handling i ärende  MIL.2026.363</t>
        </is>
      </c>
      <c r="BC2237" t="inlineStr">
        <is>
          <t>AUTO</t>
        </is>
      </c>
      <c r="BD2237" t="inlineStr"/>
      <c r="BE2237" t="inlineStr"/>
      <c r="BF2237" t="inlineStr">
        <is>
          <t>AUTO_GENERERAD. Bekrafta metadata mot kallfil.</t>
        </is>
      </c>
      <c r="BG2237">
        <f>HYPERLINK("C:\Users\jimmy\Desktop\Examens arbete\Kod\Ny mapp\remix_-copy-of-miljöbeslut.se-portal\MIL20251366pdf_976418.pdf", "Öppna PDF")</f>
        <v/>
      </c>
    </row>
    <row r="2238">
      <c r="A2238" t="inlineStr">
        <is>
          <t>KRAV-AUTO-002237</t>
        </is>
      </c>
      <c r="B2238" t="inlineStr">
        <is>
          <t>ADMIN-INDEX-2026-02-27-00000000125C043F57453246863FE664CAFE6A3F0700950291EA24F0614FB6ACEDB12BF0E31D00000000010C0000950291EA24F0614FB6ACEDB12BF0E31D00002087B1B00000</t>
        </is>
      </c>
      <c r="C2238" t="inlineStr">
        <is>
          <t>cmm4yunca00jkcuqwgrx048jk</t>
        </is>
      </c>
      <c r="D2238" t="inlineStr">
        <is>
          <t>http://localhost:8787/api/admin/requirements/documents/cmm4yunca00jkcuqwgrx048jk/view</t>
        </is>
      </c>
      <c r="E2238">
        <f>HYPERLÄNK("http://localhost:8787/api/admin/requirements/documents/cmm4yunca00jkcuqwgrx048jk/view";"Öppna PDF")</f>
        <v/>
      </c>
      <c r="F2238">
        <f>HYPERLINK("http://localhost:8787/api/admin/requirements/documents/cmm4yunca00jkcuqwgrx048jk/view","Open PDF")</f>
        <v/>
      </c>
      <c r="G2238" t="inlineStr">
        <is>
          <t>cmm55w57p0004cuisfrtpqly8</t>
        </is>
      </c>
      <c r="H2238" t="inlineStr">
        <is>
          <t>Beslutsvillkor</t>
        </is>
      </c>
      <c r="I2238" t="inlineStr">
        <is>
          <t>Riskhantering</t>
        </is>
      </c>
      <c r="J2238" t="inlineStr">
        <is>
          <t>Riskkontroll</t>
        </is>
      </c>
      <c r="K2238" t="inlineStr">
        <is>
          <t>Täckning ska med hänsyn till risk för luktolägenhet göras i snar anslutning till uppläggning.</t>
        </is>
      </c>
      <c r="L2238" t="inlineStr">
        <is>
          <t>Täckning ska med hänsyn till risk för luktolägenhet göras i snar anslutning till uppläggning.</t>
        </is>
      </c>
      <c r="M2238" t="inlineStr">
        <is>
          <t>SKA</t>
        </is>
      </c>
      <c r="N2238" t="inlineStr"/>
      <c r="O2238" t="inlineStr"/>
      <c r="P2238" t="inlineStr"/>
      <c r="Q2238" t="inlineStr"/>
      <c r="R2238" t="inlineStr">
        <is>
          <t>Vid risk for incident</t>
        </is>
      </c>
      <c r="S2238" t="inlineStr"/>
      <c r="T2238" t="inlineStr">
        <is>
          <t>944194</t>
        </is>
      </c>
      <c r="U2238" t="inlineStr"/>
      <c r="V2238" t="inlineStr"/>
      <c r="W2238" t="inlineStr">
        <is>
          <t>Nej</t>
        </is>
      </c>
      <c r="X2238" t="inlineStr">
        <is>
          <t>Nej</t>
        </is>
      </c>
      <c r="Y2238" t="inlineStr">
        <is>
          <t>Ja</t>
        </is>
      </c>
      <c r="Z2238" t="inlineStr">
        <is>
          <t>Ja</t>
        </is>
      </c>
      <c r="AA2238" t="n">
        <v>8</v>
      </c>
      <c r="AB2238" t="inlineStr">
        <is>
          <t>Riskhantering</t>
        </is>
      </c>
      <c r="AC2238" t="inlineStr">
        <is>
          <t>Risk-PM</t>
        </is>
      </c>
      <c r="AD2238" t="inlineStr">
        <is>
          <t>Nej</t>
        </is>
      </c>
      <c r="AE2238" t="inlineStr">
        <is>
          <t>Nej</t>
        </is>
      </c>
      <c r="AF2238" t="inlineStr">
        <is>
          <t>Ej behandlad</t>
        </is>
      </c>
      <c r="AG2238" t="inlineStr">
        <is>
          <t>AUTO_GENERERAD. Verifiera citat mot kallfil.</t>
        </is>
      </c>
      <c r="AH2238" t="inlineStr">
        <is>
          <t>MEDIUM</t>
        </is>
      </c>
      <c r="AI2238" t="inlineStr">
        <is>
          <t>AUTO</t>
        </is>
      </c>
      <c r="AJ2238" t="inlineStr">
        <is>
          <t>Nej</t>
        </is>
      </c>
      <c r="AK2238" t="inlineStr"/>
      <c r="AL2238" t="inlineStr"/>
      <c r="AM2238" t="inlineStr"/>
      <c r="AN2238" t="inlineStr"/>
      <c r="AO2238" t="inlineStr">
        <is>
          <t>cmm4yuncm00jwcuqwryebpuil</t>
        </is>
      </c>
      <c r="AP2238" t="inlineStr">
        <is>
          <t>http://localhost:8787/api/admin/requirements/documents/cmm4yuncm00jwcuqwryebpuil/view</t>
        </is>
      </c>
      <c r="AQ2238">
        <f>HYPERLÄNK("http://localhost:8787/api/admin/requirements/documents/cmm4yuncm00jwcuqwryebpuil/view";"Öppna PDF")</f>
        <v/>
      </c>
      <c r="AR2238">
        <f>HYPERLINK("http://localhost:8787/api/admin/requirements/documents/cmm4yuncm00jwcuqwryebpuil/view","Open PDF")</f>
        <v/>
      </c>
      <c r="AS2238" t="inlineStr">
        <is>
          <t>cmm55w57p0004cuisfrtpqly8</t>
        </is>
      </c>
      <c r="AT2238" t="inlineStr">
        <is>
          <t>cmm4xvu980000cuh4vj0usz09</t>
        </is>
      </c>
      <c r="AU2238" t="inlineStr"/>
      <c r="AV2238" t="inlineStr">
        <is>
          <t>Kommun</t>
        </is>
      </c>
      <c r="AW2238" t="inlineStr"/>
      <c r="AX2238" t="inlineStr">
        <is>
          <t>2026-02</t>
        </is>
      </c>
      <c r="AY2238" t="inlineStr">
        <is>
          <t>Beslut</t>
        </is>
      </c>
      <c r="AZ2238" t="inlineStr">
        <is>
          <t>2026-02-03</t>
        </is>
      </c>
      <c r="BA2238" t="inlineStr">
        <is>
          <t>MIL20251366pdf_976418.pdf</t>
        </is>
      </c>
      <c r="BB2238" t="inlineStr">
        <is>
          <t>Begäran om allmän handling i ärende  MIL.2026.363</t>
        </is>
      </c>
      <c r="BC2238" t="inlineStr">
        <is>
          <t>AUTO</t>
        </is>
      </c>
      <c r="BD2238" t="inlineStr"/>
      <c r="BE2238" t="inlineStr"/>
      <c r="BF2238" t="inlineStr">
        <is>
          <t>AUTO_GENERERAD. Bekrafta metadata mot kallfil.</t>
        </is>
      </c>
      <c r="BG2238">
        <f>HYPERLINK("C:\Users\jimmy\Desktop\Examens arbete\Kod\Ny mapp\remix_-copy-of-miljöbeslut.se-portal\MIL20251366pdf_976418.pdf", "Öppna PDF")</f>
        <v/>
      </c>
    </row>
    <row r="2239">
      <c r="A2239" t="inlineStr">
        <is>
          <t>KRAV-AUTO-002238</t>
        </is>
      </c>
      <c r="B2239" t="inlineStr">
        <is>
          <t>ADMIN-INDEX-2026-02-27-00000000125C043F57453246863FE664CAFE6A3F0700950291EA24F0614FB6ACEDB12BF0E31D00000000010C0000950291EA24F0614FB6ACEDB12BF0E31D00002087B1B10000</t>
        </is>
      </c>
      <c r="C2239" t="inlineStr">
        <is>
          <t>cmm4yunc600jhcuqwnyewlxum</t>
        </is>
      </c>
      <c r="D2239" t="inlineStr">
        <is>
          <t>http://localhost:8787/api/admin/requirements/documents/cmm4yunc600jhcuqwnyewlxum/view</t>
        </is>
      </c>
      <c r="E2239">
        <f>HYPERLÄNK("http://localhost:8787/api/admin/requirements/documents/cmm4yunc600jhcuqwnyewlxum/view";"Öppna PDF")</f>
        <v/>
      </c>
      <c r="F2239">
        <f>HYPERLINK("http://localhost:8787/api/admin/requirements/documents/cmm4yunc600jhcuqwnyewlxum/view","Open PDF")</f>
        <v/>
      </c>
      <c r="G2239" t="inlineStr">
        <is>
          <t>cmm55w57p0004cuisfrtpqly8</t>
        </is>
      </c>
      <c r="H2239" t="inlineStr">
        <is>
          <t>Beslutsvillkor</t>
        </is>
      </c>
      <c r="I2239" t="inlineStr">
        <is>
          <t>DagvattenLakvatten</t>
        </is>
      </c>
      <c r="J2239" t="inlineStr">
        <is>
          <t>Uppsamling</t>
        </is>
      </c>
      <c r="K2239" t="inlineStr">
        <is>
          <t>Lagringen ska ske så att risken för uppkomst av lakvatten från rötslammet minimeras.</t>
        </is>
      </c>
      <c r="L2239" t="inlineStr">
        <is>
          <t>Lagringen ska ske så att risken för uppkomst av lakvatten från rötslammet minimeras.</t>
        </is>
      </c>
      <c r="M2239" t="inlineStr">
        <is>
          <t>SKA</t>
        </is>
      </c>
      <c r="N2239" t="inlineStr"/>
      <c r="O2239" t="inlineStr"/>
      <c r="P2239" t="inlineStr"/>
      <c r="Q2239" t="inlineStr"/>
      <c r="R2239" t="inlineStr">
        <is>
          <t>Vid nederbord och avrinning</t>
        </is>
      </c>
      <c r="S2239" t="inlineStr"/>
      <c r="T2239" t="inlineStr">
        <is>
          <t>940019</t>
        </is>
      </c>
      <c r="U2239" t="inlineStr"/>
      <c r="V2239" t="inlineStr"/>
      <c r="W2239" t="inlineStr">
        <is>
          <t>Nej</t>
        </is>
      </c>
      <c r="X2239" t="inlineStr">
        <is>
          <t>Ja</t>
        </is>
      </c>
      <c r="Y2239" t="inlineStr">
        <is>
          <t>Ja</t>
        </is>
      </c>
      <c r="Z2239" t="inlineStr">
        <is>
          <t>Nej</t>
        </is>
      </c>
      <c r="AA2239" t="n">
        <v>6</v>
      </c>
      <c r="AB2239" t="inlineStr">
        <is>
          <t>Lakvattenhantering</t>
        </is>
      </c>
      <c r="AC2239" t="inlineStr">
        <is>
          <t>Flodesschema dagvatten-lakvatten</t>
        </is>
      </c>
      <c r="AD2239" t="inlineStr">
        <is>
          <t>Nej</t>
        </is>
      </c>
      <c r="AE2239" t="inlineStr">
        <is>
          <t>Nej</t>
        </is>
      </c>
      <c r="AF2239" t="inlineStr">
        <is>
          <t>Ej behandlad</t>
        </is>
      </c>
      <c r="AG2239" t="inlineStr">
        <is>
          <t>AUTO_GENERERAD. Verifiera citat mot kallfil.</t>
        </is>
      </c>
      <c r="AH2239" t="inlineStr">
        <is>
          <t>MEDIUM</t>
        </is>
      </c>
      <c r="AI2239" t="inlineStr">
        <is>
          <t>AUTO</t>
        </is>
      </c>
      <c r="AJ2239" t="inlineStr">
        <is>
          <t>Nej</t>
        </is>
      </c>
      <c r="AK2239" t="inlineStr"/>
      <c r="AL2239" t="inlineStr"/>
      <c r="AM2239" t="inlineStr"/>
      <c r="AN2239" t="inlineStr"/>
      <c r="AO2239" t="inlineStr">
        <is>
          <t>cmm4yunc600jhcuqwnyewlxum</t>
        </is>
      </c>
      <c r="AP2239" t="inlineStr">
        <is>
          <t>http://localhost:8787/api/admin/requirements/documents/cmm4yunc600jhcuqwnyewlxum/view</t>
        </is>
      </c>
      <c r="AQ2239">
        <f>HYPERLÄNK("http://localhost:8787/api/admin/requirements/documents/cmm4yunc600jhcuqwnyewlxum/view";"Öppna PDF")</f>
        <v/>
      </c>
      <c r="AR2239">
        <f>HYPERLINK("http://localhost:8787/api/admin/requirements/documents/cmm4yunc600jhcuqwnyewlxum/view","Open PDF")</f>
        <v/>
      </c>
      <c r="AS2239" t="inlineStr">
        <is>
          <t>cmm55w57p0004cuisfrtpqly8</t>
        </is>
      </c>
      <c r="AT2239" t="inlineStr">
        <is>
          <t>cmm4xvu980000cuh4vj0usz09</t>
        </is>
      </c>
      <c r="AU2239" t="inlineStr"/>
      <c r="AV2239" t="inlineStr">
        <is>
          <t>Kommun</t>
        </is>
      </c>
      <c r="AW2239" t="inlineStr"/>
      <c r="AX2239" t="inlineStr">
        <is>
          <t>2026-02</t>
        </is>
      </c>
      <c r="AY2239" t="inlineStr">
        <is>
          <t>Beslut</t>
        </is>
      </c>
      <c r="AZ2239" t="inlineStr">
        <is>
          <t>2026-02-03</t>
        </is>
      </c>
      <c r="BA2239" t="inlineStr">
        <is>
          <t>MIL20251175pdf_976410.pdf</t>
        </is>
      </c>
      <c r="BB2239" t="inlineStr">
        <is>
          <t>Begäran om allmän handling i ärende  MIL.2026.363</t>
        </is>
      </c>
      <c r="BC2239" t="inlineStr">
        <is>
          <t>AUTO</t>
        </is>
      </c>
      <c r="BD2239" t="inlineStr"/>
      <c r="BE2239" t="inlineStr"/>
      <c r="BF2239" t="inlineStr">
        <is>
          <t>AUTO_GENERERAD. Bekrafta metadata mot kallfil.</t>
        </is>
      </c>
      <c r="BG2239">
        <f>HYPERLINK("C:\Users\jimmy\Desktop\Examens arbete\Kod\Ny mapp\remix_-copy-of-miljöbeslut.se-portal\MIL20251175pdf_976410.pdf", "Öppna PDF")</f>
        <v/>
      </c>
    </row>
    <row r="2240">
      <c r="A2240" t="inlineStr">
        <is>
          <t>KRAV-AUTO-002239</t>
        </is>
      </c>
      <c r="B2240" t="inlineStr">
        <is>
          <t>ADMIN-INDEX-2026-02-27-00000000125C043F57453246863FE664CAFE6A3F0700950291EA24F0614FB6ACEDB12BF0E31D00000000010C0000950291EA24F0614FB6ACEDB12BF0E31D00002087B1B10000</t>
        </is>
      </c>
      <c r="C2240" t="inlineStr">
        <is>
          <t>cmm4yunc600jhcuqwnyewlxum</t>
        </is>
      </c>
      <c r="D2240" t="inlineStr">
        <is>
          <t>http://localhost:8787/api/admin/requirements/documents/cmm4yunc600jhcuqwnyewlxum/view</t>
        </is>
      </c>
      <c r="E2240">
        <f>HYPERLÄNK("http://localhost:8787/api/admin/requirements/documents/cmm4yunc600jhcuqwnyewlxum/view";"Öppna PDF")</f>
        <v/>
      </c>
      <c r="F2240">
        <f>HYPERLINK("http://localhost:8787/api/admin/requirements/documents/cmm4yunc600jhcuqwnyewlxum/view","Open PDF")</f>
        <v/>
      </c>
      <c r="G2240" t="inlineStr">
        <is>
          <t>cmm55w57p0004cuisfrtpqly8</t>
        </is>
      </c>
      <c r="H2240" t="inlineStr">
        <is>
          <t>Beslutsvillkor</t>
        </is>
      </c>
      <c r="I2240" t="inlineStr">
        <is>
          <t>DriftEgenkontroll</t>
        </is>
      </c>
      <c r="J2240" t="inlineStr">
        <is>
          <t>Journalforing</t>
        </is>
      </c>
      <c r="K2240" t="inlineStr">
        <is>
          <t>Jordprovtagningskarta bifogas.</t>
        </is>
      </c>
      <c r="L2240" t="inlineStr">
        <is>
          <t>Jordprovtagningskarta bifogas.</t>
        </is>
      </c>
      <c r="M2240" t="inlineStr">
        <is>
          <t>SKA</t>
        </is>
      </c>
      <c r="N2240" t="inlineStr"/>
      <c r="O2240" t="inlineStr"/>
      <c r="P2240" t="inlineStr"/>
      <c r="Q2240" t="inlineStr"/>
      <c r="R2240" t="inlineStr">
        <is>
          <t>Lopande drift</t>
        </is>
      </c>
      <c r="S2240" t="inlineStr"/>
      <c r="T2240" t="inlineStr">
        <is>
          <t>940019</t>
        </is>
      </c>
      <c r="U2240" t="inlineStr"/>
      <c r="V2240" t="inlineStr"/>
      <c r="W2240" t="inlineStr">
        <is>
          <t>Nej</t>
        </is>
      </c>
      <c r="X2240" t="inlineStr">
        <is>
          <t>Nej</t>
        </is>
      </c>
      <c r="Y2240" t="inlineStr">
        <is>
          <t>Ja</t>
        </is>
      </c>
      <c r="Z2240" t="inlineStr">
        <is>
          <t>Nej</t>
        </is>
      </c>
      <c r="AA2240" t="n">
        <v>7</v>
      </c>
      <c r="AB2240" t="inlineStr">
        <is>
          <t>Egenkontrollrutiner</t>
        </is>
      </c>
      <c r="AC2240" t="inlineStr">
        <is>
          <t>Egenkontrollprogram</t>
        </is>
      </c>
      <c r="AD2240" t="inlineStr">
        <is>
          <t>Nej</t>
        </is>
      </c>
      <c r="AE2240" t="inlineStr">
        <is>
          <t>Nej</t>
        </is>
      </c>
      <c r="AF2240" t="inlineStr">
        <is>
          <t>Ej behandlad</t>
        </is>
      </c>
      <c r="AG2240" t="inlineStr">
        <is>
          <t>AUTO_GENERERAD. Verifiera citat mot kallfil.</t>
        </is>
      </c>
      <c r="AH2240" t="inlineStr">
        <is>
          <t>LOW</t>
        </is>
      </c>
      <c r="AI2240" t="inlineStr">
        <is>
          <t>AUTO</t>
        </is>
      </c>
      <c r="AJ2240" t="inlineStr">
        <is>
          <t>Nej</t>
        </is>
      </c>
      <c r="AK2240" t="inlineStr"/>
      <c r="AL2240" t="inlineStr"/>
      <c r="AM2240" t="inlineStr"/>
      <c r="AN2240" t="inlineStr"/>
      <c r="AO2240" t="inlineStr">
        <is>
          <t>cmm4yunc600jhcuqwnyewlxum</t>
        </is>
      </c>
      <c r="AP2240" t="inlineStr">
        <is>
          <t>http://localhost:8787/api/admin/requirements/documents/cmm4yunc600jhcuqwnyewlxum/view</t>
        </is>
      </c>
      <c r="AQ2240">
        <f>HYPERLÄNK("http://localhost:8787/api/admin/requirements/documents/cmm4yunc600jhcuqwnyewlxum/view";"Öppna PDF")</f>
        <v/>
      </c>
      <c r="AR2240">
        <f>HYPERLINK("http://localhost:8787/api/admin/requirements/documents/cmm4yunc600jhcuqwnyewlxum/view","Open PDF")</f>
        <v/>
      </c>
      <c r="AS2240" t="inlineStr">
        <is>
          <t>cmm55w57p0004cuisfrtpqly8</t>
        </is>
      </c>
      <c r="AT2240" t="inlineStr">
        <is>
          <t>cmm4xvu980000cuh4vj0usz09</t>
        </is>
      </c>
      <c r="AU2240" t="inlineStr"/>
      <c r="AV2240" t="inlineStr">
        <is>
          <t>Kommun</t>
        </is>
      </c>
      <c r="AW2240" t="inlineStr"/>
      <c r="AX2240" t="inlineStr">
        <is>
          <t>2026-02</t>
        </is>
      </c>
      <c r="AY2240" t="inlineStr">
        <is>
          <t>Beslut</t>
        </is>
      </c>
      <c r="AZ2240" t="inlineStr">
        <is>
          <t>2026-02-03</t>
        </is>
      </c>
      <c r="BA2240" t="inlineStr">
        <is>
          <t>MIL20251175pdf_976410.pdf</t>
        </is>
      </c>
      <c r="BB2240" t="inlineStr">
        <is>
          <t>Begäran om allmän handling i ärende  MIL.2026.363</t>
        </is>
      </c>
      <c r="BC2240" t="inlineStr">
        <is>
          <t>AUTO</t>
        </is>
      </c>
      <c r="BD2240" t="inlineStr"/>
      <c r="BE2240" t="inlineStr"/>
      <c r="BF2240" t="inlineStr">
        <is>
          <t>AUTO_GENERERAD. Bekrafta metadata mot kallfil.</t>
        </is>
      </c>
      <c r="BG2240">
        <f>HYPERLINK("C:\Users\jimmy\Desktop\Examens arbete\Kod\Ny mapp\remix_-copy-of-miljöbeslut.se-portal\MIL20251175pdf_976410.pdf", "Öppna PDF")</f>
        <v/>
      </c>
    </row>
    <row r="2241">
      <c r="A2241" t="inlineStr">
        <is>
          <t>KRAV-AUTO-002240</t>
        </is>
      </c>
      <c r="B2241" t="inlineStr">
        <is>
          <t>ADMIN-INDEX-2026-02-27-00000000125C043F57453246863FE664CAFE6A3F0700950291EA24F0614FB6ACEDB12BF0E31D00000000010C0000950291EA24F0614FB6ACEDB12BF0E31D00002087B1B10000</t>
        </is>
      </c>
      <c r="C2241" t="inlineStr">
        <is>
          <t>cmm4yunc600jhcuqwnyewlxum</t>
        </is>
      </c>
      <c r="D2241" t="inlineStr">
        <is>
          <t>http://localhost:8787/api/admin/requirements/documents/cmm4yunc600jhcuqwnyewlxum/view</t>
        </is>
      </c>
      <c r="E2241">
        <f>HYPERLÄNK("http://localhost:8787/api/admin/requirements/documents/cmm4yunc600jhcuqwnyewlxum/view";"Öppna PDF")</f>
        <v/>
      </c>
      <c r="F2241">
        <f>HYPERLINK("http://localhost:8787/api/admin/requirements/documents/cmm4yunc600jhcuqwnyewlxum/view","Open PDF")</f>
        <v/>
      </c>
      <c r="G2241" t="inlineStr">
        <is>
          <t>cmm55w57p0004cuisfrtpqly8</t>
        </is>
      </c>
      <c r="H2241" t="inlineStr">
        <is>
          <t>Beslutsvillkor</t>
        </is>
      </c>
      <c r="I2241" t="inlineStr">
        <is>
          <t>Riskhantering</t>
        </is>
      </c>
      <c r="J2241" t="inlineStr">
        <is>
          <t>Riskkontroll</t>
        </is>
      </c>
      <c r="K2241" t="inlineStr">
        <is>
          <t>Täckning ska med hänsyn till risk för luktolägenhet göras i snar anslutning till uppläggning.</t>
        </is>
      </c>
      <c r="L2241" t="inlineStr">
        <is>
          <t>Täckning ska med hänsyn till risk för luktolägenhet göras i snar anslutning till uppläggning.</t>
        </is>
      </c>
      <c r="M2241" t="inlineStr">
        <is>
          <t>SKA</t>
        </is>
      </c>
      <c r="N2241" t="inlineStr"/>
      <c r="O2241" t="inlineStr"/>
      <c r="P2241" t="inlineStr"/>
      <c r="Q2241" t="inlineStr"/>
      <c r="R2241" t="inlineStr">
        <is>
          <t>Vid risk for incident</t>
        </is>
      </c>
      <c r="S2241" t="inlineStr"/>
      <c r="T2241" t="inlineStr">
        <is>
          <t>940019</t>
        </is>
      </c>
      <c r="U2241" t="inlineStr"/>
      <c r="V2241" t="inlineStr"/>
      <c r="W2241" t="inlineStr">
        <is>
          <t>Nej</t>
        </is>
      </c>
      <c r="X2241" t="inlineStr">
        <is>
          <t>Nej</t>
        </is>
      </c>
      <c r="Y2241" t="inlineStr">
        <is>
          <t>Ja</t>
        </is>
      </c>
      <c r="Z2241" t="inlineStr">
        <is>
          <t>Ja</t>
        </is>
      </c>
      <c r="AA2241" t="n">
        <v>8</v>
      </c>
      <c r="AB2241" t="inlineStr">
        <is>
          <t>Riskhantering</t>
        </is>
      </c>
      <c r="AC2241" t="inlineStr">
        <is>
          <t>Risk-PM</t>
        </is>
      </c>
      <c r="AD2241" t="inlineStr">
        <is>
          <t>Nej</t>
        </is>
      </c>
      <c r="AE2241" t="inlineStr">
        <is>
          <t>Nej</t>
        </is>
      </c>
      <c r="AF2241" t="inlineStr">
        <is>
          <t>Ej behandlad</t>
        </is>
      </c>
      <c r="AG2241" t="inlineStr">
        <is>
          <t>AUTO_GENERERAD. Verifiera citat mot kallfil.</t>
        </is>
      </c>
      <c r="AH2241" t="inlineStr">
        <is>
          <t>MEDIUM</t>
        </is>
      </c>
      <c r="AI2241" t="inlineStr">
        <is>
          <t>AUTO</t>
        </is>
      </c>
      <c r="AJ2241" t="inlineStr">
        <is>
          <t>Nej</t>
        </is>
      </c>
      <c r="AK2241" t="inlineStr"/>
      <c r="AL2241" t="inlineStr"/>
      <c r="AM2241" t="inlineStr"/>
      <c r="AN2241" t="inlineStr"/>
      <c r="AO2241" t="inlineStr">
        <is>
          <t>cmm4yunc600jhcuqwnyewlxum</t>
        </is>
      </c>
      <c r="AP2241" t="inlineStr">
        <is>
          <t>http://localhost:8787/api/admin/requirements/documents/cmm4yunc600jhcuqwnyewlxum/view</t>
        </is>
      </c>
      <c r="AQ2241">
        <f>HYPERLÄNK("http://localhost:8787/api/admin/requirements/documents/cmm4yunc600jhcuqwnyewlxum/view";"Öppna PDF")</f>
        <v/>
      </c>
      <c r="AR2241">
        <f>HYPERLINK("http://localhost:8787/api/admin/requirements/documents/cmm4yunc600jhcuqwnyewlxum/view","Open PDF")</f>
        <v/>
      </c>
      <c r="AS2241" t="inlineStr">
        <is>
          <t>cmm55w57p0004cuisfrtpqly8</t>
        </is>
      </c>
      <c r="AT2241" t="inlineStr">
        <is>
          <t>cmm4xvu980000cuh4vj0usz09</t>
        </is>
      </c>
      <c r="AU2241" t="inlineStr"/>
      <c r="AV2241" t="inlineStr">
        <is>
          <t>Kommun</t>
        </is>
      </c>
      <c r="AW2241" t="inlineStr"/>
      <c r="AX2241" t="inlineStr">
        <is>
          <t>2026-02</t>
        </is>
      </c>
      <c r="AY2241" t="inlineStr">
        <is>
          <t>Beslut</t>
        </is>
      </c>
      <c r="AZ2241" t="inlineStr">
        <is>
          <t>2026-02-03</t>
        </is>
      </c>
      <c r="BA2241" t="inlineStr">
        <is>
          <t>MIL20251175pdf_976410.pdf</t>
        </is>
      </c>
      <c r="BB2241" t="inlineStr">
        <is>
          <t>Begäran om allmän handling i ärende  MIL.2026.363</t>
        </is>
      </c>
      <c r="BC2241" t="inlineStr">
        <is>
          <t>AUTO</t>
        </is>
      </c>
      <c r="BD2241" t="inlineStr"/>
      <c r="BE2241" t="inlineStr"/>
      <c r="BF2241" t="inlineStr">
        <is>
          <t>AUTO_GENERERAD. Bekrafta metadata mot kallfil.</t>
        </is>
      </c>
      <c r="BG2241">
        <f>HYPERLINK("C:\Users\jimmy\Desktop\Examens arbete\Kod\Ny mapp\remix_-copy-of-miljöbeslut.se-portal\MIL20251175pdf_976410.pdf", "Öppna PDF")</f>
        <v/>
      </c>
    </row>
    <row r="2242">
      <c r="A2242" t="inlineStr">
        <is>
          <t>KRAV-AUTO-002241</t>
        </is>
      </c>
      <c r="B2242" t="inlineStr">
        <is>
          <t>ADMIN-INDEX-2026-02-27-00000000125C043F57453246863FE664CAFE6A3F0700950291EA24F0614FB6ACEDB12BF0E31D00000000010C0000950291EA24F0614FB6ACEDB12BF0E31D00002087B1B10000</t>
        </is>
      </c>
      <c r="C2242" t="inlineStr">
        <is>
          <t>cmm4yunc200jecuqwfd3cj3tk</t>
        </is>
      </c>
      <c r="D2242" t="inlineStr">
        <is>
          <t>http://localhost:8787/api/admin/requirements/documents/cmm4yunc200jecuqwfd3cj3tk/view</t>
        </is>
      </c>
      <c r="E2242">
        <f>HYPERLÄNK("http://localhost:8787/api/admin/requirements/documents/cmm4yunc200jecuqwfd3cj3tk/view";"Öppna PDF")</f>
        <v/>
      </c>
      <c r="F2242">
        <f>HYPERLINK("http://localhost:8787/api/admin/requirements/documents/cmm4yunc200jecuqwfd3cj3tk/view","Open PDF")</f>
        <v/>
      </c>
      <c r="G2242" t="inlineStr">
        <is>
          <t>cmm55w57p0004cuisfrtpqly8</t>
        </is>
      </c>
      <c r="H2242" t="inlineStr">
        <is>
          <t>Beslutsvillkor</t>
        </is>
      </c>
      <c r="I2242" t="inlineStr">
        <is>
          <t>DagvattenLakvatten</t>
        </is>
      </c>
      <c r="J2242" t="inlineStr">
        <is>
          <t>Uppsamling</t>
        </is>
      </c>
      <c r="K2242" t="inlineStr">
        <is>
          <t>Lagringen ska ske så att risken för uppkomst av lakvatten från rötslammet minimeras.</t>
        </is>
      </c>
      <c r="L2242" t="inlineStr">
        <is>
          <t>Lagringen ska ske så att risken för uppkomst av lakvatten från rötslammet minimeras.</t>
        </is>
      </c>
      <c r="M2242" t="inlineStr">
        <is>
          <t>SKA</t>
        </is>
      </c>
      <c r="N2242" t="inlineStr"/>
      <c r="O2242" t="inlineStr"/>
      <c r="P2242" t="inlineStr"/>
      <c r="Q2242" t="inlineStr"/>
      <c r="R2242" t="inlineStr">
        <is>
          <t>Vid nederbord och avrinning</t>
        </is>
      </c>
      <c r="S2242" t="inlineStr"/>
      <c r="T2242" t="inlineStr">
        <is>
          <t>939712</t>
        </is>
      </c>
      <c r="U2242" t="inlineStr"/>
      <c r="V2242" t="inlineStr"/>
      <c r="W2242" t="inlineStr">
        <is>
          <t>Nej</t>
        </is>
      </c>
      <c r="X2242" t="inlineStr">
        <is>
          <t>Ja</t>
        </is>
      </c>
      <c r="Y2242" t="inlineStr">
        <is>
          <t>Ja</t>
        </is>
      </c>
      <c r="Z2242" t="inlineStr">
        <is>
          <t>Nej</t>
        </is>
      </c>
      <c r="AA2242" t="n">
        <v>6</v>
      </c>
      <c r="AB2242" t="inlineStr">
        <is>
          <t>Lakvattenhantering</t>
        </is>
      </c>
      <c r="AC2242" t="inlineStr">
        <is>
          <t>Flodesschema dagvatten-lakvatten</t>
        </is>
      </c>
      <c r="AD2242" t="inlineStr">
        <is>
          <t>Nej</t>
        </is>
      </c>
      <c r="AE2242" t="inlineStr">
        <is>
          <t>Nej</t>
        </is>
      </c>
      <c r="AF2242" t="inlineStr">
        <is>
          <t>Ej behandlad</t>
        </is>
      </c>
      <c r="AG2242" t="inlineStr">
        <is>
          <t>AUTO_GENERERAD. Verifiera citat mot kallfil.</t>
        </is>
      </c>
      <c r="AH2242" t="inlineStr">
        <is>
          <t>MEDIUM</t>
        </is>
      </c>
      <c r="AI2242" t="inlineStr">
        <is>
          <t>AUTO</t>
        </is>
      </c>
      <c r="AJ2242" t="inlineStr">
        <is>
          <t>Nej</t>
        </is>
      </c>
      <c r="AK2242" t="inlineStr"/>
      <c r="AL2242" t="inlineStr"/>
      <c r="AM2242" t="inlineStr"/>
      <c r="AN2242" t="inlineStr"/>
      <c r="AO2242" t="inlineStr">
        <is>
          <t>cmm4yunc600jhcuqwnyewlxum</t>
        </is>
      </c>
      <c r="AP2242" t="inlineStr">
        <is>
          <t>http://localhost:8787/api/admin/requirements/documents/cmm4yunc600jhcuqwnyewlxum/view</t>
        </is>
      </c>
      <c r="AQ2242">
        <f>HYPERLÄNK("http://localhost:8787/api/admin/requirements/documents/cmm4yunc600jhcuqwnyewlxum/view";"Öppna PDF")</f>
        <v/>
      </c>
      <c r="AR2242">
        <f>HYPERLINK("http://localhost:8787/api/admin/requirements/documents/cmm4yunc600jhcuqwnyewlxum/view","Open PDF")</f>
        <v/>
      </c>
      <c r="AS2242" t="inlineStr">
        <is>
          <t>cmm55w57p0004cuisfrtpqly8</t>
        </is>
      </c>
      <c r="AT2242" t="inlineStr">
        <is>
          <t>cmm4xvu980000cuh4vj0usz09</t>
        </is>
      </c>
      <c r="AU2242" t="inlineStr"/>
      <c r="AV2242" t="inlineStr">
        <is>
          <t>Kommun</t>
        </is>
      </c>
      <c r="AW2242" t="inlineStr"/>
      <c r="AX2242" t="inlineStr">
        <is>
          <t>2026-02</t>
        </is>
      </c>
      <c r="AY2242" t="inlineStr">
        <is>
          <t>Beslut</t>
        </is>
      </c>
      <c r="AZ2242" t="inlineStr">
        <is>
          <t>2026-02-03</t>
        </is>
      </c>
      <c r="BA2242" t="inlineStr">
        <is>
          <t>MIL20251175pdf_976410.pdf</t>
        </is>
      </c>
      <c r="BB2242" t="inlineStr">
        <is>
          <t>Begäran om allmän handling i ärende  MIL.2026.363</t>
        </is>
      </c>
      <c r="BC2242" t="inlineStr">
        <is>
          <t>AUTO</t>
        </is>
      </c>
      <c r="BD2242" t="inlineStr"/>
      <c r="BE2242" t="inlineStr"/>
      <c r="BF2242" t="inlineStr">
        <is>
          <t>AUTO_GENERERAD. Bekrafta metadata mot kallfil.</t>
        </is>
      </c>
      <c r="BG2242">
        <f>HYPERLINK("C:\Users\jimmy\Desktop\Examens arbete\Kod\Ny mapp\remix_-copy-of-miljöbeslut.se-portal\MIL20251175pdf_976410.pdf", "Öppna PDF")</f>
        <v/>
      </c>
    </row>
    <row r="2243">
      <c r="A2243" t="inlineStr">
        <is>
          <t>KRAV-AUTO-002242</t>
        </is>
      </c>
      <c r="B2243" t="inlineStr">
        <is>
          <t>ADMIN-INDEX-2026-02-27-00000000125C043F57453246863FE664CAFE6A3F0700950291EA24F0614FB6ACEDB12BF0E31D00000000010C0000950291EA24F0614FB6ACEDB12BF0E31D00002087B1B10000</t>
        </is>
      </c>
      <c r="C2243" t="inlineStr">
        <is>
          <t>cmm4yunc200jecuqwfd3cj3tk</t>
        </is>
      </c>
      <c r="D2243" t="inlineStr">
        <is>
          <t>http://localhost:8787/api/admin/requirements/documents/cmm4yunc200jecuqwfd3cj3tk/view</t>
        </is>
      </c>
      <c r="E2243">
        <f>HYPERLÄNK("http://localhost:8787/api/admin/requirements/documents/cmm4yunc200jecuqwfd3cj3tk/view";"Öppna PDF")</f>
        <v/>
      </c>
      <c r="F2243">
        <f>HYPERLINK("http://localhost:8787/api/admin/requirements/documents/cmm4yunc200jecuqwfd3cj3tk/view","Open PDF")</f>
        <v/>
      </c>
      <c r="G2243" t="inlineStr">
        <is>
          <t>cmm55w57p0004cuisfrtpqly8</t>
        </is>
      </c>
      <c r="H2243" t="inlineStr">
        <is>
          <t>Beslutsvillkor</t>
        </is>
      </c>
      <c r="I2243" t="inlineStr">
        <is>
          <t>DriftEgenkontroll</t>
        </is>
      </c>
      <c r="J2243" t="inlineStr">
        <is>
          <t>Journalforing</t>
        </is>
      </c>
      <c r="K2243" t="inlineStr">
        <is>
          <t>Jordprovtagningskarta bifogas.</t>
        </is>
      </c>
      <c r="L2243" t="inlineStr">
        <is>
          <t>Jordprovtagningskarta bifogas.</t>
        </is>
      </c>
      <c r="M2243" t="inlineStr">
        <is>
          <t>SKA</t>
        </is>
      </c>
      <c r="N2243" t="inlineStr"/>
      <c r="O2243" t="inlineStr"/>
      <c r="P2243" t="inlineStr"/>
      <c r="Q2243" t="inlineStr"/>
      <c r="R2243" t="inlineStr">
        <is>
          <t>Lopande drift</t>
        </is>
      </c>
      <c r="S2243" t="inlineStr"/>
      <c r="T2243" t="inlineStr">
        <is>
          <t>939712</t>
        </is>
      </c>
      <c r="U2243" t="inlineStr"/>
      <c r="V2243" t="inlineStr"/>
      <c r="W2243" t="inlineStr">
        <is>
          <t>Nej</t>
        </is>
      </c>
      <c r="X2243" t="inlineStr">
        <is>
          <t>Nej</t>
        </is>
      </c>
      <c r="Y2243" t="inlineStr">
        <is>
          <t>Ja</t>
        </is>
      </c>
      <c r="Z2243" t="inlineStr">
        <is>
          <t>Nej</t>
        </is>
      </c>
      <c r="AA2243" t="n">
        <v>7</v>
      </c>
      <c r="AB2243" t="inlineStr">
        <is>
          <t>Egenkontrollrutiner</t>
        </is>
      </c>
      <c r="AC2243" t="inlineStr">
        <is>
          <t>Egenkontrollprogram</t>
        </is>
      </c>
      <c r="AD2243" t="inlineStr">
        <is>
          <t>Nej</t>
        </is>
      </c>
      <c r="AE2243" t="inlineStr">
        <is>
          <t>Nej</t>
        </is>
      </c>
      <c r="AF2243" t="inlineStr">
        <is>
          <t>Ej behandlad</t>
        </is>
      </c>
      <c r="AG2243" t="inlineStr">
        <is>
          <t>AUTO_GENERERAD. Verifiera citat mot kallfil.</t>
        </is>
      </c>
      <c r="AH2243" t="inlineStr">
        <is>
          <t>LOW</t>
        </is>
      </c>
      <c r="AI2243" t="inlineStr">
        <is>
          <t>AUTO</t>
        </is>
      </c>
      <c r="AJ2243" t="inlineStr">
        <is>
          <t>Nej</t>
        </is>
      </c>
      <c r="AK2243" t="inlineStr"/>
      <c r="AL2243" t="inlineStr"/>
      <c r="AM2243" t="inlineStr"/>
      <c r="AN2243" t="inlineStr"/>
      <c r="AO2243" t="inlineStr">
        <is>
          <t>cmm4yunc600jhcuqwnyewlxum</t>
        </is>
      </c>
      <c r="AP2243" t="inlineStr">
        <is>
          <t>http://localhost:8787/api/admin/requirements/documents/cmm4yunc600jhcuqwnyewlxum/view</t>
        </is>
      </c>
      <c r="AQ2243">
        <f>HYPERLÄNK("http://localhost:8787/api/admin/requirements/documents/cmm4yunc600jhcuqwnyewlxum/view";"Öppna PDF")</f>
        <v/>
      </c>
      <c r="AR2243">
        <f>HYPERLINK("http://localhost:8787/api/admin/requirements/documents/cmm4yunc600jhcuqwnyewlxum/view","Open PDF")</f>
        <v/>
      </c>
      <c r="AS2243" t="inlineStr">
        <is>
          <t>cmm55w57p0004cuisfrtpqly8</t>
        </is>
      </c>
      <c r="AT2243" t="inlineStr">
        <is>
          <t>cmm4xvu980000cuh4vj0usz09</t>
        </is>
      </c>
      <c r="AU2243" t="inlineStr"/>
      <c r="AV2243" t="inlineStr">
        <is>
          <t>Kommun</t>
        </is>
      </c>
      <c r="AW2243" t="inlineStr"/>
      <c r="AX2243" t="inlineStr">
        <is>
          <t>2026-02</t>
        </is>
      </c>
      <c r="AY2243" t="inlineStr">
        <is>
          <t>Beslut</t>
        </is>
      </c>
      <c r="AZ2243" t="inlineStr">
        <is>
          <t>2026-02-03</t>
        </is>
      </c>
      <c r="BA2243" t="inlineStr">
        <is>
          <t>MIL20251175pdf_976410.pdf</t>
        </is>
      </c>
      <c r="BB2243" t="inlineStr">
        <is>
          <t>Begäran om allmän handling i ärende  MIL.2026.363</t>
        </is>
      </c>
      <c r="BC2243" t="inlineStr">
        <is>
          <t>AUTO</t>
        </is>
      </c>
      <c r="BD2243" t="inlineStr"/>
      <c r="BE2243" t="inlineStr"/>
      <c r="BF2243" t="inlineStr">
        <is>
          <t>AUTO_GENERERAD. Bekrafta metadata mot kallfil.</t>
        </is>
      </c>
      <c r="BG2243">
        <f>HYPERLINK("C:\Users\jimmy\Desktop\Examens arbete\Kod\Ny mapp\remix_-copy-of-miljöbeslut.se-portal\MIL20251175pdf_976410.pdf", "Öppna PDF")</f>
        <v/>
      </c>
    </row>
    <row r="2244">
      <c r="A2244" t="inlineStr">
        <is>
          <t>KRAV-AUTO-002243</t>
        </is>
      </c>
      <c r="B2244" t="inlineStr">
        <is>
          <t>ADMIN-INDEX-2026-02-27-00000000125C043F57453246863FE664CAFE6A3F0700950291EA24F0614FB6ACEDB12BF0E31D00000000010C0000950291EA24F0614FB6ACEDB12BF0E31D00002087B1B10000</t>
        </is>
      </c>
      <c r="C2244" t="inlineStr">
        <is>
          <t>cmm4yunc200jecuqwfd3cj3tk</t>
        </is>
      </c>
      <c r="D2244" t="inlineStr">
        <is>
          <t>http://localhost:8787/api/admin/requirements/documents/cmm4yunc200jecuqwfd3cj3tk/view</t>
        </is>
      </c>
      <c r="E2244">
        <f>HYPERLÄNK("http://localhost:8787/api/admin/requirements/documents/cmm4yunc200jecuqwfd3cj3tk/view";"Öppna PDF")</f>
        <v/>
      </c>
      <c r="F2244">
        <f>HYPERLINK("http://localhost:8787/api/admin/requirements/documents/cmm4yunc200jecuqwfd3cj3tk/view","Open PDF")</f>
        <v/>
      </c>
      <c r="G2244" t="inlineStr">
        <is>
          <t>cmm55w57p0004cuisfrtpqly8</t>
        </is>
      </c>
      <c r="H2244" t="inlineStr">
        <is>
          <t>Beslutsvillkor</t>
        </is>
      </c>
      <c r="I2244" t="inlineStr">
        <is>
          <t>Riskhantering</t>
        </is>
      </c>
      <c r="J2244" t="inlineStr">
        <is>
          <t>Riskkontroll</t>
        </is>
      </c>
      <c r="K2244" t="inlineStr">
        <is>
          <t>Täckning ska med hänsyn till risk för luktolägenhet göras i snar anslutning till uppläggning.</t>
        </is>
      </c>
      <c r="L2244" t="inlineStr">
        <is>
          <t>Täckning ska med hänsyn till risk för luktolägenhet göras i snar anslutning till uppläggning.</t>
        </is>
      </c>
      <c r="M2244" t="inlineStr">
        <is>
          <t>SKA</t>
        </is>
      </c>
      <c r="N2244" t="inlineStr"/>
      <c r="O2244" t="inlineStr"/>
      <c r="P2244" t="inlineStr"/>
      <c r="Q2244" t="inlineStr"/>
      <c r="R2244" t="inlineStr">
        <is>
          <t>Vid risk for incident</t>
        </is>
      </c>
      <c r="S2244" t="inlineStr"/>
      <c r="T2244" t="inlineStr">
        <is>
          <t>939712</t>
        </is>
      </c>
      <c r="U2244" t="inlineStr"/>
      <c r="V2244" t="inlineStr"/>
      <c r="W2244" t="inlineStr">
        <is>
          <t>Nej</t>
        </is>
      </c>
      <c r="X2244" t="inlineStr">
        <is>
          <t>Nej</t>
        </is>
      </c>
      <c r="Y2244" t="inlineStr">
        <is>
          <t>Ja</t>
        </is>
      </c>
      <c r="Z2244" t="inlineStr">
        <is>
          <t>Ja</t>
        </is>
      </c>
      <c r="AA2244" t="n">
        <v>8</v>
      </c>
      <c r="AB2244" t="inlineStr">
        <is>
          <t>Riskhantering</t>
        </is>
      </c>
      <c r="AC2244" t="inlineStr">
        <is>
          <t>Risk-PM</t>
        </is>
      </c>
      <c r="AD2244" t="inlineStr">
        <is>
          <t>Nej</t>
        </is>
      </c>
      <c r="AE2244" t="inlineStr">
        <is>
          <t>Nej</t>
        </is>
      </c>
      <c r="AF2244" t="inlineStr">
        <is>
          <t>Ej behandlad</t>
        </is>
      </c>
      <c r="AG2244" t="inlineStr">
        <is>
          <t>AUTO_GENERERAD. Verifiera citat mot kallfil.</t>
        </is>
      </c>
      <c r="AH2244" t="inlineStr">
        <is>
          <t>MEDIUM</t>
        </is>
      </c>
      <c r="AI2244" t="inlineStr">
        <is>
          <t>AUTO</t>
        </is>
      </c>
      <c r="AJ2244" t="inlineStr">
        <is>
          <t>Nej</t>
        </is>
      </c>
      <c r="AK2244" t="inlineStr"/>
      <c r="AL2244" t="inlineStr"/>
      <c r="AM2244" t="inlineStr"/>
      <c r="AN2244" t="inlineStr"/>
      <c r="AO2244" t="inlineStr">
        <is>
          <t>cmm4yunc600jhcuqwnyewlxum</t>
        </is>
      </c>
      <c r="AP2244" t="inlineStr">
        <is>
          <t>http://localhost:8787/api/admin/requirements/documents/cmm4yunc600jhcuqwnyewlxum/view</t>
        </is>
      </c>
      <c r="AQ2244">
        <f>HYPERLÄNK("http://localhost:8787/api/admin/requirements/documents/cmm4yunc600jhcuqwnyewlxum/view";"Öppna PDF")</f>
        <v/>
      </c>
      <c r="AR2244">
        <f>HYPERLINK("http://localhost:8787/api/admin/requirements/documents/cmm4yunc600jhcuqwnyewlxum/view","Open PDF")</f>
        <v/>
      </c>
      <c r="AS2244" t="inlineStr">
        <is>
          <t>cmm55w57p0004cuisfrtpqly8</t>
        </is>
      </c>
      <c r="AT2244" t="inlineStr">
        <is>
          <t>cmm4xvu980000cuh4vj0usz09</t>
        </is>
      </c>
      <c r="AU2244" t="inlineStr"/>
      <c r="AV2244" t="inlineStr">
        <is>
          <t>Kommun</t>
        </is>
      </c>
      <c r="AW2244" t="inlineStr"/>
      <c r="AX2244" t="inlineStr">
        <is>
          <t>2026-02</t>
        </is>
      </c>
      <c r="AY2244" t="inlineStr">
        <is>
          <t>Beslut</t>
        </is>
      </c>
      <c r="AZ2244" t="inlineStr">
        <is>
          <t>2026-02-03</t>
        </is>
      </c>
      <c r="BA2244" t="inlineStr">
        <is>
          <t>MIL20251175pdf_976410.pdf</t>
        </is>
      </c>
      <c r="BB2244" t="inlineStr">
        <is>
          <t>Begäran om allmän handling i ärende  MIL.2026.363</t>
        </is>
      </c>
      <c r="BC2244" t="inlineStr">
        <is>
          <t>AUTO</t>
        </is>
      </c>
      <c r="BD2244" t="inlineStr"/>
      <c r="BE2244" t="inlineStr"/>
      <c r="BF2244" t="inlineStr">
        <is>
          <t>AUTO_GENERERAD. Bekrafta metadata mot kallfil.</t>
        </is>
      </c>
      <c r="BG2244">
        <f>HYPERLINK("C:\Users\jimmy\Desktop\Examens arbete\Kod\Ny mapp\remix_-copy-of-miljöbeslut.se-portal\MIL20251175pdf_976410.pdf", "Öppna PDF")</f>
        <v/>
      </c>
    </row>
    <row r="2245">
      <c r="A2245" t="inlineStr">
        <is>
          <t>KRAV-AUTO-002244</t>
        </is>
      </c>
      <c r="B2245" t="inlineStr">
        <is>
          <t>ADMIN-INDEX-2026-02-27-00000000125C043F57453246863FE664CAFE6A3F0700950291EA24F0614FB6ACEDB12BF0E31D00000000010C0000950291EA24F0614FB6ACEDB12BF0E31D00002087B1B10000</t>
        </is>
      </c>
      <c r="C2245" t="inlineStr">
        <is>
          <t>cmm4yunbz00jbcuqwnogcx92m</t>
        </is>
      </c>
      <c r="D2245" t="inlineStr">
        <is>
          <t>http://localhost:8787/api/admin/requirements/documents/cmm4yunbz00jbcuqwnogcx92m/view</t>
        </is>
      </c>
      <c r="E2245">
        <f>HYPERLÄNK("http://localhost:8787/api/admin/requirements/documents/cmm4yunbz00jbcuqwnogcx92m/view";"Öppna PDF")</f>
        <v/>
      </c>
      <c r="F2245">
        <f>HYPERLINK("http://localhost:8787/api/admin/requirements/documents/cmm4yunbz00jbcuqwnogcx92m/view","Open PDF")</f>
        <v/>
      </c>
      <c r="G2245" t="inlineStr">
        <is>
          <t>cmm55w57p0004cuisfrtpqly8</t>
        </is>
      </c>
      <c r="H2245" t="inlineStr">
        <is>
          <t>Beslutsvillkor</t>
        </is>
      </c>
      <c r="I2245" t="inlineStr">
        <is>
          <t>DagvattenLakvatten</t>
        </is>
      </c>
      <c r="J2245" t="inlineStr">
        <is>
          <t>Uppsamling</t>
        </is>
      </c>
      <c r="K2245" t="inlineStr">
        <is>
          <t>Lagringen ska ske så att risken för uppkomst av lakvatten från rötslammet minimeras.</t>
        </is>
      </c>
      <c r="L2245" t="inlineStr">
        <is>
          <t>Lagringen ska ske så att risken för uppkomst av lakvatten från rötslammet minimeras.</t>
        </is>
      </c>
      <c r="M2245" t="inlineStr">
        <is>
          <t>SKA</t>
        </is>
      </c>
      <c r="N2245" t="inlineStr"/>
      <c r="O2245" t="inlineStr"/>
      <c r="P2245" t="inlineStr"/>
      <c r="Q2245" t="inlineStr"/>
      <c r="R2245" t="inlineStr">
        <is>
          <t>Vid nederbord och avrinning</t>
        </is>
      </c>
      <c r="S2245" t="inlineStr"/>
      <c r="T2245" t="inlineStr">
        <is>
          <t>938207</t>
        </is>
      </c>
      <c r="U2245" t="inlineStr"/>
      <c r="V2245" t="inlineStr"/>
      <c r="W2245" t="inlineStr">
        <is>
          <t>Nej</t>
        </is>
      </c>
      <c r="X2245" t="inlineStr">
        <is>
          <t>Ja</t>
        </is>
      </c>
      <c r="Y2245" t="inlineStr">
        <is>
          <t>Ja</t>
        </is>
      </c>
      <c r="Z2245" t="inlineStr">
        <is>
          <t>Nej</t>
        </is>
      </c>
      <c r="AA2245" t="n">
        <v>6</v>
      </c>
      <c r="AB2245" t="inlineStr">
        <is>
          <t>Lakvattenhantering</t>
        </is>
      </c>
      <c r="AC2245" t="inlineStr">
        <is>
          <t>Flodesschema dagvatten-lakvatten</t>
        </is>
      </c>
      <c r="AD2245" t="inlineStr">
        <is>
          <t>Nej</t>
        </is>
      </c>
      <c r="AE2245" t="inlineStr">
        <is>
          <t>Nej</t>
        </is>
      </c>
      <c r="AF2245" t="inlineStr">
        <is>
          <t>Ej behandlad</t>
        </is>
      </c>
      <c r="AG2245" t="inlineStr">
        <is>
          <t>AUTO_GENERERAD. Verifiera citat mot kallfil.</t>
        </is>
      </c>
      <c r="AH2245" t="inlineStr">
        <is>
          <t>MEDIUM</t>
        </is>
      </c>
      <c r="AI2245" t="inlineStr">
        <is>
          <t>AUTO</t>
        </is>
      </c>
      <c r="AJ2245" t="inlineStr">
        <is>
          <t>Nej</t>
        </is>
      </c>
      <c r="AK2245" t="inlineStr"/>
      <c r="AL2245" t="inlineStr"/>
      <c r="AM2245" t="inlineStr"/>
      <c r="AN2245" t="inlineStr"/>
      <c r="AO2245" t="inlineStr">
        <is>
          <t>cmm4yunc600jhcuqwnyewlxum</t>
        </is>
      </c>
      <c r="AP2245" t="inlineStr">
        <is>
          <t>http://localhost:8787/api/admin/requirements/documents/cmm4yunc600jhcuqwnyewlxum/view</t>
        </is>
      </c>
      <c r="AQ2245">
        <f>HYPERLÄNK("http://localhost:8787/api/admin/requirements/documents/cmm4yunc600jhcuqwnyewlxum/view";"Öppna PDF")</f>
        <v/>
      </c>
      <c r="AR2245">
        <f>HYPERLINK("http://localhost:8787/api/admin/requirements/documents/cmm4yunc600jhcuqwnyewlxum/view","Open PDF")</f>
        <v/>
      </c>
      <c r="AS2245" t="inlineStr">
        <is>
          <t>cmm55w57p0004cuisfrtpqly8</t>
        </is>
      </c>
      <c r="AT2245" t="inlineStr">
        <is>
          <t>cmm4xvu980000cuh4vj0usz09</t>
        </is>
      </c>
      <c r="AU2245" t="inlineStr"/>
      <c r="AV2245" t="inlineStr">
        <is>
          <t>Kommun</t>
        </is>
      </c>
      <c r="AW2245" t="inlineStr"/>
      <c r="AX2245" t="inlineStr">
        <is>
          <t>2026-02</t>
        </is>
      </c>
      <c r="AY2245" t="inlineStr">
        <is>
          <t>Beslut</t>
        </is>
      </c>
      <c r="AZ2245" t="inlineStr">
        <is>
          <t>2026-02-03</t>
        </is>
      </c>
      <c r="BA2245" t="inlineStr">
        <is>
          <t>MIL20251175pdf_976410.pdf</t>
        </is>
      </c>
      <c r="BB2245" t="inlineStr">
        <is>
          <t>Begäran om allmän handling i ärende  MIL.2026.363</t>
        </is>
      </c>
      <c r="BC2245" t="inlineStr">
        <is>
          <t>AUTO</t>
        </is>
      </c>
      <c r="BD2245" t="inlineStr"/>
      <c r="BE2245" t="inlineStr"/>
      <c r="BF2245" t="inlineStr">
        <is>
          <t>AUTO_GENERERAD. Bekrafta metadata mot kallfil.</t>
        </is>
      </c>
      <c r="BG2245">
        <f>HYPERLINK("C:\Users\jimmy\Desktop\Examens arbete\Kod\Ny mapp\remix_-copy-of-miljöbeslut.se-portal\MIL20251175pdf_976410.pdf", "Öppna PDF")</f>
        <v/>
      </c>
    </row>
    <row r="2246">
      <c r="A2246" t="inlineStr">
        <is>
          <t>KRAV-AUTO-002245</t>
        </is>
      </c>
      <c r="B2246" t="inlineStr">
        <is>
          <t>ADMIN-INDEX-2026-02-27-00000000125C043F57453246863FE664CAFE6A3F0700950291EA24F0614FB6ACEDB12BF0E31D00000000010C0000950291EA24F0614FB6ACEDB12BF0E31D00002087B1B10000</t>
        </is>
      </c>
      <c r="C2246" t="inlineStr">
        <is>
          <t>cmm4yunbz00jbcuqwnogcx92m</t>
        </is>
      </c>
      <c r="D2246" t="inlineStr">
        <is>
          <t>http://localhost:8787/api/admin/requirements/documents/cmm4yunbz00jbcuqwnogcx92m/view</t>
        </is>
      </c>
      <c r="E2246">
        <f>HYPERLÄNK("http://localhost:8787/api/admin/requirements/documents/cmm4yunbz00jbcuqwnogcx92m/view";"Öppna PDF")</f>
        <v/>
      </c>
      <c r="F2246">
        <f>HYPERLINK("http://localhost:8787/api/admin/requirements/documents/cmm4yunbz00jbcuqwnogcx92m/view","Open PDF")</f>
        <v/>
      </c>
      <c r="G2246" t="inlineStr">
        <is>
          <t>cmm55w57p0004cuisfrtpqly8</t>
        </is>
      </c>
      <c r="H2246" t="inlineStr">
        <is>
          <t>Beslutsvillkor</t>
        </is>
      </c>
      <c r="I2246" t="inlineStr">
        <is>
          <t>DriftEgenkontroll</t>
        </is>
      </c>
      <c r="J2246" t="inlineStr">
        <is>
          <t>Journalforing</t>
        </is>
      </c>
      <c r="K2246" t="inlineStr">
        <is>
          <t>Jordprovtagningskarta bifogas.</t>
        </is>
      </c>
      <c r="L2246" t="inlineStr">
        <is>
          <t>Jordprovtagningskarta bifogas.</t>
        </is>
      </c>
      <c r="M2246" t="inlineStr">
        <is>
          <t>SKA</t>
        </is>
      </c>
      <c r="N2246" t="inlineStr"/>
      <c r="O2246" t="inlineStr"/>
      <c r="P2246" t="inlineStr"/>
      <c r="Q2246" t="inlineStr"/>
      <c r="R2246" t="inlineStr">
        <is>
          <t>Lopande drift</t>
        </is>
      </c>
      <c r="S2246" t="inlineStr"/>
      <c r="T2246" t="inlineStr">
        <is>
          <t>938207</t>
        </is>
      </c>
      <c r="U2246" t="inlineStr"/>
      <c r="V2246" t="inlineStr"/>
      <c r="W2246" t="inlineStr">
        <is>
          <t>Nej</t>
        </is>
      </c>
      <c r="X2246" t="inlineStr">
        <is>
          <t>Nej</t>
        </is>
      </c>
      <c r="Y2246" t="inlineStr">
        <is>
          <t>Ja</t>
        </is>
      </c>
      <c r="Z2246" t="inlineStr">
        <is>
          <t>Nej</t>
        </is>
      </c>
      <c r="AA2246" t="n">
        <v>7</v>
      </c>
      <c r="AB2246" t="inlineStr">
        <is>
          <t>Egenkontrollrutiner</t>
        </is>
      </c>
      <c r="AC2246" t="inlineStr">
        <is>
          <t>Egenkontrollprogram</t>
        </is>
      </c>
      <c r="AD2246" t="inlineStr">
        <is>
          <t>Nej</t>
        </is>
      </c>
      <c r="AE2246" t="inlineStr">
        <is>
          <t>Nej</t>
        </is>
      </c>
      <c r="AF2246" t="inlineStr">
        <is>
          <t>Ej behandlad</t>
        </is>
      </c>
      <c r="AG2246" t="inlineStr">
        <is>
          <t>AUTO_GENERERAD. Verifiera citat mot kallfil.</t>
        </is>
      </c>
      <c r="AH2246" t="inlineStr">
        <is>
          <t>LOW</t>
        </is>
      </c>
      <c r="AI2246" t="inlineStr">
        <is>
          <t>AUTO</t>
        </is>
      </c>
      <c r="AJ2246" t="inlineStr">
        <is>
          <t>Nej</t>
        </is>
      </c>
      <c r="AK2246" t="inlineStr"/>
      <c r="AL2246" t="inlineStr"/>
      <c r="AM2246" t="inlineStr"/>
      <c r="AN2246" t="inlineStr"/>
      <c r="AO2246" t="inlineStr">
        <is>
          <t>cmm4yunc600jhcuqwnyewlxum</t>
        </is>
      </c>
      <c r="AP2246" t="inlineStr">
        <is>
          <t>http://localhost:8787/api/admin/requirements/documents/cmm4yunc600jhcuqwnyewlxum/view</t>
        </is>
      </c>
      <c r="AQ2246">
        <f>HYPERLÄNK("http://localhost:8787/api/admin/requirements/documents/cmm4yunc600jhcuqwnyewlxum/view";"Öppna PDF")</f>
        <v/>
      </c>
      <c r="AR2246">
        <f>HYPERLINK("http://localhost:8787/api/admin/requirements/documents/cmm4yunc600jhcuqwnyewlxum/view","Open PDF")</f>
        <v/>
      </c>
      <c r="AS2246" t="inlineStr">
        <is>
          <t>cmm55w57p0004cuisfrtpqly8</t>
        </is>
      </c>
      <c r="AT2246" t="inlineStr">
        <is>
          <t>cmm4xvu980000cuh4vj0usz09</t>
        </is>
      </c>
      <c r="AU2246" t="inlineStr"/>
      <c r="AV2246" t="inlineStr">
        <is>
          <t>Kommun</t>
        </is>
      </c>
      <c r="AW2246" t="inlineStr"/>
      <c r="AX2246" t="inlineStr">
        <is>
          <t>2026-02</t>
        </is>
      </c>
      <c r="AY2246" t="inlineStr">
        <is>
          <t>Beslut</t>
        </is>
      </c>
      <c r="AZ2246" t="inlineStr">
        <is>
          <t>2026-02-03</t>
        </is>
      </c>
      <c r="BA2246" t="inlineStr">
        <is>
          <t>MIL20251175pdf_976410.pdf</t>
        </is>
      </c>
      <c r="BB2246" t="inlineStr">
        <is>
          <t>Begäran om allmän handling i ärende  MIL.2026.363</t>
        </is>
      </c>
      <c r="BC2246" t="inlineStr">
        <is>
          <t>AUTO</t>
        </is>
      </c>
      <c r="BD2246" t="inlineStr"/>
      <c r="BE2246" t="inlineStr"/>
      <c r="BF2246" t="inlineStr">
        <is>
          <t>AUTO_GENERERAD. Bekrafta metadata mot kallfil.</t>
        </is>
      </c>
      <c r="BG2246">
        <f>HYPERLINK("C:\Users\jimmy\Desktop\Examens arbete\Kod\Ny mapp\remix_-copy-of-miljöbeslut.se-portal\MIL20251175pdf_976410.pdf", "Öppna PDF")</f>
        <v/>
      </c>
    </row>
    <row r="2247">
      <c r="A2247" t="inlineStr">
        <is>
          <t>KRAV-AUTO-002246</t>
        </is>
      </c>
      <c r="B2247" t="inlineStr">
        <is>
          <t>ADMIN-INDEX-2026-02-27-00000000125C043F57453246863FE664CAFE6A3F0700950291EA24F0614FB6ACEDB12BF0E31D00000000010C0000950291EA24F0614FB6ACEDB12BF0E31D00002087B1B10000</t>
        </is>
      </c>
      <c r="C2247" t="inlineStr">
        <is>
          <t>cmm4yunbz00jbcuqwnogcx92m</t>
        </is>
      </c>
      <c r="D2247" t="inlineStr">
        <is>
          <t>http://localhost:8787/api/admin/requirements/documents/cmm4yunbz00jbcuqwnogcx92m/view</t>
        </is>
      </c>
      <c r="E2247">
        <f>HYPERLÄNK("http://localhost:8787/api/admin/requirements/documents/cmm4yunbz00jbcuqwnogcx92m/view";"Öppna PDF")</f>
        <v/>
      </c>
      <c r="F2247">
        <f>HYPERLINK("http://localhost:8787/api/admin/requirements/documents/cmm4yunbz00jbcuqwnogcx92m/view","Open PDF")</f>
        <v/>
      </c>
      <c r="G2247" t="inlineStr">
        <is>
          <t>cmm55w57p0004cuisfrtpqly8</t>
        </is>
      </c>
      <c r="H2247" t="inlineStr">
        <is>
          <t>Beslutsvillkor</t>
        </is>
      </c>
      <c r="I2247" t="inlineStr">
        <is>
          <t>Riskhantering</t>
        </is>
      </c>
      <c r="J2247" t="inlineStr">
        <is>
          <t>Riskkontroll</t>
        </is>
      </c>
      <c r="K2247" t="inlineStr">
        <is>
          <t>Täckning ska med hänsyn till risk för luktolägenhet göras i snar anslutning till uppläggning.</t>
        </is>
      </c>
      <c r="L2247" t="inlineStr">
        <is>
          <t>Täckning ska med hänsyn till risk för luktolägenhet göras i snar anslutning till uppläggning.</t>
        </is>
      </c>
      <c r="M2247" t="inlineStr">
        <is>
          <t>SKA</t>
        </is>
      </c>
      <c r="N2247" t="inlineStr"/>
      <c r="O2247" t="inlineStr"/>
      <c r="P2247" t="inlineStr"/>
      <c r="Q2247" t="inlineStr"/>
      <c r="R2247" t="inlineStr">
        <is>
          <t>Vid risk for incident</t>
        </is>
      </c>
      <c r="S2247" t="inlineStr"/>
      <c r="T2247" t="inlineStr">
        <is>
          <t>938207</t>
        </is>
      </c>
      <c r="U2247" t="inlineStr"/>
      <c r="V2247" t="inlineStr"/>
      <c r="W2247" t="inlineStr">
        <is>
          <t>Nej</t>
        </is>
      </c>
      <c r="X2247" t="inlineStr">
        <is>
          <t>Nej</t>
        </is>
      </c>
      <c r="Y2247" t="inlineStr">
        <is>
          <t>Ja</t>
        </is>
      </c>
      <c r="Z2247" t="inlineStr">
        <is>
          <t>Ja</t>
        </is>
      </c>
      <c r="AA2247" t="n">
        <v>8</v>
      </c>
      <c r="AB2247" t="inlineStr">
        <is>
          <t>Riskhantering</t>
        </is>
      </c>
      <c r="AC2247" t="inlineStr">
        <is>
          <t>Risk-PM</t>
        </is>
      </c>
      <c r="AD2247" t="inlineStr">
        <is>
          <t>Nej</t>
        </is>
      </c>
      <c r="AE2247" t="inlineStr">
        <is>
          <t>Nej</t>
        </is>
      </c>
      <c r="AF2247" t="inlineStr">
        <is>
          <t>Ej behandlad</t>
        </is>
      </c>
      <c r="AG2247" t="inlineStr">
        <is>
          <t>AUTO_GENERERAD. Verifiera citat mot kallfil.</t>
        </is>
      </c>
      <c r="AH2247" t="inlineStr">
        <is>
          <t>MEDIUM</t>
        </is>
      </c>
      <c r="AI2247" t="inlineStr">
        <is>
          <t>AUTO</t>
        </is>
      </c>
      <c r="AJ2247" t="inlineStr">
        <is>
          <t>Nej</t>
        </is>
      </c>
      <c r="AK2247" t="inlineStr"/>
      <c r="AL2247" t="inlineStr"/>
      <c r="AM2247" t="inlineStr"/>
      <c r="AN2247" t="inlineStr"/>
      <c r="AO2247" t="inlineStr">
        <is>
          <t>cmm4yunc600jhcuqwnyewlxum</t>
        </is>
      </c>
      <c r="AP2247" t="inlineStr">
        <is>
          <t>http://localhost:8787/api/admin/requirements/documents/cmm4yunc600jhcuqwnyewlxum/view</t>
        </is>
      </c>
      <c r="AQ2247">
        <f>HYPERLÄNK("http://localhost:8787/api/admin/requirements/documents/cmm4yunc600jhcuqwnyewlxum/view";"Öppna PDF")</f>
        <v/>
      </c>
      <c r="AR2247">
        <f>HYPERLINK("http://localhost:8787/api/admin/requirements/documents/cmm4yunc600jhcuqwnyewlxum/view","Open PDF")</f>
        <v/>
      </c>
      <c r="AS2247" t="inlineStr">
        <is>
          <t>cmm55w57p0004cuisfrtpqly8</t>
        </is>
      </c>
      <c r="AT2247" t="inlineStr">
        <is>
          <t>cmm4xvu980000cuh4vj0usz09</t>
        </is>
      </c>
      <c r="AU2247" t="inlineStr"/>
      <c r="AV2247" t="inlineStr">
        <is>
          <t>Kommun</t>
        </is>
      </c>
      <c r="AW2247" t="inlineStr"/>
      <c r="AX2247" t="inlineStr">
        <is>
          <t>2026-02</t>
        </is>
      </c>
      <c r="AY2247" t="inlineStr">
        <is>
          <t>Beslut</t>
        </is>
      </c>
      <c r="AZ2247" t="inlineStr">
        <is>
          <t>2026-02-03</t>
        </is>
      </c>
      <c r="BA2247" t="inlineStr">
        <is>
          <t>MIL20251175pdf_976410.pdf</t>
        </is>
      </c>
      <c r="BB2247" t="inlineStr">
        <is>
          <t>Begäran om allmän handling i ärende  MIL.2026.363</t>
        </is>
      </c>
      <c r="BC2247" t="inlineStr">
        <is>
          <t>AUTO</t>
        </is>
      </c>
      <c r="BD2247" t="inlineStr"/>
      <c r="BE2247" t="inlineStr"/>
      <c r="BF2247" t="inlineStr">
        <is>
          <t>AUTO_GENERERAD. Bekrafta metadata mot kallfil.</t>
        </is>
      </c>
      <c r="BG2247">
        <f>HYPERLINK("C:\Users\jimmy\Desktop\Examens arbete\Kod\Ny mapp\remix_-copy-of-miljöbeslut.se-portal\MIL20251175pdf_976410.pdf", "Öppna PDF")</f>
        <v/>
      </c>
    </row>
    <row r="2248">
      <c r="A2248" t="inlineStr">
        <is>
          <t>KRAV-AUTO-002247</t>
        </is>
      </c>
      <c r="B2248" t="inlineStr">
        <is>
          <t>ADMIN-INDEX-2026-02-27-00000000125C043F57453246863FE664CAFE6A3F0700950291EA24F0614FB6ACEDB12BF0E31D00000000010C0000950291EA24F0614FB6ACEDB12BF0E31D00002087B1B10000</t>
        </is>
      </c>
      <c r="C2248" t="inlineStr">
        <is>
          <t>cmm4yunbw00j8cuqw3of8otrr</t>
        </is>
      </c>
      <c r="D2248" t="inlineStr">
        <is>
          <t>http://localhost:8787/api/admin/requirements/documents/cmm4yunbw00j8cuqw3of8otrr/view</t>
        </is>
      </c>
      <c r="E2248">
        <f>HYPERLÄNK("http://localhost:8787/api/admin/requirements/documents/cmm4yunbw00j8cuqw3of8otrr/view";"Öppna PDF")</f>
        <v/>
      </c>
      <c r="F2248">
        <f>HYPERLINK("http://localhost:8787/api/admin/requirements/documents/cmm4yunbw00j8cuqw3of8otrr/view","Open PDF")</f>
        <v/>
      </c>
      <c r="G2248" t="inlineStr">
        <is>
          <t>cmm55w57p0004cuisfrtpqly8</t>
        </is>
      </c>
      <c r="H2248" t="inlineStr">
        <is>
          <t>Beslutsvillkor</t>
        </is>
      </c>
      <c r="I2248" t="inlineStr">
        <is>
          <t>DagvattenLakvatten</t>
        </is>
      </c>
      <c r="J2248" t="inlineStr">
        <is>
          <t>Uppsamling</t>
        </is>
      </c>
      <c r="K2248" t="inlineStr">
        <is>
          <t>Lagringen ska ske så att risken för uppkomst av lakvatten från rötslammet minimeras.</t>
        </is>
      </c>
      <c r="L2248" t="inlineStr">
        <is>
          <t>Lagringen ska ske så att risken för uppkomst av lakvatten från rötslammet minimeras.</t>
        </is>
      </c>
      <c r="M2248" t="inlineStr">
        <is>
          <t>SKA</t>
        </is>
      </c>
      <c r="N2248" t="inlineStr"/>
      <c r="O2248" t="inlineStr"/>
      <c r="P2248" t="inlineStr"/>
      <c r="Q2248" t="inlineStr"/>
      <c r="R2248" t="inlineStr">
        <is>
          <t>Vid nederbord och avrinning</t>
        </is>
      </c>
      <c r="S2248" t="inlineStr"/>
      <c r="T2248" t="inlineStr">
        <is>
          <t>940847</t>
        </is>
      </c>
      <c r="U2248" t="inlineStr"/>
      <c r="V2248" t="inlineStr"/>
      <c r="W2248" t="inlineStr">
        <is>
          <t>Nej</t>
        </is>
      </c>
      <c r="X2248" t="inlineStr">
        <is>
          <t>Ja</t>
        </is>
      </c>
      <c r="Y2248" t="inlineStr">
        <is>
          <t>Ja</t>
        </is>
      </c>
      <c r="Z2248" t="inlineStr">
        <is>
          <t>Nej</t>
        </is>
      </c>
      <c r="AA2248" t="n">
        <v>6</v>
      </c>
      <c r="AB2248" t="inlineStr">
        <is>
          <t>Lakvattenhantering</t>
        </is>
      </c>
      <c r="AC2248" t="inlineStr">
        <is>
          <t>Flodesschema dagvatten-lakvatten</t>
        </is>
      </c>
      <c r="AD2248" t="inlineStr">
        <is>
          <t>Nej</t>
        </is>
      </c>
      <c r="AE2248" t="inlineStr">
        <is>
          <t>Nej</t>
        </is>
      </c>
      <c r="AF2248" t="inlineStr">
        <is>
          <t>Ej behandlad</t>
        </is>
      </c>
      <c r="AG2248" t="inlineStr">
        <is>
          <t>AUTO_GENERERAD. Verifiera citat mot kallfil.</t>
        </is>
      </c>
      <c r="AH2248" t="inlineStr">
        <is>
          <t>MEDIUM</t>
        </is>
      </c>
      <c r="AI2248" t="inlineStr">
        <is>
          <t>AUTO</t>
        </is>
      </c>
      <c r="AJ2248" t="inlineStr">
        <is>
          <t>Nej</t>
        </is>
      </c>
      <c r="AK2248" t="inlineStr"/>
      <c r="AL2248" t="inlineStr"/>
      <c r="AM2248" t="inlineStr"/>
      <c r="AN2248" t="inlineStr"/>
      <c r="AO2248" t="inlineStr">
        <is>
          <t>cmm4yunc600jhcuqwnyewlxum</t>
        </is>
      </c>
      <c r="AP2248" t="inlineStr">
        <is>
          <t>http://localhost:8787/api/admin/requirements/documents/cmm4yunc600jhcuqwnyewlxum/view</t>
        </is>
      </c>
      <c r="AQ2248">
        <f>HYPERLÄNK("http://localhost:8787/api/admin/requirements/documents/cmm4yunc600jhcuqwnyewlxum/view";"Öppna PDF")</f>
        <v/>
      </c>
      <c r="AR2248">
        <f>HYPERLINK("http://localhost:8787/api/admin/requirements/documents/cmm4yunc600jhcuqwnyewlxum/view","Open PDF")</f>
        <v/>
      </c>
      <c r="AS2248" t="inlineStr">
        <is>
          <t>cmm55w57p0004cuisfrtpqly8</t>
        </is>
      </c>
      <c r="AT2248" t="inlineStr">
        <is>
          <t>cmm4xvu980000cuh4vj0usz09</t>
        </is>
      </c>
      <c r="AU2248" t="inlineStr"/>
      <c r="AV2248" t="inlineStr">
        <is>
          <t>Kommun</t>
        </is>
      </c>
      <c r="AW2248" t="inlineStr"/>
      <c r="AX2248" t="inlineStr">
        <is>
          <t>2026-02</t>
        </is>
      </c>
      <c r="AY2248" t="inlineStr">
        <is>
          <t>Beslut</t>
        </is>
      </c>
      <c r="AZ2248" t="inlineStr">
        <is>
          <t>2026-02-03</t>
        </is>
      </c>
      <c r="BA2248" t="inlineStr">
        <is>
          <t>MIL20251175pdf_976410.pdf</t>
        </is>
      </c>
      <c r="BB2248" t="inlineStr">
        <is>
          <t>Begäran om allmän handling i ärende  MIL.2026.363</t>
        </is>
      </c>
      <c r="BC2248" t="inlineStr">
        <is>
          <t>AUTO</t>
        </is>
      </c>
      <c r="BD2248" t="inlineStr"/>
      <c r="BE2248" t="inlineStr"/>
      <c r="BF2248" t="inlineStr">
        <is>
          <t>AUTO_GENERERAD. Bekrafta metadata mot kallfil.</t>
        </is>
      </c>
      <c r="BG2248">
        <f>HYPERLINK("C:\Users\jimmy\Desktop\Examens arbete\Kod\Ny mapp\remix_-copy-of-miljöbeslut.se-portal\MIL20251175pdf_976410.pdf", "Öppna PDF")</f>
        <v/>
      </c>
    </row>
    <row r="2249">
      <c r="A2249" t="inlineStr">
        <is>
          <t>KRAV-AUTO-002248</t>
        </is>
      </c>
      <c r="B2249" t="inlineStr">
        <is>
          <t>ADMIN-INDEX-2026-02-27-00000000125C043F57453246863FE664CAFE6A3F0700950291EA24F0614FB6ACEDB12BF0E31D00000000010C0000950291EA24F0614FB6ACEDB12BF0E31D00002087B1B10000</t>
        </is>
      </c>
      <c r="C2249" t="inlineStr">
        <is>
          <t>cmm4yunbw00j8cuqw3of8otrr</t>
        </is>
      </c>
      <c r="D2249" t="inlineStr">
        <is>
          <t>http://localhost:8787/api/admin/requirements/documents/cmm4yunbw00j8cuqw3of8otrr/view</t>
        </is>
      </c>
      <c r="E2249">
        <f>HYPERLÄNK("http://localhost:8787/api/admin/requirements/documents/cmm4yunbw00j8cuqw3of8otrr/view";"Öppna PDF")</f>
        <v/>
      </c>
      <c r="F2249">
        <f>HYPERLINK("http://localhost:8787/api/admin/requirements/documents/cmm4yunbw00j8cuqw3of8otrr/view","Open PDF")</f>
        <v/>
      </c>
      <c r="G2249" t="inlineStr">
        <is>
          <t>cmm55w57p0004cuisfrtpqly8</t>
        </is>
      </c>
      <c r="H2249" t="inlineStr">
        <is>
          <t>Beslutsvillkor</t>
        </is>
      </c>
      <c r="I2249" t="inlineStr">
        <is>
          <t>LagringsvolymTid</t>
        </is>
      </c>
      <c r="J2249" t="inlineStr">
        <is>
          <t>Maxmangd</t>
        </is>
      </c>
      <c r="K2249" t="inlineStr">
        <is>
          <t>Uppskattad volym är cirka 575 ton.</t>
        </is>
      </c>
      <c r="L2249" t="inlineStr">
        <is>
          <t>Uppskattad volym är cirka 575 ton.</t>
        </is>
      </c>
      <c r="M2249" t="inlineStr">
        <is>
          <t>SKA</t>
        </is>
      </c>
      <c r="N2249" t="inlineStr"/>
      <c r="O2249" t="inlineStr"/>
      <c r="P2249" t="inlineStr"/>
      <c r="Q2249" t="inlineStr"/>
      <c r="R2249" t="inlineStr">
        <is>
          <t>Alltid</t>
        </is>
      </c>
      <c r="S2249" t="inlineStr"/>
      <c r="T2249" t="inlineStr">
        <is>
          <t>940847</t>
        </is>
      </c>
      <c r="U2249" t="n">
        <v>575</v>
      </c>
      <c r="V2249" t="inlineStr"/>
      <c r="W2249" t="inlineStr">
        <is>
          <t>Nej</t>
        </is>
      </c>
      <c r="X2249" t="inlineStr">
        <is>
          <t>Nej</t>
        </is>
      </c>
      <c r="Y2249" t="inlineStr">
        <is>
          <t>Nej</t>
        </is>
      </c>
      <c r="Z2249" t="inlineStr">
        <is>
          <t>Nej</t>
        </is>
      </c>
      <c r="AA2249" t="n">
        <v>4</v>
      </c>
      <c r="AB2249" t="inlineStr">
        <is>
          <t>Avfallsmangder och lagringstid</t>
        </is>
      </c>
      <c r="AC2249" t="inlineStr">
        <is>
          <t>Avfallsforteckning</t>
        </is>
      </c>
      <c r="AD2249" t="inlineStr">
        <is>
          <t>Nej</t>
        </is>
      </c>
      <c r="AE2249" t="inlineStr">
        <is>
          <t>Nej</t>
        </is>
      </c>
      <c r="AF2249" t="inlineStr">
        <is>
          <t>Ej behandlad</t>
        </is>
      </c>
      <c r="AG2249" t="inlineStr">
        <is>
          <t>AUTO_GENERERAD. Verifiera citat mot kallfil.</t>
        </is>
      </c>
      <c r="AH2249" t="inlineStr">
        <is>
          <t>LOW</t>
        </is>
      </c>
      <c r="AI2249" t="inlineStr">
        <is>
          <t>AUTO</t>
        </is>
      </c>
      <c r="AJ2249" t="inlineStr">
        <is>
          <t>Nej</t>
        </is>
      </c>
      <c r="AK2249" t="inlineStr"/>
      <c r="AL2249" t="inlineStr"/>
      <c r="AM2249" t="inlineStr"/>
      <c r="AN2249" t="inlineStr"/>
      <c r="AO2249" t="inlineStr">
        <is>
          <t>cmm4yunc600jhcuqwnyewlxum</t>
        </is>
      </c>
      <c r="AP2249" t="inlineStr">
        <is>
          <t>http://localhost:8787/api/admin/requirements/documents/cmm4yunc600jhcuqwnyewlxum/view</t>
        </is>
      </c>
      <c r="AQ2249">
        <f>HYPERLÄNK("http://localhost:8787/api/admin/requirements/documents/cmm4yunc600jhcuqwnyewlxum/view";"Öppna PDF")</f>
        <v/>
      </c>
      <c r="AR2249">
        <f>HYPERLINK("http://localhost:8787/api/admin/requirements/documents/cmm4yunc600jhcuqwnyewlxum/view","Open PDF")</f>
        <v/>
      </c>
      <c r="AS2249" t="inlineStr">
        <is>
          <t>cmm55w57p0004cuisfrtpqly8</t>
        </is>
      </c>
      <c r="AT2249" t="inlineStr">
        <is>
          <t>cmm4xvu980000cuh4vj0usz09</t>
        </is>
      </c>
      <c r="AU2249" t="inlineStr"/>
      <c r="AV2249" t="inlineStr">
        <is>
          <t>Kommun</t>
        </is>
      </c>
      <c r="AW2249" t="inlineStr"/>
      <c r="AX2249" t="inlineStr">
        <is>
          <t>2026-02</t>
        </is>
      </c>
      <c r="AY2249" t="inlineStr">
        <is>
          <t>Beslut</t>
        </is>
      </c>
      <c r="AZ2249" t="inlineStr">
        <is>
          <t>2026-02-03</t>
        </is>
      </c>
      <c r="BA2249" t="inlineStr">
        <is>
          <t>MIL20251175pdf_976410.pdf</t>
        </is>
      </c>
      <c r="BB2249" t="inlineStr">
        <is>
          <t>Begäran om allmän handling i ärende  MIL.2026.363</t>
        </is>
      </c>
      <c r="BC2249" t="inlineStr">
        <is>
          <t>AUTO</t>
        </is>
      </c>
      <c r="BD2249" t="inlineStr"/>
      <c r="BE2249" t="inlineStr"/>
      <c r="BF2249" t="inlineStr">
        <is>
          <t>AUTO_GENERERAD. Bekrafta metadata mot kallfil.</t>
        </is>
      </c>
      <c r="BG2249">
        <f>HYPERLINK("C:\Users\jimmy\Desktop\Examens arbete\Kod\Ny mapp\remix_-copy-of-miljöbeslut.se-portal\MIL20251175pdf_976410.pdf", "Öppna PDF")</f>
        <v/>
      </c>
    </row>
    <row r="2250">
      <c r="A2250" t="inlineStr">
        <is>
          <t>KRAV-AUTO-002249</t>
        </is>
      </c>
      <c r="B2250" t="inlineStr">
        <is>
          <t>ADMIN-INDEX-2026-02-27-00000000125C043F57453246863FE664CAFE6A3F0700950291EA24F0614FB6ACEDB12BF0E31D00000000010C0000950291EA24F0614FB6ACEDB12BF0E31D00002087B1B10000</t>
        </is>
      </c>
      <c r="C2250" t="inlineStr">
        <is>
          <t>cmm4yunbw00j8cuqw3of8otrr</t>
        </is>
      </c>
      <c r="D2250" t="inlineStr">
        <is>
          <t>http://localhost:8787/api/admin/requirements/documents/cmm4yunbw00j8cuqw3of8otrr/view</t>
        </is>
      </c>
      <c r="E2250">
        <f>HYPERLÄNK("http://localhost:8787/api/admin/requirements/documents/cmm4yunbw00j8cuqw3of8otrr/view";"Öppna PDF")</f>
        <v/>
      </c>
      <c r="F2250">
        <f>HYPERLINK("http://localhost:8787/api/admin/requirements/documents/cmm4yunbw00j8cuqw3of8otrr/view","Open PDF")</f>
        <v/>
      </c>
      <c r="G2250" t="inlineStr">
        <is>
          <t>cmm55w57p0004cuisfrtpqly8</t>
        </is>
      </c>
      <c r="H2250" t="inlineStr">
        <is>
          <t>Beslutsvillkor</t>
        </is>
      </c>
      <c r="I2250" t="inlineStr">
        <is>
          <t>Riskhantering</t>
        </is>
      </c>
      <c r="J2250" t="inlineStr">
        <is>
          <t>Riskkontroll</t>
        </is>
      </c>
      <c r="K2250" t="inlineStr">
        <is>
          <t>Täckning ska med hänsyn till risk för luktolägenhet göras i snar anslutning till uppläggning.</t>
        </is>
      </c>
      <c r="L2250" t="inlineStr">
        <is>
          <t>Täckning ska med hänsyn till risk för luktolägenhet göras i snar anslutning till uppläggning.</t>
        </is>
      </c>
      <c r="M2250" t="inlineStr">
        <is>
          <t>SKA</t>
        </is>
      </c>
      <c r="N2250" t="inlineStr"/>
      <c r="O2250" t="inlineStr"/>
      <c r="P2250" t="inlineStr"/>
      <c r="Q2250" t="inlineStr"/>
      <c r="R2250" t="inlineStr">
        <is>
          <t>Vid risk for incident</t>
        </is>
      </c>
      <c r="S2250" t="inlineStr"/>
      <c r="T2250" t="inlineStr">
        <is>
          <t>940847</t>
        </is>
      </c>
      <c r="U2250" t="inlineStr"/>
      <c r="V2250" t="inlineStr"/>
      <c r="W2250" t="inlineStr">
        <is>
          <t>Nej</t>
        </is>
      </c>
      <c r="X2250" t="inlineStr">
        <is>
          <t>Nej</t>
        </is>
      </c>
      <c r="Y2250" t="inlineStr">
        <is>
          <t>Ja</t>
        </is>
      </c>
      <c r="Z2250" t="inlineStr">
        <is>
          <t>Ja</t>
        </is>
      </c>
      <c r="AA2250" t="n">
        <v>8</v>
      </c>
      <c r="AB2250" t="inlineStr">
        <is>
          <t>Riskhantering</t>
        </is>
      </c>
      <c r="AC2250" t="inlineStr">
        <is>
          <t>Risk-PM</t>
        </is>
      </c>
      <c r="AD2250" t="inlineStr">
        <is>
          <t>Nej</t>
        </is>
      </c>
      <c r="AE2250" t="inlineStr">
        <is>
          <t>Nej</t>
        </is>
      </c>
      <c r="AF2250" t="inlineStr">
        <is>
          <t>Ej behandlad</t>
        </is>
      </c>
      <c r="AG2250" t="inlineStr">
        <is>
          <t>AUTO_GENERERAD. Verifiera citat mot kallfil.</t>
        </is>
      </c>
      <c r="AH2250" t="inlineStr">
        <is>
          <t>MEDIUM</t>
        </is>
      </c>
      <c r="AI2250" t="inlineStr">
        <is>
          <t>AUTO</t>
        </is>
      </c>
      <c r="AJ2250" t="inlineStr">
        <is>
          <t>Nej</t>
        </is>
      </c>
      <c r="AK2250" t="inlineStr"/>
      <c r="AL2250" t="inlineStr"/>
      <c r="AM2250" t="inlineStr"/>
      <c r="AN2250" t="inlineStr"/>
      <c r="AO2250" t="inlineStr">
        <is>
          <t>cmm4yunc600jhcuqwnyewlxum</t>
        </is>
      </c>
      <c r="AP2250" t="inlineStr">
        <is>
          <t>http://localhost:8787/api/admin/requirements/documents/cmm4yunc600jhcuqwnyewlxum/view</t>
        </is>
      </c>
      <c r="AQ2250">
        <f>HYPERLÄNK("http://localhost:8787/api/admin/requirements/documents/cmm4yunc600jhcuqwnyewlxum/view";"Öppna PDF")</f>
        <v/>
      </c>
      <c r="AR2250">
        <f>HYPERLINK("http://localhost:8787/api/admin/requirements/documents/cmm4yunc600jhcuqwnyewlxum/view","Open PDF")</f>
        <v/>
      </c>
      <c r="AS2250" t="inlineStr">
        <is>
          <t>cmm55w57p0004cuisfrtpqly8</t>
        </is>
      </c>
      <c r="AT2250" t="inlineStr">
        <is>
          <t>cmm4xvu980000cuh4vj0usz09</t>
        </is>
      </c>
      <c r="AU2250" t="inlineStr"/>
      <c r="AV2250" t="inlineStr">
        <is>
          <t>Kommun</t>
        </is>
      </c>
      <c r="AW2250" t="inlineStr"/>
      <c r="AX2250" t="inlineStr">
        <is>
          <t>2026-02</t>
        </is>
      </c>
      <c r="AY2250" t="inlineStr">
        <is>
          <t>Beslut</t>
        </is>
      </c>
      <c r="AZ2250" t="inlineStr">
        <is>
          <t>2026-02-03</t>
        </is>
      </c>
      <c r="BA2250" t="inlineStr">
        <is>
          <t>MIL20251175pdf_976410.pdf</t>
        </is>
      </c>
      <c r="BB2250" t="inlineStr">
        <is>
          <t>Begäran om allmän handling i ärende  MIL.2026.363</t>
        </is>
      </c>
      <c r="BC2250" t="inlineStr">
        <is>
          <t>AUTO</t>
        </is>
      </c>
      <c r="BD2250" t="inlineStr"/>
      <c r="BE2250" t="inlineStr"/>
      <c r="BF2250" t="inlineStr">
        <is>
          <t>AUTO_GENERERAD. Bekrafta metadata mot kallfil.</t>
        </is>
      </c>
      <c r="BG2250">
        <f>HYPERLINK("C:\Users\jimmy\Desktop\Examens arbete\Kod\Ny mapp\remix_-copy-of-miljöbeslut.se-portal\MIL20251175pdf_976410.pdf", "Öppna PDF")</f>
        <v/>
      </c>
    </row>
    <row r="2251">
      <c r="A2251" t="inlineStr">
        <is>
          <t>KRAV-AUTO-002250</t>
        </is>
      </c>
      <c r="B2251" t="inlineStr">
        <is>
          <t>ADMIN-INDEX-2026-02-27-00000000125C043F57453246863FE664CAFE6A3F0700950291EA24F0614FB6ACEDB12BF0E31D00000000010C0000950291EA24F0614FB6ACEDB12BF0E31D00002087B1B10000</t>
        </is>
      </c>
      <c r="C2251" t="inlineStr">
        <is>
          <t>cmm4yunbt00j5cuqweys2bjsv</t>
        </is>
      </c>
      <c r="D2251" t="inlineStr">
        <is>
          <t>http://localhost:8787/api/admin/requirements/documents/cmm4yunbt00j5cuqweys2bjsv/view</t>
        </is>
      </c>
      <c r="E2251">
        <f>HYPERLÄNK("http://localhost:8787/api/admin/requirements/documents/cmm4yunbt00j5cuqweys2bjsv/view";"Öppna PDF")</f>
        <v/>
      </c>
      <c r="F2251">
        <f>HYPERLINK("http://localhost:8787/api/admin/requirements/documents/cmm4yunbt00j5cuqweys2bjsv/view","Open PDF")</f>
        <v/>
      </c>
      <c r="G2251" t="inlineStr">
        <is>
          <t>cmm55w57p0004cuisfrtpqly8</t>
        </is>
      </c>
      <c r="H2251" t="inlineStr">
        <is>
          <t>Beslutsvillkor</t>
        </is>
      </c>
      <c r="I2251" t="inlineStr">
        <is>
          <t>DagvattenLakvatten</t>
        </is>
      </c>
      <c r="J2251" t="inlineStr">
        <is>
          <t>Uppsamling</t>
        </is>
      </c>
      <c r="K2251" t="inlineStr">
        <is>
          <t>Lagringen ska ske så att risken för uppkomst av lakvatten från rötslammet minimeras.</t>
        </is>
      </c>
      <c r="L2251" t="inlineStr">
        <is>
          <t>Lagringen ska ske så att risken för uppkomst av lakvatten från rötslammet minimeras.</t>
        </is>
      </c>
      <c r="M2251" t="inlineStr">
        <is>
          <t>SKA</t>
        </is>
      </c>
      <c r="N2251" t="inlineStr"/>
      <c r="O2251" t="inlineStr"/>
      <c r="P2251" t="inlineStr"/>
      <c r="Q2251" t="inlineStr"/>
      <c r="R2251" t="inlineStr">
        <is>
          <t>Vid nederbord och avrinning</t>
        </is>
      </c>
      <c r="S2251" t="inlineStr"/>
      <c r="T2251" t="inlineStr">
        <is>
          <t>938200</t>
        </is>
      </c>
      <c r="U2251" t="inlineStr"/>
      <c r="V2251" t="inlineStr"/>
      <c r="W2251" t="inlineStr">
        <is>
          <t>Nej</t>
        </is>
      </c>
      <c r="X2251" t="inlineStr">
        <is>
          <t>Ja</t>
        </is>
      </c>
      <c r="Y2251" t="inlineStr">
        <is>
          <t>Ja</t>
        </is>
      </c>
      <c r="Z2251" t="inlineStr">
        <is>
          <t>Nej</t>
        </is>
      </c>
      <c r="AA2251" t="n">
        <v>6</v>
      </c>
      <c r="AB2251" t="inlineStr">
        <is>
          <t>Lakvattenhantering</t>
        </is>
      </c>
      <c r="AC2251" t="inlineStr">
        <is>
          <t>Flodesschema dagvatten-lakvatten</t>
        </is>
      </c>
      <c r="AD2251" t="inlineStr">
        <is>
          <t>Nej</t>
        </is>
      </c>
      <c r="AE2251" t="inlineStr">
        <is>
          <t>Nej</t>
        </is>
      </c>
      <c r="AF2251" t="inlineStr">
        <is>
          <t>Ej behandlad</t>
        </is>
      </c>
      <c r="AG2251" t="inlineStr">
        <is>
          <t>AUTO_GENERERAD. Verifiera citat mot kallfil.</t>
        </is>
      </c>
      <c r="AH2251" t="inlineStr">
        <is>
          <t>MEDIUM</t>
        </is>
      </c>
      <c r="AI2251" t="inlineStr">
        <is>
          <t>AUTO</t>
        </is>
      </c>
      <c r="AJ2251" t="inlineStr">
        <is>
          <t>Nej</t>
        </is>
      </c>
      <c r="AK2251" t="inlineStr"/>
      <c r="AL2251" t="inlineStr"/>
      <c r="AM2251" t="inlineStr"/>
      <c r="AN2251" t="inlineStr"/>
      <c r="AO2251" t="inlineStr">
        <is>
          <t>cmm4yunc600jhcuqwnyewlxum</t>
        </is>
      </c>
      <c r="AP2251" t="inlineStr">
        <is>
          <t>http://localhost:8787/api/admin/requirements/documents/cmm4yunc600jhcuqwnyewlxum/view</t>
        </is>
      </c>
      <c r="AQ2251">
        <f>HYPERLÄNK("http://localhost:8787/api/admin/requirements/documents/cmm4yunc600jhcuqwnyewlxum/view";"Öppna PDF")</f>
        <v/>
      </c>
      <c r="AR2251">
        <f>HYPERLINK("http://localhost:8787/api/admin/requirements/documents/cmm4yunc600jhcuqwnyewlxum/view","Open PDF")</f>
        <v/>
      </c>
      <c r="AS2251" t="inlineStr">
        <is>
          <t>cmm55w57p0004cuisfrtpqly8</t>
        </is>
      </c>
      <c r="AT2251" t="inlineStr">
        <is>
          <t>cmm4xvu980000cuh4vj0usz09</t>
        </is>
      </c>
      <c r="AU2251" t="inlineStr"/>
      <c r="AV2251" t="inlineStr">
        <is>
          <t>Kommun</t>
        </is>
      </c>
      <c r="AW2251" t="inlineStr"/>
      <c r="AX2251" t="inlineStr">
        <is>
          <t>2026-02</t>
        </is>
      </c>
      <c r="AY2251" t="inlineStr">
        <is>
          <t>Beslut</t>
        </is>
      </c>
      <c r="AZ2251" t="inlineStr">
        <is>
          <t>2026-02-03</t>
        </is>
      </c>
      <c r="BA2251" t="inlineStr">
        <is>
          <t>MIL20251175pdf_976410.pdf</t>
        </is>
      </c>
      <c r="BB2251" t="inlineStr">
        <is>
          <t>Begäran om allmän handling i ärende  MIL.2026.363</t>
        </is>
      </c>
      <c r="BC2251" t="inlineStr">
        <is>
          <t>AUTO</t>
        </is>
      </c>
      <c r="BD2251" t="inlineStr"/>
      <c r="BE2251" t="inlineStr"/>
      <c r="BF2251" t="inlineStr">
        <is>
          <t>AUTO_GENERERAD. Bekrafta metadata mot kallfil.</t>
        </is>
      </c>
      <c r="BG2251">
        <f>HYPERLINK("C:\Users\jimmy\Desktop\Examens arbete\Kod\Ny mapp\remix_-copy-of-miljöbeslut.se-portal\MIL20251175pdf_976410.pdf", "Öppna PDF")</f>
        <v/>
      </c>
    </row>
    <row r="2252">
      <c r="A2252" t="inlineStr">
        <is>
          <t>KRAV-AUTO-002251</t>
        </is>
      </c>
      <c r="B2252" t="inlineStr">
        <is>
          <t>ADMIN-INDEX-2026-02-27-00000000125C043F57453246863FE664CAFE6A3F0700950291EA24F0614FB6ACEDB12BF0E31D00000000010C0000950291EA24F0614FB6ACEDB12BF0E31D00002087B1B10000</t>
        </is>
      </c>
      <c r="C2252" t="inlineStr">
        <is>
          <t>cmm4yunbt00j5cuqweys2bjsv</t>
        </is>
      </c>
      <c r="D2252" t="inlineStr">
        <is>
          <t>http://localhost:8787/api/admin/requirements/documents/cmm4yunbt00j5cuqweys2bjsv/view</t>
        </is>
      </c>
      <c r="E2252">
        <f>HYPERLÄNK("http://localhost:8787/api/admin/requirements/documents/cmm4yunbt00j5cuqweys2bjsv/view";"Öppna PDF")</f>
        <v/>
      </c>
      <c r="F2252">
        <f>HYPERLINK("http://localhost:8787/api/admin/requirements/documents/cmm4yunbt00j5cuqweys2bjsv/view","Open PDF")</f>
        <v/>
      </c>
      <c r="G2252" t="inlineStr">
        <is>
          <t>cmm55w57p0004cuisfrtpqly8</t>
        </is>
      </c>
      <c r="H2252" t="inlineStr">
        <is>
          <t>Beslutsvillkor</t>
        </is>
      </c>
      <c r="I2252" t="inlineStr">
        <is>
          <t>DriftEgenkontroll</t>
        </is>
      </c>
      <c r="J2252" t="inlineStr">
        <is>
          <t>Journalforing</t>
        </is>
      </c>
      <c r="K2252" t="inlineStr">
        <is>
          <t>Jordprovtagningskarta bifogas.</t>
        </is>
      </c>
      <c r="L2252" t="inlineStr">
        <is>
          <t>Jordprovtagningskarta bifogas.</t>
        </is>
      </c>
      <c r="M2252" t="inlineStr">
        <is>
          <t>SKA</t>
        </is>
      </c>
      <c r="N2252" t="inlineStr"/>
      <c r="O2252" t="inlineStr"/>
      <c r="P2252" t="inlineStr"/>
      <c r="Q2252" t="inlineStr"/>
      <c r="R2252" t="inlineStr">
        <is>
          <t>Lopande drift</t>
        </is>
      </c>
      <c r="S2252" t="inlineStr"/>
      <c r="T2252" t="inlineStr">
        <is>
          <t>938200</t>
        </is>
      </c>
      <c r="U2252" t="inlineStr"/>
      <c r="V2252" t="inlineStr"/>
      <c r="W2252" t="inlineStr">
        <is>
          <t>Nej</t>
        </is>
      </c>
      <c r="X2252" t="inlineStr">
        <is>
          <t>Nej</t>
        </is>
      </c>
      <c r="Y2252" t="inlineStr">
        <is>
          <t>Ja</t>
        </is>
      </c>
      <c r="Z2252" t="inlineStr">
        <is>
          <t>Nej</t>
        </is>
      </c>
      <c r="AA2252" t="n">
        <v>7</v>
      </c>
      <c r="AB2252" t="inlineStr">
        <is>
          <t>Egenkontrollrutiner</t>
        </is>
      </c>
      <c r="AC2252" t="inlineStr">
        <is>
          <t>Egenkontrollprogram</t>
        </is>
      </c>
      <c r="AD2252" t="inlineStr">
        <is>
          <t>Nej</t>
        </is>
      </c>
      <c r="AE2252" t="inlineStr">
        <is>
          <t>Nej</t>
        </is>
      </c>
      <c r="AF2252" t="inlineStr">
        <is>
          <t>Ej behandlad</t>
        </is>
      </c>
      <c r="AG2252" t="inlineStr">
        <is>
          <t>AUTO_GENERERAD. Verifiera citat mot kallfil.</t>
        </is>
      </c>
      <c r="AH2252" t="inlineStr">
        <is>
          <t>LOW</t>
        </is>
      </c>
      <c r="AI2252" t="inlineStr">
        <is>
          <t>AUTO</t>
        </is>
      </c>
      <c r="AJ2252" t="inlineStr">
        <is>
          <t>Nej</t>
        </is>
      </c>
      <c r="AK2252" t="inlineStr"/>
      <c r="AL2252" t="inlineStr"/>
      <c r="AM2252" t="inlineStr"/>
      <c r="AN2252" t="inlineStr"/>
      <c r="AO2252" t="inlineStr">
        <is>
          <t>cmm4yunc600jhcuqwnyewlxum</t>
        </is>
      </c>
      <c r="AP2252" t="inlineStr">
        <is>
          <t>http://localhost:8787/api/admin/requirements/documents/cmm4yunc600jhcuqwnyewlxum/view</t>
        </is>
      </c>
      <c r="AQ2252">
        <f>HYPERLÄNK("http://localhost:8787/api/admin/requirements/documents/cmm4yunc600jhcuqwnyewlxum/view";"Öppna PDF")</f>
        <v/>
      </c>
      <c r="AR2252">
        <f>HYPERLINK("http://localhost:8787/api/admin/requirements/documents/cmm4yunc600jhcuqwnyewlxum/view","Open PDF")</f>
        <v/>
      </c>
      <c r="AS2252" t="inlineStr">
        <is>
          <t>cmm55w57p0004cuisfrtpqly8</t>
        </is>
      </c>
      <c r="AT2252" t="inlineStr">
        <is>
          <t>cmm4xvu980000cuh4vj0usz09</t>
        </is>
      </c>
      <c r="AU2252" t="inlineStr"/>
      <c r="AV2252" t="inlineStr">
        <is>
          <t>Kommun</t>
        </is>
      </c>
      <c r="AW2252" t="inlineStr"/>
      <c r="AX2252" t="inlineStr">
        <is>
          <t>2026-02</t>
        </is>
      </c>
      <c r="AY2252" t="inlineStr">
        <is>
          <t>Beslut</t>
        </is>
      </c>
      <c r="AZ2252" t="inlineStr">
        <is>
          <t>2026-02-03</t>
        </is>
      </c>
      <c r="BA2252" t="inlineStr">
        <is>
          <t>MIL20251175pdf_976410.pdf</t>
        </is>
      </c>
      <c r="BB2252" t="inlineStr">
        <is>
          <t>Begäran om allmän handling i ärende  MIL.2026.363</t>
        </is>
      </c>
      <c r="BC2252" t="inlineStr">
        <is>
          <t>AUTO</t>
        </is>
      </c>
      <c r="BD2252" t="inlineStr"/>
      <c r="BE2252" t="inlineStr"/>
      <c r="BF2252" t="inlineStr">
        <is>
          <t>AUTO_GENERERAD. Bekrafta metadata mot kallfil.</t>
        </is>
      </c>
      <c r="BG2252">
        <f>HYPERLINK("C:\Users\jimmy\Desktop\Examens arbete\Kod\Ny mapp\remix_-copy-of-miljöbeslut.se-portal\MIL20251175pdf_976410.pdf", "Öppna PDF")</f>
        <v/>
      </c>
    </row>
    <row r="2253">
      <c r="A2253" t="inlineStr">
        <is>
          <t>KRAV-AUTO-002252</t>
        </is>
      </c>
      <c r="B2253" t="inlineStr">
        <is>
          <t>ADMIN-INDEX-2026-02-27-00000000125C043F57453246863FE664CAFE6A3F0700950291EA24F0614FB6ACEDB12BF0E31D00000000010C0000950291EA24F0614FB6ACEDB12BF0E31D00002087B1B10000</t>
        </is>
      </c>
      <c r="C2253" t="inlineStr">
        <is>
          <t>cmm4yunbt00j5cuqweys2bjsv</t>
        </is>
      </c>
      <c r="D2253" t="inlineStr">
        <is>
          <t>http://localhost:8787/api/admin/requirements/documents/cmm4yunbt00j5cuqweys2bjsv/view</t>
        </is>
      </c>
      <c r="E2253">
        <f>HYPERLÄNK("http://localhost:8787/api/admin/requirements/documents/cmm4yunbt00j5cuqweys2bjsv/view";"Öppna PDF")</f>
        <v/>
      </c>
      <c r="F2253">
        <f>HYPERLINK("http://localhost:8787/api/admin/requirements/documents/cmm4yunbt00j5cuqweys2bjsv/view","Open PDF")</f>
        <v/>
      </c>
      <c r="G2253" t="inlineStr">
        <is>
          <t>cmm55w57p0004cuisfrtpqly8</t>
        </is>
      </c>
      <c r="H2253" t="inlineStr">
        <is>
          <t>Beslutsvillkor</t>
        </is>
      </c>
      <c r="I2253" t="inlineStr">
        <is>
          <t>Riskhantering</t>
        </is>
      </c>
      <c r="J2253" t="inlineStr">
        <is>
          <t>Riskkontroll</t>
        </is>
      </c>
      <c r="K2253" t="inlineStr">
        <is>
          <t>Täckning ska med hänsyn till risk för luktolägenhet göras i snar anslutning till uppläggning.</t>
        </is>
      </c>
      <c r="L2253" t="inlineStr">
        <is>
          <t>Täckning ska med hänsyn till risk för luktolägenhet göras i snar anslutning till uppläggning.</t>
        </is>
      </c>
      <c r="M2253" t="inlineStr">
        <is>
          <t>SKA</t>
        </is>
      </c>
      <c r="N2253" t="inlineStr"/>
      <c r="O2253" t="inlineStr"/>
      <c r="P2253" t="inlineStr"/>
      <c r="Q2253" t="inlineStr"/>
      <c r="R2253" t="inlineStr">
        <is>
          <t>Vid risk for incident</t>
        </is>
      </c>
      <c r="S2253" t="inlineStr"/>
      <c r="T2253" t="inlineStr">
        <is>
          <t>938200</t>
        </is>
      </c>
      <c r="U2253" t="inlineStr"/>
      <c r="V2253" t="inlineStr"/>
      <c r="W2253" t="inlineStr">
        <is>
          <t>Nej</t>
        </is>
      </c>
      <c r="X2253" t="inlineStr">
        <is>
          <t>Nej</t>
        </is>
      </c>
      <c r="Y2253" t="inlineStr">
        <is>
          <t>Ja</t>
        </is>
      </c>
      <c r="Z2253" t="inlineStr">
        <is>
          <t>Ja</t>
        </is>
      </c>
      <c r="AA2253" t="n">
        <v>8</v>
      </c>
      <c r="AB2253" t="inlineStr">
        <is>
          <t>Riskhantering</t>
        </is>
      </c>
      <c r="AC2253" t="inlineStr">
        <is>
          <t>Risk-PM</t>
        </is>
      </c>
      <c r="AD2253" t="inlineStr">
        <is>
          <t>Nej</t>
        </is>
      </c>
      <c r="AE2253" t="inlineStr">
        <is>
          <t>Nej</t>
        </is>
      </c>
      <c r="AF2253" t="inlineStr">
        <is>
          <t>Ej behandlad</t>
        </is>
      </c>
      <c r="AG2253" t="inlineStr">
        <is>
          <t>AUTO_GENERERAD. Verifiera citat mot kallfil.</t>
        </is>
      </c>
      <c r="AH2253" t="inlineStr">
        <is>
          <t>MEDIUM</t>
        </is>
      </c>
      <c r="AI2253" t="inlineStr">
        <is>
          <t>AUTO</t>
        </is>
      </c>
      <c r="AJ2253" t="inlineStr">
        <is>
          <t>Nej</t>
        </is>
      </c>
      <c r="AK2253" t="inlineStr"/>
      <c r="AL2253" t="inlineStr"/>
      <c r="AM2253" t="inlineStr"/>
      <c r="AN2253" t="inlineStr"/>
      <c r="AO2253" t="inlineStr">
        <is>
          <t>cmm4yunc600jhcuqwnyewlxum</t>
        </is>
      </c>
      <c r="AP2253" t="inlineStr">
        <is>
          <t>http://localhost:8787/api/admin/requirements/documents/cmm4yunc600jhcuqwnyewlxum/view</t>
        </is>
      </c>
      <c r="AQ2253">
        <f>HYPERLÄNK("http://localhost:8787/api/admin/requirements/documents/cmm4yunc600jhcuqwnyewlxum/view";"Öppna PDF")</f>
        <v/>
      </c>
      <c r="AR2253">
        <f>HYPERLINK("http://localhost:8787/api/admin/requirements/documents/cmm4yunc600jhcuqwnyewlxum/view","Open PDF")</f>
        <v/>
      </c>
      <c r="AS2253" t="inlineStr">
        <is>
          <t>cmm55w57p0004cuisfrtpqly8</t>
        </is>
      </c>
      <c r="AT2253" t="inlineStr">
        <is>
          <t>cmm4xvu980000cuh4vj0usz09</t>
        </is>
      </c>
      <c r="AU2253" t="inlineStr"/>
      <c r="AV2253" t="inlineStr">
        <is>
          <t>Kommun</t>
        </is>
      </c>
      <c r="AW2253" t="inlineStr"/>
      <c r="AX2253" t="inlineStr">
        <is>
          <t>2026-02</t>
        </is>
      </c>
      <c r="AY2253" t="inlineStr">
        <is>
          <t>Beslut</t>
        </is>
      </c>
      <c r="AZ2253" t="inlineStr">
        <is>
          <t>2026-02-03</t>
        </is>
      </c>
      <c r="BA2253" t="inlineStr">
        <is>
          <t>MIL20251175pdf_976410.pdf</t>
        </is>
      </c>
      <c r="BB2253" t="inlineStr">
        <is>
          <t>Begäran om allmän handling i ärende  MIL.2026.363</t>
        </is>
      </c>
      <c r="BC2253" t="inlineStr">
        <is>
          <t>AUTO</t>
        </is>
      </c>
      <c r="BD2253" t="inlineStr"/>
      <c r="BE2253" t="inlineStr"/>
      <c r="BF2253" t="inlineStr">
        <is>
          <t>AUTO_GENERERAD. Bekrafta metadata mot kallfil.</t>
        </is>
      </c>
      <c r="BG2253">
        <f>HYPERLINK("C:\Users\jimmy\Desktop\Examens arbete\Kod\Ny mapp\remix_-copy-of-miljöbeslut.se-portal\MIL20251175pdf_976410.pdf", "Öppna PDF")</f>
        <v/>
      </c>
    </row>
    <row r="2254">
      <c r="A2254" t="inlineStr">
        <is>
          <t>KRAV-AUTO-002253</t>
        </is>
      </c>
      <c r="B2254" t="inlineStr">
        <is>
          <t>ADMIN-INDEX-2026-02-27-00000000125C043F57453246863FE664CAFE6A3F0700950291EA24F0614FB6ACEDB12BF0E31D00000000010C0000950291EA24F0614FB6ACEDB12BF0E31D00002087B1B60000</t>
        </is>
      </c>
      <c r="C2254" t="inlineStr">
        <is>
          <t>cmm4yunbq00j2cuqwgbsnihxf</t>
        </is>
      </c>
      <c r="D2254" t="inlineStr">
        <is>
          <t>http://localhost:8787/api/admin/requirements/documents/cmm4yunbq00j2cuqwgbsnihxf/view</t>
        </is>
      </c>
      <c r="E2254">
        <f>HYPERLÄNK("http://localhost:8787/api/admin/requirements/documents/cmm4yunbq00j2cuqwgbsnihxf/view";"Öppna PDF")</f>
        <v/>
      </c>
      <c r="F2254">
        <f>HYPERLINK("http://localhost:8787/api/admin/requirements/documents/cmm4yunbq00j2cuqwgbsnihxf/view","Open PDF")</f>
        <v/>
      </c>
      <c r="G2254" t="inlineStr">
        <is>
          <t>cmm55w57p0004cuisfrtpqly8</t>
        </is>
      </c>
      <c r="H2254" t="inlineStr">
        <is>
          <t>Beslutsvillkor</t>
        </is>
      </c>
      <c r="I2254" t="inlineStr">
        <is>
          <t>Ytkonstruktion</t>
        </is>
      </c>
      <c r="J2254" t="inlineStr">
        <is>
          <t>Tat yta</t>
        </is>
      </c>
      <c r="K2254" t="inlineStr">
        <is>
          <t>Invallningen ska vara nederbördsskyddad.</t>
        </is>
      </c>
      <c r="L2254" t="inlineStr">
        <is>
          <t>Invallningen ska vara nederbördsskyddad.</t>
        </is>
      </c>
      <c r="M2254" t="inlineStr">
        <is>
          <t>SKA</t>
        </is>
      </c>
      <c r="N2254" t="inlineStr"/>
      <c r="O2254" t="inlineStr"/>
      <c r="P2254" t="inlineStr"/>
      <c r="Q2254" t="inlineStr"/>
      <c r="R2254" t="inlineStr">
        <is>
          <t>Vid mellanlagring av avfall</t>
        </is>
      </c>
      <c r="S2254" t="inlineStr"/>
      <c r="T2254" t="inlineStr">
        <is>
          <t>556159</t>
        </is>
      </c>
      <c r="U2254" t="inlineStr"/>
      <c r="V2254" t="inlineStr"/>
      <c r="W2254" t="inlineStr">
        <is>
          <t>Ja</t>
        </is>
      </c>
      <c r="X2254" t="inlineStr">
        <is>
          <t>Nej</t>
        </is>
      </c>
      <c r="Y2254" t="inlineStr">
        <is>
          <t>Nej</t>
        </is>
      </c>
      <c r="Z2254" t="inlineStr">
        <is>
          <t>Nej</t>
        </is>
      </c>
      <c r="AA2254" t="n">
        <v>5</v>
      </c>
      <c r="AB2254" t="inlineStr">
        <is>
          <t>Teknisk beskrivning av platta</t>
        </is>
      </c>
      <c r="AC2254" t="inlineStr">
        <is>
          <t>Teknisk ritning platta</t>
        </is>
      </c>
      <c r="AD2254" t="inlineStr">
        <is>
          <t>Nej</t>
        </is>
      </c>
      <c r="AE2254" t="inlineStr">
        <is>
          <t>Nej</t>
        </is>
      </c>
      <c r="AF2254" t="inlineStr">
        <is>
          <t>Ej behandlad</t>
        </is>
      </c>
      <c r="AG2254" t="inlineStr">
        <is>
          <t>AUTO_GENERERAD. Verifiera citat mot kallfil.</t>
        </is>
      </c>
      <c r="AH2254" t="inlineStr">
        <is>
          <t>MEDIUM</t>
        </is>
      </c>
      <c r="AI2254" t="inlineStr">
        <is>
          <t>AUTO</t>
        </is>
      </c>
      <c r="AJ2254" t="inlineStr">
        <is>
          <t>Nej</t>
        </is>
      </c>
      <c r="AK2254" t="inlineStr"/>
      <c r="AL2254" t="inlineStr"/>
      <c r="AM2254" t="inlineStr"/>
      <c r="AN2254" t="inlineStr"/>
      <c r="AO2254" t="inlineStr">
        <is>
          <t>cmm4yunbq00j2cuqwgbsnihxf</t>
        </is>
      </c>
      <c r="AP2254" t="inlineStr">
        <is>
          <t>http://localhost:8787/api/admin/requirements/documents/cmm4yunbq00j2cuqwgbsnihxf/view</t>
        </is>
      </c>
      <c r="AQ2254">
        <f>HYPERLÄNK("http://localhost:8787/api/admin/requirements/documents/cmm4yunbq00j2cuqwgbsnihxf/view";"Öppna PDF")</f>
        <v/>
      </c>
      <c r="AR2254">
        <f>HYPERLINK("http://localhost:8787/api/admin/requirements/documents/cmm4yunbq00j2cuqwgbsnihxf/view","Open PDF")</f>
        <v/>
      </c>
      <c r="AS2254" t="inlineStr">
        <is>
          <t>cmm55w57p0004cuisfrtpqly8</t>
        </is>
      </c>
      <c r="AT2254" t="inlineStr">
        <is>
          <t>cmm4xvu980000cuh4vj0usz09</t>
        </is>
      </c>
      <c r="AU2254" t="inlineStr"/>
      <c r="AV2254" t="inlineStr">
        <is>
          <t>Kommun</t>
        </is>
      </c>
      <c r="AW2254" t="inlineStr"/>
      <c r="AX2254" t="inlineStr">
        <is>
          <t>2024-02</t>
        </is>
      </c>
      <c r="AY2254" t="inlineStr">
        <is>
          <t>Beslut</t>
        </is>
      </c>
      <c r="AZ2254" t="inlineStr">
        <is>
          <t>2026-02-03</t>
        </is>
      </c>
      <c r="BA2254" t="inlineStr">
        <is>
          <t>Tallbacken1.pdf</t>
        </is>
      </c>
      <c r="BB2254" t="inlineStr">
        <is>
          <t>VB: [2026KCSK8665] till registrator</t>
        </is>
      </c>
      <c r="BC2254" t="inlineStr">
        <is>
          <t>AUTO</t>
        </is>
      </c>
      <c r="BD2254" t="inlineStr"/>
      <c r="BE2254" t="inlineStr"/>
      <c r="BF2254" t="inlineStr">
        <is>
          <t>AUTO_GENERERAD. Bekrafta metadata mot kallfil.</t>
        </is>
      </c>
      <c r="BG2254">
        <f>HYPERLINK("C:\Users\jimmy\Desktop\Examens arbete\Kod\Ny mapp\remix_-copy-of-miljöbeslut.se-portal\Tallbacken1.pdf", "Öppna PDF")</f>
        <v/>
      </c>
    </row>
    <row r="2255">
      <c r="A2255" t="inlineStr">
        <is>
          <t>KRAV-AUTO-002254</t>
        </is>
      </c>
      <c r="B2255" t="inlineStr">
        <is>
          <t>ADMIN-INDEX-2026-02-27-00000000125C043F57453246863FE664CAFE6A3F0700950291EA24F0614FB6ACEDB12BF0E31D00000000010C0000950291EA24F0614FB6ACEDB12BF0E31D00002087B1B60000</t>
        </is>
      </c>
      <c r="C2255" t="inlineStr">
        <is>
          <t>cmm4yunbq00j2cuqwgbsnihxf</t>
        </is>
      </c>
      <c r="D2255" t="inlineStr">
        <is>
          <t>http://localhost:8787/api/admin/requirements/documents/cmm4yunbq00j2cuqwgbsnihxf/view</t>
        </is>
      </c>
      <c r="E2255">
        <f>HYPERLÄNK("http://localhost:8787/api/admin/requirements/documents/cmm4yunbq00j2cuqwgbsnihxf/view";"Öppna PDF")</f>
        <v/>
      </c>
      <c r="F2255">
        <f>HYPERLINK("http://localhost:8787/api/admin/requirements/documents/cmm4yunbq00j2cuqwgbsnihxf/view","Open PDF")</f>
        <v/>
      </c>
      <c r="G2255" t="inlineStr">
        <is>
          <t>cmm55w57p0004cuisfrtpqly8</t>
        </is>
      </c>
      <c r="H2255" t="inlineStr">
        <is>
          <t>Beslutsvillkor</t>
        </is>
      </c>
      <c r="I2255" t="inlineStr">
        <is>
          <t>DagvattenLakvatten</t>
        </is>
      </c>
      <c r="J2255" t="inlineStr">
        <is>
          <t>Uppsamling</t>
        </is>
      </c>
      <c r="K2255" t="inlineStr">
        <is>
          <t>Behållare med flytande farligt avfall samt övriga kemikalier ska förvaras i ett uppsamlingskärl eller placeras i ett avloppslöst förvaringsutrymme så att ett eventuellt läckage kan förhindras.</t>
        </is>
      </c>
      <c r="L2255" t="inlineStr">
        <is>
          <t>Behållare med flytande farligt avfall samt övriga kemikalier ska förvaras i ett uppsamlingskärl eller placeras i ett avloppslöst förvaringsutrymme så att ett eventuellt läckage kan förhindras.</t>
        </is>
      </c>
      <c r="M2255" t="inlineStr">
        <is>
          <t>SKA</t>
        </is>
      </c>
      <c r="N2255" t="inlineStr"/>
      <c r="O2255" t="inlineStr"/>
      <c r="P2255" t="inlineStr">
        <is>
          <t>Arlig</t>
        </is>
      </c>
      <c r="Q2255" t="inlineStr"/>
      <c r="R2255" t="inlineStr">
        <is>
          <t>Vid nederbord och avrinning</t>
        </is>
      </c>
      <c r="S2255" t="inlineStr"/>
      <c r="T2255" t="inlineStr">
        <is>
          <t>556159</t>
        </is>
      </c>
      <c r="U2255" t="inlineStr"/>
      <c r="V2255" t="inlineStr"/>
      <c r="W2255" t="inlineStr">
        <is>
          <t>Nej</t>
        </is>
      </c>
      <c r="X2255" t="inlineStr">
        <is>
          <t>Ja</t>
        </is>
      </c>
      <c r="Y2255" t="inlineStr">
        <is>
          <t>Ja</t>
        </is>
      </c>
      <c r="Z2255" t="inlineStr">
        <is>
          <t>Nej</t>
        </is>
      </c>
      <c r="AA2255" t="n">
        <v>6</v>
      </c>
      <c r="AB2255" t="inlineStr">
        <is>
          <t>Lakvattenhantering</t>
        </is>
      </c>
      <c r="AC2255" t="inlineStr">
        <is>
          <t>Flodesschema dagvatten-lakvatten</t>
        </is>
      </c>
      <c r="AD2255" t="inlineStr">
        <is>
          <t>Nej</t>
        </is>
      </c>
      <c r="AE2255" t="inlineStr">
        <is>
          <t>Nej</t>
        </is>
      </c>
      <c r="AF2255" t="inlineStr">
        <is>
          <t>Ej behandlad</t>
        </is>
      </c>
      <c r="AG2255" t="inlineStr">
        <is>
          <t>AUTO_GENERERAD. Verifiera citat mot kallfil.</t>
        </is>
      </c>
      <c r="AH2255" t="inlineStr">
        <is>
          <t>MEDIUM</t>
        </is>
      </c>
      <c r="AI2255" t="inlineStr">
        <is>
          <t>AUTO</t>
        </is>
      </c>
      <c r="AJ2255" t="inlineStr">
        <is>
          <t>Nej</t>
        </is>
      </c>
      <c r="AK2255" t="inlineStr"/>
      <c r="AL2255" t="inlineStr"/>
      <c r="AM2255" t="inlineStr"/>
      <c r="AN2255" t="inlineStr"/>
      <c r="AO2255" t="inlineStr">
        <is>
          <t>cmm4yunbq00j2cuqwgbsnihxf</t>
        </is>
      </c>
      <c r="AP2255" t="inlineStr">
        <is>
          <t>http://localhost:8787/api/admin/requirements/documents/cmm4yunbq00j2cuqwgbsnihxf/view</t>
        </is>
      </c>
      <c r="AQ2255">
        <f>HYPERLÄNK("http://localhost:8787/api/admin/requirements/documents/cmm4yunbq00j2cuqwgbsnihxf/view";"Öppna PDF")</f>
        <v/>
      </c>
      <c r="AR2255">
        <f>HYPERLINK("http://localhost:8787/api/admin/requirements/documents/cmm4yunbq00j2cuqwgbsnihxf/view","Open PDF")</f>
        <v/>
      </c>
      <c r="AS2255" t="inlineStr">
        <is>
          <t>cmm55w57p0004cuisfrtpqly8</t>
        </is>
      </c>
      <c r="AT2255" t="inlineStr">
        <is>
          <t>cmm4xvu980000cuh4vj0usz09</t>
        </is>
      </c>
      <c r="AU2255" t="inlineStr"/>
      <c r="AV2255" t="inlineStr">
        <is>
          <t>Kommun</t>
        </is>
      </c>
      <c r="AW2255" t="inlineStr"/>
      <c r="AX2255" t="inlineStr">
        <is>
          <t>2024-02</t>
        </is>
      </c>
      <c r="AY2255" t="inlineStr">
        <is>
          <t>Beslut</t>
        </is>
      </c>
      <c r="AZ2255" t="inlineStr">
        <is>
          <t>2026-02-03</t>
        </is>
      </c>
      <c r="BA2255" t="inlineStr">
        <is>
          <t>Tallbacken1.pdf</t>
        </is>
      </c>
      <c r="BB2255" t="inlineStr">
        <is>
          <t>VB: [2026KCSK8665] till registrator</t>
        </is>
      </c>
      <c r="BC2255" t="inlineStr">
        <is>
          <t>AUTO</t>
        </is>
      </c>
      <c r="BD2255" t="inlineStr"/>
      <c r="BE2255" t="inlineStr"/>
      <c r="BF2255" t="inlineStr">
        <is>
          <t>AUTO_GENERERAD. Bekrafta metadata mot kallfil.</t>
        </is>
      </c>
      <c r="BG2255">
        <f>HYPERLINK("C:\Users\jimmy\Desktop\Examens arbete\Kod\Ny mapp\remix_-copy-of-miljöbeslut.se-portal\Tallbacken1.pdf", "Öppna PDF")</f>
        <v/>
      </c>
    </row>
    <row r="2256">
      <c r="A2256" t="inlineStr">
        <is>
          <t>KRAV-AUTO-002255</t>
        </is>
      </c>
      <c r="B2256" t="inlineStr">
        <is>
          <t>ADMIN-INDEX-2026-02-27-00000000125C043F57453246863FE664CAFE6A3F0700950291EA24F0614FB6ACEDB12BF0E31D00000000010C0000950291EA24F0614FB6ACEDB12BF0E31D00002087B1B60000</t>
        </is>
      </c>
      <c r="C2256" t="inlineStr">
        <is>
          <t>cmm4yunbq00j2cuqwgbsnihxf</t>
        </is>
      </c>
      <c r="D2256" t="inlineStr">
        <is>
          <t>http://localhost:8787/api/admin/requirements/documents/cmm4yunbq00j2cuqwgbsnihxf/view</t>
        </is>
      </c>
      <c r="E2256">
        <f>HYPERLÄNK("http://localhost:8787/api/admin/requirements/documents/cmm4yunbq00j2cuqwgbsnihxf/view";"Öppna PDF")</f>
        <v/>
      </c>
      <c r="F2256">
        <f>HYPERLINK("http://localhost:8787/api/admin/requirements/documents/cmm4yunbq00j2cuqwgbsnihxf/view","Open PDF")</f>
        <v/>
      </c>
      <c r="G2256" t="inlineStr">
        <is>
          <t>cmm55w57p0004cuisfrtpqly8</t>
        </is>
      </c>
      <c r="H2256" t="inlineStr">
        <is>
          <t>Beslutsvillkor</t>
        </is>
      </c>
      <c r="I2256" t="inlineStr">
        <is>
          <t>MiljopaverkanForsiktighet</t>
        </is>
      </c>
      <c r="J2256" t="inlineStr">
        <is>
          <t>Skyddsatgarder</t>
        </is>
      </c>
      <c r="K2256" t="inlineStr">
        <is>
          <t>Använt absorptionsmedel ska hanteras som farligt avfall.</t>
        </is>
      </c>
      <c r="L2256" t="inlineStr">
        <is>
          <t>Använt absorptionsmedel ska hanteras som farligt avfall.</t>
        </is>
      </c>
      <c r="M2256" t="inlineStr">
        <is>
          <t>SKA</t>
        </is>
      </c>
      <c r="N2256" t="inlineStr"/>
      <c r="O2256" t="inlineStr"/>
      <c r="P2256" t="inlineStr">
        <is>
          <t>Arlig</t>
        </is>
      </c>
      <c r="Q2256" t="inlineStr"/>
      <c r="R2256" t="inlineStr">
        <is>
          <t>Alltid</t>
        </is>
      </c>
      <c r="S2256" t="inlineStr"/>
      <c r="T2256" t="inlineStr">
        <is>
          <t>556159</t>
        </is>
      </c>
      <c r="U2256" t="inlineStr"/>
      <c r="V2256" t="inlineStr"/>
      <c r="W2256" t="inlineStr">
        <is>
          <t>Nej</t>
        </is>
      </c>
      <c r="X2256" t="inlineStr">
        <is>
          <t>Nej</t>
        </is>
      </c>
      <c r="Y2256" t="inlineStr">
        <is>
          <t>Nej</t>
        </is>
      </c>
      <c r="Z2256" t="inlineStr">
        <is>
          <t>Nej</t>
        </is>
      </c>
      <c r="AA2256" t="n">
        <v>10</v>
      </c>
      <c r="AB2256" t="inlineStr">
        <is>
          <t>Miljopaverkan och forsiktighetsmatt</t>
        </is>
      </c>
      <c r="AC2256" t="inlineStr">
        <is>
          <t>Miljo-PM</t>
        </is>
      </c>
      <c r="AD2256" t="inlineStr">
        <is>
          <t>Nej</t>
        </is>
      </c>
      <c r="AE2256" t="inlineStr">
        <is>
          <t>Nej</t>
        </is>
      </c>
      <c r="AF2256" t="inlineStr">
        <is>
          <t>Ej behandlad</t>
        </is>
      </c>
      <c r="AG2256" t="inlineStr">
        <is>
          <t>AUTO_GENERERAD. Verifiera citat mot kallfil.</t>
        </is>
      </c>
      <c r="AH2256" t="inlineStr">
        <is>
          <t>MEDIUM</t>
        </is>
      </c>
      <c r="AI2256" t="inlineStr">
        <is>
          <t>AUTO</t>
        </is>
      </c>
      <c r="AJ2256" t="inlineStr">
        <is>
          <t>Nej</t>
        </is>
      </c>
      <c r="AK2256" t="inlineStr"/>
      <c r="AL2256" t="inlineStr"/>
      <c r="AM2256" t="inlineStr"/>
      <c r="AN2256" t="inlineStr"/>
      <c r="AO2256" t="inlineStr">
        <is>
          <t>cmm4yunbq00j2cuqwgbsnihxf</t>
        </is>
      </c>
      <c r="AP2256" t="inlineStr">
        <is>
          <t>http://localhost:8787/api/admin/requirements/documents/cmm4yunbq00j2cuqwgbsnihxf/view</t>
        </is>
      </c>
      <c r="AQ2256">
        <f>HYPERLÄNK("http://localhost:8787/api/admin/requirements/documents/cmm4yunbq00j2cuqwgbsnihxf/view";"Öppna PDF")</f>
        <v/>
      </c>
      <c r="AR2256">
        <f>HYPERLINK("http://localhost:8787/api/admin/requirements/documents/cmm4yunbq00j2cuqwgbsnihxf/view","Open PDF")</f>
        <v/>
      </c>
      <c r="AS2256" t="inlineStr">
        <is>
          <t>cmm55w57p0004cuisfrtpqly8</t>
        </is>
      </c>
      <c r="AT2256" t="inlineStr">
        <is>
          <t>cmm4xvu980000cuh4vj0usz09</t>
        </is>
      </c>
      <c r="AU2256" t="inlineStr"/>
      <c r="AV2256" t="inlineStr">
        <is>
          <t>Kommun</t>
        </is>
      </c>
      <c r="AW2256" t="inlineStr"/>
      <c r="AX2256" t="inlineStr">
        <is>
          <t>2024-02</t>
        </is>
      </c>
      <c r="AY2256" t="inlineStr">
        <is>
          <t>Beslut</t>
        </is>
      </c>
      <c r="AZ2256" t="inlineStr">
        <is>
          <t>2026-02-03</t>
        </is>
      </c>
      <c r="BA2256" t="inlineStr">
        <is>
          <t>Tallbacken1.pdf</t>
        </is>
      </c>
      <c r="BB2256" t="inlineStr">
        <is>
          <t>VB: [2026KCSK8665] till registrator</t>
        </is>
      </c>
      <c r="BC2256" t="inlineStr">
        <is>
          <t>AUTO</t>
        </is>
      </c>
      <c r="BD2256" t="inlineStr"/>
      <c r="BE2256" t="inlineStr"/>
      <c r="BF2256" t="inlineStr">
        <is>
          <t>AUTO_GENERERAD. Bekrafta metadata mot kallfil.</t>
        </is>
      </c>
      <c r="BG2256">
        <f>HYPERLINK("C:\Users\jimmy\Desktop\Examens arbete\Kod\Ny mapp\remix_-copy-of-miljöbeslut.se-portal\Tallbacken1.pdf", "Öppna PDF")</f>
        <v/>
      </c>
    </row>
    <row r="2257">
      <c r="A2257" t="inlineStr">
        <is>
          <t>KRAV-AUTO-002256</t>
        </is>
      </c>
      <c r="B2257" t="inlineStr">
        <is>
          <t>ADMIN-INDEX-2026-02-27-00000000125C043F57453246863FE664CAFE6A3F0700950291EA24F0614FB6ACEDB12BF0E31D00000000010C0000950291EA24F0614FB6ACEDB12BF0E31D00002087B1B60000</t>
        </is>
      </c>
      <c r="C2257" t="inlineStr">
        <is>
          <t>cmm4yunbm00izcuqwfodte9un</t>
        </is>
      </c>
      <c r="D2257" t="inlineStr">
        <is>
          <t>http://localhost:8787/api/admin/requirements/documents/cmm4yunbm00izcuqwfodte9un/view</t>
        </is>
      </c>
      <c r="E2257">
        <f>HYPERLÄNK("http://localhost:8787/api/admin/requirements/documents/cmm4yunbm00izcuqwfodte9un/view";"Öppna PDF")</f>
        <v/>
      </c>
      <c r="F2257">
        <f>HYPERLINK("http://localhost:8787/api/admin/requirements/documents/cmm4yunbm00izcuqwfodte9un/view","Open PDF")</f>
        <v/>
      </c>
      <c r="G2257" t="inlineStr">
        <is>
          <t>cmm55w57p0004cuisfrtpqly8</t>
        </is>
      </c>
      <c r="H2257" t="inlineStr">
        <is>
          <t>Beslutsvillkor</t>
        </is>
      </c>
      <c r="I2257" t="inlineStr">
        <is>
          <t>Ytkonstruktion</t>
        </is>
      </c>
      <c r="J2257" t="inlineStr">
        <is>
          <t>Tat yta</t>
        </is>
      </c>
      <c r="K2257" t="inlineStr">
        <is>
          <t>All hantering av avfall ska ske nederbördsskyddat samt på täta, asfalterade ytor som är beständiga mot de avfallsslag som hanteras.</t>
        </is>
      </c>
      <c r="L2257" t="inlineStr">
        <is>
          <t>All hantering av avfall ska ske nederbördsskyddat samt på täta, asfalterade ytor som är beständiga mot de avfallsslag som hanteras.</t>
        </is>
      </c>
      <c r="M2257" t="inlineStr">
        <is>
          <t>SKA</t>
        </is>
      </c>
      <c r="N2257" t="inlineStr"/>
      <c r="O2257" t="inlineStr"/>
      <c r="P2257" t="inlineStr"/>
      <c r="Q2257" t="inlineStr"/>
      <c r="R2257" t="inlineStr">
        <is>
          <t>Vid mellanlagring av avfall</t>
        </is>
      </c>
      <c r="S2257" t="inlineStr"/>
      <c r="T2257" t="inlineStr">
        <is>
          <t>556727</t>
        </is>
      </c>
      <c r="U2257" t="inlineStr"/>
      <c r="V2257" t="inlineStr"/>
      <c r="W2257" t="inlineStr">
        <is>
          <t>Ja</t>
        </is>
      </c>
      <c r="X2257" t="inlineStr">
        <is>
          <t>Nej</t>
        </is>
      </c>
      <c r="Y2257" t="inlineStr">
        <is>
          <t>Nej</t>
        </is>
      </c>
      <c r="Z2257" t="inlineStr">
        <is>
          <t>Nej</t>
        </is>
      </c>
      <c r="AA2257" t="n">
        <v>5</v>
      </c>
      <c r="AB2257" t="inlineStr">
        <is>
          <t>Teknisk beskrivning av platta</t>
        </is>
      </c>
      <c r="AC2257" t="inlineStr">
        <is>
          <t>Teknisk ritning platta</t>
        </is>
      </c>
      <c r="AD2257" t="inlineStr">
        <is>
          <t>Nej</t>
        </is>
      </c>
      <c r="AE2257" t="inlineStr">
        <is>
          <t>Nej</t>
        </is>
      </c>
      <c r="AF2257" t="inlineStr">
        <is>
          <t>Ej behandlad</t>
        </is>
      </c>
      <c r="AG2257" t="inlineStr">
        <is>
          <t>AUTO_GENERERAD. Verifiera citat mot kallfil.</t>
        </is>
      </c>
      <c r="AH2257" t="inlineStr">
        <is>
          <t>MEDIUM</t>
        </is>
      </c>
      <c r="AI2257" t="inlineStr">
        <is>
          <t>AUTO</t>
        </is>
      </c>
      <c r="AJ2257" t="inlineStr">
        <is>
          <t>Nej</t>
        </is>
      </c>
      <c r="AK2257" t="inlineStr"/>
      <c r="AL2257" t="inlineStr"/>
      <c r="AM2257" t="inlineStr"/>
      <c r="AN2257" t="inlineStr"/>
      <c r="AO2257" t="inlineStr">
        <is>
          <t>cmm4yunbq00j2cuqwgbsnihxf</t>
        </is>
      </c>
      <c r="AP2257" t="inlineStr">
        <is>
          <t>http://localhost:8787/api/admin/requirements/documents/cmm4yunbq00j2cuqwgbsnihxf/view</t>
        </is>
      </c>
      <c r="AQ2257">
        <f>HYPERLÄNK("http://localhost:8787/api/admin/requirements/documents/cmm4yunbq00j2cuqwgbsnihxf/view";"Öppna PDF")</f>
        <v/>
      </c>
      <c r="AR2257">
        <f>HYPERLINK("http://localhost:8787/api/admin/requirements/documents/cmm4yunbq00j2cuqwgbsnihxf/view","Open PDF")</f>
        <v/>
      </c>
      <c r="AS2257" t="inlineStr">
        <is>
          <t>cmm55w57p0004cuisfrtpqly8</t>
        </is>
      </c>
      <c r="AT2257" t="inlineStr">
        <is>
          <t>cmm4xvu980000cuh4vj0usz09</t>
        </is>
      </c>
      <c r="AU2257" t="inlineStr"/>
      <c r="AV2257" t="inlineStr">
        <is>
          <t>Kommun</t>
        </is>
      </c>
      <c r="AW2257" t="inlineStr"/>
      <c r="AX2257" t="inlineStr">
        <is>
          <t>2024-02</t>
        </is>
      </c>
      <c r="AY2257" t="inlineStr">
        <is>
          <t>Beslut</t>
        </is>
      </c>
      <c r="AZ2257" t="inlineStr">
        <is>
          <t>2026-02-03</t>
        </is>
      </c>
      <c r="BA2257" t="inlineStr">
        <is>
          <t>Tallbacken1.pdf</t>
        </is>
      </c>
      <c r="BB2257" t="inlineStr">
        <is>
          <t>VB: [2026KCSK8665] till registrator</t>
        </is>
      </c>
      <c r="BC2257" t="inlineStr">
        <is>
          <t>AUTO</t>
        </is>
      </c>
      <c r="BD2257" t="inlineStr"/>
      <c r="BE2257" t="inlineStr"/>
      <c r="BF2257" t="inlineStr">
        <is>
          <t>AUTO_GENERERAD. Bekrafta metadata mot kallfil.</t>
        </is>
      </c>
      <c r="BG2257">
        <f>HYPERLINK("C:\Users\jimmy\Desktop\Examens arbete\Kod\Ny mapp\remix_-copy-of-miljöbeslut.se-portal\Tallbacken1.pdf", "Öppna PDF")</f>
        <v/>
      </c>
    </row>
    <row r="2258">
      <c r="A2258" t="inlineStr">
        <is>
          <t>KRAV-AUTO-002257</t>
        </is>
      </c>
      <c r="B2258" t="inlineStr">
        <is>
          <t>ADMIN-INDEX-2026-02-27-00000000125C043F57453246863FE664CAFE6A3F0700950291EA24F0614FB6ACEDB12BF0E31D00000000010C0000950291EA24F0614FB6ACEDB12BF0E31D00002087B1B60000</t>
        </is>
      </c>
      <c r="C2258" t="inlineStr">
        <is>
          <t>cmm4yunbm00izcuqwfodte9un</t>
        </is>
      </c>
      <c r="D2258" t="inlineStr">
        <is>
          <t>http://localhost:8787/api/admin/requirements/documents/cmm4yunbm00izcuqwfodte9un/view</t>
        </is>
      </c>
      <c r="E2258">
        <f>HYPERLÄNK("http://localhost:8787/api/admin/requirements/documents/cmm4yunbm00izcuqwfodte9un/view";"Öppna PDF")</f>
        <v/>
      </c>
      <c r="F2258">
        <f>HYPERLINK("http://localhost:8787/api/admin/requirements/documents/cmm4yunbm00izcuqwfodte9un/view","Open PDF")</f>
        <v/>
      </c>
      <c r="G2258" t="inlineStr">
        <is>
          <t>cmm55w57p0004cuisfrtpqly8</t>
        </is>
      </c>
      <c r="H2258" t="inlineStr">
        <is>
          <t>Beslutsvillkor</t>
        </is>
      </c>
      <c r="I2258" t="inlineStr">
        <is>
          <t>DagvattenLakvatten</t>
        </is>
      </c>
      <c r="J2258" t="inlineStr">
        <is>
          <t>Uppsamling</t>
        </is>
      </c>
      <c r="K2258" t="inlineStr">
        <is>
          <t>Utsläpp av dagvatten från verksamhetsområdet får inte avvika från normal regnvattens kvalitet eller negativt påverka mottagande recipient.</t>
        </is>
      </c>
      <c r="L2258" t="inlineStr">
        <is>
          <t>Utsläpp av dagvatten från verksamhetsområdet får inte avvika från normal regnvattens kvalitet eller negativt påverka mottagande recipient.</t>
        </is>
      </c>
      <c r="M2258" t="inlineStr">
        <is>
          <t>SKA</t>
        </is>
      </c>
      <c r="N2258" t="inlineStr"/>
      <c r="O2258" t="inlineStr"/>
      <c r="P2258" t="inlineStr"/>
      <c r="Q2258" t="inlineStr">
        <is>
          <t>Driftbegransning vid avvikelse</t>
        </is>
      </c>
      <c r="R2258" t="inlineStr">
        <is>
          <t>Vid nederbord och avrinning</t>
        </is>
      </c>
      <c r="S2258" t="inlineStr"/>
      <c r="T2258" t="inlineStr">
        <is>
          <t>556727</t>
        </is>
      </c>
      <c r="U2258" t="inlineStr"/>
      <c r="V2258" t="inlineStr"/>
      <c r="W2258" t="inlineStr">
        <is>
          <t>Nej</t>
        </is>
      </c>
      <c r="X2258" t="inlineStr">
        <is>
          <t>Ja</t>
        </is>
      </c>
      <c r="Y2258" t="inlineStr">
        <is>
          <t>Ja</t>
        </is>
      </c>
      <c r="Z2258" t="inlineStr">
        <is>
          <t>Nej</t>
        </is>
      </c>
      <c r="AA2258" t="n">
        <v>6</v>
      </c>
      <c r="AB2258" t="inlineStr">
        <is>
          <t>Lakvattenhantering</t>
        </is>
      </c>
      <c r="AC2258" t="inlineStr">
        <is>
          <t>Flodesschema dagvatten-lakvatten</t>
        </is>
      </c>
      <c r="AD2258" t="inlineStr">
        <is>
          <t>Nej</t>
        </is>
      </c>
      <c r="AE2258" t="inlineStr">
        <is>
          <t>Nej</t>
        </is>
      </c>
      <c r="AF2258" t="inlineStr">
        <is>
          <t>Ej behandlad</t>
        </is>
      </c>
      <c r="AG2258" t="inlineStr">
        <is>
          <t>AUTO_GENERERAD. Verifiera citat mot kallfil.</t>
        </is>
      </c>
      <c r="AH2258" t="inlineStr">
        <is>
          <t>MEDIUM</t>
        </is>
      </c>
      <c r="AI2258" t="inlineStr">
        <is>
          <t>AUTO</t>
        </is>
      </c>
      <c r="AJ2258" t="inlineStr">
        <is>
          <t>Nej</t>
        </is>
      </c>
      <c r="AK2258" t="inlineStr"/>
      <c r="AL2258" t="inlineStr"/>
      <c r="AM2258" t="inlineStr"/>
      <c r="AN2258" t="inlineStr"/>
      <c r="AO2258" t="inlineStr">
        <is>
          <t>cmm4yunbq00j2cuqwgbsnihxf</t>
        </is>
      </c>
      <c r="AP2258" t="inlineStr">
        <is>
          <t>http://localhost:8787/api/admin/requirements/documents/cmm4yunbq00j2cuqwgbsnihxf/view</t>
        </is>
      </c>
      <c r="AQ2258">
        <f>HYPERLÄNK("http://localhost:8787/api/admin/requirements/documents/cmm4yunbq00j2cuqwgbsnihxf/view";"Öppna PDF")</f>
        <v/>
      </c>
      <c r="AR2258">
        <f>HYPERLINK("http://localhost:8787/api/admin/requirements/documents/cmm4yunbq00j2cuqwgbsnihxf/view","Open PDF")</f>
        <v/>
      </c>
      <c r="AS2258" t="inlineStr">
        <is>
          <t>cmm55w57p0004cuisfrtpqly8</t>
        </is>
      </c>
      <c r="AT2258" t="inlineStr">
        <is>
          <t>cmm4xvu980000cuh4vj0usz09</t>
        </is>
      </c>
      <c r="AU2258" t="inlineStr"/>
      <c r="AV2258" t="inlineStr">
        <is>
          <t>Kommun</t>
        </is>
      </c>
      <c r="AW2258" t="inlineStr"/>
      <c r="AX2258" t="inlineStr">
        <is>
          <t>2024-02</t>
        </is>
      </c>
      <c r="AY2258" t="inlineStr">
        <is>
          <t>Beslut</t>
        </is>
      </c>
      <c r="AZ2258" t="inlineStr">
        <is>
          <t>2026-02-03</t>
        </is>
      </c>
      <c r="BA2258" t="inlineStr">
        <is>
          <t>Tallbacken1.pdf</t>
        </is>
      </c>
      <c r="BB2258" t="inlineStr">
        <is>
          <t>VB: [2026KCSK8665] till registrator</t>
        </is>
      </c>
      <c r="BC2258" t="inlineStr">
        <is>
          <t>AUTO</t>
        </is>
      </c>
      <c r="BD2258" t="inlineStr"/>
      <c r="BE2258" t="inlineStr"/>
      <c r="BF2258" t="inlineStr">
        <is>
          <t>AUTO_GENERERAD. Bekrafta metadata mot kallfil.</t>
        </is>
      </c>
      <c r="BG2258">
        <f>HYPERLINK("C:\Users\jimmy\Desktop\Examens arbete\Kod\Ny mapp\remix_-copy-of-miljöbeslut.se-portal\Tallbacken1.pdf", "Öppna PDF")</f>
        <v/>
      </c>
    </row>
    <row r="2259">
      <c r="A2259" t="inlineStr">
        <is>
          <t>KRAV-AUTO-002258</t>
        </is>
      </c>
      <c r="B2259" t="inlineStr">
        <is>
          <t>ADMIN-INDEX-2026-02-27-00000000125C043F57453246863FE664CAFE6A3F0700950291EA24F0614FB6ACEDB12BF0E31D00000000010C0000950291EA24F0614FB6ACEDB12BF0E31D00002087B1B60000</t>
        </is>
      </c>
      <c r="C2259" t="inlineStr">
        <is>
          <t>cmm4yunbm00izcuqwfodte9un</t>
        </is>
      </c>
      <c r="D2259" t="inlineStr">
        <is>
          <t>http://localhost:8787/api/admin/requirements/documents/cmm4yunbm00izcuqwfodte9un/view</t>
        </is>
      </c>
      <c r="E2259">
        <f>HYPERLÄNK("http://localhost:8787/api/admin/requirements/documents/cmm4yunbm00izcuqwfodte9un/view";"Öppna PDF")</f>
        <v/>
      </c>
      <c r="F2259">
        <f>HYPERLINK("http://localhost:8787/api/admin/requirements/documents/cmm4yunbm00izcuqwfodte9un/view","Open PDF")</f>
        <v/>
      </c>
      <c r="G2259" t="inlineStr">
        <is>
          <t>cmm55w57p0004cuisfrtpqly8</t>
        </is>
      </c>
      <c r="H2259" t="inlineStr">
        <is>
          <t>Beslutsvillkor</t>
        </is>
      </c>
      <c r="I2259" t="inlineStr">
        <is>
          <t>Riskhantering</t>
        </is>
      </c>
      <c r="J2259" t="inlineStr">
        <is>
          <t>Riskkontroll</t>
        </is>
      </c>
      <c r="K2259" t="inlineStr">
        <is>
          <t>mer än 1 ton men högst 50 ton och utgörs av elektriska eller elektroniska produkter, 4.</t>
        </is>
      </c>
      <c r="L2259" t="inlineStr">
        <is>
          <t>mer än 1 ton men högst 50 ton och utgörs av elektriska eller elektroniska produkter, 4.</t>
        </is>
      </c>
      <c r="M2259" t="inlineStr">
        <is>
          <t>SKA</t>
        </is>
      </c>
      <c r="N2259" t="inlineStr"/>
      <c r="O2259" t="inlineStr"/>
      <c r="P2259" t="inlineStr"/>
      <c r="Q2259" t="inlineStr"/>
      <c r="R2259" t="inlineStr">
        <is>
          <t>Vid risk for incident</t>
        </is>
      </c>
      <c r="S2259" t="inlineStr"/>
      <c r="T2259" t="inlineStr">
        <is>
          <t>556727</t>
        </is>
      </c>
      <c r="U2259" t="n">
        <v>1</v>
      </c>
      <c r="V2259" t="inlineStr"/>
      <c r="W2259" t="inlineStr">
        <is>
          <t>Nej</t>
        </is>
      </c>
      <c r="X2259" t="inlineStr">
        <is>
          <t>Nej</t>
        </is>
      </c>
      <c r="Y2259" t="inlineStr">
        <is>
          <t>Ja</t>
        </is>
      </c>
      <c r="Z2259" t="inlineStr">
        <is>
          <t>Ja</t>
        </is>
      </c>
      <c r="AA2259" t="n">
        <v>8</v>
      </c>
      <c r="AB2259" t="inlineStr">
        <is>
          <t>Riskhantering</t>
        </is>
      </c>
      <c r="AC2259" t="inlineStr">
        <is>
          <t>Risk-PM</t>
        </is>
      </c>
      <c r="AD2259" t="inlineStr">
        <is>
          <t>Nej</t>
        </is>
      </c>
      <c r="AE2259" t="inlineStr">
        <is>
          <t>Nej</t>
        </is>
      </c>
      <c r="AF2259" t="inlineStr">
        <is>
          <t>Ej behandlad</t>
        </is>
      </c>
      <c r="AG2259" t="inlineStr">
        <is>
          <t>AUTO_GENERERAD. Verifiera citat mot kallfil.</t>
        </is>
      </c>
      <c r="AH2259" t="inlineStr">
        <is>
          <t>MEDIUM</t>
        </is>
      </c>
      <c r="AI2259" t="inlineStr">
        <is>
          <t>AUTO</t>
        </is>
      </c>
      <c r="AJ2259" t="inlineStr">
        <is>
          <t>Nej</t>
        </is>
      </c>
      <c r="AK2259" t="inlineStr"/>
      <c r="AL2259" t="inlineStr"/>
      <c r="AM2259" t="inlineStr"/>
      <c r="AN2259" t="inlineStr"/>
      <c r="AO2259" t="inlineStr">
        <is>
          <t>cmm4yunbq00j2cuqwgbsnihxf</t>
        </is>
      </c>
      <c r="AP2259" t="inlineStr">
        <is>
          <t>http://localhost:8787/api/admin/requirements/documents/cmm4yunbq00j2cuqwgbsnihxf/view</t>
        </is>
      </c>
      <c r="AQ2259">
        <f>HYPERLÄNK("http://localhost:8787/api/admin/requirements/documents/cmm4yunbq00j2cuqwgbsnihxf/view";"Öppna PDF")</f>
        <v/>
      </c>
      <c r="AR2259">
        <f>HYPERLINK("http://localhost:8787/api/admin/requirements/documents/cmm4yunbq00j2cuqwgbsnihxf/view","Open PDF")</f>
        <v/>
      </c>
      <c r="AS2259" t="inlineStr">
        <is>
          <t>cmm55w57p0004cuisfrtpqly8</t>
        </is>
      </c>
      <c r="AT2259" t="inlineStr">
        <is>
          <t>cmm4xvu980000cuh4vj0usz09</t>
        </is>
      </c>
      <c r="AU2259" t="inlineStr"/>
      <c r="AV2259" t="inlineStr">
        <is>
          <t>Kommun</t>
        </is>
      </c>
      <c r="AW2259" t="inlineStr"/>
      <c r="AX2259" t="inlineStr">
        <is>
          <t>2024-02</t>
        </is>
      </c>
      <c r="AY2259" t="inlineStr">
        <is>
          <t>Beslut</t>
        </is>
      </c>
      <c r="AZ2259" t="inlineStr">
        <is>
          <t>2026-02-03</t>
        </is>
      </c>
      <c r="BA2259" t="inlineStr">
        <is>
          <t>Tallbacken1.pdf</t>
        </is>
      </c>
      <c r="BB2259" t="inlineStr">
        <is>
          <t>VB: [2026KCSK8665] till registrator</t>
        </is>
      </c>
      <c r="BC2259" t="inlineStr">
        <is>
          <t>AUTO</t>
        </is>
      </c>
      <c r="BD2259" t="inlineStr"/>
      <c r="BE2259" t="inlineStr"/>
      <c r="BF2259" t="inlineStr">
        <is>
          <t>AUTO_GENERERAD. Bekrafta metadata mot kallfil.</t>
        </is>
      </c>
      <c r="BG2259">
        <f>HYPERLINK("C:\Users\jimmy\Desktop\Examens arbete\Kod\Ny mapp\remix_-copy-of-miljöbeslut.se-portal\Tallbacken1.pdf", "Öppna PDF")</f>
        <v/>
      </c>
    </row>
    <row r="2260">
      <c r="A2260" t="inlineStr">
        <is>
          <t>KRAV-AUTO-002259</t>
        </is>
      </c>
      <c r="B2260" t="inlineStr">
        <is>
          <t>ADMIN-INDEX-2026-02-27-00000000125C043F57453246863FE664CAFE6A3F0700950291EA24F0614FB6ACEDB12BF0E31D00000000010C0000950291EA24F0614FB6ACEDB12BF0E31D00002087B1B70000</t>
        </is>
      </c>
      <c r="C2260" t="inlineStr">
        <is>
          <t>cmm4yunbj00iwcuqw4yabxmjg</t>
        </is>
      </c>
      <c r="D2260" t="inlineStr">
        <is>
          <t>http://localhost:8787/api/admin/requirements/documents/cmm4yunbj00iwcuqw4yabxmjg/view</t>
        </is>
      </c>
      <c r="E2260">
        <f>HYPERLÄNK("http://localhost:8787/api/admin/requirements/documents/cmm4yunbj00iwcuqw4yabxmjg/view";"Öppna PDF")</f>
        <v/>
      </c>
      <c r="F2260">
        <f>HYPERLINK("http://localhost:8787/api/admin/requirements/documents/cmm4yunbj00iwcuqw4yabxmjg/view","Open PDF")</f>
        <v/>
      </c>
      <c r="G2260" t="inlineStr">
        <is>
          <t>cmm55w57p0004cuisfrtpqly8</t>
        </is>
      </c>
      <c r="H2260" t="inlineStr">
        <is>
          <t>Beslutsvillkor</t>
        </is>
      </c>
      <c r="I2260" t="inlineStr">
        <is>
          <t>DriftEgenkontroll</t>
        </is>
      </c>
      <c r="J2260" t="inlineStr">
        <is>
          <t>Journalforing</t>
        </is>
      </c>
      <c r="K2260" t="inlineStr">
        <is>
          <t>I det här fallet tror jag Trafikverket redan provtagit massorna.De delar av massorna som betecknas KM ska läggas på delen närmast vägen och som blir kvar även efter att täkten lagts ner.</t>
        </is>
      </c>
      <c r="L2260" t="inlineStr">
        <is>
          <t>I det här fallet tror jag Trafikverket redan provtagit massorna.De delar av massorna som betecknas KM ska läggas på delen närmast vägen och som blir kvar även efter att täkten lagts ner.</t>
        </is>
      </c>
      <c r="M2260" t="inlineStr">
        <is>
          <t>SKA</t>
        </is>
      </c>
      <c r="N2260" t="inlineStr"/>
      <c r="O2260" t="inlineStr"/>
      <c r="P2260" t="inlineStr"/>
      <c r="Q2260" t="inlineStr"/>
      <c r="R2260" t="inlineStr">
        <is>
          <t>Lopande drift</t>
        </is>
      </c>
      <c r="S2260" t="inlineStr"/>
      <c r="T2260" t="inlineStr">
        <is>
          <t>2024 93</t>
        </is>
      </c>
      <c r="U2260" t="inlineStr"/>
      <c r="V2260" t="inlineStr"/>
      <c r="W2260" t="inlineStr">
        <is>
          <t>Nej</t>
        </is>
      </c>
      <c r="X2260" t="inlineStr">
        <is>
          <t>Nej</t>
        </is>
      </c>
      <c r="Y2260" t="inlineStr">
        <is>
          <t>Ja</t>
        </is>
      </c>
      <c r="Z2260" t="inlineStr">
        <is>
          <t>Nej</t>
        </is>
      </c>
      <c r="AA2260" t="n">
        <v>7</v>
      </c>
      <c r="AB2260" t="inlineStr">
        <is>
          <t>Egenkontrollrutiner</t>
        </is>
      </c>
      <c r="AC2260" t="inlineStr">
        <is>
          <t>Egenkontrollprogram</t>
        </is>
      </c>
      <c r="AD2260" t="inlineStr">
        <is>
          <t>Nej</t>
        </is>
      </c>
      <c r="AE2260" t="inlineStr">
        <is>
          <t>Nej</t>
        </is>
      </c>
      <c r="AF2260" t="inlineStr">
        <is>
          <t>Ej behandlad</t>
        </is>
      </c>
      <c r="AG2260" t="inlineStr">
        <is>
          <t>AUTO_GENERERAD. Verifiera citat mot kallfil.</t>
        </is>
      </c>
      <c r="AH2260" t="inlineStr">
        <is>
          <t>MEDIUM</t>
        </is>
      </c>
      <c r="AI2260" t="inlineStr">
        <is>
          <t>AUTO</t>
        </is>
      </c>
      <c r="AJ2260" t="inlineStr">
        <is>
          <t>Nej</t>
        </is>
      </c>
      <c r="AK2260" t="inlineStr"/>
      <c r="AL2260" t="inlineStr"/>
      <c r="AM2260" t="inlineStr"/>
      <c r="AN2260" t="inlineStr"/>
      <c r="AO2260" t="inlineStr">
        <is>
          <t>cmm4yunbj00iwcuqw4yabxmjg</t>
        </is>
      </c>
      <c r="AP2260" t="inlineStr">
        <is>
          <t>http://localhost:8787/api/admin/requirements/documents/cmm4yunbj00iwcuqw4yabxmjg/view</t>
        </is>
      </c>
      <c r="AQ2260">
        <f>HYPERLÄNK("http://localhost:8787/api/admin/requirements/documents/cmm4yunbj00iwcuqw4yabxmjg/view";"Öppna PDF")</f>
        <v/>
      </c>
      <c r="AR2260">
        <f>HYPERLINK("http://localhost:8787/api/admin/requirements/documents/cmm4yunbj00iwcuqw4yabxmjg/view","Open PDF")</f>
        <v/>
      </c>
      <c r="AS2260" t="inlineStr">
        <is>
          <t>cmm55w57p0004cuisfrtpqly8</t>
        </is>
      </c>
      <c r="AT2260" t="inlineStr">
        <is>
          <t>cmm4xvu980000cuh4vj0usz09</t>
        </is>
      </c>
      <c r="AU2260" t="inlineStr">
        <is>
          <t>pdf Diariekort Torsby</t>
        </is>
      </c>
      <c r="AV2260" t="inlineStr">
        <is>
          <t>Kommun</t>
        </is>
      </c>
      <c r="AW2260" t="inlineStr">
        <is>
          <t>pdf Diariekort Torsby kommun</t>
        </is>
      </c>
      <c r="AX2260" t="inlineStr">
        <is>
          <t>2026-02</t>
        </is>
      </c>
      <c r="AY2260" t="inlineStr">
        <is>
          <t>Beslut</t>
        </is>
      </c>
      <c r="AZ2260" t="inlineStr">
        <is>
          <t>2026-02-03</t>
        </is>
      </c>
      <c r="BA2260" t="inlineStr">
        <is>
          <t>Ärende 2024-93.pdf</t>
        </is>
      </c>
      <c r="BB2260" t="inlineStr">
        <is>
          <t>Sv: till registrator</t>
        </is>
      </c>
      <c r="BC2260" t="inlineStr">
        <is>
          <t>AUTO</t>
        </is>
      </c>
      <c r="BD2260" t="inlineStr"/>
      <c r="BE2260" t="inlineStr"/>
      <c r="BF2260" t="inlineStr">
        <is>
          <t>AUTO_GENERERAD. Bekrafta metadata mot kallfil.</t>
        </is>
      </c>
      <c r="BG2260">
        <f>HYPERLINK("C:\Users\jimmy\Desktop\Examens arbete\Kod\Ny mapp\remix_-copy-of-miljöbeslut.se-portal\Ärende 2024-93.pdf", "Öppna PDF")</f>
        <v/>
      </c>
    </row>
    <row r="2261">
      <c r="A2261" t="inlineStr">
        <is>
          <t>KRAV-AUTO-002260</t>
        </is>
      </c>
      <c r="B2261" t="inlineStr">
        <is>
          <t>ADMIN-INDEX-2026-02-27-00000000125C043F57453246863FE664CAFE6A3F0700950291EA24F0614FB6ACEDB12BF0E31D00000000010C0000950291EA24F0614FB6ACEDB12BF0E31D00002087B1B70000</t>
        </is>
      </c>
      <c r="C2261" t="inlineStr">
        <is>
          <t>cmm4yunbj00iwcuqw4yabxmjg</t>
        </is>
      </c>
      <c r="D2261" t="inlineStr">
        <is>
          <t>http://localhost:8787/api/admin/requirements/documents/cmm4yunbj00iwcuqw4yabxmjg/view</t>
        </is>
      </c>
      <c r="E2261">
        <f>HYPERLÄNK("http://localhost:8787/api/admin/requirements/documents/cmm4yunbj00iwcuqw4yabxmjg/view";"Öppna PDF")</f>
        <v/>
      </c>
      <c r="F2261">
        <f>HYPERLINK("http://localhost:8787/api/admin/requirements/documents/cmm4yunbj00iwcuqw4yabxmjg/view","Open PDF")</f>
        <v/>
      </c>
      <c r="G2261" t="inlineStr">
        <is>
          <t>cmm55w57p0004cuisfrtpqly8</t>
        </is>
      </c>
      <c r="H2261" t="inlineStr">
        <is>
          <t>Beslutsvillkor</t>
        </is>
      </c>
      <c r="I2261" t="inlineStr">
        <is>
          <t>Ytkonstruktion</t>
        </is>
      </c>
      <c r="J2261" t="inlineStr">
        <is>
          <t>Tat yta</t>
        </is>
      </c>
      <c r="K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2024-02-28 ÖVR Inkommande Delgivningskvitto MBR-2024-93:5 2024-02-28 ANMBN Upprättad Anmälan av delegationsbeslut till nämnden -- 1 of 1 --</t>
        </is>
      </c>
      <c r="L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t>
        </is>
      </c>
      <c r="M2261" t="inlineStr">
        <is>
          <t>KAN</t>
        </is>
      </c>
      <c r="N2261" t="inlineStr"/>
      <c r="O2261" t="inlineStr">
        <is>
          <t>2024-02-07</t>
        </is>
      </c>
      <c r="P2261" t="inlineStr"/>
      <c r="Q2261" t="inlineStr">
        <is>
          <t>Forelaggande vid brist</t>
        </is>
      </c>
      <c r="R2261" t="inlineStr">
        <is>
          <t>Vid mellanlagring av avfall</t>
        </is>
      </c>
      <c r="S2261" t="inlineStr"/>
      <c r="T2261" t="inlineStr">
        <is>
          <t>2024 93</t>
        </is>
      </c>
      <c r="U2261" t="inlineStr"/>
      <c r="V2261" t="inlineStr"/>
      <c r="W2261" t="inlineStr">
        <is>
          <t>Ja</t>
        </is>
      </c>
      <c r="X2261" t="inlineStr">
        <is>
          <t>Nej</t>
        </is>
      </c>
      <c r="Y2261" t="inlineStr">
        <is>
          <t>Nej</t>
        </is>
      </c>
      <c r="Z2261" t="inlineStr">
        <is>
          <t>Nej</t>
        </is>
      </c>
      <c r="AA2261" t="n">
        <v>5</v>
      </c>
      <c r="AB2261" t="inlineStr">
        <is>
          <t>Teknisk beskrivning av platta</t>
        </is>
      </c>
      <c r="AC2261" t="inlineStr">
        <is>
          <t>Teknisk ritning platta</t>
        </is>
      </c>
      <c r="AD2261" t="inlineStr">
        <is>
          <t>Nej</t>
        </is>
      </c>
      <c r="AE2261" t="inlineStr">
        <is>
          <t>Nej</t>
        </is>
      </c>
      <c r="AF2261" t="inlineStr">
        <is>
          <t>Ej behandlad</t>
        </is>
      </c>
      <c r="AG2261" t="inlineStr">
        <is>
          <t>AUTO_GENERERAD. Verifiera citat mot kallfil.</t>
        </is>
      </c>
      <c r="AH2261" t="inlineStr">
        <is>
          <t>MEDIUM</t>
        </is>
      </c>
      <c r="AI2261" t="inlineStr">
        <is>
          <t>AUTO</t>
        </is>
      </c>
      <c r="AJ2261" t="inlineStr">
        <is>
          <t>Nej</t>
        </is>
      </c>
      <c r="AK2261" t="inlineStr"/>
      <c r="AL2261" t="inlineStr"/>
      <c r="AM2261" t="inlineStr"/>
      <c r="AN2261" t="inlineStr"/>
      <c r="AO2261" t="inlineStr">
        <is>
          <t>cmm4yunbj00iwcuqw4yabxmjg</t>
        </is>
      </c>
      <c r="AP2261" t="inlineStr">
        <is>
          <t>http://localhost:8787/api/admin/requirements/documents/cmm4yunbj00iwcuqw4yabxmjg/view</t>
        </is>
      </c>
      <c r="AQ2261">
        <f>HYPERLÄNK("http://localhost:8787/api/admin/requirements/documents/cmm4yunbj00iwcuqw4yabxmjg/view";"Öppna PDF")</f>
        <v/>
      </c>
      <c r="AR2261">
        <f>HYPERLINK("http://localhost:8787/api/admin/requirements/documents/cmm4yunbj00iwcuqw4yabxmjg/view","Open PDF")</f>
        <v/>
      </c>
      <c r="AS2261" t="inlineStr">
        <is>
          <t>cmm55w57p0004cuisfrtpqly8</t>
        </is>
      </c>
      <c r="AT2261" t="inlineStr">
        <is>
          <t>cmm4xvu980000cuh4vj0usz09</t>
        </is>
      </c>
      <c r="AU2261" t="inlineStr">
        <is>
          <t>pdf Diariekort Torsby</t>
        </is>
      </c>
      <c r="AV2261" t="inlineStr">
        <is>
          <t>Kommun</t>
        </is>
      </c>
      <c r="AW2261" t="inlineStr">
        <is>
          <t>pdf Diariekort Torsby kommun</t>
        </is>
      </c>
      <c r="AX2261" t="inlineStr">
        <is>
          <t>2026-02</t>
        </is>
      </c>
      <c r="AY2261" t="inlineStr">
        <is>
          <t>Beslut</t>
        </is>
      </c>
      <c r="AZ2261" t="inlineStr">
        <is>
          <t>2026-02-03</t>
        </is>
      </c>
      <c r="BA2261" t="inlineStr">
        <is>
          <t>Ärende 2024-93.pdf</t>
        </is>
      </c>
      <c r="BB2261" t="inlineStr">
        <is>
          <t>Sv: till registrator</t>
        </is>
      </c>
      <c r="BC2261" t="inlineStr">
        <is>
          <t>AUTO</t>
        </is>
      </c>
      <c r="BD2261" t="inlineStr"/>
      <c r="BE2261" t="inlineStr"/>
      <c r="BF2261" t="inlineStr">
        <is>
          <t>AUTO_GENERERAD. Bekrafta metadata mot kallfil.</t>
        </is>
      </c>
      <c r="BG2261">
        <f>HYPERLINK("C:\Users\jimmy\Desktop\Examens arbete\Kod\Ny mapp\remix_-copy-of-miljöbeslut.se-portal\Ärende 2024-93.pdf", "Öppna PDF")</f>
        <v/>
      </c>
    </row>
    <row r="2262">
      <c r="A2262" t="inlineStr">
        <is>
          <t>KRAV-AUTO-002261</t>
        </is>
      </c>
      <c r="B2262" t="inlineStr">
        <is>
          <t>ADMIN-INDEX-2026-02-27-00000000125C043F57453246863FE664CAFE6A3F0700950291EA24F0614FB6ACEDB12BF0E31D00000000010C0000950291EA24F0614FB6ACEDB12BF0E31D00002087B1B80000</t>
        </is>
      </c>
      <c r="C2262" t="inlineStr">
        <is>
          <t>cmm4yunbg00itcuqw517f1gbl</t>
        </is>
      </c>
      <c r="D2262" t="inlineStr">
        <is>
          <t>http://localhost:8787/api/admin/requirements/documents/cmm4yunbg00itcuqw517f1gbl/view</t>
        </is>
      </c>
      <c r="E2262">
        <f>HYPERLÄNK("http://localhost:8787/api/admin/requirements/documents/cmm4yunbg00itcuqw517f1gbl/view";"Öppna PDF")</f>
        <v/>
      </c>
      <c r="F2262">
        <f>HYPERLINK("http://localhost:8787/api/admin/requirements/documents/cmm4yunbg00itcuqw517f1gbl/view","Open PDF")</f>
        <v/>
      </c>
      <c r="G2262" t="inlineStr">
        <is>
          <t>cmm55w57p0004cuisfrtpqly8</t>
        </is>
      </c>
      <c r="H2262" t="inlineStr">
        <is>
          <t>Informationskrav</t>
        </is>
      </c>
      <c r="I2262" t="inlineStr">
        <is>
          <t>DagvattenLakvatten</t>
        </is>
      </c>
      <c r="J2262" t="inlineStr">
        <is>
          <t>Uppsamling</t>
        </is>
      </c>
      <c r="K2262" t="inlineStr">
        <is>
          <t>Bifogar förslag till kontrollprogram för förklassificering av avfall samt förslag på utformning av dagvattensystem som skall godkännas av tillsynsmyndigheten innan vi tar tillståndet i anspråk.</t>
        </is>
      </c>
      <c r="L2262" t="inlineStr">
        <is>
          <t>Bifogar förslag till kontrollprogram för förklassificering av avfall samt förslag på utformning av dagvattensystem som skall godkännas av tillsynsmyndigheten innan vi tar tillståndet i anspråk.</t>
        </is>
      </c>
      <c r="M2262" t="inlineStr">
        <is>
          <t>SKA</t>
        </is>
      </c>
      <c r="N2262" t="inlineStr"/>
      <c r="O2262" t="inlineStr"/>
      <c r="P2262" t="inlineStr"/>
      <c r="Q2262" t="inlineStr"/>
      <c r="R2262" t="inlineStr">
        <is>
          <t>Vid nederbord och avrinning</t>
        </is>
      </c>
      <c r="S2262" t="inlineStr"/>
      <c r="T2262" t="inlineStr">
        <is>
          <t>77 78 66</t>
        </is>
      </c>
      <c r="U2262" t="inlineStr"/>
      <c r="V2262" t="inlineStr"/>
      <c r="W2262" t="inlineStr">
        <is>
          <t>Nej</t>
        </is>
      </c>
      <c r="X2262" t="inlineStr">
        <is>
          <t>Ja</t>
        </is>
      </c>
      <c r="Y2262" t="inlineStr">
        <is>
          <t>Ja</t>
        </is>
      </c>
      <c r="Z2262" t="inlineStr">
        <is>
          <t>Nej</t>
        </is>
      </c>
      <c r="AA2262" t="n">
        <v>6</v>
      </c>
      <c r="AB2262" t="inlineStr">
        <is>
          <t>Lakvattenhantering</t>
        </is>
      </c>
      <c r="AC2262" t="inlineStr">
        <is>
          <t>Flodesschema dagvatten-lakvatten</t>
        </is>
      </c>
      <c r="AD2262" t="inlineStr">
        <is>
          <t>Nej</t>
        </is>
      </c>
      <c r="AE2262" t="inlineStr">
        <is>
          <t>Nej</t>
        </is>
      </c>
      <c r="AF2262" t="inlineStr">
        <is>
          <t>Ej behandlad</t>
        </is>
      </c>
      <c r="AG2262" t="inlineStr">
        <is>
          <t>AUTO_GENERERAD. Verifiera citat mot kallfil.</t>
        </is>
      </c>
      <c r="AH2262" t="inlineStr">
        <is>
          <t>MEDIUM</t>
        </is>
      </c>
      <c r="AI2262" t="inlineStr">
        <is>
          <t>AUTO</t>
        </is>
      </c>
      <c r="AJ2262" t="inlineStr">
        <is>
          <t>Nej</t>
        </is>
      </c>
      <c r="AK2262" t="inlineStr"/>
      <c r="AL2262" t="inlineStr"/>
      <c r="AM2262" t="inlineStr"/>
      <c r="AN2262" t="inlineStr"/>
      <c r="AO2262" t="inlineStr">
        <is>
          <t>cmm4yunbg00itcuqw517f1gbl</t>
        </is>
      </c>
      <c r="AP2262" t="inlineStr">
        <is>
          <t>http://localhost:8787/api/admin/requirements/documents/cmm4yunbg00itcuqw517f1gbl/view</t>
        </is>
      </c>
      <c r="AQ2262">
        <f>HYPERLÄNK("http://localhost:8787/api/admin/requirements/documents/cmm4yunbg00itcuqw517f1gbl/view";"Öppna PDF")</f>
        <v/>
      </c>
      <c r="AR2262">
        <f>HYPERLINK("http://localhost:8787/api/admin/requirements/documents/cmm4yunbg00itcuqw517f1gbl/view","Open PDF")</f>
        <v/>
      </c>
      <c r="AS2262" t="inlineStr">
        <is>
          <t>cmm55w57p0004cuisfrtpqly8</t>
        </is>
      </c>
      <c r="AT2262" t="inlineStr">
        <is>
          <t>cmm4xvu980000cuh4vj0usz09</t>
        </is>
      </c>
      <c r="AU2262" t="inlineStr"/>
      <c r="AV2262" t="inlineStr">
        <is>
          <t>Kommun</t>
        </is>
      </c>
      <c r="AW2262" t="inlineStr"/>
      <c r="AX2262" t="inlineStr">
        <is>
          <t>2025-12</t>
        </is>
      </c>
      <c r="AY2262" t="inlineStr">
        <is>
          <t>Anmalan</t>
        </is>
      </c>
      <c r="AZ2262" t="inlineStr">
        <is>
          <t>2026-02-03</t>
        </is>
      </c>
      <c r="BA2262" t="inlineStr">
        <is>
          <t>MF In 2025-12-22 Sv_ Ändringsanmälan Dalby_ Rälsen 3.pdf</t>
        </is>
      </c>
      <c r="BB2262" t="inlineStr">
        <is>
          <t>Begärda handlingar</t>
        </is>
      </c>
      <c r="BC2262" t="inlineStr">
        <is>
          <t>AUTO</t>
        </is>
      </c>
      <c r="BD2262" t="inlineStr"/>
      <c r="BE2262" t="inlineStr"/>
      <c r="BF2262" t="inlineStr">
        <is>
          <t>AUTO_GENERERAD. Bekrafta metadata mot kallfil.</t>
        </is>
      </c>
      <c r="BG2262">
        <f>HYPERLINK("C:\Users\jimmy\Desktop\Examens arbete\Kod\Ny mapp\remix_-copy-of-miljöbeslut.se-portal\MF In 2025-12-22 Sv_ Ändringsanmälan Dalby_ Rälsen 3.pdf", "Öppna PDF")</f>
        <v/>
      </c>
    </row>
    <row r="2263">
      <c r="A2263" t="inlineStr">
        <is>
          <t>KRAV-AUTO-002262</t>
        </is>
      </c>
      <c r="B2263" t="inlineStr">
        <is>
          <t>ADMIN-INDEX-2026-02-27-00000000125C043F57453246863FE664CAFE6A3F0700950291EA24F0614FB6ACEDB12BF0E31D00000000010C0000950291EA24F0614FB6ACEDB12BF0E31D00002087B1B80000</t>
        </is>
      </c>
      <c r="C2263" t="inlineStr">
        <is>
          <t>cmm4yunbg00itcuqw517f1gbl</t>
        </is>
      </c>
      <c r="D2263" t="inlineStr">
        <is>
          <t>http://localhost:8787/api/admin/requirements/documents/cmm4yunbg00itcuqw517f1gbl/view</t>
        </is>
      </c>
      <c r="E2263">
        <f>HYPERLÄNK("http://localhost:8787/api/admin/requirements/documents/cmm4yunbg00itcuqw517f1gbl/view";"Öppna PDF")</f>
        <v/>
      </c>
      <c r="F2263">
        <f>HYPERLINK("http://localhost:8787/api/admin/requirements/documents/cmm4yunbg00itcuqw517f1gbl/view","Open PDF")</f>
        <v/>
      </c>
      <c r="G2263" t="inlineStr">
        <is>
          <t>cmm55w57p0004cuisfrtpqly8</t>
        </is>
      </c>
      <c r="H2263" t="inlineStr">
        <is>
          <t>Informationskrav</t>
        </is>
      </c>
      <c r="I2263" t="inlineStr">
        <is>
          <t>MiljopaverkanForsiktighet</t>
        </is>
      </c>
      <c r="J2263" t="inlineStr">
        <is>
          <t>Skyddsatgarder</t>
        </is>
      </c>
      <c r="K2263" t="inlineStr">
        <is>
          <t>I detta försiktighetsmått så tolkar vi det som att det är när vi produktifierar ett avfall som vi skall ha full spårbarhet till kund är det korrekt?</t>
        </is>
      </c>
      <c r="L2263" t="inlineStr">
        <is>
          <t>I detta försiktighetsmått så tolkar vi det som att det är när vi produktifierar ett avfall som vi skall ha full spårbarhet till kund är det korrekt?</t>
        </is>
      </c>
      <c r="M2263" t="inlineStr">
        <is>
          <t>SKA</t>
        </is>
      </c>
      <c r="N2263" t="inlineStr"/>
      <c r="O2263" t="inlineStr"/>
      <c r="P2263" t="inlineStr"/>
      <c r="Q2263" t="inlineStr"/>
      <c r="R2263" t="inlineStr">
        <is>
          <t>Alltid</t>
        </is>
      </c>
      <c r="S2263" t="inlineStr"/>
      <c r="T2263" t="inlineStr">
        <is>
          <t>77 78 66</t>
        </is>
      </c>
      <c r="U2263" t="inlineStr"/>
      <c r="V2263" t="inlineStr"/>
      <c r="W2263" t="inlineStr">
        <is>
          <t>Nej</t>
        </is>
      </c>
      <c r="X2263" t="inlineStr">
        <is>
          <t>Nej</t>
        </is>
      </c>
      <c r="Y2263" t="inlineStr">
        <is>
          <t>Nej</t>
        </is>
      </c>
      <c r="Z2263" t="inlineStr">
        <is>
          <t>Nej</t>
        </is>
      </c>
      <c r="AA2263" t="n">
        <v>10</v>
      </c>
      <c r="AB2263" t="inlineStr">
        <is>
          <t>Miljopaverkan och forsiktighetsmatt</t>
        </is>
      </c>
      <c r="AC2263" t="inlineStr">
        <is>
          <t>Miljo-PM</t>
        </is>
      </c>
      <c r="AD2263" t="inlineStr">
        <is>
          <t>Nej</t>
        </is>
      </c>
      <c r="AE2263" t="inlineStr">
        <is>
          <t>Nej</t>
        </is>
      </c>
      <c r="AF2263" t="inlineStr">
        <is>
          <t>Ej behandlad</t>
        </is>
      </c>
      <c r="AG2263" t="inlineStr">
        <is>
          <t>AUTO_GENERERAD. Verifiera citat mot kallfil.</t>
        </is>
      </c>
      <c r="AH2263" t="inlineStr">
        <is>
          <t>MEDIUM</t>
        </is>
      </c>
      <c r="AI2263" t="inlineStr">
        <is>
          <t>AUTO</t>
        </is>
      </c>
      <c r="AJ2263" t="inlineStr">
        <is>
          <t>Nej</t>
        </is>
      </c>
      <c r="AK2263" t="inlineStr"/>
      <c r="AL2263" t="inlineStr"/>
      <c r="AM2263" t="inlineStr"/>
      <c r="AN2263" t="inlineStr"/>
      <c r="AO2263" t="inlineStr">
        <is>
          <t>cmm4yunbg00itcuqw517f1gbl</t>
        </is>
      </c>
      <c r="AP2263" t="inlineStr">
        <is>
          <t>http://localhost:8787/api/admin/requirements/documents/cmm4yunbg00itcuqw517f1gbl/view</t>
        </is>
      </c>
      <c r="AQ2263">
        <f>HYPERLÄNK("http://localhost:8787/api/admin/requirements/documents/cmm4yunbg00itcuqw517f1gbl/view";"Öppna PDF")</f>
        <v/>
      </c>
      <c r="AR2263">
        <f>HYPERLINK("http://localhost:8787/api/admin/requirements/documents/cmm4yunbg00itcuqw517f1gbl/view","Open PDF")</f>
        <v/>
      </c>
      <c r="AS2263" t="inlineStr">
        <is>
          <t>cmm55w57p0004cuisfrtpqly8</t>
        </is>
      </c>
      <c r="AT2263" t="inlineStr">
        <is>
          <t>cmm4xvu980000cuh4vj0usz09</t>
        </is>
      </c>
      <c r="AU2263" t="inlineStr"/>
      <c r="AV2263" t="inlineStr">
        <is>
          <t>Kommun</t>
        </is>
      </c>
      <c r="AW2263" t="inlineStr"/>
      <c r="AX2263" t="inlineStr">
        <is>
          <t>2025-12</t>
        </is>
      </c>
      <c r="AY2263" t="inlineStr">
        <is>
          <t>Anmalan</t>
        </is>
      </c>
      <c r="AZ2263" t="inlineStr">
        <is>
          <t>2026-02-03</t>
        </is>
      </c>
      <c r="BA2263" t="inlineStr">
        <is>
          <t>MF In 2025-12-22 Sv_ Ändringsanmälan Dalby_ Rälsen 3.pdf</t>
        </is>
      </c>
      <c r="BB2263" t="inlineStr">
        <is>
          <t>Begärda handlingar</t>
        </is>
      </c>
      <c r="BC2263" t="inlineStr">
        <is>
          <t>AUTO</t>
        </is>
      </c>
      <c r="BD2263" t="inlineStr"/>
      <c r="BE2263" t="inlineStr"/>
      <c r="BF2263" t="inlineStr">
        <is>
          <t>AUTO_GENERERAD. Bekrafta metadata mot kallfil.</t>
        </is>
      </c>
      <c r="BG2263">
        <f>HYPERLINK("C:\Users\jimmy\Desktop\Examens arbete\Kod\Ny mapp\remix_-copy-of-miljöbeslut.se-portal\MF In 2025-12-22 Sv_ Ändringsanmälan Dalby_ Rälsen 3.pdf", "Öppna PDF")</f>
        <v/>
      </c>
    </row>
    <row r="2264">
      <c r="A2264" t="inlineStr">
        <is>
          <t>KRAV-AUTO-002263</t>
        </is>
      </c>
      <c r="B2264" t="inlineStr">
        <is>
          <t>ADMIN-INDEX-2026-02-27-00000000125C043F57453246863FE664CAFE6A3F0700950291EA24F0614FB6ACEDB12BF0E31D00000000010C0000950291EA24F0614FB6ACEDB12BF0E31D00002087B1B80000</t>
        </is>
      </c>
      <c r="C2264" t="inlineStr">
        <is>
          <t>cmm4yunbg00itcuqw517f1gbl</t>
        </is>
      </c>
      <c r="D2264" t="inlineStr">
        <is>
          <t>http://localhost:8787/api/admin/requirements/documents/cmm4yunbg00itcuqw517f1gbl/view</t>
        </is>
      </c>
      <c r="E2264">
        <f>HYPERLÄNK("http://localhost:8787/api/admin/requirements/documents/cmm4yunbg00itcuqw517f1gbl/view";"Öppna PDF")</f>
        <v/>
      </c>
      <c r="F2264">
        <f>HYPERLINK("http://localhost:8787/api/admin/requirements/documents/cmm4yunbg00itcuqw517f1gbl/view","Open PDF")</f>
        <v/>
      </c>
      <c r="G2264" t="inlineStr">
        <is>
          <t>cmm55w57p0004cuisfrtpqly8</t>
        </is>
      </c>
      <c r="H2264" t="inlineStr">
        <is>
          <t>Informationskrav</t>
        </is>
      </c>
      <c r="I2264" t="inlineStr">
        <is>
          <t>MiljopaverkanForsiktighet</t>
        </is>
      </c>
      <c r="J2264" t="inlineStr">
        <is>
          <t>Skyddsatgarder</t>
        </is>
      </c>
      <c r="K2264" t="inlineStr">
        <is>
          <t>För att ta emot oklassade massor krävs det att man har tillstånd för att ta emot farligt avfall.</t>
        </is>
      </c>
      <c r="L2264" t="inlineStr">
        <is>
          <t>För att ta emot oklassade massor krävs det att man har tillstånd för att ta emot farligt avfall.</t>
        </is>
      </c>
      <c r="M2264" t="inlineStr">
        <is>
          <t>SKA</t>
        </is>
      </c>
      <c r="N2264" t="inlineStr"/>
      <c r="O2264" t="inlineStr"/>
      <c r="P2264" t="inlineStr">
        <is>
          <t>Arlig</t>
        </is>
      </c>
      <c r="Q2264" t="inlineStr"/>
      <c r="R2264" t="inlineStr">
        <is>
          <t>Alltid</t>
        </is>
      </c>
      <c r="S2264" t="inlineStr"/>
      <c r="T2264" t="inlineStr">
        <is>
          <t>77 78 66</t>
        </is>
      </c>
      <c r="U2264" t="inlineStr"/>
      <c r="V2264" t="inlineStr"/>
      <c r="W2264" t="inlineStr">
        <is>
          <t>Nej</t>
        </is>
      </c>
      <c r="X2264" t="inlineStr">
        <is>
          <t>Nej</t>
        </is>
      </c>
      <c r="Y2264" t="inlineStr">
        <is>
          <t>Nej</t>
        </is>
      </c>
      <c r="Z2264" t="inlineStr">
        <is>
          <t>Nej</t>
        </is>
      </c>
      <c r="AA2264" t="n">
        <v>10</v>
      </c>
      <c r="AB2264" t="inlineStr">
        <is>
          <t>Miljopaverkan och forsiktighetsmatt</t>
        </is>
      </c>
      <c r="AC2264" t="inlineStr">
        <is>
          <t>Miljo-PM</t>
        </is>
      </c>
      <c r="AD2264" t="inlineStr">
        <is>
          <t>Nej</t>
        </is>
      </c>
      <c r="AE2264" t="inlineStr">
        <is>
          <t>Nej</t>
        </is>
      </c>
      <c r="AF2264" t="inlineStr">
        <is>
          <t>Ej behandlad</t>
        </is>
      </c>
      <c r="AG2264" t="inlineStr">
        <is>
          <t>AUTO_GENERERAD. Verifiera citat mot kallfil.</t>
        </is>
      </c>
      <c r="AH2264" t="inlineStr">
        <is>
          <t>MEDIUM</t>
        </is>
      </c>
      <c r="AI2264" t="inlineStr">
        <is>
          <t>AUTO</t>
        </is>
      </c>
      <c r="AJ2264" t="inlineStr">
        <is>
          <t>Nej</t>
        </is>
      </c>
      <c r="AK2264" t="inlineStr"/>
      <c r="AL2264" t="inlineStr"/>
      <c r="AM2264" t="inlineStr"/>
      <c r="AN2264" t="inlineStr"/>
      <c r="AO2264" t="inlineStr">
        <is>
          <t>cmm4yunbg00itcuqw517f1gbl</t>
        </is>
      </c>
      <c r="AP2264" t="inlineStr">
        <is>
          <t>http://localhost:8787/api/admin/requirements/documents/cmm4yunbg00itcuqw517f1gbl/view</t>
        </is>
      </c>
      <c r="AQ2264">
        <f>HYPERLÄNK("http://localhost:8787/api/admin/requirements/documents/cmm4yunbg00itcuqw517f1gbl/view";"Öppna PDF")</f>
        <v/>
      </c>
      <c r="AR2264">
        <f>HYPERLINK("http://localhost:8787/api/admin/requirements/documents/cmm4yunbg00itcuqw517f1gbl/view","Open PDF")</f>
        <v/>
      </c>
      <c r="AS2264" t="inlineStr">
        <is>
          <t>cmm55w57p0004cuisfrtpqly8</t>
        </is>
      </c>
      <c r="AT2264" t="inlineStr">
        <is>
          <t>cmm4xvu980000cuh4vj0usz09</t>
        </is>
      </c>
      <c r="AU2264" t="inlineStr"/>
      <c r="AV2264" t="inlineStr">
        <is>
          <t>Kommun</t>
        </is>
      </c>
      <c r="AW2264" t="inlineStr"/>
      <c r="AX2264" t="inlineStr">
        <is>
          <t>2025-12</t>
        </is>
      </c>
      <c r="AY2264" t="inlineStr">
        <is>
          <t>Anmalan</t>
        </is>
      </c>
      <c r="AZ2264" t="inlineStr">
        <is>
          <t>2026-02-03</t>
        </is>
      </c>
      <c r="BA2264" t="inlineStr">
        <is>
          <t>MF In 2025-12-22 Sv_ Ändringsanmälan Dalby_ Rälsen 3.pdf</t>
        </is>
      </c>
      <c r="BB2264" t="inlineStr">
        <is>
          <t>Begärda handlingar</t>
        </is>
      </c>
      <c r="BC2264" t="inlineStr">
        <is>
          <t>AUTO</t>
        </is>
      </c>
      <c r="BD2264" t="inlineStr"/>
      <c r="BE2264" t="inlineStr"/>
      <c r="BF2264" t="inlineStr">
        <is>
          <t>AUTO_GENERERAD. Bekrafta metadata mot kallfil.</t>
        </is>
      </c>
      <c r="BG2264">
        <f>HYPERLINK("C:\Users\jimmy\Desktop\Examens arbete\Kod\Ny mapp\remix_-copy-of-miljöbeslut.se-portal\MF In 2025-12-22 Sv_ Ändringsanmälan Dalby_ Rälsen 3.pdf", "Öppna PDF")</f>
        <v/>
      </c>
    </row>
    <row r="2265">
      <c r="A2265" t="inlineStr">
        <is>
          <t>KRAV-AUTO-002264</t>
        </is>
      </c>
      <c r="B2265" t="inlineStr">
        <is>
          <t>ADMIN-INDEX-2026-02-27-00000000125C043F57453246863FE664CAFE6A3F0700950291EA24F0614FB6ACEDB12BF0E31D00000000010C0000950291EA24F0614FB6ACEDB12BF0E31D00002087B1B80000</t>
        </is>
      </c>
      <c r="C2265" t="inlineStr">
        <is>
          <t>cmm4yunb900incuqw2x0bnzqi</t>
        </is>
      </c>
      <c r="D2265" t="inlineStr">
        <is>
          <t>http://localhost:8787/api/admin/requirements/documents/cmm4yunb900incuqw2x0bnzqi/view</t>
        </is>
      </c>
      <c r="E2265">
        <f>HYPERLÄNK("http://localhost:8787/api/admin/requirements/documents/cmm4yunb900incuqw2x0bnzqi/view";"Öppna PDF")</f>
        <v/>
      </c>
      <c r="F2265">
        <f>HYPERLINK("http://localhost:8787/api/admin/requirements/documents/cmm4yunb900incuqw2x0bnzqi/view","Open PDF")</f>
        <v/>
      </c>
      <c r="G2265" t="inlineStr">
        <is>
          <t>cmm55w57p0004cuisfrtpqly8</t>
        </is>
      </c>
      <c r="H2265" t="inlineStr">
        <is>
          <t>Beslutsvillkor</t>
        </is>
      </c>
      <c r="I2265" t="inlineStr">
        <is>
          <t>Riskhantering</t>
        </is>
      </c>
      <c r="J2265" t="inlineStr">
        <is>
          <t>Riskkontroll</t>
        </is>
      </c>
      <c r="K2265" t="inlineStr">
        <is>
          <t>Vallarna bromsar också upp vattenhastigheten vilket gyn- nar sedimenteringen och minskar risken att redan sedimenterat material rörs upp igen vid kraftig nederbörd.</t>
        </is>
      </c>
      <c r="L2265" t="inlineStr">
        <is>
          <t>Vallarna bromsar också upp vattenhastigheten vilket gyn- nar sedimenteringen och minskar risken att redan sedimenterat material rörs upp igen vid kraftig nederbörd.</t>
        </is>
      </c>
      <c r="M2265" t="inlineStr">
        <is>
          <t>SKA</t>
        </is>
      </c>
      <c r="N2265" t="inlineStr"/>
      <c r="O2265" t="inlineStr"/>
      <c r="P2265" t="inlineStr"/>
      <c r="Q2265" t="inlineStr"/>
      <c r="R2265" t="inlineStr">
        <is>
          <t>Vid risk for incident</t>
        </is>
      </c>
      <c r="S2265" t="inlineStr"/>
      <c r="T2265" t="inlineStr">
        <is>
          <t>556765</t>
        </is>
      </c>
      <c r="U2265" t="inlineStr"/>
      <c r="V2265" t="inlineStr"/>
      <c r="W2265" t="inlineStr">
        <is>
          <t>Nej</t>
        </is>
      </c>
      <c r="X2265" t="inlineStr">
        <is>
          <t>Nej</t>
        </is>
      </c>
      <c r="Y2265" t="inlineStr">
        <is>
          <t>Ja</t>
        </is>
      </c>
      <c r="Z2265" t="inlineStr">
        <is>
          <t>Ja</t>
        </is>
      </c>
      <c r="AA2265" t="n">
        <v>8</v>
      </c>
      <c r="AB2265" t="inlineStr">
        <is>
          <t>Riskhantering</t>
        </is>
      </c>
      <c r="AC2265" t="inlineStr">
        <is>
          <t>Risk-PM</t>
        </is>
      </c>
      <c r="AD2265" t="inlineStr">
        <is>
          <t>Nej</t>
        </is>
      </c>
      <c r="AE2265" t="inlineStr">
        <is>
          <t>Nej</t>
        </is>
      </c>
      <c r="AF2265" t="inlineStr">
        <is>
          <t>Ej behandlad</t>
        </is>
      </c>
      <c r="AG2265" t="inlineStr">
        <is>
          <t>AUTO_GENERERAD. Verifiera citat mot kallfil.</t>
        </is>
      </c>
      <c r="AH2265" t="inlineStr">
        <is>
          <t>MEDIUM</t>
        </is>
      </c>
      <c r="AI2265" t="inlineStr">
        <is>
          <t>AUTO</t>
        </is>
      </c>
      <c r="AJ2265" t="inlineStr">
        <is>
          <t>Nej</t>
        </is>
      </c>
      <c r="AK2265" t="inlineStr"/>
      <c r="AL2265" t="inlineStr"/>
      <c r="AM2265" t="inlineStr"/>
      <c r="AN2265" t="inlineStr"/>
      <c r="AO2265" t="inlineStr">
        <is>
          <t>cmm4yunbg00itcuqw517f1gbl</t>
        </is>
      </c>
      <c r="AP2265" t="inlineStr">
        <is>
          <t>http://localhost:8787/api/admin/requirements/documents/cmm4yunbg00itcuqw517f1gbl/view</t>
        </is>
      </c>
      <c r="AQ2265">
        <f>HYPERLÄNK("http://localhost:8787/api/admin/requirements/documents/cmm4yunbg00itcuqw517f1gbl/view";"Öppna PDF")</f>
        <v/>
      </c>
      <c r="AR2265">
        <f>HYPERLINK("http://localhost:8787/api/admin/requirements/documents/cmm4yunbg00itcuqw517f1gbl/view","Open PDF")</f>
        <v/>
      </c>
      <c r="AS2265" t="inlineStr">
        <is>
          <t>cmm55w57p0004cuisfrtpqly8</t>
        </is>
      </c>
      <c r="AT2265" t="inlineStr">
        <is>
          <t>cmm4xvu980000cuh4vj0usz09</t>
        </is>
      </c>
      <c r="AU2265" t="inlineStr"/>
      <c r="AV2265" t="inlineStr">
        <is>
          <t>Kommun</t>
        </is>
      </c>
      <c r="AW2265" t="inlineStr"/>
      <c r="AX2265" t="inlineStr">
        <is>
          <t>2025-12</t>
        </is>
      </c>
      <c r="AY2265" t="inlineStr">
        <is>
          <t>Anmalan</t>
        </is>
      </c>
      <c r="AZ2265" t="inlineStr">
        <is>
          <t>2026-02-03</t>
        </is>
      </c>
      <c r="BA2265" t="inlineStr">
        <is>
          <t>MF In 2025-12-22 Sv_ Ändringsanmälan Dalby_ Rälsen 3.pdf</t>
        </is>
      </c>
      <c r="BB2265" t="inlineStr">
        <is>
          <t>Begärda handlingar</t>
        </is>
      </c>
      <c r="BC2265" t="inlineStr">
        <is>
          <t>AUTO</t>
        </is>
      </c>
      <c r="BD2265" t="inlineStr"/>
      <c r="BE2265" t="inlineStr"/>
      <c r="BF2265" t="inlineStr">
        <is>
          <t>AUTO_GENERERAD. Bekrafta metadata mot kallfil.</t>
        </is>
      </c>
      <c r="BG2265">
        <f>HYPERLINK("C:\Users\jimmy\Desktop\Examens arbete\Kod\Ny mapp\remix_-copy-of-miljöbeslut.se-portal\MF In 2025-12-22 Sv_ Ändringsanmälan Dalby_ Rälsen 3.pdf", "Öppna PDF")</f>
        <v/>
      </c>
    </row>
    <row r="2266">
      <c r="A2266" t="inlineStr">
        <is>
          <t>KRAV-AUTO-002265</t>
        </is>
      </c>
      <c r="B2266" t="inlineStr">
        <is>
          <t>ADMIN-INDEX-2026-02-27-00000000125C043F57453246863FE664CAFE6A3F0700950291EA24F0614FB6ACEDB12BF0E31D00000000010C0000950291EA24F0614FB6ACEDB12BF0E31D00002087B1B80000</t>
        </is>
      </c>
      <c r="C2266" t="inlineStr">
        <is>
          <t>cmm4yunb900incuqw2x0bnzqi</t>
        </is>
      </c>
      <c r="D2266" t="inlineStr">
        <is>
          <t>http://localhost:8787/api/admin/requirements/documents/cmm4yunb900incuqw2x0bnzqi/view</t>
        </is>
      </c>
      <c r="E2266">
        <f>HYPERLÄNK("http://localhost:8787/api/admin/requirements/documents/cmm4yunb900incuqw2x0bnzqi/view";"Öppna PDF")</f>
        <v/>
      </c>
      <c r="F2266">
        <f>HYPERLINK("http://localhost:8787/api/admin/requirements/documents/cmm4yunb900incuqw2x0bnzqi/view","Open PDF")</f>
        <v/>
      </c>
      <c r="G2266" t="inlineStr">
        <is>
          <t>cmm55w57p0004cuisfrtpqly8</t>
        </is>
      </c>
      <c r="H2266" t="inlineStr">
        <is>
          <t>Beslutsvillkor</t>
        </is>
      </c>
      <c r="I2266" t="inlineStr">
        <is>
          <t>LagringsvolymTid</t>
        </is>
      </c>
      <c r="J2266" t="inlineStr">
        <is>
          <t>Maxmangd</t>
        </is>
      </c>
      <c r="K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L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M2266" t="inlineStr">
        <is>
          <t>BOR</t>
        </is>
      </c>
      <c r="N2266" t="inlineStr"/>
      <c r="O2266" t="inlineStr">
        <is>
          <t>2025-12-22</t>
        </is>
      </c>
      <c r="P2266" t="inlineStr"/>
      <c r="Q2266" t="inlineStr"/>
      <c r="R2266" t="inlineStr">
        <is>
          <t>Alltid</t>
        </is>
      </c>
      <c r="S2266" t="inlineStr"/>
      <c r="T2266" t="inlineStr">
        <is>
          <t>556765</t>
        </is>
      </c>
      <c r="U2266" t="inlineStr"/>
      <c r="V2266" t="inlineStr"/>
      <c r="W2266" t="inlineStr">
        <is>
          <t>Nej</t>
        </is>
      </c>
      <c r="X2266" t="inlineStr">
        <is>
          <t>Nej</t>
        </is>
      </c>
      <c r="Y2266" t="inlineStr">
        <is>
          <t>Nej</t>
        </is>
      </c>
      <c r="Z2266" t="inlineStr">
        <is>
          <t>Nej</t>
        </is>
      </c>
      <c r="AA2266" t="n">
        <v>4</v>
      </c>
      <c r="AB2266" t="inlineStr">
        <is>
          <t>Avfallsmangder och lagringstid</t>
        </is>
      </c>
      <c r="AC2266" t="inlineStr">
        <is>
          <t>Avfallsforteckning</t>
        </is>
      </c>
      <c r="AD2266" t="inlineStr">
        <is>
          <t>Nej</t>
        </is>
      </c>
      <c r="AE2266" t="inlineStr">
        <is>
          <t>Nej</t>
        </is>
      </c>
      <c r="AF2266" t="inlineStr">
        <is>
          <t>Ej behandlad</t>
        </is>
      </c>
      <c r="AG2266" t="inlineStr">
        <is>
          <t>AUTO_GENERERAD. Verifiera citat mot kallfil.</t>
        </is>
      </c>
      <c r="AH2266" t="inlineStr">
        <is>
          <t>MEDIUM</t>
        </is>
      </c>
      <c r="AI2266" t="inlineStr">
        <is>
          <t>AUTO</t>
        </is>
      </c>
      <c r="AJ2266" t="inlineStr">
        <is>
          <t>Nej</t>
        </is>
      </c>
      <c r="AK2266" t="inlineStr"/>
      <c r="AL2266" t="inlineStr"/>
      <c r="AM2266" t="inlineStr"/>
      <c r="AN2266" t="inlineStr"/>
      <c r="AO2266" t="inlineStr">
        <is>
          <t>cmm4yunbg00itcuqw517f1gbl</t>
        </is>
      </c>
      <c r="AP2266" t="inlineStr">
        <is>
          <t>http://localhost:8787/api/admin/requirements/documents/cmm4yunbg00itcuqw517f1gbl/view</t>
        </is>
      </c>
      <c r="AQ2266">
        <f>HYPERLÄNK("http://localhost:8787/api/admin/requirements/documents/cmm4yunbg00itcuqw517f1gbl/view";"Öppna PDF")</f>
        <v/>
      </c>
      <c r="AR2266">
        <f>HYPERLINK("http://localhost:8787/api/admin/requirements/documents/cmm4yunbg00itcuqw517f1gbl/view","Open PDF")</f>
        <v/>
      </c>
      <c r="AS2266" t="inlineStr">
        <is>
          <t>cmm55w57p0004cuisfrtpqly8</t>
        </is>
      </c>
      <c r="AT2266" t="inlineStr">
        <is>
          <t>cmm4xvu980000cuh4vj0usz09</t>
        </is>
      </c>
      <c r="AU2266" t="inlineStr"/>
      <c r="AV2266" t="inlineStr">
        <is>
          <t>Kommun</t>
        </is>
      </c>
      <c r="AW2266" t="inlineStr"/>
      <c r="AX2266" t="inlineStr">
        <is>
          <t>2025-12</t>
        </is>
      </c>
      <c r="AY2266" t="inlineStr">
        <is>
          <t>Anmalan</t>
        </is>
      </c>
      <c r="AZ2266" t="inlineStr">
        <is>
          <t>2026-02-03</t>
        </is>
      </c>
      <c r="BA2266" t="inlineStr">
        <is>
          <t>MF In 2025-12-22 Sv_ Ändringsanmälan Dalby_ Rälsen 3.pdf</t>
        </is>
      </c>
      <c r="BB2266" t="inlineStr">
        <is>
          <t>Begärda handlingar</t>
        </is>
      </c>
      <c r="BC2266" t="inlineStr">
        <is>
          <t>AUTO</t>
        </is>
      </c>
      <c r="BD2266" t="inlineStr"/>
      <c r="BE2266" t="inlineStr"/>
      <c r="BF2266" t="inlineStr">
        <is>
          <t>AUTO_GENERERAD. Bekrafta metadata mot kallfil.</t>
        </is>
      </c>
      <c r="BG2266">
        <f>HYPERLINK("C:\Users\jimmy\Desktop\Examens arbete\Kod\Ny mapp\remix_-copy-of-miljöbeslut.se-portal\MF In 2025-12-22 Sv_ Ändringsanmälan Dalby_ Rälsen 3.pdf", "Öppna PDF")</f>
        <v/>
      </c>
    </row>
    <row r="2267">
      <c r="A2267" t="inlineStr">
        <is>
          <t>KRAV-AUTO-002266</t>
        </is>
      </c>
      <c r="B2267" t="inlineStr">
        <is>
          <t>ADMIN-INDEX-2026-02-27-00000000125C043F57453246863FE664CAFE6A3F0700950291EA24F0614FB6ACEDB12BF0E31D00000000010C0000950291EA24F0614FB6ACEDB12BF0E31D00002087B1B80000</t>
        </is>
      </c>
      <c r="C2267" t="inlineStr">
        <is>
          <t>cmm4yunb000ihcuqwwu7vr3u0</t>
        </is>
      </c>
      <c r="D2267" t="inlineStr">
        <is>
          <t>http://localhost:8787/api/admin/requirements/documents/cmm4yunb000ihcuqwwu7vr3u0/view</t>
        </is>
      </c>
      <c r="E2267">
        <f>HYPERLÄNK("http://localhost:8787/api/admin/requirements/documents/cmm4yunb000ihcuqwwu7vr3u0/view";"Öppna PDF")</f>
        <v/>
      </c>
      <c r="F2267">
        <f>HYPERLINK("http://localhost:8787/api/admin/requirements/documents/cmm4yunb000ihcuqwwu7vr3u0/view","Open PDF")</f>
        <v/>
      </c>
      <c r="G2267" t="inlineStr">
        <is>
          <t>cmm55w57p0004cuisfrtpqly8</t>
        </is>
      </c>
      <c r="H2267" t="inlineStr">
        <is>
          <t>Beslutsvillkor</t>
        </is>
      </c>
      <c r="I2267" t="inlineStr">
        <is>
          <t>DagvattenLakvatten</t>
        </is>
      </c>
      <c r="J2267" t="inlineStr">
        <is>
          <t>Uppsamling</t>
        </is>
      </c>
      <c r="K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VG+45,10 TB 400 D200 TAK ÖVER AVFALLSFICKOR BREDDAS UT 1m ÖVER DAMMBOTTEN D160 PROVTAGNINGSBRUNN TB 600 D160 VG+43,40 TB 600 ÖVERSILNINGSYTA, D250 VG+43,50 TB 600 D250 31 VG+42,63, Pumpvägen VG+42,24 VG+42,42 VG+42,69 VG+43,31 VG+42,54 SKALA 1:400 TECKENFÖRKLARING FASTIGHETSGRÄNS KVARTERSGRÄNS DAGVATTEN TILLSYNSBRUNN M.</t>
        </is>
      </c>
      <c r="L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t>
        </is>
      </c>
      <c r="M2267" t="inlineStr">
        <is>
          <t>SKA</t>
        </is>
      </c>
      <c r="N2267" t="inlineStr"/>
      <c r="O2267" t="inlineStr"/>
      <c r="P2267" t="inlineStr"/>
      <c r="Q2267" t="inlineStr"/>
      <c r="R2267" t="inlineStr">
        <is>
          <t>Vid nederbord och avrinning</t>
        </is>
      </c>
      <c r="S2267" t="inlineStr"/>
      <c r="T2267" t="inlineStr">
        <is>
          <t>991330</t>
        </is>
      </c>
      <c r="U2267" t="inlineStr"/>
      <c r="V2267" t="inlineStr"/>
      <c r="W2267" t="inlineStr">
        <is>
          <t>Nej</t>
        </is>
      </c>
      <c r="X2267" t="inlineStr">
        <is>
          <t>Ja</t>
        </is>
      </c>
      <c r="Y2267" t="inlineStr">
        <is>
          <t>Ja</t>
        </is>
      </c>
      <c r="Z2267" t="inlineStr">
        <is>
          <t>Nej</t>
        </is>
      </c>
      <c r="AA2267" t="n">
        <v>6</v>
      </c>
      <c r="AB2267" t="inlineStr">
        <is>
          <t>Lakvattenhantering</t>
        </is>
      </c>
      <c r="AC2267" t="inlineStr">
        <is>
          <t>Flodesschema dagvatten-lakvatten</t>
        </is>
      </c>
      <c r="AD2267" t="inlineStr">
        <is>
          <t>Nej</t>
        </is>
      </c>
      <c r="AE2267" t="inlineStr">
        <is>
          <t>Nej</t>
        </is>
      </c>
      <c r="AF2267" t="inlineStr">
        <is>
          <t>Ej behandlad</t>
        </is>
      </c>
      <c r="AG2267" t="inlineStr">
        <is>
          <t>AUTO_GENERERAD. Verifiera citat mot kallfil.</t>
        </is>
      </c>
      <c r="AH2267" t="inlineStr">
        <is>
          <t>LOW</t>
        </is>
      </c>
      <c r="AI2267" t="inlineStr">
        <is>
          <t>AUTO</t>
        </is>
      </c>
      <c r="AJ2267" t="inlineStr">
        <is>
          <t>Nej</t>
        </is>
      </c>
      <c r="AK2267" t="inlineStr"/>
      <c r="AL2267" t="inlineStr"/>
      <c r="AM2267" t="inlineStr"/>
      <c r="AN2267" t="inlineStr"/>
      <c r="AO2267" t="inlineStr">
        <is>
          <t>cmm4yunbg00itcuqw517f1gbl</t>
        </is>
      </c>
      <c r="AP2267" t="inlineStr">
        <is>
          <t>http://localhost:8787/api/admin/requirements/documents/cmm4yunbg00itcuqw517f1gbl/view</t>
        </is>
      </c>
      <c r="AQ2267">
        <f>HYPERLÄNK("http://localhost:8787/api/admin/requirements/documents/cmm4yunbg00itcuqw517f1gbl/view";"Öppna PDF")</f>
        <v/>
      </c>
      <c r="AR2267">
        <f>HYPERLINK("http://localhost:8787/api/admin/requirements/documents/cmm4yunbg00itcuqw517f1gbl/view","Open PDF")</f>
        <v/>
      </c>
      <c r="AS2267" t="inlineStr">
        <is>
          <t>cmm55w57p0004cuisfrtpqly8</t>
        </is>
      </c>
      <c r="AT2267" t="inlineStr">
        <is>
          <t>cmm4xvu980000cuh4vj0usz09</t>
        </is>
      </c>
      <c r="AU2267" t="inlineStr"/>
      <c r="AV2267" t="inlineStr">
        <is>
          <t>Kommun</t>
        </is>
      </c>
      <c r="AW2267" t="inlineStr"/>
      <c r="AX2267" t="inlineStr">
        <is>
          <t>2025-12</t>
        </is>
      </c>
      <c r="AY2267" t="inlineStr">
        <is>
          <t>Anmalan</t>
        </is>
      </c>
      <c r="AZ2267" t="inlineStr">
        <is>
          <t>2026-02-03</t>
        </is>
      </c>
      <c r="BA2267" t="inlineStr">
        <is>
          <t>MF In 2025-12-22 Sv_ Ändringsanmälan Dalby_ Rälsen 3.pdf</t>
        </is>
      </c>
      <c r="BB2267" t="inlineStr">
        <is>
          <t>Begärda handlingar</t>
        </is>
      </c>
      <c r="BC2267" t="inlineStr">
        <is>
          <t>AUTO</t>
        </is>
      </c>
      <c r="BD2267" t="inlineStr"/>
      <c r="BE2267" t="inlineStr"/>
      <c r="BF2267" t="inlineStr">
        <is>
          <t>AUTO_GENERERAD. Bekrafta metadata mot kallfil.</t>
        </is>
      </c>
      <c r="BG2267">
        <f>HYPERLINK("C:\Users\jimmy\Desktop\Examens arbete\Kod\Ny mapp\remix_-copy-of-miljöbeslut.se-portal\MF In 2025-12-22 Sv_ Ändringsanmälan Dalby_ Rälsen 3.pdf", "Öppna PDF")</f>
        <v/>
      </c>
    </row>
    <row r="2268">
      <c r="A2268" t="inlineStr">
        <is>
          <t>KRAV-AUTO-002267</t>
        </is>
      </c>
      <c r="B2268" t="inlineStr">
        <is>
          <t>ADMIN-INDEX-2026-02-27-00000000125C043F57453246863FE664CAFE6A3F0700950291EA24F0614FB6ACEDB12BF0E31D00000000010C0000950291EA24F0614FB6ACEDB12BF0E31D00002087B1B80000</t>
        </is>
      </c>
      <c r="C2268" t="inlineStr">
        <is>
          <t>cmm4yunas00ibcuqwea29inrk</t>
        </is>
      </c>
      <c r="D2268" t="inlineStr">
        <is>
          <t>http://localhost:8787/api/admin/requirements/documents/cmm4yunas00ibcuqwea29inrk/view</t>
        </is>
      </c>
      <c r="E2268">
        <f>HYPERLÄNK("http://localhost:8787/api/admin/requirements/documents/cmm4yunas00ibcuqwea29inrk/view";"Öppna PDF")</f>
        <v/>
      </c>
      <c r="F2268">
        <f>HYPERLINK("http://localhost:8787/api/admin/requirements/documents/cmm4yunas00ibcuqwea29inrk/view","Open PDF")</f>
        <v/>
      </c>
      <c r="G2268" t="inlineStr">
        <is>
          <t>cmm55w57p0004cuisfrtpqly8</t>
        </is>
      </c>
      <c r="H2268" t="inlineStr">
        <is>
          <t>Informationskrav</t>
        </is>
      </c>
      <c r="I2268" t="inlineStr">
        <is>
          <t>MiljopaverkanForsiktighet</t>
        </is>
      </c>
      <c r="J2268" t="inlineStr">
        <is>
          <t>Skyddsatgarder</t>
        </is>
      </c>
      <c r="K2268" t="inlineStr">
        <is>
          <t>För att ta emot oklassade massor krävs det att man har tillstånd för att ta emot farligt avfall.</t>
        </is>
      </c>
      <c r="L2268" t="inlineStr">
        <is>
          <t>För att ta emot oklassade massor krävs det att man har tillstånd för att ta emot farligt avfall.</t>
        </is>
      </c>
      <c r="M2268" t="inlineStr">
        <is>
          <t>SKA</t>
        </is>
      </c>
      <c r="N2268" t="inlineStr"/>
      <c r="O2268" t="inlineStr"/>
      <c r="P2268" t="inlineStr">
        <is>
          <t>Arlig</t>
        </is>
      </c>
      <c r="Q2268" t="inlineStr"/>
      <c r="R2268" t="inlineStr">
        <is>
          <t>Alltid</t>
        </is>
      </c>
      <c r="S2268" t="inlineStr"/>
      <c r="T2268" t="inlineStr">
        <is>
          <t>2025 12</t>
        </is>
      </c>
      <c r="U2268" t="inlineStr"/>
      <c r="V2268" t="inlineStr"/>
      <c r="W2268" t="inlineStr">
        <is>
          <t>Nej</t>
        </is>
      </c>
      <c r="X2268" t="inlineStr">
        <is>
          <t>Nej</t>
        </is>
      </c>
      <c r="Y2268" t="inlineStr">
        <is>
          <t>Nej</t>
        </is>
      </c>
      <c r="Z2268" t="inlineStr">
        <is>
          <t>Nej</t>
        </is>
      </c>
      <c r="AA2268" t="n">
        <v>10</v>
      </c>
      <c r="AB2268" t="inlineStr">
        <is>
          <t>Miljopaverkan och forsiktighetsmatt</t>
        </is>
      </c>
      <c r="AC2268" t="inlineStr">
        <is>
          <t>Miljo-PM</t>
        </is>
      </c>
      <c r="AD2268" t="inlineStr">
        <is>
          <t>Nej</t>
        </is>
      </c>
      <c r="AE2268" t="inlineStr">
        <is>
          <t>Nej</t>
        </is>
      </c>
      <c r="AF2268" t="inlineStr">
        <is>
          <t>Ej behandlad</t>
        </is>
      </c>
      <c r="AG2268" t="inlineStr">
        <is>
          <t>AUTO_GENERERAD. Verifiera citat mot kallfil.</t>
        </is>
      </c>
      <c r="AH2268" t="inlineStr">
        <is>
          <t>MEDIUM</t>
        </is>
      </c>
      <c r="AI2268" t="inlineStr">
        <is>
          <t>AUTO</t>
        </is>
      </c>
      <c r="AJ2268" t="inlineStr">
        <is>
          <t>Nej</t>
        </is>
      </c>
      <c r="AK2268" t="inlineStr"/>
      <c r="AL2268" t="inlineStr"/>
      <c r="AM2268" t="inlineStr"/>
      <c r="AN2268" t="inlineStr"/>
      <c r="AO2268" t="inlineStr">
        <is>
          <t>cmm4yunbg00itcuqw517f1gbl</t>
        </is>
      </c>
      <c r="AP2268" t="inlineStr">
        <is>
          <t>http://localhost:8787/api/admin/requirements/documents/cmm4yunbg00itcuqw517f1gbl/view</t>
        </is>
      </c>
      <c r="AQ2268">
        <f>HYPERLÄNK("http://localhost:8787/api/admin/requirements/documents/cmm4yunbg00itcuqw517f1gbl/view";"Öppna PDF")</f>
        <v/>
      </c>
      <c r="AR2268">
        <f>HYPERLINK("http://localhost:8787/api/admin/requirements/documents/cmm4yunbg00itcuqw517f1gbl/view","Open PDF")</f>
        <v/>
      </c>
      <c r="AS2268" t="inlineStr">
        <is>
          <t>cmm55w57p0004cuisfrtpqly8</t>
        </is>
      </c>
      <c r="AT2268" t="inlineStr">
        <is>
          <t>cmm4xvu980000cuh4vj0usz09</t>
        </is>
      </c>
      <c r="AU2268" t="inlineStr"/>
      <c r="AV2268" t="inlineStr">
        <is>
          <t>Kommun</t>
        </is>
      </c>
      <c r="AW2268" t="inlineStr"/>
      <c r="AX2268" t="inlineStr">
        <is>
          <t>2025-12</t>
        </is>
      </c>
      <c r="AY2268" t="inlineStr">
        <is>
          <t>Anmalan</t>
        </is>
      </c>
      <c r="AZ2268" t="inlineStr">
        <is>
          <t>2026-02-03</t>
        </is>
      </c>
      <c r="BA2268" t="inlineStr">
        <is>
          <t>MF In 2025-12-22 Sv_ Ändringsanmälan Dalby_ Rälsen 3.pdf</t>
        </is>
      </c>
      <c r="BB2268" t="inlineStr">
        <is>
          <t>Begärda handlingar</t>
        </is>
      </c>
      <c r="BC2268" t="inlineStr">
        <is>
          <t>AUTO</t>
        </is>
      </c>
      <c r="BD2268" t="inlineStr"/>
      <c r="BE2268" t="inlineStr"/>
      <c r="BF2268" t="inlineStr">
        <is>
          <t>AUTO_GENERERAD. Bekrafta metadata mot kallfil.</t>
        </is>
      </c>
      <c r="BG2268">
        <f>HYPERLINK("C:\Users\jimmy\Desktop\Examens arbete\Kod\Ny mapp\remix_-copy-of-miljöbeslut.se-portal\MF In 2025-12-22 Sv_ Ändringsanmälan Dalby_ Rälsen 3.pdf", "Öppna PDF")</f>
        <v/>
      </c>
    </row>
    <row r="2269">
      <c r="A2269" t="inlineStr">
        <is>
          <t>KRAV-AUTO-002268</t>
        </is>
      </c>
      <c r="B2269" t="inlineStr">
        <is>
          <t>ADMIN-INDEX-2026-02-27-00000000125C043F57453246863FE664CAFE6A3F0700950291EA24F0614FB6ACEDB12BF0E31D00000000010C0000950291EA24F0614FB6ACEDB12BF0E31D00002087B1B80000</t>
        </is>
      </c>
      <c r="C2269" t="inlineStr">
        <is>
          <t>cmm4yunah00i2cuqwftak3kam</t>
        </is>
      </c>
      <c r="D2269" t="inlineStr">
        <is>
          <t>http://localhost:8787/api/admin/requirements/documents/cmm4yunah00i2cuqwftak3kam/view</t>
        </is>
      </c>
      <c r="E2269">
        <f>HYPERLÄNK("http://localhost:8787/api/admin/requirements/documents/cmm4yunah00i2cuqwftak3kam/view";"Öppna PDF")</f>
        <v/>
      </c>
      <c r="F2269">
        <f>HYPERLINK("http://localhost:8787/api/admin/requirements/documents/cmm4yunah00i2cuqwftak3kam/view","Open PDF")</f>
        <v/>
      </c>
      <c r="G2269" t="inlineStr">
        <is>
          <t>cmm55w57p0004cuisfrtpqly8</t>
        </is>
      </c>
      <c r="H2269" t="inlineStr">
        <is>
          <t>Informationskrav</t>
        </is>
      </c>
      <c r="I2269" t="inlineStr">
        <is>
          <t>DagvattenLakvatten</t>
        </is>
      </c>
      <c r="J2269" t="inlineStr">
        <is>
          <t>Uppsamling</t>
        </is>
      </c>
      <c r="K2269" t="inlineStr">
        <is>
          <t>Hur dagvattensystemet ska utformas, förslag på riktvärden för utgående vatten samt provtagningsplan kommer att skickas till tillsynsmyndigheten senast 2025-10-31 och anläggningen ska vara färdigställd till 2025-12-31.</t>
        </is>
      </c>
      <c r="L2269" t="inlineStr">
        <is>
          <t>Hur dagvattensystemet ska utformas, förslag på riktvärden för utgående vatten samt provtagningsplan kommer att skickas till tillsynsmyndigheten senast 2025-10-31 och anläggningen ska vara färdigställd till 2025-12-31.</t>
        </is>
      </c>
      <c r="M2269" t="inlineStr">
        <is>
          <t>SKA</t>
        </is>
      </c>
      <c r="N2269" t="inlineStr"/>
      <c r="O2269" t="inlineStr">
        <is>
          <t>2025-10-31</t>
        </is>
      </c>
      <c r="P2269" t="inlineStr"/>
      <c r="Q2269" t="inlineStr"/>
      <c r="R2269" t="inlineStr">
        <is>
          <t>Vid nederbord och avrinning</t>
        </is>
      </c>
      <c r="S2269" t="inlineStr"/>
      <c r="T2269" t="inlineStr">
        <is>
          <t>556765</t>
        </is>
      </c>
      <c r="U2269" t="inlineStr"/>
      <c r="V2269" t="inlineStr"/>
      <c r="W2269" t="inlineStr">
        <is>
          <t>Nej</t>
        </is>
      </c>
      <c r="X2269" t="inlineStr">
        <is>
          <t>Ja</t>
        </is>
      </c>
      <c r="Y2269" t="inlineStr">
        <is>
          <t>Ja</t>
        </is>
      </c>
      <c r="Z2269" t="inlineStr">
        <is>
          <t>Nej</t>
        </is>
      </c>
      <c r="AA2269" t="n">
        <v>6</v>
      </c>
      <c r="AB2269" t="inlineStr">
        <is>
          <t>Lakvattenhantering</t>
        </is>
      </c>
      <c r="AC2269" t="inlineStr">
        <is>
          <t>Flodesschema dagvatten-lakvatten</t>
        </is>
      </c>
      <c r="AD2269" t="inlineStr">
        <is>
          <t>Nej</t>
        </is>
      </c>
      <c r="AE2269" t="inlineStr">
        <is>
          <t>Nej</t>
        </is>
      </c>
      <c r="AF2269" t="inlineStr">
        <is>
          <t>Ej behandlad</t>
        </is>
      </c>
      <c r="AG2269" t="inlineStr">
        <is>
          <t>AUTO_GENERERAD. Verifiera citat mot kallfil.</t>
        </is>
      </c>
      <c r="AH2269" t="inlineStr">
        <is>
          <t>MEDIUM</t>
        </is>
      </c>
      <c r="AI2269" t="inlineStr">
        <is>
          <t>AUTO</t>
        </is>
      </c>
      <c r="AJ2269" t="inlineStr">
        <is>
          <t>Nej</t>
        </is>
      </c>
      <c r="AK2269" t="inlineStr"/>
      <c r="AL2269" t="inlineStr"/>
      <c r="AM2269" t="inlineStr"/>
      <c r="AN2269" t="inlineStr"/>
      <c r="AO2269" t="inlineStr">
        <is>
          <t>cmm4yunbg00itcuqw517f1gbl</t>
        </is>
      </c>
      <c r="AP2269" t="inlineStr">
        <is>
          <t>http://localhost:8787/api/admin/requirements/documents/cmm4yunbg00itcuqw517f1gbl/view</t>
        </is>
      </c>
      <c r="AQ2269">
        <f>HYPERLÄNK("http://localhost:8787/api/admin/requirements/documents/cmm4yunbg00itcuqw517f1gbl/view";"Öppna PDF")</f>
        <v/>
      </c>
      <c r="AR2269">
        <f>HYPERLINK("http://localhost:8787/api/admin/requirements/documents/cmm4yunbg00itcuqw517f1gbl/view","Open PDF")</f>
        <v/>
      </c>
      <c r="AS2269" t="inlineStr">
        <is>
          <t>cmm55w57p0004cuisfrtpqly8</t>
        </is>
      </c>
      <c r="AT2269" t="inlineStr">
        <is>
          <t>cmm4xvu980000cuh4vj0usz09</t>
        </is>
      </c>
      <c r="AU2269" t="inlineStr"/>
      <c r="AV2269" t="inlineStr">
        <is>
          <t>Kommun</t>
        </is>
      </c>
      <c r="AW2269" t="inlineStr"/>
      <c r="AX2269" t="inlineStr">
        <is>
          <t>2025-12</t>
        </is>
      </c>
      <c r="AY2269" t="inlineStr">
        <is>
          <t>Anmalan</t>
        </is>
      </c>
      <c r="AZ2269" t="inlineStr">
        <is>
          <t>2026-02-03</t>
        </is>
      </c>
      <c r="BA2269" t="inlineStr">
        <is>
          <t>MF In 2025-12-22 Sv_ Ändringsanmälan Dalby_ Rälsen 3.pdf</t>
        </is>
      </c>
      <c r="BB2269" t="inlineStr">
        <is>
          <t>Begärda handlingar</t>
        </is>
      </c>
      <c r="BC2269" t="inlineStr">
        <is>
          <t>AUTO</t>
        </is>
      </c>
      <c r="BD2269" t="inlineStr"/>
      <c r="BE2269" t="inlineStr"/>
      <c r="BF2269" t="inlineStr">
        <is>
          <t>AUTO_GENERERAD. Bekrafta metadata mot kallfil.</t>
        </is>
      </c>
      <c r="BG2269">
        <f>HYPERLINK("C:\Users\jimmy\Desktop\Examens arbete\Kod\Ny mapp\remix_-copy-of-miljöbeslut.se-portal\MF In 2025-12-22 Sv_ Ändringsanmälan Dalby_ Rälsen 3.pdf", "Öppna PDF")</f>
        <v/>
      </c>
    </row>
    <row r="2270">
      <c r="A2270" t="inlineStr">
        <is>
          <t>KRAV-AUTO-002269</t>
        </is>
      </c>
      <c r="B2270" t="inlineStr">
        <is>
          <t>ADMIN-INDEX-2026-02-27-00000000125C043F57453246863FE664CAFE6A3F0700950291EA24F0614FB6ACEDB12BF0E31D00000000010C0000950291EA24F0614FB6ACEDB12BF0E31D00002087B1B80000</t>
        </is>
      </c>
      <c r="C2270" t="inlineStr">
        <is>
          <t>cmm4yunah00i2cuqwftak3kam</t>
        </is>
      </c>
      <c r="D2270" t="inlineStr">
        <is>
          <t>http://localhost:8787/api/admin/requirements/documents/cmm4yunah00i2cuqwftak3kam/view</t>
        </is>
      </c>
      <c r="E2270">
        <f>HYPERLÄNK("http://localhost:8787/api/admin/requirements/documents/cmm4yunah00i2cuqwftak3kam/view";"Öppna PDF")</f>
        <v/>
      </c>
      <c r="F2270">
        <f>HYPERLINK("http://localhost:8787/api/admin/requirements/documents/cmm4yunah00i2cuqwftak3kam/view","Open PDF")</f>
        <v/>
      </c>
      <c r="G2270" t="inlineStr">
        <is>
          <t>cmm55w57p0004cuisfrtpqly8</t>
        </is>
      </c>
      <c r="H2270" t="inlineStr">
        <is>
          <t>Informationskrav</t>
        </is>
      </c>
      <c r="I2270" t="inlineStr">
        <is>
          <t>DagvattenLakvatten</t>
        </is>
      </c>
      <c r="J2270" t="inlineStr">
        <is>
          <t>Uppsamling</t>
        </is>
      </c>
      <c r="K2270" t="inlineStr">
        <is>
          <t>Ett dagvattensystem ska anläggas där man samlar in dagvatten från asfalterade ytor.</t>
        </is>
      </c>
      <c r="L2270" t="inlineStr">
        <is>
          <t>Ett dagvattensystem ska anläggas där man samlar in dagvatten från asfalterade ytor.</t>
        </is>
      </c>
      <c r="M2270" t="inlineStr">
        <is>
          <t>SKA</t>
        </is>
      </c>
      <c r="N2270" t="inlineStr"/>
      <c r="O2270" t="inlineStr"/>
      <c r="P2270" t="inlineStr"/>
      <c r="Q2270" t="inlineStr"/>
      <c r="R2270" t="inlineStr">
        <is>
          <t>Vid nederbord och avrinning</t>
        </is>
      </c>
      <c r="S2270" t="inlineStr"/>
      <c r="T2270" t="inlineStr">
        <is>
          <t>556765</t>
        </is>
      </c>
      <c r="U2270" t="inlineStr"/>
      <c r="V2270" t="inlineStr"/>
      <c r="W2270" t="inlineStr">
        <is>
          <t>Nej</t>
        </is>
      </c>
      <c r="X2270" t="inlineStr">
        <is>
          <t>Ja</t>
        </is>
      </c>
      <c r="Y2270" t="inlineStr">
        <is>
          <t>Ja</t>
        </is>
      </c>
      <c r="Z2270" t="inlineStr">
        <is>
          <t>Nej</t>
        </is>
      </c>
      <c r="AA2270" t="n">
        <v>6</v>
      </c>
      <c r="AB2270" t="inlineStr">
        <is>
          <t>Lakvattenhantering</t>
        </is>
      </c>
      <c r="AC2270" t="inlineStr">
        <is>
          <t>Flodesschema dagvatten-lakvatten</t>
        </is>
      </c>
      <c r="AD2270" t="inlineStr">
        <is>
          <t>Nej</t>
        </is>
      </c>
      <c r="AE2270" t="inlineStr">
        <is>
          <t>Nej</t>
        </is>
      </c>
      <c r="AF2270" t="inlineStr">
        <is>
          <t>Ej behandlad</t>
        </is>
      </c>
      <c r="AG2270" t="inlineStr">
        <is>
          <t>AUTO_GENERERAD. Verifiera citat mot kallfil.</t>
        </is>
      </c>
      <c r="AH2270" t="inlineStr">
        <is>
          <t>MEDIUM</t>
        </is>
      </c>
      <c r="AI2270" t="inlineStr">
        <is>
          <t>AUTO</t>
        </is>
      </c>
      <c r="AJ2270" t="inlineStr">
        <is>
          <t>Nej</t>
        </is>
      </c>
      <c r="AK2270" t="inlineStr"/>
      <c r="AL2270" t="inlineStr"/>
      <c r="AM2270" t="inlineStr"/>
      <c r="AN2270" t="inlineStr"/>
      <c r="AO2270" t="inlineStr">
        <is>
          <t>cmm4yunbg00itcuqw517f1gbl</t>
        </is>
      </c>
      <c r="AP2270" t="inlineStr">
        <is>
          <t>http://localhost:8787/api/admin/requirements/documents/cmm4yunbg00itcuqw517f1gbl/view</t>
        </is>
      </c>
      <c r="AQ2270">
        <f>HYPERLÄNK("http://localhost:8787/api/admin/requirements/documents/cmm4yunbg00itcuqw517f1gbl/view";"Öppna PDF")</f>
        <v/>
      </c>
      <c r="AR2270">
        <f>HYPERLINK("http://localhost:8787/api/admin/requirements/documents/cmm4yunbg00itcuqw517f1gbl/view","Open PDF")</f>
        <v/>
      </c>
      <c r="AS2270" t="inlineStr">
        <is>
          <t>cmm55w57p0004cuisfrtpqly8</t>
        </is>
      </c>
      <c r="AT2270" t="inlineStr">
        <is>
          <t>cmm4xvu980000cuh4vj0usz09</t>
        </is>
      </c>
      <c r="AU2270" t="inlineStr"/>
      <c r="AV2270" t="inlineStr">
        <is>
          <t>Kommun</t>
        </is>
      </c>
      <c r="AW2270" t="inlineStr"/>
      <c r="AX2270" t="inlineStr">
        <is>
          <t>2025-12</t>
        </is>
      </c>
      <c r="AY2270" t="inlineStr">
        <is>
          <t>Anmalan</t>
        </is>
      </c>
      <c r="AZ2270" t="inlineStr">
        <is>
          <t>2026-02-03</t>
        </is>
      </c>
      <c r="BA2270" t="inlineStr">
        <is>
          <t>MF In 2025-12-22 Sv_ Ändringsanmälan Dalby_ Rälsen 3.pdf</t>
        </is>
      </c>
      <c r="BB2270" t="inlineStr">
        <is>
          <t>Begärda handlingar</t>
        </is>
      </c>
      <c r="BC2270" t="inlineStr">
        <is>
          <t>AUTO</t>
        </is>
      </c>
      <c r="BD2270" t="inlineStr"/>
      <c r="BE2270" t="inlineStr"/>
      <c r="BF2270" t="inlineStr">
        <is>
          <t>AUTO_GENERERAD. Bekrafta metadata mot kallfil.</t>
        </is>
      </c>
      <c r="BG2270">
        <f>HYPERLINK("C:\Users\jimmy\Desktop\Examens arbete\Kod\Ny mapp\remix_-copy-of-miljöbeslut.se-portal\MF In 2025-12-22 Sv_ Ändringsanmälan Dalby_ Rälsen 3.pdf", "Öppna PDF")</f>
        <v/>
      </c>
    </row>
    <row r="2271">
      <c r="A2271" t="inlineStr">
        <is>
          <t>KRAV-AUTO-002270</t>
        </is>
      </c>
      <c r="B2271" t="inlineStr">
        <is>
          <t>ADMIN-INDEX-2026-02-27-00000000125C043F57453246863FE664CAFE6A3F0700950291EA24F0614FB6ACEDB12BF0E31D00000000010C0000950291EA24F0614FB6ACEDB12BF0E31D00002087B1B80000</t>
        </is>
      </c>
      <c r="C2271" t="inlineStr">
        <is>
          <t>cmm4yunah00i2cuqwftak3kam</t>
        </is>
      </c>
      <c r="D2271" t="inlineStr">
        <is>
          <t>http://localhost:8787/api/admin/requirements/documents/cmm4yunah00i2cuqwftak3kam/view</t>
        </is>
      </c>
      <c r="E2271">
        <f>HYPERLÄNK("http://localhost:8787/api/admin/requirements/documents/cmm4yunah00i2cuqwftak3kam/view";"Öppna PDF")</f>
        <v/>
      </c>
      <c r="F2271">
        <f>HYPERLINK("http://localhost:8787/api/admin/requirements/documents/cmm4yunah00i2cuqwftak3kam/view","Open PDF")</f>
        <v/>
      </c>
      <c r="G2271" t="inlineStr">
        <is>
          <t>cmm55w57p0004cuisfrtpqly8</t>
        </is>
      </c>
      <c r="H2271" t="inlineStr">
        <is>
          <t>Informationskrav</t>
        </is>
      </c>
      <c r="I2271" t="inlineStr">
        <is>
          <t>DagvattenLakvatten</t>
        </is>
      </c>
      <c r="J2271" t="inlineStr">
        <is>
          <t>Uppsamling</t>
        </is>
      </c>
      <c r="K2271" t="inlineStr">
        <is>
          <t>För att säkerställa att ytvattnet inte påverkas negativt ska dagvattnet som samlas upp renas genom sedimentering i en dagvattendamm.</t>
        </is>
      </c>
      <c r="L2271" t="inlineStr">
        <is>
          <t>För att säkerställa att ytvattnet inte påverkas negativt ska dagvattnet som samlas upp renas genom sedimentering i en dagvattendamm.</t>
        </is>
      </c>
      <c r="M2271" t="inlineStr">
        <is>
          <t>SKA</t>
        </is>
      </c>
      <c r="N2271" t="inlineStr"/>
      <c r="O2271" t="inlineStr"/>
      <c r="P2271" t="inlineStr"/>
      <c r="Q2271" t="inlineStr"/>
      <c r="R2271" t="inlineStr">
        <is>
          <t>Vid nederbord och avrinning</t>
        </is>
      </c>
      <c r="S2271" t="inlineStr"/>
      <c r="T2271" t="inlineStr">
        <is>
          <t>556765</t>
        </is>
      </c>
      <c r="U2271" t="inlineStr"/>
      <c r="V2271" t="inlineStr"/>
      <c r="W2271" t="inlineStr">
        <is>
          <t>Nej</t>
        </is>
      </c>
      <c r="X2271" t="inlineStr">
        <is>
          <t>Ja</t>
        </is>
      </c>
      <c r="Y2271" t="inlineStr">
        <is>
          <t>Ja</t>
        </is>
      </c>
      <c r="Z2271" t="inlineStr">
        <is>
          <t>Nej</t>
        </is>
      </c>
      <c r="AA2271" t="n">
        <v>6</v>
      </c>
      <c r="AB2271" t="inlineStr">
        <is>
          <t>Lakvattenhantering</t>
        </is>
      </c>
      <c r="AC2271" t="inlineStr">
        <is>
          <t>Flodesschema dagvatten-lakvatten</t>
        </is>
      </c>
      <c r="AD2271" t="inlineStr">
        <is>
          <t>Nej</t>
        </is>
      </c>
      <c r="AE2271" t="inlineStr">
        <is>
          <t>Nej</t>
        </is>
      </c>
      <c r="AF2271" t="inlineStr">
        <is>
          <t>Ej behandlad</t>
        </is>
      </c>
      <c r="AG2271" t="inlineStr">
        <is>
          <t>AUTO_GENERERAD. Verifiera citat mot kallfil.</t>
        </is>
      </c>
      <c r="AH2271" t="inlineStr">
        <is>
          <t>MEDIUM</t>
        </is>
      </c>
      <c r="AI2271" t="inlineStr">
        <is>
          <t>AUTO</t>
        </is>
      </c>
      <c r="AJ2271" t="inlineStr">
        <is>
          <t>Nej</t>
        </is>
      </c>
      <c r="AK2271" t="inlineStr"/>
      <c r="AL2271" t="inlineStr"/>
      <c r="AM2271" t="inlineStr"/>
      <c r="AN2271" t="inlineStr"/>
      <c r="AO2271" t="inlineStr">
        <is>
          <t>cmm4yunbg00itcuqw517f1gbl</t>
        </is>
      </c>
      <c r="AP2271" t="inlineStr">
        <is>
          <t>http://localhost:8787/api/admin/requirements/documents/cmm4yunbg00itcuqw517f1gbl/view</t>
        </is>
      </c>
      <c r="AQ2271">
        <f>HYPERLÄNK("http://localhost:8787/api/admin/requirements/documents/cmm4yunbg00itcuqw517f1gbl/view";"Öppna PDF")</f>
        <v/>
      </c>
      <c r="AR2271">
        <f>HYPERLINK("http://localhost:8787/api/admin/requirements/documents/cmm4yunbg00itcuqw517f1gbl/view","Open PDF")</f>
        <v/>
      </c>
      <c r="AS2271" t="inlineStr">
        <is>
          <t>cmm55w57p0004cuisfrtpqly8</t>
        </is>
      </c>
      <c r="AT2271" t="inlineStr">
        <is>
          <t>cmm4xvu980000cuh4vj0usz09</t>
        </is>
      </c>
      <c r="AU2271" t="inlineStr"/>
      <c r="AV2271" t="inlineStr">
        <is>
          <t>Kommun</t>
        </is>
      </c>
      <c r="AW2271" t="inlineStr"/>
      <c r="AX2271" t="inlineStr">
        <is>
          <t>2025-12</t>
        </is>
      </c>
      <c r="AY2271" t="inlineStr">
        <is>
          <t>Anmalan</t>
        </is>
      </c>
      <c r="AZ2271" t="inlineStr">
        <is>
          <t>2026-02-03</t>
        </is>
      </c>
      <c r="BA2271" t="inlineStr">
        <is>
          <t>MF In 2025-12-22 Sv_ Ändringsanmälan Dalby_ Rälsen 3.pdf</t>
        </is>
      </c>
      <c r="BB2271" t="inlineStr">
        <is>
          <t>Begärda handlingar</t>
        </is>
      </c>
      <c r="BC2271" t="inlineStr">
        <is>
          <t>AUTO</t>
        </is>
      </c>
      <c r="BD2271" t="inlineStr"/>
      <c r="BE2271" t="inlineStr"/>
      <c r="BF2271" t="inlineStr">
        <is>
          <t>AUTO_GENERERAD. Bekrafta metadata mot kallfil.</t>
        </is>
      </c>
      <c r="BG2271">
        <f>HYPERLINK("C:\Users\jimmy\Desktop\Examens arbete\Kod\Ny mapp\remix_-copy-of-miljöbeslut.se-portal\MF In 2025-12-22 Sv_ Ändringsanmälan Dalby_ Rälsen 3.pdf", "Öppna PDF")</f>
        <v/>
      </c>
    </row>
    <row r="2272">
      <c r="A2272" t="inlineStr">
        <is>
          <t>KRAV-AUTO-002271</t>
        </is>
      </c>
      <c r="B2272" t="inlineStr">
        <is>
          <t>ADMIN-INDEX-2026-02-27-00000000125C043F57453246863FE664CAFE6A3F0700950291EA24F0614FB6ACEDB12BF0E31D00000000010C0000950291EA24F0614FB6ACEDB12BF0E31D00002087B1B90000</t>
        </is>
      </c>
      <c r="C2272" t="inlineStr">
        <is>
          <t>cmm4yunae00hzcuqwnui6ixvv</t>
        </is>
      </c>
      <c r="D2272" t="inlineStr">
        <is>
          <t>http://localhost:8787/api/admin/requirements/documents/cmm4yunae00hzcuqwnui6ixvv/view</t>
        </is>
      </c>
      <c r="E2272">
        <f>HYPERLÄNK("http://localhost:8787/api/admin/requirements/documents/cmm4yunae00hzcuqwnui6ixvv/view";"Öppna PDF")</f>
        <v/>
      </c>
      <c r="F2272">
        <f>HYPERLINK("http://localhost:8787/api/admin/requirements/documents/cmm4yunae00hzcuqwnui6ixvv/view","Open PDF")</f>
        <v/>
      </c>
      <c r="G2272" t="inlineStr">
        <is>
          <t>cmm55w57p0004cuisfrtpqly8</t>
        </is>
      </c>
      <c r="H2272" t="inlineStr">
        <is>
          <t>Beslutsvillkor</t>
        </is>
      </c>
      <c r="I2272" t="inlineStr">
        <is>
          <t>MiljopaverkanForsiktighet</t>
        </is>
      </c>
      <c r="J2272" t="inlineStr">
        <is>
          <t>Skyddsatgarder</t>
        </is>
      </c>
      <c r="K2272" t="inlineStr">
        <is>
          <t>Däremot kan asfalten klassas som avfall om det mellanlagras och sorteras av NCC Industry AB för att senare bearbetas och återvinns eller om asfalten återanvänds inom helt andra projekt långt bort i framtiden.</t>
        </is>
      </c>
      <c r="L2272" t="inlineStr">
        <is>
          <t>Däremot kan asfalten klassas som avfall om det mellanlagras och sorteras av NCC Industry AB för att senare bearbetas och återvinns eller om asfalten återanvänds inom helt andra projekt långt bort i framtiden.</t>
        </is>
      </c>
      <c r="M2272" t="inlineStr">
        <is>
          <t>BOR</t>
        </is>
      </c>
      <c r="N2272" t="inlineStr"/>
      <c r="O2272" t="inlineStr"/>
      <c r="P2272" t="inlineStr"/>
      <c r="Q2272" t="inlineStr"/>
      <c r="R2272" t="inlineStr">
        <is>
          <t>Alltid</t>
        </is>
      </c>
      <c r="S2272" t="inlineStr"/>
      <c r="T2272" t="inlineStr">
        <is>
          <t>34 80 00</t>
        </is>
      </c>
      <c r="U2272" t="inlineStr"/>
      <c r="V2272" t="inlineStr"/>
      <c r="W2272" t="inlineStr">
        <is>
          <t>Nej</t>
        </is>
      </c>
      <c r="X2272" t="inlineStr">
        <is>
          <t>Nej</t>
        </is>
      </c>
      <c r="Y2272" t="inlineStr">
        <is>
          <t>Nej</t>
        </is>
      </c>
      <c r="Z2272" t="inlineStr">
        <is>
          <t>Nej</t>
        </is>
      </c>
      <c r="AA2272" t="n">
        <v>10</v>
      </c>
      <c r="AB2272" t="inlineStr">
        <is>
          <t>Miljopaverkan och forsiktighetsmatt</t>
        </is>
      </c>
      <c r="AC2272" t="inlineStr">
        <is>
          <t>Miljo-PM</t>
        </is>
      </c>
      <c r="AD2272" t="inlineStr">
        <is>
          <t>Nej</t>
        </is>
      </c>
      <c r="AE2272" t="inlineStr">
        <is>
          <t>Nej</t>
        </is>
      </c>
      <c r="AF2272" t="inlineStr">
        <is>
          <t>Ej behandlad</t>
        </is>
      </c>
      <c r="AG2272" t="inlineStr">
        <is>
          <t>AUTO_GENERERAD. Verifiera citat mot kallfil.</t>
        </is>
      </c>
      <c r="AH2272" t="inlineStr">
        <is>
          <t>MEDIUM</t>
        </is>
      </c>
      <c r="AI2272" t="inlineStr">
        <is>
          <t>AUTO</t>
        </is>
      </c>
      <c r="AJ2272" t="inlineStr">
        <is>
          <t>Nej</t>
        </is>
      </c>
      <c r="AK2272" t="inlineStr"/>
      <c r="AL2272" t="inlineStr"/>
      <c r="AM2272" t="inlineStr"/>
      <c r="AN2272" t="inlineStr"/>
      <c r="AO2272" t="inlineStr">
        <is>
          <t>cmm4yunae00hzcuqwnui6ixvv</t>
        </is>
      </c>
      <c r="AP2272" t="inlineStr">
        <is>
          <t>http://localhost:8787/api/admin/requirements/documents/cmm4yunae00hzcuqwnui6ixvv/view</t>
        </is>
      </c>
      <c r="AQ2272">
        <f>HYPERLÄNK("http://localhost:8787/api/admin/requirements/documents/cmm4yunae00hzcuqwnui6ixvv/view";"Öppna PDF")</f>
        <v/>
      </c>
      <c r="AR2272">
        <f>HYPERLINK("http://localhost:8787/api/admin/requirements/documents/cmm4yunae00hzcuqwnui6ixvv/view","Open PDF")</f>
        <v/>
      </c>
      <c r="AS2272" t="inlineStr">
        <is>
          <t>cmm55w57p0004cuisfrtpqly8</t>
        </is>
      </c>
      <c r="AT2272" t="inlineStr">
        <is>
          <t>cmm4xvu980000cuh4vj0usz09</t>
        </is>
      </c>
      <c r="AU2272" t="inlineStr">
        <is>
          <t>pdf Postadress Härnösands</t>
        </is>
      </c>
      <c r="AV2272" t="inlineStr">
        <is>
          <t>Kommun</t>
        </is>
      </c>
      <c r="AW2272" t="inlineStr">
        <is>
          <t>pdf Postadress Härnösands kommun</t>
        </is>
      </c>
      <c r="AX2272" t="inlineStr">
        <is>
          <t>0611-34</t>
        </is>
      </c>
      <c r="AY2272" t="inlineStr">
        <is>
          <t>Beslut</t>
        </is>
      </c>
      <c r="AZ2272" t="inlineStr">
        <is>
          <t>2026-02-03</t>
        </is>
      </c>
      <c r="BA2272" t="inlineStr">
        <is>
          <t>SAM-2025-1751.3227..pdf</t>
        </is>
      </c>
      <c r="BB2272" t="inlineStr">
        <is>
          <t>Sv: till registrator</t>
        </is>
      </c>
      <c r="BC2272" t="inlineStr">
        <is>
          <t>AUTO</t>
        </is>
      </c>
      <c r="BD2272" t="inlineStr"/>
      <c r="BE2272" t="inlineStr"/>
      <c r="BF2272" t="inlineStr">
        <is>
          <t>AUTO_GENERERAD. Bekrafta metadata mot kallfil.</t>
        </is>
      </c>
      <c r="BG2272">
        <f>HYPERLINK("C:\Users\jimmy\Desktop\Examens arbete\Kod\Ny mapp\remix_-copy-of-miljöbeslut.se-portal\SAM-2025-1751.3227..pdf", "Öppna PDF")</f>
        <v/>
      </c>
    </row>
    <row r="2273">
      <c r="A2273" t="inlineStr">
        <is>
          <t>KRAV-AUTO-002272</t>
        </is>
      </c>
      <c r="B2273" t="inlineStr">
        <is>
          <t>ADMIN-INDEX-2026-02-27-00000000125C043F57453246863FE664CAFE6A3F0700950291EA24F0614FB6ACEDB12BF0E31D00000000010C0000950291EA24F0614FB6ACEDB12BF0E31D00002087B1B90000</t>
        </is>
      </c>
      <c r="C2273" t="inlineStr">
        <is>
          <t>cmm4yunae00hzcuqwnui6ixvv</t>
        </is>
      </c>
      <c r="D2273" t="inlineStr">
        <is>
          <t>http://localhost:8787/api/admin/requirements/documents/cmm4yunae00hzcuqwnui6ixvv/view</t>
        </is>
      </c>
      <c r="E2273">
        <f>HYPERLÄNK("http://localhost:8787/api/admin/requirements/documents/cmm4yunae00hzcuqwnui6ixvv/view";"Öppna PDF")</f>
        <v/>
      </c>
      <c r="F2273">
        <f>HYPERLINK("http://localhost:8787/api/admin/requirements/documents/cmm4yunae00hzcuqwnui6ixvv/view","Open PDF")</f>
        <v/>
      </c>
      <c r="G2273" t="inlineStr">
        <is>
          <t>cmm55w57p0004cuisfrtpqly8</t>
        </is>
      </c>
      <c r="H2273" t="inlineStr">
        <is>
          <t>Beslutsvillkor</t>
        </is>
      </c>
      <c r="I2273" t="inlineStr">
        <is>
          <t>LagringsvolymTid</t>
        </is>
      </c>
      <c r="J2273" t="inlineStr">
        <is>
          <t>Maxmangd</t>
        </is>
      </c>
      <c r="K2273" t="inlineStr">
        <is>
          <t>Samhällsförvaltningen tolkar anmälan som att asfalt som inte klassas som avfall alltså inte heller bör omfattas av verksamhetens verksamhetskod och inte heller restriktioner på årlig mängd hantering av massor.</t>
        </is>
      </c>
      <c r="L2273" t="inlineStr">
        <is>
          <t>Samhällsförvaltningen tolkar anmälan som att asfalt som inte klassas som avfall alltså inte heller bör omfattas av verksamhetens verksamhetskod och inte heller restriktioner på årlig mängd hantering av massor.</t>
        </is>
      </c>
      <c r="M2273" t="inlineStr">
        <is>
          <t>BOR</t>
        </is>
      </c>
      <c r="N2273" t="inlineStr"/>
      <c r="O2273" t="inlineStr"/>
      <c r="P2273" t="inlineStr">
        <is>
          <t>Arlig</t>
        </is>
      </c>
      <c r="Q2273" t="inlineStr"/>
      <c r="R2273" t="inlineStr">
        <is>
          <t>Alltid</t>
        </is>
      </c>
      <c r="S2273" t="inlineStr"/>
      <c r="T2273" t="inlineStr">
        <is>
          <t>34 80 00</t>
        </is>
      </c>
      <c r="U2273" t="inlineStr"/>
      <c r="V2273" t="inlineStr"/>
      <c r="W2273" t="inlineStr">
        <is>
          <t>Nej</t>
        </is>
      </c>
      <c r="X2273" t="inlineStr">
        <is>
          <t>Nej</t>
        </is>
      </c>
      <c r="Y2273" t="inlineStr">
        <is>
          <t>Nej</t>
        </is>
      </c>
      <c r="Z2273" t="inlineStr">
        <is>
          <t>Nej</t>
        </is>
      </c>
      <c r="AA2273" t="n">
        <v>4</v>
      </c>
      <c r="AB2273" t="inlineStr">
        <is>
          <t>Avfallsmangder och lagringstid</t>
        </is>
      </c>
      <c r="AC2273" t="inlineStr">
        <is>
          <t>Avfallsforteckning</t>
        </is>
      </c>
      <c r="AD2273" t="inlineStr">
        <is>
          <t>Nej</t>
        </is>
      </c>
      <c r="AE2273" t="inlineStr">
        <is>
          <t>Nej</t>
        </is>
      </c>
      <c r="AF2273" t="inlineStr">
        <is>
          <t>Ej behandlad</t>
        </is>
      </c>
      <c r="AG2273" t="inlineStr">
        <is>
          <t>AUTO_GENERERAD. Verifiera citat mot kallfil.</t>
        </is>
      </c>
      <c r="AH2273" t="inlineStr">
        <is>
          <t>MEDIUM</t>
        </is>
      </c>
      <c r="AI2273" t="inlineStr">
        <is>
          <t>AUTO</t>
        </is>
      </c>
      <c r="AJ2273" t="inlineStr">
        <is>
          <t>Nej</t>
        </is>
      </c>
      <c r="AK2273" t="inlineStr"/>
      <c r="AL2273" t="inlineStr"/>
      <c r="AM2273" t="inlineStr"/>
      <c r="AN2273" t="inlineStr"/>
      <c r="AO2273" t="inlineStr">
        <is>
          <t>cmm4yunae00hzcuqwnui6ixvv</t>
        </is>
      </c>
      <c r="AP2273" t="inlineStr">
        <is>
          <t>http://localhost:8787/api/admin/requirements/documents/cmm4yunae00hzcuqwnui6ixvv/view</t>
        </is>
      </c>
      <c r="AQ2273">
        <f>HYPERLÄNK("http://localhost:8787/api/admin/requirements/documents/cmm4yunae00hzcuqwnui6ixvv/view";"Öppna PDF")</f>
        <v/>
      </c>
      <c r="AR2273">
        <f>HYPERLINK("http://localhost:8787/api/admin/requirements/documents/cmm4yunae00hzcuqwnui6ixvv/view","Open PDF")</f>
        <v/>
      </c>
      <c r="AS2273" t="inlineStr">
        <is>
          <t>cmm55w57p0004cuisfrtpqly8</t>
        </is>
      </c>
      <c r="AT2273" t="inlineStr">
        <is>
          <t>cmm4xvu980000cuh4vj0usz09</t>
        </is>
      </c>
      <c r="AU2273" t="inlineStr">
        <is>
          <t>pdf Postadress Härnösands</t>
        </is>
      </c>
      <c r="AV2273" t="inlineStr">
        <is>
          <t>Kommun</t>
        </is>
      </c>
      <c r="AW2273" t="inlineStr">
        <is>
          <t>pdf Postadress Härnösands kommun</t>
        </is>
      </c>
      <c r="AX2273" t="inlineStr">
        <is>
          <t>0611-34</t>
        </is>
      </c>
      <c r="AY2273" t="inlineStr">
        <is>
          <t>Beslut</t>
        </is>
      </c>
      <c r="AZ2273" t="inlineStr">
        <is>
          <t>2026-02-03</t>
        </is>
      </c>
      <c r="BA2273" t="inlineStr">
        <is>
          <t>SAM-2025-1751.3227..pdf</t>
        </is>
      </c>
      <c r="BB2273" t="inlineStr">
        <is>
          <t>Sv: till registrator</t>
        </is>
      </c>
      <c r="BC2273" t="inlineStr">
        <is>
          <t>AUTO</t>
        </is>
      </c>
      <c r="BD2273" t="inlineStr"/>
      <c r="BE2273" t="inlineStr"/>
      <c r="BF2273" t="inlineStr">
        <is>
          <t>AUTO_GENERERAD. Bekrafta metadata mot kallfil.</t>
        </is>
      </c>
      <c r="BG2273">
        <f>HYPERLINK("C:\Users\jimmy\Desktop\Examens arbete\Kod\Ny mapp\remix_-copy-of-miljöbeslut.se-portal\SAM-2025-1751.3227..pdf", "Öppna PDF")</f>
        <v/>
      </c>
    </row>
    <row r="2274">
      <c r="A2274" t="inlineStr">
        <is>
          <t>KRAV-AUTO-002273</t>
        </is>
      </c>
      <c r="B2274" t="inlineStr">
        <is>
          <t>ADMIN-INDEX-2026-02-27-00000000125C043F57453246863FE664CAFE6A3F0700950291EA24F0614FB6ACEDB12BF0E31D00000000010C0000950291EA24F0614FB6ACEDB12BF0E31D00002087B1B90000</t>
        </is>
      </c>
      <c r="C2274" t="inlineStr">
        <is>
          <t>cmm4yunae00hzcuqwnui6ixvv</t>
        </is>
      </c>
      <c r="D2274" t="inlineStr">
        <is>
          <t>http://localhost:8787/api/admin/requirements/documents/cmm4yunae00hzcuqwnui6ixvv/view</t>
        </is>
      </c>
      <c r="E2274">
        <f>HYPERLÄNK("http://localhost:8787/api/admin/requirements/documents/cmm4yunae00hzcuqwnui6ixvv/view";"Öppna PDF")</f>
        <v/>
      </c>
      <c r="F2274">
        <f>HYPERLINK("http://localhost:8787/api/admin/requirements/documents/cmm4yunae00hzcuqwnui6ixvv/view","Open PDF")</f>
        <v/>
      </c>
      <c r="G2274" t="inlineStr">
        <is>
          <t>cmm55w57p0004cuisfrtpqly8</t>
        </is>
      </c>
      <c r="H2274" t="inlineStr">
        <is>
          <t>Beslutsvillkor</t>
        </is>
      </c>
      <c r="I2274" t="inlineStr">
        <is>
          <t>MiljopaverkanForsiktighet</t>
        </is>
      </c>
      <c r="J2274" t="inlineStr">
        <is>
          <t>Skyddsatgarder</t>
        </is>
      </c>
      <c r="K2274" t="inlineStr">
        <is>
          <t>Samhällsförvaltningen håller med om att viss asfalt som hanteras av verksamheten inte bör klassas som avfall.</t>
        </is>
      </c>
      <c r="L2274" t="inlineStr">
        <is>
          <t>Samhällsförvaltningen håller med om att viss asfalt som hanteras av verksamheten inte bör klassas som avfall.</t>
        </is>
      </c>
      <c r="M2274" t="inlineStr">
        <is>
          <t>BOR</t>
        </is>
      </c>
      <c r="N2274" t="inlineStr"/>
      <c r="O2274" t="inlineStr"/>
      <c r="P2274" t="inlineStr"/>
      <c r="Q2274" t="inlineStr"/>
      <c r="R2274" t="inlineStr">
        <is>
          <t>Alltid</t>
        </is>
      </c>
      <c r="S2274" t="inlineStr"/>
      <c r="T2274" t="inlineStr">
        <is>
          <t>34 80 00</t>
        </is>
      </c>
      <c r="U2274" t="inlineStr"/>
      <c r="V2274" t="inlineStr"/>
      <c r="W2274" t="inlineStr">
        <is>
          <t>Nej</t>
        </is>
      </c>
      <c r="X2274" t="inlineStr">
        <is>
          <t>Nej</t>
        </is>
      </c>
      <c r="Y2274" t="inlineStr">
        <is>
          <t>Nej</t>
        </is>
      </c>
      <c r="Z2274" t="inlineStr">
        <is>
          <t>Nej</t>
        </is>
      </c>
      <c r="AA2274" t="n">
        <v>10</v>
      </c>
      <c r="AB2274" t="inlineStr">
        <is>
          <t>Miljopaverkan och forsiktighetsmatt</t>
        </is>
      </c>
      <c r="AC2274" t="inlineStr">
        <is>
          <t>Miljo-PM</t>
        </is>
      </c>
      <c r="AD2274" t="inlineStr">
        <is>
          <t>Nej</t>
        </is>
      </c>
      <c r="AE2274" t="inlineStr">
        <is>
          <t>Nej</t>
        </is>
      </c>
      <c r="AF2274" t="inlineStr">
        <is>
          <t>Ej behandlad</t>
        </is>
      </c>
      <c r="AG2274" t="inlineStr">
        <is>
          <t>AUTO_GENERERAD. Verifiera citat mot kallfil.</t>
        </is>
      </c>
      <c r="AH2274" t="inlineStr">
        <is>
          <t>MEDIUM</t>
        </is>
      </c>
      <c r="AI2274" t="inlineStr">
        <is>
          <t>AUTO</t>
        </is>
      </c>
      <c r="AJ2274" t="inlineStr">
        <is>
          <t>Nej</t>
        </is>
      </c>
      <c r="AK2274" t="inlineStr"/>
      <c r="AL2274" t="inlineStr"/>
      <c r="AM2274" t="inlineStr"/>
      <c r="AN2274" t="inlineStr"/>
      <c r="AO2274" t="inlineStr">
        <is>
          <t>cmm4yunae00hzcuqwnui6ixvv</t>
        </is>
      </c>
      <c r="AP2274" t="inlineStr">
        <is>
          <t>http://localhost:8787/api/admin/requirements/documents/cmm4yunae00hzcuqwnui6ixvv/view</t>
        </is>
      </c>
      <c r="AQ2274">
        <f>HYPERLÄNK("http://localhost:8787/api/admin/requirements/documents/cmm4yunae00hzcuqwnui6ixvv/view";"Öppna PDF")</f>
        <v/>
      </c>
      <c r="AR2274">
        <f>HYPERLINK("http://localhost:8787/api/admin/requirements/documents/cmm4yunae00hzcuqwnui6ixvv/view","Open PDF")</f>
        <v/>
      </c>
      <c r="AS2274" t="inlineStr">
        <is>
          <t>cmm55w57p0004cuisfrtpqly8</t>
        </is>
      </c>
      <c r="AT2274" t="inlineStr">
        <is>
          <t>cmm4xvu980000cuh4vj0usz09</t>
        </is>
      </c>
      <c r="AU2274" t="inlineStr">
        <is>
          <t>pdf Postadress Härnösands</t>
        </is>
      </c>
      <c r="AV2274" t="inlineStr">
        <is>
          <t>Kommun</t>
        </is>
      </c>
      <c r="AW2274" t="inlineStr">
        <is>
          <t>pdf Postadress Härnösands kommun</t>
        </is>
      </c>
      <c r="AX2274" t="inlineStr">
        <is>
          <t>0611-34</t>
        </is>
      </c>
      <c r="AY2274" t="inlineStr">
        <is>
          <t>Beslut</t>
        </is>
      </c>
      <c r="AZ2274" t="inlineStr">
        <is>
          <t>2026-02-03</t>
        </is>
      </c>
      <c r="BA2274" t="inlineStr">
        <is>
          <t>SAM-2025-1751.3227..pdf</t>
        </is>
      </c>
      <c r="BB2274" t="inlineStr">
        <is>
          <t>Sv: till registrator</t>
        </is>
      </c>
      <c r="BC2274" t="inlineStr">
        <is>
          <t>AUTO</t>
        </is>
      </c>
      <c r="BD2274" t="inlineStr"/>
      <c r="BE2274" t="inlineStr"/>
      <c r="BF2274" t="inlineStr">
        <is>
          <t>AUTO_GENERERAD. Bekrafta metadata mot kallfil.</t>
        </is>
      </c>
      <c r="BG2274">
        <f>HYPERLINK("C:\Users\jimmy\Desktop\Examens arbete\Kod\Ny mapp\remix_-copy-of-miljöbeslut.se-portal\SAM-2025-1751.3227..pdf", "Öppna PDF")</f>
        <v/>
      </c>
    </row>
    <row r="2275">
      <c r="A2275" t="inlineStr">
        <is>
          <t>KRAV-AUTO-002274</t>
        </is>
      </c>
      <c r="B2275" t="inlineStr">
        <is>
          <t>ADMIN-INDEX-2026-02-27-00000000125C043F57453246863FE664CAFE6A3F0700950291EA24F0614FB6ACEDB12BF0E31D00000000010C0000950291EA24F0614FB6ACEDB12BF0E31D00002087B1B90000</t>
        </is>
      </c>
      <c r="C2275" t="inlineStr">
        <is>
          <t>cmm4yunab00hwcuqwz94gvtyf</t>
        </is>
      </c>
      <c r="D2275" t="inlineStr">
        <is>
          <t>http://localhost:8787/api/admin/requirements/documents/cmm4yunab00hwcuqwz94gvtyf/view</t>
        </is>
      </c>
      <c r="E2275">
        <f>HYPERLÄNK("http://localhost:8787/api/admin/requirements/documents/cmm4yunab00hwcuqwz94gvtyf/view";"Öppna PDF")</f>
        <v/>
      </c>
      <c r="F2275">
        <f>HYPERLINK("http://localhost:8787/api/admin/requirements/documents/cmm4yunab00hwcuqwz94gvtyf/view","Open PDF")</f>
        <v/>
      </c>
      <c r="G2275" t="inlineStr">
        <is>
          <t>cmm55w57p0004cuisfrtpqly8</t>
        </is>
      </c>
      <c r="H2275" t="inlineStr">
        <is>
          <t>Beslutsvillkor</t>
        </is>
      </c>
      <c r="I2275" t="inlineStr">
        <is>
          <t>Ytkonstruktion</t>
        </is>
      </c>
      <c r="J2275" t="inlineStr">
        <is>
          <t>Tat yta</t>
        </is>
      </c>
      <c r="K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L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M2275" t="inlineStr">
        <is>
          <t>SKA</t>
        </is>
      </c>
      <c r="N2275" t="inlineStr">
        <is>
          <t>Miljobalken</t>
        </is>
      </c>
      <c r="O2275" t="inlineStr"/>
      <c r="P2275" t="inlineStr"/>
      <c r="Q2275" t="inlineStr"/>
      <c r="R2275" t="inlineStr">
        <is>
          <t>Vid mellanlagring av avfall</t>
        </is>
      </c>
      <c r="S2275" t="inlineStr"/>
      <c r="T2275" t="inlineStr">
        <is>
          <t>34 80 00</t>
        </is>
      </c>
      <c r="U2275" t="inlineStr"/>
      <c r="V2275" t="inlineStr"/>
      <c r="W2275" t="inlineStr">
        <is>
          <t>Ja</t>
        </is>
      </c>
      <c r="X2275" t="inlineStr">
        <is>
          <t>Nej</t>
        </is>
      </c>
      <c r="Y2275" t="inlineStr">
        <is>
          <t>Nej</t>
        </is>
      </c>
      <c r="Z2275" t="inlineStr">
        <is>
          <t>Nej</t>
        </is>
      </c>
      <c r="AA2275" t="n">
        <v>5</v>
      </c>
      <c r="AB2275" t="inlineStr">
        <is>
          <t>Teknisk beskrivning av platta</t>
        </is>
      </c>
      <c r="AC2275" t="inlineStr">
        <is>
          <t>Teknisk ritning platta</t>
        </is>
      </c>
      <c r="AD2275" t="inlineStr">
        <is>
          <t>Nej</t>
        </is>
      </c>
      <c r="AE2275" t="inlineStr">
        <is>
          <t>Nej</t>
        </is>
      </c>
      <c r="AF2275" t="inlineStr">
        <is>
          <t>Ej behandlad</t>
        </is>
      </c>
      <c r="AG2275" t="inlineStr">
        <is>
          <t>AUTO_GENERERAD. Verifiera citat mot kallfil.</t>
        </is>
      </c>
      <c r="AH2275" t="inlineStr">
        <is>
          <t>HIGH</t>
        </is>
      </c>
      <c r="AI2275" t="inlineStr">
        <is>
          <t>AUTO</t>
        </is>
      </c>
      <c r="AJ2275" t="inlineStr">
        <is>
          <t>Nej</t>
        </is>
      </c>
      <c r="AK2275" t="inlineStr"/>
      <c r="AL2275" t="inlineStr"/>
      <c r="AM2275" t="inlineStr"/>
      <c r="AN2275" t="inlineStr"/>
      <c r="AO2275" t="inlineStr">
        <is>
          <t>cmm4yunae00hzcuqwnui6ixvv</t>
        </is>
      </c>
      <c r="AP2275" t="inlineStr">
        <is>
          <t>http://localhost:8787/api/admin/requirements/documents/cmm4yunae00hzcuqwnui6ixvv/view</t>
        </is>
      </c>
      <c r="AQ2275">
        <f>HYPERLÄNK("http://localhost:8787/api/admin/requirements/documents/cmm4yunae00hzcuqwnui6ixvv/view";"Öppna PDF")</f>
        <v/>
      </c>
      <c r="AR2275">
        <f>HYPERLINK("http://localhost:8787/api/admin/requirements/documents/cmm4yunae00hzcuqwnui6ixvv/view","Open PDF")</f>
        <v/>
      </c>
      <c r="AS2275" t="inlineStr">
        <is>
          <t>cmm55w57p0004cuisfrtpqly8</t>
        </is>
      </c>
      <c r="AT2275" t="inlineStr">
        <is>
          <t>cmm4xvu980000cuh4vj0usz09</t>
        </is>
      </c>
      <c r="AU2275" t="inlineStr">
        <is>
          <t>pdf Postadress Härnösands</t>
        </is>
      </c>
      <c r="AV2275" t="inlineStr">
        <is>
          <t>Kommun</t>
        </is>
      </c>
      <c r="AW2275" t="inlineStr">
        <is>
          <t>pdf Postadress Härnösands kommun</t>
        </is>
      </c>
      <c r="AX2275" t="inlineStr">
        <is>
          <t>0611-34</t>
        </is>
      </c>
      <c r="AY2275" t="inlineStr">
        <is>
          <t>Beslut</t>
        </is>
      </c>
      <c r="AZ2275" t="inlineStr">
        <is>
          <t>2026-02-03</t>
        </is>
      </c>
      <c r="BA2275" t="inlineStr">
        <is>
          <t>SAM-2025-1751.3227..pdf</t>
        </is>
      </c>
      <c r="BB2275" t="inlineStr">
        <is>
          <t>Sv: till registrator</t>
        </is>
      </c>
      <c r="BC2275" t="inlineStr">
        <is>
          <t>AUTO</t>
        </is>
      </c>
      <c r="BD2275" t="inlineStr"/>
      <c r="BE2275" t="inlineStr"/>
      <c r="BF2275" t="inlineStr">
        <is>
          <t>AUTO_GENERERAD. Bekrafta metadata mot kallfil.</t>
        </is>
      </c>
      <c r="BG2275">
        <f>HYPERLINK("C:\Users\jimmy\Desktop\Examens arbete\Kod\Ny mapp\remix_-copy-of-miljöbeslut.se-portal\SAM-2025-1751.3227..pdf", "Öppna PDF")</f>
        <v/>
      </c>
    </row>
    <row r="2276">
      <c r="A2276" t="inlineStr">
        <is>
          <t>KRAV-AUTO-002275</t>
        </is>
      </c>
      <c r="B2276" t="inlineStr">
        <is>
          <t>ADMIN-INDEX-2026-02-27-00000000125C043F57453246863FE664CAFE6A3F0700950291EA24F0614FB6ACEDB12BF0E31D00000000010C0000950291EA24F0614FB6ACEDB12BF0E31D00002087B1B90000</t>
        </is>
      </c>
      <c r="C2276" t="inlineStr">
        <is>
          <t>cmm4yunab00hwcuqwz94gvtyf</t>
        </is>
      </c>
      <c r="D2276" t="inlineStr">
        <is>
          <t>http://localhost:8787/api/admin/requirements/documents/cmm4yunab00hwcuqwz94gvtyf/view</t>
        </is>
      </c>
      <c r="E2276">
        <f>HYPERLÄNK("http://localhost:8787/api/admin/requirements/documents/cmm4yunab00hwcuqwz94gvtyf/view";"Öppna PDF")</f>
        <v/>
      </c>
      <c r="F2276">
        <f>HYPERLINK("http://localhost:8787/api/admin/requirements/documents/cmm4yunab00hwcuqwz94gvtyf/view","Open PDF")</f>
        <v/>
      </c>
      <c r="G2276" t="inlineStr">
        <is>
          <t>cmm55w57p0004cuisfrtpqly8</t>
        </is>
      </c>
      <c r="H2276" t="inlineStr">
        <is>
          <t>Beslutsvillkor</t>
        </is>
      </c>
      <c r="I2276" t="inlineStr">
        <is>
          <t>Riskhantering</t>
        </is>
      </c>
      <c r="J2276" t="inlineStr">
        <is>
          <t>Riskkontroll</t>
        </is>
      </c>
      <c r="K2276" t="inlineStr">
        <is>
          <t>att det organisatoriska ansvaret ska vara fastställt och dokumenterat samt att rutiner ska finnas att till exempel utrustning hålls i gott skick.</t>
        </is>
      </c>
      <c r="L2276" t="inlineStr">
        <is>
          <t>att det organisatoriska ansvaret ska vara fastställt och dokumenterat samt att rutiner ska finnas att till exempel utrustning hålls i gott skick.</t>
        </is>
      </c>
      <c r="M2276" t="inlineStr">
        <is>
          <t>SKA</t>
        </is>
      </c>
      <c r="N2276" t="inlineStr"/>
      <c r="O2276" t="inlineStr"/>
      <c r="P2276" t="inlineStr"/>
      <c r="Q2276" t="inlineStr"/>
      <c r="R2276" t="inlineStr">
        <is>
          <t>Vid risk for incident</t>
        </is>
      </c>
      <c r="S2276" t="inlineStr"/>
      <c r="T2276" t="inlineStr">
        <is>
          <t>34 80 00</t>
        </is>
      </c>
      <c r="U2276" t="inlineStr"/>
      <c r="V2276" t="inlineStr"/>
      <c r="W2276" t="inlineStr">
        <is>
          <t>Nej</t>
        </is>
      </c>
      <c r="X2276" t="inlineStr">
        <is>
          <t>Nej</t>
        </is>
      </c>
      <c r="Y2276" t="inlineStr">
        <is>
          <t>Ja</t>
        </is>
      </c>
      <c r="Z2276" t="inlineStr">
        <is>
          <t>Ja</t>
        </is>
      </c>
      <c r="AA2276" t="n">
        <v>8</v>
      </c>
      <c r="AB2276" t="inlineStr">
        <is>
          <t>Riskhantering</t>
        </is>
      </c>
      <c r="AC2276" t="inlineStr">
        <is>
          <t>Risk-PM</t>
        </is>
      </c>
      <c r="AD2276" t="inlineStr">
        <is>
          <t>Nej</t>
        </is>
      </c>
      <c r="AE2276" t="inlineStr">
        <is>
          <t>Nej</t>
        </is>
      </c>
      <c r="AF2276" t="inlineStr">
        <is>
          <t>Ej behandlad</t>
        </is>
      </c>
      <c r="AG2276" t="inlineStr">
        <is>
          <t>AUTO_GENERERAD. Verifiera citat mot kallfil.</t>
        </is>
      </c>
      <c r="AH2276" t="inlineStr">
        <is>
          <t>MEDIUM</t>
        </is>
      </c>
      <c r="AI2276" t="inlineStr">
        <is>
          <t>AUTO</t>
        </is>
      </c>
      <c r="AJ2276" t="inlineStr">
        <is>
          <t>Nej</t>
        </is>
      </c>
      <c r="AK2276" t="inlineStr"/>
      <c r="AL2276" t="inlineStr"/>
      <c r="AM2276" t="inlineStr"/>
      <c r="AN2276" t="inlineStr"/>
      <c r="AO2276" t="inlineStr">
        <is>
          <t>cmm4yunae00hzcuqwnui6ixvv</t>
        </is>
      </c>
      <c r="AP2276" t="inlineStr">
        <is>
          <t>http://localhost:8787/api/admin/requirements/documents/cmm4yunae00hzcuqwnui6ixvv/view</t>
        </is>
      </c>
      <c r="AQ2276">
        <f>HYPERLÄNK("http://localhost:8787/api/admin/requirements/documents/cmm4yunae00hzcuqwnui6ixvv/view";"Öppna PDF")</f>
        <v/>
      </c>
      <c r="AR2276">
        <f>HYPERLINK("http://localhost:8787/api/admin/requirements/documents/cmm4yunae00hzcuqwnui6ixvv/view","Open PDF")</f>
        <v/>
      </c>
      <c r="AS2276" t="inlineStr">
        <is>
          <t>cmm55w57p0004cuisfrtpqly8</t>
        </is>
      </c>
      <c r="AT2276" t="inlineStr">
        <is>
          <t>cmm4xvu980000cuh4vj0usz09</t>
        </is>
      </c>
      <c r="AU2276" t="inlineStr">
        <is>
          <t>pdf Postadress Härnösands</t>
        </is>
      </c>
      <c r="AV2276" t="inlineStr">
        <is>
          <t>Kommun</t>
        </is>
      </c>
      <c r="AW2276" t="inlineStr">
        <is>
          <t>pdf Postadress Härnösands kommun</t>
        </is>
      </c>
      <c r="AX2276" t="inlineStr">
        <is>
          <t>0611-34</t>
        </is>
      </c>
      <c r="AY2276" t="inlineStr">
        <is>
          <t>Beslut</t>
        </is>
      </c>
      <c r="AZ2276" t="inlineStr">
        <is>
          <t>2026-02-03</t>
        </is>
      </c>
      <c r="BA2276" t="inlineStr">
        <is>
          <t>SAM-2025-1751.3227..pdf</t>
        </is>
      </c>
      <c r="BB2276" t="inlineStr">
        <is>
          <t>Sv: till registrator</t>
        </is>
      </c>
      <c r="BC2276" t="inlineStr">
        <is>
          <t>AUTO</t>
        </is>
      </c>
      <c r="BD2276" t="inlineStr"/>
      <c r="BE2276" t="inlineStr"/>
      <c r="BF2276" t="inlineStr">
        <is>
          <t>AUTO_GENERERAD. Bekrafta metadata mot kallfil.</t>
        </is>
      </c>
      <c r="BG2276">
        <f>HYPERLINK("C:\Users\jimmy\Desktop\Examens arbete\Kod\Ny mapp\remix_-copy-of-miljöbeslut.se-portal\SAM-2025-1751.3227..pdf", "Öppna PDF")</f>
        <v/>
      </c>
    </row>
    <row r="2277">
      <c r="A2277" t="inlineStr">
        <is>
          <t>KRAV-AUTO-002276</t>
        </is>
      </c>
      <c r="B2277" t="inlineStr">
        <is>
          <t>ADMIN-INDEX-2026-02-27-00000000125C043F57453246863FE664CAFE6A3F0700950291EA24F0614FB6ACEDB12BF0E31D00000000010C0000950291EA24F0614FB6ACEDB12BF0E31D00002087B1B90000</t>
        </is>
      </c>
      <c r="C2277" t="inlineStr">
        <is>
          <t>cmm4yunab00hwcuqwz94gvtyf</t>
        </is>
      </c>
      <c r="D2277" t="inlineStr">
        <is>
          <t>http://localhost:8787/api/admin/requirements/documents/cmm4yunab00hwcuqwz94gvtyf/view</t>
        </is>
      </c>
      <c r="E2277">
        <f>HYPERLÄNK("http://localhost:8787/api/admin/requirements/documents/cmm4yunab00hwcuqwz94gvtyf/view";"Öppna PDF")</f>
        <v/>
      </c>
      <c r="F2277">
        <f>HYPERLINK("http://localhost:8787/api/admin/requirements/documents/cmm4yunab00hwcuqwz94gvtyf/view","Open PDF")</f>
        <v/>
      </c>
      <c r="G2277" t="inlineStr">
        <is>
          <t>cmm55w57p0004cuisfrtpqly8</t>
        </is>
      </c>
      <c r="H2277" t="inlineStr">
        <is>
          <t>Beslutsvillkor</t>
        </is>
      </c>
      <c r="I2277" t="inlineStr">
        <is>
          <t>DagvattenLakvatten</t>
        </is>
      </c>
      <c r="J2277" t="inlineStr">
        <is>
          <t>Uppsamling</t>
        </is>
      </c>
      <c r="K2277" t="inlineStr">
        <is>
          <t>Massorna ska vara kvalitetssäkrade så att föroreningsrisken är ringa vilket innebär att enbart massor som har en föroreningshalt understigande riktlinjerna för MKM (Mindre Känslig Markanvändning) får användas.</t>
        </is>
      </c>
      <c r="L2277" t="inlineStr">
        <is>
          <t>Massorna ska vara kvalitetssäkrade så att föroreningsrisken är ringa vilket innebär att enbart massor som har en föroreningshalt understigande riktlinjerna för MKM (Mindre Känslig Markanvändning) får användas.</t>
        </is>
      </c>
      <c r="M2277" t="inlineStr">
        <is>
          <t>SKA</t>
        </is>
      </c>
      <c r="N2277" t="inlineStr"/>
      <c r="O2277" t="inlineStr"/>
      <c r="P2277" t="inlineStr"/>
      <c r="Q2277" t="inlineStr"/>
      <c r="R2277" t="inlineStr">
        <is>
          <t>Vid nederbord och avrinning</t>
        </is>
      </c>
      <c r="S2277" t="inlineStr"/>
      <c r="T2277" t="inlineStr">
        <is>
          <t>34 80 00</t>
        </is>
      </c>
      <c r="U2277" t="inlineStr"/>
      <c r="V2277" t="inlineStr"/>
      <c r="W2277" t="inlineStr">
        <is>
          <t>Nej</t>
        </is>
      </c>
      <c r="X2277" t="inlineStr">
        <is>
          <t>Ja</t>
        </is>
      </c>
      <c r="Y2277" t="inlineStr">
        <is>
          <t>Ja</t>
        </is>
      </c>
      <c r="Z2277" t="inlineStr">
        <is>
          <t>Nej</t>
        </is>
      </c>
      <c r="AA2277" t="n">
        <v>6</v>
      </c>
      <c r="AB2277" t="inlineStr">
        <is>
          <t>Lakvattenhantering</t>
        </is>
      </c>
      <c r="AC2277" t="inlineStr">
        <is>
          <t>Flodesschema dagvatten-lakvatten</t>
        </is>
      </c>
      <c r="AD2277" t="inlineStr">
        <is>
          <t>Nej</t>
        </is>
      </c>
      <c r="AE2277" t="inlineStr">
        <is>
          <t>Nej</t>
        </is>
      </c>
      <c r="AF2277" t="inlineStr">
        <is>
          <t>Ej behandlad</t>
        </is>
      </c>
      <c r="AG2277" t="inlineStr">
        <is>
          <t>AUTO_GENERERAD. Verifiera citat mot kallfil.</t>
        </is>
      </c>
      <c r="AH2277" t="inlineStr">
        <is>
          <t>MEDIUM</t>
        </is>
      </c>
      <c r="AI2277" t="inlineStr">
        <is>
          <t>AUTO</t>
        </is>
      </c>
      <c r="AJ2277" t="inlineStr">
        <is>
          <t>Nej</t>
        </is>
      </c>
      <c r="AK2277" t="inlineStr"/>
      <c r="AL2277" t="inlineStr"/>
      <c r="AM2277" t="inlineStr"/>
      <c r="AN2277" t="inlineStr"/>
      <c r="AO2277" t="inlineStr">
        <is>
          <t>cmm4yunae00hzcuqwnui6ixvv</t>
        </is>
      </c>
      <c r="AP2277" t="inlineStr">
        <is>
          <t>http://localhost:8787/api/admin/requirements/documents/cmm4yunae00hzcuqwnui6ixvv/view</t>
        </is>
      </c>
      <c r="AQ2277">
        <f>HYPERLÄNK("http://localhost:8787/api/admin/requirements/documents/cmm4yunae00hzcuqwnui6ixvv/view";"Öppna PDF")</f>
        <v/>
      </c>
      <c r="AR2277">
        <f>HYPERLINK("http://localhost:8787/api/admin/requirements/documents/cmm4yunae00hzcuqwnui6ixvv/view","Open PDF")</f>
        <v/>
      </c>
      <c r="AS2277" t="inlineStr">
        <is>
          <t>cmm55w57p0004cuisfrtpqly8</t>
        </is>
      </c>
      <c r="AT2277" t="inlineStr">
        <is>
          <t>cmm4xvu980000cuh4vj0usz09</t>
        </is>
      </c>
      <c r="AU2277" t="inlineStr">
        <is>
          <t>pdf Postadress Härnösands</t>
        </is>
      </c>
      <c r="AV2277" t="inlineStr">
        <is>
          <t>Kommun</t>
        </is>
      </c>
      <c r="AW2277" t="inlineStr">
        <is>
          <t>pdf Postadress Härnösands kommun</t>
        </is>
      </c>
      <c r="AX2277" t="inlineStr">
        <is>
          <t>0611-34</t>
        </is>
      </c>
      <c r="AY2277" t="inlineStr">
        <is>
          <t>Beslut</t>
        </is>
      </c>
      <c r="AZ2277" t="inlineStr">
        <is>
          <t>2026-02-03</t>
        </is>
      </c>
      <c r="BA2277" t="inlineStr">
        <is>
          <t>SAM-2025-1751.3227..pdf</t>
        </is>
      </c>
      <c r="BB2277" t="inlineStr">
        <is>
          <t>Sv: till registrator</t>
        </is>
      </c>
      <c r="BC2277" t="inlineStr">
        <is>
          <t>AUTO</t>
        </is>
      </c>
      <c r="BD2277" t="inlineStr"/>
      <c r="BE2277" t="inlineStr"/>
      <c r="BF2277" t="inlineStr">
        <is>
          <t>AUTO_GENERERAD. Bekrafta metadata mot kallfil.</t>
        </is>
      </c>
      <c r="BG2277">
        <f>HYPERLINK("C:\Users\jimmy\Desktop\Examens arbete\Kod\Ny mapp\remix_-copy-of-miljöbeslut.se-portal\SAM-2025-1751.3227..pdf", "Öppna PDF")</f>
        <v/>
      </c>
    </row>
    <row r="2278">
      <c r="A2278" t="inlineStr">
        <is>
          <t>KRAV-AUTO-002277</t>
        </is>
      </c>
      <c r="B2278" t="inlineStr">
        <is>
          <t>ADMIN-INDEX-2026-02-27-00000000125C043F57453246863FE664CAFE6A3F0700950291EA24F0614FB6ACEDB12BF0E31D00000000010C0000950291EA24F0614FB6ACEDB12BF0E31D00002087B1C20000</t>
        </is>
      </c>
      <c r="C2278" t="inlineStr">
        <is>
          <t>cmm4yuna800htcuqw71t1am01</t>
        </is>
      </c>
      <c r="D2278" t="inlineStr">
        <is>
          <t>http://localhost:8787/api/admin/requirements/documents/cmm4yuna800htcuqw71t1am01/view</t>
        </is>
      </c>
      <c r="E2278">
        <f>HYPERLÄNK("http://localhost:8787/api/admin/requirements/documents/cmm4yuna800htcuqw71t1am01/view";"Öppna PDF")</f>
        <v/>
      </c>
      <c r="F2278">
        <f>HYPERLINK("http://localhost:8787/api/admin/requirements/documents/cmm4yuna800htcuqw71t1am01/view","Open PDF")</f>
        <v/>
      </c>
      <c r="G2278" t="inlineStr">
        <is>
          <t>cmm55w57p0004cuisfrtpqly8</t>
        </is>
      </c>
      <c r="H2278" t="inlineStr">
        <is>
          <t>Beslutsvillkor</t>
        </is>
      </c>
      <c r="I2278" t="inlineStr">
        <is>
          <t>DriftEgenkontroll</t>
        </is>
      </c>
      <c r="J2278" t="inlineStr">
        <is>
          <t>Journalforing</t>
        </is>
      </c>
      <c r="K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2025-12-23 2025-12-08 Analyserna påbörjades: Provmärkning: 177-2025-09150453 Provtagningsplats: E6 Getinge Analys Resultat Enhet Metod/ref Mäto.</t>
        </is>
      </c>
      <c r="L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t>
        </is>
      </c>
      <c r="M2278" t="inlineStr">
        <is>
          <t>SKA</t>
        </is>
      </c>
      <c r="N2278" t="inlineStr"/>
      <c r="O2278" t="inlineStr">
        <is>
          <t>2025-09-12</t>
        </is>
      </c>
      <c r="P2278" t="inlineStr"/>
      <c r="Q2278" t="inlineStr"/>
      <c r="R2278" t="inlineStr">
        <is>
          <t>Lopande drift</t>
        </is>
      </c>
      <c r="S2278" t="inlineStr"/>
      <c r="T2278" t="inlineStr">
        <is>
          <t>10 2025</t>
        </is>
      </c>
      <c r="U2278" t="inlineStr"/>
      <c r="V2278" t="inlineStr"/>
      <c r="W2278" t="inlineStr">
        <is>
          <t>Nej</t>
        </is>
      </c>
      <c r="X2278" t="inlineStr">
        <is>
          <t>Nej</t>
        </is>
      </c>
      <c r="Y2278" t="inlineStr">
        <is>
          <t>Ja</t>
        </is>
      </c>
      <c r="Z2278" t="inlineStr">
        <is>
          <t>Nej</t>
        </is>
      </c>
      <c r="AA2278" t="n">
        <v>7</v>
      </c>
      <c r="AB2278" t="inlineStr">
        <is>
          <t>Egenkontrollrutiner</t>
        </is>
      </c>
      <c r="AC2278" t="inlineStr">
        <is>
          <t>Egenkontrollprogram</t>
        </is>
      </c>
      <c r="AD2278" t="inlineStr">
        <is>
          <t>Nej</t>
        </is>
      </c>
      <c r="AE2278" t="inlineStr">
        <is>
          <t>Nej</t>
        </is>
      </c>
      <c r="AF2278" t="inlineStr">
        <is>
          <t>Ej behandlad</t>
        </is>
      </c>
      <c r="AG2278" t="inlineStr">
        <is>
          <t>AUTO_GENERERAD. Verifiera citat mot kallfil.</t>
        </is>
      </c>
      <c r="AH2278" t="inlineStr">
        <is>
          <t>MEDIUM</t>
        </is>
      </c>
      <c r="AI2278" t="inlineStr">
        <is>
          <t>AUTO</t>
        </is>
      </c>
      <c r="AJ2278" t="inlineStr">
        <is>
          <t>Nej</t>
        </is>
      </c>
      <c r="AK2278" t="inlineStr"/>
      <c r="AL2278" t="inlineStr"/>
      <c r="AM2278" t="inlineStr"/>
      <c r="AN2278" t="inlineStr"/>
      <c r="AO2278" t="inlineStr">
        <is>
          <t>cmm4yuna800htcuqw71t1am01</t>
        </is>
      </c>
      <c r="AP2278" t="inlineStr">
        <is>
          <t>http://localhost:8787/api/admin/requirements/documents/cmm4yuna800htcuqw71t1am01/view</t>
        </is>
      </c>
      <c r="AQ2278">
        <f>HYPERLÄNK("http://localhost:8787/api/admin/requirements/documents/cmm4yuna800htcuqw71t1am01/view";"Öppna PDF")</f>
        <v/>
      </c>
      <c r="AR2278">
        <f>HYPERLINK("http://localhost:8787/api/admin/requirements/documents/cmm4yuna800htcuqw71t1am01/view","Open PDF")</f>
        <v/>
      </c>
      <c r="AS2278" t="inlineStr">
        <is>
          <t>cmm55w57p0004cuisfrtpqly8</t>
        </is>
      </c>
      <c r="AT2278" t="inlineStr">
        <is>
          <t>cmm4xvu980000cuh4vj0usz09</t>
        </is>
      </c>
      <c r="AU2278" t="inlineStr"/>
      <c r="AV2278" t="inlineStr">
        <is>
          <t>Kommun</t>
        </is>
      </c>
      <c r="AW2278" t="inlineStr"/>
      <c r="AX2278" t="inlineStr">
        <is>
          <t>2025-12081039</t>
        </is>
      </c>
      <c r="AY2278" t="inlineStr">
        <is>
          <t>Beslut</t>
        </is>
      </c>
      <c r="AZ2278" t="inlineStr">
        <is>
          <t>2026-02-03</t>
        </is>
      </c>
      <c r="BA2278" t="inlineStr">
        <is>
          <t>260201-Massor.pdf</t>
        </is>
      </c>
      <c r="BB2278" t="inlineStr">
        <is>
          <t>efterfrågade handlingar</t>
        </is>
      </c>
      <c r="BC2278" t="inlineStr">
        <is>
          <t>AUTO</t>
        </is>
      </c>
      <c r="BD2278" t="inlineStr"/>
      <c r="BE2278" t="inlineStr"/>
      <c r="BF2278" t="inlineStr">
        <is>
          <t>AUTO_GENERERAD. Bekrafta metadata mot kallfil.</t>
        </is>
      </c>
      <c r="BG2278">
        <f>HYPERLINK("C:\Users\jimmy\Desktop\Examens arbete\Kod\Ny mapp\remix_-copy-of-miljöbeslut.se-portal\260201-Massor.pdf", "Öppna PDF")</f>
        <v/>
      </c>
    </row>
    <row r="2279">
      <c r="A2279" t="inlineStr">
        <is>
          <t>KRAV-AUTO-002278</t>
        </is>
      </c>
      <c r="B2279" t="inlineStr">
        <is>
          <t>ADMIN-INDEX-2026-02-27-00000000125C043F57453246863FE664CAFE6A3F0700950291EA24F0614FB6ACEDB12BF0E31D00000000010C0000950291EA24F0614FB6ACEDB12BF0E31D00002087B1C20000</t>
        </is>
      </c>
      <c r="C2279" t="inlineStr">
        <is>
          <t>cmm4yuna800htcuqw71t1am01</t>
        </is>
      </c>
      <c r="D2279" t="inlineStr">
        <is>
          <t>http://localhost:8787/api/admin/requirements/documents/cmm4yuna800htcuqw71t1am01/view</t>
        </is>
      </c>
      <c r="E2279">
        <f>HYPERLÄNK("http://localhost:8787/api/admin/requirements/documents/cmm4yuna800htcuqw71t1am01/view";"Öppna PDF")</f>
        <v/>
      </c>
      <c r="F2279">
        <f>HYPERLINK("http://localhost:8787/api/admin/requirements/documents/cmm4yuna800htcuqw71t1am01/view","Open PDF")</f>
        <v/>
      </c>
      <c r="G2279" t="inlineStr">
        <is>
          <t>cmm55w57p0004cuisfrtpqly8</t>
        </is>
      </c>
      <c r="H2279" t="inlineStr">
        <is>
          <t>Beslutsvillkor</t>
        </is>
      </c>
      <c r="I2279" t="inlineStr">
        <is>
          <t>DriftEgenkontroll</t>
        </is>
      </c>
      <c r="J2279" t="inlineStr">
        <is>
          <t>Journalforing</t>
        </is>
      </c>
      <c r="K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2025-12-23 2025-12-08 Analyserna påbörjades: Provmärkning: 177-2025-09150183 Provtagningsplats: E6 Getinge Analys Resultat Enhet Metod/ref Mäto.</t>
        </is>
      </c>
      <c r="L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t>
        </is>
      </c>
      <c r="M2279" t="inlineStr">
        <is>
          <t>SKA</t>
        </is>
      </c>
      <c r="N2279" t="inlineStr"/>
      <c r="O2279" t="inlineStr">
        <is>
          <t>2025-09-12</t>
        </is>
      </c>
      <c r="P2279" t="inlineStr"/>
      <c r="Q2279" t="inlineStr"/>
      <c r="R2279" t="inlineStr">
        <is>
          <t>Lopande drift</t>
        </is>
      </c>
      <c r="S2279" t="inlineStr"/>
      <c r="T2279" t="inlineStr">
        <is>
          <t>10 2025</t>
        </is>
      </c>
      <c r="U2279" t="inlineStr"/>
      <c r="V2279" t="inlineStr"/>
      <c r="W2279" t="inlineStr">
        <is>
          <t>Nej</t>
        </is>
      </c>
      <c r="X2279" t="inlineStr">
        <is>
          <t>Nej</t>
        </is>
      </c>
      <c r="Y2279" t="inlineStr">
        <is>
          <t>Ja</t>
        </is>
      </c>
      <c r="Z2279" t="inlineStr">
        <is>
          <t>Nej</t>
        </is>
      </c>
      <c r="AA2279" t="n">
        <v>7</v>
      </c>
      <c r="AB2279" t="inlineStr">
        <is>
          <t>Egenkontrollrutiner</t>
        </is>
      </c>
      <c r="AC2279" t="inlineStr">
        <is>
          <t>Egenkontrollprogram</t>
        </is>
      </c>
      <c r="AD2279" t="inlineStr">
        <is>
          <t>Nej</t>
        </is>
      </c>
      <c r="AE2279" t="inlineStr">
        <is>
          <t>Nej</t>
        </is>
      </c>
      <c r="AF2279" t="inlineStr">
        <is>
          <t>Ej behandlad</t>
        </is>
      </c>
      <c r="AG2279" t="inlineStr">
        <is>
          <t>AUTO_GENERERAD. Verifiera citat mot kallfil.</t>
        </is>
      </c>
      <c r="AH2279" t="inlineStr">
        <is>
          <t>MEDIUM</t>
        </is>
      </c>
      <c r="AI2279" t="inlineStr">
        <is>
          <t>AUTO</t>
        </is>
      </c>
      <c r="AJ2279" t="inlineStr">
        <is>
          <t>Nej</t>
        </is>
      </c>
      <c r="AK2279" t="inlineStr"/>
      <c r="AL2279" t="inlineStr"/>
      <c r="AM2279" t="inlineStr"/>
      <c r="AN2279" t="inlineStr"/>
      <c r="AO2279" t="inlineStr">
        <is>
          <t>cmm4yuna800htcuqw71t1am01</t>
        </is>
      </c>
      <c r="AP2279" t="inlineStr">
        <is>
          <t>http://localhost:8787/api/admin/requirements/documents/cmm4yuna800htcuqw71t1am01/view</t>
        </is>
      </c>
      <c r="AQ2279">
        <f>HYPERLÄNK("http://localhost:8787/api/admin/requirements/documents/cmm4yuna800htcuqw71t1am01/view";"Öppna PDF")</f>
        <v/>
      </c>
      <c r="AR2279">
        <f>HYPERLINK("http://localhost:8787/api/admin/requirements/documents/cmm4yuna800htcuqw71t1am01/view","Open PDF")</f>
        <v/>
      </c>
      <c r="AS2279" t="inlineStr">
        <is>
          <t>cmm55w57p0004cuisfrtpqly8</t>
        </is>
      </c>
      <c r="AT2279" t="inlineStr">
        <is>
          <t>cmm4xvu980000cuh4vj0usz09</t>
        </is>
      </c>
      <c r="AU2279" t="inlineStr"/>
      <c r="AV2279" t="inlineStr">
        <is>
          <t>Kommun</t>
        </is>
      </c>
      <c r="AW2279" t="inlineStr"/>
      <c r="AX2279" t="inlineStr">
        <is>
          <t>2025-12081039</t>
        </is>
      </c>
      <c r="AY2279" t="inlineStr">
        <is>
          <t>Beslut</t>
        </is>
      </c>
      <c r="AZ2279" t="inlineStr">
        <is>
          <t>2026-02-03</t>
        </is>
      </c>
      <c r="BA2279" t="inlineStr">
        <is>
          <t>260201-Massor.pdf</t>
        </is>
      </c>
      <c r="BB2279" t="inlineStr">
        <is>
          <t>efterfrågade handlingar</t>
        </is>
      </c>
      <c r="BC2279" t="inlineStr">
        <is>
          <t>AUTO</t>
        </is>
      </c>
      <c r="BD2279" t="inlineStr"/>
      <c r="BE2279" t="inlineStr"/>
      <c r="BF2279" t="inlineStr">
        <is>
          <t>AUTO_GENERERAD. Bekrafta metadata mot kallfil.</t>
        </is>
      </c>
      <c r="BG2279">
        <f>HYPERLINK("C:\Users\jimmy\Desktop\Examens arbete\Kod\Ny mapp\remix_-copy-of-miljöbeslut.se-portal\260201-Massor.pdf", "Öppna PDF")</f>
        <v/>
      </c>
    </row>
    <row r="2280">
      <c r="A2280" t="inlineStr">
        <is>
          <t>KRAV-AUTO-002279</t>
        </is>
      </c>
      <c r="B2280" t="inlineStr">
        <is>
          <t>ADMIN-INDEX-2026-02-27-00000000125C043F57453246863FE664CAFE6A3F0700950291EA24F0614FB6ACEDB12BF0E31D00000000010C0000950291EA24F0614FB6ACEDB12BF0E31D00002087B1C20000</t>
        </is>
      </c>
      <c r="C2280" t="inlineStr">
        <is>
          <t>cmm4yuna800htcuqw71t1am01</t>
        </is>
      </c>
      <c r="D2280" t="inlineStr">
        <is>
          <t>http://localhost:8787/api/admin/requirements/documents/cmm4yuna800htcuqw71t1am01/view</t>
        </is>
      </c>
      <c r="E2280">
        <f>HYPERLÄNK("http://localhost:8787/api/admin/requirements/documents/cmm4yuna800htcuqw71t1am01/view";"Öppna PDF")</f>
        <v/>
      </c>
      <c r="F2280">
        <f>HYPERLINK("http://localhost:8787/api/admin/requirements/documents/cmm4yuna800htcuqw71t1am01/view","Open PDF")</f>
        <v/>
      </c>
      <c r="G2280" t="inlineStr">
        <is>
          <t>cmm55w57p0004cuisfrtpqly8</t>
        </is>
      </c>
      <c r="H2280" t="inlineStr">
        <is>
          <t>Beslutsvillkor</t>
        </is>
      </c>
      <c r="I2280" t="inlineStr">
        <is>
          <t>DriftEgenkontroll</t>
        </is>
      </c>
      <c r="J2280" t="inlineStr">
        <is>
          <t>Journalforing</t>
        </is>
      </c>
      <c r="K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2025-12-18 2025-12-08 Analyserna påbörjades: Provmärkning: 177-2025-09150187 Provtagningsplats: E6 Getinge Analys Resultat Enhet Metod/ref Mäto.</t>
        </is>
      </c>
      <c r="L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t>
        </is>
      </c>
      <c r="M2280" t="inlineStr">
        <is>
          <t>SKA</t>
        </is>
      </c>
      <c r="N2280" t="inlineStr"/>
      <c r="O2280" t="inlineStr">
        <is>
          <t>2025-09-12</t>
        </is>
      </c>
      <c r="P2280" t="inlineStr"/>
      <c r="Q2280" t="inlineStr"/>
      <c r="R2280" t="inlineStr">
        <is>
          <t>Lopande drift</t>
        </is>
      </c>
      <c r="S2280" t="inlineStr"/>
      <c r="T2280" t="inlineStr">
        <is>
          <t>10 2025</t>
        </is>
      </c>
      <c r="U2280" t="inlineStr"/>
      <c r="V2280" t="inlineStr"/>
      <c r="W2280" t="inlineStr">
        <is>
          <t>Nej</t>
        </is>
      </c>
      <c r="X2280" t="inlineStr">
        <is>
          <t>Nej</t>
        </is>
      </c>
      <c r="Y2280" t="inlineStr">
        <is>
          <t>Ja</t>
        </is>
      </c>
      <c r="Z2280" t="inlineStr">
        <is>
          <t>Nej</t>
        </is>
      </c>
      <c r="AA2280" t="n">
        <v>7</v>
      </c>
      <c r="AB2280" t="inlineStr">
        <is>
          <t>Egenkontrollrutiner</t>
        </is>
      </c>
      <c r="AC2280" t="inlineStr">
        <is>
          <t>Egenkontrollprogram</t>
        </is>
      </c>
      <c r="AD2280" t="inlineStr">
        <is>
          <t>Nej</t>
        </is>
      </c>
      <c r="AE2280" t="inlineStr">
        <is>
          <t>Nej</t>
        </is>
      </c>
      <c r="AF2280" t="inlineStr">
        <is>
          <t>Ej behandlad</t>
        </is>
      </c>
      <c r="AG2280" t="inlineStr">
        <is>
          <t>AUTO_GENERERAD. Verifiera citat mot kallfil.</t>
        </is>
      </c>
      <c r="AH2280" t="inlineStr">
        <is>
          <t>MEDIUM</t>
        </is>
      </c>
      <c r="AI2280" t="inlineStr">
        <is>
          <t>AUTO</t>
        </is>
      </c>
      <c r="AJ2280" t="inlineStr">
        <is>
          <t>Nej</t>
        </is>
      </c>
      <c r="AK2280" t="inlineStr"/>
      <c r="AL2280" t="inlineStr"/>
      <c r="AM2280" t="inlineStr"/>
      <c r="AN2280" t="inlineStr"/>
      <c r="AO2280" t="inlineStr">
        <is>
          <t>cmm4yuna800htcuqw71t1am01</t>
        </is>
      </c>
      <c r="AP2280" t="inlineStr">
        <is>
          <t>http://localhost:8787/api/admin/requirements/documents/cmm4yuna800htcuqw71t1am01/view</t>
        </is>
      </c>
      <c r="AQ2280">
        <f>HYPERLÄNK("http://localhost:8787/api/admin/requirements/documents/cmm4yuna800htcuqw71t1am01/view";"Öppna PDF")</f>
        <v/>
      </c>
      <c r="AR2280">
        <f>HYPERLINK("http://localhost:8787/api/admin/requirements/documents/cmm4yuna800htcuqw71t1am01/view","Open PDF")</f>
        <v/>
      </c>
      <c r="AS2280" t="inlineStr">
        <is>
          <t>cmm55w57p0004cuisfrtpqly8</t>
        </is>
      </c>
      <c r="AT2280" t="inlineStr">
        <is>
          <t>cmm4xvu980000cuh4vj0usz09</t>
        </is>
      </c>
      <c r="AU2280" t="inlineStr"/>
      <c r="AV2280" t="inlineStr">
        <is>
          <t>Kommun</t>
        </is>
      </c>
      <c r="AW2280" t="inlineStr"/>
      <c r="AX2280" t="inlineStr">
        <is>
          <t>2025-12081039</t>
        </is>
      </c>
      <c r="AY2280" t="inlineStr">
        <is>
          <t>Beslut</t>
        </is>
      </c>
      <c r="AZ2280" t="inlineStr">
        <is>
          <t>2026-02-03</t>
        </is>
      </c>
      <c r="BA2280" t="inlineStr">
        <is>
          <t>260201-Massor.pdf</t>
        </is>
      </c>
      <c r="BB2280" t="inlineStr">
        <is>
          <t>efterfrågade handlingar</t>
        </is>
      </c>
      <c r="BC2280" t="inlineStr">
        <is>
          <t>AUTO</t>
        </is>
      </c>
      <c r="BD2280" t="inlineStr"/>
      <c r="BE2280" t="inlineStr"/>
      <c r="BF2280" t="inlineStr">
        <is>
          <t>AUTO_GENERERAD. Bekrafta metadata mot kallfil.</t>
        </is>
      </c>
      <c r="BG2280">
        <f>HYPERLINK("C:\Users\jimmy\Desktop\Examens arbete\Kod\Ny mapp\remix_-copy-of-miljöbeslut.se-portal\260201-Massor.pdf", "Öppna PDF")</f>
        <v/>
      </c>
    </row>
    <row r="2281">
      <c r="A2281" t="inlineStr">
        <is>
          <t>KRAV-AUTO-002280</t>
        </is>
      </c>
      <c r="B2281" t="inlineStr">
        <is>
          <t>ADMIN-INDEX-2026-02-27-00000000125C043F57453246863FE664CAFE6A3F0700950291EA24F0614FB6ACEDB12BF0E31D00000000010C0000950291EA24F0614FB6ACEDB12BF0E31D00002087B1C20000</t>
        </is>
      </c>
      <c r="C2281" t="inlineStr">
        <is>
          <t>cmm4yuna500hqcuqwiwz0p0n0</t>
        </is>
      </c>
      <c r="D2281" t="inlineStr">
        <is>
          <t>http://localhost:8787/api/admin/requirements/documents/cmm4yuna500hqcuqwiwz0p0n0/view</t>
        </is>
      </c>
      <c r="E2281">
        <f>HYPERLÄNK("http://localhost:8787/api/admin/requirements/documents/cmm4yuna500hqcuqwiwz0p0n0/view";"Öppna PDF")</f>
        <v/>
      </c>
      <c r="F2281">
        <f>HYPERLINK("http://localhost:8787/api/admin/requirements/documents/cmm4yuna500hqcuqwiwz0p0n0/view","Open PDF")</f>
        <v/>
      </c>
      <c r="G2281" t="inlineStr">
        <is>
          <t>cmm55w57p0004cuisfrtpqly8</t>
        </is>
      </c>
      <c r="H2281" t="inlineStr">
        <is>
          <t>Beslutsvillkor</t>
        </is>
      </c>
      <c r="I2281" t="inlineStr">
        <is>
          <t>LagringsvolymTid</t>
        </is>
      </c>
      <c r="J2281" t="inlineStr">
        <is>
          <t>Maxmangd</t>
        </is>
      </c>
      <c r="K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Sally Johansson Falkenbergs Miljö- och hälsoskyddsnämnd 2026-02-01 Dnr M-2026-318/1 -- 1 of 14 -- Miljöteknisk markundersökning E6, Getinge Sid 2(14) Innehållsförteckning 1 Bakgrund och syfte .......................................................................................................................</t>
        </is>
      </c>
      <c r="L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t>
        </is>
      </c>
      <c r="M2281" t="inlineStr">
        <is>
          <t>SKA</t>
        </is>
      </c>
      <c r="N2281" t="inlineStr"/>
      <c r="O2281" t="inlineStr">
        <is>
          <t>2025-11-05</t>
        </is>
      </c>
      <c r="P2281" t="inlineStr"/>
      <c r="Q2281" t="inlineStr"/>
      <c r="R2281" t="inlineStr">
        <is>
          <t>Alltid</t>
        </is>
      </c>
      <c r="S2281" t="inlineStr"/>
      <c r="T2281" t="inlineStr">
        <is>
          <t>06 35 75</t>
        </is>
      </c>
      <c r="U2281" t="inlineStr"/>
      <c r="V2281" t="inlineStr"/>
      <c r="W2281" t="inlineStr">
        <is>
          <t>Nej</t>
        </is>
      </c>
      <c r="X2281" t="inlineStr">
        <is>
          <t>Nej</t>
        </is>
      </c>
      <c r="Y2281" t="inlineStr">
        <is>
          <t>Nej</t>
        </is>
      </c>
      <c r="Z2281" t="inlineStr">
        <is>
          <t>Nej</t>
        </is>
      </c>
      <c r="AA2281" t="n">
        <v>4</v>
      </c>
      <c r="AB2281" t="inlineStr">
        <is>
          <t>Avfallsmangder och lagringstid</t>
        </is>
      </c>
      <c r="AC2281" t="inlineStr">
        <is>
          <t>Avfallsforteckning</t>
        </is>
      </c>
      <c r="AD2281" t="inlineStr">
        <is>
          <t>Nej</t>
        </is>
      </c>
      <c r="AE2281" t="inlineStr">
        <is>
          <t>Nej</t>
        </is>
      </c>
      <c r="AF2281" t="inlineStr">
        <is>
          <t>Ej behandlad</t>
        </is>
      </c>
      <c r="AG2281" t="inlineStr">
        <is>
          <t>AUTO_GENERERAD. Verifiera citat mot kallfil.</t>
        </is>
      </c>
      <c r="AH2281" t="inlineStr">
        <is>
          <t>MEDIUM</t>
        </is>
      </c>
      <c r="AI2281" t="inlineStr">
        <is>
          <t>AUTO</t>
        </is>
      </c>
      <c r="AJ2281" t="inlineStr">
        <is>
          <t>Nej</t>
        </is>
      </c>
      <c r="AK2281" t="inlineStr"/>
      <c r="AL2281" t="inlineStr"/>
      <c r="AM2281" t="inlineStr"/>
      <c r="AN2281" t="inlineStr"/>
      <c r="AO2281" t="inlineStr">
        <is>
          <t>cmm4yuna800htcuqw71t1am01</t>
        </is>
      </c>
      <c r="AP2281" t="inlineStr">
        <is>
          <t>http://localhost:8787/api/admin/requirements/documents/cmm4yuna800htcuqw71t1am01/view</t>
        </is>
      </c>
      <c r="AQ2281">
        <f>HYPERLÄNK("http://localhost:8787/api/admin/requirements/documents/cmm4yuna800htcuqw71t1am01/view";"Öppna PDF")</f>
        <v/>
      </c>
      <c r="AR2281">
        <f>HYPERLINK("http://localhost:8787/api/admin/requirements/documents/cmm4yuna800htcuqw71t1am01/view","Open PDF")</f>
        <v/>
      </c>
      <c r="AS2281" t="inlineStr">
        <is>
          <t>cmm55w57p0004cuisfrtpqly8</t>
        </is>
      </c>
      <c r="AT2281" t="inlineStr">
        <is>
          <t>cmm4xvu980000cuh4vj0usz09</t>
        </is>
      </c>
      <c r="AU2281" t="inlineStr"/>
      <c r="AV2281" t="inlineStr">
        <is>
          <t>Kommun</t>
        </is>
      </c>
      <c r="AW2281" t="inlineStr"/>
      <c r="AX2281" t="inlineStr">
        <is>
          <t>2025-12081039</t>
        </is>
      </c>
      <c r="AY2281" t="inlineStr">
        <is>
          <t>Beslut</t>
        </is>
      </c>
      <c r="AZ2281" t="inlineStr">
        <is>
          <t>2026-02-03</t>
        </is>
      </c>
      <c r="BA2281" t="inlineStr">
        <is>
          <t>260201-Massor.pdf</t>
        </is>
      </c>
      <c r="BB2281" t="inlineStr">
        <is>
          <t>efterfrågade handlingar</t>
        </is>
      </c>
      <c r="BC2281" t="inlineStr">
        <is>
          <t>AUTO</t>
        </is>
      </c>
      <c r="BD2281" t="inlineStr"/>
      <c r="BE2281" t="inlineStr"/>
      <c r="BF2281" t="inlineStr">
        <is>
          <t>AUTO_GENERERAD. Bekrafta metadata mot kallfil.</t>
        </is>
      </c>
      <c r="BG2281">
        <f>HYPERLINK("C:\Users\jimmy\Desktop\Examens arbete\Kod\Ny mapp\remix_-copy-of-miljöbeslut.se-portal\260201-Massor.pdf", "Öppna PDF")</f>
        <v/>
      </c>
    </row>
    <row r="2282">
      <c r="A2282" t="inlineStr">
        <is>
          <t>KRAV-AUTO-002281</t>
        </is>
      </c>
      <c r="B2282" t="inlineStr">
        <is>
          <t>ADMIN-INDEX-2026-02-27-00000000125C043F57453246863FE664CAFE6A3F0700950291EA24F0614FB6ACEDB12BF0E31D00000000010C0000950291EA24F0614FB6ACEDB12BF0E31D00002087B1C20000</t>
        </is>
      </c>
      <c r="C2282" t="inlineStr">
        <is>
          <t>cmm4yuna500hqcuqwiwz0p0n0</t>
        </is>
      </c>
      <c r="D2282" t="inlineStr">
        <is>
          <t>http://localhost:8787/api/admin/requirements/documents/cmm4yuna500hqcuqwiwz0p0n0/view</t>
        </is>
      </c>
      <c r="E2282">
        <f>HYPERLÄNK("http://localhost:8787/api/admin/requirements/documents/cmm4yuna500hqcuqwiwz0p0n0/view";"Öppna PDF")</f>
        <v/>
      </c>
      <c r="F2282">
        <f>HYPERLINK("http://localhost:8787/api/admin/requirements/documents/cmm4yuna500hqcuqwiwz0p0n0/view","Open PDF")</f>
        <v/>
      </c>
      <c r="G2282" t="inlineStr">
        <is>
          <t>cmm55w57p0004cuisfrtpqly8</t>
        </is>
      </c>
      <c r="H2282" t="inlineStr">
        <is>
          <t>Beslutsvillkor</t>
        </is>
      </c>
      <c r="I2282" t="inlineStr">
        <is>
          <t>LagringsvolymTid</t>
        </is>
      </c>
      <c r="J2282" t="inlineStr">
        <is>
          <t>Maxmangd</t>
        </is>
      </c>
      <c r="K2282" t="inlineStr">
        <is>
          <t>Kärnborrprov av betong från delområde 1 Figur 6.</t>
        </is>
      </c>
      <c r="L2282" t="inlineStr">
        <is>
          <t>Kärnborrprov av betong från delområde 1 Figur 6.</t>
        </is>
      </c>
      <c r="M2282" t="inlineStr">
        <is>
          <t>BOR</t>
        </is>
      </c>
      <c r="N2282" t="inlineStr"/>
      <c r="O2282" t="inlineStr"/>
      <c r="P2282" t="inlineStr"/>
      <c r="Q2282" t="inlineStr"/>
      <c r="R2282" t="inlineStr">
        <is>
          <t>Alltid</t>
        </is>
      </c>
      <c r="S2282" t="inlineStr"/>
      <c r="T2282" t="inlineStr">
        <is>
          <t>06 35 75</t>
        </is>
      </c>
      <c r="U2282" t="inlineStr"/>
      <c r="V2282" t="inlineStr"/>
      <c r="W2282" t="inlineStr">
        <is>
          <t>Nej</t>
        </is>
      </c>
      <c r="X2282" t="inlineStr">
        <is>
          <t>Nej</t>
        </is>
      </c>
      <c r="Y2282" t="inlineStr">
        <is>
          <t>Nej</t>
        </is>
      </c>
      <c r="Z2282" t="inlineStr">
        <is>
          <t>Nej</t>
        </is>
      </c>
      <c r="AA2282" t="n">
        <v>4</v>
      </c>
      <c r="AB2282" t="inlineStr">
        <is>
          <t>Avfallsmangder och lagringstid</t>
        </is>
      </c>
      <c r="AC2282" t="inlineStr">
        <is>
          <t>Avfallsforteckning</t>
        </is>
      </c>
      <c r="AD2282" t="inlineStr">
        <is>
          <t>Nej</t>
        </is>
      </c>
      <c r="AE2282" t="inlineStr">
        <is>
          <t>Nej</t>
        </is>
      </c>
      <c r="AF2282" t="inlineStr">
        <is>
          <t>Ej behandlad</t>
        </is>
      </c>
      <c r="AG2282" t="inlineStr">
        <is>
          <t>AUTO_GENERERAD. Verifiera citat mot kallfil.</t>
        </is>
      </c>
      <c r="AH2282" t="inlineStr">
        <is>
          <t>MEDIUM</t>
        </is>
      </c>
      <c r="AI2282" t="inlineStr">
        <is>
          <t>AUTO</t>
        </is>
      </c>
      <c r="AJ2282" t="inlineStr">
        <is>
          <t>Nej</t>
        </is>
      </c>
      <c r="AK2282" t="inlineStr"/>
      <c r="AL2282" t="inlineStr"/>
      <c r="AM2282" t="inlineStr"/>
      <c r="AN2282" t="inlineStr"/>
      <c r="AO2282" t="inlineStr">
        <is>
          <t>cmm4yuna800htcuqw71t1am01</t>
        </is>
      </c>
      <c r="AP2282" t="inlineStr">
        <is>
          <t>http://localhost:8787/api/admin/requirements/documents/cmm4yuna800htcuqw71t1am01/view</t>
        </is>
      </c>
      <c r="AQ2282">
        <f>HYPERLÄNK("http://localhost:8787/api/admin/requirements/documents/cmm4yuna800htcuqw71t1am01/view";"Öppna PDF")</f>
        <v/>
      </c>
      <c r="AR2282">
        <f>HYPERLINK("http://localhost:8787/api/admin/requirements/documents/cmm4yuna800htcuqw71t1am01/view","Open PDF")</f>
        <v/>
      </c>
      <c r="AS2282" t="inlineStr">
        <is>
          <t>cmm55w57p0004cuisfrtpqly8</t>
        </is>
      </c>
      <c r="AT2282" t="inlineStr">
        <is>
          <t>cmm4xvu980000cuh4vj0usz09</t>
        </is>
      </c>
      <c r="AU2282" t="inlineStr"/>
      <c r="AV2282" t="inlineStr">
        <is>
          <t>Kommun</t>
        </is>
      </c>
      <c r="AW2282" t="inlineStr"/>
      <c r="AX2282" t="inlineStr">
        <is>
          <t>2025-12081039</t>
        </is>
      </c>
      <c r="AY2282" t="inlineStr">
        <is>
          <t>Beslut</t>
        </is>
      </c>
      <c r="AZ2282" t="inlineStr">
        <is>
          <t>2026-02-03</t>
        </is>
      </c>
      <c r="BA2282" t="inlineStr">
        <is>
          <t>260201-Massor.pdf</t>
        </is>
      </c>
      <c r="BB2282" t="inlineStr">
        <is>
          <t>efterfrågade handlingar</t>
        </is>
      </c>
      <c r="BC2282" t="inlineStr">
        <is>
          <t>AUTO</t>
        </is>
      </c>
      <c r="BD2282" t="inlineStr"/>
      <c r="BE2282" t="inlineStr"/>
      <c r="BF2282" t="inlineStr">
        <is>
          <t>AUTO_GENERERAD. Bekrafta metadata mot kallfil.</t>
        </is>
      </c>
      <c r="BG2282">
        <f>HYPERLINK("C:\Users\jimmy\Desktop\Examens arbete\Kod\Ny mapp\remix_-copy-of-miljöbeslut.se-portal\260201-Massor.pdf", "Öppna PDF")</f>
        <v/>
      </c>
    </row>
    <row r="2283">
      <c r="A2283" t="inlineStr">
        <is>
          <t>KRAV-AUTO-002282</t>
        </is>
      </c>
      <c r="B2283" t="inlineStr">
        <is>
          <t>ADMIN-INDEX-2026-02-27-00000000125C043F57453246863FE664CAFE6A3F0700950291EA24F0614FB6ACEDB12BF0E31D00000000010C0000950291EA24F0614FB6ACEDB12BF0E31D00002087B1C20000</t>
        </is>
      </c>
      <c r="C2283" t="inlineStr">
        <is>
          <t>cmm4yuna500hqcuqwiwz0p0n0</t>
        </is>
      </c>
      <c r="D2283" t="inlineStr">
        <is>
          <t>http://localhost:8787/api/admin/requirements/documents/cmm4yuna500hqcuqwiwz0p0n0/view</t>
        </is>
      </c>
      <c r="E2283">
        <f>HYPERLÄNK("http://localhost:8787/api/admin/requirements/documents/cmm4yuna500hqcuqwiwz0p0n0/view";"Öppna PDF")</f>
        <v/>
      </c>
      <c r="F2283">
        <f>HYPERLINK("http://localhost:8787/api/admin/requirements/documents/cmm4yuna500hqcuqwiwz0p0n0/view","Open PDF")</f>
        <v/>
      </c>
      <c r="G2283" t="inlineStr">
        <is>
          <t>cmm55w57p0004cuisfrtpqly8</t>
        </is>
      </c>
      <c r="H2283" t="inlineStr">
        <is>
          <t>Beslutsvillkor</t>
        </is>
      </c>
      <c r="I2283" t="inlineStr">
        <is>
          <t>LagringsvolymTid</t>
        </is>
      </c>
      <c r="J2283" t="inlineStr">
        <is>
          <t>Maxmangd</t>
        </is>
      </c>
      <c r="K2283" t="inlineStr">
        <is>
          <t>Borrkärnor där asfalt påträffats mellan betong och CG.</t>
        </is>
      </c>
      <c r="L2283" t="inlineStr">
        <is>
          <t>Borrkärnor där asfalt påträffats mellan betong och CG.</t>
        </is>
      </c>
      <c r="M2283" t="inlineStr">
        <is>
          <t>BOR</t>
        </is>
      </c>
      <c r="N2283" t="inlineStr"/>
      <c r="O2283" t="inlineStr"/>
      <c r="P2283" t="inlineStr"/>
      <c r="Q2283" t="inlineStr"/>
      <c r="R2283" t="inlineStr">
        <is>
          <t>Alltid</t>
        </is>
      </c>
      <c r="S2283" t="inlineStr"/>
      <c r="T2283" t="inlineStr">
        <is>
          <t>06 35 75</t>
        </is>
      </c>
      <c r="U2283" t="inlineStr"/>
      <c r="V2283" t="inlineStr"/>
      <c r="W2283" t="inlineStr">
        <is>
          <t>Nej</t>
        </is>
      </c>
      <c r="X2283" t="inlineStr">
        <is>
          <t>Nej</t>
        </is>
      </c>
      <c r="Y2283" t="inlineStr">
        <is>
          <t>Nej</t>
        </is>
      </c>
      <c r="Z2283" t="inlineStr">
        <is>
          <t>Nej</t>
        </is>
      </c>
      <c r="AA2283" t="n">
        <v>4</v>
      </c>
      <c r="AB2283" t="inlineStr">
        <is>
          <t>Avfallsmangder och lagringstid</t>
        </is>
      </c>
      <c r="AC2283" t="inlineStr">
        <is>
          <t>Avfallsforteckning</t>
        </is>
      </c>
      <c r="AD2283" t="inlineStr">
        <is>
          <t>Nej</t>
        </is>
      </c>
      <c r="AE2283" t="inlineStr">
        <is>
          <t>Nej</t>
        </is>
      </c>
      <c r="AF2283" t="inlineStr">
        <is>
          <t>Ej behandlad</t>
        </is>
      </c>
      <c r="AG2283" t="inlineStr">
        <is>
          <t>AUTO_GENERERAD. Verifiera citat mot kallfil.</t>
        </is>
      </c>
      <c r="AH2283" t="inlineStr">
        <is>
          <t>MEDIUM</t>
        </is>
      </c>
      <c r="AI2283" t="inlineStr">
        <is>
          <t>AUTO</t>
        </is>
      </c>
      <c r="AJ2283" t="inlineStr">
        <is>
          <t>Nej</t>
        </is>
      </c>
      <c r="AK2283" t="inlineStr"/>
      <c r="AL2283" t="inlineStr"/>
      <c r="AM2283" t="inlineStr"/>
      <c r="AN2283" t="inlineStr"/>
      <c r="AO2283" t="inlineStr">
        <is>
          <t>cmm4yuna800htcuqw71t1am01</t>
        </is>
      </c>
      <c r="AP2283" t="inlineStr">
        <is>
          <t>http://localhost:8787/api/admin/requirements/documents/cmm4yuna800htcuqw71t1am01/view</t>
        </is>
      </c>
      <c r="AQ2283">
        <f>HYPERLÄNK("http://localhost:8787/api/admin/requirements/documents/cmm4yuna800htcuqw71t1am01/view";"Öppna PDF")</f>
        <v/>
      </c>
      <c r="AR2283">
        <f>HYPERLINK("http://localhost:8787/api/admin/requirements/documents/cmm4yuna800htcuqw71t1am01/view","Open PDF")</f>
        <v/>
      </c>
      <c r="AS2283" t="inlineStr">
        <is>
          <t>cmm55w57p0004cuisfrtpqly8</t>
        </is>
      </c>
      <c r="AT2283" t="inlineStr">
        <is>
          <t>cmm4xvu980000cuh4vj0usz09</t>
        </is>
      </c>
      <c r="AU2283" t="inlineStr"/>
      <c r="AV2283" t="inlineStr">
        <is>
          <t>Kommun</t>
        </is>
      </c>
      <c r="AW2283" t="inlineStr"/>
      <c r="AX2283" t="inlineStr">
        <is>
          <t>2025-12081039</t>
        </is>
      </c>
      <c r="AY2283" t="inlineStr">
        <is>
          <t>Beslut</t>
        </is>
      </c>
      <c r="AZ2283" t="inlineStr">
        <is>
          <t>2026-02-03</t>
        </is>
      </c>
      <c r="BA2283" t="inlineStr">
        <is>
          <t>260201-Massor.pdf</t>
        </is>
      </c>
      <c r="BB2283" t="inlineStr">
        <is>
          <t>efterfrågade handlingar</t>
        </is>
      </c>
      <c r="BC2283" t="inlineStr">
        <is>
          <t>AUTO</t>
        </is>
      </c>
      <c r="BD2283" t="inlineStr"/>
      <c r="BE2283" t="inlineStr"/>
      <c r="BF2283" t="inlineStr">
        <is>
          <t>AUTO_GENERERAD. Bekrafta metadata mot kallfil.</t>
        </is>
      </c>
      <c r="BG2283">
        <f>HYPERLINK("C:\Users\jimmy\Desktop\Examens arbete\Kod\Ny mapp\remix_-copy-of-miljöbeslut.se-portal\260201-Massor.pdf", "Öppna PDF")</f>
        <v/>
      </c>
    </row>
    <row r="2284">
      <c r="A2284" t="inlineStr">
        <is>
          <t>KRAV-AUTO-002283</t>
        </is>
      </c>
      <c r="B2284" t="inlineStr">
        <is>
          <t>ADMIN-INDEX-2026-02-27-00000000125C043F57453246863FE664CAFE6A3F0700950291EA24F0614FB6ACEDB12BF0E31D00000000010C0000950291EA24F0614FB6ACEDB12BF0E31D00002087B1C20000</t>
        </is>
      </c>
      <c r="C2284" t="inlineStr">
        <is>
          <t>cmm4yuna200hncuqw9alj1tby</t>
        </is>
      </c>
      <c r="D2284" t="inlineStr">
        <is>
          <t>http://localhost:8787/api/admin/requirements/documents/cmm4yuna200hncuqw9alj1tby/view</t>
        </is>
      </c>
      <c r="E2284">
        <f>HYPERLÄNK("http://localhost:8787/api/admin/requirements/documents/cmm4yuna200hncuqw9alj1tby/view";"Öppna PDF")</f>
        <v/>
      </c>
      <c r="F2284">
        <f>HYPERLINK("http://localhost:8787/api/admin/requirements/documents/cmm4yuna200hncuqw9alj1tby/view","Open PDF")</f>
        <v/>
      </c>
      <c r="G2284" t="inlineStr">
        <is>
          <t>cmm55w57p0004cuisfrtpqly8</t>
        </is>
      </c>
      <c r="H2284" t="inlineStr">
        <is>
          <t>Beslutsvillkor</t>
        </is>
      </c>
      <c r="I2284" t="inlineStr">
        <is>
          <t>DriftEgenkontroll</t>
        </is>
      </c>
      <c r="J2284" t="inlineStr">
        <is>
          <t>Journalforing</t>
        </is>
      </c>
      <c r="K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Analyserna påbörjades: Provmärkning: B14 Provtagningsplats: E6 Getinge Analys Resultat Enhet Metod/ref Mäto.</t>
        </is>
      </c>
      <c r="L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t>
        </is>
      </c>
      <c r="M2284" t="inlineStr">
        <is>
          <t>SKA</t>
        </is>
      </c>
      <c r="N2284" t="inlineStr"/>
      <c r="O2284" t="inlineStr">
        <is>
          <t>2025-09-16</t>
        </is>
      </c>
      <c r="P2284" t="inlineStr"/>
      <c r="Q2284" t="inlineStr"/>
      <c r="R2284" t="inlineStr">
        <is>
          <t>Lopande drift</t>
        </is>
      </c>
      <c r="S2284" t="inlineStr"/>
      <c r="T2284" t="inlineStr">
        <is>
          <t>29 2025</t>
        </is>
      </c>
      <c r="U2284" t="inlineStr"/>
      <c r="V2284" t="inlineStr"/>
      <c r="W2284" t="inlineStr">
        <is>
          <t>Nej</t>
        </is>
      </c>
      <c r="X2284" t="inlineStr">
        <is>
          <t>Nej</t>
        </is>
      </c>
      <c r="Y2284" t="inlineStr">
        <is>
          <t>Ja</t>
        </is>
      </c>
      <c r="Z2284" t="inlineStr">
        <is>
          <t>Nej</t>
        </is>
      </c>
      <c r="AA2284" t="n">
        <v>7</v>
      </c>
      <c r="AB2284" t="inlineStr">
        <is>
          <t>Egenkontrollrutiner</t>
        </is>
      </c>
      <c r="AC2284" t="inlineStr">
        <is>
          <t>Egenkontrollprogram</t>
        </is>
      </c>
      <c r="AD2284" t="inlineStr">
        <is>
          <t>Nej</t>
        </is>
      </c>
      <c r="AE2284" t="inlineStr">
        <is>
          <t>Nej</t>
        </is>
      </c>
      <c r="AF2284" t="inlineStr">
        <is>
          <t>Ej behandlad</t>
        </is>
      </c>
      <c r="AG2284" t="inlineStr">
        <is>
          <t>AUTO_GENERERAD. Verifiera citat mot kallfil.</t>
        </is>
      </c>
      <c r="AH2284" t="inlineStr">
        <is>
          <t>MEDIUM</t>
        </is>
      </c>
      <c r="AI2284" t="inlineStr">
        <is>
          <t>AUTO</t>
        </is>
      </c>
      <c r="AJ2284" t="inlineStr">
        <is>
          <t>Nej</t>
        </is>
      </c>
      <c r="AK2284" t="inlineStr"/>
      <c r="AL2284" t="inlineStr"/>
      <c r="AM2284" t="inlineStr"/>
      <c r="AN2284" t="inlineStr"/>
      <c r="AO2284" t="inlineStr">
        <is>
          <t>cmm4yuna800htcuqw71t1am01</t>
        </is>
      </c>
      <c r="AP2284" t="inlineStr">
        <is>
          <t>http://localhost:8787/api/admin/requirements/documents/cmm4yuna800htcuqw71t1am01/view</t>
        </is>
      </c>
      <c r="AQ2284">
        <f>HYPERLÄNK("http://localhost:8787/api/admin/requirements/documents/cmm4yuna800htcuqw71t1am01/view";"Öppna PDF")</f>
        <v/>
      </c>
      <c r="AR2284">
        <f>HYPERLINK("http://localhost:8787/api/admin/requirements/documents/cmm4yuna800htcuqw71t1am01/view","Open PDF")</f>
        <v/>
      </c>
      <c r="AS2284" t="inlineStr">
        <is>
          <t>cmm55w57p0004cuisfrtpqly8</t>
        </is>
      </c>
      <c r="AT2284" t="inlineStr">
        <is>
          <t>cmm4xvu980000cuh4vj0usz09</t>
        </is>
      </c>
      <c r="AU2284" t="inlineStr"/>
      <c r="AV2284" t="inlineStr">
        <is>
          <t>Kommun</t>
        </is>
      </c>
      <c r="AW2284" t="inlineStr"/>
      <c r="AX2284" t="inlineStr">
        <is>
          <t>2025-12081039</t>
        </is>
      </c>
      <c r="AY2284" t="inlineStr">
        <is>
          <t>Beslut</t>
        </is>
      </c>
      <c r="AZ2284" t="inlineStr">
        <is>
          <t>2026-02-03</t>
        </is>
      </c>
      <c r="BA2284" t="inlineStr">
        <is>
          <t>260201-Massor.pdf</t>
        </is>
      </c>
      <c r="BB2284" t="inlineStr">
        <is>
          <t>efterfrågade handlingar</t>
        </is>
      </c>
      <c r="BC2284" t="inlineStr">
        <is>
          <t>AUTO</t>
        </is>
      </c>
      <c r="BD2284" t="inlineStr"/>
      <c r="BE2284" t="inlineStr"/>
      <c r="BF2284" t="inlineStr">
        <is>
          <t>AUTO_GENERERAD. Bekrafta metadata mot kallfil.</t>
        </is>
      </c>
      <c r="BG2284">
        <f>HYPERLINK("C:\Users\jimmy\Desktop\Examens arbete\Kod\Ny mapp\remix_-copy-of-miljöbeslut.se-portal\260201-Massor.pdf", "Öppna PDF")</f>
        <v/>
      </c>
    </row>
    <row r="2285">
      <c r="A2285" t="inlineStr">
        <is>
          <t>KRAV-AUTO-002284</t>
        </is>
      </c>
      <c r="B2285" t="inlineStr">
        <is>
          <t>ADMIN-INDEX-2026-02-27-00000000125C043F57453246863FE664CAFE6A3F0700950291EA24F0614FB6ACEDB12BF0E31D00000000010C0000950291EA24F0614FB6ACEDB12BF0E31D00002087B1C20000</t>
        </is>
      </c>
      <c r="C2285" t="inlineStr">
        <is>
          <t>cmm4yuna200hncuqw9alj1tby</t>
        </is>
      </c>
      <c r="D2285" t="inlineStr">
        <is>
          <t>http://localhost:8787/api/admin/requirements/documents/cmm4yuna200hncuqw9alj1tby/view</t>
        </is>
      </c>
      <c r="E2285">
        <f>HYPERLÄNK("http://localhost:8787/api/admin/requirements/documents/cmm4yuna200hncuqw9alj1tby/view";"Öppna PDF")</f>
        <v/>
      </c>
      <c r="F2285">
        <f>HYPERLINK("http://localhost:8787/api/admin/requirements/documents/cmm4yuna200hncuqw9alj1tby/view","Open PDF")</f>
        <v/>
      </c>
      <c r="G2285" t="inlineStr">
        <is>
          <t>cmm55w57p0004cuisfrtpqly8</t>
        </is>
      </c>
      <c r="H2285" t="inlineStr">
        <is>
          <t>Beslutsvillkor</t>
        </is>
      </c>
      <c r="I2285" t="inlineStr">
        <is>
          <t>DriftEgenkontroll</t>
        </is>
      </c>
      <c r="J2285" t="inlineStr">
        <is>
          <t>Journalforing</t>
        </is>
      </c>
      <c r="K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Analyserna påbörjades: Provmärkning: B16 Provtagningsplats: E6 Getinge Analys Resultat Enhet Metod/ref Mäto.</t>
        </is>
      </c>
      <c r="L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t>
        </is>
      </c>
      <c r="M2285" t="inlineStr">
        <is>
          <t>SKA</t>
        </is>
      </c>
      <c r="N2285" t="inlineStr"/>
      <c r="O2285" t="inlineStr">
        <is>
          <t>2025-09-16</t>
        </is>
      </c>
      <c r="P2285" t="inlineStr"/>
      <c r="Q2285" t="inlineStr"/>
      <c r="R2285" t="inlineStr">
        <is>
          <t>Lopande drift</t>
        </is>
      </c>
      <c r="S2285" t="inlineStr"/>
      <c r="T2285" t="inlineStr">
        <is>
          <t>29 2025</t>
        </is>
      </c>
      <c r="U2285" t="inlineStr"/>
      <c r="V2285" t="inlineStr"/>
      <c r="W2285" t="inlineStr">
        <is>
          <t>Nej</t>
        </is>
      </c>
      <c r="X2285" t="inlineStr">
        <is>
          <t>Nej</t>
        </is>
      </c>
      <c r="Y2285" t="inlineStr">
        <is>
          <t>Ja</t>
        </is>
      </c>
      <c r="Z2285" t="inlineStr">
        <is>
          <t>Nej</t>
        </is>
      </c>
      <c r="AA2285" t="n">
        <v>7</v>
      </c>
      <c r="AB2285" t="inlineStr">
        <is>
          <t>Egenkontrollrutiner</t>
        </is>
      </c>
      <c r="AC2285" t="inlineStr">
        <is>
          <t>Egenkontrollprogram</t>
        </is>
      </c>
      <c r="AD2285" t="inlineStr">
        <is>
          <t>Nej</t>
        </is>
      </c>
      <c r="AE2285" t="inlineStr">
        <is>
          <t>Nej</t>
        </is>
      </c>
      <c r="AF2285" t="inlineStr">
        <is>
          <t>Ej behandlad</t>
        </is>
      </c>
      <c r="AG2285" t="inlineStr">
        <is>
          <t>AUTO_GENERERAD. Verifiera citat mot kallfil.</t>
        </is>
      </c>
      <c r="AH2285" t="inlineStr">
        <is>
          <t>MEDIUM</t>
        </is>
      </c>
      <c r="AI2285" t="inlineStr">
        <is>
          <t>AUTO</t>
        </is>
      </c>
      <c r="AJ2285" t="inlineStr">
        <is>
          <t>Nej</t>
        </is>
      </c>
      <c r="AK2285" t="inlineStr"/>
      <c r="AL2285" t="inlineStr"/>
      <c r="AM2285" t="inlineStr"/>
      <c r="AN2285" t="inlineStr"/>
      <c r="AO2285" t="inlineStr">
        <is>
          <t>cmm4yuna800htcuqw71t1am01</t>
        </is>
      </c>
      <c r="AP2285" t="inlineStr">
        <is>
          <t>http://localhost:8787/api/admin/requirements/documents/cmm4yuna800htcuqw71t1am01/view</t>
        </is>
      </c>
      <c r="AQ2285">
        <f>HYPERLÄNK("http://localhost:8787/api/admin/requirements/documents/cmm4yuna800htcuqw71t1am01/view";"Öppna PDF")</f>
        <v/>
      </c>
      <c r="AR2285">
        <f>HYPERLINK("http://localhost:8787/api/admin/requirements/documents/cmm4yuna800htcuqw71t1am01/view","Open PDF")</f>
        <v/>
      </c>
      <c r="AS2285" t="inlineStr">
        <is>
          <t>cmm55w57p0004cuisfrtpqly8</t>
        </is>
      </c>
      <c r="AT2285" t="inlineStr">
        <is>
          <t>cmm4xvu980000cuh4vj0usz09</t>
        </is>
      </c>
      <c r="AU2285" t="inlineStr"/>
      <c r="AV2285" t="inlineStr">
        <is>
          <t>Kommun</t>
        </is>
      </c>
      <c r="AW2285" t="inlineStr"/>
      <c r="AX2285" t="inlineStr">
        <is>
          <t>2025-12081039</t>
        </is>
      </c>
      <c r="AY2285" t="inlineStr">
        <is>
          <t>Beslut</t>
        </is>
      </c>
      <c r="AZ2285" t="inlineStr">
        <is>
          <t>2026-02-03</t>
        </is>
      </c>
      <c r="BA2285" t="inlineStr">
        <is>
          <t>260201-Massor.pdf</t>
        </is>
      </c>
      <c r="BB2285" t="inlineStr">
        <is>
          <t>efterfrågade handlingar</t>
        </is>
      </c>
      <c r="BC2285" t="inlineStr">
        <is>
          <t>AUTO</t>
        </is>
      </c>
      <c r="BD2285" t="inlineStr"/>
      <c r="BE2285" t="inlineStr"/>
      <c r="BF2285" t="inlineStr">
        <is>
          <t>AUTO_GENERERAD. Bekrafta metadata mot kallfil.</t>
        </is>
      </c>
      <c r="BG2285">
        <f>HYPERLINK("C:\Users\jimmy\Desktop\Examens arbete\Kod\Ny mapp\remix_-copy-of-miljöbeslut.se-portal\260201-Massor.pdf", "Öppna PDF")</f>
        <v/>
      </c>
    </row>
    <row r="2286">
      <c r="A2286" t="inlineStr">
        <is>
          <t>KRAV-AUTO-002285</t>
        </is>
      </c>
      <c r="B2286" t="inlineStr">
        <is>
          <t>ADMIN-INDEX-2026-02-27-00000000125C043F57453246863FE664CAFE6A3F0700950291EA24F0614FB6ACEDB12BF0E31D00000000010C0000950291EA24F0614FB6ACEDB12BF0E31D00002087B1C20000</t>
        </is>
      </c>
      <c r="C2286" t="inlineStr">
        <is>
          <t>cmm4yuna200hncuqw9alj1tby</t>
        </is>
      </c>
      <c r="D2286" t="inlineStr">
        <is>
          <t>http://localhost:8787/api/admin/requirements/documents/cmm4yuna200hncuqw9alj1tby/view</t>
        </is>
      </c>
      <c r="E2286">
        <f>HYPERLÄNK("http://localhost:8787/api/admin/requirements/documents/cmm4yuna200hncuqw9alj1tby/view";"Öppna PDF")</f>
        <v/>
      </c>
      <c r="F2286">
        <f>HYPERLINK("http://localhost:8787/api/admin/requirements/documents/cmm4yuna200hncuqw9alj1tby/view","Open PDF")</f>
        <v/>
      </c>
      <c r="G2286" t="inlineStr">
        <is>
          <t>cmm55w57p0004cuisfrtpqly8</t>
        </is>
      </c>
      <c r="H2286" t="inlineStr">
        <is>
          <t>Beslutsvillkor</t>
        </is>
      </c>
      <c r="I2286" t="inlineStr">
        <is>
          <t>DriftEgenkontroll</t>
        </is>
      </c>
      <c r="J2286" t="inlineStr">
        <is>
          <t>Journalforing</t>
        </is>
      </c>
      <c r="K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Analyserna påbörjades: Provmärkning: B17 Provtagningsplats: E6 Getinge Analys Resultat Enhet Metod/ref Mäto.</t>
        </is>
      </c>
      <c r="L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t>
        </is>
      </c>
      <c r="M2286" t="inlineStr">
        <is>
          <t>SKA</t>
        </is>
      </c>
      <c r="N2286" t="inlineStr"/>
      <c r="O2286" t="inlineStr">
        <is>
          <t>2025-09-16</t>
        </is>
      </c>
      <c r="P2286" t="inlineStr"/>
      <c r="Q2286" t="inlineStr"/>
      <c r="R2286" t="inlineStr">
        <is>
          <t>Lopande drift</t>
        </is>
      </c>
      <c r="S2286" t="inlineStr"/>
      <c r="T2286" t="inlineStr">
        <is>
          <t>29 2025</t>
        </is>
      </c>
      <c r="U2286" t="inlineStr"/>
      <c r="V2286" t="inlineStr"/>
      <c r="W2286" t="inlineStr">
        <is>
          <t>Nej</t>
        </is>
      </c>
      <c r="X2286" t="inlineStr">
        <is>
          <t>Nej</t>
        </is>
      </c>
      <c r="Y2286" t="inlineStr">
        <is>
          <t>Ja</t>
        </is>
      </c>
      <c r="Z2286" t="inlineStr">
        <is>
          <t>Nej</t>
        </is>
      </c>
      <c r="AA2286" t="n">
        <v>7</v>
      </c>
      <c r="AB2286" t="inlineStr">
        <is>
          <t>Egenkontrollrutiner</t>
        </is>
      </c>
      <c r="AC2286" t="inlineStr">
        <is>
          <t>Egenkontrollprogram</t>
        </is>
      </c>
      <c r="AD2286" t="inlineStr">
        <is>
          <t>Nej</t>
        </is>
      </c>
      <c r="AE2286" t="inlineStr">
        <is>
          <t>Nej</t>
        </is>
      </c>
      <c r="AF2286" t="inlineStr">
        <is>
          <t>Ej behandlad</t>
        </is>
      </c>
      <c r="AG2286" t="inlineStr">
        <is>
          <t>AUTO_GENERERAD. Verifiera citat mot kallfil.</t>
        </is>
      </c>
      <c r="AH2286" t="inlineStr">
        <is>
          <t>MEDIUM</t>
        </is>
      </c>
      <c r="AI2286" t="inlineStr">
        <is>
          <t>AUTO</t>
        </is>
      </c>
      <c r="AJ2286" t="inlineStr">
        <is>
          <t>Nej</t>
        </is>
      </c>
      <c r="AK2286" t="inlineStr"/>
      <c r="AL2286" t="inlineStr"/>
      <c r="AM2286" t="inlineStr"/>
      <c r="AN2286" t="inlineStr"/>
      <c r="AO2286" t="inlineStr">
        <is>
          <t>cmm4yuna800htcuqw71t1am01</t>
        </is>
      </c>
      <c r="AP2286" t="inlineStr">
        <is>
          <t>http://localhost:8787/api/admin/requirements/documents/cmm4yuna800htcuqw71t1am01/view</t>
        </is>
      </c>
      <c r="AQ2286">
        <f>HYPERLÄNK("http://localhost:8787/api/admin/requirements/documents/cmm4yuna800htcuqw71t1am01/view";"Öppna PDF")</f>
        <v/>
      </c>
      <c r="AR2286">
        <f>HYPERLINK("http://localhost:8787/api/admin/requirements/documents/cmm4yuna800htcuqw71t1am01/view","Open PDF")</f>
        <v/>
      </c>
      <c r="AS2286" t="inlineStr">
        <is>
          <t>cmm55w57p0004cuisfrtpqly8</t>
        </is>
      </c>
      <c r="AT2286" t="inlineStr">
        <is>
          <t>cmm4xvu980000cuh4vj0usz09</t>
        </is>
      </c>
      <c r="AU2286" t="inlineStr"/>
      <c r="AV2286" t="inlineStr">
        <is>
          <t>Kommun</t>
        </is>
      </c>
      <c r="AW2286" t="inlineStr"/>
      <c r="AX2286" t="inlineStr">
        <is>
          <t>2025-12081039</t>
        </is>
      </c>
      <c r="AY2286" t="inlineStr">
        <is>
          <t>Beslut</t>
        </is>
      </c>
      <c r="AZ2286" t="inlineStr">
        <is>
          <t>2026-02-03</t>
        </is>
      </c>
      <c r="BA2286" t="inlineStr">
        <is>
          <t>260201-Massor.pdf</t>
        </is>
      </c>
      <c r="BB2286" t="inlineStr">
        <is>
          <t>efterfrågade handlingar</t>
        </is>
      </c>
      <c r="BC2286" t="inlineStr">
        <is>
          <t>AUTO</t>
        </is>
      </c>
      <c r="BD2286" t="inlineStr"/>
      <c r="BE2286" t="inlineStr"/>
      <c r="BF2286" t="inlineStr">
        <is>
          <t>AUTO_GENERERAD. Bekrafta metadata mot kallfil.</t>
        </is>
      </c>
      <c r="BG2286">
        <f>HYPERLINK("C:\Users\jimmy\Desktop\Examens arbete\Kod\Ny mapp\remix_-copy-of-miljöbeslut.se-portal\260201-Massor.pdf", "Öppna PDF")</f>
        <v/>
      </c>
    </row>
    <row r="2287">
      <c r="A2287" t="inlineStr">
        <is>
          <t>KRAV-AUTO-002286</t>
        </is>
      </c>
      <c r="B2287" t="inlineStr">
        <is>
          <t>ADMIN-INDEX-2026-02-27-00000000125C043F57453246863FE664CAFE6A3F0700950291EA24F0614FB6ACEDB12BF0E31D00000000010C0000950291EA24F0614FB6ACEDB12BF0E31D00002087B1C20000</t>
        </is>
      </c>
      <c r="C2287" t="inlineStr">
        <is>
          <t>cmm4yun9l00h8cuqwm8j5v56n</t>
        </is>
      </c>
      <c r="D2287" t="inlineStr">
        <is>
          <t>http://localhost:8787/api/admin/requirements/documents/cmm4yun9l00h8cuqwm8j5v56n/view</t>
        </is>
      </c>
      <c r="E2287">
        <f>HYPERLÄNK("http://localhost:8787/api/admin/requirements/documents/cmm4yun9l00h8cuqwm8j5v56n/view";"Öppna PDF")</f>
        <v/>
      </c>
      <c r="F2287">
        <f>HYPERLINK("http://localhost:8787/api/admin/requirements/documents/cmm4yun9l00h8cuqwm8j5v56n/view","Open PDF")</f>
        <v/>
      </c>
      <c r="G2287" t="inlineStr">
        <is>
          <t>cmm55w57p0004cuisfrtpqly8</t>
        </is>
      </c>
      <c r="H2287" t="inlineStr">
        <is>
          <t>Informationskrav</t>
        </is>
      </c>
      <c r="I2287" t="inlineStr">
        <is>
          <t>LagringsvolymTid</t>
        </is>
      </c>
      <c r="J2287" t="inlineStr">
        <is>
          <t>Maxmangd</t>
        </is>
      </c>
      <c r="K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L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M2287" t="inlineStr">
        <is>
          <t>SKA</t>
        </is>
      </c>
      <c r="N2287" t="inlineStr"/>
      <c r="O2287" t="inlineStr"/>
      <c r="P2287" t="inlineStr"/>
      <c r="Q2287" t="inlineStr"/>
      <c r="R2287" t="inlineStr">
        <is>
          <t>Alltid</t>
        </is>
      </c>
      <c r="S2287" t="inlineStr"/>
      <c r="T2287" t="inlineStr">
        <is>
          <t>260201</t>
        </is>
      </c>
      <c r="U2287" t="inlineStr"/>
      <c r="V2287" t="inlineStr"/>
      <c r="W2287" t="inlineStr">
        <is>
          <t>Nej</t>
        </is>
      </c>
      <c r="X2287" t="inlineStr">
        <is>
          <t>Nej</t>
        </is>
      </c>
      <c r="Y2287" t="inlineStr">
        <is>
          <t>Nej</t>
        </is>
      </c>
      <c r="Z2287" t="inlineStr">
        <is>
          <t>Nej</t>
        </is>
      </c>
      <c r="AA2287" t="n">
        <v>4</v>
      </c>
      <c r="AB2287" t="inlineStr">
        <is>
          <t>Avfallsmangder och lagringstid</t>
        </is>
      </c>
      <c r="AC2287" t="inlineStr">
        <is>
          <t>Avfallsforteckning</t>
        </is>
      </c>
      <c r="AD2287" t="inlineStr">
        <is>
          <t>Nej</t>
        </is>
      </c>
      <c r="AE2287" t="inlineStr">
        <is>
          <t>Nej</t>
        </is>
      </c>
      <c r="AF2287" t="inlineStr">
        <is>
          <t>Ej behandlad</t>
        </is>
      </c>
      <c r="AG2287" t="inlineStr">
        <is>
          <t>AUTO_GENERERAD. Verifiera citat mot kallfil.</t>
        </is>
      </c>
      <c r="AH2287" t="inlineStr">
        <is>
          <t>MEDIUM</t>
        </is>
      </c>
      <c r="AI2287" t="inlineStr">
        <is>
          <t>AUTO</t>
        </is>
      </c>
      <c r="AJ2287" t="inlineStr">
        <is>
          <t>Nej</t>
        </is>
      </c>
      <c r="AK2287" t="inlineStr"/>
      <c r="AL2287" t="inlineStr"/>
      <c r="AM2287" t="inlineStr"/>
      <c r="AN2287" t="inlineStr"/>
      <c r="AO2287" t="inlineStr">
        <is>
          <t>cmm4yuna800htcuqw71t1am01</t>
        </is>
      </c>
      <c r="AP2287" t="inlineStr">
        <is>
          <t>http://localhost:8787/api/admin/requirements/documents/cmm4yuna800htcuqw71t1am01/view</t>
        </is>
      </c>
      <c r="AQ2287">
        <f>HYPERLÄNK("http://localhost:8787/api/admin/requirements/documents/cmm4yuna800htcuqw71t1am01/view";"Öppna PDF")</f>
        <v/>
      </c>
      <c r="AR2287">
        <f>HYPERLINK("http://localhost:8787/api/admin/requirements/documents/cmm4yuna800htcuqw71t1am01/view","Open PDF")</f>
        <v/>
      </c>
      <c r="AS2287" t="inlineStr">
        <is>
          <t>cmm55w57p0004cuisfrtpqly8</t>
        </is>
      </c>
      <c r="AT2287" t="inlineStr">
        <is>
          <t>cmm4xvu980000cuh4vj0usz09</t>
        </is>
      </c>
      <c r="AU2287" t="inlineStr"/>
      <c r="AV2287" t="inlineStr">
        <is>
          <t>Kommun</t>
        </is>
      </c>
      <c r="AW2287" t="inlineStr"/>
      <c r="AX2287" t="inlineStr">
        <is>
          <t>2025-12081039</t>
        </is>
      </c>
      <c r="AY2287" t="inlineStr">
        <is>
          <t>Beslut</t>
        </is>
      </c>
      <c r="AZ2287" t="inlineStr">
        <is>
          <t>2026-02-03</t>
        </is>
      </c>
      <c r="BA2287" t="inlineStr">
        <is>
          <t>260201-Massor.pdf</t>
        </is>
      </c>
      <c r="BB2287" t="inlineStr">
        <is>
          <t>efterfrågade handlingar</t>
        </is>
      </c>
      <c r="BC2287" t="inlineStr">
        <is>
          <t>AUTO</t>
        </is>
      </c>
      <c r="BD2287" t="inlineStr"/>
      <c r="BE2287" t="inlineStr"/>
      <c r="BF2287" t="inlineStr">
        <is>
          <t>AUTO_GENERERAD. Bekrafta metadata mot kallfil.</t>
        </is>
      </c>
      <c r="BG2287">
        <f>HYPERLINK("C:\Users\jimmy\Desktop\Examens arbete\Kod\Ny mapp\remix_-copy-of-miljöbeslut.se-portal\260201-Massor.pdf", "Öppna PDF")</f>
        <v/>
      </c>
    </row>
    <row r="2288">
      <c r="A2288" t="inlineStr">
        <is>
          <t>KRAV-AUTO-002287</t>
        </is>
      </c>
      <c r="B2288" t="inlineStr">
        <is>
          <t>ADMIN-INDEX-2026-02-27-00000000125C043F57453246863FE664CAFE6A3F0700950291EA24F0614FB6ACEDB12BF0E31D00000000010C0000950291EA24F0614FB6ACEDB12BF0E31D00002087B1C20000</t>
        </is>
      </c>
      <c r="C2288" t="inlineStr">
        <is>
          <t>cmm4yun9l00h8cuqwm8j5v56n</t>
        </is>
      </c>
      <c r="D2288" t="inlineStr">
        <is>
          <t>http://localhost:8787/api/admin/requirements/documents/cmm4yun9l00h8cuqwm8j5v56n/view</t>
        </is>
      </c>
      <c r="E2288">
        <f>HYPERLÄNK("http://localhost:8787/api/admin/requirements/documents/cmm4yun9l00h8cuqwm8j5v56n/view";"Öppna PDF")</f>
        <v/>
      </c>
      <c r="F2288">
        <f>HYPERLINK("http://localhost:8787/api/admin/requirements/documents/cmm4yun9l00h8cuqwm8j5v56n/view","Open PDF")</f>
        <v/>
      </c>
      <c r="G2288" t="inlineStr">
        <is>
          <t>cmm55w57p0004cuisfrtpqly8</t>
        </is>
      </c>
      <c r="H2288" t="inlineStr">
        <is>
          <t>Informationskrav</t>
        </is>
      </c>
      <c r="I2288" t="inlineStr">
        <is>
          <t>Ytkonstruktion</t>
        </is>
      </c>
      <c r="J2288" t="inlineStr">
        <is>
          <t>Tat yta</t>
        </is>
      </c>
      <c r="K2288" t="inlineStr">
        <is>
          <t>Avfallets innehåll Betong: 17 01 01 Volym (m3) 19000 Vikt (ton) 30000 Beskrivning av återvinningen Beskriv syftet av återvinningen Skapa hårdgjord yta på fastigheten som ej blev färdigställd i tidigare skede.</t>
        </is>
      </c>
      <c r="L2288" t="inlineStr">
        <is>
          <t>Avfallets innehåll Betong: 17 01 01 Volym (m3) 19000 Vikt (ton) 30000 Beskrivning av återvinningen Beskriv syftet av återvinningen Skapa hårdgjord yta på fastigheten som ej blev färdigställd i tidigare skede.</t>
        </is>
      </c>
      <c r="M2288" t="inlineStr">
        <is>
          <t>SKA</t>
        </is>
      </c>
      <c r="N2288" t="inlineStr"/>
      <c r="O2288" t="inlineStr"/>
      <c r="P2288" t="inlineStr"/>
      <c r="Q2288" t="inlineStr"/>
      <c r="R2288" t="inlineStr">
        <is>
          <t>Vid mellanlagring av avfall</t>
        </is>
      </c>
      <c r="S2288" t="inlineStr"/>
      <c r="T2288" t="inlineStr">
        <is>
          <t>17 01 01</t>
        </is>
      </c>
      <c r="U2288" t="inlineStr"/>
      <c r="V2288" t="inlineStr"/>
      <c r="W2288" t="inlineStr">
        <is>
          <t>Ja</t>
        </is>
      </c>
      <c r="X2288" t="inlineStr">
        <is>
          <t>Nej</t>
        </is>
      </c>
      <c r="Y2288" t="inlineStr">
        <is>
          <t>Nej</t>
        </is>
      </c>
      <c r="Z2288" t="inlineStr">
        <is>
          <t>Nej</t>
        </is>
      </c>
      <c r="AA2288" t="n">
        <v>5</v>
      </c>
      <c r="AB2288" t="inlineStr">
        <is>
          <t>Teknisk beskrivning av platta</t>
        </is>
      </c>
      <c r="AC2288" t="inlineStr">
        <is>
          <t>Teknisk ritning platta</t>
        </is>
      </c>
      <c r="AD2288" t="inlineStr">
        <is>
          <t>Nej</t>
        </is>
      </c>
      <c r="AE2288" t="inlineStr">
        <is>
          <t>Nej</t>
        </is>
      </c>
      <c r="AF2288" t="inlineStr">
        <is>
          <t>Ej behandlad</t>
        </is>
      </c>
      <c r="AG2288" t="inlineStr">
        <is>
          <t>AUTO_GENERERAD. Verifiera citat mot kallfil.</t>
        </is>
      </c>
      <c r="AH2288" t="inlineStr">
        <is>
          <t>MEDIUM</t>
        </is>
      </c>
      <c r="AI2288" t="inlineStr">
        <is>
          <t>AUTO</t>
        </is>
      </c>
      <c r="AJ2288" t="inlineStr">
        <is>
          <t>Nej</t>
        </is>
      </c>
      <c r="AK2288" t="inlineStr"/>
      <c r="AL2288" t="inlineStr"/>
      <c r="AM2288" t="inlineStr"/>
      <c r="AN2288" t="inlineStr"/>
      <c r="AO2288" t="inlineStr">
        <is>
          <t>cmm4yuna800htcuqw71t1am01</t>
        </is>
      </c>
      <c r="AP2288" t="inlineStr">
        <is>
          <t>http://localhost:8787/api/admin/requirements/documents/cmm4yuna800htcuqw71t1am01/view</t>
        </is>
      </c>
      <c r="AQ2288">
        <f>HYPERLÄNK("http://localhost:8787/api/admin/requirements/documents/cmm4yuna800htcuqw71t1am01/view";"Öppna PDF")</f>
        <v/>
      </c>
      <c r="AR2288">
        <f>HYPERLINK("http://localhost:8787/api/admin/requirements/documents/cmm4yuna800htcuqw71t1am01/view","Open PDF")</f>
        <v/>
      </c>
      <c r="AS2288" t="inlineStr">
        <is>
          <t>cmm55w57p0004cuisfrtpqly8</t>
        </is>
      </c>
      <c r="AT2288" t="inlineStr">
        <is>
          <t>cmm4xvu980000cuh4vj0usz09</t>
        </is>
      </c>
      <c r="AU2288" t="inlineStr"/>
      <c r="AV2288" t="inlineStr">
        <is>
          <t>Kommun</t>
        </is>
      </c>
      <c r="AW2288" t="inlineStr"/>
      <c r="AX2288" t="inlineStr">
        <is>
          <t>2025-12081039</t>
        </is>
      </c>
      <c r="AY2288" t="inlineStr">
        <is>
          <t>Beslut</t>
        </is>
      </c>
      <c r="AZ2288" t="inlineStr">
        <is>
          <t>2026-02-03</t>
        </is>
      </c>
      <c r="BA2288" t="inlineStr">
        <is>
          <t>260201-Massor.pdf</t>
        </is>
      </c>
      <c r="BB2288" t="inlineStr">
        <is>
          <t>efterfrågade handlingar</t>
        </is>
      </c>
      <c r="BC2288" t="inlineStr">
        <is>
          <t>AUTO</t>
        </is>
      </c>
      <c r="BD2288" t="inlineStr"/>
      <c r="BE2288" t="inlineStr"/>
      <c r="BF2288" t="inlineStr">
        <is>
          <t>AUTO_GENERERAD. Bekrafta metadata mot kallfil.</t>
        </is>
      </c>
      <c r="BG2288">
        <f>HYPERLINK("C:\Users\jimmy\Desktop\Examens arbete\Kod\Ny mapp\remix_-copy-of-miljöbeslut.se-portal\260201-Massor.pdf", "Öppna PDF")</f>
        <v/>
      </c>
    </row>
    <row r="2289">
      <c r="A2289" t="inlineStr">
        <is>
          <t>KRAV-AUTO-002288</t>
        </is>
      </c>
      <c r="B2289" t="inlineStr">
        <is>
          <t>ADMIN-INDEX-2026-02-27-00000000125C043F57453246863FE664CAFE6A3F0700950291EA24F0614FB6ACEDB12BF0E31D00000000010C0000950291EA24F0614FB6ACEDB12BF0E31D00002087B1C20000</t>
        </is>
      </c>
      <c r="C2289" t="inlineStr">
        <is>
          <t>cmm4yun9l00h8cuqwm8j5v56n</t>
        </is>
      </c>
      <c r="D2289" t="inlineStr">
        <is>
          <t>http://localhost:8787/api/admin/requirements/documents/cmm4yun9l00h8cuqwm8j5v56n/view</t>
        </is>
      </c>
      <c r="E2289">
        <f>HYPERLÄNK("http://localhost:8787/api/admin/requirements/documents/cmm4yun9l00h8cuqwm8j5v56n/view";"Öppna PDF")</f>
        <v/>
      </c>
      <c r="F2289">
        <f>HYPERLINK("http://localhost:8787/api/admin/requirements/documents/cmm4yun9l00h8cuqwm8j5v56n/view","Open PDF")</f>
        <v/>
      </c>
      <c r="G2289" t="inlineStr">
        <is>
          <t>cmm55w57p0004cuisfrtpqly8</t>
        </is>
      </c>
      <c r="H2289" t="inlineStr">
        <is>
          <t>Informationskrav</t>
        </is>
      </c>
      <c r="I2289" t="inlineStr">
        <is>
          <t>MiljopaverkanForsiktighet</t>
        </is>
      </c>
      <c r="J2289" t="inlineStr">
        <is>
          <t>Skyddsatgarder</t>
        </is>
      </c>
      <c r="K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L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M2289" t="inlineStr">
        <is>
          <t>BOR</t>
        </is>
      </c>
      <c r="N2289" t="inlineStr"/>
      <c r="O2289" t="inlineStr"/>
      <c r="P2289" t="inlineStr"/>
      <c r="Q2289" t="inlineStr"/>
      <c r="R2289" t="inlineStr">
        <is>
          <t>Alltid</t>
        </is>
      </c>
      <c r="S2289" t="inlineStr"/>
      <c r="T2289" t="inlineStr">
        <is>
          <t>260201</t>
        </is>
      </c>
      <c r="U2289" t="inlineStr"/>
      <c r="V2289" t="inlineStr"/>
      <c r="W2289" t="inlineStr">
        <is>
          <t>Nej</t>
        </is>
      </c>
      <c r="X2289" t="inlineStr">
        <is>
          <t>Nej</t>
        </is>
      </c>
      <c r="Y2289" t="inlineStr">
        <is>
          <t>Nej</t>
        </is>
      </c>
      <c r="Z2289" t="inlineStr">
        <is>
          <t>Nej</t>
        </is>
      </c>
      <c r="AA2289" t="n">
        <v>10</v>
      </c>
      <c r="AB2289" t="inlineStr">
        <is>
          <t>Miljopaverkan och forsiktighetsmatt</t>
        </is>
      </c>
      <c r="AC2289" t="inlineStr">
        <is>
          <t>Miljo-PM</t>
        </is>
      </c>
      <c r="AD2289" t="inlineStr">
        <is>
          <t>Nej</t>
        </is>
      </c>
      <c r="AE2289" t="inlineStr">
        <is>
          <t>Nej</t>
        </is>
      </c>
      <c r="AF2289" t="inlineStr">
        <is>
          <t>Ej behandlad</t>
        </is>
      </c>
      <c r="AG2289" t="inlineStr">
        <is>
          <t>AUTO_GENERERAD. Verifiera citat mot kallfil.</t>
        </is>
      </c>
      <c r="AH2289" t="inlineStr">
        <is>
          <t>MEDIUM</t>
        </is>
      </c>
      <c r="AI2289" t="inlineStr">
        <is>
          <t>AUTO</t>
        </is>
      </c>
      <c r="AJ2289" t="inlineStr">
        <is>
          <t>Nej</t>
        </is>
      </c>
      <c r="AK2289" t="inlineStr"/>
      <c r="AL2289" t="inlineStr"/>
      <c r="AM2289" t="inlineStr"/>
      <c r="AN2289" t="inlineStr"/>
      <c r="AO2289" t="inlineStr">
        <is>
          <t>cmm4yuna800htcuqw71t1am01</t>
        </is>
      </c>
      <c r="AP2289" t="inlineStr">
        <is>
          <t>http://localhost:8787/api/admin/requirements/documents/cmm4yuna800htcuqw71t1am01/view</t>
        </is>
      </c>
      <c r="AQ2289">
        <f>HYPERLÄNK("http://localhost:8787/api/admin/requirements/documents/cmm4yuna800htcuqw71t1am01/view";"Öppna PDF")</f>
        <v/>
      </c>
      <c r="AR2289">
        <f>HYPERLINK("http://localhost:8787/api/admin/requirements/documents/cmm4yuna800htcuqw71t1am01/view","Open PDF")</f>
        <v/>
      </c>
      <c r="AS2289" t="inlineStr">
        <is>
          <t>cmm55w57p0004cuisfrtpqly8</t>
        </is>
      </c>
      <c r="AT2289" t="inlineStr">
        <is>
          <t>cmm4xvu980000cuh4vj0usz09</t>
        </is>
      </c>
      <c r="AU2289" t="inlineStr"/>
      <c r="AV2289" t="inlineStr">
        <is>
          <t>Kommun</t>
        </is>
      </c>
      <c r="AW2289" t="inlineStr"/>
      <c r="AX2289" t="inlineStr">
        <is>
          <t>2025-12081039</t>
        </is>
      </c>
      <c r="AY2289" t="inlineStr">
        <is>
          <t>Beslut</t>
        </is>
      </c>
      <c r="AZ2289" t="inlineStr">
        <is>
          <t>2026-02-03</t>
        </is>
      </c>
      <c r="BA2289" t="inlineStr">
        <is>
          <t>260201-Massor.pdf</t>
        </is>
      </c>
      <c r="BB2289" t="inlineStr">
        <is>
          <t>efterfrågade handlingar</t>
        </is>
      </c>
      <c r="BC2289" t="inlineStr">
        <is>
          <t>AUTO</t>
        </is>
      </c>
      <c r="BD2289" t="inlineStr"/>
      <c r="BE2289" t="inlineStr"/>
      <c r="BF2289" t="inlineStr">
        <is>
          <t>AUTO_GENERERAD. Bekrafta metadata mot kallfil.</t>
        </is>
      </c>
      <c r="BG2289">
        <f>HYPERLINK("C:\Users\jimmy\Desktop\Examens arbete\Kod\Ny mapp\remix_-copy-of-miljöbeslut.se-portal\260201-Massor.pdf", "Öppna PDF")</f>
        <v/>
      </c>
    </row>
    <row r="2290">
      <c r="A2290" t="inlineStr">
        <is>
          <t>KRAV-AUTO-002289</t>
        </is>
      </c>
      <c r="B2290" t="inlineStr">
        <is>
          <t>ADMIN-INDEX-2026-02-27-00000000125C043F57453246863FE664CAFE6A3F0700950291EA24F0614FB6ACEDB12BF0E31D00000000010C0000950291EA24F0614FB6ACEDB12BF0E31D00002087B1C90000</t>
        </is>
      </c>
      <c r="C2290" t="inlineStr">
        <is>
          <t>cmm4yun8t00gkcuqw5rjsk96c</t>
        </is>
      </c>
      <c r="D2290" t="inlineStr">
        <is>
          <t>http://localhost:8787/api/admin/requirements/documents/cmm4yun8t00gkcuqw5rjsk96c/view</t>
        </is>
      </c>
      <c r="E2290">
        <f>HYPERLÄNK("http://localhost:8787/api/admin/requirements/documents/cmm4yun8t00gkcuqw5rjsk96c/view";"Öppna PDF")</f>
        <v/>
      </c>
      <c r="F2290">
        <f>HYPERLINK("http://localhost:8787/api/admin/requirements/documents/cmm4yun8t00gkcuqw5rjsk96c/view","Open PDF")</f>
        <v/>
      </c>
      <c r="G2290" t="inlineStr">
        <is>
          <t>cmm55w57p0004cuisfrtpqly8</t>
        </is>
      </c>
      <c r="H2290" t="inlineStr">
        <is>
          <t>Beslutsvillkor</t>
        </is>
      </c>
      <c r="I2290" t="inlineStr">
        <is>
          <t>MiljopaverkanForsiktighet</t>
        </is>
      </c>
      <c r="J2290" t="inlineStr">
        <is>
          <t>Skyddsatgarder</t>
        </is>
      </c>
      <c r="K2290" t="inlineStr">
        <is>
          <t>Enligt 27a § förordning om miljöfarlig verksamhet och hälsoskydd ska ett anmälningsärende gällande behandling av avfall innehålla ett föreläggande om bland annat vilka typer, mänger och metoder för behandling av avfallet som får förekomma.</t>
        </is>
      </c>
      <c r="L2290" t="inlineStr">
        <is>
          <t>Enligt 27a § förordning om miljöfarlig verksamhet och hälsoskydd ska ett anmälningsärende gällande behandling av avfall innehålla ett föreläggande om bland annat vilka typer, mänger och metoder för behandling av avfallet som får förekomma.</t>
        </is>
      </c>
      <c r="M2290" t="inlineStr">
        <is>
          <t>SKA</t>
        </is>
      </c>
      <c r="N2290" t="inlineStr">
        <is>
          <t>FMH</t>
        </is>
      </c>
      <c r="O2290" t="inlineStr"/>
      <c r="P2290" t="inlineStr">
        <is>
          <t>Arlig</t>
        </is>
      </c>
      <c r="Q2290" t="inlineStr">
        <is>
          <t>Forelaggande vid brist</t>
        </is>
      </c>
      <c r="R2290" t="inlineStr">
        <is>
          <t>Alltid</t>
        </is>
      </c>
      <c r="S2290" t="inlineStr"/>
      <c r="T2290" t="inlineStr">
        <is>
          <t>88 50 99</t>
        </is>
      </c>
      <c r="U2290" t="inlineStr"/>
      <c r="V2290" t="inlineStr"/>
      <c r="W2290" t="inlineStr">
        <is>
          <t>Nej</t>
        </is>
      </c>
      <c r="X2290" t="inlineStr">
        <is>
          <t>Nej</t>
        </is>
      </c>
      <c r="Y2290" t="inlineStr">
        <is>
          <t>Nej</t>
        </is>
      </c>
      <c r="Z2290" t="inlineStr">
        <is>
          <t>Nej</t>
        </is>
      </c>
      <c r="AA2290" t="n">
        <v>10</v>
      </c>
      <c r="AB2290" t="inlineStr">
        <is>
          <t>Miljopaverkan och forsiktighetsmatt</t>
        </is>
      </c>
      <c r="AC2290" t="inlineStr">
        <is>
          <t>Miljo-PM</t>
        </is>
      </c>
      <c r="AD2290" t="inlineStr">
        <is>
          <t>Nej</t>
        </is>
      </c>
      <c r="AE2290" t="inlineStr">
        <is>
          <t>Nej</t>
        </is>
      </c>
      <c r="AF2290" t="inlineStr">
        <is>
          <t>Ej behandlad</t>
        </is>
      </c>
      <c r="AG2290" t="inlineStr">
        <is>
          <t>AUTO_GENERERAD. Verifiera citat mot kallfil.</t>
        </is>
      </c>
      <c r="AH2290" t="inlineStr">
        <is>
          <t>HIGH</t>
        </is>
      </c>
      <c r="AI2290" t="inlineStr">
        <is>
          <t>AUTO</t>
        </is>
      </c>
      <c r="AJ2290" t="inlineStr">
        <is>
          <t>Nej</t>
        </is>
      </c>
      <c r="AK2290" t="inlineStr"/>
      <c r="AL2290" t="inlineStr"/>
      <c r="AM2290" t="inlineStr"/>
      <c r="AN2290" t="inlineStr"/>
      <c r="AO2290" t="inlineStr">
        <is>
          <t>cmm4yun8t00gkcuqw5rjsk96c</t>
        </is>
      </c>
      <c r="AP2290" t="inlineStr">
        <is>
          <t>http://localhost:8787/api/admin/requirements/documents/cmm4yun8t00gkcuqw5rjsk96c/view</t>
        </is>
      </c>
      <c r="AQ2290">
        <f>HYPERLÄNK("http://localhost:8787/api/admin/requirements/documents/cmm4yun8t00gkcuqw5rjsk96c/view";"Öppna PDF")</f>
        <v/>
      </c>
      <c r="AR2290">
        <f>HYPERLINK("http://localhost:8787/api/admin/requirements/documents/cmm4yun8t00gkcuqw5rjsk96c/view","Open PDF")</f>
        <v/>
      </c>
      <c r="AS2290" t="inlineStr">
        <is>
          <t>cmm55w57p0004cuisfrtpqly8</t>
        </is>
      </c>
      <c r="AT2290" t="inlineStr">
        <is>
          <t>cmm4xvu980000cuh4vj0usz09</t>
        </is>
      </c>
      <c r="AU2290" t="inlineStr">
        <is>
          <t>se Postadress Falkenbergs</t>
        </is>
      </c>
      <c r="AV2290" t="inlineStr">
        <is>
          <t>Kommun</t>
        </is>
      </c>
      <c r="AW2290" t="inlineStr">
        <is>
          <t>se Postadress Falkenbergs kommun</t>
        </is>
      </c>
      <c r="AX2290" t="inlineStr">
        <is>
          <t>2025-05</t>
        </is>
      </c>
      <c r="AY2290" t="inlineStr">
        <is>
          <t>Beslut</t>
        </is>
      </c>
      <c r="AZ2290" t="inlineStr">
        <is>
          <t>2026-02-03</t>
        </is>
      </c>
      <c r="BA2290" t="inlineStr">
        <is>
          <t>M-2025-1682_2025-05-16_Beslut (MHF MHN)_Skogstorp 4 148.pdf</t>
        </is>
      </c>
      <c r="BB2290" t="inlineStr">
        <is>
          <t>efterfrågade handlingar</t>
        </is>
      </c>
      <c r="BC2290" t="inlineStr">
        <is>
          <t>AUTO</t>
        </is>
      </c>
      <c r="BD2290" t="inlineStr"/>
      <c r="BE2290" t="inlineStr"/>
      <c r="BF2290" t="inlineStr">
        <is>
          <t>AUTO_GENERERAD. Bekrafta metadata mot kallfil.</t>
        </is>
      </c>
      <c r="BG2290">
        <f>HYPERLINK("C:\Users\jimmy\Desktop\Examens arbete\Kod\Ny mapp\remix_-copy-of-miljöbeslut.se-portal\M-2025-1682_2025-05-16_Beslut (MHF MHN)_Skogstorp 4 148.pdf", "Öppna PDF")</f>
        <v/>
      </c>
    </row>
    <row r="2291">
      <c r="A2291" t="inlineStr">
        <is>
          <t>KRAV-AUTO-002290</t>
        </is>
      </c>
      <c r="B2291" t="inlineStr">
        <is>
          <t>ADMIN-INDEX-2026-02-27-00000000125C043F57453246863FE664CAFE6A3F0700950291EA24F0614FB6ACEDB12BF0E31D00000000010C0000950291EA24F0614FB6ACEDB12BF0E31D00002087B1C90000</t>
        </is>
      </c>
      <c r="C2291" t="inlineStr">
        <is>
          <t>cmm4yun8t00gkcuqw5rjsk96c</t>
        </is>
      </c>
      <c r="D2291" t="inlineStr">
        <is>
          <t>http://localhost:8787/api/admin/requirements/documents/cmm4yun8t00gkcuqw5rjsk96c/view</t>
        </is>
      </c>
      <c r="E2291">
        <f>HYPERLÄNK("http://localhost:8787/api/admin/requirements/documents/cmm4yun8t00gkcuqw5rjsk96c/view";"Öppna PDF")</f>
        <v/>
      </c>
      <c r="F2291">
        <f>HYPERLINK("http://localhost:8787/api/admin/requirements/documents/cmm4yun8t00gkcuqw5rjsk96c/view","Open PDF")</f>
        <v/>
      </c>
      <c r="G2291" t="inlineStr">
        <is>
          <t>cmm55w57p0004cuisfrtpqly8</t>
        </is>
      </c>
      <c r="H2291" t="inlineStr">
        <is>
          <t>Beslutsvillkor</t>
        </is>
      </c>
      <c r="I2291" t="inlineStr">
        <is>
          <t>MiljopaverkanForsiktighet</t>
        </is>
      </c>
      <c r="J2291" t="inlineStr">
        <is>
          <t>Skyddsatgarder</t>
        </is>
      </c>
      <c r="K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L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M2291" t="inlineStr">
        <is>
          <t>SKA</t>
        </is>
      </c>
      <c r="N2291" t="inlineStr"/>
      <c r="O2291" t="inlineStr"/>
      <c r="P2291" t="inlineStr"/>
      <c r="Q2291" t="inlineStr">
        <is>
          <t>Driftbegransning vid avvikelse</t>
        </is>
      </c>
      <c r="R2291" t="inlineStr">
        <is>
          <t>Alltid</t>
        </is>
      </c>
      <c r="S2291" t="inlineStr"/>
      <c r="T2291" t="inlineStr">
        <is>
          <t>88 50 99</t>
        </is>
      </c>
      <c r="U2291" t="inlineStr"/>
      <c r="V2291" t="inlineStr"/>
      <c r="W2291" t="inlineStr">
        <is>
          <t>Nej</t>
        </is>
      </c>
      <c r="X2291" t="inlineStr">
        <is>
          <t>Nej</t>
        </is>
      </c>
      <c r="Y2291" t="inlineStr">
        <is>
          <t>Nej</t>
        </is>
      </c>
      <c r="Z2291" t="inlineStr">
        <is>
          <t>Nej</t>
        </is>
      </c>
      <c r="AA2291" t="n">
        <v>10</v>
      </c>
      <c r="AB2291" t="inlineStr">
        <is>
          <t>Miljopaverkan och forsiktighetsmatt</t>
        </is>
      </c>
      <c r="AC2291" t="inlineStr">
        <is>
          <t>Miljo-PM</t>
        </is>
      </c>
      <c r="AD2291" t="inlineStr">
        <is>
          <t>Nej</t>
        </is>
      </c>
      <c r="AE2291" t="inlineStr">
        <is>
          <t>Nej</t>
        </is>
      </c>
      <c r="AF2291" t="inlineStr">
        <is>
          <t>Ej behandlad</t>
        </is>
      </c>
      <c r="AG2291" t="inlineStr">
        <is>
          <t>AUTO_GENERERAD. Verifiera citat mot kallfil.</t>
        </is>
      </c>
      <c r="AH2291" t="inlineStr">
        <is>
          <t>MEDIUM</t>
        </is>
      </c>
      <c r="AI2291" t="inlineStr">
        <is>
          <t>AUTO</t>
        </is>
      </c>
      <c r="AJ2291" t="inlineStr">
        <is>
          <t>Nej</t>
        </is>
      </c>
      <c r="AK2291" t="inlineStr"/>
      <c r="AL2291" t="inlineStr"/>
      <c r="AM2291" t="inlineStr"/>
      <c r="AN2291" t="inlineStr"/>
      <c r="AO2291" t="inlineStr">
        <is>
          <t>cmm4yun8t00gkcuqw5rjsk96c</t>
        </is>
      </c>
      <c r="AP2291" t="inlineStr">
        <is>
          <t>http://localhost:8787/api/admin/requirements/documents/cmm4yun8t00gkcuqw5rjsk96c/view</t>
        </is>
      </c>
      <c r="AQ2291">
        <f>HYPERLÄNK("http://localhost:8787/api/admin/requirements/documents/cmm4yun8t00gkcuqw5rjsk96c/view";"Öppna PDF")</f>
        <v/>
      </c>
      <c r="AR2291">
        <f>HYPERLINK("http://localhost:8787/api/admin/requirements/documents/cmm4yun8t00gkcuqw5rjsk96c/view","Open PDF")</f>
        <v/>
      </c>
      <c r="AS2291" t="inlineStr">
        <is>
          <t>cmm55w57p0004cuisfrtpqly8</t>
        </is>
      </c>
      <c r="AT2291" t="inlineStr">
        <is>
          <t>cmm4xvu980000cuh4vj0usz09</t>
        </is>
      </c>
      <c r="AU2291" t="inlineStr">
        <is>
          <t>se Postadress Falkenbergs</t>
        </is>
      </c>
      <c r="AV2291" t="inlineStr">
        <is>
          <t>Kommun</t>
        </is>
      </c>
      <c r="AW2291" t="inlineStr">
        <is>
          <t>se Postadress Falkenbergs kommun</t>
        </is>
      </c>
      <c r="AX2291" t="inlineStr">
        <is>
          <t>2025-05</t>
        </is>
      </c>
      <c r="AY2291" t="inlineStr">
        <is>
          <t>Beslut</t>
        </is>
      </c>
      <c r="AZ2291" t="inlineStr">
        <is>
          <t>2026-02-03</t>
        </is>
      </c>
      <c r="BA2291" t="inlineStr">
        <is>
          <t>M-2025-1682_2025-05-16_Beslut (MHF MHN)_Skogstorp 4 148.pdf</t>
        </is>
      </c>
      <c r="BB2291" t="inlineStr">
        <is>
          <t>efterfrågade handlingar</t>
        </is>
      </c>
      <c r="BC2291" t="inlineStr">
        <is>
          <t>AUTO</t>
        </is>
      </c>
      <c r="BD2291" t="inlineStr"/>
      <c r="BE2291" t="inlineStr"/>
      <c r="BF2291" t="inlineStr">
        <is>
          <t>AUTO_GENERERAD. Bekrafta metadata mot kallfil.</t>
        </is>
      </c>
      <c r="BG2291">
        <f>HYPERLINK("C:\Users\jimmy\Desktop\Examens arbete\Kod\Ny mapp\remix_-copy-of-miljöbeslut.se-portal\M-2025-1682_2025-05-16_Beslut (MHF MHN)_Skogstorp 4 148.pdf", "Öppna PDF")</f>
        <v/>
      </c>
    </row>
    <row r="2292">
      <c r="A2292" t="inlineStr">
        <is>
          <t>KRAV-AUTO-002291</t>
        </is>
      </c>
      <c r="B2292" t="inlineStr">
        <is>
          <t>ADMIN-INDEX-2026-02-27-00000000125C043F57453246863FE664CAFE6A3F0700950291EA24F0614FB6ACEDB12BF0E31D00000000010C0000950291EA24F0614FB6ACEDB12BF0E31D00002087B1C90000</t>
        </is>
      </c>
      <c r="C2292" t="inlineStr">
        <is>
          <t>cmm4yun8t00gkcuqw5rjsk96c</t>
        </is>
      </c>
      <c r="D2292" t="inlineStr">
        <is>
          <t>http://localhost:8787/api/admin/requirements/documents/cmm4yun8t00gkcuqw5rjsk96c/view</t>
        </is>
      </c>
      <c r="E2292">
        <f>HYPERLÄNK("http://localhost:8787/api/admin/requirements/documents/cmm4yun8t00gkcuqw5rjsk96c/view";"Öppna PDF")</f>
        <v/>
      </c>
      <c r="F2292">
        <f>HYPERLINK("http://localhost:8787/api/admin/requirements/documents/cmm4yun8t00gkcuqw5rjsk96c/view","Open PDF")</f>
        <v/>
      </c>
      <c r="G2292" t="inlineStr">
        <is>
          <t>cmm55w57p0004cuisfrtpqly8</t>
        </is>
      </c>
      <c r="H2292" t="inlineStr">
        <is>
          <t>Beslutsvillkor</t>
        </is>
      </c>
      <c r="I2292" t="inlineStr">
        <is>
          <t>MiljopaverkanForsiktighet</t>
        </is>
      </c>
      <c r="J2292" t="inlineStr">
        <is>
          <t>Skyddsatgarder</t>
        </is>
      </c>
      <c r="K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292" t="inlineStr">
        <is>
          <t>SKA</t>
        </is>
      </c>
      <c r="N2292" t="inlineStr"/>
      <c r="O2292" t="inlineStr"/>
      <c r="P2292" t="inlineStr"/>
      <c r="Q2292" t="inlineStr">
        <is>
          <t>Forbud</t>
        </is>
      </c>
      <c r="R2292" t="inlineStr">
        <is>
          <t>Alltid</t>
        </is>
      </c>
      <c r="S2292" t="inlineStr"/>
      <c r="T2292" t="inlineStr">
        <is>
          <t>88 50 99</t>
        </is>
      </c>
      <c r="U2292" t="inlineStr"/>
      <c r="V2292" t="inlineStr"/>
      <c r="W2292" t="inlineStr">
        <is>
          <t>Nej</t>
        </is>
      </c>
      <c r="X2292" t="inlineStr">
        <is>
          <t>Nej</t>
        </is>
      </c>
      <c r="Y2292" t="inlineStr">
        <is>
          <t>Nej</t>
        </is>
      </c>
      <c r="Z2292" t="inlineStr">
        <is>
          <t>Nej</t>
        </is>
      </c>
      <c r="AA2292" t="n">
        <v>10</v>
      </c>
      <c r="AB2292" t="inlineStr">
        <is>
          <t>Miljopaverkan och forsiktighetsmatt</t>
        </is>
      </c>
      <c r="AC2292" t="inlineStr">
        <is>
          <t>Miljo-PM</t>
        </is>
      </c>
      <c r="AD2292" t="inlineStr">
        <is>
          <t>Nej</t>
        </is>
      </c>
      <c r="AE2292" t="inlineStr">
        <is>
          <t>Nej</t>
        </is>
      </c>
      <c r="AF2292" t="inlineStr">
        <is>
          <t>Ej behandlad</t>
        </is>
      </c>
      <c r="AG2292" t="inlineStr">
        <is>
          <t>AUTO_GENERERAD. Verifiera citat mot kallfil.</t>
        </is>
      </c>
      <c r="AH2292" t="inlineStr">
        <is>
          <t>MEDIUM</t>
        </is>
      </c>
      <c r="AI2292" t="inlineStr">
        <is>
          <t>AUTO</t>
        </is>
      </c>
      <c r="AJ2292" t="inlineStr">
        <is>
          <t>Nej</t>
        </is>
      </c>
      <c r="AK2292" t="inlineStr"/>
      <c r="AL2292" t="inlineStr"/>
      <c r="AM2292" t="inlineStr"/>
      <c r="AN2292" t="inlineStr"/>
      <c r="AO2292" t="inlineStr">
        <is>
          <t>cmm4yun8t00gkcuqw5rjsk96c</t>
        </is>
      </c>
      <c r="AP2292" t="inlineStr">
        <is>
          <t>http://localhost:8787/api/admin/requirements/documents/cmm4yun8t00gkcuqw5rjsk96c/view</t>
        </is>
      </c>
      <c r="AQ2292">
        <f>HYPERLÄNK("http://localhost:8787/api/admin/requirements/documents/cmm4yun8t00gkcuqw5rjsk96c/view";"Öppna PDF")</f>
        <v/>
      </c>
      <c r="AR2292">
        <f>HYPERLINK("http://localhost:8787/api/admin/requirements/documents/cmm4yun8t00gkcuqw5rjsk96c/view","Open PDF")</f>
        <v/>
      </c>
      <c r="AS2292" t="inlineStr">
        <is>
          <t>cmm55w57p0004cuisfrtpqly8</t>
        </is>
      </c>
      <c r="AT2292" t="inlineStr">
        <is>
          <t>cmm4xvu980000cuh4vj0usz09</t>
        </is>
      </c>
      <c r="AU2292" t="inlineStr">
        <is>
          <t>se Postadress Falkenbergs</t>
        </is>
      </c>
      <c r="AV2292" t="inlineStr">
        <is>
          <t>Kommun</t>
        </is>
      </c>
      <c r="AW2292" t="inlineStr">
        <is>
          <t>se Postadress Falkenbergs kommun</t>
        </is>
      </c>
      <c r="AX2292" t="inlineStr">
        <is>
          <t>2025-05</t>
        </is>
      </c>
      <c r="AY2292" t="inlineStr">
        <is>
          <t>Beslut</t>
        </is>
      </c>
      <c r="AZ2292" t="inlineStr">
        <is>
          <t>2026-02-03</t>
        </is>
      </c>
      <c r="BA2292" t="inlineStr">
        <is>
          <t>M-2025-1682_2025-05-16_Beslut (MHF MHN)_Skogstorp 4 148.pdf</t>
        </is>
      </c>
      <c r="BB2292" t="inlineStr">
        <is>
          <t>efterfrågade handlingar</t>
        </is>
      </c>
      <c r="BC2292" t="inlineStr">
        <is>
          <t>AUTO</t>
        </is>
      </c>
      <c r="BD2292" t="inlineStr"/>
      <c r="BE2292" t="inlineStr"/>
      <c r="BF2292" t="inlineStr">
        <is>
          <t>AUTO_GENERERAD. Bekrafta metadata mot kallfil.</t>
        </is>
      </c>
      <c r="BG2292">
        <f>HYPERLINK("C:\Users\jimmy\Desktop\Examens arbete\Kod\Ny mapp\remix_-copy-of-miljöbeslut.se-portal\M-2025-1682_2025-05-16_Beslut (MHF MHN)_Skogstorp 4 148.pdf", "Öppna PDF")</f>
        <v/>
      </c>
    </row>
    <row r="2293">
      <c r="A2293" t="inlineStr">
        <is>
          <t>KRAV-AUTO-002292</t>
        </is>
      </c>
      <c r="B2293" t="inlineStr">
        <is>
          <t>ADMIN-INDEX-2026-02-27-00000000125C043F57453246863FE664CAFE6A3F0700950291EA24F0614FB6ACEDB12BF0E31D00000000010C0000950291EA24F0614FB6ACEDB12BF0E31D00002087B1C90000</t>
        </is>
      </c>
      <c r="C2293" t="inlineStr">
        <is>
          <t>cmm4yun8q00ghcuqwd26bvcai</t>
        </is>
      </c>
      <c r="D2293" t="inlineStr">
        <is>
          <t>http://localhost:8787/api/admin/requirements/documents/cmm4yun8q00ghcuqwd26bvcai/view</t>
        </is>
      </c>
      <c r="E2293">
        <f>HYPERLÄNK("http://localhost:8787/api/admin/requirements/documents/cmm4yun8q00ghcuqwd26bvcai/view";"Öppna PDF")</f>
        <v/>
      </c>
      <c r="F2293">
        <f>HYPERLINK("http://localhost:8787/api/admin/requirements/documents/cmm4yun8q00ghcuqwd26bvcai/view","Open PDF")</f>
        <v/>
      </c>
      <c r="G2293" t="inlineStr">
        <is>
          <t>cmm55w57p0004cuisfrtpqly8</t>
        </is>
      </c>
      <c r="H2293" t="inlineStr">
        <is>
          <t>Beslutsvillkor</t>
        </is>
      </c>
      <c r="I2293" t="inlineStr">
        <is>
          <t>DriftEgenkontroll</t>
        </is>
      </c>
      <c r="J2293" t="inlineStr">
        <is>
          <t>Journalforing</t>
        </is>
      </c>
      <c r="K2293" t="inlineStr">
        <is>
          <t>Bilagor: Bullervall mått.pdf, Skanska provtagning 2025.pdf, Anmälan om återvining av icke- farlig avfall för anläggningsändamål 09.05.2025.pdf Hej Hilde.</t>
        </is>
      </c>
      <c r="L2293" t="inlineStr">
        <is>
          <t>Bilagor: Bullervall mått.pdf, Skanska provtagning 2025.pdf, Anmälan om återvining av icke- farlig avfall för anläggningsändamål 09.05.2025.pdf Hej Hilde.</t>
        </is>
      </c>
      <c r="M2293" t="inlineStr">
        <is>
          <t>SKA</t>
        </is>
      </c>
      <c r="N2293" t="inlineStr"/>
      <c r="O2293" t="inlineStr"/>
      <c r="P2293" t="inlineStr">
        <is>
          <t>Arlig</t>
        </is>
      </c>
      <c r="Q2293" t="inlineStr"/>
      <c r="R2293" t="inlineStr">
        <is>
          <t>Lopande drift</t>
        </is>
      </c>
      <c r="S2293" t="inlineStr"/>
      <c r="T2293" t="inlineStr"/>
      <c r="U2293" t="inlineStr"/>
      <c r="V2293" t="inlineStr"/>
      <c r="W2293" t="inlineStr">
        <is>
          <t>Nej</t>
        </is>
      </c>
      <c r="X2293" t="inlineStr">
        <is>
          <t>Nej</t>
        </is>
      </c>
      <c r="Y2293" t="inlineStr">
        <is>
          <t>Ja</t>
        </is>
      </c>
      <c r="Z2293" t="inlineStr">
        <is>
          <t>Nej</t>
        </is>
      </c>
      <c r="AA2293" t="n">
        <v>7</v>
      </c>
      <c r="AB2293" t="inlineStr">
        <is>
          <t>Egenkontrollrutiner</t>
        </is>
      </c>
      <c r="AC2293" t="inlineStr">
        <is>
          <t>Egenkontrollprogram</t>
        </is>
      </c>
      <c r="AD2293" t="inlineStr">
        <is>
          <t>Nej</t>
        </is>
      </c>
      <c r="AE2293" t="inlineStr">
        <is>
          <t>Nej</t>
        </is>
      </c>
      <c r="AF2293" t="inlineStr">
        <is>
          <t>Ej behandlad</t>
        </is>
      </c>
      <c r="AG2293" t="inlineStr">
        <is>
          <t>AUTO_GENERERAD. Verifiera citat mot kallfil.</t>
        </is>
      </c>
      <c r="AH2293" t="inlineStr">
        <is>
          <t>MEDIUM</t>
        </is>
      </c>
      <c r="AI2293" t="inlineStr">
        <is>
          <t>AUTO</t>
        </is>
      </c>
      <c r="AJ2293" t="inlineStr">
        <is>
          <t>Nej</t>
        </is>
      </c>
      <c r="AK2293" t="inlineStr"/>
      <c r="AL2293" t="inlineStr"/>
      <c r="AM2293" t="inlineStr"/>
      <c r="AN2293" t="inlineStr"/>
      <c r="AO2293" t="inlineStr">
        <is>
          <t>cmm4yun8t00gkcuqw5rjsk96c</t>
        </is>
      </c>
      <c r="AP2293" t="inlineStr">
        <is>
          <t>http://localhost:8787/api/admin/requirements/documents/cmm4yun8t00gkcuqw5rjsk96c/view</t>
        </is>
      </c>
      <c r="AQ2293">
        <f>HYPERLÄNK("http://localhost:8787/api/admin/requirements/documents/cmm4yun8t00gkcuqw5rjsk96c/view";"Öppna PDF")</f>
        <v/>
      </c>
      <c r="AR2293">
        <f>HYPERLINK("http://localhost:8787/api/admin/requirements/documents/cmm4yun8t00gkcuqw5rjsk96c/view","Open PDF")</f>
        <v/>
      </c>
      <c r="AS2293" t="inlineStr">
        <is>
          <t>cmm55w57p0004cuisfrtpqly8</t>
        </is>
      </c>
      <c r="AT2293" t="inlineStr">
        <is>
          <t>cmm4xvu980000cuh4vj0usz09</t>
        </is>
      </c>
      <c r="AU2293" t="inlineStr">
        <is>
          <t>se Postadress Falkenbergs</t>
        </is>
      </c>
      <c r="AV2293" t="inlineStr">
        <is>
          <t>Kommun</t>
        </is>
      </c>
      <c r="AW2293" t="inlineStr">
        <is>
          <t>se Postadress Falkenbergs kommun</t>
        </is>
      </c>
      <c r="AX2293" t="inlineStr">
        <is>
          <t>2025-05</t>
        </is>
      </c>
      <c r="AY2293" t="inlineStr">
        <is>
          <t>Beslut</t>
        </is>
      </c>
      <c r="AZ2293" t="inlineStr">
        <is>
          <t>2026-02-03</t>
        </is>
      </c>
      <c r="BA2293" t="inlineStr">
        <is>
          <t>M-2025-1682_2025-05-16_Beslut (MHF MHN)_Skogstorp 4 148.pdf</t>
        </is>
      </c>
      <c r="BB2293" t="inlineStr">
        <is>
          <t>efterfrågade handlingar</t>
        </is>
      </c>
      <c r="BC2293" t="inlineStr">
        <is>
          <t>AUTO</t>
        </is>
      </c>
      <c r="BD2293" t="inlineStr"/>
      <c r="BE2293" t="inlineStr"/>
      <c r="BF2293" t="inlineStr">
        <is>
          <t>AUTO_GENERERAD. Bekrafta metadata mot kallfil.</t>
        </is>
      </c>
      <c r="BG2293">
        <f>HYPERLINK("C:\Users\jimmy\Desktop\Examens arbete\Kod\Ny mapp\remix_-copy-of-miljöbeslut.se-portal\M-2025-1682_2025-05-16_Beslut (MHF MHN)_Skogstorp 4 148.pdf", "Öppna PDF")</f>
        <v/>
      </c>
    </row>
    <row r="2294">
      <c r="A2294" t="inlineStr">
        <is>
          <t>KRAV-AUTO-002293</t>
        </is>
      </c>
      <c r="B2294" t="inlineStr">
        <is>
          <t>ADMIN-INDEX-2026-02-27-00000000125C043F57453246863FE664CAFE6A3F0700950291EA24F0614FB6ACEDB12BF0E31D00000000010C0000950291EA24F0614FB6ACEDB12BF0E31D00002087B1C90000</t>
        </is>
      </c>
      <c r="C2294" t="inlineStr">
        <is>
          <t>cmm4yun8700g2cuqw2kttlikj</t>
        </is>
      </c>
      <c r="D2294" t="inlineStr">
        <is>
          <t>http://localhost:8787/api/admin/requirements/documents/cmm4yun8700g2cuqw2kttlikj/view</t>
        </is>
      </c>
      <c r="E2294">
        <f>HYPERLÄNK("http://localhost:8787/api/admin/requirements/documents/cmm4yun8700g2cuqw2kttlikj/view";"Öppna PDF")</f>
        <v/>
      </c>
      <c r="F2294">
        <f>HYPERLINK("http://localhost:8787/api/admin/requirements/documents/cmm4yun8700g2cuqw2kttlikj/view","Open PDF")</f>
        <v/>
      </c>
      <c r="G2294" t="inlineStr">
        <is>
          <t>cmm55w57p0004cuisfrtpqly8</t>
        </is>
      </c>
      <c r="H2294" t="inlineStr">
        <is>
          <t>Beslutsvillkor</t>
        </is>
      </c>
      <c r="I2294" t="inlineStr">
        <is>
          <t>MiljopaverkanForsiktighet</t>
        </is>
      </c>
      <c r="J2294" t="inlineStr">
        <is>
          <t>Skyddsatgarder</t>
        </is>
      </c>
      <c r="K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4" t="inlineStr">
        <is>
          <t>SKA</t>
        </is>
      </c>
      <c r="N2294" t="inlineStr"/>
      <c r="O2294" t="inlineStr"/>
      <c r="P2294" t="inlineStr"/>
      <c r="Q2294" t="inlineStr">
        <is>
          <t>Forbud</t>
        </is>
      </c>
      <c r="R2294" t="inlineStr">
        <is>
          <t>Alltid</t>
        </is>
      </c>
      <c r="S2294" t="inlineStr"/>
      <c r="T2294" t="inlineStr">
        <is>
          <t>88 63 89</t>
        </is>
      </c>
      <c r="U2294" t="inlineStr"/>
      <c r="V2294" t="inlineStr"/>
      <c r="W2294" t="inlineStr">
        <is>
          <t>Nej</t>
        </is>
      </c>
      <c r="X2294" t="inlineStr">
        <is>
          <t>Nej</t>
        </is>
      </c>
      <c r="Y2294" t="inlineStr">
        <is>
          <t>Nej</t>
        </is>
      </c>
      <c r="Z2294" t="inlineStr">
        <is>
          <t>Nej</t>
        </is>
      </c>
      <c r="AA2294" t="n">
        <v>10</v>
      </c>
      <c r="AB2294" t="inlineStr">
        <is>
          <t>Miljopaverkan och forsiktighetsmatt</t>
        </is>
      </c>
      <c r="AC2294" t="inlineStr">
        <is>
          <t>Miljo-PM</t>
        </is>
      </c>
      <c r="AD2294" t="inlineStr">
        <is>
          <t>Nej</t>
        </is>
      </c>
      <c r="AE2294" t="inlineStr">
        <is>
          <t>Nej</t>
        </is>
      </c>
      <c r="AF2294" t="inlineStr">
        <is>
          <t>Ej behandlad</t>
        </is>
      </c>
      <c r="AG2294" t="inlineStr">
        <is>
          <t>AUTO_GENERERAD. Verifiera citat mot kallfil.</t>
        </is>
      </c>
      <c r="AH2294" t="inlineStr">
        <is>
          <t>MEDIUM</t>
        </is>
      </c>
      <c r="AI2294" t="inlineStr">
        <is>
          <t>AUTO</t>
        </is>
      </c>
      <c r="AJ2294" t="inlineStr">
        <is>
          <t>Nej</t>
        </is>
      </c>
      <c r="AK2294" t="inlineStr"/>
      <c r="AL2294" t="inlineStr"/>
      <c r="AM2294" t="inlineStr"/>
      <c r="AN2294" t="inlineStr"/>
      <c r="AO2294" t="inlineStr">
        <is>
          <t>cmm4yun8t00gkcuqw5rjsk96c</t>
        </is>
      </c>
      <c r="AP2294" t="inlineStr">
        <is>
          <t>http://localhost:8787/api/admin/requirements/documents/cmm4yun8t00gkcuqw5rjsk96c/view</t>
        </is>
      </c>
      <c r="AQ2294">
        <f>HYPERLÄNK("http://localhost:8787/api/admin/requirements/documents/cmm4yun8t00gkcuqw5rjsk96c/view";"Öppna PDF")</f>
        <v/>
      </c>
      <c r="AR2294">
        <f>HYPERLINK("http://localhost:8787/api/admin/requirements/documents/cmm4yun8t00gkcuqw5rjsk96c/view","Open PDF")</f>
        <v/>
      </c>
      <c r="AS2294" t="inlineStr">
        <is>
          <t>cmm55w57p0004cuisfrtpqly8</t>
        </is>
      </c>
      <c r="AT2294" t="inlineStr">
        <is>
          <t>cmm4xvu980000cuh4vj0usz09</t>
        </is>
      </c>
      <c r="AU2294" t="inlineStr">
        <is>
          <t>se Postadress Falkenbergs</t>
        </is>
      </c>
      <c r="AV2294" t="inlineStr">
        <is>
          <t>Kommun</t>
        </is>
      </c>
      <c r="AW2294" t="inlineStr">
        <is>
          <t>se Postadress Falkenbergs kommun</t>
        </is>
      </c>
      <c r="AX2294" t="inlineStr">
        <is>
          <t>2025-05</t>
        </is>
      </c>
      <c r="AY2294" t="inlineStr">
        <is>
          <t>Beslut</t>
        </is>
      </c>
      <c r="AZ2294" t="inlineStr">
        <is>
          <t>2026-02-03</t>
        </is>
      </c>
      <c r="BA2294" t="inlineStr">
        <is>
          <t>M-2025-1682_2025-05-16_Beslut (MHF MHN)_Skogstorp 4 148.pdf</t>
        </is>
      </c>
      <c r="BB2294" t="inlineStr">
        <is>
          <t>efterfrågade handlingar</t>
        </is>
      </c>
      <c r="BC2294" t="inlineStr">
        <is>
          <t>AUTO</t>
        </is>
      </c>
      <c r="BD2294" t="inlineStr"/>
      <c r="BE2294" t="inlineStr"/>
      <c r="BF2294" t="inlineStr">
        <is>
          <t>AUTO_GENERERAD. Bekrafta metadata mot kallfil.</t>
        </is>
      </c>
      <c r="BG2294">
        <f>HYPERLINK("C:\Users\jimmy\Desktop\Examens arbete\Kod\Ny mapp\remix_-copy-of-miljöbeslut.se-portal\M-2025-1682_2025-05-16_Beslut (MHF MHN)_Skogstorp 4 148.pdf", "Öppna PDF")</f>
        <v/>
      </c>
    </row>
    <row r="2295">
      <c r="A2295" t="inlineStr">
        <is>
          <t>KRAV-AUTO-002294</t>
        </is>
      </c>
      <c r="B2295" t="inlineStr">
        <is>
          <t>ADMIN-INDEX-2026-02-27-00000000125C043F57453246863FE664CAFE6A3F0700950291EA24F0614FB6ACEDB12BF0E31D00000000010C0000950291EA24F0614FB6ACEDB12BF0E31D00002087B1C90000</t>
        </is>
      </c>
      <c r="C2295" t="inlineStr">
        <is>
          <t>cmm4yun8700g2cuqw2kttlikj</t>
        </is>
      </c>
      <c r="D2295" t="inlineStr">
        <is>
          <t>http://localhost:8787/api/admin/requirements/documents/cmm4yun8700g2cuqw2kttlikj/view</t>
        </is>
      </c>
      <c r="E2295">
        <f>HYPERLÄNK("http://localhost:8787/api/admin/requirements/documents/cmm4yun8700g2cuqw2kttlikj/view";"Öppna PDF")</f>
        <v/>
      </c>
      <c r="F2295">
        <f>HYPERLINK("http://localhost:8787/api/admin/requirements/documents/cmm4yun8700g2cuqw2kttlikj/view","Open PDF")</f>
        <v/>
      </c>
      <c r="G2295" t="inlineStr">
        <is>
          <t>cmm55w57p0004cuisfrtpqly8</t>
        </is>
      </c>
      <c r="H2295" t="inlineStr">
        <is>
          <t>Beslutsvillkor</t>
        </is>
      </c>
      <c r="I2295" t="inlineStr">
        <is>
          <t>DagvattenLakvatten</t>
        </is>
      </c>
      <c r="J2295" t="inlineStr">
        <is>
          <t>Uppsamling</t>
        </is>
      </c>
      <c r="K2295" t="inlineStr">
        <is>
          <t>Genom att använda bergkross minskar man även risken för att förorena ett område som idag bedöms vara utan föroreningar.</t>
        </is>
      </c>
      <c r="L2295" t="inlineStr">
        <is>
          <t>Genom att använda bergkross minskar man även risken för att förorena ett område som idag bedöms vara utan föroreningar.</t>
        </is>
      </c>
      <c r="M2295" t="inlineStr">
        <is>
          <t>SKA</t>
        </is>
      </c>
      <c r="N2295" t="inlineStr"/>
      <c r="O2295" t="inlineStr"/>
      <c r="P2295" t="inlineStr"/>
      <c r="Q2295" t="inlineStr"/>
      <c r="R2295" t="inlineStr">
        <is>
          <t>Vid nederbord och avrinning</t>
        </is>
      </c>
      <c r="S2295" t="inlineStr"/>
      <c r="T2295" t="inlineStr">
        <is>
          <t>88 63 89</t>
        </is>
      </c>
      <c r="U2295" t="inlineStr"/>
      <c r="V2295" t="inlineStr"/>
      <c r="W2295" t="inlineStr">
        <is>
          <t>Nej</t>
        </is>
      </c>
      <c r="X2295" t="inlineStr">
        <is>
          <t>Ja</t>
        </is>
      </c>
      <c r="Y2295" t="inlineStr">
        <is>
          <t>Ja</t>
        </is>
      </c>
      <c r="Z2295" t="inlineStr">
        <is>
          <t>Nej</t>
        </is>
      </c>
      <c r="AA2295" t="n">
        <v>6</v>
      </c>
      <c r="AB2295" t="inlineStr">
        <is>
          <t>Lakvattenhantering</t>
        </is>
      </c>
      <c r="AC2295" t="inlineStr">
        <is>
          <t>Flodesschema dagvatten-lakvatten</t>
        </is>
      </c>
      <c r="AD2295" t="inlineStr">
        <is>
          <t>Nej</t>
        </is>
      </c>
      <c r="AE2295" t="inlineStr">
        <is>
          <t>Nej</t>
        </is>
      </c>
      <c r="AF2295" t="inlineStr">
        <is>
          <t>Ej behandlad</t>
        </is>
      </c>
      <c r="AG2295" t="inlineStr">
        <is>
          <t>AUTO_GENERERAD. Verifiera citat mot kallfil.</t>
        </is>
      </c>
      <c r="AH2295" t="inlineStr">
        <is>
          <t>MEDIUM</t>
        </is>
      </c>
      <c r="AI2295" t="inlineStr">
        <is>
          <t>AUTO</t>
        </is>
      </c>
      <c r="AJ2295" t="inlineStr">
        <is>
          <t>Nej</t>
        </is>
      </c>
      <c r="AK2295" t="inlineStr"/>
      <c r="AL2295" t="inlineStr"/>
      <c r="AM2295" t="inlineStr"/>
      <c r="AN2295" t="inlineStr"/>
      <c r="AO2295" t="inlineStr">
        <is>
          <t>cmm4yun8t00gkcuqw5rjsk96c</t>
        </is>
      </c>
      <c r="AP2295" t="inlineStr">
        <is>
          <t>http://localhost:8787/api/admin/requirements/documents/cmm4yun8t00gkcuqw5rjsk96c/view</t>
        </is>
      </c>
      <c r="AQ2295">
        <f>HYPERLÄNK("http://localhost:8787/api/admin/requirements/documents/cmm4yun8t00gkcuqw5rjsk96c/view";"Öppna PDF")</f>
        <v/>
      </c>
      <c r="AR2295">
        <f>HYPERLINK("http://localhost:8787/api/admin/requirements/documents/cmm4yun8t00gkcuqw5rjsk96c/view","Open PDF")</f>
        <v/>
      </c>
      <c r="AS2295" t="inlineStr">
        <is>
          <t>cmm55w57p0004cuisfrtpqly8</t>
        </is>
      </c>
      <c r="AT2295" t="inlineStr">
        <is>
          <t>cmm4xvu980000cuh4vj0usz09</t>
        </is>
      </c>
      <c r="AU2295" t="inlineStr">
        <is>
          <t>se Postadress Falkenbergs</t>
        </is>
      </c>
      <c r="AV2295" t="inlineStr">
        <is>
          <t>Kommun</t>
        </is>
      </c>
      <c r="AW2295" t="inlineStr">
        <is>
          <t>se Postadress Falkenbergs kommun</t>
        </is>
      </c>
      <c r="AX2295" t="inlineStr">
        <is>
          <t>2025-05</t>
        </is>
      </c>
      <c r="AY2295" t="inlineStr">
        <is>
          <t>Beslut</t>
        </is>
      </c>
      <c r="AZ2295" t="inlineStr">
        <is>
          <t>2026-02-03</t>
        </is>
      </c>
      <c r="BA2295" t="inlineStr">
        <is>
          <t>M-2025-1682_2025-05-16_Beslut (MHF MHN)_Skogstorp 4 148.pdf</t>
        </is>
      </c>
      <c r="BB2295" t="inlineStr">
        <is>
          <t>efterfrågade handlingar</t>
        </is>
      </c>
      <c r="BC2295" t="inlineStr">
        <is>
          <t>AUTO</t>
        </is>
      </c>
      <c r="BD2295" t="inlineStr"/>
      <c r="BE2295" t="inlineStr"/>
      <c r="BF2295" t="inlineStr">
        <is>
          <t>AUTO_GENERERAD. Bekrafta metadata mot kallfil.</t>
        </is>
      </c>
      <c r="BG2295">
        <f>HYPERLINK("C:\Users\jimmy\Desktop\Examens arbete\Kod\Ny mapp\remix_-copy-of-miljöbeslut.se-portal\M-2025-1682_2025-05-16_Beslut (MHF MHN)_Skogstorp 4 148.pdf", "Öppna PDF")</f>
        <v/>
      </c>
    </row>
    <row r="2296">
      <c r="A2296" t="inlineStr">
        <is>
          <t>KRAV-AUTO-002295</t>
        </is>
      </c>
      <c r="B2296" t="inlineStr">
        <is>
          <t>ADMIN-INDEX-2026-02-27-00000000125C043F57453246863FE664CAFE6A3F0700950291EA24F0614FB6ACEDB12BF0E31D00000000010C0000950291EA24F0614FB6ACEDB12BF0E31D00002087B1C90000</t>
        </is>
      </c>
      <c r="C2296" t="inlineStr">
        <is>
          <t>cmm4yun8700g2cuqw2kttlikj</t>
        </is>
      </c>
      <c r="D2296" t="inlineStr">
        <is>
          <t>http://localhost:8787/api/admin/requirements/documents/cmm4yun8700g2cuqw2kttlikj/view</t>
        </is>
      </c>
      <c r="E2296">
        <f>HYPERLÄNK("http://localhost:8787/api/admin/requirements/documents/cmm4yun8700g2cuqw2kttlikj/view";"Öppna PDF")</f>
        <v/>
      </c>
      <c r="F2296">
        <f>HYPERLINK("http://localhost:8787/api/admin/requirements/documents/cmm4yun8700g2cuqw2kttlikj/view","Open PDF")</f>
        <v/>
      </c>
      <c r="G2296" t="inlineStr">
        <is>
          <t>cmm55w57p0004cuisfrtpqly8</t>
        </is>
      </c>
      <c r="H2296" t="inlineStr">
        <is>
          <t>Beslutsvillkor</t>
        </is>
      </c>
      <c r="I2296" t="inlineStr">
        <is>
          <t>Ytkonstruktion</t>
        </is>
      </c>
      <c r="J2296" t="inlineStr">
        <is>
          <t>Tat yta</t>
        </is>
      </c>
      <c r="K2296" t="inlineStr">
        <is>
          <t>Bergkross uppvisar generellt högre och mer jämn teknisk kvalitet, bättre dränerings- och bärighetsegenskaper samt en lägre miljörisk över tid.</t>
        </is>
      </c>
      <c r="L2296" t="inlineStr">
        <is>
          <t>Bergkross uppvisar generellt högre och mer jämn teknisk kvalitet, bättre dränerings- och bärighetsegenskaper samt en lägre miljörisk över tid.</t>
        </is>
      </c>
      <c r="M2296" t="inlineStr">
        <is>
          <t>SKA</t>
        </is>
      </c>
      <c r="N2296" t="inlineStr"/>
      <c r="O2296" t="inlineStr"/>
      <c r="P2296" t="inlineStr"/>
      <c r="Q2296" t="inlineStr"/>
      <c r="R2296" t="inlineStr">
        <is>
          <t>Vid mellanlagring av avfall</t>
        </is>
      </c>
      <c r="S2296" t="inlineStr"/>
      <c r="T2296" t="inlineStr">
        <is>
          <t>88 63 89</t>
        </is>
      </c>
      <c r="U2296" t="inlineStr"/>
      <c r="V2296" t="inlineStr"/>
      <c r="W2296" t="inlineStr">
        <is>
          <t>Ja</t>
        </is>
      </c>
      <c r="X2296" t="inlineStr">
        <is>
          <t>Nej</t>
        </is>
      </c>
      <c r="Y2296" t="inlineStr">
        <is>
          <t>Nej</t>
        </is>
      </c>
      <c r="Z2296" t="inlineStr">
        <is>
          <t>Nej</t>
        </is>
      </c>
      <c r="AA2296" t="n">
        <v>5</v>
      </c>
      <c r="AB2296" t="inlineStr">
        <is>
          <t>Teknisk beskrivning av platta</t>
        </is>
      </c>
      <c r="AC2296" t="inlineStr">
        <is>
          <t>Teknisk ritning platta</t>
        </is>
      </c>
      <c r="AD2296" t="inlineStr">
        <is>
          <t>Nej</t>
        </is>
      </c>
      <c r="AE2296" t="inlineStr">
        <is>
          <t>Nej</t>
        </is>
      </c>
      <c r="AF2296" t="inlineStr">
        <is>
          <t>Ej behandlad</t>
        </is>
      </c>
      <c r="AG2296" t="inlineStr">
        <is>
          <t>AUTO_GENERERAD. Verifiera citat mot kallfil.</t>
        </is>
      </c>
      <c r="AH2296" t="inlineStr">
        <is>
          <t>MEDIUM</t>
        </is>
      </c>
      <c r="AI2296" t="inlineStr">
        <is>
          <t>AUTO</t>
        </is>
      </c>
      <c r="AJ2296" t="inlineStr">
        <is>
          <t>Nej</t>
        </is>
      </c>
      <c r="AK2296" t="inlineStr"/>
      <c r="AL2296" t="inlineStr"/>
      <c r="AM2296" t="inlineStr"/>
      <c r="AN2296" t="inlineStr"/>
      <c r="AO2296" t="inlineStr">
        <is>
          <t>cmm4yun8t00gkcuqw5rjsk96c</t>
        </is>
      </c>
      <c r="AP2296" t="inlineStr">
        <is>
          <t>http://localhost:8787/api/admin/requirements/documents/cmm4yun8t00gkcuqw5rjsk96c/view</t>
        </is>
      </c>
      <c r="AQ2296">
        <f>HYPERLÄNK("http://localhost:8787/api/admin/requirements/documents/cmm4yun8t00gkcuqw5rjsk96c/view";"Öppna PDF")</f>
        <v/>
      </c>
      <c r="AR2296">
        <f>HYPERLINK("http://localhost:8787/api/admin/requirements/documents/cmm4yun8t00gkcuqw5rjsk96c/view","Open PDF")</f>
        <v/>
      </c>
      <c r="AS2296" t="inlineStr">
        <is>
          <t>cmm55w57p0004cuisfrtpqly8</t>
        </is>
      </c>
      <c r="AT2296" t="inlineStr">
        <is>
          <t>cmm4xvu980000cuh4vj0usz09</t>
        </is>
      </c>
      <c r="AU2296" t="inlineStr">
        <is>
          <t>se Postadress Falkenbergs</t>
        </is>
      </c>
      <c r="AV2296" t="inlineStr">
        <is>
          <t>Kommun</t>
        </is>
      </c>
      <c r="AW2296" t="inlineStr">
        <is>
          <t>se Postadress Falkenbergs kommun</t>
        </is>
      </c>
      <c r="AX2296" t="inlineStr">
        <is>
          <t>2025-05</t>
        </is>
      </c>
      <c r="AY2296" t="inlineStr">
        <is>
          <t>Beslut</t>
        </is>
      </c>
      <c r="AZ2296" t="inlineStr">
        <is>
          <t>2026-02-03</t>
        </is>
      </c>
      <c r="BA2296" t="inlineStr">
        <is>
          <t>M-2025-1682_2025-05-16_Beslut (MHF MHN)_Skogstorp 4 148.pdf</t>
        </is>
      </c>
      <c r="BB2296" t="inlineStr">
        <is>
          <t>efterfrågade handlingar</t>
        </is>
      </c>
      <c r="BC2296" t="inlineStr">
        <is>
          <t>AUTO</t>
        </is>
      </c>
      <c r="BD2296" t="inlineStr"/>
      <c r="BE2296" t="inlineStr"/>
      <c r="BF2296" t="inlineStr">
        <is>
          <t>AUTO_GENERERAD. Bekrafta metadata mot kallfil.</t>
        </is>
      </c>
      <c r="BG2296">
        <f>HYPERLINK("C:\Users\jimmy\Desktop\Examens arbete\Kod\Ny mapp\remix_-copy-of-miljöbeslut.se-portal\M-2025-1682_2025-05-16_Beslut (MHF MHN)_Skogstorp 4 148.pdf", "Öppna PDF")</f>
        <v/>
      </c>
    </row>
    <row r="2297">
      <c r="A2297" t="inlineStr">
        <is>
          <t>KRAV-AUTO-002296</t>
        </is>
      </c>
      <c r="B2297" t="inlineStr">
        <is>
          <t>ADMIN-INDEX-2026-02-27-00000000125C043F57453246863FE664CAFE6A3F0700950291EA24F0614FB6ACEDB12BF0E31D00000000010C0000950291EA24F0614FB6ACEDB12BF0E31D00002087B1C90000</t>
        </is>
      </c>
      <c r="C2297" t="inlineStr">
        <is>
          <t>cmm4yun7a00fecuqwkvyp4adf</t>
        </is>
      </c>
      <c r="D2297" t="inlineStr">
        <is>
          <t>http://localhost:8787/api/admin/requirements/documents/cmm4yun7a00fecuqwkvyp4adf/view</t>
        </is>
      </c>
      <c r="E2297">
        <f>HYPERLÄNK("http://localhost:8787/api/admin/requirements/documents/cmm4yun7a00fecuqwkvyp4adf/view";"Öppna PDF")</f>
        <v/>
      </c>
      <c r="F2297">
        <f>HYPERLINK("http://localhost:8787/api/admin/requirements/documents/cmm4yun7a00fecuqwkvyp4adf/view","Open PDF")</f>
        <v/>
      </c>
      <c r="G2297" t="inlineStr">
        <is>
          <t>cmm55w57p0004cuisfrtpqly8</t>
        </is>
      </c>
      <c r="H2297" t="inlineStr">
        <is>
          <t>Beslutsvillkor</t>
        </is>
      </c>
      <c r="I2297" t="inlineStr">
        <is>
          <t>MiljopaverkanForsiktighet</t>
        </is>
      </c>
      <c r="J2297" t="inlineStr">
        <is>
          <t>Skyddsatgarder</t>
        </is>
      </c>
      <c r="K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7" t="inlineStr">
        <is>
          <t>SKA</t>
        </is>
      </c>
      <c r="N2297" t="inlineStr"/>
      <c r="O2297" t="inlineStr"/>
      <c r="P2297" t="inlineStr"/>
      <c r="Q2297" t="inlineStr">
        <is>
          <t>Forbud</t>
        </is>
      </c>
      <c r="R2297" t="inlineStr">
        <is>
          <t>Alltid</t>
        </is>
      </c>
      <c r="S2297" t="inlineStr"/>
      <c r="T2297" t="inlineStr">
        <is>
          <t>88 63 89</t>
        </is>
      </c>
      <c r="U2297" t="inlineStr"/>
      <c r="V2297" t="inlineStr"/>
      <c r="W2297" t="inlineStr">
        <is>
          <t>Nej</t>
        </is>
      </c>
      <c r="X2297" t="inlineStr">
        <is>
          <t>Nej</t>
        </is>
      </c>
      <c r="Y2297" t="inlineStr">
        <is>
          <t>Nej</t>
        </is>
      </c>
      <c r="Z2297" t="inlineStr">
        <is>
          <t>Nej</t>
        </is>
      </c>
      <c r="AA2297" t="n">
        <v>10</v>
      </c>
      <c r="AB2297" t="inlineStr">
        <is>
          <t>Miljopaverkan och forsiktighetsmatt</t>
        </is>
      </c>
      <c r="AC2297" t="inlineStr">
        <is>
          <t>Miljo-PM</t>
        </is>
      </c>
      <c r="AD2297" t="inlineStr">
        <is>
          <t>Nej</t>
        </is>
      </c>
      <c r="AE2297" t="inlineStr">
        <is>
          <t>Nej</t>
        </is>
      </c>
      <c r="AF2297" t="inlineStr">
        <is>
          <t>Ej behandlad</t>
        </is>
      </c>
      <c r="AG2297" t="inlineStr">
        <is>
          <t>AUTO_GENERERAD. Verifiera citat mot kallfil.</t>
        </is>
      </c>
      <c r="AH2297" t="inlineStr">
        <is>
          <t>MEDIUM</t>
        </is>
      </c>
      <c r="AI2297" t="inlineStr">
        <is>
          <t>AUTO</t>
        </is>
      </c>
      <c r="AJ2297" t="inlineStr">
        <is>
          <t>Nej</t>
        </is>
      </c>
      <c r="AK2297" t="inlineStr"/>
      <c r="AL2297" t="inlineStr"/>
      <c r="AM2297" t="inlineStr"/>
      <c r="AN2297" t="inlineStr"/>
      <c r="AO2297" t="inlineStr">
        <is>
          <t>cmm4yun8t00gkcuqw5rjsk96c</t>
        </is>
      </c>
      <c r="AP2297" t="inlineStr">
        <is>
          <t>http://localhost:8787/api/admin/requirements/documents/cmm4yun8t00gkcuqw5rjsk96c/view</t>
        </is>
      </c>
      <c r="AQ2297">
        <f>HYPERLÄNK("http://localhost:8787/api/admin/requirements/documents/cmm4yun8t00gkcuqw5rjsk96c/view";"Öppna PDF")</f>
        <v/>
      </c>
      <c r="AR2297">
        <f>HYPERLINK("http://localhost:8787/api/admin/requirements/documents/cmm4yun8t00gkcuqw5rjsk96c/view","Open PDF")</f>
        <v/>
      </c>
      <c r="AS2297" t="inlineStr">
        <is>
          <t>cmm55w57p0004cuisfrtpqly8</t>
        </is>
      </c>
      <c r="AT2297" t="inlineStr">
        <is>
          <t>cmm4xvu980000cuh4vj0usz09</t>
        </is>
      </c>
      <c r="AU2297" t="inlineStr">
        <is>
          <t>se Postadress Falkenbergs</t>
        </is>
      </c>
      <c r="AV2297" t="inlineStr">
        <is>
          <t>Kommun</t>
        </is>
      </c>
      <c r="AW2297" t="inlineStr">
        <is>
          <t>se Postadress Falkenbergs kommun</t>
        </is>
      </c>
      <c r="AX2297" t="inlineStr">
        <is>
          <t>2025-05</t>
        </is>
      </c>
      <c r="AY2297" t="inlineStr">
        <is>
          <t>Beslut</t>
        </is>
      </c>
      <c r="AZ2297" t="inlineStr">
        <is>
          <t>2026-02-03</t>
        </is>
      </c>
      <c r="BA2297" t="inlineStr">
        <is>
          <t>M-2025-1682_2025-05-16_Beslut (MHF MHN)_Skogstorp 4 148.pdf</t>
        </is>
      </c>
      <c r="BB2297" t="inlineStr">
        <is>
          <t>efterfrågade handlingar</t>
        </is>
      </c>
      <c r="BC2297" t="inlineStr">
        <is>
          <t>AUTO</t>
        </is>
      </c>
      <c r="BD2297" t="inlineStr"/>
      <c r="BE2297" t="inlineStr"/>
      <c r="BF2297" t="inlineStr">
        <is>
          <t>AUTO_GENERERAD. Bekrafta metadata mot kallfil.</t>
        </is>
      </c>
      <c r="BG2297">
        <f>HYPERLINK("C:\Users\jimmy\Desktop\Examens arbete\Kod\Ny mapp\remix_-copy-of-miljöbeslut.se-portal\M-2025-1682_2025-05-16_Beslut (MHF MHN)_Skogstorp 4 148.pdf", "Öppna PDF")</f>
        <v/>
      </c>
    </row>
    <row r="2298">
      <c r="A2298" t="inlineStr">
        <is>
          <t>KRAV-AUTO-002297</t>
        </is>
      </c>
      <c r="B2298" t="inlineStr">
        <is>
          <t>ADMIN-INDEX-2026-02-27-00000000125C043F57453246863FE664CAFE6A3F0700950291EA24F0614FB6ACEDB12BF0E31D00000000010C0000950291EA24F0614FB6ACEDB12BF0E31D00002087B1C90000</t>
        </is>
      </c>
      <c r="C2298" t="inlineStr">
        <is>
          <t>cmm4yun7a00fecuqwkvyp4adf</t>
        </is>
      </c>
      <c r="D2298" t="inlineStr">
        <is>
          <t>http://localhost:8787/api/admin/requirements/documents/cmm4yun7a00fecuqwkvyp4adf/view</t>
        </is>
      </c>
      <c r="E2298">
        <f>HYPERLÄNK("http://localhost:8787/api/admin/requirements/documents/cmm4yun7a00fecuqwkvyp4adf/view";"Öppna PDF")</f>
        <v/>
      </c>
      <c r="F2298">
        <f>HYPERLINK("http://localhost:8787/api/admin/requirements/documents/cmm4yun7a00fecuqwkvyp4adf/view","Open PDF")</f>
        <v/>
      </c>
      <c r="G2298" t="inlineStr">
        <is>
          <t>cmm55w57p0004cuisfrtpqly8</t>
        </is>
      </c>
      <c r="H2298" t="inlineStr">
        <is>
          <t>Beslutsvillkor</t>
        </is>
      </c>
      <c r="I2298" t="inlineStr">
        <is>
          <t>Riskhantering</t>
        </is>
      </c>
      <c r="J2298" t="inlineStr">
        <is>
          <t>Riskkontroll</t>
        </is>
      </c>
      <c r="K2298" t="inlineStr">
        <is>
          <t>11 § Den som hanterar avfall ska se till att hanteringen inte skadar eller orsakar risk för skada på människors hälsa eller miljön.</t>
        </is>
      </c>
      <c r="L2298" t="inlineStr">
        <is>
          <t>11 § Den som hanterar avfall ska se till att hanteringen inte skadar eller orsakar risk för skada på människors hälsa eller miljön.</t>
        </is>
      </c>
      <c r="M2298" t="inlineStr">
        <is>
          <t>SKA</t>
        </is>
      </c>
      <c r="N2298" t="inlineStr"/>
      <c r="O2298" t="inlineStr"/>
      <c r="P2298" t="inlineStr"/>
      <c r="Q2298" t="inlineStr"/>
      <c r="R2298" t="inlineStr">
        <is>
          <t>Vid risk for incident</t>
        </is>
      </c>
      <c r="S2298" t="inlineStr"/>
      <c r="T2298" t="inlineStr">
        <is>
          <t>88 63 89</t>
        </is>
      </c>
      <c r="U2298" t="inlineStr"/>
      <c r="V2298" t="inlineStr"/>
      <c r="W2298" t="inlineStr">
        <is>
          <t>Nej</t>
        </is>
      </c>
      <c r="X2298" t="inlineStr">
        <is>
          <t>Nej</t>
        </is>
      </c>
      <c r="Y2298" t="inlineStr">
        <is>
          <t>Ja</t>
        </is>
      </c>
      <c r="Z2298" t="inlineStr">
        <is>
          <t>Ja</t>
        </is>
      </c>
      <c r="AA2298" t="n">
        <v>8</v>
      </c>
      <c r="AB2298" t="inlineStr">
        <is>
          <t>Riskhantering</t>
        </is>
      </c>
      <c r="AC2298" t="inlineStr">
        <is>
          <t>Risk-PM</t>
        </is>
      </c>
      <c r="AD2298" t="inlineStr">
        <is>
          <t>Nej</t>
        </is>
      </c>
      <c r="AE2298" t="inlineStr">
        <is>
          <t>Nej</t>
        </is>
      </c>
      <c r="AF2298" t="inlineStr">
        <is>
          <t>Ej behandlad</t>
        </is>
      </c>
      <c r="AG2298" t="inlineStr">
        <is>
          <t>AUTO_GENERERAD. Verifiera citat mot kallfil.</t>
        </is>
      </c>
      <c r="AH2298" t="inlineStr">
        <is>
          <t>MEDIUM</t>
        </is>
      </c>
      <c r="AI2298" t="inlineStr">
        <is>
          <t>AUTO</t>
        </is>
      </c>
      <c r="AJ2298" t="inlineStr">
        <is>
          <t>Nej</t>
        </is>
      </c>
      <c r="AK2298" t="inlineStr"/>
      <c r="AL2298" t="inlineStr"/>
      <c r="AM2298" t="inlineStr"/>
      <c r="AN2298" t="inlineStr"/>
      <c r="AO2298" t="inlineStr">
        <is>
          <t>cmm4yun8t00gkcuqw5rjsk96c</t>
        </is>
      </c>
      <c r="AP2298" t="inlineStr">
        <is>
          <t>http://localhost:8787/api/admin/requirements/documents/cmm4yun8t00gkcuqw5rjsk96c/view</t>
        </is>
      </c>
      <c r="AQ2298">
        <f>HYPERLÄNK("http://localhost:8787/api/admin/requirements/documents/cmm4yun8t00gkcuqw5rjsk96c/view";"Öppna PDF")</f>
        <v/>
      </c>
      <c r="AR2298">
        <f>HYPERLINK("http://localhost:8787/api/admin/requirements/documents/cmm4yun8t00gkcuqw5rjsk96c/view","Open PDF")</f>
        <v/>
      </c>
      <c r="AS2298" t="inlineStr">
        <is>
          <t>cmm55w57p0004cuisfrtpqly8</t>
        </is>
      </c>
      <c r="AT2298" t="inlineStr">
        <is>
          <t>cmm4xvu980000cuh4vj0usz09</t>
        </is>
      </c>
      <c r="AU2298" t="inlineStr">
        <is>
          <t>se Postadress Falkenbergs</t>
        </is>
      </c>
      <c r="AV2298" t="inlineStr">
        <is>
          <t>Kommun</t>
        </is>
      </c>
      <c r="AW2298" t="inlineStr">
        <is>
          <t>se Postadress Falkenbergs kommun</t>
        </is>
      </c>
      <c r="AX2298" t="inlineStr">
        <is>
          <t>2025-05</t>
        </is>
      </c>
      <c r="AY2298" t="inlineStr">
        <is>
          <t>Beslut</t>
        </is>
      </c>
      <c r="AZ2298" t="inlineStr">
        <is>
          <t>2026-02-03</t>
        </is>
      </c>
      <c r="BA2298" t="inlineStr">
        <is>
          <t>M-2025-1682_2025-05-16_Beslut (MHF MHN)_Skogstorp 4 148.pdf</t>
        </is>
      </c>
      <c r="BB2298" t="inlineStr">
        <is>
          <t>efterfrågade handlingar</t>
        </is>
      </c>
      <c r="BC2298" t="inlineStr">
        <is>
          <t>AUTO</t>
        </is>
      </c>
      <c r="BD2298" t="inlineStr"/>
      <c r="BE2298" t="inlineStr"/>
      <c r="BF2298" t="inlineStr">
        <is>
          <t>AUTO_GENERERAD. Bekrafta metadata mot kallfil.</t>
        </is>
      </c>
      <c r="BG2298">
        <f>HYPERLINK("C:\Users\jimmy\Desktop\Examens arbete\Kod\Ny mapp\remix_-copy-of-miljöbeslut.se-portal\M-2025-1682_2025-05-16_Beslut (MHF MHN)_Skogstorp 4 148.pdf", "Öppna PDF")</f>
        <v/>
      </c>
    </row>
    <row r="2299">
      <c r="A2299" t="inlineStr">
        <is>
          <t>KRAV-AUTO-002298</t>
        </is>
      </c>
      <c r="B2299" t="inlineStr">
        <is>
          <t>ADMIN-INDEX-2026-02-27-00000000125C043F57453246863FE664CAFE6A3F0700950291EA24F0614FB6ACEDB12BF0E31D00000000010C0000950291EA24F0614FB6ACEDB12BF0E31D00002087B1C90000</t>
        </is>
      </c>
      <c r="C2299" t="inlineStr">
        <is>
          <t>cmm4yun7a00fecuqwkvyp4adf</t>
        </is>
      </c>
      <c r="D2299" t="inlineStr">
        <is>
          <t>http://localhost:8787/api/admin/requirements/documents/cmm4yun7a00fecuqwkvyp4adf/view</t>
        </is>
      </c>
      <c r="E2299">
        <f>HYPERLÄNK("http://localhost:8787/api/admin/requirements/documents/cmm4yun7a00fecuqwkvyp4adf/view";"Öppna PDF")</f>
        <v/>
      </c>
      <c r="F2299">
        <f>HYPERLINK("http://localhost:8787/api/admin/requirements/documents/cmm4yun7a00fecuqwkvyp4adf/view","Open PDF")</f>
        <v/>
      </c>
      <c r="G2299" t="inlineStr">
        <is>
          <t>cmm55w57p0004cuisfrtpqly8</t>
        </is>
      </c>
      <c r="H2299" t="inlineStr">
        <is>
          <t>Beslutsvillkor</t>
        </is>
      </c>
      <c r="I2299" t="inlineStr">
        <is>
          <t>LagringsvolymTid</t>
        </is>
      </c>
      <c r="J2299" t="inlineStr">
        <is>
          <t>Maxmangd</t>
        </is>
      </c>
      <c r="K2299" t="inlineStr">
        <is>
          <t>Verksamheten uppger att avfallsmassorna som ska återvinnas är betong- och tegelkross som kommer från rivning av de hus som har funnits på fastigheterna Ullared 1:92 och Ullared 8:12.</t>
        </is>
      </c>
      <c r="L2299" t="inlineStr">
        <is>
          <t>Verksamheten uppger att avfallsmassorna som ska återvinnas är betong- och tegelkross som kommer från rivning av de hus som har funnits på fastigheterna Ullared 1:92 och Ullared 8:12.</t>
        </is>
      </c>
      <c r="M2299" t="inlineStr">
        <is>
          <t>SKA</t>
        </is>
      </c>
      <c r="N2299" t="inlineStr"/>
      <c r="O2299" t="inlineStr"/>
      <c r="P2299" t="inlineStr"/>
      <c r="Q2299" t="inlineStr"/>
      <c r="R2299" t="inlineStr">
        <is>
          <t>Alltid</t>
        </is>
      </c>
      <c r="S2299" t="inlineStr"/>
      <c r="T2299" t="inlineStr">
        <is>
          <t>88 63 89</t>
        </is>
      </c>
      <c r="U2299" t="inlineStr"/>
      <c r="V2299" t="inlineStr"/>
      <c r="W2299" t="inlineStr">
        <is>
          <t>Nej</t>
        </is>
      </c>
      <c r="X2299" t="inlineStr">
        <is>
          <t>Nej</t>
        </is>
      </c>
      <c r="Y2299" t="inlineStr">
        <is>
          <t>Nej</t>
        </is>
      </c>
      <c r="Z2299" t="inlineStr">
        <is>
          <t>Nej</t>
        </is>
      </c>
      <c r="AA2299" t="n">
        <v>4</v>
      </c>
      <c r="AB2299" t="inlineStr">
        <is>
          <t>Avfallsmangder och lagringstid</t>
        </is>
      </c>
      <c r="AC2299" t="inlineStr">
        <is>
          <t>Avfallsforteckning</t>
        </is>
      </c>
      <c r="AD2299" t="inlineStr">
        <is>
          <t>Nej</t>
        </is>
      </c>
      <c r="AE2299" t="inlineStr">
        <is>
          <t>Nej</t>
        </is>
      </c>
      <c r="AF2299" t="inlineStr">
        <is>
          <t>Ej behandlad</t>
        </is>
      </c>
      <c r="AG2299" t="inlineStr">
        <is>
          <t>AUTO_GENERERAD. Verifiera citat mot kallfil.</t>
        </is>
      </c>
      <c r="AH2299" t="inlineStr">
        <is>
          <t>MEDIUM</t>
        </is>
      </c>
      <c r="AI2299" t="inlineStr">
        <is>
          <t>AUTO</t>
        </is>
      </c>
      <c r="AJ2299" t="inlineStr">
        <is>
          <t>Nej</t>
        </is>
      </c>
      <c r="AK2299" t="inlineStr"/>
      <c r="AL2299" t="inlineStr"/>
      <c r="AM2299" t="inlineStr"/>
      <c r="AN2299" t="inlineStr"/>
      <c r="AO2299" t="inlineStr">
        <is>
          <t>cmm4yun8t00gkcuqw5rjsk96c</t>
        </is>
      </c>
      <c r="AP2299" t="inlineStr">
        <is>
          <t>http://localhost:8787/api/admin/requirements/documents/cmm4yun8t00gkcuqw5rjsk96c/view</t>
        </is>
      </c>
      <c r="AQ2299">
        <f>HYPERLÄNK("http://localhost:8787/api/admin/requirements/documents/cmm4yun8t00gkcuqw5rjsk96c/view";"Öppna PDF")</f>
        <v/>
      </c>
      <c r="AR2299">
        <f>HYPERLINK("http://localhost:8787/api/admin/requirements/documents/cmm4yun8t00gkcuqw5rjsk96c/view","Open PDF")</f>
        <v/>
      </c>
      <c r="AS2299" t="inlineStr">
        <is>
          <t>cmm55w57p0004cuisfrtpqly8</t>
        </is>
      </c>
      <c r="AT2299" t="inlineStr">
        <is>
          <t>cmm4xvu980000cuh4vj0usz09</t>
        </is>
      </c>
      <c r="AU2299" t="inlineStr">
        <is>
          <t>se Postadress Falkenbergs</t>
        </is>
      </c>
      <c r="AV2299" t="inlineStr">
        <is>
          <t>Kommun</t>
        </is>
      </c>
      <c r="AW2299" t="inlineStr">
        <is>
          <t>se Postadress Falkenbergs kommun</t>
        </is>
      </c>
      <c r="AX2299" t="inlineStr">
        <is>
          <t>2025-05</t>
        </is>
      </c>
      <c r="AY2299" t="inlineStr">
        <is>
          <t>Beslut</t>
        </is>
      </c>
      <c r="AZ2299" t="inlineStr">
        <is>
          <t>2026-02-03</t>
        </is>
      </c>
      <c r="BA2299" t="inlineStr">
        <is>
          <t>M-2025-1682_2025-05-16_Beslut (MHF MHN)_Skogstorp 4 148.pdf</t>
        </is>
      </c>
      <c r="BB2299" t="inlineStr">
        <is>
          <t>efterfrågade handlingar</t>
        </is>
      </c>
      <c r="BC2299" t="inlineStr">
        <is>
          <t>AUTO</t>
        </is>
      </c>
      <c r="BD2299" t="inlineStr"/>
      <c r="BE2299" t="inlineStr"/>
      <c r="BF2299" t="inlineStr">
        <is>
          <t>AUTO_GENERERAD. Bekrafta metadata mot kallfil.</t>
        </is>
      </c>
      <c r="BG2299">
        <f>HYPERLINK("C:\Users\jimmy\Desktop\Examens arbete\Kod\Ny mapp\remix_-copy-of-miljöbeslut.se-portal\M-2025-1682_2025-05-16_Beslut (MHF MHN)_Skogstorp 4 148.pdf", "Öppna PDF")</f>
        <v/>
      </c>
    </row>
    <row r="2300">
      <c r="A2300" t="inlineStr">
        <is>
          <t>KRAV-AUTO-002299</t>
        </is>
      </c>
      <c r="B2300" t="inlineStr">
        <is>
          <t>ADMIN-INDEX-2026-02-27-00000000125C043F57453246863FE664CAFE6A3F0700950291EA24F0614FB6ACEDB12BF0E31D00000000010C0000950291EA24F0614FB6ACEDB12BF0E31D00002087B1CA0000</t>
        </is>
      </c>
      <c r="C2300" t="inlineStr">
        <is>
          <t>cmm4yun6j00etcuqwhdlqrqoa</t>
        </is>
      </c>
      <c r="D2300" t="inlineStr">
        <is>
          <t>http://localhost:8787/api/admin/requirements/documents/cmm4yun6j00etcuqwhdlqrqoa/view</t>
        </is>
      </c>
      <c r="E2300">
        <f>HYPERLÄNK("http://localhost:8787/api/admin/requirements/documents/cmm4yun6j00etcuqwhdlqrqoa/view";"Öppna PDF")</f>
        <v/>
      </c>
      <c r="F2300">
        <f>HYPERLINK("http://localhost:8787/api/admin/requirements/documents/cmm4yun6j00etcuqwhdlqrqoa/view","Open PDF")</f>
        <v/>
      </c>
      <c r="G2300" t="inlineStr">
        <is>
          <t>cmm55w57p0004cuisfrtpqly8</t>
        </is>
      </c>
      <c r="H2300" t="inlineStr">
        <is>
          <t>Beslutsvillkor</t>
        </is>
      </c>
      <c r="I2300" t="inlineStr">
        <is>
          <t>LagringsvolymTid</t>
        </is>
      </c>
      <c r="J2300" t="inlineStr">
        <is>
          <t>Maxmangd</t>
        </is>
      </c>
      <c r="K2300" t="inlineStr">
        <is>
          <t>Betongen ska användas till anläggningen på fastigheten Motorn 18 och får inte överskrida 700 ton.</t>
        </is>
      </c>
      <c r="L2300" t="inlineStr">
        <is>
          <t>Betongen ska användas till anläggningen på fastigheten Motorn 18 och får inte överskrida 700 ton.</t>
        </is>
      </c>
      <c r="M2300" t="inlineStr">
        <is>
          <t>SKA</t>
        </is>
      </c>
      <c r="N2300" t="inlineStr"/>
      <c r="O2300" t="inlineStr"/>
      <c r="P2300" t="inlineStr"/>
      <c r="Q2300" t="inlineStr">
        <is>
          <t>Driftbegransning vid avvikelse</t>
        </is>
      </c>
      <c r="R2300" t="inlineStr">
        <is>
          <t>Alltid</t>
        </is>
      </c>
      <c r="S2300" t="inlineStr"/>
      <c r="T2300" t="inlineStr">
        <is>
          <t>88 50 42</t>
        </is>
      </c>
      <c r="U2300" t="n">
        <v>700</v>
      </c>
      <c r="V2300" t="inlineStr"/>
      <c r="W2300" t="inlineStr">
        <is>
          <t>Nej</t>
        </is>
      </c>
      <c r="X2300" t="inlineStr">
        <is>
          <t>Nej</t>
        </is>
      </c>
      <c r="Y2300" t="inlineStr">
        <is>
          <t>Nej</t>
        </is>
      </c>
      <c r="Z2300" t="inlineStr">
        <is>
          <t>Nej</t>
        </is>
      </c>
      <c r="AA2300" t="n">
        <v>4</v>
      </c>
      <c r="AB2300" t="inlineStr">
        <is>
          <t>Avfallsmangder och lagringstid</t>
        </is>
      </c>
      <c r="AC2300" t="inlineStr">
        <is>
          <t>Avfallsforteckning</t>
        </is>
      </c>
      <c r="AD2300" t="inlineStr">
        <is>
          <t>Nej</t>
        </is>
      </c>
      <c r="AE2300" t="inlineStr">
        <is>
          <t>Nej</t>
        </is>
      </c>
      <c r="AF2300" t="inlineStr">
        <is>
          <t>Ej behandlad</t>
        </is>
      </c>
      <c r="AG2300" t="inlineStr">
        <is>
          <t>AUTO_GENERERAD. Verifiera citat mot kallfil.</t>
        </is>
      </c>
      <c r="AH2300" t="inlineStr">
        <is>
          <t>MEDIUM</t>
        </is>
      </c>
      <c r="AI2300" t="inlineStr">
        <is>
          <t>AUTO</t>
        </is>
      </c>
      <c r="AJ2300" t="inlineStr">
        <is>
          <t>Nej</t>
        </is>
      </c>
      <c r="AK2300" t="inlineStr"/>
      <c r="AL2300" t="inlineStr"/>
      <c r="AM2300" t="inlineStr"/>
      <c r="AN2300" t="inlineStr"/>
      <c r="AO2300" t="inlineStr">
        <is>
          <t>cmm4yun6j00etcuqwhdlqrqoa</t>
        </is>
      </c>
      <c r="AP2300" t="inlineStr">
        <is>
          <t>http://localhost:8787/api/admin/requirements/documents/cmm4yun6j00etcuqwhdlqrqoa/view</t>
        </is>
      </c>
      <c r="AQ2300">
        <f>HYPERLÄNK("http://localhost:8787/api/admin/requirements/documents/cmm4yun6j00etcuqwhdlqrqoa/view";"Öppna PDF")</f>
        <v/>
      </c>
      <c r="AR2300">
        <f>HYPERLINK("http://localhost:8787/api/admin/requirements/documents/cmm4yun6j00etcuqwhdlqrqoa/view","Open PDF")</f>
        <v/>
      </c>
      <c r="AS2300" t="inlineStr">
        <is>
          <t>cmm55w57p0004cuisfrtpqly8</t>
        </is>
      </c>
      <c r="AT2300" t="inlineStr">
        <is>
          <t>cmm4xvu980000cuh4vj0usz09</t>
        </is>
      </c>
      <c r="AU2300" t="inlineStr">
        <is>
          <t>Falkenberg Postadress Falkenbergs</t>
        </is>
      </c>
      <c r="AV2300" t="inlineStr">
        <is>
          <t>Kommun</t>
        </is>
      </c>
      <c r="AW2300" t="inlineStr">
        <is>
          <t>Falkenberg Postadress Falkenbergs kommun</t>
        </is>
      </c>
      <c r="AX2300" t="inlineStr">
        <is>
          <t>2025-02</t>
        </is>
      </c>
      <c r="AY2300" t="inlineStr">
        <is>
          <t>Beslut</t>
        </is>
      </c>
      <c r="AZ2300" t="inlineStr">
        <is>
          <t>2026-02-03</t>
        </is>
      </c>
      <c r="BA2300" t="inlineStr">
        <is>
          <t>M-2024-2848_2025-01-02_Beslut (MHF MHN)_Magasinet 1.pdf</t>
        </is>
      </c>
      <c r="BB2300" t="inlineStr">
        <is>
          <t>Efterfrågade handlingar</t>
        </is>
      </c>
      <c r="BC2300" t="inlineStr">
        <is>
          <t>AUTO</t>
        </is>
      </c>
      <c r="BD2300" t="inlineStr"/>
      <c r="BE2300" t="inlineStr"/>
      <c r="BF2300" t="inlineStr">
        <is>
          <t>AUTO_GENERERAD. Bekrafta metadata mot kallfil.</t>
        </is>
      </c>
      <c r="BG2300">
        <f>HYPERLINK("C:\Users\jimmy\Desktop\Examens arbete\Kod\Ny mapp\remix_-copy-of-miljöbeslut.se-portal\M-2024-2848_2025-01-02_Beslut (MHF MHN)_Magasinet 1.pdf", "Öppna PDF")</f>
        <v/>
      </c>
    </row>
    <row r="2301">
      <c r="A2301" t="inlineStr">
        <is>
          <t>KRAV-AUTO-002300</t>
        </is>
      </c>
      <c r="B2301" t="inlineStr">
        <is>
          <t>ADMIN-INDEX-2026-02-27-00000000125C043F57453246863FE664CAFE6A3F0700950291EA24F0614FB6ACEDB12BF0E31D00000000010C0000950291EA24F0614FB6ACEDB12BF0E31D00002087B1CA0000</t>
        </is>
      </c>
      <c r="C2301" t="inlineStr">
        <is>
          <t>cmm4yun6j00etcuqwhdlqrqoa</t>
        </is>
      </c>
      <c r="D2301" t="inlineStr">
        <is>
          <t>http://localhost:8787/api/admin/requirements/documents/cmm4yun6j00etcuqwhdlqrqoa/view</t>
        </is>
      </c>
      <c r="E2301">
        <f>HYPERLÄNK("http://localhost:8787/api/admin/requirements/documents/cmm4yun6j00etcuqwhdlqrqoa/view";"Öppna PDF")</f>
        <v/>
      </c>
      <c r="F2301">
        <f>HYPERLINK("http://localhost:8787/api/admin/requirements/documents/cmm4yun6j00etcuqwhdlqrqoa/view","Open PDF")</f>
        <v/>
      </c>
      <c r="G2301" t="inlineStr">
        <is>
          <t>cmm55w57p0004cuisfrtpqly8</t>
        </is>
      </c>
      <c r="H2301" t="inlineStr">
        <is>
          <t>Beslutsvillkor</t>
        </is>
      </c>
      <c r="I2301" t="inlineStr">
        <is>
          <t>MiljopaverkanForsiktighet</t>
        </is>
      </c>
      <c r="J2301" t="inlineStr">
        <is>
          <t>Skyddsatgarder</t>
        </is>
      </c>
      <c r="K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Falkenbergs Terminal AB:s anmälan om återvinning av icke-farligt avfall för anläggningsändamål.</t>
        </is>
      </c>
      <c r="L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t>
        </is>
      </c>
      <c r="M2301" t="inlineStr">
        <is>
          <t>SKA</t>
        </is>
      </c>
      <c r="N2301" t="inlineStr"/>
      <c r="O2301" t="inlineStr"/>
      <c r="P2301" t="inlineStr">
        <is>
          <t>Arlig</t>
        </is>
      </c>
      <c r="Q2301" t="inlineStr">
        <is>
          <t>Forbud</t>
        </is>
      </c>
      <c r="R2301" t="inlineStr">
        <is>
          <t>Alltid</t>
        </is>
      </c>
      <c r="S2301" t="inlineStr"/>
      <c r="T2301" t="inlineStr">
        <is>
          <t>88 50 42</t>
        </is>
      </c>
      <c r="U2301" t="inlineStr"/>
      <c r="V2301" t="inlineStr"/>
      <c r="W2301" t="inlineStr">
        <is>
          <t>Nej</t>
        </is>
      </c>
      <c r="X2301" t="inlineStr">
        <is>
          <t>Nej</t>
        </is>
      </c>
      <c r="Y2301" t="inlineStr">
        <is>
          <t>Nej</t>
        </is>
      </c>
      <c r="Z2301" t="inlineStr">
        <is>
          <t>Nej</t>
        </is>
      </c>
      <c r="AA2301" t="n">
        <v>10</v>
      </c>
      <c r="AB2301" t="inlineStr">
        <is>
          <t>Miljopaverkan och forsiktighetsmatt</t>
        </is>
      </c>
      <c r="AC2301" t="inlineStr">
        <is>
          <t>Miljo-PM</t>
        </is>
      </c>
      <c r="AD2301" t="inlineStr">
        <is>
          <t>Nej</t>
        </is>
      </c>
      <c r="AE2301" t="inlineStr">
        <is>
          <t>Nej</t>
        </is>
      </c>
      <c r="AF2301" t="inlineStr">
        <is>
          <t>Ej behandlad</t>
        </is>
      </c>
      <c r="AG2301" t="inlineStr">
        <is>
          <t>AUTO_GENERERAD. Verifiera citat mot kallfil.</t>
        </is>
      </c>
      <c r="AH2301" t="inlineStr">
        <is>
          <t>MEDIUM</t>
        </is>
      </c>
      <c r="AI2301" t="inlineStr">
        <is>
          <t>AUTO</t>
        </is>
      </c>
      <c r="AJ2301" t="inlineStr">
        <is>
          <t>Nej</t>
        </is>
      </c>
      <c r="AK2301" t="inlineStr"/>
      <c r="AL2301" t="inlineStr"/>
      <c r="AM2301" t="inlineStr"/>
      <c r="AN2301" t="inlineStr"/>
      <c r="AO2301" t="inlineStr">
        <is>
          <t>cmm4yun6j00etcuqwhdlqrqoa</t>
        </is>
      </c>
      <c r="AP2301" t="inlineStr">
        <is>
          <t>http://localhost:8787/api/admin/requirements/documents/cmm4yun6j00etcuqwhdlqrqoa/view</t>
        </is>
      </c>
      <c r="AQ2301">
        <f>HYPERLÄNK("http://localhost:8787/api/admin/requirements/documents/cmm4yun6j00etcuqwhdlqrqoa/view";"Öppna PDF")</f>
        <v/>
      </c>
      <c r="AR2301">
        <f>HYPERLINK("http://localhost:8787/api/admin/requirements/documents/cmm4yun6j00etcuqwhdlqrqoa/view","Open PDF")</f>
        <v/>
      </c>
      <c r="AS2301" t="inlineStr">
        <is>
          <t>cmm55w57p0004cuisfrtpqly8</t>
        </is>
      </c>
      <c r="AT2301" t="inlineStr">
        <is>
          <t>cmm4xvu980000cuh4vj0usz09</t>
        </is>
      </c>
      <c r="AU2301" t="inlineStr">
        <is>
          <t>Falkenberg Postadress Falkenbergs</t>
        </is>
      </c>
      <c r="AV2301" t="inlineStr">
        <is>
          <t>Kommun</t>
        </is>
      </c>
      <c r="AW2301" t="inlineStr">
        <is>
          <t>Falkenberg Postadress Falkenbergs kommun</t>
        </is>
      </c>
      <c r="AX2301" t="inlineStr">
        <is>
          <t>2025-02</t>
        </is>
      </c>
      <c r="AY2301" t="inlineStr">
        <is>
          <t>Beslut</t>
        </is>
      </c>
      <c r="AZ2301" t="inlineStr">
        <is>
          <t>2026-02-03</t>
        </is>
      </c>
      <c r="BA2301" t="inlineStr">
        <is>
          <t>M-2024-2848_2025-01-02_Beslut (MHF MHN)_Magasinet 1.pdf</t>
        </is>
      </c>
      <c r="BB2301" t="inlineStr">
        <is>
          <t>Efterfrågade handlingar</t>
        </is>
      </c>
      <c r="BC2301" t="inlineStr">
        <is>
          <t>AUTO</t>
        </is>
      </c>
      <c r="BD2301" t="inlineStr"/>
      <c r="BE2301" t="inlineStr"/>
      <c r="BF2301" t="inlineStr">
        <is>
          <t>AUTO_GENERERAD. Bekrafta metadata mot kallfil.</t>
        </is>
      </c>
      <c r="BG2301">
        <f>HYPERLINK("C:\Users\jimmy\Desktop\Examens arbete\Kod\Ny mapp\remix_-copy-of-miljöbeslut.se-portal\M-2024-2848_2025-01-02_Beslut (MHF MHN)_Magasinet 1.pdf", "Öppna PDF")</f>
        <v/>
      </c>
    </row>
    <row r="2302">
      <c r="A2302" t="inlineStr">
        <is>
          <t>KRAV-AUTO-002301</t>
        </is>
      </c>
      <c r="B2302" t="inlineStr">
        <is>
          <t>ADMIN-INDEX-2026-02-27-00000000125C043F57453246863FE664CAFE6A3F0700950291EA24F0614FB6ACEDB12BF0E31D00000000010C0000950291EA24F0614FB6ACEDB12BF0E31D00002087B1CA0000</t>
        </is>
      </c>
      <c r="C2302" t="inlineStr">
        <is>
          <t>cmm4yun6j00etcuqwhdlqrqoa</t>
        </is>
      </c>
      <c r="D2302" t="inlineStr">
        <is>
          <t>http://localhost:8787/api/admin/requirements/documents/cmm4yun6j00etcuqwhdlqrqoa/view</t>
        </is>
      </c>
      <c r="E2302">
        <f>HYPERLÄNK("http://localhost:8787/api/admin/requirements/documents/cmm4yun6j00etcuqwhdlqrqoa/view";"Öppna PDF")</f>
        <v/>
      </c>
      <c r="F2302">
        <f>HYPERLINK("http://localhost:8787/api/admin/requirements/documents/cmm4yun6j00etcuqwhdlqrqoa/view","Open PDF")</f>
        <v/>
      </c>
      <c r="G2302" t="inlineStr">
        <is>
          <t>cmm55w57p0004cuisfrtpqly8</t>
        </is>
      </c>
      <c r="H2302" t="inlineStr">
        <is>
          <t>Beslutsvillkor</t>
        </is>
      </c>
      <c r="I2302" t="inlineStr">
        <is>
          <t>LagringsvolymTid</t>
        </is>
      </c>
      <c r="J2302" t="inlineStr">
        <is>
          <t>Maxmangd</t>
        </is>
      </c>
      <c r="K2302" t="inlineStr">
        <is>
          <t>minska mängden avfall, 2.</t>
        </is>
      </c>
      <c r="L2302" t="inlineStr">
        <is>
          <t>minska mängden avfall, 2.</t>
        </is>
      </c>
      <c r="M2302" t="inlineStr">
        <is>
          <t>SKA</t>
        </is>
      </c>
      <c r="N2302" t="inlineStr"/>
      <c r="O2302" t="inlineStr"/>
      <c r="P2302" t="inlineStr"/>
      <c r="Q2302" t="inlineStr"/>
      <c r="R2302" t="inlineStr">
        <is>
          <t>Alltid</t>
        </is>
      </c>
      <c r="S2302" t="inlineStr"/>
      <c r="T2302" t="inlineStr">
        <is>
          <t>88 50 42</t>
        </is>
      </c>
      <c r="U2302" t="inlineStr"/>
      <c r="V2302" t="inlineStr"/>
      <c r="W2302" t="inlineStr">
        <is>
          <t>Nej</t>
        </is>
      </c>
      <c r="X2302" t="inlineStr">
        <is>
          <t>Nej</t>
        </is>
      </c>
      <c r="Y2302" t="inlineStr">
        <is>
          <t>Nej</t>
        </is>
      </c>
      <c r="Z2302" t="inlineStr">
        <is>
          <t>Nej</t>
        </is>
      </c>
      <c r="AA2302" t="n">
        <v>4</v>
      </c>
      <c r="AB2302" t="inlineStr">
        <is>
          <t>Avfallsmangder och lagringstid</t>
        </is>
      </c>
      <c r="AC2302" t="inlineStr">
        <is>
          <t>Avfallsforteckning</t>
        </is>
      </c>
      <c r="AD2302" t="inlineStr">
        <is>
          <t>Nej</t>
        </is>
      </c>
      <c r="AE2302" t="inlineStr">
        <is>
          <t>Nej</t>
        </is>
      </c>
      <c r="AF2302" t="inlineStr">
        <is>
          <t>Ej behandlad</t>
        </is>
      </c>
      <c r="AG2302" t="inlineStr">
        <is>
          <t>AUTO_GENERERAD. Verifiera citat mot kallfil.</t>
        </is>
      </c>
      <c r="AH2302" t="inlineStr">
        <is>
          <t>LOW</t>
        </is>
      </c>
      <c r="AI2302" t="inlineStr">
        <is>
          <t>AUTO</t>
        </is>
      </c>
      <c r="AJ2302" t="inlineStr">
        <is>
          <t>Nej</t>
        </is>
      </c>
      <c r="AK2302" t="inlineStr"/>
      <c r="AL2302" t="inlineStr"/>
      <c r="AM2302" t="inlineStr"/>
      <c r="AN2302" t="inlineStr"/>
      <c r="AO2302" t="inlineStr">
        <is>
          <t>cmm4yun6j00etcuqwhdlqrqoa</t>
        </is>
      </c>
      <c r="AP2302" t="inlineStr">
        <is>
          <t>http://localhost:8787/api/admin/requirements/documents/cmm4yun6j00etcuqwhdlqrqoa/view</t>
        </is>
      </c>
      <c r="AQ2302">
        <f>HYPERLÄNK("http://localhost:8787/api/admin/requirements/documents/cmm4yun6j00etcuqwhdlqrqoa/view";"Öppna PDF")</f>
        <v/>
      </c>
      <c r="AR2302">
        <f>HYPERLINK("http://localhost:8787/api/admin/requirements/documents/cmm4yun6j00etcuqwhdlqrqoa/view","Open PDF")</f>
        <v/>
      </c>
      <c r="AS2302" t="inlineStr">
        <is>
          <t>cmm55w57p0004cuisfrtpqly8</t>
        </is>
      </c>
      <c r="AT2302" t="inlineStr">
        <is>
          <t>cmm4xvu980000cuh4vj0usz09</t>
        </is>
      </c>
      <c r="AU2302" t="inlineStr">
        <is>
          <t>Falkenberg Postadress Falkenbergs</t>
        </is>
      </c>
      <c r="AV2302" t="inlineStr">
        <is>
          <t>Kommun</t>
        </is>
      </c>
      <c r="AW2302" t="inlineStr">
        <is>
          <t>Falkenberg Postadress Falkenbergs kommun</t>
        </is>
      </c>
      <c r="AX2302" t="inlineStr">
        <is>
          <t>2025-02</t>
        </is>
      </c>
      <c r="AY2302" t="inlineStr">
        <is>
          <t>Beslut</t>
        </is>
      </c>
      <c r="AZ2302" t="inlineStr">
        <is>
          <t>2026-02-03</t>
        </is>
      </c>
      <c r="BA2302" t="inlineStr">
        <is>
          <t>M-2024-2848_2025-01-02_Beslut (MHF MHN)_Magasinet 1.pdf</t>
        </is>
      </c>
      <c r="BB2302" t="inlineStr">
        <is>
          <t>Efterfrågade handlingar</t>
        </is>
      </c>
      <c r="BC2302" t="inlineStr">
        <is>
          <t>AUTO</t>
        </is>
      </c>
      <c r="BD2302" t="inlineStr"/>
      <c r="BE2302" t="inlineStr"/>
      <c r="BF2302" t="inlineStr">
        <is>
          <t>AUTO_GENERERAD. Bekrafta metadata mot kallfil.</t>
        </is>
      </c>
      <c r="BG2302">
        <f>HYPERLINK("C:\Users\jimmy\Desktop\Examens arbete\Kod\Ny mapp\remix_-copy-of-miljöbeslut.se-portal\M-2024-2848_2025-01-02_Beslut (MHF MHN)_Magasinet 1.pdf", "Öppna PDF")</f>
        <v/>
      </c>
    </row>
    <row r="2303">
      <c r="A2303" t="inlineStr">
        <is>
          <t>KRAV-AUTO-002302</t>
        </is>
      </c>
      <c r="B2303" t="inlineStr">
        <is>
          <t>ADMIN-INDEX-2026-02-27-00000000125C043F57453246863FE664CAFE6A3F0700950291EA24F0614FB6ACEDB12BF0E31D00000000010C0000950291EA24F0614FB6ACEDB12BF0E31D00002087B1CA0000</t>
        </is>
      </c>
      <c r="C2303" t="inlineStr">
        <is>
          <t>cmm4yun6g00eqcuqw6zi2adha</t>
        </is>
      </c>
      <c r="D2303" t="inlineStr">
        <is>
          <t>http://localhost:8787/api/admin/requirements/documents/cmm4yun6g00eqcuqw6zi2adha/view</t>
        </is>
      </c>
      <c r="E2303">
        <f>HYPERLÄNK("http://localhost:8787/api/admin/requirements/documents/cmm4yun6g00eqcuqw6zi2adha/view";"Öppna PDF")</f>
        <v/>
      </c>
      <c r="F2303">
        <f>HYPERLINK("http://localhost:8787/api/admin/requirements/documents/cmm4yun6g00eqcuqw6zi2adha/view","Open PDF")</f>
        <v/>
      </c>
      <c r="G2303" t="inlineStr">
        <is>
          <t>cmm55w57p0004cuisfrtpqly8</t>
        </is>
      </c>
      <c r="H2303" t="inlineStr">
        <is>
          <t>Beslutsvillkor</t>
        </is>
      </c>
      <c r="I2303" t="inlineStr">
        <is>
          <t>Riskhantering</t>
        </is>
      </c>
      <c r="J2303" t="inlineStr">
        <is>
          <t>Riskkontroll</t>
        </is>
      </c>
      <c r="K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t>
        </is>
      </c>
      <c r="M2303" t="inlineStr">
        <is>
          <t>SKA</t>
        </is>
      </c>
      <c r="N2303" t="inlineStr"/>
      <c r="O2303" t="inlineStr"/>
      <c r="P2303" t="inlineStr"/>
      <c r="Q2303" t="inlineStr"/>
      <c r="R2303" t="inlineStr">
        <is>
          <t>Vid risk for incident</t>
        </is>
      </c>
      <c r="S2303" t="inlineStr"/>
      <c r="T2303" t="inlineStr">
        <is>
          <t>88 60 00</t>
        </is>
      </c>
      <c r="U2303" t="inlineStr"/>
      <c r="V2303" t="inlineStr"/>
      <c r="W2303" t="inlineStr">
        <is>
          <t>Nej</t>
        </is>
      </c>
      <c r="X2303" t="inlineStr">
        <is>
          <t>Nej</t>
        </is>
      </c>
      <c r="Y2303" t="inlineStr">
        <is>
          <t>Ja</t>
        </is>
      </c>
      <c r="Z2303" t="inlineStr">
        <is>
          <t>Ja</t>
        </is>
      </c>
      <c r="AA2303" t="n">
        <v>8</v>
      </c>
      <c r="AB2303" t="inlineStr">
        <is>
          <t>Riskhantering</t>
        </is>
      </c>
      <c r="AC2303" t="inlineStr">
        <is>
          <t>Risk-PM</t>
        </is>
      </c>
      <c r="AD2303" t="inlineStr">
        <is>
          <t>Nej</t>
        </is>
      </c>
      <c r="AE2303" t="inlineStr">
        <is>
          <t>Nej</t>
        </is>
      </c>
      <c r="AF2303" t="inlineStr">
        <is>
          <t>Ej behandlad</t>
        </is>
      </c>
      <c r="AG2303" t="inlineStr">
        <is>
          <t>AUTO_GENERERAD. Verifiera citat mot kallfil.</t>
        </is>
      </c>
      <c r="AH2303" t="inlineStr">
        <is>
          <t>MEDIUM</t>
        </is>
      </c>
      <c r="AI2303" t="inlineStr">
        <is>
          <t>AUTO</t>
        </is>
      </c>
      <c r="AJ2303" t="inlineStr">
        <is>
          <t>Nej</t>
        </is>
      </c>
      <c r="AK2303" t="inlineStr"/>
      <c r="AL2303" t="inlineStr"/>
      <c r="AM2303" t="inlineStr"/>
      <c r="AN2303" t="inlineStr"/>
      <c r="AO2303" t="inlineStr">
        <is>
          <t>cmm4yun6j00etcuqwhdlqrqoa</t>
        </is>
      </c>
      <c r="AP2303" t="inlineStr">
        <is>
          <t>http://localhost:8787/api/admin/requirements/documents/cmm4yun6j00etcuqwhdlqrqoa/view</t>
        </is>
      </c>
      <c r="AQ2303">
        <f>HYPERLÄNK("http://localhost:8787/api/admin/requirements/documents/cmm4yun6j00etcuqwhdlqrqoa/view";"Öppna PDF")</f>
        <v/>
      </c>
      <c r="AR2303">
        <f>HYPERLINK("http://localhost:8787/api/admin/requirements/documents/cmm4yun6j00etcuqwhdlqrqoa/view","Open PDF")</f>
        <v/>
      </c>
      <c r="AS2303" t="inlineStr">
        <is>
          <t>cmm55w57p0004cuisfrtpqly8</t>
        </is>
      </c>
      <c r="AT2303" t="inlineStr">
        <is>
          <t>cmm4xvu980000cuh4vj0usz09</t>
        </is>
      </c>
      <c r="AU2303" t="inlineStr">
        <is>
          <t>Falkenberg Postadress Falkenbergs</t>
        </is>
      </c>
      <c r="AV2303" t="inlineStr">
        <is>
          <t>Kommun</t>
        </is>
      </c>
      <c r="AW2303" t="inlineStr">
        <is>
          <t>Falkenberg Postadress Falkenbergs kommun</t>
        </is>
      </c>
      <c r="AX2303" t="inlineStr">
        <is>
          <t>2025-02</t>
        </is>
      </c>
      <c r="AY2303" t="inlineStr">
        <is>
          <t>Beslut</t>
        </is>
      </c>
      <c r="AZ2303" t="inlineStr">
        <is>
          <t>2026-02-03</t>
        </is>
      </c>
      <c r="BA2303" t="inlineStr">
        <is>
          <t>M-2024-2848_2025-01-02_Beslut (MHF MHN)_Magasinet 1.pdf</t>
        </is>
      </c>
      <c r="BB2303" t="inlineStr">
        <is>
          <t>Efterfrågade handlingar</t>
        </is>
      </c>
      <c r="BC2303" t="inlineStr">
        <is>
          <t>AUTO</t>
        </is>
      </c>
      <c r="BD2303" t="inlineStr"/>
      <c r="BE2303" t="inlineStr"/>
      <c r="BF2303" t="inlineStr">
        <is>
          <t>AUTO_GENERERAD. Bekrafta metadata mot kallfil.</t>
        </is>
      </c>
      <c r="BG2303">
        <f>HYPERLINK("C:\Users\jimmy\Desktop\Examens arbete\Kod\Ny mapp\remix_-copy-of-miljöbeslut.se-portal\M-2024-2848_2025-01-02_Beslut (MHF MHN)_Magasinet 1.pdf", "Öppna PDF")</f>
        <v/>
      </c>
    </row>
    <row r="2304">
      <c r="A2304" t="inlineStr">
        <is>
          <t>KRAV-AUTO-002303</t>
        </is>
      </c>
      <c r="B2304" t="inlineStr">
        <is>
          <t>ADMIN-INDEX-2026-02-27-00000000125C043F57453246863FE664CAFE6A3F0700950291EA24F0614FB6ACEDB12BF0E31D00000000010C0000950291EA24F0614FB6ACEDB12BF0E31D00002087B1CA0000</t>
        </is>
      </c>
      <c r="C2304" t="inlineStr">
        <is>
          <t>cmm4yun6g00eqcuqw6zi2adha</t>
        </is>
      </c>
      <c r="D2304" t="inlineStr">
        <is>
          <t>http://localhost:8787/api/admin/requirements/documents/cmm4yun6g00eqcuqw6zi2adha/view</t>
        </is>
      </c>
      <c r="E2304">
        <f>HYPERLÄNK("http://localhost:8787/api/admin/requirements/documents/cmm4yun6g00eqcuqw6zi2adha/view";"Öppna PDF")</f>
        <v/>
      </c>
      <c r="F2304">
        <f>HYPERLINK("http://localhost:8787/api/admin/requirements/documents/cmm4yun6g00eqcuqw6zi2adha/view","Open PDF")</f>
        <v/>
      </c>
      <c r="G2304" t="inlineStr">
        <is>
          <t>cmm55w57p0004cuisfrtpqly8</t>
        </is>
      </c>
      <c r="H2304" t="inlineStr">
        <is>
          <t>Beslutsvillkor</t>
        </is>
      </c>
      <c r="I2304" t="inlineStr">
        <is>
          <t>Ytkonstruktion</t>
        </is>
      </c>
      <c r="J2304" t="inlineStr">
        <is>
          <t>Tat yta</t>
        </is>
      </c>
      <c r="K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komplettering på följande parametrar: Gällande betong, totalhalter för metaller (minst arsenik, bly, kadmium, koppar, krom tot., sexvärt krom, kvicksilver, nickel och zink).</t>
        </is>
      </c>
      <c r="L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t>
        </is>
      </c>
      <c r="M2304" t="inlineStr">
        <is>
          <t>SKA</t>
        </is>
      </c>
      <c r="N2304" t="inlineStr"/>
      <c r="O2304" t="inlineStr"/>
      <c r="P2304" t="inlineStr"/>
      <c r="Q2304" t="inlineStr"/>
      <c r="R2304" t="inlineStr">
        <is>
          <t>Vid mellanlagring av avfall</t>
        </is>
      </c>
      <c r="S2304" t="inlineStr"/>
      <c r="T2304" t="inlineStr">
        <is>
          <t>88 50 42</t>
        </is>
      </c>
      <c r="U2304" t="inlineStr"/>
      <c r="V2304" t="inlineStr"/>
      <c r="W2304" t="inlineStr">
        <is>
          <t>Ja</t>
        </is>
      </c>
      <c r="X2304" t="inlineStr">
        <is>
          <t>Nej</t>
        </is>
      </c>
      <c r="Y2304" t="inlineStr">
        <is>
          <t>Nej</t>
        </is>
      </c>
      <c r="Z2304" t="inlineStr">
        <is>
          <t>Nej</t>
        </is>
      </c>
      <c r="AA2304" t="n">
        <v>5</v>
      </c>
      <c r="AB2304" t="inlineStr">
        <is>
          <t>Teknisk beskrivning av platta</t>
        </is>
      </c>
      <c r="AC2304" t="inlineStr">
        <is>
          <t>Teknisk ritning platta</t>
        </is>
      </c>
      <c r="AD2304" t="inlineStr">
        <is>
          <t>Nej</t>
        </is>
      </c>
      <c r="AE2304" t="inlineStr">
        <is>
          <t>Nej</t>
        </is>
      </c>
      <c r="AF2304" t="inlineStr">
        <is>
          <t>Ej behandlad</t>
        </is>
      </c>
      <c r="AG2304" t="inlineStr">
        <is>
          <t>AUTO_GENERERAD. Verifiera citat mot kallfil.</t>
        </is>
      </c>
      <c r="AH2304" t="inlineStr">
        <is>
          <t>MEDIUM</t>
        </is>
      </c>
      <c r="AI2304" t="inlineStr">
        <is>
          <t>AUTO</t>
        </is>
      </c>
      <c r="AJ2304" t="inlineStr">
        <is>
          <t>Nej</t>
        </is>
      </c>
      <c r="AK2304" t="inlineStr"/>
      <c r="AL2304" t="inlineStr"/>
      <c r="AM2304" t="inlineStr"/>
      <c r="AN2304" t="inlineStr"/>
      <c r="AO2304" t="inlineStr">
        <is>
          <t>cmm4yun6j00etcuqwhdlqrqoa</t>
        </is>
      </c>
      <c r="AP2304" t="inlineStr">
        <is>
          <t>http://localhost:8787/api/admin/requirements/documents/cmm4yun6j00etcuqwhdlqrqoa/view</t>
        </is>
      </c>
      <c r="AQ2304">
        <f>HYPERLÄNK("http://localhost:8787/api/admin/requirements/documents/cmm4yun6j00etcuqwhdlqrqoa/view";"Öppna PDF")</f>
        <v/>
      </c>
      <c r="AR2304">
        <f>HYPERLINK("http://localhost:8787/api/admin/requirements/documents/cmm4yun6j00etcuqwhdlqrqoa/view","Open PDF")</f>
        <v/>
      </c>
      <c r="AS2304" t="inlineStr">
        <is>
          <t>cmm55w57p0004cuisfrtpqly8</t>
        </is>
      </c>
      <c r="AT2304" t="inlineStr">
        <is>
          <t>cmm4xvu980000cuh4vj0usz09</t>
        </is>
      </c>
      <c r="AU2304" t="inlineStr">
        <is>
          <t>Falkenberg Postadress Falkenbergs</t>
        </is>
      </c>
      <c r="AV2304" t="inlineStr">
        <is>
          <t>Kommun</t>
        </is>
      </c>
      <c r="AW2304" t="inlineStr">
        <is>
          <t>Falkenberg Postadress Falkenbergs kommun</t>
        </is>
      </c>
      <c r="AX2304" t="inlineStr">
        <is>
          <t>2025-02</t>
        </is>
      </c>
      <c r="AY2304" t="inlineStr">
        <is>
          <t>Beslut</t>
        </is>
      </c>
      <c r="AZ2304" t="inlineStr">
        <is>
          <t>2026-02-03</t>
        </is>
      </c>
      <c r="BA2304" t="inlineStr">
        <is>
          <t>M-2024-2848_2025-01-02_Beslut (MHF MHN)_Magasinet 1.pdf</t>
        </is>
      </c>
      <c r="BB2304" t="inlineStr">
        <is>
          <t>Efterfrågade handlingar</t>
        </is>
      </c>
      <c r="BC2304" t="inlineStr">
        <is>
          <t>AUTO</t>
        </is>
      </c>
      <c r="BD2304" t="inlineStr"/>
      <c r="BE2304" t="inlineStr"/>
      <c r="BF2304" t="inlineStr">
        <is>
          <t>AUTO_GENERERAD. Bekrafta metadata mot kallfil.</t>
        </is>
      </c>
      <c r="BG2304">
        <f>HYPERLINK("C:\Users\jimmy\Desktop\Examens arbete\Kod\Ny mapp\remix_-copy-of-miljöbeslut.se-portal\M-2024-2848_2025-01-02_Beslut (MHF MHN)_Magasinet 1.pdf", "Öppna PDF")</f>
        <v/>
      </c>
    </row>
    <row r="2305">
      <c r="A2305" t="inlineStr">
        <is>
          <t>KRAV-AUTO-002304</t>
        </is>
      </c>
      <c r="B2305" t="inlineStr">
        <is>
          <t>ADMIN-INDEX-2026-02-27-00000000125C043F57453246863FE664CAFE6A3F0700950291EA24F0614FB6ACEDB12BF0E31D00000000010C0000950291EA24F0614FB6ACEDB12BF0E31D00002087B1CA0000</t>
        </is>
      </c>
      <c r="C2305" t="inlineStr">
        <is>
          <t>cmm4yun6g00eqcuqw6zi2adha</t>
        </is>
      </c>
      <c r="D2305" t="inlineStr">
        <is>
          <t>http://localhost:8787/api/admin/requirements/documents/cmm4yun6g00eqcuqw6zi2adha/view</t>
        </is>
      </c>
      <c r="E2305">
        <f>HYPERLÄNK("http://localhost:8787/api/admin/requirements/documents/cmm4yun6g00eqcuqw6zi2adha/view";"Öppna PDF")</f>
        <v/>
      </c>
      <c r="F2305">
        <f>HYPERLINK("http://localhost:8787/api/admin/requirements/documents/cmm4yun6g00eqcuqw6zi2adha/view","Open PDF")</f>
        <v/>
      </c>
      <c r="G2305" t="inlineStr">
        <is>
          <t>cmm55w57p0004cuisfrtpqly8</t>
        </is>
      </c>
      <c r="H2305" t="inlineStr">
        <is>
          <t>Beslutsvillkor</t>
        </is>
      </c>
      <c r="I2305" t="inlineStr">
        <is>
          <t>MiljopaverkanForsiktighet</t>
        </is>
      </c>
      <c r="J2305" t="inlineStr">
        <is>
          <t>Skyddsatgarder</t>
        </is>
      </c>
      <c r="K2305" t="inlineStr">
        <is>
          <t>Analys av avfallet ska utföras av sakkunnig på laboratorium.</t>
        </is>
      </c>
      <c r="L2305" t="inlineStr">
        <is>
          <t>Analys av avfallet ska utföras av sakkunnig på laboratorium.</t>
        </is>
      </c>
      <c r="M2305" t="inlineStr">
        <is>
          <t>SKA</t>
        </is>
      </c>
      <c r="N2305" t="inlineStr"/>
      <c r="O2305" t="inlineStr"/>
      <c r="P2305" t="inlineStr"/>
      <c r="Q2305" t="inlineStr"/>
      <c r="R2305" t="inlineStr">
        <is>
          <t>Alltid</t>
        </is>
      </c>
      <c r="S2305" t="inlineStr"/>
      <c r="T2305" t="inlineStr">
        <is>
          <t>88 50 42</t>
        </is>
      </c>
      <c r="U2305" t="inlineStr"/>
      <c r="V2305" t="inlineStr"/>
      <c r="W2305" t="inlineStr">
        <is>
          <t>Nej</t>
        </is>
      </c>
      <c r="X2305" t="inlineStr">
        <is>
          <t>Nej</t>
        </is>
      </c>
      <c r="Y2305" t="inlineStr">
        <is>
          <t>Nej</t>
        </is>
      </c>
      <c r="Z2305" t="inlineStr">
        <is>
          <t>Nej</t>
        </is>
      </c>
      <c r="AA2305" t="n">
        <v>10</v>
      </c>
      <c r="AB2305" t="inlineStr">
        <is>
          <t>Miljopaverkan och forsiktighetsmatt</t>
        </is>
      </c>
      <c r="AC2305" t="inlineStr">
        <is>
          <t>Miljo-PM</t>
        </is>
      </c>
      <c r="AD2305" t="inlineStr">
        <is>
          <t>Nej</t>
        </is>
      </c>
      <c r="AE2305" t="inlineStr">
        <is>
          <t>Nej</t>
        </is>
      </c>
      <c r="AF2305" t="inlineStr">
        <is>
          <t>Ej behandlad</t>
        </is>
      </c>
      <c r="AG2305" t="inlineStr">
        <is>
          <t>AUTO_GENERERAD. Verifiera citat mot kallfil.</t>
        </is>
      </c>
      <c r="AH2305" t="inlineStr">
        <is>
          <t>MEDIUM</t>
        </is>
      </c>
      <c r="AI2305" t="inlineStr">
        <is>
          <t>AUTO</t>
        </is>
      </c>
      <c r="AJ2305" t="inlineStr">
        <is>
          <t>Nej</t>
        </is>
      </c>
      <c r="AK2305" t="inlineStr"/>
      <c r="AL2305" t="inlineStr"/>
      <c r="AM2305" t="inlineStr"/>
      <c r="AN2305" t="inlineStr"/>
      <c r="AO2305" t="inlineStr">
        <is>
          <t>cmm4yun6j00etcuqwhdlqrqoa</t>
        </is>
      </c>
      <c r="AP2305" t="inlineStr">
        <is>
          <t>http://localhost:8787/api/admin/requirements/documents/cmm4yun6j00etcuqwhdlqrqoa/view</t>
        </is>
      </c>
      <c r="AQ2305">
        <f>HYPERLÄNK("http://localhost:8787/api/admin/requirements/documents/cmm4yun6j00etcuqwhdlqrqoa/view";"Öppna PDF")</f>
        <v/>
      </c>
      <c r="AR2305">
        <f>HYPERLINK("http://localhost:8787/api/admin/requirements/documents/cmm4yun6j00etcuqwhdlqrqoa/view","Open PDF")</f>
        <v/>
      </c>
      <c r="AS2305" t="inlineStr">
        <is>
          <t>cmm55w57p0004cuisfrtpqly8</t>
        </is>
      </c>
      <c r="AT2305" t="inlineStr">
        <is>
          <t>cmm4xvu980000cuh4vj0usz09</t>
        </is>
      </c>
      <c r="AU2305" t="inlineStr">
        <is>
          <t>Falkenberg Postadress Falkenbergs</t>
        </is>
      </c>
      <c r="AV2305" t="inlineStr">
        <is>
          <t>Kommun</t>
        </is>
      </c>
      <c r="AW2305" t="inlineStr">
        <is>
          <t>Falkenberg Postadress Falkenbergs kommun</t>
        </is>
      </c>
      <c r="AX2305" t="inlineStr">
        <is>
          <t>2025-02</t>
        </is>
      </c>
      <c r="AY2305" t="inlineStr">
        <is>
          <t>Beslut</t>
        </is>
      </c>
      <c r="AZ2305" t="inlineStr">
        <is>
          <t>2026-02-03</t>
        </is>
      </c>
      <c r="BA2305" t="inlineStr">
        <is>
          <t>M-2024-2848_2025-01-02_Beslut (MHF MHN)_Magasinet 1.pdf</t>
        </is>
      </c>
      <c r="BB2305" t="inlineStr">
        <is>
          <t>Efterfrågade handlingar</t>
        </is>
      </c>
      <c r="BC2305" t="inlineStr">
        <is>
          <t>AUTO</t>
        </is>
      </c>
      <c r="BD2305" t="inlineStr"/>
      <c r="BE2305" t="inlineStr"/>
      <c r="BF2305" t="inlineStr">
        <is>
          <t>AUTO_GENERERAD. Bekrafta metadata mot kallfil.</t>
        </is>
      </c>
      <c r="BG2305">
        <f>HYPERLINK("C:\Users\jimmy\Desktop\Examens arbete\Kod\Ny mapp\remix_-copy-of-miljöbeslut.se-portal\M-2024-2848_2025-01-02_Beslut (MHF MHN)_Magasinet 1.pdf", "Öppna PDF")</f>
        <v/>
      </c>
    </row>
    <row r="2306">
      <c r="A2306" t="inlineStr">
        <is>
          <t>KRAV-AUTO-002305</t>
        </is>
      </c>
      <c r="B2306" t="inlineStr">
        <is>
          <t>ADMIN-INDEX-2026-02-27-00000000125C043F57453246863FE664CAFE6A3F0700950291EA24F0614FB6ACEDB12BF0E31D00000000010C0000950291EA24F0614FB6ACEDB12BF0E31D00002087B1CA0000</t>
        </is>
      </c>
      <c r="C2306" t="inlineStr">
        <is>
          <t>cmm4yun5p00dzcuqwg1zuhcr1</t>
        </is>
      </c>
      <c r="D2306" t="inlineStr">
        <is>
          <t>http://localhost:8787/api/admin/requirements/documents/cmm4yun5p00dzcuqwg1zuhcr1/view</t>
        </is>
      </c>
      <c r="E2306">
        <f>HYPERLÄNK("http://localhost:8787/api/admin/requirements/documents/cmm4yun5p00dzcuqwg1zuhcr1/view";"Öppna PDF")</f>
        <v/>
      </c>
      <c r="F2306">
        <f>HYPERLINK("http://localhost:8787/api/admin/requirements/documents/cmm4yun5p00dzcuqwg1zuhcr1/view","Open PDF")</f>
        <v/>
      </c>
      <c r="G2306" t="inlineStr">
        <is>
          <t>cmm55w57p0004cuisfrtpqly8</t>
        </is>
      </c>
      <c r="H2306" t="inlineStr">
        <is>
          <t>Beslutsvillkor</t>
        </is>
      </c>
      <c r="I2306" t="inlineStr">
        <is>
          <t>MiljopaverkanForsiktighet</t>
        </is>
      </c>
      <c r="J2306" t="inlineStr">
        <is>
          <t>Skyddsatgarder</t>
        </is>
      </c>
      <c r="K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06" t="inlineStr">
        <is>
          <t>SKA</t>
        </is>
      </c>
      <c r="N2306" t="inlineStr"/>
      <c r="O2306" t="inlineStr"/>
      <c r="P2306" t="inlineStr"/>
      <c r="Q2306" t="inlineStr">
        <is>
          <t>Forbud</t>
        </is>
      </c>
      <c r="R2306" t="inlineStr">
        <is>
          <t>Alltid</t>
        </is>
      </c>
      <c r="S2306" t="inlineStr"/>
      <c r="T2306" t="inlineStr">
        <is>
          <t>88 63 89</t>
        </is>
      </c>
      <c r="U2306" t="inlineStr"/>
      <c r="V2306" t="inlineStr"/>
      <c r="W2306" t="inlineStr">
        <is>
          <t>Nej</t>
        </is>
      </c>
      <c r="X2306" t="inlineStr">
        <is>
          <t>Nej</t>
        </is>
      </c>
      <c r="Y2306" t="inlineStr">
        <is>
          <t>Nej</t>
        </is>
      </c>
      <c r="Z2306" t="inlineStr">
        <is>
          <t>Nej</t>
        </is>
      </c>
      <c r="AA2306" t="n">
        <v>10</v>
      </c>
      <c r="AB2306" t="inlineStr">
        <is>
          <t>Miljopaverkan och forsiktighetsmatt</t>
        </is>
      </c>
      <c r="AC2306" t="inlineStr">
        <is>
          <t>Miljo-PM</t>
        </is>
      </c>
      <c r="AD2306" t="inlineStr">
        <is>
          <t>Nej</t>
        </is>
      </c>
      <c r="AE2306" t="inlineStr">
        <is>
          <t>Nej</t>
        </is>
      </c>
      <c r="AF2306" t="inlineStr">
        <is>
          <t>Ej behandlad</t>
        </is>
      </c>
      <c r="AG2306" t="inlineStr">
        <is>
          <t>AUTO_GENERERAD. Verifiera citat mot kallfil.</t>
        </is>
      </c>
      <c r="AH2306" t="inlineStr">
        <is>
          <t>MEDIUM</t>
        </is>
      </c>
      <c r="AI2306" t="inlineStr">
        <is>
          <t>AUTO</t>
        </is>
      </c>
      <c r="AJ2306" t="inlineStr">
        <is>
          <t>Nej</t>
        </is>
      </c>
      <c r="AK2306" t="inlineStr"/>
      <c r="AL2306" t="inlineStr"/>
      <c r="AM2306" t="inlineStr"/>
      <c r="AN2306" t="inlineStr"/>
      <c r="AO2306" t="inlineStr">
        <is>
          <t>cmm4yun6j00etcuqwhdlqrqoa</t>
        </is>
      </c>
      <c r="AP2306" t="inlineStr">
        <is>
          <t>http://localhost:8787/api/admin/requirements/documents/cmm4yun6j00etcuqwhdlqrqoa/view</t>
        </is>
      </c>
      <c r="AQ2306">
        <f>HYPERLÄNK("http://localhost:8787/api/admin/requirements/documents/cmm4yun6j00etcuqwhdlqrqoa/view";"Öppna PDF")</f>
        <v/>
      </c>
      <c r="AR2306">
        <f>HYPERLINK("http://localhost:8787/api/admin/requirements/documents/cmm4yun6j00etcuqwhdlqrqoa/view","Open PDF")</f>
        <v/>
      </c>
      <c r="AS2306" t="inlineStr">
        <is>
          <t>cmm55w57p0004cuisfrtpqly8</t>
        </is>
      </c>
      <c r="AT2306" t="inlineStr">
        <is>
          <t>cmm4xvu980000cuh4vj0usz09</t>
        </is>
      </c>
      <c r="AU2306" t="inlineStr">
        <is>
          <t>Falkenberg Postadress Falkenbergs</t>
        </is>
      </c>
      <c r="AV2306" t="inlineStr">
        <is>
          <t>Kommun</t>
        </is>
      </c>
      <c r="AW2306" t="inlineStr">
        <is>
          <t>Falkenberg Postadress Falkenbergs kommun</t>
        </is>
      </c>
      <c r="AX2306" t="inlineStr">
        <is>
          <t>2025-02</t>
        </is>
      </c>
      <c r="AY2306" t="inlineStr">
        <is>
          <t>Beslut</t>
        </is>
      </c>
      <c r="AZ2306" t="inlineStr">
        <is>
          <t>2026-02-03</t>
        </is>
      </c>
      <c r="BA2306" t="inlineStr">
        <is>
          <t>M-2024-2848_2025-01-02_Beslut (MHF MHN)_Magasinet 1.pdf</t>
        </is>
      </c>
      <c r="BB2306" t="inlineStr">
        <is>
          <t>Efterfrågade handlingar</t>
        </is>
      </c>
      <c r="BC2306" t="inlineStr">
        <is>
          <t>AUTO</t>
        </is>
      </c>
      <c r="BD2306" t="inlineStr"/>
      <c r="BE2306" t="inlineStr"/>
      <c r="BF2306" t="inlineStr">
        <is>
          <t>AUTO_GENERERAD. Bekrafta metadata mot kallfil.</t>
        </is>
      </c>
      <c r="BG2306">
        <f>HYPERLINK("C:\Users\jimmy\Desktop\Examens arbete\Kod\Ny mapp\remix_-copy-of-miljöbeslut.se-portal\M-2024-2848_2025-01-02_Beslut (MHF MHN)_Magasinet 1.pdf", "Öppna PDF")</f>
        <v/>
      </c>
    </row>
    <row r="2307">
      <c r="A2307" t="inlineStr">
        <is>
          <t>KRAV-AUTO-002306</t>
        </is>
      </c>
      <c r="B2307" t="inlineStr">
        <is>
          <t>ADMIN-INDEX-2026-02-27-00000000125C043F57453246863FE664CAFE6A3F0700950291EA24F0614FB6ACEDB12BF0E31D00000000010C0000950291EA24F0614FB6ACEDB12BF0E31D00002087B1CA0000</t>
        </is>
      </c>
      <c r="C2307" t="inlineStr">
        <is>
          <t>cmm4yun5p00dzcuqwg1zuhcr1</t>
        </is>
      </c>
      <c r="D2307" t="inlineStr">
        <is>
          <t>http://localhost:8787/api/admin/requirements/documents/cmm4yun5p00dzcuqwg1zuhcr1/view</t>
        </is>
      </c>
      <c r="E2307">
        <f>HYPERLÄNK("http://localhost:8787/api/admin/requirements/documents/cmm4yun5p00dzcuqwg1zuhcr1/view";"Öppna PDF")</f>
        <v/>
      </c>
      <c r="F2307">
        <f>HYPERLINK("http://localhost:8787/api/admin/requirements/documents/cmm4yun5p00dzcuqwg1zuhcr1/view","Open PDF")</f>
        <v/>
      </c>
      <c r="G2307" t="inlineStr">
        <is>
          <t>cmm55w57p0004cuisfrtpqly8</t>
        </is>
      </c>
      <c r="H2307" t="inlineStr">
        <is>
          <t>Beslutsvillkor</t>
        </is>
      </c>
      <c r="I2307" t="inlineStr">
        <is>
          <t>DriftEgenkontroll</t>
        </is>
      </c>
      <c r="J2307" t="inlineStr">
        <is>
          <t>Journalforing</t>
        </is>
      </c>
      <c r="K2307" t="inlineStr">
        <is>
          <t>Vi bedömer det som rimligt att förbjuda er att påbörja den anmälda åtgärden fram tills vi tagit del av resultat från provtagning av avfallet och att vi har haft möjlighet att göra en bedömning av detta.</t>
        </is>
      </c>
      <c r="L2307" t="inlineStr">
        <is>
          <t>Vi bedömer det som rimligt att förbjuda er att påbörja den anmälda åtgärden fram tills vi tagit del av resultat från provtagning av avfallet och att vi har haft möjlighet att göra en bedömning av detta.</t>
        </is>
      </c>
      <c r="M2307" t="inlineStr">
        <is>
          <t>BOR</t>
        </is>
      </c>
      <c r="N2307" t="inlineStr"/>
      <c r="O2307" t="inlineStr"/>
      <c r="P2307" t="inlineStr"/>
      <c r="Q2307" t="inlineStr"/>
      <c r="R2307" t="inlineStr">
        <is>
          <t>Lopande drift</t>
        </is>
      </c>
      <c r="S2307" t="inlineStr"/>
      <c r="T2307" t="inlineStr">
        <is>
          <t>88 63 89</t>
        </is>
      </c>
      <c r="U2307" t="inlineStr"/>
      <c r="V2307" t="inlineStr"/>
      <c r="W2307" t="inlineStr">
        <is>
          <t>Nej</t>
        </is>
      </c>
      <c r="X2307" t="inlineStr">
        <is>
          <t>Nej</t>
        </is>
      </c>
      <c r="Y2307" t="inlineStr">
        <is>
          <t>Ja</t>
        </is>
      </c>
      <c r="Z2307" t="inlineStr">
        <is>
          <t>Nej</t>
        </is>
      </c>
      <c r="AA2307" t="n">
        <v>7</v>
      </c>
      <c r="AB2307" t="inlineStr">
        <is>
          <t>Egenkontrollrutiner</t>
        </is>
      </c>
      <c r="AC2307" t="inlineStr">
        <is>
          <t>Egenkontrollprogram</t>
        </is>
      </c>
      <c r="AD2307" t="inlineStr">
        <is>
          <t>Nej</t>
        </is>
      </c>
      <c r="AE2307" t="inlineStr">
        <is>
          <t>Nej</t>
        </is>
      </c>
      <c r="AF2307" t="inlineStr">
        <is>
          <t>Ej behandlad</t>
        </is>
      </c>
      <c r="AG2307" t="inlineStr">
        <is>
          <t>AUTO_GENERERAD. Verifiera citat mot kallfil.</t>
        </is>
      </c>
      <c r="AH2307" t="inlineStr">
        <is>
          <t>MEDIUM</t>
        </is>
      </c>
      <c r="AI2307" t="inlineStr">
        <is>
          <t>AUTO</t>
        </is>
      </c>
      <c r="AJ2307" t="inlineStr">
        <is>
          <t>Nej</t>
        </is>
      </c>
      <c r="AK2307" t="inlineStr"/>
      <c r="AL2307" t="inlineStr"/>
      <c r="AM2307" t="inlineStr"/>
      <c r="AN2307" t="inlineStr"/>
      <c r="AO2307" t="inlineStr">
        <is>
          <t>cmm4yun6j00etcuqwhdlqrqoa</t>
        </is>
      </c>
      <c r="AP2307" t="inlineStr">
        <is>
          <t>http://localhost:8787/api/admin/requirements/documents/cmm4yun6j00etcuqwhdlqrqoa/view</t>
        </is>
      </c>
      <c r="AQ2307">
        <f>HYPERLÄNK("http://localhost:8787/api/admin/requirements/documents/cmm4yun6j00etcuqwhdlqrqoa/view";"Öppna PDF")</f>
        <v/>
      </c>
      <c r="AR2307">
        <f>HYPERLINK("http://localhost:8787/api/admin/requirements/documents/cmm4yun6j00etcuqwhdlqrqoa/view","Open PDF")</f>
        <v/>
      </c>
      <c r="AS2307" t="inlineStr">
        <is>
          <t>cmm55w57p0004cuisfrtpqly8</t>
        </is>
      </c>
      <c r="AT2307" t="inlineStr">
        <is>
          <t>cmm4xvu980000cuh4vj0usz09</t>
        </is>
      </c>
      <c r="AU2307" t="inlineStr">
        <is>
          <t>Falkenberg Postadress Falkenbergs</t>
        </is>
      </c>
      <c r="AV2307" t="inlineStr">
        <is>
          <t>Kommun</t>
        </is>
      </c>
      <c r="AW2307" t="inlineStr">
        <is>
          <t>Falkenberg Postadress Falkenbergs kommun</t>
        </is>
      </c>
      <c r="AX2307" t="inlineStr">
        <is>
          <t>2025-02</t>
        </is>
      </c>
      <c r="AY2307" t="inlineStr">
        <is>
          <t>Beslut</t>
        </is>
      </c>
      <c r="AZ2307" t="inlineStr">
        <is>
          <t>2026-02-03</t>
        </is>
      </c>
      <c r="BA2307" t="inlineStr">
        <is>
          <t>M-2024-2848_2025-01-02_Beslut (MHF MHN)_Magasinet 1.pdf</t>
        </is>
      </c>
      <c r="BB2307" t="inlineStr">
        <is>
          <t>Efterfrågade handlingar</t>
        </is>
      </c>
      <c r="BC2307" t="inlineStr">
        <is>
          <t>AUTO</t>
        </is>
      </c>
      <c r="BD2307" t="inlineStr"/>
      <c r="BE2307" t="inlineStr"/>
      <c r="BF2307" t="inlineStr">
        <is>
          <t>AUTO_GENERERAD. Bekrafta metadata mot kallfil.</t>
        </is>
      </c>
      <c r="BG2307">
        <f>HYPERLINK("C:\Users\jimmy\Desktop\Examens arbete\Kod\Ny mapp\remix_-copy-of-miljöbeslut.se-portal\M-2024-2848_2025-01-02_Beslut (MHF MHN)_Magasinet 1.pdf", "Öppna PDF")</f>
        <v/>
      </c>
    </row>
    <row r="2308">
      <c r="A2308" t="inlineStr">
        <is>
          <t>KRAV-AUTO-002307</t>
        </is>
      </c>
      <c r="B2308" t="inlineStr">
        <is>
          <t>ADMIN-INDEX-2026-02-27-00000000125C043F57453246863FE664CAFE6A3F0700950291EA24F0614FB6ACEDB12BF0E31D00000000010C0000950291EA24F0614FB6ACEDB12BF0E31D00002087B1CA0000</t>
        </is>
      </c>
      <c r="C2308" t="inlineStr">
        <is>
          <t>cmm4yun5p00dzcuqwg1zuhcr1</t>
        </is>
      </c>
      <c r="D2308" t="inlineStr">
        <is>
          <t>http://localhost:8787/api/admin/requirements/documents/cmm4yun5p00dzcuqwg1zuhcr1/view</t>
        </is>
      </c>
      <c r="E2308">
        <f>HYPERLÄNK("http://localhost:8787/api/admin/requirements/documents/cmm4yun5p00dzcuqwg1zuhcr1/view";"Öppna PDF")</f>
        <v/>
      </c>
      <c r="F2308">
        <f>HYPERLINK("http://localhost:8787/api/admin/requirements/documents/cmm4yun5p00dzcuqwg1zuhcr1/view","Open PDF")</f>
        <v/>
      </c>
      <c r="G2308" t="inlineStr">
        <is>
          <t>cmm55w57p0004cuisfrtpqly8</t>
        </is>
      </c>
      <c r="H2308" t="inlineStr">
        <is>
          <t>Beslutsvillkor</t>
        </is>
      </c>
      <c r="I2308" t="inlineStr">
        <is>
          <t>MiljopaverkanForsiktighet</t>
        </is>
      </c>
      <c r="J2308" t="inlineStr">
        <is>
          <t>Skyddsatgarder</t>
        </is>
      </c>
      <c r="K2308" t="inlineStr">
        <is>
          <t>Avfallets lakegenskaper visar på höga halter av sulfat och klorid vilket kan påverkar kringliggande markmiljö negativt, specifikt skadligt är det för vattenlevande organismer.</t>
        </is>
      </c>
      <c r="L2308" t="inlineStr">
        <is>
          <t>Avfallets lakegenskaper visar på höga halter av sulfat och klorid vilket kan påverkar kringliggande markmiljö negativt, specifikt skadligt är det för vattenlevande organismer.</t>
        </is>
      </c>
      <c r="M2308" t="inlineStr">
        <is>
          <t>SKA</t>
        </is>
      </c>
      <c r="N2308" t="inlineStr"/>
      <c r="O2308" t="inlineStr"/>
      <c r="P2308" t="inlineStr"/>
      <c r="Q2308" t="inlineStr"/>
      <c r="R2308" t="inlineStr">
        <is>
          <t>Alltid</t>
        </is>
      </c>
      <c r="S2308" t="inlineStr"/>
      <c r="T2308" t="inlineStr">
        <is>
          <t>88 63 89</t>
        </is>
      </c>
      <c r="U2308" t="inlineStr"/>
      <c r="V2308" t="inlineStr"/>
      <c r="W2308" t="inlineStr">
        <is>
          <t>Nej</t>
        </is>
      </c>
      <c r="X2308" t="inlineStr">
        <is>
          <t>Nej</t>
        </is>
      </c>
      <c r="Y2308" t="inlineStr">
        <is>
          <t>Nej</t>
        </is>
      </c>
      <c r="Z2308" t="inlineStr">
        <is>
          <t>Nej</t>
        </is>
      </c>
      <c r="AA2308" t="n">
        <v>10</v>
      </c>
      <c r="AB2308" t="inlineStr">
        <is>
          <t>Miljopaverkan och forsiktighetsmatt</t>
        </is>
      </c>
      <c r="AC2308" t="inlineStr">
        <is>
          <t>Miljo-PM</t>
        </is>
      </c>
      <c r="AD2308" t="inlineStr">
        <is>
          <t>Nej</t>
        </is>
      </c>
      <c r="AE2308" t="inlineStr">
        <is>
          <t>Nej</t>
        </is>
      </c>
      <c r="AF2308" t="inlineStr">
        <is>
          <t>Ej behandlad</t>
        </is>
      </c>
      <c r="AG2308" t="inlineStr">
        <is>
          <t>AUTO_GENERERAD. Verifiera citat mot kallfil.</t>
        </is>
      </c>
      <c r="AH2308" t="inlineStr">
        <is>
          <t>MEDIUM</t>
        </is>
      </c>
      <c r="AI2308" t="inlineStr">
        <is>
          <t>AUTO</t>
        </is>
      </c>
      <c r="AJ2308" t="inlineStr">
        <is>
          <t>Nej</t>
        </is>
      </c>
      <c r="AK2308" t="inlineStr"/>
      <c r="AL2308" t="inlineStr"/>
      <c r="AM2308" t="inlineStr"/>
      <c r="AN2308" t="inlineStr"/>
      <c r="AO2308" t="inlineStr">
        <is>
          <t>cmm4yun6j00etcuqwhdlqrqoa</t>
        </is>
      </c>
      <c r="AP2308" t="inlineStr">
        <is>
          <t>http://localhost:8787/api/admin/requirements/documents/cmm4yun6j00etcuqwhdlqrqoa/view</t>
        </is>
      </c>
      <c r="AQ2308">
        <f>HYPERLÄNK("http://localhost:8787/api/admin/requirements/documents/cmm4yun6j00etcuqwhdlqrqoa/view";"Öppna PDF")</f>
        <v/>
      </c>
      <c r="AR2308">
        <f>HYPERLINK("http://localhost:8787/api/admin/requirements/documents/cmm4yun6j00etcuqwhdlqrqoa/view","Open PDF")</f>
        <v/>
      </c>
      <c r="AS2308" t="inlineStr">
        <is>
          <t>cmm55w57p0004cuisfrtpqly8</t>
        </is>
      </c>
      <c r="AT2308" t="inlineStr">
        <is>
          <t>cmm4xvu980000cuh4vj0usz09</t>
        </is>
      </c>
      <c r="AU2308" t="inlineStr">
        <is>
          <t>Falkenberg Postadress Falkenbergs</t>
        </is>
      </c>
      <c r="AV2308" t="inlineStr">
        <is>
          <t>Kommun</t>
        </is>
      </c>
      <c r="AW2308" t="inlineStr">
        <is>
          <t>Falkenberg Postadress Falkenbergs kommun</t>
        </is>
      </c>
      <c r="AX2308" t="inlineStr">
        <is>
          <t>2025-02</t>
        </is>
      </c>
      <c r="AY2308" t="inlineStr">
        <is>
          <t>Beslut</t>
        </is>
      </c>
      <c r="AZ2308" t="inlineStr">
        <is>
          <t>2026-02-03</t>
        </is>
      </c>
      <c r="BA2308" t="inlineStr">
        <is>
          <t>M-2024-2848_2025-01-02_Beslut (MHF MHN)_Magasinet 1.pdf</t>
        </is>
      </c>
      <c r="BB2308" t="inlineStr">
        <is>
          <t>Efterfrågade handlingar</t>
        </is>
      </c>
      <c r="BC2308" t="inlineStr">
        <is>
          <t>AUTO</t>
        </is>
      </c>
      <c r="BD2308" t="inlineStr"/>
      <c r="BE2308" t="inlineStr"/>
      <c r="BF2308" t="inlineStr">
        <is>
          <t>AUTO_GENERERAD. Bekrafta metadata mot kallfil.</t>
        </is>
      </c>
      <c r="BG2308">
        <f>HYPERLINK("C:\Users\jimmy\Desktop\Examens arbete\Kod\Ny mapp\remix_-copy-of-miljöbeslut.se-portal\M-2024-2848_2025-01-02_Beslut (MHF MHN)_Magasinet 1.pdf", "Öppna PDF")</f>
        <v/>
      </c>
    </row>
    <row r="2309">
      <c r="A2309" t="inlineStr">
        <is>
          <t>KRAV-AUTO-002308</t>
        </is>
      </c>
      <c r="B2309" t="inlineStr">
        <is>
          <t>ADMIN-INDEX-2026-02-27-00000000125C043F57453246863FE664CAFE6A3F0700950291EA24F0614FB6ACEDB12BF0E31D00000000010C0000950291EA24F0614FB6ACEDB12BF0E31D00002087B1CA0000</t>
        </is>
      </c>
      <c r="C2309" t="inlineStr">
        <is>
          <t>cmm4yun5l00dwcuqwbtxe8zxq</t>
        </is>
      </c>
      <c r="D2309" t="inlineStr">
        <is>
          <t>http://localhost:8787/api/admin/requirements/documents/cmm4yun5l00dwcuqwbtxe8zxq/view</t>
        </is>
      </c>
      <c r="E2309">
        <f>HYPERLÄNK("http://localhost:8787/api/admin/requirements/documents/cmm4yun5l00dwcuqwbtxe8zxq/view";"Öppna PDF")</f>
        <v/>
      </c>
      <c r="F2309">
        <f>HYPERLINK("http://localhost:8787/api/admin/requirements/documents/cmm4yun5l00dwcuqwbtxe8zxq/view","Open PDF")</f>
        <v/>
      </c>
      <c r="G2309" t="inlineStr">
        <is>
          <t>cmm55w57p0004cuisfrtpqly8</t>
        </is>
      </c>
      <c r="H2309" t="inlineStr">
        <is>
          <t>Beslutsvillkor</t>
        </is>
      </c>
      <c r="I2309" t="inlineStr">
        <is>
          <t>Riskhantering</t>
        </is>
      </c>
      <c r="J2309" t="inlineStr">
        <is>
          <t>Riskkontroll</t>
        </is>
      </c>
      <c r="K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t>
        </is>
      </c>
      <c r="M2309" t="inlineStr">
        <is>
          <t>SKA</t>
        </is>
      </c>
      <c r="N2309" t="inlineStr"/>
      <c r="O2309" t="inlineStr"/>
      <c r="P2309" t="inlineStr"/>
      <c r="Q2309" t="inlineStr"/>
      <c r="R2309" t="inlineStr">
        <is>
          <t>Vid risk for incident</t>
        </is>
      </c>
      <c r="S2309" t="inlineStr"/>
      <c r="T2309" t="inlineStr">
        <is>
          <t>88 60 00</t>
        </is>
      </c>
      <c r="U2309" t="inlineStr"/>
      <c r="V2309" t="inlineStr"/>
      <c r="W2309" t="inlineStr">
        <is>
          <t>Nej</t>
        </is>
      </c>
      <c r="X2309" t="inlineStr">
        <is>
          <t>Nej</t>
        </is>
      </c>
      <c r="Y2309" t="inlineStr">
        <is>
          <t>Ja</t>
        </is>
      </c>
      <c r="Z2309" t="inlineStr">
        <is>
          <t>Ja</t>
        </is>
      </c>
      <c r="AA2309" t="n">
        <v>8</v>
      </c>
      <c r="AB2309" t="inlineStr">
        <is>
          <t>Riskhantering</t>
        </is>
      </c>
      <c r="AC2309" t="inlineStr">
        <is>
          <t>Risk-PM</t>
        </is>
      </c>
      <c r="AD2309" t="inlineStr">
        <is>
          <t>Nej</t>
        </is>
      </c>
      <c r="AE2309" t="inlineStr">
        <is>
          <t>Nej</t>
        </is>
      </c>
      <c r="AF2309" t="inlineStr">
        <is>
          <t>Ej behandlad</t>
        </is>
      </c>
      <c r="AG2309" t="inlineStr">
        <is>
          <t>AUTO_GENERERAD. Verifiera citat mot kallfil.</t>
        </is>
      </c>
      <c r="AH2309" t="inlineStr">
        <is>
          <t>MEDIUM</t>
        </is>
      </c>
      <c r="AI2309" t="inlineStr">
        <is>
          <t>AUTO</t>
        </is>
      </c>
      <c r="AJ2309" t="inlineStr">
        <is>
          <t>Nej</t>
        </is>
      </c>
      <c r="AK2309" t="inlineStr"/>
      <c r="AL2309" t="inlineStr"/>
      <c r="AM2309" t="inlineStr"/>
      <c r="AN2309" t="inlineStr"/>
      <c r="AO2309" t="inlineStr">
        <is>
          <t>cmm4yun6j00etcuqwhdlqrqoa</t>
        </is>
      </c>
      <c r="AP2309" t="inlineStr">
        <is>
          <t>http://localhost:8787/api/admin/requirements/documents/cmm4yun6j00etcuqwhdlqrqoa/view</t>
        </is>
      </c>
      <c r="AQ2309">
        <f>HYPERLÄNK("http://localhost:8787/api/admin/requirements/documents/cmm4yun6j00etcuqwhdlqrqoa/view";"Öppna PDF")</f>
        <v/>
      </c>
      <c r="AR2309">
        <f>HYPERLINK("http://localhost:8787/api/admin/requirements/documents/cmm4yun6j00etcuqwhdlqrqoa/view","Open PDF")</f>
        <v/>
      </c>
      <c r="AS2309" t="inlineStr">
        <is>
          <t>cmm55w57p0004cuisfrtpqly8</t>
        </is>
      </c>
      <c r="AT2309" t="inlineStr">
        <is>
          <t>cmm4xvu980000cuh4vj0usz09</t>
        </is>
      </c>
      <c r="AU2309" t="inlineStr">
        <is>
          <t>Falkenberg Postadress Falkenbergs</t>
        </is>
      </c>
      <c r="AV2309" t="inlineStr">
        <is>
          <t>Kommun</t>
        </is>
      </c>
      <c r="AW2309" t="inlineStr">
        <is>
          <t>Falkenberg Postadress Falkenbergs kommun</t>
        </is>
      </c>
      <c r="AX2309" t="inlineStr">
        <is>
          <t>2025-02</t>
        </is>
      </c>
      <c r="AY2309" t="inlineStr">
        <is>
          <t>Beslut</t>
        </is>
      </c>
      <c r="AZ2309" t="inlineStr">
        <is>
          <t>2026-02-03</t>
        </is>
      </c>
      <c r="BA2309" t="inlineStr">
        <is>
          <t>M-2024-2848_2025-01-02_Beslut (MHF MHN)_Magasinet 1.pdf</t>
        </is>
      </c>
      <c r="BB2309" t="inlineStr">
        <is>
          <t>Efterfrågade handlingar</t>
        </is>
      </c>
      <c r="BC2309" t="inlineStr">
        <is>
          <t>AUTO</t>
        </is>
      </c>
      <c r="BD2309" t="inlineStr"/>
      <c r="BE2309" t="inlineStr"/>
      <c r="BF2309" t="inlineStr">
        <is>
          <t>AUTO_GENERERAD. Bekrafta metadata mot kallfil.</t>
        </is>
      </c>
      <c r="BG2309">
        <f>HYPERLINK("C:\Users\jimmy\Desktop\Examens arbete\Kod\Ny mapp\remix_-copy-of-miljöbeslut.se-portal\M-2024-2848_2025-01-02_Beslut (MHF MHN)_Magasinet 1.pdf", "Öppna PDF")</f>
        <v/>
      </c>
    </row>
    <row r="2310">
      <c r="A2310" t="inlineStr">
        <is>
          <t>KRAV-AUTO-002309</t>
        </is>
      </c>
      <c r="B2310" t="inlineStr">
        <is>
          <t>ADMIN-INDEX-2026-02-27-00000000125C043F57453246863FE664CAFE6A3F0700950291EA24F0614FB6ACEDB12BF0E31D00000000010C0000950291EA24F0614FB6ACEDB12BF0E31D00002087B1CA0000</t>
        </is>
      </c>
      <c r="C2310" t="inlineStr">
        <is>
          <t>cmm4yun5l00dwcuqwbtxe8zxq</t>
        </is>
      </c>
      <c r="D2310" t="inlineStr">
        <is>
          <t>http://localhost:8787/api/admin/requirements/documents/cmm4yun5l00dwcuqwbtxe8zxq/view</t>
        </is>
      </c>
      <c r="E2310">
        <f>HYPERLÄNK("http://localhost:8787/api/admin/requirements/documents/cmm4yun5l00dwcuqwbtxe8zxq/view";"Öppna PDF")</f>
        <v/>
      </c>
      <c r="F2310">
        <f>HYPERLINK("http://localhost:8787/api/admin/requirements/documents/cmm4yun5l00dwcuqwbtxe8zxq/view","Open PDF")</f>
        <v/>
      </c>
      <c r="G2310" t="inlineStr">
        <is>
          <t>cmm55w57p0004cuisfrtpqly8</t>
        </is>
      </c>
      <c r="H2310" t="inlineStr">
        <is>
          <t>Beslutsvillkor</t>
        </is>
      </c>
      <c r="I2310" t="inlineStr">
        <is>
          <t>MiljopaverkanForsiktighet</t>
        </is>
      </c>
      <c r="J2310" t="inlineStr">
        <is>
          <t>Skyddsatgarder</t>
        </is>
      </c>
      <c r="K2310" t="inlineStr">
        <is>
          <t>Analys av avfallet ska utföras av sakkunnig på laboratorium.</t>
        </is>
      </c>
      <c r="L2310" t="inlineStr">
        <is>
          <t>Analys av avfallet ska utföras av sakkunnig på laboratorium.</t>
        </is>
      </c>
      <c r="M2310" t="inlineStr">
        <is>
          <t>SKA</t>
        </is>
      </c>
      <c r="N2310" t="inlineStr"/>
      <c r="O2310" t="inlineStr"/>
      <c r="P2310" t="inlineStr"/>
      <c r="Q2310" t="inlineStr"/>
      <c r="R2310" t="inlineStr">
        <is>
          <t>Alltid</t>
        </is>
      </c>
      <c r="S2310" t="inlineStr"/>
      <c r="T2310" t="inlineStr">
        <is>
          <t>88 63 89</t>
        </is>
      </c>
      <c r="U2310" t="inlineStr"/>
      <c r="V2310" t="inlineStr"/>
      <c r="W2310" t="inlineStr">
        <is>
          <t>Nej</t>
        </is>
      </c>
      <c r="X2310" t="inlineStr">
        <is>
          <t>Nej</t>
        </is>
      </c>
      <c r="Y2310" t="inlineStr">
        <is>
          <t>Nej</t>
        </is>
      </c>
      <c r="Z2310" t="inlineStr">
        <is>
          <t>Nej</t>
        </is>
      </c>
      <c r="AA2310" t="n">
        <v>10</v>
      </c>
      <c r="AB2310" t="inlineStr">
        <is>
          <t>Miljopaverkan och forsiktighetsmatt</t>
        </is>
      </c>
      <c r="AC2310" t="inlineStr">
        <is>
          <t>Miljo-PM</t>
        </is>
      </c>
      <c r="AD2310" t="inlineStr">
        <is>
          <t>Nej</t>
        </is>
      </c>
      <c r="AE2310" t="inlineStr">
        <is>
          <t>Nej</t>
        </is>
      </c>
      <c r="AF2310" t="inlineStr">
        <is>
          <t>Ej behandlad</t>
        </is>
      </c>
      <c r="AG2310" t="inlineStr">
        <is>
          <t>AUTO_GENERERAD. Verifiera citat mot kallfil.</t>
        </is>
      </c>
      <c r="AH2310" t="inlineStr">
        <is>
          <t>MEDIUM</t>
        </is>
      </c>
      <c r="AI2310" t="inlineStr">
        <is>
          <t>AUTO</t>
        </is>
      </c>
      <c r="AJ2310" t="inlineStr">
        <is>
          <t>Nej</t>
        </is>
      </c>
      <c r="AK2310" t="inlineStr"/>
      <c r="AL2310" t="inlineStr"/>
      <c r="AM2310" t="inlineStr"/>
      <c r="AN2310" t="inlineStr"/>
      <c r="AO2310" t="inlineStr">
        <is>
          <t>cmm4yun6j00etcuqwhdlqrqoa</t>
        </is>
      </c>
      <c r="AP2310" t="inlineStr">
        <is>
          <t>http://localhost:8787/api/admin/requirements/documents/cmm4yun6j00etcuqwhdlqrqoa/view</t>
        </is>
      </c>
      <c r="AQ2310">
        <f>HYPERLÄNK("http://localhost:8787/api/admin/requirements/documents/cmm4yun6j00etcuqwhdlqrqoa/view";"Öppna PDF")</f>
        <v/>
      </c>
      <c r="AR2310">
        <f>HYPERLINK("http://localhost:8787/api/admin/requirements/documents/cmm4yun6j00etcuqwhdlqrqoa/view","Open PDF")</f>
        <v/>
      </c>
      <c r="AS2310" t="inlineStr">
        <is>
          <t>cmm55w57p0004cuisfrtpqly8</t>
        </is>
      </c>
      <c r="AT2310" t="inlineStr">
        <is>
          <t>cmm4xvu980000cuh4vj0usz09</t>
        </is>
      </c>
      <c r="AU2310" t="inlineStr">
        <is>
          <t>Falkenberg Postadress Falkenbergs</t>
        </is>
      </c>
      <c r="AV2310" t="inlineStr">
        <is>
          <t>Kommun</t>
        </is>
      </c>
      <c r="AW2310" t="inlineStr">
        <is>
          <t>Falkenberg Postadress Falkenbergs kommun</t>
        </is>
      </c>
      <c r="AX2310" t="inlineStr">
        <is>
          <t>2025-02</t>
        </is>
      </c>
      <c r="AY2310" t="inlineStr">
        <is>
          <t>Beslut</t>
        </is>
      </c>
      <c r="AZ2310" t="inlineStr">
        <is>
          <t>2026-02-03</t>
        </is>
      </c>
      <c r="BA2310" t="inlineStr">
        <is>
          <t>M-2024-2848_2025-01-02_Beslut (MHF MHN)_Magasinet 1.pdf</t>
        </is>
      </c>
      <c r="BB2310" t="inlineStr">
        <is>
          <t>Efterfrågade handlingar</t>
        </is>
      </c>
      <c r="BC2310" t="inlineStr">
        <is>
          <t>AUTO</t>
        </is>
      </c>
      <c r="BD2310" t="inlineStr"/>
      <c r="BE2310" t="inlineStr"/>
      <c r="BF2310" t="inlineStr">
        <is>
          <t>AUTO_GENERERAD. Bekrafta metadata mot kallfil.</t>
        </is>
      </c>
      <c r="BG2310">
        <f>HYPERLINK("C:\Users\jimmy\Desktop\Examens arbete\Kod\Ny mapp\remix_-copy-of-miljöbeslut.se-portal\M-2024-2848_2025-01-02_Beslut (MHF MHN)_Magasinet 1.pdf", "Öppna PDF")</f>
        <v/>
      </c>
    </row>
    <row r="2311">
      <c r="A2311" t="inlineStr">
        <is>
          <t>KRAV-AUTO-002310</t>
        </is>
      </c>
      <c r="B2311" t="inlineStr">
        <is>
          <t>ADMIN-INDEX-2026-02-27-00000000125C043F57453246863FE664CAFE6A3F0700950291EA24F0614FB6ACEDB12BF0E31D00000000010C0000950291EA24F0614FB6ACEDB12BF0E31D00002087B1CA0000</t>
        </is>
      </c>
      <c r="C2311" t="inlineStr">
        <is>
          <t>cmm4yun5l00dwcuqwbtxe8zxq</t>
        </is>
      </c>
      <c r="D2311" t="inlineStr">
        <is>
          <t>http://localhost:8787/api/admin/requirements/documents/cmm4yun5l00dwcuqwbtxe8zxq/view</t>
        </is>
      </c>
      <c r="E2311">
        <f>HYPERLÄNK("http://localhost:8787/api/admin/requirements/documents/cmm4yun5l00dwcuqwbtxe8zxq/view";"Öppna PDF")</f>
        <v/>
      </c>
      <c r="F2311">
        <f>HYPERLINK("http://localhost:8787/api/admin/requirements/documents/cmm4yun5l00dwcuqwbtxe8zxq/view","Open PDF")</f>
        <v/>
      </c>
      <c r="G2311" t="inlineStr">
        <is>
          <t>cmm55w57p0004cuisfrtpqly8</t>
        </is>
      </c>
      <c r="H2311" t="inlineStr">
        <is>
          <t>Beslutsvillkor</t>
        </is>
      </c>
      <c r="I2311" t="inlineStr">
        <is>
          <t>DriftEgenkontroll</t>
        </is>
      </c>
      <c r="J2311" t="inlineStr">
        <is>
          <t>Journalforing</t>
        </is>
      </c>
      <c r="K2311" t="inlineStr">
        <is>
          <t>Vi har bedömt att anmälan behöver kompletteras med beräkningar för de mängder avfall som ska användas till den planerade skogsvägen och analysresultat från provtagning av avfallet.</t>
        </is>
      </c>
      <c r="L2311" t="inlineStr">
        <is>
          <t>Vi har bedömt att anmälan behöver kompletteras med beräkningar för de mängder avfall som ska användas till den planerade skogsvägen och analysresultat från provtagning av avfallet.</t>
        </is>
      </c>
      <c r="M2311" t="inlineStr">
        <is>
          <t>SKA</t>
        </is>
      </c>
      <c r="N2311" t="inlineStr"/>
      <c r="O2311" t="inlineStr"/>
      <c r="P2311" t="inlineStr"/>
      <c r="Q2311" t="inlineStr"/>
      <c r="R2311" t="inlineStr">
        <is>
          <t>Lopande drift</t>
        </is>
      </c>
      <c r="S2311" t="inlineStr"/>
      <c r="T2311" t="inlineStr">
        <is>
          <t>88 63 89</t>
        </is>
      </c>
      <c r="U2311" t="inlineStr"/>
      <c r="V2311" t="inlineStr"/>
      <c r="W2311" t="inlineStr">
        <is>
          <t>Nej</t>
        </is>
      </c>
      <c r="X2311" t="inlineStr">
        <is>
          <t>Nej</t>
        </is>
      </c>
      <c r="Y2311" t="inlineStr">
        <is>
          <t>Ja</t>
        </is>
      </c>
      <c r="Z2311" t="inlineStr">
        <is>
          <t>Nej</t>
        </is>
      </c>
      <c r="AA2311" t="n">
        <v>7</v>
      </c>
      <c r="AB2311" t="inlineStr">
        <is>
          <t>Egenkontrollrutiner</t>
        </is>
      </c>
      <c r="AC2311" t="inlineStr">
        <is>
          <t>Egenkontrollprogram</t>
        </is>
      </c>
      <c r="AD2311" t="inlineStr">
        <is>
          <t>Nej</t>
        </is>
      </c>
      <c r="AE2311" t="inlineStr">
        <is>
          <t>Nej</t>
        </is>
      </c>
      <c r="AF2311" t="inlineStr">
        <is>
          <t>Ej behandlad</t>
        </is>
      </c>
      <c r="AG2311" t="inlineStr">
        <is>
          <t>AUTO_GENERERAD. Verifiera citat mot kallfil.</t>
        </is>
      </c>
      <c r="AH2311" t="inlineStr">
        <is>
          <t>MEDIUM</t>
        </is>
      </c>
      <c r="AI2311" t="inlineStr">
        <is>
          <t>AUTO</t>
        </is>
      </c>
      <c r="AJ2311" t="inlineStr">
        <is>
          <t>Nej</t>
        </is>
      </c>
      <c r="AK2311" t="inlineStr"/>
      <c r="AL2311" t="inlineStr"/>
      <c r="AM2311" t="inlineStr"/>
      <c r="AN2311" t="inlineStr"/>
      <c r="AO2311" t="inlineStr">
        <is>
          <t>cmm4yun6j00etcuqwhdlqrqoa</t>
        </is>
      </c>
      <c r="AP2311" t="inlineStr">
        <is>
          <t>http://localhost:8787/api/admin/requirements/documents/cmm4yun6j00etcuqwhdlqrqoa/view</t>
        </is>
      </c>
      <c r="AQ2311">
        <f>HYPERLÄNK("http://localhost:8787/api/admin/requirements/documents/cmm4yun6j00etcuqwhdlqrqoa/view";"Öppna PDF")</f>
        <v/>
      </c>
      <c r="AR2311">
        <f>HYPERLINK("http://localhost:8787/api/admin/requirements/documents/cmm4yun6j00etcuqwhdlqrqoa/view","Open PDF")</f>
        <v/>
      </c>
      <c r="AS2311" t="inlineStr">
        <is>
          <t>cmm55w57p0004cuisfrtpqly8</t>
        </is>
      </c>
      <c r="AT2311" t="inlineStr">
        <is>
          <t>cmm4xvu980000cuh4vj0usz09</t>
        </is>
      </c>
      <c r="AU2311" t="inlineStr">
        <is>
          <t>Falkenberg Postadress Falkenbergs</t>
        </is>
      </c>
      <c r="AV2311" t="inlineStr">
        <is>
          <t>Kommun</t>
        </is>
      </c>
      <c r="AW2311" t="inlineStr">
        <is>
          <t>Falkenberg Postadress Falkenbergs kommun</t>
        </is>
      </c>
      <c r="AX2311" t="inlineStr">
        <is>
          <t>2025-02</t>
        </is>
      </c>
      <c r="AY2311" t="inlineStr">
        <is>
          <t>Beslut</t>
        </is>
      </c>
      <c r="AZ2311" t="inlineStr">
        <is>
          <t>2026-02-03</t>
        </is>
      </c>
      <c r="BA2311" t="inlineStr">
        <is>
          <t>M-2024-2848_2025-01-02_Beslut (MHF MHN)_Magasinet 1.pdf</t>
        </is>
      </c>
      <c r="BB2311" t="inlineStr">
        <is>
          <t>Efterfrågade handlingar</t>
        </is>
      </c>
      <c r="BC2311" t="inlineStr">
        <is>
          <t>AUTO</t>
        </is>
      </c>
      <c r="BD2311" t="inlineStr"/>
      <c r="BE2311" t="inlineStr"/>
      <c r="BF2311" t="inlineStr">
        <is>
          <t>AUTO_GENERERAD. Bekrafta metadata mot kallfil.</t>
        </is>
      </c>
      <c r="BG2311">
        <f>HYPERLINK("C:\Users\jimmy\Desktop\Examens arbete\Kod\Ny mapp\remix_-copy-of-miljöbeslut.se-portal\M-2024-2848_2025-01-02_Beslut (MHF MHN)_Magasinet 1.pdf", "Öppna PDF")</f>
        <v/>
      </c>
    </row>
    <row r="2312">
      <c r="A2312" t="inlineStr">
        <is>
          <t>KRAV-AUTO-002311</t>
        </is>
      </c>
      <c r="B2312" t="inlineStr">
        <is>
          <t>ADMIN-INDEX-2026-02-27-00000000125C043F57453246863FE664CAFE6A3F0700950291EA24F0614FB6ACEDB12BF0E31D00000000010C0000950291EA24F0614FB6ACEDB12BF0E31D00002087B1CA0000</t>
        </is>
      </c>
      <c r="C2312" t="inlineStr">
        <is>
          <t>cmm4yun5j00dtcuqwjns2ijlr</t>
        </is>
      </c>
      <c r="D2312" t="inlineStr">
        <is>
          <t>http://localhost:8787/api/admin/requirements/documents/cmm4yun5j00dtcuqwjns2ijlr/view</t>
        </is>
      </c>
      <c r="E2312">
        <f>HYPERLÄNK("http://localhost:8787/api/admin/requirements/documents/cmm4yun5j00dtcuqwjns2ijlr/view";"Öppna PDF")</f>
        <v/>
      </c>
      <c r="F2312">
        <f>HYPERLINK("http://localhost:8787/api/admin/requirements/documents/cmm4yun5j00dtcuqwjns2ijlr/view","Open PDF")</f>
        <v/>
      </c>
      <c r="G2312" t="inlineStr">
        <is>
          <t>cmm55w57p0004cuisfrtpqly8</t>
        </is>
      </c>
      <c r="H2312" t="inlineStr">
        <is>
          <t>Beslutsvillkor</t>
        </is>
      </c>
      <c r="I2312" t="inlineStr">
        <is>
          <t>Riskhantering</t>
        </is>
      </c>
      <c r="J2312" t="inlineStr">
        <is>
          <t>Riskkontroll</t>
        </is>
      </c>
      <c r="K2312" t="inlineStr">
        <is>
          <t>För att bedöma avfallets lämplighet och eventuella risker med återvinningen av avfallet krävs kunskap om både halt och utlakning.</t>
        </is>
      </c>
      <c r="L2312" t="inlineStr">
        <is>
          <t>För att bedöma avfallets lämplighet och eventuella risker med återvinningen av avfallet krävs kunskap om både halt och utlakning.</t>
        </is>
      </c>
      <c r="M2312" t="inlineStr">
        <is>
          <t>SKA</t>
        </is>
      </c>
      <c r="N2312" t="inlineStr"/>
      <c r="O2312" t="inlineStr"/>
      <c r="P2312" t="inlineStr"/>
      <c r="Q2312" t="inlineStr"/>
      <c r="R2312" t="inlineStr">
        <is>
          <t>Vid risk for incident</t>
        </is>
      </c>
      <c r="S2312" t="inlineStr"/>
      <c r="T2312" t="inlineStr">
        <is>
          <t>88 63 89</t>
        </is>
      </c>
      <c r="U2312" t="inlineStr"/>
      <c r="V2312" t="inlineStr"/>
      <c r="W2312" t="inlineStr">
        <is>
          <t>Nej</t>
        </is>
      </c>
      <c r="X2312" t="inlineStr">
        <is>
          <t>Nej</t>
        </is>
      </c>
      <c r="Y2312" t="inlineStr">
        <is>
          <t>Ja</t>
        </is>
      </c>
      <c r="Z2312" t="inlineStr">
        <is>
          <t>Ja</t>
        </is>
      </c>
      <c r="AA2312" t="n">
        <v>8</v>
      </c>
      <c r="AB2312" t="inlineStr">
        <is>
          <t>Riskhantering</t>
        </is>
      </c>
      <c r="AC2312" t="inlineStr">
        <is>
          <t>Risk-PM</t>
        </is>
      </c>
      <c r="AD2312" t="inlineStr">
        <is>
          <t>Nej</t>
        </is>
      </c>
      <c r="AE2312" t="inlineStr">
        <is>
          <t>Nej</t>
        </is>
      </c>
      <c r="AF2312" t="inlineStr">
        <is>
          <t>Ej behandlad</t>
        </is>
      </c>
      <c r="AG2312" t="inlineStr">
        <is>
          <t>AUTO_GENERERAD. Verifiera citat mot kallfil.</t>
        </is>
      </c>
      <c r="AH2312" t="inlineStr">
        <is>
          <t>MEDIUM</t>
        </is>
      </c>
      <c r="AI2312" t="inlineStr">
        <is>
          <t>AUTO</t>
        </is>
      </c>
      <c r="AJ2312" t="inlineStr">
        <is>
          <t>Nej</t>
        </is>
      </c>
      <c r="AK2312" t="inlineStr"/>
      <c r="AL2312" t="inlineStr"/>
      <c r="AM2312" t="inlineStr"/>
      <c r="AN2312" t="inlineStr"/>
      <c r="AO2312" t="inlineStr">
        <is>
          <t>cmm4yun6j00etcuqwhdlqrqoa</t>
        </is>
      </c>
      <c r="AP2312" t="inlineStr">
        <is>
          <t>http://localhost:8787/api/admin/requirements/documents/cmm4yun6j00etcuqwhdlqrqoa/view</t>
        </is>
      </c>
      <c r="AQ2312">
        <f>HYPERLÄNK("http://localhost:8787/api/admin/requirements/documents/cmm4yun6j00etcuqwhdlqrqoa/view";"Öppna PDF")</f>
        <v/>
      </c>
      <c r="AR2312">
        <f>HYPERLINK("http://localhost:8787/api/admin/requirements/documents/cmm4yun6j00etcuqwhdlqrqoa/view","Open PDF")</f>
        <v/>
      </c>
      <c r="AS2312" t="inlineStr">
        <is>
          <t>cmm55w57p0004cuisfrtpqly8</t>
        </is>
      </c>
      <c r="AT2312" t="inlineStr">
        <is>
          <t>cmm4xvu980000cuh4vj0usz09</t>
        </is>
      </c>
      <c r="AU2312" t="inlineStr">
        <is>
          <t>Falkenberg Postadress Falkenbergs</t>
        </is>
      </c>
      <c r="AV2312" t="inlineStr">
        <is>
          <t>Kommun</t>
        </is>
      </c>
      <c r="AW2312" t="inlineStr">
        <is>
          <t>Falkenberg Postadress Falkenbergs kommun</t>
        </is>
      </c>
      <c r="AX2312" t="inlineStr">
        <is>
          <t>2025-02</t>
        </is>
      </c>
      <c r="AY2312" t="inlineStr">
        <is>
          <t>Beslut</t>
        </is>
      </c>
      <c r="AZ2312" t="inlineStr">
        <is>
          <t>2026-02-03</t>
        </is>
      </c>
      <c r="BA2312" t="inlineStr">
        <is>
          <t>M-2024-2848_2025-01-02_Beslut (MHF MHN)_Magasinet 1.pdf</t>
        </is>
      </c>
      <c r="BB2312" t="inlineStr">
        <is>
          <t>Efterfrågade handlingar</t>
        </is>
      </c>
      <c r="BC2312" t="inlineStr">
        <is>
          <t>AUTO</t>
        </is>
      </c>
      <c r="BD2312" t="inlineStr"/>
      <c r="BE2312" t="inlineStr"/>
      <c r="BF2312" t="inlineStr">
        <is>
          <t>AUTO_GENERERAD. Bekrafta metadata mot kallfil.</t>
        </is>
      </c>
      <c r="BG2312">
        <f>HYPERLINK("C:\Users\jimmy\Desktop\Examens arbete\Kod\Ny mapp\remix_-copy-of-miljöbeslut.se-portal\M-2024-2848_2025-01-02_Beslut (MHF MHN)_Magasinet 1.pdf", "Öppna PDF")</f>
        <v/>
      </c>
    </row>
    <row r="2313">
      <c r="A2313" t="inlineStr">
        <is>
          <t>KRAV-AUTO-002312</t>
        </is>
      </c>
      <c r="B2313" t="inlineStr">
        <is>
          <t>ADMIN-INDEX-2026-02-27-00000000125C043F57453246863FE664CAFE6A3F0700950291EA24F0614FB6ACEDB12BF0E31D00000000010C0000950291EA24F0614FB6ACEDB12BF0E31D00002087B1CA0000</t>
        </is>
      </c>
      <c r="C2313" t="inlineStr">
        <is>
          <t>cmm4yun5j00dtcuqwjns2ijlr</t>
        </is>
      </c>
      <c r="D2313" t="inlineStr">
        <is>
          <t>http://localhost:8787/api/admin/requirements/documents/cmm4yun5j00dtcuqwjns2ijlr/view</t>
        </is>
      </c>
      <c r="E2313">
        <f>HYPERLÄNK("http://localhost:8787/api/admin/requirements/documents/cmm4yun5j00dtcuqwjns2ijlr/view";"Öppna PDF")</f>
        <v/>
      </c>
      <c r="F2313">
        <f>HYPERLINK("http://localhost:8787/api/admin/requirements/documents/cmm4yun5j00dtcuqwjns2ijlr/view","Open PDF")</f>
        <v/>
      </c>
      <c r="G2313" t="inlineStr">
        <is>
          <t>cmm55w57p0004cuisfrtpqly8</t>
        </is>
      </c>
      <c r="H2313" t="inlineStr">
        <is>
          <t>Beslutsvillkor</t>
        </is>
      </c>
      <c r="I2313" t="inlineStr">
        <is>
          <t>MiljopaverkanForsiktighet</t>
        </is>
      </c>
      <c r="J2313" t="inlineStr">
        <is>
          <t>Skyddsatgarder</t>
        </is>
      </c>
      <c r="K2313" t="inlineStr">
        <is>
          <t>Analys av avfallet ska utföras av sakkunnig på laboratorium.</t>
        </is>
      </c>
      <c r="L2313" t="inlineStr">
        <is>
          <t>Analys av avfallet ska utföras av sakkunnig på laboratorium.</t>
        </is>
      </c>
      <c r="M2313" t="inlineStr">
        <is>
          <t>SKA</t>
        </is>
      </c>
      <c r="N2313" t="inlineStr"/>
      <c r="O2313" t="inlineStr"/>
      <c r="P2313" t="inlineStr"/>
      <c r="Q2313" t="inlineStr"/>
      <c r="R2313" t="inlineStr">
        <is>
          <t>Alltid</t>
        </is>
      </c>
      <c r="S2313" t="inlineStr"/>
      <c r="T2313" t="inlineStr">
        <is>
          <t>88 63 89</t>
        </is>
      </c>
      <c r="U2313" t="inlineStr"/>
      <c r="V2313" t="inlineStr"/>
      <c r="W2313" t="inlineStr">
        <is>
          <t>Nej</t>
        </is>
      </c>
      <c r="X2313" t="inlineStr">
        <is>
          <t>Nej</t>
        </is>
      </c>
      <c r="Y2313" t="inlineStr">
        <is>
          <t>Nej</t>
        </is>
      </c>
      <c r="Z2313" t="inlineStr">
        <is>
          <t>Nej</t>
        </is>
      </c>
      <c r="AA2313" t="n">
        <v>10</v>
      </c>
      <c r="AB2313" t="inlineStr">
        <is>
          <t>Miljopaverkan och forsiktighetsmatt</t>
        </is>
      </c>
      <c r="AC2313" t="inlineStr">
        <is>
          <t>Miljo-PM</t>
        </is>
      </c>
      <c r="AD2313" t="inlineStr">
        <is>
          <t>Nej</t>
        </is>
      </c>
      <c r="AE2313" t="inlineStr">
        <is>
          <t>Nej</t>
        </is>
      </c>
      <c r="AF2313" t="inlineStr">
        <is>
          <t>Ej behandlad</t>
        </is>
      </c>
      <c r="AG2313" t="inlineStr">
        <is>
          <t>AUTO_GENERERAD. Verifiera citat mot kallfil.</t>
        </is>
      </c>
      <c r="AH2313" t="inlineStr">
        <is>
          <t>MEDIUM</t>
        </is>
      </c>
      <c r="AI2313" t="inlineStr">
        <is>
          <t>AUTO</t>
        </is>
      </c>
      <c r="AJ2313" t="inlineStr">
        <is>
          <t>Nej</t>
        </is>
      </c>
      <c r="AK2313" t="inlineStr"/>
      <c r="AL2313" t="inlineStr"/>
      <c r="AM2313" t="inlineStr"/>
      <c r="AN2313" t="inlineStr"/>
      <c r="AO2313" t="inlineStr">
        <is>
          <t>cmm4yun6j00etcuqwhdlqrqoa</t>
        </is>
      </c>
      <c r="AP2313" t="inlineStr">
        <is>
          <t>http://localhost:8787/api/admin/requirements/documents/cmm4yun6j00etcuqwhdlqrqoa/view</t>
        </is>
      </c>
      <c r="AQ2313">
        <f>HYPERLÄNK("http://localhost:8787/api/admin/requirements/documents/cmm4yun6j00etcuqwhdlqrqoa/view";"Öppna PDF")</f>
        <v/>
      </c>
      <c r="AR2313">
        <f>HYPERLINK("http://localhost:8787/api/admin/requirements/documents/cmm4yun6j00etcuqwhdlqrqoa/view","Open PDF")</f>
        <v/>
      </c>
      <c r="AS2313" t="inlineStr">
        <is>
          <t>cmm55w57p0004cuisfrtpqly8</t>
        </is>
      </c>
      <c r="AT2313" t="inlineStr">
        <is>
          <t>cmm4xvu980000cuh4vj0usz09</t>
        </is>
      </c>
      <c r="AU2313" t="inlineStr">
        <is>
          <t>Falkenberg Postadress Falkenbergs</t>
        </is>
      </c>
      <c r="AV2313" t="inlineStr">
        <is>
          <t>Kommun</t>
        </is>
      </c>
      <c r="AW2313" t="inlineStr">
        <is>
          <t>Falkenberg Postadress Falkenbergs kommun</t>
        </is>
      </c>
      <c r="AX2313" t="inlineStr">
        <is>
          <t>2025-02</t>
        </is>
      </c>
      <c r="AY2313" t="inlineStr">
        <is>
          <t>Beslut</t>
        </is>
      </c>
      <c r="AZ2313" t="inlineStr">
        <is>
          <t>2026-02-03</t>
        </is>
      </c>
      <c r="BA2313" t="inlineStr">
        <is>
          <t>M-2024-2848_2025-01-02_Beslut (MHF MHN)_Magasinet 1.pdf</t>
        </is>
      </c>
      <c r="BB2313" t="inlineStr">
        <is>
          <t>Efterfrågade handlingar</t>
        </is>
      </c>
      <c r="BC2313" t="inlineStr">
        <is>
          <t>AUTO</t>
        </is>
      </c>
      <c r="BD2313" t="inlineStr"/>
      <c r="BE2313" t="inlineStr"/>
      <c r="BF2313" t="inlineStr">
        <is>
          <t>AUTO_GENERERAD. Bekrafta metadata mot kallfil.</t>
        </is>
      </c>
      <c r="BG2313">
        <f>HYPERLINK("C:\Users\jimmy\Desktop\Examens arbete\Kod\Ny mapp\remix_-copy-of-miljöbeslut.se-portal\M-2024-2848_2025-01-02_Beslut (MHF MHN)_Magasinet 1.pdf", "Öppna PDF")</f>
        <v/>
      </c>
    </row>
    <row r="2314">
      <c r="A2314" t="inlineStr">
        <is>
          <t>KRAV-AUTO-002313</t>
        </is>
      </c>
      <c r="B2314" t="inlineStr">
        <is>
          <t>ADMIN-INDEX-2026-02-27-00000000125C043F57453246863FE664CAFE6A3F0700950291EA24F0614FB6ACEDB12BF0E31D00000000010C0000950291EA24F0614FB6ACEDB12BF0E31D00002087B1CA0000</t>
        </is>
      </c>
      <c r="C2314" t="inlineStr">
        <is>
          <t>cmm4yun5j00dtcuqwjns2ijlr</t>
        </is>
      </c>
      <c r="D2314" t="inlineStr">
        <is>
          <t>http://localhost:8787/api/admin/requirements/documents/cmm4yun5j00dtcuqwjns2ijlr/view</t>
        </is>
      </c>
      <c r="E2314">
        <f>HYPERLÄNK("http://localhost:8787/api/admin/requirements/documents/cmm4yun5j00dtcuqwjns2ijlr/view";"Öppna PDF")</f>
        <v/>
      </c>
      <c r="F2314">
        <f>HYPERLINK("http://localhost:8787/api/admin/requirements/documents/cmm4yun5j00dtcuqwjns2ijlr/view","Open PDF")</f>
        <v/>
      </c>
      <c r="G2314" t="inlineStr">
        <is>
          <t>cmm55w57p0004cuisfrtpqly8</t>
        </is>
      </c>
      <c r="H2314" t="inlineStr">
        <is>
          <t>Beslutsvillkor</t>
        </is>
      </c>
      <c r="I2314" t="inlineStr">
        <is>
          <t>DriftEgenkontroll</t>
        </is>
      </c>
      <c r="J2314" t="inlineStr">
        <is>
          <t>Journalforing</t>
        </is>
      </c>
      <c r="K2314" t="inlineStr">
        <is>
          <t>Vi har bedömt att anmälan behöver kompletteras med beräkningar för de mängder avfall som ska användas till den planerade skogsvägen och analysresultat från provtagning av avfallet.</t>
        </is>
      </c>
      <c r="L2314" t="inlineStr">
        <is>
          <t>Vi har bedömt att anmälan behöver kompletteras med beräkningar för de mängder avfall som ska användas till den planerade skogsvägen och analysresultat från provtagning av avfallet.</t>
        </is>
      </c>
      <c r="M2314" t="inlineStr">
        <is>
          <t>SKA</t>
        </is>
      </c>
      <c r="N2314" t="inlineStr"/>
      <c r="O2314" t="inlineStr"/>
      <c r="P2314" t="inlineStr"/>
      <c r="Q2314" t="inlineStr"/>
      <c r="R2314" t="inlineStr">
        <is>
          <t>Lopande drift</t>
        </is>
      </c>
      <c r="S2314" t="inlineStr"/>
      <c r="T2314" t="inlineStr">
        <is>
          <t>88 63 89</t>
        </is>
      </c>
      <c r="U2314" t="inlineStr"/>
      <c r="V2314" t="inlineStr"/>
      <c r="W2314" t="inlineStr">
        <is>
          <t>Nej</t>
        </is>
      </c>
      <c r="X2314" t="inlineStr">
        <is>
          <t>Nej</t>
        </is>
      </c>
      <c r="Y2314" t="inlineStr">
        <is>
          <t>Ja</t>
        </is>
      </c>
      <c r="Z2314" t="inlineStr">
        <is>
          <t>Nej</t>
        </is>
      </c>
      <c r="AA2314" t="n">
        <v>7</v>
      </c>
      <c r="AB2314" t="inlineStr">
        <is>
          <t>Egenkontrollrutiner</t>
        </is>
      </c>
      <c r="AC2314" t="inlineStr">
        <is>
          <t>Egenkontrollprogram</t>
        </is>
      </c>
      <c r="AD2314" t="inlineStr">
        <is>
          <t>Nej</t>
        </is>
      </c>
      <c r="AE2314" t="inlineStr">
        <is>
          <t>Nej</t>
        </is>
      </c>
      <c r="AF2314" t="inlineStr">
        <is>
          <t>Ej behandlad</t>
        </is>
      </c>
      <c r="AG2314" t="inlineStr">
        <is>
          <t>AUTO_GENERERAD. Verifiera citat mot kallfil.</t>
        </is>
      </c>
      <c r="AH2314" t="inlineStr">
        <is>
          <t>MEDIUM</t>
        </is>
      </c>
      <c r="AI2314" t="inlineStr">
        <is>
          <t>AUTO</t>
        </is>
      </c>
      <c r="AJ2314" t="inlineStr">
        <is>
          <t>Nej</t>
        </is>
      </c>
      <c r="AK2314" t="inlineStr"/>
      <c r="AL2314" t="inlineStr"/>
      <c r="AM2314" t="inlineStr"/>
      <c r="AN2314" t="inlineStr"/>
      <c r="AO2314" t="inlineStr">
        <is>
          <t>cmm4yun6j00etcuqwhdlqrqoa</t>
        </is>
      </c>
      <c r="AP2314" t="inlineStr">
        <is>
          <t>http://localhost:8787/api/admin/requirements/documents/cmm4yun6j00etcuqwhdlqrqoa/view</t>
        </is>
      </c>
      <c r="AQ2314">
        <f>HYPERLÄNK("http://localhost:8787/api/admin/requirements/documents/cmm4yun6j00etcuqwhdlqrqoa/view";"Öppna PDF")</f>
        <v/>
      </c>
      <c r="AR2314">
        <f>HYPERLINK("http://localhost:8787/api/admin/requirements/documents/cmm4yun6j00etcuqwhdlqrqoa/view","Open PDF")</f>
        <v/>
      </c>
      <c r="AS2314" t="inlineStr">
        <is>
          <t>cmm55w57p0004cuisfrtpqly8</t>
        </is>
      </c>
      <c r="AT2314" t="inlineStr">
        <is>
          <t>cmm4xvu980000cuh4vj0usz09</t>
        </is>
      </c>
      <c r="AU2314" t="inlineStr">
        <is>
          <t>Falkenberg Postadress Falkenbergs</t>
        </is>
      </c>
      <c r="AV2314" t="inlineStr">
        <is>
          <t>Kommun</t>
        </is>
      </c>
      <c r="AW2314" t="inlineStr">
        <is>
          <t>Falkenberg Postadress Falkenbergs kommun</t>
        </is>
      </c>
      <c r="AX2314" t="inlineStr">
        <is>
          <t>2025-02</t>
        </is>
      </c>
      <c r="AY2314" t="inlineStr">
        <is>
          <t>Beslut</t>
        </is>
      </c>
      <c r="AZ2314" t="inlineStr">
        <is>
          <t>2026-02-03</t>
        </is>
      </c>
      <c r="BA2314" t="inlineStr">
        <is>
          <t>M-2024-2848_2025-01-02_Beslut (MHF MHN)_Magasinet 1.pdf</t>
        </is>
      </c>
      <c r="BB2314" t="inlineStr">
        <is>
          <t>Efterfrågade handlingar</t>
        </is>
      </c>
      <c r="BC2314" t="inlineStr">
        <is>
          <t>AUTO</t>
        </is>
      </c>
      <c r="BD2314" t="inlineStr"/>
      <c r="BE2314" t="inlineStr"/>
      <c r="BF2314" t="inlineStr">
        <is>
          <t>AUTO_GENERERAD. Bekrafta metadata mot kallfil.</t>
        </is>
      </c>
      <c r="BG2314">
        <f>HYPERLINK("C:\Users\jimmy\Desktop\Examens arbete\Kod\Ny mapp\remix_-copy-of-miljöbeslut.se-portal\M-2024-2848_2025-01-02_Beslut (MHF MHN)_Magasinet 1.pdf", "Öppna PDF")</f>
        <v/>
      </c>
    </row>
    <row r="2315">
      <c r="A2315" t="inlineStr">
        <is>
          <t>KRAV-AUTO-002314</t>
        </is>
      </c>
      <c r="B2315" t="inlineStr">
        <is>
          <t>ADMIN-INDEX-2026-02-27-00000000125C043F57453246863FE664CAFE6A3F0700950291EA24F0614FB6ACEDB12BF0E31D00000000010C0000950291EA24F0614FB6ACEDB12BF0E31D00002087B1CB0000</t>
        </is>
      </c>
      <c r="C2315" t="inlineStr">
        <is>
          <t>cmm4yun4m00cwcuqwobgswces</t>
        </is>
      </c>
      <c r="D2315" t="inlineStr">
        <is>
          <t>http://localhost:8787/api/admin/requirements/documents/cmm4yun4m00cwcuqwobgswces/view</t>
        </is>
      </c>
      <c r="E2315">
        <f>HYPERLÄNK("http://localhost:8787/api/admin/requirements/documents/cmm4yun4m00cwcuqwobgswces/view";"Öppna PDF")</f>
        <v/>
      </c>
      <c r="F2315">
        <f>HYPERLINK("http://localhost:8787/api/admin/requirements/documents/cmm4yun4m00cwcuqwobgswces/view","Open PDF")</f>
        <v/>
      </c>
      <c r="G2315" t="inlineStr">
        <is>
          <t>cmm55w57p0004cuisfrtpqly8</t>
        </is>
      </c>
      <c r="H2315" t="inlineStr">
        <is>
          <t>Beslutsvillkor</t>
        </is>
      </c>
      <c r="I2315" t="inlineStr">
        <is>
          <t>LagringsvolymTid</t>
        </is>
      </c>
      <c r="J2315" t="inlineStr">
        <is>
          <t>Maxmangd</t>
        </is>
      </c>
      <c r="K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L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M2315" t="inlineStr">
        <is>
          <t>SKA</t>
        </is>
      </c>
      <c r="N2315" t="inlineStr"/>
      <c r="O2315" t="inlineStr"/>
      <c r="P2315" t="inlineStr"/>
      <c r="Q2315" t="inlineStr"/>
      <c r="R2315" t="inlineStr">
        <is>
          <t>Alltid</t>
        </is>
      </c>
      <c r="S2315" t="inlineStr"/>
      <c r="T2315" t="inlineStr">
        <is>
          <t>88 60 00</t>
        </is>
      </c>
      <c r="U2315" t="n">
        <v>220.92</v>
      </c>
      <c r="V2315" t="inlineStr"/>
      <c r="W2315" t="inlineStr">
        <is>
          <t>Nej</t>
        </is>
      </c>
      <c r="X2315" t="inlineStr">
        <is>
          <t>Nej</t>
        </is>
      </c>
      <c r="Y2315" t="inlineStr">
        <is>
          <t>Nej</t>
        </is>
      </c>
      <c r="Z2315" t="inlineStr">
        <is>
          <t>Nej</t>
        </is>
      </c>
      <c r="AA2315" t="n">
        <v>4</v>
      </c>
      <c r="AB2315" t="inlineStr">
        <is>
          <t>Avfallsmangder och lagringstid</t>
        </is>
      </c>
      <c r="AC2315" t="inlineStr">
        <is>
          <t>Avfallsforteckning</t>
        </is>
      </c>
      <c r="AD2315" t="inlineStr">
        <is>
          <t>Nej</t>
        </is>
      </c>
      <c r="AE2315" t="inlineStr">
        <is>
          <t>Nej</t>
        </is>
      </c>
      <c r="AF2315" t="inlineStr">
        <is>
          <t>Ej behandlad</t>
        </is>
      </c>
      <c r="AG2315" t="inlineStr">
        <is>
          <t>AUTO_GENERERAD. Verifiera citat mot kallfil.</t>
        </is>
      </c>
      <c r="AH2315" t="inlineStr">
        <is>
          <t>MEDIUM</t>
        </is>
      </c>
      <c r="AI2315" t="inlineStr">
        <is>
          <t>AUTO</t>
        </is>
      </c>
      <c r="AJ2315" t="inlineStr">
        <is>
          <t>Nej</t>
        </is>
      </c>
      <c r="AK2315" t="inlineStr"/>
      <c r="AL2315" t="inlineStr"/>
      <c r="AM2315" t="inlineStr"/>
      <c r="AN2315" t="inlineStr"/>
      <c r="AO2315" t="inlineStr">
        <is>
          <t>cmm4yun4m00cwcuqwobgswces</t>
        </is>
      </c>
      <c r="AP2315" t="inlineStr">
        <is>
          <t>http://localhost:8787/api/admin/requirements/documents/cmm4yun4m00cwcuqwobgswces/view</t>
        </is>
      </c>
      <c r="AQ2315">
        <f>HYPERLÄNK("http://localhost:8787/api/admin/requirements/documents/cmm4yun4m00cwcuqwobgswces/view";"Öppna PDF")</f>
        <v/>
      </c>
      <c r="AR2315">
        <f>HYPERLINK("http://localhost:8787/api/admin/requirements/documents/cmm4yun4m00cwcuqwobgswces/view","Open PDF")</f>
        <v/>
      </c>
      <c r="AS2315" t="inlineStr">
        <is>
          <t>cmm55w57p0004cuisfrtpqly8</t>
        </is>
      </c>
      <c r="AT2315" t="inlineStr">
        <is>
          <t>cmm4xvu980000cuh4vj0usz09</t>
        </is>
      </c>
      <c r="AU2315" t="inlineStr">
        <is>
          <t>pdf Falkenbergs</t>
        </is>
      </c>
      <c r="AV2315" t="inlineStr">
        <is>
          <t>Kommun</t>
        </is>
      </c>
      <c r="AW2315" t="inlineStr">
        <is>
          <t>pdf Falkenbergs kommun</t>
        </is>
      </c>
      <c r="AX2315" t="inlineStr">
        <is>
          <t>0346-88</t>
        </is>
      </c>
      <c r="AY2315" t="inlineStr">
        <is>
          <t>Beslut</t>
        </is>
      </c>
      <c r="AZ2315" t="inlineStr">
        <is>
          <t>2026-02-03</t>
        </is>
      </c>
      <c r="BA2315" t="inlineStr">
        <is>
          <t>Slutrapport.pdf</t>
        </is>
      </c>
      <c r="BB2315" t="inlineStr">
        <is>
          <t>Efterfrågade handlingar</t>
        </is>
      </c>
      <c r="BC2315" t="inlineStr">
        <is>
          <t>AUTO</t>
        </is>
      </c>
      <c r="BD2315" t="inlineStr"/>
      <c r="BE2315" t="inlineStr"/>
      <c r="BF2315" t="inlineStr">
        <is>
          <t>AUTO_GENERERAD. Bekrafta metadata mot kallfil.</t>
        </is>
      </c>
      <c r="BG2315">
        <f>HYPERLINK("C:\Users\jimmy\Desktop\Examens arbete\Kod\Ny mapp\remix_-copy-of-miljöbeslut.se-portal\Slutrapport.pdf", "Öppna PDF")</f>
        <v/>
      </c>
    </row>
    <row r="2316">
      <c r="A2316" t="inlineStr">
        <is>
          <t>KRAV-AUTO-002315</t>
        </is>
      </c>
      <c r="B2316" t="inlineStr">
        <is>
          <t>ADMIN-INDEX-2026-02-27-00000000125C043F57453246863FE664CAFE6A3F0700950291EA24F0614FB6ACEDB12BF0E31D00000000010C0000950291EA24F0614FB6ACEDB12BF0E31D00002087B1CB0000</t>
        </is>
      </c>
      <c r="C2316" t="inlineStr">
        <is>
          <t>cmm4yun4j00ctcuqwruf15eko</t>
        </is>
      </c>
      <c r="D2316" t="inlineStr">
        <is>
          <t>http://localhost:8787/api/admin/requirements/documents/cmm4yun4j00ctcuqwruf15eko/view</t>
        </is>
      </c>
      <c r="E2316">
        <f>HYPERLÄNK("http://localhost:8787/api/admin/requirements/documents/cmm4yun4j00ctcuqwruf15eko/view";"Öppna PDF")</f>
        <v/>
      </c>
      <c r="F2316">
        <f>HYPERLINK("http://localhost:8787/api/admin/requirements/documents/cmm4yun4j00ctcuqwruf15eko/view","Open PDF")</f>
        <v/>
      </c>
      <c r="G2316" t="inlineStr">
        <is>
          <t>cmm55w57p0004cuisfrtpqly8</t>
        </is>
      </c>
      <c r="H2316" t="inlineStr">
        <is>
          <t>Beslutsvillkor</t>
        </is>
      </c>
      <c r="I2316" t="inlineStr">
        <is>
          <t>MiljopaverkanForsiktighet</t>
        </is>
      </c>
      <c r="J2316" t="inlineStr">
        <is>
          <t>Skyddsatgarder</t>
        </is>
      </c>
      <c r="K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16" t="inlineStr">
        <is>
          <t>SKA</t>
        </is>
      </c>
      <c r="N2316" t="inlineStr">
        <is>
          <t>FMH</t>
        </is>
      </c>
      <c r="O2316" t="inlineStr"/>
      <c r="P2316" t="inlineStr">
        <is>
          <t>Arlig</t>
        </is>
      </c>
      <c r="Q2316" t="inlineStr">
        <is>
          <t>Forbud</t>
        </is>
      </c>
      <c r="R2316" t="inlineStr">
        <is>
          <t>Alltid</t>
        </is>
      </c>
      <c r="S2316" t="inlineStr"/>
      <c r="T2316" t="inlineStr">
        <is>
          <t>88 50 99</t>
        </is>
      </c>
      <c r="U2316" t="inlineStr"/>
      <c r="V2316" t="inlineStr"/>
      <c r="W2316" t="inlineStr">
        <is>
          <t>Nej</t>
        </is>
      </c>
      <c r="X2316" t="inlineStr">
        <is>
          <t>Nej</t>
        </is>
      </c>
      <c r="Y2316" t="inlineStr">
        <is>
          <t>Nej</t>
        </is>
      </c>
      <c r="Z2316" t="inlineStr">
        <is>
          <t>Nej</t>
        </is>
      </c>
      <c r="AA2316" t="n">
        <v>10</v>
      </c>
      <c r="AB2316" t="inlineStr">
        <is>
          <t>Miljopaverkan och forsiktighetsmatt</t>
        </is>
      </c>
      <c r="AC2316" t="inlineStr">
        <is>
          <t>Miljo-PM</t>
        </is>
      </c>
      <c r="AD2316" t="inlineStr">
        <is>
          <t>Nej</t>
        </is>
      </c>
      <c r="AE2316" t="inlineStr">
        <is>
          <t>Nej</t>
        </is>
      </c>
      <c r="AF2316" t="inlineStr">
        <is>
          <t>Ej behandlad</t>
        </is>
      </c>
      <c r="AG2316" t="inlineStr">
        <is>
          <t>AUTO_GENERERAD. Verifiera citat mot kallfil.</t>
        </is>
      </c>
      <c r="AH2316" t="inlineStr">
        <is>
          <t>HIGH</t>
        </is>
      </c>
      <c r="AI2316" t="inlineStr">
        <is>
          <t>AUTO</t>
        </is>
      </c>
      <c r="AJ2316" t="inlineStr">
        <is>
          <t>Nej</t>
        </is>
      </c>
      <c r="AK2316" t="inlineStr"/>
      <c r="AL2316" t="inlineStr"/>
      <c r="AM2316" t="inlineStr"/>
      <c r="AN2316" t="inlineStr"/>
      <c r="AO2316" t="inlineStr">
        <is>
          <t>cmm4yun4m00cwcuqwobgswces</t>
        </is>
      </c>
      <c r="AP2316" t="inlineStr">
        <is>
          <t>http://localhost:8787/api/admin/requirements/documents/cmm4yun4m00cwcuqwobgswces/view</t>
        </is>
      </c>
      <c r="AQ2316">
        <f>HYPERLÄNK("http://localhost:8787/api/admin/requirements/documents/cmm4yun4m00cwcuqwobgswces/view";"Öppna PDF")</f>
        <v/>
      </c>
      <c r="AR2316">
        <f>HYPERLINK("http://localhost:8787/api/admin/requirements/documents/cmm4yun4m00cwcuqwobgswces/view","Open PDF")</f>
        <v/>
      </c>
      <c r="AS2316" t="inlineStr">
        <is>
          <t>cmm55w57p0004cuisfrtpqly8</t>
        </is>
      </c>
      <c r="AT2316" t="inlineStr">
        <is>
          <t>cmm4xvu980000cuh4vj0usz09</t>
        </is>
      </c>
      <c r="AU2316" t="inlineStr">
        <is>
          <t>pdf Falkenbergs</t>
        </is>
      </c>
      <c r="AV2316" t="inlineStr">
        <is>
          <t>Kommun</t>
        </is>
      </c>
      <c r="AW2316" t="inlineStr">
        <is>
          <t>pdf Falkenbergs kommun</t>
        </is>
      </c>
      <c r="AX2316" t="inlineStr">
        <is>
          <t>0346-88</t>
        </is>
      </c>
      <c r="AY2316" t="inlineStr">
        <is>
          <t>Beslut</t>
        </is>
      </c>
      <c r="AZ2316" t="inlineStr">
        <is>
          <t>2026-02-03</t>
        </is>
      </c>
      <c r="BA2316" t="inlineStr">
        <is>
          <t>Slutrapport.pdf</t>
        </is>
      </c>
      <c r="BB2316" t="inlineStr">
        <is>
          <t>Efterfrågade handlingar</t>
        </is>
      </c>
      <c r="BC2316" t="inlineStr">
        <is>
          <t>AUTO</t>
        </is>
      </c>
      <c r="BD2316" t="inlineStr"/>
      <c r="BE2316" t="inlineStr"/>
      <c r="BF2316" t="inlineStr">
        <is>
          <t>AUTO_GENERERAD. Bekrafta metadata mot kallfil.</t>
        </is>
      </c>
      <c r="BG2316">
        <f>HYPERLINK("C:\Users\jimmy\Desktop\Examens arbete\Kod\Ny mapp\remix_-copy-of-miljöbeslut.se-portal\Slutrapport.pdf", "Öppna PDF")</f>
        <v/>
      </c>
    </row>
    <row r="2317">
      <c r="A2317" t="inlineStr">
        <is>
          <t>KRAV-AUTO-002316</t>
        </is>
      </c>
      <c r="B2317" t="inlineStr">
        <is>
          <t>ADMIN-INDEX-2026-02-27-00000000125C043F57453246863FE664CAFE6A3F0700950291EA24F0614FB6ACEDB12BF0E31D00000000010C0000950291EA24F0614FB6ACEDB12BF0E31D00002087B1CB0000</t>
        </is>
      </c>
      <c r="C2317" t="inlineStr">
        <is>
          <t>cmm4yun4j00ctcuqwruf15eko</t>
        </is>
      </c>
      <c r="D2317" t="inlineStr">
        <is>
          <t>http://localhost:8787/api/admin/requirements/documents/cmm4yun4j00ctcuqwruf15eko/view</t>
        </is>
      </c>
      <c r="E2317">
        <f>HYPERLÄNK("http://localhost:8787/api/admin/requirements/documents/cmm4yun4j00ctcuqwruf15eko/view";"Öppna PDF")</f>
        <v/>
      </c>
      <c r="F2317">
        <f>HYPERLINK("http://localhost:8787/api/admin/requirements/documents/cmm4yun4j00ctcuqwruf15eko/view","Open PDF")</f>
        <v/>
      </c>
      <c r="G2317" t="inlineStr">
        <is>
          <t>cmm55w57p0004cuisfrtpqly8</t>
        </is>
      </c>
      <c r="H2317" t="inlineStr">
        <is>
          <t>Beslutsvillkor</t>
        </is>
      </c>
      <c r="I2317" t="inlineStr">
        <is>
          <t>Riskhantering</t>
        </is>
      </c>
      <c r="J2317" t="inlineStr">
        <is>
          <t>Riskkontroll</t>
        </is>
      </c>
      <c r="K2317" t="inlineStr">
        <is>
          <t>11 § Den som hanterar avfall ska se till att hanteringen inte skadar eller orsakar risk för skada på människors hälsa eller miljön.</t>
        </is>
      </c>
      <c r="L2317" t="inlineStr">
        <is>
          <t>11 § Den som hanterar avfall ska se till att hanteringen inte skadar eller orsakar risk för skada på människors hälsa eller miljön.</t>
        </is>
      </c>
      <c r="M2317" t="inlineStr">
        <is>
          <t>SKA</t>
        </is>
      </c>
      <c r="N2317" t="inlineStr"/>
      <c r="O2317" t="inlineStr"/>
      <c r="P2317" t="inlineStr"/>
      <c r="Q2317" t="inlineStr"/>
      <c r="R2317" t="inlineStr">
        <is>
          <t>Vid risk for incident</t>
        </is>
      </c>
      <c r="S2317" t="inlineStr"/>
      <c r="T2317" t="inlineStr">
        <is>
          <t>88 50 99</t>
        </is>
      </c>
      <c r="U2317" t="inlineStr"/>
      <c r="V2317" t="inlineStr"/>
      <c r="W2317" t="inlineStr">
        <is>
          <t>Nej</t>
        </is>
      </c>
      <c r="X2317" t="inlineStr">
        <is>
          <t>Nej</t>
        </is>
      </c>
      <c r="Y2317" t="inlineStr">
        <is>
          <t>Ja</t>
        </is>
      </c>
      <c r="Z2317" t="inlineStr">
        <is>
          <t>Ja</t>
        </is>
      </c>
      <c r="AA2317" t="n">
        <v>8</v>
      </c>
      <c r="AB2317" t="inlineStr">
        <is>
          <t>Riskhantering</t>
        </is>
      </c>
      <c r="AC2317" t="inlineStr">
        <is>
          <t>Risk-PM</t>
        </is>
      </c>
      <c r="AD2317" t="inlineStr">
        <is>
          <t>Nej</t>
        </is>
      </c>
      <c r="AE2317" t="inlineStr">
        <is>
          <t>Nej</t>
        </is>
      </c>
      <c r="AF2317" t="inlineStr">
        <is>
          <t>Ej behandlad</t>
        </is>
      </c>
      <c r="AG2317" t="inlineStr">
        <is>
          <t>AUTO_GENERERAD. Verifiera citat mot kallfil.</t>
        </is>
      </c>
      <c r="AH2317" t="inlineStr">
        <is>
          <t>MEDIUM</t>
        </is>
      </c>
      <c r="AI2317" t="inlineStr">
        <is>
          <t>AUTO</t>
        </is>
      </c>
      <c r="AJ2317" t="inlineStr">
        <is>
          <t>Nej</t>
        </is>
      </c>
      <c r="AK2317" t="inlineStr"/>
      <c r="AL2317" t="inlineStr"/>
      <c r="AM2317" t="inlineStr"/>
      <c r="AN2317" t="inlineStr"/>
      <c r="AO2317" t="inlineStr">
        <is>
          <t>cmm4yun4m00cwcuqwobgswces</t>
        </is>
      </c>
      <c r="AP2317" t="inlineStr">
        <is>
          <t>http://localhost:8787/api/admin/requirements/documents/cmm4yun4m00cwcuqwobgswces/view</t>
        </is>
      </c>
      <c r="AQ2317">
        <f>HYPERLÄNK("http://localhost:8787/api/admin/requirements/documents/cmm4yun4m00cwcuqwobgswces/view";"Öppna PDF")</f>
        <v/>
      </c>
      <c r="AR2317">
        <f>HYPERLINK("http://localhost:8787/api/admin/requirements/documents/cmm4yun4m00cwcuqwobgswces/view","Open PDF")</f>
        <v/>
      </c>
      <c r="AS2317" t="inlineStr">
        <is>
          <t>cmm55w57p0004cuisfrtpqly8</t>
        </is>
      </c>
      <c r="AT2317" t="inlineStr">
        <is>
          <t>cmm4xvu980000cuh4vj0usz09</t>
        </is>
      </c>
      <c r="AU2317" t="inlineStr">
        <is>
          <t>pdf Falkenbergs</t>
        </is>
      </c>
      <c r="AV2317" t="inlineStr">
        <is>
          <t>Kommun</t>
        </is>
      </c>
      <c r="AW2317" t="inlineStr">
        <is>
          <t>pdf Falkenbergs kommun</t>
        </is>
      </c>
      <c r="AX2317" t="inlineStr">
        <is>
          <t>0346-88</t>
        </is>
      </c>
      <c r="AY2317" t="inlineStr">
        <is>
          <t>Beslut</t>
        </is>
      </c>
      <c r="AZ2317" t="inlineStr">
        <is>
          <t>2026-02-03</t>
        </is>
      </c>
      <c r="BA2317" t="inlineStr">
        <is>
          <t>Slutrapport.pdf</t>
        </is>
      </c>
      <c r="BB2317" t="inlineStr">
        <is>
          <t>Efterfrågade handlingar</t>
        </is>
      </c>
      <c r="BC2317" t="inlineStr">
        <is>
          <t>AUTO</t>
        </is>
      </c>
      <c r="BD2317" t="inlineStr"/>
      <c r="BE2317" t="inlineStr"/>
      <c r="BF2317" t="inlineStr">
        <is>
          <t>AUTO_GENERERAD. Bekrafta metadata mot kallfil.</t>
        </is>
      </c>
      <c r="BG2317">
        <f>HYPERLINK("C:\Users\jimmy\Desktop\Examens arbete\Kod\Ny mapp\remix_-copy-of-miljöbeslut.se-portal\Slutrapport.pdf", "Öppna PDF")</f>
        <v/>
      </c>
    </row>
    <row r="2318">
      <c r="A2318" t="inlineStr">
        <is>
          <t>KRAV-AUTO-002317</t>
        </is>
      </c>
      <c r="B2318" t="inlineStr">
        <is>
          <t>ADMIN-INDEX-2026-02-27-00000000125C043F57453246863FE664CAFE6A3F0700950291EA24F0614FB6ACEDB12BF0E31D00000000010C0000950291EA24F0614FB6ACEDB12BF0E31D00002087B1CB0000</t>
        </is>
      </c>
      <c r="C2318" t="inlineStr">
        <is>
          <t>cmm4yun4j00ctcuqwruf15eko</t>
        </is>
      </c>
      <c r="D2318" t="inlineStr">
        <is>
          <t>http://localhost:8787/api/admin/requirements/documents/cmm4yun4j00ctcuqwruf15eko/view</t>
        </is>
      </c>
      <c r="E2318">
        <f>HYPERLÄNK("http://localhost:8787/api/admin/requirements/documents/cmm4yun4j00ctcuqwruf15eko/view";"Öppna PDF")</f>
        <v/>
      </c>
      <c r="F2318">
        <f>HYPERLINK("http://localhost:8787/api/admin/requirements/documents/cmm4yun4j00ctcuqwruf15eko/view","Open PDF")</f>
        <v/>
      </c>
      <c r="G2318" t="inlineStr">
        <is>
          <t>cmm55w57p0004cuisfrtpqly8</t>
        </is>
      </c>
      <c r="H2318" t="inlineStr">
        <is>
          <t>Beslutsvillkor</t>
        </is>
      </c>
      <c r="I2318" t="inlineStr">
        <is>
          <t>Riskhantering</t>
        </is>
      </c>
      <c r="J2318" t="inlineStr">
        <is>
          <t>Riskkontroll</t>
        </is>
      </c>
      <c r="K2318" t="inlineStr">
        <is>
          <t>Verksamheten ska hantera avfallsmassorna så att risken för damning minimeras och så att olägenhet förebyggs i så stor utsträckning som möjligt.</t>
        </is>
      </c>
      <c r="L2318" t="inlineStr">
        <is>
          <t>Verksamheten ska hantera avfallsmassorna så att risken för damning minimeras och så att olägenhet förebyggs i så stor utsträckning som möjligt.</t>
        </is>
      </c>
      <c r="M2318" t="inlineStr">
        <is>
          <t>SKA</t>
        </is>
      </c>
      <c r="N2318" t="inlineStr"/>
      <c r="O2318" t="inlineStr"/>
      <c r="P2318" t="inlineStr"/>
      <c r="Q2318" t="inlineStr"/>
      <c r="R2318" t="inlineStr">
        <is>
          <t>Vid risk for incident</t>
        </is>
      </c>
      <c r="S2318" t="inlineStr"/>
      <c r="T2318" t="inlineStr">
        <is>
          <t>88 50 99</t>
        </is>
      </c>
      <c r="U2318" t="inlineStr"/>
      <c r="V2318" t="inlineStr"/>
      <c r="W2318" t="inlineStr">
        <is>
          <t>Nej</t>
        </is>
      </c>
      <c r="X2318" t="inlineStr">
        <is>
          <t>Nej</t>
        </is>
      </c>
      <c r="Y2318" t="inlineStr">
        <is>
          <t>Ja</t>
        </is>
      </c>
      <c r="Z2318" t="inlineStr">
        <is>
          <t>Ja</t>
        </is>
      </c>
      <c r="AA2318" t="n">
        <v>8</v>
      </c>
      <c r="AB2318" t="inlineStr">
        <is>
          <t>Riskhantering</t>
        </is>
      </c>
      <c r="AC2318" t="inlineStr">
        <is>
          <t>Risk-PM</t>
        </is>
      </c>
      <c r="AD2318" t="inlineStr">
        <is>
          <t>Nej</t>
        </is>
      </c>
      <c r="AE2318" t="inlineStr">
        <is>
          <t>Nej</t>
        </is>
      </c>
      <c r="AF2318" t="inlineStr">
        <is>
          <t>Ej behandlad</t>
        </is>
      </c>
      <c r="AG2318" t="inlineStr">
        <is>
          <t>AUTO_GENERERAD. Verifiera citat mot kallfil.</t>
        </is>
      </c>
      <c r="AH2318" t="inlineStr">
        <is>
          <t>MEDIUM</t>
        </is>
      </c>
      <c r="AI2318" t="inlineStr">
        <is>
          <t>AUTO</t>
        </is>
      </c>
      <c r="AJ2318" t="inlineStr">
        <is>
          <t>Nej</t>
        </is>
      </c>
      <c r="AK2318" t="inlineStr"/>
      <c r="AL2318" t="inlineStr"/>
      <c r="AM2318" t="inlineStr"/>
      <c r="AN2318" t="inlineStr"/>
      <c r="AO2318" t="inlineStr">
        <is>
          <t>cmm4yun4m00cwcuqwobgswces</t>
        </is>
      </c>
      <c r="AP2318" t="inlineStr">
        <is>
          <t>http://localhost:8787/api/admin/requirements/documents/cmm4yun4m00cwcuqwobgswces/view</t>
        </is>
      </c>
      <c r="AQ2318">
        <f>HYPERLÄNK("http://localhost:8787/api/admin/requirements/documents/cmm4yun4m00cwcuqwobgswces/view";"Öppna PDF")</f>
        <v/>
      </c>
      <c r="AR2318">
        <f>HYPERLINK("http://localhost:8787/api/admin/requirements/documents/cmm4yun4m00cwcuqwobgswces/view","Open PDF")</f>
        <v/>
      </c>
      <c r="AS2318" t="inlineStr">
        <is>
          <t>cmm55w57p0004cuisfrtpqly8</t>
        </is>
      </c>
      <c r="AT2318" t="inlineStr">
        <is>
          <t>cmm4xvu980000cuh4vj0usz09</t>
        </is>
      </c>
      <c r="AU2318" t="inlineStr">
        <is>
          <t>pdf Falkenbergs</t>
        </is>
      </c>
      <c r="AV2318" t="inlineStr">
        <is>
          <t>Kommun</t>
        </is>
      </c>
      <c r="AW2318" t="inlineStr">
        <is>
          <t>pdf Falkenbergs kommun</t>
        </is>
      </c>
      <c r="AX2318" t="inlineStr">
        <is>
          <t>0346-88</t>
        </is>
      </c>
      <c r="AY2318" t="inlineStr">
        <is>
          <t>Beslut</t>
        </is>
      </c>
      <c r="AZ2318" t="inlineStr">
        <is>
          <t>2026-02-03</t>
        </is>
      </c>
      <c r="BA2318" t="inlineStr">
        <is>
          <t>Slutrapport.pdf</t>
        </is>
      </c>
      <c r="BB2318" t="inlineStr">
        <is>
          <t>Efterfrågade handlingar</t>
        </is>
      </c>
      <c r="BC2318" t="inlineStr">
        <is>
          <t>AUTO</t>
        </is>
      </c>
      <c r="BD2318" t="inlineStr"/>
      <c r="BE2318" t="inlineStr"/>
      <c r="BF2318" t="inlineStr">
        <is>
          <t>AUTO_GENERERAD. Bekrafta metadata mot kallfil.</t>
        </is>
      </c>
      <c r="BG2318">
        <f>HYPERLINK("C:\Users\jimmy\Desktop\Examens arbete\Kod\Ny mapp\remix_-copy-of-miljöbeslut.se-portal\Slutrapport.pdf", "Öppna PDF")</f>
        <v/>
      </c>
    </row>
    <row r="2319">
      <c r="A2319" t="inlineStr">
        <is>
          <t>KRAV-AUTO-002318</t>
        </is>
      </c>
      <c r="B2319" t="inlineStr">
        <is>
          <t>ADMIN-INDEX-2026-02-27-00000000125C043F57453246863FE664CAFE6A3F0700950291EA24F0614FB6ACEDB12BF0E31D00000000010C0000950291EA24F0614FB6ACEDB12BF0E31D00002087B1CB0000</t>
        </is>
      </c>
      <c r="C2319" t="inlineStr">
        <is>
          <t>cmm4yun4900chcuqw0j0z4pc8</t>
        </is>
      </c>
      <c r="D2319" t="inlineStr">
        <is>
          <t>http://localhost:8787/api/admin/requirements/documents/cmm4yun4900chcuqw0j0z4pc8/view</t>
        </is>
      </c>
      <c r="E2319">
        <f>HYPERLÄNK("http://localhost:8787/api/admin/requirements/documents/cmm4yun4900chcuqw0j0z4pc8/view";"Öppna PDF")</f>
        <v/>
      </c>
      <c r="F2319">
        <f>HYPERLINK("http://localhost:8787/api/admin/requirements/documents/cmm4yun4900chcuqw0j0z4pc8/view","Open PDF")</f>
        <v/>
      </c>
      <c r="G2319" t="inlineStr">
        <is>
          <t>cmm55w57p0004cuisfrtpqly8</t>
        </is>
      </c>
      <c r="H2319" t="inlineStr">
        <is>
          <t>Beslutsvillkor</t>
        </is>
      </c>
      <c r="I2319" t="inlineStr">
        <is>
          <t>DriftEgenkontroll</t>
        </is>
      </c>
      <c r="J2319" t="inlineStr">
        <is>
          <t>Journalforing</t>
        </is>
      </c>
      <c r="K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Kommentar Provet har malts före analys.</t>
        </is>
      </c>
      <c r="L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19" t="inlineStr">
        <is>
          <t>BOR</t>
        </is>
      </c>
      <c r="N2319" t="inlineStr"/>
      <c r="O2319" t="inlineStr">
        <is>
          <t>2024-03-25</t>
        </is>
      </c>
      <c r="P2319" t="inlineStr"/>
      <c r="Q2319" t="inlineStr">
        <is>
          <t>Vite</t>
        </is>
      </c>
      <c r="R2319" t="inlineStr">
        <is>
          <t>Lopande drift</t>
        </is>
      </c>
      <c r="S2319" t="inlineStr"/>
      <c r="T2319" t="inlineStr">
        <is>
          <t>25 49 00</t>
        </is>
      </c>
      <c r="U2319" t="inlineStr"/>
      <c r="V2319" t="inlineStr"/>
      <c r="W2319" t="inlineStr">
        <is>
          <t>Nej</t>
        </is>
      </c>
      <c r="X2319" t="inlineStr">
        <is>
          <t>Nej</t>
        </is>
      </c>
      <c r="Y2319" t="inlineStr">
        <is>
          <t>Ja</t>
        </is>
      </c>
      <c r="Z2319" t="inlineStr">
        <is>
          <t>Nej</t>
        </is>
      </c>
      <c r="AA2319" t="n">
        <v>7</v>
      </c>
      <c r="AB2319" t="inlineStr">
        <is>
          <t>Egenkontrollrutiner</t>
        </is>
      </c>
      <c r="AC2319" t="inlineStr">
        <is>
          <t>Egenkontrollprogram</t>
        </is>
      </c>
      <c r="AD2319" t="inlineStr">
        <is>
          <t>Nej</t>
        </is>
      </c>
      <c r="AE2319" t="inlineStr">
        <is>
          <t>Nej</t>
        </is>
      </c>
      <c r="AF2319" t="inlineStr">
        <is>
          <t>Ej behandlad</t>
        </is>
      </c>
      <c r="AG2319" t="inlineStr">
        <is>
          <t>AUTO_GENERERAD. Verifiera citat mot kallfil.</t>
        </is>
      </c>
      <c r="AH2319" t="inlineStr">
        <is>
          <t>MEDIUM</t>
        </is>
      </c>
      <c r="AI2319" t="inlineStr">
        <is>
          <t>AUTO</t>
        </is>
      </c>
      <c r="AJ2319" t="inlineStr">
        <is>
          <t>Nej</t>
        </is>
      </c>
      <c r="AK2319" t="inlineStr"/>
      <c r="AL2319" t="inlineStr"/>
      <c r="AM2319" t="inlineStr"/>
      <c r="AN2319" t="inlineStr"/>
      <c r="AO2319" t="inlineStr">
        <is>
          <t>cmm4yun4m00cwcuqwobgswces</t>
        </is>
      </c>
      <c r="AP2319" t="inlineStr">
        <is>
          <t>http://localhost:8787/api/admin/requirements/documents/cmm4yun4m00cwcuqwobgswces/view</t>
        </is>
      </c>
      <c r="AQ2319">
        <f>HYPERLÄNK("http://localhost:8787/api/admin/requirements/documents/cmm4yun4m00cwcuqwobgswces/view";"Öppna PDF")</f>
        <v/>
      </c>
      <c r="AR2319">
        <f>HYPERLINK("http://localhost:8787/api/admin/requirements/documents/cmm4yun4m00cwcuqwobgswces/view","Open PDF")</f>
        <v/>
      </c>
      <c r="AS2319" t="inlineStr">
        <is>
          <t>cmm55w57p0004cuisfrtpqly8</t>
        </is>
      </c>
      <c r="AT2319" t="inlineStr">
        <is>
          <t>cmm4xvu980000cuh4vj0usz09</t>
        </is>
      </c>
      <c r="AU2319" t="inlineStr">
        <is>
          <t>pdf Falkenbergs</t>
        </is>
      </c>
      <c r="AV2319" t="inlineStr">
        <is>
          <t>Kommun</t>
        </is>
      </c>
      <c r="AW2319" t="inlineStr">
        <is>
          <t>pdf Falkenbergs kommun</t>
        </is>
      </c>
      <c r="AX2319" t="inlineStr">
        <is>
          <t>0346-88</t>
        </is>
      </c>
      <c r="AY2319" t="inlineStr">
        <is>
          <t>Beslut</t>
        </is>
      </c>
      <c r="AZ2319" t="inlineStr">
        <is>
          <t>2026-02-03</t>
        </is>
      </c>
      <c r="BA2319" t="inlineStr">
        <is>
          <t>Slutrapport.pdf</t>
        </is>
      </c>
      <c r="BB2319" t="inlineStr">
        <is>
          <t>Efterfrågade handlingar</t>
        </is>
      </c>
      <c r="BC2319" t="inlineStr">
        <is>
          <t>AUTO</t>
        </is>
      </c>
      <c r="BD2319" t="inlineStr"/>
      <c r="BE2319" t="inlineStr"/>
      <c r="BF2319" t="inlineStr">
        <is>
          <t>AUTO_GENERERAD. Bekrafta metadata mot kallfil.</t>
        </is>
      </c>
      <c r="BG2319">
        <f>HYPERLINK("C:\Users\jimmy\Desktop\Examens arbete\Kod\Ny mapp\remix_-copy-of-miljöbeslut.se-portal\Slutrapport.pdf", "Öppna PDF")</f>
        <v/>
      </c>
    </row>
    <row r="2320">
      <c r="A2320" t="inlineStr">
        <is>
          <t>KRAV-AUTO-002319</t>
        </is>
      </c>
      <c r="B2320" t="inlineStr">
        <is>
          <t>ADMIN-INDEX-2026-02-27-00000000125C043F57453246863FE664CAFE6A3F0700950291EA24F0614FB6ACEDB12BF0E31D00000000010C0000950291EA24F0614FB6ACEDB12BF0E31D00002087B1CB0000</t>
        </is>
      </c>
      <c r="C2320" t="inlineStr">
        <is>
          <t>cmm4yun4900chcuqw0j0z4pc8</t>
        </is>
      </c>
      <c r="D2320" t="inlineStr">
        <is>
          <t>http://localhost:8787/api/admin/requirements/documents/cmm4yun4900chcuqw0j0z4pc8/view</t>
        </is>
      </c>
      <c r="E2320">
        <f>HYPERLÄNK("http://localhost:8787/api/admin/requirements/documents/cmm4yun4900chcuqw0j0z4pc8/view";"Öppna PDF")</f>
        <v/>
      </c>
      <c r="F2320">
        <f>HYPERLINK("http://localhost:8787/api/admin/requirements/documents/cmm4yun4900chcuqw0j0z4pc8/view","Open PDF")</f>
        <v/>
      </c>
      <c r="G2320" t="inlineStr">
        <is>
          <t>cmm55w57p0004cuisfrtpqly8</t>
        </is>
      </c>
      <c r="H2320" t="inlineStr">
        <is>
          <t>Beslutsvillkor</t>
        </is>
      </c>
      <c r="I2320" t="inlineStr">
        <is>
          <t>DriftEgenkontroll</t>
        </is>
      </c>
      <c r="J2320" t="inlineStr">
        <is>
          <t>Journalforing</t>
        </is>
      </c>
      <c r="K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Angiven mätosäkerhet är beräknad med täckningsfaktor k = 2.</t>
        </is>
      </c>
      <c r="L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20" t="inlineStr">
        <is>
          <t>BOR</t>
        </is>
      </c>
      <c r="N2320" t="inlineStr"/>
      <c r="O2320" t="inlineStr">
        <is>
          <t>2024-03-25</t>
        </is>
      </c>
      <c r="P2320" t="inlineStr"/>
      <c r="Q2320" t="inlineStr">
        <is>
          <t>Vite</t>
        </is>
      </c>
      <c r="R2320" t="inlineStr">
        <is>
          <t>Lopande drift</t>
        </is>
      </c>
      <c r="S2320" t="inlineStr"/>
      <c r="T2320" t="inlineStr">
        <is>
          <t>25 49 00</t>
        </is>
      </c>
      <c r="U2320" t="inlineStr"/>
      <c r="V2320" t="inlineStr"/>
      <c r="W2320" t="inlineStr">
        <is>
          <t>Nej</t>
        </is>
      </c>
      <c r="X2320" t="inlineStr">
        <is>
          <t>Nej</t>
        </is>
      </c>
      <c r="Y2320" t="inlineStr">
        <is>
          <t>Ja</t>
        </is>
      </c>
      <c r="Z2320" t="inlineStr">
        <is>
          <t>Nej</t>
        </is>
      </c>
      <c r="AA2320" t="n">
        <v>7</v>
      </c>
      <c r="AB2320" t="inlineStr">
        <is>
          <t>Egenkontrollrutiner</t>
        </is>
      </c>
      <c r="AC2320" t="inlineStr">
        <is>
          <t>Egenkontrollprogram</t>
        </is>
      </c>
      <c r="AD2320" t="inlineStr">
        <is>
          <t>Nej</t>
        </is>
      </c>
      <c r="AE2320" t="inlineStr">
        <is>
          <t>Nej</t>
        </is>
      </c>
      <c r="AF2320" t="inlineStr">
        <is>
          <t>Ej behandlad</t>
        </is>
      </c>
      <c r="AG2320" t="inlineStr">
        <is>
          <t>AUTO_GENERERAD. Verifiera citat mot kallfil.</t>
        </is>
      </c>
      <c r="AH2320" t="inlineStr">
        <is>
          <t>MEDIUM</t>
        </is>
      </c>
      <c r="AI2320" t="inlineStr">
        <is>
          <t>AUTO</t>
        </is>
      </c>
      <c r="AJ2320" t="inlineStr">
        <is>
          <t>Nej</t>
        </is>
      </c>
      <c r="AK2320" t="inlineStr"/>
      <c r="AL2320" t="inlineStr"/>
      <c r="AM2320" t="inlineStr"/>
      <c r="AN2320" t="inlineStr"/>
      <c r="AO2320" t="inlineStr">
        <is>
          <t>cmm4yun4m00cwcuqwobgswces</t>
        </is>
      </c>
      <c r="AP2320" t="inlineStr">
        <is>
          <t>http://localhost:8787/api/admin/requirements/documents/cmm4yun4m00cwcuqwobgswces/view</t>
        </is>
      </c>
      <c r="AQ2320">
        <f>HYPERLÄNK("http://localhost:8787/api/admin/requirements/documents/cmm4yun4m00cwcuqwobgswces/view";"Öppna PDF")</f>
        <v/>
      </c>
      <c r="AR2320">
        <f>HYPERLINK("http://localhost:8787/api/admin/requirements/documents/cmm4yun4m00cwcuqwobgswces/view","Open PDF")</f>
        <v/>
      </c>
      <c r="AS2320" t="inlineStr">
        <is>
          <t>cmm55w57p0004cuisfrtpqly8</t>
        </is>
      </c>
      <c r="AT2320" t="inlineStr">
        <is>
          <t>cmm4xvu980000cuh4vj0usz09</t>
        </is>
      </c>
      <c r="AU2320" t="inlineStr">
        <is>
          <t>pdf Falkenbergs</t>
        </is>
      </c>
      <c r="AV2320" t="inlineStr">
        <is>
          <t>Kommun</t>
        </is>
      </c>
      <c r="AW2320" t="inlineStr">
        <is>
          <t>pdf Falkenbergs kommun</t>
        </is>
      </c>
      <c r="AX2320" t="inlineStr">
        <is>
          <t>0346-88</t>
        </is>
      </c>
      <c r="AY2320" t="inlineStr">
        <is>
          <t>Beslut</t>
        </is>
      </c>
      <c r="AZ2320" t="inlineStr">
        <is>
          <t>2026-02-03</t>
        </is>
      </c>
      <c r="BA2320" t="inlineStr">
        <is>
          <t>Slutrapport.pdf</t>
        </is>
      </c>
      <c r="BB2320" t="inlineStr">
        <is>
          <t>Efterfrågade handlingar</t>
        </is>
      </c>
      <c r="BC2320" t="inlineStr">
        <is>
          <t>AUTO</t>
        </is>
      </c>
      <c r="BD2320" t="inlineStr"/>
      <c r="BE2320" t="inlineStr"/>
      <c r="BF2320" t="inlineStr">
        <is>
          <t>AUTO_GENERERAD. Bekrafta metadata mot kallfil.</t>
        </is>
      </c>
      <c r="BG2320">
        <f>HYPERLINK("C:\Users\jimmy\Desktop\Examens arbete\Kod\Ny mapp\remix_-copy-of-miljöbeslut.se-portal\Slutrapport.pdf", "Öppna PDF")</f>
        <v/>
      </c>
    </row>
    <row r="2321">
      <c r="A2321" t="inlineStr">
        <is>
          <t>KRAV-AUTO-002320</t>
        </is>
      </c>
      <c r="B2321" t="inlineStr">
        <is>
          <t>ADMIN-INDEX-2026-02-27-00000000125C043F57453246863FE664CAFE6A3F0700950291EA24F0614FB6ACEDB12BF0E31D00000000010C0000950291EA24F0614FB6ACEDB12BF0E31D00002087B1CB0000</t>
        </is>
      </c>
      <c r="C2321" t="inlineStr">
        <is>
          <t>cmm4yun4600cecuqwsjl7bv27</t>
        </is>
      </c>
      <c r="D2321" t="inlineStr">
        <is>
          <t>http://localhost:8787/api/admin/requirements/documents/cmm4yun4600cecuqwsjl7bv27/view</t>
        </is>
      </c>
      <c r="E2321">
        <f>HYPERLÄNK("http://localhost:8787/api/admin/requirements/documents/cmm4yun4600cecuqwsjl7bv27/view";"Öppna PDF")</f>
        <v/>
      </c>
      <c r="F2321">
        <f>HYPERLINK("http://localhost:8787/api/admin/requirements/documents/cmm4yun4600cecuqwsjl7bv27/view","Open PDF")</f>
        <v/>
      </c>
      <c r="G2321" t="inlineStr">
        <is>
          <t>cmm55w57p0004cuisfrtpqly8</t>
        </is>
      </c>
      <c r="H2321" t="inlineStr">
        <is>
          <t>Beslutsvillkor</t>
        </is>
      </c>
      <c r="I2321" t="inlineStr">
        <is>
          <t>DriftEgenkontroll</t>
        </is>
      </c>
      <c r="J2321" t="inlineStr">
        <is>
          <t>Journalforing</t>
        </is>
      </c>
      <c r="K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 2200 Ansättningsdatum : 2024-03-27 Laboratorieaktivitet startad : 2024-03-27 Angiven mätosäkerhet är beräknad med täckningsfaktor k = 2.</t>
        </is>
      </c>
      <c r="L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t>
        </is>
      </c>
      <c r="M2321" t="inlineStr">
        <is>
          <t>BOR</t>
        </is>
      </c>
      <c r="N2321" t="inlineStr"/>
      <c r="O2321" t="inlineStr">
        <is>
          <t>2024-03-25</t>
        </is>
      </c>
      <c r="P2321" t="inlineStr"/>
      <c r="Q2321" t="inlineStr">
        <is>
          <t>Vite</t>
        </is>
      </c>
      <c r="R2321" t="inlineStr">
        <is>
          <t>Lopande drift</t>
        </is>
      </c>
      <c r="S2321" t="inlineStr"/>
      <c r="T2321" t="inlineStr">
        <is>
          <t>25 49 00</t>
        </is>
      </c>
      <c r="U2321" t="inlineStr"/>
      <c r="V2321" t="inlineStr"/>
      <c r="W2321" t="inlineStr">
        <is>
          <t>Nej</t>
        </is>
      </c>
      <c r="X2321" t="inlineStr">
        <is>
          <t>Nej</t>
        </is>
      </c>
      <c r="Y2321" t="inlineStr">
        <is>
          <t>Ja</t>
        </is>
      </c>
      <c r="Z2321" t="inlineStr">
        <is>
          <t>Nej</t>
        </is>
      </c>
      <c r="AA2321" t="n">
        <v>7</v>
      </c>
      <c r="AB2321" t="inlineStr">
        <is>
          <t>Egenkontrollrutiner</t>
        </is>
      </c>
      <c r="AC2321" t="inlineStr">
        <is>
          <t>Egenkontrollprogram</t>
        </is>
      </c>
      <c r="AD2321" t="inlineStr">
        <is>
          <t>Nej</t>
        </is>
      </c>
      <c r="AE2321" t="inlineStr">
        <is>
          <t>Nej</t>
        </is>
      </c>
      <c r="AF2321" t="inlineStr">
        <is>
          <t>Ej behandlad</t>
        </is>
      </c>
      <c r="AG2321" t="inlineStr">
        <is>
          <t>AUTO_GENERERAD. Verifiera citat mot kallfil.</t>
        </is>
      </c>
      <c r="AH2321" t="inlineStr">
        <is>
          <t>MEDIUM</t>
        </is>
      </c>
      <c r="AI2321" t="inlineStr">
        <is>
          <t>AUTO</t>
        </is>
      </c>
      <c r="AJ2321" t="inlineStr">
        <is>
          <t>Nej</t>
        </is>
      </c>
      <c r="AK2321" t="inlineStr"/>
      <c r="AL2321" t="inlineStr"/>
      <c r="AM2321" t="inlineStr"/>
      <c r="AN2321" t="inlineStr"/>
      <c r="AO2321" t="inlineStr">
        <is>
          <t>cmm4yun4m00cwcuqwobgswces</t>
        </is>
      </c>
      <c r="AP2321" t="inlineStr">
        <is>
          <t>http://localhost:8787/api/admin/requirements/documents/cmm4yun4m00cwcuqwobgswces/view</t>
        </is>
      </c>
      <c r="AQ2321">
        <f>HYPERLÄNK("http://localhost:8787/api/admin/requirements/documents/cmm4yun4m00cwcuqwobgswces/view";"Öppna PDF")</f>
        <v/>
      </c>
      <c r="AR2321">
        <f>HYPERLINK("http://localhost:8787/api/admin/requirements/documents/cmm4yun4m00cwcuqwobgswces/view","Open PDF")</f>
        <v/>
      </c>
      <c r="AS2321" t="inlineStr">
        <is>
          <t>cmm55w57p0004cuisfrtpqly8</t>
        </is>
      </c>
      <c r="AT2321" t="inlineStr">
        <is>
          <t>cmm4xvu980000cuh4vj0usz09</t>
        </is>
      </c>
      <c r="AU2321" t="inlineStr">
        <is>
          <t>pdf Falkenbergs</t>
        </is>
      </c>
      <c r="AV2321" t="inlineStr">
        <is>
          <t>Kommun</t>
        </is>
      </c>
      <c r="AW2321" t="inlineStr">
        <is>
          <t>pdf Falkenbergs kommun</t>
        </is>
      </c>
      <c r="AX2321" t="inlineStr">
        <is>
          <t>0346-88</t>
        </is>
      </c>
      <c r="AY2321" t="inlineStr">
        <is>
          <t>Beslut</t>
        </is>
      </c>
      <c r="AZ2321" t="inlineStr">
        <is>
          <t>2026-02-03</t>
        </is>
      </c>
      <c r="BA2321" t="inlineStr">
        <is>
          <t>Slutrapport.pdf</t>
        </is>
      </c>
      <c r="BB2321" t="inlineStr">
        <is>
          <t>Efterfrågade handlingar</t>
        </is>
      </c>
      <c r="BC2321" t="inlineStr">
        <is>
          <t>AUTO</t>
        </is>
      </c>
      <c r="BD2321" t="inlineStr"/>
      <c r="BE2321" t="inlineStr"/>
      <c r="BF2321" t="inlineStr">
        <is>
          <t>AUTO_GENERERAD. Bekrafta metadata mot kallfil.</t>
        </is>
      </c>
      <c r="BG2321">
        <f>HYPERLINK("C:\Users\jimmy\Desktop\Examens arbete\Kod\Ny mapp\remix_-copy-of-miljöbeslut.se-portal\Slutrapport.pdf", "Öppna PDF")</f>
        <v/>
      </c>
    </row>
    <row r="2322">
      <c r="A2322" t="inlineStr">
        <is>
          <t>KRAV-AUTO-002321</t>
        </is>
      </c>
      <c r="B2322" t="inlineStr">
        <is>
          <t>ADMIN-INDEX-2026-02-27-00000000125C043F57453246863FE664CAFE6A3F0700950291EA24F0614FB6ACEDB12BF0E31D00000000010C0000950291EA24F0614FB6ACEDB12BF0E31D00002087B1CB0000</t>
        </is>
      </c>
      <c r="C2322" t="inlineStr">
        <is>
          <t>cmm4yun4300cbcuqwx4ui99cs</t>
        </is>
      </c>
      <c r="D2322" t="inlineStr">
        <is>
          <t>http://localhost:8787/api/admin/requirements/documents/cmm4yun4300cbcuqwx4ui99cs/view</t>
        </is>
      </c>
      <c r="E2322">
        <f>HYPERLÄNK("http://localhost:8787/api/admin/requirements/documents/cmm4yun4300cbcuqwx4ui99cs/view";"Öppna PDF")</f>
        <v/>
      </c>
      <c r="F2322">
        <f>HYPERLINK("http://localhost:8787/api/admin/requirements/documents/cmm4yun4300cbcuqwx4ui99cs/view","Open PDF")</f>
        <v/>
      </c>
      <c r="G2322" t="inlineStr">
        <is>
          <t>cmm55w57p0004cuisfrtpqly8</t>
        </is>
      </c>
      <c r="H2322" t="inlineStr">
        <is>
          <t>Beslutsvillkor</t>
        </is>
      </c>
      <c r="I2322" t="inlineStr">
        <is>
          <t>DriftEgenkontroll</t>
        </is>
      </c>
      <c r="J2322" t="inlineStr">
        <is>
          <t>Journalforing</t>
        </is>
      </c>
      <c r="K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 2200 Ansättningsdatum : 2024-03-27 Laboratorieaktivitet startad : 2024-03-27 Angiven mätosäkerhet är beräknad med täckningsfaktor k = 2.</t>
        </is>
      </c>
      <c r="L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t>
        </is>
      </c>
      <c r="M2322" t="inlineStr">
        <is>
          <t>BOR</t>
        </is>
      </c>
      <c r="N2322" t="inlineStr"/>
      <c r="O2322" t="inlineStr">
        <is>
          <t>2024-03-25</t>
        </is>
      </c>
      <c r="P2322" t="inlineStr"/>
      <c r="Q2322" t="inlineStr">
        <is>
          <t>Vite</t>
        </is>
      </c>
      <c r="R2322" t="inlineStr">
        <is>
          <t>Lopande drift</t>
        </is>
      </c>
      <c r="S2322" t="inlineStr"/>
      <c r="T2322" t="inlineStr">
        <is>
          <t>25 49 00</t>
        </is>
      </c>
      <c r="U2322" t="inlineStr"/>
      <c r="V2322" t="inlineStr"/>
      <c r="W2322" t="inlineStr">
        <is>
          <t>Nej</t>
        </is>
      </c>
      <c r="X2322" t="inlineStr">
        <is>
          <t>Nej</t>
        </is>
      </c>
      <c r="Y2322" t="inlineStr">
        <is>
          <t>Ja</t>
        </is>
      </c>
      <c r="Z2322" t="inlineStr">
        <is>
          <t>Nej</t>
        </is>
      </c>
      <c r="AA2322" t="n">
        <v>7</v>
      </c>
      <c r="AB2322" t="inlineStr">
        <is>
          <t>Egenkontrollrutiner</t>
        </is>
      </c>
      <c r="AC2322" t="inlineStr">
        <is>
          <t>Egenkontrollprogram</t>
        </is>
      </c>
      <c r="AD2322" t="inlineStr">
        <is>
          <t>Nej</t>
        </is>
      </c>
      <c r="AE2322" t="inlineStr">
        <is>
          <t>Nej</t>
        </is>
      </c>
      <c r="AF2322" t="inlineStr">
        <is>
          <t>Ej behandlad</t>
        </is>
      </c>
      <c r="AG2322" t="inlineStr">
        <is>
          <t>AUTO_GENERERAD. Verifiera citat mot kallfil.</t>
        </is>
      </c>
      <c r="AH2322" t="inlineStr">
        <is>
          <t>MEDIUM</t>
        </is>
      </c>
      <c r="AI2322" t="inlineStr">
        <is>
          <t>AUTO</t>
        </is>
      </c>
      <c r="AJ2322" t="inlineStr">
        <is>
          <t>Nej</t>
        </is>
      </c>
      <c r="AK2322" t="inlineStr"/>
      <c r="AL2322" t="inlineStr"/>
      <c r="AM2322" t="inlineStr"/>
      <c r="AN2322" t="inlineStr"/>
      <c r="AO2322" t="inlineStr">
        <is>
          <t>cmm4yun4m00cwcuqwobgswces</t>
        </is>
      </c>
      <c r="AP2322" t="inlineStr">
        <is>
          <t>http://localhost:8787/api/admin/requirements/documents/cmm4yun4m00cwcuqwobgswces/view</t>
        </is>
      </c>
      <c r="AQ2322">
        <f>HYPERLÄNK("http://localhost:8787/api/admin/requirements/documents/cmm4yun4m00cwcuqwobgswces/view";"Öppna PDF")</f>
        <v/>
      </c>
      <c r="AR2322">
        <f>HYPERLINK("http://localhost:8787/api/admin/requirements/documents/cmm4yun4m00cwcuqwobgswces/view","Open PDF")</f>
        <v/>
      </c>
      <c r="AS2322" t="inlineStr">
        <is>
          <t>cmm55w57p0004cuisfrtpqly8</t>
        </is>
      </c>
      <c r="AT2322" t="inlineStr">
        <is>
          <t>cmm4xvu980000cuh4vj0usz09</t>
        </is>
      </c>
      <c r="AU2322" t="inlineStr">
        <is>
          <t>pdf Falkenbergs</t>
        </is>
      </c>
      <c r="AV2322" t="inlineStr">
        <is>
          <t>Kommun</t>
        </is>
      </c>
      <c r="AW2322" t="inlineStr">
        <is>
          <t>pdf Falkenbergs kommun</t>
        </is>
      </c>
      <c r="AX2322" t="inlineStr">
        <is>
          <t>0346-88</t>
        </is>
      </c>
      <c r="AY2322" t="inlineStr">
        <is>
          <t>Beslut</t>
        </is>
      </c>
      <c r="AZ2322" t="inlineStr">
        <is>
          <t>2026-02-03</t>
        </is>
      </c>
      <c r="BA2322" t="inlineStr">
        <is>
          <t>Slutrapport.pdf</t>
        </is>
      </c>
      <c r="BB2322" t="inlineStr">
        <is>
          <t>Efterfrågade handlingar</t>
        </is>
      </c>
      <c r="BC2322" t="inlineStr">
        <is>
          <t>AUTO</t>
        </is>
      </c>
      <c r="BD2322" t="inlineStr"/>
      <c r="BE2322" t="inlineStr"/>
      <c r="BF2322" t="inlineStr">
        <is>
          <t>AUTO_GENERERAD. Bekrafta metadata mot kallfil.</t>
        </is>
      </c>
      <c r="BG2322">
        <f>HYPERLINK("C:\Users\jimmy\Desktop\Examens arbete\Kod\Ny mapp\remix_-copy-of-miljöbeslut.se-portal\Slutrapport.pdf", "Öppna PDF")</f>
        <v/>
      </c>
    </row>
    <row r="2323">
      <c r="A2323" t="inlineStr">
        <is>
          <t>KRAV-AUTO-002322</t>
        </is>
      </c>
      <c r="B2323" t="inlineStr">
        <is>
          <t>ADMIN-INDEX-2026-02-27-00000000125C043F57453246863FE664CAFE6A3F0700950291EA24F0614FB6ACEDB12BF0E31D00000000010C0000950291EA24F0614FB6ACEDB12BF0E31D00002087B1CB0000</t>
        </is>
      </c>
      <c r="C2323" t="inlineStr">
        <is>
          <t>cmm4yun3x00c5cuqw9bb1jqwy</t>
        </is>
      </c>
      <c r="D2323" t="inlineStr">
        <is>
          <t>http://localhost:8787/api/admin/requirements/documents/cmm4yun3x00c5cuqw9bb1jqwy/view</t>
        </is>
      </c>
      <c r="E2323">
        <f>HYPERLÄNK("http://localhost:8787/api/admin/requirements/documents/cmm4yun3x00c5cuqw9bb1jqwy/view";"Öppna PDF")</f>
        <v/>
      </c>
      <c r="F2323">
        <f>HYPERLINK("http://localhost:8787/api/admin/requirements/documents/cmm4yun3x00c5cuqw9bb1jqwy/view","Open PDF")</f>
        <v/>
      </c>
      <c r="G2323" t="inlineStr">
        <is>
          <t>cmm55w57p0004cuisfrtpqly8</t>
        </is>
      </c>
      <c r="H2323" t="inlineStr">
        <is>
          <t>Beslutsvillkor</t>
        </is>
      </c>
      <c r="I2323" t="inlineStr">
        <is>
          <t>MiljopaverkanForsiktighet</t>
        </is>
      </c>
      <c r="J2323" t="inlineStr">
        <is>
          <t>Skyddsatgarder</t>
        </is>
      </c>
      <c r="K2323" t="inlineStr">
        <is>
          <t>Varbergsvägen.pdf, Bilaga 3 - Analysprotokoll, jord.pdf, Bilaga 4 - Sammanställning analysresultat, j....pdf, Skanska.pdf Hej Bifogat Anmälan om återvinning av icke-farlig avfall för anläggningsändamål.</t>
        </is>
      </c>
      <c r="L2323" t="inlineStr">
        <is>
          <t>Varbergsvägen.pdf, Bilaga 3 - Analysprotokoll, jord.pdf, Bilaga 4 - Sammanställning analysresultat, j....pdf, Skanska.pdf Hej Bifogat Anmälan om återvinning av icke-farlig avfall för anläggningsändamål.</t>
        </is>
      </c>
      <c r="M2323" t="inlineStr">
        <is>
          <t>SKA</t>
        </is>
      </c>
      <c r="N2323" t="inlineStr"/>
      <c r="O2323" t="inlineStr"/>
      <c r="P2323" t="inlineStr">
        <is>
          <t>Arlig</t>
        </is>
      </c>
      <c r="Q2323" t="inlineStr"/>
      <c r="R2323" t="inlineStr">
        <is>
          <t>Alltid</t>
        </is>
      </c>
      <c r="S2323" t="inlineStr"/>
      <c r="T2323" t="inlineStr">
        <is>
          <t>88 68 81</t>
        </is>
      </c>
      <c r="U2323" t="inlineStr"/>
      <c r="V2323" t="inlineStr"/>
      <c r="W2323" t="inlineStr">
        <is>
          <t>Nej</t>
        </is>
      </c>
      <c r="X2323" t="inlineStr">
        <is>
          <t>Nej</t>
        </is>
      </c>
      <c r="Y2323" t="inlineStr">
        <is>
          <t>Nej</t>
        </is>
      </c>
      <c r="Z2323" t="inlineStr">
        <is>
          <t>Nej</t>
        </is>
      </c>
      <c r="AA2323" t="n">
        <v>10</v>
      </c>
      <c r="AB2323" t="inlineStr">
        <is>
          <t>Miljopaverkan och forsiktighetsmatt</t>
        </is>
      </c>
      <c r="AC2323" t="inlineStr">
        <is>
          <t>Miljo-PM</t>
        </is>
      </c>
      <c r="AD2323" t="inlineStr">
        <is>
          <t>Nej</t>
        </is>
      </c>
      <c r="AE2323" t="inlineStr">
        <is>
          <t>Nej</t>
        </is>
      </c>
      <c r="AF2323" t="inlineStr">
        <is>
          <t>Ej behandlad</t>
        </is>
      </c>
      <c r="AG2323" t="inlineStr">
        <is>
          <t>AUTO_GENERERAD. Verifiera citat mot kallfil.</t>
        </is>
      </c>
      <c r="AH2323" t="inlineStr">
        <is>
          <t>MEDIUM</t>
        </is>
      </c>
      <c r="AI2323" t="inlineStr">
        <is>
          <t>AUTO</t>
        </is>
      </c>
      <c r="AJ2323" t="inlineStr">
        <is>
          <t>Nej</t>
        </is>
      </c>
      <c r="AK2323" t="inlineStr"/>
      <c r="AL2323" t="inlineStr"/>
      <c r="AM2323" t="inlineStr"/>
      <c r="AN2323" t="inlineStr"/>
      <c r="AO2323" t="inlineStr">
        <is>
          <t>cmm4yun4m00cwcuqwobgswces</t>
        </is>
      </c>
      <c r="AP2323" t="inlineStr">
        <is>
          <t>http://localhost:8787/api/admin/requirements/documents/cmm4yun4m00cwcuqwobgswces/view</t>
        </is>
      </c>
      <c r="AQ2323">
        <f>HYPERLÄNK("http://localhost:8787/api/admin/requirements/documents/cmm4yun4m00cwcuqwobgswces/view";"Öppna PDF")</f>
        <v/>
      </c>
      <c r="AR2323">
        <f>HYPERLINK("http://localhost:8787/api/admin/requirements/documents/cmm4yun4m00cwcuqwobgswces/view","Open PDF")</f>
        <v/>
      </c>
      <c r="AS2323" t="inlineStr">
        <is>
          <t>cmm55w57p0004cuisfrtpqly8</t>
        </is>
      </c>
      <c r="AT2323" t="inlineStr">
        <is>
          <t>cmm4xvu980000cuh4vj0usz09</t>
        </is>
      </c>
      <c r="AU2323" t="inlineStr">
        <is>
          <t>pdf Falkenbergs</t>
        </is>
      </c>
      <c r="AV2323" t="inlineStr">
        <is>
          <t>Kommun</t>
        </is>
      </c>
      <c r="AW2323" t="inlineStr">
        <is>
          <t>pdf Falkenbergs kommun</t>
        </is>
      </c>
      <c r="AX2323" t="inlineStr">
        <is>
          <t>0346-88</t>
        </is>
      </c>
      <c r="AY2323" t="inlineStr">
        <is>
          <t>Beslut</t>
        </is>
      </c>
      <c r="AZ2323" t="inlineStr">
        <is>
          <t>2026-02-03</t>
        </is>
      </c>
      <c r="BA2323" t="inlineStr">
        <is>
          <t>Slutrapport.pdf</t>
        </is>
      </c>
      <c r="BB2323" t="inlineStr">
        <is>
          <t>Efterfrågade handlingar</t>
        </is>
      </c>
      <c r="BC2323" t="inlineStr">
        <is>
          <t>AUTO</t>
        </is>
      </c>
      <c r="BD2323" t="inlineStr"/>
      <c r="BE2323" t="inlineStr"/>
      <c r="BF2323" t="inlineStr">
        <is>
          <t>AUTO_GENERERAD. Bekrafta metadata mot kallfil.</t>
        </is>
      </c>
      <c r="BG2323">
        <f>HYPERLINK("C:\Users\jimmy\Desktop\Examens arbete\Kod\Ny mapp\remix_-copy-of-miljöbeslut.se-portal\Slutrapport.pdf", "Öppna PDF")</f>
        <v/>
      </c>
    </row>
    <row r="2324">
      <c r="A2324" t="inlineStr">
        <is>
          <t>KRAV-AUTO-002323</t>
        </is>
      </c>
      <c r="B2324" t="inlineStr">
        <is>
          <t>ADMIN-INDEX-2026-02-27-00000000125C043F57453246863FE664CAFE6A3F0700950291EA24F0614FB6ACEDB12BF0E31D00000000010C0000950291EA24F0614FB6ACEDB12BF0E31D00002087B1CB0000</t>
        </is>
      </c>
      <c r="C2324" t="inlineStr">
        <is>
          <t>cmm4yun3u00c2cuqwu9zupaj6</t>
        </is>
      </c>
      <c r="D2324" t="inlineStr">
        <is>
          <t>http://localhost:8787/api/admin/requirements/documents/cmm4yun3u00c2cuqwu9zupaj6/view</t>
        </is>
      </c>
      <c r="E2324">
        <f>HYPERLÄNK("http://localhost:8787/api/admin/requirements/documents/cmm4yun3u00c2cuqwu9zupaj6/view";"Öppna PDF")</f>
        <v/>
      </c>
      <c r="F2324">
        <f>HYPERLINK("http://localhost:8787/api/admin/requirements/documents/cmm4yun3u00c2cuqwu9zupaj6/view","Open PDF")</f>
        <v/>
      </c>
      <c r="G2324" t="inlineStr">
        <is>
          <t>cmm55w57p0004cuisfrtpqly8</t>
        </is>
      </c>
      <c r="H2324" t="inlineStr">
        <is>
          <t>Beslutsvillkor</t>
        </is>
      </c>
      <c r="I2324" t="inlineStr">
        <is>
          <t>MiljopaverkanForsiktighet</t>
        </is>
      </c>
      <c r="J2324" t="inlineStr">
        <is>
          <t>Skyddsatgarder</t>
        </is>
      </c>
      <c r="K2324" t="inlineStr">
        <is>
          <t>Enligt 27a § förordning om miljöfarlig verksamhet och hälsoskydd ska ett anmälningsärende gällande behandling av avfall innehålla ett föreläggande om vilka typer, mänger och metoder för behandling av avfallet som får förekomma.</t>
        </is>
      </c>
      <c r="L2324" t="inlineStr">
        <is>
          <t>Enligt 27a § förordning om miljöfarlig verksamhet och hälsoskydd ska ett anmälningsärende gällande behandling av avfall innehålla ett föreläggande om vilka typer, mänger och metoder för behandling av avfallet som får förekomma.</t>
        </is>
      </c>
      <c r="M2324" t="inlineStr">
        <is>
          <t>SKA</t>
        </is>
      </c>
      <c r="N2324" t="inlineStr">
        <is>
          <t>FMH</t>
        </is>
      </c>
      <c r="O2324" t="inlineStr"/>
      <c r="P2324" t="inlineStr">
        <is>
          <t>Arlig</t>
        </is>
      </c>
      <c r="Q2324" t="inlineStr">
        <is>
          <t>Forelaggande vid brist</t>
        </is>
      </c>
      <c r="R2324" t="inlineStr">
        <is>
          <t>Alltid</t>
        </is>
      </c>
      <c r="S2324" t="inlineStr"/>
      <c r="T2324" t="inlineStr">
        <is>
          <t>88 50 99</t>
        </is>
      </c>
      <c r="U2324" t="inlineStr"/>
      <c r="V2324" t="inlineStr"/>
      <c r="W2324" t="inlineStr">
        <is>
          <t>Nej</t>
        </is>
      </c>
      <c r="X2324" t="inlineStr">
        <is>
          <t>Nej</t>
        </is>
      </c>
      <c r="Y2324" t="inlineStr">
        <is>
          <t>Nej</t>
        </is>
      </c>
      <c r="Z2324" t="inlineStr">
        <is>
          <t>Nej</t>
        </is>
      </c>
      <c r="AA2324" t="n">
        <v>10</v>
      </c>
      <c r="AB2324" t="inlineStr">
        <is>
          <t>Miljopaverkan och forsiktighetsmatt</t>
        </is>
      </c>
      <c r="AC2324" t="inlineStr">
        <is>
          <t>Miljo-PM</t>
        </is>
      </c>
      <c r="AD2324" t="inlineStr">
        <is>
          <t>Nej</t>
        </is>
      </c>
      <c r="AE2324" t="inlineStr">
        <is>
          <t>Nej</t>
        </is>
      </c>
      <c r="AF2324" t="inlineStr">
        <is>
          <t>Ej behandlad</t>
        </is>
      </c>
      <c r="AG2324" t="inlineStr">
        <is>
          <t>AUTO_GENERERAD. Verifiera citat mot kallfil.</t>
        </is>
      </c>
      <c r="AH2324" t="inlineStr">
        <is>
          <t>HIGH</t>
        </is>
      </c>
      <c r="AI2324" t="inlineStr">
        <is>
          <t>AUTO</t>
        </is>
      </c>
      <c r="AJ2324" t="inlineStr">
        <is>
          <t>Nej</t>
        </is>
      </c>
      <c r="AK2324" t="inlineStr"/>
      <c r="AL2324" t="inlineStr"/>
      <c r="AM2324" t="inlineStr"/>
      <c r="AN2324" t="inlineStr"/>
      <c r="AO2324" t="inlineStr">
        <is>
          <t>cmm4yun4m00cwcuqwobgswces</t>
        </is>
      </c>
      <c r="AP2324" t="inlineStr">
        <is>
          <t>http://localhost:8787/api/admin/requirements/documents/cmm4yun4m00cwcuqwobgswces/view</t>
        </is>
      </c>
      <c r="AQ2324">
        <f>HYPERLÄNK("http://localhost:8787/api/admin/requirements/documents/cmm4yun4m00cwcuqwobgswces/view";"Öppna PDF")</f>
        <v/>
      </c>
      <c r="AR2324">
        <f>HYPERLINK("http://localhost:8787/api/admin/requirements/documents/cmm4yun4m00cwcuqwobgswces/view","Open PDF")</f>
        <v/>
      </c>
      <c r="AS2324" t="inlineStr">
        <is>
          <t>cmm55w57p0004cuisfrtpqly8</t>
        </is>
      </c>
      <c r="AT2324" t="inlineStr">
        <is>
          <t>cmm4xvu980000cuh4vj0usz09</t>
        </is>
      </c>
      <c r="AU2324" t="inlineStr">
        <is>
          <t>pdf Falkenbergs</t>
        </is>
      </c>
      <c r="AV2324" t="inlineStr">
        <is>
          <t>Kommun</t>
        </is>
      </c>
      <c r="AW2324" t="inlineStr">
        <is>
          <t>pdf Falkenbergs kommun</t>
        </is>
      </c>
      <c r="AX2324" t="inlineStr">
        <is>
          <t>0346-88</t>
        </is>
      </c>
      <c r="AY2324" t="inlineStr">
        <is>
          <t>Beslut</t>
        </is>
      </c>
      <c r="AZ2324" t="inlineStr">
        <is>
          <t>2026-02-03</t>
        </is>
      </c>
      <c r="BA2324" t="inlineStr">
        <is>
          <t>Slutrapport.pdf</t>
        </is>
      </c>
      <c r="BB2324" t="inlineStr">
        <is>
          <t>Efterfrågade handlingar</t>
        </is>
      </c>
      <c r="BC2324" t="inlineStr">
        <is>
          <t>AUTO</t>
        </is>
      </c>
      <c r="BD2324" t="inlineStr"/>
      <c r="BE2324" t="inlineStr"/>
      <c r="BF2324" t="inlineStr">
        <is>
          <t>AUTO_GENERERAD. Bekrafta metadata mot kallfil.</t>
        </is>
      </c>
      <c r="BG2324">
        <f>HYPERLINK("C:\Users\jimmy\Desktop\Examens arbete\Kod\Ny mapp\remix_-copy-of-miljöbeslut.se-portal\Slutrapport.pdf", "Öppna PDF")</f>
        <v/>
      </c>
    </row>
    <row r="2325">
      <c r="A2325" t="inlineStr">
        <is>
          <t>KRAV-AUTO-002324</t>
        </is>
      </c>
      <c r="B2325" t="inlineStr">
        <is>
          <t>ADMIN-INDEX-2026-02-27-00000000125C043F57453246863FE664CAFE6A3F0700950291EA24F0614FB6ACEDB12BF0E31D00000000010C0000950291EA24F0614FB6ACEDB12BF0E31D00002087B1CB0000</t>
        </is>
      </c>
      <c r="C2325" t="inlineStr">
        <is>
          <t>cmm4yun3u00c2cuqwu9zupaj6</t>
        </is>
      </c>
      <c r="D2325" t="inlineStr">
        <is>
          <t>http://localhost:8787/api/admin/requirements/documents/cmm4yun3u00c2cuqwu9zupaj6/view</t>
        </is>
      </c>
      <c r="E2325">
        <f>HYPERLÄNK("http://localhost:8787/api/admin/requirements/documents/cmm4yun3u00c2cuqwu9zupaj6/view";"Öppna PDF")</f>
        <v/>
      </c>
      <c r="F2325">
        <f>HYPERLINK("http://localhost:8787/api/admin/requirements/documents/cmm4yun3u00c2cuqwu9zupaj6/view","Open PDF")</f>
        <v/>
      </c>
      <c r="G2325" t="inlineStr">
        <is>
          <t>cmm55w57p0004cuisfrtpqly8</t>
        </is>
      </c>
      <c r="H2325" t="inlineStr">
        <is>
          <t>Beslutsvillkor</t>
        </is>
      </c>
      <c r="I2325" t="inlineStr">
        <is>
          <t>Ytkonstruktion</t>
        </is>
      </c>
      <c r="J2325" t="inlineStr">
        <is>
          <t>Tat yta</t>
        </is>
      </c>
      <c r="K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Elektrikern 2.</t>
        </is>
      </c>
      <c r="L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t>
        </is>
      </c>
      <c r="M2325" t="inlineStr">
        <is>
          <t>SKA</t>
        </is>
      </c>
      <c r="N2325" t="inlineStr"/>
      <c r="O2325" t="inlineStr"/>
      <c r="P2325" t="inlineStr"/>
      <c r="Q2325" t="inlineStr"/>
      <c r="R2325" t="inlineStr">
        <is>
          <t>Vid mellanlagring av avfall</t>
        </is>
      </c>
      <c r="S2325" t="inlineStr"/>
      <c r="T2325" t="inlineStr">
        <is>
          <t>88 50 99</t>
        </is>
      </c>
      <c r="U2325" t="inlineStr"/>
      <c r="V2325" t="inlineStr"/>
      <c r="W2325" t="inlineStr">
        <is>
          <t>Ja</t>
        </is>
      </c>
      <c r="X2325" t="inlineStr">
        <is>
          <t>Nej</t>
        </is>
      </c>
      <c r="Y2325" t="inlineStr">
        <is>
          <t>Nej</t>
        </is>
      </c>
      <c r="Z2325" t="inlineStr">
        <is>
          <t>Nej</t>
        </is>
      </c>
      <c r="AA2325" t="n">
        <v>5</v>
      </c>
      <c r="AB2325" t="inlineStr">
        <is>
          <t>Teknisk beskrivning av platta</t>
        </is>
      </c>
      <c r="AC2325" t="inlineStr">
        <is>
          <t>Teknisk ritning platta</t>
        </is>
      </c>
      <c r="AD2325" t="inlineStr">
        <is>
          <t>Nej</t>
        </is>
      </c>
      <c r="AE2325" t="inlineStr">
        <is>
          <t>Nej</t>
        </is>
      </c>
      <c r="AF2325" t="inlineStr">
        <is>
          <t>Ej behandlad</t>
        </is>
      </c>
      <c r="AG2325" t="inlineStr">
        <is>
          <t>AUTO_GENERERAD. Verifiera citat mot kallfil.</t>
        </is>
      </c>
      <c r="AH2325" t="inlineStr">
        <is>
          <t>MEDIUM</t>
        </is>
      </c>
      <c r="AI2325" t="inlineStr">
        <is>
          <t>AUTO</t>
        </is>
      </c>
      <c r="AJ2325" t="inlineStr">
        <is>
          <t>Nej</t>
        </is>
      </c>
      <c r="AK2325" t="inlineStr"/>
      <c r="AL2325" t="inlineStr"/>
      <c r="AM2325" t="inlineStr"/>
      <c r="AN2325" t="inlineStr"/>
      <c r="AO2325" t="inlineStr">
        <is>
          <t>cmm4yun4m00cwcuqwobgswces</t>
        </is>
      </c>
      <c r="AP2325" t="inlineStr">
        <is>
          <t>http://localhost:8787/api/admin/requirements/documents/cmm4yun4m00cwcuqwobgswces/view</t>
        </is>
      </c>
      <c r="AQ2325">
        <f>HYPERLÄNK("http://localhost:8787/api/admin/requirements/documents/cmm4yun4m00cwcuqwobgswces/view";"Öppna PDF")</f>
        <v/>
      </c>
      <c r="AR2325">
        <f>HYPERLINK("http://localhost:8787/api/admin/requirements/documents/cmm4yun4m00cwcuqwobgswces/view","Open PDF")</f>
        <v/>
      </c>
      <c r="AS2325" t="inlineStr">
        <is>
          <t>cmm55w57p0004cuisfrtpqly8</t>
        </is>
      </c>
      <c r="AT2325" t="inlineStr">
        <is>
          <t>cmm4xvu980000cuh4vj0usz09</t>
        </is>
      </c>
      <c r="AU2325" t="inlineStr">
        <is>
          <t>pdf Falkenbergs</t>
        </is>
      </c>
      <c r="AV2325" t="inlineStr">
        <is>
          <t>Kommun</t>
        </is>
      </c>
      <c r="AW2325" t="inlineStr">
        <is>
          <t>pdf Falkenbergs kommun</t>
        </is>
      </c>
      <c r="AX2325" t="inlineStr">
        <is>
          <t>0346-88</t>
        </is>
      </c>
      <c r="AY2325" t="inlineStr">
        <is>
          <t>Beslut</t>
        </is>
      </c>
      <c r="AZ2325" t="inlineStr">
        <is>
          <t>2026-02-03</t>
        </is>
      </c>
      <c r="BA2325" t="inlineStr">
        <is>
          <t>Slutrapport.pdf</t>
        </is>
      </c>
      <c r="BB2325" t="inlineStr">
        <is>
          <t>Efterfrågade handlingar</t>
        </is>
      </c>
      <c r="BC2325" t="inlineStr">
        <is>
          <t>AUTO</t>
        </is>
      </c>
      <c r="BD2325" t="inlineStr"/>
      <c r="BE2325" t="inlineStr"/>
      <c r="BF2325" t="inlineStr">
        <is>
          <t>AUTO_GENERERAD. Bekrafta metadata mot kallfil.</t>
        </is>
      </c>
      <c r="BG2325">
        <f>HYPERLINK("C:\Users\jimmy\Desktop\Examens arbete\Kod\Ny mapp\remix_-copy-of-miljöbeslut.se-portal\Slutrapport.pdf", "Öppna PDF")</f>
        <v/>
      </c>
    </row>
    <row r="2326">
      <c r="A2326" t="inlineStr">
        <is>
          <t>KRAV-AUTO-002325</t>
        </is>
      </c>
      <c r="B2326" t="inlineStr">
        <is>
          <t>ADMIN-INDEX-2026-02-27-00000000125C043F57453246863FE664CAFE6A3F0700950291EA24F0614FB6ACEDB12BF0E31D00000000010C0000950291EA24F0614FB6ACEDB12BF0E31D00002087B1CB0000</t>
        </is>
      </c>
      <c r="C2326" t="inlineStr">
        <is>
          <t>cmm4yun3u00c2cuqwu9zupaj6</t>
        </is>
      </c>
      <c r="D2326" t="inlineStr">
        <is>
          <t>http://localhost:8787/api/admin/requirements/documents/cmm4yun3u00c2cuqwu9zupaj6/view</t>
        </is>
      </c>
      <c r="E2326">
        <f>HYPERLÄNK("http://localhost:8787/api/admin/requirements/documents/cmm4yun3u00c2cuqwu9zupaj6/view";"Öppna PDF")</f>
        <v/>
      </c>
      <c r="F2326">
        <f>HYPERLINK("http://localhost:8787/api/admin/requirements/documents/cmm4yun3u00c2cuqwu9zupaj6/view","Open PDF")</f>
        <v/>
      </c>
      <c r="G2326" t="inlineStr">
        <is>
          <t>cmm55w57p0004cuisfrtpqly8</t>
        </is>
      </c>
      <c r="H2326" t="inlineStr">
        <is>
          <t>Beslutsvillkor</t>
        </is>
      </c>
      <c r="I2326" t="inlineStr">
        <is>
          <t>MiljopaverkanForsiktighet</t>
        </is>
      </c>
      <c r="J2326" t="inlineStr">
        <is>
          <t>Skyddsatgarder</t>
        </is>
      </c>
      <c r="K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26" t="inlineStr">
        <is>
          <t>SKA</t>
        </is>
      </c>
      <c r="N2326" t="inlineStr">
        <is>
          <t>FMH</t>
        </is>
      </c>
      <c r="O2326" t="inlineStr"/>
      <c r="P2326" t="inlineStr">
        <is>
          <t>Arlig</t>
        </is>
      </c>
      <c r="Q2326" t="inlineStr">
        <is>
          <t>Forbud</t>
        </is>
      </c>
      <c r="R2326" t="inlineStr">
        <is>
          <t>Alltid</t>
        </is>
      </c>
      <c r="S2326" t="inlineStr"/>
      <c r="T2326" t="inlineStr">
        <is>
          <t>88 50 99</t>
        </is>
      </c>
      <c r="U2326" t="inlineStr"/>
      <c r="V2326" t="inlineStr"/>
      <c r="W2326" t="inlineStr">
        <is>
          <t>Nej</t>
        </is>
      </c>
      <c r="X2326" t="inlineStr">
        <is>
          <t>Nej</t>
        </is>
      </c>
      <c r="Y2326" t="inlineStr">
        <is>
          <t>Nej</t>
        </is>
      </c>
      <c r="Z2326" t="inlineStr">
        <is>
          <t>Nej</t>
        </is>
      </c>
      <c r="AA2326" t="n">
        <v>10</v>
      </c>
      <c r="AB2326" t="inlineStr">
        <is>
          <t>Miljopaverkan och forsiktighetsmatt</t>
        </is>
      </c>
      <c r="AC2326" t="inlineStr">
        <is>
          <t>Miljo-PM</t>
        </is>
      </c>
      <c r="AD2326" t="inlineStr">
        <is>
          <t>Nej</t>
        </is>
      </c>
      <c r="AE2326" t="inlineStr">
        <is>
          <t>Nej</t>
        </is>
      </c>
      <c r="AF2326" t="inlineStr">
        <is>
          <t>Ej behandlad</t>
        </is>
      </c>
      <c r="AG2326" t="inlineStr">
        <is>
          <t>AUTO_GENERERAD. Verifiera citat mot kallfil.</t>
        </is>
      </c>
      <c r="AH2326" t="inlineStr">
        <is>
          <t>HIGH</t>
        </is>
      </c>
      <c r="AI2326" t="inlineStr">
        <is>
          <t>AUTO</t>
        </is>
      </c>
      <c r="AJ2326" t="inlineStr">
        <is>
          <t>Nej</t>
        </is>
      </c>
      <c r="AK2326" t="inlineStr"/>
      <c r="AL2326" t="inlineStr"/>
      <c r="AM2326" t="inlineStr"/>
      <c r="AN2326" t="inlineStr"/>
      <c r="AO2326" t="inlineStr">
        <is>
          <t>cmm4yun4m00cwcuqwobgswces</t>
        </is>
      </c>
      <c r="AP2326" t="inlineStr">
        <is>
          <t>http://localhost:8787/api/admin/requirements/documents/cmm4yun4m00cwcuqwobgswces/view</t>
        </is>
      </c>
      <c r="AQ2326">
        <f>HYPERLÄNK("http://localhost:8787/api/admin/requirements/documents/cmm4yun4m00cwcuqwobgswces/view";"Öppna PDF")</f>
        <v/>
      </c>
      <c r="AR2326">
        <f>HYPERLINK("http://localhost:8787/api/admin/requirements/documents/cmm4yun4m00cwcuqwobgswces/view","Open PDF")</f>
        <v/>
      </c>
      <c r="AS2326" t="inlineStr">
        <is>
          <t>cmm55w57p0004cuisfrtpqly8</t>
        </is>
      </c>
      <c r="AT2326" t="inlineStr">
        <is>
          <t>cmm4xvu980000cuh4vj0usz09</t>
        </is>
      </c>
      <c r="AU2326" t="inlineStr">
        <is>
          <t>pdf Falkenbergs</t>
        </is>
      </c>
      <c r="AV2326" t="inlineStr">
        <is>
          <t>Kommun</t>
        </is>
      </c>
      <c r="AW2326" t="inlineStr">
        <is>
          <t>pdf Falkenbergs kommun</t>
        </is>
      </c>
      <c r="AX2326" t="inlineStr">
        <is>
          <t>0346-88</t>
        </is>
      </c>
      <c r="AY2326" t="inlineStr">
        <is>
          <t>Beslut</t>
        </is>
      </c>
      <c r="AZ2326" t="inlineStr">
        <is>
          <t>2026-02-03</t>
        </is>
      </c>
      <c r="BA2326" t="inlineStr">
        <is>
          <t>Slutrapport.pdf</t>
        </is>
      </c>
      <c r="BB2326" t="inlineStr">
        <is>
          <t>Efterfrågade handlingar</t>
        </is>
      </c>
      <c r="BC2326" t="inlineStr">
        <is>
          <t>AUTO</t>
        </is>
      </c>
      <c r="BD2326" t="inlineStr"/>
      <c r="BE2326" t="inlineStr"/>
      <c r="BF2326" t="inlineStr">
        <is>
          <t>AUTO_GENERERAD. Bekrafta metadata mot kallfil.</t>
        </is>
      </c>
      <c r="BG2326">
        <f>HYPERLINK("C:\Users\jimmy\Desktop\Examens arbete\Kod\Ny mapp\remix_-copy-of-miljöbeslut.se-portal\Slutrapport.pdf", "Öppna PDF")</f>
        <v/>
      </c>
    </row>
    <row r="2327">
      <c r="A2327" t="inlineStr">
        <is>
          <t>KRAV-AUTO-002326</t>
        </is>
      </c>
      <c r="B2327" t="inlineStr">
        <is>
          <t>ADMIN-INDEX-2026-02-27-00000000125C043F57453246863FE664CAFE6A3F0700950291EA24F0614FB6ACEDB12BF0E31D00000000010C0000950291EA24F0614FB6ACEDB12BF0E31D00002087B1CB0000</t>
        </is>
      </c>
      <c r="C2327" t="inlineStr">
        <is>
          <t>cmm4yun3p00bwcuqwfdwfommj</t>
        </is>
      </c>
      <c r="D2327" t="inlineStr">
        <is>
          <t>http://localhost:8787/api/admin/requirements/documents/cmm4yun3p00bwcuqwfdwfommj/view</t>
        </is>
      </c>
      <c r="E2327">
        <f>HYPERLÄNK("http://localhost:8787/api/admin/requirements/documents/cmm4yun3p00bwcuqwfdwfommj/view";"Öppna PDF")</f>
        <v/>
      </c>
      <c r="F2327">
        <f>HYPERLINK("http://localhost:8787/api/admin/requirements/documents/cmm4yun3p00bwcuqwfdwfommj/view","Open PDF")</f>
        <v/>
      </c>
      <c r="G2327" t="inlineStr">
        <is>
          <t>cmm55w57p0004cuisfrtpqly8</t>
        </is>
      </c>
      <c r="H2327" t="inlineStr">
        <is>
          <t>Beslutsvillkor</t>
        </is>
      </c>
      <c r="I2327" t="inlineStr">
        <is>
          <t>Riskhantering</t>
        </is>
      </c>
      <c r="J2327" t="inlineStr">
        <is>
          <t>Riskkontroll</t>
        </is>
      </c>
      <c r="K2327" t="inlineStr">
        <is>
          <t>Räddningstaktiska förutsättningar • Släckvatten: Det finns brandpost på insidan av staketet mot Åkarevägen.</t>
        </is>
      </c>
      <c r="L2327" t="inlineStr">
        <is>
          <t>Räddningstaktiska förutsättningar • Släckvatten: Det finns brandpost på insidan av staketet mot Åkarevägen.</t>
        </is>
      </c>
      <c r="M2327" t="inlineStr">
        <is>
          <t>SKA</t>
        </is>
      </c>
      <c r="N2327" t="inlineStr"/>
      <c r="O2327" t="inlineStr"/>
      <c r="P2327" t="inlineStr"/>
      <c r="Q2327" t="inlineStr"/>
      <c r="R2327" t="inlineStr">
        <is>
          <t>Vid risk for incident</t>
        </is>
      </c>
      <c r="S2327" t="inlineStr"/>
      <c r="T2327" t="inlineStr">
        <is>
          <t>969721</t>
        </is>
      </c>
      <c r="U2327" t="inlineStr"/>
      <c r="V2327" t="inlineStr"/>
      <c r="W2327" t="inlineStr">
        <is>
          <t>Nej</t>
        </is>
      </c>
      <c r="X2327" t="inlineStr">
        <is>
          <t>Nej</t>
        </is>
      </c>
      <c r="Y2327" t="inlineStr">
        <is>
          <t>Ja</t>
        </is>
      </c>
      <c r="Z2327" t="inlineStr">
        <is>
          <t>Ja</t>
        </is>
      </c>
      <c r="AA2327" t="n">
        <v>8</v>
      </c>
      <c r="AB2327" t="inlineStr">
        <is>
          <t>Riskhantering</t>
        </is>
      </c>
      <c r="AC2327" t="inlineStr">
        <is>
          <t>Risk-PM</t>
        </is>
      </c>
      <c r="AD2327" t="inlineStr">
        <is>
          <t>Nej</t>
        </is>
      </c>
      <c r="AE2327" t="inlineStr">
        <is>
          <t>Nej</t>
        </is>
      </c>
      <c r="AF2327" t="inlineStr">
        <is>
          <t>Ej behandlad</t>
        </is>
      </c>
      <c r="AG2327" t="inlineStr">
        <is>
          <t>AUTO_GENERERAD. Verifiera citat mot kallfil.</t>
        </is>
      </c>
      <c r="AH2327" t="inlineStr">
        <is>
          <t>MEDIUM</t>
        </is>
      </c>
      <c r="AI2327" t="inlineStr">
        <is>
          <t>AUTO</t>
        </is>
      </c>
      <c r="AJ2327" t="inlineStr">
        <is>
          <t>Nej</t>
        </is>
      </c>
      <c r="AK2327" t="inlineStr"/>
      <c r="AL2327" t="inlineStr"/>
      <c r="AM2327" t="inlineStr"/>
      <c r="AN2327" t="inlineStr"/>
      <c r="AO2327" t="inlineStr">
        <is>
          <t>cmm4yun4m00cwcuqwobgswces</t>
        </is>
      </c>
      <c r="AP2327" t="inlineStr">
        <is>
          <t>http://localhost:8787/api/admin/requirements/documents/cmm4yun4m00cwcuqwobgswces/view</t>
        </is>
      </c>
      <c r="AQ2327">
        <f>HYPERLÄNK("http://localhost:8787/api/admin/requirements/documents/cmm4yun4m00cwcuqwobgswces/view";"Öppna PDF")</f>
        <v/>
      </c>
      <c r="AR2327">
        <f>HYPERLINK("http://localhost:8787/api/admin/requirements/documents/cmm4yun4m00cwcuqwobgswces/view","Open PDF")</f>
        <v/>
      </c>
      <c r="AS2327" t="inlineStr">
        <is>
          <t>cmm55w57p0004cuisfrtpqly8</t>
        </is>
      </c>
      <c r="AT2327" t="inlineStr">
        <is>
          <t>cmm4xvu980000cuh4vj0usz09</t>
        </is>
      </c>
      <c r="AU2327" t="inlineStr">
        <is>
          <t>pdf Falkenbergs</t>
        </is>
      </c>
      <c r="AV2327" t="inlineStr">
        <is>
          <t>Kommun</t>
        </is>
      </c>
      <c r="AW2327" t="inlineStr">
        <is>
          <t>pdf Falkenbergs kommun</t>
        </is>
      </c>
      <c r="AX2327" t="inlineStr">
        <is>
          <t>0346-88</t>
        </is>
      </c>
      <c r="AY2327" t="inlineStr">
        <is>
          <t>Beslut</t>
        </is>
      </c>
      <c r="AZ2327" t="inlineStr">
        <is>
          <t>2026-02-03</t>
        </is>
      </c>
      <c r="BA2327" t="inlineStr">
        <is>
          <t>Slutrapport.pdf</t>
        </is>
      </c>
      <c r="BB2327" t="inlineStr">
        <is>
          <t>Efterfrågade handlingar</t>
        </is>
      </c>
      <c r="BC2327" t="inlineStr">
        <is>
          <t>AUTO</t>
        </is>
      </c>
      <c r="BD2327" t="inlineStr"/>
      <c r="BE2327" t="inlineStr"/>
      <c r="BF2327" t="inlineStr">
        <is>
          <t>AUTO_GENERERAD. Bekrafta metadata mot kallfil.</t>
        </is>
      </c>
      <c r="BG2327">
        <f>HYPERLINK("C:\Users\jimmy\Desktop\Examens arbete\Kod\Ny mapp\remix_-copy-of-miljöbeslut.se-portal\Slutrapport.pdf", "Öppna PDF")</f>
        <v/>
      </c>
    </row>
    <row r="2328">
      <c r="A2328" t="inlineStr">
        <is>
          <t>KRAV-AUTO-002327</t>
        </is>
      </c>
      <c r="B2328" t="inlineStr">
        <is>
          <t>ADMIN-INDEX-2026-02-27-00000000125C043F57453246863FE664CAFE6A3F0700950291EA24F0614FB6ACEDB12BF0E31D00000000010C0000950291EA24F0614FB6ACEDB12BF0E31D00002087B1CB0000</t>
        </is>
      </c>
      <c r="C2328" t="inlineStr">
        <is>
          <t>cmm4yun3m00btcuqwilhaveqs</t>
        </is>
      </c>
      <c r="D2328" t="inlineStr">
        <is>
          <t>http://localhost:8787/api/admin/requirements/documents/cmm4yun3m00btcuqwilhaveqs/view</t>
        </is>
      </c>
      <c r="E2328">
        <f>HYPERLÄNK("http://localhost:8787/api/admin/requirements/documents/cmm4yun3m00btcuqwilhaveqs/view";"Öppna PDF")</f>
        <v/>
      </c>
      <c r="F2328">
        <f>HYPERLINK("http://localhost:8787/api/admin/requirements/documents/cmm4yun3m00btcuqwilhaveqs/view","Open PDF")</f>
        <v/>
      </c>
      <c r="G2328" t="inlineStr">
        <is>
          <t>cmm55w57p0004cuisfrtpqly8</t>
        </is>
      </c>
      <c r="H2328" t="inlineStr">
        <is>
          <t>Beslutsvillkor</t>
        </is>
      </c>
      <c r="I2328" t="inlineStr">
        <is>
          <t>Riskhantering</t>
        </is>
      </c>
      <c r="J2328" t="inlineStr">
        <is>
          <t>Riskkontroll</t>
        </is>
      </c>
      <c r="K2328" t="inlineStr">
        <is>
          <t>Skall lagring ske närmare så måste brandskydd av någon form byggas upp mot angränsande fastighet.</t>
        </is>
      </c>
      <c r="L2328" t="inlineStr">
        <is>
          <t>Skall lagring ske närmare så måste brandskydd av någon form byggas upp mot angränsande fastighet.</t>
        </is>
      </c>
      <c r="M2328" t="inlineStr">
        <is>
          <t>SKA</t>
        </is>
      </c>
      <c r="N2328" t="inlineStr"/>
      <c r="O2328" t="inlineStr"/>
      <c r="P2328" t="inlineStr"/>
      <c r="Q2328" t="inlineStr"/>
      <c r="R2328" t="inlineStr">
        <is>
          <t>Vid risk for incident</t>
        </is>
      </c>
      <c r="S2328" t="inlineStr"/>
      <c r="T2328" t="inlineStr">
        <is>
          <t>000966</t>
        </is>
      </c>
      <c r="U2328" t="inlineStr"/>
      <c r="V2328" t="inlineStr"/>
      <c r="W2328" t="inlineStr">
        <is>
          <t>Nej</t>
        </is>
      </c>
      <c r="X2328" t="inlineStr">
        <is>
          <t>Nej</t>
        </is>
      </c>
      <c r="Y2328" t="inlineStr">
        <is>
          <t>Ja</t>
        </is>
      </c>
      <c r="Z2328" t="inlineStr">
        <is>
          <t>Ja</t>
        </is>
      </c>
      <c r="AA2328" t="n">
        <v>8</v>
      </c>
      <c r="AB2328" t="inlineStr">
        <is>
          <t>Riskhantering</t>
        </is>
      </c>
      <c r="AC2328" t="inlineStr">
        <is>
          <t>Risk-PM</t>
        </is>
      </c>
      <c r="AD2328" t="inlineStr">
        <is>
          <t>Nej</t>
        </is>
      </c>
      <c r="AE2328" t="inlineStr">
        <is>
          <t>Nej</t>
        </is>
      </c>
      <c r="AF2328" t="inlineStr">
        <is>
          <t>Ej behandlad</t>
        </is>
      </c>
      <c r="AG2328" t="inlineStr">
        <is>
          <t>AUTO_GENERERAD. Verifiera citat mot kallfil.</t>
        </is>
      </c>
      <c r="AH2328" t="inlineStr">
        <is>
          <t>MEDIUM</t>
        </is>
      </c>
      <c r="AI2328" t="inlineStr">
        <is>
          <t>AUTO</t>
        </is>
      </c>
      <c r="AJ2328" t="inlineStr">
        <is>
          <t>Nej</t>
        </is>
      </c>
      <c r="AK2328" t="inlineStr"/>
      <c r="AL2328" t="inlineStr"/>
      <c r="AM2328" t="inlineStr"/>
      <c r="AN2328" t="inlineStr"/>
      <c r="AO2328" t="inlineStr">
        <is>
          <t>cmm4yun4m00cwcuqwobgswces</t>
        </is>
      </c>
      <c r="AP2328" t="inlineStr">
        <is>
          <t>http://localhost:8787/api/admin/requirements/documents/cmm4yun4m00cwcuqwobgswces/view</t>
        </is>
      </c>
      <c r="AQ2328">
        <f>HYPERLÄNK("http://localhost:8787/api/admin/requirements/documents/cmm4yun4m00cwcuqwobgswces/view";"Öppna PDF")</f>
        <v/>
      </c>
      <c r="AR2328">
        <f>HYPERLINK("http://localhost:8787/api/admin/requirements/documents/cmm4yun4m00cwcuqwobgswces/view","Open PDF")</f>
        <v/>
      </c>
      <c r="AS2328" t="inlineStr">
        <is>
          <t>cmm55w57p0004cuisfrtpqly8</t>
        </is>
      </c>
      <c r="AT2328" t="inlineStr">
        <is>
          <t>cmm4xvu980000cuh4vj0usz09</t>
        </is>
      </c>
      <c r="AU2328" t="inlineStr">
        <is>
          <t>pdf Falkenbergs</t>
        </is>
      </c>
      <c r="AV2328" t="inlineStr">
        <is>
          <t>Kommun</t>
        </is>
      </c>
      <c r="AW2328" t="inlineStr">
        <is>
          <t>pdf Falkenbergs kommun</t>
        </is>
      </c>
      <c r="AX2328" t="inlineStr">
        <is>
          <t>0346-88</t>
        </is>
      </c>
      <c r="AY2328" t="inlineStr">
        <is>
          <t>Beslut</t>
        </is>
      </c>
      <c r="AZ2328" t="inlineStr">
        <is>
          <t>2026-02-03</t>
        </is>
      </c>
      <c r="BA2328" t="inlineStr">
        <is>
          <t>Slutrapport.pdf</t>
        </is>
      </c>
      <c r="BB2328" t="inlineStr">
        <is>
          <t>Efterfrågade handlingar</t>
        </is>
      </c>
      <c r="BC2328" t="inlineStr">
        <is>
          <t>AUTO</t>
        </is>
      </c>
      <c r="BD2328" t="inlineStr"/>
      <c r="BE2328" t="inlineStr"/>
      <c r="BF2328" t="inlineStr">
        <is>
          <t>AUTO_GENERERAD. Bekrafta metadata mot kallfil.</t>
        </is>
      </c>
      <c r="BG2328">
        <f>HYPERLINK("C:\Users\jimmy\Desktop\Examens arbete\Kod\Ny mapp\remix_-copy-of-miljöbeslut.se-portal\Slutrapport.pdf", "Öppna PDF")</f>
        <v/>
      </c>
    </row>
    <row r="2329">
      <c r="A2329" t="inlineStr">
        <is>
          <t>KRAV-AUTO-002328</t>
        </is>
      </c>
      <c r="B2329" t="inlineStr">
        <is>
          <t>ADMIN-INDEX-2026-02-27-00000000125C043F57453246863FE664CAFE6A3F0700950291EA24F0614FB6ACEDB12BF0E31D00000000010C0000950291EA24F0614FB6ACEDB12BF0E31D00002087B1CB0000</t>
        </is>
      </c>
      <c r="C2329" t="inlineStr">
        <is>
          <t>cmm4yun3m00btcuqwilhaveqs</t>
        </is>
      </c>
      <c r="D2329" t="inlineStr">
        <is>
          <t>http://localhost:8787/api/admin/requirements/documents/cmm4yun3m00btcuqwilhaveqs/view</t>
        </is>
      </c>
      <c r="E2329">
        <f>HYPERLÄNK("http://localhost:8787/api/admin/requirements/documents/cmm4yun3m00btcuqwilhaveqs/view";"Öppna PDF")</f>
        <v/>
      </c>
      <c r="F2329">
        <f>HYPERLINK("http://localhost:8787/api/admin/requirements/documents/cmm4yun3m00btcuqwilhaveqs/view","Open PDF")</f>
        <v/>
      </c>
      <c r="G2329" t="inlineStr">
        <is>
          <t>cmm55w57p0004cuisfrtpqly8</t>
        </is>
      </c>
      <c r="H2329" t="inlineStr">
        <is>
          <t>Beslutsvillkor</t>
        </is>
      </c>
      <c r="I2329" t="inlineStr">
        <is>
          <t>Ytkonstruktion</t>
        </is>
      </c>
      <c r="J2329" t="inlineStr">
        <is>
          <t>Tat yta</t>
        </is>
      </c>
      <c r="K2329" t="inlineStr">
        <is>
          <t>• Det skall finnas en i ordninggjord yta där material kan lämpas vid en eventuell brand som motsvarar arean på anläggningens största stack.</t>
        </is>
      </c>
      <c r="L2329" t="inlineStr">
        <is>
          <t>• Det skall finnas en i ordninggjord yta där material kan lämpas vid en eventuell brand som motsvarar arean på anläggningens största stack.</t>
        </is>
      </c>
      <c r="M2329" t="inlineStr">
        <is>
          <t>SKA</t>
        </is>
      </c>
      <c r="N2329" t="inlineStr"/>
      <c r="O2329" t="inlineStr"/>
      <c r="P2329" t="inlineStr"/>
      <c r="Q2329" t="inlineStr"/>
      <c r="R2329" t="inlineStr">
        <is>
          <t>Vid mellanlagring av avfall</t>
        </is>
      </c>
      <c r="S2329" t="inlineStr"/>
      <c r="T2329" t="inlineStr">
        <is>
          <t>000966</t>
        </is>
      </c>
      <c r="U2329" t="inlineStr"/>
      <c r="V2329" t="inlineStr"/>
      <c r="W2329" t="inlineStr">
        <is>
          <t>Ja</t>
        </is>
      </c>
      <c r="X2329" t="inlineStr">
        <is>
          <t>Nej</t>
        </is>
      </c>
      <c r="Y2329" t="inlineStr">
        <is>
          <t>Nej</t>
        </is>
      </c>
      <c r="Z2329" t="inlineStr">
        <is>
          <t>Nej</t>
        </is>
      </c>
      <c r="AA2329" t="n">
        <v>5</v>
      </c>
      <c r="AB2329" t="inlineStr">
        <is>
          <t>Teknisk beskrivning av platta</t>
        </is>
      </c>
      <c r="AC2329" t="inlineStr">
        <is>
          <t>Teknisk ritning platta</t>
        </is>
      </c>
      <c r="AD2329" t="inlineStr">
        <is>
          <t>Nej</t>
        </is>
      </c>
      <c r="AE2329" t="inlineStr">
        <is>
          <t>Nej</t>
        </is>
      </c>
      <c r="AF2329" t="inlineStr">
        <is>
          <t>Ej behandlad</t>
        </is>
      </c>
      <c r="AG2329" t="inlineStr">
        <is>
          <t>AUTO_GENERERAD. Verifiera citat mot kallfil.</t>
        </is>
      </c>
      <c r="AH2329" t="inlineStr">
        <is>
          <t>MEDIUM</t>
        </is>
      </c>
      <c r="AI2329" t="inlineStr">
        <is>
          <t>AUTO</t>
        </is>
      </c>
      <c r="AJ2329" t="inlineStr">
        <is>
          <t>Nej</t>
        </is>
      </c>
      <c r="AK2329" t="inlineStr"/>
      <c r="AL2329" t="inlineStr"/>
      <c r="AM2329" t="inlineStr"/>
      <c r="AN2329" t="inlineStr"/>
      <c r="AO2329" t="inlineStr">
        <is>
          <t>cmm4yun4m00cwcuqwobgswces</t>
        </is>
      </c>
      <c r="AP2329" t="inlineStr">
        <is>
          <t>http://localhost:8787/api/admin/requirements/documents/cmm4yun4m00cwcuqwobgswces/view</t>
        </is>
      </c>
      <c r="AQ2329">
        <f>HYPERLÄNK("http://localhost:8787/api/admin/requirements/documents/cmm4yun4m00cwcuqwobgswces/view";"Öppna PDF")</f>
        <v/>
      </c>
      <c r="AR2329">
        <f>HYPERLINK("http://localhost:8787/api/admin/requirements/documents/cmm4yun4m00cwcuqwobgswces/view","Open PDF")</f>
        <v/>
      </c>
      <c r="AS2329" t="inlineStr">
        <is>
          <t>cmm55w57p0004cuisfrtpqly8</t>
        </is>
      </c>
      <c r="AT2329" t="inlineStr">
        <is>
          <t>cmm4xvu980000cuh4vj0usz09</t>
        </is>
      </c>
      <c r="AU2329" t="inlineStr">
        <is>
          <t>pdf Falkenbergs</t>
        </is>
      </c>
      <c r="AV2329" t="inlineStr">
        <is>
          <t>Kommun</t>
        </is>
      </c>
      <c r="AW2329" t="inlineStr">
        <is>
          <t>pdf Falkenbergs kommun</t>
        </is>
      </c>
      <c r="AX2329" t="inlineStr">
        <is>
          <t>0346-88</t>
        </is>
      </c>
      <c r="AY2329" t="inlineStr">
        <is>
          <t>Beslut</t>
        </is>
      </c>
      <c r="AZ2329" t="inlineStr">
        <is>
          <t>2026-02-03</t>
        </is>
      </c>
      <c r="BA2329" t="inlineStr">
        <is>
          <t>Slutrapport.pdf</t>
        </is>
      </c>
      <c r="BB2329" t="inlineStr">
        <is>
          <t>Efterfrågade handlingar</t>
        </is>
      </c>
      <c r="BC2329" t="inlineStr">
        <is>
          <t>AUTO</t>
        </is>
      </c>
      <c r="BD2329" t="inlineStr"/>
      <c r="BE2329" t="inlineStr"/>
      <c r="BF2329" t="inlineStr">
        <is>
          <t>AUTO_GENERERAD. Bekrafta metadata mot kallfil.</t>
        </is>
      </c>
      <c r="BG2329">
        <f>HYPERLINK("C:\Users\jimmy\Desktop\Examens arbete\Kod\Ny mapp\remix_-copy-of-miljöbeslut.se-portal\Slutrapport.pdf", "Öppna PDF")</f>
        <v/>
      </c>
    </row>
    <row r="2330">
      <c r="A2330" t="inlineStr">
        <is>
          <t>KRAV-AUTO-002329</t>
        </is>
      </c>
      <c r="B2330" t="inlineStr">
        <is>
          <t>ADMIN-INDEX-2026-02-27-00000000125C043F57453246863FE664CAFE6A3F0700950291EA24F0614FB6ACEDB12BF0E31D00000000010C0000950291EA24F0614FB6ACEDB12BF0E31D00002087B1CB0000</t>
        </is>
      </c>
      <c r="C2330" t="inlineStr">
        <is>
          <t>cmm4yun3m00btcuqwilhaveqs</t>
        </is>
      </c>
      <c r="D2330" t="inlineStr">
        <is>
          <t>http://localhost:8787/api/admin/requirements/documents/cmm4yun3m00btcuqwilhaveqs/view</t>
        </is>
      </c>
      <c r="E2330">
        <f>HYPERLÄNK("http://localhost:8787/api/admin/requirements/documents/cmm4yun3m00btcuqwilhaveqs/view";"Öppna PDF")</f>
        <v/>
      </c>
      <c r="F2330">
        <f>HYPERLINK("http://localhost:8787/api/admin/requirements/documents/cmm4yun3m00btcuqwilhaveqs/view","Open PDF")</f>
        <v/>
      </c>
      <c r="G2330" t="inlineStr">
        <is>
          <t>cmm55w57p0004cuisfrtpqly8</t>
        </is>
      </c>
      <c r="H2330" t="inlineStr">
        <is>
          <t>Beslutsvillkor</t>
        </is>
      </c>
      <c r="I2330" t="inlineStr">
        <is>
          <t>Riskhantering</t>
        </is>
      </c>
      <c r="J2330" t="inlineStr">
        <is>
          <t>Riskkontroll</t>
        </is>
      </c>
      <c r="K2330" t="inlineStr">
        <is>
          <t>Där skall till exempel framgå körvägar inne på området, lämplig slangdragning för att inte hindra lastmaskiner att komma åt brinnande hög, om det finns vattentag/brandpost på området eller i dess närhet med mera.</t>
        </is>
      </c>
      <c r="L2330" t="inlineStr">
        <is>
          <t>Där skall till exempel framgå körvägar inne på området, lämplig slangdragning för att inte hindra lastmaskiner att komma åt brinnande hög, om det finns vattentag/brandpost på området eller i dess närhet med mera.</t>
        </is>
      </c>
      <c r="M2330" t="inlineStr">
        <is>
          <t>SKA</t>
        </is>
      </c>
      <c r="N2330" t="inlineStr"/>
      <c r="O2330" t="inlineStr"/>
      <c r="P2330" t="inlineStr"/>
      <c r="Q2330" t="inlineStr"/>
      <c r="R2330" t="inlineStr">
        <is>
          <t>Vid risk for incident</t>
        </is>
      </c>
      <c r="S2330" t="inlineStr"/>
      <c r="T2330" t="inlineStr">
        <is>
          <t>000966</t>
        </is>
      </c>
      <c r="U2330" t="inlineStr"/>
      <c r="V2330" t="inlineStr"/>
      <c r="W2330" t="inlineStr">
        <is>
          <t>Nej</t>
        </is>
      </c>
      <c r="X2330" t="inlineStr">
        <is>
          <t>Nej</t>
        </is>
      </c>
      <c r="Y2330" t="inlineStr">
        <is>
          <t>Ja</t>
        </is>
      </c>
      <c r="Z2330" t="inlineStr">
        <is>
          <t>Ja</t>
        </is>
      </c>
      <c r="AA2330" t="n">
        <v>8</v>
      </c>
      <c r="AB2330" t="inlineStr">
        <is>
          <t>Riskhantering</t>
        </is>
      </c>
      <c r="AC2330" t="inlineStr">
        <is>
          <t>Risk-PM</t>
        </is>
      </c>
      <c r="AD2330" t="inlineStr">
        <is>
          <t>Nej</t>
        </is>
      </c>
      <c r="AE2330" t="inlineStr">
        <is>
          <t>Nej</t>
        </is>
      </c>
      <c r="AF2330" t="inlineStr">
        <is>
          <t>Ej behandlad</t>
        </is>
      </c>
      <c r="AG2330" t="inlineStr">
        <is>
          <t>AUTO_GENERERAD. Verifiera citat mot kallfil.</t>
        </is>
      </c>
      <c r="AH2330" t="inlineStr">
        <is>
          <t>MEDIUM</t>
        </is>
      </c>
      <c r="AI2330" t="inlineStr">
        <is>
          <t>AUTO</t>
        </is>
      </c>
      <c r="AJ2330" t="inlineStr">
        <is>
          <t>Nej</t>
        </is>
      </c>
      <c r="AK2330" t="inlineStr"/>
      <c r="AL2330" t="inlineStr"/>
      <c r="AM2330" t="inlineStr"/>
      <c r="AN2330" t="inlineStr"/>
      <c r="AO2330" t="inlineStr">
        <is>
          <t>cmm4yun4m00cwcuqwobgswces</t>
        </is>
      </c>
      <c r="AP2330" t="inlineStr">
        <is>
          <t>http://localhost:8787/api/admin/requirements/documents/cmm4yun4m00cwcuqwobgswces/view</t>
        </is>
      </c>
      <c r="AQ2330">
        <f>HYPERLÄNK("http://localhost:8787/api/admin/requirements/documents/cmm4yun4m00cwcuqwobgswces/view";"Öppna PDF")</f>
        <v/>
      </c>
      <c r="AR2330">
        <f>HYPERLINK("http://localhost:8787/api/admin/requirements/documents/cmm4yun4m00cwcuqwobgswces/view","Open PDF")</f>
        <v/>
      </c>
      <c r="AS2330" t="inlineStr">
        <is>
          <t>cmm55w57p0004cuisfrtpqly8</t>
        </is>
      </c>
      <c r="AT2330" t="inlineStr">
        <is>
          <t>cmm4xvu980000cuh4vj0usz09</t>
        </is>
      </c>
      <c r="AU2330" t="inlineStr">
        <is>
          <t>pdf Falkenbergs</t>
        </is>
      </c>
      <c r="AV2330" t="inlineStr">
        <is>
          <t>Kommun</t>
        </is>
      </c>
      <c r="AW2330" t="inlineStr">
        <is>
          <t>pdf Falkenbergs kommun</t>
        </is>
      </c>
      <c r="AX2330" t="inlineStr">
        <is>
          <t>0346-88</t>
        </is>
      </c>
      <c r="AY2330" t="inlineStr">
        <is>
          <t>Beslut</t>
        </is>
      </c>
      <c r="AZ2330" t="inlineStr">
        <is>
          <t>2026-02-03</t>
        </is>
      </c>
      <c r="BA2330" t="inlineStr">
        <is>
          <t>Slutrapport.pdf</t>
        </is>
      </c>
      <c r="BB2330" t="inlineStr">
        <is>
          <t>Efterfrågade handlingar</t>
        </is>
      </c>
      <c r="BC2330" t="inlineStr">
        <is>
          <t>AUTO</t>
        </is>
      </c>
      <c r="BD2330" t="inlineStr"/>
      <c r="BE2330" t="inlineStr"/>
      <c r="BF2330" t="inlineStr">
        <is>
          <t>AUTO_GENERERAD. Bekrafta metadata mot kallfil.</t>
        </is>
      </c>
      <c r="BG2330">
        <f>HYPERLINK("C:\Users\jimmy\Desktop\Examens arbete\Kod\Ny mapp\remix_-copy-of-miljöbeslut.se-portal\Slutrapport.pdf", "Öppna PDF")</f>
        <v/>
      </c>
    </row>
    <row r="2331">
      <c r="A2331" t="inlineStr">
        <is>
          <t>KRAV-AUTO-002330</t>
        </is>
      </c>
      <c r="B2331" t="inlineStr">
        <is>
          <t>ADMIN-INDEX-2026-02-27-00000000125C043F57453246863FE664CAFE6A3F0700950291EA24F0614FB6ACEDB12BF0E31D00000000010C0000950291EA24F0614FB6ACEDB12BF0E31D00002087B1CB0000</t>
        </is>
      </c>
      <c r="C2331" t="inlineStr">
        <is>
          <t>cmm4yun3d00bkcuqwkkr9qv3d</t>
        </is>
      </c>
      <c r="D2331" t="inlineStr">
        <is>
          <t>http://localhost:8787/api/admin/requirements/documents/cmm4yun3d00bkcuqwkkr9qv3d/view</t>
        </is>
      </c>
      <c r="E2331">
        <f>HYPERLÄNK("http://localhost:8787/api/admin/requirements/documents/cmm4yun3d00bkcuqwkkr9qv3d/view";"Öppna PDF")</f>
        <v/>
      </c>
      <c r="F2331">
        <f>HYPERLINK("http://localhost:8787/api/admin/requirements/documents/cmm4yun3d00bkcuqwkkr9qv3d/view","Open PDF")</f>
        <v/>
      </c>
      <c r="G2331" t="inlineStr">
        <is>
          <t>cmm55w57p0004cuisfrtpqly8</t>
        </is>
      </c>
      <c r="H2331" t="inlineStr">
        <is>
          <t>Kompletteringskrav</t>
        </is>
      </c>
      <c r="I2331" t="inlineStr">
        <is>
          <t>Riskhantering</t>
        </is>
      </c>
      <c r="J2331" t="inlineStr">
        <is>
          <t>Riskkontroll</t>
        </is>
      </c>
      <c r="K2331" t="inlineStr">
        <is>
          <t>Vilka skyddsåtgärder planeras för att minska risken för buller i närområdet?</t>
        </is>
      </c>
      <c r="L2331" t="inlineStr">
        <is>
          <t>Vilka skyddsåtgärder planeras för att minska risken för buller i närområdet?</t>
        </is>
      </c>
      <c r="M2331" t="inlineStr">
        <is>
          <t>SKA</t>
        </is>
      </c>
      <c r="N2331" t="inlineStr"/>
      <c r="O2331" t="inlineStr"/>
      <c r="P2331" t="inlineStr"/>
      <c r="Q2331" t="inlineStr"/>
      <c r="R2331" t="inlineStr">
        <is>
          <t>Vid risk for incident</t>
        </is>
      </c>
      <c r="S2331" t="inlineStr"/>
      <c r="T2331" t="inlineStr"/>
      <c r="U2331" t="inlineStr"/>
      <c r="V2331" t="inlineStr"/>
      <c r="W2331" t="inlineStr">
        <is>
          <t>Nej</t>
        </is>
      </c>
      <c r="X2331" t="inlineStr">
        <is>
          <t>Nej</t>
        </is>
      </c>
      <c r="Y2331" t="inlineStr">
        <is>
          <t>Ja</t>
        </is>
      </c>
      <c r="Z2331" t="inlineStr">
        <is>
          <t>Ja</t>
        </is>
      </c>
      <c r="AA2331" t="n">
        <v>8</v>
      </c>
      <c r="AB2331" t="inlineStr">
        <is>
          <t>Riskhantering</t>
        </is>
      </c>
      <c r="AC2331" t="inlineStr">
        <is>
          <t>Risk-PM</t>
        </is>
      </c>
      <c r="AD2331" t="inlineStr">
        <is>
          <t>Nej</t>
        </is>
      </c>
      <c r="AE2331" t="inlineStr">
        <is>
          <t>Nej</t>
        </is>
      </c>
      <c r="AF2331" t="inlineStr">
        <is>
          <t>Ej behandlad</t>
        </is>
      </c>
      <c r="AG2331" t="inlineStr">
        <is>
          <t>AUTO_GENERERAD. Verifiera citat mot kallfil.</t>
        </is>
      </c>
      <c r="AH2331" t="inlineStr">
        <is>
          <t>MEDIUM</t>
        </is>
      </c>
      <c r="AI2331" t="inlineStr">
        <is>
          <t>AUTO</t>
        </is>
      </c>
      <c r="AJ2331" t="inlineStr">
        <is>
          <t>Nej</t>
        </is>
      </c>
      <c r="AK2331" t="inlineStr"/>
      <c r="AL2331" t="inlineStr"/>
      <c r="AM2331" t="inlineStr"/>
      <c r="AN2331" t="inlineStr"/>
      <c r="AO2331" t="inlineStr">
        <is>
          <t>cmm4yun4m00cwcuqwobgswces</t>
        </is>
      </c>
      <c r="AP2331" t="inlineStr">
        <is>
          <t>http://localhost:8787/api/admin/requirements/documents/cmm4yun4m00cwcuqwobgswces/view</t>
        </is>
      </c>
      <c r="AQ2331">
        <f>HYPERLÄNK("http://localhost:8787/api/admin/requirements/documents/cmm4yun4m00cwcuqwobgswces/view";"Öppna PDF")</f>
        <v/>
      </c>
      <c r="AR2331">
        <f>HYPERLINK("http://localhost:8787/api/admin/requirements/documents/cmm4yun4m00cwcuqwobgswces/view","Open PDF")</f>
        <v/>
      </c>
      <c r="AS2331" t="inlineStr">
        <is>
          <t>cmm55w57p0004cuisfrtpqly8</t>
        </is>
      </c>
      <c r="AT2331" t="inlineStr">
        <is>
          <t>cmm4xvu980000cuh4vj0usz09</t>
        </is>
      </c>
      <c r="AU2331" t="inlineStr">
        <is>
          <t>pdf Falkenbergs</t>
        </is>
      </c>
      <c r="AV2331" t="inlineStr">
        <is>
          <t>Kommun</t>
        </is>
      </c>
      <c r="AW2331" t="inlineStr">
        <is>
          <t>pdf Falkenbergs kommun</t>
        </is>
      </c>
      <c r="AX2331" t="inlineStr">
        <is>
          <t>0346-88</t>
        </is>
      </c>
      <c r="AY2331" t="inlineStr">
        <is>
          <t>Beslut</t>
        </is>
      </c>
      <c r="AZ2331" t="inlineStr">
        <is>
          <t>2026-02-03</t>
        </is>
      </c>
      <c r="BA2331" t="inlineStr">
        <is>
          <t>Slutrapport.pdf</t>
        </is>
      </c>
      <c r="BB2331" t="inlineStr">
        <is>
          <t>Efterfrågade handlingar</t>
        </is>
      </c>
      <c r="BC2331" t="inlineStr">
        <is>
          <t>AUTO</t>
        </is>
      </c>
      <c r="BD2331" t="inlineStr"/>
      <c r="BE2331" t="inlineStr"/>
      <c r="BF2331" t="inlineStr">
        <is>
          <t>AUTO_GENERERAD. Bekrafta metadata mot kallfil.</t>
        </is>
      </c>
      <c r="BG2331">
        <f>HYPERLINK("C:\Users\jimmy\Desktop\Examens arbete\Kod\Ny mapp\remix_-copy-of-miljöbeslut.se-portal\Slutrapport.pdf", "Öppna PDF")</f>
        <v/>
      </c>
    </row>
    <row r="2332">
      <c r="A2332" t="inlineStr">
        <is>
          <t>KRAV-AUTO-002331</t>
        </is>
      </c>
      <c r="B2332" t="inlineStr">
        <is>
          <t>ADMIN-INDEX-2026-02-27-00000000125C043F57453246863FE664CAFE6A3F0700950291EA24F0614FB6ACEDB12BF0E31D00000000010C0000950291EA24F0614FB6ACEDB12BF0E31D00002087B1CB0000</t>
        </is>
      </c>
      <c r="C2332" t="inlineStr">
        <is>
          <t>cmm4yun3d00bkcuqwkkr9qv3d</t>
        </is>
      </c>
      <c r="D2332" t="inlineStr">
        <is>
          <t>http://localhost:8787/api/admin/requirements/documents/cmm4yun3d00bkcuqwkkr9qv3d/view</t>
        </is>
      </c>
      <c r="E2332">
        <f>HYPERLÄNK("http://localhost:8787/api/admin/requirements/documents/cmm4yun3d00bkcuqwkkr9qv3d/view";"Öppna PDF")</f>
        <v/>
      </c>
      <c r="F2332">
        <f>HYPERLINK("http://localhost:8787/api/admin/requirements/documents/cmm4yun3d00bkcuqwkkr9qv3d/view","Open PDF")</f>
        <v/>
      </c>
      <c r="G2332" t="inlineStr">
        <is>
          <t>cmm55w57p0004cuisfrtpqly8</t>
        </is>
      </c>
      <c r="H2332" t="inlineStr">
        <is>
          <t>Kompletteringskrav</t>
        </is>
      </c>
      <c r="I2332" t="inlineStr">
        <is>
          <t>Riskhantering</t>
        </is>
      </c>
      <c r="J2332" t="inlineStr">
        <is>
          <t>Riskkontroll</t>
        </is>
      </c>
      <c r="K2332" t="inlineStr">
        <is>
          <t>Hur tänker ni kring lagring av krossat/flisat material- sker någon skyddsåtgärd för att minska risken för damning i närområdet/mot närliggande bostäder?</t>
        </is>
      </c>
      <c r="L2332" t="inlineStr">
        <is>
          <t>Hur tänker ni kring lagring av krossat/flisat material- sker någon skyddsåtgärd för att minska risken för damning i närområdet/mot närliggande bostäder?</t>
        </is>
      </c>
      <c r="M2332" t="inlineStr">
        <is>
          <t>SKA</t>
        </is>
      </c>
      <c r="N2332" t="inlineStr"/>
      <c r="O2332" t="inlineStr"/>
      <c r="P2332" t="inlineStr">
        <is>
          <t>Arlig</t>
        </is>
      </c>
      <c r="Q2332" t="inlineStr"/>
      <c r="R2332" t="inlineStr">
        <is>
          <t>Vid risk for incident</t>
        </is>
      </c>
      <c r="S2332" t="inlineStr"/>
      <c r="T2332" t="inlineStr"/>
      <c r="U2332" t="inlineStr"/>
      <c r="V2332" t="inlineStr"/>
      <c r="W2332" t="inlineStr">
        <is>
          <t>Nej</t>
        </is>
      </c>
      <c r="X2332" t="inlineStr">
        <is>
          <t>Nej</t>
        </is>
      </c>
      <c r="Y2332" t="inlineStr">
        <is>
          <t>Ja</t>
        </is>
      </c>
      <c r="Z2332" t="inlineStr">
        <is>
          <t>Ja</t>
        </is>
      </c>
      <c r="AA2332" t="n">
        <v>8</v>
      </c>
      <c r="AB2332" t="inlineStr">
        <is>
          <t>Riskhantering</t>
        </is>
      </c>
      <c r="AC2332" t="inlineStr">
        <is>
          <t>Risk-PM</t>
        </is>
      </c>
      <c r="AD2332" t="inlineStr">
        <is>
          <t>Nej</t>
        </is>
      </c>
      <c r="AE2332" t="inlineStr">
        <is>
          <t>Nej</t>
        </is>
      </c>
      <c r="AF2332" t="inlineStr">
        <is>
          <t>Ej behandlad</t>
        </is>
      </c>
      <c r="AG2332" t="inlineStr">
        <is>
          <t>AUTO_GENERERAD. Verifiera citat mot kallfil.</t>
        </is>
      </c>
      <c r="AH2332" t="inlineStr">
        <is>
          <t>MEDIUM</t>
        </is>
      </c>
      <c r="AI2332" t="inlineStr">
        <is>
          <t>AUTO</t>
        </is>
      </c>
      <c r="AJ2332" t="inlineStr">
        <is>
          <t>Nej</t>
        </is>
      </c>
      <c r="AK2332" t="inlineStr"/>
      <c r="AL2332" t="inlineStr"/>
      <c r="AM2332" t="inlineStr"/>
      <c r="AN2332" t="inlineStr"/>
      <c r="AO2332" t="inlineStr">
        <is>
          <t>cmm4yun4m00cwcuqwobgswces</t>
        </is>
      </c>
      <c r="AP2332" t="inlineStr">
        <is>
          <t>http://localhost:8787/api/admin/requirements/documents/cmm4yun4m00cwcuqwobgswces/view</t>
        </is>
      </c>
      <c r="AQ2332">
        <f>HYPERLÄNK("http://localhost:8787/api/admin/requirements/documents/cmm4yun4m00cwcuqwobgswces/view";"Öppna PDF")</f>
        <v/>
      </c>
      <c r="AR2332">
        <f>HYPERLINK("http://localhost:8787/api/admin/requirements/documents/cmm4yun4m00cwcuqwobgswces/view","Open PDF")</f>
        <v/>
      </c>
      <c r="AS2332" t="inlineStr">
        <is>
          <t>cmm55w57p0004cuisfrtpqly8</t>
        </is>
      </c>
      <c r="AT2332" t="inlineStr">
        <is>
          <t>cmm4xvu980000cuh4vj0usz09</t>
        </is>
      </c>
      <c r="AU2332" t="inlineStr">
        <is>
          <t>pdf Falkenbergs</t>
        </is>
      </c>
      <c r="AV2332" t="inlineStr">
        <is>
          <t>Kommun</t>
        </is>
      </c>
      <c r="AW2332" t="inlineStr">
        <is>
          <t>pdf Falkenbergs kommun</t>
        </is>
      </c>
      <c r="AX2332" t="inlineStr">
        <is>
          <t>0346-88</t>
        </is>
      </c>
      <c r="AY2332" t="inlineStr">
        <is>
          <t>Beslut</t>
        </is>
      </c>
      <c r="AZ2332" t="inlineStr">
        <is>
          <t>2026-02-03</t>
        </is>
      </c>
      <c r="BA2332" t="inlineStr">
        <is>
          <t>Slutrapport.pdf</t>
        </is>
      </c>
      <c r="BB2332" t="inlineStr">
        <is>
          <t>Efterfrågade handlingar</t>
        </is>
      </c>
      <c r="BC2332" t="inlineStr">
        <is>
          <t>AUTO</t>
        </is>
      </c>
      <c r="BD2332" t="inlineStr"/>
      <c r="BE2332" t="inlineStr"/>
      <c r="BF2332" t="inlineStr">
        <is>
          <t>AUTO_GENERERAD. Bekrafta metadata mot kallfil.</t>
        </is>
      </c>
      <c r="BG2332">
        <f>HYPERLINK("C:\Users\jimmy\Desktop\Examens arbete\Kod\Ny mapp\remix_-copy-of-miljöbeslut.se-portal\Slutrapport.pdf", "Öppna PDF")</f>
        <v/>
      </c>
    </row>
    <row r="2333">
      <c r="A2333" t="inlineStr">
        <is>
          <t>KRAV-AUTO-002332</t>
        </is>
      </c>
      <c r="B2333" t="inlineStr">
        <is>
          <t>ADMIN-INDEX-2026-02-27-00000000125C043F57453246863FE664CAFE6A3F0700950291EA24F0614FB6ACEDB12BF0E31D00000000010C0000950291EA24F0614FB6ACEDB12BF0E31D00002087B1CB0000</t>
        </is>
      </c>
      <c r="C2333" t="inlineStr">
        <is>
          <t>cmm4yun3a00bhcuqwc78sqzaq</t>
        </is>
      </c>
      <c r="D2333" t="inlineStr">
        <is>
          <t>http://localhost:8787/api/admin/requirements/documents/cmm4yun3a00bhcuqwc78sqzaq/view</t>
        </is>
      </c>
      <c r="E2333">
        <f>HYPERLÄNK("http://localhost:8787/api/admin/requirements/documents/cmm4yun3a00bhcuqwc78sqzaq/view";"Öppna PDF")</f>
        <v/>
      </c>
      <c r="F2333">
        <f>HYPERLINK("http://localhost:8787/api/admin/requirements/documents/cmm4yun3a00bhcuqwc78sqzaq/view","Open PDF")</f>
        <v/>
      </c>
      <c r="G2333" t="inlineStr">
        <is>
          <t>cmm55w57p0004cuisfrtpqly8</t>
        </is>
      </c>
      <c r="H2333" t="inlineStr">
        <is>
          <t>Beslutsvillkor</t>
        </is>
      </c>
      <c r="I2333" t="inlineStr">
        <is>
          <t>MiljopaverkanForsiktighet</t>
        </is>
      </c>
      <c r="J2333" t="inlineStr">
        <is>
          <t>Skyddsatgarder</t>
        </is>
      </c>
      <c r="K2333" t="inlineStr">
        <is>
          <t>Trämaterial som inte kan återanvändas ska hanteras enligt miljökrav och avfallslagstiftning.</t>
        </is>
      </c>
      <c r="L2333" t="inlineStr">
        <is>
          <t>Trämaterial som inte kan återanvändas ska hanteras enligt miljökrav och avfallslagstiftning.</t>
        </is>
      </c>
      <c r="M2333" t="inlineStr">
        <is>
          <t>SKA</t>
        </is>
      </c>
      <c r="N2333" t="inlineStr"/>
      <c r="O2333" t="inlineStr"/>
      <c r="P2333" t="inlineStr"/>
      <c r="Q2333" t="inlineStr"/>
      <c r="R2333" t="inlineStr">
        <is>
          <t>Alltid</t>
        </is>
      </c>
      <c r="S2333" t="inlineStr"/>
      <c r="T2333" t="inlineStr"/>
      <c r="U2333" t="inlineStr"/>
      <c r="V2333" t="inlineStr"/>
      <c r="W2333" t="inlineStr">
        <is>
          <t>Nej</t>
        </is>
      </c>
      <c r="X2333" t="inlineStr">
        <is>
          <t>Nej</t>
        </is>
      </c>
      <c r="Y2333" t="inlineStr">
        <is>
          <t>Nej</t>
        </is>
      </c>
      <c r="Z2333" t="inlineStr">
        <is>
          <t>Nej</t>
        </is>
      </c>
      <c r="AA2333" t="n">
        <v>10</v>
      </c>
      <c r="AB2333" t="inlineStr">
        <is>
          <t>Miljopaverkan och forsiktighetsmatt</t>
        </is>
      </c>
      <c r="AC2333" t="inlineStr">
        <is>
          <t>Miljo-PM</t>
        </is>
      </c>
      <c r="AD2333" t="inlineStr">
        <is>
          <t>Nej</t>
        </is>
      </c>
      <c r="AE2333" t="inlineStr">
        <is>
          <t>Nej</t>
        </is>
      </c>
      <c r="AF2333" t="inlineStr">
        <is>
          <t>Ej behandlad</t>
        </is>
      </c>
      <c r="AG2333" t="inlineStr">
        <is>
          <t>AUTO_GENERERAD. Verifiera citat mot kallfil.</t>
        </is>
      </c>
      <c r="AH2333" t="inlineStr">
        <is>
          <t>MEDIUM</t>
        </is>
      </c>
      <c r="AI2333" t="inlineStr">
        <is>
          <t>AUTO</t>
        </is>
      </c>
      <c r="AJ2333" t="inlineStr">
        <is>
          <t>Nej</t>
        </is>
      </c>
      <c r="AK2333" t="inlineStr"/>
      <c r="AL2333" t="inlineStr"/>
      <c r="AM2333" t="inlineStr"/>
      <c r="AN2333" t="inlineStr"/>
      <c r="AO2333" t="inlineStr">
        <is>
          <t>cmm4yun4m00cwcuqwobgswces</t>
        </is>
      </c>
      <c r="AP2333" t="inlineStr">
        <is>
          <t>http://localhost:8787/api/admin/requirements/documents/cmm4yun4m00cwcuqwobgswces/view</t>
        </is>
      </c>
      <c r="AQ2333">
        <f>HYPERLÄNK("http://localhost:8787/api/admin/requirements/documents/cmm4yun4m00cwcuqwobgswces/view";"Öppna PDF")</f>
        <v/>
      </c>
      <c r="AR2333">
        <f>HYPERLINK("http://localhost:8787/api/admin/requirements/documents/cmm4yun4m00cwcuqwobgswces/view","Open PDF")</f>
        <v/>
      </c>
      <c r="AS2333" t="inlineStr">
        <is>
          <t>cmm55w57p0004cuisfrtpqly8</t>
        </is>
      </c>
      <c r="AT2333" t="inlineStr">
        <is>
          <t>cmm4xvu980000cuh4vj0usz09</t>
        </is>
      </c>
      <c r="AU2333" t="inlineStr">
        <is>
          <t>pdf Falkenbergs</t>
        </is>
      </c>
      <c r="AV2333" t="inlineStr">
        <is>
          <t>Kommun</t>
        </is>
      </c>
      <c r="AW2333" t="inlineStr">
        <is>
          <t>pdf Falkenbergs kommun</t>
        </is>
      </c>
      <c r="AX2333" t="inlineStr">
        <is>
          <t>0346-88</t>
        </is>
      </c>
      <c r="AY2333" t="inlineStr">
        <is>
          <t>Beslut</t>
        </is>
      </c>
      <c r="AZ2333" t="inlineStr">
        <is>
          <t>2026-02-03</t>
        </is>
      </c>
      <c r="BA2333" t="inlineStr">
        <is>
          <t>Slutrapport.pdf</t>
        </is>
      </c>
      <c r="BB2333" t="inlineStr">
        <is>
          <t>Efterfrågade handlingar</t>
        </is>
      </c>
      <c r="BC2333" t="inlineStr">
        <is>
          <t>AUTO</t>
        </is>
      </c>
      <c r="BD2333" t="inlineStr"/>
      <c r="BE2333" t="inlineStr"/>
      <c r="BF2333" t="inlineStr">
        <is>
          <t>AUTO_GENERERAD. Bekrafta metadata mot kallfil.</t>
        </is>
      </c>
      <c r="BG2333">
        <f>HYPERLINK("C:\Users\jimmy\Desktop\Examens arbete\Kod\Ny mapp\remix_-copy-of-miljöbeslut.se-portal\Slutrapport.pdf", "Öppna PDF")</f>
        <v/>
      </c>
    </row>
    <row r="2334">
      <c r="A2334" t="inlineStr">
        <is>
          <t>KRAV-AUTO-002333</t>
        </is>
      </c>
      <c r="B2334" t="inlineStr">
        <is>
          <t>ADMIN-INDEX-2026-02-27-00000000125C043F57453246863FE664CAFE6A3F0700950291EA24F0614FB6ACEDB12BF0E31D00000000010C0000950291EA24F0614FB6ACEDB12BF0E31D00002087B1CB0000</t>
        </is>
      </c>
      <c r="C2334" t="inlineStr">
        <is>
          <t>cmm4yun3a00bhcuqwc78sqzaq</t>
        </is>
      </c>
      <c r="D2334" t="inlineStr">
        <is>
          <t>http://localhost:8787/api/admin/requirements/documents/cmm4yun3a00bhcuqwc78sqzaq/view</t>
        </is>
      </c>
      <c r="E2334">
        <f>HYPERLÄNK("http://localhost:8787/api/admin/requirements/documents/cmm4yun3a00bhcuqwc78sqzaq/view";"Öppna PDF")</f>
        <v/>
      </c>
      <c r="F2334">
        <f>HYPERLINK("http://localhost:8787/api/admin/requirements/documents/cmm4yun3a00bhcuqwc78sqzaq/view","Open PDF")</f>
        <v/>
      </c>
      <c r="G2334" t="inlineStr">
        <is>
          <t>cmm55w57p0004cuisfrtpqly8</t>
        </is>
      </c>
      <c r="H2334" t="inlineStr">
        <is>
          <t>Beslutsvillkor</t>
        </is>
      </c>
      <c r="I2334" t="inlineStr">
        <is>
          <t>LagringsvolymTid</t>
        </is>
      </c>
      <c r="J2334" t="inlineStr">
        <is>
          <t>Maxmangd</t>
        </is>
      </c>
      <c r="K2334" t="inlineStr">
        <is>
          <t>• Dokumentation av krossningens kapacitet och produktivitet: Registrering av mängden bearbetat trä för att övervaka och optimera produktionskapaciteten.</t>
        </is>
      </c>
      <c r="L2334" t="inlineStr">
        <is>
          <t>• Dokumentation av krossningens kapacitet och produktivitet: Registrering av mängden bearbetat trä för att övervaka och optimera produktionskapaciteten.</t>
        </is>
      </c>
      <c r="M2334" t="inlineStr">
        <is>
          <t>SKA</t>
        </is>
      </c>
      <c r="N2334" t="inlineStr"/>
      <c r="O2334" t="inlineStr"/>
      <c r="P2334" t="inlineStr"/>
      <c r="Q2334" t="inlineStr">
        <is>
          <t>Vite</t>
        </is>
      </c>
      <c r="R2334" t="inlineStr">
        <is>
          <t>Alltid</t>
        </is>
      </c>
      <c r="S2334" t="inlineStr"/>
      <c r="T2334" t="inlineStr"/>
      <c r="U2334" t="inlineStr"/>
      <c r="V2334" t="inlineStr"/>
      <c r="W2334" t="inlineStr">
        <is>
          <t>Nej</t>
        </is>
      </c>
      <c r="X2334" t="inlineStr">
        <is>
          <t>Nej</t>
        </is>
      </c>
      <c r="Y2334" t="inlineStr">
        <is>
          <t>Nej</t>
        </is>
      </c>
      <c r="Z2334" t="inlineStr">
        <is>
          <t>Nej</t>
        </is>
      </c>
      <c r="AA2334" t="n">
        <v>4</v>
      </c>
      <c r="AB2334" t="inlineStr">
        <is>
          <t>Avfallsmangder och lagringstid</t>
        </is>
      </c>
      <c r="AC2334" t="inlineStr">
        <is>
          <t>Avfallsforteckning</t>
        </is>
      </c>
      <c r="AD2334" t="inlineStr">
        <is>
          <t>Nej</t>
        </is>
      </c>
      <c r="AE2334" t="inlineStr">
        <is>
          <t>Nej</t>
        </is>
      </c>
      <c r="AF2334" t="inlineStr">
        <is>
          <t>Ej behandlad</t>
        </is>
      </c>
      <c r="AG2334" t="inlineStr">
        <is>
          <t>AUTO_GENERERAD. Verifiera citat mot kallfil.</t>
        </is>
      </c>
      <c r="AH2334" t="inlineStr">
        <is>
          <t>MEDIUM</t>
        </is>
      </c>
      <c r="AI2334" t="inlineStr">
        <is>
          <t>AUTO</t>
        </is>
      </c>
      <c r="AJ2334" t="inlineStr">
        <is>
          <t>Nej</t>
        </is>
      </c>
      <c r="AK2334" t="inlineStr"/>
      <c r="AL2334" t="inlineStr"/>
      <c r="AM2334" t="inlineStr"/>
      <c r="AN2334" t="inlineStr"/>
      <c r="AO2334" t="inlineStr">
        <is>
          <t>cmm4yun4m00cwcuqwobgswces</t>
        </is>
      </c>
      <c r="AP2334" t="inlineStr">
        <is>
          <t>http://localhost:8787/api/admin/requirements/documents/cmm4yun4m00cwcuqwobgswces/view</t>
        </is>
      </c>
      <c r="AQ2334">
        <f>HYPERLÄNK("http://localhost:8787/api/admin/requirements/documents/cmm4yun4m00cwcuqwobgswces/view";"Öppna PDF")</f>
        <v/>
      </c>
      <c r="AR2334">
        <f>HYPERLINK("http://localhost:8787/api/admin/requirements/documents/cmm4yun4m00cwcuqwobgswces/view","Open PDF")</f>
        <v/>
      </c>
      <c r="AS2334" t="inlineStr">
        <is>
          <t>cmm55w57p0004cuisfrtpqly8</t>
        </is>
      </c>
      <c r="AT2334" t="inlineStr">
        <is>
          <t>cmm4xvu980000cuh4vj0usz09</t>
        </is>
      </c>
      <c r="AU2334" t="inlineStr">
        <is>
          <t>pdf Falkenbergs</t>
        </is>
      </c>
      <c r="AV2334" t="inlineStr">
        <is>
          <t>Kommun</t>
        </is>
      </c>
      <c r="AW2334" t="inlineStr">
        <is>
          <t>pdf Falkenbergs kommun</t>
        </is>
      </c>
      <c r="AX2334" t="inlineStr">
        <is>
          <t>0346-88</t>
        </is>
      </c>
      <c r="AY2334" t="inlineStr">
        <is>
          <t>Beslut</t>
        </is>
      </c>
      <c r="AZ2334" t="inlineStr">
        <is>
          <t>2026-02-03</t>
        </is>
      </c>
      <c r="BA2334" t="inlineStr">
        <is>
          <t>Slutrapport.pdf</t>
        </is>
      </c>
      <c r="BB2334" t="inlineStr">
        <is>
          <t>Efterfrågade handlingar</t>
        </is>
      </c>
      <c r="BC2334" t="inlineStr">
        <is>
          <t>AUTO</t>
        </is>
      </c>
      <c r="BD2334" t="inlineStr"/>
      <c r="BE2334" t="inlineStr"/>
      <c r="BF2334" t="inlineStr">
        <is>
          <t>AUTO_GENERERAD. Bekrafta metadata mot kallfil.</t>
        </is>
      </c>
      <c r="BG2334">
        <f>HYPERLINK("C:\Users\jimmy\Desktop\Examens arbete\Kod\Ny mapp\remix_-copy-of-miljöbeslut.se-portal\Slutrapport.pdf", "Öppna PDF")</f>
        <v/>
      </c>
    </row>
    <row r="2335">
      <c r="A2335" t="inlineStr">
        <is>
          <t>KRAV-AUTO-002334</t>
        </is>
      </c>
      <c r="B2335" t="inlineStr">
        <is>
          <t>ADMIN-INDEX-2026-02-27-00000000125C043F57453246863FE664CAFE6A3F0700950291EA24F0614FB6ACEDB12BF0E31D00000000010C0000950291EA24F0614FB6ACEDB12BF0E31D00002087B1CB0000</t>
        </is>
      </c>
      <c r="C2335" t="inlineStr">
        <is>
          <t>cmm4yun3500bbcuqwhp7aoi3c</t>
        </is>
      </c>
      <c r="D2335" t="inlineStr">
        <is>
          <t>http://localhost:8787/api/admin/requirements/documents/cmm4yun3500bbcuqwhp7aoi3c/view</t>
        </is>
      </c>
      <c r="E2335">
        <f>HYPERLÄNK("http://localhost:8787/api/admin/requirements/documents/cmm4yun3500bbcuqwhp7aoi3c/view";"Öppna PDF")</f>
        <v/>
      </c>
      <c r="F2335">
        <f>HYPERLINK("http://localhost:8787/api/admin/requirements/documents/cmm4yun3500bbcuqwhp7aoi3c/view","Open PDF")</f>
        <v/>
      </c>
      <c r="G2335" t="inlineStr">
        <is>
          <t>cmm55w57p0004cuisfrtpqly8</t>
        </is>
      </c>
      <c r="H2335" t="inlineStr">
        <is>
          <t>Informationskrav</t>
        </is>
      </c>
      <c r="I2335" t="inlineStr">
        <is>
          <t>Ytkonstruktion</t>
        </is>
      </c>
      <c r="J2335" t="inlineStr">
        <is>
          <t>Tat yta</t>
        </is>
      </c>
      <c r="K2335" t="inlineStr">
        <is>
          <t>Avfallstyper inklusive farligt avfall Avfallstyp Avfallskoder* Mängd per år Maximal mängd samtidigt Beskriv hur respektive avfallstyp lagras (inne/ute, på vilket underlag, skydd för nederbörd, invallat etc) * Enligt avfallsförordningen (2020:614) 4b.</t>
        </is>
      </c>
      <c r="L2335" t="inlineStr">
        <is>
          <t>Avfallstyper inklusive farligt avfall Avfallstyp Avfallskoder* Mängd per år Maximal mängd samtidigt Beskriv hur respektive avfallstyp lagras (inne/ute, på vilket underlag, skydd för nederbörd, invallat etc) * Enligt avfallsförordningen (2020:614) 4b.</t>
        </is>
      </c>
      <c r="M2335" t="inlineStr">
        <is>
          <t>BOR</t>
        </is>
      </c>
      <c r="N2335" t="inlineStr"/>
      <c r="O2335" t="inlineStr"/>
      <c r="P2335" t="inlineStr">
        <is>
          <t>Arlig</t>
        </is>
      </c>
      <c r="Q2335" t="inlineStr"/>
      <c r="R2335" t="inlineStr">
        <is>
          <t>Vid mellanlagring av avfall</t>
        </is>
      </c>
      <c r="S2335" t="inlineStr"/>
      <c r="T2335" t="inlineStr">
        <is>
          <t>88 60 00</t>
        </is>
      </c>
      <c r="U2335" t="inlineStr"/>
      <c r="V2335" t="inlineStr"/>
      <c r="W2335" t="inlineStr">
        <is>
          <t>Ja</t>
        </is>
      </c>
      <c r="X2335" t="inlineStr">
        <is>
          <t>Nej</t>
        </is>
      </c>
      <c r="Y2335" t="inlineStr">
        <is>
          <t>Nej</t>
        </is>
      </c>
      <c r="Z2335" t="inlineStr">
        <is>
          <t>Nej</t>
        </is>
      </c>
      <c r="AA2335" t="n">
        <v>5</v>
      </c>
      <c r="AB2335" t="inlineStr">
        <is>
          <t>Teknisk beskrivning av platta</t>
        </is>
      </c>
      <c r="AC2335" t="inlineStr">
        <is>
          <t>Teknisk ritning platta</t>
        </is>
      </c>
      <c r="AD2335" t="inlineStr">
        <is>
          <t>Nej</t>
        </is>
      </c>
      <c r="AE2335" t="inlineStr">
        <is>
          <t>Nej</t>
        </is>
      </c>
      <c r="AF2335" t="inlineStr">
        <is>
          <t>Ej behandlad</t>
        </is>
      </c>
      <c r="AG2335" t="inlineStr">
        <is>
          <t>AUTO_GENERERAD. Verifiera citat mot kallfil.</t>
        </is>
      </c>
      <c r="AH2335" t="inlineStr">
        <is>
          <t>MEDIUM</t>
        </is>
      </c>
      <c r="AI2335" t="inlineStr">
        <is>
          <t>AUTO</t>
        </is>
      </c>
      <c r="AJ2335" t="inlineStr">
        <is>
          <t>Nej</t>
        </is>
      </c>
      <c r="AK2335" t="inlineStr"/>
      <c r="AL2335" t="inlineStr"/>
      <c r="AM2335" t="inlineStr"/>
      <c r="AN2335" t="inlineStr"/>
      <c r="AO2335" t="inlineStr">
        <is>
          <t>cmm4yun4m00cwcuqwobgswces</t>
        </is>
      </c>
      <c r="AP2335" t="inlineStr">
        <is>
          <t>http://localhost:8787/api/admin/requirements/documents/cmm4yun4m00cwcuqwobgswces/view</t>
        </is>
      </c>
      <c r="AQ2335">
        <f>HYPERLÄNK("http://localhost:8787/api/admin/requirements/documents/cmm4yun4m00cwcuqwobgswces/view";"Öppna PDF")</f>
        <v/>
      </c>
      <c r="AR2335">
        <f>HYPERLINK("http://localhost:8787/api/admin/requirements/documents/cmm4yun4m00cwcuqwobgswces/view","Open PDF")</f>
        <v/>
      </c>
      <c r="AS2335" t="inlineStr">
        <is>
          <t>cmm55w57p0004cuisfrtpqly8</t>
        </is>
      </c>
      <c r="AT2335" t="inlineStr">
        <is>
          <t>cmm4xvu980000cuh4vj0usz09</t>
        </is>
      </c>
      <c r="AU2335" t="inlineStr">
        <is>
          <t>pdf Falkenbergs</t>
        </is>
      </c>
      <c r="AV2335" t="inlineStr">
        <is>
          <t>Kommun</t>
        </is>
      </c>
      <c r="AW2335" t="inlineStr">
        <is>
          <t>pdf Falkenbergs kommun</t>
        </is>
      </c>
      <c r="AX2335" t="inlineStr">
        <is>
          <t>0346-88</t>
        </is>
      </c>
      <c r="AY2335" t="inlineStr">
        <is>
          <t>Beslut</t>
        </is>
      </c>
      <c r="AZ2335" t="inlineStr">
        <is>
          <t>2026-02-03</t>
        </is>
      </c>
      <c r="BA2335" t="inlineStr">
        <is>
          <t>Slutrapport.pdf</t>
        </is>
      </c>
      <c r="BB2335" t="inlineStr">
        <is>
          <t>Efterfrågade handlingar</t>
        </is>
      </c>
      <c r="BC2335" t="inlineStr">
        <is>
          <t>AUTO</t>
        </is>
      </c>
      <c r="BD2335" t="inlineStr"/>
      <c r="BE2335" t="inlineStr"/>
      <c r="BF2335" t="inlineStr">
        <is>
          <t>AUTO_GENERERAD. Bekrafta metadata mot kallfil.</t>
        </is>
      </c>
      <c r="BG2335">
        <f>HYPERLINK("C:\Users\jimmy\Desktop\Examens arbete\Kod\Ny mapp\remix_-copy-of-miljöbeslut.se-portal\Slutrapport.pdf", "Öppna PDF")</f>
        <v/>
      </c>
    </row>
    <row r="2336">
      <c r="A2336" t="inlineStr">
        <is>
          <t>KRAV-AUTO-002335</t>
        </is>
      </c>
      <c r="B2336" t="inlineStr">
        <is>
          <t>ADMIN-INDEX-2026-02-27-00000000125C043F57453246863FE664CAFE6A3F0700950291EA24F0614FB6ACEDB12BF0E31D00000000010C0000950291EA24F0614FB6ACEDB12BF0E31D00002087B1CB0000</t>
        </is>
      </c>
      <c r="C2336" t="inlineStr">
        <is>
          <t>cmm4yun3500bbcuqwhp7aoi3c</t>
        </is>
      </c>
      <c r="D2336" t="inlineStr">
        <is>
          <t>http://localhost:8787/api/admin/requirements/documents/cmm4yun3500bbcuqwhp7aoi3c/view</t>
        </is>
      </c>
      <c r="E2336">
        <f>HYPERLÄNK("http://localhost:8787/api/admin/requirements/documents/cmm4yun3500bbcuqwhp7aoi3c/view";"Öppna PDF")</f>
        <v/>
      </c>
      <c r="F2336">
        <f>HYPERLINK("http://localhost:8787/api/admin/requirements/documents/cmm4yun3500bbcuqwhp7aoi3c/view","Open PDF")</f>
        <v/>
      </c>
      <c r="G2336" t="inlineStr">
        <is>
          <t>cmm55w57p0004cuisfrtpqly8</t>
        </is>
      </c>
      <c r="H2336" t="inlineStr">
        <is>
          <t>Informationskrav</t>
        </is>
      </c>
      <c r="I2336" t="inlineStr">
        <is>
          <t>DagvattenLakvatten</t>
        </is>
      </c>
      <c r="J2336" t="inlineStr">
        <is>
          <t>Uppsamling</t>
        </is>
      </c>
      <c r="K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kemikalier, avfall, cisterner, golvbrunnar, dagvatten och processut- rustning markeras Reningsmetod för utgående vatten Säkerhetsdatablad för kemiska produkter Annan/Övrigt Information Avgifter Verksamheten får betala en avgift för handläggning av anmälan utifrån en taxa som beslutas av kommunfullmäktige.</t>
        </is>
      </c>
      <c r="L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t>
        </is>
      </c>
      <c r="M2336" t="inlineStr">
        <is>
          <t>SKA</t>
        </is>
      </c>
      <c r="N2336" t="inlineStr"/>
      <c r="O2336" t="inlineStr"/>
      <c r="P2336" t="inlineStr"/>
      <c r="Q2336" t="inlineStr"/>
      <c r="R2336" t="inlineStr">
        <is>
          <t>Vid nederbord och avrinning</t>
        </is>
      </c>
      <c r="S2336" t="inlineStr"/>
      <c r="T2336" t="inlineStr">
        <is>
          <t>88 60 00</t>
        </is>
      </c>
      <c r="U2336" t="inlineStr"/>
      <c r="V2336" t="inlineStr"/>
      <c r="W2336" t="inlineStr">
        <is>
          <t>Nej</t>
        </is>
      </c>
      <c r="X2336" t="inlineStr">
        <is>
          <t>Ja</t>
        </is>
      </c>
      <c r="Y2336" t="inlineStr">
        <is>
          <t>Ja</t>
        </is>
      </c>
      <c r="Z2336" t="inlineStr">
        <is>
          <t>Nej</t>
        </is>
      </c>
      <c r="AA2336" t="n">
        <v>6</v>
      </c>
      <c r="AB2336" t="inlineStr">
        <is>
          <t>Lakvattenhantering</t>
        </is>
      </c>
      <c r="AC2336" t="inlineStr">
        <is>
          <t>Flodesschema dagvatten-lakvatten</t>
        </is>
      </c>
      <c r="AD2336" t="inlineStr">
        <is>
          <t>Nej</t>
        </is>
      </c>
      <c r="AE2336" t="inlineStr">
        <is>
          <t>Nej</t>
        </is>
      </c>
      <c r="AF2336" t="inlineStr">
        <is>
          <t>Ej behandlad</t>
        </is>
      </c>
      <c r="AG2336" t="inlineStr">
        <is>
          <t>AUTO_GENERERAD. Verifiera citat mot kallfil.</t>
        </is>
      </c>
      <c r="AH2336" t="inlineStr">
        <is>
          <t>MEDIUM</t>
        </is>
      </c>
      <c r="AI2336" t="inlineStr">
        <is>
          <t>AUTO</t>
        </is>
      </c>
      <c r="AJ2336" t="inlineStr">
        <is>
          <t>Nej</t>
        </is>
      </c>
      <c r="AK2336" t="inlineStr"/>
      <c r="AL2336" t="inlineStr"/>
      <c r="AM2336" t="inlineStr"/>
      <c r="AN2336" t="inlineStr"/>
      <c r="AO2336" t="inlineStr">
        <is>
          <t>cmm4yun4m00cwcuqwobgswces</t>
        </is>
      </c>
      <c r="AP2336" t="inlineStr">
        <is>
          <t>http://localhost:8787/api/admin/requirements/documents/cmm4yun4m00cwcuqwobgswces/view</t>
        </is>
      </c>
      <c r="AQ2336">
        <f>HYPERLÄNK("http://localhost:8787/api/admin/requirements/documents/cmm4yun4m00cwcuqwobgswces/view";"Öppna PDF")</f>
        <v/>
      </c>
      <c r="AR2336">
        <f>HYPERLINK("http://localhost:8787/api/admin/requirements/documents/cmm4yun4m00cwcuqwobgswces/view","Open PDF")</f>
        <v/>
      </c>
      <c r="AS2336" t="inlineStr">
        <is>
          <t>cmm55w57p0004cuisfrtpqly8</t>
        </is>
      </c>
      <c r="AT2336" t="inlineStr">
        <is>
          <t>cmm4xvu980000cuh4vj0usz09</t>
        </is>
      </c>
      <c r="AU2336" t="inlineStr">
        <is>
          <t>pdf Falkenbergs</t>
        </is>
      </c>
      <c r="AV2336" t="inlineStr">
        <is>
          <t>Kommun</t>
        </is>
      </c>
      <c r="AW2336" t="inlineStr">
        <is>
          <t>pdf Falkenbergs kommun</t>
        </is>
      </c>
      <c r="AX2336" t="inlineStr">
        <is>
          <t>0346-88</t>
        </is>
      </c>
      <c r="AY2336" t="inlineStr">
        <is>
          <t>Beslut</t>
        </is>
      </c>
      <c r="AZ2336" t="inlineStr">
        <is>
          <t>2026-02-03</t>
        </is>
      </c>
      <c r="BA2336" t="inlineStr">
        <is>
          <t>Slutrapport.pdf</t>
        </is>
      </c>
      <c r="BB2336" t="inlineStr">
        <is>
          <t>Efterfrågade handlingar</t>
        </is>
      </c>
      <c r="BC2336" t="inlineStr">
        <is>
          <t>AUTO</t>
        </is>
      </c>
      <c r="BD2336" t="inlineStr"/>
      <c r="BE2336" t="inlineStr"/>
      <c r="BF2336" t="inlineStr">
        <is>
          <t>AUTO_GENERERAD. Bekrafta metadata mot kallfil.</t>
        </is>
      </c>
      <c r="BG2336">
        <f>HYPERLINK("C:\Users\jimmy\Desktop\Examens arbete\Kod\Ny mapp\remix_-copy-of-miljöbeslut.se-portal\Slutrapport.pdf", "Öppna PDF")</f>
        <v/>
      </c>
    </row>
    <row r="2337">
      <c r="A2337" t="inlineStr">
        <is>
          <t>KRAV-AUTO-002336</t>
        </is>
      </c>
      <c r="B2337" t="inlineStr">
        <is>
          <t>ADMIN-INDEX-2026-02-27-00000000125C043F57453246863FE664CAFE6A3F0700950291EA24F0614FB6ACEDB12BF0E31D00000000010C0000950291EA24F0614FB6ACEDB12BF0E31D00002087B1CB0000</t>
        </is>
      </c>
      <c r="C2337" t="inlineStr">
        <is>
          <t>cmm4yun3500bbcuqwhp7aoi3c</t>
        </is>
      </c>
      <c r="D2337" t="inlineStr">
        <is>
          <t>http://localhost:8787/api/admin/requirements/documents/cmm4yun3500bbcuqwhp7aoi3c/view</t>
        </is>
      </c>
      <c r="E2337">
        <f>HYPERLÄNK("http://localhost:8787/api/admin/requirements/documents/cmm4yun3500bbcuqwhp7aoi3c/view";"Öppna PDF")</f>
        <v/>
      </c>
      <c r="F2337">
        <f>HYPERLINK("http://localhost:8787/api/admin/requirements/documents/cmm4yun3500bbcuqwhp7aoi3c/view","Open PDF")</f>
        <v/>
      </c>
      <c r="G2337" t="inlineStr">
        <is>
          <t>cmm55w57p0004cuisfrtpqly8</t>
        </is>
      </c>
      <c r="H2337" t="inlineStr">
        <is>
          <t>Informationskrav</t>
        </is>
      </c>
      <c r="I2337" t="inlineStr">
        <is>
          <t>MiljopaverkanForsiktighet</t>
        </is>
      </c>
      <c r="J2337" t="inlineStr">
        <is>
          <t>Skyddsatgarder</t>
        </is>
      </c>
      <c r="K2337" t="inlineStr">
        <is>
          <t>Observera att detta avsnitt bara ska fyllas i om verksamheten omfattas av 29 kap miljöprövningsförordningen Beskriv de metoder ni använder vid behandling av avfall.</t>
        </is>
      </c>
      <c r="L2337" t="inlineStr">
        <is>
          <t>Observera att detta avsnitt bara ska fyllas i om verksamheten omfattas av 29 kap miljöprövningsförordningen Beskriv de metoder ni använder vid behandling av avfall.</t>
        </is>
      </c>
      <c r="M2337" t="inlineStr">
        <is>
          <t>SKA</t>
        </is>
      </c>
      <c r="N2337" t="inlineStr">
        <is>
          <t>MPF</t>
        </is>
      </c>
      <c r="O2337" t="inlineStr"/>
      <c r="P2337" t="inlineStr"/>
      <c r="Q2337" t="inlineStr"/>
      <c r="R2337" t="inlineStr">
        <is>
          <t>Alltid</t>
        </is>
      </c>
      <c r="S2337" t="inlineStr"/>
      <c r="T2337" t="inlineStr">
        <is>
          <t>88 60 00</t>
        </is>
      </c>
      <c r="U2337" t="inlineStr"/>
      <c r="V2337" t="inlineStr"/>
      <c r="W2337" t="inlineStr">
        <is>
          <t>Nej</t>
        </is>
      </c>
      <c r="X2337" t="inlineStr">
        <is>
          <t>Nej</t>
        </is>
      </c>
      <c r="Y2337" t="inlineStr">
        <is>
          <t>Nej</t>
        </is>
      </c>
      <c r="Z2337" t="inlineStr">
        <is>
          <t>Nej</t>
        </is>
      </c>
      <c r="AA2337" t="n">
        <v>10</v>
      </c>
      <c r="AB2337" t="inlineStr">
        <is>
          <t>Miljopaverkan och forsiktighetsmatt</t>
        </is>
      </c>
      <c r="AC2337" t="inlineStr">
        <is>
          <t>Miljo-PM</t>
        </is>
      </c>
      <c r="AD2337" t="inlineStr">
        <is>
          <t>Nej</t>
        </is>
      </c>
      <c r="AE2337" t="inlineStr">
        <is>
          <t>Nej</t>
        </is>
      </c>
      <c r="AF2337" t="inlineStr">
        <is>
          <t>Ej behandlad</t>
        </is>
      </c>
      <c r="AG2337" t="inlineStr">
        <is>
          <t>AUTO_GENERERAD. Verifiera citat mot kallfil.</t>
        </is>
      </c>
      <c r="AH2337" t="inlineStr">
        <is>
          <t>HIGH</t>
        </is>
      </c>
      <c r="AI2337" t="inlineStr">
        <is>
          <t>AUTO</t>
        </is>
      </c>
      <c r="AJ2337" t="inlineStr">
        <is>
          <t>Nej</t>
        </is>
      </c>
      <c r="AK2337" t="inlineStr"/>
      <c r="AL2337" t="inlineStr"/>
      <c r="AM2337" t="inlineStr"/>
      <c r="AN2337" t="inlineStr"/>
      <c r="AO2337" t="inlineStr">
        <is>
          <t>cmm4yun4m00cwcuqwobgswces</t>
        </is>
      </c>
      <c r="AP2337" t="inlineStr">
        <is>
          <t>http://localhost:8787/api/admin/requirements/documents/cmm4yun4m00cwcuqwobgswces/view</t>
        </is>
      </c>
      <c r="AQ2337">
        <f>HYPERLÄNK("http://localhost:8787/api/admin/requirements/documents/cmm4yun4m00cwcuqwobgswces/view";"Öppna PDF")</f>
        <v/>
      </c>
      <c r="AR2337">
        <f>HYPERLINK("http://localhost:8787/api/admin/requirements/documents/cmm4yun4m00cwcuqwobgswces/view","Open PDF")</f>
        <v/>
      </c>
      <c r="AS2337" t="inlineStr">
        <is>
          <t>cmm55w57p0004cuisfrtpqly8</t>
        </is>
      </c>
      <c r="AT2337" t="inlineStr">
        <is>
          <t>cmm4xvu980000cuh4vj0usz09</t>
        </is>
      </c>
      <c r="AU2337" t="inlineStr">
        <is>
          <t>pdf Falkenbergs</t>
        </is>
      </c>
      <c r="AV2337" t="inlineStr">
        <is>
          <t>Kommun</t>
        </is>
      </c>
      <c r="AW2337" t="inlineStr">
        <is>
          <t>pdf Falkenbergs kommun</t>
        </is>
      </c>
      <c r="AX2337" t="inlineStr">
        <is>
          <t>0346-88</t>
        </is>
      </c>
      <c r="AY2337" t="inlineStr">
        <is>
          <t>Beslut</t>
        </is>
      </c>
      <c r="AZ2337" t="inlineStr">
        <is>
          <t>2026-02-03</t>
        </is>
      </c>
      <c r="BA2337" t="inlineStr">
        <is>
          <t>Slutrapport.pdf</t>
        </is>
      </c>
      <c r="BB2337" t="inlineStr">
        <is>
          <t>Efterfrågade handlingar</t>
        </is>
      </c>
      <c r="BC2337" t="inlineStr">
        <is>
          <t>AUTO</t>
        </is>
      </c>
      <c r="BD2337" t="inlineStr"/>
      <c r="BE2337" t="inlineStr"/>
      <c r="BF2337" t="inlineStr">
        <is>
          <t>AUTO_GENERERAD. Bekrafta metadata mot kallfil.</t>
        </is>
      </c>
      <c r="BG2337">
        <f>HYPERLINK("C:\Users\jimmy\Desktop\Examens arbete\Kod\Ny mapp\remix_-copy-of-miljöbeslut.se-portal\Slutrapport.pdf", "Öppna PDF")</f>
        <v/>
      </c>
    </row>
    <row r="2338">
      <c r="A2338" t="inlineStr">
        <is>
          <t>KRAV-AUTO-002337</t>
        </is>
      </c>
      <c r="B2338" t="inlineStr">
        <is>
          <t>ADMIN-INDEX-2026-02-27-00000000125C043F57453246863FE664CAFE6A3F0700950291EA24F0614FB6ACEDB12BF0E31D00000000010C0000950291EA24F0614FB6ACEDB12BF0E31D00002087B1CB0000</t>
        </is>
      </c>
      <c r="C2338" t="inlineStr">
        <is>
          <t>cmm4yun3200b8cuqwyj8bqt6u</t>
        </is>
      </c>
      <c r="D2338" t="inlineStr">
        <is>
          <t>http://localhost:8787/api/admin/requirements/documents/cmm4yun3200b8cuqwyj8bqt6u/view</t>
        </is>
      </c>
      <c r="E2338">
        <f>HYPERLÄNK("http://localhost:8787/api/admin/requirements/documents/cmm4yun3200b8cuqwyj8bqt6u/view";"Öppna PDF")</f>
        <v/>
      </c>
      <c r="F2338">
        <f>HYPERLINK("http://localhost:8787/api/admin/requirements/documents/cmm4yun3200b8cuqwyj8bqt6u/view","Open PDF")</f>
        <v/>
      </c>
      <c r="G2338" t="inlineStr">
        <is>
          <t>cmm55w57p0004cuisfrtpqly8</t>
        </is>
      </c>
      <c r="H2338" t="inlineStr">
        <is>
          <t>Beslutsvillkor</t>
        </is>
      </c>
      <c r="I2338" t="inlineStr">
        <is>
          <t>LagringsvolymTid</t>
        </is>
      </c>
      <c r="J2338" t="inlineStr">
        <is>
          <t>Maxmangd</t>
        </is>
      </c>
      <c r="K2338" t="inlineStr">
        <is>
          <t>Genom denna process säkerställer Erico att pallar och träemballage återanvänds och återvinns på ett hållbart sätt, vilket minskar avfallsmängder och koldioxidutsläpp i leveranskedjan.</t>
        </is>
      </c>
      <c r="L2338" t="inlineStr">
        <is>
          <t>Genom denna process säkerställer Erico att pallar och träemballage återanvänds och återvinns på ett hållbart sätt, vilket minskar avfallsmängder och koldioxidutsläpp i leveranskedjan.</t>
        </is>
      </c>
      <c r="M2338" t="inlineStr">
        <is>
          <t>SKA</t>
        </is>
      </c>
      <c r="N2338" t="inlineStr"/>
      <c r="O2338" t="inlineStr"/>
      <c r="P2338" t="inlineStr"/>
      <c r="Q2338" t="inlineStr"/>
      <c r="R2338" t="inlineStr">
        <is>
          <t>Alltid</t>
        </is>
      </c>
      <c r="S2338" t="inlineStr"/>
      <c r="T2338" t="inlineStr"/>
      <c r="U2338" t="inlineStr"/>
      <c r="V2338" t="inlineStr"/>
      <c r="W2338" t="inlineStr">
        <is>
          <t>Nej</t>
        </is>
      </c>
      <c r="X2338" t="inlineStr">
        <is>
          <t>Nej</t>
        </is>
      </c>
      <c r="Y2338" t="inlineStr">
        <is>
          <t>Nej</t>
        </is>
      </c>
      <c r="Z2338" t="inlineStr">
        <is>
          <t>Nej</t>
        </is>
      </c>
      <c r="AA2338" t="n">
        <v>4</v>
      </c>
      <c r="AB2338" t="inlineStr">
        <is>
          <t>Avfallsmangder och lagringstid</t>
        </is>
      </c>
      <c r="AC2338" t="inlineStr">
        <is>
          <t>Avfallsforteckning</t>
        </is>
      </c>
      <c r="AD2338" t="inlineStr">
        <is>
          <t>Nej</t>
        </is>
      </c>
      <c r="AE2338" t="inlineStr">
        <is>
          <t>Nej</t>
        </is>
      </c>
      <c r="AF2338" t="inlineStr">
        <is>
          <t>Ej behandlad</t>
        </is>
      </c>
      <c r="AG2338" t="inlineStr">
        <is>
          <t>AUTO_GENERERAD. Verifiera citat mot kallfil.</t>
        </is>
      </c>
      <c r="AH2338" t="inlineStr">
        <is>
          <t>MEDIUM</t>
        </is>
      </c>
      <c r="AI2338" t="inlineStr">
        <is>
          <t>AUTO</t>
        </is>
      </c>
      <c r="AJ2338" t="inlineStr">
        <is>
          <t>Nej</t>
        </is>
      </c>
      <c r="AK2338" t="inlineStr"/>
      <c r="AL2338" t="inlineStr"/>
      <c r="AM2338" t="inlineStr"/>
      <c r="AN2338" t="inlineStr"/>
      <c r="AO2338" t="inlineStr">
        <is>
          <t>cmm4yun4m00cwcuqwobgswces</t>
        </is>
      </c>
      <c r="AP2338" t="inlineStr">
        <is>
          <t>http://localhost:8787/api/admin/requirements/documents/cmm4yun4m00cwcuqwobgswces/view</t>
        </is>
      </c>
      <c r="AQ2338">
        <f>HYPERLÄNK("http://localhost:8787/api/admin/requirements/documents/cmm4yun4m00cwcuqwobgswces/view";"Öppna PDF")</f>
        <v/>
      </c>
      <c r="AR2338">
        <f>HYPERLINK("http://localhost:8787/api/admin/requirements/documents/cmm4yun4m00cwcuqwobgswces/view","Open PDF")</f>
        <v/>
      </c>
      <c r="AS2338" t="inlineStr">
        <is>
          <t>cmm55w57p0004cuisfrtpqly8</t>
        </is>
      </c>
      <c r="AT2338" t="inlineStr">
        <is>
          <t>cmm4xvu980000cuh4vj0usz09</t>
        </is>
      </c>
      <c r="AU2338" t="inlineStr">
        <is>
          <t>pdf Falkenbergs</t>
        </is>
      </c>
      <c r="AV2338" t="inlineStr">
        <is>
          <t>Kommun</t>
        </is>
      </c>
      <c r="AW2338" t="inlineStr">
        <is>
          <t>pdf Falkenbergs kommun</t>
        </is>
      </c>
      <c r="AX2338" t="inlineStr">
        <is>
          <t>0346-88</t>
        </is>
      </c>
      <c r="AY2338" t="inlineStr">
        <is>
          <t>Beslut</t>
        </is>
      </c>
      <c r="AZ2338" t="inlineStr">
        <is>
          <t>2026-02-03</t>
        </is>
      </c>
      <c r="BA2338" t="inlineStr">
        <is>
          <t>Slutrapport.pdf</t>
        </is>
      </c>
      <c r="BB2338" t="inlineStr">
        <is>
          <t>Efterfrågade handlingar</t>
        </is>
      </c>
      <c r="BC2338" t="inlineStr">
        <is>
          <t>AUTO</t>
        </is>
      </c>
      <c r="BD2338" t="inlineStr"/>
      <c r="BE2338" t="inlineStr"/>
      <c r="BF2338" t="inlineStr">
        <is>
          <t>AUTO_GENERERAD. Bekrafta metadata mot kallfil.</t>
        </is>
      </c>
      <c r="BG2338">
        <f>HYPERLINK("C:\Users\jimmy\Desktop\Examens arbete\Kod\Ny mapp\remix_-copy-of-miljöbeslut.se-portal\Slutrapport.pdf", "Öppna PDF")</f>
        <v/>
      </c>
    </row>
    <row r="2339">
      <c r="A2339" t="inlineStr">
        <is>
          <t>KRAV-AUTO-002338</t>
        </is>
      </c>
      <c r="B2339" t="inlineStr">
        <is>
          <t>ADMIN-INDEX-2026-02-27-00000000125C043F57453246863FE664CAFE6A3F0700950291EA24F0614FB6ACEDB12BF0E31D00000000010C0000950291EA24F0614FB6ACEDB12BF0E31D00002087B1CB0000</t>
        </is>
      </c>
      <c r="C2339" t="inlineStr">
        <is>
          <t>cmm4yun3200b8cuqwyj8bqt6u</t>
        </is>
      </c>
      <c r="D2339" t="inlineStr">
        <is>
          <t>http://localhost:8787/api/admin/requirements/documents/cmm4yun3200b8cuqwyj8bqt6u/view</t>
        </is>
      </c>
      <c r="E2339">
        <f>HYPERLÄNK("http://localhost:8787/api/admin/requirements/documents/cmm4yun3200b8cuqwyj8bqt6u/view";"Öppna PDF")</f>
        <v/>
      </c>
      <c r="F2339">
        <f>HYPERLINK("http://localhost:8787/api/admin/requirements/documents/cmm4yun3200b8cuqwyj8bqt6u/view","Open PDF")</f>
        <v/>
      </c>
      <c r="G2339" t="inlineStr">
        <is>
          <t>cmm55w57p0004cuisfrtpqly8</t>
        </is>
      </c>
      <c r="H2339" t="inlineStr">
        <is>
          <t>Beslutsvillkor</t>
        </is>
      </c>
      <c r="I2339" t="inlineStr">
        <is>
          <t>MiljopaverkanForsiktighet</t>
        </is>
      </c>
      <c r="J2339" t="inlineStr">
        <is>
          <t>Skyddsatgarder</t>
        </is>
      </c>
      <c r="K2339" t="inlineStr">
        <is>
          <t>Genom att återanvända pallar minskar behovet av att producera nya, vilket sparar resurser och minskar avfall.</t>
        </is>
      </c>
      <c r="L2339" t="inlineStr">
        <is>
          <t>Genom att återanvända pallar minskar behovet av att producera nya, vilket sparar resurser och minskar avfall.</t>
        </is>
      </c>
      <c r="M2339" t="inlineStr">
        <is>
          <t>SKA</t>
        </is>
      </c>
      <c r="N2339" t="inlineStr"/>
      <c r="O2339" t="inlineStr"/>
      <c r="P2339" t="inlineStr"/>
      <c r="Q2339" t="inlineStr"/>
      <c r="R2339" t="inlineStr">
        <is>
          <t>Alltid</t>
        </is>
      </c>
      <c r="S2339" t="inlineStr"/>
      <c r="T2339" t="inlineStr"/>
      <c r="U2339" t="inlineStr"/>
      <c r="V2339" t="inlineStr"/>
      <c r="W2339" t="inlineStr">
        <is>
          <t>Nej</t>
        </is>
      </c>
      <c r="X2339" t="inlineStr">
        <is>
          <t>Nej</t>
        </is>
      </c>
      <c r="Y2339" t="inlineStr">
        <is>
          <t>Nej</t>
        </is>
      </c>
      <c r="Z2339" t="inlineStr">
        <is>
          <t>Nej</t>
        </is>
      </c>
      <c r="AA2339" t="n">
        <v>10</v>
      </c>
      <c r="AB2339" t="inlineStr">
        <is>
          <t>Miljopaverkan och forsiktighetsmatt</t>
        </is>
      </c>
      <c r="AC2339" t="inlineStr">
        <is>
          <t>Miljo-PM</t>
        </is>
      </c>
      <c r="AD2339" t="inlineStr">
        <is>
          <t>Nej</t>
        </is>
      </c>
      <c r="AE2339" t="inlineStr">
        <is>
          <t>Nej</t>
        </is>
      </c>
      <c r="AF2339" t="inlineStr">
        <is>
          <t>Ej behandlad</t>
        </is>
      </c>
      <c r="AG2339" t="inlineStr">
        <is>
          <t>AUTO_GENERERAD. Verifiera citat mot kallfil.</t>
        </is>
      </c>
      <c r="AH2339" t="inlineStr">
        <is>
          <t>MEDIUM</t>
        </is>
      </c>
      <c r="AI2339" t="inlineStr">
        <is>
          <t>AUTO</t>
        </is>
      </c>
      <c r="AJ2339" t="inlineStr">
        <is>
          <t>Nej</t>
        </is>
      </c>
      <c r="AK2339" t="inlineStr"/>
      <c r="AL2339" t="inlineStr"/>
      <c r="AM2339" t="inlineStr"/>
      <c r="AN2339" t="inlineStr"/>
      <c r="AO2339" t="inlineStr">
        <is>
          <t>cmm4yun4m00cwcuqwobgswces</t>
        </is>
      </c>
      <c r="AP2339" t="inlineStr">
        <is>
          <t>http://localhost:8787/api/admin/requirements/documents/cmm4yun4m00cwcuqwobgswces/view</t>
        </is>
      </c>
      <c r="AQ2339">
        <f>HYPERLÄNK("http://localhost:8787/api/admin/requirements/documents/cmm4yun4m00cwcuqwobgswces/view";"Öppna PDF")</f>
        <v/>
      </c>
      <c r="AR2339">
        <f>HYPERLINK("http://localhost:8787/api/admin/requirements/documents/cmm4yun4m00cwcuqwobgswces/view","Open PDF")</f>
        <v/>
      </c>
      <c r="AS2339" t="inlineStr">
        <is>
          <t>cmm55w57p0004cuisfrtpqly8</t>
        </is>
      </c>
      <c r="AT2339" t="inlineStr">
        <is>
          <t>cmm4xvu980000cuh4vj0usz09</t>
        </is>
      </c>
      <c r="AU2339" t="inlineStr">
        <is>
          <t>pdf Falkenbergs</t>
        </is>
      </c>
      <c r="AV2339" t="inlineStr">
        <is>
          <t>Kommun</t>
        </is>
      </c>
      <c r="AW2339" t="inlineStr">
        <is>
          <t>pdf Falkenbergs kommun</t>
        </is>
      </c>
      <c r="AX2339" t="inlineStr">
        <is>
          <t>0346-88</t>
        </is>
      </c>
      <c r="AY2339" t="inlineStr">
        <is>
          <t>Beslut</t>
        </is>
      </c>
      <c r="AZ2339" t="inlineStr">
        <is>
          <t>2026-02-03</t>
        </is>
      </c>
      <c r="BA2339" t="inlineStr">
        <is>
          <t>Slutrapport.pdf</t>
        </is>
      </c>
      <c r="BB2339" t="inlineStr">
        <is>
          <t>Efterfrågade handlingar</t>
        </is>
      </c>
      <c r="BC2339" t="inlineStr">
        <is>
          <t>AUTO</t>
        </is>
      </c>
      <c r="BD2339" t="inlineStr"/>
      <c r="BE2339" t="inlineStr"/>
      <c r="BF2339" t="inlineStr">
        <is>
          <t>AUTO_GENERERAD. Bekrafta metadata mot kallfil.</t>
        </is>
      </c>
      <c r="BG2339">
        <f>HYPERLINK("C:\Users\jimmy\Desktop\Examens arbete\Kod\Ny mapp\remix_-copy-of-miljöbeslut.se-portal\Slutrapport.pdf", "Öppna PDF")</f>
        <v/>
      </c>
    </row>
    <row r="2340">
      <c r="A2340" t="inlineStr">
        <is>
          <t>KRAV-AUTO-002339</t>
        </is>
      </c>
      <c r="B2340" t="inlineStr">
        <is>
          <t>ADMIN-INDEX-2026-02-27-00000000125C043F57453246863FE664CAFE6A3F0700950291EA24F0614FB6ACEDB12BF0E31D00000000010C0000950291EA24F0614FB6ACEDB12BF0E31D00002087B1CC0000</t>
        </is>
      </c>
      <c r="C2340" t="inlineStr">
        <is>
          <t>cmm4yun2p00awcuqwzeoe9qe9</t>
        </is>
      </c>
      <c r="D2340" t="inlineStr">
        <is>
          <t>http://localhost:8787/api/admin/requirements/documents/cmm4yun2p00awcuqwzeoe9qe9/view</t>
        </is>
      </c>
      <c r="E2340">
        <f>HYPERLÄNK("http://localhost:8787/api/admin/requirements/documents/cmm4yun2p00awcuqwzeoe9qe9/view";"Öppna PDF")</f>
        <v/>
      </c>
      <c r="F2340">
        <f>HYPERLINK("http://localhost:8787/api/admin/requirements/documents/cmm4yun2p00awcuqwzeoe9qe9/view","Open PDF")</f>
        <v/>
      </c>
      <c r="G2340" t="inlineStr">
        <is>
          <t>cmm55w57p0004cuisfrtpqly8</t>
        </is>
      </c>
      <c r="H2340" t="inlineStr">
        <is>
          <t>Beslutsvillkor</t>
        </is>
      </c>
      <c r="I2340" t="inlineStr">
        <is>
          <t>LagringsvolymTid</t>
        </is>
      </c>
      <c r="J2340" t="inlineStr">
        <is>
          <t>Maxmangd</t>
        </is>
      </c>
      <c r="K2340" t="inlineStr">
        <is>
          <t>Lars förklarade att de under arbetets gång fått större kännedom om hur mycket berg som behöver tas bort och att det från början var svårt att uppskatta bland annat mängden berg och mängden jord ovanpå berg.</t>
        </is>
      </c>
      <c r="L2340" t="inlineStr">
        <is>
          <t>Lars förklarade att de under arbetets gång fått större kännedom om hur mycket berg som behöver tas bort och att det från början var svårt att uppskatta bland annat mängden berg och mängden jord ovanpå berg.</t>
        </is>
      </c>
      <c r="M2340" t="inlineStr">
        <is>
          <t>SKA</t>
        </is>
      </c>
      <c r="N2340" t="inlineStr"/>
      <c r="O2340" t="inlineStr"/>
      <c r="P2340" t="inlineStr"/>
      <c r="Q2340" t="inlineStr"/>
      <c r="R2340" t="inlineStr">
        <is>
          <t>Alltid</t>
        </is>
      </c>
      <c r="S2340" t="inlineStr"/>
      <c r="T2340" t="inlineStr">
        <is>
          <t>212000</t>
        </is>
      </c>
      <c r="U2340" t="inlineStr"/>
      <c r="V2340" t="inlineStr"/>
      <c r="W2340" t="inlineStr">
        <is>
          <t>Nej</t>
        </is>
      </c>
      <c r="X2340" t="inlineStr">
        <is>
          <t>Nej</t>
        </is>
      </c>
      <c r="Y2340" t="inlineStr">
        <is>
          <t>Nej</t>
        </is>
      </c>
      <c r="Z2340" t="inlineStr">
        <is>
          <t>Nej</t>
        </is>
      </c>
      <c r="AA2340" t="n">
        <v>4</v>
      </c>
      <c r="AB2340" t="inlineStr">
        <is>
          <t>Avfallsmangder och lagringstid</t>
        </is>
      </c>
      <c r="AC2340" t="inlineStr">
        <is>
          <t>Avfallsforteckning</t>
        </is>
      </c>
      <c r="AD2340" t="inlineStr">
        <is>
          <t>Nej</t>
        </is>
      </c>
      <c r="AE2340" t="inlineStr">
        <is>
          <t>Nej</t>
        </is>
      </c>
      <c r="AF2340" t="inlineStr">
        <is>
          <t>Ej behandlad</t>
        </is>
      </c>
      <c r="AG2340" t="inlineStr">
        <is>
          <t>AUTO_GENERERAD. Verifiera citat mot kallfil.</t>
        </is>
      </c>
      <c r="AH2340" t="inlineStr">
        <is>
          <t>MEDIUM</t>
        </is>
      </c>
      <c r="AI2340" t="inlineStr">
        <is>
          <t>AUTO</t>
        </is>
      </c>
      <c r="AJ2340" t="inlineStr">
        <is>
          <t>Nej</t>
        </is>
      </c>
      <c r="AK2340" t="inlineStr"/>
      <c r="AL2340" t="inlineStr"/>
      <c r="AM2340" t="inlineStr"/>
      <c r="AN2340" t="inlineStr"/>
      <c r="AO2340" t="inlineStr">
        <is>
          <t>cmm4yun2p00awcuqwzeoe9qe9</t>
        </is>
      </c>
      <c r="AP2340" t="inlineStr">
        <is>
          <t>http://localhost:8787/api/admin/requirements/documents/cmm4yun2p00awcuqwzeoe9qe9/view</t>
        </is>
      </c>
      <c r="AQ2340">
        <f>HYPERLÄNK("http://localhost:8787/api/admin/requirements/documents/cmm4yun2p00awcuqwzeoe9qe9/view";"Öppna PDF")</f>
        <v/>
      </c>
      <c r="AR2340">
        <f>HYPERLINK("http://localhost:8787/api/admin/requirements/documents/cmm4yun2p00awcuqwzeoe9qe9/view","Open PDF")</f>
        <v/>
      </c>
      <c r="AS2340" t="inlineStr">
        <is>
          <t>cmm55w57p0004cuisfrtpqly8</t>
        </is>
      </c>
      <c r="AT2340" t="inlineStr">
        <is>
          <t>cmm4xvu980000cuh4vj0usz09</t>
        </is>
      </c>
      <c r="AU2340" t="inlineStr">
        <is>
          <t>pdf Karlstads</t>
        </is>
      </c>
      <c r="AV2340" t="inlineStr">
        <is>
          <t>Kommun</t>
        </is>
      </c>
      <c r="AW2340" t="inlineStr">
        <is>
          <t>pdf Karlstads kommun</t>
        </is>
      </c>
      <c r="AX2340" t="inlineStr">
        <is>
          <t>2024-04</t>
        </is>
      </c>
      <c r="AY2340" t="inlineStr">
        <is>
          <t>Beslut</t>
        </is>
      </c>
      <c r="AZ2340" t="inlineStr">
        <is>
          <t>2026-02-03</t>
        </is>
      </c>
      <c r="BA2340" t="inlineStr">
        <is>
          <t>Beslut Älvenäs.pdf</t>
        </is>
      </c>
      <c r="BB2340" t="inlineStr">
        <is>
          <t>Beslut Älvenäs</t>
        </is>
      </c>
      <c r="BC2340" t="inlineStr">
        <is>
          <t>AUTO</t>
        </is>
      </c>
      <c r="BD2340" t="inlineStr"/>
      <c r="BE2340" t="inlineStr"/>
      <c r="BF2340" t="inlineStr">
        <is>
          <t>AUTO_GENERERAD. Bekrafta metadata mot kallfil.</t>
        </is>
      </c>
      <c r="BG2340">
        <f>HYPERLINK("C:\Users\jimmy\Desktop\Examens arbete\Kod\Ny mapp\remix_-copy-of-miljöbeslut.se-portal\Beslut Älvenäs.pdf", "Öppna PDF")</f>
        <v/>
      </c>
    </row>
    <row r="2341">
      <c r="A2341" t="inlineStr">
        <is>
          <t>KRAV-AUTO-002340</t>
        </is>
      </c>
      <c r="B2341" t="inlineStr">
        <is>
          <t>ADMIN-INDEX-2026-02-27-00000000125C043F57453246863FE664CAFE6A3F0700950291EA24F0614FB6ACEDB12BF0E31D00000000010C0000950291EA24F0614FB6ACEDB12BF0E31D00002087B1CC0000</t>
        </is>
      </c>
      <c r="C2341" t="inlineStr">
        <is>
          <t>cmm4yun2p00awcuqwzeoe9qe9</t>
        </is>
      </c>
      <c r="D2341" t="inlineStr">
        <is>
          <t>http://localhost:8787/api/admin/requirements/documents/cmm4yun2p00awcuqwzeoe9qe9/view</t>
        </is>
      </c>
      <c r="E2341">
        <f>HYPERLÄNK("http://localhost:8787/api/admin/requirements/documents/cmm4yun2p00awcuqwzeoe9qe9/view";"Öppna PDF")</f>
        <v/>
      </c>
      <c r="F2341">
        <f>HYPERLINK("http://localhost:8787/api/admin/requirements/documents/cmm4yun2p00awcuqwzeoe9qe9/view","Open PDF")</f>
        <v/>
      </c>
      <c r="G2341" t="inlineStr">
        <is>
          <t>cmm55w57p0004cuisfrtpqly8</t>
        </is>
      </c>
      <c r="H2341" t="inlineStr">
        <is>
          <t>Beslutsvillkor</t>
        </is>
      </c>
      <c r="I2341" t="inlineStr">
        <is>
          <t>Ytkonstruktion</t>
        </is>
      </c>
      <c r="J2341" t="inlineStr">
        <is>
          <t>Tat yta</t>
        </is>
      </c>
      <c r="K2341" t="inlineStr">
        <is>
          <t>Det är svårt att veta hur mycket ytterligare berg som behöver tas bort, men maximalt 200 000 ton.</t>
        </is>
      </c>
      <c r="L2341" t="inlineStr">
        <is>
          <t>Det är svårt att veta hur mycket ytterligare berg som behöver tas bort, men maximalt 200 000 ton.</t>
        </is>
      </c>
      <c r="M2341" t="inlineStr">
        <is>
          <t>BOR</t>
        </is>
      </c>
      <c r="N2341" t="inlineStr"/>
      <c r="O2341" t="inlineStr"/>
      <c r="P2341" t="inlineStr"/>
      <c r="Q2341" t="inlineStr"/>
      <c r="R2341" t="inlineStr">
        <is>
          <t>Vid mellanlagring av avfall</t>
        </is>
      </c>
      <c r="S2341" t="inlineStr"/>
      <c r="T2341" t="inlineStr">
        <is>
          <t>212000</t>
        </is>
      </c>
      <c r="U2341" t="n">
        <v>0</v>
      </c>
      <c r="V2341" t="inlineStr"/>
      <c r="W2341" t="inlineStr">
        <is>
          <t>Ja</t>
        </is>
      </c>
      <c r="X2341" t="inlineStr">
        <is>
          <t>Nej</t>
        </is>
      </c>
      <c r="Y2341" t="inlineStr">
        <is>
          <t>Nej</t>
        </is>
      </c>
      <c r="Z2341" t="inlineStr">
        <is>
          <t>Nej</t>
        </is>
      </c>
      <c r="AA2341" t="n">
        <v>5</v>
      </c>
      <c r="AB2341" t="inlineStr">
        <is>
          <t>Teknisk beskrivning av platta</t>
        </is>
      </c>
      <c r="AC2341" t="inlineStr">
        <is>
          <t>Teknisk ritning platta</t>
        </is>
      </c>
      <c r="AD2341" t="inlineStr">
        <is>
          <t>Nej</t>
        </is>
      </c>
      <c r="AE2341" t="inlineStr">
        <is>
          <t>Nej</t>
        </is>
      </c>
      <c r="AF2341" t="inlineStr">
        <is>
          <t>Ej behandlad</t>
        </is>
      </c>
      <c r="AG2341" t="inlineStr">
        <is>
          <t>AUTO_GENERERAD. Verifiera citat mot kallfil.</t>
        </is>
      </c>
      <c r="AH2341" t="inlineStr">
        <is>
          <t>MEDIUM</t>
        </is>
      </c>
      <c r="AI2341" t="inlineStr">
        <is>
          <t>AUTO</t>
        </is>
      </c>
      <c r="AJ2341" t="inlineStr">
        <is>
          <t>Nej</t>
        </is>
      </c>
      <c r="AK2341" t="inlineStr"/>
      <c r="AL2341" t="inlineStr"/>
      <c r="AM2341" t="inlineStr"/>
      <c r="AN2341" t="inlineStr"/>
      <c r="AO2341" t="inlineStr">
        <is>
          <t>cmm4yun2p00awcuqwzeoe9qe9</t>
        </is>
      </c>
      <c r="AP2341" t="inlineStr">
        <is>
          <t>http://localhost:8787/api/admin/requirements/documents/cmm4yun2p00awcuqwzeoe9qe9/view</t>
        </is>
      </c>
      <c r="AQ2341">
        <f>HYPERLÄNK("http://localhost:8787/api/admin/requirements/documents/cmm4yun2p00awcuqwzeoe9qe9/view";"Öppna PDF")</f>
        <v/>
      </c>
      <c r="AR2341">
        <f>HYPERLINK("http://localhost:8787/api/admin/requirements/documents/cmm4yun2p00awcuqwzeoe9qe9/view","Open PDF")</f>
        <v/>
      </c>
      <c r="AS2341" t="inlineStr">
        <is>
          <t>cmm55w57p0004cuisfrtpqly8</t>
        </is>
      </c>
      <c r="AT2341" t="inlineStr">
        <is>
          <t>cmm4xvu980000cuh4vj0usz09</t>
        </is>
      </c>
      <c r="AU2341" t="inlineStr">
        <is>
          <t>pdf Karlstads</t>
        </is>
      </c>
      <c r="AV2341" t="inlineStr">
        <is>
          <t>Kommun</t>
        </is>
      </c>
      <c r="AW2341" t="inlineStr">
        <is>
          <t>pdf Karlstads kommun</t>
        </is>
      </c>
      <c r="AX2341" t="inlineStr">
        <is>
          <t>2024-04</t>
        </is>
      </c>
      <c r="AY2341" t="inlineStr">
        <is>
          <t>Beslut</t>
        </is>
      </c>
      <c r="AZ2341" t="inlineStr">
        <is>
          <t>2026-02-03</t>
        </is>
      </c>
      <c r="BA2341" t="inlineStr">
        <is>
          <t>Beslut Älvenäs.pdf</t>
        </is>
      </c>
      <c r="BB2341" t="inlineStr">
        <is>
          <t>Beslut Älvenäs</t>
        </is>
      </c>
      <c r="BC2341" t="inlineStr">
        <is>
          <t>AUTO</t>
        </is>
      </c>
      <c r="BD2341" t="inlineStr"/>
      <c r="BE2341" t="inlineStr"/>
      <c r="BF2341" t="inlineStr">
        <is>
          <t>AUTO_GENERERAD. Bekrafta metadata mot kallfil.</t>
        </is>
      </c>
      <c r="BG2341">
        <f>HYPERLINK("C:\Users\jimmy\Desktop\Examens arbete\Kod\Ny mapp\remix_-copy-of-miljöbeslut.se-portal\Beslut Älvenäs.pdf", "Öppna PDF")</f>
        <v/>
      </c>
    </row>
    <row r="2342">
      <c r="A2342" t="inlineStr">
        <is>
          <t>KRAV-AUTO-002341</t>
        </is>
      </c>
      <c r="B2342" t="inlineStr">
        <is>
          <t>ADMIN-INDEX-2026-02-27-00000000125C043F57453246863FE664CAFE6A3F0700950291EA24F0614FB6ACEDB12BF0E31D00000000010C0000950291EA24F0614FB6ACEDB12BF0E31D00002087B1CC0000</t>
        </is>
      </c>
      <c r="C2342" t="inlineStr">
        <is>
          <t>cmm4yun2p00awcuqwzeoe9qe9</t>
        </is>
      </c>
      <c r="D2342" t="inlineStr">
        <is>
          <t>http://localhost:8787/api/admin/requirements/documents/cmm4yun2p00awcuqwzeoe9qe9/view</t>
        </is>
      </c>
      <c r="E2342">
        <f>HYPERLÄNK("http://localhost:8787/api/admin/requirements/documents/cmm4yun2p00awcuqwzeoe9qe9/view";"Öppna PDF")</f>
        <v/>
      </c>
      <c r="F2342">
        <f>HYPERLINK("http://localhost:8787/api/admin/requirements/documents/cmm4yun2p00awcuqwzeoe9qe9/view","Open PDF")</f>
        <v/>
      </c>
      <c r="G2342" t="inlineStr">
        <is>
          <t>cmm55w57p0004cuisfrtpqly8</t>
        </is>
      </c>
      <c r="H2342" t="inlineStr">
        <is>
          <t>Beslutsvillkor</t>
        </is>
      </c>
      <c r="I2342" t="inlineStr">
        <is>
          <t>DriftEgenkontroll</t>
        </is>
      </c>
      <c r="J2342" t="inlineStr">
        <is>
          <t>Journalforing</t>
        </is>
      </c>
      <c r="K2342" t="inlineStr">
        <is>
          <t>Egenkontrollen ska innehåll bland annat följande:  En fördelning av det organisatoriska ansvaret för miljöfrågor.</t>
        </is>
      </c>
      <c r="L2342" t="inlineStr">
        <is>
          <t>Egenkontrollen ska innehåll bland annat följande:  En fördelning av det organisatoriska ansvaret för miljöfrågor.</t>
        </is>
      </c>
      <c r="M2342" t="inlineStr">
        <is>
          <t>SKA</t>
        </is>
      </c>
      <c r="N2342" t="inlineStr"/>
      <c r="O2342" t="inlineStr"/>
      <c r="P2342" t="inlineStr"/>
      <c r="Q2342" t="inlineStr"/>
      <c r="R2342" t="inlineStr">
        <is>
          <t>Lopande drift</t>
        </is>
      </c>
      <c r="S2342" t="inlineStr"/>
      <c r="T2342" t="inlineStr">
        <is>
          <t>212000</t>
        </is>
      </c>
      <c r="U2342" t="inlineStr"/>
      <c r="V2342" t="inlineStr"/>
      <c r="W2342" t="inlineStr">
        <is>
          <t>Nej</t>
        </is>
      </c>
      <c r="X2342" t="inlineStr">
        <is>
          <t>Nej</t>
        </is>
      </c>
      <c r="Y2342" t="inlineStr">
        <is>
          <t>Ja</t>
        </is>
      </c>
      <c r="Z2342" t="inlineStr">
        <is>
          <t>Nej</t>
        </is>
      </c>
      <c r="AA2342" t="n">
        <v>7</v>
      </c>
      <c r="AB2342" t="inlineStr">
        <is>
          <t>Egenkontrollrutiner</t>
        </is>
      </c>
      <c r="AC2342" t="inlineStr">
        <is>
          <t>Egenkontrollprogram</t>
        </is>
      </c>
      <c r="AD2342" t="inlineStr">
        <is>
          <t>Nej</t>
        </is>
      </c>
      <c r="AE2342" t="inlineStr">
        <is>
          <t>Nej</t>
        </is>
      </c>
      <c r="AF2342" t="inlineStr">
        <is>
          <t>Ej behandlad</t>
        </is>
      </c>
      <c r="AG2342" t="inlineStr">
        <is>
          <t>AUTO_GENERERAD. Verifiera citat mot kallfil.</t>
        </is>
      </c>
      <c r="AH2342" t="inlineStr">
        <is>
          <t>MEDIUM</t>
        </is>
      </c>
      <c r="AI2342" t="inlineStr">
        <is>
          <t>AUTO</t>
        </is>
      </c>
      <c r="AJ2342" t="inlineStr">
        <is>
          <t>Nej</t>
        </is>
      </c>
      <c r="AK2342" t="inlineStr"/>
      <c r="AL2342" t="inlineStr"/>
      <c r="AM2342" t="inlineStr"/>
      <c r="AN2342" t="inlineStr"/>
      <c r="AO2342" t="inlineStr">
        <is>
          <t>cmm4yun2p00awcuqwzeoe9qe9</t>
        </is>
      </c>
      <c r="AP2342" t="inlineStr">
        <is>
          <t>http://localhost:8787/api/admin/requirements/documents/cmm4yun2p00awcuqwzeoe9qe9/view</t>
        </is>
      </c>
      <c r="AQ2342">
        <f>HYPERLÄNK("http://localhost:8787/api/admin/requirements/documents/cmm4yun2p00awcuqwzeoe9qe9/view";"Öppna PDF")</f>
        <v/>
      </c>
      <c r="AR2342">
        <f>HYPERLINK("http://localhost:8787/api/admin/requirements/documents/cmm4yun2p00awcuqwzeoe9qe9/view","Open PDF")</f>
        <v/>
      </c>
      <c r="AS2342" t="inlineStr">
        <is>
          <t>cmm55w57p0004cuisfrtpqly8</t>
        </is>
      </c>
      <c r="AT2342" t="inlineStr">
        <is>
          <t>cmm4xvu980000cuh4vj0usz09</t>
        </is>
      </c>
      <c r="AU2342" t="inlineStr">
        <is>
          <t>pdf Karlstads</t>
        </is>
      </c>
      <c r="AV2342" t="inlineStr">
        <is>
          <t>Kommun</t>
        </is>
      </c>
      <c r="AW2342" t="inlineStr">
        <is>
          <t>pdf Karlstads kommun</t>
        </is>
      </c>
      <c r="AX2342" t="inlineStr">
        <is>
          <t>2024-04</t>
        </is>
      </c>
      <c r="AY2342" t="inlineStr">
        <is>
          <t>Beslut</t>
        </is>
      </c>
      <c r="AZ2342" t="inlineStr">
        <is>
          <t>2026-02-03</t>
        </is>
      </c>
      <c r="BA2342" t="inlineStr">
        <is>
          <t>Beslut Älvenäs.pdf</t>
        </is>
      </c>
      <c r="BB2342" t="inlineStr">
        <is>
          <t>Beslut Älvenäs</t>
        </is>
      </c>
      <c r="BC2342" t="inlineStr">
        <is>
          <t>AUTO</t>
        </is>
      </c>
      <c r="BD2342" t="inlineStr"/>
      <c r="BE2342" t="inlineStr"/>
      <c r="BF2342" t="inlineStr">
        <is>
          <t>AUTO_GENERERAD. Bekrafta metadata mot kallfil.</t>
        </is>
      </c>
      <c r="BG2342">
        <f>HYPERLINK("C:\Users\jimmy\Desktop\Examens arbete\Kod\Ny mapp\remix_-copy-of-miljöbeslut.se-portal\Beslut Älvenäs.pdf", "Öppna PDF")</f>
        <v/>
      </c>
    </row>
    <row r="2343">
      <c r="A2343" t="inlineStr">
        <is>
          <t>KRAV-AUTO-002342</t>
        </is>
      </c>
      <c r="B2343" t="inlineStr">
        <is>
          <t>ADMIN-INDEX-2026-02-27-00000000125C043F57453246863FE664CAFE6A3F0700950291EA24F0614FB6ACEDB12BF0E31D00000000010C0000950291EA24F0614FB6ACEDB12BF0E31D00002087B1CD0000</t>
        </is>
      </c>
      <c r="C2343" t="inlineStr">
        <is>
          <t>cmm4yun2m00atcuqwuhkm1gwg</t>
        </is>
      </c>
      <c r="D2343" t="inlineStr">
        <is>
          <t>http://localhost:8787/api/admin/requirements/documents/cmm4yun2m00atcuqwuhkm1gwg/view</t>
        </is>
      </c>
      <c r="E2343">
        <f>HYPERLÄNK("http://localhost:8787/api/admin/requirements/documents/cmm4yun2m00atcuqwuhkm1gwg/view";"Öppna PDF")</f>
        <v/>
      </c>
      <c r="F2343">
        <f>HYPERLINK("http://localhost:8787/api/admin/requirements/documents/cmm4yun2m00atcuqwuhkm1gwg/view","Open PDF")</f>
        <v/>
      </c>
      <c r="G2343" t="inlineStr">
        <is>
          <t>cmm55w57p0004cuisfrtpqly8</t>
        </is>
      </c>
      <c r="H2343" t="inlineStr">
        <is>
          <t>Beslutsvillkor</t>
        </is>
      </c>
      <c r="I2343" t="inlineStr">
        <is>
          <t>LagringsvolymTid</t>
        </is>
      </c>
      <c r="J2343" t="inlineStr">
        <is>
          <t>Maxmangd</t>
        </is>
      </c>
      <c r="K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L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M2343" t="inlineStr">
        <is>
          <t>SKA</t>
        </is>
      </c>
      <c r="N2343" t="inlineStr"/>
      <c r="O2343" t="inlineStr"/>
      <c r="P2343" t="inlineStr"/>
      <c r="Q2343" t="inlineStr"/>
      <c r="R2343" t="inlineStr">
        <is>
          <t>Alltid</t>
        </is>
      </c>
      <c r="S2343" t="inlineStr"/>
      <c r="T2343" t="inlineStr">
        <is>
          <t>88 63 89</t>
        </is>
      </c>
      <c r="U2343" t="inlineStr"/>
      <c r="V2343" t="inlineStr"/>
      <c r="W2343" t="inlineStr">
        <is>
          <t>Nej</t>
        </is>
      </c>
      <c r="X2343" t="inlineStr">
        <is>
          <t>Nej</t>
        </is>
      </c>
      <c r="Y2343" t="inlineStr">
        <is>
          <t>Nej</t>
        </is>
      </c>
      <c r="Z2343" t="inlineStr">
        <is>
          <t>Nej</t>
        </is>
      </c>
      <c r="AA2343" t="n">
        <v>4</v>
      </c>
      <c r="AB2343" t="inlineStr">
        <is>
          <t>Avfallsmangder och lagringstid</t>
        </is>
      </c>
      <c r="AC2343" t="inlineStr">
        <is>
          <t>Avfallsforteckning</t>
        </is>
      </c>
      <c r="AD2343" t="inlineStr">
        <is>
          <t>Nej</t>
        </is>
      </c>
      <c r="AE2343" t="inlineStr">
        <is>
          <t>Nej</t>
        </is>
      </c>
      <c r="AF2343" t="inlineStr">
        <is>
          <t>Ej behandlad</t>
        </is>
      </c>
      <c r="AG2343" t="inlineStr">
        <is>
          <t>AUTO_GENERERAD. Verifiera citat mot kallfil.</t>
        </is>
      </c>
      <c r="AH2343" t="inlineStr">
        <is>
          <t>MEDIUM</t>
        </is>
      </c>
      <c r="AI2343" t="inlineStr">
        <is>
          <t>AUTO</t>
        </is>
      </c>
      <c r="AJ2343" t="inlineStr">
        <is>
          <t>Nej</t>
        </is>
      </c>
      <c r="AK2343" t="inlineStr"/>
      <c r="AL2343" t="inlineStr"/>
      <c r="AM2343" t="inlineStr"/>
      <c r="AN2343" t="inlineStr"/>
      <c r="AO2343" t="inlineStr">
        <is>
          <t>cmm4yun2m00atcuqwuhkm1gwg</t>
        </is>
      </c>
      <c r="AP2343" t="inlineStr">
        <is>
          <t>http://localhost:8787/api/admin/requirements/documents/cmm4yun2m00atcuqwuhkm1gwg/view</t>
        </is>
      </c>
      <c r="AQ2343">
        <f>HYPERLÄNK("http://localhost:8787/api/admin/requirements/documents/cmm4yun2m00atcuqwuhkm1gwg/view";"Öppna PDF")</f>
        <v/>
      </c>
      <c r="AR2343">
        <f>HYPERLINK("http://localhost:8787/api/admin/requirements/documents/cmm4yun2m00atcuqwuhkm1gwg/view","Open PDF")</f>
        <v/>
      </c>
      <c r="AS2343" t="inlineStr">
        <is>
          <t>cmm55w57p0004cuisfrtpqly8</t>
        </is>
      </c>
      <c r="AT2343" t="inlineStr">
        <is>
          <t>cmm4xvu980000cuh4vj0usz09</t>
        </is>
      </c>
      <c r="AU2343" t="inlineStr">
        <is>
          <t>com Postadress Falkenbergs</t>
        </is>
      </c>
      <c r="AV2343" t="inlineStr">
        <is>
          <t>Kommun</t>
        </is>
      </c>
      <c r="AW2343" t="inlineStr">
        <is>
          <t>com Postadress Falkenbergs kommun</t>
        </is>
      </c>
      <c r="AX2343" t="inlineStr">
        <is>
          <t>2024-10</t>
        </is>
      </c>
      <c r="AY2343" t="inlineStr">
        <is>
          <t>Beslut</t>
        </is>
      </c>
      <c r="AZ2343" t="inlineStr">
        <is>
          <t>2026-02-03</t>
        </is>
      </c>
      <c r="BA2343" t="inlineStr">
        <is>
          <t>M-2024-2114_2024-09-27_Beslut (MHF MHN)_Vinberg 2 82.pdf</t>
        </is>
      </c>
      <c r="BB2343" t="inlineStr">
        <is>
          <t>Efterfrågade handlingar</t>
        </is>
      </c>
      <c r="BC2343" t="inlineStr">
        <is>
          <t>AUTO</t>
        </is>
      </c>
      <c r="BD2343" t="inlineStr"/>
      <c r="BE2343" t="inlineStr"/>
      <c r="BF2343" t="inlineStr">
        <is>
          <t>AUTO_GENERERAD. Bekrafta metadata mot kallfil.</t>
        </is>
      </c>
      <c r="BG2343">
        <f>HYPERLINK("C:\Users\jimmy\Desktop\Examens arbete\Kod\Ny mapp\remix_-copy-of-miljöbeslut.se-portal\M-2024-2114_2024-09-27_Beslut (MHF MHN)_Vinberg 2 82.pdf", "Öppna PDF")</f>
        <v/>
      </c>
    </row>
    <row r="2344">
      <c r="A2344" t="inlineStr">
        <is>
          <t>KRAV-AUTO-002343</t>
        </is>
      </c>
      <c r="B2344" t="inlineStr">
        <is>
          <t>ADMIN-INDEX-2026-02-27-00000000125C043F57453246863FE664CAFE6A3F0700950291EA24F0614FB6ACEDB12BF0E31D00000000010C0000950291EA24F0614FB6ACEDB12BF0E31D00002087B1CD0000</t>
        </is>
      </c>
      <c r="C2344" t="inlineStr">
        <is>
          <t>cmm4yun2m00atcuqwuhkm1gwg</t>
        </is>
      </c>
      <c r="D2344" t="inlineStr">
        <is>
          <t>http://localhost:8787/api/admin/requirements/documents/cmm4yun2m00atcuqwuhkm1gwg/view</t>
        </is>
      </c>
      <c r="E2344">
        <f>HYPERLÄNK("http://localhost:8787/api/admin/requirements/documents/cmm4yun2m00atcuqwuhkm1gwg/view";"Öppna PDF")</f>
        <v/>
      </c>
      <c r="F2344">
        <f>HYPERLINK("http://localhost:8787/api/admin/requirements/documents/cmm4yun2m00atcuqwuhkm1gwg/view","Open PDF")</f>
        <v/>
      </c>
      <c r="G2344" t="inlineStr">
        <is>
          <t>cmm55w57p0004cuisfrtpqly8</t>
        </is>
      </c>
      <c r="H2344" t="inlineStr">
        <is>
          <t>Beslutsvillkor</t>
        </is>
      </c>
      <c r="I2344" t="inlineStr">
        <is>
          <t>LagringsvolymTid</t>
        </is>
      </c>
      <c r="J2344" t="inlineStr">
        <is>
          <t>Maxmangd</t>
        </is>
      </c>
      <c r="K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 Besöksadress Stadshuset, Kuben Rådhustorget 3C Telefon 0346-88 60 00 E-post miljo.halsa@falkenberg.se Hemsida kommun.falkenberg.se Krav på redovisning av handlingsplan för bortskaffande av avfall Vinberg 2:82 Beslut Miljö- och hälsoskyddsförvaltningen beslutar att Heidelberg Materials Precast Abetong AB med org.nr.</t>
        </is>
      </c>
      <c r="L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t>
        </is>
      </c>
      <c r="M2344" t="inlineStr">
        <is>
          <t>SKA</t>
        </is>
      </c>
      <c r="N2344" t="inlineStr"/>
      <c r="O2344" t="inlineStr">
        <is>
          <t>2024-10-03</t>
        </is>
      </c>
      <c r="P2344" t="inlineStr"/>
      <c r="Q2344" t="inlineStr"/>
      <c r="R2344" t="inlineStr">
        <is>
          <t>Alltid</t>
        </is>
      </c>
      <c r="S2344" t="inlineStr"/>
      <c r="T2344" t="inlineStr">
        <is>
          <t>88 63 89</t>
        </is>
      </c>
      <c r="U2344" t="inlineStr"/>
      <c r="V2344" t="inlineStr"/>
      <c r="W2344" t="inlineStr">
        <is>
          <t>Nej</t>
        </is>
      </c>
      <c r="X2344" t="inlineStr">
        <is>
          <t>Nej</t>
        </is>
      </c>
      <c r="Y2344" t="inlineStr">
        <is>
          <t>Nej</t>
        </is>
      </c>
      <c r="Z2344" t="inlineStr">
        <is>
          <t>Nej</t>
        </is>
      </c>
      <c r="AA2344" t="n">
        <v>4</v>
      </c>
      <c r="AB2344" t="inlineStr">
        <is>
          <t>Avfallsmangder och lagringstid</t>
        </is>
      </c>
      <c r="AC2344" t="inlineStr">
        <is>
          <t>Avfallsforteckning</t>
        </is>
      </c>
      <c r="AD2344" t="inlineStr">
        <is>
          <t>Nej</t>
        </is>
      </c>
      <c r="AE2344" t="inlineStr">
        <is>
          <t>Nej</t>
        </is>
      </c>
      <c r="AF2344" t="inlineStr">
        <is>
          <t>Ej behandlad</t>
        </is>
      </c>
      <c r="AG2344" t="inlineStr">
        <is>
          <t>AUTO_GENERERAD. Verifiera citat mot kallfil.</t>
        </is>
      </c>
      <c r="AH2344" t="inlineStr">
        <is>
          <t>MEDIUM</t>
        </is>
      </c>
      <c r="AI2344" t="inlineStr">
        <is>
          <t>AUTO</t>
        </is>
      </c>
      <c r="AJ2344" t="inlineStr">
        <is>
          <t>Nej</t>
        </is>
      </c>
      <c r="AK2344" t="inlineStr"/>
      <c r="AL2344" t="inlineStr"/>
      <c r="AM2344" t="inlineStr"/>
      <c r="AN2344" t="inlineStr"/>
      <c r="AO2344" t="inlineStr">
        <is>
          <t>cmm4yun2m00atcuqwuhkm1gwg</t>
        </is>
      </c>
      <c r="AP2344" t="inlineStr">
        <is>
          <t>http://localhost:8787/api/admin/requirements/documents/cmm4yun2m00atcuqwuhkm1gwg/view</t>
        </is>
      </c>
      <c r="AQ2344">
        <f>HYPERLÄNK("http://localhost:8787/api/admin/requirements/documents/cmm4yun2m00atcuqwuhkm1gwg/view";"Öppna PDF")</f>
        <v/>
      </c>
      <c r="AR2344">
        <f>HYPERLINK("http://localhost:8787/api/admin/requirements/documents/cmm4yun2m00atcuqwuhkm1gwg/view","Open PDF")</f>
        <v/>
      </c>
      <c r="AS2344" t="inlineStr">
        <is>
          <t>cmm55w57p0004cuisfrtpqly8</t>
        </is>
      </c>
      <c r="AT2344" t="inlineStr">
        <is>
          <t>cmm4xvu980000cuh4vj0usz09</t>
        </is>
      </c>
      <c r="AU2344" t="inlineStr">
        <is>
          <t>com Postadress Falkenbergs</t>
        </is>
      </c>
      <c r="AV2344" t="inlineStr">
        <is>
          <t>Kommun</t>
        </is>
      </c>
      <c r="AW2344" t="inlineStr">
        <is>
          <t>com Postadress Falkenbergs kommun</t>
        </is>
      </c>
      <c r="AX2344" t="inlineStr">
        <is>
          <t>2024-10</t>
        </is>
      </c>
      <c r="AY2344" t="inlineStr">
        <is>
          <t>Beslut</t>
        </is>
      </c>
      <c r="AZ2344" t="inlineStr">
        <is>
          <t>2026-02-03</t>
        </is>
      </c>
      <c r="BA2344" t="inlineStr">
        <is>
          <t>M-2024-2114_2024-09-27_Beslut (MHF MHN)_Vinberg 2 82.pdf</t>
        </is>
      </c>
      <c r="BB2344" t="inlineStr">
        <is>
          <t>Efterfrågade handlingar</t>
        </is>
      </c>
      <c r="BC2344" t="inlineStr">
        <is>
          <t>AUTO</t>
        </is>
      </c>
      <c r="BD2344" t="inlineStr"/>
      <c r="BE2344" t="inlineStr"/>
      <c r="BF2344" t="inlineStr">
        <is>
          <t>AUTO_GENERERAD. Bekrafta metadata mot kallfil.</t>
        </is>
      </c>
      <c r="BG2344">
        <f>HYPERLINK("C:\Users\jimmy\Desktop\Examens arbete\Kod\Ny mapp\remix_-copy-of-miljöbeslut.se-portal\M-2024-2114_2024-09-27_Beslut (MHF MHN)_Vinberg 2 82.pdf", "Öppna PDF")</f>
        <v/>
      </c>
    </row>
    <row r="2345">
      <c r="A2345" t="inlineStr">
        <is>
          <t>KRAV-AUTO-002344</t>
        </is>
      </c>
      <c r="B2345" t="inlineStr">
        <is>
          <t>ADMIN-INDEX-2026-02-27-00000000125C043F57453246863FE664CAFE6A3F0700950291EA24F0614FB6ACEDB12BF0E31D00000000010C0000950291EA24F0614FB6ACEDB12BF0E31D00002087B1CD0000</t>
        </is>
      </c>
      <c r="C2345" t="inlineStr">
        <is>
          <t>cmm4yun2m00atcuqwuhkm1gwg</t>
        </is>
      </c>
      <c r="D2345" t="inlineStr">
        <is>
          <t>http://localhost:8787/api/admin/requirements/documents/cmm4yun2m00atcuqwuhkm1gwg/view</t>
        </is>
      </c>
      <c r="E2345">
        <f>HYPERLÄNK("http://localhost:8787/api/admin/requirements/documents/cmm4yun2m00atcuqwuhkm1gwg/view";"Öppna PDF")</f>
        <v/>
      </c>
      <c r="F2345">
        <f>HYPERLINK("http://localhost:8787/api/admin/requirements/documents/cmm4yun2m00atcuqwuhkm1gwg/view","Open PDF")</f>
        <v/>
      </c>
      <c r="G2345" t="inlineStr">
        <is>
          <t>cmm55w57p0004cuisfrtpqly8</t>
        </is>
      </c>
      <c r="H2345" t="inlineStr">
        <is>
          <t>Beslutsvillkor</t>
        </is>
      </c>
      <c r="I2345" t="inlineStr">
        <is>
          <t>MiljopaverkanForsiktighet</t>
        </is>
      </c>
      <c r="J2345" t="inlineStr">
        <is>
          <t>Skyddsatgarder</t>
        </is>
      </c>
      <c r="K2345" t="inlineStr">
        <is>
          <t>En upplagsplats för avfall som lagras i mer än tre år innan det återvinns eller i mer än ett år innan det bortskaffas är att betrakta som en deponi enligt 15 kap 5 a § i miljöbalken.</t>
        </is>
      </c>
      <c r="L2345" t="inlineStr">
        <is>
          <t>En upplagsplats för avfall som lagras i mer än tre år innan det återvinns eller i mer än ett år innan det bortskaffas är att betrakta som en deponi enligt 15 kap 5 a § i miljöbalken.</t>
        </is>
      </c>
      <c r="M2345" t="inlineStr">
        <is>
          <t>SKA</t>
        </is>
      </c>
      <c r="N2345" t="inlineStr">
        <is>
          <t>Miljobalken</t>
        </is>
      </c>
      <c r="O2345" t="inlineStr"/>
      <c r="P2345" t="inlineStr"/>
      <c r="Q2345" t="inlineStr"/>
      <c r="R2345" t="inlineStr">
        <is>
          <t>Alltid</t>
        </is>
      </c>
      <c r="S2345" t="inlineStr"/>
      <c r="T2345" t="inlineStr">
        <is>
          <t>88 63 89</t>
        </is>
      </c>
      <c r="U2345" t="inlineStr"/>
      <c r="V2345" t="inlineStr"/>
      <c r="W2345" t="inlineStr">
        <is>
          <t>Nej</t>
        </is>
      </c>
      <c r="X2345" t="inlineStr">
        <is>
          <t>Nej</t>
        </is>
      </c>
      <c r="Y2345" t="inlineStr">
        <is>
          <t>Nej</t>
        </is>
      </c>
      <c r="Z2345" t="inlineStr">
        <is>
          <t>Nej</t>
        </is>
      </c>
      <c r="AA2345" t="n">
        <v>10</v>
      </c>
      <c r="AB2345" t="inlineStr">
        <is>
          <t>Miljopaverkan och forsiktighetsmatt</t>
        </is>
      </c>
      <c r="AC2345" t="inlineStr">
        <is>
          <t>Miljo-PM</t>
        </is>
      </c>
      <c r="AD2345" t="inlineStr">
        <is>
          <t>Nej</t>
        </is>
      </c>
      <c r="AE2345" t="inlineStr">
        <is>
          <t>Nej</t>
        </is>
      </c>
      <c r="AF2345" t="inlineStr">
        <is>
          <t>Ej behandlad</t>
        </is>
      </c>
      <c r="AG2345" t="inlineStr">
        <is>
          <t>AUTO_GENERERAD. Verifiera citat mot kallfil.</t>
        </is>
      </c>
      <c r="AH2345" t="inlineStr">
        <is>
          <t>HIGH</t>
        </is>
      </c>
      <c r="AI2345" t="inlineStr">
        <is>
          <t>AUTO</t>
        </is>
      </c>
      <c r="AJ2345" t="inlineStr">
        <is>
          <t>Nej</t>
        </is>
      </c>
      <c r="AK2345" t="inlineStr"/>
      <c r="AL2345" t="inlineStr"/>
      <c r="AM2345" t="inlineStr"/>
      <c r="AN2345" t="inlineStr"/>
      <c r="AO2345" t="inlineStr">
        <is>
          <t>cmm4yun2m00atcuqwuhkm1gwg</t>
        </is>
      </c>
      <c r="AP2345" t="inlineStr">
        <is>
          <t>http://localhost:8787/api/admin/requirements/documents/cmm4yun2m00atcuqwuhkm1gwg/view</t>
        </is>
      </c>
      <c r="AQ2345">
        <f>HYPERLÄNK("http://localhost:8787/api/admin/requirements/documents/cmm4yun2m00atcuqwuhkm1gwg/view";"Öppna PDF")</f>
        <v/>
      </c>
      <c r="AR2345">
        <f>HYPERLINK("http://localhost:8787/api/admin/requirements/documents/cmm4yun2m00atcuqwuhkm1gwg/view","Open PDF")</f>
        <v/>
      </c>
      <c r="AS2345" t="inlineStr">
        <is>
          <t>cmm55w57p0004cuisfrtpqly8</t>
        </is>
      </c>
      <c r="AT2345" t="inlineStr">
        <is>
          <t>cmm4xvu980000cuh4vj0usz09</t>
        </is>
      </c>
      <c r="AU2345" t="inlineStr">
        <is>
          <t>com Postadress Falkenbergs</t>
        </is>
      </c>
      <c r="AV2345" t="inlineStr">
        <is>
          <t>Kommun</t>
        </is>
      </c>
      <c r="AW2345" t="inlineStr">
        <is>
          <t>com Postadress Falkenbergs kommun</t>
        </is>
      </c>
      <c r="AX2345" t="inlineStr">
        <is>
          <t>2024-10</t>
        </is>
      </c>
      <c r="AY2345" t="inlineStr">
        <is>
          <t>Beslut</t>
        </is>
      </c>
      <c r="AZ2345" t="inlineStr">
        <is>
          <t>2026-02-03</t>
        </is>
      </c>
      <c r="BA2345" t="inlineStr">
        <is>
          <t>M-2024-2114_2024-09-27_Beslut (MHF MHN)_Vinberg 2 82.pdf</t>
        </is>
      </c>
      <c r="BB2345" t="inlineStr">
        <is>
          <t>Efterfrågade handlingar</t>
        </is>
      </c>
      <c r="BC2345" t="inlineStr">
        <is>
          <t>AUTO</t>
        </is>
      </c>
      <c r="BD2345" t="inlineStr"/>
      <c r="BE2345" t="inlineStr"/>
      <c r="BF2345" t="inlineStr">
        <is>
          <t>AUTO_GENERERAD. Bekrafta metadata mot kallfil.</t>
        </is>
      </c>
      <c r="BG2345">
        <f>HYPERLINK("C:\Users\jimmy\Desktop\Examens arbete\Kod\Ny mapp\remix_-copy-of-miljöbeslut.se-portal\M-2024-2114_2024-09-27_Beslut (MHF MHN)_Vinberg 2 82.pdf", "Öppna PDF")</f>
        <v/>
      </c>
    </row>
    <row r="2346">
      <c r="A2346" t="inlineStr">
        <is>
          <t>KRAV-AUTO-002345</t>
        </is>
      </c>
      <c r="B2346" t="inlineStr">
        <is>
          <t>ADMIN-INDEX-2026-02-27-00000000125C043F57453246863FE664CAFE6A3F0700950291EA24F0614FB6ACEDB12BF0E31D00000000010C0000950291EA24F0614FB6ACEDB12BF0E31D00002087B1CD0000</t>
        </is>
      </c>
      <c r="C2346" t="inlineStr">
        <is>
          <t>cmm4yun2k00aqcuqwxbalrbv9</t>
        </is>
      </c>
      <c r="D2346" t="inlineStr">
        <is>
          <t>http://localhost:8787/api/admin/requirements/documents/cmm4yun2k00aqcuqwxbalrbv9/view</t>
        </is>
      </c>
      <c r="E2346">
        <f>HYPERLÄNK("http://localhost:8787/api/admin/requirements/documents/cmm4yun2k00aqcuqwxbalrbv9/view";"Öppna PDF")</f>
        <v/>
      </c>
      <c r="F2346">
        <f>HYPERLINK("http://localhost:8787/api/admin/requirements/documents/cmm4yun2k00aqcuqwxbalrbv9/view","Open PDF")</f>
        <v/>
      </c>
      <c r="G2346" t="inlineStr">
        <is>
          <t>cmm55w57p0004cuisfrtpqly8</t>
        </is>
      </c>
      <c r="H2346" t="inlineStr">
        <is>
          <t>Beslutsvillkor</t>
        </is>
      </c>
      <c r="I2346" t="inlineStr">
        <is>
          <t>MiljopaverkanForsiktighet</t>
        </is>
      </c>
      <c r="J2346" t="inlineStr">
        <is>
          <t>Skyddsatgarder</t>
        </is>
      </c>
      <c r="K2346" t="inlineStr">
        <is>
          <t>Massorna ska genomgå kontroll innan de används, och det innehåll som inte är klassat som fyllnadsmaterial, eller annat oönskat eller ej miljömässigt godtagbart avfallsinnehåll, ska sorteras ut och får inte användas i anläggningen.</t>
        </is>
      </c>
      <c r="L2346" t="inlineStr">
        <is>
          <t>Massorna ska genomgå kontroll innan de används, och det innehåll som inte är klassat som fyllnadsmaterial, eller annat oönskat eller ej miljömässigt godtagbart avfallsinnehåll, ska sorteras ut och får inte användas i anläggningen.</t>
        </is>
      </c>
      <c r="M2346" t="inlineStr">
        <is>
          <t>SKA</t>
        </is>
      </c>
      <c r="N2346" t="inlineStr"/>
      <c r="O2346" t="inlineStr"/>
      <c r="P2346" t="inlineStr"/>
      <c r="Q2346" t="inlineStr">
        <is>
          <t>Driftbegransning vid avvikelse</t>
        </is>
      </c>
      <c r="R2346" t="inlineStr">
        <is>
          <t>Alltid</t>
        </is>
      </c>
      <c r="S2346" t="inlineStr"/>
      <c r="T2346" t="inlineStr">
        <is>
          <t>88 63 89</t>
        </is>
      </c>
      <c r="U2346" t="inlineStr"/>
      <c r="V2346" t="inlineStr"/>
      <c r="W2346" t="inlineStr">
        <is>
          <t>Nej</t>
        </is>
      </c>
      <c r="X2346" t="inlineStr">
        <is>
          <t>Nej</t>
        </is>
      </c>
      <c r="Y2346" t="inlineStr">
        <is>
          <t>Nej</t>
        </is>
      </c>
      <c r="Z2346" t="inlineStr">
        <is>
          <t>Nej</t>
        </is>
      </c>
      <c r="AA2346" t="n">
        <v>10</v>
      </c>
      <c r="AB2346" t="inlineStr">
        <is>
          <t>Miljopaverkan och forsiktighetsmatt</t>
        </is>
      </c>
      <c r="AC2346" t="inlineStr">
        <is>
          <t>Miljo-PM</t>
        </is>
      </c>
      <c r="AD2346" t="inlineStr">
        <is>
          <t>Nej</t>
        </is>
      </c>
      <c r="AE2346" t="inlineStr">
        <is>
          <t>Nej</t>
        </is>
      </c>
      <c r="AF2346" t="inlineStr">
        <is>
          <t>Ej behandlad</t>
        </is>
      </c>
      <c r="AG2346" t="inlineStr">
        <is>
          <t>AUTO_GENERERAD. Verifiera citat mot kallfil.</t>
        </is>
      </c>
      <c r="AH2346" t="inlineStr">
        <is>
          <t>MEDIUM</t>
        </is>
      </c>
      <c r="AI2346" t="inlineStr">
        <is>
          <t>AUTO</t>
        </is>
      </c>
      <c r="AJ2346" t="inlineStr">
        <is>
          <t>Nej</t>
        </is>
      </c>
      <c r="AK2346" t="inlineStr"/>
      <c r="AL2346" t="inlineStr"/>
      <c r="AM2346" t="inlineStr"/>
      <c r="AN2346" t="inlineStr"/>
      <c r="AO2346" t="inlineStr">
        <is>
          <t>cmm4yun2m00atcuqwuhkm1gwg</t>
        </is>
      </c>
      <c r="AP2346" t="inlineStr">
        <is>
          <t>http://localhost:8787/api/admin/requirements/documents/cmm4yun2m00atcuqwuhkm1gwg/view</t>
        </is>
      </c>
      <c r="AQ2346">
        <f>HYPERLÄNK("http://localhost:8787/api/admin/requirements/documents/cmm4yun2m00atcuqwuhkm1gwg/view";"Öppna PDF")</f>
        <v/>
      </c>
      <c r="AR2346">
        <f>HYPERLINK("http://localhost:8787/api/admin/requirements/documents/cmm4yun2m00atcuqwuhkm1gwg/view","Open PDF")</f>
        <v/>
      </c>
      <c r="AS2346" t="inlineStr">
        <is>
          <t>cmm55w57p0004cuisfrtpqly8</t>
        </is>
      </c>
      <c r="AT2346" t="inlineStr">
        <is>
          <t>cmm4xvu980000cuh4vj0usz09</t>
        </is>
      </c>
      <c r="AU2346" t="inlineStr">
        <is>
          <t>com Postadress Falkenbergs</t>
        </is>
      </c>
      <c r="AV2346" t="inlineStr">
        <is>
          <t>Kommun</t>
        </is>
      </c>
      <c r="AW2346" t="inlineStr">
        <is>
          <t>com Postadress Falkenbergs kommun</t>
        </is>
      </c>
      <c r="AX2346" t="inlineStr">
        <is>
          <t>2024-10</t>
        </is>
      </c>
      <c r="AY2346" t="inlineStr">
        <is>
          <t>Beslut</t>
        </is>
      </c>
      <c r="AZ2346" t="inlineStr">
        <is>
          <t>2026-02-03</t>
        </is>
      </c>
      <c r="BA2346" t="inlineStr">
        <is>
          <t>M-2024-2114_2024-09-27_Beslut (MHF MHN)_Vinberg 2 82.pdf</t>
        </is>
      </c>
      <c r="BB2346" t="inlineStr">
        <is>
          <t>Efterfrågade handlingar</t>
        </is>
      </c>
      <c r="BC2346" t="inlineStr">
        <is>
          <t>AUTO</t>
        </is>
      </c>
      <c r="BD2346" t="inlineStr"/>
      <c r="BE2346" t="inlineStr"/>
      <c r="BF2346" t="inlineStr">
        <is>
          <t>AUTO_GENERERAD. Bekrafta metadata mot kallfil.</t>
        </is>
      </c>
      <c r="BG2346">
        <f>HYPERLINK("C:\Users\jimmy\Desktop\Examens arbete\Kod\Ny mapp\remix_-copy-of-miljöbeslut.se-portal\M-2024-2114_2024-09-27_Beslut (MHF MHN)_Vinberg 2 82.pdf", "Öppna PDF")</f>
        <v/>
      </c>
    </row>
    <row r="2347">
      <c r="A2347" t="inlineStr">
        <is>
          <t>KRAV-AUTO-002346</t>
        </is>
      </c>
      <c r="B2347" t="inlineStr">
        <is>
          <t>ADMIN-INDEX-2026-02-27-00000000125C043F57453246863FE664CAFE6A3F0700950291EA24F0614FB6ACEDB12BF0E31D00000000010C0000950291EA24F0614FB6ACEDB12BF0E31D00002087B1CD0000</t>
        </is>
      </c>
      <c r="C2347" t="inlineStr">
        <is>
          <t>cmm4yun2k00aqcuqwxbalrbv9</t>
        </is>
      </c>
      <c r="D2347" t="inlineStr">
        <is>
          <t>http://localhost:8787/api/admin/requirements/documents/cmm4yun2k00aqcuqwxbalrbv9/view</t>
        </is>
      </c>
      <c r="E2347">
        <f>HYPERLÄNK("http://localhost:8787/api/admin/requirements/documents/cmm4yun2k00aqcuqwxbalrbv9/view";"Öppna PDF")</f>
        <v/>
      </c>
      <c r="F2347">
        <f>HYPERLINK("http://localhost:8787/api/admin/requirements/documents/cmm4yun2k00aqcuqwxbalrbv9/view","Open PDF")</f>
        <v/>
      </c>
      <c r="G2347" t="inlineStr">
        <is>
          <t>cmm55w57p0004cuisfrtpqly8</t>
        </is>
      </c>
      <c r="H2347" t="inlineStr">
        <is>
          <t>Beslutsvillkor</t>
        </is>
      </c>
      <c r="I2347" t="inlineStr">
        <is>
          <t>MiljopaverkanForsiktighet</t>
        </is>
      </c>
      <c r="J2347" t="inlineStr">
        <is>
          <t>Skyddsatgarder</t>
        </is>
      </c>
      <c r="K2347" t="inlineStr">
        <is>
          <t>Enligt 27a § förordning om miljöfarlig verksamhet och hälsoskydd ska ett anmälningsärende gällande behandling av avfall innehålla ett föreläggande om bland annat vilka typer, mänger och metoder för behandling av avfallet som får förekomma.</t>
        </is>
      </c>
      <c r="L2347" t="inlineStr">
        <is>
          <t>Enligt 27a § förordning om miljöfarlig verksamhet och hälsoskydd ska ett anmälningsärende gällande behandling av avfall innehålla ett föreläggande om bland annat vilka typer, mänger och metoder för behandling av avfallet som får förekomma.</t>
        </is>
      </c>
      <c r="M2347" t="inlineStr">
        <is>
          <t>SKA</t>
        </is>
      </c>
      <c r="N2347" t="inlineStr">
        <is>
          <t>FMH</t>
        </is>
      </c>
      <c r="O2347" t="inlineStr"/>
      <c r="P2347" t="inlineStr">
        <is>
          <t>Arlig</t>
        </is>
      </c>
      <c r="Q2347" t="inlineStr">
        <is>
          <t>Forelaggande vid brist</t>
        </is>
      </c>
      <c r="R2347" t="inlineStr">
        <is>
          <t>Alltid</t>
        </is>
      </c>
      <c r="S2347" t="inlineStr"/>
      <c r="T2347" t="inlineStr">
        <is>
          <t>88 63 89</t>
        </is>
      </c>
      <c r="U2347" t="inlineStr"/>
      <c r="V2347" t="inlineStr"/>
      <c r="W2347" t="inlineStr">
        <is>
          <t>Nej</t>
        </is>
      </c>
      <c r="X2347" t="inlineStr">
        <is>
          <t>Nej</t>
        </is>
      </c>
      <c r="Y2347" t="inlineStr">
        <is>
          <t>Nej</t>
        </is>
      </c>
      <c r="Z2347" t="inlineStr">
        <is>
          <t>Nej</t>
        </is>
      </c>
      <c r="AA2347" t="n">
        <v>10</v>
      </c>
      <c r="AB2347" t="inlineStr">
        <is>
          <t>Miljopaverkan och forsiktighetsmatt</t>
        </is>
      </c>
      <c r="AC2347" t="inlineStr">
        <is>
          <t>Miljo-PM</t>
        </is>
      </c>
      <c r="AD2347" t="inlineStr">
        <is>
          <t>Nej</t>
        </is>
      </c>
      <c r="AE2347" t="inlineStr">
        <is>
          <t>Nej</t>
        </is>
      </c>
      <c r="AF2347" t="inlineStr">
        <is>
          <t>Ej behandlad</t>
        </is>
      </c>
      <c r="AG2347" t="inlineStr">
        <is>
          <t>AUTO_GENERERAD. Verifiera citat mot kallfil.</t>
        </is>
      </c>
      <c r="AH2347" t="inlineStr">
        <is>
          <t>HIGH</t>
        </is>
      </c>
      <c r="AI2347" t="inlineStr">
        <is>
          <t>AUTO</t>
        </is>
      </c>
      <c r="AJ2347" t="inlineStr">
        <is>
          <t>Nej</t>
        </is>
      </c>
      <c r="AK2347" t="inlineStr"/>
      <c r="AL2347" t="inlineStr"/>
      <c r="AM2347" t="inlineStr"/>
      <c r="AN2347" t="inlineStr"/>
      <c r="AO2347" t="inlineStr">
        <is>
          <t>cmm4yun2m00atcuqwuhkm1gwg</t>
        </is>
      </c>
      <c r="AP2347" t="inlineStr">
        <is>
          <t>http://localhost:8787/api/admin/requirements/documents/cmm4yun2m00atcuqwuhkm1gwg/view</t>
        </is>
      </c>
      <c r="AQ2347">
        <f>HYPERLÄNK("http://localhost:8787/api/admin/requirements/documents/cmm4yun2m00atcuqwuhkm1gwg/view";"Öppna PDF")</f>
        <v/>
      </c>
      <c r="AR2347">
        <f>HYPERLINK("http://localhost:8787/api/admin/requirements/documents/cmm4yun2m00atcuqwuhkm1gwg/view","Open PDF")</f>
        <v/>
      </c>
      <c r="AS2347" t="inlineStr">
        <is>
          <t>cmm55w57p0004cuisfrtpqly8</t>
        </is>
      </c>
      <c r="AT2347" t="inlineStr">
        <is>
          <t>cmm4xvu980000cuh4vj0usz09</t>
        </is>
      </c>
      <c r="AU2347" t="inlineStr">
        <is>
          <t>com Postadress Falkenbergs</t>
        </is>
      </c>
      <c r="AV2347" t="inlineStr">
        <is>
          <t>Kommun</t>
        </is>
      </c>
      <c r="AW2347" t="inlineStr">
        <is>
          <t>com Postadress Falkenbergs kommun</t>
        </is>
      </c>
      <c r="AX2347" t="inlineStr">
        <is>
          <t>2024-10</t>
        </is>
      </c>
      <c r="AY2347" t="inlineStr">
        <is>
          <t>Beslut</t>
        </is>
      </c>
      <c r="AZ2347" t="inlineStr">
        <is>
          <t>2026-02-03</t>
        </is>
      </c>
      <c r="BA2347" t="inlineStr">
        <is>
          <t>M-2024-2114_2024-09-27_Beslut (MHF MHN)_Vinberg 2 82.pdf</t>
        </is>
      </c>
      <c r="BB2347" t="inlineStr">
        <is>
          <t>Efterfrågade handlingar</t>
        </is>
      </c>
      <c r="BC2347" t="inlineStr">
        <is>
          <t>AUTO</t>
        </is>
      </c>
      <c r="BD2347" t="inlineStr"/>
      <c r="BE2347" t="inlineStr"/>
      <c r="BF2347" t="inlineStr">
        <is>
          <t>AUTO_GENERERAD. Bekrafta metadata mot kallfil.</t>
        </is>
      </c>
      <c r="BG2347">
        <f>HYPERLINK("C:\Users\jimmy\Desktop\Examens arbete\Kod\Ny mapp\remix_-copy-of-miljöbeslut.se-portal\M-2024-2114_2024-09-27_Beslut (MHF MHN)_Vinberg 2 82.pdf", "Öppna PDF")</f>
        <v/>
      </c>
    </row>
    <row r="2348">
      <c r="A2348" t="inlineStr">
        <is>
          <t>KRAV-AUTO-002347</t>
        </is>
      </c>
      <c r="B2348" t="inlineStr">
        <is>
          <t>ADMIN-INDEX-2026-02-27-00000000125C043F57453246863FE664CAFE6A3F0700950291EA24F0614FB6ACEDB12BF0E31D00000000010C0000950291EA24F0614FB6ACEDB12BF0E31D00002087B1CD0000</t>
        </is>
      </c>
      <c r="C2348" t="inlineStr">
        <is>
          <t>cmm4yun2k00aqcuqwxbalrbv9</t>
        </is>
      </c>
      <c r="D2348" t="inlineStr">
        <is>
          <t>http://localhost:8787/api/admin/requirements/documents/cmm4yun2k00aqcuqwxbalrbv9/view</t>
        </is>
      </c>
      <c r="E2348">
        <f>HYPERLÄNK("http://localhost:8787/api/admin/requirements/documents/cmm4yun2k00aqcuqwxbalrbv9/view";"Öppna PDF")</f>
        <v/>
      </c>
      <c r="F2348">
        <f>HYPERLINK("http://localhost:8787/api/admin/requirements/documents/cmm4yun2k00aqcuqwxbalrbv9/view","Open PDF")</f>
        <v/>
      </c>
      <c r="G2348" t="inlineStr">
        <is>
          <t>cmm55w57p0004cuisfrtpqly8</t>
        </is>
      </c>
      <c r="H2348" t="inlineStr">
        <is>
          <t>Beslutsvillkor</t>
        </is>
      </c>
      <c r="I2348" t="inlineStr">
        <is>
          <t>MiljopaverkanForsiktighet</t>
        </is>
      </c>
      <c r="J2348" t="inlineStr">
        <is>
          <t>Skyddsatgarder</t>
        </is>
      </c>
      <c r="K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348" t="inlineStr">
        <is>
          <t>SKA</t>
        </is>
      </c>
      <c r="N2348" t="inlineStr"/>
      <c r="O2348" t="inlineStr"/>
      <c r="P2348" t="inlineStr"/>
      <c r="Q2348" t="inlineStr">
        <is>
          <t>Forbud</t>
        </is>
      </c>
      <c r="R2348" t="inlineStr">
        <is>
          <t>Alltid</t>
        </is>
      </c>
      <c r="S2348" t="inlineStr"/>
      <c r="T2348" t="inlineStr">
        <is>
          <t>88 63 89</t>
        </is>
      </c>
      <c r="U2348" t="inlineStr"/>
      <c r="V2348" t="inlineStr"/>
      <c r="W2348" t="inlineStr">
        <is>
          <t>Nej</t>
        </is>
      </c>
      <c r="X2348" t="inlineStr">
        <is>
          <t>Nej</t>
        </is>
      </c>
      <c r="Y2348" t="inlineStr">
        <is>
          <t>Nej</t>
        </is>
      </c>
      <c r="Z2348" t="inlineStr">
        <is>
          <t>Nej</t>
        </is>
      </c>
      <c r="AA2348" t="n">
        <v>10</v>
      </c>
      <c r="AB2348" t="inlineStr">
        <is>
          <t>Miljopaverkan och forsiktighetsmatt</t>
        </is>
      </c>
      <c r="AC2348" t="inlineStr">
        <is>
          <t>Miljo-PM</t>
        </is>
      </c>
      <c r="AD2348" t="inlineStr">
        <is>
          <t>Nej</t>
        </is>
      </c>
      <c r="AE2348" t="inlineStr">
        <is>
          <t>Nej</t>
        </is>
      </c>
      <c r="AF2348" t="inlineStr">
        <is>
          <t>Ej behandlad</t>
        </is>
      </c>
      <c r="AG2348" t="inlineStr">
        <is>
          <t>AUTO_GENERERAD. Verifiera citat mot kallfil.</t>
        </is>
      </c>
      <c r="AH2348" t="inlineStr">
        <is>
          <t>MEDIUM</t>
        </is>
      </c>
      <c r="AI2348" t="inlineStr">
        <is>
          <t>AUTO</t>
        </is>
      </c>
      <c r="AJ2348" t="inlineStr">
        <is>
          <t>Nej</t>
        </is>
      </c>
      <c r="AK2348" t="inlineStr"/>
      <c r="AL2348" t="inlineStr"/>
      <c r="AM2348" t="inlineStr"/>
      <c r="AN2348" t="inlineStr"/>
      <c r="AO2348" t="inlineStr">
        <is>
          <t>cmm4yun2m00atcuqwuhkm1gwg</t>
        </is>
      </c>
      <c r="AP2348" t="inlineStr">
        <is>
          <t>http://localhost:8787/api/admin/requirements/documents/cmm4yun2m00atcuqwuhkm1gwg/view</t>
        </is>
      </c>
      <c r="AQ2348">
        <f>HYPERLÄNK("http://localhost:8787/api/admin/requirements/documents/cmm4yun2m00atcuqwuhkm1gwg/view";"Öppna PDF")</f>
        <v/>
      </c>
      <c r="AR2348">
        <f>HYPERLINK("http://localhost:8787/api/admin/requirements/documents/cmm4yun2m00atcuqwuhkm1gwg/view","Open PDF")</f>
        <v/>
      </c>
      <c r="AS2348" t="inlineStr">
        <is>
          <t>cmm55w57p0004cuisfrtpqly8</t>
        </is>
      </c>
      <c r="AT2348" t="inlineStr">
        <is>
          <t>cmm4xvu980000cuh4vj0usz09</t>
        </is>
      </c>
      <c r="AU2348" t="inlineStr">
        <is>
          <t>com Postadress Falkenbergs</t>
        </is>
      </c>
      <c r="AV2348" t="inlineStr">
        <is>
          <t>Kommun</t>
        </is>
      </c>
      <c r="AW2348" t="inlineStr">
        <is>
          <t>com Postadress Falkenbergs kommun</t>
        </is>
      </c>
      <c r="AX2348" t="inlineStr">
        <is>
          <t>2024-10</t>
        </is>
      </c>
      <c r="AY2348" t="inlineStr">
        <is>
          <t>Beslut</t>
        </is>
      </c>
      <c r="AZ2348" t="inlineStr">
        <is>
          <t>2026-02-03</t>
        </is>
      </c>
      <c r="BA2348" t="inlineStr">
        <is>
          <t>M-2024-2114_2024-09-27_Beslut (MHF MHN)_Vinberg 2 82.pdf</t>
        </is>
      </c>
      <c r="BB2348" t="inlineStr">
        <is>
          <t>Efterfrågade handlingar</t>
        </is>
      </c>
      <c r="BC2348" t="inlineStr">
        <is>
          <t>AUTO</t>
        </is>
      </c>
      <c r="BD2348" t="inlineStr"/>
      <c r="BE2348" t="inlineStr"/>
      <c r="BF2348" t="inlineStr">
        <is>
          <t>AUTO_GENERERAD. Bekrafta metadata mot kallfil.</t>
        </is>
      </c>
      <c r="BG2348">
        <f>HYPERLINK("C:\Users\jimmy\Desktop\Examens arbete\Kod\Ny mapp\remix_-copy-of-miljöbeslut.se-portal\M-2024-2114_2024-09-27_Beslut (MHF MHN)_Vinberg 2 82.pdf", "Öppna PDF")</f>
        <v/>
      </c>
    </row>
    <row r="2349">
      <c r="A2349" t="inlineStr">
        <is>
          <t>KRAV-AUTO-002348</t>
        </is>
      </c>
      <c r="B2349" t="inlineStr">
        <is>
          <t>ADMIN-INDEX-2026-02-27-00000000125C043F57453246863FE664CAFE6A3F0700950291EA24F0614FB6ACEDB12BF0E31D00000000010C0000950291EA24F0614FB6ACEDB12BF0E31D00002087B1CD0000</t>
        </is>
      </c>
      <c r="C2349" t="inlineStr">
        <is>
          <t>cmm4yun2000a5cuqwks4tk3ki</t>
        </is>
      </c>
      <c r="D2349" t="inlineStr">
        <is>
          <t>http://localhost:8787/api/admin/requirements/documents/cmm4yun2000a5cuqwks4tk3ki/view</t>
        </is>
      </c>
      <c r="E2349">
        <f>HYPERLÄNK("http://localhost:8787/api/admin/requirements/documents/cmm4yun2000a5cuqwks4tk3ki/view";"Öppna PDF")</f>
        <v/>
      </c>
      <c r="F2349">
        <f>HYPERLINK("http://localhost:8787/api/admin/requirements/documents/cmm4yun2000a5cuqwks4tk3ki/view","Open PDF")</f>
        <v/>
      </c>
      <c r="G2349" t="inlineStr">
        <is>
          <t>cmm55w57p0004cuisfrtpqly8</t>
        </is>
      </c>
      <c r="H2349" t="inlineStr">
        <is>
          <t>Beslutsvillkor</t>
        </is>
      </c>
      <c r="I2349" t="inlineStr">
        <is>
          <t>DriftEgenkontroll</t>
        </is>
      </c>
      <c r="J2349" t="inlineStr">
        <is>
          <t>Journalforing</t>
        </is>
      </c>
      <c r="K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Provtagningsfakta har lämnats av kund.</t>
        </is>
      </c>
      <c r="L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49" t="inlineStr">
        <is>
          <t>SKA</t>
        </is>
      </c>
      <c r="N2349" t="inlineStr"/>
      <c r="O2349" t="inlineStr">
        <is>
          <t>2024-12-06</t>
        </is>
      </c>
      <c r="P2349" t="inlineStr"/>
      <c r="Q2349" t="inlineStr">
        <is>
          <t>Vite</t>
        </is>
      </c>
      <c r="R2349" t="inlineStr">
        <is>
          <t>Lopande drift</t>
        </is>
      </c>
      <c r="S2349" t="inlineStr"/>
      <c r="T2349" t="inlineStr">
        <is>
          <t>254900</t>
        </is>
      </c>
      <c r="U2349" t="inlineStr"/>
      <c r="V2349" t="inlineStr"/>
      <c r="W2349" t="inlineStr">
        <is>
          <t>Nej</t>
        </is>
      </c>
      <c r="X2349" t="inlineStr">
        <is>
          <t>Nej</t>
        </is>
      </c>
      <c r="Y2349" t="inlineStr">
        <is>
          <t>Ja</t>
        </is>
      </c>
      <c r="Z2349" t="inlineStr">
        <is>
          <t>Nej</t>
        </is>
      </c>
      <c r="AA2349" t="n">
        <v>7</v>
      </c>
      <c r="AB2349" t="inlineStr">
        <is>
          <t>Egenkontrollrutiner</t>
        </is>
      </c>
      <c r="AC2349" t="inlineStr">
        <is>
          <t>Egenkontrollprogram</t>
        </is>
      </c>
      <c r="AD2349" t="inlineStr">
        <is>
          <t>Nej</t>
        </is>
      </c>
      <c r="AE2349" t="inlineStr">
        <is>
          <t>Nej</t>
        </is>
      </c>
      <c r="AF2349" t="inlineStr">
        <is>
          <t>Ej behandlad</t>
        </is>
      </c>
      <c r="AG2349" t="inlineStr">
        <is>
          <t>AUTO_GENERERAD. Verifiera citat mot kallfil.</t>
        </is>
      </c>
      <c r="AH2349" t="inlineStr">
        <is>
          <t>MEDIUM</t>
        </is>
      </c>
      <c r="AI2349" t="inlineStr">
        <is>
          <t>AUTO</t>
        </is>
      </c>
      <c r="AJ2349" t="inlineStr">
        <is>
          <t>Nej</t>
        </is>
      </c>
      <c r="AK2349" t="inlineStr"/>
      <c r="AL2349" t="inlineStr"/>
      <c r="AM2349" t="inlineStr"/>
      <c r="AN2349" t="inlineStr"/>
      <c r="AO2349" t="inlineStr">
        <is>
          <t>cmm4yun2m00atcuqwuhkm1gwg</t>
        </is>
      </c>
      <c r="AP2349" t="inlineStr">
        <is>
          <t>http://localhost:8787/api/admin/requirements/documents/cmm4yun2m00atcuqwuhkm1gwg/view</t>
        </is>
      </c>
      <c r="AQ2349">
        <f>HYPERLÄNK("http://localhost:8787/api/admin/requirements/documents/cmm4yun2m00atcuqwuhkm1gwg/view";"Öppna PDF")</f>
        <v/>
      </c>
      <c r="AR2349">
        <f>HYPERLINK("http://localhost:8787/api/admin/requirements/documents/cmm4yun2m00atcuqwuhkm1gwg/view","Open PDF")</f>
        <v/>
      </c>
      <c r="AS2349" t="inlineStr">
        <is>
          <t>cmm55w57p0004cuisfrtpqly8</t>
        </is>
      </c>
      <c r="AT2349" t="inlineStr">
        <is>
          <t>cmm4xvu980000cuh4vj0usz09</t>
        </is>
      </c>
      <c r="AU2349" t="inlineStr">
        <is>
          <t>com Postadress Falkenbergs</t>
        </is>
      </c>
      <c r="AV2349" t="inlineStr">
        <is>
          <t>Kommun</t>
        </is>
      </c>
      <c r="AW2349" t="inlineStr">
        <is>
          <t>com Postadress Falkenbergs kommun</t>
        </is>
      </c>
      <c r="AX2349" t="inlineStr">
        <is>
          <t>2024-10</t>
        </is>
      </c>
      <c r="AY2349" t="inlineStr">
        <is>
          <t>Beslut</t>
        </is>
      </c>
      <c r="AZ2349" t="inlineStr">
        <is>
          <t>2026-02-03</t>
        </is>
      </c>
      <c r="BA2349" t="inlineStr">
        <is>
          <t>M-2024-2114_2024-09-27_Beslut (MHF MHN)_Vinberg 2 82.pdf</t>
        </is>
      </c>
      <c r="BB2349" t="inlineStr">
        <is>
          <t>Efterfrågade handlingar</t>
        </is>
      </c>
      <c r="BC2349" t="inlineStr">
        <is>
          <t>AUTO</t>
        </is>
      </c>
      <c r="BD2349" t="inlineStr"/>
      <c r="BE2349" t="inlineStr"/>
      <c r="BF2349" t="inlineStr">
        <is>
          <t>AUTO_GENERERAD. Bekrafta metadata mot kallfil.</t>
        </is>
      </c>
      <c r="BG2349">
        <f>HYPERLINK("C:\Users\jimmy\Desktop\Examens arbete\Kod\Ny mapp\remix_-copy-of-miljöbeslut.se-portal\M-2024-2114_2024-09-27_Beslut (MHF MHN)_Vinberg 2 82.pdf", "Öppna PDF")</f>
        <v/>
      </c>
    </row>
    <row r="2350">
      <c r="A2350" t="inlineStr">
        <is>
          <t>KRAV-AUTO-002349</t>
        </is>
      </c>
      <c r="B2350" t="inlineStr">
        <is>
          <t>ADMIN-INDEX-2026-02-27-00000000125C043F57453246863FE664CAFE6A3F0700950291EA24F0614FB6ACEDB12BF0E31D00000000010C0000950291EA24F0614FB6ACEDB12BF0E31D00002087B1CD0000</t>
        </is>
      </c>
      <c r="C2350" t="inlineStr">
        <is>
          <t>cmm4yun2000a5cuqwks4tk3ki</t>
        </is>
      </c>
      <c r="D2350" t="inlineStr">
        <is>
          <t>http://localhost:8787/api/admin/requirements/documents/cmm4yun2000a5cuqwks4tk3ki/view</t>
        </is>
      </c>
      <c r="E2350">
        <f>HYPERLÄNK("http://localhost:8787/api/admin/requirements/documents/cmm4yun2000a5cuqwks4tk3ki/view";"Öppna PDF")</f>
        <v/>
      </c>
      <c r="F2350">
        <f>HYPERLINK("http://localhost:8787/api/admin/requirements/documents/cmm4yun2000a5cuqwks4tk3ki/view","Open PDF")</f>
        <v/>
      </c>
      <c r="G2350" t="inlineStr">
        <is>
          <t>cmm55w57p0004cuisfrtpqly8</t>
        </is>
      </c>
      <c r="H2350" t="inlineStr">
        <is>
          <t>Beslutsvillkor</t>
        </is>
      </c>
      <c r="I2350" t="inlineStr">
        <is>
          <t>DriftEgenkontroll</t>
        </is>
      </c>
      <c r="J2350" t="inlineStr">
        <is>
          <t>Journalforing</t>
        </is>
      </c>
      <c r="K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Laboratorieaktivitet startad : 2024-12-06 Provtagningsfakta har lämnats av kund.</t>
        </is>
      </c>
      <c r="L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
        </is>
      </c>
      <c r="M2350" t="inlineStr">
        <is>
          <t>SKA</t>
        </is>
      </c>
      <c r="N2350" t="inlineStr"/>
      <c r="O2350" t="inlineStr">
        <is>
          <t>2024-12-05</t>
        </is>
      </c>
      <c r="P2350" t="inlineStr"/>
      <c r="Q2350" t="inlineStr">
        <is>
          <t>Vite</t>
        </is>
      </c>
      <c r="R2350" t="inlineStr">
        <is>
          <t>Lopande drift</t>
        </is>
      </c>
      <c r="S2350" t="inlineStr"/>
      <c r="T2350" t="inlineStr">
        <is>
          <t>254900</t>
        </is>
      </c>
      <c r="U2350" t="inlineStr"/>
      <c r="V2350" t="inlineStr"/>
      <c r="W2350" t="inlineStr">
        <is>
          <t>Nej</t>
        </is>
      </c>
      <c r="X2350" t="inlineStr">
        <is>
          <t>Nej</t>
        </is>
      </c>
      <c r="Y2350" t="inlineStr">
        <is>
          <t>Ja</t>
        </is>
      </c>
      <c r="Z2350" t="inlineStr">
        <is>
          <t>Nej</t>
        </is>
      </c>
      <c r="AA2350" t="n">
        <v>7</v>
      </c>
      <c r="AB2350" t="inlineStr">
        <is>
          <t>Egenkontrollrutiner</t>
        </is>
      </c>
      <c r="AC2350" t="inlineStr">
        <is>
          <t>Egenkontrollprogram</t>
        </is>
      </c>
      <c r="AD2350" t="inlineStr">
        <is>
          <t>Nej</t>
        </is>
      </c>
      <c r="AE2350" t="inlineStr">
        <is>
          <t>Nej</t>
        </is>
      </c>
      <c r="AF2350" t="inlineStr">
        <is>
          <t>Ej behandlad</t>
        </is>
      </c>
      <c r="AG2350" t="inlineStr">
        <is>
          <t>AUTO_GENERERAD. Verifiera citat mot kallfil.</t>
        </is>
      </c>
      <c r="AH2350" t="inlineStr">
        <is>
          <t>MEDIUM</t>
        </is>
      </c>
      <c r="AI2350" t="inlineStr">
        <is>
          <t>AUTO</t>
        </is>
      </c>
      <c r="AJ2350" t="inlineStr">
        <is>
          <t>Nej</t>
        </is>
      </c>
      <c r="AK2350" t="inlineStr"/>
      <c r="AL2350" t="inlineStr"/>
      <c r="AM2350" t="inlineStr"/>
      <c r="AN2350" t="inlineStr"/>
      <c r="AO2350" t="inlineStr">
        <is>
          <t>cmm4yun2m00atcuqwuhkm1gwg</t>
        </is>
      </c>
      <c r="AP2350" t="inlineStr">
        <is>
          <t>http://localhost:8787/api/admin/requirements/documents/cmm4yun2m00atcuqwuhkm1gwg/view</t>
        </is>
      </c>
      <c r="AQ2350">
        <f>HYPERLÄNK("http://localhost:8787/api/admin/requirements/documents/cmm4yun2m00atcuqwuhkm1gwg/view";"Öppna PDF")</f>
        <v/>
      </c>
      <c r="AR2350">
        <f>HYPERLINK("http://localhost:8787/api/admin/requirements/documents/cmm4yun2m00atcuqwuhkm1gwg/view","Open PDF")</f>
        <v/>
      </c>
      <c r="AS2350" t="inlineStr">
        <is>
          <t>cmm55w57p0004cuisfrtpqly8</t>
        </is>
      </c>
      <c r="AT2350" t="inlineStr">
        <is>
          <t>cmm4xvu980000cuh4vj0usz09</t>
        </is>
      </c>
      <c r="AU2350" t="inlineStr">
        <is>
          <t>com Postadress Falkenbergs</t>
        </is>
      </c>
      <c r="AV2350" t="inlineStr">
        <is>
          <t>Kommun</t>
        </is>
      </c>
      <c r="AW2350" t="inlineStr">
        <is>
          <t>com Postadress Falkenbergs kommun</t>
        </is>
      </c>
      <c r="AX2350" t="inlineStr">
        <is>
          <t>2024-10</t>
        </is>
      </c>
      <c r="AY2350" t="inlineStr">
        <is>
          <t>Beslut</t>
        </is>
      </c>
      <c r="AZ2350" t="inlineStr">
        <is>
          <t>2026-02-03</t>
        </is>
      </c>
      <c r="BA2350" t="inlineStr">
        <is>
          <t>M-2024-2114_2024-09-27_Beslut (MHF MHN)_Vinberg 2 82.pdf</t>
        </is>
      </c>
      <c r="BB2350" t="inlineStr">
        <is>
          <t>Efterfrågade handlingar</t>
        </is>
      </c>
      <c r="BC2350" t="inlineStr">
        <is>
          <t>AUTO</t>
        </is>
      </c>
      <c r="BD2350" t="inlineStr"/>
      <c r="BE2350" t="inlineStr"/>
      <c r="BF2350" t="inlineStr">
        <is>
          <t>AUTO_GENERERAD. Bekrafta metadata mot kallfil.</t>
        </is>
      </c>
      <c r="BG2350">
        <f>HYPERLINK("C:\Users\jimmy\Desktop\Examens arbete\Kod\Ny mapp\remix_-copy-of-miljöbeslut.se-portal\M-2024-2114_2024-09-27_Beslut (MHF MHN)_Vinberg 2 82.pdf", "Öppna PDF")</f>
        <v/>
      </c>
    </row>
    <row r="2351">
      <c r="A2351" t="inlineStr">
        <is>
          <t>KRAV-AUTO-002350</t>
        </is>
      </c>
      <c r="B2351" t="inlineStr">
        <is>
          <t>ADMIN-INDEX-2026-02-27-00000000125C043F57453246863FE664CAFE6A3F0700950291EA24F0614FB6ACEDB12BF0E31D00000000010C0000950291EA24F0614FB6ACEDB12BF0E31D00002087B1CD0000</t>
        </is>
      </c>
      <c r="C2351" t="inlineStr">
        <is>
          <t>cmm4yun2000a5cuqwks4tk3ki</t>
        </is>
      </c>
      <c r="D2351" t="inlineStr">
        <is>
          <t>http://localhost:8787/api/admin/requirements/documents/cmm4yun2000a5cuqwks4tk3ki/view</t>
        </is>
      </c>
      <c r="E2351">
        <f>HYPERLÄNK("http://localhost:8787/api/admin/requirements/documents/cmm4yun2000a5cuqwks4tk3ki/view";"Öppna PDF")</f>
        <v/>
      </c>
      <c r="F2351">
        <f>HYPERLINK("http://localhost:8787/api/admin/requirements/documents/cmm4yun2000a5cuqwks4tk3ki/view","Open PDF")</f>
        <v/>
      </c>
      <c r="G2351" t="inlineStr">
        <is>
          <t>cmm55w57p0004cuisfrtpqly8</t>
        </is>
      </c>
      <c r="H2351" t="inlineStr">
        <is>
          <t>Beslutsvillkor</t>
        </is>
      </c>
      <c r="I2351" t="inlineStr">
        <is>
          <t>DriftEgenkontroll</t>
        </is>
      </c>
      <c r="J2351" t="inlineStr">
        <is>
          <t>Journalforing</t>
        </is>
      </c>
      <c r="K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Angiven mätosäkerhet är beräknad med täckningsfaktor k = 2.</t>
        </is>
      </c>
      <c r="L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51" t="inlineStr">
        <is>
          <t>SKA</t>
        </is>
      </c>
      <c r="N2351" t="inlineStr"/>
      <c r="O2351" t="inlineStr">
        <is>
          <t>2024-12-06</t>
        </is>
      </c>
      <c r="P2351" t="inlineStr"/>
      <c r="Q2351" t="inlineStr">
        <is>
          <t>Vite</t>
        </is>
      </c>
      <c r="R2351" t="inlineStr">
        <is>
          <t>Lopande drift</t>
        </is>
      </c>
      <c r="S2351" t="inlineStr"/>
      <c r="T2351" t="inlineStr">
        <is>
          <t>254900</t>
        </is>
      </c>
      <c r="U2351" t="inlineStr"/>
      <c r="V2351" t="inlineStr"/>
      <c r="W2351" t="inlineStr">
        <is>
          <t>Nej</t>
        </is>
      </c>
      <c r="X2351" t="inlineStr">
        <is>
          <t>Nej</t>
        </is>
      </c>
      <c r="Y2351" t="inlineStr">
        <is>
          <t>Ja</t>
        </is>
      </c>
      <c r="Z2351" t="inlineStr">
        <is>
          <t>Nej</t>
        </is>
      </c>
      <c r="AA2351" t="n">
        <v>7</v>
      </c>
      <c r="AB2351" t="inlineStr">
        <is>
          <t>Egenkontrollrutiner</t>
        </is>
      </c>
      <c r="AC2351" t="inlineStr">
        <is>
          <t>Egenkontrollprogram</t>
        </is>
      </c>
      <c r="AD2351" t="inlineStr">
        <is>
          <t>Nej</t>
        </is>
      </c>
      <c r="AE2351" t="inlineStr">
        <is>
          <t>Nej</t>
        </is>
      </c>
      <c r="AF2351" t="inlineStr">
        <is>
          <t>Ej behandlad</t>
        </is>
      </c>
      <c r="AG2351" t="inlineStr">
        <is>
          <t>AUTO_GENERERAD. Verifiera citat mot kallfil.</t>
        </is>
      </c>
      <c r="AH2351" t="inlineStr">
        <is>
          <t>MEDIUM</t>
        </is>
      </c>
      <c r="AI2351" t="inlineStr">
        <is>
          <t>AUTO</t>
        </is>
      </c>
      <c r="AJ2351" t="inlineStr">
        <is>
          <t>Nej</t>
        </is>
      </c>
      <c r="AK2351" t="inlineStr"/>
      <c r="AL2351" t="inlineStr"/>
      <c r="AM2351" t="inlineStr"/>
      <c r="AN2351" t="inlineStr"/>
      <c r="AO2351" t="inlineStr">
        <is>
          <t>cmm4yun2m00atcuqwuhkm1gwg</t>
        </is>
      </c>
      <c r="AP2351" t="inlineStr">
        <is>
          <t>http://localhost:8787/api/admin/requirements/documents/cmm4yun2m00atcuqwuhkm1gwg/view</t>
        </is>
      </c>
      <c r="AQ2351">
        <f>HYPERLÄNK("http://localhost:8787/api/admin/requirements/documents/cmm4yun2m00atcuqwuhkm1gwg/view";"Öppna PDF")</f>
        <v/>
      </c>
      <c r="AR2351">
        <f>HYPERLINK("http://localhost:8787/api/admin/requirements/documents/cmm4yun2m00atcuqwuhkm1gwg/view","Open PDF")</f>
        <v/>
      </c>
      <c r="AS2351" t="inlineStr">
        <is>
          <t>cmm55w57p0004cuisfrtpqly8</t>
        </is>
      </c>
      <c r="AT2351" t="inlineStr">
        <is>
          <t>cmm4xvu980000cuh4vj0usz09</t>
        </is>
      </c>
      <c r="AU2351" t="inlineStr">
        <is>
          <t>com Postadress Falkenbergs</t>
        </is>
      </c>
      <c r="AV2351" t="inlineStr">
        <is>
          <t>Kommun</t>
        </is>
      </c>
      <c r="AW2351" t="inlineStr">
        <is>
          <t>com Postadress Falkenbergs kommun</t>
        </is>
      </c>
      <c r="AX2351" t="inlineStr">
        <is>
          <t>2024-10</t>
        </is>
      </c>
      <c r="AY2351" t="inlineStr">
        <is>
          <t>Beslut</t>
        </is>
      </c>
      <c r="AZ2351" t="inlineStr">
        <is>
          <t>2026-02-03</t>
        </is>
      </c>
      <c r="BA2351" t="inlineStr">
        <is>
          <t>M-2024-2114_2024-09-27_Beslut (MHF MHN)_Vinberg 2 82.pdf</t>
        </is>
      </c>
      <c r="BB2351" t="inlineStr">
        <is>
          <t>Efterfrågade handlingar</t>
        </is>
      </c>
      <c r="BC2351" t="inlineStr">
        <is>
          <t>AUTO</t>
        </is>
      </c>
      <c r="BD2351" t="inlineStr"/>
      <c r="BE2351" t="inlineStr"/>
      <c r="BF2351" t="inlineStr">
        <is>
          <t>AUTO_GENERERAD. Bekrafta metadata mot kallfil.</t>
        </is>
      </c>
      <c r="BG2351">
        <f>HYPERLINK("C:\Users\jimmy\Desktop\Examens arbete\Kod\Ny mapp\remix_-copy-of-miljöbeslut.se-portal\M-2024-2114_2024-09-27_Beslut (MHF MHN)_Vinberg 2 82.pdf", "Öppna PDF")</f>
        <v/>
      </c>
    </row>
    <row r="2352">
      <c r="A2352" t="inlineStr">
        <is>
          <t>KRAV-AUTO-002351</t>
        </is>
      </c>
      <c r="B2352" t="inlineStr">
        <is>
          <t>ADMIN-INDEX-2026-02-27-00000000125C043F57453246863FE664CAFE6A3F0700950291EA24F0614FB6ACEDB12BF0E31D00000000010C0000950291EA24F0614FB6ACEDB12BF0E31D00002087B1CD0000</t>
        </is>
      </c>
      <c r="C2352" t="inlineStr">
        <is>
          <t>cmm4yun1x00a2cuqw7fz8h0sj</t>
        </is>
      </c>
      <c r="D2352" t="inlineStr">
        <is>
          <t>http://localhost:8787/api/admin/requirements/documents/cmm4yun1x00a2cuqw7fz8h0sj/view</t>
        </is>
      </c>
      <c r="E2352">
        <f>HYPERLÄNK("http://localhost:8787/api/admin/requirements/documents/cmm4yun1x00a2cuqw7fz8h0sj/view";"Öppna PDF")</f>
        <v/>
      </c>
      <c r="F2352">
        <f>HYPERLINK("http://localhost:8787/api/admin/requirements/documents/cmm4yun1x00a2cuqw7fz8h0sj/view","Open PDF")</f>
        <v/>
      </c>
      <c r="G2352" t="inlineStr">
        <is>
          <t>cmm55w57p0004cuisfrtpqly8</t>
        </is>
      </c>
      <c r="H2352" t="inlineStr">
        <is>
          <t>Informationskrav</t>
        </is>
      </c>
      <c r="I2352" t="inlineStr">
        <is>
          <t>LagringsvolymTid</t>
        </is>
      </c>
      <c r="J2352" t="inlineStr">
        <is>
          <t>Maxmangd</t>
        </is>
      </c>
      <c r="K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Adress Falkenbergsvägen 59 Postnummer 311 50 Ort Falkenberg E-post mwintvik@gmail.com Mobil 46708439330 Telefon 0708439330 Fakturamottagare Samma person som ovan Vem utför arbetet?</t>
        </is>
      </c>
      <c r="L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t>
        </is>
      </c>
      <c r="M2352" t="inlineStr">
        <is>
          <t>SKA</t>
        </is>
      </c>
      <c r="N2352" t="inlineStr"/>
      <c r="O2352" t="inlineStr">
        <is>
          <t>2025-09-03</t>
        </is>
      </c>
      <c r="P2352" t="inlineStr">
        <is>
          <t>Arlig</t>
        </is>
      </c>
      <c r="Q2352" t="inlineStr"/>
      <c r="R2352" t="inlineStr">
        <is>
          <t>Alltid</t>
        </is>
      </c>
      <c r="S2352" t="inlineStr"/>
      <c r="T2352" t="inlineStr">
        <is>
          <t>250903</t>
        </is>
      </c>
      <c r="U2352" t="inlineStr"/>
      <c r="V2352" t="inlineStr"/>
      <c r="W2352" t="inlineStr">
        <is>
          <t>Nej</t>
        </is>
      </c>
      <c r="X2352" t="inlineStr">
        <is>
          <t>Nej</t>
        </is>
      </c>
      <c r="Y2352" t="inlineStr">
        <is>
          <t>Nej</t>
        </is>
      </c>
      <c r="Z2352" t="inlineStr">
        <is>
          <t>Nej</t>
        </is>
      </c>
      <c r="AA2352" t="n">
        <v>4</v>
      </c>
      <c r="AB2352" t="inlineStr">
        <is>
          <t>Avfallsmangder och lagringstid</t>
        </is>
      </c>
      <c r="AC2352" t="inlineStr">
        <is>
          <t>Avfallsforteckning</t>
        </is>
      </c>
      <c r="AD2352" t="inlineStr">
        <is>
          <t>Nej</t>
        </is>
      </c>
      <c r="AE2352" t="inlineStr">
        <is>
          <t>Nej</t>
        </is>
      </c>
      <c r="AF2352" t="inlineStr">
        <is>
          <t>Ej behandlad</t>
        </is>
      </c>
      <c r="AG2352" t="inlineStr">
        <is>
          <t>AUTO_GENERERAD. Verifiera citat mot kallfil.</t>
        </is>
      </c>
      <c r="AH2352" t="inlineStr">
        <is>
          <t>MEDIUM</t>
        </is>
      </c>
      <c r="AI2352" t="inlineStr">
        <is>
          <t>AUTO</t>
        </is>
      </c>
      <c r="AJ2352" t="inlineStr">
        <is>
          <t>Nej</t>
        </is>
      </c>
      <c r="AK2352" t="inlineStr"/>
      <c r="AL2352" t="inlineStr"/>
      <c r="AM2352" t="inlineStr"/>
      <c r="AN2352" t="inlineStr"/>
      <c r="AO2352" t="inlineStr">
        <is>
          <t>cmm4yun2m00atcuqwuhkm1gwg</t>
        </is>
      </c>
      <c r="AP2352" t="inlineStr">
        <is>
          <t>http://localhost:8787/api/admin/requirements/documents/cmm4yun2m00atcuqwuhkm1gwg/view</t>
        </is>
      </c>
      <c r="AQ2352">
        <f>HYPERLÄNK("http://localhost:8787/api/admin/requirements/documents/cmm4yun2m00atcuqwuhkm1gwg/view";"Öppna PDF")</f>
        <v/>
      </c>
      <c r="AR2352">
        <f>HYPERLINK("http://localhost:8787/api/admin/requirements/documents/cmm4yun2m00atcuqwuhkm1gwg/view","Open PDF")</f>
        <v/>
      </c>
      <c r="AS2352" t="inlineStr">
        <is>
          <t>cmm55w57p0004cuisfrtpqly8</t>
        </is>
      </c>
      <c r="AT2352" t="inlineStr">
        <is>
          <t>cmm4xvu980000cuh4vj0usz09</t>
        </is>
      </c>
      <c r="AU2352" t="inlineStr">
        <is>
          <t>com Postadress Falkenbergs</t>
        </is>
      </c>
      <c r="AV2352" t="inlineStr">
        <is>
          <t>Kommun</t>
        </is>
      </c>
      <c r="AW2352" t="inlineStr">
        <is>
          <t>com Postadress Falkenbergs kommun</t>
        </is>
      </c>
      <c r="AX2352" t="inlineStr">
        <is>
          <t>2024-10</t>
        </is>
      </c>
      <c r="AY2352" t="inlineStr">
        <is>
          <t>Beslut</t>
        </is>
      </c>
      <c r="AZ2352" t="inlineStr">
        <is>
          <t>2026-02-03</t>
        </is>
      </c>
      <c r="BA2352" t="inlineStr">
        <is>
          <t>M-2024-2114_2024-09-27_Beslut (MHF MHN)_Vinberg 2 82.pdf</t>
        </is>
      </c>
      <c r="BB2352" t="inlineStr">
        <is>
          <t>Efterfrågade handlingar</t>
        </is>
      </c>
      <c r="BC2352" t="inlineStr">
        <is>
          <t>AUTO</t>
        </is>
      </c>
      <c r="BD2352" t="inlineStr"/>
      <c r="BE2352" t="inlineStr"/>
      <c r="BF2352" t="inlineStr">
        <is>
          <t>AUTO_GENERERAD. Bekrafta metadata mot kallfil.</t>
        </is>
      </c>
      <c r="BG2352">
        <f>HYPERLINK("C:\Users\jimmy\Desktop\Examens arbete\Kod\Ny mapp\remix_-copy-of-miljöbeslut.se-portal\M-2024-2114_2024-09-27_Beslut (MHF MHN)_Vinberg 2 82.pdf", "Öppna PDF")</f>
        <v/>
      </c>
    </row>
    <row r="2353">
      <c r="A2353" t="inlineStr">
        <is>
          <t>KRAV-AUTO-002352</t>
        </is>
      </c>
      <c r="B2353" t="inlineStr">
        <is>
          <t>ADMIN-INDEX-2026-02-27-00000000125C043F57453246863FE664CAFE6A3F0700950291EA24F0614FB6ACEDB12BF0E31D00000000010C0000950291EA24F0614FB6ACEDB12BF0E31D00002087B1CD0000</t>
        </is>
      </c>
      <c r="C2353" t="inlineStr">
        <is>
          <t>cmm4yun1u009zcuqwwzydnusm</t>
        </is>
      </c>
      <c r="D2353" t="inlineStr">
        <is>
          <t>http://localhost:8787/api/admin/requirements/documents/cmm4yun1u009zcuqwwzydnusm/view</t>
        </is>
      </c>
      <c r="E2353">
        <f>HYPERLÄNK("http://localhost:8787/api/admin/requirements/documents/cmm4yun1u009zcuqwwzydnusm/view";"Öppna PDF")</f>
        <v/>
      </c>
      <c r="F2353">
        <f>HYPERLINK("http://localhost:8787/api/admin/requirements/documents/cmm4yun1u009zcuqwwzydnusm/view","Open PDF")</f>
        <v/>
      </c>
      <c r="G2353" t="inlineStr">
        <is>
          <t>cmm55w57p0004cuisfrtpqly8</t>
        </is>
      </c>
      <c r="H2353" t="inlineStr">
        <is>
          <t>Beslutsvillkor</t>
        </is>
      </c>
      <c r="I2353" t="inlineStr">
        <is>
          <t>LagringsvolymTid</t>
        </is>
      </c>
      <c r="J2353" t="inlineStr">
        <is>
          <t>Maxmangd</t>
        </is>
      </c>
      <c r="K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Heidelberg Materials Precast Abetong AB:s anmälan om återvinning av icke-farligt avfall för anläggningsändamål.</t>
        </is>
      </c>
      <c r="L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t>
        </is>
      </c>
      <c r="M2353" t="inlineStr">
        <is>
          <t>SKA</t>
        </is>
      </c>
      <c r="N2353" t="inlineStr"/>
      <c r="O2353" t="inlineStr"/>
      <c r="P2353" t="inlineStr">
        <is>
          <t>Arlig</t>
        </is>
      </c>
      <c r="Q2353" t="inlineStr">
        <is>
          <t>Forbud</t>
        </is>
      </c>
      <c r="R2353" t="inlineStr">
        <is>
          <t>Alltid</t>
        </is>
      </c>
      <c r="S2353" t="inlineStr"/>
      <c r="T2353" t="inlineStr">
        <is>
          <t>88 50 42</t>
        </is>
      </c>
      <c r="U2353" t="inlineStr"/>
      <c r="V2353" t="inlineStr"/>
      <c r="W2353" t="inlineStr">
        <is>
          <t>Nej</t>
        </is>
      </c>
      <c r="X2353" t="inlineStr">
        <is>
          <t>Nej</t>
        </is>
      </c>
      <c r="Y2353" t="inlineStr">
        <is>
          <t>Nej</t>
        </is>
      </c>
      <c r="Z2353" t="inlineStr">
        <is>
          <t>Nej</t>
        </is>
      </c>
      <c r="AA2353" t="n">
        <v>4</v>
      </c>
      <c r="AB2353" t="inlineStr">
        <is>
          <t>Avfallsmangder och lagringstid</t>
        </is>
      </c>
      <c r="AC2353" t="inlineStr">
        <is>
          <t>Avfallsforteckning</t>
        </is>
      </c>
      <c r="AD2353" t="inlineStr">
        <is>
          <t>Nej</t>
        </is>
      </c>
      <c r="AE2353" t="inlineStr">
        <is>
          <t>Nej</t>
        </is>
      </c>
      <c r="AF2353" t="inlineStr">
        <is>
          <t>Ej behandlad</t>
        </is>
      </c>
      <c r="AG2353" t="inlineStr">
        <is>
          <t>AUTO_GENERERAD. Verifiera citat mot kallfil.</t>
        </is>
      </c>
      <c r="AH2353" t="inlineStr">
        <is>
          <t>MEDIUM</t>
        </is>
      </c>
      <c r="AI2353" t="inlineStr">
        <is>
          <t>AUTO</t>
        </is>
      </c>
      <c r="AJ2353" t="inlineStr">
        <is>
          <t>Nej</t>
        </is>
      </c>
      <c r="AK2353" t="inlineStr"/>
      <c r="AL2353" t="inlineStr"/>
      <c r="AM2353" t="inlineStr"/>
      <c r="AN2353" t="inlineStr"/>
      <c r="AO2353" t="inlineStr">
        <is>
          <t>cmm4yun2m00atcuqwuhkm1gwg</t>
        </is>
      </c>
      <c r="AP2353" t="inlineStr">
        <is>
          <t>http://localhost:8787/api/admin/requirements/documents/cmm4yun2m00atcuqwuhkm1gwg/view</t>
        </is>
      </c>
      <c r="AQ2353">
        <f>HYPERLÄNK("http://localhost:8787/api/admin/requirements/documents/cmm4yun2m00atcuqwuhkm1gwg/view";"Öppna PDF")</f>
        <v/>
      </c>
      <c r="AR2353">
        <f>HYPERLINK("http://localhost:8787/api/admin/requirements/documents/cmm4yun2m00atcuqwuhkm1gwg/view","Open PDF")</f>
        <v/>
      </c>
      <c r="AS2353" t="inlineStr">
        <is>
          <t>cmm55w57p0004cuisfrtpqly8</t>
        </is>
      </c>
      <c r="AT2353" t="inlineStr">
        <is>
          <t>cmm4xvu980000cuh4vj0usz09</t>
        </is>
      </c>
      <c r="AU2353" t="inlineStr">
        <is>
          <t>com Postadress Falkenbergs</t>
        </is>
      </c>
      <c r="AV2353" t="inlineStr">
        <is>
          <t>Kommun</t>
        </is>
      </c>
      <c r="AW2353" t="inlineStr">
        <is>
          <t>com Postadress Falkenbergs kommun</t>
        </is>
      </c>
      <c r="AX2353" t="inlineStr">
        <is>
          <t>2024-10</t>
        </is>
      </c>
      <c r="AY2353" t="inlineStr">
        <is>
          <t>Beslut</t>
        </is>
      </c>
      <c r="AZ2353" t="inlineStr">
        <is>
          <t>2026-02-03</t>
        </is>
      </c>
      <c r="BA2353" t="inlineStr">
        <is>
          <t>M-2024-2114_2024-09-27_Beslut (MHF MHN)_Vinberg 2 82.pdf</t>
        </is>
      </c>
      <c r="BB2353" t="inlineStr">
        <is>
          <t>Efterfrågade handlingar</t>
        </is>
      </c>
      <c r="BC2353" t="inlineStr">
        <is>
          <t>AUTO</t>
        </is>
      </c>
      <c r="BD2353" t="inlineStr"/>
      <c r="BE2353" t="inlineStr"/>
      <c r="BF2353" t="inlineStr">
        <is>
          <t>AUTO_GENERERAD. Bekrafta metadata mot kallfil.</t>
        </is>
      </c>
      <c r="BG2353">
        <f>HYPERLINK("C:\Users\jimmy\Desktop\Examens arbete\Kod\Ny mapp\remix_-copy-of-miljöbeslut.se-portal\M-2024-2114_2024-09-27_Beslut (MHF MHN)_Vinberg 2 82.pdf", "Öppna PDF")</f>
        <v/>
      </c>
    </row>
    <row r="2354">
      <c r="A2354" t="inlineStr">
        <is>
          <t>KRAV-AUTO-002353</t>
        </is>
      </c>
      <c r="B2354" t="inlineStr">
        <is>
          <t>ADMIN-INDEX-2026-02-27-00000000125C043F57453246863FE664CAFE6A3F0700950291EA24F0614FB6ACEDB12BF0E31D00000000010C0000950291EA24F0614FB6ACEDB12BF0E31D00002087B1CD0000</t>
        </is>
      </c>
      <c r="C2354" t="inlineStr">
        <is>
          <t>cmm4yun1u009zcuqwwzydnusm</t>
        </is>
      </c>
      <c r="D2354" t="inlineStr">
        <is>
          <t>http://localhost:8787/api/admin/requirements/documents/cmm4yun1u009zcuqwwzydnusm/view</t>
        </is>
      </c>
      <c r="E2354">
        <f>HYPERLÄNK("http://localhost:8787/api/admin/requirements/documents/cmm4yun1u009zcuqwwzydnusm/view";"Öppna PDF")</f>
        <v/>
      </c>
      <c r="F2354">
        <f>HYPERLINK("http://localhost:8787/api/admin/requirements/documents/cmm4yun1u009zcuqwwzydnusm/view","Open PDF")</f>
        <v/>
      </c>
      <c r="G2354" t="inlineStr">
        <is>
          <t>cmm55w57p0004cuisfrtpqly8</t>
        </is>
      </c>
      <c r="H2354" t="inlineStr">
        <is>
          <t>Beslutsvillkor</t>
        </is>
      </c>
      <c r="I2354" t="inlineStr">
        <is>
          <t>DagvattenLakvatten</t>
        </is>
      </c>
      <c r="J2354" t="inlineStr">
        <is>
          <t>Uppsamling</t>
        </is>
      </c>
      <c r="K2354" t="inlineStr">
        <is>
          <t>Verksamheten kompletterade med planerade åtgärder för att minska påverkan av dagvatten till området vid anläggandet av område D-E, samt en tidsplan för det hela anmälda projektet med start 19 april 2024 och senast klara vecka 26 samma år.</t>
        </is>
      </c>
      <c r="L2354" t="inlineStr">
        <is>
          <t>Verksamheten kompletterade med planerade åtgärder för att minska påverkan av dagvatten till området vid anläggandet av område D-E, samt en tidsplan för det hela anmälda projektet med start 19 april 2024 och senast klara vecka 26 samma år.</t>
        </is>
      </c>
      <c r="M2354" t="inlineStr">
        <is>
          <t>SKA</t>
        </is>
      </c>
      <c r="N2354" t="inlineStr"/>
      <c r="O2354" t="inlineStr">
        <is>
          <t>senast klara vecka 26 samma ar</t>
        </is>
      </c>
      <c r="P2354" t="inlineStr"/>
      <c r="Q2354" t="inlineStr"/>
      <c r="R2354" t="inlineStr">
        <is>
          <t>Vid nederbord och avrinning</t>
        </is>
      </c>
      <c r="S2354" t="inlineStr"/>
      <c r="T2354" t="inlineStr">
        <is>
          <t>88 50 42</t>
        </is>
      </c>
      <c r="U2354" t="inlineStr"/>
      <c r="V2354" t="inlineStr"/>
      <c r="W2354" t="inlineStr">
        <is>
          <t>Nej</t>
        </is>
      </c>
      <c r="X2354" t="inlineStr">
        <is>
          <t>Ja</t>
        </is>
      </c>
      <c r="Y2354" t="inlineStr">
        <is>
          <t>Ja</t>
        </is>
      </c>
      <c r="Z2354" t="inlineStr">
        <is>
          <t>Nej</t>
        </is>
      </c>
      <c r="AA2354" t="n">
        <v>6</v>
      </c>
      <c r="AB2354" t="inlineStr">
        <is>
          <t>Lakvattenhantering</t>
        </is>
      </c>
      <c r="AC2354" t="inlineStr">
        <is>
          <t>Flodesschema dagvatten-lakvatten</t>
        </is>
      </c>
      <c r="AD2354" t="inlineStr">
        <is>
          <t>Nej</t>
        </is>
      </c>
      <c r="AE2354" t="inlineStr">
        <is>
          <t>Nej</t>
        </is>
      </c>
      <c r="AF2354" t="inlineStr">
        <is>
          <t>Ej behandlad</t>
        </is>
      </c>
      <c r="AG2354" t="inlineStr">
        <is>
          <t>AUTO_GENERERAD. Verifiera citat mot kallfil.</t>
        </is>
      </c>
      <c r="AH2354" t="inlineStr">
        <is>
          <t>MEDIUM</t>
        </is>
      </c>
      <c r="AI2354" t="inlineStr">
        <is>
          <t>AUTO</t>
        </is>
      </c>
      <c r="AJ2354" t="inlineStr">
        <is>
          <t>Nej</t>
        </is>
      </c>
      <c r="AK2354" t="inlineStr"/>
      <c r="AL2354" t="inlineStr"/>
      <c r="AM2354" t="inlineStr"/>
      <c r="AN2354" t="inlineStr"/>
      <c r="AO2354" t="inlineStr">
        <is>
          <t>cmm4yun2m00atcuqwuhkm1gwg</t>
        </is>
      </c>
      <c r="AP2354" t="inlineStr">
        <is>
          <t>http://localhost:8787/api/admin/requirements/documents/cmm4yun2m00atcuqwuhkm1gwg/view</t>
        </is>
      </c>
      <c r="AQ2354">
        <f>HYPERLÄNK("http://localhost:8787/api/admin/requirements/documents/cmm4yun2m00atcuqwuhkm1gwg/view";"Öppna PDF")</f>
        <v/>
      </c>
      <c r="AR2354">
        <f>HYPERLINK("http://localhost:8787/api/admin/requirements/documents/cmm4yun2m00atcuqwuhkm1gwg/view","Open PDF")</f>
        <v/>
      </c>
      <c r="AS2354" t="inlineStr">
        <is>
          <t>cmm55w57p0004cuisfrtpqly8</t>
        </is>
      </c>
      <c r="AT2354" t="inlineStr">
        <is>
          <t>cmm4xvu980000cuh4vj0usz09</t>
        </is>
      </c>
      <c r="AU2354" t="inlineStr">
        <is>
          <t>com Postadress Falkenbergs</t>
        </is>
      </c>
      <c r="AV2354" t="inlineStr">
        <is>
          <t>Kommun</t>
        </is>
      </c>
      <c r="AW2354" t="inlineStr">
        <is>
          <t>com Postadress Falkenbergs kommun</t>
        </is>
      </c>
      <c r="AX2354" t="inlineStr">
        <is>
          <t>2024-10</t>
        </is>
      </c>
      <c r="AY2354" t="inlineStr">
        <is>
          <t>Beslut</t>
        </is>
      </c>
      <c r="AZ2354" t="inlineStr">
        <is>
          <t>2026-02-03</t>
        </is>
      </c>
      <c r="BA2354" t="inlineStr">
        <is>
          <t>M-2024-2114_2024-09-27_Beslut (MHF MHN)_Vinberg 2 82.pdf</t>
        </is>
      </c>
      <c r="BB2354" t="inlineStr">
        <is>
          <t>Efterfrågade handlingar</t>
        </is>
      </c>
      <c r="BC2354" t="inlineStr">
        <is>
          <t>AUTO</t>
        </is>
      </c>
      <c r="BD2354" t="inlineStr"/>
      <c r="BE2354" t="inlineStr"/>
      <c r="BF2354" t="inlineStr">
        <is>
          <t>AUTO_GENERERAD. Bekrafta metadata mot kallfil.</t>
        </is>
      </c>
      <c r="BG2354">
        <f>HYPERLINK("C:\Users\jimmy\Desktop\Examens arbete\Kod\Ny mapp\remix_-copy-of-miljöbeslut.se-portal\M-2024-2114_2024-09-27_Beslut (MHF MHN)_Vinberg 2 82.pdf", "Öppna PDF")</f>
        <v/>
      </c>
    </row>
    <row r="2355">
      <c r="A2355" t="inlineStr">
        <is>
          <t>KRAV-AUTO-002354</t>
        </is>
      </c>
      <c r="B2355" t="inlineStr">
        <is>
          <t>ADMIN-INDEX-2026-02-27-00000000125C043F57453246863FE664CAFE6A3F0700950291EA24F0614FB6ACEDB12BF0E31D00000000010C0000950291EA24F0614FB6ACEDB12BF0E31D00002087B1CD0000</t>
        </is>
      </c>
      <c r="C2355" t="inlineStr">
        <is>
          <t>cmm4yun1u009zcuqwwzydnusm</t>
        </is>
      </c>
      <c r="D2355" t="inlineStr">
        <is>
          <t>http://localhost:8787/api/admin/requirements/documents/cmm4yun1u009zcuqwwzydnusm/view</t>
        </is>
      </c>
      <c r="E2355">
        <f>HYPERLÄNK("http://localhost:8787/api/admin/requirements/documents/cmm4yun1u009zcuqwwzydnusm/view";"Öppna PDF")</f>
        <v/>
      </c>
      <c r="F2355">
        <f>HYPERLINK("http://localhost:8787/api/admin/requirements/documents/cmm4yun1u009zcuqwwzydnusm/view","Open PDF")</f>
        <v/>
      </c>
      <c r="G2355" t="inlineStr">
        <is>
          <t>cmm55w57p0004cuisfrtpqly8</t>
        </is>
      </c>
      <c r="H2355" t="inlineStr">
        <is>
          <t>Beslutsvillkor</t>
        </is>
      </c>
      <c r="I2355" t="inlineStr">
        <is>
          <t>LagringsvolymTid</t>
        </is>
      </c>
      <c r="J2355" t="inlineStr">
        <is>
          <t>Maxmangd</t>
        </is>
      </c>
      <c r="K2355" t="inlineStr">
        <is>
          <t>Följande områden får inte överskrida de mängder som uppgetts i anmälan: Område Beräkning Mängd avfall m3 B L= 11m, B= 10m, D= 1m.</t>
        </is>
      </c>
      <c r="L2355" t="inlineStr">
        <is>
          <t>Följande områden får inte överskrida de mängder som uppgetts i anmälan: Område Beräkning Mängd avfall m3 B L= 11m, B= 10m, D= 1m.</t>
        </is>
      </c>
      <c r="M2355" t="inlineStr">
        <is>
          <t>SKA</t>
        </is>
      </c>
      <c r="N2355" t="inlineStr"/>
      <c r="O2355" t="inlineStr"/>
      <c r="P2355" t="inlineStr"/>
      <c r="Q2355" t="inlineStr">
        <is>
          <t>Driftbegransning vid avvikelse</t>
        </is>
      </c>
      <c r="R2355" t="inlineStr">
        <is>
          <t>Alltid</t>
        </is>
      </c>
      <c r="S2355" t="inlineStr"/>
      <c r="T2355" t="inlineStr">
        <is>
          <t>88 50 42</t>
        </is>
      </c>
      <c r="U2355" t="inlineStr"/>
      <c r="V2355" t="inlineStr"/>
      <c r="W2355" t="inlineStr">
        <is>
          <t>Nej</t>
        </is>
      </c>
      <c r="X2355" t="inlineStr">
        <is>
          <t>Nej</t>
        </is>
      </c>
      <c r="Y2355" t="inlineStr">
        <is>
          <t>Nej</t>
        </is>
      </c>
      <c r="Z2355" t="inlineStr">
        <is>
          <t>Nej</t>
        </is>
      </c>
      <c r="AA2355" t="n">
        <v>4</v>
      </c>
      <c r="AB2355" t="inlineStr">
        <is>
          <t>Avfallsmangder och lagringstid</t>
        </is>
      </c>
      <c r="AC2355" t="inlineStr">
        <is>
          <t>Avfallsforteckning</t>
        </is>
      </c>
      <c r="AD2355" t="inlineStr">
        <is>
          <t>Nej</t>
        </is>
      </c>
      <c r="AE2355" t="inlineStr">
        <is>
          <t>Nej</t>
        </is>
      </c>
      <c r="AF2355" t="inlineStr">
        <is>
          <t>Ej behandlad</t>
        </is>
      </c>
      <c r="AG2355" t="inlineStr">
        <is>
          <t>AUTO_GENERERAD. Verifiera citat mot kallfil.</t>
        </is>
      </c>
      <c r="AH2355" t="inlineStr">
        <is>
          <t>MEDIUM</t>
        </is>
      </c>
      <c r="AI2355" t="inlineStr">
        <is>
          <t>AUTO</t>
        </is>
      </c>
      <c r="AJ2355" t="inlineStr">
        <is>
          <t>Nej</t>
        </is>
      </c>
      <c r="AK2355" t="inlineStr"/>
      <c r="AL2355" t="inlineStr"/>
      <c r="AM2355" t="inlineStr"/>
      <c r="AN2355" t="inlineStr"/>
      <c r="AO2355" t="inlineStr">
        <is>
          <t>cmm4yun2m00atcuqwuhkm1gwg</t>
        </is>
      </c>
      <c r="AP2355" t="inlineStr">
        <is>
          <t>http://localhost:8787/api/admin/requirements/documents/cmm4yun2m00atcuqwuhkm1gwg/view</t>
        </is>
      </c>
      <c r="AQ2355">
        <f>HYPERLÄNK("http://localhost:8787/api/admin/requirements/documents/cmm4yun2m00atcuqwuhkm1gwg/view";"Öppna PDF")</f>
        <v/>
      </c>
      <c r="AR2355">
        <f>HYPERLINK("http://localhost:8787/api/admin/requirements/documents/cmm4yun2m00atcuqwuhkm1gwg/view","Open PDF")</f>
        <v/>
      </c>
      <c r="AS2355" t="inlineStr">
        <is>
          <t>cmm55w57p0004cuisfrtpqly8</t>
        </is>
      </c>
      <c r="AT2355" t="inlineStr">
        <is>
          <t>cmm4xvu980000cuh4vj0usz09</t>
        </is>
      </c>
      <c r="AU2355" t="inlineStr">
        <is>
          <t>com Postadress Falkenbergs</t>
        </is>
      </c>
      <c r="AV2355" t="inlineStr">
        <is>
          <t>Kommun</t>
        </is>
      </c>
      <c r="AW2355" t="inlineStr">
        <is>
          <t>com Postadress Falkenbergs kommun</t>
        </is>
      </c>
      <c r="AX2355" t="inlineStr">
        <is>
          <t>2024-10</t>
        </is>
      </c>
      <c r="AY2355" t="inlineStr">
        <is>
          <t>Beslut</t>
        </is>
      </c>
      <c r="AZ2355" t="inlineStr">
        <is>
          <t>2026-02-03</t>
        </is>
      </c>
      <c r="BA2355" t="inlineStr">
        <is>
          <t>M-2024-2114_2024-09-27_Beslut (MHF MHN)_Vinberg 2 82.pdf</t>
        </is>
      </c>
      <c r="BB2355" t="inlineStr">
        <is>
          <t>Efterfrågade handlingar</t>
        </is>
      </c>
      <c r="BC2355" t="inlineStr">
        <is>
          <t>AUTO</t>
        </is>
      </c>
      <c r="BD2355" t="inlineStr"/>
      <c r="BE2355" t="inlineStr"/>
      <c r="BF2355" t="inlineStr">
        <is>
          <t>AUTO_GENERERAD. Bekrafta metadata mot kallfil.</t>
        </is>
      </c>
      <c r="BG2355">
        <f>HYPERLINK("C:\Users\jimmy\Desktop\Examens arbete\Kod\Ny mapp\remix_-copy-of-miljöbeslut.se-portal\M-2024-2114_2024-09-27_Beslut (MHF MHN)_Vinberg 2 82.pdf", "Öppna PDF")</f>
        <v/>
      </c>
    </row>
    <row r="2356">
      <c r="A2356" t="inlineStr">
        <is>
          <t>KRAV-AUTO-002355</t>
        </is>
      </c>
      <c r="B2356" t="inlineStr">
        <is>
          <t>ADMIN-INDEX-2026-02-27-00000000125C043F57453246863FE664CAFE6A3F0700950291EA24F0614FB6ACEDB12BF0E31D00000000010C0000950291EA24F0614FB6ACEDB12BF0E31D00002087B1CD0000</t>
        </is>
      </c>
      <c r="C2356" t="inlineStr">
        <is>
          <t>cmm4yun1p009tcuqwhuirfd9u</t>
        </is>
      </c>
      <c r="D2356" t="inlineStr">
        <is>
          <t>http://localhost:8787/api/admin/requirements/documents/cmm4yun1p009tcuqwhuirfd9u/view</t>
        </is>
      </c>
      <c r="E2356">
        <f>HYPERLÄNK("http://localhost:8787/api/admin/requirements/documents/cmm4yun1p009tcuqwhuirfd9u/view";"Öppna PDF")</f>
        <v/>
      </c>
      <c r="F2356">
        <f>HYPERLINK("http://localhost:8787/api/admin/requirements/documents/cmm4yun1p009tcuqwhuirfd9u/view","Open PDF")</f>
        <v/>
      </c>
      <c r="G2356" t="inlineStr">
        <is>
          <t>cmm55w57p0004cuisfrtpqly8</t>
        </is>
      </c>
      <c r="H2356" t="inlineStr">
        <is>
          <t>Informationskrav</t>
        </is>
      </c>
      <c r="I2356" t="inlineStr">
        <is>
          <t>MiljopaverkanForsiktighet</t>
        </is>
      </c>
      <c r="J2356" t="inlineStr">
        <is>
          <t>Skyddsatgarder</t>
        </is>
      </c>
      <c r="K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backa in i parkeringsrutan jag med.</t>
        </is>
      </c>
      <c r="L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is>
      </c>
      <c r="M2356" t="inlineStr">
        <is>
          <t>SKA</t>
        </is>
      </c>
      <c r="N2356" t="inlineStr"/>
      <c r="O2356" t="inlineStr"/>
      <c r="P2356" t="inlineStr"/>
      <c r="Q2356" t="inlineStr"/>
      <c r="R2356" t="inlineStr">
        <is>
          <t>Alltid</t>
        </is>
      </c>
      <c r="S2356" t="inlineStr"/>
      <c r="T2356" t="inlineStr">
        <is>
          <t>2024 10</t>
        </is>
      </c>
      <c r="U2356" t="inlineStr"/>
      <c r="V2356" t="inlineStr"/>
      <c r="W2356" t="inlineStr">
        <is>
          <t>Nej</t>
        </is>
      </c>
      <c r="X2356" t="inlineStr">
        <is>
          <t>Nej</t>
        </is>
      </c>
      <c r="Y2356" t="inlineStr">
        <is>
          <t>Nej</t>
        </is>
      </c>
      <c r="Z2356" t="inlineStr">
        <is>
          <t>Nej</t>
        </is>
      </c>
      <c r="AA2356" t="n">
        <v>10</v>
      </c>
      <c r="AB2356" t="inlineStr">
        <is>
          <t>Miljopaverkan och forsiktighetsmatt</t>
        </is>
      </c>
      <c r="AC2356" t="inlineStr">
        <is>
          <t>Miljo-PM</t>
        </is>
      </c>
      <c r="AD2356" t="inlineStr">
        <is>
          <t>Nej</t>
        </is>
      </c>
      <c r="AE2356" t="inlineStr">
        <is>
          <t>Nej</t>
        </is>
      </c>
      <c r="AF2356" t="inlineStr">
        <is>
          <t>Ej behandlad</t>
        </is>
      </c>
      <c r="AG2356" t="inlineStr">
        <is>
          <t>AUTO_GENERERAD. Verifiera citat mot kallfil.</t>
        </is>
      </c>
      <c r="AH2356" t="inlineStr">
        <is>
          <t>MEDIUM</t>
        </is>
      </c>
      <c r="AI2356" t="inlineStr">
        <is>
          <t>AUTO</t>
        </is>
      </c>
      <c r="AJ2356" t="inlineStr">
        <is>
          <t>Nej</t>
        </is>
      </c>
      <c r="AK2356" t="inlineStr"/>
      <c r="AL2356" t="inlineStr"/>
      <c r="AM2356" t="inlineStr"/>
      <c r="AN2356" t="inlineStr"/>
      <c r="AO2356" t="inlineStr">
        <is>
          <t>cmm4yun2m00atcuqwuhkm1gwg</t>
        </is>
      </c>
      <c r="AP2356" t="inlineStr">
        <is>
          <t>http://localhost:8787/api/admin/requirements/documents/cmm4yun2m00atcuqwuhkm1gwg/view</t>
        </is>
      </c>
      <c r="AQ2356">
        <f>HYPERLÄNK("http://localhost:8787/api/admin/requirements/documents/cmm4yun2m00atcuqwuhkm1gwg/view";"Öppna PDF")</f>
        <v/>
      </c>
      <c r="AR2356">
        <f>HYPERLINK("http://localhost:8787/api/admin/requirements/documents/cmm4yun2m00atcuqwuhkm1gwg/view","Open PDF")</f>
        <v/>
      </c>
      <c r="AS2356" t="inlineStr">
        <is>
          <t>cmm55w57p0004cuisfrtpqly8</t>
        </is>
      </c>
      <c r="AT2356" t="inlineStr">
        <is>
          <t>cmm4xvu980000cuh4vj0usz09</t>
        </is>
      </c>
      <c r="AU2356" t="inlineStr">
        <is>
          <t>com Postadress Falkenbergs</t>
        </is>
      </c>
      <c r="AV2356" t="inlineStr">
        <is>
          <t>Kommun</t>
        </is>
      </c>
      <c r="AW2356" t="inlineStr">
        <is>
          <t>com Postadress Falkenbergs kommun</t>
        </is>
      </c>
      <c r="AX2356" t="inlineStr">
        <is>
          <t>2024-10</t>
        </is>
      </c>
      <c r="AY2356" t="inlineStr">
        <is>
          <t>Beslut</t>
        </is>
      </c>
      <c r="AZ2356" t="inlineStr">
        <is>
          <t>2026-02-03</t>
        </is>
      </c>
      <c r="BA2356" t="inlineStr">
        <is>
          <t>M-2024-2114_2024-09-27_Beslut (MHF MHN)_Vinberg 2 82.pdf</t>
        </is>
      </c>
      <c r="BB2356" t="inlineStr">
        <is>
          <t>Efterfrågade handlingar</t>
        </is>
      </c>
      <c r="BC2356" t="inlineStr">
        <is>
          <t>AUTO</t>
        </is>
      </c>
      <c r="BD2356" t="inlineStr"/>
      <c r="BE2356" t="inlineStr"/>
      <c r="BF2356" t="inlineStr">
        <is>
          <t>AUTO_GENERERAD. Bekrafta metadata mot kallfil.</t>
        </is>
      </c>
      <c r="BG2356">
        <f>HYPERLINK("C:\Users\jimmy\Desktop\Examens arbete\Kod\Ny mapp\remix_-copy-of-miljöbeslut.se-portal\M-2024-2114_2024-09-27_Beslut (MHF MHN)_Vinberg 2 82.pdf", "Öppna PDF")</f>
        <v/>
      </c>
    </row>
    <row r="2357">
      <c r="A2357" t="inlineStr">
        <is>
          <t>KRAV-AUTO-002356</t>
        </is>
      </c>
      <c r="B2357" t="inlineStr">
        <is>
          <t>ADMIN-INDEX-2026-02-27-00000000125C043F57453246863FE664CAFE6A3F0700950291EA24F0614FB6ACEDB12BF0E31D00000000010C0000950291EA24F0614FB6ACEDB12BF0E31D00002087B1CD0000</t>
        </is>
      </c>
      <c r="C2357" t="inlineStr">
        <is>
          <t>cmm4yun1i009ncuqwivhz0hgk</t>
        </is>
      </c>
      <c r="D2357" t="inlineStr">
        <is>
          <t>http://localhost:8787/api/admin/requirements/documents/cmm4yun1i009ncuqwivhz0hgk/view</t>
        </is>
      </c>
      <c r="E2357">
        <f>HYPERLÄNK("http://localhost:8787/api/admin/requirements/documents/cmm4yun1i009ncuqwivhz0hgk/view";"Öppna PDF")</f>
        <v/>
      </c>
      <c r="F2357">
        <f>HYPERLINK("http://localhost:8787/api/admin/requirements/documents/cmm4yun1i009ncuqwivhz0hgk/view","Open PDF")</f>
        <v/>
      </c>
      <c r="G2357" t="inlineStr">
        <is>
          <t>cmm55w57p0004cuisfrtpqly8</t>
        </is>
      </c>
      <c r="H2357" t="inlineStr">
        <is>
          <t>Beslutsvillkor</t>
        </is>
      </c>
      <c r="I2357" t="inlineStr">
        <is>
          <t>LagringsvolymTid</t>
        </is>
      </c>
      <c r="J2357" t="inlineStr">
        <is>
          <t>Maxmangd</t>
        </is>
      </c>
      <c r="K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Falkenbergs Konvertering AB Vindakersvägen Rörväg</t>
        </is>
      </c>
      <c r="L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t>
        </is>
      </c>
      <c r="M2357" t="inlineStr">
        <is>
          <t>SKA</t>
        </is>
      </c>
      <c r="N2357" t="inlineStr"/>
      <c r="O2357" t="inlineStr">
        <is>
          <t>2024-03-15</t>
        </is>
      </c>
      <c r="P2357" t="inlineStr"/>
      <c r="Q2357" t="inlineStr"/>
      <c r="R2357" t="inlineStr">
        <is>
          <t>Alltid</t>
        </is>
      </c>
      <c r="S2357" t="inlineStr"/>
      <c r="T2357" t="inlineStr"/>
      <c r="U2357" t="inlineStr"/>
      <c r="V2357" t="inlineStr"/>
      <c r="W2357" t="inlineStr">
        <is>
          <t>Nej</t>
        </is>
      </c>
      <c r="X2357" t="inlineStr">
        <is>
          <t>Nej</t>
        </is>
      </c>
      <c r="Y2357" t="inlineStr">
        <is>
          <t>Nej</t>
        </is>
      </c>
      <c r="Z2357" t="inlineStr">
        <is>
          <t>Nej</t>
        </is>
      </c>
      <c r="AA2357" t="n">
        <v>4</v>
      </c>
      <c r="AB2357" t="inlineStr">
        <is>
          <t>Avfallsmangder och lagringstid</t>
        </is>
      </c>
      <c r="AC2357" t="inlineStr">
        <is>
          <t>Avfallsforteckning</t>
        </is>
      </c>
      <c r="AD2357" t="inlineStr">
        <is>
          <t>Nej</t>
        </is>
      </c>
      <c r="AE2357" t="inlineStr">
        <is>
          <t>Nej</t>
        </is>
      </c>
      <c r="AF2357" t="inlineStr">
        <is>
          <t>Ej behandlad</t>
        </is>
      </c>
      <c r="AG2357" t="inlineStr">
        <is>
          <t>AUTO_GENERERAD. Verifiera citat mot kallfil.</t>
        </is>
      </c>
      <c r="AH2357" t="inlineStr">
        <is>
          <t>MEDIUM</t>
        </is>
      </c>
      <c r="AI2357" t="inlineStr">
        <is>
          <t>AUTO</t>
        </is>
      </c>
      <c r="AJ2357" t="inlineStr">
        <is>
          <t>Nej</t>
        </is>
      </c>
      <c r="AK2357" t="inlineStr"/>
      <c r="AL2357" t="inlineStr"/>
      <c r="AM2357" t="inlineStr"/>
      <c r="AN2357" t="inlineStr"/>
      <c r="AO2357" t="inlineStr">
        <is>
          <t>cmm4yun2m00atcuqwuhkm1gwg</t>
        </is>
      </c>
      <c r="AP2357" t="inlineStr">
        <is>
          <t>http://localhost:8787/api/admin/requirements/documents/cmm4yun2m00atcuqwuhkm1gwg/view</t>
        </is>
      </c>
      <c r="AQ2357">
        <f>HYPERLÄNK("http://localhost:8787/api/admin/requirements/documents/cmm4yun2m00atcuqwuhkm1gwg/view";"Öppna PDF")</f>
        <v/>
      </c>
      <c r="AR2357">
        <f>HYPERLINK("http://localhost:8787/api/admin/requirements/documents/cmm4yun2m00atcuqwuhkm1gwg/view","Open PDF")</f>
        <v/>
      </c>
      <c r="AS2357" t="inlineStr">
        <is>
          <t>cmm55w57p0004cuisfrtpqly8</t>
        </is>
      </c>
      <c r="AT2357" t="inlineStr">
        <is>
          <t>cmm4xvu980000cuh4vj0usz09</t>
        </is>
      </c>
      <c r="AU2357" t="inlineStr">
        <is>
          <t>com Postadress Falkenbergs</t>
        </is>
      </c>
      <c r="AV2357" t="inlineStr">
        <is>
          <t>Kommun</t>
        </is>
      </c>
      <c r="AW2357" t="inlineStr">
        <is>
          <t>com Postadress Falkenbergs kommun</t>
        </is>
      </c>
      <c r="AX2357" t="inlineStr">
        <is>
          <t>2024-10</t>
        </is>
      </c>
      <c r="AY2357" t="inlineStr">
        <is>
          <t>Beslut</t>
        </is>
      </c>
      <c r="AZ2357" t="inlineStr">
        <is>
          <t>2026-02-03</t>
        </is>
      </c>
      <c r="BA2357" t="inlineStr">
        <is>
          <t>M-2024-2114_2024-09-27_Beslut (MHF MHN)_Vinberg 2 82.pdf</t>
        </is>
      </c>
      <c r="BB2357" t="inlineStr">
        <is>
          <t>Efterfrågade handlingar</t>
        </is>
      </c>
      <c r="BC2357" t="inlineStr">
        <is>
          <t>AUTO</t>
        </is>
      </c>
      <c r="BD2357" t="inlineStr"/>
      <c r="BE2357" t="inlineStr"/>
      <c r="BF2357" t="inlineStr">
        <is>
          <t>AUTO_GENERERAD. Bekrafta metadata mot kallfil.</t>
        </is>
      </c>
      <c r="BG2357">
        <f>HYPERLINK("C:\Users\jimmy\Desktop\Examens arbete\Kod\Ny mapp\remix_-copy-of-miljöbeslut.se-portal\M-2024-2114_2024-09-27_Beslut (MHF MHN)_Vinberg 2 82.pdf", "Öppna PDF")</f>
        <v/>
      </c>
    </row>
    <row r="2358">
      <c r="A2358" t="inlineStr">
        <is>
          <t>KRAV-AUTO-002357</t>
        </is>
      </c>
      <c r="B2358" t="inlineStr">
        <is>
          <t>ADMIN-INDEX-2026-02-27-00000000125C043F57453246863FE664CAFE6A3F0700950291EA24F0614FB6ACEDB12BF0E31D00000000010C0000950291EA24F0614FB6ACEDB12BF0E31D00002087B1CD0000</t>
        </is>
      </c>
      <c r="C2358" t="inlineStr">
        <is>
          <t>cmm4yun1c009hcuqww44wzixf</t>
        </is>
      </c>
      <c r="D2358" t="inlineStr">
        <is>
          <t>http://localhost:8787/api/admin/requirements/documents/cmm4yun1c009hcuqww44wzixf/view</t>
        </is>
      </c>
      <c r="E2358">
        <f>HYPERLÄNK("http://localhost:8787/api/admin/requirements/documents/cmm4yun1c009hcuqww44wzixf/view";"Öppna PDF")</f>
        <v/>
      </c>
      <c r="F2358">
        <f>HYPERLINK("http://localhost:8787/api/admin/requirements/documents/cmm4yun1c009hcuqww44wzixf/view","Open PDF")</f>
        <v/>
      </c>
      <c r="G2358" t="inlineStr">
        <is>
          <t>cmm55w57p0004cuisfrtpqly8</t>
        </is>
      </c>
      <c r="H2358" t="inlineStr">
        <is>
          <t>Kompletteringskrav</t>
        </is>
      </c>
      <c r="I2358" t="inlineStr">
        <is>
          <t>DriftEgenkontroll</t>
        </is>
      </c>
      <c r="J2358" t="inlineStr">
        <is>
          <t>Journalforing</t>
        </is>
      </c>
      <c r="K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2023-07-17 Angiven mätosäkerhet är beräknad med täckningsfaktor k = 2.</t>
        </is>
      </c>
      <c r="L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t>
        </is>
      </c>
      <c r="M2358" t="inlineStr">
        <is>
          <t>SKA</t>
        </is>
      </c>
      <c r="N2358" t="inlineStr"/>
      <c r="O2358" t="inlineStr">
        <is>
          <t>2023-07-17</t>
        </is>
      </c>
      <c r="P2358" t="inlineStr"/>
      <c r="Q2358" t="inlineStr">
        <is>
          <t>Vite</t>
        </is>
      </c>
      <c r="R2358" t="inlineStr">
        <is>
          <t>Lopande drift</t>
        </is>
      </c>
      <c r="S2358" t="inlineStr"/>
      <c r="T2358" t="inlineStr">
        <is>
          <t>254900</t>
        </is>
      </c>
      <c r="U2358" t="inlineStr"/>
      <c r="V2358" t="inlineStr"/>
      <c r="W2358" t="inlineStr">
        <is>
          <t>Nej</t>
        </is>
      </c>
      <c r="X2358" t="inlineStr">
        <is>
          <t>Nej</t>
        </is>
      </c>
      <c r="Y2358" t="inlineStr">
        <is>
          <t>Ja</t>
        </is>
      </c>
      <c r="Z2358" t="inlineStr">
        <is>
          <t>Nej</t>
        </is>
      </c>
      <c r="AA2358" t="n">
        <v>7</v>
      </c>
      <c r="AB2358" t="inlineStr">
        <is>
          <t>Egenkontrollrutiner</t>
        </is>
      </c>
      <c r="AC2358" t="inlineStr">
        <is>
          <t>Egenkontrollprogram</t>
        </is>
      </c>
      <c r="AD2358" t="inlineStr">
        <is>
          <t>Nej</t>
        </is>
      </c>
      <c r="AE2358" t="inlineStr">
        <is>
          <t>Nej</t>
        </is>
      </c>
      <c r="AF2358" t="inlineStr">
        <is>
          <t>Ej behandlad</t>
        </is>
      </c>
      <c r="AG2358" t="inlineStr">
        <is>
          <t>AUTO_GENERERAD. Verifiera citat mot kallfil.</t>
        </is>
      </c>
      <c r="AH2358" t="inlineStr">
        <is>
          <t>MEDIUM</t>
        </is>
      </c>
      <c r="AI2358" t="inlineStr">
        <is>
          <t>AUTO</t>
        </is>
      </c>
      <c r="AJ2358" t="inlineStr">
        <is>
          <t>Nej</t>
        </is>
      </c>
      <c r="AK2358" t="inlineStr"/>
      <c r="AL2358" t="inlineStr"/>
      <c r="AM2358" t="inlineStr"/>
      <c r="AN2358" t="inlineStr"/>
      <c r="AO2358" t="inlineStr">
        <is>
          <t>cmm4yun2m00atcuqwuhkm1gwg</t>
        </is>
      </c>
      <c r="AP2358" t="inlineStr">
        <is>
          <t>http://localhost:8787/api/admin/requirements/documents/cmm4yun2m00atcuqwuhkm1gwg/view</t>
        </is>
      </c>
      <c r="AQ2358">
        <f>HYPERLÄNK("http://localhost:8787/api/admin/requirements/documents/cmm4yun2m00atcuqwuhkm1gwg/view";"Öppna PDF")</f>
        <v/>
      </c>
      <c r="AR2358">
        <f>HYPERLINK("http://localhost:8787/api/admin/requirements/documents/cmm4yun2m00atcuqwuhkm1gwg/view","Open PDF")</f>
        <v/>
      </c>
      <c r="AS2358" t="inlineStr">
        <is>
          <t>cmm55w57p0004cuisfrtpqly8</t>
        </is>
      </c>
      <c r="AT2358" t="inlineStr">
        <is>
          <t>cmm4xvu980000cuh4vj0usz09</t>
        </is>
      </c>
      <c r="AU2358" t="inlineStr">
        <is>
          <t>com Postadress Falkenbergs</t>
        </is>
      </c>
      <c r="AV2358" t="inlineStr">
        <is>
          <t>Kommun</t>
        </is>
      </c>
      <c r="AW2358" t="inlineStr">
        <is>
          <t>com Postadress Falkenbergs kommun</t>
        </is>
      </c>
      <c r="AX2358" t="inlineStr">
        <is>
          <t>2024-10</t>
        </is>
      </c>
      <c r="AY2358" t="inlineStr">
        <is>
          <t>Beslut</t>
        </is>
      </c>
      <c r="AZ2358" t="inlineStr">
        <is>
          <t>2026-02-03</t>
        </is>
      </c>
      <c r="BA2358" t="inlineStr">
        <is>
          <t>M-2024-2114_2024-09-27_Beslut (MHF MHN)_Vinberg 2 82.pdf</t>
        </is>
      </c>
      <c r="BB2358" t="inlineStr">
        <is>
          <t>Efterfrågade handlingar</t>
        </is>
      </c>
      <c r="BC2358" t="inlineStr">
        <is>
          <t>AUTO</t>
        </is>
      </c>
      <c r="BD2358" t="inlineStr"/>
      <c r="BE2358" t="inlineStr"/>
      <c r="BF2358" t="inlineStr">
        <is>
          <t>AUTO_GENERERAD. Bekrafta metadata mot kallfil.</t>
        </is>
      </c>
      <c r="BG2358">
        <f>HYPERLINK("C:\Users\jimmy\Desktop\Examens arbete\Kod\Ny mapp\remix_-copy-of-miljöbeslut.se-portal\M-2024-2114_2024-09-27_Beslut (MHF MHN)_Vinberg 2 82.pdf", "Öppna PDF")</f>
        <v/>
      </c>
    </row>
    <row r="2359">
      <c r="A2359" t="inlineStr">
        <is>
          <t>KRAV-AUTO-002358</t>
        </is>
      </c>
      <c r="B2359" t="inlineStr">
        <is>
          <t>ADMIN-INDEX-2026-02-27-00000000125C043F57453246863FE664CAFE6A3F0700950291EA24F0614FB6ACEDB12BF0E31D00000000010C0000950291EA24F0614FB6ACEDB12BF0E31D00002087B1CD0000</t>
        </is>
      </c>
      <c r="C2359" t="inlineStr">
        <is>
          <t>cmm4yun1c009hcuqww44wzixf</t>
        </is>
      </c>
      <c r="D2359" t="inlineStr">
        <is>
          <t>http://localhost:8787/api/admin/requirements/documents/cmm4yun1c009hcuqww44wzixf/view</t>
        </is>
      </c>
      <c r="E2359">
        <f>HYPERLÄNK("http://localhost:8787/api/admin/requirements/documents/cmm4yun1c009hcuqww44wzixf/view";"Öppna PDF")</f>
        <v/>
      </c>
      <c r="F2359">
        <f>HYPERLINK("http://localhost:8787/api/admin/requirements/documents/cmm4yun1c009hcuqww44wzixf/view","Open PDF")</f>
        <v/>
      </c>
      <c r="G2359" t="inlineStr">
        <is>
          <t>cmm55w57p0004cuisfrtpqly8</t>
        </is>
      </c>
      <c r="H2359" t="inlineStr">
        <is>
          <t>Kompletteringskrav</t>
        </is>
      </c>
      <c r="I2359" t="inlineStr">
        <is>
          <t>DriftEgenkontroll</t>
        </is>
      </c>
      <c r="J2359" t="inlineStr">
        <is>
          <t>Journalforing</t>
        </is>
      </c>
      <c r="K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2023-07-18 Angiven mätosäkerhet är beräknad med täckningsfaktor k = 2.</t>
        </is>
      </c>
      <c r="L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t>
        </is>
      </c>
      <c r="M2359" t="inlineStr">
        <is>
          <t>SKA</t>
        </is>
      </c>
      <c r="N2359" t="inlineStr"/>
      <c r="O2359" t="inlineStr">
        <is>
          <t>2023-07-18</t>
        </is>
      </c>
      <c r="P2359" t="inlineStr"/>
      <c r="Q2359" t="inlineStr">
        <is>
          <t>Vite</t>
        </is>
      </c>
      <c r="R2359" t="inlineStr">
        <is>
          <t>Lopande drift</t>
        </is>
      </c>
      <c r="S2359" t="inlineStr"/>
      <c r="T2359" t="inlineStr">
        <is>
          <t>254900</t>
        </is>
      </c>
      <c r="U2359" t="inlineStr"/>
      <c r="V2359" t="inlineStr"/>
      <c r="W2359" t="inlineStr">
        <is>
          <t>Nej</t>
        </is>
      </c>
      <c r="X2359" t="inlineStr">
        <is>
          <t>Nej</t>
        </is>
      </c>
      <c r="Y2359" t="inlineStr">
        <is>
          <t>Ja</t>
        </is>
      </c>
      <c r="Z2359" t="inlineStr">
        <is>
          <t>Nej</t>
        </is>
      </c>
      <c r="AA2359" t="n">
        <v>7</v>
      </c>
      <c r="AB2359" t="inlineStr">
        <is>
          <t>Egenkontrollrutiner</t>
        </is>
      </c>
      <c r="AC2359" t="inlineStr">
        <is>
          <t>Egenkontrollprogram</t>
        </is>
      </c>
      <c r="AD2359" t="inlineStr">
        <is>
          <t>Nej</t>
        </is>
      </c>
      <c r="AE2359" t="inlineStr">
        <is>
          <t>Nej</t>
        </is>
      </c>
      <c r="AF2359" t="inlineStr">
        <is>
          <t>Ej behandlad</t>
        </is>
      </c>
      <c r="AG2359" t="inlineStr">
        <is>
          <t>AUTO_GENERERAD. Verifiera citat mot kallfil.</t>
        </is>
      </c>
      <c r="AH2359" t="inlineStr">
        <is>
          <t>MEDIUM</t>
        </is>
      </c>
      <c r="AI2359" t="inlineStr">
        <is>
          <t>AUTO</t>
        </is>
      </c>
      <c r="AJ2359" t="inlineStr">
        <is>
          <t>Nej</t>
        </is>
      </c>
      <c r="AK2359" t="inlineStr"/>
      <c r="AL2359" t="inlineStr"/>
      <c r="AM2359" t="inlineStr"/>
      <c r="AN2359" t="inlineStr"/>
      <c r="AO2359" t="inlineStr">
        <is>
          <t>cmm4yun2m00atcuqwuhkm1gwg</t>
        </is>
      </c>
      <c r="AP2359" t="inlineStr">
        <is>
          <t>http://localhost:8787/api/admin/requirements/documents/cmm4yun2m00atcuqwuhkm1gwg/view</t>
        </is>
      </c>
      <c r="AQ2359">
        <f>HYPERLÄNK("http://localhost:8787/api/admin/requirements/documents/cmm4yun2m00atcuqwuhkm1gwg/view";"Öppna PDF")</f>
        <v/>
      </c>
      <c r="AR2359">
        <f>HYPERLINK("http://localhost:8787/api/admin/requirements/documents/cmm4yun2m00atcuqwuhkm1gwg/view","Open PDF")</f>
        <v/>
      </c>
      <c r="AS2359" t="inlineStr">
        <is>
          <t>cmm55w57p0004cuisfrtpqly8</t>
        </is>
      </c>
      <c r="AT2359" t="inlineStr">
        <is>
          <t>cmm4xvu980000cuh4vj0usz09</t>
        </is>
      </c>
      <c r="AU2359" t="inlineStr">
        <is>
          <t>com Postadress Falkenbergs</t>
        </is>
      </c>
      <c r="AV2359" t="inlineStr">
        <is>
          <t>Kommun</t>
        </is>
      </c>
      <c r="AW2359" t="inlineStr">
        <is>
          <t>com Postadress Falkenbergs kommun</t>
        </is>
      </c>
      <c r="AX2359" t="inlineStr">
        <is>
          <t>2024-10</t>
        </is>
      </c>
      <c r="AY2359" t="inlineStr">
        <is>
          <t>Beslut</t>
        </is>
      </c>
      <c r="AZ2359" t="inlineStr">
        <is>
          <t>2026-02-03</t>
        </is>
      </c>
      <c r="BA2359" t="inlineStr">
        <is>
          <t>M-2024-2114_2024-09-27_Beslut (MHF MHN)_Vinberg 2 82.pdf</t>
        </is>
      </c>
      <c r="BB2359" t="inlineStr">
        <is>
          <t>Efterfrågade handlingar</t>
        </is>
      </c>
      <c r="BC2359" t="inlineStr">
        <is>
          <t>AUTO</t>
        </is>
      </c>
      <c r="BD2359" t="inlineStr"/>
      <c r="BE2359" t="inlineStr"/>
      <c r="BF2359" t="inlineStr">
        <is>
          <t>AUTO_GENERERAD. Bekrafta metadata mot kallfil.</t>
        </is>
      </c>
      <c r="BG2359">
        <f>HYPERLINK("C:\Users\jimmy\Desktop\Examens arbete\Kod\Ny mapp\remix_-copy-of-miljöbeslut.se-portal\M-2024-2114_2024-09-27_Beslut (MHF MHN)_Vinberg 2 82.pdf", "Öppna PDF")</f>
        <v/>
      </c>
    </row>
    <row r="2360">
      <c r="A2360" t="inlineStr">
        <is>
          <t>KRAV-AUTO-002359</t>
        </is>
      </c>
      <c r="B2360" t="inlineStr">
        <is>
          <t>ADMIN-INDEX-2026-02-27-00000000125C043F57453246863FE664CAFE6A3F0700950291EA24F0614FB6ACEDB12BF0E31D00000000010C0000950291EA24F0614FB6ACEDB12BF0E31D00002087B1CD0000</t>
        </is>
      </c>
      <c r="C2360" t="inlineStr">
        <is>
          <t>cmm4yun1c009hcuqww44wzixf</t>
        </is>
      </c>
      <c r="D2360" t="inlineStr">
        <is>
          <t>http://localhost:8787/api/admin/requirements/documents/cmm4yun1c009hcuqww44wzixf/view</t>
        </is>
      </c>
      <c r="E2360">
        <f>HYPERLÄNK("http://localhost:8787/api/admin/requirements/documents/cmm4yun1c009hcuqww44wzixf/view";"Öppna PDF")</f>
        <v/>
      </c>
      <c r="F2360">
        <f>HYPERLINK("http://localhost:8787/api/admin/requirements/documents/cmm4yun1c009hcuqww44wzixf/view","Open PDF")</f>
        <v/>
      </c>
      <c r="G2360" t="inlineStr">
        <is>
          <t>cmm55w57p0004cuisfrtpqly8</t>
        </is>
      </c>
      <c r="H2360" t="inlineStr">
        <is>
          <t>Kompletteringskrav</t>
        </is>
      </c>
      <c r="I2360" t="inlineStr">
        <is>
          <t>DriftEgenkontroll</t>
        </is>
      </c>
      <c r="J2360" t="inlineStr">
        <is>
          <t>Journalforing</t>
        </is>
      </c>
      <c r="K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Angiven mätosäkerhet är beräknad med täckningsfaktor k = 2.</t>
        </is>
      </c>
      <c r="L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t>
        </is>
      </c>
      <c r="M2360" t="inlineStr">
        <is>
          <t>BOR</t>
        </is>
      </c>
      <c r="N2360" t="inlineStr"/>
      <c r="O2360" t="inlineStr">
        <is>
          <t>2023-07-14</t>
        </is>
      </c>
      <c r="P2360" t="inlineStr"/>
      <c r="Q2360" t="inlineStr">
        <is>
          <t>Vite</t>
        </is>
      </c>
      <c r="R2360" t="inlineStr">
        <is>
          <t>Lopande drift</t>
        </is>
      </c>
      <c r="S2360" t="inlineStr"/>
      <c r="T2360" t="inlineStr">
        <is>
          <t>254900</t>
        </is>
      </c>
      <c r="U2360" t="inlineStr"/>
      <c r="V2360" t="inlineStr"/>
      <c r="W2360" t="inlineStr">
        <is>
          <t>Nej</t>
        </is>
      </c>
      <c r="X2360" t="inlineStr">
        <is>
          <t>Nej</t>
        </is>
      </c>
      <c r="Y2360" t="inlineStr">
        <is>
          <t>Ja</t>
        </is>
      </c>
      <c r="Z2360" t="inlineStr">
        <is>
          <t>Nej</t>
        </is>
      </c>
      <c r="AA2360" t="n">
        <v>7</v>
      </c>
      <c r="AB2360" t="inlineStr">
        <is>
          <t>Egenkontrollrutiner</t>
        </is>
      </c>
      <c r="AC2360" t="inlineStr">
        <is>
          <t>Egenkontrollprogram</t>
        </is>
      </c>
      <c r="AD2360" t="inlineStr">
        <is>
          <t>Nej</t>
        </is>
      </c>
      <c r="AE2360" t="inlineStr">
        <is>
          <t>Nej</t>
        </is>
      </c>
      <c r="AF2360" t="inlineStr">
        <is>
          <t>Ej behandlad</t>
        </is>
      </c>
      <c r="AG2360" t="inlineStr">
        <is>
          <t>AUTO_GENERERAD. Verifiera citat mot kallfil.</t>
        </is>
      </c>
      <c r="AH2360" t="inlineStr">
        <is>
          <t>MEDIUM</t>
        </is>
      </c>
      <c r="AI2360" t="inlineStr">
        <is>
          <t>AUTO</t>
        </is>
      </c>
      <c r="AJ2360" t="inlineStr">
        <is>
          <t>Nej</t>
        </is>
      </c>
      <c r="AK2360" t="inlineStr"/>
      <c r="AL2360" t="inlineStr"/>
      <c r="AM2360" t="inlineStr"/>
      <c r="AN2360" t="inlineStr"/>
      <c r="AO2360" t="inlineStr">
        <is>
          <t>cmm4yun2m00atcuqwuhkm1gwg</t>
        </is>
      </c>
      <c r="AP2360" t="inlineStr">
        <is>
          <t>http://localhost:8787/api/admin/requirements/documents/cmm4yun2m00atcuqwuhkm1gwg/view</t>
        </is>
      </c>
      <c r="AQ2360">
        <f>HYPERLÄNK("http://localhost:8787/api/admin/requirements/documents/cmm4yun2m00atcuqwuhkm1gwg/view";"Öppna PDF")</f>
        <v/>
      </c>
      <c r="AR2360">
        <f>HYPERLINK("http://localhost:8787/api/admin/requirements/documents/cmm4yun2m00atcuqwuhkm1gwg/view","Open PDF")</f>
        <v/>
      </c>
      <c r="AS2360" t="inlineStr">
        <is>
          <t>cmm55w57p0004cuisfrtpqly8</t>
        </is>
      </c>
      <c r="AT2360" t="inlineStr">
        <is>
          <t>cmm4xvu980000cuh4vj0usz09</t>
        </is>
      </c>
      <c r="AU2360" t="inlineStr">
        <is>
          <t>com Postadress Falkenbergs</t>
        </is>
      </c>
      <c r="AV2360" t="inlineStr">
        <is>
          <t>Kommun</t>
        </is>
      </c>
      <c r="AW2360" t="inlineStr">
        <is>
          <t>com Postadress Falkenbergs kommun</t>
        </is>
      </c>
      <c r="AX2360" t="inlineStr">
        <is>
          <t>2024-10</t>
        </is>
      </c>
      <c r="AY2360" t="inlineStr">
        <is>
          <t>Beslut</t>
        </is>
      </c>
      <c r="AZ2360" t="inlineStr">
        <is>
          <t>2026-02-03</t>
        </is>
      </c>
      <c r="BA2360" t="inlineStr">
        <is>
          <t>M-2024-2114_2024-09-27_Beslut (MHF MHN)_Vinberg 2 82.pdf</t>
        </is>
      </c>
      <c r="BB2360" t="inlineStr">
        <is>
          <t>Efterfrågade handlingar</t>
        </is>
      </c>
      <c r="BC2360" t="inlineStr">
        <is>
          <t>AUTO</t>
        </is>
      </c>
      <c r="BD2360" t="inlineStr"/>
      <c r="BE2360" t="inlineStr"/>
      <c r="BF2360" t="inlineStr">
        <is>
          <t>AUTO_GENERERAD. Bekrafta metadata mot kallfil.</t>
        </is>
      </c>
      <c r="BG2360">
        <f>HYPERLINK("C:\Users\jimmy\Desktop\Examens arbete\Kod\Ny mapp\remix_-copy-of-miljöbeslut.se-portal\M-2024-2114_2024-09-27_Beslut (MHF MHN)_Vinberg 2 82.pdf", "Öppna PDF")</f>
        <v/>
      </c>
    </row>
    <row r="2361">
      <c r="A2361" t="inlineStr">
        <is>
          <t>KRAV-AUTO-002360</t>
        </is>
      </c>
      <c r="B2361" t="inlineStr">
        <is>
          <t>ADMIN-INDEX-2026-02-27-00000000125C043F57453246863FE664CAFE6A3F0700950291EA24F0614FB6ACEDB12BF0E31D00000000010C0000950291EA24F0614FB6ACEDB12BF0E31D00002087B1D00000</t>
        </is>
      </c>
      <c r="C2361" t="inlineStr">
        <is>
          <t>cmm4yun100095cuqwa7q19sxt</t>
        </is>
      </c>
      <c r="D2361" t="inlineStr">
        <is>
          <t>http://localhost:8787/api/admin/requirements/documents/cmm4yun100095cuqwa7q19sxt/view</t>
        </is>
      </c>
      <c r="E2361">
        <f>HYPERLÄNK("http://localhost:8787/api/admin/requirements/documents/cmm4yun100095cuqwa7q19sxt/view";"Öppna PDF")</f>
        <v/>
      </c>
      <c r="F2361">
        <f>HYPERLINK("http://localhost:8787/api/admin/requirements/documents/cmm4yun100095cuqwa7q19sxt/view","Open PDF")</f>
        <v/>
      </c>
      <c r="G2361" t="inlineStr">
        <is>
          <t>cmm55w57p0004cuisfrtpqly8</t>
        </is>
      </c>
      <c r="H2361" t="inlineStr">
        <is>
          <t>Beslutsvillkor</t>
        </is>
      </c>
      <c r="I2361" t="inlineStr">
        <is>
          <t>LagringsvolymTid</t>
        </is>
      </c>
      <c r="J2361" t="inlineStr">
        <is>
          <t>Maxmangd</t>
        </is>
      </c>
      <c r="K2361" t="inlineStr">
        <is>
          <t>Mängden icke- farligt avfall som lagras vid något tillfälle får inte överstiga 200 ton.</t>
        </is>
      </c>
      <c r="L2361" t="inlineStr">
        <is>
          <t>Mängden icke- farligt avfall som lagras vid något tillfälle får inte överstiga 200 ton.</t>
        </is>
      </c>
      <c r="M2361" t="inlineStr">
        <is>
          <t>SKA</t>
        </is>
      </c>
      <c r="N2361" t="inlineStr"/>
      <c r="O2361" t="inlineStr"/>
      <c r="P2361" t="inlineStr">
        <is>
          <t>Arlig</t>
        </is>
      </c>
      <c r="Q2361" t="inlineStr">
        <is>
          <t>Driftbegransning vid avvikelse</t>
        </is>
      </c>
      <c r="R2361" t="inlineStr">
        <is>
          <t>Alltid</t>
        </is>
      </c>
      <c r="S2361" t="inlineStr"/>
      <c r="T2361" t="inlineStr">
        <is>
          <t>88 50 42</t>
        </is>
      </c>
      <c r="U2361" t="n">
        <v>200</v>
      </c>
      <c r="V2361" t="inlineStr"/>
      <c r="W2361" t="inlineStr">
        <is>
          <t>Nej</t>
        </is>
      </c>
      <c r="X2361" t="inlineStr">
        <is>
          <t>Nej</t>
        </is>
      </c>
      <c r="Y2361" t="inlineStr">
        <is>
          <t>Nej</t>
        </is>
      </c>
      <c r="Z2361" t="inlineStr">
        <is>
          <t>Nej</t>
        </is>
      </c>
      <c r="AA2361" t="n">
        <v>4</v>
      </c>
      <c r="AB2361" t="inlineStr">
        <is>
          <t>Avfallsmangder och lagringstid</t>
        </is>
      </c>
      <c r="AC2361" t="inlineStr">
        <is>
          <t>Avfallsforteckning</t>
        </is>
      </c>
      <c r="AD2361" t="inlineStr">
        <is>
          <t>Nej</t>
        </is>
      </c>
      <c r="AE2361" t="inlineStr">
        <is>
          <t>Nej</t>
        </is>
      </c>
      <c r="AF2361" t="inlineStr">
        <is>
          <t>Ej behandlad</t>
        </is>
      </c>
      <c r="AG2361" t="inlineStr">
        <is>
          <t>AUTO_GENERERAD. Verifiera citat mot kallfil.</t>
        </is>
      </c>
      <c r="AH2361" t="inlineStr">
        <is>
          <t>MEDIUM</t>
        </is>
      </c>
      <c r="AI2361" t="inlineStr">
        <is>
          <t>AUTO</t>
        </is>
      </c>
      <c r="AJ2361" t="inlineStr">
        <is>
          <t>Nej</t>
        </is>
      </c>
      <c r="AK2361" t="inlineStr"/>
      <c r="AL2361" t="inlineStr"/>
      <c r="AM2361" t="inlineStr"/>
      <c r="AN2361" t="inlineStr"/>
      <c r="AO2361" t="inlineStr">
        <is>
          <t>cmm4yun100095cuqwa7q19sxt</t>
        </is>
      </c>
      <c r="AP2361" t="inlineStr">
        <is>
          <t>http://localhost:8787/api/admin/requirements/documents/cmm4yun100095cuqwa7q19sxt/view</t>
        </is>
      </c>
      <c r="AQ2361">
        <f>HYPERLÄNK("http://localhost:8787/api/admin/requirements/documents/cmm4yun100095cuqwa7q19sxt/view";"Öppna PDF")</f>
        <v/>
      </c>
      <c r="AR2361">
        <f>HYPERLINK("http://localhost:8787/api/admin/requirements/documents/cmm4yun100095cuqwa7q19sxt/view","Open PDF")</f>
        <v/>
      </c>
      <c r="AS2361" t="inlineStr">
        <is>
          <t>cmm55w57p0004cuisfrtpqly8</t>
        </is>
      </c>
      <c r="AT2361" t="inlineStr">
        <is>
          <t>cmm4xvu980000cuh4vj0usz09</t>
        </is>
      </c>
      <c r="AU2361" t="inlineStr">
        <is>
          <t>Malmbäck Postadress Falkenbergs</t>
        </is>
      </c>
      <c r="AV2361" t="inlineStr">
        <is>
          <t>Kommun</t>
        </is>
      </c>
      <c r="AW2361" t="inlineStr">
        <is>
          <t>Malmbäck Postadress Falkenbergs kommun</t>
        </is>
      </c>
      <c r="AX2361" t="inlineStr">
        <is>
          <t>2025-02</t>
        </is>
      </c>
      <c r="AY2361" t="inlineStr">
        <is>
          <t>Beslut</t>
        </is>
      </c>
      <c r="AZ2361" t="inlineStr">
        <is>
          <t>2026-02-03</t>
        </is>
      </c>
      <c r="BA2361" t="inlineStr">
        <is>
          <t>M-2025-671_2025-02-14_Beslut (MHF MHN)_Tröinge 6 70.pdf</t>
        </is>
      </c>
      <c r="BB2361" t="inlineStr">
        <is>
          <t>Efterfrågade handlingar</t>
        </is>
      </c>
      <c r="BC2361" t="inlineStr">
        <is>
          <t>AUTO</t>
        </is>
      </c>
      <c r="BD2361" t="inlineStr"/>
      <c r="BE2361" t="inlineStr"/>
      <c r="BF2361" t="inlineStr">
        <is>
          <t>AUTO_GENERERAD. Bekrafta metadata mot kallfil.</t>
        </is>
      </c>
      <c r="BG2361">
        <f>HYPERLINK("C:\Users\jimmy\Desktop\Examens arbete\Kod\Ny mapp\remix_-copy-of-miljöbeslut.se-portal\M-2025-671_2025-02-14_Beslut (MHF MHN)_Tröinge 6 70.pdf", "Öppna PDF")</f>
        <v/>
      </c>
    </row>
    <row r="2362">
      <c r="A2362" t="inlineStr">
        <is>
          <t>KRAV-AUTO-002361</t>
        </is>
      </c>
      <c r="B2362" t="inlineStr">
        <is>
          <t>ADMIN-INDEX-2026-02-27-00000000125C043F57453246863FE664CAFE6A3F0700950291EA24F0614FB6ACEDB12BF0E31D00000000010C0000950291EA24F0614FB6ACEDB12BF0E31D00002087B1D00000</t>
        </is>
      </c>
      <c r="C2362" t="inlineStr">
        <is>
          <t>cmm4yun100095cuqwa7q19sxt</t>
        </is>
      </c>
      <c r="D2362" t="inlineStr">
        <is>
          <t>http://localhost:8787/api/admin/requirements/documents/cmm4yun100095cuqwa7q19sxt/view</t>
        </is>
      </c>
      <c r="E2362">
        <f>HYPERLÄNK("http://localhost:8787/api/admin/requirements/documents/cmm4yun100095cuqwa7q19sxt/view";"Öppna PDF")</f>
        <v/>
      </c>
      <c r="F2362">
        <f>HYPERLINK("http://localhost:8787/api/admin/requirements/documents/cmm4yun100095cuqwa7q19sxt/view","Open PDF")</f>
        <v/>
      </c>
      <c r="G2362" t="inlineStr">
        <is>
          <t>cmm55w57p0004cuisfrtpqly8</t>
        </is>
      </c>
      <c r="H2362" t="inlineStr">
        <is>
          <t>Beslutsvillkor</t>
        </is>
      </c>
      <c r="I2362" t="inlineStr">
        <is>
          <t>MiljopaverkanForsiktighet</t>
        </is>
      </c>
      <c r="J2362" t="inlineStr">
        <is>
          <t>Skyddsatgarder</t>
        </is>
      </c>
      <c r="K2362" t="inlineStr">
        <is>
          <t>Enligt 27a § förordning om miljöfarlig verksamhet och hälsoskydd ska ett anmälningsärende gällande behandling av avfall innehålla ett föreläggande om bland annat vilka typer, mänger och metoder för behandling av avfallet som får förekomma.</t>
        </is>
      </c>
      <c r="L2362" t="inlineStr">
        <is>
          <t>Enligt 27a § förordning om miljöfarlig verksamhet och hälsoskydd ska ett anmälningsärende gällande behandling av avfall innehålla ett föreläggande om bland annat vilka typer, mänger och metoder för behandling av avfallet som får förekomma.</t>
        </is>
      </c>
      <c r="M2362" t="inlineStr">
        <is>
          <t>SKA</t>
        </is>
      </c>
      <c r="N2362" t="inlineStr">
        <is>
          <t>FMH</t>
        </is>
      </c>
      <c r="O2362" t="inlineStr"/>
      <c r="P2362" t="inlineStr">
        <is>
          <t>Arlig</t>
        </is>
      </c>
      <c r="Q2362" t="inlineStr">
        <is>
          <t>Forelaggande vid brist</t>
        </is>
      </c>
      <c r="R2362" t="inlineStr">
        <is>
          <t>Alltid</t>
        </is>
      </c>
      <c r="S2362" t="inlineStr"/>
      <c r="T2362" t="inlineStr">
        <is>
          <t>88 50 42</t>
        </is>
      </c>
      <c r="U2362" t="inlineStr"/>
      <c r="V2362" t="inlineStr"/>
      <c r="W2362" t="inlineStr">
        <is>
          <t>Nej</t>
        </is>
      </c>
      <c r="X2362" t="inlineStr">
        <is>
          <t>Nej</t>
        </is>
      </c>
      <c r="Y2362" t="inlineStr">
        <is>
          <t>Nej</t>
        </is>
      </c>
      <c r="Z2362" t="inlineStr">
        <is>
          <t>Nej</t>
        </is>
      </c>
      <c r="AA2362" t="n">
        <v>10</v>
      </c>
      <c r="AB2362" t="inlineStr">
        <is>
          <t>Miljopaverkan och forsiktighetsmatt</t>
        </is>
      </c>
      <c r="AC2362" t="inlineStr">
        <is>
          <t>Miljo-PM</t>
        </is>
      </c>
      <c r="AD2362" t="inlineStr">
        <is>
          <t>Nej</t>
        </is>
      </c>
      <c r="AE2362" t="inlineStr">
        <is>
          <t>Nej</t>
        </is>
      </c>
      <c r="AF2362" t="inlineStr">
        <is>
          <t>Ej behandlad</t>
        </is>
      </c>
      <c r="AG2362" t="inlineStr">
        <is>
          <t>AUTO_GENERERAD. Verifiera citat mot kallfil.</t>
        </is>
      </c>
      <c r="AH2362" t="inlineStr">
        <is>
          <t>HIGH</t>
        </is>
      </c>
      <c r="AI2362" t="inlineStr">
        <is>
          <t>AUTO</t>
        </is>
      </c>
      <c r="AJ2362" t="inlineStr">
        <is>
          <t>Nej</t>
        </is>
      </c>
      <c r="AK2362" t="inlineStr"/>
      <c r="AL2362" t="inlineStr"/>
      <c r="AM2362" t="inlineStr"/>
      <c r="AN2362" t="inlineStr"/>
      <c r="AO2362" t="inlineStr">
        <is>
          <t>cmm4yun100095cuqwa7q19sxt</t>
        </is>
      </c>
      <c r="AP2362" t="inlineStr">
        <is>
          <t>http://localhost:8787/api/admin/requirements/documents/cmm4yun100095cuqwa7q19sxt/view</t>
        </is>
      </c>
      <c r="AQ2362">
        <f>HYPERLÄNK("http://localhost:8787/api/admin/requirements/documents/cmm4yun100095cuqwa7q19sxt/view";"Öppna PDF")</f>
        <v/>
      </c>
      <c r="AR2362">
        <f>HYPERLINK("http://localhost:8787/api/admin/requirements/documents/cmm4yun100095cuqwa7q19sxt/view","Open PDF")</f>
        <v/>
      </c>
      <c r="AS2362" t="inlineStr">
        <is>
          <t>cmm55w57p0004cuisfrtpqly8</t>
        </is>
      </c>
      <c r="AT2362" t="inlineStr">
        <is>
          <t>cmm4xvu980000cuh4vj0usz09</t>
        </is>
      </c>
      <c r="AU2362" t="inlineStr">
        <is>
          <t>Malmbäck Postadress Falkenbergs</t>
        </is>
      </c>
      <c r="AV2362" t="inlineStr">
        <is>
          <t>Kommun</t>
        </is>
      </c>
      <c r="AW2362" t="inlineStr">
        <is>
          <t>Malmbäck Postadress Falkenbergs kommun</t>
        </is>
      </c>
      <c r="AX2362" t="inlineStr">
        <is>
          <t>2025-02</t>
        </is>
      </c>
      <c r="AY2362" t="inlineStr">
        <is>
          <t>Beslut</t>
        </is>
      </c>
      <c r="AZ2362" t="inlineStr">
        <is>
          <t>2026-02-03</t>
        </is>
      </c>
      <c r="BA2362" t="inlineStr">
        <is>
          <t>M-2025-671_2025-02-14_Beslut (MHF MHN)_Tröinge 6 70.pdf</t>
        </is>
      </c>
      <c r="BB2362" t="inlineStr">
        <is>
          <t>Efterfrågade handlingar</t>
        </is>
      </c>
      <c r="BC2362" t="inlineStr">
        <is>
          <t>AUTO</t>
        </is>
      </c>
      <c r="BD2362" t="inlineStr"/>
      <c r="BE2362" t="inlineStr"/>
      <c r="BF2362" t="inlineStr">
        <is>
          <t>AUTO_GENERERAD. Bekrafta metadata mot kallfil.</t>
        </is>
      </c>
      <c r="BG2362">
        <f>HYPERLINK("C:\Users\jimmy\Desktop\Examens arbete\Kod\Ny mapp\remix_-copy-of-miljöbeslut.se-portal\M-2025-671_2025-02-14_Beslut (MHF MHN)_Tröinge 6 70.pdf", "Öppna PDF")</f>
        <v/>
      </c>
    </row>
    <row r="2363">
      <c r="A2363" t="inlineStr">
        <is>
          <t>KRAV-AUTO-002362</t>
        </is>
      </c>
      <c r="B2363" t="inlineStr">
        <is>
          <t>ADMIN-INDEX-2026-02-27-00000000125C043F57453246863FE664CAFE6A3F0700950291EA24F0614FB6ACEDB12BF0E31D00000000010C0000950291EA24F0614FB6ACEDB12BF0E31D00002087B1D00000</t>
        </is>
      </c>
      <c r="C2363" t="inlineStr">
        <is>
          <t>cmm4yun100095cuqwa7q19sxt</t>
        </is>
      </c>
      <c r="D2363" t="inlineStr">
        <is>
          <t>http://localhost:8787/api/admin/requirements/documents/cmm4yun100095cuqwa7q19sxt/view</t>
        </is>
      </c>
      <c r="E2363">
        <f>HYPERLÄNK("http://localhost:8787/api/admin/requirements/documents/cmm4yun100095cuqwa7q19sxt/view";"Öppna PDF")</f>
        <v/>
      </c>
      <c r="F2363">
        <f>HYPERLINK("http://localhost:8787/api/admin/requirements/documents/cmm4yun100095cuqwa7q19sxt/view","Open PDF")</f>
        <v/>
      </c>
      <c r="G2363" t="inlineStr">
        <is>
          <t>cmm55w57p0004cuisfrtpqly8</t>
        </is>
      </c>
      <c r="H2363" t="inlineStr">
        <is>
          <t>Beslutsvillkor</t>
        </is>
      </c>
      <c r="I2363" t="inlineStr">
        <is>
          <t>MiljopaverkanForsiktighet</t>
        </is>
      </c>
      <c r="J2363" t="inlineStr">
        <is>
          <t>Skyddsatgarder</t>
        </is>
      </c>
      <c r="K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63" t="inlineStr">
        <is>
          <t>SKA</t>
        </is>
      </c>
      <c r="N2363" t="inlineStr"/>
      <c r="O2363" t="inlineStr"/>
      <c r="P2363" t="inlineStr"/>
      <c r="Q2363" t="inlineStr">
        <is>
          <t>Forbud</t>
        </is>
      </c>
      <c r="R2363" t="inlineStr">
        <is>
          <t>Alltid</t>
        </is>
      </c>
      <c r="S2363" t="inlineStr"/>
      <c r="T2363" t="inlineStr">
        <is>
          <t>88 50 42</t>
        </is>
      </c>
      <c r="U2363" t="inlineStr"/>
      <c r="V2363" t="inlineStr"/>
      <c r="W2363" t="inlineStr">
        <is>
          <t>Nej</t>
        </is>
      </c>
      <c r="X2363" t="inlineStr">
        <is>
          <t>Nej</t>
        </is>
      </c>
      <c r="Y2363" t="inlineStr">
        <is>
          <t>Nej</t>
        </is>
      </c>
      <c r="Z2363" t="inlineStr">
        <is>
          <t>Nej</t>
        </is>
      </c>
      <c r="AA2363" t="n">
        <v>10</v>
      </c>
      <c r="AB2363" t="inlineStr">
        <is>
          <t>Miljopaverkan och forsiktighetsmatt</t>
        </is>
      </c>
      <c r="AC2363" t="inlineStr">
        <is>
          <t>Miljo-PM</t>
        </is>
      </c>
      <c r="AD2363" t="inlineStr">
        <is>
          <t>Nej</t>
        </is>
      </c>
      <c r="AE2363" t="inlineStr">
        <is>
          <t>Nej</t>
        </is>
      </c>
      <c r="AF2363" t="inlineStr">
        <is>
          <t>Ej behandlad</t>
        </is>
      </c>
      <c r="AG2363" t="inlineStr">
        <is>
          <t>AUTO_GENERERAD. Verifiera citat mot kallfil.</t>
        </is>
      </c>
      <c r="AH2363" t="inlineStr">
        <is>
          <t>MEDIUM</t>
        </is>
      </c>
      <c r="AI2363" t="inlineStr">
        <is>
          <t>AUTO</t>
        </is>
      </c>
      <c r="AJ2363" t="inlineStr">
        <is>
          <t>Nej</t>
        </is>
      </c>
      <c r="AK2363" t="inlineStr"/>
      <c r="AL2363" t="inlineStr"/>
      <c r="AM2363" t="inlineStr"/>
      <c r="AN2363" t="inlineStr"/>
      <c r="AO2363" t="inlineStr">
        <is>
          <t>cmm4yun100095cuqwa7q19sxt</t>
        </is>
      </c>
      <c r="AP2363" t="inlineStr">
        <is>
          <t>http://localhost:8787/api/admin/requirements/documents/cmm4yun100095cuqwa7q19sxt/view</t>
        </is>
      </c>
      <c r="AQ2363">
        <f>HYPERLÄNK("http://localhost:8787/api/admin/requirements/documents/cmm4yun100095cuqwa7q19sxt/view";"Öppna PDF")</f>
        <v/>
      </c>
      <c r="AR2363">
        <f>HYPERLINK("http://localhost:8787/api/admin/requirements/documents/cmm4yun100095cuqwa7q19sxt/view","Open PDF")</f>
        <v/>
      </c>
      <c r="AS2363" t="inlineStr">
        <is>
          <t>cmm55w57p0004cuisfrtpqly8</t>
        </is>
      </c>
      <c r="AT2363" t="inlineStr">
        <is>
          <t>cmm4xvu980000cuh4vj0usz09</t>
        </is>
      </c>
      <c r="AU2363" t="inlineStr">
        <is>
          <t>Malmbäck Postadress Falkenbergs</t>
        </is>
      </c>
      <c r="AV2363" t="inlineStr">
        <is>
          <t>Kommun</t>
        </is>
      </c>
      <c r="AW2363" t="inlineStr">
        <is>
          <t>Malmbäck Postadress Falkenbergs kommun</t>
        </is>
      </c>
      <c r="AX2363" t="inlineStr">
        <is>
          <t>2025-02</t>
        </is>
      </c>
      <c r="AY2363" t="inlineStr">
        <is>
          <t>Beslut</t>
        </is>
      </c>
      <c r="AZ2363" t="inlineStr">
        <is>
          <t>2026-02-03</t>
        </is>
      </c>
      <c r="BA2363" t="inlineStr">
        <is>
          <t>M-2025-671_2025-02-14_Beslut (MHF MHN)_Tröinge 6 70.pdf</t>
        </is>
      </c>
      <c r="BB2363" t="inlineStr">
        <is>
          <t>Efterfrågade handlingar</t>
        </is>
      </c>
      <c r="BC2363" t="inlineStr">
        <is>
          <t>AUTO</t>
        </is>
      </c>
      <c r="BD2363" t="inlineStr"/>
      <c r="BE2363" t="inlineStr"/>
      <c r="BF2363" t="inlineStr">
        <is>
          <t>AUTO_GENERERAD. Bekrafta metadata mot kallfil.</t>
        </is>
      </c>
      <c r="BG2363">
        <f>HYPERLINK("C:\Users\jimmy\Desktop\Examens arbete\Kod\Ny mapp\remix_-copy-of-miljöbeslut.se-portal\M-2025-671_2025-02-14_Beslut (MHF MHN)_Tröinge 6 70.pdf", "Öppna PDF")</f>
        <v/>
      </c>
    </row>
    <row r="2364">
      <c r="A2364" t="inlineStr">
        <is>
          <t>KRAV-AUTO-002363</t>
        </is>
      </c>
      <c r="B2364" t="inlineStr">
        <is>
          <t>ADMIN-INDEX-2026-02-27-00000000125C043F57453246863FE664CAFE6A3F0700950291EA24F0614FB6ACEDB12BF0E31D00000000010C0000950291EA24F0614FB6ACEDB12BF0E31D00002087B1D00000</t>
        </is>
      </c>
      <c r="C2364" t="inlineStr">
        <is>
          <t>cmm4yun0j008ncuqwdpufk2zv</t>
        </is>
      </c>
      <c r="D2364" t="inlineStr">
        <is>
          <t>http://localhost:8787/api/admin/requirements/documents/cmm4yun0j008ncuqwdpufk2zv/view</t>
        </is>
      </c>
      <c r="E2364">
        <f>HYPERLÄNK("http://localhost:8787/api/admin/requirements/documents/cmm4yun0j008ncuqwdpufk2zv/view";"Öppna PDF")</f>
        <v/>
      </c>
      <c r="F2364">
        <f>HYPERLINK("http://localhost:8787/api/admin/requirements/documents/cmm4yun0j008ncuqwdpufk2zv/view","Open PDF")</f>
        <v/>
      </c>
      <c r="G2364" t="inlineStr">
        <is>
          <t>cmm55w57p0004cuisfrtpqly8</t>
        </is>
      </c>
      <c r="H2364" t="inlineStr">
        <is>
          <t>Beslutsvillkor</t>
        </is>
      </c>
      <c r="I2364" t="inlineStr">
        <is>
          <t>DagvattenLakvatten</t>
        </is>
      </c>
      <c r="J2364" t="inlineStr">
        <is>
          <t>Uppsamling</t>
        </is>
      </c>
      <c r="K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L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M2364" t="inlineStr">
        <is>
          <t>SKA</t>
        </is>
      </c>
      <c r="N2364" t="inlineStr"/>
      <c r="O2364" t="inlineStr"/>
      <c r="P2364" t="inlineStr"/>
      <c r="Q2364" t="inlineStr"/>
      <c r="R2364" t="inlineStr">
        <is>
          <t>Vid nederbord och avrinning</t>
        </is>
      </c>
      <c r="S2364" t="inlineStr"/>
      <c r="T2364" t="inlineStr">
        <is>
          <t>88 63 89</t>
        </is>
      </c>
      <c r="U2364" t="inlineStr"/>
      <c r="V2364" t="inlineStr"/>
      <c r="W2364" t="inlineStr">
        <is>
          <t>Nej</t>
        </is>
      </c>
      <c r="X2364" t="inlineStr">
        <is>
          <t>Ja</t>
        </is>
      </c>
      <c r="Y2364" t="inlineStr">
        <is>
          <t>Ja</t>
        </is>
      </c>
      <c r="Z2364" t="inlineStr">
        <is>
          <t>Nej</t>
        </is>
      </c>
      <c r="AA2364" t="n">
        <v>6</v>
      </c>
      <c r="AB2364" t="inlineStr">
        <is>
          <t>Lakvattenhantering</t>
        </is>
      </c>
      <c r="AC2364" t="inlineStr">
        <is>
          <t>Flodesschema dagvatten-lakvatten</t>
        </is>
      </c>
      <c r="AD2364" t="inlineStr">
        <is>
          <t>Nej</t>
        </is>
      </c>
      <c r="AE2364" t="inlineStr">
        <is>
          <t>Nej</t>
        </is>
      </c>
      <c r="AF2364" t="inlineStr">
        <is>
          <t>Ej behandlad</t>
        </is>
      </c>
      <c r="AG2364" t="inlineStr">
        <is>
          <t>AUTO_GENERERAD. Verifiera citat mot kallfil.</t>
        </is>
      </c>
      <c r="AH2364" t="inlineStr">
        <is>
          <t>MEDIUM</t>
        </is>
      </c>
      <c r="AI2364" t="inlineStr">
        <is>
          <t>AUTO</t>
        </is>
      </c>
      <c r="AJ2364" t="inlineStr">
        <is>
          <t>Nej</t>
        </is>
      </c>
      <c r="AK2364" t="inlineStr"/>
      <c r="AL2364" t="inlineStr"/>
      <c r="AM2364" t="inlineStr"/>
      <c r="AN2364" t="inlineStr"/>
      <c r="AO2364" t="inlineStr">
        <is>
          <t>cmm4yun100095cuqwa7q19sxt</t>
        </is>
      </c>
      <c r="AP2364" t="inlineStr">
        <is>
          <t>http://localhost:8787/api/admin/requirements/documents/cmm4yun100095cuqwa7q19sxt/view</t>
        </is>
      </c>
      <c r="AQ2364">
        <f>HYPERLÄNK("http://localhost:8787/api/admin/requirements/documents/cmm4yun100095cuqwa7q19sxt/view";"Öppna PDF")</f>
        <v/>
      </c>
      <c r="AR2364">
        <f>HYPERLINK("http://localhost:8787/api/admin/requirements/documents/cmm4yun100095cuqwa7q19sxt/view","Open PDF")</f>
        <v/>
      </c>
      <c r="AS2364" t="inlineStr">
        <is>
          <t>cmm55w57p0004cuisfrtpqly8</t>
        </is>
      </c>
      <c r="AT2364" t="inlineStr">
        <is>
          <t>cmm4xvu980000cuh4vj0usz09</t>
        </is>
      </c>
      <c r="AU2364" t="inlineStr">
        <is>
          <t>Malmbäck Postadress Falkenbergs</t>
        </is>
      </c>
      <c r="AV2364" t="inlineStr">
        <is>
          <t>Kommun</t>
        </is>
      </c>
      <c r="AW2364" t="inlineStr">
        <is>
          <t>Malmbäck Postadress Falkenbergs kommun</t>
        </is>
      </c>
      <c r="AX2364" t="inlineStr">
        <is>
          <t>2025-02</t>
        </is>
      </c>
      <c r="AY2364" t="inlineStr">
        <is>
          <t>Beslut</t>
        </is>
      </c>
      <c r="AZ2364" t="inlineStr">
        <is>
          <t>2026-02-03</t>
        </is>
      </c>
      <c r="BA2364" t="inlineStr">
        <is>
          <t>M-2025-671_2025-02-14_Beslut (MHF MHN)_Tröinge 6 70.pdf</t>
        </is>
      </c>
      <c r="BB2364" t="inlineStr">
        <is>
          <t>Efterfrågade handlingar</t>
        </is>
      </c>
      <c r="BC2364" t="inlineStr">
        <is>
          <t>AUTO</t>
        </is>
      </c>
      <c r="BD2364" t="inlineStr"/>
      <c r="BE2364" t="inlineStr"/>
      <c r="BF2364" t="inlineStr">
        <is>
          <t>AUTO_GENERERAD. Bekrafta metadata mot kallfil.</t>
        </is>
      </c>
      <c r="BG2364">
        <f>HYPERLINK("C:\Users\jimmy\Desktop\Examens arbete\Kod\Ny mapp\remix_-copy-of-miljöbeslut.se-portal\M-2025-671_2025-02-14_Beslut (MHF MHN)_Tröinge 6 70.pdf", "Öppna PDF")</f>
        <v/>
      </c>
    </row>
    <row r="2365">
      <c r="A2365" t="inlineStr">
        <is>
          <t>KRAV-AUTO-002364</t>
        </is>
      </c>
      <c r="B2365" t="inlineStr">
        <is>
          <t>ADMIN-INDEX-2026-02-27-00000000125C043F57453246863FE664CAFE6A3F0700950291EA24F0614FB6ACEDB12BF0E31D00000000010C0000950291EA24F0614FB6ACEDB12BF0E31D00002087B1D00000</t>
        </is>
      </c>
      <c r="C2365" t="inlineStr">
        <is>
          <t>cmm4yun0j008ncuqwdpufk2zv</t>
        </is>
      </c>
      <c r="D2365" t="inlineStr">
        <is>
          <t>http://localhost:8787/api/admin/requirements/documents/cmm4yun0j008ncuqwdpufk2zv/view</t>
        </is>
      </c>
      <c r="E2365">
        <f>HYPERLÄNK("http://localhost:8787/api/admin/requirements/documents/cmm4yun0j008ncuqwdpufk2zv/view";"Öppna PDF")</f>
        <v/>
      </c>
      <c r="F2365">
        <f>HYPERLINK("http://localhost:8787/api/admin/requirements/documents/cmm4yun0j008ncuqwdpufk2zv/view","Open PDF")</f>
        <v/>
      </c>
      <c r="G2365" t="inlineStr">
        <is>
          <t>cmm55w57p0004cuisfrtpqly8</t>
        </is>
      </c>
      <c r="H2365" t="inlineStr">
        <is>
          <t>Beslutsvillkor</t>
        </is>
      </c>
      <c r="I2365" t="inlineStr">
        <is>
          <t>MiljopaverkanForsiktighet</t>
        </is>
      </c>
      <c r="J2365" t="inlineStr">
        <is>
          <t>Skyddsatgarder</t>
        </is>
      </c>
      <c r="K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65" t="inlineStr">
        <is>
          <t>SKA</t>
        </is>
      </c>
      <c r="N2365" t="inlineStr">
        <is>
          <t>FMH</t>
        </is>
      </c>
      <c r="O2365" t="inlineStr"/>
      <c r="P2365" t="inlineStr">
        <is>
          <t>Arlig</t>
        </is>
      </c>
      <c r="Q2365" t="inlineStr">
        <is>
          <t>Forbud</t>
        </is>
      </c>
      <c r="R2365" t="inlineStr">
        <is>
          <t>Alltid</t>
        </is>
      </c>
      <c r="S2365" t="inlineStr"/>
      <c r="T2365" t="inlineStr">
        <is>
          <t>88 63 89</t>
        </is>
      </c>
      <c r="U2365" t="inlineStr"/>
      <c r="V2365" t="inlineStr"/>
      <c r="W2365" t="inlineStr">
        <is>
          <t>Nej</t>
        </is>
      </c>
      <c r="X2365" t="inlineStr">
        <is>
          <t>Nej</t>
        </is>
      </c>
      <c r="Y2365" t="inlineStr">
        <is>
          <t>Nej</t>
        </is>
      </c>
      <c r="Z2365" t="inlineStr">
        <is>
          <t>Nej</t>
        </is>
      </c>
      <c r="AA2365" t="n">
        <v>10</v>
      </c>
      <c r="AB2365" t="inlineStr">
        <is>
          <t>Miljopaverkan och forsiktighetsmatt</t>
        </is>
      </c>
      <c r="AC2365" t="inlineStr">
        <is>
          <t>Miljo-PM</t>
        </is>
      </c>
      <c r="AD2365" t="inlineStr">
        <is>
          <t>Nej</t>
        </is>
      </c>
      <c r="AE2365" t="inlineStr">
        <is>
          <t>Nej</t>
        </is>
      </c>
      <c r="AF2365" t="inlineStr">
        <is>
          <t>Ej behandlad</t>
        </is>
      </c>
      <c r="AG2365" t="inlineStr">
        <is>
          <t>AUTO_GENERERAD. Verifiera citat mot kallfil.</t>
        </is>
      </c>
      <c r="AH2365" t="inlineStr">
        <is>
          <t>HIGH</t>
        </is>
      </c>
      <c r="AI2365" t="inlineStr">
        <is>
          <t>AUTO</t>
        </is>
      </c>
      <c r="AJ2365" t="inlineStr">
        <is>
          <t>Nej</t>
        </is>
      </c>
      <c r="AK2365" t="inlineStr"/>
      <c r="AL2365" t="inlineStr"/>
      <c r="AM2365" t="inlineStr"/>
      <c r="AN2365" t="inlineStr"/>
      <c r="AO2365" t="inlineStr">
        <is>
          <t>cmm4yun100095cuqwa7q19sxt</t>
        </is>
      </c>
      <c r="AP2365" t="inlineStr">
        <is>
          <t>http://localhost:8787/api/admin/requirements/documents/cmm4yun100095cuqwa7q19sxt/view</t>
        </is>
      </c>
      <c r="AQ2365">
        <f>HYPERLÄNK("http://localhost:8787/api/admin/requirements/documents/cmm4yun100095cuqwa7q19sxt/view";"Öppna PDF")</f>
        <v/>
      </c>
      <c r="AR2365">
        <f>HYPERLINK("http://localhost:8787/api/admin/requirements/documents/cmm4yun100095cuqwa7q19sxt/view","Open PDF")</f>
        <v/>
      </c>
      <c r="AS2365" t="inlineStr">
        <is>
          <t>cmm55w57p0004cuisfrtpqly8</t>
        </is>
      </c>
      <c r="AT2365" t="inlineStr">
        <is>
          <t>cmm4xvu980000cuh4vj0usz09</t>
        </is>
      </c>
      <c r="AU2365" t="inlineStr">
        <is>
          <t>Malmbäck Postadress Falkenbergs</t>
        </is>
      </c>
      <c r="AV2365" t="inlineStr">
        <is>
          <t>Kommun</t>
        </is>
      </c>
      <c r="AW2365" t="inlineStr">
        <is>
          <t>Malmbäck Postadress Falkenbergs kommun</t>
        </is>
      </c>
      <c r="AX2365" t="inlineStr">
        <is>
          <t>2025-02</t>
        </is>
      </c>
      <c r="AY2365" t="inlineStr">
        <is>
          <t>Beslut</t>
        </is>
      </c>
      <c r="AZ2365" t="inlineStr">
        <is>
          <t>2026-02-03</t>
        </is>
      </c>
      <c r="BA2365" t="inlineStr">
        <is>
          <t>M-2025-671_2025-02-14_Beslut (MHF MHN)_Tröinge 6 70.pdf</t>
        </is>
      </c>
      <c r="BB2365" t="inlineStr">
        <is>
          <t>Efterfrågade handlingar</t>
        </is>
      </c>
      <c r="BC2365" t="inlineStr">
        <is>
          <t>AUTO</t>
        </is>
      </c>
      <c r="BD2365" t="inlineStr"/>
      <c r="BE2365" t="inlineStr"/>
      <c r="BF2365" t="inlineStr">
        <is>
          <t>AUTO_GENERERAD. Bekrafta metadata mot kallfil.</t>
        </is>
      </c>
      <c r="BG2365">
        <f>HYPERLINK("C:\Users\jimmy\Desktop\Examens arbete\Kod\Ny mapp\remix_-copy-of-miljöbeslut.se-portal\M-2025-671_2025-02-14_Beslut (MHF MHN)_Tröinge 6 70.pdf", "Öppna PDF")</f>
        <v/>
      </c>
    </row>
    <row r="2366">
      <c r="A2366" t="inlineStr">
        <is>
          <t>KRAV-AUTO-002365</t>
        </is>
      </c>
      <c r="B2366" t="inlineStr">
        <is>
          <t>ADMIN-INDEX-2026-02-27-00000000125C043F57453246863FE664CAFE6A3F0700950291EA24F0614FB6ACEDB12BF0E31D00000000010C0000950291EA24F0614FB6ACEDB12BF0E31D00002087B1D00000</t>
        </is>
      </c>
      <c r="C2366" t="inlineStr">
        <is>
          <t>cmm4yun0j008ncuqwdpufk2zv</t>
        </is>
      </c>
      <c r="D2366" t="inlineStr">
        <is>
          <t>http://localhost:8787/api/admin/requirements/documents/cmm4yun0j008ncuqwdpufk2zv/view</t>
        </is>
      </c>
      <c r="E2366">
        <f>HYPERLÄNK("http://localhost:8787/api/admin/requirements/documents/cmm4yun0j008ncuqwdpufk2zv/view";"Öppna PDF")</f>
        <v/>
      </c>
      <c r="F2366">
        <f>HYPERLINK("http://localhost:8787/api/admin/requirements/documents/cmm4yun0j008ncuqwdpufk2zv/view","Open PDF")</f>
        <v/>
      </c>
      <c r="G2366" t="inlineStr">
        <is>
          <t>cmm55w57p0004cuisfrtpqly8</t>
        </is>
      </c>
      <c r="H2366" t="inlineStr">
        <is>
          <t>Beslutsvillkor</t>
        </is>
      </c>
      <c r="I2366" t="inlineStr">
        <is>
          <t>LagringsvolymTid</t>
        </is>
      </c>
      <c r="J2366" t="inlineStr">
        <is>
          <t>Maxmangd</t>
        </is>
      </c>
      <c r="K2366" t="inlineStr">
        <is>
          <t>Materialtyp, avfallskod och avfallsmängder ska framgå tydligt och i enlighet med avfallsförordningen (2020:614).</t>
        </is>
      </c>
      <c r="L2366" t="inlineStr">
        <is>
          <t>Materialtyp, avfallskod och avfallsmängder ska framgå tydligt och i enlighet med avfallsförordningen (2020:614).</t>
        </is>
      </c>
      <c r="M2366" t="inlineStr">
        <is>
          <t>SKA</t>
        </is>
      </c>
      <c r="N2366" t="inlineStr"/>
      <c r="O2366" t="inlineStr"/>
      <c r="P2366" t="inlineStr"/>
      <c r="Q2366" t="inlineStr"/>
      <c r="R2366" t="inlineStr">
        <is>
          <t>Alltid</t>
        </is>
      </c>
      <c r="S2366" t="inlineStr"/>
      <c r="T2366" t="inlineStr">
        <is>
          <t>88 63 89</t>
        </is>
      </c>
      <c r="U2366" t="inlineStr"/>
      <c r="V2366" t="inlineStr"/>
      <c r="W2366" t="inlineStr">
        <is>
          <t>Nej</t>
        </is>
      </c>
      <c r="X2366" t="inlineStr">
        <is>
          <t>Nej</t>
        </is>
      </c>
      <c r="Y2366" t="inlineStr">
        <is>
          <t>Nej</t>
        </is>
      </c>
      <c r="Z2366" t="inlineStr">
        <is>
          <t>Nej</t>
        </is>
      </c>
      <c r="AA2366" t="n">
        <v>4</v>
      </c>
      <c r="AB2366" t="inlineStr">
        <is>
          <t>Avfallsmangder och lagringstid</t>
        </is>
      </c>
      <c r="AC2366" t="inlineStr">
        <is>
          <t>Avfallsforteckning</t>
        </is>
      </c>
      <c r="AD2366" t="inlineStr">
        <is>
          <t>Nej</t>
        </is>
      </c>
      <c r="AE2366" t="inlineStr">
        <is>
          <t>Nej</t>
        </is>
      </c>
      <c r="AF2366" t="inlineStr">
        <is>
          <t>Ej behandlad</t>
        </is>
      </c>
      <c r="AG2366" t="inlineStr">
        <is>
          <t>AUTO_GENERERAD. Verifiera citat mot kallfil.</t>
        </is>
      </c>
      <c r="AH2366" t="inlineStr">
        <is>
          <t>MEDIUM</t>
        </is>
      </c>
      <c r="AI2366" t="inlineStr">
        <is>
          <t>AUTO</t>
        </is>
      </c>
      <c r="AJ2366" t="inlineStr">
        <is>
          <t>Nej</t>
        </is>
      </c>
      <c r="AK2366" t="inlineStr"/>
      <c r="AL2366" t="inlineStr"/>
      <c r="AM2366" t="inlineStr"/>
      <c r="AN2366" t="inlineStr"/>
      <c r="AO2366" t="inlineStr">
        <is>
          <t>cmm4yun100095cuqwa7q19sxt</t>
        </is>
      </c>
      <c r="AP2366" t="inlineStr">
        <is>
          <t>http://localhost:8787/api/admin/requirements/documents/cmm4yun100095cuqwa7q19sxt/view</t>
        </is>
      </c>
      <c r="AQ2366">
        <f>HYPERLÄNK("http://localhost:8787/api/admin/requirements/documents/cmm4yun100095cuqwa7q19sxt/view";"Öppna PDF")</f>
        <v/>
      </c>
      <c r="AR2366">
        <f>HYPERLINK("http://localhost:8787/api/admin/requirements/documents/cmm4yun100095cuqwa7q19sxt/view","Open PDF")</f>
        <v/>
      </c>
      <c r="AS2366" t="inlineStr">
        <is>
          <t>cmm55w57p0004cuisfrtpqly8</t>
        </is>
      </c>
      <c r="AT2366" t="inlineStr">
        <is>
          <t>cmm4xvu980000cuh4vj0usz09</t>
        </is>
      </c>
      <c r="AU2366" t="inlineStr">
        <is>
          <t>Malmbäck Postadress Falkenbergs</t>
        </is>
      </c>
      <c r="AV2366" t="inlineStr">
        <is>
          <t>Kommun</t>
        </is>
      </c>
      <c r="AW2366" t="inlineStr">
        <is>
          <t>Malmbäck Postadress Falkenbergs kommun</t>
        </is>
      </c>
      <c r="AX2366" t="inlineStr">
        <is>
          <t>2025-02</t>
        </is>
      </c>
      <c r="AY2366" t="inlineStr">
        <is>
          <t>Beslut</t>
        </is>
      </c>
      <c r="AZ2366" t="inlineStr">
        <is>
          <t>2026-02-03</t>
        </is>
      </c>
      <c r="BA2366" t="inlineStr">
        <is>
          <t>M-2025-671_2025-02-14_Beslut (MHF MHN)_Tröinge 6 70.pdf</t>
        </is>
      </c>
      <c r="BB2366" t="inlineStr">
        <is>
          <t>Efterfrågade handlingar</t>
        </is>
      </c>
      <c r="BC2366" t="inlineStr">
        <is>
          <t>AUTO</t>
        </is>
      </c>
      <c r="BD2366" t="inlineStr"/>
      <c r="BE2366" t="inlineStr"/>
      <c r="BF2366" t="inlineStr">
        <is>
          <t>AUTO_GENERERAD. Bekrafta metadata mot kallfil.</t>
        </is>
      </c>
      <c r="BG2366">
        <f>HYPERLINK("C:\Users\jimmy\Desktop\Examens arbete\Kod\Ny mapp\remix_-copy-of-miljöbeslut.se-portal\M-2025-671_2025-02-14_Beslut (MHF MHN)_Tröinge 6 70.pdf", "Öppna PDF")</f>
        <v/>
      </c>
    </row>
    <row r="2367">
      <c r="A2367" t="inlineStr">
        <is>
          <t>KRAV-AUTO-002366</t>
        </is>
      </c>
      <c r="B2367" t="inlineStr">
        <is>
          <t>ADMIN-INDEX-2026-02-27-00000000125C043F57453246863FE664CAFE6A3F0700950291EA24F0614FB6ACEDB12BF0E31D00000000010C0000950291EA24F0614FB6ACEDB12BF0E31D00002087B1D00000</t>
        </is>
      </c>
      <c r="C2367" t="inlineStr">
        <is>
          <t>cmm4yun0g008kcuqwlvlb7oed</t>
        </is>
      </c>
      <c r="D2367" t="inlineStr">
        <is>
          <t>http://localhost:8787/api/admin/requirements/documents/cmm4yun0g008kcuqwlvlb7oed/view</t>
        </is>
      </c>
      <c r="E2367">
        <f>HYPERLÄNK("http://localhost:8787/api/admin/requirements/documents/cmm4yun0g008kcuqwlvlb7oed/view";"Öppna PDF")</f>
        <v/>
      </c>
      <c r="F2367">
        <f>HYPERLINK("http://localhost:8787/api/admin/requirements/documents/cmm4yun0g008kcuqwlvlb7oed/view","Open PDF")</f>
        <v/>
      </c>
      <c r="G2367" t="inlineStr">
        <is>
          <t>cmm55w57p0004cuisfrtpqly8</t>
        </is>
      </c>
      <c r="H2367" t="inlineStr">
        <is>
          <t>Beslutsvillkor</t>
        </is>
      </c>
      <c r="I2367" t="inlineStr">
        <is>
          <t>LagringsvolymTid</t>
        </is>
      </c>
      <c r="J2367" t="inlineStr">
        <is>
          <t>Maxmangd</t>
        </is>
      </c>
      <c r="K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 och tack för snabb återkoppling!</t>
        </is>
      </c>
      <c r="L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t>
        </is>
      </c>
      <c r="M2367" t="inlineStr">
        <is>
          <t>BOR</t>
        </is>
      </c>
      <c r="N2367" t="inlineStr"/>
      <c r="O2367" t="inlineStr"/>
      <c r="P2367" t="inlineStr"/>
      <c r="Q2367" t="inlineStr"/>
      <c r="R2367" t="inlineStr">
        <is>
          <t>Alltid</t>
        </is>
      </c>
      <c r="S2367" t="inlineStr"/>
      <c r="T2367" t="inlineStr">
        <is>
          <t>17 05 04</t>
        </is>
      </c>
      <c r="U2367" t="n">
        <v>200</v>
      </c>
      <c r="V2367" t="inlineStr"/>
      <c r="W2367" t="inlineStr">
        <is>
          <t>Nej</t>
        </is>
      </c>
      <c r="X2367" t="inlineStr">
        <is>
          <t>Nej</t>
        </is>
      </c>
      <c r="Y2367" t="inlineStr">
        <is>
          <t>Nej</t>
        </is>
      </c>
      <c r="Z2367" t="inlineStr">
        <is>
          <t>Nej</t>
        </is>
      </c>
      <c r="AA2367" t="n">
        <v>4</v>
      </c>
      <c r="AB2367" t="inlineStr">
        <is>
          <t>Avfallsmangder och lagringstid</t>
        </is>
      </c>
      <c r="AC2367" t="inlineStr">
        <is>
          <t>Avfallsforteckning</t>
        </is>
      </c>
      <c r="AD2367" t="inlineStr">
        <is>
          <t>Nej</t>
        </is>
      </c>
      <c r="AE2367" t="inlineStr">
        <is>
          <t>Nej</t>
        </is>
      </c>
      <c r="AF2367" t="inlineStr">
        <is>
          <t>Ej behandlad</t>
        </is>
      </c>
      <c r="AG2367" t="inlineStr">
        <is>
          <t>AUTO_GENERERAD. Verifiera citat mot kallfil.</t>
        </is>
      </c>
      <c r="AH2367" t="inlineStr">
        <is>
          <t>MEDIUM</t>
        </is>
      </c>
      <c r="AI2367" t="inlineStr">
        <is>
          <t>AUTO</t>
        </is>
      </c>
      <c r="AJ2367" t="inlineStr">
        <is>
          <t>Nej</t>
        </is>
      </c>
      <c r="AK2367" t="inlineStr"/>
      <c r="AL2367" t="inlineStr"/>
      <c r="AM2367" t="inlineStr"/>
      <c r="AN2367" t="inlineStr"/>
      <c r="AO2367" t="inlineStr">
        <is>
          <t>cmm4yun100095cuqwa7q19sxt</t>
        </is>
      </c>
      <c r="AP2367" t="inlineStr">
        <is>
          <t>http://localhost:8787/api/admin/requirements/documents/cmm4yun100095cuqwa7q19sxt/view</t>
        </is>
      </c>
      <c r="AQ2367">
        <f>HYPERLÄNK("http://localhost:8787/api/admin/requirements/documents/cmm4yun100095cuqwa7q19sxt/view";"Öppna PDF")</f>
        <v/>
      </c>
      <c r="AR2367">
        <f>HYPERLINK("http://localhost:8787/api/admin/requirements/documents/cmm4yun100095cuqwa7q19sxt/view","Open PDF")</f>
        <v/>
      </c>
      <c r="AS2367" t="inlineStr">
        <is>
          <t>cmm55w57p0004cuisfrtpqly8</t>
        </is>
      </c>
      <c r="AT2367" t="inlineStr">
        <is>
          <t>cmm4xvu980000cuh4vj0usz09</t>
        </is>
      </c>
      <c r="AU2367" t="inlineStr">
        <is>
          <t>Malmbäck Postadress Falkenbergs</t>
        </is>
      </c>
      <c r="AV2367" t="inlineStr">
        <is>
          <t>Kommun</t>
        </is>
      </c>
      <c r="AW2367" t="inlineStr">
        <is>
          <t>Malmbäck Postadress Falkenbergs kommun</t>
        </is>
      </c>
      <c r="AX2367" t="inlineStr">
        <is>
          <t>2025-02</t>
        </is>
      </c>
      <c r="AY2367" t="inlineStr">
        <is>
          <t>Beslut</t>
        </is>
      </c>
      <c r="AZ2367" t="inlineStr">
        <is>
          <t>2026-02-03</t>
        </is>
      </c>
      <c r="BA2367" t="inlineStr">
        <is>
          <t>M-2025-671_2025-02-14_Beslut (MHF MHN)_Tröinge 6 70.pdf</t>
        </is>
      </c>
      <c r="BB2367" t="inlineStr">
        <is>
          <t>Efterfrågade handlingar</t>
        </is>
      </c>
      <c r="BC2367" t="inlineStr">
        <is>
          <t>AUTO</t>
        </is>
      </c>
      <c r="BD2367" t="inlineStr"/>
      <c r="BE2367" t="inlineStr"/>
      <c r="BF2367" t="inlineStr">
        <is>
          <t>AUTO_GENERERAD. Bekrafta metadata mot kallfil.</t>
        </is>
      </c>
      <c r="BG2367">
        <f>HYPERLINK("C:\Users\jimmy\Desktop\Examens arbete\Kod\Ny mapp\remix_-copy-of-miljöbeslut.se-portal\M-2025-671_2025-02-14_Beslut (MHF MHN)_Tröinge 6 70.pdf", "Öppna PDF")</f>
        <v/>
      </c>
    </row>
    <row r="2368">
      <c r="A2368" t="inlineStr">
        <is>
          <t>KRAV-AUTO-002367</t>
        </is>
      </c>
      <c r="B2368" t="inlineStr">
        <is>
          <t>ADMIN-INDEX-2026-02-27-00000000125C043F57453246863FE664CAFE6A3F0700950291EA24F0614FB6ACEDB12BF0E31D00000000010C0000950291EA24F0614FB6ACEDB12BF0E31D00002087B1D00000</t>
        </is>
      </c>
      <c r="C2368" t="inlineStr">
        <is>
          <t>cmm4yun0g008kcuqwlvlb7oed</t>
        </is>
      </c>
      <c r="D2368" t="inlineStr">
        <is>
          <t>http://localhost:8787/api/admin/requirements/documents/cmm4yun0g008kcuqwlvlb7oed/view</t>
        </is>
      </c>
      <c r="E2368">
        <f>HYPERLÄNK("http://localhost:8787/api/admin/requirements/documents/cmm4yun0g008kcuqwlvlb7oed/view";"Öppna PDF")</f>
        <v/>
      </c>
      <c r="F2368">
        <f>HYPERLINK("http://localhost:8787/api/admin/requirements/documents/cmm4yun0g008kcuqwlvlb7oed/view","Open PDF")</f>
        <v/>
      </c>
      <c r="G2368" t="inlineStr">
        <is>
          <t>cmm55w57p0004cuisfrtpqly8</t>
        </is>
      </c>
      <c r="H2368" t="inlineStr">
        <is>
          <t>Beslutsvillkor</t>
        </is>
      </c>
      <c r="I2368" t="inlineStr">
        <is>
          <t>MiljopaverkanForsiktighet</t>
        </is>
      </c>
      <c r="J2368" t="inlineStr">
        <is>
          <t>Skyddsatgarder</t>
        </is>
      </c>
      <c r="K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8" t="inlineStr">
        <is>
          <t>BOR</t>
        </is>
      </c>
      <c r="N2368" t="inlineStr"/>
      <c r="O2368" t="inlineStr"/>
      <c r="P2368" t="inlineStr"/>
      <c r="Q2368" t="inlineStr"/>
      <c r="R2368" t="inlineStr">
        <is>
          <t>Alltid</t>
        </is>
      </c>
      <c r="S2368" t="inlineStr"/>
      <c r="T2368" t="inlineStr">
        <is>
          <t>17 05 04</t>
        </is>
      </c>
      <c r="U2368" t="inlineStr"/>
      <c r="V2368" t="inlineStr"/>
      <c r="W2368" t="inlineStr">
        <is>
          <t>Nej</t>
        </is>
      </c>
      <c r="X2368" t="inlineStr">
        <is>
          <t>Nej</t>
        </is>
      </c>
      <c r="Y2368" t="inlineStr">
        <is>
          <t>Nej</t>
        </is>
      </c>
      <c r="Z2368" t="inlineStr">
        <is>
          <t>Nej</t>
        </is>
      </c>
      <c r="AA2368" t="n">
        <v>10</v>
      </c>
      <c r="AB2368" t="inlineStr">
        <is>
          <t>Miljopaverkan och forsiktighetsmatt</t>
        </is>
      </c>
      <c r="AC2368" t="inlineStr">
        <is>
          <t>Miljo-PM</t>
        </is>
      </c>
      <c r="AD2368" t="inlineStr">
        <is>
          <t>Nej</t>
        </is>
      </c>
      <c r="AE2368" t="inlineStr">
        <is>
          <t>Nej</t>
        </is>
      </c>
      <c r="AF2368" t="inlineStr">
        <is>
          <t>Ej behandlad</t>
        </is>
      </c>
      <c r="AG2368" t="inlineStr">
        <is>
          <t>AUTO_GENERERAD. Verifiera citat mot kallfil.</t>
        </is>
      </c>
      <c r="AH2368" t="inlineStr">
        <is>
          <t>MEDIUM</t>
        </is>
      </c>
      <c r="AI2368" t="inlineStr">
        <is>
          <t>AUTO</t>
        </is>
      </c>
      <c r="AJ2368" t="inlineStr">
        <is>
          <t>Nej</t>
        </is>
      </c>
      <c r="AK2368" t="inlineStr"/>
      <c r="AL2368" t="inlineStr"/>
      <c r="AM2368" t="inlineStr"/>
      <c r="AN2368" t="inlineStr"/>
      <c r="AO2368" t="inlineStr">
        <is>
          <t>cmm4yun100095cuqwa7q19sxt</t>
        </is>
      </c>
      <c r="AP2368" t="inlineStr">
        <is>
          <t>http://localhost:8787/api/admin/requirements/documents/cmm4yun100095cuqwa7q19sxt/view</t>
        </is>
      </c>
      <c r="AQ2368">
        <f>HYPERLÄNK("http://localhost:8787/api/admin/requirements/documents/cmm4yun100095cuqwa7q19sxt/view";"Öppna PDF")</f>
        <v/>
      </c>
      <c r="AR2368">
        <f>HYPERLINK("http://localhost:8787/api/admin/requirements/documents/cmm4yun100095cuqwa7q19sxt/view","Open PDF")</f>
        <v/>
      </c>
      <c r="AS2368" t="inlineStr">
        <is>
          <t>cmm55w57p0004cuisfrtpqly8</t>
        </is>
      </c>
      <c r="AT2368" t="inlineStr">
        <is>
          <t>cmm4xvu980000cuh4vj0usz09</t>
        </is>
      </c>
      <c r="AU2368" t="inlineStr">
        <is>
          <t>Malmbäck Postadress Falkenbergs</t>
        </is>
      </c>
      <c r="AV2368" t="inlineStr">
        <is>
          <t>Kommun</t>
        </is>
      </c>
      <c r="AW2368" t="inlineStr">
        <is>
          <t>Malmbäck Postadress Falkenbergs kommun</t>
        </is>
      </c>
      <c r="AX2368" t="inlineStr">
        <is>
          <t>2025-02</t>
        </is>
      </c>
      <c r="AY2368" t="inlineStr">
        <is>
          <t>Beslut</t>
        </is>
      </c>
      <c r="AZ2368" t="inlineStr">
        <is>
          <t>2026-02-03</t>
        </is>
      </c>
      <c r="BA2368" t="inlineStr">
        <is>
          <t>M-2025-671_2025-02-14_Beslut (MHF MHN)_Tröinge 6 70.pdf</t>
        </is>
      </c>
      <c r="BB2368" t="inlineStr">
        <is>
          <t>Efterfrågade handlingar</t>
        </is>
      </c>
      <c r="BC2368" t="inlineStr">
        <is>
          <t>AUTO</t>
        </is>
      </c>
      <c r="BD2368" t="inlineStr"/>
      <c r="BE2368" t="inlineStr"/>
      <c r="BF2368" t="inlineStr">
        <is>
          <t>AUTO_GENERERAD. Bekrafta metadata mot kallfil.</t>
        </is>
      </c>
      <c r="BG2368">
        <f>HYPERLINK("C:\Users\jimmy\Desktop\Examens arbete\Kod\Ny mapp\remix_-copy-of-miljöbeslut.se-portal\M-2025-671_2025-02-14_Beslut (MHF MHN)_Tröinge 6 70.pdf", "Öppna PDF")</f>
        <v/>
      </c>
    </row>
    <row r="2369">
      <c r="A2369" t="inlineStr">
        <is>
          <t>KRAV-AUTO-002368</t>
        </is>
      </c>
      <c r="B2369" t="inlineStr">
        <is>
          <t>ADMIN-INDEX-2026-02-27-00000000125C043F57453246863FE664CAFE6A3F0700950291EA24F0614FB6ACEDB12BF0E31D00000000010C0000950291EA24F0614FB6ACEDB12BF0E31D00002087B1D00000</t>
        </is>
      </c>
      <c r="C2369" t="inlineStr">
        <is>
          <t>cmm4yun0d008hcuqw8bb1y0kl</t>
        </is>
      </c>
      <c r="D2369" t="inlineStr">
        <is>
          <t>http://localhost:8787/api/admin/requirements/documents/cmm4yun0d008hcuqw8bb1y0kl/view</t>
        </is>
      </c>
      <c r="E2369">
        <f>HYPERLÄNK("http://localhost:8787/api/admin/requirements/documents/cmm4yun0d008hcuqw8bb1y0kl/view";"Öppna PDF")</f>
        <v/>
      </c>
      <c r="F2369">
        <f>HYPERLINK("http://localhost:8787/api/admin/requirements/documents/cmm4yun0d008hcuqw8bb1y0kl/view","Open PDF")</f>
        <v/>
      </c>
      <c r="G2369" t="inlineStr">
        <is>
          <t>cmm55w57p0004cuisfrtpqly8</t>
        </is>
      </c>
      <c r="H2369" t="inlineStr">
        <is>
          <t>Beslutsvillkor</t>
        </is>
      </c>
      <c r="I2369" t="inlineStr">
        <is>
          <t>MiljopaverkanForsiktighet</t>
        </is>
      </c>
      <c r="J2369" t="inlineStr">
        <is>
          <t>Skyddsatgarder</t>
        </is>
      </c>
      <c r="K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9" t="inlineStr">
        <is>
          <t>BOR</t>
        </is>
      </c>
      <c r="N2369" t="inlineStr"/>
      <c r="O2369" t="inlineStr"/>
      <c r="P2369" t="inlineStr"/>
      <c r="Q2369" t="inlineStr"/>
      <c r="R2369" t="inlineStr">
        <is>
          <t>Alltid</t>
        </is>
      </c>
      <c r="S2369" t="inlineStr"/>
      <c r="T2369" t="inlineStr">
        <is>
          <t>17 05 04</t>
        </is>
      </c>
      <c r="U2369" t="inlineStr"/>
      <c r="V2369" t="inlineStr"/>
      <c r="W2369" t="inlineStr">
        <is>
          <t>Nej</t>
        </is>
      </c>
      <c r="X2369" t="inlineStr">
        <is>
          <t>Nej</t>
        </is>
      </c>
      <c r="Y2369" t="inlineStr">
        <is>
          <t>Nej</t>
        </is>
      </c>
      <c r="Z2369" t="inlineStr">
        <is>
          <t>Nej</t>
        </is>
      </c>
      <c r="AA2369" t="n">
        <v>10</v>
      </c>
      <c r="AB2369" t="inlineStr">
        <is>
          <t>Miljopaverkan och forsiktighetsmatt</t>
        </is>
      </c>
      <c r="AC2369" t="inlineStr">
        <is>
          <t>Miljo-PM</t>
        </is>
      </c>
      <c r="AD2369" t="inlineStr">
        <is>
          <t>Nej</t>
        </is>
      </c>
      <c r="AE2369" t="inlineStr">
        <is>
          <t>Nej</t>
        </is>
      </c>
      <c r="AF2369" t="inlineStr">
        <is>
          <t>Ej behandlad</t>
        </is>
      </c>
      <c r="AG2369" t="inlineStr">
        <is>
          <t>AUTO_GENERERAD. Verifiera citat mot kallfil.</t>
        </is>
      </c>
      <c r="AH2369" t="inlineStr">
        <is>
          <t>MEDIUM</t>
        </is>
      </c>
      <c r="AI2369" t="inlineStr">
        <is>
          <t>AUTO</t>
        </is>
      </c>
      <c r="AJ2369" t="inlineStr">
        <is>
          <t>Nej</t>
        </is>
      </c>
      <c r="AK2369" t="inlineStr"/>
      <c r="AL2369" t="inlineStr"/>
      <c r="AM2369" t="inlineStr"/>
      <c r="AN2369" t="inlineStr"/>
      <c r="AO2369" t="inlineStr">
        <is>
          <t>cmm4yun100095cuqwa7q19sxt</t>
        </is>
      </c>
      <c r="AP2369" t="inlineStr">
        <is>
          <t>http://localhost:8787/api/admin/requirements/documents/cmm4yun100095cuqwa7q19sxt/view</t>
        </is>
      </c>
      <c r="AQ2369">
        <f>HYPERLÄNK("http://localhost:8787/api/admin/requirements/documents/cmm4yun100095cuqwa7q19sxt/view";"Öppna PDF")</f>
        <v/>
      </c>
      <c r="AR2369">
        <f>HYPERLINK("http://localhost:8787/api/admin/requirements/documents/cmm4yun100095cuqwa7q19sxt/view","Open PDF")</f>
        <v/>
      </c>
      <c r="AS2369" t="inlineStr">
        <is>
          <t>cmm55w57p0004cuisfrtpqly8</t>
        </is>
      </c>
      <c r="AT2369" t="inlineStr">
        <is>
          <t>cmm4xvu980000cuh4vj0usz09</t>
        </is>
      </c>
      <c r="AU2369" t="inlineStr">
        <is>
          <t>Malmbäck Postadress Falkenbergs</t>
        </is>
      </c>
      <c r="AV2369" t="inlineStr">
        <is>
          <t>Kommun</t>
        </is>
      </c>
      <c r="AW2369" t="inlineStr">
        <is>
          <t>Malmbäck Postadress Falkenbergs kommun</t>
        </is>
      </c>
      <c r="AX2369" t="inlineStr">
        <is>
          <t>2025-02</t>
        </is>
      </c>
      <c r="AY2369" t="inlineStr">
        <is>
          <t>Beslut</t>
        </is>
      </c>
      <c r="AZ2369" t="inlineStr">
        <is>
          <t>2026-02-03</t>
        </is>
      </c>
      <c r="BA2369" t="inlineStr">
        <is>
          <t>M-2025-671_2025-02-14_Beslut (MHF MHN)_Tröinge 6 70.pdf</t>
        </is>
      </c>
      <c r="BB2369" t="inlineStr">
        <is>
          <t>Efterfrågade handlingar</t>
        </is>
      </c>
      <c r="BC2369" t="inlineStr">
        <is>
          <t>AUTO</t>
        </is>
      </c>
      <c r="BD2369" t="inlineStr"/>
      <c r="BE2369" t="inlineStr"/>
      <c r="BF2369" t="inlineStr">
        <is>
          <t>AUTO_GENERERAD. Bekrafta metadata mot kallfil.</t>
        </is>
      </c>
      <c r="BG2369">
        <f>HYPERLINK("C:\Users\jimmy\Desktop\Examens arbete\Kod\Ny mapp\remix_-copy-of-miljöbeslut.se-portal\M-2025-671_2025-02-14_Beslut (MHF MHN)_Tröinge 6 70.pdf", "Öppna PDF")</f>
        <v/>
      </c>
    </row>
    <row r="2370">
      <c r="A2370" t="inlineStr">
        <is>
          <t>KRAV-AUTO-002369</t>
        </is>
      </c>
      <c r="B2370" t="inlineStr">
        <is>
          <t>ADMIN-INDEX-2026-02-27-00000000125C043F57453246863FE664CAFE6A3F0700950291EA24F0614FB6ACEDB12BF0E31D00000000010C0000950291EA24F0614FB6ACEDB12BF0E31D00002087B1D00000</t>
        </is>
      </c>
      <c r="C2370" t="inlineStr">
        <is>
          <t>cmm4yun010085cuqw3orlahl4</t>
        </is>
      </c>
      <c r="D2370" t="inlineStr">
        <is>
          <t>http://localhost:8787/api/admin/requirements/documents/cmm4yun010085cuqw3orlahl4/view</t>
        </is>
      </c>
      <c r="E2370">
        <f>HYPERLÄNK("http://localhost:8787/api/admin/requirements/documents/cmm4yun010085cuqw3orlahl4/view";"Öppna PDF")</f>
        <v/>
      </c>
      <c r="F2370">
        <f>HYPERLINK("http://localhost:8787/api/admin/requirements/documents/cmm4yun010085cuqw3orlahl4/view","Open PDF")</f>
        <v/>
      </c>
      <c r="G2370" t="inlineStr">
        <is>
          <t>cmm55w57p0004cuisfrtpqly8</t>
        </is>
      </c>
      <c r="H2370" t="inlineStr">
        <is>
          <t>Beslutsvillkor</t>
        </is>
      </c>
      <c r="I2370" t="inlineStr">
        <is>
          <t>LagringsvolymTid</t>
        </is>
      </c>
      <c r="J2370" t="inlineStr">
        <is>
          <t>Maxmangd</t>
        </is>
      </c>
      <c r="K2370" t="inlineStr">
        <is>
          <t>Den uppskattade årsvolymen är cirka 8000 ton/år.</t>
        </is>
      </c>
      <c r="L2370" t="inlineStr">
        <is>
          <t>Den uppskattade årsvolymen är cirka 8000 ton/år.</t>
        </is>
      </c>
      <c r="M2370" t="inlineStr">
        <is>
          <t>SKA</t>
        </is>
      </c>
      <c r="N2370" t="inlineStr"/>
      <c r="O2370" t="inlineStr"/>
      <c r="P2370" t="inlineStr"/>
      <c r="Q2370" t="inlineStr"/>
      <c r="R2370" t="inlineStr">
        <is>
          <t>Alltid</t>
        </is>
      </c>
      <c r="S2370" t="inlineStr"/>
      <c r="T2370" t="inlineStr">
        <is>
          <t>046345</t>
        </is>
      </c>
      <c r="U2370" t="n">
        <v>8000</v>
      </c>
      <c r="V2370" t="inlineStr"/>
      <c r="W2370" t="inlineStr">
        <is>
          <t>Nej</t>
        </is>
      </c>
      <c r="X2370" t="inlineStr">
        <is>
          <t>Nej</t>
        </is>
      </c>
      <c r="Y2370" t="inlineStr">
        <is>
          <t>Nej</t>
        </is>
      </c>
      <c r="Z2370" t="inlineStr">
        <is>
          <t>Nej</t>
        </is>
      </c>
      <c r="AA2370" t="n">
        <v>4</v>
      </c>
      <c r="AB2370" t="inlineStr">
        <is>
          <t>Avfallsmangder och lagringstid</t>
        </is>
      </c>
      <c r="AC2370" t="inlineStr">
        <is>
          <t>Avfallsforteckning</t>
        </is>
      </c>
      <c r="AD2370" t="inlineStr">
        <is>
          <t>Nej</t>
        </is>
      </c>
      <c r="AE2370" t="inlineStr">
        <is>
          <t>Nej</t>
        </is>
      </c>
      <c r="AF2370" t="inlineStr">
        <is>
          <t>Ej behandlad</t>
        </is>
      </c>
      <c r="AG2370" t="inlineStr">
        <is>
          <t>AUTO_GENERERAD. Verifiera citat mot kallfil.</t>
        </is>
      </c>
      <c r="AH2370" t="inlineStr">
        <is>
          <t>MEDIUM</t>
        </is>
      </c>
      <c r="AI2370" t="inlineStr">
        <is>
          <t>AUTO</t>
        </is>
      </c>
      <c r="AJ2370" t="inlineStr">
        <is>
          <t>Nej</t>
        </is>
      </c>
      <c r="AK2370" t="inlineStr"/>
      <c r="AL2370" t="inlineStr"/>
      <c r="AM2370" t="inlineStr"/>
      <c r="AN2370" t="inlineStr"/>
      <c r="AO2370" t="inlineStr">
        <is>
          <t>cmm4yun100095cuqwa7q19sxt</t>
        </is>
      </c>
      <c r="AP2370" t="inlineStr">
        <is>
          <t>http://localhost:8787/api/admin/requirements/documents/cmm4yun100095cuqwa7q19sxt/view</t>
        </is>
      </c>
      <c r="AQ2370">
        <f>HYPERLÄNK("http://localhost:8787/api/admin/requirements/documents/cmm4yun100095cuqwa7q19sxt/view";"Öppna PDF")</f>
        <v/>
      </c>
      <c r="AR2370">
        <f>HYPERLINK("http://localhost:8787/api/admin/requirements/documents/cmm4yun100095cuqwa7q19sxt/view","Open PDF")</f>
        <v/>
      </c>
      <c r="AS2370" t="inlineStr">
        <is>
          <t>cmm55w57p0004cuisfrtpqly8</t>
        </is>
      </c>
      <c r="AT2370" t="inlineStr">
        <is>
          <t>cmm4xvu980000cuh4vj0usz09</t>
        </is>
      </c>
      <c r="AU2370" t="inlineStr">
        <is>
          <t>Malmbäck Postadress Falkenbergs</t>
        </is>
      </c>
      <c r="AV2370" t="inlineStr">
        <is>
          <t>Kommun</t>
        </is>
      </c>
      <c r="AW2370" t="inlineStr">
        <is>
          <t>Malmbäck Postadress Falkenbergs kommun</t>
        </is>
      </c>
      <c r="AX2370" t="inlineStr">
        <is>
          <t>2025-02</t>
        </is>
      </c>
      <c r="AY2370" t="inlineStr">
        <is>
          <t>Beslut</t>
        </is>
      </c>
      <c r="AZ2370" t="inlineStr">
        <is>
          <t>2026-02-03</t>
        </is>
      </c>
      <c r="BA2370" t="inlineStr">
        <is>
          <t>M-2025-671_2025-02-14_Beslut (MHF MHN)_Tröinge 6 70.pdf</t>
        </is>
      </c>
      <c r="BB2370" t="inlineStr">
        <is>
          <t>Efterfrågade handlingar</t>
        </is>
      </c>
      <c r="BC2370" t="inlineStr">
        <is>
          <t>AUTO</t>
        </is>
      </c>
      <c r="BD2370" t="inlineStr"/>
      <c r="BE2370" t="inlineStr"/>
      <c r="BF2370" t="inlineStr">
        <is>
          <t>AUTO_GENERERAD. Bekrafta metadata mot kallfil.</t>
        </is>
      </c>
      <c r="BG2370">
        <f>HYPERLINK("C:\Users\jimmy\Desktop\Examens arbete\Kod\Ny mapp\remix_-copy-of-miljöbeslut.se-portal\M-2025-671_2025-02-14_Beslut (MHF MHN)_Tröinge 6 70.pdf", "Öppna PDF")</f>
        <v/>
      </c>
    </row>
    <row r="2371">
      <c r="A2371" t="inlineStr">
        <is>
          <t>KRAV-AUTO-002370</t>
        </is>
      </c>
      <c r="B2371" t="inlineStr">
        <is>
          <t>ADMIN-INDEX-2026-02-27-00000000125C043F57453246863FE664CAFE6A3F0700950291EA24F0614FB6ACEDB12BF0E31D00000000010C0000950291EA24F0614FB6ACEDB12BF0E31D00002087B1D00000</t>
        </is>
      </c>
      <c r="C2371" t="inlineStr">
        <is>
          <t>cmm4yun010085cuqw3orlahl4</t>
        </is>
      </c>
      <c r="D2371" t="inlineStr">
        <is>
          <t>http://localhost:8787/api/admin/requirements/documents/cmm4yun010085cuqw3orlahl4/view</t>
        </is>
      </c>
      <c r="E2371">
        <f>HYPERLÄNK("http://localhost:8787/api/admin/requirements/documents/cmm4yun010085cuqw3orlahl4/view";"Öppna PDF")</f>
        <v/>
      </c>
      <c r="F2371">
        <f>HYPERLINK("http://localhost:8787/api/admin/requirements/documents/cmm4yun010085cuqw3orlahl4/view","Open PDF")</f>
        <v/>
      </c>
      <c r="G2371" t="inlineStr">
        <is>
          <t>cmm55w57p0004cuisfrtpqly8</t>
        </is>
      </c>
      <c r="H2371" t="inlineStr">
        <is>
          <t>Beslutsvillkor</t>
        </is>
      </c>
      <c r="I2371" t="inlineStr">
        <is>
          <t>LagringsvolymTid</t>
        </is>
      </c>
      <c r="J2371" t="inlineStr">
        <is>
          <t>Maxmangd</t>
        </is>
      </c>
      <c r="K2371" t="inlineStr">
        <is>
          <t>Ni ange i ansökan att ni ska hantera 9000 ton per år inom förhandsgodkännande.</t>
        </is>
      </c>
      <c r="L2371" t="inlineStr">
        <is>
          <t>Ni ange i ansökan att ni ska hantera 9000 ton per år inom förhandsgodkännande.</t>
        </is>
      </c>
      <c r="M2371" t="inlineStr">
        <is>
          <t>SKA</t>
        </is>
      </c>
      <c r="N2371" t="inlineStr"/>
      <c r="O2371" t="inlineStr"/>
      <c r="P2371" t="inlineStr"/>
      <c r="Q2371" t="inlineStr"/>
      <c r="R2371" t="inlineStr">
        <is>
          <t>Alltid</t>
        </is>
      </c>
      <c r="S2371" t="inlineStr"/>
      <c r="T2371" t="inlineStr">
        <is>
          <t>046345</t>
        </is>
      </c>
      <c r="U2371" t="n">
        <v>9000</v>
      </c>
      <c r="V2371" t="inlineStr"/>
      <c r="W2371" t="inlineStr">
        <is>
          <t>Nej</t>
        </is>
      </c>
      <c r="X2371" t="inlineStr">
        <is>
          <t>Nej</t>
        </is>
      </c>
      <c r="Y2371" t="inlineStr">
        <is>
          <t>Nej</t>
        </is>
      </c>
      <c r="Z2371" t="inlineStr">
        <is>
          <t>Nej</t>
        </is>
      </c>
      <c r="AA2371" t="n">
        <v>4</v>
      </c>
      <c r="AB2371" t="inlineStr">
        <is>
          <t>Avfallsmangder och lagringstid</t>
        </is>
      </c>
      <c r="AC2371" t="inlineStr">
        <is>
          <t>Avfallsforteckning</t>
        </is>
      </c>
      <c r="AD2371" t="inlineStr">
        <is>
          <t>Nej</t>
        </is>
      </c>
      <c r="AE2371" t="inlineStr">
        <is>
          <t>Nej</t>
        </is>
      </c>
      <c r="AF2371" t="inlineStr">
        <is>
          <t>Ej behandlad</t>
        </is>
      </c>
      <c r="AG2371" t="inlineStr">
        <is>
          <t>AUTO_GENERERAD. Verifiera citat mot kallfil.</t>
        </is>
      </c>
      <c r="AH2371" t="inlineStr">
        <is>
          <t>MEDIUM</t>
        </is>
      </c>
      <c r="AI2371" t="inlineStr">
        <is>
          <t>AUTO</t>
        </is>
      </c>
      <c r="AJ2371" t="inlineStr">
        <is>
          <t>Nej</t>
        </is>
      </c>
      <c r="AK2371" t="inlineStr"/>
      <c r="AL2371" t="inlineStr"/>
      <c r="AM2371" t="inlineStr"/>
      <c r="AN2371" t="inlineStr"/>
      <c r="AO2371" t="inlineStr">
        <is>
          <t>cmm4yun100095cuqwa7q19sxt</t>
        </is>
      </c>
      <c r="AP2371" t="inlineStr">
        <is>
          <t>http://localhost:8787/api/admin/requirements/documents/cmm4yun100095cuqwa7q19sxt/view</t>
        </is>
      </c>
      <c r="AQ2371">
        <f>HYPERLÄNK("http://localhost:8787/api/admin/requirements/documents/cmm4yun100095cuqwa7q19sxt/view";"Öppna PDF")</f>
        <v/>
      </c>
      <c r="AR2371">
        <f>HYPERLINK("http://localhost:8787/api/admin/requirements/documents/cmm4yun100095cuqwa7q19sxt/view","Open PDF")</f>
        <v/>
      </c>
      <c r="AS2371" t="inlineStr">
        <is>
          <t>cmm55w57p0004cuisfrtpqly8</t>
        </is>
      </c>
      <c r="AT2371" t="inlineStr">
        <is>
          <t>cmm4xvu980000cuh4vj0usz09</t>
        </is>
      </c>
      <c r="AU2371" t="inlineStr">
        <is>
          <t>Malmbäck Postadress Falkenbergs</t>
        </is>
      </c>
      <c r="AV2371" t="inlineStr">
        <is>
          <t>Kommun</t>
        </is>
      </c>
      <c r="AW2371" t="inlineStr">
        <is>
          <t>Malmbäck Postadress Falkenbergs kommun</t>
        </is>
      </c>
      <c r="AX2371" t="inlineStr">
        <is>
          <t>2025-02</t>
        </is>
      </c>
      <c r="AY2371" t="inlineStr">
        <is>
          <t>Beslut</t>
        </is>
      </c>
      <c r="AZ2371" t="inlineStr">
        <is>
          <t>2026-02-03</t>
        </is>
      </c>
      <c r="BA2371" t="inlineStr">
        <is>
          <t>M-2025-671_2025-02-14_Beslut (MHF MHN)_Tröinge 6 70.pdf</t>
        </is>
      </c>
      <c r="BB2371" t="inlineStr">
        <is>
          <t>Efterfrågade handlingar</t>
        </is>
      </c>
      <c r="BC2371" t="inlineStr">
        <is>
          <t>AUTO</t>
        </is>
      </c>
      <c r="BD2371" t="inlineStr"/>
      <c r="BE2371" t="inlineStr"/>
      <c r="BF2371" t="inlineStr">
        <is>
          <t>AUTO_GENERERAD. Bekrafta metadata mot kallfil.</t>
        </is>
      </c>
      <c r="BG2371">
        <f>HYPERLINK("C:\Users\jimmy\Desktop\Examens arbete\Kod\Ny mapp\remix_-copy-of-miljöbeslut.se-portal\M-2025-671_2025-02-14_Beslut (MHF MHN)_Tröinge 6 70.pdf", "Öppna PDF")</f>
        <v/>
      </c>
    </row>
    <row r="2372">
      <c r="A2372" t="inlineStr">
        <is>
          <t>KRAV-AUTO-002371</t>
        </is>
      </c>
      <c r="B2372" t="inlineStr">
        <is>
          <t>ADMIN-INDEX-2026-02-27-00000000125C043F57453246863FE664CAFE6A3F0700950291EA24F0614FB6ACEDB12BF0E31D00000000010C0000950291EA24F0614FB6ACEDB12BF0E31D00002087B1D00000</t>
        </is>
      </c>
      <c r="C2372" t="inlineStr">
        <is>
          <t>cmm4yun010085cuqw3orlahl4</t>
        </is>
      </c>
      <c r="D2372" t="inlineStr">
        <is>
          <t>http://localhost:8787/api/admin/requirements/documents/cmm4yun010085cuqw3orlahl4/view</t>
        </is>
      </c>
      <c r="E2372">
        <f>HYPERLÄNK("http://localhost:8787/api/admin/requirements/documents/cmm4yun010085cuqw3orlahl4/view";"Öppna PDF")</f>
        <v/>
      </c>
      <c r="F2372">
        <f>HYPERLINK("http://localhost:8787/api/admin/requirements/documents/cmm4yun010085cuqw3orlahl4/view","Open PDF")</f>
        <v/>
      </c>
      <c r="G2372" t="inlineStr">
        <is>
          <t>cmm55w57p0004cuisfrtpqly8</t>
        </is>
      </c>
      <c r="H2372" t="inlineStr">
        <is>
          <t>Beslutsvillkor</t>
        </is>
      </c>
      <c r="I2372" t="inlineStr">
        <is>
          <t>TransportLogistik</t>
        </is>
      </c>
      <c r="J2372" t="inlineStr">
        <is>
          <t>Transportvagar</t>
        </is>
      </c>
      <c r="K2372" t="inlineStr">
        <is>
          <t>Avfallskoder: Plastavfall under 15 01 01, 19 12 04, 17 02 04 och 07 02 13 ska klassas enligt avfallstransportförordningen med Baselkoder tex.</t>
        </is>
      </c>
      <c r="L2372" t="inlineStr">
        <is>
          <t>Avfallskoder: Plastavfall under 15 01 01, 19 12 04, 17 02 04 och 07 02 13 ska klassas enligt avfallstransportförordningen med Baselkoder tex.</t>
        </is>
      </c>
      <c r="M2372" t="inlineStr">
        <is>
          <t>SKA</t>
        </is>
      </c>
      <c r="N2372" t="inlineStr"/>
      <c r="O2372" t="inlineStr"/>
      <c r="P2372" t="inlineStr"/>
      <c r="Q2372" t="inlineStr"/>
      <c r="R2372" t="inlineStr">
        <is>
          <t>Vid transporter</t>
        </is>
      </c>
      <c r="S2372" t="inlineStr"/>
      <c r="T2372" t="inlineStr">
        <is>
          <t>15 01 01</t>
        </is>
      </c>
      <c r="U2372" t="inlineStr"/>
      <c r="V2372" t="inlineStr"/>
      <c r="W2372" t="inlineStr">
        <is>
          <t>Nej</t>
        </is>
      </c>
      <c r="X2372" t="inlineStr">
        <is>
          <t>Nej</t>
        </is>
      </c>
      <c r="Y2372" t="inlineStr">
        <is>
          <t>Nej</t>
        </is>
      </c>
      <c r="Z2372" t="inlineStr">
        <is>
          <t>Ja</t>
        </is>
      </c>
      <c r="AA2372" t="n">
        <v>9</v>
      </c>
      <c r="AB2372" t="inlineStr">
        <is>
          <t>Transporter och logistik</t>
        </is>
      </c>
      <c r="AC2372" t="inlineStr">
        <is>
          <t>Trafikplan</t>
        </is>
      </c>
      <c r="AD2372" t="inlineStr">
        <is>
          <t>Nej</t>
        </is>
      </c>
      <c r="AE2372" t="inlineStr">
        <is>
          <t>Nej</t>
        </is>
      </c>
      <c r="AF2372" t="inlineStr">
        <is>
          <t>Ej behandlad</t>
        </is>
      </c>
      <c r="AG2372" t="inlineStr">
        <is>
          <t>AUTO_GENERERAD. Verifiera citat mot kallfil.</t>
        </is>
      </c>
      <c r="AH2372" t="inlineStr">
        <is>
          <t>MEDIUM</t>
        </is>
      </c>
      <c r="AI2372" t="inlineStr">
        <is>
          <t>AUTO</t>
        </is>
      </c>
      <c r="AJ2372" t="inlineStr">
        <is>
          <t>Nej</t>
        </is>
      </c>
      <c r="AK2372" t="inlineStr"/>
      <c r="AL2372" t="inlineStr"/>
      <c r="AM2372" t="inlineStr"/>
      <c r="AN2372" t="inlineStr"/>
      <c r="AO2372" t="inlineStr">
        <is>
          <t>cmm4yun100095cuqwa7q19sxt</t>
        </is>
      </c>
      <c r="AP2372" t="inlineStr">
        <is>
          <t>http://localhost:8787/api/admin/requirements/documents/cmm4yun100095cuqwa7q19sxt/view</t>
        </is>
      </c>
      <c r="AQ2372">
        <f>HYPERLÄNK("http://localhost:8787/api/admin/requirements/documents/cmm4yun100095cuqwa7q19sxt/view";"Öppna PDF")</f>
        <v/>
      </c>
      <c r="AR2372">
        <f>HYPERLINK("http://localhost:8787/api/admin/requirements/documents/cmm4yun100095cuqwa7q19sxt/view","Open PDF")</f>
        <v/>
      </c>
      <c r="AS2372" t="inlineStr">
        <is>
          <t>cmm55w57p0004cuisfrtpqly8</t>
        </is>
      </c>
      <c r="AT2372" t="inlineStr">
        <is>
          <t>cmm4xvu980000cuh4vj0usz09</t>
        </is>
      </c>
      <c r="AU2372" t="inlineStr">
        <is>
          <t>Malmbäck Postadress Falkenbergs</t>
        </is>
      </c>
      <c r="AV2372" t="inlineStr">
        <is>
          <t>Kommun</t>
        </is>
      </c>
      <c r="AW2372" t="inlineStr">
        <is>
          <t>Malmbäck Postadress Falkenbergs kommun</t>
        </is>
      </c>
      <c r="AX2372" t="inlineStr">
        <is>
          <t>2025-02</t>
        </is>
      </c>
      <c r="AY2372" t="inlineStr">
        <is>
          <t>Beslut</t>
        </is>
      </c>
      <c r="AZ2372" t="inlineStr">
        <is>
          <t>2026-02-03</t>
        </is>
      </c>
      <c r="BA2372" t="inlineStr">
        <is>
          <t>M-2025-671_2025-02-14_Beslut (MHF MHN)_Tröinge 6 70.pdf</t>
        </is>
      </c>
      <c r="BB2372" t="inlineStr">
        <is>
          <t>Efterfrågade handlingar</t>
        </is>
      </c>
      <c r="BC2372" t="inlineStr">
        <is>
          <t>AUTO</t>
        </is>
      </c>
      <c r="BD2372" t="inlineStr"/>
      <c r="BE2372" t="inlineStr"/>
      <c r="BF2372" t="inlineStr">
        <is>
          <t>AUTO_GENERERAD. Bekrafta metadata mot kallfil.</t>
        </is>
      </c>
      <c r="BG2372">
        <f>HYPERLINK("C:\Users\jimmy\Desktop\Examens arbete\Kod\Ny mapp\remix_-copy-of-miljöbeslut.se-portal\M-2025-671_2025-02-14_Beslut (MHF MHN)_Tröinge 6 70.pdf", "Öppna PDF")</f>
        <v/>
      </c>
    </row>
    <row r="2373">
      <c r="A2373" t="inlineStr">
        <is>
          <t>KRAV-AUTO-002372</t>
        </is>
      </c>
      <c r="B2373" t="inlineStr">
        <is>
          <t>ADMIN-INDEX-2026-02-27-00000000125C043F57453246863FE664CAFE6A3F0700950291EA24F0614FB6ACEDB12BF0E31D00000000010C0000950291EA24F0614FB6ACEDB12BF0E31D00002087B1D00000</t>
        </is>
      </c>
      <c r="C2373" t="inlineStr">
        <is>
          <t>cmm4yumzv007zcuqw9vtajgcn</t>
        </is>
      </c>
      <c r="D2373" t="inlineStr">
        <is>
          <t>http://localhost:8787/api/admin/requirements/documents/cmm4yumzv007zcuqw9vtajgcn/view</t>
        </is>
      </c>
      <c r="E2373">
        <f>HYPERLÄNK("http://localhost:8787/api/admin/requirements/documents/cmm4yumzv007zcuqw9vtajgcn/view";"Öppna PDF")</f>
        <v/>
      </c>
      <c r="F2373">
        <f>HYPERLINK("http://localhost:8787/api/admin/requirements/documents/cmm4yumzv007zcuqw9vtajgcn/view","Open PDF")</f>
        <v/>
      </c>
      <c r="G2373" t="inlineStr">
        <is>
          <t>cmm55w57p0004cuisfrtpqly8</t>
        </is>
      </c>
      <c r="H2373" t="inlineStr">
        <is>
          <t>Beslutsvillkor</t>
        </is>
      </c>
      <c r="I2373" t="inlineStr">
        <is>
          <t>Riskhantering</t>
        </is>
      </c>
      <c r="J2373" t="inlineStr">
        <is>
          <t>Riskkontroll</t>
        </is>
      </c>
      <c r="K2373" t="inlineStr">
        <is>
          <t>Uppgift om de organisatoriska, tekniska eller finansiella arrangemang som säkerställer att förpackningsavfall från verksamheter återvinns, 4.</t>
        </is>
      </c>
      <c r="L2373" t="inlineStr">
        <is>
          <t>Uppgift om de organisatoriska, tekniska eller finansiella arrangemang som säkerställer att förpackningsavfall från verksamheter återvinns, 4.</t>
        </is>
      </c>
      <c r="M2373" t="inlineStr">
        <is>
          <t>SKA</t>
        </is>
      </c>
      <c r="N2373" t="inlineStr"/>
      <c r="O2373" t="inlineStr"/>
      <c r="P2373" t="inlineStr"/>
      <c r="Q2373" t="inlineStr"/>
      <c r="R2373" t="inlineStr">
        <is>
          <t>Vid risk for incident</t>
        </is>
      </c>
      <c r="S2373" t="inlineStr"/>
      <c r="T2373" t="inlineStr">
        <is>
          <t>034150</t>
        </is>
      </c>
      <c r="U2373" t="inlineStr"/>
      <c r="V2373" t="inlineStr"/>
      <c r="W2373" t="inlineStr">
        <is>
          <t>Nej</t>
        </is>
      </c>
      <c r="X2373" t="inlineStr">
        <is>
          <t>Nej</t>
        </is>
      </c>
      <c r="Y2373" t="inlineStr">
        <is>
          <t>Ja</t>
        </is>
      </c>
      <c r="Z2373" t="inlineStr">
        <is>
          <t>Ja</t>
        </is>
      </c>
      <c r="AA2373" t="n">
        <v>8</v>
      </c>
      <c r="AB2373" t="inlineStr">
        <is>
          <t>Riskhantering</t>
        </is>
      </c>
      <c r="AC2373" t="inlineStr">
        <is>
          <t>Risk-PM</t>
        </is>
      </c>
      <c r="AD2373" t="inlineStr">
        <is>
          <t>Nej</t>
        </is>
      </c>
      <c r="AE2373" t="inlineStr">
        <is>
          <t>Nej</t>
        </is>
      </c>
      <c r="AF2373" t="inlineStr">
        <is>
          <t>Ej behandlad</t>
        </is>
      </c>
      <c r="AG2373" t="inlineStr">
        <is>
          <t>AUTO_GENERERAD. Verifiera citat mot kallfil.</t>
        </is>
      </c>
      <c r="AH2373" t="inlineStr">
        <is>
          <t>MEDIUM</t>
        </is>
      </c>
      <c r="AI2373" t="inlineStr">
        <is>
          <t>AUTO</t>
        </is>
      </c>
      <c r="AJ2373" t="inlineStr">
        <is>
          <t>Nej</t>
        </is>
      </c>
      <c r="AK2373" t="inlineStr"/>
      <c r="AL2373" t="inlineStr"/>
      <c r="AM2373" t="inlineStr"/>
      <c r="AN2373" t="inlineStr"/>
      <c r="AO2373" t="inlineStr">
        <is>
          <t>cmm4yun100095cuqwa7q19sxt</t>
        </is>
      </c>
      <c r="AP2373" t="inlineStr">
        <is>
          <t>http://localhost:8787/api/admin/requirements/documents/cmm4yun100095cuqwa7q19sxt/view</t>
        </is>
      </c>
      <c r="AQ2373">
        <f>HYPERLÄNK("http://localhost:8787/api/admin/requirements/documents/cmm4yun100095cuqwa7q19sxt/view";"Öppna PDF")</f>
        <v/>
      </c>
      <c r="AR2373">
        <f>HYPERLINK("http://localhost:8787/api/admin/requirements/documents/cmm4yun100095cuqwa7q19sxt/view","Open PDF")</f>
        <v/>
      </c>
      <c r="AS2373" t="inlineStr">
        <is>
          <t>cmm55w57p0004cuisfrtpqly8</t>
        </is>
      </c>
      <c r="AT2373" t="inlineStr">
        <is>
          <t>cmm4xvu980000cuh4vj0usz09</t>
        </is>
      </c>
      <c r="AU2373" t="inlineStr">
        <is>
          <t>Malmbäck Postadress Falkenbergs</t>
        </is>
      </c>
      <c r="AV2373" t="inlineStr">
        <is>
          <t>Kommun</t>
        </is>
      </c>
      <c r="AW2373" t="inlineStr">
        <is>
          <t>Malmbäck Postadress Falkenbergs kommun</t>
        </is>
      </c>
      <c r="AX2373" t="inlineStr">
        <is>
          <t>2025-02</t>
        </is>
      </c>
      <c r="AY2373" t="inlineStr">
        <is>
          <t>Beslut</t>
        </is>
      </c>
      <c r="AZ2373" t="inlineStr">
        <is>
          <t>2026-02-03</t>
        </is>
      </c>
      <c r="BA2373" t="inlineStr">
        <is>
          <t>M-2025-671_2025-02-14_Beslut (MHF MHN)_Tröinge 6 70.pdf</t>
        </is>
      </c>
      <c r="BB2373" t="inlineStr">
        <is>
          <t>Efterfrågade handlingar</t>
        </is>
      </c>
      <c r="BC2373" t="inlineStr">
        <is>
          <t>AUTO</t>
        </is>
      </c>
      <c r="BD2373" t="inlineStr"/>
      <c r="BE2373" t="inlineStr"/>
      <c r="BF2373" t="inlineStr">
        <is>
          <t>AUTO_GENERERAD. Bekrafta metadata mot kallfil.</t>
        </is>
      </c>
      <c r="BG2373">
        <f>HYPERLINK("C:\Users\jimmy\Desktop\Examens arbete\Kod\Ny mapp\remix_-copy-of-miljöbeslut.se-portal\M-2025-671_2025-02-14_Beslut (MHF MHN)_Tröinge 6 70.pdf", "Öppna PDF")</f>
        <v/>
      </c>
    </row>
    <row r="2374">
      <c r="A2374" t="inlineStr">
        <is>
          <t>KRAV-AUTO-002373</t>
        </is>
      </c>
      <c r="B2374" t="inlineStr">
        <is>
          <t>ADMIN-INDEX-2026-02-27-00000000125C043F57453246863FE664CAFE6A3F0700950291EA24F0614FB6ACEDB12BF0E31D00000000010C0000950291EA24F0614FB6ACEDB12BF0E31D00002087B1D00000</t>
        </is>
      </c>
      <c r="C2374" t="inlineStr">
        <is>
          <t>cmm4yumzv007zcuqw9vtajgcn</t>
        </is>
      </c>
      <c r="D2374" t="inlineStr">
        <is>
          <t>http://localhost:8787/api/admin/requirements/documents/cmm4yumzv007zcuqw9vtajgcn/view</t>
        </is>
      </c>
      <c r="E2374">
        <f>HYPERLÄNK("http://localhost:8787/api/admin/requirements/documents/cmm4yumzv007zcuqw9vtajgcn/view";"Öppna PDF")</f>
        <v/>
      </c>
      <c r="F2374">
        <f>HYPERLINK("http://localhost:8787/api/admin/requirements/documents/cmm4yumzv007zcuqw9vtajgcn/view","Open PDF")</f>
        <v/>
      </c>
      <c r="G2374" t="inlineStr">
        <is>
          <t>cmm55w57p0004cuisfrtpqly8</t>
        </is>
      </c>
      <c r="H2374" t="inlineStr">
        <is>
          <t>Beslutsvillkor</t>
        </is>
      </c>
      <c r="I2374" t="inlineStr">
        <is>
          <t>Ytkonstruktion</t>
        </is>
      </c>
      <c r="J2374" t="inlineStr">
        <is>
          <t>Tat yta</t>
        </is>
      </c>
      <c r="K2374" t="inlineStr">
        <is>
          <t>Rapporteringen kravställs ytterligare av Naturvårdsverkets föreskrifter om skyldighet att lämna uppgifter om förpackningar och förpackningsavfall (NFS 2023:13) 13-14 §§, 18-30 §§.</t>
        </is>
      </c>
      <c r="L2374" t="inlineStr">
        <is>
          <t>Rapporteringen kravställs ytterligare av Naturvårdsverkets föreskrifter om skyldighet att lämna uppgifter om förpackningar och förpackningsavfall (NFS 2023:13) 13-14 §§, 18-30 §§.</t>
        </is>
      </c>
      <c r="M2374" t="inlineStr">
        <is>
          <t>SKA</t>
        </is>
      </c>
      <c r="N2374" t="inlineStr">
        <is>
          <t>Naturvardsverket</t>
        </is>
      </c>
      <c r="O2374" t="inlineStr"/>
      <c r="P2374" t="inlineStr"/>
      <c r="Q2374" t="inlineStr"/>
      <c r="R2374" t="inlineStr">
        <is>
          <t>Vid mellanlagring av avfall</t>
        </is>
      </c>
      <c r="S2374" t="inlineStr"/>
      <c r="T2374" t="inlineStr">
        <is>
          <t>034150</t>
        </is>
      </c>
      <c r="U2374" t="inlineStr"/>
      <c r="V2374" t="inlineStr"/>
      <c r="W2374" t="inlineStr">
        <is>
          <t>Ja</t>
        </is>
      </c>
      <c r="X2374" t="inlineStr">
        <is>
          <t>Nej</t>
        </is>
      </c>
      <c r="Y2374" t="inlineStr">
        <is>
          <t>Nej</t>
        </is>
      </c>
      <c r="Z2374" t="inlineStr">
        <is>
          <t>Nej</t>
        </is>
      </c>
      <c r="AA2374" t="n">
        <v>5</v>
      </c>
      <c r="AB2374" t="inlineStr">
        <is>
          <t>Teknisk beskrivning av platta</t>
        </is>
      </c>
      <c r="AC2374" t="inlineStr">
        <is>
          <t>Teknisk ritning platta</t>
        </is>
      </c>
      <c r="AD2374" t="inlineStr">
        <is>
          <t>Nej</t>
        </is>
      </c>
      <c r="AE2374" t="inlineStr">
        <is>
          <t>Nej</t>
        </is>
      </c>
      <c r="AF2374" t="inlineStr">
        <is>
          <t>Ej behandlad</t>
        </is>
      </c>
      <c r="AG2374" t="inlineStr">
        <is>
          <t>AUTO_GENERERAD. Verifiera citat mot kallfil.</t>
        </is>
      </c>
      <c r="AH2374" t="inlineStr">
        <is>
          <t>MEDIUM</t>
        </is>
      </c>
      <c r="AI2374" t="inlineStr">
        <is>
          <t>AUTO</t>
        </is>
      </c>
      <c r="AJ2374" t="inlineStr">
        <is>
          <t>Nej</t>
        </is>
      </c>
      <c r="AK2374" t="inlineStr"/>
      <c r="AL2374" t="inlineStr"/>
      <c r="AM2374" t="inlineStr"/>
      <c r="AN2374" t="inlineStr"/>
      <c r="AO2374" t="inlineStr">
        <is>
          <t>cmm4yun100095cuqwa7q19sxt</t>
        </is>
      </c>
      <c r="AP2374" t="inlineStr">
        <is>
          <t>http://localhost:8787/api/admin/requirements/documents/cmm4yun100095cuqwa7q19sxt/view</t>
        </is>
      </c>
      <c r="AQ2374">
        <f>HYPERLÄNK("http://localhost:8787/api/admin/requirements/documents/cmm4yun100095cuqwa7q19sxt/view";"Öppna PDF")</f>
        <v/>
      </c>
      <c r="AR2374">
        <f>HYPERLINK("http://localhost:8787/api/admin/requirements/documents/cmm4yun100095cuqwa7q19sxt/view","Open PDF")</f>
        <v/>
      </c>
      <c r="AS2374" t="inlineStr">
        <is>
          <t>cmm55w57p0004cuisfrtpqly8</t>
        </is>
      </c>
      <c r="AT2374" t="inlineStr">
        <is>
          <t>cmm4xvu980000cuh4vj0usz09</t>
        </is>
      </c>
      <c r="AU2374" t="inlineStr">
        <is>
          <t>Malmbäck Postadress Falkenbergs</t>
        </is>
      </c>
      <c r="AV2374" t="inlineStr">
        <is>
          <t>Kommun</t>
        </is>
      </c>
      <c r="AW2374" t="inlineStr">
        <is>
          <t>Malmbäck Postadress Falkenbergs kommun</t>
        </is>
      </c>
      <c r="AX2374" t="inlineStr">
        <is>
          <t>2025-02</t>
        </is>
      </c>
      <c r="AY2374" t="inlineStr">
        <is>
          <t>Beslut</t>
        </is>
      </c>
      <c r="AZ2374" t="inlineStr">
        <is>
          <t>2026-02-03</t>
        </is>
      </c>
      <c r="BA2374" t="inlineStr">
        <is>
          <t>M-2025-671_2025-02-14_Beslut (MHF MHN)_Tröinge 6 70.pdf</t>
        </is>
      </c>
      <c r="BB2374" t="inlineStr">
        <is>
          <t>Efterfrågade handlingar</t>
        </is>
      </c>
      <c r="BC2374" t="inlineStr">
        <is>
          <t>AUTO</t>
        </is>
      </c>
      <c r="BD2374" t="inlineStr"/>
      <c r="BE2374" t="inlineStr"/>
      <c r="BF2374" t="inlineStr">
        <is>
          <t>AUTO_GENERERAD. Bekrafta metadata mot kallfil.</t>
        </is>
      </c>
      <c r="BG2374">
        <f>HYPERLINK("C:\Users\jimmy\Desktop\Examens arbete\Kod\Ny mapp\remix_-copy-of-miljöbeslut.se-portal\M-2025-671_2025-02-14_Beslut (MHF MHN)_Tröinge 6 70.pdf", "Öppna PDF")</f>
        <v/>
      </c>
    </row>
    <row r="2375">
      <c r="A2375" t="inlineStr">
        <is>
          <t>KRAV-AUTO-002374</t>
        </is>
      </c>
      <c r="B2375" t="inlineStr">
        <is>
          <t>ADMIN-INDEX-2026-02-27-00000000125C043F57453246863FE664CAFE6A3F0700950291EA24F0614FB6ACEDB12BF0E31D00000000010C0000950291EA24F0614FB6ACEDB12BF0E31D00002087B1D00000</t>
        </is>
      </c>
      <c r="C2375" t="inlineStr">
        <is>
          <t>cmm4yumzv007zcuqw9vtajgcn</t>
        </is>
      </c>
      <c r="D2375" t="inlineStr">
        <is>
          <t>http://localhost:8787/api/admin/requirements/documents/cmm4yumzv007zcuqw9vtajgcn/view</t>
        </is>
      </c>
      <c r="E2375">
        <f>HYPERLÄNK("http://localhost:8787/api/admin/requirements/documents/cmm4yumzv007zcuqw9vtajgcn/view";"Öppna PDF")</f>
        <v/>
      </c>
      <c r="F2375">
        <f>HYPERLINK("http://localhost:8787/api/admin/requirements/documents/cmm4yumzv007zcuqw9vtajgcn/view","Open PDF")</f>
        <v/>
      </c>
      <c r="G2375" t="inlineStr">
        <is>
          <t>cmm55w57p0004cuisfrtpqly8</t>
        </is>
      </c>
      <c r="H2375" t="inlineStr">
        <is>
          <t>Beslutsvillkor</t>
        </is>
      </c>
      <c r="I2375" t="inlineStr">
        <is>
          <t>MiljopaverkanForsiktighet</t>
        </is>
      </c>
      <c r="J2375" t="inlineStr">
        <is>
          <t>Skyddsatgarder</t>
        </is>
      </c>
      <c r="K2375" t="inlineStr">
        <is>
          <t>14 § andra stycket förpackningsförordningen ska den som driver systemet säkerställa att materialåtervinning eller annan behandling sker genom att själv behandla det förpackningsavfall som omfattas av systemet.</t>
        </is>
      </c>
      <c r="L2375" t="inlineStr">
        <is>
          <t>14 § andra stycket förpackningsförordningen ska den som driver systemet säkerställa att materialåtervinning eller annan behandling sker genom att själv behandla det förpackningsavfall som omfattas av systemet.</t>
        </is>
      </c>
      <c r="M2375" t="inlineStr">
        <is>
          <t>SKA</t>
        </is>
      </c>
      <c r="N2375" t="inlineStr"/>
      <c r="O2375" t="inlineStr"/>
      <c r="P2375" t="inlineStr"/>
      <c r="Q2375" t="inlineStr"/>
      <c r="R2375" t="inlineStr">
        <is>
          <t>Alltid</t>
        </is>
      </c>
      <c r="S2375" t="inlineStr"/>
      <c r="T2375" t="inlineStr">
        <is>
          <t>034150</t>
        </is>
      </c>
      <c r="U2375" t="inlineStr"/>
      <c r="V2375" t="inlineStr"/>
      <c r="W2375" t="inlineStr">
        <is>
          <t>Nej</t>
        </is>
      </c>
      <c r="X2375" t="inlineStr">
        <is>
          <t>Nej</t>
        </is>
      </c>
      <c r="Y2375" t="inlineStr">
        <is>
          <t>Nej</t>
        </is>
      </c>
      <c r="Z2375" t="inlineStr">
        <is>
          <t>Nej</t>
        </is>
      </c>
      <c r="AA2375" t="n">
        <v>10</v>
      </c>
      <c r="AB2375" t="inlineStr">
        <is>
          <t>Miljopaverkan och forsiktighetsmatt</t>
        </is>
      </c>
      <c r="AC2375" t="inlineStr">
        <is>
          <t>Miljo-PM</t>
        </is>
      </c>
      <c r="AD2375" t="inlineStr">
        <is>
          <t>Nej</t>
        </is>
      </c>
      <c r="AE2375" t="inlineStr">
        <is>
          <t>Nej</t>
        </is>
      </c>
      <c r="AF2375" t="inlineStr">
        <is>
          <t>Ej behandlad</t>
        </is>
      </c>
      <c r="AG2375" t="inlineStr">
        <is>
          <t>AUTO_GENERERAD. Verifiera citat mot kallfil.</t>
        </is>
      </c>
      <c r="AH2375" t="inlineStr">
        <is>
          <t>MEDIUM</t>
        </is>
      </c>
      <c r="AI2375" t="inlineStr">
        <is>
          <t>AUTO</t>
        </is>
      </c>
      <c r="AJ2375" t="inlineStr">
        <is>
          <t>Nej</t>
        </is>
      </c>
      <c r="AK2375" t="inlineStr"/>
      <c r="AL2375" t="inlineStr"/>
      <c r="AM2375" t="inlineStr"/>
      <c r="AN2375" t="inlineStr"/>
      <c r="AO2375" t="inlineStr">
        <is>
          <t>cmm4yun100095cuqwa7q19sxt</t>
        </is>
      </c>
      <c r="AP2375" t="inlineStr">
        <is>
          <t>http://localhost:8787/api/admin/requirements/documents/cmm4yun100095cuqwa7q19sxt/view</t>
        </is>
      </c>
      <c r="AQ2375">
        <f>HYPERLÄNK("http://localhost:8787/api/admin/requirements/documents/cmm4yun100095cuqwa7q19sxt/view";"Öppna PDF")</f>
        <v/>
      </c>
      <c r="AR2375">
        <f>HYPERLINK("http://localhost:8787/api/admin/requirements/documents/cmm4yun100095cuqwa7q19sxt/view","Open PDF")</f>
        <v/>
      </c>
      <c r="AS2375" t="inlineStr">
        <is>
          <t>cmm55w57p0004cuisfrtpqly8</t>
        </is>
      </c>
      <c r="AT2375" t="inlineStr">
        <is>
          <t>cmm4xvu980000cuh4vj0usz09</t>
        </is>
      </c>
      <c r="AU2375" t="inlineStr">
        <is>
          <t>Malmbäck Postadress Falkenbergs</t>
        </is>
      </c>
      <c r="AV2375" t="inlineStr">
        <is>
          <t>Kommun</t>
        </is>
      </c>
      <c r="AW2375" t="inlineStr">
        <is>
          <t>Malmbäck Postadress Falkenbergs kommun</t>
        </is>
      </c>
      <c r="AX2375" t="inlineStr">
        <is>
          <t>2025-02</t>
        </is>
      </c>
      <c r="AY2375" t="inlineStr">
        <is>
          <t>Beslut</t>
        </is>
      </c>
      <c r="AZ2375" t="inlineStr">
        <is>
          <t>2026-02-03</t>
        </is>
      </c>
      <c r="BA2375" t="inlineStr">
        <is>
          <t>M-2025-671_2025-02-14_Beslut (MHF MHN)_Tröinge 6 70.pdf</t>
        </is>
      </c>
      <c r="BB2375" t="inlineStr">
        <is>
          <t>Efterfrågade handlingar</t>
        </is>
      </c>
      <c r="BC2375" t="inlineStr">
        <is>
          <t>AUTO</t>
        </is>
      </c>
      <c r="BD2375" t="inlineStr"/>
      <c r="BE2375" t="inlineStr"/>
      <c r="BF2375" t="inlineStr">
        <is>
          <t>AUTO_GENERERAD. Bekrafta metadata mot kallfil.</t>
        </is>
      </c>
      <c r="BG2375">
        <f>HYPERLINK("C:\Users\jimmy\Desktop\Examens arbete\Kod\Ny mapp\remix_-copy-of-miljöbeslut.se-portal\M-2025-671_2025-02-14_Beslut (MHF MHN)_Tröinge 6 70.pdf", "Öppna PDF")</f>
        <v/>
      </c>
    </row>
    <row r="2376">
      <c r="A2376" t="inlineStr">
        <is>
          <t>KRAV-AUTO-002375</t>
        </is>
      </c>
      <c r="B2376" t="inlineStr">
        <is>
          <t>ADMIN-INDEX-2026-02-27-00000000125C043F57453246863FE664CAFE6A3F0700950291EA24F0614FB6ACEDB12BF0E31D00000000010C0000950291EA24F0614FB6ACEDB12BF0E31D00002087B1D00000</t>
        </is>
      </c>
      <c r="C2376" t="inlineStr">
        <is>
          <t>cmm4yumzr007wcuqw1nolrfax</t>
        </is>
      </c>
      <c r="D2376" t="inlineStr">
        <is>
          <t>http://localhost:8787/api/admin/requirements/documents/cmm4yumzr007wcuqw1nolrfax/view</t>
        </is>
      </c>
      <c r="E2376">
        <f>HYPERLÄNK("http://localhost:8787/api/admin/requirements/documents/cmm4yumzr007wcuqw1nolrfax/view";"Öppna PDF")</f>
        <v/>
      </c>
      <c r="F2376">
        <f>HYPERLINK("http://localhost:8787/api/admin/requirements/documents/cmm4yumzr007wcuqw1nolrfax/view","Open PDF")</f>
        <v/>
      </c>
      <c r="G2376" t="inlineStr">
        <is>
          <t>cmm55w57p0004cuisfrtpqly8</t>
        </is>
      </c>
      <c r="H2376" t="inlineStr">
        <is>
          <t>Beslutsvillkor</t>
        </is>
      </c>
      <c r="I2376" t="inlineStr">
        <is>
          <t>MiljopaverkanForsiktighet</t>
        </is>
      </c>
      <c r="J2376" t="inlineStr">
        <is>
          <t>Skyddsatgarder</t>
        </is>
      </c>
      <c r="K2376" t="inlineStr">
        <is>
          <t>Enligt 27a § förordning om miljöfarlig verksamhet och hälsoskydd ska ett anmälningsärende gällande behandling av avfall innehålla ett föreläggande om bland annat vilka typer, mänger och metoder för behandling av avfallet som får förekomma.</t>
        </is>
      </c>
      <c r="L2376" t="inlineStr">
        <is>
          <t>Enligt 27a § förordning om miljöfarlig verksamhet och hälsoskydd ska ett anmälningsärende gällande behandling av avfall innehålla ett föreläggande om bland annat vilka typer, mänger och metoder för behandling av avfallet som får förekomma.</t>
        </is>
      </c>
      <c r="M2376" t="inlineStr">
        <is>
          <t>SKA</t>
        </is>
      </c>
      <c r="N2376" t="inlineStr">
        <is>
          <t>FMH</t>
        </is>
      </c>
      <c r="O2376" t="inlineStr"/>
      <c r="P2376" t="inlineStr">
        <is>
          <t>Arlig</t>
        </is>
      </c>
      <c r="Q2376" t="inlineStr">
        <is>
          <t>Forelaggande vid brist</t>
        </is>
      </c>
      <c r="R2376" t="inlineStr">
        <is>
          <t>Alltid</t>
        </is>
      </c>
      <c r="S2376" t="inlineStr"/>
      <c r="T2376" t="inlineStr">
        <is>
          <t>2025 13</t>
        </is>
      </c>
      <c r="U2376" t="inlineStr"/>
      <c r="V2376" t="inlineStr"/>
      <c r="W2376" t="inlineStr">
        <is>
          <t>Nej</t>
        </is>
      </c>
      <c r="X2376" t="inlineStr">
        <is>
          <t>Nej</t>
        </is>
      </c>
      <c r="Y2376" t="inlineStr">
        <is>
          <t>Nej</t>
        </is>
      </c>
      <c r="Z2376" t="inlineStr">
        <is>
          <t>Nej</t>
        </is>
      </c>
      <c r="AA2376" t="n">
        <v>10</v>
      </c>
      <c r="AB2376" t="inlineStr">
        <is>
          <t>Miljopaverkan och forsiktighetsmatt</t>
        </is>
      </c>
      <c r="AC2376" t="inlineStr">
        <is>
          <t>Miljo-PM</t>
        </is>
      </c>
      <c r="AD2376" t="inlineStr">
        <is>
          <t>Nej</t>
        </is>
      </c>
      <c r="AE2376" t="inlineStr">
        <is>
          <t>Nej</t>
        </is>
      </c>
      <c r="AF2376" t="inlineStr">
        <is>
          <t>Ej behandlad</t>
        </is>
      </c>
      <c r="AG2376" t="inlineStr">
        <is>
          <t>AUTO_GENERERAD. Verifiera citat mot kallfil.</t>
        </is>
      </c>
      <c r="AH2376" t="inlineStr">
        <is>
          <t>MEDIUM</t>
        </is>
      </c>
      <c r="AI2376" t="inlineStr">
        <is>
          <t>AUTO</t>
        </is>
      </c>
      <c r="AJ2376" t="inlineStr">
        <is>
          <t>Nej</t>
        </is>
      </c>
      <c r="AK2376" t="inlineStr"/>
      <c r="AL2376" t="inlineStr"/>
      <c r="AM2376" t="inlineStr"/>
      <c r="AN2376" t="inlineStr"/>
      <c r="AO2376" t="inlineStr">
        <is>
          <t>cmm4yun100095cuqwa7q19sxt</t>
        </is>
      </c>
      <c r="AP2376" t="inlineStr">
        <is>
          <t>http://localhost:8787/api/admin/requirements/documents/cmm4yun100095cuqwa7q19sxt/view</t>
        </is>
      </c>
      <c r="AQ2376">
        <f>HYPERLÄNK("http://localhost:8787/api/admin/requirements/documents/cmm4yun100095cuqwa7q19sxt/view";"Öppna PDF")</f>
        <v/>
      </c>
      <c r="AR2376">
        <f>HYPERLINK("http://localhost:8787/api/admin/requirements/documents/cmm4yun100095cuqwa7q19sxt/view","Open PDF")</f>
        <v/>
      </c>
      <c r="AS2376" t="inlineStr">
        <is>
          <t>cmm55w57p0004cuisfrtpqly8</t>
        </is>
      </c>
      <c r="AT2376" t="inlineStr">
        <is>
          <t>cmm4xvu980000cuh4vj0usz09</t>
        </is>
      </c>
      <c r="AU2376" t="inlineStr">
        <is>
          <t>Malmbäck Postadress Falkenbergs</t>
        </is>
      </c>
      <c r="AV2376" t="inlineStr">
        <is>
          <t>Kommun</t>
        </is>
      </c>
      <c r="AW2376" t="inlineStr">
        <is>
          <t>Malmbäck Postadress Falkenbergs kommun</t>
        </is>
      </c>
      <c r="AX2376" t="inlineStr">
        <is>
          <t>2025-02</t>
        </is>
      </c>
      <c r="AY2376" t="inlineStr">
        <is>
          <t>Beslut</t>
        </is>
      </c>
      <c r="AZ2376" t="inlineStr">
        <is>
          <t>2026-02-03</t>
        </is>
      </c>
      <c r="BA2376" t="inlineStr">
        <is>
          <t>M-2025-671_2025-02-14_Beslut (MHF MHN)_Tröinge 6 70.pdf</t>
        </is>
      </c>
      <c r="BB2376" t="inlineStr">
        <is>
          <t>Efterfrågade handlingar</t>
        </is>
      </c>
      <c r="BC2376" t="inlineStr">
        <is>
          <t>AUTO</t>
        </is>
      </c>
      <c r="BD2376" t="inlineStr"/>
      <c r="BE2376" t="inlineStr"/>
      <c r="BF2376" t="inlineStr">
        <is>
          <t>AUTO_GENERERAD. Bekrafta metadata mot kallfil.</t>
        </is>
      </c>
      <c r="BG2376">
        <f>HYPERLINK("C:\Users\jimmy\Desktop\Examens arbete\Kod\Ny mapp\remix_-copy-of-miljöbeslut.se-portal\M-2025-671_2025-02-14_Beslut (MHF MHN)_Tröinge 6 70.pdf", "Öppna PDF")</f>
        <v/>
      </c>
    </row>
    <row r="2377">
      <c r="A2377" t="inlineStr">
        <is>
          <t>KRAV-AUTO-002376</t>
        </is>
      </c>
      <c r="B2377" t="inlineStr">
        <is>
          <t>ADMIN-INDEX-2026-02-27-00000000125C043F57453246863FE664CAFE6A3F0700950291EA24F0614FB6ACEDB12BF0E31D00000000010C0000950291EA24F0614FB6ACEDB12BF0E31D00002087B1D00000</t>
        </is>
      </c>
      <c r="C2377" t="inlineStr">
        <is>
          <t>cmm4yumzr007wcuqw1nolrfax</t>
        </is>
      </c>
      <c r="D2377" t="inlineStr">
        <is>
          <t>http://localhost:8787/api/admin/requirements/documents/cmm4yumzr007wcuqw1nolrfax/view</t>
        </is>
      </c>
      <c r="E2377">
        <f>HYPERLÄNK("http://localhost:8787/api/admin/requirements/documents/cmm4yumzr007wcuqw1nolrfax/view";"Öppna PDF")</f>
        <v/>
      </c>
      <c r="F2377">
        <f>HYPERLINK("http://localhost:8787/api/admin/requirements/documents/cmm4yumzr007wcuqw1nolrfax/view","Open PDF")</f>
        <v/>
      </c>
      <c r="G2377" t="inlineStr">
        <is>
          <t>cmm55w57p0004cuisfrtpqly8</t>
        </is>
      </c>
      <c r="H2377" t="inlineStr">
        <is>
          <t>Beslutsvillkor</t>
        </is>
      </c>
      <c r="I2377" t="inlineStr">
        <is>
          <t>MiljopaverkanForsiktighet</t>
        </is>
      </c>
      <c r="J2377" t="inlineStr">
        <is>
          <t>Skyddsatgarder</t>
        </is>
      </c>
      <c r="K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77" t="inlineStr">
        <is>
          <t>SKA</t>
        </is>
      </c>
      <c r="N2377" t="inlineStr"/>
      <c r="O2377" t="inlineStr"/>
      <c r="P2377" t="inlineStr"/>
      <c r="Q2377" t="inlineStr">
        <is>
          <t>Forbud</t>
        </is>
      </c>
      <c r="R2377" t="inlineStr">
        <is>
          <t>Alltid</t>
        </is>
      </c>
      <c r="S2377" t="inlineStr"/>
      <c r="T2377" t="inlineStr">
        <is>
          <t>2025 13</t>
        </is>
      </c>
      <c r="U2377" t="inlineStr"/>
      <c r="V2377" t="inlineStr"/>
      <c r="W2377" t="inlineStr">
        <is>
          <t>Nej</t>
        </is>
      </c>
      <c r="X2377" t="inlineStr">
        <is>
          <t>Nej</t>
        </is>
      </c>
      <c r="Y2377" t="inlineStr">
        <is>
          <t>Nej</t>
        </is>
      </c>
      <c r="Z2377" t="inlineStr">
        <is>
          <t>Nej</t>
        </is>
      </c>
      <c r="AA2377" t="n">
        <v>10</v>
      </c>
      <c r="AB2377" t="inlineStr">
        <is>
          <t>Miljopaverkan och forsiktighetsmatt</t>
        </is>
      </c>
      <c r="AC2377" t="inlineStr">
        <is>
          <t>Miljo-PM</t>
        </is>
      </c>
      <c r="AD2377" t="inlineStr">
        <is>
          <t>Nej</t>
        </is>
      </c>
      <c r="AE2377" t="inlineStr">
        <is>
          <t>Nej</t>
        </is>
      </c>
      <c r="AF2377" t="inlineStr">
        <is>
          <t>Ej behandlad</t>
        </is>
      </c>
      <c r="AG2377" t="inlineStr">
        <is>
          <t>AUTO_GENERERAD. Verifiera citat mot kallfil.</t>
        </is>
      </c>
      <c r="AH2377" t="inlineStr">
        <is>
          <t>MEDIUM</t>
        </is>
      </c>
      <c r="AI2377" t="inlineStr">
        <is>
          <t>AUTO</t>
        </is>
      </c>
      <c r="AJ2377" t="inlineStr">
        <is>
          <t>Nej</t>
        </is>
      </c>
      <c r="AK2377" t="inlineStr"/>
      <c r="AL2377" t="inlineStr"/>
      <c r="AM2377" t="inlineStr"/>
      <c r="AN2377" t="inlineStr"/>
      <c r="AO2377" t="inlineStr">
        <is>
          <t>cmm4yun100095cuqwa7q19sxt</t>
        </is>
      </c>
      <c r="AP2377" t="inlineStr">
        <is>
          <t>http://localhost:8787/api/admin/requirements/documents/cmm4yun100095cuqwa7q19sxt/view</t>
        </is>
      </c>
      <c r="AQ2377">
        <f>HYPERLÄNK("http://localhost:8787/api/admin/requirements/documents/cmm4yun100095cuqwa7q19sxt/view";"Öppna PDF")</f>
        <v/>
      </c>
      <c r="AR2377">
        <f>HYPERLINK("http://localhost:8787/api/admin/requirements/documents/cmm4yun100095cuqwa7q19sxt/view","Open PDF")</f>
        <v/>
      </c>
      <c r="AS2377" t="inlineStr">
        <is>
          <t>cmm55w57p0004cuisfrtpqly8</t>
        </is>
      </c>
      <c r="AT2377" t="inlineStr">
        <is>
          <t>cmm4xvu980000cuh4vj0usz09</t>
        </is>
      </c>
      <c r="AU2377" t="inlineStr">
        <is>
          <t>Malmbäck Postadress Falkenbergs</t>
        </is>
      </c>
      <c r="AV2377" t="inlineStr">
        <is>
          <t>Kommun</t>
        </is>
      </c>
      <c r="AW2377" t="inlineStr">
        <is>
          <t>Malmbäck Postadress Falkenbergs kommun</t>
        </is>
      </c>
      <c r="AX2377" t="inlineStr">
        <is>
          <t>2025-02</t>
        </is>
      </c>
      <c r="AY2377" t="inlineStr">
        <is>
          <t>Beslut</t>
        </is>
      </c>
      <c r="AZ2377" t="inlineStr">
        <is>
          <t>2026-02-03</t>
        </is>
      </c>
      <c r="BA2377" t="inlineStr">
        <is>
          <t>M-2025-671_2025-02-14_Beslut (MHF MHN)_Tröinge 6 70.pdf</t>
        </is>
      </c>
      <c r="BB2377" t="inlineStr">
        <is>
          <t>Efterfrågade handlingar</t>
        </is>
      </c>
      <c r="BC2377" t="inlineStr">
        <is>
          <t>AUTO</t>
        </is>
      </c>
      <c r="BD2377" t="inlineStr"/>
      <c r="BE2377" t="inlineStr"/>
      <c r="BF2377" t="inlineStr">
        <is>
          <t>AUTO_GENERERAD. Bekrafta metadata mot kallfil.</t>
        </is>
      </c>
      <c r="BG2377">
        <f>HYPERLINK("C:\Users\jimmy\Desktop\Examens arbete\Kod\Ny mapp\remix_-copy-of-miljöbeslut.se-portal\M-2025-671_2025-02-14_Beslut (MHF MHN)_Tröinge 6 70.pdf", "Öppna PDF")</f>
        <v/>
      </c>
    </row>
    <row r="2378">
      <c r="A2378" t="inlineStr">
        <is>
          <t>KRAV-AUTO-002377</t>
        </is>
      </c>
      <c r="B2378" t="inlineStr">
        <is>
          <t>ADMIN-INDEX-2026-02-27-00000000125C043F57453246863FE664CAFE6A3F0700950291EA24F0614FB6ACEDB12BF0E31D00000000010C0000950291EA24F0614FB6ACEDB12BF0E31D00002087B1D00000</t>
        </is>
      </c>
      <c r="C2378" t="inlineStr">
        <is>
          <t>cmm4yumzr007wcuqw1nolrfax</t>
        </is>
      </c>
      <c r="D2378" t="inlineStr">
        <is>
          <t>http://localhost:8787/api/admin/requirements/documents/cmm4yumzr007wcuqw1nolrfax/view</t>
        </is>
      </c>
      <c r="E2378">
        <f>HYPERLÄNK("http://localhost:8787/api/admin/requirements/documents/cmm4yumzr007wcuqw1nolrfax/view";"Öppna PDF")</f>
        <v/>
      </c>
      <c r="F2378">
        <f>HYPERLINK("http://localhost:8787/api/admin/requirements/documents/cmm4yumzr007wcuqw1nolrfax/view","Open PDF")</f>
        <v/>
      </c>
      <c r="G2378" t="inlineStr">
        <is>
          <t>cmm55w57p0004cuisfrtpqly8</t>
        </is>
      </c>
      <c r="H2378" t="inlineStr">
        <is>
          <t>Beslutsvillkor</t>
        </is>
      </c>
      <c r="I2378" t="inlineStr">
        <is>
          <t>Riskhantering</t>
        </is>
      </c>
      <c r="J2378" t="inlineStr">
        <is>
          <t>Riskkontroll</t>
        </is>
      </c>
      <c r="K2378" t="inlineStr">
        <is>
          <t>Uppgift om de organisatoriska, tekniska eller finansiella arrangemang som säkerställer att förpackningsavfall från verksamheter återvinns, 4.</t>
        </is>
      </c>
      <c r="L2378" t="inlineStr">
        <is>
          <t>Uppgift om de organisatoriska, tekniska eller finansiella arrangemang som säkerställer att förpackningsavfall från verksamheter återvinns, 4.</t>
        </is>
      </c>
      <c r="M2378" t="inlineStr">
        <is>
          <t>SKA</t>
        </is>
      </c>
      <c r="N2378" t="inlineStr"/>
      <c r="O2378" t="inlineStr"/>
      <c r="P2378" t="inlineStr"/>
      <c r="Q2378" t="inlineStr"/>
      <c r="R2378" t="inlineStr">
        <is>
          <t>Vid risk for incident</t>
        </is>
      </c>
      <c r="S2378" t="inlineStr"/>
      <c r="T2378" t="inlineStr">
        <is>
          <t>2025 13</t>
        </is>
      </c>
      <c r="U2378" t="inlineStr"/>
      <c r="V2378" t="inlineStr"/>
      <c r="W2378" t="inlineStr">
        <is>
          <t>Nej</t>
        </is>
      </c>
      <c r="X2378" t="inlineStr">
        <is>
          <t>Nej</t>
        </is>
      </c>
      <c r="Y2378" t="inlineStr">
        <is>
          <t>Ja</t>
        </is>
      </c>
      <c r="Z2378" t="inlineStr">
        <is>
          <t>Ja</t>
        </is>
      </c>
      <c r="AA2378" t="n">
        <v>8</v>
      </c>
      <c r="AB2378" t="inlineStr">
        <is>
          <t>Riskhantering</t>
        </is>
      </c>
      <c r="AC2378" t="inlineStr">
        <is>
          <t>Risk-PM</t>
        </is>
      </c>
      <c r="AD2378" t="inlineStr">
        <is>
          <t>Nej</t>
        </is>
      </c>
      <c r="AE2378" t="inlineStr">
        <is>
          <t>Nej</t>
        </is>
      </c>
      <c r="AF2378" t="inlineStr">
        <is>
          <t>Ej behandlad</t>
        </is>
      </c>
      <c r="AG2378" t="inlineStr">
        <is>
          <t>AUTO_GENERERAD. Verifiera citat mot kallfil.</t>
        </is>
      </c>
      <c r="AH2378" t="inlineStr">
        <is>
          <t>MEDIUM</t>
        </is>
      </c>
      <c r="AI2378" t="inlineStr">
        <is>
          <t>AUTO</t>
        </is>
      </c>
      <c r="AJ2378" t="inlineStr">
        <is>
          <t>Nej</t>
        </is>
      </c>
      <c r="AK2378" t="inlineStr"/>
      <c r="AL2378" t="inlineStr"/>
      <c r="AM2378" t="inlineStr"/>
      <c r="AN2378" t="inlineStr"/>
      <c r="AO2378" t="inlineStr">
        <is>
          <t>cmm4yun100095cuqwa7q19sxt</t>
        </is>
      </c>
      <c r="AP2378" t="inlineStr">
        <is>
          <t>http://localhost:8787/api/admin/requirements/documents/cmm4yun100095cuqwa7q19sxt/view</t>
        </is>
      </c>
      <c r="AQ2378">
        <f>HYPERLÄNK("http://localhost:8787/api/admin/requirements/documents/cmm4yun100095cuqwa7q19sxt/view";"Öppna PDF")</f>
        <v/>
      </c>
      <c r="AR2378">
        <f>HYPERLINK("http://localhost:8787/api/admin/requirements/documents/cmm4yun100095cuqwa7q19sxt/view","Open PDF")</f>
        <v/>
      </c>
      <c r="AS2378" t="inlineStr">
        <is>
          <t>cmm55w57p0004cuisfrtpqly8</t>
        </is>
      </c>
      <c r="AT2378" t="inlineStr">
        <is>
          <t>cmm4xvu980000cuh4vj0usz09</t>
        </is>
      </c>
      <c r="AU2378" t="inlineStr">
        <is>
          <t>Malmbäck Postadress Falkenbergs</t>
        </is>
      </c>
      <c r="AV2378" t="inlineStr">
        <is>
          <t>Kommun</t>
        </is>
      </c>
      <c r="AW2378" t="inlineStr">
        <is>
          <t>Malmbäck Postadress Falkenbergs kommun</t>
        </is>
      </c>
      <c r="AX2378" t="inlineStr">
        <is>
          <t>2025-02</t>
        </is>
      </c>
      <c r="AY2378" t="inlineStr">
        <is>
          <t>Beslut</t>
        </is>
      </c>
      <c r="AZ2378" t="inlineStr">
        <is>
          <t>2026-02-03</t>
        </is>
      </c>
      <c r="BA2378" t="inlineStr">
        <is>
          <t>M-2025-671_2025-02-14_Beslut (MHF MHN)_Tröinge 6 70.pdf</t>
        </is>
      </c>
      <c r="BB2378" t="inlineStr">
        <is>
          <t>Efterfrågade handlingar</t>
        </is>
      </c>
      <c r="BC2378" t="inlineStr">
        <is>
          <t>AUTO</t>
        </is>
      </c>
      <c r="BD2378" t="inlineStr"/>
      <c r="BE2378" t="inlineStr"/>
      <c r="BF2378" t="inlineStr">
        <is>
          <t>AUTO_GENERERAD. Bekrafta metadata mot kallfil.</t>
        </is>
      </c>
      <c r="BG2378">
        <f>HYPERLINK("C:\Users\jimmy\Desktop\Examens arbete\Kod\Ny mapp\remix_-copy-of-miljöbeslut.se-portal\M-2025-671_2025-02-14_Beslut (MHF MHN)_Tröinge 6 70.pdf", "Öppna PDF")</f>
        <v/>
      </c>
    </row>
    <row r="2379">
      <c r="A2379" t="inlineStr">
        <is>
          <t>KRAV-AUTO-002378</t>
        </is>
      </c>
      <c r="B2379" t="inlineStr">
        <is>
          <t>ADMIN-INDEX-2026-02-27-00000000125C043F57453246863FE664CAFE6A3F0700950291EA24F0614FB6ACEDB12BF0E31D00000000010C0000950291EA24F0614FB6ACEDB12BF0E31D00002087B1D00000</t>
        </is>
      </c>
      <c r="C2379" t="inlineStr">
        <is>
          <t>cmm4yumzk007qcuqw58pqg3kz</t>
        </is>
      </c>
      <c r="D2379" t="inlineStr">
        <is>
          <t>http://localhost:8787/api/admin/requirements/documents/cmm4yumzk007qcuqw58pqg3kz/view</t>
        </is>
      </c>
      <c r="E2379">
        <f>HYPERLÄNK("http://localhost:8787/api/admin/requirements/documents/cmm4yumzk007qcuqw58pqg3kz/view";"Öppna PDF")</f>
        <v/>
      </c>
      <c r="F2379">
        <f>HYPERLINK("http://localhost:8787/api/admin/requirements/documents/cmm4yumzk007qcuqw58pqg3kz/view","Open PDF")</f>
        <v/>
      </c>
      <c r="G2379" t="inlineStr">
        <is>
          <t>cmm55w57p0004cuisfrtpqly8</t>
        </is>
      </c>
      <c r="H2379" t="inlineStr">
        <is>
          <t>Beslutsvillkor</t>
        </is>
      </c>
      <c r="I2379" t="inlineStr">
        <is>
          <t>MiljopaverkanForsiktighet</t>
        </is>
      </c>
      <c r="J2379" t="inlineStr">
        <is>
          <t>Skyddsatgarder</t>
        </is>
      </c>
      <c r="K2379" t="inlineStr">
        <is>
          <t>Enligt 27a § förordning om miljöfarlig verksamhet och hälsoskydd ska ett anmälningsärende gällande behandling av avfall innehålla ett föreläggande om bland annat vilka typer, mänger och metoder för behandling av avfallet som får förekomma.</t>
        </is>
      </c>
      <c r="L2379" t="inlineStr">
        <is>
          <t>Enligt 27a § förordning om miljöfarlig verksamhet och hälsoskydd ska ett anmälningsärende gällande behandling av avfall innehålla ett föreläggande om bland annat vilka typer, mänger och metoder för behandling av avfallet som får förekomma.</t>
        </is>
      </c>
      <c r="M2379" t="inlineStr">
        <is>
          <t>SKA</t>
        </is>
      </c>
      <c r="N2379" t="inlineStr">
        <is>
          <t>FMH</t>
        </is>
      </c>
      <c r="O2379" t="inlineStr"/>
      <c r="P2379" t="inlineStr">
        <is>
          <t>Arlig</t>
        </is>
      </c>
      <c r="Q2379" t="inlineStr">
        <is>
          <t>Forelaggande vid brist</t>
        </is>
      </c>
      <c r="R2379" t="inlineStr">
        <is>
          <t>Alltid</t>
        </is>
      </c>
      <c r="S2379" t="inlineStr"/>
      <c r="T2379" t="inlineStr">
        <is>
          <t>88 50 42</t>
        </is>
      </c>
      <c r="U2379" t="inlineStr"/>
      <c r="V2379" t="inlineStr"/>
      <c r="W2379" t="inlineStr">
        <is>
          <t>Nej</t>
        </is>
      </c>
      <c r="X2379" t="inlineStr">
        <is>
          <t>Nej</t>
        </is>
      </c>
      <c r="Y2379" t="inlineStr">
        <is>
          <t>Nej</t>
        </is>
      </c>
      <c r="Z2379" t="inlineStr">
        <is>
          <t>Nej</t>
        </is>
      </c>
      <c r="AA2379" t="n">
        <v>10</v>
      </c>
      <c r="AB2379" t="inlineStr">
        <is>
          <t>Miljopaverkan och forsiktighetsmatt</t>
        </is>
      </c>
      <c r="AC2379" t="inlineStr">
        <is>
          <t>Miljo-PM</t>
        </is>
      </c>
      <c r="AD2379" t="inlineStr">
        <is>
          <t>Nej</t>
        </is>
      </c>
      <c r="AE2379" t="inlineStr">
        <is>
          <t>Nej</t>
        </is>
      </c>
      <c r="AF2379" t="inlineStr">
        <is>
          <t>Ej behandlad</t>
        </is>
      </c>
      <c r="AG2379" t="inlineStr">
        <is>
          <t>AUTO_GENERERAD. Verifiera citat mot kallfil.</t>
        </is>
      </c>
      <c r="AH2379" t="inlineStr">
        <is>
          <t>HIGH</t>
        </is>
      </c>
      <c r="AI2379" t="inlineStr">
        <is>
          <t>AUTO</t>
        </is>
      </c>
      <c r="AJ2379" t="inlineStr">
        <is>
          <t>Nej</t>
        </is>
      </c>
      <c r="AK2379" t="inlineStr"/>
      <c r="AL2379" t="inlineStr"/>
      <c r="AM2379" t="inlineStr"/>
      <c r="AN2379" t="inlineStr"/>
      <c r="AO2379" t="inlineStr">
        <is>
          <t>cmm4yun100095cuqwa7q19sxt</t>
        </is>
      </c>
      <c r="AP2379" t="inlineStr">
        <is>
          <t>http://localhost:8787/api/admin/requirements/documents/cmm4yun100095cuqwa7q19sxt/view</t>
        </is>
      </c>
      <c r="AQ2379">
        <f>HYPERLÄNK("http://localhost:8787/api/admin/requirements/documents/cmm4yun100095cuqwa7q19sxt/view";"Öppna PDF")</f>
        <v/>
      </c>
      <c r="AR2379">
        <f>HYPERLINK("http://localhost:8787/api/admin/requirements/documents/cmm4yun100095cuqwa7q19sxt/view","Open PDF")</f>
        <v/>
      </c>
      <c r="AS2379" t="inlineStr">
        <is>
          <t>cmm55w57p0004cuisfrtpqly8</t>
        </is>
      </c>
      <c r="AT2379" t="inlineStr">
        <is>
          <t>cmm4xvu980000cuh4vj0usz09</t>
        </is>
      </c>
      <c r="AU2379" t="inlineStr">
        <is>
          <t>Malmbäck Postadress Falkenbergs</t>
        </is>
      </c>
      <c r="AV2379" t="inlineStr">
        <is>
          <t>Kommun</t>
        </is>
      </c>
      <c r="AW2379" t="inlineStr">
        <is>
          <t>Malmbäck Postadress Falkenbergs kommun</t>
        </is>
      </c>
      <c r="AX2379" t="inlineStr">
        <is>
          <t>2025-02</t>
        </is>
      </c>
      <c r="AY2379" t="inlineStr">
        <is>
          <t>Beslut</t>
        </is>
      </c>
      <c r="AZ2379" t="inlineStr">
        <is>
          <t>2026-02-03</t>
        </is>
      </c>
      <c r="BA2379" t="inlineStr">
        <is>
          <t>M-2025-671_2025-02-14_Beslut (MHF MHN)_Tröinge 6 70.pdf</t>
        </is>
      </c>
      <c r="BB2379" t="inlineStr">
        <is>
          <t>Efterfrågade handlingar</t>
        </is>
      </c>
      <c r="BC2379" t="inlineStr">
        <is>
          <t>AUTO</t>
        </is>
      </c>
      <c r="BD2379" t="inlineStr"/>
      <c r="BE2379" t="inlineStr"/>
      <c r="BF2379" t="inlineStr">
        <is>
          <t>AUTO_GENERERAD. Bekrafta metadata mot kallfil.</t>
        </is>
      </c>
      <c r="BG2379">
        <f>HYPERLINK("C:\Users\jimmy\Desktop\Examens arbete\Kod\Ny mapp\remix_-copy-of-miljöbeslut.se-portal\M-2025-671_2025-02-14_Beslut (MHF MHN)_Tröinge 6 70.pdf", "Öppna PDF")</f>
        <v/>
      </c>
    </row>
    <row r="2380">
      <c r="A2380" t="inlineStr">
        <is>
          <t>KRAV-AUTO-002379</t>
        </is>
      </c>
      <c r="B2380" t="inlineStr">
        <is>
          <t>ADMIN-INDEX-2026-02-27-00000000125C043F57453246863FE664CAFE6A3F0700950291EA24F0614FB6ACEDB12BF0E31D00000000010C0000950291EA24F0614FB6ACEDB12BF0E31D00002087B1D00000</t>
        </is>
      </c>
      <c r="C2380" t="inlineStr">
        <is>
          <t>cmm4yumzk007qcuqw58pqg3kz</t>
        </is>
      </c>
      <c r="D2380" t="inlineStr">
        <is>
          <t>http://localhost:8787/api/admin/requirements/documents/cmm4yumzk007qcuqw58pqg3kz/view</t>
        </is>
      </c>
      <c r="E2380">
        <f>HYPERLÄNK("http://localhost:8787/api/admin/requirements/documents/cmm4yumzk007qcuqw58pqg3kz/view";"Öppna PDF")</f>
        <v/>
      </c>
      <c r="F2380">
        <f>HYPERLINK("http://localhost:8787/api/admin/requirements/documents/cmm4yumzk007qcuqw58pqg3kz/view","Open PDF")</f>
        <v/>
      </c>
      <c r="G2380" t="inlineStr">
        <is>
          <t>cmm55w57p0004cuisfrtpqly8</t>
        </is>
      </c>
      <c r="H2380" t="inlineStr">
        <is>
          <t>Beslutsvillkor</t>
        </is>
      </c>
      <c r="I2380" t="inlineStr">
        <is>
          <t>MiljopaverkanForsiktighet</t>
        </is>
      </c>
      <c r="J2380" t="inlineStr">
        <is>
          <t>Skyddsatgarder</t>
        </is>
      </c>
      <c r="K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80" t="inlineStr">
        <is>
          <t>SKA</t>
        </is>
      </c>
      <c r="N2380" t="inlineStr"/>
      <c r="O2380" t="inlineStr"/>
      <c r="P2380" t="inlineStr"/>
      <c r="Q2380" t="inlineStr">
        <is>
          <t>Forbud</t>
        </is>
      </c>
      <c r="R2380" t="inlineStr">
        <is>
          <t>Alltid</t>
        </is>
      </c>
      <c r="S2380" t="inlineStr"/>
      <c r="T2380" t="inlineStr">
        <is>
          <t>88 50 42</t>
        </is>
      </c>
      <c r="U2380" t="inlineStr"/>
      <c r="V2380" t="inlineStr"/>
      <c r="W2380" t="inlineStr">
        <is>
          <t>Nej</t>
        </is>
      </c>
      <c r="X2380" t="inlineStr">
        <is>
          <t>Nej</t>
        </is>
      </c>
      <c r="Y2380" t="inlineStr">
        <is>
          <t>Nej</t>
        </is>
      </c>
      <c r="Z2380" t="inlineStr">
        <is>
          <t>Nej</t>
        </is>
      </c>
      <c r="AA2380" t="n">
        <v>10</v>
      </c>
      <c r="AB2380" t="inlineStr">
        <is>
          <t>Miljopaverkan och forsiktighetsmatt</t>
        </is>
      </c>
      <c r="AC2380" t="inlineStr">
        <is>
          <t>Miljo-PM</t>
        </is>
      </c>
      <c r="AD2380" t="inlineStr">
        <is>
          <t>Nej</t>
        </is>
      </c>
      <c r="AE2380" t="inlineStr">
        <is>
          <t>Nej</t>
        </is>
      </c>
      <c r="AF2380" t="inlineStr">
        <is>
          <t>Ej behandlad</t>
        </is>
      </c>
      <c r="AG2380" t="inlineStr">
        <is>
          <t>AUTO_GENERERAD. Verifiera citat mot kallfil.</t>
        </is>
      </c>
      <c r="AH2380" t="inlineStr">
        <is>
          <t>MEDIUM</t>
        </is>
      </c>
      <c r="AI2380" t="inlineStr">
        <is>
          <t>AUTO</t>
        </is>
      </c>
      <c r="AJ2380" t="inlineStr">
        <is>
          <t>Nej</t>
        </is>
      </c>
      <c r="AK2380" t="inlineStr"/>
      <c r="AL2380" t="inlineStr"/>
      <c r="AM2380" t="inlineStr"/>
      <c r="AN2380" t="inlineStr"/>
      <c r="AO2380" t="inlineStr">
        <is>
          <t>cmm4yun100095cuqwa7q19sxt</t>
        </is>
      </c>
      <c r="AP2380" t="inlineStr">
        <is>
          <t>http://localhost:8787/api/admin/requirements/documents/cmm4yun100095cuqwa7q19sxt/view</t>
        </is>
      </c>
      <c r="AQ2380">
        <f>HYPERLÄNK("http://localhost:8787/api/admin/requirements/documents/cmm4yun100095cuqwa7q19sxt/view";"Öppna PDF")</f>
        <v/>
      </c>
      <c r="AR2380">
        <f>HYPERLINK("http://localhost:8787/api/admin/requirements/documents/cmm4yun100095cuqwa7q19sxt/view","Open PDF")</f>
        <v/>
      </c>
      <c r="AS2380" t="inlineStr">
        <is>
          <t>cmm55w57p0004cuisfrtpqly8</t>
        </is>
      </c>
      <c r="AT2380" t="inlineStr">
        <is>
          <t>cmm4xvu980000cuh4vj0usz09</t>
        </is>
      </c>
      <c r="AU2380" t="inlineStr">
        <is>
          <t>Malmbäck Postadress Falkenbergs</t>
        </is>
      </c>
      <c r="AV2380" t="inlineStr">
        <is>
          <t>Kommun</t>
        </is>
      </c>
      <c r="AW2380" t="inlineStr">
        <is>
          <t>Malmbäck Postadress Falkenbergs kommun</t>
        </is>
      </c>
      <c r="AX2380" t="inlineStr">
        <is>
          <t>2025-02</t>
        </is>
      </c>
      <c r="AY2380" t="inlineStr">
        <is>
          <t>Beslut</t>
        </is>
      </c>
      <c r="AZ2380" t="inlineStr">
        <is>
          <t>2026-02-03</t>
        </is>
      </c>
      <c r="BA2380" t="inlineStr">
        <is>
          <t>M-2025-671_2025-02-14_Beslut (MHF MHN)_Tröinge 6 70.pdf</t>
        </is>
      </c>
      <c r="BB2380" t="inlineStr">
        <is>
          <t>Efterfrågade handlingar</t>
        </is>
      </c>
      <c r="BC2380" t="inlineStr">
        <is>
          <t>AUTO</t>
        </is>
      </c>
      <c r="BD2380" t="inlineStr"/>
      <c r="BE2380" t="inlineStr"/>
      <c r="BF2380" t="inlineStr">
        <is>
          <t>AUTO_GENERERAD. Bekrafta metadata mot kallfil.</t>
        </is>
      </c>
      <c r="BG2380">
        <f>HYPERLINK("C:\Users\jimmy\Desktop\Examens arbete\Kod\Ny mapp\remix_-copy-of-miljöbeslut.se-portal\M-2025-671_2025-02-14_Beslut (MHF MHN)_Tröinge 6 70.pdf", "Öppna PDF")</f>
        <v/>
      </c>
    </row>
    <row r="2381">
      <c r="A2381" t="inlineStr">
        <is>
          <t>KRAV-AUTO-002380</t>
        </is>
      </c>
      <c r="B2381" t="inlineStr">
        <is>
          <t>ADMIN-INDEX-2026-02-27-00000000125C043F57453246863FE664CAFE6A3F0700950291EA24F0614FB6ACEDB12BF0E31D00000000010C0000950291EA24F0614FB6ACEDB12BF0E31D00002087B1D00000</t>
        </is>
      </c>
      <c r="C2381" t="inlineStr">
        <is>
          <t>cmm4yumzk007qcuqw58pqg3kz</t>
        </is>
      </c>
      <c r="D2381" t="inlineStr">
        <is>
          <t>http://localhost:8787/api/admin/requirements/documents/cmm4yumzk007qcuqw58pqg3kz/view</t>
        </is>
      </c>
      <c r="E2381">
        <f>HYPERLÄNK("http://localhost:8787/api/admin/requirements/documents/cmm4yumzk007qcuqw58pqg3kz/view";"Öppna PDF")</f>
        <v/>
      </c>
      <c r="F2381">
        <f>HYPERLINK("http://localhost:8787/api/admin/requirements/documents/cmm4yumzk007qcuqw58pqg3kz/view","Open PDF")</f>
        <v/>
      </c>
      <c r="G2381" t="inlineStr">
        <is>
          <t>cmm55w57p0004cuisfrtpqly8</t>
        </is>
      </c>
      <c r="H2381" t="inlineStr">
        <is>
          <t>Beslutsvillkor</t>
        </is>
      </c>
      <c r="I2381" t="inlineStr">
        <is>
          <t>LagringsvolymTid</t>
        </is>
      </c>
      <c r="J2381" t="inlineStr">
        <is>
          <t>Maxmangd</t>
        </is>
      </c>
      <c r="K2381" t="inlineStr">
        <is>
          <t>Inkommande mängder och ursprung för varje avfallsslag (med tillhörande avfallskod) ska redovisas på ett överskådligt vis, samt den totala lagrade mängden under året per avfallskod.</t>
        </is>
      </c>
      <c r="L2381" t="inlineStr">
        <is>
          <t>Inkommande mängder och ursprung för varje avfallsslag (med tillhörande avfallskod) ska redovisas på ett överskådligt vis, samt den totala lagrade mängden under året per avfallskod.</t>
        </is>
      </c>
      <c r="M2381" t="inlineStr">
        <is>
          <t>SKA</t>
        </is>
      </c>
      <c r="N2381" t="inlineStr"/>
      <c r="O2381" t="inlineStr"/>
      <c r="P2381" t="inlineStr"/>
      <c r="Q2381" t="inlineStr"/>
      <c r="R2381" t="inlineStr">
        <is>
          <t>Alltid</t>
        </is>
      </c>
      <c r="S2381" t="inlineStr"/>
      <c r="T2381" t="inlineStr">
        <is>
          <t>88 50 42</t>
        </is>
      </c>
      <c r="U2381" t="inlineStr"/>
      <c r="V2381" t="inlineStr"/>
      <c r="W2381" t="inlineStr">
        <is>
          <t>Nej</t>
        </is>
      </c>
      <c r="X2381" t="inlineStr">
        <is>
          <t>Nej</t>
        </is>
      </c>
      <c r="Y2381" t="inlineStr">
        <is>
          <t>Nej</t>
        </is>
      </c>
      <c r="Z2381" t="inlineStr">
        <is>
          <t>Nej</t>
        </is>
      </c>
      <c r="AA2381" t="n">
        <v>4</v>
      </c>
      <c r="AB2381" t="inlineStr">
        <is>
          <t>Avfallsmangder och lagringstid</t>
        </is>
      </c>
      <c r="AC2381" t="inlineStr">
        <is>
          <t>Avfallsforteckning</t>
        </is>
      </c>
      <c r="AD2381" t="inlineStr">
        <is>
          <t>Nej</t>
        </is>
      </c>
      <c r="AE2381" t="inlineStr">
        <is>
          <t>Nej</t>
        </is>
      </c>
      <c r="AF2381" t="inlineStr">
        <is>
          <t>Ej behandlad</t>
        </is>
      </c>
      <c r="AG2381" t="inlineStr">
        <is>
          <t>AUTO_GENERERAD. Verifiera citat mot kallfil.</t>
        </is>
      </c>
      <c r="AH2381" t="inlineStr">
        <is>
          <t>MEDIUM</t>
        </is>
      </c>
      <c r="AI2381" t="inlineStr">
        <is>
          <t>AUTO</t>
        </is>
      </c>
      <c r="AJ2381" t="inlineStr">
        <is>
          <t>Nej</t>
        </is>
      </c>
      <c r="AK2381" t="inlineStr"/>
      <c r="AL2381" t="inlineStr"/>
      <c r="AM2381" t="inlineStr"/>
      <c r="AN2381" t="inlineStr"/>
      <c r="AO2381" t="inlineStr">
        <is>
          <t>cmm4yun100095cuqwa7q19sxt</t>
        </is>
      </c>
      <c r="AP2381" t="inlineStr">
        <is>
          <t>http://localhost:8787/api/admin/requirements/documents/cmm4yun100095cuqwa7q19sxt/view</t>
        </is>
      </c>
      <c r="AQ2381">
        <f>HYPERLÄNK("http://localhost:8787/api/admin/requirements/documents/cmm4yun100095cuqwa7q19sxt/view";"Öppna PDF")</f>
        <v/>
      </c>
      <c r="AR2381">
        <f>HYPERLINK("http://localhost:8787/api/admin/requirements/documents/cmm4yun100095cuqwa7q19sxt/view","Open PDF")</f>
        <v/>
      </c>
      <c r="AS2381" t="inlineStr">
        <is>
          <t>cmm55w57p0004cuisfrtpqly8</t>
        </is>
      </c>
      <c r="AT2381" t="inlineStr">
        <is>
          <t>cmm4xvu980000cuh4vj0usz09</t>
        </is>
      </c>
      <c r="AU2381" t="inlineStr">
        <is>
          <t>Malmbäck Postadress Falkenbergs</t>
        </is>
      </c>
      <c r="AV2381" t="inlineStr">
        <is>
          <t>Kommun</t>
        </is>
      </c>
      <c r="AW2381" t="inlineStr">
        <is>
          <t>Malmbäck Postadress Falkenbergs kommun</t>
        </is>
      </c>
      <c r="AX2381" t="inlineStr">
        <is>
          <t>2025-02</t>
        </is>
      </c>
      <c r="AY2381" t="inlineStr">
        <is>
          <t>Beslut</t>
        </is>
      </c>
      <c r="AZ2381" t="inlineStr">
        <is>
          <t>2026-02-03</t>
        </is>
      </c>
      <c r="BA2381" t="inlineStr">
        <is>
          <t>M-2025-671_2025-02-14_Beslut (MHF MHN)_Tröinge 6 70.pdf</t>
        </is>
      </c>
      <c r="BB2381" t="inlineStr">
        <is>
          <t>Efterfrågade handlingar</t>
        </is>
      </c>
      <c r="BC2381" t="inlineStr">
        <is>
          <t>AUTO</t>
        </is>
      </c>
      <c r="BD2381" t="inlineStr"/>
      <c r="BE2381" t="inlineStr"/>
      <c r="BF2381" t="inlineStr">
        <is>
          <t>AUTO_GENERERAD. Bekrafta metadata mot kallfil.</t>
        </is>
      </c>
      <c r="BG2381">
        <f>HYPERLINK("C:\Users\jimmy\Desktop\Examens arbete\Kod\Ny mapp\remix_-copy-of-miljöbeslut.se-portal\M-2025-671_2025-02-14_Beslut (MHF MHN)_Tröinge 6 70.pdf", "Öppna PDF")</f>
        <v/>
      </c>
    </row>
    <row r="2382">
      <c r="A2382" t="inlineStr">
        <is>
          <t>KRAV-AUTO-002381</t>
        </is>
      </c>
      <c r="B2382" t="inlineStr">
        <is>
          <t>ADMIN-INDEX-2026-02-27-00000000125C043F57453246863FE664CAFE6A3F0700950291EA24F0614FB6ACEDB12BF0E31D00000000010C0000950291EA24F0614FB6ACEDB12BF0E31D00002087B1D20000</t>
        </is>
      </c>
      <c r="C2382" t="inlineStr">
        <is>
          <t>cmm4yumz8007ecuqwtrjpv80c</t>
        </is>
      </c>
      <c r="D2382" t="inlineStr">
        <is>
          <t>http://localhost:8787/api/admin/requirements/documents/cmm4yumz8007ecuqwtrjpv80c/view</t>
        </is>
      </c>
      <c r="E2382">
        <f>HYPERLÄNK("http://localhost:8787/api/admin/requirements/documents/cmm4yumz8007ecuqwtrjpv80c/view";"Öppna PDF")</f>
        <v/>
      </c>
      <c r="F2382">
        <f>HYPERLINK("http://localhost:8787/api/admin/requirements/documents/cmm4yumz8007ecuqwtrjpv80c/view","Open PDF")</f>
        <v/>
      </c>
      <c r="G2382" t="inlineStr">
        <is>
          <t>cmm55w57p0004cuisfrtpqly8</t>
        </is>
      </c>
      <c r="H2382" t="inlineStr">
        <is>
          <t>Beslutsvillkor</t>
        </is>
      </c>
      <c r="I2382" t="inlineStr">
        <is>
          <t>DriftEgenkontroll</t>
        </is>
      </c>
      <c r="J2382" t="inlineStr">
        <is>
          <t>Journalforing</t>
        </is>
      </c>
      <c r="K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verksamhet och säkerställa att den hanteras på ett miljömässigt godtagbart sätt och i enlighet med avfallshierarkin i miljöbalken.</t>
        </is>
      </c>
      <c r="L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t>
        </is>
      </c>
      <c r="M2382" t="inlineStr">
        <is>
          <t>SKA</t>
        </is>
      </c>
      <c r="N2382" t="inlineStr">
        <is>
          <t>Miljobalken</t>
        </is>
      </c>
      <c r="O2382" t="inlineStr"/>
      <c r="P2382" t="inlineStr"/>
      <c r="Q2382" t="inlineStr"/>
      <c r="R2382" t="inlineStr">
        <is>
          <t>Lopande drift</t>
        </is>
      </c>
      <c r="S2382" t="inlineStr"/>
      <c r="T2382" t="inlineStr">
        <is>
          <t>88 63 89</t>
        </is>
      </c>
      <c r="U2382" t="inlineStr"/>
      <c r="V2382" t="inlineStr"/>
      <c r="W2382" t="inlineStr">
        <is>
          <t>Nej</t>
        </is>
      </c>
      <c r="X2382" t="inlineStr">
        <is>
          <t>Nej</t>
        </is>
      </c>
      <c r="Y2382" t="inlineStr">
        <is>
          <t>Ja</t>
        </is>
      </c>
      <c r="Z2382" t="inlineStr">
        <is>
          <t>Nej</t>
        </is>
      </c>
      <c r="AA2382" t="n">
        <v>7</v>
      </c>
      <c r="AB2382" t="inlineStr">
        <is>
          <t>Egenkontrollrutiner</t>
        </is>
      </c>
      <c r="AC2382" t="inlineStr">
        <is>
          <t>Egenkontrollprogram</t>
        </is>
      </c>
      <c r="AD2382" t="inlineStr">
        <is>
          <t>Nej</t>
        </is>
      </c>
      <c r="AE2382" t="inlineStr">
        <is>
          <t>Nej</t>
        </is>
      </c>
      <c r="AF2382" t="inlineStr">
        <is>
          <t>Ej behandlad</t>
        </is>
      </c>
      <c r="AG2382" t="inlineStr">
        <is>
          <t>AUTO_GENERERAD. Verifiera citat mot kallfil.</t>
        </is>
      </c>
      <c r="AH2382" t="inlineStr">
        <is>
          <t>HIGH</t>
        </is>
      </c>
      <c r="AI2382" t="inlineStr">
        <is>
          <t>AUTO</t>
        </is>
      </c>
      <c r="AJ2382" t="inlineStr">
        <is>
          <t>Nej</t>
        </is>
      </c>
      <c r="AK2382" t="inlineStr"/>
      <c r="AL2382" t="inlineStr"/>
      <c r="AM2382" t="inlineStr"/>
      <c r="AN2382" t="inlineStr"/>
      <c r="AO2382" t="inlineStr">
        <is>
          <t>cmm4yumyz0075cuqwsj0akxcx</t>
        </is>
      </c>
      <c r="AP2382" t="inlineStr">
        <is>
          <t>http://localhost:8787/api/admin/requirements/documents/cmm4yumyz0075cuqwsj0akxcx/view</t>
        </is>
      </c>
      <c r="AQ2382">
        <f>HYPERLÄNK("http://localhost:8787/api/admin/requirements/documents/cmm4yumyz0075cuqwsj0akxcx/view";"Öppna PDF")</f>
        <v/>
      </c>
      <c r="AR2382">
        <f>HYPERLINK("http://localhost:8787/api/admin/requirements/documents/cmm4yumyz0075cuqwsj0akxcx/view","Open PDF")</f>
        <v/>
      </c>
      <c r="AS2382" t="inlineStr">
        <is>
          <t>cmm55w57p0004cuisfrtpqly8</t>
        </is>
      </c>
      <c r="AT2382" t="inlineStr">
        <is>
          <t>cmm4xvu980000cuh4vj0usz09</t>
        </is>
      </c>
      <c r="AU2382" t="inlineStr">
        <is>
          <t>Falkenberg Postadress Falkenbergs</t>
        </is>
      </c>
      <c r="AV2382" t="inlineStr">
        <is>
          <t>Kommun</t>
        </is>
      </c>
      <c r="AW2382" t="inlineStr">
        <is>
          <t>Falkenberg Postadress Falkenbergs kommun</t>
        </is>
      </c>
      <c r="AX2382" t="inlineStr">
        <is>
          <t>2025-02</t>
        </is>
      </c>
      <c r="AY2382" t="inlineStr">
        <is>
          <t>Beslut</t>
        </is>
      </c>
      <c r="AZ2382" t="inlineStr">
        <is>
          <t>2026-02-03</t>
        </is>
      </c>
      <c r="BA2382" t="inlineStr">
        <is>
          <t>M-2024-2727_2025-01-10_Beslut (MHF MHN)_Västra Gärdet 2 1.pdf</t>
        </is>
      </c>
      <c r="BB2382" t="inlineStr">
        <is>
          <t>efterfrågade handlingar</t>
        </is>
      </c>
      <c r="BC2382" t="inlineStr">
        <is>
          <t>AUTO</t>
        </is>
      </c>
      <c r="BD2382" t="inlineStr"/>
      <c r="BE2382" t="inlineStr"/>
      <c r="BF2382" t="inlineStr">
        <is>
          <t>AUTO_GENERERAD. Bekrafta metadata mot kallfil.</t>
        </is>
      </c>
      <c r="BG2382">
        <f>HYPERLINK("C:\Users\jimmy\Desktop\Examens arbete\Kod\Ny mapp\remix_-copy-of-miljöbeslut.se-portal\M-2024-2727_2025-01-10_Beslut (MHF MHN)_Västra Gärdet 2 1.pdf", "Öppna PDF")</f>
        <v/>
      </c>
    </row>
    <row r="2383">
      <c r="A2383" t="inlineStr">
        <is>
          <t>KRAV-AUTO-002382</t>
        </is>
      </c>
      <c r="B2383" t="inlineStr">
        <is>
          <t>ADMIN-INDEX-2026-02-27-00000000125C043F57453246863FE664CAFE6A3F0700950291EA24F0614FB6ACEDB12BF0E31D00000000010C0000950291EA24F0614FB6ACEDB12BF0E31D00002087B1D20000</t>
        </is>
      </c>
      <c r="C2383" t="inlineStr">
        <is>
          <t>cmm4yumz8007ecuqwtrjpv80c</t>
        </is>
      </c>
      <c r="D2383" t="inlineStr">
        <is>
          <t>http://localhost:8787/api/admin/requirements/documents/cmm4yumz8007ecuqwtrjpv80c/view</t>
        </is>
      </c>
      <c r="E2383">
        <f>HYPERLÄNK("http://localhost:8787/api/admin/requirements/documents/cmm4yumz8007ecuqwtrjpv80c/view";"Öppna PDF")</f>
        <v/>
      </c>
      <c r="F2383">
        <f>HYPERLINK("http://localhost:8787/api/admin/requirements/documents/cmm4yumz8007ecuqwtrjpv80c/view","Open PDF")</f>
        <v/>
      </c>
      <c r="G2383" t="inlineStr">
        <is>
          <t>cmm55w57p0004cuisfrtpqly8</t>
        </is>
      </c>
      <c r="H2383" t="inlineStr">
        <is>
          <t>Beslutsvillkor</t>
        </is>
      </c>
      <c r="I2383" t="inlineStr">
        <is>
          <t>LagringsvolymTid</t>
        </is>
      </c>
      <c r="J2383" t="inlineStr">
        <is>
          <t>Maxmangd</t>
        </is>
      </c>
      <c r="K2383" t="inlineStr">
        <is>
          <t>minska mängden avfall, 2.</t>
        </is>
      </c>
      <c r="L2383" t="inlineStr">
        <is>
          <t>minska mängden avfall, 2.</t>
        </is>
      </c>
      <c r="M2383" t="inlineStr">
        <is>
          <t>SKA</t>
        </is>
      </c>
      <c r="N2383" t="inlineStr"/>
      <c r="O2383" t="inlineStr"/>
      <c r="P2383" t="inlineStr"/>
      <c r="Q2383" t="inlineStr"/>
      <c r="R2383" t="inlineStr">
        <is>
          <t>Alltid</t>
        </is>
      </c>
      <c r="S2383" t="inlineStr"/>
      <c r="T2383" t="inlineStr">
        <is>
          <t>88 63 89</t>
        </is>
      </c>
      <c r="U2383" t="inlineStr"/>
      <c r="V2383" t="inlineStr"/>
      <c r="W2383" t="inlineStr">
        <is>
          <t>Nej</t>
        </is>
      </c>
      <c r="X2383" t="inlineStr">
        <is>
          <t>Nej</t>
        </is>
      </c>
      <c r="Y2383" t="inlineStr">
        <is>
          <t>Nej</t>
        </is>
      </c>
      <c r="Z2383" t="inlineStr">
        <is>
          <t>Nej</t>
        </is>
      </c>
      <c r="AA2383" t="n">
        <v>4</v>
      </c>
      <c r="AB2383" t="inlineStr">
        <is>
          <t>Avfallsmangder och lagringstid</t>
        </is>
      </c>
      <c r="AC2383" t="inlineStr">
        <is>
          <t>Avfallsforteckning</t>
        </is>
      </c>
      <c r="AD2383" t="inlineStr">
        <is>
          <t>Nej</t>
        </is>
      </c>
      <c r="AE2383" t="inlineStr">
        <is>
          <t>Nej</t>
        </is>
      </c>
      <c r="AF2383" t="inlineStr">
        <is>
          <t>Ej behandlad</t>
        </is>
      </c>
      <c r="AG2383" t="inlineStr">
        <is>
          <t>AUTO_GENERERAD. Verifiera citat mot kallfil.</t>
        </is>
      </c>
      <c r="AH2383" t="inlineStr">
        <is>
          <t>LOW</t>
        </is>
      </c>
      <c r="AI2383" t="inlineStr">
        <is>
          <t>AUTO</t>
        </is>
      </c>
      <c r="AJ2383" t="inlineStr">
        <is>
          <t>Nej</t>
        </is>
      </c>
      <c r="AK2383" t="inlineStr"/>
      <c r="AL2383" t="inlineStr"/>
      <c r="AM2383" t="inlineStr"/>
      <c r="AN2383" t="inlineStr"/>
      <c r="AO2383" t="inlineStr">
        <is>
          <t>cmm4yumyz0075cuqwsj0akxcx</t>
        </is>
      </c>
      <c r="AP2383" t="inlineStr">
        <is>
          <t>http://localhost:8787/api/admin/requirements/documents/cmm4yumyz0075cuqwsj0akxcx/view</t>
        </is>
      </c>
      <c r="AQ2383">
        <f>HYPERLÄNK("http://localhost:8787/api/admin/requirements/documents/cmm4yumyz0075cuqwsj0akxcx/view";"Öppna PDF")</f>
        <v/>
      </c>
      <c r="AR2383">
        <f>HYPERLINK("http://localhost:8787/api/admin/requirements/documents/cmm4yumyz0075cuqwsj0akxcx/view","Open PDF")</f>
        <v/>
      </c>
      <c r="AS2383" t="inlineStr">
        <is>
          <t>cmm55w57p0004cuisfrtpqly8</t>
        </is>
      </c>
      <c r="AT2383" t="inlineStr">
        <is>
          <t>cmm4xvu980000cuh4vj0usz09</t>
        </is>
      </c>
      <c r="AU2383" t="inlineStr">
        <is>
          <t>Falkenberg Postadress Falkenbergs</t>
        </is>
      </c>
      <c r="AV2383" t="inlineStr">
        <is>
          <t>Kommun</t>
        </is>
      </c>
      <c r="AW2383" t="inlineStr">
        <is>
          <t>Falkenberg Postadress Falkenbergs kommun</t>
        </is>
      </c>
      <c r="AX2383" t="inlineStr">
        <is>
          <t>2025-02</t>
        </is>
      </c>
      <c r="AY2383" t="inlineStr">
        <is>
          <t>Beslut</t>
        </is>
      </c>
      <c r="AZ2383" t="inlineStr">
        <is>
          <t>2026-02-03</t>
        </is>
      </c>
      <c r="BA2383" t="inlineStr">
        <is>
          <t>M-2024-2727_2025-01-10_Beslut (MHF MHN)_Västra Gärdet 2 1.pdf</t>
        </is>
      </c>
      <c r="BB2383" t="inlineStr">
        <is>
          <t>efterfrågade handlingar</t>
        </is>
      </c>
      <c r="BC2383" t="inlineStr">
        <is>
          <t>AUTO</t>
        </is>
      </c>
      <c r="BD2383" t="inlineStr"/>
      <c r="BE2383" t="inlineStr"/>
      <c r="BF2383" t="inlineStr">
        <is>
          <t>AUTO_GENERERAD. Bekrafta metadata mot kallfil.</t>
        </is>
      </c>
      <c r="BG2383">
        <f>HYPERLINK("C:\Users\jimmy\Desktop\Examens arbete\Kod\Ny mapp\remix_-copy-of-miljöbeslut.se-portal\M-2024-2727_2025-01-10_Beslut (MHF MHN)_Västra Gärdet 2 1.pdf", "Öppna PDF")</f>
        <v/>
      </c>
    </row>
    <row r="2384">
      <c r="A2384" t="inlineStr">
        <is>
          <t>KRAV-AUTO-002383</t>
        </is>
      </c>
      <c r="B2384" t="inlineStr">
        <is>
          <t>ADMIN-INDEX-2026-02-27-00000000125C043F57453246863FE664CAFE6A3F0700950291EA24F0614FB6ACEDB12BF0E31D00000000010C0000950291EA24F0614FB6ACEDB12BF0E31D00002087B1D20000</t>
        </is>
      </c>
      <c r="C2384" t="inlineStr">
        <is>
          <t>cmm4yumz8007ecuqwtrjpv80c</t>
        </is>
      </c>
      <c r="D2384" t="inlineStr">
        <is>
          <t>http://localhost:8787/api/admin/requirements/documents/cmm4yumz8007ecuqwtrjpv80c/view</t>
        </is>
      </c>
      <c r="E2384">
        <f>HYPERLÄNK("http://localhost:8787/api/admin/requirements/documents/cmm4yumz8007ecuqwtrjpv80c/view";"Öppna PDF")</f>
        <v/>
      </c>
      <c r="F2384">
        <f>HYPERLINK("http://localhost:8787/api/admin/requirements/documents/cmm4yumz8007ecuqwtrjpv80c/view","Open PDF")</f>
        <v/>
      </c>
      <c r="G2384" t="inlineStr">
        <is>
          <t>cmm55w57p0004cuisfrtpqly8</t>
        </is>
      </c>
      <c r="H2384" t="inlineStr">
        <is>
          <t>Beslutsvillkor</t>
        </is>
      </c>
      <c r="I2384" t="inlineStr">
        <is>
          <t>Riskhantering</t>
        </is>
      </c>
      <c r="J2384" t="inlineStr">
        <is>
          <t>Riskkontroll</t>
        </is>
      </c>
      <c r="K2384" t="inlineStr">
        <is>
          <t>Den som hanterar avfall ska se till så att hanteringen inte innebär risk för eller skadar människors hälsa eller miljön.</t>
        </is>
      </c>
      <c r="L2384" t="inlineStr">
        <is>
          <t>Den som hanterar avfall ska se till så att hanteringen inte innebär risk för eller skadar människors hälsa eller miljön.</t>
        </is>
      </c>
      <c r="M2384" t="inlineStr">
        <is>
          <t>SKA</t>
        </is>
      </c>
      <c r="N2384" t="inlineStr"/>
      <c r="O2384" t="inlineStr"/>
      <c r="P2384" t="inlineStr"/>
      <c r="Q2384" t="inlineStr"/>
      <c r="R2384" t="inlineStr">
        <is>
          <t>Vid risk for incident</t>
        </is>
      </c>
      <c r="S2384" t="inlineStr"/>
      <c r="T2384" t="inlineStr">
        <is>
          <t>88 63 89</t>
        </is>
      </c>
      <c r="U2384" t="inlineStr"/>
      <c r="V2384" t="inlineStr"/>
      <c r="W2384" t="inlineStr">
        <is>
          <t>Nej</t>
        </is>
      </c>
      <c r="X2384" t="inlineStr">
        <is>
          <t>Nej</t>
        </is>
      </c>
      <c r="Y2384" t="inlineStr">
        <is>
          <t>Ja</t>
        </is>
      </c>
      <c r="Z2384" t="inlineStr">
        <is>
          <t>Ja</t>
        </is>
      </c>
      <c r="AA2384" t="n">
        <v>8</v>
      </c>
      <c r="AB2384" t="inlineStr">
        <is>
          <t>Riskhantering</t>
        </is>
      </c>
      <c r="AC2384" t="inlineStr">
        <is>
          <t>Risk-PM</t>
        </is>
      </c>
      <c r="AD2384" t="inlineStr">
        <is>
          <t>Nej</t>
        </is>
      </c>
      <c r="AE2384" t="inlineStr">
        <is>
          <t>Nej</t>
        </is>
      </c>
      <c r="AF2384" t="inlineStr">
        <is>
          <t>Ej behandlad</t>
        </is>
      </c>
      <c r="AG2384" t="inlineStr">
        <is>
          <t>AUTO_GENERERAD. Verifiera citat mot kallfil.</t>
        </is>
      </c>
      <c r="AH2384" t="inlineStr">
        <is>
          <t>MEDIUM</t>
        </is>
      </c>
      <c r="AI2384" t="inlineStr">
        <is>
          <t>AUTO</t>
        </is>
      </c>
      <c r="AJ2384" t="inlineStr">
        <is>
          <t>Nej</t>
        </is>
      </c>
      <c r="AK2384" t="inlineStr"/>
      <c r="AL2384" t="inlineStr"/>
      <c r="AM2384" t="inlineStr"/>
      <c r="AN2384" t="inlineStr"/>
      <c r="AO2384" t="inlineStr">
        <is>
          <t>cmm4yumyz0075cuqwsj0akxcx</t>
        </is>
      </c>
      <c r="AP2384" t="inlineStr">
        <is>
          <t>http://localhost:8787/api/admin/requirements/documents/cmm4yumyz0075cuqwsj0akxcx/view</t>
        </is>
      </c>
      <c r="AQ2384">
        <f>HYPERLÄNK("http://localhost:8787/api/admin/requirements/documents/cmm4yumyz0075cuqwsj0akxcx/view";"Öppna PDF")</f>
        <v/>
      </c>
      <c r="AR2384">
        <f>HYPERLINK("http://localhost:8787/api/admin/requirements/documents/cmm4yumyz0075cuqwsj0akxcx/view","Open PDF")</f>
        <v/>
      </c>
      <c r="AS2384" t="inlineStr">
        <is>
          <t>cmm55w57p0004cuisfrtpqly8</t>
        </is>
      </c>
      <c r="AT2384" t="inlineStr">
        <is>
          <t>cmm4xvu980000cuh4vj0usz09</t>
        </is>
      </c>
      <c r="AU2384" t="inlineStr">
        <is>
          <t>Falkenberg Postadress Falkenbergs</t>
        </is>
      </c>
      <c r="AV2384" t="inlineStr">
        <is>
          <t>Kommun</t>
        </is>
      </c>
      <c r="AW2384" t="inlineStr">
        <is>
          <t>Falkenberg Postadress Falkenbergs kommun</t>
        </is>
      </c>
      <c r="AX2384" t="inlineStr">
        <is>
          <t>2025-02</t>
        </is>
      </c>
      <c r="AY2384" t="inlineStr">
        <is>
          <t>Beslut</t>
        </is>
      </c>
      <c r="AZ2384" t="inlineStr">
        <is>
          <t>2026-02-03</t>
        </is>
      </c>
      <c r="BA2384" t="inlineStr">
        <is>
          <t>M-2024-2727_2025-01-10_Beslut (MHF MHN)_Västra Gärdet 2 1.pdf</t>
        </is>
      </c>
      <c r="BB2384" t="inlineStr">
        <is>
          <t>efterfrågade handlingar</t>
        </is>
      </c>
      <c r="BC2384" t="inlineStr">
        <is>
          <t>AUTO</t>
        </is>
      </c>
      <c r="BD2384" t="inlineStr"/>
      <c r="BE2384" t="inlineStr"/>
      <c r="BF2384" t="inlineStr">
        <is>
          <t>AUTO_GENERERAD. Bekrafta metadata mot kallfil.</t>
        </is>
      </c>
      <c r="BG2384">
        <f>HYPERLINK("C:\Users\jimmy\Desktop\Examens arbete\Kod\Ny mapp\remix_-copy-of-miljöbeslut.se-portal\M-2024-2727_2025-01-10_Beslut (MHF MHN)_Västra Gärdet 2 1.pdf", "Öppna PDF")</f>
        <v/>
      </c>
    </row>
    <row r="2385">
      <c r="A2385" t="inlineStr">
        <is>
          <t>KRAV-AUTO-002384</t>
        </is>
      </c>
      <c r="B2385" t="inlineStr">
        <is>
          <t>ADMIN-INDEX-2026-02-27-00000000125C043F57453246863FE664CAFE6A3F0700950291EA24F0614FB6ACEDB12BF0E31D00000000010C0000950291EA24F0614FB6ACEDB12BF0E31D00002087B1D20000</t>
        </is>
      </c>
      <c r="C2385" t="inlineStr">
        <is>
          <t>cmm4yumz5007bcuqwm52u0l4n</t>
        </is>
      </c>
      <c r="D2385" t="inlineStr">
        <is>
          <t>http://localhost:8787/api/admin/requirements/documents/cmm4yumz5007bcuqwm52u0l4n/view</t>
        </is>
      </c>
      <c r="E2385">
        <f>HYPERLÄNK("http://localhost:8787/api/admin/requirements/documents/cmm4yumz5007bcuqwm52u0l4n/view";"Öppna PDF")</f>
        <v/>
      </c>
      <c r="F2385">
        <f>HYPERLINK("http://localhost:8787/api/admin/requirements/documents/cmm4yumz5007bcuqwm52u0l4n/view","Open PDF")</f>
        <v/>
      </c>
      <c r="G2385" t="inlineStr">
        <is>
          <t>cmm55w57p0004cuisfrtpqly8</t>
        </is>
      </c>
      <c r="H2385" t="inlineStr">
        <is>
          <t>Beslutsvillkor</t>
        </is>
      </c>
      <c r="I2385" t="inlineStr">
        <is>
          <t>Ytkonstruktion</t>
        </is>
      </c>
      <c r="J2385" t="inlineStr">
        <is>
          <t>Tat yta</t>
        </is>
      </c>
      <c r="K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medföra risk för skada eller olägenhet av större betydelse för människors hälsa, miljön eller andra intressen som skyddas enligt miljöbalken.</t>
        </is>
      </c>
      <c r="L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t>
        </is>
      </c>
      <c r="M2385" t="inlineStr">
        <is>
          <t>SKA</t>
        </is>
      </c>
      <c r="N2385" t="inlineStr">
        <is>
          <t>Miljobalken</t>
        </is>
      </c>
      <c r="O2385" t="inlineStr"/>
      <c r="P2385" t="inlineStr"/>
      <c r="Q2385" t="inlineStr">
        <is>
          <t>Forbud</t>
        </is>
      </c>
      <c r="R2385" t="inlineStr">
        <is>
          <t>Vid mellanlagring av avfall</t>
        </is>
      </c>
      <c r="S2385" t="inlineStr"/>
      <c r="T2385" t="inlineStr">
        <is>
          <t>88 63 89</t>
        </is>
      </c>
      <c r="U2385" t="inlineStr"/>
      <c r="V2385" t="inlineStr"/>
      <c r="W2385" t="inlineStr">
        <is>
          <t>Ja</t>
        </is>
      </c>
      <c r="X2385" t="inlineStr">
        <is>
          <t>Nej</t>
        </is>
      </c>
      <c r="Y2385" t="inlineStr">
        <is>
          <t>Nej</t>
        </is>
      </c>
      <c r="Z2385" t="inlineStr">
        <is>
          <t>Nej</t>
        </is>
      </c>
      <c r="AA2385" t="n">
        <v>5</v>
      </c>
      <c r="AB2385" t="inlineStr">
        <is>
          <t>Teknisk beskrivning av platta</t>
        </is>
      </c>
      <c r="AC2385" t="inlineStr">
        <is>
          <t>Teknisk ritning platta</t>
        </is>
      </c>
      <c r="AD2385" t="inlineStr">
        <is>
          <t>Nej</t>
        </is>
      </c>
      <c r="AE2385" t="inlineStr">
        <is>
          <t>Nej</t>
        </is>
      </c>
      <c r="AF2385" t="inlineStr">
        <is>
          <t>Ej behandlad</t>
        </is>
      </c>
      <c r="AG2385" t="inlineStr">
        <is>
          <t>AUTO_GENERERAD. Verifiera citat mot kallfil.</t>
        </is>
      </c>
      <c r="AH2385" t="inlineStr">
        <is>
          <t>HIGH</t>
        </is>
      </c>
      <c r="AI2385" t="inlineStr">
        <is>
          <t>AUTO</t>
        </is>
      </c>
      <c r="AJ2385" t="inlineStr">
        <is>
          <t>Nej</t>
        </is>
      </c>
      <c r="AK2385" t="inlineStr"/>
      <c r="AL2385" t="inlineStr"/>
      <c r="AM2385" t="inlineStr"/>
      <c r="AN2385" t="inlineStr"/>
      <c r="AO2385" t="inlineStr">
        <is>
          <t>cmm4yumyz0075cuqwsj0akxcx</t>
        </is>
      </c>
      <c r="AP2385" t="inlineStr">
        <is>
          <t>http://localhost:8787/api/admin/requirements/documents/cmm4yumyz0075cuqwsj0akxcx/view</t>
        </is>
      </c>
      <c r="AQ2385">
        <f>HYPERLÄNK("http://localhost:8787/api/admin/requirements/documents/cmm4yumyz0075cuqwsj0akxcx/view";"Öppna PDF")</f>
        <v/>
      </c>
      <c r="AR2385">
        <f>HYPERLINK("http://localhost:8787/api/admin/requirements/documents/cmm4yumyz0075cuqwsj0akxcx/view","Open PDF")</f>
        <v/>
      </c>
      <c r="AS2385" t="inlineStr">
        <is>
          <t>cmm55w57p0004cuisfrtpqly8</t>
        </is>
      </c>
      <c r="AT2385" t="inlineStr">
        <is>
          <t>cmm4xvu980000cuh4vj0usz09</t>
        </is>
      </c>
      <c r="AU2385" t="inlineStr">
        <is>
          <t>Falkenberg Postadress Falkenbergs</t>
        </is>
      </c>
      <c r="AV2385" t="inlineStr">
        <is>
          <t>Kommun</t>
        </is>
      </c>
      <c r="AW2385" t="inlineStr">
        <is>
          <t>Falkenberg Postadress Falkenbergs kommun</t>
        </is>
      </c>
      <c r="AX2385" t="inlineStr">
        <is>
          <t>2025-02</t>
        </is>
      </c>
      <c r="AY2385" t="inlineStr">
        <is>
          <t>Beslut</t>
        </is>
      </c>
      <c r="AZ2385" t="inlineStr">
        <is>
          <t>2026-02-03</t>
        </is>
      </c>
      <c r="BA2385" t="inlineStr">
        <is>
          <t>M-2024-2727_2025-01-10_Beslut (MHF MHN)_Västra Gärdet 2 1.pdf</t>
        </is>
      </c>
      <c r="BB2385" t="inlineStr">
        <is>
          <t>efterfrågade handlingar</t>
        </is>
      </c>
      <c r="BC2385" t="inlineStr">
        <is>
          <t>AUTO</t>
        </is>
      </c>
      <c r="BD2385" t="inlineStr"/>
      <c r="BE2385" t="inlineStr"/>
      <c r="BF2385" t="inlineStr">
        <is>
          <t>AUTO_GENERERAD. Bekrafta metadata mot kallfil.</t>
        </is>
      </c>
      <c r="BG2385">
        <f>HYPERLINK("C:\Users\jimmy\Desktop\Examens arbete\Kod\Ny mapp\remix_-copy-of-miljöbeslut.se-portal\M-2024-2727_2025-01-10_Beslut (MHF MHN)_Västra Gärdet 2 1.pdf", "Öppna PDF")</f>
        <v/>
      </c>
    </row>
    <row r="2386">
      <c r="A2386" t="inlineStr">
        <is>
          <t>KRAV-AUTO-002385</t>
        </is>
      </c>
      <c r="B2386" t="inlineStr">
        <is>
          <t>ADMIN-INDEX-2026-02-27-00000000125C043F57453246863FE664CAFE6A3F0700950291EA24F0614FB6ACEDB12BF0E31D00000000010C0000950291EA24F0614FB6ACEDB12BF0E31D00002087B1D20000</t>
        </is>
      </c>
      <c r="C2386" t="inlineStr">
        <is>
          <t>cmm4yumz5007bcuqwm52u0l4n</t>
        </is>
      </c>
      <c r="D2386" t="inlineStr">
        <is>
          <t>http://localhost:8787/api/admin/requirements/documents/cmm4yumz5007bcuqwm52u0l4n/view</t>
        </is>
      </c>
      <c r="E2386">
        <f>HYPERLÄNK("http://localhost:8787/api/admin/requirements/documents/cmm4yumz5007bcuqwm52u0l4n/view";"Öppna PDF")</f>
        <v/>
      </c>
      <c r="F2386">
        <f>HYPERLINK("http://localhost:8787/api/admin/requirements/documents/cmm4yumz5007bcuqwm52u0l4n/view","Open PDF")</f>
        <v/>
      </c>
      <c r="G2386" t="inlineStr">
        <is>
          <t>cmm55w57p0004cuisfrtpqly8</t>
        </is>
      </c>
      <c r="H2386" t="inlineStr">
        <is>
          <t>Beslutsvillkor</t>
        </is>
      </c>
      <c r="I2386" t="inlineStr">
        <is>
          <t>Riskhantering</t>
        </is>
      </c>
      <c r="J2386" t="inlineStr">
        <is>
          <t>Riskkontroll</t>
        </is>
      </c>
      <c r="K2386" t="inlineStr">
        <is>
          <t>Produkter för mark- och jordanvändning som innehåller animaliska beståndsdelar eller naturgödsel får inte riskera att hamna i foderkedjan eller sprida smitta.</t>
        </is>
      </c>
      <c r="L2386" t="inlineStr">
        <is>
          <t>Produkter för mark- och jordanvändning som innehåller animaliska beståndsdelar eller naturgödsel får inte riskera att hamna i foderkedjan eller sprida smitta.</t>
        </is>
      </c>
      <c r="M2386" t="inlineStr">
        <is>
          <t>SKA</t>
        </is>
      </c>
      <c r="N2386" t="inlineStr"/>
      <c r="O2386" t="inlineStr"/>
      <c r="P2386" t="inlineStr"/>
      <c r="Q2386" t="inlineStr">
        <is>
          <t>Driftbegransning vid avvikelse</t>
        </is>
      </c>
      <c r="R2386" t="inlineStr">
        <is>
          <t>Vid risk for incident</t>
        </is>
      </c>
      <c r="S2386" t="inlineStr"/>
      <c r="T2386" t="inlineStr">
        <is>
          <t>88 63 89</t>
        </is>
      </c>
      <c r="U2386" t="inlineStr"/>
      <c r="V2386" t="inlineStr"/>
      <c r="W2386" t="inlineStr">
        <is>
          <t>Nej</t>
        </is>
      </c>
      <c r="X2386" t="inlineStr">
        <is>
          <t>Nej</t>
        </is>
      </c>
      <c r="Y2386" t="inlineStr">
        <is>
          <t>Ja</t>
        </is>
      </c>
      <c r="Z2386" t="inlineStr">
        <is>
          <t>Ja</t>
        </is>
      </c>
      <c r="AA2386" t="n">
        <v>8</v>
      </c>
      <c r="AB2386" t="inlineStr">
        <is>
          <t>Riskhantering</t>
        </is>
      </c>
      <c r="AC2386" t="inlineStr">
        <is>
          <t>Risk-PM</t>
        </is>
      </c>
      <c r="AD2386" t="inlineStr">
        <is>
          <t>Nej</t>
        </is>
      </c>
      <c r="AE2386" t="inlineStr">
        <is>
          <t>Nej</t>
        </is>
      </c>
      <c r="AF2386" t="inlineStr">
        <is>
          <t>Ej behandlad</t>
        </is>
      </c>
      <c r="AG2386" t="inlineStr">
        <is>
          <t>AUTO_GENERERAD. Verifiera citat mot kallfil.</t>
        </is>
      </c>
      <c r="AH2386" t="inlineStr">
        <is>
          <t>MEDIUM</t>
        </is>
      </c>
      <c r="AI2386" t="inlineStr">
        <is>
          <t>AUTO</t>
        </is>
      </c>
      <c r="AJ2386" t="inlineStr">
        <is>
          <t>Nej</t>
        </is>
      </c>
      <c r="AK2386" t="inlineStr"/>
      <c r="AL2386" t="inlineStr"/>
      <c r="AM2386" t="inlineStr"/>
      <c r="AN2386" t="inlineStr"/>
      <c r="AO2386" t="inlineStr">
        <is>
          <t>cmm4yumyz0075cuqwsj0akxcx</t>
        </is>
      </c>
      <c r="AP2386" t="inlineStr">
        <is>
          <t>http://localhost:8787/api/admin/requirements/documents/cmm4yumyz0075cuqwsj0akxcx/view</t>
        </is>
      </c>
      <c r="AQ2386">
        <f>HYPERLÄNK("http://localhost:8787/api/admin/requirements/documents/cmm4yumyz0075cuqwsj0akxcx/view";"Öppna PDF")</f>
        <v/>
      </c>
      <c r="AR2386">
        <f>HYPERLINK("http://localhost:8787/api/admin/requirements/documents/cmm4yumyz0075cuqwsj0akxcx/view","Open PDF")</f>
        <v/>
      </c>
      <c r="AS2386" t="inlineStr">
        <is>
          <t>cmm55w57p0004cuisfrtpqly8</t>
        </is>
      </c>
      <c r="AT2386" t="inlineStr">
        <is>
          <t>cmm4xvu980000cuh4vj0usz09</t>
        </is>
      </c>
      <c r="AU2386" t="inlineStr">
        <is>
          <t>Falkenberg Postadress Falkenbergs</t>
        </is>
      </c>
      <c r="AV2386" t="inlineStr">
        <is>
          <t>Kommun</t>
        </is>
      </c>
      <c r="AW2386" t="inlineStr">
        <is>
          <t>Falkenberg Postadress Falkenbergs kommun</t>
        </is>
      </c>
      <c r="AX2386" t="inlineStr">
        <is>
          <t>2025-02</t>
        </is>
      </c>
      <c r="AY2386" t="inlineStr">
        <is>
          <t>Beslut</t>
        </is>
      </c>
      <c r="AZ2386" t="inlineStr">
        <is>
          <t>2026-02-03</t>
        </is>
      </c>
      <c r="BA2386" t="inlineStr">
        <is>
          <t>M-2024-2727_2025-01-10_Beslut (MHF MHN)_Västra Gärdet 2 1.pdf</t>
        </is>
      </c>
      <c r="BB2386" t="inlineStr">
        <is>
          <t>efterfrågade handlingar</t>
        </is>
      </c>
      <c r="BC2386" t="inlineStr">
        <is>
          <t>AUTO</t>
        </is>
      </c>
      <c r="BD2386" t="inlineStr"/>
      <c r="BE2386" t="inlineStr"/>
      <c r="BF2386" t="inlineStr">
        <is>
          <t>AUTO_GENERERAD. Bekrafta metadata mot kallfil.</t>
        </is>
      </c>
      <c r="BG2386">
        <f>HYPERLINK("C:\Users\jimmy\Desktop\Examens arbete\Kod\Ny mapp\remix_-copy-of-miljöbeslut.se-portal\M-2024-2727_2025-01-10_Beslut (MHF MHN)_Västra Gärdet 2 1.pdf", "Öppna PDF")</f>
        <v/>
      </c>
    </row>
  </sheetData>
  <conditionalFormatting sqref="A2:BG2386">
    <cfRule type="expression" priority="1" dxfId="0" stopIfTrue="1">
      <formula>$AK2&lt;&gt;""</formula>
    </cfRule>
  </conditionalFormatting>
  <dataValidations count="1">
    <dataValidation sqref="AK2:AK2386" showDropDown="0" showInputMessage="0" showErrorMessage="0" allowBlank="1" errorTitle="Ogiltigt val" error="Välj ett värde från listan" promptTitle="Verifiering" prompt="Välj vem som verifierat raden" type="list">
      <formula1>"OK,Jimmy,Admin,Ej Relevant"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Myndighet</t>
        </is>
      </c>
      <c r="B1" t="inlineStr">
        <is>
          <t>Antal Krav</t>
        </is>
      </c>
    </row>
    <row r="2">
      <c r="A2" t="inlineStr">
        <is>
          <t>-- Arvidsjaurs kommun</t>
        </is>
      </c>
      <c r="B2" t="n">
        <v>14</v>
      </c>
    </row>
    <row r="3">
      <c r="A3" t="inlineStr">
        <is>
          <t>-- Borgholms kommun</t>
        </is>
      </c>
      <c r="B3" t="n">
        <v>16</v>
      </c>
    </row>
    <row r="4">
      <c r="A4" t="inlineStr">
        <is>
          <t>-- Emmaboda kommun</t>
        </is>
      </c>
      <c r="B4" t="n">
        <v>1</v>
      </c>
    </row>
    <row r="5">
      <c r="A5" t="inlineStr">
        <is>
          <t>-- Miljökontoret Söderköpings kommun</t>
        </is>
      </c>
      <c r="B5" t="n">
        <v>7</v>
      </c>
    </row>
    <row r="6">
      <c r="A6" t="inlineStr">
        <is>
          <t>-- Skinnskattebergs kommun</t>
        </is>
      </c>
      <c r="B6" t="n">
        <v>6</v>
      </c>
    </row>
    <row r="7">
      <c r="A7" t="inlineStr">
        <is>
          <t>-- arlstads kommun</t>
        </is>
      </c>
      <c r="B7" t="n">
        <v>6</v>
      </c>
    </row>
    <row r="8">
      <c r="A8" t="inlineStr">
        <is>
          <t>Arvika kommun</t>
        </is>
      </c>
      <c r="B8" t="n">
        <v>6</v>
      </c>
    </row>
    <row r="9">
      <c r="A9" t="inlineStr">
        <is>
          <t>Besöksadress Telefon E-post Webb Tranås kommun</t>
        </is>
      </c>
      <c r="B9" t="n">
        <v>57</v>
      </c>
    </row>
    <row r="10">
      <c r="A10" t="inlineStr">
        <is>
          <t>E-POSTADRESS Varbergs kommun</t>
        </is>
      </c>
      <c r="B10" t="n">
        <v>16</v>
      </c>
    </row>
    <row r="11">
      <c r="A11" t="inlineStr">
        <is>
          <t>Falkenberg Postadress Falkenbergs kommun</t>
        </is>
      </c>
      <c r="B11" t="n">
        <v>38</v>
      </c>
    </row>
    <row r="12">
      <c r="A12" t="inlineStr">
        <is>
          <t>Filipstads kommun</t>
        </is>
      </c>
      <c r="B12" t="n">
        <v>28</v>
      </c>
    </row>
    <row r="13">
      <c r="A13" t="inlineStr">
        <is>
          <t>Furunäsets miljöcentral Överkalix kommun</t>
        </is>
      </c>
      <c r="B13" t="n">
        <v>3</v>
      </c>
    </row>
    <row r="14">
      <c r="A14" t="inlineStr">
        <is>
          <t>Fyll i om sökanden är Tierps kommun</t>
        </is>
      </c>
      <c r="B14" t="n">
        <v>8</v>
      </c>
    </row>
    <row r="15">
      <c r="A15" t="inlineStr">
        <is>
          <t>Habo kommun</t>
        </is>
      </c>
      <c r="B15" t="n">
        <v>16</v>
      </c>
    </row>
    <row r="16">
      <c r="A16" t="inlineStr">
        <is>
          <t>Herrljunga kommun</t>
        </is>
      </c>
      <c r="B16" t="n">
        <v>2</v>
      </c>
    </row>
    <row r="17">
      <c r="A17" t="inlineStr">
        <is>
          <t>Hässleholms kommun</t>
        </is>
      </c>
      <c r="B17" t="n">
        <v>135</v>
      </c>
    </row>
    <row r="18">
      <c r="A18" t="inlineStr">
        <is>
          <t>Karlstads kommun</t>
        </is>
      </c>
      <c r="B18" t="n">
        <v>16</v>
      </c>
    </row>
    <row r="19">
      <c r="A19" t="inlineStr">
        <is>
          <t>Kiruna kommun</t>
        </is>
      </c>
      <c r="B19" t="n">
        <v>13</v>
      </c>
    </row>
    <row r="20">
      <c r="A20" t="inlineStr">
        <is>
          <t>Lilla Edets kommun</t>
        </is>
      </c>
      <c r="B20" t="n">
        <v>32</v>
      </c>
    </row>
    <row r="21">
      <c r="A21" t="inlineStr">
        <is>
          <t>Malmbäck Postadress Falkenbergs kommun</t>
        </is>
      </c>
      <c r="B21" t="n">
        <v>21</v>
      </c>
    </row>
    <row r="22">
      <c r="A22" t="inlineStr">
        <is>
          <t>Marks kommun</t>
        </is>
      </c>
      <c r="B22" t="n">
        <v>12</v>
      </c>
    </row>
    <row r="23">
      <c r="A23" t="inlineStr">
        <is>
          <t>Miljö- och byggförvaltningen Strömstads kommun</t>
        </is>
      </c>
      <c r="B23" t="n">
        <v>9</v>
      </c>
    </row>
    <row r="24">
      <c r="A24" t="inlineStr">
        <is>
          <t>Miljöinspektör Bygg och Miljö Ljusdals kommun</t>
        </is>
      </c>
      <c r="B24" t="n">
        <v>7</v>
      </c>
    </row>
    <row r="25">
      <c r="A25" t="inlineStr">
        <is>
          <t>Miljöprövningsdelegationen Jokkmokks kommun</t>
        </is>
      </c>
      <c r="B25" t="n">
        <v>6</v>
      </c>
    </row>
    <row r="26">
      <c r="A26" t="inlineStr">
        <is>
          <t>Norsjö kommun</t>
        </is>
      </c>
      <c r="B26" t="n">
        <v>12</v>
      </c>
    </row>
    <row r="27">
      <c r="A27" t="inlineStr">
        <is>
          <t>Post Skara kommun</t>
        </is>
      </c>
      <c r="B27" t="n">
        <v>26</v>
      </c>
    </row>
    <row r="28">
      <c r="A28" t="inlineStr">
        <is>
          <t>Postadress Enköpings kommun</t>
        </is>
      </c>
      <c r="B28" t="n">
        <v>10</v>
      </c>
    </row>
    <row r="29">
      <c r="A29" t="inlineStr">
        <is>
          <t>Postadress Gagnefs kommun</t>
        </is>
      </c>
      <c r="B29" t="n">
        <v>6</v>
      </c>
    </row>
    <row r="30">
      <c r="A30" t="inlineStr">
        <is>
          <t>Samhällsbyggnadsnämnden Beslut Gnesta kommun</t>
        </is>
      </c>
      <c r="B30" t="n">
        <v>12</v>
      </c>
    </row>
    <row r="31">
      <c r="A31" t="inlineStr">
        <is>
          <t>Samhällsbyggnadsnämnden i Söderköpings kommun</t>
        </is>
      </c>
      <c r="B31" t="n">
        <v>18</v>
      </c>
    </row>
    <row r="32">
      <c r="A32" t="inlineStr">
        <is>
          <t>Sjöbo kommun</t>
        </is>
      </c>
      <c r="B32" t="n">
        <v>30</v>
      </c>
    </row>
    <row r="33">
      <c r="A33" t="inlineStr">
        <is>
          <t>Sundbybergs kommun</t>
        </is>
      </c>
      <c r="B33" t="n">
        <v>34</v>
      </c>
    </row>
    <row r="34">
      <c r="A34" t="inlineStr">
        <is>
          <t>Sundsvalls kommun</t>
        </is>
      </c>
      <c r="B34" t="n">
        <v>12</v>
      </c>
    </row>
    <row r="35">
      <c r="A35" t="inlineStr">
        <is>
          <t>Säffle kommun</t>
        </is>
      </c>
      <c r="B35" t="n">
        <v>10</v>
      </c>
    </row>
    <row r="36">
      <c r="A36" t="inlineStr">
        <is>
          <t>Söderköping Miljökontoret Söderköpings kommun</t>
        </is>
      </c>
      <c r="B36" t="n">
        <v>2</v>
      </c>
    </row>
    <row r="37">
      <c r="A37" t="inlineStr">
        <is>
          <t>Ulricehamns kommun</t>
        </is>
      </c>
      <c r="B37" t="n">
        <v>6</v>
      </c>
    </row>
    <row r="38">
      <c r="A38" t="inlineStr">
        <is>
          <t>Vreta Kloster Postadress Lessebo kommun</t>
        </is>
      </c>
      <c r="B38" t="n">
        <v>16</v>
      </c>
    </row>
    <row r="39">
      <c r="A39" t="inlineStr">
        <is>
          <t>Värnamo kommun</t>
        </is>
      </c>
      <c r="B39" t="n">
        <v>17</v>
      </c>
    </row>
    <row r="40">
      <c r="A40" t="inlineStr">
        <is>
          <t>Västerviks kommun</t>
        </is>
      </c>
      <c r="B40" t="n">
        <v>33</v>
      </c>
    </row>
    <row r="41">
      <c r="A41" t="inlineStr">
        <is>
          <t>avfall samt anläggning av ytor Karlstads kommun</t>
        </is>
      </c>
      <c r="B41" t="n">
        <v>8</v>
      </c>
    </row>
    <row r="42">
      <c r="A42" t="inlineStr">
        <is>
          <t>com Postadress Falkenbergs kommun</t>
        </is>
      </c>
      <c r="B42" t="n">
        <v>18</v>
      </c>
    </row>
    <row r="43">
      <c r="A43" t="inlineStr">
        <is>
          <t>fattat av Miljöskyddsenheten i Varbergs kommun</t>
        </is>
      </c>
      <c r="B43" t="n">
        <v>18</v>
      </c>
    </row>
    <row r="44">
      <c r="A44" t="inlineStr">
        <is>
          <t>i Haparanda kommun</t>
        </is>
      </c>
      <c r="B44" t="n">
        <v>7</v>
      </c>
    </row>
    <row r="45">
      <c r="A45" t="inlineStr">
        <is>
          <t>i Huddinge kommun</t>
        </is>
      </c>
      <c r="B45" t="n">
        <v>42</v>
      </c>
    </row>
    <row r="46">
      <c r="A46" t="inlineStr">
        <is>
          <t>i Karlskrona kommun</t>
        </is>
      </c>
      <c r="B46" t="n">
        <v>18</v>
      </c>
    </row>
    <row r="47">
      <c r="A47" t="inlineStr">
        <is>
          <t>i Osby kommun</t>
        </is>
      </c>
      <c r="B47" t="n">
        <v>38</v>
      </c>
    </row>
    <row r="48">
      <c r="A48" t="inlineStr">
        <is>
          <t>i Pajala kommun</t>
        </is>
      </c>
      <c r="B48" t="n">
        <v>19</v>
      </c>
    </row>
    <row r="49">
      <c r="A49" t="inlineStr">
        <is>
          <t>i Stenungsunds kommun</t>
        </is>
      </c>
      <c r="B49" t="n">
        <v>6</v>
      </c>
    </row>
    <row r="50">
      <c r="A50" t="inlineStr">
        <is>
          <t>i Upplands Väsby kommun</t>
        </is>
      </c>
      <c r="B50" t="n">
        <v>4</v>
      </c>
    </row>
    <row r="51">
      <c r="A51" t="inlineStr">
        <is>
          <t>i Örnsköldsviks kommun</t>
        </is>
      </c>
      <c r="B51" t="n">
        <v>33</v>
      </c>
    </row>
    <row r="52">
      <c r="A52" t="inlineStr">
        <is>
          <t>mottagning av verksamhetsavfall Hagfors kommun</t>
        </is>
      </c>
      <c r="B52" t="n">
        <v>2</v>
      </c>
    </row>
    <row r="53">
      <c r="A53" t="inlineStr">
        <is>
          <t>ndamål Postadress Besöksadress Strängnäs kommun</t>
        </is>
      </c>
      <c r="B53" t="n">
        <v>18</v>
      </c>
    </row>
    <row r="54">
      <c r="A54" t="inlineStr">
        <is>
          <t>nummer Webbadress Enköpings kommun</t>
        </is>
      </c>
      <c r="B54" t="n">
        <v>50</v>
      </c>
    </row>
    <row r="55">
      <c r="A55" t="inlineStr">
        <is>
          <t>org nr Söderköpings kommun</t>
        </is>
      </c>
      <c r="B55" t="n">
        <v>14</v>
      </c>
    </row>
    <row r="56">
      <c r="A56" t="inlineStr">
        <is>
          <t>org nr Valdemarsviks kommun</t>
        </is>
      </c>
      <c r="B56" t="n">
        <v>5</v>
      </c>
    </row>
    <row r="57">
      <c r="A57" t="inlineStr">
        <is>
          <t>pdf Diariekort Torsby kommun</t>
        </is>
      </c>
      <c r="B57" t="n">
        <v>2</v>
      </c>
    </row>
    <row r="58">
      <c r="A58" t="inlineStr">
        <is>
          <t>pdf Eksjö kommun</t>
        </is>
      </c>
      <c r="B58" t="n">
        <v>3</v>
      </c>
    </row>
    <row r="59">
      <c r="A59" t="inlineStr">
        <is>
          <t>pdf Falkenbergs kommun</t>
        </is>
      </c>
      <c r="B59" t="n">
        <v>25</v>
      </c>
    </row>
    <row r="60">
      <c r="A60" t="inlineStr">
        <is>
          <t>pdf Hedemora kommun</t>
        </is>
      </c>
      <c r="B60" t="n">
        <v>34</v>
      </c>
    </row>
    <row r="61">
      <c r="A61" t="inlineStr">
        <is>
          <t>pdf Karlstads kommun</t>
        </is>
      </c>
      <c r="B61" t="n">
        <v>40</v>
      </c>
    </row>
    <row r="62">
      <c r="A62" t="inlineStr">
        <is>
          <t>pdf Postadress Härnösands kommun</t>
        </is>
      </c>
      <c r="B62" t="n">
        <v>6</v>
      </c>
    </row>
    <row r="63">
      <c r="A63" t="inlineStr">
        <is>
          <t>re kommun</t>
        </is>
      </c>
      <c r="B63" t="n">
        <v>18</v>
      </c>
    </row>
    <row r="64">
      <c r="A64" t="inlineStr">
        <is>
          <t>se Postadress Falkenbergs kommun</t>
        </is>
      </c>
      <c r="B64" t="n">
        <v>10</v>
      </c>
    </row>
    <row r="65">
      <c r="A65" t="inlineStr">
        <is>
          <t>se Säters kommun</t>
        </is>
      </c>
      <c r="B65" t="n">
        <v>6</v>
      </c>
    </row>
    <row r="66">
      <c r="A66" t="inlineStr">
        <is>
          <t>Åtvidabergs kommun</t>
        </is>
      </c>
      <c r="B66" t="n">
        <v>7</v>
      </c>
    </row>
    <row r="67">
      <c r="A67" t="inlineStr">
        <is>
          <t>Östersunds kommun</t>
        </is>
      </c>
      <c r="B67" t="n">
        <v>6</v>
      </c>
    </row>
    <row r="68">
      <c r="A68" t="inlineStr">
        <is>
          <t>ämnden beslutar att förelägga Ljusdals kommun</t>
        </is>
      </c>
      <c r="B68"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Kategori</t>
        </is>
      </c>
      <c r="B1" t="inlineStr">
        <is>
          <t>Frekvens</t>
        </is>
      </c>
    </row>
    <row r="2">
      <c r="A2" t="inlineStr">
        <is>
          <t>DagvattenLakvatten</t>
        </is>
      </c>
      <c r="B2" t="n">
        <v>502</v>
      </c>
    </row>
    <row r="3">
      <c r="A3" t="inlineStr">
        <is>
          <t>LagringsvolymTid</t>
        </is>
      </c>
      <c r="B3" t="n">
        <v>439</v>
      </c>
    </row>
    <row r="4">
      <c r="A4" t="inlineStr">
        <is>
          <t>Riskhantering</t>
        </is>
      </c>
      <c r="B4" t="n">
        <v>400</v>
      </c>
    </row>
    <row r="5">
      <c r="A5" t="inlineStr">
        <is>
          <t>MiljopaverkanForsiktighet</t>
        </is>
      </c>
      <c r="B5" t="n">
        <v>382</v>
      </c>
    </row>
    <row r="6">
      <c r="A6" t="inlineStr">
        <is>
          <t>DriftEgenkontroll</t>
        </is>
      </c>
      <c r="B6" t="n">
        <v>320</v>
      </c>
    </row>
    <row r="7">
      <c r="A7" t="inlineStr">
        <is>
          <t>Ytkonstruktion</t>
        </is>
      </c>
      <c r="B7" t="n">
        <v>288</v>
      </c>
    </row>
    <row r="8">
      <c r="A8" t="inlineStr">
        <is>
          <t>TransportLogistik</t>
        </is>
      </c>
      <c r="B8" t="n">
        <v>41</v>
      </c>
    </row>
    <row r="9">
      <c r="A9" t="inlineStr">
        <is>
          <t>LokaliseringPlats</t>
        </is>
      </c>
      <c r="B9" t="n">
        <v>11</v>
      </c>
    </row>
    <row r="10">
      <c r="A10" t="inlineStr">
        <is>
          <t>AvvecklingEfterbehandling</t>
        </is>
      </c>
      <c r="B10"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t="inlineStr">
        <is>
          <t>Kommun</t>
        </is>
      </c>
      <c r="B1" t="inlineStr">
        <is>
          <t>DagvattenLakvatten</t>
        </is>
      </c>
      <c r="C1" t="inlineStr">
        <is>
          <t>Ytkonstruktion</t>
        </is>
      </c>
    </row>
    <row r="2">
      <c r="A2" t="inlineStr">
        <is>
          <t>-- Arvidsjaurs</t>
        </is>
      </c>
      <c r="B2" t="n">
        <v>6</v>
      </c>
      <c r="C2" t="n">
        <v>0</v>
      </c>
    </row>
    <row r="3">
      <c r="A3" t="inlineStr">
        <is>
          <t>-- Borgholms</t>
        </is>
      </c>
      <c r="B3" t="n">
        <v>2</v>
      </c>
      <c r="C3" t="n">
        <v>0</v>
      </c>
    </row>
    <row r="4">
      <c r="A4" t="inlineStr">
        <is>
          <t>-- Emmaboda</t>
        </is>
      </c>
      <c r="B4" t="n">
        <v>1</v>
      </c>
      <c r="C4" t="n">
        <v>0</v>
      </c>
    </row>
    <row r="5">
      <c r="A5" t="inlineStr">
        <is>
          <t>-- Miljökontoret Söderköpings</t>
        </is>
      </c>
      <c r="B5" t="n">
        <v>2</v>
      </c>
      <c r="C5" t="n">
        <v>0</v>
      </c>
    </row>
    <row r="6">
      <c r="A6" t="inlineStr">
        <is>
          <t>-- Skinnskattebergs</t>
        </is>
      </c>
      <c r="B6" t="n">
        <v>4</v>
      </c>
      <c r="C6" t="n">
        <v>0</v>
      </c>
    </row>
    <row r="7">
      <c r="A7" t="inlineStr">
        <is>
          <t>-- arlstads</t>
        </is>
      </c>
      <c r="B7" t="n">
        <v>0</v>
      </c>
      <c r="C7" t="n">
        <v>2</v>
      </c>
    </row>
    <row r="8">
      <c r="A8" t="inlineStr">
        <is>
          <t>Arvika</t>
        </is>
      </c>
      <c r="B8" t="n">
        <v>0</v>
      </c>
      <c r="C8" t="n">
        <v>2</v>
      </c>
    </row>
    <row r="9">
      <c r="A9" t="inlineStr">
        <is>
          <t>Besöksadress Telefon E-post Webb Tranås</t>
        </is>
      </c>
      <c r="B9" t="n">
        <v>4</v>
      </c>
      <c r="C9" t="n">
        <v>16</v>
      </c>
    </row>
    <row r="10">
      <c r="A10" t="inlineStr">
        <is>
          <t>E-POSTADRESS Varbergs</t>
        </is>
      </c>
      <c r="B10" t="n">
        <v>4</v>
      </c>
      <c r="C10" t="n">
        <v>2</v>
      </c>
    </row>
    <row r="11">
      <c r="A11" t="inlineStr">
        <is>
          <t>Falkenberg Postadress Falkenbergs</t>
        </is>
      </c>
      <c r="B11" t="n">
        <v>7</v>
      </c>
      <c r="C11" t="n">
        <v>2</v>
      </c>
    </row>
    <row r="12">
      <c r="A12" t="inlineStr">
        <is>
          <t>Filipstads</t>
        </is>
      </c>
      <c r="B12" t="n">
        <v>6</v>
      </c>
      <c r="C12" t="n">
        <v>0</v>
      </c>
    </row>
    <row r="13">
      <c r="A13" t="inlineStr">
        <is>
          <t>Fyll i om sökanden är Tierps</t>
        </is>
      </c>
      <c r="B13" t="n">
        <v>2</v>
      </c>
      <c r="C13" t="n">
        <v>2</v>
      </c>
    </row>
    <row r="14">
      <c r="A14" t="inlineStr">
        <is>
          <t>Habo</t>
        </is>
      </c>
      <c r="B14" t="n">
        <v>3</v>
      </c>
      <c r="C14" t="n">
        <v>2</v>
      </c>
    </row>
    <row r="15">
      <c r="A15" t="inlineStr">
        <is>
          <t>Herrljunga</t>
        </is>
      </c>
      <c r="B15" t="n">
        <v>0</v>
      </c>
      <c r="C15" t="n">
        <v>2</v>
      </c>
    </row>
    <row r="16">
      <c r="A16" t="inlineStr">
        <is>
          <t>Hässleholms</t>
        </is>
      </c>
      <c r="B16" t="n">
        <v>39</v>
      </c>
      <c r="C16" t="n">
        <v>11</v>
      </c>
    </row>
    <row r="17">
      <c r="A17" t="inlineStr">
        <is>
          <t>Karlstads</t>
        </is>
      </c>
      <c r="B17" t="n">
        <v>0</v>
      </c>
      <c r="C17" t="n">
        <v>2</v>
      </c>
    </row>
    <row r="18">
      <c r="A18" t="inlineStr">
        <is>
          <t>Kiruna</t>
        </is>
      </c>
      <c r="B18" t="n">
        <v>6</v>
      </c>
      <c r="C18" t="n">
        <v>0</v>
      </c>
    </row>
    <row r="19">
      <c r="A19" t="inlineStr">
        <is>
          <t>Lilla Edets</t>
        </is>
      </c>
      <c r="B19" t="n">
        <v>2</v>
      </c>
      <c r="C19" t="n">
        <v>0</v>
      </c>
    </row>
    <row r="20">
      <c r="A20" t="inlineStr">
        <is>
          <t>Malmbäck Postadress Falkenbergs</t>
        </is>
      </c>
      <c r="B20" t="n">
        <v>1</v>
      </c>
      <c r="C20" t="n">
        <v>1</v>
      </c>
    </row>
    <row r="21">
      <c r="A21" t="inlineStr">
        <is>
          <t>Marks</t>
        </is>
      </c>
      <c r="B21" t="n">
        <v>4</v>
      </c>
      <c r="C21" t="n">
        <v>1</v>
      </c>
    </row>
    <row r="22">
      <c r="A22" t="inlineStr">
        <is>
          <t>Miljö- och byggförvaltningen Strömstads</t>
        </is>
      </c>
      <c r="B22" t="n">
        <v>4</v>
      </c>
      <c r="C22" t="n">
        <v>0</v>
      </c>
    </row>
    <row r="23">
      <c r="A23" t="inlineStr">
        <is>
          <t>Miljöinspektör Bygg och Miljö Ljusdals</t>
        </is>
      </c>
      <c r="B23" t="n">
        <v>5</v>
      </c>
      <c r="C23" t="n">
        <v>1</v>
      </c>
    </row>
    <row r="24">
      <c r="A24" t="inlineStr">
        <is>
          <t>Miljöprövningsdelegationen Jokkmokks</t>
        </is>
      </c>
      <c r="B24" t="n">
        <v>1</v>
      </c>
      <c r="C24" t="n">
        <v>3</v>
      </c>
    </row>
    <row r="25">
      <c r="A25" t="inlineStr">
        <is>
          <t>Norsjö</t>
        </is>
      </c>
      <c r="B25" t="n">
        <v>2</v>
      </c>
      <c r="C25" t="n">
        <v>0</v>
      </c>
    </row>
    <row r="26">
      <c r="A26" t="inlineStr">
        <is>
          <t>Post Skara</t>
        </is>
      </c>
      <c r="B26" t="n">
        <v>10</v>
      </c>
      <c r="C26" t="n">
        <v>2</v>
      </c>
    </row>
    <row r="27">
      <c r="A27" t="inlineStr">
        <is>
          <t>Postadress Enköpings</t>
        </is>
      </c>
      <c r="B27" t="n">
        <v>0</v>
      </c>
      <c r="C27" t="n">
        <v>8</v>
      </c>
    </row>
    <row r="28">
      <c r="A28" t="inlineStr">
        <is>
          <t>Postadress Gagnefs</t>
        </is>
      </c>
      <c r="B28" t="n">
        <v>1</v>
      </c>
      <c r="C28" t="n">
        <v>2</v>
      </c>
    </row>
    <row r="29">
      <c r="A29" t="inlineStr">
        <is>
          <t>Samhällsbyggnadsnämnden Beslut Gnesta</t>
        </is>
      </c>
      <c r="B29" t="n">
        <v>0</v>
      </c>
      <c r="C29" t="n">
        <v>2</v>
      </c>
    </row>
    <row r="30">
      <c r="A30" t="inlineStr">
        <is>
          <t>Samhällsbyggnadsnämnden i Söderköpings</t>
        </is>
      </c>
      <c r="B30" t="n">
        <v>6</v>
      </c>
      <c r="C30" t="n">
        <v>2</v>
      </c>
    </row>
    <row r="31">
      <c r="A31" t="inlineStr">
        <is>
          <t>Sjöbo</t>
        </is>
      </c>
      <c r="B31" t="n">
        <v>10</v>
      </c>
      <c r="C31" t="n">
        <v>6</v>
      </c>
    </row>
    <row r="32">
      <c r="A32" t="inlineStr">
        <is>
          <t>Sundbybergs</t>
        </is>
      </c>
      <c r="B32" t="n">
        <v>4</v>
      </c>
      <c r="C32" t="n">
        <v>0</v>
      </c>
    </row>
    <row r="33">
      <c r="A33" t="inlineStr">
        <is>
          <t>Sundsvalls</t>
        </is>
      </c>
      <c r="B33" t="n">
        <v>2</v>
      </c>
      <c r="C33" t="n">
        <v>0</v>
      </c>
    </row>
    <row r="34">
      <c r="A34" t="inlineStr">
        <is>
          <t>Vreta Kloster Postadress Lessebo</t>
        </is>
      </c>
      <c r="B34" t="n">
        <v>8</v>
      </c>
      <c r="C34" t="n">
        <v>0</v>
      </c>
    </row>
    <row r="35">
      <c r="A35" t="inlineStr">
        <is>
          <t>Värnamo</t>
        </is>
      </c>
      <c r="B35" t="n">
        <v>4</v>
      </c>
      <c r="C35" t="n">
        <v>3</v>
      </c>
    </row>
    <row r="36">
      <c r="A36" t="inlineStr">
        <is>
          <t>Västerviks</t>
        </is>
      </c>
      <c r="B36" t="n">
        <v>10</v>
      </c>
      <c r="C36" t="n">
        <v>13</v>
      </c>
    </row>
    <row r="37">
      <c r="A37" t="inlineStr">
        <is>
          <t>com Postadress Falkenbergs</t>
        </is>
      </c>
      <c r="B37" t="n">
        <v>1</v>
      </c>
      <c r="C37" t="n">
        <v>0</v>
      </c>
    </row>
    <row r="38">
      <c r="A38" t="inlineStr">
        <is>
          <t>fattat av Miljöskyddsenheten i Varbergs</t>
        </is>
      </c>
      <c r="B38" t="n">
        <v>5</v>
      </c>
      <c r="C38" t="n">
        <v>3</v>
      </c>
    </row>
    <row r="39">
      <c r="A39" t="inlineStr">
        <is>
          <t>i Haparanda</t>
        </is>
      </c>
      <c r="B39" t="n">
        <v>1</v>
      </c>
      <c r="C39" t="n">
        <v>0</v>
      </c>
    </row>
    <row r="40">
      <c r="A40" t="inlineStr">
        <is>
          <t>i Huddinge</t>
        </is>
      </c>
      <c r="B40" t="n">
        <v>4</v>
      </c>
      <c r="C40" t="n">
        <v>6</v>
      </c>
    </row>
    <row r="41">
      <c r="A41" t="inlineStr">
        <is>
          <t>i Karlskrona</t>
        </is>
      </c>
      <c r="B41" t="n">
        <v>10</v>
      </c>
      <c r="C41" t="n">
        <v>8</v>
      </c>
    </row>
    <row r="42">
      <c r="A42" t="inlineStr">
        <is>
          <t>i Osby</t>
        </is>
      </c>
      <c r="B42" t="n">
        <v>10</v>
      </c>
      <c r="C42" t="n">
        <v>6</v>
      </c>
    </row>
    <row r="43">
      <c r="A43" t="inlineStr">
        <is>
          <t>i Pajala</t>
        </is>
      </c>
      <c r="B43" t="n">
        <v>2</v>
      </c>
      <c r="C43" t="n">
        <v>9</v>
      </c>
    </row>
    <row r="44">
      <c r="A44" t="inlineStr">
        <is>
          <t>i Upplands Väsby</t>
        </is>
      </c>
      <c r="B44" t="n">
        <v>1</v>
      </c>
      <c r="C44" t="n">
        <v>1</v>
      </c>
    </row>
    <row r="45">
      <c r="A45" t="inlineStr">
        <is>
          <t>i Örnsköldsviks</t>
        </is>
      </c>
      <c r="B45" t="n">
        <v>10</v>
      </c>
      <c r="C45" t="n">
        <v>7</v>
      </c>
    </row>
    <row r="46">
      <c r="A46" t="inlineStr">
        <is>
          <t>mottagning av verksamhetsavfall Hagfors</t>
        </is>
      </c>
      <c r="B46" t="n">
        <v>0</v>
      </c>
      <c r="C46" t="n">
        <v>2</v>
      </c>
    </row>
    <row r="47">
      <c r="A47" t="inlineStr">
        <is>
          <t>ndamål Postadress Besöksadress Strängnäs</t>
        </is>
      </c>
      <c r="B47" t="n">
        <v>2</v>
      </c>
      <c r="C47" t="n">
        <v>4</v>
      </c>
    </row>
    <row r="48">
      <c r="A48" t="inlineStr">
        <is>
          <t>nummer Webbadress Enköpings</t>
        </is>
      </c>
      <c r="B48" t="n">
        <v>10</v>
      </c>
      <c r="C48" t="n">
        <v>22</v>
      </c>
    </row>
    <row r="49">
      <c r="A49" t="inlineStr">
        <is>
          <t>org nr Söderköpings</t>
        </is>
      </c>
      <c r="B49" t="n">
        <v>6</v>
      </c>
      <c r="C49" t="n">
        <v>4</v>
      </c>
    </row>
    <row r="50">
      <c r="A50" t="inlineStr">
        <is>
          <t>org nr Valdemarsviks</t>
        </is>
      </c>
      <c r="B50" t="n">
        <v>2</v>
      </c>
      <c r="C50" t="n">
        <v>0</v>
      </c>
    </row>
    <row r="51">
      <c r="A51" t="inlineStr">
        <is>
          <t>pdf Diariekort Torsby</t>
        </is>
      </c>
      <c r="B51" t="n">
        <v>0</v>
      </c>
      <c r="C51" t="n">
        <v>1</v>
      </c>
    </row>
    <row r="52">
      <c r="A52" t="inlineStr">
        <is>
          <t>pdf Falkenbergs</t>
        </is>
      </c>
      <c r="B52" t="n">
        <v>1</v>
      </c>
      <c r="C52" t="n">
        <v>3</v>
      </c>
    </row>
    <row r="53">
      <c r="A53" t="inlineStr">
        <is>
          <t>pdf Karlstads</t>
        </is>
      </c>
      <c r="B53" t="n">
        <v>10</v>
      </c>
      <c r="C53" t="n">
        <v>5</v>
      </c>
    </row>
    <row r="54">
      <c r="A54" t="inlineStr">
        <is>
          <t>pdf Postadress Härnösands</t>
        </is>
      </c>
      <c r="B54" t="n">
        <v>1</v>
      </c>
      <c r="C54" t="n">
        <v>1</v>
      </c>
    </row>
    <row r="55">
      <c r="A55" t="inlineStr">
        <is>
          <t>se Postadress Falkenbergs</t>
        </is>
      </c>
      <c r="B55" t="n">
        <v>1</v>
      </c>
      <c r="C55" t="n">
        <v>1</v>
      </c>
    </row>
    <row r="56">
      <c r="A56" t="inlineStr">
        <is>
          <t>se Säters</t>
        </is>
      </c>
      <c r="B56" t="n">
        <v>0</v>
      </c>
      <c r="C56" t="n">
        <v>2</v>
      </c>
    </row>
    <row r="57">
      <c r="A57" t="inlineStr">
        <is>
          <t>Åtvidabergs</t>
        </is>
      </c>
      <c r="B57" t="n">
        <v>2</v>
      </c>
      <c r="C57" t="n">
        <v>3</v>
      </c>
    </row>
    <row r="58">
      <c r="A58" t="inlineStr">
        <is>
          <t>ämnden beslutar att förelägga Ljusdals</t>
        </is>
      </c>
      <c r="B58" t="n">
        <v>5</v>
      </c>
      <c r="C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2026-03-05T08:17:29Z</dcterms:created>
  <dcterms:modified xsi:type="dcterms:W3CDTF">2026-03-05T08:17:31Z</dcterms:modified>
</cp:coreProperties>
</file>